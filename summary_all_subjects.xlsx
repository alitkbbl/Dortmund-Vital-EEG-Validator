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Subjects" sheetId="2" state="visible" r:id="rId4"/>
    <sheet name="Recording_Ranking" sheetId="3" state="visible" r:id="rId5"/>
    <sheet name="Recordings" sheetId="4" state="visible" r:id="rId6"/>
    <sheet name="Issues" sheetId="5" state="visible" r:id="rId7"/>
    <sheet name="Legend" sheetId="6" state="visible" r:id="rId8"/>
  </sheets>
  <definedNames>
    <definedName function="false" hidden="true" localSheetId="4" name="_xlnm._FilterDatabase" vbProcedure="false">Issues!$A$1:$J$4185</definedName>
    <definedName function="false" hidden="true" localSheetId="2" name="_xlnm._FilterDatabase" vbProcedure="false">Recording_Ranking!$A$1:$R$2277</definedName>
    <definedName function="false" hidden="true" localSheetId="3" name="_xlnm._FilterDatabase" vbProcedure="false">Recordings!$A$1:$AI$2277</definedName>
    <definedName function="false" hidden="true" localSheetId="1" name="_xlnm._FilterDatabase" vbProcedure="false">Subjects!$A$1:$AG$609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<sst xmlns="http://schemas.openxmlformats.org/spreadsheetml/2006/main" count="101867" uniqueCount="6372">
  <si>
    <t xml:space="preserve">QC overview – all subjects</t>
  </si>
  <si>
    <t xml:space="preserve">Everything on this sheet is a live formula over the Subjects sheet (counts, %, averages). Blue cell = the only typed input.</t>
  </si>
  <si>
    <t xml:space="preserve">1. Coverage</t>
  </si>
  <si>
    <t xml:space="preserve">Value</t>
  </si>
  <si>
    <t xml:space="preserve">Expected subjects (sub-001 … sub-608)</t>
  </si>
  <si>
    <t xml:space="preserve">Subjects in file</t>
  </si>
  <si>
    <t xml:space="preserve">Missing subjects</t>
  </si>
  <si>
    <t xml:space="preserve">Duplicate subject rows</t>
  </si>
  <si>
    <t xml:space="preserve">2. Subject status</t>
  </si>
  <si>
    <t xml:space="preserve">Subjects</t>
  </si>
  <si>
    <t xml:space="preserve">% of all</t>
  </si>
  <si>
    <t xml:space="preserve">COMPLETED (analysed)</t>
  </si>
  <si>
    <t xml:space="preserve">REJECTED (screened out, no QC)</t>
  </si>
  <si>
    <t xml:space="preserve">Total</t>
  </si>
  <si>
    <t xml:space="preserve">3. Why subjects were rejected</t>
  </si>
  <si>
    <t xml:space="preserve">% of rejected</t>
  </si>
  <si>
    <t xml:space="preserve">Age above 60 (any)</t>
  </si>
  <si>
    <t xml:space="preserve">Late triggers (any)</t>
  </si>
  <si>
    <t xml:space="preserve">Both reasons</t>
  </si>
  <si>
    <t xml:space="preserve">Age only</t>
  </si>
  <si>
    <t xml:space="preserve">Late triggers only</t>
  </si>
  <si>
    <t xml:space="preserve">Total rejected (unique)</t>
  </si>
  <si>
    <t xml:space="preserve">4. QC verdict of analysed subjects</t>
  </si>
  <si>
    <t xml:space="preserve">% of analysed</t>
  </si>
  <si>
    <t xml:space="preserve">PASS</t>
  </si>
  <si>
    <t xml:space="preserve">FLAG</t>
  </si>
  <si>
    <t xml:space="preserve">FAIL</t>
  </si>
  <si>
    <t xml:space="preserve">5. Subject usability label (analysed)</t>
  </si>
  <si>
    <t xml:space="preserve">USABLE</t>
  </si>
  <si>
    <t xml:space="preserve">USABLE_WITH_FLAGS</t>
  </si>
  <si>
    <t xml:space="preserve">USABLE_NEEDS_INTERPOLATION</t>
  </si>
  <si>
    <t xml:space="preserve">PARTIALLY_USABLE</t>
  </si>
  <si>
    <t xml:space="preserve">REJECT</t>
  </si>
  <si>
    <t xml:space="preserve">6. Recording level (analysed subjects)</t>
  </si>
  <si>
    <t xml:space="preserve">Recordings</t>
  </si>
  <si>
    <t xml:space="preserve">% of expected</t>
  </si>
  <si>
    <t xml:space="preserve">Recordings expected</t>
  </si>
  <si>
    <t xml:space="preserve">MISSING</t>
  </si>
  <si>
    <t xml:space="preserve">Usable recordings</t>
  </si>
  <si>
    <t xml:space="preserve">7. Demographics (all subjects)</t>
  </si>
  <si>
    <t xml:space="preserve">Female</t>
  </si>
  <si>
    <t xml:space="preserve">Male</t>
  </si>
  <si>
    <t xml:space="preserve">Right-handed</t>
  </si>
  <si>
    <t xml:space="preserve">Left-handed</t>
  </si>
  <si>
    <t xml:space="preserve">Handedness n/a</t>
  </si>
  <si>
    <t xml:space="preserve">Analysed with 1 session (ses-1)</t>
  </si>
  <si>
    <t xml:space="preserve">Analysed with 2 sessions (ses-1, ses-2)</t>
  </si>
  <si>
    <t xml:space="preserve">8. Age bands</t>
  </si>
  <si>
    <t xml:space="preserve">Analysed</t>
  </si>
  <si>
    <t xml:space="preserve">Rejected</t>
  </si>
  <si>
    <t xml:space="preserve">All</t>
  </si>
  <si>
    <t xml:space="preserve">Rejection rate</t>
  </si>
  <si>
    <t xml:space="preserve">20–29</t>
  </si>
  <si>
    <t xml:space="preserve">30–39</t>
  </si>
  <si>
    <t xml:space="preserve">40–49</t>
  </si>
  <si>
    <t xml:space="preserve">50–60</t>
  </si>
  <si>
    <t xml:space="preserve">61 and above</t>
  </si>
  <si>
    <t xml:space="preserve">Mean age (years)</t>
  </si>
  <si>
    <t xml:space="preserve">9. Most common problems (analysed subjects with the code)</t>
  </si>
  <si>
    <t xml:space="preserve">CRITICAL_CHANNEL_BAD</t>
  </si>
  <si>
    <t xml:space="preserve">TOO_MANY_BAD_CHANNELS</t>
  </si>
  <si>
    <t xml:space="preserve">LINE_NOISE</t>
  </si>
  <si>
    <t xml:space="preserve">LOW_ALPHA_PROMINENCE</t>
  </si>
  <si>
    <t xml:space="preserve">WEAK_ALPHA_BLOCKING</t>
  </si>
  <si>
    <t xml:space="preserve">NO_ALPHA_BLOCKING</t>
  </si>
  <si>
    <t xml:space="preserve">CRITICAL_CHANNELS_BAD</t>
  </si>
  <si>
    <t xml:space="preserve">HIGH_LINE_NOISE</t>
  </si>
  <si>
    <t xml:space="preserve">DURATION_S</t>
  </si>
  <si>
    <t xml:space="preserve">10. Critical channel flagged bad (analysed)</t>
  </si>
  <si>
    <t xml:space="preserve">Fz</t>
  </si>
  <si>
    <t xml:space="preserve">Cz</t>
  </si>
  <si>
    <t xml:space="preserve">Pz</t>
  </si>
  <si>
    <t xml:space="preserve">O1</t>
  </si>
  <si>
    <t xml:space="preserve">O2</t>
  </si>
  <si>
    <t xml:space="preserve">11. Signal metrics (analysed subjects)</t>
  </si>
  <si>
    <t xml:space="preserve">Median</t>
  </si>
  <si>
    <t xml:space="preserve">Mean</t>
  </si>
  <si>
    <t xml:space="preserve">Min</t>
  </si>
  <si>
    <t xml:space="preserve">Max</t>
  </si>
  <si>
    <t xml:space="preserve">Alpha ratio eyes-closed / eyes-open</t>
  </si>
  <si>
    <t xml:space="preserve">Line noise at 50 Hz (dB)</t>
  </si>
  <si>
    <t xml:space="preserve">QC run time per subject (s)</t>
  </si>
  <si>
    <t xml:space="preserve">12. Key takeaways (text updates with the data)</t>
  </si>
  <si>
    <t xml:space="preserve">subject</t>
  </si>
  <si>
    <t xml:space="preserve">status</t>
  </si>
  <si>
    <t xml:space="preserve">qc_verdict</t>
  </si>
  <si>
    <t xml:space="preserve">screening_label</t>
  </si>
  <si>
    <t xml:space="preserve">headline</t>
  </si>
  <si>
    <t xml:space="preserve">rejection_reasons</t>
  </si>
  <si>
    <t xml:space="preserve">sex</t>
  </si>
  <si>
    <t xml:space="preserve">age</t>
  </si>
  <si>
    <t xml:space="preserve">handedness</t>
  </si>
  <si>
    <t xml:space="preserve">sessions_analysed</t>
  </si>
  <si>
    <t xml:space="preserve">recordings_expected</t>
  </si>
  <si>
    <t xml:space="preserve">usable_recordings</t>
  </si>
  <si>
    <t xml:space="preserve">bad_channels (count of recordings)</t>
  </si>
  <si>
    <t xml:space="preserve">critical_bad_channels</t>
  </si>
  <si>
    <t xml:space="preserve">reason_codes</t>
  </si>
  <si>
    <t xml:space="preserve">alpha_ratio_EC_EO_median</t>
  </si>
  <si>
    <t xml:space="preserve">line50_db_median</t>
  </si>
  <si>
    <t xml:space="preserve">duration_s</t>
  </si>
  <si>
    <t xml:space="preserve">started</t>
  </si>
  <si>
    <t xml:space="preserve">finished</t>
  </si>
  <si>
    <t xml:space="preserve">data_deleted_after_qc</t>
  </si>
  <si>
    <t xml:space="preserve">mb_freed</t>
  </si>
  <si>
    <t xml:space="preserve">retry_needed</t>
  </si>
  <si>
    <t xml:space="preserve">qc_logic_version</t>
  </si>
  <si>
    <t xml:space="preserve">folder</t>
  </si>
  <si>
    <t xml:space="preserve">sub-001</t>
  </si>
  <si>
    <t xml:space="preserve">COMPLETED</t>
  </si>
  <si>
    <t xml:space="preserve">overall FAIL; PARTIALLY_USABLE: 5/8 recordings usable; bad channels in 6 recording(s) (FC1, AF3, AF7); alpha blocking OK (median 2.4); notch filter suggested for 4/8 recordings</t>
  </si>
  <si>
    <t xml:space="preserve">F</t>
  </si>
  <si>
    <t xml:space="preserve">60</t>
  </si>
  <si>
    <t xml:space="preserve">right</t>
  </si>
  <si>
    <t xml:space="preserve">ses-1, ses-2</t>
  </si>
  <si>
    <t xml:space="preserve">FC1 x4, F3 x3, Fz x3, F4 x3, AF7 x3, AF3 x3, AF4 x3, AF8 x3, F5 x3, F1 x3, F2 x3, F6 x3, Fp1 x2, Fp2 x2, FC2 x2, Cz x1</t>
  </si>
  <si>
    <t xml:space="preserve">Cz, Fz</t>
  </si>
  <si>
    <t xml:space="preserve">CRITICAL_CHANNEL_BAD; LINE_NOISE; TOO_MANY_BAD_CHANNELS; USABLE_NEEDS_INTERPOLATION; WEAK_ALPHA_BLOCKING</t>
  </si>
  <si>
    <t xml:space="preserve">2026-10-21T14:03:40+00:00</t>
  </si>
  <si>
    <t xml:space="preserve">2026-10-21T14:05:01+00:00</t>
  </si>
  <si>
    <t xml:space="preserve">yes</t>
  </si>
  <si>
    <t xml:space="preserve">screening-2.2</t>
  </si>
  <si>
    <t xml:space="preserve">qc_output/sub-001</t>
  </si>
  <si>
    <t xml:space="preserve">sub-002</t>
  </si>
  <si>
    <t xml:space="preserve">REJECTED</t>
  </si>
  <si>
    <t xml:space="preserve">Rejected: Age above 60 (67)</t>
  </si>
  <si>
    <t xml:space="preserve">Age above 60 (67)</t>
  </si>
  <si>
    <t xml:space="preserve">M</t>
  </si>
  <si>
    <t xml:space="preserve">67</t>
  </si>
  <si>
    <t xml:space="preserve">2026-10-21T14:13:02+00:00</t>
  </si>
  <si>
    <t xml:space="preserve">qc_output/sub-002</t>
  </si>
  <si>
    <t xml:space="preserve">sub-003</t>
  </si>
  <si>
    <t xml:space="preserve">overall FAIL; PARTIALLY_USABLE: 2/4 recordings usable; bad channels in 3 recording(s) (AF3, AF4, F1); alpha blocking OK (median 7.8); notch filter suggested for 4/4 recordings</t>
  </si>
  <si>
    <t xml:space="preserve">44</t>
  </si>
  <si>
    <t xml:space="preserve">ses-1</t>
  </si>
  <si>
    <t xml:space="preserve">Fp1 x2, Fp2 x2, Fz x2, F4 x2, AF3 x2, AF4 x2, F1 x2, F2 x2, F6 x2, FC2 x1, FC6 x1, FC4 x1</t>
  </si>
  <si>
    <t xml:space="preserve">CRITICAL_CHANNEL_BAD; TOO_MANY_BAD_CHANNELS; USABLE_NEEDS_INTERPOLATION</t>
  </si>
  <si>
    <t xml:space="preserve">2026-10-21T14:13:03+00:00</t>
  </si>
  <si>
    <t xml:space="preserve">2026-10-21T14:13:44+00:00</t>
  </si>
  <si>
    <t xml:space="preserve">qc_output/sub-003</t>
  </si>
  <si>
    <t xml:space="preserve">sub-004</t>
  </si>
  <si>
    <t xml:space="preserve">overall FLAG; USABLE_NEEDS_INTERPOLATION: 4/4 recordings usable; bad channels in 2 recording(s) (FC4, FC6); alpha blocking OK (median 13.2); notch filter suggested for 1/4 recordings</t>
  </si>
  <si>
    <t xml:space="preserve">24</t>
  </si>
  <si>
    <t xml:space="preserve">FC6 x2, FC4 x2</t>
  </si>
  <si>
    <t xml:space="preserve">LINE_NOISE; USABLE_NEEDS_INTERPOLATION; WEAK_ALPHA_BLOCKING</t>
  </si>
  <si>
    <t xml:space="preserve">2026-10-21T14:09:31+00:00</t>
  </si>
  <si>
    <t xml:space="preserve">2026-10-21T14:10:15+00:00</t>
  </si>
  <si>
    <t xml:space="preserve">qc_output/sub-004</t>
  </si>
  <si>
    <t xml:space="preserve">sub-005</t>
  </si>
  <si>
    <t xml:space="preserve">Rejected: Late triggers (late_ses1=0, late_ses2=5)</t>
  </si>
  <si>
    <t xml:space="preserve">Late triggers (late_ses1=0, late_ses2=5)</t>
  </si>
  <si>
    <t xml:space="preserve">48</t>
  </si>
  <si>
    <t xml:space="preserve">qc_output/sub-005</t>
  </si>
  <si>
    <t xml:space="preserve">sub-006</t>
  </si>
  <si>
    <t xml:space="preserve">overall FLAG; USABLE_NEEDS_INTERPOLATION: 4/4 recordings usable; bad channels in 4 recording(s) (F1, FC1, Fz); alpha blocking weak (flag only) (median 1.2); notch filter suggested for 4/4 recordings</t>
  </si>
  <si>
    <t xml:space="preserve">57</t>
  </si>
  <si>
    <t xml:space="preserve">Fz x2, F1 x2, FC1 x2, F4 x1, F2 x1, F6 x1, F8 x1, FC5 x1, FC3 x1, F7 x1, AF8 x1</t>
  </si>
  <si>
    <t xml:space="preserve">CRITICAL_CHANNEL_BAD; LINE_NOISE; USABLE_NEEDS_INTERPOLATION; WEAK_ALPHA_BLOCKING</t>
  </si>
  <si>
    <t xml:space="preserve">2026-10-21T14:14:29+00:00</t>
  </si>
  <si>
    <t xml:space="preserve">qc_output/sub-006</t>
  </si>
  <si>
    <t xml:space="preserve">sub-007</t>
  </si>
  <si>
    <t xml:space="preserve">overall FLAG; USABLE_NEEDS_INTERPOLATION: 4/4 recordings usable; bad channels in 1 recording(s) (F2, F6, Fz); alpha blocking OK (median 3.5); notch filter suggested for 3/4 recordings</t>
  </si>
  <si>
    <t xml:space="preserve">Fz x1, F2 x1, F6 x1</t>
  </si>
  <si>
    <t xml:space="preserve">CRITICAL_CHANNEL_BAD; LINE_NOISE; NO_ALPHA_BLOCKING; USABLE_NEEDS_INTERPOLATION</t>
  </si>
  <si>
    <t xml:space="preserve">2026-10-21T14:11:04+00:00</t>
  </si>
  <si>
    <t xml:space="preserve">2026-10-21T14:11:45+00:00</t>
  </si>
  <si>
    <t xml:space="preserve">qc_output/sub-007</t>
  </si>
  <si>
    <t xml:space="preserve">sub-008</t>
  </si>
  <si>
    <t xml:space="preserve">Rejected: Late triggers (late_ses1=1901, late_ses2=n/a)</t>
  </si>
  <si>
    <t xml:space="preserve">Late triggers (late_ses1=1901, late_ses2=n/a)</t>
  </si>
  <si>
    <t xml:space="preserve">39</t>
  </si>
  <si>
    <t xml:space="preserve">left</t>
  </si>
  <si>
    <t xml:space="preserve">2026-10-21T14:14:30+00:00</t>
  </si>
  <si>
    <t xml:space="preserve">qc_output/sub-008</t>
  </si>
  <si>
    <t xml:space="preserve">sub-009</t>
  </si>
  <si>
    <t xml:space="preserve">Rejected: Late triggers (late_ses1=2080, late_ses2=n/a)</t>
  </si>
  <si>
    <t xml:space="preserve">Late triggers (late_ses1=2080, late_ses2=n/a)</t>
  </si>
  <si>
    <t xml:space="preserve">37</t>
  </si>
  <si>
    <t xml:space="preserve">qc_output/sub-009</t>
  </si>
  <si>
    <t xml:space="preserve">sub-010</t>
  </si>
  <si>
    <t xml:space="preserve">overall FLAG; USABLE_NEEDS_INTERPOLATION: 4/4 recordings usable; bad channels in 4 recording(s) (F2, F1, F3); alpha blocking OK (median 3.1); notch filter suggested for 4/4 recordings</t>
  </si>
  <si>
    <t xml:space="preserve">23</t>
  </si>
  <si>
    <t xml:space="preserve">F1 x4, F2 x4, Fz x2, F3 x2, AF3 x1, AF4 x1</t>
  </si>
  <si>
    <t xml:space="preserve">CRITICAL_CHANNEL_BAD; LINE_NOISE; USABLE_NEEDS_INTERPOLATION</t>
  </si>
  <si>
    <t xml:space="preserve">2026-10-21T14:15:12+00:00</t>
  </si>
  <si>
    <t xml:space="preserve">qc_output/sub-010</t>
  </si>
  <si>
    <t xml:space="preserve">sub-011</t>
  </si>
  <si>
    <t xml:space="preserve">overall FAIL; PARTIALLY_USABLE: 3/4 recordings usable; bad channels in 4 recording(s) (F5, Fz, FC2); alpha blocking OK (median 13.7); notch filter suggested for 4/4 recordings</t>
  </si>
  <si>
    <t xml:space="preserve">50</t>
  </si>
  <si>
    <t xml:space="preserve">F5 x3, Fz x2, FC2 x2, Cz x1, F1 x1</t>
  </si>
  <si>
    <t xml:space="preserve">CRITICAL_CHANNELS_BAD; CRITICAL_CHANNEL_BAD; LINE_NOISE; USABLE_NEEDS_INTERPOLATION</t>
  </si>
  <si>
    <t xml:space="preserve">2026-10-21T14:15:54+00:00</t>
  </si>
  <si>
    <t xml:space="preserve">qc_output/sub-011</t>
  </si>
  <si>
    <t xml:space="preserve">sub-012</t>
  </si>
  <si>
    <t xml:space="preserve">overall FLAG; USABLE_NEEDS_INTERPOLATION: 4/4 recordings usable; bad channels in 4 recording(s) (F1, Fz, F2); alpha blocking OK (median 4.0); notch filter suggested for 4/4 recordings</t>
  </si>
  <si>
    <t xml:space="preserve">33</t>
  </si>
  <si>
    <t xml:space="preserve">Fz x4, F1 x4, F2 x2</t>
  </si>
  <si>
    <t xml:space="preserve">CRITICAL_CHANNEL_BAD; LOW_ALPHA_PROMINENCE; NO_ALPHA_BLOCKING; USABLE_NEEDS_INTERPOLATION</t>
  </si>
  <si>
    <t xml:space="preserve">2026-10-21T14:16:36+00:00</t>
  </si>
  <si>
    <t xml:space="preserve">qc_output/sub-012</t>
  </si>
  <si>
    <t xml:space="preserve">sub-013</t>
  </si>
  <si>
    <t xml:space="preserve">Rejected: Late triggers (late_ses1=1364, late_ses2=n/a)</t>
  </si>
  <si>
    <t xml:space="preserve">Late triggers (late_ses1=1364, late_ses2=n/a)</t>
  </si>
  <si>
    <t xml:space="preserve">49</t>
  </si>
  <si>
    <t xml:space="preserve">qc_output/sub-013</t>
  </si>
  <si>
    <t xml:space="preserve">sub-014</t>
  </si>
  <si>
    <t xml:space="preserve">Rejected: Age above 60 (64)</t>
  </si>
  <si>
    <t xml:space="preserve">Age above 60 (64)</t>
  </si>
  <si>
    <t xml:space="preserve">64</t>
  </si>
  <si>
    <t xml:space="preserve">qc_output/sub-014</t>
  </si>
  <si>
    <t xml:space="preserve">sub-015</t>
  </si>
  <si>
    <t xml:space="preserve">Rejected: Age above 60 (61)</t>
  </si>
  <si>
    <t xml:space="preserve">Age above 60 (61)</t>
  </si>
  <si>
    <t xml:space="preserve">61</t>
  </si>
  <si>
    <t xml:space="preserve">qc_output/sub-015</t>
  </si>
  <si>
    <t xml:space="preserve">sub-016</t>
  </si>
  <si>
    <t xml:space="preserve">overall FLAG; USABLE_WITH_FLAGS: 4/4 recordings usable; no bad channels; alpha blocking OK (median 6.6)</t>
  </si>
  <si>
    <t xml:space="preserve">32</t>
  </si>
  <si>
    <t xml:space="preserve">2026-10-21T14:16:37+00:00</t>
  </si>
  <si>
    <t xml:space="preserve">2026-10-21T14:17:20+00:00</t>
  </si>
  <si>
    <t xml:space="preserve">qc_output/sub-016</t>
  </si>
  <si>
    <t xml:space="preserve">sub-017</t>
  </si>
  <si>
    <t xml:space="preserve">overall FAIL; PARTIALLY_USABLE: 2/4 recordings usable; bad channels in 4 recording(s) (AF3, AF4, F1); alpha blocking OK (median 5.2); notch filter suggested for 4/4 recordings</t>
  </si>
  <si>
    <t xml:space="preserve">Fp1 x2, Fp2 x2, Fz x2, AF3 x2, AF4 x2, F1 x2, F2 x2, F8 x2, F3 x1, AF7 x1, AF8 x1, F4 x1, F7 x1</t>
  </si>
  <si>
    <t xml:space="preserve">CRITICAL_CHANNEL_BAD; LINE_NOISE; LOW_ALPHA_PROMINENCE; TOO_MANY_BAD_CHANNELS; USABLE_NEEDS_INTERPOLATION</t>
  </si>
  <si>
    <t xml:space="preserve">2026-10-21T14:18:00+00:00</t>
  </si>
  <si>
    <t xml:space="preserve">qc_output/sub-017</t>
  </si>
  <si>
    <t xml:space="preserve">sub-018</t>
  </si>
  <si>
    <t xml:space="preserve">overall FAIL; PARTIALLY_USABLE: 2/4 recordings usable; bad channels in 2 recording(s) (AF3, AF4, AF7); alpha blocking weak (flag only) (median 1.3); notch filter suggested for 4/4 recordings</t>
  </si>
  <si>
    <t xml:space="preserve">20</t>
  </si>
  <si>
    <t xml:space="preserve">Fp1 x2, Fp2 x2, F3 x2, F4 x2, AF7 x2, AF3 x2, AF4 x2, AF8 x2, F1 x2, F2 x2, Fz x1, F5 x1</t>
  </si>
  <si>
    <t xml:space="preserve">CRITICAL_CHANNEL_BAD; LOW_ALPHA_PROMINENCE; TOO_MANY_BAD_CHANNELS; WEAK_ALPHA_BLOCKING</t>
  </si>
  <si>
    <t xml:space="preserve">2026-10-21T14:18:01+00:00</t>
  </si>
  <si>
    <t xml:space="preserve">2026-10-21T14:18:42+00:00</t>
  </si>
  <si>
    <t xml:space="preserve">qc_output/sub-018</t>
  </si>
  <si>
    <t xml:space="preserve">sub-019</t>
  </si>
  <si>
    <t xml:space="preserve">overall FAIL; PARTIALLY_USABLE: 3/4 recordings usable; bad channels in 4 recording(s) (C6, FC4, FC6); alpha blocking weak (flag only) (median 0.8)</t>
  </si>
  <si>
    <t xml:space="preserve">42</t>
  </si>
  <si>
    <t xml:space="preserve">FC6 x3, FC4 x3, C6 x3, Fz x2, F4 x2, FC2 x2, T8 x2, F2 x2, C4 x1, FT8 x1, AF4 x1, F1 x1</t>
  </si>
  <si>
    <t xml:space="preserve">CRITICAL_CHANNEL_BAD; LOW_ALPHA_PROMINENCE; NO_ALPHA_BLOCKING; TOO_MANY_BAD_CHANNELS; USABLE_NEEDS_INTERPOLATION</t>
  </si>
  <si>
    <t xml:space="preserve">2026-10-21T14:19:24+00:00</t>
  </si>
  <si>
    <t xml:space="preserve">qc_output/sub-019</t>
  </si>
  <si>
    <t xml:space="preserve">sub-020</t>
  </si>
  <si>
    <t xml:space="preserve">Rejected: Age above 60 (68)</t>
  </si>
  <si>
    <t xml:space="preserve">Age above 60 (68)</t>
  </si>
  <si>
    <t xml:space="preserve">68</t>
  </si>
  <si>
    <t xml:space="preserve">2026-10-21T14:19:25+00:00</t>
  </si>
  <si>
    <t xml:space="preserve">qc_output/sub-020</t>
  </si>
  <si>
    <t xml:space="preserve">sub-021</t>
  </si>
  <si>
    <t xml:space="preserve">overall FLAG; USABLE_NEEDS_INTERPOLATION: 4/4 recordings usable; bad channels in 3 recording(s) (F8, F4, F6); alpha blocking weak (flag only) (median 1.4); notch filter suggested for 3/4 recordings</t>
  </si>
  <si>
    <t xml:space="preserve">F8 x2, P4 x1, F7 x1, FC1 x1, FC2 x1, F4 x1, F5 x1, F6 x1</t>
  </si>
  <si>
    <t xml:space="preserve">2026-10-21T14:20:07+00:00</t>
  </si>
  <si>
    <t xml:space="preserve">qc_output/sub-021</t>
  </si>
  <si>
    <t xml:space="preserve">sub-022</t>
  </si>
  <si>
    <t xml:space="preserve">overall FAIL; PARTIALLY_USABLE: 2/4 recordings usable; bad channels in 4 recording(s) (F1, F2, AF3); alpha blocking OK (median 2.9); notch filter suggested for 2/4 recordings</t>
  </si>
  <si>
    <t xml:space="preserve">F1 x4, F2 x4, F4 x3, AF3 x3, AF4 x3, Fz x2, F3 x2, FC1 x2, Fp1 x1, Fp2 x1, FC2 x1</t>
  </si>
  <si>
    <t xml:space="preserve">2026-10-21T14:20:08+00:00</t>
  </si>
  <si>
    <t xml:space="preserve">2026-10-21T14:20:49+00:00</t>
  </si>
  <si>
    <t xml:space="preserve">qc_output/sub-022</t>
  </si>
  <si>
    <t xml:space="preserve">sub-023</t>
  </si>
  <si>
    <t xml:space="preserve">overall FAIL; PARTIALLY_USABLE: 3/4 recordings usable; bad channels in 4 recording(s) (F2, FC2, Fz); alpha blocking OK (median 3.7); notch filter suggested for 4/4 recordings</t>
  </si>
  <si>
    <t xml:space="preserve">31</t>
  </si>
  <si>
    <t xml:space="preserve">Fz x2, F2 x2, FC2 x2, F8 x1, FC1 x1, FC3 x1, F7 x1, F3 x1, F4 x1, AF7 x1, AF8 x1, F5 x1, F6 x1</t>
  </si>
  <si>
    <t xml:space="preserve">CRITICAL_CHANNEL_BAD; HIGH_LINE_NOISE; TOO_MANY_BAD_CHANNELS; USABLE_NEEDS_INTERPOLATION</t>
  </si>
  <si>
    <t xml:space="preserve">2026-10-21T14:20:50+00:00</t>
  </si>
  <si>
    <t xml:space="preserve">2026-10-21T14:21:31+00:00</t>
  </si>
  <si>
    <t xml:space="preserve">qc_output/sub-023</t>
  </si>
  <si>
    <t xml:space="preserve">sub-024</t>
  </si>
  <si>
    <t xml:space="preserve">overall FAIL; PARTIALLY_USABLE: 2/4 recordings usable; bad channels in 4 recording(s) (FC2, AF3, AF4); alpha blocking OK (median 4.0); notch filter suggested for 4/4 recordings</t>
  </si>
  <si>
    <t xml:space="preserve">47</t>
  </si>
  <si>
    <t xml:space="preserve">FC2 x4, Fp1 x2, Fp2 x2, F3 x2, Fz x2, F4 x2, AF7 x2, AF3 x2, AF4 x2, AF8 x2, F1 x2, F2 x2, FC1 x2, F8 x1, F6 x1, FC3 x1, FC4 x1</t>
  </si>
  <si>
    <t xml:space="preserve">2026-10-21T14:22:11+00:00</t>
  </si>
  <si>
    <t xml:space="preserve">qc_output/sub-024</t>
  </si>
  <si>
    <t xml:space="preserve">sub-025</t>
  </si>
  <si>
    <t xml:space="preserve">overall FLAG; USABLE_WITH_FLAGS: 4/4 recordings usable; no bad channels; alpha blocking OK (median 4.2); notch filter suggested for 4/4 recordings</t>
  </si>
  <si>
    <t xml:space="preserve">26</t>
  </si>
  <si>
    <t xml:space="preserve">2026-10-21T14:22:12+00:00</t>
  </si>
  <si>
    <t xml:space="preserve">2026-10-21T14:22:55+00:00</t>
  </si>
  <si>
    <t xml:space="preserve">qc_output/sub-025</t>
  </si>
  <si>
    <t xml:space="preserve">sub-026</t>
  </si>
  <si>
    <t xml:space="preserve">overall FLAG; USABLE_NEEDS_INTERPOLATION: 4/4 recordings usable; bad channels in 2 recording(s) (F1, FC2, Fp1); alpha blocking OK (median 8.3); notch filter suggested for 2/4 recordings</t>
  </si>
  <si>
    <t xml:space="preserve">59</t>
  </si>
  <si>
    <t xml:space="preserve">Fp1 x1, Fz x1, F1 x1, FC2 x1</t>
  </si>
  <si>
    <t xml:space="preserve">CRITICAL_CHANNEL_BAD; USABLE_NEEDS_INTERPOLATION</t>
  </si>
  <si>
    <t xml:space="preserve">2026-10-21T14:23:37+00:00</t>
  </si>
  <si>
    <t xml:space="preserve">qc_output/sub-026</t>
  </si>
  <si>
    <t xml:space="preserve">sub-027</t>
  </si>
  <si>
    <t xml:space="preserve">Rejected: Late triggers (late_ses1=15, late_ses2=n/a)</t>
  </si>
  <si>
    <t xml:space="preserve">Late triggers (late_ses1=15, late_ses2=n/a)</t>
  </si>
  <si>
    <t xml:space="preserve">51</t>
  </si>
  <si>
    <t xml:space="preserve">qc_output/sub-027</t>
  </si>
  <si>
    <t xml:space="preserve">sub-028</t>
  </si>
  <si>
    <t xml:space="preserve">overall FLAG; USABLE_NEEDS_INTERPOLATION: 8/8 recordings usable; bad channels in 6 recording(s) (F5, F6, F4); alpha blocking OK (median 4.5); notch filter suggested for 4/8 recordings</t>
  </si>
  <si>
    <t xml:space="preserve">F5 x4, F6 x4, F7 x2, F3 x2, F4 x2, Fz x2, AF8 x1, FC2 x1</t>
  </si>
  <si>
    <t xml:space="preserve">CRITICAL_CHANNEL_BAD; LINE_NOISE; LOW_ALPHA_PROMINENCE; NO_ALPHA_BLOCKING; USABLE_NEEDS_INTERPOLATION</t>
  </si>
  <si>
    <t xml:space="preserve">2026-10-21T14:25:00+00:00</t>
  </si>
  <si>
    <t xml:space="preserve">qc_output/sub-028</t>
  </si>
  <si>
    <t xml:space="preserve">sub-029</t>
  </si>
  <si>
    <t xml:space="preserve">overall FAIL; PARTIALLY_USABLE: 3/4 recordings usable; bad channels in 4 recording(s) (AF3, AF4, F1); alpha blocking weak (flag only) (median 1.2); notch filter suggested for 4/4 recordings</t>
  </si>
  <si>
    <t xml:space="preserve">36</t>
  </si>
  <si>
    <t xml:space="preserve">Fp1 x2, Fz x2, AF3 x2, AF4 x2, F1 x2, F2 x2, F6 x2, Fp2 x1, F3 x1, F4 x1, AF7 x1, AF8 x1, F5 x1, FC1 x1, FC3 x1</t>
  </si>
  <si>
    <t xml:space="preserve">CRITICAL_CHANNEL_BAD; LINE_NOISE; NO_ALPHA_BLOCKING; TOO_MANY_BAD_CHANNELS; USABLE_NEEDS_INTERPOLATION</t>
  </si>
  <si>
    <t xml:space="preserve">2026-10-21T14:25:01+00:00</t>
  </si>
  <si>
    <t xml:space="preserve">2026-10-21T14:25:43+00:00</t>
  </si>
  <si>
    <t xml:space="preserve">qc_output/sub-029</t>
  </si>
  <si>
    <t xml:space="preserve">sub-030</t>
  </si>
  <si>
    <t xml:space="preserve">Rejected: Age above 60 (62)</t>
  </si>
  <si>
    <t xml:space="preserve">Age above 60 (62)</t>
  </si>
  <si>
    <t xml:space="preserve">62</t>
  </si>
  <si>
    <t xml:space="preserve">qc_output/sub-030</t>
  </si>
  <si>
    <t xml:space="preserve">sub-031</t>
  </si>
  <si>
    <t xml:space="preserve">overall FAIL; PARTIALLY_USABLE: 2/4 recordings usable; bad channels in 4 recording(s) (F2, Fz, F1); alpha blocking OK (median 6.5); notch filter suggested for 3/4 recordings</t>
  </si>
  <si>
    <t xml:space="preserve">Fz x3, F2 x3, F1 x3, F4 x2, AF7 x2, AF3 x2, AF4 x2, AF8 x2, Fp1 x1, Fp2 x1, F3 x1, F5 x1</t>
  </si>
  <si>
    <t xml:space="preserve">CRITICAL_CHANNEL_BAD; LINE_NOISE; TOO_MANY_BAD_CHANNELS; USABLE_NEEDS_INTERPOLATION</t>
  </si>
  <si>
    <t xml:space="preserve">2026-10-21T14:25:44+00:00</t>
  </si>
  <si>
    <t xml:space="preserve">2026-10-21T14:26:25+00:00</t>
  </si>
  <si>
    <t xml:space="preserve">qc_output/sub-031</t>
  </si>
  <si>
    <t xml:space="preserve">sub-032</t>
  </si>
  <si>
    <t xml:space="preserve">overall FAIL; PARTIALLY_USABLE: 2/4 recordings usable; bad channels in 4 recording(s) (F2, Fz, F1); alpha blocking OK (median 3.2); notch filter suggested for 2/4 recordings</t>
  </si>
  <si>
    <t xml:space="preserve">F2 x4, Fz x3, F1 x3, F3 x2, F4 x2, AF7 x2, AF3 x2, AF8 x2, Fp1 x1, Fp2 x1, AF4 x1, F5 x1, F6 x1</t>
  </si>
  <si>
    <t xml:space="preserve">2026-10-21T14:26:26+00:00</t>
  </si>
  <si>
    <t xml:space="preserve">2026-10-21T14:27:07+00:00</t>
  </si>
  <si>
    <t xml:space="preserve">qc_output/sub-032</t>
  </si>
  <si>
    <t xml:space="preserve">sub-033</t>
  </si>
  <si>
    <t xml:space="preserve">overall FLAG; USABLE_NEEDS_INTERPOLATION: 8/8 recordings usable; bad channels in 6 recording(s) (Fz, F5, F4); alpha blocking OK (median 7.5); notch filter suggested for 6/8 recordings</t>
  </si>
  <si>
    <t xml:space="preserve">Fz x4, F5 x2, F4 x1, F2 x1, F7 x1, F8 x1</t>
  </si>
  <si>
    <t xml:space="preserve">2026-10-21T14:27:08+00:00</t>
  </si>
  <si>
    <t xml:space="preserve">2026-10-21T14:28:23+00:00</t>
  </si>
  <si>
    <t xml:space="preserve">qc_output/sub-033</t>
  </si>
  <si>
    <t xml:space="preserve">sub-034</t>
  </si>
  <si>
    <t xml:space="preserve">overall FAIL; PARTIALLY_USABLE: 3/4 recordings usable; bad channels in 3 recording(s) (Fz, F2, AF4); alpha blocking OK (median 3.3); notch filter suggested for 4/4 recordings</t>
  </si>
  <si>
    <t xml:space="preserve">41</t>
  </si>
  <si>
    <t xml:space="preserve">Fz x2, F2 x2, Fp1 x1, Fp2 x1, AF7 x1, AF3 x1, AF4 x1, AF8 x1, F1 x1, F6 x1</t>
  </si>
  <si>
    <t xml:space="preserve">2026-10-21T14:28:24+00:00</t>
  </si>
  <si>
    <t xml:space="preserve">2026-10-21T14:29:05+00:00</t>
  </si>
  <si>
    <t xml:space="preserve">qc_output/sub-034</t>
  </si>
  <si>
    <t xml:space="preserve">sub-035</t>
  </si>
  <si>
    <t xml:space="preserve">overall FLAG; USABLE_NEEDS_INTERPOLATION: 4/4 recordings usable; bad channels in 3 recording(s) (F8, FC1, FC3); alpha blocking OK (median 3.7); notch filter suggested for 2/4 recordings</t>
  </si>
  <si>
    <t xml:space="preserve">FC1 x2, F8 x2, FC5 x2, FC3 x2, Fz x1, F1 x1, FC2 x1</t>
  </si>
  <si>
    <t xml:space="preserve">2026-10-21T14:29:46+00:00</t>
  </si>
  <si>
    <t xml:space="preserve">qc_output/sub-035</t>
  </si>
  <si>
    <t xml:space="preserve">sub-036</t>
  </si>
  <si>
    <t xml:space="preserve">overall FAIL; PARTIALLY_USABLE: 3/4 recordings usable; bad channels in 4 recording(s) (F2, F1, Fz); alpha blocking OK (median 4.5); notch filter suggested for 1/4 recordings</t>
  </si>
  <si>
    <t xml:space="preserve">53</t>
  </si>
  <si>
    <t xml:space="preserve">F1 x4, F2 x4, Fz x3, F4 x2, FC2 x1, Fp1 x1, Fp2 x1, F7 x1, F3 x1, F8 x1, AF7 x1, AF3 x1, AF4 x1, AF8 x1, F5 x1, F6 x1</t>
  </si>
  <si>
    <t xml:space="preserve">CRITICAL_CHANNEL_BAD; LOW_ALPHA_PROMINENCE; TOO_MANY_BAD_CHANNELS; USABLE_NEEDS_INTERPOLATION</t>
  </si>
  <si>
    <t xml:space="preserve">2026-10-21T14:29:47+00:00</t>
  </si>
  <si>
    <t xml:space="preserve">2026-10-21T14:30:28+00:00</t>
  </si>
  <si>
    <t xml:space="preserve">qc_output/sub-036</t>
  </si>
  <si>
    <t xml:space="preserve">sub-037</t>
  </si>
  <si>
    <t xml:space="preserve">Rejected: Late triggers (late_ses1=445, late_ses2=n/a)</t>
  </si>
  <si>
    <t xml:space="preserve">Late triggers (late_ses1=445, late_ses2=n/a)</t>
  </si>
  <si>
    <t xml:space="preserve">30</t>
  </si>
  <si>
    <t xml:space="preserve">qc_output/sub-037</t>
  </si>
  <si>
    <t xml:space="preserve">sub-038</t>
  </si>
  <si>
    <t xml:space="preserve">overall FLAG; USABLE_NEEDS_INTERPOLATION: 8/8 recordings usable; bad channels in 4 recording(s) (FC2, F7, FC4); alpha blocking weak (flag only) (median 1.4); notch filter suggested for 3/8 recordings</t>
  </si>
  <si>
    <t xml:space="preserve">FC2 x3, F7 x2, FC4 x2, FC1 x1, F8 x1, Fz x1</t>
  </si>
  <si>
    <t xml:space="preserve">CRITICAL_CHANNEL_BAD; LOW_ALPHA_PROMINENCE; USABLE_NEEDS_INTERPOLATION; WEAK_ALPHA_BLOCKING</t>
  </si>
  <si>
    <t xml:space="preserve">2026-10-21T14:31:42+00:00</t>
  </si>
  <si>
    <t xml:space="preserve">qc_output/sub-038</t>
  </si>
  <si>
    <t xml:space="preserve">sub-039</t>
  </si>
  <si>
    <t xml:space="preserve">overall FAIL; PARTIALLY_USABLE: 2/4 recordings usable; bad channels in 4 recording(s) (AF3, Fz, FC3); alpha blocking weak (flag only) (median 0.6); notch filter suggested for 4/4 recordings</t>
  </si>
  <si>
    <t xml:space="preserve">55</t>
  </si>
  <si>
    <t xml:space="preserve">Fz x3, AF3 x3, FC3 x3, Fp2 x2, F3 x2, AF7 x2, AF4 x2, AF8 x2, F5 x2, F1 x2, F2 x2, FC1 x2, Cz x1, Fp1 x1, F4 x1, FC5 x1, FT7 x1</t>
  </si>
  <si>
    <t xml:space="preserve">CRITICAL_CHANNELS_BAD; CRITICAL_CHANNEL_BAD; NO_ALPHA_BLOCKING; TOO_MANY_BAD_CHANNELS; USABLE_NEEDS_INTERPOLATION; WEAK_ALPHA_BLOCKING</t>
  </si>
  <si>
    <t xml:space="preserve">2026-10-21T14:32:23+00:00</t>
  </si>
  <si>
    <t xml:space="preserve">qc_output/sub-039</t>
  </si>
  <si>
    <t xml:space="preserve">sub-040</t>
  </si>
  <si>
    <t xml:space="preserve">overall FLAG; USABLE_NEEDS_INTERPOLATION: 4/4 recordings usable; bad channels in 3 recording(s) (F2, Fz, AF4); alpha blocking OK (median 26.7); notch filter suggested for 3/4 recordings</t>
  </si>
  <si>
    <t xml:space="preserve">Fz x2, F2 x2, Fp1 x1, Fp2 x1, AF4 x1, F1 x1, FC1 x1</t>
  </si>
  <si>
    <t xml:space="preserve">2026-10-21T14:32:24+00:00</t>
  </si>
  <si>
    <t xml:space="preserve">2026-10-21T14:33:06+00:00</t>
  </si>
  <si>
    <t xml:space="preserve">qc_output/sub-040</t>
  </si>
  <si>
    <t xml:space="preserve">sub-041</t>
  </si>
  <si>
    <t xml:space="preserve">overall FLAG; USABLE_NEEDS_INTERPOLATION: 8/8 recordings usable; bad channels in 1 recording(s) (Fz); alpha blocking OK (median 2.0); notch filter suggested for 7/8 recordings</t>
  </si>
  <si>
    <t xml:space="preserve">Fz x1</t>
  </si>
  <si>
    <t xml:space="preserve">CRITICAL_CHANNEL_BAD; LINE_NOISE; NO_ALPHA_BLOCKING; USABLE_NEEDS_INTERPOLATION; WEAK_ALPHA_BLOCKING</t>
  </si>
  <si>
    <t xml:space="preserve">2026-10-21T14:33:07+00:00</t>
  </si>
  <si>
    <t xml:space="preserve">2026-10-21T14:34:22+00:00</t>
  </si>
  <si>
    <t xml:space="preserve">qc_output/sub-041</t>
  </si>
  <si>
    <t xml:space="preserve">sub-042</t>
  </si>
  <si>
    <t xml:space="preserve">overall FAIL; PARTIALLY_USABLE: 3/4 recordings usable; bad channels in 3 recording(s) (Fp1, FC1, AF4); alpha blocking OK (median 1.5); notch filter suggested for 2/4 recordings</t>
  </si>
  <si>
    <t xml:space="preserve">22</t>
  </si>
  <si>
    <t xml:space="preserve">FC1 x2, Fp1 x2, Fp2 x1, Fz x1, AF7 x1, AF4 x1, F1 x1, F2 x1</t>
  </si>
  <si>
    <t xml:space="preserve">CRITICAL_CHANNEL_BAD; HIGH_LINE_NOISE; TOO_MANY_BAD_CHANNELS; USABLE_NEEDS_INTERPOLATION; WEAK_ALPHA_BLOCKING</t>
  </si>
  <si>
    <t xml:space="preserve">2026-10-21T14:34:23+00:00</t>
  </si>
  <si>
    <t xml:space="preserve">2026-10-21T14:35:15+00:00</t>
  </si>
  <si>
    <t xml:space="preserve">qc_output/sub-042</t>
  </si>
  <si>
    <t xml:space="preserve">sub-043</t>
  </si>
  <si>
    <t xml:space="preserve">overall FAIL; PARTIALLY_USABLE: 3/4 recordings usable; bad channels in 4 recording(s) (FC1, AF4, Fz); alpha blocking OK (median 8.1); notch filter suggested for 4/4 recordings</t>
  </si>
  <si>
    <t xml:space="preserve">40</t>
  </si>
  <si>
    <t xml:space="preserve">FC1 x4, Fz x2, AF4 x2, F1 x2, F2 x2, FC3 x2, F3 x1, AF3 x1, F6 x1, FC5 x1</t>
  </si>
  <si>
    <t xml:space="preserve">2026-10-21T14:35:16+00:00</t>
  </si>
  <si>
    <t xml:space="preserve">2026-10-21T14:36:00+00:00</t>
  </si>
  <si>
    <t xml:space="preserve">qc_output/sub-043</t>
  </si>
  <si>
    <t xml:space="preserve">sub-044</t>
  </si>
  <si>
    <t xml:space="preserve">overall FAIL; PARTIALLY_USABLE: 1/8 recordings usable; bad channels in 8 recording(s) (AF4, F4, Fz); alpha blocking OK (median 2.4); notch filter suggested for 4/8 recordings</t>
  </si>
  <si>
    <t xml:space="preserve">27</t>
  </si>
  <si>
    <t xml:space="preserve">Fz x8, F4 x8, AF4 x8, F2 x8, AF3 x7, F1 x7, F3 x6, F5 x6, F6 x4, Fp2 x3, Fp1 x3, AF7 x3, AF8 x2</t>
  </si>
  <si>
    <t xml:space="preserve">2026-10-21T14:36:01+00:00</t>
  </si>
  <si>
    <t xml:space="preserve">2026-10-21T14:37:17+00:00</t>
  </si>
  <si>
    <t xml:space="preserve">qc_output/sub-044</t>
  </si>
  <si>
    <t xml:space="preserve">sub-045</t>
  </si>
  <si>
    <t xml:space="preserve">overall FAIL; REJECT: 0/4 recordings usable; bad channels in 4 recording(s) (C6, C2, Cz); alpha blocking OK (median 10.1); notch filter suggested for 2/4 recordings</t>
  </si>
  <si>
    <t xml:space="preserve">F3 x4, Fz x4, FC2 x4, Cz x4, FC4 x4, C2 x4, C6 x4, F8 x3, FC6 x3, T8 x3, F1 x3, Fp2 x2, F4 x2, AF3 x2, AF4 x2, AF8 x2, F6 x2, FT8 x2, FC1 x2, F5 x2, Fp1 x1, F2 x1</t>
  </si>
  <si>
    <t xml:space="preserve">CRITICAL_CHANNELS_BAD; TOO_MANY_BAD_CHANNELS</t>
  </si>
  <si>
    <t xml:space="preserve">2026-10-21T14:37:18+00:00</t>
  </si>
  <si>
    <t xml:space="preserve">2026-10-21T14:37:59+00:00</t>
  </si>
  <si>
    <t xml:space="preserve">qc_output/sub-045</t>
  </si>
  <si>
    <t xml:space="preserve">sub-046</t>
  </si>
  <si>
    <t xml:space="preserve">overall FAIL; PARTIALLY_USABLE: 4/8 recordings usable; bad channels in 7 recording(s) (AF7, F1, Fz); alpha blocking weak (flag only) (median 1.0); notch filter suggested for 8/8 recordings</t>
  </si>
  <si>
    <t xml:space="preserve">Fz x4, F3 x4, F4 x4, AF7 x4, F1 x4, F6 x4, F8 x3, F5 x3, F2 x3, AF3 x2</t>
  </si>
  <si>
    <t xml:space="preserve">CRITICAL_CHANNEL_BAD; LINE_NOISE; NO_ALPHA_BLOCKING; TOO_MANY_BAD_CHANNELS; USABLE_NEEDS_INTERPOLATION; WEAK_ALPHA_BLOCKING</t>
  </si>
  <si>
    <t xml:space="preserve">2026-10-21T14:38:00+00:00</t>
  </si>
  <si>
    <t xml:space="preserve">2026-10-21T14:39:20+00:00</t>
  </si>
  <si>
    <t xml:space="preserve">qc_output/sub-046</t>
  </si>
  <si>
    <t xml:space="preserve">sub-047</t>
  </si>
  <si>
    <t xml:space="preserve">qc_output/sub-047</t>
  </si>
  <si>
    <t xml:space="preserve">sub-048</t>
  </si>
  <si>
    <t xml:space="preserve">overall FAIL; PARTIALLY_USABLE: 7/8 recordings usable; bad channels in 7 recording(s) (Fz, AF8, F4); alpha blocking OK (median 4.3); notch filter suggested for 2/8 recordings</t>
  </si>
  <si>
    <t xml:space="preserve">Fz x5, F4 x2, AF8 x2, F6 x2, F7 x2, Fp2 x1, F3 x1, AF7 x1, AF3 x1, AF4 x1, F1 x1, F2 x1</t>
  </si>
  <si>
    <t xml:space="preserve">CRITICAL_CHANNEL_BAD; NO_ALPHA_BLOCKING; TOO_MANY_BAD_CHANNELS; USABLE_NEEDS_INTERPOLATION; WEAK_ALPHA_BLOCKING</t>
  </si>
  <si>
    <t xml:space="preserve">2026-10-21T14:39:21+00:00</t>
  </si>
  <si>
    <t xml:space="preserve">2026-10-21T14:40:37+00:00</t>
  </si>
  <si>
    <t xml:space="preserve">qc_output/sub-048</t>
  </si>
  <si>
    <t xml:space="preserve">sub-049</t>
  </si>
  <si>
    <t xml:space="preserve">Rejected: Age above 60 (67); Late triggers (late_ses1=34, late_ses2=0)</t>
  </si>
  <si>
    <t xml:space="preserve">Age above 60 (67); Late triggers (late_ses1=34, late_ses2=0)</t>
  </si>
  <si>
    <t xml:space="preserve">2026-10-21T14:40:38+00:00</t>
  </si>
  <si>
    <t xml:space="preserve">qc_output/sub-049</t>
  </si>
  <si>
    <t xml:space="preserve">sub-050</t>
  </si>
  <si>
    <t xml:space="preserve">overall FAIL; PARTIALLY_USABLE: 4/8 recordings usable; bad channels in 8 recording(s) (F1, FC1, F2); alpha blocking weak (flag only) (median 0.9); notch filter suggested for 6/8 recordings</t>
  </si>
  <si>
    <t xml:space="preserve">FC1 x7, F1 x7, Fz x6, F2 x6, FC2 x5, FC3 x4, AF4 x4, FC4 x4, Fp1 x3, Fp2 x3, F3 x3, F4 x3, AF7 x3, AF3 x3, AF8 x3, FC6 x2, F6 x2, FC5 x1, F5 x1</t>
  </si>
  <si>
    <t xml:space="preserve">CRITICAL_CHANNEL_BAD; LINE_NOISE; LOW_ALPHA_PROMINENCE; NO_ALPHA_BLOCKING; TOO_MANY_BAD_CHANNELS; USABLE_NEEDS_INTERPOLATION; WEAK_ALPHA_BLOCKING</t>
  </si>
  <si>
    <t xml:space="preserve">2026-10-21T14:40:39+00:00</t>
  </si>
  <si>
    <t xml:space="preserve">2026-10-21T14:41:57+00:00</t>
  </si>
  <si>
    <t xml:space="preserve">qc_output/sub-050</t>
  </si>
  <si>
    <t xml:space="preserve">sub-051</t>
  </si>
  <si>
    <t xml:space="preserve">overall FAIL; PARTIALLY_USABLE: 6/8 recordings usable; bad channels in 7 recording(s) (Fz, FC2, F2); alpha blocking OK (median 5.7); notch filter suggested for 7/8 recordings</t>
  </si>
  <si>
    <t xml:space="preserve">58</t>
  </si>
  <si>
    <t xml:space="preserve">Fz x5, F2 x4, FC2 x4, AF7 x3, F1 x3, F6 x3, Fp1 x2, Fp2 x2, AF3 x2, AF4 x2, AF8 x2, F3 x2, F8 x2, F4 x1, F5 x1</t>
  </si>
  <si>
    <t xml:space="preserve">2026-10-21T14:43:11+00:00</t>
  </si>
  <si>
    <t xml:space="preserve">2026-10-21T14:44:24+00:00</t>
  </si>
  <si>
    <t xml:space="preserve">qc_output/sub-051</t>
  </si>
  <si>
    <t xml:space="preserve">sub-052</t>
  </si>
  <si>
    <t xml:space="preserve">Rejected: Late triggers (late_ses1=1, late_ses2=0)</t>
  </si>
  <si>
    <t xml:space="preserve">Late triggers (late_ses1=1, late_ses2=0)</t>
  </si>
  <si>
    <t xml:space="preserve">2026-10-21T15:18:45+00:00</t>
  </si>
  <si>
    <t xml:space="preserve">qc_output/sub-052</t>
  </si>
  <si>
    <t xml:space="preserve">sub-053</t>
  </si>
  <si>
    <t xml:space="preserve">overall FAIL; PARTIALLY_USABLE: 4/8 recordings usable; bad channels in 8 recording(s) (FC1, F2, Fz); alpha blocking OK (median 6.1)</t>
  </si>
  <si>
    <t xml:space="preserve">Fz x4, F2 x4, FC1 x4, FC3 x4, FC2 x4, F1 x3, FC5 x3, C5 x3, FC4 x3, F4 x1, AF4 x1, F3 x1, C3 x1, F8 x1, F6 x1, FC6 x1, T7 x1, T8 x1</t>
  </si>
  <si>
    <t xml:space="preserve">2026-10-21T14:44:27+00:00</t>
  </si>
  <si>
    <t xml:space="preserve">2026-10-21T14:45:49+00:00</t>
  </si>
  <si>
    <t xml:space="preserve">qc_output/sub-053</t>
  </si>
  <si>
    <t xml:space="preserve">sub-054</t>
  </si>
  <si>
    <t xml:space="preserve">overall FLAG; USABLE_NEEDS_INTERPOLATION: 8/8 recordings usable; bad channels in 6 recording(s) (Fz, FT8, F4); alpha blocking OK (median 3.2); notch filter suggested for 7/8 recordings</t>
  </si>
  <si>
    <t xml:space="preserve">Fz x3, FT8 x2, F7 x1, F4 x1, F6 x1</t>
  </si>
  <si>
    <t xml:space="preserve">2026-10-21T14:45:50+00:00</t>
  </si>
  <si>
    <t xml:space="preserve">2026-10-21T14:47:04+00:00</t>
  </si>
  <si>
    <t xml:space="preserve">qc_output/sub-054</t>
  </si>
  <si>
    <t xml:space="preserve">sub-055</t>
  </si>
  <si>
    <t xml:space="preserve">Rejected: Late triggers (late_ses1=35, late_ses2=n/a)</t>
  </si>
  <si>
    <t xml:space="preserve">Late triggers (late_ses1=35, late_ses2=n/a)</t>
  </si>
  <si>
    <t xml:space="preserve">2026-10-21T15:18:50+00:00</t>
  </si>
  <si>
    <t xml:space="preserve">qc_output/sub-055</t>
  </si>
  <si>
    <t xml:space="preserve">sub-056</t>
  </si>
  <si>
    <t xml:space="preserve">overall FLAG; USABLE_NEEDS_INTERPOLATION: 4/4 recordings usable; bad channels in 4 recording(s) (FC2, FC1, F3); alpha blocking OK (median 1.6); notch filter suggested for 2/4 recordings</t>
  </si>
  <si>
    <t xml:space="preserve">52</t>
  </si>
  <si>
    <t xml:space="preserve">FC2 x3, FC1 x2, F7 x1, F8 x1, F3 x1, F5 x1, F6 x1, FC5 x1, FC3 x1</t>
  </si>
  <si>
    <t xml:space="preserve">LOW_ALPHA_PROMINENCE; USABLE_NEEDS_INTERPOLATION; WEAK_ALPHA_BLOCKING</t>
  </si>
  <si>
    <t xml:space="preserve">2026-10-21T14:47:06+00:00</t>
  </si>
  <si>
    <t xml:space="preserve">2026-10-21T14:47:46+00:00</t>
  </si>
  <si>
    <t xml:space="preserve">qc_output/sub-056</t>
  </si>
  <si>
    <t xml:space="preserve">sub-057</t>
  </si>
  <si>
    <t xml:space="preserve">2026-10-21T15:18:53+00:00</t>
  </si>
  <si>
    <t xml:space="preserve">qc_output/sub-057</t>
  </si>
  <si>
    <t xml:space="preserve">sub-058</t>
  </si>
  <si>
    <t xml:space="preserve">2026-10-21T15:18:55+00:00</t>
  </si>
  <si>
    <t xml:space="preserve">qc_output/sub-058</t>
  </si>
  <si>
    <t xml:space="preserve">sub-059</t>
  </si>
  <si>
    <t xml:space="preserve">overall FLAG; USABLE_NEEDS_INTERPOLATION: 8/8 recordings usable; bad channels in 4 recording(s) (FC1, C3, F7); alpha blocking weak (flag only) (median 1.3); notch filter suggested for 4/8 recordings</t>
  </si>
  <si>
    <t xml:space="preserve">FC1 x4, C3 x2, F7 x2, Fz x1, FC2 x1, F6 x1, F4 x1, F5 x1</t>
  </si>
  <si>
    <t xml:space="preserve">CRITICAL_CHANNEL_BAD; LOW_ALPHA_PROMINENCE; NO_ALPHA_BLOCKING; USABLE_NEEDS_INTERPOLATION; WEAK_ALPHA_BLOCKING</t>
  </si>
  <si>
    <t xml:space="preserve">2026-10-21T14:47:48+00:00</t>
  </si>
  <si>
    <t xml:space="preserve">2026-10-21T14:49:00+00:00</t>
  </si>
  <si>
    <t xml:space="preserve">qc_output/sub-059</t>
  </si>
  <si>
    <t xml:space="preserve">sub-060</t>
  </si>
  <si>
    <t xml:space="preserve">overall FAIL; PARTIALLY_USABLE: 5/8 recordings usable; bad channels in 7 recording(s) (F3, F2, F1); alpha blocking OK (median 2.9); notch filter suggested for 5/8 recordings</t>
  </si>
  <si>
    <t xml:space="preserve">Fz x4, F1 x4, F2 x4, F3 x4, F4 x4, F6 x3, AF3 x2, AF4 x2, AF7 x2, AF8 x2, Fp1 x1, Fp2 x1, F7 x1, FC1 x1, F5 x1</t>
  </si>
  <si>
    <t xml:space="preserve">2026-10-21T14:49:02+00:00</t>
  </si>
  <si>
    <t xml:space="preserve">2026-10-21T14:50:19+00:00</t>
  </si>
  <si>
    <t xml:space="preserve">qc_output/sub-060</t>
  </si>
  <si>
    <t xml:space="preserve">sub-061</t>
  </si>
  <si>
    <t xml:space="preserve">overall FLAG; USABLE_NEEDS_INTERPOLATION: 4/4 recordings usable; bad channels in 1 recording(s) (F1, F2, F3); alpha blocking OK (median 9.5); notch filter suggested for 4/4 recordings</t>
  </si>
  <si>
    <t xml:space="preserve">46</t>
  </si>
  <si>
    <t xml:space="preserve">F3 x1, Fz x1, F1 x1, F2 x1</t>
  </si>
  <si>
    <t xml:space="preserve">2026-10-21T14:50:20+00:00</t>
  </si>
  <si>
    <t xml:space="preserve">2026-10-21T14:51:02+00:00</t>
  </si>
  <si>
    <t xml:space="preserve">qc_output/sub-061</t>
  </si>
  <si>
    <t xml:space="preserve">sub-062</t>
  </si>
  <si>
    <t xml:space="preserve">overall FLAG; USABLE_NEEDS_INTERPOLATION: 4/4 recordings usable; bad channels in 1 recording(s) (F7); alpha blocking OK (median 2.6); notch filter suggested for 2/4 recordings</t>
  </si>
  <si>
    <t xml:space="preserve">F7 x1</t>
  </si>
  <si>
    <t xml:space="preserve">LINE_NOISE; LOW_ALPHA_PROMINENCE; USABLE_NEEDS_INTERPOLATION</t>
  </si>
  <si>
    <t xml:space="preserve">2026-10-21T14:51:03+00:00</t>
  </si>
  <si>
    <t xml:space="preserve">2026-10-21T14:51:46+00:00</t>
  </si>
  <si>
    <t xml:space="preserve">qc_output/sub-062</t>
  </si>
  <si>
    <t xml:space="preserve">sub-063</t>
  </si>
  <si>
    <t xml:space="preserve">overall FLAG; USABLE_NEEDS_INTERPOLATION: 4/4 recordings usable; bad channels in 3 recording(s) (FC1, Fz, F1); alpha blocking OK (median 4.2); notch filter suggested for 2/4 recordings</t>
  </si>
  <si>
    <t xml:space="preserve">Fz x2, FC1 x2, F1 x1</t>
  </si>
  <si>
    <t xml:space="preserve">2026-10-21T14:51:47+00:00</t>
  </si>
  <si>
    <t xml:space="preserve">2026-10-21T14:52:29+00:00</t>
  </si>
  <si>
    <t xml:space="preserve">qc_output/sub-063</t>
  </si>
  <si>
    <t xml:space="preserve">sub-064</t>
  </si>
  <si>
    <t xml:space="preserve">overall FLAG; USABLE_NEEDS_INTERPOLATION: 4/4 recordings usable; bad channels in 1 recording(s) (F1, F2, Fz); alpha blocking OK (median 11.0)</t>
  </si>
  <si>
    <t xml:space="preserve">Fz x1, F1 x1, F2 x1</t>
  </si>
  <si>
    <t xml:space="preserve">2026-10-21T14:52:30+00:00</t>
  </si>
  <si>
    <t xml:space="preserve">2026-10-21T14:53:13+00:00</t>
  </si>
  <si>
    <t xml:space="preserve">qc_output/sub-064</t>
  </si>
  <si>
    <t xml:space="preserve">sub-065</t>
  </si>
  <si>
    <t xml:space="preserve">overall FAIL; REJECT: 0/4 recordings usable; bad channels in 4 recording(s) (FC2, F1, FC1); alpha blocking OK (median 6.5)</t>
  </si>
  <si>
    <t xml:space="preserve">FC2 x4, FC1 x3, Cz x3, F1 x3, Fz x2, AF4 x2, F2 x2, F7 x2, F3 x2, F4 x2, F5 x2, F6 x2, FC3 x2, Fp1 x1, Fp2 x1, AF3 x1, AF7 x1, AF8 x1</t>
  </si>
  <si>
    <t xml:space="preserve">CRITICAL_CHANNELS_BAD; CRITICAL_CHANNEL_BAD; TOO_MANY_BAD_CHANNELS</t>
  </si>
  <si>
    <t xml:space="preserve">2026-10-21T14:53:14+00:00</t>
  </si>
  <si>
    <t xml:space="preserve">2026-10-21T14:53:57+00:00</t>
  </si>
  <si>
    <t xml:space="preserve">qc_output/sub-065</t>
  </si>
  <si>
    <t xml:space="preserve">sub-066</t>
  </si>
  <si>
    <t xml:space="preserve">overall FAIL; REJECT: 0/4 recordings usable; bad channels in 4 recording(s) (AF3, AF4, AF7); alpha blocking OK (median 11.0); notch filter suggested for 2/4 recordings</t>
  </si>
  <si>
    <t xml:space="preserve">Fp1 x4, Fp2 x4, F3 x4, F4 x4, AF7 x4, AF3 x4, AF4 x4, AF8 x4, F2 x4, Fz x3, F5 x3, F1 x3, F6 x3, F7 x1</t>
  </si>
  <si>
    <t xml:space="preserve">CRITICAL_CHANNEL_BAD; TOO_MANY_BAD_CHANNELS</t>
  </si>
  <si>
    <t xml:space="preserve">2026-10-21T14:53:58+00:00</t>
  </si>
  <si>
    <t xml:space="preserve">2026-10-21T14:54:41+00:00</t>
  </si>
  <si>
    <t xml:space="preserve">qc_output/sub-066</t>
  </si>
  <si>
    <t xml:space="preserve">sub-067</t>
  </si>
  <si>
    <t xml:space="preserve">overall FAIL; PARTIALLY_USABLE: 2/4 recordings usable; bad channels in 4 recording(s) (F2, Fz, AF3); alpha blocking OK (median 2.7); notch filter suggested for 4/4 recordings</t>
  </si>
  <si>
    <t xml:space="preserve">Fz x3, F2 x3, F4 x2, AF7 x2, AF3 x2, F1 x2, F6 x2, F3 x1, AF4 x1, AF8 x1, F5 x1</t>
  </si>
  <si>
    <t xml:space="preserve">2026-10-21T14:54:42+00:00</t>
  </si>
  <si>
    <t xml:space="preserve">2026-10-21T14:55:32+00:00</t>
  </si>
  <si>
    <t xml:space="preserve">qc_output/sub-067</t>
  </si>
  <si>
    <t xml:space="preserve">sub-068</t>
  </si>
  <si>
    <t xml:space="preserve">overall FLAG; USABLE_NEEDS_INTERPOLATION: 4/4 recordings usable; bad channels in 4 recording(s) (F1, Fz, F4); alpha blocking OK (median 6.6); notch filter suggested for 4/4 recordings</t>
  </si>
  <si>
    <t xml:space="preserve">Fz x3, F1 x3, F7 x1, F4 x1, FC1 x1, F5 x1</t>
  </si>
  <si>
    <t xml:space="preserve">2026-10-21T14:55:33+00:00</t>
  </si>
  <si>
    <t xml:space="preserve">2026-10-21T14:56:16+00:00</t>
  </si>
  <si>
    <t xml:space="preserve">qc_output/sub-068</t>
  </si>
  <si>
    <t xml:space="preserve">sub-069</t>
  </si>
  <si>
    <t xml:space="preserve">overall FLAG; USABLE_NEEDS_INTERPOLATION: 4/4 recordings usable; bad channels in 2 recording(s) (F1, F5, F7); alpha blocking weak (flag only) (median 1.1); notch filter suggested for 4/4 recordings</t>
  </si>
  <si>
    <t xml:space="preserve">Fz x1, F5 x1, F1 x1, F7 x1, FC1 x1, FC2 x1, FC4 x1</t>
  </si>
  <si>
    <t xml:space="preserve">2026-10-21T14:56:18+00:00</t>
  </si>
  <si>
    <t xml:space="preserve">2026-10-21T14:57:01+00:00</t>
  </si>
  <si>
    <t xml:space="preserve">qc_output/sub-069</t>
  </si>
  <si>
    <t xml:space="preserve">sub-070</t>
  </si>
  <si>
    <t xml:space="preserve">Rejected: Age above 60 (70)</t>
  </si>
  <si>
    <t xml:space="preserve">Age above 60 (70)</t>
  </si>
  <si>
    <t xml:space="preserve">70</t>
  </si>
  <si>
    <t xml:space="preserve">2026-10-21T15:19:12+00:00</t>
  </si>
  <si>
    <t xml:space="preserve">qc_output/sub-070</t>
  </si>
  <si>
    <t xml:space="preserve">sub-071</t>
  </si>
  <si>
    <t xml:space="preserve">2026-10-21T15:19:13+00:00</t>
  </si>
  <si>
    <t xml:space="preserve">qc_output/sub-071</t>
  </si>
  <si>
    <t xml:space="preserve">sub-072</t>
  </si>
  <si>
    <t xml:space="preserve">overall FLAG; USABLE_NEEDS_INTERPOLATION: 4/4 recordings usable; bad channels in 4 recording(s) (FC2, F2, Fz); alpha blocking OK (median 6.1); notch filter suggested for 2/4 recordings</t>
  </si>
  <si>
    <t xml:space="preserve">FC2 x4, Fz x2, F2 x2, F1 x1</t>
  </si>
  <si>
    <t xml:space="preserve">2026-10-21T14:57:04+00:00</t>
  </si>
  <si>
    <t xml:space="preserve">2026-10-21T14:57:45+00:00</t>
  </si>
  <si>
    <t xml:space="preserve">qc_output/sub-072</t>
  </si>
  <si>
    <t xml:space="preserve">sub-073</t>
  </si>
  <si>
    <t xml:space="preserve">overall FAIL; PARTIALLY_USABLE: 4/8 recordings usable; bad channels in 8 recording(s) (FC2, AF3, AF8); alpha blocking OK (median 2.7); notch filter suggested for 6/8 recordings</t>
  </si>
  <si>
    <t xml:space="preserve">35</t>
  </si>
  <si>
    <t xml:space="preserve">FC2 x5, Fp1 x4, Fp2 x4, F3 x4, Fz x4, F4 x4, AF3 x4, AF4 x4, AF8 x4, F1 x4, F2 x4, F6 x4, FC4 x4, F7 x3, F5 x3, FC6 x3, FC1 x2, F8 x2, FC3 x2, AF7 x1</t>
  </si>
  <si>
    <t xml:space="preserve">2026-10-21T14:57:46+00:00</t>
  </si>
  <si>
    <t xml:space="preserve">2026-10-21T14:59:03+00:00</t>
  </si>
  <si>
    <t xml:space="preserve">qc_output/sub-073</t>
  </si>
  <si>
    <t xml:space="preserve">sub-074</t>
  </si>
  <si>
    <t xml:space="preserve">overall FLAG; USABLE_NEEDS_INTERPOLATION: 4/4 recordings usable; bad channels in 2 recording(s) (Fz, F1); alpha blocking OK (median 2.5); notch filter suggested for 1/4 recordings</t>
  </si>
  <si>
    <t xml:space="preserve">56</t>
  </si>
  <si>
    <t xml:space="preserve">n/a</t>
  </si>
  <si>
    <t xml:space="preserve">Fz x2, F1 x1</t>
  </si>
  <si>
    <t xml:space="preserve">2026-10-21T14:59:05+00:00</t>
  </si>
  <si>
    <t xml:space="preserve">2026-10-21T14:59:46+00:00</t>
  </si>
  <si>
    <t xml:space="preserve">qc_output/sub-074</t>
  </si>
  <si>
    <t xml:space="preserve">sub-075</t>
  </si>
  <si>
    <t xml:space="preserve">2026-10-21T15:19:18+00:00</t>
  </si>
  <si>
    <t xml:space="preserve">qc_output/sub-075</t>
  </si>
  <si>
    <t xml:space="preserve">sub-076</t>
  </si>
  <si>
    <t xml:space="preserve">overall FLAG; USABLE_NEEDS_INTERPOLATION: 8/8 recordings usable; bad channels in 6 recording(s) (FC2, F2, FC6); alpha blocking OK (median 3.3); notch filter suggested for 6/8 recordings</t>
  </si>
  <si>
    <t xml:space="preserve">FC2 x5, Fz x2, F2 x2, FC6 x2, FC4 x2, FC3 x1, FT8 x1, F7 x1</t>
  </si>
  <si>
    <t xml:space="preserve">CRITICAL_CHANNEL_BAD; HIGH_LINE_NOISE; LINE_NOISE; USABLE_NEEDS_INTERPOLATION</t>
  </si>
  <si>
    <t xml:space="preserve">2026-10-21T14:59:48+00:00</t>
  </si>
  <si>
    <t xml:space="preserve">2026-10-21T15:01:07+00:00</t>
  </si>
  <si>
    <t xml:space="preserve">qc_output/sub-076</t>
  </si>
  <si>
    <t xml:space="preserve">sub-077</t>
  </si>
  <si>
    <t xml:space="preserve">2026-10-21T15:19:22+00:00</t>
  </si>
  <si>
    <t xml:space="preserve">qc_output/sub-077</t>
  </si>
  <si>
    <t xml:space="preserve">sub-078</t>
  </si>
  <si>
    <t xml:space="preserve">overall FLAG; USABLE_NEEDS_INTERPOLATION: 4/4 recordings usable; bad channels in 1 recording(s) (Fz); alpha blocking OK (median 2.6); notch filter suggested for 4/4 recordings</t>
  </si>
  <si>
    <t xml:space="preserve">2026-10-21T15:01:09+00:00</t>
  </si>
  <si>
    <t xml:space="preserve">2026-10-21T15:01:52+00:00</t>
  </si>
  <si>
    <t xml:space="preserve">qc_output/sub-078</t>
  </si>
  <si>
    <t xml:space="preserve">sub-079</t>
  </si>
  <si>
    <t xml:space="preserve">overall FLAG; USABLE_NEEDS_INTERPOLATION: 4/4 recordings usable; bad channels in 4 recording(s) (Fz, C2, F1); alpha blocking weak (flag only) (median 0.7); notch filter suggested for 2/4 recordings</t>
  </si>
  <si>
    <t xml:space="preserve">Fz x3, C2 x2, F1 x2, F2 x2</t>
  </si>
  <si>
    <t xml:space="preserve">CRITICAL_CHANNEL_BAD; NO_ALPHA_BLOCKING; USABLE_NEEDS_INTERPOLATION; WEAK_ALPHA_BLOCKING</t>
  </si>
  <si>
    <t xml:space="preserve">2026-10-21T15:01:53+00:00</t>
  </si>
  <si>
    <t xml:space="preserve">2026-10-21T15:02:35+00:00</t>
  </si>
  <si>
    <t xml:space="preserve">qc_output/sub-079</t>
  </si>
  <si>
    <t xml:space="preserve">sub-080</t>
  </si>
  <si>
    <t xml:space="preserve">2026-10-21T15:19:25+00:00</t>
  </si>
  <si>
    <t xml:space="preserve">qc_output/sub-080</t>
  </si>
  <si>
    <t xml:space="preserve">sub-081</t>
  </si>
  <si>
    <t xml:space="preserve">overall FAIL; PARTIALLY_USABLE: 2/4 recordings usable; bad channels in 3 recording(s) (AF8, F2, F3); alpha blocking OK (median 8.7); notch filter suggested for 1/4 recordings</t>
  </si>
  <si>
    <t xml:space="preserve">F7 x2, F3 x2, F4 x2, AF8 x2, F5 x2, F2 x2, Cz x1, Fp1 x1, Fp2 x1, Fz x1, AF7 x1, AF3 x1, AF4 x1, F1 x1, F6 x1</t>
  </si>
  <si>
    <t xml:space="preserve">2026-10-21T15:02:37+00:00</t>
  </si>
  <si>
    <t xml:space="preserve">2026-10-21T15:03:20+00:00</t>
  </si>
  <si>
    <t xml:space="preserve">qc_output/sub-081</t>
  </si>
  <si>
    <t xml:space="preserve">sub-082</t>
  </si>
  <si>
    <t xml:space="preserve">overall FLAG; USABLE_NEEDS_INTERPOLATION: 4/4 recordings usable; bad channels in 4 recording(s) (Fz, F5, F4); alpha blocking OK (median 3.0); notch filter suggested for 4/4 recordings</t>
  </si>
  <si>
    <t xml:space="preserve">Fz x2, F7 x1, F4 x1, F5 x1, F6 x1, F8 x1, FC1 x1</t>
  </si>
  <si>
    <t xml:space="preserve">2026-10-21T15:03:21+00:00</t>
  </si>
  <si>
    <t xml:space="preserve">2026-10-21T15:04:05+00:00</t>
  </si>
  <si>
    <t xml:space="preserve">qc_output/sub-082</t>
  </si>
  <si>
    <t xml:space="preserve">sub-083</t>
  </si>
  <si>
    <t xml:space="preserve">2026-10-21T15:19:29+00:00</t>
  </si>
  <si>
    <t xml:space="preserve">qc_output/sub-083</t>
  </si>
  <si>
    <t xml:space="preserve">sub-084</t>
  </si>
  <si>
    <t xml:space="preserve">overall FAIL; REJECT: 0/4 recordings usable; bad channels in 4 recording(s) (Cz, AF3, AF8); alpha blocking OK (median 2.7); notch filter suggested for 1/4 recordings</t>
  </si>
  <si>
    <t xml:space="preserve">28</t>
  </si>
  <si>
    <t xml:space="preserve">Cz x4, Fp1 x3, F3 x3, Fz x3, AF3 x3, AF8 x3, Fp2 x2, FC2 x2, AF7 x2, F4 x1, AF4 x1, F1 x1, F2 x1, F6 x1, F8 x1, F5 x1, FC4 x1</t>
  </si>
  <si>
    <t xml:space="preserve">CRITICAL_CHANNELS_BAD; CRITICAL_CHANNEL_BAD; LOW_ALPHA_PROMINENCE; TOO_MANY_BAD_CHANNELS</t>
  </si>
  <si>
    <t xml:space="preserve">2026-10-21T15:04:07+00:00</t>
  </si>
  <si>
    <t xml:space="preserve">2026-10-21T15:04:49+00:00</t>
  </si>
  <si>
    <t xml:space="preserve">qc_output/sub-084</t>
  </si>
  <si>
    <t xml:space="preserve">sub-085</t>
  </si>
  <si>
    <t xml:space="preserve">Rejected: Late triggers (late_ses1=99, late_ses2=n/a)</t>
  </si>
  <si>
    <t xml:space="preserve">Late triggers (late_ses1=99, late_ses2=n/a)</t>
  </si>
  <si>
    <t xml:space="preserve">2026-10-21T15:19:31+00:00</t>
  </si>
  <si>
    <t xml:space="preserve">qc_output/sub-085</t>
  </si>
  <si>
    <t xml:space="preserve">sub-086</t>
  </si>
  <si>
    <t xml:space="preserve">overall FLAG; USABLE_NEEDS_INTERPOLATION: 8/8 recordings usable; bad channels in 7 recording(s) (Fz, F2, F8); alpha blocking OK (median 5.2); notch filter suggested for 4/8 recordings</t>
  </si>
  <si>
    <t xml:space="preserve">Fz x4, F2 x3, F8 x3, F7 x2, FC2 x2</t>
  </si>
  <si>
    <t xml:space="preserve">2026-10-21T15:04:52+00:00</t>
  </si>
  <si>
    <t xml:space="preserve">2026-10-21T15:06:17+00:00</t>
  </si>
  <si>
    <t xml:space="preserve">qc_output/sub-086</t>
  </si>
  <si>
    <t xml:space="preserve">sub-087</t>
  </si>
  <si>
    <t xml:space="preserve">overall FAIL; PARTIALLY_USABLE: 3/4 recordings usable; bad channels in 3 recording(s) (Fz, AF4, F1); alpha blocking weak (flag only) (median 1.0); notch filter suggested for 2/4 recordings</t>
  </si>
  <si>
    <t xml:space="preserve">Fz x2, F3 x1, F4 x1, AF4 x1, AF8 x1, F5 x1, F1 x1, F2 x1, F6 x1, F8 x1, FC1 x1, FC3 x1</t>
  </si>
  <si>
    <t xml:space="preserve">CRITICAL_CHANNEL_BAD; LOW_ALPHA_PROMINENCE; TOO_MANY_BAD_CHANNELS; USABLE_NEEDS_INTERPOLATION; WEAK_ALPHA_BLOCKING</t>
  </si>
  <si>
    <t xml:space="preserve">2026-10-21T15:06:18+00:00</t>
  </si>
  <si>
    <t xml:space="preserve">2026-10-21T15:07:00+00:00</t>
  </si>
  <si>
    <t xml:space="preserve">qc_output/sub-087</t>
  </si>
  <si>
    <t xml:space="preserve">sub-088</t>
  </si>
  <si>
    <t xml:space="preserve">overall FLAG; USABLE_NEEDS_INTERPOLATION: 4/4 recordings usable; bad channels in 3 recording(s) (Fz); alpha blocking OK (median 9.1); notch filter suggested for 3/4 recordings</t>
  </si>
  <si>
    <t xml:space="preserve">Fz x3</t>
  </si>
  <si>
    <t xml:space="preserve">2026-10-21T15:07:02+00:00</t>
  </si>
  <si>
    <t xml:space="preserve">2026-10-21T15:07:44+00:00</t>
  </si>
  <si>
    <t xml:space="preserve">qc_output/sub-088</t>
  </si>
  <si>
    <t xml:space="preserve">sub-089</t>
  </si>
  <si>
    <t xml:space="preserve">overall FLAG; USABLE_NEEDS_INTERPOLATION: 4/4 recordings usable; bad channels in 4 recording(s) (F2, F8, Fz); alpha blocking OK (median 3.2)</t>
  </si>
  <si>
    <t xml:space="preserve">Fz x2, F2 x2, F8 x2, F1 x1, AF7 x1, F4 x1, F6 x1</t>
  </si>
  <si>
    <t xml:space="preserve">CRITICAL_CHANNEL_BAD; DURATION_S; NO_ALPHA_BLOCKING; USABLE_NEEDS_INTERPOLATION</t>
  </si>
  <si>
    <t xml:space="preserve">2026-10-21T15:07:46+00:00</t>
  </si>
  <si>
    <t xml:space="preserve">2026-10-21T15:08:31+00:00</t>
  </si>
  <si>
    <t xml:space="preserve">qc_output/sub-089</t>
  </si>
  <si>
    <t xml:space="preserve">sub-090</t>
  </si>
  <si>
    <t xml:space="preserve">overall FLAG; USABLE_NEEDS_INTERPOLATION: 4/4 recordings usable; bad channels in 3 recording(s) (Fz, F1, FC1); alpha blocking OK (median 9.1); notch filter suggested for 4/4 recordings</t>
  </si>
  <si>
    <t xml:space="preserve">Fz x2, FC1 x1, F1 x1</t>
  </si>
  <si>
    <t xml:space="preserve">2026-10-21T15:08:32+00:00</t>
  </si>
  <si>
    <t xml:space="preserve">2026-10-21T15:09:15+00:00</t>
  </si>
  <si>
    <t xml:space="preserve">qc_output/sub-090</t>
  </si>
  <si>
    <t xml:space="preserve">sub-091</t>
  </si>
  <si>
    <t xml:space="preserve">overall FAIL; PARTIALLY_USABLE: 6/8 recordings usable; bad channels in 4 recording(s) (F2, Fz, F1); alpha blocking OK (median 13.3); notch filter suggested for 2/8 recordings</t>
  </si>
  <si>
    <t xml:space="preserve">F2 x4, F1 x3, Fz x3, F3 x2, Fp1 x2, Fp2 x2, AF7 x2, AF3 x2, AF4 x2, F4 x1, F6 x1, FC1 x1, AF8 x1</t>
  </si>
  <si>
    <t xml:space="preserve">CRITICAL_CHANNEL_BAD; TOO_MANY_BAD_CHANNELS; USABLE_NEEDS_INTERPOLATION; WEAK_ALPHA_BLOCKING</t>
  </si>
  <si>
    <t xml:space="preserve">2026-10-21T15:09:16+00:00</t>
  </si>
  <si>
    <t xml:space="preserve">2026-10-21T15:10:34+00:00</t>
  </si>
  <si>
    <t xml:space="preserve">qc_output/sub-091</t>
  </si>
  <si>
    <t xml:space="preserve">sub-092</t>
  </si>
  <si>
    <t xml:space="preserve">overall FLAG; USABLE_NEEDS_INTERPOLATION: 8/8 recordings usable; bad channels in 6 recording(s) (F6, F8, FC1); alpha blocking OK (median 2.9); notch filter suggested for 4/8 recordings</t>
  </si>
  <si>
    <t xml:space="preserve">F6 x4, FC1 x2, FC3 x2, Fz x2, F8 x2, F1 x1, FC2 x1</t>
  </si>
  <si>
    <t xml:space="preserve">CRITICAL_CHANNEL_BAD; LINE_NOISE; LOW_ALPHA_PROMINENCE; NO_ALPHA_BLOCKING; USABLE_NEEDS_INTERPOLATION; WEAK_ALPHA_BLOCKING</t>
  </si>
  <si>
    <t xml:space="preserve">2026-10-21T15:10:36+00:00</t>
  </si>
  <si>
    <t xml:space="preserve">2026-10-21T15:11:52+00:00</t>
  </si>
  <si>
    <t xml:space="preserve">qc_output/sub-092</t>
  </si>
  <si>
    <t xml:space="preserve">sub-093</t>
  </si>
  <si>
    <t xml:space="preserve">Rejected: Late triggers (late_ses1=14, late_ses2=n/a)</t>
  </si>
  <si>
    <t xml:space="preserve">Late triggers (late_ses1=14, late_ses2=n/a)</t>
  </si>
  <si>
    <t xml:space="preserve">54</t>
  </si>
  <si>
    <t xml:space="preserve">2026-10-21T15:19:42+00:00</t>
  </si>
  <si>
    <t xml:space="preserve">qc_output/sub-093</t>
  </si>
  <si>
    <t xml:space="preserve">sub-094</t>
  </si>
  <si>
    <t xml:space="preserve">overall FAIL; PARTIALLY_USABLE: 1/4 recordings usable; bad channels in 4 recording(s) (AF3, AF4, F2); alpha blocking OK (median 3.6); notch filter suggested for 3/4 recordings</t>
  </si>
  <si>
    <t xml:space="preserve">AF3 x4, AF4 x4, Fz x3, F4 x3, F1 x3, F2 x3, F6 x3, Fp2 x2, F3 x2, AF7 x1, AF8 x1, F5 x1</t>
  </si>
  <si>
    <t xml:space="preserve">2026-10-21T15:11:55+00:00</t>
  </si>
  <si>
    <t xml:space="preserve">2026-10-21T15:12:40+00:00</t>
  </si>
  <si>
    <t xml:space="preserve">qc_output/sub-094</t>
  </si>
  <si>
    <t xml:space="preserve">sub-095</t>
  </si>
  <si>
    <t xml:space="preserve">overall FAIL; PARTIALLY_USABLE: 3/4 recordings usable; bad channels in 2 recording(s) (AF3, AF4, AF7); alpha blocking weak (flag only) (median 0.8); notch filter suggested for 2/4 recordings</t>
  </si>
  <si>
    <t xml:space="preserve">Fp1 x1, Fp2 x1, AF7 x1, AF3 x1, AF4 x1, AF8 x1, F7 x1, F3 x1, Fz x1, F4 x1, FC1 x1, F5 x1, F1 x1, F2 x1, F6 x1</t>
  </si>
  <si>
    <t xml:space="preserve">CRITICAL_CHANNEL_BAD; LOW_ALPHA_PROMINENCE; NO_ALPHA_BLOCKING; TOO_MANY_BAD_CHANNELS; USABLE_NEEDS_INTERPOLATION; WEAK_ALPHA_BLOCKING</t>
  </si>
  <si>
    <t xml:space="preserve">2026-10-21T15:12:41+00:00</t>
  </si>
  <si>
    <t xml:space="preserve">2026-10-21T15:13:25+00:00</t>
  </si>
  <si>
    <t xml:space="preserve">qc_output/sub-095</t>
  </si>
  <si>
    <t xml:space="preserve">sub-096</t>
  </si>
  <si>
    <t xml:space="preserve">overall FAIL; PARTIALLY_USABLE: 7/8 recordings usable; bad channels in 7 recording(s) (Fz, F3, F1); alpha blocking OK (median 2.8); notch filter suggested for 8/8 recordings</t>
  </si>
  <si>
    <t xml:space="preserve">Fz x6, F3 x4, F1 x3, F2 x2, F5 x2, F4 x1, F6 x1, Fp1 x1, Fp2 x1, AF7 x1, AF3 x1, AF4 x1, AF8 x1, FC1 x1, FC3 x1</t>
  </si>
  <si>
    <t xml:space="preserve">CRITICAL_CHANNEL_BAD; LINE_NOISE; LOW_ALPHA_PROMINENCE; NO_ALPHA_BLOCKING; TOO_MANY_BAD_CHANNELS; USABLE_NEEDS_INTERPOLATION</t>
  </si>
  <si>
    <t xml:space="preserve">2026-10-21T15:13:27+00:00</t>
  </si>
  <si>
    <t xml:space="preserve">2026-10-21T15:14:43+00:00</t>
  </si>
  <si>
    <t xml:space="preserve">qc_output/sub-096</t>
  </si>
  <si>
    <t xml:space="preserve">sub-097</t>
  </si>
  <si>
    <t xml:space="preserve">Rejected: Late triggers (late_ses1=50, late_ses2=n/a)</t>
  </si>
  <si>
    <t xml:space="preserve">Late triggers (late_ses1=50, late_ses2=n/a)</t>
  </si>
  <si>
    <t xml:space="preserve">2026-10-21T15:19:47+00:00</t>
  </si>
  <si>
    <t xml:space="preserve">qc_output/sub-097</t>
  </si>
  <si>
    <t xml:space="preserve">sub-098</t>
  </si>
  <si>
    <t xml:space="preserve">overall FAIL; PARTIALLY_USABLE: 3/8 recordings usable; bad channels in 8 recording(s) (AF3, F1, F3); alpha blocking OK (median 5.7); notch filter suggested for 5/8 recordings</t>
  </si>
  <si>
    <t xml:space="preserve">F3 x5, F4 x5, AF3 x5, F1 x5, F6 x5, Fp1 x4, Fp2 x4, AF4 x4, F2 x4, FC1 x3, F8 x3, F5 x2, Fz x2, AF8 x1, F7 x1, AF7 x1, FC3 x1</t>
  </si>
  <si>
    <t xml:space="preserve">2026-10-21T15:14:45+00:00</t>
  </si>
  <si>
    <t xml:space="preserve">2026-10-21T15:16:10+00:00</t>
  </si>
  <si>
    <t xml:space="preserve">qc_output/sub-098</t>
  </si>
  <si>
    <t xml:space="preserve">sub-099</t>
  </si>
  <si>
    <t xml:space="preserve">overall FLAG; USABLE_NEEDS_INTERPOLATION: 4/4 recordings usable; bad channels in 3 recording(s) (F1, Fz); alpha blocking weak (flag only) (median 1.1); notch filter suggested for 2/4 recordings</t>
  </si>
  <si>
    <t xml:space="preserve">Fz x3, F1 x3</t>
  </si>
  <si>
    <t xml:space="preserve">2026-10-21T15:16:11+00:00</t>
  </si>
  <si>
    <t xml:space="preserve">2026-10-21T15:16:55+00:00</t>
  </si>
  <si>
    <t xml:space="preserve">qc_output/sub-099</t>
  </si>
  <si>
    <t xml:space="preserve">sub-100</t>
  </si>
  <si>
    <t xml:space="preserve">Rejected: Age above 60 (65)</t>
  </si>
  <si>
    <t xml:space="preserve">Age above 60 (65)</t>
  </si>
  <si>
    <t xml:space="preserve">65</t>
  </si>
  <si>
    <t xml:space="preserve">2026-10-21T15:20:19+00:00</t>
  </si>
  <si>
    <t xml:space="preserve">qc_output/sub-100</t>
  </si>
  <si>
    <t xml:space="preserve">sub-101</t>
  </si>
  <si>
    <t xml:space="preserve">overall FAIL; PARTIALLY_USABLE: 2/4 recordings usable; bad channels in 4 recording(s) (FC5, AF3, F1); alpha blocking weak (flag only) (median 1.5); notch filter suggested for 4/4 recordings</t>
  </si>
  <si>
    <t xml:space="preserve">FC5 x3, Fp1 x2, F3 x2, Fz x2, AF3 x2, AF4 x2, F5 x2, F1 x2, F2 x2, FC3 x2, AF7 x1, F8 x1, FC6 x1, FC4 x1</t>
  </si>
  <si>
    <t xml:space="preserve">2026-10-21T15:20:20+00:00</t>
  </si>
  <si>
    <t xml:space="preserve">2026-10-21T15:28:44+00:00</t>
  </si>
  <si>
    <t xml:space="preserve">qc_output/sub-101</t>
  </si>
  <si>
    <t xml:space="preserve">sub-102</t>
  </si>
  <si>
    <t xml:space="preserve">overall FAIL; PARTIALLY_USABLE: 3/4 recordings usable; bad channels in 2 recording(s) (AF8, F1, AF4); alpha blocking OK (median 27.9); notch filter suggested for 4/4 recordings</t>
  </si>
  <si>
    <t xml:space="preserve">AF8 x2, F1 x2, F7 x1, F3 x1, Fz x1, F4 x1, AF7 x1, AF3 x1, AF4 x1, F5 x1, F2 x1, F6 x1</t>
  </si>
  <si>
    <t xml:space="preserve">2026-10-21T15:28:46+00:00</t>
  </si>
  <si>
    <t xml:space="preserve">2026-10-21T15:29:28+00:00</t>
  </si>
  <si>
    <t xml:space="preserve">qc_output/sub-102</t>
  </si>
  <si>
    <t xml:space="preserve">sub-103</t>
  </si>
  <si>
    <t xml:space="preserve">overall FAIL; PARTIALLY_USABLE: 3/4 recordings usable; bad channels in 4 recording(s) (F2, Fz, F1); alpha blocking OK (median 3.2)</t>
  </si>
  <si>
    <t xml:space="preserve">Fz x3, F2 x3, F1 x2, F4 x2, Fp1 x1, Fp2 x1, F3 x1, AF7 x1, AF3 x1, AF4 x1, AF8 x1, F5 x1, F8 x1, FC1 x1, F6 x1</t>
  </si>
  <si>
    <t xml:space="preserve">2026-10-21T15:29:29+00:00</t>
  </si>
  <si>
    <t xml:space="preserve">2026-10-21T15:30:12+00:00</t>
  </si>
  <si>
    <t xml:space="preserve">qc_output/sub-103</t>
  </si>
  <si>
    <t xml:space="preserve">sub-104</t>
  </si>
  <si>
    <t xml:space="preserve">Rejected: Age above 60 (63)</t>
  </si>
  <si>
    <t xml:space="preserve">Age above 60 (63)</t>
  </si>
  <si>
    <t xml:space="preserve">63</t>
  </si>
  <si>
    <t xml:space="preserve">2026-10-21T15:30:13+00:00</t>
  </si>
  <si>
    <t xml:space="preserve">qc_output/sub-104</t>
  </si>
  <si>
    <t xml:space="preserve">sub-105</t>
  </si>
  <si>
    <t xml:space="preserve">overall FAIL; PARTIALLY_USABLE: 7/8 recordings usable; bad channels in 4 recording(s) (Fz, F2, AF3); alpha blocking OK (median 5.1); notch filter suggested for 7/8 recordings</t>
  </si>
  <si>
    <t xml:space="preserve">Fz x3, F2 x3, Fp1 x1, Fp2 x1, AF7 x1, AF3 x1, AF4 x1, AF8 x1</t>
  </si>
  <si>
    <t xml:space="preserve">2026-10-21T15:30:14+00:00</t>
  </si>
  <si>
    <t xml:space="preserve">2026-10-21T15:31:33+00:00</t>
  </si>
  <si>
    <t xml:space="preserve">qc_output/sub-105</t>
  </si>
  <si>
    <t xml:space="preserve">sub-106</t>
  </si>
  <si>
    <t xml:space="preserve">Rejected: Age above 60 (66); Late triggers (late_ses1=9, late_ses2=n/a)</t>
  </si>
  <si>
    <t xml:space="preserve">Age above 60 (66); Late triggers (late_ses1=9, late_ses2=n/a)</t>
  </si>
  <si>
    <t xml:space="preserve">66</t>
  </si>
  <si>
    <t xml:space="preserve">2026-10-21T15:31:35+00:00</t>
  </si>
  <si>
    <t xml:space="preserve">qc_output/sub-106</t>
  </si>
  <si>
    <t xml:space="preserve">sub-107</t>
  </si>
  <si>
    <t xml:space="preserve">overall FAIL; PARTIALLY_USABLE: 3/4 recordings usable; bad channels in 4 recording(s) (Fz, F2, AF3); alpha blocking OK (median 1.7); notch filter suggested for 2/4 recordings</t>
  </si>
  <si>
    <t xml:space="preserve">Fz x3, F2 x3, Fp1 x1, Fp2 x1, F3 x1, F4 x1, AF7 x1, AF3 x1, AF4 x1, AF8 x1, F1 x1, F6 x1</t>
  </si>
  <si>
    <t xml:space="preserve">2026-10-21T15:31:36+00:00</t>
  </si>
  <si>
    <t xml:space="preserve">2026-10-21T15:32:18+00:00</t>
  </si>
  <si>
    <t xml:space="preserve">qc_output/sub-107</t>
  </si>
  <si>
    <t xml:space="preserve">sub-108</t>
  </si>
  <si>
    <t xml:space="preserve">Rejected: Late triggers (late_ses1=22, late_ses2=n/a)</t>
  </si>
  <si>
    <t xml:space="preserve">Late triggers (late_ses1=22, late_ses2=n/a)</t>
  </si>
  <si>
    <t xml:space="preserve">2026-10-21T15:32:20+00:00</t>
  </si>
  <si>
    <t xml:space="preserve">qc_output/sub-108</t>
  </si>
  <si>
    <t xml:space="preserve">sub-109</t>
  </si>
  <si>
    <t xml:space="preserve">overall FAIL; PARTIALLY_USABLE: 4/8 recordings usable; bad channels in 8 recording(s) (AF3, AF4, Fp1); alpha blocking OK (median 2.3); notch filter suggested for 4/8 recordings</t>
  </si>
  <si>
    <t xml:space="preserve">AF3 x7, Fp1 x6, AF4 x6, F4 x6, F3 x5, AF7 x5, Fp2 x4, Fz x4, F6 x4, F5 x4, F2 x3, F1 x2, AF8 x1, F7 x1</t>
  </si>
  <si>
    <t xml:space="preserve">2026-10-21T15:32:21+00:00</t>
  </si>
  <si>
    <t xml:space="preserve">2026-10-21T15:33:37+00:00</t>
  </si>
  <si>
    <t xml:space="preserve">qc_output/sub-109</t>
  </si>
  <si>
    <t xml:space="preserve">sub-110</t>
  </si>
  <si>
    <t xml:space="preserve">overall FAIL; PARTIALLY_USABLE: 4/8 recordings usable; bad channels in 8 recording(s) (F1, Fz, FC3); alpha blocking OK (median 11.3); notch filter suggested for 7/8 recordings</t>
  </si>
  <si>
    <t xml:space="preserve">Fz x4, F1 x4, F2 x4, FC3 x4, Fp1 x3, Fp2 x3, F4 x3, FC1 x3, AF3 x3, AF4 x3, FC2 x3, F6 x2, F3 x1, F7 x1, AF8 x1, F5 x1, P1 x1, FC4 x1, F8 x1, FC5 x1</t>
  </si>
  <si>
    <t xml:space="preserve">2026-10-21T15:33:39+00:00</t>
  </si>
  <si>
    <t xml:space="preserve">2026-10-21T15:35:37+00:00</t>
  </si>
  <si>
    <t xml:space="preserve">qc_output/sub-110</t>
  </si>
  <si>
    <t xml:space="preserve">sub-111</t>
  </si>
  <si>
    <t xml:space="preserve">2026-10-21T15:35:39+00:00</t>
  </si>
  <si>
    <t xml:space="preserve">qc_output/sub-111</t>
  </si>
  <si>
    <t xml:space="preserve">sub-112</t>
  </si>
  <si>
    <t xml:space="preserve">2026-10-21T15:35:40+00:00</t>
  </si>
  <si>
    <t xml:space="preserve">qc_output/sub-112</t>
  </si>
  <si>
    <t xml:space="preserve">sub-113</t>
  </si>
  <si>
    <t xml:space="preserve">overall FAIL; PARTIALLY_USABLE: 2/4 recordings usable; bad channels in 4 recording(s) (FC1, AF3, AF4); alpha blocking OK (median 4.2); notch filter suggested for 1/4 recordings</t>
  </si>
  <si>
    <t xml:space="preserve">FC1 x3, Fp1 x2, Fp2 x2, F3 x2, AF7 x2, AF3 x2, AF4 x2, F2 x2, F5 x1, FC3 x1</t>
  </si>
  <si>
    <t xml:space="preserve">TOO_MANY_BAD_CHANNELS; USABLE_NEEDS_INTERPOLATION</t>
  </si>
  <si>
    <t xml:space="preserve">2026-10-21T15:35:41+00:00</t>
  </si>
  <si>
    <t xml:space="preserve">2026-10-21T15:36:35+00:00</t>
  </si>
  <si>
    <t xml:space="preserve">qc_output/sub-113</t>
  </si>
  <si>
    <t xml:space="preserve">sub-114</t>
  </si>
  <si>
    <t xml:space="preserve">Rejected: Late triggers (late_ses1=1, late_ses2=n/a)</t>
  </si>
  <si>
    <t xml:space="preserve">Late triggers (late_ses1=1, late_ses2=n/a)</t>
  </si>
  <si>
    <t xml:space="preserve">2026-10-21T15:36:37+00:00</t>
  </si>
  <si>
    <t xml:space="preserve">qc_output/sub-114</t>
  </si>
  <si>
    <t xml:space="preserve">sub-115</t>
  </si>
  <si>
    <t xml:space="preserve">2026-10-21T15:36:39+00:00</t>
  </si>
  <si>
    <t xml:space="preserve">qc_output/sub-115</t>
  </si>
  <si>
    <t xml:space="preserve">sub-116</t>
  </si>
  <si>
    <t xml:space="preserve">overall FLAG; USABLE_NEEDS_INTERPOLATION: 4/4 recordings usable; bad channels in 4 recording(s) (F1, F2, FC5); alpha blocking OK (median 6.8); notch filter suggested for 4/4 recordings</t>
  </si>
  <si>
    <t xml:space="preserve">Fz x2, F1 x2, F2 x2, FC5 x2, FC3 x2, AF4 x1, F7 x1, F8 x1, FC1 x1, FC4 x1</t>
  </si>
  <si>
    <t xml:space="preserve">2026-10-21T15:48:15+00:00</t>
  </si>
  <si>
    <t xml:space="preserve">2026-10-21T15:48:57+00:00</t>
  </si>
  <si>
    <t xml:space="preserve">qc_output/sub-116</t>
  </si>
  <si>
    <t xml:space="preserve">sub-117</t>
  </si>
  <si>
    <t xml:space="preserve">overall FLAG; USABLE_NEEDS_INTERPOLATION: 4/4 recordings usable; bad channels in 2 recording(s) (F2, FC1, FC3); alpha blocking weak (flag only) (median 0.0); notch filter suggested for 1/4 recordings</t>
  </si>
  <si>
    <t xml:space="preserve">Fz x1, F2 x1, FC1 x1, FC3 x1</t>
  </si>
  <si>
    <t xml:space="preserve">2026-10-21T15:48:59+00:00</t>
  </si>
  <si>
    <t xml:space="preserve">2026-10-21T15:49:47+00:00</t>
  </si>
  <si>
    <t xml:space="preserve">qc_output/sub-117</t>
  </si>
  <si>
    <t xml:space="preserve">sub-118</t>
  </si>
  <si>
    <t xml:space="preserve">overall FLAG; USABLE_NEEDS_INTERPOLATION: 4/4 recordings usable; bad channels in 3 recording(s) (F1, F2, Fz); alpha blocking OK (median 2.8); notch filter suggested for 4/4 recordings</t>
  </si>
  <si>
    <t xml:space="preserve">Fz x2, F1 x2, F2 x2, F4 x1, F5 x1, F6 x1</t>
  </si>
  <si>
    <t xml:space="preserve">2026-10-21T15:49:49+00:00</t>
  </si>
  <si>
    <t xml:space="preserve">2026-10-21T15:50:30+00:00</t>
  </si>
  <si>
    <t xml:space="preserve">qc_output/sub-118</t>
  </si>
  <si>
    <t xml:space="preserve">sub-119</t>
  </si>
  <si>
    <t xml:space="preserve">overall FLAG; USABLE_NEEDS_INTERPOLATION: 8/8 recordings usable; bad channels in 5 recording(s) (F2, AF7, F4); alpha blocking OK (median 3.8); notch filter suggested for 6/8 recordings</t>
  </si>
  <si>
    <t xml:space="preserve">F2 x2, F4 x1, F6 x1, Fp1 x1, AF7 x1, Fz x1, F5 x1, FC5 x1</t>
  </si>
  <si>
    <t xml:space="preserve">2026-10-21T15:50:32+00:00</t>
  </si>
  <si>
    <t xml:space="preserve">2026-10-21T15:51:47+00:00</t>
  </si>
  <si>
    <t xml:space="preserve">qc_output/sub-119</t>
  </si>
  <si>
    <t xml:space="preserve">sub-120</t>
  </si>
  <si>
    <t xml:space="preserve">2026-10-21T15:51:49+00:00</t>
  </si>
  <si>
    <t xml:space="preserve">qc_output/sub-120</t>
  </si>
  <si>
    <t xml:space="preserve">sub-121</t>
  </si>
  <si>
    <t xml:space="preserve">overall FLAG; USABLE_NEEDS_INTERPOLATION: 4/4 recordings usable; bad channels in 4 recording(s) (Fz, Fp1, Fp2); alpha blocking OK (median 4.8)</t>
  </si>
  <si>
    <t xml:space="preserve">21</t>
  </si>
  <si>
    <t xml:space="preserve">Fz x4, Fp1 x2, Fp2 x2, F2 x1</t>
  </si>
  <si>
    <t xml:space="preserve">2026-10-21T15:51:50+00:00</t>
  </si>
  <si>
    <t xml:space="preserve">2026-10-21T15:52:33+00:00</t>
  </si>
  <si>
    <t xml:space="preserve">qc_output/sub-121</t>
  </si>
  <si>
    <t xml:space="preserve">sub-122</t>
  </si>
  <si>
    <t xml:space="preserve">overall FAIL; PARTIALLY_USABLE: 3/4 recordings usable; bad channels in 3 recording(s) (Fz, FC2, F4); alpha blocking OK (median 28.0); notch filter suggested for 1/4 recordings</t>
  </si>
  <si>
    <t xml:space="preserve">Fz x3, FC2 x3, F4 x2, FC4 x2, FC6 x2, FC1 x1, F5 x1, F1 x1, F2 x1, F6 x1, C4 x1</t>
  </si>
  <si>
    <t xml:space="preserve">2026-10-21T15:52:35+00:00</t>
  </si>
  <si>
    <t xml:space="preserve">2026-10-21T15:53:17+00:00</t>
  </si>
  <si>
    <t xml:space="preserve">qc_output/sub-122</t>
  </si>
  <si>
    <t xml:space="preserve">sub-123</t>
  </si>
  <si>
    <t xml:space="preserve">overall FAIL; PARTIALLY_USABLE: 5/8 recordings usable; bad channels in 6 recording(s) (AF7, Fz, F2); alpha blocking OK (median 2.4); notch filter suggested for 8/8 recordings</t>
  </si>
  <si>
    <t xml:space="preserve">AF7 x4, Fz x4, F2 x4, AF3 x3, AF8 x3, F3 x3, F1 x3, Fp1 x2, Fp2 x2, AF4 x2, F4 x2, FC2 x1, F6 x1</t>
  </si>
  <si>
    <t xml:space="preserve">2026-10-21T15:53:19+00:00</t>
  </si>
  <si>
    <t xml:space="preserve">2026-10-21T15:54:33+00:00</t>
  </si>
  <si>
    <t xml:space="preserve">qc_output/sub-123</t>
  </si>
  <si>
    <t xml:space="preserve">sub-124</t>
  </si>
  <si>
    <t xml:space="preserve">2026-10-21T15:54:35+00:00</t>
  </si>
  <si>
    <t xml:space="preserve">qc_output/sub-124</t>
  </si>
  <si>
    <t xml:space="preserve">sub-125</t>
  </si>
  <si>
    <t xml:space="preserve">2026-10-21T15:54:38+00:00</t>
  </si>
  <si>
    <t xml:space="preserve">qc_output/sub-125</t>
  </si>
  <si>
    <t xml:space="preserve">sub-126</t>
  </si>
  <si>
    <t xml:space="preserve">2026-10-21T15:54:40+00:00</t>
  </si>
  <si>
    <t xml:space="preserve">qc_output/sub-126</t>
  </si>
  <si>
    <t xml:space="preserve">sub-127</t>
  </si>
  <si>
    <t xml:space="preserve">overall FLAG; USABLE_NEEDS_INTERPOLATION: 4/4 recordings usable; bad channels in 3 recording(s) (Fz, F2, F3); alpha blocking OK (median 4.9); notch filter suggested for 2/4 recordings</t>
  </si>
  <si>
    <t xml:space="preserve">45</t>
  </si>
  <si>
    <t xml:space="preserve">Fz x2, PO10 x1, F2 x1, F3 x1, F5 x1</t>
  </si>
  <si>
    <t xml:space="preserve">2026-10-21T15:54:42+00:00</t>
  </si>
  <si>
    <t xml:space="preserve">2026-10-21T15:55:25+00:00</t>
  </si>
  <si>
    <t xml:space="preserve">qc_output/sub-127</t>
  </si>
  <si>
    <t xml:space="preserve">sub-128</t>
  </si>
  <si>
    <t xml:space="preserve">overall FLAG; USABLE_NEEDS_INTERPOLATION: 4/4 recordings usable; bad channels in 1 recording(s) (Fz); alpha blocking weak (flag only) (median 0.9); notch filter suggested for 2/4 recordings</t>
  </si>
  <si>
    <t xml:space="preserve">2026-10-21T15:55:27+00:00</t>
  </si>
  <si>
    <t xml:space="preserve">2026-10-21T15:56:09+00:00</t>
  </si>
  <si>
    <t xml:space="preserve">qc_output/sub-128</t>
  </si>
  <si>
    <t xml:space="preserve">sub-129</t>
  </si>
  <si>
    <t xml:space="preserve">overall FLAG; USABLE_NEEDS_INTERPOLATION: 8/8 recordings usable; bad channels in 8 recording(s) (Fz, F3, F8); alpha blocking OK (median 3.8); notch filter suggested for 5/8 recordings</t>
  </si>
  <si>
    <t xml:space="preserve">Fz x4, F3 x2, F8 x2, F1 x1, F4 x1, F5 x1, F6 x1, F2 x1, FC2 x1, FC1 x1</t>
  </si>
  <si>
    <t xml:space="preserve">2026-10-21T15:56:11+00:00</t>
  </si>
  <si>
    <t xml:space="preserve">2026-10-21T15:57:39+00:00</t>
  </si>
  <si>
    <t xml:space="preserve">qc_output/sub-129</t>
  </si>
  <si>
    <t xml:space="preserve">sub-130</t>
  </si>
  <si>
    <t xml:space="preserve">overall FLAG; USABLE_NEEDS_INTERPOLATION: 4/4 recordings usable; bad channels in 3 recording(s) (Fz, F2, F1); alpha blocking OK (median 3.4); notch filter suggested for 3/4 recordings</t>
  </si>
  <si>
    <t xml:space="preserve">25</t>
  </si>
  <si>
    <t xml:space="preserve">Fz x2, F2 x2, Fp1 x1, Fp2 x1, F1 x1, F3 x1, F4 x1, AF7 x1, F5 x1, F6 x1</t>
  </si>
  <si>
    <t xml:space="preserve">2026-10-21T15:57:40+00:00</t>
  </si>
  <si>
    <t xml:space="preserve">2026-10-21T15:58:22+00:00</t>
  </si>
  <si>
    <t xml:space="preserve">qc_output/sub-130</t>
  </si>
  <si>
    <t xml:space="preserve">sub-131</t>
  </si>
  <si>
    <t xml:space="preserve">2026-10-21T15:58:24+00:00</t>
  </si>
  <si>
    <t xml:space="preserve">qc_output/sub-131</t>
  </si>
  <si>
    <t xml:space="preserve">sub-132</t>
  </si>
  <si>
    <t xml:space="preserve">overall FAIL; PARTIALLY_USABLE: 3/4 recordings usable; bad channels in 4 recording(s) (FC2, F2, F1); alpha blocking OK (median 3.6); notch filter suggested for 3/4 recordings</t>
  </si>
  <si>
    <t xml:space="preserve">FC2 x4, F2 x2, F3 x1, Fz x1, F4 x1, FC1 x1, F1 x1</t>
  </si>
  <si>
    <t xml:space="preserve">2026-10-21T15:58:26+00:00</t>
  </si>
  <si>
    <t xml:space="preserve">2026-10-21T15:59:08+00:00</t>
  </si>
  <si>
    <t xml:space="preserve">qc_output/sub-132</t>
  </si>
  <si>
    <t xml:space="preserve">sub-133</t>
  </si>
  <si>
    <t xml:space="preserve">2026-10-21T15:59:10+00:00</t>
  </si>
  <si>
    <t xml:space="preserve">qc_output/sub-133</t>
  </si>
  <si>
    <t xml:space="preserve">sub-134</t>
  </si>
  <si>
    <t xml:space="preserve">overall FAIL; PARTIALLY_USABLE: 2/4 recordings usable; bad channels in 3 recording(s) (Cz, F2, Fz); alpha blocking OK (median 5.8)</t>
  </si>
  <si>
    <t xml:space="preserve">Fz x2, Cz x2, F2 x2, F3 x1, AF7 x1, F5 x1</t>
  </si>
  <si>
    <t xml:space="preserve">CRITICAL_CHANNELS_BAD; LOW_ALPHA_PROMINENCE; USABLE_NEEDS_INTERPOLATION</t>
  </si>
  <si>
    <t xml:space="preserve">2026-10-21T15:59:12+00:00</t>
  </si>
  <si>
    <t xml:space="preserve">2026-10-21T15:59:54+00:00</t>
  </si>
  <si>
    <t xml:space="preserve">qc_output/sub-134</t>
  </si>
  <si>
    <t xml:space="preserve">sub-135</t>
  </si>
  <si>
    <t xml:space="preserve">overall FAIL; PARTIALLY_USABLE: 6/8 recordings usable; bad channels in 8 recording(s) (F2, Fz, F1); alpha blocking OK (median 2.8); notch filter suggested for 8/8 recordings</t>
  </si>
  <si>
    <t xml:space="preserve">Fz x7, F2 x7, F1 x4, F3 x2, F4 x2, AF4 x2, Fp1 x1, Fp2 x1, AF7 x1, AF3 x1, AF8 x1, F5 x1, FC2 x1</t>
  </si>
  <si>
    <t xml:space="preserve">2026-10-21T15:59:57+00:00</t>
  </si>
  <si>
    <t xml:space="preserve">2026-10-21T16:04:05+00:00</t>
  </si>
  <si>
    <t xml:space="preserve">qc_output/sub-135</t>
  </si>
  <si>
    <t xml:space="preserve">sub-136</t>
  </si>
  <si>
    <t xml:space="preserve">overall FAIL; PARTIALLY_USABLE: 3/4 recordings usable; bad channels in 4 recording(s) (Fz, AF7, AF4); alpha blocking OK (median 8.2); notch filter suggested for 1/4 recordings</t>
  </si>
  <si>
    <t xml:space="preserve">Fz x3, AF7 x2, Fp1 x1, Fp2 x1, F3 x1, AF3 x1, AF4 x1, AF8 x1, F5 x1, F1 x1, F2 x1, F4 x1, FC1 x1, F6 x1</t>
  </si>
  <si>
    <t xml:space="preserve">2026-10-21T16:04:06+00:00</t>
  </si>
  <si>
    <t xml:space="preserve">2026-10-21T16:04:49+00:00</t>
  </si>
  <si>
    <t xml:space="preserve">qc_output/sub-136</t>
  </si>
  <si>
    <t xml:space="preserve">sub-137</t>
  </si>
  <si>
    <t xml:space="preserve">overall FLAG; USABLE_NEEDS_INTERPOLATION: 8/8 recordings usable; bad channels in 3 recording(s) (FC1, FC2, FC4); alpha blocking OK (median 2.3); notch filter suggested for 5/8 recordings</t>
  </si>
  <si>
    <t xml:space="preserve">Fz x1, FC5 x1, FC1 x1, FC2 x1, FC4 x1</t>
  </si>
  <si>
    <t xml:space="preserve">2026-10-21T16:04:51+00:00</t>
  </si>
  <si>
    <t xml:space="preserve">2026-10-21T16:06:08+00:00</t>
  </si>
  <si>
    <t xml:space="preserve">qc_output/sub-137</t>
  </si>
  <si>
    <t xml:space="preserve">sub-138</t>
  </si>
  <si>
    <t xml:space="preserve">Rejected: Late triggers (late_ses1=366, late_ses2=0)</t>
  </si>
  <si>
    <t xml:space="preserve">Late triggers (late_ses1=366, late_ses2=0)</t>
  </si>
  <si>
    <t xml:space="preserve">2026-10-21T16:06:10+00:00</t>
  </si>
  <si>
    <t xml:space="preserve">qc_output/sub-138</t>
  </si>
  <si>
    <t xml:space="preserve">sub-139</t>
  </si>
  <si>
    <t xml:space="preserve">2026-10-21T16:06:12+00:00</t>
  </si>
  <si>
    <t xml:space="preserve">qc_output/sub-139</t>
  </si>
  <si>
    <t xml:space="preserve">sub-140</t>
  </si>
  <si>
    <t xml:space="preserve">overall FAIL; PARTIALLY_USABLE: 3/4 recordings usable; bad channels in 4 recording(s) (AF7, F1, AF8); alpha blocking weak (flag only) (median 0.5); notch filter suggested for 2/4 recordings</t>
  </si>
  <si>
    <t xml:space="preserve">Fz x2, AF7 x2, AF8 x2, F1 x2, F2 x2, Fp2 x1, F3 x1, AF3 x1, AF4 x1, F5 x1, Fp1 x1, F7 x1, F8 x1, FC3 x1, FC1 x1</t>
  </si>
  <si>
    <t xml:space="preserve">2026-10-21T16:06:14+00:00</t>
  </si>
  <si>
    <t xml:space="preserve">2026-10-21T16:07:05+00:00</t>
  </si>
  <si>
    <t xml:space="preserve">qc_output/sub-140</t>
  </si>
  <si>
    <t xml:space="preserve">sub-141</t>
  </si>
  <si>
    <t xml:space="preserve">2026-10-21T16:07:07+00:00</t>
  </si>
  <si>
    <t xml:space="preserve">qc_output/sub-141</t>
  </si>
  <si>
    <t xml:space="preserve">sub-142</t>
  </si>
  <si>
    <t xml:space="preserve">Rejected: Late triggers (late_ses1=0, late_ses2=2)</t>
  </si>
  <si>
    <t xml:space="preserve">Late triggers (late_ses1=0, late_ses2=2)</t>
  </si>
  <si>
    <t xml:space="preserve">2026-10-21T16:07:10+00:00</t>
  </si>
  <si>
    <t xml:space="preserve">qc_output/sub-142</t>
  </si>
  <si>
    <t xml:space="preserve">sub-143</t>
  </si>
  <si>
    <t xml:space="preserve">overall FAIL; PARTIALLY_USABLE: 5/8 recordings usable; bad channels in 7 recording(s) (F4, F3, F2); alpha blocking OK (median 3.7); notch filter suggested for 6/8 recordings</t>
  </si>
  <si>
    <t xml:space="preserve">29</t>
  </si>
  <si>
    <t xml:space="preserve">Fz x4, F3 x4, F4 x4, F1 x4, F2 x4, FC2 x4, AF3 x3, Fp1 x2, Fp2 x2, FC1 x2, AF4 x2, AF7 x1, F8 x1, AF8 x1, F7 x1, F6 x1</t>
  </si>
  <si>
    <t xml:space="preserve">2026-10-21T16:07:12+00:00</t>
  </si>
  <si>
    <t xml:space="preserve">2026-10-21T16:08:28+00:00</t>
  </si>
  <si>
    <t xml:space="preserve">qc_output/sub-143</t>
  </si>
  <si>
    <t xml:space="preserve">sub-144</t>
  </si>
  <si>
    <t xml:space="preserve">overall FLAG; USABLE_NEEDS_INTERPOLATION: 4/4 recordings usable; bad channels in 4 recording(s) (FC1, Fz, F4); alpha blocking OK (median 3.6); notch filter suggested for 4/4 recordings</t>
  </si>
  <si>
    <t xml:space="preserve">Fz x2, FC1 x2, F4 x1, F8 x1, FC3 x1</t>
  </si>
  <si>
    <t xml:space="preserve">2026-10-21T16:08:30+00:00</t>
  </si>
  <si>
    <t xml:space="preserve">2026-10-21T16:09:12+00:00</t>
  </si>
  <si>
    <t xml:space="preserve">qc_output/sub-144</t>
  </si>
  <si>
    <t xml:space="preserve">sub-145</t>
  </si>
  <si>
    <t xml:space="preserve">overall FAIL; PARTIALLY_USABLE: 7/8 recordings usable; bad channels in 6 recording(s) (Fz, F2, F1); alpha blocking OK (median 2.7); notch filter suggested for 1/8 recordings</t>
  </si>
  <si>
    <t xml:space="preserve">Fz x6, F2 x6, F1 x4, FC2 x2, Fp1 x2, Fp2 x2, AF3 x2, F3 x1, AF7 x1, AF4 x1</t>
  </si>
  <si>
    <t xml:space="preserve">CRITICAL_CHANNEL_BAD; DURATION_S; LOW_ALPHA_PROMINENCE; TOO_MANY_BAD_CHANNELS; USABLE_NEEDS_INTERPOLATION</t>
  </si>
  <si>
    <t xml:space="preserve">2026-10-21T16:09:15+00:00</t>
  </si>
  <si>
    <t xml:space="preserve">2026-10-21T16:10:36+00:00</t>
  </si>
  <si>
    <t xml:space="preserve">qc_output/sub-145</t>
  </si>
  <si>
    <t xml:space="preserve">sub-146</t>
  </si>
  <si>
    <t xml:space="preserve">overall FAIL; PARTIALLY_USABLE: 3/4 recordings usable; bad channels in 3 recording(s) (F1, F5, Fz); alpha blocking OK (median 6.8); notch filter suggested for 1/4 recordings</t>
  </si>
  <si>
    <t xml:space="preserve">Fz x2, F5 x2, F1 x2, F2 x2, Fp1 x1, Fp2 x1, F3 x1, F4 x1, AF7 x1, AF3 x1, AF4 x1, AF8 x1, F7 x1</t>
  </si>
  <si>
    <t xml:space="preserve">2026-10-21T16:10:37+00:00</t>
  </si>
  <si>
    <t xml:space="preserve">2026-10-21T16:11:21+00:00</t>
  </si>
  <si>
    <t xml:space="preserve">qc_output/sub-146</t>
  </si>
  <si>
    <t xml:space="preserve">sub-147</t>
  </si>
  <si>
    <t xml:space="preserve">overall FAIL; PARTIALLY_USABLE: 5/8 recordings usable; bad channels in 4 recording(s) (AF4, AF7, F2); alpha blocking OK (median 8.3); notch filter suggested for 7/8 recordings</t>
  </si>
  <si>
    <t xml:space="preserve">AF7 x4, AF4 x4, F1 x4, F2 x4, Fz x3, AF8 x3, AF3 x3, F3 x2, F5 x2, Fp1 x1, Fp2 x1, F4 x1</t>
  </si>
  <si>
    <t xml:space="preserve">2026-10-21T16:11:24+00:00</t>
  </si>
  <si>
    <t xml:space="preserve">2026-10-21T16:12:46+00:00</t>
  </si>
  <si>
    <t xml:space="preserve">qc_output/sub-147</t>
  </si>
  <si>
    <t xml:space="preserve">sub-148</t>
  </si>
  <si>
    <t xml:space="preserve">overall FAIL; PARTIALLY_USABLE: 2/4 recordings usable; bad channels in 4 recording(s) (F6, FC2, AF3); alpha blocking OK (median 10.4); notch filter suggested for 4/4 recordings</t>
  </si>
  <si>
    <t xml:space="preserve">FC2 x3, F6 x3, Fp1 x2, Fp2 x2, F3 x2, F4 x2, AF7 x2, AF3 x2, AF4 x2, AF8 x2, F1 x2, F2 x1, F7 x1, F5 x1, FC3 x1</t>
  </si>
  <si>
    <t xml:space="preserve">2026-10-21T16:12:49+00:00</t>
  </si>
  <si>
    <t xml:space="preserve">2026-10-21T16:13:40+00:00</t>
  </si>
  <si>
    <t xml:space="preserve">qc_output/sub-148</t>
  </si>
  <si>
    <t xml:space="preserve">sub-149</t>
  </si>
  <si>
    <t xml:space="preserve">overall FLAG; USABLE_NEEDS_INTERPOLATION: 4/4 recordings usable; bad channels in 2 recording(s) (F5, F7, FC2); alpha blocking OK (median 3.5); notch filter suggested for 4/4 recordings</t>
  </si>
  <si>
    <t xml:space="preserve">F7 x1, F5 x1, Fp1 x1, Fp2 x1, FC2 x1, FC6 x1, FC4 x1</t>
  </si>
  <si>
    <t xml:space="preserve">LINE_NOISE; USABLE_NEEDS_INTERPOLATION</t>
  </si>
  <si>
    <t xml:space="preserve">2026-10-21T16:13:43+00:00</t>
  </si>
  <si>
    <t xml:space="preserve">2026-10-21T16:14:31+00:00</t>
  </si>
  <si>
    <t xml:space="preserve">qc_output/sub-149</t>
  </si>
  <si>
    <t xml:space="preserve">sub-150</t>
  </si>
  <si>
    <t xml:space="preserve">overall FLAG; USABLE_NEEDS_INTERPOLATION: 4/4 recordings usable; bad channels in 4 recording(s) (F2, F1, Fz); alpha blocking OK (median 2.7); notch filter suggested for 2/4 recordings</t>
  </si>
  <si>
    <t xml:space="preserve">Fz x2, F1 x2, F2 x2, F8 x2, FC2 x2, Fp2 x1, AF4 x1, AF8 x1, FC5 x1, FC1 x1</t>
  </si>
  <si>
    <t xml:space="preserve">2026-10-21T14:46:25+00:00</t>
  </si>
  <si>
    <t xml:space="preserve">2026-10-21T14:47:12+00:00</t>
  </si>
  <si>
    <t xml:space="preserve">qc_output/sub-150</t>
  </si>
  <si>
    <t xml:space="preserve">sub-151</t>
  </si>
  <si>
    <t xml:space="preserve">overall PASS; USABLE: 4/4 recordings usable; no bad channels; alpha blocking OK (median 3.3); notch filter suggested for 4/4 recordings</t>
  </si>
  <si>
    <t xml:space="preserve">2026-10-21T14:48:01+00:00</t>
  </si>
  <si>
    <t xml:space="preserve">qc_output/sub-151</t>
  </si>
  <si>
    <t xml:space="preserve">sub-152</t>
  </si>
  <si>
    <t xml:space="preserve">overall FLAG; USABLE_NEEDS_INTERPOLATION: 4/4 recordings usable; bad channels in 4 recording(s) (F5, FC4, F6); alpha blocking weak (flag only) (median 0.7); notch filter suggested for 2/4 recordings</t>
  </si>
  <si>
    <t xml:space="preserve">F5 x2, FC4 x2, FC5 x1, TP9 x1, FC3 x1, Fz x1, F2 x1, F7 x1, F8 x1, F6 x1, FC2 x1, FC6 x1</t>
  </si>
  <si>
    <t xml:space="preserve">2026-10-21T14:48:56+00:00</t>
  </si>
  <si>
    <t xml:space="preserve">qc_output/sub-152</t>
  </si>
  <si>
    <t xml:space="preserve">sub-153</t>
  </si>
  <si>
    <t xml:space="preserve">overall FAIL; PARTIALLY_USABLE: 2/4 recordings usable; bad channels in 4 recording(s) (Fz, AF3, AF7); alpha blocking weak (flag only) (median 1.5); notch filter suggested for 2/4 recordings</t>
  </si>
  <si>
    <t xml:space="preserve">Fz x3, Fp1 x2, Fp2 x2, F3 x2, F4 x2, AF7 x2, AF3 x2, AF4 x2, AF8 x2, F5 x2, F1 x2, F2 x2</t>
  </si>
  <si>
    <t xml:space="preserve">2026-10-21T14:49:44+00:00</t>
  </si>
  <si>
    <t xml:space="preserve">qc_output/sub-153</t>
  </si>
  <si>
    <t xml:space="preserve">sub-154</t>
  </si>
  <si>
    <t xml:space="preserve">overall FAIL; PARTIALLY_USABLE: 2/4 recordings usable; bad channels in 2 recording(s) (F3, F2, AF8); alpha blocking OK (median 3.2); notch filter suggested for 4/4 recordings</t>
  </si>
  <si>
    <t xml:space="preserve">F3 x2, F4 x2, AF8 x2, F2 x2, Fp1 x1, Fp2 x1, Fz x1, AF7 x1, AF3 x1, AF4 x1, F1 x1, F7 x1, FC1 x1, F5 x1, F6 x1</t>
  </si>
  <si>
    <t xml:space="preserve">2026-10-21T14:50:33+00:00</t>
  </si>
  <si>
    <t xml:space="preserve">qc_output/sub-154</t>
  </si>
  <si>
    <t xml:space="preserve">sub-155</t>
  </si>
  <si>
    <t xml:space="preserve">qc_output/sub-155</t>
  </si>
  <si>
    <t xml:space="preserve">sub-156</t>
  </si>
  <si>
    <t xml:space="preserve">overall FAIL; PARTIALLY_USABLE: 3/4 recordings usable; bad channels in 4 recording(s) (F3, Fz, F5); alpha blocking OK (median 2.4); notch filter suggested for 2/4 recordings</t>
  </si>
  <si>
    <t xml:space="preserve">Fz x2, F3 x2, F5 x2, FC6 x1, F4 x1, F8 x1, AF7 x1, F1 x1, F6 x1</t>
  </si>
  <si>
    <t xml:space="preserve">2026-10-21T14:51:23+00:00</t>
  </si>
  <si>
    <t xml:space="preserve">qc_output/sub-156</t>
  </si>
  <si>
    <t xml:space="preserve">sub-157</t>
  </si>
  <si>
    <t xml:space="preserve">overall FLAG; USABLE_NEEDS_INTERPOLATION: 4/4 recordings usable; bad channels in 4 recording(s) (FC1, F1, F2); alpha blocking OK (median 3.4); notch filter suggested for 4/4 recordings</t>
  </si>
  <si>
    <t xml:space="preserve">FC1 x4, Fz x1, F1 x1, F2 x1</t>
  </si>
  <si>
    <t xml:space="preserve">2026-10-21T14:52:09+00:00</t>
  </si>
  <si>
    <t xml:space="preserve">qc_output/sub-157</t>
  </si>
  <si>
    <t xml:space="preserve">sub-158</t>
  </si>
  <si>
    <t xml:space="preserve">overall FAIL; PARTIALLY_USABLE: 2/4 recordings usable; bad channels in 3 recording(s) (Fz, AF4, AF7); alpha blocking weak (flag only) (median 1.0); notch filter suggested for 2/4 recordings</t>
  </si>
  <si>
    <t xml:space="preserve">Fz x3, Fp1 x2, Fp2 x2, F3 x2, F4 x2, AF7 x2, AF3 x2, AF4 x2, AF8 x2, F5 x2, F1 x2, F2 x2, F6 x2</t>
  </si>
  <si>
    <t xml:space="preserve">2026-10-21T14:52:58+00:00</t>
  </si>
  <si>
    <t xml:space="preserve">qc_output/sub-158</t>
  </si>
  <si>
    <t xml:space="preserve">sub-159</t>
  </si>
  <si>
    <t xml:space="preserve">overall FAIL; PARTIALLY_USABLE: 2/4 recordings usable; bad channels in 4 recording(s) (F1, AF7, Fz); alpha blocking OK (median 2.1); notch filter suggested for 4/4 recordings</t>
  </si>
  <si>
    <t xml:space="preserve">Fz x4, AF7 x4, F1 x4, Fp1 x2, Fp2 x2, AF3 x2, AF4 x2, F2 x1</t>
  </si>
  <si>
    <t xml:space="preserve">2026-10-21T14:53:47+00:00</t>
  </si>
  <si>
    <t xml:space="preserve">qc_output/sub-159</t>
  </si>
  <si>
    <t xml:space="preserve">sub-160</t>
  </si>
  <si>
    <t xml:space="preserve">overall FLAG; USABLE_NEEDS_INTERPOLATION: 8/8 recordings usable; bad channels in 5 recording(s) (FC1, Fz, F6); alpha blocking OK (median 1.9); notch filter suggested for 8/8 recordings</t>
  </si>
  <si>
    <t xml:space="preserve">Fz x2, FC1 x2, F6 x1, F8 x1, FC2 x1</t>
  </si>
  <si>
    <t xml:space="preserve">CRITICAL_CHANNEL_BAD; LINE_NOISE; LOW_ALPHA_PROMINENCE; USABLE_NEEDS_INTERPOLATION</t>
  </si>
  <si>
    <t xml:space="preserve">2026-10-21T14:55:16+00:00</t>
  </si>
  <si>
    <t xml:space="preserve">qc_output/sub-160</t>
  </si>
  <si>
    <t xml:space="preserve">sub-161</t>
  </si>
  <si>
    <t xml:space="preserve">overall FAIL; PARTIALLY_USABLE: 3/4 recordings usable; bad channels in 3 recording(s) (Fz, F3, F1); alpha blocking OK (median 8.5); notch filter suggested for 1/4 recordings</t>
  </si>
  <si>
    <t xml:space="preserve">34</t>
  </si>
  <si>
    <t xml:space="preserve">Fz x3, F3 x2, F1 x2, F5 x1, Fp1 x1, F4 x1, AF7 x1, AF3 x1, F2 x1</t>
  </si>
  <si>
    <t xml:space="preserve">2026-10-21T14:56:06+00:00</t>
  </si>
  <si>
    <t xml:space="preserve">qc_output/sub-161</t>
  </si>
  <si>
    <t xml:space="preserve">sub-162</t>
  </si>
  <si>
    <t xml:space="preserve">overall FAIL; PARTIALLY_USABLE: 3/4 recordings usable; bad channels in 4 recording(s) (F2, F1, F6); alpha blocking OK (median 13.9); notch filter suggested for 2/4 recordings</t>
  </si>
  <si>
    <t xml:space="preserve">Fz x2, F4 x2, F1 x2, F2 x2, F6 x2, F3 x1, AF3 x1, AF4 x1, F7 x1, F8 x1, FC1 x1, FC3 x1</t>
  </si>
  <si>
    <t xml:space="preserve">2026-10-21T14:56:54+00:00</t>
  </si>
  <si>
    <t xml:space="preserve">qc_output/sub-162</t>
  </si>
  <si>
    <t xml:space="preserve">sub-163</t>
  </si>
  <si>
    <t xml:space="preserve">overall FAIL; PARTIALLY_USABLE: 3/4 recordings usable; bad channels in 4 recording(s) (Fz, Fp2, AF4); alpha blocking OK (median 2.3); notch filter suggested for 4/4 recordings</t>
  </si>
  <si>
    <t xml:space="preserve">Fz x4, Fp1 x2, Fp2 x2, AF4 x2, F2 x2, AF7 x1, AF3 x1, AF8 x1, F1 x1</t>
  </si>
  <si>
    <t xml:space="preserve">2026-10-21T14:57:42+00:00</t>
  </si>
  <si>
    <t xml:space="preserve">qc_output/sub-163</t>
  </si>
  <si>
    <t xml:space="preserve">sub-164</t>
  </si>
  <si>
    <t xml:space="preserve">2026-10-21T14:57:43+00:00</t>
  </si>
  <si>
    <t xml:space="preserve">qc_output/sub-164</t>
  </si>
  <si>
    <t xml:space="preserve">sub-165</t>
  </si>
  <si>
    <t xml:space="preserve">overall FAIL; PARTIALLY_USABLE: 6/8 recordings usable; bad channels in 4 recording(s) (F2, Fz, Fp2); alpha blocking OK (median 4.9); notch filter suggested for 6/8 recordings</t>
  </si>
  <si>
    <t xml:space="preserve">Fz x4, F2 x4, Fp2 x3, F4 x3, AF4 x3, Fp1 x2, AF7 x2, AF3 x2, AF8 x2, F1 x2, F3 x1, F5 x1, F6 x1</t>
  </si>
  <si>
    <t xml:space="preserve">2026-10-21T14:59:20+00:00</t>
  </si>
  <si>
    <t xml:space="preserve">qc_output/sub-165</t>
  </si>
  <si>
    <t xml:space="preserve">sub-166</t>
  </si>
  <si>
    <t xml:space="preserve">overall FAIL; PARTIALLY_USABLE: 3/4 recordings usable; bad channels in 1 recording(s) (AF3, AF4, AF7); alpha blocking OK (median 6.8); notch filter suggested for 3/4 recordings</t>
  </si>
  <si>
    <t xml:space="preserve">Fp1 x1, Fp2 x1, F3 x1, Fz x1, F4 x1, AF7 x1, AF3 x1, AF4 x1, AF8 x1, F1 x1, F2 x1</t>
  </si>
  <si>
    <t xml:space="preserve">CRITICAL_CHANNEL_BAD; LOW_ALPHA_PROMINENCE; TOO_MANY_BAD_CHANNELS</t>
  </si>
  <si>
    <t xml:space="preserve">2026-10-21T15:00:10+00:00</t>
  </si>
  <si>
    <t xml:space="preserve">qc_output/sub-166</t>
  </si>
  <si>
    <t xml:space="preserve">sub-167</t>
  </si>
  <si>
    <t xml:space="preserve">overall FAIL; PARTIALLY_USABLE: 1/4 recordings usable; bad channels in 4 recording(s) (FC4, F1, F8); alpha blocking OK (median 7.1); notch filter suggested for 2/4 recordings</t>
  </si>
  <si>
    <t xml:space="preserve">FC4 x3, Fz x2, F1 x2, F2 x2, F7 x2, F8 x2, FC5 x2, FC2 x2, FC6 x2, AF7 x2, FC3 x2, Fp1 x1, Fp2 x1, F3 x1, F4 x1, AF3 x1, AF4 x1, AF8 x1, FT8 x1, F5 x1, F6 x1</t>
  </si>
  <si>
    <t xml:space="preserve">2026-10-21T15:00:58+00:00</t>
  </si>
  <si>
    <t xml:space="preserve">qc_output/sub-167</t>
  </si>
  <si>
    <t xml:space="preserve">sub-168</t>
  </si>
  <si>
    <t xml:space="preserve">overall FAIL; PARTIALLY_USABLE: 7/8 recordings usable; bad channels in 6 recording(s) (Fz, F4, F2); alpha blocking OK (median 4.6); notch filter suggested for 8/8 recordings</t>
  </si>
  <si>
    <t xml:space="preserve">Fz x5, F4 x3, F2 x3, F6 x2, F8 x1, FC2 x1, F3 x1, AF3 x1, AF4 x1, F5 x1, F1 x1, FC6 x1, FC4 x1</t>
  </si>
  <si>
    <t xml:space="preserve">2026-10-21T15:02:27+00:00</t>
  </si>
  <si>
    <t xml:space="preserve">qc_output/sub-168</t>
  </si>
  <si>
    <t xml:space="preserve">sub-169</t>
  </si>
  <si>
    <t xml:space="preserve">2026-10-21T15:02:28+00:00</t>
  </si>
  <si>
    <t xml:space="preserve">qc_output/sub-169</t>
  </si>
  <si>
    <t xml:space="preserve">sub-170</t>
  </si>
  <si>
    <t xml:space="preserve">Rejected: Late triggers (late_ses1=42, late_ses2=0)</t>
  </si>
  <si>
    <t xml:space="preserve">Late triggers (late_ses1=42, late_ses2=0)</t>
  </si>
  <si>
    <t xml:space="preserve">qc_output/sub-170</t>
  </si>
  <si>
    <t xml:space="preserve">sub-171</t>
  </si>
  <si>
    <t xml:space="preserve">overall FLAG; USABLE_NEEDS_INTERPOLATION: 8/8 recordings usable; bad channels in 4 recording(s) (Fp2, Fp1, AF3); alpha blocking OK (median 4.1); notch filter suggested for 4/8 recordings</t>
  </si>
  <si>
    <t xml:space="preserve">Fp2 x3, Fp1 x2, AF3 x2, Fz x2, AF4 x1, AF8 x1, F2 x1</t>
  </si>
  <si>
    <t xml:space="preserve">CRITICAL_CHANNEL_BAD; USABLE_NEEDS_INTERPOLATION; WEAK_ALPHA_BLOCKING</t>
  </si>
  <si>
    <t xml:space="preserve">2026-10-21T15:02:29+00:00</t>
  </si>
  <si>
    <t xml:space="preserve">2026-10-21T15:03:58+00:00</t>
  </si>
  <si>
    <t xml:space="preserve">qc_output/sub-171</t>
  </si>
  <si>
    <t xml:space="preserve">sub-172</t>
  </si>
  <si>
    <t xml:space="preserve">overall FLAG; USABLE_NEEDS_INTERPOLATION: 8/8 recordings usable; bad channels in 1 recording(s) (F3, F5, F8); alpha blocking OK (median 4.5); notch filter suggested for 4/8 recordings</t>
  </si>
  <si>
    <t xml:space="preserve">F3 x1, F8 x1, F5 x1</t>
  </si>
  <si>
    <t xml:space="preserve">LINE_NOISE; LOW_ALPHA_PROMINENCE; USABLE_NEEDS_INTERPOLATION; WEAK_ALPHA_BLOCKING</t>
  </si>
  <si>
    <t xml:space="preserve">2026-10-21T15:03:59+00:00</t>
  </si>
  <si>
    <t xml:space="preserve">2026-10-21T15:05:33+00:00</t>
  </si>
  <si>
    <t xml:space="preserve">qc_output/sub-172</t>
  </si>
  <si>
    <t xml:space="preserve">sub-173</t>
  </si>
  <si>
    <t xml:space="preserve">overall FAIL; PARTIALLY_USABLE: 3/4 recordings usable; bad channels in 4 recording(s) (F1, FC4, AF3); alpha blocking OK (median 12.1); notch filter suggested for 4/4 recordings</t>
  </si>
  <si>
    <t xml:space="preserve">F1 x2, FC4 x2, Fp1 x1, Fp2 x1, F3 x1, Fz x1, F4 x1, AF3 x1, AF4 x1, AF8 x1, F5 x1, F2 x1, FC5 x1, FC2 x1, FC6 x1, FT7 x1, FC3 x1</t>
  </si>
  <si>
    <t xml:space="preserve">2026-10-21T15:05:34+00:00</t>
  </si>
  <si>
    <t xml:space="preserve">2026-10-21T15:06:22+00:00</t>
  </si>
  <si>
    <t xml:space="preserve">qc_output/sub-173</t>
  </si>
  <si>
    <t xml:space="preserve">sub-174</t>
  </si>
  <si>
    <t xml:space="preserve">overall FLAG; USABLE_NEEDS_INTERPOLATION: 4/4 recordings usable; bad channels in 4 recording(s) (Fz, FC1, F4); alpha blocking OK (median 2.9)</t>
  </si>
  <si>
    <t xml:space="preserve">Fz x2, FC1 x2, F1 x1, F4 x1</t>
  </si>
  <si>
    <t xml:space="preserve">2026-10-21T15:06:23+00:00</t>
  </si>
  <si>
    <t xml:space="preserve">2026-10-21T15:07:12+00:00</t>
  </si>
  <si>
    <t xml:space="preserve">qc_output/sub-174</t>
  </si>
  <si>
    <t xml:space="preserve">sub-175</t>
  </si>
  <si>
    <t xml:space="preserve">overall FLAG; USABLE_NEEDS_INTERPOLATION: 4/4 recordings usable; bad channels in 4 recording(s) (F2, Fz, F3); alpha blocking OK (median 1.7); notch filter suggested for 4/4 recordings</t>
  </si>
  <si>
    <t xml:space="preserve">Fz x2, F2 x2, F3 x1, F4 x1, F5 x1, F1 x1, F6 x1, FC2 x1</t>
  </si>
  <si>
    <t xml:space="preserve">2026-10-21T15:08:03+00:00</t>
  </si>
  <si>
    <t xml:space="preserve">qc_output/sub-175</t>
  </si>
  <si>
    <t xml:space="preserve">sub-176</t>
  </si>
  <si>
    <t xml:space="preserve">Rejected: Age above 60 (62); Late triggers (late_ses1=16, late_ses2=n/a)</t>
  </si>
  <si>
    <t xml:space="preserve">Age above 60 (62); Late triggers (late_ses1=16, late_ses2=n/a)</t>
  </si>
  <si>
    <t xml:space="preserve">2026-10-21T15:08:04+00:00</t>
  </si>
  <si>
    <t xml:space="preserve">qc_output/sub-176</t>
  </si>
  <si>
    <t xml:space="preserve">sub-177</t>
  </si>
  <si>
    <t xml:space="preserve">overall FAIL; PARTIALLY_USABLE: 2/4 recordings usable; bad channels in 3 recording(s) (AF3, AF4, F1); alpha blocking OK (median 28.9); notch filter suggested for 1/4 recordings</t>
  </si>
  <si>
    <t xml:space="preserve">F4 x2, AF3 x2, AF4 x2, F1 x2, F2 x2, F6 x2, Fz x1, Fp2 x1, F3 x1, F8 x1, FC5 x1</t>
  </si>
  <si>
    <t xml:space="preserve">2026-10-21T15:09:00+00:00</t>
  </si>
  <si>
    <t xml:space="preserve">qc_output/sub-177</t>
  </si>
  <si>
    <t xml:space="preserve">sub-178</t>
  </si>
  <si>
    <t xml:space="preserve">overall FLAG; USABLE_NEEDS_INTERPOLATION: 4/4 recordings usable; bad channels in 2 recording(s) (F6, F7, Fz); alpha blocking OK (median 1.8); notch filter suggested for 4/4 recordings</t>
  </si>
  <si>
    <t xml:space="preserve">Fz x1, F7 x1, F6 x1</t>
  </si>
  <si>
    <t xml:space="preserve">CRITICAL_CHANNEL_BAD; HIGH_LINE_NOISE; USABLE_NEEDS_INTERPOLATION</t>
  </si>
  <si>
    <t xml:space="preserve">2026-10-21T15:09:01+00:00</t>
  </si>
  <si>
    <t xml:space="preserve">2026-10-21T15:09:52+00:00</t>
  </si>
  <si>
    <t xml:space="preserve">qc_output/sub-178</t>
  </si>
  <si>
    <t xml:space="preserve">sub-179</t>
  </si>
  <si>
    <t xml:space="preserve">Rejected: Late triggers (late_ses1=1884, late_ses2=n/a)</t>
  </si>
  <si>
    <t xml:space="preserve">Late triggers (late_ses1=1884, late_ses2=n/a)</t>
  </si>
  <si>
    <t xml:space="preserve">2026-10-21T15:09:53+00:00</t>
  </si>
  <si>
    <t xml:space="preserve">qc_output/sub-179</t>
  </si>
  <si>
    <t xml:space="preserve">sub-180</t>
  </si>
  <si>
    <t xml:space="preserve">overall FLAG; USABLE_NEEDS_INTERPOLATION: 4/4 recordings usable; bad channels in 4 recording(s) (TP7, Fz, F8); alpha blocking OK (median 2.6); notch filter suggested for 3/4 recordings</t>
  </si>
  <si>
    <t xml:space="preserve">Fz x2, TP7 x2, F7 x1, F8 x1</t>
  </si>
  <si>
    <t xml:space="preserve">CRITICAL_CHANNEL_BAD; NO_ALPHA_BLOCKING; USABLE_NEEDS_INTERPOLATION</t>
  </si>
  <si>
    <t xml:space="preserve">2026-10-21T15:09:54+00:00</t>
  </si>
  <si>
    <t xml:space="preserve">2026-10-21T15:10:45+00:00</t>
  </si>
  <si>
    <t xml:space="preserve">qc_output/sub-180</t>
  </si>
  <si>
    <t xml:space="preserve">sub-181</t>
  </si>
  <si>
    <t xml:space="preserve">overall FLAG; USABLE_NEEDS_INTERPOLATION: 8/8 recordings usable; bad channels in 1 recording(s) (F2, Fz); alpha blocking OK (median 2.2); notch filter suggested for 8/8 recordings</t>
  </si>
  <si>
    <t xml:space="preserve">Fz x1, F2 x1</t>
  </si>
  <si>
    <t xml:space="preserve">2026-10-21T15:10:46+00:00</t>
  </si>
  <si>
    <t xml:space="preserve">2026-10-21T15:12:16+00:00</t>
  </si>
  <si>
    <t xml:space="preserve">qc_output/sub-181</t>
  </si>
  <si>
    <t xml:space="preserve">sub-182</t>
  </si>
  <si>
    <t xml:space="preserve">2026-10-21T15:12:17+00:00</t>
  </si>
  <si>
    <t xml:space="preserve">qc_output/sub-182</t>
  </si>
  <si>
    <t xml:space="preserve">sub-183</t>
  </si>
  <si>
    <t xml:space="preserve">Rejected: Late triggers (late_ses1=29, late_ses2=0)</t>
  </si>
  <si>
    <t xml:space="preserve">Late triggers (late_ses1=29, late_ses2=0)</t>
  </si>
  <si>
    <t xml:space="preserve">2026-10-21T15:12:18+00:00</t>
  </si>
  <si>
    <t xml:space="preserve">qc_output/sub-183</t>
  </si>
  <si>
    <t xml:space="preserve">sub-184</t>
  </si>
  <si>
    <t xml:space="preserve">overall FAIL; PARTIALLY_USABLE: 6/8 recordings usable; bad channels in 7 recording(s) (Fz, F2, AF3); alpha blocking OK (median 1.8); notch filter suggested for 7/8 recordings</t>
  </si>
  <si>
    <t xml:space="preserve">Fz x6, F2 x4, Fp2 x3, AF3 x3, Fp1 x2, AF7 x2, AF4 x2, F6 x1, F3 x1, F4 x1, AF8 x1, F1 x1</t>
  </si>
  <si>
    <t xml:space="preserve">2026-10-21T15:13:49+00:00</t>
  </si>
  <si>
    <t xml:space="preserve">qc_output/sub-184</t>
  </si>
  <si>
    <t xml:space="preserve">sub-185</t>
  </si>
  <si>
    <t xml:space="preserve">overall FAIL; PARTIALLY_USABLE: 1/4 recordings usable; bad channels in 3 recording(s) (AF3, AF4, AF8); alpha blocking OK (median 4.6); notch filter suggested for 4/4 recordings</t>
  </si>
  <si>
    <t xml:space="preserve">Fp1 x3, Fp2 x3, F3 x3, Fz x3, F4 x3, AF3 x3, AF4 x3, AF8 x3, F1 x3, F2 x3, AF7 x2, POz x2</t>
  </si>
  <si>
    <t xml:space="preserve">CRITICAL_CHANNEL_BAD; LINE_NOISE; TOO_MANY_BAD_CHANNELS; WEAK_ALPHA_BLOCKING</t>
  </si>
  <si>
    <t xml:space="preserve">2026-10-21T15:13:50+00:00</t>
  </si>
  <si>
    <t xml:space="preserve">2026-10-21T15:14:41+00:00</t>
  </si>
  <si>
    <t xml:space="preserve">qc_output/sub-185</t>
  </si>
  <si>
    <t xml:space="preserve">sub-186</t>
  </si>
  <si>
    <t xml:space="preserve">2026-10-21T15:14:42+00:00</t>
  </si>
  <si>
    <t xml:space="preserve">qc_output/sub-186</t>
  </si>
  <si>
    <t xml:space="preserve">sub-187</t>
  </si>
  <si>
    <t xml:space="preserve">overall FAIL; PARTIALLY_USABLE: 3/4 recordings usable; bad channels in 2 recording(s) (Fz, Fp1, F2); alpha blocking weak (flag only) (median 1.4)</t>
  </si>
  <si>
    <t xml:space="preserve">Fp1 x2, Fz x2, F2 x2, Fp2 x1, F3 x1, AF7 x1, AF3 x1, AF4 x1, AF8 x1, F5 x1, F1 x1</t>
  </si>
  <si>
    <t xml:space="preserve">2026-10-21T15:15:30+00:00</t>
  </si>
  <si>
    <t xml:space="preserve">qc_output/sub-187</t>
  </si>
  <si>
    <t xml:space="preserve">sub-188</t>
  </si>
  <si>
    <t xml:space="preserve">overall FAIL; PARTIALLY_USABLE: 5/8 recordings usable; bad channels in 8 recording(s) (F5, F6, Fz); alpha blocking OK (median 7.5); notch filter suggested for 8/8 recordings</t>
  </si>
  <si>
    <t xml:space="preserve">43</t>
  </si>
  <si>
    <t xml:space="preserve">Fz x4, F5 x4, F6 x4, AF7 x3, AF8 x3, F2 x3, F3 x2, F4 x2, Fp1 x2, Fp2 x2, AF3 x2, AF4 x2, F1 x1, FC4 x1</t>
  </si>
  <si>
    <t xml:space="preserve">2026-10-21T15:15:31+00:00</t>
  </si>
  <si>
    <t xml:space="preserve">2026-10-21T15:17:00+00:00</t>
  </si>
  <si>
    <t xml:space="preserve">qc_output/sub-188</t>
  </si>
  <si>
    <t xml:space="preserve">sub-189</t>
  </si>
  <si>
    <t xml:space="preserve">overall FAIL; PARTIALLY_USABLE: 6/8 recordings usable; bad channels in 5 recording(s) (Fz, AF3, Fp1); alpha blocking weak (flag only) (median 1.4); notch filter suggested for 6/8 recordings</t>
  </si>
  <si>
    <t xml:space="preserve">Fz x4, Fp1 x3, AF3 x3, F3 x2, AF4 x2, F1 x2, F2 x2, Fp2 x2, F4 x1, AF7 x1, AF8 x1, FC2 x1, FC6 x1, FC4 x1</t>
  </si>
  <si>
    <t xml:space="preserve">2026-10-21T15:17:01+00:00</t>
  </si>
  <si>
    <t xml:space="preserve">2026-10-21T15:18:29+00:00</t>
  </si>
  <si>
    <t xml:space="preserve">qc_output/sub-189</t>
  </si>
  <si>
    <t xml:space="preserve">sub-190</t>
  </si>
  <si>
    <t xml:space="preserve">overall FLAG; USABLE_NEEDS_INTERPOLATION: 8/8 recordings usable; bad channels in 2 recording(s) (Fz, AF3, F1); alpha blocking OK (median 6.7); notch filter suggested for 2/8 recordings</t>
  </si>
  <si>
    <t xml:space="preserve">Fz x2, Fp1 x1, AF3 x1, F1 x1</t>
  </si>
  <si>
    <t xml:space="preserve">2026-10-21T15:18:30+00:00</t>
  </si>
  <si>
    <t xml:space="preserve">2026-10-21T15:20:12+00:00</t>
  </si>
  <si>
    <t xml:space="preserve">qc_output/sub-190</t>
  </si>
  <si>
    <t xml:space="preserve">sub-191</t>
  </si>
  <si>
    <t xml:space="preserve">overall FAIL; PARTIALLY_USABLE: 2/4 recordings usable; bad channels in 2 recording(s) (AF3, AF4, AF7); alpha blocking OK (median 5.7); notch filter suggested for 3/4 recordings</t>
  </si>
  <si>
    <t xml:space="preserve">Fp1 x2, Fp2 x2, F3 x2, Fz x2, F4 x2, AF7 x2, AF3 x2, AF4 x2, AF8 x2, F1 x2, F2 x2, F5 x1, F6 x1</t>
  </si>
  <si>
    <t xml:space="preserve">2026-10-21T15:20:13+00:00</t>
  </si>
  <si>
    <t xml:space="preserve">2026-10-21T15:21:04+00:00</t>
  </si>
  <si>
    <t xml:space="preserve">qc_output/sub-191</t>
  </si>
  <si>
    <t xml:space="preserve">sub-192</t>
  </si>
  <si>
    <t xml:space="preserve">overall FAIL; PARTIALLY_USABLE: 3/4 recordings usable; bad channels in 3 recording(s) (Fz, F4, F2); alpha blocking OK (median 7.3); notch filter suggested for 1/4 recordings</t>
  </si>
  <si>
    <t xml:space="preserve">Fz x3, F4 x3, F2 x3, F3 x2, F1 x2, Fp1 x1, Fp2 x1, AF7 x1, AF3 x1, AF4 x1, AF8 x1</t>
  </si>
  <si>
    <t xml:space="preserve">2026-10-21T15:21:05+00:00</t>
  </si>
  <si>
    <t xml:space="preserve">2026-10-21T15:21:54+00:00</t>
  </si>
  <si>
    <t xml:space="preserve">qc_output/sub-192</t>
  </si>
  <si>
    <t xml:space="preserve">sub-193</t>
  </si>
  <si>
    <t xml:space="preserve">overall FLAG; USABLE_NEEDS_INTERPOLATION: 4/4 recordings usable; bad channels in 2 recording(s) (AF3, AF4, F2); alpha blocking OK (median 3.4); notch filter suggested for 2/4 recordings</t>
  </si>
  <si>
    <t xml:space="preserve">Fp1 x1, Fp2 x1, AF3 x1, AF4 x1, Fz x1, FC2 x1, F2 x1</t>
  </si>
  <si>
    <t xml:space="preserve">2026-10-21T15:21:55+00:00</t>
  </si>
  <si>
    <t xml:space="preserve">2026-10-21T15:22:44+00:00</t>
  </si>
  <si>
    <t xml:space="preserve">qc_output/sub-193</t>
  </si>
  <si>
    <t xml:space="preserve">sub-194</t>
  </si>
  <si>
    <t xml:space="preserve">overall FLAG; USABLE_NEEDS_INTERPOLATION: 4/4 recordings usable; bad channels in 2 recording(s) (Fz, F1, F2); alpha blocking OK (median 20.0); notch filter suggested for 3/4 recordings</t>
  </si>
  <si>
    <t xml:space="preserve">Fz x2, F4 x1, F1 x1, F2 x1</t>
  </si>
  <si>
    <t xml:space="preserve">CRITICAL_CHANNEL_BAD; LOW_ALPHA_PROMINENCE; USABLE_NEEDS_INTERPOLATION</t>
  </si>
  <si>
    <t xml:space="preserve">2026-10-21T15:22:45+00:00</t>
  </si>
  <si>
    <t xml:space="preserve">2026-10-21T15:23:35+00:00</t>
  </si>
  <si>
    <t xml:space="preserve">qc_output/sub-194</t>
  </si>
  <si>
    <t xml:space="preserve">sub-195</t>
  </si>
  <si>
    <t xml:space="preserve">overall FAIL; PARTIALLY_USABLE: 4/8 recordings usable; bad channels in 6 recording(s) (Fz, AF3, AF7); alpha blocking OK (median 3.1); notch filter suggested for 5/8 recordings</t>
  </si>
  <si>
    <t xml:space="preserve">Fz x6, Fp1 x4, Fp2 x4, AF7 x4, AF3 x4, AF4 x4, AF8 x4, F1 x4, F2 x4, F3 x3, F5 x2, F4 x1</t>
  </si>
  <si>
    <t xml:space="preserve">2026-10-21T15:23:36+00:00</t>
  </si>
  <si>
    <t xml:space="preserve">2026-10-21T15:25:04+00:00</t>
  </si>
  <si>
    <t xml:space="preserve">qc_output/sub-195</t>
  </si>
  <si>
    <t xml:space="preserve">sub-196</t>
  </si>
  <si>
    <t xml:space="preserve">overall FAIL; PARTIALLY_USABLE: 3/4 recordings usable; bad channels in 4 recording(s) (Fz, FC4, FC2); alpha blocking OK (median 20.9); notch filter suggested for 4/4 recordings</t>
  </si>
  <si>
    <t xml:space="preserve">Fz x2, FC2 x2, FC1 x2, FC4 x2, Fp1 x1, Fp2 x1, Cz x1, AF7 x1, AF3 x1, F1 x1, FC5 x1, FC3 x1</t>
  </si>
  <si>
    <t xml:space="preserve">CRITICAL_CHANNELS_BAD; CRITICAL_CHANNEL_BAD; LINE_NOISE; TOO_MANY_BAD_CHANNELS; USABLE_NEEDS_INTERPOLATION</t>
  </si>
  <si>
    <t xml:space="preserve">2026-10-21T15:25:06+00:00</t>
  </si>
  <si>
    <t xml:space="preserve">2026-10-21T15:25:57+00:00</t>
  </si>
  <si>
    <t xml:space="preserve">qc_output/sub-196</t>
  </si>
  <si>
    <t xml:space="preserve">sub-197</t>
  </si>
  <si>
    <t xml:space="preserve">overall FLAG; USABLE_NEEDS_INTERPOLATION: 4/4 recordings usable; bad channels in 4 recording(s) (Fz, FC1, F1); alpha blocking weak (flag only) (median 0.8); notch filter suggested for 1/4 recordings</t>
  </si>
  <si>
    <t xml:space="preserve">Fz x4, FC1 x2, F1 x1</t>
  </si>
  <si>
    <t xml:space="preserve">2026-10-21T15:25:58+00:00</t>
  </si>
  <si>
    <t xml:space="preserve">2026-10-21T15:26:48+00:00</t>
  </si>
  <si>
    <t xml:space="preserve">qc_output/sub-197</t>
  </si>
  <si>
    <t xml:space="preserve">sub-198</t>
  </si>
  <si>
    <t xml:space="preserve">overall FLAG; USABLE_NEEDS_INTERPOLATION: 8/8 recordings usable; bad channels in 5 recording(s) (FC2, F8, Cz); alpha blocking OK (median 2.8); notch filter suggested for 7/8 recordings</t>
  </si>
  <si>
    <t xml:space="preserve">F8 x2, FC2 x2, Cz x1, Fp1 x1, Fp2 x1, FC3 x1, F7 x1, F3 x1, F4 x1, F5 x1, F1 x1, F6 x1</t>
  </si>
  <si>
    <t xml:space="preserve">2026-10-21T15:26:49+00:00</t>
  </si>
  <si>
    <t xml:space="preserve">2026-10-21T15:28:19+00:00</t>
  </si>
  <si>
    <t xml:space="preserve">qc_output/sub-198</t>
  </si>
  <si>
    <t xml:space="preserve">sub-199</t>
  </si>
  <si>
    <t xml:space="preserve">overall FLAG; USABLE_NEEDS_INTERPOLATION: 4/4 recordings usable; bad channels in 2 recording(s) (FC3, FC5, Fz); alpha blocking OK (median 2.7); notch filter suggested for 3/4 recordings</t>
  </si>
  <si>
    <t xml:space="preserve">Fz x1, FC5 x1, FC3 x1</t>
  </si>
  <si>
    <t xml:space="preserve">2026-10-21T15:28:20+00:00</t>
  </si>
  <si>
    <t xml:space="preserve">2026-10-21T15:29:12+00:00</t>
  </si>
  <si>
    <t xml:space="preserve">qc_output/sub-199</t>
  </si>
  <si>
    <t xml:space="preserve">sub-200</t>
  </si>
  <si>
    <t xml:space="preserve">overall FLAG; USABLE_NEEDS_INTERPOLATION: 4/4 recordings usable; bad channels in 4 recording(s) (Fz, F4, AF4); alpha blocking OK (median 7.9); notch filter suggested for 1/4 recordings</t>
  </si>
  <si>
    <t xml:space="preserve">Fz x4, F4 x3, AF4 x2, F1 x1, AF3 x1, F2 x1, F6 x1</t>
  </si>
  <si>
    <t xml:space="preserve">2026-10-21T15:29:14+00:00</t>
  </si>
  <si>
    <t xml:space="preserve">2026-10-21T15:30:08+00:00</t>
  </si>
  <si>
    <t xml:space="preserve">qc_output/sub-200</t>
  </si>
  <si>
    <t xml:space="preserve">sub-201</t>
  </si>
  <si>
    <t xml:space="preserve">overall FAIL; PARTIALLY_USABLE: 3/4 recordings usable; bad channels in 4 recording(s) (F3, F7, FC1); alpha blocking weak (flag only) (median 1.1); notch filter suggested for 2/4 recordings</t>
  </si>
  <si>
    <t xml:space="preserve">F3 x2, F7 x2, FC1 x2, F5 x1, Fp1 x1, Fp2 x1, F4 x1, AF3 x1, AF4 x1, AF8 x1, F1 x1, F2 x1, F8 x1</t>
  </si>
  <si>
    <t xml:space="preserve">LOW_ALPHA_PROMINENCE; TOO_MANY_BAD_CHANNELS; USABLE_NEEDS_INTERPOLATION; WEAK_ALPHA_BLOCKING</t>
  </si>
  <si>
    <t xml:space="preserve">2026-10-21T14:50:39+00:00</t>
  </si>
  <si>
    <t xml:space="preserve">2026-10-21T14:51:35+00:00</t>
  </si>
  <si>
    <t xml:space="preserve">qc_output/sub-201</t>
  </si>
  <si>
    <t xml:space="preserve">sub-202</t>
  </si>
  <si>
    <t xml:space="preserve">overall FAIL; PARTIALLY_USABLE: 3/4 recordings usable; bad channels in 2 recording(s) (F2, Fz, AF3); alpha blocking OK (median 2.3)</t>
  </si>
  <si>
    <t xml:space="preserve">Fz x2, F2 x2, Fp1 x1, Fp2 x1, F4 x1, AF7 x1, AF3 x1, AF4 x1, AF8 x1</t>
  </si>
  <si>
    <t xml:space="preserve">2026-10-21T14:52:32+00:00</t>
  </si>
  <si>
    <t xml:space="preserve">qc_output/sub-202</t>
  </si>
  <si>
    <t xml:space="preserve">sub-203</t>
  </si>
  <si>
    <t xml:space="preserve">2026-10-21T14:52:33+00:00</t>
  </si>
  <si>
    <t xml:space="preserve">qc_output/sub-203</t>
  </si>
  <si>
    <t xml:space="preserve">sub-204</t>
  </si>
  <si>
    <t xml:space="preserve">overall FAIL; PARTIALLY_USABLE: 2/4 recordings usable; bad channels in 3 recording(s) (Fz, AF3, AF4); alpha blocking OK (median 34.4); notch filter suggested for 3/4 recordings</t>
  </si>
  <si>
    <t xml:space="preserve">Fz x3, Fp1 x2, Fp2 x2, F3 x2, AF7 x2, AF3 x2, AF4 x2, F1 x2, F2 x1</t>
  </si>
  <si>
    <t xml:space="preserve">2026-10-21T14:53:31+00:00</t>
  </si>
  <si>
    <t xml:space="preserve">qc_output/sub-204</t>
  </si>
  <si>
    <t xml:space="preserve">sub-205</t>
  </si>
  <si>
    <t xml:space="preserve">2026-10-21T14:53:32+00:00</t>
  </si>
  <si>
    <t xml:space="preserve">qc_output/sub-205</t>
  </si>
  <si>
    <t xml:space="preserve">sub-206</t>
  </si>
  <si>
    <t xml:space="preserve">Rejected: Late triggers (late_ses1=9, late_ses2=n/a)</t>
  </si>
  <si>
    <t xml:space="preserve">Late triggers (late_ses1=9, late_ses2=n/a)</t>
  </si>
  <si>
    <t xml:space="preserve">qc_output/sub-206</t>
  </si>
  <si>
    <t xml:space="preserve">sub-207</t>
  </si>
  <si>
    <t xml:space="preserve">Rejected: Late triggers (late_ses1=916, late_ses2=n/a)</t>
  </si>
  <si>
    <t xml:space="preserve">Late triggers (late_ses1=916, late_ses2=n/a)</t>
  </si>
  <si>
    <t xml:space="preserve">qc_output/sub-207</t>
  </si>
  <si>
    <t xml:space="preserve">sub-208</t>
  </si>
  <si>
    <t xml:space="preserve">overall FAIL; PARTIALLY_USABLE: 3/4 recordings usable; bad channels in 3 recording(s) (F1, F2, F6); alpha blocking OK (median 1.6); notch filter suggested for 2/4 recordings</t>
  </si>
  <si>
    <t xml:space="preserve">F1 x3, F2 x2, F3 x2, F4 x2, F6 x2, Fz x1, FC2 x1, AF7 x1, AF3 x1, AF8 x1</t>
  </si>
  <si>
    <t xml:space="preserve">2026-10-21T14:53:33+00:00</t>
  </si>
  <si>
    <t xml:space="preserve">2026-10-21T14:54:30+00:00</t>
  </si>
  <si>
    <t xml:space="preserve">qc_output/sub-208</t>
  </si>
  <si>
    <t xml:space="preserve">sub-209</t>
  </si>
  <si>
    <t xml:space="preserve">overall FAIL; PARTIALLY_USABLE: 2/4 recordings usable; bad channels in 2 recording(s) (AF3, AF4, AF7); alpha blocking weak (flag only) (median 1.5); notch filter suggested for 3/4 recordings</t>
  </si>
  <si>
    <t xml:space="preserve">Fp1 x2, Fp2 x2, Fz x2, AF7 x2, AF3 x2, AF4 x2, F1 x2, F2 x2, F4 x1, AF8 x1</t>
  </si>
  <si>
    <t xml:space="preserve">CRITICAL_CHANNEL_BAD; NO_ALPHA_BLOCKING; TOO_MANY_BAD_CHANNELS</t>
  </si>
  <si>
    <t xml:space="preserve">2026-10-21T14:55:28+00:00</t>
  </si>
  <si>
    <t xml:space="preserve">qc_output/sub-209</t>
  </si>
  <si>
    <t xml:space="preserve">sub-210</t>
  </si>
  <si>
    <t xml:space="preserve">overall FLAG; USABLE_NEEDS_INTERPOLATION: 8/8 recordings usable; bad channels in 7 recording(s) (FC1, FC3, FC2); alpha blocking weak (flag only) (median 1.1); notch filter suggested for 4/8 recordings</t>
  </si>
  <si>
    <t xml:space="preserve">Fz x3, FC1 x3, FC3 x3, FC2 x3, FC5 x1, F1 x1, F2 x1</t>
  </si>
  <si>
    <t xml:space="preserve">2026-10-21T14:55:29+00:00</t>
  </si>
  <si>
    <t xml:space="preserve">2026-10-21T14:57:15+00:00</t>
  </si>
  <si>
    <t xml:space="preserve">qc_output/sub-210</t>
  </si>
  <si>
    <t xml:space="preserve">sub-211</t>
  </si>
  <si>
    <t xml:space="preserve">overall FLAG; USABLE_NEEDS_INTERPOLATION: 8/8 recordings usable; bad channels in 6 recording(s) (FC1, FC3, FC2); alpha blocking OK (median 3.2); notch filter suggested for 7/8 recordings</t>
  </si>
  <si>
    <t xml:space="preserve">FC2 x4, FC1 x4, FC3 x4, F8 x3, FC5 x1, Fz x1, F7 x1</t>
  </si>
  <si>
    <t xml:space="preserve">2026-10-21T14:59:04+00:00</t>
  </si>
  <si>
    <t xml:space="preserve">qc_output/sub-211</t>
  </si>
  <si>
    <t xml:space="preserve">sub-212</t>
  </si>
  <si>
    <t xml:space="preserve">overall FLAG; USABLE_NEEDS_INTERPOLATION: 4/4 recordings usable; bad channels in 4 recording(s) (Fz, F4); alpha blocking OK (median 11.3); notch filter suggested for 3/4 recordings</t>
  </si>
  <si>
    <t xml:space="preserve">Fz x3, F4 x1</t>
  </si>
  <si>
    <t xml:space="preserve">2026-10-21T15:00:04+00:00</t>
  </si>
  <si>
    <t xml:space="preserve">qc_output/sub-212</t>
  </si>
  <si>
    <t xml:space="preserve">sub-213</t>
  </si>
  <si>
    <t xml:space="preserve">Rejected: Age above 60 (66)</t>
  </si>
  <si>
    <t xml:space="preserve">Age above 60 (66)</t>
  </si>
  <si>
    <t xml:space="preserve">qc_output/sub-213</t>
  </si>
  <si>
    <t xml:space="preserve">sub-214</t>
  </si>
  <si>
    <t xml:space="preserve">overall FAIL; PARTIALLY_USABLE: 3/4 recordings usable; bad channels in 1 recording(s) (AF3, AF4, AF7); alpha blocking weak (flag only) (median 1.2)</t>
  </si>
  <si>
    <t xml:space="preserve">Fp1 x1, Fp2 x1, F3 x1, Fz x1, AF7 x1, AF3 x1, AF4 x1, AF8 x1, F1 x1, F2 x1</t>
  </si>
  <si>
    <t xml:space="preserve">CRITICAL_CHANNEL_BAD; DURATION_S; LOW_ALPHA_PROMINENCE; TOO_MANY_BAD_CHANNELS; WEAK_ALPHA_BLOCKING</t>
  </si>
  <si>
    <t xml:space="preserve">2026-10-21T15:01:05+00:00</t>
  </si>
  <si>
    <t xml:space="preserve">qc_output/sub-214</t>
  </si>
  <si>
    <t xml:space="preserve">sub-215</t>
  </si>
  <si>
    <t xml:space="preserve">overall FLAG; USABLE_NEEDS_INTERPOLATION: 4/4 recordings usable; bad channels in 4 recording(s) (F1, F7, F8); alpha blocking OK (median 10.8); notch filter suggested for 4/4 recordings</t>
  </si>
  <si>
    <t xml:space="preserve">Fz x2, FC1 x2, F1 x2, F7 x2, F8 x2, FC3 x1</t>
  </si>
  <si>
    <t xml:space="preserve">CRITICAL_CHANNEL_BAD; DURATION_S; USABLE_NEEDS_INTERPOLATION</t>
  </si>
  <si>
    <t xml:space="preserve">2026-10-21T15:02:06+00:00</t>
  </si>
  <si>
    <t xml:space="preserve">qc_output/sub-215</t>
  </si>
  <si>
    <t xml:space="preserve">sub-216</t>
  </si>
  <si>
    <t xml:space="preserve">overall FAIL; PARTIALLY_USABLE: 7/8 recordings usable; bad channels in 3 recording(s) (F5, AF3, F1); alpha blocking OK (median 2.2); notch filter suggested for 7/8 recordings</t>
  </si>
  <si>
    <t xml:space="preserve">F5 x2, F3 x1, Fz x1, F4 x1, AF3 x1, F1 x1, F2 x1, F6 x1, FC2 x1</t>
  </si>
  <si>
    <t xml:space="preserve">qc_output/sub-216</t>
  </si>
  <si>
    <t xml:space="preserve">sub-217</t>
  </si>
  <si>
    <t xml:space="preserve">overall FLAG; USABLE_NEEDS_INTERPOLATION: 8/8 recordings usable; bad channels in 8 recording(s) (F2, Fz, F6); alpha blocking OK (median 2.7); notch filter suggested for 8/8 recordings</t>
  </si>
  <si>
    <t xml:space="preserve">Fz x4, F2 x4, F6 x4, F8 x2, F7 x2, F5 x2, FC6 x1, FC4 x1, F1 x1</t>
  </si>
  <si>
    <t xml:space="preserve">2026-10-21T15:05:49+00:00</t>
  </si>
  <si>
    <t xml:space="preserve">qc_output/sub-217</t>
  </si>
  <si>
    <t xml:space="preserve">sub-218</t>
  </si>
  <si>
    <t xml:space="preserve">overall FAIL; PARTIALLY_USABLE: 2/4 recordings usable; bad channels in 4 recording(s) (Fz, AF3, AF7); alpha blocking OK (median 5.0); notch filter suggested for 2/4 recordings</t>
  </si>
  <si>
    <t xml:space="preserve">Fz x3, FC1 x2, F1 x2, Fp1 x2, Fp2 x2, F3 x2, F4 x2, F8 x2, AF7 x2, AF3 x2, AF4 x2, AF8 x2, F2 x2, F6 x2, F7 x1, F5 x1</t>
  </si>
  <si>
    <t xml:space="preserve">2026-10-21T15:06:47+00:00</t>
  </si>
  <si>
    <t xml:space="preserve">qc_output/sub-218</t>
  </si>
  <si>
    <t xml:space="preserve">sub-219</t>
  </si>
  <si>
    <t xml:space="preserve">overall FLAG; USABLE_NEEDS_INTERPOLATION: 4/4 recordings usable; bad channels in 3 recording(s) (Fz, F2, F1); alpha blocking OK (median 4.1)</t>
  </si>
  <si>
    <t xml:space="preserve">Fz x3, F2 x2, F1 x1</t>
  </si>
  <si>
    <t xml:space="preserve">2026-10-21T15:06:48+00:00</t>
  </si>
  <si>
    <t xml:space="preserve">2026-10-21T15:07:47+00:00</t>
  </si>
  <si>
    <t xml:space="preserve">qc_output/sub-219</t>
  </si>
  <si>
    <t xml:space="preserve">sub-220</t>
  </si>
  <si>
    <t xml:space="preserve">Rejected: Late triggers (late_ses1=1838, late_ses2=n/a)</t>
  </si>
  <si>
    <t xml:space="preserve">Late triggers (late_ses1=1838, late_ses2=n/a)</t>
  </si>
  <si>
    <t xml:space="preserve">qc_output/sub-220</t>
  </si>
  <si>
    <t xml:space="preserve">sub-221</t>
  </si>
  <si>
    <t xml:space="preserve">overall FAIL; PARTIALLY_USABLE: 3/4 recordings usable; bad channels in 2 recording(s) (F3, AF4, AF7); alpha blocking weak (flag only) (median 1.4); notch filter suggested for 4/4 recordings</t>
  </si>
  <si>
    <t xml:space="preserve">F3 x2, Fp1 x1, Fp2 x1, Fz x1, AF7 x1, AF3 x1, AF4 x1, AF8 x1, F1 x1, F2 x1, F4 x1, F5 x1, F6 x1</t>
  </si>
  <si>
    <t xml:space="preserve">2026-10-21T15:08:46+00:00</t>
  </si>
  <si>
    <t xml:space="preserve">qc_output/sub-221</t>
  </si>
  <si>
    <t xml:space="preserve">sub-222</t>
  </si>
  <si>
    <t xml:space="preserve">Rejected: Late triggers (late_ses1=89, late_ses2=0)</t>
  </si>
  <si>
    <t xml:space="preserve">Late triggers (late_ses1=89, late_ses2=0)</t>
  </si>
  <si>
    <t xml:space="preserve">2026-10-21T15:08:47+00:00</t>
  </si>
  <si>
    <t xml:space="preserve">qc_output/sub-222</t>
  </si>
  <si>
    <t xml:space="preserve">sub-223</t>
  </si>
  <si>
    <t xml:space="preserve">overall FLAG; USABLE_NEEDS_INTERPOLATION: 4/4 recordings usable; bad channels in 4 recording(s) (F2, AF4, AF8); alpha blocking OK (median 4.2); notch filter suggested for 4/4 recordings</t>
  </si>
  <si>
    <t xml:space="preserve">F2 x4, Fp2 x1, AF4 x1, Fz x1, F5 x1, AF8 x1</t>
  </si>
  <si>
    <t xml:space="preserve">2026-10-21T15:09:47+00:00</t>
  </si>
  <si>
    <t xml:space="preserve">qc_output/sub-223</t>
  </si>
  <si>
    <t xml:space="preserve">sub-224</t>
  </si>
  <si>
    <t xml:space="preserve">overall FLAG; USABLE_NEEDS_INTERPOLATION: 4/4 recordings usable; bad channels in 2 recording(s) (AF3, AF4, AF7); alpha blocking OK (median 2.8); notch filter suggested for 4/4 recordings</t>
  </si>
  <si>
    <t xml:space="preserve">Fp1 x1, Fp2 x1, AF7 x1, AF3 x1, AF4 x1, AF8 x1, F8 x1, FC3 x1</t>
  </si>
  <si>
    <t xml:space="preserve">2026-10-21T15:09:48+00:00</t>
  </si>
  <si>
    <t xml:space="preserve">qc_output/sub-224</t>
  </si>
  <si>
    <t xml:space="preserve">sub-225</t>
  </si>
  <si>
    <t xml:space="preserve">overall FLAG; USABLE_NEEDS_INTERPOLATION: 8/8 recordings usable; bad channels in 4 recording(s) (F1, AF7, F2); alpha blocking OK (median 6.3); notch filter suggested for 8/8 recordings</t>
  </si>
  <si>
    <t xml:space="preserve">Fz x2, F1 x2, F2 x2, AF7 x2, AF3 x1, AF4 x1</t>
  </si>
  <si>
    <t xml:space="preserve">CRITICAL_CHANNEL_BAD; HIGH_LINE_NOISE; LINE_NOISE; USABLE_NEEDS_INTERPOLATION; WEAK_ALPHA_BLOCKING</t>
  </si>
  <si>
    <t xml:space="preserve">2026-10-21T15:12:35+00:00</t>
  </si>
  <si>
    <t xml:space="preserve">qc_output/sub-225</t>
  </si>
  <si>
    <t xml:space="preserve">sub-226</t>
  </si>
  <si>
    <t xml:space="preserve">Rejected: Late triggers (late_ses1=1947, late_ses2=0)</t>
  </si>
  <si>
    <t xml:space="preserve">Late triggers (late_ses1=1947, late_ses2=0)</t>
  </si>
  <si>
    <t xml:space="preserve">qc_output/sub-226</t>
  </si>
  <si>
    <t xml:space="preserve">sub-227</t>
  </si>
  <si>
    <t xml:space="preserve">overall FLAG; USABLE_NEEDS_INTERPOLATION: 8/8 recordings usable; bad channels in 4 recording(s) (Fz, F2); alpha blocking weak (flag only) (median 0.5); notch filter suggested for 6/8 recordings</t>
  </si>
  <si>
    <t xml:space="preserve">Fz x4, F2 x2</t>
  </si>
  <si>
    <t xml:space="preserve">2026-10-21T15:12:36+00:00</t>
  </si>
  <si>
    <t xml:space="preserve">2026-10-21T15:14:31+00:00</t>
  </si>
  <si>
    <t xml:space="preserve">qc_output/sub-227</t>
  </si>
  <si>
    <t xml:space="preserve">sub-228</t>
  </si>
  <si>
    <t xml:space="preserve">overall FAIL; PARTIALLY_USABLE: 2/4 recordings usable; bad channels in 2 recording(s) (AF3, AF4, AF7); alpha blocking weak (flag only) (median 0.5); notch filter suggested for 3/4 recordings</t>
  </si>
  <si>
    <t xml:space="preserve">Fp1 x2, Fp2 x2, Fz x2, AF7 x2, AF3 x2, AF4 x2, AF8 x2, F1 x2, F4 x1, F2 x1, F6 x1, F3 x1, F5 x1</t>
  </si>
  <si>
    <t xml:space="preserve">CRITICAL_CHANNEL_BAD; LOW_ALPHA_PROMINENCE; NO_ALPHA_BLOCKING; TOO_MANY_BAD_CHANNELS</t>
  </si>
  <si>
    <t xml:space="preserve">2026-10-21T15:14:32+00:00</t>
  </si>
  <si>
    <t xml:space="preserve">qc_output/sub-228</t>
  </si>
  <si>
    <t xml:space="preserve">sub-229</t>
  </si>
  <si>
    <t xml:space="preserve">overall FLAG; USABLE_NEEDS_INTERPOLATION: 4/4 recordings usable; bad channels in 4 recording(s) (FC1, F8, AF4); alpha blocking OK (median 5.5); notch filter suggested for 2/4 recordings</t>
  </si>
  <si>
    <t xml:space="preserve">FC1 x3, F3 x2, AF4 x2, F1 x2, F8 x2, AF3 x1, Fz x1, F2 x1, FC2 x1</t>
  </si>
  <si>
    <t xml:space="preserve">2026-10-21T15:16:31+00:00</t>
  </si>
  <si>
    <t xml:space="preserve">qc_output/sub-229</t>
  </si>
  <si>
    <t xml:space="preserve">sub-230</t>
  </si>
  <si>
    <t xml:space="preserve">overall FAIL; PARTIALLY_USABLE: 5/8 recordings usable; bad channels in 7 recording(s) (F5, F3, F1); alpha blocking OK (median 1.9); notch filter suggested for 8/8 recordings</t>
  </si>
  <si>
    <t xml:space="preserve">F5 x6, F3 x4, F1 x4, Fp1 x3, Fz x3, F7 x3, F6 x3, Fp2 x2, AF7 x2, AF3 x2, AF8 x2, F8 x2, F2 x2, AF4 x1, F4 x1</t>
  </si>
  <si>
    <t xml:space="preserve">CRITICAL_CHANNEL_BAD; DURATION_S; LINE_NOISE; LOW_ALPHA_PROMINENCE; NO_ALPHA_BLOCKING; TOO_MANY_BAD_CHANNELS; USABLE_NEEDS_INTERPOLATION</t>
  </si>
  <si>
    <t xml:space="preserve">2026-10-21T15:18:16+00:00</t>
  </si>
  <si>
    <t xml:space="preserve">qc_output/sub-230</t>
  </si>
  <si>
    <t xml:space="preserve">sub-231</t>
  </si>
  <si>
    <t xml:space="preserve">overall FLAG; USABLE_NEEDS_INTERPOLATION: 8/8 recordings usable; bad channels in 6 recording(s) (Fz, F2, F1); alpha blocking OK (median 10.1); notch filter suggested for 6/8 recordings</t>
  </si>
  <si>
    <t xml:space="preserve">Fz x6, F2 x3, F1 x2</t>
  </si>
  <si>
    <t xml:space="preserve">2026-10-21T15:18:17+00:00</t>
  </si>
  <si>
    <t xml:space="preserve">2026-10-21T15:20:04+00:00</t>
  </si>
  <si>
    <t xml:space="preserve">qc_output/sub-231</t>
  </si>
  <si>
    <t xml:space="preserve">sub-232</t>
  </si>
  <si>
    <t xml:space="preserve">overall FLAG; USABLE_NEEDS_INTERPOLATION: 4/4 recordings usable; bad channels in 4 recording(s) (FC1, AF3, F2); alpha blocking OK (median 7.7); notch filter suggested for 3/4 recordings</t>
  </si>
  <si>
    <t xml:space="preserve">38</t>
  </si>
  <si>
    <t xml:space="preserve">FC1 x4, Fz x2, AF3 x2, F1 x2, F2 x2, Fp1 x1, AF4 x1, FC2 x1, FC5 x1, FC3 x1</t>
  </si>
  <si>
    <t xml:space="preserve">2026-10-21T15:20:05+00:00</t>
  </si>
  <si>
    <t xml:space="preserve">qc_output/sub-232</t>
  </si>
  <si>
    <t xml:space="preserve">sub-233</t>
  </si>
  <si>
    <t xml:space="preserve">Rejected: Late triggers (late_ses1=440, late_ses2=n/a)</t>
  </si>
  <si>
    <t xml:space="preserve">Late triggers (late_ses1=440, late_ses2=n/a)</t>
  </si>
  <si>
    <t xml:space="preserve">qc_output/sub-233</t>
  </si>
  <si>
    <t xml:space="preserve">sub-234</t>
  </si>
  <si>
    <t xml:space="preserve">Rejected: Age above 60 (68); Late triggers (late_ses1=0, late_ses2=1)</t>
  </si>
  <si>
    <t xml:space="preserve">Age above 60 (68); Late triggers (late_ses1=0, late_ses2=1)</t>
  </si>
  <si>
    <t xml:space="preserve">qc_output/sub-234</t>
  </si>
  <si>
    <t xml:space="preserve">sub-235</t>
  </si>
  <si>
    <t xml:space="preserve">overall FAIL; PARTIALLY_USABLE: 7/8 recordings usable; bad channels in 4 recording(s) (Fz, F1, AF4); alpha blocking OK (median 10.1); notch filter suggested for 7/8 recordings</t>
  </si>
  <si>
    <t xml:space="preserve">Fz x4, F1 x3, Fp2 x2, AF4 x2, F2 x2, Fp1 x1, AF3 x1</t>
  </si>
  <si>
    <t xml:space="preserve">2026-10-21T15:23:10+00:00</t>
  </si>
  <si>
    <t xml:space="preserve">qc_output/sub-235</t>
  </si>
  <si>
    <t xml:space="preserve">sub-236</t>
  </si>
  <si>
    <t xml:space="preserve">overall FAIL; PARTIALLY_USABLE: 2/4 recordings usable; bad channels in 2 recording(s) (AF3, AF4, F1); alpha blocking OK (median 1.6)</t>
  </si>
  <si>
    <t xml:space="preserve">Fp1 x2, Fp2 x2, Fz x2, AF3 x2, AF4 x2, F1 x2, F2 x2</t>
  </si>
  <si>
    <t xml:space="preserve">CRITICAL_CHANNEL_BAD; TOO_MANY_BAD_CHANNELS; WEAK_ALPHA_BLOCKING</t>
  </si>
  <si>
    <t xml:space="preserve">2026-10-21T15:23:11+00:00</t>
  </si>
  <si>
    <t xml:space="preserve">2026-10-21T15:24:11+00:00</t>
  </si>
  <si>
    <t xml:space="preserve">qc_output/sub-236</t>
  </si>
  <si>
    <t xml:space="preserve">sub-237</t>
  </si>
  <si>
    <t xml:space="preserve">2026-10-21T15:24:12+00:00</t>
  </si>
  <si>
    <t xml:space="preserve">qc_output/sub-237</t>
  </si>
  <si>
    <t xml:space="preserve">sub-238</t>
  </si>
  <si>
    <t xml:space="preserve">overall FAIL; PARTIALLY_USABLE: 5/8 recordings usable; bad channels in 8 recording(s) (Fz, F1, Cz); alpha blocking OK (median 5.8); notch filter suggested for 7/8 recordings</t>
  </si>
  <si>
    <t xml:space="preserve">Fz x7, F1 x5, Cz x4, FC1 x3, FC5 x1, F2 x1</t>
  </si>
  <si>
    <t xml:space="preserve">CRITICAL_CHANNELS_BAD; CRITICAL_CHANNEL_BAD; LINE_NOISE; NO_ALPHA_BLOCKING; USABLE_NEEDS_INTERPOLATION</t>
  </si>
  <si>
    <t xml:space="preserve">2026-10-21T15:24:13+00:00</t>
  </si>
  <si>
    <t xml:space="preserve">2026-10-21T15:26:01+00:00</t>
  </si>
  <si>
    <t xml:space="preserve">qc_output/sub-238</t>
  </si>
  <si>
    <t xml:space="preserve">sub-239</t>
  </si>
  <si>
    <t xml:space="preserve">overall FLAG; USABLE_NEEDS_INTERPOLATION: 8/8 recordings usable; bad channels in 2 recording(s) (F7, F8, FC4); alpha blocking OK (median 3.4); notch filter suggested for 2/8 recordings</t>
  </si>
  <si>
    <t xml:space="preserve">F7 x2, F8 x1, FC6 x1, FC4 x1</t>
  </si>
  <si>
    <t xml:space="preserve">LINE_NOISE; LOW_ALPHA_PROMINENCE; NO_ALPHA_BLOCKING; USABLE_NEEDS_INTERPOLATION</t>
  </si>
  <si>
    <t xml:space="preserve">2026-10-21T15:26:02+00:00</t>
  </si>
  <si>
    <t xml:space="preserve">2026-10-21T15:27:53+00:00</t>
  </si>
  <si>
    <t xml:space="preserve">qc_output/sub-239</t>
  </si>
  <si>
    <t xml:space="preserve">sub-240</t>
  </si>
  <si>
    <t xml:space="preserve">overall FLAG; USABLE_NEEDS_INTERPOLATION: 4/4 recordings usable; bad channels in 4 recording(s) (Fz, F1); alpha blocking OK (median 19.0); notch filter suggested for 4/4 recordings</t>
  </si>
  <si>
    <t xml:space="preserve">Fz x4, F1 x1</t>
  </si>
  <si>
    <t xml:space="preserve">2026-10-21T15:27:54+00:00</t>
  </si>
  <si>
    <t xml:space="preserve">2026-10-21T15:28:53+00:00</t>
  </si>
  <si>
    <t xml:space="preserve">qc_output/sub-240</t>
  </si>
  <si>
    <t xml:space="preserve">sub-241</t>
  </si>
  <si>
    <t xml:space="preserve">2026-10-21T15:28:54+00:00</t>
  </si>
  <si>
    <t xml:space="preserve">qc_output/sub-241</t>
  </si>
  <si>
    <t xml:space="preserve">sub-242</t>
  </si>
  <si>
    <t xml:space="preserve">overall FAIL; PARTIALLY_USABLE: 6/8 recordings usable; bad channels in 8 recording(s) (F1, F3, FC2); alpha blocking OK (median 4.7)</t>
  </si>
  <si>
    <t xml:space="preserve">F1 x6, FC2 x5, F3 x5, Fz x4, F2 x4, F4 x3, Fp2 x2, AF4 x2, FC4 x2, F6 x2, AF3 x1, Fp1 x1, F7 x1, F8 x1, F5 x1</t>
  </si>
  <si>
    <t xml:space="preserve">2026-10-21T15:28:55+00:00</t>
  </si>
  <si>
    <t xml:space="preserve">2026-10-21T15:30:45+00:00</t>
  </si>
  <si>
    <t xml:space="preserve">qc_output/sub-242</t>
  </si>
  <si>
    <t xml:space="preserve">sub-243</t>
  </si>
  <si>
    <t xml:space="preserve">overall FAIL; PARTIALLY_USABLE: 3/4 recordings usable; bad channels in 4 recording(s) (AF3, AF7, Fz); alpha blocking weak (flag only) (median 1.1); notch filter suggested for 4/4 recordings</t>
  </si>
  <si>
    <t xml:space="preserve">AF3 x3, Fp1 x2, Fp2 x2, Fz x2, AF7 x2, Cz x1, F3 x1, F4 x1, FC2 x1, AF4 x1, AF8 x1, F5 x1, F1 x1, F2 x1</t>
  </si>
  <si>
    <t xml:space="preserve">2026-10-21T15:30:46+00:00</t>
  </si>
  <si>
    <t xml:space="preserve">2026-10-21T15:31:45+00:00</t>
  </si>
  <si>
    <t xml:space="preserve">qc_output/sub-243</t>
  </si>
  <si>
    <t xml:space="preserve">sub-244</t>
  </si>
  <si>
    <t xml:space="preserve">2026-10-21T15:31:46+00:00</t>
  </si>
  <si>
    <t xml:space="preserve">qc_output/sub-244</t>
  </si>
  <si>
    <t xml:space="preserve">sub-245</t>
  </si>
  <si>
    <t xml:space="preserve">Rejected: Late triggers (late_ses1=1915, late_ses2=0)</t>
  </si>
  <si>
    <t xml:space="preserve">Late triggers (late_ses1=1915, late_ses2=0)</t>
  </si>
  <si>
    <t xml:space="preserve">qc_output/sub-245</t>
  </si>
  <si>
    <t xml:space="preserve">sub-246</t>
  </si>
  <si>
    <t xml:space="preserve">2026-10-21T15:31:47+00:00</t>
  </si>
  <si>
    <t xml:space="preserve">qc_output/sub-246</t>
  </si>
  <si>
    <t xml:space="preserve">sub-247</t>
  </si>
  <si>
    <t xml:space="preserve">overall FLAG; USABLE_NEEDS_INTERPOLATION: 4/4 recordings usable; bad channels in 4 recording(s) (F1, F2, F4); alpha blocking OK (median 36.8); notch filter suggested for 4/4 recordings</t>
  </si>
  <si>
    <t xml:space="preserve">Fz x2, F1 x2, F2 x2, F4 x2, F5 x1, F6 x1, F3 x1, FC1 x1</t>
  </si>
  <si>
    <t xml:space="preserve">2026-10-21T15:31:48+00:00</t>
  </si>
  <si>
    <t xml:space="preserve">2026-10-21T15:32:49+00:00</t>
  </si>
  <si>
    <t xml:space="preserve">qc_output/sub-247</t>
  </si>
  <si>
    <t xml:space="preserve">sub-248</t>
  </si>
  <si>
    <t xml:space="preserve">overall FAIL; PARTIALLY_USABLE: 4/8 recordings usable; bad channels in 8 recording(s) (AF3, AF4, AF7); alpha blocking OK (median 5.9); notch filter suggested for 4/8 recordings</t>
  </si>
  <si>
    <t xml:space="preserve">Fp1 x4, Fp2 x4, F3 x4, AF7 x4, AF3 x4, AF4 x4, F2 x4, F4 x4, F8 x4, F1 x3, Fz x2, F5 x2, F6 x2, AF8 x2, F7 x2, FC2 x2, FC5 x1, FC1 x1, FC3 x1</t>
  </si>
  <si>
    <t xml:space="preserve">CRITICAL_CHANNEL_BAD; DURATION_S; LINE_NOISE; TOO_MANY_BAD_CHANNELS; USABLE_NEEDS_INTERPOLATION; WEAK_ALPHA_BLOCKING</t>
  </si>
  <si>
    <t xml:space="preserve">2026-10-21T15:34:56+00:00</t>
  </si>
  <si>
    <t xml:space="preserve">qc_output/sub-248</t>
  </si>
  <si>
    <t xml:space="preserve">sub-249</t>
  </si>
  <si>
    <t xml:space="preserve">overall FAIL; PARTIALLY_USABLE: 2/4 recordings usable; bad channels in 2 recording(s) (AF3, AF4, AF7); alpha blocking OK (median 1.7); notch filter suggested for 1/4 recordings</t>
  </si>
  <si>
    <t xml:space="preserve">Fp1 x2, Fp2 x2, Fz x2, AF7 x2, AF3 x2, AF4 x2, F1 x2, F2 x2, F3 x1, F4 x1, AF8 x1</t>
  </si>
  <si>
    <t xml:space="preserve">2026-10-21T15:34:57+00:00</t>
  </si>
  <si>
    <t xml:space="preserve">2026-10-21T15:35:54+00:00</t>
  </si>
  <si>
    <t xml:space="preserve">qc_output/sub-249</t>
  </si>
  <si>
    <t xml:space="preserve">sub-250</t>
  </si>
  <si>
    <t xml:space="preserve">overall FAIL; PARTIALLY_USABLE: 2/4 recordings usable; bad channels in 4 recording(s) (FC2, F3, F4); alpha blocking OK (median 30.4); notch filter suggested for 4/4 recordings</t>
  </si>
  <si>
    <t xml:space="preserve">F3 x4, FC2 x4, F4 x3, Fz x2, AF3 x2, AF4 x2, F1 x2, F2 x2, F6 x2, Fp1 x1, Fp2 x1, AF7 x1</t>
  </si>
  <si>
    <t xml:space="preserve">CRITICAL_CHANNEL_BAD; HIGH_LINE_NOISE; LINE_NOISE; TOO_MANY_BAD_CHANNELS; USABLE_NEEDS_INTERPOLATION</t>
  </si>
  <si>
    <t xml:space="preserve">2026-10-21T15:36:54+00:00</t>
  </si>
  <si>
    <t xml:space="preserve">qc_output/sub-250</t>
  </si>
  <si>
    <t xml:space="preserve">sub-251</t>
  </si>
  <si>
    <t xml:space="preserve">overall FLAG; USABLE_NEEDS_INTERPOLATION: 4/4 recordings usable; bad channels in 2 recording(s) (F2, Fz, F1); alpha blocking weak (flag only) (median 1.2); notch filter suggested for 4/4 recordings</t>
  </si>
  <si>
    <t xml:space="preserve">Fz x2, F2 x2, F3 x1, F4 x1, F1 x1</t>
  </si>
  <si>
    <t xml:space="preserve">2026-10-21T15:44:34+00:00</t>
  </si>
  <si>
    <t xml:space="preserve">2026-10-21T15:45:17+00:00</t>
  </si>
  <si>
    <t xml:space="preserve">qc_output/sub-251</t>
  </si>
  <si>
    <t xml:space="preserve">sub-252</t>
  </si>
  <si>
    <t xml:space="preserve">overall FAIL; PARTIALLY_USABLE: 7/8 recordings usable; bad channels in 8 recording(s) (F1, F2, Fz); alpha blocking OK (median 2.3); notch filter suggested for 8/8 recordings</t>
  </si>
  <si>
    <t xml:space="preserve">F1 x8, F2 x7, Fz x6, FC1 x4, AF4 x4, F3 x3, F4 x2, F6 x2, FC2 x1, AF8 x1, Fp2 x1, AF3 x1</t>
  </si>
  <si>
    <t xml:space="preserve">2026-10-21T15:45:18+00:00</t>
  </si>
  <si>
    <t xml:space="preserve">2026-10-21T15:46:41+00:00</t>
  </si>
  <si>
    <t xml:space="preserve">qc_output/sub-252</t>
  </si>
  <si>
    <t xml:space="preserve">sub-253</t>
  </si>
  <si>
    <t xml:space="preserve">2026-10-21T15:50:24+00:00</t>
  </si>
  <si>
    <t xml:space="preserve">qc_output/sub-253</t>
  </si>
  <si>
    <t xml:space="preserve">sub-254</t>
  </si>
  <si>
    <t xml:space="preserve">Rejected: Late triggers (late_ses1=6, late_ses2=n/a)</t>
  </si>
  <si>
    <t xml:space="preserve">Late triggers (late_ses1=6, late_ses2=n/a)</t>
  </si>
  <si>
    <t xml:space="preserve">2026-10-21T15:50:26+00:00</t>
  </si>
  <si>
    <t xml:space="preserve">qc_output/sub-254</t>
  </si>
  <si>
    <t xml:space="preserve">sub-255</t>
  </si>
  <si>
    <t xml:space="preserve">overall FAIL; PARTIALLY_USABLE: 3/4 recordings usable; bad channels in 2 recording(s) (AF8, Fp1, Fp2); alpha blocking OK (median 3.6); notch filter suggested for 3/4 recordings</t>
  </si>
  <si>
    <t xml:space="preserve">Fp1 x2, Fp2 x2, AF8 x2, Fz x1, AF7 x1, AF3 x1, AF4 x1, F2 x1</t>
  </si>
  <si>
    <t xml:space="preserve">2026-10-21T15:50:27+00:00</t>
  </si>
  <si>
    <t xml:space="preserve">2026-10-21T15:51:17+00:00</t>
  </si>
  <si>
    <t xml:space="preserve">qc_output/sub-255</t>
  </si>
  <si>
    <t xml:space="preserve">sub-256</t>
  </si>
  <si>
    <t xml:space="preserve">overall FAIL; PARTIALLY_USABLE: 6/8 recordings usable; bad channels in 2 recording(s) (AF3, AF4, AF7); alpha blocking OK (median 3.3); notch filter suggested for 8/8 recordings</t>
  </si>
  <si>
    <t xml:space="preserve">Fp1 x2, Fp2 x2, F3 x2, Fz x2, F4 x2, AF7 x2, AF3 x2, AF4 x2, AF8 x2, F1 x2, F2 x2, F7 x1, F5 x1</t>
  </si>
  <si>
    <t xml:space="preserve">2026-10-21T15:51:18+00:00</t>
  </si>
  <si>
    <t xml:space="preserve">2026-10-21T15:52:43+00:00</t>
  </si>
  <si>
    <t xml:space="preserve">qc_output/sub-256</t>
  </si>
  <si>
    <t xml:space="preserve">sub-257</t>
  </si>
  <si>
    <t xml:space="preserve">overall FAIL; PARTIALLY_USABLE: 3/4 recordings usable; bad channels in 4 recording(s) (FC3, F1, FC1); alpha blocking weak (flag only) (median 0.7); notch filter suggested for 4/4 recordings</t>
  </si>
  <si>
    <t xml:space="preserve">FC3 x3, F1 x2, F8 x2, FC1 x2, Cz x1, Fp1 x1, Fp2 x1, F3 x1, Fz x1, F4 x1, AF3 x1, AF4 x1, F2 x1, F6 x1</t>
  </si>
  <si>
    <t xml:space="preserve">CRITICAL_CHANNEL_BAD; DURATION_S; LINE_NOISE; LOW_ALPHA_PROMINENCE; NO_ALPHA_BLOCKING; TOO_MANY_BAD_CHANNELS; USABLE_NEEDS_INTERPOLATION; WEAK_ALPHA_BLOCKING</t>
  </si>
  <si>
    <t xml:space="preserve">2026-10-21T15:52:44+00:00</t>
  </si>
  <si>
    <t xml:space="preserve">2026-10-21T15:53:36+00:00</t>
  </si>
  <si>
    <t xml:space="preserve">qc_output/sub-257</t>
  </si>
  <si>
    <t xml:space="preserve">sub-258</t>
  </si>
  <si>
    <t xml:space="preserve">overall FAIL; PARTIALLY_USABLE: 3/4 recordings usable; bad channels in 2 recording(s) (Fp1, Fp2, AF3); alpha blocking OK (median 4.6); notch filter suggested for 1/4 recordings</t>
  </si>
  <si>
    <t xml:space="preserve">Fp1 x2, Fp2 x2, Fz x1, AF7 x1, AF3 x1, AF4 x1, AF8 x1</t>
  </si>
  <si>
    <t xml:space="preserve">2026-10-21T15:53:37+00:00</t>
  </si>
  <si>
    <t xml:space="preserve">2026-10-21T15:54:24+00:00</t>
  </si>
  <si>
    <t xml:space="preserve">qc_output/sub-258</t>
  </si>
  <si>
    <t xml:space="preserve">sub-259</t>
  </si>
  <si>
    <t xml:space="preserve">overall FAIL; PARTIALLY_USABLE: 2/4 recordings usable; bad channels in 4 recording(s) (F6, AF4, AF7); alpha blocking OK (median 3.1); notch filter suggested for 4/4 recordings</t>
  </si>
  <si>
    <t xml:space="preserve">F6 x4, Fp1 x2, Fp2 x2, F3 x2, F4 x2, AF7 x2, AF3 x2, AF4 x2, AF8 x2, F7 x2, F8 x2, F5 x2, F1 x1</t>
  </si>
  <si>
    <t xml:space="preserve">2026-10-21T15:54:26+00:00</t>
  </si>
  <si>
    <t xml:space="preserve">2026-10-21T15:55:16+00:00</t>
  </si>
  <si>
    <t xml:space="preserve">qc_output/sub-259</t>
  </si>
  <si>
    <t xml:space="preserve">sub-260</t>
  </si>
  <si>
    <t xml:space="preserve">Rejected: Late triggers (late_ses1=0, late_ses2=3)</t>
  </si>
  <si>
    <t xml:space="preserve">Late triggers (late_ses1=0, late_ses2=3)</t>
  </si>
  <si>
    <t xml:space="preserve">2026-10-21T15:55:17+00:00</t>
  </si>
  <si>
    <t xml:space="preserve">qc_output/sub-260</t>
  </si>
  <si>
    <t xml:space="preserve">sub-261</t>
  </si>
  <si>
    <t xml:space="preserve">overall FLAG; USABLE_NEEDS_INTERPOLATION: 4/4 recordings usable; bad channels in 2 recording(s) (F4, F6, F7); alpha blocking OK (median 2.1); notch filter suggested for 3/4 recordings</t>
  </si>
  <si>
    <t xml:space="preserve">F7 x2, F4 x2, F6 x2, F5 x1</t>
  </si>
  <si>
    <t xml:space="preserve">2026-10-21T15:55:18+00:00</t>
  </si>
  <si>
    <t xml:space="preserve">2026-10-21T15:56:07+00:00</t>
  </si>
  <si>
    <t xml:space="preserve">qc_output/sub-261</t>
  </si>
  <si>
    <t xml:space="preserve">sub-262</t>
  </si>
  <si>
    <t xml:space="preserve">overall FLAG; USABLE_WITH_FLAGS: 8/8 recordings usable; no bad channels; alpha blocking OK (median 7.3); notch filter suggested for 7/8 recordings</t>
  </si>
  <si>
    <t xml:space="preserve">2026-10-21T15:56:08+00:00</t>
  </si>
  <si>
    <t xml:space="preserve">2026-10-21T15:57:34+00:00</t>
  </si>
  <si>
    <t xml:space="preserve">qc_output/sub-262</t>
  </si>
  <si>
    <t xml:space="preserve">sub-263</t>
  </si>
  <si>
    <t xml:space="preserve">overall FAIL; PARTIALLY_USABLE: 7/8 recordings usable; bad channels in 5 recording(s) (Fz, F2, AF3); alpha blocking weak (flag only) (median 1.0); notch filter suggested for 7/8 recordings</t>
  </si>
  <si>
    <t xml:space="preserve">Fz x5, F2 x3, F3 x1, FC1 x1, AF3 x1, AF4 x1, AF8 x1, F5 x1, F1 x1</t>
  </si>
  <si>
    <t xml:space="preserve">2026-10-21T15:57:35+00:00</t>
  </si>
  <si>
    <t xml:space="preserve">2026-10-21T15:59:03+00:00</t>
  </si>
  <si>
    <t xml:space="preserve">qc_output/sub-263</t>
  </si>
  <si>
    <t xml:space="preserve">sub-264</t>
  </si>
  <si>
    <t xml:space="preserve">overall FLAG; USABLE_NEEDS_INTERPOLATION: 4/4 recordings usable; bad channels in 4 recording(s) (F1, F5, F6); alpha blocking weak (flag only) (median 0.5); notch filter suggested for 1/4 recordings</t>
  </si>
  <si>
    <t xml:space="preserve">Fz x2, F1 x2, F7 x2, F5 x2, F6 x2, F3 x1, FC1 x1, FC3 x1</t>
  </si>
  <si>
    <t xml:space="preserve">2026-10-21T15:59:05+00:00</t>
  </si>
  <si>
    <t xml:space="preserve">qc_output/sub-264</t>
  </si>
  <si>
    <t xml:space="preserve">sub-265</t>
  </si>
  <si>
    <t xml:space="preserve">2026-10-21T15:59:59+00:00</t>
  </si>
  <si>
    <t xml:space="preserve">qc_output/sub-265</t>
  </si>
  <si>
    <t xml:space="preserve">sub-266</t>
  </si>
  <si>
    <t xml:space="preserve">overall FAIL; PARTIALLY_USABLE: 6/8 recordings usable; bad channels in 4 recording(s) (F2, Fz, F1); alpha blocking OK (median 2.0); notch filter suggested for 4/8 recordings</t>
  </si>
  <si>
    <t xml:space="preserve">Fz x4, F2 x4, F3 x3, AF7 x3, AF3 x3, F1 x3, AF4 x2, AF8 x2, Fp1 x1, Fp2 x1, F7 x1, F4 x1, F5 x1, F6 x1</t>
  </si>
  <si>
    <t xml:space="preserve">2026-10-21T16:00:01+00:00</t>
  </si>
  <si>
    <t xml:space="preserve">2026-10-21T16:01:33+00:00</t>
  </si>
  <si>
    <t xml:space="preserve">qc_output/sub-266</t>
  </si>
  <si>
    <t xml:space="preserve">sub-267</t>
  </si>
  <si>
    <t xml:space="preserve">overall FAIL; PARTIALLY_USABLE: 7/8 recordings usable; bad channels in 5 recording(s) (AF7, F5, F3); alpha blocking OK (median 5.5); notch filter suggested for 5/8 recordings</t>
  </si>
  <si>
    <t xml:space="preserve">AF7 x3, F5 x3, F3 x3, AF8 x2, Fp1 x2, Fp2 x2, Fz x2, AF4 x2, F1 x2, F4 x2, F6 x1</t>
  </si>
  <si>
    <t xml:space="preserve">2026-10-21T16:01:34+00:00</t>
  </si>
  <si>
    <t xml:space="preserve">2026-10-21T16:03:04+00:00</t>
  </si>
  <si>
    <t xml:space="preserve">qc_output/sub-267</t>
  </si>
  <si>
    <t xml:space="preserve">sub-268</t>
  </si>
  <si>
    <t xml:space="preserve">overall FAIL; PARTIALLY_USABLE: 2/4 recordings usable; bad channels in 2 recording(s) (Cz, F1, F2); alpha blocking weak (flag only) (median 1.2); notch filter suggested for 4/4 recordings</t>
  </si>
  <si>
    <t xml:space="preserve">F3 x2, Fz x2, Cz x2, F1 x2, F2 x2, F5 x1</t>
  </si>
  <si>
    <t xml:space="preserve">CRITICAL_CHANNELS_BAD; LINE_NOISE; LOW_ALPHA_PROMINENCE; NO_ALPHA_BLOCKING</t>
  </si>
  <si>
    <t xml:space="preserve">2026-10-21T16:03:05+00:00</t>
  </si>
  <si>
    <t xml:space="preserve">2026-10-21T16:03:56+00:00</t>
  </si>
  <si>
    <t xml:space="preserve">qc_output/sub-268</t>
  </si>
  <si>
    <t xml:space="preserve">sub-269</t>
  </si>
  <si>
    <t xml:space="preserve">overall FLAG; USABLE_WITH_FLAGS: 4/4 recordings usable; no bad channels; alpha blocking weak (flag only) (median 0.6); notch filter suggested for 2/4 recordings</t>
  </si>
  <si>
    <t xml:space="preserve">NO_ALPHA_BLOCKING; WEAK_ALPHA_BLOCKING</t>
  </si>
  <si>
    <t xml:space="preserve">2026-10-21T16:03:58+00:00</t>
  </si>
  <si>
    <t xml:space="preserve">qc_output/sub-269</t>
  </si>
  <si>
    <t xml:space="preserve">sub-270</t>
  </si>
  <si>
    <t xml:space="preserve">Rejected: Late triggers (late_ses1=2075, late_ses2=0)</t>
  </si>
  <si>
    <t xml:space="preserve">Late triggers (late_ses1=2075, late_ses2=0)</t>
  </si>
  <si>
    <t xml:space="preserve">qc_output/sub-270</t>
  </si>
  <si>
    <t xml:space="preserve">sub-271</t>
  </si>
  <si>
    <t xml:space="preserve">2026-10-21T16:04:52+00:00</t>
  </si>
  <si>
    <t xml:space="preserve">qc_output/sub-271</t>
  </si>
  <si>
    <t xml:space="preserve">sub-272</t>
  </si>
  <si>
    <t xml:space="preserve">overall FAIL; PARTIALLY_USABLE: 3/8 recordings usable; bad channels in 7 recording(s) (Fz, F2, F1); alpha blocking OK (median 5.1); notch filter suggested for 4/8 recordings</t>
  </si>
  <si>
    <t xml:space="preserve">Fz x7, F2 x7, F1 x6, Cz x4, Fp1 x3, F3 x3, AF4 x3, AF8 x3, Fp2 x2, F4 x2, AF3 x2, FC2 x2, F6 x1, AF7 x1</t>
  </si>
  <si>
    <t xml:space="preserve">2026-10-21T16:04:53+00:00</t>
  </si>
  <si>
    <t xml:space="preserve">2026-10-21T16:06:24+00:00</t>
  </si>
  <si>
    <t xml:space="preserve">qc_output/sub-272</t>
  </si>
  <si>
    <t xml:space="preserve">sub-273</t>
  </si>
  <si>
    <t xml:space="preserve">overall FLAG; USABLE_NEEDS_INTERPOLATION: 4/4 recordings usable; bad channels in 2 recording(s) (Fz, AF4, AF8); alpha blocking OK (median 1.8); notch filter suggested for 4/4 recordings</t>
  </si>
  <si>
    <t xml:space="preserve">Fz x2, Fp1 x1, Fp2 x1, AF4 x1, AF8 x1</t>
  </si>
  <si>
    <t xml:space="preserve">2026-10-21T16:06:26+00:00</t>
  </si>
  <si>
    <t xml:space="preserve">2026-10-21T16:07:14+00:00</t>
  </si>
  <si>
    <t xml:space="preserve">qc_output/sub-273</t>
  </si>
  <si>
    <t xml:space="preserve">sub-274</t>
  </si>
  <si>
    <t xml:space="preserve">overall FLAG; USABLE_NEEDS_INTERPOLATION: 4/4 recordings usable; bad channels in 4 recording(s) (F1, F6, Fz); alpha blocking weak (flag only) (median 0.9); notch filter suggested for 4/4 recordings</t>
  </si>
  <si>
    <t xml:space="preserve">Fz x2, F1 x2, FC1 x2, F6 x2, F3 x1, FC5 x1, FC3 x1, F4 x1</t>
  </si>
  <si>
    <t xml:space="preserve">2026-10-21T16:07:17+00:00</t>
  </si>
  <si>
    <t xml:space="preserve">2026-10-21T16:08:07+00:00</t>
  </si>
  <si>
    <t xml:space="preserve">qc_output/sub-274</t>
  </si>
  <si>
    <t xml:space="preserve">sub-275</t>
  </si>
  <si>
    <t xml:space="preserve">overall FLAG; USABLE_NEEDS_INTERPOLATION: 4/4 recordings usable; bad channels in 4 recording(s) (F2, Fz, F1); alpha blocking OK (median 3.9); notch filter suggested for 4/4 recordings</t>
  </si>
  <si>
    <t xml:space="preserve">F2 x4, Fz x3, F1 x3, F3 x2, AF3 x1, F4 x1, AF7 x1, AF8 x1, F5 x1</t>
  </si>
  <si>
    <t xml:space="preserve">2026-10-21T16:08:08+00:00</t>
  </si>
  <si>
    <t xml:space="preserve">2026-10-21T16:08:58+00:00</t>
  </si>
  <si>
    <t xml:space="preserve">qc_output/sub-275</t>
  </si>
  <si>
    <t xml:space="preserve">sub-276</t>
  </si>
  <si>
    <t xml:space="preserve">overall FLAG; USABLE_NEEDS_INTERPOLATION: 4/4 recordings usable; bad channels in 4 recording(s) (Fz, F1, F4); alpha blocking OK (median 4.6); notch filter suggested for 1/4 recordings</t>
  </si>
  <si>
    <t xml:space="preserve">Fz x3, F1 x2, F4 x2, F7 x1, F3 x1, F5 x1, F6 x1, F2 x1</t>
  </si>
  <si>
    <t xml:space="preserve">2026-10-21T16:09:00+00:00</t>
  </si>
  <si>
    <t xml:space="preserve">2026-10-21T16:09:52+00:00</t>
  </si>
  <si>
    <t xml:space="preserve">qc_output/sub-276</t>
  </si>
  <si>
    <t xml:space="preserve">sub-277</t>
  </si>
  <si>
    <t xml:space="preserve">overall FAIL; PARTIALLY_USABLE: 6/8 recordings usable; bad channels in 7 recording(s) (F1, Fz, F2); alpha blocking weak (flag only) (median 1.0); notch filter suggested for 8/8 recordings</t>
  </si>
  <si>
    <t xml:space="preserve">F1 x6, Fz x5, Fp2 x3, F2 x3, Fp1 x2, F4 x2, AF3 x2, AF4 x2, AF8 x2, F6 x1, AF7 x1, F7 x1</t>
  </si>
  <si>
    <t xml:space="preserve">2026-10-21T16:09:54+00:00</t>
  </si>
  <si>
    <t xml:space="preserve">2026-10-21T16:11:27+00:00</t>
  </si>
  <si>
    <t xml:space="preserve">qc_output/sub-277</t>
  </si>
  <si>
    <t xml:space="preserve">sub-278</t>
  </si>
  <si>
    <t xml:space="preserve">Rejected: Late triggers (late_ses1=195, late_ses2=n/a)</t>
  </si>
  <si>
    <t xml:space="preserve">Late triggers (late_ses1=195, late_ses2=n/a)</t>
  </si>
  <si>
    <t xml:space="preserve">2026-10-21T16:11:29+00:00</t>
  </si>
  <si>
    <t xml:space="preserve">qc_output/sub-278</t>
  </si>
  <si>
    <t xml:space="preserve">sub-279</t>
  </si>
  <si>
    <t xml:space="preserve">Rejected: Late triggers (late_ses1=2023, late_ses2=n/a)</t>
  </si>
  <si>
    <t xml:space="preserve">Late triggers (late_ses1=2023, late_ses2=n/a)</t>
  </si>
  <si>
    <t xml:space="preserve">2026-10-21T16:11:30+00:00</t>
  </si>
  <si>
    <t xml:space="preserve">qc_output/sub-279</t>
  </si>
  <si>
    <t xml:space="preserve">sub-280</t>
  </si>
  <si>
    <t xml:space="preserve">overall FAIL; PARTIALLY_USABLE: 6/8 recordings usable; bad channels in 7 recording(s) (Fz, F2, F5); alpha blocking OK (median 6.1); notch filter suggested for 7/8 recordings</t>
  </si>
  <si>
    <t xml:space="preserve">Fz x4, FC1 x3, F5 x3, F2 x3, F1 x2, F7 x2, F3 x2, F4 x2, AF8 x2, F6 x1, AF7 x1, AF3 x1, AF4 x1, FC2 x1</t>
  </si>
  <si>
    <t xml:space="preserve">2026-10-21T16:11:31+00:00</t>
  </si>
  <si>
    <t xml:space="preserve">2026-10-21T16:13:04+00:00</t>
  </si>
  <si>
    <t xml:space="preserve">qc_output/sub-280</t>
  </si>
  <si>
    <t xml:space="preserve">sub-281</t>
  </si>
  <si>
    <t xml:space="preserve">overall FLAG; USABLE_NEEDS_INTERPOLATION: 4/4 recordings usable; bad channels in 3 recording(s) (Fz, F1, FC1); alpha blocking OK (median 10.3); notch filter suggested for 4/4 recordings</t>
  </si>
  <si>
    <t xml:space="preserve">Fz x2, F1 x1, FC1 x1</t>
  </si>
  <si>
    <t xml:space="preserve">2026-10-21T16:13:06+00:00</t>
  </si>
  <si>
    <t xml:space="preserve">2026-10-21T16:13:57+00:00</t>
  </si>
  <si>
    <t xml:space="preserve">qc_output/sub-281</t>
  </si>
  <si>
    <t xml:space="preserve">sub-282</t>
  </si>
  <si>
    <t xml:space="preserve">overall FAIL; PARTIALLY_USABLE: 4/8 recordings usable; bad channels in 8 recording(s) (F2, Fz, F1); alpha blocking OK (median 2.7); notch filter suggested for 8/8 recordings</t>
  </si>
  <si>
    <t xml:space="preserve">Fz x6, F1 x6, F2 x6, Fp1 x4, F4 x4, AF7 x4, AF4 x4, FC2 x4, Fp2 x3, F3 x3, AF3 x3, F7 x2, FC1 x2, F5 x2, F6 x2, FC3 x2, AF8 x2, F8 x1, FC6 x1, FC4 x1</t>
  </si>
  <si>
    <t xml:space="preserve">2026-10-21T16:13:59+00:00</t>
  </si>
  <si>
    <t xml:space="preserve">2026-10-21T16:15:29+00:00</t>
  </si>
  <si>
    <t xml:space="preserve">qc_output/sub-282</t>
  </si>
  <si>
    <t xml:space="preserve">sub-283</t>
  </si>
  <si>
    <t xml:space="preserve">2026-10-21T16:15:31+00:00</t>
  </si>
  <si>
    <t xml:space="preserve">qc_output/sub-283</t>
  </si>
  <si>
    <t xml:space="preserve">sub-284</t>
  </si>
  <si>
    <t xml:space="preserve">overall FAIL; PARTIALLY_USABLE: 3/4 recordings usable; bad channels in 2 recording(s) (Fz, F1, AF4); alpha blocking OK (median 3.6); notch filter suggested for 1/4 recordings</t>
  </si>
  <si>
    <t xml:space="preserve">Fz x2, F1 x2, Fp1 x1, Fp2 x1, F3 x1, AF7 x1, AF3 x1, AF4 x1, AF8 x1, F2 x1</t>
  </si>
  <si>
    <t xml:space="preserve">2026-10-21T16:15:32+00:00</t>
  </si>
  <si>
    <t xml:space="preserve">2026-10-21T16:16:22+00:00</t>
  </si>
  <si>
    <t xml:space="preserve">qc_output/sub-284</t>
  </si>
  <si>
    <t xml:space="preserve">sub-285</t>
  </si>
  <si>
    <t xml:space="preserve">overall FAIL; PARTIALLY_USABLE: 3/4 recordings usable; bad channels in 4 recording(s) (F2, Fz, F1); alpha blocking weak (flag only) (median 0.8); notch filter suggested for 2/4 recordings</t>
  </si>
  <si>
    <t xml:space="preserve">F2 x4, Fz x3, F1 x2, PO10 x2, F4 x2, Fp1 x1, Fp2 x1, F3 x1, AF7 x1, AF3 x1, AF4 x1, F6 x1</t>
  </si>
  <si>
    <t xml:space="preserve">2026-10-21T16:16:25+00:00</t>
  </si>
  <si>
    <t xml:space="preserve">2026-10-21T16:17:21+00:00</t>
  </si>
  <si>
    <t xml:space="preserve">qc_output/sub-285</t>
  </si>
  <si>
    <t xml:space="preserve">sub-286</t>
  </si>
  <si>
    <t xml:space="preserve">Rejected: Late triggers (late_ses1=16, late_ses2=n/a)</t>
  </si>
  <si>
    <t xml:space="preserve">Late triggers (late_ses1=16, late_ses2=n/a)</t>
  </si>
  <si>
    <t xml:space="preserve">2026-10-21T16:17:22+00:00</t>
  </si>
  <si>
    <t xml:space="preserve">qc_output/sub-286</t>
  </si>
  <si>
    <t xml:space="preserve">sub-287</t>
  </si>
  <si>
    <t xml:space="preserve">2026-10-21T16:17:24+00:00</t>
  </si>
  <si>
    <t xml:space="preserve">qc_output/sub-287</t>
  </si>
  <si>
    <t xml:space="preserve">sub-288</t>
  </si>
  <si>
    <t xml:space="preserve">overall FAIL; PARTIALLY_USABLE: 6/8 recordings usable; bad channels in 5 recording(s) (AF4, F4, FC2); alpha blocking OK (median 2.2); notch filter suggested for 8/8 recordings</t>
  </si>
  <si>
    <t xml:space="preserve">F4 x4, AF4 x4, FC2 x4, F2 x3, Fz x3, F6 x2, CP5 x1, F5 x1, F8 x1, FC5 x1, FC4 x1, T8 x1, F1 x1</t>
  </si>
  <si>
    <t xml:space="preserve">2026-10-21T16:17:26+00:00</t>
  </si>
  <si>
    <t xml:space="preserve">2026-10-21T16:19:00+00:00</t>
  </si>
  <si>
    <t xml:space="preserve">qc_output/sub-288</t>
  </si>
  <si>
    <t xml:space="preserve">sub-289</t>
  </si>
  <si>
    <t xml:space="preserve">overall FLAG; USABLE_WITH_FLAGS: 4/4 recordings usable; no bad channels; alpha blocking OK (median 2.8); notch filter suggested for 2/4 recordings</t>
  </si>
  <si>
    <t xml:space="preserve">2026-10-21T16:19:01+00:00</t>
  </si>
  <si>
    <t xml:space="preserve">2026-10-21T16:19:53+00:00</t>
  </si>
  <si>
    <t xml:space="preserve">qc_output/sub-289</t>
  </si>
  <si>
    <t xml:space="preserve">sub-290</t>
  </si>
  <si>
    <t xml:space="preserve">overall FAIL; PARTIALLY_USABLE: 3/4 recordings usable; bad channels in 4 recording(s) (F2, F1, Fz); alpha blocking OK (median 2.8); notch filter suggested for 4/4 recordings</t>
  </si>
  <si>
    <t xml:space="preserve">Fz x2, F1 x2, F2 x2, Fp1 x1, Fp2 x1, AF3 x1, AF4 x1, F7 x1, F3 x1, F4 x1, AF8 x1, F5 x1, F6 x1, FC2 x1</t>
  </si>
  <si>
    <t xml:space="preserve">CRITICAL_CHANNEL_BAD; LINE_NOISE; LOW_ALPHA_PROMINENCE; TOO_MANY_BAD_CHANNELS; USABLE_NEEDS_INTERPOLATION; WEAK_ALPHA_BLOCKING</t>
  </si>
  <si>
    <t xml:space="preserve">2026-10-21T16:19:55+00:00</t>
  </si>
  <si>
    <t xml:space="preserve">2026-10-21T16:20:55+00:00</t>
  </si>
  <si>
    <t xml:space="preserve">qc_output/sub-290</t>
  </si>
  <si>
    <t xml:space="preserve">sub-291</t>
  </si>
  <si>
    <t xml:space="preserve">overall FLAG; USABLE_NEEDS_INTERPOLATION: 4/4 recordings usable; bad channels in 3 recording(s) (FC6, F8, F7); alpha blocking OK (median 1.8); notch filter suggested for 3/4 recordings</t>
  </si>
  <si>
    <t xml:space="preserve">F7 x2, F8 x2, FC6 x2, FC4 x2, Fz x1, F1 x1, F2 x1, F3 x1, F5 x1, FC1 x1, FC2 x1</t>
  </si>
  <si>
    <t xml:space="preserve">2026-10-21T16:20:56+00:00</t>
  </si>
  <si>
    <t xml:space="preserve">2026-10-21T16:21:47+00:00</t>
  </si>
  <si>
    <t xml:space="preserve">qc_output/sub-291</t>
  </si>
  <si>
    <t xml:space="preserve">sub-292</t>
  </si>
  <si>
    <t xml:space="preserve">overall FAIL; PARTIALLY_USABLE: 3/4 recordings usable; bad channels in 4 recording(s) (F1, F2, AF4); alpha blocking OK (median 6.2); notch filter suggested for 4/4 recordings</t>
  </si>
  <si>
    <t xml:space="preserve">F1 x4, F2 x4, FC1 x2, F4 x2, AF4 x2, Fz x1, Fp1 x1, Fp2 x1, F3 x1, AF7 x1, AF3 x1</t>
  </si>
  <si>
    <t xml:space="preserve">2026-10-21T16:21:49+00:00</t>
  </si>
  <si>
    <t xml:space="preserve">2026-10-21T16:22:40+00:00</t>
  </si>
  <si>
    <t xml:space="preserve">qc_output/sub-292</t>
  </si>
  <si>
    <t xml:space="preserve">sub-293</t>
  </si>
  <si>
    <t xml:space="preserve">Rejected: Late triggers (late_ses1=32, late_ses2=n/a)</t>
  </si>
  <si>
    <t xml:space="preserve">Late triggers (late_ses1=32, late_ses2=n/a)</t>
  </si>
  <si>
    <t xml:space="preserve">2026-10-21T16:22:42+00:00</t>
  </si>
  <si>
    <t xml:space="preserve">qc_output/sub-293</t>
  </si>
  <si>
    <t xml:space="preserve">sub-294</t>
  </si>
  <si>
    <t xml:space="preserve">overall FAIL; PARTIALLY_USABLE: 5/8 recordings usable; bad channels in 7 recording(s) (F4, F3, F2); alpha blocking OK (median 5.0); notch filter suggested for 8/8 recordings</t>
  </si>
  <si>
    <t xml:space="preserve">F3 x4, Fz x4, F4 x4, F1 x4, F2 x4, AF3 x3, AF4 x3, F5 x3, Fp1 x2, Fp2 x2, AF7 x2, AF8 x2, F7 x2, F6 x2, FC2 x1, F8 x1</t>
  </si>
  <si>
    <t xml:space="preserve">2026-10-21T16:22:43+00:00</t>
  </si>
  <si>
    <t xml:space="preserve">2026-10-21T16:24:18+00:00</t>
  </si>
  <si>
    <t xml:space="preserve">qc_output/sub-294</t>
  </si>
  <si>
    <t xml:space="preserve">sub-295</t>
  </si>
  <si>
    <t xml:space="preserve">2026-10-21T16:24:19+00:00</t>
  </si>
  <si>
    <t xml:space="preserve">qc_output/sub-295</t>
  </si>
  <si>
    <t xml:space="preserve">sub-296</t>
  </si>
  <si>
    <t xml:space="preserve">Rejected: Late triggers (late_ses1=125, late_ses2=0)</t>
  </si>
  <si>
    <t xml:space="preserve">Late triggers (late_ses1=125, late_ses2=0)</t>
  </si>
  <si>
    <t xml:space="preserve">2026-10-21T16:24:21+00:00</t>
  </si>
  <si>
    <t xml:space="preserve">qc_output/sub-296</t>
  </si>
  <si>
    <t xml:space="preserve">sub-297</t>
  </si>
  <si>
    <t xml:space="preserve">overall FLAG; USABLE_NEEDS_INTERPOLATION: 4/4 recordings usable; bad channels in 1 recording(s) (F6, F7, F8); alpha blocking OK (median 2.6); notch filter suggested for 4/4 recordings</t>
  </si>
  <si>
    <t xml:space="preserve">F7 x1, F8 x1, F6 x1</t>
  </si>
  <si>
    <t xml:space="preserve">2026-10-21T16:24:24+00:00</t>
  </si>
  <si>
    <t xml:space="preserve">2026-10-21T16:25:16+00:00</t>
  </si>
  <si>
    <t xml:space="preserve">qc_output/sub-297</t>
  </si>
  <si>
    <t xml:space="preserve">sub-298</t>
  </si>
  <si>
    <t xml:space="preserve">overall FAIL; PARTIALLY_USABLE: 3/4 recordings usable; bad channels in 2 recording(s) (F4, AF4, AF3); alpha blocking OK (median 3.2)</t>
  </si>
  <si>
    <t xml:space="preserve">F4 x2, Fp1 x1, Fp2 x1, Fz x1, AF7 x1, AF3 x1, AF4 x1, AF8 x1, F1 x1, F2 x1, F7 x1, F3 x1, F8 x1, F5 x1, F6 x1</t>
  </si>
  <si>
    <t xml:space="preserve">2026-10-21T16:25:18+00:00</t>
  </si>
  <si>
    <t xml:space="preserve">2026-10-21T16:26:08+00:00</t>
  </si>
  <si>
    <t xml:space="preserve">qc_output/sub-298</t>
  </si>
  <si>
    <t xml:space="preserve">sub-299</t>
  </si>
  <si>
    <t xml:space="preserve">overall FLAG; USABLE_NEEDS_INTERPOLATION: 8/8 recordings usable; bad channels in 8 recording(s) (Fz, F1, FC1); alpha blocking OK (median 3.5); notch filter suggested for 4/8 recordings</t>
  </si>
  <si>
    <t xml:space="preserve">Fz x6, FC5 x2, FC1 x2, FT7 x2, FC3 x2, F1 x2, F2 x2, F8 x1</t>
  </si>
  <si>
    <t xml:space="preserve">2026-10-21T16:26:11+00:00</t>
  </si>
  <si>
    <t xml:space="preserve">2026-10-21T16:27:42+00:00</t>
  </si>
  <si>
    <t xml:space="preserve">qc_output/sub-299</t>
  </si>
  <si>
    <t xml:space="preserve">sub-300</t>
  </si>
  <si>
    <t xml:space="preserve">overall FAIL; PARTIALLY_USABLE: 5/8 recordings usable; bad channels in 4 recording(s) (FC3, FC1, AF7); alpha blocking OK (median 2.4); notch filter suggested for 4/8 recordings</t>
  </si>
  <si>
    <t xml:space="preserve">FC1 x3, FC3 x3, F3 x2, AF7 x2, AF8 x2, Fz x2, F4 x2, FC5 x2, F7 x1, FC2 x1, F5 x1, F1 x1, F2 x1, Fp1 x1, FC6 x1, AF3 x1, AF4 x1, F6 x1, FC4 x1</t>
  </si>
  <si>
    <t xml:space="preserve">2026-10-21T15:42:32+00:00</t>
  </si>
  <si>
    <t xml:space="preserve">2026-10-21T15:44:00+00:00</t>
  </si>
  <si>
    <t xml:space="preserve">qc_output/sub-300</t>
  </si>
  <si>
    <t xml:space="preserve">sub-301</t>
  </si>
  <si>
    <t xml:space="preserve">overall FAIL; PARTIALLY_USABLE: 2/4 recordings usable; bad channels in 4 recording(s) (F4, FC2, F2); alpha blocking OK (median 3.6)</t>
  </si>
  <si>
    <t xml:space="preserve">F4 x4, FC2 x4, F2 x3, Fz x2, F7 x2, FC1 x2, FC3 x2, F1 x1, FC5 x1, FC4 x1, F5 x1</t>
  </si>
  <si>
    <t xml:space="preserve">CRITICAL_CHANNEL_BAD; NO_ALPHA_BLOCKING; TOO_MANY_BAD_CHANNELS; USABLE_NEEDS_INTERPOLATION</t>
  </si>
  <si>
    <t xml:space="preserve">2026-10-21T15:46:43+00:00</t>
  </si>
  <si>
    <t xml:space="preserve">2026-10-21T15:47:27+00:00</t>
  </si>
  <si>
    <t xml:space="preserve">qc_output/sub-301</t>
  </si>
  <si>
    <t xml:space="preserve">sub-302</t>
  </si>
  <si>
    <t xml:space="preserve">overall FLAG; USABLE_NEEDS_INTERPOLATION: 4/4 recordings usable; bad channels in 4 recording(s) (Fz, F2); alpha blocking weak (flag only) (median 1.3); notch filter suggested for 3/4 recordings</t>
  </si>
  <si>
    <t xml:space="preserve">Fz x4, F2 x1</t>
  </si>
  <si>
    <t xml:space="preserve">CRITICAL_CHANNEL_BAD; LINE_NOISE; LOW_ALPHA_PROMINENCE; USABLE_NEEDS_INTERPOLATION; WEAK_ALPHA_BLOCKING</t>
  </si>
  <si>
    <t xml:space="preserve">2026-10-21T15:47:29+00:00</t>
  </si>
  <si>
    <t xml:space="preserve">2026-10-21T15:48:13+00:00</t>
  </si>
  <si>
    <t xml:space="preserve">qc_output/sub-302</t>
  </si>
  <si>
    <t xml:space="preserve">sub-303</t>
  </si>
  <si>
    <t xml:space="preserve">overall FAIL; PARTIALLY_USABLE: 3/4 recordings usable; bad channels in 4 recording(s) (Fz, AF3, AF4); alpha blocking OK (median 1.8); notch filter suggested for 4/4 recordings</t>
  </si>
  <si>
    <t xml:space="preserve">Fz x3, Fp1 x1, Fp2 x1, F3 x1, F4 x1, AF7 x1, AF3 x1, AF4 x1, AF8 x1, F5 x1, F1 x1, F2 x1, F6 x1, F7 x1, F8 x1, FC2 x1, FC4 x1</t>
  </si>
  <si>
    <t xml:space="preserve">2026-10-21T15:41:26+00:00</t>
  </si>
  <si>
    <t xml:space="preserve">2026-10-21T15:42:24+00:00</t>
  </si>
  <si>
    <t xml:space="preserve">qc_output/sub-303</t>
  </si>
  <si>
    <t xml:space="preserve">sub-304</t>
  </si>
  <si>
    <t xml:space="preserve">overall FLAG; USABLE_NEEDS_INTERPOLATION: 4/4 recordings usable; bad channels in 4 recording(s) (Fz); alpha blocking weak (flag only) (median 0.9); notch filter suggested for 3/4 recordings</t>
  </si>
  <si>
    <t xml:space="preserve">Fz x4</t>
  </si>
  <si>
    <t xml:space="preserve">2026-10-21T15:43:26+00:00</t>
  </si>
  <si>
    <t xml:space="preserve">2026-10-21T15:44:01+00:00</t>
  </si>
  <si>
    <t xml:space="preserve">qc_output/sub-304</t>
  </si>
  <si>
    <t xml:space="preserve">sub-305</t>
  </si>
  <si>
    <t xml:space="preserve">overall FLAG; USABLE_NEEDS_INTERPOLATION: 8/8 recordings usable; bad channels in 8 recording(s) (FC1, Fz, F1); alpha blocking OK (median 1.5); notch filter suggested for 2/8 recordings</t>
  </si>
  <si>
    <t xml:space="preserve">FC1 x7, Fz x4, FC2 x3, F1 x3, F2 x3, FC3 x3, FC5 x2, FC6 x1, FC4 x1</t>
  </si>
  <si>
    <t xml:space="preserve">2026-10-21T15:44:03+00:00</t>
  </si>
  <si>
    <t xml:space="preserve">2026-10-21T15:45:52+00:00</t>
  </si>
  <si>
    <t xml:space="preserve">qc_output/sub-305</t>
  </si>
  <si>
    <t xml:space="preserve">sub-306</t>
  </si>
  <si>
    <t xml:space="preserve">Rejected: Late triggers (late_ses1=2208, late_ses2=n/a)</t>
  </si>
  <si>
    <t xml:space="preserve">Late triggers (late_ses1=2208, late_ses2=n/a)</t>
  </si>
  <si>
    <t xml:space="preserve">2026-10-21T15:45:53+00:00</t>
  </si>
  <si>
    <t xml:space="preserve">qc_output/sub-306</t>
  </si>
  <si>
    <t xml:space="preserve">sub-307</t>
  </si>
  <si>
    <t xml:space="preserve">overall FLAG; USABLE_NEEDS_INTERPOLATION: 4/4 recordings usable; bad channels in 1 recording(s) (F1, Fz); alpha blocking weak (flag only) (median 1.2); notch filter suggested for 4/4 recordings</t>
  </si>
  <si>
    <t xml:space="preserve">Fz x1, F1 x1</t>
  </si>
  <si>
    <t xml:space="preserve">2026-10-21T15:45:54+00:00</t>
  </si>
  <si>
    <t xml:space="preserve">2026-10-21T15:46:53+00:00</t>
  </si>
  <si>
    <t xml:space="preserve">qc_output/sub-307</t>
  </si>
  <si>
    <t xml:space="preserve">sub-308</t>
  </si>
  <si>
    <t xml:space="preserve">overall FAIL; PARTIALLY_USABLE: 5/8 recordings usable; bad channels in 5 recording(s) (F2, F3, AF8); alpha blocking OK (median 1.7); notch filter suggested for 5/8 recordings</t>
  </si>
  <si>
    <t xml:space="preserve">F3 x4, F2 x4, AF4 x3, AF8 x3, F5 x3, F1 x3, AF7 x2, AF3 x2, F7 x2, F4 x2, Fz x2, Fp1 x1, Fp2 x1</t>
  </si>
  <si>
    <t xml:space="preserve">2026-10-21T15:46:54+00:00</t>
  </si>
  <si>
    <t xml:space="preserve">2026-10-21T15:48:49+00:00</t>
  </si>
  <si>
    <t xml:space="preserve">qc_output/sub-308</t>
  </si>
  <si>
    <t xml:space="preserve">sub-309</t>
  </si>
  <si>
    <t xml:space="preserve">overall FLAG; USABLE_WITH_FLAGS: 4/4 recordings usable; no bad channels; alpha blocking weak (flag only) (median 1.0); notch filter suggested for 3/4 recordings</t>
  </si>
  <si>
    <t xml:space="preserve">LOW_ALPHA_PROMINENCE; NO_ALPHA_BLOCKING; WEAK_ALPHA_BLOCKING</t>
  </si>
  <si>
    <t xml:space="preserve">2026-10-21T15:48:50+00:00</t>
  </si>
  <si>
    <t xml:space="preserve">2026-10-21T15:49:50+00:00</t>
  </si>
  <si>
    <t xml:space="preserve">qc_output/sub-309</t>
  </si>
  <si>
    <t xml:space="preserve">sub-310</t>
  </si>
  <si>
    <t xml:space="preserve">overall FAIL; PARTIALLY_USABLE: 2/4 recordings usable; bad channels in 4 recording(s) (F4, AF4, AF3); alpha blocking OK (median 5.2); notch filter suggested for 2/4 recordings</t>
  </si>
  <si>
    <t xml:space="preserve">F4 x3, Fp1 x2, Fp2 x2, F3 x2, AF3 x2, AF4 x2, AF8 x2, F1 x2, F2 x2, F6 x2, FC1 x2, FC2 x1, AF7 x1, Fz x1, F5 x1</t>
  </si>
  <si>
    <t xml:space="preserve">2026-10-21T15:50:49+00:00</t>
  </si>
  <si>
    <t xml:space="preserve">qc_output/sub-310</t>
  </si>
  <si>
    <t xml:space="preserve">sub-311</t>
  </si>
  <si>
    <t xml:space="preserve">overall FAIL; PARTIALLY_USABLE: 2/4 recordings usable; bad channels in 3 recording(s) (FC1, F7, FC6); alpha blocking weak (flag only) (median 1.5); notch filter suggested for 4/4 recordings</t>
  </si>
  <si>
    <t xml:space="preserve">FC1 x3, Fp1 x2, Fp2 x2, F7 x2, FC6 x2, FC3 x2, FC4 x2, F3 x1, Fz x1, F4 x1, AF7 x1, AF3 x1, AF4 x1, AF8 x1, F5 x1, F1 x1, F2 x1, FC5 x1</t>
  </si>
  <si>
    <t xml:space="preserve">2026-10-21T15:50:50+00:00</t>
  </si>
  <si>
    <t xml:space="preserve">qc_output/sub-311</t>
  </si>
  <si>
    <t xml:space="preserve">sub-312</t>
  </si>
  <si>
    <t xml:space="preserve">2026-10-21T15:51:48+00:00</t>
  </si>
  <si>
    <t xml:space="preserve">qc_output/sub-312</t>
  </si>
  <si>
    <t xml:space="preserve">sub-313</t>
  </si>
  <si>
    <t xml:space="preserve">overall FAIL; PARTIALLY_USABLE: 2/4 recordings usable; bad channels in 4 recording(s) (F7, F5, F4); alpha blocking weak (flag only) (median 1.0)</t>
  </si>
  <si>
    <t xml:space="preserve">F7 x3, F5 x3, F4 x2, F8 x2, AF7 x2, AF8 x2, F6 x2, F3 x1, FC2 x1, AF3 x1, AF4 x1, F1 x1, F2 x1, FC4 x1</t>
  </si>
  <si>
    <t xml:space="preserve">LOW_ALPHA_PROMINENCE; NO_ALPHA_BLOCKING; TOO_MANY_BAD_CHANNELS; USABLE_NEEDS_INTERPOLATION</t>
  </si>
  <si>
    <t xml:space="preserve">2026-10-21T15:53:03+00:00</t>
  </si>
  <si>
    <t xml:space="preserve">qc_output/sub-313</t>
  </si>
  <si>
    <t xml:space="preserve">sub-314</t>
  </si>
  <si>
    <t xml:space="preserve">2026-10-21T15:53:04+00:00</t>
  </si>
  <si>
    <t xml:space="preserve">qc_output/sub-314</t>
  </si>
  <si>
    <t xml:space="preserve">sub-315</t>
  </si>
  <si>
    <t xml:space="preserve">overall FLAG; USABLE_NEEDS_INTERPOLATION: 8/8 recordings usable; bad channels in 8 recording(s) (Fz, F2, F1); alpha blocking OK (median 5.8); notch filter suggested for 4/8 recordings</t>
  </si>
  <si>
    <t xml:space="preserve">Fz x8, F2 x3, F1 x2, F3 x1, F4 x1, AF3 x1</t>
  </si>
  <si>
    <t xml:space="preserve">2026-10-21T15:53:05+00:00</t>
  </si>
  <si>
    <t xml:space="preserve">2026-10-21T15:54:53+00:00</t>
  </si>
  <si>
    <t xml:space="preserve">qc_output/sub-315</t>
  </si>
  <si>
    <t xml:space="preserve">sub-316</t>
  </si>
  <si>
    <t xml:space="preserve">2026-10-21T15:54:54+00:00</t>
  </si>
  <si>
    <t xml:space="preserve">qc_output/sub-316</t>
  </si>
  <si>
    <t xml:space="preserve">sub-317</t>
  </si>
  <si>
    <t xml:space="preserve">Rejected: Age above 60 (70); Late triggers (late_ses1=23, late_ses2=0)</t>
  </si>
  <si>
    <t xml:space="preserve">Age above 60 (70); Late triggers (late_ses1=23, late_ses2=0)</t>
  </si>
  <si>
    <t xml:space="preserve">2026-10-21T15:54:55+00:00</t>
  </si>
  <si>
    <t xml:space="preserve">qc_output/sub-317</t>
  </si>
  <si>
    <t xml:space="preserve">sub-318</t>
  </si>
  <si>
    <t xml:space="preserve">2026-10-21T15:54:56+00:00</t>
  </si>
  <si>
    <t xml:space="preserve">qc_output/sub-318</t>
  </si>
  <si>
    <t xml:space="preserve">sub-319</t>
  </si>
  <si>
    <t xml:space="preserve">2026-10-21T15:54:57+00:00</t>
  </si>
  <si>
    <t xml:space="preserve">qc_output/sub-319</t>
  </si>
  <si>
    <t xml:space="preserve">sub-320</t>
  </si>
  <si>
    <t xml:space="preserve">2026-10-21T15:54:58+00:00</t>
  </si>
  <si>
    <t xml:space="preserve">qc_output/sub-320</t>
  </si>
  <si>
    <t xml:space="preserve">sub-321</t>
  </si>
  <si>
    <t xml:space="preserve">overall FAIL; PARTIALLY_USABLE: 2/4 recordings usable; bad channels in 4 recording(s) (Fz, AF3, AF7); alpha blocking OK (median 5.3); notch filter suggested for 3/4 recordings</t>
  </si>
  <si>
    <t xml:space="preserve">Fz x3, Fp2 x2, F4 x2, AF7 x2, AF3 x2, AF4 x2, AF8 x2, F5 x2, F1 x2, F2 x2, F3 x1, F6 x1</t>
  </si>
  <si>
    <t xml:space="preserve">2026-10-21T15:54:59+00:00</t>
  </si>
  <si>
    <t xml:space="preserve">2026-10-21T15:55:58+00:00</t>
  </si>
  <si>
    <t xml:space="preserve">qc_output/sub-321</t>
  </si>
  <si>
    <t xml:space="preserve">sub-322</t>
  </si>
  <si>
    <t xml:space="preserve">2026-10-21T15:56:00+00:00</t>
  </si>
  <si>
    <t xml:space="preserve">qc_output/sub-322</t>
  </si>
  <si>
    <t xml:space="preserve">sub-323</t>
  </si>
  <si>
    <t xml:space="preserve">overall FLAG; USABLE_NEEDS_INTERPOLATION: 8/8 recordings usable; bad channels in 7 recording(s) (FC2, F7, F2); alpha blocking weak (flag only) (median 0.9); notch filter suggested for 5/8 recordings</t>
  </si>
  <si>
    <t xml:space="preserve">Fz x3, F2 x3, F7 x3, FC2 x3, Fp1 x2, Fp2 x2, FC4 x2, F1 x1, FC1 x1, AF3 x1, AF4 x1</t>
  </si>
  <si>
    <t xml:space="preserve">2026-10-21T15:57:49+00:00</t>
  </si>
  <si>
    <t xml:space="preserve">qc_output/sub-323</t>
  </si>
  <si>
    <t xml:space="preserve">sub-324</t>
  </si>
  <si>
    <t xml:space="preserve">Rejected: Late triggers (late_ses1=20, late_ses2=n/a)</t>
  </si>
  <si>
    <t xml:space="preserve">Late triggers (late_ses1=20, late_ses2=n/a)</t>
  </si>
  <si>
    <t xml:space="preserve">2026-10-21T15:57:50+00:00</t>
  </si>
  <si>
    <t xml:space="preserve">qc_output/sub-324</t>
  </si>
  <si>
    <t xml:space="preserve">sub-325</t>
  </si>
  <si>
    <t xml:space="preserve">overall PASS; USABLE: 4/4 recordings usable; no bad channels; alpha blocking OK (median 4.7)</t>
  </si>
  <si>
    <t xml:space="preserve">2026-10-21T15:57:51+00:00</t>
  </si>
  <si>
    <t xml:space="preserve">2026-10-21T15:58:49+00:00</t>
  </si>
  <si>
    <t xml:space="preserve">qc_output/sub-325</t>
  </si>
  <si>
    <t xml:space="preserve">sub-326</t>
  </si>
  <si>
    <t xml:space="preserve">overall FAIL; REJECT: 0/8 recordings usable; bad channels in 8 recording(s) (AF3, AF4, F1); alpha blocking OK (median 5.2); notch filter suggested for 8/8 recordings</t>
  </si>
  <si>
    <t xml:space="preserve">Fp1 x8, Fp2 x8, Fz x8, AF3 x8, AF4 x8, F1 x8, F2 x8, F3 x7, AF7 x7, AF8 x7, F4 x6, F6 x2, F5 x1</t>
  </si>
  <si>
    <t xml:space="preserve">CRITICAL_CHANNEL_BAD; LINE_NOISE; TOO_MANY_BAD_CHANNELS</t>
  </si>
  <si>
    <t xml:space="preserve">2026-10-21T15:58:50+00:00</t>
  </si>
  <si>
    <t xml:space="preserve">2026-10-21T16:00:40+00:00</t>
  </si>
  <si>
    <t xml:space="preserve">qc_output/sub-326</t>
  </si>
  <si>
    <t xml:space="preserve">sub-327</t>
  </si>
  <si>
    <t xml:space="preserve">Rejected: Late triggers (late_ses1=25, late_ses2=n/a)</t>
  </si>
  <si>
    <t xml:space="preserve">Late triggers (late_ses1=25, late_ses2=n/a)</t>
  </si>
  <si>
    <t xml:space="preserve">2026-10-21T16:00:42+00:00</t>
  </si>
  <si>
    <t xml:space="preserve">qc_output/sub-327</t>
  </si>
  <si>
    <t xml:space="preserve">sub-328</t>
  </si>
  <si>
    <t xml:space="preserve">overall FLAG; USABLE_NEEDS_INTERPOLATION: 4/4 recordings usable; bad channels in 3 recording(s) (F6, F7, FC1); alpha blocking OK (median 2.8); notch filter suggested for 4/4 recordings</t>
  </si>
  <si>
    <t xml:space="preserve">F6 x2, Fz x1, F7 x1, FC1 x1, FC3 x1</t>
  </si>
  <si>
    <t xml:space="preserve">2026-10-21T16:00:43+00:00</t>
  </si>
  <si>
    <t xml:space="preserve">2026-10-21T16:01:44+00:00</t>
  </si>
  <si>
    <t xml:space="preserve">qc_output/sub-328</t>
  </si>
  <si>
    <t xml:space="preserve">sub-329</t>
  </si>
  <si>
    <t xml:space="preserve">Rejected: Age above 60 (68); Late triggers (late_ses1=876, late_ses2=0)</t>
  </si>
  <si>
    <t xml:space="preserve">Age above 60 (68); Late triggers (late_ses1=876, late_ses2=0)</t>
  </si>
  <si>
    <t xml:space="preserve">2026-10-21T16:01:45+00:00</t>
  </si>
  <si>
    <t xml:space="preserve">qc_output/sub-329</t>
  </si>
  <si>
    <t xml:space="preserve">sub-330</t>
  </si>
  <si>
    <t xml:space="preserve">overall FLAG; USABLE_NEEDS_INTERPOLATION: 4/4 recordings usable; bad channels in 2 recording(s) (F1, Fz, F2); alpha blocking OK (median 5.4); notch filter suggested for 3/4 recordings</t>
  </si>
  <si>
    <t xml:space="preserve">Fz x2, F1 x2, F2 x1</t>
  </si>
  <si>
    <t xml:space="preserve">2026-10-21T16:01:46+00:00</t>
  </si>
  <si>
    <t xml:space="preserve">2026-10-21T16:02:48+00:00</t>
  </si>
  <si>
    <t xml:space="preserve">qc_output/sub-330</t>
  </si>
  <si>
    <t xml:space="preserve">sub-331</t>
  </si>
  <si>
    <t xml:space="preserve">2026-10-21T16:02:49+00:00</t>
  </si>
  <si>
    <t xml:space="preserve">qc_output/sub-331</t>
  </si>
  <si>
    <t xml:space="preserve">sub-332</t>
  </si>
  <si>
    <t xml:space="preserve">overall FAIL; PARTIALLY_USABLE: 5/8 recordings usable; bad channels in 5 recording(s) (AF3, AF7, F1); alpha blocking OK (median 5.2); notch filter suggested for 6/8 recordings</t>
  </si>
  <si>
    <t xml:space="preserve">Fz x3, AF7 x3, AF3 x3, F1 x3, F2 x3, Fp1 x2, Fp2 x2, F4 x2, AF4 x2, AF8 x2, F6 x2, Cz x1, F8 x1, F3 x1</t>
  </si>
  <si>
    <t xml:space="preserve">2026-10-21T16:02:50+00:00</t>
  </si>
  <si>
    <t xml:space="preserve">2026-10-21T16:04:42+00:00</t>
  </si>
  <si>
    <t xml:space="preserve">qc_output/sub-332</t>
  </si>
  <si>
    <t xml:space="preserve">sub-333</t>
  </si>
  <si>
    <t xml:space="preserve">overall FAIL; PARTIALLY_USABLE: 3/4 recordings usable; bad channels in 4 recording(s) (Fz, FC1, F6); alpha blocking OK (median 2.4); notch filter suggested for 3/4 recordings</t>
  </si>
  <si>
    <t xml:space="preserve">Fz x2, FC1 x2, Cz x1, F8 x1, FC2 x1, F6 x1</t>
  </si>
  <si>
    <t xml:space="preserve">CRITICAL_CHANNELS_BAD; CRITICAL_CHANNEL_BAD; LOW_ALPHA_PROMINENCE; USABLE_NEEDS_INTERPOLATION</t>
  </si>
  <si>
    <t xml:space="preserve">2026-10-21T16:04:43+00:00</t>
  </si>
  <si>
    <t xml:space="preserve">2026-10-21T16:05:41+00:00</t>
  </si>
  <si>
    <t xml:space="preserve">qc_output/sub-333</t>
  </si>
  <si>
    <t xml:space="preserve">sub-334</t>
  </si>
  <si>
    <t xml:space="preserve">overall FLAG; USABLE_NEEDS_INTERPOLATION: 8/8 recordings usable; bad channels in 8 recording(s) (FC1, FC2, Cz); alpha blocking weak (flag only) (median 1.2); notch filter suggested for 8/8 recordings</t>
  </si>
  <si>
    <t xml:space="preserve">FC2 x5, FC1 x5, Cz x1, F4 x1, Fz x1</t>
  </si>
  <si>
    <t xml:space="preserve">2026-10-21T16:05:42+00:00</t>
  </si>
  <si>
    <t xml:space="preserve">2026-10-21T16:07:35+00:00</t>
  </si>
  <si>
    <t xml:space="preserve">qc_output/sub-334</t>
  </si>
  <si>
    <t xml:space="preserve">sub-335</t>
  </si>
  <si>
    <t xml:space="preserve">2026-10-21T16:07:36+00:00</t>
  </si>
  <si>
    <t xml:space="preserve">qc_output/sub-335</t>
  </si>
  <si>
    <t xml:space="preserve">sub-336</t>
  </si>
  <si>
    <t xml:space="preserve">Rejected: Late triggers (late_ses1=11, late_ses2=n/a)</t>
  </si>
  <si>
    <t xml:space="preserve">Late triggers (late_ses1=11, late_ses2=n/a)</t>
  </si>
  <si>
    <t xml:space="preserve">2026-10-21T16:07:37+00:00</t>
  </si>
  <si>
    <t xml:space="preserve">qc_output/sub-336</t>
  </si>
  <si>
    <t xml:space="preserve">sub-337</t>
  </si>
  <si>
    <t xml:space="preserve">overall PASS; USABLE: 4/4 recordings usable; no bad channels; alpha blocking OK (median 3.2); notch filter suggested for 2/4 recordings</t>
  </si>
  <si>
    <t xml:space="preserve">2026-10-21T16:07:38+00:00</t>
  </si>
  <si>
    <t xml:space="preserve">2026-10-21T16:08:36+00:00</t>
  </si>
  <si>
    <t xml:space="preserve">qc_output/sub-337</t>
  </si>
  <si>
    <t xml:space="preserve">sub-338</t>
  </si>
  <si>
    <t xml:space="preserve">overall FLAG; USABLE_NEEDS_INTERPOLATION: 4/4 recordings usable; bad channels in 3 recording(s) (F2, FC3, F1); alpha blocking weak (flag only) (median 0.8); notch filter suggested for 2/4 recordings</t>
  </si>
  <si>
    <t xml:space="preserve">F2 x2, FC3 x2, Fz x1, F1 x1, F3 x1, F4 x1, F6 x1, F8 x1, FC5 x1, FC1 x1</t>
  </si>
  <si>
    <t xml:space="preserve">2026-10-21T16:08:37+00:00</t>
  </si>
  <si>
    <t xml:space="preserve">2026-10-21T16:09:38+00:00</t>
  </si>
  <si>
    <t xml:space="preserve">qc_output/sub-338</t>
  </si>
  <si>
    <t xml:space="preserve">sub-339</t>
  </si>
  <si>
    <t xml:space="preserve">2026-10-21T16:09:40+00:00</t>
  </si>
  <si>
    <t xml:space="preserve">qc_output/sub-339</t>
  </si>
  <si>
    <t xml:space="preserve">sub-340</t>
  </si>
  <si>
    <t xml:space="preserve">overall FAIL; PARTIALLY_USABLE: 4/8 recordings usable; bad channels in 7 recording(s) (F3, FC1, F2); alpha blocking weak (flag only) (median 1.2); notch filter suggested for 7/8 recordings</t>
  </si>
  <si>
    <t xml:space="preserve">F3 x5, F1 x4, F2 x4, Fz x4, FC1 x4, F5 x3, FC3 x3, F4 x2, AF3 x2, FT7 x2, C3 x2, FC2 x2, AF7 x1, AF4 x1, AF8 x1, F6 x1, C1 x1, FC5 x1, FC6 x1, FC4 x1</t>
  </si>
  <si>
    <t xml:space="preserve">2026-10-21T16:09:41+00:00</t>
  </si>
  <si>
    <t xml:space="preserve">qc_output/sub-340</t>
  </si>
  <si>
    <t xml:space="preserve">sub-341</t>
  </si>
  <si>
    <t xml:space="preserve">overall FLAG; USABLE_NEEDS_INTERPOLATION: 8/8 recordings usable; bad channels in 2 recording(s) (Fz); alpha blocking weak (flag only) (median 1.3); notch filter suggested for 8/8 recordings</t>
  </si>
  <si>
    <t xml:space="preserve">Fz x2</t>
  </si>
  <si>
    <t xml:space="preserve">2026-10-21T16:11:32+00:00</t>
  </si>
  <si>
    <t xml:space="preserve">2026-10-21T16:13:28+00:00</t>
  </si>
  <si>
    <t xml:space="preserve">qc_output/sub-341</t>
  </si>
  <si>
    <t xml:space="preserve">sub-342</t>
  </si>
  <si>
    <t xml:space="preserve">2026-10-21T16:13:29+00:00</t>
  </si>
  <si>
    <t xml:space="preserve">qc_output/sub-342</t>
  </si>
  <si>
    <t xml:space="preserve">sub-343</t>
  </si>
  <si>
    <t xml:space="preserve">overall FAIL; PARTIALLY_USABLE: 3/4 recordings usable; bad channels in 2 recording(s) (F5, F3, F6); alpha blocking OK (median 2.5); notch filter suggested for 3/4 recordings</t>
  </si>
  <si>
    <t xml:space="preserve">F3 x2, F5 x2, F6 x2, Fp1 x1, Fp2 x1, Fz x1, F4 x1, AF7 x1, AF3 x1, AF4 x1, AF8 x1, F1 x1, F2 x1, FC2 x1</t>
  </si>
  <si>
    <t xml:space="preserve">2026-10-21T16:13:30+00:00</t>
  </si>
  <si>
    <t xml:space="preserve">2026-10-21T16:14:30+00:00</t>
  </si>
  <si>
    <t xml:space="preserve">qc_output/sub-343</t>
  </si>
  <si>
    <t xml:space="preserve">sub-344</t>
  </si>
  <si>
    <t xml:space="preserve">overall PASS; USABLE_NEEDS_INTERPOLATION: 4/4 recordings usable; bad channels in 1 recording(s) (C4); alpha blocking OK (median 7.0); notch filter suggested for 4/4 recordings</t>
  </si>
  <si>
    <t xml:space="preserve">C4 x1</t>
  </si>
  <si>
    <t xml:space="preserve">2026-10-21T16:15:33+00:00</t>
  </si>
  <si>
    <t xml:space="preserve">qc_output/sub-344</t>
  </si>
  <si>
    <t xml:space="preserve">sub-345</t>
  </si>
  <si>
    <t xml:space="preserve">overall FAIL; PARTIALLY_USABLE: 3/4 recordings usable; bad channels in 2 recording(s) (F8, F7, AF8); alpha blocking OK (median 1.5); notch filter suggested for 1/4 recordings</t>
  </si>
  <si>
    <t xml:space="preserve">F7 x2, F8 x2, F3 x1, F4 x1, AF8 x1, F5 x1, F6 x1</t>
  </si>
  <si>
    <t xml:space="preserve">2026-10-21T16:15:34+00:00</t>
  </si>
  <si>
    <t xml:space="preserve">2026-10-21T16:16:43+00:00</t>
  </si>
  <si>
    <t xml:space="preserve">qc_output/sub-345</t>
  </si>
  <si>
    <t xml:space="preserve">sub-346</t>
  </si>
  <si>
    <t xml:space="preserve">overall FLAG; USABLE_NEEDS_INTERPOLATION: 4/4 recordings usable; bad channels in 4 recording(s) (FC3, Fz, FC1); alpha blocking weak (flag only) (median 1.0); notch filter suggested for 4/4 recordings</t>
  </si>
  <si>
    <t xml:space="preserve">Fz x2, FC3 x2, Fp2 x1, FC5 x1, FC1 x1, FC2 x1, FC4 x1</t>
  </si>
  <si>
    <t xml:space="preserve">2026-10-21T16:16:45+00:00</t>
  </si>
  <si>
    <t xml:space="preserve">2026-10-21T16:17:44+00:00</t>
  </si>
  <si>
    <t xml:space="preserve">qc_output/sub-346</t>
  </si>
  <si>
    <t xml:space="preserve">sub-347</t>
  </si>
  <si>
    <t xml:space="preserve">overall FAIL; PARTIALLY_USABLE: 6/8 recordings usable; bad channels in 6 recording(s) (F1, Fz, F2); alpha blocking OK (median 2.1); notch filter suggested for 4/8 recordings</t>
  </si>
  <si>
    <t xml:space="preserve">F1 x5, Fz x4, F2 x3, F4 x2, AF3 x2, AF4 x2, AF8 x2, Fp2 x1, AF7 x1, F6 x1</t>
  </si>
  <si>
    <t xml:space="preserve">2026-10-21T16:17:45+00:00</t>
  </si>
  <si>
    <t xml:space="preserve">2026-10-21T16:19:37+00:00</t>
  </si>
  <si>
    <t xml:space="preserve">qc_output/sub-347</t>
  </si>
  <si>
    <t xml:space="preserve">sub-348</t>
  </si>
  <si>
    <t xml:space="preserve">overall FAIL; PARTIALLY_USABLE: 5/8 recordings usable; bad channels in 7 recording(s) (F1, Fz, F2); alpha blocking OK (median 1.6); notch filter suggested for 8/8 recordings</t>
  </si>
  <si>
    <t xml:space="preserve">Fz x5, F1 x5, F3 x4, F4 x4, F2 x4, F5 x3, F6 x3, FC2 x2, Fp1 x2, FC1 x2, AF7 x2, AF3 x2, AF4 x2, FC3 x2, Fp2 x1, F7 x1, AF8 x1</t>
  </si>
  <si>
    <t xml:space="preserve">CRITICAL_CHANNEL_BAD; HIGH_LINE_NOISE; LINE_NOISE; TOO_MANY_BAD_CHANNELS; USABLE_NEEDS_INTERPOLATION; WEAK_ALPHA_BLOCKING</t>
  </si>
  <si>
    <t xml:space="preserve">2026-10-21T16:19:38+00:00</t>
  </si>
  <si>
    <t xml:space="preserve">2026-10-21T16:21:29+00:00</t>
  </si>
  <si>
    <t xml:space="preserve">qc_output/sub-348</t>
  </si>
  <si>
    <t xml:space="preserve">sub-349</t>
  </si>
  <si>
    <t xml:space="preserve">2026-10-21T16:21:31+00:00</t>
  </si>
  <si>
    <t xml:space="preserve">qc_output/sub-349</t>
  </si>
  <si>
    <t xml:space="preserve">sub-350</t>
  </si>
  <si>
    <t xml:space="preserve">overall FAIL; PARTIALLY_USABLE: 2/4 recordings usable; bad channels in 4 recording(s) (F1, AF8, AF7); alpha blocking OK (median 1.9); notch filter suggested for 4/4 recordings</t>
  </si>
  <si>
    <t xml:space="preserve">F1 x3, Fz x2, F7 x2, F3 x2, F4 x2, AF7 x2, AF8 x2, F5 x2, F2 x2, AF4 x1, F6 x1</t>
  </si>
  <si>
    <t xml:space="preserve">2026-10-21T16:21:32+00:00</t>
  </si>
  <si>
    <t xml:space="preserve">2026-10-21T16:22:31+00:00</t>
  </si>
  <si>
    <t xml:space="preserve">qc_output/sub-350</t>
  </si>
  <si>
    <t xml:space="preserve">sub-351</t>
  </si>
  <si>
    <t xml:space="preserve">overall FAIL; PARTIALLY_USABLE: 7/8 recordings usable; bad channels in 8 recording(s) (Fz, F1, FC1); alpha blocking OK (median 5.6); notch filter suggested for 8/8 recordings</t>
  </si>
  <si>
    <t xml:space="preserve">Fz x5, F1 x4, FC1 x3, F2 x3, F3 x2, F7 x2, F8 x2, Fp1 x1, Fp2 x1, AF7 x1, AF3 x1, AF4 x1, FC5 x1, FC3 x1, FC2 x1, F5 x1, F6 x1</t>
  </si>
  <si>
    <t xml:space="preserve">2026-10-21T16:24:55+00:00</t>
  </si>
  <si>
    <t xml:space="preserve">2026-10-21T16:26:10+00:00</t>
  </si>
  <si>
    <t xml:space="preserve">qc_output/sub-351</t>
  </si>
  <si>
    <t xml:space="preserve">sub-352</t>
  </si>
  <si>
    <t xml:space="preserve">overall FLAG; USABLE_NEEDS_INTERPOLATION: 8/8 recordings usable; bad channels in 5 recording(s) (Fz, F1, F2); alpha blocking OK (median 2.2); notch filter suggested for 8/8 recordings</t>
  </si>
  <si>
    <t xml:space="preserve">Fz x5, F1 x3, F2 x1</t>
  </si>
  <si>
    <t xml:space="preserve">2026-10-21T16:26:12+00:00</t>
  </si>
  <si>
    <t xml:space="preserve">2026-10-21T16:28:35+00:00</t>
  </si>
  <si>
    <t xml:space="preserve">qc_output/sub-352</t>
  </si>
  <si>
    <t xml:space="preserve">sub-353</t>
  </si>
  <si>
    <t xml:space="preserve">overall FAIL; PARTIALLY_USABLE: 7/8 recordings usable; bad channels in 6 recording(s) (O2, Fp1, Fp2); alpha blocking OK (median 3.9); notch filter suggested for 4/8 recordings</t>
  </si>
  <si>
    <t xml:space="preserve">O2 x4, Fp1 x3, Fp2 x3, Fz x3, AF3 x1, AF4 x1, AF8 x1</t>
  </si>
  <si>
    <t xml:space="preserve">Fz, O2</t>
  </si>
  <si>
    <t xml:space="preserve">2026-10-21T16:28:37+00:00</t>
  </si>
  <si>
    <t xml:space="preserve">2026-10-21T16:29:54+00:00</t>
  </si>
  <si>
    <t xml:space="preserve">qc_output/sub-353</t>
  </si>
  <si>
    <t xml:space="preserve">sub-354</t>
  </si>
  <si>
    <t xml:space="preserve">overall FAIL; PARTIALLY_USABLE: 3/4 recordings usable; bad channels in 3 recording(s) (F1, Fz, AF3); alpha blocking OK (median 4.8); notch filter suggested for 2/4 recordings</t>
  </si>
  <si>
    <t xml:space="preserve">Fz x2, F1 x2, Fp1 x1, Fp2 x1, F4 x1, AF3 x1, AF4 x1, AF8 x1, F2 x1, F3 x1, AF7 x1, F6 x1, FC3 x1</t>
  </si>
  <si>
    <t xml:space="preserve">2026-10-21T16:29:57+00:00</t>
  </si>
  <si>
    <t xml:space="preserve">2026-10-21T16:30:41+00:00</t>
  </si>
  <si>
    <t xml:space="preserve">qc_output/sub-354</t>
  </si>
  <si>
    <t xml:space="preserve">sub-355</t>
  </si>
  <si>
    <t xml:space="preserve">overall FAIL; PARTIALLY_USABLE: 2/4 recordings usable; bad channels in 3 recording(s) (AF3, AF4, AF8); alpha blocking OK (median 9.4); notch filter suggested for 4/4 recordings</t>
  </si>
  <si>
    <t xml:space="preserve">Fz x2, AF3 x2, AF4 x2, AF8 x2, F1 x2, F2 x2, Fp1 x1, Fp2 x1, AF7 x1, F7 x1, F3 x1, F4 x1, F5 x1, F6 x1</t>
  </si>
  <si>
    <t xml:space="preserve">2026-10-21T16:30:43+00:00</t>
  </si>
  <si>
    <t xml:space="preserve">2026-10-21T16:31:25+00:00</t>
  </si>
  <si>
    <t xml:space="preserve">qc_output/sub-355</t>
  </si>
  <si>
    <t xml:space="preserve">sub-356</t>
  </si>
  <si>
    <t xml:space="preserve">Rejected: Late triggers (late_ses1=38, late_ses2=n/a)</t>
  </si>
  <si>
    <t xml:space="preserve">Late triggers (late_ses1=38, late_ses2=n/a)</t>
  </si>
  <si>
    <t xml:space="preserve">2026-10-21T17:32:24+00:00</t>
  </si>
  <si>
    <t xml:space="preserve">qc_output/sub-356</t>
  </si>
  <si>
    <t xml:space="preserve">sub-357</t>
  </si>
  <si>
    <t xml:space="preserve">Rejected: Late triggers (late_ses1=1875, late_ses2=0)</t>
  </si>
  <si>
    <t xml:space="preserve">Late triggers (late_ses1=1875, late_ses2=0)</t>
  </si>
  <si>
    <t xml:space="preserve">2026-10-21T17:32:27+00:00</t>
  </si>
  <si>
    <t xml:space="preserve">qc_output/sub-357</t>
  </si>
  <si>
    <t xml:space="preserve">sub-358</t>
  </si>
  <si>
    <t xml:space="preserve">overall FAIL; PARTIALLY_USABLE: 2/4 recordings usable; bad channels in 2 recording(s) (AF3, AF4, AF7); alpha blocking OK (median 1.6); notch filter suggested for 4/4 recordings</t>
  </si>
  <si>
    <t xml:space="preserve">Fp1 x2, Fp2 x2, F3 x2, Fz x2, F4 x2, AF7 x2, AF3 x2, AF4 x2, AF8 x2, F5 x2, F1 x2, F2 x2, F6 x1</t>
  </si>
  <si>
    <t xml:space="preserve">CRITICAL_CHANNEL_BAD; HIGH_LINE_NOISE; LINE_NOISE; TOO_MANY_BAD_CHANNELS</t>
  </si>
  <si>
    <t xml:space="preserve">2026-10-21T16:31:31+00:00</t>
  </si>
  <si>
    <t xml:space="preserve">2026-10-21T16:32:12+00:00</t>
  </si>
  <si>
    <t xml:space="preserve">qc_output/sub-358</t>
  </si>
  <si>
    <t xml:space="preserve">sub-359</t>
  </si>
  <si>
    <t xml:space="preserve">Rejected: Age above 60 (70); Late triggers (late_ses1=2370, late_ses2=n/a)</t>
  </si>
  <si>
    <t xml:space="preserve">Age above 60 (70); Late triggers (late_ses1=2370, late_ses2=n/a)</t>
  </si>
  <si>
    <t xml:space="preserve">2026-10-21T17:32:33+00:00</t>
  </si>
  <si>
    <t xml:space="preserve">qc_output/sub-359</t>
  </si>
  <si>
    <t xml:space="preserve">sub-360</t>
  </si>
  <si>
    <t xml:space="preserve">Rejected: Late triggers (late_ses1=43, late_ses2=n/a)</t>
  </si>
  <si>
    <t xml:space="preserve">Late triggers (late_ses1=43, late_ses2=n/a)</t>
  </si>
  <si>
    <t xml:space="preserve">2026-10-21T17:32:38+00:00</t>
  </si>
  <si>
    <t xml:space="preserve">qc_output/sub-360</t>
  </si>
  <si>
    <t xml:space="preserve">sub-361</t>
  </si>
  <si>
    <t xml:space="preserve">overall FLAG; USABLE_NEEDS_INTERPOLATION: 4/4 recordings usable; bad channels in 3 recording(s) (Fz, F1, F2); alpha blocking OK (median 18.3); notch filter suggested for 4/4 recordings</t>
  </si>
  <si>
    <t xml:space="preserve">Fz x3, F1 x2, F2 x1</t>
  </si>
  <si>
    <t xml:space="preserve">2026-10-21T16:32:20+00:00</t>
  </si>
  <si>
    <t xml:space="preserve">2026-10-21T16:33:03+00:00</t>
  </si>
  <si>
    <t xml:space="preserve">qc_output/sub-361</t>
  </si>
  <si>
    <t xml:space="preserve">sub-362</t>
  </si>
  <si>
    <t xml:space="preserve">Rejected: Late triggers (late_ses1=1617, late_ses2=0)</t>
  </si>
  <si>
    <t xml:space="preserve">Late triggers (late_ses1=1617, late_ses2=0)</t>
  </si>
  <si>
    <t xml:space="preserve">2026-10-21T17:32:44+00:00</t>
  </si>
  <si>
    <t xml:space="preserve">qc_output/sub-362</t>
  </si>
  <si>
    <t xml:space="preserve">sub-363</t>
  </si>
  <si>
    <t xml:space="preserve">overall FAIL; PARTIALLY_USABLE: 1/4 recordings usable; bad channels in 4 recording(s) (AF3, AF4, AF7); alpha blocking weak (flag only) (median 1.1); notch filter suggested for 4/4 recordings</t>
  </si>
  <si>
    <t xml:space="preserve">Fp1 x2, Fp2 x2, Fz x2, F4 x2, AF7 x2, AF3 x2, AF4 x2, AF8 x2, F1 x2, F2 x2, F6 x2, F3 x2, F8 x2, FC1 x2, FC2 x2, F5 x2, FC4 x2, F7 x1</t>
  </si>
  <si>
    <t xml:space="preserve">2026-10-21T16:33:07+00:00</t>
  </si>
  <si>
    <t xml:space="preserve">2026-10-21T16:33:49+00:00</t>
  </si>
  <si>
    <t xml:space="preserve">qc_output/sub-363</t>
  </si>
  <si>
    <t xml:space="preserve">sub-364</t>
  </si>
  <si>
    <t xml:space="preserve">overall FLAG; USABLE_NEEDS_INTERPOLATION: 4/4 recordings usable; bad channels in 2 recording(s) (F1, F3, F5); alpha blocking weak (flag only) (median 1.1); notch filter suggested for 2/4 recordings</t>
  </si>
  <si>
    <t xml:space="preserve">F1 x2, F7 x1, F3 x1, F5 x1</t>
  </si>
  <si>
    <t xml:space="preserve">USABLE_NEEDS_INTERPOLATION; WEAK_ALPHA_BLOCKING</t>
  </si>
  <si>
    <t xml:space="preserve">2026-10-21T16:33:51+00:00</t>
  </si>
  <si>
    <t xml:space="preserve">2026-10-21T16:34:34+00:00</t>
  </si>
  <si>
    <t xml:space="preserve">qc_output/sub-364</t>
  </si>
  <si>
    <t xml:space="preserve">sub-365</t>
  </si>
  <si>
    <t xml:space="preserve">overall FLAG; USABLE_NEEDS_INTERPOLATION: 8/8 recordings usable; bad channels in 3 recording(s) (Fz, FC2); alpha blocking OK (median 2.6); notch filter suggested for 4/8 recordings</t>
  </si>
  <si>
    <t xml:space="preserve">Fz x2, FC2 x1</t>
  </si>
  <si>
    <t xml:space="preserve">2026-10-21T16:34:36+00:00</t>
  </si>
  <si>
    <t xml:space="preserve">2026-10-21T16:35:54+00:00</t>
  </si>
  <si>
    <t xml:space="preserve">qc_output/sub-365</t>
  </si>
  <si>
    <t xml:space="preserve">sub-366</t>
  </si>
  <si>
    <t xml:space="preserve">overall FLAG; USABLE_NEEDS_INTERPOLATION: 4/4 recordings usable; bad channels in 1 recording(s) (AF7); alpha blocking OK (median 1.5); notch filter suggested for 4/4 recordings</t>
  </si>
  <si>
    <t xml:space="preserve">AF7 x1</t>
  </si>
  <si>
    <t xml:space="preserve">2026-10-21T16:35:56+00:00</t>
  </si>
  <si>
    <t xml:space="preserve">2026-10-21T16:36:39+00:00</t>
  </si>
  <si>
    <t xml:space="preserve">qc_output/sub-366</t>
  </si>
  <si>
    <t xml:space="preserve">sub-367</t>
  </si>
  <si>
    <t xml:space="preserve">overall FAIL; PARTIALLY_USABLE: 4/8 recordings usable; bad channels in 8 recording(s) (Fz, F1, F2); alpha blocking OK (median 2.1); notch filter suggested for 8/8 recordings</t>
  </si>
  <si>
    <t xml:space="preserve">Fz x5, F1 x4, F2 x4, Cz x3, Fp1 x3, Fp2 x3, AF7 x3, AF3 x3, AF4 x3, AF8 x3, F7 x2, F3 x2, F4 x2, F5 x2, F6 x1</t>
  </si>
  <si>
    <t xml:space="preserve">2026-10-21T16:36:42+00:00</t>
  </si>
  <si>
    <t xml:space="preserve">2026-10-21T16:38:05+00:00</t>
  </si>
  <si>
    <t xml:space="preserve">qc_output/sub-367</t>
  </si>
  <si>
    <t xml:space="preserve">sub-368</t>
  </si>
  <si>
    <t xml:space="preserve">overall FLAG; USABLE_NEEDS_INTERPOLATION: 8/8 recordings usable; bad channels in 6 recording(s) (Cz, Fz, F1); alpha blocking weak (flag only) (median 1.5); notch filter suggested for 6/8 recordings</t>
  </si>
  <si>
    <t xml:space="preserve">Cz x3, Fz x2, F2 x1, F3 x1, F4 x1, F8 x1, F5 x1, F1 x1, F6 x1</t>
  </si>
  <si>
    <t xml:space="preserve">2026-10-21T16:38:08+00:00</t>
  </si>
  <si>
    <t xml:space="preserve">2026-10-21T16:39:26+00:00</t>
  </si>
  <si>
    <t xml:space="preserve">qc_output/sub-368</t>
  </si>
  <si>
    <t xml:space="preserve">sub-369</t>
  </si>
  <si>
    <t xml:space="preserve">Rejected: Late triggers (late_ses1=211, late_ses2=n/a)</t>
  </si>
  <si>
    <t xml:space="preserve">Late triggers (late_ses1=211, late_ses2=n/a)</t>
  </si>
  <si>
    <t xml:space="preserve">2026-10-21T17:33:08+00:00</t>
  </si>
  <si>
    <t xml:space="preserve">qc_output/sub-369</t>
  </si>
  <si>
    <t xml:space="preserve">sub-370</t>
  </si>
  <si>
    <t xml:space="preserve">2026-10-21T17:33:11+00:00</t>
  </si>
  <si>
    <t xml:space="preserve">qc_output/sub-370</t>
  </si>
  <si>
    <t xml:space="preserve">sub-371</t>
  </si>
  <si>
    <t xml:space="preserve">overall PASS; USABLE_NEEDS_INTERPOLATION: 4/4 recordings usable; bad channels in 3 recording(s) (F4, F5, F8); alpha blocking OK (median 2.4); notch filter suggested for 1/4 recordings</t>
  </si>
  <si>
    <t xml:space="preserve">F4 x2, F8 x2, F5 x2, FT9 x1</t>
  </si>
  <si>
    <t xml:space="preserve">2026-10-21T16:39:33+00:00</t>
  </si>
  <si>
    <t xml:space="preserve">2026-10-21T16:40:14+00:00</t>
  </si>
  <si>
    <t xml:space="preserve">qc_output/sub-371</t>
  </si>
  <si>
    <t xml:space="preserve">sub-372</t>
  </si>
  <si>
    <t xml:space="preserve">Rejected: Late triggers (late_ses1=1888, late_ses2=0)</t>
  </si>
  <si>
    <t xml:space="preserve">Late triggers (late_ses1=1888, late_ses2=0)</t>
  </si>
  <si>
    <t xml:space="preserve">2026-10-21T17:33:17+00:00</t>
  </si>
  <si>
    <t xml:space="preserve">qc_output/sub-372</t>
  </si>
  <si>
    <t xml:space="preserve">sub-373</t>
  </si>
  <si>
    <t xml:space="preserve">overall FLAG; USABLE_NEEDS_INTERPOLATION: 4/4 recordings usable; bad channels in 3 recording(s) (Fz, Cz); alpha blocking OK (median 2.0); notch filter suggested for 3/4 recordings</t>
  </si>
  <si>
    <t xml:space="preserve">Fz x2, Cz x1</t>
  </si>
  <si>
    <t xml:space="preserve">2026-10-21T16:40:20+00:00</t>
  </si>
  <si>
    <t xml:space="preserve">2026-10-21T16:41:06+00:00</t>
  </si>
  <si>
    <t xml:space="preserve">qc_output/sub-373</t>
  </si>
  <si>
    <t xml:space="preserve">sub-374</t>
  </si>
  <si>
    <t xml:space="preserve">overall FAIL; PARTIALLY_USABLE: 7/8 recordings usable; bad channels in 6 recording(s) (AF3, Fz, F1); alpha blocking OK (median 1.8); notch filter suggested for 8/8 recordings</t>
  </si>
  <si>
    <t xml:space="preserve">Fz x4, AF3 x4, Fp1 x3, F1 x3, Fp2 x2, AF4 x2, F2 x2, F7 x1, F3 x1, F4 x1, AF7 x1, AF8 x1, F5 x1</t>
  </si>
  <si>
    <t xml:space="preserve">2026-10-21T16:41:08+00:00</t>
  </si>
  <si>
    <t xml:space="preserve">2026-10-21T16:42:29+00:00</t>
  </si>
  <si>
    <t xml:space="preserve">qc_output/sub-374</t>
  </si>
  <si>
    <t xml:space="preserve">sub-375</t>
  </si>
  <si>
    <t xml:space="preserve">overall FLAG; USABLE_NEEDS_INTERPOLATION: 4/4 recordings usable; bad channels in 4 recording(s) (F2, Fz, F6); alpha blocking OK (median 1.7); notch filter suggested for 1/4 recordings</t>
  </si>
  <si>
    <t xml:space="preserve">Fz x2, F2 x2, F6 x2, F1 x1, F7 x1, FC5 x1, FC1 x1, FC3 x1, F8 x1, FC6 x1, AF7 x1</t>
  </si>
  <si>
    <t xml:space="preserve">2026-10-21T16:42:31+00:00</t>
  </si>
  <si>
    <t xml:space="preserve">2026-10-21T16:43:18+00:00</t>
  </si>
  <si>
    <t xml:space="preserve">qc_output/sub-375</t>
  </si>
  <si>
    <t xml:space="preserve">sub-376</t>
  </si>
  <si>
    <t xml:space="preserve">overall FLAG; USABLE_NEEDS_INTERPOLATION: 4/4 recordings usable; bad channels in 3 recording(s) (F2, F8, FC3); alpha blocking OK (median 3.7); notch filter suggested for 2/4 recordings</t>
  </si>
  <si>
    <t xml:space="preserve">Fz x1, F2 x1, F8 x1, FC3 x1</t>
  </si>
  <si>
    <t xml:space="preserve">2026-10-21T16:43:21+00:00</t>
  </si>
  <si>
    <t xml:space="preserve">2026-10-21T16:44:11+00:00</t>
  </si>
  <si>
    <t xml:space="preserve">qc_output/sub-376</t>
  </si>
  <si>
    <t xml:space="preserve">sub-377</t>
  </si>
  <si>
    <t xml:space="preserve">overall FAIL; PARTIALLY_USABLE: 6/8 recordings usable; bad channels in 8 recording(s) (FC2, FC4, FC1); alpha blocking OK (median 2.5); notch filter suggested for 8/8 recordings</t>
  </si>
  <si>
    <t xml:space="preserve">FC2 x5, FC1 x4, FC4 x4, Fz x3, Fp1 x2, F3 x2, AF7 x2, AF3 x2, AF4 x2, AF8 x2, F1 x2, F2 x2, FC3 x2, F4 x1, F5 x1, Fp2 x1, F8 x1</t>
  </si>
  <si>
    <t xml:space="preserve">2026-10-21T16:44:15+00:00</t>
  </si>
  <si>
    <t xml:space="preserve">2026-10-21T16:45:36+00:00</t>
  </si>
  <si>
    <t xml:space="preserve">qc_output/sub-377</t>
  </si>
  <si>
    <t xml:space="preserve">sub-378</t>
  </si>
  <si>
    <t xml:space="preserve">overall FLAG; USABLE_NEEDS_INTERPOLATION: 4/4 recordings usable; bad channels in 3 recording(s) (Cz, FC4, FC2); alpha blocking OK (median 3.6); notch filter suggested for 2/4 recordings</t>
  </si>
  <si>
    <t xml:space="preserve">FC4 x2, Cz x2, FC2 x1</t>
  </si>
  <si>
    <t xml:space="preserve">2026-10-21T16:45:39+00:00</t>
  </si>
  <si>
    <t xml:space="preserve">2026-10-21T16:46:25+00:00</t>
  </si>
  <si>
    <t xml:space="preserve">qc_output/sub-378</t>
  </si>
  <si>
    <t xml:space="preserve">sub-379</t>
  </si>
  <si>
    <t xml:space="preserve">overall FAIL; PARTIALLY_USABLE: 2/4 recordings usable; bad channels in 4 recording(s) (F1, F4, F2); alpha blocking OK (median 7.7); notch filter suggested for 3/4 recordings</t>
  </si>
  <si>
    <t xml:space="preserve">F4 x4, F1 x4, AF4 x3, F2 x3, Fz x2, F6 x2, Fp2 x2, F3 x2, AF3 x2, Fp1 x1, AF8 x1, F5 x1</t>
  </si>
  <si>
    <t xml:space="preserve">2026-10-21T16:46:28+00:00</t>
  </si>
  <si>
    <t xml:space="preserve">2026-10-21T16:47:12+00:00</t>
  </si>
  <si>
    <t xml:space="preserve">qc_output/sub-379</t>
  </si>
  <si>
    <t xml:space="preserve">sub-380</t>
  </si>
  <si>
    <t xml:space="preserve">Rejected: Late triggers (late_ses1=5, late_ses2=n/a)</t>
  </si>
  <si>
    <t xml:space="preserve">Late triggers (late_ses1=5, late_ses2=n/a)</t>
  </si>
  <si>
    <t xml:space="preserve">2026-10-21T17:33:42+00:00</t>
  </si>
  <si>
    <t xml:space="preserve">qc_output/sub-380</t>
  </si>
  <si>
    <t xml:space="preserve">sub-381</t>
  </si>
  <si>
    <t xml:space="preserve">overall FLAG; USABLE_NEEDS_INTERPOLATION: 4/4 recordings usable; bad channels in 4 recording(s) (F1, F2, Fz); alpha blocking weak (flag only) (median 1.4); notch filter suggested for 3/4 recordings</t>
  </si>
  <si>
    <t xml:space="preserve">Fz x3, F1 x3, F2 x3, FC1 x2, F8 x1, F3 x1</t>
  </si>
  <si>
    <t xml:space="preserve">2026-10-21T16:47:17+00:00</t>
  </si>
  <si>
    <t xml:space="preserve">2026-10-21T16:48:10+00:00</t>
  </si>
  <si>
    <t xml:space="preserve">qc_output/sub-381</t>
  </si>
  <si>
    <t xml:space="preserve">sub-382</t>
  </si>
  <si>
    <t xml:space="preserve">2026-10-21T17:33:48+00:00</t>
  </si>
  <si>
    <t xml:space="preserve">qc_output/sub-382</t>
  </si>
  <si>
    <t xml:space="preserve">sub-383</t>
  </si>
  <si>
    <t xml:space="preserve">overall FAIL; PARTIALLY_USABLE: 3/4 recordings usable; bad channels in 2 recording(s) (AF8, Fp2, AF3); alpha blocking weak (flag only) (median 0.9); notch filter suggested for 3/4 recordings</t>
  </si>
  <si>
    <t xml:space="preserve">Fp2 x2, AF8 x2, Fp1 x1, AF7 x1, F3 x1, Fz x1, AF3 x1, AF4 x1, F5 x1, F1 x1, F2 x1</t>
  </si>
  <si>
    <t xml:space="preserve">2026-10-21T16:48:15+00:00</t>
  </si>
  <si>
    <t xml:space="preserve">2026-10-21T16:49:00+00:00</t>
  </si>
  <si>
    <t xml:space="preserve">qc_output/sub-383</t>
  </si>
  <si>
    <t xml:space="preserve">sub-384</t>
  </si>
  <si>
    <t xml:space="preserve">Rejected: Late triggers (late_ses1=1869, late_ses2=n/a)</t>
  </si>
  <si>
    <t xml:space="preserve">Late triggers (late_ses1=1869, late_ses2=n/a)</t>
  </si>
  <si>
    <t xml:space="preserve">2026-10-21T17:33:55+00:00</t>
  </si>
  <si>
    <t xml:space="preserve">qc_output/sub-384</t>
  </si>
  <si>
    <t xml:space="preserve">sub-385</t>
  </si>
  <si>
    <t xml:space="preserve">overall FAIL; PARTIALLY_USABLE: 5/8 recordings usable; bad channels in 8 recording(s) (Fz, F2, F3); alpha blocking OK (median 9.0); notch filter suggested for 6/8 recordings</t>
  </si>
  <si>
    <t xml:space="preserve">Fz x5, F2 x4, F3 x4, Fp2 x3, AF7 x3, AF4 x3, AF8 x3, F1 x3, AF3 x2, F4 x2, FC2 x2, Fp1 x1, F5 x1, FC4 x1</t>
  </si>
  <si>
    <t xml:space="preserve">2026-10-21T16:49:05+00:00</t>
  </si>
  <si>
    <t xml:space="preserve">2026-10-21T16:50:28+00:00</t>
  </si>
  <si>
    <t xml:space="preserve">qc_output/sub-385</t>
  </si>
  <si>
    <t xml:space="preserve">sub-386</t>
  </si>
  <si>
    <t xml:space="preserve">overall FLAG; USABLE_NEEDS_INTERPOLATION: 4/4 recordings usable; bad channels in 4 recording(s) (FC2, F1, F2); alpha blocking OK (median 8.2); notch filter suggested for 1/4 recordings</t>
  </si>
  <si>
    <t xml:space="preserve">FC2 x3, Fz x2, F1 x2, F2 x2, F7 x2, F8 x2, F5 x2, F6 x2, F3 x1</t>
  </si>
  <si>
    <t xml:space="preserve">2026-10-21T16:50:31+00:00</t>
  </si>
  <si>
    <t xml:space="preserve">2026-10-21T16:51:15+00:00</t>
  </si>
  <si>
    <t xml:space="preserve">qc_output/sub-386</t>
  </si>
  <si>
    <t xml:space="preserve">sub-387</t>
  </si>
  <si>
    <t xml:space="preserve">overall FAIL; PARTIALLY_USABLE: 2/4 recordings usable; bad channels in 3 recording(s) (Fz, AF3, AF4); alpha blocking OK (median 1.6); notch filter suggested for 4/4 recordings</t>
  </si>
  <si>
    <t xml:space="preserve">Fz x3, Fp1 x2, Fp2 x2, AF7 x2, AF3 x2, AF4 x2, AF8 x2, F1 x2, F2 x2</t>
  </si>
  <si>
    <t xml:space="preserve">2026-10-21T16:51:18+00:00</t>
  </si>
  <si>
    <t xml:space="preserve">2026-10-21T16:52:02+00:00</t>
  </si>
  <si>
    <t xml:space="preserve">qc_output/sub-387</t>
  </si>
  <si>
    <t xml:space="preserve">sub-388</t>
  </si>
  <si>
    <t xml:space="preserve">overall FAIL; PARTIALLY_USABLE: 2/4 recordings usable; bad channels in 4 recording(s) (Oz, F7, Fp2); alpha blocking OK (median 6.5); notch filter suggested for 4/4 recordings</t>
  </si>
  <si>
    <t xml:space="preserve">Fp2 x2, Oz x2, F7 x2, FC6 x2, Fp1 x1, Fz x1, AF7 x1, AF4 x1, AF8 x1, F2 x1, FC2 x1, FC4 x1, F3 x1, F4 x1, F8 x1, F5 x1, F1 x1, F6 x1</t>
  </si>
  <si>
    <t xml:space="preserve">2026-10-21T16:52:05+00:00</t>
  </si>
  <si>
    <t xml:space="preserve">2026-10-21T16:52:49+00:00</t>
  </si>
  <si>
    <t xml:space="preserve">qc_output/sub-388</t>
  </si>
  <si>
    <t xml:space="preserve">sub-389</t>
  </si>
  <si>
    <t xml:space="preserve">2026-10-21T17:34:10+00:00</t>
  </si>
  <si>
    <t xml:space="preserve">qc_output/sub-389</t>
  </si>
  <si>
    <t xml:space="preserve">sub-390</t>
  </si>
  <si>
    <t xml:space="preserve">overall FLAG; USABLE_NEEDS_INTERPOLATION: 4/4 recordings usable; bad channels in 3 recording(s) (F5, F4, F7); alpha blocking OK (median 6.7); notch filter suggested for 2/4 recordings</t>
  </si>
  <si>
    <t xml:space="preserve">F5 x2, Fz x1, F7 x1, F4 x1</t>
  </si>
  <si>
    <t xml:space="preserve">2026-10-21T16:52:55+00:00</t>
  </si>
  <si>
    <t xml:space="preserve">2026-10-21T16:53:37+00:00</t>
  </si>
  <si>
    <t xml:space="preserve">qc_output/sub-390</t>
  </si>
  <si>
    <t xml:space="preserve">sub-391</t>
  </si>
  <si>
    <t xml:space="preserve">overall FAIL; PARTIALLY_USABLE: 4/8 recordings usable; bad channels in 4 recording(s) (F4, F5, FC1); alpha blocking OK (median 8.5); notch filter suggested for 7/8 recordings</t>
  </si>
  <si>
    <t xml:space="preserve">F4 x4, F5 x4, F3 x3, AF4 x3, AF8 x3, F1 x3, F7 x3, FC1 x3, F6 x3, Fz x2, AF7 x2, AF3 x2, FC5 x2, FC3 x2, F2 x2, Fp1 x1, Fp2 x1</t>
  </si>
  <si>
    <t xml:space="preserve">2026-10-21T16:53:39+00:00</t>
  </si>
  <si>
    <t xml:space="preserve">2026-10-21T16:54:56+00:00</t>
  </si>
  <si>
    <t xml:space="preserve">qc_output/sub-391</t>
  </si>
  <si>
    <t xml:space="preserve">sub-392</t>
  </si>
  <si>
    <t xml:space="preserve">Rejected: Late triggers (late_ses1=66, late_ses2=n/a)</t>
  </si>
  <si>
    <t xml:space="preserve">Late triggers (late_ses1=66, late_ses2=n/a)</t>
  </si>
  <si>
    <t xml:space="preserve">2026-10-21T17:34:20+00:00</t>
  </si>
  <si>
    <t xml:space="preserve">qc_output/sub-392</t>
  </si>
  <si>
    <t xml:space="preserve">sub-393</t>
  </si>
  <si>
    <t xml:space="preserve">Rejected: Late triggers (late_ses1=2049, late_ses2=0)</t>
  </si>
  <si>
    <t xml:space="preserve">Late triggers (late_ses1=2049, late_ses2=0)</t>
  </si>
  <si>
    <t xml:space="preserve">2026-10-21T17:34:23+00:00</t>
  </si>
  <si>
    <t xml:space="preserve">qc_output/sub-393</t>
  </si>
  <si>
    <t xml:space="preserve">sub-394</t>
  </si>
  <si>
    <t xml:space="preserve">overall FLAG; USABLE_NEEDS_INTERPOLATION: 8/8 recordings usable; bad channels in 7 recording(s) (F1, Fz, F2); alpha blocking OK (median 6.0); notch filter suggested for 5/8 recordings</t>
  </si>
  <si>
    <t xml:space="preserve">Fz x7, F1 x7, F2 x7, F4 x5, AF4 x4, FC2 x4, AF3 x1</t>
  </si>
  <si>
    <t xml:space="preserve">2026-10-21T16:55:04+00:00</t>
  </si>
  <si>
    <t xml:space="preserve">2026-10-21T16:56:20+00:00</t>
  </si>
  <si>
    <t xml:space="preserve">qc_output/sub-394</t>
  </si>
  <si>
    <t xml:space="preserve">sub-395</t>
  </si>
  <si>
    <t xml:space="preserve">overall FLAG; USABLE_NEEDS_INTERPOLATION: 8/8 recordings usable; bad channels in 7 recording(s) (Fz, PO7, FC2); alpha blocking OK (median 2.0); notch filter suggested for 4/8 recordings</t>
  </si>
  <si>
    <t xml:space="preserve">Fz x4, PO7 x4, FC2 x2, FC1 x1, FC3 x1, F2 x1</t>
  </si>
  <si>
    <t xml:space="preserve">2026-10-21T16:56:22+00:00</t>
  </si>
  <si>
    <t xml:space="preserve">2026-10-21T16:57:40+00:00</t>
  </si>
  <si>
    <t xml:space="preserve">qc_output/sub-395</t>
  </si>
  <si>
    <t xml:space="preserve">sub-396</t>
  </si>
  <si>
    <t xml:space="preserve">overall FAIL; PARTIALLY_USABLE: 3/4 recordings usable; bad channels in 2 recording(s) (AF4, AF8, Fp2); alpha blocking OK (median 1.6); notch filter suggested for 4/4 recordings</t>
  </si>
  <si>
    <t xml:space="preserve">Fp2 x2, AF4 x2, AF8 x2, Fp1 x1, Fz x1, AF7 x1, AF3 x1, F1 x1</t>
  </si>
  <si>
    <t xml:space="preserve">2026-10-21T16:57:46+00:00</t>
  </si>
  <si>
    <t xml:space="preserve">2026-10-21T16:58:30+00:00</t>
  </si>
  <si>
    <t xml:space="preserve">qc_output/sub-396</t>
  </si>
  <si>
    <t xml:space="preserve">sub-397</t>
  </si>
  <si>
    <t xml:space="preserve">overall FAIL; PARTIALLY_USABLE: 2/4 recordings usable; bad channels in 2 recording(s) (AF3, AF4, AF8); alpha blocking OK (median 3.2); notch filter suggested for 2/4 recordings</t>
  </si>
  <si>
    <t xml:space="preserve">Fz x2, AF3 x2, AF4 x2, AF8 x2, F1 x2, F2 x2, Fp1 x1, Fp2 x1, AF7 x1, F7 x1, F3 x1, F4 x1, F5 x1</t>
  </si>
  <si>
    <t xml:space="preserve">2026-10-21T16:58:32+00:00</t>
  </si>
  <si>
    <t xml:space="preserve">2026-10-21T16:59:15+00:00</t>
  </si>
  <si>
    <t xml:space="preserve">qc_output/sub-397</t>
  </si>
  <si>
    <t xml:space="preserve">sub-398</t>
  </si>
  <si>
    <t xml:space="preserve">Rejected: Late triggers (late_ses1=1950, late_ses2=0)</t>
  </si>
  <si>
    <t xml:space="preserve">Late triggers (late_ses1=1950, late_ses2=0)</t>
  </si>
  <si>
    <t xml:space="preserve">2026-10-21T17:34:39+00:00</t>
  </si>
  <si>
    <t xml:space="preserve">qc_output/sub-398</t>
  </si>
  <si>
    <t xml:space="preserve">sub-399</t>
  </si>
  <si>
    <t xml:space="preserve">overall FLAG; USABLE_NEEDS_INTERPOLATION: 4/4 recordings usable; bad channels in 2 recording(s) (AF8, F1, F2); alpha blocking OK (median 11.5)</t>
  </si>
  <si>
    <t xml:space="preserve">AF8 x1, F1 x1, F2 x1, FC1 x1</t>
  </si>
  <si>
    <t xml:space="preserve">LOW_ALPHA_PROMINENCE; NO_ALPHA_BLOCKING; USABLE_NEEDS_INTERPOLATION</t>
  </si>
  <si>
    <t xml:space="preserve">2026-10-21T16:59:20+00:00</t>
  </si>
  <si>
    <t xml:space="preserve">2026-10-21T17:00:03+00:00</t>
  </si>
  <si>
    <t xml:space="preserve">qc_output/sub-399</t>
  </si>
  <si>
    <t xml:space="preserve">sub-400</t>
  </si>
  <si>
    <t xml:space="preserve">overall FLAG; USABLE_NEEDS_INTERPOLATION: 8/8 recordings usable; bad channels in 6 recording(s) (Fz, FC2, F2); alpha blocking weak (flag only) (median 0.9); notch filter suggested for 5/8 recordings</t>
  </si>
  <si>
    <t xml:space="preserve">Fz x4, FC2 x4, F8 x2, FC1 x2, F2 x2, FC3 x1, Fp2 x1, AF4 x1</t>
  </si>
  <si>
    <t xml:space="preserve">2026-10-21T17:00:06+00:00</t>
  </si>
  <si>
    <t xml:space="preserve">2026-10-21T17:01:24+00:00</t>
  </si>
  <si>
    <t xml:space="preserve">qc_output/sub-400</t>
  </si>
  <si>
    <t xml:space="preserve">sub-401</t>
  </si>
  <si>
    <t xml:space="preserve">overall FAIL; PARTIALLY_USABLE: 3/4 recordings usable; bad channels in 4 recording(s) (FC1, F1, Fz); alpha blocking weak (flag only) (median 1.1); notch filter suggested for 4/4 recordings</t>
  </si>
  <si>
    <t xml:space="preserve">Fz x3, FC1 x3, F1 x3, F2 x2, Fp1 x1, Fp2 x1, F3 x1, AF3 x1, AF4 x1, FC3 x1</t>
  </si>
  <si>
    <t xml:space="preserve">2026-10-21T17:01:27+00:00</t>
  </si>
  <si>
    <t xml:space="preserve">2026-10-21T17:02:09+00:00</t>
  </si>
  <si>
    <t xml:space="preserve">qc_output/sub-401</t>
  </si>
  <si>
    <t xml:space="preserve">sub-402</t>
  </si>
  <si>
    <t xml:space="preserve">overall FLAG; USABLE_NEEDS_INTERPOLATION: 4/4 recordings usable; bad channels in 3 recording(s) (Cz, AF8); alpha blocking OK (median 1.6); notch filter suggested for 3/4 recordings</t>
  </si>
  <si>
    <t xml:space="preserve">Cz x2, AF8 x1</t>
  </si>
  <si>
    <t xml:space="preserve">2026-10-21T17:02:12+00:00</t>
  </si>
  <si>
    <t xml:space="preserve">2026-10-21T17:02:55+00:00</t>
  </si>
  <si>
    <t xml:space="preserve">qc_output/sub-402</t>
  </si>
  <si>
    <t xml:space="preserve">sub-403</t>
  </si>
  <si>
    <t xml:space="preserve">Rejected: Late triggers (late_ses1=0, late_ses2=19)</t>
  </si>
  <si>
    <t xml:space="preserve">Late triggers (late_ses1=0, late_ses2=19)</t>
  </si>
  <si>
    <t xml:space="preserve">2026-10-21T17:34:54+00:00</t>
  </si>
  <si>
    <t xml:space="preserve">qc_output/sub-403</t>
  </si>
  <si>
    <t xml:space="preserve">sub-404</t>
  </si>
  <si>
    <t xml:space="preserve">overall FLAG; USABLE_NEEDS_INTERPOLATION: 8/8 recordings usable; bad channels in 4 recording(s) (F2, Fz, F1); alpha blocking OK (median 9.1); notch filter suggested for 8/8 recordings</t>
  </si>
  <si>
    <t xml:space="preserve">Fz x4, F2 x4, FC1 x2, F1 x2</t>
  </si>
  <si>
    <t xml:space="preserve">2026-10-21T17:03:00+00:00</t>
  </si>
  <si>
    <t xml:space="preserve">2026-10-21T17:04:19+00:00</t>
  </si>
  <si>
    <t xml:space="preserve">qc_output/sub-404</t>
  </si>
  <si>
    <t xml:space="preserve">sub-405</t>
  </si>
  <si>
    <t xml:space="preserve">overall FAIL; PARTIALLY_USABLE: 3/4 recordings usable; bad channels in 3 recording(s) (AF3, AF4, F1); alpha blocking OK (median 27.0); notch filter suggested for 3/4 recordings</t>
  </si>
  <si>
    <t xml:space="preserve">F3 x2, Fz x2, AF3 x2, AF4 x2, F1 x2, F2 x2, FC3 x2, Fp1 x1, Fp2 x1, AF7 x1, F8 x1, FC5 x1</t>
  </si>
  <si>
    <t xml:space="preserve">2026-10-21T17:04:21+00:00</t>
  </si>
  <si>
    <t xml:space="preserve">2026-10-21T17:05:05+00:00</t>
  </si>
  <si>
    <t xml:space="preserve">qc_output/sub-405</t>
  </si>
  <si>
    <t xml:space="preserve">sub-406</t>
  </si>
  <si>
    <t xml:space="preserve">overall FAIL; PARTIALLY_USABLE: 3/4 recordings usable; bad channels in 4 recording(s) (F1, F2, Fz); alpha blocking OK (median 1.8); notch filter suggested for 3/4 recordings</t>
  </si>
  <si>
    <t xml:space="preserve">Fz x4, F1 x4, F2 x4, F4 x2, AF4 x2, Fp1 x1, Fp2 x1, AF7 x1, AF3 x1, AF8 x1</t>
  </si>
  <si>
    <t xml:space="preserve">2026-10-21T17:05:08+00:00</t>
  </si>
  <si>
    <t xml:space="preserve">2026-10-21T17:05:49+00:00</t>
  </si>
  <si>
    <t xml:space="preserve">qc_output/sub-406</t>
  </si>
  <si>
    <t xml:space="preserve">sub-407</t>
  </si>
  <si>
    <t xml:space="preserve">overall FLAG; USABLE_NEEDS_INTERPOLATION: 4/4 recordings usable; bad channels in 2 recording(s) (F2, F3, F4); alpha blocking OK (median 2.2); notch filter suggested for 4/4 recordings</t>
  </si>
  <si>
    <t xml:space="preserve">F3 x2, F4 x2, F2 x2, Fz x1, F6 x1</t>
  </si>
  <si>
    <t xml:space="preserve">2026-10-21T17:05:52+00:00</t>
  </si>
  <si>
    <t xml:space="preserve">2026-10-21T17:06:35+00:00</t>
  </si>
  <si>
    <t xml:space="preserve">qc_output/sub-407</t>
  </si>
  <si>
    <t xml:space="preserve">sub-408</t>
  </si>
  <si>
    <t xml:space="preserve">overall FAIL; PARTIALLY_USABLE: 2/4 recordings usable; bad channels in 2 recording(s) (F4, F2, F5); alpha blocking OK (median 9.2)</t>
  </si>
  <si>
    <t xml:space="preserve">F7 x2, F4 x2, F8 x2, F5 x2, F2 x2, F6 x2, F3 x1, Fz x1, AF4 x1, F1 x1, FC5 x1, FC1 x1, FT7 x1, FC3 x1</t>
  </si>
  <si>
    <t xml:space="preserve">2026-10-21T17:06:37+00:00</t>
  </si>
  <si>
    <t xml:space="preserve">2026-10-21T17:07:20+00:00</t>
  </si>
  <si>
    <t xml:space="preserve">qc_output/sub-408</t>
  </si>
  <si>
    <t xml:space="preserve">sub-409</t>
  </si>
  <si>
    <t xml:space="preserve">overall FAIL; PARTIALLY_USABLE: 3/4 recordings usable; bad channels in 1 recording(s) (AF7, F1, F2); alpha blocking OK (median 11.3); notch filter suggested for 3/4 recordings</t>
  </si>
  <si>
    <t xml:space="preserve">Fp1 x1, Fp2 x1, F3 x1, Fz x1, F4 x1, AF7 x1, F1 x1, F2 x1</t>
  </si>
  <si>
    <t xml:space="preserve">2026-10-21T17:07:23+00:00</t>
  </si>
  <si>
    <t xml:space="preserve">2026-10-21T17:08:06+00:00</t>
  </si>
  <si>
    <t xml:space="preserve">qc_output/sub-409</t>
  </si>
  <si>
    <t xml:space="preserve">sub-410</t>
  </si>
  <si>
    <t xml:space="preserve">overall FLAG; USABLE_NEEDS_INTERPOLATION: 8/8 recordings usable; bad channels in 3 recording(s) (Fz, F7); alpha blocking OK (median 4.8); notch filter suggested for 7/8 recordings</t>
  </si>
  <si>
    <t xml:space="preserve">Fz x2, F7 x1</t>
  </si>
  <si>
    <t xml:space="preserve">2026-10-21T17:08:09+00:00</t>
  </si>
  <si>
    <t xml:space="preserve">2026-10-21T17:09:24+00:00</t>
  </si>
  <si>
    <t xml:space="preserve">qc_output/sub-410</t>
  </si>
  <si>
    <t xml:space="preserve">sub-411</t>
  </si>
  <si>
    <t xml:space="preserve">overall FAIL; PARTIALLY_USABLE: 5/8 recordings usable; bad channels in 4 recording(s) (Fz, FC2, F2); alpha blocking OK (median 4.1); notch filter suggested for 6/8 recordings</t>
  </si>
  <si>
    <t xml:space="preserve">Fz x4, FC2 x4, F2 x3, F1 x2, Cz x2, F4 x2, Fp2 x1, AF4 x1, AF8 x1</t>
  </si>
  <si>
    <t xml:space="preserve">CRITICAL_CHANNELS_BAD; CRITICAL_CHANNEL_BAD; TOO_MANY_BAD_CHANNELS; USABLE_NEEDS_INTERPOLATION</t>
  </si>
  <si>
    <t xml:space="preserve">2026-10-21T17:09:29+00:00</t>
  </si>
  <si>
    <t xml:space="preserve">2026-10-21T17:10:45+00:00</t>
  </si>
  <si>
    <t xml:space="preserve">qc_output/sub-411</t>
  </si>
  <si>
    <t xml:space="preserve">sub-412</t>
  </si>
  <si>
    <t xml:space="preserve">2026-10-21T17:35:22+00:00</t>
  </si>
  <si>
    <t xml:space="preserve">qc_output/sub-412</t>
  </si>
  <si>
    <t xml:space="preserve">sub-413</t>
  </si>
  <si>
    <t xml:space="preserve">overall FAIL; PARTIALLY_USABLE: 5/8 recordings usable; bad channels in 7 recording(s) (Fz, AF8, F2); alpha blocking OK (median 4.6); notch filter suggested for 3/8 recordings</t>
  </si>
  <si>
    <t xml:space="preserve">Fz x4, F3 x3, F4 x3, AF7 x3, AF8 x3, F2 x3, Fp1 x2, Fp2 x2, AF3 x2, AF4 x2, F5 x2, F1 x2, F6 x2, F8 x2</t>
  </si>
  <si>
    <t xml:space="preserve">2026-10-21T17:10:50+00:00</t>
  </si>
  <si>
    <t xml:space="preserve">2026-10-21T17:12:21+00:00</t>
  </si>
  <si>
    <t xml:space="preserve">qc_output/sub-413</t>
  </si>
  <si>
    <t xml:space="preserve">sub-414</t>
  </si>
  <si>
    <t xml:space="preserve">overall FLAG; USABLE_NEEDS_INTERPOLATION: 4/4 recordings usable; bad channels in 1 recording(s) (Fz); alpha blocking OK (median 1.5); notch filter suggested for 2/4 recordings</t>
  </si>
  <si>
    <t xml:space="preserve">2026-10-21T17:12:24+00:00</t>
  </si>
  <si>
    <t xml:space="preserve">2026-10-21T17:13:07+00:00</t>
  </si>
  <si>
    <t xml:space="preserve">qc_output/sub-414</t>
  </si>
  <si>
    <t xml:space="preserve">sub-415</t>
  </si>
  <si>
    <t xml:space="preserve">Rejected: Age above 60 (62); Late triggers (late_ses1=1, late_ses2=1)</t>
  </si>
  <si>
    <t xml:space="preserve">Age above 60 (62); Late triggers (late_ses1=1, late_ses2=1)</t>
  </si>
  <si>
    <t xml:space="preserve">2026-10-21T17:35:32+00:00</t>
  </si>
  <si>
    <t xml:space="preserve">qc_output/sub-415</t>
  </si>
  <si>
    <t xml:space="preserve">sub-416</t>
  </si>
  <si>
    <t xml:space="preserve">overall FLAG; USABLE_NEEDS_INTERPOLATION: 4/4 recordings usable; bad channels in 2 recording(s) (F1, Fz, AF3); alpha blocking OK (median 2.1)</t>
  </si>
  <si>
    <t xml:space="preserve">Fz x2, F1 x2, Fp1 x1, AF3 x1</t>
  </si>
  <si>
    <t xml:space="preserve">2026-10-21T17:13:15+00:00</t>
  </si>
  <si>
    <t xml:space="preserve">2026-10-21T17:14:04+00:00</t>
  </si>
  <si>
    <t xml:space="preserve">qc_output/sub-416</t>
  </si>
  <si>
    <t xml:space="preserve">sub-417</t>
  </si>
  <si>
    <t xml:space="preserve">overall FAIL; PARTIALLY_USABLE: 7/8 recordings usable; bad channels in 8 recording(s) (Fz, FC2, F2); alpha blocking OK (median 3.2); notch filter suggested for 6/8 recordings</t>
  </si>
  <si>
    <t xml:space="preserve">Fz x5, FC2 x4, Fp1 x2, F4 x2, AF3 x2, F1 x2, F2 x2, Fp2 x1, F3 x1, AF7 x1, AF4 x1, AF8 x1, F5 x1</t>
  </si>
  <si>
    <t xml:space="preserve">2026-10-21T17:14:07+00:00</t>
  </si>
  <si>
    <t xml:space="preserve">2026-10-21T17:15:25+00:00</t>
  </si>
  <si>
    <t xml:space="preserve">qc_output/sub-417</t>
  </si>
  <si>
    <t xml:space="preserve">sub-418</t>
  </si>
  <si>
    <t xml:space="preserve">overall FAIL; PARTIALLY_USABLE: 7/8 recordings usable; bad channels in 8 recording(s) (Fz, F1, F3); alpha blocking OK (median 2.6); notch filter suggested for 6/8 recordings</t>
  </si>
  <si>
    <t xml:space="preserve">Fz x6, F1 x3, F3 x3, F4 x2, F5 x2, F8 x1, AF7 x1, AF8 x1, F6 x1, AF3 x1, FC1 x1</t>
  </si>
  <si>
    <t xml:space="preserve">2026-10-21T17:15:28+00:00</t>
  </si>
  <si>
    <t xml:space="preserve">2026-10-21T17:16:46+00:00</t>
  </si>
  <si>
    <t xml:space="preserve">qc_output/sub-418</t>
  </si>
  <si>
    <t xml:space="preserve">sub-419</t>
  </si>
  <si>
    <t xml:space="preserve">overall FLAG; USABLE_NEEDS_INTERPOLATION: 4/4 recordings usable; bad channels in 4 recording(s) (F1, Fz, FC3); alpha blocking OK (median 9.4); notch filter suggested for 4/4 recordings</t>
  </si>
  <si>
    <t xml:space="preserve">Fz x2, F1 x2, FC3 x2, F4 x1, F2 x1, F6 x1</t>
  </si>
  <si>
    <t xml:space="preserve">2026-10-21T17:16:49+00:00</t>
  </si>
  <si>
    <t xml:space="preserve">2026-10-21T17:17:33+00:00</t>
  </si>
  <si>
    <t xml:space="preserve">qc_output/sub-419</t>
  </si>
  <si>
    <t xml:space="preserve">sub-420</t>
  </si>
  <si>
    <t xml:space="preserve">overall FAIL; PARTIALLY_USABLE: 2/4 recordings usable; bad channels in 4 recording(s) (FC2, F1, FC4); alpha blocking OK (median 2.7); notch filter suggested for 2/4 recordings</t>
  </si>
  <si>
    <t xml:space="preserve">FC2 x3, F1 x3, FC4 x3, F4 x2, F2 x2, F6 x2, F8 x2, Fp1 x1, Fp2 x1, Fz x1, AF4 x1, AF8 x1, F3 x1, FC6 x1, C4 x1, AF7 x1, F5 x1, FC3 x1</t>
  </si>
  <si>
    <t xml:space="preserve">2026-10-21T17:17:36+00:00</t>
  </si>
  <si>
    <t xml:space="preserve">2026-10-21T17:18:19+00:00</t>
  </si>
  <si>
    <t xml:space="preserve">qc_output/sub-420</t>
  </si>
  <si>
    <t xml:space="preserve">sub-421</t>
  </si>
  <si>
    <t xml:space="preserve">overall FLAG; USABLE_NEEDS_INTERPOLATION: 8/8 recordings usable; bad channels in 6 recording(s) (Fz, F5, F7); alpha blocking OK (median 5.0); notch filter suggested for 7/8 recordings</t>
  </si>
  <si>
    <t xml:space="preserve">Fz x4, F1 x2, F7 x2, F8 x2, F5 x2, AF3 x1, AF4 x1, F6 x1</t>
  </si>
  <si>
    <t xml:space="preserve">2026-10-21T17:18:24+00:00</t>
  </si>
  <si>
    <t xml:space="preserve">2026-10-21T17:19:41+00:00</t>
  </si>
  <si>
    <t xml:space="preserve">qc_output/sub-421</t>
  </si>
  <si>
    <t xml:space="preserve">sub-422</t>
  </si>
  <si>
    <t xml:space="preserve">overall FAIL; PARTIALLY_USABLE: 3/4 recordings usable; bad channels in 2 recording(s) (AF3, AF4, AF7); alpha blocking OK (median 1.7); notch filter suggested for 4/4 recordings</t>
  </si>
  <si>
    <t xml:space="preserve">F7 x1, F5 x1, F6 x1, Fp1 x1, Fp2 x1, Fz x1, F4 x1, AF7 x1, AF3 x1, AF4 x1, AF8 x1</t>
  </si>
  <si>
    <t xml:space="preserve">2026-10-21T17:19:44+00:00</t>
  </si>
  <si>
    <t xml:space="preserve">2026-10-21T17:20:27+00:00</t>
  </si>
  <si>
    <t xml:space="preserve">qc_output/sub-422</t>
  </si>
  <si>
    <t xml:space="preserve">sub-423</t>
  </si>
  <si>
    <t xml:space="preserve">overall FAIL; PARTIALLY_USABLE: 5/8 recordings usable; bad channels in 7 recording(s) (F1, F2, AF4); alpha blocking OK (median 7.2); notch filter suggested for 8/8 recordings</t>
  </si>
  <si>
    <t xml:space="preserve">F1 x4, F2 x4, Fp1 x3, Fp2 x3, AF3 x3, AF4 x3, Fz x3, FC2 x3, F3 x2, F7 x2, FC4 x2, F4 x1, AF7 x1, AF8 x1</t>
  </si>
  <si>
    <t xml:space="preserve">2026-10-21T17:20:30+00:00</t>
  </si>
  <si>
    <t xml:space="preserve">2026-10-21T17:21:53+00:00</t>
  </si>
  <si>
    <t xml:space="preserve">qc_output/sub-423</t>
  </si>
  <si>
    <t xml:space="preserve">sub-424</t>
  </si>
  <si>
    <t xml:space="preserve">overall FAIL; PARTIALLY_USABLE: 1/4 recordings usable; bad channels in 4 recording(s) (F1, Fz, F5); alpha blocking OK (median 3.9); notch filter suggested for 3/4 recordings</t>
  </si>
  <si>
    <t xml:space="preserve">Fz x3, F1 x3, F7 x2, F3 x2, F4 x2, F8 x2, F5 x2, F6 x2, Fp1 x1, Fp2 x1, AF3 x1, AF4 x1, AF8 x1, F2 x1</t>
  </si>
  <si>
    <t xml:space="preserve">2026-10-21T17:21:56+00:00</t>
  </si>
  <si>
    <t xml:space="preserve">2026-10-21T17:22:42+00:00</t>
  </si>
  <si>
    <t xml:space="preserve">qc_output/sub-424</t>
  </si>
  <si>
    <t xml:space="preserve">sub-425</t>
  </si>
  <si>
    <t xml:space="preserve">Rejected: Late triggers (late_ses1=15, late_ses2=0)</t>
  </si>
  <si>
    <t xml:space="preserve">Late triggers (late_ses1=15, late_ses2=0)</t>
  </si>
  <si>
    <t xml:space="preserve">2026-10-21T17:36:04+00:00</t>
  </si>
  <si>
    <t xml:space="preserve">qc_output/sub-425</t>
  </si>
  <si>
    <t xml:space="preserve">sub-426</t>
  </si>
  <si>
    <t xml:space="preserve">overall FLAG; USABLE_NEEDS_INTERPOLATION: 8/8 recordings usable; bad channels in 2 recording(s) (F2, Fz, AF4); alpha blocking weak (flag only) (median 0.9); notch filter suggested for 6/8 recordings</t>
  </si>
  <si>
    <t xml:space="preserve">Fz x2, F2 x2, Fp2 x1, F4 x1, AF4 x1, F6 x1</t>
  </si>
  <si>
    <t xml:space="preserve">2026-10-21T17:22:47+00:00</t>
  </si>
  <si>
    <t xml:space="preserve">2026-10-21T17:24:04+00:00</t>
  </si>
  <si>
    <t xml:space="preserve">qc_output/sub-426</t>
  </si>
  <si>
    <t xml:space="preserve">sub-427</t>
  </si>
  <si>
    <t xml:space="preserve">overall FAIL; PARTIALLY_USABLE: 1/4 recordings usable; bad channels in 4 recording(s) (AF4, AF7, AF8); alpha blocking OK (median 5.1); notch filter suggested for 3/4 recordings</t>
  </si>
  <si>
    <t xml:space="preserve">Fz x2, F4 x2, AF4 x2, AF8 x2, F1 x2, F2 x2, Fp1 x2, Fp2 x2, AF7 x2, F7 x1, F3 x1, F5 x1, AF3 x1, F8 x1, FC5 x1, FC2 x1, FT7 x1, FC1 x1, F6 x1</t>
  </si>
  <si>
    <t xml:space="preserve">2026-10-21T17:24:09+00:00</t>
  </si>
  <si>
    <t xml:space="preserve">2026-10-21T17:24:56+00:00</t>
  </si>
  <si>
    <t xml:space="preserve">qc_output/sub-427</t>
  </si>
  <si>
    <t xml:space="preserve">sub-428</t>
  </si>
  <si>
    <t xml:space="preserve">overall FLAG; USABLE_NEEDS_INTERPOLATION: 4/4 recordings usable; bad channels in 3 recording(s) (F3, F6, F5); alpha blocking weak (flag only) (median 1.5); notch filter suggested for 4/4 recordings</t>
  </si>
  <si>
    <t xml:space="preserve">F3 x2, F5 x2, F6 x2, Fz x1, F1 x1, F2 x1, F7 x1, F4 x1, F8 x1</t>
  </si>
  <si>
    <t xml:space="preserve">2026-10-21T17:24:59+00:00</t>
  </si>
  <si>
    <t xml:space="preserve">2026-10-21T17:25:42+00:00</t>
  </si>
  <si>
    <t xml:space="preserve">qc_output/sub-428</t>
  </si>
  <si>
    <t xml:space="preserve">sub-429</t>
  </si>
  <si>
    <t xml:space="preserve">overall FAIL; PARTIALLY_USABLE: 3/4 recordings usable; bad channels in 4 recording(s) (F1, Fz, F2); alpha blocking OK (median 2.5); notch filter suggested for 4/4 recordings</t>
  </si>
  <si>
    <t xml:space="preserve">Fz x4, F1 x4, F2 x4, F3 x2, AF3 x2, Fp1 x1, AF4 x1</t>
  </si>
  <si>
    <t xml:space="preserve">2026-10-21T17:25:45+00:00</t>
  </si>
  <si>
    <t xml:space="preserve">2026-10-21T17:26:28+00:00</t>
  </si>
  <si>
    <t xml:space="preserve">qc_output/sub-429</t>
  </si>
  <si>
    <t xml:space="preserve">sub-430</t>
  </si>
  <si>
    <t xml:space="preserve">2026-10-21T17:36:20+00:00</t>
  </si>
  <si>
    <t xml:space="preserve">qc_output/sub-430</t>
  </si>
  <si>
    <t xml:space="preserve">sub-431</t>
  </si>
  <si>
    <t xml:space="preserve">overall FLAG; USABLE_NEEDS_INTERPOLATION: 4/4 recordings usable; bad channels in 4 recording(s) (F1, F2, Fz); alpha blocking weak (flag only) (median 0.8); notch filter suggested for 4/4 recordings</t>
  </si>
  <si>
    <t xml:space="preserve">Fz x2, F1 x2, F2 x2, F4 x2, AF3 x1, F7 x1</t>
  </si>
  <si>
    <t xml:space="preserve">2026-10-21T17:26:34+00:00</t>
  </si>
  <si>
    <t xml:space="preserve">2026-10-21T17:27:15+00:00</t>
  </si>
  <si>
    <t xml:space="preserve">qc_output/sub-431</t>
  </si>
  <si>
    <t xml:space="preserve">sub-432</t>
  </si>
  <si>
    <t xml:space="preserve">Rejected: Late triggers (late_ses1=1929, late_ses2=n/a)</t>
  </si>
  <si>
    <t xml:space="preserve">Late triggers (late_ses1=1929, late_ses2=n/a)</t>
  </si>
  <si>
    <t xml:space="preserve">2026-10-21T17:27:18+00:00</t>
  </si>
  <si>
    <t xml:space="preserve">qc_output/sub-432</t>
  </si>
  <si>
    <t xml:space="preserve">sub-433</t>
  </si>
  <si>
    <t xml:space="preserve">2026-10-21T17:41:34+00:00</t>
  </si>
  <si>
    <t xml:space="preserve">qc_output/sub-433</t>
  </si>
  <si>
    <t xml:space="preserve">sub-434</t>
  </si>
  <si>
    <t xml:space="preserve">overall FAIL; PARTIALLY_USABLE: 3/4 recordings usable; bad channels in 3 recording(s) (F2, F1, Fz); alpha blocking OK (median 2.8); notch filter suggested for 4/4 recordings</t>
  </si>
  <si>
    <t xml:space="preserve">F2 x3, Fz x2, F1 x2, F3 x1, F4 x1, AF7 x1, AF3 x1, AF4 x1, AF8 x1, F6 x1</t>
  </si>
  <si>
    <t xml:space="preserve">2026-10-21T17:41:37+00:00</t>
  </si>
  <si>
    <t xml:space="preserve">2026-10-21T17:42:41+00:00</t>
  </si>
  <si>
    <t xml:space="preserve">qc_output/sub-434</t>
  </si>
  <si>
    <t xml:space="preserve">sub-435</t>
  </si>
  <si>
    <t xml:space="preserve">overall FLAG; USABLE_NEEDS_INTERPOLATION: 4/4 recordings usable; bad channels in 1 recording(s) (Fz); alpha blocking OK (median 6.7); notch filter suggested for 4/4 recordings</t>
  </si>
  <si>
    <t xml:space="preserve">2026-10-21T17:42:43+00:00</t>
  </si>
  <si>
    <t xml:space="preserve">2026-10-21T17:43:35+00:00</t>
  </si>
  <si>
    <t xml:space="preserve">qc_output/sub-435</t>
  </si>
  <si>
    <t xml:space="preserve">sub-436</t>
  </si>
  <si>
    <t xml:space="preserve">overall FAIL; PARTIALLY_USABLE: 6/8 recordings usable; bad channels in 8 recording(s) (Fz, F2, F4); alpha blocking OK (median 2.6); notch filter suggested for 8/8 recordings</t>
  </si>
  <si>
    <t xml:space="preserve">Fz x6, AF8 x3, F4 x3, F2 x3, FC2 x2, AF4 x2, F3 x1, F8 x1, AF7 x1, F5 x1, F6 x1, Fp1 x1, Fp2 x1, AF3 x1</t>
  </si>
  <si>
    <t xml:space="preserve">CRITICAL_CHANNEL_BAD; HIGH_LINE_NOISE; LINE_NOISE; LOW_ALPHA_PROMINENCE; TOO_MANY_BAD_CHANNELS; USABLE_NEEDS_INTERPOLATION</t>
  </si>
  <si>
    <t xml:space="preserve">2026-10-21T17:43:39+00:00</t>
  </si>
  <si>
    <t xml:space="preserve">2026-10-21T17:45:11+00:00</t>
  </si>
  <si>
    <t xml:space="preserve">qc_output/sub-436</t>
  </si>
  <si>
    <t xml:space="preserve">sub-437</t>
  </si>
  <si>
    <t xml:space="preserve">overall FLAG; USABLE_NEEDS_INTERPOLATION: 4/4 recordings usable; bad channels in 2 recording(s) (F2, F1, FC2); alpha blocking OK (median 4.2); notch filter suggested for 4/4 recordings</t>
  </si>
  <si>
    <t xml:space="preserve">F2 x2, Fz x1, F1 x1, FC2 x1</t>
  </si>
  <si>
    <t xml:space="preserve">2026-10-21T17:45:15+00:00</t>
  </si>
  <si>
    <t xml:space="preserve">2026-10-21T17:46:03+00:00</t>
  </si>
  <si>
    <t xml:space="preserve">qc_output/sub-437</t>
  </si>
  <si>
    <t xml:space="preserve">sub-438</t>
  </si>
  <si>
    <t xml:space="preserve">2026-10-21T17:46:06+00:00</t>
  </si>
  <si>
    <t xml:space="preserve">qc_output/sub-438</t>
  </si>
  <si>
    <t xml:space="preserve">sub-439</t>
  </si>
  <si>
    <t xml:space="preserve">overall FAIL; PARTIALLY_USABLE: 3/4 recordings usable; bad channels in 3 recording(s) (Fp2, Fz, F2); alpha blocking OK (median 2.5); notch filter suggested for 3/4 recordings</t>
  </si>
  <si>
    <t xml:space="preserve">Fz x2, F2 x2, Fp1 x2, Fp2 x2, F3 x1, F4 x1, AF7 x1, AF3 x1, AF4 x1, AF8 x1, F1 x1</t>
  </si>
  <si>
    <t xml:space="preserve">2026-10-21T17:46:08+00:00</t>
  </si>
  <si>
    <t xml:space="preserve">2026-10-21T17:46:57+00:00</t>
  </si>
  <si>
    <t xml:space="preserve">qc_output/sub-439</t>
  </si>
  <si>
    <t xml:space="preserve">sub-440</t>
  </si>
  <si>
    <t xml:space="preserve">overall FLAG; USABLE_NEEDS_INTERPOLATION: 4/4 recordings usable; bad channels in 1 recording(s) (FC2); alpha blocking OK (median 5.6); notch filter suggested for 3/4 recordings</t>
  </si>
  <si>
    <t xml:space="preserve">FC2 x1</t>
  </si>
  <si>
    <t xml:space="preserve">LOW_ALPHA_PROMINENCE; USABLE_NEEDS_INTERPOLATION</t>
  </si>
  <si>
    <t xml:space="preserve">2026-10-21T16:29:03+00:00</t>
  </si>
  <si>
    <t xml:space="preserve">qc_output/sub-440</t>
  </si>
  <si>
    <t xml:space="preserve">sub-441</t>
  </si>
  <si>
    <t xml:space="preserve">Rejected: Late triggers (late_ses1=1918, late_ses2=136)</t>
  </si>
  <si>
    <t xml:space="preserve">Late triggers (late_ses1=1918, late_ses2=136)</t>
  </si>
  <si>
    <t xml:space="preserve">qc_output/sub-441</t>
  </si>
  <si>
    <t xml:space="preserve">sub-442</t>
  </si>
  <si>
    <t xml:space="preserve">2026-10-21T16:29:58+00:00</t>
  </si>
  <si>
    <t xml:space="preserve">qc_output/sub-442</t>
  </si>
  <si>
    <t xml:space="preserve">sub-443</t>
  </si>
  <si>
    <t xml:space="preserve">overall FLAG; USABLE_WITH_FLAGS: 4/4 recordings usable; no bad channels; alpha blocking OK (median 3.3)</t>
  </si>
  <si>
    <t xml:space="preserve">2026-10-21T16:29:59+00:00</t>
  </si>
  <si>
    <t xml:space="preserve">2026-10-21T16:30:53+00:00</t>
  </si>
  <si>
    <t xml:space="preserve">qc_output/sub-443</t>
  </si>
  <si>
    <t xml:space="preserve">sub-444</t>
  </si>
  <si>
    <t xml:space="preserve">overall FAIL; PARTIALLY_USABLE: 3/4 recordings usable; bad channels in 4 recording(s) (FC1, Cz, AF8); alpha blocking OK (median 3.2); notch filter suggested for 4/4 recordings</t>
  </si>
  <si>
    <t xml:space="preserve">FC1 x2, Cz x1, F7 x1, F3 x1, F4 x1, AF8 x1, F5 x1, F1 x1, F2 x1, F8 x1, F6 x1</t>
  </si>
  <si>
    <t xml:space="preserve">2026-10-21T16:30:56+00:00</t>
  </si>
  <si>
    <t xml:space="preserve">2026-10-21T16:31:45+00:00</t>
  </si>
  <si>
    <t xml:space="preserve">qc_output/sub-444</t>
  </si>
  <si>
    <t xml:space="preserve">sub-445</t>
  </si>
  <si>
    <t xml:space="preserve">overall FLAG; USABLE_NEEDS_INTERPOLATION: 8/8 recordings usable; bad channels in 5 recording(s) (FC2, F4, Cz); alpha blocking OK (median 2.3); notch filter suggested for 8/8 recordings</t>
  </si>
  <si>
    <t xml:space="preserve">FC2 x2, F7 x1, F4 x1, F6 x1, Cz x1, F8 x1, FC1 x1</t>
  </si>
  <si>
    <t xml:space="preserve">2026-10-21T16:31:47+00:00</t>
  </si>
  <si>
    <t xml:space="preserve">2026-10-21T16:33:17+00:00</t>
  </si>
  <si>
    <t xml:space="preserve">qc_output/sub-445</t>
  </si>
  <si>
    <t xml:space="preserve">sub-446</t>
  </si>
  <si>
    <t xml:space="preserve">overall FAIL; PARTIALLY_USABLE: 6/8 recordings usable; bad channels in 6 recording(s) (Fz, F6, F7); alpha blocking OK (median 3.5); notch filter suggested for 7/8 recordings</t>
  </si>
  <si>
    <t xml:space="preserve">Fz x4, F6 x4, F7 x3, F4 x3, F5 x3, F2 x3, Fp1 x2, Fp2 x2, F3 x2, F8 x2, AF7 x2, AF3 x2, AF4 x2, AF8 x2, F1 x2, FC3 x2, FC1 x2, FC5 x1</t>
  </si>
  <si>
    <t xml:space="preserve">2026-10-21T16:33:18+00:00</t>
  </si>
  <si>
    <t xml:space="preserve">2026-10-21T16:34:47+00:00</t>
  </si>
  <si>
    <t xml:space="preserve">qc_output/sub-446</t>
  </si>
  <si>
    <t xml:space="preserve">sub-447</t>
  </si>
  <si>
    <t xml:space="preserve">2026-10-21T16:34:49+00:00</t>
  </si>
  <si>
    <t xml:space="preserve">qc_output/sub-447</t>
  </si>
  <si>
    <t xml:space="preserve">sub-448</t>
  </si>
  <si>
    <t xml:space="preserve">overall FLAG; USABLE_NEEDS_INTERPOLATION: 4/4 recordings usable; bad channels in 4 recording(s) (F1, FC1, FC5); alpha blocking OK (median 5.5); notch filter suggested for 4/4 recordings</t>
  </si>
  <si>
    <t xml:space="preserve">Fz x2, FC1 x2, F1 x2, FC5 x2, FC2 x2, FC3 x2, F4 x1, F2 x1, F8 x1</t>
  </si>
  <si>
    <t xml:space="preserve">2026-10-21T16:34:50+00:00</t>
  </si>
  <si>
    <t xml:space="preserve">2026-10-21T16:35:39+00:00</t>
  </si>
  <si>
    <t xml:space="preserve">qc_output/sub-448</t>
  </si>
  <si>
    <t xml:space="preserve">sub-449</t>
  </si>
  <si>
    <t xml:space="preserve">overall FLAG; USABLE_NEEDS_INTERPOLATION: 4/4 recordings usable; bad channels in 1 recording(s) (FC1); alpha blocking OK (median 4.1); notch filter suggested for 4/4 recordings</t>
  </si>
  <si>
    <t xml:space="preserve">FC1 x1</t>
  </si>
  <si>
    <t xml:space="preserve">2026-10-21T16:35:43+00:00</t>
  </si>
  <si>
    <t xml:space="preserve">2026-10-21T16:36:32+00:00</t>
  </si>
  <si>
    <t xml:space="preserve">qc_output/sub-449</t>
  </si>
  <si>
    <t xml:space="preserve">sub-450</t>
  </si>
  <si>
    <t xml:space="preserve">overall FLAG; USABLE_NEEDS_INTERPOLATION: 4/4 recordings usable; bad channels in 4 recording(s) (FC3, F5, F4); alpha blocking weak (flag only) (median 1.4); notch filter suggested for 2/4 recordings</t>
  </si>
  <si>
    <t xml:space="preserve">F5 x2, FC3 x2, F7 x1, F3 x1, F4 x1, F6 x1</t>
  </si>
  <si>
    <t xml:space="preserve">NO_ALPHA_BLOCKING; USABLE_NEEDS_INTERPOLATION</t>
  </si>
  <si>
    <t xml:space="preserve">2026-10-21T16:36:34+00:00</t>
  </si>
  <si>
    <t xml:space="preserve">2026-10-21T16:37:26+00:00</t>
  </si>
  <si>
    <t xml:space="preserve">qc_output/sub-450</t>
  </si>
  <si>
    <t xml:space="preserve">sub-451</t>
  </si>
  <si>
    <t xml:space="preserve">overall FAIL; PARTIALLY_USABLE: 3/4 recordings usable; bad channels in 2 recording(s) (Fz, AF3, AF4); alpha blocking OK (median 12.1); notch filter suggested for 3/4 recordings</t>
  </si>
  <si>
    <t xml:space="preserve">Fz x2, Fp1 x1, Fp2 x1, AF7 x1, AF3 x1, AF4 x1, AF8 x1, F1 x1, F2 x1</t>
  </si>
  <si>
    <t xml:space="preserve">2026-10-21T16:37:29+00:00</t>
  </si>
  <si>
    <t xml:space="preserve">2026-10-21T16:38:19+00:00</t>
  </si>
  <si>
    <t xml:space="preserve">qc_output/sub-451</t>
  </si>
  <si>
    <t xml:space="preserve">sub-452</t>
  </si>
  <si>
    <t xml:space="preserve">overall FAIL; PARTIALLY_USABLE: 3/4 recordings usable; bad channels in 4 recording(s) (FC1, F1, F4); alpha blocking OK (median 7.5); notch filter suggested for 3/4 recordings</t>
  </si>
  <si>
    <t xml:space="preserve">FC1 x3, Fz x2, F1 x2, F2 x2, F7 x2, F4 x2, F6 x2, F3 x1, F8 x1, AF8 x1, F5 x1, FC3 x1</t>
  </si>
  <si>
    <t xml:space="preserve">2026-10-21T16:38:21+00:00</t>
  </si>
  <si>
    <t xml:space="preserve">2026-10-21T16:39:09+00:00</t>
  </si>
  <si>
    <t xml:space="preserve">qc_output/sub-452</t>
  </si>
  <si>
    <t xml:space="preserve">sub-453</t>
  </si>
  <si>
    <t xml:space="preserve">overall FLAG; USABLE_NEEDS_INTERPOLATION: 4/4 recordings usable; bad channels in 2 recording(s) (F6, F8, FC1); alpha blocking OK (median 9.1); notch filter suggested for 3/4 recordings</t>
  </si>
  <si>
    <t xml:space="preserve">F6 x1, F8 x1, FC1 x1, FC3 x1</t>
  </si>
  <si>
    <t xml:space="preserve">2026-10-21T16:39:12+00:00</t>
  </si>
  <si>
    <t xml:space="preserve">2026-10-21T16:40:03+00:00</t>
  </si>
  <si>
    <t xml:space="preserve">qc_output/sub-453</t>
  </si>
  <si>
    <t xml:space="preserve">sub-454</t>
  </si>
  <si>
    <t xml:space="preserve">Rejected: Age above 60 (69)</t>
  </si>
  <si>
    <t xml:space="preserve">Age above 60 (69)</t>
  </si>
  <si>
    <t xml:space="preserve">69</t>
  </si>
  <si>
    <t xml:space="preserve">2026-10-21T16:40:05+00:00</t>
  </si>
  <si>
    <t xml:space="preserve">qc_output/sub-454</t>
  </si>
  <si>
    <t xml:space="preserve">sub-455</t>
  </si>
  <si>
    <t xml:space="preserve">2026-10-21T16:40:07+00:00</t>
  </si>
  <si>
    <t xml:space="preserve">qc_output/sub-455</t>
  </si>
  <si>
    <t xml:space="preserve">sub-456</t>
  </si>
  <si>
    <t xml:space="preserve">overall FAIL; PARTIALLY_USABLE: 3/4 recordings usable; bad channels in 3 recording(s) (Cz, Fz, F1); alpha blocking OK (median 3.2); notch filter suggested for 2/4 recordings</t>
  </si>
  <si>
    <t xml:space="preserve">Cz x2, Fz x2, F1 x1</t>
  </si>
  <si>
    <t xml:space="preserve">CRITICAL_CHANNELS_BAD; CRITICAL_CHANNEL_BAD; USABLE_NEEDS_INTERPOLATION</t>
  </si>
  <si>
    <t xml:space="preserve">2026-10-21T16:40:08+00:00</t>
  </si>
  <si>
    <t xml:space="preserve">2026-10-21T16:41:02+00:00</t>
  </si>
  <si>
    <t xml:space="preserve">qc_output/sub-456</t>
  </si>
  <si>
    <t xml:space="preserve">sub-457</t>
  </si>
  <si>
    <t xml:space="preserve">overall FAIL; PARTIALLY_USABLE: 3/4 recordings usable; bad channels in 1 recording(s) (AF3, AF4, AF7); alpha blocking OK (median 4.6); notch filter suggested for 4/4 recordings</t>
  </si>
  <si>
    <t xml:space="preserve">Fp2 x1, F3 x1, Fz x1, F4 x1, AF7 x1, AF3 x1, AF4 x1, AF8 x1, F1 x1, F2 x1</t>
  </si>
  <si>
    <t xml:space="preserve">2026-10-21T16:41:04+00:00</t>
  </si>
  <si>
    <t xml:space="preserve">2026-10-21T16:41:56+00:00</t>
  </si>
  <si>
    <t xml:space="preserve">qc_output/sub-457</t>
  </si>
  <si>
    <t xml:space="preserve">sub-458</t>
  </si>
  <si>
    <t xml:space="preserve">overall FLAG; USABLE_NEEDS_INTERPOLATION: 4/4 recordings usable; bad channels in 3 recording(s) (Fz, F3, F4); alpha blocking OK (median 2.4); notch filter suggested for 4/4 recordings</t>
  </si>
  <si>
    <t xml:space="preserve">Fz x2, F3 x1, F4 x1, F5 x1</t>
  </si>
  <si>
    <t xml:space="preserve">2026-10-21T16:41:58+00:00</t>
  </si>
  <si>
    <t xml:space="preserve">2026-10-21T16:42:49+00:00</t>
  </si>
  <si>
    <t xml:space="preserve">qc_output/sub-458</t>
  </si>
  <si>
    <t xml:space="preserve">sub-459</t>
  </si>
  <si>
    <t xml:space="preserve">overall FAIL; PARTIALLY_USABLE: 3/4 recordings usable; bad channels in 4 recording(s) (F1, Fz, F2); alpha blocking weak (flag only) (median 1.4); notch filter suggested for 3/4 recordings</t>
  </si>
  <si>
    <t xml:space="preserve">Fz x3, F1 x3, F2 x2, Fp2 x1, F3 x1, F4 x1, AF7 x1, AF3 x1, AF8 x1, F5 x1, F6 x1</t>
  </si>
  <si>
    <t xml:space="preserve">2026-10-21T16:42:51+00:00</t>
  </si>
  <si>
    <t xml:space="preserve">2026-10-21T16:43:41+00:00</t>
  </si>
  <si>
    <t xml:space="preserve">qc_output/sub-459</t>
  </si>
  <si>
    <t xml:space="preserve">sub-460</t>
  </si>
  <si>
    <t xml:space="preserve">overall FAIL; PARTIALLY_USABLE: 3/4 recordings usable; bad channels in 4 recording(s) (FC2, FC6, FC4); alpha blocking OK (median 9.2); notch filter suggested for 4/4 recordings</t>
  </si>
  <si>
    <t xml:space="preserve">FC2 x3, FC6 x3, FC4 x3, F4 x2, F2 x2, FC5 x2, FC1 x2, FC3 x2, Fp1 x1, Fp2 x1, F3 x1, AF7 x1, AF3 x1, AF4 x1, AF8 x1, F5 x1, F1 x1, F6 x1, Fz x1</t>
  </si>
  <si>
    <t xml:space="preserve">2026-10-21T16:43:43+00:00</t>
  </si>
  <si>
    <t xml:space="preserve">2026-10-21T16:44:34+00:00</t>
  </si>
  <si>
    <t xml:space="preserve">qc_output/sub-460</t>
  </si>
  <si>
    <t xml:space="preserve">sub-461</t>
  </si>
  <si>
    <t xml:space="preserve">overall FAIL; PARTIALLY_USABLE: 3/4 recordings usable; bad channels in 4 recording(s) (F2, F1, F8); alpha blocking OK (median 3.1); notch filter suggested for 3/4 recordings</t>
  </si>
  <si>
    <t xml:space="preserve">Fz x2, FC2 x2, F1 x2, F2 x2, F4 x2, F8 x2, F6 x2, Fp1 x1, Fp2 x1, AF7 x1, AF3 x1, AF4 x1, FC3 x1</t>
  </si>
  <si>
    <t xml:space="preserve">2026-10-21T16:44:37+00:00</t>
  </si>
  <si>
    <t xml:space="preserve">2026-10-21T16:45:30+00:00</t>
  </si>
  <si>
    <t xml:space="preserve">qc_output/sub-461</t>
  </si>
  <si>
    <t xml:space="preserve">sub-462</t>
  </si>
  <si>
    <t xml:space="preserve">overall FAIL; PARTIALLY_USABLE: 3/4 recordings usable; bad channels in 3 recording(s) (FC1, F4, F3); alpha blocking OK (median 1.7); notch filter suggested for 3/4 recordings</t>
  </si>
  <si>
    <t xml:space="preserve">FC1 x3, F7 x2, F3 x2, F4 x2, F5 x2, F6 x2, AF7 x1, AF3 x1, AF4 x1, AF8 x1, F1 x1, F2 x1, F8 x1, FC2 x1, FC3 x1</t>
  </si>
  <si>
    <t xml:space="preserve">LINE_NOISE; LOW_ALPHA_PROMINENCE; TOO_MANY_BAD_CHANNELS; USABLE_NEEDS_INTERPOLATION; WEAK_ALPHA_BLOCKING</t>
  </si>
  <si>
    <t xml:space="preserve">2026-10-21T16:45:32+00:00</t>
  </si>
  <si>
    <t xml:space="preserve">2026-10-21T16:46:21+00:00</t>
  </si>
  <si>
    <t xml:space="preserve">qc_output/sub-462</t>
  </si>
  <si>
    <t xml:space="preserve">sub-463</t>
  </si>
  <si>
    <t xml:space="preserve">overall FAIL; PARTIALLY_USABLE: 4/8 recordings usable; bad channels in 7 recording(s) (AF3, AF4, AF7); alpha blocking weak (flag only) (median 0.8); notch filter suggested for 7/8 recordings</t>
  </si>
  <si>
    <t xml:space="preserve">AF7 x4, AF3 x4, AF4 x4, AF8 x4, F1 x4, F2 x4, Fz x3, Fp1 x3, Fp2 x3, F8 x2, F7 x2, F4 x1, F6 x1, FC5 x1, FC3 x1</t>
  </si>
  <si>
    <t xml:space="preserve">2026-10-21T16:46:24+00:00</t>
  </si>
  <si>
    <t xml:space="preserve">2026-10-21T16:47:55+00:00</t>
  </si>
  <si>
    <t xml:space="preserve">qc_output/sub-463</t>
  </si>
  <si>
    <t xml:space="preserve">sub-464</t>
  </si>
  <si>
    <t xml:space="preserve">overall PASS; USABLE_NEEDS_INTERPOLATION: 4/4 recordings usable; bad channels in 2 recording(s) (F7, F8, FC2); alpha blocking OK (median 27.5); notch filter suggested for 2/4 recordings</t>
  </si>
  <si>
    <t xml:space="preserve">F7 x2, F8 x2, FC2 x2, FC6 x2, FC4 x2</t>
  </si>
  <si>
    <t xml:space="preserve">2026-10-21T16:47:57+00:00</t>
  </si>
  <si>
    <t xml:space="preserve">2026-10-21T16:48:48+00:00</t>
  </si>
  <si>
    <t xml:space="preserve">qc_output/sub-464</t>
  </si>
  <si>
    <t xml:space="preserve">sub-465</t>
  </si>
  <si>
    <t xml:space="preserve">overall FAIL; PARTIALLY_USABLE: 4/8 recordings usable; bad channels in 8 recording(s) (F1, F2, F4); alpha blocking weak (flag only) (median 1.0); notch filter suggested for 5/8 recordings</t>
  </si>
  <si>
    <t xml:space="preserve">F1 x7, F2 x7, Fz x6, F4 x6, FC4 x5, F3 x4, FC2 x4, AF7 x4, AF4 x3, F6 x3, FC3 x3, FC1 x2, F5 x1</t>
  </si>
  <si>
    <t xml:space="preserve">2026-10-21T16:48:50+00:00</t>
  </si>
  <si>
    <t xml:space="preserve">2026-10-21T16:50:27+00:00</t>
  </si>
  <si>
    <t xml:space="preserve">qc_output/sub-465</t>
  </si>
  <si>
    <t xml:space="preserve">sub-466</t>
  </si>
  <si>
    <t xml:space="preserve">overall FAIL; PARTIALLY_USABLE: 4/8 recordings usable; bad channels in 8 recording(s) (F4, FC1, AF8); alpha blocking OK (median 3.6); notch filter suggested for 8/8 recordings</t>
  </si>
  <si>
    <t xml:space="preserve">F4 x6, F3 x4, AF8 x4, F6 x4, FC1 x4, Fp1 x3, Fz x3, AF7 x3, AF3 x3, F1 x3, F2 x3, F7 x3, FC2 x3, Fp2 x2, AF4 x2, F8 x1, F5 x1</t>
  </si>
  <si>
    <t xml:space="preserve">2026-10-21T16:50:29+00:00</t>
  </si>
  <si>
    <t xml:space="preserve">2026-10-21T16:52:13+00:00</t>
  </si>
  <si>
    <t xml:space="preserve">qc_output/sub-466</t>
  </si>
  <si>
    <t xml:space="preserve">sub-467</t>
  </si>
  <si>
    <t xml:space="preserve">overall FAIL; PARTIALLY_USABLE: 3/8 recordings usable; bad channels in 8 recording(s) (F1, F2, AF4); alpha blocking OK (median 3.4); notch filter suggested for 4/8 recordings</t>
  </si>
  <si>
    <t xml:space="preserve">F1 x7, Fz x6, AF4 x6, F2 x6, F4 x6, F3 x5, F6 x4, F7 x3, AF7 x3, AF3 x3, AF8 x3, F5 x3, Fp2 x2, FC1 x2, Fp1 x1</t>
  </si>
  <si>
    <t xml:space="preserve">2026-10-21T16:52:16+00:00</t>
  </si>
  <si>
    <t xml:space="preserve">2026-10-21T16:53:50+00:00</t>
  </si>
  <si>
    <t xml:space="preserve">qc_output/sub-467</t>
  </si>
  <si>
    <t xml:space="preserve">sub-468</t>
  </si>
  <si>
    <t xml:space="preserve">overall FAIL; PARTIALLY_USABLE: 3/4 recordings usable; bad channels in 4 recording(s) (F1, Fz, FC2); alpha blocking OK (median 6.9); notch filter suggested for 1/4 recordings</t>
  </si>
  <si>
    <t xml:space="preserve">Fz x2, F1 x2, FC2 x2, FC4 x2, Fp1 x1, Fp2 x1, F3 x1, F4 x1, AF7 x1, AF3 x1, AF4 x1, AF8 x1, F2 x1, F6 x1, F7 x1, FC6 x1</t>
  </si>
  <si>
    <t xml:space="preserve">2026-10-21T16:53:52+00:00</t>
  </si>
  <si>
    <t xml:space="preserve">2026-10-21T16:54:52+00:00</t>
  </si>
  <si>
    <t xml:space="preserve">qc_output/sub-468</t>
  </si>
  <si>
    <t xml:space="preserve">sub-469</t>
  </si>
  <si>
    <t xml:space="preserve">overall FAIL; PARTIALLY_USABLE: 2/4 recordings usable; bad channels in 3 recording(s) (Fz, F2, AF4); alpha blocking OK (median 5.4); notch filter suggested for 4/4 recordings</t>
  </si>
  <si>
    <t xml:space="preserve">Fz x3, F2 x3, Fp1 x2, Fp2 x2, F4 x2, AF7 x2, AF3 x2, AF4 x2, AF8 x2, F1 x2</t>
  </si>
  <si>
    <t xml:space="preserve">2026-10-21T16:54:54+00:00</t>
  </si>
  <si>
    <t xml:space="preserve">2026-10-21T16:55:51+00:00</t>
  </si>
  <si>
    <t xml:space="preserve">qc_output/sub-469</t>
  </si>
  <si>
    <t xml:space="preserve">sub-470</t>
  </si>
  <si>
    <t xml:space="preserve">2026-10-21T16:55:55+00:00</t>
  </si>
  <si>
    <t xml:space="preserve">qc_output/sub-470</t>
  </si>
  <si>
    <t xml:space="preserve">sub-471</t>
  </si>
  <si>
    <t xml:space="preserve">Rejected: Late triggers (late_ses1=2, late_ses2=n/a)</t>
  </si>
  <si>
    <t xml:space="preserve">Late triggers (late_ses1=2, late_ses2=n/a)</t>
  </si>
  <si>
    <t xml:space="preserve">2026-10-21T16:55:57+00:00</t>
  </si>
  <si>
    <t xml:space="preserve">qc_output/sub-471</t>
  </si>
  <si>
    <t xml:space="preserve">sub-472</t>
  </si>
  <si>
    <t xml:space="preserve">2026-10-21T16:56:00+00:00</t>
  </si>
  <si>
    <t xml:space="preserve">qc_output/sub-472</t>
  </si>
  <si>
    <t xml:space="preserve">sub-473</t>
  </si>
  <si>
    <t xml:space="preserve">2026-10-21T16:56:02+00:00</t>
  </si>
  <si>
    <t xml:space="preserve">qc_output/sub-473</t>
  </si>
  <si>
    <t xml:space="preserve">sub-474</t>
  </si>
  <si>
    <t xml:space="preserve">Rejected: Late triggers (late_ses1=2100, late_ses2=n/a)</t>
  </si>
  <si>
    <t xml:space="preserve">Late triggers (late_ses1=2100, late_ses2=n/a)</t>
  </si>
  <si>
    <t xml:space="preserve">2026-10-21T16:56:04+00:00</t>
  </si>
  <si>
    <t xml:space="preserve">qc_output/sub-474</t>
  </si>
  <si>
    <t xml:space="preserve">sub-475</t>
  </si>
  <si>
    <t xml:space="preserve">overall FAIL; PARTIALLY_USABLE: 6/8 recordings usable; bad channels in 8 recording(s) (FC1, F2, Fz); alpha blocking OK (median 6.7); notch filter suggested for 6/8 recordings</t>
  </si>
  <si>
    <t xml:space="preserve">FC1 x6, Fz x4, F1 x4, F2 x4, FC2 x3, F3 x2, F4 x2, AF3 x2, AF4 x2, F8 x2, FC3 x2, Fp2 x1</t>
  </si>
  <si>
    <t xml:space="preserve">2026-10-21T16:56:06+00:00</t>
  </si>
  <si>
    <t xml:space="preserve">2026-10-21T16:57:48+00:00</t>
  </si>
  <si>
    <t xml:space="preserve">qc_output/sub-475</t>
  </si>
  <si>
    <t xml:space="preserve">sub-476</t>
  </si>
  <si>
    <t xml:space="preserve">overall FLAG; USABLE_NEEDS_INTERPOLATION: 8/8 recordings usable; bad channels in 6 recording(s) (FC3, FC1, FC5); alpha blocking OK (median 4.4); notch filter suggested for 7/8 recordings</t>
  </si>
  <si>
    <t xml:space="preserve">FC1 x4, FC3 x4, FC5 x2, Fz x1, Cz x1, F8 x1</t>
  </si>
  <si>
    <t xml:space="preserve">2026-10-21T16:57:51+00:00</t>
  </si>
  <si>
    <t xml:space="preserve">2026-10-21T16:59:36+00:00</t>
  </si>
  <si>
    <t xml:space="preserve">qc_output/sub-476</t>
  </si>
  <si>
    <t xml:space="preserve">sub-477</t>
  </si>
  <si>
    <t xml:space="preserve">2026-10-21T16:59:38+00:00</t>
  </si>
  <si>
    <t xml:space="preserve">qc_output/sub-477</t>
  </si>
  <si>
    <t xml:space="preserve">sub-478</t>
  </si>
  <si>
    <t xml:space="preserve">overall FLAG; USABLE_NEEDS_INTERPOLATION: 8/8 recordings usable; bad channels in 5 recording(s) (Cz, Fp1, F8); alpha blocking OK (median 13.0); notch filter suggested for 8/8 recordings</t>
  </si>
  <si>
    <t xml:space="preserve">Cz x2, F8 x2, Fp1 x2, Fp2 x2, AF7 x1</t>
  </si>
  <si>
    <t xml:space="preserve">2026-10-21T16:59:41+00:00</t>
  </si>
  <si>
    <t xml:space="preserve">2026-10-21T17:01:31+00:00</t>
  </si>
  <si>
    <t xml:space="preserve">qc_output/sub-478</t>
  </si>
  <si>
    <t xml:space="preserve">sub-479</t>
  </si>
  <si>
    <t xml:space="preserve">overall FAIL; PARTIALLY_USABLE: 3/4 recordings usable; bad channels in 3 recording(s) (Fz, FC1, AF3); alpha blocking weak (flag only) (median 1.0); notch filter suggested for 2/4 recordings</t>
  </si>
  <si>
    <t xml:space="preserve">FC1 x2, Fz x2, Fp1 x1, F7 x1, F3 x1, AF7 x1, AF3 x1, AF4 x1, AF8 x1, F5 x1, F1 x1</t>
  </si>
  <si>
    <t xml:space="preserve">2026-10-21T17:01:34+00:00</t>
  </si>
  <si>
    <t xml:space="preserve">2026-10-21T17:02:29+00:00</t>
  </si>
  <si>
    <t xml:space="preserve">qc_output/sub-479</t>
  </si>
  <si>
    <t xml:space="preserve">sub-480</t>
  </si>
  <si>
    <t xml:space="preserve">overall FAIL; PARTIALLY_USABLE: 3/8 recordings usable; bad channels in 8 recording(s) (FC2, F2, Fz); alpha blocking weak (flag only) (median 0.9); notch filter suggested for 6/8 recordings</t>
  </si>
  <si>
    <t xml:space="preserve">FC2 x8, Fz x6, F2 x6, F1 x5, F4 x4, AF7 x4, AF3 x4, F6 x4, FC4 x4, Fp1 x3, Fp2 x3, AF4 x3, AF8 x3, F5 x3, FC1 x3, F3 x2, FC3 x1, F8 x1</t>
  </si>
  <si>
    <t xml:space="preserve">2026-10-21T17:02:33+00:00</t>
  </si>
  <si>
    <t xml:space="preserve">2026-10-21T17:04:09+00:00</t>
  </si>
  <si>
    <t xml:space="preserve">qc_output/sub-480</t>
  </si>
  <si>
    <t xml:space="preserve">sub-481</t>
  </si>
  <si>
    <t xml:space="preserve">2026-10-21T17:04:12+00:00</t>
  </si>
  <si>
    <t xml:space="preserve">qc_output/sub-481</t>
  </si>
  <si>
    <t xml:space="preserve">sub-482</t>
  </si>
  <si>
    <t xml:space="preserve">overall FLAG; USABLE_NEEDS_INTERPOLATION: 4/4 recordings usable; bad channels in 4 recording(s) (Fz, F2, F1); alpha blocking weak (flag only) (median 1.3); notch filter suggested for 2/4 recordings</t>
  </si>
  <si>
    <t xml:space="preserve">Fz x3, F2 x2, F1 x1, FC2 x1</t>
  </si>
  <si>
    <t xml:space="preserve">2026-10-21T17:04:14+00:00</t>
  </si>
  <si>
    <t xml:space="preserve">2026-10-21T17:05:01+00:00</t>
  </si>
  <si>
    <t xml:space="preserve">qc_output/sub-482</t>
  </si>
  <si>
    <t xml:space="preserve">sub-483</t>
  </si>
  <si>
    <t xml:space="preserve">overall FLAG; USABLE_NEEDS_INTERPOLATION: 4/4 recordings usable; bad channels in 4 recording(s) (Fz, P5, F1); alpha blocking OK (median 3.8); notch filter suggested for 3/4 recordings</t>
  </si>
  <si>
    <t xml:space="preserve">Fz x3, P5 x2, F1 x1, F2 x1, F7 x1, F3 x1, F4 x1, F5 x1, F6 x1</t>
  </si>
  <si>
    <t xml:space="preserve">2026-10-21T17:05:04+00:00</t>
  </si>
  <si>
    <t xml:space="preserve">2026-10-21T17:05:55+00:00</t>
  </si>
  <si>
    <t xml:space="preserve">qc_output/sub-483</t>
  </si>
  <si>
    <t xml:space="preserve">sub-484</t>
  </si>
  <si>
    <t xml:space="preserve">Rejected: Late triggers (late_ses1=1867, late_ses2=n/a)</t>
  </si>
  <si>
    <t xml:space="preserve">Late triggers (late_ses1=1867, late_ses2=n/a)</t>
  </si>
  <si>
    <t xml:space="preserve">2026-10-21T17:05:57+00:00</t>
  </si>
  <si>
    <t xml:space="preserve">qc_output/sub-484</t>
  </si>
  <si>
    <t xml:space="preserve">sub-485</t>
  </si>
  <si>
    <t xml:space="preserve">overall FAIL; PARTIALLY_USABLE: 6/8 recordings usable; bad channels in 6 recording(s) (AF7, F2, Fz); alpha blocking OK (median 5.2); notch filter suggested for 4/8 recordings</t>
  </si>
  <si>
    <t xml:space="preserve">AF7 x6, Fz x3, F5 x3, F2 x3, F7 x2, F4 x2, FC1 x2, Fp2 x2, F3 x2, AF3 x2, AF4 x2, F1 x2, FC3 x1, AF8 x1</t>
  </si>
  <si>
    <t xml:space="preserve">2026-10-21T17:05:59+00:00</t>
  </si>
  <si>
    <t xml:space="preserve">2026-10-21T17:07:33+00:00</t>
  </si>
  <si>
    <t xml:space="preserve">qc_output/sub-485</t>
  </si>
  <si>
    <t xml:space="preserve">sub-486</t>
  </si>
  <si>
    <t xml:space="preserve">Rejected: Age above 60 (69); Late triggers (late_ses1=1, late_ses2=n/a)</t>
  </si>
  <si>
    <t xml:space="preserve">Age above 60 (69); Late triggers (late_ses1=1, late_ses2=n/a)</t>
  </si>
  <si>
    <t xml:space="preserve">2026-10-21T17:07:35+00:00</t>
  </si>
  <si>
    <t xml:space="preserve">qc_output/sub-486</t>
  </si>
  <si>
    <t xml:space="preserve">sub-487</t>
  </si>
  <si>
    <t xml:space="preserve">overall FAIL; PARTIALLY_USABLE: 7/8 recordings usable; bad channels in 8 recording(s) (F2, Fz, F1); alpha blocking OK (median 2.1); notch filter suggested for 4/8 recordings</t>
  </si>
  <si>
    <t xml:space="preserve">Fz x6, F2 x6, F1 x4, FC2 x3, FC1 x2, Fp1 x1, Fp2 x1, F4 x1, AF3 x1, AF4 x1, F7 x1, F8 x1, F6 x1</t>
  </si>
  <si>
    <t xml:space="preserve">2026-10-21T17:07:38+00:00</t>
  </si>
  <si>
    <t xml:space="preserve">2026-10-21T17:09:08+00:00</t>
  </si>
  <si>
    <t xml:space="preserve">qc_output/sub-487</t>
  </si>
  <si>
    <t xml:space="preserve">sub-488</t>
  </si>
  <si>
    <t xml:space="preserve">overall FAIL; PARTIALLY_USABLE: 3/4 recordings usable; bad channels in 4 recording(s) (F2, Fz, F1); alpha blocking OK (median 1.9)</t>
  </si>
  <si>
    <t xml:space="preserve">Fz x3, F2 x3, F1 x2, F3 x1, F4 x1, AF7 x1, AF3 x1, AF8 x1, F6 x1</t>
  </si>
  <si>
    <t xml:space="preserve">2026-10-21T17:09:11+00:00</t>
  </si>
  <si>
    <t xml:space="preserve">2026-10-21T17:10:02+00:00</t>
  </si>
  <si>
    <t xml:space="preserve">qc_output/sub-488</t>
  </si>
  <si>
    <t xml:space="preserve">sub-489</t>
  </si>
  <si>
    <t xml:space="preserve">overall FAIL; PARTIALLY_USABLE: 6/8 recordings usable; bad channels in 6 recording(s) (FC1, F7, F8); alpha blocking OK (median 5.0); notch filter suggested for 7/8 recordings</t>
  </si>
  <si>
    <t xml:space="preserve">F7 x3, FC1 x3, Fz x2, F3 x2, F4 x2, F5 x2, F1 x2, F2 x2, F6 x2, F8 x2, FC6 x2, FC3 x2, FT9 x2, FT7 x2, AF4 x1, Fp1 x1, FC2 x1, AF7 x1</t>
  </si>
  <si>
    <t xml:space="preserve">2026-10-21T17:10:04+00:00</t>
  </si>
  <si>
    <t xml:space="preserve">2026-10-21T17:11:42+00:00</t>
  </si>
  <si>
    <t xml:space="preserve">qc_output/sub-489</t>
  </si>
  <si>
    <t xml:space="preserve">sub-490</t>
  </si>
  <si>
    <t xml:space="preserve">Rejected: Late triggers (late_ses1=13, late_ses2=0)</t>
  </si>
  <si>
    <t xml:space="preserve">Late triggers (late_ses1=13, late_ses2=0)</t>
  </si>
  <si>
    <t xml:space="preserve">2026-10-21T17:11:44+00:00</t>
  </si>
  <si>
    <t xml:space="preserve">qc_output/sub-490</t>
  </si>
  <si>
    <t xml:space="preserve">sub-491</t>
  </si>
  <si>
    <t xml:space="preserve">2026-10-21T17:11:47+00:00</t>
  </si>
  <si>
    <t xml:space="preserve">qc_output/sub-491</t>
  </si>
  <si>
    <t xml:space="preserve">sub-492</t>
  </si>
  <si>
    <t xml:space="preserve">overall FAIL; PARTIALLY_USABLE: 3/4 recordings usable; bad channels in 2 recording(s) (Fz, F2, AF3); alpha blocking OK (median 1.8); notch filter suggested for 2/4 recordings</t>
  </si>
  <si>
    <t xml:space="preserve">Fz x2, F2 x2, Fp1 x1, Fp2 x1, AF7 x1, AF3 x1, AF4 x1, F1 x1</t>
  </si>
  <si>
    <t xml:space="preserve">2026-10-21T17:11:51+00:00</t>
  </si>
  <si>
    <t xml:space="preserve">2026-10-21T17:12:43+00:00</t>
  </si>
  <si>
    <t xml:space="preserve">qc_output/sub-492</t>
  </si>
  <si>
    <t xml:space="preserve">sub-493</t>
  </si>
  <si>
    <t xml:space="preserve">2026-10-21T17:12:46+00:00</t>
  </si>
  <si>
    <t xml:space="preserve">qc_output/sub-493</t>
  </si>
  <si>
    <t xml:space="preserve">sub-494</t>
  </si>
  <si>
    <t xml:space="preserve">2026-10-21T17:12:49+00:00</t>
  </si>
  <si>
    <t xml:space="preserve">qc_output/sub-494</t>
  </si>
  <si>
    <t xml:space="preserve">sub-495</t>
  </si>
  <si>
    <t xml:space="preserve">overall FAIL; PARTIALLY_USABLE: 3/4 recordings usable; bad channels in 4 recording(s) (F1, F3, FC2); alpha blocking OK (median 6.5); notch filter suggested for 3/4 recordings</t>
  </si>
  <si>
    <t xml:space="preserve">Fz x2, F1 x2, F3 x2, FC2 x2, FC6 x2, FC4 x2, AF4 x1, AF3 x1, F4 x1, F5 x1, F2 x1, F6 x1, FC5 x1, FC1 x1, FC3 x1</t>
  </si>
  <si>
    <t xml:space="preserve">2026-10-21T17:12:53+00:00</t>
  </si>
  <si>
    <t xml:space="preserve">2026-10-21T17:13:46+00:00</t>
  </si>
  <si>
    <t xml:space="preserve">qc_output/sub-495</t>
  </si>
  <si>
    <t xml:space="preserve">sub-496</t>
  </si>
  <si>
    <t xml:space="preserve">overall FLAG; USABLE_NEEDS_INTERPOLATION: 8/8 recordings usable; bad channels in 8 recording(s) (FC2, Fz, FC3); alpha blocking OK (median 8.3); notch filter suggested for 5/8 recordings</t>
  </si>
  <si>
    <t xml:space="preserve">Fz x4, FC2 x4, FC3 x2, FC4 x2, F1 x2, FC6 x1, FC5 x1, F2 x1</t>
  </si>
  <si>
    <t xml:space="preserve">2026-10-21T17:13:48+00:00</t>
  </si>
  <si>
    <t xml:space="preserve">2026-10-21T17:15:21+00:00</t>
  </si>
  <si>
    <t xml:space="preserve">qc_output/sub-496</t>
  </si>
  <si>
    <t xml:space="preserve">sub-497</t>
  </si>
  <si>
    <t xml:space="preserve">overall FAIL; PARTIALLY_USABLE: 7/8 recordings usable; bad channels in 8 recording(s) (Fz, AF7, F1); alpha blocking weak (flag only) (median 1.3); notch filter suggested for 6/8 recordings</t>
  </si>
  <si>
    <t xml:space="preserve">Fz x5, AF7 x4, F1 x2, F2 x2, F3 x1, FC1 x1, F5 x1</t>
  </si>
  <si>
    <t xml:space="preserve">2026-10-21T17:15:23+00:00</t>
  </si>
  <si>
    <t xml:space="preserve">2026-10-21T17:16:53+00:00</t>
  </si>
  <si>
    <t xml:space="preserve">qc_output/sub-497</t>
  </si>
  <si>
    <t xml:space="preserve">sub-498</t>
  </si>
  <si>
    <t xml:space="preserve">overall FAIL; PARTIALLY_USABLE: 6/8 recordings usable; bad channels in 5 recording(s) (F2, F3, Fz); alpha blocking OK (median 5.2)</t>
  </si>
  <si>
    <t xml:space="preserve">F3 x3, F2 x3, F7 x2, AF8 x2, F5 x2, F6 x2, Fp2 x2, Fz x2, F1 x2, FC2 x1, Cz x1, F4 x1, F8 x1, FC4 x1, Fp1 x1, AF7 x1, AF3 x1, AF4 x1</t>
  </si>
  <si>
    <t xml:space="preserve">CRITICAL_CHANNEL_BAD; DURATION_S; LOW_ALPHA_PROMINENCE; NO_ALPHA_BLOCKING; TOO_MANY_BAD_CHANNELS; USABLE_NEEDS_INTERPOLATION</t>
  </si>
  <si>
    <t xml:space="preserve">2026-10-21T17:16:56+00:00</t>
  </si>
  <si>
    <t xml:space="preserve">2026-10-21T17:18:33+00:00</t>
  </si>
  <si>
    <t xml:space="preserve">qc_output/sub-498</t>
  </si>
  <si>
    <t xml:space="preserve">sub-499</t>
  </si>
  <si>
    <t xml:space="preserve">overall FAIL; PARTIALLY_USABLE: 3/4 recordings usable; bad channels in 4 recording(s) (Cz, FC1, FC2); alpha blocking OK (median 5.0); notch filter suggested for 1/4 recordings</t>
  </si>
  <si>
    <t xml:space="preserve">FC1 x4, Cz x4, C1 x2, FC2 x2, FC3 x2, F7 x1, FC5 x1, F5 x1</t>
  </si>
  <si>
    <t xml:space="preserve">2026-10-21T17:18:37+00:00</t>
  </si>
  <si>
    <t xml:space="preserve">2026-10-21T17:19:29+00:00</t>
  </si>
  <si>
    <t xml:space="preserve">qc_output/sub-499</t>
  </si>
  <si>
    <t xml:space="preserve">sub-500</t>
  </si>
  <si>
    <t xml:space="preserve">overall FLAG; USABLE_NEEDS_INTERPOLATION: 4/4 recordings usable; bad channels in 4 recording(s) (F2, Fz, F1); alpha blocking OK (median 3.0); notch filter suggested for 4/4 recordings</t>
  </si>
  <si>
    <t xml:space="preserve">F2 x4, Fz x3, F1 x3, F3 x1, AF3 x1, Fp2 x1, AF4 x1</t>
  </si>
  <si>
    <t xml:space="preserve">2026-10-21T17:19:31+00:00</t>
  </si>
  <si>
    <t xml:space="preserve">2026-10-21T17:20:22+00:00</t>
  </si>
  <si>
    <t xml:space="preserve">qc_output/sub-500</t>
  </si>
  <si>
    <t xml:space="preserve">sub-501</t>
  </si>
  <si>
    <t xml:space="preserve">overall FLAG; USABLE_NEEDS_INTERPOLATION: 4/4 recordings usable; bad channels in 4 recording(s) (Fz, F2, F1); alpha blocking OK (median 15.6); notch filter suggested for 4/4 recordings</t>
  </si>
  <si>
    <t xml:space="preserve">Fz x4, F1 x3, F2 x3, FC1 x2, AF8 x2</t>
  </si>
  <si>
    <t xml:space="preserve">2026-10-21T17:20:25+00:00</t>
  </si>
  <si>
    <t xml:space="preserve">2026-10-21T17:21:16+00:00</t>
  </si>
  <si>
    <t xml:space="preserve">qc_output/sub-501</t>
  </si>
  <si>
    <t xml:space="preserve">sub-502</t>
  </si>
  <si>
    <t xml:space="preserve">overall FAIL; PARTIALLY_USABLE: 6/8 recordings usable; bad channels in 7 recording(s) (F1, F2, Fz); alpha blocking OK (median 2.4); notch filter suggested for 8/8 recordings</t>
  </si>
  <si>
    <t xml:space="preserve">Fz x3, F1 x3, F2 x3, Fp1 x2, Fp2 x2, F3 x2, AF7 x2, AF3 x2, AF4 x2, AF8 x2, FC2 x2, F4 x1, F7 x1, F6 x1, FC3 x1</t>
  </si>
  <si>
    <t xml:space="preserve">2026-10-21T17:21:19+00:00</t>
  </si>
  <si>
    <t xml:space="preserve">2026-10-21T17:23:03+00:00</t>
  </si>
  <si>
    <t xml:space="preserve">qc_output/sub-502</t>
  </si>
  <si>
    <t xml:space="preserve">sub-503</t>
  </si>
  <si>
    <t xml:space="preserve">overall FAIL; PARTIALLY_USABLE: 7/8 recordings usable; bad channels in 5 recording(s) (Fz, Fp2, F1); alpha blocking OK (median 3.2); notch filter suggested for 4/8 recordings</t>
  </si>
  <si>
    <t xml:space="preserve">Fz x3, FC1 x2, Fp1 x2, Fp2 x2, F1 x2, FC3 x1, AF3 x1, AF4 x1, F2 x1</t>
  </si>
  <si>
    <t xml:space="preserve">2026-10-21T17:23:07+00:00</t>
  </si>
  <si>
    <t xml:space="preserve">2026-10-21T17:24:40+00:00</t>
  </si>
  <si>
    <t xml:space="preserve">qc_output/sub-503</t>
  </si>
  <si>
    <t xml:space="preserve">sub-504</t>
  </si>
  <si>
    <t xml:space="preserve">overall FAIL; PARTIALLY_USABLE: 2/4 recordings usable; bad channels in 4 recording(s) (FC2, F5, F2); alpha blocking OK (median 2.5); notch filter suggested for 4/4 recordings</t>
  </si>
  <si>
    <t xml:space="preserve">FC2 x4, Fz x2, F2 x2, F7 x2, FC1 x2, F5 x2, F6 x2, FC3 x2, F8 x1, FC5 x1, F4 x1</t>
  </si>
  <si>
    <t xml:space="preserve">2026-10-21T17:24:43+00:00</t>
  </si>
  <si>
    <t xml:space="preserve">2026-10-21T17:25:35+00:00</t>
  </si>
  <si>
    <t xml:space="preserve">qc_output/sub-504</t>
  </si>
  <si>
    <t xml:space="preserve">sub-505</t>
  </si>
  <si>
    <t xml:space="preserve">2026-10-21T17:25:38+00:00</t>
  </si>
  <si>
    <t xml:space="preserve">qc_output/sub-505</t>
  </si>
  <si>
    <t xml:space="preserve">sub-506</t>
  </si>
  <si>
    <t xml:space="preserve">2026-10-21T17:25:40+00:00</t>
  </si>
  <si>
    <t xml:space="preserve">qc_output/sub-506</t>
  </si>
  <si>
    <t xml:space="preserve">sub-507</t>
  </si>
  <si>
    <t xml:space="preserve">overall FLAG; USABLE_NEEDS_INTERPOLATION: 4/4 recordings usable; bad channels in 1 recording(s) (F6, FC1); alpha blocking OK (median 3.3); notch filter suggested for 3/4 recordings</t>
  </si>
  <si>
    <t xml:space="preserve">FC1 x1, F6 x1</t>
  </si>
  <si>
    <t xml:space="preserve">2026-10-21T17:25:44+00:00</t>
  </si>
  <si>
    <t xml:space="preserve">2026-10-21T17:26:36+00:00</t>
  </si>
  <si>
    <t xml:space="preserve">qc_output/sub-507</t>
  </si>
  <si>
    <t xml:space="preserve">sub-508</t>
  </si>
  <si>
    <t xml:space="preserve">overall FLAG; USABLE_NEEDS_INTERPOLATION: 4/4 recordings usable; bad channels in 4 recording(s) (F1, F2, F3); alpha blocking OK (median 7.6); notch filter suggested for 2/4 recordings</t>
  </si>
  <si>
    <t xml:space="preserve">F3 x2, Fz x2, F1 x2, F2 x2, F8 x2, FC3 x2, AF3 x1</t>
  </si>
  <si>
    <t xml:space="preserve">2026-10-21T17:26:39+00:00</t>
  </si>
  <si>
    <t xml:space="preserve">2026-10-21T17:27:30+00:00</t>
  </si>
  <si>
    <t xml:space="preserve">qc_output/sub-508</t>
  </si>
  <si>
    <t xml:space="preserve">sub-509</t>
  </si>
  <si>
    <t xml:space="preserve">Rejected: Age above 60 (69); Late triggers (late_ses1=0, late_ses2=1)</t>
  </si>
  <si>
    <t xml:space="preserve">Age above 60 (69); Late triggers (late_ses1=0, late_ses2=1)</t>
  </si>
  <si>
    <t xml:space="preserve">2026-10-21T17:27:34+00:00</t>
  </si>
  <si>
    <t xml:space="preserve">qc_output/sub-509</t>
  </si>
  <si>
    <t xml:space="preserve">sub-510</t>
  </si>
  <si>
    <t xml:space="preserve">overall FLAG; USABLE_NEEDS_INTERPOLATION: 8/8 recordings usable; bad channels in 4 recording(s) (Cz, PO10); alpha blocking weak (flag only) (median 0.4); notch filter suggested for 6/8 recordings</t>
  </si>
  <si>
    <t xml:space="preserve">Cz x4, PO10 x1</t>
  </si>
  <si>
    <t xml:space="preserve">2026-10-21T17:27:37+00:00</t>
  </si>
  <si>
    <t xml:space="preserve">2026-10-21T17:29:14+00:00</t>
  </si>
  <si>
    <t xml:space="preserve">qc_output/sub-510</t>
  </si>
  <si>
    <t xml:space="preserve">sub-511</t>
  </si>
  <si>
    <t xml:space="preserve">2026-10-21T16:24:08+00:00</t>
  </si>
  <si>
    <t xml:space="preserve">qc_output/sub-511</t>
  </si>
  <si>
    <t xml:space="preserve">sub-512</t>
  </si>
  <si>
    <t xml:space="preserve">overall FLAG; USABLE_NEEDS_INTERPOLATION: 8/8 recordings usable; bad channels in 7 recording(s) (FC4, F8, FC1); alpha blocking OK (median 7.4); notch filter suggested for 6/8 recordings</t>
  </si>
  <si>
    <t xml:space="preserve">FC4 x5, F8 x4, FC1 x4, FC2 x4, F1 x3, F7 x2, Fz x2, F2 x2, F4 x1, AF4 x1, F6 x1, FC3 x1</t>
  </si>
  <si>
    <t xml:space="preserve">2026-10-21T16:24:10+00:00</t>
  </si>
  <si>
    <t xml:space="preserve">2026-10-21T16:26:00+00:00</t>
  </si>
  <si>
    <t xml:space="preserve">qc_output/sub-512</t>
  </si>
  <si>
    <t xml:space="preserve">sub-513</t>
  </si>
  <si>
    <t xml:space="preserve">overall FLAG; USABLE_NEEDS_INTERPOLATION: 4/4 recordings usable; bad channels in 3 recording(s) (F6, FC1, F8); alpha blocking OK (median 3.2); notch filter suggested for 4/4 recordings</t>
  </si>
  <si>
    <t xml:space="preserve">FC1 x2, F8 x2, F6 x2, FC3 x2, Fz x1, FC2 x1, F1 x1, F2 x1, FC5 x1</t>
  </si>
  <si>
    <t xml:space="preserve">2026-10-21T16:26:01+00:00</t>
  </si>
  <si>
    <t xml:space="preserve">2026-10-21T16:27:00+00:00</t>
  </si>
  <si>
    <t xml:space="preserve">qc_output/sub-513</t>
  </si>
  <si>
    <t xml:space="preserve">sub-514</t>
  </si>
  <si>
    <t xml:space="preserve">overall FAIL; PARTIALLY_USABLE: 3/4 recordings usable; bad channels in 3 recording(s) (FC1, FC2, AF3); alpha blocking OK (median 2.1); notch filter suggested for 3/4 recordings</t>
  </si>
  <si>
    <t xml:space="preserve">FC1 x3, FC2 x3, F3 x1, F4 x1, AF3 x1, F1 x1, F6 x1, F8 x1, F5 x1</t>
  </si>
  <si>
    <t xml:space="preserve">2026-10-21T16:27:02+00:00</t>
  </si>
  <si>
    <t xml:space="preserve">2026-10-21T16:28:02+00:00</t>
  </si>
  <si>
    <t xml:space="preserve">qc_output/sub-514</t>
  </si>
  <si>
    <t xml:space="preserve">sub-515</t>
  </si>
  <si>
    <t xml:space="preserve">overall FLAG; USABLE_NEEDS_INTERPOLATION: 4/4 recordings usable; bad channels in 2 recording(s) (F2, F8, Fz); alpha blocking OK (median 5.6); notch filter suggested for 4/4 recordings</t>
  </si>
  <si>
    <t xml:space="preserve">Fz x1, F2 x1, F8 x1</t>
  </si>
  <si>
    <t xml:space="preserve">2026-10-21T16:28:04+00:00</t>
  </si>
  <si>
    <t xml:space="preserve">2026-10-21T16:29:01+00:00</t>
  </si>
  <si>
    <t xml:space="preserve">qc_output/sub-515</t>
  </si>
  <si>
    <t xml:space="preserve">sub-516</t>
  </si>
  <si>
    <t xml:space="preserve">overall FLAG; USABLE_NEEDS_INTERPOLATION: 8/8 recordings usable; bad channels in 6 recording(s) (F1, F5, Fz); alpha blocking OK (median 10.7); notch filter suggested for 8/8 recordings</t>
  </si>
  <si>
    <t xml:space="preserve">F5 x3, F1 x3, F8 x2, FC5 x2, Fz x2, F7 x1, F4 x1, AF8 x1, Fp1 x1</t>
  </si>
  <si>
    <t xml:space="preserve">2026-10-21T16:29:02+00:00</t>
  </si>
  <si>
    <t xml:space="preserve">qc_output/sub-516</t>
  </si>
  <si>
    <t xml:space="preserve">sub-517</t>
  </si>
  <si>
    <t xml:space="preserve">2026-10-21T16:30:55+00:00</t>
  </si>
  <si>
    <t xml:space="preserve">qc_output/sub-517</t>
  </si>
  <si>
    <t xml:space="preserve">sub-518</t>
  </si>
  <si>
    <t xml:space="preserve">overall FLAG; USABLE_NEEDS_INTERPOLATION: 4/4 recordings usable; bad channels in 3 recording(s) (F5, F2, F3); alpha blocking OK (median 2.0); notch filter suggested for 2/4 recordings</t>
  </si>
  <si>
    <t xml:space="preserve">F5 x2, Fz x1, F2 x1, F3 x1, F6 x1</t>
  </si>
  <si>
    <t xml:space="preserve">2026-10-21T16:31:54+00:00</t>
  </si>
  <si>
    <t xml:space="preserve">qc_output/sub-518</t>
  </si>
  <si>
    <t xml:space="preserve">sub-519</t>
  </si>
  <si>
    <t xml:space="preserve">overall FLAG; USABLE_NEEDS_INTERPOLATION: 4/4 recordings usable; bad channels in 2 recording(s) (FC1, C1, Cz); alpha blocking OK (median 12.2); notch filter suggested for 4/4 recordings</t>
  </si>
  <si>
    <t xml:space="preserve">FC1 x2, Cz x1, C1 x1</t>
  </si>
  <si>
    <t xml:space="preserve">2026-10-21T16:31:56+00:00</t>
  </si>
  <si>
    <t xml:space="preserve">2026-10-21T16:32:55+00:00</t>
  </si>
  <si>
    <t xml:space="preserve">qc_output/sub-519</t>
  </si>
  <si>
    <t xml:space="preserve">sub-520</t>
  </si>
  <si>
    <t xml:space="preserve">2026-10-21T16:32:58+00:00</t>
  </si>
  <si>
    <t xml:space="preserve">qc_output/sub-520</t>
  </si>
  <si>
    <t xml:space="preserve">sub-521</t>
  </si>
  <si>
    <t xml:space="preserve">overall FLAG; USABLE_NEEDS_INTERPOLATION: 4/4 recordings usable; bad channels in 4 recording(s) (FC1, F2, F1); alpha blocking OK (median 3.1); notch filter suggested for 2/4 recordings</t>
  </si>
  <si>
    <t xml:space="preserve">FC1 x4, Fz x3, F1 x3, F2 x3, AF3 x1</t>
  </si>
  <si>
    <t xml:space="preserve">2026-10-21T16:33:00+00:00</t>
  </si>
  <si>
    <t xml:space="preserve">2026-10-21T16:34:00+00:00</t>
  </si>
  <si>
    <t xml:space="preserve">qc_output/sub-521</t>
  </si>
  <si>
    <t xml:space="preserve">sub-522</t>
  </si>
  <si>
    <t xml:space="preserve">overall FAIL; PARTIALLY_USABLE: 7/8 recordings usable; bad channels in 4 recording(s) (F5, F3, F1); alpha blocking OK (median 3.4); notch filter suggested for 8/8 recordings</t>
  </si>
  <si>
    <t xml:space="preserve">F3 x3, F5 x3, F1 x2, F4 x2, FC1 x2, Fz x1, AF7 x1, F2 x1, F7 x1, AF8 x1, F6 x1, FC3 x1</t>
  </si>
  <si>
    <t xml:space="preserve">2026-10-21T16:34:01+00:00</t>
  </si>
  <si>
    <t xml:space="preserve">2026-10-21T16:35:52+00:00</t>
  </si>
  <si>
    <t xml:space="preserve">qc_output/sub-522</t>
  </si>
  <si>
    <t xml:space="preserve">sub-523</t>
  </si>
  <si>
    <t xml:space="preserve">qc_output/sub-523</t>
  </si>
  <si>
    <t xml:space="preserve">sub-524</t>
  </si>
  <si>
    <t xml:space="preserve">overall FLAG; USABLE_NEEDS_INTERPOLATION: 4/4 recordings usable; bad channels in 2 recording(s) (Fz, F1, F2); alpha blocking OK (median 2.4); notch filter suggested for 2/4 recordings</t>
  </si>
  <si>
    <t xml:space="preserve">Fz x2, F1 x1, F2 x1</t>
  </si>
  <si>
    <t xml:space="preserve">2026-10-21T16:35:55+00:00</t>
  </si>
  <si>
    <t xml:space="preserve">2026-10-21T16:36:55+00:00</t>
  </si>
  <si>
    <t xml:space="preserve">qc_output/sub-524</t>
  </si>
  <si>
    <t xml:space="preserve">sub-525</t>
  </si>
  <si>
    <t xml:space="preserve">overall FLAG; USABLE_NEEDS_INTERPOLATION: 4/4 recordings usable; bad channels in 4 recording(s) (F4, F3, FC6); alpha blocking OK (median 8.2); notch filter suggested for 1/4 recordings</t>
  </si>
  <si>
    <t xml:space="preserve">F3 x2, F7 x2, F4 x2, FC6 x2, F6 x2, FC4 x2, F5 x1, Fz x1, F1 x1, F2 x1</t>
  </si>
  <si>
    <t xml:space="preserve">2026-10-21T16:36:56+00:00</t>
  </si>
  <si>
    <t xml:space="preserve">2026-10-21T16:37:53+00:00</t>
  </si>
  <si>
    <t xml:space="preserve">qc_output/sub-525</t>
  </si>
  <si>
    <t xml:space="preserve">sub-526</t>
  </si>
  <si>
    <t xml:space="preserve">2026-10-21T16:37:55+00:00</t>
  </si>
  <si>
    <t xml:space="preserve">qc_output/sub-526</t>
  </si>
  <si>
    <t xml:space="preserve">sub-527</t>
  </si>
  <si>
    <t xml:space="preserve">overall FAIL; PARTIALLY_USABLE: 3/4 recordings usable; bad channels in 3 recording(s) (FC1, F1, Fz); alpha blocking OK (median 5.6)</t>
  </si>
  <si>
    <t xml:space="preserve">Fz x2, FC1 x2, F1 x2, Fp1 x1, Fp2 x1, AF7 x1, AF3 x1, AF4 x1, F2 x1, FC2 x1</t>
  </si>
  <si>
    <t xml:space="preserve">2026-10-21T16:37:56+00:00</t>
  </si>
  <si>
    <t xml:space="preserve">2026-10-21T16:38:54+00:00</t>
  </si>
  <si>
    <t xml:space="preserve">qc_output/sub-527</t>
  </si>
  <si>
    <t xml:space="preserve">sub-528</t>
  </si>
  <si>
    <t xml:space="preserve">overall FAIL; PARTIALLY_USABLE: 3/4 recordings usable; bad channels in 2 recording(s) (F4, FC1, FC2); alpha blocking OK (median 22.7); notch filter suggested for 3/4 recordings</t>
  </si>
  <si>
    <t xml:space="preserve">F4 x2, FC1 x2, FC2 x2, F7 x1, F3 x1, F5 x1, F6 x1</t>
  </si>
  <si>
    <t xml:space="preserve">LINE_NOISE; LOW_ALPHA_PROMINENCE; TOO_MANY_BAD_CHANNELS; USABLE_NEEDS_INTERPOLATION</t>
  </si>
  <si>
    <t xml:space="preserve">2026-10-21T16:38:56+00:00</t>
  </si>
  <si>
    <t xml:space="preserve">2026-10-21T16:39:56+00:00</t>
  </si>
  <si>
    <t xml:space="preserve">qc_output/sub-528</t>
  </si>
  <si>
    <t xml:space="preserve">sub-529</t>
  </si>
  <si>
    <t xml:space="preserve">overall FLAG; USABLE_NEEDS_INTERPOLATION: 4/4 recordings usable; bad channels in 1 recording(s) (F2, Fz); alpha blocking OK (median 2.7); notch filter suggested for 4/4 recordings</t>
  </si>
  <si>
    <t xml:space="preserve">2026-10-21T16:39:57+00:00</t>
  </si>
  <si>
    <t xml:space="preserve">2026-10-21T16:40:54+00:00</t>
  </si>
  <si>
    <t xml:space="preserve">qc_output/sub-529</t>
  </si>
  <si>
    <t xml:space="preserve">sub-530</t>
  </si>
  <si>
    <t xml:space="preserve">overall FAIL; PARTIALLY_USABLE: 5/8 recordings usable; bad channels in 7 recording(s) (Fz, Fp1, Fp2); alpha blocking OK (median 3.0); notch filter suggested for 7/8 recordings</t>
  </si>
  <si>
    <t xml:space="preserve">Fz x7, Fp1 x4, Fp2 x4, AF3 x4, F3 x3, AF7 x3, AF4 x3, F1 x3, F2 x3, AF8 x2, F5 x2, F4 x1, F6 x1</t>
  </si>
  <si>
    <t xml:space="preserve">CRITICAL_CHANNEL_BAD; DURATION_S; TOO_MANY_BAD_CHANNELS; USABLE_NEEDS_INTERPOLATION</t>
  </si>
  <si>
    <t xml:space="preserve">2026-10-21T16:40:56+00:00</t>
  </si>
  <si>
    <t xml:space="preserve">qc_output/sub-530</t>
  </si>
  <si>
    <t xml:space="preserve">sub-531</t>
  </si>
  <si>
    <t xml:space="preserve">overall FLAG; USABLE_NEEDS_INTERPOLATION: 4/4 recordings usable; bad channels in 3 recording(s) (FC1, F3, FC3); alpha blocking OK (median 1.9); notch filter suggested for 4/4 recordings</t>
  </si>
  <si>
    <t xml:space="preserve">FC1 x2, Fz x1, F3 x1, FC3 x1</t>
  </si>
  <si>
    <t xml:space="preserve">2026-10-21T16:43:50+00:00</t>
  </si>
  <si>
    <t xml:space="preserve">qc_output/sub-531</t>
  </si>
  <si>
    <t xml:space="preserve">sub-532</t>
  </si>
  <si>
    <t xml:space="preserve">overall FAIL; PARTIALLY_USABLE: 3/4 recordings usable; bad channels in 3 recording(s) (AF4, F1, Fz); alpha blocking weak (flag only) (median 0.6); notch filter suggested for 3/4 recordings</t>
  </si>
  <si>
    <t xml:space="preserve">Fz x2, AF4 x2, F1 x2, FC3 x2, Fp1 x1, AF3 x1, F4 x1, FC1 x1, F5 x1, F2 x1, F6 x1</t>
  </si>
  <si>
    <t xml:space="preserve">2026-10-21T16:43:52+00:00</t>
  </si>
  <si>
    <t xml:space="preserve">2026-10-21T16:44:53+00:00</t>
  </si>
  <si>
    <t xml:space="preserve">qc_output/sub-532</t>
  </si>
  <si>
    <t xml:space="preserve">sub-533</t>
  </si>
  <si>
    <t xml:space="preserve">overall FAIL; PARTIALLY_USABLE: 7/8 recordings usable; bad channels in 8 recording(s) (F2, Fz, F1); alpha blocking weak (flag only) (median 1.0); notch filter suggested for 8/8 recordings</t>
  </si>
  <si>
    <t xml:space="preserve">Fz x4, F1 x4, F2 x4, FC2 x4, FC4 x3, AF4 x2, F7 x2, F8 x2, Fp2 x1, Fp1 x1, F4 x1, AF3 x1, AF8 x1, FC3 x1, F3 x1, F5 x1, F6 x1</t>
  </si>
  <si>
    <t xml:space="preserve">2026-10-21T16:44:54+00:00</t>
  </si>
  <si>
    <t xml:space="preserve">2026-10-21T16:46:44+00:00</t>
  </si>
  <si>
    <t xml:space="preserve">qc_output/sub-533</t>
  </si>
  <si>
    <t xml:space="preserve">sub-534</t>
  </si>
  <si>
    <t xml:space="preserve">overall FAIL; PARTIALLY_USABLE: 7/8 recordings usable; bad channels in 4 recording(s) (F4, Fz, AF4); alpha blocking weak (flag only) (median 1.3); notch filter suggested for 8/8 recordings</t>
  </si>
  <si>
    <t xml:space="preserve">Fz x2, F4 x2, F5 x1, F3 x1, AF7 x1, AF3 x1, AF4 x1, AF8 x1, F1 x1, F2 x1</t>
  </si>
  <si>
    <t xml:space="preserve">2026-10-21T16:46:45+00:00</t>
  </si>
  <si>
    <t xml:space="preserve">2026-10-21T16:48:35+00:00</t>
  </si>
  <si>
    <t xml:space="preserve">qc_output/sub-534</t>
  </si>
  <si>
    <t xml:space="preserve">sub-535</t>
  </si>
  <si>
    <t xml:space="preserve">Rejected: Late triggers (late_ses1=20, late_ses2=0)</t>
  </si>
  <si>
    <t xml:space="preserve">Late triggers (late_ses1=20, late_ses2=0)</t>
  </si>
  <si>
    <t xml:space="preserve">2026-10-21T16:48:36+00:00</t>
  </si>
  <si>
    <t xml:space="preserve">qc_output/sub-535</t>
  </si>
  <si>
    <t xml:space="preserve">sub-536</t>
  </si>
  <si>
    <t xml:space="preserve">overall FLAG; USABLE_NEEDS_INTERPOLATION: 8/8 recordings usable; bad channels in 5 recording(s) (Fz, AF7, F1); alpha blocking OK (median 5.4); notch filter suggested for 6/8 recordings</t>
  </si>
  <si>
    <t xml:space="preserve">Fz x3, F3 x2, F4 x2, AF7 x2, F1 x2, F6 x2</t>
  </si>
  <si>
    <t xml:space="preserve">2026-10-21T16:48:38+00:00</t>
  </si>
  <si>
    <t xml:space="preserve">qc_output/sub-536</t>
  </si>
  <si>
    <t xml:space="preserve">sub-537</t>
  </si>
  <si>
    <t xml:space="preserve">qc_output/sub-537</t>
  </si>
  <si>
    <t xml:space="preserve">sub-538</t>
  </si>
  <si>
    <t xml:space="preserve">overall FAIL; PARTIALLY_USABLE: 3/4 recordings usable; bad channels in 2 recording(s) (AF7, AF3, AF4); alpha blocking OK (median 2.2); notch filter suggested for 2/4 recordings</t>
  </si>
  <si>
    <t xml:space="preserve">AF7 x2, Fp1 x1, Fp2 x1, Fz x1, AF3 x1, AF4 x1, F1 x1, F2 x1, F3 x1, F4 x1, FC2 x1, F5 x1, F6 x1</t>
  </si>
  <si>
    <t xml:space="preserve">2026-10-21T16:50:30+00:00</t>
  </si>
  <si>
    <t xml:space="preserve">2026-10-21T16:51:28+00:00</t>
  </si>
  <si>
    <t xml:space="preserve">qc_output/sub-538</t>
  </si>
  <si>
    <t xml:space="preserve">sub-539</t>
  </si>
  <si>
    <t xml:space="preserve">overall FAIL; PARTIALLY_USABLE: 3/4 recordings usable; bad channels in 4 recording(s) (Fz, AF8, AF4); alpha blocking OK (median 1.5); notch filter suggested for 4/4 recordings</t>
  </si>
  <si>
    <t xml:space="preserve">Fz x3, Fp1 x1, F3 x1, F4 x1, AF4 x1, AF8 x1, F5 x1, F1 x1, F2 x1, F7 x1, F6 x1</t>
  </si>
  <si>
    <t xml:space="preserve">2026-10-21T16:51:30+00:00</t>
  </si>
  <si>
    <t xml:space="preserve">2026-10-21T16:52:29+00:00</t>
  </si>
  <si>
    <t xml:space="preserve">qc_output/sub-539</t>
  </si>
  <si>
    <t xml:space="preserve">sub-540</t>
  </si>
  <si>
    <t xml:space="preserve">overall FLAG; USABLE_NEEDS_INTERPOLATION: 4/4 recordings usable; bad channels in 4 recording(s) (Fz, F8, F2); alpha blocking OK (median 3.6); notch filter suggested for 4/4 recordings</t>
  </si>
  <si>
    <t xml:space="preserve">Fz x2, F8 x2, F2 x1, F7 x1, F3 x1, F5 x1, F6 x1</t>
  </si>
  <si>
    <t xml:space="preserve">2026-10-21T16:52:31+00:00</t>
  </si>
  <si>
    <t xml:space="preserve">2026-10-21T16:53:33+00:00</t>
  </si>
  <si>
    <t xml:space="preserve">qc_output/sub-540</t>
  </si>
  <si>
    <t xml:space="preserve">sub-541</t>
  </si>
  <si>
    <t xml:space="preserve">2026-10-21T16:53:36+00:00</t>
  </si>
  <si>
    <t xml:space="preserve">qc_output/sub-541</t>
  </si>
  <si>
    <t xml:space="preserve">sub-542</t>
  </si>
  <si>
    <t xml:space="preserve">Rejected: Late triggers (late_ses1=376, late_ses2=n/a)</t>
  </si>
  <si>
    <t xml:space="preserve">Late triggers (late_ses1=376, late_ses2=n/a)</t>
  </si>
  <si>
    <t xml:space="preserve">qc_output/sub-542</t>
  </si>
  <si>
    <t xml:space="preserve">sub-543</t>
  </si>
  <si>
    <t xml:space="preserve">overall FAIL; PARTIALLY_USABLE: 5/8 recordings usable; bad channels in 6 recording(s) (F2, F1, Fz); alpha blocking OK (median 2.4); notch filter suggested for 6/8 recordings</t>
  </si>
  <si>
    <t xml:space="preserve">Fz x5, F1 x5, F2 x5, Fp2 x4, AF4 x4, Fp1 x3, AF7 x3, AF3 x3, F3 x2, F4 x2, AF8 x2, F6 x2, FC1 x1, F5 x1, F8 x1, FC2 x1</t>
  </si>
  <si>
    <t xml:space="preserve">2026-10-21T16:55:29+00:00</t>
  </si>
  <si>
    <t xml:space="preserve">qc_output/sub-543</t>
  </si>
  <si>
    <t xml:space="preserve">sub-544</t>
  </si>
  <si>
    <t xml:space="preserve">overall FAIL; PARTIALLY_USABLE: 3/4 recordings usable; bad channels in 4 recording(s) (F2, Fz, F1); alpha blocking OK (median 2.7); notch filter suggested for 4/4 recordings</t>
  </si>
  <si>
    <t xml:space="preserve">F2 x3, Fz x2, F1 x2, Fp1 x1, Fp2 x1, AF7 x1, AF3 x1, AF4 x1, FC1 x1</t>
  </si>
  <si>
    <t xml:space="preserve">2026-10-21T16:55:30+00:00</t>
  </si>
  <si>
    <t xml:space="preserve">2026-10-21T16:56:29+00:00</t>
  </si>
  <si>
    <t xml:space="preserve">qc_output/sub-544</t>
  </si>
  <si>
    <t xml:space="preserve">sub-545</t>
  </si>
  <si>
    <t xml:space="preserve">overall FLAG; USABLE_WITH_FLAGS: 8/8 recordings usable; no bad channels; alpha blocking OK (median 2.1); notch filter suggested for 7/8 recordings</t>
  </si>
  <si>
    <t xml:space="preserve">LINE_NOISE; LOW_ALPHA_PROMINENCE</t>
  </si>
  <si>
    <t xml:space="preserve">2026-10-21T16:56:30+00:00</t>
  </si>
  <si>
    <t xml:space="preserve">2026-10-21T16:58:19+00:00</t>
  </si>
  <si>
    <t xml:space="preserve">qc_output/sub-545</t>
  </si>
  <si>
    <t xml:space="preserve">sub-546</t>
  </si>
  <si>
    <t xml:space="preserve">overall FAIL; PARTIALLY_USABLE: 4/8 recordings usable; bad channels in 8 recording(s) (FC1, FC4, FC2); alpha blocking weak (flag only) (median 1.4); notch filter suggested for 4/8 recordings</t>
  </si>
  <si>
    <t xml:space="preserve">FC1 x6, FC2 x5, FC4 x5, Fz x4, F1 x4, F2 x4, F6 x4, FC3 x4, F5 x3, F4 x2, F8 x2, F7 x2, Fp1 x1, Fp2 x1, F3 x1, AF4 x1, FC5 x1</t>
  </si>
  <si>
    <t xml:space="preserve">2026-10-21T16:58:21+00:00</t>
  </si>
  <si>
    <t xml:space="preserve">2026-10-21T17:00:12+00:00</t>
  </si>
  <si>
    <t xml:space="preserve">qc_output/sub-546</t>
  </si>
  <si>
    <t xml:space="preserve">sub-547</t>
  </si>
  <si>
    <t xml:space="preserve">2026-10-21T17:00:14+00:00</t>
  </si>
  <si>
    <t xml:space="preserve">qc_output/sub-547</t>
  </si>
  <si>
    <t xml:space="preserve">sub-548</t>
  </si>
  <si>
    <t xml:space="preserve">overall FLAG; USABLE_NEEDS_INTERPOLATION: 4/4 recordings usable; bad channels in 4 recording(s) (F1, F2, Fz); alpha blocking OK (median 13.1)</t>
  </si>
  <si>
    <t xml:space="preserve">F1 x4, F2 x3, Fz x2, FC1 x2, F4 x1, F3 x1, F5 x1</t>
  </si>
  <si>
    <t xml:space="preserve">2026-10-21T17:00:15+00:00</t>
  </si>
  <si>
    <t xml:space="preserve">2026-10-21T17:01:13+00:00</t>
  </si>
  <si>
    <t xml:space="preserve">qc_output/sub-548</t>
  </si>
  <si>
    <t xml:space="preserve">sub-549</t>
  </si>
  <si>
    <t xml:space="preserve">overall FAIL; PARTIALLY_USABLE: 7/8 recordings usable; bad channels in 5 recording(s) (F1, Fz, FC3); alpha blocking OK (median 1.8); notch filter suggested for 8/8 recordings</t>
  </si>
  <si>
    <t xml:space="preserve">Fz x5, F1 x5, F2 x3, FC3 x3, FC2 x2, F3 x1, FC1 x1, AF4 x1, F6 x1</t>
  </si>
  <si>
    <t xml:space="preserve">2026-10-21T17:01:15+00:00</t>
  </si>
  <si>
    <t xml:space="preserve">2026-10-21T17:03:04+00:00</t>
  </si>
  <si>
    <t xml:space="preserve">qc_output/sub-549</t>
  </si>
  <si>
    <t xml:space="preserve">sub-550</t>
  </si>
  <si>
    <t xml:space="preserve">2026-10-21T17:03:06+00:00</t>
  </si>
  <si>
    <t xml:space="preserve">qc_output/sub-550</t>
  </si>
  <si>
    <t xml:space="preserve">sub-551</t>
  </si>
  <si>
    <t xml:space="preserve">2026-10-21T17:03:08+00:00</t>
  </si>
  <si>
    <t xml:space="preserve">qc_output/sub-551</t>
  </si>
  <si>
    <t xml:space="preserve">sub-552</t>
  </si>
  <si>
    <t xml:space="preserve">overall FAIL; PARTIALLY_USABLE: 5/8 recordings usable; bad channels in 8 recording(s) (F2, F1, Fz); alpha blocking weak (flag only) (median 1.1); notch filter suggested for 7/8 recordings</t>
  </si>
  <si>
    <t xml:space="preserve">F2 x5, Fz x4, F1 x4, FC1 x4, Cz x3, AF3 x3, Fp1 x2, Fp2 x2, AF4 x2, FC5 x2, FC6 x2, FC3 x2, F3 x1, F4 x1, AF8 x1, FC2 x1</t>
  </si>
  <si>
    <t xml:space="preserve">CRITICAL_CHANNELS_BAD; CRITICAL_CHANNEL_BAD; LINE_NOISE; NO_ALPHA_BLOCKING; TOO_MANY_BAD_CHANNELS; USABLE_NEEDS_INTERPOLATION</t>
  </si>
  <si>
    <t xml:space="preserve">2026-10-21T17:03:10+00:00</t>
  </si>
  <si>
    <t xml:space="preserve">2026-10-21T17:05:03+00:00</t>
  </si>
  <si>
    <t xml:space="preserve">qc_output/sub-552</t>
  </si>
  <si>
    <t xml:space="preserve">sub-553</t>
  </si>
  <si>
    <t xml:space="preserve">overall FLAG; USABLE_NEEDS_INTERPOLATION: 4/4 recordings usable; bad channels in 2 recording(s) (F1, Fz, F2); alpha blocking OK (median 2.3); notch filter suggested for 4/4 recordings</t>
  </si>
  <si>
    <t xml:space="preserve">Fz x2, F1 x2, F2 x2, AF3 x1, AF4 x1</t>
  </si>
  <si>
    <t xml:space="preserve">2026-10-21T17:06:04+00:00</t>
  </si>
  <si>
    <t xml:space="preserve">qc_output/sub-553</t>
  </si>
  <si>
    <t xml:space="preserve">sub-554</t>
  </si>
  <si>
    <t xml:space="preserve">2026-10-21T17:06:06+00:00</t>
  </si>
  <si>
    <t xml:space="preserve">qc_output/sub-554</t>
  </si>
  <si>
    <t xml:space="preserve">sub-555</t>
  </si>
  <si>
    <t xml:space="preserve">2026-10-21T17:06:07+00:00</t>
  </si>
  <si>
    <t xml:space="preserve">qc_output/sub-555</t>
  </si>
  <si>
    <t xml:space="preserve">sub-556</t>
  </si>
  <si>
    <t xml:space="preserve">overall FLAG; USABLE_NEEDS_INTERPOLATION: 4/4 recordings usable; bad channels in 4 recording(s) (Fz, F1, F2); alpha blocking OK (median 2.2); notch filter suggested for 4/4 recordings</t>
  </si>
  <si>
    <t xml:space="preserve">Fz x4, F1 x1, F2 x1</t>
  </si>
  <si>
    <t xml:space="preserve">2026-10-21T17:06:09+00:00</t>
  </si>
  <si>
    <t xml:space="preserve">2026-10-21T17:07:13+00:00</t>
  </si>
  <si>
    <t xml:space="preserve">qc_output/sub-556</t>
  </si>
  <si>
    <t xml:space="preserve">sub-557</t>
  </si>
  <si>
    <t xml:space="preserve">2026-10-21T17:07:14+00:00</t>
  </si>
  <si>
    <t xml:space="preserve">qc_output/sub-557</t>
  </si>
  <si>
    <t xml:space="preserve">sub-558</t>
  </si>
  <si>
    <t xml:space="preserve">2026-10-21T17:07:16+00:00</t>
  </si>
  <si>
    <t xml:space="preserve">qc_output/sub-558</t>
  </si>
  <si>
    <t xml:space="preserve">sub-559</t>
  </si>
  <si>
    <t xml:space="preserve">2026-10-21T17:07:17+00:00</t>
  </si>
  <si>
    <t xml:space="preserve">qc_output/sub-559</t>
  </si>
  <si>
    <t xml:space="preserve">sub-560</t>
  </si>
  <si>
    <t xml:space="preserve">overall FLAG; USABLE_NEEDS_INTERPOLATION: 4/4 recordings usable; bad channels in 2 recording(s) (Fz, F1, F2); alpha blocking OK (median 4.8); notch filter suggested for 3/4 recordings</t>
  </si>
  <si>
    <t xml:space="preserve">Fz x2, Fp2 x1, F1 x1, F2 x1</t>
  </si>
  <si>
    <t xml:space="preserve">2026-10-21T17:08:20+00:00</t>
  </si>
  <si>
    <t xml:space="preserve">qc_output/sub-560</t>
  </si>
  <si>
    <t xml:space="preserve">sub-561</t>
  </si>
  <si>
    <t xml:space="preserve">overall FLAG; USABLE_NEEDS_INTERPOLATION: 4/4 recordings usable; bad channels in 4 recording(s) (F1, F2, F4); alpha blocking OK (median 1.8); notch filter suggested for 4/4 recordings</t>
  </si>
  <si>
    <t xml:space="preserve">Fz x2, F4 x2, F1 x2, F2 x2, AF4 x1, F7 x1, F8 x1, FC2 x1, FC6 x1, F6 x1, FC4 x1</t>
  </si>
  <si>
    <t xml:space="preserve">2026-10-21T17:08:22+00:00</t>
  </si>
  <si>
    <t xml:space="preserve">2026-10-21T17:09:20+00:00</t>
  </si>
  <si>
    <t xml:space="preserve">qc_output/sub-561</t>
  </si>
  <si>
    <t xml:space="preserve">sub-562</t>
  </si>
  <si>
    <t xml:space="preserve">overall FLAG; USABLE_NEEDS_INTERPOLATION: 4/4 recordings usable; bad channels in 3 recording(s) (FC1, Fz, F2); alpha blocking weak (flag only) (median 0.9); notch filter suggested for 2/4 recordings</t>
  </si>
  <si>
    <t xml:space="preserve">FC1 x3, Fz x2, F1 x1, F2 x1</t>
  </si>
  <si>
    <t xml:space="preserve">2026-10-21T17:09:22+00:00</t>
  </si>
  <si>
    <t xml:space="preserve">2026-10-21T17:10:22+00:00</t>
  </si>
  <si>
    <t xml:space="preserve">qc_output/sub-562</t>
  </si>
  <si>
    <t xml:space="preserve">sub-563</t>
  </si>
  <si>
    <t xml:space="preserve">2026-10-21T17:10:24+00:00</t>
  </si>
  <si>
    <t xml:space="preserve">qc_output/sub-563</t>
  </si>
  <si>
    <t xml:space="preserve">sub-564</t>
  </si>
  <si>
    <t xml:space="preserve">Rejected: Late triggers (late_ses1=0, late_ses2=1)</t>
  </si>
  <si>
    <t xml:space="preserve">Late triggers (late_ses1=0, late_ses2=1)</t>
  </si>
  <si>
    <t xml:space="preserve">2026-10-21T17:10:25+00:00</t>
  </si>
  <si>
    <t xml:space="preserve">qc_output/sub-564</t>
  </si>
  <si>
    <t xml:space="preserve">sub-565</t>
  </si>
  <si>
    <t xml:space="preserve">overall FAIL; PARTIALLY_USABLE: 7/8 recordings usable; bad channels in 7 recording(s) (F1, F2, F6); alpha blocking OK (median 2.0); notch filter suggested for 7/8 recordings</t>
  </si>
  <si>
    <t xml:space="preserve">F1 x3, F2 x3, F6 x3, AF3 x2, F7 x2, F5 x2, F4 x2, Fz x2, F3 x1, F8 x1, Fp1 x1, Fp2 x1, AF4 x1, AF8 x1, FC1 x1</t>
  </si>
  <si>
    <t xml:space="preserve">2026-10-21T17:10:27+00:00</t>
  </si>
  <si>
    <t xml:space="preserve">2026-10-21T17:12:19+00:00</t>
  </si>
  <si>
    <t xml:space="preserve">qc_output/sub-565</t>
  </si>
  <si>
    <t xml:space="preserve">sub-566</t>
  </si>
  <si>
    <t xml:space="preserve">2026-10-21T17:12:22+00:00</t>
  </si>
  <si>
    <t xml:space="preserve">qc_output/sub-566</t>
  </si>
  <si>
    <t xml:space="preserve">sub-567</t>
  </si>
  <si>
    <t xml:space="preserve">overall FAIL; PARTIALLY_USABLE: 1/4 recordings usable; bad channels in 4 recording(s) (AF4, F1, F4); alpha blocking weak (flag only) (median 1.3); notch filter suggested for 4/4 recordings</t>
  </si>
  <si>
    <t xml:space="preserve">F4 x4, AF4 x4, F1 x4, Fp2 x3, AF3 x3, Fz x2, F2 x2, Fp1 x2, F3 x2, AF7 x2, AF8 x2, F5 x2, F6 x2</t>
  </si>
  <si>
    <t xml:space="preserve">2026-10-21T17:13:24+00:00</t>
  </si>
  <si>
    <t xml:space="preserve">qc_output/sub-567</t>
  </si>
  <si>
    <t xml:space="preserve">sub-568</t>
  </si>
  <si>
    <t xml:space="preserve">overall FLAG; USABLE_NEEDS_INTERPOLATION: 8/8 recordings usable; bad channels in 4 recording(s) (AF7, Fz); alpha blocking OK (median 3.3); notch filter suggested for 8/8 recordings</t>
  </si>
  <si>
    <t xml:space="preserve">Fz x4, AF7 x4</t>
  </si>
  <si>
    <t xml:space="preserve">2026-10-21T17:13:26+00:00</t>
  </si>
  <si>
    <t xml:space="preserve">2026-10-21T17:15:18+00:00</t>
  </si>
  <si>
    <t xml:space="preserve">qc_output/sub-568</t>
  </si>
  <si>
    <t xml:space="preserve">sub-569</t>
  </si>
  <si>
    <t xml:space="preserve">2026-10-21T17:15:20+00:00</t>
  </si>
  <si>
    <t xml:space="preserve">qc_output/sub-569</t>
  </si>
  <si>
    <t xml:space="preserve">sub-570</t>
  </si>
  <si>
    <t xml:space="preserve">overall FAIL; PARTIALLY_USABLE: 7/8 recordings usable; bad channels in 8 recording(s) (F2, Fz, F1); alpha blocking weak (flag only) (median 1.1); notch filter suggested for 3/8 recordings</t>
  </si>
  <si>
    <t xml:space="preserve">Fz x5, F2 x5, F1 x3, F4 x2, FC2 x2, F3 x1, AF7 x1, F5 x1, F6 x1, Cz x1, Fp1 x1, Fp2 x1, AF3 x1, AF4 x1, AF8 x1</t>
  </si>
  <si>
    <t xml:space="preserve">2026-10-21T17:15:22+00:00</t>
  </si>
  <si>
    <t xml:space="preserve">2026-10-21T17:17:17+00:00</t>
  </si>
  <si>
    <t xml:space="preserve">qc_output/sub-570</t>
  </si>
  <si>
    <t xml:space="preserve">sub-571</t>
  </si>
  <si>
    <t xml:space="preserve">Rejected: Age above 60 (61); Late triggers (late_ses1=1, late_ses2=n/a)</t>
  </si>
  <si>
    <t xml:space="preserve">Age above 60 (61); Late triggers (late_ses1=1, late_ses2=n/a)</t>
  </si>
  <si>
    <t xml:space="preserve">2026-10-21T17:17:19+00:00</t>
  </si>
  <si>
    <t xml:space="preserve">qc_output/sub-571</t>
  </si>
  <si>
    <t xml:space="preserve">sub-572</t>
  </si>
  <si>
    <t xml:space="preserve">overall FAIL; PARTIALLY_USABLE: 2/4 recordings usable; bad channels in 4 recording(s) (Fz, F1, AF3); alpha blocking OK (median 2.9); notch filter suggested for 2/4 recordings</t>
  </si>
  <si>
    <t xml:space="preserve">Fz x4, F1 x4, Fp1 x2, Fp2 x2, AF7 x2, AF3 x2, AF4 x2, F2 x2, F3 x1, F4 x1, AF8 x1, F5 x1</t>
  </si>
  <si>
    <t xml:space="preserve">2026-10-21T17:17:21+00:00</t>
  </si>
  <si>
    <t xml:space="preserve">2026-10-21T17:18:22+00:00</t>
  </si>
  <si>
    <t xml:space="preserve">qc_output/sub-572</t>
  </si>
  <si>
    <t xml:space="preserve">sub-573</t>
  </si>
  <si>
    <t xml:space="preserve">overall FAIL; PARTIALLY_USABLE: 3/4 recordings usable; bad channels in 4 recording(s) (F2, F1, F4); alpha blocking OK (median 6.3); notch filter suggested for 4/4 recordings</t>
  </si>
  <si>
    <t xml:space="preserve">Fz x3, F4 x3, F1 x3, F2 x3, AF4 x2, Fp1 x1, Fp2 x1, AF3 x1, AF8 x1, F6 x1</t>
  </si>
  <si>
    <t xml:space="preserve">2026-10-21T17:18:25+00:00</t>
  </si>
  <si>
    <t xml:space="preserve">2026-10-21T17:19:25+00:00</t>
  </si>
  <si>
    <t xml:space="preserve">qc_output/sub-573</t>
  </si>
  <si>
    <t xml:space="preserve">sub-574</t>
  </si>
  <si>
    <t xml:space="preserve">overall FAIL; PARTIALLY_USABLE: 2/4 recordings usable; bad channels in 4 recording(s) (Fz, F2, F1); alpha blocking OK (median 5.0); notch filter suggested for 1/4 recordings</t>
  </si>
  <si>
    <t xml:space="preserve">Fz x4, F1 x4, F2 x4, Fp2 x2, F4 x2, AF4 x2, AF8 x2, F6 x2, Fp1 x1, AF7 x1, AF3 x1</t>
  </si>
  <si>
    <t xml:space="preserve">2026-10-21T17:19:27+00:00</t>
  </si>
  <si>
    <t xml:space="preserve">2026-10-21T17:20:26+00:00</t>
  </si>
  <si>
    <t xml:space="preserve">qc_output/sub-574</t>
  </si>
  <si>
    <t xml:space="preserve">sub-575</t>
  </si>
  <si>
    <t xml:space="preserve">Rejected: Late triggers (late_ses1=1906, late_ses2=0)</t>
  </si>
  <si>
    <t xml:space="preserve">Late triggers (late_ses1=1906, late_ses2=0)</t>
  </si>
  <si>
    <t xml:space="preserve">2026-10-21T17:20:28+00:00</t>
  </si>
  <si>
    <t xml:space="preserve">qc_output/sub-575</t>
  </si>
  <si>
    <t xml:space="preserve">sub-576</t>
  </si>
  <si>
    <t xml:space="preserve">overall FLAG; USABLE_NEEDS_INTERPOLATION: 8/8 recordings usable; bad channels in 4 recording(s) (FC4, FC2, FC6); alpha blocking OK (median 6.8); notch filter suggested for 4/8 recordings</t>
  </si>
  <si>
    <t xml:space="preserve">FC2 x3, FC4 x3, FC6 x2, F4 x1, Fz x1, F2 x1, F7 x1, F8 x1, F5 x1</t>
  </si>
  <si>
    <t xml:space="preserve">2026-10-21T17:20:31+00:00</t>
  </si>
  <si>
    <t xml:space="preserve">2026-10-21T17:22:21+00:00</t>
  </si>
  <si>
    <t xml:space="preserve">qc_output/sub-576</t>
  </si>
  <si>
    <t xml:space="preserve">sub-577</t>
  </si>
  <si>
    <t xml:space="preserve">2026-10-21T17:22:24+00:00</t>
  </si>
  <si>
    <t xml:space="preserve">qc_output/sub-577</t>
  </si>
  <si>
    <t xml:space="preserve">sub-578</t>
  </si>
  <si>
    <t xml:space="preserve">overall FLAG; USABLE_NEEDS_INTERPOLATION: 4/4 recordings usable; bad channels in 4 recording(s) (Fz, F1, AF4); alpha blocking OK (median 16.3); notch filter suggested for 4/4 recordings</t>
  </si>
  <si>
    <t xml:space="preserve">Fz x4, AF4 x3, F1 x3, F2 x3, Fp2 x2, AF3 x1, Fp1 x1</t>
  </si>
  <si>
    <t xml:space="preserve">2026-10-21T17:22:25+00:00</t>
  </si>
  <si>
    <t xml:space="preserve">2026-10-21T17:23:24+00:00</t>
  </si>
  <si>
    <t xml:space="preserve">qc_output/sub-578</t>
  </si>
  <si>
    <t xml:space="preserve">sub-579</t>
  </si>
  <si>
    <t xml:space="preserve">Rejected: Late triggers (late_ses1=111, late_ses2=n/a)</t>
  </si>
  <si>
    <t xml:space="preserve">Late triggers (late_ses1=111, late_ses2=n/a)</t>
  </si>
  <si>
    <t xml:space="preserve">2026-10-21T17:23:26+00:00</t>
  </si>
  <si>
    <t xml:space="preserve">qc_output/sub-579</t>
  </si>
  <si>
    <t xml:space="preserve">sub-580</t>
  </si>
  <si>
    <t xml:space="preserve">overall FAIL; PARTIALLY_USABLE: 3/4 recordings usable; bad channels in 4 recording(s) (Fz, F6, F4); alpha blocking OK (median 3.2); notch filter suggested for 4/4 recordings</t>
  </si>
  <si>
    <t xml:space="preserve">Fz x2, F4 x2, F8 x2, F6 x2, F7 x1, F3 x1, FC1 x1, AF7 x1, AF8 x1, F5 x1, F2 x1</t>
  </si>
  <si>
    <t xml:space="preserve">2026-10-21T17:23:29+00:00</t>
  </si>
  <si>
    <t xml:space="preserve">2026-10-21T17:24:29+00:00</t>
  </si>
  <si>
    <t xml:space="preserve">qc_output/sub-580</t>
  </si>
  <si>
    <t xml:space="preserve">sub-581</t>
  </si>
  <si>
    <t xml:space="preserve">overall FAIL; PARTIALLY_USABLE: 3/4 recordings usable; bad channels in 4 recording(s) (F1, F2, F4); alpha blocking OK (median 2.7)</t>
  </si>
  <si>
    <t xml:space="preserve">F1 x3, Fz x2, F4 x2, FC2 x2, F2 x2, Fp1 x1, Fp2 x1, F3 x1, AF4 x1, AF8 x1, F6 x1, F8 x1, FC1 x1, FC6 x1</t>
  </si>
  <si>
    <t xml:space="preserve">CRITICAL_CHANNEL_BAD; DURATION_S; NO_ALPHA_BLOCKING; TOO_MANY_BAD_CHANNELS; USABLE_NEEDS_INTERPOLATION</t>
  </si>
  <si>
    <t xml:space="preserve">2026-10-21T17:24:31+00:00</t>
  </si>
  <si>
    <t xml:space="preserve">2026-10-21T17:25:33+00:00</t>
  </si>
  <si>
    <t xml:space="preserve">qc_output/sub-581</t>
  </si>
  <si>
    <t xml:space="preserve">sub-582</t>
  </si>
  <si>
    <t xml:space="preserve">Rejected: Late triggers (late_ses1=1870, late_ses2=n/a)</t>
  </si>
  <si>
    <t xml:space="preserve">Late triggers (late_ses1=1870, late_ses2=n/a)</t>
  </si>
  <si>
    <t xml:space="preserve">2026-10-21T17:25:36+00:00</t>
  </si>
  <si>
    <t xml:space="preserve">qc_output/sub-582</t>
  </si>
  <si>
    <t xml:space="preserve">sub-583</t>
  </si>
  <si>
    <t xml:space="preserve">qc_output/sub-583</t>
  </si>
  <si>
    <t xml:space="preserve">sub-584</t>
  </si>
  <si>
    <t xml:space="preserve">overall FLAG; USABLE_NEEDS_INTERPOLATION: 4/4 recordings usable; bad channels in 1 recording(s) (AF7, F1, F3); alpha blocking weak (flag only) (median 1.0); notch filter suggested for 2/4 recordings</t>
  </si>
  <si>
    <t xml:space="preserve">F7 x1, F3 x1, AF7 x1, F5 x1, F1 x1, FC4 x1</t>
  </si>
  <si>
    <t xml:space="preserve">LOW_ALPHA_PROMINENCE; NO_ALPHA_BLOCKING; USABLE_NEEDS_INTERPOLATION; WEAK_ALPHA_BLOCKING</t>
  </si>
  <si>
    <t xml:space="preserve">2026-10-21T17:26:37+00:00</t>
  </si>
  <si>
    <t xml:space="preserve">qc_output/sub-584</t>
  </si>
  <si>
    <t xml:space="preserve">sub-585</t>
  </si>
  <si>
    <t xml:space="preserve">overall FAIL; PARTIALLY_USABLE: 2/4 recordings usable; bad channels in 3 recording(s) (FC4, AF3, AF8); alpha blocking OK (median 4.8); notch filter suggested for 1/4 recordings</t>
  </si>
  <si>
    <t xml:space="preserve">FC4 x3, Fp1 x2, Fp2 x2, F3 x2, F4 x2, AF7 x2, AF3 x2, AF8 x2, F1 x2, FC2 x2, Fz x1, FC1 x1, AF4 x1, F2 x1, FC3 x1, FC6 x1</t>
  </si>
  <si>
    <t xml:space="preserve">2026-10-21T17:26:40+00:00</t>
  </si>
  <si>
    <t xml:space="preserve">2026-10-21T17:27:42+00:00</t>
  </si>
  <si>
    <t xml:space="preserve">qc_output/sub-585</t>
  </si>
  <si>
    <t xml:space="preserve">sub-586</t>
  </si>
  <si>
    <t xml:space="preserve">overall FLAG; USABLE_NEEDS_INTERPOLATION: 4/4 recordings usable; bad channels in 3 recording(s) (F1, F3, F5); alpha blocking OK (median 4.9)</t>
  </si>
  <si>
    <t xml:space="preserve">F1 x2, Fz x1, F3 x1, F5 x1, F7 x1, F8 x1</t>
  </si>
  <si>
    <t xml:space="preserve">2026-10-21T17:27:44+00:00</t>
  </si>
  <si>
    <t xml:space="preserve">2026-10-21T17:28:44+00:00</t>
  </si>
  <si>
    <t xml:space="preserve">qc_output/sub-586</t>
  </si>
  <si>
    <t xml:space="preserve">sub-587</t>
  </si>
  <si>
    <t xml:space="preserve">2026-10-21T17:28:46+00:00</t>
  </si>
  <si>
    <t xml:space="preserve">qc_output/sub-587</t>
  </si>
  <si>
    <t xml:space="preserve">sub-588</t>
  </si>
  <si>
    <t xml:space="preserve">overall FAIL; PARTIALLY_USABLE: 2/4 recordings usable; bad channels in 2 recording(s) (AF3, AF4, AF7); alpha blocking OK (median 5.1); notch filter suggested for 4/4 recordings</t>
  </si>
  <si>
    <t xml:space="preserve">Fp1 x2, Fp2 x2, F3 x2, Fz x2, F4 x2, AF7 x2, AF3 x2, AF4 x2, AF8 x2, F1 x2, F2 x2, F5 x1</t>
  </si>
  <si>
    <t xml:space="preserve">CRITICAL_CHANNEL_BAD; DURATION_S; LINE_NOISE; TOO_MANY_BAD_CHANNELS</t>
  </si>
  <si>
    <t xml:space="preserve">2026-10-21T17:28:48+00:00</t>
  </si>
  <si>
    <t xml:space="preserve">2026-10-21T17:29:50+00:00</t>
  </si>
  <si>
    <t xml:space="preserve">qc_output/sub-588</t>
  </si>
  <si>
    <t xml:space="preserve">sub-589</t>
  </si>
  <si>
    <t xml:space="preserve">overall FLAG; USABLE_NEEDS_INTERPOLATION: 4/4 recordings usable; bad channels in 3 recording(s) (F6, F7, F4); alpha blocking OK (median 8.1); notch filter suggested for 4/4 recordings</t>
  </si>
  <si>
    <t xml:space="preserve">F7 x2, F6 x2, Fz x1, F4 x1</t>
  </si>
  <si>
    <t xml:space="preserve">2026-10-21T17:29:52+00:00</t>
  </si>
  <si>
    <t xml:space="preserve">2026-10-21T17:30:50+00:00</t>
  </si>
  <si>
    <t xml:space="preserve">qc_output/sub-589</t>
  </si>
  <si>
    <t xml:space="preserve">sub-590</t>
  </si>
  <si>
    <t xml:space="preserve">Rejected: Late triggers (late_ses1=1188, late_ses2=n/a)</t>
  </si>
  <si>
    <t xml:space="preserve">Late triggers (late_ses1=1188, late_ses2=n/a)</t>
  </si>
  <si>
    <t xml:space="preserve">2026-10-21T17:30:52+00:00</t>
  </si>
  <si>
    <t xml:space="preserve">qc_output/sub-590</t>
  </si>
  <si>
    <t xml:space="preserve">sub-591</t>
  </si>
  <si>
    <t xml:space="preserve">overall FAIL; PARTIALLY_USABLE: 5/8 recordings usable; bad channels in 8 recording(s) (F4, F3, F5); alpha blocking weak (flag only) (median 0.3); notch filter suggested for 8/8 recordings</t>
  </si>
  <si>
    <t xml:space="preserve">F5 x4, F6 x4, F3 x4, F4 x4, F8 x3, FC1 x3, F1 x3, F2 x3, AF3 x3, AF4 x3, FC3 x3, F7 x2, AF7 x2, AF8 x2, FC5 x2, Fp1 x1, Fp2 x1</t>
  </si>
  <si>
    <t xml:space="preserve">LINE_NOISE; LOW_ALPHA_PROMINENCE; NO_ALPHA_BLOCKING; TOO_MANY_BAD_CHANNELS; USABLE_NEEDS_INTERPOLATION</t>
  </si>
  <si>
    <t xml:space="preserve">2026-10-21T16:21:40+00:00</t>
  </si>
  <si>
    <t xml:space="preserve">2026-10-21T16:22:55+00:00</t>
  </si>
  <si>
    <t xml:space="preserve">qc_output/sub-591</t>
  </si>
  <si>
    <t xml:space="preserve">sub-592</t>
  </si>
  <si>
    <t xml:space="preserve">2026-10-21T16:21:37+00:00</t>
  </si>
  <si>
    <t xml:space="preserve">qc_output/sub-592</t>
  </si>
  <si>
    <t xml:space="preserve">sub-593</t>
  </si>
  <si>
    <t xml:space="preserve">2026-10-21T16:21:35+00:00</t>
  </si>
  <si>
    <t xml:space="preserve">qc_output/sub-593</t>
  </si>
  <si>
    <t xml:space="preserve">sub-594</t>
  </si>
  <si>
    <t xml:space="preserve">overall FAIL; PARTIALLY_USABLE: 2/4 recordings usable; bad channels in 4 recording(s) (AF7, F1, F2); alpha blocking OK (median 2.1); notch filter suggested for 3/4 recordings</t>
  </si>
  <si>
    <t xml:space="preserve">Fz x2, F7 x2, F3 x2, F4 x2, F8 x2, AF7 x2, F5 x2, F1 x2, F2 x2, F6 x2</t>
  </si>
  <si>
    <t xml:space="preserve">2026-10-21T16:20:52+00:00</t>
  </si>
  <si>
    <t xml:space="preserve">2026-10-21T16:21:33+00:00</t>
  </si>
  <si>
    <t xml:space="preserve">qc_output/sub-594</t>
  </si>
  <si>
    <t xml:space="preserve">sub-595</t>
  </si>
  <si>
    <t xml:space="preserve">2026-10-21T16:17:33+00:00</t>
  </si>
  <si>
    <t xml:space="preserve">qc_output/sub-595</t>
  </si>
  <si>
    <t xml:space="preserve">sub-596</t>
  </si>
  <si>
    <t xml:space="preserve">2026-10-21T16:17:36+00:00</t>
  </si>
  <si>
    <t xml:space="preserve">qc_output/sub-596</t>
  </si>
  <si>
    <t xml:space="preserve">sub-597</t>
  </si>
  <si>
    <t xml:space="preserve">overall FAIL; PARTIALLY_USABLE: 2/4 recordings usable; bad channels in 2 recording(s) (AF3, AF4, AF7); alpha blocking OK (median 7.3); notch filter suggested for 2/4 recordings</t>
  </si>
  <si>
    <t xml:space="preserve">Fp1 x2, Fp2 x2, F3 x2, Fz x2, AF7 x2, AF3 x2, AF4 x2, F1 x2, F2 x2, F4 x1, AF8 x1, F5 x1</t>
  </si>
  <si>
    <t xml:space="preserve">2026-10-21T16:17:39+00:00</t>
  </si>
  <si>
    <t xml:space="preserve">2026-10-21T16:18:24+00:00</t>
  </si>
  <si>
    <t xml:space="preserve">qc_output/sub-597</t>
  </si>
  <si>
    <t xml:space="preserve">sub-598</t>
  </si>
  <si>
    <t xml:space="preserve">overall FAIL; PARTIALLY_USABLE: 2/4 recordings usable; bad channels in 4 recording(s) (F2, AF7, AF3); alpha blocking OK (median 1.5); notch filter suggested for 4/4 recordings</t>
  </si>
  <si>
    <t xml:space="preserve">F2 x3, Fz x2, F7 x2, F3 x2, F4 x2, FC1 x2, AF7 x2, AF3 x2, AF8 x2, F5 x2, Fp2 x1, AF4 x1, F1 x1, F8 x1, F6 x1</t>
  </si>
  <si>
    <t xml:space="preserve">2026-10-21T16:18:27+00:00</t>
  </si>
  <si>
    <t xml:space="preserve">2026-10-21T16:19:09+00:00</t>
  </si>
  <si>
    <t xml:space="preserve">qc_output/sub-598</t>
  </si>
  <si>
    <t xml:space="preserve">sub-599</t>
  </si>
  <si>
    <t xml:space="preserve">2026-10-21T16:19:11+00:00</t>
  </si>
  <si>
    <t xml:space="preserve">qc_output/sub-599</t>
  </si>
  <si>
    <t xml:space="preserve">sub-600</t>
  </si>
  <si>
    <t xml:space="preserve">overall FAIL; PARTIALLY_USABLE: 2/4 recordings usable; bad channels in 4 recording(s) (F1, AF3, AF4); alpha blocking OK (median 8.3); notch filter suggested for 4/4 recordings</t>
  </si>
  <si>
    <t xml:space="preserve">F1 x4, F3 x2, Fz x2, F4 x2, AF3 x2, AF4 x2, AF8 x2, F5 x2, F2 x2, F7 x1, Fp1 x1, Fp2 x1, AF7 x1</t>
  </si>
  <si>
    <t xml:space="preserve">2026-10-21T16:19:13+00:00</t>
  </si>
  <si>
    <t xml:space="preserve">qc_output/sub-600</t>
  </si>
  <si>
    <t xml:space="preserve">sub-601</t>
  </si>
  <si>
    <t xml:space="preserve">overall FAIL; PARTIALLY_USABLE: 2/4 recordings usable; bad channels in 4 recording(s) (Fz, AF3, AF4); alpha blocking OK (median 2.0); notch filter suggested for 4/4 recordings</t>
  </si>
  <si>
    <t xml:space="preserve">Fz x4, Fp1 x2, AF7 x2, AF3 x2, AF4 x2, F1 x2, AF8 x1, F2 x1, Fp2 x1</t>
  </si>
  <si>
    <t xml:space="preserve">2026-10-21T15:32:06+00:00</t>
  </si>
  <si>
    <t xml:space="preserve">2026-10-21T15:32:54+00:00</t>
  </si>
  <si>
    <t xml:space="preserve">qc_output/sub-601</t>
  </si>
  <si>
    <t xml:space="preserve">sub-602</t>
  </si>
  <si>
    <t xml:space="preserve">Rejected: Age above 60 (63); Late triggers (late_ses1=34, late_ses2=0)</t>
  </si>
  <si>
    <t xml:space="preserve">Age above 60 (63); Late triggers (late_ses1=34, late_ses2=0)</t>
  </si>
  <si>
    <t xml:space="preserve">2026-10-21T15:32:55+00:00</t>
  </si>
  <si>
    <t xml:space="preserve">qc_output/sub-602</t>
  </si>
  <si>
    <t xml:space="preserve">sub-603</t>
  </si>
  <si>
    <t xml:space="preserve">overall FLAG; USABLE_NEEDS_INTERPOLATION: 4/4 recordings usable; bad channels in 4 recording(s) (F1, Fz, FC1); alpha blocking OK (median 8.3); notch filter suggested for 3/4 recordings</t>
  </si>
  <si>
    <t xml:space="preserve">Fz x4, FC1 x4, F1 x4, F2 x3, F4 x1</t>
  </si>
  <si>
    <t xml:space="preserve">2026-10-21T15:32:56+00:00</t>
  </si>
  <si>
    <t xml:space="preserve">2026-10-21T15:33:45+00:00</t>
  </si>
  <si>
    <t xml:space="preserve">qc_output/sub-603</t>
  </si>
  <si>
    <t xml:space="preserve">sub-604</t>
  </si>
  <si>
    <t xml:space="preserve">overall FLAG; USABLE_NEEDS_INTERPOLATION: 4/4 recordings usable; bad channels in 4 recording(s) (F1, F2, FC3); alpha blocking OK (median 13.3); notch filter suggested for 4/4 recordings</t>
  </si>
  <si>
    <t xml:space="preserve">Fz x2, F1 x2, F2 x2, FC3 x2, F3 x1, AF3 x1, F8 x1, FC1 x1</t>
  </si>
  <si>
    <t xml:space="preserve">2026-10-21T18:12:32+00:00</t>
  </si>
  <si>
    <t xml:space="preserve">2026-10-21T18:13:38+00:00</t>
  </si>
  <si>
    <t xml:space="preserve">qc_output/sub-604</t>
  </si>
  <si>
    <t xml:space="preserve">sub-605</t>
  </si>
  <si>
    <t xml:space="preserve">overall FAIL; PARTIALLY_USABLE: 2/4 recordings usable; bad channels in 3 recording(s) (AF3, AF4, AF7); alpha blocking OK (median 3.4)</t>
  </si>
  <si>
    <t xml:space="preserve">Fz x2, F7 x2, F3 x2, F4 x2, AF7 x2, AF3 x2, AF4 x2, AF8 x2, F5 x2, F1 x2, F2 x2, F6 x2</t>
  </si>
  <si>
    <t xml:space="preserve">2026-10-21T15:42:33+00:00</t>
  </si>
  <si>
    <t xml:space="preserve">2026-10-21T15:43:13+00:00</t>
  </si>
  <si>
    <t xml:space="preserve">qc_output/sub-605</t>
  </si>
  <si>
    <t xml:space="preserve">sub-606</t>
  </si>
  <si>
    <t xml:space="preserve">2026-10-21T15:43:15+00:00</t>
  </si>
  <si>
    <t xml:space="preserve">qc_output/sub-606</t>
  </si>
  <si>
    <t xml:space="preserve">sub-607</t>
  </si>
  <si>
    <t xml:space="preserve">2026-10-21T15:43:16+00:00</t>
  </si>
  <si>
    <t xml:space="preserve">qc_output/sub-607</t>
  </si>
  <si>
    <t xml:space="preserve">sub-608</t>
  </si>
  <si>
    <t xml:space="preserve">overall FLAG; USABLE_NEEDS_INTERPOLATION: 8/8 recordings usable; bad channels in 7 recording(s) (F8, Fz, F7); alpha blocking OK (median 3.1); notch filter suggested for 8/8 recordings</t>
  </si>
  <si>
    <t xml:space="preserve">Fz x3, F8 x3, F7 x2, FC2 x2, F2 x2, F6 x2, Fp1 x1, Fp2 x1, AF3 x1, AF4 x1, F4 x1, F1 x1, FC1 x1</t>
  </si>
  <si>
    <t xml:space="preserve">CRITICAL_CHANNEL_BAD; HIGH_LINE_NOISE; LINE_NOISE; LOW_ALPHA_PROMINENCE; USABLE_NEEDS_INTERPOLATION</t>
  </si>
  <si>
    <t xml:space="preserve">2026-10-21T15:43:18+00:00</t>
  </si>
  <si>
    <t xml:space="preserve">2026-10-21T15:44:33+00:00</t>
  </si>
  <si>
    <t xml:space="preserve">qc_output/sub-608</t>
  </si>
  <si>
    <t xml:space="preserve">Rank</t>
  </si>
  <si>
    <t xml:space="preserve">Quality score (0-100)</t>
  </si>
  <si>
    <t xml:space="preserve">Subject</t>
  </si>
  <si>
    <t xml:space="preserve">Session</t>
  </si>
  <si>
    <t xml:space="preserve">Task</t>
  </si>
  <si>
    <t xml:space="preserve">Acq</t>
  </si>
  <si>
    <t xml:space="preserve">Label</t>
  </si>
  <si>
    <t xml:space="preserve">Overall</t>
  </si>
  <si>
    <t xml:space="preserve">Bad channels (n)</t>
  </si>
  <si>
    <t xml:space="preserve">Critical bad (n)</t>
  </si>
  <si>
    <t xml:space="preserve">Uncorrelated (n)</t>
  </si>
  <si>
    <t xml:space="preserve">Spatial corr</t>
  </si>
  <si>
    <t xml:space="preserve">50 Hz noise (dB)</t>
  </si>
  <si>
    <t xml:space="preserve">Frozen (s)</t>
  </si>
  <si>
    <t xml:space="preserve">Duration (s)</t>
  </si>
  <si>
    <t xml:space="preserve">Alpha prominence (dB)</t>
  </si>
  <si>
    <t xml:space="preserve">Bad channel names</t>
  </si>
  <si>
    <t xml:space="preserve">QC codes</t>
  </si>
  <si>
    <t xml:space="preserve">Score component</t>
  </si>
  <si>
    <t xml:space="preserve">Weight</t>
  </si>
  <si>
    <t xml:space="preserve">Best value (full score)</t>
  </si>
  <si>
    <t xml:space="preserve">Worst value (zero score)</t>
  </si>
  <si>
    <t xml:space="preserve">EyesOpen</t>
  </si>
  <si>
    <t xml:space="preserve">post</t>
  </si>
  <si>
    <t xml:space="preserve">Bad channels (count)</t>
  </si>
  <si>
    <t xml:space="preserve">EyesClosed</t>
  </si>
  <si>
    <t xml:space="preserve">LOW_ALPHA_PROMINENCE; NO_ALPHA_BLOCKING</t>
  </si>
  <si>
    <t xml:space="preserve">Critical channels bad (count: Fz Cz Pz O1 O2)</t>
  </si>
  <si>
    <t xml:space="preserve">Uncorrelated / noisy channels (count)</t>
  </si>
  <si>
    <t xml:space="preserve">Median spatial correlation (higher = better)</t>
  </si>
  <si>
    <t xml:space="preserve">50 Hz line noise (dB)</t>
  </si>
  <si>
    <t xml:space="preserve">Frozen / flat segments (s)</t>
  </si>
  <si>
    <t xml:space="preserve">pre</t>
  </si>
  <si>
    <t xml:space="preserve">Duration inside range (s): from / to</t>
  </si>
  <si>
    <t xml:space="preserve">ses-2</t>
  </si>
  <si>
    <t xml:space="preserve">Total weight</t>
  </si>
  <si>
    <t xml:space="preserve">How to read this sheet</t>
  </si>
  <si>
    <t xml:space="preserve">- One row = one EEG recording (session / task / acq). Rows are pre-sorted best to worst, regardless of subject.</t>
  </si>
  <si>
    <t xml:space="preserve">- Quality score = weighted average of 7 sub-scores (0-1 each, linear between "best" and "worst" value) x 100.</t>
  </si>
  <si>
    <t xml:space="preserve">- All usable recordings (USABLE / WITH_FLAGS / NEEDS_INTERPOLATION) rank above every REJECT recording.</t>
  </si>
  <si>
    <t xml:space="preserve">- Score is judged on signal quality only. Alpha is NOT in the score (non-responders exist); see column P.</t>
  </si>
  <si>
    <t xml:space="preserve">LOW_ALPHA_PROMINENCE; WEAK_ALPHA_BLOCKING</t>
  </si>
  <si>
    <t xml:space="preserve">- Blue cells are editable inputs: the score and Rank recalculate. To re-order the rows, sort by column A.</t>
  </si>
  <si>
    <t xml:space="preserve">- Duration row: full score if duration is between the two values, otherwise 0.</t>
  </si>
  <si>
    <t xml:space="preserve">- Weights and cut-offs are my choice, based on the QC script thresholds (e.g. 6 bad ch = limit, 30 dB = high noise).</t>
  </si>
  <si>
    <t xml:space="preserve">LINE_NOISE; WEAK_ALPHA_BLOCKING</t>
  </si>
  <si>
    <t xml:space="preserve">LINE_NOISE; NO_ALPHA_BLOCKING</t>
  </si>
  <si>
    <t xml:space="preserve">DURATION_S; LOW_ALPHA_PROMINENCE; WEAK_ALPHA_BLOCKING</t>
  </si>
  <si>
    <t xml:space="preserve">LINE_NOISE; LOW_ALPHA_PROMINENCE; NO_ALPHA_BLOCKING</t>
  </si>
  <si>
    <t xml:space="preserve">FC2</t>
  </si>
  <si>
    <t xml:space="preserve">FC3</t>
  </si>
  <si>
    <t xml:space="preserve">FC1</t>
  </si>
  <si>
    <t xml:space="preserve">TP7</t>
  </si>
  <si>
    <t xml:space="preserve">F6</t>
  </si>
  <si>
    <t xml:space="preserve">FC5</t>
  </si>
  <si>
    <t xml:space="preserve">F7</t>
  </si>
  <si>
    <t xml:space="preserve">F8</t>
  </si>
  <si>
    <t xml:space="preserve">AF7</t>
  </si>
  <si>
    <t xml:space="preserve">F5</t>
  </si>
  <si>
    <t xml:space="preserve">F1</t>
  </si>
  <si>
    <t xml:space="preserve">F2</t>
  </si>
  <si>
    <t xml:space="preserve">F4</t>
  </si>
  <si>
    <t xml:space="preserve">LINE_NOISE; NO_ALPHA_BLOCKING; USABLE_NEEDS_INTERPOLATION</t>
  </si>
  <si>
    <t xml:space="preserve">P4</t>
  </si>
  <si>
    <t xml:space="preserve">AF3</t>
  </si>
  <si>
    <t xml:space="preserve">FT9</t>
  </si>
  <si>
    <t xml:space="preserve">Fp1</t>
  </si>
  <si>
    <t xml:space="preserve">HIGH_LINE_NOISE; USABLE_NEEDS_INTERPOLATION</t>
  </si>
  <si>
    <t xml:space="preserve">AF8</t>
  </si>
  <si>
    <t xml:space="preserve">Fp1, Fp2</t>
  </si>
  <si>
    <t xml:space="preserve">FC4</t>
  </si>
  <si>
    <t xml:space="preserve">DURATION_S; LINE_NOISE</t>
  </si>
  <si>
    <t xml:space="preserve">F6, FC3</t>
  </si>
  <si>
    <t xml:space="preserve">F7, F6</t>
  </si>
  <si>
    <t xml:space="preserve">F7, F8</t>
  </si>
  <si>
    <t xml:space="preserve">F7, FC2</t>
  </si>
  <si>
    <t xml:space="preserve">F8, FC3</t>
  </si>
  <si>
    <t xml:space="preserve">DURATION_S; LOW_ALPHA_PROMINENCE; USABLE_NEEDS_INTERPOLATION</t>
  </si>
  <si>
    <t xml:space="preserve">F7, F5</t>
  </si>
  <si>
    <t xml:space="preserve">FC2, PO7</t>
  </si>
  <si>
    <t xml:space="preserve">FC1, FC3</t>
  </si>
  <si>
    <t xml:space="preserve">F3, F5</t>
  </si>
  <si>
    <t xml:space="preserve">C4</t>
  </si>
  <si>
    <t xml:space="preserve">FC1, F6</t>
  </si>
  <si>
    <t xml:space="preserve">FT8</t>
  </si>
  <si>
    <t xml:space="preserve">C2</t>
  </si>
  <si>
    <t xml:space="preserve">F8, FC2</t>
  </si>
  <si>
    <t xml:space="preserve">Oz</t>
  </si>
  <si>
    <t xml:space="preserve">F7, FC1</t>
  </si>
  <si>
    <t xml:space="preserve">F4, FC1</t>
  </si>
  <si>
    <t xml:space="preserve">AF8, F1</t>
  </si>
  <si>
    <t xml:space="preserve">F1, F2</t>
  </si>
  <si>
    <t xml:space="preserve">F3, F2</t>
  </si>
  <si>
    <t xml:space="preserve">FC2, FC4</t>
  </si>
  <si>
    <t xml:space="preserve">FC2, FC3</t>
  </si>
  <si>
    <t xml:space="preserve">FC2, F5</t>
  </si>
  <si>
    <t xml:space="preserve">F5, F6</t>
  </si>
  <si>
    <t xml:space="preserve">FC6, FC4</t>
  </si>
  <si>
    <t xml:space="preserve">F8, F6</t>
  </si>
  <si>
    <t xml:space="preserve">FC1, FC2</t>
  </si>
  <si>
    <t xml:space="preserve">FC1, F2</t>
  </si>
  <si>
    <t xml:space="preserve">FC5, FC3</t>
  </si>
  <si>
    <t xml:space="preserve">F8, FC1</t>
  </si>
  <si>
    <t xml:space="preserve">F7, F4</t>
  </si>
  <si>
    <t xml:space="preserve">F4, F1</t>
  </si>
  <si>
    <t xml:space="preserve">F5, F2</t>
  </si>
  <si>
    <t xml:space="preserve">F4, FC2</t>
  </si>
  <si>
    <t xml:space="preserve">FC2, F2</t>
  </si>
  <si>
    <t xml:space="preserve">F4, F6</t>
  </si>
  <si>
    <t xml:space="preserve">Fp1, AF7</t>
  </si>
  <si>
    <t xml:space="preserve">F8, F5</t>
  </si>
  <si>
    <t xml:space="preserve">F7, F4, AF8</t>
  </si>
  <si>
    <t xml:space="preserve">AF8, F2</t>
  </si>
  <si>
    <t xml:space="preserve">FC2, FC6, FC4</t>
  </si>
  <si>
    <t xml:space="preserve">F7, F4, F6</t>
  </si>
  <si>
    <t xml:space="preserve">F8, FC1, FC2</t>
  </si>
  <si>
    <t xml:space="preserve">F8, FC1, FC3</t>
  </si>
  <si>
    <t xml:space="preserve">F7, F8, FC3</t>
  </si>
  <si>
    <t xml:space="preserve">F4, F5</t>
  </si>
  <si>
    <t xml:space="preserve">F7, F8, FC1</t>
  </si>
  <si>
    <t xml:space="preserve">FC1, F6, FC3</t>
  </si>
  <si>
    <t xml:space="preserve">F7, FC2, F6</t>
  </si>
  <si>
    <t xml:space="preserve">F4, F8, F6</t>
  </si>
  <si>
    <t xml:space="preserve">F7, FC2, FC4</t>
  </si>
  <si>
    <t xml:space="preserve">F1, F6</t>
  </si>
  <si>
    <t xml:space="preserve">F8, FC2, FC3</t>
  </si>
  <si>
    <t xml:space="preserve">F7, F8, FC2</t>
  </si>
  <si>
    <t xml:space="preserve">Fp1, Fp2, AF8</t>
  </si>
  <si>
    <t xml:space="preserve">F7, F8, F5</t>
  </si>
  <si>
    <t xml:space="preserve">F3, F4, F5</t>
  </si>
  <si>
    <t xml:space="preserve">FC5, FC1, FC4</t>
  </si>
  <si>
    <t xml:space="preserve">F3, F5, F6</t>
  </si>
  <si>
    <t xml:space="preserve">Fp1, Fp2, AF3</t>
  </si>
  <si>
    <t xml:space="preserve">F4, FC1, FC2</t>
  </si>
  <si>
    <t xml:space="preserve">F7, F4, F5</t>
  </si>
  <si>
    <t xml:space="preserve">F8, FC5, FC3</t>
  </si>
  <si>
    <t xml:space="preserve">FC5, FC1, FC3</t>
  </si>
  <si>
    <t xml:space="preserve">F4, F8, F5</t>
  </si>
  <si>
    <t xml:space="preserve">FC1, FC2, FC4</t>
  </si>
  <si>
    <t xml:space="preserve">F7, F5, F6</t>
  </si>
  <si>
    <t xml:space="preserve">F8, F6, FC3</t>
  </si>
  <si>
    <t xml:space="preserve">Fz, F1</t>
  </si>
  <si>
    <t xml:space="preserve">F4, FC1, F6</t>
  </si>
  <si>
    <t xml:space="preserve">Fp1, Fp2, F8, AF7</t>
  </si>
  <si>
    <t xml:space="preserve">F7, FC1, AF8</t>
  </si>
  <si>
    <t xml:space="preserve">F7, F8, F6</t>
  </si>
  <si>
    <t xml:space="preserve">AF8, F1, F2</t>
  </si>
  <si>
    <t xml:space="preserve">FC1, FC2, F6</t>
  </si>
  <si>
    <t xml:space="preserve">FC1, C3</t>
  </si>
  <si>
    <t xml:space="preserve">F3, F4, F2</t>
  </si>
  <si>
    <t xml:space="preserve">Fz, F2</t>
  </si>
  <si>
    <t xml:space="preserve">F3, F4, FC1</t>
  </si>
  <si>
    <t xml:space="preserve">F8, FC5</t>
  </si>
  <si>
    <t xml:space="preserve">Cz, PO10</t>
  </si>
  <si>
    <t xml:space="preserve">Fp2, AF4, AF8</t>
  </si>
  <si>
    <t xml:space="preserve">F3, F5, F1</t>
  </si>
  <si>
    <t xml:space="preserve">F3, FC2, F6</t>
  </si>
  <si>
    <t xml:space="preserve">F3, F8, F5</t>
  </si>
  <si>
    <t xml:space="preserve">F4, F5, F6</t>
  </si>
  <si>
    <t xml:space="preserve">Fz, FC6</t>
  </si>
  <si>
    <t xml:space="preserve">F7, FC2, F5</t>
  </si>
  <si>
    <t xml:space="preserve">FC5, FC1, FC2, FC3</t>
  </si>
  <si>
    <t xml:space="preserve">FC5, FC2, FC3, FC4</t>
  </si>
  <si>
    <t xml:space="preserve">F7, F3, F5, F6</t>
  </si>
  <si>
    <t xml:space="preserve">FC1, FC2, AF7, FC3</t>
  </si>
  <si>
    <t xml:space="preserve">F8, FC1, FC2, FC4</t>
  </si>
  <si>
    <t xml:space="preserve">F7, FC2, FC6, FC4</t>
  </si>
  <si>
    <t xml:space="preserve">FC1, F5, F6</t>
  </si>
  <si>
    <t xml:space="preserve">F8, FC1, FC2, FC3</t>
  </si>
  <si>
    <t xml:space="preserve">F3, F1, F2</t>
  </si>
  <si>
    <t xml:space="preserve">F4, FC1, AF7, F6</t>
  </si>
  <si>
    <t xml:space="preserve">F8, FC5, FC1, FC3</t>
  </si>
  <si>
    <t xml:space="preserve">F3, FC2, F5, F6</t>
  </si>
  <si>
    <t xml:space="preserve">F7, F8, FC6, FC4</t>
  </si>
  <si>
    <t xml:space="preserve">Fp1, AF3, F1</t>
  </si>
  <si>
    <t xml:space="preserve">F8, FC1, F6, FC3</t>
  </si>
  <si>
    <t xml:space="preserve">Fz, AF7</t>
  </si>
  <si>
    <t xml:space="preserve">FC2, FC6, FC3, FC4</t>
  </si>
  <si>
    <t xml:space="preserve">FC5, FC2, FC3</t>
  </si>
  <si>
    <t xml:space="preserve">FC5, FC1, FC3, FC4</t>
  </si>
  <si>
    <t xml:space="preserve">Fp1, Fz</t>
  </si>
  <si>
    <t xml:space="preserve">FC5, FC1, FT7, FC3</t>
  </si>
  <si>
    <t xml:space="preserve">F7, F8, FC2, FC4</t>
  </si>
  <si>
    <t xml:space="preserve">F8, FC1, FC2, FC6</t>
  </si>
  <si>
    <t xml:space="preserve">F7, F8, FC1, FC2</t>
  </si>
  <si>
    <t xml:space="preserve">Fz, PO7</t>
  </si>
  <si>
    <t xml:space="preserve">F3, FC1, FC3</t>
  </si>
  <si>
    <t xml:space="preserve">F8, FC5, FC2, FC3</t>
  </si>
  <si>
    <t xml:space="preserve">F4, F8, F5, F6</t>
  </si>
  <si>
    <t xml:space="preserve">AF3, AF4, F1</t>
  </si>
  <si>
    <t xml:space="preserve">FC1, FC2, F5, F6</t>
  </si>
  <si>
    <t xml:space="preserve">F4, F2, F6</t>
  </si>
  <si>
    <t xml:space="preserve">FC5, FC1, FC6, FC3</t>
  </si>
  <si>
    <t xml:space="preserve">F7, F8, F5, F6</t>
  </si>
  <si>
    <t xml:space="preserve">Fp1, Fp2, FC1</t>
  </si>
  <si>
    <t xml:space="preserve">F4, FC1, AF7, FC3</t>
  </si>
  <si>
    <t xml:space="preserve">F7, F4, F5, F6</t>
  </si>
  <si>
    <t xml:space="preserve">F7, FC1, FC2, FC4</t>
  </si>
  <si>
    <t xml:space="preserve">Fp2, AF4, F2</t>
  </si>
  <si>
    <t xml:space="preserve">F3, F4, F5, F6</t>
  </si>
  <si>
    <t xml:space="preserve">F8, FC1, FC2, F5</t>
  </si>
  <si>
    <t xml:space="preserve">Fz, FC1</t>
  </si>
  <si>
    <t xml:space="preserve">FC1, FC2, FC3, FC4</t>
  </si>
  <si>
    <t xml:space="preserve">F8, FC5, FC1, FC2</t>
  </si>
  <si>
    <t xml:space="preserve">F7, F8, F5, FC4</t>
  </si>
  <si>
    <t xml:space="preserve">F4, FC1, F6, FC3</t>
  </si>
  <si>
    <t xml:space="preserve">Cz, FC4</t>
  </si>
  <si>
    <t xml:space="preserve">F7, FC2, F5, FC3</t>
  </si>
  <si>
    <t xml:space="preserve">FC1, FC2, FC3</t>
  </si>
  <si>
    <t xml:space="preserve">F7, FC1, FC2, F6</t>
  </si>
  <si>
    <t xml:space="preserve">F7, FC2, F5, F6</t>
  </si>
  <si>
    <t xml:space="preserve">F7, FC1, FC2, F5</t>
  </si>
  <si>
    <t xml:space="preserve">F4, F8, FC1, F6</t>
  </si>
  <si>
    <t xml:space="preserve">F7, FC1, F6, FC3</t>
  </si>
  <si>
    <t xml:space="preserve">FC2, Cz</t>
  </si>
  <si>
    <t xml:space="preserve">F7, F4, FC1, F5</t>
  </si>
  <si>
    <t xml:space="preserve">FC5, FC1, F6, FC3</t>
  </si>
  <si>
    <t xml:space="preserve">F3, F4, AF7, F6</t>
  </si>
  <si>
    <t xml:space="preserve">Fp1, Fp2, AF3, AF4</t>
  </si>
  <si>
    <t xml:space="preserve">Fz, C2</t>
  </si>
  <si>
    <t xml:space="preserve">F3, AF7, F5, F2</t>
  </si>
  <si>
    <t xml:space="preserve">Fz, FC2</t>
  </si>
  <si>
    <t xml:space="preserve">F4, F8, FC2, F6</t>
  </si>
  <si>
    <t xml:space="preserve">F8, FC1, FC2, F6</t>
  </si>
  <si>
    <t xml:space="preserve">Fz, F1, F2</t>
  </si>
  <si>
    <t xml:space="preserve">F3, F8, F5, F6</t>
  </si>
  <si>
    <t xml:space="preserve">F7, F8, FC1, FC3</t>
  </si>
  <si>
    <t xml:space="preserve">F5, F6, FC4</t>
  </si>
  <si>
    <t xml:space="preserve">Fz, TP7</t>
  </si>
  <si>
    <t xml:space="preserve">Fp1, Fp2, O2</t>
  </si>
  <si>
    <t xml:space="preserve">F7, F8, FC5, FC3</t>
  </si>
  <si>
    <t xml:space="preserve">F8, FC6, AF7, F6</t>
  </si>
  <si>
    <t xml:space="preserve">F8, FC5, F6, FC3</t>
  </si>
  <si>
    <t xml:space="preserve">Fz, F4</t>
  </si>
  <si>
    <t xml:space="preserve">Fp1, Fp2, F8, FC2, FC3</t>
  </si>
  <si>
    <t xml:space="preserve">F3, Fz</t>
  </si>
  <si>
    <t xml:space="preserve">F3, FC1, F5, FC3</t>
  </si>
  <si>
    <t xml:space="preserve">Fp1, Fp2, Fz</t>
  </si>
  <si>
    <t xml:space="preserve">Fp1, Fp2, FC2, FC6, FC4</t>
  </si>
  <si>
    <t xml:space="preserve">Fz, FC2, F2</t>
  </si>
  <si>
    <t xml:space="preserve">Fz, P5</t>
  </si>
  <si>
    <t xml:space="preserve">F4, FC1, F1, F2</t>
  </si>
  <si>
    <t xml:space="preserve">Fp1, Fp2, AF7, AF8</t>
  </si>
  <si>
    <t xml:space="preserve">Fz, F2, F6</t>
  </si>
  <si>
    <t xml:space="preserve">F3, Fz, F1</t>
  </si>
  <si>
    <t xml:space="preserve">F7, F3, F5, F1</t>
  </si>
  <si>
    <t xml:space="preserve">FC2, FC6, FC3, FC4, FT8</t>
  </si>
  <si>
    <t xml:space="preserve">F7, F4, F8, F6</t>
  </si>
  <si>
    <t xml:space="preserve">Fp2, Fz</t>
  </si>
  <si>
    <t xml:space="preserve">AF7, AF8, F5, F6</t>
  </si>
  <si>
    <t xml:space="preserve">F4, PO10, F2, F6</t>
  </si>
  <si>
    <t xml:space="preserve">F8, FC6, F6, FC4</t>
  </si>
  <si>
    <t xml:space="preserve">F8, FC5, FC1, FT7, FC3</t>
  </si>
  <si>
    <t xml:space="preserve">F7, F8, FC1, FC2, FC4</t>
  </si>
  <si>
    <t xml:space="preserve">F7, F3, F4, F5, F6</t>
  </si>
  <si>
    <t xml:space="preserve">F7, FC1, F5, F6, FC3</t>
  </si>
  <si>
    <t xml:space="preserve">FC5, FC1, FC2, FC3, FC4</t>
  </si>
  <si>
    <t xml:space="preserve">FC2, FC6, F5, FC4</t>
  </si>
  <si>
    <t xml:space="preserve">F3, FC2, F5, F6, FC4</t>
  </si>
  <si>
    <t xml:space="preserve">FC5, FC2, F6, FC3</t>
  </si>
  <si>
    <t xml:space="preserve">Fp1, Fz, F2</t>
  </si>
  <si>
    <t xml:space="preserve">F7, FC1, FC6, FC3, FC4</t>
  </si>
  <si>
    <t xml:space="preserve">F7, F4, FC6, F6, FC4</t>
  </si>
  <si>
    <t xml:space="preserve">F3, F4, AF7, F5</t>
  </si>
  <si>
    <t xml:space="preserve">FC1, Cz, C1</t>
  </si>
  <si>
    <t xml:space="preserve">F3, F4, AF3, F5, F1</t>
  </si>
  <si>
    <t xml:space="preserve">Fz, F2, PO7</t>
  </si>
  <si>
    <t xml:space="preserve">F8, FC5, FC6, FC3, FC4</t>
  </si>
  <si>
    <t xml:space="preserve">Fp2, F7, FC2, FC6, FC4</t>
  </si>
  <si>
    <t xml:space="preserve">Fz, PO10, F2</t>
  </si>
  <si>
    <t xml:space="preserve">Fz, FC1, F1</t>
  </si>
  <si>
    <t xml:space="preserve">F3, F4, FC2, F1</t>
  </si>
  <si>
    <t xml:space="preserve">Fz, AF4, F1</t>
  </si>
  <si>
    <t xml:space="preserve">F7, F8, FC2, FC6, FC4</t>
  </si>
  <si>
    <t xml:space="preserve">F3, AF7, F5, F6</t>
  </si>
  <si>
    <t xml:space="preserve">F3, F4, AF7, F5, F6</t>
  </si>
  <si>
    <t xml:space="preserve">F3, F4, AF8, F5, F6</t>
  </si>
  <si>
    <t xml:space="preserve">F3, F4, F1, F2, F6</t>
  </si>
  <si>
    <t xml:space="preserve">Fz, FC1, C3</t>
  </si>
  <si>
    <t xml:space="preserve">F7, F8, FC2, FC3, FC4</t>
  </si>
  <si>
    <t xml:space="preserve">F7, F3, F8, F5, F6</t>
  </si>
  <si>
    <t xml:space="preserve">F7, F8, FC1, FC2, F6</t>
  </si>
  <si>
    <t xml:space="preserve">F7, F4, FC1, F6, FC3</t>
  </si>
  <si>
    <t xml:space="preserve">Fz, AF4, F2</t>
  </si>
  <si>
    <t xml:space="preserve">F7, F3, F5, F1, F2</t>
  </si>
  <si>
    <t xml:space="preserve">FC1, C3, F5, F6, FT7</t>
  </si>
  <si>
    <t xml:space="preserve">F8, FC1, FC2, F6, FC4</t>
  </si>
  <si>
    <t xml:space="preserve">F3, F4, F2, F6, FC3</t>
  </si>
  <si>
    <t xml:space="preserve">F7, FC5, FC1, F6, FC3</t>
  </si>
  <si>
    <t xml:space="preserve">CRITICAL_CHANNEL_BAD; HIGH_LINE_NOISE; USABLE_NEEDS_INTERPOLATION; WEAK_ALPHA_BLOCKING</t>
  </si>
  <si>
    <t xml:space="preserve">FC2, FC6, T8, FC4, C6</t>
  </si>
  <si>
    <t xml:space="preserve">Fz, AF7, F1</t>
  </si>
  <si>
    <t xml:space="preserve">F3, F4, F5, F1, F6</t>
  </si>
  <si>
    <t xml:space="preserve">F3, F4, F8, F5, F6</t>
  </si>
  <si>
    <t xml:space="preserve">Fz, AF7, F2</t>
  </si>
  <si>
    <t xml:space="preserve">Fp1, Fz, F1</t>
  </si>
  <si>
    <t xml:space="preserve">FC1, Cz</t>
  </si>
  <si>
    <t xml:space="preserve">Fp1, Fz, AF3, F1</t>
  </si>
  <si>
    <t xml:space="preserve">CRITICAL_CHANNEL_BAD; DURATION_S; LOW_ALPHA_PROMINENCE; USABLE_NEEDS_INTERPOLATION</t>
  </si>
  <si>
    <t xml:space="preserve">F7, FC2, FC6, F5, FC4</t>
  </si>
  <si>
    <t xml:space="preserve">Fz, FC5, AF8, F1</t>
  </si>
  <si>
    <t xml:space="preserve">F4, F1, F2, F6</t>
  </si>
  <si>
    <t xml:space="preserve">F3, FC1, AF3, AF4, F1</t>
  </si>
  <si>
    <t xml:space="preserve">F3, F4, FC2, F1, F6</t>
  </si>
  <si>
    <t xml:space="preserve">F3, AF7, F1, F6, FC3</t>
  </si>
  <si>
    <t xml:space="preserve">F4, F8, FC2, F6, FC3</t>
  </si>
  <si>
    <t xml:space="preserve">F7, F8, FC2, F5, F6</t>
  </si>
  <si>
    <t xml:space="preserve">F3, F4, FC2, AF7, F6</t>
  </si>
  <si>
    <t xml:space="preserve">Fz, F2, P5</t>
  </si>
  <si>
    <t xml:space="preserve">Fz, FC1, F1, F2</t>
  </si>
  <si>
    <t xml:space="preserve">F7, F3, F4, AF8, F5, F2</t>
  </si>
  <si>
    <t xml:space="preserve">F7, F4, FC1, F5, F6</t>
  </si>
  <si>
    <t xml:space="preserve">Fz, F4, F1, F2</t>
  </si>
  <si>
    <t xml:space="preserve">F7, F8, FC1, FC2, FC3</t>
  </si>
  <si>
    <t xml:space="preserve">F7, F3, AF7, F5, F1, FC4</t>
  </si>
  <si>
    <t xml:space="preserve">F3, AF3, AF4, F1, F2</t>
  </si>
  <si>
    <t xml:space="preserve">F7, F4, F8, FC5, F5, F1</t>
  </si>
  <si>
    <t xml:space="preserve">F7, F4, FC6, F2, F6, FC4</t>
  </si>
  <si>
    <t xml:space="preserve">Fp1, Fp2, Fz, AF3</t>
  </si>
  <si>
    <t xml:space="preserve">F4, FC1, AF4, F1, F2</t>
  </si>
  <si>
    <t xml:space="preserve">F3, F4, FC2, F5, FC3</t>
  </si>
  <si>
    <t xml:space="preserve">F7, F8, FC2, FC6, F6, FC4</t>
  </si>
  <si>
    <t xml:space="preserve">Fp2, F4, AF4, F1, F6</t>
  </si>
  <si>
    <t xml:space="preserve">F3, FC2, F1, FC4</t>
  </si>
  <si>
    <t xml:space="preserve">Fz, F1, F2, FC4</t>
  </si>
  <si>
    <t xml:space="preserve">FC5, FC2, FC6, FT7, FC3, FC4</t>
  </si>
  <si>
    <t xml:space="preserve">Fp2, Fz, AF8, F2</t>
  </si>
  <si>
    <t xml:space="preserve">F7, F8, F6, FC4</t>
  </si>
  <si>
    <t xml:space="preserve">FC5, TP9, F5, FC3</t>
  </si>
  <si>
    <t xml:space="preserve">F7, FC1, F5, F6, FC3, FC4</t>
  </si>
  <si>
    <t xml:space="preserve">F4, F8, FC5, FC1, F6, FC3</t>
  </si>
  <si>
    <t xml:space="preserve">F4, FC2, FC6, FC4</t>
  </si>
  <si>
    <t xml:space="preserve">F4, FC2, F1, F2, FC4</t>
  </si>
  <si>
    <t xml:space="preserve">F7, F4, FC1, AF7, F5, F2</t>
  </si>
  <si>
    <t xml:space="preserve">Fz, F4, FC2, F2</t>
  </si>
  <si>
    <t xml:space="preserve">F8, FC2, AF7, F5, F6</t>
  </si>
  <si>
    <t xml:space="preserve">F3, F4, AF7, F1, F6</t>
  </si>
  <si>
    <t xml:space="preserve">F3, Fz, AF3, F1</t>
  </si>
  <si>
    <t xml:space="preserve">F7, F8, FC1, FC2, FC3, FC4</t>
  </si>
  <si>
    <t xml:space="preserve">F7, F8, FC1, F5, FT9, FT7</t>
  </si>
  <si>
    <t xml:space="preserve">Fz, FC2, F1</t>
  </si>
  <si>
    <t xml:space="preserve">Fp2, Fz, AF4, F2</t>
  </si>
  <si>
    <t xml:space="preserve">Fz, F5, F1</t>
  </si>
  <si>
    <t xml:space="preserve">F3, F4, AF7, AF8, F5, F2</t>
  </si>
  <si>
    <t xml:space="preserve">Fz, F4, AF4, F1</t>
  </si>
  <si>
    <t xml:space="preserve">F3, Fz, F4, F2</t>
  </si>
  <si>
    <t xml:space="preserve">F3, F4, FC2, AF7, F5, F6</t>
  </si>
  <si>
    <t xml:space="preserve">Fp1, Fp2, AF7, AF3, AF4, AF8</t>
  </si>
  <si>
    <t xml:space="preserve">Fz, FC2, F1, F2</t>
  </si>
  <si>
    <t xml:space="preserve">F7, F3, F4, F8, F5, F6</t>
  </si>
  <si>
    <t xml:space="preserve">Fp1, Fp2, AF7, AF3, AF4</t>
  </si>
  <si>
    <t xml:space="preserve">FC5, FC1, FC2, FC6, FC3, FC4</t>
  </si>
  <si>
    <t xml:space="preserve">F8, FC1, FC2, F5, F6, FC4</t>
  </si>
  <si>
    <t xml:space="preserve">Fp2, Fz, F1, F2</t>
  </si>
  <si>
    <t xml:space="preserve">F7, F8, FC1, F5, F6</t>
  </si>
  <si>
    <t xml:space="preserve">F7, F3, F8, FC6, F5, FC4</t>
  </si>
  <si>
    <t xml:space="preserve">F7, F8, FC1, FC2, FC6, FC4</t>
  </si>
  <si>
    <t xml:space="preserve">Cz, F1, FC3</t>
  </si>
  <si>
    <t xml:space="preserve">F7, F3, F8, FC2, F5, F6</t>
  </si>
  <si>
    <t xml:space="preserve">F3, Fz, F5, F1</t>
  </si>
  <si>
    <t xml:space="preserve">F3, Fz, F1, F2</t>
  </si>
  <si>
    <t xml:space="preserve">Fz, F4, F2</t>
  </si>
  <si>
    <t xml:space="preserve">F3, F4, AF3, AF4, F5</t>
  </si>
  <si>
    <t xml:space="preserve">F3, F4, F8, F5, F1, F6</t>
  </si>
  <si>
    <t xml:space="preserve">Fz, AF3, F1, F2</t>
  </si>
  <si>
    <t xml:space="preserve">Fz, AF4, F1, F2</t>
  </si>
  <si>
    <t xml:space="preserve">F7, F3, AF8, F5, F2, F6</t>
  </si>
  <si>
    <t xml:space="preserve">F7, F3, F4, F5, F1, F6</t>
  </si>
  <si>
    <t xml:space="preserve">Fz, FC2, F2, FC4</t>
  </si>
  <si>
    <t xml:space="preserve">F3, F8, FC1, FC2, F5, FC4</t>
  </si>
  <si>
    <t xml:space="preserve">F7, F3, F4, FC1, F5, F6</t>
  </si>
  <si>
    <t xml:space="preserve">Fp1, Fp2, Fz, AF4, F2</t>
  </si>
  <si>
    <t xml:space="preserve">Fz, FC1, AF3, FC3</t>
  </si>
  <si>
    <t xml:space="preserve">Fp2, Fz, AF4, F1, F2</t>
  </si>
  <si>
    <t xml:space="preserve">Fp2, Fz, AF3, F2</t>
  </si>
  <si>
    <t xml:space="preserve">F3, F4, F5, F1, F2, F6</t>
  </si>
  <si>
    <t xml:space="preserve">Fz, F4, FC2, FC4</t>
  </si>
  <si>
    <t xml:space="preserve">F3, Fz, AF3, F1, F2</t>
  </si>
  <si>
    <t xml:space="preserve">Fz, FC1, AF8, F1, F2</t>
  </si>
  <si>
    <t xml:space="preserve">Fz, F4, AF4, AF8, F2</t>
  </si>
  <si>
    <t xml:space="preserve">F3, F4, AF8, F1, F2, F6</t>
  </si>
  <si>
    <t xml:space="preserve">F3, Fz, AF3, AF4, F1</t>
  </si>
  <si>
    <t xml:space="preserve">F7, F3, F4, AF8, F5, F6</t>
  </si>
  <si>
    <t xml:space="preserve">Fz, F4, AF4, F1, F2</t>
  </si>
  <si>
    <t xml:space="preserve">Fz, F4, AF4, F2, F6</t>
  </si>
  <si>
    <t xml:space="preserve">Fp1, Fp2, Fz, AF4, AF8</t>
  </si>
  <si>
    <t xml:space="preserve">F4, CP5, AF4, F5, F2, F6</t>
  </si>
  <si>
    <t xml:space="preserve">Fz, FC1, F1, F2, FC3</t>
  </si>
  <si>
    <t xml:space="preserve">Fp1, Fp2, Fz, AF7, AF3</t>
  </si>
  <si>
    <t xml:space="preserve">F3, Fz, F4, F2, F6</t>
  </si>
  <si>
    <t xml:space="preserve">F3, Fz, AF4, F1, F2</t>
  </si>
  <si>
    <t xml:space="preserve">Fz, FC1, FC2, F1, F2</t>
  </si>
  <si>
    <t xml:space="preserve">Fp1, F3, Fz, F1, F2</t>
  </si>
  <si>
    <t xml:space="preserve">Fz, F1, FC3</t>
  </si>
  <si>
    <t xml:space="preserve">Fz, AF3, AF4, F1</t>
  </si>
  <si>
    <t xml:space="preserve">Fz, F4, FC1, F1, F2</t>
  </si>
  <si>
    <t xml:space="preserve">Fz, F4, F1, F2, F6</t>
  </si>
  <si>
    <t xml:space="preserve">Fz, FC1, AF3, F1, F2</t>
  </si>
  <si>
    <t xml:space="preserve">Fp1, Fz, F4, AF3, F1, F2</t>
  </si>
  <si>
    <t xml:space="preserve">Fz, AF3, AF4, F1, F2</t>
  </si>
  <si>
    <t xml:space="preserve">FC5, FC1, FC2, FC6, Cz, FC3</t>
  </si>
  <si>
    <t xml:space="preserve">Fz, FC1, AF4, F1, F2</t>
  </si>
  <si>
    <t xml:space="preserve">Fp2, Fz, F4, AF4, F2</t>
  </si>
  <si>
    <t xml:space="preserve">F3, Fz, AF7, AF3, F1, F2</t>
  </si>
  <si>
    <t xml:space="preserve">Fz, F4, FC2, F1, F2</t>
  </si>
  <si>
    <t xml:space="preserve">Fp1, Fp2, Fz, F1, F2</t>
  </si>
  <si>
    <t xml:space="preserve">F3, Fz, F4, AF3, F1</t>
  </si>
  <si>
    <t xml:space="preserve">Fz, F4, AF4, F1, F2, F6</t>
  </si>
  <si>
    <t xml:space="preserve">F3, Fz, F4, F1, F2</t>
  </si>
  <si>
    <t xml:space="preserve">Fp1, Fp2, Fz, AF3, AF4</t>
  </si>
  <si>
    <t xml:space="preserve">Fp1, Fz, FC1, AF3, F1, F2</t>
  </si>
  <si>
    <t xml:space="preserve">Fp1, Fp2, F3, Fz, AF4, F1</t>
  </si>
  <si>
    <t xml:space="preserve">F3, Fz, FC1, F1, F2</t>
  </si>
  <si>
    <t xml:space="preserve">Fz, AF7, AF4, AF8, F1, F2</t>
  </si>
  <si>
    <t xml:space="preserve">Fp1, Fz, AF3, AF4, F1, F2</t>
  </si>
  <si>
    <t xml:space="preserve">Fp2, F3, Fz, F1, F2</t>
  </si>
  <si>
    <t xml:space="preserve">F3, Fz, F4, AF7, F1, F2</t>
  </si>
  <si>
    <t xml:space="preserve">Fz, F1, F2, FC3</t>
  </si>
  <si>
    <t xml:space="preserve">Fp1, Fz, AF7, AF8, F1, F2</t>
  </si>
  <si>
    <t xml:space="preserve">Fz, F4, FC2, AF4, F2</t>
  </si>
  <si>
    <t xml:space="preserve">Fz, F4, AF3, AF4, F1, F2</t>
  </si>
  <si>
    <t xml:space="preserve">F3, Fz, FC2, F1, F2</t>
  </si>
  <si>
    <t xml:space="preserve">FC1, FC2, Cz, FC3, C1</t>
  </si>
  <si>
    <t xml:space="preserve">Fp1, Fp2, Fz, AF3, AF4, AF8</t>
  </si>
  <si>
    <t xml:space="preserve">Fz, F4, FC6, F2, F6, FC4</t>
  </si>
  <si>
    <t xml:space="preserve">F3, Fz, AF3, AF4, F1, F2</t>
  </si>
  <si>
    <t xml:space="preserve">F3, Fz, AF7, F5, F1, F2</t>
  </si>
  <si>
    <t xml:space="preserve">Fz, F4, F1, F2, FC3</t>
  </si>
  <si>
    <t xml:space="preserve">Fp2, Fz, AF4, AF8, F1, F2</t>
  </si>
  <si>
    <t xml:space="preserve">Fp1, Fp2, Fz, AF4, F1, F2</t>
  </si>
  <si>
    <t xml:space="preserve">F3, Fz, FC1, AF4, F1, F2</t>
  </si>
  <si>
    <t xml:space="preserve">Fz, FC1, AF3, AF4, F1, F2</t>
  </si>
  <si>
    <t xml:space="preserve">Fz, F4, FC2, F1, F2, F6</t>
  </si>
  <si>
    <t xml:space="preserve">Fz, F4, AF3, AF4, F2, F6</t>
  </si>
  <si>
    <t xml:space="preserve">F3, Fz, F4, F1, F2, F6</t>
  </si>
  <si>
    <t xml:space="preserve">Fp1, Fp2, Fz, AF3, AF4, F2</t>
  </si>
  <si>
    <t xml:space="preserve">Fp2, Fz, AF3, AF4, F1, F2</t>
  </si>
  <si>
    <t xml:space="preserve">Fp1, Fz, AF3, AF4, F1, FC3</t>
  </si>
  <si>
    <t xml:space="preserve">Fp1, Fp2, Fz, AF3, F1, F2</t>
  </si>
  <si>
    <t xml:space="preserve">F3, Fz, FC2, F1, FC3</t>
  </si>
  <si>
    <t xml:space="preserve">Fz, F4, AF4, F1, F2, C6</t>
  </si>
  <si>
    <t xml:space="preserve">Fz, F4, FC2, FC6, C4, FC4</t>
  </si>
  <si>
    <t xml:space="preserve">Fz, F4, AF7, F1, F2, FC4</t>
  </si>
  <si>
    <t xml:space="preserve">CRITICAL_CHANNEL_BAD; DURATION_S; LINE_NOISE; LOW_ALPHA_PROMINENCE; USABLE_NEEDS_INTERPOLATION</t>
  </si>
  <si>
    <t xml:space="preserve">Fz, F4, FC2, AF4, F1, F2</t>
  </si>
  <si>
    <t xml:space="preserve">Fp2, Fz, F4, AF4, F2, F6</t>
  </si>
  <si>
    <t xml:space="preserve">Fz, Cz</t>
  </si>
  <si>
    <t xml:space="preserve">Fp1, Fp2, F8, FC5, FC2, AF7, FT7</t>
  </si>
  <si>
    <t xml:space="preserve">Fp1, Fp2, FC5, FC1, FC6, FC3, FC4</t>
  </si>
  <si>
    <t xml:space="preserve">Fz, FC2, Cz</t>
  </si>
  <si>
    <t xml:space="preserve">CRITICAL_CHANNELS_BAD; LINE_NOISE</t>
  </si>
  <si>
    <t xml:space="preserve">F3, F4, AF7, AF3, AF8, F1, F6</t>
  </si>
  <si>
    <t xml:space="preserve">F8, FC5, FC1, FC2, F6, FC3, FC4</t>
  </si>
  <si>
    <t xml:space="preserve">F7, F4, F8, AF7, AF8, F6, FC4</t>
  </si>
  <si>
    <t xml:space="preserve">NO_ALPHA_BLOCKING; TOO_MANY_BAD_CHANNELS</t>
  </si>
  <si>
    <t xml:space="preserve">F8, FC1, FC2, F5, F6, FC3, FC4</t>
  </si>
  <si>
    <t xml:space="preserve">Fz, Cz, F2</t>
  </si>
  <si>
    <t xml:space="preserve">CRITICAL_CHANNELS_BAD; LOW_ALPHA_PROMINENCE</t>
  </si>
  <si>
    <t xml:space="preserve">F3, F4, AF3, AF4, F1, F2, F6</t>
  </si>
  <si>
    <t xml:space="preserve">F7, F3, F4, FC1, AF8, F5, F6</t>
  </si>
  <si>
    <t xml:space="preserve">TOO_MANY_BAD_CHANNELS; WEAK_ALPHA_BLOCKING</t>
  </si>
  <si>
    <t xml:space="preserve">Fp2, F3, F4, AF3, AF4, F1, F2</t>
  </si>
  <si>
    <t xml:space="preserve">F3, F4, F8, AF7, F5, F1, F6</t>
  </si>
  <si>
    <t xml:space="preserve">F7, F3, F4, FC2, F5, F6, FC3</t>
  </si>
  <si>
    <t xml:space="preserve">Fz, FC1, Cz, F1</t>
  </si>
  <si>
    <t xml:space="preserve">FC1, FC2, T7, T8, FC3, FC4, C5</t>
  </si>
  <si>
    <t xml:space="preserve">F7, FC1, FC2, F5, F6, FC3, FC4</t>
  </si>
  <si>
    <t xml:space="preserve">F3, F8, FC2, AF7, AF8, F5, F6</t>
  </si>
  <si>
    <t xml:space="preserve">Fz, FC5, FC1, Cz</t>
  </si>
  <si>
    <t xml:space="preserve">CRITICAL_CHANNELS_BAD; LINE_NOISE; NO_ALPHA_BLOCKING</t>
  </si>
  <si>
    <t xml:space="preserve">F7, F3, F4, FC1, FC2, F5, F6</t>
  </si>
  <si>
    <t xml:space="preserve">LINE_NOISE; TOO_MANY_BAD_CHANNELS</t>
  </si>
  <si>
    <t xml:space="preserve">F3, F4, AF7, AF4, AF8, F1, F2</t>
  </si>
  <si>
    <t xml:space="preserve">F4, F8, FC5, FC2, AF4, F6, FC4</t>
  </si>
  <si>
    <t xml:space="preserve">F7, F3, F4, FC1, AF8, F5, F1</t>
  </si>
  <si>
    <t xml:space="preserve">F7, F3, F4, F8, AF8, F5, F6</t>
  </si>
  <si>
    <t xml:space="preserve">F7, F3, F4, F8, F5, F1, F6</t>
  </si>
  <si>
    <t xml:space="preserve">F3, F4, FC1, FC2, AF3, F1, F6</t>
  </si>
  <si>
    <t xml:space="preserve">F3, F4, F8, AF7, AF8, F5, F6</t>
  </si>
  <si>
    <t xml:space="preserve">Fp1, Fp2, AF7, AF3, AF4, AF8, F2</t>
  </si>
  <si>
    <t xml:space="preserve">F7, F3, F4, AF8, F5, F2, F6</t>
  </si>
  <si>
    <t xml:space="preserve">F3, F4, FC1, AF3, AF4, F1, F2</t>
  </si>
  <si>
    <t xml:space="preserve">FC5, FC1, FC2, FC6, FC3, FC4, C5</t>
  </si>
  <si>
    <t xml:space="preserve">Fp1, Fp2, Fz, O2</t>
  </si>
  <si>
    <t xml:space="preserve">F3, F4, AF7, AF3, AF8, F1, F2</t>
  </si>
  <si>
    <t xml:space="preserve">Fp2, F3, F4, AF3, AF4, F1, F2, F6</t>
  </si>
  <si>
    <t xml:space="preserve">F3, F4, F8, FC2, AF7, AF3, AF4, AF8, F5, F1, F2, F6</t>
  </si>
  <si>
    <t xml:space="preserve">LOW_ALPHA_PROMINENCE; TOO_MANY_BAD_CHANNELS</t>
  </si>
  <si>
    <t xml:space="preserve">Fp1, Fp2, F3, FC1, AF7, AF3, AF4, F5, F2</t>
  </si>
  <si>
    <t xml:space="preserve">F7, F3, F4, AF7, AF3, AF4, AF8, F5, F1, F2, F6</t>
  </si>
  <si>
    <t xml:space="preserve">Fp1, F7, FC1, FC2, FC6, AF7, FT9, FT7, FC3</t>
  </si>
  <si>
    <t xml:space="preserve">Fp1, Fp2, F3, FC1, AF7, AF3, AF4, F2</t>
  </si>
  <si>
    <t xml:space="preserve">Fp1, Fp2, F3, F4, FC2, AF7, AF3, AF4, AF8, F1, F6</t>
  </si>
  <si>
    <t xml:space="preserve">F4, FC1, AF4, F5, F2, F6, FC3</t>
  </si>
  <si>
    <t xml:space="preserve">LINE_NOISE; TOO_MANY_BAD_CHANNELS; WEAK_ALPHA_BLOCKING</t>
  </si>
  <si>
    <t xml:space="preserve">Fp1, F3, F4, AF7, AF3, F5, F6</t>
  </si>
  <si>
    <t xml:space="preserve">Fp2, F3, F4, AF7, AF3, AF4, AF8, F5, F1, F2, F6</t>
  </si>
  <si>
    <t xml:space="preserve">F3, AF7, AF3, AF4, AF8, F5, F1, F2</t>
  </si>
  <si>
    <t xml:space="preserve">F7, F3, F8, AF7, AF8, F5, F1, F6</t>
  </si>
  <si>
    <t xml:space="preserve">Fp1, Fp2, F3, F4, AF7, AF4, AF8, F5, F1</t>
  </si>
  <si>
    <t xml:space="preserve">Fp1, Fp2, F3, F4, AF7, AF3, AF4, AF8, F5, F1, F2</t>
  </si>
  <si>
    <t xml:space="preserve">Fp2, F3, F4, AF7, AF3, AF8, F5, F1, F2, F6</t>
  </si>
  <si>
    <t xml:space="preserve">F7, F4, FC1, AF8, F5, F6, FC3</t>
  </si>
  <si>
    <t xml:space="preserve">F3, F4, F8, AF7, AF3, F1, F2, F6</t>
  </si>
  <si>
    <t xml:space="preserve">F7, F3, F4, FC1, AF7, AF3, AF4, AF8, F5, F1, F2, F6</t>
  </si>
  <si>
    <t xml:space="preserve">F3, F4, AF7, AF3, AF4, AF8, F5, F1, F2</t>
  </si>
  <si>
    <t xml:space="preserve">F7, F8, FC5, FC2, FC6, AF7, F5, F6, FC3, FC4</t>
  </si>
  <si>
    <t xml:space="preserve">F7, F3, F4, AF7, AF8, F5, F1, F2, F6</t>
  </si>
  <si>
    <t xml:space="preserve">F7, F4, FC1, FC2, F5, F6, FC3</t>
  </si>
  <si>
    <t xml:space="preserve">F7, F3, F4, FC1, AF8, F5, F2, F6</t>
  </si>
  <si>
    <t xml:space="preserve">F3, F4, AF7, AF8, F5, F1, F2</t>
  </si>
  <si>
    <t xml:space="preserve">LINE_NOISE; LOW_ALPHA_PROMINENCE; NO_ALPHA_BLOCKING; TOO_MANY_BAD_CHANNELS</t>
  </si>
  <si>
    <t xml:space="preserve">Fp1, Fp2, F3, F4, FC2, AF7, AF3, AF4, AF8, F1, F2, F6</t>
  </si>
  <si>
    <t xml:space="preserve">Fz, FC1, Cz, F1, F2</t>
  </si>
  <si>
    <t xml:space="preserve">F7, F3, F4, AF4, AF8, F5, F1, F2</t>
  </si>
  <si>
    <t xml:space="preserve">F7, F3, F4, AF7, AF4, AF8, F5, F1, F2</t>
  </si>
  <si>
    <t xml:space="preserve">F3, F4, FC2, FC6, F5, F2, F6, FC4</t>
  </si>
  <si>
    <t xml:space="preserve">F7, F3, F4, FC1, AF8, F5, F2</t>
  </si>
  <si>
    <t xml:space="preserve">Fz, F4, FC2, Cz, F2</t>
  </si>
  <si>
    <t xml:space="preserve">Fp1, Fp2, F3, F4, AF3, AF4, AF8, F1, F2</t>
  </si>
  <si>
    <t xml:space="preserve">F7, F4, F8, AF8, F5, F6, FC4</t>
  </si>
  <si>
    <t xml:space="preserve">DURATION_S; TOO_MANY_BAD_CHANNELS</t>
  </si>
  <si>
    <t xml:space="preserve">Fp1, Fp2, F3, F4, FC1, AF3, AF4, F1, F2</t>
  </si>
  <si>
    <t xml:space="preserve">F7, F3, F4, F8, AF7, F5, F1, F2, F6</t>
  </si>
  <si>
    <t xml:space="preserve">Fp1, Fp2, F3, F4, AF7, AF3, AF4, AF8, F5, F1, F6</t>
  </si>
  <si>
    <t xml:space="preserve">Fp1, Fp2, F7, F3, F4, AF7, AF3, AF4, AF8, F5, F1, F2</t>
  </si>
  <si>
    <t xml:space="preserve">Fz, Cz, F1, F2</t>
  </si>
  <si>
    <t xml:space="preserve">F7, F3, F4, F8, FC1, AF8, F5, F6</t>
  </si>
  <si>
    <t xml:space="preserve">F3, F4, F8, AF7, F5, F1, F2, F6</t>
  </si>
  <si>
    <t xml:space="preserve">F7, F3, F4, AF3, AF4, AF8, F5, F1, F2, F6</t>
  </si>
  <si>
    <t xml:space="preserve">F7, F4, FC1, FC2, F5, F2, FC3</t>
  </si>
  <si>
    <t xml:space="preserve">Fp1, Fp2, F3, F4, AF3, AF4, AF8, F5, F1, F6</t>
  </si>
  <si>
    <t xml:space="preserve">F7, F4, FC5, FC1, F5, F6, FC3</t>
  </si>
  <si>
    <t xml:space="preserve">Fp1, Fp2, F3, F4, AF7, AF3, AF4, AF8, F1, F6</t>
  </si>
  <si>
    <t xml:space="preserve">Fp1, Fp2, F3, F4, FC1, FC2, AF7, AF3, AF4, AF8, F5, F1, F6, FC4</t>
  </si>
  <si>
    <t xml:space="preserve">Fp1, Fp2, F3, F4, AF7, AF3, AF4, F1, F2</t>
  </si>
  <si>
    <t xml:space="preserve">Fp2, F3, F4, FC2, AF7, AF3, AF4, AF8, F1</t>
  </si>
  <si>
    <t xml:space="preserve">Fp1, Fp2, F3, F4, FC1, FC2, AF3, AF4, F1, F2</t>
  </si>
  <si>
    <t xml:space="preserve">F7, F3, F4, FC1, AF8, F5, F1, F2</t>
  </si>
  <si>
    <t xml:space="preserve">F3, F4, F8, AF7, AF8, F5, F2, F6</t>
  </si>
  <si>
    <t xml:space="preserve">Fp1, Fp2, Fz, AF7, AF3, AF4, AF8</t>
  </si>
  <si>
    <t xml:space="preserve">F7, F8, FC5, FC1, FC2, F5, F6, FC3</t>
  </si>
  <si>
    <t xml:space="preserve">F3, F4, AF7, AF3, AF8, F1, F2, F6</t>
  </si>
  <si>
    <t xml:space="preserve">Fp1, Fp2, AF7, AF3, AF4, AF8, F1, F2</t>
  </si>
  <si>
    <t xml:space="preserve">LINE_NOISE; NO_ALPHA_BLOCKING; TOO_MANY_BAD_CHANNELS</t>
  </si>
  <si>
    <t xml:space="preserve">F7, F3, F4, F8, FC1, FC2, F5, F6, FC4</t>
  </si>
  <si>
    <t xml:space="preserve">Fp1, Fp2, F7, F3, F4, FC1, FC2, AF7, AF3, AF4, AF8, F5, F2, F6, FC3</t>
  </si>
  <si>
    <t xml:space="preserve">F7, F4, F8, FC5, FC1, F5, F2, F6, FT7, FC3</t>
  </si>
  <si>
    <t xml:space="preserve">Fp2, F3, F4, FC2, AF7, AF4, AF8, F1, FC4</t>
  </si>
  <si>
    <t xml:space="preserve">F3, F4, AF7, AF3, AF4, AF8, F1, F2, F6</t>
  </si>
  <si>
    <t xml:space="preserve">F7, F4, FC5, FC1, FC2, FC3, FC4</t>
  </si>
  <si>
    <t xml:space="preserve">Fp2, F3, F4, AF7, AF3, AF4, AF8, F5, F2, F6</t>
  </si>
  <si>
    <t xml:space="preserve">F3, F4, AF7, AF3, AF4, AF8, F5, F1, F2, F6</t>
  </si>
  <si>
    <t xml:space="preserve">Fp1, F4, FC5, FC1, FC6, AF7, AF3, AF4, AF8, F6, FC3, FC4</t>
  </si>
  <si>
    <t xml:space="preserve">Fp2, F7, F4, AF7, AF4, AF8, F5, F2, F6</t>
  </si>
  <si>
    <t xml:space="preserve">F7, F3, F4, FC2, AF7, AF8, F5, F6</t>
  </si>
  <si>
    <t xml:space="preserve">F7, F8, FC5, FC2, FC6, AF7, AF8, FC3, FC4, FT8</t>
  </si>
  <si>
    <t xml:space="preserve">FC5, FC1, FC2, FC6, AF4, F6, FC3, FC4</t>
  </si>
  <si>
    <t xml:space="preserve">Fp1, Fp2, Fz, AF7, AF3, AF4, F1</t>
  </si>
  <si>
    <t xml:space="preserve">Fp1, Fp2, F3, F4, FC1, AF7, AF3, AF4, AF8, F5, F1, F2, F6</t>
  </si>
  <si>
    <t xml:space="preserve">Fp2, F7, F3, F4, FC1, AF7, AF3, AF4, AF8, F5, F1, F2</t>
  </si>
  <si>
    <t xml:space="preserve">Fp1, Fp2, Fz, AF3, AF4, F1, F2</t>
  </si>
  <si>
    <t xml:space="preserve">F3, Fz, FC1, AF7, F5, F1, F2</t>
  </si>
  <si>
    <t xml:space="preserve">F7, F3, F4, FC1, FC2, AF7, AF8, F6</t>
  </si>
  <si>
    <t xml:space="preserve">F7, F3, F4, FC5, FC1, AF7, AF4, AF8, F5, F1, F2, F6, FC3</t>
  </si>
  <si>
    <t xml:space="preserve">Fp1, Fp2, F3, F4, FC2, AF7, AF3, AF8, F1, FC4</t>
  </si>
  <si>
    <t xml:space="preserve">F3, F4, AF7, AF3, AF8, F5, F1, F2, F6</t>
  </si>
  <si>
    <t xml:space="preserve">F3, F4, AF7, AF8, F5, F1, F2, F6</t>
  </si>
  <si>
    <t xml:space="preserve">Fp1, Fp2, F3, F4, AF7, AF3, AF4, AF8, F5, F2, F6</t>
  </si>
  <si>
    <t xml:space="preserve">Fp1, Fp2, F3, F4, AF7, AF3, AF4, F5, F1, F2, F6</t>
  </si>
  <si>
    <t xml:space="preserve">Fp1, Fp2, F7, F3, F4, F8, FC1, AF7, AF3, AF4, AF8, F5, F2, F6</t>
  </si>
  <si>
    <t xml:space="preserve">F3, Fz, F4, AF3, F1, F2, F6</t>
  </si>
  <si>
    <t xml:space="preserve">Fp1, Fp2, F3, F4, AF7, AF3, AF4, AF8, F5, F1, F2, F6</t>
  </si>
  <si>
    <t xml:space="preserve">F7, F3, F4, F8, FC1, AF7, AF3, AF8, F5, F6</t>
  </si>
  <si>
    <t xml:space="preserve">Fp1, Fp2, F3, F4, AF7, AF3, AF4, AF8, F6</t>
  </si>
  <si>
    <t xml:space="preserve">F3, F4, F8, FC1, AF7, AF8, F5, F2, F6</t>
  </si>
  <si>
    <t xml:space="preserve">F3, F8, FC2, FC6, C4, AF7, F5, F1, F6, FC4</t>
  </si>
  <si>
    <t xml:space="preserve">Fp1, Fp2, F7, F3, F4, FC1, AF7, AF3, AF4, AF8, F5, F1, F6</t>
  </si>
  <si>
    <t xml:space="preserve">Fp1, Fp2, F3, F4, AF7, AF3, AF4, AF8, F1, F2</t>
  </si>
  <si>
    <t xml:space="preserve">LINE_NOISE; LOW_ALPHA_PROMINENCE; TOO_MANY_BAD_CHANNELS</t>
  </si>
  <si>
    <t xml:space="preserve">CRITICAL_CHANNEL_BAD; LINE_NOISE; NO_ALPHA_BLOCKING; TOO_MANY_BAD_CHANNELS</t>
  </si>
  <si>
    <t xml:space="preserve">Fz, Cz, AF3, F1, F2</t>
  </si>
  <si>
    <t xml:space="preserve">Fp1, Fp2, F3, F4, AF7, AF3, AF4, AF8, F5, F2</t>
  </si>
  <si>
    <t xml:space="preserve">Fp1, F7, F4, F8, FC1, AF7, AF4, F5, F2, F6, FC3</t>
  </si>
  <si>
    <t xml:space="preserve">Fp1, Fp2, Fz, AF7, AF4, AF8, F2</t>
  </si>
  <si>
    <t xml:space="preserve">Fp1, Fp2, F3, F4, FC1, FC2, AF3, AF4, AF8, F1, F2</t>
  </si>
  <si>
    <t xml:space="preserve">Fp1, Fp2, F3, Fz, AF7, AF3, AF4, AF8, F1, F2</t>
  </si>
  <si>
    <t xml:space="preserve">F7, F3, FC1, FC2, AF7, AF8, F5, F1, FC3</t>
  </si>
  <si>
    <t xml:space="preserve">Fp1, F7, F3, F4, F8, FC1, FC2, AF7, AF3, AF8, F5, F6</t>
  </si>
  <si>
    <t xml:space="preserve">F3, Fz, Cz, F1, F2</t>
  </si>
  <si>
    <t xml:space="preserve">Fz, F4, AF3, AF4, F1, F2, F6</t>
  </si>
  <si>
    <t xml:space="preserve">F7, F3, F4, F8, FC6, Oz, F5, F1, F6</t>
  </si>
  <si>
    <t xml:space="preserve">F7, F3, Fz, F4, AF7, AF3, AF4, AF8, F5, F1, F2, F6</t>
  </si>
  <si>
    <t xml:space="preserve">Fp1, Fp2, F7, F3, F4, F8, AF7, AF3, AF4, AF8, F5, F1, F2, F6</t>
  </si>
  <si>
    <t xml:space="preserve">Fz, F4, FC2, T8, AF4, F1, F2</t>
  </si>
  <si>
    <t xml:space="preserve">F3, Fz, F4, FC1, F1, F2, FC3</t>
  </si>
  <si>
    <t xml:space="preserve">F3, Fz, F4, FC1, FC2, F1, F2</t>
  </si>
  <si>
    <t xml:space="preserve">Fp1, Fp2, F7, F3, F4, FC1, FC2, FC6, AF7, AF3, AF4, AF8, F5, F1, F2, F6, FC3, FC4</t>
  </si>
  <si>
    <t xml:space="preserve">Fp1, Fp2, F3, Fz, F4, AF7, AF3, AF4, AF8, F5, F1, F2, F6</t>
  </si>
  <si>
    <t xml:space="preserve">Fp1, F3, Fz, AF3, AF4, F1, F2</t>
  </si>
  <si>
    <t xml:space="preserve">F3, Fz, F4, FC2, AF4, F1, F2</t>
  </si>
  <si>
    <t xml:space="preserve">Fp1, Fp2, F3, F4, FC2, AF4, F1, F2, F6</t>
  </si>
  <si>
    <t xml:space="preserve">Fp1, F3, F4, FC1, FC2, AF7, AF3, AF4, AF8, F5, F1, FC4</t>
  </si>
  <si>
    <t xml:space="preserve">Fp1, Fp2, Fz, AF7, AF3, AF4, F1, F2</t>
  </si>
  <si>
    <t xml:space="preserve">F7, F3, Fz, F4, AF3, AF4, AF8, F5, F1, F2</t>
  </si>
  <si>
    <t xml:space="preserve">Fp1, Fp2, Fz, AF7, AF3, AF4, AF8, F1, F2</t>
  </si>
  <si>
    <t xml:space="preserve">F3, Fz, FC1, AF3, AF4, AF8, F5, F1, F2</t>
  </si>
  <si>
    <t xml:space="preserve">F3, Fz, AF7, AF3, AF4, AF8, F5, F1, F2</t>
  </si>
  <si>
    <t xml:space="preserve">Fp1, F7, F3, F4, AF7, AF3, AF4, AF8, F5, F1, F2, F6</t>
  </si>
  <si>
    <t xml:space="preserve">Fp1, Fp2, F3, Fz, F4, AF7, AF3, AF4, AF8, F1, F2</t>
  </si>
  <si>
    <t xml:space="preserve">F3, Fz, F4, AF3, AF4, F1, F2</t>
  </si>
  <si>
    <t xml:space="preserve">F3, Fz, F4, FC2, AF7, F1, F2, F6</t>
  </si>
  <si>
    <t xml:space="preserve">Fp1, Fp2, Fz, AF7, AF3, AF4, F2</t>
  </si>
  <si>
    <t xml:space="preserve">F7, F3, Fz, F4, AF4, AF8, F5, F1, F2</t>
  </si>
  <si>
    <t xml:space="preserve">Fp2, Fz, F4, AF3, AF4, F1, F2</t>
  </si>
  <si>
    <t xml:space="preserve">Fp1, Fp2, Fz, AF7, AF3, AF4, AF8, F2</t>
  </si>
  <si>
    <t xml:space="preserve">Fp1, Fp2, F3, Fz, AF7, AF3, AF4, AF8, F5, F1, F2</t>
  </si>
  <si>
    <t xml:space="preserve">Fp1, Fp2, F3, Fz, AF7, AF3, AF4, F1, F2</t>
  </si>
  <si>
    <t xml:space="preserve">Fp1, Fz, AF7, AF3, AF4, AF8, F1, F2</t>
  </si>
  <si>
    <t xml:space="preserve">Fp1, Fp2, F3, Fz, F4, AF7, AF3, AF4, AF8, F5, F1, F2</t>
  </si>
  <si>
    <t xml:space="preserve">F3, Fz, F4, AF4, AF8, F5, F1, F2</t>
  </si>
  <si>
    <t xml:space="preserve">Fz, F4, AF3, AF4, AF8, F1, F2</t>
  </si>
  <si>
    <t xml:space="preserve">F3, Fz, F4, FC2, AF3, F1, F2</t>
  </si>
  <si>
    <t xml:space="preserve">Fp1, Fp2, Fz, F4, AF7, AF3, AF4, AF8, F5, F1, F2, F6</t>
  </si>
  <si>
    <t xml:space="preserve">Fp1, Fp2, Fz, F4, AF7, AF3, AF4, AF8</t>
  </si>
  <si>
    <t xml:space="preserve">Fp2, F3, Fz, F4, AF7, AF3, AF4, AF8, F1, F2, F6</t>
  </si>
  <si>
    <t xml:space="preserve">Fp1, Fp2, Fz, FC1, AF7, AF4, F1, F2</t>
  </si>
  <si>
    <t xml:space="preserve">F7, F3, Fz, F4, F8, F5, F1, F6</t>
  </si>
  <si>
    <t xml:space="preserve">F3, Fz, F4, AF7, AF3, F1, F2, F6</t>
  </si>
  <si>
    <t xml:space="preserve">DURATION_S; LINE_NOISE; TOO_MANY_BAD_CHANNELS</t>
  </si>
  <si>
    <t xml:space="preserve">Fp1, Fp2, F3, Fz, FC1, AF7, AF3, AF4, AF8, F1, F2</t>
  </si>
  <si>
    <t xml:space="preserve">Fp2, F3, Fz, AF7, AF3, AF4, AF8, F5, F1, F2</t>
  </si>
  <si>
    <t xml:space="preserve">Fp1, Fp2, F7, F3, Fz, F4, AF7, AF3, AF4, AF8, F5, F1, F2</t>
  </si>
  <si>
    <t xml:space="preserve">Fp1, Fp2, F7, F3, Fz, F4, AF7, AF3, AF4, AF8, F5, F1, F2, F6</t>
  </si>
  <si>
    <t xml:space="preserve">Fp1, Fp2, F3, Fz, F4, FC1, AF7, AF3, AF4, AF8, F1, F2</t>
  </si>
  <si>
    <t xml:space="preserve">Fp1, Fp2, Fz, F4, AF7, AF3, AF4, AF8, F1, F2</t>
  </si>
  <si>
    <t xml:space="preserve">F7, F3, F4, FC1, FC2, Cz, AF7, AF8, F5, F1, F6, FC3</t>
  </si>
  <si>
    <t xml:space="preserve">Fp1, Fp2, Fz, F4, AF3, AF4, AF8, F1, F2</t>
  </si>
  <si>
    <t xml:space="preserve">F3, Fz, F4, AF3, AF4, F5, F1, F2</t>
  </si>
  <si>
    <t xml:space="preserve">Fp2, Fz, F4, AF7, AF3, AF4, AF8, F5, F1, F2</t>
  </si>
  <si>
    <t xml:space="preserve">Fz, F4, AF7, AF3, F1, F2, F6</t>
  </si>
  <si>
    <t xml:space="preserve">Fp1, Fp2, F3, Fz, AF7, AF3, AF4, AF8, F5, F1</t>
  </si>
  <si>
    <t xml:space="preserve">Fp1, Fp2, F3, Fz, AF3, AF4, F1, F2</t>
  </si>
  <si>
    <t xml:space="preserve">Fp1, Fp2, F3, Fz, F4, FC2, AF7, AF3, AF4, AF8, F5, F1, F2</t>
  </si>
  <si>
    <t xml:space="preserve">Fp1, Fp2, Fz, F4, AF3, AF4, AF8, F2</t>
  </si>
  <si>
    <t xml:space="preserve">Fp1, Fp2, Fz, AF3, AF4, AF8, F1, F2</t>
  </si>
  <si>
    <t xml:space="preserve">Fp2, F3, Fz, F4, AF7, AF3, AF4, AF8, F1, F2</t>
  </si>
  <si>
    <t xml:space="preserve">Fz, F4, AF7, AF3, AF4, AF8, F1, F2, F6</t>
  </si>
  <si>
    <t xml:space="preserve">F3, Fz, F4, AF4, F1, F2, F6</t>
  </si>
  <si>
    <t xml:space="preserve">F3, Fz, F4, AF7, AF3, F5, F1, F2, F6</t>
  </si>
  <si>
    <t xml:space="preserve">F3, Fz, F4, FC5, FC1, F2, FC3</t>
  </si>
  <si>
    <t xml:space="preserve">Fp2, Fz, AF7, AF3, AF4, AF8, F1, F2</t>
  </si>
  <si>
    <t xml:space="preserve">F7, F3, Fz, F4, F8, AF4, F5, F1, F2, F6</t>
  </si>
  <si>
    <t xml:space="preserve">Fp1, Fp2, Fz, F4, AF7, AF3, AF4, AF8, F1, F2, F6</t>
  </si>
  <si>
    <t xml:space="preserve">F3, Fz, FC1, AF3, AF4, F1, F2</t>
  </si>
  <si>
    <t xml:space="preserve">Fp1, Fp2, Fz, F4, AF7, AF3, AF4, AF8, F2</t>
  </si>
  <si>
    <t xml:space="preserve">Fp1, Fp2, F3, Fz, AF7, AF3, AF4, F5, F1, F2</t>
  </si>
  <si>
    <t xml:space="preserve">F7, FC5, FC1, FC2, Cz, F5, FC3</t>
  </si>
  <si>
    <t xml:space="preserve">Fp1, F3, Fz, F4, AF3, AF4, F5, F1, F2, F6</t>
  </si>
  <si>
    <t xml:space="preserve">F3, Fz, F4, AF7, AF3, AF4, AF8, F1, F2</t>
  </si>
  <si>
    <t xml:space="preserve">F7, F3, Fz, F4, FC1, AF3, AF4, AF8, F5, F1, F2, F6</t>
  </si>
  <si>
    <t xml:space="preserve">Fp1, Fp2, F3, F4, FC2, FC6, AF7, AF3, AF4, AF8, F5, F1, F2, F6, FC4</t>
  </si>
  <si>
    <t xml:space="preserve">Fp2, F3, Fz, F4, AF3, AF4, F5, F1, F2</t>
  </si>
  <si>
    <t xml:space="preserve">Fp1, Fp2, Fz, F4, FC2, AF7, AF3, AF4, AF8, F1, F2</t>
  </si>
  <si>
    <t xml:space="preserve">F3, Fz, F4, AF7, AF3, AF4, AF8, F5, F1, F2</t>
  </si>
  <si>
    <t xml:space="preserve">Fp1, Fp2, F3, Fz, F4, FC1, AF7, AF3, AF4, AF8, F1, F2, FC3, FC4</t>
  </si>
  <si>
    <t xml:space="preserve">Fp1, Fp2, F3, Fz, F4, FC1, AF3, AF4, F1, F2</t>
  </si>
  <si>
    <t xml:space="preserve">Fz, FC1, FC2, FC6, F5, F1, F2, F6</t>
  </si>
  <si>
    <t xml:space="preserve">Fp1, Fp2, F3, Fz, AF3, F5, F1, F2</t>
  </si>
  <si>
    <t xml:space="preserve">Fp1, F7, F3, Fz, FC1, AF7, AF3, AF4, AF8, F5, F1</t>
  </si>
  <si>
    <t xml:space="preserve">Fp1, Fp2, Fz, AF3, AF4, F1, F2, P1</t>
  </si>
  <si>
    <t xml:space="preserve">Fp1, Fp2, F3, Fz, F4, FC2, AF3, AF4, F1, F2</t>
  </si>
  <si>
    <t xml:space="preserve">Fp1, Fp2, F3, Fz, F4, AF7, F1, F2</t>
  </si>
  <si>
    <t xml:space="preserve">Fp1, Fp2, Fz, AF7, AF3, AF4, AF8, F1</t>
  </si>
  <si>
    <t xml:space="preserve">F3, Fz, FC1, C3, AF3, F1, F2, FC3, C1</t>
  </si>
  <si>
    <t xml:space="preserve">Fp2, F3, Fz, AF3, AF4, AF8, F5, F1, F2</t>
  </si>
  <si>
    <t xml:space="preserve">Fp1, Fp2, F3, FC2, Cz, AF7, AF3, AF8, FC4</t>
  </si>
  <si>
    <t xml:space="preserve">F7, F3, Fz, F4, FC1, F5, F1, F2, F6</t>
  </si>
  <si>
    <t xml:space="preserve">Fp1, Fp2, F3, Fz, F4, AF7, AF3, AF4, AF8, F5, F1</t>
  </si>
  <si>
    <t xml:space="preserve">F3, Fz, Cz, F5, F1, F2</t>
  </si>
  <si>
    <t xml:space="preserve">Fp1, F3, Fz, F4, AF7, AF3, F1, F2</t>
  </si>
  <si>
    <t xml:space="preserve">Fp1, Fp2, F3, Fz, F4, FC1, FC2, AF7, AF3, AF4, AF8, F1, F2, FC3, FC4</t>
  </si>
  <si>
    <t xml:space="preserve">Fp1, Fp2, F3, Fz, FC1, AF3, AF4, F1, F2</t>
  </si>
  <si>
    <t xml:space="preserve">Fz, F4, FC1, FC2, AF3, F1, F2, F6, FC4</t>
  </si>
  <si>
    <t xml:space="preserve">Fp1, Fp2, Fz, F4, FC2, AF3, AF4, F1, F2</t>
  </si>
  <si>
    <t xml:space="preserve">Fp1, F3, Fz, F4, AF7, AF3, AF4, F5, F6</t>
  </si>
  <si>
    <t xml:space="preserve">Fp1, Fp2, Fz, F4, AF3, AF4, F1, F2, F6</t>
  </si>
  <si>
    <t xml:space="preserve">F3, F4, F8, FC5, FC1, AF3, AF4, F5, F2, FC3</t>
  </si>
  <si>
    <t xml:space="preserve">Fp1, F3, Fz, FC5, AF7, AF3, AF4, F5, F1, F2</t>
  </si>
  <si>
    <t xml:space="preserve">F3, Fz, F4, FC2, F5, F1, F2, F6, FC4</t>
  </si>
  <si>
    <t xml:space="preserve">Fp1, Fp2, F3, Fz, F4, AF7, AF3, AF4, F1, F2</t>
  </si>
  <si>
    <t xml:space="preserve">F3, Fz, F4, AF7, AF3, AF4, F5, F1, F2, F6</t>
  </si>
  <si>
    <t xml:space="preserve">Fp1, Fp2, F3, Fz, F4, AF7, AF3, AF4, AF8, F1, F2, F6</t>
  </si>
  <si>
    <t xml:space="preserve">Fp1, Fp2, F3, Fz, F4, FC2, AF7, AF3, AF4, AF8, F1, F2</t>
  </si>
  <si>
    <t xml:space="preserve">Fp1, F3, Fz, F4, AF7, AF3, AF4, F5, F1, F2, F6</t>
  </si>
  <si>
    <t xml:space="preserve">F3, Fz, F4, FC1, FC2, AF7, AF4, F1, F2, FC3, FC4</t>
  </si>
  <si>
    <t xml:space="preserve">Fp1, Fp2, F3, Fz, AF7, AF3, AF4, F1, F2, FC3</t>
  </si>
  <si>
    <t xml:space="preserve">Fp2, Fz, F4, AF3, AF4, F1, F2, F6</t>
  </si>
  <si>
    <t xml:space="preserve">Fp1, Fp2, F3, Fz, F4, F8, FC2, AF7, AF3, AF4, AF8, F1, F2, F6</t>
  </si>
  <si>
    <t xml:space="preserve">F3, Fz, F4, FC1, AF7, AF3, AF4, AF8, F5, F1, F2, F6</t>
  </si>
  <si>
    <t xml:space="preserve">Fp1, Fp2, F3, Fz, F4, AF3, AF4, AF8, F1, F2</t>
  </si>
  <si>
    <t xml:space="preserve">Fp1, Fp2, Fz, FC2, AF7, AF3, AF4, AF8, F1, F2</t>
  </si>
  <si>
    <t xml:space="preserve">CRITICAL_CHANNEL_BAD; LINE_NOISE; LOW_ALPHA_PROMINENCE; NO_ALPHA_BLOCKING; TOO_MANY_BAD_CHANNELS</t>
  </si>
  <si>
    <t xml:space="preserve">F3, Fz, F4, AF4, AF8, F5, F1, F2, F6</t>
  </si>
  <si>
    <t xml:space="preserve">Fp1, Fp2, F3, Fz, Cz, AF3, AF8</t>
  </si>
  <si>
    <t xml:space="preserve">CRITICAL_CHANNELS_BAD; LOW_ALPHA_PROMINENCE; TOO_MANY_BAD_CHANNELS</t>
  </si>
  <si>
    <t xml:space="preserve">F3, Fz, F4, FC2, AF7, F1, F2, F6, FC3, FC4</t>
  </si>
  <si>
    <t xml:space="preserve">Fp1, Fp2, F3, Fz, F4, FC2, AF7, AF3, AF4, AF8, F5, F1, F2, F6, FC4</t>
  </si>
  <si>
    <t xml:space="preserve">Fp1, Fp2, F3, Fz, AF7, AF3, AF4, F1</t>
  </si>
  <si>
    <t xml:space="preserve">Fp1, Fp2, Fz, AF3, AF4, AF8, F2</t>
  </si>
  <si>
    <t xml:space="preserve">Fp1, F3, Fz, AF3, AF4, F5, F1, F2</t>
  </si>
  <si>
    <t xml:space="preserve">F3, Fz, F4, FC2, AF4, F5, F1, F6, FC4</t>
  </si>
  <si>
    <t xml:space="preserve">F3, Fz, F4, FC2, AF3, AF4, F1, F2</t>
  </si>
  <si>
    <t xml:space="preserve">CRITICAL_CHANNEL_BAD; HIGH_LINE_NOISE; TOO_MANY_BAD_CHANNELS</t>
  </si>
  <si>
    <t xml:space="preserve">Fp1, Fz, F4, AF3, AF4, AF8, F1, F2</t>
  </si>
  <si>
    <t xml:space="preserve">CRITICAL_CHANNEL_BAD; LINE_NOISE; LOW_ALPHA_PROMINENCE; TOO_MANY_BAD_CHANNELS; WEAK_ALPHA_BLOCKING</t>
  </si>
  <si>
    <t xml:space="preserve">Fp1, Fp2, Fz, F4, F8, FC2, AF7, AF3, AF4, AF8, F1, F2, F6</t>
  </si>
  <si>
    <t xml:space="preserve">CRITICAL_CHANNEL_BAD; LINE_NOISE; LOW_ALPHA_PROMINENCE; TOO_MANY_BAD_CHANNELS</t>
  </si>
  <si>
    <t xml:space="preserve">Fp1, Fp2, F3, Fz, F4, F8, AF7, AF3, AF4, AF8, F1, F2, F6</t>
  </si>
  <si>
    <t xml:space="preserve">Fp1, Fp2, F3, Fz, F4, FC2, AF7, AF3, AF4, F1, F2</t>
  </si>
  <si>
    <t xml:space="preserve">Fp1, Fp2, F3, Fz, F4, FC1, FC2, FC6, AF7, AF3, AF4, AF8, F1, F2, FC3, FC4</t>
  </si>
  <si>
    <t xml:space="preserve">Fp1, Fp2, Fz, F4, AF3, AF4, F1, F2</t>
  </si>
  <si>
    <t xml:space="preserve">Fp1, Fp2, F3, Fz, F4, AF3, AF4, AF8, F1, F2, POz</t>
  </si>
  <si>
    <t xml:space="preserve">Fp2, F7, F3, Fz, AF7, AF3, AF4, F5, F1, F2</t>
  </si>
  <si>
    <t xml:space="preserve">Fz, FC1, FC2, Cz, AF4, F1, F2</t>
  </si>
  <si>
    <t xml:space="preserve">Fp1, Fp2, F3, Fz, F4, FC2, F1, F2, FC4</t>
  </si>
  <si>
    <t xml:space="preserve">Fp1, Fp2, F7, F3, Fz, F4, FC1, AF7, AF3, AF4, AF8, F5, F1, F2</t>
  </si>
  <si>
    <t xml:space="preserve">F3, Fz, FC1, AF3, F5, F1, F2, FT7</t>
  </si>
  <si>
    <t xml:space="preserve">Fp1, Fp2, F3, Fz, F4, AF7, AF3, AF4, AF8, F1, F2, POz</t>
  </si>
  <si>
    <t xml:space="preserve">F3, Fz, FC5, FC1, FC2, FC6, FC3, FC4</t>
  </si>
  <si>
    <t xml:space="preserve">Fp1, Fp2, Fz, FC1, AF7, AF3, AF4, F1, F2</t>
  </si>
  <si>
    <t xml:space="preserve">Fp1, Fp2, F7, F3, Fz, F4, F8, FC5, AF7, AF3, AF4, AF8, F5, F1, F2, F6, FC3</t>
  </si>
  <si>
    <t xml:space="preserve">F3, Fz, F4, FC1, AF3, AF4, F1, F2</t>
  </si>
  <si>
    <t xml:space="preserve">Fp1, Fp2, F3, Fz, F4, AF3, AF4, AF8, F5, F1, F2</t>
  </si>
  <si>
    <t xml:space="preserve">Fp1, Fp2, Fz, F4, FC2, AF4, AF8, F1, F2, F6, FC4</t>
  </si>
  <si>
    <t xml:space="preserve">Fp1, Fp2, Fz, FC2, AF7, AF3, AF4, F1, F2</t>
  </si>
  <si>
    <t xml:space="preserve">Fz, FC1, FC2, AF4, F1, F2, F6</t>
  </si>
  <si>
    <t xml:space="preserve">Fp2, Fz, F4, FC2, AF4, AF8, F1, F2</t>
  </si>
  <si>
    <t xml:space="preserve">Fz, F4, FC2, FC6, C4, T8, F2, FC4, FT8, C6</t>
  </si>
  <si>
    <t xml:space="preserve">Fp1, Fp2, F3, Fz, F4, FC1, FC2, AF3, AF4, F1, F2</t>
  </si>
  <si>
    <t xml:space="preserve">Fp2, F3, Fz, F4, AF3, AF4, F1, F2</t>
  </si>
  <si>
    <t xml:space="preserve">Fp1, Fp2, F3, Fz, F4, AF3, AF4, F1, F2</t>
  </si>
  <si>
    <t xml:space="preserve">Fp2, Fz, F4, AF4, AF8, F1, F2, F6</t>
  </si>
  <si>
    <t xml:space="preserve">Fp1, Fp2, F3, Fz, F4, FC1, AF3, AF4, AF8, F5, F1, F2, F6</t>
  </si>
  <si>
    <t xml:space="preserve">F3, Fz, F4, FC1, FC2, AF7, F1, F2, FC3, FC4</t>
  </si>
  <si>
    <t xml:space="preserve">Fp1, Fp2, F3, Fz, F4, FC2, AF4, AF8, F1, F2, F6</t>
  </si>
  <si>
    <t xml:space="preserve">CRITICAL_CHANNEL_BAD; DURATION_S; NO_ALPHA_BLOCKING; TOO_MANY_BAD_CHANNELS</t>
  </si>
  <si>
    <t xml:space="preserve">F3, Fz, FC5, FC1, C3, F1, F2, FC3, C5</t>
  </si>
  <si>
    <t xml:space="preserve">Fp1, Fp2, F7, F3, Fz, F4, FC2, AF7, AF3, AF4, AF8, F5, F1, F2, F6</t>
  </si>
  <si>
    <t xml:space="preserve">Fp2, Fz, F4, FC2, AF3, AF4, F1, F2, FC4</t>
  </si>
  <si>
    <t xml:space="preserve">Fp1, F3, Fz, F4, AF7, AF3, AF4, AF8, F1, F2</t>
  </si>
  <si>
    <t xml:space="preserve">Fp1, F3, Fz, F8, Cz, AF7, AF8, F5</t>
  </si>
  <si>
    <t xml:space="preserve">F3, Fz, FC2, FC6, Cz, F5, F1, FC4, FT8, C2, C6</t>
  </si>
  <si>
    <t xml:space="preserve">Fp1, F3, Fz, Cz, AF4, AF8, F1, F2</t>
  </si>
  <si>
    <t xml:space="preserve">Fz, F4, FC2, Cz, AF3, AF4, F1, F2, F6</t>
  </si>
  <si>
    <t xml:space="preserve">Fp1, Fp2, F3, Fz, F4, FC2, AF3, AF4, AF8, F1, F2, F6, FC4</t>
  </si>
  <si>
    <t xml:space="preserve">Fp1, Fp2, Fz, Cz, AF7, AF3, F1</t>
  </si>
  <si>
    <t xml:space="preserve">CRITICAL_CHANNELS_BAD; LINE_NOISE; TOO_MANY_BAD_CHANNELS</t>
  </si>
  <si>
    <t xml:space="preserve">F3, Fz, F4, FC1, FC6, AF4, F1, F2, FC3</t>
  </si>
  <si>
    <t xml:space="preserve">Fp1, Fp2, F3, Fz, F4, FC2, FC6, AF3, AF4, AF8, F1, F2, F6, FC4</t>
  </si>
  <si>
    <t xml:space="preserve">Fp1, Fp2, Fz, F4, FC2, AF3, AF4, F1, F2, FC4</t>
  </si>
  <si>
    <t xml:space="preserve">Fp1, Fp2, Fz, FC1, FC2, Cz, AF3, AF4, F1, F2</t>
  </si>
  <si>
    <t xml:space="preserve">Fp1, Fp2, F3, Fz, F4, Cz, AF3, AF4, AF8, F1, F2</t>
  </si>
  <si>
    <t xml:space="preserve">CRITICAL_CHANNELS_BAD; NO_ALPHA_BLOCKING; TOO_MANY_BAD_CHANNELS</t>
  </si>
  <si>
    <t xml:space="preserve">Fp1, Fp2, F3, Fz, F4, Cz, AF3, AF4, AF8, F1, F2, F6</t>
  </si>
  <si>
    <t xml:space="preserve">F3, Fz, F8, FC1, FC2, FC6, Cz, T8, F5, FC4, C2, C6</t>
  </si>
  <si>
    <t xml:space="preserve">Fp1, Fp2, F3, Fz, F4, AF3, AF4, F1, F2, F6</t>
  </si>
  <si>
    <t xml:space="preserve">Fp2, F3, Fz, Cz, AF7, AF3, AF4, AF8, F5, F1, F2, FC3</t>
  </si>
  <si>
    <t xml:space="preserve">CRITICAL_CHANNELS_BAD; TOO_MANY_BAD_CHANNELS; WEAK_ALPHA_BLOCKING</t>
  </si>
  <si>
    <t xml:space="preserve">Fp2, F3, Fz, F4, F8, FC1, FC2, Cz, T8, AF3, AF4, AF8, F1, F6, FC4, C2, C6</t>
  </si>
  <si>
    <t xml:space="preserve">Fp1, Fp2, F3, Fz, F4, F8, FC2, FC6, Cz, T8, AF3, AF4, AF8, F1, F2, F6, FC4, FT8, C2, C6</t>
  </si>
  <si>
    <t xml:space="preserve">session</t>
  </si>
  <si>
    <t xml:space="preserve">task</t>
  </si>
  <si>
    <t xml:space="preserve">acq</t>
  </si>
  <si>
    <t xml:space="preserve">overall</t>
  </si>
  <si>
    <t xml:space="preserve">label</t>
  </si>
  <si>
    <t xml:space="preserve">codes</t>
  </si>
  <si>
    <t xml:space="preserve">verdict_header</t>
  </si>
  <si>
    <t xml:space="preserve">verdict_integrity</t>
  </si>
  <si>
    <t xml:space="preserve">verdict_amplitude</t>
  </si>
  <si>
    <t xml:space="preserve">verdict_spectral</t>
  </si>
  <si>
    <t xml:space="preserve">verdict_consistency</t>
  </si>
  <si>
    <t xml:space="preserve">n_bad_channels</t>
  </si>
  <si>
    <t xml:space="preserve">bad_channels</t>
  </si>
  <si>
    <t xml:space="preserve">bad_detail</t>
  </si>
  <si>
    <t xml:space="preserve">n_critical_bad</t>
  </si>
  <si>
    <t xml:space="preserve">n_uncorrelated</t>
  </si>
  <si>
    <t xml:space="preserve">uncorrelated_channels</t>
  </si>
  <si>
    <t xml:space="preserve">interpolation_needed</t>
  </si>
  <si>
    <t xml:space="preserve">median_spatial_corr</t>
  </si>
  <si>
    <t xml:space="preserve">frozen_s</t>
  </si>
  <si>
    <t xml:space="preserve">typical_amp_uv</t>
  </si>
  <si>
    <t xml:space="preserve">median_kurtosis</t>
  </si>
  <si>
    <t xml:space="preserve">alpha_peak_hz</t>
  </si>
  <si>
    <t xml:space="preserve">alpha_prom_db</t>
  </si>
  <si>
    <t xml:space="preserve">alpha_ratio_EC_EO</t>
  </si>
  <si>
    <t xml:space="preserve">alpha_non_responder_possible</t>
  </si>
  <si>
    <t xml:space="preserve">line50_db</t>
  </si>
  <si>
    <t xml:space="preserve">line100_db</t>
  </si>
  <si>
    <t xml:space="preserve">line150_db</t>
  </si>
  <si>
    <t xml:space="preserve">notch_suggested</t>
  </si>
  <si>
    <t xml:space="preserve">trigger_events</t>
  </si>
  <si>
    <t xml:space="preserve">load_error</t>
  </si>
  <si>
    <t xml:space="preserve">FC1 (uncorrelated)</t>
  </si>
  <si>
    <t xml:space="preserve">Fp1 (uncorrelated), Fp2 (uncorrelated), F3 (uncorrelated), Fz (uncorrelated), F4 (uncorrelated), AF7 (uncorrelated), AF3 (uncorrelated), AF4 (uncorrelated), AF8 (uncorrelated), F5 (uncorrelated), F1 (uncorrelated), F2 (uncorrelated), F6 (uncorrelated)</t>
  </si>
  <si>
    <t xml:space="preserve">F3 (uncorrelated), Fz (uncorrelated), F4 (uncorrelated), FC1 (uncorrelated), AF7 (uncorrelated), AF3 (uncorrelated), AF4 (uncorrelated), AF8 (uncorrelated), F5 (uncorrelated), F1 (uncorrelated), F2 (uncorrelated), F6 (uncorrelated)</t>
  </si>
  <si>
    <t xml:space="preserve">FC2 (uncorrelated), Cz (uncorrelated)</t>
  </si>
  <si>
    <t xml:space="preserve">FC1 (uncorrelated), FC2 (uncorrelated), F5 (uncorrelated), F6 (uncorrelated)</t>
  </si>
  <si>
    <t xml:space="preserve">Fp1 (uncorrelated), Fp2 (uncorrelated), F3 (uncorrelated), Fz (uncorrelated), F4 (uncorrelated), FC1 (uncorrelated), AF7 (uncorrelated), AF3 (uncorrelated), AF4 (uncorrelated), AF8 (uncorrelated), F1 (uncorrelated), F2 (uncorrelated)</t>
  </si>
  <si>
    <t xml:space="preserve">Fp1 (uncorrelated), Fp2 (uncorrelated), Fz (uncorrelated), F4 (uncorrelated), AF3 (uncorrelated), AF4 (uncorrelated), F1 (uncorrelated), F2 (uncorrelated), F6 (uncorrelated)</t>
  </si>
  <si>
    <t xml:space="preserve">FC2 (uncorrelated), FC6 (uncorrelated), FC4 (uncorrelated)</t>
  </si>
  <si>
    <t xml:space="preserve">FC6 (uncorrelated), FC4 (uncorrelated)</t>
  </si>
  <si>
    <t xml:space="preserve">Fz (uncorrelated), F4 (uncorrelated), F1 (uncorrelated), F2 (uncorrelated), F6 (uncorrelated)</t>
  </si>
  <si>
    <t xml:space="preserve">Fz (uncorrelated), F1 (uncorrelated)</t>
  </si>
  <si>
    <t xml:space="preserve">F8 (uncorrelated), FC5 (uncorrelated), FC1 (uncorrelated), FC3 (uncorrelated)</t>
  </si>
  <si>
    <t xml:space="preserve">F7 (uncorrelated), FC1 (uncorrelated), AF8 (uncorrelated)</t>
  </si>
  <si>
    <t xml:space="preserve">Fz (uncorrelated), F2 (uncorrelated), F6 (uncorrelated)</t>
  </si>
  <si>
    <t xml:space="preserve">Fz (uncorrelated), F1 (uncorrelated), F2 (uncorrelated)</t>
  </si>
  <si>
    <t xml:space="preserve">F3 (uncorrelated), AF3 (uncorrelated), AF4 (uncorrelated), F1 (uncorrelated), F2 (uncorrelated)</t>
  </si>
  <si>
    <t xml:space="preserve">F3 (uncorrelated), F1 (uncorrelated), F2 (uncorrelated)</t>
  </si>
  <si>
    <t xml:space="preserve">Fz (uncorrelated), Cz (uncorrelated)</t>
  </si>
  <si>
    <t xml:space="preserve">Fz (uncorrelated), F5 (uncorrelated), F1 (uncorrelated)</t>
  </si>
  <si>
    <t xml:space="preserve">FC2 (uncorrelated), F5 (noisy+uncorrelated)</t>
  </si>
  <si>
    <t xml:space="preserve">Fp1 (uncorrelated), Fp2 (uncorrelated), F3 (uncorrelated), Fz (uncorrelated), AF7 (uncorrelated), AF3 (uncorrelated), AF4 (uncorrelated), AF8 (uncorrelated), F1 (uncorrelated), F2 (uncorrelated)</t>
  </si>
  <si>
    <t xml:space="preserve">Fp1 (uncorrelated), Fp2 (uncorrelated), Fz (uncorrelated), F4 (uncorrelated), AF3 (uncorrelated), AF4 (uncorrelated), F1 (uncorrelated), F2 (uncorrelated)</t>
  </si>
  <si>
    <t xml:space="preserve">F7 (uncorrelated), F8 (uncorrelated)</t>
  </si>
  <si>
    <t xml:space="preserve">F8 (uncorrelated)</t>
  </si>
  <si>
    <t xml:space="preserve">Fp1 (uncorrelated), Fp2 (uncorrelated), F3 (uncorrelated), Fz (uncorrelated), F4 (uncorrelated), AF7 (uncorrelated), AF3 (uncorrelated), AF4 (uncorrelated), AF8 (uncorrelated), F1 (uncorrelated), F2 (uncorrelated)</t>
  </si>
  <si>
    <t xml:space="preserve">Fp1 (uncorrelated), Fp2 (uncorrelated), F3 (uncorrelated), F4 (uncorrelated), AF7 (uncorrelated), AF3 (uncorrelated), AF4 (uncorrelated), AF8 (uncorrelated), F5 (uncorrelated), F1 (uncorrelated), F2 (uncorrelated)</t>
  </si>
  <si>
    <t xml:space="preserve">Fz (uncorrelated), F4 (uncorrelated), FC2 (uncorrelated), FC6 (uncorrelated), C4 (uncorrelated), T8 (noisy), F2 (uncorrelated), FC4 (uncorrelated), FT8 (uncorrelated), C6 (uncorrelated)</t>
  </si>
  <si>
    <t xml:space="preserve">Fz, F4, FC2, FC6, C4, F2, FC4, FT8, C6</t>
  </si>
  <si>
    <t xml:space="preserve">Fz (uncorrelated), F4 (uncorrelated), AF4 (uncorrelated), F1 (uncorrelated), F2 (uncorrelated), C6 (uncorrelated)</t>
  </si>
  <si>
    <t xml:space="preserve">FC2 (uncorrelated), FC6 (uncorrelated), T8 (noisy), FC4 (uncorrelated), C6 (uncorrelated)</t>
  </si>
  <si>
    <t xml:space="preserve">FC2, FC6, FC4, C6</t>
  </si>
  <si>
    <t xml:space="preserve">P4 (noisy+uncorrelated)</t>
  </si>
  <si>
    <t xml:space="preserve">F7 (uncorrelated), F8 (uncorrelated), FC1 (uncorrelated), FC2 (uncorrelated)</t>
  </si>
  <si>
    <t xml:space="preserve">F4 (uncorrelated), F8 (uncorrelated), F5 (uncorrelated), F6 (uncorrelated)</t>
  </si>
  <si>
    <t xml:space="preserve">Fz (uncorrelated), F4 (uncorrelated), AF3 (uncorrelated), AF4 (uncorrelated), F1 (uncorrelated), F2 (uncorrelated)</t>
  </si>
  <si>
    <t xml:space="preserve">F3 (uncorrelated), F4 (uncorrelated), FC1 (uncorrelated), AF3 (uncorrelated), AF4 (uncorrelated), F1 (uncorrelated), F2 (uncorrelated)</t>
  </si>
  <si>
    <t xml:space="preserve">Fp1 (uncorrelated), Fp2 (uncorrelated), F3 (uncorrelated), F4 (uncorrelated), FC1 (uncorrelated), FC2 (uncorrelated), AF3 (uncorrelated), AF4 (uncorrelated), F1 (uncorrelated), F2 (uncorrelated)</t>
  </si>
  <si>
    <t xml:space="preserve">Fz (uncorrelated), F2 (uncorrelated)</t>
  </si>
  <si>
    <t xml:space="preserve">F8 (uncorrelated), FC1 (uncorrelated), FC2 (uncorrelated), FC3 (uncorrelated)</t>
  </si>
  <si>
    <t xml:space="preserve">F7 (uncorrelated), F3 (uncorrelated), F4 (uncorrelated), FC2 (uncorrelated), AF7 (uncorrelated), AF8 (uncorrelated), F5 (uncorrelated), F6 (uncorrelated)</t>
  </si>
  <si>
    <t xml:space="preserve">Fp1 (uncorrelated), Fp2 (uncorrelated), F3 (uncorrelated), Fz (uncorrelated), F4 (uncorrelated), FC2 (uncorrelated), AF7 (uncorrelated), AF3 (uncorrelated), AF4 (uncorrelated), AF8 (uncorrelated), F1 (uncorrelated), F2 (uncorrelated)</t>
  </si>
  <si>
    <t xml:space="preserve">F8 (uncorrelated), FC1 (uncorrelated), FC2 (uncorrelated), F6 (uncorrelated)</t>
  </si>
  <si>
    <t xml:space="preserve">FC1 (uncorrelated), FC2 (uncorrelated), FC3 (uncorrelated), FC4 (uncorrelated)</t>
  </si>
  <si>
    <t xml:space="preserve">Fp1 (uncorrelated), Fz (uncorrelated), F1 (uncorrelated)</t>
  </si>
  <si>
    <t xml:space="preserve">FC2 (uncorrelated)</t>
  </si>
  <si>
    <t xml:space="preserve">F5 (uncorrelated), F6 (uncorrelated)</t>
  </si>
  <si>
    <t xml:space="preserve">F7 (uncorrelated), F3 (uncorrelated), F4 (uncorrelated), F5 (uncorrelated), F6 (uncorrelated)</t>
  </si>
  <si>
    <t xml:space="preserve">Fz (uncorrelated)</t>
  </si>
  <si>
    <t xml:space="preserve">F3 (uncorrelated), F4 (uncorrelated), AF8 (uncorrelated), F5 (uncorrelated), F6 (uncorrelated)</t>
  </si>
  <si>
    <t xml:space="preserve">F7 (uncorrelated), FC2 (uncorrelated), F5 (uncorrelated), F6 (uncorrelated)</t>
  </si>
  <si>
    <t xml:space="preserve">Fp1 (uncorrelated), Fp2 (uncorrelated), F3 (uncorrelated), Fz (uncorrelated), F4 (uncorrelated), AF7 (uncorrelated), AF3 (uncorrelated), AF4 (uncorrelated), AF8 (uncorrelated), F5 (uncorrelated), F1 (uncorrelated), F2 (uncorrelated)</t>
  </si>
  <si>
    <t xml:space="preserve">Fp1 (uncorrelated), Fz (uncorrelated), AF3 (uncorrelated), AF4 (uncorrelated), F1 (uncorrelated), F2 (uncorrelated)</t>
  </si>
  <si>
    <t xml:space="preserve">FC1 (uncorrelated), F6 (uncorrelated)</t>
  </si>
  <si>
    <t xml:space="preserve">F6 (uncorrelated), FC3 (uncorrelated)</t>
  </si>
  <si>
    <t xml:space="preserve">Fp1 (uncorrelated), Fp2 (uncorrelated), Fz (uncorrelated), F4 (uncorrelated), AF7 (uncorrelated), AF3 (uncorrelated), AF4 (uncorrelated), AF8 (uncorrelated), F1 (uncorrelated), F2 (uncorrelated)</t>
  </si>
  <si>
    <t xml:space="preserve">F3 (uncorrelated), F4 (uncorrelated), AF7 (uncorrelated), AF3 (uncorrelated), AF4 (uncorrelated), AF8 (uncorrelated), F5 (uncorrelated), F1 (uncorrelated), F2 (uncorrelated)</t>
  </si>
  <si>
    <t xml:space="preserve">F3 (uncorrelated), F4 (uncorrelated), AF7 (uncorrelated), AF3 (uncorrelated), AF8 (uncorrelated), F5 (uncorrelated), F1 (uncorrelated), F2 (uncorrelated), F6 (uncorrelated)</t>
  </si>
  <si>
    <t xml:space="preserve">F4 (uncorrelated), F5 (uncorrelated)</t>
  </si>
  <si>
    <t xml:space="preserve">F7 (uncorrelated), F8 (uncorrelated), F5 (uncorrelated)</t>
  </si>
  <si>
    <t xml:space="preserve">Fp1 (uncorrelated), Fp2 (uncorrelated), Fz (uncorrelated), AF7 (uncorrelated), AF3 (uncorrelated), AF4 (uncorrelated), AF8 (uncorrelated), F1 (uncorrelated), F2 (uncorrelated)</t>
  </si>
  <si>
    <t xml:space="preserve">F6 (uncorrelated)</t>
  </si>
  <si>
    <t xml:space="preserve">Fz (uncorrelated), FC1 (uncorrelated), F1 (uncorrelated)</t>
  </si>
  <si>
    <t xml:space="preserve">F8 (uncorrelated), FC5 (uncorrelated), FC2 (uncorrelated), FC3 (uncorrelated)</t>
  </si>
  <si>
    <t xml:space="preserve">Fz (uncorrelated), F4 (uncorrelated), FC2 (uncorrelated), F1 (uncorrelated), F2 (uncorrelated)</t>
  </si>
  <si>
    <t xml:space="preserve">Fp1 (uncorrelated), Fp2 (uncorrelated), F7 (uncorrelated), F3 (uncorrelated), F4 (uncorrelated), F8 (uncorrelated), AF7 (uncorrelated), AF3 (uncorrelated), AF4 (uncorrelated), AF8 (uncorrelated), F5 (uncorrelated), F1 (uncorrelated), F2 (uncorrelated), F6 (uncorrelated)</t>
  </si>
  <si>
    <t xml:space="preserve">F7 (uncorrelated), FC1 (uncorrelated), FC2 (uncorrelated), FC4 (uncorrelated)</t>
  </si>
  <si>
    <t xml:space="preserve">F7 (uncorrelated), F8 (uncorrelated), FC2 (uncorrelated), FC4 (uncorrelated)</t>
  </si>
  <si>
    <t xml:space="preserve">Fp2 (uncorrelated), F3 (uncorrelated), Fz (uncorrelated), Cz (uncorrelated), AF7 (uncorrelated), AF3 (uncorrelated), AF4 (uncorrelated), AF8 (uncorrelated), F5 (uncorrelated), F1 (uncorrelated), F2 (uncorrelated), FC3 (uncorrelated)</t>
  </si>
  <si>
    <t xml:space="preserve">Fz (uncorrelated), FC1 (uncorrelated), AF3 (uncorrelated), FC3 (uncorrelated)</t>
  </si>
  <si>
    <t xml:space="preserve">FC5 (uncorrelated), FC1 (uncorrelated), FT7 (uncorrelated), FC3 (uncorrelated)</t>
  </si>
  <si>
    <t xml:space="preserve">Fp1 (uncorrelated), Fp2 (uncorrelated), Fz (uncorrelated), AF4 (uncorrelated), F1 (uncorrelated), F2 (uncorrelated)</t>
  </si>
  <si>
    <t xml:space="preserve">Fp1 (uncorrelated)</t>
  </si>
  <si>
    <t xml:space="preserve">Fp1 (uncorrelated), Fp2 (uncorrelated), Fz (uncorrelated), FC1 (uncorrelated), AF7 (uncorrelated), AF4 (uncorrelated), F1 (uncorrelated), F2 (uncorrelated)</t>
  </si>
  <si>
    <t xml:space="preserve">F3 (uncorrelated), Fz (uncorrelated), FC1 (uncorrelated), AF3 (uncorrelated), AF4 (uncorrelated), F1 (uncorrelated), F2 (uncorrelated)</t>
  </si>
  <si>
    <t xml:space="preserve">Fz (uncorrelated), FC1 (uncorrelated), AF4 (uncorrelated), F1 (uncorrelated), F2 (uncorrelated)</t>
  </si>
  <si>
    <t xml:space="preserve">FC1 (uncorrelated), F6 (uncorrelated), FC3 (uncorrelated)</t>
  </si>
  <si>
    <t xml:space="preserve">FC5 (uncorrelated), FC1 (uncorrelated), FC3 (uncorrelated)</t>
  </si>
  <si>
    <t xml:space="preserve">Fp2 (uncorrelated), F3 (uncorrelated), Fz (uncorrelated), F4 (uncorrelated), AF3 (uncorrelated), AF4 (uncorrelated), F5 (uncorrelated), F1 (uncorrelated), F2 (uncorrelated)</t>
  </si>
  <si>
    <t xml:space="preserve">F3 (uncorrelated), Fz (uncorrelated), F4 (uncorrelated), AF3 (uncorrelated), AF4 (uncorrelated), F5 (uncorrelated), F1 (uncorrelated), F2 (uncorrelated)</t>
  </si>
  <si>
    <t xml:space="preserve">Fz (uncorrelated), F4 (uncorrelated), AF3 (uncorrelated), AF4 (uncorrelated), F1 (uncorrelated), F2 (uncorrelated), F6 (uncorrelated)</t>
  </si>
  <si>
    <t xml:space="preserve">Fz (uncorrelated), F4 (uncorrelated), AF4 (uncorrelated), F2 (uncorrelated), F6 (uncorrelated)</t>
  </si>
  <si>
    <t xml:space="preserve">F3 (uncorrelated), Fz (uncorrelated), F4 (uncorrelated), AF7 (uncorrelated), AF3 (uncorrelated), AF4 (uncorrelated), F5 (uncorrelated), F1 (uncorrelated), F2 (uncorrelated), F6 (uncorrelated)</t>
  </si>
  <si>
    <t xml:space="preserve">Fp1 (uncorrelated), F3 (uncorrelated), Fz (uncorrelated), F4 (uncorrelated), AF3 (uncorrelated), AF4 (uncorrelated), F5 (uncorrelated), F1 (uncorrelated), F2 (uncorrelated), F6 (uncorrelated)</t>
  </si>
  <si>
    <t xml:space="preserve">Fp1 (uncorrelated), Fp2 (uncorrelated), F3 (uncorrelated), Fz (uncorrelated), F4 (uncorrelated), F8 (uncorrelated), FC2 (uncorrelated), FC6 (uncorrelated), Cz (uncorrelated), T8 (uncorrelated), AF3 (uncorrelated), AF4 (uncorrelated), AF8 (uncorrelated), F1 (uncorrelated), F2 (uncorrelated), F6 (uncorrelated), FC4 (uncorrelated), FT8 (uncorrelated), C2 (uncorrelated), C6 (uncorrelated)</t>
  </si>
  <si>
    <t xml:space="preserve">Fp2 (uncorrelated), F3 (uncorrelated), Fz (uncorrelated), F4 (uncorrelated), F8 (uncorrelated), FC1 (uncorrelated), FC2 (uncorrelated), Cz (uncorrelated), T8 (uncorrelated), AF3 (uncorrelated), AF4 (uncorrelated), AF8 (uncorrelated), F1 (uncorrelated), F6 (uncorrelated), FC4 (uncorrelated), C2 (uncorrelated), C6 (uncorrelated)</t>
  </si>
  <si>
    <t xml:space="preserve">F3 (uncorrelated), Fz (uncorrelated), FC2 (uncorrelated), FC6 (uncorrelated), Cz (uncorrelated), F5 (uncorrelated), F1 (uncorrelated), FC4 (uncorrelated), FT8 (uncorrelated), C2 (clipped), C6 (uncorrelated)</t>
  </si>
  <si>
    <t xml:space="preserve">F3, Fz, FC2, FC6, Cz, F5, F1, FC4, FT8, C6</t>
  </si>
  <si>
    <t xml:space="preserve">F3 (uncorrelated), Fz (uncorrelated), F8 (uncorrelated), FC1 (uncorrelated), FC2 (uncorrelated), FC6 (uncorrelated), Cz (clipped), T8 (clipped), F5 (uncorrelated), FC4 (uncorrelated), C2 (uncorrelated), C6 (uncorrelated)</t>
  </si>
  <si>
    <t xml:space="preserve">F3, Fz, F8, FC1, FC2, FC6, F5, FC4, C2, C6</t>
  </si>
  <si>
    <t xml:space="preserve">F3 (uncorrelated), F4 (uncorrelated), F8 (uncorrelated), AF7 (uncorrelated), F5 (uncorrelated), F1 (uncorrelated), F2 (uncorrelated), F6 (uncorrelated)</t>
  </si>
  <si>
    <t xml:space="preserve">F3 (uncorrelated), F4 (uncorrelated), F8 (uncorrelated), AF7 (uncorrelated), AF3 (uncorrelated), F1 (uncorrelated), F2 (uncorrelated), F6 (uncorrelated)</t>
  </si>
  <si>
    <t xml:space="preserve">F3 (uncorrelated), F4 (uncorrelated), F8 (uncorrelated), AF7 (uncorrelated), F5 (uncorrelated), F1 (uncorrelated), F6 (uncorrelated)</t>
  </si>
  <si>
    <t xml:space="preserve">F3 (uncorrelated), Fz (uncorrelated), F4 (uncorrelated), AF7 (uncorrelated), AF3 (uncorrelated), F5 (uncorrelated), F1 (uncorrelated), F2 (uncorrelated), F6 (uncorrelated)</t>
  </si>
  <si>
    <t xml:space="preserve">Fp2 (uncorrelated), F3 (uncorrelated), Fz (uncorrelated), F4 (uncorrelated), AF7 (uncorrelated), AF3 (uncorrelated), AF4 (uncorrelated), AF8 (uncorrelated), F1 (uncorrelated), F2 (uncorrelated), F6 (uncorrelated)</t>
  </si>
  <si>
    <t xml:space="preserve">F7 (uncorrelated), F4 (uncorrelated), AF8 (uncorrelated)</t>
  </si>
  <si>
    <t xml:space="preserve">F7 (uncorrelated), F6 (uncorrelated)</t>
  </si>
  <si>
    <t xml:space="preserve">Fz (uncorrelated), FC1 (uncorrelated), F1 (uncorrelated), F2 (uncorrelated), FC3 (uncorrelated)</t>
  </si>
  <si>
    <t xml:space="preserve">FC5 (uncorrelated), FC1 (uncorrelated), FC2 (uncorrelated), FC6 (uncorrelated), AF4 (uncorrelated), F6 (uncorrelated), FC3 (uncorrelated), FC4 (uncorrelated)</t>
  </si>
  <si>
    <t xml:space="preserve">Fp1 (uncorrelated), Fp2 (uncorrelated), F3 (uncorrelated), F4 (uncorrelated), FC1 (uncorrelated), FC2 (uncorrelated), AF7 (uncorrelated), AF3 (uncorrelated), AF4 (uncorrelated), AF8 (uncorrelated), F5 (uncorrelated), F1 (uncorrelated), F6 (uncorrelated), FC4 (uncorrelated)</t>
  </si>
  <si>
    <t xml:space="preserve">Fz (uncorrelated), FC1 (uncorrelated), F1 (uncorrelated), F2 (uncorrelated)</t>
  </si>
  <si>
    <t xml:space="preserve">Fz (uncorrelated), FC1 (uncorrelated), FC2 (uncorrelated), F1 (uncorrelated), F2 (uncorrelated)</t>
  </si>
  <si>
    <t xml:space="preserve">Fp1 (uncorrelated), Fp2 (uncorrelated), F3 (uncorrelated), Fz (uncorrelated), F4 (uncorrelated), FC1 (uncorrelated), FC2 (uncorrelated), FC6 (uncorrelated), AF7 (uncorrelated), AF3 (uncorrelated), AF4 (uncorrelated), AF8 (uncorrelated), F1 (uncorrelated), F2 (uncorrelated), FC3 (uncorrelated), FC4 (uncorrelated)</t>
  </si>
  <si>
    <t xml:space="preserve">Fp1 (uncorrelated), Fp2 (uncorrelated), F3 (uncorrelated), Fz (uncorrelated), F4 (uncorrelated), FC1 (uncorrelated), FC2 (uncorrelated), AF7 (uncorrelated), AF3 (uncorrelated), AF4 (uncorrelated), AF8 (uncorrelated), F1 (uncorrelated), F2 (uncorrelated), FC3 (uncorrelated), FC4 (uncorrelated)</t>
  </si>
  <si>
    <t xml:space="preserve">Fz (uncorrelated), FC2 (uncorrelated), F2 (uncorrelated)</t>
  </si>
  <si>
    <t xml:space="preserve">F3 (uncorrelated), Fz (uncorrelated), FC2 (uncorrelated), F1 (uncorrelated), F2 (uncorrelated)</t>
  </si>
  <si>
    <t xml:space="preserve">Fp1 (uncorrelated), Fp2 (uncorrelated), F3 (uncorrelated), Fz (uncorrelated), F4 (uncorrelated), F8 (uncorrelated), FC2 (uncorrelated), AF7 (uncorrelated), AF3 (uncorrelated), AF4 (uncorrelated), AF8 (uncorrelated), F1 (uncorrelated), F2 (uncorrelated), F6 (uncorrelated)</t>
  </si>
  <si>
    <t xml:space="preserve">F8 (uncorrelated), FC2 (uncorrelated), AF7 (uncorrelated), F5 (uncorrelated), F6 (uncorrelated)</t>
  </si>
  <si>
    <t xml:space="preserve">Fz (uncorrelated), F4 (uncorrelated), AF4 (uncorrelated), F1 (uncorrelated), F2 (uncorrelated)</t>
  </si>
  <si>
    <t xml:space="preserve">F3 (uncorrelated), Fz (uncorrelated), FC5 (uncorrelated), FC1 (uncorrelated), C3 (uncorrelated), F1 (uncorrelated), F2 (uncorrelated), FC3 (uncorrelated), C5 (uncorrelated)</t>
  </si>
  <si>
    <t xml:space="preserve">F8 (uncorrelated), FC5 (uncorrelated), FC1 (uncorrelated), FC2 (uncorrelated), F6 (uncorrelated), FC3 (uncorrelated), FC4 (uncorrelated)</t>
  </si>
  <si>
    <t xml:space="preserve">FC5 (uncorrelated), FC1 (uncorrelated), FC2 (uncorrelated), FC6 (uncorrelated), FC3 (uncorrelated), FC4 (uncorrelated), C5 (uncorrelated)</t>
  </si>
  <si>
    <t xml:space="preserve">FC1 (uncorrelated), FC2 (uncorrelated), T7 (noisy), T8 (noisy), FC3 (uncorrelated), FC4 (uncorrelated), C5 (uncorrelated)</t>
  </si>
  <si>
    <t xml:space="preserve">FC1, FC2, FC3, FC4, C5</t>
  </si>
  <si>
    <t xml:space="preserve">FT8 (uncorrelated)</t>
  </si>
  <si>
    <t xml:space="preserve">F7 (uncorrelated), F4 (uncorrelated), F6 (uncorrelated)</t>
  </si>
  <si>
    <t xml:space="preserve">F7 (uncorrelated), F8 (uncorrelated), FC2 (uncorrelated)</t>
  </si>
  <si>
    <t xml:space="preserve">F3 (uncorrelated), FC2 (uncorrelated), F5 (uncorrelated), F6 (uncorrelated)</t>
  </si>
  <si>
    <t xml:space="preserve">FC5 (uncorrelated), FC1 (uncorrelated), FC2 (uncorrelated), FC3 (uncorrelated)</t>
  </si>
  <si>
    <t xml:space="preserve">FC1 (uncorrelated), C3 (uncorrelated)</t>
  </si>
  <si>
    <t xml:space="preserve">Fz (uncorrelated), FC1 (uncorrelated), C3 (uncorrelated)</t>
  </si>
  <si>
    <t xml:space="preserve">F7 (uncorrelated), FC1 (uncorrelated), FC2 (uncorrelated), F6 (uncorrelated)</t>
  </si>
  <si>
    <t xml:space="preserve">F7 (uncorrelated), F4 (uncorrelated), FC1 (uncorrelated), F5 (uncorrelated)</t>
  </si>
  <si>
    <t xml:space="preserve">F3 (uncorrelated), F4 (uncorrelated), AF3 (uncorrelated), AF4 (uncorrelated), F1 (uncorrelated), F2 (uncorrelated), F6 (uncorrelated)</t>
  </si>
  <si>
    <t xml:space="preserve">F3 (uncorrelated), F4 (uncorrelated), AF7 (uncorrelated), F6 (uncorrelated)</t>
  </si>
  <si>
    <t xml:space="preserve">F7 (uncorrelated), F3 (uncorrelated), F4 (uncorrelated), FC1 (uncorrelated), AF8 (uncorrelated), F5 (uncorrelated), F6 (uncorrelated)</t>
  </si>
  <si>
    <t xml:space="preserve">F3 (uncorrelated), Fz (uncorrelated), F1 (uncorrelated), F2 (uncorrelated)</t>
  </si>
  <si>
    <t xml:space="preserve">F7 (uncorrelated)</t>
  </si>
  <si>
    <t xml:space="preserve">Fp1 (uncorrelated), Fp2 (uncorrelated), Fz (uncorrelated), FC1 (uncorrelated), FC2 (uncorrelated), Cz (uncorrelated), AF3 (uncorrelated), AF4 (uncorrelated), F1 (uncorrelated), F2 (uncorrelated)</t>
  </si>
  <si>
    <t xml:space="preserve">Fz (uncorrelated), FC1 (uncorrelated), FC2 (uncorrelated), Cz (uncorrelated), AF4 (uncorrelated), F1 (uncorrelated), F2 (uncorrelated)</t>
  </si>
  <si>
    <t xml:space="preserve">F7 (uncorrelated), F3 (uncorrelated), F4 (uncorrelated), FC1 (uncorrelated), FC2 (uncorrelated), Cz (uncorrelated), AF7 (uncorrelated), AF8 (uncorrelated), F5 (uncorrelated), F1 (uncorrelated), F6 (uncorrelated), FC3 (uncorrelated)</t>
  </si>
  <si>
    <t xml:space="preserve">F7 (uncorrelated), F3 (uncorrelated), F4 (uncorrelated), FC2 (uncorrelated), F5 (uncorrelated), F6 (uncorrelated), FC3 (uncorrelated)</t>
  </si>
  <si>
    <t xml:space="preserve">Fp1 (uncorrelated), Fp2 (uncorrelated), F3 (uncorrelated), Fz (uncorrelated), F4 (uncorrelated), AF7 (uncorrelated), AF3 (uncorrelated), AF4 (uncorrelated), AF8 (uncorrelated), F1 (uncorrelated), F2 (uncorrelated), F6 (uncorrelated)</t>
  </si>
  <si>
    <t xml:space="preserve">Fp1 (uncorrelated), Fp2 (uncorrelated), F7 (uncorrelated), F3 (uncorrelated), Fz (uncorrelated), F4 (uncorrelated), AF7 (uncorrelated), AF3 (uncorrelated), AF4 (uncorrelated), AF8 (uncorrelated), F5 (uncorrelated), F1 (uncorrelated), F2 (uncorrelated), F6 (uncorrelated)</t>
  </si>
  <si>
    <t xml:space="preserve">Fp1 (uncorrelated), Fp2 (uncorrelated), F3 (uncorrelated), F4 (uncorrelated), AF7 (uncorrelated), AF3 (uncorrelated), AF4 (uncorrelated), AF8 (uncorrelated), F5 (uncorrelated), F2 (uncorrelated), F6 (uncorrelated)</t>
  </si>
  <si>
    <t xml:space="preserve">Fz (uncorrelated), F4 (uncorrelated), AF7 (uncorrelated), AF3 (uncorrelated), F1 (uncorrelated), F2 (uncorrelated), F6 (uncorrelated)</t>
  </si>
  <si>
    <t xml:space="preserve">F3 (uncorrelated), F4 (uncorrelated), AF7 (uncorrelated), AF3 (uncorrelated), AF4 (uncorrelated), AF8 (uncorrelated), F5 (uncorrelated), F1 (uncorrelated), F2 (uncorrelated), F6 (uncorrelated)</t>
  </si>
  <si>
    <t xml:space="preserve">Fz (uncorrelated), FC2 (uncorrelated), F1 (uncorrelated), F2 (uncorrelated)</t>
  </si>
  <si>
    <t xml:space="preserve">Fp1 (uncorrelated), Fp2 (uncorrelated), F7 (uncorrelated), F3 (uncorrelated), Fz (uncorrelated), F4 (uncorrelated), FC2 (uncorrelated), AF7 (uncorrelated), AF3 (uncorrelated), AF4 (uncorrelated), AF8 (uncorrelated), F5 (uncorrelated), F1 (uncorrelated), F2 (uncorrelated), F6 (uncorrelated)</t>
  </si>
  <si>
    <t xml:space="preserve">Fp1 (uncorrelated), Fp2 (uncorrelated), F3 (uncorrelated), Fz (uncorrelated), F4 (uncorrelated), FC1 (uncorrelated), AF3 (uncorrelated), AF4 (uncorrelated), AF8 (uncorrelated), F5 (uncorrelated), F1 (uncorrelated), F2 (uncorrelated), F6 (uncorrelated)</t>
  </si>
  <si>
    <t xml:space="preserve">F8 (uncorrelated), FC3 (uncorrelated)</t>
  </si>
  <si>
    <t xml:space="preserve">F8 (uncorrelated), FC1 (uncorrelated), FC3 (uncorrelated)</t>
  </si>
  <si>
    <t xml:space="preserve">Fp1 (uncorrelated), Fp2 (uncorrelated), F3 (uncorrelated), Fz (uncorrelated), F4 (uncorrelated), FC2 (uncorrelated), AF3 (uncorrelated), AF4 (uncorrelated), AF8 (uncorrelated), F1 (uncorrelated), F2 (uncorrelated), F6 (uncorrelated), FC4 (uncorrelated)</t>
  </si>
  <si>
    <t xml:space="preserve">Fp1 (uncorrelated), Fp2 (uncorrelated), F3 (uncorrelated), Fz (uncorrelated), F4 (uncorrelated), FC2 (uncorrelated), FC6 (uncorrelated), AF3 (uncorrelated), AF4 (uncorrelated), AF8 (uncorrelated), F1 (uncorrelated), F2 (uncorrelated), F6 (uncorrelated), FC4 (uncorrelated)</t>
  </si>
  <si>
    <t xml:space="preserve">F7 (uncorrelated), FC2 (uncorrelated), FC6 (uncorrelated), FC4 (uncorrelated)</t>
  </si>
  <si>
    <t xml:space="preserve">F7 (uncorrelated), FC2 (uncorrelated), FC6 (uncorrelated), F5 (uncorrelated), FC4 (uncorrelated)</t>
  </si>
  <si>
    <t xml:space="preserve">FC2 (uncorrelated), F2 (uncorrelated)</t>
  </si>
  <si>
    <t xml:space="preserve">FC2 (uncorrelated), FC6 (uncorrelated), FC3 (uncorrelated), FC4 (uncorrelated), FT8 (uncorrelated)</t>
  </si>
  <si>
    <t xml:space="preserve">Fz (uncorrelated), FC2 (uncorrelated)</t>
  </si>
  <si>
    <t xml:space="preserve">C2 (noisy+uncorrelated)</t>
  </si>
  <si>
    <t xml:space="preserve">Fz (uncorrelated), C2 (uncorrelated)</t>
  </si>
  <si>
    <t xml:space="preserve">Cz (uncorrelated)</t>
  </si>
  <si>
    <t xml:space="preserve">Fp1 (uncorrelated), Fp2 (uncorrelated), F7 (uncorrelated), F3 (uncorrelated), Fz (uncorrelated), F4 (uncorrelated), AF7 (uncorrelated), AF3 (uncorrelated), AF4 (uncorrelated), AF8 (uncorrelated), F5 (uncorrelated), F1 (uncorrelated), F2 (uncorrelated)</t>
  </si>
  <si>
    <t xml:space="preserve">F7 (uncorrelated), F3 (uncorrelated), F4 (uncorrelated), AF8 (uncorrelated), F5 (uncorrelated), F2 (uncorrelated), F6 (uncorrelated)</t>
  </si>
  <si>
    <t xml:space="preserve">F7 (uncorrelated), F4 (uncorrelated), F5 (uncorrelated), F6 (uncorrelated)</t>
  </si>
  <si>
    <t xml:space="preserve">F8 (uncorrelated), FC1 (uncorrelated)</t>
  </si>
  <si>
    <t xml:space="preserve">Fp1 (uncorrelated), Fp2 (uncorrelated), F3 (uncorrelated), Fz (uncorrelated), Cz (uncorrelated), AF3 (uncorrelated), AF8 (uncorrelated)</t>
  </si>
  <si>
    <t xml:space="preserve">Fz (uncorrelated), F4 (uncorrelated), FC2 (uncorrelated), Cz (uncorrelated), AF3 (uncorrelated), AF4 (uncorrelated), F1 (uncorrelated), F2 (uncorrelated), F6 (uncorrelated)</t>
  </si>
  <si>
    <t xml:space="preserve">Fp1 (uncorrelated), F3 (uncorrelated), Fz (uncorrelated), F8 (uncorrelated), Cz (uncorrelated), AF7 (uncorrelated), AF8 (uncorrelated), F5 (uncorrelated)</t>
  </si>
  <si>
    <t xml:space="preserve">Fp1 (uncorrelated), Fp2 (uncorrelated), F3 (uncorrelated), FC2 (uncorrelated), Cz (uncorrelated), AF7 (uncorrelated), AF3 (uncorrelated), AF8 (uncorrelated), FC4 (uncorrelated)</t>
  </si>
  <si>
    <t xml:space="preserve">F8 (uncorrelated), FC2 (uncorrelated)</t>
  </si>
  <si>
    <t xml:space="preserve">F3 (uncorrelated), Fz (uncorrelated), F4 (uncorrelated), AF4 (uncorrelated), AF8 (uncorrelated), F5 (uncorrelated), F1 (uncorrelated), F2 (uncorrelated), F6 (uncorrelated)</t>
  </si>
  <si>
    <t xml:space="preserve">Fz (uncorrelated), AF7 (uncorrelated), F2 (uncorrelated)</t>
  </si>
  <si>
    <t xml:space="preserve">F4 (uncorrelated), F8 (uncorrelated), F6 (uncorrelated)</t>
  </si>
  <si>
    <t xml:space="preserve">F3 (uncorrelated), F4 (uncorrelated), F1 (uncorrelated), F2 (uncorrelated), F6 (uncorrelated)</t>
  </si>
  <si>
    <t xml:space="preserve">Fp1 (uncorrelated), Fp2 (uncorrelated), F3 (uncorrelated), Fz (uncorrelated), FC1 (uncorrelated), AF7 (uncorrelated), AF3 (uncorrelated), AF4 (uncorrelated), AF8 (uncorrelated), F1 (uncorrelated), F2 (uncorrelated)</t>
  </si>
  <si>
    <t xml:space="preserve">Fp1 (uncorrelated), Fp2 (uncorrelated), Fz (uncorrelated), AF7 (uncorrelated), AF3 (uncorrelated), AF4 (uncorrelated), F1 (uncorrelated), F2 (uncorrelated)</t>
  </si>
  <si>
    <t xml:space="preserve">F8 (uncorrelated), F6 (uncorrelated)</t>
  </si>
  <si>
    <t xml:space="preserve">Fp2 (uncorrelated), Fz (uncorrelated), F4 (uncorrelated), AF3 (uncorrelated), AF4 (uncorrelated), F1 (uncorrelated), F2 (uncorrelated), F6 (uncorrelated)</t>
  </si>
  <si>
    <t xml:space="preserve">F3 (uncorrelated), Fz (uncorrelated), AF3 (uncorrelated), AF4 (uncorrelated), F1 (uncorrelated)</t>
  </si>
  <si>
    <t xml:space="preserve">Fp2 (uncorrelated), F3 (uncorrelated), F4 (uncorrelated), AF7 (uncorrelated), AF3 (uncorrelated), AF4 (uncorrelated), AF8 (uncorrelated), F5 (uncorrelated), F2 (uncorrelated), F6 (uncorrelated)</t>
  </si>
  <si>
    <t xml:space="preserve">Fp1 (uncorrelated), Fp2 (uncorrelated), AF7 (uncorrelated), AF3 (uncorrelated), AF4 (uncorrelated), AF8 (uncorrelated)</t>
  </si>
  <si>
    <t xml:space="preserve">F7 (uncorrelated), F3 (uncorrelated), Fz (uncorrelated), F4 (uncorrelated), FC1 (uncorrelated), F5 (uncorrelated), F1 (uncorrelated), F2 (uncorrelated), F6 (uncorrelated)</t>
  </si>
  <si>
    <t xml:space="preserve">F3 (uncorrelated), Fz (uncorrelated), F4 (uncorrelated), F1 (uncorrelated), F2 (uncorrelated), F6 (uncorrelated)</t>
  </si>
  <si>
    <t xml:space="preserve">F3 (uncorrelated), Fz (uncorrelated), F5 (uncorrelated), F1 (uncorrelated)</t>
  </si>
  <si>
    <t xml:space="preserve">F3 (uncorrelated), FC1 (uncorrelated), F5 (uncorrelated), FC3 (uncorrelated)</t>
  </si>
  <si>
    <t xml:space="preserve">Fp1 (uncorrelated), Fp2 (uncorrelated), F3 (uncorrelated), F4 (uncorrelated), AF3 (uncorrelated), AF4 (uncorrelated), AF8 (uncorrelated), F5 (uncorrelated), F1 (uncorrelated), F6 (uncorrelated)</t>
  </si>
  <si>
    <t xml:space="preserve">Fp1 (uncorrelated), Fp2 (uncorrelated), F3 (uncorrelated), F4 (uncorrelated), FC1 (uncorrelated), AF3 (uncorrelated), AF4 (uncorrelated), F1 (uncorrelated), F2 (uncorrelated)</t>
  </si>
  <si>
    <t xml:space="preserve">F3 (uncorrelated), Fz (uncorrelated), F4 (uncorrelated), AF3 (uncorrelated), F1 (uncorrelated), F2 (uncorrelated), F6 (uncorrelated)</t>
  </si>
  <si>
    <t xml:space="preserve">F7 (uncorrelated), F8 (uncorrelated), FC1 (uncorrelated)</t>
  </si>
  <si>
    <t xml:space="preserve">Fp1 (uncorrelated), Fp2 (uncorrelated), F3 (uncorrelated), F4 (uncorrelated), AF7 (uncorrelated), AF3 (uncorrelated), AF4 (uncorrelated), F5 (uncorrelated), F1 (uncorrelated), F2 (uncorrelated), F6 (uncorrelated)</t>
  </si>
  <si>
    <t xml:space="preserve">Fp1 (uncorrelated), Fp2 (uncorrelated), F3 (uncorrelated), Fz (uncorrelated), F4 (uncorrelated), FC1 (uncorrelated), AF3 (uncorrelated), AF4 (uncorrelated), F1 (uncorrelated), F2 (uncorrelated)</t>
  </si>
  <si>
    <t xml:space="preserve">F8 (uncorrelated), F6 (uncorrelated), FC3 (uncorrelated)</t>
  </si>
  <si>
    <t xml:space="preserve">Fp1 (uncorrelated), F3 (uncorrelated), Fz (uncorrelated), AF3 (uncorrelated), AF4 (uncorrelated), F5 (uncorrelated), F1 (uncorrelated), F2 (uncorrelated)</t>
  </si>
  <si>
    <t xml:space="preserve">Fp1 (uncorrelated), F3 (uncorrelated), Fz (uncorrelated), FC5 (uncorrelated), AF7 (uncorrelated), AF3 (uncorrelated), AF4 (uncorrelated), F5 (uncorrelated), F1 (uncorrelated), F2 (uncorrelated)</t>
  </si>
  <si>
    <t xml:space="preserve">FC5 (uncorrelated), FC3 (uncorrelated)</t>
  </si>
  <si>
    <t xml:space="preserve">F8 (uncorrelated), FC5 (uncorrelated), FC6 (uncorrelated), FC3 (uncorrelated), FC4 (uncorrelated)</t>
  </si>
  <si>
    <t xml:space="preserve">F7 (uncorrelated), F3 (uncorrelated), Fz (uncorrelated), F4 (uncorrelated), AF7 (uncorrelated), AF3 (uncorrelated), AF4 (uncorrelated), AF8 (uncorrelated), F5 (uncorrelated), F1 (uncorrelated), F2 (uncorrelated), F6 (uncorrelated)</t>
  </si>
  <si>
    <t xml:space="preserve">AF8 (uncorrelated), F1 (uncorrelated)</t>
  </si>
  <si>
    <t xml:space="preserve">F4 (uncorrelated), F8 (uncorrelated), FC1 (uncorrelated), F6 (uncorrelated)</t>
  </si>
  <si>
    <t xml:space="preserve">Fp1 (uncorrelated), Fp2 (uncorrelated), AF7 (uncorrelated), AF3 (uncorrelated), AF4 (uncorrelated), AF8 (uncorrelated), F2 (uncorrelated)</t>
  </si>
  <si>
    <t xml:space="preserve">Fp1 (uncorrelated), Fp2 (uncorrelated), F3 (uncorrelated), F4 (uncorrelated), AF7 (uncorrelated), AF3 (uncorrelated), AF4 (uncorrelated), AF8 (uncorrelated), F1 (uncorrelated), F6 (uncorrelated)</t>
  </si>
  <si>
    <t xml:space="preserve">Fp1 (uncorrelated), Fp2 (uncorrelated), Fz (uncorrelated), AF3 (uncorrelated), AF4 (uncorrelated), F2 (uncorrelated)</t>
  </si>
  <si>
    <t xml:space="preserve">Fp1 (uncorrelated), F3 (uncorrelated), Fz (uncorrelated), F4 (uncorrelated), AF7 (uncorrelated), AF3 (uncorrelated), AF4 (uncorrelated), F5 (uncorrelated), F6 (uncorrelated)</t>
  </si>
  <si>
    <t xml:space="preserve">Fp1 (uncorrelated), F3 (uncorrelated), F4 (uncorrelated), AF7 (uncorrelated), AF3 (uncorrelated), F5 (uncorrelated), F6 (uncorrelated)</t>
  </si>
  <si>
    <t xml:space="preserve">Fp1 (uncorrelated), Fp2 (uncorrelated), AF7 (uncorrelated), AF3 (uncorrelated), AF4 (uncorrelated)</t>
  </si>
  <si>
    <t xml:space="preserve">Fp1 (uncorrelated), Fp2 (uncorrelated), F3 (uncorrelated), Fz (uncorrelated), F4 (uncorrelated), AF7 (uncorrelated), AF3 (uncorrelated), AF4 (uncorrelated), F1 (uncorrelated), F2 (uncorrelated)</t>
  </si>
  <si>
    <t xml:space="preserve">F3 (uncorrelated), F4 (uncorrelated), AF3 (uncorrelated), AF4 (uncorrelated), F5 (uncorrelated)</t>
  </si>
  <si>
    <t xml:space="preserve">F7 (uncorrelated), F4 (uncorrelated), FC1 (uncorrelated), AF8 (uncorrelated), F5 (uncorrelated), F6 (uncorrelated), FC3 (uncorrelated)</t>
  </si>
  <si>
    <t xml:space="preserve">FC1 (uncorrelated), FC3 (uncorrelated)</t>
  </si>
  <si>
    <t xml:space="preserve">Fp1 (uncorrelated), Fp2 (uncorrelated), Fz (uncorrelated), AF3 (uncorrelated), AF4 (uncorrelated), F1 (uncorrelated), F2 (uncorrelated), P1 (noisy)</t>
  </si>
  <si>
    <t xml:space="preserve">Fp1 (uncorrelated), Fp2 (uncorrelated), Fz (uncorrelated), F4 (uncorrelated), FC2 (uncorrelated), AF3 (uncorrelated), AF4 (uncorrelated), F1 (uncorrelated), F2 (uncorrelated), FC4 (uncorrelated)</t>
  </si>
  <si>
    <t xml:space="preserve">F8 (uncorrelated), FC2 (uncorrelated), FC3 (uncorrelated)</t>
  </si>
  <si>
    <t xml:space="preserve">FC5 (uncorrelated), FC2 (uncorrelated), F6 (uncorrelated), FC3 (uncorrelated)</t>
  </si>
  <si>
    <t xml:space="preserve">Fp1 (uncorrelated), Fp2 (uncorrelated), F3 (uncorrelated), FC1 (uncorrelated), AF7 (uncorrelated), AF3 (uncorrelated), AF4 (uncorrelated), F2 (uncorrelated)</t>
  </si>
  <si>
    <t xml:space="preserve">Fp1 (uncorrelated), Fp2 (uncorrelated), F3 (uncorrelated), FC1 (uncorrelated), AF7 (uncorrelated), AF3 (uncorrelated), AF4 (uncorrelated), F5 (uncorrelated), F2 (uncorrelated)</t>
  </si>
  <si>
    <t xml:space="preserve">FC3 (uncorrelated)</t>
  </si>
  <si>
    <t xml:space="preserve">Fz (uncorrelated), AF4 (uncorrelated), F1 (uncorrelated), F2 (uncorrelated)</t>
  </si>
  <si>
    <t xml:space="preserve">F7 (uncorrelated), F8 (uncorrelated), FC5 (uncorrelated), FC3 (uncorrelated)</t>
  </si>
  <si>
    <t xml:space="preserve">FC5 (uncorrelated), FC1 (uncorrelated), FC3 (uncorrelated), FC4 (uncorrelated)</t>
  </si>
  <si>
    <t xml:space="preserve">F4 (uncorrelated), F5 (uncorrelated), F6 (uncorrelated)</t>
  </si>
  <si>
    <t xml:space="preserve">F4 (uncorrelated), F2 (uncorrelated), F6 (uncorrelated)</t>
  </si>
  <si>
    <t xml:space="preserve">Fp1 (uncorrelated), AF7 (uncorrelated)</t>
  </si>
  <si>
    <t xml:space="preserve">F5 (uncorrelated), F2 (uncorrelated)</t>
  </si>
  <si>
    <t xml:space="preserve">FC5 (uncorrelated)</t>
  </si>
  <si>
    <t xml:space="preserve">Fp1 (uncorrelated), Fp2 (uncorrelated), Fz (uncorrelated)</t>
  </si>
  <si>
    <t xml:space="preserve">Fz (uncorrelated), F4 (uncorrelated), FC2 (uncorrelated), FC4 (uncorrelated)</t>
  </si>
  <si>
    <t xml:space="preserve">Fz (uncorrelated), FC1 (uncorrelated), FC2 (uncorrelated), FC6 (uncorrelated), F5 (uncorrelated), F1 (uncorrelated), F2 (uncorrelated), F6 (uncorrelated)</t>
  </si>
  <si>
    <t xml:space="preserve">Fz (uncorrelated), F4 (uncorrelated), FC2 (uncorrelated), FC6 (uncorrelated), C4 (uncorrelated), FC4 (uncorrelated)</t>
  </si>
  <si>
    <t xml:space="preserve">F3 (uncorrelated), Fz (uncorrelated), F4 (uncorrelated), FC2 (uncorrelated), AF7 (uncorrelated), F1 (uncorrelated), F2 (uncorrelated), F6 (uncorrelated)</t>
  </si>
  <si>
    <t xml:space="preserve">F3 (uncorrelated), F4 (uncorrelated), AF7 (uncorrelated), AF3 (uncorrelated), AF8 (uncorrelated), F1 (uncorrelated), F2 (uncorrelated)</t>
  </si>
  <si>
    <t xml:space="preserve">Fz (uncorrelated), PO10 (uncorrelated), F2 (uncorrelated)</t>
  </si>
  <si>
    <t xml:space="preserve">F3 (uncorrelated), F5 (uncorrelated)</t>
  </si>
  <si>
    <t xml:space="preserve">F3 (uncorrelated), F4 (uncorrelated), F8 (uncorrelated), F5 (uncorrelated), F6 (uncorrelated)</t>
  </si>
  <si>
    <t xml:space="preserve">F3 (uncorrelated), F2 (uncorrelated)</t>
  </si>
  <si>
    <t xml:space="preserve">Fp1 (uncorrelated), Fp2 (uncorrelated), Fz (uncorrelated), F1 (uncorrelated), F2 (uncorrelated)</t>
  </si>
  <si>
    <t xml:space="preserve">F3 (uncorrelated), F4 (uncorrelated), AF7 (uncorrelated), F5 (uncorrelated), F6 (uncorrelated)</t>
  </si>
  <si>
    <t xml:space="preserve">F3 (uncorrelated), Fz (uncorrelated), F4 (uncorrelated), FC1 (uncorrelated), FC2 (uncorrelated), F1 (uncorrelated), F2 (uncorrelated)</t>
  </si>
  <si>
    <t xml:space="preserve">Fz (uncorrelated), Cz (uncorrelated), F2 (uncorrelated)</t>
  </si>
  <si>
    <t xml:space="preserve">F3 (uncorrelated), AF7 (uncorrelated), F5 (uncorrelated), F2 (uncorrelated)</t>
  </si>
  <si>
    <t xml:space="preserve">F2 (uncorrelated)</t>
  </si>
  <si>
    <t xml:space="preserve">F3 (uncorrelated), Fz (uncorrelated), F4 (uncorrelated), FC2 (uncorrelated), AF4 (uncorrelated), F1 (uncorrelated), F2 (uncorrelated)</t>
  </si>
  <si>
    <t xml:space="preserve">Fp1 (uncorrelated), Fp2 (uncorrelated), F3 (uncorrelated), Fz (uncorrelated), AF7 (uncorrelated), AF3 (uncorrelated), AF4 (uncorrelated), AF8 (uncorrelated), F5 (uncorrelated), F1 (uncorrelated), F2 (uncorrelated)</t>
  </si>
  <si>
    <t xml:space="preserve">F4 (uncorrelated), FC1 (uncorrelated), AF7 (noisy), F6 (uncorrelated)</t>
  </si>
  <si>
    <t xml:space="preserve">FC1 (uncorrelated), FC2 (uncorrelated), FC4 (uncorrelated)</t>
  </si>
  <si>
    <t xml:space="preserve">Fp2 (uncorrelated), F3 (uncorrelated), Fz (uncorrelated), AF7 (uncorrelated), AF3 (uncorrelated), AF4 (uncorrelated), AF8 (uncorrelated), F5 (uncorrelated), F1 (uncorrelated), F2 (uncorrelated)</t>
  </si>
  <si>
    <t xml:space="preserve">Fp1 (uncorrelated), Fz (uncorrelated), AF7 (uncorrelated), AF8 (uncorrelated), F1 (uncorrelated), F2 (uncorrelated)</t>
  </si>
  <si>
    <t xml:space="preserve">F7 (uncorrelated), F8 (uncorrelated), FC3 (uncorrelated)</t>
  </si>
  <si>
    <t xml:space="preserve">F3 (uncorrelated), Fz (uncorrelated), F4 (uncorrelated), AF7 (uncorrelated), F1 (uncorrelated), F2 (uncorrelated)</t>
  </si>
  <si>
    <t xml:space="preserve">Fp1 (uncorrelated), Fp2 (uncorrelated), F3 (uncorrelated), Fz (uncorrelated), F4 (uncorrelated), FC1 (uncorrelated), FC2 (uncorrelated), AF3 (uncorrelated), AF4 (uncorrelated), F1 (uncorrelated), F2 (uncorrelated)</t>
  </si>
  <si>
    <t xml:space="preserve">F3 (uncorrelated), Fz (uncorrelated), F4 (uncorrelated), FC2 (uncorrelated), AF3 (uncorrelated), F1 (uncorrelated), F2 (uncorrelated)</t>
  </si>
  <si>
    <t xml:space="preserve">Fp1 (uncorrelated), Fp2 (uncorrelated), F3 (uncorrelated), F4 (uncorrelated), FC1 (uncorrelated), FC2 (uncorrelated), AF3 (uncorrelated), AF4 (uncorrelated), AF8 (uncorrelated), F1 (uncorrelated), F2 (uncorrelated)</t>
  </si>
  <si>
    <t xml:space="preserve">F7 (uncorrelated), FC2 (uncorrelated), F6 (uncorrelated)</t>
  </si>
  <si>
    <t xml:space="preserve">F4 (uncorrelated), FC1 (uncorrelated)</t>
  </si>
  <si>
    <t xml:space="preserve">Fp1 (uncorrelated), Fp2 (uncorrelated), F3 (uncorrelated), Fz (uncorrelated), AF7 (uncorrelated), AF3 (uncorrelated), AF4 (uncorrelated), F1 (uncorrelated), F2 (uncorrelated)</t>
  </si>
  <si>
    <t xml:space="preserve">Fp1 (uncorrelated), Fp2 (uncorrelated), Fz (uncorrelated), AF3 (uncorrelated), F1 (uncorrelated), F2 (uncorrelated)</t>
  </si>
  <si>
    <t xml:space="preserve">F7 (uncorrelated), F5 (uncorrelated)</t>
  </si>
  <si>
    <t xml:space="preserve">Fz (uncorrelated), AF7 (uncorrelated), AF4 (uncorrelated), AF8 (uncorrelated), F1 (uncorrelated), F2 (uncorrelated)</t>
  </si>
  <si>
    <t xml:space="preserve">F3 (uncorrelated), Fz (uncorrelated), AF7 (uncorrelated), AF3 (uncorrelated), AF4 (uncorrelated), AF8 (uncorrelated), F5 (uncorrelated), F1 (uncorrelated), F2 (uncorrelated)</t>
  </si>
  <si>
    <t xml:space="preserve">Fp1 (uncorrelated), Fp2 (uncorrelated), F3 (uncorrelated), F4 (uncorrelated), FC2 (uncorrelated), AF7 (uncorrelated), AF3 (uncorrelated), AF4 (uncorrelated), AF8 (uncorrelated), F1 (uncorrelated), F6 (uncorrelated)</t>
  </si>
  <si>
    <t xml:space="preserve">Fp1 (uncorrelated), Fp2 (uncorrelated), F3 (uncorrelated), F4 (uncorrelated), FC2 (uncorrelated), AF7 (uncorrelated), AF3 (uncorrelated), AF4 (uncorrelated), AF8 (uncorrelated), F1 (uncorrelated), F2 (uncorrelated), F6 (uncorrelated)</t>
  </si>
  <si>
    <t xml:space="preserve">F7 (uncorrelated), FC2 (uncorrelated), F5 (uncorrelated), FC3 (uncorrelated)</t>
  </si>
  <si>
    <t xml:space="preserve">Fp1 (noisy), Fp2 (noisy), FC2 (uncorrelated), FC6 (uncorrelated), FC4 (uncorrelated)</t>
  </si>
  <si>
    <t xml:space="preserve">Fp2 (uncorrelated), Fz (uncorrelated), AF4 (uncorrelated), AF8 (uncorrelated), F1 (uncorrelated), F2 (uncorrelated)</t>
  </si>
  <si>
    <t xml:space="preserve">F8 (uncorrelated), FC5 (uncorrelated), FC1 (uncorrelated), FC2 (uncorrelated)</t>
  </si>
  <si>
    <t xml:space="preserve">FC5 (uncorrelated), TP9 (uncorrelated), F5 (uncorrelated), FC3 (uncorrelated)</t>
  </si>
  <si>
    <t xml:space="preserve">F7 (uncorrelated), F8 (uncorrelated), F6 (uncorrelated), FC4 (uncorrelated)</t>
  </si>
  <si>
    <t xml:space="preserve">FC2 (uncorrelated), FC6 (uncorrelated), F5 (uncorrelated), FC4 (uncorrelated)</t>
  </si>
  <si>
    <t xml:space="preserve">F7 (uncorrelated), F3 (uncorrelated), F4 (uncorrelated), FC1 (uncorrelated), AF8 (uncorrelated), F5 (uncorrelated), F2 (uncorrelated), F6 (uncorrelated)</t>
  </si>
  <si>
    <t xml:space="preserve">Fz (uncorrelated), FC6 (noisy)</t>
  </si>
  <si>
    <t xml:space="preserve">FC1 (uncorrelated), F2 (uncorrelated)</t>
  </si>
  <si>
    <t xml:space="preserve">Fz (uncorrelated), AF7 (uncorrelated), F1 (uncorrelated)</t>
  </si>
  <si>
    <t xml:space="preserve">Fz (uncorrelated), AF7 (clipped), F1 (uncorrelated)</t>
  </si>
  <si>
    <t xml:space="preserve">Fp1 (uncorrelated), Fp2 (uncorrelated), Fz (uncorrelated), AF7 (clipped), AF3 (uncorrelated), AF4 (uncorrelated), F1 (uncorrelated), F2 (uncorrelated)</t>
  </si>
  <si>
    <t xml:space="preserve">Fp1 (uncorrelated), Fp2 (uncorrelated), Fz (uncorrelated), AF7 (clipped), AF3 (uncorrelated), AF4 (uncorrelated), F1 (uncorrelated)</t>
  </si>
  <si>
    <t xml:space="preserve">Fp1, Fp2, Fz, AF3, AF4, F1</t>
  </si>
  <si>
    <t xml:space="preserve">F8 (uncorrelated), FC1 (uncorrelated), FC2 (uncorrelated)</t>
  </si>
  <si>
    <t xml:space="preserve">Fp1 (uncorrelated), F3 (uncorrelated), Fz (uncorrelated), F4 (uncorrelated), AF7 (uncorrelated), AF3 (uncorrelated), F1 (uncorrelated), F2 (uncorrelated)</t>
  </si>
  <si>
    <t xml:space="preserve">F3 (uncorrelated), Fz (uncorrelated), F4 (uncorrelated), AF3 (uncorrelated), AF4 (uncorrelated), F1 (uncorrelated), F2 (uncorrelated)</t>
  </si>
  <si>
    <t xml:space="preserve">F8 (uncorrelated), FC1 (uncorrelated), F6 (uncorrelated), FC3 (uncorrelated)</t>
  </si>
  <si>
    <t xml:space="preserve">Fp1 (uncorrelated), Fp2 (uncorrelated), Fz (uncorrelated), AF4 (uncorrelated), F2 (uncorrelated)</t>
  </si>
  <si>
    <t xml:space="preserve">Fp1 (uncorrelated), Fp2 (uncorrelated), Fz (uncorrelated), F4 (uncorrelated), AF7 (uncorrelated), AF3 (uncorrelated), AF4 (uncorrelated), AF8 (uncorrelated), F5 (uncorrelated), F1 (uncorrelated), F2 (uncorrelated), F6 (uncorrelated)</t>
  </si>
  <si>
    <t xml:space="preserve">Fp2 (uncorrelated), Fz (uncorrelated), F4 (uncorrelated), AF4 (uncorrelated), F2 (uncorrelated)</t>
  </si>
  <si>
    <t xml:space="preserve">Fp1 (uncorrelated), Fp2 (uncorrelated), F3 (uncorrelated), Fz (uncorrelated), F4 (uncorrelated), AF3 (uncorrelated), AF4 (uncorrelated), F1 (uncorrelated), F2 (uncorrelated)</t>
  </si>
  <si>
    <t xml:space="preserve">Fz (uncorrelated), F1 (uncorrelated), F2 (uncorrelated), FC4 (uncorrelated)</t>
  </si>
  <si>
    <t xml:space="preserve">F7 (uncorrelated), F8 (uncorrelated), FC5 (uncorrelated), FC2 (uncorrelated), FC6 (uncorrelated), AF7 (uncorrelated), AF8 (uncorrelated), FC3 (uncorrelated), FC4 (uncorrelated), FT8 (noisy)</t>
  </si>
  <si>
    <t xml:space="preserve">F7, F8, FC5, FC2, FC6, AF7, AF8, FC3, FC4</t>
  </si>
  <si>
    <t xml:space="preserve">F7 (noisy+uncorrelated), F8 (noisy+uncorrelated), FC5 (uncorrelated), FC2 (uncorrelated), FC6 (uncorrelated), AF7 (noisy+uncorrelated), F5 (noisy), F6 (noisy), FC3 (uncorrelated), FC4 (uncorrelated)</t>
  </si>
  <si>
    <t xml:space="preserve">F7, F8, FC5, FC2, FC6, AF7, FC3, FC4</t>
  </si>
  <si>
    <t xml:space="preserve">F4 (uncorrelated), F8 (uncorrelated), FC2 (uncorrelated), F6 (uncorrelated)</t>
  </si>
  <si>
    <t xml:space="preserve">Fz (uncorrelated), F4 (uncorrelated), FC6 (uncorrelated), F2 (uncorrelated), F6 (uncorrelated), FC4 (uncorrelated)</t>
  </si>
  <si>
    <t xml:space="preserve">Fp1 (uncorrelated), Fp2 (uncorrelated), AF3 (uncorrelated), AF4 (uncorrelated)</t>
  </si>
  <si>
    <t xml:space="preserve">Fp1 (uncorrelated), Fp2 (uncorrelated), AF3 (uncorrelated)</t>
  </si>
  <si>
    <t xml:space="preserve">Fp2 (uncorrelated), Fz (uncorrelated), AF8 (uncorrelated), F2 (uncorrelated)</t>
  </si>
  <si>
    <t xml:space="preserve">F3 (uncorrelated), F8 (uncorrelated), F5 (uncorrelated)</t>
  </si>
  <si>
    <t xml:space="preserve">F1 (uncorrelated)</t>
  </si>
  <si>
    <t xml:space="preserve">Fp1 (uncorrelated), Fp2 (uncorrelated), F3 (uncorrelated), Fz (uncorrelated), F4 (uncorrelated), AF3 (uncorrelated), AF4 (uncorrelated), AF8 (uncorrelated), F5 (uncorrelated), F1 (uncorrelated), F2 (uncorrelated)</t>
  </si>
  <si>
    <t xml:space="preserve">FC4 (uncorrelated)</t>
  </si>
  <si>
    <t xml:space="preserve">FC5 (uncorrelated), FC2 (uncorrelated), FC6 (uncorrelated), FT7 (uncorrelated), FC3 (uncorrelated), FC4 (uncorrelated)</t>
  </si>
  <si>
    <t xml:space="preserve">F3 (uncorrelated), F4 (uncorrelated), F5 (uncorrelated), F1 (uncorrelated), F6 (uncorrelated)</t>
  </si>
  <si>
    <t xml:space="preserve">Fp2 (uncorrelated), F3 (uncorrelated), F4 (uncorrelated), AF3 (uncorrelated), AF4 (uncorrelated), F1 (uncorrelated), F2 (uncorrelated), F6 (uncorrelated)</t>
  </si>
  <si>
    <t xml:space="preserve">F8 (uncorrelated), FC5 (uncorrelated)</t>
  </si>
  <si>
    <t xml:space="preserve">Fz (uncorrelated), TP7 (uncorrelated)</t>
  </si>
  <si>
    <t xml:space="preserve">TP7 (clipped)</t>
  </si>
  <si>
    <t xml:space="preserve">Fp2 (uncorrelated), Fz (uncorrelated), AF3 (uncorrelated), F2 (uncorrelated)</t>
  </si>
  <si>
    <t xml:space="preserve">Fp1 (uncorrelated), Fp2 (uncorrelated), Fz (uncorrelated), AF7 (uncorrelated), AF3 (uncorrelated), AF4 (uncorrelated), F2 (uncorrelated)</t>
  </si>
  <si>
    <t xml:space="preserve">Fp1 (uncorrelated), Fp2 (uncorrelated), F3 (uncorrelated), Fz (uncorrelated), F4 (uncorrelated), AF7 (uncorrelated), AF3 (uncorrelated), AF4 (uncorrelated), AF8 (uncorrelated), F1 (uncorrelated), F2 (uncorrelated), POz (uncorrelated)</t>
  </si>
  <si>
    <t xml:space="preserve">Fp1 (uncorrelated), Fp2 (uncorrelated), F3 (uncorrelated), Fz (uncorrelated), F4 (uncorrelated), AF3 (uncorrelated), AF4 (uncorrelated), AF8 (uncorrelated), F1 (uncorrelated), F2 (uncorrelated), POz (uncorrelated)</t>
  </si>
  <si>
    <t xml:space="preserve">Fp1 (uncorrelated), Fz (uncorrelated), F2 (uncorrelated)</t>
  </si>
  <si>
    <t xml:space="preserve">F3 (uncorrelated), F4 (uncorrelated), AF7 (uncorrelated), AF8 (uncorrelated), F5 (uncorrelated), F1 (uncorrelated), F2 (uncorrelated), F6 (uncorrelated)</t>
  </si>
  <si>
    <t xml:space="preserve">F3 (uncorrelated), AF7 (uncorrelated), F5 (uncorrelated), F6 (uncorrelated)</t>
  </si>
  <si>
    <t xml:space="preserve">Fp1 (uncorrelated), Fp2 (uncorrelated), Fz (uncorrelated), F4 (uncorrelated), AF7 (uncorrelated), AF3 (uncorrelated), AF4 (uncorrelated), AF8 (uncorrelated), F2 (uncorrelated)</t>
  </si>
  <si>
    <t xml:space="preserve">Fp1 (uncorrelated), Fp2 (uncorrelated), Fz (uncorrelated), AF3 (uncorrelated), AF4 (uncorrelated), AF8 (uncorrelated), F2 (uncorrelated)</t>
  </si>
  <si>
    <t xml:space="preserve">F5 (uncorrelated), F6 (uncorrelated), FC4 (uncorrelated)</t>
  </si>
  <si>
    <t xml:space="preserve">Fp1 (uncorrelated), F3 (uncorrelated), Fz (uncorrelated), F4 (uncorrelated), AF7 (uncorrelated), AF3 (uncorrelated), AF4 (uncorrelated), AF8 (uncorrelated), F1 (uncorrelated), F2 (uncorrelated)</t>
  </si>
  <si>
    <t xml:space="preserve">Fp1 (uncorrelated), Fp2 (uncorrelated), Fz (uncorrelated), AF3 (uncorrelated)</t>
  </si>
  <si>
    <t xml:space="preserve">Fp1 (uncorrelated), Fp2 (uncorrelated), F3 (uncorrelated), Fz (uncorrelated), AF3 (uncorrelated), AF4 (uncorrelated), F1 (uncorrelated), F2 (uncorrelated)</t>
  </si>
  <si>
    <t xml:space="preserve">Fp1 (uncorrelated), Fz (uncorrelated), AF3 (uncorrelated), F1 (uncorrelated)</t>
  </si>
  <si>
    <t xml:space="preserve">Fz (uncorrelated), F4 (uncorrelated), F1 (uncorrelated), F2 (uncorrelated)</t>
  </si>
  <si>
    <t xml:space="preserve">F3 (uncorrelated), Fz (uncorrelated), F4 (uncorrelated), F2 (uncorrelated)</t>
  </si>
  <si>
    <t xml:space="preserve">Fp1 (uncorrelated), Fp2 (uncorrelated), Fz (uncorrelated), Cz (uncorrelated), AF7 (uncorrelated), AF3 (uncorrelated), F1 (uncorrelated)</t>
  </si>
  <si>
    <t xml:space="preserve">FC5 (uncorrelated), FC1 (uncorrelated), FC4 (uncorrelated)</t>
  </si>
  <si>
    <t xml:space="preserve">Fz (uncorrelated), FC1 (uncorrelated)</t>
  </si>
  <si>
    <t xml:space="preserve">Fp1 (noisy), Fp2 (noisy), F8 (uncorrelated), FC2 (uncorrelated), FC3 (uncorrelated)</t>
  </si>
  <si>
    <t xml:space="preserve">F7 (uncorrelated), F3 (uncorrelated), F4 (uncorrelated), F5 (uncorrelated), F1 (uncorrelated), F6 (uncorrelated)</t>
  </si>
  <si>
    <t xml:space="preserve">Fz (uncorrelated), F4 (uncorrelated)</t>
  </si>
  <si>
    <t xml:space="preserve">Fz (uncorrelated), F4 (uncorrelated), AF4 (uncorrelated), F1 (uncorrelated)</t>
  </si>
  <si>
    <t xml:space="preserve">Fz (uncorrelated), F4 (uncorrelated), AF3 (uncorrelated), AF4 (uncorrelated), F2 (uncorrelated), F6 (uncorrelated)</t>
  </si>
  <si>
    <t xml:space="preserve">Fp1 (uncorrelated), Fp2 (uncorrelated), F3 (uncorrelated), F4 (uncorrelated), AF3 (uncorrelated), AF4 (uncorrelated), AF8 (uncorrelated), F1 (uncorrelated), F2 (uncorrelated)</t>
  </si>
  <si>
    <t xml:space="preserve">F7 (uncorrelated), FC1 (uncorrelated)</t>
  </si>
  <si>
    <t xml:space="preserve">Fp1 (uncorrelated), Fp2 (uncorrelated), F3 (uncorrelated), Fz (uncorrelated), AF7 (uncorrelated), AF3 (uncorrelated), AF4 (uncorrelated), F1 (uncorrelated)</t>
  </si>
  <si>
    <t xml:space="preserve">F3 (uncorrelated), F4 (uncorrelated), FC2 (uncorrelated), F1 (uncorrelated), F6 (uncorrelated)</t>
  </si>
  <si>
    <t xml:space="preserve">F3 (uncorrelated), F4 (uncorrelated), AF7 (uncorrelated), AF3 (uncorrelated), AF8 (uncorrelated), F1 (uncorrelated), F2 (uncorrelated), F6 (uncorrelated)</t>
  </si>
  <si>
    <t xml:space="preserve">FC1 (uncorrelated), FC2 (uncorrelated)</t>
  </si>
  <si>
    <t xml:space="preserve">FC2 (uncorrelated), FC3 (uncorrelated)</t>
  </si>
  <si>
    <t xml:space="preserve">F7 (uncorrelated), F8 (uncorrelated), FC1 (uncorrelated), FC2 (uncorrelated), FC3 (uncorrelated)</t>
  </si>
  <si>
    <t xml:space="preserve">FC1 (uncorrelated), FC2 (uncorrelated), FC3 (uncorrelated)</t>
  </si>
  <si>
    <t xml:space="preserve">F4 (uncorrelated)</t>
  </si>
  <si>
    <t xml:space="preserve">F7 (uncorrelated), F8 (uncorrelated), FC1 (uncorrelated), FC3 (uncorrelated)</t>
  </si>
  <si>
    <t xml:space="preserve">F5 (uncorrelated)</t>
  </si>
  <si>
    <t xml:space="preserve">FC2 (uncorrelated), F5 (uncorrelated)</t>
  </si>
  <si>
    <t xml:space="preserve">F8 (uncorrelated), FC6 (uncorrelated), F6 (uncorrelated), FC4 (uncorrelated)</t>
  </si>
  <si>
    <t xml:space="preserve">F7 (uncorrelated), F5 (uncorrelated), F6 (uncorrelated)</t>
  </si>
  <si>
    <t xml:space="preserve">Fp1 (uncorrelated), Fp2 (uncorrelated), F3 (uncorrelated), Fz (uncorrelated), F4 (uncorrelated), F8 (uncorrelated), AF7 (uncorrelated), AF3 (uncorrelated), AF4 (uncorrelated), AF8 (uncorrelated), F1 (uncorrelated), F2 (uncorrelated), F6 (uncorrelated)</t>
  </si>
  <si>
    <t xml:space="preserve">Fp1 (uncorrelated), Fp2 (uncorrelated), F7 (uncorrelated), F3 (uncorrelated), F4 (uncorrelated), F8 (uncorrelated), FC1 (uncorrelated), AF7 (uncorrelated), AF3 (uncorrelated), AF4 (uncorrelated), AF8 (uncorrelated), F5 (uncorrelated), F2 (uncorrelated), F6 (uncorrelated)</t>
  </si>
  <si>
    <t xml:space="preserve">F3 (uncorrelated), F4 (uncorrelated), F5 (uncorrelated), F6 (uncorrelated)</t>
  </si>
  <si>
    <t xml:space="preserve">Fp2 (uncorrelated), AF4 (uncorrelated), F2 (uncorrelated)</t>
  </si>
  <si>
    <t xml:space="preserve">AF8 (uncorrelated), F2 (uncorrelated)</t>
  </si>
  <si>
    <t xml:space="preserve">Fz (uncorrelated), AF3 (uncorrelated), AF4 (uncorrelated), F1 (uncorrelated), F2 (uncorrelated)</t>
  </si>
  <si>
    <t xml:space="preserve">AF7 (clipped)</t>
  </si>
  <si>
    <t xml:space="preserve">Fp1 (uncorrelated), Fp2 (uncorrelated), Fz (uncorrelated), F4 (uncorrelated), AF7 (uncorrelated), AF3 (uncorrelated), AF4 (uncorrelated), AF8 (uncorrelated), F1 (uncorrelated), F2 (uncorrelated), F6 (uncorrelated)</t>
  </si>
  <si>
    <t xml:space="preserve">Fp1 (uncorrelated), Fp2 (uncorrelated), F3 (uncorrelated), Fz (uncorrelated), AF7 (uncorrelated), AF3 (uncorrelated), AF4 (uncorrelated), AF8 (uncorrelated), F5 (uncorrelated), F1 (uncorrelated)</t>
  </si>
  <si>
    <t xml:space="preserve">F3 (uncorrelated), FC1 (uncorrelated), AF3 (uncorrelated), AF4 (uncorrelated), F1 (uncorrelated)</t>
  </si>
  <si>
    <t xml:space="preserve">F3 (uncorrelated), Fz (uncorrelated), FC1 (uncorrelated), AF4 (uncorrelated), F1 (uncorrelated), F2 (uncorrelated)</t>
  </si>
  <si>
    <t xml:space="preserve">F7 (uncorrelated), F3 (uncorrelated), F8 (uncorrelated), AF7 (uncorrelated), AF8 (uncorrelated), F5 (uncorrelated), F1 (uncorrelated), F6 (uncorrelated)</t>
  </si>
  <si>
    <t xml:space="preserve">Fp1 (uncorrelated), Fp2 (uncorrelated), F3 (uncorrelated), Fz (uncorrelated), AF3 (uncorrelated), F5 (uncorrelated), F1 (uncorrelated), F2 (uncorrelated)</t>
  </si>
  <si>
    <t xml:space="preserve">Fp1 (uncorrelated), F3 (uncorrelated), Fz (uncorrelated), F1 (uncorrelated), F2 (uncorrelated)</t>
  </si>
  <si>
    <t xml:space="preserve">F7 (uncorrelated), F8 (uncorrelated), F5 (uncorrelated), F6 (uncorrelated)</t>
  </si>
  <si>
    <t xml:space="preserve">Fp1 (uncorrelated), Fz (uncorrelated), FC1 (uncorrelated), AF3 (uncorrelated), F1 (uncorrelated), F2 (uncorrelated)</t>
  </si>
  <si>
    <t xml:space="preserve">Fz (uncorrelated), FC1 (uncorrelated), AF3 (uncorrelated), AF4 (uncorrelated), F1 (uncorrelated), F2 (uncorrelated)</t>
  </si>
  <si>
    <t xml:space="preserve">Fp1 (uncorrelated), Fp2 (uncorrelated), Fz (uncorrelated), AF3 (uncorrelated), AF4 (uncorrelated), F1 (uncorrelated), F2 (uncorrelated)</t>
  </si>
  <si>
    <t xml:space="preserve">Fp2 (uncorrelated), Fz (uncorrelated), AF4 (uncorrelated), F1 (uncorrelated), F2 (uncorrelated)</t>
  </si>
  <si>
    <t xml:space="preserve">Fz (uncorrelated), FC5 (uncorrelated), FC1 (uncorrelated), Cz (uncorrelated)</t>
  </si>
  <si>
    <t xml:space="preserve">Fz (uncorrelated), FC1 (uncorrelated), Cz (uncorrelated), F1 (uncorrelated)</t>
  </si>
  <si>
    <t xml:space="preserve">Fz (uncorrelated), FC1 (uncorrelated), Cz (uncorrelated), F1 (uncorrelated), F2 (uncorrelated)</t>
  </si>
  <si>
    <t xml:space="preserve">F7 (uncorrelated), F8 (uncorrelated), FC6 (uncorrelated), FC4 (uncorrelated)</t>
  </si>
  <si>
    <t xml:space="preserve">Fp2 (uncorrelated), Fz (uncorrelated), F4 (uncorrelated), FC2 (uncorrelated), AF3 (uncorrelated), AF4 (uncorrelated), F1 (uncorrelated), F2 (uncorrelated), FC4 (uncorrelated)</t>
  </si>
  <si>
    <t xml:space="preserve">F3 (uncorrelated), F4 (uncorrelated), FC2 (uncorrelated), F1 (uncorrelated)</t>
  </si>
  <si>
    <t xml:space="preserve">Fp1 (uncorrelated), Fp2 (uncorrelated), F3 (uncorrelated), F4 (uncorrelated), FC2 (uncorrelated), AF4 (uncorrelated), F1 (uncorrelated), F2 (uncorrelated), F6 (uncorrelated)</t>
  </si>
  <si>
    <t xml:space="preserve">F7 (uncorrelated), F3 (uncorrelated), F8 (uncorrelated), FC2 (uncorrelated), F5 (uncorrelated), F6 (uncorrelated)</t>
  </si>
  <si>
    <t xml:space="preserve">F3 (uncorrelated), FC2 (uncorrelated), F1 (uncorrelated), FC4 (uncorrelated)</t>
  </si>
  <si>
    <t xml:space="preserve">AF3 (clipped)</t>
  </si>
  <si>
    <t xml:space="preserve">Fp1 (uncorrelated), Fp2 (uncorrelated), Fz (uncorrelated), AF7 (uncorrelated), AF3 (clipped)</t>
  </si>
  <si>
    <t xml:space="preserve">Fp1, Fp2, Fz, AF7</t>
  </si>
  <si>
    <t xml:space="preserve">Fp1 (uncorrelated), Fp2 (uncorrelated), F3 (uncorrelated), Fz (uncorrelated), F4 (uncorrelated), FC2 (uncorrelated), AF7 (uncorrelated), AF3 (uncorrelated), AF4 (uncorrelated), AF8 (uncorrelated), F5 (uncorrelated), F1 (uncorrelated), F2 (uncorrelated)</t>
  </si>
  <si>
    <t xml:space="preserve">F3 (uncorrelated), F4 (uncorrelated), FC1 (uncorrelated)</t>
  </si>
  <si>
    <t xml:space="preserve">Fp1 (uncorrelated), Fp2 (uncorrelated), F3 (uncorrelated), Fz (uncorrelated), AF7 (uncorrelated), AF3 (uncorrelated), AF4 (uncorrelated), F5 (uncorrelated), F1 (uncorrelated), F2 (uncorrelated)</t>
  </si>
  <si>
    <t xml:space="preserve">F4 (uncorrelated), F8 (uncorrelated), FC5 (uncorrelated), FC1 (uncorrelated), F6 (uncorrelated), FC3 (uncorrelated)</t>
  </si>
  <si>
    <t xml:space="preserve">Fp1 (uncorrelated), Fp2 (uncorrelated), F3 (uncorrelated), F4 (uncorrelated), AF7 (uncorrelated), AF3 (uncorrelated), AF4 (uncorrelated), AF8 (uncorrelated), F5 (uncorrelated), F2 (uncorrelated)</t>
  </si>
  <si>
    <t xml:space="preserve">Fp1 (uncorrelated), Fp2 (uncorrelated), F3 (uncorrelated), F4 (uncorrelated), AF7 (uncorrelated), AF3 (uncorrelated), AF4 (uncorrelated), AF8 (uncorrelated), F1 (uncorrelated), F2 (uncorrelated)</t>
  </si>
  <si>
    <t xml:space="preserve">F3 (uncorrelated), Fz (uncorrelated), F4 (uncorrelated), FC2 (uncorrelated), AF3 (uncorrelated), AF4 (uncorrelated), F1 (uncorrelated), F2 (uncorrelated)</t>
  </si>
  <si>
    <t xml:space="preserve">Fp1 (uncorrelated), Fp2 (uncorrelated), F3 (uncorrelated), Fz (uncorrelated), F4 (uncorrelated), FC2 (uncorrelated), AF3 (uncorrelated), AF4 (uncorrelated), F1 (uncorrelated), F2 (uncorrelated)</t>
  </si>
  <si>
    <t xml:space="preserve">F3 (uncorrelated), F4 (uncorrelated), FC2 (uncorrelated), AF7 (uncorrelated), F6 (uncorrelated)</t>
  </si>
  <si>
    <t xml:space="preserve">F3 (uncorrelated), FC2 (uncorrelated), F6 (uncorrelated)</t>
  </si>
  <si>
    <t xml:space="preserve">F3 (uncorrelated), Fz (uncorrelated), F4 (uncorrelated), F1 (uncorrelated), F2 (uncorrelated)</t>
  </si>
  <si>
    <t xml:space="preserve">F3 (uncorrelated), F4 (uncorrelated), AF8 (uncorrelated), F1 (uncorrelated), F2 (uncorrelated), F6 (uncorrelated)</t>
  </si>
  <si>
    <t xml:space="preserve">Fp2 (uncorrelated), F4 (uncorrelated), AF4 (uncorrelated), F1 (uncorrelated), F6 (uncorrelated)</t>
  </si>
  <si>
    <t xml:space="preserve">F3 (uncorrelated), Fz (uncorrelated), FC1 (uncorrelated), F1 (uncorrelated), F2 (uncorrelated)</t>
  </si>
  <si>
    <t xml:space="preserve">Fp1 (uncorrelated), Fp2 (uncorrelated), AF8 (uncorrelated)</t>
  </si>
  <si>
    <t xml:space="preserve">Fp1 (uncorrelated), Fp2 (uncorrelated), Fz (uncorrelated), AF7 (uncorrelated), AF3 (uncorrelated), AF4 (uncorrelated), AF8 (uncorrelated), F2 (uncorrelated)</t>
  </si>
  <si>
    <t xml:space="preserve">Cz (uncorrelated), F1 (uncorrelated), FC3 (uncorrelated)</t>
  </si>
  <si>
    <t xml:space="preserve">Fp1 (uncorrelated), Fp2 (uncorrelated), F3 (uncorrelated), Fz (uncorrelated), F4 (uncorrelated), AF3 (uncorrelated), AF4 (uncorrelated), F1 (uncorrelated), F2 (uncorrelated), F6 (uncorrelated)</t>
  </si>
  <si>
    <t xml:space="preserve">Fp1 (uncorrelated), Fp2 (uncorrelated)</t>
  </si>
  <si>
    <t xml:space="preserve">Fp1 (uncorrelated), Fp2 (uncorrelated), Fz (uncorrelated), AF7 (uncorrelated), AF3 (uncorrelated), AF4 (uncorrelated), AF8 (uncorrelated)</t>
  </si>
  <si>
    <t xml:space="preserve">Fp1 (uncorrelated), Fp2 (uncorrelated), F3 (uncorrelated), F4 (uncorrelated), AF7 (uncorrelated), AF3 (uncorrelated), AF4 (uncorrelated), AF8 (uncorrelated), F6 (uncorrelated)</t>
  </si>
  <si>
    <t xml:space="preserve">F3 (uncorrelated), Fz (uncorrelated), FC1 (uncorrelated), AF3 (uncorrelated), AF4 (uncorrelated), AF8 (uncorrelated), F5 (uncorrelated), F1 (uncorrelated), F2 (uncorrelated)</t>
  </si>
  <si>
    <t xml:space="preserve">F7 (uncorrelated), F3 (uncorrelated), F5 (uncorrelated), F6 (uncorrelated)</t>
  </si>
  <si>
    <t xml:space="preserve">F7 (uncorrelated), FC1 (uncorrelated), F5 (uncorrelated), F6 (uncorrelated), FC3 (uncorrelated)</t>
  </si>
  <si>
    <t xml:space="preserve">F3 (uncorrelated), Fz (uncorrelated), AF7 (uncorrelated), AF3 (uncorrelated), F1 (uncorrelated), F2 (uncorrelated)</t>
  </si>
  <si>
    <t xml:space="preserve">AF7 (uncorrelated), AF8 (uncorrelated), F5 (uncorrelated), F6 (uncorrelated)</t>
  </si>
  <si>
    <t xml:space="preserve">Fp1 (uncorrelated), Fp2 (uncorrelated), F3 (uncorrelated), Fz (uncorrelated), AF4 (uncorrelated), F1 (uncorrelated)</t>
  </si>
  <si>
    <t xml:space="preserve">F3 (uncorrelated), F4 (uncorrelated), AF7 (uncorrelated), F5 (uncorrelated)</t>
  </si>
  <si>
    <t xml:space="preserve">Fp1 (uncorrelated), Fp2 (uncorrelated), F3 (uncorrelated), F4 (uncorrelated), AF7 (uncorrelated), AF4 (uncorrelated), AF8 (uncorrelated), F5 (uncorrelated), F1 (uncorrelated)</t>
  </si>
  <si>
    <t xml:space="preserve">F3 (uncorrelated), Fz (uncorrelated), Cz (uncorrelated), F5 (uncorrelated), F1 (uncorrelated), F2 (uncorrelated)</t>
  </si>
  <si>
    <t xml:space="preserve">F3 (uncorrelated), Fz (uncorrelated), Cz (uncorrelated), F1 (uncorrelated), F2 (uncorrelated)</t>
  </si>
  <si>
    <t xml:space="preserve">Fz (uncorrelated), Cz (uncorrelated), F1 (uncorrelated), F2 (uncorrelated)</t>
  </si>
  <si>
    <t xml:space="preserve">Fp1 (uncorrelated), F3 (uncorrelated), Fz (uncorrelated), Cz (uncorrelated), AF4 (uncorrelated), AF8 (uncorrelated), F1 (uncorrelated), F2 (uncorrelated)</t>
  </si>
  <si>
    <t xml:space="preserve">Fp1 (uncorrelated), Fp2 (uncorrelated), F3 (uncorrelated), Fz (uncorrelated), F4 (uncorrelated), Cz (uncorrelated), AF3 (uncorrelated), AF4 (uncorrelated), AF8 (uncorrelated), F1 (uncorrelated), F2 (uncorrelated), F6 (uncorrelated)</t>
  </si>
  <si>
    <t xml:space="preserve">Fp1 (uncorrelated), Fp2 (uncorrelated), Fz (uncorrelated), AF4 (uncorrelated), AF8 (uncorrelated)</t>
  </si>
  <si>
    <t xml:space="preserve">F3 (uncorrelated), Fz (uncorrelated), F1 (uncorrelated)</t>
  </si>
  <si>
    <t xml:space="preserve">FC5 (uncorrelated), FC1 (uncorrelated), F6 (uncorrelated), FC3 (uncorrelated)</t>
  </si>
  <si>
    <t xml:space="preserve">F4 (uncorrelated), FC1 (uncorrelated), F6 (uncorrelated)</t>
  </si>
  <si>
    <t xml:space="preserve">F3 (uncorrelated), Fz (uncorrelated), AF3 (uncorrelated), F1 (uncorrelated), F2 (uncorrelated)</t>
  </si>
  <si>
    <t xml:space="preserve">F3 (uncorrelated), F4 (uncorrelated), AF7 (uncorrelated), AF8 (uncorrelated), F5 (uncorrelated), F2 (uncorrelated)</t>
  </si>
  <si>
    <t xml:space="preserve">Fp2 (uncorrelated), Fz (uncorrelated), F1 (uncorrelated), F2 (uncorrelated)</t>
  </si>
  <si>
    <t xml:space="preserve">F1 (uncorrelated), F6 (uncorrelated)</t>
  </si>
  <si>
    <t xml:space="preserve">Fp1 (uncorrelated), Fp2 (uncorrelated), Fz (uncorrelated), F4 (uncorrelated), AF3 (uncorrelated), AF4 (uncorrelated), AF8 (uncorrelated), F1 (uncorrelated), F2 (uncorrelated)</t>
  </si>
  <si>
    <t xml:space="preserve">F7 (uncorrelated), F3 (uncorrelated), F4 (uncorrelated), FC1 (uncorrelated), AF8 (uncorrelated), F5 (uncorrelated), F2 (uncorrelated)</t>
  </si>
  <si>
    <t xml:space="preserve">F3 (uncorrelated), Fz (uncorrelated), F4 (uncorrelated), AF7 (uncorrelated), AF3 (uncorrelated), AF4 (uncorrelated), AF8 (uncorrelated), F5 (uncorrelated), F1 (uncorrelated), F2 (uncorrelated)</t>
  </si>
  <si>
    <t xml:space="preserve">F7 (uncorrelated), FC1 (uncorrelated), FC2 (uncorrelated), F5 (uncorrelated)</t>
  </si>
  <si>
    <t xml:space="preserve">Fp1 (uncorrelated), F7 (uncorrelated), F4 (uncorrelated), F8 (uncorrelated), FC1 (uncorrelated), AF7 (uncorrelated), AF4 (uncorrelated), F5 (uncorrelated), F2 (uncorrelated), F6 (uncorrelated), FC3 (uncorrelated)</t>
  </si>
  <si>
    <t xml:space="preserve">Fp1 (uncorrelated), Fp2 (uncorrelated), F7 (uncorrelated), F3 (uncorrelated), F4 (uncorrelated), FC1 (uncorrelated), FC2 (uncorrelated), FC6 (uncorrelated), AF7 (uncorrelated), AF3 (uncorrelated), AF4 (uncorrelated), AF8 (uncorrelated), F5 (uncorrelated), F1 (uncorrelated), F2 (uncorrelated), F6 (uncorrelated), FC3 (uncorrelated), FC4 (uncorrelated)</t>
  </si>
  <si>
    <t xml:space="preserve">Fp1 (uncorrelated), Fp2 (uncorrelated), F3 (uncorrelated), Fz (uncorrelated), F4 (uncorrelated), FC2 (uncorrelated), AF7 (uncorrelated), AF3 (uncorrelated), AF4 (uncorrelated), F1 (uncorrelated), F2 (uncorrelated)</t>
  </si>
  <si>
    <t xml:space="preserve">F4 (uncorrelated), PO10 (uncorrelated), F2 (uncorrelated), F6 (uncorrelated)</t>
  </si>
  <si>
    <t xml:space="preserve">F4 (uncorrelated), CP5 (noisy+uncorrelated), AF4 (uncorrelated), F5 (uncorrelated), F2 (uncorrelated), F6 (uncorrelated)</t>
  </si>
  <si>
    <t xml:space="preserve">F4 (uncorrelated), F8 (noisy), FC5 (uncorrelated), FC2 (uncorrelated), AF4 (uncorrelated), F6 (uncorrelated), FC4 (uncorrelated)</t>
  </si>
  <si>
    <t xml:space="preserve">F4, FC5, FC2, AF4, F6, FC4</t>
  </si>
  <si>
    <t xml:space="preserve">Fz (uncorrelated), F4 (uncorrelated), FC2 (uncorrelated), AF4 (uncorrelated), F2 (uncorrelated)</t>
  </si>
  <si>
    <t xml:space="preserve">Fz (uncorrelated), F4 (uncorrelated), FC2 (uncorrelated), T8 (noisy), AF4 (uncorrelated), F1 (uncorrelated), F2 (uncorrelated)</t>
  </si>
  <si>
    <t xml:space="preserve">F7 (uncorrelated), F3 (uncorrelated), F4 (uncorrelated), AF8 (uncorrelated), F5 (uncorrelated), F6 (uncorrelated)</t>
  </si>
  <si>
    <t xml:space="preserve">F7 (uncorrelated), F3 (uncorrelated), F8 (uncorrelated), FC6 (uncorrelated), F5 (uncorrelated), FC4 (uncorrelated)</t>
  </si>
  <si>
    <t xml:space="preserve">F7 (uncorrelated), F8 (uncorrelated), FC1 (uncorrelated), FC2 (uncorrelated), FC6 (uncorrelated), FC4 (uncorrelated)</t>
  </si>
  <si>
    <t xml:space="preserve">F1 (uncorrelated), F2 (uncorrelated)</t>
  </si>
  <si>
    <t xml:space="preserve">F4 (uncorrelated), FC1 (uncorrelated), AF4 (uncorrelated), F1 (uncorrelated), F2 (uncorrelated)</t>
  </si>
  <si>
    <t xml:space="preserve">Fp1 (uncorrelated), Fp2 (uncorrelated), F3 (uncorrelated), F4 (uncorrelated), AF7 (uncorrelated), AF3 (uncorrelated), AF4 (uncorrelated), F1 (uncorrelated), F2 (uncorrelated)</t>
  </si>
  <si>
    <t xml:space="preserve">F7 (uncorrelated), FC2 (uncorrelated), F5 (uncorrelated)</t>
  </si>
  <si>
    <t xml:space="preserve">F7 (uncorrelated), F8 (uncorrelated), F6 (uncorrelated)</t>
  </si>
  <si>
    <t xml:space="preserve">F7 (uncorrelated), F3 (uncorrelated), F4 (uncorrelated), F8 (uncorrelated), F5 (uncorrelated), F6 (uncorrelated)</t>
  </si>
  <si>
    <t xml:space="preserve">F8 (uncorrelated), FC5 (uncorrelated), FC1 (uncorrelated), FT7 (uncorrelated), FC3 (uncorrelated)</t>
  </si>
  <si>
    <t xml:space="preserve">F7 (uncorrelated), F3 (uncorrelated), FC1 (uncorrelated), FC2 (uncorrelated), AF7 (uncorrelated), AF8 (uncorrelated), F5 (uncorrelated), F1 (uncorrelated), FC3 (uncorrelated)</t>
  </si>
  <si>
    <t xml:space="preserve">F3 (uncorrelated), Fz (uncorrelated), F4 (uncorrelated), FC5 (uncorrelated), FC1 (uncorrelated), F2 (uncorrelated), FC3 (uncorrelated)</t>
  </si>
  <si>
    <t xml:space="preserve">Fp1 (uncorrelated), F4 (uncorrelated), FC5 (uncorrelated), FC1 (uncorrelated), FC6 (uncorrelated), AF7 (uncorrelated), AF3 (uncorrelated), AF4 (uncorrelated), AF8 (uncorrelated), F6 (uncorrelated), FC3 (uncorrelated), FC4 (uncorrelated)</t>
  </si>
  <si>
    <t xml:space="preserve">Fz (uncorrelated), F4 (uncorrelated), FC2 (uncorrelated), F2 (uncorrelated)</t>
  </si>
  <si>
    <t xml:space="preserve">F7 (uncorrelated), F4 (uncorrelated), FC5 (uncorrelated), FC1 (uncorrelated), FC2 (uncorrelated), FC3 (uncorrelated), FC4 (uncorrelated)</t>
  </si>
  <si>
    <t xml:space="preserve">F7 (uncorrelated), F4 (uncorrelated), FC1 (uncorrelated), FC2 (uncorrelated), F5 (uncorrelated), F2 (uncorrelated), FC3 (uncorrelated)</t>
  </si>
  <si>
    <t xml:space="preserve">Fz (noisy+uncorrelated)</t>
  </si>
  <si>
    <t xml:space="preserve">Fz (noisy+uncorrelated), F2 (uncorrelated)</t>
  </si>
  <si>
    <t xml:space="preserve">FC5 (uncorrelated), FC1 (uncorrelated), FC2 (uncorrelated), FC6 (uncorrelated), FC3 (uncorrelated), FC4 (uncorrelated)</t>
  </si>
  <si>
    <t xml:space="preserve">F3 (uncorrelated), AF7 (uncorrelated), AF3 (uncorrelated), AF4 (uncorrelated), AF8 (uncorrelated), F5 (uncorrelated), F1 (uncorrelated), F2 (uncorrelated)</t>
  </si>
  <si>
    <t xml:space="preserve">F7 (uncorrelated), F3 (uncorrelated), F4 (uncorrelated), AF4 (uncorrelated), AF8 (uncorrelated), F5 (uncorrelated), F1 (uncorrelated), F2 (uncorrelated)</t>
  </si>
  <si>
    <t xml:space="preserve">F7 (uncorrelated), F3 (uncorrelated), F4 (uncorrelated), AF8 (uncorrelated), F5 (uncorrelated), F2 (uncorrelated)</t>
  </si>
  <si>
    <t xml:space="preserve">Fp1 (uncorrelated), Fp2 (uncorrelated), F3 (uncorrelated), Fz (uncorrelated), F4 (uncorrelated), AF3 (uncorrelated), AF4 (uncorrelated), AF8 (uncorrelated), F1 (uncorrelated), F2 (uncorrelated)</t>
  </si>
  <si>
    <t xml:space="preserve">FC1 (uncorrelated), F5 (uncorrelated), F6 (uncorrelated)</t>
  </si>
  <si>
    <t xml:space="preserve">Fp1 (uncorrelated), Fp2 (uncorrelated), F7 (uncorrelated), F3 (uncorrelated), Fz (uncorrelated), F4 (uncorrelated), FC1 (uncorrelated), AF7 (uncorrelated), AF3 (uncorrelated), AF4 (uncorrelated), AF8 (uncorrelated), F5 (uncorrelated), F1 (uncorrelated), F2 (uncorrelated)</t>
  </si>
  <si>
    <t xml:space="preserve">F7 (uncorrelated), FC1 (uncorrelated), FC6 (uncorrelated), FC3 (uncorrelated), FC4 (uncorrelated)</t>
  </si>
  <si>
    <t xml:space="preserve">Fp1 (noisy), Fp2 (noisy), FC5 (uncorrelated), FC1 (uncorrelated), FC6 (uncorrelated), FC3 (uncorrelated), FC4 (uncorrelated)</t>
  </si>
  <si>
    <t xml:space="preserve">FC5, FC1, FC6, FC3, FC4</t>
  </si>
  <si>
    <t xml:space="preserve">F3 (uncorrelated), F4 (uncorrelated), F8 (uncorrelated), FC2 (uncorrelated), AF7 (uncorrelated), AF3 (uncorrelated), AF4 (uncorrelated), AF8 (uncorrelated), F5 (uncorrelated), F1 (uncorrelated), F2 (uncorrelated), F6 (uncorrelated)</t>
  </si>
  <si>
    <t xml:space="preserve">F7 (uncorrelated), F4 (uncorrelated), F8 (uncorrelated), AF7 (uncorrelated), AF8 (uncorrelated), F6 (uncorrelated), FC4 (uncorrelated)</t>
  </si>
  <si>
    <t xml:space="preserve">F3 (uncorrelated), Fz (uncorrelated), F4 (uncorrelated), AF3 (uncorrelated), F1 (uncorrelated)</t>
  </si>
  <si>
    <t xml:space="preserve">Fp2 (uncorrelated), Fz (uncorrelated), F4 (uncorrelated), AF7 (uncorrelated), AF3 (uncorrelated), AF4 (uncorrelated), AF8 (uncorrelated), F5 (uncorrelated), F1 (uncorrelated), F2 (uncorrelated)</t>
  </si>
  <si>
    <t xml:space="preserve">Fp2 (uncorrelated), F3 (uncorrelated), F4 (uncorrelated), AF7 (uncorrelated), AF3 (uncorrelated), AF4 (uncorrelated), AF8 (uncorrelated), F5 (uncorrelated), F1 (uncorrelated), F2 (uncorrelated), F6 (uncorrelated)</t>
  </si>
  <si>
    <t xml:space="preserve">F7 (uncorrelated), FC2 (uncorrelated)</t>
  </si>
  <si>
    <t xml:space="preserve">F7 (uncorrelated), FC2 (uncorrelated), FC4 (uncorrelated)</t>
  </si>
  <si>
    <t xml:space="preserve">F7 (uncorrelated), FC1 (uncorrelated), F6 (uncorrelated), FC3 (uncorrelated)</t>
  </si>
  <si>
    <t xml:space="preserve">F3 (uncorrelated), Fz (uncorrelated), F4 (uncorrelated), AF7 (uncorrelated), AF3 (uncorrelated), F1 (uncorrelated), F2 (uncorrelated), F6 (uncorrelated)</t>
  </si>
  <si>
    <t xml:space="preserve">F4 (uncorrelated), FC2 (uncorrelated)</t>
  </si>
  <si>
    <t xml:space="preserve">F3 (uncorrelated), F4 (uncorrelated), F2 (uncorrelated), F6 (uncorrelated), FC3 (uncorrelated)</t>
  </si>
  <si>
    <t xml:space="preserve">F3 (uncorrelated), F4 (uncorrelated), AF7 (uncorrelated), AF4 (uncorrelated), AF8 (uncorrelated), F1 (uncorrelated), F2 (uncorrelated)</t>
  </si>
  <si>
    <t xml:space="preserve">F3 (uncorrelated), Fz (uncorrelated), FC1 (uncorrelated), AF3 (uncorrelated), F5 (uncorrelated), F1 (uncorrelated), F2 (uncorrelated), FT7 (uncorrelated)</t>
  </si>
  <si>
    <t xml:space="preserve">FC1 (uncorrelated), C3 (uncorrelated), F5 (uncorrelated), F6 (uncorrelated), FT7 (uncorrelated)</t>
  </si>
  <si>
    <t xml:space="preserve">F3 (uncorrelated), Fz (uncorrelated), FC1 (uncorrelated), C3 (uncorrelated), AF3 (uncorrelated), F1 (uncorrelated), F2 (uncorrelated), FC3 (uncorrelated), C1 (uncorrelated)</t>
  </si>
  <si>
    <t xml:space="preserve">F3 (uncorrelated), Fz (uncorrelated), FC5 (uncorrelated), FC1 (uncorrelated), FC2 (uncorrelated), FC6 (uncorrelated), FC3 (uncorrelated), FC4 (uncorrelated)</t>
  </si>
  <si>
    <t xml:space="preserve">F3 (uncorrelated), F4 (uncorrelated), FC2 (uncorrelated), F5 (uncorrelated), FC3 (uncorrelated)</t>
  </si>
  <si>
    <t xml:space="preserve">C4 (uncorrelated)</t>
  </si>
  <si>
    <t xml:space="preserve">F7 (uncorrelated), F3 (uncorrelated), F4 (uncorrelated), F8 (uncorrelated), AF8 (uncorrelated), F5 (uncorrelated), F6 (uncorrelated)</t>
  </si>
  <si>
    <t xml:space="preserve">Fp2 (uncorrelated), Fz (uncorrelated)</t>
  </si>
  <si>
    <t xml:space="preserve">FC5 (uncorrelated), FC1 (uncorrelated), FC2 (uncorrelated), FC3 (uncorrelated), FC4 (uncorrelated)</t>
  </si>
  <si>
    <t xml:space="preserve">Fz (uncorrelated), F4 (uncorrelated), AF3 (uncorrelated), AF4 (uncorrelated), AF8 (uncorrelated), F1 (uncorrelated), F2 (uncorrelated)</t>
  </si>
  <si>
    <t xml:space="preserve">Fp2 (uncorrelated), Fz (uncorrelated), AF7 (uncorrelated), AF3 (uncorrelated), AF4 (uncorrelated), AF8 (uncorrelated), F1 (uncorrelated), F2 (uncorrelated)</t>
  </si>
  <si>
    <t xml:space="preserve">F4 (uncorrelated), F6 (uncorrelated)</t>
  </si>
  <si>
    <t xml:space="preserve">Fz (uncorrelated), FC2 (uncorrelated), F1 (uncorrelated)</t>
  </si>
  <si>
    <t xml:space="preserve">Fp1 (uncorrelated), Fp2 (uncorrelated), F7 (uncorrelated), F3 (uncorrelated), F4 (uncorrelated), FC1 (uncorrelated), FC2 (uncorrelated), AF7 (uncorrelated), AF3 (uncorrelated), AF4 (uncorrelated), AF8 (uncorrelated), F5 (uncorrelated), F2 (uncorrelated), F6 (uncorrelated), FC3 (uncorrelated)</t>
  </si>
  <si>
    <t xml:space="preserve">Fp1 (uncorrelated), F3 (uncorrelated), Fz (uncorrelated), F4 (uncorrelated), AF7 (uncorrelated), AF3 (uncorrelated), AF4 (uncorrelated), F5 (uncorrelated), F1 (uncorrelated), F2 (uncorrelated), F6 (uncorrelated)</t>
  </si>
  <si>
    <t xml:space="preserve">F3 (uncorrelated), Fz (uncorrelated), F4 (uncorrelated), FC1 (uncorrelated), F1 (uncorrelated), F2 (uncorrelated), FC3 (uncorrelated)</t>
  </si>
  <si>
    <t xml:space="preserve">F7 (uncorrelated), F3 (uncorrelated), F4 (uncorrelated), AF7 (uncorrelated), AF4 (uncorrelated), AF8 (uncorrelated), F5 (uncorrelated), F1 (uncorrelated), F2 (uncorrelated)</t>
  </si>
  <si>
    <t xml:space="preserve">F7 (uncorrelated), F3 (uncorrelated), F4 (uncorrelated), AF7 (uncorrelated), AF8 (uncorrelated), F5 (uncorrelated), F1 (uncorrelated), F2 (uncorrelated), F6 (uncorrelated)</t>
  </si>
  <si>
    <t xml:space="preserve">Fp1 (uncorrelated), Fp2 (uncorrelated), Fz (uncorrelated), FC1 (uncorrelated), AF7 (uncorrelated), AF3 (uncorrelated), AF4 (uncorrelated), F1 (uncorrelated), F2 (uncorrelated)</t>
  </si>
  <si>
    <t xml:space="preserve">F7 (uncorrelated), F3 (uncorrelated), F8 (uncorrelated), F5 (uncorrelated), F6 (uncorrelated)</t>
  </si>
  <si>
    <t xml:space="preserve">O2 (uncorrelated)</t>
  </si>
  <si>
    <t xml:space="preserve">O2 (clipped)</t>
  </si>
  <si>
    <t xml:space="preserve">Fp1 (uncorrelated), Fp2 (uncorrelated), Fz (uncorrelated), O2 (uncorrelated)</t>
  </si>
  <si>
    <t xml:space="preserve">Fp1 (uncorrelated), Fp2 (uncorrelated), O2 (clipped)</t>
  </si>
  <si>
    <t xml:space="preserve">Fp1 (uncorrelated), Fp2 (uncorrelated), Fz (uncorrelated), AF3 (uncorrelated), AF4 (uncorrelated), AF8 (uncorrelated)</t>
  </si>
  <si>
    <t xml:space="preserve">F3 (uncorrelated), AF7 (uncorrelated), F1 (uncorrelated), F6 (uncorrelated), FC3 (uncorrelated)</t>
  </si>
  <si>
    <t xml:space="preserve">F7 (uncorrelated), F3 (uncorrelated), F4 (uncorrelated), AF3 (uncorrelated), AF4 (uncorrelated), AF8 (uncorrelated), F5 (uncorrelated), F1 (uncorrelated), F2 (uncorrelated), F6 (uncorrelated)</t>
  </si>
  <si>
    <t xml:space="preserve">F7 (uncorrelated), F3 (uncorrelated), F4 (uncorrelated), F8 (uncorrelated), FC1 (uncorrelated), FC2 (uncorrelated), F5 (uncorrelated), F6 (uncorrelated), FC4 (uncorrelated)</t>
  </si>
  <si>
    <t xml:space="preserve">F3 (uncorrelated), F8 (uncorrelated), FC1 (uncorrelated), FC2 (uncorrelated), F5 (uncorrelated), FC4 (uncorrelated)</t>
  </si>
  <si>
    <t xml:space="preserve">F7 (uncorrelated), F3 (uncorrelated), F5 (uncorrelated), F1 (uncorrelated)</t>
  </si>
  <si>
    <t xml:space="preserve">AF7 (uncorrelated)</t>
  </si>
  <si>
    <t xml:space="preserve">Fp1 (uncorrelated), F7 (uncorrelated), F3 (uncorrelated), F4 (uncorrelated), AF7 (uncorrelated), AF3 (uncorrelated), AF4 (uncorrelated), AF8 (uncorrelated), F5 (uncorrelated), F1 (uncorrelated), F2 (uncorrelated), F6 (uncorrelated)</t>
  </si>
  <si>
    <t xml:space="preserve">F3 (uncorrelated), F4 (uncorrelated), F8 (uncorrelated), F5 (uncorrelated), F1 (uncorrelated), F6 (uncorrelated)</t>
  </si>
  <si>
    <t xml:space="preserve">F4 (uncorrelated), F8 (uncorrelated), F5 (uncorrelated)</t>
  </si>
  <si>
    <t xml:space="preserve">FT9 (uncorrelated)</t>
  </si>
  <si>
    <t xml:space="preserve">Fp1 (uncorrelated), AF3 (uncorrelated), F1 (uncorrelated)</t>
  </si>
  <si>
    <t xml:space="preserve">Fp1 (uncorrelated), Fp2 (uncorrelated), F7 (uncorrelated), F3 (uncorrelated), F4 (uncorrelated), AF7 (uncorrelated), AF3 (uncorrelated), AF4 (uncorrelated), AF8 (uncorrelated), F5 (uncorrelated), F1 (uncorrelated), F2 (uncorrelated)</t>
  </si>
  <si>
    <t xml:space="preserve">F7 (uncorrelated), FC5 (uncorrelated), FC1 (uncorrelated), F6 (uncorrelated), FC3 (uncorrelated)</t>
  </si>
  <si>
    <t xml:space="preserve">F8 (uncorrelated), FC6 (uncorrelated), AF7 (uncorrelated), F6 (uncorrelated)</t>
  </si>
  <si>
    <t xml:space="preserve">Fp1 (uncorrelated), F3 (uncorrelated), F4 (uncorrelated), FC1 (uncorrelated), FC2 (uncorrelated), AF7 (uncorrelated), AF3 (uncorrelated), AF4 (uncorrelated), AF8 (uncorrelated), F5 (uncorrelated), F1 (uncorrelated), FC4 (uncorrelated)</t>
  </si>
  <si>
    <t xml:space="preserve">Fz (uncorrelated), FC2 (uncorrelated), F2 (uncorrelated), FC4 (uncorrelated)</t>
  </si>
  <si>
    <t xml:space="preserve">FC2 (uncorrelated), FC4 (uncorrelated)</t>
  </si>
  <si>
    <t xml:space="preserve">Cz (uncorrelated), FC4 (uncorrelated)</t>
  </si>
  <si>
    <t xml:space="preserve">Fz (uncorrelated), F4 (uncorrelated), AF4 (uncorrelated), F1 (uncorrelated), F2 (uncorrelated), F6 (uncorrelated)</t>
  </si>
  <si>
    <t xml:space="preserve">Fp2 (uncorrelated), F3 (uncorrelated), F4 (uncorrelated), AF3 (uncorrelated), AF4 (uncorrelated), F1 (uncorrelated), F2 (uncorrelated)</t>
  </si>
  <si>
    <t xml:space="preserve">Fp1 (uncorrelated), Fp2 (uncorrelated), AF7 (uncorrelated), AF8 (uncorrelated)</t>
  </si>
  <si>
    <t xml:space="preserve">Fp2 (uncorrelated), F3 (uncorrelated), Fz (uncorrelated), AF3 (uncorrelated), AF4 (uncorrelated), AF8 (uncorrelated), F5 (uncorrelated), F1 (uncorrelated), F2 (uncorrelated)</t>
  </si>
  <si>
    <t xml:space="preserve">Fp2 (uncorrelated), F3 (uncorrelated), F4 (uncorrelated), FC2 (uncorrelated), AF7 (uncorrelated), AF4 (uncorrelated), AF8 (uncorrelated), F1 (uncorrelated), FC4 (uncorrelated)</t>
  </si>
  <si>
    <t xml:space="preserve">Fp2 (uncorrelated), F3 (uncorrelated), F4 (uncorrelated), FC2 (uncorrelated), AF7 (uncorrelated), AF3 (uncorrelated), AF4 (uncorrelated), AF8 (uncorrelated), F1 (uncorrelated)</t>
  </si>
  <si>
    <t xml:space="preserve">F7 (uncorrelated), F8 (uncorrelated), FC2 (uncorrelated), F5 (uncorrelated), F6 (uncorrelated)</t>
  </si>
  <si>
    <t xml:space="preserve">Fp1 (uncorrelated), Fp2 (uncorrelated), Fz (uncorrelated), AF7 (uncorrelated), AF4 (uncorrelated), AF8 (uncorrelated), F2 (uncorrelated)</t>
  </si>
  <si>
    <t xml:space="preserve">Oz (uncorrelated)</t>
  </si>
  <si>
    <t xml:space="preserve">Fp2 (noisy), F7 (uncorrelated), FC2 (uncorrelated), FC6 (uncorrelated), FC4 (uncorrelated)</t>
  </si>
  <si>
    <t xml:space="preserve">F7 (uncorrelated), F3 (uncorrelated), F4 (uncorrelated), F8 (uncorrelated), FC6 (uncorrelated), Oz (clipped), F5 (uncorrelated), F1 (uncorrelated), F6 (uncorrelated)</t>
  </si>
  <si>
    <t xml:space="preserve">F7, F3, F4, F8, FC6, F5, F1, F6</t>
  </si>
  <si>
    <t xml:space="preserve">F7 (uncorrelated), F4 (uncorrelated), F5 (uncorrelated)</t>
  </si>
  <si>
    <t xml:space="preserve">Fp1 (uncorrelated), Fp2 (uncorrelated), F3 (uncorrelated), Fz (uncorrelated), F4 (uncorrelated), AF7 (uncorrelated), AF3 (uncorrelated), AF4 (uncorrelated), AF8 (uncorrelated), F5 (uncorrelated), F1 (uncorrelated)</t>
  </si>
  <si>
    <t xml:space="preserve">F7 (uncorrelated), F4 (uncorrelated), FC5 (uncorrelated), FC1 (uncorrelated), F5 (uncorrelated), F6 (uncorrelated), FC3 (uncorrelated)</t>
  </si>
  <si>
    <t xml:space="preserve">F7 (uncorrelated), F3 (uncorrelated), Fz (uncorrelated), F4 (uncorrelated), FC1 (uncorrelated), AF3 (uncorrelated), AF4 (uncorrelated), AF8 (uncorrelated), F5 (uncorrelated), F1 (uncorrelated), F2 (uncorrelated), F6 (uncorrelated)</t>
  </si>
  <si>
    <t xml:space="preserve">F7 (uncorrelated), F3 (uncorrelated), F4 (uncorrelated), FC5 (uncorrelated), FC1 (uncorrelated), AF7 (uncorrelated), AF4 (uncorrelated), AF8 (uncorrelated), F5 (uncorrelated), F1 (uncorrelated), F2 (uncorrelated), F6 (uncorrelated), FC3 (uncorrelated)</t>
  </si>
  <si>
    <t xml:space="preserve">Fz (uncorrelated), F4 (uncorrelated), FC2 (uncorrelated), AF4 (uncorrelated), F1 (uncorrelated), F2 (uncorrelated)</t>
  </si>
  <si>
    <t xml:space="preserve">Fz (uncorrelated), PO7 (uncorrelated)</t>
  </si>
  <si>
    <t xml:space="preserve">Fz (uncorrelated), F2 (uncorrelated), PO7 (clipped)</t>
  </si>
  <si>
    <t xml:space="preserve">FC2 (uncorrelated), PO7 (clipped)</t>
  </si>
  <si>
    <t xml:space="preserve">Fp1 (uncorrelated), Fp2 (uncorrelated), Fz (uncorrelated), AF7 (uncorrelated), AF3 (uncorrelated), AF4 (uncorrelated), AF8 (uncorrelated), F1 (uncorrelated)</t>
  </si>
  <si>
    <t xml:space="preserve">Fp2 (uncorrelated), AF4 (uncorrelated), AF8 (uncorrelated)</t>
  </si>
  <si>
    <t xml:space="preserve">F7 (uncorrelated), F3 (uncorrelated), Fz (uncorrelated), F4 (uncorrelated), AF3 (uncorrelated), AF4 (uncorrelated), AF8 (uncorrelated), F5 (uncorrelated), F1 (uncorrelated), F2 (uncorrelated)</t>
  </si>
  <si>
    <t xml:space="preserve">AF8 (uncorrelated), F1 (uncorrelated), F2 (uncorrelated)</t>
  </si>
  <si>
    <t xml:space="preserve">Fp2 (uncorrelated), Fz (uncorrelated), AF4 (uncorrelated), F2 (uncorrelated)</t>
  </si>
  <si>
    <t xml:space="preserve">Fp1 (uncorrelated), Fp2 (uncorrelated), F3 (uncorrelated), Fz (uncorrelated), FC1 (uncorrelated), AF3 (uncorrelated), AF4 (uncorrelated), F1 (uncorrelated), F2 (uncorrelated)</t>
  </si>
  <si>
    <t xml:space="preserve">AF8 (uncorrelated)</t>
  </si>
  <si>
    <t xml:space="preserve">Fp1 (uncorrelated), Fp2 (uncorrelated), F3 (uncorrelated), Fz (uncorrelated), AF7 (uncorrelated), AF3 (uncorrelated), AF4 (uncorrelated), F1 (uncorrelated), F2 (uncorrelated), FC3 (uncorrelated)</t>
  </si>
  <si>
    <t xml:space="preserve">F3 (uncorrelated), Fz (uncorrelated), AF3 (uncorrelated), AF4 (uncorrelated), F1 (uncorrelated), F2 (uncorrelated)</t>
  </si>
  <si>
    <t xml:space="preserve">F8 (uncorrelated), FC5 (uncorrelated), FC3 (uncorrelated)</t>
  </si>
  <si>
    <t xml:space="preserve">F3 (uncorrelated), Fz (uncorrelated), F4 (uncorrelated), F2 (uncorrelated), F6 (uncorrelated)</t>
  </si>
  <si>
    <t xml:space="preserve">F3 (uncorrelated), F4 (uncorrelated), F2 (uncorrelated)</t>
  </si>
  <si>
    <t xml:space="preserve">F7 (uncorrelated), F3 (uncorrelated), Fz (uncorrelated), F4 (uncorrelated), F8 (uncorrelated), AF4 (uncorrelated), F5 (uncorrelated), F1 (uncorrelated), F2 (uncorrelated), F6 (uncorrelated)</t>
  </si>
  <si>
    <t xml:space="preserve">F7 (uncorrelated), F4 (uncorrelated), F8 (uncorrelated), FC5 (uncorrelated), FC1 (uncorrelated), F5 (uncorrelated), F2 (uncorrelated), F6 (uncorrelated), FT7 (uncorrelated), FC3 (uncorrelated)</t>
  </si>
  <si>
    <t xml:space="preserve">Fp1 (uncorrelated), Fp2 (uncorrelated), F3 (uncorrelated), Fz (uncorrelated), F4 (uncorrelated), AF7 (uncorrelated), F1 (uncorrelated), F2 (uncorrelated)</t>
  </si>
  <si>
    <t xml:space="preserve">F7 (noisy)</t>
  </si>
  <si>
    <t xml:space="preserve">Fz (uncorrelated), FC2 (uncorrelated), Cz (uncorrelated)</t>
  </si>
  <si>
    <t xml:space="preserve">Fp2 (uncorrelated), Fz (uncorrelated), F4 (uncorrelated), FC2 (uncorrelated), AF4 (uncorrelated), AF8 (uncorrelated), F1 (uncorrelated), F2 (uncorrelated)</t>
  </si>
  <si>
    <t xml:space="preserve">Fz (uncorrelated), F4 (uncorrelated), FC2 (uncorrelated), Cz (uncorrelated), F2 (uncorrelated)</t>
  </si>
  <si>
    <t xml:space="preserve">Fp1 (uncorrelated), Fp2 (uncorrelated), F3 (uncorrelated), F4 (uncorrelated), AF7 (uncorrelated), AF3 (uncorrelated), AF4 (uncorrelated), AF8 (uncorrelated), F5 (uncorrelated), F1 (uncorrelated), F2 (uncorrelated), F6 (uncorrelated)</t>
  </si>
  <si>
    <t xml:space="preserve">F3 (uncorrelated), F4 (uncorrelated), F8 (uncorrelated), AF7 (uncorrelated), AF8 (uncorrelated), F5 (uncorrelated), F2 (uncorrelated), F6 (uncorrelated)</t>
  </si>
  <si>
    <t xml:space="preserve">Fp1 (uncorrelated), Fz (uncorrelated), F4 (uncorrelated), AF3 (uncorrelated), F1 (uncorrelated), F2 (uncorrelated)</t>
  </si>
  <si>
    <t xml:space="preserve">F3 (uncorrelated), F4 (uncorrelated), F8 (uncorrelated), AF7 (uncorrelated), AF8 (uncorrelated), F5 (uncorrelated), F6 (uncorrelated)</t>
  </si>
  <si>
    <t xml:space="preserve">F3 (uncorrelated), F4 (uncorrelated), AF3 (uncorrelated), F5 (uncorrelated), F1 (uncorrelated)</t>
  </si>
  <si>
    <t xml:space="preserve">F3 (uncorrelated), Fz (uncorrelated)</t>
  </si>
  <si>
    <t xml:space="preserve">Fz (uncorrelated), F4 (uncorrelated), F1 (uncorrelated), F2 (uncorrelated), FC3 (uncorrelated)</t>
  </si>
  <si>
    <t xml:space="preserve">Fp1 (uncorrelated), Fp2 (uncorrelated), Fz (uncorrelated), F4 (uncorrelated), FC2 (uncorrelated), AF4 (uncorrelated), AF8 (uncorrelated), F1 (uncorrelated), F2 (uncorrelated), F6 (uncorrelated), FC4 (uncorrelated)</t>
  </si>
  <si>
    <t xml:space="preserve">F4 (uncorrelated), FC2 (uncorrelated), F1 (uncorrelated), F2 (uncorrelated), FC4 (uncorrelated)</t>
  </si>
  <si>
    <t xml:space="preserve">F3 (uncorrelated), F8 (uncorrelated), FC2 (uncorrelated), FC6 (uncorrelated), C4 (uncorrelated), AF7 (uncorrelated), F5 (uncorrelated), F1 (uncorrelated), F6 (uncorrelated), FC4 (uncorrelated)</t>
  </si>
  <si>
    <t xml:space="preserve">Fz (uncorrelated), AF3 (uncorrelated), AF4 (uncorrelated), F1 (uncorrelated)</t>
  </si>
  <si>
    <t xml:space="preserve">Fp1 (uncorrelated), Fp2 (uncorrelated), Fz (uncorrelated), F4 (uncorrelated), AF7 (uncorrelated), AF3 (uncorrelated), AF4 (uncorrelated), AF8 (uncorrelated)</t>
  </si>
  <si>
    <t xml:space="preserve">Fp1 (uncorrelated), Fp2 (uncorrelated), Fz (uncorrelated), AF3 (uncorrelated), AF4 (uncorrelated), AF8 (uncorrelated), F1 (uncorrelated), F2 (uncorrelated)</t>
  </si>
  <si>
    <t xml:space="preserve">F7 (uncorrelated), F3 (uncorrelated), Fz (uncorrelated), F4 (uncorrelated), F8 (uncorrelated), F5 (uncorrelated), F1 (uncorrelated), F6 (uncorrelated)</t>
  </si>
  <si>
    <t xml:space="preserve">F7 (uncorrelated), F3 (uncorrelated), F4 (uncorrelated), F8 (uncorrelated), F5 (uncorrelated), F1 (uncorrelated), F6 (uncorrelated)</t>
  </si>
  <si>
    <t xml:space="preserve">Fp2 (uncorrelated), Fz (uncorrelated), F4 (uncorrelated), AF4 (uncorrelated), F2 (uncorrelated), F6 (uncorrelated)</t>
  </si>
  <si>
    <t xml:space="preserve">F7 (uncorrelated), F3 (uncorrelated), Fz (uncorrelated), F4 (uncorrelated), AF4 (uncorrelated), AF8 (uncorrelated), F5 (uncorrelated), F1 (uncorrelated), F2 (uncorrelated)</t>
  </si>
  <si>
    <t xml:space="preserve">Fp1 (noisy), Fp2 (noisy), F8 (uncorrelated), FC5 (uncorrelated), FC2 (uncorrelated), AF7 (noisy), FT7 (uncorrelated)</t>
  </si>
  <si>
    <t xml:space="preserve">F8, FC5, FC2, FT7</t>
  </si>
  <si>
    <t xml:space="preserve">F3 (uncorrelated), F8 (uncorrelated), F5 (uncorrelated), F6 (uncorrelated)</t>
  </si>
  <si>
    <t xml:space="preserve">Fp1 (uncorrelated), F3 (uncorrelated), Fz (uncorrelated), AF3 (uncorrelated), AF4 (uncorrelated), F1 (uncorrelated), F2 (uncorrelated)</t>
  </si>
  <si>
    <t xml:space="preserve">Fz (uncorrelated), AF3 (uncorrelated), F1 (uncorrelated), F2 (uncorrelated)</t>
  </si>
  <si>
    <t xml:space="preserve">F7 (uncorrelated), F4 (uncorrelated)</t>
  </si>
  <si>
    <t xml:space="preserve">F3 (uncorrelated), F4 (uncorrelated), AF7 (uncorrelated), AF3 (uncorrelated), AF4 (uncorrelated), AF8 (uncorrelated), F1 (uncorrelated), F2 (uncorrelated), F6 (uncorrelated)</t>
  </si>
  <si>
    <t xml:space="preserve">F3 (uncorrelated), F8 (uncorrelated), FC2 (uncorrelated), AF7 (uncorrelated), AF8 (uncorrelated), F5 (uncorrelated), F6 (uncorrelated)</t>
  </si>
  <si>
    <t xml:space="preserve">Fp1 (uncorrelated), Fp2 (uncorrelated), Fz (uncorrelated), F4 (uncorrelated), AF3 (uncorrelated), AF4 (uncorrelated), AF8 (uncorrelated), F2 (uncorrelated)</t>
  </si>
  <si>
    <t xml:space="preserve">Fz (uncorrelated), F4 (uncorrelated), AF4 (uncorrelated), AF8 (uncorrelated), F2 (uncorrelated)</t>
  </si>
  <si>
    <t xml:space="preserve">F7 (uncorrelated), F3 (uncorrelated), F4 (uncorrelated), FC1 (uncorrelated), AF8 (uncorrelated), F5 (uncorrelated), F1 (uncorrelated), F2 (uncorrelated)</t>
  </si>
  <si>
    <t xml:space="preserve">Fp1 (uncorrelated), Fp2 (uncorrelated), F7 (uncorrelated), F3 (uncorrelated), Fz (uncorrelated), F4 (uncorrelated), F8 (uncorrelated), FC5 (uncorrelated), AF7 (uncorrelated), AF3 (uncorrelated), AF4 (uncorrelated), AF8 (uncorrelated), F5 (uncorrelated), F1 (uncorrelated), F2 (uncorrelated), F6 (uncorrelated), FC3 (uncorrelated)</t>
  </si>
  <si>
    <t xml:space="preserve">F7 (uncorrelated), F4 (uncorrelated), FC1 (uncorrelated), F5 (uncorrelated), F6 (uncorrelated)</t>
  </si>
  <si>
    <t xml:space="preserve">Fz (uncorrelated), F4 (uncorrelated), FC1 (uncorrelated), F1 (uncorrelated), F2 (uncorrelated)</t>
  </si>
  <si>
    <t xml:space="preserve">FC5 (uncorrelated), FC2 (uncorrelated), FC3 (uncorrelated)</t>
  </si>
  <si>
    <t xml:space="preserve">F7 (uncorrelated), F3 (uncorrelated), F4 (uncorrelated), F8 (uncorrelated), FC1 (uncorrelated), AF8 (uncorrelated), F5 (uncorrelated), F6 (uncorrelated)</t>
  </si>
  <si>
    <t xml:space="preserve">F7 (uncorrelated), F4 (uncorrelated), FC1 (uncorrelated), F6 (uncorrelated), FC3 (uncorrelated)</t>
  </si>
  <si>
    <t xml:space="preserve">Fp2 (uncorrelated), F3 (uncorrelated), Fz (uncorrelated), F4 (uncorrelated), AF7 (uncorrelated), AF3 (uncorrelated), AF4 (uncorrelated), AF8 (uncorrelated), F1 (uncorrelated), F2 (uncorrelated)</t>
  </si>
  <si>
    <t xml:space="preserve">F3 (uncorrelated), F4 (uncorrelated), F5 (uncorrelated)</t>
  </si>
  <si>
    <t xml:space="preserve">Fp2 (uncorrelated), F3 (uncorrelated), F4 (uncorrelated), AF7 (uncorrelated), AF3 (uncorrelated), AF8 (uncorrelated), F5 (uncorrelated), F1 (uncorrelated), F2 (uncorrelated), F6 (uncorrelated)</t>
  </si>
  <si>
    <t xml:space="preserve">Fp1 (uncorrelated), Fp2 (uncorrelated), F3 (uncorrelated), F4 (uncorrelated), FC2 (uncorrelated), FC6 (uncorrelated), AF7 (uncorrelated), AF3 (uncorrelated), AF4 (uncorrelated), AF8 (uncorrelated), F5 (uncorrelated), F1 (uncorrelated), F2 (uncorrelated), F6 (uncorrelated), FC4 (uncorrelated)</t>
  </si>
  <si>
    <t xml:space="preserve">Fz (uncorrelated), F4 (uncorrelated), F2 (uncorrelated)</t>
  </si>
  <si>
    <t xml:space="preserve">Fp1 (uncorrelated), Fp2 (uncorrelated), Fz (uncorrelated), FC2 (uncorrelated), AF7 (uncorrelated), AF3 (uncorrelated), AF4 (uncorrelated), F1 (uncorrelated), F2 (uncorrelated)</t>
  </si>
  <si>
    <t xml:space="preserve">F4 (uncorrelated), F8 (uncorrelated), FC2 (uncorrelated), F6 (uncorrelated), FC3 (uncorrelated)</t>
  </si>
  <si>
    <t xml:space="preserve">F7 (uncorrelated), F3 (uncorrelated), F4 (uncorrelated), FC1 (uncorrelated), F5 (uncorrelated), F6 (uncorrelated)</t>
  </si>
  <si>
    <t xml:space="preserve">F7 (uncorrelated), F3 (uncorrelated), F4 (uncorrelated), FC1 (uncorrelated), AF7 (uncorrelated), AF3 (uncorrelated), AF4 (uncorrelated), AF8 (uncorrelated), F5 (uncorrelated), F1 (uncorrelated), F2 (uncorrelated), F6 (uncorrelated)</t>
  </si>
  <si>
    <t xml:space="preserve">Fz (uncorrelated), F4 (uncorrelated), AF7 (uncorrelated), AF3 (uncorrelated), AF4 (uncorrelated), AF8 (uncorrelated), F1 (uncorrelated), F2 (uncorrelated), F6 (uncorrelated)</t>
  </si>
  <si>
    <t xml:space="preserve">Fp1 (uncorrelated), Fp2 (uncorrelated), AF7 (uncorrelated), AF3 (uncorrelated), AF4 (uncorrelated), AF8 (uncorrelated), F1 (uncorrelated), F2 (uncorrelated)</t>
  </si>
  <si>
    <t xml:space="preserve">F7 (uncorrelated), F8 (uncorrelated), FC2 (uncorrelated), FC6 (uncorrelated), FC4 (uncorrelated)</t>
  </si>
  <si>
    <t xml:space="preserve">Fz (uncorrelated), AF4 (uncorrelated), F2 (uncorrelated)</t>
  </si>
  <si>
    <t xml:space="preserve">F4 (uncorrelated), F1 (uncorrelated), F2 (uncorrelated), F6 (uncorrelated)</t>
  </si>
  <si>
    <t xml:space="preserve">F3 (uncorrelated), Fz (uncorrelated), F4 (uncorrelated), FC2 (uncorrelated), AF4 (uncorrelated), F5 (uncorrelated), F1 (uncorrelated), F6 (uncorrelated), FC4 (uncorrelated)</t>
  </si>
  <si>
    <t xml:space="preserve">Fz (uncorrelated), F4 (uncorrelated), AF7 (clipped), F1 (uncorrelated), F2 (uncorrelated), FC4 (uncorrelated)</t>
  </si>
  <si>
    <t xml:space="preserve">Fz, F4, F1, F2, FC4</t>
  </si>
  <si>
    <t xml:space="preserve">F3 (uncorrelated), Fz (uncorrelated), F4 (uncorrelated), FC1 (uncorrelated), FC2 (uncorrelated), AF7 (clipped), AF4 (uncorrelated), F1 (uncorrelated), F2 (uncorrelated), FC3 (uncorrelated), FC4 (uncorrelated)</t>
  </si>
  <si>
    <t xml:space="preserve">F3, Fz, F4, FC1, FC2, AF4, F1, F2, FC3, FC4</t>
  </si>
  <si>
    <t xml:space="preserve">F3 (uncorrelated), Fz (uncorrelated), F4 (uncorrelated), FC2 (uncorrelated), AF7 (clipped), F1 (uncorrelated), F2 (uncorrelated), F6 (uncorrelated), FC3 (uncorrelated), FC4 (uncorrelated)</t>
  </si>
  <si>
    <t xml:space="preserve">F3, Fz, F4, FC2, F1, F2, F6, FC3, FC4</t>
  </si>
  <si>
    <t xml:space="preserve">F3 (uncorrelated), Fz (uncorrelated), F4 (uncorrelated), FC1 (uncorrelated), FC2 (uncorrelated), AF7 (clipped), F1 (uncorrelated), F2 (uncorrelated), FC3 (uncorrelated), FC4 (uncorrelated)</t>
  </si>
  <si>
    <t xml:space="preserve">F3, Fz, F4, FC1, FC2, F1, F2, FC3, FC4</t>
  </si>
  <si>
    <t xml:space="preserve">Fp1 (uncorrelated), F7 (uncorrelated), F3 (uncorrelated), F4 (uncorrelated), F8 (uncorrelated), FC1 (uncorrelated), FC2 (uncorrelated), AF7 (uncorrelated), AF3 (uncorrelated), AF8 (uncorrelated), F5 (uncorrelated), F6 (uncorrelated)</t>
  </si>
  <si>
    <t xml:space="preserve">F7 (uncorrelated), F3 (uncorrelated), F4 (uncorrelated), FC1 (uncorrelated), FC2 (uncorrelated), AF7 (uncorrelated), AF8 (uncorrelated), F6 (uncorrelated)</t>
  </si>
  <si>
    <t xml:space="preserve">FC1 (uncorrelated), FC2 (uncorrelated), F6 (uncorrelated)</t>
  </si>
  <si>
    <t xml:space="preserve">F3 (uncorrelated), Fz (uncorrelated), AF4 (uncorrelated), F1 (uncorrelated), F2 (uncorrelated)</t>
  </si>
  <si>
    <t xml:space="preserve">Fp2 (uncorrelated), F7 (uncorrelated), F4 (uncorrelated), AF7 (uncorrelated), AF4 (uncorrelated), AF8 (uncorrelated), F5 (uncorrelated), F2 (uncorrelated), F6 (uncorrelated)</t>
  </si>
  <si>
    <t xml:space="preserve">F3 (uncorrelated), Fz (uncorrelated), F4 (uncorrelated), FC1 (uncorrelated), AF3 (uncorrelated), AF4 (uncorrelated), F1 (uncorrelated), F2 (uncorrelated)</t>
  </si>
  <si>
    <t xml:space="preserve">F3 (uncorrelated), Fz (uncorrelated), F4 (uncorrelated), AF4 (uncorrelated), F1 (uncorrelated), F2 (uncorrelated), F6 (uncorrelated)</t>
  </si>
  <si>
    <t xml:space="preserve">Fp1 (uncorrelated), Fp2 (uncorrelated), F7 (uncorrelated), F3 (uncorrelated), F4 (uncorrelated), FC1 (uncorrelated), AF7 (uncorrelated), AF3 (uncorrelated), AF4 (uncorrelated), AF8 (uncorrelated), F5 (uncorrelated), F1 (uncorrelated), F6 (uncorrelated)</t>
  </si>
  <si>
    <t xml:space="preserve">Fp2 (uncorrelated), F3 (uncorrelated), Fz (uncorrelated), F4 (uncorrelated), AF3 (uncorrelated), AF4 (uncorrelated), F1 (uncorrelated), F2 (uncorrelated)</t>
  </si>
  <si>
    <t xml:space="preserve">Fp1 (noisy), Fp2 (noisy)</t>
  </si>
  <si>
    <t xml:space="preserve">Fp1 (noisy), Fp2 (noisy), F8 (uncorrelated), AF7 (noisy)</t>
  </si>
  <si>
    <t xml:space="preserve">Fp1 (uncorrelated), F7 (uncorrelated), F3 (uncorrelated), Fz (uncorrelated), FC1 (uncorrelated), AF7 (uncorrelated), AF3 (uncorrelated), AF4 (uncorrelated), AF8 (uncorrelated), F5 (uncorrelated), F1 (uncorrelated)</t>
  </si>
  <si>
    <t xml:space="preserve">Fp1 (uncorrelated), Fp2 (uncorrelated), F3 (uncorrelated), Fz (uncorrelated), F4 (uncorrelated), FC2 (uncorrelated), AF7 (uncorrelated), AF3 (uncorrelated), AF4 (uncorrelated), AF8 (uncorrelated), F5 (uncorrelated), F1 (uncorrelated), F2 (uncorrelated), F6 (uncorrelated), FC4 (uncorrelated)</t>
  </si>
  <si>
    <t xml:space="preserve">Fp1 (uncorrelated), Fp2 (uncorrelated), Fz (uncorrelated), F4 (uncorrelated), FC2 (uncorrelated), AF7 (uncorrelated), AF3 (uncorrelated), AF4 (uncorrelated), AF8 (uncorrelated), F1 (uncorrelated), F2 (uncorrelated)</t>
  </si>
  <si>
    <t xml:space="preserve">Fz (uncorrelated), F4 (uncorrelated), FC1 (uncorrelated), FC2 (uncorrelated), AF3 (uncorrelated), F1 (uncorrelated), F2 (uncorrelated), F6 (uncorrelated), FC4 (uncorrelated)</t>
  </si>
  <si>
    <t xml:space="preserve">FC1 (uncorrelated), FC2 (uncorrelated), AF7 (noisy), FC3 (uncorrelated)</t>
  </si>
  <si>
    <t xml:space="preserve">Fp1 (uncorrelated), Fp2 (uncorrelated), Fz (uncorrelated), FC2 (uncorrelated), AF7 (uncorrelated), AF3 (uncorrelated), AF4 (uncorrelated), AF8 (uncorrelated), F1 (uncorrelated), F2 (uncorrelated)</t>
  </si>
  <si>
    <t xml:space="preserve">F3 (uncorrelated), Fz (uncorrelated), F4 (uncorrelated), FC2 (uncorrelated), F5 (uncorrelated), F1 (uncorrelated), F2 (uncorrelated), F6 (uncorrelated), FC4 (uncorrelated)</t>
  </si>
  <si>
    <t xml:space="preserve">F8 (uncorrelated), FC1 (uncorrelated), FC2 (uncorrelated), F5 (uncorrelated), F6 (uncorrelated), FC4 (uncorrelated)</t>
  </si>
  <si>
    <t xml:space="preserve">Fz (uncorrelated), P5 (uncorrelated)</t>
  </si>
  <si>
    <t xml:space="preserve">Fz (uncorrelated), F2 (uncorrelated), P5 (uncorrelated)</t>
  </si>
  <si>
    <t xml:space="preserve">Fz (uncorrelated), AF7 (clipped)</t>
  </si>
  <si>
    <t xml:space="preserve">F7 (uncorrelated), F4 (uncorrelated), FC1 (uncorrelated), AF7 (uncorrelated), F5 (uncorrelated), F2 (uncorrelated)</t>
  </si>
  <si>
    <t xml:space="preserve">F4 (uncorrelated), FC1 (uncorrelated), AF7 (clipped), FC3 (uncorrelated)</t>
  </si>
  <si>
    <t xml:space="preserve">F4, FC1, FC3</t>
  </si>
  <si>
    <t xml:space="preserve">Fp2 (uncorrelated), F7 (uncorrelated), F3 (uncorrelated), Fz (uncorrelated), AF7 (uncorrelated), AF3 (uncorrelated), AF4 (uncorrelated), F5 (uncorrelated), F1 (uncorrelated), F2 (uncorrelated)</t>
  </si>
  <si>
    <t xml:space="preserve">Fp1 (uncorrelated), Fp2 (uncorrelated), Fz (uncorrelated), F4 (uncorrelated), FC2 (uncorrelated), AF3 (uncorrelated), AF4 (uncorrelated), F1 (uncorrelated), F2 (uncorrelated)</t>
  </si>
  <si>
    <t xml:space="preserve">F7 (uncorrelated), F8 (uncorrelated), FC1 (uncorrelated), FC2 (uncorrelated), F6 (uncorrelated)</t>
  </si>
  <si>
    <t xml:space="preserve">F3 (uncorrelated), F4 (uncorrelated), AF7 (uncorrelated), AF3 (uncorrelated), AF8 (uncorrelated), F1 (uncorrelated), F6 (uncorrelated)</t>
  </si>
  <si>
    <t xml:space="preserve">F3 (uncorrelated), F4 (uncorrelated), F5 (uncorrelated), F1 (uncorrelated), F2 (uncorrelated), F6 (uncorrelated)</t>
  </si>
  <si>
    <t xml:space="preserve">F3 (uncorrelated), Fz (uncorrelated), F4 (uncorrelated), FC1 (uncorrelated), FC6 (uncorrelated), AF4 (uncorrelated), F1 (uncorrelated), F2 (uncorrelated), FC3 (uncorrelated)</t>
  </si>
  <si>
    <t xml:space="preserve">F7 (uncorrelated), F8 (uncorrelated), FC1 (uncorrelated), F5 (uncorrelated), FT9 (uncorrelated), FT7 (uncorrelated)</t>
  </si>
  <si>
    <t xml:space="preserve">Fp1 (noisy), F7 (uncorrelated), FC1 (uncorrelated), FC2 (uncorrelated), FC6 (uncorrelated), AF7 (noisy), FT9 (uncorrelated), FT7 (uncorrelated), FC3 (uncorrelated)</t>
  </si>
  <si>
    <t xml:space="preserve">F7, FC1, FC2, FC6, FT9, FT7, FC3</t>
  </si>
  <si>
    <t xml:space="preserve">Fz (uncorrelated), AF4 (uncorrelated), F1 (uncorrelated)</t>
  </si>
  <si>
    <t xml:space="preserve">F3 (uncorrelated), Fz (uncorrelated), AF3 (uncorrelated), F1 (uncorrelated)</t>
  </si>
  <si>
    <t xml:space="preserve">F3 (uncorrelated), F4 (uncorrelated), FC2 (uncorrelated), FC6 (uncorrelated), F5 (uncorrelated), F2 (uncorrelated), F6 (uncorrelated), FC4 (uncorrelated)</t>
  </si>
  <si>
    <t xml:space="preserve">FC2 (uncorrelated), FC6 (uncorrelated), FC3 (uncorrelated), FC4 (uncorrelated)</t>
  </si>
  <si>
    <t xml:space="preserve">FC5 (uncorrelated), FC2 (uncorrelated), FC3 (uncorrelated), FC4 (uncorrelated)</t>
  </si>
  <si>
    <t xml:space="preserve">F3 (uncorrelated), Fz (uncorrelated), FC1 (uncorrelated), AF7 (clipped), F5 (uncorrelated), F1 (uncorrelated), F2 (uncorrelated)</t>
  </si>
  <si>
    <t xml:space="preserve">F3, Fz, FC1, F5, F1, F2</t>
  </si>
  <si>
    <t xml:space="preserve">F7 (uncorrelated), F3 (uncorrelated), AF8 (uncorrelated), F5 (uncorrelated), F2 (uncorrelated), F6 (uncorrelated)</t>
  </si>
  <si>
    <t xml:space="preserve">F7 (uncorrelated), F4 (uncorrelated), F8 (uncorrelated), AF8 (uncorrelated), F5 (uncorrelated), F6 (uncorrelated), FC4 (uncorrelated)</t>
  </si>
  <si>
    <t xml:space="preserve">Fp2 (uncorrelated), F3 (uncorrelated), Fz (uncorrelated), F1 (uncorrelated), F2 (uncorrelated)</t>
  </si>
  <si>
    <t xml:space="preserve">FC1 (uncorrelated), Cz (uncorrelated), C1 (uncorrelated)</t>
  </si>
  <si>
    <t xml:space="preserve">FC1 (uncorrelated), Cz (uncorrelated)</t>
  </si>
  <si>
    <t xml:space="preserve">FC1 (uncorrelated), FC2 (uncorrelated), Cz (uncorrelated), FC3 (uncorrelated), C1 (uncorrelated)</t>
  </si>
  <si>
    <t xml:space="preserve">F7 (uncorrelated), FC5 (uncorrelated), FC1 (uncorrelated), FC2 (uncorrelated), Cz (uncorrelated), F5 (uncorrelated), FC3 (uncorrelated)</t>
  </si>
  <si>
    <t xml:space="preserve">Fz (uncorrelated), FC1 (uncorrelated), AF8 (uncorrelated), F1 (uncorrelated), F2 (uncorrelated)</t>
  </si>
  <si>
    <t xml:space="preserve">Fp1 (uncorrelated), Fp2 (uncorrelated), FC1 (uncorrelated)</t>
  </si>
  <si>
    <t xml:space="preserve">F7 (uncorrelated), F8 (uncorrelated), FC5 (uncorrelated), FC1 (uncorrelated), FC2 (uncorrelated), F5 (uncorrelated), F6 (uncorrelated), FC3 (uncorrelated)</t>
  </si>
  <si>
    <t xml:space="preserve">F7 (uncorrelated), F4 (uncorrelated), FC1 (uncorrelated), FC2 (uncorrelated), F5 (uncorrelated), F6 (uncorrelated), FC3 (uncorrelated)</t>
  </si>
  <si>
    <t xml:space="preserve">Cz (uncorrelated), PO10 (clipped)</t>
  </si>
  <si>
    <t xml:space="preserve">F7 (uncorrelated), F8 (uncorrelated), FC1 (uncorrelated), FC2 (uncorrelated), FC4 (uncorrelated)</t>
  </si>
  <si>
    <t xml:space="preserve">F8 (uncorrelated), FC1 (uncorrelated), FC2 (uncorrelated), FC4 (uncorrelated)</t>
  </si>
  <si>
    <t xml:space="preserve">F8 (uncorrelated), FC1 (uncorrelated), FC2 (uncorrelated), F6 (uncorrelated), FC4 (uncorrelated)</t>
  </si>
  <si>
    <t xml:space="preserve">F7 (uncorrelated), F8 (uncorrelated), FC1 (uncorrelated), FC2 (uncorrelated), FC3 (uncorrelated), FC4 (uncorrelated)</t>
  </si>
  <si>
    <t xml:space="preserve">F8 (uncorrelated), FC5 (uncorrelated), F6 (uncorrelated), FC3 (uncorrelated)</t>
  </si>
  <si>
    <t xml:space="preserve">F3 (uncorrelated), F4 (uncorrelated), FC1 (uncorrelated), FC2 (uncorrelated), AF3 (uncorrelated), F1 (uncorrelated), F6 (uncorrelated)</t>
  </si>
  <si>
    <t xml:space="preserve">F8 (uncorrelated), FC1 (uncorrelated), FC2 (uncorrelated), F5 (uncorrelated)</t>
  </si>
  <si>
    <t xml:space="preserve">F8 (uncorrelated), F5 (uncorrelated)</t>
  </si>
  <si>
    <t xml:space="preserve">F7 (uncorrelated), F4 (uncorrelated), F8 (uncorrelated), FC5 (uncorrelated), F5 (uncorrelated), F1 (uncorrelated)</t>
  </si>
  <si>
    <t xml:space="preserve">Fz (uncorrelated), FC5 (uncorrelated), AF8 (uncorrelated), F1 (uncorrelated)</t>
  </si>
  <si>
    <t xml:space="preserve">F3 (uncorrelated), F5 (uncorrelated), F6 (uncorrelated)</t>
  </si>
  <si>
    <t xml:space="preserve">Fz (uncorrelated), FC1 (uncorrelated), AF3 (uncorrelated), F1 (uncorrelated), F2 (uncorrelated)</t>
  </si>
  <si>
    <t xml:space="preserve">F3 (uncorrelated), Fz (uncorrelated), AF7 (uncorrelated), F5 (uncorrelated), F1 (uncorrelated), F2 (uncorrelated)</t>
  </si>
  <si>
    <t xml:space="preserve">F7 (uncorrelated), F3 (uncorrelated), F4 (uncorrelated), FC1 (uncorrelated), AF8 (uncorrelated), F5 (uncorrelated), F1 (uncorrelated)</t>
  </si>
  <si>
    <t xml:space="preserve">F4 (uncorrelated), FC1 (uncorrelated), F6 (uncorrelated), FC3 (uncorrelated)</t>
  </si>
  <si>
    <t xml:space="preserve">F7 (uncorrelated), F4 (uncorrelated), FC6 (uncorrelated), F2 (uncorrelated), F6 (uncorrelated), FC4 (uncorrelated)</t>
  </si>
  <si>
    <t xml:space="preserve">F7 (uncorrelated), F4 (uncorrelated), FC6 (uncorrelated), F6 (uncorrelated), FC4 (uncorrelated)</t>
  </si>
  <si>
    <t xml:space="preserve">F7 (uncorrelated), F3 (uncorrelated), F4 (uncorrelated), FC1 (uncorrelated), FC2 (uncorrelated), F5 (uncorrelated), F6 (uncorrelated)</t>
  </si>
  <si>
    <t xml:space="preserve">F4 (uncorrelated), FC1 (uncorrelated), FC2 (uncorrelated)</t>
  </si>
  <si>
    <t xml:space="preserve">F3 (uncorrelated), FC1 (uncorrelated), FC3 (uncorrelated)</t>
  </si>
  <si>
    <t xml:space="preserve">Fp1 (uncorrelated), Fz (uncorrelated), AF3 (uncorrelated), AF4 (clipped), F1 (uncorrelated), FC3 (uncorrelated)</t>
  </si>
  <si>
    <t xml:space="preserve">Fp1, Fz, AF3, F1, FC3</t>
  </si>
  <si>
    <t xml:space="preserve">F4 (uncorrelated), FC1 (uncorrelated), AF4 (clipped), F5 (uncorrelated), F2 (uncorrelated), F6 (uncorrelated), FC3 (uncorrelated)</t>
  </si>
  <si>
    <t xml:space="preserve">F4, FC1, F5, F2, F6, FC3</t>
  </si>
  <si>
    <t xml:space="preserve">Fp1 (uncorrelated), Fz (uncorrelated), F4 (uncorrelated), AF3 (uncorrelated), AF4 (uncorrelated), AF8 (uncorrelated), F1 (uncorrelated), F2 (uncorrelated)</t>
  </si>
  <si>
    <t xml:space="preserve">F7 (uncorrelated), F8 (uncorrelated), FC2 (uncorrelated), FC3 (uncorrelated), FC4 (uncorrelated)</t>
  </si>
  <si>
    <t xml:space="preserve">F3 (uncorrelated), FC2 (uncorrelated), F5 (uncorrelated), F6 (uncorrelated), FC4 (uncorrelated)</t>
  </si>
  <si>
    <t xml:space="preserve">F3 (uncorrelated), Fz (uncorrelated), F4 (uncorrelated), AF7 (uncorrelated), AF3 (uncorrelated), AF4 (uncorrelated), AF8 (uncorrelated), F1 (uncorrelated), F2 (uncorrelated)</t>
  </si>
  <si>
    <t xml:space="preserve">F3 (uncorrelated), F4 (uncorrelated), AF7 (uncorrelated), F1 (uncorrelated), F6 (uncorrelated)</t>
  </si>
  <si>
    <t xml:space="preserve">F3 (uncorrelated), F4 (uncorrelated), FC2 (uncorrelated), AF7 (uncorrelated), F5 (uncorrelated), F6 (uncorrelated)</t>
  </si>
  <si>
    <t xml:space="preserve">Fp1 (uncorrelated), Fz (uncorrelated)</t>
  </si>
  <si>
    <t xml:space="preserve">F3 (uncorrelated), Fz (uncorrelated), F4 (uncorrelated), AF4 (uncorrelated), AF8 (uncorrelated), F5 (uncorrelated), F1 (uncorrelated), F2 (uncorrelated)</t>
  </si>
  <si>
    <t xml:space="preserve">Fp1 (uncorrelated), Fp2 (uncorrelated), F3 (uncorrelated), F4 (uncorrelated), FC1 (uncorrelated), AF7 (uncorrelated), AF3 (uncorrelated), AF4 (uncorrelated), AF8 (uncorrelated), F5 (uncorrelated), F1 (uncorrelated), F2 (uncorrelated), F6 (uncorrelated)</t>
  </si>
  <si>
    <t xml:space="preserve">Fp1 (uncorrelated), Fp2 (uncorrelated), Fz (uncorrelated), F4 (uncorrelated), F8 (uncorrelated), FC2 (uncorrelated), AF7 (uncorrelated), AF3 (uncorrelated), AF4 (uncorrelated), AF8 (uncorrelated), F1 (uncorrelated), F2 (uncorrelated), F6 (uncorrelated)</t>
  </si>
  <si>
    <t xml:space="preserve">Fp1 (uncorrelated), Fp2 (uncorrelated), F3 (uncorrelated), Fz (uncorrelated), F4 (uncorrelated), FC2 (uncorrelated), F1 (uncorrelated), F2 (uncorrelated), FC4 (uncorrelated)</t>
  </si>
  <si>
    <t xml:space="preserve">F8 (uncorrelated), FC1 (uncorrelated), FC2 (uncorrelated), F5 (uncorrelated), F6 (uncorrelated), FC3 (uncorrelated), FC4 (uncorrelated)</t>
  </si>
  <si>
    <t xml:space="preserve">F7 (uncorrelated), FC1 (uncorrelated), FC2 (uncorrelated), F5 (uncorrelated), F6 (uncorrelated), FC3 (uncorrelated), FC4 (uncorrelated)</t>
  </si>
  <si>
    <t xml:space="preserve">F7 (uncorrelated), FC1 (uncorrelated), F5 (uncorrelated), F6 (uncorrelated), FC3 (uncorrelated), FC4 (uncorrelated)</t>
  </si>
  <si>
    <t xml:space="preserve">F4 (uncorrelated), FC1 (uncorrelated), F1 (uncorrelated), F2 (uncorrelated)</t>
  </si>
  <si>
    <t xml:space="preserve">F3 (uncorrelated), F5 (uncorrelated), F1 (uncorrelated)</t>
  </si>
  <si>
    <t xml:space="preserve">Fz (uncorrelated), F1 (uncorrelated), F2 (uncorrelated), FC3 (uncorrelated)</t>
  </si>
  <si>
    <t xml:space="preserve">Fz (uncorrelated), F1 (uncorrelated), FC3 (uncorrelated)</t>
  </si>
  <si>
    <t xml:space="preserve">F3 (uncorrelated), Fz (uncorrelated), FC2 (uncorrelated), F1 (uncorrelated), FC3 (uncorrelated)</t>
  </si>
  <si>
    <t xml:space="preserve">Fz (uncorrelated), FC1 (uncorrelated), FC2 (uncorrelated), AF4 (uncorrelated), F1 (uncorrelated), F2 (uncorrelated), F6 (uncorrelated)</t>
  </si>
  <si>
    <t xml:space="preserve">Fp1 (uncorrelated), Fp2 (uncorrelated), F3 (uncorrelated), Fz (uncorrelated), F4 (uncorrelated), Cz (uncorrelated), AF3 (uncorrelated), AF4 (uncorrelated), AF8 (uncorrelated), F1 (uncorrelated), F2 (uncorrelated)</t>
  </si>
  <si>
    <t xml:space="preserve">Fz (uncorrelated), Cz (uncorrelated), AF3 (uncorrelated), F1 (uncorrelated), F2 (uncorrelated)</t>
  </si>
  <si>
    <t xml:space="preserve">FC5 (uncorrelated), FC1 (uncorrelated), FC2 (uncorrelated), FC6 (uncorrelated), Cz (uncorrelated), FC3 (uncorrelated)</t>
  </si>
  <si>
    <t xml:space="preserve">FC5 (uncorrelated), FC1 (uncorrelated), FC6 (uncorrelated), FC3 (uncorrelated)</t>
  </si>
  <si>
    <t xml:space="preserve">F7 (uncorrelated), F8 (uncorrelated), FC2 (uncorrelated), FC6 (uncorrelated), F6 (uncorrelated), FC4 (uncorrelated)</t>
  </si>
  <si>
    <t xml:space="preserve">AF3 (uncorrelated)</t>
  </si>
  <si>
    <t xml:space="preserve">F7 (uncorrelated), F3 (uncorrelated), F5 (uncorrelated), F1 (uncorrelated), F2 (uncorrelated)</t>
  </si>
  <si>
    <t xml:space="preserve">Fp2 (uncorrelated), Fz (uncorrelated), F4 (uncorrelated), AF3 (uncorrelated), AF4 (uncorrelated), F1 (uncorrelated), F2 (uncorrelated)</t>
  </si>
  <si>
    <t xml:space="preserve">Fp1 (uncorrelated), Fp2 (uncorrelated), F3 (uncorrelated), F4 (uncorrelated), AF7 (uncorrelated), AF3 (uncorrelated), AF4 (uncorrelated), AF8 (uncorrelated), F5 (uncorrelated), F1 (uncorrelated), F6 (uncorrelated)</t>
  </si>
  <si>
    <t xml:space="preserve">Fz (uncorrelated), AF7 (uncorrelated)</t>
  </si>
  <si>
    <t xml:space="preserve">Fp2 (uncorrelated), Fz (uncorrelated), F4 (uncorrelated), AF4 (uncorrelated), AF8 (uncorrelated), F1 (uncorrelated), F2 (uncorrelated), F6 (uncorrelated)</t>
  </si>
  <si>
    <t xml:space="preserve">F4 (uncorrelated), FC2 (uncorrelated), FC6 (uncorrelated), FC4 (uncorrelated)</t>
  </si>
  <si>
    <t xml:space="preserve">F7 (uncorrelated), F8 (uncorrelated), F5 (uncorrelated), FC4 (uncorrelated)</t>
  </si>
  <si>
    <t xml:space="preserve">Fp2 (uncorrelated), Fz (uncorrelated), AF3 (uncorrelated), AF4 (uncorrelated), F1 (uncorrelated), F2 (uncorrelated)</t>
  </si>
  <si>
    <t xml:space="preserve">F7 (uncorrelated), F4 (uncorrelated), F8 (uncorrelated), F6 (uncorrelated)</t>
  </si>
  <si>
    <t xml:space="preserve">F3 (uncorrelated), F4 (uncorrelated), F8 (uncorrelated), FC1 (uncorrelated), AF7 (noisy+uncorrelated), AF8 (uncorrelated), F5 (uncorrelated), F2 (uncorrelated), F6 (uncorrelated)</t>
  </si>
  <si>
    <t xml:space="preserve">Fp1 (uncorrelated), Fp2 (uncorrelated), F3 (uncorrelated), Fz (uncorrelated), F4 (uncorrelated), FC2 (uncorrelated), AF4 (uncorrelated), AF8 (uncorrelated), F1 (uncorrelated), F2 (uncorrelated), F6 (uncorrelated)</t>
  </si>
  <si>
    <t xml:space="preserve">F8 (uncorrelated), FC1 (uncorrelated), FC2 (uncorrelated), FC6 (uncorrelated)</t>
  </si>
  <si>
    <t xml:space="preserve">F4 (uncorrelated), F1 (uncorrelated)</t>
  </si>
  <si>
    <t xml:space="preserve">F7 (uncorrelated), F3 (uncorrelated), AF7 (uncorrelated), F5 (uncorrelated), F1 (uncorrelated), FC4 (uncorrelated)</t>
  </si>
  <si>
    <t xml:space="preserve">Fp1 (uncorrelated), Fp2 (uncorrelated), F3 (uncorrelated), Fz (uncorrelated), F4 (uncorrelated), FC1 (uncorrelated), AF7 (uncorrelated), AF3 (uncorrelated), AF4 (uncorrelated), AF8 (uncorrelated), F1 (uncorrelated), F2 (uncorrelated), FC3 (uncorrelated), FC4 (uncorrelated)</t>
  </si>
  <si>
    <t xml:space="preserve">Fp1 (uncorrelated), Fp2 (uncorrelated), F3 (uncorrelated), F4 (uncorrelated), FC2 (uncorrelated), AF7 (uncorrelated), AF3 (uncorrelated), AF8 (uncorrelated), F1 (uncorrelated), FC4 (uncorrelated)</t>
  </si>
  <si>
    <t xml:space="preserve">F7 (uncorrelated), F8 (uncorrelated), FC1 (uncorrelated), F5 (uncorrelated), F6 (uncorrelated)</t>
  </si>
  <si>
    <t xml:space="preserve">F3 (uncorrelated), F4 (uncorrelated), AF7 (uncorrelated), AF8 (uncorrelated), F5 (uncorrelated), F1 (uncorrelated), F2 (uncorrelated)</t>
  </si>
  <si>
    <t xml:space="preserve">F3 (uncorrelated), F4 (uncorrelated), F8 (uncorrelated), FC5 (uncorrelated), FC1 (uncorrelated), AF3 (uncorrelated), AF4 (uncorrelated), F5 (uncorrelated), F2 (uncorrelated), FC3 (uncorrelated)</t>
  </si>
  <si>
    <t xml:space="preserve">AF3 (uncorrelated), AF4 (uncorrelated), F1 (uncorrelated)</t>
  </si>
  <si>
    <t xml:space="preserve">F7 (uncorrelated), F3 (uncorrelated), F4 (uncorrelated), F8 (uncorrelated), AF7 (uncorrelated), F5 (uncorrelated), F1 (uncorrelated), F2 (uncorrelated), F6 (uncorrelated)</t>
  </si>
  <si>
    <t xml:space="preserve">Fp2 (uncorrelated), F7 (uncorrelated), F3 (uncorrelated), F4 (uncorrelated), FC1 (uncorrelated), AF7 (uncorrelated), AF3 (uncorrelated), AF4 (uncorrelated), AF8 (uncorrelated), F5 (uncorrelated), F1 (uncorrelated), F2 (uncorrelated)</t>
  </si>
  <si>
    <t xml:space="preserve">F7 (uncorrelated), F3 (uncorrelated), F4 (uncorrelated), F8 (uncorrelated), FC1 (uncorrelated), AF7 (uncorrelated), AF3 (uncorrelated), AF8 (uncorrelated), F5 (uncorrelated), F6 (uncorrelated)</t>
  </si>
  <si>
    <t xml:space="preserve">Fp1 (uncorrelated), Fz (uncorrelated), AF7 (uncorrelated), AF3 (uncorrelated), AF4 (uncorrelated), AF8 (uncorrelated), F1 (uncorrelated), F2 (uncorrelated)</t>
  </si>
  <si>
    <t xml:space="preserve">Fp1 (uncorrelated), Fp2 (uncorrelated), Fz (uncorrelated), AF7 (uncorrelated), AF3 (uncorrelated), AF4 (uncorrelated), F1 (uncorrelated)</t>
  </si>
  <si>
    <t xml:space="preserve">F7 (uncorrelated), F3 (uncorrelated), F4 (uncorrelated), AF7 (uncorrelated), AF3 (uncorrelated), AF4 (uncorrelated), AF8 (uncorrelated), F5 (uncorrelated), F1 (uncorrelated), F2 (uncorrelated), F6 (uncorrelated)</t>
  </si>
  <si>
    <t xml:space="preserve">Fp1 (uncorrelated), Fp2 (uncorrelated), Fz (uncorrelated), AF3 (uncorrelated), AF4 (uncorrelated)</t>
  </si>
  <si>
    <t xml:space="preserve">Fz (uncorrelated), F4 (uncorrelated), FC2 (uncorrelated), F1 (uncorrelated), F2 (uncorrelated), F6 (uncorrelated)</t>
  </si>
  <si>
    <t xml:space="preserve">layer</t>
  </si>
  <si>
    <t xml:space="preserve">code</t>
  </si>
  <si>
    <t xml:space="preserve">finding</t>
  </si>
  <si>
    <t xml:space="preserve">value</t>
  </si>
  <si>
    <t xml:space="preserve">limit</t>
  </si>
  <si>
    <t xml:space="preserve">verdict</t>
  </si>
  <si>
    <t xml:space="preserve">integrity</t>
  </si>
  <si>
    <t xml:space="preserve">bad_channels_total</t>
  </si>
  <si>
    <t xml:space="preserve">13: Fp1 (uncorrelated), Fp2 (uncorrelated), F3 (uncorrelated), Fz (uncorrelated), F4 (uncorrelated), AF7 (uncorrelated), AF3 (uncorrelated), AF4 (uncorrelated), AF8 (uncorrelated), F5 (uncorrelated), F1 (uncorrelated), F2 (uncorrelated), F6 (uncorrelated)</t>
  </si>
  <si>
    <t xml:space="preserve">at most 6 (more cannot be interpolated reliably)</t>
  </si>
  <si>
    <t xml:space="preserve">12: F3 (uncorrelated), Fz (uncorrelated), F4 (uncorrelated), FC1 (uncorrelated), AF7 (uncorrelated), AF3 (uncorrelated), AF4 (uncorrelated), AF8 (uncorrelated), F5 (uncorrelated), F1 (uncorrelated), F2 (uncorrelated), F6 (uncorrelated)</t>
  </si>
  <si>
    <t xml:space="preserve">12: Fp1 (uncorrelated), Fp2 (uncorrelated), F3 (uncorrelated), Fz (uncorrelated), F4 (uncorrelated), FC1 (uncorrelated), AF7 (uncorrelated), AF3 (uncorrelated), AF4 (uncorrelated), AF8 (uncorrelated), F1 (uncorrelated), F2 (uncorrelated)</t>
  </si>
  <si>
    <t xml:space="preserve">spectral</t>
  </si>
  <si>
    <t xml:space="preserve">line_50Hz_db</t>
  </si>
  <si>
    <t xml:space="preserve">29.183</t>
  </si>
  <si>
    <t xml:space="preserve">at most 20 dB</t>
  </si>
  <si>
    <t xml:space="preserve">24.87</t>
  </si>
  <si>
    <t xml:space="preserve">critical_channel_bad</t>
  </si>
  <si>
    <t xml:space="preserve">none of Cz, Fz, Pz, O1, O2 bad (one can be interpolated)</t>
  </si>
  <si>
    <t xml:space="preserve">23.148</t>
  </si>
  <si>
    <t xml:space="preserve">23.781</t>
  </si>
  <si>
    <t xml:space="preserve">0.661</t>
  </si>
  <si>
    <t xml:space="preserve">median at least 1.5</t>
  </si>
  <si>
    <t xml:space="preserve">bad_channels_to_interpolate</t>
  </si>
  <si>
    <t xml:space="preserve">1-6 bad channels can be interpolated; the recording stays usable</t>
  </si>
  <si>
    <t xml:space="preserve">9: Fp1 (uncorrelated), Fp2 (uncorrelated), Fz (uncorrelated), F4 (uncorrelated), AF3 (uncorrelated), AF4 (uncorrelated), F1 (uncorrelated), F2 (uncorrelated), F6 (uncorrelated)</t>
  </si>
  <si>
    <t xml:space="preserve">28.07</t>
  </si>
  <si>
    <t xml:space="preserve">1.251</t>
  </si>
  <si>
    <t xml:space="preserve">21.594</t>
  </si>
  <si>
    <t xml:space="preserve">1.155</t>
  </si>
  <si>
    <t xml:space="preserve">23.631</t>
  </si>
  <si>
    <t xml:space="preserve">1.348</t>
  </si>
  <si>
    <t xml:space="preserve">20.781</t>
  </si>
  <si>
    <t xml:space="preserve">0.211</t>
  </si>
  <si>
    <t xml:space="preserve">at least 1.0 on one channel</t>
  </si>
  <si>
    <t xml:space="preserve">20.92</t>
  </si>
  <si>
    <t xml:space="preserve">24.072</t>
  </si>
  <si>
    <t xml:space="preserve">23.051</t>
  </si>
  <si>
    <t xml:space="preserve">22.923</t>
  </si>
  <si>
    <t xml:space="preserve">24.227</t>
  </si>
  <si>
    <t xml:space="preserve">critical_channels_bad</t>
  </si>
  <si>
    <t xml:space="preserve">fewer than 2 of Cz, Fz, Pz, O1, O2 bad</t>
  </si>
  <si>
    <t xml:space="preserve">26.9</t>
  </si>
  <si>
    <t xml:space="preserve">22.55</t>
  </si>
  <si>
    <t xml:space="preserve">25.284</t>
  </si>
  <si>
    <t xml:space="preserve">26.685</t>
  </si>
  <si>
    <t xml:space="preserve">alpha_peak_prominence_db</t>
  </si>
  <si>
    <t xml:space="preserve">-1.157</t>
  </si>
  <si>
    <t xml:space="preserve">at least 3 dB in Eyes Closed</t>
  </si>
  <si>
    <t xml:space="preserve">0.07</t>
  </si>
  <si>
    <t xml:space="preserve">0.603</t>
  </si>
  <si>
    <t xml:space="preserve">1.894</t>
  </si>
  <si>
    <t xml:space="preserve">10: Fp1 (uncorrelated), Fp2 (uncorrelated), F3 (uncorrelated), Fz (uncorrelated), AF7 (uncorrelated), AF3 (uncorrelated), AF4 (uncorrelated), AF8 (uncorrelated), F1 (uncorrelated), F2 (uncorrelated)</t>
  </si>
  <si>
    <t xml:space="preserve">8: Fp1 (uncorrelated), Fp2 (uncorrelated), Fz (uncorrelated), F4 (uncorrelated), AF3 (uncorrelated), AF4 (uncorrelated), F1 (uncorrelated), F2 (uncorrelated)</t>
  </si>
  <si>
    <t xml:space="preserve">20.722</t>
  </si>
  <si>
    <t xml:space="preserve">1.654</t>
  </si>
  <si>
    <t xml:space="preserve">23.799</t>
  </si>
  <si>
    <t xml:space="preserve">28.697</t>
  </si>
  <si>
    <t xml:space="preserve">25.508</t>
  </si>
  <si>
    <t xml:space="preserve">11: Fp1 (uncorrelated), Fp2 (uncorrelated), F3 (uncorrelated), Fz (uncorrelated), F4 (uncorrelated), AF7 (uncorrelated), AF3 (uncorrelated), AF4 (uncorrelated), AF8 (uncorrelated), F1 (uncorrelated), F2 (uncorrelated)</t>
  </si>
  <si>
    <t xml:space="preserve">11: Fp1 (uncorrelated), Fp2 (uncorrelated), F3 (uncorrelated), F4 (uncorrelated), AF7 (uncorrelated), AF3 (uncorrelated), AF4 (uncorrelated), AF8 (uncorrelated), F5 (uncorrelated), F1 (uncorrelated), F2 (uncorrelated)</t>
  </si>
  <si>
    <t xml:space="preserve">2.999</t>
  </si>
  <si>
    <t xml:space="preserve">1.07</t>
  </si>
  <si>
    <t xml:space="preserve">10: Fz (uncorrelated), F4 (uncorrelated), FC2 (uncorrelated), FC6 (uncorrelated), C4 (uncorrelated), T8 (noisy), F2 (uncorrelated), FC4 (uncorrelated), FT8 (uncorrelated), C6 (uncorrelated)</t>
  </si>
  <si>
    <t xml:space="preserve">0.671</t>
  </si>
  <si>
    <t xml:space="preserve">0.949</t>
  </si>
  <si>
    <t xml:space="preserve">0.61</t>
  </si>
  <si>
    <t xml:space="preserve">22.093</t>
  </si>
  <si>
    <t xml:space="preserve">1.245</t>
  </si>
  <si>
    <t xml:space="preserve">7: F3 (uncorrelated), F4 (uncorrelated), FC1 (uncorrelated), AF3 (uncorrelated), AF4 (uncorrelated), F1 (uncorrelated), F2 (uncorrelated)</t>
  </si>
  <si>
    <t xml:space="preserve">10: Fp1 (uncorrelated), Fp2 (uncorrelated), F3 (uncorrelated), F4 (uncorrelated), FC1 (uncorrelated), FC2 (uncorrelated), AF3 (uncorrelated), AF4 (uncorrelated), F1 (uncorrelated), F2 (uncorrelated)</t>
  </si>
  <si>
    <t xml:space="preserve">8: F7 (uncorrelated), F3 (uncorrelated), F4 (uncorrelated), FC2 (uncorrelated), AF7 (uncorrelated), AF8 (uncorrelated), F5 (uncorrelated), F6 (uncorrelated)</t>
  </si>
  <si>
    <t xml:space="preserve">34.318</t>
  </si>
  <si>
    <t xml:space="preserve">at most 30 dB (notch filter needed)</t>
  </si>
  <si>
    <t xml:space="preserve">34.749</t>
  </si>
  <si>
    <t xml:space="preserve">12: Fp1 (uncorrelated), Fp2 (uncorrelated), F3 (uncorrelated), Fz (uncorrelated), F4 (uncorrelated), FC2 (uncorrelated), AF7 (uncorrelated), AF3 (uncorrelated), AF4 (uncorrelated), AF8 (uncorrelated), F1 (uncorrelated), F2 (uncorrelated)</t>
  </si>
  <si>
    <t xml:space="preserve">25.338</t>
  </si>
  <si>
    <t xml:space="preserve">20.277</t>
  </si>
  <si>
    <t xml:space="preserve">25.263</t>
  </si>
  <si>
    <t xml:space="preserve">26.766</t>
  </si>
  <si>
    <t xml:space="preserve">-0.61</t>
  </si>
  <si>
    <t xml:space="preserve">-1.252</t>
  </si>
  <si>
    <t xml:space="preserve">24.075</t>
  </si>
  <si>
    <t xml:space="preserve">1.015</t>
  </si>
  <si>
    <t xml:space="preserve">0.172</t>
  </si>
  <si>
    <t xml:space="preserve">20.959</t>
  </si>
  <si>
    <t xml:space="preserve">-0.47</t>
  </si>
  <si>
    <t xml:space="preserve">20.776</t>
  </si>
  <si>
    <t xml:space="preserve">23.131</t>
  </si>
  <si>
    <t xml:space="preserve">12: Fp1 (uncorrelated), Fp2 (uncorrelated), F3 (uncorrelated), Fz (uncorrelated), F4 (uncorrelated), AF7 (uncorrelated), AF3 (uncorrelated), AF4 (uncorrelated), AF8 (uncorrelated), F5 (uncorrelated), F1 (uncorrelated), F2 (uncorrelated)</t>
  </si>
  <si>
    <t xml:space="preserve">23.31</t>
  </si>
  <si>
    <t xml:space="preserve">0.424</t>
  </si>
  <si>
    <t xml:space="preserve">10: Fp1 (uncorrelated), Fp2 (uncorrelated), Fz (uncorrelated), F4 (uncorrelated), AF7 (uncorrelated), AF3 (uncorrelated), AF4 (uncorrelated), AF8 (uncorrelated), F1 (uncorrelated), F2 (uncorrelated)</t>
  </si>
  <si>
    <t xml:space="preserve">9: F3 (uncorrelated), F4 (uncorrelated), AF7 (uncorrelated), AF3 (uncorrelated), AF4 (uncorrelated), AF8 (uncorrelated), F5 (uncorrelated), F1 (uncorrelated), F2 (uncorrelated)</t>
  </si>
  <si>
    <t xml:space="preserve">26.971</t>
  </si>
  <si>
    <t xml:space="preserve">9: F3 (uncorrelated), F4 (uncorrelated), AF7 (uncorrelated), AF3 (uncorrelated), AF8 (uncorrelated), F5 (uncorrelated), F1 (uncorrelated), F2 (uncorrelated), F6 (uncorrelated)</t>
  </si>
  <si>
    <t xml:space="preserve">20.31</t>
  </si>
  <si>
    <t xml:space="preserve">1.759</t>
  </si>
  <si>
    <t xml:space="preserve">25.364</t>
  </si>
  <si>
    <t xml:space="preserve">9: Fp1 (uncorrelated), Fp2 (uncorrelated), Fz (uncorrelated), AF7 (uncorrelated), AF3 (uncorrelated), AF4 (uncorrelated), AF8 (uncorrelated), F1 (uncorrelated), F2 (uncorrelated)</t>
  </si>
  <si>
    <t xml:space="preserve">14: Fp1 (uncorrelated), Fp2 (uncorrelated), F7 (uncorrelated), F3 (uncorrelated), F4 (uncorrelated), F8 (uncorrelated), AF7 (uncorrelated), AF3 (uncorrelated), AF4 (uncorrelated), AF8 (uncorrelated), F5 (uncorrelated), F1 (uncorrelated), F2 (uncorrelated), F6 (uncorrelated)</t>
  </si>
  <si>
    <t xml:space="preserve">-0.747</t>
  </si>
  <si>
    <t xml:space="preserve">0.501</t>
  </si>
  <si>
    <t xml:space="preserve">2.839</t>
  </si>
  <si>
    <t xml:space="preserve">0.135</t>
  </si>
  <si>
    <t xml:space="preserve">-1.959</t>
  </si>
  <si>
    <t xml:space="preserve">1.404</t>
  </si>
  <si>
    <t xml:space="preserve">0.55</t>
  </si>
  <si>
    <t xml:space="preserve">1.428</t>
  </si>
  <si>
    <t xml:space="preserve">12: Fp2 (uncorrelated), F3 (uncorrelated), Fz (uncorrelated), Cz (uncorrelated), AF7 (uncorrelated), AF3 (uncorrelated), AF4 (uncorrelated), AF8 (uncorrelated), F5 (uncorrelated), F1 (uncorrelated), F2 (uncorrelated), FC3 (uncorrelated)</t>
  </si>
  <si>
    <t xml:space="preserve">1.082</t>
  </si>
  <si>
    <t xml:space="preserve">0.077</t>
  </si>
  <si>
    <t xml:space="preserve">1.481</t>
  </si>
  <si>
    <t xml:space="preserve">0.98</t>
  </si>
  <si>
    <t xml:space="preserve">-1.122</t>
  </si>
  <si>
    <t xml:space="preserve">20.13</t>
  </si>
  <si>
    <t xml:space="preserve">21.02</t>
  </si>
  <si>
    <t xml:space="preserve">1.491</t>
  </si>
  <si>
    <t xml:space="preserve">0.662</t>
  </si>
  <si>
    <t xml:space="preserve">24.007</t>
  </si>
  <si>
    <t xml:space="preserve">21.537</t>
  </si>
  <si>
    <t xml:space="preserve">8: Fp1 (uncorrelated), Fp2 (uncorrelated), Fz (uncorrelated), FC1 (uncorrelated), AF7 (uncorrelated), AF4 (uncorrelated), F1 (uncorrelated), F2 (uncorrelated)</t>
  </si>
  <si>
    <t xml:space="preserve">30.051</t>
  </si>
  <si>
    <t xml:space="preserve">1.325</t>
  </si>
  <si>
    <t xml:space="preserve">31.841</t>
  </si>
  <si>
    <t xml:space="preserve">7: F3 (uncorrelated), Fz (uncorrelated), FC1 (uncorrelated), AF3 (uncorrelated), AF4 (uncorrelated), F1 (uncorrelated), F2 (uncorrelated)</t>
  </si>
  <si>
    <t xml:space="preserve">-0.946</t>
  </si>
  <si>
    <t xml:space="preserve">9: Fp2 (uncorrelated), F3 (uncorrelated), Fz (uncorrelated), F4 (uncorrelated), AF3 (uncorrelated), AF4 (uncorrelated), F5 (uncorrelated), F1 (uncorrelated), F2 (uncorrelated)</t>
  </si>
  <si>
    <t xml:space="preserve">8: F3 (uncorrelated), Fz (uncorrelated), F4 (uncorrelated), AF3 (uncorrelated), AF4 (uncorrelated), F5 (uncorrelated), F1 (uncorrelated), F2 (uncorrelated)</t>
  </si>
  <si>
    <t xml:space="preserve">7: Fz (uncorrelated), F4 (uncorrelated), AF3 (uncorrelated), AF4 (uncorrelated), F1 (uncorrelated), F2 (uncorrelated), F6 (uncorrelated)</t>
  </si>
  <si>
    <t xml:space="preserve">10: F3 (uncorrelated), Fz (uncorrelated), F4 (uncorrelated), AF7 (uncorrelated), AF3 (uncorrelated), AF4 (uncorrelated), F5 (uncorrelated), F1 (uncorrelated), F2 (uncorrelated), F6 (uncorrelated)</t>
  </si>
  <si>
    <t xml:space="preserve">10: Fp1 (uncorrelated), F3 (uncorrelated), Fz (uncorrelated), F4 (uncorrelated), AF3 (uncorrelated), AF4 (uncorrelated), F5 (uncorrelated), F1 (uncorrelated), F2 (uncorrelated), F6 (uncorrelated)</t>
  </si>
  <si>
    <t xml:space="preserve">0.279</t>
  </si>
  <si>
    <t xml:space="preserve">20.536</t>
  </si>
  <si>
    <t xml:space="preserve">20: Fp1 (uncorrelated), Fp2 (uncorrelated), F3 (uncorrelated), Fz (uncorrelated), F4 (uncorrelated), F8 (uncorrelated), FC2 (uncorrelated), FC6 (uncorrelated), Cz (uncorrelated), T8 (uncorrelated), AF3 (uncorrelated), AF4 (uncorrelated), AF8 (uncorrelated), F1 (uncorrelated), F2 (uncorrelated), F6 (uncorrelated), FC4 (uncorrelated), FT8 (uncorrelated), C2 (uncorrelated), C6 (uncorrelated)</t>
  </si>
  <si>
    <t xml:space="preserve">17: Fp2 (uncorrelated), F3 (uncorrelated), Fz (uncorrelated), F4 (uncorrelated), F8 (uncorrelated), FC1 (uncorrelated), FC2 (uncorrelated), Cz (uncorrelated), T8 (uncorrelated), AF3 (uncorrelated), AF4 (uncorrelated), AF8 (uncorrelated), F1 (uncorrelated), F6 (uncorrelated), FC4 (uncorrelated), C2 (uncorrelated), C6 (uncorrelated)</t>
  </si>
  <si>
    <t xml:space="preserve">11: F3 (uncorrelated), Fz (uncorrelated), FC2 (uncorrelated), FC6 (uncorrelated), Cz (uncorrelated), F5 (uncorrelated), F1 (uncorrelated), FC4 (uncorrelated), FT8 (uncorrelated), C2 (clipped), C6 (uncorrelated)</t>
  </si>
  <si>
    <t xml:space="preserve">12: F3 (uncorrelated), Fz (uncorrelated), F8 (uncorrelated), FC1 (uncorrelated), FC2 (uncorrelated), FC6 (uncorrelated), Cz (clipped), T8 (clipped), F5 (uncorrelated), FC4 (uncorrelated), C2 (uncorrelated), C6 (uncorrelated)</t>
  </si>
  <si>
    <t xml:space="preserve">8: F3 (uncorrelated), F4 (uncorrelated), F8 (uncorrelated), AF7 (uncorrelated), F5 (uncorrelated), F1 (uncorrelated), F2 (uncorrelated), F6 (uncorrelated)</t>
  </si>
  <si>
    <t xml:space="preserve">8: F3 (uncorrelated), F4 (uncorrelated), F8 (uncorrelated), AF7 (uncorrelated), AF3 (uncorrelated), F1 (uncorrelated), F2 (uncorrelated), F6 (uncorrelated)</t>
  </si>
  <si>
    <t xml:space="preserve">7: F3 (uncorrelated), F4 (uncorrelated), F8 (uncorrelated), AF7 (uncorrelated), F5 (uncorrelated), F1 (uncorrelated), F6 (uncorrelated)</t>
  </si>
  <si>
    <t xml:space="preserve">9: F3 (uncorrelated), Fz (uncorrelated), F4 (uncorrelated), AF7 (uncorrelated), AF3 (uncorrelated), F5 (uncorrelated), F1 (uncorrelated), F2 (uncorrelated), F6 (uncorrelated)</t>
  </si>
  <si>
    <t xml:space="preserve">0.771</t>
  </si>
  <si>
    <t xml:space="preserve">21.319</t>
  </si>
  <si>
    <t xml:space="preserve">0.33</t>
  </si>
  <si>
    <t xml:space="preserve">22.81</t>
  </si>
  <si>
    <t xml:space="preserve">1.176</t>
  </si>
  <si>
    <t xml:space="preserve">23.21</t>
  </si>
  <si>
    <t xml:space="preserve">11: Fp2 (uncorrelated), F3 (uncorrelated), Fz (uncorrelated), F4 (uncorrelated), AF7 (uncorrelated), AF3 (uncorrelated), AF4 (uncorrelated), AF8 (uncorrelated), F1 (uncorrelated), F2 (uncorrelated), F6 (uncorrelated)</t>
  </si>
  <si>
    <t xml:space="preserve">0.151</t>
  </si>
  <si>
    <t xml:space="preserve">1.297</t>
  </si>
  <si>
    <t xml:space="preserve">8: FC5 (uncorrelated), FC1 (uncorrelated), FC2 (uncorrelated), FC6 (uncorrelated), AF4 (uncorrelated), F6 (uncorrelated), FC3 (uncorrelated), FC4 (uncorrelated)</t>
  </si>
  <si>
    <t xml:space="preserve">14: Fp1 (uncorrelated), Fp2 (uncorrelated), F3 (uncorrelated), F4 (uncorrelated), FC1 (uncorrelated), FC2 (uncorrelated), AF7 (uncorrelated), AF3 (uncorrelated), AF4 (uncorrelated), AF8 (uncorrelated), F5 (uncorrelated), F1 (uncorrelated), F6 (uncorrelated), FC4 (uncorrelated)</t>
  </si>
  <si>
    <t xml:space="preserve">16: Fp1 (uncorrelated), Fp2 (uncorrelated), F3 (uncorrelated), Fz (uncorrelated), F4 (uncorrelated), FC1 (uncorrelated), FC2 (uncorrelated), FC6 (uncorrelated), AF7 (uncorrelated), AF3 (uncorrelated), AF4 (uncorrelated), AF8 (uncorrelated), F1 (uncorrelated), F2 (uncorrelated), FC3 (uncorrelated), FC4 (uncorrelated)</t>
  </si>
  <si>
    <t xml:space="preserve">15: Fp1 (uncorrelated), Fp2 (uncorrelated), F3 (uncorrelated), Fz (uncorrelated), F4 (uncorrelated), FC1 (uncorrelated), FC2 (uncorrelated), AF7 (uncorrelated), AF3 (uncorrelated), AF4 (uncorrelated), AF8 (uncorrelated), F1 (uncorrelated), F2 (uncorrelated), FC3 (uncorrelated), FC4 (uncorrelated)</t>
  </si>
  <si>
    <t xml:space="preserve">22.072</t>
  </si>
  <si>
    <t xml:space="preserve">1.066</t>
  </si>
  <si>
    <t xml:space="preserve">2.675</t>
  </si>
  <si>
    <t xml:space="preserve">1.382</t>
  </si>
  <si>
    <t xml:space="preserve">20.26</t>
  </si>
  <si>
    <t xml:space="preserve">0.631</t>
  </si>
  <si>
    <t xml:space="preserve">0.102</t>
  </si>
  <si>
    <t xml:space="preserve">0.267</t>
  </si>
  <si>
    <t xml:space="preserve">14: Fp1 (uncorrelated), Fp2 (uncorrelated), F3 (uncorrelated), Fz (uncorrelated), F4 (uncorrelated), F8 (uncorrelated), FC2 (uncorrelated), AF7 (uncorrelated), AF3 (uncorrelated), AF4 (uncorrelated), AF8 (uncorrelated), F1 (uncorrelated), F2 (uncorrelated), F6 (uncorrelated)</t>
  </si>
  <si>
    <t xml:space="preserve">9: F3 (uncorrelated), Fz (uncorrelated), FC5 (uncorrelated), FC1 (uncorrelated), C3 (uncorrelated), F1 (uncorrelated), F2 (uncorrelated), FC3 (uncorrelated), C5 (uncorrelated)</t>
  </si>
  <si>
    <t xml:space="preserve">7: F8 (uncorrelated), FC5 (uncorrelated), FC1 (uncorrelated), FC2 (uncorrelated), F6 (uncorrelated), FC3 (uncorrelated), FC4 (uncorrelated)</t>
  </si>
  <si>
    <t xml:space="preserve">7: FC5 (uncorrelated), FC1 (uncorrelated), FC2 (uncorrelated), FC6 (uncorrelated), FC3 (uncorrelated), FC4 (uncorrelated), C5 (uncorrelated)</t>
  </si>
  <si>
    <t xml:space="preserve">7: FC1 (uncorrelated), FC2 (uncorrelated), T7 (noisy), T8 (noisy), FC3 (uncorrelated), FC4 (uncorrelated), C5 (uncorrelated)</t>
  </si>
  <si>
    <t xml:space="preserve">0.521</t>
  </si>
  <si>
    <t xml:space="preserve">23.804</t>
  </si>
  <si>
    <t xml:space="preserve">1.033</t>
  </si>
  <si>
    <t xml:space="preserve">25.041</t>
  </si>
  <si>
    <t xml:space="preserve">20.998</t>
  </si>
  <si>
    <t xml:space="preserve">26.46</t>
  </si>
  <si>
    <t xml:space="preserve">1.733</t>
  </si>
  <si>
    <t xml:space="preserve">1.028</t>
  </si>
  <si>
    <t xml:space="preserve">0.179</t>
  </si>
  <si>
    <t xml:space="preserve">1.289</t>
  </si>
  <si>
    <t xml:space="preserve">0.782</t>
  </si>
  <si>
    <t xml:space="preserve">1.357</t>
  </si>
  <si>
    <t xml:space="preserve">1.22</t>
  </si>
  <si>
    <t xml:space="preserve">7: F3 (uncorrelated), F4 (uncorrelated), AF3 (uncorrelated), AF4 (uncorrelated), F1 (uncorrelated), F2 (uncorrelated), F6 (uncorrelated)</t>
  </si>
  <si>
    <t xml:space="preserve">7: F7 (uncorrelated), F3 (uncorrelated), F4 (uncorrelated), FC1 (uncorrelated), AF8 (uncorrelated), F5 (uncorrelated), F6 (uncorrelated)</t>
  </si>
  <si>
    <t xml:space="preserve">0.987</t>
  </si>
  <si>
    <t xml:space="preserve">20.839</t>
  </si>
  <si>
    <t xml:space="preserve">-0.172</t>
  </si>
  <si>
    <t xml:space="preserve">-0.664</t>
  </si>
  <si>
    <t xml:space="preserve">24.245</t>
  </si>
  <si>
    <t xml:space="preserve">22.337</t>
  </si>
  <si>
    <t xml:space="preserve">21.264</t>
  </si>
  <si>
    <t xml:space="preserve">10: Fp1 (uncorrelated), Fp2 (uncorrelated), Fz (uncorrelated), FC1 (uncorrelated), FC2 (uncorrelated), Cz (uncorrelated), AF3 (uncorrelated), AF4 (uncorrelated), F1 (uncorrelated), F2 (uncorrelated)</t>
  </si>
  <si>
    <t xml:space="preserve">7: Fz (uncorrelated), FC1 (uncorrelated), FC2 (uncorrelated), Cz (uncorrelated), AF4 (uncorrelated), F1 (uncorrelated), F2 (uncorrelated)</t>
  </si>
  <si>
    <t xml:space="preserve">12: F7 (uncorrelated), F3 (uncorrelated), F4 (uncorrelated), FC1 (uncorrelated), FC2 (uncorrelated), Cz (uncorrelated), AF7 (uncorrelated), AF8 (uncorrelated), F5 (uncorrelated), F1 (uncorrelated), F6 (uncorrelated), FC3 (uncorrelated)</t>
  </si>
  <si>
    <t xml:space="preserve">7: F7 (uncorrelated), F3 (uncorrelated), F4 (uncorrelated), FC2 (uncorrelated), F5 (uncorrelated), F6 (uncorrelated), FC3 (uncorrelated)</t>
  </si>
  <si>
    <t xml:space="preserve">12: Fp1 (uncorrelated), Fp2 (uncorrelated), F3 (uncorrelated), Fz (uncorrelated), F4 (uncorrelated), AF7 (uncorrelated), AF3 (uncorrelated), AF4 (uncorrelated), AF8 (uncorrelated), F1 (uncorrelated), F2 (uncorrelated), F6 (uncorrelated)</t>
  </si>
  <si>
    <t xml:space="preserve">14: Fp1 (uncorrelated), Fp2 (uncorrelated), F7 (uncorrelated), F3 (uncorrelated), Fz (uncorrelated), F4 (uncorrelated), AF7 (uncorrelated), AF3 (uncorrelated), AF4 (uncorrelated), AF8 (uncorrelated), F5 (uncorrelated), F1 (uncorrelated), F2 (uncorrelated), F6 (uncorrelated)</t>
  </si>
  <si>
    <t xml:space="preserve">11: Fp1 (uncorrelated), Fp2 (uncorrelated), F3 (uncorrelated), F4 (uncorrelated), AF7 (uncorrelated), AF3 (uncorrelated), AF4 (uncorrelated), AF8 (uncorrelated), F5 (uncorrelated), F2 (uncorrelated), F6 (uncorrelated)</t>
  </si>
  <si>
    <t xml:space="preserve">7: Fz (uncorrelated), F4 (uncorrelated), AF7 (uncorrelated), AF3 (uncorrelated), F1 (uncorrelated), F2 (uncorrelated), F6 (uncorrelated)</t>
  </si>
  <si>
    <t xml:space="preserve">10: F3 (uncorrelated), F4 (uncorrelated), AF7 (uncorrelated), AF3 (uncorrelated), AF4 (uncorrelated), AF8 (uncorrelated), F5 (uncorrelated), F1 (uncorrelated), F2 (uncorrelated), F6 (uncorrelated)</t>
  </si>
  <si>
    <t xml:space="preserve">-0.975</t>
  </si>
  <si>
    <t xml:space="preserve">1.217</t>
  </si>
  <si>
    <t xml:space="preserve">0.453</t>
  </si>
  <si>
    <t xml:space="preserve">0.884</t>
  </si>
  <si>
    <t xml:space="preserve">15: Fp1 (uncorrelated), Fp2 (uncorrelated), F7 (uncorrelated), F3 (uncorrelated), Fz (uncorrelated), F4 (uncorrelated), FC2 (uncorrelated), AF7 (uncorrelated), AF3 (uncorrelated), AF4 (uncorrelated), AF8 (uncorrelated), F5 (uncorrelated), F1 (uncorrelated), F2 (uncorrelated), F6 (uncorrelated)</t>
  </si>
  <si>
    <t xml:space="preserve">13: Fp1 (uncorrelated), Fp2 (uncorrelated), F3 (uncorrelated), Fz (uncorrelated), F4 (uncorrelated), FC1 (uncorrelated), AF3 (uncorrelated), AF4 (uncorrelated), AF8 (uncorrelated), F5 (uncorrelated), F1 (uncorrelated), F2 (uncorrelated), F6 (uncorrelated)</t>
  </si>
  <si>
    <t xml:space="preserve">13: Fp1 (uncorrelated), Fp2 (uncorrelated), F3 (uncorrelated), Fz (uncorrelated), F4 (uncorrelated), FC2 (uncorrelated), AF3 (uncorrelated), AF4 (uncorrelated), AF8 (uncorrelated), F1 (uncorrelated), F2 (uncorrelated), F6 (uncorrelated), FC4 (uncorrelated)</t>
  </si>
  <si>
    <t xml:space="preserve">14: Fp1 (uncorrelated), Fp2 (uncorrelated), F3 (uncorrelated), Fz (uncorrelated), F4 (uncorrelated), FC2 (uncorrelated), FC6 (uncorrelated), AF3 (uncorrelated), AF4 (uncorrelated), AF8 (uncorrelated), F1 (uncorrelated), F2 (uncorrelated), F6 (uncorrelated), FC4 (uncorrelated)</t>
  </si>
  <si>
    <t xml:space="preserve">24.269</t>
  </si>
  <si>
    <t xml:space="preserve">25.968</t>
  </si>
  <si>
    <t xml:space="preserve">1.496</t>
  </si>
  <si>
    <t xml:space="preserve">22.365</t>
  </si>
  <si>
    <t xml:space="preserve">30.593</t>
  </si>
  <si>
    <t xml:space="preserve">23.491</t>
  </si>
  <si>
    <t xml:space="preserve">26.756</t>
  </si>
  <si>
    <t xml:space="preserve">25.87</t>
  </si>
  <si>
    <t xml:space="preserve">24.478</t>
  </si>
  <si>
    <t xml:space="preserve">24.61</t>
  </si>
  <si>
    <t xml:space="preserve">23.862</t>
  </si>
  <si>
    <t xml:space="preserve">22.728</t>
  </si>
  <si>
    <t xml:space="preserve">24.143</t>
  </si>
  <si>
    <t xml:space="preserve">23.578</t>
  </si>
  <si>
    <t xml:space="preserve">1.229</t>
  </si>
  <si>
    <t xml:space="preserve">0.103</t>
  </si>
  <si>
    <t xml:space="preserve">13: Fp1 (uncorrelated), Fp2 (uncorrelated), F7 (uncorrelated), F3 (uncorrelated), Fz (uncorrelated), F4 (uncorrelated), AF7 (uncorrelated), AF3 (uncorrelated), AF4 (uncorrelated), AF8 (uncorrelated), F5 (uncorrelated), F1 (uncorrelated), F2 (uncorrelated)</t>
  </si>
  <si>
    <t xml:space="preserve">7: F7 (uncorrelated), F3 (uncorrelated), F4 (uncorrelated), AF8 (uncorrelated), F5 (uncorrelated), F2 (uncorrelated), F6 (uncorrelated)</t>
  </si>
  <si>
    <t xml:space="preserve">23.456</t>
  </si>
  <si>
    <t xml:space="preserve">1.371</t>
  </si>
  <si>
    <t xml:space="preserve">25.149</t>
  </si>
  <si>
    <t xml:space="preserve">22.276</t>
  </si>
  <si>
    <t xml:space="preserve">7: Fp1 (uncorrelated), Fp2 (uncorrelated), F3 (uncorrelated), Fz (uncorrelated), Cz (uncorrelated), AF3 (uncorrelated), AF8 (uncorrelated)</t>
  </si>
  <si>
    <t xml:space="preserve">9: Fz (uncorrelated), F4 (uncorrelated), FC2 (uncorrelated), Cz (uncorrelated), AF3 (uncorrelated), AF4 (uncorrelated), F1 (uncorrelated), F2 (uncorrelated), F6 (uncorrelated)</t>
  </si>
  <si>
    <t xml:space="preserve">8: Fp1 (uncorrelated), F3 (uncorrelated), Fz (uncorrelated), F8 (uncorrelated), Cz (uncorrelated), AF7 (uncorrelated), AF8 (uncorrelated), F5 (uncorrelated)</t>
  </si>
  <si>
    <t xml:space="preserve">9: Fp1 (uncorrelated), Fp2 (uncorrelated), F3 (uncorrelated), FC2 (uncorrelated), Cz (uncorrelated), AF7 (uncorrelated), AF3 (uncorrelated), AF8 (uncorrelated), FC4 (uncorrelated)</t>
  </si>
  <si>
    <t xml:space="preserve">2.577</t>
  </si>
  <si>
    <t xml:space="preserve">0.494</t>
  </si>
  <si>
    <t xml:space="preserve">23.343</t>
  </si>
  <si>
    <t xml:space="preserve">-1.045</t>
  </si>
  <si>
    <t xml:space="preserve">23.394</t>
  </si>
  <si>
    <t xml:space="preserve">9: F3 (uncorrelated), Fz (uncorrelated), F4 (uncorrelated), AF4 (uncorrelated), AF8 (uncorrelated), F5 (uncorrelated), F1 (uncorrelated), F2 (uncorrelated), F6 (uncorrelated)</t>
  </si>
  <si>
    <t xml:space="preserve">1.042</t>
  </si>
  <si>
    <t xml:space="preserve">-1.14</t>
  </si>
  <si>
    <t xml:space="preserve">0.992</t>
  </si>
  <si>
    <t xml:space="preserve">header</t>
  </si>
  <si>
    <t xml:space="preserve">244.0</t>
  </si>
  <si>
    <t xml:space="preserve">between 120 and 240 s</t>
  </si>
  <si>
    <t xml:space="preserve">0.899</t>
  </si>
  <si>
    <t xml:space="preserve">11: Fp1 (uncorrelated), Fp2 (uncorrelated), F3 (uncorrelated), Fz (uncorrelated), FC1 (uncorrelated), AF7 (uncorrelated), AF3 (uncorrelated), AF4 (uncorrelated), AF8 (uncorrelated), F1 (uncorrelated), F2 (uncorrelated)</t>
  </si>
  <si>
    <t xml:space="preserve">8: Fp1 (uncorrelated), Fp2 (uncorrelated), Fz (uncorrelated), AF7 (uncorrelated), AF3 (uncorrelated), AF4 (uncorrelated), F1 (uncorrelated), F2 (uncorrelated)</t>
  </si>
  <si>
    <t xml:space="preserve">1.162</t>
  </si>
  <si>
    <t xml:space="preserve">1.148</t>
  </si>
  <si>
    <t xml:space="preserve">2.975</t>
  </si>
  <si>
    <t xml:space="preserve">29.923</t>
  </si>
  <si>
    <t xml:space="preserve">0.322</t>
  </si>
  <si>
    <t xml:space="preserve">27.272</t>
  </si>
  <si>
    <t xml:space="preserve">8: Fp2 (uncorrelated), Fz (uncorrelated), F4 (uncorrelated), AF3 (uncorrelated), AF4 (uncorrelated), F1 (uncorrelated), F2 (uncorrelated), F6 (uncorrelated)</t>
  </si>
  <si>
    <t xml:space="preserve">10: Fp2 (uncorrelated), F3 (uncorrelated), F4 (uncorrelated), AF7 (uncorrelated), AF3 (uncorrelated), AF4 (uncorrelated), AF8 (uncorrelated), F5 (uncorrelated), F2 (uncorrelated), F6 (uncorrelated)</t>
  </si>
  <si>
    <t xml:space="preserve">9: F7 (uncorrelated), F3 (uncorrelated), Fz (uncorrelated), F4 (uncorrelated), FC1 (uncorrelated), F5 (uncorrelated), F1 (uncorrelated), F2 (uncorrelated), F6 (uncorrelated)</t>
  </si>
  <si>
    <t xml:space="preserve">-0.019</t>
  </si>
  <si>
    <t xml:space="preserve">1.012</t>
  </si>
  <si>
    <t xml:space="preserve">-0.727</t>
  </si>
  <si>
    <t xml:space="preserve">0.545</t>
  </si>
  <si>
    <t xml:space="preserve">25.96</t>
  </si>
  <si>
    <t xml:space="preserve">27.131</t>
  </si>
  <si>
    <t xml:space="preserve">22.87</t>
  </si>
  <si>
    <t xml:space="preserve">22.259</t>
  </si>
  <si>
    <t xml:space="preserve">29.323</t>
  </si>
  <si>
    <t xml:space="preserve">2.15</t>
  </si>
  <si>
    <t xml:space="preserve">0.585</t>
  </si>
  <si>
    <t xml:space="preserve">22.358</t>
  </si>
  <si>
    <t xml:space="preserve">26.359</t>
  </si>
  <si>
    <t xml:space="preserve">21.761</t>
  </si>
  <si>
    <t xml:space="preserve">10: Fp1 (uncorrelated), Fp2 (uncorrelated), F3 (uncorrelated), F4 (uncorrelated), AF3 (uncorrelated), AF4 (uncorrelated), AF8 (uncorrelated), F5 (uncorrelated), F1 (uncorrelated), F6 (uncorrelated)</t>
  </si>
  <si>
    <t xml:space="preserve">9: Fp1 (uncorrelated), Fp2 (uncorrelated), F3 (uncorrelated), F4 (uncorrelated), FC1 (uncorrelated), AF3 (uncorrelated), AF4 (uncorrelated), F1 (uncorrelated), F2 (uncorrelated)</t>
  </si>
  <si>
    <t xml:space="preserve">7: F3 (uncorrelated), Fz (uncorrelated), F4 (uncorrelated), AF3 (uncorrelated), F1 (uncorrelated), F2 (uncorrelated), F6 (uncorrelated)</t>
  </si>
  <si>
    <t xml:space="preserve">11: Fp1 (uncorrelated), Fp2 (uncorrelated), F3 (uncorrelated), F4 (uncorrelated), AF7 (uncorrelated), AF3 (uncorrelated), AF4 (uncorrelated), F5 (uncorrelated), F1 (uncorrelated), F2 (uncorrelated), F6 (uncorrelated)</t>
  </si>
  <si>
    <t xml:space="preserve">10: Fp1 (uncorrelated), Fp2 (uncorrelated), F3 (uncorrelated), Fz (uncorrelated), F4 (uncorrelated), FC1 (uncorrelated), AF3 (uncorrelated), AF4 (uncorrelated), F1 (uncorrelated), F2 (uncorrelated)</t>
  </si>
  <si>
    <t xml:space="preserve">2.503</t>
  </si>
  <si>
    <t xml:space="preserve">24.708</t>
  </si>
  <si>
    <t xml:space="preserve">20.206</t>
  </si>
  <si>
    <t xml:space="preserve">22.669</t>
  </si>
  <si>
    <t xml:space="preserve">0.497</t>
  </si>
  <si>
    <t xml:space="preserve">2.874</t>
  </si>
  <si>
    <t xml:space="preserve">8: Fp1 (uncorrelated), F3 (uncorrelated), Fz (uncorrelated), AF3 (uncorrelated), AF4 (uncorrelated), F5 (uncorrelated), F1 (uncorrelated), F2 (uncorrelated)</t>
  </si>
  <si>
    <t xml:space="preserve">10: Fp1 (uncorrelated), F3 (uncorrelated), Fz (uncorrelated), FC5 (uncorrelated), AF7 (uncorrelated), AF3 (uncorrelated), AF4 (uncorrelated), F5 (uncorrelated), F1 (uncorrelated), F2 (uncorrelated)</t>
  </si>
  <si>
    <t xml:space="preserve">1.494</t>
  </si>
  <si>
    <t xml:space="preserve">20.402</t>
  </si>
  <si>
    <t xml:space="preserve">1.423</t>
  </si>
  <si>
    <t xml:space="preserve">24.476</t>
  </si>
  <si>
    <t xml:space="preserve">20.874</t>
  </si>
  <si>
    <t xml:space="preserve">12: F7 (uncorrelated), F3 (uncorrelated), Fz (uncorrelated), F4 (uncorrelated), AF7 (uncorrelated), AF3 (uncorrelated), AF4 (uncorrelated), AF8 (uncorrelated), F5 (uncorrelated), F1 (uncorrelated), F2 (uncorrelated), F6 (uncorrelated)</t>
  </si>
  <si>
    <t xml:space="preserve">7: Fp1 (uncorrelated), Fp2 (uncorrelated), AF7 (uncorrelated), AF3 (uncorrelated), AF4 (uncorrelated), AF8 (uncorrelated), F2 (uncorrelated)</t>
  </si>
  <si>
    <t xml:space="preserve">10: Fp1 (uncorrelated), Fp2 (uncorrelated), F3 (uncorrelated), F4 (uncorrelated), AF7 (uncorrelated), AF3 (uncorrelated), AF4 (uncorrelated), AF8 (uncorrelated), F1 (uncorrelated), F6 (uncorrelated)</t>
  </si>
  <si>
    <t xml:space="preserve">1.725</t>
  </si>
  <si>
    <t xml:space="preserve">9: Fp1 (uncorrelated), F3 (uncorrelated), Fz (uncorrelated), F4 (uncorrelated), AF7 (uncorrelated), AF3 (uncorrelated), AF4 (uncorrelated), F5 (uncorrelated), F6 (uncorrelated)</t>
  </si>
  <si>
    <t xml:space="preserve">7: Fp1 (uncorrelated), F3 (uncorrelated), F4 (uncorrelated), AF7 (uncorrelated), AF3 (uncorrelated), F5 (uncorrelated), F6 (uncorrelated)</t>
  </si>
  <si>
    <t xml:space="preserve">10: Fp1 (uncorrelated), Fp2 (uncorrelated), F3 (uncorrelated), Fz (uncorrelated), F4 (uncorrelated), AF7 (uncorrelated), AF3 (uncorrelated), AF4 (uncorrelated), F1 (uncorrelated), F2 (uncorrelated)</t>
  </si>
  <si>
    <t xml:space="preserve">22.979</t>
  </si>
  <si>
    <t xml:space="preserve">-0.935</t>
  </si>
  <si>
    <t xml:space="preserve">0.725</t>
  </si>
  <si>
    <t xml:space="preserve">29.165</t>
  </si>
  <si>
    <t xml:space="preserve">1.486</t>
  </si>
  <si>
    <t xml:space="preserve">1.048</t>
  </si>
  <si>
    <t xml:space="preserve">20.648</t>
  </si>
  <si>
    <t xml:space="preserve">27.911</t>
  </si>
  <si>
    <t xml:space="preserve">-1.026</t>
  </si>
  <si>
    <t xml:space="preserve">-0.907</t>
  </si>
  <si>
    <t xml:space="preserve">7: F7 (uncorrelated), F4 (uncorrelated), FC1 (uncorrelated), AF8 (uncorrelated), F5 (uncorrelated), F6 (uncorrelated), FC3 (uncorrelated)</t>
  </si>
  <si>
    <t xml:space="preserve">8: Fp1 (uncorrelated), Fp2 (uncorrelated), Fz (uncorrelated), AF3 (uncorrelated), AF4 (uncorrelated), F1 (uncorrelated), F2 (uncorrelated), P1 (noisy)</t>
  </si>
  <si>
    <t xml:space="preserve">10: Fp1 (uncorrelated), Fp2 (uncorrelated), Fz (uncorrelated), F4 (uncorrelated), FC2 (uncorrelated), AF3 (uncorrelated), AF4 (uncorrelated), F1 (uncorrelated), F2 (uncorrelated), FC4 (uncorrelated)</t>
  </si>
  <si>
    <t xml:space="preserve">20.225</t>
  </si>
  <si>
    <t xml:space="preserve">8: Fp1 (uncorrelated), Fp2 (uncorrelated), F3 (uncorrelated), FC1 (uncorrelated), AF7 (uncorrelated), AF3 (uncorrelated), AF4 (uncorrelated), F2 (uncorrelated)</t>
  </si>
  <si>
    <t xml:space="preserve">9: Fp1 (uncorrelated), Fp2 (uncorrelated), F3 (uncorrelated), FC1 (uncorrelated), AF7 (uncorrelated), AF3 (uncorrelated), AF4 (uncorrelated), F5 (uncorrelated), F2 (uncorrelated)</t>
  </si>
  <si>
    <t xml:space="preserve">0.389</t>
  </si>
  <si>
    <t xml:space="preserve">0.012</t>
  </si>
  <si>
    <t xml:space="preserve">0.616</t>
  </si>
  <si>
    <t xml:space="preserve">0.049</t>
  </si>
  <si>
    <t xml:space="preserve">21.517</t>
  </si>
  <si>
    <t xml:space="preserve">28.658</t>
  </si>
  <si>
    <t xml:space="preserve">1.146</t>
  </si>
  <si>
    <t xml:space="preserve">28.053</t>
  </si>
  <si>
    <t xml:space="preserve">8: Fz (uncorrelated), FC1 (uncorrelated), FC2 (uncorrelated), FC6 (uncorrelated), F5 (uncorrelated), F1 (uncorrelated), F2 (uncorrelated), F6 (uncorrelated)</t>
  </si>
  <si>
    <t xml:space="preserve">-1.755</t>
  </si>
  <si>
    <t xml:space="preserve">0.898</t>
  </si>
  <si>
    <t xml:space="preserve">-1.31</t>
  </si>
  <si>
    <t xml:space="preserve">8: F3 (uncorrelated), Fz (uncorrelated), F4 (uncorrelated), FC2 (uncorrelated), AF7 (uncorrelated), F1 (uncorrelated), F2 (uncorrelated), F6 (uncorrelated)</t>
  </si>
  <si>
    <t xml:space="preserve">7: F3 (uncorrelated), F4 (uncorrelated), AF7 (uncorrelated), AF3 (uncorrelated), AF8 (uncorrelated), F1 (uncorrelated), F2 (uncorrelated)</t>
  </si>
  <si>
    <t xml:space="preserve">21.245</t>
  </si>
  <si>
    <t xml:space="preserve">2.744</t>
  </si>
  <si>
    <t xml:space="preserve">21.082</t>
  </si>
  <si>
    <t xml:space="preserve">23.787</t>
  </si>
  <si>
    <t xml:space="preserve">0.825</t>
  </si>
  <si>
    <t xml:space="preserve">27.684</t>
  </si>
  <si>
    <t xml:space="preserve">25.547</t>
  </si>
  <si>
    <t xml:space="preserve">24.961</t>
  </si>
  <si>
    <t xml:space="preserve">-0.848</t>
  </si>
  <si>
    <t xml:space="preserve">-0.302</t>
  </si>
  <si>
    <t xml:space="preserve">0.912</t>
  </si>
  <si>
    <t xml:space="preserve">0.209</t>
  </si>
  <si>
    <t xml:space="preserve">25.755</t>
  </si>
  <si>
    <t xml:space="preserve">0.988</t>
  </si>
  <si>
    <t xml:space="preserve">21.463</t>
  </si>
  <si>
    <t xml:space="preserve">26.801</t>
  </si>
  <si>
    <t xml:space="preserve">23.986</t>
  </si>
  <si>
    <t xml:space="preserve">24.809</t>
  </si>
  <si>
    <t xml:space="preserve">7: F3 (uncorrelated), Fz (uncorrelated), F4 (uncorrelated), FC1 (uncorrelated), FC2 (uncorrelated), F1 (uncorrelated), F2 (uncorrelated)</t>
  </si>
  <si>
    <t xml:space="preserve">2.506</t>
  </si>
  <si>
    <t xml:space="preserve">7: F3 (uncorrelated), Fz (uncorrelated), F4 (uncorrelated), FC2 (uncorrelated), AF4 (uncorrelated), F1 (uncorrelated), F2 (uncorrelated)</t>
  </si>
  <si>
    <t xml:space="preserve">23.397</t>
  </si>
  <si>
    <t xml:space="preserve">22.648</t>
  </si>
  <si>
    <t xml:space="preserve">25.493</t>
  </si>
  <si>
    <t xml:space="preserve">0.407</t>
  </si>
  <si>
    <t xml:space="preserve">24.171</t>
  </si>
  <si>
    <t xml:space="preserve">11: Fp1 (uncorrelated), Fp2 (uncorrelated), F3 (uncorrelated), Fz (uncorrelated), AF7 (uncorrelated), AF3 (uncorrelated), AF4 (uncorrelated), AF8 (uncorrelated), F5 (uncorrelated), F1 (uncorrelated), F2 (uncorrelated)</t>
  </si>
  <si>
    <t xml:space="preserve">21.022</t>
  </si>
  <si>
    <t xml:space="preserve">23.597</t>
  </si>
  <si>
    <t xml:space="preserve">1.324</t>
  </si>
  <si>
    <t xml:space="preserve">20.155</t>
  </si>
  <si>
    <t xml:space="preserve">10: Fp2 (uncorrelated), F3 (uncorrelated), Fz (uncorrelated), AF7 (uncorrelated), AF3 (uncorrelated), AF4 (uncorrelated), AF8 (uncorrelated), F5 (uncorrelated), F1 (uncorrelated), F2 (uncorrelated)</t>
  </si>
  <si>
    <t xml:space="preserve">-0.277</t>
  </si>
  <si>
    <t xml:space="preserve">0.051</t>
  </si>
  <si>
    <t xml:space="preserve">0.798</t>
  </si>
  <si>
    <t xml:space="preserve">0.889</t>
  </si>
  <si>
    <t xml:space="preserve">11: Fp1 (uncorrelated), Fp2 (uncorrelated), F3 (uncorrelated), Fz (uncorrelated), F4 (uncorrelated), FC1 (uncorrelated), FC2 (uncorrelated), AF3 (uncorrelated), AF4 (uncorrelated), F1 (uncorrelated), F2 (uncorrelated)</t>
  </si>
  <si>
    <t xml:space="preserve">7: F3 (uncorrelated), Fz (uncorrelated), F4 (uncorrelated), FC2 (uncorrelated), AF3 (uncorrelated), F1 (uncorrelated), F2 (uncorrelated)</t>
  </si>
  <si>
    <t xml:space="preserve">11: Fp1 (uncorrelated), Fp2 (uncorrelated), F3 (uncorrelated), F4 (uncorrelated), FC1 (uncorrelated), FC2 (uncorrelated), AF3 (uncorrelated), AF4 (uncorrelated), AF8 (uncorrelated), F1 (uncorrelated), F2 (uncorrelated)</t>
  </si>
  <si>
    <t xml:space="preserve">25.808</t>
  </si>
  <si>
    <t xml:space="preserve">21.919</t>
  </si>
  <si>
    <t xml:space="preserve">20.685</t>
  </si>
  <si>
    <t xml:space="preserve">20.753</t>
  </si>
  <si>
    <t xml:space="preserve">26.012</t>
  </si>
  <si>
    <t xml:space="preserve">23.677</t>
  </si>
  <si>
    <t xml:space="preserve">9: Fp1 (uncorrelated), Fp2 (uncorrelated), F3 (uncorrelated), Fz (uncorrelated), AF7 (uncorrelated), AF3 (uncorrelated), AF4 (uncorrelated), F1 (uncorrelated), F2 (uncorrelated)</t>
  </si>
  <si>
    <t xml:space="preserve">-1.207</t>
  </si>
  <si>
    <t xml:space="preserve">1.255</t>
  </si>
  <si>
    <t xml:space="preserve">-0.968</t>
  </si>
  <si>
    <t xml:space="preserve">262.0</t>
  </si>
  <si>
    <t xml:space="preserve">0.451</t>
  </si>
  <si>
    <t xml:space="preserve">9: F3 (uncorrelated), Fz (uncorrelated), AF7 (uncorrelated), AF3 (uncorrelated), AF4 (uncorrelated), AF8 (uncorrelated), F5 (uncorrelated), F1 (uncorrelated), F2 (uncorrelated)</t>
  </si>
  <si>
    <t xml:space="preserve">0.768</t>
  </si>
  <si>
    <t xml:space="preserve">11: Fp1 (uncorrelated), Fp2 (uncorrelated), F3 (uncorrelated), F4 (uncorrelated), FC2 (uncorrelated), AF7 (uncorrelated), AF3 (uncorrelated), AF4 (uncorrelated), AF8 (uncorrelated), F1 (uncorrelated), F6 (uncorrelated)</t>
  </si>
  <si>
    <t xml:space="preserve">12: Fp1 (uncorrelated), Fp2 (uncorrelated), F3 (uncorrelated), F4 (uncorrelated), FC2 (uncorrelated), AF7 (uncorrelated), AF3 (uncorrelated), AF4 (uncorrelated), AF8 (uncorrelated), F1 (uncorrelated), F2 (uncorrelated), F6 (uncorrelated)</t>
  </si>
  <si>
    <t xml:space="preserve">21.762</t>
  </si>
  <si>
    <t xml:space="preserve">20.199</t>
  </si>
  <si>
    <t xml:space="preserve">-0.981</t>
  </si>
  <si>
    <t xml:space="preserve">1.722</t>
  </si>
  <si>
    <t xml:space="preserve">1.264</t>
  </si>
  <si>
    <t xml:space="preserve">2.979</t>
  </si>
  <si>
    <t xml:space="preserve">0.539</t>
  </si>
  <si>
    <t xml:space="preserve">21.818</t>
  </si>
  <si>
    <t xml:space="preserve">0.619</t>
  </si>
  <si>
    <t xml:space="preserve">0.787</t>
  </si>
  <si>
    <t xml:space="preserve">1.331</t>
  </si>
  <si>
    <t xml:space="preserve">8: F7 (uncorrelated), F3 (uncorrelated), F4 (uncorrelated), FC1 (uncorrelated), AF8 (uncorrelated), F5 (uncorrelated), F2 (uncorrelated), F6 (uncorrelated)</t>
  </si>
  <si>
    <t xml:space="preserve">2.465</t>
  </si>
  <si>
    <t xml:space="preserve">0.45</t>
  </si>
  <si>
    <t xml:space="preserve">8: Fp1 (uncorrelated), Fp2 (uncorrelated), Fz (uncorrelated), AF7 (clipped), AF3 (uncorrelated), AF4 (uncorrelated), F1 (uncorrelated), F2 (uncorrelated)</t>
  </si>
  <si>
    <t xml:space="preserve">7: Fp1 (uncorrelated), Fp2 (uncorrelated), Fz (uncorrelated), AF7 (clipped), AF3 (uncorrelated), AF4 (uncorrelated), F1 (uncorrelated)</t>
  </si>
  <si>
    <t xml:space="preserve">22.973</t>
  </si>
  <si>
    <t xml:space="preserve">22.7</t>
  </si>
  <si>
    <t xml:space="preserve">21.196</t>
  </si>
  <si>
    <t xml:space="preserve">1.8</t>
  </si>
  <si>
    <t xml:space="preserve">8: Fp1 (uncorrelated), F3 (uncorrelated), Fz (uncorrelated), F4 (uncorrelated), AF7 (uncorrelated), AF3 (uncorrelated), F1 (uncorrelated), F2 (uncorrelated)</t>
  </si>
  <si>
    <t xml:space="preserve">7: F3 (uncorrelated), Fz (uncorrelated), F4 (uncorrelated), AF3 (uncorrelated), AF4 (uncorrelated), F1 (uncorrelated), F2 (uncorrelated)</t>
  </si>
  <si>
    <t xml:space="preserve">0.907</t>
  </si>
  <si>
    <t xml:space="preserve">1.21</t>
  </si>
  <si>
    <t xml:space="preserve">12: Fp1 (uncorrelated), Fp2 (uncorrelated), Fz (uncorrelated), F4 (uncorrelated), AF7 (uncorrelated), AF3 (uncorrelated), AF4 (uncorrelated), AF8 (uncorrelated), F5 (uncorrelated), F1 (uncorrelated), F2 (uncorrelated), F6 (uncorrelated)</t>
  </si>
  <si>
    <t xml:space="preserve">24.889</t>
  </si>
  <si>
    <t xml:space="preserve">26.522</t>
  </si>
  <si>
    <t xml:space="preserve">20.7</t>
  </si>
  <si>
    <t xml:space="preserve">-1.051</t>
  </si>
  <si>
    <t xml:space="preserve">9: Fp1 (uncorrelated), Fp2 (uncorrelated), F3 (uncorrelated), Fz (uncorrelated), F4 (uncorrelated), AF3 (uncorrelated), AF4 (uncorrelated), F1 (uncorrelated), F2 (uncorrelated)</t>
  </si>
  <si>
    <t xml:space="preserve">10: F7 (uncorrelated), F8 (uncorrelated), FC5 (uncorrelated), FC2 (uncorrelated), FC6 (uncorrelated), AF7 (uncorrelated), AF8 (uncorrelated), FC3 (uncorrelated), FC4 (uncorrelated), FT8 (noisy)</t>
  </si>
  <si>
    <t xml:space="preserve">10: F7 (noisy+uncorrelated), F8 (noisy+uncorrelated), FC5 (uncorrelated), FC2 (uncorrelated), FC6 (uncorrelated), AF7 (noisy+uncorrelated), F5 (noisy), F6 (noisy), FC3 (uncorrelated), FC4 (uncorrelated)</t>
  </si>
  <si>
    <t xml:space="preserve">22.4</t>
  </si>
  <si>
    <t xml:space="preserve">22.383</t>
  </si>
  <si>
    <t xml:space="preserve">26.437</t>
  </si>
  <si>
    <t xml:space="preserve">28.921</t>
  </si>
  <si>
    <t xml:space="preserve">27.916</t>
  </si>
  <si>
    <t xml:space="preserve">1.252</t>
  </si>
  <si>
    <t xml:space="preserve">1.267</t>
  </si>
  <si>
    <t xml:space="preserve">-0.518</t>
  </si>
  <si>
    <t xml:space="preserve">-0.834</t>
  </si>
  <si>
    <t xml:space="preserve">-0.983</t>
  </si>
  <si>
    <t xml:space="preserve">22.284</t>
  </si>
  <si>
    <t xml:space="preserve">11: Fp1 (uncorrelated), Fp2 (uncorrelated), F3 (uncorrelated), Fz (uncorrelated), F4 (uncorrelated), AF3 (uncorrelated), AF4 (uncorrelated), AF8 (uncorrelated), F5 (uncorrelated), F1 (uncorrelated), F2 (uncorrelated)</t>
  </si>
  <si>
    <t xml:space="preserve">22.239</t>
  </si>
  <si>
    <t xml:space="preserve">1.107</t>
  </si>
  <si>
    <t xml:space="preserve">24.156</t>
  </si>
  <si>
    <t xml:space="preserve">20.999</t>
  </si>
  <si>
    <t xml:space="preserve">23.25</t>
  </si>
  <si>
    <t xml:space="preserve">8: Fp2 (uncorrelated), F3 (uncorrelated), F4 (uncorrelated), AF3 (uncorrelated), AF4 (uncorrelated), F1 (uncorrelated), F2 (uncorrelated), F6 (uncorrelated)</t>
  </si>
  <si>
    <t xml:space="preserve">30.709</t>
  </si>
  <si>
    <t xml:space="preserve">30.414</t>
  </si>
  <si>
    <t xml:space="preserve">0.696</t>
  </si>
  <si>
    <t xml:space="preserve">25.179</t>
  </si>
  <si>
    <t xml:space="preserve">0.678</t>
  </si>
  <si>
    <t xml:space="preserve">20.637</t>
  </si>
  <si>
    <t xml:space="preserve">1.172</t>
  </si>
  <si>
    <t xml:space="preserve">26.189</t>
  </si>
  <si>
    <t xml:space="preserve">23.636</t>
  </si>
  <si>
    <t xml:space="preserve">27.638</t>
  </si>
  <si>
    <t xml:space="preserve">28.469</t>
  </si>
  <si>
    <t xml:space="preserve">7: Fp1 (uncorrelated), Fp2 (uncorrelated), Fz (uncorrelated), AF7 (uncorrelated), AF3 (uncorrelated), AF4 (uncorrelated), F2 (uncorrelated)</t>
  </si>
  <si>
    <t xml:space="preserve">22.314</t>
  </si>
  <si>
    <t xml:space="preserve">21.753</t>
  </si>
  <si>
    <t xml:space="preserve">25.533</t>
  </si>
  <si>
    <t xml:space="preserve">1.029</t>
  </si>
  <si>
    <t xml:space="preserve">24.509</t>
  </si>
  <si>
    <t xml:space="preserve">0.067</t>
  </si>
  <si>
    <t xml:space="preserve">25.172</t>
  </si>
  <si>
    <t xml:space="preserve">12: Fp1 (uncorrelated), Fp2 (uncorrelated), F3 (uncorrelated), Fz (uncorrelated), F4 (uncorrelated), AF7 (uncorrelated), AF3 (uncorrelated), AF4 (uncorrelated), AF8 (uncorrelated), F1 (uncorrelated), F2 (uncorrelated), POz (uncorrelated)</t>
  </si>
  <si>
    <t xml:space="preserve">11: Fp1 (uncorrelated), Fp2 (uncorrelated), F3 (uncorrelated), Fz (uncorrelated), F4 (uncorrelated), AF3 (uncorrelated), AF4 (uncorrelated), AF8 (uncorrelated), F1 (uncorrelated), F2 (uncorrelated), POz (uncorrelated)</t>
  </si>
  <si>
    <t xml:space="preserve">25.729</t>
  </si>
  <si>
    <t xml:space="preserve">1.196</t>
  </si>
  <si>
    <t xml:space="preserve">22.626</t>
  </si>
  <si>
    <t xml:space="preserve">22.575</t>
  </si>
  <si>
    <t xml:space="preserve">25.619</t>
  </si>
  <si>
    <t xml:space="preserve">0.882</t>
  </si>
  <si>
    <t xml:space="preserve">8: F3 (uncorrelated), F4 (uncorrelated), AF7 (uncorrelated), AF8 (uncorrelated), F5 (uncorrelated), F1 (uncorrelated), F2 (uncorrelated), F6 (uncorrelated)</t>
  </si>
  <si>
    <t xml:space="preserve">9: Fp1 (uncorrelated), Fp2 (uncorrelated), Fz (uncorrelated), F4 (uncorrelated), AF7 (uncorrelated), AF3 (uncorrelated), AF4 (uncorrelated), AF8 (uncorrelated), F2 (uncorrelated)</t>
  </si>
  <si>
    <t xml:space="preserve">7: Fp1 (uncorrelated), Fp2 (uncorrelated), Fz (uncorrelated), AF3 (uncorrelated), AF4 (uncorrelated), AF8 (uncorrelated), F2 (uncorrelated)</t>
  </si>
  <si>
    <t xml:space="preserve">22.83</t>
  </si>
  <si>
    <t xml:space="preserve">22.105</t>
  </si>
  <si>
    <t xml:space="preserve">10: Fp1 (uncorrelated), F3 (uncorrelated), Fz (uncorrelated), F4 (uncorrelated), AF7 (uncorrelated), AF3 (uncorrelated), AF4 (uncorrelated), AF8 (uncorrelated), F1 (uncorrelated), F2 (uncorrelated)</t>
  </si>
  <si>
    <t xml:space="preserve">8: Fp1 (uncorrelated), Fp2 (uncorrelated), F3 (uncorrelated), Fz (uncorrelated), AF3 (uncorrelated), AF4 (uncorrelated), F1 (uncorrelated), F2 (uncorrelated)</t>
  </si>
  <si>
    <t xml:space="preserve">20.938</t>
  </si>
  <si>
    <t xml:space="preserve">0.071</t>
  </si>
  <si>
    <t xml:space="preserve">20.433</t>
  </si>
  <si>
    <t xml:space="preserve">1.327</t>
  </si>
  <si>
    <t xml:space="preserve">0.455</t>
  </si>
  <si>
    <t xml:space="preserve">-0.349</t>
  </si>
  <si>
    <t xml:space="preserve">0.261</t>
  </si>
  <si>
    <t xml:space="preserve">-1.205</t>
  </si>
  <si>
    <t xml:space="preserve">7: Fp1 (uncorrelated), Fp2 (uncorrelated), Fz (uncorrelated), Cz (uncorrelated), AF7 (uncorrelated), AF3 (uncorrelated), F1 (uncorrelated)</t>
  </si>
  <si>
    <t xml:space="preserve">21.696</t>
  </si>
  <si>
    <t xml:space="preserve">23.888</t>
  </si>
  <si>
    <t xml:space="preserve">0.422</t>
  </si>
  <si>
    <t xml:space="preserve">1.274</t>
  </si>
  <si>
    <t xml:space="preserve">-0.013</t>
  </si>
  <si>
    <t xml:space="preserve">-0.896</t>
  </si>
  <si>
    <t xml:space="preserve">21.154</t>
  </si>
  <si>
    <t xml:space="preserve">0.192</t>
  </si>
  <si>
    <t xml:space="preserve">0.531</t>
  </si>
  <si>
    <t xml:space="preserve">-0.603</t>
  </si>
  <si>
    <t xml:space="preserve">9: Fp1 (uncorrelated), Fp2 (uncorrelated), F3 (uncorrelated), F4 (uncorrelated), AF3 (uncorrelated), AF4 (uncorrelated), AF8 (uncorrelated), F1 (uncorrelated), F2 (uncorrelated)</t>
  </si>
  <si>
    <t xml:space="preserve">-0.077</t>
  </si>
  <si>
    <t xml:space="preserve">1.089</t>
  </si>
  <si>
    <t xml:space="preserve">1.144</t>
  </si>
  <si>
    <t xml:space="preserve">8: Fp1 (uncorrelated), Fp2 (uncorrelated), F3 (uncorrelated), Fz (uncorrelated), AF7 (uncorrelated), AF3 (uncorrelated), AF4 (uncorrelated), F1 (uncorrelated)</t>
  </si>
  <si>
    <t xml:space="preserve">24.247</t>
  </si>
  <si>
    <t xml:space="preserve">-1.239</t>
  </si>
  <si>
    <t xml:space="preserve">23.623</t>
  </si>
  <si>
    <t xml:space="preserve">27.606</t>
  </si>
  <si>
    <t xml:space="preserve">8: F3 (uncorrelated), F4 (uncorrelated), AF7 (uncorrelated), AF3 (uncorrelated), AF8 (uncorrelated), F1 (uncorrelated), F2 (uncorrelated), F6 (uncorrelated)</t>
  </si>
  <si>
    <t xml:space="preserve">0.614</t>
  </si>
  <si>
    <t xml:space="preserve">0.838</t>
  </si>
  <si>
    <t xml:space="preserve">0.811</t>
  </si>
  <si>
    <t xml:space="preserve">0.917</t>
  </si>
  <si>
    <t xml:space="preserve">20.005</t>
  </si>
  <si>
    <t xml:space="preserve">0.089</t>
  </si>
  <si>
    <t xml:space="preserve">1.236</t>
  </si>
  <si>
    <t xml:space="preserve">20.284</t>
  </si>
  <si>
    <t xml:space="preserve">281.0</t>
  </si>
  <si>
    <t xml:space="preserve">2.232</t>
  </si>
  <si>
    <t xml:space="preserve">1.198</t>
  </si>
  <si>
    <t xml:space="preserve">-1.562</t>
  </si>
  <si>
    <t xml:space="preserve">1.182</t>
  </si>
  <si>
    <t xml:space="preserve">275.0</t>
  </si>
  <si>
    <t xml:space="preserve">21.492</t>
  </si>
  <si>
    <t xml:space="preserve">25.74</t>
  </si>
  <si>
    <t xml:space="preserve">1.18</t>
  </si>
  <si>
    <t xml:space="preserve">0.439</t>
  </si>
  <si>
    <t xml:space="preserve">27.482</t>
  </si>
  <si>
    <t xml:space="preserve">0.296</t>
  </si>
  <si>
    <t xml:space="preserve">27.892</t>
  </si>
  <si>
    <t xml:space="preserve">0.129</t>
  </si>
  <si>
    <t xml:space="preserve">13: Fp1 (uncorrelated), Fp2 (uncorrelated), F3 (uncorrelated), Fz (uncorrelated), F4 (uncorrelated), F8 (uncorrelated), AF7 (uncorrelated), AF3 (uncorrelated), AF4 (uncorrelated), AF8 (uncorrelated), F1 (uncorrelated), F2 (uncorrelated), F6 (uncorrelated)</t>
  </si>
  <si>
    <t xml:space="preserve">14: Fp1 (uncorrelated), Fp2 (uncorrelated), F7 (uncorrelated), F3 (uncorrelated), F4 (uncorrelated), F8 (uncorrelated), FC1 (uncorrelated), AF7 (uncorrelated), AF3 (uncorrelated), AF4 (uncorrelated), AF8 (uncorrelated), F5 (uncorrelated), F2 (uncorrelated), F6 (uncorrelated)</t>
  </si>
  <si>
    <t xml:space="preserve">0.924</t>
  </si>
  <si>
    <t xml:space="preserve">20.011</t>
  </si>
  <si>
    <t xml:space="preserve">1.083</t>
  </si>
  <si>
    <t xml:space="preserve">21.984</t>
  </si>
  <si>
    <t xml:space="preserve">20.491</t>
  </si>
  <si>
    <t xml:space="preserve">31.29</t>
  </si>
  <si>
    <t xml:space="preserve">33.936</t>
  </si>
  <si>
    <t xml:space="preserve">30.933</t>
  </si>
  <si>
    <t xml:space="preserve">30.331</t>
  </si>
  <si>
    <t xml:space="preserve">21.718</t>
  </si>
  <si>
    <t xml:space="preserve">22.896</t>
  </si>
  <si>
    <t xml:space="preserve">1.163</t>
  </si>
  <si>
    <t xml:space="preserve">22.843</t>
  </si>
  <si>
    <t xml:space="preserve">31.763</t>
  </si>
  <si>
    <t xml:space="preserve">30.206</t>
  </si>
  <si>
    <t xml:space="preserve">29.535</t>
  </si>
  <si>
    <t xml:space="preserve">1.318</t>
  </si>
  <si>
    <t xml:space="preserve">27.508</t>
  </si>
  <si>
    <t xml:space="preserve">23.379</t>
  </si>
  <si>
    <t xml:space="preserve">29.029</t>
  </si>
  <si>
    <t xml:space="preserve">0.094</t>
  </si>
  <si>
    <t xml:space="preserve">0.972</t>
  </si>
  <si>
    <t xml:space="preserve">23.744</t>
  </si>
  <si>
    <t xml:space="preserve">1.358</t>
  </si>
  <si>
    <t xml:space="preserve">0.046</t>
  </si>
  <si>
    <t xml:space="preserve">24.584</t>
  </si>
  <si>
    <t xml:space="preserve">11: Fp1 (uncorrelated), Fp2 (uncorrelated), Fz (uncorrelated), F4 (uncorrelated), AF7 (uncorrelated), AF3 (uncorrelated), AF4 (uncorrelated), AF8 (uncorrelated), F1 (uncorrelated), F2 (uncorrelated), F6 (uncorrelated)</t>
  </si>
  <si>
    <t xml:space="preserve">10: Fp1 (uncorrelated), Fp2 (uncorrelated), F3 (uncorrelated), Fz (uncorrelated), AF7 (uncorrelated), AF3 (uncorrelated), AF4 (uncorrelated), AF8 (uncorrelated), F5 (uncorrelated), F1 (uncorrelated)</t>
  </si>
  <si>
    <t xml:space="preserve">1.969</t>
  </si>
  <si>
    <t xml:space="preserve">0.411</t>
  </si>
  <si>
    <t xml:space="preserve">-0.715</t>
  </si>
  <si>
    <t xml:space="preserve">8: F7 (uncorrelated), F3 (uncorrelated), F8 (uncorrelated), AF7 (uncorrelated), AF8 (uncorrelated), F5 (uncorrelated), F1 (uncorrelated), F6 (uncorrelated)</t>
  </si>
  <si>
    <t xml:space="preserve">8: Fp1 (uncorrelated), Fp2 (uncorrelated), F3 (uncorrelated), Fz (uncorrelated), AF3 (uncorrelated), F5 (uncorrelated), F1 (uncorrelated), F2 (uncorrelated)</t>
  </si>
  <si>
    <t xml:space="preserve">60.0</t>
  </si>
  <si>
    <t xml:space="preserve">0.632</t>
  </si>
  <si>
    <t xml:space="preserve">24.238</t>
  </si>
  <si>
    <t xml:space="preserve">25.403</t>
  </si>
  <si>
    <t xml:space="preserve">0.091</t>
  </si>
  <si>
    <t xml:space="preserve">22.423</t>
  </si>
  <si>
    <t xml:space="preserve">-0.9</t>
  </si>
  <si>
    <t xml:space="preserve">0.463</t>
  </si>
  <si>
    <t xml:space="preserve">7: Fp1 (uncorrelated), Fp2 (uncorrelated), Fz (uncorrelated), AF3 (uncorrelated), AF4 (uncorrelated), F1 (uncorrelated), F2 (uncorrelated)</t>
  </si>
  <si>
    <t xml:space="preserve">0.558</t>
  </si>
  <si>
    <t xml:space="preserve">24.533</t>
  </si>
  <si>
    <t xml:space="preserve">25.773</t>
  </si>
  <si>
    <t xml:space="preserve">23.949</t>
  </si>
  <si>
    <t xml:space="preserve">1.342</t>
  </si>
  <si>
    <t xml:space="preserve">20.907</t>
  </si>
  <si>
    <t xml:space="preserve">0.499</t>
  </si>
  <si>
    <t xml:space="preserve">24.309</t>
  </si>
  <si>
    <t xml:space="preserve">-1.124</t>
  </si>
  <si>
    <t xml:space="preserve">23.642</t>
  </si>
  <si>
    <t xml:space="preserve">0.596</t>
  </si>
  <si>
    <t xml:space="preserve">9: Fp2 (uncorrelated), Fz (uncorrelated), F4 (uncorrelated), FC2 (uncorrelated), AF3 (uncorrelated), AF4 (uncorrelated), F1 (uncorrelated), F2 (uncorrelated), FC4 (uncorrelated)</t>
  </si>
  <si>
    <t xml:space="preserve">9: Fp1 (uncorrelated), Fp2 (uncorrelated), F3 (uncorrelated), F4 (uncorrelated), FC2 (uncorrelated), AF4 (uncorrelated), F1 (uncorrelated), F2 (uncorrelated), F6 (uncorrelated)</t>
  </si>
  <si>
    <t xml:space="preserve">1.447</t>
  </si>
  <si>
    <t xml:space="preserve">0.778</t>
  </si>
  <si>
    <t xml:space="preserve">13: Fp1 (uncorrelated), Fp2 (uncorrelated), F3 (uncorrelated), Fz (uncorrelated), F4 (uncorrelated), FC2 (uncorrelated), AF7 (uncorrelated), AF3 (uncorrelated), AF4 (uncorrelated), AF8 (uncorrelated), F5 (uncorrelated), F1 (uncorrelated), F2 (uncorrelated)</t>
  </si>
  <si>
    <t xml:space="preserve">2.716</t>
  </si>
  <si>
    <t xml:space="preserve">0.846</t>
  </si>
  <si>
    <t xml:space="preserve">1.602</t>
  </si>
  <si>
    <t xml:space="preserve">1.446</t>
  </si>
  <si>
    <t xml:space="preserve">21.778</t>
  </si>
  <si>
    <t xml:space="preserve">22.172</t>
  </si>
  <si>
    <t xml:space="preserve">10: Fp1 (uncorrelated), Fp2 (uncorrelated), F3 (uncorrelated), Fz (uncorrelated), AF7 (uncorrelated), AF3 (uncorrelated), AF4 (uncorrelated), F5 (uncorrelated), F1 (uncorrelated), F2 (uncorrelated)</t>
  </si>
  <si>
    <t xml:space="preserve">10: Fp1 (uncorrelated), Fp2 (uncorrelated), F3 (uncorrelated), F4 (uncorrelated), AF7 (uncorrelated), AF3 (uncorrelated), AF4 (uncorrelated), AF8 (uncorrelated), F5 (uncorrelated), F2 (uncorrelated)</t>
  </si>
  <si>
    <t xml:space="preserve">10: Fp1 (uncorrelated), Fp2 (uncorrelated), F3 (uncorrelated), F4 (uncorrelated), AF7 (uncorrelated), AF3 (uncorrelated), AF4 (uncorrelated), AF8 (uncorrelated), F1 (uncorrelated), F2 (uncorrelated)</t>
  </si>
  <si>
    <t xml:space="preserve">1.411</t>
  </si>
  <si>
    <t xml:space="preserve">23.505</t>
  </si>
  <si>
    <t xml:space="preserve">264.0</t>
  </si>
  <si>
    <t xml:space="preserve">20.316</t>
  </si>
  <si>
    <t xml:space="preserve">22.825</t>
  </si>
  <si>
    <t xml:space="preserve">23.15</t>
  </si>
  <si>
    <t xml:space="preserve">8: F3 (uncorrelated), Fz (uncorrelated), F4 (uncorrelated), FC2 (uncorrelated), AF3 (uncorrelated), AF4 (uncorrelated), F1 (uncorrelated), F2 (uncorrelated)</t>
  </si>
  <si>
    <t xml:space="preserve">10: Fp1 (uncorrelated), Fp2 (uncorrelated), F3 (uncorrelated), Fz (uncorrelated), F4 (uncorrelated), FC2 (uncorrelated), AF3 (uncorrelated), AF4 (uncorrelated), F1 (uncorrelated), F2 (uncorrelated)</t>
  </si>
  <si>
    <t xml:space="preserve">31.338</t>
  </si>
  <si>
    <t xml:space="preserve">20.144</t>
  </si>
  <si>
    <t xml:space="preserve">30.626</t>
  </si>
  <si>
    <t xml:space="preserve">29.467</t>
  </si>
  <si>
    <t xml:space="preserve">20.358</t>
  </si>
  <si>
    <t xml:space="preserve">0.698</t>
  </si>
  <si>
    <t xml:space="preserve">20.673</t>
  </si>
  <si>
    <t xml:space="preserve">24.456</t>
  </si>
  <si>
    <t xml:space="preserve">23.046</t>
  </si>
  <si>
    <t xml:space="preserve">8: Fp1 (uncorrelated), Fp2 (uncorrelated), Fz (uncorrelated), AF7 (uncorrelated), AF3 (uncorrelated), AF4 (uncorrelated), AF8 (uncorrelated), F2 (uncorrelated)</t>
  </si>
  <si>
    <t xml:space="preserve">1.051</t>
  </si>
  <si>
    <t xml:space="preserve">0.938</t>
  </si>
  <si>
    <t xml:space="preserve">0.607</t>
  </si>
  <si>
    <t xml:space="preserve">20.467</t>
  </si>
  <si>
    <t xml:space="preserve">21.48</t>
  </si>
  <si>
    <t xml:space="preserve">20.055</t>
  </si>
  <si>
    <t xml:space="preserve">10: Fp1 (uncorrelated), Fp2 (uncorrelated), F3 (uncorrelated), Fz (uncorrelated), F4 (uncorrelated), AF3 (uncorrelated), AF4 (uncorrelated), F1 (uncorrelated), F2 (uncorrelated), F6 (uncorrelated)</t>
  </si>
  <si>
    <t xml:space="preserve">29.42</t>
  </si>
  <si>
    <t xml:space="preserve">-0.289</t>
  </si>
  <si>
    <t xml:space="preserve">0.386</t>
  </si>
  <si>
    <t xml:space="preserve">285.0</t>
  </si>
  <si>
    <t xml:space="preserve">-0.185</t>
  </si>
  <si>
    <t xml:space="preserve">1.073</t>
  </si>
  <si>
    <t xml:space="preserve">25.471</t>
  </si>
  <si>
    <t xml:space="preserve">7: Fp1 (uncorrelated), Fp2 (uncorrelated), Fz (uncorrelated), AF7 (uncorrelated), AF3 (uncorrelated), AF4 (uncorrelated), AF8 (uncorrelated)</t>
  </si>
  <si>
    <t xml:space="preserve">9: Fp1 (uncorrelated), Fp2 (uncorrelated), F3 (uncorrelated), F4 (uncorrelated), AF7 (uncorrelated), AF3 (uncorrelated), AF4 (uncorrelated), AF8 (uncorrelated), F6 (uncorrelated)</t>
  </si>
  <si>
    <t xml:space="preserve">20.11</t>
  </si>
  <si>
    <t xml:space="preserve">25.185</t>
  </si>
  <si>
    <t xml:space="preserve">24.404</t>
  </si>
  <si>
    <t xml:space="preserve">9: F3 (uncorrelated), Fz (uncorrelated), FC1 (uncorrelated), AF3 (uncorrelated), AF4 (uncorrelated), AF8 (uncorrelated), F5 (uncorrelated), F1 (uncorrelated), F2 (uncorrelated)</t>
  </si>
  <si>
    <t xml:space="preserve">0.759</t>
  </si>
  <si>
    <t xml:space="preserve">1.213</t>
  </si>
  <si>
    <t xml:space="preserve">1.645</t>
  </si>
  <si>
    <t xml:space="preserve">0.841</t>
  </si>
  <si>
    <t xml:space="preserve">25.627</t>
  </si>
  <si>
    <t xml:space="preserve">-0.24</t>
  </si>
  <si>
    <t xml:space="preserve">0.112</t>
  </si>
  <si>
    <t xml:space="preserve">22.907</t>
  </si>
  <si>
    <t xml:space="preserve">-0.914</t>
  </si>
  <si>
    <t xml:space="preserve">28.71</t>
  </si>
  <si>
    <t xml:space="preserve">0.074</t>
  </si>
  <si>
    <t xml:space="preserve">1.052</t>
  </si>
  <si>
    <t xml:space="preserve">9: Fp1 (uncorrelated), Fp2 (uncorrelated), F3 (uncorrelated), F4 (uncorrelated), AF7 (uncorrelated), AF4 (uncorrelated), AF8 (uncorrelated), F5 (uncorrelated), F1 (uncorrelated)</t>
  </si>
  <si>
    <t xml:space="preserve">1.29</t>
  </si>
  <si>
    <t xml:space="preserve">21.936</t>
  </si>
  <si>
    <t xml:space="preserve">24.145</t>
  </si>
  <si>
    <t xml:space="preserve">22.853</t>
  </si>
  <si>
    <t xml:space="preserve">-1.201</t>
  </si>
  <si>
    <t xml:space="preserve">26.565</t>
  </si>
  <si>
    <t xml:space="preserve">2.183</t>
  </si>
  <si>
    <t xml:space="preserve">0.031</t>
  </si>
  <si>
    <t xml:space="preserve">23.313</t>
  </si>
  <si>
    <t xml:space="preserve">0.08</t>
  </si>
  <si>
    <t xml:space="preserve">1.05</t>
  </si>
  <si>
    <t xml:space="preserve">8: Fp1 (uncorrelated), F3 (uncorrelated), Fz (uncorrelated), Cz (uncorrelated), AF4 (uncorrelated), AF8 (uncorrelated), F1 (uncorrelated), F2 (uncorrelated)</t>
  </si>
  <si>
    <t xml:space="preserve">12: Fp1 (uncorrelated), Fp2 (uncorrelated), F3 (uncorrelated), Fz (uncorrelated), F4 (uncorrelated), Cz (uncorrelated), AF3 (uncorrelated), AF4 (uncorrelated), AF8 (uncorrelated), F1 (uncorrelated), F2 (uncorrelated), F6 (uncorrelated)</t>
  </si>
  <si>
    <t xml:space="preserve">20.481</t>
  </si>
  <si>
    <t xml:space="preserve">23.101</t>
  </si>
  <si>
    <t xml:space="preserve">20.34</t>
  </si>
  <si>
    <t xml:space="preserve">1.291</t>
  </si>
  <si>
    <t xml:space="preserve">0.842</t>
  </si>
  <si>
    <t xml:space="preserve">-1.438</t>
  </si>
  <si>
    <t xml:space="preserve">20.645</t>
  </si>
  <si>
    <t xml:space="preserve">-1.726</t>
  </si>
  <si>
    <t xml:space="preserve">24.853</t>
  </si>
  <si>
    <t xml:space="preserve">9: Fp1 (uncorrelated), Fp2 (uncorrelated), Fz (uncorrelated), F4 (uncorrelated), AF3 (uncorrelated), AF4 (uncorrelated), AF8 (uncorrelated), F1 (uncorrelated), F2 (uncorrelated)</t>
  </si>
  <si>
    <t xml:space="preserve">1.253</t>
  </si>
  <si>
    <t xml:space="preserve">0.922</t>
  </si>
  <si>
    <t xml:space="preserve">1.466</t>
  </si>
  <si>
    <t xml:space="preserve">1.006</t>
  </si>
  <si>
    <t xml:space="preserve">-0.831</t>
  </si>
  <si>
    <t xml:space="preserve">-1.106</t>
  </si>
  <si>
    <t xml:space="preserve">0.966</t>
  </si>
  <si>
    <t xml:space="preserve">7: F7 (uncorrelated), F3 (uncorrelated), F4 (uncorrelated), FC1 (uncorrelated), AF8 (uncorrelated), F5 (uncorrelated), F2 (uncorrelated)</t>
  </si>
  <si>
    <t xml:space="preserve">10: F3 (uncorrelated), Fz (uncorrelated), F4 (uncorrelated), AF7 (uncorrelated), AF3 (uncorrelated), AF4 (uncorrelated), AF8 (uncorrelated), F5 (uncorrelated), F1 (uncorrelated), F2 (uncorrelated)</t>
  </si>
  <si>
    <t xml:space="preserve">22.181</t>
  </si>
  <si>
    <t xml:space="preserve">11: Fp1 (uncorrelated), F7 (uncorrelated), F4 (uncorrelated), F8 (uncorrelated), FC1 (uncorrelated), AF7 (uncorrelated), AF4 (uncorrelated), F5 (uncorrelated), F2 (uncorrelated), F6 (uncorrelated), FC3 (uncorrelated)</t>
  </si>
  <si>
    <t xml:space="preserve">18: Fp1 (uncorrelated), Fp2 (uncorrelated), F7 (uncorrelated), F3 (uncorrelated), F4 (uncorrelated), FC1 (uncorrelated), FC2 (uncorrelated), FC6 (uncorrelated), AF7 (uncorrelated), AF3 (uncorrelated), AF4 (uncorrelated), AF8 (uncorrelated), F5 (uncorrelated), F1 (uncorrelated), F2 (uncorrelated), F6 (uncorrelated), FC3 (uncorrelated), FC4 (uncorrelated)</t>
  </si>
  <si>
    <t xml:space="preserve">11: Fp1 (uncorrelated), Fp2 (uncorrelated), F3 (uncorrelated), Fz (uncorrelated), F4 (uncorrelated), FC2 (uncorrelated), AF7 (uncorrelated), AF3 (uncorrelated), AF4 (uncorrelated), F1 (uncorrelated), F2 (uncorrelated)</t>
  </si>
  <si>
    <t xml:space="preserve">28.706</t>
  </si>
  <si>
    <t xml:space="preserve">0.37</t>
  </si>
  <si>
    <t xml:space="preserve">20.723</t>
  </si>
  <si>
    <t xml:space="preserve">20.429</t>
  </si>
  <si>
    <t xml:space="preserve">22.794</t>
  </si>
  <si>
    <t xml:space="preserve">0.983</t>
  </si>
  <si>
    <t xml:space="preserve">-0.899</t>
  </si>
  <si>
    <t xml:space="preserve">0.674</t>
  </si>
  <si>
    <t xml:space="preserve">7: F4 (uncorrelated), F8 (noisy), FC5 (uncorrelated), FC2 (uncorrelated), AF4 (uncorrelated), F6 (uncorrelated), FC4 (uncorrelated)</t>
  </si>
  <si>
    <t xml:space="preserve">7: Fz (uncorrelated), F4 (uncorrelated), FC2 (uncorrelated), T8 (noisy), AF4 (uncorrelated), F1 (uncorrelated), F2 (uncorrelated)</t>
  </si>
  <si>
    <t xml:space="preserve">23.793</t>
  </si>
  <si>
    <t xml:space="preserve">20.889</t>
  </si>
  <si>
    <t xml:space="preserve">2.98</t>
  </si>
  <si>
    <t xml:space="preserve">20.597</t>
  </si>
  <si>
    <t xml:space="preserve">20.42</t>
  </si>
  <si>
    <t xml:space="preserve">0.878</t>
  </si>
  <si>
    <t xml:space="preserve">26.552</t>
  </si>
  <si>
    <t xml:space="preserve">1.156</t>
  </si>
  <si>
    <t xml:space="preserve">23.281</t>
  </si>
  <si>
    <t xml:space="preserve">20.814</t>
  </si>
  <si>
    <t xml:space="preserve">9: Fp1 (uncorrelated), Fp2 (uncorrelated), F3 (uncorrelated), F4 (uncorrelated), AF7 (uncorrelated), AF3 (uncorrelated), AF4 (uncorrelated), F1 (uncorrelated), F2 (uncorrelated)</t>
  </si>
  <si>
    <t xml:space="preserve">25.466</t>
  </si>
  <si>
    <t xml:space="preserve">23.617</t>
  </si>
  <si>
    <t xml:space="preserve">1.277</t>
  </si>
  <si>
    <t xml:space="preserve">25.569</t>
  </si>
  <si>
    <t xml:space="preserve">20.009</t>
  </si>
  <si>
    <t xml:space="preserve">21.91</t>
  </si>
  <si>
    <t xml:space="preserve">23.374</t>
  </si>
  <si>
    <t xml:space="preserve">24.779</t>
  </si>
  <si>
    <t xml:space="preserve">1.078</t>
  </si>
  <si>
    <t xml:space="preserve">28.055</t>
  </si>
  <si>
    <t xml:space="preserve">22.774</t>
  </si>
  <si>
    <t xml:space="preserve">28.668</t>
  </si>
  <si>
    <t xml:space="preserve">-1.005</t>
  </si>
  <si>
    <t xml:space="preserve">0.871</t>
  </si>
  <si>
    <t xml:space="preserve">-0.966</t>
  </si>
  <si>
    <t xml:space="preserve">0.989</t>
  </si>
  <si>
    <t xml:space="preserve">9: F7 (uncorrelated), F3 (uncorrelated), FC1 (uncorrelated), FC2 (uncorrelated), AF7 (uncorrelated), AF8 (uncorrelated), F5 (uncorrelated), F1 (uncorrelated), FC3 (uncorrelated)</t>
  </si>
  <si>
    <t xml:space="preserve">7: F3 (uncorrelated), Fz (uncorrelated), F4 (uncorrelated), FC5 (uncorrelated), FC1 (uncorrelated), F2 (uncorrelated), FC3 (uncorrelated)</t>
  </si>
  <si>
    <t xml:space="preserve">12: Fp1 (uncorrelated), F4 (uncorrelated), FC5 (uncorrelated), FC1 (uncorrelated), FC6 (uncorrelated), AF7 (uncorrelated), AF3 (uncorrelated), AF4 (uncorrelated), AF8 (uncorrelated), F6 (uncorrelated), FC3 (uncorrelated), FC4 (uncorrelated)</t>
  </si>
  <si>
    <t xml:space="preserve">-0.718</t>
  </si>
  <si>
    <t xml:space="preserve">24.284</t>
  </si>
  <si>
    <t xml:space="preserve">2.113</t>
  </si>
  <si>
    <t xml:space="preserve">0.101</t>
  </si>
  <si>
    <t xml:space="preserve">7: F7 (uncorrelated), F4 (uncorrelated), FC5 (uncorrelated), FC1 (uncorrelated), FC2 (uncorrelated), FC3 (uncorrelated), FC4 (uncorrelated)</t>
  </si>
  <si>
    <t xml:space="preserve">7: F7 (uncorrelated), F4 (uncorrelated), FC1 (uncorrelated), FC2 (uncorrelated), F5 (uncorrelated), F2 (uncorrelated), FC3 (uncorrelated)</t>
  </si>
  <si>
    <t xml:space="preserve">0.877</t>
  </si>
  <si>
    <t xml:space="preserve">-0.427</t>
  </si>
  <si>
    <t xml:space="preserve">0.753</t>
  </si>
  <si>
    <t xml:space="preserve">20.638</t>
  </si>
  <si>
    <t xml:space="preserve">20.618</t>
  </si>
  <si>
    <t xml:space="preserve">2.31</t>
  </si>
  <si>
    <t xml:space="preserve">2.329</t>
  </si>
  <si>
    <t xml:space="preserve">1.548</t>
  </si>
  <si>
    <t xml:space="preserve">0.982</t>
  </si>
  <si>
    <t xml:space="preserve">1.46</t>
  </si>
  <si>
    <t xml:space="preserve">0.888</t>
  </si>
  <si>
    <t xml:space="preserve">0.664</t>
  </si>
  <si>
    <t xml:space="preserve">0.025</t>
  </si>
  <si>
    <t xml:space="preserve">1.221</t>
  </si>
  <si>
    <t xml:space="preserve">1.138</t>
  </si>
  <si>
    <t xml:space="preserve">8: F3 (uncorrelated), AF7 (uncorrelated), AF3 (uncorrelated), AF4 (uncorrelated), AF8 (uncorrelated), F5 (uncorrelated), F1 (uncorrelated), F2 (uncorrelated)</t>
  </si>
  <si>
    <t xml:space="preserve">8: F7 (uncorrelated), F3 (uncorrelated), F4 (uncorrelated), AF4 (uncorrelated), AF8 (uncorrelated), F5 (uncorrelated), F1 (uncorrelated), F2 (uncorrelated)</t>
  </si>
  <si>
    <t xml:space="preserve">-0.042</t>
  </si>
  <si>
    <t xml:space="preserve">1.5</t>
  </si>
  <si>
    <t xml:space="preserve">0.633</t>
  </si>
  <si>
    <t xml:space="preserve">0.246</t>
  </si>
  <si>
    <t xml:space="preserve">1.141</t>
  </si>
  <si>
    <t xml:space="preserve">10: Fp1 (uncorrelated), Fp2 (uncorrelated), F3 (uncorrelated), Fz (uncorrelated), F4 (uncorrelated), AF3 (uncorrelated), AF4 (uncorrelated), AF8 (uncorrelated), F1 (uncorrelated), F2 (uncorrelated)</t>
  </si>
  <si>
    <t xml:space="preserve">14: Fp1 (uncorrelated), Fp2 (uncorrelated), F7 (uncorrelated), F3 (uncorrelated), Fz (uncorrelated), F4 (uncorrelated), FC1 (uncorrelated), AF7 (uncorrelated), AF3 (uncorrelated), AF4 (uncorrelated), AF8 (uncorrelated), F5 (uncorrelated), F1 (uncorrelated), F2 (uncorrelated)</t>
  </si>
  <si>
    <t xml:space="preserve">7: Fp1 (noisy), Fp2 (noisy), FC5 (uncorrelated), FC1 (uncorrelated), FC6 (uncorrelated), FC3 (uncorrelated), FC4 (uncorrelated)</t>
  </si>
  <si>
    <t xml:space="preserve">-0.978</t>
  </si>
  <si>
    <t xml:space="preserve">-0.639</t>
  </si>
  <si>
    <t xml:space="preserve">12: F3 (uncorrelated), F4 (uncorrelated), F8 (uncorrelated), FC2 (uncorrelated), AF7 (uncorrelated), AF3 (uncorrelated), AF4 (uncorrelated), AF8 (uncorrelated), F5 (uncorrelated), F1 (uncorrelated), F2 (uncorrelated), F6 (uncorrelated)</t>
  </si>
  <si>
    <t xml:space="preserve">7: F7 (uncorrelated), F4 (uncorrelated), F8 (uncorrelated), AF7 (uncorrelated), AF8 (uncorrelated), F6 (uncorrelated), FC4 (uncorrelated)</t>
  </si>
  <si>
    <t xml:space="preserve">-0.406</t>
  </si>
  <si>
    <t xml:space="preserve">0.072</t>
  </si>
  <si>
    <t xml:space="preserve">2.563</t>
  </si>
  <si>
    <t xml:space="preserve">21.123</t>
  </si>
  <si>
    <t xml:space="preserve">10: Fp2 (uncorrelated), Fz (uncorrelated), F4 (uncorrelated), AF7 (uncorrelated), AF3 (uncorrelated), AF4 (uncorrelated), AF8 (uncorrelated), F5 (uncorrelated), F1 (uncorrelated), F2 (uncorrelated)</t>
  </si>
  <si>
    <t xml:space="preserve">11: Fp2 (uncorrelated), F3 (uncorrelated), F4 (uncorrelated), AF7 (uncorrelated), AF3 (uncorrelated), AF4 (uncorrelated), AF8 (uncorrelated), F5 (uncorrelated), F1 (uncorrelated), F2 (uncorrelated), F6 (uncorrelated)</t>
  </si>
  <si>
    <t xml:space="preserve">-1.115</t>
  </si>
  <si>
    <t xml:space="preserve">29.298</t>
  </si>
  <si>
    <t xml:space="preserve">1.746</t>
  </si>
  <si>
    <t xml:space="preserve">0.084</t>
  </si>
  <si>
    <t xml:space="preserve">-0.917</t>
  </si>
  <si>
    <t xml:space="preserve">1.105</t>
  </si>
  <si>
    <t xml:space="preserve">1.343</t>
  </si>
  <si>
    <t xml:space="preserve">0.617</t>
  </si>
  <si>
    <t xml:space="preserve">21.816</t>
  </si>
  <si>
    <t xml:space="preserve">22.288</t>
  </si>
  <si>
    <t xml:space="preserve">23.308</t>
  </si>
  <si>
    <t xml:space="preserve">8: F3 (uncorrelated), Fz (uncorrelated), F4 (uncorrelated), AF7 (uncorrelated), AF3 (uncorrelated), F1 (uncorrelated), F2 (uncorrelated), F6 (uncorrelated)</t>
  </si>
  <si>
    <t xml:space="preserve">22.714</t>
  </si>
  <si>
    <t xml:space="preserve">21.911</t>
  </si>
  <si>
    <t xml:space="preserve">2.13</t>
  </si>
  <si>
    <t xml:space="preserve">25.917</t>
  </si>
  <si>
    <t xml:space="preserve">0.762</t>
  </si>
  <si>
    <t xml:space="preserve">25.402</t>
  </si>
  <si>
    <t xml:space="preserve">0.487</t>
  </si>
  <si>
    <t xml:space="preserve">0.792</t>
  </si>
  <si>
    <t xml:space="preserve">0.861</t>
  </si>
  <si>
    <t xml:space="preserve">7: F3 (uncorrelated), F4 (uncorrelated), AF7 (uncorrelated), AF4 (uncorrelated), AF8 (uncorrelated), F1 (uncorrelated), F2 (uncorrelated)</t>
  </si>
  <si>
    <t xml:space="preserve">8: F3 (uncorrelated), Fz (uncorrelated), FC1 (uncorrelated), AF3 (uncorrelated), F5 (uncorrelated), F1 (uncorrelated), F2 (uncorrelated), FT7 (uncorrelated)</t>
  </si>
  <si>
    <t xml:space="preserve">9: F3 (uncorrelated), Fz (uncorrelated), FC1 (uncorrelated), C3 (uncorrelated), AF3 (uncorrelated), F1 (uncorrelated), F2 (uncorrelated), FC3 (uncorrelated), C1 (uncorrelated)</t>
  </si>
  <si>
    <t xml:space="preserve">8: F3 (uncorrelated), Fz (uncorrelated), FC5 (uncorrelated), FC1 (uncorrelated), FC2 (uncorrelated), FC6 (uncorrelated), FC3 (uncorrelated), FC4 (uncorrelated)</t>
  </si>
  <si>
    <t xml:space="preserve">0.138</t>
  </si>
  <si>
    <t xml:space="preserve">25.067</t>
  </si>
  <si>
    <t xml:space="preserve">0.737</t>
  </si>
  <si>
    <t xml:space="preserve">23.299</t>
  </si>
  <si>
    <t xml:space="preserve">1.311</t>
  </si>
  <si>
    <t xml:space="preserve">26.49</t>
  </si>
  <si>
    <t xml:space="preserve">23.635</t>
  </si>
  <si>
    <t xml:space="preserve">20.845</t>
  </si>
  <si>
    <t xml:space="preserve">23.006</t>
  </si>
  <si>
    <t xml:space="preserve">1.383</t>
  </si>
  <si>
    <t xml:space="preserve">21.095</t>
  </si>
  <si>
    <t xml:space="preserve">21.887</t>
  </si>
  <si>
    <t xml:space="preserve">0.926</t>
  </si>
  <si>
    <t xml:space="preserve">7: F7 (uncorrelated), F3 (uncorrelated), F4 (uncorrelated), F8 (uncorrelated), AF8 (uncorrelated), F5 (uncorrelated), F6 (uncorrelated)</t>
  </si>
  <si>
    <t xml:space="preserve">1.706</t>
  </si>
  <si>
    <t xml:space="preserve">0.923</t>
  </si>
  <si>
    <t xml:space="preserve">1.438</t>
  </si>
  <si>
    <t xml:space="preserve">1.931</t>
  </si>
  <si>
    <t xml:space="preserve">0.489</t>
  </si>
  <si>
    <t xml:space="preserve">7: Fz (uncorrelated), F4 (uncorrelated), AF3 (uncorrelated), AF4 (uncorrelated), AF8 (uncorrelated), F1 (uncorrelated), F2 (uncorrelated)</t>
  </si>
  <si>
    <t xml:space="preserve">8: Fp2 (uncorrelated), Fz (uncorrelated), AF7 (uncorrelated), AF3 (uncorrelated), AF4 (uncorrelated), AF8 (uncorrelated), F1 (uncorrelated), F2 (uncorrelated)</t>
  </si>
  <si>
    <t xml:space="preserve">-1.181</t>
  </si>
  <si>
    <t xml:space="preserve">20.476</t>
  </si>
  <si>
    <t xml:space="preserve">25.683</t>
  </si>
  <si>
    <t xml:space="preserve">0.284</t>
  </si>
  <si>
    <t xml:space="preserve">20.247</t>
  </si>
  <si>
    <t xml:space="preserve">15: Fp1 (uncorrelated), Fp2 (uncorrelated), F7 (uncorrelated), F3 (uncorrelated), F4 (uncorrelated), FC1 (uncorrelated), FC2 (uncorrelated), AF7 (uncorrelated), AF3 (uncorrelated), AF4 (uncorrelated), AF8 (uncorrelated), F5 (uncorrelated), F2 (uncorrelated), F6 (uncorrelated), FC3 (uncorrelated)</t>
  </si>
  <si>
    <t xml:space="preserve">11: Fp1 (uncorrelated), F3 (uncorrelated), Fz (uncorrelated), F4 (uncorrelated), AF7 (uncorrelated), AF3 (uncorrelated), AF4 (uncorrelated), F5 (uncorrelated), F1 (uncorrelated), F2 (uncorrelated), F6 (uncorrelated)</t>
  </si>
  <si>
    <t xml:space="preserve">7: F3 (uncorrelated), Fz (uncorrelated), F4 (uncorrelated), FC1 (uncorrelated), F1 (uncorrelated), F2 (uncorrelated), FC3 (uncorrelated)</t>
  </si>
  <si>
    <t xml:space="preserve">1.418</t>
  </si>
  <si>
    <t xml:space="preserve">31.388</t>
  </si>
  <si>
    <t xml:space="preserve">27.378</t>
  </si>
  <si>
    <t xml:space="preserve">20.609</t>
  </si>
  <si>
    <t xml:space="preserve">1.058</t>
  </si>
  <si>
    <t xml:space="preserve">24.989</t>
  </si>
  <si>
    <t xml:space="preserve">20.836</t>
  </si>
  <si>
    <t xml:space="preserve">9: F7 (uncorrelated), F3 (uncorrelated), F4 (uncorrelated), AF7 (uncorrelated), AF4 (uncorrelated), AF8 (uncorrelated), F5 (uncorrelated), F1 (uncorrelated), F2 (uncorrelated)</t>
  </si>
  <si>
    <t xml:space="preserve">9: F7 (uncorrelated), F3 (uncorrelated), F4 (uncorrelated), AF7 (uncorrelated), AF8 (uncorrelated), F5 (uncorrelated), F1 (uncorrelated), F2 (uncorrelated), F6 (uncorrelated)</t>
  </si>
  <si>
    <t xml:space="preserve">20.651</t>
  </si>
  <si>
    <t xml:space="preserve">20.117</t>
  </si>
  <si>
    <t xml:space="preserve">1.092</t>
  </si>
  <si>
    <t xml:space="preserve">20.264</t>
  </si>
  <si>
    <t xml:space="preserve">9: Fp1 (uncorrelated), Fp2 (uncorrelated), Fz (uncorrelated), FC1 (uncorrelated), AF7 (uncorrelated), AF3 (uncorrelated), AF4 (uncorrelated), F1 (uncorrelated), F2 (uncorrelated)</t>
  </si>
  <si>
    <t xml:space="preserve">22.407</t>
  </si>
  <si>
    <t xml:space="preserve">23.072</t>
  </si>
  <si>
    <t xml:space="preserve">25.38</t>
  </si>
  <si>
    <t xml:space="preserve">20.328</t>
  </si>
  <si>
    <t xml:space="preserve">25.59</t>
  </si>
  <si>
    <t xml:space="preserve">23.857</t>
  </si>
  <si>
    <t xml:space="preserve">26.878</t>
  </si>
  <si>
    <t xml:space="preserve">25.809</t>
  </si>
  <si>
    <t xml:space="preserve">26.471</t>
  </si>
  <si>
    <t xml:space="preserve">24.927</t>
  </si>
  <si>
    <t xml:space="preserve">1.362</t>
  </si>
  <si>
    <t xml:space="preserve">21.859</t>
  </si>
  <si>
    <t xml:space="preserve">2.8</t>
  </si>
  <si>
    <t xml:space="preserve">29.663</t>
  </si>
  <si>
    <t xml:space="preserve">29.887</t>
  </si>
  <si>
    <t xml:space="preserve">-0.707</t>
  </si>
  <si>
    <t xml:space="preserve">0.043</t>
  </si>
  <si>
    <t xml:space="preserve">10: F7 (uncorrelated), F3 (uncorrelated), F4 (uncorrelated), AF3 (uncorrelated), AF4 (uncorrelated), AF8 (uncorrelated), F5 (uncorrelated), F1 (uncorrelated), F2 (uncorrelated), F6 (uncorrelated)</t>
  </si>
  <si>
    <t xml:space="preserve">23.365</t>
  </si>
  <si>
    <t xml:space="preserve">23.758</t>
  </si>
  <si>
    <t xml:space="preserve">31.877</t>
  </si>
  <si>
    <t xml:space="preserve">22.994</t>
  </si>
  <si>
    <t xml:space="preserve">24.925</t>
  </si>
  <si>
    <t xml:space="preserve">0.456</t>
  </si>
  <si>
    <t xml:space="preserve">28.664</t>
  </si>
  <si>
    <t xml:space="preserve">9: F7 (uncorrelated), F3 (uncorrelated), F4 (uncorrelated), F8 (uncorrelated), FC1 (uncorrelated), FC2 (uncorrelated), F5 (uncorrelated), F6 (uncorrelated), FC4 (uncorrelated)</t>
  </si>
  <si>
    <t xml:space="preserve">-0.32</t>
  </si>
  <si>
    <t xml:space="preserve">1.074</t>
  </si>
  <si>
    <t xml:space="preserve">-0.211</t>
  </si>
  <si>
    <t xml:space="preserve">1.17</t>
  </si>
  <si>
    <t xml:space="preserve">0.682</t>
  </si>
  <si>
    <t xml:space="preserve">1.485</t>
  </si>
  <si>
    <t xml:space="preserve">-0.766</t>
  </si>
  <si>
    <t xml:space="preserve">23.639</t>
  </si>
  <si>
    <t xml:space="preserve">21.339</t>
  </si>
  <si>
    <t xml:space="preserve">20.987</t>
  </si>
  <si>
    <t xml:space="preserve">-0.357</t>
  </si>
  <si>
    <t xml:space="preserve">12: Fp1 (uncorrelated), F7 (uncorrelated), F3 (uncorrelated), F4 (uncorrelated), AF7 (uncorrelated), AF3 (uncorrelated), AF4 (uncorrelated), AF8 (uncorrelated), F5 (uncorrelated), F1 (uncorrelated), F2 (uncorrelated), F6 (uncorrelated)</t>
  </si>
  <si>
    <t xml:space="preserve">20.342</t>
  </si>
  <si>
    <t xml:space="preserve">26.987</t>
  </si>
  <si>
    <t xml:space="preserve">28.878</t>
  </si>
  <si>
    <t xml:space="preserve">24.84</t>
  </si>
  <si>
    <t xml:space="preserve">22.405</t>
  </si>
  <si>
    <t xml:space="preserve">26.014</t>
  </si>
  <si>
    <t xml:space="preserve">0.294</t>
  </si>
  <si>
    <t xml:space="preserve">0.686</t>
  </si>
  <si>
    <t xml:space="preserve">28.425</t>
  </si>
  <si>
    <t xml:space="preserve">25.343</t>
  </si>
  <si>
    <t xml:space="preserve">27.403</t>
  </si>
  <si>
    <t xml:space="preserve">0.23</t>
  </si>
  <si>
    <t xml:space="preserve">28.403</t>
  </si>
  <si>
    <t xml:space="preserve">12: Fp1 (uncorrelated), Fp2 (uncorrelated), F7 (uncorrelated), F3 (uncorrelated), F4 (uncorrelated), AF7 (uncorrelated), AF3 (uncorrelated), AF4 (uncorrelated), AF8 (uncorrelated), F5 (uncorrelated), F1 (uncorrelated), F2 (uncorrelated)</t>
  </si>
  <si>
    <t xml:space="preserve">20.795</t>
  </si>
  <si>
    <t xml:space="preserve">20.02</t>
  </si>
  <si>
    <t xml:space="preserve">1.37</t>
  </si>
  <si>
    <t xml:space="preserve">0.147</t>
  </si>
  <si>
    <t xml:space="preserve">0.236</t>
  </si>
  <si>
    <t xml:space="preserve">12: Fp1 (uncorrelated), F3 (uncorrelated), F4 (uncorrelated), FC1 (uncorrelated), FC2 (uncorrelated), AF7 (uncorrelated), AF3 (uncorrelated), AF4 (uncorrelated), AF8 (uncorrelated), F5 (uncorrelated), F1 (uncorrelated), FC4 (uncorrelated)</t>
  </si>
  <si>
    <t xml:space="preserve">1.286</t>
  </si>
  <si>
    <t xml:space="preserve">20.306</t>
  </si>
  <si>
    <t xml:space="preserve">-0.93</t>
  </si>
  <si>
    <t xml:space="preserve">25.843</t>
  </si>
  <si>
    <t xml:space="preserve">1.344</t>
  </si>
  <si>
    <t xml:space="preserve">23.111</t>
  </si>
  <si>
    <t xml:space="preserve">22.616</t>
  </si>
  <si>
    <t xml:space="preserve">7: Fp2 (uncorrelated), F3 (uncorrelated), F4 (uncorrelated), AF3 (uncorrelated), AF4 (uncorrelated), F1 (uncorrelated), F2 (uncorrelated)</t>
  </si>
  <si>
    <t xml:space="preserve">0.786</t>
  </si>
  <si>
    <t xml:space="preserve">9: Fp2 (uncorrelated), F3 (uncorrelated), Fz (uncorrelated), AF3 (uncorrelated), AF4 (uncorrelated), AF8 (uncorrelated), F5 (uncorrelated), F1 (uncorrelated), F2 (uncorrelated)</t>
  </si>
  <si>
    <t xml:space="preserve">-1.125</t>
  </si>
  <si>
    <t xml:space="preserve">1.118</t>
  </si>
  <si>
    <t xml:space="preserve">9: Fp2 (uncorrelated), F3 (uncorrelated), F4 (uncorrelated), FC2 (uncorrelated), AF7 (uncorrelated), AF4 (uncorrelated), AF8 (uncorrelated), F1 (uncorrelated), FC4 (uncorrelated)</t>
  </si>
  <si>
    <t xml:space="preserve">9: Fp2 (uncorrelated), F3 (uncorrelated), F4 (uncorrelated), FC2 (uncorrelated), AF7 (uncorrelated), AF3 (uncorrelated), AF4 (uncorrelated), AF8 (uncorrelated), F1 (uncorrelated)</t>
  </si>
  <si>
    <t xml:space="preserve">22.73</t>
  </si>
  <si>
    <t xml:space="preserve">24.153</t>
  </si>
  <si>
    <t xml:space="preserve">23.485</t>
  </si>
  <si>
    <t xml:space="preserve">0.891</t>
  </si>
  <si>
    <t xml:space="preserve">-0.545</t>
  </si>
  <si>
    <t xml:space="preserve">22.177</t>
  </si>
  <si>
    <t xml:space="preserve">1.347</t>
  </si>
  <si>
    <t xml:space="preserve">21.124</t>
  </si>
  <si>
    <t xml:space="preserve">7: Fp1 (uncorrelated), Fp2 (uncorrelated), Fz (uncorrelated), AF7 (uncorrelated), AF4 (uncorrelated), AF8 (uncorrelated), F2 (uncorrelated)</t>
  </si>
  <si>
    <t xml:space="preserve">9: F7 (uncorrelated), F3 (uncorrelated), F4 (uncorrelated), F8 (uncorrelated), FC6 (uncorrelated), Oz (clipped), F5 (uncorrelated), F1 (uncorrelated), F6 (uncorrelated)</t>
  </si>
  <si>
    <t xml:space="preserve">23.205</t>
  </si>
  <si>
    <t xml:space="preserve">27.796</t>
  </si>
  <si>
    <t xml:space="preserve">20.859</t>
  </si>
  <si>
    <t xml:space="preserve">27.62</t>
  </si>
  <si>
    <t xml:space="preserve">11: Fp1 (uncorrelated), Fp2 (uncorrelated), F3 (uncorrelated), Fz (uncorrelated), F4 (uncorrelated), AF7 (uncorrelated), AF3 (uncorrelated), AF4 (uncorrelated), AF8 (uncorrelated), F5 (uncorrelated), F1 (uncorrelated)</t>
  </si>
  <si>
    <t xml:space="preserve">7: F7 (uncorrelated), F4 (uncorrelated), FC5 (uncorrelated), FC1 (uncorrelated), F5 (uncorrelated), F6 (uncorrelated), FC3 (uncorrelated)</t>
  </si>
  <si>
    <t xml:space="preserve">12: F7 (uncorrelated), F3 (uncorrelated), Fz (uncorrelated), F4 (uncorrelated), FC1 (uncorrelated), AF3 (uncorrelated), AF4 (uncorrelated), AF8 (uncorrelated), F5 (uncorrelated), F1 (uncorrelated), F2 (uncorrelated), F6 (uncorrelated)</t>
  </si>
  <si>
    <t xml:space="preserve">13: F7 (uncorrelated), F3 (uncorrelated), F4 (uncorrelated), FC5 (uncorrelated), FC1 (uncorrelated), AF7 (uncorrelated), AF4 (uncorrelated), AF8 (uncorrelated), F5 (uncorrelated), F1 (uncorrelated), F2 (uncorrelated), F6 (uncorrelated), FC3 (uncorrelated)</t>
  </si>
  <si>
    <t xml:space="preserve">21.597</t>
  </si>
  <si>
    <t xml:space="preserve">23.676</t>
  </si>
  <si>
    <t xml:space="preserve">1.164</t>
  </si>
  <si>
    <t xml:space="preserve">0.597</t>
  </si>
  <si>
    <t xml:space="preserve">8: Fp1 (uncorrelated), Fp2 (uncorrelated), Fz (uncorrelated), AF7 (uncorrelated), AF3 (uncorrelated), AF4 (uncorrelated), AF8 (uncorrelated), F1 (uncorrelated)</t>
  </si>
  <si>
    <t xml:space="preserve">1.207</t>
  </si>
  <si>
    <t xml:space="preserve">1.323</t>
  </si>
  <si>
    <t xml:space="preserve">1.451</t>
  </si>
  <si>
    <t xml:space="preserve">10: F7 (uncorrelated), F3 (uncorrelated), Fz (uncorrelated), F4 (uncorrelated), AF3 (uncorrelated), AF4 (uncorrelated), AF8 (uncorrelated), F5 (uncorrelated), F1 (uncorrelated), F2 (uncorrelated)</t>
  </si>
  <si>
    <t xml:space="preserve">-1.17</t>
  </si>
  <si>
    <t xml:space="preserve">0.595</t>
  </si>
  <si>
    <t xml:space="preserve">-1.084</t>
  </si>
  <si>
    <t xml:space="preserve">0.265</t>
  </si>
  <si>
    <t xml:space="preserve">0.32</t>
  </si>
  <si>
    <t xml:space="preserve">9: Fp1 (uncorrelated), Fp2 (uncorrelated), F3 (uncorrelated), Fz (uncorrelated), FC1 (uncorrelated), AF3 (uncorrelated), AF4 (uncorrelated), F1 (uncorrelated), F2 (uncorrelated)</t>
  </si>
  <si>
    <t xml:space="preserve">21.634</t>
  </si>
  <si>
    <t xml:space="preserve">1.091</t>
  </si>
  <si>
    <t xml:space="preserve">1.018</t>
  </si>
  <si>
    <t xml:space="preserve">21.823</t>
  </si>
  <si>
    <t xml:space="preserve">21.067</t>
  </si>
  <si>
    <t xml:space="preserve">1.398</t>
  </si>
  <si>
    <t xml:space="preserve">40.826</t>
  </si>
  <si>
    <t xml:space="preserve">36.195</t>
  </si>
  <si>
    <t xml:space="preserve">37.806</t>
  </si>
  <si>
    <t xml:space="preserve">35.095</t>
  </si>
  <si>
    <t xml:space="preserve">25.234</t>
  </si>
  <si>
    <t xml:space="preserve">22.486</t>
  </si>
  <si>
    <t xml:space="preserve">27.399</t>
  </si>
  <si>
    <t xml:space="preserve">10: Fp1 (uncorrelated), Fp2 (uncorrelated), F3 (uncorrelated), Fz (uncorrelated), AF7 (uncorrelated), AF3 (uncorrelated), AF4 (uncorrelated), F1 (uncorrelated), F2 (uncorrelated), FC3 (uncorrelated)</t>
  </si>
  <si>
    <t xml:space="preserve">21.733</t>
  </si>
  <si>
    <t xml:space="preserve">0.361</t>
  </si>
  <si>
    <t xml:space="preserve">10: F7 (uncorrelated), F3 (uncorrelated), Fz (uncorrelated), F4 (uncorrelated), F8 (uncorrelated), AF4 (uncorrelated), F5 (uncorrelated), F1 (uncorrelated), F2 (uncorrelated), F6 (uncorrelated)</t>
  </si>
  <si>
    <t xml:space="preserve">10: F7 (uncorrelated), F4 (uncorrelated), F8 (uncorrelated), FC5 (uncorrelated), FC1 (uncorrelated), F5 (uncorrelated), F2 (uncorrelated), F6 (uncorrelated), FT7 (uncorrelated), FC3 (uncorrelated)</t>
  </si>
  <si>
    <t xml:space="preserve">8: Fp1 (uncorrelated), Fp2 (uncorrelated), F3 (uncorrelated), Fz (uncorrelated), F4 (uncorrelated), AF7 (uncorrelated), F1 (uncorrelated), F2 (uncorrelated)</t>
  </si>
  <si>
    <t xml:space="preserve">20.991</t>
  </si>
  <si>
    <t xml:space="preserve">20.534</t>
  </si>
  <si>
    <t xml:space="preserve">8: Fp2 (uncorrelated), Fz (uncorrelated), F4 (uncorrelated), FC2 (uncorrelated), AF4 (uncorrelated), AF8 (uncorrelated), F1 (uncorrelated), F2 (uncorrelated)</t>
  </si>
  <si>
    <t xml:space="preserve">12: Fp1 (uncorrelated), Fp2 (uncorrelated), F3 (uncorrelated), F4 (uncorrelated), AF7 (uncorrelated), AF3 (uncorrelated), AF4 (uncorrelated), AF8 (uncorrelated), F5 (uncorrelated), F1 (uncorrelated), F2 (uncorrelated), F6 (uncorrelated)</t>
  </si>
  <si>
    <t xml:space="preserve">8: F3 (uncorrelated), F4 (uncorrelated), F8 (uncorrelated), AF7 (uncorrelated), AF8 (uncorrelated), F5 (uncorrelated), F2 (uncorrelated), F6 (uncorrelated)</t>
  </si>
  <si>
    <t xml:space="preserve">1.211</t>
  </si>
  <si>
    <t xml:space="preserve">0.67</t>
  </si>
  <si>
    <t xml:space="preserve">1.946</t>
  </si>
  <si>
    <t xml:space="preserve">1.166</t>
  </si>
  <si>
    <t xml:space="preserve">7: F3 (uncorrelated), F4 (uncorrelated), F8 (uncorrelated), AF7 (uncorrelated), AF8 (uncorrelated), F5 (uncorrelated), F6 (uncorrelated)</t>
  </si>
  <si>
    <t xml:space="preserve">20.552</t>
  </si>
  <si>
    <t xml:space="preserve">0.964</t>
  </si>
  <si>
    <t xml:space="preserve">25.887</t>
  </si>
  <si>
    <t xml:space="preserve">29.635</t>
  </si>
  <si>
    <t xml:space="preserve">25.599</t>
  </si>
  <si>
    <t xml:space="preserve">29.333</t>
  </si>
  <si>
    <t xml:space="preserve">21.44</t>
  </si>
  <si>
    <t xml:space="preserve">34.469</t>
  </si>
  <si>
    <t xml:space="preserve">23.55</t>
  </si>
  <si>
    <t xml:space="preserve">26.253</t>
  </si>
  <si>
    <t xml:space="preserve">11: Fp1 (uncorrelated), Fp2 (uncorrelated), Fz (uncorrelated), F4 (uncorrelated), FC2 (uncorrelated), AF4 (uncorrelated), AF8 (uncorrelated), F1 (uncorrelated), F2 (uncorrelated), F6 (uncorrelated), FC4 (uncorrelated)</t>
  </si>
  <si>
    <t xml:space="preserve">10: F3 (uncorrelated), F8 (uncorrelated), FC2 (uncorrelated), FC6 (uncorrelated), C4 (uncorrelated), AF7 (uncorrelated), F5 (uncorrelated), F1 (uncorrelated), F6 (uncorrelated), FC4 (uncorrelated)</t>
  </si>
  <si>
    <t xml:space="preserve">-0.634</t>
  </si>
  <si>
    <t xml:space="preserve">0.849</t>
  </si>
  <si>
    <t xml:space="preserve">-1.064</t>
  </si>
  <si>
    <t xml:space="preserve">25.81</t>
  </si>
  <si>
    <t xml:space="preserve">23.851</t>
  </si>
  <si>
    <t xml:space="preserve">25.063</t>
  </si>
  <si>
    <t xml:space="preserve">8: Fp1 (uncorrelated), Fp2 (uncorrelated), Fz (uncorrelated), F4 (uncorrelated), AF7 (uncorrelated), AF3 (uncorrelated), AF4 (uncorrelated), AF8 (uncorrelated)</t>
  </si>
  <si>
    <t xml:space="preserve">20.015</t>
  </si>
  <si>
    <t xml:space="preserve">24.304</t>
  </si>
  <si>
    <t xml:space="preserve">24.595</t>
  </si>
  <si>
    <t xml:space="preserve">20.686</t>
  </si>
  <si>
    <t xml:space="preserve">8: Fp1 (uncorrelated), Fp2 (uncorrelated), Fz (uncorrelated), AF3 (uncorrelated), AF4 (uncorrelated), AF8 (uncorrelated), F1 (uncorrelated), F2 (uncorrelated)</t>
  </si>
  <si>
    <t xml:space="preserve">8: F7 (uncorrelated), F3 (uncorrelated), Fz (uncorrelated), F4 (uncorrelated), F8 (uncorrelated), F5 (uncorrelated), F1 (uncorrelated), F6 (uncorrelated)</t>
  </si>
  <si>
    <t xml:space="preserve">7: F7 (uncorrelated), F3 (uncorrelated), F4 (uncorrelated), F8 (uncorrelated), F5 (uncorrelated), F1 (uncorrelated), F6 (uncorrelated)</t>
  </si>
  <si>
    <t xml:space="preserve">2.095</t>
  </si>
  <si>
    <t xml:space="preserve">21.552</t>
  </si>
  <si>
    <t xml:space="preserve">-0.318</t>
  </si>
  <si>
    <t xml:space="preserve">0.961</t>
  </si>
  <si>
    <t xml:space="preserve">23.586</t>
  </si>
  <si>
    <t xml:space="preserve">1.547</t>
  </si>
  <si>
    <t xml:space="preserve">0.765</t>
  </si>
  <si>
    <t xml:space="preserve">-0.721</t>
  </si>
  <si>
    <t xml:space="preserve">22.429</t>
  </si>
  <si>
    <t xml:space="preserve">0.796</t>
  </si>
  <si>
    <t xml:space="preserve">0.567</t>
  </si>
  <si>
    <t xml:space="preserve">9: F7 (uncorrelated), F3 (uncorrelated), Fz (uncorrelated), F4 (uncorrelated), AF4 (uncorrelated), AF8 (uncorrelated), F5 (uncorrelated), F1 (uncorrelated), F2 (uncorrelated)</t>
  </si>
  <si>
    <t xml:space="preserve">7: Fp1 (noisy), Fp2 (noisy), F8 (uncorrelated), FC5 (uncorrelated), FC2 (uncorrelated), AF7 (noisy), FT7 (uncorrelated)</t>
  </si>
  <si>
    <t xml:space="preserve">-1.218</t>
  </si>
  <si>
    <t xml:space="preserve">22.461</t>
  </si>
  <si>
    <t xml:space="preserve">1.459</t>
  </si>
  <si>
    <t xml:space="preserve">29.321</t>
  </si>
  <si>
    <t xml:space="preserve">26.137</t>
  </si>
  <si>
    <t xml:space="preserve">7: Fp1 (uncorrelated), F3 (uncorrelated), Fz (uncorrelated), AF3 (uncorrelated), AF4 (uncorrelated), F1 (uncorrelated), F2 (uncorrelated)</t>
  </si>
  <si>
    <t xml:space="preserve">26.802</t>
  </si>
  <si>
    <t xml:space="preserve">23.823</t>
  </si>
  <si>
    <t xml:space="preserve">0.437</t>
  </si>
  <si>
    <t xml:space="preserve">1.177</t>
  </si>
  <si>
    <t xml:space="preserve">20.759</t>
  </si>
  <si>
    <t xml:space="preserve">9: F3 (uncorrelated), F4 (uncorrelated), AF7 (uncorrelated), AF3 (uncorrelated), AF4 (uncorrelated), AF8 (uncorrelated), F1 (uncorrelated), F2 (uncorrelated), F6 (uncorrelated)</t>
  </si>
  <si>
    <t xml:space="preserve">20.452</t>
  </si>
  <si>
    <t xml:space="preserve">0.766</t>
  </si>
  <si>
    <t xml:space="preserve">7: F3 (uncorrelated), F8 (uncorrelated), FC2 (uncorrelated), AF7 (uncorrelated), AF8 (uncorrelated), F5 (uncorrelated), F6 (uncorrelated)</t>
  </si>
  <si>
    <t xml:space="preserve">8: Fp1 (uncorrelated), Fp2 (uncorrelated), Fz (uncorrelated), F4 (uncorrelated), AF3 (uncorrelated), AF4 (uncorrelated), AF8 (uncorrelated), F2 (uncorrelated)</t>
  </si>
  <si>
    <t xml:space="preserve">21.032</t>
  </si>
  <si>
    <t xml:space="preserve">21.49</t>
  </si>
  <si>
    <t xml:space="preserve">20.271</t>
  </si>
  <si>
    <t xml:space="preserve">23.848</t>
  </si>
  <si>
    <t xml:space="preserve">1.009</t>
  </si>
  <si>
    <t xml:space="preserve">-1.296</t>
  </si>
  <si>
    <t xml:space="preserve">26.37</t>
  </si>
  <si>
    <t xml:space="preserve">30.787</t>
  </si>
  <si>
    <t xml:space="preserve">1.476</t>
  </si>
  <si>
    <t xml:space="preserve">-0.871</t>
  </si>
  <si>
    <t xml:space="preserve">0.384</t>
  </si>
  <si>
    <t xml:space="preserve">8: F7 (uncorrelated), F3 (uncorrelated), F4 (uncorrelated), FC1 (uncorrelated), AF8 (uncorrelated), F5 (uncorrelated), F1 (uncorrelated), F2 (uncorrelated)</t>
  </si>
  <si>
    <t xml:space="preserve">23.446</t>
  </si>
  <si>
    <t xml:space="preserve">1.381</t>
  </si>
  <si>
    <t xml:space="preserve">23.196</t>
  </si>
  <si>
    <t xml:space="preserve">24.151</t>
  </si>
  <si>
    <t xml:space="preserve">27.658</t>
  </si>
  <si>
    <t xml:space="preserve">17: Fp1 (uncorrelated), Fp2 (uncorrelated), F7 (uncorrelated), F3 (uncorrelated), Fz (uncorrelated), F4 (uncorrelated), F8 (uncorrelated), FC5 (uncorrelated), AF7 (uncorrelated), AF3 (uncorrelated), AF4 (uncorrelated), AF8 (uncorrelated), F5 (uncorrelated), F1 (uncorrelated), F2 (uncorrelated), F6 (uncorrelated), FC3 (uncorrelated)</t>
  </si>
  <si>
    <t xml:space="preserve">30.795</t>
  </si>
  <si>
    <t xml:space="preserve">-1.041</t>
  </si>
  <si>
    <t xml:space="preserve">26.078</t>
  </si>
  <si>
    <t xml:space="preserve">28.142</t>
  </si>
  <si>
    <t xml:space="preserve">0.551</t>
  </si>
  <si>
    <t xml:space="preserve">26.573</t>
  </si>
  <si>
    <t xml:space="preserve">29.765</t>
  </si>
  <si>
    <t xml:space="preserve">25.425</t>
  </si>
  <si>
    <t xml:space="preserve">27.394</t>
  </si>
  <si>
    <t xml:space="preserve">1.536</t>
  </si>
  <si>
    <t xml:space="preserve">26.952</t>
  </si>
  <si>
    <t xml:space="preserve">21.591</t>
  </si>
  <si>
    <t xml:space="preserve">22.367</t>
  </si>
  <si>
    <t xml:space="preserve">20.451</t>
  </si>
  <si>
    <t xml:space="preserve">0.524</t>
  </si>
  <si>
    <t xml:space="preserve">27.077</t>
  </si>
  <si>
    <t xml:space="preserve">8: F7 (uncorrelated), F3 (uncorrelated), F4 (uncorrelated), F8 (uncorrelated), FC1 (uncorrelated), AF8 (uncorrelated), F5 (uncorrelated), F6 (uncorrelated)</t>
  </si>
  <si>
    <t xml:space="preserve">0.547</t>
  </si>
  <si>
    <t xml:space="preserve">-1.202</t>
  </si>
  <si>
    <t xml:space="preserve">10: Fp2 (uncorrelated), F3 (uncorrelated), Fz (uncorrelated), F4 (uncorrelated), AF7 (uncorrelated), AF3 (uncorrelated), AF4 (uncorrelated), AF8 (uncorrelated), F1 (uncorrelated), F2 (uncorrelated)</t>
  </si>
  <si>
    <t xml:space="preserve">20.469</t>
  </si>
  <si>
    <t xml:space="preserve">21.204</t>
  </si>
  <si>
    <t xml:space="preserve">10: Fp2 (uncorrelated), F3 (uncorrelated), F4 (uncorrelated), AF7 (uncorrelated), AF3 (uncorrelated), AF8 (uncorrelated), F5 (uncorrelated), F1 (uncorrelated), F2 (uncorrelated), F6 (uncorrelated)</t>
  </si>
  <si>
    <t xml:space="preserve">0.436</t>
  </si>
  <si>
    <t xml:space="preserve">15: Fp1 (uncorrelated), Fp2 (uncorrelated), F3 (uncorrelated), F4 (uncorrelated), FC2 (uncorrelated), FC6 (uncorrelated), AF7 (uncorrelated), AF3 (uncorrelated), AF4 (uncorrelated), AF8 (uncorrelated), F5 (uncorrelated), F1 (uncorrelated), F2 (uncorrelated), F6 (uncorrelated), FC4 (uncorrelated)</t>
  </si>
  <si>
    <t xml:space="preserve">22.124</t>
  </si>
  <si>
    <t xml:space="preserve">20.978</t>
  </si>
  <si>
    <t xml:space="preserve">20.807</t>
  </si>
  <si>
    <t xml:space="preserve">9: Fp1 (uncorrelated), Fp2 (uncorrelated), Fz (uncorrelated), FC2 (uncorrelated), AF7 (uncorrelated), AF3 (uncorrelated), AF4 (uncorrelated), F1 (uncorrelated), F2 (uncorrelated)</t>
  </si>
  <si>
    <t xml:space="preserve">23.074</t>
  </si>
  <si>
    <t xml:space="preserve">21.519</t>
  </si>
  <si>
    <t xml:space="preserve">0.12</t>
  </si>
  <si>
    <t xml:space="preserve">21.327</t>
  </si>
  <si>
    <t xml:space="preserve">12: F7 (uncorrelated), F3 (uncorrelated), F4 (uncorrelated), FC1 (uncorrelated), AF7 (uncorrelated), AF3 (uncorrelated), AF4 (uncorrelated), AF8 (uncorrelated), F5 (uncorrelated), F1 (uncorrelated), F2 (uncorrelated), F6 (uncorrelated)</t>
  </si>
  <si>
    <t xml:space="preserve">27.616</t>
  </si>
  <si>
    <t xml:space="preserve">0.185</t>
  </si>
  <si>
    <t xml:space="preserve">1.377</t>
  </si>
  <si>
    <t xml:space="preserve">2.12</t>
  </si>
  <si>
    <t xml:space="preserve">26.975</t>
  </si>
  <si>
    <t xml:space="preserve">9: Fz (uncorrelated), F4 (uncorrelated), AF7 (uncorrelated), AF3 (uncorrelated), AF4 (uncorrelated), AF8 (uncorrelated), F1 (uncorrelated), F2 (uncorrelated), F6 (uncorrelated)</t>
  </si>
  <si>
    <t xml:space="preserve">8: Fp1 (uncorrelated), Fp2 (uncorrelated), AF7 (uncorrelated), AF3 (uncorrelated), AF4 (uncorrelated), AF8 (uncorrelated), F1 (uncorrelated), F2 (uncorrelated)</t>
  </si>
  <si>
    <t xml:space="preserve">0.517</t>
  </si>
  <si>
    <t xml:space="preserve">2.538</t>
  </si>
  <si>
    <t xml:space="preserve">1.103</t>
  </si>
  <si>
    <t xml:space="preserve">25.929</t>
  </si>
  <si>
    <t xml:space="preserve">0.515</t>
  </si>
  <si>
    <t xml:space="preserve">26.855</t>
  </si>
  <si>
    <t xml:space="preserve">9: F3 (uncorrelated), Fz (uncorrelated), F4 (uncorrelated), FC2 (uncorrelated), AF4 (uncorrelated), F5 (uncorrelated), F1 (uncorrelated), F6 (uncorrelated), FC4 (uncorrelated)</t>
  </si>
  <si>
    <t xml:space="preserve">11: F3 (uncorrelated), Fz (uncorrelated), F4 (uncorrelated), FC1 (uncorrelated), FC2 (uncorrelated), AF7 (clipped), AF4 (uncorrelated), F1 (uncorrelated), F2 (uncorrelated), FC3 (uncorrelated), FC4 (uncorrelated)</t>
  </si>
  <si>
    <t xml:space="preserve">10: F3 (uncorrelated), Fz (uncorrelated), F4 (uncorrelated), FC2 (uncorrelated), AF7 (clipped), F1 (uncorrelated), F2 (uncorrelated), F6 (uncorrelated), FC3 (uncorrelated), FC4 (uncorrelated)</t>
  </si>
  <si>
    <t xml:space="preserve">10: F3 (uncorrelated), Fz (uncorrelated), F4 (uncorrelated), FC1 (uncorrelated), FC2 (uncorrelated), AF7 (clipped), F1 (uncorrelated), F2 (uncorrelated), FC3 (uncorrelated), FC4 (uncorrelated)</t>
  </si>
  <si>
    <t xml:space="preserve">2.635</t>
  </si>
  <si>
    <t xml:space="preserve">0.029</t>
  </si>
  <si>
    <t xml:space="preserve">-1.142</t>
  </si>
  <si>
    <t xml:space="preserve">252.0</t>
  </si>
  <si>
    <t xml:space="preserve">21.375</t>
  </si>
  <si>
    <t xml:space="preserve">-0.685</t>
  </si>
  <si>
    <t xml:space="preserve">0.041</t>
  </si>
  <si>
    <t xml:space="preserve">21.891</t>
  </si>
  <si>
    <t xml:space="preserve">12: Fp1 (uncorrelated), F7 (uncorrelated), F3 (uncorrelated), F4 (uncorrelated), F8 (uncorrelated), FC1 (uncorrelated), FC2 (uncorrelated), AF7 (uncorrelated), AF3 (uncorrelated), AF8 (uncorrelated), F5 (uncorrelated), F6 (uncorrelated)</t>
  </si>
  <si>
    <t xml:space="preserve">8: F7 (uncorrelated), F3 (uncorrelated), F4 (uncorrelated), FC1 (uncorrelated), FC2 (uncorrelated), AF7 (uncorrelated), AF8 (uncorrelated), F6 (uncorrelated)</t>
  </si>
  <si>
    <t xml:space="preserve">28.378</t>
  </si>
  <si>
    <t xml:space="preserve">27.501</t>
  </si>
  <si>
    <t xml:space="preserve">27.928</t>
  </si>
  <si>
    <t xml:space="preserve">27.021</t>
  </si>
  <si>
    <t xml:space="preserve">9: Fp2 (uncorrelated), F7 (uncorrelated), F4 (uncorrelated), AF7 (uncorrelated), AF4 (uncorrelated), AF8 (uncorrelated), F5 (uncorrelated), F2 (uncorrelated), F6 (uncorrelated)</t>
  </si>
  <si>
    <t xml:space="preserve">8: F3 (uncorrelated), Fz (uncorrelated), F4 (uncorrelated), FC1 (uncorrelated), AF3 (uncorrelated), AF4 (uncorrelated), F1 (uncorrelated), F2 (uncorrelated)</t>
  </si>
  <si>
    <t xml:space="preserve">7: F3 (uncorrelated), Fz (uncorrelated), F4 (uncorrelated), AF4 (uncorrelated), F1 (uncorrelated), F2 (uncorrelated), F6 (uncorrelated)</t>
  </si>
  <si>
    <t xml:space="preserve">13: Fp1 (uncorrelated), Fp2 (uncorrelated), F7 (uncorrelated), F3 (uncorrelated), F4 (uncorrelated), FC1 (uncorrelated), AF7 (uncorrelated), AF3 (uncorrelated), AF4 (uncorrelated), AF8 (uncorrelated), F5 (uncorrelated), F1 (uncorrelated), F6 (uncorrelated)</t>
  </si>
  <si>
    <t xml:space="preserve">20.619</t>
  </si>
  <si>
    <t xml:space="preserve">26.618</t>
  </si>
  <si>
    <t xml:space="preserve">22.919</t>
  </si>
  <si>
    <t xml:space="preserve">23.348</t>
  </si>
  <si>
    <t xml:space="preserve">8: Fp2 (uncorrelated), F3 (uncorrelated), Fz (uncorrelated), F4 (uncorrelated), AF3 (uncorrelated), AF4 (uncorrelated), F1 (uncorrelated), F2 (uncorrelated)</t>
  </si>
  <si>
    <t xml:space="preserve">2.764</t>
  </si>
  <si>
    <t xml:space="preserve">20.717</t>
  </si>
  <si>
    <t xml:space="preserve">23.16</t>
  </si>
  <si>
    <t xml:space="preserve">24.679</t>
  </si>
  <si>
    <t xml:space="preserve">24.345</t>
  </si>
  <si>
    <t xml:space="preserve">21.975</t>
  </si>
  <si>
    <t xml:space="preserve">20.169</t>
  </si>
  <si>
    <t xml:space="preserve">0.511</t>
  </si>
  <si>
    <t xml:space="preserve">24.852</t>
  </si>
  <si>
    <t xml:space="preserve">24.758</t>
  </si>
  <si>
    <t xml:space="preserve">21.726</t>
  </si>
  <si>
    <t xml:space="preserve">22.179</t>
  </si>
  <si>
    <t xml:space="preserve">25.791</t>
  </si>
  <si>
    <t xml:space="preserve">20.286</t>
  </si>
  <si>
    <t xml:space="preserve">23.346</t>
  </si>
  <si>
    <t xml:space="preserve">23.833</t>
  </si>
  <si>
    <t xml:space="preserve">11: Fp1 (uncorrelated), F7 (uncorrelated), F3 (uncorrelated), Fz (uncorrelated), FC1 (uncorrelated), AF7 (uncorrelated), AF3 (uncorrelated), AF4 (uncorrelated), AF8 (uncorrelated), F5 (uncorrelated), F1 (uncorrelated)</t>
  </si>
  <si>
    <t xml:space="preserve">-0.157</t>
  </si>
  <si>
    <t xml:space="preserve">1.025</t>
  </si>
  <si>
    <t xml:space="preserve">2.156</t>
  </si>
  <si>
    <t xml:space="preserve">0.895</t>
  </si>
  <si>
    <t xml:space="preserve">15: Fp1 (uncorrelated), Fp2 (uncorrelated), F3 (uncorrelated), Fz (uncorrelated), F4 (uncorrelated), FC2 (uncorrelated), AF7 (uncorrelated), AF3 (uncorrelated), AF4 (uncorrelated), AF8 (uncorrelated), F5 (uncorrelated), F1 (uncorrelated), F2 (uncorrelated), F6 (uncorrelated), FC4 (uncorrelated)</t>
  </si>
  <si>
    <t xml:space="preserve">11: Fp1 (uncorrelated), Fp2 (uncorrelated), Fz (uncorrelated), F4 (uncorrelated), FC2 (uncorrelated), AF7 (uncorrelated), AF3 (uncorrelated), AF4 (uncorrelated), AF8 (uncorrelated), F1 (uncorrelated), F2 (uncorrelated)</t>
  </si>
  <si>
    <t xml:space="preserve">9: Fz (uncorrelated), F4 (uncorrelated), FC1 (uncorrelated), FC2 (uncorrelated), AF3 (uncorrelated), F1 (uncorrelated), F2 (uncorrelated), F6 (uncorrelated), FC4 (uncorrelated)</t>
  </si>
  <si>
    <t xml:space="preserve">10: Fp1 (uncorrelated), Fp2 (uncorrelated), Fz (uncorrelated), FC2 (uncorrelated), AF7 (uncorrelated), AF3 (uncorrelated), AF4 (uncorrelated), AF8 (uncorrelated), F1 (uncorrelated), F2 (uncorrelated)</t>
  </si>
  <si>
    <t xml:space="preserve">9: F3 (uncorrelated), Fz (uncorrelated), F4 (uncorrelated), FC2 (uncorrelated), F5 (uncorrelated), F1 (uncorrelated), F2 (uncorrelated), F6 (uncorrelated), FC4 (uncorrelated)</t>
  </si>
  <si>
    <t xml:space="preserve">-0.915</t>
  </si>
  <si>
    <t xml:space="preserve">0.748</t>
  </si>
  <si>
    <t xml:space="preserve">0.885</t>
  </si>
  <si>
    <t xml:space="preserve">27.917</t>
  </si>
  <si>
    <t xml:space="preserve">-0.206</t>
  </si>
  <si>
    <t xml:space="preserve">0.346</t>
  </si>
  <si>
    <t xml:space="preserve">25.169</t>
  </si>
  <si>
    <t xml:space="preserve">0.17</t>
  </si>
  <si>
    <t xml:space="preserve">0.87</t>
  </si>
  <si>
    <t xml:space="preserve">23.606</t>
  </si>
  <si>
    <t xml:space="preserve">22.71</t>
  </si>
  <si>
    <t xml:space="preserve">2.554</t>
  </si>
  <si>
    <t xml:space="preserve">1.158</t>
  </si>
  <si>
    <t xml:space="preserve">20.698</t>
  </si>
  <si>
    <t xml:space="preserve">10: Fp2 (uncorrelated), F7 (uncorrelated), F3 (uncorrelated), Fz (uncorrelated), AF7 (uncorrelated), AF3 (uncorrelated), AF4 (uncorrelated), F5 (uncorrelated), F1 (uncorrelated), F2 (uncorrelated)</t>
  </si>
  <si>
    <t xml:space="preserve">1.085</t>
  </si>
  <si>
    <t xml:space="preserve">261.0</t>
  </si>
  <si>
    <t xml:space="preserve">20.531</t>
  </si>
  <si>
    <t xml:space="preserve">22.904</t>
  </si>
  <si>
    <t xml:space="preserve">9: Fp1 (uncorrelated), Fp2 (uncorrelated), Fz (uncorrelated), F4 (uncorrelated), FC2 (uncorrelated), AF3 (uncorrelated), AF4 (uncorrelated), F1 (uncorrelated), F2 (uncorrelated)</t>
  </si>
  <si>
    <t xml:space="preserve">1.063</t>
  </si>
  <si>
    <t xml:space="preserve">7: F3 (uncorrelated), F4 (uncorrelated), AF7 (uncorrelated), AF3 (uncorrelated), AF8 (uncorrelated), F1 (uncorrelated), F6 (uncorrelated)</t>
  </si>
  <si>
    <t xml:space="preserve">1.421</t>
  </si>
  <si>
    <t xml:space="preserve">9: F3 (uncorrelated), Fz (uncorrelated), F4 (uncorrelated), FC1 (uncorrelated), FC6 (uncorrelated), AF4 (uncorrelated), F1 (uncorrelated), F2 (uncorrelated), FC3 (uncorrelated)</t>
  </si>
  <si>
    <t xml:space="preserve">9: Fp1 (noisy), F7 (uncorrelated), FC1 (uncorrelated), FC2 (uncorrelated), FC6 (uncorrelated), AF7 (noisy), FT9 (uncorrelated), FT7 (uncorrelated), FC3 (uncorrelated)</t>
  </si>
  <si>
    <t xml:space="preserve">27.407</t>
  </si>
  <si>
    <t xml:space="preserve">26.239</t>
  </si>
  <si>
    <t xml:space="preserve">8: F3 (uncorrelated), F4 (uncorrelated), FC2 (uncorrelated), FC6 (uncorrelated), F5 (uncorrelated), F2 (uncorrelated), F6 (uncorrelated), FC4 (uncorrelated)</t>
  </si>
  <si>
    <t xml:space="preserve">21.302</t>
  </si>
  <si>
    <t xml:space="preserve">28.603</t>
  </si>
  <si>
    <t xml:space="preserve">22.409</t>
  </si>
  <si>
    <t xml:space="preserve">7: F3 (uncorrelated), Fz (uncorrelated), FC1 (uncorrelated), AF7 (clipped), F5 (uncorrelated), F1 (uncorrelated), F2 (uncorrelated)</t>
  </si>
  <si>
    <t xml:space="preserve">-0.231</t>
  </si>
  <si>
    <t xml:space="preserve">25.738</t>
  </si>
  <si>
    <t xml:space="preserve">0.397</t>
  </si>
  <si>
    <t xml:space="preserve">21.353</t>
  </si>
  <si>
    <t xml:space="preserve">2.367</t>
  </si>
  <si>
    <t xml:space="preserve">0.99</t>
  </si>
  <si>
    <t xml:space="preserve">24.31</t>
  </si>
  <si>
    <t xml:space="preserve">7: F7 (uncorrelated), F4 (uncorrelated), F8 (uncorrelated), AF8 (uncorrelated), F5 (uncorrelated), F6 (uncorrelated), FC4 (uncorrelated)</t>
  </si>
  <si>
    <t xml:space="preserve">2.03</t>
  </si>
  <si>
    <t xml:space="preserve">0.119</t>
  </si>
  <si>
    <t xml:space="preserve">7: F7 (uncorrelated), FC5 (uncorrelated), FC1 (uncorrelated), FC2 (uncorrelated), Cz (uncorrelated), F5 (uncorrelated), FC3 (uncorrelated)</t>
  </si>
  <si>
    <t xml:space="preserve">21.62</t>
  </si>
  <si>
    <t xml:space="preserve">22.304</t>
  </si>
  <si>
    <t xml:space="preserve">0.741</t>
  </si>
  <si>
    <t xml:space="preserve">-0.762</t>
  </si>
  <si>
    <t xml:space="preserve">20.213</t>
  </si>
  <si>
    <t xml:space="preserve">1.482</t>
  </si>
  <si>
    <t xml:space="preserve">21.227</t>
  </si>
  <si>
    <t xml:space="preserve">25.019</t>
  </si>
  <si>
    <t xml:space="preserve">0.652</t>
  </si>
  <si>
    <t xml:space="preserve">20.368</t>
  </si>
  <si>
    <t xml:space="preserve">22.594</t>
  </si>
  <si>
    <t xml:space="preserve">24.234</t>
  </si>
  <si>
    <t xml:space="preserve">23.576</t>
  </si>
  <si>
    <t xml:space="preserve">1.677</t>
  </si>
  <si>
    <t xml:space="preserve">2.863</t>
  </si>
  <si>
    <t xml:space="preserve">21.434</t>
  </si>
  <si>
    <t xml:space="preserve">2.856</t>
  </si>
  <si>
    <t xml:space="preserve">-1.144</t>
  </si>
  <si>
    <t xml:space="preserve">21.803</t>
  </si>
  <si>
    <t xml:space="preserve">8: F7 (uncorrelated), F8 (uncorrelated), FC5 (uncorrelated), FC1 (uncorrelated), FC2 (uncorrelated), F5 (uncorrelated), F6 (uncorrelated), FC3 (uncorrelated)</t>
  </si>
  <si>
    <t xml:space="preserve">7: F7 (uncorrelated), F4 (uncorrelated), FC1 (uncorrelated), FC2 (uncorrelated), F5 (uncorrelated), F6 (uncorrelated), FC3 (uncorrelated)</t>
  </si>
  <si>
    <t xml:space="preserve">21.979</t>
  </si>
  <si>
    <t xml:space="preserve">20.513</t>
  </si>
  <si>
    <t xml:space="preserve">20.323</t>
  </si>
  <si>
    <t xml:space="preserve">0.948</t>
  </si>
  <si>
    <t xml:space="preserve">0.169</t>
  </si>
  <si>
    <t xml:space="preserve">0.293</t>
  </si>
  <si>
    <t xml:space="preserve">-1.117</t>
  </si>
  <si>
    <t xml:space="preserve">0.019</t>
  </si>
  <si>
    <t xml:space="preserve">20.303</t>
  </si>
  <si>
    <t xml:space="preserve">-0.575</t>
  </si>
  <si>
    <t xml:space="preserve">0.429</t>
  </si>
  <si>
    <t xml:space="preserve">21.755</t>
  </si>
  <si>
    <t xml:space="preserve">23.746</t>
  </si>
  <si>
    <t xml:space="preserve">21.627</t>
  </si>
  <si>
    <t xml:space="preserve">21.052</t>
  </si>
  <si>
    <t xml:space="preserve">24.218</t>
  </si>
  <si>
    <t xml:space="preserve">20.131</t>
  </si>
  <si>
    <t xml:space="preserve">25.209</t>
  </si>
  <si>
    <t xml:space="preserve">28.492</t>
  </si>
  <si>
    <t xml:space="preserve">7: F3 (uncorrelated), F4 (uncorrelated), FC1 (uncorrelated), FC2 (uncorrelated), AF3 (uncorrelated), F1 (uncorrelated), F6 (uncorrelated)</t>
  </si>
  <si>
    <t xml:space="preserve">1.266</t>
  </si>
  <si>
    <t xml:space="preserve">20.258</t>
  </si>
  <si>
    <t xml:space="preserve">22.42</t>
  </si>
  <si>
    <t xml:space="preserve">21.041</t>
  </si>
  <si>
    <t xml:space="preserve">23.408</t>
  </si>
  <si>
    <t xml:space="preserve">0.934</t>
  </si>
  <si>
    <t xml:space="preserve">21.261</t>
  </si>
  <si>
    <t xml:space="preserve">-1.275</t>
  </si>
  <si>
    <t xml:space="preserve">-3.359</t>
  </si>
  <si>
    <t xml:space="preserve">0.969</t>
  </si>
  <si>
    <t xml:space="preserve">27.642</t>
  </si>
  <si>
    <t xml:space="preserve">-0.933</t>
  </si>
  <si>
    <t xml:space="preserve">7: F7 (uncorrelated), F3 (uncorrelated), F4 (uncorrelated), FC1 (uncorrelated), AF8 (uncorrelated), F5 (uncorrelated), F1 (uncorrelated)</t>
  </si>
  <si>
    <t xml:space="preserve">22.19</t>
  </si>
  <si>
    <t xml:space="preserve">23.34</t>
  </si>
  <si>
    <t xml:space="preserve">22.164</t>
  </si>
  <si>
    <t xml:space="preserve">22.452</t>
  </si>
  <si>
    <t xml:space="preserve">21.687</t>
  </si>
  <si>
    <t xml:space="preserve">22.533</t>
  </si>
  <si>
    <t xml:space="preserve">23.384</t>
  </si>
  <si>
    <t xml:space="preserve">-0.754</t>
  </si>
  <si>
    <t xml:space="preserve">1.366</t>
  </si>
  <si>
    <t xml:space="preserve">0.403</t>
  </si>
  <si>
    <t xml:space="preserve">7: F7 (uncorrelated), F3 (uncorrelated), F4 (uncorrelated), FC1 (uncorrelated), FC2 (uncorrelated), F5 (uncorrelated), F6 (uncorrelated)</t>
  </si>
  <si>
    <t xml:space="preserve">20.69</t>
  </si>
  <si>
    <t xml:space="preserve">-0.094</t>
  </si>
  <si>
    <t xml:space="preserve">21.156</t>
  </si>
  <si>
    <t xml:space="preserve">20.465</t>
  </si>
  <si>
    <t xml:space="preserve">24.507</t>
  </si>
  <si>
    <t xml:space="preserve">22.515</t>
  </si>
  <si>
    <t xml:space="preserve">23.826</t>
  </si>
  <si>
    <t xml:space="preserve">249.0</t>
  </si>
  <si>
    <t xml:space="preserve">27.384</t>
  </si>
  <si>
    <t xml:space="preserve">24.214</t>
  </si>
  <si>
    <t xml:space="preserve">7: F4 (uncorrelated), FC1 (uncorrelated), AF4 (clipped), F5 (uncorrelated), F2 (uncorrelated), F6 (uncorrelated), FC3 (uncorrelated)</t>
  </si>
  <si>
    <t xml:space="preserve">24.652</t>
  </si>
  <si>
    <t xml:space="preserve">0.873</t>
  </si>
  <si>
    <t xml:space="preserve">0.233</t>
  </si>
  <si>
    <t xml:space="preserve">21.974</t>
  </si>
  <si>
    <t xml:space="preserve">8: Fp1 (uncorrelated), Fz (uncorrelated), F4 (uncorrelated), AF3 (uncorrelated), AF4 (uncorrelated), AF8 (uncorrelated), F1 (uncorrelated), F2 (uncorrelated)</t>
  </si>
  <si>
    <t xml:space="preserve">-1.123</t>
  </si>
  <si>
    <t xml:space="preserve">0.75</t>
  </si>
  <si>
    <t xml:space="preserve">2.663</t>
  </si>
  <si>
    <t xml:space="preserve">28.045</t>
  </si>
  <si>
    <t xml:space="preserve">1.256</t>
  </si>
  <si>
    <t xml:space="preserve">25.946</t>
  </si>
  <si>
    <t xml:space="preserve">0.122</t>
  </si>
  <si>
    <t xml:space="preserve">26.195</t>
  </si>
  <si>
    <t xml:space="preserve">9: F3 (uncorrelated), Fz (uncorrelated), F4 (uncorrelated), AF7 (uncorrelated), AF3 (uncorrelated), AF4 (uncorrelated), AF8 (uncorrelated), F1 (uncorrelated), F2 (uncorrelated)</t>
  </si>
  <si>
    <t xml:space="preserve">-0.248</t>
  </si>
  <si>
    <t xml:space="preserve">1.226</t>
  </si>
  <si>
    <t xml:space="preserve">0.624</t>
  </si>
  <si>
    <t xml:space="preserve">1.392</t>
  </si>
  <si>
    <t xml:space="preserve">-0.428</t>
  </si>
  <si>
    <t xml:space="preserve">24.516</t>
  </si>
  <si>
    <t xml:space="preserve">2.216</t>
  </si>
  <si>
    <t xml:space="preserve">0.092</t>
  </si>
  <si>
    <t xml:space="preserve">23.403</t>
  </si>
  <si>
    <t xml:space="preserve">20.748</t>
  </si>
  <si>
    <t xml:space="preserve">0.378</t>
  </si>
  <si>
    <t xml:space="preserve">21.132</t>
  </si>
  <si>
    <t xml:space="preserve">2.009</t>
  </si>
  <si>
    <t xml:space="preserve">21.479</t>
  </si>
  <si>
    <t xml:space="preserve">23.064</t>
  </si>
  <si>
    <t xml:space="preserve">21.941</t>
  </si>
  <si>
    <t xml:space="preserve">2.931</t>
  </si>
  <si>
    <t xml:space="preserve">8: F3 (uncorrelated), Fz (uncorrelated), F4 (uncorrelated), AF4 (uncorrelated), AF8 (uncorrelated), F5 (uncorrelated), F1 (uncorrelated), F2 (uncorrelated)</t>
  </si>
  <si>
    <t xml:space="preserve">13: Fp1 (uncorrelated), Fp2 (uncorrelated), F3 (uncorrelated), F4 (uncorrelated), FC1 (uncorrelated), AF7 (uncorrelated), AF3 (uncorrelated), AF4 (uncorrelated), AF8 (uncorrelated), F5 (uncorrelated), F1 (uncorrelated), F2 (uncorrelated), F6 (uncorrelated)</t>
  </si>
  <si>
    <t xml:space="preserve">13: Fp1 (uncorrelated), Fp2 (uncorrelated), Fz (uncorrelated), F4 (uncorrelated), F8 (uncorrelated), FC2 (uncorrelated), AF7 (uncorrelated), AF3 (uncorrelated), AF4 (uncorrelated), AF8 (uncorrelated), F1 (uncorrelated), F2 (uncorrelated), F6 (uncorrelated)</t>
  </si>
  <si>
    <t xml:space="preserve">23.081</t>
  </si>
  <si>
    <t xml:space="preserve">23.7</t>
  </si>
  <si>
    <t xml:space="preserve">21.538</t>
  </si>
  <si>
    <t xml:space="preserve">23.532</t>
  </si>
  <si>
    <t xml:space="preserve">2.796</t>
  </si>
  <si>
    <t xml:space="preserve">20.58</t>
  </si>
  <si>
    <t xml:space="preserve">21.505</t>
  </si>
  <si>
    <t xml:space="preserve">9: Fp1 (uncorrelated), Fp2 (uncorrelated), F3 (uncorrelated), Fz (uncorrelated), F4 (uncorrelated), FC2 (uncorrelated), F1 (uncorrelated), F2 (uncorrelated), FC4 (uncorrelated)</t>
  </si>
  <si>
    <t xml:space="preserve">7: F8 (uncorrelated), FC1 (uncorrelated), FC2 (uncorrelated), F5 (uncorrelated), F6 (uncorrelated), FC3 (uncorrelated), FC4 (uncorrelated)</t>
  </si>
  <si>
    <t xml:space="preserve">7: F7 (uncorrelated), FC1 (uncorrelated), FC2 (uncorrelated), F5 (uncorrelated), F6 (uncorrelated), FC3 (uncorrelated), FC4 (uncorrelated)</t>
  </si>
  <si>
    <t xml:space="preserve">0.666</t>
  </si>
  <si>
    <t xml:space="preserve">-0.844</t>
  </si>
  <si>
    <t xml:space="preserve">23.314</t>
  </si>
  <si>
    <t xml:space="preserve">0.997</t>
  </si>
  <si>
    <t xml:space="preserve">0.827</t>
  </si>
  <si>
    <t xml:space="preserve">7: Fz (uncorrelated), FC1 (uncorrelated), FC2 (uncorrelated), AF4 (uncorrelated), F1 (uncorrelated), F2 (uncorrelated), F6 (uncorrelated)</t>
  </si>
  <si>
    <t xml:space="preserve">22.097</t>
  </si>
  <si>
    <t xml:space="preserve">2.024</t>
  </si>
  <si>
    <t xml:space="preserve">2.308</t>
  </si>
  <si>
    <t xml:space="preserve">21.75</t>
  </si>
  <si>
    <t xml:space="preserve">-1.104</t>
  </si>
  <si>
    <t xml:space="preserve">11: Fp1 (uncorrelated), Fp2 (uncorrelated), F3 (uncorrelated), Fz (uncorrelated), F4 (uncorrelated), Cz (uncorrelated), AF3 (uncorrelated), AF4 (uncorrelated), AF8 (uncorrelated), F1 (uncorrelated), F2 (uncorrelated)</t>
  </si>
  <si>
    <t xml:space="preserve">0.604</t>
  </si>
  <si>
    <t xml:space="preserve">24.91</t>
  </si>
  <si>
    <t xml:space="preserve">0.277</t>
  </si>
  <si>
    <t xml:space="preserve">21.209</t>
  </si>
  <si>
    <t xml:space="preserve">30.029</t>
  </si>
  <si>
    <t xml:space="preserve">31.024</t>
  </si>
  <si>
    <t xml:space="preserve">0.865</t>
  </si>
  <si>
    <t xml:space="preserve">29.806</t>
  </si>
  <si>
    <t xml:space="preserve">27.855</t>
  </si>
  <si>
    <t xml:space="preserve">277.0</t>
  </si>
  <si>
    <t xml:space="preserve">21.714</t>
  </si>
  <si>
    <t xml:space="preserve">0.176</t>
  </si>
  <si>
    <t xml:space="preserve">1.79</t>
  </si>
  <si>
    <t xml:space="preserve">0.295</t>
  </si>
  <si>
    <t xml:space="preserve">-1.211</t>
  </si>
  <si>
    <t xml:space="preserve">1.202</t>
  </si>
  <si>
    <t xml:space="preserve">1.386</t>
  </si>
  <si>
    <t xml:space="preserve">7: Fp2 (uncorrelated), Fz (uncorrelated), F4 (uncorrelated), AF3 (uncorrelated), AF4 (uncorrelated), F1 (uncorrelated), F2 (uncorrelated)</t>
  </si>
  <si>
    <t xml:space="preserve">11: Fp1 (uncorrelated), Fp2 (uncorrelated), F3 (uncorrelated), F4 (uncorrelated), AF7 (uncorrelated), AF3 (uncorrelated), AF4 (uncorrelated), AF8 (uncorrelated), F5 (uncorrelated), F1 (uncorrelated), F6 (uncorrelated)</t>
  </si>
  <si>
    <t xml:space="preserve">1.321</t>
  </si>
  <si>
    <t xml:space="preserve">-1.427</t>
  </si>
  <si>
    <t xml:space="preserve">21.617</t>
  </si>
  <si>
    <t xml:space="preserve">-0.83</t>
  </si>
  <si>
    <t xml:space="preserve">0.079</t>
  </si>
  <si>
    <t xml:space="preserve">21.854</t>
  </si>
  <si>
    <t xml:space="preserve">-1.584</t>
  </si>
  <si>
    <t xml:space="preserve">20.567</t>
  </si>
  <si>
    <t xml:space="preserve">-0.748</t>
  </si>
  <si>
    <t xml:space="preserve">26.381</t>
  </si>
  <si>
    <t xml:space="preserve">24.786</t>
  </si>
  <si>
    <t xml:space="preserve">2.817</t>
  </si>
  <si>
    <t xml:space="preserve">-1.308</t>
  </si>
  <si>
    <t xml:space="preserve">0.257</t>
  </si>
  <si>
    <t xml:space="preserve">0.078</t>
  </si>
  <si>
    <t xml:space="preserve">28.58</t>
  </si>
  <si>
    <t xml:space="preserve">8: Fp2 (uncorrelated), Fz (uncorrelated), F4 (uncorrelated), AF4 (uncorrelated), AF8 (uncorrelated), F1 (uncorrelated), F2 (uncorrelated), F6 (uncorrelated)</t>
  </si>
  <si>
    <t xml:space="preserve">23.085</t>
  </si>
  <si>
    <t xml:space="preserve">21.443</t>
  </si>
  <si>
    <t xml:space="preserve">20.66</t>
  </si>
  <si>
    <t xml:space="preserve">30.662</t>
  </si>
  <si>
    <t xml:space="preserve">23.59</t>
  </si>
  <si>
    <t xml:space="preserve">30.608</t>
  </si>
  <si>
    <t xml:space="preserve">28.238</t>
  </si>
  <si>
    <t xml:space="preserve">9: F3 (uncorrelated), F4 (uncorrelated), F8 (uncorrelated), FC1 (uncorrelated), AF7 (noisy+uncorrelated), AF8 (uncorrelated), F5 (uncorrelated), F2 (uncorrelated), F6 (uncorrelated)</t>
  </si>
  <si>
    <t xml:space="preserve">21.967</t>
  </si>
  <si>
    <t xml:space="preserve">11: Fp1 (uncorrelated), Fp2 (uncorrelated), F3 (uncorrelated), Fz (uncorrelated), F4 (uncorrelated), FC2 (uncorrelated), AF4 (uncorrelated), AF8 (uncorrelated), F1 (uncorrelated), F2 (uncorrelated), F6 (uncorrelated)</t>
  </si>
  <si>
    <t xml:space="preserve">254.0</t>
  </si>
  <si>
    <t xml:space="preserve">0.641</t>
  </si>
  <si>
    <t xml:space="preserve">0.387</t>
  </si>
  <si>
    <t xml:space="preserve">1.139</t>
  </si>
  <si>
    <t xml:space="preserve">-0.439</t>
  </si>
  <si>
    <t xml:space="preserve">14: Fp1 (uncorrelated), Fp2 (uncorrelated), F3 (uncorrelated), Fz (uncorrelated), F4 (uncorrelated), FC1 (uncorrelated), AF7 (uncorrelated), AF3 (uncorrelated), AF4 (uncorrelated), AF8 (uncorrelated), F1 (uncorrelated), F2 (uncorrelated), FC3 (uncorrelated), FC4 (uncorrelated)</t>
  </si>
  <si>
    <t xml:space="preserve">10: Fp1 (uncorrelated), Fp2 (uncorrelated), F3 (uncorrelated), F4 (uncorrelated), FC2 (uncorrelated), AF7 (uncorrelated), AF3 (uncorrelated), AF8 (uncorrelated), F1 (uncorrelated), FC4 (uncorrelated)</t>
  </si>
  <si>
    <t xml:space="preserve">2.405</t>
  </si>
  <si>
    <t xml:space="preserve">1.416</t>
  </si>
  <si>
    <t xml:space="preserve">247.0</t>
  </si>
  <si>
    <t xml:space="preserve">20.164</t>
  </si>
  <si>
    <t xml:space="preserve">25.334</t>
  </si>
  <si>
    <t xml:space="preserve">20.716</t>
  </si>
  <si>
    <t xml:space="preserve">7: F3 (uncorrelated), F4 (uncorrelated), AF7 (uncorrelated), AF8 (uncorrelated), F5 (uncorrelated), F1 (uncorrelated), F2 (uncorrelated)</t>
  </si>
  <si>
    <t xml:space="preserve">10: F3 (uncorrelated), F4 (uncorrelated), F8 (uncorrelated), FC5 (uncorrelated), FC1 (uncorrelated), AF3 (uncorrelated), AF4 (uncorrelated), F5 (uncorrelated), F2 (uncorrelated), FC3 (uncorrelated)</t>
  </si>
  <si>
    <t xml:space="preserve">22.235</t>
  </si>
  <si>
    <t xml:space="preserve">-0.879</t>
  </si>
  <si>
    <t xml:space="preserve">0.483</t>
  </si>
  <si>
    <t xml:space="preserve">29.07</t>
  </si>
  <si>
    <t xml:space="preserve">2.419</t>
  </si>
  <si>
    <t xml:space="preserve">0.196</t>
  </si>
  <si>
    <t xml:space="preserve">21.773</t>
  </si>
  <si>
    <t xml:space="preserve">25.718</t>
  </si>
  <si>
    <t xml:space="preserve">1.831</t>
  </si>
  <si>
    <t xml:space="preserve">0.113</t>
  </si>
  <si>
    <t xml:space="preserve">24.257</t>
  </si>
  <si>
    <t xml:space="preserve">-1.029</t>
  </si>
  <si>
    <t xml:space="preserve">23.224</t>
  </si>
  <si>
    <t xml:space="preserve">9: F7 (uncorrelated), F3 (uncorrelated), F4 (uncorrelated), F8 (uncorrelated), AF7 (uncorrelated), F5 (uncorrelated), F1 (uncorrelated), F2 (uncorrelated), F6 (uncorrelated)</t>
  </si>
  <si>
    <t xml:space="preserve">0.3</t>
  </si>
  <si>
    <t xml:space="preserve">12: Fp2 (uncorrelated), F7 (uncorrelated), F3 (uncorrelated), F4 (uncorrelated), FC1 (uncorrelated), AF7 (uncorrelated), AF3 (uncorrelated), AF4 (uncorrelated), AF8 (uncorrelated), F5 (uncorrelated), F1 (uncorrelated), F2 (uncorrelated)</t>
  </si>
  <si>
    <t xml:space="preserve">10: F7 (uncorrelated), F3 (uncorrelated), F4 (uncorrelated), F8 (uncorrelated), FC1 (uncorrelated), AF7 (uncorrelated), AF3 (uncorrelated), AF8 (uncorrelated), F5 (uncorrelated), F6 (uncorrelated)</t>
  </si>
  <si>
    <t xml:space="preserve">25.098</t>
  </si>
  <si>
    <t xml:space="preserve">8: Fp1 (uncorrelated), Fz (uncorrelated), AF7 (uncorrelated), AF3 (uncorrelated), AF4 (uncorrelated), AF8 (uncorrelated), F1 (uncorrelated), F2 (uncorrelated)</t>
  </si>
  <si>
    <t xml:space="preserve">7: Fp1 (uncorrelated), Fp2 (uncorrelated), Fz (uncorrelated), AF7 (uncorrelated), AF3 (uncorrelated), AF4 (uncorrelated), F1 (uncorrelated)</t>
  </si>
  <si>
    <t xml:space="preserve">20.123</t>
  </si>
  <si>
    <t xml:space="preserve">20.073</t>
  </si>
  <si>
    <t xml:space="preserve">-0.239</t>
  </si>
  <si>
    <t xml:space="preserve">11: F7 (uncorrelated), F3 (uncorrelated), F4 (uncorrelated), AF7 (uncorrelated), AF3 (uncorrelated), AF4 (uncorrelated), AF8 (uncorrelated), F5 (uncorrelated), F1 (uncorrelated), F2 (uncorrelated), F6 (uncorrelated)</t>
  </si>
  <si>
    <t xml:space="preserve">21.494</t>
  </si>
  <si>
    <t xml:space="preserve">30.804</t>
  </si>
  <si>
    <t xml:space="preserve">24.07</t>
  </si>
  <si>
    <t xml:space="preserve">1.014</t>
  </si>
  <si>
    <t xml:space="preserve">20.761</t>
  </si>
  <si>
    <t xml:space="preserve">20.863</t>
  </si>
  <si>
    <t xml:space="preserve">item</t>
  </si>
  <si>
    <t xml:space="preserve">meaning</t>
  </si>
  <si>
    <t xml:space="preserve">About</t>
  </si>
  <si>
    <t xml:space="preserve">Overview of all subjects found in the results folder. QC logic screening-2.2 (fingerprint 40d2ea6566ac1ac5), written 2026-10-21T17:46:59+00:00</t>
  </si>
  <si>
    <t xml:space="preserve">Sheets</t>
  </si>
  <si>
    <t xml:space="preserve">Subjects = one row per subject | Recordings = one row per recording | Issues = every FAIL / FLAG / MISSING finding and PASS note</t>
  </si>
  <si>
    <t xml:space="preserve">COMPLETED = analysed | REJECTED = age / late triggers, nothing downloaded | NO_DATA = no recording could be analysed | ERROR = unexpected problem (data kept) | INTERRUPTED = stopped with Ctrl+C</t>
  </si>
  <si>
    <t xml:space="preserve">PASS = nothing to note | FLAG = small problem, kept | FAIL = clear problem | MISSING = file not available</t>
  </si>
  <si>
    <t xml:space="preserve">label (recording)</t>
  </si>
  <si>
    <t xml:space="preserve">USABLE | USABLE_WITH_FLAGS | USABLE_NEEDS_INTERPOLATION (1-6 bad channels, at most one critical) | REJECT (= FAIL)</t>
  </si>
  <si>
    <t xml:space="preserve">label (subject)</t>
  </si>
  <si>
    <t xml:space="preserve">worst label of its recordings, or PARTIALLY_USABLE when some recordings are usable and others rejected</t>
  </si>
  <si>
    <t xml:space="preserve">CRITICAL_CHANNELS_BAD / TOO_MANY_BAD_CHANNELS / DEAD_SPECTRUM / LINE_NOISE_SATURATION = FAIL | HIGH_LINE_NOISE, LINE_NOISE, LOW_ALPHA_PROMINENCE, WEAK_ALPHA_BLOCKING, NO_ALPHA_BLOCKING, CRITICAL_CHANNEL_BAD, LOW_GLOBAL_SPATIAL_CORRELATION, FROZEN_SEGMENT = FLAG | USABLE_NEEDS_INTERPOLATION = PASS note</t>
  </si>
  <si>
    <t xml:space="preserve">critical channels</t>
  </si>
  <si>
    <t xml:space="preserve">Cz, Fz, Pz, O1, O2 (2 or more bad = FAIL; more than 6 bad channels = FAIL)</t>
  </si>
  <si>
    <t xml:space="preserve">spatial correlation</t>
  </si>
  <si>
    <t xml:space="preserve">|r| with the median of all channels below 0.2 (0.18 for O1, O2, Oz) = uncorrelated / noisy channel</t>
  </si>
  <si>
    <t xml:space="preserve">baseline correction</t>
  </si>
  <si>
    <t xml:space="preserve">highpass 0.5 Hz, in memory only, before the voltage statistics</t>
  </si>
  <si>
    <t xml:space="preserve">line noise</t>
  </si>
  <si>
    <t xml:space="preserve">&gt; 20 dB = FLAG, &gt; 30 dB = FLAG HIGH_LINE_NOISE (FAIL only with clipping of 50% of the channels)</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</si>
</sst>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00"/>
    <numFmt numFmtId="169"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3864"/>
      <name val="Calibri"/>
      <family val="0"/>
      <charset val="1"/>
    </font>
    <font>
      <i val="true"/>
      <sz val="10"/>
      <color rgb="FF595959"/>
      <name val="Calibri"/>
      <family val="0"/>
      <charset val="1"/>
    </font>
    <font>
      <b val="true"/>
      <sz val="11"/>
      <color rgb="FFFFFFFF"/>
      <name val="Calibri"/>
      <family val="0"/>
      <charset val="1"/>
    </font>
    <font>
      <sz val="11"/>
      <color rgb="FF000000"/>
      <name val="Calibri"/>
      <family val="0"/>
      <charset val="1"/>
    </font>
    <font>
      <sz val="11"/>
      <color rgb="FF0000FF"/>
      <name val="Calibri"/>
      <family val="0"/>
      <charset val="1"/>
    </font>
    <font>
      <b val="true"/>
      <sz val="11"/>
      <color rgb="FF000000"/>
      <name val="Calibri"/>
      <family val="0"/>
      <charset val="1"/>
    </font>
    <font>
      <b val="true"/>
      <sz val="18"/>
      <color rgb="FF000000"/>
      <name val="Calibri"/>
      <family val="2"/>
    </font>
    <font>
      <sz val="10"/>
      <color rgb="FF000000"/>
      <name val="Calibri"/>
      <family val="2"/>
    </font>
    <font>
      <b val="true"/>
      <sz val="11"/>
      <color rgb="FFFFFFFF"/>
      <name val="Cambria"/>
      <family val="0"/>
      <charset val="1"/>
    </font>
    <font>
      <sz val="11"/>
      <name val="Calibri"/>
      <family val="0"/>
      <charset val="1"/>
    </font>
    <font>
      <b val="true"/>
      <sz val="11"/>
      <name val="Calibri"/>
      <family val="0"/>
      <charset val="1"/>
    </font>
    <font>
      <b val="true"/>
      <sz val="11"/>
      <color rgb="FF1F3864"/>
      <name val="Calibri"/>
      <family val="0"/>
      <charset val="1"/>
    </font>
    <font>
      <i val="true"/>
      <sz val="11"/>
      <color rgb="FF404040"/>
      <name val="Calibri"/>
      <family val="0"/>
      <charset val="1"/>
    </font>
  </fonts>
  <fills count="7">
    <fill>
      <patternFill patternType="none"/>
    </fill>
    <fill>
      <patternFill patternType="gray125"/>
    </fill>
    <fill>
      <patternFill patternType="solid">
        <fgColor rgb="FF1F3864"/>
        <bgColor rgb="FF404040"/>
      </patternFill>
    </fill>
    <fill>
      <patternFill patternType="solid">
        <fgColor rgb="FFC6EFCE"/>
        <bgColor rgb="FFDDEBF7"/>
      </patternFill>
    </fill>
    <fill>
      <patternFill patternType="solid">
        <fgColor rgb="FFFFC7CE"/>
        <bgColor rgb="FFD9D9D9"/>
      </patternFill>
    </fill>
    <fill>
      <patternFill patternType="solid">
        <fgColor rgb="FFFFEB9C"/>
        <bgColor rgb="FFFFFFCC"/>
      </patternFill>
    </fill>
    <fill>
      <patternFill patternType="solid">
        <fgColor rgb="FFDDEBF7"/>
        <bgColor rgb="FFD9D9D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6" fontId="9" fillId="0" borderId="1" xfId="0" applyFont="true" applyBorder="true" applyAlignment="true" applyProtection="false">
      <alignment horizontal="right"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1"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2" borderId="2" xfId="0" applyFont="true" applyBorder="true" applyAlignment="true" applyProtection="false">
      <alignment horizontal="general" vertical="center"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9" fontId="13" fillId="0" borderId="0" xfId="0" applyFont="true" applyBorder="false" applyAlignment="true" applyProtection="false">
      <alignment horizontal="center" vertical="bottom" textRotation="0" wrapText="false" indent="0" shrinkToFit="false"/>
      <protection locked="true" hidden="false"/>
    </xf>
    <xf numFmtId="168" fontId="13" fillId="0" borderId="0" xfId="0" applyFont="true" applyBorder="fals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31">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FFC7CE"/>
          <bgColor rgb="FF000000"/>
        </patternFill>
      </fill>
    </dxf>
    <dxf>
      <fill>
        <patternFill patternType="solid">
          <fgColor rgb="FFDDEBF7"/>
          <bgColor rgb="FF000000"/>
        </patternFill>
      </fill>
    </dxf>
    <dxf>
      <fill>
        <patternFill patternType="solid">
          <fgColor rgb="FF63BE7B"/>
          <bgColor rgb="FF000000"/>
        </patternFill>
      </fill>
    </dxf>
    <dxf>
      <fill>
        <patternFill patternType="solid">
          <fgColor rgb="FF65BF7C"/>
          <bgColor rgb="FF000000"/>
        </patternFill>
      </fill>
    </dxf>
    <dxf>
      <fill>
        <patternFill patternType="solid">
          <fgColor rgb="FF66BF7C"/>
          <bgColor rgb="FF000000"/>
        </patternFill>
      </fill>
    </dxf>
    <dxf>
      <fill>
        <patternFill patternType="solid">
          <fgColor rgb="FF67C07C"/>
          <bgColor rgb="FF000000"/>
        </patternFill>
      </fill>
    </dxf>
    <dxf>
      <fill>
        <patternFill patternType="solid">
          <fgColor rgb="FF68C07C"/>
          <bgColor rgb="FF000000"/>
        </patternFill>
      </fill>
    </dxf>
    <dxf>
      <fill>
        <patternFill patternType="solid">
          <fgColor rgb="FF69C07C"/>
          <bgColor rgb="FF000000"/>
        </patternFill>
      </fill>
    </dxf>
    <dxf>
      <fill>
        <patternFill patternType="solid">
          <fgColor rgb="FF6AC07C"/>
          <bgColor rgb="FF000000"/>
        </patternFill>
      </fill>
    </dxf>
    <dxf>
      <fill>
        <patternFill patternType="solid">
          <fgColor rgb="FF6BC17C"/>
          <bgColor rgb="FF000000"/>
        </patternFill>
      </fill>
    </dxf>
    <dxf>
      <fill>
        <patternFill patternType="solid">
          <fgColor rgb="FF6CC17C"/>
          <bgColor rgb="FF000000"/>
        </patternFill>
      </fill>
    </dxf>
    <dxf>
      <fill>
        <patternFill patternType="solid">
          <fgColor rgb="FF6DC17C"/>
          <bgColor rgb="FF000000"/>
        </patternFill>
      </fill>
    </dxf>
    <dxf>
      <fill>
        <patternFill patternType="solid">
          <fgColor rgb="FF6EC17C"/>
          <bgColor rgb="FF000000"/>
        </patternFill>
      </fill>
    </dxf>
    <dxf>
      <fill>
        <patternFill patternType="solid">
          <fgColor rgb="FF6EC27C"/>
          <bgColor rgb="FF000000"/>
        </patternFill>
      </fill>
    </dxf>
    <dxf>
      <fill>
        <patternFill patternType="solid">
          <fgColor rgb="FF6FC27C"/>
          <bgColor rgb="FF000000"/>
        </patternFill>
      </fill>
    </dxf>
    <dxf>
      <fill>
        <patternFill patternType="solid">
          <fgColor rgb="FF70C27C"/>
          <bgColor rgb="FF000000"/>
        </patternFill>
      </fill>
    </dxf>
    <dxf>
      <fill>
        <patternFill patternType="solid">
          <fgColor rgb="FF71C27C"/>
          <bgColor rgb="FF000000"/>
        </patternFill>
      </fill>
    </dxf>
    <dxf>
      <fill>
        <patternFill patternType="solid">
          <fgColor rgb="FF71C37C"/>
          <bgColor rgb="FF000000"/>
        </patternFill>
      </fill>
    </dxf>
    <dxf>
      <fill>
        <patternFill patternType="solid">
          <fgColor rgb="FF72C37C"/>
          <bgColor rgb="FF000000"/>
        </patternFill>
      </fill>
    </dxf>
    <dxf>
      <fill>
        <patternFill patternType="solid">
          <fgColor rgb="FF73C37C"/>
          <bgColor rgb="FF000000"/>
        </patternFill>
      </fill>
    </dxf>
    <dxf>
      <fill>
        <patternFill patternType="solid">
          <fgColor rgb="FF74C37C"/>
          <bgColor rgb="FF000000"/>
        </patternFill>
      </fill>
    </dxf>
    <dxf>
      <fill>
        <patternFill patternType="solid">
          <fgColor rgb="FF75C37C"/>
          <bgColor rgb="FF000000"/>
        </patternFill>
      </fill>
    </dxf>
    <dxf>
      <fill>
        <patternFill patternType="solid">
          <fgColor rgb="FF75C47D"/>
          <bgColor rgb="FF000000"/>
        </patternFill>
      </fill>
    </dxf>
    <dxf>
      <fill>
        <patternFill patternType="solid">
          <fgColor rgb="FF76C47D"/>
          <bgColor rgb="FF000000"/>
        </patternFill>
      </fill>
    </dxf>
    <dxf>
      <fill>
        <patternFill patternType="solid">
          <fgColor rgb="FF77C47D"/>
          <bgColor rgb="FF000000"/>
        </patternFill>
      </fill>
    </dxf>
    <dxf>
      <fill>
        <patternFill patternType="solid">
          <fgColor rgb="FF78C47D"/>
          <bgColor rgb="FF000000"/>
        </patternFill>
      </fill>
    </dxf>
    <dxf>
      <fill>
        <patternFill patternType="solid">
          <fgColor rgb="FF78C57D"/>
          <bgColor rgb="FF000000"/>
        </patternFill>
      </fill>
    </dxf>
    <dxf>
      <fill>
        <patternFill patternType="solid">
          <fgColor rgb="FF79C57D"/>
          <bgColor rgb="FF000000"/>
        </patternFill>
      </fill>
    </dxf>
    <dxf>
      <fill>
        <patternFill patternType="solid">
          <fgColor rgb="FF7AC57D"/>
          <bgColor rgb="FF000000"/>
        </patternFill>
      </fill>
    </dxf>
    <dxf>
      <fill>
        <patternFill patternType="solid">
          <fgColor rgb="FF7BC57D"/>
          <bgColor rgb="FF000000"/>
        </patternFill>
      </fill>
    </dxf>
    <dxf>
      <fill>
        <patternFill patternType="solid">
          <fgColor rgb="FF7CC57D"/>
          <bgColor rgb="FF000000"/>
        </patternFill>
      </fill>
    </dxf>
    <dxf>
      <fill>
        <patternFill patternType="solid">
          <fgColor rgb="FF7CC67D"/>
          <bgColor rgb="FF000000"/>
        </patternFill>
      </fill>
    </dxf>
    <dxf>
      <fill>
        <patternFill patternType="solid">
          <fgColor rgb="FF7DC67D"/>
          <bgColor rgb="FF000000"/>
        </patternFill>
      </fill>
    </dxf>
    <dxf>
      <fill>
        <patternFill patternType="solid">
          <fgColor rgb="FF7EC67D"/>
          <bgColor rgb="FF000000"/>
        </patternFill>
      </fill>
    </dxf>
    <dxf>
      <fill>
        <patternFill patternType="solid">
          <fgColor rgb="FF7FC67D"/>
          <bgColor rgb="FF000000"/>
        </patternFill>
      </fill>
    </dxf>
    <dxf>
      <fill>
        <patternFill patternType="solid">
          <fgColor rgb="FF7FC77D"/>
          <bgColor rgb="FF000000"/>
        </patternFill>
      </fill>
    </dxf>
    <dxf>
      <fill>
        <patternFill patternType="solid">
          <fgColor rgb="FF80C77D"/>
          <bgColor rgb="FF000000"/>
        </patternFill>
      </fill>
    </dxf>
    <dxf>
      <fill>
        <patternFill patternType="solid">
          <fgColor rgb="FF81C77D"/>
          <bgColor rgb="FF000000"/>
        </patternFill>
      </fill>
    </dxf>
    <dxf>
      <fill>
        <patternFill patternType="solid">
          <fgColor rgb="FF82C77D"/>
          <bgColor rgb="FF000000"/>
        </patternFill>
      </fill>
    </dxf>
    <dxf>
      <fill>
        <patternFill patternType="solid">
          <fgColor rgb="FF83C77D"/>
          <bgColor rgb="FF000000"/>
        </patternFill>
      </fill>
    </dxf>
    <dxf>
      <fill>
        <patternFill patternType="solid">
          <fgColor rgb="FF83C87D"/>
          <bgColor rgb="FF000000"/>
        </patternFill>
      </fill>
    </dxf>
    <dxf>
      <fill>
        <patternFill patternType="solid">
          <fgColor rgb="FF84C87D"/>
          <bgColor rgb="FF000000"/>
        </patternFill>
      </fill>
    </dxf>
    <dxf>
      <fill>
        <patternFill patternType="solid">
          <fgColor rgb="FF85C87D"/>
          <bgColor rgb="FF000000"/>
        </patternFill>
      </fill>
    </dxf>
    <dxf>
      <fill>
        <patternFill patternType="solid">
          <fgColor rgb="FF86C87D"/>
          <bgColor rgb="FF000000"/>
        </patternFill>
      </fill>
    </dxf>
    <dxf>
      <fill>
        <patternFill patternType="solid">
          <fgColor rgb="FF87C97E"/>
          <bgColor rgb="FF000000"/>
        </patternFill>
      </fill>
    </dxf>
    <dxf>
      <fill>
        <patternFill patternType="solid">
          <fgColor rgb="FF88C97E"/>
          <bgColor rgb="FF000000"/>
        </patternFill>
      </fill>
    </dxf>
    <dxf>
      <fill>
        <patternFill patternType="solid">
          <fgColor rgb="FF89C97E"/>
          <bgColor rgb="FF000000"/>
        </patternFill>
      </fill>
    </dxf>
    <dxf>
      <fill>
        <patternFill patternType="solid">
          <fgColor rgb="FF8AC97E"/>
          <bgColor rgb="FF000000"/>
        </patternFill>
      </fill>
    </dxf>
    <dxf>
      <fill>
        <patternFill patternType="solid">
          <fgColor rgb="FF8ACA7E"/>
          <bgColor rgb="FF000000"/>
        </patternFill>
      </fill>
    </dxf>
    <dxf>
      <fill>
        <patternFill patternType="solid">
          <fgColor rgb="FF8BCA7E"/>
          <bgColor rgb="FF000000"/>
        </patternFill>
      </fill>
    </dxf>
    <dxf>
      <fill>
        <patternFill patternType="solid">
          <fgColor rgb="FF8CCA7E"/>
          <bgColor rgb="FF000000"/>
        </patternFill>
      </fill>
    </dxf>
    <dxf>
      <fill>
        <patternFill patternType="solid">
          <fgColor rgb="FF8DCA7E"/>
          <bgColor rgb="FF000000"/>
        </patternFill>
      </fill>
    </dxf>
    <dxf>
      <fill>
        <patternFill patternType="solid">
          <fgColor rgb="FF8DCB7E"/>
          <bgColor rgb="FF000000"/>
        </patternFill>
      </fill>
    </dxf>
    <dxf>
      <fill>
        <patternFill patternType="solid">
          <fgColor rgb="FF8ECB7E"/>
          <bgColor rgb="FF000000"/>
        </patternFill>
      </fill>
    </dxf>
    <dxf>
      <fill>
        <patternFill patternType="solid">
          <fgColor rgb="FF8FCB7E"/>
          <bgColor rgb="FF000000"/>
        </patternFill>
      </fill>
    </dxf>
    <dxf>
      <fill>
        <patternFill patternType="solid">
          <fgColor rgb="FF90CB7E"/>
          <bgColor rgb="FF000000"/>
        </patternFill>
      </fill>
    </dxf>
    <dxf>
      <fill>
        <patternFill patternType="solid">
          <fgColor rgb="FF91CC7E"/>
          <bgColor rgb="FF000000"/>
        </patternFill>
      </fill>
    </dxf>
    <dxf>
      <fill>
        <patternFill patternType="solid">
          <fgColor rgb="FF92CC7E"/>
          <bgColor rgb="FF000000"/>
        </patternFill>
      </fill>
    </dxf>
    <dxf>
      <fill>
        <patternFill patternType="solid">
          <fgColor rgb="FF93CC7E"/>
          <bgColor rgb="FF000000"/>
        </patternFill>
      </fill>
    </dxf>
    <dxf>
      <fill>
        <patternFill patternType="solid">
          <fgColor rgb="FF94CC7E"/>
          <bgColor rgb="FF000000"/>
        </patternFill>
      </fill>
    </dxf>
    <dxf>
      <fill>
        <patternFill patternType="solid">
          <fgColor rgb="FF94CD7E"/>
          <bgColor rgb="FF000000"/>
        </patternFill>
      </fill>
    </dxf>
    <dxf>
      <fill>
        <patternFill patternType="solid">
          <fgColor rgb="FF95CD7E"/>
          <bgColor rgb="FF000000"/>
        </patternFill>
      </fill>
    </dxf>
    <dxf>
      <fill>
        <patternFill patternType="solid">
          <fgColor rgb="FF96CD7E"/>
          <bgColor rgb="FF000000"/>
        </patternFill>
      </fill>
    </dxf>
    <dxf>
      <fill>
        <patternFill patternType="solid">
          <fgColor rgb="FF97CD7E"/>
          <bgColor rgb="FF000000"/>
        </patternFill>
      </fill>
    </dxf>
    <dxf>
      <fill>
        <patternFill patternType="solid">
          <fgColor rgb="FF98CE7F"/>
          <bgColor rgb="FF000000"/>
        </patternFill>
      </fill>
    </dxf>
    <dxf>
      <fill>
        <patternFill patternType="solid">
          <fgColor rgb="FF99CE7F"/>
          <bgColor rgb="FF000000"/>
        </patternFill>
      </fill>
    </dxf>
    <dxf>
      <fill>
        <patternFill patternType="solid">
          <fgColor rgb="FF9ACE7F"/>
          <bgColor rgb="FF000000"/>
        </patternFill>
      </fill>
    </dxf>
    <dxf>
      <fill>
        <patternFill patternType="solid">
          <fgColor rgb="FF9BCE7F"/>
          <bgColor rgb="FF000000"/>
        </patternFill>
      </fill>
    </dxf>
    <dxf>
      <fill>
        <patternFill patternType="solid">
          <fgColor rgb="FF9BCF7F"/>
          <bgColor rgb="FF000000"/>
        </patternFill>
      </fill>
    </dxf>
    <dxf>
      <fill>
        <patternFill patternType="solid">
          <fgColor rgb="FF9CCF7F"/>
          <bgColor rgb="FF000000"/>
        </patternFill>
      </fill>
    </dxf>
    <dxf>
      <fill>
        <patternFill patternType="solid">
          <fgColor rgb="FF9DCF7F"/>
          <bgColor rgb="FF000000"/>
        </patternFill>
      </fill>
    </dxf>
    <dxf>
      <fill>
        <patternFill patternType="solid">
          <fgColor rgb="FF9ECF7F"/>
          <bgColor rgb="FF000000"/>
        </patternFill>
      </fill>
    </dxf>
    <dxf>
      <fill>
        <patternFill patternType="solid">
          <fgColor rgb="FF9FD07F"/>
          <bgColor rgb="FF000000"/>
        </patternFill>
      </fill>
    </dxf>
    <dxf>
      <fill>
        <patternFill patternType="solid">
          <fgColor rgb="FFA0D07F"/>
          <bgColor rgb="FF000000"/>
        </patternFill>
      </fill>
    </dxf>
    <dxf>
      <fill>
        <patternFill patternType="solid">
          <fgColor rgb="FFA1D07F"/>
          <bgColor rgb="FF000000"/>
        </patternFill>
      </fill>
    </dxf>
    <dxf>
      <fill>
        <patternFill patternType="solid">
          <fgColor rgb="FFA2D07F"/>
          <bgColor rgb="FF000000"/>
        </patternFill>
      </fill>
    </dxf>
    <dxf>
      <fill>
        <patternFill patternType="solid">
          <fgColor rgb="FFA2D17F"/>
          <bgColor rgb="FF000000"/>
        </patternFill>
      </fill>
    </dxf>
    <dxf>
      <fill>
        <patternFill patternType="solid">
          <fgColor rgb="FFA3D17F"/>
          <bgColor rgb="FF000000"/>
        </patternFill>
      </fill>
    </dxf>
    <dxf>
      <fill>
        <patternFill patternType="solid">
          <fgColor rgb="FFA4D17F"/>
          <bgColor rgb="FF000000"/>
        </patternFill>
      </fill>
    </dxf>
    <dxf>
      <fill>
        <patternFill patternType="solid">
          <fgColor rgb="FFA5D17F"/>
          <bgColor rgb="FF000000"/>
        </patternFill>
      </fill>
    </dxf>
    <dxf>
      <fill>
        <patternFill patternType="solid">
          <fgColor rgb="FFA5D27F"/>
          <bgColor rgb="FF000000"/>
        </patternFill>
      </fill>
    </dxf>
    <dxf>
      <fill>
        <patternFill patternType="solid">
          <fgColor rgb="FFA6D27F"/>
          <bgColor rgb="FF000000"/>
        </patternFill>
      </fill>
    </dxf>
    <dxf>
      <fill>
        <patternFill patternType="solid">
          <fgColor rgb="FFA7D27F"/>
          <bgColor rgb="FF000000"/>
        </patternFill>
      </fill>
    </dxf>
    <dxf>
      <fill>
        <patternFill patternType="solid">
          <fgColor rgb="FFA8D27F"/>
          <bgColor rgb="FF000000"/>
        </patternFill>
      </fill>
    </dxf>
    <dxf>
      <fill>
        <patternFill patternType="solid">
          <fgColor rgb="FFA9D27F"/>
          <bgColor rgb="FF000000"/>
        </patternFill>
      </fill>
    </dxf>
    <dxf>
      <fill>
        <patternFill patternType="solid">
          <fgColor rgb="FFA9D380"/>
          <bgColor rgb="FF000000"/>
        </patternFill>
      </fill>
    </dxf>
    <dxf>
      <fill>
        <patternFill patternType="solid">
          <fgColor rgb="FFAAD380"/>
          <bgColor rgb="FF000000"/>
        </patternFill>
      </fill>
    </dxf>
    <dxf>
      <fill>
        <patternFill patternType="solid">
          <fgColor rgb="FFABD380"/>
          <bgColor rgb="FF000000"/>
        </patternFill>
      </fill>
    </dxf>
    <dxf>
      <fill>
        <patternFill patternType="solid">
          <fgColor rgb="FFACD380"/>
          <bgColor rgb="FF000000"/>
        </patternFill>
      </fill>
    </dxf>
    <dxf>
      <fill>
        <patternFill patternType="solid">
          <fgColor rgb="FFACD480"/>
          <bgColor rgb="FF000000"/>
        </patternFill>
      </fill>
    </dxf>
    <dxf>
      <fill>
        <patternFill patternType="solid">
          <fgColor rgb="FFADD480"/>
          <bgColor rgb="FF000000"/>
        </patternFill>
      </fill>
    </dxf>
    <dxf>
      <fill>
        <patternFill patternType="solid">
          <fgColor rgb="FFAFD480"/>
          <bgColor rgb="FF000000"/>
        </patternFill>
      </fill>
    </dxf>
    <dxf>
      <fill>
        <patternFill patternType="solid">
          <fgColor rgb="FFB0D480"/>
          <bgColor rgb="FF000000"/>
        </patternFill>
      </fill>
    </dxf>
    <dxf>
      <fill>
        <patternFill patternType="solid">
          <fgColor rgb="FFB0D580"/>
          <bgColor rgb="FF000000"/>
        </patternFill>
      </fill>
    </dxf>
    <dxf>
      <fill>
        <patternFill patternType="solid">
          <fgColor rgb="FFB1D580"/>
          <bgColor rgb="FF000000"/>
        </patternFill>
      </fill>
    </dxf>
    <dxf>
      <fill>
        <patternFill patternType="solid">
          <fgColor rgb="FFB2D580"/>
          <bgColor rgb="FF000000"/>
        </patternFill>
      </fill>
    </dxf>
    <dxf>
      <fill>
        <patternFill patternType="solid">
          <fgColor rgb="FFB3D580"/>
          <bgColor rgb="FF000000"/>
        </patternFill>
      </fill>
    </dxf>
    <dxf>
      <fill>
        <patternFill patternType="solid">
          <fgColor rgb="FFB4D680"/>
          <bgColor rgb="FF000000"/>
        </patternFill>
      </fill>
    </dxf>
    <dxf>
      <fill>
        <patternFill patternType="solid">
          <fgColor rgb="FFB5D680"/>
          <bgColor rgb="FF000000"/>
        </patternFill>
      </fill>
    </dxf>
    <dxf>
      <fill>
        <patternFill patternType="solid">
          <fgColor rgb="FFB6D680"/>
          <bgColor rgb="FF000000"/>
        </patternFill>
      </fill>
    </dxf>
    <dxf>
      <fill>
        <patternFill patternType="solid">
          <fgColor rgb="FFB7D680"/>
          <bgColor rgb="FF000000"/>
        </patternFill>
      </fill>
    </dxf>
    <dxf>
      <fill>
        <patternFill patternType="solid">
          <fgColor rgb="FFB7D780"/>
          <bgColor rgb="FF000000"/>
        </patternFill>
      </fill>
    </dxf>
    <dxf>
      <fill>
        <patternFill patternType="solid">
          <fgColor rgb="FFB8D780"/>
          <bgColor rgb="FF000000"/>
        </patternFill>
      </fill>
    </dxf>
    <dxf>
      <fill>
        <patternFill patternType="solid">
          <fgColor rgb="FFB9D780"/>
          <bgColor rgb="FF000000"/>
        </patternFill>
      </fill>
    </dxf>
    <dxf>
      <fill>
        <patternFill patternType="solid">
          <fgColor rgb="FFBAD780"/>
          <bgColor rgb="FF000000"/>
        </patternFill>
      </fill>
    </dxf>
    <dxf>
      <fill>
        <patternFill patternType="solid">
          <fgColor rgb="FFBBD881"/>
          <bgColor rgb="FF000000"/>
        </patternFill>
      </fill>
    </dxf>
    <dxf>
      <fill>
        <patternFill patternType="solid">
          <fgColor rgb="FFBCD881"/>
          <bgColor rgb="FF000000"/>
        </patternFill>
      </fill>
    </dxf>
    <dxf>
      <fill>
        <patternFill patternType="solid">
          <fgColor rgb="FFBDD881"/>
          <bgColor rgb="FF000000"/>
        </patternFill>
      </fill>
    </dxf>
    <dxf>
      <fill>
        <patternFill patternType="solid">
          <fgColor rgb="FFBED881"/>
          <bgColor rgb="FF000000"/>
        </patternFill>
      </fill>
    </dxf>
    <dxf>
      <fill>
        <patternFill patternType="solid">
          <fgColor rgb="FFBED981"/>
          <bgColor rgb="FF000000"/>
        </patternFill>
      </fill>
    </dxf>
    <dxf>
      <fill>
        <patternFill patternType="solid">
          <fgColor rgb="FFBFD981"/>
          <bgColor rgb="FF000000"/>
        </patternFill>
      </fill>
    </dxf>
    <dxf>
      <fill>
        <patternFill patternType="solid">
          <fgColor rgb="FFC0D981"/>
          <bgColor rgb="FF000000"/>
        </patternFill>
      </fill>
    </dxf>
    <dxf>
      <fill>
        <patternFill patternType="solid">
          <fgColor rgb="FFC1D981"/>
          <bgColor rgb="FF000000"/>
        </patternFill>
      </fill>
    </dxf>
    <dxf>
      <fill>
        <patternFill patternType="solid">
          <fgColor rgb="FFC1DA81"/>
          <bgColor rgb="FF000000"/>
        </patternFill>
      </fill>
    </dxf>
    <dxf>
      <fill>
        <patternFill patternType="solid">
          <fgColor rgb="FFC2DA81"/>
          <bgColor rgb="FF000000"/>
        </patternFill>
      </fill>
    </dxf>
    <dxf>
      <fill>
        <patternFill patternType="solid">
          <fgColor rgb="FFC3DA81"/>
          <bgColor rgb="FF000000"/>
        </patternFill>
      </fill>
    </dxf>
    <dxf>
      <fill>
        <patternFill patternType="solid">
          <fgColor rgb="FFC4DA81"/>
          <bgColor rgb="FF000000"/>
        </patternFill>
      </fill>
    </dxf>
    <dxf>
      <fill>
        <patternFill patternType="solid">
          <fgColor rgb="FFC5DB81"/>
          <bgColor rgb="FF000000"/>
        </patternFill>
      </fill>
    </dxf>
    <dxf>
      <fill>
        <patternFill patternType="solid">
          <fgColor rgb="FFC6DB81"/>
          <bgColor rgb="FF000000"/>
        </patternFill>
      </fill>
    </dxf>
    <dxf>
      <fill>
        <patternFill patternType="solid">
          <fgColor rgb="FFC7DB81"/>
          <bgColor rgb="FF000000"/>
        </patternFill>
      </fill>
    </dxf>
    <dxf>
      <fill>
        <patternFill patternType="solid">
          <fgColor rgb="FFC8DB81"/>
          <bgColor rgb="FF000000"/>
        </patternFill>
      </fill>
    </dxf>
    <dxf>
      <fill>
        <patternFill patternType="solid">
          <fgColor rgb="FFC9DC81"/>
          <bgColor rgb="FF000000"/>
        </patternFill>
      </fill>
    </dxf>
    <dxf>
      <fill>
        <patternFill patternType="solid">
          <fgColor rgb="FFCADC81"/>
          <bgColor rgb="FF000000"/>
        </patternFill>
      </fill>
    </dxf>
    <dxf>
      <fill>
        <patternFill patternType="solid">
          <fgColor rgb="FFCBDC81"/>
          <bgColor rgb="FF000000"/>
        </patternFill>
      </fill>
    </dxf>
    <dxf>
      <fill>
        <patternFill patternType="solid">
          <fgColor rgb="FFCCDD82"/>
          <bgColor rgb="FF000000"/>
        </patternFill>
      </fill>
    </dxf>
    <dxf>
      <fill>
        <patternFill patternType="solid">
          <fgColor rgb="FFCDDD82"/>
          <bgColor rgb="FF000000"/>
        </patternFill>
      </fill>
    </dxf>
    <dxf>
      <fill>
        <patternFill patternType="solid">
          <fgColor rgb="FFCEDD82"/>
          <bgColor rgb="FF000000"/>
        </patternFill>
      </fill>
    </dxf>
    <dxf>
      <fill>
        <patternFill patternType="solid">
          <fgColor rgb="FFCFDE82"/>
          <bgColor rgb="FF000000"/>
        </patternFill>
      </fill>
    </dxf>
    <dxf>
      <fill>
        <patternFill patternType="solid">
          <fgColor rgb="FFD0DE82"/>
          <bgColor rgb="FF000000"/>
        </patternFill>
      </fill>
    </dxf>
    <dxf>
      <fill>
        <patternFill patternType="solid">
          <fgColor rgb="FFD1DE82"/>
          <bgColor rgb="FF000000"/>
        </patternFill>
      </fill>
    </dxf>
    <dxf>
      <fill>
        <patternFill patternType="solid">
          <fgColor rgb="FFD2DE82"/>
          <bgColor rgb="FF000000"/>
        </patternFill>
      </fill>
    </dxf>
    <dxf>
      <fill>
        <patternFill patternType="solid">
          <fgColor rgb="FFD2DF82"/>
          <bgColor rgb="FF000000"/>
        </patternFill>
      </fill>
    </dxf>
    <dxf>
      <fill>
        <patternFill patternType="solid">
          <fgColor rgb="FFD3DF82"/>
          <bgColor rgb="FF000000"/>
        </patternFill>
      </fill>
    </dxf>
    <dxf>
      <fill>
        <patternFill patternType="solid">
          <fgColor rgb="FFD4DF82"/>
          <bgColor rgb="FF000000"/>
        </patternFill>
      </fill>
    </dxf>
    <dxf>
      <fill>
        <patternFill patternType="solid">
          <fgColor rgb="FFD5DF82"/>
          <bgColor rgb="FF000000"/>
        </patternFill>
      </fill>
    </dxf>
    <dxf>
      <fill>
        <patternFill patternType="solid">
          <fgColor rgb="FFD6DF82"/>
          <bgColor rgb="FF000000"/>
        </patternFill>
      </fill>
    </dxf>
    <dxf>
      <fill>
        <patternFill patternType="solid">
          <fgColor rgb="FFD6E082"/>
          <bgColor rgb="FF000000"/>
        </patternFill>
      </fill>
    </dxf>
    <dxf>
      <fill>
        <patternFill patternType="solid">
          <fgColor rgb="FFD7E082"/>
          <bgColor rgb="FF000000"/>
        </patternFill>
      </fill>
    </dxf>
    <dxf>
      <fill>
        <patternFill patternType="solid">
          <fgColor rgb="FFD8E082"/>
          <bgColor rgb="FF000000"/>
        </patternFill>
      </fill>
    </dxf>
    <dxf>
      <fill>
        <patternFill patternType="solid">
          <fgColor rgb="FFD9E082"/>
          <bgColor rgb="FF000000"/>
        </patternFill>
      </fill>
    </dxf>
    <dxf>
      <fill>
        <patternFill patternType="solid">
          <fgColor rgb="FFDAE182"/>
          <bgColor rgb="FF000000"/>
        </patternFill>
      </fill>
    </dxf>
    <dxf>
      <fill>
        <patternFill patternType="solid">
          <fgColor rgb="FFDBE182"/>
          <bgColor rgb="FF000000"/>
        </patternFill>
      </fill>
    </dxf>
    <dxf>
      <fill>
        <patternFill patternType="solid">
          <fgColor rgb="FFDCE182"/>
          <bgColor rgb="FF000000"/>
        </patternFill>
      </fill>
    </dxf>
    <dxf>
      <fill>
        <patternFill patternType="solid">
          <fgColor rgb="FFDDE182"/>
          <bgColor rgb="FF000000"/>
        </patternFill>
      </fill>
    </dxf>
    <dxf>
      <fill>
        <patternFill patternType="solid">
          <fgColor rgb="FFDDE283"/>
          <bgColor rgb="FF000000"/>
        </patternFill>
      </fill>
    </dxf>
    <dxf>
      <fill>
        <patternFill patternType="solid">
          <fgColor rgb="FFDEE283"/>
          <bgColor rgb="FF000000"/>
        </patternFill>
      </fill>
    </dxf>
    <dxf>
      <fill>
        <patternFill patternType="solid">
          <fgColor rgb="FFDFE283"/>
          <bgColor rgb="FF000000"/>
        </patternFill>
      </fill>
    </dxf>
    <dxf>
      <fill>
        <patternFill patternType="solid">
          <fgColor rgb="FFE0E283"/>
          <bgColor rgb="FF000000"/>
        </patternFill>
      </fill>
    </dxf>
    <dxf>
      <fill>
        <patternFill patternType="solid">
          <fgColor rgb="FFE1E383"/>
          <bgColor rgb="FF000000"/>
        </patternFill>
      </fill>
    </dxf>
    <dxf>
      <fill>
        <patternFill patternType="solid">
          <fgColor rgb="FFE2E383"/>
          <bgColor rgb="FF000000"/>
        </patternFill>
      </fill>
    </dxf>
    <dxf>
      <fill>
        <patternFill patternType="solid">
          <fgColor rgb="FFE3E383"/>
          <bgColor rgb="FF000000"/>
        </patternFill>
      </fill>
    </dxf>
    <dxf>
      <fill>
        <patternFill patternType="solid">
          <fgColor rgb="FFE4E383"/>
          <bgColor rgb="FF000000"/>
        </patternFill>
      </fill>
    </dxf>
    <dxf>
      <fill>
        <patternFill patternType="solid">
          <fgColor rgb="FFE4E483"/>
          <bgColor rgb="FF000000"/>
        </patternFill>
      </fill>
    </dxf>
    <dxf>
      <fill>
        <patternFill patternType="solid">
          <fgColor rgb="FFE5E483"/>
          <bgColor rgb="FF000000"/>
        </patternFill>
      </fill>
    </dxf>
    <dxf>
      <fill>
        <patternFill patternType="solid">
          <fgColor rgb="FFE6E483"/>
          <bgColor rgb="FF000000"/>
        </patternFill>
      </fill>
    </dxf>
    <dxf>
      <fill>
        <patternFill patternType="solid">
          <fgColor rgb="FFE7E483"/>
          <bgColor rgb="FF000000"/>
        </patternFill>
      </fill>
    </dxf>
    <dxf>
      <fill>
        <patternFill patternType="solid">
          <fgColor rgb="FFE7E583"/>
          <bgColor rgb="FF000000"/>
        </patternFill>
      </fill>
    </dxf>
    <dxf>
      <fill>
        <patternFill patternType="solid">
          <fgColor rgb="FFE8E583"/>
          <bgColor rgb="FF000000"/>
        </patternFill>
      </fill>
    </dxf>
    <dxf>
      <fill>
        <patternFill patternType="solid">
          <fgColor rgb="FFE9E583"/>
          <bgColor rgb="FF000000"/>
        </patternFill>
      </fill>
    </dxf>
    <dxf>
      <fill>
        <patternFill patternType="solid">
          <fgColor rgb="FFEAE583"/>
          <bgColor rgb="FF000000"/>
        </patternFill>
      </fill>
    </dxf>
    <dxf>
      <fill>
        <patternFill patternType="solid">
          <fgColor rgb="FFEBE683"/>
          <bgColor rgb="FF000000"/>
        </patternFill>
      </fill>
    </dxf>
    <dxf>
      <fill>
        <patternFill patternType="solid">
          <fgColor rgb="FFECE683"/>
          <bgColor rgb="FF000000"/>
        </patternFill>
      </fill>
    </dxf>
    <dxf>
      <fill>
        <patternFill patternType="solid">
          <fgColor rgb="FFEDE683"/>
          <bgColor rgb="FF000000"/>
        </patternFill>
      </fill>
    </dxf>
    <dxf>
      <fill>
        <patternFill patternType="solid">
          <fgColor rgb="FFEEE683"/>
          <bgColor rgb="FF000000"/>
        </patternFill>
      </fill>
    </dxf>
    <dxf>
      <fill>
        <patternFill patternType="solid">
          <fgColor rgb="FFEEE784"/>
          <bgColor rgb="FF000000"/>
        </patternFill>
      </fill>
    </dxf>
    <dxf>
      <fill>
        <patternFill patternType="solid">
          <fgColor rgb="FFEFE784"/>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2E784"/>
          <bgColor rgb="FF000000"/>
        </patternFill>
      </fill>
    </dxf>
    <dxf>
      <fill>
        <patternFill patternType="solid">
          <fgColor rgb="FFF2E884"/>
          <bgColor rgb="FF000000"/>
        </patternFill>
      </fill>
    </dxf>
    <dxf>
      <fill>
        <patternFill patternType="solid">
          <fgColor rgb="FFF3E884"/>
          <bgColor rgb="FF000000"/>
        </patternFill>
      </fill>
    </dxf>
    <dxf>
      <fill>
        <patternFill patternType="solid">
          <fgColor rgb="FFF4E884"/>
          <bgColor rgb="FF000000"/>
        </patternFill>
      </fill>
    </dxf>
    <dxf>
      <fill>
        <patternFill patternType="solid">
          <fgColor rgb="FFF5E884"/>
          <bgColor rgb="FF000000"/>
        </patternFill>
      </fill>
    </dxf>
    <dxf>
      <fill>
        <patternFill patternType="solid">
          <fgColor rgb="FFF5E984"/>
          <bgColor rgb="FF000000"/>
        </patternFill>
      </fill>
    </dxf>
    <dxf>
      <fill>
        <patternFill patternType="solid">
          <fgColor rgb="FFF6E984"/>
          <bgColor rgb="FF000000"/>
        </patternFill>
      </fill>
    </dxf>
    <dxf>
      <fill>
        <patternFill patternType="solid">
          <fgColor rgb="FFF7E984"/>
          <bgColor rgb="FF000000"/>
        </patternFill>
      </fill>
    </dxf>
    <dxf>
      <fill>
        <patternFill patternType="solid">
          <fgColor rgb="FFF8696B"/>
          <bgColor rgb="FF000000"/>
        </patternFill>
      </fill>
    </dxf>
    <dxf>
      <fill>
        <patternFill patternType="solid">
          <fgColor rgb="FFF86A6B"/>
          <bgColor rgb="FF000000"/>
        </patternFill>
      </fill>
    </dxf>
    <dxf>
      <fill>
        <patternFill patternType="solid">
          <fgColor rgb="FFF86F6C"/>
          <bgColor rgb="FF000000"/>
        </patternFill>
      </fill>
    </dxf>
    <dxf>
      <fill>
        <patternFill patternType="solid">
          <fgColor rgb="FFF8726C"/>
          <bgColor rgb="FF000000"/>
        </patternFill>
      </fill>
    </dxf>
    <dxf>
      <fill>
        <patternFill patternType="solid">
          <fgColor rgb="FFF8736D"/>
          <bgColor rgb="FF000000"/>
        </patternFill>
      </fill>
    </dxf>
    <dxf>
      <fill>
        <patternFill patternType="solid">
          <fgColor rgb="FFF8746D"/>
          <bgColor rgb="FF000000"/>
        </patternFill>
      </fill>
    </dxf>
    <dxf>
      <fill>
        <patternFill patternType="solid">
          <fgColor rgb="FFF8766D"/>
          <bgColor rgb="FF000000"/>
        </patternFill>
      </fill>
    </dxf>
    <dxf>
      <fill>
        <patternFill patternType="solid">
          <fgColor rgb="FFF8776D"/>
          <bgColor rgb="FF000000"/>
        </patternFill>
      </fill>
    </dxf>
    <dxf>
      <fill>
        <patternFill patternType="solid">
          <fgColor rgb="FFF8786D"/>
          <bgColor rgb="FF000000"/>
        </patternFill>
      </fill>
    </dxf>
    <dxf>
      <fill>
        <patternFill patternType="solid">
          <fgColor rgb="FFF8796E"/>
          <bgColor rgb="FF000000"/>
        </patternFill>
      </fill>
    </dxf>
    <dxf>
      <fill>
        <patternFill patternType="solid">
          <fgColor rgb="FFF87A6E"/>
          <bgColor rgb="FF000000"/>
        </patternFill>
      </fill>
    </dxf>
    <dxf>
      <fill>
        <patternFill patternType="solid">
          <fgColor rgb="FFF8E984"/>
          <bgColor rgb="FF000000"/>
        </patternFill>
      </fill>
    </dxf>
    <dxf>
      <fill>
        <patternFill patternType="solid">
          <fgColor rgb="FFF97C6E"/>
          <bgColor rgb="FF000000"/>
        </patternFill>
      </fill>
    </dxf>
    <dxf>
      <fill>
        <patternFill patternType="solid">
          <fgColor rgb="FFF97D6E"/>
          <bgColor rgb="FF000000"/>
        </patternFill>
      </fill>
    </dxf>
    <dxf>
      <fill>
        <patternFill patternType="solid">
          <fgColor rgb="FFF97E6F"/>
          <bgColor rgb="FF000000"/>
        </patternFill>
      </fill>
    </dxf>
    <dxf>
      <fill>
        <patternFill patternType="solid">
          <fgColor rgb="FFF97F6F"/>
          <bgColor rgb="FF000000"/>
        </patternFill>
      </fill>
    </dxf>
    <dxf>
      <fill>
        <patternFill patternType="solid">
          <fgColor rgb="FFF9806F"/>
          <bgColor rgb="FF000000"/>
        </patternFill>
      </fill>
    </dxf>
    <dxf>
      <fill>
        <patternFill patternType="solid">
          <fgColor rgb="FFF9826F"/>
          <bgColor rgb="FF000000"/>
        </patternFill>
      </fill>
    </dxf>
    <dxf>
      <fill>
        <patternFill patternType="solid">
          <fgColor rgb="FFF98370"/>
          <bgColor rgb="FF000000"/>
        </patternFill>
      </fill>
    </dxf>
    <dxf>
      <fill>
        <patternFill patternType="solid">
          <fgColor rgb="FFF98470"/>
          <bgColor rgb="FF000000"/>
        </patternFill>
      </fill>
    </dxf>
    <dxf>
      <fill>
        <patternFill patternType="solid">
          <fgColor rgb="FFF98570"/>
          <bgColor rgb="FF000000"/>
        </patternFill>
      </fill>
    </dxf>
    <dxf>
      <fill>
        <patternFill patternType="solid">
          <fgColor rgb="FFF98670"/>
          <bgColor rgb="FF000000"/>
        </patternFill>
      </fill>
    </dxf>
    <dxf>
      <fill>
        <patternFill patternType="solid">
          <fgColor rgb="FFF98770"/>
          <bgColor rgb="FF000000"/>
        </patternFill>
      </fill>
    </dxf>
    <dxf>
      <fill>
        <patternFill patternType="solid">
          <fgColor rgb="FFF98870"/>
          <bgColor rgb="FF000000"/>
        </patternFill>
      </fill>
    </dxf>
    <dxf>
      <fill>
        <patternFill patternType="solid">
          <fgColor rgb="FFF98871"/>
          <bgColor rgb="FF000000"/>
        </patternFill>
      </fill>
    </dxf>
    <dxf>
      <fill>
        <patternFill patternType="solid">
          <fgColor rgb="FFF98971"/>
          <bgColor rgb="FF000000"/>
        </patternFill>
      </fill>
    </dxf>
    <dxf>
      <fill>
        <patternFill patternType="solid">
          <fgColor rgb="FFF98A71"/>
          <bgColor rgb="FF000000"/>
        </patternFill>
      </fill>
    </dxf>
    <dxf>
      <fill>
        <patternFill patternType="solid">
          <fgColor rgb="FFF98B71"/>
          <bgColor rgb="FF000000"/>
        </patternFill>
      </fill>
    </dxf>
    <dxf>
      <fill>
        <patternFill patternType="solid">
          <fgColor rgb="FFF98C71"/>
          <bgColor rgb="FF000000"/>
        </patternFill>
      </fill>
    </dxf>
    <dxf>
      <fill>
        <patternFill patternType="solid">
          <fgColor rgb="FFF98D71"/>
          <bgColor rgb="FF000000"/>
        </patternFill>
      </fill>
    </dxf>
    <dxf>
      <fill>
        <patternFill patternType="solid">
          <fgColor rgb="FFF98D72"/>
          <bgColor rgb="FF000000"/>
        </patternFill>
      </fill>
    </dxf>
    <dxf>
      <fill>
        <patternFill patternType="solid">
          <fgColor rgb="FFF98E72"/>
          <bgColor rgb="FF000000"/>
        </patternFill>
      </fill>
    </dxf>
    <dxf>
      <fill>
        <patternFill patternType="solid">
          <fgColor rgb="FFF9EA84"/>
          <bgColor rgb="FF000000"/>
        </patternFill>
      </fill>
    </dxf>
    <dxf>
      <fill>
        <patternFill patternType="solid">
          <fgColor rgb="FFFA8E72"/>
          <bgColor rgb="FF000000"/>
        </patternFill>
      </fill>
    </dxf>
    <dxf>
      <fill>
        <patternFill patternType="solid">
          <fgColor rgb="FFFA8F72"/>
          <bgColor rgb="FF000000"/>
        </patternFill>
      </fill>
    </dxf>
    <dxf>
      <fill>
        <patternFill patternType="solid">
          <fgColor rgb="FFFA9072"/>
          <bgColor rgb="FF000000"/>
        </patternFill>
      </fill>
    </dxf>
    <dxf>
      <fill>
        <patternFill patternType="solid">
          <fgColor rgb="FFFA9172"/>
          <bgColor rgb="FF000000"/>
        </patternFill>
      </fill>
    </dxf>
    <dxf>
      <fill>
        <patternFill patternType="solid">
          <fgColor rgb="FFFA9272"/>
          <bgColor rgb="FF000000"/>
        </patternFill>
      </fill>
    </dxf>
    <dxf>
      <fill>
        <patternFill patternType="solid">
          <fgColor rgb="FFFA9273"/>
          <bgColor rgb="FF000000"/>
        </patternFill>
      </fill>
    </dxf>
    <dxf>
      <fill>
        <patternFill patternType="solid">
          <fgColor rgb="FFFA9373"/>
          <bgColor rgb="FF000000"/>
        </patternFill>
      </fill>
    </dxf>
    <dxf>
      <fill>
        <patternFill patternType="solid">
          <fgColor rgb="FFFA9473"/>
          <bgColor rgb="FF000000"/>
        </patternFill>
      </fill>
    </dxf>
    <dxf>
      <fill>
        <patternFill patternType="solid">
          <fgColor rgb="FFFA9573"/>
          <bgColor rgb="FF000000"/>
        </patternFill>
      </fill>
    </dxf>
    <dxf>
      <fill>
        <patternFill patternType="solid">
          <fgColor rgb="FFFA9673"/>
          <bgColor rgb="FF000000"/>
        </patternFill>
      </fill>
    </dxf>
    <dxf>
      <fill>
        <patternFill patternType="solid">
          <fgColor rgb="FFFA9773"/>
          <bgColor rgb="FF000000"/>
        </patternFill>
      </fill>
    </dxf>
    <dxf>
      <fill>
        <patternFill patternType="solid">
          <fgColor rgb="FFFA9874"/>
          <bgColor rgb="FF000000"/>
        </patternFill>
      </fill>
    </dxf>
    <dxf>
      <fill>
        <patternFill patternType="solid">
          <fgColor rgb="FFFA9974"/>
          <bgColor rgb="FF000000"/>
        </patternFill>
      </fill>
    </dxf>
    <dxf>
      <fill>
        <patternFill patternType="solid">
          <fgColor rgb="FFFA9A74"/>
          <bgColor rgb="FF000000"/>
        </patternFill>
      </fill>
    </dxf>
    <dxf>
      <fill>
        <patternFill patternType="solid">
          <fgColor rgb="FFFA9B74"/>
          <bgColor rgb="FF000000"/>
        </patternFill>
      </fill>
    </dxf>
    <dxf>
      <fill>
        <patternFill patternType="solid">
          <fgColor rgb="FFFA9C74"/>
          <bgColor rgb="FF000000"/>
        </patternFill>
      </fill>
    </dxf>
    <dxf>
      <fill>
        <patternFill patternType="solid">
          <fgColor rgb="FFFA9D75"/>
          <bgColor rgb="FF000000"/>
        </patternFill>
      </fill>
    </dxf>
    <dxf>
      <fill>
        <patternFill patternType="solid">
          <fgColor rgb="FFFA9E75"/>
          <bgColor rgb="FF000000"/>
        </patternFill>
      </fill>
    </dxf>
    <dxf>
      <fill>
        <patternFill patternType="solid">
          <fgColor rgb="FFFA9F75"/>
          <bgColor rgb="FF000000"/>
        </patternFill>
      </fill>
    </dxf>
    <dxf>
      <fill>
        <patternFill patternType="solid">
          <fgColor rgb="FFFAA075"/>
          <bgColor rgb="FF000000"/>
        </patternFill>
      </fill>
    </dxf>
    <dxf>
      <fill>
        <patternFill patternType="solid">
          <fgColor rgb="FFFAEA84"/>
          <bgColor rgb="FF000000"/>
        </patternFill>
      </fill>
    </dxf>
    <dxf>
      <fill>
        <patternFill patternType="solid">
          <fgColor rgb="FFFBA075"/>
          <bgColor rgb="FF000000"/>
        </patternFill>
      </fill>
    </dxf>
    <dxf>
      <fill>
        <patternFill patternType="solid">
          <fgColor rgb="FFFBA175"/>
          <bgColor rgb="FF000000"/>
        </patternFill>
      </fill>
    </dxf>
    <dxf>
      <fill>
        <patternFill patternType="solid">
          <fgColor rgb="FFFBA275"/>
          <bgColor rgb="FF000000"/>
        </patternFill>
      </fill>
    </dxf>
    <dxf>
      <fill>
        <patternFill patternType="solid">
          <fgColor rgb="FFFBA276"/>
          <bgColor rgb="FF000000"/>
        </patternFill>
      </fill>
    </dxf>
    <dxf>
      <fill>
        <patternFill patternType="solid">
          <fgColor rgb="FFFBA376"/>
          <bgColor rgb="FF000000"/>
        </patternFill>
      </fill>
    </dxf>
    <dxf>
      <fill>
        <patternFill patternType="solid">
          <fgColor rgb="FFFBA476"/>
          <bgColor rgb="FF000000"/>
        </patternFill>
      </fill>
    </dxf>
    <dxf>
      <fill>
        <patternFill patternType="solid">
          <fgColor rgb="FFFBA576"/>
          <bgColor rgb="FF000000"/>
        </patternFill>
      </fill>
    </dxf>
    <dxf>
      <fill>
        <patternFill patternType="solid">
          <fgColor rgb="FFFBA676"/>
          <bgColor rgb="FF000000"/>
        </patternFill>
      </fill>
    </dxf>
    <dxf>
      <fill>
        <patternFill patternType="solid">
          <fgColor rgb="FFFBA776"/>
          <bgColor rgb="FF000000"/>
        </patternFill>
      </fill>
    </dxf>
    <dxf>
      <fill>
        <patternFill patternType="solid">
          <fgColor rgb="FFFBA777"/>
          <bgColor rgb="FF000000"/>
        </patternFill>
      </fill>
    </dxf>
    <dxf>
      <fill>
        <patternFill patternType="solid">
          <fgColor rgb="FFFBA877"/>
          <bgColor rgb="FF000000"/>
        </patternFill>
      </fill>
    </dxf>
    <dxf>
      <fill>
        <patternFill patternType="solid">
          <fgColor rgb="FFFBA977"/>
          <bgColor rgb="FF000000"/>
        </patternFill>
      </fill>
    </dxf>
    <dxf>
      <fill>
        <patternFill patternType="solid">
          <fgColor rgb="FFFBAA77"/>
          <bgColor rgb="FF000000"/>
        </patternFill>
      </fill>
    </dxf>
    <dxf>
      <fill>
        <patternFill patternType="solid">
          <fgColor rgb="FFFBAB77"/>
          <bgColor rgb="FF000000"/>
        </patternFill>
      </fill>
    </dxf>
    <dxf>
      <fill>
        <patternFill patternType="solid">
          <fgColor rgb="FFFBAC77"/>
          <bgColor rgb="FF000000"/>
        </patternFill>
      </fill>
    </dxf>
    <dxf>
      <fill>
        <patternFill patternType="solid">
          <fgColor rgb="FFFBAC78"/>
          <bgColor rgb="FF000000"/>
        </patternFill>
      </fill>
    </dxf>
    <dxf>
      <fill>
        <patternFill patternType="solid">
          <fgColor rgb="FFFBAD78"/>
          <bgColor rgb="FF000000"/>
        </patternFill>
      </fill>
    </dxf>
    <dxf>
      <fill>
        <patternFill patternType="solid">
          <fgColor rgb="FFFBAE78"/>
          <bgColor rgb="FF000000"/>
        </patternFill>
      </fill>
    </dxf>
    <dxf>
      <fill>
        <patternFill patternType="solid">
          <fgColor rgb="FFFBAF78"/>
          <bgColor rgb="FF000000"/>
        </patternFill>
      </fill>
    </dxf>
    <dxf>
      <fill>
        <patternFill patternType="solid">
          <fgColor rgb="FFFBB078"/>
          <bgColor rgb="FF000000"/>
        </patternFill>
      </fill>
    </dxf>
    <dxf>
      <fill>
        <patternFill patternType="solid">
          <fgColor rgb="FFFBB178"/>
          <bgColor rgb="FF000000"/>
        </patternFill>
      </fill>
    </dxf>
    <dxf>
      <fill>
        <patternFill patternType="solid">
          <fgColor rgb="FFFBB179"/>
          <bgColor rgb="FF000000"/>
        </patternFill>
      </fill>
    </dxf>
    <dxf>
      <fill>
        <patternFill patternType="solid">
          <fgColor rgb="FFFBB279"/>
          <bgColor rgb="FF000000"/>
        </patternFill>
      </fill>
    </dxf>
    <dxf>
      <fill>
        <patternFill patternType="solid">
          <fgColor rgb="FFFBB379"/>
          <bgColor rgb="FF000000"/>
        </patternFill>
      </fill>
    </dxf>
    <dxf>
      <fill>
        <patternFill patternType="solid">
          <fgColor rgb="FFFBEA84"/>
          <bgColor rgb="FF000000"/>
        </patternFill>
      </fill>
    </dxf>
    <dxf>
      <fill>
        <patternFill patternType="solid">
          <fgColor rgb="FFFCB379"/>
          <bgColor rgb="FF000000"/>
        </patternFill>
      </fill>
    </dxf>
    <dxf>
      <fill>
        <patternFill patternType="solid">
          <fgColor rgb="FFFCB479"/>
          <bgColor rgb="FF000000"/>
        </patternFill>
      </fill>
    </dxf>
    <dxf>
      <fill>
        <patternFill patternType="solid">
          <fgColor rgb="FFFCB579"/>
          <bgColor rgb="FF000000"/>
        </patternFill>
      </fill>
    </dxf>
    <dxf>
      <fill>
        <patternFill patternType="solid">
          <fgColor rgb="FFFCB679"/>
          <bgColor rgb="FF000000"/>
        </patternFill>
      </fill>
    </dxf>
    <dxf>
      <fill>
        <patternFill patternType="solid">
          <fgColor rgb="FFFCB77A"/>
          <bgColor rgb="FF000000"/>
        </patternFill>
      </fill>
    </dxf>
    <dxf>
      <fill>
        <patternFill patternType="solid">
          <fgColor rgb="FFFCB87A"/>
          <bgColor rgb="FF000000"/>
        </patternFill>
      </fill>
    </dxf>
    <dxf>
      <fill>
        <patternFill patternType="solid">
          <fgColor rgb="FFFCB97A"/>
          <bgColor rgb="FF000000"/>
        </patternFill>
      </fill>
    </dxf>
    <dxf>
      <fill>
        <patternFill patternType="solid">
          <fgColor rgb="FFFCBA7A"/>
          <bgColor rgb="FF000000"/>
        </patternFill>
      </fill>
    </dxf>
    <dxf>
      <fill>
        <patternFill patternType="solid">
          <fgColor rgb="FFFCBB7A"/>
          <bgColor rgb="FF000000"/>
        </patternFill>
      </fill>
    </dxf>
    <dxf>
      <fill>
        <patternFill patternType="solid">
          <fgColor rgb="FFFCBC7A"/>
          <bgColor rgb="FF000000"/>
        </patternFill>
      </fill>
    </dxf>
    <dxf>
      <fill>
        <patternFill patternType="solid">
          <fgColor rgb="FFFCBC7B"/>
          <bgColor rgb="FF000000"/>
        </patternFill>
      </fill>
    </dxf>
    <dxf>
      <fill>
        <patternFill patternType="solid">
          <fgColor rgb="FFFCBD7B"/>
          <bgColor rgb="FF000000"/>
        </patternFill>
      </fill>
    </dxf>
    <dxf>
      <fill>
        <patternFill patternType="solid">
          <fgColor rgb="FFFCBE7B"/>
          <bgColor rgb="FF000000"/>
        </patternFill>
      </fill>
    </dxf>
    <dxf>
      <fill>
        <patternFill patternType="solid">
          <fgColor rgb="FFFCBF7B"/>
          <bgColor rgb="FF000000"/>
        </patternFill>
      </fill>
    </dxf>
    <dxf>
      <fill>
        <patternFill patternType="solid">
          <fgColor rgb="FFFCC07B"/>
          <bgColor rgb="FF000000"/>
        </patternFill>
      </fill>
    </dxf>
    <dxf>
      <fill>
        <patternFill patternType="solid">
          <fgColor rgb="FFFCC17B"/>
          <bgColor rgb="FF000000"/>
        </patternFill>
      </fill>
    </dxf>
    <dxf>
      <fill>
        <patternFill patternType="solid">
          <fgColor rgb="FFFCC17C"/>
          <bgColor rgb="FF000000"/>
        </patternFill>
      </fill>
    </dxf>
    <dxf>
      <fill>
        <patternFill patternType="solid">
          <fgColor rgb="FFFCC27C"/>
          <bgColor rgb="FF000000"/>
        </patternFill>
      </fill>
    </dxf>
    <dxf>
      <fill>
        <patternFill patternType="solid">
          <fgColor rgb="FFFCC37C"/>
          <bgColor rgb="FF000000"/>
        </patternFill>
      </fill>
    </dxf>
    <dxf>
      <fill>
        <patternFill patternType="solid">
          <fgColor rgb="FFFCC47C"/>
          <bgColor rgb="FF000000"/>
        </patternFill>
      </fill>
    </dxf>
    <dxf>
      <fill>
        <patternFill patternType="solid">
          <fgColor rgb="FFFCC57C"/>
          <bgColor rgb="FF000000"/>
        </patternFill>
      </fill>
    </dxf>
    <dxf>
      <fill>
        <patternFill patternType="solid">
          <fgColor rgb="FFFCEA84"/>
          <bgColor rgb="FF000000"/>
        </patternFill>
      </fill>
    </dxf>
    <dxf>
      <fill>
        <patternFill patternType="solid">
          <fgColor rgb="FFFCEB84"/>
          <bgColor rgb="FF000000"/>
        </patternFill>
      </fill>
    </dxf>
    <dxf>
      <fill>
        <patternFill patternType="solid">
          <fgColor rgb="FFFDC67C"/>
          <bgColor rgb="FF000000"/>
        </patternFill>
      </fill>
    </dxf>
    <dxf>
      <fill>
        <patternFill patternType="solid">
          <fgColor rgb="FFFDC67D"/>
          <bgColor rgb="FF000000"/>
        </patternFill>
      </fill>
    </dxf>
    <dxf>
      <fill>
        <patternFill patternType="solid">
          <fgColor rgb="FFFDC77D"/>
          <bgColor rgb="FF000000"/>
        </patternFill>
      </fill>
    </dxf>
    <dxf>
      <fill>
        <patternFill patternType="solid">
          <fgColor rgb="FFFDC87D"/>
          <bgColor rgb="FF000000"/>
        </patternFill>
      </fill>
    </dxf>
    <dxf>
      <fill>
        <patternFill patternType="solid">
          <fgColor rgb="FFFDC97D"/>
          <bgColor rgb="FF000000"/>
        </patternFill>
      </fill>
    </dxf>
    <dxf>
      <fill>
        <patternFill patternType="solid">
          <fgColor rgb="FFFDCA7D"/>
          <bgColor rgb="FF000000"/>
        </patternFill>
      </fill>
    </dxf>
    <dxf>
      <fill>
        <patternFill patternType="solid">
          <fgColor rgb="FFFDCB7D"/>
          <bgColor rgb="FF000000"/>
        </patternFill>
      </fill>
    </dxf>
    <dxf>
      <fill>
        <patternFill patternType="solid">
          <fgColor rgb="FFFDCB7E"/>
          <bgColor rgb="FF000000"/>
        </patternFill>
      </fill>
    </dxf>
    <dxf>
      <fill>
        <patternFill patternType="solid">
          <fgColor rgb="FFFDCC7E"/>
          <bgColor rgb="FF000000"/>
        </patternFill>
      </fill>
    </dxf>
    <dxf>
      <fill>
        <patternFill patternType="solid">
          <fgColor rgb="FFFDCD7E"/>
          <bgColor rgb="FF000000"/>
        </patternFill>
      </fill>
    </dxf>
    <dxf>
      <fill>
        <patternFill patternType="solid">
          <fgColor rgb="FFFDCE7E"/>
          <bgColor rgb="FF000000"/>
        </patternFill>
      </fill>
    </dxf>
    <dxf>
      <fill>
        <patternFill patternType="solid">
          <fgColor rgb="FFFDCF7E"/>
          <bgColor rgb="FF000000"/>
        </patternFill>
      </fill>
    </dxf>
    <dxf>
      <fill>
        <patternFill patternType="solid">
          <fgColor rgb="FFFDD07E"/>
          <bgColor rgb="FF000000"/>
        </patternFill>
      </fill>
    </dxf>
    <dxf>
      <fill>
        <patternFill patternType="solid">
          <fgColor rgb="FFFDD17F"/>
          <bgColor rgb="FF000000"/>
        </patternFill>
      </fill>
    </dxf>
    <dxf>
      <fill>
        <patternFill patternType="solid">
          <fgColor rgb="FFFDD27F"/>
          <bgColor rgb="FF000000"/>
        </patternFill>
      </fill>
    </dxf>
    <dxf>
      <fill>
        <patternFill patternType="solid">
          <fgColor rgb="FFFDD37F"/>
          <bgColor rgb="FF000000"/>
        </patternFill>
      </fill>
    </dxf>
    <dxf>
      <fill>
        <patternFill patternType="solid">
          <fgColor rgb="FFFDD47F"/>
          <bgColor rgb="FF000000"/>
        </patternFill>
      </fill>
    </dxf>
    <dxf>
      <fill>
        <patternFill patternType="solid">
          <fgColor rgb="FFFDD57F"/>
          <bgColor rgb="FF000000"/>
        </patternFill>
      </fill>
    </dxf>
    <dxf>
      <fill>
        <patternFill patternType="solid">
          <fgColor rgb="FFFDD67F"/>
          <bgColor rgb="FF000000"/>
        </patternFill>
      </fill>
    </dxf>
    <dxf>
      <fill>
        <patternFill patternType="solid">
          <fgColor rgb="FFFDD680"/>
          <bgColor rgb="FF000000"/>
        </patternFill>
      </fill>
    </dxf>
    <dxf>
      <fill>
        <patternFill patternType="solid">
          <fgColor rgb="FFFDD780"/>
          <bgColor rgb="FF000000"/>
        </patternFill>
      </fill>
    </dxf>
    <dxf>
      <fill>
        <patternFill patternType="solid">
          <fgColor rgb="FFFDD880"/>
          <bgColor rgb="FF000000"/>
        </patternFill>
      </fill>
    </dxf>
    <dxf>
      <fill>
        <patternFill patternType="solid">
          <fgColor rgb="FFFDEB84"/>
          <bgColor rgb="FF000000"/>
        </patternFill>
      </fill>
    </dxf>
    <dxf>
      <fill>
        <patternFill patternType="solid">
          <fgColor rgb="FFFED880"/>
          <bgColor rgb="FF000000"/>
        </patternFill>
      </fill>
    </dxf>
    <dxf>
      <fill>
        <patternFill patternType="solid">
          <fgColor rgb="FFFED980"/>
          <bgColor rgb="FF000000"/>
        </patternFill>
      </fill>
    </dxf>
    <dxf>
      <fill>
        <patternFill patternType="solid">
          <fgColor rgb="FFFEDA80"/>
          <bgColor rgb="FF000000"/>
        </patternFill>
      </fill>
    </dxf>
    <dxf>
      <fill>
        <patternFill patternType="solid">
          <fgColor rgb="FFFEDB80"/>
          <bgColor rgb="FF000000"/>
        </patternFill>
      </fill>
    </dxf>
    <dxf>
      <fill>
        <patternFill patternType="solid">
          <fgColor rgb="FFFEDB81"/>
          <bgColor rgb="FF000000"/>
        </patternFill>
      </fill>
    </dxf>
    <dxf>
      <fill>
        <patternFill patternType="solid">
          <fgColor rgb="FFFEDC81"/>
          <bgColor rgb="FF000000"/>
        </patternFill>
      </fill>
    </dxf>
    <dxf>
      <fill>
        <patternFill patternType="solid">
          <fgColor rgb="FFFEDD81"/>
          <bgColor rgb="FF000000"/>
        </patternFill>
      </fill>
    </dxf>
    <dxf>
      <fill>
        <patternFill patternType="solid">
          <fgColor rgb="FFFEDE81"/>
          <bgColor rgb="FF000000"/>
        </patternFill>
      </fill>
    </dxf>
    <dxf>
      <fill>
        <patternFill patternType="solid">
          <fgColor rgb="FFFEDF81"/>
          <bgColor rgb="FF000000"/>
        </patternFill>
      </fill>
    </dxf>
    <dxf>
      <fill>
        <patternFill patternType="solid">
          <fgColor rgb="FFFEE081"/>
          <bgColor rgb="FF000000"/>
        </patternFill>
      </fill>
    </dxf>
    <dxf>
      <fill>
        <patternFill patternType="solid">
          <fgColor rgb="FFFEE082"/>
          <bgColor rgb="FF000000"/>
        </patternFill>
      </fill>
    </dxf>
    <dxf>
      <fill>
        <patternFill patternType="solid">
          <fgColor rgb="FFFEE182"/>
          <bgColor rgb="FF000000"/>
        </patternFill>
      </fill>
    </dxf>
    <dxf>
      <fill>
        <patternFill patternType="solid">
          <fgColor rgb="FFFEE282"/>
          <bgColor rgb="FF000000"/>
        </patternFill>
      </fill>
    </dxf>
    <dxf>
      <fill>
        <patternFill patternType="solid">
          <fgColor rgb="FFFEE382"/>
          <bgColor rgb="FF000000"/>
        </patternFill>
      </fill>
    </dxf>
    <dxf>
      <fill>
        <patternFill patternType="solid">
          <fgColor rgb="FFFEE482"/>
          <bgColor rgb="FF000000"/>
        </patternFill>
      </fill>
    </dxf>
    <dxf>
      <fill>
        <patternFill patternType="solid">
          <fgColor rgb="FFFEE582"/>
          <bgColor rgb="FF000000"/>
        </patternFill>
      </fill>
    </dxf>
    <dxf>
      <fill>
        <patternFill patternType="solid">
          <fgColor rgb="FFFEE583"/>
          <bgColor rgb="FF000000"/>
        </patternFill>
      </fill>
    </dxf>
    <dxf>
      <fill>
        <patternFill patternType="solid">
          <fgColor rgb="FFFEE683"/>
          <bgColor rgb="FF000000"/>
        </patternFill>
      </fill>
    </dxf>
    <dxf>
      <fill>
        <patternFill patternType="solid">
          <fgColor rgb="FFFEE783"/>
          <bgColor rgb="FF000000"/>
        </patternFill>
      </fill>
    </dxf>
    <dxf>
      <fill>
        <patternFill patternType="solid">
          <fgColor rgb="FFFEE883"/>
          <bgColor rgb="FF000000"/>
        </patternFill>
      </fill>
    </dxf>
    <dxf>
      <fill>
        <patternFill patternType="solid">
          <fgColor rgb="FFFEE983"/>
          <bgColor rgb="FF000000"/>
        </patternFill>
      </fill>
    </dxf>
    <dxf>
      <fill>
        <patternFill patternType="solid">
          <fgColor rgb="FFFEEA83"/>
          <bgColor rgb="FF000000"/>
        </patternFill>
      </fill>
    </dxf>
    <dxf>
      <fill>
        <patternFill patternType="solid">
          <fgColor rgb="FFFEEB84"/>
          <bgColor rgb="FF000000"/>
        </patternFill>
      </fill>
    </dxf>
    <dxf>
      <fill>
        <patternFill patternType="solid">
          <fgColor rgb="FFFFEB84"/>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7030A0"/>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4F81BD"/>
      <rgbColor rgb="FF33CCCC"/>
      <rgbColor rgb="FF99CC00"/>
      <rgbColor rgb="FFFFCC00"/>
      <rgbColor rgb="FFBF8F00"/>
      <rgbColor rgb="FFC55A11"/>
      <rgbColor rgb="FF595959"/>
      <rgbColor rgb="FF969696"/>
      <rgbColor rgb="FF1F3864"/>
      <rgbColor rgb="FF339966"/>
      <rgbColor rgb="FF003300"/>
      <rgbColor rgb="FF333300"/>
      <rgbColor rgb="FF993300"/>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Subject status</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1"/>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1"/>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1"/>
            <c:showCatName val="0"/>
            <c:showSerName val="0"/>
            <c:showPercent val="1"/>
            <c:separator>; </c:separator>
            <c:showLeaderLines val="1"/>
          </c:dLbls>
          <c:cat>
            <c:strRef>
              <c:f>Overview!$A$11:$A$12</c:f>
              <c:strCache>
                <c:ptCount val="2"/>
                <c:pt idx="0">
                  <c:v>COMPLETED (analysed)</c:v>
                </c:pt>
                <c:pt idx="1">
                  <c:v>REJECTED (screened out, no QC)</c:v>
                </c:pt>
              </c:strCache>
            </c:strRef>
          </c:cat>
          <c:val>
            <c:numRef>
              <c:f>Overview!$B$11:$B$12</c:f>
              <c:numCache>
                <c:formatCode>#,##0</c:formatCode>
                <c:ptCount val="2"/>
                <c:pt idx="0">
                  <c:v>427</c:v>
                </c:pt>
                <c:pt idx="1">
                  <c:v>181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Why subjects were rejected</a:t>
            </a:r>
          </a:p>
        </c:rich>
      </c:tx>
      <c:overlay val="0"/>
      <c:spPr>
        <a:noFill/>
        <a:ln w="0">
          <a:noFill/>
        </a:ln>
      </c:spPr>
    </c:title>
    <c:autoTitleDeleted val="0"/>
    <c:plotArea>
      <c:barChart>
        <c:barDir val="bar"/>
        <c:grouping val="clustered"/>
        <c:varyColors val="0"/>
        <c:ser>
          <c:idx val="0"/>
          <c:order val="0"/>
          <c:spPr>
            <a:solidFill>
              <a:srgbClr val="c00000"/>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Overview!$A$16:$A$18</c:f>
              <c:strCache>
                <c:ptCount val="3"/>
                <c:pt idx="0">
                  <c:v>Age above 60 (any)</c:v>
                </c:pt>
                <c:pt idx="1">
                  <c:v>Late triggers (any)</c:v>
                </c:pt>
                <c:pt idx="2">
                  <c:v>Both reasons</c:v>
                </c:pt>
              </c:strCache>
            </c:strRef>
          </c:cat>
          <c:val>
            <c:numRef>
              <c:f>Overview!$B$16:$B$18</c:f>
              <c:numCache>
                <c:formatCode>#,##0</c:formatCode>
                <c:ptCount val="3"/>
                <c:pt idx="0">
                  <c:v>94</c:v>
                </c:pt>
                <c:pt idx="1">
                  <c:v>99</c:v>
                </c:pt>
                <c:pt idx="2">
                  <c:v>12</c:v>
                </c:pt>
              </c:numCache>
            </c:numRef>
          </c:val>
        </c:ser>
        <c:gapWidth val="150"/>
        <c:overlap val="0"/>
        <c:axId val="89120771"/>
        <c:axId val="58439026"/>
      </c:barChart>
      <c:catAx>
        <c:axId val="89120771"/>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439026"/>
        <c:crosses val="autoZero"/>
        <c:auto val="1"/>
        <c:lblAlgn val="ctr"/>
        <c:lblOffset val="100"/>
        <c:noMultiLvlLbl val="0"/>
      </c:catAx>
      <c:valAx>
        <c:axId val="58439026"/>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1207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QC verdict (analysed subjects)</a:t>
            </a:r>
          </a:p>
        </c:rich>
      </c:tx>
      <c:overlay val="0"/>
      <c:spPr>
        <a:noFill/>
        <a:ln w="0">
          <a:noFill/>
        </a:ln>
      </c:spPr>
    </c:title>
    <c:autoTitleDeleted val="0"/>
    <c:plotArea>
      <c:barChart>
        <c:barDir val="bar"/>
        <c:grouping val="clustered"/>
        <c:varyColors val="0"/>
        <c:ser>
          <c:idx val="0"/>
          <c:order val="0"/>
          <c:spPr>
            <a:solidFill>
              <a:srgbClr val="548235"/>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Overview!$A$24:$A$26</c:f>
              <c:strCache>
                <c:ptCount val="3"/>
                <c:pt idx="0">
                  <c:v>PASS</c:v>
                </c:pt>
                <c:pt idx="1">
                  <c:v>FLAG</c:v>
                </c:pt>
                <c:pt idx="2">
                  <c:v>FAIL</c:v>
                </c:pt>
              </c:strCache>
            </c:strRef>
          </c:cat>
          <c:val>
            <c:numRef>
              <c:f>Overview!$B$24:$B$26</c:f>
              <c:numCache>
                <c:formatCode>#,##0</c:formatCode>
                <c:ptCount val="3"/>
                <c:pt idx="0">
                  <c:v>6</c:v>
                </c:pt>
                <c:pt idx="1">
                  <c:v>186</c:v>
                </c:pt>
                <c:pt idx="2">
                  <c:v>235</c:v>
                </c:pt>
              </c:numCache>
            </c:numRef>
          </c:val>
        </c:ser>
        <c:gapWidth val="150"/>
        <c:overlap val="0"/>
        <c:axId val="91274712"/>
        <c:axId val="83100788"/>
      </c:barChart>
      <c:catAx>
        <c:axId val="9127471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100788"/>
        <c:crosses val="autoZero"/>
        <c:auto val="1"/>
        <c:lblAlgn val="ctr"/>
        <c:lblOffset val="100"/>
        <c:noMultiLvlLbl val="0"/>
      </c:catAx>
      <c:valAx>
        <c:axId val="83100788"/>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27471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Usability label (analysed subjects)</a:t>
            </a:r>
          </a:p>
        </c:rich>
      </c:tx>
      <c:overlay val="0"/>
      <c:spPr>
        <a:noFill/>
        <a:ln w="0">
          <a:noFill/>
        </a:ln>
      </c:spPr>
    </c:title>
    <c:autoTitleDeleted val="0"/>
    <c:plotArea>
      <c:barChart>
        <c:barDir val="bar"/>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Overview!$A$30:$A$34</c:f>
              <c:strCache>
                <c:ptCount val="5"/>
                <c:pt idx="0">
                  <c:v>USABLE</c:v>
                </c:pt>
                <c:pt idx="1">
                  <c:v>USABLE_WITH_FLAGS</c:v>
                </c:pt>
                <c:pt idx="2">
                  <c:v>USABLE_NEEDS_INTERPOLATION</c:v>
                </c:pt>
                <c:pt idx="3">
                  <c:v>PARTIALLY_USABLE</c:v>
                </c:pt>
                <c:pt idx="4">
                  <c:v>REJECT</c:v>
                </c:pt>
              </c:strCache>
            </c:strRef>
          </c:cat>
          <c:val>
            <c:numRef>
              <c:f>Overview!$B$30:$B$34</c:f>
              <c:numCache>
                <c:formatCode>#,##0</c:formatCode>
                <c:ptCount val="5"/>
                <c:pt idx="0">
                  <c:v>3</c:v>
                </c:pt>
                <c:pt idx="1">
                  <c:v>8</c:v>
                </c:pt>
                <c:pt idx="2">
                  <c:v>181</c:v>
                </c:pt>
                <c:pt idx="3">
                  <c:v>230</c:v>
                </c:pt>
                <c:pt idx="4">
                  <c:v>5</c:v>
                </c:pt>
              </c:numCache>
            </c:numRef>
          </c:val>
        </c:ser>
        <c:gapWidth val="150"/>
        <c:overlap val="0"/>
        <c:axId val="45758940"/>
        <c:axId val="60025268"/>
      </c:barChart>
      <c:catAx>
        <c:axId val="45758940"/>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025268"/>
        <c:crosses val="autoZero"/>
        <c:auto val="1"/>
        <c:lblAlgn val="ctr"/>
        <c:lblOffset val="100"/>
        <c:noMultiLvlLbl val="0"/>
      </c:catAx>
      <c:valAx>
        <c:axId val="60025268"/>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75894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Recordings: PASS / FLAG / FAIL / MISSING</a:t>
            </a:r>
          </a:p>
        </c:rich>
      </c:tx>
      <c:overlay val="0"/>
      <c:spPr>
        <a:noFill/>
        <a:ln w="0">
          <a:noFill/>
        </a:ln>
      </c:spPr>
    </c:title>
    <c:autoTitleDeleted val="0"/>
    <c:plotArea>
      <c:barChart>
        <c:barDir val="bar"/>
        <c:grouping val="clustered"/>
        <c:varyColors val="0"/>
        <c:ser>
          <c:idx val="0"/>
          <c:order val="0"/>
          <c:spPr>
            <a:solidFill>
              <a:srgbClr val="2f5597"/>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Overview!$A$39:$A$42</c:f>
              <c:strCache>
                <c:ptCount val="4"/>
                <c:pt idx="0">
                  <c:v>PASS</c:v>
                </c:pt>
                <c:pt idx="1">
                  <c:v>FLAG</c:v>
                </c:pt>
                <c:pt idx="2">
                  <c:v>FAIL</c:v>
                </c:pt>
                <c:pt idx="3">
                  <c:v>MISSING</c:v>
                </c:pt>
              </c:strCache>
            </c:strRef>
          </c:cat>
          <c:val>
            <c:numRef>
              <c:f>Overview!$B$39:$B$42</c:f>
              <c:numCache>
                <c:formatCode>#,##0</c:formatCode>
                <c:ptCount val="4"/>
                <c:pt idx="0">
                  <c:v>530</c:v>
                </c:pt>
                <c:pt idx="1">
                  <c:v>1290</c:v>
                </c:pt>
                <c:pt idx="2">
                  <c:v>456</c:v>
                </c:pt>
                <c:pt idx="3">
                  <c:v>0</c:v>
                </c:pt>
              </c:numCache>
            </c:numRef>
          </c:val>
        </c:ser>
        <c:gapWidth val="150"/>
        <c:overlap val="0"/>
        <c:axId val="94453435"/>
        <c:axId val="40432255"/>
      </c:barChart>
      <c:catAx>
        <c:axId val="94453435"/>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432255"/>
        <c:crosses val="autoZero"/>
        <c:auto val="1"/>
        <c:lblAlgn val="ctr"/>
        <c:lblOffset val="100"/>
        <c:noMultiLvlLbl val="0"/>
      </c:catAx>
      <c:valAx>
        <c:axId val="40432255"/>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4534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Most common problems (subjects)</a:t>
            </a:r>
          </a:p>
        </c:rich>
      </c:tx>
      <c:overlay val="0"/>
      <c:spPr>
        <a:noFill/>
        <a:ln w="0">
          <a:noFill/>
        </a:ln>
      </c:spPr>
    </c:title>
    <c:autoTitleDeleted val="0"/>
    <c:plotArea>
      <c:barChart>
        <c:barDir val="bar"/>
        <c:grouping val="clustered"/>
        <c:varyColors val="0"/>
        <c:ser>
          <c:idx val="0"/>
          <c:order val="0"/>
          <c:spPr>
            <a:solidFill>
              <a:srgbClr val="bf8f00"/>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Overview!$A$68:$A$76</c:f>
              <c:strCache>
                <c:ptCount val="9"/>
                <c:pt idx="0">
                  <c:v>CRITICAL_CHANNEL_BAD</c:v>
                </c:pt>
                <c:pt idx="1">
                  <c:v>TOO_MANY_BAD_CHANNELS</c:v>
                </c:pt>
                <c:pt idx="2">
                  <c:v>LINE_NOISE</c:v>
                </c:pt>
                <c:pt idx="3">
                  <c:v>LOW_ALPHA_PROMINENCE</c:v>
                </c:pt>
                <c:pt idx="4">
                  <c:v>WEAK_ALPHA_BLOCKING</c:v>
                </c:pt>
                <c:pt idx="5">
                  <c:v>NO_ALPHA_BLOCKING</c:v>
                </c:pt>
                <c:pt idx="6">
                  <c:v>CRITICAL_CHANNELS_BAD</c:v>
                </c:pt>
                <c:pt idx="7">
                  <c:v>HIGH_LINE_NOISE</c:v>
                </c:pt>
                <c:pt idx="8">
                  <c:v>DURATION_S</c:v>
                </c:pt>
              </c:strCache>
            </c:strRef>
          </c:cat>
          <c:val>
            <c:numRef>
              <c:f>Overview!$B$68:$B$76</c:f>
              <c:numCache>
                <c:formatCode>#,##0</c:formatCode>
                <c:ptCount val="9"/>
                <c:pt idx="0">
                  <c:v>381</c:v>
                </c:pt>
                <c:pt idx="1">
                  <c:v>228</c:v>
                </c:pt>
                <c:pt idx="2">
                  <c:v>202</c:v>
                </c:pt>
                <c:pt idx="3">
                  <c:v>146</c:v>
                </c:pt>
                <c:pt idx="4">
                  <c:v>133</c:v>
                </c:pt>
                <c:pt idx="5">
                  <c:v>120</c:v>
                </c:pt>
                <c:pt idx="6">
                  <c:v>16</c:v>
                </c:pt>
                <c:pt idx="7">
                  <c:v>16</c:v>
                </c:pt>
                <c:pt idx="8">
                  <c:v>14</c:v>
                </c:pt>
              </c:numCache>
            </c:numRef>
          </c:val>
        </c:ser>
        <c:gapWidth val="150"/>
        <c:overlap val="0"/>
        <c:axId val="44020367"/>
        <c:axId val="95007345"/>
      </c:barChart>
      <c:catAx>
        <c:axId val="44020367"/>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5007345"/>
        <c:crosses val="autoZero"/>
        <c:auto val="1"/>
        <c:lblAlgn val="ctr"/>
        <c:lblOffset val="100"/>
        <c:noMultiLvlLbl val="0"/>
      </c:catAx>
      <c:valAx>
        <c:axId val="95007345"/>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02036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Critical channel flagged bad (subjects)</a:t>
            </a:r>
          </a:p>
        </c:rich>
      </c:tx>
      <c:overlay val="0"/>
      <c:spPr>
        <a:noFill/>
        <a:ln w="0">
          <a:noFill/>
        </a:ln>
      </c:spPr>
    </c:title>
    <c:autoTitleDeleted val="0"/>
    <c:plotArea>
      <c:barChart>
        <c:barDir val="bar"/>
        <c:grouping val="clustered"/>
        <c:varyColors val="0"/>
        <c:ser>
          <c:idx val="0"/>
          <c:order val="0"/>
          <c:spPr>
            <a:solidFill>
              <a:srgbClr val="7030a0"/>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Overview!$A$79:$A$83</c:f>
              <c:strCache>
                <c:ptCount val="5"/>
                <c:pt idx="0">
                  <c:v>Fz</c:v>
                </c:pt>
                <c:pt idx="1">
                  <c:v>Cz</c:v>
                </c:pt>
                <c:pt idx="2">
                  <c:v>Pz</c:v>
                </c:pt>
                <c:pt idx="3">
                  <c:v>O1</c:v>
                </c:pt>
                <c:pt idx="4">
                  <c:v>O2</c:v>
                </c:pt>
              </c:strCache>
            </c:strRef>
          </c:cat>
          <c:val>
            <c:numRef>
              <c:f>Overview!$B$79:$B$83</c:f>
              <c:numCache>
                <c:formatCode>#,##0</c:formatCode>
                <c:ptCount val="5"/>
                <c:pt idx="0">
                  <c:v>375</c:v>
                </c:pt>
                <c:pt idx="1">
                  <c:v>35</c:v>
                </c:pt>
                <c:pt idx="2">
                  <c:v>0</c:v>
                </c:pt>
                <c:pt idx="3">
                  <c:v>0</c:v>
                </c:pt>
                <c:pt idx="4">
                  <c:v>1</c:v>
                </c:pt>
              </c:numCache>
            </c:numRef>
          </c:val>
        </c:ser>
        <c:gapWidth val="150"/>
        <c:overlap val="0"/>
        <c:axId val="58792108"/>
        <c:axId val="13813258"/>
      </c:barChart>
      <c:catAx>
        <c:axId val="5879210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813258"/>
        <c:crosses val="autoZero"/>
        <c:auto val="1"/>
        <c:lblAlgn val="ctr"/>
        <c:lblOffset val="100"/>
        <c:noMultiLvlLbl val="0"/>
      </c:catAx>
      <c:valAx>
        <c:axId val="13813258"/>
        <c:scaling>
          <c:orientation val="minMax"/>
          <c:min val="0"/>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7921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Rejection rate by age band</a:t>
            </a:r>
          </a:p>
        </c:rich>
      </c:tx>
      <c:overlay val="0"/>
      <c:spPr>
        <a:noFill/>
        <a:ln w="0">
          <a:noFill/>
        </a:ln>
      </c:spPr>
    </c:title>
    <c:autoTitleDeleted val="0"/>
    <c:plotArea>
      <c:barChart>
        <c:barDir val="col"/>
        <c:grouping val="clustered"/>
        <c:varyColors val="0"/>
        <c:ser>
          <c:idx val="0"/>
          <c:order val="0"/>
          <c:spPr>
            <a:solidFill>
              <a:srgbClr val="c55a11"/>
            </a:solidFill>
            <a:ln w="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Overview!$A$59:$A$63</c:f>
              <c:strCache>
                <c:ptCount val="5"/>
                <c:pt idx="0">
                  <c:v>20–29</c:v>
                </c:pt>
                <c:pt idx="1">
                  <c:v>30–39</c:v>
                </c:pt>
                <c:pt idx="2">
                  <c:v>40–49</c:v>
                </c:pt>
                <c:pt idx="3">
                  <c:v>50–60</c:v>
                </c:pt>
                <c:pt idx="4">
                  <c:v>61 and above</c:v>
                </c:pt>
              </c:strCache>
            </c:strRef>
          </c:cat>
          <c:val>
            <c:numRef>
              <c:f>Overview!$E$59:$E$63</c:f>
              <c:numCache>
                <c:formatCode>0.0%</c:formatCode>
                <c:ptCount val="5"/>
                <c:pt idx="0">
                  <c:v>0.182481751824818</c:v>
                </c:pt>
                <c:pt idx="1">
                  <c:v>0.135135135135135</c:v>
                </c:pt>
                <c:pt idx="2">
                  <c:v>0.135135135135135</c:v>
                </c:pt>
                <c:pt idx="3">
                  <c:v>0.206451612903226</c:v>
                </c:pt>
                <c:pt idx="4">
                  <c:v>1</c:v>
                </c:pt>
              </c:numCache>
            </c:numRef>
          </c:val>
        </c:ser>
        <c:gapWidth val="150"/>
        <c:overlap val="0"/>
        <c:axId val="81508496"/>
        <c:axId val="38192337"/>
      </c:barChart>
      <c:catAx>
        <c:axId val="815084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192337"/>
        <c:crosses val="autoZero"/>
        <c:auto val="1"/>
        <c:lblAlgn val="ctr"/>
        <c:lblOffset val="100"/>
        <c:noMultiLvlLbl val="0"/>
      </c:catAx>
      <c:valAx>
        <c:axId val="38192337"/>
        <c:scaling>
          <c:orientation val="minMax"/>
          <c:min val="0"/>
        </c:scaling>
        <c:delete val="0"/>
        <c:axPos val="l"/>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5084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131040</xdr:rowOff>
    </xdr:from>
    <xdr:to>
      <xdr:col>14</xdr:col>
      <xdr:colOff>465480</xdr:colOff>
      <xdr:row>16</xdr:row>
      <xdr:rowOff>163800</xdr:rowOff>
    </xdr:to>
    <xdr:graphicFrame>
      <xdr:nvGraphicFramePr>
        <xdr:cNvPr id="0" name="Chart 1"/>
        <xdr:cNvGraphicFramePr/>
      </xdr:nvGraphicFramePr>
      <xdr:xfrm>
        <a:off x="7330320" y="57168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2</xdr:row>
      <xdr:rowOff>131040</xdr:rowOff>
    </xdr:from>
    <xdr:to>
      <xdr:col>25</xdr:col>
      <xdr:colOff>134280</xdr:colOff>
      <xdr:row>16</xdr:row>
      <xdr:rowOff>163800</xdr:rowOff>
    </xdr:to>
    <xdr:graphicFrame>
      <xdr:nvGraphicFramePr>
        <xdr:cNvPr id="1" name="Chart 2"/>
        <xdr:cNvGraphicFramePr/>
      </xdr:nvGraphicFramePr>
      <xdr:xfrm>
        <a:off x="14379120" y="571680"/>
        <a:ext cx="539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18</xdr:row>
      <xdr:rowOff>130680</xdr:rowOff>
    </xdr:from>
    <xdr:to>
      <xdr:col>14</xdr:col>
      <xdr:colOff>465480</xdr:colOff>
      <xdr:row>32</xdr:row>
      <xdr:rowOff>163440</xdr:rowOff>
    </xdr:to>
    <xdr:graphicFrame>
      <xdr:nvGraphicFramePr>
        <xdr:cNvPr id="2" name="Chart 3"/>
        <xdr:cNvGraphicFramePr/>
      </xdr:nvGraphicFramePr>
      <xdr:xfrm>
        <a:off x="7330320" y="3619440"/>
        <a:ext cx="5399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0</xdr:colOff>
      <xdr:row>18</xdr:row>
      <xdr:rowOff>130680</xdr:rowOff>
    </xdr:from>
    <xdr:to>
      <xdr:col>25</xdr:col>
      <xdr:colOff>134280</xdr:colOff>
      <xdr:row>32</xdr:row>
      <xdr:rowOff>163440</xdr:rowOff>
    </xdr:to>
    <xdr:graphicFrame>
      <xdr:nvGraphicFramePr>
        <xdr:cNvPr id="3" name="Chart 4"/>
        <xdr:cNvGraphicFramePr/>
      </xdr:nvGraphicFramePr>
      <xdr:xfrm>
        <a:off x="14379120" y="3619440"/>
        <a:ext cx="5399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34</xdr:row>
      <xdr:rowOff>131040</xdr:rowOff>
    </xdr:from>
    <xdr:to>
      <xdr:col>14</xdr:col>
      <xdr:colOff>465480</xdr:colOff>
      <xdr:row>48</xdr:row>
      <xdr:rowOff>163440</xdr:rowOff>
    </xdr:to>
    <xdr:graphicFrame>
      <xdr:nvGraphicFramePr>
        <xdr:cNvPr id="4" name="Chart 5"/>
        <xdr:cNvGraphicFramePr/>
      </xdr:nvGraphicFramePr>
      <xdr:xfrm>
        <a:off x="7330320" y="6667560"/>
        <a:ext cx="5399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34</xdr:row>
      <xdr:rowOff>131040</xdr:rowOff>
    </xdr:from>
    <xdr:to>
      <xdr:col>25</xdr:col>
      <xdr:colOff>134280</xdr:colOff>
      <xdr:row>52</xdr:row>
      <xdr:rowOff>121680</xdr:rowOff>
    </xdr:to>
    <xdr:graphicFrame>
      <xdr:nvGraphicFramePr>
        <xdr:cNvPr id="5" name="Chart 6"/>
        <xdr:cNvGraphicFramePr/>
      </xdr:nvGraphicFramePr>
      <xdr:xfrm>
        <a:off x="14379120" y="6667560"/>
        <a:ext cx="5399640" cy="341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0</xdr:colOff>
      <xdr:row>53</xdr:row>
      <xdr:rowOff>130680</xdr:rowOff>
    </xdr:from>
    <xdr:to>
      <xdr:col>14</xdr:col>
      <xdr:colOff>465480</xdr:colOff>
      <xdr:row>67</xdr:row>
      <xdr:rowOff>163440</xdr:rowOff>
    </xdr:to>
    <xdr:graphicFrame>
      <xdr:nvGraphicFramePr>
        <xdr:cNvPr id="6" name="Chart 7"/>
        <xdr:cNvGraphicFramePr/>
      </xdr:nvGraphicFramePr>
      <xdr:xfrm>
        <a:off x="7330320" y="10287000"/>
        <a:ext cx="5399640" cy="269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17</xdr:col>
      <xdr:colOff>0</xdr:colOff>
      <xdr:row>53</xdr:row>
      <xdr:rowOff>130680</xdr:rowOff>
    </xdr:from>
    <xdr:to>
      <xdr:col>25</xdr:col>
      <xdr:colOff>134280</xdr:colOff>
      <xdr:row>67</xdr:row>
      <xdr:rowOff>163440</xdr:rowOff>
    </xdr:to>
    <xdr:graphicFrame>
      <xdr:nvGraphicFramePr>
        <xdr:cNvPr id="7" name="Chart 8"/>
        <xdr:cNvGraphicFramePr/>
      </xdr:nvGraphicFramePr>
      <xdr:xfrm>
        <a:off x="14379120" y="10287000"/>
        <a:ext cx="5399640" cy="269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3"/>
    <col collapsed="false" customWidth="true" hidden="false" outlineLevel="0" max="7" min="6" style="0" width="3"/>
    <col collapsed="false" customWidth="true" hidden="false" outlineLevel="0" max="21" min="8" style="0" width="1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c r="C4" s="5"/>
      <c r="D4" s="5"/>
      <c r="E4" s="5"/>
    </row>
    <row r="5" customFormat="false" ht="15" hidden="false" customHeight="false" outlineLevel="0" collapsed="false">
      <c r="A5" s="6" t="s">
        <v>4</v>
      </c>
      <c r="B5" s="7" t="n">
        <v>608</v>
      </c>
    </row>
    <row r="6" customFormat="false" ht="15" hidden="false" customHeight="false" outlineLevel="0" collapsed="false">
      <c r="A6" s="6" t="s">
        <v>5</v>
      </c>
      <c r="B6" s="8" t="n">
        <f aca="false">COUNTA(Subjects!$A$2:$A$609)</f>
        <v>608</v>
      </c>
    </row>
    <row r="7" customFormat="false" ht="15" hidden="false" customHeight="false" outlineLevel="0" collapsed="false">
      <c r="A7" s="6" t="s">
        <v>6</v>
      </c>
      <c r="B7" s="8" t="n">
        <f aca="false">B5-B6</f>
        <v>0</v>
      </c>
    </row>
    <row r="8" customFormat="false" ht="15" hidden="false" customHeight="false" outlineLevel="0" collapsed="false">
      <c r="A8" s="6" t="s">
        <v>7</v>
      </c>
      <c r="B8" s="8" t="n">
        <f aca="false">B6-SUMPRODUCT(1/COUNTIF(Subjects!$A$2:$A$609,Subjects!$A$2:$A$609))</f>
        <v>0</v>
      </c>
    </row>
    <row r="10" customFormat="false" ht="15" hidden="false" customHeight="false" outlineLevel="0" collapsed="false">
      <c r="A10" s="3" t="s">
        <v>8</v>
      </c>
      <c r="B10" s="4" t="s">
        <v>9</v>
      </c>
      <c r="C10" s="4" t="s">
        <v>10</v>
      </c>
      <c r="D10" s="5"/>
      <c r="E10" s="5"/>
    </row>
    <row r="11" customFormat="false" ht="15" hidden="false" customHeight="false" outlineLevel="0" collapsed="false">
      <c r="A11" s="6" t="s">
        <v>11</v>
      </c>
      <c r="B11" s="8" t="n">
        <f aca="false">COUNTIF(Subjects!$B$2:$B$609,"COMPLETED")</f>
        <v>427</v>
      </c>
      <c r="C11" s="9" t="n">
        <f aca="false">B11/$B$6</f>
        <v>0.702302631578947</v>
      </c>
    </row>
    <row r="12" customFormat="false" ht="15" hidden="false" customHeight="false" outlineLevel="0" collapsed="false">
      <c r="A12" s="6" t="s">
        <v>12</v>
      </c>
      <c r="B12" s="8" t="n">
        <f aca="false">COUNTIF(Subjects!$B$2:$B$609,"REJECTED")</f>
        <v>181</v>
      </c>
      <c r="C12" s="9" t="n">
        <f aca="false">B12/$B$6</f>
        <v>0.297697368421053</v>
      </c>
    </row>
    <row r="13" customFormat="false" ht="15" hidden="false" customHeight="false" outlineLevel="0" collapsed="false">
      <c r="A13" s="10" t="s">
        <v>13</v>
      </c>
      <c r="B13" s="11" t="n">
        <f aca="false">B11+B12</f>
        <v>608</v>
      </c>
      <c r="C13" s="12" t="n">
        <f aca="false">B13/$B$6</f>
        <v>1</v>
      </c>
    </row>
    <row r="15" customFormat="false" ht="15" hidden="false" customHeight="false" outlineLevel="0" collapsed="false">
      <c r="A15" s="3" t="s">
        <v>14</v>
      </c>
      <c r="B15" s="4" t="s">
        <v>9</v>
      </c>
      <c r="C15" s="4" t="s">
        <v>15</v>
      </c>
      <c r="D15" s="5"/>
      <c r="E15" s="5"/>
    </row>
    <row r="16" customFormat="false" ht="15" hidden="false" customHeight="false" outlineLevel="0" collapsed="false">
      <c r="A16" s="6" t="s">
        <v>16</v>
      </c>
      <c r="B16" s="8" t="n">
        <f aca="false">COUNTIFS(Subjects!$B$2:$B$609,"REJECTED",Subjects!$F$2:$F$609,"*Age above*")</f>
        <v>94</v>
      </c>
      <c r="C16" s="9" t="n">
        <f aca="false">B16/$B$12</f>
        <v>0.519337016574586</v>
      </c>
    </row>
    <row r="17" customFormat="false" ht="15" hidden="false" customHeight="false" outlineLevel="0" collapsed="false">
      <c r="A17" s="6" t="s">
        <v>17</v>
      </c>
      <c r="B17" s="8" t="n">
        <f aca="false">COUNTIFS(Subjects!$B$2:$B$609,"REJECTED",Subjects!$F$2:$F$609,"*Late triggers*")</f>
        <v>99</v>
      </c>
      <c r="C17" s="9" t="n">
        <f aca="false">B17/$B$12</f>
        <v>0.546961325966851</v>
      </c>
    </row>
    <row r="18" customFormat="false" ht="15" hidden="false" customHeight="false" outlineLevel="0" collapsed="false">
      <c r="A18" s="6" t="s">
        <v>18</v>
      </c>
      <c r="B18" s="8" t="n">
        <f aca="false">COUNTIFS(Subjects!$B$2:$B$609,"REJECTED",Subjects!$F$2:$F$609,"*Age above*",Subjects!$F$2:$F$609,"*Late triggers*")</f>
        <v>12</v>
      </c>
      <c r="C18" s="9" t="n">
        <f aca="false">B18/$B$12</f>
        <v>0.0662983425414365</v>
      </c>
    </row>
    <row r="19" customFormat="false" ht="15" hidden="false" customHeight="false" outlineLevel="0" collapsed="false">
      <c r="A19" s="13" t="s">
        <v>19</v>
      </c>
      <c r="B19" s="8" t="n">
        <f aca="false">B16-B18</f>
        <v>82</v>
      </c>
      <c r="C19" s="9" t="n">
        <f aca="false">B19/$B$12</f>
        <v>0.453038674033149</v>
      </c>
    </row>
    <row r="20" customFormat="false" ht="15" hidden="false" customHeight="false" outlineLevel="0" collapsed="false">
      <c r="A20" s="13" t="s">
        <v>20</v>
      </c>
      <c r="B20" s="8" t="n">
        <f aca="false">B17-B18</f>
        <v>87</v>
      </c>
      <c r="C20" s="9" t="n">
        <f aca="false">B20/$B$12</f>
        <v>0.480662983425414</v>
      </c>
    </row>
    <row r="21" customFormat="false" ht="15" hidden="false" customHeight="false" outlineLevel="0" collapsed="false">
      <c r="A21" s="10" t="s">
        <v>21</v>
      </c>
      <c r="B21" s="11" t="n">
        <f aca="false">B19+B20+B18</f>
        <v>181</v>
      </c>
      <c r="C21" s="12" t="n">
        <f aca="false">B21/$B$12</f>
        <v>1</v>
      </c>
    </row>
    <row r="23" customFormat="false" ht="15" hidden="false" customHeight="false" outlineLevel="0" collapsed="false">
      <c r="A23" s="3" t="s">
        <v>22</v>
      </c>
      <c r="B23" s="4" t="s">
        <v>9</v>
      </c>
      <c r="C23" s="4" t="s">
        <v>23</v>
      </c>
      <c r="D23" s="5"/>
      <c r="E23" s="5"/>
    </row>
    <row r="24" customFormat="false" ht="15" hidden="false" customHeight="false" outlineLevel="0" collapsed="false">
      <c r="A24" s="6" t="s">
        <v>24</v>
      </c>
      <c r="B24" s="8" t="n">
        <f aca="false">COUNTIF(Subjects!$C$2:$C$609,"PASS")</f>
        <v>6</v>
      </c>
      <c r="C24" s="9" t="n">
        <f aca="false">B24/$B$11</f>
        <v>0.0140515222482436</v>
      </c>
    </row>
    <row r="25" customFormat="false" ht="15" hidden="false" customHeight="false" outlineLevel="0" collapsed="false">
      <c r="A25" s="6" t="s">
        <v>25</v>
      </c>
      <c r="B25" s="8" t="n">
        <f aca="false">COUNTIF(Subjects!$C$2:$C$609,"FLAG")</f>
        <v>186</v>
      </c>
      <c r="C25" s="9" t="n">
        <f aca="false">B25/$B$11</f>
        <v>0.43559718969555</v>
      </c>
    </row>
    <row r="26" customFormat="false" ht="15" hidden="false" customHeight="false" outlineLevel="0" collapsed="false">
      <c r="A26" s="6" t="s">
        <v>26</v>
      </c>
      <c r="B26" s="8" t="n">
        <f aca="false">COUNTIF(Subjects!$C$2:$C$609,"FAIL")</f>
        <v>235</v>
      </c>
      <c r="C26" s="9" t="n">
        <f aca="false">B26/$B$11</f>
        <v>0.550351288056206</v>
      </c>
    </row>
    <row r="27" customFormat="false" ht="15" hidden="false" customHeight="false" outlineLevel="0" collapsed="false">
      <c r="A27" s="10" t="s">
        <v>13</v>
      </c>
      <c r="B27" s="11" t="n">
        <f aca="false">SUM(B24:B26)</f>
        <v>427</v>
      </c>
      <c r="C27" s="12" t="n">
        <f aca="false">B27/$B$11</f>
        <v>1</v>
      </c>
    </row>
    <row r="29" customFormat="false" ht="15" hidden="false" customHeight="false" outlineLevel="0" collapsed="false">
      <c r="A29" s="3" t="s">
        <v>27</v>
      </c>
      <c r="B29" s="4" t="s">
        <v>9</v>
      </c>
      <c r="C29" s="4" t="s">
        <v>23</v>
      </c>
      <c r="D29" s="5"/>
      <c r="E29" s="5"/>
    </row>
    <row r="30" customFormat="false" ht="15" hidden="false" customHeight="false" outlineLevel="0" collapsed="false">
      <c r="A30" s="6" t="s">
        <v>28</v>
      </c>
      <c r="B30" s="8" t="n">
        <f aca="false">COUNTIF(Subjects!$D$2:$D$609,"USABLE")</f>
        <v>3</v>
      </c>
      <c r="C30" s="9" t="n">
        <f aca="false">B30/$B$11</f>
        <v>0.00702576112412178</v>
      </c>
    </row>
    <row r="31" customFormat="false" ht="15" hidden="false" customHeight="false" outlineLevel="0" collapsed="false">
      <c r="A31" s="6" t="s">
        <v>29</v>
      </c>
      <c r="B31" s="8" t="n">
        <f aca="false">COUNTIF(Subjects!$D$2:$D$609,"USABLE_WITH_FLAGS")</f>
        <v>8</v>
      </c>
      <c r="C31" s="9" t="n">
        <f aca="false">B31/$B$11</f>
        <v>0.0187353629976581</v>
      </c>
    </row>
    <row r="32" customFormat="false" ht="15" hidden="false" customHeight="false" outlineLevel="0" collapsed="false">
      <c r="A32" s="6" t="s">
        <v>30</v>
      </c>
      <c r="B32" s="8" t="n">
        <f aca="false">COUNTIF(Subjects!$D$2:$D$609,"USABLE_NEEDS_INTERPOLATION")</f>
        <v>181</v>
      </c>
      <c r="C32" s="9" t="n">
        <f aca="false">B32/$B$11</f>
        <v>0.423887587822014</v>
      </c>
    </row>
    <row r="33" customFormat="false" ht="15" hidden="false" customHeight="false" outlineLevel="0" collapsed="false">
      <c r="A33" s="6" t="s">
        <v>31</v>
      </c>
      <c r="B33" s="8" t="n">
        <f aca="false">COUNTIF(Subjects!$D$2:$D$609,"PARTIALLY_USABLE")</f>
        <v>230</v>
      </c>
      <c r="C33" s="9" t="n">
        <f aca="false">B33/$B$11</f>
        <v>0.53864168618267</v>
      </c>
    </row>
    <row r="34" customFormat="false" ht="15" hidden="false" customHeight="false" outlineLevel="0" collapsed="false">
      <c r="A34" s="6" t="s">
        <v>32</v>
      </c>
      <c r="B34" s="8" t="n">
        <f aca="false">COUNTIF(Subjects!$D$2:$D$609,"REJECT")</f>
        <v>5</v>
      </c>
      <c r="C34" s="9" t="n">
        <f aca="false">B34/$B$11</f>
        <v>0.0117096018735363</v>
      </c>
    </row>
    <row r="35" customFormat="false" ht="15" hidden="false" customHeight="false" outlineLevel="0" collapsed="false">
      <c r="A35" s="10" t="s">
        <v>13</v>
      </c>
      <c r="B35" s="11" t="n">
        <f aca="false">SUM(B30:B34)</f>
        <v>427</v>
      </c>
      <c r="C35" s="12" t="n">
        <f aca="false">B35/$B$11</f>
        <v>1</v>
      </c>
    </row>
    <row r="37" customFormat="false" ht="15" hidden="false" customHeight="false" outlineLevel="0" collapsed="false">
      <c r="A37" s="3" t="s">
        <v>33</v>
      </c>
      <c r="B37" s="4" t="s">
        <v>34</v>
      </c>
      <c r="C37" s="4" t="s">
        <v>35</v>
      </c>
      <c r="D37" s="5"/>
      <c r="E37" s="5"/>
    </row>
    <row r="38" customFormat="false" ht="15" hidden="false" customHeight="false" outlineLevel="0" collapsed="false">
      <c r="A38" s="6" t="s">
        <v>36</v>
      </c>
      <c r="B38" s="8" t="n">
        <f aca="false">SUM(Subjects!$K$2:$K$609)</f>
        <v>2276</v>
      </c>
      <c r="C38" s="9" t="n">
        <f aca="false">B38/$B$38</f>
        <v>1</v>
      </c>
    </row>
    <row r="39" customFormat="false" ht="15" hidden="false" customHeight="false" outlineLevel="0" collapsed="false">
      <c r="A39" s="13" t="s">
        <v>24</v>
      </c>
      <c r="B39" s="8" t="n">
        <f aca="false">SUM(Subjects!$L$2:$L$609)</f>
        <v>530</v>
      </c>
      <c r="C39" s="9" t="n">
        <f aca="false">B39/$B$38</f>
        <v>0.23286467486819</v>
      </c>
    </row>
    <row r="40" customFormat="false" ht="15" hidden="false" customHeight="false" outlineLevel="0" collapsed="false">
      <c r="A40" s="13" t="s">
        <v>25</v>
      </c>
      <c r="B40" s="8" t="n">
        <f aca="false">SUM(Subjects!$M$2:$M$609)</f>
        <v>1290</v>
      </c>
      <c r="C40" s="9" t="n">
        <f aca="false">B40/$B$38</f>
        <v>0.566783831282953</v>
      </c>
    </row>
    <row r="41" customFormat="false" ht="15" hidden="false" customHeight="false" outlineLevel="0" collapsed="false">
      <c r="A41" s="13" t="s">
        <v>26</v>
      </c>
      <c r="B41" s="8" t="n">
        <f aca="false">SUM(Subjects!$N$2:$N$609)</f>
        <v>456</v>
      </c>
      <c r="C41" s="9" t="n">
        <f aca="false">B41/$B$38</f>
        <v>0.200351493848858</v>
      </c>
    </row>
    <row r="42" customFormat="false" ht="15" hidden="false" customHeight="false" outlineLevel="0" collapsed="false">
      <c r="A42" s="13" t="s">
        <v>37</v>
      </c>
      <c r="B42" s="8" t="n">
        <f aca="false">SUM(Subjects!$O$2:$O$609)</f>
        <v>0</v>
      </c>
      <c r="C42" s="9" t="n">
        <f aca="false">B42/$B$38</f>
        <v>0</v>
      </c>
    </row>
    <row r="43" customFormat="false" ht="15" hidden="false" customHeight="false" outlineLevel="0" collapsed="false">
      <c r="A43" s="10" t="s">
        <v>38</v>
      </c>
      <c r="B43" s="11" t="n">
        <f aca="false">SUM(Subjects!$P$2:$P$609)</f>
        <v>1820</v>
      </c>
      <c r="C43" s="12" t="n">
        <f aca="false">B43/$B$38</f>
        <v>0.799648506151142</v>
      </c>
    </row>
    <row r="44" customFormat="false" ht="15" hidden="false" customHeight="false" outlineLevel="0" collapsed="false">
      <c r="A44" s="13" t="s">
        <v>28</v>
      </c>
      <c r="B44" s="8" t="n">
        <f aca="false">SUM(Subjects!$Q$2:$Q$609)</f>
        <v>261</v>
      </c>
      <c r="C44" s="9" t="n">
        <f aca="false">B44/$B$38</f>
        <v>0.114674868189807</v>
      </c>
    </row>
    <row r="45" customFormat="false" ht="15" hidden="false" customHeight="false" outlineLevel="0" collapsed="false">
      <c r="A45" s="13" t="s">
        <v>29</v>
      </c>
      <c r="B45" s="8" t="n">
        <f aca="false">SUM(Subjects!$R$2:$R$609)</f>
        <v>305</v>
      </c>
      <c r="C45" s="9" t="n">
        <f aca="false">B45/$B$38</f>
        <v>0.134007029876977</v>
      </c>
    </row>
    <row r="46" customFormat="false" ht="15" hidden="false" customHeight="false" outlineLevel="0" collapsed="false">
      <c r="A46" s="13" t="s">
        <v>30</v>
      </c>
      <c r="B46" s="8" t="n">
        <f aca="false">SUM(Subjects!$S$2:$S$609)</f>
        <v>1254</v>
      </c>
      <c r="C46" s="9" t="n">
        <f aca="false">B46/$B$38</f>
        <v>0.550966608084359</v>
      </c>
    </row>
    <row r="47" customFormat="false" ht="15" hidden="false" customHeight="false" outlineLevel="0" collapsed="false">
      <c r="A47" s="13" t="s">
        <v>32</v>
      </c>
      <c r="B47" s="8" t="n">
        <f aca="false">SUM(Subjects!$T$2:$T$609)</f>
        <v>456</v>
      </c>
      <c r="C47" s="9" t="n">
        <f aca="false">B47/$B$38</f>
        <v>0.200351493848858</v>
      </c>
    </row>
    <row r="49" customFormat="false" ht="15" hidden="false" customHeight="false" outlineLevel="0" collapsed="false">
      <c r="A49" s="3" t="s">
        <v>39</v>
      </c>
      <c r="B49" s="4" t="s">
        <v>9</v>
      </c>
      <c r="C49" s="4" t="s">
        <v>10</v>
      </c>
      <c r="D49" s="5"/>
      <c r="E49" s="5"/>
    </row>
    <row r="50" customFormat="false" ht="15" hidden="false" customHeight="false" outlineLevel="0" collapsed="false">
      <c r="A50" s="6" t="s">
        <v>40</v>
      </c>
      <c r="B50" s="8" t="n">
        <f aca="false">COUNTIF(Subjects!$G$2:$G$609,"F")</f>
        <v>376</v>
      </c>
      <c r="C50" s="9" t="n">
        <f aca="false">B50/$B$6</f>
        <v>0.618421052631579</v>
      </c>
    </row>
    <row r="51" customFormat="false" ht="15" hidden="false" customHeight="false" outlineLevel="0" collapsed="false">
      <c r="A51" s="6" t="s">
        <v>41</v>
      </c>
      <c r="B51" s="8" t="n">
        <f aca="false">COUNTIF(Subjects!$G$2:$G$609,"M")</f>
        <v>232</v>
      </c>
      <c r="C51" s="9" t="n">
        <f aca="false">B51/$B$6</f>
        <v>0.381578947368421</v>
      </c>
    </row>
    <row r="52" customFormat="false" ht="15" hidden="false" customHeight="false" outlineLevel="0" collapsed="false">
      <c r="A52" s="6" t="s">
        <v>42</v>
      </c>
      <c r="B52" s="8" t="n">
        <f aca="false">COUNTIF(Subjects!$I$2:$I$609,"right")</f>
        <v>566</v>
      </c>
      <c r="C52" s="9" t="n">
        <f aca="false">B52/$B$6</f>
        <v>0.930921052631579</v>
      </c>
    </row>
    <row r="53" customFormat="false" ht="15" hidden="false" customHeight="false" outlineLevel="0" collapsed="false">
      <c r="A53" s="6" t="s">
        <v>43</v>
      </c>
      <c r="B53" s="8" t="n">
        <f aca="false">COUNTIF(Subjects!$I$2:$I$609,"left")</f>
        <v>40</v>
      </c>
      <c r="C53" s="9" t="n">
        <f aca="false">B53/$B$6</f>
        <v>0.0657894736842105</v>
      </c>
    </row>
    <row r="54" customFormat="false" ht="15" hidden="false" customHeight="false" outlineLevel="0" collapsed="false">
      <c r="A54" s="6" t="s">
        <v>44</v>
      </c>
      <c r="B54" s="8" t="n">
        <f aca="false">COUNTIF(Subjects!$I$2:$I$609,"n/a")</f>
        <v>2</v>
      </c>
      <c r="C54" s="9" t="n">
        <f aca="false">B54/$B$6</f>
        <v>0.00328947368421053</v>
      </c>
    </row>
    <row r="55" customFormat="false" ht="15" hidden="false" customHeight="false" outlineLevel="0" collapsed="false">
      <c r="A55" s="6" t="s">
        <v>45</v>
      </c>
      <c r="B55" s="8" t="n">
        <f aca="false">COUNTIFS(Subjects!$B$2:$B$609,"COMPLETED",Subjects!$J$2:$J$609,"ses-1")</f>
        <v>285</v>
      </c>
      <c r="C55" s="9" t="n">
        <f aca="false">B55/$B$11</f>
        <v>0.667447306791569</v>
      </c>
    </row>
    <row r="56" customFormat="false" ht="15" hidden="false" customHeight="false" outlineLevel="0" collapsed="false">
      <c r="A56" s="6" t="s">
        <v>46</v>
      </c>
      <c r="B56" s="8" t="n">
        <f aca="false">COUNTIFS(Subjects!$B$2:$B$609,"COMPLETED",Subjects!$J$2:$J$609,"ses-1, ses-2")</f>
        <v>142</v>
      </c>
      <c r="C56" s="9" t="n">
        <f aca="false">B56/$B$11</f>
        <v>0.332552693208431</v>
      </c>
    </row>
    <row r="58" customFormat="false" ht="15" hidden="false" customHeight="false" outlineLevel="0" collapsed="false">
      <c r="A58" s="3" t="s">
        <v>47</v>
      </c>
      <c r="B58" s="4" t="s">
        <v>48</v>
      </c>
      <c r="C58" s="4" t="s">
        <v>49</v>
      </c>
      <c r="D58" s="4" t="s">
        <v>50</v>
      </c>
      <c r="E58" s="4" t="s">
        <v>51</v>
      </c>
    </row>
    <row r="59" customFormat="false" ht="15" hidden="false" customHeight="false" outlineLevel="0" collapsed="false">
      <c r="A59" s="6" t="s">
        <v>52</v>
      </c>
      <c r="B59" s="8" t="n">
        <f aca="false">SUMPRODUCT((Subjects!$B$2:$B$609="COMPLETED")*(VALUE(Subjects!$H$2:$H$609)&gt;=20)*(VALUE(Subjects!$H$2:$H$609)&lt;=29))</f>
        <v>112</v>
      </c>
      <c r="C59" s="8" t="n">
        <f aca="false">SUMPRODUCT((Subjects!$B$2:$B$609="REJECTED")*(VALUE(Subjects!$H$2:$H$609)&gt;=20)*(VALUE(Subjects!$H$2:$H$609)&lt;=29))</f>
        <v>25</v>
      </c>
      <c r="D59" s="8" t="n">
        <f aca="false">B59+C59</f>
        <v>137</v>
      </c>
      <c r="E59" s="9" t="n">
        <f aca="false">IF(D59=0,0,C59/D59)</f>
        <v>0.182481751824818</v>
      </c>
    </row>
    <row r="60" customFormat="false" ht="15" hidden="false" customHeight="false" outlineLevel="0" collapsed="false">
      <c r="A60" s="6" t="s">
        <v>53</v>
      </c>
      <c r="B60" s="8" t="n">
        <f aca="false">SUMPRODUCT((Subjects!$B$2:$B$609="COMPLETED")*(VALUE(Subjects!$H$2:$H$609)&gt;=30)*(VALUE(Subjects!$H$2:$H$609)&lt;=39))</f>
        <v>96</v>
      </c>
      <c r="C60" s="8" t="n">
        <f aca="false">SUMPRODUCT((Subjects!$B$2:$B$609="REJECTED")*(VALUE(Subjects!$H$2:$H$609)&gt;=30)*(VALUE(Subjects!$H$2:$H$609)&lt;=39))</f>
        <v>15</v>
      </c>
      <c r="D60" s="8" t="n">
        <f aca="false">B60+C60</f>
        <v>111</v>
      </c>
      <c r="E60" s="9" t="n">
        <f aca="false">IF(D60=0,0,C60/D60)</f>
        <v>0.135135135135135</v>
      </c>
    </row>
    <row r="61" customFormat="false" ht="15" hidden="false" customHeight="false" outlineLevel="0" collapsed="false">
      <c r="A61" s="6" t="s">
        <v>54</v>
      </c>
      <c r="B61" s="8" t="n">
        <f aca="false">SUMPRODUCT((Subjects!$B$2:$B$609="COMPLETED")*(VALUE(Subjects!$H$2:$H$609)&gt;=40)*(VALUE(Subjects!$H$2:$H$609)&lt;=49))</f>
        <v>96</v>
      </c>
      <c r="C61" s="8" t="n">
        <f aca="false">SUMPRODUCT((Subjects!$B$2:$B$609="REJECTED")*(VALUE(Subjects!$H$2:$H$609)&gt;=40)*(VALUE(Subjects!$H$2:$H$609)&lt;=49))</f>
        <v>15</v>
      </c>
      <c r="D61" s="8" t="n">
        <f aca="false">B61+C61</f>
        <v>111</v>
      </c>
      <c r="E61" s="9" t="n">
        <f aca="false">IF(D61=0,0,C61/D61)</f>
        <v>0.135135135135135</v>
      </c>
    </row>
    <row r="62" customFormat="false" ht="15" hidden="false" customHeight="false" outlineLevel="0" collapsed="false">
      <c r="A62" s="6" t="s">
        <v>55</v>
      </c>
      <c r="B62" s="8" t="n">
        <f aca="false">SUMPRODUCT((Subjects!$B$2:$B$609="COMPLETED")*(VALUE(Subjects!$H$2:$H$609)&gt;=50)*(VALUE(Subjects!$H$2:$H$609)&lt;=60))</f>
        <v>123</v>
      </c>
      <c r="C62" s="8" t="n">
        <f aca="false">SUMPRODUCT((Subjects!$B$2:$B$609="REJECTED")*(VALUE(Subjects!$H$2:$H$609)&gt;=50)*(VALUE(Subjects!$H$2:$H$609)&lt;=60))</f>
        <v>32</v>
      </c>
      <c r="D62" s="8" t="n">
        <f aca="false">B62+C62</f>
        <v>155</v>
      </c>
      <c r="E62" s="9" t="n">
        <f aca="false">IF(D62=0,0,C62/D62)</f>
        <v>0.206451612903226</v>
      </c>
    </row>
    <row r="63" customFormat="false" ht="15" hidden="false" customHeight="false" outlineLevel="0" collapsed="false">
      <c r="A63" s="6" t="s">
        <v>56</v>
      </c>
      <c r="B63" s="8" t="n">
        <f aca="false">SUMPRODUCT((Subjects!$B$2:$B$609="COMPLETED")*(VALUE(Subjects!$H$2:$H$609)&gt;=61)*(VALUE(Subjects!$H$2:$H$609)&lt;=200))</f>
        <v>0</v>
      </c>
      <c r="C63" s="8" t="n">
        <f aca="false">SUMPRODUCT((Subjects!$B$2:$B$609="REJECTED")*(VALUE(Subjects!$H$2:$H$609)&gt;=61)*(VALUE(Subjects!$H$2:$H$609)&lt;=200))</f>
        <v>94</v>
      </c>
      <c r="D63" s="8" t="n">
        <f aca="false">B63+C63</f>
        <v>94</v>
      </c>
      <c r="E63" s="9" t="n">
        <f aca="false">IF(D63=0,0,C63/D63)</f>
        <v>1</v>
      </c>
    </row>
    <row r="64" customFormat="false" ht="15" hidden="false" customHeight="false" outlineLevel="0" collapsed="false">
      <c r="A64" s="10" t="s">
        <v>13</v>
      </c>
      <c r="B64" s="11" t="n">
        <f aca="false">SUM(B59:B63)</f>
        <v>427</v>
      </c>
      <c r="C64" s="11" t="n">
        <f aca="false">SUM(C59:C63)</f>
        <v>181</v>
      </c>
      <c r="D64" s="11" t="n">
        <f aca="false">SUM(D59:D63)</f>
        <v>608</v>
      </c>
      <c r="E64" s="12" t="n">
        <f aca="false">C64/D64</f>
        <v>0.297697368421053</v>
      </c>
    </row>
    <row r="65" customFormat="false" ht="15" hidden="false" customHeight="false" outlineLevel="0" collapsed="false">
      <c r="A65" s="6" t="s">
        <v>57</v>
      </c>
      <c r="B65" s="14" t="n">
        <f aca="false">SUMPRODUCT((Subjects!$B$2:$B$609="COMPLETED")*VALUE(Subjects!$H$2:$H$609))/B11</f>
        <v>39.9180327868853</v>
      </c>
      <c r="C65" s="14" t="n">
        <f aca="false">SUMPRODUCT((Subjects!$B$2:$B$609="REJECTED")*VALUE(Subjects!$H$2:$H$609))/B12</f>
        <v>53.8563535911602</v>
      </c>
      <c r="D65" s="14" t="n">
        <f aca="false">SUMPRODUCT(VALUE(Subjects!$H$2:$H$609))/B6</f>
        <v>44.0674342105263</v>
      </c>
    </row>
    <row r="67" customFormat="false" ht="15" hidden="false" customHeight="false" outlineLevel="0" collapsed="false">
      <c r="A67" s="3" t="s">
        <v>58</v>
      </c>
      <c r="B67" s="4" t="s">
        <v>9</v>
      </c>
      <c r="C67" s="4" t="s">
        <v>23</v>
      </c>
      <c r="D67" s="5"/>
      <c r="E67" s="5"/>
    </row>
    <row r="68" customFormat="false" ht="15" hidden="false" customHeight="false" outlineLevel="0" collapsed="false">
      <c r="A68" s="6" t="s">
        <v>59</v>
      </c>
      <c r="B68" s="8" t="n">
        <f aca="false">SUMPRODUCT(--ISNUMBER(SEARCH("; CRITICAL_CHANNEL_BAD;","; "&amp;Subjects!$W$2:$W$609&amp;";")))</f>
        <v>381</v>
      </c>
      <c r="C68" s="9" t="n">
        <f aca="false">B68/$B$11</f>
        <v>0.892271662763466</v>
      </c>
    </row>
    <row r="69" customFormat="false" ht="15" hidden="false" customHeight="false" outlineLevel="0" collapsed="false">
      <c r="A69" s="6" t="s">
        <v>60</v>
      </c>
      <c r="B69" s="8" t="n">
        <f aca="false">SUMPRODUCT(--ISNUMBER(SEARCH("; TOO_MANY_BAD_CHANNELS;","; "&amp;Subjects!$W$2:$W$609&amp;";")))</f>
        <v>228</v>
      </c>
      <c r="C69" s="9" t="n">
        <f aca="false">B69/$B$11</f>
        <v>0.533957845433255</v>
      </c>
    </row>
    <row r="70" customFormat="false" ht="15" hidden="false" customHeight="false" outlineLevel="0" collapsed="false">
      <c r="A70" s="6" t="s">
        <v>61</v>
      </c>
      <c r="B70" s="8" t="n">
        <f aca="false">SUMPRODUCT(--ISNUMBER(SEARCH("; LINE_NOISE;","; "&amp;Subjects!$W$2:$W$609&amp;";")))</f>
        <v>202</v>
      </c>
      <c r="C70" s="9" t="n">
        <f aca="false">B70/$B$11</f>
        <v>0.473067915690867</v>
      </c>
    </row>
    <row r="71" customFormat="false" ht="15" hidden="false" customHeight="false" outlineLevel="0" collapsed="false">
      <c r="A71" s="6" t="s">
        <v>62</v>
      </c>
      <c r="B71" s="8" t="n">
        <f aca="false">SUMPRODUCT(--ISNUMBER(SEARCH("; LOW_ALPHA_PROMINENCE;","; "&amp;Subjects!$W$2:$W$609&amp;";")))</f>
        <v>146</v>
      </c>
      <c r="C71" s="9" t="n">
        <f aca="false">B71/$B$11</f>
        <v>0.34192037470726</v>
      </c>
    </row>
    <row r="72" customFormat="false" ht="15" hidden="false" customHeight="false" outlineLevel="0" collapsed="false">
      <c r="A72" s="6" t="s">
        <v>63</v>
      </c>
      <c r="B72" s="8" t="n">
        <f aca="false">SUMPRODUCT(--ISNUMBER(SEARCH("; WEAK_ALPHA_BLOCKING;","; "&amp;Subjects!$W$2:$W$609&amp;";")))</f>
        <v>133</v>
      </c>
      <c r="C72" s="9" t="n">
        <f aca="false">B72/$B$11</f>
        <v>0.311475409836066</v>
      </c>
    </row>
    <row r="73" customFormat="false" ht="15" hidden="false" customHeight="false" outlineLevel="0" collapsed="false">
      <c r="A73" s="6" t="s">
        <v>64</v>
      </c>
      <c r="B73" s="8" t="n">
        <f aca="false">SUMPRODUCT(--ISNUMBER(SEARCH("; NO_ALPHA_BLOCKING;","; "&amp;Subjects!$W$2:$W$609&amp;";")))</f>
        <v>120</v>
      </c>
      <c r="C73" s="9" t="n">
        <f aca="false">B73/$B$11</f>
        <v>0.281030444964871</v>
      </c>
    </row>
    <row r="74" customFormat="false" ht="15" hidden="false" customHeight="false" outlineLevel="0" collapsed="false">
      <c r="A74" s="6" t="s">
        <v>65</v>
      </c>
      <c r="B74" s="8" t="n">
        <f aca="false">SUMPRODUCT(--ISNUMBER(SEARCH("; CRITICAL_CHANNELS_BAD;","; "&amp;Subjects!$W$2:$W$609&amp;";")))</f>
        <v>16</v>
      </c>
      <c r="C74" s="9" t="n">
        <f aca="false">B74/$B$11</f>
        <v>0.0374707259953162</v>
      </c>
    </row>
    <row r="75" customFormat="false" ht="15" hidden="false" customHeight="false" outlineLevel="0" collapsed="false">
      <c r="A75" s="6" t="s">
        <v>66</v>
      </c>
      <c r="B75" s="8" t="n">
        <f aca="false">SUMPRODUCT(--ISNUMBER(SEARCH("; HIGH_LINE_NOISE;","; "&amp;Subjects!$W$2:$W$609&amp;";")))</f>
        <v>16</v>
      </c>
      <c r="C75" s="9" t="n">
        <f aca="false">B75/$B$11</f>
        <v>0.0374707259953162</v>
      </c>
    </row>
    <row r="76" customFormat="false" ht="15" hidden="false" customHeight="false" outlineLevel="0" collapsed="false">
      <c r="A76" s="6" t="s">
        <v>67</v>
      </c>
      <c r="B76" s="8" t="n">
        <f aca="false">SUMPRODUCT(--ISNUMBER(SEARCH("; DURATION_S;","; "&amp;Subjects!$W$2:$W$609&amp;";")))</f>
        <v>14</v>
      </c>
      <c r="C76" s="9" t="n">
        <f aca="false">B76/$B$11</f>
        <v>0.0327868852459016</v>
      </c>
    </row>
    <row r="78" customFormat="false" ht="15" hidden="false" customHeight="false" outlineLevel="0" collapsed="false">
      <c r="A78" s="3" t="s">
        <v>68</v>
      </c>
      <c r="B78" s="4" t="s">
        <v>9</v>
      </c>
      <c r="C78" s="4" t="s">
        <v>23</v>
      </c>
      <c r="D78" s="5"/>
      <c r="E78" s="5"/>
    </row>
    <row r="79" customFormat="false" ht="15" hidden="false" customHeight="false" outlineLevel="0" collapsed="false">
      <c r="A79" s="6" t="s">
        <v>69</v>
      </c>
      <c r="B79" s="8" t="n">
        <f aca="false">SUMPRODUCT(--ISNUMBER(SEARCH(", Fz,",", "&amp;Subjects!$V$2:$V$609&amp;",")))</f>
        <v>375</v>
      </c>
      <c r="C79" s="9" t="n">
        <f aca="false">B79/$B$11</f>
        <v>0.878220140515223</v>
      </c>
    </row>
    <row r="80" customFormat="false" ht="15" hidden="false" customHeight="false" outlineLevel="0" collapsed="false">
      <c r="A80" s="6" t="s">
        <v>70</v>
      </c>
      <c r="B80" s="8" t="n">
        <f aca="false">SUMPRODUCT(--ISNUMBER(SEARCH(", Cz,",", "&amp;Subjects!$V$2:$V$609&amp;",")))</f>
        <v>35</v>
      </c>
      <c r="C80" s="9" t="n">
        <f aca="false">B80/$B$11</f>
        <v>0.0819672131147541</v>
      </c>
    </row>
    <row r="81" customFormat="false" ht="15" hidden="false" customHeight="false" outlineLevel="0" collapsed="false">
      <c r="A81" s="6" t="s">
        <v>71</v>
      </c>
      <c r="B81" s="8" t="n">
        <f aca="false">SUMPRODUCT(--ISNUMBER(SEARCH(", Pz,",", "&amp;Subjects!$V$2:$V$609&amp;",")))</f>
        <v>0</v>
      </c>
      <c r="C81" s="9" t="n">
        <f aca="false">B81/$B$11</f>
        <v>0</v>
      </c>
    </row>
    <row r="82" customFormat="false" ht="15" hidden="false" customHeight="false" outlineLevel="0" collapsed="false">
      <c r="A82" s="6" t="s">
        <v>72</v>
      </c>
      <c r="B82" s="8" t="n">
        <f aca="false">SUMPRODUCT(--ISNUMBER(SEARCH(", O1,",", "&amp;Subjects!$V$2:$V$609&amp;",")))</f>
        <v>0</v>
      </c>
      <c r="C82" s="9" t="n">
        <f aca="false">B82/$B$11</f>
        <v>0</v>
      </c>
    </row>
    <row r="83" customFormat="false" ht="15" hidden="false" customHeight="false" outlineLevel="0" collapsed="false">
      <c r="A83" s="6" t="s">
        <v>73</v>
      </c>
      <c r="B83" s="8" t="n">
        <f aca="false">SUMPRODUCT(--ISNUMBER(SEARCH(", O2,",", "&amp;Subjects!$V$2:$V$609&amp;",")))</f>
        <v>1</v>
      </c>
      <c r="C83" s="9" t="n">
        <f aca="false">B83/$B$11</f>
        <v>0.00234192037470726</v>
      </c>
    </row>
    <row r="85" customFormat="false" ht="15" hidden="false" customHeight="false" outlineLevel="0" collapsed="false">
      <c r="A85" s="3" t="s">
        <v>74</v>
      </c>
      <c r="B85" s="4" t="s">
        <v>75</v>
      </c>
      <c r="C85" s="4" t="s">
        <v>76</v>
      </c>
      <c r="D85" s="4" t="s">
        <v>77</v>
      </c>
      <c r="E85" s="4" t="s">
        <v>78</v>
      </c>
    </row>
    <row r="86" customFormat="false" ht="15" hidden="false" customHeight="false" outlineLevel="0" collapsed="false">
      <c r="A86" s="6" t="s">
        <v>79</v>
      </c>
      <c r="B86" s="15" t="n">
        <f aca="false">MEDIAN(Subjects!$X$2:$X$609)</f>
        <v>3.19</v>
      </c>
      <c r="C86" s="15" t="n">
        <f aca="false">AVERAGE(Subjects!$X$2:$X$609)</f>
        <v>4.69943793911007</v>
      </c>
      <c r="D86" s="15" t="n">
        <f aca="false">MIN(Subjects!$X$2:$X$609)</f>
        <v>0.03</v>
      </c>
      <c r="E86" s="15" t="n">
        <f aca="false">MAX(Subjects!$X$2:$X$609)</f>
        <v>36.78</v>
      </c>
    </row>
    <row r="87" customFormat="false" ht="15" hidden="false" customHeight="false" outlineLevel="0" collapsed="false">
      <c r="A87" s="6" t="s">
        <v>80</v>
      </c>
      <c r="B87" s="14" t="n">
        <f aca="false">MEDIAN(Subjects!$Y$2:$Y$609)</f>
        <v>14.2</v>
      </c>
      <c r="C87" s="14" t="n">
        <f aca="false">AVERAGE(Subjects!$Y$2:$Y$609)</f>
        <v>14.2822014051522</v>
      </c>
      <c r="D87" s="14" t="n">
        <f aca="false">MIN(Subjects!$Y$2:$Y$609)</f>
        <v>0.8</v>
      </c>
      <c r="E87" s="14" t="n">
        <f aca="false">MAX(Subjects!$Y$2:$Y$609)</f>
        <v>31.2</v>
      </c>
    </row>
    <row r="88" customFormat="false" ht="15" hidden="false" customHeight="false" outlineLevel="0" collapsed="false">
      <c r="A88" s="6" t="s">
        <v>81</v>
      </c>
      <c r="B88" s="14" t="n">
        <f aca="false">MEDIAN(Subjects!$Z$2:$Z$609)</f>
        <v>48.35</v>
      </c>
      <c r="C88" s="14" t="n">
        <f aca="false">AVERAGE(Subjects!$Z$2:$Z$609)</f>
        <v>46.2194078947369</v>
      </c>
      <c r="D88" s="14" t="n">
        <f aca="false">MIN(Subjects!$Z$2:$Z$609)</f>
        <v>0</v>
      </c>
      <c r="E88" s="14" t="n">
        <f aca="false">MAX(Subjects!$Z$2:$Z$609)</f>
        <v>503.9</v>
      </c>
    </row>
    <row r="90" customFormat="false" ht="15" hidden="false" customHeight="false" outlineLevel="0" collapsed="false">
      <c r="A90" s="3" t="s">
        <v>82</v>
      </c>
      <c r="B90" s="5"/>
      <c r="C90" s="5"/>
      <c r="D90" s="5"/>
      <c r="E90" s="5"/>
    </row>
    <row r="91" customFormat="false" ht="31.5" hidden="false" customHeight="true" outlineLevel="0" collapsed="false">
      <c r="A91" s="16" t="str">
        <f aca="false">"Rejected before QC: "&amp;B12&amp;" of "&amp;B6&amp;" subjects ("&amp;TEXT(C12,"0.0%")&amp;"). All by protocol rules (age above 60 or late triggers), none by signal quality."</f>
        <v>Rejected before QC: 181 of 608 subjects (29.8%). All by protocol rules (age above 60 or late triggers), none by signal quality.</v>
      </c>
      <c r="B91" s="16"/>
      <c r="C91" s="16"/>
      <c r="D91" s="16"/>
      <c r="E91" s="16"/>
    </row>
    <row r="92" customFormat="false" ht="31.5" hidden="false" customHeight="true" outlineLevel="0" collapsed="false">
      <c r="A92" s="16" t="str">
        <f aca="false">"Late triggers hit "&amp;B17&amp;" subjects ("&amp;TEXT(B17/B6,"0.0%")&amp;" of all) – an acquisition/timing issue, worth checking by session date."</f>
        <v>Late triggers hit 99 subjects (16.3% of all) – an acquisition/timing issue, worth checking by session date.</v>
      </c>
      <c r="B92" s="16"/>
      <c r="C92" s="16"/>
      <c r="D92" s="16"/>
      <c r="E92" s="16"/>
    </row>
    <row r="93" customFormat="false" ht="31.5" hidden="false" customHeight="true" outlineLevel="0" collapsed="false">
      <c r="A93" s="16" t="str">
        <f aca="false">"Only "&amp;B24&amp;" of "&amp;B11&amp;" analysed subjects are PASS; "&amp;B26&amp;" ("&amp;TEXT(C26,"0.0%")&amp;") are FAIL at subject level."</f>
        <v>Only 6 of 427 analysed subjects are PASS; 235 (55.0%) are FAIL at subject level.</v>
      </c>
      <c r="B93" s="16"/>
      <c r="C93" s="16"/>
      <c r="D93" s="16"/>
      <c r="E93" s="16"/>
    </row>
    <row r="94" customFormat="false" ht="31.5" hidden="false" customHeight="true" outlineLevel="0" collapsed="false">
      <c r="A94" s="16" t="str">
        <f aca="false">"Recording level is better: "&amp;TEXT(C43,"0.0%")&amp;" of recordings are usable ("&amp;B43&amp;" of "&amp;B38&amp;"); "&amp;B41&amp;" are FAIL/REJECT."</f>
        <v>Recording level is better: 80.0% of recordings are usable (1820 of 2276); 456 are FAIL/REJECT.</v>
      </c>
      <c r="B94" s="16"/>
      <c r="C94" s="16"/>
      <c r="D94" s="16"/>
      <c r="E94" s="16"/>
    </row>
    <row r="95" customFormat="false" ht="31.5" hidden="false" customHeight="true" outlineLevel="0" collapsed="false">
      <c r="A95" s="16" t="str">
        <f aca="false">"Fz is flagged as a critical bad channel in "&amp;B79&amp;" of "&amp;B11&amp;" analysed subjects ("&amp;TEXT(C79,"0.0%")&amp;") – this looks systematic (electrode/montage), not subject-specific."</f>
        <v>Fz is flagged as a critical bad channel in 375 of 427 analysed subjects (87.8%) – this looks systematic (electrode/montage), not subject-specific.</v>
      </c>
      <c r="B95" s="16"/>
      <c r="C95" s="16"/>
      <c r="D95" s="16"/>
      <c r="E95" s="16"/>
    </row>
  </sheetData>
  <mergeCells count="5">
    <mergeCell ref="A91:E91"/>
    <mergeCell ref="A92:E92"/>
    <mergeCell ref="A93:E93"/>
    <mergeCell ref="A94:E94"/>
    <mergeCell ref="A95:E9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6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12"/>
    <col collapsed="false" customWidth="true" hidden="false" outlineLevel="0" max="4" min="4" style="0" width="28"/>
    <col collapsed="false" customWidth="true" hidden="false" outlineLevel="0" max="6" min="5" style="0" width="60"/>
    <col collapsed="false" customWidth="true" hidden="false" outlineLevel="0" max="8" min="7" style="0" width="10"/>
    <col collapsed="false" customWidth="true" hidden="false" outlineLevel="0" max="9" min="9" style="0" width="12"/>
    <col collapsed="false" customWidth="true" hidden="false" outlineLevel="0" max="10" min="10" style="0" width="19"/>
    <col collapsed="false" customWidth="true" hidden="false" outlineLevel="0" max="11" min="11" style="0" width="21"/>
    <col collapsed="false" customWidth="true" hidden="false" outlineLevel="0" max="15" min="12" style="0" width="10"/>
    <col collapsed="false" customWidth="true" hidden="false" outlineLevel="0" max="16" min="16" style="0" width="19"/>
    <col collapsed="false" customWidth="true" hidden="false" outlineLevel="0" max="17" min="17" style="0" width="10"/>
    <col collapsed="false" customWidth="true" hidden="false" outlineLevel="0" max="18" min="18" style="0" width="19"/>
    <col collapsed="false" customWidth="true" hidden="false" outlineLevel="0" max="19" min="19" style="0" width="28"/>
    <col collapsed="false" customWidth="true" hidden="false" outlineLevel="0" max="20" min="20" style="0" width="10"/>
    <col collapsed="false" customWidth="true" hidden="false" outlineLevel="0" max="21" min="21" style="0" width="60"/>
    <col collapsed="false" customWidth="true" hidden="false" outlineLevel="0" max="22" min="22" style="0" width="23"/>
    <col collapsed="false" customWidth="true" hidden="false" outlineLevel="0" max="23" min="23" style="0" width="60"/>
    <col collapsed="false" customWidth="true" hidden="false" outlineLevel="0" max="24" min="24" style="0" width="26"/>
    <col collapsed="false" customWidth="true" hidden="false" outlineLevel="0" max="25" min="25" style="0" width="18"/>
    <col collapsed="false" customWidth="true" hidden="false" outlineLevel="0" max="26" min="26" style="0" width="12"/>
    <col collapsed="false" customWidth="true" hidden="false" outlineLevel="0" max="28" min="27" style="0" width="27"/>
    <col collapsed="false" customWidth="true" hidden="false" outlineLevel="0" max="29" min="29" style="0" width="23"/>
    <col collapsed="false" customWidth="true" hidden="false" outlineLevel="0" max="30" min="30" style="0" width="10"/>
    <col collapsed="false" customWidth="true" hidden="false" outlineLevel="0" max="31" min="31" style="0" width="14"/>
    <col collapsed="false" customWidth="true" hidden="false" outlineLevel="0" max="32" min="32" style="0" width="18"/>
    <col collapsed="false" customWidth="true" hidden="false" outlineLevel="0" max="33" min="33" style="0" width="19"/>
  </cols>
  <sheetData>
    <row r="1" customFormat="false" ht="15" hidden="false" customHeight="false" outlineLevel="0" collapsed="false">
      <c r="A1" s="17" t="s">
        <v>83</v>
      </c>
      <c r="B1" s="17" t="s">
        <v>84</v>
      </c>
      <c r="C1" s="17" t="s">
        <v>85</v>
      </c>
      <c r="D1" s="17" t="s">
        <v>86</v>
      </c>
      <c r="E1" s="17" t="s">
        <v>87</v>
      </c>
      <c r="F1" s="17" t="s">
        <v>88</v>
      </c>
      <c r="G1" s="17" t="s">
        <v>89</v>
      </c>
      <c r="H1" s="17" t="s">
        <v>90</v>
      </c>
      <c r="I1" s="17" t="s">
        <v>91</v>
      </c>
      <c r="J1" s="17" t="s">
        <v>92</v>
      </c>
      <c r="K1" s="17" t="s">
        <v>93</v>
      </c>
      <c r="L1" s="17" t="s">
        <v>24</v>
      </c>
      <c r="M1" s="17" t="s">
        <v>25</v>
      </c>
      <c r="N1" s="17" t="s">
        <v>26</v>
      </c>
      <c r="O1" s="17" t="s">
        <v>37</v>
      </c>
      <c r="P1" s="17" t="s">
        <v>94</v>
      </c>
      <c r="Q1" s="17" t="s">
        <v>28</v>
      </c>
      <c r="R1" s="17" t="s">
        <v>29</v>
      </c>
      <c r="S1" s="17" t="s">
        <v>30</v>
      </c>
      <c r="T1" s="17" t="s">
        <v>32</v>
      </c>
      <c r="U1" s="17" t="s">
        <v>95</v>
      </c>
      <c r="V1" s="17" t="s">
        <v>96</v>
      </c>
      <c r="W1" s="17" t="s">
        <v>97</v>
      </c>
      <c r="X1" s="17" t="s">
        <v>98</v>
      </c>
      <c r="Y1" s="17" t="s">
        <v>99</v>
      </c>
      <c r="Z1" s="17" t="s">
        <v>100</v>
      </c>
      <c r="AA1" s="17" t="s">
        <v>101</v>
      </c>
      <c r="AB1" s="17" t="s">
        <v>102</v>
      </c>
      <c r="AC1" s="17" t="s">
        <v>103</v>
      </c>
      <c r="AD1" s="17" t="s">
        <v>104</v>
      </c>
      <c r="AE1" s="17" t="s">
        <v>105</v>
      </c>
      <c r="AF1" s="17" t="s">
        <v>106</v>
      </c>
      <c r="AG1" s="17" t="s">
        <v>107</v>
      </c>
    </row>
    <row r="2" customFormat="false" ht="15" hidden="false" customHeight="false" outlineLevel="0" collapsed="false">
      <c r="A2" s="0" t="s">
        <v>108</v>
      </c>
      <c r="B2" s="18" t="s">
        <v>109</v>
      </c>
      <c r="C2" s="19" t="s">
        <v>26</v>
      </c>
      <c r="D2" s="20" t="s">
        <v>31</v>
      </c>
      <c r="E2" s="21" t="s">
        <v>110</v>
      </c>
      <c r="G2" s="21" t="s">
        <v>111</v>
      </c>
      <c r="H2" s="21" t="s">
        <v>112</v>
      </c>
      <c r="I2" s="21" t="s">
        <v>113</v>
      </c>
      <c r="J2" s="21" t="s">
        <v>114</v>
      </c>
      <c r="K2" s="0" t="n">
        <v>8</v>
      </c>
      <c r="L2" s="0" t="n">
        <v>0</v>
      </c>
      <c r="M2" s="0" t="n">
        <v>5</v>
      </c>
      <c r="N2" s="0" t="n">
        <v>3</v>
      </c>
      <c r="O2" s="0" t="n">
        <v>0</v>
      </c>
      <c r="P2" s="0" t="n">
        <v>5</v>
      </c>
      <c r="Q2" s="0" t="n">
        <v>0</v>
      </c>
      <c r="R2" s="0" t="n">
        <v>2</v>
      </c>
      <c r="S2" s="0" t="n">
        <v>3</v>
      </c>
      <c r="T2" s="0" t="n">
        <v>3</v>
      </c>
      <c r="U2" s="21" t="s">
        <v>115</v>
      </c>
      <c r="V2" s="21" t="s">
        <v>116</v>
      </c>
      <c r="W2" s="21" t="s">
        <v>117</v>
      </c>
      <c r="X2" s="0" t="n">
        <v>2.42</v>
      </c>
      <c r="Y2" s="0" t="n">
        <v>15.6</v>
      </c>
      <c r="Z2" s="0" t="n">
        <v>81.3</v>
      </c>
      <c r="AA2" s="21" t="s">
        <v>118</v>
      </c>
      <c r="AB2" s="21" t="s">
        <v>119</v>
      </c>
      <c r="AC2" s="21" t="s">
        <v>120</v>
      </c>
      <c r="AD2" s="0" t="n">
        <v>193</v>
      </c>
      <c r="AE2" s="22" t="b">
        <f aca="false">FALSE()</f>
        <v>0</v>
      </c>
      <c r="AF2" s="21" t="s">
        <v>121</v>
      </c>
      <c r="AG2" s="21" t="s">
        <v>122</v>
      </c>
    </row>
    <row r="3" customFormat="false" ht="15" hidden="false" customHeight="false" outlineLevel="0" collapsed="false">
      <c r="A3" s="0" t="s">
        <v>123</v>
      </c>
      <c r="B3" s="20" t="s">
        <v>124</v>
      </c>
      <c r="E3" s="21" t="s">
        <v>125</v>
      </c>
      <c r="F3" s="21" t="s">
        <v>126</v>
      </c>
      <c r="G3" s="21" t="s">
        <v>127</v>
      </c>
      <c r="H3" s="21" t="s">
        <v>128</v>
      </c>
      <c r="I3" s="21" t="s">
        <v>113</v>
      </c>
      <c r="Z3" s="0" t="n">
        <v>0</v>
      </c>
      <c r="AA3" s="21" t="s">
        <v>129</v>
      </c>
      <c r="AB3" s="21" t="s">
        <v>129</v>
      </c>
      <c r="AE3" s="22" t="b">
        <f aca="false">FALSE()</f>
        <v>0</v>
      </c>
      <c r="AF3" s="21" t="s">
        <v>121</v>
      </c>
      <c r="AG3" s="21" t="s">
        <v>130</v>
      </c>
    </row>
    <row r="4" customFormat="false" ht="15" hidden="false" customHeight="false" outlineLevel="0" collapsed="false">
      <c r="A4" s="0" t="s">
        <v>131</v>
      </c>
      <c r="B4" s="18" t="s">
        <v>109</v>
      </c>
      <c r="C4" s="19" t="s">
        <v>26</v>
      </c>
      <c r="D4" s="20" t="s">
        <v>31</v>
      </c>
      <c r="E4" s="21" t="s">
        <v>132</v>
      </c>
      <c r="G4" s="21" t="s">
        <v>111</v>
      </c>
      <c r="H4" s="21" t="s">
        <v>133</v>
      </c>
      <c r="I4" s="21" t="s">
        <v>113</v>
      </c>
      <c r="J4" s="21" t="s">
        <v>134</v>
      </c>
      <c r="K4" s="0" t="n">
        <v>4</v>
      </c>
      <c r="L4" s="0" t="n">
        <v>2</v>
      </c>
      <c r="M4" s="0" t="n">
        <v>0</v>
      </c>
      <c r="N4" s="0" t="n">
        <v>2</v>
      </c>
      <c r="O4" s="0" t="n">
        <v>0</v>
      </c>
      <c r="P4" s="0" t="n">
        <v>2</v>
      </c>
      <c r="Q4" s="0" t="n">
        <v>1</v>
      </c>
      <c r="R4" s="0" t="n">
        <v>0</v>
      </c>
      <c r="S4" s="0" t="n">
        <v>1</v>
      </c>
      <c r="T4" s="0" t="n">
        <v>2</v>
      </c>
      <c r="U4" s="21" t="s">
        <v>135</v>
      </c>
      <c r="V4" s="21" t="s">
        <v>69</v>
      </c>
      <c r="W4" s="21" t="s">
        <v>136</v>
      </c>
      <c r="X4" s="0" t="n">
        <v>7.78</v>
      </c>
      <c r="Y4" s="0" t="n">
        <v>16.3</v>
      </c>
      <c r="Z4" s="0" t="n">
        <v>41.3</v>
      </c>
      <c r="AA4" s="21" t="s">
        <v>137</v>
      </c>
      <c r="AB4" s="21" t="s">
        <v>138</v>
      </c>
      <c r="AC4" s="21" t="s">
        <v>120</v>
      </c>
      <c r="AD4" s="0" t="n">
        <v>101</v>
      </c>
      <c r="AE4" s="22" t="b">
        <f aca="false">FALSE()</f>
        <v>0</v>
      </c>
      <c r="AF4" s="21" t="s">
        <v>121</v>
      </c>
      <c r="AG4" s="21" t="s">
        <v>139</v>
      </c>
    </row>
    <row r="5" customFormat="false" ht="15" hidden="false" customHeight="false" outlineLevel="0" collapsed="false">
      <c r="A5" s="0" t="s">
        <v>140</v>
      </c>
      <c r="B5" s="18" t="s">
        <v>109</v>
      </c>
      <c r="C5" s="20" t="s">
        <v>25</v>
      </c>
      <c r="D5" s="23" t="s">
        <v>30</v>
      </c>
      <c r="E5" s="21" t="s">
        <v>141</v>
      </c>
      <c r="G5" s="21" t="s">
        <v>111</v>
      </c>
      <c r="H5" s="21" t="s">
        <v>142</v>
      </c>
      <c r="I5" s="21" t="s">
        <v>113</v>
      </c>
      <c r="J5" s="21" t="s">
        <v>134</v>
      </c>
      <c r="K5" s="0" t="n">
        <v>4</v>
      </c>
      <c r="L5" s="0" t="n">
        <v>2</v>
      </c>
      <c r="M5" s="0" t="n">
        <v>2</v>
      </c>
      <c r="N5" s="0" t="n">
        <v>0</v>
      </c>
      <c r="O5" s="0" t="n">
        <v>0</v>
      </c>
      <c r="P5" s="0" t="n">
        <v>4</v>
      </c>
      <c r="Q5" s="0" t="n">
        <v>1</v>
      </c>
      <c r="R5" s="0" t="n">
        <v>1</v>
      </c>
      <c r="S5" s="0" t="n">
        <v>2</v>
      </c>
      <c r="T5" s="0" t="n">
        <v>0</v>
      </c>
      <c r="U5" s="21" t="s">
        <v>143</v>
      </c>
      <c r="W5" s="21" t="s">
        <v>144</v>
      </c>
      <c r="X5" s="0" t="n">
        <v>13.19</v>
      </c>
      <c r="Y5" s="0" t="n">
        <v>9.2</v>
      </c>
      <c r="Z5" s="0" t="n">
        <v>44</v>
      </c>
      <c r="AA5" s="21" t="s">
        <v>145</v>
      </c>
      <c r="AB5" s="21" t="s">
        <v>146</v>
      </c>
      <c r="AC5" s="21" t="s">
        <v>120</v>
      </c>
      <c r="AD5" s="0" t="n">
        <v>102</v>
      </c>
      <c r="AE5" s="22" t="b">
        <f aca="false">FALSE()</f>
        <v>0</v>
      </c>
      <c r="AF5" s="21" t="s">
        <v>121</v>
      </c>
      <c r="AG5" s="21" t="s">
        <v>147</v>
      </c>
    </row>
    <row r="6" customFormat="false" ht="15" hidden="false" customHeight="false" outlineLevel="0" collapsed="false">
      <c r="A6" s="0" t="s">
        <v>148</v>
      </c>
      <c r="B6" s="20" t="s">
        <v>124</v>
      </c>
      <c r="E6" s="21" t="s">
        <v>149</v>
      </c>
      <c r="F6" s="21" t="s">
        <v>150</v>
      </c>
      <c r="G6" s="21" t="s">
        <v>111</v>
      </c>
      <c r="H6" s="21" t="s">
        <v>151</v>
      </c>
      <c r="I6" s="21" t="s">
        <v>113</v>
      </c>
      <c r="Z6" s="0" t="n">
        <v>0</v>
      </c>
      <c r="AA6" s="21" t="s">
        <v>138</v>
      </c>
      <c r="AB6" s="21" t="s">
        <v>138</v>
      </c>
      <c r="AE6" s="22" t="b">
        <f aca="false">FALSE()</f>
        <v>0</v>
      </c>
      <c r="AF6" s="21" t="s">
        <v>121</v>
      </c>
      <c r="AG6" s="21" t="s">
        <v>152</v>
      </c>
    </row>
    <row r="7" customFormat="false" ht="15" hidden="false" customHeight="false" outlineLevel="0" collapsed="false">
      <c r="A7" s="0" t="s">
        <v>153</v>
      </c>
      <c r="B7" s="18" t="s">
        <v>109</v>
      </c>
      <c r="C7" s="20" t="s">
        <v>25</v>
      </c>
      <c r="D7" s="23" t="s">
        <v>30</v>
      </c>
      <c r="E7" s="21" t="s">
        <v>154</v>
      </c>
      <c r="G7" s="21" t="s">
        <v>111</v>
      </c>
      <c r="H7" s="21" t="s">
        <v>155</v>
      </c>
      <c r="I7" s="21" t="s">
        <v>113</v>
      </c>
      <c r="J7" s="21" t="s">
        <v>134</v>
      </c>
      <c r="K7" s="0" t="n">
        <v>4</v>
      </c>
      <c r="L7" s="0" t="n">
        <v>0</v>
      </c>
      <c r="M7" s="0" t="n">
        <v>4</v>
      </c>
      <c r="N7" s="0" t="n">
        <v>0</v>
      </c>
      <c r="O7" s="0" t="n">
        <v>0</v>
      </c>
      <c r="P7" s="0" t="n">
        <v>4</v>
      </c>
      <c r="Q7" s="0" t="n">
        <v>0</v>
      </c>
      <c r="R7" s="0" t="n">
        <v>0</v>
      </c>
      <c r="S7" s="0" t="n">
        <v>4</v>
      </c>
      <c r="T7" s="0" t="n">
        <v>0</v>
      </c>
      <c r="U7" s="21" t="s">
        <v>156</v>
      </c>
      <c r="V7" s="21" t="s">
        <v>69</v>
      </c>
      <c r="W7" s="21" t="s">
        <v>157</v>
      </c>
      <c r="X7" s="0" t="n">
        <v>1.25</v>
      </c>
      <c r="Y7" s="0" t="n">
        <v>20.1</v>
      </c>
      <c r="Z7" s="0" t="n">
        <v>45.3</v>
      </c>
      <c r="AA7" s="21" t="s">
        <v>138</v>
      </c>
      <c r="AB7" s="21" t="s">
        <v>158</v>
      </c>
      <c r="AC7" s="21" t="s">
        <v>120</v>
      </c>
      <c r="AD7" s="0" t="n">
        <v>96</v>
      </c>
      <c r="AE7" s="22" t="b">
        <f aca="false">FALSE()</f>
        <v>0</v>
      </c>
      <c r="AF7" s="21" t="s">
        <v>121</v>
      </c>
      <c r="AG7" s="21" t="s">
        <v>159</v>
      </c>
    </row>
    <row r="8" customFormat="false" ht="15" hidden="false" customHeight="false" outlineLevel="0" collapsed="false">
      <c r="A8" s="0" t="s">
        <v>160</v>
      </c>
      <c r="B8" s="18" t="s">
        <v>109</v>
      </c>
      <c r="C8" s="20" t="s">
        <v>25</v>
      </c>
      <c r="D8" s="23" t="s">
        <v>30</v>
      </c>
      <c r="E8" s="21" t="s">
        <v>161</v>
      </c>
      <c r="G8" s="21" t="s">
        <v>111</v>
      </c>
      <c r="H8" s="21" t="s">
        <v>142</v>
      </c>
      <c r="I8" s="21" t="s">
        <v>113</v>
      </c>
      <c r="J8" s="21" t="s">
        <v>134</v>
      </c>
      <c r="K8" s="0" t="n">
        <v>4</v>
      </c>
      <c r="L8" s="0" t="n">
        <v>0</v>
      </c>
      <c r="M8" s="0" t="n">
        <v>4</v>
      </c>
      <c r="N8" s="0" t="n">
        <v>0</v>
      </c>
      <c r="O8" s="0" t="n">
        <v>0</v>
      </c>
      <c r="P8" s="0" t="n">
        <v>4</v>
      </c>
      <c r="Q8" s="0" t="n">
        <v>0</v>
      </c>
      <c r="R8" s="0" t="n">
        <v>3</v>
      </c>
      <c r="S8" s="0" t="n">
        <v>1</v>
      </c>
      <c r="T8" s="0" t="n">
        <v>0</v>
      </c>
      <c r="U8" s="21" t="s">
        <v>162</v>
      </c>
      <c r="V8" s="21" t="s">
        <v>69</v>
      </c>
      <c r="W8" s="21" t="s">
        <v>163</v>
      </c>
      <c r="X8" s="0" t="n">
        <v>3.48</v>
      </c>
      <c r="Y8" s="0" t="n">
        <v>19.6</v>
      </c>
      <c r="Z8" s="0" t="n">
        <v>41.1</v>
      </c>
      <c r="AA8" s="21" t="s">
        <v>164</v>
      </c>
      <c r="AB8" s="21" t="s">
        <v>165</v>
      </c>
      <c r="AC8" s="21" t="s">
        <v>120</v>
      </c>
      <c r="AD8" s="0" t="n">
        <v>97</v>
      </c>
      <c r="AE8" s="22" t="b">
        <f aca="false">FALSE()</f>
        <v>0</v>
      </c>
      <c r="AF8" s="21" t="s">
        <v>121</v>
      </c>
      <c r="AG8" s="21" t="s">
        <v>166</v>
      </c>
    </row>
    <row r="9" customFormat="false" ht="15" hidden="false" customHeight="false" outlineLevel="0" collapsed="false">
      <c r="A9" s="0" t="s">
        <v>167</v>
      </c>
      <c r="B9" s="20" t="s">
        <v>124</v>
      </c>
      <c r="E9" s="21" t="s">
        <v>168</v>
      </c>
      <c r="F9" s="21" t="s">
        <v>169</v>
      </c>
      <c r="G9" s="21" t="s">
        <v>127</v>
      </c>
      <c r="H9" s="21" t="s">
        <v>170</v>
      </c>
      <c r="I9" s="21" t="s">
        <v>171</v>
      </c>
      <c r="Z9" s="0" t="n">
        <v>0</v>
      </c>
      <c r="AA9" s="21" t="s">
        <v>172</v>
      </c>
      <c r="AB9" s="21" t="s">
        <v>172</v>
      </c>
      <c r="AE9" s="22" t="b">
        <f aca="false">FALSE()</f>
        <v>0</v>
      </c>
      <c r="AF9" s="21" t="s">
        <v>121</v>
      </c>
      <c r="AG9" s="21" t="s">
        <v>173</v>
      </c>
    </row>
    <row r="10" customFormat="false" ht="15" hidden="false" customHeight="false" outlineLevel="0" collapsed="false">
      <c r="A10" s="0" t="s">
        <v>174</v>
      </c>
      <c r="B10" s="20" t="s">
        <v>124</v>
      </c>
      <c r="E10" s="21" t="s">
        <v>175</v>
      </c>
      <c r="F10" s="21" t="s">
        <v>176</v>
      </c>
      <c r="G10" s="21" t="s">
        <v>111</v>
      </c>
      <c r="H10" s="21" t="s">
        <v>177</v>
      </c>
      <c r="I10" s="21" t="s">
        <v>113</v>
      </c>
      <c r="Z10" s="0" t="n">
        <v>0</v>
      </c>
      <c r="AA10" s="21" t="s">
        <v>172</v>
      </c>
      <c r="AB10" s="21" t="s">
        <v>172</v>
      </c>
      <c r="AE10" s="22" t="b">
        <f aca="false">FALSE()</f>
        <v>0</v>
      </c>
      <c r="AF10" s="21" t="s">
        <v>121</v>
      </c>
      <c r="AG10" s="21" t="s">
        <v>178</v>
      </c>
    </row>
    <row r="11" customFormat="false" ht="15" hidden="false" customHeight="false" outlineLevel="0" collapsed="false">
      <c r="A11" s="0" t="s">
        <v>179</v>
      </c>
      <c r="B11" s="18" t="s">
        <v>109</v>
      </c>
      <c r="C11" s="20" t="s">
        <v>25</v>
      </c>
      <c r="D11" s="23" t="s">
        <v>30</v>
      </c>
      <c r="E11" s="21" t="s">
        <v>180</v>
      </c>
      <c r="G11" s="21" t="s">
        <v>111</v>
      </c>
      <c r="H11" s="21" t="s">
        <v>181</v>
      </c>
      <c r="I11" s="21" t="s">
        <v>113</v>
      </c>
      <c r="J11" s="21" t="s">
        <v>134</v>
      </c>
      <c r="K11" s="0" t="n">
        <v>4</v>
      </c>
      <c r="L11" s="0" t="n">
        <v>0</v>
      </c>
      <c r="M11" s="0" t="n">
        <v>4</v>
      </c>
      <c r="N11" s="0" t="n">
        <v>0</v>
      </c>
      <c r="O11" s="0" t="n">
        <v>0</v>
      </c>
      <c r="P11" s="0" t="n">
        <v>4</v>
      </c>
      <c r="Q11" s="0" t="n">
        <v>0</v>
      </c>
      <c r="R11" s="0" t="n">
        <v>0</v>
      </c>
      <c r="S11" s="0" t="n">
        <v>4</v>
      </c>
      <c r="T11" s="0" t="n">
        <v>0</v>
      </c>
      <c r="U11" s="21" t="s">
        <v>182</v>
      </c>
      <c r="V11" s="21" t="s">
        <v>69</v>
      </c>
      <c r="W11" s="21" t="s">
        <v>183</v>
      </c>
      <c r="X11" s="0" t="n">
        <v>3.08</v>
      </c>
      <c r="Y11" s="0" t="n">
        <v>23.6</v>
      </c>
      <c r="Z11" s="0" t="n">
        <v>41.8</v>
      </c>
      <c r="AA11" s="21" t="s">
        <v>172</v>
      </c>
      <c r="AB11" s="21" t="s">
        <v>184</v>
      </c>
      <c r="AC11" s="21" t="s">
        <v>120</v>
      </c>
      <c r="AD11" s="0" t="n">
        <v>96</v>
      </c>
      <c r="AE11" s="22" t="b">
        <f aca="false">FALSE()</f>
        <v>0</v>
      </c>
      <c r="AF11" s="21" t="s">
        <v>121</v>
      </c>
      <c r="AG11" s="21" t="s">
        <v>185</v>
      </c>
    </row>
    <row r="12" customFormat="false" ht="15" hidden="false" customHeight="false" outlineLevel="0" collapsed="false">
      <c r="A12" s="0" t="s">
        <v>186</v>
      </c>
      <c r="B12" s="18" t="s">
        <v>109</v>
      </c>
      <c r="C12" s="19" t="s">
        <v>26</v>
      </c>
      <c r="D12" s="20" t="s">
        <v>31</v>
      </c>
      <c r="E12" s="21" t="s">
        <v>187</v>
      </c>
      <c r="G12" s="21" t="s">
        <v>111</v>
      </c>
      <c r="H12" s="21" t="s">
        <v>188</v>
      </c>
      <c r="I12" s="21" t="s">
        <v>113</v>
      </c>
      <c r="J12" s="21" t="s">
        <v>134</v>
      </c>
      <c r="K12" s="0" t="n">
        <v>4</v>
      </c>
      <c r="L12" s="0" t="n">
        <v>0</v>
      </c>
      <c r="M12" s="0" t="n">
        <v>3</v>
      </c>
      <c r="N12" s="0" t="n">
        <v>1</v>
      </c>
      <c r="O12" s="0" t="n">
        <v>0</v>
      </c>
      <c r="P12" s="0" t="n">
        <v>3</v>
      </c>
      <c r="Q12" s="0" t="n">
        <v>0</v>
      </c>
      <c r="R12" s="0" t="n">
        <v>0</v>
      </c>
      <c r="S12" s="0" t="n">
        <v>3</v>
      </c>
      <c r="T12" s="0" t="n">
        <v>1</v>
      </c>
      <c r="U12" s="21" t="s">
        <v>189</v>
      </c>
      <c r="V12" s="21" t="s">
        <v>116</v>
      </c>
      <c r="W12" s="21" t="s">
        <v>190</v>
      </c>
      <c r="X12" s="0" t="n">
        <v>13.67</v>
      </c>
      <c r="Y12" s="0" t="n">
        <v>26</v>
      </c>
      <c r="Z12" s="0" t="n">
        <v>41.9</v>
      </c>
      <c r="AA12" s="21" t="s">
        <v>184</v>
      </c>
      <c r="AB12" s="21" t="s">
        <v>191</v>
      </c>
      <c r="AC12" s="21" t="s">
        <v>120</v>
      </c>
      <c r="AD12" s="0" t="n">
        <v>96</v>
      </c>
      <c r="AE12" s="22" t="b">
        <f aca="false">FALSE()</f>
        <v>0</v>
      </c>
      <c r="AF12" s="21" t="s">
        <v>121</v>
      </c>
      <c r="AG12" s="21" t="s">
        <v>192</v>
      </c>
    </row>
    <row r="13" customFormat="false" ht="15" hidden="false" customHeight="false" outlineLevel="0" collapsed="false">
      <c r="A13" s="0" t="s">
        <v>193</v>
      </c>
      <c r="B13" s="18" t="s">
        <v>109</v>
      </c>
      <c r="C13" s="20" t="s">
        <v>25</v>
      </c>
      <c r="D13" s="23" t="s">
        <v>30</v>
      </c>
      <c r="E13" s="21" t="s">
        <v>194</v>
      </c>
      <c r="G13" s="21" t="s">
        <v>127</v>
      </c>
      <c r="H13" s="21" t="s">
        <v>195</v>
      </c>
      <c r="I13" s="21" t="s">
        <v>113</v>
      </c>
      <c r="J13" s="21" t="s">
        <v>134</v>
      </c>
      <c r="K13" s="0" t="n">
        <v>4</v>
      </c>
      <c r="L13" s="0" t="n">
        <v>0</v>
      </c>
      <c r="M13" s="0" t="n">
        <v>4</v>
      </c>
      <c r="N13" s="0" t="n">
        <v>0</v>
      </c>
      <c r="O13" s="0" t="n">
        <v>0</v>
      </c>
      <c r="P13" s="0" t="n">
        <v>4</v>
      </c>
      <c r="Q13" s="0" t="n">
        <v>0</v>
      </c>
      <c r="R13" s="0" t="n">
        <v>0</v>
      </c>
      <c r="S13" s="0" t="n">
        <v>4</v>
      </c>
      <c r="T13" s="0" t="n">
        <v>0</v>
      </c>
      <c r="U13" s="21" t="s">
        <v>196</v>
      </c>
      <c r="V13" s="21" t="s">
        <v>69</v>
      </c>
      <c r="W13" s="21" t="s">
        <v>197</v>
      </c>
      <c r="X13" s="0" t="n">
        <v>4.01</v>
      </c>
      <c r="Y13" s="0" t="n">
        <v>18.2</v>
      </c>
      <c r="Z13" s="0" t="n">
        <v>41.5</v>
      </c>
      <c r="AA13" s="21" t="s">
        <v>191</v>
      </c>
      <c r="AB13" s="21" t="s">
        <v>198</v>
      </c>
      <c r="AC13" s="21" t="s">
        <v>120</v>
      </c>
      <c r="AD13" s="0" t="n">
        <v>98</v>
      </c>
      <c r="AE13" s="22" t="b">
        <f aca="false">FALSE()</f>
        <v>0</v>
      </c>
      <c r="AF13" s="21" t="s">
        <v>121</v>
      </c>
      <c r="AG13" s="21" t="s">
        <v>199</v>
      </c>
    </row>
    <row r="14" customFormat="false" ht="15" hidden="false" customHeight="false" outlineLevel="0" collapsed="false">
      <c r="A14" s="0" t="s">
        <v>200</v>
      </c>
      <c r="B14" s="20" t="s">
        <v>124</v>
      </c>
      <c r="E14" s="21" t="s">
        <v>201</v>
      </c>
      <c r="F14" s="21" t="s">
        <v>202</v>
      </c>
      <c r="G14" s="21" t="s">
        <v>111</v>
      </c>
      <c r="H14" s="21" t="s">
        <v>203</v>
      </c>
      <c r="I14" s="21" t="s">
        <v>113</v>
      </c>
      <c r="Z14" s="0" t="n">
        <v>0</v>
      </c>
      <c r="AA14" s="21" t="s">
        <v>198</v>
      </c>
      <c r="AB14" s="21" t="s">
        <v>198</v>
      </c>
      <c r="AE14" s="22" t="b">
        <f aca="false">FALSE()</f>
        <v>0</v>
      </c>
      <c r="AF14" s="21" t="s">
        <v>121</v>
      </c>
      <c r="AG14" s="21" t="s">
        <v>204</v>
      </c>
    </row>
    <row r="15" customFormat="false" ht="15" hidden="false" customHeight="false" outlineLevel="0" collapsed="false">
      <c r="A15" s="0" t="s">
        <v>205</v>
      </c>
      <c r="B15" s="20" t="s">
        <v>124</v>
      </c>
      <c r="E15" s="21" t="s">
        <v>206</v>
      </c>
      <c r="F15" s="21" t="s">
        <v>207</v>
      </c>
      <c r="G15" s="21" t="s">
        <v>127</v>
      </c>
      <c r="H15" s="21" t="s">
        <v>208</v>
      </c>
      <c r="I15" s="21" t="s">
        <v>113</v>
      </c>
      <c r="Z15" s="0" t="n">
        <v>0</v>
      </c>
      <c r="AA15" s="21" t="s">
        <v>198</v>
      </c>
      <c r="AB15" s="21" t="s">
        <v>198</v>
      </c>
      <c r="AE15" s="22" t="b">
        <f aca="false">FALSE()</f>
        <v>0</v>
      </c>
      <c r="AF15" s="21" t="s">
        <v>121</v>
      </c>
      <c r="AG15" s="21" t="s">
        <v>209</v>
      </c>
    </row>
    <row r="16" customFormat="false" ht="15" hidden="false" customHeight="false" outlineLevel="0" collapsed="false">
      <c r="A16" s="0" t="s">
        <v>210</v>
      </c>
      <c r="B16" s="20" t="s">
        <v>124</v>
      </c>
      <c r="E16" s="21" t="s">
        <v>211</v>
      </c>
      <c r="F16" s="21" t="s">
        <v>212</v>
      </c>
      <c r="G16" s="21" t="s">
        <v>111</v>
      </c>
      <c r="H16" s="21" t="s">
        <v>213</v>
      </c>
      <c r="I16" s="21" t="s">
        <v>113</v>
      </c>
      <c r="Z16" s="0" t="n">
        <v>0</v>
      </c>
      <c r="AA16" s="21" t="s">
        <v>198</v>
      </c>
      <c r="AB16" s="21" t="s">
        <v>198</v>
      </c>
      <c r="AE16" s="22" t="b">
        <f aca="false">FALSE()</f>
        <v>0</v>
      </c>
      <c r="AF16" s="21" t="s">
        <v>121</v>
      </c>
      <c r="AG16" s="21" t="s">
        <v>214</v>
      </c>
    </row>
    <row r="17" customFormat="false" ht="15" hidden="false" customHeight="false" outlineLevel="0" collapsed="false">
      <c r="A17" s="0" t="s">
        <v>215</v>
      </c>
      <c r="B17" s="18" t="s">
        <v>109</v>
      </c>
      <c r="C17" s="20" t="s">
        <v>25</v>
      </c>
      <c r="D17" s="20" t="s">
        <v>29</v>
      </c>
      <c r="E17" s="21" t="s">
        <v>216</v>
      </c>
      <c r="G17" s="21" t="s">
        <v>127</v>
      </c>
      <c r="H17" s="21" t="s">
        <v>217</v>
      </c>
      <c r="I17" s="21" t="s">
        <v>113</v>
      </c>
      <c r="J17" s="21" t="s">
        <v>134</v>
      </c>
      <c r="K17" s="0" t="n">
        <v>4</v>
      </c>
      <c r="L17" s="0" t="n">
        <v>3</v>
      </c>
      <c r="M17" s="0" t="n">
        <v>1</v>
      </c>
      <c r="N17" s="0" t="n">
        <v>0</v>
      </c>
      <c r="O17" s="0" t="n">
        <v>0</v>
      </c>
      <c r="P17" s="0" t="n">
        <v>4</v>
      </c>
      <c r="Q17" s="0" t="n">
        <v>3</v>
      </c>
      <c r="R17" s="0" t="n">
        <v>1</v>
      </c>
      <c r="S17" s="0" t="n">
        <v>0</v>
      </c>
      <c r="T17" s="0" t="n">
        <v>0</v>
      </c>
      <c r="W17" s="21" t="s">
        <v>62</v>
      </c>
      <c r="X17" s="0" t="n">
        <v>6.58</v>
      </c>
      <c r="Y17" s="0" t="n">
        <v>6.7</v>
      </c>
      <c r="Z17" s="0" t="n">
        <v>42.5</v>
      </c>
      <c r="AA17" s="21" t="s">
        <v>218</v>
      </c>
      <c r="AB17" s="21" t="s">
        <v>219</v>
      </c>
      <c r="AC17" s="21" t="s">
        <v>120</v>
      </c>
      <c r="AD17" s="0" t="n">
        <v>101</v>
      </c>
      <c r="AE17" s="22" t="b">
        <f aca="false">FALSE()</f>
        <v>0</v>
      </c>
      <c r="AF17" s="21" t="s">
        <v>121</v>
      </c>
      <c r="AG17" s="21" t="s">
        <v>220</v>
      </c>
    </row>
    <row r="18" customFormat="false" ht="15" hidden="false" customHeight="false" outlineLevel="0" collapsed="false">
      <c r="A18" s="0" t="s">
        <v>221</v>
      </c>
      <c r="B18" s="18" t="s">
        <v>109</v>
      </c>
      <c r="C18" s="19" t="s">
        <v>26</v>
      </c>
      <c r="D18" s="20" t="s">
        <v>31</v>
      </c>
      <c r="E18" s="21" t="s">
        <v>222</v>
      </c>
      <c r="G18" s="21" t="s">
        <v>127</v>
      </c>
      <c r="H18" s="21" t="s">
        <v>188</v>
      </c>
      <c r="I18" s="21" t="s">
        <v>113</v>
      </c>
      <c r="J18" s="21" t="s">
        <v>134</v>
      </c>
      <c r="K18" s="0" t="n">
        <v>4</v>
      </c>
      <c r="L18" s="0" t="n">
        <v>0</v>
      </c>
      <c r="M18" s="0" t="n">
        <v>2</v>
      </c>
      <c r="N18" s="0" t="n">
        <v>2</v>
      </c>
      <c r="O18" s="0" t="n">
        <v>0</v>
      </c>
      <c r="P18" s="0" t="n">
        <v>2</v>
      </c>
      <c r="Q18" s="0" t="n">
        <v>0</v>
      </c>
      <c r="R18" s="0" t="n">
        <v>0</v>
      </c>
      <c r="S18" s="0" t="n">
        <v>2</v>
      </c>
      <c r="T18" s="0" t="n">
        <v>2</v>
      </c>
      <c r="U18" s="21" t="s">
        <v>223</v>
      </c>
      <c r="V18" s="21" t="s">
        <v>69</v>
      </c>
      <c r="W18" s="21" t="s">
        <v>224</v>
      </c>
      <c r="X18" s="0" t="n">
        <v>5.2</v>
      </c>
      <c r="Y18" s="0" t="n">
        <v>24.7</v>
      </c>
      <c r="Z18" s="0" t="n">
        <v>40.5</v>
      </c>
      <c r="AA18" s="21" t="s">
        <v>219</v>
      </c>
      <c r="AB18" s="21" t="s">
        <v>225</v>
      </c>
      <c r="AC18" s="21" t="s">
        <v>120</v>
      </c>
      <c r="AD18" s="0" t="n">
        <v>95</v>
      </c>
      <c r="AE18" s="22" t="b">
        <f aca="false">FALSE()</f>
        <v>0</v>
      </c>
      <c r="AF18" s="21" t="s">
        <v>121</v>
      </c>
      <c r="AG18" s="21" t="s">
        <v>226</v>
      </c>
    </row>
    <row r="19" customFormat="false" ht="15" hidden="false" customHeight="false" outlineLevel="0" collapsed="false">
      <c r="A19" s="0" t="s">
        <v>227</v>
      </c>
      <c r="B19" s="18" t="s">
        <v>109</v>
      </c>
      <c r="C19" s="19" t="s">
        <v>26</v>
      </c>
      <c r="D19" s="20" t="s">
        <v>31</v>
      </c>
      <c r="E19" s="21" t="s">
        <v>228</v>
      </c>
      <c r="G19" s="21" t="s">
        <v>111</v>
      </c>
      <c r="H19" s="21" t="s">
        <v>229</v>
      </c>
      <c r="I19" s="21" t="s">
        <v>113</v>
      </c>
      <c r="J19" s="21" t="s">
        <v>134</v>
      </c>
      <c r="K19" s="0" t="n">
        <v>4</v>
      </c>
      <c r="L19" s="0" t="n">
        <v>1</v>
      </c>
      <c r="M19" s="0" t="n">
        <v>1</v>
      </c>
      <c r="N19" s="0" t="n">
        <v>2</v>
      </c>
      <c r="O19" s="0" t="n">
        <v>0</v>
      </c>
      <c r="P19" s="0" t="n">
        <v>2</v>
      </c>
      <c r="Q19" s="0" t="n">
        <v>1</v>
      </c>
      <c r="R19" s="0" t="n">
        <v>1</v>
      </c>
      <c r="S19" s="0" t="n">
        <v>0</v>
      </c>
      <c r="T19" s="0" t="n">
        <v>2</v>
      </c>
      <c r="U19" s="21" t="s">
        <v>230</v>
      </c>
      <c r="V19" s="21" t="s">
        <v>69</v>
      </c>
      <c r="W19" s="21" t="s">
        <v>231</v>
      </c>
      <c r="X19" s="0" t="n">
        <v>1.33</v>
      </c>
      <c r="Y19" s="0" t="n">
        <v>12.1</v>
      </c>
      <c r="Z19" s="0" t="n">
        <v>41.1</v>
      </c>
      <c r="AA19" s="21" t="s">
        <v>232</v>
      </c>
      <c r="AB19" s="21" t="s">
        <v>233</v>
      </c>
      <c r="AC19" s="21" t="s">
        <v>120</v>
      </c>
      <c r="AD19" s="0" t="n">
        <v>97</v>
      </c>
      <c r="AE19" s="22" t="b">
        <f aca="false">FALSE()</f>
        <v>0</v>
      </c>
      <c r="AF19" s="21" t="s">
        <v>121</v>
      </c>
      <c r="AG19" s="21" t="s">
        <v>234</v>
      </c>
    </row>
    <row r="20" customFormat="false" ht="15" hidden="false" customHeight="false" outlineLevel="0" collapsed="false">
      <c r="A20" s="0" t="s">
        <v>235</v>
      </c>
      <c r="B20" s="18" t="s">
        <v>109</v>
      </c>
      <c r="C20" s="19" t="s">
        <v>26</v>
      </c>
      <c r="D20" s="20" t="s">
        <v>31</v>
      </c>
      <c r="E20" s="21" t="s">
        <v>236</v>
      </c>
      <c r="G20" s="21" t="s">
        <v>111</v>
      </c>
      <c r="H20" s="21" t="s">
        <v>237</v>
      </c>
      <c r="I20" s="21" t="s">
        <v>171</v>
      </c>
      <c r="J20" s="21" t="s">
        <v>134</v>
      </c>
      <c r="K20" s="0" t="n">
        <v>4</v>
      </c>
      <c r="L20" s="0" t="n">
        <v>0</v>
      </c>
      <c r="M20" s="0" t="n">
        <v>3</v>
      </c>
      <c r="N20" s="0" t="n">
        <v>1</v>
      </c>
      <c r="O20" s="0" t="n">
        <v>0</v>
      </c>
      <c r="P20" s="0" t="n">
        <v>3</v>
      </c>
      <c r="Q20" s="0" t="n">
        <v>0</v>
      </c>
      <c r="R20" s="0" t="n">
        <v>0</v>
      </c>
      <c r="S20" s="0" t="n">
        <v>3</v>
      </c>
      <c r="T20" s="0" t="n">
        <v>1</v>
      </c>
      <c r="U20" s="21" t="s">
        <v>238</v>
      </c>
      <c r="V20" s="21" t="s">
        <v>69</v>
      </c>
      <c r="W20" s="21" t="s">
        <v>239</v>
      </c>
      <c r="X20" s="0" t="n">
        <v>0.78</v>
      </c>
      <c r="Y20" s="0" t="n">
        <v>7.5</v>
      </c>
      <c r="Z20" s="0" t="n">
        <v>42.3</v>
      </c>
      <c r="AA20" s="21" t="s">
        <v>233</v>
      </c>
      <c r="AB20" s="21" t="s">
        <v>240</v>
      </c>
      <c r="AC20" s="21" t="s">
        <v>120</v>
      </c>
      <c r="AD20" s="0" t="n">
        <v>98</v>
      </c>
      <c r="AE20" s="22" t="b">
        <f aca="false">FALSE()</f>
        <v>0</v>
      </c>
      <c r="AF20" s="21" t="s">
        <v>121</v>
      </c>
      <c r="AG20" s="21" t="s">
        <v>241</v>
      </c>
    </row>
    <row r="21" customFormat="false" ht="15" hidden="false" customHeight="false" outlineLevel="0" collapsed="false">
      <c r="A21" s="0" t="s">
        <v>242</v>
      </c>
      <c r="B21" s="20" t="s">
        <v>124</v>
      </c>
      <c r="E21" s="21" t="s">
        <v>243</v>
      </c>
      <c r="F21" s="21" t="s">
        <v>244</v>
      </c>
      <c r="G21" s="21" t="s">
        <v>127</v>
      </c>
      <c r="H21" s="21" t="s">
        <v>245</v>
      </c>
      <c r="I21" s="21" t="s">
        <v>113</v>
      </c>
      <c r="Z21" s="0" t="n">
        <v>0</v>
      </c>
      <c r="AA21" s="21" t="s">
        <v>246</v>
      </c>
      <c r="AB21" s="21" t="s">
        <v>246</v>
      </c>
      <c r="AE21" s="22" t="b">
        <f aca="false">FALSE()</f>
        <v>0</v>
      </c>
      <c r="AF21" s="21" t="s">
        <v>121</v>
      </c>
      <c r="AG21" s="21" t="s">
        <v>247</v>
      </c>
    </row>
    <row r="22" customFormat="false" ht="15" hidden="false" customHeight="false" outlineLevel="0" collapsed="false">
      <c r="A22" s="0" t="s">
        <v>248</v>
      </c>
      <c r="B22" s="18" t="s">
        <v>109</v>
      </c>
      <c r="C22" s="20" t="s">
        <v>25</v>
      </c>
      <c r="D22" s="23" t="s">
        <v>30</v>
      </c>
      <c r="E22" s="21" t="s">
        <v>249</v>
      </c>
      <c r="G22" s="21" t="s">
        <v>111</v>
      </c>
      <c r="H22" s="21" t="s">
        <v>181</v>
      </c>
      <c r="I22" s="21" t="s">
        <v>171</v>
      </c>
      <c r="J22" s="21" t="s">
        <v>134</v>
      </c>
      <c r="K22" s="0" t="n">
        <v>4</v>
      </c>
      <c r="L22" s="0" t="n">
        <v>2</v>
      </c>
      <c r="M22" s="0" t="n">
        <v>2</v>
      </c>
      <c r="N22" s="0" t="n">
        <v>0</v>
      </c>
      <c r="O22" s="0" t="n">
        <v>0</v>
      </c>
      <c r="P22" s="0" t="n">
        <v>4</v>
      </c>
      <c r="Q22" s="0" t="n">
        <v>1</v>
      </c>
      <c r="R22" s="0" t="n">
        <v>0</v>
      </c>
      <c r="S22" s="0" t="n">
        <v>3</v>
      </c>
      <c r="T22" s="0" t="n">
        <v>0</v>
      </c>
      <c r="U22" s="21" t="s">
        <v>250</v>
      </c>
      <c r="W22" s="21" t="s">
        <v>144</v>
      </c>
      <c r="X22" s="0" t="n">
        <v>1.4</v>
      </c>
      <c r="Y22" s="0" t="n">
        <v>15.5</v>
      </c>
      <c r="Z22" s="0" t="n">
        <v>42.4</v>
      </c>
      <c r="AA22" s="21" t="s">
        <v>246</v>
      </c>
      <c r="AB22" s="21" t="s">
        <v>251</v>
      </c>
      <c r="AC22" s="21" t="s">
        <v>120</v>
      </c>
      <c r="AD22" s="0" t="n">
        <v>100</v>
      </c>
      <c r="AE22" s="22" t="b">
        <f aca="false">FALSE()</f>
        <v>0</v>
      </c>
      <c r="AF22" s="21" t="s">
        <v>121</v>
      </c>
      <c r="AG22" s="21" t="s">
        <v>252</v>
      </c>
    </row>
    <row r="23" customFormat="false" ht="15" hidden="false" customHeight="false" outlineLevel="0" collapsed="false">
      <c r="A23" s="0" t="s">
        <v>253</v>
      </c>
      <c r="B23" s="18" t="s">
        <v>109</v>
      </c>
      <c r="C23" s="19" t="s">
        <v>26</v>
      </c>
      <c r="D23" s="20" t="s">
        <v>31</v>
      </c>
      <c r="E23" s="21" t="s">
        <v>254</v>
      </c>
      <c r="G23" s="21" t="s">
        <v>127</v>
      </c>
      <c r="H23" s="21" t="s">
        <v>112</v>
      </c>
      <c r="I23" s="21" t="s">
        <v>113</v>
      </c>
      <c r="J23" s="21" t="s">
        <v>134</v>
      </c>
      <c r="K23" s="0" t="n">
        <v>4</v>
      </c>
      <c r="L23" s="0" t="n">
        <v>0</v>
      </c>
      <c r="M23" s="0" t="n">
        <v>2</v>
      </c>
      <c r="N23" s="0" t="n">
        <v>2</v>
      </c>
      <c r="O23" s="0" t="n">
        <v>0</v>
      </c>
      <c r="P23" s="0" t="n">
        <v>2</v>
      </c>
      <c r="Q23" s="0" t="n">
        <v>0</v>
      </c>
      <c r="R23" s="0" t="n">
        <v>0</v>
      </c>
      <c r="S23" s="0" t="n">
        <v>2</v>
      </c>
      <c r="T23" s="0" t="n">
        <v>2</v>
      </c>
      <c r="U23" s="21" t="s">
        <v>255</v>
      </c>
      <c r="V23" s="21" t="s">
        <v>69</v>
      </c>
      <c r="W23" s="21" t="s">
        <v>136</v>
      </c>
      <c r="X23" s="0" t="n">
        <v>2.88</v>
      </c>
      <c r="Y23" s="0" t="n">
        <v>11.7</v>
      </c>
      <c r="Z23" s="0" t="n">
        <v>42</v>
      </c>
      <c r="AA23" s="21" t="s">
        <v>256</v>
      </c>
      <c r="AB23" s="21" t="s">
        <v>257</v>
      </c>
      <c r="AC23" s="21" t="s">
        <v>120</v>
      </c>
      <c r="AD23" s="0" t="n">
        <v>95</v>
      </c>
      <c r="AE23" s="22" t="b">
        <f aca="false">FALSE()</f>
        <v>0</v>
      </c>
      <c r="AF23" s="21" t="s">
        <v>121</v>
      </c>
      <c r="AG23" s="21" t="s">
        <v>258</v>
      </c>
    </row>
    <row r="24" customFormat="false" ht="15" hidden="false" customHeight="false" outlineLevel="0" collapsed="false">
      <c r="A24" s="0" t="s">
        <v>259</v>
      </c>
      <c r="B24" s="18" t="s">
        <v>109</v>
      </c>
      <c r="C24" s="19" t="s">
        <v>26</v>
      </c>
      <c r="D24" s="20" t="s">
        <v>31</v>
      </c>
      <c r="E24" s="21" t="s">
        <v>260</v>
      </c>
      <c r="G24" s="21" t="s">
        <v>111</v>
      </c>
      <c r="H24" s="21" t="s">
        <v>261</v>
      </c>
      <c r="I24" s="21" t="s">
        <v>113</v>
      </c>
      <c r="J24" s="21" t="s">
        <v>134</v>
      </c>
      <c r="K24" s="0" t="n">
        <v>4</v>
      </c>
      <c r="L24" s="0" t="n">
        <v>0</v>
      </c>
      <c r="M24" s="0" t="n">
        <v>3</v>
      </c>
      <c r="N24" s="0" t="n">
        <v>1</v>
      </c>
      <c r="O24" s="0" t="n">
        <v>0</v>
      </c>
      <c r="P24" s="0" t="n">
        <v>3</v>
      </c>
      <c r="Q24" s="0" t="n">
        <v>0</v>
      </c>
      <c r="R24" s="0" t="n">
        <v>0</v>
      </c>
      <c r="S24" s="0" t="n">
        <v>3</v>
      </c>
      <c r="T24" s="0" t="n">
        <v>1</v>
      </c>
      <c r="U24" s="21" t="s">
        <v>262</v>
      </c>
      <c r="V24" s="21" t="s">
        <v>69</v>
      </c>
      <c r="W24" s="21" t="s">
        <v>263</v>
      </c>
      <c r="X24" s="0" t="n">
        <v>3.73</v>
      </c>
      <c r="Y24" s="0" t="n">
        <v>25.6</v>
      </c>
      <c r="Z24" s="0" t="n">
        <v>40.8</v>
      </c>
      <c r="AA24" s="21" t="s">
        <v>264</v>
      </c>
      <c r="AB24" s="21" t="s">
        <v>265</v>
      </c>
      <c r="AC24" s="21" t="s">
        <v>120</v>
      </c>
      <c r="AD24" s="0" t="n">
        <v>97</v>
      </c>
      <c r="AE24" s="22" t="b">
        <f aca="false">FALSE()</f>
        <v>0</v>
      </c>
      <c r="AF24" s="21" t="s">
        <v>121</v>
      </c>
      <c r="AG24" s="21" t="s">
        <v>266</v>
      </c>
    </row>
    <row r="25" customFormat="false" ht="15" hidden="false" customHeight="false" outlineLevel="0" collapsed="false">
      <c r="A25" s="0" t="s">
        <v>267</v>
      </c>
      <c r="B25" s="18" t="s">
        <v>109</v>
      </c>
      <c r="C25" s="19" t="s">
        <v>26</v>
      </c>
      <c r="D25" s="20" t="s">
        <v>31</v>
      </c>
      <c r="E25" s="21" t="s">
        <v>268</v>
      </c>
      <c r="G25" s="21" t="s">
        <v>111</v>
      </c>
      <c r="H25" s="21" t="s">
        <v>269</v>
      </c>
      <c r="I25" s="21" t="s">
        <v>113</v>
      </c>
      <c r="J25" s="21" t="s">
        <v>134</v>
      </c>
      <c r="K25" s="0" t="n">
        <v>4</v>
      </c>
      <c r="L25" s="0" t="n">
        <v>2</v>
      </c>
      <c r="M25" s="0" t="n">
        <v>0</v>
      </c>
      <c r="N25" s="0" t="n">
        <v>2</v>
      </c>
      <c r="O25" s="0" t="n">
        <v>0</v>
      </c>
      <c r="P25" s="0" t="n">
        <v>2</v>
      </c>
      <c r="Q25" s="0" t="n">
        <v>0</v>
      </c>
      <c r="R25" s="0" t="n">
        <v>0</v>
      </c>
      <c r="S25" s="0" t="n">
        <v>2</v>
      </c>
      <c r="T25" s="0" t="n">
        <v>2</v>
      </c>
      <c r="U25" s="21" t="s">
        <v>270</v>
      </c>
      <c r="V25" s="21" t="s">
        <v>69</v>
      </c>
      <c r="W25" s="21" t="s">
        <v>136</v>
      </c>
      <c r="X25" s="0" t="n">
        <v>4</v>
      </c>
      <c r="Y25" s="0" t="n">
        <v>13.4</v>
      </c>
      <c r="Z25" s="0" t="n">
        <v>40.6</v>
      </c>
      <c r="AA25" s="21" t="s">
        <v>265</v>
      </c>
      <c r="AB25" s="21" t="s">
        <v>271</v>
      </c>
      <c r="AC25" s="21" t="s">
        <v>120</v>
      </c>
      <c r="AD25" s="0" t="n">
        <v>95</v>
      </c>
      <c r="AE25" s="22" t="b">
        <f aca="false">FALSE()</f>
        <v>0</v>
      </c>
      <c r="AF25" s="21" t="s">
        <v>121</v>
      </c>
      <c r="AG25" s="21" t="s">
        <v>272</v>
      </c>
    </row>
    <row r="26" customFormat="false" ht="15" hidden="false" customHeight="false" outlineLevel="0" collapsed="false">
      <c r="A26" s="0" t="s">
        <v>273</v>
      </c>
      <c r="B26" s="18" t="s">
        <v>109</v>
      </c>
      <c r="C26" s="20" t="s">
        <v>25</v>
      </c>
      <c r="D26" s="20" t="s">
        <v>29</v>
      </c>
      <c r="E26" s="21" t="s">
        <v>274</v>
      </c>
      <c r="G26" s="21" t="s">
        <v>111</v>
      </c>
      <c r="H26" s="21" t="s">
        <v>275</v>
      </c>
      <c r="I26" s="21" t="s">
        <v>171</v>
      </c>
      <c r="J26" s="21" t="s">
        <v>134</v>
      </c>
      <c r="K26" s="0" t="n">
        <v>4</v>
      </c>
      <c r="L26" s="0" t="n">
        <v>0</v>
      </c>
      <c r="M26" s="0" t="n">
        <v>4</v>
      </c>
      <c r="N26" s="0" t="n">
        <v>0</v>
      </c>
      <c r="O26" s="0" t="n">
        <v>0</v>
      </c>
      <c r="P26" s="0" t="n">
        <v>4</v>
      </c>
      <c r="Q26" s="0" t="n">
        <v>0</v>
      </c>
      <c r="R26" s="0" t="n">
        <v>4</v>
      </c>
      <c r="S26" s="0" t="n">
        <v>0</v>
      </c>
      <c r="T26" s="0" t="n">
        <v>0</v>
      </c>
      <c r="W26" s="21" t="s">
        <v>61</v>
      </c>
      <c r="X26" s="0" t="n">
        <v>4.19</v>
      </c>
      <c r="Y26" s="0" t="n">
        <v>25.3</v>
      </c>
      <c r="Z26" s="0" t="n">
        <v>42.7</v>
      </c>
      <c r="AA26" s="21" t="s">
        <v>276</v>
      </c>
      <c r="AB26" s="21" t="s">
        <v>277</v>
      </c>
      <c r="AC26" s="21" t="s">
        <v>120</v>
      </c>
      <c r="AD26" s="0" t="n">
        <v>101</v>
      </c>
      <c r="AE26" s="22" t="b">
        <f aca="false">FALSE()</f>
        <v>0</v>
      </c>
      <c r="AF26" s="21" t="s">
        <v>121</v>
      </c>
      <c r="AG26" s="21" t="s">
        <v>278</v>
      </c>
    </row>
    <row r="27" customFormat="false" ht="15" hidden="false" customHeight="false" outlineLevel="0" collapsed="false">
      <c r="A27" s="0" t="s">
        <v>279</v>
      </c>
      <c r="B27" s="18" t="s">
        <v>109</v>
      </c>
      <c r="C27" s="20" t="s">
        <v>25</v>
      </c>
      <c r="D27" s="23" t="s">
        <v>30</v>
      </c>
      <c r="E27" s="21" t="s">
        <v>280</v>
      </c>
      <c r="G27" s="21" t="s">
        <v>111</v>
      </c>
      <c r="H27" s="21" t="s">
        <v>281</v>
      </c>
      <c r="I27" s="21" t="s">
        <v>113</v>
      </c>
      <c r="J27" s="21" t="s">
        <v>134</v>
      </c>
      <c r="K27" s="0" t="n">
        <v>4</v>
      </c>
      <c r="L27" s="0" t="n">
        <v>3</v>
      </c>
      <c r="M27" s="0" t="n">
        <v>1</v>
      </c>
      <c r="N27" s="0" t="n">
        <v>0</v>
      </c>
      <c r="O27" s="0" t="n">
        <v>0</v>
      </c>
      <c r="P27" s="0" t="n">
        <v>4</v>
      </c>
      <c r="Q27" s="0" t="n">
        <v>2</v>
      </c>
      <c r="R27" s="0" t="n">
        <v>0</v>
      </c>
      <c r="S27" s="0" t="n">
        <v>2</v>
      </c>
      <c r="T27" s="0" t="n">
        <v>0</v>
      </c>
      <c r="U27" s="21" t="s">
        <v>282</v>
      </c>
      <c r="V27" s="21" t="s">
        <v>69</v>
      </c>
      <c r="W27" s="21" t="s">
        <v>283</v>
      </c>
      <c r="X27" s="0" t="n">
        <v>8.29</v>
      </c>
      <c r="Y27" s="0" t="n">
        <v>12</v>
      </c>
      <c r="Z27" s="0" t="n">
        <v>41.7</v>
      </c>
      <c r="AA27" s="21" t="s">
        <v>277</v>
      </c>
      <c r="AB27" s="21" t="s">
        <v>284</v>
      </c>
      <c r="AC27" s="21" t="s">
        <v>120</v>
      </c>
      <c r="AD27" s="0" t="n">
        <v>97</v>
      </c>
      <c r="AE27" s="22" t="b">
        <f aca="false">FALSE()</f>
        <v>0</v>
      </c>
      <c r="AF27" s="21" t="s">
        <v>121</v>
      </c>
      <c r="AG27" s="21" t="s">
        <v>285</v>
      </c>
    </row>
    <row r="28" customFormat="false" ht="15" hidden="false" customHeight="false" outlineLevel="0" collapsed="false">
      <c r="A28" s="0" t="s">
        <v>286</v>
      </c>
      <c r="B28" s="20" t="s">
        <v>124</v>
      </c>
      <c r="E28" s="21" t="s">
        <v>287</v>
      </c>
      <c r="F28" s="21" t="s">
        <v>288</v>
      </c>
      <c r="G28" s="21" t="s">
        <v>111</v>
      </c>
      <c r="H28" s="21" t="s">
        <v>289</v>
      </c>
      <c r="I28" s="21" t="s">
        <v>113</v>
      </c>
      <c r="Z28" s="0" t="n">
        <v>0</v>
      </c>
      <c r="AA28" s="21" t="s">
        <v>284</v>
      </c>
      <c r="AB28" s="21" t="s">
        <v>284</v>
      </c>
      <c r="AE28" s="22" t="b">
        <f aca="false">FALSE()</f>
        <v>0</v>
      </c>
      <c r="AF28" s="21" t="s">
        <v>121</v>
      </c>
      <c r="AG28" s="21" t="s">
        <v>290</v>
      </c>
    </row>
    <row r="29" customFormat="false" ht="15" hidden="false" customHeight="false" outlineLevel="0" collapsed="false">
      <c r="A29" s="0" t="s">
        <v>291</v>
      </c>
      <c r="B29" s="18" t="s">
        <v>109</v>
      </c>
      <c r="C29" s="20" t="s">
        <v>25</v>
      </c>
      <c r="D29" s="23" t="s">
        <v>30</v>
      </c>
      <c r="E29" s="21" t="s">
        <v>292</v>
      </c>
      <c r="G29" s="21" t="s">
        <v>127</v>
      </c>
      <c r="H29" s="21" t="s">
        <v>151</v>
      </c>
      <c r="I29" s="21" t="s">
        <v>113</v>
      </c>
      <c r="J29" s="21" t="s">
        <v>114</v>
      </c>
      <c r="K29" s="0" t="n">
        <v>8</v>
      </c>
      <c r="L29" s="0" t="n">
        <v>2</v>
      </c>
      <c r="M29" s="0" t="n">
        <v>6</v>
      </c>
      <c r="N29" s="0" t="n">
        <v>0</v>
      </c>
      <c r="O29" s="0" t="n">
        <v>0</v>
      </c>
      <c r="P29" s="0" t="n">
        <v>8</v>
      </c>
      <c r="Q29" s="0" t="n">
        <v>0</v>
      </c>
      <c r="R29" s="0" t="n">
        <v>2</v>
      </c>
      <c r="S29" s="0" t="n">
        <v>6</v>
      </c>
      <c r="T29" s="0" t="n">
        <v>0</v>
      </c>
      <c r="U29" s="21" t="s">
        <v>293</v>
      </c>
      <c r="V29" s="21" t="s">
        <v>69</v>
      </c>
      <c r="W29" s="21" t="s">
        <v>294</v>
      </c>
      <c r="X29" s="0" t="n">
        <v>4.5</v>
      </c>
      <c r="Y29" s="0" t="n">
        <v>12.2</v>
      </c>
      <c r="Z29" s="0" t="n">
        <v>82.9</v>
      </c>
      <c r="AA29" s="21" t="s">
        <v>284</v>
      </c>
      <c r="AB29" s="21" t="s">
        <v>295</v>
      </c>
      <c r="AC29" s="21" t="s">
        <v>120</v>
      </c>
      <c r="AD29" s="0" t="n">
        <v>196</v>
      </c>
      <c r="AE29" s="22" t="b">
        <f aca="false">FALSE()</f>
        <v>0</v>
      </c>
      <c r="AF29" s="21" t="s">
        <v>121</v>
      </c>
      <c r="AG29" s="21" t="s">
        <v>296</v>
      </c>
    </row>
    <row r="30" customFormat="false" ht="15" hidden="false" customHeight="false" outlineLevel="0" collapsed="false">
      <c r="A30" s="0" t="s">
        <v>297</v>
      </c>
      <c r="B30" s="18" t="s">
        <v>109</v>
      </c>
      <c r="C30" s="19" t="s">
        <v>26</v>
      </c>
      <c r="D30" s="20" t="s">
        <v>31</v>
      </c>
      <c r="E30" s="21" t="s">
        <v>298</v>
      </c>
      <c r="G30" s="21" t="s">
        <v>111</v>
      </c>
      <c r="H30" s="21" t="s">
        <v>299</v>
      </c>
      <c r="I30" s="21" t="s">
        <v>113</v>
      </c>
      <c r="J30" s="21" t="s">
        <v>134</v>
      </c>
      <c r="K30" s="0" t="n">
        <v>4</v>
      </c>
      <c r="L30" s="0" t="n">
        <v>1</v>
      </c>
      <c r="M30" s="0" t="n">
        <v>2</v>
      </c>
      <c r="N30" s="0" t="n">
        <v>1</v>
      </c>
      <c r="O30" s="0" t="n">
        <v>0</v>
      </c>
      <c r="P30" s="0" t="n">
        <v>3</v>
      </c>
      <c r="Q30" s="0" t="n">
        <v>0</v>
      </c>
      <c r="R30" s="0" t="n">
        <v>0</v>
      </c>
      <c r="S30" s="0" t="n">
        <v>3</v>
      </c>
      <c r="T30" s="0" t="n">
        <v>1</v>
      </c>
      <c r="U30" s="21" t="s">
        <v>300</v>
      </c>
      <c r="V30" s="21" t="s">
        <v>69</v>
      </c>
      <c r="W30" s="21" t="s">
        <v>301</v>
      </c>
      <c r="X30" s="0" t="n">
        <v>1.17</v>
      </c>
      <c r="Y30" s="0" t="n">
        <v>16.4</v>
      </c>
      <c r="Z30" s="0" t="n">
        <v>42.2</v>
      </c>
      <c r="AA30" s="21" t="s">
        <v>302</v>
      </c>
      <c r="AB30" s="21" t="s">
        <v>303</v>
      </c>
      <c r="AC30" s="21" t="s">
        <v>120</v>
      </c>
      <c r="AD30" s="0" t="n">
        <v>95</v>
      </c>
      <c r="AE30" s="22" t="b">
        <f aca="false">FALSE()</f>
        <v>0</v>
      </c>
      <c r="AF30" s="21" t="s">
        <v>121</v>
      </c>
      <c r="AG30" s="21" t="s">
        <v>304</v>
      </c>
    </row>
    <row r="31" customFormat="false" ht="15" hidden="false" customHeight="false" outlineLevel="0" collapsed="false">
      <c r="A31" s="0" t="s">
        <v>305</v>
      </c>
      <c r="B31" s="20" t="s">
        <v>124</v>
      </c>
      <c r="E31" s="21" t="s">
        <v>306</v>
      </c>
      <c r="F31" s="21" t="s">
        <v>307</v>
      </c>
      <c r="G31" s="21" t="s">
        <v>111</v>
      </c>
      <c r="H31" s="21" t="s">
        <v>308</v>
      </c>
      <c r="I31" s="21" t="s">
        <v>113</v>
      </c>
      <c r="Z31" s="0" t="n">
        <v>0</v>
      </c>
      <c r="AA31" s="21" t="s">
        <v>303</v>
      </c>
      <c r="AB31" s="21" t="s">
        <v>303</v>
      </c>
      <c r="AE31" s="22" t="b">
        <f aca="false">FALSE()</f>
        <v>0</v>
      </c>
      <c r="AF31" s="21" t="s">
        <v>121</v>
      </c>
      <c r="AG31" s="21" t="s">
        <v>309</v>
      </c>
    </row>
    <row r="32" customFormat="false" ht="15" hidden="false" customHeight="false" outlineLevel="0" collapsed="false">
      <c r="A32" s="0" t="s">
        <v>310</v>
      </c>
      <c r="B32" s="18" t="s">
        <v>109</v>
      </c>
      <c r="C32" s="19" t="s">
        <v>26</v>
      </c>
      <c r="D32" s="20" t="s">
        <v>31</v>
      </c>
      <c r="E32" s="21" t="s">
        <v>311</v>
      </c>
      <c r="G32" s="21" t="s">
        <v>111</v>
      </c>
      <c r="H32" s="21" t="s">
        <v>275</v>
      </c>
      <c r="I32" s="21" t="s">
        <v>113</v>
      </c>
      <c r="J32" s="21" t="s">
        <v>134</v>
      </c>
      <c r="K32" s="0" t="n">
        <v>4</v>
      </c>
      <c r="L32" s="0" t="n">
        <v>0</v>
      </c>
      <c r="M32" s="0" t="n">
        <v>2</v>
      </c>
      <c r="N32" s="0" t="n">
        <v>2</v>
      </c>
      <c r="O32" s="0" t="n">
        <v>0</v>
      </c>
      <c r="P32" s="0" t="n">
        <v>2</v>
      </c>
      <c r="Q32" s="0" t="n">
        <v>0</v>
      </c>
      <c r="R32" s="0" t="n">
        <v>0</v>
      </c>
      <c r="S32" s="0" t="n">
        <v>2</v>
      </c>
      <c r="T32" s="0" t="n">
        <v>2</v>
      </c>
      <c r="U32" s="21" t="s">
        <v>312</v>
      </c>
      <c r="V32" s="21" t="s">
        <v>69</v>
      </c>
      <c r="W32" s="21" t="s">
        <v>313</v>
      </c>
      <c r="X32" s="0" t="n">
        <v>6.49</v>
      </c>
      <c r="Y32" s="0" t="n">
        <v>16.4</v>
      </c>
      <c r="Z32" s="0" t="n">
        <v>41.1</v>
      </c>
      <c r="AA32" s="21" t="s">
        <v>314</v>
      </c>
      <c r="AB32" s="21" t="s">
        <v>315</v>
      </c>
      <c r="AC32" s="21" t="s">
        <v>120</v>
      </c>
      <c r="AD32" s="0" t="n">
        <v>95</v>
      </c>
      <c r="AE32" s="22" t="b">
        <f aca="false">FALSE()</f>
        <v>0</v>
      </c>
      <c r="AF32" s="21" t="s">
        <v>121</v>
      </c>
      <c r="AG32" s="21" t="s">
        <v>316</v>
      </c>
    </row>
    <row r="33" customFormat="false" ht="15" hidden="false" customHeight="false" outlineLevel="0" collapsed="false">
      <c r="A33" s="0" t="s">
        <v>317</v>
      </c>
      <c r="B33" s="18" t="s">
        <v>109</v>
      </c>
      <c r="C33" s="19" t="s">
        <v>26</v>
      </c>
      <c r="D33" s="20" t="s">
        <v>31</v>
      </c>
      <c r="E33" s="21" t="s">
        <v>318</v>
      </c>
      <c r="G33" s="21" t="s">
        <v>111</v>
      </c>
      <c r="H33" s="21" t="s">
        <v>229</v>
      </c>
      <c r="I33" s="21" t="s">
        <v>113</v>
      </c>
      <c r="J33" s="21" t="s">
        <v>134</v>
      </c>
      <c r="K33" s="0" t="n">
        <v>4</v>
      </c>
      <c r="L33" s="0" t="n">
        <v>0</v>
      </c>
      <c r="M33" s="0" t="n">
        <v>2</v>
      </c>
      <c r="N33" s="0" t="n">
        <v>2</v>
      </c>
      <c r="O33" s="0" t="n">
        <v>0</v>
      </c>
      <c r="P33" s="0" t="n">
        <v>2</v>
      </c>
      <c r="Q33" s="0" t="n">
        <v>0</v>
      </c>
      <c r="R33" s="0" t="n">
        <v>0</v>
      </c>
      <c r="S33" s="0" t="n">
        <v>2</v>
      </c>
      <c r="T33" s="0" t="n">
        <v>2</v>
      </c>
      <c r="U33" s="21" t="s">
        <v>319</v>
      </c>
      <c r="V33" s="21" t="s">
        <v>69</v>
      </c>
      <c r="W33" s="21" t="s">
        <v>224</v>
      </c>
      <c r="X33" s="0" t="n">
        <v>3.21</v>
      </c>
      <c r="Y33" s="0" t="n">
        <v>14.7</v>
      </c>
      <c r="Z33" s="0" t="n">
        <v>41.2</v>
      </c>
      <c r="AA33" s="21" t="s">
        <v>320</v>
      </c>
      <c r="AB33" s="21" t="s">
        <v>321</v>
      </c>
      <c r="AC33" s="21" t="s">
        <v>120</v>
      </c>
      <c r="AD33" s="0" t="n">
        <v>96</v>
      </c>
      <c r="AE33" s="22" t="b">
        <f aca="false">FALSE()</f>
        <v>0</v>
      </c>
      <c r="AF33" s="21" t="s">
        <v>121</v>
      </c>
      <c r="AG33" s="21" t="s">
        <v>322</v>
      </c>
    </row>
    <row r="34" customFormat="false" ht="15" hidden="false" customHeight="false" outlineLevel="0" collapsed="false">
      <c r="A34" s="0" t="s">
        <v>323</v>
      </c>
      <c r="B34" s="18" t="s">
        <v>109</v>
      </c>
      <c r="C34" s="20" t="s">
        <v>25</v>
      </c>
      <c r="D34" s="23" t="s">
        <v>30</v>
      </c>
      <c r="E34" s="21" t="s">
        <v>324</v>
      </c>
      <c r="G34" s="21" t="s">
        <v>127</v>
      </c>
      <c r="H34" s="21" t="s">
        <v>217</v>
      </c>
      <c r="I34" s="21" t="s">
        <v>113</v>
      </c>
      <c r="J34" s="21" t="s">
        <v>114</v>
      </c>
      <c r="K34" s="0" t="n">
        <v>8</v>
      </c>
      <c r="L34" s="0" t="n">
        <v>4</v>
      </c>
      <c r="M34" s="0" t="n">
        <v>4</v>
      </c>
      <c r="N34" s="0" t="n">
        <v>0</v>
      </c>
      <c r="O34" s="0" t="n">
        <v>0</v>
      </c>
      <c r="P34" s="0" t="n">
        <v>8</v>
      </c>
      <c r="Q34" s="0" t="n">
        <v>2</v>
      </c>
      <c r="R34" s="0" t="n">
        <v>0</v>
      </c>
      <c r="S34" s="0" t="n">
        <v>6</v>
      </c>
      <c r="T34" s="0" t="n">
        <v>0</v>
      </c>
      <c r="U34" s="21" t="s">
        <v>325</v>
      </c>
      <c r="V34" s="21" t="s">
        <v>69</v>
      </c>
      <c r="W34" s="21" t="s">
        <v>283</v>
      </c>
      <c r="X34" s="0" t="n">
        <v>7.52</v>
      </c>
      <c r="Y34" s="0" t="n">
        <v>13.1</v>
      </c>
      <c r="Z34" s="0" t="n">
        <v>75.1</v>
      </c>
      <c r="AA34" s="21" t="s">
        <v>326</v>
      </c>
      <c r="AB34" s="21" t="s">
        <v>327</v>
      </c>
      <c r="AC34" s="21" t="s">
        <v>120</v>
      </c>
      <c r="AD34" s="0" t="n">
        <v>191</v>
      </c>
      <c r="AE34" s="22" t="b">
        <f aca="false">FALSE()</f>
        <v>0</v>
      </c>
      <c r="AF34" s="21" t="s">
        <v>121</v>
      </c>
      <c r="AG34" s="21" t="s">
        <v>328</v>
      </c>
    </row>
    <row r="35" customFormat="false" ht="15" hidden="false" customHeight="false" outlineLevel="0" collapsed="false">
      <c r="A35" s="0" t="s">
        <v>329</v>
      </c>
      <c r="B35" s="18" t="s">
        <v>109</v>
      </c>
      <c r="C35" s="19" t="s">
        <v>26</v>
      </c>
      <c r="D35" s="20" t="s">
        <v>31</v>
      </c>
      <c r="E35" s="21" t="s">
        <v>330</v>
      </c>
      <c r="G35" s="21" t="s">
        <v>127</v>
      </c>
      <c r="H35" s="21" t="s">
        <v>331</v>
      </c>
      <c r="I35" s="21" t="s">
        <v>113</v>
      </c>
      <c r="J35" s="21" t="s">
        <v>134</v>
      </c>
      <c r="K35" s="0" t="n">
        <v>4</v>
      </c>
      <c r="L35" s="0" t="n">
        <v>2</v>
      </c>
      <c r="M35" s="0" t="n">
        <v>1</v>
      </c>
      <c r="N35" s="0" t="n">
        <v>1</v>
      </c>
      <c r="O35" s="0" t="n">
        <v>0</v>
      </c>
      <c r="P35" s="0" t="n">
        <v>3</v>
      </c>
      <c r="Q35" s="0" t="n">
        <v>1</v>
      </c>
      <c r="R35" s="0" t="n">
        <v>0</v>
      </c>
      <c r="S35" s="0" t="n">
        <v>2</v>
      </c>
      <c r="T35" s="0" t="n">
        <v>1</v>
      </c>
      <c r="U35" s="21" t="s">
        <v>332</v>
      </c>
      <c r="V35" s="21" t="s">
        <v>69</v>
      </c>
      <c r="W35" s="21" t="s">
        <v>136</v>
      </c>
      <c r="X35" s="0" t="n">
        <v>3.32</v>
      </c>
      <c r="Y35" s="0" t="n">
        <v>13.4</v>
      </c>
      <c r="Z35" s="0" t="n">
        <v>41.1</v>
      </c>
      <c r="AA35" s="21" t="s">
        <v>333</v>
      </c>
      <c r="AB35" s="21" t="s">
        <v>334</v>
      </c>
      <c r="AC35" s="21" t="s">
        <v>120</v>
      </c>
      <c r="AD35" s="0" t="n">
        <v>96</v>
      </c>
      <c r="AE35" s="22" t="b">
        <f aca="false">FALSE()</f>
        <v>0</v>
      </c>
      <c r="AF35" s="21" t="s">
        <v>121</v>
      </c>
      <c r="AG35" s="21" t="s">
        <v>335</v>
      </c>
    </row>
    <row r="36" customFormat="false" ht="15" hidden="false" customHeight="false" outlineLevel="0" collapsed="false">
      <c r="A36" s="0" t="s">
        <v>336</v>
      </c>
      <c r="B36" s="18" t="s">
        <v>109</v>
      </c>
      <c r="C36" s="20" t="s">
        <v>25</v>
      </c>
      <c r="D36" s="23" t="s">
        <v>30</v>
      </c>
      <c r="E36" s="21" t="s">
        <v>337</v>
      </c>
      <c r="G36" s="21" t="s">
        <v>127</v>
      </c>
      <c r="H36" s="21" t="s">
        <v>299</v>
      </c>
      <c r="I36" s="21" t="s">
        <v>113</v>
      </c>
      <c r="J36" s="21" t="s">
        <v>134</v>
      </c>
      <c r="K36" s="0" t="n">
        <v>4</v>
      </c>
      <c r="L36" s="0" t="n">
        <v>3</v>
      </c>
      <c r="M36" s="0" t="n">
        <v>1</v>
      </c>
      <c r="N36" s="0" t="n">
        <v>0</v>
      </c>
      <c r="O36" s="0" t="n">
        <v>0</v>
      </c>
      <c r="P36" s="0" t="n">
        <v>4</v>
      </c>
      <c r="Q36" s="0" t="n">
        <v>1</v>
      </c>
      <c r="R36" s="0" t="n">
        <v>0</v>
      </c>
      <c r="S36" s="0" t="n">
        <v>3</v>
      </c>
      <c r="T36" s="0" t="n">
        <v>0</v>
      </c>
      <c r="U36" s="21" t="s">
        <v>338</v>
      </c>
      <c r="V36" s="21" t="s">
        <v>69</v>
      </c>
      <c r="W36" s="21" t="s">
        <v>283</v>
      </c>
      <c r="X36" s="0" t="n">
        <v>3.73</v>
      </c>
      <c r="Y36" s="0" t="n">
        <v>9.8</v>
      </c>
      <c r="Z36" s="0" t="n">
        <v>40.8</v>
      </c>
      <c r="AA36" s="21" t="s">
        <v>334</v>
      </c>
      <c r="AB36" s="21" t="s">
        <v>339</v>
      </c>
      <c r="AC36" s="21" t="s">
        <v>120</v>
      </c>
      <c r="AD36" s="0" t="n">
        <v>96</v>
      </c>
      <c r="AE36" s="22" t="b">
        <f aca="false">FALSE()</f>
        <v>0</v>
      </c>
      <c r="AF36" s="21" t="s">
        <v>121</v>
      </c>
      <c r="AG36" s="21" t="s">
        <v>340</v>
      </c>
    </row>
    <row r="37" customFormat="false" ht="15" hidden="false" customHeight="false" outlineLevel="0" collapsed="false">
      <c r="A37" s="0" t="s">
        <v>341</v>
      </c>
      <c r="B37" s="18" t="s">
        <v>109</v>
      </c>
      <c r="C37" s="19" t="s">
        <v>26</v>
      </c>
      <c r="D37" s="20" t="s">
        <v>31</v>
      </c>
      <c r="E37" s="21" t="s">
        <v>342</v>
      </c>
      <c r="G37" s="21" t="s">
        <v>111</v>
      </c>
      <c r="H37" s="21" t="s">
        <v>343</v>
      </c>
      <c r="I37" s="21" t="s">
        <v>171</v>
      </c>
      <c r="J37" s="21" t="s">
        <v>134</v>
      </c>
      <c r="K37" s="0" t="n">
        <v>4</v>
      </c>
      <c r="L37" s="0" t="n">
        <v>0</v>
      </c>
      <c r="M37" s="0" t="n">
        <v>3</v>
      </c>
      <c r="N37" s="0" t="n">
        <v>1</v>
      </c>
      <c r="O37" s="0" t="n">
        <v>0</v>
      </c>
      <c r="P37" s="0" t="n">
        <v>3</v>
      </c>
      <c r="Q37" s="0" t="n">
        <v>0</v>
      </c>
      <c r="R37" s="0" t="n">
        <v>0</v>
      </c>
      <c r="S37" s="0" t="n">
        <v>3</v>
      </c>
      <c r="T37" s="0" t="n">
        <v>1</v>
      </c>
      <c r="U37" s="21" t="s">
        <v>344</v>
      </c>
      <c r="V37" s="21" t="s">
        <v>69</v>
      </c>
      <c r="W37" s="21" t="s">
        <v>345</v>
      </c>
      <c r="X37" s="0" t="n">
        <v>4.54</v>
      </c>
      <c r="Y37" s="0" t="n">
        <v>6.9</v>
      </c>
      <c r="Z37" s="0" t="n">
        <v>40.8</v>
      </c>
      <c r="AA37" s="21" t="s">
        <v>346</v>
      </c>
      <c r="AB37" s="21" t="s">
        <v>347</v>
      </c>
      <c r="AC37" s="21" t="s">
        <v>120</v>
      </c>
      <c r="AD37" s="0" t="n">
        <v>95</v>
      </c>
      <c r="AE37" s="22" t="b">
        <f aca="false">FALSE()</f>
        <v>0</v>
      </c>
      <c r="AF37" s="21" t="s">
        <v>121</v>
      </c>
      <c r="AG37" s="21" t="s">
        <v>348</v>
      </c>
    </row>
    <row r="38" customFormat="false" ht="15" hidden="false" customHeight="false" outlineLevel="0" collapsed="false">
      <c r="A38" s="0" t="s">
        <v>349</v>
      </c>
      <c r="B38" s="20" t="s">
        <v>124</v>
      </c>
      <c r="E38" s="21" t="s">
        <v>350</v>
      </c>
      <c r="F38" s="21" t="s">
        <v>351</v>
      </c>
      <c r="G38" s="21" t="s">
        <v>127</v>
      </c>
      <c r="H38" s="21" t="s">
        <v>352</v>
      </c>
      <c r="I38" s="21" t="s">
        <v>113</v>
      </c>
      <c r="Z38" s="0" t="n">
        <v>0</v>
      </c>
      <c r="AA38" s="21" t="s">
        <v>347</v>
      </c>
      <c r="AB38" s="21" t="s">
        <v>347</v>
      </c>
      <c r="AE38" s="22" t="b">
        <f aca="false">FALSE()</f>
        <v>0</v>
      </c>
      <c r="AF38" s="21" t="s">
        <v>121</v>
      </c>
      <c r="AG38" s="21" t="s">
        <v>353</v>
      </c>
    </row>
    <row r="39" customFormat="false" ht="15" hidden="false" customHeight="false" outlineLevel="0" collapsed="false">
      <c r="A39" s="0" t="s">
        <v>354</v>
      </c>
      <c r="B39" s="18" t="s">
        <v>109</v>
      </c>
      <c r="C39" s="20" t="s">
        <v>25</v>
      </c>
      <c r="D39" s="23" t="s">
        <v>30</v>
      </c>
      <c r="E39" s="21" t="s">
        <v>355</v>
      </c>
      <c r="G39" s="21" t="s">
        <v>127</v>
      </c>
      <c r="H39" s="21" t="s">
        <v>203</v>
      </c>
      <c r="I39" s="21" t="s">
        <v>113</v>
      </c>
      <c r="J39" s="21" t="s">
        <v>114</v>
      </c>
      <c r="K39" s="0" t="n">
        <v>8</v>
      </c>
      <c r="L39" s="0" t="n">
        <v>1</v>
      </c>
      <c r="M39" s="0" t="n">
        <v>7</v>
      </c>
      <c r="N39" s="0" t="n">
        <v>0</v>
      </c>
      <c r="O39" s="0" t="n">
        <v>0</v>
      </c>
      <c r="P39" s="0" t="n">
        <v>8</v>
      </c>
      <c r="Q39" s="0" t="n">
        <v>0</v>
      </c>
      <c r="R39" s="0" t="n">
        <v>4</v>
      </c>
      <c r="S39" s="0" t="n">
        <v>4</v>
      </c>
      <c r="T39" s="0" t="n">
        <v>0</v>
      </c>
      <c r="U39" s="21" t="s">
        <v>356</v>
      </c>
      <c r="V39" s="21" t="s">
        <v>69</v>
      </c>
      <c r="W39" s="21" t="s">
        <v>357</v>
      </c>
      <c r="X39" s="0" t="n">
        <v>1.42</v>
      </c>
      <c r="Y39" s="0" t="n">
        <v>8.5</v>
      </c>
      <c r="Z39" s="0" t="n">
        <v>73.1</v>
      </c>
      <c r="AA39" s="21" t="s">
        <v>347</v>
      </c>
      <c r="AB39" s="21" t="s">
        <v>358</v>
      </c>
      <c r="AC39" s="21" t="s">
        <v>120</v>
      </c>
      <c r="AD39" s="0" t="n">
        <v>192</v>
      </c>
      <c r="AE39" s="22" t="b">
        <f aca="false">FALSE()</f>
        <v>0</v>
      </c>
      <c r="AF39" s="21" t="s">
        <v>121</v>
      </c>
      <c r="AG39" s="21" t="s">
        <v>359</v>
      </c>
    </row>
    <row r="40" customFormat="false" ht="15" hidden="false" customHeight="false" outlineLevel="0" collapsed="false">
      <c r="A40" s="0" t="s">
        <v>360</v>
      </c>
      <c r="B40" s="18" t="s">
        <v>109</v>
      </c>
      <c r="C40" s="19" t="s">
        <v>26</v>
      </c>
      <c r="D40" s="20" t="s">
        <v>31</v>
      </c>
      <c r="E40" s="21" t="s">
        <v>361</v>
      </c>
      <c r="G40" s="21" t="s">
        <v>127</v>
      </c>
      <c r="H40" s="21" t="s">
        <v>362</v>
      </c>
      <c r="I40" s="21" t="s">
        <v>113</v>
      </c>
      <c r="J40" s="21" t="s">
        <v>134</v>
      </c>
      <c r="K40" s="0" t="n">
        <v>4</v>
      </c>
      <c r="L40" s="0" t="n">
        <v>0</v>
      </c>
      <c r="M40" s="0" t="n">
        <v>2</v>
      </c>
      <c r="N40" s="0" t="n">
        <v>2</v>
      </c>
      <c r="O40" s="0" t="n">
        <v>0</v>
      </c>
      <c r="P40" s="0" t="n">
        <v>2</v>
      </c>
      <c r="Q40" s="0" t="n">
        <v>0</v>
      </c>
      <c r="R40" s="0" t="n">
        <v>0</v>
      </c>
      <c r="S40" s="0" t="n">
        <v>2</v>
      </c>
      <c r="T40" s="0" t="n">
        <v>2</v>
      </c>
      <c r="U40" s="21" t="s">
        <v>363</v>
      </c>
      <c r="V40" s="21" t="s">
        <v>116</v>
      </c>
      <c r="W40" s="21" t="s">
        <v>364</v>
      </c>
      <c r="X40" s="0" t="n">
        <v>0.58</v>
      </c>
      <c r="Y40" s="0" t="n">
        <v>17.1</v>
      </c>
      <c r="Z40" s="0" t="n">
        <v>41.1</v>
      </c>
      <c r="AA40" s="21" t="s">
        <v>358</v>
      </c>
      <c r="AB40" s="21" t="s">
        <v>365</v>
      </c>
      <c r="AC40" s="21" t="s">
        <v>120</v>
      </c>
      <c r="AD40" s="0" t="n">
        <v>101</v>
      </c>
      <c r="AE40" s="22" t="b">
        <f aca="false">FALSE()</f>
        <v>0</v>
      </c>
      <c r="AF40" s="21" t="s">
        <v>121</v>
      </c>
      <c r="AG40" s="21" t="s">
        <v>366</v>
      </c>
    </row>
    <row r="41" customFormat="false" ht="15" hidden="false" customHeight="false" outlineLevel="0" collapsed="false">
      <c r="A41" s="0" t="s">
        <v>367</v>
      </c>
      <c r="B41" s="18" t="s">
        <v>109</v>
      </c>
      <c r="C41" s="20" t="s">
        <v>25</v>
      </c>
      <c r="D41" s="23" t="s">
        <v>30</v>
      </c>
      <c r="E41" s="21" t="s">
        <v>368</v>
      </c>
      <c r="G41" s="21" t="s">
        <v>127</v>
      </c>
      <c r="H41" s="21" t="s">
        <v>151</v>
      </c>
      <c r="I41" s="21" t="s">
        <v>113</v>
      </c>
      <c r="J41" s="21" t="s">
        <v>134</v>
      </c>
      <c r="K41" s="0" t="n">
        <v>4</v>
      </c>
      <c r="L41" s="0" t="n">
        <v>0</v>
      </c>
      <c r="M41" s="0" t="n">
        <v>4</v>
      </c>
      <c r="N41" s="0" t="n">
        <v>0</v>
      </c>
      <c r="O41" s="0" t="n">
        <v>0</v>
      </c>
      <c r="P41" s="0" t="n">
        <v>4</v>
      </c>
      <c r="Q41" s="0" t="n">
        <v>0</v>
      </c>
      <c r="R41" s="0" t="n">
        <v>1</v>
      </c>
      <c r="S41" s="0" t="n">
        <v>3</v>
      </c>
      <c r="T41" s="0" t="n">
        <v>0</v>
      </c>
      <c r="U41" s="21" t="s">
        <v>369</v>
      </c>
      <c r="V41" s="21" t="s">
        <v>69</v>
      </c>
      <c r="W41" s="21" t="s">
        <v>294</v>
      </c>
      <c r="X41" s="0" t="n">
        <v>26.67</v>
      </c>
      <c r="Y41" s="0" t="n">
        <v>19.5</v>
      </c>
      <c r="Z41" s="0" t="n">
        <v>42</v>
      </c>
      <c r="AA41" s="21" t="s">
        <v>370</v>
      </c>
      <c r="AB41" s="21" t="s">
        <v>371</v>
      </c>
      <c r="AC41" s="21" t="s">
        <v>120</v>
      </c>
      <c r="AD41" s="0" t="n">
        <v>97</v>
      </c>
      <c r="AE41" s="22" t="b">
        <f aca="false">FALSE()</f>
        <v>0</v>
      </c>
      <c r="AF41" s="21" t="s">
        <v>121</v>
      </c>
      <c r="AG41" s="21" t="s">
        <v>372</v>
      </c>
    </row>
    <row r="42" customFormat="false" ht="15" hidden="false" customHeight="false" outlineLevel="0" collapsed="false">
      <c r="A42" s="0" t="s">
        <v>373</v>
      </c>
      <c r="B42" s="18" t="s">
        <v>109</v>
      </c>
      <c r="C42" s="20" t="s">
        <v>25</v>
      </c>
      <c r="D42" s="23" t="s">
        <v>30</v>
      </c>
      <c r="E42" s="21" t="s">
        <v>374</v>
      </c>
      <c r="G42" s="21" t="s">
        <v>127</v>
      </c>
      <c r="H42" s="21" t="s">
        <v>343</v>
      </c>
      <c r="I42" s="21" t="s">
        <v>113</v>
      </c>
      <c r="J42" s="21" t="s">
        <v>114</v>
      </c>
      <c r="K42" s="0" t="n">
        <v>8</v>
      </c>
      <c r="L42" s="0" t="n">
        <v>2</v>
      </c>
      <c r="M42" s="0" t="n">
        <v>6</v>
      </c>
      <c r="N42" s="0" t="n">
        <v>0</v>
      </c>
      <c r="O42" s="0" t="n">
        <v>0</v>
      </c>
      <c r="P42" s="0" t="n">
        <v>8</v>
      </c>
      <c r="Q42" s="0" t="n">
        <v>2</v>
      </c>
      <c r="R42" s="0" t="n">
        <v>5</v>
      </c>
      <c r="S42" s="0" t="n">
        <v>1</v>
      </c>
      <c r="T42" s="0" t="n">
        <v>0</v>
      </c>
      <c r="U42" s="21" t="s">
        <v>375</v>
      </c>
      <c r="V42" s="21" t="s">
        <v>69</v>
      </c>
      <c r="W42" s="21" t="s">
        <v>376</v>
      </c>
      <c r="X42" s="0" t="n">
        <v>2.04</v>
      </c>
      <c r="Y42" s="0" t="n">
        <v>16.1</v>
      </c>
      <c r="Z42" s="0" t="n">
        <v>74.7</v>
      </c>
      <c r="AA42" s="21" t="s">
        <v>377</v>
      </c>
      <c r="AB42" s="21" t="s">
        <v>378</v>
      </c>
      <c r="AC42" s="21" t="s">
        <v>120</v>
      </c>
      <c r="AD42" s="0" t="n">
        <v>192</v>
      </c>
      <c r="AE42" s="22" t="b">
        <f aca="false">FALSE()</f>
        <v>0</v>
      </c>
      <c r="AF42" s="21" t="s">
        <v>121</v>
      </c>
      <c r="AG42" s="21" t="s">
        <v>379</v>
      </c>
    </row>
    <row r="43" customFormat="false" ht="15" hidden="false" customHeight="false" outlineLevel="0" collapsed="false">
      <c r="A43" s="0" t="s">
        <v>380</v>
      </c>
      <c r="B43" s="18" t="s">
        <v>109</v>
      </c>
      <c r="C43" s="19" t="s">
        <v>26</v>
      </c>
      <c r="D43" s="20" t="s">
        <v>31</v>
      </c>
      <c r="E43" s="21" t="s">
        <v>381</v>
      </c>
      <c r="G43" s="21" t="s">
        <v>111</v>
      </c>
      <c r="H43" s="21" t="s">
        <v>382</v>
      </c>
      <c r="I43" s="21" t="s">
        <v>113</v>
      </c>
      <c r="J43" s="21" t="s">
        <v>134</v>
      </c>
      <c r="K43" s="0" t="n">
        <v>4</v>
      </c>
      <c r="L43" s="0" t="n">
        <v>0</v>
      </c>
      <c r="M43" s="0" t="n">
        <v>3</v>
      </c>
      <c r="N43" s="0" t="n">
        <v>1</v>
      </c>
      <c r="O43" s="0" t="n">
        <v>0</v>
      </c>
      <c r="P43" s="0" t="n">
        <v>3</v>
      </c>
      <c r="Q43" s="0" t="n">
        <v>0</v>
      </c>
      <c r="R43" s="0" t="n">
        <v>1</v>
      </c>
      <c r="S43" s="0" t="n">
        <v>2</v>
      </c>
      <c r="T43" s="0" t="n">
        <v>1</v>
      </c>
      <c r="U43" s="21" t="s">
        <v>383</v>
      </c>
      <c r="V43" s="21" t="s">
        <v>69</v>
      </c>
      <c r="W43" s="21" t="s">
        <v>384</v>
      </c>
      <c r="X43" s="0" t="n">
        <v>1.5</v>
      </c>
      <c r="Y43" s="0" t="n">
        <v>19.4</v>
      </c>
      <c r="Z43" s="0" t="n">
        <v>52.7</v>
      </c>
      <c r="AA43" s="21" t="s">
        <v>385</v>
      </c>
      <c r="AB43" s="21" t="s">
        <v>386</v>
      </c>
      <c r="AC43" s="21" t="s">
        <v>120</v>
      </c>
      <c r="AD43" s="0" t="n">
        <v>97</v>
      </c>
      <c r="AE43" s="22" t="b">
        <f aca="false">FALSE()</f>
        <v>0</v>
      </c>
      <c r="AF43" s="21" t="s">
        <v>121</v>
      </c>
      <c r="AG43" s="21" t="s">
        <v>387</v>
      </c>
    </row>
    <row r="44" customFormat="false" ht="15" hidden="false" customHeight="false" outlineLevel="0" collapsed="false">
      <c r="A44" s="0" t="s">
        <v>388</v>
      </c>
      <c r="B44" s="18" t="s">
        <v>109</v>
      </c>
      <c r="C44" s="19" t="s">
        <v>26</v>
      </c>
      <c r="D44" s="20" t="s">
        <v>31</v>
      </c>
      <c r="E44" s="21" t="s">
        <v>389</v>
      </c>
      <c r="G44" s="21" t="s">
        <v>127</v>
      </c>
      <c r="H44" s="21" t="s">
        <v>390</v>
      </c>
      <c r="I44" s="21" t="s">
        <v>171</v>
      </c>
      <c r="J44" s="21" t="s">
        <v>134</v>
      </c>
      <c r="K44" s="0" t="n">
        <v>4</v>
      </c>
      <c r="L44" s="0" t="n">
        <v>2</v>
      </c>
      <c r="M44" s="0" t="n">
        <v>1</v>
      </c>
      <c r="N44" s="0" t="n">
        <v>1</v>
      </c>
      <c r="O44" s="0" t="n">
        <v>0</v>
      </c>
      <c r="P44" s="0" t="n">
        <v>3</v>
      </c>
      <c r="Q44" s="0" t="n">
        <v>0</v>
      </c>
      <c r="R44" s="0" t="n">
        <v>0</v>
      </c>
      <c r="S44" s="0" t="n">
        <v>3</v>
      </c>
      <c r="T44" s="0" t="n">
        <v>1</v>
      </c>
      <c r="U44" s="21" t="s">
        <v>391</v>
      </c>
      <c r="V44" s="21" t="s">
        <v>69</v>
      </c>
      <c r="W44" s="21" t="s">
        <v>345</v>
      </c>
      <c r="X44" s="0" t="n">
        <v>8.05</v>
      </c>
      <c r="Y44" s="0" t="n">
        <v>14.1</v>
      </c>
      <c r="Z44" s="0" t="n">
        <v>44</v>
      </c>
      <c r="AA44" s="21" t="s">
        <v>392</v>
      </c>
      <c r="AB44" s="21" t="s">
        <v>393</v>
      </c>
      <c r="AC44" s="21" t="s">
        <v>120</v>
      </c>
      <c r="AD44" s="0" t="n">
        <v>95</v>
      </c>
      <c r="AE44" s="22" t="b">
        <f aca="false">FALSE()</f>
        <v>0</v>
      </c>
      <c r="AF44" s="21" t="s">
        <v>121</v>
      </c>
      <c r="AG44" s="21" t="s">
        <v>394</v>
      </c>
    </row>
    <row r="45" customFormat="false" ht="15" hidden="false" customHeight="false" outlineLevel="0" collapsed="false">
      <c r="A45" s="0" t="s">
        <v>395</v>
      </c>
      <c r="B45" s="18" t="s">
        <v>109</v>
      </c>
      <c r="C45" s="19" t="s">
        <v>26</v>
      </c>
      <c r="D45" s="20" t="s">
        <v>31</v>
      </c>
      <c r="E45" s="21" t="s">
        <v>396</v>
      </c>
      <c r="G45" s="21" t="s">
        <v>111</v>
      </c>
      <c r="H45" s="21" t="s">
        <v>397</v>
      </c>
      <c r="I45" s="21" t="s">
        <v>113</v>
      </c>
      <c r="J45" s="21" t="s">
        <v>114</v>
      </c>
      <c r="K45" s="0" t="n">
        <v>8</v>
      </c>
      <c r="L45" s="0" t="n">
        <v>0</v>
      </c>
      <c r="M45" s="0" t="n">
        <v>1</v>
      </c>
      <c r="N45" s="0" t="n">
        <v>7</v>
      </c>
      <c r="O45" s="0" t="n">
        <v>0</v>
      </c>
      <c r="P45" s="0" t="n">
        <v>1</v>
      </c>
      <c r="Q45" s="0" t="n">
        <v>0</v>
      </c>
      <c r="R45" s="0" t="n">
        <v>0</v>
      </c>
      <c r="S45" s="0" t="n">
        <v>1</v>
      </c>
      <c r="T45" s="0" t="n">
        <v>7</v>
      </c>
      <c r="U45" s="21" t="s">
        <v>398</v>
      </c>
      <c r="V45" s="21" t="s">
        <v>69</v>
      </c>
      <c r="W45" s="21" t="s">
        <v>301</v>
      </c>
      <c r="X45" s="0" t="n">
        <v>2.36</v>
      </c>
      <c r="Y45" s="0" t="n">
        <v>10.1</v>
      </c>
      <c r="Z45" s="0" t="n">
        <v>75.8</v>
      </c>
      <c r="AA45" s="21" t="s">
        <v>399</v>
      </c>
      <c r="AB45" s="21" t="s">
        <v>400</v>
      </c>
      <c r="AC45" s="21" t="s">
        <v>120</v>
      </c>
      <c r="AD45" s="0" t="n">
        <v>192</v>
      </c>
      <c r="AE45" s="22" t="b">
        <f aca="false">FALSE()</f>
        <v>0</v>
      </c>
      <c r="AF45" s="21" t="s">
        <v>121</v>
      </c>
      <c r="AG45" s="21" t="s">
        <v>401</v>
      </c>
    </row>
    <row r="46" customFormat="false" ht="15" hidden="false" customHeight="false" outlineLevel="0" collapsed="false">
      <c r="A46" s="0" t="s">
        <v>402</v>
      </c>
      <c r="B46" s="18" t="s">
        <v>109</v>
      </c>
      <c r="C46" s="19" t="s">
        <v>26</v>
      </c>
      <c r="D46" s="19" t="s">
        <v>32</v>
      </c>
      <c r="E46" s="21" t="s">
        <v>403</v>
      </c>
      <c r="G46" s="21" t="s">
        <v>111</v>
      </c>
      <c r="H46" s="21" t="s">
        <v>269</v>
      </c>
      <c r="I46" s="21" t="s">
        <v>113</v>
      </c>
      <c r="J46" s="21" t="s">
        <v>134</v>
      </c>
      <c r="K46" s="0" t="n">
        <v>4</v>
      </c>
      <c r="L46" s="0" t="n">
        <v>0</v>
      </c>
      <c r="M46" s="0" t="n">
        <v>0</v>
      </c>
      <c r="N46" s="0" t="n">
        <v>4</v>
      </c>
      <c r="O46" s="0" t="n">
        <v>0</v>
      </c>
      <c r="P46" s="0" t="n">
        <v>0</v>
      </c>
      <c r="Q46" s="0" t="n">
        <v>0</v>
      </c>
      <c r="R46" s="0" t="n">
        <v>0</v>
      </c>
      <c r="S46" s="0" t="n">
        <v>0</v>
      </c>
      <c r="T46" s="0" t="n">
        <v>4</v>
      </c>
      <c r="U46" s="21" t="s">
        <v>404</v>
      </c>
      <c r="V46" s="21" t="s">
        <v>116</v>
      </c>
      <c r="W46" s="21" t="s">
        <v>405</v>
      </c>
      <c r="X46" s="0" t="n">
        <v>10.1</v>
      </c>
      <c r="Y46" s="0" t="n">
        <v>10</v>
      </c>
      <c r="Z46" s="0" t="n">
        <v>41.8</v>
      </c>
      <c r="AA46" s="21" t="s">
        <v>406</v>
      </c>
      <c r="AB46" s="21" t="s">
        <v>407</v>
      </c>
      <c r="AC46" s="21" t="s">
        <v>120</v>
      </c>
      <c r="AD46" s="0" t="n">
        <v>98</v>
      </c>
      <c r="AE46" s="22" t="b">
        <f aca="false">FALSE()</f>
        <v>0</v>
      </c>
      <c r="AF46" s="21" t="s">
        <v>121</v>
      </c>
      <c r="AG46" s="21" t="s">
        <v>408</v>
      </c>
    </row>
    <row r="47" customFormat="false" ht="15" hidden="false" customHeight="false" outlineLevel="0" collapsed="false">
      <c r="A47" s="0" t="s">
        <v>409</v>
      </c>
      <c r="B47" s="18" t="s">
        <v>109</v>
      </c>
      <c r="C47" s="19" t="s">
        <v>26</v>
      </c>
      <c r="D47" s="20" t="s">
        <v>31</v>
      </c>
      <c r="E47" s="21" t="s">
        <v>410</v>
      </c>
      <c r="G47" s="21" t="s">
        <v>111</v>
      </c>
      <c r="H47" s="21" t="s">
        <v>203</v>
      </c>
      <c r="I47" s="21" t="s">
        <v>113</v>
      </c>
      <c r="J47" s="21" t="s">
        <v>114</v>
      </c>
      <c r="K47" s="0" t="n">
        <v>8</v>
      </c>
      <c r="L47" s="0" t="n">
        <v>0</v>
      </c>
      <c r="M47" s="0" t="n">
        <v>4</v>
      </c>
      <c r="N47" s="0" t="n">
        <v>4</v>
      </c>
      <c r="O47" s="0" t="n">
        <v>0</v>
      </c>
      <c r="P47" s="0" t="n">
        <v>4</v>
      </c>
      <c r="Q47" s="0" t="n">
        <v>0</v>
      </c>
      <c r="R47" s="0" t="n">
        <v>1</v>
      </c>
      <c r="S47" s="0" t="n">
        <v>3</v>
      </c>
      <c r="T47" s="0" t="n">
        <v>4</v>
      </c>
      <c r="U47" s="21" t="s">
        <v>411</v>
      </c>
      <c r="V47" s="21" t="s">
        <v>69</v>
      </c>
      <c r="W47" s="21" t="s">
        <v>412</v>
      </c>
      <c r="X47" s="0" t="n">
        <v>0.97</v>
      </c>
      <c r="Y47" s="0" t="n">
        <v>16.9</v>
      </c>
      <c r="Z47" s="0" t="n">
        <v>79.3</v>
      </c>
      <c r="AA47" s="21" t="s">
        <v>413</v>
      </c>
      <c r="AB47" s="21" t="s">
        <v>414</v>
      </c>
      <c r="AC47" s="21" t="s">
        <v>120</v>
      </c>
      <c r="AD47" s="0" t="n">
        <v>201</v>
      </c>
      <c r="AE47" s="22" t="b">
        <f aca="false">FALSE()</f>
        <v>0</v>
      </c>
      <c r="AF47" s="21" t="s">
        <v>121</v>
      </c>
      <c r="AG47" s="21" t="s">
        <v>415</v>
      </c>
    </row>
    <row r="48" customFormat="false" ht="15" hidden="false" customHeight="false" outlineLevel="0" collapsed="false">
      <c r="A48" s="0" t="s">
        <v>416</v>
      </c>
      <c r="B48" s="20" t="s">
        <v>124</v>
      </c>
      <c r="E48" s="21" t="s">
        <v>125</v>
      </c>
      <c r="F48" s="21" t="s">
        <v>126</v>
      </c>
      <c r="G48" s="21" t="s">
        <v>127</v>
      </c>
      <c r="H48" s="21" t="s">
        <v>128</v>
      </c>
      <c r="I48" s="21" t="s">
        <v>113</v>
      </c>
      <c r="Z48" s="0" t="n">
        <v>0</v>
      </c>
      <c r="AA48" s="21" t="s">
        <v>414</v>
      </c>
      <c r="AB48" s="21" t="s">
        <v>414</v>
      </c>
      <c r="AE48" s="22" t="b">
        <f aca="false">FALSE()</f>
        <v>0</v>
      </c>
      <c r="AF48" s="21" t="s">
        <v>121</v>
      </c>
      <c r="AG48" s="21" t="s">
        <v>417</v>
      </c>
    </row>
    <row r="49" customFormat="false" ht="15" hidden="false" customHeight="false" outlineLevel="0" collapsed="false">
      <c r="A49" s="0" t="s">
        <v>418</v>
      </c>
      <c r="B49" s="18" t="s">
        <v>109</v>
      </c>
      <c r="C49" s="19" t="s">
        <v>26</v>
      </c>
      <c r="D49" s="20" t="s">
        <v>31</v>
      </c>
      <c r="E49" s="21" t="s">
        <v>419</v>
      </c>
      <c r="G49" s="21" t="s">
        <v>127</v>
      </c>
      <c r="H49" s="21" t="s">
        <v>343</v>
      </c>
      <c r="I49" s="21" t="s">
        <v>113</v>
      </c>
      <c r="J49" s="21" t="s">
        <v>114</v>
      </c>
      <c r="K49" s="0" t="n">
        <v>8</v>
      </c>
      <c r="L49" s="0" t="n">
        <v>2</v>
      </c>
      <c r="M49" s="0" t="n">
        <v>5</v>
      </c>
      <c r="N49" s="0" t="n">
        <v>1</v>
      </c>
      <c r="O49" s="0" t="n">
        <v>0</v>
      </c>
      <c r="P49" s="0" t="n">
        <v>7</v>
      </c>
      <c r="Q49" s="0" t="n">
        <v>0</v>
      </c>
      <c r="R49" s="0" t="n">
        <v>1</v>
      </c>
      <c r="S49" s="0" t="n">
        <v>6</v>
      </c>
      <c r="T49" s="0" t="n">
        <v>1</v>
      </c>
      <c r="U49" s="21" t="s">
        <v>420</v>
      </c>
      <c r="V49" s="21" t="s">
        <v>69</v>
      </c>
      <c r="W49" s="21" t="s">
        <v>421</v>
      </c>
      <c r="X49" s="0" t="n">
        <v>4.28</v>
      </c>
      <c r="Y49" s="0" t="n">
        <v>4.5</v>
      </c>
      <c r="Z49" s="0" t="n">
        <v>76.1</v>
      </c>
      <c r="AA49" s="21" t="s">
        <v>422</v>
      </c>
      <c r="AB49" s="21" t="s">
        <v>423</v>
      </c>
      <c r="AC49" s="21" t="s">
        <v>120</v>
      </c>
      <c r="AD49" s="0" t="n">
        <v>190</v>
      </c>
      <c r="AE49" s="22" t="b">
        <f aca="false">FALSE()</f>
        <v>0</v>
      </c>
      <c r="AF49" s="21" t="s">
        <v>121</v>
      </c>
      <c r="AG49" s="21" t="s">
        <v>424</v>
      </c>
    </row>
    <row r="50" customFormat="false" ht="15" hidden="false" customHeight="false" outlineLevel="0" collapsed="false">
      <c r="A50" s="0" t="s">
        <v>425</v>
      </c>
      <c r="B50" s="20" t="s">
        <v>124</v>
      </c>
      <c r="E50" s="21" t="s">
        <v>426</v>
      </c>
      <c r="F50" s="21" t="s">
        <v>427</v>
      </c>
      <c r="G50" s="21" t="s">
        <v>111</v>
      </c>
      <c r="H50" s="21" t="s">
        <v>128</v>
      </c>
      <c r="I50" s="21" t="s">
        <v>113</v>
      </c>
      <c r="Z50" s="0" t="n">
        <v>0</v>
      </c>
      <c r="AA50" s="21" t="s">
        <v>428</v>
      </c>
      <c r="AB50" s="21" t="s">
        <v>428</v>
      </c>
      <c r="AE50" s="22" t="b">
        <f aca="false">FALSE()</f>
        <v>0</v>
      </c>
      <c r="AF50" s="21" t="s">
        <v>121</v>
      </c>
      <c r="AG50" s="21" t="s">
        <v>429</v>
      </c>
    </row>
    <row r="51" customFormat="false" ht="15" hidden="false" customHeight="false" outlineLevel="0" collapsed="false">
      <c r="A51" s="0" t="s">
        <v>430</v>
      </c>
      <c r="B51" s="18" t="s">
        <v>109</v>
      </c>
      <c r="C51" s="19" t="s">
        <v>26</v>
      </c>
      <c r="D51" s="20" t="s">
        <v>31</v>
      </c>
      <c r="E51" s="21" t="s">
        <v>431</v>
      </c>
      <c r="G51" s="21" t="s">
        <v>111</v>
      </c>
      <c r="H51" s="21" t="s">
        <v>281</v>
      </c>
      <c r="I51" s="21" t="s">
        <v>113</v>
      </c>
      <c r="J51" s="21" t="s">
        <v>114</v>
      </c>
      <c r="K51" s="0" t="n">
        <v>8</v>
      </c>
      <c r="L51" s="0" t="n">
        <v>0</v>
      </c>
      <c r="M51" s="0" t="n">
        <v>4</v>
      </c>
      <c r="N51" s="0" t="n">
        <v>4</v>
      </c>
      <c r="O51" s="0" t="n">
        <v>0</v>
      </c>
      <c r="P51" s="0" t="n">
        <v>4</v>
      </c>
      <c r="Q51" s="0" t="n">
        <v>0</v>
      </c>
      <c r="R51" s="0" t="n">
        <v>0</v>
      </c>
      <c r="S51" s="0" t="n">
        <v>4</v>
      </c>
      <c r="T51" s="0" t="n">
        <v>4</v>
      </c>
      <c r="U51" s="21" t="s">
        <v>432</v>
      </c>
      <c r="V51" s="21" t="s">
        <v>69</v>
      </c>
      <c r="W51" s="21" t="s">
        <v>433</v>
      </c>
      <c r="X51" s="0" t="n">
        <v>0.85</v>
      </c>
      <c r="Y51" s="0" t="n">
        <v>16.9</v>
      </c>
      <c r="Z51" s="0" t="n">
        <v>78.6</v>
      </c>
      <c r="AA51" s="21" t="s">
        <v>434</v>
      </c>
      <c r="AB51" s="21" t="s">
        <v>435</v>
      </c>
      <c r="AC51" s="21" t="s">
        <v>120</v>
      </c>
      <c r="AD51" s="0" t="n">
        <v>194</v>
      </c>
      <c r="AE51" s="22" t="b">
        <f aca="false">FALSE()</f>
        <v>0</v>
      </c>
      <c r="AF51" s="21" t="s">
        <v>121</v>
      </c>
      <c r="AG51" s="21" t="s">
        <v>436</v>
      </c>
    </row>
    <row r="52" customFormat="false" ht="15" hidden="false" customHeight="false" outlineLevel="0" collapsed="false">
      <c r="A52" s="0" t="s">
        <v>437</v>
      </c>
      <c r="B52" s="18" t="s">
        <v>109</v>
      </c>
      <c r="C52" s="19" t="s">
        <v>26</v>
      </c>
      <c r="D52" s="20" t="s">
        <v>31</v>
      </c>
      <c r="E52" s="21" t="s">
        <v>438</v>
      </c>
      <c r="G52" s="21" t="s">
        <v>111</v>
      </c>
      <c r="H52" s="21" t="s">
        <v>439</v>
      </c>
      <c r="I52" s="21" t="s">
        <v>113</v>
      </c>
      <c r="J52" s="21" t="s">
        <v>114</v>
      </c>
      <c r="K52" s="0" t="n">
        <v>8</v>
      </c>
      <c r="L52" s="0" t="n">
        <v>3</v>
      </c>
      <c r="M52" s="0" t="n">
        <v>3</v>
      </c>
      <c r="N52" s="0" t="n">
        <v>2</v>
      </c>
      <c r="O52" s="0" t="n">
        <v>0</v>
      </c>
      <c r="P52" s="0" t="n">
        <v>6</v>
      </c>
      <c r="Q52" s="0" t="n">
        <v>1</v>
      </c>
      <c r="R52" s="0" t="n">
        <v>0</v>
      </c>
      <c r="S52" s="0" t="n">
        <v>5</v>
      </c>
      <c r="T52" s="0" t="n">
        <v>2</v>
      </c>
      <c r="U52" s="21" t="s">
        <v>440</v>
      </c>
      <c r="V52" s="21" t="s">
        <v>69</v>
      </c>
      <c r="W52" s="21" t="s">
        <v>136</v>
      </c>
      <c r="X52" s="0" t="n">
        <v>5.67</v>
      </c>
      <c r="Y52" s="0" t="n">
        <v>13.9</v>
      </c>
      <c r="Z52" s="0" t="n">
        <v>73.4</v>
      </c>
      <c r="AA52" s="21" t="s">
        <v>441</v>
      </c>
      <c r="AB52" s="21" t="s">
        <v>442</v>
      </c>
      <c r="AC52" s="21" t="s">
        <v>120</v>
      </c>
      <c r="AD52" s="0" t="n">
        <v>192</v>
      </c>
      <c r="AE52" s="22" t="b">
        <f aca="false">FALSE()</f>
        <v>0</v>
      </c>
      <c r="AF52" s="21" t="s">
        <v>121</v>
      </c>
      <c r="AG52" s="21" t="s">
        <v>443</v>
      </c>
    </row>
    <row r="53" customFormat="false" ht="15" hidden="false" customHeight="false" outlineLevel="0" collapsed="false">
      <c r="A53" s="0" t="s">
        <v>444</v>
      </c>
      <c r="B53" s="20" t="s">
        <v>124</v>
      </c>
      <c r="E53" s="21" t="s">
        <v>445</v>
      </c>
      <c r="F53" s="21" t="s">
        <v>446</v>
      </c>
      <c r="G53" s="21" t="s">
        <v>111</v>
      </c>
      <c r="H53" s="21" t="s">
        <v>281</v>
      </c>
      <c r="I53" s="21" t="s">
        <v>113</v>
      </c>
      <c r="Z53" s="0" t="n">
        <v>0</v>
      </c>
      <c r="AA53" s="21" t="s">
        <v>447</v>
      </c>
      <c r="AB53" s="21" t="s">
        <v>447</v>
      </c>
      <c r="AE53" s="22" t="b">
        <f aca="false">FALSE()</f>
        <v>0</v>
      </c>
      <c r="AF53" s="21" t="s">
        <v>121</v>
      </c>
      <c r="AG53" s="21" t="s">
        <v>448</v>
      </c>
    </row>
    <row r="54" customFormat="false" ht="15" hidden="false" customHeight="false" outlineLevel="0" collapsed="false">
      <c r="A54" s="0" t="s">
        <v>449</v>
      </c>
      <c r="B54" s="18" t="s">
        <v>109</v>
      </c>
      <c r="C54" s="19" t="s">
        <v>26</v>
      </c>
      <c r="D54" s="20" t="s">
        <v>31</v>
      </c>
      <c r="E54" s="21" t="s">
        <v>450</v>
      </c>
      <c r="G54" s="21" t="s">
        <v>111</v>
      </c>
      <c r="H54" s="21" t="s">
        <v>237</v>
      </c>
      <c r="I54" s="21" t="s">
        <v>113</v>
      </c>
      <c r="J54" s="21" t="s">
        <v>114</v>
      </c>
      <c r="K54" s="0" t="n">
        <v>8</v>
      </c>
      <c r="L54" s="0" t="n">
        <v>1</v>
      </c>
      <c r="M54" s="0" t="n">
        <v>3</v>
      </c>
      <c r="N54" s="0" t="n">
        <v>4</v>
      </c>
      <c r="O54" s="0" t="n">
        <v>0</v>
      </c>
      <c r="P54" s="0" t="n">
        <v>4</v>
      </c>
      <c r="Q54" s="0" t="n">
        <v>0</v>
      </c>
      <c r="R54" s="0" t="n">
        <v>0</v>
      </c>
      <c r="S54" s="0" t="n">
        <v>4</v>
      </c>
      <c r="T54" s="0" t="n">
        <v>4</v>
      </c>
      <c r="U54" s="21" t="s">
        <v>451</v>
      </c>
      <c r="V54" s="21" t="s">
        <v>69</v>
      </c>
      <c r="W54" s="21" t="s">
        <v>136</v>
      </c>
      <c r="X54" s="0" t="n">
        <v>6.06</v>
      </c>
      <c r="Y54" s="0" t="n">
        <v>4.8</v>
      </c>
      <c r="Z54" s="0" t="n">
        <v>82.6</v>
      </c>
      <c r="AA54" s="21" t="s">
        <v>452</v>
      </c>
      <c r="AB54" s="21" t="s">
        <v>453</v>
      </c>
      <c r="AC54" s="21" t="s">
        <v>120</v>
      </c>
      <c r="AD54" s="0" t="n">
        <v>194</v>
      </c>
      <c r="AE54" s="22" t="b">
        <f aca="false">FALSE()</f>
        <v>0</v>
      </c>
      <c r="AF54" s="21" t="s">
        <v>121</v>
      </c>
      <c r="AG54" s="21" t="s">
        <v>454</v>
      </c>
    </row>
    <row r="55" customFormat="false" ht="15" hidden="false" customHeight="false" outlineLevel="0" collapsed="false">
      <c r="A55" s="0" t="s">
        <v>455</v>
      </c>
      <c r="B55" s="18" t="s">
        <v>109</v>
      </c>
      <c r="C55" s="20" t="s">
        <v>25</v>
      </c>
      <c r="D55" s="23" t="s">
        <v>30</v>
      </c>
      <c r="E55" s="21" t="s">
        <v>456</v>
      </c>
      <c r="G55" s="21" t="s">
        <v>127</v>
      </c>
      <c r="H55" s="21" t="s">
        <v>261</v>
      </c>
      <c r="I55" s="21" t="s">
        <v>113</v>
      </c>
      <c r="J55" s="21" t="s">
        <v>114</v>
      </c>
      <c r="K55" s="0" t="n">
        <v>8</v>
      </c>
      <c r="L55" s="0" t="n">
        <v>0</v>
      </c>
      <c r="M55" s="0" t="n">
        <v>8</v>
      </c>
      <c r="N55" s="0" t="n">
        <v>0</v>
      </c>
      <c r="O55" s="0" t="n">
        <v>0</v>
      </c>
      <c r="P55" s="0" t="n">
        <v>8</v>
      </c>
      <c r="Q55" s="0" t="n">
        <v>0</v>
      </c>
      <c r="R55" s="0" t="n">
        <v>2</v>
      </c>
      <c r="S55" s="0" t="n">
        <v>6</v>
      </c>
      <c r="T55" s="0" t="n">
        <v>0</v>
      </c>
      <c r="U55" s="21" t="s">
        <v>457</v>
      </c>
      <c r="V55" s="21" t="s">
        <v>69</v>
      </c>
      <c r="W55" s="21" t="s">
        <v>376</v>
      </c>
      <c r="X55" s="0" t="n">
        <v>3.23</v>
      </c>
      <c r="Y55" s="0" t="n">
        <v>20.1</v>
      </c>
      <c r="Z55" s="0" t="n">
        <v>74.4</v>
      </c>
      <c r="AA55" s="21" t="s">
        <v>458</v>
      </c>
      <c r="AB55" s="21" t="s">
        <v>459</v>
      </c>
      <c r="AC55" s="21" t="s">
        <v>120</v>
      </c>
      <c r="AD55" s="0" t="n">
        <v>195</v>
      </c>
      <c r="AE55" s="22" t="b">
        <f aca="false">FALSE()</f>
        <v>0</v>
      </c>
      <c r="AF55" s="21" t="s">
        <v>121</v>
      </c>
      <c r="AG55" s="21" t="s">
        <v>460</v>
      </c>
    </row>
    <row r="56" customFormat="false" ht="15" hidden="false" customHeight="false" outlineLevel="0" collapsed="false">
      <c r="A56" s="0" t="s">
        <v>461</v>
      </c>
      <c r="B56" s="20" t="s">
        <v>124</v>
      </c>
      <c r="E56" s="21" t="s">
        <v>462</v>
      </c>
      <c r="F56" s="21" t="s">
        <v>463</v>
      </c>
      <c r="G56" s="21" t="s">
        <v>127</v>
      </c>
      <c r="H56" s="21" t="s">
        <v>188</v>
      </c>
      <c r="I56" s="21" t="s">
        <v>113</v>
      </c>
      <c r="Z56" s="0" t="n">
        <v>0</v>
      </c>
      <c r="AA56" s="21" t="s">
        <v>464</v>
      </c>
      <c r="AB56" s="21" t="s">
        <v>464</v>
      </c>
      <c r="AE56" s="22" t="b">
        <f aca="false">FALSE()</f>
        <v>0</v>
      </c>
      <c r="AF56" s="21" t="s">
        <v>121</v>
      </c>
      <c r="AG56" s="21" t="s">
        <v>465</v>
      </c>
    </row>
    <row r="57" customFormat="false" ht="15" hidden="false" customHeight="false" outlineLevel="0" collapsed="false">
      <c r="A57" s="0" t="s">
        <v>466</v>
      </c>
      <c r="B57" s="18" t="s">
        <v>109</v>
      </c>
      <c r="C57" s="20" t="s">
        <v>25</v>
      </c>
      <c r="D57" s="23" t="s">
        <v>30</v>
      </c>
      <c r="E57" s="21" t="s">
        <v>467</v>
      </c>
      <c r="G57" s="21" t="s">
        <v>111</v>
      </c>
      <c r="H57" s="21" t="s">
        <v>468</v>
      </c>
      <c r="I57" s="21" t="s">
        <v>113</v>
      </c>
      <c r="J57" s="21" t="s">
        <v>134</v>
      </c>
      <c r="K57" s="0" t="n">
        <v>4</v>
      </c>
      <c r="L57" s="0" t="n">
        <v>1</v>
      </c>
      <c r="M57" s="0" t="n">
        <v>3</v>
      </c>
      <c r="N57" s="0" t="n">
        <v>0</v>
      </c>
      <c r="O57" s="0" t="n">
        <v>0</v>
      </c>
      <c r="P57" s="0" t="n">
        <v>4</v>
      </c>
      <c r="Q57" s="0" t="n">
        <v>0</v>
      </c>
      <c r="R57" s="0" t="n">
        <v>0</v>
      </c>
      <c r="S57" s="0" t="n">
        <v>4</v>
      </c>
      <c r="T57" s="0" t="n">
        <v>0</v>
      </c>
      <c r="U57" s="21" t="s">
        <v>469</v>
      </c>
      <c r="W57" s="21" t="s">
        <v>470</v>
      </c>
      <c r="X57" s="0" t="n">
        <v>1.65</v>
      </c>
      <c r="Y57" s="0" t="n">
        <v>10.9</v>
      </c>
      <c r="Z57" s="0" t="n">
        <v>40.1</v>
      </c>
      <c r="AA57" s="21" t="s">
        <v>471</v>
      </c>
      <c r="AB57" s="21" t="s">
        <v>472</v>
      </c>
      <c r="AC57" s="21" t="s">
        <v>120</v>
      </c>
      <c r="AD57" s="0" t="n">
        <v>97</v>
      </c>
      <c r="AE57" s="22" t="b">
        <f aca="false">FALSE()</f>
        <v>0</v>
      </c>
      <c r="AF57" s="21" t="s">
        <v>121</v>
      </c>
      <c r="AG57" s="21" t="s">
        <v>473</v>
      </c>
    </row>
    <row r="58" customFormat="false" ht="15" hidden="false" customHeight="false" outlineLevel="0" collapsed="false">
      <c r="A58" s="0" t="s">
        <v>474</v>
      </c>
      <c r="B58" s="20" t="s">
        <v>124</v>
      </c>
      <c r="E58" s="21" t="s">
        <v>125</v>
      </c>
      <c r="F58" s="21" t="s">
        <v>126</v>
      </c>
      <c r="G58" s="21" t="s">
        <v>111</v>
      </c>
      <c r="H58" s="21" t="s">
        <v>128</v>
      </c>
      <c r="I58" s="21" t="s">
        <v>113</v>
      </c>
      <c r="Z58" s="0" t="n">
        <v>0</v>
      </c>
      <c r="AA58" s="21" t="s">
        <v>475</v>
      </c>
      <c r="AB58" s="21" t="s">
        <v>475</v>
      </c>
      <c r="AE58" s="22" t="b">
        <f aca="false">FALSE()</f>
        <v>0</v>
      </c>
      <c r="AF58" s="21" t="s">
        <v>121</v>
      </c>
      <c r="AG58" s="21" t="s">
        <v>476</v>
      </c>
    </row>
    <row r="59" customFormat="false" ht="15" hidden="false" customHeight="false" outlineLevel="0" collapsed="false">
      <c r="A59" s="0" t="s">
        <v>477</v>
      </c>
      <c r="B59" s="20" t="s">
        <v>124</v>
      </c>
      <c r="E59" s="21" t="s">
        <v>306</v>
      </c>
      <c r="F59" s="21" t="s">
        <v>307</v>
      </c>
      <c r="G59" s="21" t="s">
        <v>111</v>
      </c>
      <c r="H59" s="21" t="s">
        <v>308</v>
      </c>
      <c r="I59" s="21" t="s">
        <v>113</v>
      </c>
      <c r="Z59" s="0" t="n">
        <v>0</v>
      </c>
      <c r="AA59" s="21" t="s">
        <v>478</v>
      </c>
      <c r="AB59" s="21" t="s">
        <v>478</v>
      </c>
      <c r="AE59" s="22" t="b">
        <f aca="false">FALSE()</f>
        <v>0</v>
      </c>
      <c r="AF59" s="21" t="s">
        <v>121</v>
      </c>
      <c r="AG59" s="21" t="s">
        <v>479</v>
      </c>
    </row>
    <row r="60" customFormat="false" ht="15" hidden="false" customHeight="false" outlineLevel="0" collapsed="false">
      <c r="A60" s="0" t="s">
        <v>480</v>
      </c>
      <c r="B60" s="18" t="s">
        <v>109</v>
      </c>
      <c r="C60" s="20" t="s">
        <v>25</v>
      </c>
      <c r="D60" s="23" t="s">
        <v>30</v>
      </c>
      <c r="E60" s="21" t="s">
        <v>481</v>
      </c>
      <c r="G60" s="21" t="s">
        <v>127</v>
      </c>
      <c r="H60" s="21" t="s">
        <v>112</v>
      </c>
      <c r="I60" s="21" t="s">
        <v>113</v>
      </c>
      <c r="J60" s="21" t="s">
        <v>114</v>
      </c>
      <c r="K60" s="0" t="n">
        <v>8</v>
      </c>
      <c r="L60" s="0" t="n">
        <v>1</v>
      </c>
      <c r="M60" s="0" t="n">
        <v>7</v>
      </c>
      <c r="N60" s="0" t="n">
        <v>0</v>
      </c>
      <c r="O60" s="0" t="n">
        <v>0</v>
      </c>
      <c r="P60" s="0" t="n">
        <v>8</v>
      </c>
      <c r="Q60" s="0" t="n">
        <v>1</v>
      </c>
      <c r="R60" s="0" t="n">
        <v>3</v>
      </c>
      <c r="S60" s="0" t="n">
        <v>4</v>
      </c>
      <c r="T60" s="0" t="n">
        <v>0</v>
      </c>
      <c r="U60" s="21" t="s">
        <v>482</v>
      </c>
      <c r="V60" s="21" t="s">
        <v>69</v>
      </c>
      <c r="W60" s="21" t="s">
        <v>483</v>
      </c>
      <c r="X60" s="0" t="n">
        <v>1.29</v>
      </c>
      <c r="Y60" s="0" t="n">
        <v>8.9</v>
      </c>
      <c r="Z60" s="0" t="n">
        <v>72.3</v>
      </c>
      <c r="AA60" s="21" t="s">
        <v>484</v>
      </c>
      <c r="AB60" s="21" t="s">
        <v>485</v>
      </c>
      <c r="AC60" s="21" t="s">
        <v>120</v>
      </c>
      <c r="AD60" s="0" t="n">
        <v>191</v>
      </c>
      <c r="AE60" s="22" t="b">
        <f aca="false">FALSE()</f>
        <v>0</v>
      </c>
      <c r="AF60" s="21" t="s">
        <v>121</v>
      </c>
      <c r="AG60" s="21" t="s">
        <v>486</v>
      </c>
    </row>
    <row r="61" customFormat="false" ht="15" hidden="false" customHeight="false" outlineLevel="0" collapsed="false">
      <c r="A61" s="0" t="s">
        <v>487</v>
      </c>
      <c r="B61" s="18" t="s">
        <v>109</v>
      </c>
      <c r="C61" s="19" t="s">
        <v>26</v>
      </c>
      <c r="D61" s="20" t="s">
        <v>31</v>
      </c>
      <c r="E61" s="21" t="s">
        <v>488</v>
      </c>
      <c r="G61" s="21" t="s">
        <v>111</v>
      </c>
      <c r="H61" s="21" t="s">
        <v>289</v>
      </c>
      <c r="I61" s="21" t="s">
        <v>113</v>
      </c>
      <c r="J61" s="21" t="s">
        <v>114</v>
      </c>
      <c r="K61" s="0" t="n">
        <v>8</v>
      </c>
      <c r="L61" s="0" t="n">
        <v>2</v>
      </c>
      <c r="M61" s="0" t="n">
        <v>3</v>
      </c>
      <c r="N61" s="0" t="n">
        <v>3</v>
      </c>
      <c r="O61" s="0" t="n">
        <v>0</v>
      </c>
      <c r="P61" s="0" t="n">
        <v>5</v>
      </c>
      <c r="Q61" s="0" t="n">
        <v>1</v>
      </c>
      <c r="R61" s="0" t="n">
        <v>0</v>
      </c>
      <c r="S61" s="0" t="n">
        <v>4</v>
      </c>
      <c r="T61" s="0" t="n">
        <v>3</v>
      </c>
      <c r="U61" s="21" t="s">
        <v>489</v>
      </c>
      <c r="V61" s="21" t="s">
        <v>69</v>
      </c>
      <c r="W61" s="21" t="s">
        <v>117</v>
      </c>
      <c r="X61" s="0" t="n">
        <v>2.94</v>
      </c>
      <c r="Y61" s="0" t="n">
        <v>11.5</v>
      </c>
      <c r="Z61" s="0" t="n">
        <v>77.9</v>
      </c>
      <c r="AA61" s="21" t="s">
        <v>490</v>
      </c>
      <c r="AB61" s="21" t="s">
        <v>491</v>
      </c>
      <c r="AC61" s="21" t="s">
        <v>120</v>
      </c>
      <c r="AD61" s="0" t="n">
        <v>192</v>
      </c>
      <c r="AE61" s="22" t="b">
        <f aca="false">FALSE()</f>
        <v>0</v>
      </c>
      <c r="AF61" s="21" t="s">
        <v>121</v>
      </c>
      <c r="AG61" s="21" t="s">
        <v>492</v>
      </c>
    </row>
    <row r="62" customFormat="false" ht="15" hidden="false" customHeight="false" outlineLevel="0" collapsed="false">
      <c r="A62" s="0" t="s">
        <v>493</v>
      </c>
      <c r="B62" s="18" t="s">
        <v>109</v>
      </c>
      <c r="C62" s="20" t="s">
        <v>25</v>
      </c>
      <c r="D62" s="23" t="s">
        <v>30</v>
      </c>
      <c r="E62" s="21" t="s">
        <v>494</v>
      </c>
      <c r="G62" s="21" t="s">
        <v>127</v>
      </c>
      <c r="H62" s="21" t="s">
        <v>495</v>
      </c>
      <c r="I62" s="21" t="s">
        <v>113</v>
      </c>
      <c r="J62" s="21" t="s">
        <v>134</v>
      </c>
      <c r="K62" s="0" t="n">
        <v>4</v>
      </c>
      <c r="L62" s="0" t="n">
        <v>3</v>
      </c>
      <c r="M62" s="0" t="n">
        <v>1</v>
      </c>
      <c r="N62" s="0" t="n">
        <v>0</v>
      </c>
      <c r="O62" s="0" t="n">
        <v>0</v>
      </c>
      <c r="P62" s="0" t="n">
        <v>4</v>
      </c>
      <c r="Q62" s="0" t="n">
        <v>3</v>
      </c>
      <c r="R62" s="0" t="n">
        <v>0</v>
      </c>
      <c r="S62" s="0" t="n">
        <v>1</v>
      </c>
      <c r="T62" s="0" t="n">
        <v>0</v>
      </c>
      <c r="U62" s="21" t="s">
        <v>496</v>
      </c>
      <c r="V62" s="21" t="s">
        <v>69</v>
      </c>
      <c r="W62" s="21" t="s">
        <v>283</v>
      </c>
      <c r="X62" s="0" t="n">
        <v>9.47</v>
      </c>
      <c r="Y62" s="0" t="n">
        <v>17.1</v>
      </c>
      <c r="Z62" s="0" t="n">
        <v>42.1</v>
      </c>
      <c r="AA62" s="21" t="s">
        <v>497</v>
      </c>
      <c r="AB62" s="21" t="s">
        <v>498</v>
      </c>
      <c r="AC62" s="21" t="s">
        <v>120</v>
      </c>
      <c r="AD62" s="0" t="n">
        <v>96</v>
      </c>
      <c r="AE62" s="22" t="b">
        <f aca="false">FALSE()</f>
        <v>0</v>
      </c>
      <c r="AF62" s="21" t="s">
        <v>121</v>
      </c>
      <c r="AG62" s="21" t="s">
        <v>499</v>
      </c>
    </row>
    <row r="63" customFormat="false" ht="15" hidden="false" customHeight="false" outlineLevel="0" collapsed="false">
      <c r="A63" s="0" t="s">
        <v>500</v>
      </c>
      <c r="B63" s="18" t="s">
        <v>109</v>
      </c>
      <c r="C63" s="20" t="s">
        <v>25</v>
      </c>
      <c r="D63" s="23" t="s">
        <v>30</v>
      </c>
      <c r="E63" s="21" t="s">
        <v>501</v>
      </c>
      <c r="G63" s="21" t="s">
        <v>127</v>
      </c>
      <c r="H63" s="21" t="s">
        <v>261</v>
      </c>
      <c r="I63" s="21" t="s">
        <v>113</v>
      </c>
      <c r="J63" s="21" t="s">
        <v>134</v>
      </c>
      <c r="K63" s="0" t="n">
        <v>4</v>
      </c>
      <c r="L63" s="0" t="n">
        <v>1</v>
      </c>
      <c r="M63" s="0" t="n">
        <v>3</v>
      </c>
      <c r="N63" s="0" t="n">
        <v>0</v>
      </c>
      <c r="O63" s="0" t="n">
        <v>0</v>
      </c>
      <c r="P63" s="0" t="n">
        <v>4</v>
      </c>
      <c r="Q63" s="0" t="n">
        <v>0</v>
      </c>
      <c r="R63" s="0" t="n">
        <v>3</v>
      </c>
      <c r="S63" s="0" t="n">
        <v>1</v>
      </c>
      <c r="T63" s="0" t="n">
        <v>0</v>
      </c>
      <c r="U63" s="21" t="s">
        <v>502</v>
      </c>
      <c r="W63" s="21" t="s">
        <v>503</v>
      </c>
      <c r="X63" s="0" t="n">
        <v>2.62</v>
      </c>
      <c r="Y63" s="0" t="n">
        <v>15</v>
      </c>
      <c r="Z63" s="0" t="n">
        <v>42</v>
      </c>
      <c r="AA63" s="21" t="s">
        <v>504</v>
      </c>
      <c r="AB63" s="21" t="s">
        <v>505</v>
      </c>
      <c r="AC63" s="21" t="s">
        <v>120</v>
      </c>
      <c r="AD63" s="0" t="n">
        <v>95</v>
      </c>
      <c r="AE63" s="22" t="b">
        <f aca="false">FALSE()</f>
        <v>0</v>
      </c>
      <c r="AF63" s="21" t="s">
        <v>121</v>
      </c>
      <c r="AG63" s="21" t="s">
        <v>506</v>
      </c>
    </row>
    <row r="64" customFormat="false" ht="15" hidden="false" customHeight="false" outlineLevel="0" collapsed="false">
      <c r="A64" s="0" t="s">
        <v>507</v>
      </c>
      <c r="B64" s="18" t="s">
        <v>109</v>
      </c>
      <c r="C64" s="20" t="s">
        <v>25</v>
      </c>
      <c r="D64" s="23" t="s">
        <v>30</v>
      </c>
      <c r="E64" s="21" t="s">
        <v>508</v>
      </c>
      <c r="G64" s="21" t="s">
        <v>127</v>
      </c>
      <c r="H64" s="21" t="s">
        <v>397</v>
      </c>
      <c r="I64" s="21" t="s">
        <v>113</v>
      </c>
      <c r="J64" s="21" t="s">
        <v>134</v>
      </c>
      <c r="K64" s="0" t="n">
        <v>4</v>
      </c>
      <c r="L64" s="0" t="n">
        <v>1</v>
      </c>
      <c r="M64" s="0" t="n">
        <v>3</v>
      </c>
      <c r="N64" s="0" t="n">
        <v>0</v>
      </c>
      <c r="O64" s="0" t="n">
        <v>0</v>
      </c>
      <c r="P64" s="0" t="n">
        <v>4</v>
      </c>
      <c r="Q64" s="0" t="n">
        <v>0</v>
      </c>
      <c r="R64" s="0" t="n">
        <v>1</v>
      </c>
      <c r="S64" s="0" t="n">
        <v>3</v>
      </c>
      <c r="T64" s="0" t="n">
        <v>0</v>
      </c>
      <c r="U64" s="21" t="s">
        <v>509</v>
      </c>
      <c r="V64" s="21" t="s">
        <v>69</v>
      </c>
      <c r="W64" s="21" t="s">
        <v>183</v>
      </c>
      <c r="X64" s="0" t="n">
        <v>4.25</v>
      </c>
      <c r="Y64" s="0" t="n">
        <v>12.7</v>
      </c>
      <c r="Z64" s="0" t="n">
        <v>42.5</v>
      </c>
      <c r="AA64" s="21" t="s">
        <v>510</v>
      </c>
      <c r="AB64" s="21" t="s">
        <v>511</v>
      </c>
      <c r="AC64" s="21" t="s">
        <v>120</v>
      </c>
      <c r="AD64" s="0" t="n">
        <v>95</v>
      </c>
      <c r="AE64" s="22" t="b">
        <f aca="false">FALSE()</f>
        <v>0</v>
      </c>
      <c r="AF64" s="21" t="s">
        <v>121</v>
      </c>
      <c r="AG64" s="21" t="s">
        <v>512</v>
      </c>
    </row>
    <row r="65" customFormat="false" ht="15" hidden="false" customHeight="false" outlineLevel="0" collapsed="false">
      <c r="A65" s="0" t="s">
        <v>513</v>
      </c>
      <c r="B65" s="18" t="s">
        <v>109</v>
      </c>
      <c r="C65" s="20" t="s">
        <v>25</v>
      </c>
      <c r="D65" s="23" t="s">
        <v>30</v>
      </c>
      <c r="E65" s="21" t="s">
        <v>514</v>
      </c>
      <c r="G65" s="21" t="s">
        <v>127</v>
      </c>
      <c r="H65" s="21" t="s">
        <v>289</v>
      </c>
      <c r="I65" s="21" t="s">
        <v>113</v>
      </c>
      <c r="J65" s="21" t="s">
        <v>134</v>
      </c>
      <c r="K65" s="0" t="n">
        <v>4</v>
      </c>
      <c r="L65" s="0" t="n">
        <v>3</v>
      </c>
      <c r="M65" s="0" t="n">
        <v>1</v>
      </c>
      <c r="N65" s="0" t="n">
        <v>0</v>
      </c>
      <c r="O65" s="0" t="n">
        <v>0</v>
      </c>
      <c r="P65" s="0" t="n">
        <v>4</v>
      </c>
      <c r="Q65" s="0" t="n">
        <v>3</v>
      </c>
      <c r="R65" s="0" t="n">
        <v>0</v>
      </c>
      <c r="S65" s="0" t="n">
        <v>1</v>
      </c>
      <c r="T65" s="0" t="n">
        <v>0</v>
      </c>
      <c r="U65" s="21" t="s">
        <v>515</v>
      </c>
      <c r="V65" s="21" t="s">
        <v>69</v>
      </c>
      <c r="W65" s="21" t="s">
        <v>283</v>
      </c>
      <c r="X65" s="0" t="n">
        <v>10.99</v>
      </c>
      <c r="Y65" s="0" t="n">
        <v>7</v>
      </c>
      <c r="Z65" s="0" t="n">
        <v>42.9</v>
      </c>
      <c r="AA65" s="21" t="s">
        <v>516</v>
      </c>
      <c r="AB65" s="21" t="s">
        <v>517</v>
      </c>
      <c r="AC65" s="21" t="s">
        <v>120</v>
      </c>
      <c r="AD65" s="0" t="n">
        <v>96</v>
      </c>
      <c r="AE65" s="22" t="b">
        <f aca="false">FALSE()</f>
        <v>0</v>
      </c>
      <c r="AF65" s="21" t="s">
        <v>121</v>
      </c>
      <c r="AG65" s="21" t="s">
        <v>518</v>
      </c>
    </row>
    <row r="66" customFormat="false" ht="15" hidden="false" customHeight="false" outlineLevel="0" collapsed="false">
      <c r="A66" s="0" t="s">
        <v>519</v>
      </c>
      <c r="B66" s="18" t="s">
        <v>109</v>
      </c>
      <c r="C66" s="19" t="s">
        <v>26</v>
      </c>
      <c r="D66" s="19" t="s">
        <v>32</v>
      </c>
      <c r="E66" s="21" t="s">
        <v>520</v>
      </c>
      <c r="G66" s="21" t="s">
        <v>111</v>
      </c>
      <c r="H66" s="21" t="s">
        <v>188</v>
      </c>
      <c r="I66" s="21" t="s">
        <v>113</v>
      </c>
      <c r="J66" s="21" t="s">
        <v>134</v>
      </c>
      <c r="K66" s="0" t="n">
        <v>4</v>
      </c>
      <c r="L66" s="0" t="n">
        <v>0</v>
      </c>
      <c r="M66" s="0" t="n">
        <v>0</v>
      </c>
      <c r="N66" s="0" t="n">
        <v>4</v>
      </c>
      <c r="O66" s="0" t="n">
        <v>0</v>
      </c>
      <c r="P66" s="0" t="n">
        <v>0</v>
      </c>
      <c r="Q66" s="0" t="n">
        <v>0</v>
      </c>
      <c r="R66" s="0" t="n">
        <v>0</v>
      </c>
      <c r="S66" s="0" t="n">
        <v>0</v>
      </c>
      <c r="T66" s="0" t="n">
        <v>4</v>
      </c>
      <c r="U66" s="21" t="s">
        <v>521</v>
      </c>
      <c r="V66" s="21" t="s">
        <v>116</v>
      </c>
      <c r="W66" s="21" t="s">
        <v>522</v>
      </c>
      <c r="X66" s="0" t="n">
        <v>6.54</v>
      </c>
      <c r="Y66" s="0" t="n">
        <v>4.2</v>
      </c>
      <c r="Z66" s="0" t="n">
        <v>42.7</v>
      </c>
      <c r="AA66" s="21" t="s">
        <v>523</v>
      </c>
      <c r="AB66" s="21" t="s">
        <v>524</v>
      </c>
      <c r="AC66" s="21" t="s">
        <v>120</v>
      </c>
      <c r="AD66" s="0" t="n">
        <v>98</v>
      </c>
      <c r="AE66" s="22" t="b">
        <f aca="false">FALSE()</f>
        <v>0</v>
      </c>
      <c r="AF66" s="21" t="s">
        <v>121</v>
      </c>
      <c r="AG66" s="21" t="s">
        <v>525</v>
      </c>
    </row>
    <row r="67" customFormat="false" ht="15" hidden="false" customHeight="false" outlineLevel="0" collapsed="false">
      <c r="A67" s="0" t="s">
        <v>526</v>
      </c>
      <c r="B67" s="18" t="s">
        <v>109</v>
      </c>
      <c r="C67" s="19" t="s">
        <v>26</v>
      </c>
      <c r="D67" s="19" t="s">
        <v>32</v>
      </c>
      <c r="E67" s="21" t="s">
        <v>527</v>
      </c>
      <c r="G67" s="21" t="s">
        <v>111</v>
      </c>
      <c r="H67" s="21" t="s">
        <v>195</v>
      </c>
      <c r="I67" s="21" t="s">
        <v>113</v>
      </c>
      <c r="J67" s="21" t="s">
        <v>134</v>
      </c>
      <c r="K67" s="0" t="n">
        <v>4</v>
      </c>
      <c r="L67" s="0" t="n">
        <v>0</v>
      </c>
      <c r="M67" s="0" t="n">
        <v>0</v>
      </c>
      <c r="N67" s="0" t="n">
        <v>4</v>
      </c>
      <c r="O67" s="0" t="n">
        <v>0</v>
      </c>
      <c r="P67" s="0" t="n">
        <v>0</v>
      </c>
      <c r="Q67" s="0" t="n">
        <v>0</v>
      </c>
      <c r="R67" s="0" t="n">
        <v>0</v>
      </c>
      <c r="S67" s="0" t="n">
        <v>0</v>
      </c>
      <c r="T67" s="0" t="n">
        <v>4</v>
      </c>
      <c r="U67" s="21" t="s">
        <v>528</v>
      </c>
      <c r="V67" s="21" t="s">
        <v>69</v>
      </c>
      <c r="W67" s="21" t="s">
        <v>529</v>
      </c>
      <c r="X67" s="0" t="n">
        <v>10.98</v>
      </c>
      <c r="Y67" s="0" t="n">
        <v>9</v>
      </c>
      <c r="Z67" s="0" t="n">
        <v>42.5</v>
      </c>
      <c r="AA67" s="21" t="s">
        <v>530</v>
      </c>
      <c r="AB67" s="21" t="s">
        <v>531</v>
      </c>
      <c r="AC67" s="21" t="s">
        <v>120</v>
      </c>
      <c r="AD67" s="0" t="n">
        <v>95</v>
      </c>
      <c r="AE67" s="22" t="b">
        <f aca="false">FALSE()</f>
        <v>0</v>
      </c>
      <c r="AF67" s="21" t="s">
        <v>121</v>
      </c>
      <c r="AG67" s="21" t="s">
        <v>532</v>
      </c>
    </row>
    <row r="68" customFormat="false" ht="15" hidden="false" customHeight="false" outlineLevel="0" collapsed="false">
      <c r="A68" s="0" t="s">
        <v>533</v>
      </c>
      <c r="B68" s="18" t="s">
        <v>109</v>
      </c>
      <c r="C68" s="19" t="s">
        <v>26</v>
      </c>
      <c r="D68" s="20" t="s">
        <v>31</v>
      </c>
      <c r="E68" s="21" t="s">
        <v>534</v>
      </c>
      <c r="G68" s="21" t="s">
        <v>111</v>
      </c>
      <c r="H68" s="21" t="s">
        <v>229</v>
      </c>
      <c r="I68" s="21" t="s">
        <v>113</v>
      </c>
      <c r="J68" s="21" t="s">
        <v>134</v>
      </c>
      <c r="K68" s="0" t="n">
        <v>4</v>
      </c>
      <c r="L68" s="0" t="n">
        <v>0</v>
      </c>
      <c r="M68" s="0" t="n">
        <v>2</v>
      </c>
      <c r="N68" s="0" t="n">
        <v>2</v>
      </c>
      <c r="O68" s="0" t="n">
        <v>0</v>
      </c>
      <c r="P68" s="0" t="n">
        <v>2</v>
      </c>
      <c r="Q68" s="0" t="n">
        <v>0</v>
      </c>
      <c r="R68" s="0" t="n">
        <v>0</v>
      </c>
      <c r="S68" s="0" t="n">
        <v>2</v>
      </c>
      <c r="T68" s="0" t="n">
        <v>2</v>
      </c>
      <c r="U68" s="21" t="s">
        <v>535</v>
      </c>
      <c r="V68" s="21" t="s">
        <v>69</v>
      </c>
      <c r="W68" s="21" t="s">
        <v>136</v>
      </c>
      <c r="X68" s="0" t="n">
        <v>2.69</v>
      </c>
      <c r="Y68" s="0" t="n">
        <v>18.2</v>
      </c>
      <c r="Z68" s="0" t="n">
        <v>50.3</v>
      </c>
      <c r="AA68" s="21" t="s">
        <v>536</v>
      </c>
      <c r="AB68" s="21" t="s">
        <v>537</v>
      </c>
      <c r="AC68" s="21" t="s">
        <v>120</v>
      </c>
      <c r="AD68" s="0" t="n">
        <v>95</v>
      </c>
      <c r="AE68" s="22" t="b">
        <f aca="false">FALSE()</f>
        <v>0</v>
      </c>
      <c r="AF68" s="21" t="s">
        <v>121</v>
      </c>
      <c r="AG68" s="21" t="s">
        <v>538</v>
      </c>
    </row>
    <row r="69" customFormat="false" ht="15" hidden="false" customHeight="false" outlineLevel="0" collapsed="false">
      <c r="A69" s="0" t="s">
        <v>539</v>
      </c>
      <c r="B69" s="18" t="s">
        <v>109</v>
      </c>
      <c r="C69" s="20" t="s">
        <v>25</v>
      </c>
      <c r="D69" s="23" t="s">
        <v>30</v>
      </c>
      <c r="E69" s="21" t="s">
        <v>540</v>
      </c>
      <c r="G69" s="21" t="s">
        <v>127</v>
      </c>
      <c r="H69" s="21" t="s">
        <v>237</v>
      </c>
      <c r="I69" s="21" t="s">
        <v>113</v>
      </c>
      <c r="J69" s="21" t="s">
        <v>134</v>
      </c>
      <c r="K69" s="0" t="n">
        <v>4</v>
      </c>
      <c r="L69" s="0" t="n">
        <v>1</v>
      </c>
      <c r="M69" s="0" t="n">
        <v>3</v>
      </c>
      <c r="N69" s="0" t="n">
        <v>0</v>
      </c>
      <c r="O69" s="0" t="n">
        <v>0</v>
      </c>
      <c r="P69" s="0" t="n">
        <v>4</v>
      </c>
      <c r="Q69" s="0" t="n">
        <v>0</v>
      </c>
      <c r="R69" s="0" t="n">
        <v>0</v>
      </c>
      <c r="S69" s="0" t="n">
        <v>4</v>
      </c>
      <c r="T69" s="0" t="n">
        <v>0</v>
      </c>
      <c r="U69" s="21" t="s">
        <v>541</v>
      </c>
      <c r="V69" s="21" t="s">
        <v>69</v>
      </c>
      <c r="W69" s="21" t="s">
        <v>283</v>
      </c>
      <c r="X69" s="0" t="n">
        <v>6.58</v>
      </c>
      <c r="Y69" s="0" t="n">
        <v>14.8</v>
      </c>
      <c r="Z69" s="0" t="n">
        <v>43.3</v>
      </c>
      <c r="AA69" s="21" t="s">
        <v>542</v>
      </c>
      <c r="AB69" s="21" t="s">
        <v>543</v>
      </c>
      <c r="AC69" s="21" t="s">
        <v>120</v>
      </c>
      <c r="AD69" s="0" t="n">
        <v>97</v>
      </c>
      <c r="AE69" s="22" t="b">
        <f aca="false">FALSE()</f>
        <v>0</v>
      </c>
      <c r="AF69" s="21" t="s">
        <v>121</v>
      </c>
      <c r="AG69" s="21" t="s">
        <v>544</v>
      </c>
    </row>
    <row r="70" customFormat="false" ht="15" hidden="false" customHeight="false" outlineLevel="0" collapsed="false">
      <c r="A70" s="0" t="s">
        <v>545</v>
      </c>
      <c r="B70" s="18" t="s">
        <v>109</v>
      </c>
      <c r="C70" s="20" t="s">
        <v>25</v>
      </c>
      <c r="D70" s="23" t="s">
        <v>30</v>
      </c>
      <c r="E70" s="21" t="s">
        <v>546</v>
      </c>
      <c r="G70" s="21" t="s">
        <v>127</v>
      </c>
      <c r="H70" s="21" t="s">
        <v>269</v>
      </c>
      <c r="I70" s="21" t="s">
        <v>113</v>
      </c>
      <c r="J70" s="21" t="s">
        <v>134</v>
      </c>
      <c r="K70" s="0" t="n">
        <v>4</v>
      </c>
      <c r="L70" s="0" t="n">
        <v>0</v>
      </c>
      <c r="M70" s="0" t="n">
        <v>4</v>
      </c>
      <c r="N70" s="0" t="n">
        <v>0</v>
      </c>
      <c r="O70" s="0" t="n">
        <v>0</v>
      </c>
      <c r="P70" s="0" t="n">
        <v>4</v>
      </c>
      <c r="Q70" s="0" t="n">
        <v>0</v>
      </c>
      <c r="R70" s="0" t="n">
        <v>2</v>
      </c>
      <c r="S70" s="0" t="n">
        <v>2</v>
      </c>
      <c r="T70" s="0" t="n">
        <v>0</v>
      </c>
      <c r="U70" s="21" t="s">
        <v>547</v>
      </c>
      <c r="V70" s="21" t="s">
        <v>69</v>
      </c>
      <c r="W70" s="21" t="s">
        <v>483</v>
      </c>
      <c r="X70" s="0" t="n">
        <v>1.05</v>
      </c>
      <c r="Y70" s="0" t="n">
        <v>13.1</v>
      </c>
      <c r="Z70" s="0" t="n">
        <v>43</v>
      </c>
      <c r="AA70" s="21" t="s">
        <v>548</v>
      </c>
      <c r="AB70" s="21" t="s">
        <v>549</v>
      </c>
      <c r="AC70" s="21" t="s">
        <v>120</v>
      </c>
      <c r="AD70" s="0" t="n">
        <v>99</v>
      </c>
      <c r="AE70" s="22" t="b">
        <f aca="false">FALSE()</f>
        <v>0</v>
      </c>
      <c r="AF70" s="21" t="s">
        <v>121</v>
      </c>
      <c r="AG70" s="21" t="s">
        <v>550</v>
      </c>
    </row>
    <row r="71" customFormat="false" ht="15" hidden="false" customHeight="false" outlineLevel="0" collapsed="false">
      <c r="A71" s="0" t="s">
        <v>551</v>
      </c>
      <c r="B71" s="20" t="s">
        <v>124</v>
      </c>
      <c r="E71" s="21" t="s">
        <v>552</v>
      </c>
      <c r="F71" s="21" t="s">
        <v>553</v>
      </c>
      <c r="G71" s="21" t="s">
        <v>127</v>
      </c>
      <c r="H71" s="21" t="s">
        <v>554</v>
      </c>
      <c r="I71" s="21" t="s">
        <v>113</v>
      </c>
      <c r="Z71" s="0" t="n">
        <v>0</v>
      </c>
      <c r="AA71" s="21" t="s">
        <v>555</v>
      </c>
      <c r="AB71" s="21" t="s">
        <v>555</v>
      </c>
      <c r="AE71" s="22" t="b">
        <f aca="false">FALSE()</f>
        <v>0</v>
      </c>
      <c r="AF71" s="21" t="s">
        <v>121</v>
      </c>
      <c r="AG71" s="21" t="s">
        <v>556</v>
      </c>
    </row>
    <row r="72" customFormat="false" ht="15" hidden="false" customHeight="false" outlineLevel="0" collapsed="false">
      <c r="A72" s="0" t="s">
        <v>557</v>
      </c>
      <c r="B72" s="20" t="s">
        <v>124</v>
      </c>
      <c r="E72" s="21" t="s">
        <v>206</v>
      </c>
      <c r="F72" s="21" t="s">
        <v>207</v>
      </c>
      <c r="G72" s="21" t="s">
        <v>111</v>
      </c>
      <c r="H72" s="21" t="s">
        <v>208</v>
      </c>
      <c r="I72" s="21" t="s">
        <v>113</v>
      </c>
      <c r="Z72" s="0" t="n">
        <v>0</v>
      </c>
      <c r="AA72" s="21" t="s">
        <v>558</v>
      </c>
      <c r="AB72" s="21" t="s">
        <v>558</v>
      </c>
      <c r="AE72" s="22" t="b">
        <f aca="false">FALSE()</f>
        <v>0</v>
      </c>
      <c r="AF72" s="21" t="s">
        <v>121</v>
      </c>
      <c r="AG72" s="21" t="s">
        <v>559</v>
      </c>
    </row>
    <row r="73" customFormat="false" ht="15" hidden="false" customHeight="false" outlineLevel="0" collapsed="false">
      <c r="A73" s="0" t="s">
        <v>560</v>
      </c>
      <c r="B73" s="18" t="s">
        <v>109</v>
      </c>
      <c r="C73" s="20" t="s">
        <v>25</v>
      </c>
      <c r="D73" s="23" t="s">
        <v>30</v>
      </c>
      <c r="E73" s="21" t="s">
        <v>561</v>
      </c>
      <c r="G73" s="21" t="s">
        <v>111</v>
      </c>
      <c r="H73" s="21" t="s">
        <v>195</v>
      </c>
      <c r="I73" s="21" t="s">
        <v>113</v>
      </c>
      <c r="J73" s="21" t="s">
        <v>134</v>
      </c>
      <c r="K73" s="0" t="n">
        <v>4</v>
      </c>
      <c r="L73" s="0" t="n">
        <v>2</v>
      </c>
      <c r="M73" s="0" t="n">
        <v>2</v>
      </c>
      <c r="N73" s="0" t="n">
        <v>0</v>
      </c>
      <c r="O73" s="0" t="n">
        <v>0</v>
      </c>
      <c r="P73" s="0" t="n">
        <v>4</v>
      </c>
      <c r="Q73" s="0" t="n">
        <v>0</v>
      </c>
      <c r="R73" s="0" t="n">
        <v>0</v>
      </c>
      <c r="S73" s="0" t="n">
        <v>4</v>
      </c>
      <c r="T73" s="0" t="n">
        <v>0</v>
      </c>
      <c r="U73" s="21" t="s">
        <v>562</v>
      </c>
      <c r="V73" s="21" t="s">
        <v>69</v>
      </c>
      <c r="W73" s="21" t="s">
        <v>283</v>
      </c>
      <c r="X73" s="0" t="n">
        <v>6.06</v>
      </c>
      <c r="Y73" s="0" t="n">
        <v>11.8</v>
      </c>
      <c r="Z73" s="0" t="n">
        <v>41.5</v>
      </c>
      <c r="AA73" s="21" t="s">
        <v>563</v>
      </c>
      <c r="AB73" s="21" t="s">
        <v>564</v>
      </c>
      <c r="AC73" s="21" t="s">
        <v>120</v>
      </c>
      <c r="AD73" s="0" t="n">
        <v>95</v>
      </c>
      <c r="AE73" s="22" t="b">
        <f aca="false">FALSE()</f>
        <v>0</v>
      </c>
      <c r="AF73" s="21" t="s">
        <v>121</v>
      </c>
      <c r="AG73" s="21" t="s">
        <v>565</v>
      </c>
    </row>
    <row r="74" customFormat="false" ht="15" hidden="false" customHeight="false" outlineLevel="0" collapsed="false">
      <c r="A74" s="0" t="s">
        <v>566</v>
      </c>
      <c r="B74" s="18" t="s">
        <v>109</v>
      </c>
      <c r="C74" s="19" t="s">
        <v>26</v>
      </c>
      <c r="D74" s="20" t="s">
        <v>31</v>
      </c>
      <c r="E74" s="21" t="s">
        <v>567</v>
      </c>
      <c r="G74" s="21" t="s">
        <v>111</v>
      </c>
      <c r="H74" s="21" t="s">
        <v>568</v>
      </c>
      <c r="I74" s="21" t="s">
        <v>113</v>
      </c>
      <c r="J74" s="21" t="s">
        <v>114</v>
      </c>
      <c r="K74" s="0" t="n">
        <v>8</v>
      </c>
      <c r="L74" s="0" t="n">
        <v>3</v>
      </c>
      <c r="M74" s="0" t="n">
        <v>1</v>
      </c>
      <c r="N74" s="0" t="n">
        <v>4</v>
      </c>
      <c r="O74" s="0" t="n">
        <v>0</v>
      </c>
      <c r="P74" s="0" t="n">
        <v>4</v>
      </c>
      <c r="Q74" s="0" t="n">
        <v>0</v>
      </c>
      <c r="R74" s="0" t="n">
        <v>0</v>
      </c>
      <c r="S74" s="0" t="n">
        <v>4</v>
      </c>
      <c r="T74" s="0" t="n">
        <v>4</v>
      </c>
      <c r="U74" s="21" t="s">
        <v>569</v>
      </c>
      <c r="V74" s="21" t="s">
        <v>69</v>
      </c>
      <c r="W74" s="21" t="s">
        <v>117</v>
      </c>
      <c r="X74" s="0" t="n">
        <v>2.67</v>
      </c>
      <c r="Y74" s="0" t="n">
        <v>17.2</v>
      </c>
      <c r="Z74" s="0" t="n">
        <v>77.5</v>
      </c>
      <c r="AA74" s="21" t="s">
        <v>570</v>
      </c>
      <c r="AB74" s="21" t="s">
        <v>571</v>
      </c>
      <c r="AC74" s="21" t="s">
        <v>120</v>
      </c>
      <c r="AD74" s="0" t="n">
        <v>196</v>
      </c>
      <c r="AE74" s="22" t="b">
        <f aca="false">FALSE()</f>
        <v>0</v>
      </c>
      <c r="AF74" s="21" t="s">
        <v>121</v>
      </c>
      <c r="AG74" s="21" t="s">
        <v>572</v>
      </c>
    </row>
    <row r="75" customFormat="false" ht="15" hidden="false" customHeight="false" outlineLevel="0" collapsed="false">
      <c r="A75" s="0" t="s">
        <v>573</v>
      </c>
      <c r="B75" s="18" t="s">
        <v>109</v>
      </c>
      <c r="C75" s="20" t="s">
        <v>25</v>
      </c>
      <c r="D75" s="23" t="s">
        <v>30</v>
      </c>
      <c r="E75" s="21" t="s">
        <v>574</v>
      </c>
      <c r="G75" s="21" t="s">
        <v>111</v>
      </c>
      <c r="H75" s="21" t="s">
        <v>575</v>
      </c>
      <c r="I75" s="21" t="s">
        <v>576</v>
      </c>
      <c r="J75" s="21" t="s">
        <v>134</v>
      </c>
      <c r="K75" s="0" t="n">
        <v>4</v>
      </c>
      <c r="L75" s="0" t="n">
        <v>2</v>
      </c>
      <c r="M75" s="0" t="n">
        <v>2</v>
      </c>
      <c r="N75" s="0" t="n">
        <v>0</v>
      </c>
      <c r="O75" s="0" t="n">
        <v>0</v>
      </c>
      <c r="P75" s="0" t="n">
        <v>4</v>
      </c>
      <c r="Q75" s="0" t="n">
        <v>2</v>
      </c>
      <c r="R75" s="0" t="n">
        <v>0</v>
      </c>
      <c r="S75" s="0" t="n">
        <v>2</v>
      </c>
      <c r="T75" s="0" t="n">
        <v>0</v>
      </c>
      <c r="U75" s="21" t="s">
        <v>577</v>
      </c>
      <c r="V75" s="21" t="s">
        <v>69</v>
      </c>
      <c r="W75" s="21" t="s">
        <v>283</v>
      </c>
      <c r="X75" s="0" t="n">
        <v>2.47</v>
      </c>
      <c r="Y75" s="0" t="n">
        <v>6.8</v>
      </c>
      <c r="Z75" s="0" t="n">
        <v>41.3</v>
      </c>
      <c r="AA75" s="21" t="s">
        <v>578</v>
      </c>
      <c r="AB75" s="21" t="s">
        <v>579</v>
      </c>
      <c r="AC75" s="21" t="s">
        <v>120</v>
      </c>
      <c r="AD75" s="0" t="n">
        <v>95</v>
      </c>
      <c r="AE75" s="22" t="b">
        <f aca="false">FALSE()</f>
        <v>0</v>
      </c>
      <c r="AF75" s="21" t="s">
        <v>121</v>
      </c>
      <c r="AG75" s="21" t="s">
        <v>580</v>
      </c>
    </row>
    <row r="76" customFormat="false" ht="15" hidden="false" customHeight="false" outlineLevel="0" collapsed="false">
      <c r="A76" s="0" t="s">
        <v>581</v>
      </c>
      <c r="B76" s="20" t="s">
        <v>124</v>
      </c>
      <c r="E76" s="21" t="s">
        <v>445</v>
      </c>
      <c r="F76" s="21" t="s">
        <v>446</v>
      </c>
      <c r="G76" s="21" t="s">
        <v>111</v>
      </c>
      <c r="H76" s="21" t="s">
        <v>575</v>
      </c>
      <c r="I76" s="21" t="s">
        <v>113</v>
      </c>
      <c r="Z76" s="0" t="n">
        <v>0</v>
      </c>
      <c r="AA76" s="21" t="s">
        <v>582</v>
      </c>
      <c r="AB76" s="21" t="s">
        <v>582</v>
      </c>
      <c r="AE76" s="22" t="b">
        <f aca="false">FALSE()</f>
        <v>0</v>
      </c>
      <c r="AF76" s="21" t="s">
        <v>121</v>
      </c>
      <c r="AG76" s="21" t="s">
        <v>583</v>
      </c>
    </row>
    <row r="77" customFormat="false" ht="15" hidden="false" customHeight="false" outlineLevel="0" collapsed="false">
      <c r="A77" s="0" t="s">
        <v>584</v>
      </c>
      <c r="B77" s="18" t="s">
        <v>109</v>
      </c>
      <c r="C77" s="20" t="s">
        <v>25</v>
      </c>
      <c r="D77" s="23" t="s">
        <v>30</v>
      </c>
      <c r="E77" s="21" t="s">
        <v>585</v>
      </c>
      <c r="G77" s="21" t="s">
        <v>127</v>
      </c>
      <c r="H77" s="21" t="s">
        <v>575</v>
      </c>
      <c r="I77" s="21" t="s">
        <v>113</v>
      </c>
      <c r="J77" s="21" t="s">
        <v>114</v>
      </c>
      <c r="K77" s="0" t="n">
        <v>8</v>
      </c>
      <c r="L77" s="0" t="n">
        <v>2</v>
      </c>
      <c r="M77" s="0" t="n">
        <v>6</v>
      </c>
      <c r="N77" s="0" t="n">
        <v>0</v>
      </c>
      <c r="O77" s="0" t="n">
        <v>0</v>
      </c>
      <c r="P77" s="0" t="n">
        <v>8</v>
      </c>
      <c r="Q77" s="0" t="n">
        <v>0</v>
      </c>
      <c r="R77" s="0" t="n">
        <v>2</v>
      </c>
      <c r="S77" s="0" t="n">
        <v>6</v>
      </c>
      <c r="T77" s="0" t="n">
        <v>0</v>
      </c>
      <c r="U77" s="21" t="s">
        <v>586</v>
      </c>
      <c r="V77" s="21" t="s">
        <v>69</v>
      </c>
      <c r="W77" s="21" t="s">
        <v>587</v>
      </c>
      <c r="X77" s="0" t="n">
        <v>3.29</v>
      </c>
      <c r="Y77" s="0" t="n">
        <v>24.5</v>
      </c>
      <c r="Z77" s="0" t="n">
        <v>78.9</v>
      </c>
      <c r="AA77" s="21" t="s">
        <v>588</v>
      </c>
      <c r="AB77" s="21" t="s">
        <v>589</v>
      </c>
      <c r="AC77" s="21" t="s">
        <v>120</v>
      </c>
      <c r="AD77" s="0" t="n">
        <v>200</v>
      </c>
      <c r="AE77" s="22" t="b">
        <f aca="false">FALSE()</f>
        <v>0</v>
      </c>
      <c r="AF77" s="21" t="s">
        <v>121</v>
      </c>
      <c r="AG77" s="21" t="s">
        <v>590</v>
      </c>
    </row>
    <row r="78" customFormat="false" ht="15" hidden="false" customHeight="false" outlineLevel="0" collapsed="false">
      <c r="A78" s="0" t="s">
        <v>591</v>
      </c>
      <c r="B78" s="20" t="s">
        <v>124</v>
      </c>
      <c r="E78" s="21" t="s">
        <v>206</v>
      </c>
      <c r="F78" s="21" t="s">
        <v>207</v>
      </c>
      <c r="G78" s="21" t="s">
        <v>127</v>
      </c>
      <c r="H78" s="21" t="s">
        <v>208</v>
      </c>
      <c r="I78" s="21" t="s">
        <v>113</v>
      </c>
      <c r="Z78" s="0" t="n">
        <v>0</v>
      </c>
      <c r="AA78" s="21" t="s">
        <v>592</v>
      </c>
      <c r="AB78" s="21" t="s">
        <v>592</v>
      </c>
      <c r="AE78" s="22" t="b">
        <f aca="false">FALSE()</f>
        <v>0</v>
      </c>
      <c r="AF78" s="21" t="s">
        <v>121</v>
      </c>
      <c r="AG78" s="21" t="s">
        <v>593</v>
      </c>
    </row>
    <row r="79" customFormat="false" ht="15" hidden="false" customHeight="false" outlineLevel="0" collapsed="false">
      <c r="A79" s="0" t="s">
        <v>594</v>
      </c>
      <c r="B79" s="18" t="s">
        <v>109</v>
      </c>
      <c r="C79" s="20" t="s">
        <v>25</v>
      </c>
      <c r="D79" s="23" t="s">
        <v>30</v>
      </c>
      <c r="E79" s="21" t="s">
        <v>595</v>
      </c>
      <c r="G79" s="21" t="s">
        <v>111</v>
      </c>
      <c r="H79" s="21" t="s">
        <v>188</v>
      </c>
      <c r="I79" s="21" t="s">
        <v>113</v>
      </c>
      <c r="J79" s="21" t="s">
        <v>134</v>
      </c>
      <c r="K79" s="0" t="n">
        <v>4</v>
      </c>
      <c r="L79" s="0" t="n">
        <v>0</v>
      </c>
      <c r="M79" s="0" t="n">
        <v>4</v>
      </c>
      <c r="N79" s="0" t="n">
        <v>0</v>
      </c>
      <c r="O79" s="0" t="n">
        <v>0</v>
      </c>
      <c r="P79" s="0" t="n">
        <v>4</v>
      </c>
      <c r="Q79" s="0" t="n">
        <v>0</v>
      </c>
      <c r="R79" s="0" t="n">
        <v>3</v>
      </c>
      <c r="S79" s="0" t="n">
        <v>1</v>
      </c>
      <c r="T79" s="0" t="n">
        <v>0</v>
      </c>
      <c r="U79" s="21" t="s">
        <v>375</v>
      </c>
      <c r="V79" s="21" t="s">
        <v>69</v>
      </c>
      <c r="W79" s="21" t="s">
        <v>183</v>
      </c>
      <c r="X79" s="0" t="n">
        <v>2.57</v>
      </c>
      <c r="Y79" s="0" t="n">
        <v>23.7</v>
      </c>
      <c r="Z79" s="0" t="n">
        <v>42.7</v>
      </c>
      <c r="AA79" s="21" t="s">
        <v>596</v>
      </c>
      <c r="AB79" s="21" t="s">
        <v>597</v>
      </c>
      <c r="AC79" s="21" t="s">
        <v>120</v>
      </c>
      <c r="AD79" s="0" t="n">
        <v>95</v>
      </c>
      <c r="AE79" s="22" t="b">
        <f aca="false">FALSE()</f>
        <v>0</v>
      </c>
      <c r="AF79" s="21" t="s">
        <v>121</v>
      </c>
      <c r="AG79" s="21" t="s">
        <v>598</v>
      </c>
    </row>
    <row r="80" customFormat="false" ht="15" hidden="false" customHeight="false" outlineLevel="0" collapsed="false">
      <c r="A80" s="0" t="s">
        <v>599</v>
      </c>
      <c r="B80" s="18" t="s">
        <v>109</v>
      </c>
      <c r="C80" s="20" t="s">
        <v>25</v>
      </c>
      <c r="D80" s="23" t="s">
        <v>30</v>
      </c>
      <c r="E80" s="21" t="s">
        <v>600</v>
      </c>
      <c r="G80" s="21" t="s">
        <v>111</v>
      </c>
      <c r="H80" s="21" t="s">
        <v>195</v>
      </c>
      <c r="I80" s="21" t="s">
        <v>113</v>
      </c>
      <c r="J80" s="21" t="s">
        <v>134</v>
      </c>
      <c r="K80" s="0" t="n">
        <v>4</v>
      </c>
      <c r="L80" s="0" t="n">
        <v>0</v>
      </c>
      <c r="M80" s="0" t="n">
        <v>4</v>
      </c>
      <c r="N80" s="0" t="n">
        <v>0</v>
      </c>
      <c r="O80" s="0" t="n">
        <v>0</v>
      </c>
      <c r="P80" s="0" t="n">
        <v>4</v>
      </c>
      <c r="Q80" s="0" t="n">
        <v>0</v>
      </c>
      <c r="R80" s="0" t="n">
        <v>0</v>
      </c>
      <c r="S80" s="0" t="n">
        <v>4</v>
      </c>
      <c r="T80" s="0" t="n">
        <v>0</v>
      </c>
      <c r="U80" s="21" t="s">
        <v>601</v>
      </c>
      <c r="V80" s="21" t="s">
        <v>69</v>
      </c>
      <c r="W80" s="21" t="s">
        <v>602</v>
      </c>
      <c r="X80" s="0" t="n">
        <v>0.67</v>
      </c>
      <c r="Y80" s="0" t="n">
        <v>8.2</v>
      </c>
      <c r="Z80" s="0" t="n">
        <v>42.2</v>
      </c>
      <c r="AA80" s="21" t="s">
        <v>603</v>
      </c>
      <c r="AB80" s="21" t="s">
        <v>604</v>
      </c>
      <c r="AC80" s="21" t="s">
        <v>120</v>
      </c>
      <c r="AD80" s="0" t="n">
        <v>96</v>
      </c>
      <c r="AE80" s="22" t="b">
        <f aca="false">FALSE()</f>
        <v>0</v>
      </c>
      <c r="AF80" s="21" t="s">
        <v>121</v>
      </c>
      <c r="AG80" s="21" t="s">
        <v>605</v>
      </c>
    </row>
    <row r="81" customFormat="false" ht="15" hidden="false" customHeight="false" outlineLevel="0" collapsed="false">
      <c r="A81" s="0" t="s">
        <v>606</v>
      </c>
      <c r="B81" s="20" t="s">
        <v>124</v>
      </c>
      <c r="E81" s="21" t="s">
        <v>206</v>
      </c>
      <c r="F81" s="21" t="s">
        <v>207</v>
      </c>
      <c r="G81" s="21" t="s">
        <v>111</v>
      </c>
      <c r="H81" s="21" t="s">
        <v>208</v>
      </c>
      <c r="I81" s="21" t="s">
        <v>171</v>
      </c>
      <c r="Z81" s="0" t="n">
        <v>0</v>
      </c>
      <c r="AA81" s="21" t="s">
        <v>607</v>
      </c>
      <c r="AB81" s="21" t="s">
        <v>607</v>
      </c>
      <c r="AE81" s="22" t="b">
        <f aca="false">FALSE()</f>
        <v>0</v>
      </c>
      <c r="AF81" s="21" t="s">
        <v>121</v>
      </c>
      <c r="AG81" s="21" t="s">
        <v>608</v>
      </c>
    </row>
    <row r="82" customFormat="false" ht="15" hidden="false" customHeight="false" outlineLevel="0" collapsed="false">
      <c r="A82" s="0" t="s">
        <v>609</v>
      </c>
      <c r="B82" s="18" t="s">
        <v>109</v>
      </c>
      <c r="C82" s="19" t="s">
        <v>26</v>
      </c>
      <c r="D82" s="20" t="s">
        <v>31</v>
      </c>
      <c r="E82" s="21" t="s">
        <v>610</v>
      </c>
      <c r="G82" s="21" t="s">
        <v>127</v>
      </c>
      <c r="H82" s="21" t="s">
        <v>151</v>
      </c>
      <c r="I82" s="21" t="s">
        <v>113</v>
      </c>
      <c r="J82" s="21" t="s">
        <v>134</v>
      </c>
      <c r="K82" s="0" t="n">
        <v>4</v>
      </c>
      <c r="L82" s="0" t="n">
        <v>1</v>
      </c>
      <c r="M82" s="0" t="n">
        <v>1</v>
      </c>
      <c r="N82" s="0" t="n">
        <v>2</v>
      </c>
      <c r="O82" s="0" t="n">
        <v>0</v>
      </c>
      <c r="P82" s="0" t="n">
        <v>2</v>
      </c>
      <c r="Q82" s="0" t="n">
        <v>1</v>
      </c>
      <c r="R82" s="0" t="n">
        <v>0</v>
      </c>
      <c r="S82" s="0" t="n">
        <v>1</v>
      </c>
      <c r="T82" s="0" t="n">
        <v>2</v>
      </c>
      <c r="U82" s="21" t="s">
        <v>611</v>
      </c>
      <c r="V82" s="21" t="s">
        <v>116</v>
      </c>
      <c r="W82" s="21" t="s">
        <v>136</v>
      </c>
      <c r="X82" s="0" t="n">
        <v>8.66</v>
      </c>
      <c r="Y82" s="0" t="n">
        <v>9.4</v>
      </c>
      <c r="Z82" s="0" t="n">
        <v>42.3</v>
      </c>
      <c r="AA82" s="21" t="s">
        <v>612</v>
      </c>
      <c r="AB82" s="21" t="s">
        <v>613</v>
      </c>
      <c r="AC82" s="21" t="s">
        <v>120</v>
      </c>
      <c r="AD82" s="0" t="n">
        <v>96</v>
      </c>
      <c r="AE82" s="22" t="b">
        <f aca="false">FALSE()</f>
        <v>0</v>
      </c>
      <c r="AF82" s="21" t="s">
        <v>121</v>
      </c>
      <c r="AG82" s="21" t="s">
        <v>614</v>
      </c>
    </row>
    <row r="83" customFormat="false" ht="15" hidden="false" customHeight="false" outlineLevel="0" collapsed="false">
      <c r="A83" s="0" t="s">
        <v>615</v>
      </c>
      <c r="B83" s="18" t="s">
        <v>109</v>
      </c>
      <c r="C83" s="20" t="s">
        <v>25</v>
      </c>
      <c r="D83" s="23" t="s">
        <v>30</v>
      </c>
      <c r="E83" s="21" t="s">
        <v>616</v>
      </c>
      <c r="G83" s="21" t="s">
        <v>111</v>
      </c>
      <c r="H83" s="21" t="s">
        <v>275</v>
      </c>
      <c r="I83" s="21" t="s">
        <v>113</v>
      </c>
      <c r="J83" s="21" t="s">
        <v>134</v>
      </c>
      <c r="K83" s="0" t="n">
        <v>4</v>
      </c>
      <c r="L83" s="0" t="n">
        <v>0</v>
      </c>
      <c r="M83" s="0" t="n">
        <v>4</v>
      </c>
      <c r="N83" s="0" t="n">
        <v>0</v>
      </c>
      <c r="O83" s="0" t="n">
        <v>0</v>
      </c>
      <c r="P83" s="0" t="n">
        <v>4</v>
      </c>
      <c r="Q83" s="0" t="n">
        <v>0</v>
      </c>
      <c r="R83" s="0" t="n">
        <v>0</v>
      </c>
      <c r="S83" s="0" t="n">
        <v>4</v>
      </c>
      <c r="T83" s="0" t="n">
        <v>0</v>
      </c>
      <c r="U83" s="21" t="s">
        <v>617</v>
      </c>
      <c r="V83" s="21" t="s">
        <v>69</v>
      </c>
      <c r="W83" s="21" t="s">
        <v>157</v>
      </c>
      <c r="X83" s="0" t="n">
        <v>2.98</v>
      </c>
      <c r="Y83" s="0" t="n">
        <v>22.9</v>
      </c>
      <c r="Z83" s="0" t="n">
        <v>43.6</v>
      </c>
      <c r="AA83" s="21" t="s">
        <v>618</v>
      </c>
      <c r="AB83" s="21" t="s">
        <v>619</v>
      </c>
      <c r="AC83" s="21" t="s">
        <v>120</v>
      </c>
      <c r="AD83" s="0" t="n">
        <v>97</v>
      </c>
      <c r="AE83" s="22" t="b">
        <f aca="false">FALSE()</f>
        <v>0</v>
      </c>
      <c r="AF83" s="21" t="s">
        <v>121</v>
      </c>
      <c r="AG83" s="21" t="s">
        <v>620</v>
      </c>
    </row>
    <row r="84" customFormat="false" ht="15" hidden="false" customHeight="false" outlineLevel="0" collapsed="false">
      <c r="A84" s="0" t="s">
        <v>621</v>
      </c>
      <c r="B84" s="20" t="s">
        <v>124</v>
      </c>
      <c r="E84" s="21" t="s">
        <v>306</v>
      </c>
      <c r="F84" s="21" t="s">
        <v>307</v>
      </c>
      <c r="G84" s="21" t="s">
        <v>111</v>
      </c>
      <c r="H84" s="21" t="s">
        <v>308</v>
      </c>
      <c r="I84" s="21" t="s">
        <v>113</v>
      </c>
      <c r="Z84" s="0" t="n">
        <v>0</v>
      </c>
      <c r="AA84" s="21" t="s">
        <v>622</v>
      </c>
      <c r="AB84" s="21" t="s">
        <v>622</v>
      </c>
      <c r="AE84" s="22" t="b">
        <f aca="false">FALSE()</f>
        <v>0</v>
      </c>
      <c r="AF84" s="21" t="s">
        <v>121</v>
      </c>
      <c r="AG84" s="21" t="s">
        <v>623</v>
      </c>
    </row>
    <row r="85" customFormat="false" ht="15" hidden="false" customHeight="false" outlineLevel="0" collapsed="false">
      <c r="A85" s="0" t="s">
        <v>624</v>
      </c>
      <c r="B85" s="18" t="s">
        <v>109</v>
      </c>
      <c r="C85" s="19" t="s">
        <v>26</v>
      </c>
      <c r="D85" s="19" t="s">
        <v>32</v>
      </c>
      <c r="E85" s="21" t="s">
        <v>625</v>
      </c>
      <c r="G85" s="21" t="s">
        <v>111</v>
      </c>
      <c r="H85" s="21" t="s">
        <v>626</v>
      </c>
      <c r="I85" s="21" t="s">
        <v>113</v>
      </c>
      <c r="J85" s="21" t="s">
        <v>134</v>
      </c>
      <c r="K85" s="0" t="n">
        <v>4</v>
      </c>
      <c r="L85" s="0" t="n">
        <v>0</v>
      </c>
      <c r="M85" s="0" t="n">
        <v>0</v>
      </c>
      <c r="N85" s="0" t="n">
        <v>4</v>
      </c>
      <c r="O85" s="0" t="n">
        <v>0</v>
      </c>
      <c r="P85" s="0" t="n">
        <v>0</v>
      </c>
      <c r="Q85" s="0" t="n">
        <v>0</v>
      </c>
      <c r="R85" s="0" t="n">
        <v>0</v>
      </c>
      <c r="S85" s="0" t="n">
        <v>0</v>
      </c>
      <c r="T85" s="0" t="n">
        <v>4</v>
      </c>
      <c r="U85" s="21" t="s">
        <v>627</v>
      </c>
      <c r="V85" s="21" t="s">
        <v>116</v>
      </c>
      <c r="W85" s="21" t="s">
        <v>628</v>
      </c>
      <c r="X85" s="0" t="n">
        <v>2.75</v>
      </c>
      <c r="Y85" s="0" t="n">
        <v>7.2</v>
      </c>
      <c r="Z85" s="0" t="n">
        <v>42.2</v>
      </c>
      <c r="AA85" s="21" t="s">
        <v>629</v>
      </c>
      <c r="AB85" s="21" t="s">
        <v>630</v>
      </c>
      <c r="AC85" s="21" t="s">
        <v>120</v>
      </c>
      <c r="AD85" s="0" t="n">
        <v>96</v>
      </c>
      <c r="AE85" s="22" t="b">
        <f aca="false">FALSE()</f>
        <v>0</v>
      </c>
      <c r="AF85" s="21" t="s">
        <v>121</v>
      </c>
      <c r="AG85" s="21" t="s">
        <v>631</v>
      </c>
    </row>
    <row r="86" customFormat="false" ht="15" hidden="false" customHeight="false" outlineLevel="0" collapsed="false">
      <c r="A86" s="0" t="s">
        <v>632</v>
      </c>
      <c r="B86" s="20" t="s">
        <v>124</v>
      </c>
      <c r="E86" s="21" t="s">
        <v>633</v>
      </c>
      <c r="F86" s="21" t="s">
        <v>634</v>
      </c>
      <c r="G86" s="21" t="s">
        <v>111</v>
      </c>
      <c r="H86" s="21" t="s">
        <v>382</v>
      </c>
      <c r="I86" s="21" t="s">
        <v>113</v>
      </c>
      <c r="Z86" s="0" t="n">
        <v>0</v>
      </c>
      <c r="AA86" s="21" t="s">
        <v>635</v>
      </c>
      <c r="AB86" s="21" t="s">
        <v>635</v>
      </c>
      <c r="AE86" s="22" t="b">
        <f aca="false">FALSE()</f>
        <v>0</v>
      </c>
      <c r="AF86" s="21" t="s">
        <v>121</v>
      </c>
      <c r="AG86" s="21" t="s">
        <v>636</v>
      </c>
    </row>
    <row r="87" customFormat="false" ht="15" hidden="false" customHeight="false" outlineLevel="0" collapsed="false">
      <c r="A87" s="0" t="s">
        <v>637</v>
      </c>
      <c r="B87" s="18" t="s">
        <v>109</v>
      </c>
      <c r="C87" s="20" t="s">
        <v>25</v>
      </c>
      <c r="D87" s="23" t="s">
        <v>30</v>
      </c>
      <c r="E87" s="21" t="s">
        <v>638</v>
      </c>
      <c r="G87" s="21" t="s">
        <v>111</v>
      </c>
      <c r="H87" s="21" t="s">
        <v>261</v>
      </c>
      <c r="I87" s="21" t="s">
        <v>113</v>
      </c>
      <c r="J87" s="21" t="s">
        <v>114</v>
      </c>
      <c r="K87" s="0" t="n">
        <v>8</v>
      </c>
      <c r="L87" s="0" t="n">
        <v>2</v>
      </c>
      <c r="M87" s="0" t="n">
        <v>6</v>
      </c>
      <c r="N87" s="0" t="n">
        <v>0</v>
      </c>
      <c r="O87" s="0" t="n">
        <v>0</v>
      </c>
      <c r="P87" s="0" t="n">
        <v>8</v>
      </c>
      <c r="Q87" s="0" t="n">
        <v>0</v>
      </c>
      <c r="R87" s="0" t="n">
        <v>1</v>
      </c>
      <c r="S87" s="0" t="n">
        <v>7</v>
      </c>
      <c r="T87" s="0" t="n">
        <v>0</v>
      </c>
      <c r="U87" s="21" t="s">
        <v>639</v>
      </c>
      <c r="V87" s="21" t="s">
        <v>69</v>
      </c>
      <c r="W87" s="21" t="s">
        <v>294</v>
      </c>
      <c r="X87" s="0" t="n">
        <v>5.17</v>
      </c>
      <c r="Y87" s="0" t="n">
        <v>10.8</v>
      </c>
      <c r="Z87" s="0" t="n">
        <v>84.9</v>
      </c>
      <c r="AA87" s="21" t="s">
        <v>640</v>
      </c>
      <c r="AB87" s="21" t="s">
        <v>641</v>
      </c>
      <c r="AC87" s="21" t="s">
        <v>120</v>
      </c>
      <c r="AD87" s="0" t="n">
        <v>188</v>
      </c>
      <c r="AE87" s="22" t="b">
        <f aca="false">FALSE()</f>
        <v>0</v>
      </c>
      <c r="AF87" s="21" t="s">
        <v>121</v>
      </c>
      <c r="AG87" s="21" t="s">
        <v>642</v>
      </c>
    </row>
    <row r="88" customFormat="false" ht="15" hidden="false" customHeight="false" outlineLevel="0" collapsed="false">
      <c r="A88" s="0" t="s">
        <v>643</v>
      </c>
      <c r="B88" s="18" t="s">
        <v>109</v>
      </c>
      <c r="C88" s="19" t="s">
        <v>26</v>
      </c>
      <c r="D88" s="20" t="s">
        <v>31</v>
      </c>
      <c r="E88" s="21" t="s">
        <v>644</v>
      </c>
      <c r="G88" s="21" t="s">
        <v>111</v>
      </c>
      <c r="H88" s="21" t="s">
        <v>289</v>
      </c>
      <c r="I88" s="21" t="s">
        <v>113</v>
      </c>
      <c r="J88" s="21" t="s">
        <v>134</v>
      </c>
      <c r="K88" s="0" t="n">
        <v>4</v>
      </c>
      <c r="L88" s="0" t="n">
        <v>0</v>
      </c>
      <c r="M88" s="0" t="n">
        <v>3</v>
      </c>
      <c r="N88" s="0" t="n">
        <v>1</v>
      </c>
      <c r="O88" s="0" t="n">
        <v>0</v>
      </c>
      <c r="P88" s="0" t="n">
        <v>3</v>
      </c>
      <c r="Q88" s="0" t="n">
        <v>0</v>
      </c>
      <c r="R88" s="0" t="n">
        <v>1</v>
      </c>
      <c r="S88" s="0" t="n">
        <v>2</v>
      </c>
      <c r="T88" s="0" t="n">
        <v>1</v>
      </c>
      <c r="U88" s="21" t="s">
        <v>645</v>
      </c>
      <c r="V88" s="21" t="s">
        <v>69</v>
      </c>
      <c r="W88" s="21" t="s">
        <v>646</v>
      </c>
      <c r="X88" s="0" t="n">
        <v>1.02</v>
      </c>
      <c r="Y88" s="0" t="n">
        <v>9.5</v>
      </c>
      <c r="Z88" s="0" t="n">
        <v>42.6</v>
      </c>
      <c r="AA88" s="21" t="s">
        <v>647</v>
      </c>
      <c r="AB88" s="21" t="s">
        <v>648</v>
      </c>
      <c r="AC88" s="21" t="s">
        <v>120</v>
      </c>
      <c r="AD88" s="0" t="n">
        <v>97</v>
      </c>
      <c r="AE88" s="22" t="b">
        <f aca="false">FALSE()</f>
        <v>0</v>
      </c>
      <c r="AF88" s="21" t="s">
        <v>121</v>
      </c>
      <c r="AG88" s="21" t="s">
        <v>649</v>
      </c>
    </row>
    <row r="89" customFormat="false" ht="15" hidden="false" customHeight="false" outlineLevel="0" collapsed="false">
      <c r="A89" s="0" t="s">
        <v>650</v>
      </c>
      <c r="B89" s="18" t="s">
        <v>109</v>
      </c>
      <c r="C89" s="20" t="s">
        <v>25</v>
      </c>
      <c r="D89" s="23" t="s">
        <v>30</v>
      </c>
      <c r="E89" s="21" t="s">
        <v>651</v>
      </c>
      <c r="G89" s="21" t="s">
        <v>111</v>
      </c>
      <c r="H89" s="21" t="s">
        <v>390</v>
      </c>
      <c r="I89" s="21" t="s">
        <v>113</v>
      </c>
      <c r="J89" s="21" t="s">
        <v>134</v>
      </c>
      <c r="K89" s="0" t="n">
        <v>4</v>
      </c>
      <c r="L89" s="0" t="n">
        <v>1</v>
      </c>
      <c r="M89" s="0" t="n">
        <v>3</v>
      </c>
      <c r="N89" s="0" t="n">
        <v>0</v>
      </c>
      <c r="O89" s="0" t="n">
        <v>0</v>
      </c>
      <c r="P89" s="0" t="n">
        <v>4</v>
      </c>
      <c r="Q89" s="0" t="n">
        <v>1</v>
      </c>
      <c r="R89" s="0" t="n">
        <v>0</v>
      </c>
      <c r="S89" s="0" t="n">
        <v>3</v>
      </c>
      <c r="T89" s="0" t="n">
        <v>0</v>
      </c>
      <c r="U89" s="21" t="s">
        <v>652</v>
      </c>
      <c r="V89" s="21" t="s">
        <v>69</v>
      </c>
      <c r="W89" s="21" t="s">
        <v>283</v>
      </c>
      <c r="X89" s="0" t="n">
        <v>9.08</v>
      </c>
      <c r="Y89" s="0" t="n">
        <v>16</v>
      </c>
      <c r="Z89" s="0" t="n">
        <v>42.5</v>
      </c>
      <c r="AA89" s="21" t="s">
        <v>653</v>
      </c>
      <c r="AB89" s="21" t="s">
        <v>654</v>
      </c>
      <c r="AC89" s="21" t="s">
        <v>120</v>
      </c>
      <c r="AD89" s="0" t="n">
        <v>98</v>
      </c>
      <c r="AE89" s="22" t="b">
        <f aca="false">FALSE()</f>
        <v>0</v>
      </c>
      <c r="AF89" s="21" t="s">
        <v>121</v>
      </c>
      <c r="AG89" s="21" t="s">
        <v>655</v>
      </c>
    </row>
    <row r="90" customFormat="false" ht="15" hidden="false" customHeight="false" outlineLevel="0" collapsed="false">
      <c r="A90" s="0" t="s">
        <v>656</v>
      </c>
      <c r="B90" s="18" t="s">
        <v>109</v>
      </c>
      <c r="C90" s="20" t="s">
        <v>25</v>
      </c>
      <c r="D90" s="23" t="s">
        <v>30</v>
      </c>
      <c r="E90" s="21" t="s">
        <v>657</v>
      </c>
      <c r="G90" s="21" t="s">
        <v>127</v>
      </c>
      <c r="H90" s="21" t="s">
        <v>261</v>
      </c>
      <c r="I90" s="21" t="s">
        <v>113</v>
      </c>
      <c r="J90" s="21" t="s">
        <v>134</v>
      </c>
      <c r="K90" s="0" t="n">
        <v>4</v>
      </c>
      <c r="L90" s="0" t="n">
        <v>1</v>
      </c>
      <c r="M90" s="0" t="n">
        <v>3</v>
      </c>
      <c r="N90" s="0" t="n">
        <v>0</v>
      </c>
      <c r="O90" s="0" t="n">
        <v>0</v>
      </c>
      <c r="P90" s="0" t="n">
        <v>4</v>
      </c>
      <c r="Q90" s="0" t="n">
        <v>0</v>
      </c>
      <c r="R90" s="0" t="n">
        <v>0</v>
      </c>
      <c r="S90" s="0" t="n">
        <v>4</v>
      </c>
      <c r="T90" s="0" t="n">
        <v>0</v>
      </c>
      <c r="U90" s="21" t="s">
        <v>658</v>
      </c>
      <c r="V90" s="21" t="s">
        <v>69</v>
      </c>
      <c r="W90" s="21" t="s">
        <v>659</v>
      </c>
      <c r="X90" s="0" t="n">
        <v>3.25</v>
      </c>
      <c r="Y90" s="0" t="n">
        <v>6.3</v>
      </c>
      <c r="Z90" s="0" t="n">
        <v>44.8</v>
      </c>
      <c r="AA90" s="21" t="s">
        <v>660</v>
      </c>
      <c r="AB90" s="21" t="s">
        <v>661</v>
      </c>
      <c r="AC90" s="21" t="s">
        <v>120</v>
      </c>
      <c r="AD90" s="0" t="n">
        <v>106</v>
      </c>
      <c r="AE90" s="22" t="b">
        <f aca="false">FALSE()</f>
        <v>0</v>
      </c>
      <c r="AF90" s="21" t="s">
        <v>121</v>
      </c>
      <c r="AG90" s="21" t="s">
        <v>662</v>
      </c>
    </row>
    <row r="91" customFormat="false" ht="15" hidden="false" customHeight="false" outlineLevel="0" collapsed="false">
      <c r="A91" s="0" t="s">
        <v>663</v>
      </c>
      <c r="B91" s="18" t="s">
        <v>109</v>
      </c>
      <c r="C91" s="20" t="s">
        <v>25</v>
      </c>
      <c r="D91" s="23" t="s">
        <v>30</v>
      </c>
      <c r="E91" s="21" t="s">
        <v>664</v>
      </c>
      <c r="G91" s="21" t="s">
        <v>111</v>
      </c>
      <c r="H91" s="21" t="s">
        <v>112</v>
      </c>
      <c r="I91" s="21" t="s">
        <v>113</v>
      </c>
      <c r="J91" s="21" t="s">
        <v>134</v>
      </c>
      <c r="K91" s="0" t="n">
        <v>4</v>
      </c>
      <c r="L91" s="0" t="n">
        <v>2</v>
      </c>
      <c r="M91" s="0" t="n">
        <v>2</v>
      </c>
      <c r="N91" s="0" t="n">
        <v>0</v>
      </c>
      <c r="O91" s="0" t="n">
        <v>0</v>
      </c>
      <c r="P91" s="0" t="n">
        <v>4</v>
      </c>
      <c r="Q91" s="0" t="n">
        <v>1</v>
      </c>
      <c r="R91" s="0" t="n">
        <v>0</v>
      </c>
      <c r="S91" s="0" t="n">
        <v>3</v>
      </c>
      <c r="T91" s="0" t="n">
        <v>0</v>
      </c>
      <c r="U91" s="21" t="s">
        <v>665</v>
      </c>
      <c r="V91" s="21" t="s">
        <v>69</v>
      </c>
      <c r="W91" s="21" t="s">
        <v>283</v>
      </c>
      <c r="X91" s="0" t="n">
        <v>9.06</v>
      </c>
      <c r="Y91" s="0" t="n">
        <v>14</v>
      </c>
      <c r="Z91" s="0" t="n">
        <v>42.5</v>
      </c>
      <c r="AA91" s="21" t="s">
        <v>666</v>
      </c>
      <c r="AB91" s="21" t="s">
        <v>667</v>
      </c>
      <c r="AC91" s="21" t="s">
        <v>120</v>
      </c>
      <c r="AD91" s="0" t="n">
        <v>97</v>
      </c>
      <c r="AE91" s="22" t="b">
        <f aca="false">FALSE()</f>
        <v>0</v>
      </c>
      <c r="AF91" s="21" t="s">
        <v>121</v>
      </c>
      <c r="AG91" s="21" t="s">
        <v>668</v>
      </c>
    </row>
    <row r="92" customFormat="false" ht="15" hidden="false" customHeight="false" outlineLevel="0" collapsed="false">
      <c r="A92" s="0" t="s">
        <v>669</v>
      </c>
      <c r="B92" s="18" t="s">
        <v>109</v>
      </c>
      <c r="C92" s="19" t="s">
        <v>26</v>
      </c>
      <c r="D92" s="20" t="s">
        <v>31</v>
      </c>
      <c r="E92" s="21" t="s">
        <v>670</v>
      </c>
      <c r="G92" s="21" t="s">
        <v>127</v>
      </c>
      <c r="H92" s="21" t="s">
        <v>397</v>
      </c>
      <c r="I92" s="21" t="s">
        <v>113</v>
      </c>
      <c r="J92" s="21" t="s">
        <v>114</v>
      </c>
      <c r="K92" s="0" t="n">
        <v>8</v>
      </c>
      <c r="L92" s="0" t="n">
        <v>4</v>
      </c>
      <c r="M92" s="0" t="n">
        <v>2</v>
      </c>
      <c r="N92" s="0" t="n">
        <v>2</v>
      </c>
      <c r="O92" s="0" t="n">
        <v>0</v>
      </c>
      <c r="P92" s="0" t="n">
        <v>6</v>
      </c>
      <c r="Q92" s="0" t="n">
        <v>3</v>
      </c>
      <c r="R92" s="0" t="n">
        <v>1</v>
      </c>
      <c r="S92" s="0" t="n">
        <v>2</v>
      </c>
      <c r="T92" s="0" t="n">
        <v>2</v>
      </c>
      <c r="U92" s="21" t="s">
        <v>671</v>
      </c>
      <c r="V92" s="21" t="s">
        <v>69</v>
      </c>
      <c r="W92" s="21" t="s">
        <v>672</v>
      </c>
      <c r="X92" s="0" t="n">
        <v>13.3</v>
      </c>
      <c r="Y92" s="0" t="n">
        <v>8.6</v>
      </c>
      <c r="Z92" s="0" t="n">
        <v>78.1</v>
      </c>
      <c r="AA92" s="21" t="s">
        <v>673</v>
      </c>
      <c r="AB92" s="21" t="s">
        <v>674</v>
      </c>
      <c r="AC92" s="21" t="s">
        <v>120</v>
      </c>
      <c r="AD92" s="0" t="n">
        <v>193</v>
      </c>
      <c r="AE92" s="22" t="b">
        <f aca="false">FALSE()</f>
        <v>0</v>
      </c>
      <c r="AF92" s="21" t="s">
        <v>121</v>
      </c>
      <c r="AG92" s="21" t="s">
        <v>675</v>
      </c>
    </row>
    <row r="93" customFormat="false" ht="15" hidden="false" customHeight="false" outlineLevel="0" collapsed="false">
      <c r="A93" s="0" t="s">
        <v>676</v>
      </c>
      <c r="B93" s="18" t="s">
        <v>109</v>
      </c>
      <c r="C93" s="20" t="s">
        <v>25</v>
      </c>
      <c r="D93" s="23" t="s">
        <v>30</v>
      </c>
      <c r="E93" s="21" t="s">
        <v>677</v>
      </c>
      <c r="G93" s="21" t="s">
        <v>111</v>
      </c>
      <c r="H93" s="21" t="s">
        <v>390</v>
      </c>
      <c r="I93" s="21" t="s">
        <v>113</v>
      </c>
      <c r="J93" s="21" t="s">
        <v>114</v>
      </c>
      <c r="K93" s="0" t="n">
        <v>8</v>
      </c>
      <c r="L93" s="0" t="n">
        <v>2</v>
      </c>
      <c r="M93" s="0" t="n">
        <v>6</v>
      </c>
      <c r="N93" s="0" t="n">
        <v>0</v>
      </c>
      <c r="O93" s="0" t="n">
        <v>0</v>
      </c>
      <c r="P93" s="0" t="n">
        <v>8</v>
      </c>
      <c r="Q93" s="0" t="n">
        <v>1</v>
      </c>
      <c r="R93" s="0" t="n">
        <v>1</v>
      </c>
      <c r="S93" s="0" t="n">
        <v>6</v>
      </c>
      <c r="T93" s="0" t="n">
        <v>0</v>
      </c>
      <c r="U93" s="21" t="s">
        <v>678</v>
      </c>
      <c r="V93" s="21" t="s">
        <v>69</v>
      </c>
      <c r="W93" s="21" t="s">
        <v>679</v>
      </c>
      <c r="X93" s="0" t="n">
        <v>2.87</v>
      </c>
      <c r="Y93" s="0" t="n">
        <v>9.9</v>
      </c>
      <c r="Z93" s="0" t="n">
        <v>76.7</v>
      </c>
      <c r="AA93" s="21" t="s">
        <v>680</v>
      </c>
      <c r="AB93" s="21" t="s">
        <v>681</v>
      </c>
      <c r="AC93" s="21" t="s">
        <v>120</v>
      </c>
      <c r="AD93" s="0" t="n">
        <v>194</v>
      </c>
      <c r="AE93" s="22" t="b">
        <f aca="false">FALSE()</f>
        <v>0</v>
      </c>
      <c r="AF93" s="21" t="s">
        <v>121</v>
      </c>
      <c r="AG93" s="21" t="s">
        <v>682</v>
      </c>
    </row>
    <row r="94" customFormat="false" ht="15" hidden="false" customHeight="false" outlineLevel="0" collapsed="false">
      <c r="A94" s="0" t="s">
        <v>683</v>
      </c>
      <c r="B94" s="20" t="s">
        <v>124</v>
      </c>
      <c r="E94" s="21" t="s">
        <v>684</v>
      </c>
      <c r="F94" s="21" t="s">
        <v>685</v>
      </c>
      <c r="G94" s="21" t="s">
        <v>111</v>
      </c>
      <c r="H94" s="21" t="s">
        <v>686</v>
      </c>
      <c r="I94" s="21" t="s">
        <v>113</v>
      </c>
      <c r="Z94" s="0" t="n">
        <v>0</v>
      </c>
      <c r="AA94" s="21" t="s">
        <v>687</v>
      </c>
      <c r="AB94" s="21" t="s">
        <v>687</v>
      </c>
      <c r="AE94" s="22" t="b">
        <f aca="false">FALSE()</f>
        <v>0</v>
      </c>
      <c r="AF94" s="21" t="s">
        <v>121</v>
      </c>
      <c r="AG94" s="21" t="s">
        <v>688</v>
      </c>
    </row>
    <row r="95" customFormat="false" ht="15" hidden="false" customHeight="false" outlineLevel="0" collapsed="false">
      <c r="A95" s="0" t="s">
        <v>689</v>
      </c>
      <c r="B95" s="18" t="s">
        <v>109</v>
      </c>
      <c r="C95" s="19" t="s">
        <v>26</v>
      </c>
      <c r="D95" s="20" t="s">
        <v>31</v>
      </c>
      <c r="E95" s="21" t="s">
        <v>690</v>
      </c>
      <c r="G95" s="21" t="s">
        <v>111</v>
      </c>
      <c r="H95" s="21" t="s">
        <v>289</v>
      </c>
      <c r="I95" s="21" t="s">
        <v>113</v>
      </c>
      <c r="J95" s="21" t="s">
        <v>134</v>
      </c>
      <c r="K95" s="0" t="n">
        <v>4</v>
      </c>
      <c r="L95" s="0" t="n">
        <v>0</v>
      </c>
      <c r="M95" s="0" t="n">
        <v>1</v>
      </c>
      <c r="N95" s="0" t="n">
        <v>3</v>
      </c>
      <c r="O95" s="0" t="n">
        <v>0</v>
      </c>
      <c r="P95" s="0" t="n">
        <v>1</v>
      </c>
      <c r="Q95" s="0" t="n">
        <v>0</v>
      </c>
      <c r="R95" s="0" t="n">
        <v>0</v>
      </c>
      <c r="S95" s="0" t="n">
        <v>1</v>
      </c>
      <c r="T95" s="0" t="n">
        <v>3</v>
      </c>
      <c r="U95" s="21" t="s">
        <v>691</v>
      </c>
      <c r="V95" s="21" t="s">
        <v>69</v>
      </c>
      <c r="W95" s="21" t="s">
        <v>136</v>
      </c>
      <c r="X95" s="0" t="n">
        <v>3.59</v>
      </c>
      <c r="Y95" s="0" t="n">
        <v>12.4</v>
      </c>
      <c r="Z95" s="0" t="n">
        <v>44.7</v>
      </c>
      <c r="AA95" s="21" t="s">
        <v>692</v>
      </c>
      <c r="AB95" s="21" t="s">
        <v>693</v>
      </c>
      <c r="AC95" s="21" t="s">
        <v>120</v>
      </c>
      <c r="AD95" s="0" t="n">
        <v>101</v>
      </c>
      <c r="AE95" s="22" t="b">
        <f aca="false">FALSE()</f>
        <v>0</v>
      </c>
      <c r="AF95" s="21" t="s">
        <v>121</v>
      </c>
      <c r="AG95" s="21" t="s">
        <v>694</v>
      </c>
    </row>
    <row r="96" customFormat="false" ht="15" hidden="false" customHeight="false" outlineLevel="0" collapsed="false">
      <c r="A96" s="0" t="s">
        <v>695</v>
      </c>
      <c r="B96" s="18" t="s">
        <v>109</v>
      </c>
      <c r="C96" s="19" t="s">
        <v>26</v>
      </c>
      <c r="D96" s="20" t="s">
        <v>31</v>
      </c>
      <c r="E96" s="21" t="s">
        <v>696</v>
      </c>
      <c r="G96" s="21" t="s">
        <v>111</v>
      </c>
      <c r="H96" s="21" t="s">
        <v>686</v>
      </c>
      <c r="I96" s="21" t="s">
        <v>113</v>
      </c>
      <c r="J96" s="21" t="s">
        <v>134</v>
      </c>
      <c r="K96" s="0" t="n">
        <v>4</v>
      </c>
      <c r="L96" s="0" t="n">
        <v>0</v>
      </c>
      <c r="M96" s="0" t="n">
        <v>3</v>
      </c>
      <c r="N96" s="0" t="n">
        <v>1</v>
      </c>
      <c r="O96" s="0" t="n">
        <v>0</v>
      </c>
      <c r="P96" s="0" t="n">
        <v>3</v>
      </c>
      <c r="Q96" s="0" t="n">
        <v>0</v>
      </c>
      <c r="R96" s="0" t="n">
        <v>2</v>
      </c>
      <c r="S96" s="0" t="n">
        <v>1</v>
      </c>
      <c r="T96" s="0" t="n">
        <v>1</v>
      </c>
      <c r="U96" s="21" t="s">
        <v>697</v>
      </c>
      <c r="V96" s="21" t="s">
        <v>69</v>
      </c>
      <c r="W96" s="21" t="s">
        <v>698</v>
      </c>
      <c r="X96" s="0" t="n">
        <v>0.78</v>
      </c>
      <c r="Y96" s="0" t="n">
        <v>10.8</v>
      </c>
      <c r="Z96" s="0" t="n">
        <v>43.6</v>
      </c>
      <c r="AA96" s="21" t="s">
        <v>699</v>
      </c>
      <c r="AB96" s="21" t="s">
        <v>700</v>
      </c>
      <c r="AC96" s="21" t="s">
        <v>120</v>
      </c>
      <c r="AD96" s="0" t="n">
        <v>98</v>
      </c>
      <c r="AE96" s="22" t="b">
        <f aca="false">FALSE()</f>
        <v>0</v>
      </c>
      <c r="AF96" s="21" t="s">
        <v>121</v>
      </c>
      <c r="AG96" s="21" t="s">
        <v>701</v>
      </c>
    </row>
    <row r="97" customFormat="false" ht="15" hidden="false" customHeight="false" outlineLevel="0" collapsed="false">
      <c r="A97" s="0" t="s">
        <v>702</v>
      </c>
      <c r="B97" s="18" t="s">
        <v>109</v>
      </c>
      <c r="C97" s="19" t="s">
        <v>26</v>
      </c>
      <c r="D97" s="20" t="s">
        <v>31</v>
      </c>
      <c r="E97" s="21" t="s">
        <v>703</v>
      </c>
      <c r="G97" s="21" t="s">
        <v>111</v>
      </c>
      <c r="H97" s="21" t="s">
        <v>397</v>
      </c>
      <c r="I97" s="21" t="s">
        <v>113</v>
      </c>
      <c r="J97" s="21" t="s">
        <v>114</v>
      </c>
      <c r="K97" s="0" t="n">
        <v>8</v>
      </c>
      <c r="L97" s="0" t="n">
        <v>0</v>
      </c>
      <c r="M97" s="0" t="n">
        <v>7</v>
      </c>
      <c r="N97" s="0" t="n">
        <v>1</v>
      </c>
      <c r="O97" s="0" t="n">
        <v>0</v>
      </c>
      <c r="P97" s="0" t="n">
        <v>7</v>
      </c>
      <c r="Q97" s="0" t="n">
        <v>0</v>
      </c>
      <c r="R97" s="0" t="n">
        <v>1</v>
      </c>
      <c r="S97" s="0" t="n">
        <v>6</v>
      </c>
      <c r="T97" s="0" t="n">
        <v>1</v>
      </c>
      <c r="U97" s="21" t="s">
        <v>704</v>
      </c>
      <c r="V97" s="21" t="s">
        <v>69</v>
      </c>
      <c r="W97" s="21" t="s">
        <v>705</v>
      </c>
      <c r="X97" s="0" t="n">
        <v>2.77</v>
      </c>
      <c r="Y97" s="0" t="n">
        <v>24.4</v>
      </c>
      <c r="Z97" s="0" t="n">
        <v>76.3</v>
      </c>
      <c r="AA97" s="21" t="s">
        <v>706</v>
      </c>
      <c r="AB97" s="21" t="s">
        <v>707</v>
      </c>
      <c r="AC97" s="21" t="s">
        <v>120</v>
      </c>
      <c r="AD97" s="0" t="n">
        <v>193</v>
      </c>
      <c r="AE97" s="22" t="b">
        <f aca="false">FALSE()</f>
        <v>0</v>
      </c>
      <c r="AF97" s="21" t="s">
        <v>121</v>
      </c>
      <c r="AG97" s="21" t="s">
        <v>708</v>
      </c>
    </row>
    <row r="98" customFormat="false" ht="15" hidden="false" customHeight="false" outlineLevel="0" collapsed="false">
      <c r="A98" s="0" t="s">
        <v>709</v>
      </c>
      <c r="B98" s="20" t="s">
        <v>124</v>
      </c>
      <c r="E98" s="21" t="s">
        <v>710</v>
      </c>
      <c r="F98" s="21" t="s">
        <v>711</v>
      </c>
      <c r="G98" s="21" t="s">
        <v>111</v>
      </c>
      <c r="H98" s="21" t="s">
        <v>343</v>
      </c>
      <c r="I98" s="21" t="s">
        <v>113</v>
      </c>
      <c r="Z98" s="0" t="n">
        <v>0</v>
      </c>
      <c r="AA98" s="21" t="s">
        <v>712</v>
      </c>
      <c r="AB98" s="21" t="s">
        <v>712</v>
      </c>
      <c r="AE98" s="22" t="b">
        <f aca="false">FALSE()</f>
        <v>0</v>
      </c>
      <c r="AF98" s="21" t="s">
        <v>121</v>
      </c>
      <c r="AG98" s="21" t="s">
        <v>713</v>
      </c>
    </row>
    <row r="99" customFormat="false" ht="15" hidden="false" customHeight="false" outlineLevel="0" collapsed="false">
      <c r="A99" s="0" t="s">
        <v>714</v>
      </c>
      <c r="B99" s="18" t="s">
        <v>109</v>
      </c>
      <c r="C99" s="19" t="s">
        <v>26</v>
      </c>
      <c r="D99" s="20" t="s">
        <v>31</v>
      </c>
      <c r="E99" s="21" t="s">
        <v>715</v>
      </c>
      <c r="G99" s="21" t="s">
        <v>111</v>
      </c>
      <c r="H99" s="21" t="s">
        <v>281</v>
      </c>
      <c r="I99" s="21" t="s">
        <v>113</v>
      </c>
      <c r="J99" s="21" t="s">
        <v>114</v>
      </c>
      <c r="K99" s="0" t="n">
        <v>8</v>
      </c>
      <c r="L99" s="0" t="n">
        <v>2</v>
      </c>
      <c r="M99" s="0" t="n">
        <v>1</v>
      </c>
      <c r="N99" s="0" t="n">
        <v>5</v>
      </c>
      <c r="O99" s="0" t="n">
        <v>0</v>
      </c>
      <c r="P99" s="0" t="n">
        <v>3</v>
      </c>
      <c r="Q99" s="0" t="n">
        <v>0</v>
      </c>
      <c r="R99" s="0" t="n">
        <v>0</v>
      </c>
      <c r="S99" s="0" t="n">
        <v>3</v>
      </c>
      <c r="T99" s="0" t="n">
        <v>5</v>
      </c>
      <c r="U99" s="21" t="s">
        <v>716</v>
      </c>
      <c r="V99" s="21" t="s">
        <v>69</v>
      </c>
      <c r="W99" s="21" t="s">
        <v>224</v>
      </c>
      <c r="X99" s="0" t="n">
        <v>5.69</v>
      </c>
      <c r="Y99" s="0" t="n">
        <v>15.7</v>
      </c>
      <c r="Z99" s="0" t="n">
        <v>84.6</v>
      </c>
      <c r="AA99" s="21" t="s">
        <v>717</v>
      </c>
      <c r="AB99" s="21" t="s">
        <v>718</v>
      </c>
      <c r="AC99" s="21" t="s">
        <v>120</v>
      </c>
      <c r="AD99" s="0" t="n">
        <v>192</v>
      </c>
      <c r="AE99" s="22" t="b">
        <f aca="false">FALSE()</f>
        <v>0</v>
      </c>
      <c r="AF99" s="21" t="s">
        <v>121</v>
      </c>
      <c r="AG99" s="21" t="s">
        <v>719</v>
      </c>
    </row>
    <row r="100" customFormat="false" ht="15" hidden="false" customHeight="false" outlineLevel="0" collapsed="false">
      <c r="A100" s="0" t="s">
        <v>720</v>
      </c>
      <c r="B100" s="18" t="s">
        <v>109</v>
      </c>
      <c r="C100" s="20" t="s">
        <v>25</v>
      </c>
      <c r="D100" s="23" t="s">
        <v>30</v>
      </c>
      <c r="E100" s="21" t="s">
        <v>721</v>
      </c>
      <c r="G100" s="21" t="s">
        <v>111</v>
      </c>
      <c r="H100" s="21" t="s">
        <v>229</v>
      </c>
      <c r="I100" s="21" t="s">
        <v>113</v>
      </c>
      <c r="J100" s="21" t="s">
        <v>134</v>
      </c>
      <c r="K100" s="0" t="n">
        <v>4</v>
      </c>
      <c r="L100" s="0" t="n">
        <v>0</v>
      </c>
      <c r="M100" s="0" t="n">
        <v>4</v>
      </c>
      <c r="N100" s="0" t="n">
        <v>0</v>
      </c>
      <c r="O100" s="0" t="n">
        <v>0</v>
      </c>
      <c r="P100" s="0" t="n">
        <v>4</v>
      </c>
      <c r="Q100" s="0" t="n">
        <v>0</v>
      </c>
      <c r="R100" s="0" t="n">
        <v>1</v>
      </c>
      <c r="S100" s="0" t="n">
        <v>3</v>
      </c>
      <c r="T100" s="0" t="n">
        <v>0</v>
      </c>
      <c r="U100" s="21" t="s">
        <v>722</v>
      </c>
      <c r="V100" s="21" t="s">
        <v>69</v>
      </c>
      <c r="W100" s="21" t="s">
        <v>197</v>
      </c>
      <c r="X100" s="0" t="n">
        <v>1.11</v>
      </c>
      <c r="Y100" s="0" t="n">
        <v>11.8</v>
      </c>
      <c r="Z100" s="0" t="n">
        <v>43.5</v>
      </c>
      <c r="AA100" s="21" t="s">
        <v>723</v>
      </c>
      <c r="AB100" s="21" t="s">
        <v>724</v>
      </c>
      <c r="AC100" s="21" t="s">
        <v>120</v>
      </c>
      <c r="AD100" s="0" t="n">
        <v>95</v>
      </c>
      <c r="AE100" s="22" t="b">
        <f aca="false">FALSE()</f>
        <v>0</v>
      </c>
      <c r="AF100" s="21" t="s">
        <v>121</v>
      </c>
      <c r="AG100" s="21" t="s">
        <v>725</v>
      </c>
    </row>
    <row r="101" customFormat="false" ht="15" hidden="false" customHeight="false" outlineLevel="0" collapsed="false">
      <c r="A101" s="0" t="s">
        <v>726</v>
      </c>
      <c r="B101" s="20" t="s">
        <v>124</v>
      </c>
      <c r="E101" s="21" t="s">
        <v>727</v>
      </c>
      <c r="F101" s="21" t="s">
        <v>728</v>
      </c>
      <c r="G101" s="21" t="s">
        <v>127</v>
      </c>
      <c r="H101" s="21" t="s">
        <v>729</v>
      </c>
      <c r="I101" s="21" t="s">
        <v>113</v>
      </c>
      <c r="Z101" s="0" t="n">
        <v>0</v>
      </c>
      <c r="AA101" s="21" t="s">
        <v>730</v>
      </c>
      <c r="AB101" s="21" t="s">
        <v>730</v>
      </c>
      <c r="AE101" s="22" t="b">
        <f aca="false">FALSE()</f>
        <v>0</v>
      </c>
      <c r="AF101" s="21" t="s">
        <v>121</v>
      </c>
      <c r="AG101" s="21" t="s">
        <v>731</v>
      </c>
    </row>
    <row r="102" customFormat="false" ht="15" hidden="false" customHeight="false" outlineLevel="0" collapsed="false">
      <c r="A102" s="0" t="s">
        <v>732</v>
      </c>
      <c r="B102" s="18" t="s">
        <v>109</v>
      </c>
      <c r="C102" s="19" t="s">
        <v>26</v>
      </c>
      <c r="D102" s="20" t="s">
        <v>31</v>
      </c>
      <c r="E102" s="21" t="s">
        <v>733</v>
      </c>
      <c r="G102" s="21" t="s">
        <v>111</v>
      </c>
      <c r="H102" s="21" t="s">
        <v>203</v>
      </c>
      <c r="I102" s="21" t="s">
        <v>171</v>
      </c>
      <c r="J102" s="21" t="s">
        <v>134</v>
      </c>
      <c r="K102" s="0" t="n">
        <v>4</v>
      </c>
      <c r="L102" s="0" t="n">
        <v>0</v>
      </c>
      <c r="M102" s="0" t="n">
        <v>2</v>
      </c>
      <c r="N102" s="0" t="n">
        <v>2</v>
      </c>
      <c r="O102" s="0" t="n">
        <v>0</v>
      </c>
      <c r="P102" s="0" t="n">
        <v>2</v>
      </c>
      <c r="Q102" s="0" t="n">
        <v>0</v>
      </c>
      <c r="R102" s="0" t="n">
        <v>0</v>
      </c>
      <c r="S102" s="0" t="n">
        <v>2</v>
      </c>
      <c r="T102" s="0" t="n">
        <v>2</v>
      </c>
      <c r="U102" s="21" t="s">
        <v>734</v>
      </c>
      <c r="V102" s="21" t="s">
        <v>69</v>
      </c>
      <c r="W102" s="21" t="s">
        <v>117</v>
      </c>
      <c r="X102" s="0" t="n">
        <v>1.46</v>
      </c>
      <c r="Y102" s="0" t="n">
        <v>20.6</v>
      </c>
      <c r="Z102" s="0" t="n">
        <v>503.9</v>
      </c>
      <c r="AA102" s="21" t="s">
        <v>735</v>
      </c>
      <c r="AB102" s="21" t="s">
        <v>736</v>
      </c>
      <c r="AC102" s="21" t="s">
        <v>120</v>
      </c>
      <c r="AD102" s="0" t="n">
        <v>98</v>
      </c>
      <c r="AE102" s="22" t="b">
        <f aca="false">FALSE()</f>
        <v>0</v>
      </c>
      <c r="AF102" s="21" t="s">
        <v>121</v>
      </c>
      <c r="AG102" s="21" t="s">
        <v>737</v>
      </c>
    </row>
    <row r="103" customFormat="false" ht="15" hidden="false" customHeight="false" outlineLevel="0" collapsed="false">
      <c r="A103" s="0" t="s">
        <v>738</v>
      </c>
      <c r="B103" s="18" t="s">
        <v>109</v>
      </c>
      <c r="C103" s="19" t="s">
        <v>26</v>
      </c>
      <c r="D103" s="20" t="s">
        <v>31</v>
      </c>
      <c r="E103" s="21" t="s">
        <v>739</v>
      </c>
      <c r="G103" s="21" t="s">
        <v>111</v>
      </c>
      <c r="H103" s="21" t="s">
        <v>626</v>
      </c>
      <c r="I103" s="21" t="s">
        <v>113</v>
      </c>
      <c r="J103" s="21" t="s">
        <v>134</v>
      </c>
      <c r="K103" s="0" t="n">
        <v>4</v>
      </c>
      <c r="L103" s="0" t="n">
        <v>3</v>
      </c>
      <c r="M103" s="0" t="n">
        <v>0</v>
      </c>
      <c r="N103" s="0" t="n">
        <v>1</v>
      </c>
      <c r="O103" s="0" t="n">
        <v>0</v>
      </c>
      <c r="P103" s="0" t="n">
        <v>3</v>
      </c>
      <c r="Q103" s="0" t="n">
        <v>2</v>
      </c>
      <c r="R103" s="0" t="n">
        <v>0</v>
      </c>
      <c r="S103" s="0" t="n">
        <v>1</v>
      </c>
      <c r="T103" s="0" t="n">
        <v>1</v>
      </c>
      <c r="U103" s="21" t="s">
        <v>740</v>
      </c>
      <c r="V103" s="21" t="s">
        <v>69</v>
      </c>
      <c r="W103" s="21" t="s">
        <v>136</v>
      </c>
      <c r="X103" s="0" t="n">
        <v>27.93</v>
      </c>
      <c r="Y103" s="0" t="n">
        <v>15.4</v>
      </c>
      <c r="Z103" s="0" t="n">
        <v>41.9</v>
      </c>
      <c r="AA103" s="21" t="s">
        <v>741</v>
      </c>
      <c r="AB103" s="21" t="s">
        <v>742</v>
      </c>
      <c r="AC103" s="21" t="s">
        <v>120</v>
      </c>
      <c r="AD103" s="0" t="n">
        <v>98</v>
      </c>
      <c r="AE103" s="22" t="b">
        <f aca="false">FALSE()</f>
        <v>0</v>
      </c>
      <c r="AF103" s="21" t="s">
        <v>121</v>
      </c>
      <c r="AG103" s="21" t="s">
        <v>743</v>
      </c>
    </row>
    <row r="104" customFormat="false" ht="15" hidden="false" customHeight="false" outlineLevel="0" collapsed="false">
      <c r="A104" s="0" t="s">
        <v>744</v>
      </c>
      <c r="B104" s="18" t="s">
        <v>109</v>
      </c>
      <c r="C104" s="19" t="s">
        <v>26</v>
      </c>
      <c r="D104" s="20" t="s">
        <v>31</v>
      </c>
      <c r="E104" s="21" t="s">
        <v>745</v>
      </c>
      <c r="G104" s="21" t="s">
        <v>127</v>
      </c>
      <c r="H104" s="21" t="s">
        <v>181</v>
      </c>
      <c r="I104" s="21" t="s">
        <v>113</v>
      </c>
      <c r="J104" s="21" t="s">
        <v>134</v>
      </c>
      <c r="K104" s="0" t="n">
        <v>4</v>
      </c>
      <c r="L104" s="0" t="n">
        <v>1</v>
      </c>
      <c r="M104" s="0" t="n">
        <v>2</v>
      </c>
      <c r="N104" s="0" t="n">
        <v>1</v>
      </c>
      <c r="O104" s="0" t="n">
        <v>0</v>
      </c>
      <c r="P104" s="0" t="n">
        <v>3</v>
      </c>
      <c r="Q104" s="0" t="n">
        <v>0</v>
      </c>
      <c r="R104" s="0" t="n">
        <v>0</v>
      </c>
      <c r="S104" s="0" t="n">
        <v>3</v>
      </c>
      <c r="T104" s="0" t="n">
        <v>1</v>
      </c>
      <c r="U104" s="21" t="s">
        <v>746</v>
      </c>
      <c r="V104" s="21" t="s">
        <v>69</v>
      </c>
      <c r="W104" s="21" t="s">
        <v>136</v>
      </c>
      <c r="X104" s="0" t="n">
        <v>3.19</v>
      </c>
      <c r="Y104" s="0" t="n">
        <v>7.2</v>
      </c>
      <c r="Z104" s="0" t="n">
        <v>42.2</v>
      </c>
      <c r="AA104" s="21" t="s">
        <v>747</v>
      </c>
      <c r="AB104" s="21" t="s">
        <v>748</v>
      </c>
      <c r="AC104" s="21" t="s">
        <v>120</v>
      </c>
      <c r="AD104" s="0" t="n">
        <v>99</v>
      </c>
      <c r="AE104" s="22" t="b">
        <f aca="false">FALSE()</f>
        <v>0</v>
      </c>
      <c r="AF104" s="21" t="s">
        <v>121</v>
      </c>
      <c r="AG104" s="21" t="s">
        <v>749</v>
      </c>
    </row>
    <row r="105" customFormat="false" ht="15" hidden="false" customHeight="false" outlineLevel="0" collapsed="false">
      <c r="A105" s="0" t="s">
        <v>750</v>
      </c>
      <c r="B105" s="20" t="s">
        <v>124</v>
      </c>
      <c r="E105" s="21" t="s">
        <v>751</v>
      </c>
      <c r="F105" s="21" t="s">
        <v>752</v>
      </c>
      <c r="G105" s="21" t="s">
        <v>127</v>
      </c>
      <c r="H105" s="21" t="s">
        <v>753</v>
      </c>
      <c r="I105" s="21" t="s">
        <v>113</v>
      </c>
      <c r="Z105" s="0" t="n">
        <v>0</v>
      </c>
      <c r="AA105" s="21" t="s">
        <v>754</v>
      </c>
      <c r="AB105" s="21" t="s">
        <v>754</v>
      </c>
      <c r="AE105" s="22" t="b">
        <f aca="false">FALSE()</f>
        <v>0</v>
      </c>
      <c r="AF105" s="21" t="s">
        <v>121</v>
      </c>
      <c r="AG105" s="21" t="s">
        <v>755</v>
      </c>
    </row>
    <row r="106" customFormat="false" ht="15" hidden="false" customHeight="false" outlineLevel="0" collapsed="false">
      <c r="A106" s="0" t="s">
        <v>756</v>
      </c>
      <c r="B106" s="18" t="s">
        <v>109</v>
      </c>
      <c r="C106" s="19" t="s">
        <v>26</v>
      </c>
      <c r="D106" s="20" t="s">
        <v>31</v>
      </c>
      <c r="E106" s="21" t="s">
        <v>757</v>
      </c>
      <c r="G106" s="21" t="s">
        <v>111</v>
      </c>
      <c r="H106" s="21" t="s">
        <v>382</v>
      </c>
      <c r="I106" s="21" t="s">
        <v>113</v>
      </c>
      <c r="J106" s="21" t="s">
        <v>114</v>
      </c>
      <c r="K106" s="0" t="n">
        <v>8</v>
      </c>
      <c r="L106" s="0" t="n">
        <v>4</v>
      </c>
      <c r="M106" s="0" t="n">
        <v>3</v>
      </c>
      <c r="N106" s="0" t="n">
        <v>1</v>
      </c>
      <c r="O106" s="0" t="n">
        <v>0</v>
      </c>
      <c r="P106" s="0" t="n">
        <v>7</v>
      </c>
      <c r="Q106" s="0" t="n">
        <v>4</v>
      </c>
      <c r="R106" s="0" t="n">
        <v>0</v>
      </c>
      <c r="S106" s="0" t="n">
        <v>3</v>
      </c>
      <c r="T106" s="0" t="n">
        <v>1</v>
      </c>
      <c r="U106" s="21" t="s">
        <v>758</v>
      </c>
      <c r="V106" s="21" t="s">
        <v>69</v>
      </c>
      <c r="W106" s="21" t="s">
        <v>136</v>
      </c>
      <c r="X106" s="0" t="n">
        <v>5.07</v>
      </c>
      <c r="Y106" s="0" t="n">
        <v>14.9</v>
      </c>
      <c r="Z106" s="0" t="n">
        <v>78.6</v>
      </c>
      <c r="AA106" s="21" t="s">
        <v>759</v>
      </c>
      <c r="AB106" s="21" t="s">
        <v>760</v>
      </c>
      <c r="AC106" s="21" t="s">
        <v>120</v>
      </c>
      <c r="AD106" s="0" t="n">
        <v>196</v>
      </c>
      <c r="AE106" s="22" t="b">
        <f aca="false">FALSE()</f>
        <v>0</v>
      </c>
      <c r="AF106" s="21" t="s">
        <v>121</v>
      </c>
      <c r="AG106" s="21" t="s">
        <v>761</v>
      </c>
    </row>
    <row r="107" customFormat="false" ht="15" hidden="false" customHeight="false" outlineLevel="0" collapsed="false">
      <c r="A107" s="0" t="s">
        <v>762</v>
      </c>
      <c r="B107" s="20" t="s">
        <v>124</v>
      </c>
      <c r="E107" s="21" t="s">
        <v>763</v>
      </c>
      <c r="F107" s="21" t="s">
        <v>764</v>
      </c>
      <c r="G107" s="21" t="s">
        <v>111</v>
      </c>
      <c r="H107" s="21" t="s">
        <v>765</v>
      </c>
      <c r="I107" s="21" t="s">
        <v>113</v>
      </c>
      <c r="Z107" s="0" t="n">
        <v>0</v>
      </c>
      <c r="AA107" s="21" t="s">
        <v>766</v>
      </c>
      <c r="AB107" s="21" t="s">
        <v>766</v>
      </c>
      <c r="AE107" s="22" t="b">
        <f aca="false">FALSE()</f>
        <v>0</v>
      </c>
      <c r="AF107" s="21" t="s">
        <v>121</v>
      </c>
      <c r="AG107" s="21" t="s">
        <v>767</v>
      </c>
    </row>
    <row r="108" customFormat="false" ht="15" hidden="false" customHeight="false" outlineLevel="0" collapsed="false">
      <c r="A108" s="0" t="s">
        <v>768</v>
      </c>
      <c r="B108" s="18" t="s">
        <v>109</v>
      </c>
      <c r="C108" s="19" t="s">
        <v>26</v>
      </c>
      <c r="D108" s="20" t="s">
        <v>31</v>
      </c>
      <c r="E108" s="21" t="s">
        <v>769</v>
      </c>
      <c r="G108" s="21" t="s">
        <v>127</v>
      </c>
      <c r="H108" s="21" t="s">
        <v>568</v>
      </c>
      <c r="I108" s="21" t="s">
        <v>113</v>
      </c>
      <c r="J108" s="21" t="s">
        <v>134</v>
      </c>
      <c r="K108" s="0" t="n">
        <v>4</v>
      </c>
      <c r="L108" s="0" t="n">
        <v>0</v>
      </c>
      <c r="M108" s="0" t="n">
        <v>3</v>
      </c>
      <c r="N108" s="0" t="n">
        <v>1</v>
      </c>
      <c r="O108" s="0" t="n">
        <v>0</v>
      </c>
      <c r="P108" s="0" t="n">
        <v>3</v>
      </c>
      <c r="Q108" s="0" t="n">
        <v>0</v>
      </c>
      <c r="R108" s="0" t="n">
        <v>0</v>
      </c>
      <c r="S108" s="0" t="n">
        <v>3</v>
      </c>
      <c r="T108" s="0" t="n">
        <v>1</v>
      </c>
      <c r="U108" s="21" t="s">
        <v>770</v>
      </c>
      <c r="V108" s="21" t="s">
        <v>69</v>
      </c>
      <c r="W108" s="21" t="s">
        <v>646</v>
      </c>
      <c r="X108" s="0" t="n">
        <v>1.67</v>
      </c>
      <c r="Y108" s="0" t="n">
        <v>9.6</v>
      </c>
      <c r="Z108" s="0" t="n">
        <v>42.3</v>
      </c>
      <c r="AA108" s="21" t="s">
        <v>771</v>
      </c>
      <c r="AB108" s="21" t="s">
        <v>772</v>
      </c>
      <c r="AC108" s="21" t="s">
        <v>120</v>
      </c>
      <c r="AD108" s="0" t="n">
        <v>96</v>
      </c>
      <c r="AE108" s="22" t="b">
        <f aca="false">FALSE()</f>
        <v>0</v>
      </c>
      <c r="AF108" s="21" t="s">
        <v>121</v>
      </c>
      <c r="AG108" s="21" t="s">
        <v>773</v>
      </c>
    </row>
    <row r="109" customFormat="false" ht="15" hidden="false" customHeight="false" outlineLevel="0" collapsed="false">
      <c r="A109" s="0" t="s">
        <v>774</v>
      </c>
      <c r="B109" s="20" t="s">
        <v>124</v>
      </c>
      <c r="E109" s="21" t="s">
        <v>775</v>
      </c>
      <c r="F109" s="21" t="s">
        <v>776</v>
      </c>
      <c r="G109" s="21" t="s">
        <v>111</v>
      </c>
      <c r="H109" s="21" t="s">
        <v>155</v>
      </c>
      <c r="I109" s="21" t="s">
        <v>113</v>
      </c>
      <c r="Z109" s="0" t="n">
        <v>0</v>
      </c>
      <c r="AA109" s="21" t="s">
        <v>777</v>
      </c>
      <c r="AB109" s="21" t="s">
        <v>777</v>
      </c>
      <c r="AE109" s="22" t="b">
        <f aca="false">FALSE()</f>
        <v>0</v>
      </c>
      <c r="AF109" s="21" t="s">
        <v>121</v>
      </c>
      <c r="AG109" s="21" t="s">
        <v>778</v>
      </c>
    </row>
    <row r="110" customFormat="false" ht="15" hidden="false" customHeight="false" outlineLevel="0" collapsed="false">
      <c r="A110" s="0" t="s">
        <v>779</v>
      </c>
      <c r="B110" s="18" t="s">
        <v>109</v>
      </c>
      <c r="C110" s="19" t="s">
        <v>26</v>
      </c>
      <c r="D110" s="20" t="s">
        <v>31</v>
      </c>
      <c r="E110" s="21" t="s">
        <v>780</v>
      </c>
      <c r="G110" s="21" t="s">
        <v>111</v>
      </c>
      <c r="H110" s="21" t="s">
        <v>133</v>
      </c>
      <c r="I110" s="21" t="s">
        <v>113</v>
      </c>
      <c r="J110" s="21" t="s">
        <v>114</v>
      </c>
      <c r="K110" s="0" t="n">
        <v>8</v>
      </c>
      <c r="L110" s="0" t="n">
        <v>2</v>
      </c>
      <c r="M110" s="0" t="n">
        <v>2</v>
      </c>
      <c r="N110" s="0" t="n">
        <v>4</v>
      </c>
      <c r="O110" s="0" t="n">
        <v>0</v>
      </c>
      <c r="P110" s="0" t="n">
        <v>4</v>
      </c>
      <c r="Q110" s="0" t="n">
        <v>0</v>
      </c>
      <c r="R110" s="0" t="n">
        <v>0</v>
      </c>
      <c r="S110" s="0" t="n">
        <v>4</v>
      </c>
      <c r="T110" s="0" t="n">
        <v>4</v>
      </c>
      <c r="U110" s="21" t="s">
        <v>781</v>
      </c>
      <c r="V110" s="21" t="s">
        <v>69</v>
      </c>
      <c r="W110" s="21" t="s">
        <v>433</v>
      </c>
      <c r="X110" s="0" t="n">
        <v>2.31</v>
      </c>
      <c r="Y110" s="0" t="n">
        <v>15.1</v>
      </c>
      <c r="Z110" s="0" t="n">
        <v>76.3</v>
      </c>
      <c r="AA110" s="21" t="s">
        <v>782</v>
      </c>
      <c r="AB110" s="21" t="s">
        <v>783</v>
      </c>
      <c r="AC110" s="21" t="s">
        <v>120</v>
      </c>
      <c r="AD110" s="0" t="n">
        <v>196</v>
      </c>
      <c r="AE110" s="22" t="b">
        <f aca="false">FALSE()</f>
        <v>0</v>
      </c>
      <c r="AF110" s="21" t="s">
        <v>121</v>
      </c>
      <c r="AG110" s="21" t="s">
        <v>784</v>
      </c>
    </row>
    <row r="111" customFormat="false" ht="15" hidden="false" customHeight="false" outlineLevel="0" collapsed="false">
      <c r="A111" s="0" t="s">
        <v>785</v>
      </c>
      <c r="B111" s="18" t="s">
        <v>109</v>
      </c>
      <c r="C111" s="19" t="s">
        <v>26</v>
      </c>
      <c r="D111" s="20" t="s">
        <v>31</v>
      </c>
      <c r="E111" s="21" t="s">
        <v>786</v>
      </c>
      <c r="G111" s="21" t="s">
        <v>127</v>
      </c>
      <c r="H111" s="21" t="s">
        <v>275</v>
      </c>
      <c r="I111" s="21" t="s">
        <v>113</v>
      </c>
      <c r="J111" s="21" t="s">
        <v>114</v>
      </c>
      <c r="K111" s="0" t="n">
        <v>8</v>
      </c>
      <c r="L111" s="0" t="n">
        <v>2</v>
      </c>
      <c r="M111" s="0" t="n">
        <v>2</v>
      </c>
      <c r="N111" s="0" t="n">
        <v>4</v>
      </c>
      <c r="O111" s="0" t="n">
        <v>0</v>
      </c>
      <c r="P111" s="0" t="n">
        <v>4</v>
      </c>
      <c r="Q111" s="0" t="n">
        <v>0</v>
      </c>
      <c r="R111" s="0" t="n">
        <v>0</v>
      </c>
      <c r="S111" s="0" t="n">
        <v>4</v>
      </c>
      <c r="T111" s="0" t="n">
        <v>4</v>
      </c>
      <c r="U111" s="21" t="s">
        <v>787</v>
      </c>
      <c r="V111" s="21" t="s">
        <v>69</v>
      </c>
      <c r="W111" s="21" t="s">
        <v>313</v>
      </c>
      <c r="X111" s="0" t="n">
        <v>11.32</v>
      </c>
      <c r="Y111" s="0" t="n">
        <v>13.2</v>
      </c>
      <c r="Z111" s="0" t="n">
        <v>118.3</v>
      </c>
      <c r="AA111" s="21" t="s">
        <v>788</v>
      </c>
      <c r="AB111" s="21" t="s">
        <v>789</v>
      </c>
      <c r="AC111" s="21" t="s">
        <v>120</v>
      </c>
      <c r="AD111" s="0" t="n">
        <v>193</v>
      </c>
      <c r="AE111" s="22" t="b">
        <f aca="false">FALSE()</f>
        <v>0</v>
      </c>
      <c r="AF111" s="21" t="s">
        <v>121</v>
      </c>
      <c r="AG111" s="21" t="s">
        <v>790</v>
      </c>
    </row>
    <row r="112" customFormat="false" ht="15" hidden="false" customHeight="false" outlineLevel="0" collapsed="false">
      <c r="A112" s="0" t="s">
        <v>791</v>
      </c>
      <c r="B112" s="20" t="s">
        <v>124</v>
      </c>
      <c r="E112" s="21" t="s">
        <v>125</v>
      </c>
      <c r="F112" s="21" t="s">
        <v>126</v>
      </c>
      <c r="G112" s="21" t="s">
        <v>127</v>
      </c>
      <c r="H112" s="21" t="s">
        <v>128</v>
      </c>
      <c r="I112" s="21" t="s">
        <v>113</v>
      </c>
      <c r="Z112" s="0" t="n">
        <v>0</v>
      </c>
      <c r="AA112" s="21" t="s">
        <v>792</v>
      </c>
      <c r="AB112" s="21" t="s">
        <v>792</v>
      </c>
      <c r="AE112" s="22" t="b">
        <f aca="false">FALSE()</f>
        <v>0</v>
      </c>
      <c r="AF112" s="21" t="s">
        <v>121</v>
      </c>
      <c r="AG112" s="21" t="s">
        <v>793</v>
      </c>
    </row>
    <row r="113" customFormat="false" ht="15" hidden="false" customHeight="false" outlineLevel="0" collapsed="false">
      <c r="A113" s="0" t="s">
        <v>794</v>
      </c>
      <c r="B113" s="20" t="s">
        <v>124</v>
      </c>
      <c r="E113" s="21" t="s">
        <v>552</v>
      </c>
      <c r="F113" s="21" t="s">
        <v>553</v>
      </c>
      <c r="G113" s="21" t="s">
        <v>111</v>
      </c>
      <c r="H113" s="21" t="s">
        <v>554</v>
      </c>
      <c r="I113" s="21" t="s">
        <v>113</v>
      </c>
      <c r="Z113" s="0" t="n">
        <v>0</v>
      </c>
      <c r="AA113" s="21" t="s">
        <v>795</v>
      </c>
      <c r="AB113" s="21" t="s">
        <v>795</v>
      </c>
      <c r="AE113" s="22" t="b">
        <f aca="false">FALSE()</f>
        <v>0</v>
      </c>
      <c r="AF113" s="21" t="s">
        <v>121</v>
      </c>
      <c r="AG113" s="21" t="s">
        <v>796</v>
      </c>
    </row>
    <row r="114" customFormat="false" ht="15" hidden="false" customHeight="false" outlineLevel="0" collapsed="false">
      <c r="A114" s="0" t="s">
        <v>797</v>
      </c>
      <c r="B114" s="18" t="s">
        <v>109</v>
      </c>
      <c r="C114" s="19" t="s">
        <v>26</v>
      </c>
      <c r="D114" s="20" t="s">
        <v>31</v>
      </c>
      <c r="E114" s="21" t="s">
        <v>798</v>
      </c>
      <c r="G114" s="21" t="s">
        <v>127</v>
      </c>
      <c r="H114" s="21" t="s">
        <v>390</v>
      </c>
      <c r="I114" s="21" t="s">
        <v>113</v>
      </c>
      <c r="J114" s="21" t="s">
        <v>134</v>
      </c>
      <c r="K114" s="0" t="n">
        <v>4</v>
      </c>
      <c r="L114" s="0" t="n">
        <v>2</v>
      </c>
      <c r="M114" s="0" t="n">
        <v>0</v>
      </c>
      <c r="N114" s="0" t="n">
        <v>2</v>
      </c>
      <c r="O114" s="0" t="n">
        <v>0</v>
      </c>
      <c r="P114" s="0" t="n">
        <v>2</v>
      </c>
      <c r="Q114" s="0" t="n">
        <v>0</v>
      </c>
      <c r="R114" s="0" t="n">
        <v>0</v>
      </c>
      <c r="S114" s="0" t="n">
        <v>2</v>
      </c>
      <c r="T114" s="0" t="n">
        <v>2</v>
      </c>
      <c r="U114" s="21" t="s">
        <v>799</v>
      </c>
      <c r="W114" s="21" t="s">
        <v>800</v>
      </c>
      <c r="X114" s="0" t="n">
        <v>4.23</v>
      </c>
      <c r="Y114" s="0" t="n">
        <v>8.9</v>
      </c>
      <c r="Z114" s="0" t="n">
        <v>53.2</v>
      </c>
      <c r="AA114" s="21" t="s">
        <v>801</v>
      </c>
      <c r="AB114" s="21" t="s">
        <v>802</v>
      </c>
      <c r="AC114" s="21" t="s">
        <v>120</v>
      </c>
      <c r="AD114" s="0" t="n">
        <v>98</v>
      </c>
      <c r="AE114" s="22" t="b">
        <f aca="false">FALSE()</f>
        <v>0</v>
      </c>
      <c r="AF114" s="21" t="s">
        <v>121</v>
      </c>
      <c r="AG114" s="21" t="s">
        <v>803</v>
      </c>
    </row>
    <row r="115" customFormat="false" ht="15" hidden="false" customHeight="false" outlineLevel="0" collapsed="false">
      <c r="A115" s="0" t="s">
        <v>804</v>
      </c>
      <c r="B115" s="20" t="s">
        <v>124</v>
      </c>
      <c r="E115" s="21" t="s">
        <v>805</v>
      </c>
      <c r="F115" s="21" t="s">
        <v>806</v>
      </c>
      <c r="G115" s="21" t="s">
        <v>127</v>
      </c>
      <c r="H115" s="21" t="s">
        <v>397</v>
      </c>
      <c r="I115" s="21" t="s">
        <v>113</v>
      </c>
      <c r="Z115" s="0" t="n">
        <v>0</v>
      </c>
      <c r="AA115" s="21" t="s">
        <v>807</v>
      </c>
      <c r="AB115" s="21" t="s">
        <v>807</v>
      </c>
      <c r="AE115" s="22" t="b">
        <f aca="false">FALSE()</f>
        <v>0</v>
      </c>
      <c r="AF115" s="21" t="s">
        <v>121</v>
      </c>
      <c r="AG115" s="21" t="s">
        <v>808</v>
      </c>
    </row>
    <row r="116" customFormat="false" ht="15" hidden="false" customHeight="false" outlineLevel="0" collapsed="false">
      <c r="A116" s="0" t="s">
        <v>809</v>
      </c>
      <c r="B116" s="20" t="s">
        <v>124</v>
      </c>
      <c r="E116" s="21" t="s">
        <v>805</v>
      </c>
      <c r="F116" s="21" t="s">
        <v>806</v>
      </c>
      <c r="G116" s="21" t="s">
        <v>111</v>
      </c>
      <c r="H116" s="21" t="s">
        <v>281</v>
      </c>
      <c r="I116" s="21" t="s">
        <v>113</v>
      </c>
      <c r="Z116" s="0" t="n">
        <v>0</v>
      </c>
      <c r="AA116" s="21" t="s">
        <v>810</v>
      </c>
      <c r="AB116" s="21" t="s">
        <v>810</v>
      </c>
      <c r="AE116" s="22" t="b">
        <f aca="false">FALSE()</f>
        <v>0</v>
      </c>
      <c r="AF116" s="21" t="s">
        <v>121</v>
      </c>
      <c r="AG116" s="21" t="s">
        <v>811</v>
      </c>
    </row>
    <row r="117" customFormat="false" ht="15" hidden="false" customHeight="false" outlineLevel="0" collapsed="false">
      <c r="A117" s="0" t="s">
        <v>812</v>
      </c>
      <c r="B117" s="18" t="s">
        <v>109</v>
      </c>
      <c r="C117" s="20" t="s">
        <v>25</v>
      </c>
      <c r="D117" s="23" t="s">
        <v>30</v>
      </c>
      <c r="E117" s="21" t="s">
        <v>813</v>
      </c>
      <c r="G117" s="21" t="s">
        <v>111</v>
      </c>
      <c r="H117" s="21" t="s">
        <v>177</v>
      </c>
      <c r="I117" s="21" t="s">
        <v>113</v>
      </c>
      <c r="J117" s="21" t="s">
        <v>134</v>
      </c>
      <c r="K117" s="0" t="n">
        <v>4</v>
      </c>
      <c r="L117" s="0" t="n">
        <v>2</v>
      </c>
      <c r="M117" s="0" t="n">
        <v>2</v>
      </c>
      <c r="N117" s="0" t="n">
        <v>0</v>
      </c>
      <c r="O117" s="0" t="n">
        <v>0</v>
      </c>
      <c r="P117" s="0" t="n">
        <v>4</v>
      </c>
      <c r="Q117" s="0" t="n">
        <v>0</v>
      </c>
      <c r="R117" s="0" t="n">
        <v>0</v>
      </c>
      <c r="S117" s="0" t="n">
        <v>4</v>
      </c>
      <c r="T117" s="0" t="n">
        <v>0</v>
      </c>
      <c r="U117" s="21" t="s">
        <v>814</v>
      </c>
      <c r="V117" s="21" t="s">
        <v>69</v>
      </c>
      <c r="W117" s="21" t="s">
        <v>283</v>
      </c>
      <c r="X117" s="0" t="n">
        <v>6.83</v>
      </c>
      <c r="Y117" s="0" t="n">
        <v>15.1</v>
      </c>
      <c r="Z117" s="0" t="n">
        <v>42.2</v>
      </c>
      <c r="AA117" s="21" t="s">
        <v>815</v>
      </c>
      <c r="AB117" s="21" t="s">
        <v>816</v>
      </c>
      <c r="AC117" s="21" t="s">
        <v>120</v>
      </c>
      <c r="AD117" s="0" t="n">
        <v>98</v>
      </c>
      <c r="AE117" s="22" t="b">
        <f aca="false">FALSE()</f>
        <v>0</v>
      </c>
      <c r="AF117" s="21" t="s">
        <v>121</v>
      </c>
      <c r="AG117" s="21" t="s">
        <v>817</v>
      </c>
    </row>
    <row r="118" customFormat="false" ht="15" hidden="false" customHeight="false" outlineLevel="0" collapsed="false">
      <c r="A118" s="0" t="s">
        <v>818</v>
      </c>
      <c r="B118" s="18" t="s">
        <v>109</v>
      </c>
      <c r="C118" s="20" t="s">
        <v>25</v>
      </c>
      <c r="D118" s="23" t="s">
        <v>30</v>
      </c>
      <c r="E118" s="21" t="s">
        <v>819</v>
      </c>
      <c r="G118" s="21" t="s">
        <v>127</v>
      </c>
      <c r="H118" s="21" t="s">
        <v>281</v>
      </c>
      <c r="I118" s="21" t="s">
        <v>171</v>
      </c>
      <c r="J118" s="21" t="s">
        <v>134</v>
      </c>
      <c r="K118" s="0" t="n">
        <v>4</v>
      </c>
      <c r="L118" s="0" t="n">
        <v>0</v>
      </c>
      <c r="M118" s="0" t="n">
        <v>4</v>
      </c>
      <c r="N118" s="0" t="n">
        <v>0</v>
      </c>
      <c r="O118" s="0" t="n">
        <v>0</v>
      </c>
      <c r="P118" s="0" t="n">
        <v>4</v>
      </c>
      <c r="Q118" s="0" t="n">
        <v>0</v>
      </c>
      <c r="R118" s="0" t="n">
        <v>2</v>
      </c>
      <c r="S118" s="0" t="n">
        <v>2</v>
      </c>
      <c r="T118" s="0" t="n">
        <v>0</v>
      </c>
      <c r="U118" s="21" t="s">
        <v>820</v>
      </c>
      <c r="V118" s="21" t="s">
        <v>69</v>
      </c>
      <c r="W118" s="21" t="s">
        <v>197</v>
      </c>
      <c r="X118" s="0" t="n">
        <v>0.03</v>
      </c>
      <c r="Y118" s="0" t="n">
        <v>4.3</v>
      </c>
      <c r="Z118" s="0" t="n">
        <v>48.2</v>
      </c>
      <c r="AA118" s="21" t="s">
        <v>821</v>
      </c>
      <c r="AB118" s="21" t="s">
        <v>822</v>
      </c>
      <c r="AC118" s="21" t="s">
        <v>120</v>
      </c>
      <c r="AD118" s="0" t="n">
        <v>105</v>
      </c>
      <c r="AE118" s="22" t="b">
        <f aca="false">FALSE()</f>
        <v>0</v>
      </c>
      <c r="AF118" s="21" t="s">
        <v>121</v>
      </c>
      <c r="AG118" s="21" t="s">
        <v>823</v>
      </c>
    </row>
    <row r="119" customFormat="false" ht="15" hidden="false" customHeight="false" outlineLevel="0" collapsed="false">
      <c r="A119" s="0" t="s">
        <v>824</v>
      </c>
      <c r="B119" s="18" t="s">
        <v>109</v>
      </c>
      <c r="C119" s="20" t="s">
        <v>25</v>
      </c>
      <c r="D119" s="23" t="s">
        <v>30</v>
      </c>
      <c r="E119" s="21" t="s">
        <v>825</v>
      </c>
      <c r="G119" s="21" t="s">
        <v>111</v>
      </c>
      <c r="H119" s="21" t="s">
        <v>352</v>
      </c>
      <c r="I119" s="21" t="s">
        <v>113</v>
      </c>
      <c r="J119" s="21" t="s">
        <v>134</v>
      </c>
      <c r="K119" s="0" t="n">
        <v>4</v>
      </c>
      <c r="L119" s="0" t="n">
        <v>1</v>
      </c>
      <c r="M119" s="0" t="n">
        <v>3</v>
      </c>
      <c r="N119" s="0" t="n">
        <v>0</v>
      </c>
      <c r="O119" s="0" t="n">
        <v>0</v>
      </c>
      <c r="P119" s="0" t="n">
        <v>4</v>
      </c>
      <c r="Q119" s="0" t="n">
        <v>0</v>
      </c>
      <c r="R119" s="0" t="n">
        <v>1</v>
      </c>
      <c r="S119" s="0" t="n">
        <v>3</v>
      </c>
      <c r="T119" s="0" t="n">
        <v>0</v>
      </c>
      <c r="U119" s="21" t="s">
        <v>826</v>
      </c>
      <c r="V119" s="21" t="s">
        <v>69</v>
      </c>
      <c r="W119" s="21" t="s">
        <v>183</v>
      </c>
      <c r="X119" s="0" t="n">
        <v>2.84</v>
      </c>
      <c r="Y119" s="0" t="n">
        <v>16.8</v>
      </c>
      <c r="Z119" s="0" t="n">
        <v>40.6</v>
      </c>
      <c r="AA119" s="21" t="s">
        <v>827</v>
      </c>
      <c r="AB119" s="21" t="s">
        <v>828</v>
      </c>
      <c r="AC119" s="21" t="s">
        <v>120</v>
      </c>
      <c r="AD119" s="0" t="n">
        <v>97</v>
      </c>
      <c r="AE119" s="22" t="b">
        <f aca="false">FALSE()</f>
        <v>0</v>
      </c>
      <c r="AF119" s="21" t="s">
        <v>121</v>
      </c>
      <c r="AG119" s="21" t="s">
        <v>829</v>
      </c>
    </row>
    <row r="120" customFormat="false" ht="15" hidden="false" customHeight="false" outlineLevel="0" collapsed="false">
      <c r="A120" s="0" t="s">
        <v>830</v>
      </c>
      <c r="B120" s="18" t="s">
        <v>109</v>
      </c>
      <c r="C120" s="20" t="s">
        <v>25</v>
      </c>
      <c r="D120" s="23" t="s">
        <v>30</v>
      </c>
      <c r="E120" s="21" t="s">
        <v>831</v>
      </c>
      <c r="G120" s="21" t="s">
        <v>111</v>
      </c>
      <c r="H120" s="21" t="s">
        <v>686</v>
      </c>
      <c r="I120" s="21" t="s">
        <v>113</v>
      </c>
      <c r="J120" s="21" t="s">
        <v>114</v>
      </c>
      <c r="K120" s="0" t="n">
        <v>8</v>
      </c>
      <c r="L120" s="0" t="n">
        <v>3</v>
      </c>
      <c r="M120" s="0" t="n">
        <v>5</v>
      </c>
      <c r="N120" s="0" t="n">
        <v>0</v>
      </c>
      <c r="O120" s="0" t="n">
        <v>0</v>
      </c>
      <c r="P120" s="0" t="n">
        <v>8</v>
      </c>
      <c r="Q120" s="0" t="n">
        <v>0</v>
      </c>
      <c r="R120" s="0" t="n">
        <v>3</v>
      </c>
      <c r="S120" s="0" t="n">
        <v>5</v>
      </c>
      <c r="T120" s="0" t="n">
        <v>0</v>
      </c>
      <c r="U120" s="21" t="s">
        <v>832</v>
      </c>
      <c r="V120" s="21" t="s">
        <v>69</v>
      </c>
      <c r="W120" s="21" t="s">
        <v>157</v>
      </c>
      <c r="X120" s="0" t="n">
        <v>3.81</v>
      </c>
      <c r="Y120" s="0" t="n">
        <v>17</v>
      </c>
      <c r="Z120" s="0" t="n">
        <v>75.3</v>
      </c>
      <c r="AA120" s="21" t="s">
        <v>833</v>
      </c>
      <c r="AB120" s="21" t="s">
        <v>834</v>
      </c>
      <c r="AC120" s="21" t="s">
        <v>120</v>
      </c>
      <c r="AD120" s="0" t="n">
        <v>194</v>
      </c>
      <c r="AE120" s="22" t="b">
        <f aca="false">FALSE()</f>
        <v>0</v>
      </c>
      <c r="AF120" s="21" t="s">
        <v>121</v>
      </c>
      <c r="AG120" s="21" t="s">
        <v>835</v>
      </c>
    </row>
    <row r="121" customFormat="false" ht="15" hidden="false" customHeight="false" outlineLevel="0" collapsed="false">
      <c r="A121" s="0" t="s">
        <v>836</v>
      </c>
      <c r="B121" s="20" t="s">
        <v>124</v>
      </c>
      <c r="E121" s="21" t="s">
        <v>552</v>
      </c>
      <c r="F121" s="21" t="s">
        <v>553</v>
      </c>
      <c r="G121" s="21" t="s">
        <v>127</v>
      </c>
      <c r="H121" s="21" t="s">
        <v>554</v>
      </c>
      <c r="I121" s="21" t="s">
        <v>113</v>
      </c>
      <c r="Z121" s="0" t="n">
        <v>0</v>
      </c>
      <c r="AA121" s="21" t="s">
        <v>837</v>
      </c>
      <c r="AB121" s="21" t="s">
        <v>837</v>
      </c>
      <c r="AE121" s="22" t="b">
        <f aca="false">FALSE()</f>
        <v>0</v>
      </c>
      <c r="AF121" s="21" t="s">
        <v>121</v>
      </c>
      <c r="AG121" s="21" t="s">
        <v>838</v>
      </c>
    </row>
    <row r="122" customFormat="false" ht="15" hidden="false" customHeight="false" outlineLevel="0" collapsed="false">
      <c r="A122" s="0" t="s">
        <v>839</v>
      </c>
      <c r="B122" s="18" t="s">
        <v>109</v>
      </c>
      <c r="C122" s="20" t="s">
        <v>25</v>
      </c>
      <c r="D122" s="23" t="s">
        <v>30</v>
      </c>
      <c r="E122" s="21" t="s">
        <v>840</v>
      </c>
      <c r="G122" s="21" t="s">
        <v>111</v>
      </c>
      <c r="H122" s="21" t="s">
        <v>841</v>
      </c>
      <c r="I122" s="21" t="s">
        <v>113</v>
      </c>
      <c r="J122" s="21" t="s">
        <v>134</v>
      </c>
      <c r="K122" s="0" t="n">
        <v>4</v>
      </c>
      <c r="L122" s="0" t="n">
        <v>0</v>
      </c>
      <c r="M122" s="0" t="n">
        <v>4</v>
      </c>
      <c r="N122" s="0" t="n">
        <v>0</v>
      </c>
      <c r="O122" s="0" t="n">
        <v>0</v>
      </c>
      <c r="P122" s="0" t="n">
        <v>4</v>
      </c>
      <c r="Q122" s="0" t="n">
        <v>0</v>
      </c>
      <c r="R122" s="0" t="n">
        <v>0</v>
      </c>
      <c r="S122" s="0" t="n">
        <v>4</v>
      </c>
      <c r="T122" s="0" t="n">
        <v>0</v>
      </c>
      <c r="U122" s="21" t="s">
        <v>842</v>
      </c>
      <c r="V122" s="21" t="s">
        <v>69</v>
      </c>
      <c r="W122" s="21" t="s">
        <v>283</v>
      </c>
      <c r="X122" s="0" t="n">
        <v>4.75</v>
      </c>
      <c r="Y122" s="0" t="n">
        <v>6.1</v>
      </c>
      <c r="Z122" s="0" t="n">
        <v>42.5</v>
      </c>
      <c r="AA122" s="21" t="s">
        <v>843</v>
      </c>
      <c r="AB122" s="21" t="s">
        <v>844</v>
      </c>
      <c r="AC122" s="21" t="s">
        <v>120</v>
      </c>
      <c r="AD122" s="0" t="n">
        <v>96</v>
      </c>
      <c r="AE122" s="22" t="b">
        <f aca="false">FALSE()</f>
        <v>0</v>
      </c>
      <c r="AF122" s="21" t="s">
        <v>121</v>
      </c>
      <c r="AG122" s="21" t="s">
        <v>845</v>
      </c>
    </row>
    <row r="123" customFormat="false" ht="15" hidden="false" customHeight="false" outlineLevel="0" collapsed="false">
      <c r="A123" s="0" t="s">
        <v>846</v>
      </c>
      <c r="B123" s="18" t="s">
        <v>109</v>
      </c>
      <c r="C123" s="19" t="s">
        <v>26</v>
      </c>
      <c r="D123" s="20" t="s">
        <v>31</v>
      </c>
      <c r="E123" s="21" t="s">
        <v>847</v>
      </c>
      <c r="G123" s="21" t="s">
        <v>127</v>
      </c>
      <c r="H123" s="21" t="s">
        <v>151</v>
      </c>
      <c r="I123" s="21" t="s">
        <v>113</v>
      </c>
      <c r="J123" s="21" t="s">
        <v>134</v>
      </c>
      <c r="K123" s="0" t="n">
        <v>4</v>
      </c>
      <c r="L123" s="0" t="n">
        <v>1</v>
      </c>
      <c r="M123" s="0" t="n">
        <v>2</v>
      </c>
      <c r="N123" s="0" t="n">
        <v>1</v>
      </c>
      <c r="O123" s="0" t="n">
        <v>0</v>
      </c>
      <c r="P123" s="0" t="n">
        <v>3</v>
      </c>
      <c r="Q123" s="0" t="n">
        <v>1</v>
      </c>
      <c r="R123" s="0" t="n">
        <v>0</v>
      </c>
      <c r="S123" s="0" t="n">
        <v>2</v>
      </c>
      <c r="T123" s="0" t="n">
        <v>1</v>
      </c>
      <c r="U123" s="21" t="s">
        <v>848</v>
      </c>
      <c r="V123" s="21" t="s">
        <v>69</v>
      </c>
      <c r="W123" s="21" t="s">
        <v>239</v>
      </c>
      <c r="X123" s="0" t="n">
        <v>28.02</v>
      </c>
      <c r="Y123" s="0" t="n">
        <v>6.9</v>
      </c>
      <c r="Z123" s="0" t="n">
        <v>42.3</v>
      </c>
      <c r="AA123" s="21" t="s">
        <v>849</v>
      </c>
      <c r="AB123" s="21" t="s">
        <v>850</v>
      </c>
      <c r="AC123" s="21" t="s">
        <v>120</v>
      </c>
      <c r="AD123" s="0" t="n">
        <v>96</v>
      </c>
      <c r="AE123" s="22" t="b">
        <f aca="false">FALSE()</f>
        <v>0</v>
      </c>
      <c r="AF123" s="21" t="s">
        <v>121</v>
      </c>
      <c r="AG123" s="21" t="s">
        <v>851</v>
      </c>
    </row>
    <row r="124" customFormat="false" ht="15" hidden="false" customHeight="false" outlineLevel="0" collapsed="false">
      <c r="A124" s="0" t="s">
        <v>852</v>
      </c>
      <c r="B124" s="18" t="s">
        <v>109</v>
      </c>
      <c r="C124" s="19" t="s">
        <v>26</v>
      </c>
      <c r="D124" s="20" t="s">
        <v>31</v>
      </c>
      <c r="E124" s="21" t="s">
        <v>853</v>
      </c>
      <c r="G124" s="21" t="s">
        <v>111</v>
      </c>
      <c r="H124" s="21" t="s">
        <v>188</v>
      </c>
      <c r="I124" s="21" t="s">
        <v>113</v>
      </c>
      <c r="J124" s="21" t="s">
        <v>114</v>
      </c>
      <c r="K124" s="0" t="n">
        <v>8</v>
      </c>
      <c r="L124" s="0" t="n">
        <v>1</v>
      </c>
      <c r="M124" s="0" t="n">
        <v>4</v>
      </c>
      <c r="N124" s="0" t="n">
        <v>3</v>
      </c>
      <c r="O124" s="0" t="n">
        <v>0</v>
      </c>
      <c r="P124" s="0" t="n">
        <v>5</v>
      </c>
      <c r="Q124" s="0" t="n">
        <v>1</v>
      </c>
      <c r="R124" s="0" t="n">
        <v>1</v>
      </c>
      <c r="S124" s="0" t="n">
        <v>3</v>
      </c>
      <c r="T124" s="0" t="n">
        <v>3</v>
      </c>
      <c r="U124" s="21" t="s">
        <v>854</v>
      </c>
      <c r="V124" s="21" t="s">
        <v>69</v>
      </c>
      <c r="W124" s="21" t="s">
        <v>224</v>
      </c>
      <c r="X124" s="0" t="n">
        <v>2.35</v>
      </c>
      <c r="Y124" s="0" t="n">
        <v>22.5</v>
      </c>
      <c r="Z124" s="0" t="n">
        <v>74.5</v>
      </c>
      <c r="AA124" s="21" t="s">
        <v>855</v>
      </c>
      <c r="AB124" s="21" t="s">
        <v>856</v>
      </c>
      <c r="AC124" s="21" t="s">
        <v>120</v>
      </c>
      <c r="AD124" s="0" t="n">
        <v>196</v>
      </c>
      <c r="AE124" s="22" t="b">
        <f aca="false">FALSE()</f>
        <v>0</v>
      </c>
      <c r="AF124" s="21" t="s">
        <v>121</v>
      </c>
      <c r="AG124" s="21" t="s">
        <v>857</v>
      </c>
    </row>
    <row r="125" customFormat="false" ht="15" hidden="false" customHeight="false" outlineLevel="0" collapsed="false">
      <c r="A125" s="0" t="s">
        <v>858</v>
      </c>
      <c r="B125" s="20" t="s">
        <v>124</v>
      </c>
      <c r="E125" s="21" t="s">
        <v>306</v>
      </c>
      <c r="F125" s="21" t="s">
        <v>307</v>
      </c>
      <c r="G125" s="21" t="s">
        <v>127</v>
      </c>
      <c r="H125" s="21" t="s">
        <v>308</v>
      </c>
      <c r="I125" s="21" t="s">
        <v>113</v>
      </c>
      <c r="Z125" s="0" t="n">
        <v>0</v>
      </c>
      <c r="AA125" s="21" t="s">
        <v>859</v>
      </c>
      <c r="AB125" s="21" t="s">
        <v>859</v>
      </c>
      <c r="AE125" s="22" t="b">
        <f aca="false">FALSE()</f>
        <v>0</v>
      </c>
      <c r="AF125" s="21" t="s">
        <v>121</v>
      </c>
      <c r="AG125" s="21" t="s">
        <v>860</v>
      </c>
    </row>
    <row r="126" customFormat="false" ht="15" hidden="false" customHeight="false" outlineLevel="0" collapsed="false">
      <c r="A126" s="0" t="s">
        <v>861</v>
      </c>
      <c r="B126" s="20" t="s">
        <v>124</v>
      </c>
      <c r="E126" s="21" t="s">
        <v>552</v>
      </c>
      <c r="F126" s="21" t="s">
        <v>553</v>
      </c>
      <c r="G126" s="21" t="s">
        <v>127</v>
      </c>
      <c r="H126" s="21" t="s">
        <v>554</v>
      </c>
      <c r="I126" s="21" t="s">
        <v>113</v>
      </c>
      <c r="Z126" s="0" t="n">
        <v>0</v>
      </c>
      <c r="AA126" s="21" t="s">
        <v>862</v>
      </c>
      <c r="AB126" s="21" t="s">
        <v>862</v>
      </c>
      <c r="AE126" s="22" t="b">
        <f aca="false">FALSE()</f>
        <v>0</v>
      </c>
      <c r="AF126" s="21" t="s">
        <v>121</v>
      </c>
      <c r="AG126" s="21" t="s">
        <v>863</v>
      </c>
    </row>
    <row r="127" customFormat="false" ht="15" hidden="false" customHeight="false" outlineLevel="0" collapsed="false">
      <c r="A127" s="0" t="s">
        <v>864</v>
      </c>
      <c r="B127" s="20" t="s">
        <v>124</v>
      </c>
      <c r="E127" s="21" t="s">
        <v>552</v>
      </c>
      <c r="F127" s="21" t="s">
        <v>553</v>
      </c>
      <c r="G127" s="21" t="s">
        <v>111</v>
      </c>
      <c r="H127" s="21" t="s">
        <v>554</v>
      </c>
      <c r="I127" s="21" t="s">
        <v>113</v>
      </c>
      <c r="Z127" s="0" t="n">
        <v>0</v>
      </c>
      <c r="AA127" s="21" t="s">
        <v>865</v>
      </c>
      <c r="AB127" s="21" t="s">
        <v>865</v>
      </c>
      <c r="AE127" s="22" t="b">
        <f aca="false">FALSE()</f>
        <v>0</v>
      </c>
      <c r="AF127" s="21" t="s">
        <v>121</v>
      </c>
      <c r="AG127" s="21" t="s">
        <v>866</v>
      </c>
    </row>
    <row r="128" customFormat="false" ht="15" hidden="false" customHeight="false" outlineLevel="0" collapsed="false">
      <c r="A128" s="0" t="s">
        <v>867</v>
      </c>
      <c r="B128" s="18" t="s">
        <v>109</v>
      </c>
      <c r="C128" s="20" t="s">
        <v>25</v>
      </c>
      <c r="D128" s="23" t="s">
        <v>30</v>
      </c>
      <c r="E128" s="21" t="s">
        <v>868</v>
      </c>
      <c r="G128" s="21" t="s">
        <v>111</v>
      </c>
      <c r="H128" s="21" t="s">
        <v>869</v>
      </c>
      <c r="I128" s="21" t="s">
        <v>113</v>
      </c>
      <c r="J128" s="21" t="s">
        <v>134</v>
      </c>
      <c r="K128" s="0" t="n">
        <v>4</v>
      </c>
      <c r="L128" s="0" t="n">
        <v>1</v>
      </c>
      <c r="M128" s="0" t="n">
        <v>3</v>
      </c>
      <c r="N128" s="0" t="n">
        <v>0</v>
      </c>
      <c r="O128" s="0" t="n">
        <v>0</v>
      </c>
      <c r="P128" s="0" t="n">
        <v>4</v>
      </c>
      <c r="Q128" s="0" t="n">
        <v>1</v>
      </c>
      <c r="R128" s="0" t="n">
        <v>0</v>
      </c>
      <c r="S128" s="0" t="n">
        <v>3</v>
      </c>
      <c r="T128" s="0" t="n">
        <v>0</v>
      </c>
      <c r="U128" s="21" t="s">
        <v>870</v>
      </c>
      <c r="V128" s="21" t="s">
        <v>69</v>
      </c>
      <c r="W128" s="21" t="s">
        <v>357</v>
      </c>
      <c r="X128" s="0" t="n">
        <v>4.92</v>
      </c>
      <c r="Y128" s="0" t="n">
        <v>9.2</v>
      </c>
      <c r="Z128" s="0" t="n">
        <v>43.5</v>
      </c>
      <c r="AA128" s="21" t="s">
        <v>871</v>
      </c>
      <c r="AB128" s="21" t="s">
        <v>872</v>
      </c>
      <c r="AC128" s="21" t="s">
        <v>120</v>
      </c>
      <c r="AD128" s="0" t="n">
        <v>98</v>
      </c>
      <c r="AE128" s="22" t="b">
        <f aca="false">FALSE()</f>
        <v>0</v>
      </c>
      <c r="AF128" s="21" t="s">
        <v>121</v>
      </c>
      <c r="AG128" s="21" t="s">
        <v>873</v>
      </c>
    </row>
    <row r="129" customFormat="false" ht="15" hidden="false" customHeight="false" outlineLevel="0" collapsed="false">
      <c r="A129" s="0" t="s">
        <v>874</v>
      </c>
      <c r="B129" s="18" t="s">
        <v>109</v>
      </c>
      <c r="C129" s="20" t="s">
        <v>25</v>
      </c>
      <c r="D129" s="23" t="s">
        <v>30</v>
      </c>
      <c r="E129" s="21" t="s">
        <v>875</v>
      </c>
      <c r="G129" s="21" t="s">
        <v>127</v>
      </c>
      <c r="H129" s="21" t="s">
        <v>352</v>
      </c>
      <c r="I129" s="21" t="s">
        <v>113</v>
      </c>
      <c r="J129" s="21" t="s">
        <v>134</v>
      </c>
      <c r="K129" s="0" t="n">
        <v>4</v>
      </c>
      <c r="L129" s="0" t="n">
        <v>1</v>
      </c>
      <c r="M129" s="0" t="n">
        <v>3</v>
      </c>
      <c r="N129" s="0" t="n">
        <v>0</v>
      </c>
      <c r="O129" s="0" t="n">
        <v>0</v>
      </c>
      <c r="P129" s="0" t="n">
        <v>4</v>
      </c>
      <c r="Q129" s="0" t="n">
        <v>1</v>
      </c>
      <c r="R129" s="0" t="n">
        <v>2</v>
      </c>
      <c r="S129" s="0" t="n">
        <v>1</v>
      </c>
      <c r="T129" s="0" t="n">
        <v>0</v>
      </c>
      <c r="U129" s="21" t="s">
        <v>375</v>
      </c>
      <c r="V129" s="21" t="s">
        <v>69</v>
      </c>
      <c r="W129" s="21" t="s">
        <v>163</v>
      </c>
      <c r="X129" s="0" t="n">
        <v>0.9</v>
      </c>
      <c r="Y129" s="0" t="n">
        <v>12.6</v>
      </c>
      <c r="Z129" s="0" t="n">
        <v>42.3</v>
      </c>
      <c r="AA129" s="21" t="s">
        <v>876</v>
      </c>
      <c r="AB129" s="21" t="s">
        <v>877</v>
      </c>
      <c r="AC129" s="21" t="s">
        <v>120</v>
      </c>
      <c r="AD129" s="0" t="n">
        <v>98</v>
      </c>
      <c r="AE129" s="22" t="b">
        <f aca="false">FALSE()</f>
        <v>0</v>
      </c>
      <c r="AF129" s="21" t="s">
        <v>121</v>
      </c>
      <c r="AG129" s="21" t="s">
        <v>878</v>
      </c>
    </row>
    <row r="130" customFormat="false" ht="15" hidden="false" customHeight="false" outlineLevel="0" collapsed="false">
      <c r="A130" s="0" t="s">
        <v>879</v>
      </c>
      <c r="B130" s="18" t="s">
        <v>109</v>
      </c>
      <c r="C130" s="20" t="s">
        <v>25</v>
      </c>
      <c r="D130" s="23" t="s">
        <v>30</v>
      </c>
      <c r="E130" s="21" t="s">
        <v>880</v>
      </c>
      <c r="G130" s="21" t="s">
        <v>111</v>
      </c>
      <c r="H130" s="21" t="s">
        <v>390</v>
      </c>
      <c r="I130" s="21" t="s">
        <v>171</v>
      </c>
      <c r="J130" s="21" t="s">
        <v>114</v>
      </c>
      <c r="K130" s="0" t="n">
        <v>8</v>
      </c>
      <c r="L130" s="0" t="n">
        <v>1</v>
      </c>
      <c r="M130" s="0" t="n">
        <v>7</v>
      </c>
      <c r="N130" s="0" t="n">
        <v>0</v>
      </c>
      <c r="O130" s="0" t="n">
        <v>0</v>
      </c>
      <c r="P130" s="0" t="n">
        <v>8</v>
      </c>
      <c r="Q130" s="0" t="n">
        <v>0</v>
      </c>
      <c r="R130" s="0" t="n">
        <v>0</v>
      </c>
      <c r="S130" s="0" t="n">
        <v>8</v>
      </c>
      <c r="T130" s="0" t="n">
        <v>0</v>
      </c>
      <c r="U130" s="21" t="s">
        <v>881</v>
      </c>
      <c r="V130" s="21" t="s">
        <v>69</v>
      </c>
      <c r="W130" s="21" t="s">
        <v>163</v>
      </c>
      <c r="X130" s="0" t="n">
        <v>3.79</v>
      </c>
      <c r="Y130" s="0" t="n">
        <v>17</v>
      </c>
      <c r="Z130" s="0" t="n">
        <v>87.3</v>
      </c>
      <c r="AA130" s="21" t="s">
        <v>882</v>
      </c>
      <c r="AB130" s="21" t="s">
        <v>883</v>
      </c>
      <c r="AC130" s="21" t="s">
        <v>120</v>
      </c>
      <c r="AD130" s="0" t="n">
        <v>192</v>
      </c>
      <c r="AE130" s="22" t="b">
        <f aca="false">FALSE()</f>
        <v>0</v>
      </c>
      <c r="AF130" s="21" t="s">
        <v>121</v>
      </c>
      <c r="AG130" s="21" t="s">
        <v>884</v>
      </c>
    </row>
    <row r="131" customFormat="false" ht="15" hidden="false" customHeight="false" outlineLevel="0" collapsed="false">
      <c r="A131" s="0" t="s">
        <v>885</v>
      </c>
      <c r="B131" s="18" t="s">
        <v>109</v>
      </c>
      <c r="C131" s="20" t="s">
        <v>25</v>
      </c>
      <c r="D131" s="23" t="s">
        <v>30</v>
      </c>
      <c r="E131" s="21" t="s">
        <v>886</v>
      </c>
      <c r="G131" s="21" t="s">
        <v>127</v>
      </c>
      <c r="H131" s="21" t="s">
        <v>887</v>
      </c>
      <c r="I131" s="21" t="s">
        <v>113</v>
      </c>
      <c r="J131" s="21" t="s">
        <v>134</v>
      </c>
      <c r="K131" s="0" t="n">
        <v>4</v>
      </c>
      <c r="L131" s="0" t="n">
        <v>2</v>
      </c>
      <c r="M131" s="0" t="n">
        <v>2</v>
      </c>
      <c r="N131" s="0" t="n">
        <v>0</v>
      </c>
      <c r="O131" s="0" t="n">
        <v>0</v>
      </c>
      <c r="P131" s="0" t="n">
        <v>4</v>
      </c>
      <c r="Q131" s="0" t="n">
        <v>1</v>
      </c>
      <c r="R131" s="0" t="n">
        <v>0</v>
      </c>
      <c r="S131" s="0" t="n">
        <v>3</v>
      </c>
      <c r="T131" s="0" t="n">
        <v>0</v>
      </c>
      <c r="U131" s="21" t="s">
        <v>888</v>
      </c>
      <c r="V131" s="21" t="s">
        <v>69</v>
      </c>
      <c r="W131" s="21" t="s">
        <v>283</v>
      </c>
      <c r="X131" s="0" t="n">
        <v>3.44</v>
      </c>
      <c r="Y131" s="0" t="n">
        <v>15.5</v>
      </c>
      <c r="Z131" s="0" t="n">
        <v>42</v>
      </c>
      <c r="AA131" s="21" t="s">
        <v>889</v>
      </c>
      <c r="AB131" s="21" t="s">
        <v>890</v>
      </c>
      <c r="AC131" s="21" t="s">
        <v>120</v>
      </c>
      <c r="AD131" s="0" t="n">
        <v>95</v>
      </c>
      <c r="AE131" s="22" t="b">
        <f aca="false">FALSE()</f>
        <v>0</v>
      </c>
      <c r="AF131" s="21" t="s">
        <v>121</v>
      </c>
      <c r="AG131" s="21" t="s">
        <v>891</v>
      </c>
    </row>
    <row r="132" customFormat="false" ht="15" hidden="false" customHeight="false" outlineLevel="0" collapsed="false">
      <c r="A132" s="0" t="s">
        <v>892</v>
      </c>
      <c r="B132" s="20" t="s">
        <v>124</v>
      </c>
      <c r="E132" s="21" t="s">
        <v>727</v>
      </c>
      <c r="F132" s="21" t="s">
        <v>728</v>
      </c>
      <c r="G132" s="21" t="s">
        <v>111</v>
      </c>
      <c r="H132" s="21" t="s">
        <v>729</v>
      </c>
      <c r="I132" s="21" t="s">
        <v>113</v>
      </c>
      <c r="Z132" s="0" t="n">
        <v>0</v>
      </c>
      <c r="AA132" s="21" t="s">
        <v>893</v>
      </c>
      <c r="AB132" s="21" t="s">
        <v>893</v>
      </c>
      <c r="AE132" s="22" t="b">
        <f aca="false">FALSE()</f>
        <v>0</v>
      </c>
      <c r="AF132" s="21" t="s">
        <v>121</v>
      </c>
      <c r="AG132" s="21" t="s">
        <v>894</v>
      </c>
    </row>
    <row r="133" customFormat="false" ht="15" hidden="false" customHeight="false" outlineLevel="0" collapsed="false">
      <c r="A133" s="0" t="s">
        <v>895</v>
      </c>
      <c r="B133" s="18" t="s">
        <v>109</v>
      </c>
      <c r="C133" s="19" t="s">
        <v>26</v>
      </c>
      <c r="D133" s="20" t="s">
        <v>31</v>
      </c>
      <c r="E133" s="21" t="s">
        <v>896</v>
      </c>
      <c r="G133" s="21" t="s">
        <v>127</v>
      </c>
      <c r="H133" s="21" t="s">
        <v>575</v>
      </c>
      <c r="I133" s="21" t="s">
        <v>113</v>
      </c>
      <c r="J133" s="21" t="s">
        <v>134</v>
      </c>
      <c r="K133" s="0" t="n">
        <v>4</v>
      </c>
      <c r="L133" s="0" t="n">
        <v>3</v>
      </c>
      <c r="M133" s="0" t="n">
        <v>0</v>
      </c>
      <c r="N133" s="0" t="n">
        <v>1</v>
      </c>
      <c r="O133" s="0" t="n">
        <v>0</v>
      </c>
      <c r="P133" s="0" t="n">
        <v>3</v>
      </c>
      <c r="Q133" s="0" t="n">
        <v>0</v>
      </c>
      <c r="R133" s="0" t="n">
        <v>0</v>
      </c>
      <c r="S133" s="0" t="n">
        <v>3</v>
      </c>
      <c r="T133" s="0" t="n">
        <v>1</v>
      </c>
      <c r="U133" s="21" t="s">
        <v>897</v>
      </c>
      <c r="V133" s="21" t="s">
        <v>69</v>
      </c>
      <c r="W133" s="21" t="s">
        <v>136</v>
      </c>
      <c r="X133" s="0" t="n">
        <v>3.58</v>
      </c>
      <c r="Y133" s="0" t="n">
        <v>11</v>
      </c>
      <c r="Z133" s="0" t="n">
        <v>42.5</v>
      </c>
      <c r="AA133" s="21" t="s">
        <v>898</v>
      </c>
      <c r="AB133" s="21" t="s">
        <v>899</v>
      </c>
      <c r="AC133" s="21" t="s">
        <v>120</v>
      </c>
      <c r="AD133" s="0" t="n">
        <v>95</v>
      </c>
      <c r="AE133" s="22" t="b">
        <f aca="false">FALSE()</f>
        <v>0</v>
      </c>
      <c r="AF133" s="21" t="s">
        <v>121</v>
      </c>
      <c r="AG133" s="21" t="s">
        <v>900</v>
      </c>
    </row>
    <row r="134" customFormat="false" ht="15" hidden="false" customHeight="false" outlineLevel="0" collapsed="false">
      <c r="A134" s="0" t="s">
        <v>901</v>
      </c>
      <c r="B134" s="20" t="s">
        <v>124</v>
      </c>
      <c r="E134" s="21" t="s">
        <v>243</v>
      </c>
      <c r="F134" s="21" t="s">
        <v>244</v>
      </c>
      <c r="G134" s="21" t="s">
        <v>111</v>
      </c>
      <c r="H134" s="21" t="s">
        <v>245</v>
      </c>
      <c r="I134" s="21" t="s">
        <v>113</v>
      </c>
      <c r="Z134" s="0" t="n">
        <v>0</v>
      </c>
      <c r="AA134" s="21" t="s">
        <v>902</v>
      </c>
      <c r="AB134" s="21" t="s">
        <v>902</v>
      </c>
      <c r="AE134" s="22" t="b">
        <f aca="false">FALSE()</f>
        <v>0</v>
      </c>
      <c r="AF134" s="21" t="s">
        <v>121</v>
      </c>
      <c r="AG134" s="21" t="s">
        <v>903</v>
      </c>
    </row>
    <row r="135" customFormat="false" ht="15" hidden="false" customHeight="false" outlineLevel="0" collapsed="false">
      <c r="A135" s="0" t="s">
        <v>904</v>
      </c>
      <c r="B135" s="18" t="s">
        <v>109</v>
      </c>
      <c r="C135" s="19" t="s">
        <v>26</v>
      </c>
      <c r="D135" s="20" t="s">
        <v>31</v>
      </c>
      <c r="E135" s="21" t="s">
        <v>905</v>
      </c>
      <c r="G135" s="21" t="s">
        <v>111</v>
      </c>
      <c r="H135" s="21" t="s">
        <v>142</v>
      </c>
      <c r="I135" s="21" t="s">
        <v>113</v>
      </c>
      <c r="J135" s="21" t="s">
        <v>134</v>
      </c>
      <c r="K135" s="0" t="n">
        <v>4</v>
      </c>
      <c r="L135" s="0" t="n">
        <v>2</v>
      </c>
      <c r="M135" s="0" t="n">
        <v>0</v>
      </c>
      <c r="N135" s="0" t="n">
        <v>2</v>
      </c>
      <c r="O135" s="0" t="n">
        <v>0</v>
      </c>
      <c r="P135" s="0" t="n">
        <v>2</v>
      </c>
      <c r="Q135" s="0" t="n">
        <v>1</v>
      </c>
      <c r="R135" s="0" t="n">
        <v>0</v>
      </c>
      <c r="S135" s="0" t="n">
        <v>1</v>
      </c>
      <c r="T135" s="0" t="n">
        <v>2</v>
      </c>
      <c r="U135" s="21" t="s">
        <v>906</v>
      </c>
      <c r="V135" s="21" t="s">
        <v>116</v>
      </c>
      <c r="W135" s="21" t="s">
        <v>907</v>
      </c>
      <c r="X135" s="0" t="n">
        <v>5.79</v>
      </c>
      <c r="Y135" s="0" t="n">
        <v>2.3</v>
      </c>
      <c r="Z135" s="0" t="n">
        <v>42.1</v>
      </c>
      <c r="AA135" s="21" t="s">
        <v>908</v>
      </c>
      <c r="AB135" s="21" t="s">
        <v>909</v>
      </c>
      <c r="AC135" s="21" t="s">
        <v>120</v>
      </c>
      <c r="AD135" s="0" t="n">
        <v>97</v>
      </c>
      <c r="AE135" s="22" t="b">
        <f aca="false">FALSE()</f>
        <v>0</v>
      </c>
      <c r="AF135" s="21" t="s">
        <v>121</v>
      </c>
      <c r="AG135" s="21" t="s">
        <v>910</v>
      </c>
    </row>
    <row r="136" customFormat="false" ht="15" hidden="false" customHeight="false" outlineLevel="0" collapsed="false">
      <c r="A136" s="0" t="s">
        <v>911</v>
      </c>
      <c r="B136" s="18" t="s">
        <v>109</v>
      </c>
      <c r="C136" s="19" t="s">
        <v>26</v>
      </c>
      <c r="D136" s="20" t="s">
        <v>31</v>
      </c>
      <c r="E136" s="21" t="s">
        <v>912</v>
      </c>
      <c r="G136" s="21" t="s">
        <v>127</v>
      </c>
      <c r="H136" s="21" t="s">
        <v>343</v>
      </c>
      <c r="I136" s="21" t="s">
        <v>113</v>
      </c>
      <c r="J136" s="21" t="s">
        <v>114</v>
      </c>
      <c r="K136" s="0" t="n">
        <v>8</v>
      </c>
      <c r="L136" s="0" t="n">
        <v>1</v>
      </c>
      <c r="M136" s="0" t="n">
        <v>5</v>
      </c>
      <c r="N136" s="0" t="n">
        <v>2</v>
      </c>
      <c r="O136" s="0" t="n">
        <v>0</v>
      </c>
      <c r="P136" s="0" t="n">
        <v>6</v>
      </c>
      <c r="Q136" s="0" t="n">
        <v>0</v>
      </c>
      <c r="R136" s="0" t="n">
        <v>0</v>
      </c>
      <c r="S136" s="0" t="n">
        <v>6</v>
      </c>
      <c r="T136" s="0" t="n">
        <v>2</v>
      </c>
      <c r="U136" s="21" t="s">
        <v>913</v>
      </c>
      <c r="V136" s="21" t="s">
        <v>69</v>
      </c>
      <c r="W136" s="21" t="s">
        <v>301</v>
      </c>
      <c r="X136" s="0" t="n">
        <v>2.76</v>
      </c>
      <c r="Y136" s="0" t="n">
        <v>21.2</v>
      </c>
      <c r="Z136" s="0" t="n">
        <v>247.5</v>
      </c>
      <c r="AA136" s="21" t="s">
        <v>914</v>
      </c>
      <c r="AB136" s="21" t="s">
        <v>915</v>
      </c>
      <c r="AC136" s="21" t="s">
        <v>120</v>
      </c>
      <c r="AD136" s="0" t="n">
        <v>195</v>
      </c>
      <c r="AE136" s="22" t="b">
        <f aca="false">FALSE()</f>
        <v>0</v>
      </c>
      <c r="AF136" s="21" t="s">
        <v>121</v>
      </c>
      <c r="AG136" s="21" t="s">
        <v>916</v>
      </c>
    </row>
    <row r="137" customFormat="false" ht="15" hidden="false" customHeight="false" outlineLevel="0" collapsed="false">
      <c r="A137" s="0" t="s">
        <v>917</v>
      </c>
      <c r="B137" s="18" t="s">
        <v>109</v>
      </c>
      <c r="C137" s="19" t="s">
        <v>26</v>
      </c>
      <c r="D137" s="20" t="s">
        <v>31</v>
      </c>
      <c r="E137" s="21" t="s">
        <v>918</v>
      </c>
      <c r="G137" s="21" t="s">
        <v>111</v>
      </c>
      <c r="H137" s="21" t="s">
        <v>142</v>
      </c>
      <c r="I137" s="21" t="s">
        <v>113</v>
      </c>
      <c r="J137" s="21" t="s">
        <v>134</v>
      </c>
      <c r="K137" s="0" t="n">
        <v>4</v>
      </c>
      <c r="L137" s="0" t="n">
        <v>1</v>
      </c>
      <c r="M137" s="0" t="n">
        <v>2</v>
      </c>
      <c r="N137" s="0" t="n">
        <v>1</v>
      </c>
      <c r="O137" s="0" t="n">
        <v>0</v>
      </c>
      <c r="P137" s="0" t="n">
        <v>3</v>
      </c>
      <c r="Q137" s="0" t="n">
        <v>0</v>
      </c>
      <c r="R137" s="0" t="n">
        <v>0</v>
      </c>
      <c r="S137" s="0" t="n">
        <v>3</v>
      </c>
      <c r="T137" s="0" t="n">
        <v>1</v>
      </c>
      <c r="U137" s="21" t="s">
        <v>919</v>
      </c>
      <c r="V137" s="21" t="s">
        <v>69</v>
      </c>
      <c r="W137" s="21" t="s">
        <v>136</v>
      </c>
      <c r="X137" s="0" t="n">
        <v>8.18</v>
      </c>
      <c r="Y137" s="0" t="n">
        <v>6.9</v>
      </c>
      <c r="Z137" s="0" t="n">
        <v>42.2</v>
      </c>
      <c r="AA137" s="21" t="s">
        <v>920</v>
      </c>
      <c r="AB137" s="21" t="s">
        <v>921</v>
      </c>
      <c r="AC137" s="21" t="s">
        <v>120</v>
      </c>
      <c r="AD137" s="0" t="n">
        <v>96</v>
      </c>
      <c r="AE137" s="22" t="b">
        <f aca="false">FALSE()</f>
        <v>0</v>
      </c>
      <c r="AF137" s="21" t="s">
        <v>121</v>
      </c>
      <c r="AG137" s="21" t="s">
        <v>922</v>
      </c>
    </row>
    <row r="138" customFormat="false" ht="15" hidden="false" customHeight="false" outlineLevel="0" collapsed="false">
      <c r="A138" s="0" t="s">
        <v>923</v>
      </c>
      <c r="B138" s="18" t="s">
        <v>109</v>
      </c>
      <c r="C138" s="20" t="s">
        <v>25</v>
      </c>
      <c r="D138" s="23" t="s">
        <v>30</v>
      </c>
      <c r="E138" s="21" t="s">
        <v>924</v>
      </c>
      <c r="G138" s="21" t="s">
        <v>127</v>
      </c>
      <c r="H138" s="21" t="s">
        <v>568</v>
      </c>
      <c r="I138" s="21" t="s">
        <v>113</v>
      </c>
      <c r="J138" s="21" t="s">
        <v>114</v>
      </c>
      <c r="K138" s="0" t="n">
        <v>8</v>
      </c>
      <c r="L138" s="0" t="n">
        <v>3</v>
      </c>
      <c r="M138" s="0" t="n">
        <v>5</v>
      </c>
      <c r="N138" s="0" t="n">
        <v>0</v>
      </c>
      <c r="O138" s="0" t="n">
        <v>0</v>
      </c>
      <c r="P138" s="0" t="n">
        <v>8</v>
      </c>
      <c r="Q138" s="0" t="n">
        <v>2</v>
      </c>
      <c r="R138" s="0" t="n">
        <v>3</v>
      </c>
      <c r="S138" s="0" t="n">
        <v>3</v>
      </c>
      <c r="T138" s="0" t="n">
        <v>0</v>
      </c>
      <c r="U138" s="21" t="s">
        <v>925</v>
      </c>
      <c r="V138" s="21" t="s">
        <v>69</v>
      </c>
      <c r="W138" s="21" t="s">
        <v>157</v>
      </c>
      <c r="X138" s="0" t="n">
        <v>2.33</v>
      </c>
      <c r="Y138" s="0" t="n">
        <v>15.4</v>
      </c>
      <c r="Z138" s="0" t="n">
        <v>77.6</v>
      </c>
      <c r="AA138" s="21" t="s">
        <v>926</v>
      </c>
      <c r="AB138" s="21" t="s">
        <v>927</v>
      </c>
      <c r="AC138" s="21" t="s">
        <v>120</v>
      </c>
      <c r="AD138" s="0" t="n">
        <v>197</v>
      </c>
      <c r="AE138" s="22" t="b">
        <f aca="false">FALSE()</f>
        <v>0</v>
      </c>
      <c r="AF138" s="21" t="s">
        <v>121</v>
      </c>
      <c r="AG138" s="21" t="s">
        <v>928</v>
      </c>
    </row>
    <row r="139" customFormat="false" ht="15" hidden="false" customHeight="false" outlineLevel="0" collapsed="false">
      <c r="A139" s="0" t="s">
        <v>929</v>
      </c>
      <c r="B139" s="20" t="s">
        <v>124</v>
      </c>
      <c r="E139" s="21" t="s">
        <v>930</v>
      </c>
      <c r="F139" s="21" t="s">
        <v>931</v>
      </c>
      <c r="G139" s="21" t="s">
        <v>111</v>
      </c>
      <c r="H139" s="21" t="s">
        <v>188</v>
      </c>
      <c r="I139" s="21" t="s">
        <v>113</v>
      </c>
      <c r="Z139" s="0" t="n">
        <v>0</v>
      </c>
      <c r="AA139" s="21" t="s">
        <v>932</v>
      </c>
      <c r="AB139" s="21" t="s">
        <v>932</v>
      </c>
      <c r="AE139" s="22" t="b">
        <f aca="false">FALSE()</f>
        <v>0</v>
      </c>
      <c r="AF139" s="21" t="s">
        <v>121</v>
      </c>
      <c r="AG139" s="21" t="s">
        <v>933</v>
      </c>
    </row>
    <row r="140" customFormat="false" ht="15" hidden="false" customHeight="false" outlineLevel="0" collapsed="false">
      <c r="A140" s="0" t="s">
        <v>934</v>
      </c>
      <c r="B140" s="20" t="s">
        <v>124</v>
      </c>
      <c r="E140" s="21" t="s">
        <v>125</v>
      </c>
      <c r="F140" s="21" t="s">
        <v>126</v>
      </c>
      <c r="G140" s="21" t="s">
        <v>127</v>
      </c>
      <c r="H140" s="21" t="s">
        <v>128</v>
      </c>
      <c r="I140" s="21" t="s">
        <v>113</v>
      </c>
      <c r="Z140" s="0" t="n">
        <v>0</v>
      </c>
      <c r="AA140" s="21" t="s">
        <v>935</v>
      </c>
      <c r="AB140" s="21" t="s">
        <v>935</v>
      </c>
      <c r="AE140" s="22" t="b">
        <f aca="false">FALSE()</f>
        <v>0</v>
      </c>
      <c r="AF140" s="21" t="s">
        <v>121</v>
      </c>
      <c r="AG140" s="21" t="s">
        <v>936</v>
      </c>
    </row>
    <row r="141" customFormat="false" ht="15" hidden="false" customHeight="false" outlineLevel="0" collapsed="false">
      <c r="A141" s="0" t="s">
        <v>937</v>
      </c>
      <c r="B141" s="18" t="s">
        <v>109</v>
      </c>
      <c r="C141" s="19" t="s">
        <v>26</v>
      </c>
      <c r="D141" s="20" t="s">
        <v>31</v>
      </c>
      <c r="E141" s="21" t="s">
        <v>938</v>
      </c>
      <c r="G141" s="21" t="s">
        <v>111</v>
      </c>
      <c r="H141" s="21" t="s">
        <v>495</v>
      </c>
      <c r="I141" s="21" t="s">
        <v>113</v>
      </c>
      <c r="J141" s="21" t="s">
        <v>134</v>
      </c>
      <c r="K141" s="0" t="n">
        <v>4</v>
      </c>
      <c r="L141" s="0" t="n">
        <v>0</v>
      </c>
      <c r="M141" s="0" t="n">
        <v>3</v>
      </c>
      <c r="N141" s="0" t="n">
        <v>1</v>
      </c>
      <c r="O141" s="0" t="n">
        <v>0</v>
      </c>
      <c r="P141" s="0" t="n">
        <v>3</v>
      </c>
      <c r="Q141" s="0" t="n">
        <v>0</v>
      </c>
      <c r="R141" s="0" t="n">
        <v>0</v>
      </c>
      <c r="S141" s="0" t="n">
        <v>3</v>
      </c>
      <c r="T141" s="0" t="n">
        <v>1</v>
      </c>
      <c r="U141" s="21" t="s">
        <v>939</v>
      </c>
      <c r="V141" s="21" t="s">
        <v>69</v>
      </c>
      <c r="W141" s="21" t="s">
        <v>239</v>
      </c>
      <c r="X141" s="0" t="n">
        <v>0.47</v>
      </c>
      <c r="Y141" s="0" t="n">
        <v>9.8</v>
      </c>
      <c r="Z141" s="0" t="n">
        <v>51.1</v>
      </c>
      <c r="AA141" s="21" t="s">
        <v>940</v>
      </c>
      <c r="AB141" s="21" t="s">
        <v>941</v>
      </c>
      <c r="AC141" s="21" t="s">
        <v>120</v>
      </c>
      <c r="AD141" s="0" t="n">
        <v>96</v>
      </c>
      <c r="AE141" s="22" t="b">
        <f aca="false">FALSE()</f>
        <v>0</v>
      </c>
      <c r="AF141" s="21" t="s">
        <v>121</v>
      </c>
      <c r="AG141" s="21" t="s">
        <v>942</v>
      </c>
    </row>
    <row r="142" customFormat="false" ht="15" hidden="false" customHeight="false" outlineLevel="0" collapsed="false">
      <c r="A142" s="0" t="s">
        <v>943</v>
      </c>
      <c r="B142" s="20" t="s">
        <v>124</v>
      </c>
      <c r="E142" s="21" t="s">
        <v>211</v>
      </c>
      <c r="F142" s="21" t="s">
        <v>212</v>
      </c>
      <c r="G142" s="21" t="s">
        <v>111</v>
      </c>
      <c r="H142" s="21" t="s">
        <v>213</v>
      </c>
      <c r="I142" s="21" t="s">
        <v>113</v>
      </c>
      <c r="Z142" s="0" t="n">
        <v>0</v>
      </c>
      <c r="AA142" s="21" t="s">
        <v>944</v>
      </c>
      <c r="AB142" s="21" t="s">
        <v>944</v>
      </c>
      <c r="AE142" s="22" t="b">
        <f aca="false">FALSE()</f>
        <v>0</v>
      </c>
      <c r="AF142" s="21" t="s">
        <v>121</v>
      </c>
      <c r="AG142" s="21" t="s">
        <v>945</v>
      </c>
    </row>
    <row r="143" customFormat="false" ht="15" hidden="false" customHeight="false" outlineLevel="0" collapsed="false">
      <c r="A143" s="0" t="s">
        <v>946</v>
      </c>
      <c r="B143" s="20" t="s">
        <v>124</v>
      </c>
      <c r="E143" s="21" t="s">
        <v>947</v>
      </c>
      <c r="F143" s="21" t="s">
        <v>948</v>
      </c>
      <c r="G143" s="21" t="s">
        <v>111</v>
      </c>
      <c r="H143" s="21" t="s">
        <v>181</v>
      </c>
      <c r="I143" s="21" t="s">
        <v>113</v>
      </c>
      <c r="Z143" s="0" t="n">
        <v>0</v>
      </c>
      <c r="AA143" s="21" t="s">
        <v>949</v>
      </c>
      <c r="AB143" s="21" t="s">
        <v>949</v>
      </c>
      <c r="AE143" s="22" t="b">
        <f aca="false">FALSE()</f>
        <v>0</v>
      </c>
      <c r="AF143" s="21" t="s">
        <v>121</v>
      </c>
      <c r="AG143" s="21" t="s">
        <v>950</v>
      </c>
    </row>
    <row r="144" customFormat="false" ht="15" hidden="false" customHeight="false" outlineLevel="0" collapsed="false">
      <c r="A144" s="0" t="s">
        <v>951</v>
      </c>
      <c r="B144" s="18" t="s">
        <v>109</v>
      </c>
      <c r="C144" s="19" t="s">
        <v>26</v>
      </c>
      <c r="D144" s="20" t="s">
        <v>31</v>
      </c>
      <c r="E144" s="21" t="s">
        <v>952</v>
      </c>
      <c r="G144" s="21" t="s">
        <v>127</v>
      </c>
      <c r="H144" s="21" t="s">
        <v>953</v>
      </c>
      <c r="I144" s="21" t="s">
        <v>113</v>
      </c>
      <c r="J144" s="21" t="s">
        <v>114</v>
      </c>
      <c r="K144" s="0" t="n">
        <v>8</v>
      </c>
      <c r="L144" s="0" t="n">
        <v>2</v>
      </c>
      <c r="M144" s="0" t="n">
        <v>3</v>
      </c>
      <c r="N144" s="0" t="n">
        <v>3</v>
      </c>
      <c r="O144" s="0" t="n">
        <v>0</v>
      </c>
      <c r="P144" s="0" t="n">
        <v>5</v>
      </c>
      <c r="Q144" s="0" t="n">
        <v>0</v>
      </c>
      <c r="R144" s="0" t="n">
        <v>1</v>
      </c>
      <c r="S144" s="0" t="n">
        <v>4</v>
      </c>
      <c r="T144" s="0" t="n">
        <v>3</v>
      </c>
      <c r="U144" s="21" t="s">
        <v>954</v>
      </c>
      <c r="V144" s="21" t="s">
        <v>69</v>
      </c>
      <c r="W144" s="21" t="s">
        <v>313</v>
      </c>
      <c r="X144" s="0" t="n">
        <v>3.71</v>
      </c>
      <c r="Y144" s="0" t="n">
        <v>20</v>
      </c>
      <c r="Z144" s="0" t="n">
        <v>76.1</v>
      </c>
      <c r="AA144" s="21" t="s">
        <v>955</v>
      </c>
      <c r="AB144" s="21" t="s">
        <v>956</v>
      </c>
      <c r="AC144" s="21" t="s">
        <v>120</v>
      </c>
      <c r="AD144" s="0" t="n">
        <v>194</v>
      </c>
      <c r="AE144" s="22" t="b">
        <f aca="false">FALSE()</f>
        <v>0</v>
      </c>
      <c r="AF144" s="21" t="s">
        <v>121</v>
      </c>
      <c r="AG144" s="21" t="s">
        <v>957</v>
      </c>
    </row>
    <row r="145" customFormat="false" ht="15" hidden="false" customHeight="false" outlineLevel="0" collapsed="false">
      <c r="A145" s="0" t="s">
        <v>958</v>
      </c>
      <c r="B145" s="18" t="s">
        <v>109</v>
      </c>
      <c r="C145" s="20" t="s">
        <v>25</v>
      </c>
      <c r="D145" s="23" t="s">
        <v>30</v>
      </c>
      <c r="E145" s="21" t="s">
        <v>959</v>
      </c>
      <c r="G145" s="21" t="s">
        <v>111</v>
      </c>
      <c r="H145" s="21" t="s">
        <v>887</v>
      </c>
      <c r="I145" s="21" t="s">
        <v>113</v>
      </c>
      <c r="J145" s="21" t="s">
        <v>134</v>
      </c>
      <c r="K145" s="0" t="n">
        <v>4</v>
      </c>
      <c r="L145" s="0" t="n">
        <v>1</v>
      </c>
      <c r="M145" s="0" t="n">
        <v>3</v>
      </c>
      <c r="N145" s="0" t="n">
        <v>0</v>
      </c>
      <c r="O145" s="0" t="n">
        <v>0</v>
      </c>
      <c r="P145" s="0" t="n">
        <v>4</v>
      </c>
      <c r="Q145" s="0" t="n">
        <v>0</v>
      </c>
      <c r="R145" s="0" t="n">
        <v>0</v>
      </c>
      <c r="S145" s="0" t="n">
        <v>4</v>
      </c>
      <c r="T145" s="0" t="n">
        <v>0</v>
      </c>
      <c r="U145" s="21" t="s">
        <v>960</v>
      </c>
      <c r="V145" s="21" t="s">
        <v>69</v>
      </c>
      <c r="W145" s="21" t="s">
        <v>183</v>
      </c>
      <c r="X145" s="0" t="n">
        <v>3.56</v>
      </c>
      <c r="Y145" s="0" t="n">
        <v>21.8</v>
      </c>
      <c r="Z145" s="0" t="n">
        <v>42.4</v>
      </c>
      <c r="AA145" s="21" t="s">
        <v>961</v>
      </c>
      <c r="AB145" s="21" t="s">
        <v>962</v>
      </c>
      <c r="AC145" s="21" t="s">
        <v>120</v>
      </c>
      <c r="AD145" s="0" t="n">
        <v>96</v>
      </c>
      <c r="AE145" s="22" t="b">
        <f aca="false">FALSE()</f>
        <v>0</v>
      </c>
      <c r="AF145" s="21" t="s">
        <v>121</v>
      </c>
      <c r="AG145" s="21" t="s">
        <v>963</v>
      </c>
    </row>
    <row r="146" customFormat="false" ht="15" hidden="false" customHeight="false" outlineLevel="0" collapsed="false">
      <c r="A146" s="0" t="s">
        <v>964</v>
      </c>
      <c r="B146" s="18" t="s">
        <v>109</v>
      </c>
      <c r="C146" s="19" t="s">
        <v>26</v>
      </c>
      <c r="D146" s="20" t="s">
        <v>31</v>
      </c>
      <c r="E146" s="21" t="s">
        <v>965</v>
      </c>
      <c r="G146" s="21" t="s">
        <v>127</v>
      </c>
      <c r="H146" s="21" t="s">
        <v>112</v>
      </c>
      <c r="I146" s="21" t="s">
        <v>113</v>
      </c>
      <c r="J146" s="21" t="s">
        <v>114</v>
      </c>
      <c r="K146" s="0" t="n">
        <v>8</v>
      </c>
      <c r="L146" s="0" t="n">
        <v>1</v>
      </c>
      <c r="M146" s="0" t="n">
        <v>6</v>
      </c>
      <c r="N146" s="0" t="n">
        <v>1</v>
      </c>
      <c r="O146" s="0" t="n">
        <v>0</v>
      </c>
      <c r="P146" s="0" t="n">
        <v>7</v>
      </c>
      <c r="Q146" s="0" t="n">
        <v>1</v>
      </c>
      <c r="R146" s="0" t="n">
        <v>1</v>
      </c>
      <c r="S146" s="0" t="n">
        <v>5</v>
      </c>
      <c r="T146" s="0" t="n">
        <v>1</v>
      </c>
      <c r="U146" s="21" t="s">
        <v>966</v>
      </c>
      <c r="V146" s="21" t="s">
        <v>69</v>
      </c>
      <c r="W146" s="21" t="s">
        <v>967</v>
      </c>
      <c r="X146" s="0" t="n">
        <v>2.67</v>
      </c>
      <c r="Y146" s="0" t="n">
        <v>5.3</v>
      </c>
      <c r="Z146" s="0" t="n">
        <v>81.1</v>
      </c>
      <c r="AA146" s="21" t="s">
        <v>968</v>
      </c>
      <c r="AB146" s="21" t="s">
        <v>969</v>
      </c>
      <c r="AC146" s="21" t="s">
        <v>120</v>
      </c>
      <c r="AD146" s="0" t="n">
        <v>204</v>
      </c>
      <c r="AE146" s="22" t="b">
        <f aca="false">FALSE()</f>
        <v>0</v>
      </c>
      <c r="AF146" s="21" t="s">
        <v>121</v>
      </c>
      <c r="AG146" s="21" t="s">
        <v>970</v>
      </c>
    </row>
    <row r="147" customFormat="false" ht="15" hidden="false" customHeight="false" outlineLevel="0" collapsed="false">
      <c r="A147" s="0" t="s">
        <v>971</v>
      </c>
      <c r="B147" s="18" t="s">
        <v>109</v>
      </c>
      <c r="C147" s="19" t="s">
        <v>26</v>
      </c>
      <c r="D147" s="20" t="s">
        <v>31</v>
      </c>
      <c r="E147" s="21" t="s">
        <v>972</v>
      </c>
      <c r="G147" s="21" t="s">
        <v>111</v>
      </c>
      <c r="H147" s="21" t="s">
        <v>195</v>
      </c>
      <c r="I147" s="21" t="s">
        <v>113</v>
      </c>
      <c r="J147" s="21" t="s">
        <v>134</v>
      </c>
      <c r="K147" s="0" t="n">
        <v>4</v>
      </c>
      <c r="L147" s="0" t="n">
        <v>2</v>
      </c>
      <c r="M147" s="0" t="n">
        <v>1</v>
      </c>
      <c r="N147" s="0" t="n">
        <v>1</v>
      </c>
      <c r="O147" s="0" t="n">
        <v>0</v>
      </c>
      <c r="P147" s="0" t="n">
        <v>3</v>
      </c>
      <c r="Q147" s="0" t="n">
        <v>1</v>
      </c>
      <c r="R147" s="0" t="n">
        <v>0</v>
      </c>
      <c r="S147" s="0" t="n">
        <v>2</v>
      </c>
      <c r="T147" s="0" t="n">
        <v>1</v>
      </c>
      <c r="U147" s="21" t="s">
        <v>973</v>
      </c>
      <c r="V147" s="21" t="s">
        <v>69</v>
      </c>
      <c r="W147" s="21" t="s">
        <v>136</v>
      </c>
      <c r="X147" s="0" t="n">
        <v>6.85</v>
      </c>
      <c r="Y147" s="0" t="n">
        <v>5.9</v>
      </c>
      <c r="Z147" s="0" t="n">
        <v>43.9</v>
      </c>
      <c r="AA147" s="21" t="s">
        <v>974</v>
      </c>
      <c r="AB147" s="21" t="s">
        <v>975</v>
      </c>
      <c r="AC147" s="21" t="s">
        <v>120</v>
      </c>
      <c r="AD147" s="0" t="n">
        <v>96</v>
      </c>
      <c r="AE147" s="22" t="b">
        <f aca="false">FALSE()</f>
        <v>0</v>
      </c>
      <c r="AF147" s="21" t="s">
        <v>121</v>
      </c>
      <c r="AG147" s="21" t="s">
        <v>976</v>
      </c>
    </row>
    <row r="148" customFormat="false" ht="15" hidden="false" customHeight="false" outlineLevel="0" collapsed="false">
      <c r="A148" s="0" t="s">
        <v>977</v>
      </c>
      <c r="B148" s="18" t="s">
        <v>109</v>
      </c>
      <c r="C148" s="19" t="s">
        <v>26</v>
      </c>
      <c r="D148" s="20" t="s">
        <v>31</v>
      </c>
      <c r="E148" s="21" t="s">
        <v>978</v>
      </c>
      <c r="G148" s="21" t="s">
        <v>127</v>
      </c>
      <c r="H148" s="21" t="s">
        <v>390</v>
      </c>
      <c r="I148" s="21" t="s">
        <v>113</v>
      </c>
      <c r="J148" s="21" t="s">
        <v>114</v>
      </c>
      <c r="K148" s="0" t="n">
        <v>8</v>
      </c>
      <c r="L148" s="0" t="n">
        <v>3</v>
      </c>
      <c r="M148" s="0" t="n">
        <v>2</v>
      </c>
      <c r="N148" s="0" t="n">
        <v>3</v>
      </c>
      <c r="O148" s="0" t="n">
        <v>0</v>
      </c>
      <c r="P148" s="0" t="n">
        <v>5</v>
      </c>
      <c r="Q148" s="0" t="n">
        <v>3</v>
      </c>
      <c r="R148" s="0" t="n">
        <v>1</v>
      </c>
      <c r="S148" s="0" t="n">
        <v>1</v>
      </c>
      <c r="T148" s="0" t="n">
        <v>3</v>
      </c>
      <c r="U148" s="21" t="s">
        <v>979</v>
      </c>
      <c r="V148" s="21" t="s">
        <v>69</v>
      </c>
      <c r="W148" s="21" t="s">
        <v>345</v>
      </c>
      <c r="X148" s="0" t="n">
        <v>8.34</v>
      </c>
      <c r="Y148" s="0" t="n">
        <v>16.6</v>
      </c>
      <c r="Z148" s="0" t="n">
        <v>82.6</v>
      </c>
      <c r="AA148" s="21" t="s">
        <v>980</v>
      </c>
      <c r="AB148" s="21" t="s">
        <v>981</v>
      </c>
      <c r="AC148" s="21" t="s">
        <v>120</v>
      </c>
      <c r="AD148" s="0" t="n">
        <v>191</v>
      </c>
      <c r="AE148" s="22" t="b">
        <f aca="false">FALSE()</f>
        <v>0</v>
      </c>
      <c r="AF148" s="21" t="s">
        <v>121</v>
      </c>
      <c r="AG148" s="21" t="s">
        <v>982</v>
      </c>
    </row>
    <row r="149" customFormat="false" ht="15" hidden="false" customHeight="false" outlineLevel="0" collapsed="false">
      <c r="A149" s="0" t="s">
        <v>983</v>
      </c>
      <c r="B149" s="18" t="s">
        <v>109</v>
      </c>
      <c r="C149" s="19" t="s">
        <v>26</v>
      </c>
      <c r="D149" s="20" t="s">
        <v>31</v>
      </c>
      <c r="E149" s="21" t="s">
        <v>984</v>
      </c>
      <c r="G149" s="21" t="s">
        <v>111</v>
      </c>
      <c r="H149" s="21" t="s">
        <v>887</v>
      </c>
      <c r="I149" s="21" t="s">
        <v>113</v>
      </c>
      <c r="J149" s="21" t="s">
        <v>134</v>
      </c>
      <c r="K149" s="0" t="n">
        <v>4</v>
      </c>
      <c r="L149" s="0" t="n">
        <v>2</v>
      </c>
      <c r="M149" s="0" t="n">
        <v>0</v>
      </c>
      <c r="N149" s="0" t="n">
        <v>2</v>
      </c>
      <c r="O149" s="0" t="n">
        <v>0</v>
      </c>
      <c r="P149" s="0" t="n">
        <v>2</v>
      </c>
      <c r="Q149" s="0" t="n">
        <v>0</v>
      </c>
      <c r="R149" s="0" t="n">
        <v>0</v>
      </c>
      <c r="S149" s="0" t="n">
        <v>2</v>
      </c>
      <c r="T149" s="0" t="n">
        <v>2</v>
      </c>
      <c r="U149" s="21" t="s">
        <v>985</v>
      </c>
      <c r="W149" s="21" t="s">
        <v>800</v>
      </c>
      <c r="X149" s="0" t="n">
        <v>10.45</v>
      </c>
      <c r="Y149" s="0" t="n">
        <v>14.5</v>
      </c>
      <c r="Z149" s="0" t="n">
        <v>50.9</v>
      </c>
      <c r="AA149" s="21" t="s">
        <v>986</v>
      </c>
      <c r="AB149" s="21" t="s">
        <v>987</v>
      </c>
      <c r="AC149" s="21" t="s">
        <v>120</v>
      </c>
      <c r="AD149" s="0" t="n">
        <v>96</v>
      </c>
      <c r="AE149" s="22" t="b">
        <f aca="false">FALSE()</f>
        <v>0</v>
      </c>
      <c r="AF149" s="21" t="s">
        <v>121</v>
      </c>
      <c r="AG149" s="21" t="s">
        <v>988</v>
      </c>
    </row>
    <row r="150" customFormat="false" ht="15" hidden="false" customHeight="false" outlineLevel="0" collapsed="false">
      <c r="A150" s="0" t="s">
        <v>989</v>
      </c>
      <c r="B150" s="18" t="s">
        <v>109</v>
      </c>
      <c r="C150" s="20" t="s">
        <v>25</v>
      </c>
      <c r="D150" s="23" t="s">
        <v>30</v>
      </c>
      <c r="E150" s="21" t="s">
        <v>990</v>
      </c>
      <c r="G150" s="21" t="s">
        <v>111</v>
      </c>
      <c r="H150" s="21" t="s">
        <v>841</v>
      </c>
      <c r="I150" s="21" t="s">
        <v>113</v>
      </c>
      <c r="J150" s="21" t="s">
        <v>134</v>
      </c>
      <c r="K150" s="0" t="n">
        <v>4</v>
      </c>
      <c r="L150" s="0" t="n">
        <v>2</v>
      </c>
      <c r="M150" s="0" t="n">
        <v>2</v>
      </c>
      <c r="N150" s="0" t="n">
        <v>0</v>
      </c>
      <c r="O150" s="0" t="n">
        <v>0</v>
      </c>
      <c r="P150" s="0" t="n">
        <v>4</v>
      </c>
      <c r="Q150" s="0" t="n">
        <v>1</v>
      </c>
      <c r="R150" s="0" t="n">
        <v>1</v>
      </c>
      <c r="S150" s="0" t="n">
        <v>2</v>
      </c>
      <c r="T150" s="0" t="n">
        <v>0</v>
      </c>
      <c r="U150" s="21" t="s">
        <v>991</v>
      </c>
      <c r="W150" s="21" t="s">
        <v>992</v>
      </c>
      <c r="X150" s="0" t="n">
        <v>3.46</v>
      </c>
      <c r="Y150" s="0" t="n">
        <v>17.8</v>
      </c>
      <c r="Z150" s="0" t="n">
        <v>48</v>
      </c>
      <c r="AA150" s="21" t="s">
        <v>993</v>
      </c>
      <c r="AB150" s="21" t="s">
        <v>994</v>
      </c>
      <c r="AC150" s="21" t="s">
        <v>120</v>
      </c>
      <c r="AD150" s="0" t="n">
        <v>94</v>
      </c>
      <c r="AE150" s="22" t="b">
        <f aca="false">FALSE()</f>
        <v>0</v>
      </c>
      <c r="AF150" s="21" t="s">
        <v>121</v>
      </c>
      <c r="AG150" s="21" t="s">
        <v>995</v>
      </c>
    </row>
    <row r="151" customFormat="false" ht="15" hidden="false" customHeight="false" outlineLevel="0" collapsed="false">
      <c r="A151" s="0" t="s">
        <v>996</v>
      </c>
      <c r="B151" s="18" t="s">
        <v>109</v>
      </c>
      <c r="C151" s="20" t="s">
        <v>25</v>
      </c>
      <c r="D151" s="23" t="s">
        <v>30</v>
      </c>
      <c r="E151" s="21" t="s">
        <v>997</v>
      </c>
      <c r="G151" s="21" t="s">
        <v>111</v>
      </c>
      <c r="H151" s="21" t="s">
        <v>390</v>
      </c>
      <c r="I151" s="21" t="s">
        <v>113</v>
      </c>
      <c r="J151" s="21" t="s">
        <v>134</v>
      </c>
      <c r="K151" s="0" t="n">
        <v>4</v>
      </c>
      <c r="L151" s="0" t="n">
        <v>1</v>
      </c>
      <c r="M151" s="0" t="n">
        <v>3</v>
      </c>
      <c r="N151" s="0" t="n">
        <v>0</v>
      </c>
      <c r="O151" s="0" t="n">
        <v>0</v>
      </c>
      <c r="P151" s="0" t="n">
        <v>4</v>
      </c>
      <c r="Q151" s="0" t="n">
        <v>0</v>
      </c>
      <c r="R151" s="0" t="n">
        <v>0</v>
      </c>
      <c r="S151" s="0" t="n">
        <v>4</v>
      </c>
      <c r="T151" s="0" t="n">
        <v>0</v>
      </c>
      <c r="U151" s="21" t="s">
        <v>998</v>
      </c>
      <c r="V151" s="21" t="s">
        <v>69</v>
      </c>
      <c r="W151" s="21" t="s">
        <v>357</v>
      </c>
      <c r="X151" s="0" t="n">
        <v>2.74</v>
      </c>
      <c r="Y151" s="0" t="n">
        <v>9.5</v>
      </c>
      <c r="Z151" s="0" t="n">
        <v>46.9</v>
      </c>
      <c r="AA151" s="21" t="s">
        <v>999</v>
      </c>
      <c r="AB151" s="21" t="s">
        <v>1000</v>
      </c>
      <c r="AC151" s="21" t="s">
        <v>120</v>
      </c>
      <c r="AD151" s="0" t="n">
        <v>95</v>
      </c>
      <c r="AE151" s="22" t="b">
        <f aca="false">FALSE()</f>
        <v>0</v>
      </c>
      <c r="AF151" s="21" t="s">
        <v>121</v>
      </c>
      <c r="AG151" s="21" t="s">
        <v>1001</v>
      </c>
    </row>
    <row r="152" customFormat="false" ht="15" hidden="false" customHeight="false" outlineLevel="0" collapsed="false">
      <c r="A152" s="0" t="s">
        <v>1002</v>
      </c>
      <c r="B152" s="18" t="s">
        <v>109</v>
      </c>
      <c r="C152" s="18" t="s">
        <v>24</v>
      </c>
      <c r="D152" s="18" t="s">
        <v>28</v>
      </c>
      <c r="E152" s="21" t="s">
        <v>1003</v>
      </c>
      <c r="G152" s="21" t="s">
        <v>127</v>
      </c>
      <c r="H152" s="21" t="s">
        <v>343</v>
      </c>
      <c r="I152" s="21" t="s">
        <v>171</v>
      </c>
      <c r="J152" s="21" t="s">
        <v>134</v>
      </c>
      <c r="K152" s="0" t="n">
        <v>4</v>
      </c>
      <c r="L152" s="0" t="n">
        <v>4</v>
      </c>
      <c r="M152" s="0" t="n">
        <v>0</v>
      </c>
      <c r="N152" s="0" t="n">
        <v>0</v>
      </c>
      <c r="O152" s="0" t="n">
        <v>0</v>
      </c>
      <c r="P152" s="0" t="n">
        <v>4</v>
      </c>
      <c r="Q152" s="0" t="n">
        <v>4</v>
      </c>
      <c r="R152" s="0" t="n">
        <v>0</v>
      </c>
      <c r="S152" s="0" t="n">
        <v>0</v>
      </c>
      <c r="T152" s="0" t="n">
        <v>0</v>
      </c>
      <c r="X152" s="0" t="n">
        <v>3.27</v>
      </c>
      <c r="Y152" s="0" t="n">
        <v>15.7</v>
      </c>
      <c r="Z152" s="0" t="n">
        <v>48.7</v>
      </c>
      <c r="AA152" s="21" t="s">
        <v>1000</v>
      </c>
      <c r="AB152" s="21" t="s">
        <v>1004</v>
      </c>
      <c r="AC152" s="21" t="s">
        <v>120</v>
      </c>
      <c r="AD152" s="0" t="n">
        <v>96</v>
      </c>
      <c r="AE152" s="22" t="b">
        <f aca="false">FALSE()</f>
        <v>0</v>
      </c>
      <c r="AF152" s="21" t="s">
        <v>121</v>
      </c>
      <c r="AG152" s="21" t="s">
        <v>1005</v>
      </c>
    </row>
    <row r="153" customFormat="false" ht="15" hidden="false" customHeight="false" outlineLevel="0" collapsed="false">
      <c r="A153" s="0" t="s">
        <v>1006</v>
      </c>
      <c r="B153" s="18" t="s">
        <v>109</v>
      </c>
      <c r="C153" s="20" t="s">
        <v>25</v>
      </c>
      <c r="D153" s="23" t="s">
        <v>30</v>
      </c>
      <c r="E153" s="21" t="s">
        <v>1007</v>
      </c>
      <c r="G153" s="21" t="s">
        <v>127</v>
      </c>
      <c r="H153" s="21" t="s">
        <v>686</v>
      </c>
      <c r="I153" s="21" t="s">
        <v>113</v>
      </c>
      <c r="J153" s="21" t="s">
        <v>134</v>
      </c>
      <c r="K153" s="0" t="n">
        <v>4</v>
      </c>
      <c r="L153" s="0" t="n">
        <v>0</v>
      </c>
      <c r="M153" s="0" t="n">
        <v>4</v>
      </c>
      <c r="N153" s="0" t="n">
        <v>0</v>
      </c>
      <c r="O153" s="0" t="n">
        <v>0</v>
      </c>
      <c r="P153" s="0" t="n">
        <v>4</v>
      </c>
      <c r="Q153" s="0" t="n">
        <v>0</v>
      </c>
      <c r="R153" s="0" t="n">
        <v>0</v>
      </c>
      <c r="S153" s="0" t="n">
        <v>4</v>
      </c>
      <c r="T153" s="0" t="n">
        <v>0</v>
      </c>
      <c r="U153" s="21" t="s">
        <v>1008</v>
      </c>
      <c r="V153" s="21" t="s">
        <v>69</v>
      </c>
      <c r="W153" s="21" t="s">
        <v>294</v>
      </c>
      <c r="X153" s="0" t="n">
        <v>0.67</v>
      </c>
      <c r="Y153" s="0" t="n">
        <v>9</v>
      </c>
      <c r="Z153" s="0" t="n">
        <v>54.8</v>
      </c>
      <c r="AA153" s="21" t="s">
        <v>1004</v>
      </c>
      <c r="AB153" s="21" t="s">
        <v>1009</v>
      </c>
      <c r="AC153" s="21" t="s">
        <v>120</v>
      </c>
      <c r="AD153" s="0" t="n">
        <v>96</v>
      </c>
      <c r="AE153" s="22" t="b">
        <f aca="false">FALSE()</f>
        <v>0</v>
      </c>
      <c r="AF153" s="21" t="s">
        <v>121</v>
      </c>
      <c r="AG153" s="21" t="s">
        <v>1010</v>
      </c>
    </row>
    <row r="154" customFormat="false" ht="15" hidden="false" customHeight="false" outlineLevel="0" collapsed="false">
      <c r="A154" s="0" t="s">
        <v>1011</v>
      </c>
      <c r="B154" s="18" t="s">
        <v>109</v>
      </c>
      <c r="C154" s="19" t="s">
        <v>26</v>
      </c>
      <c r="D154" s="20" t="s">
        <v>31</v>
      </c>
      <c r="E154" s="21" t="s">
        <v>1012</v>
      </c>
      <c r="G154" s="21" t="s">
        <v>111</v>
      </c>
      <c r="H154" s="21" t="s">
        <v>953</v>
      </c>
      <c r="I154" s="21" t="s">
        <v>113</v>
      </c>
      <c r="J154" s="21" t="s">
        <v>134</v>
      </c>
      <c r="K154" s="0" t="n">
        <v>4</v>
      </c>
      <c r="L154" s="0" t="n">
        <v>0</v>
      </c>
      <c r="M154" s="0" t="n">
        <v>2</v>
      </c>
      <c r="N154" s="0" t="n">
        <v>2</v>
      </c>
      <c r="O154" s="0" t="n">
        <v>0</v>
      </c>
      <c r="P154" s="0" t="n">
        <v>2</v>
      </c>
      <c r="Q154" s="0" t="n">
        <v>0</v>
      </c>
      <c r="R154" s="0" t="n">
        <v>0</v>
      </c>
      <c r="S154" s="0" t="n">
        <v>2</v>
      </c>
      <c r="T154" s="0" t="n">
        <v>2</v>
      </c>
      <c r="U154" s="21" t="s">
        <v>1013</v>
      </c>
      <c r="V154" s="21" t="s">
        <v>69</v>
      </c>
      <c r="W154" s="21" t="s">
        <v>672</v>
      </c>
      <c r="X154" s="0" t="n">
        <v>1.5</v>
      </c>
      <c r="Y154" s="0" t="n">
        <v>9.4</v>
      </c>
      <c r="Z154" s="0" t="n">
        <v>47.8</v>
      </c>
      <c r="AA154" s="21" t="s">
        <v>1009</v>
      </c>
      <c r="AB154" s="21" t="s">
        <v>1014</v>
      </c>
      <c r="AC154" s="21" t="s">
        <v>120</v>
      </c>
      <c r="AD154" s="0" t="n">
        <v>95</v>
      </c>
      <c r="AE154" s="22" t="b">
        <f aca="false">FALSE()</f>
        <v>0</v>
      </c>
      <c r="AF154" s="21" t="s">
        <v>121</v>
      </c>
      <c r="AG154" s="21" t="s">
        <v>1015</v>
      </c>
    </row>
    <row r="155" customFormat="false" ht="15" hidden="false" customHeight="false" outlineLevel="0" collapsed="false">
      <c r="A155" s="0" t="s">
        <v>1016</v>
      </c>
      <c r="B155" s="18" t="s">
        <v>109</v>
      </c>
      <c r="C155" s="19" t="s">
        <v>26</v>
      </c>
      <c r="D155" s="20" t="s">
        <v>31</v>
      </c>
      <c r="E155" s="21" t="s">
        <v>1017</v>
      </c>
      <c r="G155" s="21" t="s">
        <v>127</v>
      </c>
      <c r="H155" s="21" t="s">
        <v>289</v>
      </c>
      <c r="I155" s="21" t="s">
        <v>113</v>
      </c>
      <c r="J155" s="21" t="s">
        <v>134</v>
      </c>
      <c r="K155" s="0" t="n">
        <v>4</v>
      </c>
      <c r="L155" s="0" t="n">
        <v>2</v>
      </c>
      <c r="M155" s="0" t="n">
        <v>0</v>
      </c>
      <c r="N155" s="0" t="n">
        <v>2</v>
      </c>
      <c r="O155" s="0" t="n">
        <v>0</v>
      </c>
      <c r="P155" s="0" t="n">
        <v>2</v>
      </c>
      <c r="Q155" s="0" t="n">
        <v>2</v>
      </c>
      <c r="R155" s="0" t="n">
        <v>0</v>
      </c>
      <c r="S155" s="0" t="n">
        <v>0</v>
      </c>
      <c r="T155" s="0" t="n">
        <v>2</v>
      </c>
      <c r="U155" s="21" t="s">
        <v>1018</v>
      </c>
      <c r="V155" s="21" t="s">
        <v>69</v>
      </c>
      <c r="W155" s="21" t="s">
        <v>529</v>
      </c>
      <c r="X155" s="0" t="n">
        <v>3.24</v>
      </c>
      <c r="Y155" s="0" t="n">
        <v>15.7</v>
      </c>
      <c r="Z155" s="0" t="n">
        <v>48.6</v>
      </c>
      <c r="AA155" s="21" t="s">
        <v>1014</v>
      </c>
      <c r="AB155" s="21" t="s">
        <v>1019</v>
      </c>
      <c r="AC155" s="21" t="s">
        <v>120</v>
      </c>
      <c r="AD155" s="0" t="n">
        <v>98</v>
      </c>
      <c r="AE155" s="22" t="b">
        <f aca="false">FALSE()</f>
        <v>0</v>
      </c>
      <c r="AF155" s="21" t="s">
        <v>121</v>
      </c>
      <c r="AG155" s="21" t="s">
        <v>1020</v>
      </c>
    </row>
    <row r="156" customFormat="false" ht="15" hidden="false" customHeight="false" outlineLevel="0" collapsed="false">
      <c r="A156" s="0" t="s">
        <v>1021</v>
      </c>
      <c r="B156" s="20" t="s">
        <v>124</v>
      </c>
      <c r="E156" s="21" t="s">
        <v>306</v>
      </c>
      <c r="F156" s="21" t="s">
        <v>307</v>
      </c>
      <c r="G156" s="21" t="s">
        <v>127</v>
      </c>
      <c r="H156" s="21" t="s">
        <v>308</v>
      </c>
      <c r="I156" s="21" t="s">
        <v>113</v>
      </c>
      <c r="Z156" s="0" t="n">
        <v>0</v>
      </c>
      <c r="AA156" s="21" t="s">
        <v>1019</v>
      </c>
      <c r="AB156" s="21" t="s">
        <v>1019</v>
      </c>
      <c r="AE156" s="22" t="b">
        <f aca="false">FALSE()</f>
        <v>0</v>
      </c>
      <c r="AF156" s="21" t="s">
        <v>121</v>
      </c>
      <c r="AG156" s="21" t="s">
        <v>1022</v>
      </c>
    </row>
    <row r="157" customFormat="false" ht="15" hidden="false" customHeight="false" outlineLevel="0" collapsed="false">
      <c r="A157" s="0" t="s">
        <v>1023</v>
      </c>
      <c r="B157" s="18" t="s">
        <v>109</v>
      </c>
      <c r="C157" s="19" t="s">
        <v>26</v>
      </c>
      <c r="D157" s="20" t="s">
        <v>31</v>
      </c>
      <c r="E157" s="21" t="s">
        <v>1024</v>
      </c>
      <c r="G157" s="21" t="s">
        <v>127</v>
      </c>
      <c r="H157" s="21" t="s">
        <v>841</v>
      </c>
      <c r="I157" s="21" t="s">
        <v>113</v>
      </c>
      <c r="J157" s="21" t="s">
        <v>134</v>
      </c>
      <c r="K157" s="0" t="n">
        <v>4</v>
      </c>
      <c r="L157" s="0" t="n">
        <v>1</v>
      </c>
      <c r="M157" s="0" t="n">
        <v>2</v>
      </c>
      <c r="N157" s="0" t="n">
        <v>1</v>
      </c>
      <c r="O157" s="0" t="n">
        <v>0</v>
      </c>
      <c r="P157" s="0" t="n">
        <v>3</v>
      </c>
      <c r="Q157" s="0" t="n">
        <v>0</v>
      </c>
      <c r="R157" s="0" t="n">
        <v>0</v>
      </c>
      <c r="S157" s="0" t="n">
        <v>3</v>
      </c>
      <c r="T157" s="0" t="n">
        <v>1</v>
      </c>
      <c r="U157" s="21" t="s">
        <v>1025</v>
      </c>
      <c r="V157" s="21" t="s">
        <v>69</v>
      </c>
      <c r="W157" s="21" t="s">
        <v>136</v>
      </c>
      <c r="X157" s="0" t="n">
        <v>2.41</v>
      </c>
      <c r="Y157" s="0" t="n">
        <v>8.4</v>
      </c>
      <c r="Z157" s="0" t="n">
        <v>49.6</v>
      </c>
      <c r="AA157" s="21" t="s">
        <v>1019</v>
      </c>
      <c r="AB157" s="21" t="s">
        <v>1026</v>
      </c>
      <c r="AC157" s="21" t="s">
        <v>120</v>
      </c>
      <c r="AD157" s="0" t="n">
        <v>106</v>
      </c>
      <c r="AE157" s="22" t="b">
        <f aca="false">FALSE()</f>
        <v>0</v>
      </c>
      <c r="AF157" s="21" t="s">
        <v>121</v>
      </c>
      <c r="AG157" s="21" t="s">
        <v>1027</v>
      </c>
    </row>
    <row r="158" customFormat="false" ht="15" hidden="false" customHeight="false" outlineLevel="0" collapsed="false">
      <c r="A158" s="0" t="s">
        <v>1028</v>
      </c>
      <c r="B158" s="18" t="s">
        <v>109</v>
      </c>
      <c r="C158" s="20" t="s">
        <v>25</v>
      </c>
      <c r="D158" s="23" t="s">
        <v>30</v>
      </c>
      <c r="E158" s="21" t="s">
        <v>1029</v>
      </c>
      <c r="G158" s="21" t="s">
        <v>111</v>
      </c>
      <c r="H158" s="21" t="s">
        <v>155</v>
      </c>
      <c r="I158" s="21" t="s">
        <v>113</v>
      </c>
      <c r="J158" s="21" t="s">
        <v>134</v>
      </c>
      <c r="K158" s="0" t="n">
        <v>4</v>
      </c>
      <c r="L158" s="0" t="n">
        <v>3</v>
      </c>
      <c r="M158" s="0" t="n">
        <v>1</v>
      </c>
      <c r="N158" s="0" t="n">
        <v>0</v>
      </c>
      <c r="O158" s="0" t="n">
        <v>0</v>
      </c>
      <c r="P158" s="0" t="n">
        <v>4</v>
      </c>
      <c r="Q158" s="0" t="n">
        <v>0</v>
      </c>
      <c r="R158" s="0" t="n">
        <v>0</v>
      </c>
      <c r="S158" s="0" t="n">
        <v>4</v>
      </c>
      <c r="T158" s="0" t="n">
        <v>0</v>
      </c>
      <c r="U158" s="21" t="s">
        <v>1030</v>
      </c>
      <c r="V158" s="21" t="s">
        <v>69</v>
      </c>
      <c r="W158" s="21" t="s">
        <v>283</v>
      </c>
      <c r="X158" s="0" t="n">
        <v>3.44</v>
      </c>
      <c r="Y158" s="0" t="n">
        <v>16.6</v>
      </c>
      <c r="Z158" s="0" t="n">
        <v>46.2</v>
      </c>
      <c r="AA158" s="21" t="s">
        <v>1026</v>
      </c>
      <c r="AB158" s="21" t="s">
        <v>1031</v>
      </c>
      <c r="AC158" s="21" t="s">
        <v>120</v>
      </c>
      <c r="AD158" s="0" t="n">
        <v>97</v>
      </c>
      <c r="AE158" s="22" t="b">
        <f aca="false">FALSE()</f>
        <v>0</v>
      </c>
      <c r="AF158" s="21" t="s">
        <v>121</v>
      </c>
      <c r="AG158" s="21" t="s">
        <v>1032</v>
      </c>
    </row>
    <row r="159" customFormat="false" ht="15" hidden="false" customHeight="false" outlineLevel="0" collapsed="false">
      <c r="A159" s="0" t="s">
        <v>1033</v>
      </c>
      <c r="B159" s="18" t="s">
        <v>109</v>
      </c>
      <c r="C159" s="19" t="s">
        <v>26</v>
      </c>
      <c r="D159" s="20" t="s">
        <v>31</v>
      </c>
      <c r="E159" s="21" t="s">
        <v>1034</v>
      </c>
      <c r="G159" s="21" t="s">
        <v>111</v>
      </c>
      <c r="H159" s="21" t="s">
        <v>568</v>
      </c>
      <c r="I159" s="21" t="s">
        <v>113</v>
      </c>
      <c r="J159" s="21" t="s">
        <v>134</v>
      </c>
      <c r="K159" s="0" t="n">
        <v>4</v>
      </c>
      <c r="L159" s="0" t="n">
        <v>0</v>
      </c>
      <c r="M159" s="0" t="n">
        <v>2</v>
      </c>
      <c r="N159" s="0" t="n">
        <v>2</v>
      </c>
      <c r="O159" s="0" t="n">
        <v>0</v>
      </c>
      <c r="P159" s="0" t="n">
        <v>2</v>
      </c>
      <c r="Q159" s="0" t="n">
        <v>0</v>
      </c>
      <c r="R159" s="0" t="n">
        <v>1</v>
      </c>
      <c r="S159" s="0" t="n">
        <v>1</v>
      </c>
      <c r="T159" s="0" t="n">
        <v>2</v>
      </c>
      <c r="U159" s="21" t="s">
        <v>1035</v>
      </c>
      <c r="V159" s="21" t="s">
        <v>69</v>
      </c>
      <c r="W159" s="21" t="s">
        <v>239</v>
      </c>
      <c r="X159" s="0" t="n">
        <v>1.04</v>
      </c>
      <c r="Y159" s="0" t="n">
        <v>7.4</v>
      </c>
      <c r="Z159" s="0" t="n">
        <v>48.6</v>
      </c>
      <c r="AA159" s="21" t="s">
        <v>1031</v>
      </c>
      <c r="AB159" s="21" t="s">
        <v>1036</v>
      </c>
      <c r="AC159" s="21" t="s">
        <v>120</v>
      </c>
      <c r="AD159" s="0" t="n">
        <v>96</v>
      </c>
      <c r="AE159" s="22" t="b">
        <f aca="false">FALSE()</f>
        <v>0</v>
      </c>
      <c r="AF159" s="21" t="s">
        <v>121</v>
      </c>
      <c r="AG159" s="21" t="s">
        <v>1037</v>
      </c>
    </row>
    <row r="160" customFormat="false" ht="15" hidden="false" customHeight="false" outlineLevel="0" collapsed="false">
      <c r="A160" s="0" t="s">
        <v>1038</v>
      </c>
      <c r="B160" s="18" t="s">
        <v>109</v>
      </c>
      <c r="C160" s="19" t="s">
        <v>26</v>
      </c>
      <c r="D160" s="20" t="s">
        <v>31</v>
      </c>
      <c r="E160" s="21" t="s">
        <v>1039</v>
      </c>
      <c r="G160" s="21" t="s">
        <v>111</v>
      </c>
      <c r="H160" s="21" t="s">
        <v>953</v>
      </c>
      <c r="I160" s="21" t="s">
        <v>113</v>
      </c>
      <c r="J160" s="21" t="s">
        <v>134</v>
      </c>
      <c r="K160" s="0" t="n">
        <v>4</v>
      </c>
      <c r="L160" s="0" t="n">
        <v>0</v>
      </c>
      <c r="M160" s="0" t="n">
        <v>2</v>
      </c>
      <c r="N160" s="0" t="n">
        <v>2</v>
      </c>
      <c r="O160" s="0" t="n">
        <v>0</v>
      </c>
      <c r="P160" s="0" t="n">
        <v>2</v>
      </c>
      <c r="Q160" s="0" t="n">
        <v>0</v>
      </c>
      <c r="R160" s="0" t="n">
        <v>0</v>
      </c>
      <c r="S160" s="0" t="n">
        <v>2</v>
      </c>
      <c r="T160" s="0" t="n">
        <v>2</v>
      </c>
      <c r="U160" s="21" t="s">
        <v>1040</v>
      </c>
      <c r="V160" s="21" t="s">
        <v>69</v>
      </c>
      <c r="W160" s="21" t="s">
        <v>313</v>
      </c>
      <c r="X160" s="0" t="n">
        <v>2.09</v>
      </c>
      <c r="Y160" s="0" t="n">
        <v>16.7</v>
      </c>
      <c r="Z160" s="0" t="n">
        <v>49.2</v>
      </c>
      <c r="AA160" s="21" t="s">
        <v>1036</v>
      </c>
      <c r="AB160" s="21" t="s">
        <v>1041</v>
      </c>
      <c r="AC160" s="21" t="s">
        <v>120</v>
      </c>
      <c r="AD160" s="0" t="n">
        <v>98</v>
      </c>
      <c r="AE160" s="22" t="b">
        <f aca="false">FALSE()</f>
        <v>0</v>
      </c>
      <c r="AF160" s="21" t="s">
        <v>121</v>
      </c>
      <c r="AG160" s="21" t="s">
        <v>1042</v>
      </c>
    </row>
    <row r="161" customFormat="false" ht="15" hidden="false" customHeight="false" outlineLevel="0" collapsed="false">
      <c r="A161" s="0" t="s">
        <v>1043</v>
      </c>
      <c r="B161" s="18" t="s">
        <v>109</v>
      </c>
      <c r="C161" s="20" t="s">
        <v>25</v>
      </c>
      <c r="D161" s="23" t="s">
        <v>30</v>
      </c>
      <c r="E161" s="21" t="s">
        <v>1044</v>
      </c>
      <c r="G161" s="21" t="s">
        <v>127</v>
      </c>
      <c r="H161" s="21" t="s">
        <v>155</v>
      </c>
      <c r="I161" s="21" t="s">
        <v>113</v>
      </c>
      <c r="J161" s="21" t="s">
        <v>114</v>
      </c>
      <c r="K161" s="0" t="n">
        <v>8</v>
      </c>
      <c r="L161" s="0" t="n">
        <v>4</v>
      </c>
      <c r="M161" s="0" t="n">
        <v>4</v>
      </c>
      <c r="N161" s="0" t="n">
        <v>0</v>
      </c>
      <c r="O161" s="0" t="n">
        <v>0</v>
      </c>
      <c r="P161" s="0" t="n">
        <v>8</v>
      </c>
      <c r="Q161" s="0" t="n">
        <v>2</v>
      </c>
      <c r="R161" s="0" t="n">
        <v>1</v>
      </c>
      <c r="S161" s="0" t="n">
        <v>5</v>
      </c>
      <c r="T161" s="0" t="n">
        <v>0</v>
      </c>
      <c r="U161" s="21" t="s">
        <v>1045</v>
      </c>
      <c r="V161" s="21" t="s">
        <v>69</v>
      </c>
      <c r="W161" s="21" t="s">
        <v>1046</v>
      </c>
      <c r="X161" s="0" t="n">
        <v>1.94</v>
      </c>
      <c r="Y161" s="0" t="n">
        <v>16.7</v>
      </c>
      <c r="Z161" s="0" t="n">
        <v>88.7</v>
      </c>
      <c r="AA161" s="21" t="s">
        <v>1041</v>
      </c>
      <c r="AB161" s="21" t="s">
        <v>1047</v>
      </c>
      <c r="AC161" s="21" t="s">
        <v>120</v>
      </c>
      <c r="AD161" s="0" t="n">
        <v>195</v>
      </c>
      <c r="AE161" s="22" t="b">
        <f aca="false">FALSE()</f>
        <v>0</v>
      </c>
      <c r="AF161" s="21" t="s">
        <v>121</v>
      </c>
      <c r="AG161" s="21" t="s">
        <v>1048</v>
      </c>
    </row>
    <row r="162" customFormat="false" ht="15" hidden="false" customHeight="false" outlineLevel="0" collapsed="false">
      <c r="A162" s="0" t="s">
        <v>1049</v>
      </c>
      <c r="B162" s="18" t="s">
        <v>109</v>
      </c>
      <c r="C162" s="19" t="s">
        <v>26</v>
      </c>
      <c r="D162" s="20" t="s">
        <v>31</v>
      </c>
      <c r="E162" s="21" t="s">
        <v>1050</v>
      </c>
      <c r="G162" s="21" t="s">
        <v>111</v>
      </c>
      <c r="H162" s="21" t="s">
        <v>1051</v>
      </c>
      <c r="I162" s="21" t="s">
        <v>113</v>
      </c>
      <c r="J162" s="21" t="s">
        <v>134</v>
      </c>
      <c r="K162" s="0" t="n">
        <v>4</v>
      </c>
      <c r="L162" s="0" t="n">
        <v>1</v>
      </c>
      <c r="M162" s="0" t="n">
        <v>2</v>
      </c>
      <c r="N162" s="0" t="n">
        <v>1</v>
      </c>
      <c r="O162" s="0" t="n">
        <v>0</v>
      </c>
      <c r="P162" s="0" t="n">
        <v>3</v>
      </c>
      <c r="Q162" s="0" t="n">
        <v>1</v>
      </c>
      <c r="R162" s="0" t="n">
        <v>0</v>
      </c>
      <c r="S162" s="0" t="n">
        <v>2</v>
      </c>
      <c r="T162" s="0" t="n">
        <v>1</v>
      </c>
      <c r="U162" s="21" t="s">
        <v>1052</v>
      </c>
      <c r="V162" s="21" t="s">
        <v>69</v>
      </c>
      <c r="W162" s="21" t="s">
        <v>136</v>
      </c>
      <c r="X162" s="0" t="n">
        <v>8.54</v>
      </c>
      <c r="Y162" s="0" t="n">
        <v>9.5</v>
      </c>
      <c r="Z162" s="0" t="n">
        <v>49.2</v>
      </c>
      <c r="AA162" s="21" t="s">
        <v>1047</v>
      </c>
      <c r="AB162" s="21" t="s">
        <v>1053</v>
      </c>
      <c r="AC162" s="21" t="s">
        <v>120</v>
      </c>
      <c r="AD162" s="0" t="n">
        <v>100</v>
      </c>
      <c r="AE162" s="22" t="b">
        <f aca="false">FALSE()</f>
        <v>0</v>
      </c>
      <c r="AF162" s="21" t="s">
        <v>121</v>
      </c>
      <c r="AG162" s="21" t="s">
        <v>1054</v>
      </c>
    </row>
    <row r="163" customFormat="false" ht="15" hidden="false" customHeight="false" outlineLevel="0" collapsed="false">
      <c r="A163" s="0" t="s">
        <v>1055</v>
      </c>
      <c r="B163" s="18" t="s">
        <v>109</v>
      </c>
      <c r="C163" s="19" t="s">
        <v>26</v>
      </c>
      <c r="D163" s="20" t="s">
        <v>31</v>
      </c>
      <c r="E163" s="21" t="s">
        <v>1056</v>
      </c>
      <c r="G163" s="21" t="s">
        <v>127</v>
      </c>
      <c r="H163" s="21" t="s">
        <v>343</v>
      </c>
      <c r="I163" s="21" t="s">
        <v>171</v>
      </c>
      <c r="J163" s="21" t="s">
        <v>134</v>
      </c>
      <c r="K163" s="0" t="n">
        <v>4</v>
      </c>
      <c r="L163" s="0" t="n">
        <v>2</v>
      </c>
      <c r="M163" s="0" t="n">
        <v>1</v>
      </c>
      <c r="N163" s="0" t="n">
        <v>1</v>
      </c>
      <c r="O163" s="0" t="n">
        <v>0</v>
      </c>
      <c r="P163" s="0" t="n">
        <v>3</v>
      </c>
      <c r="Q163" s="0" t="n">
        <v>0</v>
      </c>
      <c r="R163" s="0" t="n">
        <v>0</v>
      </c>
      <c r="S163" s="0" t="n">
        <v>3</v>
      </c>
      <c r="T163" s="0" t="n">
        <v>1</v>
      </c>
      <c r="U163" s="21" t="s">
        <v>1057</v>
      </c>
      <c r="V163" s="21" t="s">
        <v>69</v>
      </c>
      <c r="W163" s="21" t="s">
        <v>345</v>
      </c>
      <c r="X163" s="0" t="n">
        <v>13.95</v>
      </c>
      <c r="Y163" s="0" t="n">
        <v>11.1</v>
      </c>
      <c r="Z163" s="0" t="n">
        <v>48.1</v>
      </c>
      <c r="AA163" s="21" t="s">
        <v>1053</v>
      </c>
      <c r="AB163" s="21" t="s">
        <v>1058</v>
      </c>
      <c r="AC163" s="21" t="s">
        <v>120</v>
      </c>
      <c r="AD163" s="0" t="n">
        <v>101</v>
      </c>
      <c r="AE163" s="22" t="b">
        <f aca="false">FALSE()</f>
        <v>0</v>
      </c>
      <c r="AF163" s="21" t="s">
        <v>121</v>
      </c>
      <c r="AG163" s="21" t="s">
        <v>1059</v>
      </c>
    </row>
    <row r="164" customFormat="false" ht="15" hidden="false" customHeight="false" outlineLevel="0" collapsed="false">
      <c r="A164" s="0" t="s">
        <v>1060</v>
      </c>
      <c r="B164" s="18" t="s">
        <v>109</v>
      </c>
      <c r="C164" s="19" t="s">
        <v>26</v>
      </c>
      <c r="D164" s="20" t="s">
        <v>31</v>
      </c>
      <c r="E164" s="21" t="s">
        <v>1061</v>
      </c>
      <c r="G164" s="21" t="s">
        <v>111</v>
      </c>
      <c r="H164" s="21" t="s">
        <v>229</v>
      </c>
      <c r="I164" s="21" t="s">
        <v>113</v>
      </c>
      <c r="J164" s="21" t="s">
        <v>134</v>
      </c>
      <c r="K164" s="0" t="n">
        <v>4</v>
      </c>
      <c r="L164" s="0" t="n">
        <v>0</v>
      </c>
      <c r="M164" s="0" t="n">
        <v>3</v>
      </c>
      <c r="N164" s="0" t="n">
        <v>1</v>
      </c>
      <c r="O164" s="0" t="n">
        <v>0</v>
      </c>
      <c r="P164" s="0" t="n">
        <v>3</v>
      </c>
      <c r="Q164" s="0" t="n">
        <v>0</v>
      </c>
      <c r="R164" s="0" t="n">
        <v>0</v>
      </c>
      <c r="S164" s="0" t="n">
        <v>3</v>
      </c>
      <c r="T164" s="0" t="n">
        <v>1</v>
      </c>
      <c r="U164" s="21" t="s">
        <v>1062</v>
      </c>
      <c r="V164" s="21" t="s">
        <v>69</v>
      </c>
      <c r="W164" s="21" t="s">
        <v>672</v>
      </c>
      <c r="X164" s="0" t="n">
        <v>2.28</v>
      </c>
      <c r="Y164" s="0" t="n">
        <v>15.3</v>
      </c>
      <c r="Z164" s="0" t="n">
        <v>48.1</v>
      </c>
      <c r="AA164" s="21" t="s">
        <v>1058</v>
      </c>
      <c r="AB164" s="21" t="s">
        <v>1063</v>
      </c>
      <c r="AC164" s="21" t="s">
        <v>120</v>
      </c>
      <c r="AD164" s="0" t="n">
        <v>95</v>
      </c>
      <c r="AE164" s="22" t="b">
        <f aca="false">FALSE()</f>
        <v>0</v>
      </c>
      <c r="AF164" s="21" t="s">
        <v>121</v>
      </c>
      <c r="AG164" s="21" t="s">
        <v>1064</v>
      </c>
    </row>
    <row r="165" customFormat="false" ht="15" hidden="false" customHeight="false" outlineLevel="0" collapsed="false">
      <c r="A165" s="0" t="s">
        <v>1065</v>
      </c>
      <c r="B165" s="20" t="s">
        <v>124</v>
      </c>
      <c r="E165" s="21" t="s">
        <v>125</v>
      </c>
      <c r="F165" s="21" t="s">
        <v>126</v>
      </c>
      <c r="G165" s="21" t="s">
        <v>111</v>
      </c>
      <c r="H165" s="21" t="s">
        <v>128</v>
      </c>
      <c r="I165" s="21" t="s">
        <v>113</v>
      </c>
      <c r="Z165" s="0" t="n">
        <v>0</v>
      </c>
      <c r="AA165" s="21" t="s">
        <v>1066</v>
      </c>
      <c r="AB165" s="21" t="s">
        <v>1066</v>
      </c>
      <c r="AE165" s="22" t="b">
        <f aca="false">FALSE()</f>
        <v>0</v>
      </c>
      <c r="AF165" s="21" t="s">
        <v>121</v>
      </c>
      <c r="AG165" s="21" t="s">
        <v>1067</v>
      </c>
    </row>
    <row r="166" customFormat="false" ht="15" hidden="false" customHeight="false" outlineLevel="0" collapsed="false">
      <c r="A166" s="0" t="s">
        <v>1068</v>
      </c>
      <c r="B166" s="18" t="s">
        <v>109</v>
      </c>
      <c r="C166" s="19" t="s">
        <v>26</v>
      </c>
      <c r="D166" s="20" t="s">
        <v>31</v>
      </c>
      <c r="E166" s="21" t="s">
        <v>1069</v>
      </c>
      <c r="G166" s="21" t="s">
        <v>111</v>
      </c>
      <c r="H166" s="21" t="s">
        <v>203</v>
      </c>
      <c r="I166" s="21" t="s">
        <v>113</v>
      </c>
      <c r="J166" s="21" t="s">
        <v>114</v>
      </c>
      <c r="K166" s="0" t="n">
        <v>8</v>
      </c>
      <c r="L166" s="0" t="n">
        <v>3</v>
      </c>
      <c r="M166" s="0" t="n">
        <v>3</v>
      </c>
      <c r="N166" s="0" t="n">
        <v>2</v>
      </c>
      <c r="O166" s="0" t="n">
        <v>0</v>
      </c>
      <c r="P166" s="0" t="n">
        <v>6</v>
      </c>
      <c r="Q166" s="0" t="n">
        <v>3</v>
      </c>
      <c r="R166" s="0" t="n">
        <v>1</v>
      </c>
      <c r="S166" s="0" t="n">
        <v>2</v>
      </c>
      <c r="T166" s="0" t="n">
        <v>2</v>
      </c>
      <c r="U166" s="21" t="s">
        <v>1070</v>
      </c>
      <c r="V166" s="21" t="s">
        <v>69</v>
      </c>
      <c r="W166" s="21" t="s">
        <v>313</v>
      </c>
      <c r="X166" s="0" t="n">
        <v>4.93</v>
      </c>
      <c r="Y166" s="0" t="n">
        <v>17.5</v>
      </c>
      <c r="Z166" s="0" t="n">
        <v>96.9</v>
      </c>
      <c r="AA166" s="21" t="s">
        <v>1066</v>
      </c>
      <c r="AB166" s="21" t="s">
        <v>1071</v>
      </c>
      <c r="AC166" s="21" t="s">
        <v>120</v>
      </c>
      <c r="AD166" s="0" t="n">
        <v>192</v>
      </c>
      <c r="AE166" s="22" t="b">
        <f aca="false">FALSE()</f>
        <v>0</v>
      </c>
      <c r="AF166" s="21" t="s">
        <v>121</v>
      </c>
      <c r="AG166" s="21" t="s">
        <v>1072</v>
      </c>
    </row>
    <row r="167" customFormat="false" ht="15" hidden="false" customHeight="false" outlineLevel="0" collapsed="false">
      <c r="A167" s="0" t="s">
        <v>1073</v>
      </c>
      <c r="B167" s="18" t="s">
        <v>109</v>
      </c>
      <c r="C167" s="19" t="s">
        <v>26</v>
      </c>
      <c r="D167" s="20" t="s">
        <v>31</v>
      </c>
      <c r="E167" s="21" t="s">
        <v>1074</v>
      </c>
      <c r="G167" s="21" t="s">
        <v>127</v>
      </c>
      <c r="H167" s="21" t="s">
        <v>155</v>
      </c>
      <c r="I167" s="21" t="s">
        <v>113</v>
      </c>
      <c r="J167" s="21" t="s">
        <v>134</v>
      </c>
      <c r="K167" s="0" t="n">
        <v>4</v>
      </c>
      <c r="L167" s="0" t="n">
        <v>2</v>
      </c>
      <c r="M167" s="0" t="n">
        <v>1</v>
      </c>
      <c r="N167" s="0" t="n">
        <v>1</v>
      </c>
      <c r="O167" s="0" t="n">
        <v>0</v>
      </c>
      <c r="P167" s="0" t="n">
        <v>3</v>
      </c>
      <c r="Q167" s="0" t="n">
        <v>2</v>
      </c>
      <c r="R167" s="0" t="n">
        <v>1</v>
      </c>
      <c r="S167" s="0" t="n">
        <v>0</v>
      </c>
      <c r="T167" s="0" t="n">
        <v>1</v>
      </c>
      <c r="U167" s="21" t="s">
        <v>1075</v>
      </c>
      <c r="V167" s="21" t="s">
        <v>69</v>
      </c>
      <c r="W167" s="21" t="s">
        <v>1076</v>
      </c>
      <c r="X167" s="0" t="n">
        <v>6.75</v>
      </c>
      <c r="Y167" s="0" t="n">
        <v>12.1</v>
      </c>
      <c r="Z167" s="0" t="n">
        <v>49.4</v>
      </c>
      <c r="AA167" s="21" t="s">
        <v>1071</v>
      </c>
      <c r="AB167" s="21" t="s">
        <v>1077</v>
      </c>
      <c r="AC167" s="21" t="s">
        <v>120</v>
      </c>
      <c r="AD167" s="0" t="n">
        <v>95</v>
      </c>
      <c r="AE167" s="22" t="b">
        <f aca="false">FALSE()</f>
        <v>0</v>
      </c>
      <c r="AF167" s="21" t="s">
        <v>121</v>
      </c>
      <c r="AG167" s="21" t="s">
        <v>1078</v>
      </c>
    </row>
    <row r="168" customFormat="false" ht="15" hidden="false" customHeight="false" outlineLevel="0" collapsed="false">
      <c r="A168" s="0" t="s">
        <v>1079</v>
      </c>
      <c r="B168" s="18" t="s">
        <v>109</v>
      </c>
      <c r="C168" s="19" t="s">
        <v>26</v>
      </c>
      <c r="D168" s="20" t="s">
        <v>31</v>
      </c>
      <c r="E168" s="21" t="s">
        <v>1080</v>
      </c>
      <c r="G168" s="21" t="s">
        <v>127</v>
      </c>
      <c r="H168" s="21" t="s">
        <v>112</v>
      </c>
      <c r="I168" s="21" t="s">
        <v>113</v>
      </c>
      <c r="J168" s="21" t="s">
        <v>134</v>
      </c>
      <c r="K168" s="0" t="n">
        <v>4</v>
      </c>
      <c r="L168" s="0" t="n">
        <v>0</v>
      </c>
      <c r="M168" s="0" t="n">
        <v>1</v>
      </c>
      <c r="N168" s="0" t="n">
        <v>3</v>
      </c>
      <c r="O168" s="0" t="n">
        <v>0</v>
      </c>
      <c r="P168" s="0" t="n">
        <v>1</v>
      </c>
      <c r="Q168" s="0" t="n">
        <v>0</v>
      </c>
      <c r="R168" s="0" t="n">
        <v>0</v>
      </c>
      <c r="S168" s="0" t="n">
        <v>1</v>
      </c>
      <c r="T168" s="0" t="n">
        <v>3</v>
      </c>
      <c r="U168" s="21" t="s">
        <v>1081</v>
      </c>
      <c r="V168" s="21" t="s">
        <v>69</v>
      </c>
      <c r="W168" s="21" t="s">
        <v>136</v>
      </c>
      <c r="X168" s="0" t="n">
        <v>7.11</v>
      </c>
      <c r="Y168" s="0" t="n">
        <v>11.4</v>
      </c>
      <c r="Z168" s="0" t="n">
        <v>47.9</v>
      </c>
      <c r="AA168" s="21" t="s">
        <v>1077</v>
      </c>
      <c r="AB168" s="21" t="s">
        <v>1082</v>
      </c>
      <c r="AC168" s="21" t="s">
        <v>120</v>
      </c>
      <c r="AD168" s="0" t="n">
        <v>97</v>
      </c>
      <c r="AE168" s="22" t="b">
        <f aca="false">FALSE()</f>
        <v>0</v>
      </c>
      <c r="AF168" s="21" t="s">
        <v>121</v>
      </c>
      <c r="AG168" s="21" t="s">
        <v>1083</v>
      </c>
    </row>
    <row r="169" customFormat="false" ht="15" hidden="false" customHeight="false" outlineLevel="0" collapsed="false">
      <c r="A169" s="0" t="s">
        <v>1084</v>
      </c>
      <c r="B169" s="18" t="s">
        <v>109</v>
      </c>
      <c r="C169" s="19" t="s">
        <v>26</v>
      </c>
      <c r="D169" s="20" t="s">
        <v>31</v>
      </c>
      <c r="E169" s="21" t="s">
        <v>1085</v>
      </c>
      <c r="G169" s="21" t="s">
        <v>111</v>
      </c>
      <c r="H169" s="21" t="s">
        <v>188</v>
      </c>
      <c r="I169" s="21" t="s">
        <v>113</v>
      </c>
      <c r="J169" s="21" t="s">
        <v>114</v>
      </c>
      <c r="K169" s="0" t="n">
        <v>8</v>
      </c>
      <c r="L169" s="0" t="n">
        <v>1</v>
      </c>
      <c r="M169" s="0" t="n">
        <v>6</v>
      </c>
      <c r="N169" s="0" t="n">
        <v>1</v>
      </c>
      <c r="O169" s="0" t="n">
        <v>0</v>
      </c>
      <c r="P169" s="0" t="n">
        <v>7</v>
      </c>
      <c r="Q169" s="0" t="n">
        <v>1</v>
      </c>
      <c r="R169" s="0" t="n">
        <v>1</v>
      </c>
      <c r="S169" s="0" t="n">
        <v>5</v>
      </c>
      <c r="T169" s="0" t="n">
        <v>1</v>
      </c>
      <c r="U169" s="21" t="s">
        <v>1086</v>
      </c>
      <c r="V169" s="21" t="s">
        <v>69</v>
      </c>
      <c r="W169" s="21" t="s">
        <v>301</v>
      </c>
      <c r="X169" s="0" t="n">
        <v>4.55</v>
      </c>
      <c r="Y169" s="0" t="n">
        <v>22.4</v>
      </c>
      <c r="Z169" s="0" t="n">
        <v>88.8</v>
      </c>
      <c r="AA169" s="21" t="s">
        <v>1082</v>
      </c>
      <c r="AB169" s="21" t="s">
        <v>1087</v>
      </c>
      <c r="AC169" s="21" t="s">
        <v>120</v>
      </c>
      <c r="AD169" s="0" t="n">
        <v>193</v>
      </c>
      <c r="AE169" s="22" t="b">
        <f aca="false">FALSE()</f>
        <v>0</v>
      </c>
      <c r="AF169" s="21" t="s">
        <v>121</v>
      </c>
      <c r="AG169" s="21" t="s">
        <v>1088</v>
      </c>
    </row>
    <row r="170" customFormat="false" ht="15" hidden="false" customHeight="false" outlineLevel="0" collapsed="false">
      <c r="A170" s="0" t="s">
        <v>1089</v>
      </c>
      <c r="B170" s="20" t="s">
        <v>124</v>
      </c>
      <c r="E170" s="21" t="s">
        <v>751</v>
      </c>
      <c r="F170" s="21" t="s">
        <v>752</v>
      </c>
      <c r="G170" s="21" t="s">
        <v>111</v>
      </c>
      <c r="H170" s="21" t="s">
        <v>753</v>
      </c>
      <c r="I170" s="21" t="s">
        <v>113</v>
      </c>
      <c r="Z170" s="0" t="n">
        <v>0</v>
      </c>
      <c r="AA170" s="21" t="s">
        <v>1090</v>
      </c>
      <c r="AB170" s="21" t="s">
        <v>1090</v>
      </c>
      <c r="AE170" s="22" t="b">
        <f aca="false">FALSE()</f>
        <v>0</v>
      </c>
      <c r="AF170" s="21" t="s">
        <v>121</v>
      </c>
      <c r="AG170" s="21" t="s">
        <v>1091</v>
      </c>
    </row>
    <row r="171" customFormat="false" ht="15" hidden="false" customHeight="false" outlineLevel="0" collapsed="false">
      <c r="A171" s="0" t="s">
        <v>1092</v>
      </c>
      <c r="B171" s="20" t="s">
        <v>124</v>
      </c>
      <c r="E171" s="21" t="s">
        <v>1093</v>
      </c>
      <c r="F171" s="21" t="s">
        <v>1094</v>
      </c>
      <c r="G171" s="21" t="s">
        <v>111</v>
      </c>
      <c r="H171" s="21" t="s">
        <v>281</v>
      </c>
      <c r="I171" s="21" t="s">
        <v>113</v>
      </c>
      <c r="Z171" s="0" t="n">
        <v>0</v>
      </c>
      <c r="AA171" s="21" t="s">
        <v>1090</v>
      </c>
      <c r="AB171" s="21" t="s">
        <v>1090</v>
      </c>
      <c r="AE171" s="22" t="b">
        <f aca="false">FALSE()</f>
        <v>0</v>
      </c>
      <c r="AF171" s="21" t="s">
        <v>121</v>
      </c>
      <c r="AG171" s="21" t="s">
        <v>1095</v>
      </c>
    </row>
    <row r="172" customFormat="false" ht="15" hidden="false" customHeight="false" outlineLevel="0" collapsed="false">
      <c r="A172" s="0" t="s">
        <v>1096</v>
      </c>
      <c r="B172" s="18" t="s">
        <v>109</v>
      </c>
      <c r="C172" s="20" t="s">
        <v>25</v>
      </c>
      <c r="D172" s="23" t="s">
        <v>30</v>
      </c>
      <c r="E172" s="21" t="s">
        <v>1097</v>
      </c>
      <c r="G172" s="21" t="s">
        <v>111</v>
      </c>
      <c r="H172" s="21" t="s">
        <v>281</v>
      </c>
      <c r="I172" s="21" t="s">
        <v>113</v>
      </c>
      <c r="J172" s="21" t="s">
        <v>114</v>
      </c>
      <c r="K172" s="0" t="n">
        <v>8</v>
      </c>
      <c r="L172" s="0" t="n">
        <v>5</v>
      </c>
      <c r="M172" s="0" t="n">
        <v>3</v>
      </c>
      <c r="N172" s="0" t="n">
        <v>0</v>
      </c>
      <c r="O172" s="0" t="n">
        <v>0</v>
      </c>
      <c r="P172" s="0" t="n">
        <v>8</v>
      </c>
      <c r="Q172" s="0" t="n">
        <v>3</v>
      </c>
      <c r="R172" s="0" t="n">
        <v>1</v>
      </c>
      <c r="S172" s="0" t="n">
        <v>4</v>
      </c>
      <c r="T172" s="0" t="n">
        <v>0</v>
      </c>
      <c r="U172" s="21" t="s">
        <v>1098</v>
      </c>
      <c r="V172" s="21" t="s">
        <v>69</v>
      </c>
      <c r="W172" s="21" t="s">
        <v>1099</v>
      </c>
      <c r="X172" s="0" t="n">
        <v>4.07</v>
      </c>
      <c r="Y172" s="0" t="n">
        <v>10.3</v>
      </c>
      <c r="Z172" s="0" t="n">
        <v>89.6</v>
      </c>
      <c r="AA172" s="21" t="s">
        <v>1100</v>
      </c>
      <c r="AB172" s="21" t="s">
        <v>1101</v>
      </c>
      <c r="AC172" s="21" t="s">
        <v>120</v>
      </c>
      <c r="AD172" s="0" t="n">
        <v>192</v>
      </c>
      <c r="AE172" s="22" t="b">
        <f aca="false">FALSE()</f>
        <v>0</v>
      </c>
      <c r="AF172" s="21" t="s">
        <v>121</v>
      </c>
      <c r="AG172" s="21" t="s">
        <v>1102</v>
      </c>
    </row>
    <row r="173" customFormat="false" ht="15" hidden="false" customHeight="false" outlineLevel="0" collapsed="false">
      <c r="A173" s="0" t="s">
        <v>1103</v>
      </c>
      <c r="B173" s="18" t="s">
        <v>109</v>
      </c>
      <c r="C173" s="20" t="s">
        <v>25</v>
      </c>
      <c r="D173" s="23" t="s">
        <v>30</v>
      </c>
      <c r="E173" s="21" t="s">
        <v>1104</v>
      </c>
      <c r="G173" s="21" t="s">
        <v>111</v>
      </c>
      <c r="H173" s="21" t="s">
        <v>261</v>
      </c>
      <c r="I173" s="21" t="s">
        <v>113</v>
      </c>
      <c r="J173" s="21" t="s">
        <v>114</v>
      </c>
      <c r="K173" s="0" t="n">
        <v>8</v>
      </c>
      <c r="L173" s="0" t="n">
        <v>2</v>
      </c>
      <c r="M173" s="0" t="n">
        <v>6</v>
      </c>
      <c r="N173" s="0" t="n">
        <v>0</v>
      </c>
      <c r="O173" s="0" t="n">
        <v>0</v>
      </c>
      <c r="P173" s="0" t="n">
        <v>8</v>
      </c>
      <c r="Q173" s="0" t="n">
        <v>2</v>
      </c>
      <c r="R173" s="0" t="n">
        <v>5</v>
      </c>
      <c r="S173" s="0" t="n">
        <v>1</v>
      </c>
      <c r="T173" s="0" t="n">
        <v>0</v>
      </c>
      <c r="U173" s="21" t="s">
        <v>1105</v>
      </c>
      <c r="W173" s="21" t="s">
        <v>1106</v>
      </c>
      <c r="X173" s="0" t="n">
        <v>4.53</v>
      </c>
      <c r="Y173" s="0" t="n">
        <v>11.8</v>
      </c>
      <c r="Z173" s="0" t="n">
        <v>94.6</v>
      </c>
      <c r="AA173" s="21" t="s">
        <v>1107</v>
      </c>
      <c r="AB173" s="21" t="s">
        <v>1108</v>
      </c>
      <c r="AC173" s="21" t="s">
        <v>120</v>
      </c>
      <c r="AD173" s="0" t="n">
        <v>196</v>
      </c>
      <c r="AE173" s="22" t="b">
        <f aca="false">FALSE()</f>
        <v>0</v>
      </c>
      <c r="AF173" s="21" t="s">
        <v>121</v>
      </c>
      <c r="AG173" s="21" t="s">
        <v>1109</v>
      </c>
    </row>
    <row r="174" customFormat="false" ht="15" hidden="false" customHeight="false" outlineLevel="0" collapsed="false">
      <c r="A174" s="0" t="s">
        <v>1110</v>
      </c>
      <c r="B174" s="18" t="s">
        <v>109</v>
      </c>
      <c r="C174" s="19" t="s">
        <v>26</v>
      </c>
      <c r="D174" s="20" t="s">
        <v>31</v>
      </c>
      <c r="E174" s="21" t="s">
        <v>1111</v>
      </c>
      <c r="G174" s="21" t="s">
        <v>111</v>
      </c>
      <c r="H174" s="21" t="s">
        <v>195</v>
      </c>
      <c r="I174" s="21" t="s">
        <v>171</v>
      </c>
      <c r="J174" s="21" t="s">
        <v>134</v>
      </c>
      <c r="K174" s="0" t="n">
        <v>4</v>
      </c>
      <c r="L174" s="0" t="n">
        <v>3</v>
      </c>
      <c r="M174" s="0" t="n">
        <v>0</v>
      </c>
      <c r="N174" s="0" t="n">
        <v>1</v>
      </c>
      <c r="O174" s="0" t="n">
        <v>0</v>
      </c>
      <c r="P174" s="0" t="n">
        <v>3</v>
      </c>
      <c r="Q174" s="0" t="n">
        <v>0</v>
      </c>
      <c r="R174" s="0" t="n">
        <v>0</v>
      </c>
      <c r="S174" s="0" t="n">
        <v>3</v>
      </c>
      <c r="T174" s="0" t="n">
        <v>1</v>
      </c>
      <c r="U174" s="21" t="s">
        <v>1112</v>
      </c>
      <c r="V174" s="21" t="s">
        <v>69</v>
      </c>
      <c r="W174" s="21" t="s">
        <v>136</v>
      </c>
      <c r="X174" s="0" t="n">
        <v>12.1</v>
      </c>
      <c r="Y174" s="0" t="n">
        <v>11.2</v>
      </c>
      <c r="Z174" s="0" t="n">
        <v>48.3</v>
      </c>
      <c r="AA174" s="21" t="s">
        <v>1113</v>
      </c>
      <c r="AB174" s="21" t="s">
        <v>1114</v>
      </c>
      <c r="AC174" s="21" t="s">
        <v>120</v>
      </c>
      <c r="AD174" s="0" t="n">
        <v>97</v>
      </c>
      <c r="AE174" s="22" t="b">
        <f aca="false">FALSE()</f>
        <v>0</v>
      </c>
      <c r="AF174" s="21" t="s">
        <v>121</v>
      </c>
      <c r="AG174" s="21" t="s">
        <v>1115</v>
      </c>
    </row>
    <row r="175" customFormat="false" ht="15" hidden="false" customHeight="false" outlineLevel="0" collapsed="false">
      <c r="A175" s="0" t="s">
        <v>1116</v>
      </c>
      <c r="B175" s="18" t="s">
        <v>109</v>
      </c>
      <c r="C175" s="20" t="s">
        <v>25</v>
      </c>
      <c r="D175" s="23" t="s">
        <v>30</v>
      </c>
      <c r="E175" s="21" t="s">
        <v>1117</v>
      </c>
      <c r="G175" s="21" t="s">
        <v>127</v>
      </c>
      <c r="H175" s="21" t="s">
        <v>1051</v>
      </c>
      <c r="I175" s="21" t="s">
        <v>113</v>
      </c>
      <c r="J175" s="21" t="s">
        <v>134</v>
      </c>
      <c r="K175" s="0" t="n">
        <v>4</v>
      </c>
      <c r="L175" s="0" t="n">
        <v>2</v>
      </c>
      <c r="M175" s="0" t="n">
        <v>2</v>
      </c>
      <c r="N175" s="0" t="n">
        <v>0</v>
      </c>
      <c r="O175" s="0" t="n">
        <v>0</v>
      </c>
      <c r="P175" s="0" t="n">
        <v>4</v>
      </c>
      <c r="Q175" s="0" t="n">
        <v>0</v>
      </c>
      <c r="R175" s="0" t="n">
        <v>0</v>
      </c>
      <c r="S175" s="0" t="n">
        <v>4</v>
      </c>
      <c r="T175" s="0" t="n">
        <v>0</v>
      </c>
      <c r="U175" s="21" t="s">
        <v>1118</v>
      </c>
      <c r="V175" s="21" t="s">
        <v>69</v>
      </c>
      <c r="W175" s="21" t="s">
        <v>283</v>
      </c>
      <c r="X175" s="0" t="n">
        <v>2.88</v>
      </c>
      <c r="Y175" s="0" t="n">
        <v>6.7</v>
      </c>
      <c r="Z175" s="0" t="n">
        <v>49</v>
      </c>
      <c r="AA175" s="21" t="s">
        <v>1119</v>
      </c>
      <c r="AB175" s="21" t="s">
        <v>1120</v>
      </c>
      <c r="AC175" s="21" t="s">
        <v>120</v>
      </c>
      <c r="AD175" s="0" t="n">
        <v>98</v>
      </c>
      <c r="AE175" s="22" t="b">
        <f aca="false">FALSE()</f>
        <v>0</v>
      </c>
      <c r="AF175" s="21" t="s">
        <v>121</v>
      </c>
      <c r="AG175" s="21" t="s">
        <v>1121</v>
      </c>
    </row>
    <row r="176" customFormat="false" ht="15" hidden="false" customHeight="false" outlineLevel="0" collapsed="false">
      <c r="A176" s="0" t="s">
        <v>1122</v>
      </c>
      <c r="B176" s="18" t="s">
        <v>109</v>
      </c>
      <c r="C176" s="20" t="s">
        <v>25</v>
      </c>
      <c r="D176" s="23" t="s">
        <v>30</v>
      </c>
      <c r="E176" s="21" t="s">
        <v>1123</v>
      </c>
      <c r="G176" s="21" t="s">
        <v>111</v>
      </c>
      <c r="H176" s="21" t="s">
        <v>887</v>
      </c>
      <c r="I176" s="21" t="s">
        <v>113</v>
      </c>
      <c r="J176" s="21" t="s">
        <v>134</v>
      </c>
      <c r="K176" s="0" t="n">
        <v>4</v>
      </c>
      <c r="L176" s="0" t="n">
        <v>0</v>
      </c>
      <c r="M176" s="0" t="n">
        <v>4</v>
      </c>
      <c r="N176" s="0" t="n">
        <v>0</v>
      </c>
      <c r="O176" s="0" t="n">
        <v>0</v>
      </c>
      <c r="P176" s="0" t="n">
        <v>4</v>
      </c>
      <c r="Q176" s="0" t="n">
        <v>0</v>
      </c>
      <c r="R176" s="0" t="n">
        <v>0</v>
      </c>
      <c r="S176" s="0" t="n">
        <v>4</v>
      </c>
      <c r="T176" s="0" t="n">
        <v>0</v>
      </c>
      <c r="U176" s="21" t="s">
        <v>1124</v>
      </c>
      <c r="V176" s="21" t="s">
        <v>69</v>
      </c>
      <c r="W176" s="21" t="s">
        <v>157</v>
      </c>
      <c r="X176" s="0" t="n">
        <v>1.66</v>
      </c>
      <c r="Y176" s="0" t="n">
        <v>22.7</v>
      </c>
      <c r="Z176" s="0" t="n">
        <v>50.8</v>
      </c>
      <c r="AA176" s="21" t="s">
        <v>1120</v>
      </c>
      <c r="AB176" s="21" t="s">
        <v>1125</v>
      </c>
      <c r="AC176" s="21" t="s">
        <v>120</v>
      </c>
      <c r="AD176" s="0" t="n">
        <v>98</v>
      </c>
      <c r="AE176" s="22" t="b">
        <f aca="false">FALSE()</f>
        <v>0</v>
      </c>
      <c r="AF176" s="21" t="s">
        <v>121</v>
      </c>
      <c r="AG176" s="21" t="s">
        <v>1126</v>
      </c>
    </row>
    <row r="177" customFormat="false" ht="15" hidden="false" customHeight="false" outlineLevel="0" collapsed="false">
      <c r="A177" s="0" t="s">
        <v>1127</v>
      </c>
      <c r="B177" s="20" t="s">
        <v>124</v>
      </c>
      <c r="E177" s="21" t="s">
        <v>1128</v>
      </c>
      <c r="F177" s="21" t="s">
        <v>1129</v>
      </c>
      <c r="G177" s="21" t="s">
        <v>111</v>
      </c>
      <c r="H177" s="21" t="s">
        <v>308</v>
      </c>
      <c r="I177" s="21" t="s">
        <v>113</v>
      </c>
      <c r="Z177" s="0" t="n">
        <v>0</v>
      </c>
      <c r="AA177" s="21" t="s">
        <v>1130</v>
      </c>
      <c r="AB177" s="21" t="s">
        <v>1130</v>
      </c>
      <c r="AE177" s="22" t="b">
        <f aca="false">FALSE()</f>
        <v>0</v>
      </c>
      <c r="AF177" s="21" t="s">
        <v>121</v>
      </c>
      <c r="AG177" s="21" t="s">
        <v>1131</v>
      </c>
    </row>
    <row r="178" customFormat="false" ht="15" hidden="false" customHeight="false" outlineLevel="0" collapsed="false">
      <c r="A178" s="0" t="s">
        <v>1132</v>
      </c>
      <c r="B178" s="18" t="s">
        <v>109</v>
      </c>
      <c r="C178" s="19" t="s">
        <v>26</v>
      </c>
      <c r="D178" s="20" t="s">
        <v>31</v>
      </c>
      <c r="E178" s="21" t="s">
        <v>1133</v>
      </c>
      <c r="G178" s="21" t="s">
        <v>111</v>
      </c>
      <c r="H178" s="21" t="s">
        <v>869</v>
      </c>
      <c r="I178" s="21" t="s">
        <v>113</v>
      </c>
      <c r="J178" s="21" t="s">
        <v>134</v>
      </c>
      <c r="K178" s="0" t="n">
        <v>4</v>
      </c>
      <c r="L178" s="0" t="n">
        <v>2</v>
      </c>
      <c r="M178" s="0" t="n">
        <v>0</v>
      </c>
      <c r="N178" s="0" t="n">
        <v>2</v>
      </c>
      <c r="O178" s="0" t="n">
        <v>0</v>
      </c>
      <c r="P178" s="0" t="n">
        <v>2</v>
      </c>
      <c r="Q178" s="0" t="n">
        <v>1</v>
      </c>
      <c r="R178" s="0" t="n">
        <v>0</v>
      </c>
      <c r="S178" s="0" t="n">
        <v>1</v>
      </c>
      <c r="T178" s="0" t="n">
        <v>2</v>
      </c>
      <c r="U178" s="21" t="s">
        <v>1134</v>
      </c>
      <c r="V178" s="21" t="s">
        <v>69</v>
      </c>
      <c r="W178" s="21" t="s">
        <v>136</v>
      </c>
      <c r="X178" s="0" t="n">
        <v>28.94</v>
      </c>
      <c r="Y178" s="0" t="n">
        <v>7.2</v>
      </c>
      <c r="Z178" s="0" t="n">
        <v>56</v>
      </c>
      <c r="AA178" s="21" t="s">
        <v>1130</v>
      </c>
      <c r="AB178" s="21" t="s">
        <v>1135</v>
      </c>
      <c r="AC178" s="21" t="s">
        <v>120</v>
      </c>
      <c r="AD178" s="0" t="n">
        <v>98</v>
      </c>
      <c r="AE178" s="22" t="b">
        <f aca="false">FALSE()</f>
        <v>0</v>
      </c>
      <c r="AF178" s="21" t="s">
        <v>121</v>
      </c>
      <c r="AG178" s="21" t="s">
        <v>1136</v>
      </c>
    </row>
    <row r="179" customFormat="false" ht="15" hidden="false" customHeight="false" outlineLevel="0" collapsed="false">
      <c r="A179" s="0" t="s">
        <v>1137</v>
      </c>
      <c r="B179" s="18" t="s">
        <v>109</v>
      </c>
      <c r="C179" s="20" t="s">
        <v>25</v>
      </c>
      <c r="D179" s="23" t="s">
        <v>30</v>
      </c>
      <c r="E179" s="21" t="s">
        <v>1138</v>
      </c>
      <c r="G179" s="21" t="s">
        <v>111</v>
      </c>
      <c r="H179" s="21" t="s">
        <v>352</v>
      </c>
      <c r="I179" s="21" t="s">
        <v>113</v>
      </c>
      <c r="J179" s="21" t="s">
        <v>134</v>
      </c>
      <c r="K179" s="0" t="n">
        <v>4</v>
      </c>
      <c r="L179" s="0" t="n">
        <v>2</v>
      </c>
      <c r="M179" s="0" t="n">
        <v>2</v>
      </c>
      <c r="N179" s="0" t="n">
        <v>0</v>
      </c>
      <c r="O179" s="0" t="n">
        <v>0</v>
      </c>
      <c r="P179" s="0" t="n">
        <v>4</v>
      </c>
      <c r="Q179" s="0" t="n">
        <v>2</v>
      </c>
      <c r="R179" s="0" t="n">
        <v>0</v>
      </c>
      <c r="S179" s="0" t="n">
        <v>2</v>
      </c>
      <c r="T179" s="0" t="n">
        <v>0</v>
      </c>
      <c r="U179" s="21" t="s">
        <v>1139</v>
      </c>
      <c r="V179" s="21" t="s">
        <v>69</v>
      </c>
      <c r="W179" s="21" t="s">
        <v>1140</v>
      </c>
      <c r="X179" s="0" t="n">
        <v>1.75</v>
      </c>
      <c r="Y179" s="0" t="n">
        <v>23.4</v>
      </c>
      <c r="Z179" s="0" t="n">
        <v>51.4</v>
      </c>
      <c r="AA179" s="21" t="s">
        <v>1141</v>
      </c>
      <c r="AB179" s="21" t="s">
        <v>1142</v>
      </c>
      <c r="AC179" s="21" t="s">
        <v>120</v>
      </c>
      <c r="AD179" s="0" t="n">
        <v>97</v>
      </c>
      <c r="AE179" s="22" t="b">
        <f aca="false">FALSE()</f>
        <v>0</v>
      </c>
      <c r="AF179" s="21" t="s">
        <v>121</v>
      </c>
      <c r="AG179" s="21" t="s">
        <v>1143</v>
      </c>
    </row>
    <row r="180" customFormat="false" ht="15" hidden="false" customHeight="false" outlineLevel="0" collapsed="false">
      <c r="A180" s="0" t="s">
        <v>1144</v>
      </c>
      <c r="B180" s="20" t="s">
        <v>124</v>
      </c>
      <c r="E180" s="21" t="s">
        <v>1145</v>
      </c>
      <c r="F180" s="21" t="s">
        <v>1146</v>
      </c>
      <c r="G180" s="21" t="s">
        <v>111</v>
      </c>
      <c r="H180" s="21" t="s">
        <v>841</v>
      </c>
      <c r="I180" s="21" t="s">
        <v>113</v>
      </c>
      <c r="Z180" s="0" t="n">
        <v>0</v>
      </c>
      <c r="AA180" s="21" t="s">
        <v>1147</v>
      </c>
      <c r="AB180" s="21" t="s">
        <v>1147</v>
      </c>
      <c r="AE180" s="22" t="b">
        <f aca="false">FALSE()</f>
        <v>0</v>
      </c>
      <c r="AF180" s="21" t="s">
        <v>121</v>
      </c>
      <c r="AG180" s="21" t="s">
        <v>1148</v>
      </c>
    </row>
    <row r="181" customFormat="false" ht="15" hidden="false" customHeight="false" outlineLevel="0" collapsed="false">
      <c r="A181" s="0" t="s">
        <v>1149</v>
      </c>
      <c r="B181" s="18" t="s">
        <v>109</v>
      </c>
      <c r="C181" s="20" t="s">
        <v>25</v>
      </c>
      <c r="D181" s="23" t="s">
        <v>30</v>
      </c>
      <c r="E181" s="21" t="s">
        <v>1150</v>
      </c>
      <c r="G181" s="21" t="s">
        <v>111</v>
      </c>
      <c r="H181" s="21" t="s">
        <v>195</v>
      </c>
      <c r="I181" s="21" t="s">
        <v>113</v>
      </c>
      <c r="J181" s="21" t="s">
        <v>134</v>
      </c>
      <c r="K181" s="0" t="n">
        <v>4</v>
      </c>
      <c r="L181" s="0" t="n">
        <v>1</v>
      </c>
      <c r="M181" s="0" t="n">
        <v>3</v>
      </c>
      <c r="N181" s="0" t="n">
        <v>0</v>
      </c>
      <c r="O181" s="0" t="n">
        <v>0</v>
      </c>
      <c r="P181" s="0" t="n">
        <v>4</v>
      </c>
      <c r="Q181" s="0" t="n">
        <v>0</v>
      </c>
      <c r="R181" s="0" t="n">
        <v>0</v>
      </c>
      <c r="S181" s="0" t="n">
        <v>4</v>
      </c>
      <c r="T181" s="0" t="n">
        <v>0</v>
      </c>
      <c r="U181" s="21" t="s">
        <v>1151</v>
      </c>
      <c r="V181" s="21" t="s">
        <v>69</v>
      </c>
      <c r="W181" s="21" t="s">
        <v>1152</v>
      </c>
      <c r="X181" s="0" t="n">
        <v>2.61</v>
      </c>
      <c r="Y181" s="0" t="n">
        <v>15.5</v>
      </c>
      <c r="Z181" s="0" t="n">
        <v>51.2</v>
      </c>
      <c r="AA181" s="21" t="s">
        <v>1153</v>
      </c>
      <c r="AB181" s="21" t="s">
        <v>1154</v>
      </c>
      <c r="AC181" s="21" t="s">
        <v>120</v>
      </c>
      <c r="AD181" s="0" t="n">
        <v>97</v>
      </c>
      <c r="AE181" s="22" t="b">
        <f aca="false">FALSE()</f>
        <v>0</v>
      </c>
      <c r="AF181" s="21" t="s">
        <v>121</v>
      </c>
      <c r="AG181" s="21" t="s">
        <v>1155</v>
      </c>
    </row>
    <row r="182" customFormat="false" ht="15" hidden="false" customHeight="false" outlineLevel="0" collapsed="false">
      <c r="A182" s="0" t="s">
        <v>1156</v>
      </c>
      <c r="B182" s="18" t="s">
        <v>109</v>
      </c>
      <c r="C182" s="20" t="s">
        <v>25</v>
      </c>
      <c r="D182" s="23" t="s">
        <v>30</v>
      </c>
      <c r="E182" s="21" t="s">
        <v>1157</v>
      </c>
      <c r="G182" s="21" t="s">
        <v>127</v>
      </c>
      <c r="H182" s="21" t="s">
        <v>177</v>
      </c>
      <c r="I182" s="21" t="s">
        <v>113</v>
      </c>
      <c r="J182" s="21" t="s">
        <v>114</v>
      </c>
      <c r="K182" s="0" t="n">
        <v>8</v>
      </c>
      <c r="L182" s="0" t="n">
        <v>0</v>
      </c>
      <c r="M182" s="0" t="n">
        <v>8</v>
      </c>
      <c r="N182" s="0" t="n">
        <v>0</v>
      </c>
      <c r="O182" s="0" t="n">
        <v>0</v>
      </c>
      <c r="P182" s="0" t="n">
        <v>8</v>
      </c>
      <c r="Q182" s="0" t="n">
        <v>0</v>
      </c>
      <c r="R182" s="0" t="n">
        <v>7</v>
      </c>
      <c r="S182" s="0" t="n">
        <v>1</v>
      </c>
      <c r="T182" s="0" t="n">
        <v>0</v>
      </c>
      <c r="U182" s="21" t="s">
        <v>1158</v>
      </c>
      <c r="V182" s="21" t="s">
        <v>69</v>
      </c>
      <c r="W182" s="21" t="s">
        <v>376</v>
      </c>
      <c r="X182" s="0" t="n">
        <v>2.19</v>
      </c>
      <c r="Y182" s="0" t="n">
        <v>24.4</v>
      </c>
      <c r="Z182" s="0" t="n">
        <v>89.9</v>
      </c>
      <c r="AA182" s="21" t="s">
        <v>1159</v>
      </c>
      <c r="AB182" s="21" t="s">
        <v>1160</v>
      </c>
      <c r="AC182" s="21" t="s">
        <v>120</v>
      </c>
      <c r="AD182" s="0" t="n">
        <v>192</v>
      </c>
      <c r="AE182" s="22" t="b">
        <f aca="false">FALSE()</f>
        <v>0</v>
      </c>
      <c r="AF182" s="21" t="s">
        <v>121</v>
      </c>
      <c r="AG182" s="21" t="s">
        <v>1161</v>
      </c>
    </row>
    <row r="183" customFormat="false" ht="15" hidden="false" customHeight="false" outlineLevel="0" collapsed="false">
      <c r="A183" s="0" t="s">
        <v>1162</v>
      </c>
      <c r="B183" s="20" t="s">
        <v>124</v>
      </c>
      <c r="E183" s="21" t="s">
        <v>751</v>
      </c>
      <c r="F183" s="21" t="s">
        <v>752</v>
      </c>
      <c r="G183" s="21" t="s">
        <v>111</v>
      </c>
      <c r="H183" s="21" t="s">
        <v>753</v>
      </c>
      <c r="I183" s="21" t="s">
        <v>113</v>
      </c>
      <c r="Z183" s="0" t="n">
        <v>0</v>
      </c>
      <c r="AA183" s="21" t="s">
        <v>1163</v>
      </c>
      <c r="AB183" s="21" t="s">
        <v>1163</v>
      </c>
      <c r="AE183" s="22" t="b">
        <f aca="false">FALSE()</f>
        <v>0</v>
      </c>
      <c r="AF183" s="21" t="s">
        <v>121</v>
      </c>
      <c r="AG183" s="21" t="s">
        <v>1164</v>
      </c>
    </row>
    <row r="184" customFormat="false" ht="15" hidden="false" customHeight="false" outlineLevel="0" collapsed="false">
      <c r="A184" s="0" t="s">
        <v>1165</v>
      </c>
      <c r="B184" s="20" t="s">
        <v>124</v>
      </c>
      <c r="E184" s="21" t="s">
        <v>1166</v>
      </c>
      <c r="F184" s="21" t="s">
        <v>1167</v>
      </c>
      <c r="G184" s="21" t="s">
        <v>111</v>
      </c>
      <c r="H184" s="21" t="s">
        <v>343</v>
      </c>
      <c r="I184" s="21" t="s">
        <v>113</v>
      </c>
      <c r="Z184" s="0" t="n">
        <v>0</v>
      </c>
      <c r="AA184" s="21" t="s">
        <v>1168</v>
      </c>
      <c r="AB184" s="21" t="s">
        <v>1168</v>
      </c>
      <c r="AE184" s="22" t="b">
        <f aca="false">FALSE()</f>
        <v>0</v>
      </c>
      <c r="AF184" s="21" t="s">
        <v>121</v>
      </c>
      <c r="AG184" s="21" t="s">
        <v>1169</v>
      </c>
    </row>
    <row r="185" customFormat="false" ht="15" hidden="false" customHeight="false" outlineLevel="0" collapsed="false">
      <c r="A185" s="0" t="s">
        <v>1170</v>
      </c>
      <c r="B185" s="18" t="s">
        <v>109</v>
      </c>
      <c r="C185" s="19" t="s">
        <v>26</v>
      </c>
      <c r="D185" s="20" t="s">
        <v>31</v>
      </c>
      <c r="E185" s="21" t="s">
        <v>1171</v>
      </c>
      <c r="G185" s="21" t="s">
        <v>111</v>
      </c>
      <c r="H185" s="21" t="s">
        <v>953</v>
      </c>
      <c r="I185" s="21" t="s">
        <v>113</v>
      </c>
      <c r="J185" s="21" t="s">
        <v>114</v>
      </c>
      <c r="K185" s="0" t="n">
        <v>8</v>
      </c>
      <c r="L185" s="0" t="n">
        <v>1</v>
      </c>
      <c r="M185" s="0" t="n">
        <v>5</v>
      </c>
      <c r="N185" s="0" t="n">
        <v>2</v>
      </c>
      <c r="O185" s="0" t="n">
        <v>0</v>
      </c>
      <c r="P185" s="0" t="n">
        <v>6</v>
      </c>
      <c r="Q185" s="0" t="n">
        <v>0</v>
      </c>
      <c r="R185" s="0" t="n">
        <v>1</v>
      </c>
      <c r="S185" s="0" t="n">
        <v>5</v>
      </c>
      <c r="T185" s="0" t="n">
        <v>2</v>
      </c>
      <c r="U185" s="21" t="s">
        <v>1172</v>
      </c>
      <c r="V185" s="21" t="s">
        <v>69</v>
      </c>
      <c r="W185" s="21" t="s">
        <v>412</v>
      </c>
      <c r="X185" s="0" t="n">
        <v>1.83</v>
      </c>
      <c r="Y185" s="0" t="n">
        <v>22</v>
      </c>
      <c r="Z185" s="0" t="n">
        <v>91</v>
      </c>
      <c r="AA185" s="21" t="s">
        <v>1168</v>
      </c>
      <c r="AB185" s="21" t="s">
        <v>1173</v>
      </c>
      <c r="AC185" s="21" t="s">
        <v>120</v>
      </c>
      <c r="AD185" s="0" t="n">
        <v>193</v>
      </c>
      <c r="AE185" s="22" t="b">
        <f aca="false">FALSE()</f>
        <v>0</v>
      </c>
      <c r="AF185" s="21" t="s">
        <v>121</v>
      </c>
      <c r="AG185" s="21" t="s">
        <v>1174</v>
      </c>
    </row>
    <row r="186" customFormat="false" ht="15" hidden="false" customHeight="false" outlineLevel="0" collapsed="false">
      <c r="A186" s="0" t="s">
        <v>1175</v>
      </c>
      <c r="B186" s="18" t="s">
        <v>109</v>
      </c>
      <c r="C186" s="19" t="s">
        <v>26</v>
      </c>
      <c r="D186" s="20" t="s">
        <v>31</v>
      </c>
      <c r="E186" s="21" t="s">
        <v>1176</v>
      </c>
      <c r="G186" s="21" t="s">
        <v>127</v>
      </c>
      <c r="H186" s="21" t="s">
        <v>261</v>
      </c>
      <c r="I186" s="21" t="s">
        <v>113</v>
      </c>
      <c r="J186" s="21" t="s">
        <v>134</v>
      </c>
      <c r="K186" s="0" t="n">
        <v>4</v>
      </c>
      <c r="L186" s="0" t="n">
        <v>0</v>
      </c>
      <c r="M186" s="0" t="n">
        <v>1</v>
      </c>
      <c r="N186" s="0" t="n">
        <v>3</v>
      </c>
      <c r="O186" s="0" t="n">
        <v>0</v>
      </c>
      <c r="P186" s="0" t="n">
        <v>1</v>
      </c>
      <c r="Q186" s="0" t="n">
        <v>0</v>
      </c>
      <c r="R186" s="0" t="n">
        <v>1</v>
      </c>
      <c r="S186" s="0" t="n">
        <v>0</v>
      </c>
      <c r="T186" s="0" t="n">
        <v>3</v>
      </c>
      <c r="U186" s="21" t="s">
        <v>1177</v>
      </c>
      <c r="V186" s="21" t="s">
        <v>69</v>
      </c>
      <c r="W186" s="21" t="s">
        <v>1178</v>
      </c>
      <c r="X186" s="0" t="n">
        <v>4.58</v>
      </c>
      <c r="Y186" s="0" t="n">
        <v>24.1</v>
      </c>
      <c r="Z186" s="0" t="n">
        <v>51.2</v>
      </c>
      <c r="AA186" s="21" t="s">
        <v>1179</v>
      </c>
      <c r="AB186" s="21" t="s">
        <v>1180</v>
      </c>
      <c r="AC186" s="21" t="s">
        <v>120</v>
      </c>
      <c r="AD186" s="0" t="n">
        <v>105</v>
      </c>
      <c r="AE186" s="22" t="b">
        <f aca="false">FALSE()</f>
        <v>0</v>
      </c>
      <c r="AF186" s="21" t="s">
        <v>121</v>
      </c>
      <c r="AG186" s="21" t="s">
        <v>1181</v>
      </c>
    </row>
    <row r="187" customFormat="false" ht="15" hidden="false" customHeight="false" outlineLevel="0" collapsed="false">
      <c r="A187" s="0" t="s">
        <v>1182</v>
      </c>
      <c r="B187" s="20" t="s">
        <v>124</v>
      </c>
      <c r="E187" s="21" t="s">
        <v>211</v>
      </c>
      <c r="F187" s="21" t="s">
        <v>212</v>
      </c>
      <c r="G187" s="21" t="s">
        <v>111</v>
      </c>
      <c r="H187" s="21" t="s">
        <v>213</v>
      </c>
      <c r="I187" s="21" t="s">
        <v>113</v>
      </c>
      <c r="Z187" s="0" t="n">
        <v>0</v>
      </c>
      <c r="AA187" s="21" t="s">
        <v>1183</v>
      </c>
      <c r="AB187" s="21" t="s">
        <v>1183</v>
      </c>
      <c r="AE187" s="22" t="b">
        <f aca="false">FALSE()</f>
        <v>0</v>
      </c>
      <c r="AF187" s="21" t="s">
        <v>121</v>
      </c>
      <c r="AG187" s="21" t="s">
        <v>1184</v>
      </c>
    </row>
    <row r="188" customFormat="false" ht="15" hidden="false" customHeight="false" outlineLevel="0" collapsed="false">
      <c r="A188" s="0" t="s">
        <v>1185</v>
      </c>
      <c r="B188" s="18" t="s">
        <v>109</v>
      </c>
      <c r="C188" s="19" t="s">
        <v>26</v>
      </c>
      <c r="D188" s="20" t="s">
        <v>31</v>
      </c>
      <c r="E188" s="21" t="s">
        <v>1186</v>
      </c>
      <c r="G188" s="21" t="s">
        <v>111</v>
      </c>
      <c r="H188" s="21" t="s">
        <v>229</v>
      </c>
      <c r="I188" s="21" t="s">
        <v>113</v>
      </c>
      <c r="J188" s="21" t="s">
        <v>134</v>
      </c>
      <c r="K188" s="0" t="n">
        <v>4</v>
      </c>
      <c r="L188" s="0" t="n">
        <v>1</v>
      </c>
      <c r="M188" s="0" t="n">
        <v>2</v>
      </c>
      <c r="N188" s="0" t="n">
        <v>1</v>
      </c>
      <c r="O188" s="0" t="n">
        <v>0</v>
      </c>
      <c r="P188" s="0" t="n">
        <v>3</v>
      </c>
      <c r="Q188" s="0" t="n">
        <v>1</v>
      </c>
      <c r="R188" s="0" t="n">
        <v>1</v>
      </c>
      <c r="S188" s="0" t="n">
        <v>1</v>
      </c>
      <c r="T188" s="0" t="n">
        <v>1</v>
      </c>
      <c r="U188" s="21" t="s">
        <v>1187</v>
      </c>
      <c r="V188" s="21" t="s">
        <v>69</v>
      </c>
      <c r="W188" s="21" t="s">
        <v>672</v>
      </c>
      <c r="X188" s="0" t="n">
        <v>1.36</v>
      </c>
      <c r="Y188" s="0" t="n">
        <v>3.2</v>
      </c>
      <c r="Z188" s="0" t="n">
        <v>47.6</v>
      </c>
      <c r="AA188" s="21" t="s">
        <v>707</v>
      </c>
      <c r="AB188" s="21" t="s">
        <v>1188</v>
      </c>
      <c r="AC188" s="21" t="s">
        <v>120</v>
      </c>
      <c r="AD188" s="0" t="n">
        <v>95</v>
      </c>
      <c r="AE188" s="22" t="b">
        <f aca="false">FALSE()</f>
        <v>0</v>
      </c>
      <c r="AF188" s="21" t="s">
        <v>121</v>
      </c>
      <c r="AG188" s="21" t="s">
        <v>1189</v>
      </c>
    </row>
    <row r="189" customFormat="false" ht="15" hidden="false" customHeight="false" outlineLevel="0" collapsed="false">
      <c r="A189" s="0" t="s">
        <v>1190</v>
      </c>
      <c r="B189" s="18" t="s">
        <v>109</v>
      </c>
      <c r="C189" s="19" t="s">
        <v>26</v>
      </c>
      <c r="D189" s="20" t="s">
        <v>31</v>
      </c>
      <c r="E189" s="21" t="s">
        <v>1191</v>
      </c>
      <c r="G189" s="21" t="s">
        <v>111</v>
      </c>
      <c r="H189" s="21" t="s">
        <v>1192</v>
      </c>
      <c r="I189" s="21" t="s">
        <v>113</v>
      </c>
      <c r="J189" s="21" t="s">
        <v>114</v>
      </c>
      <c r="K189" s="0" t="n">
        <v>8</v>
      </c>
      <c r="L189" s="0" t="n">
        <v>3</v>
      </c>
      <c r="M189" s="0" t="n">
        <v>2</v>
      </c>
      <c r="N189" s="0" t="n">
        <v>3</v>
      </c>
      <c r="O189" s="0" t="n">
        <v>0</v>
      </c>
      <c r="P189" s="0" t="n">
        <v>5</v>
      </c>
      <c r="Q189" s="0" t="n">
        <v>0</v>
      </c>
      <c r="R189" s="0" t="n">
        <v>0</v>
      </c>
      <c r="S189" s="0" t="n">
        <v>5</v>
      </c>
      <c r="T189" s="0" t="n">
        <v>3</v>
      </c>
      <c r="U189" s="21" t="s">
        <v>1193</v>
      </c>
      <c r="V189" s="21" t="s">
        <v>69</v>
      </c>
      <c r="W189" s="21" t="s">
        <v>313</v>
      </c>
      <c r="X189" s="0" t="n">
        <v>7.48</v>
      </c>
      <c r="Y189" s="0" t="n">
        <v>13.8</v>
      </c>
      <c r="Z189" s="0" t="n">
        <v>88.5</v>
      </c>
      <c r="AA189" s="21" t="s">
        <v>1194</v>
      </c>
      <c r="AB189" s="21" t="s">
        <v>1195</v>
      </c>
      <c r="AC189" s="21" t="s">
        <v>120</v>
      </c>
      <c r="AD189" s="0" t="n">
        <v>192</v>
      </c>
      <c r="AE189" s="22" t="b">
        <f aca="false">FALSE()</f>
        <v>0</v>
      </c>
      <c r="AF189" s="21" t="s">
        <v>121</v>
      </c>
      <c r="AG189" s="21" t="s">
        <v>1196</v>
      </c>
    </row>
    <row r="190" customFormat="false" ht="15" hidden="false" customHeight="false" outlineLevel="0" collapsed="false">
      <c r="A190" s="0" t="s">
        <v>1197</v>
      </c>
      <c r="B190" s="18" t="s">
        <v>109</v>
      </c>
      <c r="C190" s="19" t="s">
        <v>26</v>
      </c>
      <c r="D190" s="20" t="s">
        <v>31</v>
      </c>
      <c r="E190" s="21" t="s">
        <v>1198</v>
      </c>
      <c r="G190" s="21" t="s">
        <v>111</v>
      </c>
      <c r="H190" s="21" t="s">
        <v>142</v>
      </c>
      <c r="I190" s="21" t="s">
        <v>113</v>
      </c>
      <c r="J190" s="21" t="s">
        <v>114</v>
      </c>
      <c r="K190" s="0" t="n">
        <v>8</v>
      </c>
      <c r="L190" s="0" t="n">
        <v>0</v>
      </c>
      <c r="M190" s="0" t="n">
        <v>6</v>
      </c>
      <c r="N190" s="0" t="n">
        <v>2</v>
      </c>
      <c r="O190" s="0" t="n">
        <v>0</v>
      </c>
      <c r="P190" s="0" t="n">
        <v>6</v>
      </c>
      <c r="Q190" s="0" t="n">
        <v>0</v>
      </c>
      <c r="R190" s="0" t="n">
        <v>3</v>
      </c>
      <c r="S190" s="0" t="n">
        <v>3</v>
      </c>
      <c r="T190" s="0" t="n">
        <v>2</v>
      </c>
      <c r="U190" s="21" t="s">
        <v>1199</v>
      </c>
      <c r="V190" s="21" t="s">
        <v>69</v>
      </c>
      <c r="W190" s="21" t="s">
        <v>705</v>
      </c>
      <c r="X190" s="0" t="n">
        <v>1.4</v>
      </c>
      <c r="Y190" s="0" t="n">
        <v>13.7</v>
      </c>
      <c r="Z190" s="0" t="n">
        <v>88.4</v>
      </c>
      <c r="AA190" s="21" t="s">
        <v>1200</v>
      </c>
      <c r="AB190" s="21" t="s">
        <v>1201</v>
      </c>
      <c r="AC190" s="21" t="s">
        <v>120</v>
      </c>
      <c r="AD190" s="0" t="n">
        <v>194</v>
      </c>
      <c r="AE190" s="22" t="b">
        <f aca="false">FALSE()</f>
        <v>0</v>
      </c>
      <c r="AF190" s="21" t="s">
        <v>121</v>
      </c>
      <c r="AG190" s="21" t="s">
        <v>1202</v>
      </c>
    </row>
    <row r="191" customFormat="false" ht="15" hidden="false" customHeight="false" outlineLevel="0" collapsed="false">
      <c r="A191" s="0" t="s">
        <v>1203</v>
      </c>
      <c r="B191" s="18" t="s">
        <v>109</v>
      </c>
      <c r="C191" s="20" t="s">
        <v>25</v>
      </c>
      <c r="D191" s="23" t="s">
        <v>30</v>
      </c>
      <c r="E191" s="21" t="s">
        <v>1204</v>
      </c>
      <c r="G191" s="21" t="s">
        <v>127</v>
      </c>
      <c r="H191" s="21" t="s">
        <v>151</v>
      </c>
      <c r="I191" s="21" t="s">
        <v>113</v>
      </c>
      <c r="J191" s="21" t="s">
        <v>114</v>
      </c>
      <c r="K191" s="0" t="n">
        <v>8</v>
      </c>
      <c r="L191" s="0" t="n">
        <v>3</v>
      </c>
      <c r="M191" s="0" t="n">
        <v>5</v>
      </c>
      <c r="N191" s="0" t="n">
        <v>0</v>
      </c>
      <c r="O191" s="0" t="n">
        <v>0</v>
      </c>
      <c r="P191" s="0" t="n">
        <v>8</v>
      </c>
      <c r="Q191" s="0" t="n">
        <v>3</v>
      </c>
      <c r="R191" s="0" t="n">
        <v>3</v>
      </c>
      <c r="S191" s="0" t="n">
        <v>2</v>
      </c>
      <c r="T191" s="0" t="n">
        <v>0</v>
      </c>
      <c r="U191" s="21" t="s">
        <v>1205</v>
      </c>
      <c r="V191" s="21" t="s">
        <v>69</v>
      </c>
      <c r="W191" s="21" t="s">
        <v>197</v>
      </c>
      <c r="X191" s="0" t="n">
        <v>6.74</v>
      </c>
      <c r="Y191" s="0" t="n">
        <v>6</v>
      </c>
      <c r="Z191" s="0" t="n">
        <v>102.1</v>
      </c>
      <c r="AA191" s="21" t="s">
        <v>1206</v>
      </c>
      <c r="AB191" s="21" t="s">
        <v>1207</v>
      </c>
      <c r="AC191" s="21" t="s">
        <v>120</v>
      </c>
      <c r="AD191" s="0" t="n">
        <v>192</v>
      </c>
      <c r="AE191" s="22" t="b">
        <f aca="false">FALSE()</f>
        <v>0</v>
      </c>
      <c r="AF191" s="21" t="s">
        <v>121</v>
      </c>
      <c r="AG191" s="21" t="s">
        <v>1208</v>
      </c>
    </row>
    <row r="192" customFormat="false" ht="15" hidden="false" customHeight="false" outlineLevel="0" collapsed="false">
      <c r="A192" s="0" t="s">
        <v>1209</v>
      </c>
      <c r="B192" s="18" t="s">
        <v>109</v>
      </c>
      <c r="C192" s="19" t="s">
        <v>26</v>
      </c>
      <c r="D192" s="20" t="s">
        <v>31</v>
      </c>
      <c r="E192" s="21" t="s">
        <v>1210</v>
      </c>
      <c r="G192" s="21" t="s">
        <v>111</v>
      </c>
      <c r="H192" s="21" t="s">
        <v>281</v>
      </c>
      <c r="I192" s="21" t="s">
        <v>113</v>
      </c>
      <c r="J192" s="21" t="s">
        <v>134</v>
      </c>
      <c r="K192" s="0" t="n">
        <v>4</v>
      </c>
      <c r="L192" s="0" t="n">
        <v>2</v>
      </c>
      <c r="M192" s="0" t="n">
        <v>0</v>
      </c>
      <c r="N192" s="0" t="n">
        <v>2</v>
      </c>
      <c r="O192" s="0" t="n">
        <v>0</v>
      </c>
      <c r="P192" s="0" t="n">
        <v>2</v>
      </c>
      <c r="Q192" s="0" t="n">
        <v>2</v>
      </c>
      <c r="R192" s="0" t="n">
        <v>0</v>
      </c>
      <c r="S192" s="0" t="n">
        <v>0</v>
      </c>
      <c r="T192" s="0" t="n">
        <v>2</v>
      </c>
      <c r="U192" s="21" t="s">
        <v>1211</v>
      </c>
      <c r="V192" s="21" t="s">
        <v>69</v>
      </c>
      <c r="W192" s="21" t="s">
        <v>529</v>
      </c>
      <c r="X192" s="0" t="n">
        <v>5.68</v>
      </c>
      <c r="Y192" s="0" t="n">
        <v>16</v>
      </c>
      <c r="Z192" s="0" t="n">
        <v>50.7</v>
      </c>
      <c r="AA192" s="21" t="s">
        <v>1212</v>
      </c>
      <c r="AB192" s="21" t="s">
        <v>1213</v>
      </c>
      <c r="AC192" s="21" t="s">
        <v>120</v>
      </c>
      <c r="AD192" s="0" t="n">
        <v>95</v>
      </c>
      <c r="AE192" s="22" t="b">
        <f aca="false">FALSE()</f>
        <v>0</v>
      </c>
      <c r="AF192" s="21" t="s">
        <v>121</v>
      </c>
      <c r="AG192" s="21" t="s">
        <v>1214</v>
      </c>
    </row>
    <row r="193" customFormat="false" ht="15" hidden="false" customHeight="false" outlineLevel="0" collapsed="false">
      <c r="A193" s="0" t="s">
        <v>1215</v>
      </c>
      <c r="B193" s="18" t="s">
        <v>109</v>
      </c>
      <c r="C193" s="19" t="s">
        <v>26</v>
      </c>
      <c r="D193" s="20" t="s">
        <v>31</v>
      </c>
      <c r="E193" s="21" t="s">
        <v>1216</v>
      </c>
      <c r="G193" s="21" t="s">
        <v>111</v>
      </c>
      <c r="H193" s="21" t="s">
        <v>275</v>
      </c>
      <c r="I193" s="21" t="s">
        <v>113</v>
      </c>
      <c r="J193" s="21" t="s">
        <v>134</v>
      </c>
      <c r="K193" s="0" t="n">
        <v>4</v>
      </c>
      <c r="L193" s="0" t="n">
        <v>1</v>
      </c>
      <c r="M193" s="0" t="n">
        <v>2</v>
      </c>
      <c r="N193" s="0" t="n">
        <v>1</v>
      </c>
      <c r="O193" s="0" t="n">
        <v>0</v>
      </c>
      <c r="P193" s="0" t="n">
        <v>3</v>
      </c>
      <c r="Q193" s="0" t="n">
        <v>1</v>
      </c>
      <c r="R193" s="0" t="n">
        <v>0</v>
      </c>
      <c r="S193" s="0" t="n">
        <v>2</v>
      </c>
      <c r="T193" s="0" t="n">
        <v>1</v>
      </c>
      <c r="U193" s="21" t="s">
        <v>1217</v>
      </c>
      <c r="V193" s="21" t="s">
        <v>69</v>
      </c>
      <c r="W193" s="21" t="s">
        <v>136</v>
      </c>
      <c r="X193" s="0" t="n">
        <v>7.28</v>
      </c>
      <c r="Y193" s="0" t="n">
        <v>9.7</v>
      </c>
      <c r="Z193" s="0" t="n">
        <v>49.3</v>
      </c>
      <c r="AA193" s="21" t="s">
        <v>1218</v>
      </c>
      <c r="AB193" s="21" t="s">
        <v>1219</v>
      </c>
      <c r="AC193" s="21" t="s">
        <v>120</v>
      </c>
      <c r="AD193" s="0" t="n">
        <v>99</v>
      </c>
      <c r="AE193" s="22" t="b">
        <f aca="false">FALSE()</f>
        <v>0</v>
      </c>
      <c r="AF193" s="21" t="s">
        <v>121</v>
      </c>
      <c r="AG193" s="21" t="s">
        <v>1220</v>
      </c>
    </row>
    <row r="194" customFormat="false" ht="15" hidden="false" customHeight="false" outlineLevel="0" collapsed="false">
      <c r="A194" s="0" t="s">
        <v>1221</v>
      </c>
      <c r="B194" s="18" t="s">
        <v>109</v>
      </c>
      <c r="C194" s="20" t="s">
        <v>25</v>
      </c>
      <c r="D194" s="23" t="s">
        <v>30</v>
      </c>
      <c r="E194" s="21" t="s">
        <v>1222</v>
      </c>
      <c r="G194" s="21" t="s">
        <v>111</v>
      </c>
      <c r="H194" s="21" t="s">
        <v>261</v>
      </c>
      <c r="I194" s="21" t="s">
        <v>113</v>
      </c>
      <c r="J194" s="21" t="s">
        <v>134</v>
      </c>
      <c r="K194" s="0" t="n">
        <v>4</v>
      </c>
      <c r="L194" s="0" t="n">
        <v>3</v>
      </c>
      <c r="M194" s="0" t="n">
        <v>1</v>
      </c>
      <c r="N194" s="0" t="n">
        <v>0</v>
      </c>
      <c r="O194" s="0" t="n">
        <v>0</v>
      </c>
      <c r="P194" s="0" t="n">
        <v>4</v>
      </c>
      <c r="Q194" s="0" t="n">
        <v>2</v>
      </c>
      <c r="R194" s="0" t="n">
        <v>0</v>
      </c>
      <c r="S194" s="0" t="n">
        <v>2</v>
      </c>
      <c r="T194" s="0" t="n">
        <v>0</v>
      </c>
      <c r="U194" s="21" t="s">
        <v>1223</v>
      </c>
      <c r="V194" s="21" t="s">
        <v>69</v>
      </c>
      <c r="W194" s="21" t="s">
        <v>283</v>
      </c>
      <c r="X194" s="0" t="n">
        <v>3.44</v>
      </c>
      <c r="Y194" s="0" t="n">
        <v>11.6</v>
      </c>
      <c r="Z194" s="0" t="n">
        <v>49.1</v>
      </c>
      <c r="AA194" s="21" t="s">
        <v>1224</v>
      </c>
      <c r="AB194" s="21" t="s">
        <v>1225</v>
      </c>
      <c r="AC194" s="21" t="s">
        <v>120</v>
      </c>
      <c r="AD194" s="0" t="n">
        <v>96</v>
      </c>
      <c r="AE194" s="22" t="b">
        <f aca="false">FALSE()</f>
        <v>0</v>
      </c>
      <c r="AF194" s="21" t="s">
        <v>121</v>
      </c>
      <c r="AG194" s="21" t="s">
        <v>1226</v>
      </c>
    </row>
    <row r="195" customFormat="false" ht="15" hidden="false" customHeight="false" outlineLevel="0" collapsed="false">
      <c r="A195" s="0" t="s">
        <v>1227</v>
      </c>
      <c r="B195" s="18" t="s">
        <v>109</v>
      </c>
      <c r="C195" s="20" t="s">
        <v>25</v>
      </c>
      <c r="D195" s="23" t="s">
        <v>30</v>
      </c>
      <c r="E195" s="21" t="s">
        <v>1228</v>
      </c>
      <c r="G195" s="21" t="s">
        <v>111</v>
      </c>
      <c r="H195" s="21" t="s">
        <v>495</v>
      </c>
      <c r="I195" s="21" t="s">
        <v>113</v>
      </c>
      <c r="J195" s="21" t="s">
        <v>134</v>
      </c>
      <c r="K195" s="0" t="n">
        <v>4</v>
      </c>
      <c r="L195" s="0" t="n">
        <v>1</v>
      </c>
      <c r="M195" s="0" t="n">
        <v>3</v>
      </c>
      <c r="N195" s="0" t="n">
        <v>0</v>
      </c>
      <c r="O195" s="0" t="n">
        <v>0</v>
      </c>
      <c r="P195" s="0" t="n">
        <v>4</v>
      </c>
      <c r="Q195" s="0" t="n">
        <v>1</v>
      </c>
      <c r="R195" s="0" t="n">
        <v>1</v>
      </c>
      <c r="S195" s="0" t="n">
        <v>2</v>
      </c>
      <c r="T195" s="0" t="n">
        <v>0</v>
      </c>
      <c r="U195" s="21" t="s">
        <v>1229</v>
      </c>
      <c r="V195" s="21" t="s">
        <v>69</v>
      </c>
      <c r="W195" s="21" t="s">
        <v>1230</v>
      </c>
      <c r="X195" s="0" t="n">
        <v>19.98</v>
      </c>
      <c r="Y195" s="0" t="n">
        <v>14.9</v>
      </c>
      <c r="Z195" s="0" t="n">
        <v>49.7</v>
      </c>
      <c r="AA195" s="21" t="s">
        <v>1231</v>
      </c>
      <c r="AB195" s="21" t="s">
        <v>1232</v>
      </c>
      <c r="AC195" s="21" t="s">
        <v>120</v>
      </c>
      <c r="AD195" s="0" t="n">
        <v>99</v>
      </c>
      <c r="AE195" s="22" t="b">
        <f aca="false">FALSE()</f>
        <v>0</v>
      </c>
      <c r="AF195" s="21" t="s">
        <v>121</v>
      </c>
      <c r="AG195" s="21" t="s">
        <v>1233</v>
      </c>
    </row>
    <row r="196" customFormat="false" ht="15" hidden="false" customHeight="false" outlineLevel="0" collapsed="false">
      <c r="A196" s="0" t="s">
        <v>1234</v>
      </c>
      <c r="B196" s="18" t="s">
        <v>109</v>
      </c>
      <c r="C196" s="19" t="s">
        <v>26</v>
      </c>
      <c r="D196" s="20" t="s">
        <v>31</v>
      </c>
      <c r="E196" s="21" t="s">
        <v>1235</v>
      </c>
      <c r="G196" s="21" t="s">
        <v>111</v>
      </c>
      <c r="H196" s="21" t="s">
        <v>112</v>
      </c>
      <c r="I196" s="21" t="s">
        <v>113</v>
      </c>
      <c r="J196" s="21" t="s">
        <v>114</v>
      </c>
      <c r="K196" s="0" t="n">
        <v>8</v>
      </c>
      <c r="L196" s="0" t="n">
        <v>2</v>
      </c>
      <c r="M196" s="0" t="n">
        <v>2</v>
      </c>
      <c r="N196" s="0" t="n">
        <v>4</v>
      </c>
      <c r="O196" s="0" t="n">
        <v>0</v>
      </c>
      <c r="P196" s="0" t="n">
        <v>4</v>
      </c>
      <c r="Q196" s="0" t="n">
        <v>2</v>
      </c>
      <c r="R196" s="0" t="n">
        <v>0</v>
      </c>
      <c r="S196" s="0" t="n">
        <v>2</v>
      </c>
      <c r="T196" s="0" t="n">
        <v>4</v>
      </c>
      <c r="U196" s="21" t="s">
        <v>1236</v>
      </c>
      <c r="V196" s="21" t="s">
        <v>69</v>
      </c>
      <c r="W196" s="21" t="s">
        <v>136</v>
      </c>
      <c r="X196" s="0" t="n">
        <v>3.11</v>
      </c>
      <c r="Y196" s="0" t="n">
        <v>11</v>
      </c>
      <c r="Z196" s="0" t="n">
        <v>88.3</v>
      </c>
      <c r="AA196" s="21" t="s">
        <v>1237</v>
      </c>
      <c r="AB196" s="21" t="s">
        <v>1238</v>
      </c>
      <c r="AC196" s="21" t="s">
        <v>120</v>
      </c>
      <c r="AD196" s="0" t="n">
        <v>192</v>
      </c>
      <c r="AE196" s="22" t="b">
        <f aca="false">FALSE()</f>
        <v>0</v>
      </c>
      <c r="AF196" s="21" t="s">
        <v>121</v>
      </c>
      <c r="AG196" s="21" t="s">
        <v>1239</v>
      </c>
    </row>
    <row r="197" customFormat="false" ht="15" hidden="false" customHeight="false" outlineLevel="0" collapsed="false">
      <c r="A197" s="0" t="s">
        <v>1240</v>
      </c>
      <c r="B197" s="18" t="s">
        <v>109</v>
      </c>
      <c r="C197" s="19" t="s">
        <v>26</v>
      </c>
      <c r="D197" s="20" t="s">
        <v>31</v>
      </c>
      <c r="E197" s="21" t="s">
        <v>1241</v>
      </c>
      <c r="G197" s="21" t="s">
        <v>111</v>
      </c>
      <c r="H197" s="21" t="s">
        <v>269</v>
      </c>
      <c r="I197" s="21" t="s">
        <v>113</v>
      </c>
      <c r="J197" s="21" t="s">
        <v>134</v>
      </c>
      <c r="K197" s="0" t="n">
        <v>4</v>
      </c>
      <c r="L197" s="0" t="n">
        <v>2</v>
      </c>
      <c r="M197" s="0" t="n">
        <v>1</v>
      </c>
      <c r="N197" s="0" t="n">
        <v>1</v>
      </c>
      <c r="O197" s="0" t="n">
        <v>0</v>
      </c>
      <c r="P197" s="0" t="n">
        <v>3</v>
      </c>
      <c r="Q197" s="0" t="n">
        <v>0</v>
      </c>
      <c r="R197" s="0" t="n">
        <v>0</v>
      </c>
      <c r="S197" s="0" t="n">
        <v>3</v>
      </c>
      <c r="T197" s="0" t="n">
        <v>1</v>
      </c>
      <c r="U197" s="21" t="s">
        <v>1242</v>
      </c>
      <c r="V197" s="21" t="s">
        <v>116</v>
      </c>
      <c r="W197" s="21" t="s">
        <v>1243</v>
      </c>
      <c r="X197" s="0" t="n">
        <v>20.89</v>
      </c>
      <c r="Y197" s="0" t="n">
        <v>20.2</v>
      </c>
      <c r="Z197" s="0" t="n">
        <v>50.8</v>
      </c>
      <c r="AA197" s="21" t="s">
        <v>1244</v>
      </c>
      <c r="AB197" s="21" t="s">
        <v>1245</v>
      </c>
      <c r="AC197" s="21" t="s">
        <v>120</v>
      </c>
      <c r="AD197" s="0" t="n">
        <v>97</v>
      </c>
      <c r="AE197" s="22" t="b">
        <f aca="false">FALSE()</f>
        <v>0</v>
      </c>
      <c r="AF197" s="21" t="s">
        <v>121</v>
      </c>
      <c r="AG197" s="21" t="s">
        <v>1246</v>
      </c>
    </row>
    <row r="198" customFormat="false" ht="15" hidden="false" customHeight="false" outlineLevel="0" collapsed="false">
      <c r="A198" s="0" t="s">
        <v>1247</v>
      </c>
      <c r="B198" s="18" t="s">
        <v>109</v>
      </c>
      <c r="C198" s="20" t="s">
        <v>25</v>
      </c>
      <c r="D198" s="23" t="s">
        <v>30</v>
      </c>
      <c r="E198" s="21" t="s">
        <v>1248</v>
      </c>
      <c r="G198" s="21" t="s">
        <v>127</v>
      </c>
      <c r="H198" s="21" t="s">
        <v>155</v>
      </c>
      <c r="I198" s="21" t="s">
        <v>171</v>
      </c>
      <c r="J198" s="21" t="s">
        <v>134</v>
      </c>
      <c r="K198" s="0" t="n">
        <v>4</v>
      </c>
      <c r="L198" s="0" t="n">
        <v>0</v>
      </c>
      <c r="M198" s="0" t="n">
        <v>4</v>
      </c>
      <c r="N198" s="0" t="n">
        <v>0</v>
      </c>
      <c r="O198" s="0" t="n">
        <v>0</v>
      </c>
      <c r="P198" s="0" t="n">
        <v>4</v>
      </c>
      <c r="Q198" s="0" t="n">
        <v>0</v>
      </c>
      <c r="R198" s="0" t="n">
        <v>0</v>
      </c>
      <c r="S198" s="0" t="n">
        <v>4</v>
      </c>
      <c r="T198" s="0" t="n">
        <v>0</v>
      </c>
      <c r="U198" s="21" t="s">
        <v>1249</v>
      </c>
      <c r="V198" s="21" t="s">
        <v>69</v>
      </c>
      <c r="W198" s="21" t="s">
        <v>602</v>
      </c>
      <c r="X198" s="0" t="n">
        <v>0.84</v>
      </c>
      <c r="Y198" s="0" t="n">
        <v>7.3</v>
      </c>
      <c r="Z198" s="0" t="n">
        <v>50</v>
      </c>
      <c r="AA198" s="21" t="s">
        <v>1250</v>
      </c>
      <c r="AB198" s="21" t="s">
        <v>1251</v>
      </c>
      <c r="AC198" s="21" t="s">
        <v>120</v>
      </c>
      <c r="AD198" s="0" t="n">
        <v>96</v>
      </c>
      <c r="AE198" s="22" t="b">
        <f aca="false">FALSE()</f>
        <v>0</v>
      </c>
      <c r="AF198" s="21" t="s">
        <v>121</v>
      </c>
      <c r="AG198" s="21" t="s">
        <v>1252</v>
      </c>
    </row>
    <row r="199" customFormat="false" ht="15" hidden="false" customHeight="false" outlineLevel="0" collapsed="false">
      <c r="A199" s="0" t="s">
        <v>1253</v>
      </c>
      <c r="B199" s="18" t="s">
        <v>109</v>
      </c>
      <c r="C199" s="20" t="s">
        <v>25</v>
      </c>
      <c r="D199" s="23" t="s">
        <v>30</v>
      </c>
      <c r="E199" s="21" t="s">
        <v>1254</v>
      </c>
      <c r="G199" s="21" t="s">
        <v>111</v>
      </c>
      <c r="H199" s="21" t="s">
        <v>151</v>
      </c>
      <c r="I199" s="21" t="s">
        <v>113</v>
      </c>
      <c r="J199" s="21" t="s">
        <v>114</v>
      </c>
      <c r="K199" s="0" t="n">
        <v>8</v>
      </c>
      <c r="L199" s="0" t="n">
        <v>6</v>
      </c>
      <c r="M199" s="0" t="n">
        <v>2</v>
      </c>
      <c r="N199" s="0" t="n">
        <v>0</v>
      </c>
      <c r="O199" s="0" t="n">
        <v>0</v>
      </c>
      <c r="P199" s="0" t="n">
        <v>8</v>
      </c>
      <c r="Q199" s="0" t="n">
        <v>2</v>
      </c>
      <c r="R199" s="0" t="n">
        <v>1</v>
      </c>
      <c r="S199" s="0" t="n">
        <v>5</v>
      </c>
      <c r="T199" s="0" t="n">
        <v>0</v>
      </c>
      <c r="U199" s="21" t="s">
        <v>1255</v>
      </c>
      <c r="V199" s="21" t="s">
        <v>70</v>
      </c>
      <c r="W199" s="21" t="s">
        <v>1230</v>
      </c>
      <c r="X199" s="0" t="n">
        <v>2.75</v>
      </c>
      <c r="Y199" s="0" t="n">
        <v>13.6</v>
      </c>
      <c r="Z199" s="0" t="n">
        <v>90.4</v>
      </c>
      <c r="AA199" s="21" t="s">
        <v>1256</v>
      </c>
      <c r="AB199" s="21" t="s">
        <v>1257</v>
      </c>
      <c r="AC199" s="21" t="s">
        <v>120</v>
      </c>
      <c r="AD199" s="0" t="n">
        <v>192</v>
      </c>
      <c r="AE199" s="22" t="b">
        <f aca="false">FALSE()</f>
        <v>0</v>
      </c>
      <c r="AF199" s="21" t="s">
        <v>121</v>
      </c>
      <c r="AG199" s="21" t="s">
        <v>1258</v>
      </c>
    </row>
    <row r="200" customFormat="false" ht="15" hidden="false" customHeight="false" outlineLevel="0" collapsed="false">
      <c r="A200" s="0" t="s">
        <v>1259</v>
      </c>
      <c r="B200" s="18" t="s">
        <v>109</v>
      </c>
      <c r="C200" s="20" t="s">
        <v>25</v>
      </c>
      <c r="D200" s="23" t="s">
        <v>30</v>
      </c>
      <c r="E200" s="21" t="s">
        <v>1260</v>
      </c>
      <c r="G200" s="21" t="s">
        <v>111</v>
      </c>
      <c r="H200" s="21" t="s">
        <v>261</v>
      </c>
      <c r="I200" s="21" t="s">
        <v>113</v>
      </c>
      <c r="J200" s="21" t="s">
        <v>134</v>
      </c>
      <c r="K200" s="0" t="n">
        <v>4</v>
      </c>
      <c r="L200" s="0" t="n">
        <v>1</v>
      </c>
      <c r="M200" s="0" t="n">
        <v>3</v>
      </c>
      <c r="N200" s="0" t="n">
        <v>0</v>
      </c>
      <c r="O200" s="0" t="n">
        <v>0</v>
      </c>
      <c r="P200" s="0" t="n">
        <v>4</v>
      </c>
      <c r="Q200" s="0" t="n">
        <v>1</v>
      </c>
      <c r="R200" s="0" t="n">
        <v>1</v>
      </c>
      <c r="S200" s="0" t="n">
        <v>2</v>
      </c>
      <c r="T200" s="0" t="n">
        <v>0</v>
      </c>
      <c r="U200" s="21" t="s">
        <v>1261</v>
      </c>
      <c r="V200" s="21" t="s">
        <v>69</v>
      </c>
      <c r="W200" s="21" t="s">
        <v>294</v>
      </c>
      <c r="X200" s="0" t="n">
        <v>2.74</v>
      </c>
      <c r="Y200" s="0" t="n">
        <v>14.1</v>
      </c>
      <c r="Z200" s="0" t="n">
        <v>51.4</v>
      </c>
      <c r="AA200" s="21" t="s">
        <v>1262</v>
      </c>
      <c r="AB200" s="21" t="s">
        <v>1263</v>
      </c>
      <c r="AC200" s="21" t="s">
        <v>120</v>
      </c>
      <c r="AD200" s="0" t="n">
        <v>96</v>
      </c>
      <c r="AE200" s="22" t="b">
        <f aca="false">FALSE()</f>
        <v>0</v>
      </c>
      <c r="AF200" s="21" t="s">
        <v>121</v>
      </c>
      <c r="AG200" s="21" t="s">
        <v>1264</v>
      </c>
    </row>
    <row r="201" customFormat="false" ht="15" hidden="false" customHeight="false" outlineLevel="0" collapsed="false">
      <c r="A201" s="0" t="s">
        <v>1265</v>
      </c>
      <c r="B201" s="18" t="s">
        <v>109</v>
      </c>
      <c r="C201" s="20" t="s">
        <v>25</v>
      </c>
      <c r="D201" s="23" t="s">
        <v>30</v>
      </c>
      <c r="E201" s="21" t="s">
        <v>1266</v>
      </c>
      <c r="G201" s="21" t="s">
        <v>111</v>
      </c>
      <c r="H201" s="21" t="s">
        <v>188</v>
      </c>
      <c r="I201" s="21" t="s">
        <v>113</v>
      </c>
      <c r="J201" s="21" t="s">
        <v>134</v>
      </c>
      <c r="K201" s="0" t="n">
        <v>4</v>
      </c>
      <c r="L201" s="0" t="n">
        <v>0</v>
      </c>
      <c r="M201" s="0" t="n">
        <v>4</v>
      </c>
      <c r="N201" s="0" t="n">
        <v>0</v>
      </c>
      <c r="O201" s="0" t="n">
        <v>0</v>
      </c>
      <c r="P201" s="0" t="n">
        <v>4</v>
      </c>
      <c r="Q201" s="0" t="n">
        <v>0</v>
      </c>
      <c r="R201" s="0" t="n">
        <v>0</v>
      </c>
      <c r="S201" s="0" t="n">
        <v>4</v>
      </c>
      <c r="T201" s="0" t="n">
        <v>0</v>
      </c>
      <c r="U201" s="21" t="s">
        <v>1267</v>
      </c>
      <c r="V201" s="21" t="s">
        <v>69</v>
      </c>
      <c r="W201" s="21" t="s">
        <v>197</v>
      </c>
      <c r="X201" s="0" t="n">
        <v>7.92</v>
      </c>
      <c r="Y201" s="0" t="n">
        <v>8.5</v>
      </c>
      <c r="Z201" s="0" t="n">
        <v>53.7</v>
      </c>
      <c r="AA201" s="21" t="s">
        <v>1268</v>
      </c>
      <c r="AB201" s="21" t="s">
        <v>1269</v>
      </c>
      <c r="AC201" s="21" t="s">
        <v>120</v>
      </c>
      <c r="AD201" s="0" t="n">
        <v>99</v>
      </c>
      <c r="AE201" s="22" t="b">
        <f aca="false">FALSE()</f>
        <v>0</v>
      </c>
      <c r="AF201" s="21" t="s">
        <v>121</v>
      </c>
      <c r="AG201" s="21" t="s">
        <v>1270</v>
      </c>
    </row>
    <row r="202" customFormat="false" ht="15" hidden="false" customHeight="false" outlineLevel="0" collapsed="false">
      <c r="A202" s="0" t="s">
        <v>1271</v>
      </c>
      <c r="B202" s="18" t="s">
        <v>109</v>
      </c>
      <c r="C202" s="19" t="s">
        <v>26</v>
      </c>
      <c r="D202" s="20" t="s">
        <v>31</v>
      </c>
      <c r="E202" s="21" t="s">
        <v>1272</v>
      </c>
      <c r="G202" s="21" t="s">
        <v>111</v>
      </c>
      <c r="H202" s="21" t="s">
        <v>177</v>
      </c>
      <c r="I202" s="21" t="s">
        <v>113</v>
      </c>
      <c r="J202" s="21" t="s">
        <v>134</v>
      </c>
      <c r="K202" s="0" t="n">
        <v>4</v>
      </c>
      <c r="L202" s="0" t="n">
        <v>0</v>
      </c>
      <c r="M202" s="0" t="n">
        <v>3</v>
      </c>
      <c r="N202" s="0" t="n">
        <v>1</v>
      </c>
      <c r="O202" s="0" t="n">
        <v>0</v>
      </c>
      <c r="P202" s="0" t="n">
        <v>3</v>
      </c>
      <c r="Q202" s="0" t="n">
        <v>0</v>
      </c>
      <c r="R202" s="0" t="n">
        <v>0</v>
      </c>
      <c r="S202" s="0" t="n">
        <v>3</v>
      </c>
      <c r="T202" s="0" t="n">
        <v>1</v>
      </c>
      <c r="U202" s="21" t="s">
        <v>1273</v>
      </c>
      <c r="W202" s="21" t="s">
        <v>1274</v>
      </c>
      <c r="X202" s="0" t="n">
        <v>1.11</v>
      </c>
      <c r="Y202" s="0" t="n">
        <v>8.2</v>
      </c>
      <c r="Z202" s="0" t="n">
        <v>55.5</v>
      </c>
      <c r="AA202" s="21" t="s">
        <v>1275</v>
      </c>
      <c r="AB202" s="21" t="s">
        <v>1276</v>
      </c>
      <c r="AC202" s="21" t="s">
        <v>120</v>
      </c>
      <c r="AD202" s="0" t="n">
        <v>95</v>
      </c>
      <c r="AE202" s="22" t="b">
        <f aca="false">FALSE()</f>
        <v>0</v>
      </c>
      <c r="AF202" s="21" t="s">
        <v>121</v>
      </c>
      <c r="AG202" s="21" t="s">
        <v>1277</v>
      </c>
    </row>
    <row r="203" customFormat="false" ht="15" hidden="false" customHeight="false" outlineLevel="0" collapsed="false">
      <c r="A203" s="0" t="s">
        <v>1278</v>
      </c>
      <c r="B203" s="18" t="s">
        <v>109</v>
      </c>
      <c r="C203" s="19" t="s">
        <v>26</v>
      </c>
      <c r="D203" s="20" t="s">
        <v>31</v>
      </c>
      <c r="E203" s="21" t="s">
        <v>1279</v>
      </c>
      <c r="G203" s="21" t="s">
        <v>127</v>
      </c>
      <c r="H203" s="21" t="s">
        <v>275</v>
      </c>
      <c r="I203" s="21" t="s">
        <v>113</v>
      </c>
      <c r="J203" s="21" t="s">
        <v>134</v>
      </c>
      <c r="K203" s="0" t="n">
        <v>4</v>
      </c>
      <c r="L203" s="0" t="n">
        <v>2</v>
      </c>
      <c r="M203" s="0" t="n">
        <v>1</v>
      </c>
      <c r="N203" s="0" t="n">
        <v>1</v>
      </c>
      <c r="O203" s="0" t="n">
        <v>0</v>
      </c>
      <c r="P203" s="0" t="n">
        <v>3</v>
      </c>
      <c r="Q203" s="0" t="n">
        <v>2</v>
      </c>
      <c r="R203" s="0" t="n">
        <v>0</v>
      </c>
      <c r="S203" s="0" t="n">
        <v>1</v>
      </c>
      <c r="T203" s="0" t="n">
        <v>1</v>
      </c>
      <c r="U203" s="21" t="s">
        <v>1280</v>
      </c>
      <c r="V203" s="21" t="s">
        <v>69</v>
      </c>
      <c r="W203" s="21" t="s">
        <v>136</v>
      </c>
      <c r="X203" s="0" t="n">
        <v>2.33</v>
      </c>
      <c r="Y203" s="0" t="n">
        <v>7</v>
      </c>
      <c r="Z203" s="0" t="n">
        <v>57</v>
      </c>
      <c r="AA203" s="21" t="s">
        <v>1276</v>
      </c>
      <c r="AB203" s="21" t="s">
        <v>1281</v>
      </c>
      <c r="AC203" s="21" t="s">
        <v>120</v>
      </c>
      <c r="AD203" s="0" t="n">
        <v>96</v>
      </c>
      <c r="AE203" s="22" t="b">
        <f aca="false">FALSE()</f>
        <v>0</v>
      </c>
      <c r="AF203" s="21" t="s">
        <v>121</v>
      </c>
      <c r="AG203" s="21" t="s">
        <v>1282</v>
      </c>
    </row>
    <row r="204" customFormat="false" ht="15" hidden="false" customHeight="false" outlineLevel="0" collapsed="false">
      <c r="A204" s="0" t="s">
        <v>1283</v>
      </c>
      <c r="B204" s="20" t="s">
        <v>124</v>
      </c>
      <c r="E204" s="21" t="s">
        <v>125</v>
      </c>
      <c r="F204" s="21" t="s">
        <v>126</v>
      </c>
      <c r="G204" s="21" t="s">
        <v>111</v>
      </c>
      <c r="H204" s="21" t="s">
        <v>128</v>
      </c>
      <c r="I204" s="21" t="s">
        <v>113</v>
      </c>
      <c r="Z204" s="0" t="n">
        <v>0</v>
      </c>
      <c r="AA204" s="21" t="s">
        <v>1284</v>
      </c>
      <c r="AB204" s="21" t="s">
        <v>1284</v>
      </c>
      <c r="AE204" s="22" t="b">
        <f aca="false">FALSE()</f>
        <v>0</v>
      </c>
      <c r="AF204" s="21" t="s">
        <v>121</v>
      </c>
      <c r="AG204" s="21" t="s">
        <v>1285</v>
      </c>
    </row>
    <row r="205" customFormat="false" ht="15" hidden="false" customHeight="false" outlineLevel="0" collapsed="false">
      <c r="A205" s="0" t="s">
        <v>1286</v>
      </c>
      <c r="B205" s="18" t="s">
        <v>109</v>
      </c>
      <c r="C205" s="19" t="s">
        <v>26</v>
      </c>
      <c r="D205" s="20" t="s">
        <v>31</v>
      </c>
      <c r="E205" s="21" t="s">
        <v>1287</v>
      </c>
      <c r="G205" s="21" t="s">
        <v>111</v>
      </c>
      <c r="H205" s="21" t="s">
        <v>181</v>
      </c>
      <c r="I205" s="21" t="s">
        <v>113</v>
      </c>
      <c r="J205" s="21" t="s">
        <v>134</v>
      </c>
      <c r="K205" s="0" t="n">
        <v>4</v>
      </c>
      <c r="L205" s="0" t="n">
        <v>0</v>
      </c>
      <c r="M205" s="0" t="n">
        <v>2</v>
      </c>
      <c r="N205" s="0" t="n">
        <v>2</v>
      </c>
      <c r="O205" s="0" t="n">
        <v>0</v>
      </c>
      <c r="P205" s="0" t="n">
        <v>2</v>
      </c>
      <c r="Q205" s="0" t="n">
        <v>0</v>
      </c>
      <c r="R205" s="0" t="n">
        <v>1</v>
      </c>
      <c r="S205" s="0" t="n">
        <v>1</v>
      </c>
      <c r="T205" s="0" t="n">
        <v>2</v>
      </c>
      <c r="U205" s="21" t="s">
        <v>1288</v>
      </c>
      <c r="V205" s="21" t="s">
        <v>69</v>
      </c>
      <c r="W205" s="21" t="s">
        <v>224</v>
      </c>
      <c r="X205" s="0" t="n">
        <v>34.4</v>
      </c>
      <c r="Y205" s="0" t="n">
        <v>23.9</v>
      </c>
      <c r="Z205" s="0" t="n">
        <v>58.7</v>
      </c>
      <c r="AA205" s="21" t="s">
        <v>1284</v>
      </c>
      <c r="AB205" s="21" t="s">
        <v>1289</v>
      </c>
      <c r="AC205" s="21" t="s">
        <v>120</v>
      </c>
      <c r="AD205" s="0" t="n">
        <v>97</v>
      </c>
      <c r="AE205" s="22" t="b">
        <f aca="false">FALSE()</f>
        <v>0</v>
      </c>
      <c r="AF205" s="21" t="s">
        <v>121</v>
      </c>
      <c r="AG205" s="21" t="s">
        <v>1290</v>
      </c>
    </row>
    <row r="206" customFormat="false" ht="15" hidden="false" customHeight="false" outlineLevel="0" collapsed="false">
      <c r="A206" s="0" t="s">
        <v>1291</v>
      </c>
      <c r="B206" s="20" t="s">
        <v>124</v>
      </c>
      <c r="E206" s="21" t="s">
        <v>727</v>
      </c>
      <c r="F206" s="21" t="s">
        <v>728</v>
      </c>
      <c r="G206" s="21" t="s">
        <v>111</v>
      </c>
      <c r="H206" s="21" t="s">
        <v>729</v>
      </c>
      <c r="I206" s="21" t="s">
        <v>113</v>
      </c>
      <c r="Z206" s="0" t="n">
        <v>0</v>
      </c>
      <c r="AA206" s="21" t="s">
        <v>1292</v>
      </c>
      <c r="AB206" s="21" t="s">
        <v>1292</v>
      </c>
      <c r="AE206" s="22" t="b">
        <f aca="false">FALSE()</f>
        <v>0</v>
      </c>
      <c r="AF206" s="21" t="s">
        <v>121</v>
      </c>
      <c r="AG206" s="21" t="s">
        <v>1293</v>
      </c>
    </row>
    <row r="207" customFormat="false" ht="15" hidden="false" customHeight="false" outlineLevel="0" collapsed="false">
      <c r="A207" s="0" t="s">
        <v>1294</v>
      </c>
      <c r="B207" s="20" t="s">
        <v>124</v>
      </c>
      <c r="E207" s="21" t="s">
        <v>1295</v>
      </c>
      <c r="F207" s="21" t="s">
        <v>1296</v>
      </c>
      <c r="G207" s="21" t="s">
        <v>127</v>
      </c>
      <c r="H207" s="21" t="s">
        <v>195</v>
      </c>
      <c r="I207" s="21" t="s">
        <v>113</v>
      </c>
      <c r="Z207" s="0" t="n">
        <v>0</v>
      </c>
      <c r="AA207" s="21" t="s">
        <v>1292</v>
      </c>
      <c r="AB207" s="21" t="s">
        <v>1292</v>
      </c>
      <c r="AE207" s="22" t="b">
        <f aca="false">FALSE()</f>
        <v>0</v>
      </c>
      <c r="AF207" s="21" t="s">
        <v>121</v>
      </c>
      <c r="AG207" s="21" t="s">
        <v>1297</v>
      </c>
    </row>
    <row r="208" customFormat="false" ht="15" hidden="false" customHeight="false" outlineLevel="0" collapsed="false">
      <c r="A208" s="0" t="s">
        <v>1298</v>
      </c>
      <c r="B208" s="20" t="s">
        <v>124</v>
      </c>
      <c r="E208" s="21" t="s">
        <v>1299</v>
      </c>
      <c r="F208" s="21" t="s">
        <v>1300</v>
      </c>
      <c r="G208" s="21" t="s">
        <v>111</v>
      </c>
      <c r="H208" s="21" t="s">
        <v>343</v>
      </c>
      <c r="I208" s="21" t="s">
        <v>113</v>
      </c>
      <c r="Z208" s="0" t="n">
        <v>0</v>
      </c>
      <c r="AA208" s="21" t="s">
        <v>1292</v>
      </c>
      <c r="AB208" s="21" t="s">
        <v>1292</v>
      </c>
      <c r="AE208" s="22" t="b">
        <f aca="false">FALSE()</f>
        <v>0</v>
      </c>
      <c r="AF208" s="21" t="s">
        <v>121</v>
      </c>
      <c r="AG208" s="21" t="s">
        <v>1301</v>
      </c>
    </row>
    <row r="209" customFormat="false" ht="15" hidden="false" customHeight="false" outlineLevel="0" collapsed="false">
      <c r="A209" s="0" t="s">
        <v>1302</v>
      </c>
      <c r="B209" s="18" t="s">
        <v>109</v>
      </c>
      <c r="C209" s="19" t="s">
        <v>26</v>
      </c>
      <c r="D209" s="20" t="s">
        <v>31</v>
      </c>
      <c r="E209" s="21" t="s">
        <v>1303</v>
      </c>
      <c r="G209" s="21" t="s">
        <v>127</v>
      </c>
      <c r="H209" s="21" t="s">
        <v>181</v>
      </c>
      <c r="I209" s="21" t="s">
        <v>113</v>
      </c>
      <c r="J209" s="21" t="s">
        <v>134</v>
      </c>
      <c r="K209" s="0" t="n">
        <v>4</v>
      </c>
      <c r="L209" s="0" t="n">
        <v>1</v>
      </c>
      <c r="M209" s="0" t="n">
        <v>2</v>
      </c>
      <c r="N209" s="0" t="n">
        <v>1</v>
      </c>
      <c r="O209" s="0" t="n">
        <v>0</v>
      </c>
      <c r="P209" s="0" t="n">
        <v>3</v>
      </c>
      <c r="Q209" s="0" t="n">
        <v>0</v>
      </c>
      <c r="R209" s="0" t="n">
        <v>1</v>
      </c>
      <c r="S209" s="0" t="n">
        <v>2</v>
      </c>
      <c r="T209" s="0" t="n">
        <v>1</v>
      </c>
      <c r="U209" s="21" t="s">
        <v>1304</v>
      </c>
      <c r="V209" s="21" t="s">
        <v>69</v>
      </c>
      <c r="W209" s="21" t="s">
        <v>239</v>
      </c>
      <c r="X209" s="0" t="n">
        <v>1.64</v>
      </c>
      <c r="Y209" s="0" t="n">
        <v>5.4</v>
      </c>
      <c r="Z209" s="0" t="n">
        <v>57.5</v>
      </c>
      <c r="AA209" s="21" t="s">
        <v>1305</v>
      </c>
      <c r="AB209" s="21" t="s">
        <v>1306</v>
      </c>
      <c r="AC209" s="21" t="s">
        <v>120</v>
      </c>
      <c r="AD209" s="0" t="n">
        <v>96</v>
      </c>
      <c r="AE209" s="22" t="b">
        <f aca="false">FALSE()</f>
        <v>0</v>
      </c>
      <c r="AF209" s="21" t="s">
        <v>121</v>
      </c>
      <c r="AG209" s="21" t="s">
        <v>1307</v>
      </c>
    </row>
    <row r="210" customFormat="false" ht="15" hidden="false" customHeight="false" outlineLevel="0" collapsed="false">
      <c r="A210" s="0" t="s">
        <v>1308</v>
      </c>
      <c r="B210" s="18" t="s">
        <v>109</v>
      </c>
      <c r="C210" s="19" t="s">
        <v>26</v>
      </c>
      <c r="D210" s="20" t="s">
        <v>31</v>
      </c>
      <c r="E210" s="21" t="s">
        <v>1309</v>
      </c>
      <c r="G210" s="21" t="s">
        <v>111</v>
      </c>
      <c r="H210" s="21" t="s">
        <v>229</v>
      </c>
      <c r="I210" s="21" t="s">
        <v>113</v>
      </c>
      <c r="J210" s="21" t="s">
        <v>134</v>
      </c>
      <c r="K210" s="0" t="n">
        <v>4</v>
      </c>
      <c r="L210" s="0" t="n">
        <v>1</v>
      </c>
      <c r="M210" s="0" t="n">
        <v>1</v>
      </c>
      <c r="N210" s="0" t="n">
        <v>2</v>
      </c>
      <c r="O210" s="0" t="n">
        <v>0</v>
      </c>
      <c r="P210" s="0" t="n">
        <v>2</v>
      </c>
      <c r="Q210" s="0" t="n">
        <v>1</v>
      </c>
      <c r="R210" s="0" t="n">
        <v>1</v>
      </c>
      <c r="S210" s="0" t="n">
        <v>0</v>
      </c>
      <c r="T210" s="0" t="n">
        <v>2</v>
      </c>
      <c r="U210" s="21" t="s">
        <v>1310</v>
      </c>
      <c r="V210" s="21" t="s">
        <v>69</v>
      </c>
      <c r="W210" s="21" t="s">
        <v>1311</v>
      </c>
      <c r="X210" s="0" t="n">
        <v>1.46</v>
      </c>
      <c r="Y210" s="0" t="n">
        <v>10.9</v>
      </c>
      <c r="Z210" s="0" t="n">
        <v>57.9</v>
      </c>
      <c r="AA210" s="21" t="s">
        <v>1306</v>
      </c>
      <c r="AB210" s="21" t="s">
        <v>1312</v>
      </c>
      <c r="AC210" s="21" t="s">
        <v>120</v>
      </c>
      <c r="AD210" s="0" t="n">
        <v>97</v>
      </c>
      <c r="AE210" s="22" t="b">
        <f aca="false">FALSE()</f>
        <v>0</v>
      </c>
      <c r="AF210" s="21" t="s">
        <v>121</v>
      </c>
      <c r="AG210" s="21" t="s">
        <v>1313</v>
      </c>
    </row>
    <row r="211" customFormat="false" ht="15" hidden="false" customHeight="false" outlineLevel="0" collapsed="false">
      <c r="A211" s="0" t="s">
        <v>1314</v>
      </c>
      <c r="B211" s="18" t="s">
        <v>109</v>
      </c>
      <c r="C211" s="20" t="s">
        <v>25</v>
      </c>
      <c r="D211" s="23" t="s">
        <v>30</v>
      </c>
      <c r="E211" s="21" t="s">
        <v>1315</v>
      </c>
      <c r="G211" s="21" t="s">
        <v>127</v>
      </c>
      <c r="H211" s="21" t="s">
        <v>237</v>
      </c>
      <c r="I211" s="21" t="s">
        <v>113</v>
      </c>
      <c r="J211" s="21" t="s">
        <v>114</v>
      </c>
      <c r="K211" s="0" t="n">
        <v>8</v>
      </c>
      <c r="L211" s="0" t="n">
        <v>2</v>
      </c>
      <c r="M211" s="0" t="n">
        <v>6</v>
      </c>
      <c r="N211" s="0" t="n">
        <v>0</v>
      </c>
      <c r="O211" s="0" t="n">
        <v>0</v>
      </c>
      <c r="P211" s="0" t="n">
        <v>8</v>
      </c>
      <c r="Q211" s="0" t="n">
        <v>1</v>
      </c>
      <c r="R211" s="0" t="n">
        <v>0</v>
      </c>
      <c r="S211" s="0" t="n">
        <v>7</v>
      </c>
      <c r="T211" s="0" t="n">
        <v>0</v>
      </c>
      <c r="U211" s="21" t="s">
        <v>1316</v>
      </c>
      <c r="V211" s="21" t="s">
        <v>69</v>
      </c>
      <c r="W211" s="21" t="s">
        <v>376</v>
      </c>
      <c r="X211" s="0" t="n">
        <v>1.08</v>
      </c>
      <c r="Y211" s="0" t="n">
        <v>8.3</v>
      </c>
      <c r="Z211" s="0" t="n">
        <v>106.3</v>
      </c>
      <c r="AA211" s="21" t="s">
        <v>1317</v>
      </c>
      <c r="AB211" s="21" t="s">
        <v>1318</v>
      </c>
      <c r="AC211" s="21" t="s">
        <v>120</v>
      </c>
      <c r="AD211" s="0" t="n">
        <v>191</v>
      </c>
      <c r="AE211" s="22" t="b">
        <f aca="false">FALSE()</f>
        <v>0</v>
      </c>
      <c r="AF211" s="21" t="s">
        <v>121</v>
      </c>
      <c r="AG211" s="21" t="s">
        <v>1319</v>
      </c>
    </row>
    <row r="212" customFormat="false" ht="15" hidden="false" customHeight="false" outlineLevel="0" collapsed="false">
      <c r="A212" s="0" t="s">
        <v>1320</v>
      </c>
      <c r="B212" s="18" t="s">
        <v>109</v>
      </c>
      <c r="C212" s="20" t="s">
        <v>25</v>
      </c>
      <c r="D212" s="23" t="s">
        <v>30</v>
      </c>
      <c r="E212" s="21" t="s">
        <v>1321</v>
      </c>
      <c r="G212" s="21" t="s">
        <v>111</v>
      </c>
      <c r="H212" s="21" t="s">
        <v>439</v>
      </c>
      <c r="I212" s="21" t="s">
        <v>171</v>
      </c>
      <c r="J212" s="21" t="s">
        <v>114</v>
      </c>
      <c r="K212" s="0" t="n">
        <v>8</v>
      </c>
      <c r="L212" s="0" t="n">
        <v>7</v>
      </c>
      <c r="M212" s="0" t="n">
        <v>1</v>
      </c>
      <c r="N212" s="0" t="n">
        <v>0</v>
      </c>
      <c r="O212" s="0" t="n">
        <v>0</v>
      </c>
      <c r="P212" s="0" t="n">
        <v>8</v>
      </c>
      <c r="Q212" s="0" t="n">
        <v>2</v>
      </c>
      <c r="R212" s="0" t="n">
        <v>0</v>
      </c>
      <c r="S212" s="0" t="n">
        <v>6</v>
      </c>
      <c r="T212" s="0" t="n">
        <v>0</v>
      </c>
      <c r="U212" s="21" t="s">
        <v>1322</v>
      </c>
      <c r="V212" s="21" t="s">
        <v>69</v>
      </c>
      <c r="W212" s="21" t="s">
        <v>283</v>
      </c>
      <c r="X212" s="0" t="n">
        <v>3.17</v>
      </c>
      <c r="Y212" s="0" t="n">
        <v>14.1</v>
      </c>
      <c r="Z212" s="0" t="n">
        <v>108.7</v>
      </c>
      <c r="AA212" s="21" t="s">
        <v>1318</v>
      </c>
      <c r="AB212" s="21" t="s">
        <v>1323</v>
      </c>
      <c r="AC212" s="21" t="s">
        <v>120</v>
      </c>
      <c r="AD212" s="0" t="n">
        <v>196</v>
      </c>
      <c r="AE212" s="22" t="b">
        <f aca="false">FALSE()</f>
        <v>0</v>
      </c>
      <c r="AF212" s="21" t="s">
        <v>121</v>
      </c>
      <c r="AG212" s="21" t="s">
        <v>1324</v>
      </c>
    </row>
    <row r="213" customFormat="false" ht="15" hidden="false" customHeight="false" outlineLevel="0" collapsed="false">
      <c r="A213" s="0" t="s">
        <v>1325</v>
      </c>
      <c r="B213" s="18" t="s">
        <v>109</v>
      </c>
      <c r="C213" s="20" t="s">
        <v>25</v>
      </c>
      <c r="D213" s="23" t="s">
        <v>30</v>
      </c>
      <c r="E213" s="21" t="s">
        <v>1326</v>
      </c>
      <c r="G213" s="21" t="s">
        <v>111</v>
      </c>
      <c r="H213" s="21" t="s">
        <v>869</v>
      </c>
      <c r="I213" s="21" t="s">
        <v>113</v>
      </c>
      <c r="J213" s="21" t="s">
        <v>134</v>
      </c>
      <c r="K213" s="0" t="n">
        <v>4</v>
      </c>
      <c r="L213" s="0" t="n">
        <v>1</v>
      </c>
      <c r="M213" s="0" t="n">
        <v>3</v>
      </c>
      <c r="N213" s="0" t="n">
        <v>0</v>
      </c>
      <c r="O213" s="0" t="n">
        <v>0</v>
      </c>
      <c r="P213" s="0" t="n">
        <v>4</v>
      </c>
      <c r="Q213" s="0" t="n">
        <v>0</v>
      </c>
      <c r="R213" s="0" t="n">
        <v>0</v>
      </c>
      <c r="S213" s="0" t="n">
        <v>4</v>
      </c>
      <c r="T213" s="0" t="n">
        <v>0</v>
      </c>
      <c r="U213" s="21" t="s">
        <v>1327</v>
      </c>
      <c r="V213" s="21" t="s">
        <v>69</v>
      </c>
      <c r="W213" s="21" t="s">
        <v>183</v>
      </c>
      <c r="X213" s="0" t="n">
        <v>11.32</v>
      </c>
      <c r="Y213" s="0" t="n">
        <v>15.5</v>
      </c>
      <c r="Z213" s="0" t="n">
        <v>59.5</v>
      </c>
      <c r="AA213" s="21" t="s">
        <v>1323</v>
      </c>
      <c r="AB213" s="21" t="s">
        <v>1328</v>
      </c>
      <c r="AC213" s="21" t="s">
        <v>120</v>
      </c>
      <c r="AD213" s="0" t="n">
        <v>101</v>
      </c>
      <c r="AE213" s="22" t="b">
        <f aca="false">FALSE()</f>
        <v>0</v>
      </c>
      <c r="AF213" s="21" t="s">
        <v>121</v>
      </c>
      <c r="AG213" s="21" t="s">
        <v>1329</v>
      </c>
    </row>
    <row r="214" customFormat="false" ht="15" hidden="false" customHeight="false" outlineLevel="0" collapsed="false">
      <c r="A214" s="0" t="s">
        <v>1330</v>
      </c>
      <c r="B214" s="20" t="s">
        <v>124</v>
      </c>
      <c r="E214" s="21" t="s">
        <v>1331</v>
      </c>
      <c r="F214" s="21" t="s">
        <v>1332</v>
      </c>
      <c r="G214" s="21" t="s">
        <v>127</v>
      </c>
      <c r="H214" s="21" t="s">
        <v>765</v>
      </c>
      <c r="I214" s="21" t="s">
        <v>113</v>
      </c>
      <c r="Z214" s="0" t="n">
        <v>0</v>
      </c>
      <c r="AA214" s="21" t="s">
        <v>1328</v>
      </c>
      <c r="AB214" s="21" t="s">
        <v>1328</v>
      </c>
      <c r="AE214" s="22" t="b">
        <f aca="false">FALSE()</f>
        <v>0</v>
      </c>
      <c r="AF214" s="21" t="s">
        <v>121</v>
      </c>
      <c r="AG214" s="21" t="s">
        <v>1333</v>
      </c>
    </row>
    <row r="215" customFormat="false" ht="15" hidden="false" customHeight="false" outlineLevel="0" collapsed="false">
      <c r="A215" s="0" t="s">
        <v>1334</v>
      </c>
      <c r="B215" s="18" t="s">
        <v>109</v>
      </c>
      <c r="C215" s="19" t="s">
        <v>26</v>
      </c>
      <c r="D215" s="20" t="s">
        <v>31</v>
      </c>
      <c r="E215" s="21" t="s">
        <v>1335</v>
      </c>
      <c r="G215" s="21" t="s">
        <v>127</v>
      </c>
      <c r="H215" s="21" t="s">
        <v>133</v>
      </c>
      <c r="I215" s="21" t="s">
        <v>113</v>
      </c>
      <c r="J215" s="21" t="s">
        <v>134</v>
      </c>
      <c r="K215" s="0" t="n">
        <v>4</v>
      </c>
      <c r="L215" s="0" t="n">
        <v>0</v>
      </c>
      <c r="M215" s="0" t="n">
        <v>3</v>
      </c>
      <c r="N215" s="0" t="n">
        <v>1</v>
      </c>
      <c r="O215" s="0" t="n">
        <v>0</v>
      </c>
      <c r="P215" s="0" t="n">
        <v>3</v>
      </c>
      <c r="Q215" s="0" t="n">
        <v>0</v>
      </c>
      <c r="R215" s="0" t="n">
        <v>3</v>
      </c>
      <c r="S215" s="0" t="n">
        <v>0</v>
      </c>
      <c r="T215" s="0" t="n">
        <v>1</v>
      </c>
      <c r="U215" s="21" t="s">
        <v>1336</v>
      </c>
      <c r="V215" s="21" t="s">
        <v>69</v>
      </c>
      <c r="W215" s="21" t="s">
        <v>1337</v>
      </c>
      <c r="X215" s="0" t="n">
        <v>1.19</v>
      </c>
      <c r="Y215" s="0" t="n">
        <v>6.2</v>
      </c>
      <c r="Z215" s="0" t="n">
        <v>61.1</v>
      </c>
      <c r="AA215" s="21" t="s">
        <v>1328</v>
      </c>
      <c r="AB215" s="21" t="s">
        <v>1338</v>
      </c>
      <c r="AC215" s="21" t="s">
        <v>120</v>
      </c>
      <c r="AD215" s="0" t="n">
        <v>109</v>
      </c>
      <c r="AE215" s="22" t="b">
        <f aca="false">FALSE()</f>
        <v>0</v>
      </c>
      <c r="AF215" s="21" t="s">
        <v>121</v>
      </c>
      <c r="AG215" s="21" t="s">
        <v>1339</v>
      </c>
    </row>
    <row r="216" customFormat="false" ht="15" hidden="false" customHeight="false" outlineLevel="0" collapsed="false">
      <c r="A216" s="0" t="s">
        <v>1340</v>
      </c>
      <c r="B216" s="18" t="s">
        <v>109</v>
      </c>
      <c r="C216" s="20" t="s">
        <v>25</v>
      </c>
      <c r="D216" s="23" t="s">
        <v>30</v>
      </c>
      <c r="E216" s="21" t="s">
        <v>1341</v>
      </c>
      <c r="G216" s="21" t="s">
        <v>127</v>
      </c>
      <c r="H216" s="21" t="s">
        <v>575</v>
      </c>
      <c r="I216" s="21" t="s">
        <v>113</v>
      </c>
      <c r="J216" s="21" t="s">
        <v>134</v>
      </c>
      <c r="K216" s="0" t="n">
        <v>4</v>
      </c>
      <c r="L216" s="0" t="n">
        <v>2</v>
      </c>
      <c r="M216" s="0" t="n">
        <v>2</v>
      </c>
      <c r="N216" s="0" t="n">
        <v>0</v>
      </c>
      <c r="O216" s="0" t="n">
        <v>0</v>
      </c>
      <c r="P216" s="0" t="n">
        <v>4</v>
      </c>
      <c r="Q216" s="0" t="n">
        <v>0</v>
      </c>
      <c r="R216" s="0" t="n">
        <v>0</v>
      </c>
      <c r="S216" s="0" t="n">
        <v>4</v>
      </c>
      <c r="T216" s="0" t="n">
        <v>0</v>
      </c>
      <c r="U216" s="21" t="s">
        <v>1342</v>
      </c>
      <c r="V216" s="21" t="s">
        <v>69</v>
      </c>
      <c r="W216" s="21" t="s">
        <v>1343</v>
      </c>
      <c r="X216" s="0" t="n">
        <v>10.79</v>
      </c>
      <c r="Y216" s="0" t="n">
        <v>14.8</v>
      </c>
      <c r="Z216" s="0" t="n">
        <v>60.4</v>
      </c>
      <c r="AA216" s="21" t="s">
        <v>1338</v>
      </c>
      <c r="AB216" s="21" t="s">
        <v>1344</v>
      </c>
      <c r="AC216" s="21" t="s">
        <v>120</v>
      </c>
      <c r="AD216" s="0" t="n">
        <v>108</v>
      </c>
      <c r="AE216" s="22" t="b">
        <f aca="false">FALSE()</f>
        <v>0</v>
      </c>
      <c r="AF216" s="21" t="s">
        <v>121</v>
      </c>
      <c r="AG216" s="21" t="s">
        <v>1345</v>
      </c>
    </row>
    <row r="217" customFormat="false" ht="15" hidden="false" customHeight="false" outlineLevel="0" collapsed="false">
      <c r="A217" s="0" t="s">
        <v>1346</v>
      </c>
      <c r="B217" s="18" t="s">
        <v>109</v>
      </c>
      <c r="C217" s="19" t="s">
        <v>26</v>
      </c>
      <c r="D217" s="20" t="s">
        <v>31</v>
      </c>
      <c r="E217" s="21" t="s">
        <v>1347</v>
      </c>
      <c r="G217" s="21" t="s">
        <v>127</v>
      </c>
      <c r="H217" s="21" t="s">
        <v>170</v>
      </c>
      <c r="I217" s="21" t="s">
        <v>113</v>
      </c>
      <c r="J217" s="21" t="s">
        <v>114</v>
      </c>
      <c r="K217" s="0" t="n">
        <v>8</v>
      </c>
      <c r="L217" s="0" t="n">
        <v>4</v>
      </c>
      <c r="M217" s="0" t="n">
        <v>3</v>
      </c>
      <c r="N217" s="0" t="n">
        <v>1</v>
      </c>
      <c r="O217" s="0" t="n">
        <v>0</v>
      </c>
      <c r="P217" s="0" t="n">
        <v>7</v>
      </c>
      <c r="Q217" s="0" t="n">
        <v>3</v>
      </c>
      <c r="R217" s="0" t="n">
        <v>2</v>
      </c>
      <c r="S217" s="0" t="n">
        <v>2</v>
      </c>
      <c r="T217" s="0" t="n">
        <v>1</v>
      </c>
      <c r="U217" s="21" t="s">
        <v>1348</v>
      </c>
      <c r="V217" s="21" t="s">
        <v>69</v>
      </c>
      <c r="W217" s="21" t="s">
        <v>117</v>
      </c>
      <c r="X217" s="0" t="n">
        <v>2.19</v>
      </c>
      <c r="Y217" s="0" t="n">
        <v>17.2</v>
      </c>
      <c r="Z217" s="0" t="n">
        <v>112</v>
      </c>
      <c r="AA217" s="21" t="s">
        <v>1344</v>
      </c>
      <c r="AB217" s="21" t="s">
        <v>1101</v>
      </c>
      <c r="AC217" s="21" t="s">
        <v>120</v>
      </c>
      <c r="AD217" s="0" t="n">
        <v>195</v>
      </c>
      <c r="AE217" s="22" t="b">
        <f aca="false">FALSE()</f>
        <v>0</v>
      </c>
      <c r="AF217" s="21" t="s">
        <v>121</v>
      </c>
      <c r="AG217" s="21" t="s">
        <v>1349</v>
      </c>
    </row>
    <row r="218" customFormat="false" ht="15" hidden="false" customHeight="false" outlineLevel="0" collapsed="false">
      <c r="A218" s="0" t="s">
        <v>1350</v>
      </c>
      <c r="B218" s="18" t="s">
        <v>109</v>
      </c>
      <c r="C218" s="20" t="s">
        <v>25</v>
      </c>
      <c r="D218" s="23" t="s">
        <v>30</v>
      </c>
      <c r="E218" s="21" t="s">
        <v>1351</v>
      </c>
      <c r="G218" s="21" t="s">
        <v>111</v>
      </c>
      <c r="H218" s="21" t="s">
        <v>299</v>
      </c>
      <c r="I218" s="21" t="s">
        <v>113</v>
      </c>
      <c r="J218" s="21" t="s">
        <v>114</v>
      </c>
      <c r="K218" s="0" t="n">
        <v>8</v>
      </c>
      <c r="L218" s="0" t="n">
        <v>2</v>
      </c>
      <c r="M218" s="0" t="n">
        <v>6</v>
      </c>
      <c r="N218" s="0" t="n">
        <v>0</v>
      </c>
      <c r="O218" s="0" t="n">
        <v>0</v>
      </c>
      <c r="P218" s="0" t="n">
        <v>8</v>
      </c>
      <c r="Q218" s="0" t="n">
        <v>0</v>
      </c>
      <c r="R218" s="0" t="n">
        <v>0</v>
      </c>
      <c r="S218" s="0" t="n">
        <v>8</v>
      </c>
      <c r="T218" s="0" t="n">
        <v>0</v>
      </c>
      <c r="U218" s="21" t="s">
        <v>1352</v>
      </c>
      <c r="V218" s="21" t="s">
        <v>69</v>
      </c>
      <c r="W218" s="21" t="s">
        <v>294</v>
      </c>
      <c r="X218" s="0" t="n">
        <v>2.7</v>
      </c>
      <c r="Y218" s="0" t="n">
        <v>15</v>
      </c>
      <c r="Z218" s="0" t="n">
        <v>110.5</v>
      </c>
      <c r="AA218" s="21" t="s">
        <v>1101</v>
      </c>
      <c r="AB218" s="21" t="s">
        <v>1353</v>
      </c>
      <c r="AC218" s="21" t="s">
        <v>120</v>
      </c>
      <c r="AD218" s="0" t="n">
        <v>193</v>
      </c>
      <c r="AE218" s="22" t="b">
        <f aca="false">FALSE()</f>
        <v>0</v>
      </c>
      <c r="AF218" s="21" t="s">
        <v>121</v>
      </c>
      <c r="AG218" s="21" t="s">
        <v>1354</v>
      </c>
    </row>
    <row r="219" customFormat="false" ht="15" hidden="false" customHeight="false" outlineLevel="0" collapsed="false">
      <c r="A219" s="0" t="s">
        <v>1355</v>
      </c>
      <c r="B219" s="18" t="s">
        <v>109</v>
      </c>
      <c r="C219" s="19" t="s">
        <v>26</v>
      </c>
      <c r="D219" s="20" t="s">
        <v>31</v>
      </c>
      <c r="E219" s="21" t="s">
        <v>1356</v>
      </c>
      <c r="G219" s="21" t="s">
        <v>111</v>
      </c>
      <c r="H219" s="21" t="s">
        <v>841</v>
      </c>
      <c r="I219" s="21" t="s">
        <v>113</v>
      </c>
      <c r="J219" s="21" t="s">
        <v>134</v>
      </c>
      <c r="K219" s="0" t="n">
        <v>4</v>
      </c>
      <c r="L219" s="0" t="n">
        <v>0</v>
      </c>
      <c r="M219" s="0" t="n">
        <v>2</v>
      </c>
      <c r="N219" s="0" t="n">
        <v>2</v>
      </c>
      <c r="O219" s="0" t="n">
        <v>0</v>
      </c>
      <c r="P219" s="0" t="n">
        <v>2</v>
      </c>
      <c r="Q219" s="0" t="n">
        <v>0</v>
      </c>
      <c r="R219" s="0" t="n">
        <v>0</v>
      </c>
      <c r="S219" s="0" t="n">
        <v>2</v>
      </c>
      <c r="T219" s="0" t="n">
        <v>2</v>
      </c>
      <c r="U219" s="21" t="s">
        <v>1357</v>
      </c>
      <c r="V219" s="21" t="s">
        <v>69</v>
      </c>
      <c r="W219" s="21" t="s">
        <v>672</v>
      </c>
      <c r="X219" s="0" t="n">
        <v>4.96</v>
      </c>
      <c r="Y219" s="0" t="n">
        <v>9.8</v>
      </c>
      <c r="Z219" s="0" t="n">
        <v>58.3</v>
      </c>
      <c r="AA219" s="21" t="s">
        <v>1353</v>
      </c>
      <c r="AB219" s="21" t="s">
        <v>1358</v>
      </c>
      <c r="AC219" s="21" t="s">
        <v>120</v>
      </c>
      <c r="AD219" s="0" t="n">
        <v>97</v>
      </c>
      <c r="AE219" s="22" t="b">
        <f aca="false">FALSE()</f>
        <v>0</v>
      </c>
      <c r="AF219" s="21" t="s">
        <v>121</v>
      </c>
      <c r="AG219" s="21" t="s">
        <v>1359</v>
      </c>
    </row>
    <row r="220" customFormat="false" ht="15" hidden="false" customHeight="false" outlineLevel="0" collapsed="false">
      <c r="A220" s="0" t="s">
        <v>1360</v>
      </c>
      <c r="B220" s="18" t="s">
        <v>109</v>
      </c>
      <c r="C220" s="20" t="s">
        <v>25</v>
      </c>
      <c r="D220" s="23" t="s">
        <v>30</v>
      </c>
      <c r="E220" s="21" t="s">
        <v>1361</v>
      </c>
      <c r="G220" s="21" t="s">
        <v>127</v>
      </c>
      <c r="H220" s="21" t="s">
        <v>229</v>
      </c>
      <c r="I220" s="21" t="s">
        <v>171</v>
      </c>
      <c r="J220" s="21" t="s">
        <v>134</v>
      </c>
      <c r="K220" s="0" t="n">
        <v>4</v>
      </c>
      <c r="L220" s="0" t="n">
        <v>1</v>
      </c>
      <c r="M220" s="0" t="n">
        <v>3</v>
      </c>
      <c r="N220" s="0" t="n">
        <v>0</v>
      </c>
      <c r="O220" s="0" t="n">
        <v>0</v>
      </c>
      <c r="P220" s="0" t="n">
        <v>4</v>
      </c>
      <c r="Q220" s="0" t="n">
        <v>1</v>
      </c>
      <c r="R220" s="0" t="n">
        <v>0</v>
      </c>
      <c r="S220" s="0" t="n">
        <v>3</v>
      </c>
      <c r="T220" s="0" t="n">
        <v>0</v>
      </c>
      <c r="U220" s="21" t="s">
        <v>1362</v>
      </c>
      <c r="V220" s="21" t="s">
        <v>69</v>
      </c>
      <c r="W220" s="21" t="s">
        <v>283</v>
      </c>
      <c r="X220" s="0" t="n">
        <v>4.1</v>
      </c>
      <c r="Y220" s="0" t="n">
        <v>3.8</v>
      </c>
      <c r="Z220" s="0" t="n">
        <v>59</v>
      </c>
      <c r="AA220" s="21" t="s">
        <v>1363</v>
      </c>
      <c r="AB220" s="21" t="s">
        <v>1364</v>
      </c>
      <c r="AC220" s="21" t="s">
        <v>120</v>
      </c>
      <c r="AD220" s="0" t="n">
        <v>101</v>
      </c>
      <c r="AE220" s="22" t="b">
        <f aca="false">FALSE()</f>
        <v>0</v>
      </c>
      <c r="AF220" s="21" t="s">
        <v>121</v>
      </c>
      <c r="AG220" s="21" t="s">
        <v>1365</v>
      </c>
    </row>
    <row r="221" customFormat="false" ht="15" hidden="false" customHeight="false" outlineLevel="0" collapsed="false">
      <c r="A221" s="0" t="s">
        <v>1366</v>
      </c>
      <c r="B221" s="20" t="s">
        <v>124</v>
      </c>
      <c r="E221" s="21" t="s">
        <v>1367</v>
      </c>
      <c r="F221" s="21" t="s">
        <v>1368</v>
      </c>
      <c r="G221" s="21" t="s">
        <v>127</v>
      </c>
      <c r="H221" s="21" t="s">
        <v>188</v>
      </c>
      <c r="I221" s="21" t="s">
        <v>113</v>
      </c>
      <c r="Z221" s="0" t="n">
        <v>0</v>
      </c>
      <c r="AA221" s="21" t="s">
        <v>1364</v>
      </c>
      <c r="AB221" s="21" t="s">
        <v>1364</v>
      </c>
      <c r="AE221" s="22" t="b">
        <f aca="false">FALSE()</f>
        <v>0</v>
      </c>
      <c r="AF221" s="21" t="s">
        <v>121</v>
      </c>
      <c r="AG221" s="21" t="s">
        <v>1369</v>
      </c>
    </row>
    <row r="222" customFormat="false" ht="15" hidden="false" customHeight="false" outlineLevel="0" collapsed="false">
      <c r="A222" s="0" t="s">
        <v>1370</v>
      </c>
      <c r="B222" s="18" t="s">
        <v>109</v>
      </c>
      <c r="C222" s="19" t="s">
        <v>26</v>
      </c>
      <c r="D222" s="20" t="s">
        <v>31</v>
      </c>
      <c r="E222" s="21" t="s">
        <v>1371</v>
      </c>
      <c r="G222" s="21" t="s">
        <v>111</v>
      </c>
      <c r="H222" s="21" t="s">
        <v>142</v>
      </c>
      <c r="I222" s="21" t="s">
        <v>113</v>
      </c>
      <c r="J222" s="21" t="s">
        <v>134</v>
      </c>
      <c r="K222" s="0" t="n">
        <v>4</v>
      </c>
      <c r="L222" s="0" t="n">
        <v>0</v>
      </c>
      <c r="M222" s="0" t="n">
        <v>3</v>
      </c>
      <c r="N222" s="0" t="n">
        <v>1</v>
      </c>
      <c r="O222" s="0" t="n">
        <v>0</v>
      </c>
      <c r="P222" s="0" t="n">
        <v>3</v>
      </c>
      <c r="Q222" s="0" t="n">
        <v>0</v>
      </c>
      <c r="R222" s="0" t="n">
        <v>2</v>
      </c>
      <c r="S222" s="0" t="n">
        <v>1</v>
      </c>
      <c r="T222" s="0" t="n">
        <v>1</v>
      </c>
      <c r="U222" s="21" t="s">
        <v>1372</v>
      </c>
      <c r="V222" s="21" t="s">
        <v>69</v>
      </c>
      <c r="W222" s="21" t="s">
        <v>117</v>
      </c>
      <c r="X222" s="0" t="n">
        <v>1.42</v>
      </c>
      <c r="Y222" s="0" t="n">
        <v>20.2</v>
      </c>
      <c r="Z222" s="0" t="n">
        <v>58.9</v>
      </c>
      <c r="AA222" s="21" t="s">
        <v>1364</v>
      </c>
      <c r="AB222" s="21" t="s">
        <v>1373</v>
      </c>
      <c r="AC222" s="21" t="s">
        <v>120</v>
      </c>
      <c r="AD222" s="0" t="n">
        <v>96</v>
      </c>
      <c r="AE222" s="22" t="b">
        <f aca="false">FALSE()</f>
        <v>0</v>
      </c>
      <c r="AF222" s="21" t="s">
        <v>121</v>
      </c>
      <c r="AG222" s="21" t="s">
        <v>1374</v>
      </c>
    </row>
    <row r="223" customFormat="false" ht="15" hidden="false" customHeight="false" outlineLevel="0" collapsed="false">
      <c r="A223" s="0" t="s">
        <v>1375</v>
      </c>
      <c r="B223" s="20" t="s">
        <v>124</v>
      </c>
      <c r="E223" s="21" t="s">
        <v>1376</v>
      </c>
      <c r="F223" s="21" t="s">
        <v>1377</v>
      </c>
      <c r="G223" s="21" t="s">
        <v>127</v>
      </c>
      <c r="H223" s="21" t="s">
        <v>195</v>
      </c>
      <c r="I223" s="21" t="s">
        <v>113</v>
      </c>
      <c r="Z223" s="0" t="n">
        <v>0</v>
      </c>
      <c r="AA223" s="21" t="s">
        <v>1378</v>
      </c>
      <c r="AB223" s="21" t="s">
        <v>1378</v>
      </c>
      <c r="AE223" s="22" t="b">
        <f aca="false">FALSE()</f>
        <v>0</v>
      </c>
      <c r="AF223" s="21" t="s">
        <v>121</v>
      </c>
      <c r="AG223" s="21" t="s">
        <v>1379</v>
      </c>
    </row>
    <row r="224" customFormat="false" ht="15" hidden="false" customHeight="false" outlineLevel="0" collapsed="false">
      <c r="A224" s="0" t="s">
        <v>1380</v>
      </c>
      <c r="B224" s="18" t="s">
        <v>109</v>
      </c>
      <c r="C224" s="20" t="s">
        <v>25</v>
      </c>
      <c r="D224" s="23" t="s">
        <v>30</v>
      </c>
      <c r="E224" s="21" t="s">
        <v>1381</v>
      </c>
      <c r="G224" s="21" t="s">
        <v>111</v>
      </c>
      <c r="H224" s="21" t="s">
        <v>275</v>
      </c>
      <c r="I224" s="21" t="s">
        <v>171</v>
      </c>
      <c r="J224" s="21" t="s">
        <v>134</v>
      </c>
      <c r="K224" s="0" t="n">
        <v>4</v>
      </c>
      <c r="L224" s="0" t="n">
        <v>0</v>
      </c>
      <c r="M224" s="0" t="n">
        <v>4</v>
      </c>
      <c r="N224" s="0" t="n">
        <v>0</v>
      </c>
      <c r="O224" s="0" t="n">
        <v>0</v>
      </c>
      <c r="P224" s="0" t="n">
        <v>4</v>
      </c>
      <c r="Q224" s="0" t="n">
        <v>0</v>
      </c>
      <c r="R224" s="0" t="n">
        <v>0</v>
      </c>
      <c r="S224" s="0" t="n">
        <v>4</v>
      </c>
      <c r="T224" s="0" t="n">
        <v>0</v>
      </c>
      <c r="U224" s="21" t="s">
        <v>1382</v>
      </c>
      <c r="V224" s="21" t="s">
        <v>69</v>
      </c>
      <c r="W224" s="21" t="s">
        <v>1140</v>
      </c>
      <c r="X224" s="0" t="n">
        <v>4.17</v>
      </c>
      <c r="Y224" s="0" t="n">
        <v>31.1</v>
      </c>
      <c r="Z224" s="0" t="n">
        <v>60.1</v>
      </c>
      <c r="AA224" s="21" t="s">
        <v>1378</v>
      </c>
      <c r="AB224" s="21" t="s">
        <v>1383</v>
      </c>
      <c r="AC224" s="21" t="s">
        <v>120</v>
      </c>
      <c r="AD224" s="0" t="n">
        <v>104</v>
      </c>
      <c r="AE224" s="22" t="b">
        <f aca="false">FALSE()</f>
        <v>0</v>
      </c>
      <c r="AF224" s="21" t="s">
        <v>121</v>
      </c>
      <c r="AG224" s="21" t="s">
        <v>1384</v>
      </c>
    </row>
    <row r="225" customFormat="false" ht="15" hidden="false" customHeight="false" outlineLevel="0" collapsed="false">
      <c r="A225" s="0" t="s">
        <v>1385</v>
      </c>
      <c r="B225" s="18" t="s">
        <v>109</v>
      </c>
      <c r="C225" s="20" t="s">
        <v>25</v>
      </c>
      <c r="D225" s="23" t="s">
        <v>30</v>
      </c>
      <c r="E225" s="21" t="s">
        <v>1386</v>
      </c>
      <c r="G225" s="21" t="s">
        <v>127</v>
      </c>
      <c r="H225" s="21" t="s">
        <v>382</v>
      </c>
      <c r="I225" s="21" t="s">
        <v>113</v>
      </c>
      <c r="J225" s="21" t="s">
        <v>134</v>
      </c>
      <c r="K225" s="0" t="n">
        <v>4</v>
      </c>
      <c r="L225" s="0" t="n">
        <v>1</v>
      </c>
      <c r="M225" s="0" t="n">
        <v>3</v>
      </c>
      <c r="N225" s="0" t="n">
        <v>0</v>
      </c>
      <c r="O225" s="0" t="n">
        <v>0</v>
      </c>
      <c r="P225" s="0" t="n">
        <v>4</v>
      </c>
      <c r="Q225" s="0" t="n">
        <v>1</v>
      </c>
      <c r="R225" s="0" t="n">
        <v>1</v>
      </c>
      <c r="S225" s="0" t="n">
        <v>2</v>
      </c>
      <c r="T225" s="0" t="n">
        <v>0</v>
      </c>
      <c r="U225" s="21" t="s">
        <v>1387</v>
      </c>
      <c r="W225" s="21" t="s">
        <v>144</v>
      </c>
      <c r="X225" s="0" t="n">
        <v>2.83</v>
      </c>
      <c r="Y225" s="0" t="n">
        <v>22.3</v>
      </c>
      <c r="Z225" s="0" t="n">
        <v>57.8</v>
      </c>
      <c r="AA225" s="21" t="s">
        <v>1388</v>
      </c>
      <c r="AB225" s="21" t="s">
        <v>1159</v>
      </c>
      <c r="AC225" s="21" t="s">
        <v>120</v>
      </c>
      <c r="AD225" s="0" t="n">
        <v>96</v>
      </c>
      <c r="AE225" s="22" t="b">
        <f aca="false">FALSE()</f>
        <v>0</v>
      </c>
      <c r="AF225" s="21" t="s">
        <v>121</v>
      </c>
      <c r="AG225" s="21" t="s">
        <v>1389</v>
      </c>
    </row>
    <row r="226" customFormat="false" ht="15" hidden="false" customHeight="false" outlineLevel="0" collapsed="false">
      <c r="A226" s="0" t="s">
        <v>1390</v>
      </c>
      <c r="B226" s="18" t="s">
        <v>109</v>
      </c>
      <c r="C226" s="20" t="s">
        <v>25</v>
      </c>
      <c r="D226" s="23" t="s">
        <v>30</v>
      </c>
      <c r="E226" s="21" t="s">
        <v>1391</v>
      </c>
      <c r="G226" s="21" t="s">
        <v>111</v>
      </c>
      <c r="H226" s="21" t="s">
        <v>1192</v>
      </c>
      <c r="I226" s="21" t="s">
        <v>113</v>
      </c>
      <c r="J226" s="21" t="s">
        <v>114</v>
      </c>
      <c r="K226" s="0" t="n">
        <v>8</v>
      </c>
      <c r="L226" s="0" t="n">
        <v>2</v>
      </c>
      <c r="M226" s="0" t="n">
        <v>6</v>
      </c>
      <c r="N226" s="0" t="n">
        <v>0</v>
      </c>
      <c r="O226" s="0" t="n">
        <v>0</v>
      </c>
      <c r="P226" s="0" t="n">
        <v>8</v>
      </c>
      <c r="Q226" s="0" t="n">
        <v>2</v>
      </c>
      <c r="R226" s="0" t="n">
        <v>2</v>
      </c>
      <c r="S226" s="0" t="n">
        <v>4</v>
      </c>
      <c r="T226" s="0" t="n">
        <v>0</v>
      </c>
      <c r="U226" s="21" t="s">
        <v>1392</v>
      </c>
      <c r="V226" s="21" t="s">
        <v>69</v>
      </c>
      <c r="W226" s="21" t="s">
        <v>1393</v>
      </c>
      <c r="X226" s="0" t="n">
        <v>6.29</v>
      </c>
      <c r="Y226" s="0" t="n">
        <v>28.3</v>
      </c>
      <c r="Z226" s="0" t="n">
        <v>108.3</v>
      </c>
      <c r="AA226" s="21" t="s">
        <v>1159</v>
      </c>
      <c r="AB226" s="21" t="s">
        <v>1394</v>
      </c>
      <c r="AC226" s="21" t="s">
        <v>120</v>
      </c>
      <c r="AD226" s="0" t="n">
        <v>195</v>
      </c>
      <c r="AE226" s="22" t="b">
        <f aca="false">FALSE()</f>
        <v>0</v>
      </c>
      <c r="AF226" s="21" t="s">
        <v>121</v>
      </c>
      <c r="AG226" s="21" t="s">
        <v>1395</v>
      </c>
    </row>
    <row r="227" customFormat="false" ht="15" hidden="false" customHeight="false" outlineLevel="0" collapsed="false">
      <c r="A227" s="0" t="s">
        <v>1396</v>
      </c>
      <c r="B227" s="20" t="s">
        <v>124</v>
      </c>
      <c r="E227" s="21" t="s">
        <v>1397</v>
      </c>
      <c r="F227" s="21" t="s">
        <v>1398</v>
      </c>
      <c r="G227" s="21" t="s">
        <v>111</v>
      </c>
      <c r="H227" s="21" t="s">
        <v>575</v>
      </c>
      <c r="I227" s="21" t="s">
        <v>113</v>
      </c>
      <c r="Z227" s="0" t="n">
        <v>0</v>
      </c>
      <c r="AA227" s="21" t="s">
        <v>1394</v>
      </c>
      <c r="AB227" s="21" t="s">
        <v>1394</v>
      </c>
      <c r="AE227" s="22" t="b">
        <f aca="false">FALSE()</f>
        <v>0</v>
      </c>
      <c r="AF227" s="21" t="s">
        <v>121</v>
      </c>
      <c r="AG227" s="21" t="s">
        <v>1399</v>
      </c>
    </row>
    <row r="228" customFormat="false" ht="15" hidden="false" customHeight="false" outlineLevel="0" collapsed="false">
      <c r="A228" s="0" t="s">
        <v>1400</v>
      </c>
      <c r="B228" s="18" t="s">
        <v>109</v>
      </c>
      <c r="C228" s="20" t="s">
        <v>25</v>
      </c>
      <c r="D228" s="23" t="s">
        <v>30</v>
      </c>
      <c r="E228" s="21" t="s">
        <v>1401</v>
      </c>
      <c r="G228" s="21" t="s">
        <v>127</v>
      </c>
      <c r="H228" s="21" t="s">
        <v>439</v>
      </c>
      <c r="I228" s="21" t="s">
        <v>113</v>
      </c>
      <c r="J228" s="21" t="s">
        <v>114</v>
      </c>
      <c r="K228" s="0" t="n">
        <v>8</v>
      </c>
      <c r="L228" s="0" t="n">
        <v>0</v>
      </c>
      <c r="M228" s="0" t="n">
        <v>8</v>
      </c>
      <c r="N228" s="0" t="n">
        <v>0</v>
      </c>
      <c r="O228" s="0" t="n">
        <v>0</v>
      </c>
      <c r="P228" s="0" t="n">
        <v>8</v>
      </c>
      <c r="Q228" s="0" t="n">
        <v>0</v>
      </c>
      <c r="R228" s="0" t="n">
        <v>4</v>
      </c>
      <c r="S228" s="0" t="n">
        <v>4</v>
      </c>
      <c r="T228" s="0" t="n">
        <v>0</v>
      </c>
      <c r="U228" s="21" t="s">
        <v>1402</v>
      </c>
      <c r="V228" s="21" t="s">
        <v>69</v>
      </c>
      <c r="W228" s="21" t="s">
        <v>376</v>
      </c>
      <c r="X228" s="0" t="n">
        <v>0.53</v>
      </c>
      <c r="Y228" s="0" t="n">
        <v>17.9</v>
      </c>
      <c r="Z228" s="0" t="n">
        <v>115.4</v>
      </c>
      <c r="AA228" s="21" t="s">
        <v>1403</v>
      </c>
      <c r="AB228" s="21" t="s">
        <v>1404</v>
      </c>
      <c r="AC228" s="21" t="s">
        <v>120</v>
      </c>
      <c r="AD228" s="0" t="n">
        <v>191</v>
      </c>
      <c r="AE228" s="22" t="b">
        <f aca="false">FALSE()</f>
        <v>0</v>
      </c>
      <c r="AF228" s="21" t="s">
        <v>121</v>
      </c>
      <c r="AG228" s="21" t="s">
        <v>1405</v>
      </c>
    </row>
    <row r="229" customFormat="false" ht="15" hidden="false" customHeight="false" outlineLevel="0" collapsed="false">
      <c r="A229" s="0" t="s">
        <v>1406</v>
      </c>
      <c r="B229" s="18" t="s">
        <v>109</v>
      </c>
      <c r="C229" s="19" t="s">
        <v>26</v>
      </c>
      <c r="D229" s="20" t="s">
        <v>31</v>
      </c>
      <c r="E229" s="21" t="s">
        <v>1407</v>
      </c>
      <c r="G229" s="21" t="s">
        <v>111</v>
      </c>
      <c r="H229" s="21" t="s">
        <v>439</v>
      </c>
      <c r="I229" s="21" t="s">
        <v>113</v>
      </c>
      <c r="J229" s="21" t="s">
        <v>134</v>
      </c>
      <c r="K229" s="0" t="n">
        <v>4</v>
      </c>
      <c r="L229" s="0" t="n">
        <v>0</v>
      </c>
      <c r="M229" s="0" t="n">
        <v>2</v>
      </c>
      <c r="N229" s="0" t="n">
        <v>2</v>
      </c>
      <c r="O229" s="0" t="n">
        <v>0</v>
      </c>
      <c r="P229" s="0" t="n">
        <v>2</v>
      </c>
      <c r="Q229" s="0" t="n">
        <v>0</v>
      </c>
      <c r="R229" s="0" t="n">
        <v>2</v>
      </c>
      <c r="S229" s="0" t="n">
        <v>0</v>
      </c>
      <c r="T229" s="0" t="n">
        <v>2</v>
      </c>
      <c r="U229" s="21" t="s">
        <v>1408</v>
      </c>
      <c r="V229" s="21" t="s">
        <v>69</v>
      </c>
      <c r="W229" s="21" t="s">
        <v>1409</v>
      </c>
      <c r="X229" s="0" t="n">
        <v>0.48</v>
      </c>
      <c r="Y229" s="0" t="n">
        <v>13.6</v>
      </c>
      <c r="Z229" s="0" t="n">
        <v>59.2</v>
      </c>
      <c r="AA229" s="21" t="s">
        <v>1410</v>
      </c>
      <c r="AB229" s="21" t="s">
        <v>1194</v>
      </c>
      <c r="AC229" s="21" t="s">
        <v>120</v>
      </c>
      <c r="AD229" s="0" t="n">
        <v>100</v>
      </c>
      <c r="AE229" s="22" t="b">
        <f aca="false">FALSE()</f>
        <v>0</v>
      </c>
      <c r="AF229" s="21" t="s">
        <v>121</v>
      </c>
      <c r="AG229" s="21" t="s">
        <v>1411</v>
      </c>
    </row>
    <row r="230" customFormat="false" ht="15" hidden="false" customHeight="false" outlineLevel="0" collapsed="false">
      <c r="A230" s="0" t="s">
        <v>1412</v>
      </c>
      <c r="B230" s="18" t="s">
        <v>109</v>
      </c>
      <c r="C230" s="20" t="s">
        <v>25</v>
      </c>
      <c r="D230" s="23" t="s">
        <v>30</v>
      </c>
      <c r="E230" s="21" t="s">
        <v>1413</v>
      </c>
      <c r="G230" s="21" t="s">
        <v>111</v>
      </c>
      <c r="H230" s="21" t="s">
        <v>495</v>
      </c>
      <c r="I230" s="21" t="s">
        <v>113</v>
      </c>
      <c r="J230" s="21" t="s">
        <v>134</v>
      </c>
      <c r="K230" s="0" t="n">
        <v>4</v>
      </c>
      <c r="L230" s="0" t="n">
        <v>3</v>
      </c>
      <c r="M230" s="0" t="n">
        <v>1</v>
      </c>
      <c r="N230" s="0" t="n">
        <v>0</v>
      </c>
      <c r="O230" s="0" t="n">
        <v>0</v>
      </c>
      <c r="P230" s="0" t="n">
        <v>4</v>
      </c>
      <c r="Q230" s="0" t="n">
        <v>0</v>
      </c>
      <c r="R230" s="0" t="n">
        <v>0</v>
      </c>
      <c r="S230" s="0" t="n">
        <v>4</v>
      </c>
      <c r="T230" s="0" t="n">
        <v>0</v>
      </c>
      <c r="U230" s="21" t="s">
        <v>1414</v>
      </c>
      <c r="V230" s="21" t="s">
        <v>69</v>
      </c>
      <c r="W230" s="21" t="s">
        <v>283</v>
      </c>
      <c r="X230" s="0" t="n">
        <v>5.47</v>
      </c>
      <c r="Y230" s="0" t="n">
        <v>9</v>
      </c>
      <c r="Z230" s="0" t="n">
        <v>59.6</v>
      </c>
      <c r="AA230" s="21" t="s">
        <v>1194</v>
      </c>
      <c r="AB230" s="21" t="s">
        <v>1415</v>
      </c>
      <c r="AC230" s="21" t="s">
        <v>120</v>
      </c>
      <c r="AD230" s="0" t="n">
        <v>100</v>
      </c>
      <c r="AE230" s="22" t="b">
        <f aca="false">FALSE()</f>
        <v>0</v>
      </c>
      <c r="AF230" s="21" t="s">
        <v>121</v>
      </c>
      <c r="AG230" s="21" t="s">
        <v>1416</v>
      </c>
    </row>
    <row r="231" customFormat="false" ht="15" hidden="false" customHeight="false" outlineLevel="0" collapsed="false">
      <c r="A231" s="0" t="s">
        <v>1417</v>
      </c>
      <c r="B231" s="18" t="s">
        <v>109</v>
      </c>
      <c r="C231" s="19" t="s">
        <v>26</v>
      </c>
      <c r="D231" s="20" t="s">
        <v>31</v>
      </c>
      <c r="E231" s="21" t="s">
        <v>1418</v>
      </c>
      <c r="G231" s="21" t="s">
        <v>111</v>
      </c>
      <c r="H231" s="21" t="s">
        <v>275</v>
      </c>
      <c r="I231" s="21" t="s">
        <v>113</v>
      </c>
      <c r="J231" s="21" t="s">
        <v>114</v>
      </c>
      <c r="K231" s="0" t="n">
        <v>8</v>
      </c>
      <c r="L231" s="0" t="n">
        <v>1</v>
      </c>
      <c r="M231" s="0" t="n">
        <v>4</v>
      </c>
      <c r="N231" s="0" t="n">
        <v>3</v>
      </c>
      <c r="O231" s="0" t="n">
        <v>0</v>
      </c>
      <c r="P231" s="0" t="n">
        <v>5</v>
      </c>
      <c r="Q231" s="0" t="n">
        <v>1</v>
      </c>
      <c r="R231" s="0" t="n">
        <v>0</v>
      </c>
      <c r="S231" s="0" t="n">
        <v>4</v>
      </c>
      <c r="T231" s="0" t="n">
        <v>3</v>
      </c>
      <c r="U231" s="21" t="s">
        <v>1419</v>
      </c>
      <c r="V231" s="21" t="s">
        <v>69</v>
      </c>
      <c r="W231" s="21" t="s">
        <v>1420</v>
      </c>
      <c r="X231" s="0" t="n">
        <v>1.88</v>
      </c>
      <c r="Y231" s="0" t="n">
        <v>16.8</v>
      </c>
      <c r="Z231" s="0" t="n">
        <v>105.4</v>
      </c>
      <c r="AA231" s="21" t="s">
        <v>1415</v>
      </c>
      <c r="AB231" s="21" t="s">
        <v>1421</v>
      </c>
      <c r="AC231" s="21" t="s">
        <v>120</v>
      </c>
      <c r="AD231" s="0" t="n">
        <v>181</v>
      </c>
      <c r="AE231" s="22" t="b">
        <f aca="false">FALSE()</f>
        <v>0</v>
      </c>
      <c r="AF231" s="21" t="s">
        <v>121</v>
      </c>
      <c r="AG231" s="21" t="s">
        <v>1422</v>
      </c>
    </row>
    <row r="232" customFormat="false" ht="15" hidden="false" customHeight="false" outlineLevel="0" collapsed="false">
      <c r="A232" s="0" t="s">
        <v>1423</v>
      </c>
      <c r="B232" s="18" t="s">
        <v>109</v>
      </c>
      <c r="C232" s="20" t="s">
        <v>25</v>
      </c>
      <c r="D232" s="23" t="s">
        <v>30</v>
      </c>
      <c r="E232" s="21" t="s">
        <v>1424</v>
      </c>
      <c r="G232" s="21" t="s">
        <v>127</v>
      </c>
      <c r="H232" s="21" t="s">
        <v>390</v>
      </c>
      <c r="I232" s="21" t="s">
        <v>171</v>
      </c>
      <c r="J232" s="21" t="s">
        <v>114</v>
      </c>
      <c r="K232" s="0" t="n">
        <v>8</v>
      </c>
      <c r="L232" s="0" t="n">
        <v>2</v>
      </c>
      <c r="M232" s="0" t="n">
        <v>6</v>
      </c>
      <c r="N232" s="0" t="n">
        <v>0</v>
      </c>
      <c r="O232" s="0" t="n">
        <v>0</v>
      </c>
      <c r="P232" s="0" t="n">
        <v>8</v>
      </c>
      <c r="Q232" s="0" t="n">
        <v>2</v>
      </c>
      <c r="R232" s="0" t="n">
        <v>0</v>
      </c>
      <c r="S232" s="0" t="n">
        <v>6</v>
      </c>
      <c r="T232" s="0" t="n">
        <v>0</v>
      </c>
      <c r="U232" s="21" t="s">
        <v>1425</v>
      </c>
      <c r="V232" s="21" t="s">
        <v>69</v>
      </c>
      <c r="W232" s="21" t="s">
        <v>1230</v>
      </c>
      <c r="X232" s="0" t="n">
        <v>10.13</v>
      </c>
      <c r="Y232" s="0" t="n">
        <v>13.4</v>
      </c>
      <c r="Z232" s="0" t="n">
        <v>106.9</v>
      </c>
      <c r="AA232" s="21" t="s">
        <v>1426</v>
      </c>
      <c r="AB232" s="21" t="s">
        <v>1427</v>
      </c>
      <c r="AC232" s="21" t="s">
        <v>120</v>
      </c>
      <c r="AD232" s="0" t="n">
        <v>192</v>
      </c>
      <c r="AE232" s="22" t="b">
        <f aca="false">FALSE()</f>
        <v>0</v>
      </c>
      <c r="AF232" s="21" t="s">
        <v>121</v>
      </c>
      <c r="AG232" s="21" t="s">
        <v>1428</v>
      </c>
    </row>
    <row r="233" customFormat="false" ht="15" hidden="false" customHeight="false" outlineLevel="0" collapsed="false">
      <c r="A233" s="0" t="s">
        <v>1429</v>
      </c>
      <c r="B233" s="18" t="s">
        <v>109</v>
      </c>
      <c r="C233" s="20" t="s">
        <v>25</v>
      </c>
      <c r="D233" s="23" t="s">
        <v>30</v>
      </c>
      <c r="E233" s="21" t="s">
        <v>1430</v>
      </c>
      <c r="G233" s="21" t="s">
        <v>111</v>
      </c>
      <c r="H233" s="21" t="s">
        <v>1431</v>
      </c>
      <c r="I233" s="21" t="s">
        <v>113</v>
      </c>
      <c r="J233" s="21" t="s">
        <v>134</v>
      </c>
      <c r="K233" s="0" t="n">
        <v>4</v>
      </c>
      <c r="L233" s="0" t="n">
        <v>1</v>
      </c>
      <c r="M233" s="0" t="n">
        <v>3</v>
      </c>
      <c r="N233" s="0" t="n">
        <v>0</v>
      </c>
      <c r="O233" s="0" t="n">
        <v>0</v>
      </c>
      <c r="P233" s="0" t="n">
        <v>4</v>
      </c>
      <c r="Q233" s="0" t="n">
        <v>0</v>
      </c>
      <c r="R233" s="0" t="n">
        <v>0</v>
      </c>
      <c r="S233" s="0" t="n">
        <v>4</v>
      </c>
      <c r="T233" s="0" t="n">
        <v>0</v>
      </c>
      <c r="U233" s="21" t="s">
        <v>1432</v>
      </c>
      <c r="V233" s="21" t="s">
        <v>69</v>
      </c>
      <c r="W233" s="21" t="s">
        <v>1152</v>
      </c>
      <c r="X233" s="0" t="n">
        <v>7.75</v>
      </c>
      <c r="Y233" s="0" t="n">
        <v>11.6</v>
      </c>
      <c r="Z233" s="0" t="n">
        <v>58.8</v>
      </c>
      <c r="AA233" s="21" t="s">
        <v>1433</v>
      </c>
      <c r="AB233" s="21" t="s">
        <v>1213</v>
      </c>
      <c r="AC233" s="21" t="s">
        <v>120</v>
      </c>
      <c r="AD233" s="0" t="n">
        <v>96</v>
      </c>
      <c r="AE233" s="22" t="b">
        <f aca="false">FALSE()</f>
        <v>0</v>
      </c>
      <c r="AF233" s="21" t="s">
        <v>121</v>
      </c>
      <c r="AG233" s="21" t="s">
        <v>1434</v>
      </c>
    </row>
    <row r="234" customFormat="false" ht="15" hidden="false" customHeight="false" outlineLevel="0" collapsed="false">
      <c r="A234" s="0" t="s">
        <v>1435</v>
      </c>
      <c r="B234" s="20" t="s">
        <v>124</v>
      </c>
      <c r="E234" s="21" t="s">
        <v>1436</v>
      </c>
      <c r="F234" s="21" t="s">
        <v>1437</v>
      </c>
      <c r="G234" s="21" t="s">
        <v>111</v>
      </c>
      <c r="H234" s="21" t="s">
        <v>953</v>
      </c>
      <c r="I234" s="21" t="s">
        <v>113</v>
      </c>
      <c r="Z234" s="0" t="n">
        <v>0</v>
      </c>
      <c r="AA234" s="21" t="s">
        <v>1213</v>
      </c>
      <c r="AB234" s="21" t="s">
        <v>1213</v>
      </c>
      <c r="AE234" s="22" t="b">
        <f aca="false">FALSE()</f>
        <v>0</v>
      </c>
      <c r="AF234" s="21" t="s">
        <v>121</v>
      </c>
      <c r="AG234" s="21" t="s">
        <v>1438</v>
      </c>
    </row>
    <row r="235" customFormat="false" ht="15" hidden="false" customHeight="false" outlineLevel="0" collapsed="false">
      <c r="A235" s="0" t="s">
        <v>1439</v>
      </c>
      <c r="B235" s="20" t="s">
        <v>124</v>
      </c>
      <c r="E235" s="21" t="s">
        <v>1440</v>
      </c>
      <c r="F235" s="21" t="s">
        <v>1441</v>
      </c>
      <c r="G235" s="21" t="s">
        <v>111</v>
      </c>
      <c r="H235" s="21" t="s">
        <v>245</v>
      </c>
      <c r="I235" s="21" t="s">
        <v>113</v>
      </c>
      <c r="Z235" s="0" t="n">
        <v>0</v>
      </c>
      <c r="AA235" s="21" t="s">
        <v>1218</v>
      </c>
      <c r="AB235" s="21" t="s">
        <v>1218</v>
      </c>
      <c r="AE235" s="22" t="b">
        <f aca="false">FALSE()</f>
        <v>0</v>
      </c>
      <c r="AF235" s="21" t="s">
        <v>121</v>
      </c>
      <c r="AG235" s="21" t="s">
        <v>1442</v>
      </c>
    </row>
    <row r="236" customFormat="false" ht="15" hidden="false" customHeight="false" outlineLevel="0" collapsed="false">
      <c r="A236" s="0" t="s">
        <v>1443</v>
      </c>
      <c r="B236" s="18" t="s">
        <v>109</v>
      </c>
      <c r="C236" s="19" t="s">
        <v>26</v>
      </c>
      <c r="D236" s="20" t="s">
        <v>31</v>
      </c>
      <c r="E236" s="21" t="s">
        <v>1444</v>
      </c>
      <c r="G236" s="21" t="s">
        <v>111</v>
      </c>
      <c r="H236" s="21" t="s">
        <v>397</v>
      </c>
      <c r="I236" s="21" t="s">
        <v>113</v>
      </c>
      <c r="J236" s="21" t="s">
        <v>114</v>
      </c>
      <c r="K236" s="0" t="n">
        <v>8</v>
      </c>
      <c r="L236" s="0" t="n">
        <v>1</v>
      </c>
      <c r="M236" s="0" t="n">
        <v>6</v>
      </c>
      <c r="N236" s="0" t="n">
        <v>1</v>
      </c>
      <c r="O236" s="0" t="n">
        <v>0</v>
      </c>
      <c r="P236" s="0" t="n">
        <v>7</v>
      </c>
      <c r="Q236" s="0" t="n">
        <v>1</v>
      </c>
      <c r="R236" s="0" t="n">
        <v>3</v>
      </c>
      <c r="S236" s="0" t="n">
        <v>3</v>
      </c>
      <c r="T236" s="0" t="n">
        <v>1</v>
      </c>
      <c r="U236" s="21" t="s">
        <v>1445</v>
      </c>
      <c r="V236" s="21" t="s">
        <v>69</v>
      </c>
      <c r="W236" s="21" t="s">
        <v>301</v>
      </c>
      <c r="X236" s="0" t="n">
        <v>10.13</v>
      </c>
      <c r="Y236" s="0" t="n">
        <v>16.1</v>
      </c>
      <c r="Z236" s="0" t="n">
        <v>125</v>
      </c>
      <c r="AA236" s="21" t="s">
        <v>1218</v>
      </c>
      <c r="AB236" s="21" t="s">
        <v>1446</v>
      </c>
      <c r="AC236" s="21" t="s">
        <v>120</v>
      </c>
      <c r="AD236" s="0" t="n">
        <v>194</v>
      </c>
      <c r="AE236" s="22" t="b">
        <f aca="false">FALSE()</f>
        <v>0</v>
      </c>
      <c r="AF236" s="21" t="s">
        <v>121</v>
      </c>
      <c r="AG236" s="21" t="s">
        <v>1447</v>
      </c>
    </row>
    <row r="237" customFormat="false" ht="15" hidden="false" customHeight="false" outlineLevel="0" collapsed="false">
      <c r="A237" s="0" t="s">
        <v>1448</v>
      </c>
      <c r="B237" s="18" t="s">
        <v>109</v>
      </c>
      <c r="C237" s="19" t="s">
        <v>26</v>
      </c>
      <c r="D237" s="20" t="s">
        <v>31</v>
      </c>
      <c r="E237" s="21" t="s">
        <v>1449</v>
      </c>
      <c r="G237" s="21" t="s">
        <v>111</v>
      </c>
      <c r="H237" s="21" t="s">
        <v>155</v>
      </c>
      <c r="I237" s="21" t="s">
        <v>113</v>
      </c>
      <c r="J237" s="21" t="s">
        <v>134</v>
      </c>
      <c r="K237" s="0" t="n">
        <v>4</v>
      </c>
      <c r="L237" s="0" t="n">
        <v>1</v>
      </c>
      <c r="M237" s="0" t="n">
        <v>1</v>
      </c>
      <c r="N237" s="0" t="n">
        <v>2</v>
      </c>
      <c r="O237" s="0" t="n">
        <v>0</v>
      </c>
      <c r="P237" s="0" t="n">
        <v>2</v>
      </c>
      <c r="Q237" s="0" t="n">
        <v>1</v>
      </c>
      <c r="R237" s="0" t="n">
        <v>1</v>
      </c>
      <c r="S237" s="0" t="n">
        <v>0</v>
      </c>
      <c r="T237" s="0" t="n">
        <v>2</v>
      </c>
      <c r="U237" s="21" t="s">
        <v>1450</v>
      </c>
      <c r="V237" s="21" t="s">
        <v>69</v>
      </c>
      <c r="W237" s="21" t="s">
        <v>1451</v>
      </c>
      <c r="X237" s="0" t="n">
        <v>1.56</v>
      </c>
      <c r="Y237" s="0" t="n">
        <v>1.2</v>
      </c>
      <c r="Z237" s="0" t="n">
        <v>60.5</v>
      </c>
      <c r="AA237" s="21" t="s">
        <v>1452</v>
      </c>
      <c r="AB237" s="21" t="s">
        <v>1453</v>
      </c>
      <c r="AC237" s="21" t="s">
        <v>120</v>
      </c>
      <c r="AD237" s="0" t="n">
        <v>95</v>
      </c>
      <c r="AE237" s="22" t="b">
        <f aca="false">FALSE()</f>
        <v>0</v>
      </c>
      <c r="AF237" s="21" t="s">
        <v>121</v>
      </c>
      <c r="AG237" s="21" t="s">
        <v>1454</v>
      </c>
    </row>
    <row r="238" customFormat="false" ht="15" hidden="false" customHeight="false" outlineLevel="0" collapsed="false">
      <c r="A238" s="0" t="s">
        <v>1455</v>
      </c>
      <c r="B238" s="20" t="s">
        <v>124</v>
      </c>
      <c r="E238" s="21" t="s">
        <v>805</v>
      </c>
      <c r="F238" s="21" t="s">
        <v>806</v>
      </c>
      <c r="G238" s="21" t="s">
        <v>127</v>
      </c>
      <c r="H238" s="21" t="s">
        <v>275</v>
      </c>
      <c r="I238" s="21" t="s">
        <v>113</v>
      </c>
      <c r="Z238" s="0" t="n">
        <v>0</v>
      </c>
      <c r="AA238" s="21" t="s">
        <v>1456</v>
      </c>
      <c r="AB238" s="21" t="s">
        <v>1456</v>
      </c>
      <c r="AE238" s="22" t="b">
        <f aca="false">FALSE()</f>
        <v>0</v>
      </c>
      <c r="AF238" s="21" t="s">
        <v>121</v>
      </c>
      <c r="AG238" s="21" t="s">
        <v>1457</v>
      </c>
    </row>
    <row r="239" customFormat="false" ht="15" hidden="false" customHeight="false" outlineLevel="0" collapsed="false">
      <c r="A239" s="0" t="s">
        <v>1458</v>
      </c>
      <c r="B239" s="18" t="s">
        <v>109</v>
      </c>
      <c r="C239" s="19" t="s">
        <v>26</v>
      </c>
      <c r="D239" s="20" t="s">
        <v>31</v>
      </c>
      <c r="E239" s="21" t="s">
        <v>1459</v>
      </c>
      <c r="G239" s="21" t="s">
        <v>111</v>
      </c>
      <c r="H239" s="21" t="s">
        <v>568</v>
      </c>
      <c r="I239" s="21" t="s">
        <v>171</v>
      </c>
      <c r="J239" s="21" t="s">
        <v>114</v>
      </c>
      <c r="K239" s="0" t="n">
        <v>8</v>
      </c>
      <c r="L239" s="0" t="n">
        <v>0</v>
      </c>
      <c r="M239" s="0" t="n">
        <v>5</v>
      </c>
      <c r="N239" s="0" t="n">
        <v>3</v>
      </c>
      <c r="O239" s="0" t="n">
        <v>0</v>
      </c>
      <c r="P239" s="0" t="n">
        <v>5</v>
      </c>
      <c r="Q239" s="0" t="n">
        <v>0</v>
      </c>
      <c r="R239" s="0" t="n">
        <v>0</v>
      </c>
      <c r="S239" s="0" t="n">
        <v>5</v>
      </c>
      <c r="T239" s="0" t="n">
        <v>3</v>
      </c>
      <c r="U239" s="21" t="s">
        <v>1460</v>
      </c>
      <c r="V239" s="21" t="s">
        <v>116</v>
      </c>
      <c r="W239" s="21" t="s">
        <v>1461</v>
      </c>
      <c r="X239" s="0" t="n">
        <v>5.84</v>
      </c>
      <c r="Y239" s="0" t="n">
        <v>18.3</v>
      </c>
      <c r="Z239" s="0" t="n">
        <v>108.3</v>
      </c>
      <c r="AA239" s="21" t="s">
        <v>1462</v>
      </c>
      <c r="AB239" s="21" t="s">
        <v>1463</v>
      </c>
      <c r="AC239" s="21" t="s">
        <v>120</v>
      </c>
      <c r="AD239" s="0" t="n">
        <v>196</v>
      </c>
      <c r="AE239" s="22" t="b">
        <f aca="false">FALSE()</f>
        <v>0</v>
      </c>
      <c r="AF239" s="21" t="s">
        <v>121</v>
      </c>
      <c r="AG239" s="21" t="s">
        <v>1464</v>
      </c>
    </row>
    <row r="240" customFormat="false" ht="15" hidden="false" customHeight="false" outlineLevel="0" collapsed="false">
      <c r="A240" s="0" t="s">
        <v>1465</v>
      </c>
      <c r="B240" s="18" t="s">
        <v>109</v>
      </c>
      <c r="C240" s="20" t="s">
        <v>25</v>
      </c>
      <c r="D240" s="23" t="s">
        <v>30</v>
      </c>
      <c r="E240" s="21" t="s">
        <v>1466</v>
      </c>
      <c r="G240" s="21" t="s">
        <v>111</v>
      </c>
      <c r="H240" s="21" t="s">
        <v>237</v>
      </c>
      <c r="I240" s="21" t="s">
        <v>113</v>
      </c>
      <c r="J240" s="21" t="s">
        <v>114</v>
      </c>
      <c r="K240" s="0" t="n">
        <v>8</v>
      </c>
      <c r="L240" s="0" t="n">
        <v>3</v>
      </c>
      <c r="M240" s="0" t="n">
        <v>5</v>
      </c>
      <c r="N240" s="0" t="n">
        <v>0</v>
      </c>
      <c r="O240" s="0" t="n">
        <v>0</v>
      </c>
      <c r="P240" s="0" t="n">
        <v>8</v>
      </c>
      <c r="Q240" s="0" t="n">
        <v>2</v>
      </c>
      <c r="R240" s="0" t="n">
        <v>4</v>
      </c>
      <c r="S240" s="0" t="n">
        <v>2</v>
      </c>
      <c r="T240" s="0" t="n">
        <v>0</v>
      </c>
      <c r="U240" s="21" t="s">
        <v>1467</v>
      </c>
      <c r="W240" s="21" t="s">
        <v>1468</v>
      </c>
      <c r="X240" s="0" t="n">
        <v>3.42</v>
      </c>
      <c r="Y240" s="0" t="n">
        <v>9.2</v>
      </c>
      <c r="Z240" s="0" t="n">
        <v>111.1</v>
      </c>
      <c r="AA240" s="21" t="s">
        <v>1469</v>
      </c>
      <c r="AB240" s="21" t="s">
        <v>1470</v>
      </c>
      <c r="AC240" s="21" t="s">
        <v>120</v>
      </c>
      <c r="AD240" s="0" t="n">
        <v>197</v>
      </c>
      <c r="AE240" s="22" t="b">
        <f aca="false">FALSE()</f>
        <v>0</v>
      </c>
      <c r="AF240" s="21" t="s">
        <v>121</v>
      </c>
      <c r="AG240" s="21" t="s">
        <v>1471</v>
      </c>
    </row>
    <row r="241" customFormat="false" ht="15" hidden="false" customHeight="false" outlineLevel="0" collapsed="false">
      <c r="A241" s="0" t="s">
        <v>1472</v>
      </c>
      <c r="B241" s="18" t="s">
        <v>109</v>
      </c>
      <c r="C241" s="20" t="s">
        <v>25</v>
      </c>
      <c r="D241" s="23" t="s">
        <v>30</v>
      </c>
      <c r="E241" s="21" t="s">
        <v>1473</v>
      </c>
      <c r="G241" s="21" t="s">
        <v>111</v>
      </c>
      <c r="H241" s="21" t="s">
        <v>1051</v>
      </c>
      <c r="I241" s="21" t="s">
        <v>113</v>
      </c>
      <c r="J241" s="21" t="s">
        <v>134</v>
      </c>
      <c r="K241" s="0" t="n">
        <v>4</v>
      </c>
      <c r="L241" s="0" t="n">
        <v>0</v>
      </c>
      <c r="M241" s="0" t="n">
        <v>4</v>
      </c>
      <c r="N241" s="0" t="n">
        <v>0</v>
      </c>
      <c r="O241" s="0" t="n">
        <v>0</v>
      </c>
      <c r="P241" s="0" t="n">
        <v>4</v>
      </c>
      <c r="Q241" s="0" t="n">
        <v>0</v>
      </c>
      <c r="R241" s="0" t="n">
        <v>0</v>
      </c>
      <c r="S241" s="0" t="n">
        <v>4</v>
      </c>
      <c r="T241" s="0" t="n">
        <v>0</v>
      </c>
      <c r="U241" s="21" t="s">
        <v>1474</v>
      </c>
      <c r="V241" s="21" t="s">
        <v>69</v>
      </c>
      <c r="W241" s="21" t="s">
        <v>283</v>
      </c>
      <c r="X241" s="0" t="n">
        <v>19.04</v>
      </c>
      <c r="Y241" s="0" t="n">
        <v>12.6</v>
      </c>
      <c r="Z241" s="0" t="n">
        <v>59.5</v>
      </c>
      <c r="AA241" s="21" t="s">
        <v>1475</v>
      </c>
      <c r="AB241" s="21" t="s">
        <v>1476</v>
      </c>
      <c r="AC241" s="21" t="s">
        <v>120</v>
      </c>
      <c r="AD241" s="0" t="n">
        <v>98</v>
      </c>
      <c r="AE241" s="22" t="b">
        <f aca="false">FALSE()</f>
        <v>0</v>
      </c>
      <c r="AF241" s="21" t="s">
        <v>121</v>
      </c>
      <c r="AG241" s="21" t="s">
        <v>1477</v>
      </c>
    </row>
    <row r="242" customFormat="false" ht="15" hidden="false" customHeight="false" outlineLevel="0" collapsed="false">
      <c r="A242" s="0" t="s">
        <v>1478</v>
      </c>
      <c r="B242" s="20" t="s">
        <v>124</v>
      </c>
      <c r="E242" s="21" t="s">
        <v>211</v>
      </c>
      <c r="F242" s="21" t="s">
        <v>212</v>
      </c>
      <c r="G242" s="21" t="s">
        <v>111</v>
      </c>
      <c r="H242" s="21" t="s">
        <v>213</v>
      </c>
      <c r="I242" s="21" t="s">
        <v>113</v>
      </c>
      <c r="Z242" s="0" t="n">
        <v>0</v>
      </c>
      <c r="AA242" s="21" t="s">
        <v>1479</v>
      </c>
      <c r="AB242" s="21" t="s">
        <v>1479</v>
      </c>
      <c r="AE242" s="22" t="b">
        <f aca="false">FALSE()</f>
        <v>0</v>
      </c>
      <c r="AF242" s="21" t="s">
        <v>121</v>
      </c>
      <c r="AG242" s="21" t="s">
        <v>1480</v>
      </c>
    </row>
    <row r="243" customFormat="false" ht="15" hidden="false" customHeight="false" outlineLevel="0" collapsed="false">
      <c r="A243" s="0" t="s">
        <v>1481</v>
      </c>
      <c r="B243" s="18" t="s">
        <v>109</v>
      </c>
      <c r="C243" s="19" t="s">
        <v>26</v>
      </c>
      <c r="D243" s="20" t="s">
        <v>31</v>
      </c>
      <c r="E243" s="21" t="s">
        <v>1482</v>
      </c>
      <c r="G243" s="21" t="s">
        <v>127</v>
      </c>
      <c r="H243" s="21" t="s">
        <v>281</v>
      </c>
      <c r="I243" s="21" t="s">
        <v>113</v>
      </c>
      <c r="J243" s="21" t="s">
        <v>114</v>
      </c>
      <c r="K243" s="0" t="n">
        <v>8</v>
      </c>
      <c r="L243" s="0" t="n">
        <v>1</v>
      </c>
      <c r="M243" s="0" t="n">
        <v>5</v>
      </c>
      <c r="N243" s="0" t="n">
        <v>2</v>
      </c>
      <c r="O243" s="0" t="n">
        <v>0</v>
      </c>
      <c r="P243" s="0" t="n">
        <v>6</v>
      </c>
      <c r="Q243" s="0" t="n">
        <v>0</v>
      </c>
      <c r="R243" s="0" t="n">
        <v>0</v>
      </c>
      <c r="S243" s="0" t="n">
        <v>6</v>
      </c>
      <c r="T243" s="0" t="n">
        <v>2</v>
      </c>
      <c r="U243" s="21" t="s">
        <v>1483</v>
      </c>
      <c r="V243" s="21" t="s">
        <v>69</v>
      </c>
      <c r="W243" s="21" t="s">
        <v>421</v>
      </c>
      <c r="X243" s="0" t="n">
        <v>4.67</v>
      </c>
      <c r="Y243" s="0" t="n">
        <v>6.8</v>
      </c>
      <c r="Z243" s="0" t="n">
        <v>110.8</v>
      </c>
      <c r="AA243" s="21" t="s">
        <v>1484</v>
      </c>
      <c r="AB243" s="21" t="s">
        <v>1485</v>
      </c>
      <c r="AC243" s="21" t="s">
        <v>120</v>
      </c>
      <c r="AD243" s="0" t="n">
        <v>196</v>
      </c>
      <c r="AE243" s="22" t="b">
        <f aca="false">FALSE()</f>
        <v>0</v>
      </c>
      <c r="AF243" s="21" t="s">
        <v>121</v>
      </c>
      <c r="AG243" s="21" t="s">
        <v>1486</v>
      </c>
    </row>
    <row r="244" customFormat="false" ht="15" hidden="false" customHeight="false" outlineLevel="0" collapsed="false">
      <c r="A244" s="0" t="s">
        <v>1487</v>
      </c>
      <c r="B244" s="18" t="s">
        <v>109</v>
      </c>
      <c r="C244" s="19" t="s">
        <v>26</v>
      </c>
      <c r="D244" s="20" t="s">
        <v>31</v>
      </c>
      <c r="E244" s="21" t="s">
        <v>1488</v>
      </c>
      <c r="G244" s="21" t="s">
        <v>111</v>
      </c>
      <c r="H244" s="21" t="s">
        <v>397</v>
      </c>
      <c r="I244" s="21" t="s">
        <v>171</v>
      </c>
      <c r="J244" s="21" t="s">
        <v>134</v>
      </c>
      <c r="K244" s="0" t="n">
        <v>4</v>
      </c>
      <c r="L244" s="0" t="n">
        <v>0</v>
      </c>
      <c r="M244" s="0" t="n">
        <v>3</v>
      </c>
      <c r="N244" s="0" t="n">
        <v>1</v>
      </c>
      <c r="O244" s="0" t="n">
        <v>0</v>
      </c>
      <c r="P244" s="0" t="n">
        <v>3</v>
      </c>
      <c r="Q244" s="0" t="n">
        <v>0</v>
      </c>
      <c r="R244" s="0" t="n">
        <v>0</v>
      </c>
      <c r="S244" s="0" t="n">
        <v>3</v>
      </c>
      <c r="T244" s="0" t="n">
        <v>1</v>
      </c>
      <c r="U244" s="21" t="s">
        <v>1489</v>
      </c>
      <c r="V244" s="21" t="s">
        <v>116</v>
      </c>
      <c r="W244" s="21" t="s">
        <v>698</v>
      </c>
      <c r="X244" s="0" t="n">
        <v>1.15</v>
      </c>
      <c r="Y244" s="0" t="n">
        <v>13.8</v>
      </c>
      <c r="Z244" s="0" t="n">
        <v>59</v>
      </c>
      <c r="AA244" s="21" t="s">
        <v>1490</v>
      </c>
      <c r="AB244" s="21" t="s">
        <v>1491</v>
      </c>
      <c r="AC244" s="21" t="s">
        <v>120</v>
      </c>
      <c r="AD244" s="0" t="n">
        <v>96</v>
      </c>
      <c r="AE244" s="22" t="b">
        <f aca="false">FALSE()</f>
        <v>0</v>
      </c>
      <c r="AF244" s="21" t="s">
        <v>121</v>
      </c>
      <c r="AG244" s="21" t="s">
        <v>1492</v>
      </c>
    </row>
    <row r="245" customFormat="false" ht="15" hidden="false" customHeight="false" outlineLevel="0" collapsed="false">
      <c r="A245" s="0" t="s">
        <v>1493</v>
      </c>
      <c r="B245" s="20" t="s">
        <v>124</v>
      </c>
      <c r="E245" s="21" t="s">
        <v>727</v>
      </c>
      <c r="F245" s="21" t="s">
        <v>728</v>
      </c>
      <c r="G245" s="21" t="s">
        <v>111</v>
      </c>
      <c r="H245" s="21" t="s">
        <v>729</v>
      </c>
      <c r="I245" s="21" t="s">
        <v>113</v>
      </c>
      <c r="Z245" s="0" t="n">
        <v>0</v>
      </c>
      <c r="AA245" s="21" t="s">
        <v>1494</v>
      </c>
      <c r="AB245" s="21" t="s">
        <v>1494</v>
      </c>
      <c r="AE245" s="22" t="b">
        <f aca="false">FALSE()</f>
        <v>0</v>
      </c>
      <c r="AF245" s="21" t="s">
        <v>121</v>
      </c>
      <c r="AG245" s="21" t="s">
        <v>1495</v>
      </c>
    </row>
    <row r="246" customFormat="false" ht="15" hidden="false" customHeight="false" outlineLevel="0" collapsed="false">
      <c r="A246" s="0" t="s">
        <v>1496</v>
      </c>
      <c r="B246" s="20" t="s">
        <v>124</v>
      </c>
      <c r="E246" s="21" t="s">
        <v>1497</v>
      </c>
      <c r="F246" s="21" t="s">
        <v>1498</v>
      </c>
      <c r="G246" s="21" t="s">
        <v>111</v>
      </c>
      <c r="H246" s="21" t="s">
        <v>575</v>
      </c>
      <c r="I246" s="21" t="s">
        <v>113</v>
      </c>
      <c r="Z246" s="0" t="n">
        <v>0</v>
      </c>
      <c r="AA246" s="21" t="s">
        <v>1494</v>
      </c>
      <c r="AB246" s="21" t="s">
        <v>1494</v>
      </c>
      <c r="AE246" s="22" t="b">
        <f aca="false">FALSE()</f>
        <v>0</v>
      </c>
      <c r="AF246" s="21" t="s">
        <v>121</v>
      </c>
      <c r="AG246" s="21" t="s">
        <v>1499</v>
      </c>
    </row>
    <row r="247" customFormat="false" ht="15" hidden="false" customHeight="false" outlineLevel="0" collapsed="false">
      <c r="A247" s="0" t="s">
        <v>1500</v>
      </c>
      <c r="B247" s="20" t="s">
        <v>124</v>
      </c>
      <c r="E247" s="21" t="s">
        <v>206</v>
      </c>
      <c r="F247" s="21" t="s">
        <v>207</v>
      </c>
      <c r="G247" s="21" t="s">
        <v>111</v>
      </c>
      <c r="H247" s="21" t="s">
        <v>208</v>
      </c>
      <c r="I247" s="21" t="s">
        <v>113</v>
      </c>
      <c r="Z247" s="0" t="n">
        <v>0</v>
      </c>
      <c r="AA247" s="21" t="s">
        <v>1501</v>
      </c>
      <c r="AB247" s="21" t="s">
        <v>1501</v>
      </c>
      <c r="AE247" s="22" t="b">
        <f aca="false">FALSE()</f>
        <v>0</v>
      </c>
      <c r="AF247" s="21" t="s">
        <v>121</v>
      </c>
      <c r="AG247" s="21" t="s">
        <v>1502</v>
      </c>
    </row>
    <row r="248" customFormat="false" ht="15" hidden="false" customHeight="false" outlineLevel="0" collapsed="false">
      <c r="A248" s="0" t="s">
        <v>1503</v>
      </c>
      <c r="B248" s="18" t="s">
        <v>109</v>
      </c>
      <c r="C248" s="20" t="s">
        <v>25</v>
      </c>
      <c r="D248" s="23" t="s">
        <v>30</v>
      </c>
      <c r="E248" s="21" t="s">
        <v>1504</v>
      </c>
      <c r="G248" s="21" t="s">
        <v>111</v>
      </c>
      <c r="H248" s="21" t="s">
        <v>331</v>
      </c>
      <c r="I248" s="21" t="s">
        <v>171</v>
      </c>
      <c r="J248" s="21" t="s">
        <v>134</v>
      </c>
      <c r="K248" s="0" t="n">
        <v>4</v>
      </c>
      <c r="L248" s="0" t="n">
        <v>1</v>
      </c>
      <c r="M248" s="0" t="n">
        <v>3</v>
      </c>
      <c r="N248" s="0" t="n">
        <v>0</v>
      </c>
      <c r="O248" s="0" t="n">
        <v>0</v>
      </c>
      <c r="P248" s="0" t="n">
        <v>4</v>
      </c>
      <c r="Q248" s="0" t="n">
        <v>0</v>
      </c>
      <c r="R248" s="0" t="n">
        <v>0</v>
      </c>
      <c r="S248" s="0" t="n">
        <v>4</v>
      </c>
      <c r="T248" s="0" t="n">
        <v>0</v>
      </c>
      <c r="U248" s="21" t="s">
        <v>1505</v>
      </c>
      <c r="V248" s="21" t="s">
        <v>69</v>
      </c>
      <c r="W248" s="21" t="s">
        <v>183</v>
      </c>
      <c r="X248" s="0" t="n">
        <v>36.78</v>
      </c>
      <c r="Y248" s="0" t="n">
        <v>20.7</v>
      </c>
      <c r="Z248" s="0" t="n">
        <v>60.9</v>
      </c>
      <c r="AA248" s="21" t="s">
        <v>1506</v>
      </c>
      <c r="AB248" s="21" t="s">
        <v>1507</v>
      </c>
      <c r="AC248" s="21" t="s">
        <v>120</v>
      </c>
      <c r="AD248" s="0" t="n">
        <v>101</v>
      </c>
      <c r="AE248" s="22" t="b">
        <f aca="false">FALSE()</f>
        <v>0</v>
      </c>
      <c r="AF248" s="21" t="s">
        <v>121</v>
      </c>
      <c r="AG248" s="21" t="s">
        <v>1508</v>
      </c>
    </row>
    <row r="249" customFormat="false" ht="15" hidden="false" customHeight="false" outlineLevel="0" collapsed="false">
      <c r="A249" s="0" t="s">
        <v>1509</v>
      </c>
      <c r="B249" s="18" t="s">
        <v>109</v>
      </c>
      <c r="C249" s="19" t="s">
        <v>26</v>
      </c>
      <c r="D249" s="20" t="s">
        <v>31</v>
      </c>
      <c r="E249" s="21" t="s">
        <v>1510</v>
      </c>
      <c r="G249" s="21" t="s">
        <v>111</v>
      </c>
      <c r="H249" s="21" t="s">
        <v>275</v>
      </c>
      <c r="I249" s="21" t="s">
        <v>113</v>
      </c>
      <c r="J249" s="21" t="s">
        <v>114</v>
      </c>
      <c r="K249" s="0" t="n">
        <v>8</v>
      </c>
      <c r="L249" s="0" t="n">
        <v>1</v>
      </c>
      <c r="M249" s="0" t="n">
        <v>3</v>
      </c>
      <c r="N249" s="0" t="n">
        <v>4</v>
      </c>
      <c r="O249" s="0" t="n">
        <v>0</v>
      </c>
      <c r="P249" s="0" t="n">
        <v>4</v>
      </c>
      <c r="Q249" s="0" t="n">
        <v>0</v>
      </c>
      <c r="R249" s="0" t="n">
        <v>0</v>
      </c>
      <c r="S249" s="0" t="n">
        <v>4</v>
      </c>
      <c r="T249" s="0" t="n">
        <v>4</v>
      </c>
      <c r="U249" s="21" t="s">
        <v>1511</v>
      </c>
      <c r="V249" s="21" t="s">
        <v>69</v>
      </c>
      <c r="W249" s="21" t="s">
        <v>1512</v>
      </c>
      <c r="X249" s="0" t="n">
        <v>5.94</v>
      </c>
      <c r="Y249" s="0" t="n">
        <v>11.2</v>
      </c>
      <c r="Z249" s="0" t="n">
        <v>126.3</v>
      </c>
      <c r="AA249" s="21" t="s">
        <v>1507</v>
      </c>
      <c r="AB249" s="21" t="s">
        <v>1513</v>
      </c>
      <c r="AC249" s="21" t="s">
        <v>120</v>
      </c>
      <c r="AD249" s="0" t="n">
        <v>204</v>
      </c>
      <c r="AE249" s="22" t="b">
        <f aca="false">FALSE()</f>
        <v>0</v>
      </c>
      <c r="AF249" s="21" t="s">
        <v>121</v>
      </c>
      <c r="AG249" s="21" t="s">
        <v>1514</v>
      </c>
    </row>
    <row r="250" customFormat="false" ht="15" hidden="false" customHeight="false" outlineLevel="0" collapsed="false">
      <c r="A250" s="0" t="s">
        <v>1515</v>
      </c>
      <c r="B250" s="18" t="s">
        <v>109</v>
      </c>
      <c r="C250" s="19" t="s">
        <v>26</v>
      </c>
      <c r="D250" s="20" t="s">
        <v>31</v>
      </c>
      <c r="E250" s="21" t="s">
        <v>1516</v>
      </c>
      <c r="G250" s="21" t="s">
        <v>111</v>
      </c>
      <c r="H250" s="21" t="s">
        <v>343</v>
      </c>
      <c r="I250" s="21" t="s">
        <v>113</v>
      </c>
      <c r="J250" s="21" t="s">
        <v>134</v>
      </c>
      <c r="K250" s="0" t="n">
        <v>4</v>
      </c>
      <c r="L250" s="0" t="n">
        <v>2</v>
      </c>
      <c r="M250" s="0" t="n">
        <v>0</v>
      </c>
      <c r="N250" s="0" t="n">
        <v>2</v>
      </c>
      <c r="O250" s="0" t="n">
        <v>0</v>
      </c>
      <c r="P250" s="0" t="n">
        <v>2</v>
      </c>
      <c r="Q250" s="0" t="n">
        <v>2</v>
      </c>
      <c r="R250" s="0" t="n">
        <v>0</v>
      </c>
      <c r="S250" s="0" t="n">
        <v>0</v>
      </c>
      <c r="T250" s="0" t="n">
        <v>2</v>
      </c>
      <c r="U250" s="21" t="s">
        <v>1517</v>
      </c>
      <c r="V250" s="21" t="s">
        <v>69</v>
      </c>
      <c r="W250" s="21" t="s">
        <v>529</v>
      </c>
      <c r="X250" s="0" t="n">
        <v>1.66</v>
      </c>
      <c r="Y250" s="0" t="n">
        <v>7.5</v>
      </c>
      <c r="Z250" s="0" t="n">
        <v>57.3</v>
      </c>
      <c r="AA250" s="21" t="s">
        <v>1518</v>
      </c>
      <c r="AB250" s="21" t="s">
        <v>1519</v>
      </c>
      <c r="AC250" s="21" t="s">
        <v>120</v>
      </c>
      <c r="AD250" s="0" t="n">
        <v>95</v>
      </c>
      <c r="AE250" s="22" t="b">
        <f aca="false">FALSE()</f>
        <v>0</v>
      </c>
      <c r="AF250" s="21" t="s">
        <v>121</v>
      </c>
      <c r="AG250" s="21" t="s">
        <v>1520</v>
      </c>
    </row>
    <row r="251" customFormat="false" ht="15" hidden="false" customHeight="false" outlineLevel="0" collapsed="false">
      <c r="A251" s="0" t="s">
        <v>1521</v>
      </c>
      <c r="B251" s="18" t="s">
        <v>109</v>
      </c>
      <c r="C251" s="19" t="s">
        <v>26</v>
      </c>
      <c r="D251" s="20" t="s">
        <v>31</v>
      </c>
      <c r="E251" s="21" t="s">
        <v>1522</v>
      </c>
      <c r="G251" s="21" t="s">
        <v>111</v>
      </c>
      <c r="H251" s="21" t="s">
        <v>686</v>
      </c>
      <c r="I251" s="21" t="s">
        <v>113</v>
      </c>
      <c r="J251" s="21" t="s">
        <v>134</v>
      </c>
      <c r="K251" s="0" t="n">
        <v>4</v>
      </c>
      <c r="L251" s="0" t="n">
        <v>0</v>
      </c>
      <c r="M251" s="0" t="n">
        <v>2</v>
      </c>
      <c r="N251" s="0" t="n">
        <v>2</v>
      </c>
      <c r="O251" s="0" t="n">
        <v>0</v>
      </c>
      <c r="P251" s="0" t="n">
        <v>2</v>
      </c>
      <c r="Q251" s="0" t="n">
        <v>0</v>
      </c>
      <c r="R251" s="0" t="n">
        <v>0</v>
      </c>
      <c r="S251" s="0" t="n">
        <v>2</v>
      </c>
      <c r="T251" s="0" t="n">
        <v>2</v>
      </c>
      <c r="U251" s="21" t="s">
        <v>1523</v>
      </c>
      <c r="V251" s="21" t="s">
        <v>69</v>
      </c>
      <c r="W251" s="21" t="s">
        <v>1524</v>
      </c>
      <c r="X251" s="0" t="n">
        <v>30.44</v>
      </c>
      <c r="Y251" s="0" t="n">
        <v>30</v>
      </c>
      <c r="Z251" s="0" t="n">
        <v>59.9</v>
      </c>
      <c r="AA251" s="21" t="s">
        <v>1519</v>
      </c>
      <c r="AB251" s="21" t="s">
        <v>1525</v>
      </c>
      <c r="AC251" s="21" t="s">
        <v>120</v>
      </c>
      <c r="AD251" s="0" t="n">
        <v>96</v>
      </c>
      <c r="AE251" s="22" t="b">
        <f aca="false">FALSE()</f>
        <v>0</v>
      </c>
      <c r="AF251" s="21" t="s">
        <v>121</v>
      </c>
      <c r="AG251" s="21" t="s">
        <v>1526</v>
      </c>
    </row>
    <row r="252" customFormat="false" ht="15" hidden="false" customHeight="false" outlineLevel="0" collapsed="false">
      <c r="A252" s="0" t="s">
        <v>1527</v>
      </c>
      <c r="B252" s="18" t="s">
        <v>109</v>
      </c>
      <c r="C252" s="20" t="s">
        <v>25</v>
      </c>
      <c r="D252" s="23" t="s">
        <v>30</v>
      </c>
      <c r="E252" s="21" t="s">
        <v>1528</v>
      </c>
      <c r="G252" s="21" t="s">
        <v>111</v>
      </c>
      <c r="H252" s="21" t="s">
        <v>289</v>
      </c>
      <c r="I252" s="21" t="s">
        <v>171</v>
      </c>
      <c r="J252" s="21" t="s">
        <v>134</v>
      </c>
      <c r="K252" s="0" t="n">
        <v>4</v>
      </c>
      <c r="L252" s="0" t="n">
        <v>0</v>
      </c>
      <c r="M252" s="0" t="n">
        <v>4</v>
      </c>
      <c r="N252" s="0" t="n">
        <v>0</v>
      </c>
      <c r="O252" s="0" t="n">
        <v>0</v>
      </c>
      <c r="P252" s="0" t="n">
        <v>4</v>
      </c>
      <c r="Q252" s="0" t="n">
        <v>0</v>
      </c>
      <c r="R252" s="0" t="n">
        <v>2</v>
      </c>
      <c r="S252" s="0" t="n">
        <v>2</v>
      </c>
      <c r="T252" s="0" t="n">
        <v>0</v>
      </c>
      <c r="U252" s="21" t="s">
        <v>1529</v>
      </c>
      <c r="V252" s="21" t="s">
        <v>69</v>
      </c>
      <c r="W252" s="21" t="s">
        <v>1099</v>
      </c>
      <c r="X252" s="0" t="n">
        <v>1.25</v>
      </c>
      <c r="Y252" s="0" t="n">
        <v>14.9</v>
      </c>
      <c r="Z252" s="0" t="n">
        <v>42.5</v>
      </c>
      <c r="AA252" s="21" t="s">
        <v>1530</v>
      </c>
      <c r="AB252" s="21" t="s">
        <v>1531</v>
      </c>
      <c r="AC252" s="21" t="s">
        <v>120</v>
      </c>
      <c r="AD252" s="0" t="n">
        <v>97</v>
      </c>
      <c r="AE252" s="22" t="b">
        <f aca="false">FALSE()</f>
        <v>0</v>
      </c>
      <c r="AF252" s="21" t="s">
        <v>121</v>
      </c>
      <c r="AG252" s="21" t="s">
        <v>1532</v>
      </c>
    </row>
    <row r="253" customFormat="false" ht="15" hidden="false" customHeight="false" outlineLevel="0" collapsed="false">
      <c r="A253" s="0" t="s">
        <v>1533</v>
      </c>
      <c r="B253" s="18" t="s">
        <v>109</v>
      </c>
      <c r="C253" s="19" t="s">
        <v>26</v>
      </c>
      <c r="D253" s="20" t="s">
        <v>31</v>
      </c>
      <c r="E253" s="21" t="s">
        <v>1534</v>
      </c>
      <c r="G253" s="21" t="s">
        <v>111</v>
      </c>
      <c r="H253" s="21" t="s">
        <v>289</v>
      </c>
      <c r="I253" s="21" t="s">
        <v>113</v>
      </c>
      <c r="J253" s="21" t="s">
        <v>114</v>
      </c>
      <c r="K253" s="0" t="n">
        <v>8</v>
      </c>
      <c r="L253" s="0" t="n">
        <v>1</v>
      </c>
      <c r="M253" s="0" t="n">
        <v>6</v>
      </c>
      <c r="N253" s="0" t="n">
        <v>1</v>
      </c>
      <c r="O253" s="0" t="n">
        <v>0</v>
      </c>
      <c r="P253" s="0" t="n">
        <v>7</v>
      </c>
      <c r="Q253" s="0" t="n">
        <v>0</v>
      </c>
      <c r="R253" s="0" t="n">
        <v>0</v>
      </c>
      <c r="S253" s="0" t="n">
        <v>7</v>
      </c>
      <c r="T253" s="0" t="n">
        <v>1</v>
      </c>
      <c r="U253" s="21" t="s">
        <v>1535</v>
      </c>
      <c r="V253" s="21" t="s">
        <v>69</v>
      </c>
      <c r="W253" s="21" t="s">
        <v>117</v>
      </c>
      <c r="X253" s="0" t="n">
        <v>2.33</v>
      </c>
      <c r="Y253" s="0" t="n">
        <v>18.8</v>
      </c>
      <c r="Z253" s="0" t="n">
        <v>82.6</v>
      </c>
      <c r="AA253" s="21" t="s">
        <v>1536</v>
      </c>
      <c r="AB253" s="21" t="s">
        <v>1537</v>
      </c>
      <c r="AC253" s="21" t="s">
        <v>120</v>
      </c>
      <c r="AD253" s="0" t="n">
        <v>193</v>
      </c>
      <c r="AE253" s="22" t="b">
        <f aca="false">FALSE()</f>
        <v>0</v>
      </c>
      <c r="AF253" s="21" t="s">
        <v>121</v>
      </c>
      <c r="AG253" s="21" t="s">
        <v>1538</v>
      </c>
    </row>
    <row r="254" customFormat="false" ht="15" hidden="false" customHeight="false" outlineLevel="0" collapsed="false">
      <c r="A254" s="0" t="s">
        <v>1539</v>
      </c>
      <c r="B254" s="20" t="s">
        <v>124</v>
      </c>
      <c r="E254" s="21" t="s">
        <v>805</v>
      </c>
      <c r="F254" s="21" t="s">
        <v>806</v>
      </c>
      <c r="G254" s="21" t="s">
        <v>127</v>
      </c>
      <c r="H254" s="21" t="s">
        <v>953</v>
      </c>
      <c r="I254" s="21" t="s">
        <v>113</v>
      </c>
      <c r="Z254" s="0" t="n">
        <v>0</v>
      </c>
      <c r="AA254" s="21" t="s">
        <v>1540</v>
      </c>
      <c r="AB254" s="21" t="s">
        <v>1540</v>
      </c>
      <c r="AE254" s="22" t="b">
        <f aca="false">FALSE()</f>
        <v>0</v>
      </c>
      <c r="AF254" s="21" t="s">
        <v>121</v>
      </c>
      <c r="AG254" s="21" t="s">
        <v>1541</v>
      </c>
    </row>
    <row r="255" customFormat="false" ht="15" hidden="false" customHeight="false" outlineLevel="0" collapsed="false">
      <c r="A255" s="0" t="s">
        <v>1542</v>
      </c>
      <c r="B255" s="20" t="s">
        <v>124</v>
      </c>
      <c r="E255" s="21" t="s">
        <v>1543</v>
      </c>
      <c r="F255" s="21" t="s">
        <v>1544</v>
      </c>
      <c r="G255" s="21" t="s">
        <v>127</v>
      </c>
      <c r="H255" s="21" t="s">
        <v>468</v>
      </c>
      <c r="I255" s="21" t="s">
        <v>113</v>
      </c>
      <c r="Z255" s="0" t="n">
        <v>0</v>
      </c>
      <c r="AA255" s="21" t="s">
        <v>1545</v>
      </c>
      <c r="AB255" s="21" t="s">
        <v>1545</v>
      </c>
      <c r="AE255" s="22" t="b">
        <f aca="false">FALSE()</f>
        <v>0</v>
      </c>
      <c r="AF255" s="21" t="s">
        <v>121</v>
      </c>
      <c r="AG255" s="21" t="s">
        <v>1546</v>
      </c>
    </row>
    <row r="256" customFormat="false" ht="15" hidden="false" customHeight="false" outlineLevel="0" collapsed="false">
      <c r="A256" s="0" t="s">
        <v>1547</v>
      </c>
      <c r="B256" s="18" t="s">
        <v>109</v>
      </c>
      <c r="C256" s="19" t="s">
        <v>26</v>
      </c>
      <c r="D256" s="20" t="s">
        <v>31</v>
      </c>
      <c r="E256" s="21" t="s">
        <v>1548</v>
      </c>
      <c r="G256" s="21" t="s">
        <v>127</v>
      </c>
      <c r="H256" s="21" t="s">
        <v>352</v>
      </c>
      <c r="I256" s="21" t="s">
        <v>113</v>
      </c>
      <c r="J256" s="21" t="s">
        <v>134</v>
      </c>
      <c r="K256" s="0" t="n">
        <v>4</v>
      </c>
      <c r="L256" s="0" t="n">
        <v>0</v>
      </c>
      <c r="M256" s="0" t="n">
        <v>3</v>
      </c>
      <c r="N256" s="0" t="n">
        <v>1</v>
      </c>
      <c r="O256" s="0" t="n">
        <v>0</v>
      </c>
      <c r="P256" s="0" t="n">
        <v>3</v>
      </c>
      <c r="Q256" s="0" t="n">
        <v>0</v>
      </c>
      <c r="R256" s="0" t="n">
        <v>2</v>
      </c>
      <c r="S256" s="0" t="n">
        <v>1</v>
      </c>
      <c r="T256" s="0" t="n">
        <v>1</v>
      </c>
      <c r="U256" s="21" t="s">
        <v>1549</v>
      </c>
      <c r="V256" s="21" t="s">
        <v>69</v>
      </c>
      <c r="W256" s="21" t="s">
        <v>646</v>
      </c>
      <c r="X256" s="0" t="n">
        <v>3.59</v>
      </c>
      <c r="Y256" s="0" t="n">
        <v>13.8</v>
      </c>
      <c r="Z256" s="0" t="n">
        <v>49.8</v>
      </c>
      <c r="AA256" s="21" t="s">
        <v>1550</v>
      </c>
      <c r="AB256" s="21" t="s">
        <v>1551</v>
      </c>
      <c r="AC256" s="21" t="s">
        <v>120</v>
      </c>
      <c r="AD256" s="0" t="n">
        <v>95</v>
      </c>
      <c r="AE256" s="22" t="b">
        <f aca="false">FALSE()</f>
        <v>0</v>
      </c>
      <c r="AF256" s="21" t="s">
        <v>121</v>
      </c>
      <c r="AG256" s="21" t="s">
        <v>1552</v>
      </c>
    </row>
    <row r="257" customFormat="false" ht="15" hidden="false" customHeight="false" outlineLevel="0" collapsed="false">
      <c r="A257" s="0" t="s">
        <v>1553</v>
      </c>
      <c r="B257" s="18" t="s">
        <v>109</v>
      </c>
      <c r="C257" s="19" t="s">
        <v>26</v>
      </c>
      <c r="D257" s="20" t="s">
        <v>31</v>
      </c>
      <c r="E257" s="21" t="s">
        <v>1554</v>
      </c>
      <c r="G257" s="21" t="s">
        <v>111</v>
      </c>
      <c r="H257" s="21" t="s">
        <v>869</v>
      </c>
      <c r="I257" s="21" t="s">
        <v>113</v>
      </c>
      <c r="J257" s="21" t="s">
        <v>114</v>
      </c>
      <c r="K257" s="0" t="n">
        <v>8</v>
      </c>
      <c r="L257" s="0" t="n">
        <v>2</v>
      </c>
      <c r="M257" s="0" t="n">
        <v>4</v>
      </c>
      <c r="N257" s="0" t="n">
        <v>2</v>
      </c>
      <c r="O257" s="0" t="n">
        <v>0</v>
      </c>
      <c r="P257" s="0" t="n">
        <v>6</v>
      </c>
      <c r="Q257" s="0" t="n">
        <v>2</v>
      </c>
      <c r="R257" s="0" t="n">
        <v>4</v>
      </c>
      <c r="S257" s="0" t="n">
        <v>0</v>
      </c>
      <c r="T257" s="0" t="n">
        <v>2</v>
      </c>
      <c r="U257" s="21" t="s">
        <v>1555</v>
      </c>
      <c r="V257" s="21" t="s">
        <v>69</v>
      </c>
      <c r="W257" s="21" t="s">
        <v>1178</v>
      </c>
      <c r="X257" s="0" t="n">
        <v>3.33</v>
      </c>
      <c r="Y257" s="0" t="n">
        <v>15.3</v>
      </c>
      <c r="Z257" s="0" t="n">
        <v>84.8</v>
      </c>
      <c r="AA257" s="21" t="s">
        <v>1556</v>
      </c>
      <c r="AB257" s="21" t="s">
        <v>1557</v>
      </c>
      <c r="AC257" s="21" t="s">
        <v>120</v>
      </c>
      <c r="AD257" s="0" t="n">
        <v>193</v>
      </c>
      <c r="AE257" s="22" t="b">
        <f aca="false">FALSE()</f>
        <v>0</v>
      </c>
      <c r="AF257" s="21" t="s">
        <v>121</v>
      </c>
      <c r="AG257" s="21" t="s">
        <v>1558</v>
      </c>
    </row>
    <row r="258" customFormat="false" ht="15" hidden="false" customHeight="false" outlineLevel="0" collapsed="false">
      <c r="A258" s="0" t="s">
        <v>1559</v>
      </c>
      <c r="B258" s="18" t="s">
        <v>109</v>
      </c>
      <c r="C258" s="19" t="s">
        <v>26</v>
      </c>
      <c r="D258" s="20" t="s">
        <v>31</v>
      </c>
      <c r="E258" s="21" t="s">
        <v>1560</v>
      </c>
      <c r="G258" s="21" t="s">
        <v>111</v>
      </c>
      <c r="H258" s="21" t="s">
        <v>203</v>
      </c>
      <c r="I258" s="21" t="s">
        <v>113</v>
      </c>
      <c r="J258" s="21" t="s">
        <v>134</v>
      </c>
      <c r="K258" s="0" t="n">
        <v>4</v>
      </c>
      <c r="L258" s="0" t="n">
        <v>0</v>
      </c>
      <c r="M258" s="0" t="n">
        <v>3</v>
      </c>
      <c r="N258" s="0" t="n">
        <v>1</v>
      </c>
      <c r="O258" s="0" t="n">
        <v>0</v>
      </c>
      <c r="P258" s="0" t="n">
        <v>3</v>
      </c>
      <c r="Q258" s="0" t="n">
        <v>0</v>
      </c>
      <c r="R258" s="0" t="n">
        <v>0</v>
      </c>
      <c r="S258" s="0" t="n">
        <v>3</v>
      </c>
      <c r="T258" s="0" t="n">
        <v>1</v>
      </c>
      <c r="U258" s="21" t="s">
        <v>1561</v>
      </c>
      <c r="V258" s="21" t="s">
        <v>116</v>
      </c>
      <c r="W258" s="21" t="s">
        <v>1562</v>
      </c>
      <c r="X258" s="0" t="n">
        <v>0.73</v>
      </c>
      <c r="Y258" s="0" t="n">
        <v>22.3</v>
      </c>
      <c r="Z258" s="0" t="n">
        <v>52.1</v>
      </c>
      <c r="AA258" s="21" t="s">
        <v>1563</v>
      </c>
      <c r="AB258" s="21" t="s">
        <v>1564</v>
      </c>
      <c r="AC258" s="21" t="s">
        <v>120</v>
      </c>
      <c r="AD258" s="0" t="n">
        <v>109</v>
      </c>
      <c r="AE258" s="22" t="b">
        <f aca="false">FALSE()</f>
        <v>0</v>
      </c>
      <c r="AF258" s="21" t="s">
        <v>121</v>
      </c>
      <c r="AG258" s="21" t="s">
        <v>1565</v>
      </c>
    </row>
    <row r="259" customFormat="false" ht="15" hidden="false" customHeight="false" outlineLevel="0" collapsed="false">
      <c r="A259" s="0" t="s">
        <v>1566</v>
      </c>
      <c r="B259" s="18" t="s">
        <v>109</v>
      </c>
      <c r="C259" s="19" t="s">
        <v>26</v>
      </c>
      <c r="D259" s="20" t="s">
        <v>31</v>
      </c>
      <c r="E259" s="21" t="s">
        <v>1567</v>
      </c>
      <c r="G259" s="21" t="s">
        <v>127</v>
      </c>
      <c r="H259" s="21" t="s">
        <v>195</v>
      </c>
      <c r="I259" s="21" t="s">
        <v>113</v>
      </c>
      <c r="J259" s="21" t="s">
        <v>134</v>
      </c>
      <c r="K259" s="0" t="n">
        <v>4</v>
      </c>
      <c r="L259" s="0" t="n">
        <v>3</v>
      </c>
      <c r="M259" s="0" t="n">
        <v>0</v>
      </c>
      <c r="N259" s="0" t="n">
        <v>1</v>
      </c>
      <c r="O259" s="0" t="n">
        <v>0</v>
      </c>
      <c r="P259" s="0" t="n">
        <v>3</v>
      </c>
      <c r="Q259" s="0" t="n">
        <v>2</v>
      </c>
      <c r="R259" s="0" t="n">
        <v>0</v>
      </c>
      <c r="S259" s="0" t="n">
        <v>1</v>
      </c>
      <c r="T259" s="0" t="n">
        <v>1</v>
      </c>
      <c r="U259" s="21" t="s">
        <v>1568</v>
      </c>
      <c r="V259" s="21" t="s">
        <v>69</v>
      </c>
      <c r="W259" s="21" t="s">
        <v>136</v>
      </c>
      <c r="X259" s="0" t="n">
        <v>4.61</v>
      </c>
      <c r="Y259" s="0" t="n">
        <v>8.1</v>
      </c>
      <c r="Z259" s="0" t="n">
        <v>47</v>
      </c>
      <c r="AA259" s="21" t="s">
        <v>1569</v>
      </c>
      <c r="AB259" s="21" t="s">
        <v>1570</v>
      </c>
      <c r="AC259" s="21" t="s">
        <v>120</v>
      </c>
      <c r="AD259" s="0" t="n">
        <v>95</v>
      </c>
      <c r="AE259" s="22" t="b">
        <f aca="false">FALSE()</f>
        <v>0</v>
      </c>
      <c r="AF259" s="21" t="s">
        <v>121</v>
      </c>
      <c r="AG259" s="21" t="s">
        <v>1571</v>
      </c>
    </row>
    <row r="260" customFormat="false" ht="15" hidden="false" customHeight="false" outlineLevel="0" collapsed="false">
      <c r="A260" s="0" t="s">
        <v>1572</v>
      </c>
      <c r="B260" s="18" t="s">
        <v>109</v>
      </c>
      <c r="C260" s="19" t="s">
        <v>26</v>
      </c>
      <c r="D260" s="20" t="s">
        <v>31</v>
      </c>
      <c r="E260" s="21" t="s">
        <v>1573</v>
      </c>
      <c r="G260" s="21" t="s">
        <v>111</v>
      </c>
      <c r="H260" s="21" t="s">
        <v>495</v>
      </c>
      <c r="I260" s="21" t="s">
        <v>113</v>
      </c>
      <c r="J260" s="21" t="s">
        <v>134</v>
      </c>
      <c r="K260" s="0" t="n">
        <v>4</v>
      </c>
      <c r="L260" s="0" t="n">
        <v>2</v>
      </c>
      <c r="M260" s="0" t="n">
        <v>0</v>
      </c>
      <c r="N260" s="0" t="n">
        <v>2</v>
      </c>
      <c r="O260" s="0" t="n">
        <v>0</v>
      </c>
      <c r="P260" s="0" t="n">
        <v>2</v>
      </c>
      <c r="Q260" s="0" t="n">
        <v>0</v>
      </c>
      <c r="R260" s="0" t="n">
        <v>0</v>
      </c>
      <c r="S260" s="0" t="n">
        <v>2</v>
      </c>
      <c r="T260" s="0" t="n">
        <v>2</v>
      </c>
      <c r="U260" s="21" t="s">
        <v>1574</v>
      </c>
      <c r="W260" s="21" t="s">
        <v>800</v>
      </c>
      <c r="X260" s="0" t="n">
        <v>3.09</v>
      </c>
      <c r="Y260" s="0" t="n">
        <v>11.9</v>
      </c>
      <c r="Z260" s="0" t="n">
        <v>50.3</v>
      </c>
      <c r="AA260" s="21" t="s">
        <v>1575</v>
      </c>
      <c r="AB260" s="21" t="s">
        <v>1576</v>
      </c>
      <c r="AC260" s="21" t="s">
        <v>120</v>
      </c>
      <c r="AD260" s="0" t="n">
        <v>96</v>
      </c>
      <c r="AE260" s="22" t="b">
        <f aca="false">FALSE()</f>
        <v>0</v>
      </c>
      <c r="AF260" s="21" t="s">
        <v>121</v>
      </c>
      <c r="AG260" s="21" t="s">
        <v>1577</v>
      </c>
    </row>
    <row r="261" customFormat="false" ht="15" hidden="false" customHeight="false" outlineLevel="0" collapsed="false">
      <c r="A261" s="0" t="s">
        <v>1578</v>
      </c>
      <c r="B261" s="20" t="s">
        <v>124</v>
      </c>
      <c r="E261" s="21" t="s">
        <v>1579</v>
      </c>
      <c r="F261" s="21" t="s">
        <v>1580</v>
      </c>
      <c r="G261" s="21" t="s">
        <v>111</v>
      </c>
      <c r="H261" s="21" t="s">
        <v>217</v>
      </c>
      <c r="I261" s="21" t="s">
        <v>113</v>
      </c>
      <c r="Z261" s="0" t="n">
        <v>0</v>
      </c>
      <c r="AA261" s="21" t="s">
        <v>1581</v>
      </c>
      <c r="AB261" s="21" t="s">
        <v>1581</v>
      </c>
      <c r="AE261" s="22" t="b">
        <f aca="false">FALSE()</f>
        <v>0</v>
      </c>
      <c r="AF261" s="21" t="s">
        <v>121</v>
      </c>
      <c r="AG261" s="21" t="s">
        <v>1582</v>
      </c>
    </row>
    <row r="262" customFormat="false" ht="15" hidden="false" customHeight="false" outlineLevel="0" collapsed="false">
      <c r="A262" s="0" t="s">
        <v>1583</v>
      </c>
      <c r="B262" s="18" t="s">
        <v>109</v>
      </c>
      <c r="C262" s="20" t="s">
        <v>25</v>
      </c>
      <c r="D262" s="23" t="s">
        <v>30</v>
      </c>
      <c r="E262" s="21" t="s">
        <v>1584</v>
      </c>
      <c r="G262" s="21" t="s">
        <v>111</v>
      </c>
      <c r="H262" s="21" t="s">
        <v>953</v>
      </c>
      <c r="I262" s="21" t="s">
        <v>113</v>
      </c>
      <c r="J262" s="21" t="s">
        <v>134</v>
      </c>
      <c r="K262" s="0" t="n">
        <v>4</v>
      </c>
      <c r="L262" s="0" t="n">
        <v>3</v>
      </c>
      <c r="M262" s="0" t="n">
        <v>1</v>
      </c>
      <c r="N262" s="0" t="n">
        <v>0</v>
      </c>
      <c r="O262" s="0" t="n">
        <v>0</v>
      </c>
      <c r="P262" s="0" t="n">
        <v>4</v>
      </c>
      <c r="Q262" s="0" t="n">
        <v>2</v>
      </c>
      <c r="R262" s="0" t="n">
        <v>0</v>
      </c>
      <c r="S262" s="0" t="n">
        <v>2</v>
      </c>
      <c r="T262" s="0" t="n">
        <v>0</v>
      </c>
      <c r="U262" s="21" t="s">
        <v>1585</v>
      </c>
      <c r="W262" s="21" t="s">
        <v>992</v>
      </c>
      <c r="X262" s="0" t="n">
        <v>2.06</v>
      </c>
      <c r="Y262" s="0" t="n">
        <v>16.6</v>
      </c>
      <c r="Z262" s="0" t="n">
        <v>48.4</v>
      </c>
      <c r="AA262" s="21" t="s">
        <v>1586</v>
      </c>
      <c r="AB262" s="21" t="s">
        <v>1587</v>
      </c>
      <c r="AC262" s="21" t="s">
        <v>120</v>
      </c>
      <c r="AD262" s="0" t="n">
        <v>99</v>
      </c>
      <c r="AE262" s="22" t="b">
        <f aca="false">FALSE()</f>
        <v>0</v>
      </c>
      <c r="AF262" s="21" t="s">
        <v>121</v>
      </c>
      <c r="AG262" s="21" t="s">
        <v>1588</v>
      </c>
    </row>
    <row r="263" customFormat="false" ht="15" hidden="false" customHeight="false" outlineLevel="0" collapsed="false">
      <c r="A263" s="0" t="s">
        <v>1589</v>
      </c>
      <c r="B263" s="18" t="s">
        <v>109</v>
      </c>
      <c r="C263" s="20" t="s">
        <v>25</v>
      </c>
      <c r="D263" s="20" t="s">
        <v>29</v>
      </c>
      <c r="E263" s="21" t="s">
        <v>1590</v>
      </c>
      <c r="G263" s="21" t="s">
        <v>127</v>
      </c>
      <c r="H263" s="21" t="s">
        <v>188</v>
      </c>
      <c r="I263" s="21" t="s">
        <v>113</v>
      </c>
      <c r="J263" s="21" t="s">
        <v>114</v>
      </c>
      <c r="K263" s="0" t="n">
        <v>8</v>
      </c>
      <c r="L263" s="0" t="n">
        <v>6</v>
      </c>
      <c r="M263" s="0" t="n">
        <v>2</v>
      </c>
      <c r="N263" s="0" t="n">
        <v>0</v>
      </c>
      <c r="O263" s="0" t="n">
        <v>0</v>
      </c>
      <c r="P263" s="0" t="n">
        <v>8</v>
      </c>
      <c r="Q263" s="0" t="n">
        <v>6</v>
      </c>
      <c r="R263" s="0" t="n">
        <v>2</v>
      </c>
      <c r="S263" s="0" t="n">
        <v>0</v>
      </c>
      <c r="T263" s="0" t="n">
        <v>0</v>
      </c>
      <c r="W263" s="21" t="s">
        <v>61</v>
      </c>
      <c r="X263" s="0" t="n">
        <v>7.33</v>
      </c>
      <c r="Y263" s="0" t="n">
        <v>14.3</v>
      </c>
      <c r="Z263" s="0" t="n">
        <v>85.4</v>
      </c>
      <c r="AA263" s="21" t="s">
        <v>1591</v>
      </c>
      <c r="AB263" s="21" t="s">
        <v>1592</v>
      </c>
      <c r="AC263" s="21" t="s">
        <v>120</v>
      </c>
      <c r="AD263" s="0" t="n">
        <v>192</v>
      </c>
      <c r="AE263" s="22" t="b">
        <f aca="false">FALSE()</f>
        <v>0</v>
      </c>
      <c r="AF263" s="21" t="s">
        <v>121</v>
      </c>
      <c r="AG263" s="21" t="s">
        <v>1593</v>
      </c>
    </row>
    <row r="264" customFormat="false" ht="15" hidden="false" customHeight="false" outlineLevel="0" collapsed="false">
      <c r="A264" s="0" t="s">
        <v>1594</v>
      </c>
      <c r="B264" s="18" t="s">
        <v>109</v>
      </c>
      <c r="C264" s="19" t="s">
        <v>26</v>
      </c>
      <c r="D264" s="20" t="s">
        <v>31</v>
      </c>
      <c r="E264" s="21" t="s">
        <v>1595</v>
      </c>
      <c r="G264" s="21" t="s">
        <v>111</v>
      </c>
      <c r="H264" s="21" t="s">
        <v>331</v>
      </c>
      <c r="I264" s="21" t="s">
        <v>113</v>
      </c>
      <c r="J264" s="21" t="s">
        <v>114</v>
      </c>
      <c r="K264" s="0" t="n">
        <v>8</v>
      </c>
      <c r="L264" s="0" t="n">
        <v>0</v>
      </c>
      <c r="M264" s="0" t="n">
        <v>7</v>
      </c>
      <c r="N264" s="0" t="n">
        <v>1</v>
      </c>
      <c r="O264" s="0" t="n">
        <v>0</v>
      </c>
      <c r="P264" s="0" t="n">
        <v>7</v>
      </c>
      <c r="Q264" s="0" t="n">
        <v>0</v>
      </c>
      <c r="R264" s="0" t="n">
        <v>3</v>
      </c>
      <c r="S264" s="0" t="n">
        <v>4</v>
      </c>
      <c r="T264" s="0" t="n">
        <v>1</v>
      </c>
      <c r="U264" s="21" t="s">
        <v>1596</v>
      </c>
      <c r="V264" s="21" t="s">
        <v>69</v>
      </c>
      <c r="W264" s="21" t="s">
        <v>433</v>
      </c>
      <c r="X264" s="0" t="n">
        <v>1.02</v>
      </c>
      <c r="Y264" s="0" t="n">
        <v>14.7</v>
      </c>
      <c r="Z264" s="0" t="n">
        <v>88.3</v>
      </c>
      <c r="AA264" s="21" t="s">
        <v>1597</v>
      </c>
      <c r="AB264" s="21" t="s">
        <v>1598</v>
      </c>
      <c r="AC264" s="21" t="s">
        <v>120</v>
      </c>
      <c r="AD264" s="0" t="n">
        <v>196</v>
      </c>
      <c r="AE264" s="22" t="b">
        <f aca="false">FALSE()</f>
        <v>0</v>
      </c>
      <c r="AF264" s="21" t="s">
        <v>121</v>
      </c>
      <c r="AG264" s="21" t="s">
        <v>1599</v>
      </c>
    </row>
    <row r="265" customFormat="false" ht="15" hidden="false" customHeight="false" outlineLevel="0" collapsed="false">
      <c r="A265" s="0" t="s">
        <v>1600</v>
      </c>
      <c r="B265" s="18" t="s">
        <v>109</v>
      </c>
      <c r="C265" s="20" t="s">
        <v>25</v>
      </c>
      <c r="D265" s="23" t="s">
        <v>30</v>
      </c>
      <c r="E265" s="21" t="s">
        <v>1601</v>
      </c>
      <c r="G265" s="21" t="s">
        <v>111</v>
      </c>
      <c r="H265" s="21" t="s">
        <v>275</v>
      </c>
      <c r="I265" s="21" t="s">
        <v>113</v>
      </c>
      <c r="J265" s="21" t="s">
        <v>134</v>
      </c>
      <c r="K265" s="0" t="n">
        <v>4</v>
      </c>
      <c r="L265" s="0" t="n">
        <v>0</v>
      </c>
      <c r="M265" s="0" t="n">
        <v>4</v>
      </c>
      <c r="N265" s="0" t="n">
        <v>0</v>
      </c>
      <c r="O265" s="0" t="n">
        <v>0</v>
      </c>
      <c r="P265" s="0" t="n">
        <v>4</v>
      </c>
      <c r="Q265" s="0" t="n">
        <v>0</v>
      </c>
      <c r="R265" s="0" t="n">
        <v>0</v>
      </c>
      <c r="S265" s="0" t="n">
        <v>4</v>
      </c>
      <c r="T265" s="0" t="n">
        <v>0</v>
      </c>
      <c r="U265" s="21" t="s">
        <v>1602</v>
      </c>
      <c r="V265" s="21" t="s">
        <v>69</v>
      </c>
      <c r="W265" s="21" t="s">
        <v>1152</v>
      </c>
      <c r="X265" s="0" t="n">
        <v>0.49</v>
      </c>
      <c r="Y265" s="0" t="n">
        <v>7.5</v>
      </c>
      <c r="Z265" s="0" t="n">
        <v>52.7</v>
      </c>
      <c r="AA265" s="21" t="s">
        <v>1603</v>
      </c>
      <c r="AB265" s="21" t="s">
        <v>914</v>
      </c>
      <c r="AC265" s="21" t="s">
        <v>120</v>
      </c>
      <c r="AD265" s="0" t="n">
        <v>95</v>
      </c>
      <c r="AE265" s="22" t="b">
        <f aca="false">FALSE()</f>
        <v>0</v>
      </c>
      <c r="AF265" s="21" t="s">
        <v>121</v>
      </c>
      <c r="AG265" s="21" t="s">
        <v>1604</v>
      </c>
    </row>
    <row r="266" customFormat="false" ht="15" hidden="false" customHeight="false" outlineLevel="0" collapsed="false">
      <c r="A266" s="0" t="s">
        <v>1605</v>
      </c>
      <c r="B266" s="20" t="s">
        <v>124</v>
      </c>
      <c r="E266" s="21" t="s">
        <v>306</v>
      </c>
      <c r="F266" s="21" t="s">
        <v>307</v>
      </c>
      <c r="G266" s="21" t="s">
        <v>127</v>
      </c>
      <c r="H266" s="21" t="s">
        <v>308</v>
      </c>
      <c r="I266" s="21" t="s">
        <v>113</v>
      </c>
      <c r="Z266" s="0" t="n">
        <v>0</v>
      </c>
      <c r="AA266" s="21" t="s">
        <v>1606</v>
      </c>
      <c r="AB266" s="21" t="s">
        <v>1606</v>
      </c>
      <c r="AE266" s="22" t="b">
        <f aca="false">FALSE()</f>
        <v>0</v>
      </c>
      <c r="AF266" s="21" t="s">
        <v>121</v>
      </c>
      <c r="AG266" s="21" t="s">
        <v>1607</v>
      </c>
    </row>
    <row r="267" customFormat="false" ht="15" hidden="false" customHeight="false" outlineLevel="0" collapsed="false">
      <c r="A267" s="0" t="s">
        <v>1608</v>
      </c>
      <c r="B267" s="18" t="s">
        <v>109</v>
      </c>
      <c r="C267" s="19" t="s">
        <v>26</v>
      </c>
      <c r="D267" s="20" t="s">
        <v>31</v>
      </c>
      <c r="E267" s="21" t="s">
        <v>1609</v>
      </c>
      <c r="G267" s="21" t="s">
        <v>111</v>
      </c>
      <c r="H267" s="21" t="s">
        <v>133</v>
      </c>
      <c r="I267" s="21" t="s">
        <v>113</v>
      </c>
      <c r="J267" s="21" t="s">
        <v>114</v>
      </c>
      <c r="K267" s="0" t="n">
        <v>8</v>
      </c>
      <c r="L267" s="0" t="n">
        <v>3</v>
      </c>
      <c r="M267" s="0" t="n">
        <v>3</v>
      </c>
      <c r="N267" s="0" t="n">
        <v>2</v>
      </c>
      <c r="O267" s="0" t="n">
        <v>0</v>
      </c>
      <c r="P267" s="0" t="n">
        <v>6</v>
      </c>
      <c r="Q267" s="0" t="n">
        <v>3</v>
      </c>
      <c r="R267" s="0" t="n">
        <v>1</v>
      </c>
      <c r="S267" s="0" t="n">
        <v>2</v>
      </c>
      <c r="T267" s="0" t="n">
        <v>2</v>
      </c>
      <c r="U267" s="21" t="s">
        <v>1610</v>
      </c>
      <c r="V267" s="21" t="s">
        <v>69</v>
      </c>
      <c r="W267" s="21" t="s">
        <v>672</v>
      </c>
      <c r="X267" s="0" t="n">
        <v>2.02</v>
      </c>
      <c r="Y267" s="0" t="n">
        <v>8.1</v>
      </c>
      <c r="Z267" s="0" t="n">
        <v>92.2</v>
      </c>
      <c r="AA267" s="21" t="s">
        <v>1611</v>
      </c>
      <c r="AB267" s="21" t="s">
        <v>1612</v>
      </c>
      <c r="AC267" s="21" t="s">
        <v>120</v>
      </c>
      <c r="AD267" s="0" t="n">
        <v>193</v>
      </c>
      <c r="AE267" s="22" t="b">
        <f aca="false">FALSE()</f>
        <v>0</v>
      </c>
      <c r="AF267" s="21" t="s">
        <v>121</v>
      </c>
      <c r="AG267" s="21" t="s">
        <v>1613</v>
      </c>
    </row>
    <row r="268" customFormat="false" ht="15" hidden="false" customHeight="false" outlineLevel="0" collapsed="false">
      <c r="A268" s="0" t="s">
        <v>1614</v>
      </c>
      <c r="B268" s="18" t="s">
        <v>109</v>
      </c>
      <c r="C268" s="19" t="s">
        <v>26</v>
      </c>
      <c r="D268" s="20" t="s">
        <v>31</v>
      </c>
      <c r="E268" s="21" t="s">
        <v>1615</v>
      </c>
      <c r="G268" s="21" t="s">
        <v>127</v>
      </c>
      <c r="H268" s="21" t="s">
        <v>275</v>
      </c>
      <c r="I268" s="21" t="s">
        <v>113</v>
      </c>
      <c r="J268" s="21" t="s">
        <v>114</v>
      </c>
      <c r="K268" s="0" t="n">
        <v>8</v>
      </c>
      <c r="L268" s="0" t="n">
        <v>3</v>
      </c>
      <c r="M268" s="0" t="n">
        <v>4</v>
      </c>
      <c r="N268" s="0" t="n">
        <v>1</v>
      </c>
      <c r="O268" s="0" t="n">
        <v>0</v>
      </c>
      <c r="P268" s="0" t="n">
        <v>7</v>
      </c>
      <c r="Q268" s="0" t="n">
        <v>1</v>
      </c>
      <c r="R268" s="0" t="n">
        <v>2</v>
      </c>
      <c r="S268" s="0" t="n">
        <v>4</v>
      </c>
      <c r="T268" s="0" t="n">
        <v>1</v>
      </c>
      <c r="U268" s="21" t="s">
        <v>1616</v>
      </c>
      <c r="V268" s="21" t="s">
        <v>69</v>
      </c>
      <c r="W268" s="21" t="s">
        <v>224</v>
      </c>
      <c r="X268" s="0" t="n">
        <v>5.53</v>
      </c>
      <c r="Y268" s="0" t="n">
        <v>16.9</v>
      </c>
      <c r="Z268" s="0" t="n">
        <v>90.3</v>
      </c>
      <c r="AA268" s="21" t="s">
        <v>1617</v>
      </c>
      <c r="AB268" s="21" t="s">
        <v>1618</v>
      </c>
      <c r="AC268" s="21" t="s">
        <v>120</v>
      </c>
      <c r="AD268" s="0" t="n">
        <v>193</v>
      </c>
      <c r="AE268" s="22" t="b">
        <f aca="false">FALSE()</f>
        <v>0</v>
      </c>
      <c r="AF268" s="21" t="s">
        <v>121</v>
      </c>
      <c r="AG268" s="21" t="s">
        <v>1619</v>
      </c>
    </row>
    <row r="269" customFormat="false" ht="15" hidden="false" customHeight="false" outlineLevel="0" collapsed="false">
      <c r="A269" s="0" t="s">
        <v>1620</v>
      </c>
      <c r="B269" s="18" t="s">
        <v>109</v>
      </c>
      <c r="C269" s="19" t="s">
        <v>26</v>
      </c>
      <c r="D269" s="20" t="s">
        <v>31</v>
      </c>
      <c r="E269" s="21" t="s">
        <v>1621</v>
      </c>
      <c r="G269" s="21" t="s">
        <v>111</v>
      </c>
      <c r="H269" s="21" t="s">
        <v>343</v>
      </c>
      <c r="I269" s="21" t="s">
        <v>113</v>
      </c>
      <c r="J269" s="21" t="s">
        <v>134</v>
      </c>
      <c r="K269" s="0" t="n">
        <v>4</v>
      </c>
      <c r="L269" s="0" t="n">
        <v>0</v>
      </c>
      <c r="M269" s="0" t="n">
        <v>2</v>
      </c>
      <c r="N269" s="0" t="n">
        <v>2</v>
      </c>
      <c r="O269" s="0" t="n">
        <v>0</v>
      </c>
      <c r="P269" s="0" t="n">
        <v>2</v>
      </c>
      <c r="Q269" s="0" t="n">
        <v>0</v>
      </c>
      <c r="R269" s="0" t="n">
        <v>2</v>
      </c>
      <c r="S269" s="0" t="n">
        <v>0</v>
      </c>
      <c r="T269" s="0" t="n">
        <v>2</v>
      </c>
      <c r="U269" s="21" t="s">
        <v>1622</v>
      </c>
      <c r="V269" s="21" t="s">
        <v>116</v>
      </c>
      <c r="W269" s="21" t="s">
        <v>1623</v>
      </c>
      <c r="X269" s="0" t="n">
        <v>1.22</v>
      </c>
      <c r="Y269" s="0" t="n">
        <v>21.2</v>
      </c>
      <c r="Z269" s="0" t="n">
        <v>50.5</v>
      </c>
      <c r="AA269" s="21" t="s">
        <v>1624</v>
      </c>
      <c r="AB269" s="21" t="s">
        <v>1625</v>
      </c>
      <c r="AC269" s="21" t="s">
        <v>120</v>
      </c>
      <c r="AD269" s="0" t="n">
        <v>96</v>
      </c>
      <c r="AE269" s="22" t="b">
        <f aca="false">FALSE()</f>
        <v>0</v>
      </c>
      <c r="AF269" s="21" t="s">
        <v>121</v>
      </c>
      <c r="AG269" s="21" t="s">
        <v>1626</v>
      </c>
    </row>
    <row r="270" customFormat="false" ht="15" hidden="false" customHeight="false" outlineLevel="0" collapsed="false">
      <c r="A270" s="0" t="s">
        <v>1627</v>
      </c>
      <c r="B270" s="18" t="s">
        <v>109</v>
      </c>
      <c r="C270" s="20" t="s">
        <v>25</v>
      </c>
      <c r="D270" s="20" t="s">
        <v>29</v>
      </c>
      <c r="E270" s="21" t="s">
        <v>1628</v>
      </c>
      <c r="G270" s="21" t="s">
        <v>127</v>
      </c>
      <c r="H270" s="21" t="s">
        <v>468</v>
      </c>
      <c r="I270" s="21" t="s">
        <v>113</v>
      </c>
      <c r="J270" s="21" t="s">
        <v>134</v>
      </c>
      <c r="K270" s="0" t="n">
        <v>4</v>
      </c>
      <c r="L270" s="0" t="n">
        <v>0</v>
      </c>
      <c r="M270" s="0" t="n">
        <v>4</v>
      </c>
      <c r="N270" s="0" t="n">
        <v>0</v>
      </c>
      <c r="O270" s="0" t="n">
        <v>0</v>
      </c>
      <c r="P270" s="0" t="n">
        <v>4</v>
      </c>
      <c r="Q270" s="0" t="n">
        <v>0</v>
      </c>
      <c r="R270" s="0" t="n">
        <v>4</v>
      </c>
      <c r="S270" s="0" t="n">
        <v>0</v>
      </c>
      <c r="T270" s="0" t="n">
        <v>0</v>
      </c>
      <c r="W270" s="21" t="s">
        <v>1629</v>
      </c>
      <c r="X270" s="0" t="n">
        <v>0.57</v>
      </c>
      <c r="Y270" s="0" t="n">
        <v>9.9</v>
      </c>
      <c r="Z270" s="0" t="n">
        <v>51.4</v>
      </c>
      <c r="AA270" s="21" t="s">
        <v>1630</v>
      </c>
      <c r="AB270" s="21" t="s">
        <v>921</v>
      </c>
      <c r="AC270" s="21" t="s">
        <v>120</v>
      </c>
      <c r="AD270" s="0" t="n">
        <v>96</v>
      </c>
      <c r="AE270" s="22" t="b">
        <f aca="false">FALSE()</f>
        <v>0</v>
      </c>
      <c r="AF270" s="21" t="s">
        <v>121</v>
      </c>
      <c r="AG270" s="21" t="s">
        <v>1631</v>
      </c>
    </row>
    <row r="271" customFormat="false" ht="15" hidden="false" customHeight="false" outlineLevel="0" collapsed="false">
      <c r="A271" s="0" t="s">
        <v>1632</v>
      </c>
      <c r="B271" s="20" t="s">
        <v>124</v>
      </c>
      <c r="E271" s="21" t="s">
        <v>1633</v>
      </c>
      <c r="F271" s="21" t="s">
        <v>1634</v>
      </c>
      <c r="G271" s="21" t="s">
        <v>127</v>
      </c>
      <c r="H271" s="21" t="s">
        <v>269</v>
      </c>
      <c r="I271" s="21" t="s">
        <v>113</v>
      </c>
      <c r="Z271" s="0" t="n">
        <v>0</v>
      </c>
      <c r="AA271" s="21" t="s">
        <v>926</v>
      </c>
      <c r="AB271" s="21" t="s">
        <v>926</v>
      </c>
      <c r="AE271" s="22" t="b">
        <f aca="false">FALSE()</f>
        <v>0</v>
      </c>
      <c r="AF271" s="21" t="s">
        <v>121</v>
      </c>
      <c r="AG271" s="21" t="s">
        <v>1635</v>
      </c>
    </row>
    <row r="272" customFormat="false" ht="15" hidden="false" customHeight="false" outlineLevel="0" collapsed="false">
      <c r="A272" s="0" t="s">
        <v>1636</v>
      </c>
      <c r="B272" s="20" t="s">
        <v>124</v>
      </c>
      <c r="E272" s="21" t="s">
        <v>1331</v>
      </c>
      <c r="F272" s="21" t="s">
        <v>1332</v>
      </c>
      <c r="G272" s="21" t="s">
        <v>127</v>
      </c>
      <c r="H272" s="21" t="s">
        <v>765</v>
      </c>
      <c r="I272" s="21" t="s">
        <v>113</v>
      </c>
      <c r="Z272" s="0" t="n">
        <v>0</v>
      </c>
      <c r="AA272" s="21" t="s">
        <v>1637</v>
      </c>
      <c r="AB272" s="21" t="s">
        <v>1637</v>
      </c>
      <c r="AE272" s="22" t="b">
        <f aca="false">FALSE()</f>
        <v>0</v>
      </c>
      <c r="AF272" s="21" t="s">
        <v>121</v>
      </c>
      <c r="AG272" s="21" t="s">
        <v>1638</v>
      </c>
    </row>
    <row r="273" customFormat="false" ht="15" hidden="false" customHeight="false" outlineLevel="0" collapsed="false">
      <c r="A273" s="0" t="s">
        <v>1639</v>
      </c>
      <c r="B273" s="18" t="s">
        <v>109</v>
      </c>
      <c r="C273" s="19" t="s">
        <v>26</v>
      </c>
      <c r="D273" s="20" t="s">
        <v>31</v>
      </c>
      <c r="E273" s="21" t="s">
        <v>1640</v>
      </c>
      <c r="G273" s="21" t="s">
        <v>111</v>
      </c>
      <c r="H273" s="21" t="s">
        <v>170</v>
      </c>
      <c r="I273" s="21" t="s">
        <v>113</v>
      </c>
      <c r="J273" s="21" t="s">
        <v>114</v>
      </c>
      <c r="K273" s="0" t="n">
        <v>8</v>
      </c>
      <c r="L273" s="0" t="n">
        <v>1</v>
      </c>
      <c r="M273" s="0" t="n">
        <v>2</v>
      </c>
      <c r="N273" s="0" t="n">
        <v>5</v>
      </c>
      <c r="O273" s="0" t="n">
        <v>0</v>
      </c>
      <c r="P273" s="0" t="n">
        <v>3</v>
      </c>
      <c r="Q273" s="0" t="n">
        <v>1</v>
      </c>
      <c r="R273" s="0" t="n">
        <v>0</v>
      </c>
      <c r="S273" s="0" t="n">
        <v>2</v>
      </c>
      <c r="T273" s="0" t="n">
        <v>5</v>
      </c>
      <c r="U273" s="21" t="s">
        <v>1641</v>
      </c>
      <c r="V273" s="21" t="s">
        <v>116</v>
      </c>
      <c r="W273" s="21" t="s">
        <v>1243</v>
      </c>
      <c r="X273" s="0" t="n">
        <v>5.09</v>
      </c>
      <c r="Y273" s="0" t="n">
        <v>11.5</v>
      </c>
      <c r="Z273" s="0" t="n">
        <v>91.2</v>
      </c>
      <c r="AA273" s="21" t="s">
        <v>1642</v>
      </c>
      <c r="AB273" s="21" t="s">
        <v>1643</v>
      </c>
      <c r="AC273" s="21" t="s">
        <v>120</v>
      </c>
      <c r="AD273" s="0" t="n">
        <v>199</v>
      </c>
      <c r="AE273" s="22" t="b">
        <f aca="false">FALSE()</f>
        <v>0</v>
      </c>
      <c r="AF273" s="21" t="s">
        <v>121</v>
      </c>
      <c r="AG273" s="21" t="s">
        <v>1644</v>
      </c>
    </row>
    <row r="274" customFormat="false" ht="15" hidden="false" customHeight="false" outlineLevel="0" collapsed="false">
      <c r="A274" s="0" t="s">
        <v>1645</v>
      </c>
      <c r="B274" s="18" t="s">
        <v>109</v>
      </c>
      <c r="C274" s="20" t="s">
        <v>25</v>
      </c>
      <c r="D274" s="23" t="s">
        <v>30</v>
      </c>
      <c r="E274" s="21" t="s">
        <v>1646</v>
      </c>
      <c r="G274" s="21" t="s">
        <v>111</v>
      </c>
      <c r="H274" s="21" t="s">
        <v>275</v>
      </c>
      <c r="I274" s="21" t="s">
        <v>113</v>
      </c>
      <c r="J274" s="21" t="s">
        <v>134</v>
      </c>
      <c r="K274" s="0" t="n">
        <v>4</v>
      </c>
      <c r="L274" s="0" t="n">
        <v>0</v>
      </c>
      <c r="M274" s="0" t="n">
        <v>4</v>
      </c>
      <c r="N274" s="0" t="n">
        <v>0</v>
      </c>
      <c r="O274" s="0" t="n">
        <v>0</v>
      </c>
      <c r="P274" s="0" t="n">
        <v>4</v>
      </c>
      <c r="Q274" s="0" t="n">
        <v>0</v>
      </c>
      <c r="R274" s="0" t="n">
        <v>2</v>
      </c>
      <c r="S274" s="0" t="n">
        <v>2</v>
      </c>
      <c r="T274" s="0" t="n">
        <v>0</v>
      </c>
      <c r="U274" s="21" t="s">
        <v>1647</v>
      </c>
      <c r="V274" s="21" t="s">
        <v>69</v>
      </c>
      <c r="W274" s="21" t="s">
        <v>157</v>
      </c>
      <c r="X274" s="0" t="n">
        <v>1.84</v>
      </c>
      <c r="Y274" s="0" t="n">
        <v>19.9</v>
      </c>
      <c r="Z274" s="0" t="n">
        <v>48.5</v>
      </c>
      <c r="AA274" s="21" t="s">
        <v>1648</v>
      </c>
      <c r="AB274" s="21" t="s">
        <v>1649</v>
      </c>
      <c r="AC274" s="21" t="s">
        <v>120</v>
      </c>
      <c r="AD274" s="0" t="n">
        <v>96</v>
      </c>
      <c r="AE274" s="22" t="b">
        <f aca="false">FALSE()</f>
        <v>0</v>
      </c>
      <c r="AF274" s="21" t="s">
        <v>121</v>
      </c>
      <c r="AG274" s="21" t="s">
        <v>1650</v>
      </c>
    </row>
    <row r="275" customFormat="false" ht="15" hidden="false" customHeight="false" outlineLevel="0" collapsed="false">
      <c r="A275" s="0" t="s">
        <v>1651</v>
      </c>
      <c r="B275" s="18" t="s">
        <v>109</v>
      </c>
      <c r="C275" s="20" t="s">
        <v>25</v>
      </c>
      <c r="D275" s="23" t="s">
        <v>30</v>
      </c>
      <c r="E275" s="21" t="s">
        <v>1652</v>
      </c>
      <c r="G275" s="21" t="s">
        <v>111</v>
      </c>
      <c r="H275" s="21" t="s">
        <v>275</v>
      </c>
      <c r="I275" s="21" t="s">
        <v>113</v>
      </c>
      <c r="J275" s="21" t="s">
        <v>134</v>
      </c>
      <c r="K275" s="0" t="n">
        <v>4</v>
      </c>
      <c r="L275" s="0" t="n">
        <v>0</v>
      </c>
      <c r="M275" s="0" t="n">
        <v>4</v>
      </c>
      <c r="N275" s="0" t="n">
        <v>0</v>
      </c>
      <c r="O275" s="0" t="n">
        <v>0</v>
      </c>
      <c r="P275" s="0" t="n">
        <v>4</v>
      </c>
      <c r="Q275" s="0" t="n">
        <v>0</v>
      </c>
      <c r="R275" s="0" t="n">
        <v>0</v>
      </c>
      <c r="S275" s="0" t="n">
        <v>4</v>
      </c>
      <c r="T275" s="0" t="n">
        <v>0</v>
      </c>
      <c r="U275" s="21" t="s">
        <v>1653</v>
      </c>
      <c r="V275" s="21" t="s">
        <v>69</v>
      </c>
      <c r="W275" s="21" t="s">
        <v>602</v>
      </c>
      <c r="X275" s="0" t="n">
        <v>0.95</v>
      </c>
      <c r="Y275" s="0" t="n">
        <v>15.3</v>
      </c>
      <c r="Z275" s="0" t="n">
        <v>50.4</v>
      </c>
      <c r="AA275" s="21" t="s">
        <v>1654</v>
      </c>
      <c r="AB275" s="21" t="s">
        <v>1655</v>
      </c>
      <c r="AC275" s="21" t="s">
        <v>120</v>
      </c>
      <c r="AD275" s="0" t="n">
        <v>100</v>
      </c>
      <c r="AE275" s="22" t="b">
        <f aca="false">FALSE()</f>
        <v>0</v>
      </c>
      <c r="AF275" s="21" t="s">
        <v>121</v>
      </c>
      <c r="AG275" s="21" t="s">
        <v>1656</v>
      </c>
    </row>
    <row r="276" customFormat="false" ht="15" hidden="false" customHeight="false" outlineLevel="0" collapsed="false">
      <c r="A276" s="0" t="s">
        <v>1657</v>
      </c>
      <c r="B276" s="18" t="s">
        <v>109</v>
      </c>
      <c r="C276" s="20" t="s">
        <v>25</v>
      </c>
      <c r="D276" s="23" t="s">
        <v>30</v>
      </c>
      <c r="E276" s="21" t="s">
        <v>1658</v>
      </c>
      <c r="G276" s="21" t="s">
        <v>111</v>
      </c>
      <c r="H276" s="21" t="s">
        <v>382</v>
      </c>
      <c r="I276" s="21" t="s">
        <v>113</v>
      </c>
      <c r="J276" s="21" t="s">
        <v>134</v>
      </c>
      <c r="K276" s="0" t="n">
        <v>4</v>
      </c>
      <c r="L276" s="0" t="n">
        <v>1</v>
      </c>
      <c r="M276" s="0" t="n">
        <v>3</v>
      </c>
      <c r="N276" s="0" t="n">
        <v>0</v>
      </c>
      <c r="O276" s="0" t="n">
        <v>0</v>
      </c>
      <c r="P276" s="0" t="n">
        <v>4</v>
      </c>
      <c r="Q276" s="0" t="n">
        <v>0</v>
      </c>
      <c r="R276" s="0" t="n">
        <v>0</v>
      </c>
      <c r="S276" s="0" t="n">
        <v>4</v>
      </c>
      <c r="T276" s="0" t="n">
        <v>0</v>
      </c>
      <c r="U276" s="21" t="s">
        <v>1659</v>
      </c>
      <c r="V276" s="21" t="s">
        <v>69</v>
      </c>
      <c r="W276" s="21" t="s">
        <v>1046</v>
      </c>
      <c r="X276" s="0" t="n">
        <v>3.95</v>
      </c>
      <c r="Y276" s="0" t="n">
        <v>19.9</v>
      </c>
      <c r="Z276" s="0" t="n">
        <v>49.4</v>
      </c>
      <c r="AA276" s="21" t="s">
        <v>1660</v>
      </c>
      <c r="AB276" s="21" t="s">
        <v>1661</v>
      </c>
      <c r="AC276" s="21" t="s">
        <v>120</v>
      </c>
      <c r="AD276" s="0" t="n">
        <v>95</v>
      </c>
      <c r="AE276" s="22" t="b">
        <f aca="false">FALSE()</f>
        <v>0</v>
      </c>
      <c r="AF276" s="21" t="s">
        <v>121</v>
      </c>
      <c r="AG276" s="21" t="s">
        <v>1662</v>
      </c>
    </row>
    <row r="277" customFormat="false" ht="15" hidden="false" customHeight="false" outlineLevel="0" collapsed="false">
      <c r="A277" s="0" t="s">
        <v>1663</v>
      </c>
      <c r="B277" s="18" t="s">
        <v>109</v>
      </c>
      <c r="C277" s="20" t="s">
        <v>25</v>
      </c>
      <c r="D277" s="23" t="s">
        <v>30</v>
      </c>
      <c r="E277" s="21" t="s">
        <v>1664</v>
      </c>
      <c r="G277" s="21" t="s">
        <v>111</v>
      </c>
      <c r="H277" s="21" t="s">
        <v>439</v>
      </c>
      <c r="I277" s="21" t="s">
        <v>113</v>
      </c>
      <c r="J277" s="21" t="s">
        <v>134</v>
      </c>
      <c r="K277" s="0" t="n">
        <v>4</v>
      </c>
      <c r="L277" s="0" t="n">
        <v>1</v>
      </c>
      <c r="M277" s="0" t="n">
        <v>3</v>
      </c>
      <c r="N277" s="0" t="n">
        <v>0</v>
      </c>
      <c r="O277" s="0" t="n">
        <v>0</v>
      </c>
      <c r="P277" s="0" t="n">
        <v>4</v>
      </c>
      <c r="Q277" s="0" t="n">
        <v>0</v>
      </c>
      <c r="R277" s="0" t="n">
        <v>0</v>
      </c>
      <c r="S277" s="0" t="n">
        <v>4</v>
      </c>
      <c r="T277" s="0" t="n">
        <v>0</v>
      </c>
      <c r="U277" s="21" t="s">
        <v>1665</v>
      </c>
      <c r="V277" s="21" t="s">
        <v>69</v>
      </c>
      <c r="W277" s="21" t="s">
        <v>283</v>
      </c>
      <c r="X277" s="0" t="n">
        <v>4.63</v>
      </c>
      <c r="Y277" s="0" t="n">
        <v>9.2</v>
      </c>
      <c r="Z277" s="0" t="n">
        <v>52</v>
      </c>
      <c r="AA277" s="21" t="s">
        <v>1666</v>
      </c>
      <c r="AB277" s="21" t="s">
        <v>1667</v>
      </c>
      <c r="AC277" s="21" t="s">
        <v>120</v>
      </c>
      <c r="AD277" s="0" t="n">
        <v>97</v>
      </c>
      <c r="AE277" s="22" t="b">
        <f aca="false">FALSE()</f>
        <v>0</v>
      </c>
      <c r="AF277" s="21" t="s">
        <v>121</v>
      </c>
      <c r="AG277" s="21" t="s">
        <v>1668</v>
      </c>
    </row>
    <row r="278" customFormat="false" ht="15" hidden="false" customHeight="false" outlineLevel="0" collapsed="false">
      <c r="A278" s="0" t="s">
        <v>1669</v>
      </c>
      <c r="B278" s="18" t="s">
        <v>109</v>
      </c>
      <c r="C278" s="19" t="s">
        <v>26</v>
      </c>
      <c r="D278" s="20" t="s">
        <v>31</v>
      </c>
      <c r="E278" s="21" t="s">
        <v>1670</v>
      </c>
      <c r="G278" s="21" t="s">
        <v>111</v>
      </c>
      <c r="H278" s="21" t="s">
        <v>217</v>
      </c>
      <c r="I278" s="21" t="s">
        <v>113</v>
      </c>
      <c r="J278" s="21" t="s">
        <v>114</v>
      </c>
      <c r="K278" s="0" t="n">
        <v>8</v>
      </c>
      <c r="L278" s="0" t="n">
        <v>1</v>
      </c>
      <c r="M278" s="0" t="n">
        <v>5</v>
      </c>
      <c r="N278" s="0" t="n">
        <v>2</v>
      </c>
      <c r="O278" s="0" t="n">
        <v>0</v>
      </c>
      <c r="P278" s="0" t="n">
        <v>6</v>
      </c>
      <c r="Q278" s="0" t="n">
        <v>0</v>
      </c>
      <c r="R278" s="0" t="n">
        <v>1</v>
      </c>
      <c r="S278" s="0" t="n">
        <v>5</v>
      </c>
      <c r="T278" s="0" t="n">
        <v>2</v>
      </c>
      <c r="U278" s="21" t="s">
        <v>1671</v>
      </c>
      <c r="V278" s="21" t="s">
        <v>69</v>
      </c>
      <c r="W278" s="21" t="s">
        <v>698</v>
      </c>
      <c r="X278" s="0" t="n">
        <v>0.99</v>
      </c>
      <c r="Y278" s="0" t="n">
        <v>15.3</v>
      </c>
      <c r="Z278" s="0" t="n">
        <v>93.8</v>
      </c>
      <c r="AA278" s="21" t="s">
        <v>1672</v>
      </c>
      <c r="AB278" s="21" t="s">
        <v>1673</v>
      </c>
      <c r="AC278" s="21" t="s">
        <v>120</v>
      </c>
      <c r="AD278" s="0" t="n">
        <v>194</v>
      </c>
      <c r="AE278" s="22" t="b">
        <f aca="false">FALSE()</f>
        <v>0</v>
      </c>
      <c r="AF278" s="21" t="s">
        <v>121</v>
      </c>
      <c r="AG278" s="21" t="s">
        <v>1674</v>
      </c>
    </row>
    <row r="279" customFormat="false" ht="15" hidden="false" customHeight="false" outlineLevel="0" collapsed="false">
      <c r="A279" s="0" t="s">
        <v>1675</v>
      </c>
      <c r="B279" s="20" t="s">
        <v>124</v>
      </c>
      <c r="E279" s="21" t="s">
        <v>1676</v>
      </c>
      <c r="F279" s="21" t="s">
        <v>1677</v>
      </c>
      <c r="G279" s="21" t="s">
        <v>127</v>
      </c>
      <c r="H279" s="21" t="s">
        <v>275</v>
      </c>
      <c r="I279" s="21" t="s">
        <v>171</v>
      </c>
      <c r="Z279" s="0" t="n">
        <v>0</v>
      </c>
      <c r="AA279" s="21" t="s">
        <v>1678</v>
      </c>
      <c r="AB279" s="21" t="s">
        <v>1678</v>
      </c>
      <c r="AE279" s="22" t="b">
        <f aca="false">FALSE()</f>
        <v>0</v>
      </c>
      <c r="AF279" s="21" t="s">
        <v>121</v>
      </c>
      <c r="AG279" s="21" t="s">
        <v>1679</v>
      </c>
    </row>
    <row r="280" customFormat="false" ht="15" hidden="false" customHeight="false" outlineLevel="0" collapsed="false">
      <c r="A280" s="0" t="s">
        <v>1680</v>
      </c>
      <c r="B280" s="20" t="s">
        <v>124</v>
      </c>
      <c r="E280" s="21" t="s">
        <v>1681</v>
      </c>
      <c r="F280" s="21" t="s">
        <v>1682</v>
      </c>
      <c r="G280" s="21" t="s">
        <v>111</v>
      </c>
      <c r="H280" s="21" t="s">
        <v>390</v>
      </c>
      <c r="I280" s="21" t="s">
        <v>113</v>
      </c>
      <c r="Z280" s="0" t="n">
        <v>0</v>
      </c>
      <c r="AA280" s="21" t="s">
        <v>1683</v>
      </c>
      <c r="AB280" s="21" t="s">
        <v>1683</v>
      </c>
      <c r="AE280" s="22" t="b">
        <f aca="false">FALSE()</f>
        <v>0</v>
      </c>
      <c r="AF280" s="21" t="s">
        <v>121</v>
      </c>
      <c r="AG280" s="21" t="s">
        <v>1684</v>
      </c>
    </row>
    <row r="281" customFormat="false" ht="15" hidden="false" customHeight="false" outlineLevel="0" collapsed="false">
      <c r="A281" s="0" t="s">
        <v>1685</v>
      </c>
      <c r="B281" s="18" t="s">
        <v>109</v>
      </c>
      <c r="C281" s="19" t="s">
        <v>26</v>
      </c>
      <c r="D281" s="20" t="s">
        <v>31</v>
      </c>
      <c r="E281" s="21" t="s">
        <v>1686</v>
      </c>
      <c r="G281" s="21" t="s">
        <v>127</v>
      </c>
      <c r="H281" s="21" t="s">
        <v>188</v>
      </c>
      <c r="I281" s="21" t="s">
        <v>113</v>
      </c>
      <c r="J281" s="21" t="s">
        <v>114</v>
      </c>
      <c r="K281" s="0" t="n">
        <v>8</v>
      </c>
      <c r="L281" s="0" t="n">
        <v>2</v>
      </c>
      <c r="M281" s="0" t="n">
        <v>4</v>
      </c>
      <c r="N281" s="0" t="n">
        <v>2</v>
      </c>
      <c r="O281" s="0" t="n">
        <v>0</v>
      </c>
      <c r="P281" s="0" t="n">
        <v>6</v>
      </c>
      <c r="Q281" s="0" t="n">
        <v>1</v>
      </c>
      <c r="R281" s="0" t="n">
        <v>0</v>
      </c>
      <c r="S281" s="0" t="n">
        <v>5</v>
      </c>
      <c r="T281" s="0" t="n">
        <v>2</v>
      </c>
      <c r="U281" s="21" t="s">
        <v>1687</v>
      </c>
      <c r="V281" s="21" t="s">
        <v>69</v>
      </c>
      <c r="W281" s="21" t="s">
        <v>313</v>
      </c>
      <c r="X281" s="0" t="n">
        <v>6.14</v>
      </c>
      <c r="Y281" s="0" t="n">
        <v>14.6</v>
      </c>
      <c r="Z281" s="0" t="n">
        <v>92.3</v>
      </c>
      <c r="AA281" s="21" t="s">
        <v>1688</v>
      </c>
      <c r="AB281" s="21" t="s">
        <v>1689</v>
      </c>
      <c r="AC281" s="21" t="s">
        <v>120</v>
      </c>
      <c r="AD281" s="0" t="n">
        <v>194</v>
      </c>
      <c r="AE281" s="22" t="b">
        <f aca="false">FALSE()</f>
        <v>0</v>
      </c>
      <c r="AF281" s="21" t="s">
        <v>121</v>
      </c>
      <c r="AG281" s="21" t="s">
        <v>1690</v>
      </c>
    </row>
    <row r="282" customFormat="false" ht="15" hidden="false" customHeight="false" outlineLevel="0" collapsed="false">
      <c r="A282" s="0" t="s">
        <v>1691</v>
      </c>
      <c r="B282" s="18" t="s">
        <v>109</v>
      </c>
      <c r="C282" s="20" t="s">
        <v>25</v>
      </c>
      <c r="D282" s="23" t="s">
        <v>30</v>
      </c>
      <c r="E282" s="21" t="s">
        <v>1692</v>
      </c>
      <c r="G282" s="21" t="s">
        <v>127</v>
      </c>
      <c r="H282" s="21" t="s">
        <v>261</v>
      </c>
      <c r="I282" s="21" t="s">
        <v>113</v>
      </c>
      <c r="J282" s="21" t="s">
        <v>134</v>
      </c>
      <c r="K282" s="0" t="n">
        <v>4</v>
      </c>
      <c r="L282" s="0" t="n">
        <v>2</v>
      </c>
      <c r="M282" s="0" t="n">
        <v>2</v>
      </c>
      <c r="N282" s="0" t="n">
        <v>0</v>
      </c>
      <c r="O282" s="0" t="n">
        <v>0</v>
      </c>
      <c r="P282" s="0" t="n">
        <v>4</v>
      </c>
      <c r="Q282" s="0" t="n">
        <v>1</v>
      </c>
      <c r="R282" s="0" t="n">
        <v>0</v>
      </c>
      <c r="S282" s="0" t="n">
        <v>3</v>
      </c>
      <c r="T282" s="0" t="n">
        <v>0</v>
      </c>
      <c r="U282" s="21" t="s">
        <v>1693</v>
      </c>
      <c r="V282" s="21" t="s">
        <v>69</v>
      </c>
      <c r="W282" s="21" t="s">
        <v>283</v>
      </c>
      <c r="X282" s="0" t="n">
        <v>10.34</v>
      </c>
      <c r="Y282" s="0" t="n">
        <v>14.7</v>
      </c>
      <c r="Z282" s="0" t="n">
        <v>50.7</v>
      </c>
      <c r="AA282" s="21" t="s">
        <v>1694</v>
      </c>
      <c r="AB282" s="21" t="s">
        <v>1695</v>
      </c>
      <c r="AC282" s="21" t="s">
        <v>120</v>
      </c>
      <c r="AD282" s="0" t="n">
        <v>96</v>
      </c>
      <c r="AE282" s="22" t="b">
        <f aca="false">FALSE()</f>
        <v>0</v>
      </c>
      <c r="AF282" s="21" t="s">
        <v>121</v>
      </c>
      <c r="AG282" s="21" t="s">
        <v>1696</v>
      </c>
    </row>
    <row r="283" customFormat="false" ht="15" hidden="false" customHeight="false" outlineLevel="0" collapsed="false">
      <c r="A283" s="0" t="s">
        <v>1697</v>
      </c>
      <c r="B283" s="18" t="s">
        <v>109</v>
      </c>
      <c r="C283" s="19" t="s">
        <v>26</v>
      </c>
      <c r="D283" s="20" t="s">
        <v>31</v>
      </c>
      <c r="E283" s="21" t="s">
        <v>1698</v>
      </c>
      <c r="G283" s="21" t="s">
        <v>111</v>
      </c>
      <c r="H283" s="21" t="s">
        <v>468</v>
      </c>
      <c r="I283" s="21" t="s">
        <v>113</v>
      </c>
      <c r="J283" s="21" t="s">
        <v>114</v>
      </c>
      <c r="K283" s="0" t="n">
        <v>8</v>
      </c>
      <c r="L283" s="0" t="n">
        <v>0</v>
      </c>
      <c r="M283" s="0" t="n">
        <v>4</v>
      </c>
      <c r="N283" s="0" t="n">
        <v>4</v>
      </c>
      <c r="O283" s="0" t="n">
        <v>0</v>
      </c>
      <c r="P283" s="0" t="n">
        <v>4</v>
      </c>
      <c r="Q283" s="0" t="n">
        <v>0</v>
      </c>
      <c r="R283" s="0" t="n">
        <v>0</v>
      </c>
      <c r="S283" s="0" t="n">
        <v>4</v>
      </c>
      <c r="T283" s="0" t="n">
        <v>4</v>
      </c>
      <c r="U283" s="21" t="s">
        <v>1699</v>
      </c>
      <c r="V283" s="21" t="s">
        <v>69</v>
      </c>
      <c r="W283" s="21" t="s">
        <v>705</v>
      </c>
      <c r="X283" s="0" t="n">
        <v>2.7</v>
      </c>
      <c r="Y283" s="0" t="n">
        <v>19.3</v>
      </c>
      <c r="Z283" s="0" t="n">
        <v>90.6</v>
      </c>
      <c r="AA283" s="21" t="s">
        <v>1700</v>
      </c>
      <c r="AB283" s="21" t="s">
        <v>1701</v>
      </c>
      <c r="AC283" s="21" t="s">
        <v>120</v>
      </c>
      <c r="AD283" s="0" t="n">
        <v>192</v>
      </c>
      <c r="AE283" s="22" t="b">
        <f aca="false">FALSE()</f>
        <v>0</v>
      </c>
      <c r="AF283" s="21" t="s">
        <v>121</v>
      </c>
      <c r="AG283" s="21" t="s">
        <v>1702</v>
      </c>
    </row>
    <row r="284" customFormat="false" ht="15" hidden="false" customHeight="false" outlineLevel="0" collapsed="false">
      <c r="A284" s="0" t="s">
        <v>1703</v>
      </c>
      <c r="B284" s="20" t="s">
        <v>124</v>
      </c>
      <c r="E284" s="21" t="s">
        <v>206</v>
      </c>
      <c r="F284" s="21" t="s">
        <v>207</v>
      </c>
      <c r="G284" s="21" t="s">
        <v>111</v>
      </c>
      <c r="H284" s="21" t="s">
        <v>208</v>
      </c>
      <c r="I284" s="21" t="s">
        <v>113</v>
      </c>
      <c r="Z284" s="0" t="n">
        <v>0</v>
      </c>
      <c r="AA284" s="21" t="s">
        <v>1704</v>
      </c>
      <c r="AB284" s="21" t="s">
        <v>1704</v>
      </c>
      <c r="AE284" s="22" t="b">
        <f aca="false">FALSE()</f>
        <v>0</v>
      </c>
      <c r="AF284" s="21" t="s">
        <v>121</v>
      </c>
      <c r="AG284" s="21" t="s">
        <v>1705</v>
      </c>
    </row>
    <row r="285" customFormat="false" ht="15" hidden="false" customHeight="false" outlineLevel="0" collapsed="false">
      <c r="A285" s="0" t="s">
        <v>1706</v>
      </c>
      <c r="B285" s="18" t="s">
        <v>109</v>
      </c>
      <c r="C285" s="19" t="s">
        <v>26</v>
      </c>
      <c r="D285" s="20" t="s">
        <v>31</v>
      </c>
      <c r="E285" s="21" t="s">
        <v>1707</v>
      </c>
      <c r="G285" s="21" t="s">
        <v>111</v>
      </c>
      <c r="H285" s="21" t="s">
        <v>1051</v>
      </c>
      <c r="I285" s="21" t="s">
        <v>113</v>
      </c>
      <c r="J285" s="21" t="s">
        <v>134</v>
      </c>
      <c r="K285" s="0" t="n">
        <v>4</v>
      </c>
      <c r="L285" s="0" t="n">
        <v>2</v>
      </c>
      <c r="M285" s="0" t="n">
        <v>1</v>
      </c>
      <c r="N285" s="0" t="n">
        <v>1</v>
      </c>
      <c r="O285" s="0" t="n">
        <v>0</v>
      </c>
      <c r="P285" s="0" t="n">
        <v>3</v>
      </c>
      <c r="Q285" s="0" t="n">
        <v>2</v>
      </c>
      <c r="R285" s="0" t="n">
        <v>0</v>
      </c>
      <c r="S285" s="0" t="n">
        <v>1</v>
      </c>
      <c r="T285" s="0" t="n">
        <v>1</v>
      </c>
      <c r="U285" s="21" t="s">
        <v>1708</v>
      </c>
      <c r="V285" s="21" t="s">
        <v>69</v>
      </c>
      <c r="W285" s="21" t="s">
        <v>136</v>
      </c>
      <c r="X285" s="0" t="n">
        <v>3.59</v>
      </c>
      <c r="Y285" s="0" t="n">
        <v>7.5</v>
      </c>
      <c r="Z285" s="0" t="n">
        <v>50</v>
      </c>
      <c r="AA285" s="21" t="s">
        <v>1709</v>
      </c>
      <c r="AB285" s="21" t="s">
        <v>1710</v>
      </c>
      <c r="AC285" s="21" t="s">
        <v>120</v>
      </c>
      <c r="AD285" s="0" t="n">
        <v>96</v>
      </c>
      <c r="AE285" s="22" t="b">
        <f aca="false">FALSE()</f>
        <v>0</v>
      </c>
      <c r="AF285" s="21" t="s">
        <v>121</v>
      </c>
      <c r="AG285" s="21" t="s">
        <v>1711</v>
      </c>
    </row>
    <row r="286" customFormat="false" ht="15" hidden="false" customHeight="false" outlineLevel="0" collapsed="false">
      <c r="A286" s="0" t="s">
        <v>1712</v>
      </c>
      <c r="B286" s="18" t="s">
        <v>109</v>
      </c>
      <c r="C286" s="19" t="s">
        <v>26</v>
      </c>
      <c r="D286" s="20" t="s">
        <v>31</v>
      </c>
      <c r="E286" s="21" t="s">
        <v>1713</v>
      </c>
      <c r="G286" s="21" t="s">
        <v>127</v>
      </c>
      <c r="H286" s="21" t="s">
        <v>495</v>
      </c>
      <c r="I286" s="21" t="s">
        <v>113</v>
      </c>
      <c r="J286" s="21" t="s">
        <v>134</v>
      </c>
      <c r="K286" s="0" t="n">
        <v>4</v>
      </c>
      <c r="L286" s="0" t="n">
        <v>0</v>
      </c>
      <c r="M286" s="0" t="n">
        <v>3</v>
      </c>
      <c r="N286" s="0" t="n">
        <v>1</v>
      </c>
      <c r="O286" s="0" t="n">
        <v>0</v>
      </c>
      <c r="P286" s="0" t="n">
        <v>3</v>
      </c>
      <c r="Q286" s="0" t="n">
        <v>0</v>
      </c>
      <c r="R286" s="0" t="n">
        <v>0</v>
      </c>
      <c r="S286" s="0" t="n">
        <v>3</v>
      </c>
      <c r="T286" s="0" t="n">
        <v>1</v>
      </c>
      <c r="U286" s="21" t="s">
        <v>1714</v>
      </c>
      <c r="V286" s="21" t="s">
        <v>69</v>
      </c>
      <c r="W286" s="21" t="s">
        <v>698</v>
      </c>
      <c r="X286" s="0" t="n">
        <v>0.82</v>
      </c>
      <c r="Y286" s="0" t="n">
        <v>8.1</v>
      </c>
      <c r="Z286" s="0" t="n">
        <v>55.8</v>
      </c>
      <c r="AA286" s="21" t="s">
        <v>1715</v>
      </c>
      <c r="AB286" s="21" t="s">
        <v>1716</v>
      </c>
      <c r="AC286" s="21" t="s">
        <v>120</v>
      </c>
      <c r="AD286" s="0" t="n">
        <v>107</v>
      </c>
      <c r="AE286" s="22" t="b">
        <f aca="false">FALSE()</f>
        <v>0</v>
      </c>
      <c r="AF286" s="21" t="s">
        <v>121</v>
      </c>
      <c r="AG286" s="21" t="s">
        <v>1717</v>
      </c>
    </row>
    <row r="287" customFormat="false" ht="15" hidden="false" customHeight="false" outlineLevel="0" collapsed="false">
      <c r="A287" s="0" t="s">
        <v>1718</v>
      </c>
      <c r="B287" s="20" t="s">
        <v>124</v>
      </c>
      <c r="E287" s="21" t="s">
        <v>1719</v>
      </c>
      <c r="F287" s="21" t="s">
        <v>1720</v>
      </c>
      <c r="G287" s="21" t="s">
        <v>111</v>
      </c>
      <c r="H287" s="21" t="s">
        <v>686</v>
      </c>
      <c r="I287" s="21" t="s">
        <v>113</v>
      </c>
      <c r="Z287" s="0" t="n">
        <v>0</v>
      </c>
      <c r="AA287" s="21" t="s">
        <v>1721</v>
      </c>
      <c r="AB287" s="21" t="s">
        <v>1721</v>
      </c>
      <c r="AE287" s="22" t="b">
        <f aca="false">FALSE()</f>
        <v>0</v>
      </c>
      <c r="AF287" s="21" t="s">
        <v>121</v>
      </c>
      <c r="AG287" s="21" t="s">
        <v>1722</v>
      </c>
    </row>
    <row r="288" customFormat="false" ht="15" hidden="false" customHeight="false" outlineLevel="0" collapsed="false">
      <c r="A288" s="0" t="s">
        <v>1723</v>
      </c>
      <c r="B288" s="20" t="s">
        <v>124</v>
      </c>
      <c r="E288" s="21" t="s">
        <v>243</v>
      </c>
      <c r="F288" s="21" t="s">
        <v>244</v>
      </c>
      <c r="G288" s="21" t="s">
        <v>127</v>
      </c>
      <c r="H288" s="21" t="s">
        <v>245</v>
      </c>
      <c r="I288" s="21" t="s">
        <v>113</v>
      </c>
      <c r="Z288" s="0" t="n">
        <v>0</v>
      </c>
      <c r="AA288" s="21" t="s">
        <v>1724</v>
      </c>
      <c r="AB288" s="21" t="s">
        <v>1724</v>
      </c>
      <c r="AE288" s="22" t="b">
        <f aca="false">FALSE()</f>
        <v>0</v>
      </c>
      <c r="AF288" s="21" t="s">
        <v>121</v>
      </c>
      <c r="AG288" s="21" t="s">
        <v>1725</v>
      </c>
    </row>
    <row r="289" customFormat="false" ht="15" hidden="false" customHeight="false" outlineLevel="0" collapsed="false">
      <c r="A289" s="0" t="s">
        <v>1726</v>
      </c>
      <c r="B289" s="18" t="s">
        <v>109</v>
      </c>
      <c r="C289" s="19" t="s">
        <v>26</v>
      </c>
      <c r="D289" s="20" t="s">
        <v>31</v>
      </c>
      <c r="E289" s="21" t="s">
        <v>1727</v>
      </c>
      <c r="G289" s="21" t="s">
        <v>111</v>
      </c>
      <c r="H289" s="21" t="s">
        <v>155</v>
      </c>
      <c r="I289" s="21" t="s">
        <v>113</v>
      </c>
      <c r="J289" s="21" t="s">
        <v>114</v>
      </c>
      <c r="K289" s="0" t="n">
        <v>8</v>
      </c>
      <c r="L289" s="0" t="n">
        <v>2</v>
      </c>
      <c r="M289" s="0" t="n">
        <v>4</v>
      </c>
      <c r="N289" s="0" t="n">
        <v>2</v>
      </c>
      <c r="O289" s="0" t="n">
        <v>0</v>
      </c>
      <c r="P289" s="0" t="n">
        <v>6</v>
      </c>
      <c r="Q289" s="0" t="n">
        <v>1</v>
      </c>
      <c r="R289" s="0" t="n">
        <v>2</v>
      </c>
      <c r="S289" s="0" t="n">
        <v>3</v>
      </c>
      <c r="T289" s="0" t="n">
        <v>2</v>
      </c>
      <c r="U289" s="21" t="s">
        <v>1728</v>
      </c>
      <c r="V289" s="21" t="s">
        <v>69</v>
      </c>
      <c r="W289" s="21" t="s">
        <v>224</v>
      </c>
      <c r="X289" s="0" t="n">
        <v>2.17</v>
      </c>
      <c r="Y289" s="0" t="n">
        <v>20.5</v>
      </c>
      <c r="Z289" s="0" t="n">
        <v>93.3</v>
      </c>
      <c r="AA289" s="21" t="s">
        <v>1729</v>
      </c>
      <c r="AB289" s="21" t="s">
        <v>1730</v>
      </c>
      <c r="AC289" s="21" t="s">
        <v>120</v>
      </c>
      <c r="AD289" s="0" t="n">
        <v>200</v>
      </c>
      <c r="AE289" s="22" t="b">
        <f aca="false">FALSE()</f>
        <v>0</v>
      </c>
      <c r="AF289" s="21" t="s">
        <v>121</v>
      </c>
      <c r="AG289" s="21" t="s">
        <v>1731</v>
      </c>
    </row>
    <row r="290" customFormat="false" ht="15" hidden="false" customHeight="false" outlineLevel="0" collapsed="false">
      <c r="A290" s="0" t="s">
        <v>1732</v>
      </c>
      <c r="B290" s="18" t="s">
        <v>109</v>
      </c>
      <c r="C290" s="20" t="s">
        <v>25</v>
      </c>
      <c r="D290" s="20" t="s">
        <v>29</v>
      </c>
      <c r="E290" s="21" t="s">
        <v>1733</v>
      </c>
      <c r="G290" s="21" t="s">
        <v>127</v>
      </c>
      <c r="H290" s="21" t="s">
        <v>142</v>
      </c>
      <c r="I290" s="21" t="s">
        <v>113</v>
      </c>
      <c r="J290" s="21" t="s">
        <v>134</v>
      </c>
      <c r="K290" s="0" t="n">
        <v>4</v>
      </c>
      <c r="L290" s="0" t="n">
        <v>2</v>
      </c>
      <c r="M290" s="0" t="n">
        <v>2</v>
      </c>
      <c r="N290" s="0" t="n">
        <v>0</v>
      </c>
      <c r="O290" s="0" t="n">
        <v>0</v>
      </c>
      <c r="P290" s="0" t="n">
        <v>4</v>
      </c>
      <c r="Q290" s="0" t="n">
        <v>2</v>
      </c>
      <c r="R290" s="0" t="n">
        <v>2</v>
      </c>
      <c r="S290" s="0" t="n">
        <v>0</v>
      </c>
      <c r="T290" s="0" t="n">
        <v>0</v>
      </c>
      <c r="W290" s="21" t="s">
        <v>63</v>
      </c>
      <c r="X290" s="0" t="n">
        <v>2.84</v>
      </c>
      <c r="Y290" s="0" t="n">
        <v>10.1</v>
      </c>
      <c r="Z290" s="0" t="n">
        <v>51.9</v>
      </c>
      <c r="AA290" s="21" t="s">
        <v>1734</v>
      </c>
      <c r="AB290" s="21" t="s">
        <v>1735</v>
      </c>
      <c r="AC290" s="21" t="s">
        <v>120</v>
      </c>
      <c r="AD290" s="0" t="n">
        <v>101</v>
      </c>
      <c r="AE290" s="22" t="b">
        <f aca="false">FALSE()</f>
        <v>0</v>
      </c>
      <c r="AF290" s="21" t="s">
        <v>121</v>
      </c>
      <c r="AG290" s="21" t="s">
        <v>1736</v>
      </c>
    </row>
    <row r="291" customFormat="false" ht="15" hidden="false" customHeight="false" outlineLevel="0" collapsed="false">
      <c r="A291" s="0" t="s">
        <v>1737</v>
      </c>
      <c r="B291" s="18" t="s">
        <v>109</v>
      </c>
      <c r="C291" s="19" t="s">
        <v>26</v>
      </c>
      <c r="D291" s="20" t="s">
        <v>31</v>
      </c>
      <c r="E291" s="21" t="s">
        <v>1738</v>
      </c>
      <c r="G291" s="21" t="s">
        <v>127</v>
      </c>
      <c r="H291" s="21" t="s">
        <v>953</v>
      </c>
      <c r="I291" s="21" t="s">
        <v>113</v>
      </c>
      <c r="J291" s="21" t="s">
        <v>134</v>
      </c>
      <c r="K291" s="0" t="n">
        <v>4</v>
      </c>
      <c r="L291" s="0" t="n">
        <v>0</v>
      </c>
      <c r="M291" s="0" t="n">
        <v>3</v>
      </c>
      <c r="N291" s="0" t="n">
        <v>1</v>
      </c>
      <c r="O291" s="0" t="n">
        <v>0</v>
      </c>
      <c r="P291" s="0" t="n">
        <v>3</v>
      </c>
      <c r="Q291" s="0" t="n">
        <v>0</v>
      </c>
      <c r="R291" s="0" t="n">
        <v>0</v>
      </c>
      <c r="S291" s="0" t="n">
        <v>3</v>
      </c>
      <c r="T291" s="0" t="n">
        <v>1</v>
      </c>
      <c r="U291" s="21" t="s">
        <v>1739</v>
      </c>
      <c r="V291" s="21" t="s">
        <v>69</v>
      </c>
      <c r="W291" s="21" t="s">
        <v>1740</v>
      </c>
      <c r="X291" s="0" t="n">
        <v>2.76</v>
      </c>
      <c r="Y291" s="0" t="n">
        <v>17.6</v>
      </c>
      <c r="Z291" s="0" t="n">
        <v>59.6</v>
      </c>
      <c r="AA291" s="21" t="s">
        <v>1741</v>
      </c>
      <c r="AB291" s="21" t="s">
        <v>1742</v>
      </c>
      <c r="AC291" s="21" t="s">
        <v>120</v>
      </c>
      <c r="AD291" s="0" t="n">
        <v>95</v>
      </c>
      <c r="AE291" s="22" t="b">
        <f aca="false">FALSE()</f>
        <v>0</v>
      </c>
      <c r="AF291" s="21" t="s">
        <v>121</v>
      </c>
      <c r="AG291" s="21" t="s">
        <v>1743</v>
      </c>
    </row>
    <row r="292" customFormat="false" ht="15" hidden="false" customHeight="false" outlineLevel="0" collapsed="false">
      <c r="A292" s="0" t="s">
        <v>1744</v>
      </c>
      <c r="B292" s="18" t="s">
        <v>109</v>
      </c>
      <c r="C292" s="20" t="s">
        <v>25</v>
      </c>
      <c r="D292" s="23" t="s">
        <v>30</v>
      </c>
      <c r="E292" s="21" t="s">
        <v>1745</v>
      </c>
      <c r="G292" s="21" t="s">
        <v>111</v>
      </c>
      <c r="H292" s="21" t="s">
        <v>188</v>
      </c>
      <c r="I292" s="21" t="s">
        <v>113</v>
      </c>
      <c r="J292" s="21" t="s">
        <v>134</v>
      </c>
      <c r="K292" s="0" t="n">
        <v>4</v>
      </c>
      <c r="L292" s="0" t="n">
        <v>2</v>
      </c>
      <c r="M292" s="0" t="n">
        <v>2</v>
      </c>
      <c r="N292" s="0" t="n">
        <v>0</v>
      </c>
      <c r="O292" s="0" t="n">
        <v>0</v>
      </c>
      <c r="P292" s="0" t="n">
        <v>4</v>
      </c>
      <c r="Q292" s="0" t="n">
        <v>0</v>
      </c>
      <c r="R292" s="0" t="n">
        <v>1</v>
      </c>
      <c r="S292" s="0" t="n">
        <v>3</v>
      </c>
      <c r="T292" s="0" t="n">
        <v>0</v>
      </c>
      <c r="U292" s="21" t="s">
        <v>1746</v>
      </c>
      <c r="V292" s="21" t="s">
        <v>69</v>
      </c>
      <c r="W292" s="21" t="s">
        <v>183</v>
      </c>
      <c r="X292" s="0" t="n">
        <v>1.79</v>
      </c>
      <c r="Y292" s="0" t="n">
        <v>15.7</v>
      </c>
      <c r="Z292" s="0" t="n">
        <v>50.7</v>
      </c>
      <c r="AA292" s="21" t="s">
        <v>1747</v>
      </c>
      <c r="AB292" s="21" t="s">
        <v>1748</v>
      </c>
      <c r="AC292" s="21" t="s">
        <v>120</v>
      </c>
      <c r="AD292" s="0" t="n">
        <v>97</v>
      </c>
      <c r="AE292" s="22" t="b">
        <f aca="false">FALSE()</f>
        <v>0</v>
      </c>
      <c r="AF292" s="21" t="s">
        <v>121</v>
      </c>
      <c r="AG292" s="21" t="s">
        <v>1749</v>
      </c>
    </row>
    <row r="293" customFormat="false" ht="15" hidden="false" customHeight="false" outlineLevel="0" collapsed="false">
      <c r="A293" s="0" t="s">
        <v>1750</v>
      </c>
      <c r="B293" s="18" t="s">
        <v>109</v>
      </c>
      <c r="C293" s="19" t="s">
        <v>26</v>
      </c>
      <c r="D293" s="20" t="s">
        <v>31</v>
      </c>
      <c r="E293" s="21" t="s">
        <v>1751</v>
      </c>
      <c r="G293" s="21" t="s">
        <v>111</v>
      </c>
      <c r="H293" s="21" t="s">
        <v>155</v>
      </c>
      <c r="I293" s="21" t="s">
        <v>113</v>
      </c>
      <c r="J293" s="21" t="s">
        <v>134</v>
      </c>
      <c r="K293" s="0" t="n">
        <v>4</v>
      </c>
      <c r="L293" s="0" t="n">
        <v>2</v>
      </c>
      <c r="M293" s="0" t="n">
        <v>1</v>
      </c>
      <c r="N293" s="0" t="n">
        <v>1</v>
      </c>
      <c r="O293" s="0" t="n">
        <v>0</v>
      </c>
      <c r="P293" s="0" t="n">
        <v>3</v>
      </c>
      <c r="Q293" s="0" t="n">
        <v>0</v>
      </c>
      <c r="R293" s="0" t="n">
        <v>0</v>
      </c>
      <c r="S293" s="0" t="n">
        <v>3</v>
      </c>
      <c r="T293" s="0" t="n">
        <v>1</v>
      </c>
      <c r="U293" s="21" t="s">
        <v>1752</v>
      </c>
      <c r="V293" s="21" t="s">
        <v>69</v>
      </c>
      <c r="W293" s="21" t="s">
        <v>136</v>
      </c>
      <c r="X293" s="0" t="n">
        <v>6.22</v>
      </c>
      <c r="Y293" s="0" t="n">
        <v>11.9</v>
      </c>
      <c r="Z293" s="0" t="n">
        <v>50.5</v>
      </c>
      <c r="AA293" s="21" t="s">
        <v>1753</v>
      </c>
      <c r="AB293" s="21" t="s">
        <v>1754</v>
      </c>
      <c r="AC293" s="21" t="s">
        <v>120</v>
      </c>
      <c r="AD293" s="0" t="n">
        <v>96</v>
      </c>
      <c r="AE293" s="22" t="b">
        <f aca="false">FALSE()</f>
        <v>0</v>
      </c>
      <c r="AF293" s="21" t="s">
        <v>121</v>
      </c>
      <c r="AG293" s="21" t="s">
        <v>1755</v>
      </c>
    </row>
    <row r="294" customFormat="false" ht="15" hidden="false" customHeight="false" outlineLevel="0" collapsed="false">
      <c r="A294" s="0" t="s">
        <v>1756</v>
      </c>
      <c r="B294" s="20" t="s">
        <v>124</v>
      </c>
      <c r="E294" s="21" t="s">
        <v>1757</v>
      </c>
      <c r="F294" s="21" t="s">
        <v>1758</v>
      </c>
      <c r="G294" s="21" t="s">
        <v>127</v>
      </c>
      <c r="H294" s="21" t="s">
        <v>568</v>
      </c>
      <c r="I294" s="21" t="s">
        <v>113</v>
      </c>
      <c r="Z294" s="0" t="n">
        <v>0</v>
      </c>
      <c r="AA294" s="21" t="s">
        <v>1759</v>
      </c>
      <c r="AB294" s="21" t="s">
        <v>1759</v>
      </c>
      <c r="AE294" s="22" t="b">
        <f aca="false">FALSE()</f>
        <v>0</v>
      </c>
      <c r="AF294" s="21" t="s">
        <v>121</v>
      </c>
      <c r="AG294" s="21" t="s">
        <v>1760</v>
      </c>
    </row>
    <row r="295" customFormat="false" ht="15" hidden="false" customHeight="false" outlineLevel="0" collapsed="false">
      <c r="A295" s="0" t="s">
        <v>1761</v>
      </c>
      <c r="B295" s="18" t="s">
        <v>109</v>
      </c>
      <c r="C295" s="19" t="s">
        <v>26</v>
      </c>
      <c r="D295" s="20" t="s">
        <v>31</v>
      </c>
      <c r="E295" s="21" t="s">
        <v>1762</v>
      </c>
      <c r="G295" s="21" t="s">
        <v>111</v>
      </c>
      <c r="H295" s="21" t="s">
        <v>151</v>
      </c>
      <c r="I295" s="21" t="s">
        <v>113</v>
      </c>
      <c r="J295" s="21" t="s">
        <v>114</v>
      </c>
      <c r="K295" s="0" t="n">
        <v>8</v>
      </c>
      <c r="L295" s="0" t="n">
        <v>1</v>
      </c>
      <c r="M295" s="0" t="n">
        <v>4</v>
      </c>
      <c r="N295" s="0" t="n">
        <v>3</v>
      </c>
      <c r="O295" s="0" t="n">
        <v>0</v>
      </c>
      <c r="P295" s="0" t="n">
        <v>5</v>
      </c>
      <c r="Q295" s="0" t="n">
        <v>0</v>
      </c>
      <c r="R295" s="0" t="n">
        <v>1</v>
      </c>
      <c r="S295" s="0" t="n">
        <v>4</v>
      </c>
      <c r="T295" s="0" t="n">
        <v>3</v>
      </c>
      <c r="U295" s="21" t="s">
        <v>1763</v>
      </c>
      <c r="V295" s="21" t="s">
        <v>69</v>
      </c>
      <c r="W295" s="21" t="s">
        <v>117</v>
      </c>
      <c r="X295" s="0" t="n">
        <v>5.03</v>
      </c>
      <c r="Y295" s="0" t="n">
        <v>22.6</v>
      </c>
      <c r="Z295" s="0" t="n">
        <v>94.6</v>
      </c>
      <c r="AA295" s="21" t="s">
        <v>1764</v>
      </c>
      <c r="AB295" s="21" t="s">
        <v>1765</v>
      </c>
      <c r="AC295" s="21" t="s">
        <v>120</v>
      </c>
      <c r="AD295" s="0" t="n">
        <v>197</v>
      </c>
      <c r="AE295" s="22" t="b">
        <f aca="false">FALSE()</f>
        <v>0</v>
      </c>
      <c r="AF295" s="21" t="s">
        <v>121</v>
      </c>
      <c r="AG295" s="21" t="s">
        <v>1766</v>
      </c>
    </row>
    <row r="296" customFormat="false" ht="15" hidden="false" customHeight="false" outlineLevel="0" collapsed="false">
      <c r="A296" s="0" t="s">
        <v>1767</v>
      </c>
      <c r="B296" s="20" t="s">
        <v>124</v>
      </c>
      <c r="E296" s="21" t="s">
        <v>727</v>
      </c>
      <c r="F296" s="21" t="s">
        <v>728</v>
      </c>
      <c r="G296" s="21" t="s">
        <v>111</v>
      </c>
      <c r="H296" s="21" t="s">
        <v>729</v>
      </c>
      <c r="I296" s="21" t="s">
        <v>113</v>
      </c>
      <c r="Z296" s="0" t="n">
        <v>0</v>
      </c>
      <c r="AA296" s="21" t="s">
        <v>1768</v>
      </c>
      <c r="AB296" s="21" t="s">
        <v>1768</v>
      </c>
      <c r="AE296" s="22" t="b">
        <f aca="false">FALSE()</f>
        <v>0</v>
      </c>
      <c r="AF296" s="21" t="s">
        <v>121</v>
      </c>
      <c r="AG296" s="21" t="s">
        <v>1769</v>
      </c>
    </row>
    <row r="297" customFormat="false" ht="15" hidden="false" customHeight="false" outlineLevel="0" collapsed="false">
      <c r="A297" s="0" t="s">
        <v>1770</v>
      </c>
      <c r="B297" s="20" t="s">
        <v>124</v>
      </c>
      <c r="E297" s="21" t="s">
        <v>1771</v>
      </c>
      <c r="F297" s="21" t="s">
        <v>1772</v>
      </c>
      <c r="G297" s="21" t="s">
        <v>111</v>
      </c>
      <c r="H297" s="21" t="s">
        <v>352</v>
      </c>
      <c r="I297" s="21" t="s">
        <v>113</v>
      </c>
      <c r="Z297" s="0" t="n">
        <v>0</v>
      </c>
      <c r="AA297" s="21" t="s">
        <v>1773</v>
      </c>
      <c r="AB297" s="21" t="s">
        <v>1773</v>
      </c>
      <c r="AE297" s="22" t="b">
        <f aca="false">FALSE()</f>
        <v>0</v>
      </c>
      <c r="AF297" s="21" t="s">
        <v>121</v>
      </c>
      <c r="AG297" s="21" t="s">
        <v>1774</v>
      </c>
    </row>
    <row r="298" customFormat="false" ht="15" hidden="false" customHeight="false" outlineLevel="0" collapsed="false">
      <c r="A298" s="0" t="s">
        <v>1775</v>
      </c>
      <c r="B298" s="18" t="s">
        <v>109</v>
      </c>
      <c r="C298" s="20" t="s">
        <v>25</v>
      </c>
      <c r="D298" s="23" t="s">
        <v>30</v>
      </c>
      <c r="E298" s="21" t="s">
        <v>1776</v>
      </c>
      <c r="G298" s="21" t="s">
        <v>127</v>
      </c>
      <c r="H298" s="21" t="s">
        <v>1431</v>
      </c>
      <c r="I298" s="21" t="s">
        <v>113</v>
      </c>
      <c r="J298" s="21" t="s">
        <v>134</v>
      </c>
      <c r="K298" s="0" t="n">
        <v>4</v>
      </c>
      <c r="L298" s="0" t="n">
        <v>0</v>
      </c>
      <c r="M298" s="0" t="n">
        <v>4</v>
      </c>
      <c r="N298" s="0" t="n">
        <v>0</v>
      </c>
      <c r="O298" s="0" t="n">
        <v>0</v>
      </c>
      <c r="P298" s="0" t="n">
        <v>4</v>
      </c>
      <c r="Q298" s="0" t="n">
        <v>0</v>
      </c>
      <c r="R298" s="0" t="n">
        <v>3</v>
      </c>
      <c r="S298" s="0" t="n">
        <v>1</v>
      </c>
      <c r="T298" s="0" t="n">
        <v>0</v>
      </c>
      <c r="U298" s="21" t="s">
        <v>1777</v>
      </c>
      <c r="W298" s="21" t="s">
        <v>144</v>
      </c>
      <c r="X298" s="0" t="n">
        <v>2.63</v>
      </c>
      <c r="Y298" s="0" t="n">
        <v>26.4</v>
      </c>
      <c r="Z298" s="0" t="n">
        <v>52.8</v>
      </c>
      <c r="AA298" s="21" t="s">
        <v>1778</v>
      </c>
      <c r="AB298" s="21" t="s">
        <v>1779</v>
      </c>
      <c r="AC298" s="21" t="s">
        <v>120</v>
      </c>
      <c r="AD298" s="0" t="n">
        <v>97</v>
      </c>
      <c r="AE298" s="22" t="b">
        <f aca="false">FALSE()</f>
        <v>0</v>
      </c>
      <c r="AF298" s="21" t="s">
        <v>121</v>
      </c>
      <c r="AG298" s="21" t="s">
        <v>1780</v>
      </c>
    </row>
    <row r="299" customFormat="false" ht="15" hidden="false" customHeight="false" outlineLevel="0" collapsed="false">
      <c r="A299" s="0" t="s">
        <v>1781</v>
      </c>
      <c r="B299" s="18" t="s">
        <v>109</v>
      </c>
      <c r="C299" s="19" t="s">
        <v>26</v>
      </c>
      <c r="D299" s="20" t="s">
        <v>31</v>
      </c>
      <c r="E299" s="21" t="s">
        <v>1782</v>
      </c>
      <c r="G299" s="21" t="s">
        <v>127</v>
      </c>
      <c r="H299" s="21" t="s">
        <v>203</v>
      </c>
      <c r="I299" s="21" t="s">
        <v>113</v>
      </c>
      <c r="J299" s="21" t="s">
        <v>134</v>
      </c>
      <c r="K299" s="0" t="n">
        <v>4</v>
      </c>
      <c r="L299" s="0" t="n">
        <v>1</v>
      </c>
      <c r="M299" s="0" t="n">
        <v>2</v>
      </c>
      <c r="N299" s="0" t="n">
        <v>1</v>
      </c>
      <c r="O299" s="0" t="n">
        <v>0</v>
      </c>
      <c r="P299" s="0" t="n">
        <v>3</v>
      </c>
      <c r="Q299" s="0" t="n">
        <v>0</v>
      </c>
      <c r="R299" s="0" t="n">
        <v>2</v>
      </c>
      <c r="S299" s="0" t="n">
        <v>1</v>
      </c>
      <c r="T299" s="0" t="n">
        <v>1</v>
      </c>
      <c r="U299" s="21" t="s">
        <v>1783</v>
      </c>
      <c r="V299" s="21" t="s">
        <v>69</v>
      </c>
      <c r="W299" s="21" t="s">
        <v>646</v>
      </c>
      <c r="X299" s="0" t="n">
        <v>3.19</v>
      </c>
      <c r="Y299" s="0" t="n">
        <v>5.5</v>
      </c>
      <c r="Z299" s="0" t="n">
        <v>49.9</v>
      </c>
      <c r="AA299" s="21" t="s">
        <v>1784</v>
      </c>
      <c r="AB299" s="21" t="s">
        <v>1785</v>
      </c>
      <c r="AC299" s="21" t="s">
        <v>120</v>
      </c>
      <c r="AD299" s="0" t="n">
        <v>99</v>
      </c>
      <c r="AE299" s="22" t="b">
        <f aca="false">FALSE()</f>
        <v>0</v>
      </c>
      <c r="AF299" s="21" t="s">
        <v>121</v>
      </c>
      <c r="AG299" s="21" t="s">
        <v>1786</v>
      </c>
    </row>
    <row r="300" customFormat="false" ht="15" hidden="false" customHeight="false" outlineLevel="0" collapsed="false">
      <c r="A300" s="0" t="s">
        <v>1787</v>
      </c>
      <c r="B300" s="18" t="s">
        <v>109</v>
      </c>
      <c r="C300" s="20" t="s">
        <v>25</v>
      </c>
      <c r="D300" s="23" t="s">
        <v>30</v>
      </c>
      <c r="E300" s="21" t="s">
        <v>1788</v>
      </c>
      <c r="G300" s="21" t="s">
        <v>127</v>
      </c>
      <c r="H300" s="21" t="s">
        <v>568</v>
      </c>
      <c r="I300" s="21" t="s">
        <v>113</v>
      </c>
      <c r="J300" s="21" t="s">
        <v>114</v>
      </c>
      <c r="K300" s="0" t="n">
        <v>8</v>
      </c>
      <c r="L300" s="0" t="n">
        <v>2</v>
      </c>
      <c r="M300" s="0" t="n">
        <v>6</v>
      </c>
      <c r="N300" s="0" t="n">
        <v>0</v>
      </c>
      <c r="O300" s="0" t="n">
        <v>0</v>
      </c>
      <c r="P300" s="0" t="n">
        <v>8</v>
      </c>
      <c r="Q300" s="0" t="n">
        <v>0</v>
      </c>
      <c r="R300" s="0" t="n">
        <v>0</v>
      </c>
      <c r="S300" s="0" t="n">
        <v>8</v>
      </c>
      <c r="T300" s="0" t="n">
        <v>0</v>
      </c>
      <c r="U300" s="21" t="s">
        <v>1789</v>
      </c>
      <c r="V300" s="21" t="s">
        <v>69</v>
      </c>
      <c r="W300" s="21" t="s">
        <v>1099</v>
      </c>
      <c r="X300" s="0" t="n">
        <v>3.52</v>
      </c>
      <c r="Y300" s="0" t="n">
        <v>10.6</v>
      </c>
      <c r="Z300" s="0" t="n">
        <v>91.3</v>
      </c>
      <c r="AA300" s="21" t="s">
        <v>1790</v>
      </c>
      <c r="AB300" s="21" t="s">
        <v>1791</v>
      </c>
      <c r="AC300" s="21" t="s">
        <v>120</v>
      </c>
      <c r="AD300" s="0" t="n">
        <v>193</v>
      </c>
      <c r="AE300" s="22" t="b">
        <f aca="false">FALSE()</f>
        <v>0</v>
      </c>
      <c r="AF300" s="21" t="s">
        <v>121</v>
      </c>
      <c r="AG300" s="21" t="s">
        <v>1792</v>
      </c>
    </row>
    <row r="301" customFormat="false" ht="15" hidden="false" customHeight="false" outlineLevel="0" collapsed="false">
      <c r="A301" s="0" t="s">
        <v>1793</v>
      </c>
      <c r="B301" s="18" t="s">
        <v>109</v>
      </c>
      <c r="C301" s="19" t="s">
        <v>26</v>
      </c>
      <c r="D301" s="20" t="s">
        <v>31</v>
      </c>
      <c r="E301" s="21" t="s">
        <v>1794</v>
      </c>
      <c r="G301" s="21" t="s">
        <v>111</v>
      </c>
      <c r="H301" s="21" t="s">
        <v>869</v>
      </c>
      <c r="I301" s="21" t="s">
        <v>113</v>
      </c>
      <c r="J301" s="21" t="s">
        <v>114</v>
      </c>
      <c r="K301" s="0" t="n">
        <v>8</v>
      </c>
      <c r="L301" s="0" t="n">
        <v>3</v>
      </c>
      <c r="M301" s="0" t="n">
        <v>2</v>
      </c>
      <c r="N301" s="0" t="n">
        <v>3</v>
      </c>
      <c r="O301" s="0" t="n">
        <v>0</v>
      </c>
      <c r="P301" s="0" t="n">
        <v>5</v>
      </c>
      <c r="Q301" s="0" t="n">
        <v>3</v>
      </c>
      <c r="R301" s="0" t="n">
        <v>1</v>
      </c>
      <c r="S301" s="0" t="n">
        <v>1</v>
      </c>
      <c r="T301" s="0" t="n">
        <v>3</v>
      </c>
      <c r="U301" s="21" t="s">
        <v>1795</v>
      </c>
      <c r="V301" s="21" t="s">
        <v>69</v>
      </c>
      <c r="W301" s="21" t="s">
        <v>705</v>
      </c>
      <c r="X301" s="0" t="n">
        <v>2.38</v>
      </c>
      <c r="Y301" s="0" t="n">
        <v>11.2</v>
      </c>
      <c r="Z301" s="0" t="n">
        <v>87.9</v>
      </c>
      <c r="AA301" s="21" t="s">
        <v>1796</v>
      </c>
      <c r="AB301" s="21" t="s">
        <v>1797</v>
      </c>
      <c r="AC301" s="21" t="s">
        <v>120</v>
      </c>
      <c r="AD301" s="0" t="n">
        <v>192</v>
      </c>
      <c r="AE301" s="22" t="b">
        <f aca="false">FALSE()</f>
        <v>0</v>
      </c>
      <c r="AF301" s="21" t="s">
        <v>121</v>
      </c>
      <c r="AG301" s="21" t="s">
        <v>1798</v>
      </c>
    </row>
    <row r="302" customFormat="false" ht="15" hidden="false" customHeight="false" outlineLevel="0" collapsed="false">
      <c r="A302" s="0" t="s">
        <v>1799</v>
      </c>
      <c r="B302" s="18" t="s">
        <v>109</v>
      </c>
      <c r="C302" s="19" t="s">
        <v>26</v>
      </c>
      <c r="D302" s="20" t="s">
        <v>31</v>
      </c>
      <c r="E302" s="21" t="s">
        <v>1800</v>
      </c>
      <c r="G302" s="21" t="s">
        <v>127</v>
      </c>
      <c r="H302" s="21" t="s">
        <v>390</v>
      </c>
      <c r="I302" s="21" t="s">
        <v>113</v>
      </c>
      <c r="J302" s="21" t="s">
        <v>134</v>
      </c>
      <c r="K302" s="0" t="n">
        <v>4</v>
      </c>
      <c r="L302" s="0" t="n">
        <v>0</v>
      </c>
      <c r="M302" s="0" t="n">
        <v>2</v>
      </c>
      <c r="N302" s="0" t="n">
        <v>2</v>
      </c>
      <c r="O302" s="0" t="n">
        <v>0</v>
      </c>
      <c r="P302" s="0" t="n">
        <v>2</v>
      </c>
      <c r="Q302" s="0" t="n">
        <v>0</v>
      </c>
      <c r="R302" s="0" t="n">
        <v>0</v>
      </c>
      <c r="S302" s="0" t="n">
        <v>2</v>
      </c>
      <c r="T302" s="0" t="n">
        <v>2</v>
      </c>
      <c r="U302" s="21" t="s">
        <v>1801</v>
      </c>
      <c r="V302" s="21" t="s">
        <v>69</v>
      </c>
      <c r="W302" s="21" t="s">
        <v>1802</v>
      </c>
      <c r="X302" s="0" t="n">
        <v>3.64</v>
      </c>
      <c r="Y302" s="0" t="n">
        <v>0.8</v>
      </c>
      <c r="Z302" s="0" t="n">
        <v>43.8</v>
      </c>
      <c r="AA302" s="21" t="s">
        <v>1803</v>
      </c>
      <c r="AB302" s="21" t="s">
        <v>1804</v>
      </c>
      <c r="AC302" s="21" t="s">
        <v>120</v>
      </c>
      <c r="AD302" s="0" t="n">
        <v>97</v>
      </c>
      <c r="AE302" s="22" t="b">
        <f aca="false">FALSE()</f>
        <v>0</v>
      </c>
      <c r="AF302" s="21" t="s">
        <v>121</v>
      </c>
      <c r="AG302" s="21" t="s">
        <v>1805</v>
      </c>
    </row>
    <row r="303" customFormat="false" ht="15" hidden="false" customHeight="false" outlineLevel="0" collapsed="false">
      <c r="A303" s="0" t="s">
        <v>1806</v>
      </c>
      <c r="B303" s="18" t="s">
        <v>109</v>
      </c>
      <c r="C303" s="20" t="s">
        <v>25</v>
      </c>
      <c r="D303" s="23" t="s">
        <v>30</v>
      </c>
      <c r="E303" s="21" t="s">
        <v>1807</v>
      </c>
      <c r="G303" s="21" t="s">
        <v>111</v>
      </c>
      <c r="H303" s="21" t="s">
        <v>188</v>
      </c>
      <c r="I303" s="21" t="s">
        <v>171</v>
      </c>
      <c r="J303" s="21" t="s">
        <v>134</v>
      </c>
      <c r="K303" s="0" t="n">
        <v>4</v>
      </c>
      <c r="L303" s="0" t="n">
        <v>0</v>
      </c>
      <c r="M303" s="0" t="n">
        <v>4</v>
      </c>
      <c r="N303" s="0" t="n">
        <v>0</v>
      </c>
      <c r="O303" s="0" t="n">
        <v>0</v>
      </c>
      <c r="P303" s="0" t="n">
        <v>4</v>
      </c>
      <c r="Q303" s="0" t="n">
        <v>0</v>
      </c>
      <c r="R303" s="0" t="n">
        <v>0</v>
      </c>
      <c r="S303" s="0" t="n">
        <v>4</v>
      </c>
      <c r="T303" s="0" t="n">
        <v>0</v>
      </c>
      <c r="U303" s="21" t="s">
        <v>1808</v>
      </c>
      <c r="V303" s="21" t="s">
        <v>69</v>
      </c>
      <c r="W303" s="21" t="s">
        <v>1809</v>
      </c>
      <c r="X303" s="0" t="n">
        <v>1.27</v>
      </c>
      <c r="Y303" s="0" t="n">
        <v>16.3</v>
      </c>
      <c r="Z303" s="0" t="n">
        <v>43.8</v>
      </c>
      <c r="AA303" s="21" t="s">
        <v>1810</v>
      </c>
      <c r="AB303" s="21" t="s">
        <v>1811</v>
      </c>
      <c r="AC303" s="21" t="s">
        <v>120</v>
      </c>
      <c r="AD303" s="0" t="n">
        <v>95</v>
      </c>
      <c r="AE303" s="22" t="b">
        <f aca="false">FALSE()</f>
        <v>0</v>
      </c>
      <c r="AF303" s="21" t="s">
        <v>121</v>
      </c>
      <c r="AG303" s="21" t="s">
        <v>1812</v>
      </c>
    </row>
    <row r="304" customFormat="false" ht="15" hidden="false" customHeight="false" outlineLevel="0" collapsed="false">
      <c r="A304" s="0" t="s">
        <v>1813</v>
      </c>
      <c r="B304" s="18" t="s">
        <v>109</v>
      </c>
      <c r="C304" s="19" t="s">
        <v>26</v>
      </c>
      <c r="D304" s="20" t="s">
        <v>31</v>
      </c>
      <c r="E304" s="21" t="s">
        <v>1814</v>
      </c>
      <c r="G304" s="21" t="s">
        <v>111</v>
      </c>
      <c r="H304" s="21" t="s">
        <v>352</v>
      </c>
      <c r="I304" s="21" t="s">
        <v>171</v>
      </c>
      <c r="J304" s="21" t="s">
        <v>134</v>
      </c>
      <c r="K304" s="0" t="n">
        <v>4</v>
      </c>
      <c r="L304" s="0" t="n">
        <v>1</v>
      </c>
      <c r="M304" s="0" t="n">
        <v>2</v>
      </c>
      <c r="N304" s="0" t="n">
        <v>1</v>
      </c>
      <c r="O304" s="0" t="n">
        <v>0</v>
      </c>
      <c r="P304" s="0" t="n">
        <v>3</v>
      </c>
      <c r="Q304" s="0" t="n">
        <v>0</v>
      </c>
      <c r="R304" s="0" t="n">
        <v>0</v>
      </c>
      <c r="S304" s="0" t="n">
        <v>3</v>
      </c>
      <c r="T304" s="0" t="n">
        <v>1</v>
      </c>
      <c r="U304" s="21" t="s">
        <v>1815</v>
      </c>
      <c r="V304" s="21" t="s">
        <v>69</v>
      </c>
      <c r="W304" s="21" t="s">
        <v>224</v>
      </c>
      <c r="X304" s="0" t="n">
        <v>1.78</v>
      </c>
      <c r="Y304" s="0" t="n">
        <v>18.8</v>
      </c>
      <c r="Z304" s="0" t="n">
        <v>58.2</v>
      </c>
      <c r="AA304" s="21" t="s">
        <v>1816</v>
      </c>
      <c r="AB304" s="21" t="s">
        <v>1817</v>
      </c>
      <c r="AC304" s="21" t="s">
        <v>120</v>
      </c>
      <c r="AD304" s="0" t="n">
        <v>98</v>
      </c>
      <c r="AE304" s="22" t="b">
        <f aca="false">FALSE()</f>
        <v>0</v>
      </c>
      <c r="AF304" s="21" t="s">
        <v>121</v>
      </c>
      <c r="AG304" s="21" t="s">
        <v>1818</v>
      </c>
    </row>
    <row r="305" customFormat="false" ht="15" hidden="false" customHeight="false" outlineLevel="0" collapsed="false">
      <c r="A305" s="0" t="s">
        <v>1819</v>
      </c>
      <c r="B305" s="18" t="s">
        <v>109</v>
      </c>
      <c r="C305" s="20" t="s">
        <v>25</v>
      </c>
      <c r="D305" s="23" t="s">
        <v>30</v>
      </c>
      <c r="E305" s="21" t="s">
        <v>1820</v>
      </c>
      <c r="G305" s="21" t="s">
        <v>111</v>
      </c>
      <c r="H305" s="21" t="s">
        <v>188</v>
      </c>
      <c r="I305" s="21" t="s">
        <v>113</v>
      </c>
      <c r="J305" s="21" t="s">
        <v>134</v>
      </c>
      <c r="K305" s="0" t="n">
        <v>4</v>
      </c>
      <c r="L305" s="0" t="n">
        <v>0</v>
      </c>
      <c r="M305" s="0" t="n">
        <v>4</v>
      </c>
      <c r="N305" s="0" t="n">
        <v>0</v>
      </c>
      <c r="O305" s="0" t="n">
        <v>0</v>
      </c>
      <c r="P305" s="0" t="n">
        <v>4</v>
      </c>
      <c r="Q305" s="0" t="n">
        <v>0</v>
      </c>
      <c r="R305" s="0" t="n">
        <v>0</v>
      </c>
      <c r="S305" s="0" t="n">
        <v>4</v>
      </c>
      <c r="T305" s="0" t="n">
        <v>0</v>
      </c>
      <c r="U305" s="21" t="s">
        <v>1821</v>
      </c>
      <c r="V305" s="21" t="s">
        <v>69</v>
      </c>
      <c r="W305" s="21" t="s">
        <v>483</v>
      </c>
      <c r="X305" s="0" t="n">
        <v>0.94</v>
      </c>
      <c r="Y305" s="0" t="n">
        <v>12.5</v>
      </c>
      <c r="Z305" s="0" t="n">
        <v>35.5</v>
      </c>
      <c r="AA305" s="21" t="s">
        <v>1822</v>
      </c>
      <c r="AB305" s="21" t="s">
        <v>1823</v>
      </c>
      <c r="AC305" s="21" t="s">
        <v>120</v>
      </c>
      <c r="AD305" s="0" t="n">
        <v>99</v>
      </c>
      <c r="AE305" s="22" t="b">
        <f aca="false">FALSE()</f>
        <v>0</v>
      </c>
      <c r="AF305" s="21" t="s">
        <v>121</v>
      </c>
      <c r="AG305" s="21" t="s">
        <v>1824</v>
      </c>
    </row>
    <row r="306" customFormat="false" ht="15" hidden="false" customHeight="false" outlineLevel="0" collapsed="false">
      <c r="A306" s="0" t="s">
        <v>1825</v>
      </c>
      <c r="B306" s="18" t="s">
        <v>109</v>
      </c>
      <c r="C306" s="20" t="s">
        <v>25</v>
      </c>
      <c r="D306" s="23" t="s">
        <v>30</v>
      </c>
      <c r="E306" s="21" t="s">
        <v>1826</v>
      </c>
      <c r="G306" s="21" t="s">
        <v>127</v>
      </c>
      <c r="H306" s="21" t="s">
        <v>237</v>
      </c>
      <c r="I306" s="21" t="s">
        <v>113</v>
      </c>
      <c r="J306" s="21" t="s">
        <v>114</v>
      </c>
      <c r="K306" s="0" t="n">
        <v>8</v>
      </c>
      <c r="L306" s="0" t="n">
        <v>2</v>
      </c>
      <c r="M306" s="0" t="n">
        <v>6</v>
      </c>
      <c r="N306" s="0" t="n">
        <v>0</v>
      </c>
      <c r="O306" s="0" t="n">
        <v>0</v>
      </c>
      <c r="P306" s="0" t="n">
        <v>8</v>
      </c>
      <c r="Q306" s="0" t="n">
        <v>0</v>
      </c>
      <c r="R306" s="0" t="n">
        <v>0</v>
      </c>
      <c r="S306" s="0" t="n">
        <v>8</v>
      </c>
      <c r="T306" s="0" t="n">
        <v>0</v>
      </c>
      <c r="U306" s="21" t="s">
        <v>1827</v>
      </c>
      <c r="V306" s="21" t="s">
        <v>69</v>
      </c>
      <c r="W306" s="21" t="s">
        <v>1152</v>
      </c>
      <c r="X306" s="0" t="n">
        <v>1.55</v>
      </c>
      <c r="Y306" s="0" t="n">
        <v>9.3</v>
      </c>
      <c r="Z306" s="0" t="n">
        <v>109.1</v>
      </c>
      <c r="AA306" s="21" t="s">
        <v>1828</v>
      </c>
      <c r="AB306" s="21" t="s">
        <v>1829</v>
      </c>
      <c r="AC306" s="21" t="s">
        <v>120</v>
      </c>
      <c r="AD306" s="0" t="n">
        <v>196</v>
      </c>
      <c r="AE306" s="22" t="b">
        <f aca="false">FALSE()</f>
        <v>0</v>
      </c>
      <c r="AF306" s="21" t="s">
        <v>121</v>
      </c>
      <c r="AG306" s="21" t="s">
        <v>1830</v>
      </c>
    </row>
    <row r="307" customFormat="false" ht="15" hidden="false" customHeight="false" outlineLevel="0" collapsed="false">
      <c r="A307" s="0" t="s">
        <v>1831</v>
      </c>
      <c r="B307" s="20" t="s">
        <v>124</v>
      </c>
      <c r="E307" s="21" t="s">
        <v>1832</v>
      </c>
      <c r="F307" s="21" t="s">
        <v>1833</v>
      </c>
      <c r="G307" s="21" t="s">
        <v>111</v>
      </c>
      <c r="H307" s="21" t="s">
        <v>686</v>
      </c>
      <c r="I307" s="21" t="s">
        <v>113</v>
      </c>
      <c r="Z307" s="0" t="n">
        <v>0</v>
      </c>
      <c r="AA307" s="21" t="s">
        <v>1834</v>
      </c>
      <c r="AB307" s="21" t="s">
        <v>1834</v>
      </c>
      <c r="AE307" s="22" t="b">
        <f aca="false">FALSE()</f>
        <v>0</v>
      </c>
      <c r="AF307" s="21" t="s">
        <v>121</v>
      </c>
      <c r="AG307" s="21" t="s">
        <v>1835</v>
      </c>
    </row>
    <row r="308" customFormat="false" ht="15" hidden="false" customHeight="false" outlineLevel="0" collapsed="false">
      <c r="A308" s="0" t="s">
        <v>1836</v>
      </c>
      <c r="B308" s="18" t="s">
        <v>109</v>
      </c>
      <c r="C308" s="20" t="s">
        <v>25</v>
      </c>
      <c r="D308" s="23" t="s">
        <v>30</v>
      </c>
      <c r="E308" s="21" t="s">
        <v>1837</v>
      </c>
      <c r="G308" s="21" t="s">
        <v>127</v>
      </c>
      <c r="H308" s="21" t="s">
        <v>177</v>
      </c>
      <c r="I308" s="21" t="s">
        <v>113</v>
      </c>
      <c r="J308" s="21" t="s">
        <v>134</v>
      </c>
      <c r="K308" s="0" t="n">
        <v>4</v>
      </c>
      <c r="L308" s="0" t="n">
        <v>0</v>
      </c>
      <c r="M308" s="0" t="n">
        <v>4</v>
      </c>
      <c r="N308" s="0" t="n">
        <v>0</v>
      </c>
      <c r="O308" s="0" t="n">
        <v>0</v>
      </c>
      <c r="P308" s="0" t="n">
        <v>4</v>
      </c>
      <c r="Q308" s="0" t="n">
        <v>0</v>
      </c>
      <c r="R308" s="0" t="n">
        <v>3</v>
      </c>
      <c r="S308" s="0" t="n">
        <v>1</v>
      </c>
      <c r="T308" s="0" t="n">
        <v>0</v>
      </c>
      <c r="U308" s="21" t="s">
        <v>1838</v>
      </c>
      <c r="V308" s="21" t="s">
        <v>69</v>
      </c>
      <c r="W308" s="21" t="s">
        <v>1099</v>
      </c>
      <c r="X308" s="0" t="n">
        <v>1.18</v>
      </c>
      <c r="Y308" s="0" t="n">
        <v>11.8</v>
      </c>
      <c r="Z308" s="0" t="n">
        <v>59.3</v>
      </c>
      <c r="AA308" s="21" t="s">
        <v>1839</v>
      </c>
      <c r="AB308" s="21" t="s">
        <v>1840</v>
      </c>
      <c r="AC308" s="21" t="s">
        <v>120</v>
      </c>
      <c r="AD308" s="0" t="n">
        <v>101</v>
      </c>
      <c r="AE308" s="22" t="b">
        <f aca="false">FALSE()</f>
        <v>0</v>
      </c>
      <c r="AF308" s="21" t="s">
        <v>121</v>
      </c>
      <c r="AG308" s="21" t="s">
        <v>1841</v>
      </c>
    </row>
    <row r="309" customFormat="false" ht="15" hidden="false" customHeight="false" outlineLevel="0" collapsed="false">
      <c r="A309" s="0" t="s">
        <v>1842</v>
      </c>
      <c r="B309" s="18" t="s">
        <v>109</v>
      </c>
      <c r="C309" s="19" t="s">
        <v>26</v>
      </c>
      <c r="D309" s="20" t="s">
        <v>31</v>
      </c>
      <c r="E309" s="21" t="s">
        <v>1843</v>
      </c>
      <c r="G309" s="21" t="s">
        <v>127</v>
      </c>
      <c r="H309" s="21" t="s">
        <v>887</v>
      </c>
      <c r="I309" s="21" t="s">
        <v>113</v>
      </c>
      <c r="J309" s="21" t="s">
        <v>114</v>
      </c>
      <c r="K309" s="0" t="n">
        <v>8</v>
      </c>
      <c r="L309" s="0" t="n">
        <v>2</v>
      </c>
      <c r="M309" s="0" t="n">
        <v>3</v>
      </c>
      <c r="N309" s="0" t="n">
        <v>3</v>
      </c>
      <c r="O309" s="0" t="n">
        <v>0</v>
      </c>
      <c r="P309" s="0" t="n">
        <v>5</v>
      </c>
      <c r="Q309" s="0" t="n">
        <v>1</v>
      </c>
      <c r="R309" s="0" t="n">
        <v>2</v>
      </c>
      <c r="S309" s="0" t="n">
        <v>2</v>
      </c>
      <c r="T309" s="0" t="n">
        <v>3</v>
      </c>
      <c r="U309" s="21" t="s">
        <v>1844</v>
      </c>
      <c r="V309" s="21" t="s">
        <v>69</v>
      </c>
      <c r="W309" s="21" t="s">
        <v>646</v>
      </c>
      <c r="X309" s="0" t="n">
        <v>1.71</v>
      </c>
      <c r="Y309" s="0" t="n">
        <v>10.9</v>
      </c>
      <c r="Z309" s="0" t="n">
        <v>114.7</v>
      </c>
      <c r="AA309" s="21" t="s">
        <v>1845</v>
      </c>
      <c r="AB309" s="21" t="s">
        <v>1846</v>
      </c>
      <c r="AC309" s="21" t="s">
        <v>120</v>
      </c>
      <c r="AD309" s="0" t="n">
        <v>195</v>
      </c>
      <c r="AE309" s="22" t="b">
        <f aca="false">FALSE()</f>
        <v>0</v>
      </c>
      <c r="AF309" s="21" t="s">
        <v>121</v>
      </c>
      <c r="AG309" s="21" t="s">
        <v>1847</v>
      </c>
    </row>
    <row r="310" customFormat="false" ht="15" hidden="false" customHeight="false" outlineLevel="0" collapsed="false">
      <c r="A310" s="0" t="s">
        <v>1848</v>
      </c>
      <c r="B310" s="18" t="s">
        <v>109</v>
      </c>
      <c r="C310" s="20" t="s">
        <v>25</v>
      </c>
      <c r="D310" s="20" t="s">
        <v>29</v>
      </c>
      <c r="E310" s="21" t="s">
        <v>1849</v>
      </c>
      <c r="G310" s="21" t="s">
        <v>127</v>
      </c>
      <c r="H310" s="21" t="s">
        <v>112</v>
      </c>
      <c r="I310" s="21" t="s">
        <v>113</v>
      </c>
      <c r="J310" s="21" t="s">
        <v>134</v>
      </c>
      <c r="K310" s="0" t="n">
        <v>4</v>
      </c>
      <c r="L310" s="0" t="n">
        <v>0</v>
      </c>
      <c r="M310" s="0" t="n">
        <v>4</v>
      </c>
      <c r="N310" s="0" t="n">
        <v>0</v>
      </c>
      <c r="O310" s="0" t="n">
        <v>0</v>
      </c>
      <c r="P310" s="0" t="n">
        <v>4</v>
      </c>
      <c r="Q310" s="0" t="n">
        <v>0</v>
      </c>
      <c r="R310" s="0" t="n">
        <v>4</v>
      </c>
      <c r="S310" s="0" t="n">
        <v>0</v>
      </c>
      <c r="T310" s="0" t="n">
        <v>0</v>
      </c>
      <c r="W310" s="21" t="s">
        <v>1850</v>
      </c>
      <c r="X310" s="0" t="n">
        <v>0.97</v>
      </c>
      <c r="Y310" s="0" t="n">
        <v>14</v>
      </c>
      <c r="Z310" s="0" t="n">
        <v>59.2</v>
      </c>
      <c r="AA310" s="21" t="s">
        <v>1851</v>
      </c>
      <c r="AB310" s="21" t="s">
        <v>1852</v>
      </c>
      <c r="AC310" s="21" t="s">
        <v>120</v>
      </c>
      <c r="AD310" s="0" t="n">
        <v>101</v>
      </c>
      <c r="AE310" s="22" t="b">
        <f aca="false">FALSE()</f>
        <v>0</v>
      </c>
      <c r="AF310" s="21" t="s">
        <v>121</v>
      </c>
      <c r="AG310" s="21" t="s">
        <v>1853</v>
      </c>
    </row>
    <row r="311" customFormat="false" ht="15" hidden="false" customHeight="false" outlineLevel="0" collapsed="false">
      <c r="A311" s="0" t="s">
        <v>1854</v>
      </c>
      <c r="B311" s="18" t="s">
        <v>109</v>
      </c>
      <c r="C311" s="19" t="s">
        <v>26</v>
      </c>
      <c r="D311" s="20" t="s">
        <v>31</v>
      </c>
      <c r="E311" s="21" t="s">
        <v>1855</v>
      </c>
      <c r="G311" s="21" t="s">
        <v>111</v>
      </c>
      <c r="H311" s="21" t="s">
        <v>468</v>
      </c>
      <c r="I311" s="21" t="s">
        <v>113</v>
      </c>
      <c r="J311" s="21" t="s">
        <v>134</v>
      </c>
      <c r="K311" s="0" t="n">
        <v>4</v>
      </c>
      <c r="L311" s="0" t="n">
        <v>2</v>
      </c>
      <c r="M311" s="0" t="n">
        <v>0</v>
      </c>
      <c r="N311" s="0" t="n">
        <v>2</v>
      </c>
      <c r="O311" s="0" t="n">
        <v>0</v>
      </c>
      <c r="P311" s="0" t="n">
        <v>2</v>
      </c>
      <c r="Q311" s="0" t="n">
        <v>0</v>
      </c>
      <c r="R311" s="0" t="n">
        <v>0</v>
      </c>
      <c r="S311" s="0" t="n">
        <v>2</v>
      </c>
      <c r="T311" s="0" t="n">
        <v>2</v>
      </c>
      <c r="U311" s="21" t="s">
        <v>1856</v>
      </c>
      <c r="V311" s="21" t="s">
        <v>69</v>
      </c>
      <c r="W311" s="21" t="s">
        <v>136</v>
      </c>
      <c r="X311" s="0" t="n">
        <v>5.24</v>
      </c>
      <c r="Y311" s="0" t="n">
        <v>6.9</v>
      </c>
      <c r="Z311" s="0" t="n">
        <v>58.6</v>
      </c>
      <c r="AA311" s="21" t="s">
        <v>1852</v>
      </c>
      <c r="AB311" s="21" t="s">
        <v>1857</v>
      </c>
      <c r="AC311" s="21" t="s">
        <v>120</v>
      </c>
      <c r="AD311" s="0" t="n">
        <v>96</v>
      </c>
      <c r="AE311" s="22" t="b">
        <f aca="false">FALSE()</f>
        <v>0</v>
      </c>
      <c r="AF311" s="21" t="s">
        <v>121</v>
      </c>
      <c r="AG311" s="21" t="s">
        <v>1858</v>
      </c>
    </row>
    <row r="312" customFormat="false" ht="15" hidden="false" customHeight="false" outlineLevel="0" collapsed="false">
      <c r="A312" s="0" t="s">
        <v>1859</v>
      </c>
      <c r="B312" s="18" t="s">
        <v>109</v>
      </c>
      <c r="C312" s="19" t="s">
        <v>26</v>
      </c>
      <c r="D312" s="20" t="s">
        <v>31</v>
      </c>
      <c r="E312" s="21" t="s">
        <v>1860</v>
      </c>
      <c r="G312" s="21" t="s">
        <v>111</v>
      </c>
      <c r="H312" s="21" t="s">
        <v>495</v>
      </c>
      <c r="I312" s="21" t="s">
        <v>171</v>
      </c>
      <c r="J312" s="21" t="s">
        <v>134</v>
      </c>
      <c r="K312" s="0" t="n">
        <v>4</v>
      </c>
      <c r="L312" s="0" t="n">
        <v>0</v>
      </c>
      <c r="M312" s="0" t="n">
        <v>2</v>
      </c>
      <c r="N312" s="0" t="n">
        <v>2</v>
      </c>
      <c r="O312" s="0" t="n">
        <v>0</v>
      </c>
      <c r="P312" s="0" t="n">
        <v>2</v>
      </c>
      <c r="Q312" s="0" t="n">
        <v>0</v>
      </c>
      <c r="R312" s="0" t="n">
        <v>1</v>
      </c>
      <c r="S312" s="0" t="n">
        <v>1</v>
      </c>
      <c r="T312" s="0" t="n">
        <v>2</v>
      </c>
      <c r="U312" s="21" t="s">
        <v>1861</v>
      </c>
      <c r="V312" s="21" t="s">
        <v>69</v>
      </c>
      <c r="W312" s="21" t="s">
        <v>239</v>
      </c>
      <c r="X312" s="0" t="n">
        <v>1.46</v>
      </c>
      <c r="Y312" s="0" t="n">
        <v>12.1</v>
      </c>
      <c r="Z312" s="0" t="n">
        <v>57.4</v>
      </c>
      <c r="AA312" s="21" t="s">
        <v>1862</v>
      </c>
      <c r="AB312" s="21" t="s">
        <v>834</v>
      </c>
      <c r="AC312" s="21" t="s">
        <v>120</v>
      </c>
      <c r="AD312" s="0" t="n">
        <v>97</v>
      </c>
      <c r="AE312" s="22" t="b">
        <f aca="false">FALSE()</f>
        <v>0</v>
      </c>
      <c r="AF312" s="21" t="s">
        <v>121</v>
      </c>
      <c r="AG312" s="21" t="s">
        <v>1863</v>
      </c>
    </row>
    <row r="313" customFormat="false" ht="15" hidden="false" customHeight="false" outlineLevel="0" collapsed="false">
      <c r="A313" s="0" t="s">
        <v>1864</v>
      </c>
      <c r="B313" s="20" t="s">
        <v>124</v>
      </c>
      <c r="E313" s="21" t="s">
        <v>727</v>
      </c>
      <c r="F313" s="21" t="s">
        <v>728</v>
      </c>
      <c r="G313" s="21" t="s">
        <v>111</v>
      </c>
      <c r="H313" s="21" t="s">
        <v>729</v>
      </c>
      <c r="I313" s="21" t="s">
        <v>113</v>
      </c>
      <c r="Z313" s="0" t="n">
        <v>0</v>
      </c>
      <c r="AA313" s="21" t="s">
        <v>1865</v>
      </c>
      <c r="AB313" s="21" t="s">
        <v>1865</v>
      </c>
      <c r="AE313" s="22" t="b">
        <f aca="false">FALSE()</f>
        <v>0</v>
      </c>
      <c r="AF313" s="21" t="s">
        <v>121</v>
      </c>
      <c r="AG313" s="21" t="s">
        <v>1866</v>
      </c>
    </row>
    <row r="314" customFormat="false" ht="15" hidden="false" customHeight="false" outlineLevel="0" collapsed="false">
      <c r="A314" s="0" t="s">
        <v>1867</v>
      </c>
      <c r="B314" s="18" t="s">
        <v>109</v>
      </c>
      <c r="C314" s="19" t="s">
        <v>26</v>
      </c>
      <c r="D314" s="20" t="s">
        <v>31</v>
      </c>
      <c r="E314" s="21" t="s">
        <v>1868</v>
      </c>
      <c r="G314" s="21" t="s">
        <v>111</v>
      </c>
      <c r="H314" s="21" t="s">
        <v>289</v>
      </c>
      <c r="I314" s="21" t="s">
        <v>113</v>
      </c>
      <c r="J314" s="21" t="s">
        <v>134</v>
      </c>
      <c r="K314" s="0" t="n">
        <v>4</v>
      </c>
      <c r="L314" s="0" t="n">
        <v>1</v>
      </c>
      <c r="M314" s="0" t="n">
        <v>1</v>
      </c>
      <c r="N314" s="0" t="n">
        <v>2</v>
      </c>
      <c r="O314" s="0" t="n">
        <v>0</v>
      </c>
      <c r="P314" s="0" t="n">
        <v>2</v>
      </c>
      <c r="Q314" s="0" t="n">
        <v>0</v>
      </c>
      <c r="R314" s="0" t="n">
        <v>0</v>
      </c>
      <c r="S314" s="0" t="n">
        <v>2</v>
      </c>
      <c r="T314" s="0" t="n">
        <v>2</v>
      </c>
      <c r="U314" s="21" t="s">
        <v>1869</v>
      </c>
      <c r="W314" s="21" t="s">
        <v>1870</v>
      </c>
      <c r="X314" s="0" t="n">
        <v>0.97</v>
      </c>
      <c r="Y314" s="0" t="n">
        <v>5.1</v>
      </c>
      <c r="Z314" s="0" t="n">
        <v>73.5</v>
      </c>
      <c r="AA314" s="21" t="s">
        <v>843</v>
      </c>
      <c r="AB314" s="21" t="s">
        <v>1871</v>
      </c>
      <c r="AC314" s="21" t="s">
        <v>120</v>
      </c>
      <c r="AD314" s="0" t="n">
        <v>98</v>
      </c>
      <c r="AE314" s="22" t="b">
        <f aca="false">FALSE()</f>
        <v>0</v>
      </c>
      <c r="AF314" s="21" t="s">
        <v>121</v>
      </c>
      <c r="AG314" s="21" t="s">
        <v>1872</v>
      </c>
    </row>
    <row r="315" customFormat="false" ht="15" hidden="false" customHeight="false" outlineLevel="0" collapsed="false">
      <c r="A315" s="0" t="s">
        <v>1873</v>
      </c>
      <c r="B315" s="20" t="s">
        <v>124</v>
      </c>
      <c r="E315" s="21" t="s">
        <v>445</v>
      </c>
      <c r="F315" s="21" t="s">
        <v>446</v>
      </c>
      <c r="G315" s="21" t="s">
        <v>111</v>
      </c>
      <c r="H315" s="21" t="s">
        <v>352</v>
      </c>
      <c r="I315" s="21" t="s">
        <v>113</v>
      </c>
      <c r="Z315" s="0" t="n">
        <v>0</v>
      </c>
      <c r="AA315" s="21" t="s">
        <v>1874</v>
      </c>
      <c r="AB315" s="21" t="s">
        <v>1874</v>
      </c>
      <c r="AE315" s="22" t="b">
        <f aca="false">FALSE()</f>
        <v>0</v>
      </c>
      <c r="AF315" s="21" t="s">
        <v>121</v>
      </c>
      <c r="AG315" s="21" t="s">
        <v>1875</v>
      </c>
    </row>
    <row r="316" customFormat="false" ht="15" hidden="false" customHeight="false" outlineLevel="0" collapsed="false">
      <c r="A316" s="0" t="s">
        <v>1876</v>
      </c>
      <c r="B316" s="18" t="s">
        <v>109</v>
      </c>
      <c r="C316" s="20" t="s">
        <v>25</v>
      </c>
      <c r="D316" s="23" t="s">
        <v>30</v>
      </c>
      <c r="E316" s="21" t="s">
        <v>1877</v>
      </c>
      <c r="G316" s="21" t="s">
        <v>111</v>
      </c>
      <c r="H316" s="21" t="s">
        <v>155</v>
      </c>
      <c r="I316" s="21" t="s">
        <v>113</v>
      </c>
      <c r="J316" s="21" t="s">
        <v>114</v>
      </c>
      <c r="K316" s="0" t="n">
        <v>8</v>
      </c>
      <c r="L316" s="0" t="n">
        <v>0</v>
      </c>
      <c r="M316" s="0" t="n">
        <v>8</v>
      </c>
      <c r="N316" s="0" t="n">
        <v>0</v>
      </c>
      <c r="O316" s="0" t="n">
        <v>0</v>
      </c>
      <c r="P316" s="0" t="n">
        <v>8</v>
      </c>
      <c r="Q316" s="0" t="n">
        <v>0</v>
      </c>
      <c r="R316" s="0" t="n">
        <v>0</v>
      </c>
      <c r="S316" s="0" t="n">
        <v>8</v>
      </c>
      <c r="T316" s="0" t="n">
        <v>0</v>
      </c>
      <c r="U316" s="21" t="s">
        <v>1878</v>
      </c>
      <c r="V316" s="21" t="s">
        <v>69</v>
      </c>
      <c r="W316" s="21" t="s">
        <v>183</v>
      </c>
      <c r="X316" s="0" t="n">
        <v>5.82</v>
      </c>
      <c r="Y316" s="0" t="n">
        <v>12</v>
      </c>
      <c r="Z316" s="0" t="n">
        <v>108.1</v>
      </c>
      <c r="AA316" s="21" t="s">
        <v>1879</v>
      </c>
      <c r="AB316" s="21" t="s">
        <v>1880</v>
      </c>
      <c r="AC316" s="21" t="s">
        <v>120</v>
      </c>
      <c r="AD316" s="0" t="n">
        <v>192</v>
      </c>
      <c r="AE316" s="22" t="b">
        <f aca="false">FALSE()</f>
        <v>0</v>
      </c>
      <c r="AF316" s="21" t="s">
        <v>121</v>
      </c>
      <c r="AG316" s="21" t="s">
        <v>1881</v>
      </c>
    </row>
    <row r="317" customFormat="false" ht="15" hidden="false" customHeight="false" outlineLevel="0" collapsed="false">
      <c r="A317" s="0" t="s">
        <v>1882</v>
      </c>
      <c r="B317" s="20" t="s">
        <v>124</v>
      </c>
      <c r="E317" s="21" t="s">
        <v>306</v>
      </c>
      <c r="F317" s="21" t="s">
        <v>307</v>
      </c>
      <c r="G317" s="21" t="s">
        <v>127</v>
      </c>
      <c r="H317" s="21" t="s">
        <v>308</v>
      </c>
      <c r="I317" s="21" t="s">
        <v>113</v>
      </c>
      <c r="Z317" s="0" t="n">
        <v>0</v>
      </c>
      <c r="AA317" s="21" t="s">
        <v>1883</v>
      </c>
      <c r="AB317" s="21" t="s">
        <v>1883</v>
      </c>
      <c r="AE317" s="22" t="b">
        <f aca="false">FALSE()</f>
        <v>0</v>
      </c>
      <c r="AF317" s="21" t="s">
        <v>121</v>
      </c>
      <c r="AG317" s="21" t="s">
        <v>1884</v>
      </c>
    </row>
    <row r="318" customFormat="false" ht="15" hidden="false" customHeight="false" outlineLevel="0" collapsed="false">
      <c r="A318" s="0" t="s">
        <v>1885</v>
      </c>
      <c r="B318" s="20" t="s">
        <v>124</v>
      </c>
      <c r="E318" s="21" t="s">
        <v>1886</v>
      </c>
      <c r="F318" s="21" t="s">
        <v>1887</v>
      </c>
      <c r="G318" s="21" t="s">
        <v>111</v>
      </c>
      <c r="H318" s="21" t="s">
        <v>554</v>
      </c>
      <c r="I318" s="21" t="s">
        <v>113</v>
      </c>
      <c r="Z318" s="0" t="n">
        <v>0</v>
      </c>
      <c r="AA318" s="21" t="s">
        <v>1888</v>
      </c>
      <c r="AB318" s="21" t="s">
        <v>1888</v>
      </c>
      <c r="AE318" s="22" t="b">
        <f aca="false">FALSE()</f>
        <v>0</v>
      </c>
      <c r="AF318" s="21" t="s">
        <v>121</v>
      </c>
      <c r="AG318" s="21" t="s">
        <v>1889</v>
      </c>
    </row>
    <row r="319" customFormat="false" ht="15" hidden="false" customHeight="false" outlineLevel="0" collapsed="false">
      <c r="A319" s="0" t="s">
        <v>1890</v>
      </c>
      <c r="B319" s="20" t="s">
        <v>124</v>
      </c>
      <c r="E319" s="21" t="s">
        <v>125</v>
      </c>
      <c r="F319" s="21" t="s">
        <v>126</v>
      </c>
      <c r="G319" s="21" t="s">
        <v>111</v>
      </c>
      <c r="H319" s="21" t="s">
        <v>128</v>
      </c>
      <c r="I319" s="21" t="s">
        <v>113</v>
      </c>
      <c r="Z319" s="0" t="n">
        <v>0</v>
      </c>
      <c r="AA319" s="21" t="s">
        <v>1891</v>
      </c>
      <c r="AB319" s="21" t="s">
        <v>1891</v>
      </c>
      <c r="AE319" s="22" t="b">
        <f aca="false">FALSE()</f>
        <v>0</v>
      </c>
      <c r="AF319" s="21" t="s">
        <v>121</v>
      </c>
      <c r="AG319" s="21" t="s">
        <v>1892</v>
      </c>
    </row>
    <row r="320" customFormat="false" ht="15" hidden="false" customHeight="false" outlineLevel="0" collapsed="false">
      <c r="A320" s="0" t="s">
        <v>1893</v>
      </c>
      <c r="B320" s="20" t="s">
        <v>124</v>
      </c>
      <c r="E320" s="21" t="s">
        <v>805</v>
      </c>
      <c r="F320" s="21" t="s">
        <v>806</v>
      </c>
      <c r="G320" s="21" t="s">
        <v>127</v>
      </c>
      <c r="H320" s="21" t="s">
        <v>203</v>
      </c>
      <c r="I320" s="21" t="s">
        <v>113</v>
      </c>
      <c r="Z320" s="0" t="n">
        <v>0</v>
      </c>
      <c r="AA320" s="21" t="s">
        <v>1894</v>
      </c>
      <c r="AB320" s="21" t="s">
        <v>1894</v>
      </c>
      <c r="AE320" s="22" t="b">
        <f aca="false">FALSE()</f>
        <v>0</v>
      </c>
      <c r="AF320" s="21" t="s">
        <v>121</v>
      </c>
      <c r="AG320" s="21" t="s">
        <v>1895</v>
      </c>
    </row>
    <row r="321" customFormat="false" ht="15" hidden="false" customHeight="false" outlineLevel="0" collapsed="false">
      <c r="A321" s="0" t="s">
        <v>1896</v>
      </c>
      <c r="B321" s="20" t="s">
        <v>124</v>
      </c>
      <c r="E321" s="21" t="s">
        <v>306</v>
      </c>
      <c r="F321" s="21" t="s">
        <v>307</v>
      </c>
      <c r="G321" s="21" t="s">
        <v>111</v>
      </c>
      <c r="H321" s="21" t="s">
        <v>308</v>
      </c>
      <c r="I321" s="21" t="s">
        <v>171</v>
      </c>
      <c r="Z321" s="0" t="n">
        <v>0</v>
      </c>
      <c r="AA321" s="21" t="s">
        <v>1897</v>
      </c>
      <c r="AB321" s="21" t="s">
        <v>1897</v>
      </c>
      <c r="AE321" s="22" t="b">
        <f aca="false">FALSE()</f>
        <v>0</v>
      </c>
      <c r="AF321" s="21" t="s">
        <v>121</v>
      </c>
      <c r="AG321" s="21" t="s">
        <v>1898</v>
      </c>
    </row>
    <row r="322" customFormat="false" ht="15" hidden="false" customHeight="false" outlineLevel="0" collapsed="false">
      <c r="A322" s="0" t="s">
        <v>1899</v>
      </c>
      <c r="B322" s="18" t="s">
        <v>109</v>
      </c>
      <c r="C322" s="19" t="s">
        <v>26</v>
      </c>
      <c r="D322" s="20" t="s">
        <v>31</v>
      </c>
      <c r="E322" s="21" t="s">
        <v>1900</v>
      </c>
      <c r="G322" s="21" t="s">
        <v>111</v>
      </c>
      <c r="H322" s="21" t="s">
        <v>289</v>
      </c>
      <c r="I322" s="21" t="s">
        <v>113</v>
      </c>
      <c r="J322" s="21" t="s">
        <v>134</v>
      </c>
      <c r="K322" s="0" t="n">
        <v>4</v>
      </c>
      <c r="L322" s="0" t="n">
        <v>0</v>
      </c>
      <c r="M322" s="0" t="n">
        <v>2</v>
      </c>
      <c r="N322" s="0" t="n">
        <v>2</v>
      </c>
      <c r="O322" s="0" t="n">
        <v>0</v>
      </c>
      <c r="P322" s="0" t="n">
        <v>2</v>
      </c>
      <c r="Q322" s="0" t="n">
        <v>0</v>
      </c>
      <c r="R322" s="0" t="n">
        <v>0</v>
      </c>
      <c r="S322" s="0" t="n">
        <v>2</v>
      </c>
      <c r="T322" s="0" t="n">
        <v>2</v>
      </c>
      <c r="U322" s="21" t="s">
        <v>1901</v>
      </c>
      <c r="V322" s="21" t="s">
        <v>69</v>
      </c>
      <c r="W322" s="21" t="s">
        <v>136</v>
      </c>
      <c r="X322" s="0" t="n">
        <v>5.26</v>
      </c>
      <c r="Y322" s="0" t="n">
        <v>11.8</v>
      </c>
      <c r="Z322" s="0" t="n">
        <v>59</v>
      </c>
      <c r="AA322" s="21" t="s">
        <v>1902</v>
      </c>
      <c r="AB322" s="21" t="s">
        <v>1903</v>
      </c>
      <c r="AC322" s="21" t="s">
        <v>120</v>
      </c>
      <c r="AD322" s="0" t="n">
        <v>100</v>
      </c>
      <c r="AE322" s="22" t="b">
        <f aca="false">FALSE()</f>
        <v>0</v>
      </c>
      <c r="AF322" s="21" t="s">
        <v>121</v>
      </c>
      <c r="AG322" s="21" t="s">
        <v>1904</v>
      </c>
    </row>
    <row r="323" customFormat="false" ht="15" hidden="false" customHeight="false" outlineLevel="0" collapsed="false">
      <c r="A323" s="0" t="s">
        <v>1905</v>
      </c>
      <c r="B323" s="20" t="s">
        <v>124</v>
      </c>
      <c r="E323" s="21" t="s">
        <v>445</v>
      </c>
      <c r="F323" s="21" t="s">
        <v>446</v>
      </c>
      <c r="G323" s="21" t="s">
        <v>111</v>
      </c>
      <c r="H323" s="21" t="s">
        <v>331</v>
      </c>
      <c r="I323" s="21" t="s">
        <v>113</v>
      </c>
      <c r="Z323" s="0" t="n">
        <v>0</v>
      </c>
      <c r="AA323" s="21" t="s">
        <v>1906</v>
      </c>
      <c r="AB323" s="21" t="s">
        <v>1906</v>
      </c>
      <c r="AE323" s="22" t="b">
        <f aca="false">FALSE()</f>
        <v>0</v>
      </c>
      <c r="AF323" s="21" t="s">
        <v>121</v>
      </c>
      <c r="AG323" s="21" t="s">
        <v>1907</v>
      </c>
    </row>
    <row r="324" customFormat="false" ht="15" hidden="false" customHeight="false" outlineLevel="0" collapsed="false">
      <c r="A324" s="0" t="s">
        <v>1908</v>
      </c>
      <c r="B324" s="18" t="s">
        <v>109</v>
      </c>
      <c r="C324" s="20" t="s">
        <v>25</v>
      </c>
      <c r="D324" s="23" t="s">
        <v>30</v>
      </c>
      <c r="E324" s="21" t="s">
        <v>1909</v>
      </c>
      <c r="G324" s="21" t="s">
        <v>127</v>
      </c>
      <c r="H324" s="21" t="s">
        <v>575</v>
      </c>
      <c r="I324" s="21" t="s">
        <v>113</v>
      </c>
      <c r="J324" s="21" t="s">
        <v>114</v>
      </c>
      <c r="K324" s="0" t="n">
        <v>8</v>
      </c>
      <c r="L324" s="0" t="n">
        <v>1</v>
      </c>
      <c r="M324" s="0" t="n">
        <v>7</v>
      </c>
      <c r="N324" s="0" t="n">
        <v>0</v>
      </c>
      <c r="O324" s="0" t="n">
        <v>0</v>
      </c>
      <c r="P324" s="0" t="n">
        <v>8</v>
      </c>
      <c r="Q324" s="0" t="n">
        <v>0</v>
      </c>
      <c r="R324" s="0" t="n">
        <v>1</v>
      </c>
      <c r="S324" s="0" t="n">
        <v>7</v>
      </c>
      <c r="T324" s="0" t="n">
        <v>0</v>
      </c>
      <c r="U324" s="21" t="s">
        <v>1910</v>
      </c>
      <c r="V324" s="21" t="s">
        <v>69</v>
      </c>
      <c r="W324" s="21" t="s">
        <v>679</v>
      </c>
      <c r="X324" s="0" t="n">
        <v>0.86</v>
      </c>
      <c r="Y324" s="0" t="n">
        <v>12.5</v>
      </c>
      <c r="Z324" s="0" t="n">
        <v>108.4</v>
      </c>
      <c r="AA324" s="21" t="s">
        <v>1906</v>
      </c>
      <c r="AB324" s="21" t="s">
        <v>1911</v>
      </c>
      <c r="AC324" s="21" t="s">
        <v>120</v>
      </c>
      <c r="AD324" s="0" t="n">
        <v>196</v>
      </c>
      <c r="AE324" s="22" t="b">
        <f aca="false">FALSE()</f>
        <v>0</v>
      </c>
      <c r="AF324" s="21" t="s">
        <v>121</v>
      </c>
      <c r="AG324" s="21" t="s">
        <v>1912</v>
      </c>
    </row>
    <row r="325" customFormat="false" ht="15" hidden="false" customHeight="false" outlineLevel="0" collapsed="false">
      <c r="A325" s="0" t="s">
        <v>1913</v>
      </c>
      <c r="B325" s="20" t="s">
        <v>124</v>
      </c>
      <c r="E325" s="21" t="s">
        <v>1914</v>
      </c>
      <c r="F325" s="21" t="s">
        <v>1915</v>
      </c>
      <c r="G325" s="21" t="s">
        <v>127</v>
      </c>
      <c r="H325" s="21" t="s">
        <v>397</v>
      </c>
      <c r="I325" s="21" t="s">
        <v>113</v>
      </c>
      <c r="Z325" s="0" t="n">
        <v>0</v>
      </c>
      <c r="AA325" s="21" t="s">
        <v>1916</v>
      </c>
      <c r="AB325" s="21" t="s">
        <v>1916</v>
      </c>
      <c r="AE325" s="22" t="b">
        <f aca="false">FALSE()</f>
        <v>0</v>
      </c>
      <c r="AF325" s="21" t="s">
        <v>121</v>
      </c>
      <c r="AG325" s="21" t="s">
        <v>1917</v>
      </c>
    </row>
    <row r="326" customFormat="false" ht="15" hidden="false" customHeight="false" outlineLevel="0" collapsed="false">
      <c r="A326" s="0" t="s">
        <v>1918</v>
      </c>
      <c r="B326" s="18" t="s">
        <v>109</v>
      </c>
      <c r="C326" s="18" t="s">
        <v>24</v>
      </c>
      <c r="D326" s="18" t="s">
        <v>28</v>
      </c>
      <c r="E326" s="21" t="s">
        <v>1919</v>
      </c>
      <c r="G326" s="21" t="s">
        <v>127</v>
      </c>
      <c r="H326" s="21" t="s">
        <v>142</v>
      </c>
      <c r="I326" s="21" t="s">
        <v>113</v>
      </c>
      <c r="J326" s="21" t="s">
        <v>134</v>
      </c>
      <c r="K326" s="0" t="n">
        <v>4</v>
      </c>
      <c r="L326" s="0" t="n">
        <v>4</v>
      </c>
      <c r="M326" s="0" t="n">
        <v>0</v>
      </c>
      <c r="N326" s="0" t="n">
        <v>0</v>
      </c>
      <c r="O326" s="0" t="n">
        <v>0</v>
      </c>
      <c r="P326" s="0" t="n">
        <v>4</v>
      </c>
      <c r="Q326" s="0" t="n">
        <v>4</v>
      </c>
      <c r="R326" s="0" t="n">
        <v>0</v>
      </c>
      <c r="S326" s="0" t="n">
        <v>0</v>
      </c>
      <c r="T326" s="0" t="n">
        <v>0</v>
      </c>
      <c r="X326" s="0" t="n">
        <v>4.69</v>
      </c>
      <c r="Y326" s="0" t="n">
        <v>3.7</v>
      </c>
      <c r="Z326" s="0" t="n">
        <v>58</v>
      </c>
      <c r="AA326" s="21" t="s">
        <v>1920</v>
      </c>
      <c r="AB326" s="21" t="s">
        <v>1921</v>
      </c>
      <c r="AC326" s="21" t="s">
        <v>120</v>
      </c>
      <c r="AD326" s="0" t="n">
        <v>97</v>
      </c>
      <c r="AE326" s="22" t="b">
        <f aca="false">FALSE()</f>
        <v>0</v>
      </c>
      <c r="AF326" s="21" t="s">
        <v>121</v>
      </c>
      <c r="AG326" s="21" t="s">
        <v>1922</v>
      </c>
    </row>
    <row r="327" customFormat="false" ht="15" hidden="false" customHeight="false" outlineLevel="0" collapsed="false">
      <c r="A327" s="0" t="s">
        <v>1923</v>
      </c>
      <c r="B327" s="18" t="s">
        <v>109</v>
      </c>
      <c r="C327" s="19" t="s">
        <v>26</v>
      </c>
      <c r="D327" s="19" t="s">
        <v>32</v>
      </c>
      <c r="E327" s="21" t="s">
        <v>1924</v>
      </c>
      <c r="G327" s="21" t="s">
        <v>111</v>
      </c>
      <c r="H327" s="21" t="s">
        <v>1192</v>
      </c>
      <c r="I327" s="21" t="s">
        <v>113</v>
      </c>
      <c r="J327" s="21" t="s">
        <v>114</v>
      </c>
      <c r="K327" s="0" t="n">
        <v>8</v>
      </c>
      <c r="L327" s="0" t="n">
        <v>0</v>
      </c>
      <c r="M327" s="0" t="n">
        <v>0</v>
      </c>
      <c r="N327" s="0" t="n">
        <v>8</v>
      </c>
      <c r="O327" s="0" t="n">
        <v>0</v>
      </c>
      <c r="P327" s="0" t="n">
        <v>0</v>
      </c>
      <c r="Q327" s="0" t="n">
        <v>0</v>
      </c>
      <c r="R327" s="0" t="n">
        <v>0</v>
      </c>
      <c r="S327" s="0" t="n">
        <v>0</v>
      </c>
      <c r="T327" s="0" t="n">
        <v>8</v>
      </c>
      <c r="U327" s="21" t="s">
        <v>1925</v>
      </c>
      <c r="V327" s="21" t="s">
        <v>69</v>
      </c>
      <c r="W327" s="21" t="s">
        <v>1926</v>
      </c>
      <c r="X327" s="0" t="n">
        <v>5.17</v>
      </c>
      <c r="Y327" s="0" t="n">
        <v>15.6</v>
      </c>
      <c r="Z327" s="0" t="n">
        <v>110.2</v>
      </c>
      <c r="AA327" s="21" t="s">
        <v>1927</v>
      </c>
      <c r="AB327" s="21" t="s">
        <v>1928</v>
      </c>
      <c r="AC327" s="21" t="s">
        <v>120</v>
      </c>
      <c r="AD327" s="0" t="n">
        <v>193</v>
      </c>
      <c r="AE327" s="22" t="b">
        <f aca="false">FALSE()</f>
        <v>0</v>
      </c>
      <c r="AF327" s="21" t="s">
        <v>121</v>
      </c>
      <c r="AG327" s="21" t="s">
        <v>1929</v>
      </c>
    </row>
    <row r="328" customFormat="false" ht="15" hidden="false" customHeight="false" outlineLevel="0" collapsed="false">
      <c r="A328" s="0" t="s">
        <v>1930</v>
      </c>
      <c r="B328" s="20" t="s">
        <v>124</v>
      </c>
      <c r="E328" s="21" t="s">
        <v>1931</v>
      </c>
      <c r="F328" s="21" t="s">
        <v>1932</v>
      </c>
      <c r="G328" s="21" t="s">
        <v>127</v>
      </c>
      <c r="H328" s="21" t="s">
        <v>261</v>
      </c>
      <c r="I328" s="21" t="s">
        <v>113</v>
      </c>
      <c r="Z328" s="0" t="n">
        <v>0</v>
      </c>
      <c r="AA328" s="21" t="s">
        <v>1933</v>
      </c>
      <c r="AB328" s="21" t="s">
        <v>1933</v>
      </c>
      <c r="AE328" s="22" t="b">
        <f aca="false">FALSE()</f>
        <v>0</v>
      </c>
      <c r="AF328" s="21" t="s">
        <v>121</v>
      </c>
      <c r="AG328" s="21" t="s">
        <v>1934</v>
      </c>
    </row>
    <row r="329" customFormat="false" ht="15" hidden="false" customHeight="false" outlineLevel="0" collapsed="false">
      <c r="A329" s="0" t="s">
        <v>1935</v>
      </c>
      <c r="B329" s="18" t="s">
        <v>109</v>
      </c>
      <c r="C329" s="20" t="s">
        <v>25</v>
      </c>
      <c r="D329" s="23" t="s">
        <v>30</v>
      </c>
      <c r="E329" s="21" t="s">
        <v>1936</v>
      </c>
      <c r="G329" s="21" t="s">
        <v>111</v>
      </c>
      <c r="H329" s="21" t="s">
        <v>151</v>
      </c>
      <c r="I329" s="21" t="s">
        <v>113</v>
      </c>
      <c r="J329" s="21" t="s">
        <v>134</v>
      </c>
      <c r="K329" s="0" t="n">
        <v>4</v>
      </c>
      <c r="L329" s="0" t="n">
        <v>2</v>
      </c>
      <c r="M329" s="0" t="n">
        <v>2</v>
      </c>
      <c r="N329" s="0" t="n">
        <v>0</v>
      </c>
      <c r="O329" s="0" t="n">
        <v>0</v>
      </c>
      <c r="P329" s="0" t="n">
        <v>4</v>
      </c>
      <c r="Q329" s="0" t="n">
        <v>0</v>
      </c>
      <c r="R329" s="0" t="n">
        <v>1</v>
      </c>
      <c r="S329" s="0" t="n">
        <v>3</v>
      </c>
      <c r="T329" s="0" t="n">
        <v>0</v>
      </c>
      <c r="U329" s="21" t="s">
        <v>1937</v>
      </c>
      <c r="V329" s="21" t="s">
        <v>69</v>
      </c>
      <c r="W329" s="21" t="s">
        <v>183</v>
      </c>
      <c r="X329" s="0" t="n">
        <v>2.79</v>
      </c>
      <c r="Y329" s="0" t="n">
        <v>16.7</v>
      </c>
      <c r="Z329" s="0" t="n">
        <v>61.1</v>
      </c>
      <c r="AA329" s="21" t="s">
        <v>1938</v>
      </c>
      <c r="AB329" s="21" t="s">
        <v>1939</v>
      </c>
      <c r="AC329" s="21" t="s">
        <v>120</v>
      </c>
      <c r="AD329" s="0" t="n">
        <v>100</v>
      </c>
      <c r="AE329" s="22" t="b">
        <f aca="false">FALSE()</f>
        <v>0</v>
      </c>
      <c r="AF329" s="21" t="s">
        <v>121</v>
      </c>
      <c r="AG329" s="21" t="s">
        <v>1940</v>
      </c>
    </row>
    <row r="330" customFormat="false" ht="15" hidden="false" customHeight="false" outlineLevel="0" collapsed="false">
      <c r="A330" s="0" t="s">
        <v>1941</v>
      </c>
      <c r="B330" s="20" t="s">
        <v>124</v>
      </c>
      <c r="E330" s="21" t="s">
        <v>1942</v>
      </c>
      <c r="F330" s="21" t="s">
        <v>1943</v>
      </c>
      <c r="G330" s="21" t="s">
        <v>127</v>
      </c>
      <c r="H330" s="21" t="s">
        <v>245</v>
      </c>
      <c r="I330" s="21" t="s">
        <v>113</v>
      </c>
      <c r="Z330" s="0" t="n">
        <v>0</v>
      </c>
      <c r="AA330" s="21" t="s">
        <v>1944</v>
      </c>
      <c r="AB330" s="21" t="s">
        <v>1944</v>
      </c>
      <c r="AE330" s="22" t="b">
        <f aca="false">FALSE()</f>
        <v>0</v>
      </c>
      <c r="AF330" s="21" t="s">
        <v>121</v>
      </c>
      <c r="AG330" s="21" t="s">
        <v>1945</v>
      </c>
    </row>
    <row r="331" customFormat="false" ht="15" hidden="false" customHeight="false" outlineLevel="0" collapsed="false">
      <c r="A331" s="0" t="s">
        <v>1946</v>
      </c>
      <c r="B331" s="18" t="s">
        <v>109</v>
      </c>
      <c r="C331" s="20" t="s">
        <v>25</v>
      </c>
      <c r="D331" s="23" t="s">
        <v>30</v>
      </c>
      <c r="E331" s="21" t="s">
        <v>1947</v>
      </c>
      <c r="G331" s="21" t="s">
        <v>111</v>
      </c>
      <c r="H331" s="21" t="s">
        <v>953</v>
      </c>
      <c r="I331" s="21" t="s">
        <v>113</v>
      </c>
      <c r="J331" s="21" t="s">
        <v>134</v>
      </c>
      <c r="K331" s="0" t="n">
        <v>4</v>
      </c>
      <c r="L331" s="0" t="n">
        <v>2</v>
      </c>
      <c r="M331" s="0" t="n">
        <v>2</v>
      </c>
      <c r="N331" s="0" t="n">
        <v>0</v>
      </c>
      <c r="O331" s="0" t="n">
        <v>0</v>
      </c>
      <c r="P331" s="0" t="n">
        <v>4</v>
      </c>
      <c r="Q331" s="0" t="n">
        <v>2</v>
      </c>
      <c r="R331" s="0" t="n">
        <v>0</v>
      </c>
      <c r="S331" s="0" t="n">
        <v>2</v>
      </c>
      <c r="T331" s="0" t="n">
        <v>0</v>
      </c>
      <c r="U331" s="21" t="s">
        <v>1948</v>
      </c>
      <c r="V331" s="21" t="s">
        <v>69</v>
      </c>
      <c r="W331" s="21" t="s">
        <v>283</v>
      </c>
      <c r="X331" s="0" t="n">
        <v>5.37</v>
      </c>
      <c r="Y331" s="0" t="n">
        <v>13.2</v>
      </c>
      <c r="Z331" s="0" t="n">
        <v>62.1</v>
      </c>
      <c r="AA331" s="21" t="s">
        <v>1949</v>
      </c>
      <c r="AB331" s="21" t="s">
        <v>1950</v>
      </c>
      <c r="AC331" s="21" t="s">
        <v>120</v>
      </c>
      <c r="AD331" s="0" t="n">
        <v>102</v>
      </c>
      <c r="AE331" s="22" t="b">
        <f aca="false">FALSE()</f>
        <v>0</v>
      </c>
      <c r="AF331" s="21" t="s">
        <v>121</v>
      </c>
      <c r="AG331" s="21" t="s">
        <v>1951</v>
      </c>
    </row>
    <row r="332" customFormat="false" ht="15" hidden="false" customHeight="false" outlineLevel="0" collapsed="false">
      <c r="A332" s="0" t="s">
        <v>1952</v>
      </c>
      <c r="B332" s="20" t="s">
        <v>124</v>
      </c>
      <c r="E332" s="21" t="s">
        <v>206</v>
      </c>
      <c r="F332" s="21" t="s">
        <v>207</v>
      </c>
      <c r="G332" s="21" t="s">
        <v>111</v>
      </c>
      <c r="H332" s="21" t="s">
        <v>208</v>
      </c>
      <c r="I332" s="21" t="s">
        <v>113</v>
      </c>
      <c r="Z332" s="0" t="n">
        <v>0</v>
      </c>
      <c r="AA332" s="21" t="s">
        <v>1953</v>
      </c>
      <c r="AB332" s="21" t="s">
        <v>1953</v>
      </c>
      <c r="AE332" s="22" t="b">
        <f aca="false">FALSE()</f>
        <v>0</v>
      </c>
      <c r="AF332" s="21" t="s">
        <v>121</v>
      </c>
      <c r="AG332" s="21" t="s">
        <v>1954</v>
      </c>
    </row>
    <row r="333" customFormat="false" ht="15" hidden="false" customHeight="false" outlineLevel="0" collapsed="false">
      <c r="A333" s="0" t="s">
        <v>1955</v>
      </c>
      <c r="B333" s="18" t="s">
        <v>109</v>
      </c>
      <c r="C333" s="19" t="s">
        <v>26</v>
      </c>
      <c r="D333" s="20" t="s">
        <v>31</v>
      </c>
      <c r="E333" s="21" t="s">
        <v>1956</v>
      </c>
      <c r="G333" s="21" t="s">
        <v>111</v>
      </c>
      <c r="H333" s="21" t="s">
        <v>397</v>
      </c>
      <c r="I333" s="21" t="s">
        <v>113</v>
      </c>
      <c r="J333" s="21" t="s">
        <v>114</v>
      </c>
      <c r="K333" s="0" t="n">
        <v>8</v>
      </c>
      <c r="L333" s="0" t="n">
        <v>3</v>
      </c>
      <c r="M333" s="0" t="n">
        <v>2</v>
      </c>
      <c r="N333" s="0" t="n">
        <v>3</v>
      </c>
      <c r="O333" s="0" t="n">
        <v>0</v>
      </c>
      <c r="P333" s="0" t="n">
        <v>5</v>
      </c>
      <c r="Q333" s="0" t="n">
        <v>2</v>
      </c>
      <c r="R333" s="0" t="n">
        <v>1</v>
      </c>
      <c r="S333" s="0" t="n">
        <v>2</v>
      </c>
      <c r="T333" s="0" t="n">
        <v>3</v>
      </c>
      <c r="U333" s="21" t="s">
        <v>1957</v>
      </c>
      <c r="V333" s="21" t="s">
        <v>116</v>
      </c>
      <c r="W333" s="21" t="s">
        <v>313</v>
      </c>
      <c r="X333" s="0" t="n">
        <v>5.2</v>
      </c>
      <c r="Y333" s="0" t="n">
        <v>17.5</v>
      </c>
      <c r="Z333" s="0" t="n">
        <v>111.9</v>
      </c>
      <c r="AA333" s="21" t="s">
        <v>1958</v>
      </c>
      <c r="AB333" s="21" t="s">
        <v>1959</v>
      </c>
      <c r="AC333" s="21" t="s">
        <v>120</v>
      </c>
      <c r="AD333" s="0" t="n">
        <v>194</v>
      </c>
      <c r="AE333" s="22" t="b">
        <f aca="false">FALSE()</f>
        <v>0</v>
      </c>
      <c r="AF333" s="21" t="s">
        <v>121</v>
      </c>
      <c r="AG333" s="21" t="s">
        <v>1960</v>
      </c>
    </row>
    <row r="334" customFormat="false" ht="15" hidden="false" customHeight="false" outlineLevel="0" collapsed="false">
      <c r="A334" s="0" t="s">
        <v>1961</v>
      </c>
      <c r="B334" s="18" t="s">
        <v>109</v>
      </c>
      <c r="C334" s="19" t="s">
        <v>26</v>
      </c>
      <c r="D334" s="20" t="s">
        <v>31</v>
      </c>
      <c r="E334" s="21" t="s">
        <v>1962</v>
      </c>
      <c r="G334" s="21" t="s">
        <v>127</v>
      </c>
      <c r="H334" s="21" t="s">
        <v>170</v>
      </c>
      <c r="I334" s="21" t="s">
        <v>113</v>
      </c>
      <c r="J334" s="21" t="s">
        <v>134</v>
      </c>
      <c r="K334" s="0" t="n">
        <v>4</v>
      </c>
      <c r="L334" s="0" t="n">
        <v>2</v>
      </c>
      <c r="M334" s="0" t="n">
        <v>1</v>
      </c>
      <c r="N334" s="0" t="n">
        <v>1</v>
      </c>
      <c r="O334" s="0" t="n">
        <v>0</v>
      </c>
      <c r="P334" s="0" t="n">
        <v>3</v>
      </c>
      <c r="Q334" s="0" t="n">
        <v>0</v>
      </c>
      <c r="R334" s="0" t="n">
        <v>0</v>
      </c>
      <c r="S334" s="0" t="n">
        <v>3</v>
      </c>
      <c r="T334" s="0" t="n">
        <v>1</v>
      </c>
      <c r="U334" s="21" t="s">
        <v>1963</v>
      </c>
      <c r="V334" s="21" t="s">
        <v>116</v>
      </c>
      <c r="W334" s="21" t="s">
        <v>1964</v>
      </c>
      <c r="X334" s="0" t="n">
        <v>2.35</v>
      </c>
      <c r="Y334" s="0" t="n">
        <v>12.4</v>
      </c>
      <c r="Z334" s="0" t="n">
        <v>58.4</v>
      </c>
      <c r="AA334" s="21" t="s">
        <v>1965</v>
      </c>
      <c r="AB334" s="21" t="s">
        <v>1966</v>
      </c>
      <c r="AC334" s="21" t="s">
        <v>120</v>
      </c>
      <c r="AD334" s="0" t="n">
        <v>95</v>
      </c>
      <c r="AE334" s="22" t="b">
        <f aca="false">FALSE()</f>
        <v>0</v>
      </c>
      <c r="AF334" s="21" t="s">
        <v>121</v>
      </c>
      <c r="AG334" s="21" t="s">
        <v>1967</v>
      </c>
    </row>
    <row r="335" customFormat="false" ht="15" hidden="false" customHeight="false" outlineLevel="0" collapsed="false">
      <c r="A335" s="0" t="s">
        <v>1968</v>
      </c>
      <c r="B335" s="18" t="s">
        <v>109</v>
      </c>
      <c r="C335" s="20" t="s">
        <v>25</v>
      </c>
      <c r="D335" s="23" t="s">
        <v>30</v>
      </c>
      <c r="E335" s="21" t="s">
        <v>1969</v>
      </c>
      <c r="G335" s="21" t="s">
        <v>111</v>
      </c>
      <c r="H335" s="21" t="s">
        <v>439</v>
      </c>
      <c r="I335" s="21" t="s">
        <v>113</v>
      </c>
      <c r="J335" s="21" t="s">
        <v>114</v>
      </c>
      <c r="K335" s="0" t="n">
        <v>8</v>
      </c>
      <c r="L335" s="0" t="n">
        <v>3</v>
      </c>
      <c r="M335" s="0" t="n">
        <v>5</v>
      </c>
      <c r="N335" s="0" t="n">
        <v>0</v>
      </c>
      <c r="O335" s="0" t="n">
        <v>0</v>
      </c>
      <c r="P335" s="0" t="n">
        <v>8</v>
      </c>
      <c r="Q335" s="0" t="n">
        <v>0</v>
      </c>
      <c r="R335" s="0" t="n">
        <v>0</v>
      </c>
      <c r="S335" s="0" t="n">
        <v>8</v>
      </c>
      <c r="T335" s="0" t="n">
        <v>0</v>
      </c>
      <c r="U335" s="21" t="s">
        <v>1970</v>
      </c>
      <c r="V335" s="21" t="s">
        <v>116</v>
      </c>
      <c r="W335" s="21" t="s">
        <v>163</v>
      </c>
      <c r="X335" s="0" t="n">
        <v>1.19</v>
      </c>
      <c r="Y335" s="0" t="n">
        <v>16.8</v>
      </c>
      <c r="Z335" s="0" t="n">
        <v>112.9</v>
      </c>
      <c r="AA335" s="21" t="s">
        <v>1971</v>
      </c>
      <c r="AB335" s="21" t="s">
        <v>1972</v>
      </c>
      <c r="AC335" s="21" t="s">
        <v>120</v>
      </c>
      <c r="AD335" s="0" t="n">
        <v>196</v>
      </c>
      <c r="AE335" s="22" t="b">
        <f aca="false">FALSE()</f>
        <v>0</v>
      </c>
      <c r="AF335" s="21" t="s">
        <v>121</v>
      </c>
      <c r="AG335" s="21" t="s">
        <v>1973</v>
      </c>
    </row>
    <row r="336" customFormat="false" ht="15" hidden="false" customHeight="false" outlineLevel="0" collapsed="false">
      <c r="A336" s="0" t="s">
        <v>1974</v>
      </c>
      <c r="B336" s="20" t="s">
        <v>124</v>
      </c>
      <c r="E336" s="21" t="s">
        <v>805</v>
      </c>
      <c r="F336" s="21" t="s">
        <v>806</v>
      </c>
      <c r="G336" s="21" t="s">
        <v>127</v>
      </c>
      <c r="H336" s="21" t="s">
        <v>390</v>
      </c>
      <c r="I336" s="21" t="s">
        <v>113</v>
      </c>
      <c r="Z336" s="0" t="n">
        <v>0</v>
      </c>
      <c r="AA336" s="21" t="s">
        <v>1975</v>
      </c>
      <c r="AB336" s="21" t="s">
        <v>1975</v>
      </c>
      <c r="AE336" s="22" t="b">
        <f aca="false">FALSE()</f>
        <v>0</v>
      </c>
      <c r="AF336" s="21" t="s">
        <v>121</v>
      </c>
      <c r="AG336" s="21" t="s">
        <v>1976</v>
      </c>
    </row>
    <row r="337" customFormat="false" ht="15" hidden="false" customHeight="false" outlineLevel="0" collapsed="false">
      <c r="A337" s="0" t="s">
        <v>1977</v>
      </c>
      <c r="B337" s="20" t="s">
        <v>124</v>
      </c>
      <c r="E337" s="21" t="s">
        <v>1978</v>
      </c>
      <c r="F337" s="21" t="s">
        <v>1979</v>
      </c>
      <c r="G337" s="21" t="s">
        <v>127</v>
      </c>
      <c r="H337" s="21" t="s">
        <v>170</v>
      </c>
      <c r="I337" s="21" t="s">
        <v>113</v>
      </c>
      <c r="Z337" s="0" t="n">
        <v>0</v>
      </c>
      <c r="AA337" s="21" t="s">
        <v>1980</v>
      </c>
      <c r="AB337" s="21" t="s">
        <v>1980</v>
      </c>
      <c r="AE337" s="22" t="b">
        <f aca="false">FALSE()</f>
        <v>0</v>
      </c>
      <c r="AF337" s="21" t="s">
        <v>121</v>
      </c>
      <c r="AG337" s="21" t="s">
        <v>1981</v>
      </c>
    </row>
    <row r="338" customFormat="false" ht="15" hidden="false" customHeight="false" outlineLevel="0" collapsed="false">
      <c r="A338" s="0" t="s">
        <v>1982</v>
      </c>
      <c r="B338" s="18" t="s">
        <v>109</v>
      </c>
      <c r="C338" s="18" t="s">
        <v>24</v>
      </c>
      <c r="D338" s="18" t="s">
        <v>28</v>
      </c>
      <c r="E338" s="21" t="s">
        <v>1983</v>
      </c>
      <c r="G338" s="21" t="s">
        <v>127</v>
      </c>
      <c r="H338" s="21" t="s">
        <v>352</v>
      </c>
      <c r="I338" s="21" t="s">
        <v>113</v>
      </c>
      <c r="J338" s="21" t="s">
        <v>134</v>
      </c>
      <c r="K338" s="0" t="n">
        <v>4</v>
      </c>
      <c r="L338" s="0" t="n">
        <v>4</v>
      </c>
      <c r="M338" s="0" t="n">
        <v>0</v>
      </c>
      <c r="N338" s="0" t="n">
        <v>0</v>
      </c>
      <c r="O338" s="0" t="n">
        <v>0</v>
      </c>
      <c r="P338" s="0" t="n">
        <v>4</v>
      </c>
      <c r="Q338" s="0" t="n">
        <v>4</v>
      </c>
      <c r="R338" s="0" t="n">
        <v>0</v>
      </c>
      <c r="S338" s="0" t="n">
        <v>0</v>
      </c>
      <c r="T338" s="0" t="n">
        <v>0</v>
      </c>
      <c r="X338" s="0" t="n">
        <v>3.25</v>
      </c>
      <c r="Y338" s="0" t="n">
        <v>10.4</v>
      </c>
      <c r="Z338" s="0" t="n">
        <v>57.9</v>
      </c>
      <c r="AA338" s="21" t="s">
        <v>1984</v>
      </c>
      <c r="AB338" s="21" t="s">
        <v>1985</v>
      </c>
      <c r="AC338" s="21" t="s">
        <v>120</v>
      </c>
      <c r="AD338" s="0" t="n">
        <v>95</v>
      </c>
      <c r="AE338" s="22" t="b">
        <f aca="false">FALSE()</f>
        <v>0</v>
      </c>
      <c r="AF338" s="21" t="s">
        <v>121</v>
      </c>
      <c r="AG338" s="21" t="s">
        <v>1986</v>
      </c>
    </row>
    <row r="339" customFormat="false" ht="15" hidden="false" customHeight="false" outlineLevel="0" collapsed="false">
      <c r="A339" s="0" t="s">
        <v>1987</v>
      </c>
      <c r="B339" s="18" t="s">
        <v>109</v>
      </c>
      <c r="C339" s="20" t="s">
        <v>25</v>
      </c>
      <c r="D339" s="23" t="s">
        <v>30</v>
      </c>
      <c r="E339" s="21" t="s">
        <v>1988</v>
      </c>
      <c r="G339" s="21" t="s">
        <v>127</v>
      </c>
      <c r="H339" s="21" t="s">
        <v>352</v>
      </c>
      <c r="I339" s="21" t="s">
        <v>113</v>
      </c>
      <c r="J339" s="21" t="s">
        <v>134</v>
      </c>
      <c r="K339" s="0" t="n">
        <v>4</v>
      </c>
      <c r="L339" s="0" t="n">
        <v>0</v>
      </c>
      <c r="M339" s="0" t="n">
        <v>4</v>
      </c>
      <c r="N339" s="0" t="n">
        <v>0</v>
      </c>
      <c r="O339" s="0" t="n">
        <v>0</v>
      </c>
      <c r="P339" s="0" t="n">
        <v>4</v>
      </c>
      <c r="Q339" s="0" t="n">
        <v>0</v>
      </c>
      <c r="R339" s="0" t="n">
        <v>1</v>
      </c>
      <c r="S339" s="0" t="n">
        <v>3</v>
      </c>
      <c r="T339" s="0" t="n">
        <v>0</v>
      </c>
      <c r="U339" s="21" t="s">
        <v>1989</v>
      </c>
      <c r="V339" s="21" t="s">
        <v>69</v>
      </c>
      <c r="W339" s="21" t="s">
        <v>1152</v>
      </c>
      <c r="X339" s="0" t="n">
        <v>0.82</v>
      </c>
      <c r="Y339" s="0" t="n">
        <v>10.5</v>
      </c>
      <c r="Z339" s="0" t="n">
        <v>61.4</v>
      </c>
      <c r="AA339" s="21" t="s">
        <v>1990</v>
      </c>
      <c r="AB339" s="21" t="s">
        <v>1991</v>
      </c>
      <c r="AC339" s="21" t="s">
        <v>120</v>
      </c>
      <c r="AD339" s="0" t="n">
        <v>100</v>
      </c>
      <c r="AE339" s="22" t="b">
        <f aca="false">FALSE()</f>
        <v>0</v>
      </c>
      <c r="AF339" s="21" t="s">
        <v>121</v>
      </c>
      <c r="AG339" s="21" t="s">
        <v>1992</v>
      </c>
    </row>
    <row r="340" customFormat="false" ht="15" hidden="false" customHeight="false" outlineLevel="0" collapsed="false">
      <c r="A340" s="0" t="s">
        <v>1993</v>
      </c>
      <c r="B340" s="20" t="s">
        <v>124</v>
      </c>
      <c r="E340" s="21" t="s">
        <v>727</v>
      </c>
      <c r="F340" s="21" t="s">
        <v>728</v>
      </c>
      <c r="G340" s="21" t="s">
        <v>111</v>
      </c>
      <c r="H340" s="21" t="s">
        <v>729</v>
      </c>
      <c r="I340" s="21" t="s">
        <v>171</v>
      </c>
      <c r="Z340" s="0" t="n">
        <v>0</v>
      </c>
      <c r="AA340" s="21" t="s">
        <v>1994</v>
      </c>
      <c r="AB340" s="21" t="s">
        <v>1994</v>
      </c>
      <c r="AE340" s="22" t="b">
        <f aca="false">FALSE()</f>
        <v>0</v>
      </c>
      <c r="AF340" s="21" t="s">
        <v>121</v>
      </c>
      <c r="AG340" s="21" t="s">
        <v>1995</v>
      </c>
    </row>
    <row r="341" customFormat="false" ht="15" hidden="false" customHeight="false" outlineLevel="0" collapsed="false">
      <c r="A341" s="0" t="s">
        <v>1996</v>
      </c>
      <c r="B341" s="18" t="s">
        <v>109</v>
      </c>
      <c r="C341" s="19" t="s">
        <v>26</v>
      </c>
      <c r="D341" s="20" t="s">
        <v>31</v>
      </c>
      <c r="E341" s="21" t="s">
        <v>1997</v>
      </c>
      <c r="G341" s="21" t="s">
        <v>111</v>
      </c>
      <c r="H341" s="21" t="s">
        <v>468</v>
      </c>
      <c r="I341" s="21" t="s">
        <v>113</v>
      </c>
      <c r="J341" s="21" t="s">
        <v>114</v>
      </c>
      <c r="K341" s="0" t="n">
        <v>8</v>
      </c>
      <c r="L341" s="0" t="n">
        <v>1</v>
      </c>
      <c r="M341" s="0" t="n">
        <v>3</v>
      </c>
      <c r="N341" s="0" t="n">
        <v>4</v>
      </c>
      <c r="O341" s="0" t="n">
        <v>0</v>
      </c>
      <c r="P341" s="0" t="n">
        <v>4</v>
      </c>
      <c r="Q341" s="0" t="n">
        <v>1</v>
      </c>
      <c r="R341" s="0" t="n">
        <v>0</v>
      </c>
      <c r="S341" s="0" t="n">
        <v>3</v>
      </c>
      <c r="T341" s="0" t="n">
        <v>4</v>
      </c>
      <c r="U341" s="21" t="s">
        <v>1998</v>
      </c>
      <c r="V341" s="21" t="s">
        <v>69</v>
      </c>
      <c r="W341" s="21" t="s">
        <v>301</v>
      </c>
      <c r="X341" s="0" t="n">
        <v>1.22</v>
      </c>
      <c r="Y341" s="0" t="n">
        <v>17.8</v>
      </c>
      <c r="Z341" s="0" t="n">
        <v>110.1</v>
      </c>
      <c r="AA341" s="21" t="s">
        <v>1999</v>
      </c>
      <c r="AB341" s="21" t="s">
        <v>1688</v>
      </c>
      <c r="AC341" s="21" t="s">
        <v>120</v>
      </c>
      <c r="AD341" s="0" t="n">
        <v>192</v>
      </c>
      <c r="AE341" s="22" t="b">
        <f aca="false">FALSE()</f>
        <v>0</v>
      </c>
      <c r="AF341" s="21" t="s">
        <v>121</v>
      </c>
      <c r="AG341" s="21" t="s">
        <v>2000</v>
      </c>
    </row>
    <row r="342" customFormat="false" ht="15" hidden="false" customHeight="false" outlineLevel="0" collapsed="false">
      <c r="A342" s="0" t="s">
        <v>2001</v>
      </c>
      <c r="B342" s="18" t="s">
        <v>109</v>
      </c>
      <c r="C342" s="20" t="s">
        <v>25</v>
      </c>
      <c r="D342" s="23" t="s">
        <v>30</v>
      </c>
      <c r="E342" s="21" t="s">
        <v>2002</v>
      </c>
      <c r="G342" s="21" t="s">
        <v>127</v>
      </c>
      <c r="H342" s="21" t="s">
        <v>289</v>
      </c>
      <c r="I342" s="21" t="s">
        <v>113</v>
      </c>
      <c r="J342" s="21" t="s">
        <v>114</v>
      </c>
      <c r="K342" s="0" t="n">
        <v>8</v>
      </c>
      <c r="L342" s="0" t="n">
        <v>0</v>
      </c>
      <c r="M342" s="0" t="n">
        <v>8</v>
      </c>
      <c r="N342" s="0" t="n">
        <v>0</v>
      </c>
      <c r="O342" s="0" t="n">
        <v>0</v>
      </c>
      <c r="P342" s="0" t="n">
        <v>8</v>
      </c>
      <c r="Q342" s="0" t="n">
        <v>0</v>
      </c>
      <c r="R342" s="0" t="n">
        <v>6</v>
      </c>
      <c r="S342" s="0" t="n">
        <v>2</v>
      </c>
      <c r="T342" s="0" t="n">
        <v>0</v>
      </c>
      <c r="U342" s="21" t="s">
        <v>2003</v>
      </c>
      <c r="V342" s="21" t="s">
        <v>69</v>
      </c>
      <c r="W342" s="21" t="s">
        <v>376</v>
      </c>
      <c r="X342" s="0" t="n">
        <v>1.31</v>
      </c>
      <c r="Y342" s="0" t="n">
        <v>22.5</v>
      </c>
      <c r="Z342" s="0" t="n">
        <v>116.3</v>
      </c>
      <c r="AA342" s="21" t="s">
        <v>2004</v>
      </c>
      <c r="AB342" s="21" t="s">
        <v>2005</v>
      </c>
      <c r="AC342" s="21" t="s">
        <v>120</v>
      </c>
      <c r="AD342" s="0" t="n">
        <v>193</v>
      </c>
      <c r="AE342" s="22" t="b">
        <f aca="false">FALSE()</f>
        <v>0</v>
      </c>
      <c r="AF342" s="21" t="s">
        <v>121</v>
      </c>
      <c r="AG342" s="21" t="s">
        <v>2006</v>
      </c>
    </row>
    <row r="343" customFormat="false" ht="15" hidden="false" customHeight="false" outlineLevel="0" collapsed="false">
      <c r="A343" s="0" t="s">
        <v>2007</v>
      </c>
      <c r="B343" s="20" t="s">
        <v>124</v>
      </c>
      <c r="E343" s="21" t="s">
        <v>805</v>
      </c>
      <c r="F343" s="21" t="s">
        <v>806</v>
      </c>
      <c r="G343" s="21" t="s">
        <v>127</v>
      </c>
      <c r="H343" s="21" t="s">
        <v>275</v>
      </c>
      <c r="I343" s="21" t="s">
        <v>113</v>
      </c>
      <c r="Z343" s="0" t="n">
        <v>0</v>
      </c>
      <c r="AA343" s="21" t="s">
        <v>2008</v>
      </c>
      <c r="AB343" s="21" t="s">
        <v>2008</v>
      </c>
      <c r="AE343" s="22" t="b">
        <f aca="false">FALSE()</f>
        <v>0</v>
      </c>
      <c r="AF343" s="21" t="s">
        <v>121</v>
      </c>
      <c r="AG343" s="21" t="s">
        <v>2009</v>
      </c>
    </row>
    <row r="344" customFormat="false" ht="15" hidden="false" customHeight="false" outlineLevel="0" collapsed="false">
      <c r="A344" s="0" t="s">
        <v>2010</v>
      </c>
      <c r="B344" s="18" t="s">
        <v>109</v>
      </c>
      <c r="C344" s="19" t="s">
        <v>26</v>
      </c>
      <c r="D344" s="20" t="s">
        <v>31</v>
      </c>
      <c r="E344" s="21" t="s">
        <v>2011</v>
      </c>
      <c r="G344" s="21" t="s">
        <v>111</v>
      </c>
      <c r="H344" s="21" t="s">
        <v>953</v>
      </c>
      <c r="I344" s="21" t="s">
        <v>113</v>
      </c>
      <c r="J344" s="21" t="s">
        <v>134</v>
      </c>
      <c r="K344" s="0" t="n">
        <v>4</v>
      </c>
      <c r="L344" s="0" t="n">
        <v>1</v>
      </c>
      <c r="M344" s="0" t="n">
        <v>2</v>
      </c>
      <c r="N344" s="0" t="n">
        <v>1</v>
      </c>
      <c r="O344" s="0" t="n">
        <v>0</v>
      </c>
      <c r="P344" s="0" t="n">
        <v>3</v>
      </c>
      <c r="Q344" s="0" t="n">
        <v>1</v>
      </c>
      <c r="R344" s="0" t="n">
        <v>1</v>
      </c>
      <c r="S344" s="0" t="n">
        <v>1</v>
      </c>
      <c r="T344" s="0" t="n">
        <v>1</v>
      </c>
      <c r="U344" s="21" t="s">
        <v>2012</v>
      </c>
      <c r="V344" s="21" t="s">
        <v>69</v>
      </c>
      <c r="W344" s="21" t="s">
        <v>1802</v>
      </c>
      <c r="X344" s="0" t="n">
        <v>2.54</v>
      </c>
      <c r="Y344" s="0" t="n">
        <v>11.3</v>
      </c>
      <c r="Z344" s="0" t="n">
        <v>59.7</v>
      </c>
      <c r="AA344" s="21" t="s">
        <v>2013</v>
      </c>
      <c r="AB344" s="21" t="s">
        <v>2014</v>
      </c>
      <c r="AC344" s="21" t="s">
        <v>120</v>
      </c>
      <c r="AD344" s="0" t="n">
        <v>96</v>
      </c>
      <c r="AE344" s="22" t="b">
        <f aca="false">FALSE()</f>
        <v>0</v>
      </c>
      <c r="AF344" s="21" t="s">
        <v>121</v>
      </c>
      <c r="AG344" s="21" t="s">
        <v>2015</v>
      </c>
    </row>
    <row r="345" customFormat="false" ht="15" hidden="false" customHeight="false" outlineLevel="0" collapsed="false">
      <c r="A345" s="0" t="s">
        <v>2016</v>
      </c>
      <c r="B345" s="18" t="s">
        <v>109</v>
      </c>
      <c r="C345" s="18" t="s">
        <v>24</v>
      </c>
      <c r="D345" s="23" t="s">
        <v>30</v>
      </c>
      <c r="E345" s="21" t="s">
        <v>2017</v>
      </c>
      <c r="G345" s="21" t="s">
        <v>127</v>
      </c>
      <c r="H345" s="21" t="s">
        <v>289</v>
      </c>
      <c r="I345" s="21" t="s">
        <v>113</v>
      </c>
      <c r="J345" s="21" t="s">
        <v>134</v>
      </c>
      <c r="K345" s="0" t="n">
        <v>4</v>
      </c>
      <c r="L345" s="0" t="n">
        <v>4</v>
      </c>
      <c r="M345" s="0" t="n">
        <v>0</v>
      </c>
      <c r="N345" s="0" t="n">
        <v>0</v>
      </c>
      <c r="O345" s="0" t="n">
        <v>0</v>
      </c>
      <c r="P345" s="0" t="n">
        <v>4</v>
      </c>
      <c r="Q345" s="0" t="n">
        <v>3</v>
      </c>
      <c r="R345" s="0" t="n">
        <v>0</v>
      </c>
      <c r="S345" s="0" t="n">
        <v>1</v>
      </c>
      <c r="T345" s="0" t="n">
        <v>0</v>
      </c>
      <c r="U345" s="21" t="s">
        <v>2018</v>
      </c>
      <c r="W345" s="21" t="s">
        <v>30</v>
      </c>
      <c r="X345" s="0" t="n">
        <v>6.99</v>
      </c>
      <c r="Y345" s="0" t="n">
        <v>12</v>
      </c>
      <c r="Z345" s="0" t="n">
        <v>61.3</v>
      </c>
      <c r="AA345" s="21" t="s">
        <v>994</v>
      </c>
      <c r="AB345" s="21" t="s">
        <v>2019</v>
      </c>
      <c r="AC345" s="21" t="s">
        <v>120</v>
      </c>
      <c r="AD345" s="0" t="n">
        <v>105</v>
      </c>
      <c r="AE345" s="22" t="b">
        <f aca="false">FALSE()</f>
        <v>0</v>
      </c>
      <c r="AF345" s="21" t="s">
        <v>121</v>
      </c>
      <c r="AG345" s="21" t="s">
        <v>2020</v>
      </c>
    </row>
    <row r="346" customFormat="false" ht="15" hidden="false" customHeight="false" outlineLevel="0" collapsed="false">
      <c r="A346" s="0" t="s">
        <v>2021</v>
      </c>
      <c r="B346" s="18" t="s">
        <v>109</v>
      </c>
      <c r="C346" s="19" t="s">
        <v>26</v>
      </c>
      <c r="D346" s="20" t="s">
        <v>31</v>
      </c>
      <c r="E346" s="21" t="s">
        <v>2022</v>
      </c>
      <c r="G346" s="21" t="s">
        <v>111</v>
      </c>
      <c r="H346" s="21" t="s">
        <v>397</v>
      </c>
      <c r="I346" s="21" t="s">
        <v>113</v>
      </c>
      <c r="J346" s="21" t="s">
        <v>134</v>
      </c>
      <c r="K346" s="0" t="n">
        <v>4</v>
      </c>
      <c r="L346" s="0" t="n">
        <v>2</v>
      </c>
      <c r="M346" s="0" t="n">
        <v>1</v>
      </c>
      <c r="N346" s="0" t="n">
        <v>1</v>
      </c>
      <c r="O346" s="0" t="n">
        <v>0</v>
      </c>
      <c r="P346" s="0" t="n">
        <v>3</v>
      </c>
      <c r="Q346" s="0" t="n">
        <v>1</v>
      </c>
      <c r="R346" s="0" t="n">
        <v>1</v>
      </c>
      <c r="S346" s="0" t="n">
        <v>1</v>
      </c>
      <c r="T346" s="0" t="n">
        <v>1</v>
      </c>
      <c r="U346" s="21" t="s">
        <v>2023</v>
      </c>
      <c r="W346" s="21" t="s">
        <v>1274</v>
      </c>
      <c r="X346" s="0" t="n">
        <v>1.53</v>
      </c>
      <c r="Y346" s="0" t="n">
        <v>8.2</v>
      </c>
      <c r="Z346" s="0" t="n">
        <v>69.2</v>
      </c>
      <c r="AA346" s="21" t="s">
        <v>2024</v>
      </c>
      <c r="AB346" s="21" t="s">
        <v>2025</v>
      </c>
      <c r="AC346" s="21" t="s">
        <v>120</v>
      </c>
      <c r="AD346" s="0" t="n">
        <v>95</v>
      </c>
      <c r="AE346" s="22" t="b">
        <f aca="false">FALSE()</f>
        <v>0</v>
      </c>
      <c r="AF346" s="21" t="s">
        <v>121</v>
      </c>
      <c r="AG346" s="21" t="s">
        <v>2026</v>
      </c>
    </row>
    <row r="347" customFormat="false" ht="15" hidden="false" customHeight="false" outlineLevel="0" collapsed="false">
      <c r="A347" s="0" t="s">
        <v>2027</v>
      </c>
      <c r="B347" s="18" t="s">
        <v>109</v>
      </c>
      <c r="C347" s="20" t="s">
        <v>25</v>
      </c>
      <c r="D347" s="23" t="s">
        <v>30</v>
      </c>
      <c r="E347" s="21" t="s">
        <v>2028</v>
      </c>
      <c r="G347" s="21" t="s">
        <v>127</v>
      </c>
      <c r="H347" s="21" t="s">
        <v>112</v>
      </c>
      <c r="I347" s="21" t="s">
        <v>171</v>
      </c>
      <c r="J347" s="21" t="s">
        <v>134</v>
      </c>
      <c r="K347" s="0" t="n">
        <v>4</v>
      </c>
      <c r="L347" s="0" t="n">
        <v>0</v>
      </c>
      <c r="M347" s="0" t="n">
        <v>4</v>
      </c>
      <c r="N347" s="0" t="n">
        <v>0</v>
      </c>
      <c r="O347" s="0" t="n">
        <v>0</v>
      </c>
      <c r="P347" s="0" t="n">
        <v>4</v>
      </c>
      <c r="Q347" s="0" t="n">
        <v>0</v>
      </c>
      <c r="R347" s="0" t="n">
        <v>0</v>
      </c>
      <c r="S347" s="0" t="n">
        <v>4</v>
      </c>
      <c r="T347" s="0" t="n">
        <v>0</v>
      </c>
      <c r="U347" s="21" t="s">
        <v>2029</v>
      </c>
      <c r="V347" s="21" t="s">
        <v>69</v>
      </c>
      <c r="W347" s="21" t="s">
        <v>483</v>
      </c>
      <c r="X347" s="0" t="n">
        <v>0.96</v>
      </c>
      <c r="Y347" s="0" t="n">
        <v>16.5</v>
      </c>
      <c r="Z347" s="0" t="n">
        <v>58.7</v>
      </c>
      <c r="AA347" s="21" t="s">
        <v>2030</v>
      </c>
      <c r="AB347" s="21" t="s">
        <v>2031</v>
      </c>
      <c r="AC347" s="21" t="s">
        <v>120</v>
      </c>
      <c r="AD347" s="0" t="n">
        <v>96</v>
      </c>
      <c r="AE347" s="22" t="b">
        <f aca="false">FALSE()</f>
        <v>0</v>
      </c>
      <c r="AF347" s="21" t="s">
        <v>121</v>
      </c>
      <c r="AG347" s="21" t="s">
        <v>2032</v>
      </c>
    </row>
    <row r="348" customFormat="false" ht="15" hidden="false" customHeight="false" outlineLevel="0" collapsed="false">
      <c r="A348" s="0" t="s">
        <v>2033</v>
      </c>
      <c r="B348" s="18" t="s">
        <v>109</v>
      </c>
      <c r="C348" s="19" t="s">
        <v>26</v>
      </c>
      <c r="D348" s="20" t="s">
        <v>31</v>
      </c>
      <c r="E348" s="21" t="s">
        <v>2034</v>
      </c>
      <c r="G348" s="21" t="s">
        <v>127</v>
      </c>
      <c r="H348" s="21" t="s">
        <v>953</v>
      </c>
      <c r="I348" s="21" t="s">
        <v>113</v>
      </c>
      <c r="J348" s="21" t="s">
        <v>114</v>
      </c>
      <c r="K348" s="0" t="n">
        <v>8</v>
      </c>
      <c r="L348" s="0" t="n">
        <v>2</v>
      </c>
      <c r="M348" s="0" t="n">
        <v>4</v>
      </c>
      <c r="N348" s="0" t="n">
        <v>2</v>
      </c>
      <c r="O348" s="0" t="n">
        <v>0</v>
      </c>
      <c r="P348" s="0" t="n">
        <v>6</v>
      </c>
      <c r="Q348" s="0" t="n">
        <v>1</v>
      </c>
      <c r="R348" s="0" t="n">
        <v>1</v>
      </c>
      <c r="S348" s="0" t="n">
        <v>4</v>
      </c>
      <c r="T348" s="0" t="n">
        <v>2</v>
      </c>
      <c r="U348" s="21" t="s">
        <v>2035</v>
      </c>
      <c r="V348" s="21" t="s">
        <v>69</v>
      </c>
      <c r="W348" s="21" t="s">
        <v>705</v>
      </c>
      <c r="X348" s="0" t="n">
        <v>2.06</v>
      </c>
      <c r="Y348" s="0" t="n">
        <v>11.5</v>
      </c>
      <c r="Z348" s="0" t="n">
        <v>111.6</v>
      </c>
      <c r="AA348" s="21" t="s">
        <v>2036</v>
      </c>
      <c r="AB348" s="21" t="s">
        <v>2037</v>
      </c>
      <c r="AC348" s="21" t="s">
        <v>120</v>
      </c>
      <c r="AD348" s="0" t="n">
        <v>195</v>
      </c>
      <c r="AE348" s="22" t="b">
        <f aca="false">FALSE()</f>
        <v>0</v>
      </c>
      <c r="AF348" s="21" t="s">
        <v>121</v>
      </c>
      <c r="AG348" s="21" t="s">
        <v>2038</v>
      </c>
    </row>
    <row r="349" customFormat="false" ht="15" hidden="false" customHeight="false" outlineLevel="0" collapsed="false">
      <c r="A349" s="0" t="s">
        <v>2039</v>
      </c>
      <c r="B349" s="18" t="s">
        <v>109</v>
      </c>
      <c r="C349" s="19" t="s">
        <v>26</v>
      </c>
      <c r="D349" s="20" t="s">
        <v>31</v>
      </c>
      <c r="E349" s="21" t="s">
        <v>2040</v>
      </c>
      <c r="G349" s="21" t="s">
        <v>111</v>
      </c>
      <c r="H349" s="21" t="s">
        <v>217</v>
      </c>
      <c r="I349" s="21" t="s">
        <v>113</v>
      </c>
      <c r="J349" s="21" t="s">
        <v>114</v>
      </c>
      <c r="K349" s="0" t="n">
        <v>8</v>
      </c>
      <c r="L349" s="0" t="n">
        <v>0</v>
      </c>
      <c r="M349" s="0" t="n">
        <v>5</v>
      </c>
      <c r="N349" s="0" t="n">
        <v>3</v>
      </c>
      <c r="O349" s="0" t="n">
        <v>0</v>
      </c>
      <c r="P349" s="0" t="n">
        <v>5</v>
      </c>
      <c r="Q349" s="0" t="n">
        <v>0</v>
      </c>
      <c r="R349" s="0" t="n">
        <v>1</v>
      </c>
      <c r="S349" s="0" t="n">
        <v>4</v>
      </c>
      <c r="T349" s="0" t="n">
        <v>3</v>
      </c>
      <c r="U349" s="21" t="s">
        <v>2041</v>
      </c>
      <c r="V349" s="21" t="s">
        <v>69</v>
      </c>
      <c r="W349" s="21" t="s">
        <v>2042</v>
      </c>
      <c r="X349" s="0" t="n">
        <v>1.65</v>
      </c>
      <c r="Y349" s="0" t="n">
        <v>20.7</v>
      </c>
      <c r="Z349" s="0" t="n">
        <v>111.3</v>
      </c>
      <c r="AA349" s="21" t="s">
        <v>2043</v>
      </c>
      <c r="AB349" s="21" t="s">
        <v>2044</v>
      </c>
      <c r="AC349" s="21" t="s">
        <v>120</v>
      </c>
      <c r="AD349" s="0" t="n">
        <v>198</v>
      </c>
      <c r="AE349" s="22" t="b">
        <f aca="false">FALSE()</f>
        <v>0</v>
      </c>
      <c r="AF349" s="21" t="s">
        <v>121</v>
      </c>
      <c r="AG349" s="21" t="s">
        <v>2045</v>
      </c>
    </row>
    <row r="350" customFormat="false" ht="15" hidden="false" customHeight="false" outlineLevel="0" collapsed="false">
      <c r="A350" s="0" t="s">
        <v>2046</v>
      </c>
      <c r="B350" s="20" t="s">
        <v>124</v>
      </c>
      <c r="E350" s="21" t="s">
        <v>727</v>
      </c>
      <c r="F350" s="21" t="s">
        <v>728</v>
      </c>
      <c r="G350" s="21" t="s">
        <v>111</v>
      </c>
      <c r="H350" s="21" t="s">
        <v>729</v>
      </c>
      <c r="I350" s="21" t="s">
        <v>113</v>
      </c>
      <c r="Z350" s="0" t="n">
        <v>0</v>
      </c>
      <c r="AA350" s="21" t="s">
        <v>2047</v>
      </c>
      <c r="AB350" s="21" t="s">
        <v>2047</v>
      </c>
      <c r="AE350" s="22" t="b">
        <f aca="false">FALSE()</f>
        <v>0</v>
      </c>
      <c r="AF350" s="21" t="s">
        <v>121</v>
      </c>
      <c r="AG350" s="21" t="s">
        <v>2048</v>
      </c>
    </row>
    <row r="351" customFormat="false" ht="15" hidden="false" customHeight="false" outlineLevel="0" collapsed="false">
      <c r="A351" s="0" t="s">
        <v>2049</v>
      </c>
      <c r="B351" s="18" t="s">
        <v>109</v>
      </c>
      <c r="C351" s="19" t="s">
        <v>26</v>
      </c>
      <c r="D351" s="20" t="s">
        <v>31</v>
      </c>
      <c r="E351" s="21" t="s">
        <v>2050</v>
      </c>
      <c r="G351" s="21" t="s">
        <v>111</v>
      </c>
      <c r="H351" s="21" t="s">
        <v>299</v>
      </c>
      <c r="I351" s="21" t="s">
        <v>113</v>
      </c>
      <c r="J351" s="21" t="s">
        <v>134</v>
      </c>
      <c r="K351" s="0" t="n">
        <v>4</v>
      </c>
      <c r="L351" s="0" t="n">
        <v>0</v>
      </c>
      <c r="M351" s="0" t="n">
        <v>2</v>
      </c>
      <c r="N351" s="0" t="n">
        <v>2</v>
      </c>
      <c r="O351" s="0" t="n">
        <v>0</v>
      </c>
      <c r="P351" s="0" t="n">
        <v>2</v>
      </c>
      <c r="Q351" s="0" t="n">
        <v>0</v>
      </c>
      <c r="R351" s="0" t="n">
        <v>0</v>
      </c>
      <c r="S351" s="0" t="n">
        <v>2</v>
      </c>
      <c r="T351" s="0" t="n">
        <v>2</v>
      </c>
      <c r="U351" s="21" t="s">
        <v>2051</v>
      </c>
      <c r="V351" s="21" t="s">
        <v>69</v>
      </c>
      <c r="W351" s="21" t="s">
        <v>117</v>
      </c>
      <c r="X351" s="0" t="n">
        <v>1.85</v>
      </c>
      <c r="Y351" s="0" t="n">
        <v>20.2</v>
      </c>
      <c r="Z351" s="0" t="n">
        <v>59.2</v>
      </c>
      <c r="AA351" s="21" t="s">
        <v>2052</v>
      </c>
      <c r="AB351" s="21" t="s">
        <v>2053</v>
      </c>
      <c r="AC351" s="21" t="s">
        <v>120</v>
      </c>
      <c r="AD351" s="0" t="n">
        <v>97</v>
      </c>
      <c r="AE351" s="22" t="b">
        <f aca="false">FALSE()</f>
        <v>0</v>
      </c>
      <c r="AF351" s="21" t="s">
        <v>121</v>
      </c>
      <c r="AG351" s="21" t="s">
        <v>2054</v>
      </c>
    </row>
    <row r="352" customFormat="false" ht="15" hidden="false" customHeight="false" outlineLevel="0" collapsed="false">
      <c r="A352" s="0" t="s">
        <v>2055</v>
      </c>
      <c r="B352" s="18" t="s">
        <v>109</v>
      </c>
      <c r="C352" s="19" t="s">
        <v>26</v>
      </c>
      <c r="D352" s="20" t="s">
        <v>31</v>
      </c>
      <c r="E352" s="21" t="s">
        <v>2056</v>
      </c>
      <c r="G352" s="21" t="s">
        <v>111</v>
      </c>
      <c r="H352" s="21" t="s">
        <v>269</v>
      </c>
      <c r="I352" s="21" t="s">
        <v>113</v>
      </c>
      <c r="J352" s="21" t="s">
        <v>114</v>
      </c>
      <c r="K352" s="0" t="n">
        <v>8</v>
      </c>
      <c r="L352" s="0" t="n">
        <v>1</v>
      </c>
      <c r="M352" s="0" t="n">
        <v>6</v>
      </c>
      <c r="N352" s="0" t="n">
        <v>1</v>
      </c>
      <c r="O352" s="0" t="n">
        <v>0</v>
      </c>
      <c r="P352" s="0" t="n">
        <v>7</v>
      </c>
      <c r="Q352" s="0" t="n">
        <v>0</v>
      </c>
      <c r="R352" s="0" t="n">
        <v>0</v>
      </c>
      <c r="S352" s="0" t="n">
        <v>7</v>
      </c>
      <c r="T352" s="0" t="n">
        <v>1</v>
      </c>
      <c r="U352" s="21" t="s">
        <v>2057</v>
      </c>
      <c r="V352" s="21" t="s">
        <v>69</v>
      </c>
      <c r="W352" s="21" t="s">
        <v>313</v>
      </c>
      <c r="X352" s="0" t="n">
        <v>5.62</v>
      </c>
      <c r="Y352" s="0" t="n">
        <v>22.7</v>
      </c>
      <c r="Z352" s="0" t="n">
        <v>74.7</v>
      </c>
      <c r="AA352" s="21" t="s">
        <v>2058</v>
      </c>
      <c r="AB352" s="21" t="s">
        <v>2059</v>
      </c>
      <c r="AC352" s="21" t="s">
        <v>120</v>
      </c>
      <c r="AD352" s="0" t="n">
        <v>195</v>
      </c>
      <c r="AE352" s="22" t="b">
        <f aca="false">FALSE()</f>
        <v>0</v>
      </c>
      <c r="AF352" s="21" t="s">
        <v>121</v>
      </c>
      <c r="AG352" s="21" t="s">
        <v>2060</v>
      </c>
    </row>
    <row r="353" customFormat="false" ht="15" hidden="false" customHeight="false" outlineLevel="0" collapsed="false">
      <c r="A353" s="0" t="s">
        <v>2061</v>
      </c>
      <c r="B353" s="18" t="s">
        <v>109</v>
      </c>
      <c r="C353" s="20" t="s">
        <v>25</v>
      </c>
      <c r="D353" s="23" t="s">
        <v>30</v>
      </c>
      <c r="E353" s="21" t="s">
        <v>2062</v>
      </c>
      <c r="G353" s="21" t="s">
        <v>111</v>
      </c>
      <c r="H353" s="21" t="s">
        <v>626</v>
      </c>
      <c r="I353" s="21" t="s">
        <v>113</v>
      </c>
      <c r="J353" s="21" t="s">
        <v>114</v>
      </c>
      <c r="K353" s="0" t="n">
        <v>8</v>
      </c>
      <c r="L353" s="0" t="n">
        <v>0</v>
      </c>
      <c r="M353" s="0" t="n">
        <v>8</v>
      </c>
      <c r="N353" s="0" t="n">
        <v>0</v>
      </c>
      <c r="O353" s="0" t="n">
        <v>0</v>
      </c>
      <c r="P353" s="0" t="n">
        <v>8</v>
      </c>
      <c r="Q353" s="0" t="n">
        <v>0</v>
      </c>
      <c r="R353" s="0" t="n">
        <v>3</v>
      </c>
      <c r="S353" s="0" t="n">
        <v>5</v>
      </c>
      <c r="T353" s="0" t="n">
        <v>0</v>
      </c>
      <c r="U353" s="21" t="s">
        <v>2063</v>
      </c>
      <c r="V353" s="21" t="s">
        <v>69</v>
      </c>
      <c r="W353" s="21" t="s">
        <v>1809</v>
      </c>
      <c r="X353" s="0" t="n">
        <v>2.18</v>
      </c>
      <c r="Y353" s="0" t="n">
        <v>23.4</v>
      </c>
      <c r="Z353" s="0" t="n">
        <v>142.8</v>
      </c>
      <c r="AA353" s="21" t="s">
        <v>2064</v>
      </c>
      <c r="AB353" s="21" t="s">
        <v>2065</v>
      </c>
      <c r="AC353" s="21" t="s">
        <v>120</v>
      </c>
      <c r="AD353" s="0" t="n">
        <v>194</v>
      </c>
      <c r="AE353" s="22" t="b">
        <f aca="false">FALSE()</f>
        <v>0</v>
      </c>
      <c r="AF353" s="21" t="s">
        <v>121</v>
      </c>
      <c r="AG353" s="21" t="s">
        <v>2066</v>
      </c>
    </row>
    <row r="354" customFormat="false" ht="15" hidden="false" customHeight="false" outlineLevel="0" collapsed="false">
      <c r="A354" s="0" t="s">
        <v>2067</v>
      </c>
      <c r="B354" s="18" t="s">
        <v>109</v>
      </c>
      <c r="C354" s="19" t="s">
        <v>26</v>
      </c>
      <c r="D354" s="20" t="s">
        <v>31</v>
      </c>
      <c r="E354" s="21" t="s">
        <v>2068</v>
      </c>
      <c r="G354" s="21" t="s">
        <v>111</v>
      </c>
      <c r="H354" s="21" t="s">
        <v>142</v>
      </c>
      <c r="I354" s="21" t="s">
        <v>113</v>
      </c>
      <c r="J354" s="21" t="s">
        <v>114</v>
      </c>
      <c r="K354" s="0" t="n">
        <v>8</v>
      </c>
      <c r="L354" s="0" t="n">
        <v>1</v>
      </c>
      <c r="M354" s="0" t="n">
        <v>6</v>
      </c>
      <c r="N354" s="0" t="n">
        <v>1</v>
      </c>
      <c r="O354" s="0" t="n">
        <v>0</v>
      </c>
      <c r="P354" s="0" t="n">
        <v>7</v>
      </c>
      <c r="Q354" s="0" t="n">
        <v>1</v>
      </c>
      <c r="R354" s="0" t="n">
        <v>1</v>
      </c>
      <c r="S354" s="0" t="n">
        <v>5</v>
      </c>
      <c r="T354" s="0" t="n">
        <v>1</v>
      </c>
      <c r="U354" s="21" t="s">
        <v>2069</v>
      </c>
      <c r="V354" s="21" t="s">
        <v>2070</v>
      </c>
      <c r="W354" s="21" t="s">
        <v>190</v>
      </c>
      <c r="X354" s="0" t="n">
        <v>3.89</v>
      </c>
      <c r="Y354" s="0" t="n">
        <v>12.3</v>
      </c>
      <c r="Z354" s="0" t="n">
        <v>76.9</v>
      </c>
      <c r="AA354" s="21" t="s">
        <v>2071</v>
      </c>
      <c r="AB354" s="21" t="s">
        <v>2072</v>
      </c>
      <c r="AC354" s="21" t="s">
        <v>120</v>
      </c>
      <c r="AD354" s="0" t="n">
        <v>193</v>
      </c>
      <c r="AE354" s="22" t="b">
        <f aca="false">FALSE()</f>
        <v>0</v>
      </c>
      <c r="AF354" s="21" t="s">
        <v>121</v>
      </c>
      <c r="AG354" s="21" t="s">
        <v>2073</v>
      </c>
    </row>
    <row r="355" customFormat="false" ht="15" hidden="false" customHeight="false" outlineLevel="0" collapsed="false">
      <c r="A355" s="0" t="s">
        <v>2074</v>
      </c>
      <c r="B355" s="18" t="s">
        <v>109</v>
      </c>
      <c r="C355" s="19" t="s">
        <v>26</v>
      </c>
      <c r="D355" s="20" t="s">
        <v>31</v>
      </c>
      <c r="E355" s="21" t="s">
        <v>2075</v>
      </c>
      <c r="G355" s="21" t="s">
        <v>111</v>
      </c>
      <c r="H355" s="21" t="s">
        <v>887</v>
      </c>
      <c r="I355" s="21" t="s">
        <v>113</v>
      </c>
      <c r="J355" s="21" t="s">
        <v>134</v>
      </c>
      <c r="K355" s="0" t="n">
        <v>4</v>
      </c>
      <c r="L355" s="0" t="n">
        <v>0</v>
      </c>
      <c r="M355" s="0" t="n">
        <v>3</v>
      </c>
      <c r="N355" s="0" t="n">
        <v>1</v>
      </c>
      <c r="O355" s="0" t="n">
        <v>0</v>
      </c>
      <c r="P355" s="0" t="n">
        <v>3</v>
      </c>
      <c r="Q355" s="0" t="n">
        <v>0</v>
      </c>
      <c r="R355" s="0" t="n">
        <v>1</v>
      </c>
      <c r="S355" s="0" t="n">
        <v>2</v>
      </c>
      <c r="T355" s="0" t="n">
        <v>1</v>
      </c>
      <c r="U355" s="21" t="s">
        <v>2076</v>
      </c>
      <c r="V355" s="21" t="s">
        <v>69</v>
      </c>
      <c r="W355" s="21" t="s">
        <v>239</v>
      </c>
      <c r="X355" s="0" t="n">
        <v>4.83</v>
      </c>
      <c r="Y355" s="0" t="n">
        <v>10.3</v>
      </c>
      <c r="Z355" s="0" t="n">
        <v>44.2</v>
      </c>
      <c r="AA355" s="21" t="s">
        <v>2077</v>
      </c>
      <c r="AB355" s="21" t="s">
        <v>2078</v>
      </c>
      <c r="AC355" s="21" t="s">
        <v>120</v>
      </c>
      <c r="AD355" s="0" t="n">
        <v>106</v>
      </c>
      <c r="AE355" s="22" t="b">
        <f aca="false">FALSE()</f>
        <v>0</v>
      </c>
      <c r="AF355" s="21" t="s">
        <v>121</v>
      </c>
      <c r="AG355" s="21" t="s">
        <v>2079</v>
      </c>
    </row>
    <row r="356" customFormat="false" ht="15" hidden="false" customHeight="false" outlineLevel="0" collapsed="false">
      <c r="A356" s="0" t="s">
        <v>2080</v>
      </c>
      <c r="B356" s="18" t="s">
        <v>109</v>
      </c>
      <c r="C356" s="19" t="s">
        <v>26</v>
      </c>
      <c r="D356" s="20" t="s">
        <v>31</v>
      </c>
      <c r="E356" s="21" t="s">
        <v>2081</v>
      </c>
      <c r="G356" s="21" t="s">
        <v>111</v>
      </c>
      <c r="H356" s="21" t="s">
        <v>575</v>
      </c>
      <c r="I356" s="21" t="s">
        <v>113</v>
      </c>
      <c r="J356" s="21" t="s">
        <v>134</v>
      </c>
      <c r="K356" s="0" t="n">
        <v>4</v>
      </c>
      <c r="L356" s="0" t="n">
        <v>1</v>
      </c>
      <c r="M356" s="0" t="n">
        <v>1</v>
      </c>
      <c r="N356" s="0" t="n">
        <v>2</v>
      </c>
      <c r="O356" s="0" t="n">
        <v>0</v>
      </c>
      <c r="P356" s="0" t="n">
        <v>2</v>
      </c>
      <c r="Q356" s="0" t="n">
        <v>1</v>
      </c>
      <c r="R356" s="0" t="n">
        <v>0</v>
      </c>
      <c r="S356" s="0" t="n">
        <v>1</v>
      </c>
      <c r="T356" s="0" t="n">
        <v>2</v>
      </c>
      <c r="U356" s="21" t="s">
        <v>2082</v>
      </c>
      <c r="V356" s="21" t="s">
        <v>69</v>
      </c>
      <c r="W356" s="21" t="s">
        <v>313</v>
      </c>
      <c r="X356" s="0" t="n">
        <v>9.36</v>
      </c>
      <c r="Y356" s="0" t="n">
        <v>18.3</v>
      </c>
      <c r="Z356" s="0" t="n">
        <v>41.6</v>
      </c>
      <c r="AA356" s="21" t="s">
        <v>2083</v>
      </c>
      <c r="AB356" s="21" t="s">
        <v>2084</v>
      </c>
      <c r="AC356" s="21" t="s">
        <v>120</v>
      </c>
      <c r="AD356" s="0" t="n">
        <v>95</v>
      </c>
      <c r="AE356" s="22" t="b">
        <f aca="false">FALSE()</f>
        <v>0</v>
      </c>
      <c r="AF356" s="21" t="s">
        <v>121</v>
      </c>
      <c r="AG356" s="21" t="s">
        <v>2085</v>
      </c>
    </row>
    <row r="357" customFormat="false" ht="15" hidden="false" customHeight="false" outlineLevel="0" collapsed="false">
      <c r="A357" s="0" t="s">
        <v>2086</v>
      </c>
      <c r="B357" s="20" t="s">
        <v>124</v>
      </c>
      <c r="E357" s="21" t="s">
        <v>2087</v>
      </c>
      <c r="F357" s="21" t="s">
        <v>2088</v>
      </c>
      <c r="G357" s="21" t="s">
        <v>127</v>
      </c>
      <c r="H357" s="21" t="s">
        <v>203</v>
      </c>
      <c r="I357" s="21" t="s">
        <v>113</v>
      </c>
      <c r="Z357" s="0" t="n">
        <v>0</v>
      </c>
      <c r="AA357" s="21" t="s">
        <v>2089</v>
      </c>
      <c r="AB357" s="21" t="s">
        <v>2089</v>
      </c>
      <c r="AE357" s="22" t="b">
        <f aca="false">FALSE()</f>
        <v>0</v>
      </c>
      <c r="AF357" s="21" t="s">
        <v>121</v>
      </c>
      <c r="AG357" s="21" t="s">
        <v>2090</v>
      </c>
    </row>
    <row r="358" customFormat="false" ht="15" hidden="false" customHeight="false" outlineLevel="0" collapsed="false">
      <c r="A358" s="0" t="s">
        <v>2091</v>
      </c>
      <c r="B358" s="20" t="s">
        <v>124</v>
      </c>
      <c r="E358" s="21" t="s">
        <v>2092</v>
      </c>
      <c r="F358" s="21" t="s">
        <v>2093</v>
      </c>
      <c r="G358" s="21" t="s">
        <v>111</v>
      </c>
      <c r="H358" s="21" t="s">
        <v>203</v>
      </c>
      <c r="I358" s="21" t="s">
        <v>113</v>
      </c>
      <c r="Z358" s="0" t="n">
        <v>0</v>
      </c>
      <c r="AA358" s="21" t="s">
        <v>2094</v>
      </c>
      <c r="AB358" s="21" t="s">
        <v>2094</v>
      </c>
      <c r="AE358" s="22" t="b">
        <f aca="false">FALSE()</f>
        <v>0</v>
      </c>
      <c r="AF358" s="21" t="s">
        <v>121</v>
      </c>
      <c r="AG358" s="21" t="s">
        <v>2095</v>
      </c>
    </row>
    <row r="359" customFormat="false" ht="15" hidden="false" customHeight="false" outlineLevel="0" collapsed="false">
      <c r="A359" s="0" t="s">
        <v>2096</v>
      </c>
      <c r="B359" s="18" t="s">
        <v>109</v>
      </c>
      <c r="C359" s="19" t="s">
        <v>26</v>
      </c>
      <c r="D359" s="20" t="s">
        <v>31</v>
      </c>
      <c r="E359" s="21" t="s">
        <v>2097</v>
      </c>
      <c r="G359" s="21" t="s">
        <v>111</v>
      </c>
      <c r="H359" s="21" t="s">
        <v>181</v>
      </c>
      <c r="I359" s="21" t="s">
        <v>113</v>
      </c>
      <c r="J359" s="21" t="s">
        <v>134</v>
      </c>
      <c r="K359" s="0" t="n">
        <v>4</v>
      </c>
      <c r="L359" s="0" t="n">
        <v>0</v>
      </c>
      <c r="M359" s="0" t="n">
        <v>2</v>
      </c>
      <c r="N359" s="0" t="n">
        <v>2</v>
      </c>
      <c r="O359" s="0" t="n">
        <v>0</v>
      </c>
      <c r="P359" s="0" t="n">
        <v>2</v>
      </c>
      <c r="Q359" s="0" t="n">
        <v>0</v>
      </c>
      <c r="R359" s="0" t="n">
        <v>2</v>
      </c>
      <c r="S359" s="0" t="n">
        <v>0</v>
      </c>
      <c r="T359" s="0" t="n">
        <v>2</v>
      </c>
      <c r="U359" s="21" t="s">
        <v>2098</v>
      </c>
      <c r="V359" s="21" t="s">
        <v>69</v>
      </c>
      <c r="W359" s="21" t="s">
        <v>2099</v>
      </c>
      <c r="X359" s="0" t="n">
        <v>1.65</v>
      </c>
      <c r="Y359" s="0" t="n">
        <v>24.3</v>
      </c>
      <c r="Z359" s="0" t="n">
        <v>40.8</v>
      </c>
      <c r="AA359" s="21" t="s">
        <v>2100</v>
      </c>
      <c r="AB359" s="21" t="s">
        <v>2101</v>
      </c>
      <c r="AC359" s="21" t="s">
        <v>120</v>
      </c>
      <c r="AD359" s="0" t="n">
        <v>96</v>
      </c>
      <c r="AE359" s="22" t="b">
        <f aca="false">FALSE()</f>
        <v>0</v>
      </c>
      <c r="AF359" s="21" t="s">
        <v>121</v>
      </c>
      <c r="AG359" s="21" t="s">
        <v>2102</v>
      </c>
    </row>
    <row r="360" customFormat="false" ht="15" hidden="false" customHeight="false" outlineLevel="0" collapsed="false">
      <c r="A360" s="0" t="s">
        <v>2103</v>
      </c>
      <c r="B360" s="20" t="s">
        <v>124</v>
      </c>
      <c r="E360" s="21" t="s">
        <v>2104</v>
      </c>
      <c r="F360" s="21" t="s">
        <v>2105</v>
      </c>
      <c r="G360" s="21" t="s">
        <v>111</v>
      </c>
      <c r="H360" s="21" t="s">
        <v>554</v>
      </c>
      <c r="I360" s="21" t="s">
        <v>113</v>
      </c>
      <c r="Z360" s="0" t="n">
        <v>0</v>
      </c>
      <c r="AA360" s="21" t="s">
        <v>2106</v>
      </c>
      <c r="AB360" s="21" t="s">
        <v>2106</v>
      </c>
      <c r="AE360" s="22" t="b">
        <f aca="false">FALSE()</f>
        <v>0</v>
      </c>
      <c r="AF360" s="21" t="s">
        <v>121</v>
      </c>
      <c r="AG360" s="21" t="s">
        <v>2107</v>
      </c>
    </row>
    <row r="361" customFormat="false" ht="15" hidden="false" customHeight="false" outlineLevel="0" collapsed="false">
      <c r="A361" s="0" t="s">
        <v>2108</v>
      </c>
      <c r="B361" s="20" t="s">
        <v>124</v>
      </c>
      <c r="E361" s="21" t="s">
        <v>2109</v>
      </c>
      <c r="F361" s="21" t="s">
        <v>2110</v>
      </c>
      <c r="G361" s="21" t="s">
        <v>127</v>
      </c>
      <c r="H361" s="21" t="s">
        <v>686</v>
      </c>
      <c r="I361" s="21" t="s">
        <v>113</v>
      </c>
      <c r="Z361" s="0" t="n">
        <v>0</v>
      </c>
      <c r="AA361" s="21" t="s">
        <v>2111</v>
      </c>
      <c r="AB361" s="21" t="s">
        <v>2111</v>
      </c>
      <c r="AE361" s="22" t="b">
        <f aca="false">FALSE()</f>
        <v>0</v>
      </c>
      <c r="AF361" s="21" t="s">
        <v>121</v>
      </c>
      <c r="AG361" s="21" t="s">
        <v>2112</v>
      </c>
    </row>
    <row r="362" customFormat="false" ht="15" hidden="false" customHeight="false" outlineLevel="0" collapsed="false">
      <c r="A362" s="0" t="s">
        <v>2113</v>
      </c>
      <c r="B362" s="18" t="s">
        <v>109</v>
      </c>
      <c r="C362" s="20" t="s">
        <v>25</v>
      </c>
      <c r="D362" s="23" t="s">
        <v>30</v>
      </c>
      <c r="E362" s="21" t="s">
        <v>2114</v>
      </c>
      <c r="G362" s="21" t="s">
        <v>127</v>
      </c>
      <c r="H362" s="21" t="s">
        <v>299</v>
      </c>
      <c r="I362" s="21" t="s">
        <v>113</v>
      </c>
      <c r="J362" s="21" t="s">
        <v>134</v>
      </c>
      <c r="K362" s="0" t="n">
        <v>4</v>
      </c>
      <c r="L362" s="0" t="n">
        <v>0</v>
      </c>
      <c r="M362" s="0" t="n">
        <v>4</v>
      </c>
      <c r="N362" s="0" t="n">
        <v>0</v>
      </c>
      <c r="O362" s="0" t="n">
        <v>0</v>
      </c>
      <c r="P362" s="0" t="n">
        <v>4</v>
      </c>
      <c r="Q362" s="0" t="n">
        <v>0</v>
      </c>
      <c r="R362" s="0" t="n">
        <v>1</v>
      </c>
      <c r="S362" s="0" t="n">
        <v>3</v>
      </c>
      <c r="T362" s="0" t="n">
        <v>0</v>
      </c>
      <c r="U362" s="21" t="s">
        <v>2115</v>
      </c>
      <c r="V362" s="21" t="s">
        <v>69</v>
      </c>
      <c r="W362" s="21" t="s">
        <v>1046</v>
      </c>
      <c r="X362" s="0" t="n">
        <v>18.29</v>
      </c>
      <c r="Y362" s="0" t="n">
        <v>15.6</v>
      </c>
      <c r="Z362" s="0" t="n">
        <v>43</v>
      </c>
      <c r="AA362" s="21" t="s">
        <v>2116</v>
      </c>
      <c r="AB362" s="21" t="s">
        <v>2117</v>
      </c>
      <c r="AC362" s="21" t="s">
        <v>120</v>
      </c>
      <c r="AD362" s="0" t="n">
        <v>97</v>
      </c>
      <c r="AE362" s="22" t="b">
        <f aca="false">FALSE()</f>
        <v>0</v>
      </c>
      <c r="AF362" s="21" t="s">
        <v>121</v>
      </c>
      <c r="AG362" s="21" t="s">
        <v>2118</v>
      </c>
    </row>
    <row r="363" customFormat="false" ht="15" hidden="false" customHeight="false" outlineLevel="0" collapsed="false">
      <c r="A363" s="0" t="s">
        <v>2119</v>
      </c>
      <c r="B363" s="20" t="s">
        <v>124</v>
      </c>
      <c r="E363" s="21" t="s">
        <v>2120</v>
      </c>
      <c r="F363" s="21" t="s">
        <v>2121</v>
      </c>
      <c r="G363" s="21" t="s">
        <v>127</v>
      </c>
      <c r="H363" s="21" t="s">
        <v>887</v>
      </c>
      <c r="I363" s="21" t="s">
        <v>113</v>
      </c>
      <c r="Z363" s="0" t="n">
        <v>0</v>
      </c>
      <c r="AA363" s="21" t="s">
        <v>2122</v>
      </c>
      <c r="AB363" s="21" t="s">
        <v>2122</v>
      </c>
      <c r="AE363" s="22" t="b">
        <f aca="false">FALSE()</f>
        <v>0</v>
      </c>
      <c r="AF363" s="21" t="s">
        <v>121</v>
      </c>
      <c r="AG363" s="21" t="s">
        <v>2123</v>
      </c>
    </row>
    <row r="364" customFormat="false" ht="15" hidden="false" customHeight="false" outlineLevel="0" collapsed="false">
      <c r="A364" s="0" t="s">
        <v>2124</v>
      </c>
      <c r="B364" s="18" t="s">
        <v>109</v>
      </c>
      <c r="C364" s="19" t="s">
        <v>26</v>
      </c>
      <c r="D364" s="20" t="s">
        <v>31</v>
      </c>
      <c r="E364" s="21" t="s">
        <v>2125</v>
      </c>
      <c r="G364" s="21" t="s">
        <v>111</v>
      </c>
      <c r="H364" s="21" t="s">
        <v>181</v>
      </c>
      <c r="I364" s="21" t="s">
        <v>113</v>
      </c>
      <c r="J364" s="21" t="s">
        <v>134</v>
      </c>
      <c r="K364" s="0" t="n">
        <v>4</v>
      </c>
      <c r="L364" s="0" t="n">
        <v>0</v>
      </c>
      <c r="M364" s="0" t="n">
        <v>1</v>
      </c>
      <c r="N364" s="0" t="n">
        <v>3</v>
      </c>
      <c r="O364" s="0" t="n">
        <v>0</v>
      </c>
      <c r="P364" s="0" t="n">
        <v>1</v>
      </c>
      <c r="Q364" s="0" t="n">
        <v>0</v>
      </c>
      <c r="R364" s="0" t="n">
        <v>0</v>
      </c>
      <c r="S364" s="0" t="n">
        <v>1</v>
      </c>
      <c r="T364" s="0" t="n">
        <v>3</v>
      </c>
      <c r="U364" s="21" t="s">
        <v>2126</v>
      </c>
      <c r="V364" s="21" t="s">
        <v>69</v>
      </c>
      <c r="W364" s="21" t="s">
        <v>646</v>
      </c>
      <c r="X364" s="0" t="n">
        <v>1.12</v>
      </c>
      <c r="Y364" s="0" t="n">
        <v>14.1</v>
      </c>
      <c r="Z364" s="0" t="n">
        <v>41.6</v>
      </c>
      <c r="AA364" s="21" t="s">
        <v>2127</v>
      </c>
      <c r="AB364" s="21" t="s">
        <v>2128</v>
      </c>
      <c r="AC364" s="21" t="s">
        <v>120</v>
      </c>
      <c r="AD364" s="0" t="n">
        <v>98</v>
      </c>
      <c r="AE364" s="22" t="b">
        <f aca="false">FALSE()</f>
        <v>0</v>
      </c>
      <c r="AF364" s="21" t="s">
        <v>121</v>
      </c>
      <c r="AG364" s="21" t="s">
        <v>2129</v>
      </c>
    </row>
    <row r="365" customFormat="false" ht="15" hidden="false" customHeight="false" outlineLevel="0" collapsed="false">
      <c r="A365" s="0" t="s">
        <v>2130</v>
      </c>
      <c r="B365" s="18" t="s">
        <v>109</v>
      </c>
      <c r="C365" s="20" t="s">
        <v>25</v>
      </c>
      <c r="D365" s="23" t="s">
        <v>30</v>
      </c>
      <c r="E365" s="21" t="s">
        <v>2131</v>
      </c>
      <c r="G365" s="21" t="s">
        <v>127</v>
      </c>
      <c r="H365" s="21" t="s">
        <v>1051</v>
      </c>
      <c r="I365" s="21" t="s">
        <v>171</v>
      </c>
      <c r="J365" s="21" t="s">
        <v>134</v>
      </c>
      <c r="K365" s="0" t="n">
        <v>4</v>
      </c>
      <c r="L365" s="0" t="n">
        <v>0</v>
      </c>
      <c r="M365" s="0" t="n">
        <v>4</v>
      </c>
      <c r="N365" s="0" t="n">
        <v>0</v>
      </c>
      <c r="O365" s="0" t="n">
        <v>0</v>
      </c>
      <c r="P365" s="0" t="n">
        <v>4</v>
      </c>
      <c r="Q365" s="0" t="n">
        <v>0</v>
      </c>
      <c r="R365" s="0" t="n">
        <v>2</v>
      </c>
      <c r="S365" s="0" t="n">
        <v>2</v>
      </c>
      <c r="T365" s="0" t="n">
        <v>0</v>
      </c>
      <c r="U365" s="21" t="s">
        <v>2132</v>
      </c>
      <c r="W365" s="21" t="s">
        <v>2133</v>
      </c>
      <c r="X365" s="0" t="n">
        <v>1.08</v>
      </c>
      <c r="Y365" s="0" t="n">
        <v>10.5</v>
      </c>
      <c r="Z365" s="0" t="n">
        <v>43</v>
      </c>
      <c r="AA365" s="21" t="s">
        <v>2134</v>
      </c>
      <c r="AB365" s="21" t="s">
        <v>2135</v>
      </c>
      <c r="AC365" s="21" t="s">
        <v>120</v>
      </c>
      <c r="AD365" s="0" t="n">
        <v>101</v>
      </c>
      <c r="AE365" s="22" t="b">
        <f aca="false">FALSE()</f>
        <v>0</v>
      </c>
      <c r="AF365" s="21" t="s">
        <v>121</v>
      </c>
      <c r="AG365" s="21" t="s">
        <v>2136</v>
      </c>
    </row>
    <row r="366" customFormat="false" ht="15" hidden="false" customHeight="false" outlineLevel="0" collapsed="false">
      <c r="A366" s="0" t="s">
        <v>2137</v>
      </c>
      <c r="B366" s="18" t="s">
        <v>109</v>
      </c>
      <c r="C366" s="20" t="s">
        <v>25</v>
      </c>
      <c r="D366" s="23" t="s">
        <v>30</v>
      </c>
      <c r="E366" s="21" t="s">
        <v>2138</v>
      </c>
      <c r="G366" s="21" t="s">
        <v>127</v>
      </c>
      <c r="H366" s="21" t="s">
        <v>195</v>
      </c>
      <c r="I366" s="21" t="s">
        <v>113</v>
      </c>
      <c r="J366" s="21" t="s">
        <v>114</v>
      </c>
      <c r="K366" s="0" t="n">
        <v>8</v>
      </c>
      <c r="L366" s="0" t="n">
        <v>0</v>
      </c>
      <c r="M366" s="0" t="n">
        <v>8</v>
      </c>
      <c r="N366" s="0" t="n">
        <v>0</v>
      </c>
      <c r="O366" s="0" t="n">
        <v>0</v>
      </c>
      <c r="P366" s="0" t="n">
        <v>8</v>
      </c>
      <c r="Q366" s="0" t="n">
        <v>0</v>
      </c>
      <c r="R366" s="0" t="n">
        <v>5</v>
      </c>
      <c r="S366" s="0" t="n">
        <v>3</v>
      </c>
      <c r="T366" s="0" t="n">
        <v>0</v>
      </c>
      <c r="U366" s="21" t="s">
        <v>2139</v>
      </c>
      <c r="V366" s="21" t="s">
        <v>69</v>
      </c>
      <c r="W366" s="21" t="s">
        <v>1809</v>
      </c>
      <c r="X366" s="0" t="n">
        <v>2.58</v>
      </c>
      <c r="Y366" s="0" t="n">
        <v>10.6</v>
      </c>
      <c r="Z366" s="0" t="n">
        <v>77.3</v>
      </c>
      <c r="AA366" s="21" t="s">
        <v>2140</v>
      </c>
      <c r="AB366" s="21" t="s">
        <v>2141</v>
      </c>
      <c r="AC366" s="21" t="s">
        <v>120</v>
      </c>
      <c r="AD366" s="0" t="n">
        <v>199</v>
      </c>
      <c r="AE366" s="22" t="b">
        <f aca="false">FALSE()</f>
        <v>0</v>
      </c>
      <c r="AF366" s="21" t="s">
        <v>121</v>
      </c>
      <c r="AG366" s="21" t="s">
        <v>2142</v>
      </c>
    </row>
    <row r="367" customFormat="false" ht="15" hidden="false" customHeight="false" outlineLevel="0" collapsed="false">
      <c r="A367" s="0" t="s">
        <v>2143</v>
      </c>
      <c r="B367" s="18" t="s">
        <v>109</v>
      </c>
      <c r="C367" s="20" t="s">
        <v>25</v>
      </c>
      <c r="D367" s="23" t="s">
        <v>30</v>
      </c>
      <c r="E367" s="21" t="s">
        <v>2144</v>
      </c>
      <c r="G367" s="21" t="s">
        <v>111</v>
      </c>
      <c r="H367" s="21" t="s">
        <v>188</v>
      </c>
      <c r="I367" s="21" t="s">
        <v>113</v>
      </c>
      <c r="J367" s="21" t="s">
        <v>134</v>
      </c>
      <c r="K367" s="0" t="n">
        <v>4</v>
      </c>
      <c r="L367" s="0" t="n">
        <v>2</v>
      </c>
      <c r="M367" s="0" t="n">
        <v>2</v>
      </c>
      <c r="N367" s="0" t="n">
        <v>0</v>
      </c>
      <c r="O367" s="0" t="n">
        <v>0</v>
      </c>
      <c r="P367" s="0" t="n">
        <v>4</v>
      </c>
      <c r="Q367" s="0" t="n">
        <v>1</v>
      </c>
      <c r="R367" s="0" t="n">
        <v>2</v>
      </c>
      <c r="S367" s="0" t="n">
        <v>1</v>
      </c>
      <c r="T367" s="0" t="n">
        <v>0</v>
      </c>
      <c r="U367" s="21" t="s">
        <v>2145</v>
      </c>
      <c r="W367" s="21" t="s">
        <v>470</v>
      </c>
      <c r="X367" s="0" t="n">
        <v>1.52</v>
      </c>
      <c r="Y367" s="0" t="n">
        <v>15</v>
      </c>
      <c r="Z367" s="0" t="n">
        <v>42.9</v>
      </c>
      <c r="AA367" s="21" t="s">
        <v>2146</v>
      </c>
      <c r="AB367" s="21" t="s">
        <v>2147</v>
      </c>
      <c r="AC367" s="21" t="s">
        <v>120</v>
      </c>
      <c r="AD367" s="0" t="n">
        <v>100</v>
      </c>
      <c r="AE367" s="22" t="b">
        <f aca="false">FALSE()</f>
        <v>0</v>
      </c>
      <c r="AF367" s="21" t="s">
        <v>121</v>
      </c>
      <c r="AG367" s="21" t="s">
        <v>2148</v>
      </c>
    </row>
    <row r="368" customFormat="false" ht="15" hidden="false" customHeight="false" outlineLevel="0" collapsed="false">
      <c r="A368" s="0" t="s">
        <v>2149</v>
      </c>
      <c r="B368" s="18" t="s">
        <v>109</v>
      </c>
      <c r="C368" s="19" t="s">
        <v>26</v>
      </c>
      <c r="D368" s="20" t="s">
        <v>31</v>
      </c>
      <c r="E368" s="21" t="s">
        <v>2150</v>
      </c>
      <c r="G368" s="21" t="s">
        <v>111</v>
      </c>
      <c r="H368" s="21" t="s">
        <v>142</v>
      </c>
      <c r="I368" s="21" t="s">
        <v>113</v>
      </c>
      <c r="J368" s="21" t="s">
        <v>114</v>
      </c>
      <c r="K368" s="0" t="n">
        <v>8</v>
      </c>
      <c r="L368" s="0" t="n">
        <v>0</v>
      </c>
      <c r="M368" s="0" t="n">
        <v>4</v>
      </c>
      <c r="N368" s="0" t="n">
        <v>4</v>
      </c>
      <c r="O368" s="0" t="n">
        <v>0</v>
      </c>
      <c r="P368" s="0" t="n">
        <v>4</v>
      </c>
      <c r="Q368" s="0" t="n">
        <v>0</v>
      </c>
      <c r="R368" s="0" t="n">
        <v>0</v>
      </c>
      <c r="S368" s="0" t="n">
        <v>4</v>
      </c>
      <c r="T368" s="0" t="n">
        <v>4</v>
      </c>
      <c r="U368" s="21" t="s">
        <v>2151</v>
      </c>
      <c r="V368" s="21" t="s">
        <v>116</v>
      </c>
      <c r="W368" s="21" t="s">
        <v>1243</v>
      </c>
      <c r="X368" s="0" t="n">
        <v>2.11</v>
      </c>
      <c r="Y368" s="0" t="n">
        <v>21.4</v>
      </c>
      <c r="Z368" s="0" t="n">
        <v>83</v>
      </c>
      <c r="AA368" s="21" t="s">
        <v>2152</v>
      </c>
      <c r="AB368" s="21" t="s">
        <v>2153</v>
      </c>
      <c r="AC368" s="21" t="s">
        <v>120</v>
      </c>
      <c r="AD368" s="0" t="n">
        <v>192</v>
      </c>
      <c r="AE368" s="22" t="b">
        <f aca="false">FALSE()</f>
        <v>0</v>
      </c>
      <c r="AF368" s="21" t="s">
        <v>121</v>
      </c>
      <c r="AG368" s="21" t="s">
        <v>2154</v>
      </c>
    </row>
    <row r="369" customFormat="false" ht="15" hidden="false" customHeight="false" outlineLevel="0" collapsed="false">
      <c r="A369" s="0" t="s">
        <v>2155</v>
      </c>
      <c r="B369" s="18" t="s">
        <v>109</v>
      </c>
      <c r="C369" s="20" t="s">
        <v>25</v>
      </c>
      <c r="D369" s="23" t="s">
        <v>30</v>
      </c>
      <c r="E369" s="21" t="s">
        <v>2156</v>
      </c>
      <c r="G369" s="21" t="s">
        <v>111</v>
      </c>
      <c r="H369" s="21" t="s">
        <v>112</v>
      </c>
      <c r="I369" s="21" t="s">
        <v>113</v>
      </c>
      <c r="J369" s="21" t="s">
        <v>114</v>
      </c>
      <c r="K369" s="0" t="n">
        <v>8</v>
      </c>
      <c r="L369" s="0" t="n">
        <v>1</v>
      </c>
      <c r="M369" s="0" t="n">
        <v>7</v>
      </c>
      <c r="N369" s="0" t="n">
        <v>0</v>
      </c>
      <c r="O369" s="0" t="n">
        <v>0</v>
      </c>
      <c r="P369" s="0" t="n">
        <v>8</v>
      </c>
      <c r="Q369" s="0" t="n">
        <v>1</v>
      </c>
      <c r="R369" s="0" t="n">
        <v>1</v>
      </c>
      <c r="S369" s="0" t="n">
        <v>6</v>
      </c>
      <c r="T369" s="0" t="n">
        <v>0</v>
      </c>
      <c r="U369" s="21" t="s">
        <v>2157</v>
      </c>
      <c r="V369" s="21" t="s">
        <v>116</v>
      </c>
      <c r="W369" s="21" t="s">
        <v>294</v>
      </c>
      <c r="X369" s="0" t="n">
        <v>1.48</v>
      </c>
      <c r="Y369" s="0" t="n">
        <v>20.5</v>
      </c>
      <c r="Z369" s="0" t="n">
        <v>77.1</v>
      </c>
      <c r="AA369" s="21" t="s">
        <v>2158</v>
      </c>
      <c r="AB369" s="21" t="s">
        <v>2159</v>
      </c>
      <c r="AC369" s="21" t="s">
        <v>120</v>
      </c>
      <c r="AD369" s="0" t="n">
        <v>193</v>
      </c>
      <c r="AE369" s="22" t="b">
        <f aca="false">FALSE()</f>
        <v>0</v>
      </c>
      <c r="AF369" s="21" t="s">
        <v>121</v>
      </c>
      <c r="AG369" s="21" t="s">
        <v>2160</v>
      </c>
    </row>
    <row r="370" customFormat="false" ht="15" hidden="false" customHeight="false" outlineLevel="0" collapsed="false">
      <c r="A370" s="0" t="s">
        <v>2161</v>
      </c>
      <c r="B370" s="20" t="s">
        <v>124</v>
      </c>
      <c r="E370" s="21" t="s">
        <v>2162</v>
      </c>
      <c r="F370" s="21" t="s">
        <v>2163</v>
      </c>
      <c r="G370" s="21" t="s">
        <v>111</v>
      </c>
      <c r="H370" s="21" t="s">
        <v>275</v>
      </c>
      <c r="I370" s="21" t="s">
        <v>113</v>
      </c>
      <c r="Z370" s="0" t="n">
        <v>0</v>
      </c>
      <c r="AA370" s="21" t="s">
        <v>2164</v>
      </c>
      <c r="AB370" s="21" t="s">
        <v>2164</v>
      </c>
      <c r="AE370" s="22" t="b">
        <f aca="false">FALSE()</f>
        <v>0</v>
      </c>
      <c r="AF370" s="21" t="s">
        <v>121</v>
      </c>
      <c r="AG370" s="21" t="s">
        <v>2165</v>
      </c>
    </row>
    <row r="371" customFormat="false" ht="15" hidden="false" customHeight="false" outlineLevel="0" collapsed="false">
      <c r="A371" s="0" t="s">
        <v>2166</v>
      </c>
      <c r="B371" s="20" t="s">
        <v>124</v>
      </c>
      <c r="E371" s="21" t="s">
        <v>1331</v>
      </c>
      <c r="F371" s="21" t="s">
        <v>1332</v>
      </c>
      <c r="G371" s="21" t="s">
        <v>111</v>
      </c>
      <c r="H371" s="21" t="s">
        <v>765</v>
      </c>
      <c r="I371" s="21" t="s">
        <v>113</v>
      </c>
      <c r="Z371" s="0" t="n">
        <v>0</v>
      </c>
      <c r="AA371" s="21" t="s">
        <v>2167</v>
      </c>
      <c r="AB371" s="21" t="s">
        <v>2167</v>
      </c>
      <c r="AE371" s="22" t="b">
        <f aca="false">FALSE()</f>
        <v>0</v>
      </c>
      <c r="AF371" s="21" t="s">
        <v>121</v>
      </c>
      <c r="AG371" s="21" t="s">
        <v>2168</v>
      </c>
    </row>
    <row r="372" customFormat="false" ht="15" hidden="false" customHeight="false" outlineLevel="0" collapsed="false">
      <c r="A372" s="0" t="s">
        <v>2169</v>
      </c>
      <c r="B372" s="18" t="s">
        <v>109</v>
      </c>
      <c r="C372" s="18" t="s">
        <v>24</v>
      </c>
      <c r="D372" s="23" t="s">
        <v>30</v>
      </c>
      <c r="E372" s="21" t="s">
        <v>2170</v>
      </c>
      <c r="G372" s="21" t="s">
        <v>127</v>
      </c>
      <c r="H372" s="21" t="s">
        <v>181</v>
      </c>
      <c r="I372" s="21" t="s">
        <v>113</v>
      </c>
      <c r="J372" s="21" t="s">
        <v>134</v>
      </c>
      <c r="K372" s="0" t="n">
        <v>4</v>
      </c>
      <c r="L372" s="0" t="n">
        <v>4</v>
      </c>
      <c r="M372" s="0" t="n">
        <v>0</v>
      </c>
      <c r="N372" s="0" t="n">
        <v>0</v>
      </c>
      <c r="O372" s="0" t="n">
        <v>0</v>
      </c>
      <c r="P372" s="0" t="n">
        <v>4</v>
      </c>
      <c r="Q372" s="0" t="n">
        <v>1</v>
      </c>
      <c r="R372" s="0" t="n">
        <v>0</v>
      </c>
      <c r="S372" s="0" t="n">
        <v>3</v>
      </c>
      <c r="T372" s="0" t="n">
        <v>0</v>
      </c>
      <c r="U372" s="21" t="s">
        <v>2171</v>
      </c>
      <c r="W372" s="21" t="s">
        <v>30</v>
      </c>
      <c r="X372" s="0" t="n">
        <v>2.42</v>
      </c>
      <c r="Y372" s="0" t="n">
        <v>6.3</v>
      </c>
      <c r="Z372" s="0" t="n">
        <v>41.6</v>
      </c>
      <c r="AA372" s="21" t="s">
        <v>2172</v>
      </c>
      <c r="AB372" s="21" t="s">
        <v>2173</v>
      </c>
      <c r="AC372" s="21" t="s">
        <v>120</v>
      </c>
      <c r="AD372" s="0" t="n">
        <v>97</v>
      </c>
      <c r="AE372" s="22" t="b">
        <f aca="false">FALSE()</f>
        <v>0</v>
      </c>
      <c r="AF372" s="21" t="s">
        <v>121</v>
      </c>
      <c r="AG372" s="21" t="s">
        <v>2174</v>
      </c>
    </row>
    <row r="373" customFormat="false" ht="15" hidden="false" customHeight="false" outlineLevel="0" collapsed="false">
      <c r="A373" s="0" t="s">
        <v>2175</v>
      </c>
      <c r="B373" s="20" t="s">
        <v>124</v>
      </c>
      <c r="E373" s="21" t="s">
        <v>2176</v>
      </c>
      <c r="F373" s="21" t="s">
        <v>2177</v>
      </c>
      <c r="G373" s="21" t="s">
        <v>127</v>
      </c>
      <c r="H373" s="21" t="s">
        <v>155</v>
      </c>
      <c r="I373" s="21" t="s">
        <v>113</v>
      </c>
      <c r="Z373" s="0" t="n">
        <v>0</v>
      </c>
      <c r="AA373" s="21" t="s">
        <v>2178</v>
      </c>
      <c r="AB373" s="21" t="s">
        <v>2178</v>
      </c>
      <c r="AE373" s="22" t="b">
        <f aca="false">FALSE()</f>
        <v>0</v>
      </c>
      <c r="AF373" s="21" t="s">
        <v>121</v>
      </c>
      <c r="AG373" s="21" t="s">
        <v>2179</v>
      </c>
    </row>
    <row r="374" customFormat="false" ht="15" hidden="false" customHeight="false" outlineLevel="0" collapsed="false">
      <c r="A374" s="0" t="s">
        <v>2180</v>
      </c>
      <c r="B374" s="18" t="s">
        <v>109</v>
      </c>
      <c r="C374" s="20" t="s">
        <v>25</v>
      </c>
      <c r="D374" s="23" t="s">
        <v>30</v>
      </c>
      <c r="E374" s="21" t="s">
        <v>2181</v>
      </c>
      <c r="G374" s="21" t="s">
        <v>111</v>
      </c>
      <c r="H374" s="21" t="s">
        <v>217</v>
      </c>
      <c r="I374" s="21" t="s">
        <v>113</v>
      </c>
      <c r="J374" s="21" t="s">
        <v>134</v>
      </c>
      <c r="K374" s="0" t="n">
        <v>4</v>
      </c>
      <c r="L374" s="0" t="n">
        <v>1</v>
      </c>
      <c r="M374" s="0" t="n">
        <v>3</v>
      </c>
      <c r="N374" s="0" t="n">
        <v>0</v>
      </c>
      <c r="O374" s="0" t="n">
        <v>0</v>
      </c>
      <c r="P374" s="0" t="n">
        <v>4</v>
      </c>
      <c r="Q374" s="0" t="n">
        <v>1</v>
      </c>
      <c r="R374" s="0" t="n">
        <v>0</v>
      </c>
      <c r="S374" s="0" t="n">
        <v>3</v>
      </c>
      <c r="T374" s="0" t="n">
        <v>0</v>
      </c>
      <c r="U374" s="21" t="s">
        <v>2182</v>
      </c>
      <c r="V374" s="21" t="s">
        <v>116</v>
      </c>
      <c r="W374" s="21" t="s">
        <v>183</v>
      </c>
      <c r="X374" s="0" t="n">
        <v>1.96</v>
      </c>
      <c r="Y374" s="0" t="n">
        <v>12.7</v>
      </c>
      <c r="Z374" s="0" t="n">
        <v>45.2</v>
      </c>
      <c r="AA374" s="21" t="s">
        <v>2183</v>
      </c>
      <c r="AB374" s="21" t="s">
        <v>2184</v>
      </c>
      <c r="AC374" s="21" t="s">
        <v>120</v>
      </c>
      <c r="AD374" s="0" t="n">
        <v>98</v>
      </c>
      <c r="AE374" s="22" t="b">
        <f aca="false">FALSE()</f>
        <v>0</v>
      </c>
      <c r="AF374" s="21" t="s">
        <v>121</v>
      </c>
      <c r="AG374" s="21" t="s">
        <v>2185</v>
      </c>
    </row>
    <row r="375" customFormat="false" ht="15" hidden="false" customHeight="false" outlineLevel="0" collapsed="false">
      <c r="A375" s="0" t="s">
        <v>2186</v>
      </c>
      <c r="B375" s="18" t="s">
        <v>109</v>
      </c>
      <c r="C375" s="19" t="s">
        <v>26</v>
      </c>
      <c r="D375" s="20" t="s">
        <v>31</v>
      </c>
      <c r="E375" s="21" t="s">
        <v>2187</v>
      </c>
      <c r="G375" s="21" t="s">
        <v>111</v>
      </c>
      <c r="H375" s="21" t="s">
        <v>397</v>
      </c>
      <c r="I375" s="21" t="s">
        <v>113</v>
      </c>
      <c r="J375" s="21" t="s">
        <v>114</v>
      </c>
      <c r="K375" s="0" t="n">
        <v>8</v>
      </c>
      <c r="L375" s="0" t="n">
        <v>3</v>
      </c>
      <c r="M375" s="0" t="n">
        <v>4</v>
      </c>
      <c r="N375" s="0" t="n">
        <v>1</v>
      </c>
      <c r="O375" s="0" t="n">
        <v>0</v>
      </c>
      <c r="P375" s="0" t="n">
        <v>7</v>
      </c>
      <c r="Q375" s="0" t="n">
        <v>2</v>
      </c>
      <c r="R375" s="0" t="n">
        <v>0</v>
      </c>
      <c r="S375" s="0" t="n">
        <v>5</v>
      </c>
      <c r="T375" s="0" t="n">
        <v>1</v>
      </c>
      <c r="U375" s="21" t="s">
        <v>2188</v>
      </c>
      <c r="V375" s="21" t="s">
        <v>69</v>
      </c>
      <c r="W375" s="21" t="s">
        <v>117</v>
      </c>
      <c r="X375" s="0" t="n">
        <v>1.83</v>
      </c>
      <c r="Y375" s="0" t="n">
        <v>17.9</v>
      </c>
      <c r="Z375" s="0" t="n">
        <v>81.2</v>
      </c>
      <c r="AA375" s="21" t="s">
        <v>2189</v>
      </c>
      <c r="AB375" s="21" t="s">
        <v>2190</v>
      </c>
      <c r="AC375" s="21" t="s">
        <v>120</v>
      </c>
      <c r="AD375" s="0" t="n">
        <v>191</v>
      </c>
      <c r="AE375" s="22" t="b">
        <f aca="false">FALSE()</f>
        <v>0</v>
      </c>
      <c r="AF375" s="21" t="s">
        <v>121</v>
      </c>
      <c r="AG375" s="21" t="s">
        <v>2191</v>
      </c>
    </row>
    <row r="376" customFormat="false" ht="15" hidden="false" customHeight="false" outlineLevel="0" collapsed="false">
      <c r="A376" s="0" t="s">
        <v>2192</v>
      </c>
      <c r="B376" s="18" t="s">
        <v>109</v>
      </c>
      <c r="C376" s="20" t="s">
        <v>25</v>
      </c>
      <c r="D376" s="23" t="s">
        <v>30</v>
      </c>
      <c r="E376" s="21" t="s">
        <v>2193</v>
      </c>
      <c r="G376" s="21" t="s">
        <v>111</v>
      </c>
      <c r="H376" s="21" t="s">
        <v>495</v>
      </c>
      <c r="I376" s="21" t="s">
        <v>113</v>
      </c>
      <c r="J376" s="21" t="s">
        <v>134</v>
      </c>
      <c r="K376" s="0" t="n">
        <v>4</v>
      </c>
      <c r="L376" s="0" t="n">
        <v>1</v>
      </c>
      <c r="M376" s="0" t="n">
        <v>3</v>
      </c>
      <c r="N376" s="0" t="n">
        <v>0</v>
      </c>
      <c r="O376" s="0" t="n">
        <v>0</v>
      </c>
      <c r="P376" s="0" t="n">
        <v>4</v>
      </c>
      <c r="Q376" s="0" t="n">
        <v>0</v>
      </c>
      <c r="R376" s="0" t="n">
        <v>0</v>
      </c>
      <c r="S376" s="0" t="n">
        <v>4</v>
      </c>
      <c r="T376" s="0" t="n">
        <v>0</v>
      </c>
      <c r="U376" s="21" t="s">
        <v>2194</v>
      </c>
      <c r="V376" s="21" t="s">
        <v>69</v>
      </c>
      <c r="W376" s="21" t="s">
        <v>1152</v>
      </c>
      <c r="X376" s="0" t="n">
        <v>1.71</v>
      </c>
      <c r="Y376" s="0" t="n">
        <v>7.1</v>
      </c>
      <c r="Z376" s="0" t="n">
        <v>46.7</v>
      </c>
      <c r="AA376" s="21" t="s">
        <v>2195</v>
      </c>
      <c r="AB376" s="21" t="s">
        <v>2196</v>
      </c>
      <c r="AC376" s="21" t="s">
        <v>120</v>
      </c>
      <c r="AD376" s="0" t="n">
        <v>96</v>
      </c>
      <c r="AE376" s="22" t="b">
        <f aca="false">FALSE()</f>
        <v>0</v>
      </c>
      <c r="AF376" s="21" t="s">
        <v>121</v>
      </c>
      <c r="AG376" s="21" t="s">
        <v>2197</v>
      </c>
    </row>
    <row r="377" customFormat="false" ht="15" hidden="false" customHeight="false" outlineLevel="0" collapsed="false">
      <c r="A377" s="0" t="s">
        <v>2198</v>
      </c>
      <c r="B377" s="18" t="s">
        <v>109</v>
      </c>
      <c r="C377" s="20" t="s">
        <v>25</v>
      </c>
      <c r="D377" s="23" t="s">
        <v>30</v>
      </c>
      <c r="E377" s="21" t="s">
        <v>2199</v>
      </c>
      <c r="G377" s="21" t="s">
        <v>127</v>
      </c>
      <c r="H377" s="21" t="s">
        <v>112</v>
      </c>
      <c r="I377" s="21" t="s">
        <v>113</v>
      </c>
      <c r="J377" s="21" t="s">
        <v>134</v>
      </c>
      <c r="K377" s="0" t="n">
        <v>4</v>
      </c>
      <c r="L377" s="0" t="n">
        <v>1</v>
      </c>
      <c r="M377" s="0" t="n">
        <v>3</v>
      </c>
      <c r="N377" s="0" t="n">
        <v>0</v>
      </c>
      <c r="O377" s="0" t="n">
        <v>0</v>
      </c>
      <c r="P377" s="0" t="n">
        <v>4</v>
      </c>
      <c r="Q377" s="0" t="n">
        <v>0</v>
      </c>
      <c r="R377" s="0" t="n">
        <v>1</v>
      </c>
      <c r="S377" s="0" t="n">
        <v>3</v>
      </c>
      <c r="T377" s="0" t="n">
        <v>0</v>
      </c>
      <c r="U377" s="21" t="s">
        <v>2200</v>
      </c>
      <c r="V377" s="21" t="s">
        <v>69</v>
      </c>
      <c r="W377" s="21" t="s">
        <v>1152</v>
      </c>
      <c r="X377" s="0" t="n">
        <v>3.75</v>
      </c>
      <c r="Y377" s="0" t="n">
        <v>10.1</v>
      </c>
      <c r="Z377" s="0" t="n">
        <v>50.5</v>
      </c>
      <c r="AA377" s="21" t="s">
        <v>2201</v>
      </c>
      <c r="AB377" s="21" t="s">
        <v>2202</v>
      </c>
      <c r="AC377" s="21" t="s">
        <v>120</v>
      </c>
      <c r="AD377" s="0" t="n">
        <v>96</v>
      </c>
      <c r="AE377" s="22" t="b">
        <f aca="false">FALSE()</f>
        <v>0</v>
      </c>
      <c r="AF377" s="21" t="s">
        <v>121</v>
      </c>
      <c r="AG377" s="21" t="s">
        <v>2203</v>
      </c>
    </row>
    <row r="378" customFormat="false" ht="15" hidden="false" customHeight="false" outlineLevel="0" collapsed="false">
      <c r="A378" s="0" t="s">
        <v>2204</v>
      </c>
      <c r="B378" s="18" t="s">
        <v>109</v>
      </c>
      <c r="C378" s="19" t="s">
        <v>26</v>
      </c>
      <c r="D378" s="20" t="s">
        <v>31</v>
      </c>
      <c r="E378" s="21" t="s">
        <v>2205</v>
      </c>
      <c r="G378" s="21" t="s">
        <v>111</v>
      </c>
      <c r="H378" s="21" t="s">
        <v>269</v>
      </c>
      <c r="I378" s="21" t="s">
        <v>113</v>
      </c>
      <c r="J378" s="21" t="s">
        <v>114</v>
      </c>
      <c r="K378" s="0" t="n">
        <v>8</v>
      </c>
      <c r="L378" s="0" t="n">
        <v>1</v>
      </c>
      <c r="M378" s="0" t="n">
        <v>5</v>
      </c>
      <c r="N378" s="0" t="n">
        <v>2</v>
      </c>
      <c r="O378" s="0" t="n">
        <v>0</v>
      </c>
      <c r="P378" s="0" t="n">
        <v>6</v>
      </c>
      <c r="Q378" s="0" t="n">
        <v>0</v>
      </c>
      <c r="R378" s="0" t="n">
        <v>0</v>
      </c>
      <c r="S378" s="0" t="n">
        <v>6</v>
      </c>
      <c r="T378" s="0" t="n">
        <v>2</v>
      </c>
      <c r="U378" s="21" t="s">
        <v>2206</v>
      </c>
      <c r="V378" s="21" t="s">
        <v>69</v>
      </c>
      <c r="W378" s="21" t="s">
        <v>1740</v>
      </c>
      <c r="X378" s="0" t="n">
        <v>2.48</v>
      </c>
      <c r="Y378" s="0" t="n">
        <v>19.9</v>
      </c>
      <c r="Z378" s="0" t="n">
        <v>81.3</v>
      </c>
      <c r="AA378" s="21" t="s">
        <v>2207</v>
      </c>
      <c r="AB378" s="21" t="s">
        <v>2208</v>
      </c>
      <c r="AC378" s="21" t="s">
        <v>120</v>
      </c>
      <c r="AD378" s="0" t="n">
        <v>194</v>
      </c>
      <c r="AE378" s="22" t="b">
        <f aca="false">FALSE()</f>
        <v>0</v>
      </c>
      <c r="AF378" s="21" t="s">
        <v>121</v>
      </c>
      <c r="AG378" s="21" t="s">
        <v>2209</v>
      </c>
    </row>
    <row r="379" customFormat="false" ht="15" hidden="false" customHeight="false" outlineLevel="0" collapsed="false">
      <c r="A379" s="0" t="s">
        <v>2210</v>
      </c>
      <c r="B379" s="18" t="s">
        <v>109</v>
      </c>
      <c r="C379" s="20" t="s">
        <v>25</v>
      </c>
      <c r="D379" s="23" t="s">
        <v>30</v>
      </c>
      <c r="E379" s="21" t="s">
        <v>2211</v>
      </c>
      <c r="G379" s="21" t="s">
        <v>127</v>
      </c>
      <c r="H379" s="21" t="s">
        <v>177</v>
      </c>
      <c r="I379" s="21" t="s">
        <v>113</v>
      </c>
      <c r="J379" s="21" t="s">
        <v>134</v>
      </c>
      <c r="K379" s="0" t="n">
        <v>4</v>
      </c>
      <c r="L379" s="0" t="n">
        <v>2</v>
      </c>
      <c r="M379" s="0" t="n">
        <v>2</v>
      </c>
      <c r="N379" s="0" t="n">
        <v>0</v>
      </c>
      <c r="O379" s="0" t="n">
        <v>0</v>
      </c>
      <c r="P379" s="0" t="n">
        <v>4</v>
      </c>
      <c r="Q379" s="0" t="n">
        <v>1</v>
      </c>
      <c r="R379" s="0" t="n">
        <v>0</v>
      </c>
      <c r="S379" s="0" t="n">
        <v>3</v>
      </c>
      <c r="T379" s="0" t="n">
        <v>0</v>
      </c>
      <c r="U379" s="21" t="s">
        <v>2212</v>
      </c>
      <c r="V379" s="21" t="s">
        <v>70</v>
      </c>
      <c r="W379" s="21" t="s">
        <v>283</v>
      </c>
      <c r="X379" s="0" t="n">
        <v>3.58</v>
      </c>
      <c r="Y379" s="0" t="n">
        <v>10.2</v>
      </c>
      <c r="Z379" s="0" t="n">
        <v>45.4</v>
      </c>
      <c r="AA379" s="21" t="s">
        <v>2213</v>
      </c>
      <c r="AB379" s="21" t="s">
        <v>2214</v>
      </c>
      <c r="AC379" s="21" t="s">
        <v>120</v>
      </c>
      <c r="AD379" s="0" t="n">
        <v>99</v>
      </c>
      <c r="AE379" s="22" t="b">
        <f aca="false">FALSE()</f>
        <v>0</v>
      </c>
      <c r="AF379" s="21" t="s">
        <v>121</v>
      </c>
      <c r="AG379" s="21" t="s">
        <v>2215</v>
      </c>
    </row>
    <row r="380" customFormat="false" ht="15" hidden="false" customHeight="false" outlineLevel="0" collapsed="false">
      <c r="A380" s="0" t="s">
        <v>2216</v>
      </c>
      <c r="B380" s="18" t="s">
        <v>109</v>
      </c>
      <c r="C380" s="19" t="s">
        <v>26</v>
      </c>
      <c r="D380" s="20" t="s">
        <v>31</v>
      </c>
      <c r="E380" s="21" t="s">
        <v>2217</v>
      </c>
      <c r="G380" s="21" t="s">
        <v>111</v>
      </c>
      <c r="H380" s="21" t="s">
        <v>575</v>
      </c>
      <c r="I380" s="21" t="s">
        <v>113</v>
      </c>
      <c r="J380" s="21" t="s">
        <v>134</v>
      </c>
      <c r="K380" s="0" t="n">
        <v>4</v>
      </c>
      <c r="L380" s="0" t="n">
        <v>0</v>
      </c>
      <c r="M380" s="0" t="n">
        <v>2</v>
      </c>
      <c r="N380" s="0" t="n">
        <v>2</v>
      </c>
      <c r="O380" s="0" t="n">
        <v>0</v>
      </c>
      <c r="P380" s="0" t="n">
        <v>2</v>
      </c>
      <c r="Q380" s="0" t="n">
        <v>0</v>
      </c>
      <c r="R380" s="0" t="n">
        <v>0</v>
      </c>
      <c r="S380" s="0" t="n">
        <v>2</v>
      </c>
      <c r="T380" s="0" t="n">
        <v>2</v>
      </c>
      <c r="U380" s="21" t="s">
        <v>2218</v>
      </c>
      <c r="V380" s="21" t="s">
        <v>69</v>
      </c>
      <c r="W380" s="21" t="s">
        <v>136</v>
      </c>
      <c r="X380" s="0" t="n">
        <v>7.71</v>
      </c>
      <c r="Y380" s="0" t="n">
        <v>14.2</v>
      </c>
      <c r="Z380" s="0" t="n">
        <v>44.2</v>
      </c>
      <c r="AA380" s="21" t="s">
        <v>2219</v>
      </c>
      <c r="AB380" s="21" t="s">
        <v>2220</v>
      </c>
      <c r="AC380" s="21" t="s">
        <v>120</v>
      </c>
      <c r="AD380" s="0" t="n">
        <v>96</v>
      </c>
      <c r="AE380" s="22" t="b">
        <f aca="false">FALSE()</f>
        <v>0</v>
      </c>
      <c r="AF380" s="21" t="s">
        <v>121</v>
      </c>
      <c r="AG380" s="21" t="s">
        <v>2221</v>
      </c>
    </row>
    <row r="381" customFormat="false" ht="15" hidden="false" customHeight="false" outlineLevel="0" collapsed="false">
      <c r="A381" s="0" t="s">
        <v>2222</v>
      </c>
      <c r="B381" s="20" t="s">
        <v>124</v>
      </c>
      <c r="E381" s="21" t="s">
        <v>2223</v>
      </c>
      <c r="F381" s="21" t="s">
        <v>2224</v>
      </c>
      <c r="G381" s="21" t="s">
        <v>111</v>
      </c>
      <c r="H381" s="21" t="s">
        <v>362</v>
      </c>
      <c r="I381" s="21" t="s">
        <v>113</v>
      </c>
      <c r="Z381" s="0" t="n">
        <v>0</v>
      </c>
      <c r="AA381" s="21" t="s">
        <v>2225</v>
      </c>
      <c r="AB381" s="21" t="s">
        <v>2225</v>
      </c>
      <c r="AE381" s="22" t="b">
        <f aca="false">FALSE()</f>
        <v>0</v>
      </c>
      <c r="AF381" s="21" t="s">
        <v>121</v>
      </c>
      <c r="AG381" s="21" t="s">
        <v>2226</v>
      </c>
    </row>
    <row r="382" customFormat="false" ht="15" hidden="false" customHeight="false" outlineLevel="0" collapsed="false">
      <c r="A382" s="0" t="s">
        <v>2227</v>
      </c>
      <c r="B382" s="18" t="s">
        <v>109</v>
      </c>
      <c r="C382" s="20" t="s">
        <v>25</v>
      </c>
      <c r="D382" s="23" t="s">
        <v>30</v>
      </c>
      <c r="E382" s="21" t="s">
        <v>2228</v>
      </c>
      <c r="G382" s="21" t="s">
        <v>127</v>
      </c>
      <c r="H382" s="21" t="s">
        <v>397</v>
      </c>
      <c r="I382" s="21" t="s">
        <v>113</v>
      </c>
      <c r="J382" s="21" t="s">
        <v>134</v>
      </c>
      <c r="K382" s="0" t="n">
        <v>4</v>
      </c>
      <c r="L382" s="0" t="n">
        <v>1</v>
      </c>
      <c r="M382" s="0" t="n">
        <v>3</v>
      </c>
      <c r="N382" s="0" t="n">
        <v>0</v>
      </c>
      <c r="O382" s="0" t="n">
        <v>0</v>
      </c>
      <c r="P382" s="0" t="n">
        <v>4</v>
      </c>
      <c r="Q382" s="0" t="n">
        <v>0</v>
      </c>
      <c r="R382" s="0" t="n">
        <v>0</v>
      </c>
      <c r="S382" s="0" t="n">
        <v>4</v>
      </c>
      <c r="T382" s="0" t="n">
        <v>0</v>
      </c>
      <c r="U382" s="21" t="s">
        <v>2229</v>
      </c>
      <c r="V382" s="21" t="s">
        <v>69</v>
      </c>
      <c r="W382" s="21" t="s">
        <v>1099</v>
      </c>
      <c r="X382" s="0" t="n">
        <v>1.37</v>
      </c>
      <c r="Y382" s="0" t="n">
        <v>11.7</v>
      </c>
      <c r="Z382" s="0" t="n">
        <v>52.8</v>
      </c>
      <c r="AA382" s="21" t="s">
        <v>2230</v>
      </c>
      <c r="AB382" s="21" t="s">
        <v>2231</v>
      </c>
      <c r="AC382" s="21" t="s">
        <v>120</v>
      </c>
      <c r="AD382" s="0" t="n">
        <v>98</v>
      </c>
      <c r="AE382" s="22" t="b">
        <f aca="false">FALSE()</f>
        <v>0</v>
      </c>
      <c r="AF382" s="21" t="s">
        <v>121</v>
      </c>
      <c r="AG382" s="21" t="s">
        <v>2232</v>
      </c>
    </row>
    <row r="383" customFormat="false" ht="15" hidden="false" customHeight="false" outlineLevel="0" collapsed="false">
      <c r="A383" s="0" t="s">
        <v>2233</v>
      </c>
      <c r="B383" s="20" t="s">
        <v>124</v>
      </c>
      <c r="E383" s="21" t="s">
        <v>206</v>
      </c>
      <c r="F383" s="21" t="s">
        <v>207</v>
      </c>
      <c r="G383" s="21" t="s">
        <v>127</v>
      </c>
      <c r="H383" s="21" t="s">
        <v>208</v>
      </c>
      <c r="I383" s="21" t="s">
        <v>113</v>
      </c>
      <c r="Z383" s="0" t="n">
        <v>0</v>
      </c>
      <c r="AA383" s="21" t="s">
        <v>2234</v>
      </c>
      <c r="AB383" s="21" t="s">
        <v>2234</v>
      </c>
      <c r="AE383" s="22" t="b">
        <f aca="false">FALSE()</f>
        <v>0</v>
      </c>
      <c r="AF383" s="21" t="s">
        <v>121</v>
      </c>
      <c r="AG383" s="21" t="s">
        <v>2235</v>
      </c>
    </row>
    <row r="384" customFormat="false" ht="15" hidden="false" customHeight="false" outlineLevel="0" collapsed="false">
      <c r="A384" s="0" t="s">
        <v>2236</v>
      </c>
      <c r="B384" s="18" t="s">
        <v>109</v>
      </c>
      <c r="C384" s="19" t="s">
        <v>26</v>
      </c>
      <c r="D384" s="20" t="s">
        <v>31</v>
      </c>
      <c r="E384" s="21" t="s">
        <v>2237</v>
      </c>
      <c r="G384" s="21" t="s">
        <v>111</v>
      </c>
      <c r="H384" s="21" t="s">
        <v>151</v>
      </c>
      <c r="I384" s="21" t="s">
        <v>113</v>
      </c>
      <c r="J384" s="21" t="s">
        <v>134</v>
      </c>
      <c r="K384" s="0" t="n">
        <v>4</v>
      </c>
      <c r="L384" s="0" t="n">
        <v>0</v>
      </c>
      <c r="M384" s="0" t="n">
        <v>3</v>
      </c>
      <c r="N384" s="0" t="n">
        <v>1</v>
      </c>
      <c r="O384" s="0" t="n">
        <v>0</v>
      </c>
      <c r="P384" s="0" t="n">
        <v>3</v>
      </c>
      <c r="Q384" s="0" t="n">
        <v>0</v>
      </c>
      <c r="R384" s="0" t="n">
        <v>2</v>
      </c>
      <c r="S384" s="0" t="n">
        <v>1</v>
      </c>
      <c r="T384" s="0" t="n">
        <v>1</v>
      </c>
      <c r="U384" s="21" t="s">
        <v>2238</v>
      </c>
      <c r="V384" s="21" t="s">
        <v>69</v>
      </c>
      <c r="W384" s="21" t="s">
        <v>698</v>
      </c>
      <c r="X384" s="0" t="n">
        <v>0.93</v>
      </c>
      <c r="Y384" s="0" t="n">
        <v>11.6</v>
      </c>
      <c r="Z384" s="0" t="n">
        <v>44.9</v>
      </c>
      <c r="AA384" s="21" t="s">
        <v>2239</v>
      </c>
      <c r="AB384" s="21" t="s">
        <v>2240</v>
      </c>
      <c r="AC384" s="21" t="s">
        <v>120</v>
      </c>
      <c r="AD384" s="0" t="n">
        <v>96</v>
      </c>
      <c r="AE384" s="22" t="b">
        <f aca="false">FALSE()</f>
        <v>0</v>
      </c>
      <c r="AF384" s="21" t="s">
        <v>121</v>
      </c>
      <c r="AG384" s="21" t="s">
        <v>2241</v>
      </c>
    </row>
    <row r="385" customFormat="false" ht="15" hidden="false" customHeight="false" outlineLevel="0" collapsed="false">
      <c r="A385" s="0" t="s">
        <v>2242</v>
      </c>
      <c r="B385" s="20" t="s">
        <v>124</v>
      </c>
      <c r="E385" s="21" t="s">
        <v>2243</v>
      </c>
      <c r="F385" s="21" t="s">
        <v>2244</v>
      </c>
      <c r="G385" s="21" t="s">
        <v>127</v>
      </c>
      <c r="H385" s="21" t="s">
        <v>362</v>
      </c>
      <c r="I385" s="21" t="s">
        <v>113</v>
      </c>
      <c r="Z385" s="0" t="n">
        <v>0</v>
      </c>
      <c r="AA385" s="21" t="s">
        <v>2245</v>
      </c>
      <c r="AB385" s="21" t="s">
        <v>2245</v>
      </c>
      <c r="AE385" s="22" t="b">
        <f aca="false">FALSE()</f>
        <v>0</v>
      </c>
      <c r="AF385" s="21" t="s">
        <v>121</v>
      </c>
      <c r="AG385" s="21" t="s">
        <v>2246</v>
      </c>
    </row>
    <row r="386" customFormat="false" ht="15" hidden="false" customHeight="false" outlineLevel="0" collapsed="false">
      <c r="A386" s="0" t="s">
        <v>2247</v>
      </c>
      <c r="B386" s="18" t="s">
        <v>109</v>
      </c>
      <c r="C386" s="19" t="s">
        <v>26</v>
      </c>
      <c r="D386" s="20" t="s">
        <v>31</v>
      </c>
      <c r="E386" s="21" t="s">
        <v>2248</v>
      </c>
      <c r="G386" s="21" t="s">
        <v>111</v>
      </c>
      <c r="H386" s="21" t="s">
        <v>331</v>
      </c>
      <c r="I386" s="21" t="s">
        <v>171</v>
      </c>
      <c r="J386" s="21" t="s">
        <v>114</v>
      </c>
      <c r="K386" s="0" t="n">
        <v>8</v>
      </c>
      <c r="L386" s="0" t="n">
        <v>1</v>
      </c>
      <c r="M386" s="0" t="n">
        <v>4</v>
      </c>
      <c r="N386" s="0" t="n">
        <v>3</v>
      </c>
      <c r="O386" s="0" t="n">
        <v>0</v>
      </c>
      <c r="P386" s="0" t="n">
        <v>5</v>
      </c>
      <c r="Q386" s="0" t="n">
        <v>0</v>
      </c>
      <c r="R386" s="0" t="n">
        <v>0</v>
      </c>
      <c r="S386" s="0" t="n">
        <v>5</v>
      </c>
      <c r="T386" s="0" t="n">
        <v>3</v>
      </c>
      <c r="U386" s="21" t="s">
        <v>2249</v>
      </c>
      <c r="V386" s="21" t="s">
        <v>69</v>
      </c>
      <c r="W386" s="21" t="s">
        <v>313</v>
      </c>
      <c r="X386" s="0" t="n">
        <v>9.03</v>
      </c>
      <c r="Y386" s="0" t="n">
        <v>15.3</v>
      </c>
      <c r="Z386" s="0" t="n">
        <v>82.7</v>
      </c>
      <c r="AA386" s="21" t="s">
        <v>2250</v>
      </c>
      <c r="AB386" s="21" t="s">
        <v>2251</v>
      </c>
      <c r="AC386" s="21" t="s">
        <v>120</v>
      </c>
      <c r="AD386" s="0" t="n">
        <v>192</v>
      </c>
      <c r="AE386" s="22" t="b">
        <f aca="false">FALSE()</f>
        <v>0</v>
      </c>
      <c r="AF386" s="21" t="s">
        <v>121</v>
      </c>
      <c r="AG386" s="21" t="s">
        <v>2252</v>
      </c>
    </row>
    <row r="387" customFormat="false" ht="15" hidden="false" customHeight="false" outlineLevel="0" collapsed="false">
      <c r="A387" s="0" t="s">
        <v>2253</v>
      </c>
      <c r="B387" s="18" t="s">
        <v>109</v>
      </c>
      <c r="C387" s="20" t="s">
        <v>25</v>
      </c>
      <c r="D387" s="23" t="s">
        <v>30</v>
      </c>
      <c r="E387" s="21" t="s">
        <v>2254</v>
      </c>
      <c r="G387" s="21" t="s">
        <v>127</v>
      </c>
      <c r="H387" s="21" t="s">
        <v>112</v>
      </c>
      <c r="I387" s="21" t="s">
        <v>113</v>
      </c>
      <c r="J387" s="21" t="s">
        <v>134</v>
      </c>
      <c r="K387" s="0" t="n">
        <v>4</v>
      </c>
      <c r="L387" s="0" t="n">
        <v>2</v>
      </c>
      <c r="M387" s="0" t="n">
        <v>2</v>
      </c>
      <c r="N387" s="0" t="n">
        <v>0</v>
      </c>
      <c r="O387" s="0" t="n">
        <v>0</v>
      </c>
      <c r="P387" s="0" t="n">
        <v>4</v>
      </c>
      <c r="Q387" s="0" t="n">
        <v>0</v>
      </c>
      <c r="R387" s="0" t="n">
        <v>0</v>
      </c>
      <c r="S387" s="0" t="n">
        <v>4</v>
      </c>
      <c r="T387" s="0" t="n">
        <v>0</v>
      </c>
      <c r="U387" s="21" t="s">
        <v>2255</v>
      </c>
      <c r="V387" s="21" t="s">
        <v>69</v>
      </c>
      <c r="W387" s="21" t="s">
        <v>1230</v>
      </c>
      <c r="X387" s="0" t="n">
        <v>8.23</v>
      </c>
      <c r="Y387" s="0" t="n">
        <v>5.2</v>
      </c>
      <c r="Z387" s="0" t="n">
        <v>44.7</v>
      </c>
      <c r="AA387" s="21" t="s">
        <v>2256</v>
      </c>
      <c r="AB387" s="21" t="s">
        <v>2257</v>
      </c>
      <c r="AC387" s="21" t="s">
        <v>120</v>
      </c>
      <c r="AD387" s="0" t="n">
        <v>95</v>
      </c>
      <c r="AE387" s="22" t="b">
        <f aca="false">FALSE()</f>
        <v>0</v>
      </c>
      <c r="AF387" s="21" t="s">
        <v>121</v>
      </c>
      <c r="AG387" s="21" t="s">
        <v>2258</v>
      </c>
    </row>
    <row r="388" customFormat="false" ht="15" hidden="false" customHeight="false" outlineLevel="0" collapsed="false">
      <c r="A388" s="0" t="s">
        <v>2259</v>
      </c>
      <c r="B388" s="18" t="s">
        <v>109</v>
      </c>
      <c r="C388" s="19" t="s">
        <v>26</v>
      </c>
      <c r="D388" s="20" t="s">
        <v>31</v>
      </c>
      <c r="E388" s="21" t="s">
        <v>2260</v>
      </c>
      <c r="G388" s="21" t="s">
        <v>111</v>
      </c>
      <c r="H388" s="21" t="s">
        <v>229</v>
      </c>
      <c r="I388" s="21" t="s">
        <v>113</v>
      </c>
      <c r="J388" s="21" t="s">
        <v>134</v>
      </c>
      <c r="K388" s="0" t="n">
        <v>4</v>
      </c>
      <c r="L388" s="0" t="n">
        <v>0</v>
      </c>
      <c r="M388" s="0" t="n">
        <v>2</v>
      </c>
      <c r="N388" s="0" t="n">
        <v>2</v>
      </c>
      <c r="O388" s="0" t="n">
        <v>0</v>
      </c>
      <c r="P388" s="0" t="n">
        <v>2</v>
      </c>
      <c r="Q388" s="0" t="n">
        <v>0</v>
      </c>
      <c r="R388" s="0" t="n">
        <v>1</v>
      </c>
      <c r="S388" s="0" t="n">
        <v>1</v>
      </c>
      <c r="T388" s="0" t="n">
        <v>2</v>
      </c>
      <c r="U388" s="21" t="s">
        <v>2261</v>
      </c>
      <c r="V388" s="21" t="s">
        <v>69</v>
      </c>
      <c r="W388" s="21" t="s">
        <v>117</v>
      </c>
      <c r="X388" s="0" t="n">
        <v>1.55</v>
      </c>
      <c r="Y388" s="0" t="n">
        <v>16.2</v>
      </c>
      <c r="Z388" s="0" t="n">
        <v>43.9</v>
      </c>
      <c r="AA388" s="21" t="s">
        <v>2262</v>
      </c>
      <c r="AB388" s="21" t="s">
        <v>2263</v>
      </c>
      <c r="AC388" s="21" t="s">
        <v>120</v>
      </c>
      <c r="AD388" s="0" t="n">
        <v>101</v>
      </c>
      <c r="AE388" s="22" t="b">
        <f aca="false">FALSE()</f>
        <v>0</v>
      </c>
      <c r="AF388" s="21" t="s">
        <v>121</v>
      </c>
      <c r="AG388" s="21" t="s">
        <v>2264</v>
      </c>
    </row>
    <row r="389" customFormat="false" ht="15" hidden="false" customHeight="false" outlineLevel="0" collapsed="false">
      <c r="A389" s="0" t="s">
        <v>2265</v>
      </c>
      <c r="B389" s="18" t="s">
        <v>109</v>
      </c>
      <c r="C389" s="19" t="s">
        <v>26</v>
      </c>
      <c r="D389" s="20" t="s">
        <v>31</v>
      </c>
      <c r="E389" s="21" t="s">
        <v>2266</v>
      </c>
      <c r="G389" s="21" t="s">
        <v>111</v>
      </c>
      <c r="H389" s="21" t="s">
        <v>382</v>
      </c>
      <c r="I389" s="21" t="s">
        <v>113</v>
      </c>
      <c r="J389" s="21" t="s">
        <v>134</v>
      </c>
      <c r="K389" s="0" t="n">
        <v>4</v>
      </c>
      <c r="L389" s="0" t="n">
        <v>0</v>
      </c>
      <c r="M389" s="0" t="n">
        <v>2</v>
      </c>
      <c r="N389" s="0" t="n">
        <v>2</v>
      </c>
      <c r="O389" s="0" t="n">
        <v>0</v>
      </c>
      <c r="P389" s="0" t="n">
        <v>2</v>
      </c>
      <c r="Q389" s="0" t="n">
        <v>0</v>
      </c>
      <c r="R389" s="0" t="n">
        <v>0</v>
      </c>
      <c r="S389" s="0" t="n">
        <v>2</v>
      </c>
      <c r="T389" s="0" t="n">
        <v>2</v>
      </c>
      <c r="U389" s="21" t="s">
        <v>2267</v>
      </c>
      <c r="V389" s="21" t="s">
        <v>69</v>
      </c>
      <c r="W389" s="21" t="s">
        <v>313</v>
      </c>
      <c r="X389" s="0" t="n">
        <v>6.52</v>
      </c>
      <c r="Y389" s="0" t="n">
        <v>25.4</v>
      </c>
      <c r="Z389" s="0" t="n">
        <v>44</v>
      </c>
      <c r="AA389" s="21" t="s">
        <v>2268</v>
      </c>
      <c r="AB389" s="21" t="s">
        <v>2269</v>
      </c>
      <c r="AC389" s="21" t="s">
        <v>120</v>
      </c>
      <c r="AD389" s="0" t="n">
        <v>95</v>
      </c>
      <c r="AE389" s="22" t="b">
        <f aca="false">FALSE()</f>
        <v>0</v>
      </c>
      <c r="AF389" s="21" t="s">
        <v>121</v>
      </c>
      <c r="AG389" s="21" t="s">
        <v>2270</v>
      </c>
    </row>
    <row r="390" customFormat="false" ht="15" hidden="false" customHeight="false" outlineLevel="0" collapsed="false">
      <c r="A390" s="0" t="s">
        <v>2271</v>
      </c>
      <c r="B390" s="20" t="s">
        <v>124</v>
      </c>
      <c r="E390" s="21" t="s">
        <v>125</v>
      </c>
      <c r="F390" s="21" t="s">
        <v>126</v>
      </c>
      <c r="G390" s="21" t="s">
        <v>127</v>
      </c>
      <c r="H390" s="21" t="s">
        <v>128</v>
      </c>
      <c r="I390" s="21" t="s">
        <v>113</v>
      </c>
      <c r="Z390" s="0" t="n">
        <v>0</v>
      </c>
      <c r="AA390" s="21" t="s">
        <v>2272</v>
      </c>
      <c r="AB390" s="21" t="s">
        <v>2272</v>
      </c>
      <c r="AE390" s="22" t="b">
        <f aca="false">FALSE()</f>
        <v>0</v>
      </c>
      <c r="AF390" s="21" t="s">
        <v>121</v>
      </c>
      <c r="AG390" s="21" t="s">
        <v>2273</v>
      </c>
    </row>
    <row r="391" customFormat="false" ht="15" hidden="false" customHeight="false" outlineLevel="0" collapsed="false">
      <c r="A391" s="0" t="s">
        <v>2274</v>
      </c>
      <c r="B391" s="18" t="s">
        <v>109</v>
      </c>
      <c r="C391" s="20" t="s">
        <v>25</v>
      </c>
      <c r="D391" s="23" t="s">
        <v>30</v>
      </c>
      <c r="E391" s="21" t="s">
        <v>2275</v>
      </c>
      <c r="G391" s="21" t="s">
        <v>111</v>
      </c>
      <c r="H391" s="21" t="s">
        <v>299</v>
      </c>
      <c r="I391" s="21" t="s">
        <v>113</v>
      </c>
      <c r="J391" s="21" t="s">
        <v>134</v>
      </c>
      <c r="K391" s="0" t="n">
        <v>4</v>
      </c>
      <c r="L391" s="0" t="n">
        <v>3</v>
      </c>
      <c r="M391" s="0" t="n">
        <v>1</v>
      </c>
      <c r="N391" s="0" t="n">
        <v>0</v>
      </c>
      <c r="O391" s="0" t="n">
        <v>0</v>
      </c>
      <c r="P391" s="0" t="n">
        <v>4</v>
      </c>
      <c r="Q391" s="0" t="n">
        <v>1</v>
      </c>
      <c r="R391" s="0" t="n">
        <v>0</v>
      </c>
      <c r="S391" s="0" t="n">
        <v>3</v>
      </c>
      <c r="T391" s="0" t="n">
        <v>0</v>
      </c>
      <c r="U391" s="21" t="s">
        <v>2276</v>
      </c>
      <c r="V391" s="21" t="s">
        <v>69</v>
      </c>
      <c r="W391" s="21" t="s">
        <v>283</v>
      </c>
      <c r="X391" s="0" t="n">
        <v>6.65</v>
      </c>
      <c r="Y391" s="0" t="n">
        <v>8.1</v>
      </c>
      <c r="Z391" s="0" t="n">
        <v>42.1</v>
      </c>
      <c r="AA391" s="21" t="s">
        <v>2277</v>
      </c>
      <c r="AB391" s="21" t="s">
        <v>2278</v>
      </c>
      <c r="AC391" s="21" t="s">
        <v>120</v>
      </c>
      <c r="AD391" s="0" t="n">
        <v>95</v>
      </c>
      <c r="AE391" s="22" t="b">
        <f aca="false">FALSE()</f>
        <v>0</v>
      </c>
      <c r="AF391" s="21" t="s">
        <v>121</v>
      </c>
      <c r="AG391" s="21" t="s">
        <v>2279</v>
      </c>
    </row>
    <row r="392" customFormat="false" ht="15" hidden="false" customHeight="false" outlineLevel="0" collapsed="false">
      <c r="A392" s="0" t="s">
        <v>2280</v>
      </c>
      <c r="B392" s="18" t="s">
        <v>109</v>
      </c>
      <c r="C392" s="19" t="s">
        <v>26</v>
      </c>
      <c r="D392" s="20" t="s">
        <v>31</v>
      </c>
      <c r="E392" s="21" t="s">
        <v>2281</v>
      </c>
      <c r="G392" s="21" t="s">
        <v>127</v>
      </c>
      <c r="H392" s="21" t="s">
        <v>203</v>
      </c>
      <c r="I392" s="21" t="s">
        <v>113</v>
      </c>
      <c r="J392" s="21" t="s">
        <v>114</v>
      </c>
      <c r="K392" s="0" t="n">
        <v>8</v>
      </c>
      <c r="L392" s="0" t="n">
        <v>3</v>
      </c>
      <c r="M392" s="0" t="n">
        <v>1</v>
      </c>
      <c r="N392" s="0" t="n">
        <v>4</v>
      </c>
      <c r="O392" s="0" t="n">
        <v>0</v>
      </c>
      <c r="P392" s="0" t="n">
        <v>4</v>
      </c>
      <c r="Q392" s="0" t="n">
        <v>3</v>
      </c>
      <c r="R392" s="0" t="n">
        <v>1</v>
      </c>
      <c r="S392" s="0" t="n">
        <v>0</v>
      </c>
      <c r="T392" s="0" t="n">
        <v>4</v>
      </c>
      <c r="U392" s="21" t="s">
        <v>2282</v>
      </c>
      <c r="V392" s="21" t="s">
        <v>69</v>
      </c>
      <c r="W392" s="21" t="s">
        <v>1076</v>
      </c>
      <c r="X392" s="0" t="n">
        <v>8.52</v>
      </c>
      <c r="Y392" s="0" t="n">
        <v>15</v>
      </c>
      <c r="Z392" s="0" t="n">
        <v>76.1</v>
      </c>
      <c r="AA392" s="21" t="s">
        <v>2283</v>
      </c>
      <c r="AB392" s="21" t="s">
        <v>2284</v>
      </c>
      <c r="AC392" s="21" t="s">
        <v>120</v>
      </c>
      <c r="AD392" s="0" t="n">
        <v>192</v>
      </c>
      <c r="AE392" s="22" t="b">
        <f aca="false">FALSE()</f>
        <v>0</v>
      </c>
      <c r="AF392" s="21" t="s">
        <v>121</v>
      </c>
      <c r="AG392" s="21" t="s">
        <v>2285</v>
      </c>
    </row>
    <row r="393" customFormat="false" ht="15" hidden="false" customHeight="false" outlineLevel="0" collapsed="false">
      <c r="A393" s="0" t="s">
        <v>2286</v>
      </c>
      <c r="B393" s="20" t="s">
        <v>124</v>
      </c>
      <c r="E393" s="21" t="s">
        <v>2287</v>
      </c>
      <c r="F393" s="21" t="s">
        <v>2288</v>
      </c>
      <c r="G393" s="21" t="s">
        <v>127</v>
      </c>
      <c r="H393" s="21" t="s">
        <v>275</v>
      </c>
      <c r="I393" s="21" t="s">
        <v>171</v>
      </c>
      <c r="Z393" s="0" t="n">
        <v>0</v>
      </c>
      <c r="AA393" s="21" t="s">
        <v>2289</v>
      </c>
      <c r="AB393" s="21" t="s">
        <v>2289</v>
      </c>
      <c r="AE393" s="22" t="b">
        <f aca="false">FALSE()</f>
        <v>0</v>
      </c>
      <c r="AF393" s="21" t="s">
        <v>121</v>
      </c>
      <c r="AG393" s="21" t="s">
        <v>2290</v>
      </c>
    </row>
    <row r="394" customFormat="false" ht="15" hidden="false" customHeight="false" outlineLevel="0" collapsed="false">
      <c r="A394" s="0" t="s">
        <v>2291</v>
      </c>
      <c r="B394" s="20" t="s">
        <v>124</v>
      </c>
      <c r="E394" s="21" t="s">
        <v>2292</v>
      </c>
      <c r="F394" s="21" t="s">
        <v>2293</v>
      </c>
      <c r="G394" s="21" t="s">
        <v>127</v>
      </c>
      <c r="H394" s="21" t="s">
        <v>281</v>
      </c>
      <c r="I394" s="21" t="s">
        <v>113</v>
      </c>
      <c r="Z394" s="0" t="n">
        <v>0</v>
      </c>
      <c r="AA394" s="21" t="s">
        <v>2294</v>
      </c>
      <c r="AB394" s="21" t="s">
        <v>2294</v>
      </c>
      <c r="AE394" s="22" t="b">
        <f aca="false">FALSE()</f>
        <v>0</v>
      </c>
      <c r="AF394" s="21" t="s">
        <v>121</v>
      </c>
      <c r="AG394" s="21" t="s">
        <v>2295</v>
      </c>
    </row>
    <row r="395" customFormat="false" ht="15" hidden="false" customHeight="false" outlineLevel="0" collapsed="false">
      <c r="A395" s="0" t="s">
        <v>2296</v>
      </c>
      <c r="B395" s="18" t="s">
        <v>109</v>
      </c>
      <c r="C395" s="20" t="s">
        <v>25</v>
      </c>
      <c r="D395" s="23" t="s">
        <v>30</v>
      </c>
      <c r="E395" s="21" t="s">
        <v>2297</v>
      </c>
      <c r="G395" s="21" t="s">
        <v>111</v>
      </c>
      <c r="H395" s="21" t="s">
        <v>203</v>
      </c>
      <c r="I395" s="21" t="s">
        <v>113</v>
      </c>
      <c r="J395" s="21" t="s">
        <v>114</v>
      </c>
      <c r="K395" s="0" t="n">
        <v>8</v>
      </c>
      <c r="L395" s="0" t="n">
        <v>1</v>
      </c>
      <c r="M395" s="0" t="n">
        <v>7</v>
      </c>
      <c r="N395" s="0" t="n">
        <v>0</v>
      </c>
      <c r="O395" s="0" t="n">
        <v>0</v>
      </c>
      <c r="P395" s="0" t="n">
        <v>8</v>
      </c>
      <c r="Q395" s="0" t="n">
        <v>1</v>
      </c>
      <c r="R395" s="0" t="n">
        <v>0</v>
      </c>
      <c r="S395" s="0" t="n">
        <v>7</v>
      </c>
      <c r="T395" s="0" t="n">
        <v>0</v>
      </c>
      <c r="U395" s="21" t="s">
        <v>2298</v>
      </c>
      <c r="V395" s="21" t="s">
        <v>69</v>
      </c>
      <c r="W395" s="21" t="s">
        <v>183</v>
      </c>
      <c r="X395" s="0" t="n">
        <v>5.97</v>
      </c>
      <c r="Y395" s="0" t="n">
        <v>14.9</v>
      </c>
      <c r="Z395" s="0" t="n">
        <v>75.4</v>
      </c>
      <c r="AA395" s="21" t="s">
        <v>2299</v>
      </c>
      <c r="AB395" s="21" t="s">
        <v>2300</v>
      </c>
      <c r="AC395" s="21" t="s">
        <v>120</v>
      </c>
      <c r="AD395" s="0" t="n">
        <v>190</v>
      </c>
      <c r="AE395" s="22" t="b">
        <f aca="false">FALSE()</f>
        <v>0</v>
      </c>
      <c r="AF395" s="21" t="s">
        <v>121</v>
      </c>
      <c r="AG395" s="21" t="s">
        <v>2301</v>
      </c>
    </row>
    <row r="396" customFormat="false" ht="15" hidden="false" customHeight="false" outlineLevel="0" collapsed="false">
      <c r="A396" s="0" t="s">
        <v>2302</v>
      </c>
      <c r="B396" s="18" t="s">
        <v>109</v>
      </c>
      <c r="C396" s="20" t="s">
        <v>25</v>
      </c>
      <c r="D396" s="23" t="s">
        <v>30</v>
      </c>
      <c r="E396" s="21" t="s">
        <v>2303</v>
      </c>
      <c r="G396" s="21" t="s">
        <v>127</v>
      </c>
      <c r="H396" s="21" t="s">
        <v>869</v>
      </c>
      <c r="I396" s="21" t="s">
        <v>113</v>
      </c>
      <c r="J396" s="21" t="s">
        <v>114</v>
      </c>
      <c r="K396" s="0" t="n">
        <v>8</v>
      </c>
      <c r="L396" s="0" t="n">
        <v>3</v>
      </c>
      <c r="M396" s="0" t="n">
        <v>5</v>
      </c>
      <c r="N396" s="0" t="n">
        <v>0</v>
      </c>
      <c r="O396" s="0" t="n">
        <v>0</v>
      </c>
      <c r="P396" s="0" t="n">
        <v>8</v>
      </c>
      <c r="Q396" s="0" t="n">
        <v>1</v>
      </c>
      <c r="R396" s="0" t="n">
        <v>0</v>
      </c>
      <c r="S396" s="0" t="n">
        <v>7</v>
      </c>
      <c r="T396" s="0" t="n">
        <v>0</v>
      </c>
      <c r="U396" s="21" t="s">
        <v>2304</v>
      </c>
      <c r="V396" s="21" t="s">
        <v>69</v>
      </c>
      <c r="W396" s="21" t="s">
        <v>357</v>
      </c>
      <c r="X396" s="0" t="n">
        <v>2.03</v>
      </c>
      <c r="Y396" s="0" t="n">
        <v>11.4</v>
      </c>
      <c r="Z396" s="0" t="n">
        <v>78.2</v>
      </c>
      <c r="AA396" s="21" t="s">
        <v>2305</v>
      </c>
      <c r="AB396" s="21" t="s">
        <v>2306</v>
      </c>
      <c r="AC396" s="21" t="s">
        <v>120</v>
      </c>
      <c r="AD396" s="0" t="n">
        <v>193</v>
      </c>
      <c r="AE396" s="22" t="b">
        <f aca="false">FALSE()</f>
        <v>0</v>
      </c>
      <c r="AF396" s="21" t="s">
        <v>121</v>
      </c>
      <c r="AG396" s="21" t="s">
        <v>2307</v>
      </c>
    </row>
    <row r="397" customFormat="false" ht="15" hidden="false" customHeight="false" outlineLevel="0" collapsed="false">
      <c r="A397" s="0" t="s">
        <v>2308</v>
      </c>
      <c r="B397" s="18" t="s">
        <v>109</v>
      </c>
      <c r="C397" s="19" t="s">
        <v>26</v>
      </c>
      <c r="D397" s="20" t="s">
        <v>31</v>
      </c>
      <c r="E397" s="21" t="s">
        <v>2309</v>
      </c>
      <c r="G397" s="21" t="s">
        <v>111</v>
      </c>
      <c r="H397" s="21" t="s">
        <v>1192</v>
      </c>
      <c r="I397" s="21" t="s">
        <v>113</v>
      </c>
      <c r="J397" s="21" t="s">
        <v>134</v>
      </c>
      <c r="K397" s="0" t="n">
        <v>4</v>
      </c>
      <c r="L397" s="0" t="n">
        <v>0</v>
      </c>
      <c r="M397" s="0" t="n">
        <v>3</v>
      </c>
      <c r="N397" s="0" t="n">
        <v>1</v>
      </c>
      <c r="O397" s="0" t="n">
        <v>0</v>
      </c>
      <c r="P397" s="0" t="n">
        <v>3</v>
      </c>
      <c r="Q397" s="0" t="n">
        <v>0</v>
      </c>
      <c r="R397" s="0" t="n">
        <v>2</v>
      </c>
      <c r="S397" s="0" t="n">
        <v>1</v>
      </c>
      <c r="T397" s="0" t="n">
        <v>1</v>
      </c>
      <c r="U397" s="21" t="s">
        <v>2310</v>
      </c>
      <c r="V397" s="21" t="s">
        <v>69</v>
      </c>
      <c r="W397" s="21" t="s">
        <v>646</v>
      </c>
      <c r="X397" s="0" t="n">
        <v>1.6</v>
      </c>
      <c r="Y397" s="0" t="n">
        <v>17.3</v>
      </c>
      <c r="Z397" s="0" t="n">
        <v>44.1</v>
      </c>
      <c r="AA397" s="21" t="s">
        <v>2311</v>
      </c>
      <c r="AB397" s="21" t="s">
        <v>2312</v>
      </c>
      <c r="AC397" s="21" t="s">
        <v>120</v>
      </c>
      <c r="AD397" s="0" t="n">
        <v>99</v>
      </c>
      <c r="AE397" s="22" t="b">
        <f aca="false">FALSE()</f>
        <v>0</v>
      </c>
      <c r="AF397" s="21" t="s">
        <v>121</v>
      </c>
      <c r="AG397" s="21" t="s">
        <v>2313</v>
      </c>
    </row>
    <row r="398" customFormat="false" ht="15" hidden="false" customHeight="false" outlineLevel="0" collapsed="false">
      <c r="A398" s="0" t="s">
        <v>2314</v>
      </c>
      <c r="B398" s="18" t="s">
        <v>109</v>
      </c>
      <c r="C398" s="19" t="s">
        <v>26</v>
      </c>
      <c r="D398" s="20" t="s">
        <v>31</v>
      </c>
      <c r="E398" s="21" t="s">
        <v>2315</v>
      </c>
      <c r="G398" s="21" t="s">
        <v>111</v>
      </c>
      <c r="H398" s="21" t="s">
        <v>887</v>
      </c>
      <c r="I398" s="21" t="s">
        <v>113</v>
      </c>
      <c r="J398" s="21" t="s">
        <v>134</v>
      </c>
      <c r="K398" s="0" t="n">
        <v>4</v>
      </c>
      <c r="L398" s="0" t="n">
        <v>2</v>
      </c>
      <c r="M398" s="0" t="n">
        <v>0</v>
      </c>
      <c r="N398" s="0" t="n">
        <v>2</v>
      </c>
      <c r="O398" s="0" t="n">
        <v>0</v>
      </c>
      <c r="P398" s="0" t="n">
        <v>2</v>
      </c>
      <c r="Q398" s="0" t="n">
        <v>2</v>
      </c>
      <c r="R398" s="0" t="n">
        <v>0</v>
      </c>
      <c r="S398" s="0" t="n">
        <v>0</v>
      </c>
      <c r="T398" s="0" t="n">
        <v>2</v>
      </c>
      <c r="U398" s="21" t="s">
        <v>2316</v>
      </c>
      <c r="V398" s="21" t="s">
        <v>69</v>
      </c>
      <c r="W398" s="21" t="s">
        <v>529</v>
      </c>
      <c r="X398" s="0" t="n">
        <v>3.16</v>
      </c>
      <c r="Y398" s="0" t="n">
        <v>9.2</v>
      </c>
      <c r="Z398" s="0" t="n">
        <v>42.3</v>
      </c>
      <c r="AA398" s="21" t="s">
        <v>2317</v>
      </c>
      <c r="AB398" s="21" t="s">
        <v>2318</v>
      </c>
      <c r="AC398" s="21" t="s">
        <v>120</v>
      </c>
      <c r="AD398" s="0" t="n">
        <v>95</v>
      </c>
      <c r="AE398" s="22" t="b">
        <f aca="false">FALSE()</f>
        <v>0</v>
      </c>
      <c r="AF398" s="21" t="s">
        <v>121</v>
      </c>
      <c r="AG398" s="21" t="s">
        <v>2319</v>
      </c>
    </row>
    <row r="399" customFormat="false" ht="15" hidden="false" customHeight="false" outlineLevel="0" collapsed="false">
      <c r="A399" s="0" t="s">
        <v>2320</v>
      </c>
      <c r="B399" s="20" t="s">
        <v>124</v>
      </c>
      <c r="E399" s="21" t="s">
        <v>2321</v>
      </c>
      <c r="F399" s="21" t="s">
        <v>2322</v>
      </c>
      <c r="G399" s="21" t="s">
        <v>127</v>
      </c>
      <c r="H399" s="21" t="s">
        <v>343</v>
      </c>
      <c r="I399" s="21" t="s">
        <v>113</v>
      </c>
      <c r="Z399" s="0" t="n">
        <v>0</v>
      </c>
      <c r="AA399" s="21" t="s">
        <v>2323</v>
      </c>
      <c r="AB399" s="21" t="s">
        <v>2323</v>
      </c>
      <c r="AE399" s="22" t="b">
        <f aca="false">FALSE()</f>
        <v>0</v>
      </c>
      <c r="AF399" s="21" t="s">
        <v>121</v>
      </c>
      <c r="AG399" s="21" t="s">
        <v>2324</v>
      </c>
    </row>
    <row r="400" customFormat="false" ht="15" hidden="false" customHeight="false" outlineLevel="0" collapsed="false">
      <c r="A400" s="0" t="s">
        <v>2325</v>
      </c>
      <c r="B400" s="18" t="s">
        <v>109</v>
      </c>
      <c r="C400" s="20" t="s">
        <v>25</v>
      </c>
      <c r="D400" s="23" t="s">
        <v>30</v>
      </c>
      <c r="E400" s="21" t="s">
        <v>2326</v>
      </c>
      <c r="G400" s="21" t="s">
        <v>127</v>
      </c>
      <c r="H400" s="21" t="s">
        <v>362</v>
      </c>
      <c r="I400" s="21" t="s">
        <v>113</v>
      </c>
      <c r="J400" s="21" t="s">
        <v>134</v>
      </c>
      <c r="K400" s="0" t="n">
        <v>4</v>
      </c>
      <c r="L400" s="0" t="n">
        <v>1</v>
      </c>
      <c r="M400" s="0" t="n">
        <v>3</v>
      </c>
      <c r="N400" s="0" t="n">
        <v>0</v>
      </c>
      <c r="O400" s="0" t="n">
        <v>0</v>
      </c>
      <c r="P400" s="0" t="n">
        <v>4</v>
      </c>
      <c r="Q400" s="0" t="n">
        <v>0</v>
      </c>
      <c r="R400" s="0" t="n">
        <v>2</v>
      </c>
      <c r="S400" s="0" t="n">
        <v>2</v>
      </c>
      <c r="T400" s="0" t="n">
        <v>0</v>
      </c>
      <c r="U400" s="21" t="s">
        <v>2327</v>
      </c>
      <c r="W400" s="21" t="s">
        <v>2328</v>
      </c>
      <c r="X400" s="0" t="n">
        <v>11.54</v>
      </c>
      <c r="Y400" s="0" t="n">
        <v>3.4</v>
      </c>
      <c r="Z400" s="0" t="n">
        <v>43.4</v>
      </c>
      <c r="AA400" s="21" t="s">
        <v>2329</v>
      </c>
      <c r="AB400" s="21" t="s">
        <v>2330</v>
      </c>
      <c r="AC400" s="21" t="s">
        <v>120</v>
      </c>
      <c r="AD400" s="0" t="n">
        <v>95</v>
      </c>
      <c r="AE400" s="22" t="b">
        <f aca="false">FALSE()</f>
        <v>0</v>
      </c>
      <c r="AF400" s="21" t="s">
        <v>121</v>
      </c>
      <c r="AG400" s="21" t="s">
        <v>2331</v>
      </c>
    </row>
    <row r="401" customFormat="false" ht="15" hidden="false" customHeight="false" outlineLevel="0" collapsed="false">
      <c r="A401" s="0" t="s">
        <v>2332</v>
      </c>
      <c r="B401" s="18" t="s">
        <v>109</v>
      </c>
      <c r="C401" s="20" t="s">
        <v>25</v>
      </c>
      <c r="D401" s="23" t="s">
        <v>30</v>
      </c>
      <c r="E401" s="21" t="s">
        <v>2333</v>
      </c>
      <c r="G401" s="21" t="s">
        <v>111</v>
      </c>
      <c r="H401" s="21" t="s">
        <v>495</v>
      </c>
      <c r="I401" s="21" t="s">
        <v>113</v>
      </c>
      <c r="J401" s="21" t="s">
        <v>114</v>
      </c>
      <c r="K401" s="0" t="n">
        <v>8</v>
      </c>
      <c r="L401" s="0" t="n">
        <v>1</v>
      </c>
      <c r="M401" s="0" t="n">
        <v>7</v>
      </c>
      <c r="N401" s="0" t="n">
        <v>0</v>
      </c>
      <c r="O401" s="0" t="n">
        <v>0</v>
      </c>
      <c r="P401" s="0" t="n">
        <v>8</v>
      </c>
      <c r="Q401" s="0" t="n">
        <v>1</v>
      </c>
      <c r="R401" s="0" t="n">
        <v>1</v>
      </c>
      <c r="S401" s="0" t="n">
        <v>6</v>
      </c>
      <c r="T401" s="0" t="n">
        <v>0</v>
      </c>
      <c r="U401" s="21" t="s">
        <v>2334</v>
      </c>
      <c r="V401" s="21" t="s">
        <v>69</v>
      </c>
      <c r="W401" s="21" t="s">
        <v>602</v>
      </c>
      <c r="X401" s="0" t="n">
        <v>0.91</v>
      </c>
      <c r="Y401" s="0" t="n">
        <v>11.2</v>
      </c>
      <c r="Z401" s="0" t="n">
        <v>77.7</v>
      </c>
      <c r="AA401" s="21" t="s">
        <v>2335</v>
      </c>
      <c r="AB401" s="21" t="s">
        <v>2336</v>
      </c>
      <c r="AC401" s="21" t="s">
        <v>120</v>
      </c>
      <c r="AD401" s="0" t="n">
        <v>192</v>
      </c>
      <c r="AE401" s="22" t="b">
        <f aca="false">FALSE()</f>
        <v>0</v>
      </c>
      <c r="AF401" s="21" t="s">
        <v>121</v>
      </c>
      <c r="AG401" s="21" t="s">
        <v>2337</v>
      </c>
    </row>
    <row r="402" customFormat="false" ht="15" hidden="false" customHeight="false" outlineLevel="0" collapsed="false">
      <c r="A402" s="0" t="s">
        <v>2338</v>
      </c>
      <c r="B402" s="18" t="s">
        <v>109</v>
      </c>
      <c r="C402" s="19" t="s">
        <v>26</v>
      </c>
      <c r="D402" s="20" t="s">
        <v>31</v>
      </c>
      <c r="E402" s="21" t="s">
        <v>2339</v>
      </c>
      <c r="G402" s="21" t="s">
        <v>127</v>
      </c>
      <c r="H402" s="21" t="s">
        <v>575</v>
      </c>
      <c r="I402" s="21" t="s">
        <v>113</v>
      </c>
      <c r="J402" s="21" t="s">
        <v>134</v>
      </c>
      <c r="K402" s="0" t="n">
        <v>4</v>
      </c>
      <c r="L402" s="0" t="n">
        <v>0</v>
      </c>
      <c r="M402" s="0" t="n">
        <v>3</v>
      </c>
      <c r="N402" s="0" t="n">
        <v>1</v>
      </c>
      <c r="O402" s="0" t="n">
        <v>0</v>
      </c>
      <c r="P402" s="0" t="n">
        <v>3</v>
      </c>
      <c r="Q402" s="0" t="n">
        <v>0</v>
      </c>
      <c r="R402" s="0" t="n">
        <v>0</v>
      </c>
      <c r="S402" s="0" t="n">
        <v>3</v>
      </c>
      <c r="T402" s="0" t="n">
        <v>1</v>
      </c>
      <c r="U402" s="21" t="s">
        <v>2340</v>
      </c>
      <c r="V402" s="21" t="s">
        <v>69</v>
      </c>
      <c r="W402" s="21" t="s">
        <v>117</v>
      </c>
      <c r="X402" s="0" t="n">
        <v>1.06</v>
      </c>
      <c r="Y402" s="0" t="n">
        <v>17</v>
      </c>
      <c r="Z402" s="0" t="n">
        <v>42.4</v>
      </c>
      <c r="AA402" s="21" t="s">
        <v>2341</v>
      </c>
      <c r="AB402" s="21" t="s">
        <v>2342</v>
      </c>
      <c r="AC402" s="21" t="s">
        <v>120</v>
      </c>
      <c r="AD402" s="0" t="n">
        <v>96</v>
      </c>
      <c r="AE402" s="22" t="b">
        <f aca="false">FALSE()</f>
        <v>0</v>
      </c>
      <c r="AF402" s="21" t="s">
        <v>121</v>
      </c>
      <c r="AG402" s="21" t="s">
        <v>2343</v>
      </c>
    </row>
    <row r="403" customFormat="false" ht="15" hidden="false" customHeight="false" outlineLevel="0" collapsed="false">
      <c r="A403" s="0" t="s">
        <v>2344</v>
      </c>
      <c r="B403" s="18" t="s">
        <v>109</v>
      </c>
      <c r="C403" s="20" t="s">
        <v>25</v>
      </c>
      <c r="D403" s="23" t="s">
        <v>30</v>
      </c>
      <c r="E403" s="21" t="s">
        <v>2345</v>
      </c>
      <c r="G403" s="21" t="s">
        <v>111</v>
      </c>
      <c r="H403" s="21" t="s">
        <v>188</v>
      </c>
      <c r="I403" s="21" t="s">
        <v>113</v>
      </c>
      <c r="J403" s="21" t="s">
        <v>134</v>
      </c>
      <c r="K403" s="0" t="n">
        <v>4</v>
      </c>
      <c r="L403" s="0" t="n">
        <v>1</v>
      </c>
      <c r="M403" s="0" t="n">
        <v>3</v>
      </c>
      <c r="N403" s="0" t="n">
        <v>0</v>
      </c>
      <c r="O403" s="0" t="n">
        <v>0</v>
      </c>
      <c r="P403" s="0" t="n">
        <v>4</v>
      </c>
      <c r="Q403" s="0" t="n">
        <v>1</v>
      </c>
      <c r="R403" s="0" t="n">
        <v>0</v>
      </c>
      <c r="S403" s="0" t="n">
        <v>3</v>
      </c>
      <c r="T403" s="0" t="n">
        <v>0</v>
      </c>
      <c r="U403" s="21" t="s">
        <v>2346</v>
      </c>
      <c r="V403" s="21" t="s">
        <v>70</v>
      </c>
      <c r="W403" s="21" t="s">
        <v>157</v>
      </c>
      <c r="X403" s="0" t="n">
        <v>1.64</v>
      </c>
      <c r="Y403" s="0" t="n">
        <v>16.7</v>
      </c>
      <c r="Z403" s="0" t="n">
        <v>43.3</v>
      </c>
      <c r="AA403" s="21" t="s">
        <v>2347</v>
      </c>
      <c r="AB403" s="21" t="s">
        <v>2348</v>
      </c>
      <c r="AC403" s="21" t="s">
        <v>120</v>
      </c>
      <c r="AD403" s="0" t="n">
        <v>99</v>
      </c>
      <c r="AE403" s="22" t="b">
        <f aca="false">FALSE()</f>
        <v>0</v>
      </c>
      <c r="AF403" s="21" t="s">
        <v>121</v>
      </c>
      <c r="AG403" s="21" t="s">
        <v>2349</v>
      </c>
    </row>
    <row r="404" customFormat="false" ht="15" hidden="false" customHeight="false" outlineLevel="0" collapsed="false">
      <c r="A404" s="0" t="s">
        <v>2350</v>
      </c>
      <c r="B404" s="20" t="s">
        <v>124</v>
      </c>
      <c r="E404" s="21" t="s">
        <v>2351</v>
      </c>
      <c r="F404" s="21" t="s">
        <v>2352</v>
      </c>
      <c r="G404" s="21" t="s">
        <v>111</v>
      </c>
      <c r="H404" s="21" t="s">
        <v>112</v>
      </c>
      <c r="I404" s="21" t="s">
        <v>113</v>
      </c>
      <c r="Z404" s="0" t="n">
        <v>0</v>
      </c>
      <c r="AA404" s="21" t="s">
        <v>2353</v>
      </c>
      <c r="AB404" s="21" t="s">
        <v>2353</v>
      </c>
      <c r="AE404" s="22" t="b">
        <f aca="false">FALSE()</f>
        <v>0</v>
      </c>
      <c r="AF404" s="21" t="s">
        <v>121</v>
      </c>
      <c r="AG404" s="21" t="s">
        <v>2354</v>
      </c>
    </row>
    <row r="405" customFormat="false" ht="15" hidden="false" customHeight="false" outlineLevel="0" collapsed="false">
      <c r="A405" s="0" t="s">
        <v>2355</v>
      </c>
      <c r="B405" s="18" t="s">
        <v>109</v>
      </c>
      <c r="C405" s="20" t="s">
        <v>25</v>
      </c>
      <c r="D405" s="23" t="s">
        <v>30</v>
      </c>
      <c r="E405" s="21" t="s">
        <v>2356</v>
      </c>
      <c r="G405" s="21" t="s">
        <v>111</v>
      </c>
      <c r="H405" s="21" t="s">
        <v>269</v>
      </c>
      <c r="I405" s="21" t="s">
        <v>113</v>
      </c>
      <c r="J405" s="21" t="s">
        <v>114</v>
      </c>
      <c r="K405" s="0" t="n">
        <v>8</v>
      </c>
      <c r="L405" s="0" t="n">
        <v>0</v>
      </c>
      <c r="M405" s="0" t="n">
        <v>8</v>
      </c>
      <c r="N405" s="0" t="n">
        <v>0</v>
      </c>
      <c r="O405" s="0" t="n">
        <v>0</v>
      </c>
      <c r="P405" s="0" t="n">
        <v>8</v>
      </c>
      <c r="Q405" s="0" t="n">
        <v>0</v>
      </c>
      <c r="R405" s="0" t="n">
        <v>4</v>
      </c>
      <c r="S405" s="0" t="n">
        <v>4</v>
      </c>
      <c r="T405" s="0" t="n">
        <v>0</v>
      </c>
      <c r="U405" s="21" t="s">
        <v>2357</v>
      </c>
      <c r="V405" s="21" t="s">
        <v>69</v>
      </c>
      <c r="W405" s="21" t="s">
        <v>1393</v>
      </c>
      <c r="X405" s="0" t="n">
        <v>9.1</v>
      </c>
      <c r="Y405" s="0" t="n">
        <v>31.2</v>
      </c>
      <c r="Z405" s="0" t="n">
        <v>78.2</v>
      </c>
      <c r="AA405" s="21" t="s">
        <v>2358</v>
      </c>
      <c r="AB405" s="21" t="s">
        <v>2359</v>
      </c>
      <c r="AC405" s="21" t="s">
        <v>120</v>
      </c>
      <c r="AD405" s="0" t="n">
        <v>196</v>
      </c>
      <c r="AE405" s="22" t="b">
        <f aca="false">FALSE()</f>
        <v>0</v>
      </c>
      <c r="AF405" s="21" t="s">
        <v>121</v>
      </c>
      <c r="AG405" s="21" t="s">
        <v>2360</v>
      </c>
    </row>
    <row r="406" customFormat="false" ht="15" hidden="false" customHeight="false" outlineLevel="0" collapsed="false">
      <c r="A406" s="0" t="s">
        <v>2361</v>
      </c>
      <c r="B406" s="18" t="s">
        <v>109</v>
      </c>
      <c r="C406" s="19" t="s">
        <v>26</v>
      </c>
      <c r="D406" s="20" t="s">
        <v>31</v>
      </c>
      <c r="E406" s="21" t="s">
        <v>2362</v>
      </c>
      <c r="G406" s="21" t="s">
        <v>111</v>
      </c>
      <c r="H406" s="21" t="s">
        <v>468</v>
      </c>
      <c r="I406" s="21" t="s">
        <v>113</v>
      </c>
      <c r="J406" s="21" t="s">
        <v>134</v>
      </c>
      <c r="K406" s="0" t="n">
        <v>4</v>
      </c>
      <c r="L406" s="0" t="n">
        <v>2</v>
      </c>
      <c r="M406" s="0" t="n">
        <v>1</v>
      </c>
      <c r="N406" s="0" t="n">
        <v>1</v>
      </c>
      <c r="O406" s="0" t="n">
        <v>0</v>
      </c>
      <c r="P406" s="0" t="n">
        <v>3</v>
      </c>
      <c r="Q406" s="0" t="n">
        <v>1</v>
      </c>
      <c r="R406" s="0" t="n">
        <v>0</v>
      </c>
      <c r="S406" s="0" t="n">
        <v>2</v>
      </c>
      <c r="T406" s="0" t="n">
        <v>1</v>
      </c>
      <c r="U406" s="21" t="s">
        <v>2363</v>
      </c>
      <c r="V406" s="21" t="s">
        <v>69</v>
      </c>
      <c r="W406" s="21" t="s">
        <v>224</v>
      </c>
      <c r="X406" s="0" t="n">
        <v>27.05</v>
      </c>
      <c r="Y406" s="0" t="n">
        <v>16.7</v>
      </c>
      <c r="Z406" s="0" t="n">
        <v>44.1</v>
      </c>
      <c r="AA406" s="21" t="s">
        <v>2364</v>
      </c>
      <c r="AB406" s="21" t="s">
        <v>2365</v>
      </c>
      <c r="AC406" s="21" t="s">
        <v>120</v>
      </c>
      <c r="AD406" s="0" t="n">
        <v>102</v>
      </c>
      <c r="AE406" s="22" t="b">
        <f aca="false">FALSE()</f>
        <v>0</v>
      </c>
      <c r="AF406" s="21" t="s">
        <v>121</v>
      </c>
      <c r="AG406" s="21" t="s">
        <v>2366</v>
      </c>
    </row>
    <row r="407" customFormat="false" ht="15" hidden="false" customHeight="false" outlineLevel="0" collapsed="false">
      <c r="A407" s="0" t="s">
        <v>2367</v>
      </c>
      <c r="B407" s="18" t="s">
        <v>109</v>
      </c>
      <c r="C407" s="19" t="s">
        <v>26</v>
      </c>
      <c r="D407" s="20" t="s">
        <v>31</v>
      </c>
      <c r="E407" s="21" t="s">
        <v>2368</v>
      </c>
      <c r="G407" s="21" t="s">
        <v>111</v>
      </c>
      <c r="H407" s="21" t="s">
        <v>439</v>
      </c>
      <c r="I407" s="21" t="s">
        <v>113</v>
      </c>
      <c r="J407" s="21" t="s">
        <v>134</v>
      </c>
      <c r="K407" s="0" t="n">
        <v>4</v>
      </c>
      <c r="L407" s="0" t="n">
        <v>0</v>
      </c>
      <c r="M407" s="0" t="n">
        <v>3</v>
      </c>
      <c r="N407" s="0" t="n">
        <v>1</v>
      </c>
      <c r="O407" s="0" t="n">
        <v>0</v>
      </c>
      <c r="P407" s="0" t="n">
        <v>3</v>
      </c>
      <c r="Q407" s="0" t="n">
        <v>0</v>
      </c>
      <c r="R407" s="0" t="n">
        <v>0</v>
      </c>
      <c r="S407" s="0" t="n">
        <v>3</v>
      </c>
      <c r="T407" s="0" t="n">
        <v>1</v>
      </c>
      <c r="U407" s="21" t="s">
        <v>2369</v>
      </c>
      <c r="V407" s="21" t="s">
        <v>69</v>
      </c>
      <c r="W407" s="21" t="s">
        <v>136</v>
      </c>
      <c r="X407" s="0" t="n">
        <v>1.84</v>
      </c>
      <c r="Y407" s="0" t="n">
        <v>11.2</v>
      </c>
      <c r="Z407" s="0" t="n">
        <v>41.8</v>
      </c>
      <c r="AA407" s="21" t="s">
        <v>2370</v>
      </c>
      <c r="AB407" s="21" t="s">
        <v>2371</v>
      </c>
      <c r="AC407" s="21" t="s">
        <v>120</v>
      </c>
      <c r="AD407" s="0" t="n">
        <v>97</v>
      </c>
      <c r="AE407" s="22" t="b">
        <f aca="false">FALSE()</f>
        <v>0</v>
      </c>
      <c r="AF407" s="21" t="s">
        <v>121</v>
      </c>
      <c r="AG407" s="21" t="s">
        <v>2372</v>
      </c>
    </row>
    <row r="408" customFormat="false" ht="15" hidden="false" customHeight="false" outlineLevel="0" collapsed="false">
      <c r="A408" s="0" t="s">
        <v>2373</v>
      </c>
      <c r="B408" s="18" t="s">
        <v>109</v>
      </c>
      <c r="C408" s="20" t="s">
        <v>25</v>
      </c>
      <c r="D408" s="23" t="s">
        <v>30</v>
      </c>
      <c r="E408" s="21" t="s">
        <v>2374</v>
      </c>
      <c r="G408" s="21" t="s">
        <v>111</v>
      </c>
      <c r="H408" s="21" t="s">
        <v>229</v>
      </c>
      <c r="I408" s="21" t="s">
        <v>113</v>
      </c>
      <c r="J408" s="21" t="s">
        <v>134</v>
      </c>
      <c r="K408" s="0" t="n">
        <v>4</v>
      </c>
      <c r="L408" s="0" t="n">
        <v>3</v>
      </c>
      <c r="M408" s="0" t="n">
        <v>1</v>
      </c>
      <c r="N408" s="0" t="n">
        <v>0</v>
      </c>
      <c r="O408" s="0" t="n">
        <v>0</v>
      </c>
      <c r="P408" s="0" t="n">
        <v>4</v>
      </c>
      <c r="Q408" s="0" t="n">
        <v>2</v>
      </c>
      <c r="R408" s="0" t="n">
        <v>0</v>
      </c>
      <c r="S408" s="0" t="n">
        <v>2</v>
      </c>
      <c r="T408" s="0" t="n">
        <v>0</v>
      </c>
      <c r="U408" s="21" t="s">
        <v>2375</v>
      </c>
      <c r="V408" s="21" t="s">
        <v>69</v>
      </c>
      <c r="W408" s="21" t="s">
        <v>283</v>
      </c>
      <c r="X408" s="0" t="n">
        <v>2.19</v>
      </c>
      <c r="Y408" s="0" t="n">
        <v>12.9</v>
      </c>
      <c r="Z408" s="0" t="n">
        <v>42.5</v>
      </c>
      <c r="AA408" s="21" t="s">
        <v>2376</v>
      </c>
      <c r="AB408" s="21" t="s">
        <v>2377</v>
      </c>
      <c r="AC408" s="21" t="s">
        <v>120</v>
      </c>
      <c r="AD408" s="0" t="n">
        <v>95</v>
      </c>
      <c r="AE408" s="22" t="b">
        <f aca="false">FALSE()</f>
        <v>0</v>
      </c>
      <c r="AF408" s="21" t="s">
        <v>121</v>
      </c>
      <c r="AG408" s="21" t="s">
        <v>2378</v>
      </c>
    </row>
    <row r="409" customFormat="false" ht="15" hidden="false" customHeight="false" outlineLevel="0" collapsed="false">
      <c r="A409" s="0" t="s">
        <v>2379</v>
      </c>
      <c r="B409" s="18" t="s">
        <v>109</v>
      </c>
      <c r="C409" s="19" t="s">
        <v>26</v>
      </c>
      <c r="D409" s="20" t="s">
        <v>31</v>
      </c>
      <c r="E409" s="21" t="s">
        <v>2380</v>
      </c>
      <c r="G409" s="21" t="s">
        <v>111</v>
      </c>
      <c r="H409" s="21" t="s">
        <v>181</v>
      </c>
      <c r="I409" s="21" t="s">
        <v>113</v>
      </c>
      <c r="J409" s="21" t="s">
        <v>134</v>
      </c>
      <c r="K409" s="0" t="n">
        <v>4</v>
      </c>
      <c r="L409" s="0" t="n">
        <v>2</v>
      </c>
      <c r="M409" s="0" t="n">
        <v>0</v>
      </c>
      <c r="N409" s="0" t="n">
        <v>2</v>
      </c>
      <c r="O409" s="0" t="n">
        <v>0</v>
      </c>
      <c r="P409" s="0" t="n">
        <v>2</v>
      </c>
      <c r="Q409" s="0" t="n">
        <v>2</v>
      </c>
      <c r="R409" s="0" t="n">
        <v>0</v>
      </c>
      <c r="S409" s="0" t="n">
        <v>0</v>
      </c>
      <c r="T409" s="0" t="n">
        <v>2</v>
      </c>
      <c r="U409" s="21" t="s">
        <v>2381</v>
      </c>
      <c r="V409" s="21" t="s">
        <v>69</v>
      </c>
      <c r="W409" s="21" t="s">
        <v>529</v>
      </c>
      <c r="X409" s="0" t="n">
        <v>9.17</v>
      </c>
      <c r="Y409" s="0" t="n">
        <v>5.5</v>
      </c>
      <c r="Z409" s="0" t="n">
        <v>42.7</v>
      </c>
      <c r="AA409" s="21" t="s">
        <v>2382</v>
      </c>
      <c r="AB409" s="21" t="s">
        <v>2383</v>
      </c>
      <c r="AC409" s="21" t="s">
        <v>120</v>
      </c>
      <c r="AD409" s="0" t="n">
        <v>96</v>
      </c>
      <c r="AE409" s="22" t="b">
        <f aca="false">FALSE()</f>
        <v>0</v>
      </c>
      <c r="AF409" s="21" t="s">
        <v>121</v>
      </c>
      <c r="AG409" s="21" t="s">
        <v>2384</v>
      </c>
    </row>
    <row r="410" customFormat="false" ht="15" hidden="false" customHeight="false" outlineLevel="0" collapsed="false">
      <c r="A410" s="0" t="s">
        <v>2385</v>
      </c>
      <c r="B410" s="18" t="s">
        <v>109</v>
      </c>
      <c r="C410" s="19" t="s">
        <v>26</v>
      </c>
      <c r="D410" s="20" t="s">
        <v>31</v>
      </c>
      <c r="E410" s="21" t="s">
        <v>2386</v>
      </c>
      <c r="G410" s="21" t="s">
        <v>127</v>
      </c>
      <c r="H410" s="21" t="s">
        <v>177</v>
      </c>
      <c r="I410" s="21" t="s">
        <v>113</v>
      </c>
      <c r="J410" s="21" t="s">
        <v>134</v>
      </c>
      <c r="K410" s="0" t="n">
        <v>4</v>
      </c>
      <c r="L410" s="0" t="n">
        <v>3</v>
      </c>
      <c r="M410" s="0" t="n">
        <v>0</v>
      </c>
      <c r="N410" s="0" t="n">
        <v>1</v>
      </c>
      <c r="O410" s="0" t="n">
        <v>0</v>
      </c>
      <c r="P410" s="0" t="n">
        <v>3</v>
      </c>
      <c r="Q410" s="0" t="n">
        <v>3</v>
      </c>
      <c r="R410" s="0" t="n">
        <v>0</v>
      </c>
      <c r="S410" s="0" t="n">
        <v>0</v>
      </c>
      <c r="T410" s="0" t="n">
        <v>1</v>
      </c>
      <c r="U410" s="21" t="s">
        <v>2387</v>
      </c>
      <c r="V410" s="21" t="s">
        <v>69</v>
      </c>
      <c r="W410" s="21" t="s">
        <v>529</v>
      </c>
      <c r="X410" s="0" t="n">
        <v>11.33</v>
      </c>
      <c r="Y410" s="0" t="n">
        <v>14.4</v>
      </c>
      <c r="Z410" s="0" t="n">
        <v>42.9</v>
      </c>
      <c r="AA410" s="21" t="s">
        <v>2388</v>
      </c>
      <c r="AB410" s="21" t="s">
        <v>2389</v>
      </c>
      <c r="AC410" s="21" t="s">
        <v>120</v>
      </c>
      <c r="AD410" s="0" t="n">
        <v>100</v>
      </c>
      <c r="AE410" s="22" t="b">
        <f aca="false">FALSE()</f>
        <v>0</v>
      </c>
      <c r="AF410" s="21" t="s">
        <v>121</v>
      </c>
      <c r="AG410" s="21" t="s">
        <v>2390</v>
      </c>
    </row>
    <row r="411" customFormat="false" ht="15" hidden="false" customHeight="false" outlineLevel="0" collapsed="false">
      <c r="A411" s="0" t="s">
        <v>2391</v>
      </c>
      <c r="B411" s="18" t="s">
        <v>109</v>
      </c>
      <c r="C411" s="20" t="s">
        <v>25</v>
      </c>
      <c r="D411" s="23" t="s">
        <v>30</v>
      </c>
      <c r="E411" s="21" t="s">
        <v>2392</v>
      </c>
      <c r="G411" s="21" t="s">
        <v>127</v>
      </c>
      <c r="H411" s="21" t="s">
        <v>177</v>
      </c>
      <c r="I411" s="21" t="s">
        <v>113</v>
      </c>
      <c r="J411" s="21" t="s">
        <v>114</v>
      </c>
      <c r="K411" s="0" t="n">
        <v>8</v>
      </c>
      <c r="L411" s="0" t="n">
        <v>5</v>
      </c>
      <c r="M411" s="0" t="n">
        <v>3</v>
      </c>
      <c r="N411" s="0" t="n">
        <v>0</v>
      </c>
      <c r="O411" s="0" t="n">
        <v>0</v>
      </c>
      <c r="P411" s="0" t="n">
        <v>8</v>
      </c>
      <c r="Q411" s="0" t="n">
        <v>4</v>
      </c>
      <c r="R411" s="0" t="n">
        <v>1</v>
      </c>
      <c r="S411" s="0" t="n">
        <v>3</v>
      </c>
      <c r="T411" s="0" t="n">
        <v>0</v>
      </c>
      <c r="U411" s="21" t="s">
        <v>2393</v>
      </c>
      <c r="V411" s="21" t="s">
        <v>69</v>
      </c>
      <c r="W411" s="21" t="s">
        <v>183</v>
      </c>
      <c r="X411" s="0" t="n">
        <v>4.8</v>
      </c>
      <c r="Y411" s="0" t="n">
        <v>16.5</v>
      </c>
      <c r="Z411" s="0" t="n">
        <v>75.9</v>
      </c>
      <c r="AA411" s="21" t="s">
        <v>2394</v>
      </c>
      <c r="AB411" s="21" t="s">
        <v>2395</v>
      </c>
      <c r="AC411" s="21" t="s">
        <v>120</v>
      </c>
      <c r="AD411" s="0" t="n">
        <v>191</v>
      </c>
      <c r="AE411" s="22" t="b">
        <f aca="false">FALSE()</f>
        <v>0</v>
      </c>
      <c r="AF411" s="21" t="s">
        <v>121</v>
      </c>
      <c r="AG411" s="21" t="s">
        <v>2396</v>
      </c>
    </row>
    <row r="412" customFormat="false" ht="15" hidden="false" customHeight="false" outlineLevel="0" collapsed="false">
      <c r="A412" s="0" t="s">
        <v>2397</v>
      </c>
      <c r="B412" s="18" t="s">
        <v>109</v>
      </c>
      <c r="C412" s="19" t="s">
        <v>26</v>
      </c>
      <c r="D412" s="20" t="s">
        <v>31</v>
      </c>
      <c r="E412" s="21" t="s">
        <v>2398</v>
      </c>
      <c r="G412" s="21" t="s">
        <v>111</v>
      </c>
      <c r="H412" s="21" t="s">
        <v>217</v>
      </c>
      <c r="I412" s="21" t="s">
        <v>113</v>
      </c>
      <c r="J412" s="21" t="s">
        <v>114</v>
      </c>
      <c r="K412" s="0" t="n">
        <v>8</v>
      </c>
      <c r="L412" s="0" t="n">
        <v>4</v>
      </c>
      <c r="M412" s="0" t="n">
        <v>1</v>
      </c>
      <c r="N412" s="0" t="n">
        <v>3</v>
      </c>
      <c r="O412" s="0" t="n">
        <v>0</v>
      </c>
      <c r="P412" s="0" t="n">
        <v>5</v>
      </c>
      <c r="Q412" s="0" t="n">
        <v>4</v>
      </c>
      <c r="R412" s="0" t="n">
        <v>0</v>
      </c>
      <c r="S412" s="0" t="n">
        <v>1</v>
      </c>
      <c r="T412" s="0" t="n">
        <v>3</v>
      </c>
      <c r="U412" s="21" t="s">
        <v>2399</v>
      </c>
      <c r="V412" s="21" t="s">
        <v>116</v>
      </c>
      <c r="W412" s="21" t="s">
        <v>2400</v>
      </c>
      <c r="X412" s="0" t="n">
        <v>4.11</v>
      </c>
      <c r="Y412" s="0" t="n">
        <v>13</v>
      </c>
      <c r="Z412" s="0" t="n">
        <v>75.9</v>
      </c>
      <c r="AA412" s="21" t="s">
        <v>2401</v>
      </c>
      <c r="AB412" s="21" t="s">
        <v>2402</v>
      </c>
      <c r="AC412" s="21" t="s">
        <v>120</v>
      </c>
      <c r="AD412" s="0" t="n">
        <v>193</v>
      </c>
      <c r="AE412" s="22" t="b">
        <f aca="false">FALSE()</f>
        <v>0</v>
      </c>
      <c r="AF412" s="21" t="s">
        <v>121</v>
      </c>
      <c r="AG412" s="21" t="s">
        <v>2403</v>
      </c>
    </row>
    <row r="413" customFormat="false" ht="15" hidden="false" customHeight="false" outlineLevel="0" collapsed="false">
      <c r="A413" s="0" t="s">
        <v>2404</v>
      </c>
      <c r="B413" s="20" t="s">
        <v>124</v>
      </c>
      <c r="E413" s="21" t="s">
        <v>243</v>
      </c>
      <c r="F413" s="21" t="s">
        <v>244</v>
      </c>
      <c r="G413" s="21" t="s">
        <v>127</v>
      </c>
      <c r="H413" s="21" t="s">
        <v>245</v>
      </c>
      <c r="I413" s="21" t="s">
        <v>113</v>
      </c>
      <c r="Z413" s="0" t="n">
        <v>0</v>
      </c>
      <c r="AA413" s="21" t="s">
        <v>2405</v>
      </c>
      <c r="AB413" s="21" t="s">
        <v>2405</v>
      </c>
      <c r="AE413" s="22" t="b">
        <f aca="false">FALSE()</f>
        <v>0</v>
      </c>
      <c r="AF413" s="21" t="s">
        <v>121</v>
      </c>
      <c r="AG413" s="21" t="s">
        <v>2406</v>
      </c>
    </row>
    <row r="414" customFormat="false" ht="15" hidden="false" customHeight="false" outlineLevel="0" collapsed="false">
      <c r="A414" s="0" t="s">
        <v>2407</v>
      </c>
      <c r="B414" s="18" t="s">
        <v>109</v>
      </c>
      <c r="C414" s="19" t="s">
        <v>26</v>
      </c>
      <c r="D414" s="20" t="s">
        <v>31</v>
      </c>
      <c r="E414" s="21" t="s">
        <v>2408</v>
      </c>
      <c r="G414" s="21" t="s">
        <v>127</v>
      </c>
      <c r="H414" s="21" t="s">
        <v>568</v>
      </c>
      <c r="I414" s="21" t="s">
        <v>113</v>
      </c>
      <c r="J414" s="21" t="s">
        <v>114</v>
      </c>
      <c r="K414" s="0" t="n">
        <v>8</v>
      </c>
      <c r="L414" s="0" t="n">
        <v>2</v>
      </c>
      <c r="M414" s="0" t="n">
        <v>3</v>
      </c>
      <c r="N414" s="0" t="n">
        <v>3</v>
      </c>
      <c r="O414" s="0" t="n">
        <v>0</v>
      </c>
      <c r="P414" s="0" t="n">
        <v>5</v>
      </c>
      <c r="Q414" s="0" t="n">
        <v>1</v>
      </c>
      <c r="R414" s="0" t="n">
        <v>0</v>
      </c>
      <c r="S414" s="0" t="n">
        <v>4</v>
      </c>
      <c r="T414" s="0" t="n">
        <v>3</v>
      </c>
      <c r="U414" s="21" t="s">
        <v>2409</v>
      </c>
      <c r="V414" s="21" t="s">
        <v>69</v>
      </c>
      <c r="W414" s="21" t="s">
        <v>136</v>
      </c>
      <c r="X414" s="0" t="n">
        <v>4.55</v>
      </c>
      <c r="Y414" s="0" t="n">
        <v>8.6</v>
      </c>
      <c r="Z414" s="0" t="n">
        <v>91</v>
      </c>
      <c r="AA414" s="21" t="s">
        <v>2410</v>
      </c>
      <c r="AB414" s="21" t="s">
        <v>2411</v>
      </c>
      <c r="AC414" s="21" t="s">
        <v>120</v>
      </c>
      <c r="AD414" s="0" t="n">
        <v>204</v>
      </c>
      <c r="AE414" s="22" t="b">
        <f aca="false">FALSE()</f>
        <v>0</v>
      </c>
      <c r="AF414" s="21" t="s">
        <v>121</v>
      </c>
      <c r="AG414" s="21" t="s">
        <v>2412</v>
      </c>
    </row>
    <row r="415" customFormat="false" ht="15" hidden="false" customHeight="false" outlineLevel="0" collapsed="false">
      <c r="A415" s="0" t="s">
        <v>2413</v>
      </c>
      <c r="B415" s="18" t="s">
        <v>109</v>
      </c>
      <c r="C415" s="20" t="s">
        <v>25</v>
      </c>
      <c r="D415" s="23" t="s">
        <v>30</v>
      </c>
      <c r="E415" s="21" t="s">
        <v>2414</v>
      </c>
      <c r="G415" s="21" t="s">
        <v>111</v>
      </c>
      <c r="H415" s="21" t="s">
        <v>686</v>
      </c>
      <c r="I415" s="21" t="s">
        <v>113</v>
      </c>
      <c r="J415" s="21" t="s">
        <v>134</v>
      </c>
      <c r="K415" s="0" t="n">
        <v>4</v>
      </c>
      <c r="L415" s="0" t="n">
        <v>1</v>
      </c>
      <c r="M415" s="0" t="n">
        <v>3</v>
      </c>
      <c r="N415" s="0" t="n">
        <v>0</v>
      </c>
      <c r="O415" s="0" t="n">
        <v>0</v>
      </c>
      <c r="P415" s="0" t="n">
        <v>4</v>
      </c>
      <c r="Q415" s="0" t="n">
        <v>1</v>
      </c>
      <c r="R415" s="0" t="n">
        <v>2</v>
      </c>
      <c r="S415" s="0" t="n">
        <v>1</v>
      </c>
      <c r="T415" s="0" t="n">
        <v>0</v>
      </c>
      <c r="U415" s="21" t="s">
        <v>375</v>
      </c>
      <c r="V415" s="21" t="s">
        <v>69</v>
      </c>
      <c r="W415" s="21" t="s">
        <v>357</v>
      </c>
      <c r="X415" s="0" t="n">
        <v>1.52</v>
      </c>
      <c r="Y415" s="0" t="n">
        <v>9.9</v>
      </c>
      <c r="Z415" s="0" t="n">
        <v>43.6</v>
      </c>
      <c r="AA415" s="21" t="s">
        <v>2415</v>
      </c>
      <c r="AB415" s="21" t="s">
        <v>2416</v>
      </c>
      <c r="AC415" s="21" t="s">
        <v>120</v>
      </c>
      <c r="AD415" s="0" t="n">
        <v>96</v>
      </c>
      <c r="AE415" s="22" t="b">
        <f aca="false">FALSE()</f>
        <v>0</v>
      </c>
      <c r="AF415" s="21" t="s">
        <v>121</v>
      </c>
      <c r="AG415" s="21" t="s">
        <v>2417</v>
      </c>
    </row>
    <row r="416" customFormat="false" ht="15" hidden="false" customHeight="false" outlineLevel="0" collapsed="false">
      <c r="A416" s="0" t="s">
        <v>2418</v>
      </c>
      <c r="B416" s="20" t="s">
        <v>124</v>
      </c>
      <c r="E416" s="21" t="s">
        <v>2419</v>
      </c>
      <c r="F416" s="21" t="s">
        <v>2420</v>
      </c>
      <c r="G416" s="21" t="s">
        <v>111</v>
      </c>
      <c r="H416" s="21" t="s">
        <v>308</v>
      </c>
      <c r="I416" s="21" t="s">
        <v>113</v>
      </c>
      <c r="Z416" s="0" t="n">
        <v>0</v>
      </c>
      <c r="AA416" s="21" t="s">
        <v>2421</v>
      </c>
      <c r="AB416" s="21" t="s">
        <v>2421</v>
      </c>
      <c r="AE416" s="22" t="b">
        <f aca="false">FALSE()</f>
        <v>0</v>
      </c>
      <c r="AF416" s="21" t="s">
        <v>121</v>
      </c>
      <c r="AG416" s="21" t="s">
        <v>2422</v>
      </c>
    </row>
    <row r="417" customFormat="false" ht="15" hidden="false" customHeight="false" outlineLevel="0" collapsed="false">
      <c r="A417" s="0" t="s">
        <v>2423</v>
      </c>
      <c r="B417" s="18" t="s">
        <v>109</v>
      </c>
      <c r="C417" s="20" t="s">
        <v>25</v>
      </c>
      <c r="D417" s="23" t="s">
        <v>30</v>
      </c>
      <c r="E417" s="21" t="s">
        <v>2424</v>
      </c>
      <c r="G417" s="21" t="s">
        <v>111</v>
      </c>
      <c r="H417" s="21" t="s">
        <v>626</v>
      </c>
      <c r="I417" s="21" t="s">
        <v>113</v>
      </c>
      <c r="J417" s="21" t="s">
        <v>134</v>
      </c>
      <c r="K417" s="0" t="n">
        <v>4</v>
      </c>
      <c r="L417" s="0" t="n">
        <v>2</v>
      </c>
      <c r="M417" s="0" t="n">
        <v>2</v>
      </c>
      <c r="N417" s="0" t="n">
        <v>0</v>
      </c>
      <c r="O417" s="0" t="n">
        <v>0</v>
      </c>
      <c r="P417" s="0" t="n">
        <v>4</v>
      </c>
      <c r="Q417" s="0" t="n">
        <v>2</v>
      </c>
      <c r="R417" s="0" t="n">
        <v>0</v>
      </c>
      <c r="S417" s="0" t="n">
        <v>2</v>
      </c>
      <c r="T417" s="0" t="n">
        <v>0</v>
      </c>
      <c r="U417" s="21" t="s">
        <v>2425</v>
      </c>
      <c r="V417" s="21" t="s">
        <v>69</v>
      </c>
      <c r="W417" s="21" t="s">
        <v>283</v>
      </c>
      <c r="X417" s="0" t="n">
        <v>2.07</v>
      </c>
      <c r="Y417" s="0" t="n">
        <v>5.8</v>
      </c>
      <c r="Z417" s="0" t="n">
        <v>48.9</v>
      </c>
      <c r="AA417" s="21" t="s">
        <v>2426</v>
      </c>
      <c r="AB417" s="21" t="s">
        <v>2427</v>
      </c>
      <c r="AC417" s="21" t="s">
        <v>120</v>
      </c>
      <c r="AD417" s="0" t="n">
        <v>98</v>
      </c>
      <c r="AE417" s="22" t="b">
        <f aca="false">FALSE()</f>
        <v>0</v>
      </c>
      <c r="AF417" s="21" t="s">
        <v>121</v>
      </c>
      <c r="AG417" s="21" t="s">
        <v>2428</v>
      </c>
    </row>
    <row r="418" customFormat="false" ht="15" hidden="false" customHeight="false" outlineLevel="0" collapsed="false">
      <c r="A418" s="0" t="s">
        <v>2429</v>
      </c>
      <c r="B418" s="18" t="s">
        <v>109</v>
      </c>
      <c r="C418" s="19" t="s">
        <v>26</v>
      </c>
      <c r="D418" s="20" t="s">
        <v>31</v>
      </c>
      <c r="E418" s="21" t="s">
        <v>2430</v>
      </c>
      <c r="G418" s="21" t="s">
        <v>111</v>
      </c>
      <c r="H418" s="21" t="s">
        <v>887</v>
      </c>
      <c r="I418" s="21" t="s">
        <v>113</v>
      </c>
      <c r="J418" s="21" t="s">
        <v>114</v>
      </c>
      <c r="K418" s="0" t="n">
        <v>8</v>
      </c>
      <c r="L418" s="0" t="n">
        <v>2</v>
      </c>
      <c r="M418" s="0" t="n">
        <v>5</v>
      </c>
      <c r="N418" s="0" t="n">
        <v>1</v>
      </c>
      <c r="O418" s="0" t="n">
        <v>0</v>
      </c>
      <c r="P418" s="0" t="n">
        <v>7</v>
      </c>
      <c r="Q418" s="0" t="n">
        <v>0</v>
      </c>
      <c r="R418" s="0" t="n">
        <v>0</v>
      </c>
      <c r="S418" s="0" t="n">
        <v>7</v>
      </c>
      <c r="T418" s="0" t="n">
        <v>1</v>
      </c>
      <c r="U418" s="21" t="s">
        <v>2431</v>
      </c>
      <c r="V418" s="21" t="s">
        <v>69</v>
      </c>
      <c r="W418" s="21" t="s">
        <v>646</v>
      </c>
      <c r="X418" s="0" t="n">
        <v>3.22</v>
      </c>
      <c r="Y418" s="0" t="n">
        <v>14.3</v>
      </c>
      <c r="Z418" s="0" t="n">
        <v>77.6</v>
      </c>
      <c r="AA418" s="21" t="s">
        <v>2432</v>
      </c>
      <c r="AB418" s="21" t="s">
        <v>2433</v>
      </c>
      <c r="AC418" s="21" t="s">
        <v>120</v>
      </c>
      <c r="AD418" s="0" t="n">
        <v>191</v>
      </c>
      <c r="AE418" s="22" t="b">
        <f aca="false">FALSE()</f>
        <v>0</v>
      </c>
      <c r="AF418" s="21" t="s">
        <v>121</v>
      </c>
      <c r="AG418" s="21" t="s">
        <v>2434</v>
      </c>
    </row>
    <row r="419" customFormat="false" ht="15" hidden="false" customHeight="false" outlineLevel="0" collapsed="false">
      <c r="A419" s="0" t="s">
        <v>2435</v>
      </c>
      <c r="B419" s="18" t="s">
        <v>109</v>
      </c>
      <c r="C419" s="19" t="s">
        <v>26</v>
      </c>
      <c r="D419" s="20" t="s">
        <v>31</v>
      </c>
      <c r="E419" s="21" t="s">
        <v>2436</v>
      </c>
      <c r="G419" s="21" t="s">
        <v>111</v>
      </c>
      <c r="H419" s="21" t="s">
        <v>495</v>
      </c>
      <c r="I419" s="21" t="s">
        <v>113</v>
      </c>
      <c r="J419" s="21" t="s">
        <v>114</v>
      </c>
      <c r="K419" s="0" t="n">
        <v>8</v>
      </c>
      <c r="L419" s="0" t="n">
        <v>0</v>
      </c>
      <c r="M419" s="0" t="n">
        <v>7</v>
      </c>
      <c r="N419" s="0" t="n">
        <v>1</v>
      </c>
      <c r="O419" s="0" t="n">
        <v>0</v>
      </c>
      <c r="P419" s="0" t="n">
        <v>7</v>
      </c>
      <c r="Q419" s="0" t="n">
        <v>0</v>
      </c>
      <c r="R419" s="0" t="n">
        <v>0</v>
      </c>
      <c r="S419" s="0" t="n">
        <v>7</v>
      </c>
      <c r="T419" s="0" t="n">
        <v>1</v>
      </c>
      <c r="U419" s="21" t="s">
        <v>2437</v>
      </c>
      <c r="V419" s="21" t="s">
        <v>69</v>
      </c>
      <c r="W419" s="21" t="s">
        <v>412</v>
      </c>
      <c r="X419" s="0" t="n">
        <v>2.57</v>
      </c>
      <c r="Y419" s="0" t="n">
        <v>23.5</v>
      </c>
      <c r="Z419" s="0" t="n">
        <v>78.1</v>
      </c>
      <c r="AA419" s="21" t="s">
        <v>2438</v>
      </c>
      <c r="AB419" s="21" t="s">
        <v>2439</v>
      </c>
      <c r="AC419" s="21" t="s">
        <v>120</v>
      </c>
      <c r="AD419" s="0" t="n">
        <v>192</v>
      </c>
      <c r="AE419" s="22" t="b">
        <f aca="false">FALSE()</f>
        <v>0</v>
      </c>
      <c r="AF419" s="21" t="s">
        <v>121</v>
      </c>
      <c r="AG419" s="21" t="s">
        <v>2440</v>
      </c>
    </row>
    <row r="420" customFormat="false" ht="15" hidden="false" customHeight="false" outlineLevel="0" collapsed="false">
      <c r="A420" s="0" t="s">
        <v>2441</v>
      </c>
      <c r="B420" s="18" t="s">
        <v>109</v>
      </c>
      <c r="C420" s="20" t="s">
        <v>25</v>
      </c>
      <c r="D420" s="23" t="s">
        <v>30</v>
      </c>
      <c r="E420" s="21" t="s">
        <v>2442</v>
      </c>
      <c r="G420" s="21" t="s">
        <v>111</v>
      </c>
      <c r="H420" s="21" t="s">
        <v>468</v>
      </c>
      <c r="I420" s="21" t="s">
        <v>113</v>
      </c>
      <c r="J420" s="21" t="s">
        <v>134</v>
      </c>
      <c r="K420" s="0" t="n">
        <v>4</v>
      </c>
      <c r="L420" s="0" t="n">
        <v>1</v>
      </c>
      <c r="M420" s="0" t="n">
        <v>3</v>
      </c>
      <c r="N420" s="0" t="n">
        <v>0</v>
      </c>
      <c r="O420" s="0" t="n">
        <v>0</v>
      </c>
      <c r="P420" s="0" t="n">
        <v>4</v>
      </c>
      <c r="Q420" s="0" t="n">
        <v>0</v>
      </c>
      <c r="R420" s="0" t="n">
        <v>0</v>
      </c>
      <c r="S420" s="0" t="n">
        <v>4</v>
      </c>
      <c r="T420" s="0" t="n">
        <v>0</v>
      </c>
      <c r="U420" s="21" t="s">
        <v>2443</v>
      </c>
      <c r="V420" s="21" t="s">
        <v>69</v>
      </c>
      <c r="W420" s="21" t="s">
        <v>587</v>
      </c>
      <c r="X420" s="0" t="n">
        <v>9.43</v>
      </c>
      <c r="Y420" s="0" t="n">
        <v>24.9</v>
      </c>
      <c r="Z420" s="0" t="n">
        <v>44.1</v>
      </c>
      <c r="AA420" s="21" t="s">
        <v>2444</v>
      </c>
      <c r="AB420" s="21" t="s">
        <v>2445</v>
      </c>
      <c r="AC420" s="21" t="s">
        <v>120</v>
      </c>
      <c r="AD420" s="0" t="n">
        <v>100</v>
      </c>
      <c r="AE420" s="22" t="b">
        <f aca="false">FALSE()</f>
        <v>0</v>
      </c>
      <c r="AF420" s="21" t="s">
        <v>121</v>
      </c>
      <c r="AG420" s="21" t="s">
        <v>2446</v>
      </c>
    </row>
    <row r="421" customFormat="false" ht="15" hidden="false" customHeight="false" outlineLevel="0" collapsed="false">
      <c r="A421" s="0" t="s">
        <v>2447</v>
      </c>
      <c r="B421" s="18" t="s">
        <v>109</v>
      </c>
      <c r="C421" s="19" t="s">
        <v>26</v>
      </c>
      <c r="D421" s="20" t="s">
        <v>31</v>
      </c>
      <c r="E421" s="21" t="s">
        <v>2448</v>
      </c>
      <c r="G421" s="21" t="s">
        <v>111</v>
      </c>
      <c r="H421" s="21" t="s">
        <v>343</v>
      </c>
      <c r="I421" s="21" t="s">
        <v>113</v>
      </c>
      <c r="J421" s="21" t="s">
        <v>134</v>
      </c>
      <c r="K421" s="0" t="n">
        <v>4</v>
      </c>
      <c r="L421" s="0" t="n">
        <v>1</v>
      </c>
      <c r="M421" s="0" t="n">
        <v>1</v>
      </c>
      <c r="N421" s="0" t="n">
        <v>2</v>
      </c>
      <c r="O421" s="0" t="n">
        <v>0</v>
      </c>
      <c r="P421" s="0" t="n">
        <v>2</v>
      </c>
      <c r="Q421" s="0" t="n">
        <v>0</v>
      </c>
      <c r="R421" s="0" t="n">
        <v>0</v>
      </c>
      <c r="S421" s="0" t="n">
        <v>2</v>
      </c>
      <c r="T421" s="0" t="n">
        <v>2</v>
      </c>
      <c r="U421" s="21" t="s">
        <v>2449</v>
      </c>
      <c r="V421" s="21" t="s">
        <v>69</v>
      </c>
      <c r="W421" s="21" t="s">
        <v>239</v>
      </c>
      <c r="X421" s="0" t="n">
        <v>2.73</v>
      </c>
      <c r="Y421" s="0" t="n">
        <v>9.9</v>
      </c>
      <c r="Z421" s="0" t="n">
        <v>43.6</v>
      </c>
      <c r="AA421" s="21" t="s">
        <v>2450</v>
      </c>
      <c r="AB421" s="21" t="s">
        <v>2451</v>
      </c>
      <c r="AC421" s="21" t="s">
        <v>120</v>
      </c>
      <c r="AD421" s="0" t="n">
        <v>98</v>
      </c>
      <c r="AE421" s="22" t="b">
        <f aca="false">FALSE()</f>
        <v>0</v>
      </c>
      <c r="AF421" s="21" t="s">
        <v>121</v>
      </c>
      <c r="AG421" s="21" t="s">
        <v>2452</v>
      </c>
    </row>
    <row r="422" customFormat="false" ht="15" hidden="false" customHeight="false" outlineLevel="0" collapsed="false">
      <c r="A422" s="0" t="s">
        <v>2453</v>
      </c>
      <c r="B422" s="18" t="s">
        <v>109</v>
      </c>
      <c r="C422" s="20" t="s">
        <v>25</v>
      </c>
      <c r="D422" s="23" t="s">
        <v>30</v>
      </c>
      <c r="E422" s="21" t="s">
        <v>2454</v>
      </c>
      <c r="G422" s="21" t="s">
        <v>111</v>
      </c>
      <c r="H422" s="21" t="s">
        <v>177</v>
      </c>
      <c r="I422" s="21" t="s">
        <v>113</v>
      </c>
      <c r="J422" s="21" t="s">
        <v>114</v>
      </c>
      <c r="K422" s="0" t="n">
        <v>8</v>
      </c>
      <c r="L422" s="0" t="n">
        <v>2</v>
      </c>
      <c r="M422" s="0" t="n">
        <v>6</v>
      </c>
      <c r="N422" s="0" t="n">
        <v>0</v>
      </c>
      <c r="O422" s="0" t="n">
        <v>0</v>
      </c>
      <c r="P422" s="0" t="n">
        <v>8</v>
      </c>
      <c r="Q422" s="0" t="n">
        <v>2</v>
      </c>
      <c r="R422" s="0" t="n">
        <v>0</v>
      </c>
      <c r="S422" s="0" t="n">
        <v>6</v>
      </c>
      <c r="T422" s="0" t="n">
        <v>0</v>
      </c>
      <c r="U422" s="21" t="s">
        <v>2455</v>
      </c>
      <c r="V422" s="21" t="s">
        <v>69</v>
      </c>
      <c r="W422" s="21" t="s">
        <v>157</v>
      </c>
      <c r="X422" s="0" t="n">
        <v>4.97</v>
      </c>
      <c r="Y422" s="0" t="n">
        <v>17.3</v>
      </c>
      <c r="Z422" s="0" t="n">
        <v>77.4</v>
      </c>
      <c r="AA422" s="21" t="s">
        <v>2456</v>
      </c>
      <c r="AB422" s="21" t="s">
        <v>2457</v>
      </c>
      <c r="AC422" s="21" t="s">
        <v>120</v>
      </c>
      <c r="AD422" s="0" t="n">
        <v>193</v>
      </c>
      <c r="AE422" s="22" t="b">
        <f aca="false">FALSE()</f>
        <v>0</v>
      </c>
      <c r="AF422" s="21" t="s">
        <v>121</v>
      </c>
      <c r="AG422" s="21" t="s">
        <v>2458</v>
      </c>
    </row>
    <row r="423" customFormat="false" ht="15" hidden="false" customHeight="false" outlineLevel="0" collapsed="false">
      <c r="A423" s="0" t="s">
        <v>2459</v>
      </c>
      <c r="B423" s="18" t="s">
        <v>109</v>
      </c>
      <c r="C423" s="19" t="s">
        <v>26</v>
      </c>
      <c r="D423" s="20" t="s">
        <v>31</v>
      </c>
      <c r="E423" s="21" t="s">
        <v>2460</v>
      </c>
      <c r="G423" s="21" t="s">
        <v>111</v>
      </c>
      <c r="H423" s="21" t="s">
        <v>887</v>
      </c>
      <c r="I423" s="21" t="s">
        <v>113</v>
      </c>
      <c r="J423" s="21" t="s">
        <v>134</v>
      </c>
      <c r="K423" s="0" t="n">
        <v>4</v>
      </c>
      <c r="L423" s="0" t="n">
        <v>2</v>
      </c>
      <c r="M423" s="0" t="n">
        <v>1</v>
      </c>
      <c r="N423" s="0" t="n">
        <v>1</v>
      </c>
      <c r="O423" s="0" t="n">
        <v>0</v>
      </c>
      <c r="P423" s="0" t="n">
        <v>3</v>
      </c>
      <c r="Q423" s="0" t="n">
        <v>1</v>
      </c>
      <c r="R423" s="0" t="n">
        <v>1</v>
      </c>
      <c r="S423" s="0" t="n">
        <v>1</v>
      </c>
      <c r="T423" s="0" t="n">
        <v>1</v>
      </c>
      <c r="U423" s="21" t="s">
        <v>2461</v>
      </c>
      <c r="V423" s="21" t="s">
        <v>69</v>
      </c>
      <c r="W423" s="21" t="s">
        <v>117</v>
      </c>
      <c r="X423" s="0" t="n">
        <v>1.74</v>
      </c>
      <c r="Y423" s="0" t="n">
        <v>19.8</v>
      </c>
      <c r="Z423" s="0" t="n">
        <v>43.1</v>
      </c>
      <c r="AA423" s="21" t="s">
        <v>2462</v>
      </c>
      <c r="AB423" s="21" t="s">
        <v>2463</v>
      </c>
      <c r="AC423" s="21" t="s">
        <v>120</v>
      </c>
      <c r="AD423" s="0" t="n">
        <v>97</v>
      </c>
      <c r="AE423" s="22" t="b">
        <f aca="false">FALSE()</f>
        <v>0</v>
      </c>
      <c r="AF423" s="21" t="s">
        <v>121</v>
      </c>
      <c r="AG423" s="21" t="s">
        <v>2464</v>
      </c>
    </row>
    <row r="424" customFormat="false" ht="15" hidden="false" customHeight="false" outlineLevel="0" collapsed="false">
      <c r="A424" s="0" t="s">
        <v>2465</v>
      </c>
      <c r="B424" s="18" t="s">
        <v>109</v>
      </c>
      <c r="C424" s="19" t="s">
        <v>26</v>
      </c>
      <c r="D424" s="20" t="s">
        <v>31</v>
      </c>
      <c r="E424" s="21" t="s">
        <v>2466</v>
      </c>
      <c r="G424" s="21" t="s">
        <v>111</v>
      </c>
      <c r="H424" s="21" t="s">
        <v>289</v>
      </c>
      <c r="I424" s="21" t="s">
        <v>113</v>
      </c>
      <c r="J424" s="21" t="s">
        <v>114</v>
      </c>
      <c r="K424" s="0" t="n">
        <v>8</v>
      </c>
      <c r="L424" s="0" t="n">
        <v>3</v>
      </c>
      <c r="M424" s="0" t="n">
        <v>2</v>
      </c>
      <c r="N424" s="0" t="n">
        <v>3</v>
      </c>
      <c r="O424" s="0" t="n">
        <v>0</v>
      </c>
      <c r="P424" s="0" t="n">
        <v>5</v>
      </c>
      <c r="Q424" s="0" t="n">
        <v>1</v>
      </c>
      <c r="R424" s="0" t="n">
        <v>0</v>
      </c>
      <c r="S424" s="0" t="n">
        <v>4</v>
      </c>
      <c r="T424" s="0" t="n">
        <v>3</v>
      </c>
      <c r="U424" s="21" t="s">
        <v>2467</v>
      </c>
      <c r="V424" s="21" t="s">
        <v>69</v>
      </c>
      <c r="W424" s="21" t="s">
        <v>313</v>
      </c>
      <c r="X424" s="0" t="n">
        <v>7.21</v>
      </c>
      <c r="Y424" s="0" t="n">
        <v>18.6</v>
      </c>
      <c r="Z424" s="0" t="n">
        <v>82.7</v>
      </c>
      <c r="AA424" s="21" t="s">
        <v>2468</v>
      </c>
      <c r="AB424" s="21" t="s">
        <v>2469</v>
      </c>
      <c r="AC424" s="21" t="s">
        <v>120</v>
      </c>
      <c r="AD424" s="0" t="n">
        <v>191</v>
      </c>
      <c r="AE424" s="22" t="b">
        <f aca="false">FALSE()</f>
        <v>0</v>
      </c>
      <c r="AF424" s="21" t="s">
        <v>121</v>
      </c>
      <c r="AG424" s="21" t="s">
        <v>2470</v>
      </c>
    </row>
    <row r="425" customFormat="false" ht="15" hidden="false" customHeight="false" outlineLevel="0" collapsed="false">
      <c r="A425" s="0" t="s">
        <v>2471</v>
      </c>
      <c r="B425" s="18" t="s">
        <v>109</v>
      </c>
      <c r="C425" s="19" t="s">
        <v>26</v>
      </c>
      <c r="D425" s="20" t="s">
        <v>31</v>
      </c>
      <c r="E425" s="21" t="s">
        <v>2472</v>
      </c>
      <c r="G425" s="21" t="s">
        <v>127</v>
      </c>
      <c r="H425" s="21" t="s">
        <v>887</v>
      </c>
      <c r="I425" s="21" t="s">
        <v>113</v>
      </c>
      <c r="J425" s="21" t="s">
        <v>134</v>
      </c>
      <c r="K425" s="0" t="n">
        <v>4</v>
      </c>
      <c r="L425" s="0" t="n">
        <v>0</v>
      </c>
      <c r="M425" s="0" t="n">
        <v>1</v>
      </c>
      <c r="N425" s="0" t="n">
        <v>3</v>
      </c>
      <c r="O425" s="0" t="n">
        <v>0</v>
      </c>
      <c r="P425" s="0" t="n">
        <v>1</v>
      </c>
      <c r="Q425" s="0" t="n">
        <v>0</v>
      </c>
      <c r="R425" s="0" t="n">
        <v>0</v>
      </c>
      <c r="S425" s="0" t="n">
        <v>1</v>
      </c>
      <c r="T425" s="0" t="n">
        <v>3</v>
      </c>
      <c r="U425" s="21" t="s">
        <v>2473</v>
      </c>
      <c r="V425" s="21" t="s">
        <v>69</v>
      </c>
      <c r="W425" s="21" t="s">
        <v>224</v>
      </c>
      <c r="X425" s="0" t="n">
        <v>3.89</v>
      </c>
      <c r="Y425" s="0" t="n">
        <v>13.5</v>
      </c>
      <c r="Z425" s="0" t="n">
        <v>45.2</v>
      </c>
      <c r="AA425" s="21" t="s">
        <v>2474</v>
      </c>
      <c r="AB425" s="21" t="s">
        <v>2475</v>
      </c>
      <c r="AC425" s="21" t="s">
        <v>120</v>
      </c>
      <c r="AD425" s="0" t="n">
        <v>95</v>
      </c>
      <c r="AE425" s="22" t="b">
        <f aca="false">FALSE()</f>
        <v>0</v>
      </c>
      <c r="AF425" s="21" t="s">
        <v>121</v>
      </c>
      <c r="AG425" s="21" t="s">
        <v>2476</v>
      </c>
    </row>
    <row r="426" customFormat="false" ht="15" hidden="false" customHeight="false" outlineLevel="0" collapsed="false">
      <c r="A426" s="0" t="s">
        <v>2477</v>
      </c>
      <c r="B426" s="20" t="s">
        <v>124</v>
      </c>
      <c r="E426" s="21" t="s">
        <v>2478</v>
      </c>
      <c r="F426" s="21" t="s">
        <v>2479</v>
      </c>
      <c r="G426" s="21" t="s">
        <v>111</v>
      </c>
      <c r="H426" s="21" t="s">
        <v>203</v>
      </c>
      <c r="I426" s="21" t="s">
        <v>113</v>
      </c>
      <c r="Z426" s="0" t="n">
        <v>0</v>
      </c>
      <c r="AA426" s="21" t="s">
        <v>2480</v>
      </c>
      <c r="AB426" s="21" t="s">
        <v>2480</v>
      </c>
      <c r="AE426" s="22" t="b">
        <f aca="false">FALSE()</f>
        <v>0</v>
      </c>
      <c r="AF426" s="21" t="s">
        <v>121</v>
      </c>
      <c r="AG426" s="21" t="s">
        <v>2481</v>
      </c>
    </row>
    <row r="427" customFormat="false" ht="15" hidden="false" customHeight="false" outlineLevel="0" collapsed="false">
      <c r="A427" s="0" t="s">
        <v>2482</v>
      </c>
      <c r="B427" s="18" t="s">
        <v>109</v>
      </c>
      <c r="C427" s="20" t="s">
        <v>25</v>
      </c>
      <c r="D427" s="23" t="s">
        <v>30</v>
      </c>
      <c r="E427" s="21" t="s">
        <v>2483</v>
      </c>
      <c r="G427" s="21" t="s">
        <v>127</v>
      </c>
      <c r="H427" s="21" t="s">
        <v>352</v>
      </c>
      <c r="I427" s="21" t="s">
        <v>113</v>
      </c>
      <c r="J427" s="21" t="s">
        <v>114</v>
      </c>
      <c r="K427" s="0" t="n">
        <v>8</v>
      </c>
      <c r="L427" s="0" t="n">
        <v>1</v>
      </c>
      <c r="M427" s="0" t="n">
        <v>7</v>
      </c>
      <c r="N427" s="0" t="n">
        <v>0</v>
      </c>
      <c r="O427" s="0" t="n">
        <v>0</v>
      </c>
      <c r="P427" s="0" t="n">
        <v>8</v>
      </c>
      <c r="Q427" s="0" t="n">
        <v>1</v>
      </c>
      <c r="R427" s="0" t="n">
        <v>5</v>
      </c>
      <c r="S427" s="0" t="n">
        <v>2</v>
      </c>
      <c r="T427" s="0" t="n">
        <v>0</v>
      </c>
      <c r="U427" s="21" t="s">
        <v>2484</v>
      </c>
      <c r="V427" s="21" t="s">
        <v>69</v>
      </c>
      <c r="W427" s="21" t="s">
        <v>294</v>
      </c>
      <c r="X427" s="0" t="n">
        <v>0.86</v>
      </c>
      <c r="Y427" s="0" t="n">
        <v>18.3</v>
      </c>
      <c r="Z427" s="0" t="n">
        <v>77.3</v>
      </c>
      <c r="AA427" s="21" t="s">
        <v>2485</v>
      </c>
      <c r="AB427" s="21" t="s">
        <v>2486</v>
      </c>
      <c r="AC427" s="21" t="s">
        <v>120</v>
      </c>
      <c r="AD427" s="0" t="n">
        <v>195</v>
      </c>
      <c r="AE427" s="22" t="b">
        <f aca="false">FALSE()</f>
        <v>0</v>
      </c>
      <c r="AF427" s="21" t="s">
        <v>121</v>
      </c>
      <c r="AG427" s="21" t="s">
        <v>2487</v>
      </c>
    </row>
    <row r="428" customFormat="false" ht="15" hidden="false" customHeight="false" outlineLevel="0" collapsed="false">
      <c r="A428" s="0" t="s">
        <v>2488</v>
      </c>
      <c r="B428" s="18" t="s">
        <v>109</v>
      </c>
      <c r="C428" s="19" t="s">
        <v>26</v>
      </c>
      <c r="D428" s="20" t="s">
        <v>31</v>
      </c>
      <c r="E428" s="21" t="s">
        <v>2489</v>
      </c>
      <c r="G428" s="21" t="s">
        <v>111</v>
      </c>
      <c r="H428" s="21" t="s">
        <v>382</v>
      </c>
      <c r="I428" s="21" t="s">
        <v>113</v>
      </c>
      <c r="J428" s="21" t="s">
        <v>134</v>
      </c>
      <c r="K428" s="0" t="n">
        <v>4</v>
      </c>
      <c r="L428" s="0" t="n">
        <v>0</v>
      </c>
      <c r="M428" s="0" t="n">
        <v>1</v>
      </c>
      <c r="N428" s="0" t="n">
        <v>3</v>
      </c>
      <c r="O428" s="0" t="n">
        <v>0</v>
      </c>
      <c r="P428" s="0" t="n">
        <v>1</v>
      </c>
      <c r="Q428" s="0" t="n">
        <v>0</v>
      </c>
      <c r="R428" s="0" t="n">
        <v>0</v>
      </c>
      <c r="S428" s="0" t="n">
        <v>1</v>
      </c>
      <c r="T428" s="0" t="n">
        <v>3</v>
      </c>
      <c r="U428" s="21" t="s">
        <v>2490</v>
      </c>
      <c r="V428" s="21" t="s">
        <v>69</v>
      </c>
      <c r="W428" s="21" t="s">
        <v>224</v>
      </c>
      <c r="X428" s="0" t="n">
        <v>5.09</v>
      </c>
      <c r="Y428" s="0" t="n">
        <v>15</v>
      </c>
      <c r="Z428" s="0" t="n">
        <v>46.8</v>
      </c>
      <c r="AA428" s="21" t="s">
        <v>2491</v>
      </c>
      <c r="AB428" s="21" t="s">
        <v>2492</v>
      </c>
      <c r="AC428" s="21" t="s">
        <v>120</v>
      </c>
      <c r="AD428" s="0" t="n">
        <v>96</v>
      </c>
      <c r="AE428" s="22" t="b">
        <f aca="false">FALSE()</f>
        <v>0</v>
      </c>
      <c r="AF428" s="21" t="s">
        <v>121</v>
      </c>
      <c r="AG428" s="21" t="s">
        <v>2493</v>
      </c>
    </row>
    <row r="429" customFormat="false" ht="15" hidden="false" customHeight="false" outlineLevel="0" collapsed="false">
      <c r="A429" s="0" t="s">
        <v>2494</v>
      </c>
      <c r="B429" s="18" t="s">
        <v>109</v>
      </c>
      <c r="C429" s="20" t="s">
        <v>25</v>
      </c>
      <c r="D429" s="23" t="s">
        <v>30</v>
      </c>
      <c r="E429" s="21" t="s">
        <v>2495</v>
      </c>
      <c r="G429" s="21" t="s">
        <v>111</v>
      </c>
      <c r="H429" s="21" t="s">
        <v>362</v>
      </c>
      <c r="I429" s="21" t="s">
        <v>113</v>
      </c>
      <c r="J429" s="21" t="s">
        <v>134</v>
      </c>
      <c r="K429" s="0" t="n">
        <v>4</v>
      </c>
      <c r="L429" s="0" t="n">
        <v>0</v>
      </c>
      <c r="M429" s="0" t="n">
        <v>4</v>
      </c>
      <c r="N429" s="0" t="n">
        <v>0</v>
      </c>
      <c r="O429" s="0" t="n">
        <v>0</v>
      </c>
      <c r="P429" s="0" t="n">
        <v>4</v>
      </c>
      <c r="Q429" s="0" t="n">
        <v>0</v>
      </c>
      <c r="R429" s="0" t="n">
        <v>1</v>
      </c>
      <c r="S429" s="0" t="n">
        <v>3</v>
      </c>
      <c r="T429" s="0" t="n">
        <v>0</v>
      </c>
      <c r="U429" s="21" t="s">
        <v>2496</v>
      </c>
      <c r="V429" s="21" t="s">
        <v>69</v>
      </c>
      <c r="W429" s="21" t="s">
        <v>157</v>
      </c>
      <c r="X429" s="0" t="n">
        <v>1.48</v>
      </c>
      <c r="Y429" s="0" t="n">
        <v>19</v>
      </c>
      <c r="Z429" s="0" t="n">
        <v>43.1</v>
      </c>
      <c r="AA429" s="21" t="s">
        <v>2497</v>
      </c>
      <c r="AB429" s="21" t="s">
        <v>2498</v>
      </c>
      <c r="AC429" s="21" t="s">
        <v>120</v>
      </c>
      <c r="AD429" s="0" t="n">
        <v>96</v>
      </c>
      <c r="AE429" s="22" t="b">
        <f aca="false">FALSE()</f>
        <v>0</v>
      </c>
      <c r="AF429" s="21" t="s">
        <v>121</v>
      </c>
      <c r="AG429" s="21" t="s">
        <v>2499</v>
      </c>
    </row>
    <row r="430" customFormat="false" ht="15" hidden="false" customHeight="false" outlineLevel="0" collapsed="false">
      <c r="A430" s="0" t="s">
        <v>2500</v>
      </c>
      <c r="B430" s="18" t="s">
        <v>109</v>
      </c>
      <c r="C430" s="19" t="s">
        <v>26</v>
      </c>
      <c r="D430" s="20" t="s">
        <v>31</v>
      </c>
      <c r="E430" s="21" t="s">
        <v>2501</v>
      </c>
      <c r="G430" s="21" t="s">
        <v>111</v>
      </c>
      <c r="H430" s="21" t="s">
        <v>142</v>
      </c>
      <c r="I430" s="21" t="s">
        <v>113</v>
      </c>
      <c r="J430" s="21" t="s">
        <v>134</v>
      </c>
      <c r="K430" s="0" t="n">
        <v>4</v>
      </c>
      <c r="L430" s="0" t="n">
        <v>0</v>
      </c>
      <c r="M430" s="0" t="n">
        <v>3</v>
      </c>
      <c r="N430" s="0" t="n">
        <v>1</v>
      </c>
      <c r="O430" s="0" t="n">
        <v>0</v>
      </c>
      <c r="P430" s="0" t="n">
        <v>3</v>
      </c>
      <c r="Q430" s="0" t="n">
        <v>0</v>
      </c>
      <c r="R430" s="0" t="n">
        <v>0</v>
      </c>
      <c r="S430" s="0" t="n">
        <v>3</v>
      </c>
      <c r="T430" s="0" t="n">
        <v>1</v>
      </c>
      <c r="U430" s="21" t="s">
        <v>2502</v>
      </c>
      <c r="V430" s="21" t="s">
        <v>69</v>
      </c>
      <c r="W430" s="21" t="s">
        <v>313</v>
      </c>
      <c r="X430" s="0" t="n">
        <v>2.5</v>
      </c>
      <c r="Y430" s="0" t="n">
        <v>21.7</v>
      </c>
      <c r="Z430" s="0" t="n">
        <v>42.7</v>
      </c>
      <c r="AA430" s="21" t="s">
        <v>2503</v>
      </c>
      <c r="AB430" s="21" t="s">
        <v>2504</v>
      </c>
      <c r="AC430" s="21" t="s">
        <v>120</v>
      </c>
      <c r="AD430" s="0" t="n">
        <v>96</v>
      </c>
      <c r="AE430" s="22" t="b">
        <f aca="false">FALSE()</f>
        <v>0</v>
      </c>
      <c r="AF430" s="21" t="s">
        <v>121</v>
      </c>
      <c r="AG430" s="21" t="s">
        <v>2505</v>
      </c>
    </row>
    <row r="431" customFormat="false" ht="15" hidden="false" customHeight="false" outlineLevel="0" collapsed="false">
      <c r="A431" s="0" t="s">
        <v>2506</v>
      </c>
      <c r="B431" s="20" t="s">
        <v>124</v>
      </c>
      <c r="E431" s="21" t="s">
        <v>2109</v>
      </c>
      <c r="F431" s="21" t="s">
        <v>2110</v>
      </c>
      <c r="G431" s="21" t="s">
        <v>111</v>
      </c>
      <c r="H431" s="21" t="s">
        <v>151</v>
      </c>
      <c r="I431" s="21" t="s">
        <v>113</v>
      </c>
      <c r="Z431" s="0" t="n">
        <v>0</v>
      </c>
      <c r="AA431" s="21" t="s">
        <v>2507</v>
      </c>
      <c r="AB431" s="21" t="s">
        <v>2507</v>
      </c>
      <c r="AE431" s="22" t="b">
        <f aca="false">FALSE()</f>
        <v>0</v>
      </c>
      <c r="AF431" s="21" t="s">
        <v>121</v>
      </c>
      <c r="AG431" s="21" t="s">
        <v>2508</v>
      </c>
    </row>
    <row r="432" customFormat="false" ht="15" hidden="false" customHeight="false" outlineLevel="0" collapsed="false">
      <c r="A432" s="0" t="s">
        <v>2509</v>
      </c>
      <c r="B432" s="18" t="s">
        <v>109</v>
      </c>
      <c r="C432" s="20" t="s">
        <v>25</v>
      </c>
      <c r="D432" s="23" t="s">
        <v>30</v>
      </c>
      <c r="E432" s="21" t="s">
        <v>2510</v>
      </c>
      <c r="G432" s="21" t="s">
        <v>111</v>
      </c>
      <c r="H432" s="21" t="s">
        <v>181</v>
      </c>
      <c r="I432" s="21" t="s">
        <v>113</v>
      </c>
      <c r="J432" s="21" t="s">
        <v>134</v>
      </c>
      <c r="K432" s="0" t="n">
        <v>4</v>
      </c>
      <c r="L432" s="0" t="n">
        <v>0</v>
      </c>
      <c r="M432" s="0" t="n">
        <v>4</v>
      </c>
      <c r="N432" s="0" t="n">
        <v>0</v>
      </c>
      <c r="O432" s="0" t="n">
        <v>0</v>
      </c>
      <c r="P432" s="0" t="n">
        <v>4</v>
      </c>
      <c r="Q432" s="0" t="n">
        <v>0</v>
      </c>
      <c r="R432" s="0" t="n">
        <v>0</v>
      </c>
      <c r="S432" s="0" t="n">
        <v>4</v>
      </c>
      <c r="T432" s="0" t="n">
        <v>0</v>
      </c>
      <c r="U432" s="21" t="s">
        <v>2511</v>
      </c>
      <c r="V432" s="21" t="s">
        <v>69</v>
      </c>
      <c r="W432" s="21" t="s">
        <v>376</v>
      </c>
      <c r="X432" s="0" t="n">
        <v>0.81</v>
      </c>
      <c r="Y432" s="0" t="n">
        <v>18.9</v>
      </c>
      <c r="Z432" s="0" t="n">
        <v>41.4</v>
      </c>
      <c r="AA432" s="21" t="s">
        <v>2512</v>
      </c>
      <c r="AB432" s="21" t="s">
        <v>2513</v>
      </c>
      <c r="AC432" s="21" t="s">
        <v>120</v>
      </c>
      <c r="AD432" s="0" t="n">
        <v>96</v>
      </c>
      <c r="AE432" s="22" t="b">
        <f aca="false">FALSE()</f>
        <v>0</v>
      </c>
      <c r="AF432" s="21" t="s">
        <v>121</v>
      </c>
      <c r="AG432" s="21" t="s">
        <v>2514</v>
      </c>
    </row>
    <row r="433" customFormat="false" ht="15" hidden="false" customHeight="false" outlineLevel="0" collapsed="false">
      <c r="A433" s="0" t="s">
        <v>2515</v>
      </c>
      <c r="B433" s="20" t="s">
        <v>124</v>
      </c>
      <c r="E433" s="21" t="s">
        <v>2516</v>
      </c>
      <c r="F433" s="21" t="s">
        <v>2517</v>
      </c>
      <c r="G433" s="21" t="s">
        <v>127</v>
      </c>
      <c r="H433" s="21" t="s">
        <v>953</v>
      </c>
      <c r="I433" s="21" t="s">
        <v>113</v>
      </c>
      <c r="Z433" s="0" t="n">
        <v>0</v>
      </c>
      <c r="AA433" s="21" t="s">
        <v>2518</v>
      </c>
      <c r="AB433" s="21" t="s">
        <v>2518</v>
      </c>
      <c r="AE433" s="22" t="b">
        <f aca="false">FALSE()</f>
        <v>0</v>
      </c>
      <c r="AF433" s="21" t="s">
        <v>121</v>
      </c>
      <c r="AG433" s="21" t="s">
        <v>2519</v>
      </c>
    </row>
    <row r="434" customFormat="false" ht="15" hidden="false" customHeight="false" outlineLevel="0" collapsed="false">
      <c r="A434" s="0" t="s">
        <v>2520</v>
      </c>
      <c r="B434" s="20" t="s">
        <v>124</v>
      </c>
      <c r="E434" s="21" t="s">
        <v>125</v>
      </c>
      <c r="F434" s="21" t="s">
        <v>126</v>
      </c>
      <c r="G434" s="21" t="s">
        <v>111</v>
      </c>
      <c r="H434" s="21" t="s">
        <v>128</v>
      </c>
      <c r="I434" s="21" t="s">
        <v>171</v>
      </c>
      <c r="Z434" s="0" t="n">
        <v>0</v>
      </c>
      <c r="AA434" s="21" t="s">
        <v>2521</v>
      </c>
      <c r="AB434" s="21" t="s">
        <v>2521</v>
      </c>
      <c r="AE434" s="22" t="b">
        <f aca="false">FALSE()</f>
        <v>0</v>
      </c>
      <c r="AF434" s="21" t="s">
        <v>121</v>
      </c>
      <c r="AG434" s="21" t="s">
        <v>2522</v>
      </c>
    </row>
    <row r="435" customFormat="false" ht="15" hidden="false" customHeight="false" outlineLevel="0" collapsed="false">
      <c r="A435" s="0" t="s">
        <v>2523</v>
      </c>
      <c r="B435" s="18" t="s">
        <v>109</v>
      </c>
      <c r="C435" s="19" t="s">
        <v>26</v>
      </c>
      <c r="D435" s="20" t="s">
        <v>31</v>
      </c>
      <c r="E435" s="21" t="s">
        <v>2524</v>
      </c>
      <c r="G435" s="21" t="s">
        <v>111</v>
      </c>
      <c r="H435" s="21" t="s">
        <v>299</v>
      </c>
      <c r="I435" s="21" t="s">
        <v>113</v>
      </c>
      <c r="J435" s="21" t="s">
        <v>134</v>
      </c>
      <c r="K435" s="0" t="n">
        <v>4</v>
      </c>
      <c r="L435" s="0" t="n">
        <v>0</v>
      </c>
      <c r="M435" s="0" t="n">
        <v>3</v>
      </c>
      <c r="N435" s="0" t="n">
        <v>1</v>
      </c>
      <c r="O435" s="0" t="n">
        <v>0</v>
      </c>
      <c r="P435" s="0" t="n">
        <v>3</v>
      </c>
      <c r="Q435" s="0" t="n">
        <v>0</v>
      </c>
      <c r="R435" s="0" t="n">
        <v>1</v>
      </c>
      <c r="S435" s="0" t="n">
        <v>2</v>
      </c>
      <c r="T435" s="0" t="n">
        <v>1</v>
      </c>
      <c r="U435" s="21" t="s">
        <v>2525</v>
      </c>
      <c r="V435" s="21" t="s">
        <v>69</v>
      </c>
      <c r="W435" s="21" t="s">
        <v>301</v>
      </c>
      <c r="X435" s="0" t="n">
        <v>2.8</v>
      </c>
      <c r="Y435" s="0" t="n">
        <v>18.1</v>
      </c>
      <c r="Z435" s="0" t="n">
        <v>63.5</v>
      </c>
      <c r="AA435" s="21" t="s">
        <v>2526</v>
      </c>
      <c r="AB435" s="21" t="s">
        <v>2527</v>
      </c>
      <c r="AC435" s="21" t="s">
        <v>120</v>
      </c>
      <c r="AD435" s="0" t="n">
        <v>105</v>
      </c>
      <c r="AE435" s="22" t="b">
        <f aca="false">FALSE()</f>
        <v>0</v>
      </c>
      <c r="AF435" s="21" t="s">
        <v>121</v>
      </c>
      <c r="AG435" s="21" t="s">
        <v>2528</v>
      </c>
    </row>
    <row r="436" customFormat="false" ht="15" hidden="false" customHeight="false" outlineLevel="0" collapsed="false">
      <c r="A436" s="0" t="s">
        <v>2529</v>
      </c>
      <c r="B436" s="18" t="s">
        <v>109</v>
      </c>
      <c r="C436" s="20" t="s">
        <v>25</v>
      </c>
      <c r="D436" s="23" t="s">
        <v>30</v>
      </c>
      <c r="E436" s="21" t="s">
        <v>2530</v>
      </c>
      <c r="G436" s="21" t="s">
        <v>111</v>
      </c>
      <c r="H436" s="21" t="s">
        <v>568</v>
      </c>
      <c r="I436" s="21" t="s">
        <v>113</v>
      </c>
      <c r="J436" s="21" t="s">
        <v>134</v>
      </c>
      <c r="K436" s="0" t="n">
        <v>4</v>
      </c>
      <c r="L436" s="0" t="n">
        <v>3</v>
      </c>
      <c r="M436" s="0" t="n">
        <v>1</v>
      </c>
      <c r="N436" s="0" t="n">
        <v>0</v>
      </c>
      <c r="O436" s="0" t="n">
        <v>0</v>
      </c>
      <c r="P436" s="0" t="n">
        <v>4</v>
      </c>
      <c r="Q436" s="0" t="n">
        <v>3</v>
      </c>
      <c r="R436" s="0" t="n">
        <v>0</v>
      </c>
      <c r="S436" s="0" t="n">
        <v>1</v>
      </c>
      <c r="T436" s="0" t="n">
        <v>0</v>
      </c>
      <c r="U436" s="21" t="s">
        <v>375</v>
      </c>
      <c r="V436" s="21" t="s">
        <v>69</v>
      </c>
      <c r="W436" s="21" t="s">
        <v>283</v>
      </c>
      <c r="X436" s="0" t="n">
        <v>6.7</v>
      </c>
      <c r="Y436" s="0" t="n">
        <v>15.8</v>
      </c>
      <c r="Z436" s="0" t="n">
        <v>51.8</v>
      </c>
      <c r="AA436" s="21" t="s">
        <v>2531</v>
      </c>
      <c r="AB436" s="21" t="s">
        <v>2532</v>
      </c>
      <c r="AC436" s="21" t="s">
        <v>120</v>
      </c>
      <c r="AD436" s="0" t="n">
        <v>95</v>
      </c>
      <c r="AE436" s="22" t="b">
        <f aca="false">FALSE()</f>
        <v>0</v>
      </c>
      <c r="AF436" s="21" t="s">
        <v>121</v>
      </c>
      <c r="AG436" s="21" t="s">
        <v>2533</v>
      </c>
    </row>
    <row r="437" customFormat="false" ht="15" hidden="false" customHeight="false" outlineLevel="0" collapsed="false">
      <c r="A437" s="0" t="s">
        <v>2534</v>
      </c>
      <c r="B437" s="18" t="s">
        <v>109</v>
      </c>
      <c r="C437" s="19" t="s">
        <v>26</v>
      </c>
      <c r="D437" s="20" t="s">
        <v>31</v>
      </c>
      <c r="E437" s="21" t="s">
        <v>2535</v>
      </c>
      <c r="G437" s="21" t="s">
        <v>111</v>
      </c>
      <c r="H437" s="21" t="s">
        <v>275</v>
      </c>
      <c r="I437" s="21" t="s">
        <v>113</v>
      </c>
      <c r="J437" s="21" t="s">
        <v>114</v>
      </c>
      <c r="K437" s="0" t="n">
        <v>8</v>
      </c>
      <c r="L437" s="0" t="n">
        <v>0</v>
      </c>
      <c r="M437" s="0" t="n">
        <v>6</v>
      </c>
      <c r="N437" s="0" t="n">
        <v>2</v>
      </c>
      <c r="O437" s="0" t="n">
        <v>0</v>
      </c>
      <c r="P437" s="0" t="n">
        <v>6</v>
      </c>
      <c r="Q437" s="0" t="n">
        <v>0</v>
      </c>
      <c r="R437" s="0" t="n">
        <v>0</v>
      </c>
      <c r="S437" s="0" t="n">
        <v>6</v>
      </c>
      <c r="T437" s="0" t="n">
        <v>2</v>
      </c>
      <c r="U437" s="21" t="s">
        <v>2536</v>
      </c>
      <c r="V437" s="21" t="s">
        <v>69</v>
      </c>
      <c r="W437" s="21" t="s">
        <v>2537</v>
      </c>
      <c r="X437" s="0" t="n">
        <v>2.63</v>
      </c>
      <c r="Y437" s="0" t="n">
        <v>21.3</v>
      </c>
      <c r="Z437" s="0" t="n">
        <v>92.8</v>
      </c>
      <c r="AA437" s="21" t="s">
        <v>2538</v>
      </c>
      <c r="AB437" s="21" t="s">
        <v>2539</v>
      </c>
      <c r="AC437" s="21" t="s">
        <v>120</v>
      </c>
      <c r="AD437" s="0" t="n">
        <v>200</v>
      </c>
      <c r="AE437" s="22" t="b">
        <f aca="false">FALSE()</f>
        <v>0</v>
      </c>
      <c r="AF437" s="21" t="s">
        <v>121</v>
      </c>
      <c r="AG437" s="21" t="s">
        <v>2540</v>
      </c>
    </row>
    <row r="438" customFormat="false" ht="15" hidden="false" customHeight="false" outlineLevel="0" collapsed="false">
      <c r="A438" s="0" t="s">
        <v>2541</v>
      </c>
      <c r="B438" s="18" t="s">
        <v>109</v>
      </c>
      <c r="C438" s="20" t="s">
        <v>25</v>
      </c>
      <c r="D438" s="23" t="s">
        <v>30</v>
      </c>
      <c r="E438" s="21" t="s">
        <v>2542</v>
      </c>
      <c r="G438" s="21" t="s">
        <v>127</v>
      </c>
      <c r="H438" s="21" t="s">
        <v>261</v>
      </c>
      <c r="I438" s="21" t="s">
        <v>113</v>
      </c>
      <c r="J438" s="21" t="s">
        <v>134</v>
      </c>
      <c r="K438" s="0" t="n">
        <v>4</v>
      </c>
      <c r="L438" s="0" t="n">
        <v>3</v>
      </c>
      <c r="M438" s="0" t="n">
        <v>1</v>
      </c>
      <c r="N438" s="0" t="n">
        <v>0</v>
      </c>
      <c r="O438" s="0" t="n">
        <v>0</v>
      </c>
      <c r="P438" s="0" t="n">
        <v>4</v>
      </c>
      <c r="Q438" s="0" t="n">
        <v>2</v>
      </c>
      <c r="R438" s="0" t="n">
        <v>0</v>
      </c>
      <c r="S438" s="0" t="n">
        <v>2</v>
      </c>
      <c r="T438" s="0" t="n">
        <v>0</v>
      </c>
      <c r="U438" s="21" t="s">
        <v>2543</v>
      </c>
      <c r="V438" s="21" t="s">
        <v>69</v>
      </c>
      <c r="W438" s="21" t="s">
        <v>283</v>
      </c>
      <c r="X438" s="0" t="n">
        <v>4.17</v>
      </c>
      <c r="Y438" s="0" t="n">
        <v>16.5</v>
      </c>
      <c r="Z438" s="0" t="n">
        <v>48.4</v>
      </c>
      <c r="AA438" s="21" t="s">
        <v>2544</v>
      </c>
      <c r="AB438" s="21" t="s">
        <v>2545</v>
      </c>
      <c r="AC438" s="21" t="s">
        <v>120</v>
      </c>
      <c r="AD438" s="0" t="n">
        <v>95</v>
      </c>
      <c r="AE438" s="22" t="b">
        <f aca="false">FALSE()</f>
        <v>0</v>
      </c>
      <c r="AF438" s="21" t="s">
        <v>121</v>
      </c>
      <c r="AG438" s="21" t="s">
        <v>2546</v>
      </c>
    </row>
    <row r="439" customFormat="false" ht="15" hidden="false" customHeight="false" outlineLevel="0" collapsed="false">
      <c r="A439" s="0" t="s">
        <v>2547</v>
      </c>
      <c r="B439" s="20" t="s">
        <v>124</v>
      </c>
      <c r="E439" s="21" t="s">
        <v>552</v>
      </c>
      <c r="F439" s="21" t="s">
        <v>553</v>
      </c>
      <c r="G439" s="21" t="s">
        <v>127</v>
      </c>
      <c r="H439" s="21" t="s">
        <v>554</v>
      </c>
      <c r="I439" s="21" t="s">
        <v>113</v>
      </c>
      <c r="Z439" s="0" t="n">
        <v>0</v>
      </c>
      <c r="AA439" s="21" t="s">
        <v>2548</v>
      </c>
      <c r="AB439" s="21" t="s">
        <v>2548</v>
      </c>
      <c r="AE439" s="22" t="b">
        <f aca="false">FALSE()</f>
        <v>0</v>
      </c>
      <c r="AF439" s="21" t="s">
        <v>121</v>
      </c>
      <c r="AG439" s="21" t="s">
        <v>2549</v>
      </c>
    </row>
    <row r="440" customFormat="false" ht="15" hidden="false" customHeight="false" outlineLevel="0" collapsed="false">
      <c r="A440" s="0" t="s">
        <v>2550</v>
      </c>
      <c r="B440" s="18" t="s">
        <v>109</v>
      </c>
      <c r="C440" s="19" t="s">
        <v>26</v>
      </c>
      <c r="D440" s="20" t="s">
        <v>31</v>
      </c>
      <c r="E440" s="21" t="s">
        <v>2551</v>
      </c>
      <c r="G440" s="21" t="s">
        <v>127</v>
      </c>
      <c r="H440" s="21" t="s">
        <v>181</v>
      </c>
      <c r="I440" s="21" t="s">
        <v>113</v>
      </c>
      <c r="J440" s="21" t="s">
        <v>134</v>
      </c>
      <c r="K440" s="0" t="n">
        <v>4</v>
      </c>
      <c r="L440" s="0" t="n">
        <v>2</v>
      </c>
      <c r="M440" s="0" t="n">
        <v>1</v>
      </c>
      <c r="N440" s="0" t="n">
        <v>1</v>
      </c>
      <c r="O440" s="0" t="n">
        <v>0</v>
      </c>
      <c r="P440" s="0" t="n">
        <v>3</v>
      </c>
      <c r="Q440" s="0" t="n">
        <v>1</v>
      </c>
      <c r="R440" s="0" t="n">
        <v>0</v>
      </c>
      <c r="S440" s="0" t="n">
        <v>2</v>
      </c>
      <c r="T440" s="0" t="n">
        <v>1</v>
      </c>
      <c r="U440" s="21" t="s">
        <v>2552</v>
      </c>
      <c r="V440" s="21" t="s">
        <v>69</v>
      </c>
      <c r="W440" s="21" t="s">
        <v>345</v>
      </c>
      <c r="X440" s="0" t="n">
        <v>2.46</v>
      </c>
      <c r="Y440" s="0" t="n">
        <v>11.1</v>
      </c>
      <c r="Z440" s="0" t="n">
        <v>48.9</v>
      </c>
      <c r="AA440" s="21" t="s">
        <v>2553</v>
      </c>
      <c r="AB440" s="21" t="s">
        <v>2554</v>
      </c>
      <c r="AC440" s="21" t="s">
        <v>120</v>
      </c>
      <c r="AD440" s="0" t="n">
        <v>96</v>
      </c>
      <c r="AE440" s="22" t="b">
        <f aca="false">FALSE()</f>
        <v>0</v>
      </c>
      <c r="AF440" s="21" t="s">
        <v>121</v>
      </c>
      <c r="AG440" s="21" t="s">
        <v>2555</v>
      </c>
    </row>
    <row r="441" customFormat="false" ht="15" hidden="false" customHeight="false" outlineLevel="0" collapsed="false">
      <c r="A441" s="0" t="s">
        <v>2556</v>
      </c>
      <c r="B441" s="18" t="s">
        <v>109</v>
      </c>
      <c r="C441" s="20" t="s">
        <v>25</v>
      </c>
      <c r="D441" s="23" t="s">
        <v>30</v>
      </c>
      <c r="E441" s="21" t="s">
        <v>2557</v>
      </c>
      <c r="G441" s="21" t="s">
        <v>127</v>
      </c>
      <c r="H441" s="21" t="s">
        <v>568</v>
      </c>
      <c r="I441" s="21" t="s">
        <v>113</v>
      </c>
      <c r="J441" s="21" t="s">
        <v>134</v>
      </c>
      <c r="K441" s="0" t="n">
        <v>4</v>
      </c>
      <c r="L441" s="0" t="n">
        <v>3</v>
      </c>
      <c r="M441" s="0" t="n">
        <v>1</v>
      </c>
      <c r="N441" s="0" t="n">
        <v>0</v>
      </c>
      <c r="O441" s="0" t="n">
        <v>0</v>
      </c>
      <c r="P441" s="0" t="n">
        <v>4</v>
      </c>
      <c r="Q441" s="0" t="n">
        <v>2</v>
      </c>
      <c r="R441" s="0" t="n">
        <v>1</v>
      </c>
      <c r="S441" s="0" t="n">
        <v>1</v>
      </c>
      <c r="T441" s="0" t="n">
        <v>0</v>
      </c>
      <c r="U441" s="21" t="s">
        <v>2558</v>
      </c>
      <c r="W441" s="21" t="s">
        <v>2559</v>
      </c>
      <c r="X441" s="0" t="n">
        <v>5.56</v>
      </c>
      <c r="Y441" s="0" t="n">
        <v>15.1</v>
      </c>
      <c r="Z441" s="0" t="n">
        <v>51.7</v>
      </c>
      <c r="AA441" s="21" t="s">
        <v>2560</v>
      </c>
      <c r="AB441" s="21" t="s">
        <v>2072</v>
      </c>
      <c r="AC441" s="21" t="s">
        <v>120</v>
      </c>
      <c r="AD441" s="0" t="n">
        <v>97</v>
      </c>
      <c r="AE441" s="22" t="b">
        <f aca="false">FALSE()</f>
        <v>0</v>
      </c>
      <c r="AF441" s="21" t="s">
        <v>121</v>
      </c>
      <c r="AG441" s="21" t="s">
        <v>2561</v>
      </c>
    </row>
    <row r="442" customFormat="false" ht="15" hidden="false" customHeight="false" outlineLevel="0" collapsed="false">
      <c r="A442" s="0" t="s">
        <v>2562</v>
      </c>
      <c r="B442" s="20" t="s">
        <v>124</v>
      </c>
      <c r="E442" s="21" t="s">
        <v>2563</v>
      </c>
      <c r="F442" s="21" t="s">
        <v>2564</v>
      </c>
      <c r="G442" s="21" t="s">
        <v>111</v>
      </c>
      <c r="H442" s="21" t="s">
        <v>397</v>
      </c>
      <c r="I442" s="21" t="s">
        <v>113</v>
      </c>
      <c r="Z442" s="0" t="n">
        <v>0</v>
      </c>
      <c r="AA442" s="21" t="s">
        <v>2077</v>
      </c>
      <c r="AB442" s="21" t="s">
        <v>2077</v>
      </c>
      <c r="AE442" s="22" t="b">
        <f aca="false">FALSE()</f>
        <v>0</v>
      </c>
      <c r="AF442" s="21" t="s">
        <v>121</v>
      </c>
      <c r="AG442" s="21" t="s">
        <v>2565</v>
      </c>
    </row>
    <row r="443" customFormat="false" ht="15" hidden="false" customHeight="false" outlineLevel="0" collapsed="false">
      <c r="A443" s="0" t="s">
        <v>2566</v>
      </c>
      <c r="B443" s="20" t="s">
        <v>124</v>
      </c>
      <c r="E443" s="21" t="s">
        <v>751</v>
      </c>
      <c r="F443" s="21" t="s">
        <v>752</v>
      </c>
      <c r="G443" s="21" t="s">
        <v>111</v>
      </c>
      <c r="H443" s="21" t="s">
        <v>753</v>
      </c>
      <c r="I443" s="21" t="s">
        <v>113</v>
      </c>
      <c r="Z443" s="0" t="n">
        <v>0</v>
      </c>
      <c r="AA443" s="21" t="s">
        <v>2567</v>
      </c>
      <c r="AB443" s="21" t="s">
        <v>2567</v>
      </c>
      <c r="AE443" s="22" t="b">
        <f aca="false">FALSE()</f>
        <v>0</v>
      </c>
      <c r="AF443" s="21" t="s">
        <v>121</v>
      </c>
      <c r="AG443" s="21" t="s">
        <v>2568</v>
      </c>
    </row>
    <row r="444" customFormat="false" ht="15" hidden="false" customHeight="false" outlineLevel="0" collapsed="false">
      <c r="A444" s="0" t="s">
        <v>2569</v>
      </c>
      <c r="B444" s="18" t="s">
        <v>109</v>
      </c>
      <c r="C444" s="20" t="s">
        <v>25</v>
      </c>
      <c r="D444" s="20" t="s">
        <v>29</v>
      </c>
      <c r="E444" s="21" t="s">
        <v>2570</v>
      </c>
      <c r="G444" s="21" t="s">
        <v>111</v>
      </c>
      <c r="H444" s="21" t="s">
        <v>397</v>
      </c>
      <c r="I444" s="21" t="s">
        <v>113</v>
      </c>
      <c r="J444" s="21" t="s">
        <v>134</v>
      </c>
      <c r="K444" s="0" t="n">
        <v>4</v>
      </c>
      <c r="L444" s="0" t="n">
        <v>2</v>
      </c>
      <c r="M444" s="0" t="n">
        <v>2</v>
      </c>
      <c r="N444" s="0" t="n">
        <v>0</v>
      </c>
      <c r="O444" s="0" t="n">
        <v>0</v>
      </c>
      <c r="P444" s="0" t="n">
        <v>4</v>
      </c>
      <c r="Q444" s="0" t="n">
        <v>2</v>
      </c>
      <c r="R444" s="0" t="n">
        <v>2</v>
      </c>
      <c r="S444" s="0" t="n">
        <v>0</v>
      </c>
      <c r="T444" s="0" t="n">
        <v>0</v>
      </c>
      <c r="W444" s="21" t="s">
        <v>64</v>
      </c>
      <c r="X444" s="0" t="n">
        <v>3.31</v>
      </c>
      <c r="Y444" s="0" t="n">
        <v>4.7</v>
      </c>
      <c r="Z444" s="0" t="n">
        <v>53.5</v>
      </c>
      <c r="AA444" s="21" t="s">
        <v>2571</v>
      </c>
      <c r="AB444" s="21" t="s">
        <v>2572</v>
      </c>
      <c r="AC444" s="21" t="s">
        <v>120</v>
      </c>
      <c r="AD444" s="0" t="n">
        <v>96</v>
      </c>
      <c r="AE444" s="22" t="b">
        <f aca="false">FALSE()</f>
        <v>0</v>
      </c>
      <c r="AF444" s="21" t="s">
        <v>121</v>
      </c>
      <c r="AG444" s="21" t="s">
        <v>2573</v>
      </c>
    </row>
    <row r="445" customFormat="false" ht="15" hidden="false" customHeight="false" outlineLevel="0" collapsed="false">
      <c r="A445" s="0" t="s">
        <v>2574</v>
      </c>
      <c r="B445" s="18" t="s">
        <v>109</v>
      </c>
      <c r="C445" s="19" t="s">
        <v>26</v>
      </c>
      <c r="D445" s="20" t="s">
        <v>31</v>
      </c>
      <c r="E445" s="21" t="s">
        <v>2575</v>
      </c>
      <c r="G445" s="21" t="s">
        <v>127</v>
      </c>
      <c r="H445" s="21" t="s">
        <v>237</v>
      </c>
      <c r="I445" s="21" t="s">
        <v>113</v>
      </c>
      <c r="J445" s="21" t="s">
        <v>134</v>
      </c>
      <c r="K445" s="0" t="n">
        <v>4</v>
      </c>
      <c r="L445" s="0" t="n">
        <v>1</v>
      </c>
      <c r="M445" s="0" t="n">
        <v>2</v>
      </c>
      <c r="N445" s="0" t="n">
        <v>1</v>
      </c>
      <c r="O445" s="0" t="n">
        <v>0</v>
      </c>
      <c r="P445" s="0" t="n">
        <v>3</v>
      </c>
      <c r="Q445" s="0" t="n">
        <v>0</v>
      </c>
      <c r="R445" s="0" t="n">
        <v>0</v>
      </c>
      <c r="S445" s="0" t="n">
        <v>3</v>
      </c>
      <c r="T445" s="0" t="n">
        <v>1</v>
      </c>
      <c r="U445" s="21" t="s">
        <v>2576</v>
      </c>
      <c r="V445" s="21" t="s">
        <v>70</v>
      </c>
      <c r="W445" s="21" t="s">
        <v>117</v>
      </c>
      <c r="X445" s="0" t="n">
        <v>3.15</v>
      </c>
      <c r="Y445" s="0" t="n">
        <v>15.9</v>
      </c>
      <c r="Z445" s="0" t="n">
        <v>49.4</v>
      </c>
      <c r="AA445" s="21" t="s">
        <v>2577</v>
      </c>
      <c r="AB445" s="21" t="s">
        <v>2578</v>
      </c>
      <c r="AC445" s="21" t="s">
        <v>120</v>
      </c>
      <c r="AD445" s="0" t="n">
        <v>96</v>
      </c>
      <c r="AE445" s="22" t="b">
        <f aca="false">FALSE()</f>
        <v>0</v>
      </c>
      <c r="AF445" s="21" t="s">
        <v>121</v>
      </c>
      <c r="AG445" s="21" t="s">
        <v>2579</v>
      </c>
    </row>
    <row r="446" customFormat="false" ht="15" hidden="false" customHeight="false" outlineLevel="0" collapsed="false">
      <c r="A446" s="0" t="s">
        <v>2580</v>
      </c>
      <c r="B446" s="18" t="s">
        <v>109</v>
      </c>
      <c r="C446" s="20" t="s">
        <v>25</v>
      </c>
      <c r="D446" s="23" t="s">
        <v>30</v>
      </c>
      <c r="E446" s="21" t="s">
        <v>2581</v>
      </c>
      <c r="G446" s="21" t="s">
        <v>127</v>
      </c>
      <c r="H446" s="21" t="s">
        <v>495</v>
      </c>
      <c r="I446" s="21" t="s">
        <v>113</v>
      </c>
      <c r="J446" s="21" t="s">
        <v>114</v>
      </c>
      <c r="K446" s="0" t="n">
        <v>8</v>
      </c>
      <c r="L446" s="0" t="n">
        <v>4</v>
      </c>
      <c r="M446" s="0" t="n">
        <v>4</v>
      </c>
      <c r="N446" s="0" t="n">
        <v>0</v>
      </c>
      <c r="O446" s="0" t="n">
        <v>0</v>
      </c>
      <c r="P446" s="0" t="n">
        <v>8</v>
      </c>
      <c r="Q446" s="0" t="n">
        <v>3</v>
      </c>
      <c r="R446" s="0" t="n">
        <v>0</v>
      </c>
      <c r="S446" s="0" t="n">
        <v>5</v>
      </c>
      <c r="T446" s="0" t="n">
        <v>0</v>
      </c>
      <c r="U446" s="21" t="s">
        <v>2582</v>
      </c>
      <c r="V446" s="21" t="s">
        <v>70</v>
      </c>
      <c r="W446" s="21" t="s">
        <v>157</v>
      </c>
      <c r="X446" s="0" t="n">
        <v>2.26</v>
      </c>
      <c r="Y446" s="0" t="n">
        <v>18.7</v>
      </c>
      <c r="Z446" s="0" t="n">
        <v>89.9</v>
      </c>
      <c r="AA446" s="21" t="s">
        <v>2583</v>
      </c>
      <c r="AB446" s="21" t="s">
        <v>2584</v>
      </c>
      <c r="AC446" s="21" t="s">
        <v>120</v>
      </c>
      <c r="AD446" s="0" t="n">
        <v>194</v>
      </c>
      <c r="AE446" s="22" t="b">
        <f aca="false">FALSE()</f>
        <v>0</v>
      </c>
      <c r="AF446" s="21" t="s">
        <v>121</v>
      </c>
      <c r="AG446" s="21" t="s">
        <v>2585</v>
      </c>
    </row>
    <row r="447" customFormat="false" ht="15" hidden="false" customHeight="false" outlineLevel="0" collapsed="false">
      <c r="A447" s="0" t="s">
        <v>2586</v>
      </c>
      <c r="B447" s="18" t="s">
        <v>109</v>
      </c>
      <c r="C447" s="19" t="s">
        <v>26</v>
      </c>
      <c r="D447" s="20" t="s">
        <v>31</v>
      </c>
      <c r="E447" s="21" t="s">
        <v>2587</v>
      </c>
      <c r="G447" s="21" t="s">
        <v>111</v>
      </c>
      <c r="H447" s="21" t="s">
        <v>229</v>
      </c>
      <c r="I447" s="21" t="s">
        <v>113</v>
      </c>
      <c r="J447" s="21" t="s">
        <v>114</v>
      </c>
      <c r="K447" s="0" t="n">
        <v>8</v>
      </c>
      <c r="L447" s="0" t="n">
        <v>0</v>
      </c>
      <c r="M447" s="0" t="n">
        <v>6</v>
      </c>
      <c r="N447" s="0" t="n">
        <v>2</v>
      </c>
      <c r="O447" s="0" t="n">
        <v>0</v>
      </c>
      <c r="P447" s="0" t="n">
        <v>6</v>
      </c>
      <c r="Q447" s="0" t="n">
        <v>0</v>
      </c>
      <c r="R447" s="0" t="n">
        <v>2</v>
      </c>
      <c r="S447" s="0" t="n">
        <v>4</v>
      </c>
      <c r="T447" s="0" t="n">
        <v>2</v>
      </c>
      <c r="U447" s="21" t="s">
        <v>2588</v>
      </c>
      <c r="V447" s="21" t="s">
        <v>69</v>
      </c>
      <c r="W447" s="21" t="s">
        <v>2537</v>
      </c>
      <c r="X447" s="0" t="n">
        <v>3.46</v>
      </c>
      <c r="Y447" s="0" t="n">
        <v>26.3</v>
      </c>
      <c r="Z447" s="0" t="n">
        <v>88.4</v>
      </c>
      <c r="AA447" s="21" t="s">
        <v>2589</v>
      </c>
      <c r="AB447" s="21" t="s">
        <v>2590</v>
      </c>
      <c r="AC447" s="21" t="s">
        <v>120</v>
      </c>
      <c r="AD447" s="0" t="n">
        <v>195</v>
      </c>
      <c r="AE447" s="22" t="b">
        <f aca="false">FALSE()</f>
        <v>0</v>
      </c>
      <c r="AF447" s="21" t="s">
        <v>121</v>
      </c>
      <c r="AG447" s="21" t="s">
        <v>2591</v>
      </c>
    </row>
    <row r="448" customFormat="false" ht="15" hidden="false" customHeight="false" outlineLevel="0" collapsed="false">
      <c r="A448" s="0" t="s">
        <v>2592</v>
      </c>
      <c r="B448" s="20" t="s">
        <v>124</v>
      </c>
      <c r="E448" s="21" t="s">
        <v>211</v>
      </c>
      <c r="F448" s="21" t="s">
        <v>212</v>
      </c>
      <c r="G448" s="21" t="s">
        <v>111</v>
      </c>
      <c r="H448" s="21" t="s">
        <v>213</v>
      </c>
      <c r="I448" s="21" t="s">
        <v>113</v>
      </c>
      <c r="Z448" s="0" t="n">
        <v>0</v>
      </c>
      <c r="AA448" s="21" t="s">
        <v>2593</v>
      </c>
      <c r="AB448" s="21" t="s">
        <v>2593</v>
      </c>
      <c r="AE448" s="22" t="b">
        <f aca="false">FALSE()</f>
        <v>0</v>
      </c>
      <c r="AF448" s="21" t="s">
        <v>121</v>
      </c>
      <c r="AG448" s="21" t="s">
        <v>2594</v>
      </c>
    </row>
    <row r="449" customFormat="false" ht="15" hidden="false" customHeight="false" outlineLevel="0" collapsed="false">
      <c r="A449" s="0" t="s">
        <v>2595</v>
      </c>
      <c r="B449" s="18" t="s">
        <v>109</v>
      </c>
      <c r="C449" s="20" t="s">
        <v>25</v>
      </c>
      <c r="D449" s="23" t="s">
        <v>30</v>
      </c>
      <c r="E449" s="21" t="s">
        <v>2596</v>
      </c>
      <c r="G449" s="21" t="s">
        <v>111</v>
      </c>
      <c r="H449" s="21" t="s">
        <v>439</v>
      </c>
      <c r="I449" s="21" t="s">
        <v>113</v>
      </c>
      <c r="J449" s="21" t="s">
        <v>134</v>
      </c>
      <c r="K449" s="0" t="n">
        <v>4</v>
      </c>
      <c r="L449" s="0" t="n">
        <v>0</v>
      </c>
      <c r="M449" s="0" t="n">
        <v>4</v>
      </c>
      <c r="N449" s="0" t="n">
        <v>0</v>
      </c>
      <c r="O449" s="0" t="n">
        <v>0</v>
      </c>
      <c r="P449" s="0" t="n">
        <v>4</v>
      </c>
      <c r="Q449" s="0" t="n">
        <v>0</v>
      </c>
      <c r="R449" s="0" t="n">
        <v>0</v>
      </c>
      <c r="S449" s="0" t="n">
        <v>4</v>
      </c>
      <c r="T449" s="0" t="n">
        <v>0</v>
      </c>
      <c r="U449" s="21" t="s">
        <v>2597</v>
      </c>
      <c r="V449" s="21" t="s">
        <v>69</v>
      </c>
      <c r="W449" s="21" t="s">
        <v>1046</v>
      </c>
      <c r="X449" s="0" t="n">
        <v>5.51</v>
      </c>
      <c r="Y449" s="0" t="n">
        <v>24.3</v>
      </c>
      <c r="Z449" s="0" t="n">
        <v>49.1</v>
      </c>
      <c r="AA449" s="21" t="s">
        <v>2598</v>
      </c>
      <c r="AB449" s="21" t="s">
        <v>2599</v>
      </c>
      <c r="AC449" s="21" t="s">
        <v>120</v>
      </c>
      <c r="AD449" s="0" t="n">
        <v>96</v>
      </c>
      <c r="AE449" s="22" t="b">
        <f aca="false">FALSE()</f>
        <v>0</v>
      </c>
      <c r="AF449" s="21" t="s">
        <v>121</v>
      </c>
      <c r="AG449" s="21" t="s">
        <v>2600</v>
      </c>
    </row>
    <row r="450" customFormat="false" ht="15" hidden="false" customHeight="false" outlineLevel="0" collapsed="false">
      <c r="A450" s="0" t="s">
        <v>2601</v>
      </c>
      <c r="B450" s="18" t="s">
        <v>109</v>
      </c>
      <c r="C450" s="20" t="s">
        <v>25</v>
      </c>
      <c r="D450" s="23" t="s">
        <v>30</v>
      </c>
      <c r="E450" s="21" t="s">
        <v>2602</v>
      </c>
      <c r="G450" s="21" t="s">
        <v>127</v>
      </c>
      <c r="H450" s="21" t="s">
        <v>181</v>
      </c>
      <c r="I450" s="21" t="s">
        <v>171</v>
      </c>
      <c r="J450" s="21" t="s">
        <v>134</v>
      </c>
      <c r="K450" s="0" t="n">
        <v>4</v>
      </c>
      <c r="L450" s="0" t="n">
        <v>2</v>
      </c>
      <c r="M450" s="0" t="n">
        <v>2</v>
      </c>
      <c r="N450" s="0" t="n">
        <v>0</v>
      </c>
      <c r="O450" s="0" t="n">
        <v>0</v>
      </c>
      <c r="P450" s="0" t="n">
        <v>4</v>
      </c>
      <c r="Q450" s="0" t="n">
        <v>1</v>
      </c>
      <c r="R450" s="0" t="n">
        <v>2</v>
      </c>
      <c r="S450" s="0" t="n">
        <v>1</v>
      </c>
      <c r="T450" s="0" t="n">
        <v>0</v>
      </c>
      <c r="U450" s="21" t="s">
        <v>2603</v>
      </c>
      <c r="W450" s="21" t="s">
        <v>992</v>
      </c>
      <c r="X450" s="0" t="n">
        <v>4.07</v>
      </c>
      <c r="Y450" s="0" t="n">
        <v>17.3</v>
      </c>
      <c r="Z450" s="0" t="n">
        <v>49.7</v>
      </c>
      <c r="AA450" s="21" t="s">
        <v>2604</v>
      </c>
      <c r="AB450" s="21" t="s">
        <v>2605</v>
      </c>
      <c r="AC450" s="21" t="s">
        <v>120</v>
      </c>
      <c r="AD450" s="0" t="n">
        <v>98</v>
      </c>
      <c r="AE450" s="22" t="b">
        <f aca="false">FALSE()</f>
        <v>0</v>
      </c>
      <c r="AF450" s="21" t="s">
        <v>121</v>
      </c>
      <c r="AG450" s="21" t="s">
        <v>2606</v>
      </c>
    </row>
    <row r="451" customFormat="false" ht="15" hidden="false" customHeight="false" outlineLevel="0" collapsed="false">
      <c r="A451" s="0" t="s">
        <v>2607</v>
      </c>
      <c r="B451" s="18" t="s">
        <v>109</v>
      </c>
      <c r="C451" s="20" t="s">
        <v>25</v>
      </c>
      <c r="D451" s="23" t="s">
        <v>30</v>
      </c>
      <c r="E451" s="21" t="s">
        <v>2608</v>
      </c>
      <c r="G451" s="21" t="s">
        <v>111</v>
      </c>
      <c r="H451" s="21" t="s">
        <v>269</v>
      </c>
      <c r="I451" s="21" t="s">
        <v>113</v>
      </c>
      <c r="J451" s="21" t="s">
        <v>134</v>
      </c>
      <c r="K451" s="0" t="n">
        <v>4</v>
      </c>
      <c r="L451" s="0" t="n">
        <v>2</v>
      </c>
      <c r="M451" s="0" t="n">
        <v>2</v>
      </c>
      <c r="N451" s="0" t="n">
        <v>0</v>
      </c>
      <c r="O451" s="0" t="n">
        <v>0</v>
      </c>
      <c r="P451" s="0" t="n">
        <v>4</v>
      </c>
      <c r="Q451" s="0" t="n">
        <v>0</v>
      </c>
      <c r="R451" s="0" t="n">
        <v>0</v>
      </c>
      <c r="S451" s="0" t="n">
        <v>4</v>
      </c>
      <c r="T451" s="0" t="n">
        <v>0</v>
      </c>
      <c r="U451" s="21" t="s">
        <v>2609</v>
      </c>
      <c r="W451" s="21" t="s">
        <v>2610</v>
      </c>
      <c r="X451" s="0" t="n">
        <v>1.42</v>
      </c>
      <c r="Y451" s="0" t="n">
        <v>11.6</v>
      </c>
      <c r="Z451" s="0" t="n">
        <v>51.3</v>
      </c>
      <c r="AA451" s="21" t="s">
        <v>2611</v>
      </c>
      <c r="AB451" s="21" t="s">
        <v>2612</v>
      </c>
      <c r="AC451" s="21" t="s">
        <v>120</v>
      </c>
      <c r="AD451" s="0" t="n">
        <v>97</v>
      </c>
      <c r="AE451" s="22" t="b">
        <f aca="false">FALSE()</f>
        <v>0</v>
      </c>
      <c r="AF451" s="21" t="s">
        <v>121</v>
      </c>
      <c r="AG451" s="21" t="s">
        <v>2613</v>
      </c>
    </row>
    <row r="452" customFormat="false" ht="15" hidden="false" customHeight="false" outlineLevel="0" collapsed="false">
      <c r="A452" s="0" t="s">
        <v>2614</v>
      </c>
      <c r="B452" s="18" t="s">
        <v>109</v>
      </c>
      <c r="C452" s="19" t="s">
        <v>26</v>
      </c>
      <c r="D452" s="20" t="s">
        <v>31</v>
      </c>
      <c r="E452" s="21" t="s">
        <v>2615</v>
      </c>
      <c r="G452" s="21" t="s">
        <v>111</v>
      </c>
      <c r="H452" s="21" t="s">
        <v>397</v>
      </c>
      <c r="I452" s="21" t="s">
        <v>171</v>
      </c>
      <c r="J452" s="21" t="s">
        <v>134</v>
      </c>
      <c r="K452" s="0" t="n">
        <v>4</v>
      </c>
      <c r="L452" s="0" t="n">
        <v>1</v>
      </c>
      <c r="M452" s="0" t="n">
        <v>2</v>
      </c>
      <c r="N452" s="0" t="n">
        <v>1</v>
      </c>
      <c r="O452" s="0" t="n">
        <v>0</v>
      </c>
      <c r="P452" s="0" t="n">
        <v>3</v>
      </c>
      <c r="Q452" s="0" t="n">
        <v>1</v>
      </c>
      <c r="R452" s="0" t="n">
        <v>1</v>
      </c>
      <c r="S452" s="0" t="n">
        <v>1</v>
      </c>
      <c r="T452" s="0" t="n">
        <v>1</v>
      </c>
      <c r="U452" s="21" t="s">
        <v>2616</v>
      </c>
      <c r="V452" s="21" t="s">
        <v>69</v>
      </c>
      <c r="W452" s="21" t="s">
        <v>313</v>
      </c>
      <c r="X452" s="0" t="n">
        <v>12.05</v>
      </c>
      <c r="Y452" s="0" t="n">
        <v>18.7</v>
      </c>
      <c r="Z452" s="0" t="n">
        <v>49.9</v>
      </c>
      <c r="AA452" s="21" t="s">
        <v>2617</v>
      </c>
      <c r="AB452" s="21" t="s">
        <v>2618</v>
      </c>
      <c r="AC452" s="21" t="s">
        <v>120</v>
      </c>
      <c r="AD452" s="0" t="n">
        <v>97</v>
      </c>
      <c r="AE452" s="22" t="b">
        <f aca="false">FALSE()</f>
        <v>0</v>
      </c>
      <c r="AF452" s="21" t="s">
        <v>121</v>
      </c>
      <c r="AG452" s="21" t="s">
        <v>2619</v>
      </c>
    </row>
    <row r="453" customFormat="false" ht="15" hidden="false" customHeight="false" outlineLevel="0" collapsed="false">
      <c r="A453" s="0" t="s">
        <v>2620</v>
      </c>
      <c r="B453" s="18" t="s">
        <v>109</v>
      </c>
      <c r="C453" s="19" t="s">
        <v>26</v>
      </c>
      <c r="D453" s="20" t="s">
        <v>31</v>
      </c>
      <c r="E453" s="21" t="s">
        <v>2621</v>
      </c>
      <c r="G453" s="21" t="s">
        <v>127</v>
      </c>
      <c r="H453" s="21" t="s">
        <v>331</v>
      </c>
      <c r="I453" s="21" t="s">
        <v>113</v>
      </c>
      <c r="J453" s="21" t="s">
        <v>134</v>
      </c>
      <c r="K453" s="0" t="n">
        <v>4</v>
      </c>
      <c r="L453" s="0" t="n">
        <v>1</v>
      </c>
      <c r="M453" s="0" t="n">
        <v>2</v>
      </c>
      <c r="N453" s="0" t="n">
        <v>1</v>
      </c>
      <c r="O453" s="0" t="n">
        <v>0</v>
      </c>
      <c r="P453" s="0" t="n">
        <v>3</v>
      </c>
      <c r="Q453" s="0" t="n">
        <v>0</v>
      </c>
      <c r="R453" s="0" t="n">
        <v>0</v>
      </c>
      <c r="S453" s="0" t="n">
        <v>3</v>
      </c>
      <c r="T453" s="0" t="n">
        <v>1</v>
      </c>
      <c r="U453" s="21" t="s">
        <v>2622</v>
      </c>
      <c r="V453" s="21" t="s">
        <v>69</v>
      </c>
      <c r="W453" s="21" t="s">
        <v>345</v>
      </c>
      <c r="X453" s="0" t="n">
        <v>7.49</v>
      </c>
      <c r="Y453" s="0" t="n">
        <v>15.3</v>
      </c>
      <c r="Z453" s="0" t="n">
        <v>48.8</v>
      </c>
      <c r="AA453" s="21" t="s">
        <v>2623</v>
      </c>
      <c r="AB453" s="21" t="s">
        <v>2624</v>
      </c>
      <c r="AC453" s="21" t="s">
        <v>120</v>
      </c>
      <c r="AD453" s="0" t="n">
        <v>97</v>
      </c>
      <c r="AE453" s="22" t="b">
        <f aca="false">FALSE()</f>
        <v>0</v>
      </c>
      <c r="AF453" s="21" t="s">
        <v>121</v>
      </c>
      <c r="AG453" s="21" t="s">
        <v>2625</v>
      </c>
    </row>
    <row r="454" customFormat="false" ht="15" hidden="false" customHeight="false" outlineLevel="0" collapsed="false">
      <c r="A454" s="0" t="s">
        <v>2626</v>
      </c>
      <c r="B454" s="18" t="s">
        <v>109</v>
      </c>
      <c r="C454" s="20" t="s">
        <v>25</v>
      </c>
      <c r="D454" s="23" t="s">
        <v>30</v>
      </c>
      <c r="E454" s="21" t="s">
        <v>2627</v>
      </c>
      <c r="G454" s="21" t="s">
        <v>127</v>
      </c>
      <c r="H454" s="21" t="s">
        <v>1051</v>
      </c>
      <c r="I454" s="21" t="s">
        <v>113</v>
      </c>
      <c r="J454" s="21" t="s">
        <v>134</v>
      </c>
      <c r="K454" s="0" t="n">
        <v>4</v>
      </c>
      <c r="L454" s="0" t="n">
        <v>3</v>
      </c>
      <c r="M454" s="0" t="n">
        <v>1</v>
      </c>
      <c r="N454" s="0" t="n">
        <v>0</v>
      </c>
      <c r="O454" s="0" t="n">
        <v>0</v>
      </c>
      <c r="P454" s="0" t="n">
        <v>4</v>
      </c>
      <c r="Q454" s="0" t="n">
        <v>1</v>
      </c>
      <c r="R454" s="0" t="n">
        <v>1</v>
      </c>
      <c r="S454" s="0" t="n">
        <v>2</v>
      </c>
      <c r="T454" s="0" t="n">
        <v>0</v>
      </c>
      <c r="U454" s="21" t="s">
        <v>2628</v>
      </c>
      <c r="W454" s="21" t="s">
        <v>2559</v>
      </c>
      <c r="X454" s="0" t="n">
        <v>9.07</v>
      </c>
      <c r="Y454" s="0" t="n">
        <v>10.1</v>
      </c>
      <c r="Z454" s="0" t="n">
        <v>50.6</v>
      </c>
      <c r="AA454" s="21" t="s">
        <v>2629</v>
      </c>
      <c r="AB454" s="21" t="s">
        <v>2630</v>
      </c>
      <c r="AC454" s="21" t="s">
        <v>120</v>
      </c>
      <c r="AD454" s="0" t="n">
        <v>99</v>
      </c>
      <c r="AE454" s="22" t="b">
        <f aca="false">FALSE()</f>
        <v>0</v>
      </c>
      <c r="AF454" s="21" t="s">
        <v>121</v>
      </c>
      <c r="AG454" s="21" t="s">
        <v>2631</v>
      </c>
    </row>
    <row r="455" customFormat="false" ht="15" hidden="false" customHeight="false" outlineLevel="0" collapsed="false">
      <c r="A455" s="0" t="s">
        <v>2632</v>
      </c>
      <c r="B455" s="20" t="s">
        <v>124</v>
      </c>
      <c r="E455" s="21" t="s">
        <v>2633</v>
      </c>
      <c r="F455" s="21" t="s">
        <v>2634</v>
      </c>
      <c r="G455" s="21" t="s">
        <v>127</v>
      </c>
      <c r="H455" s="21" t="s">
        <v>2635</v>
      </c>
      <c r="I455" s="21" t="s">
        <v>113</v>
      </c>
      <c r="Z455" s="0" t="n">
        <v>0</v>
      </c>
      <c r="AA455" s="21" t="s">
        <v>2636</v>
      </c>
      <c r="AB455" s="21" t="s">
        <v>2636</v>
      </c>
      <c r="AE455" s="22" t="b">
        <f aca="false">FALSE()</f>
        <v>0</v>
      </c>
      <c r="AF455" s="21" t="s">
        <v>121</v>
      </c>
      <c r="AG455" s="21" t="s">
        <v>2637</v>
      </c>
    </row>
    <row r="456" customFormat="false" ht="15" hidden="false" customHeight="false" outlineLevel="0" collapsed="false">
      <c r="A456" s="0" t="s">
        <v>2638</v>
      </c>
      <c r="B456" s="20" t="s">
        <v>124</v>
      </c>
      <c r="E456" s="21" t="s">
        <v>751</v>
      </c>
      <c r="F456" s="21" t="s">
        <v>752</v>
      </c>
      <c r="G456" s="21" t="s">
        <v>111</v>
      </c>
      <c r="H456" s="21" t="s">
        <v>753</v>
      </c>
      <c r="I456" s="21" t="s">
        <v>113</v>
      </c>
      <c r="Z456" s="0" t="n">
        <v>0</v>
      </c>
      <c r="AA456" s="21" t="s">
        <v>2639</v>
      </c>
      <c r="AB456" s="21" t="s">
        <v>2639</v>
      </c>
      <c r="AE456" s="22" t="b">
        <f aca="false">FALSE()</f>
        <v>0</v>
      </c>
      <c r="AF456" s="21" t="s">
        <v>121</v>
      </c>
      <c r="AG456" s="21" t="s">
        <v>2640</v>
      </c>
    </row>
    <row r="457" customFormat="false" ht="15" hidden="false" customHeight="false" outlineLevel="0" collapsed="false">
      <c r="A457" s="0" t="s">
        <v>2641</v>
      </c>
      <c r="B457" s="18" t="s">
        <v>109</v>
      </c>
      <c r="C457" s="19" t="s">
        <v>26</v>
      </c>
      <c r="D457" s="20" t="s">
        <v>31</v>
      </c>
      <c r="E457" s="21" t="s">
        <v>2642</v>
      </c>
      <c r="G457" s="21" t="s">
        <v>111</v>
      </c>
      <c r="H457" s="21" t="s">
        <v>841</v>
      </c>
      <c r="I457" s="21" t="s">
        <v>113</v>
      </c>
      <c r="J457" s="21" t="s">
        <v>134</v>
      </c>
      <c r="K457" s="0" t="n">
        <v>4</v>
      </c>
      <c r="L457" s="0" t="n">
        <v>1</v>
      </c>
      <c r="M457" s="0" t="n">
        <v>2</v>
      </c>
      <c r="N457" s="0" t="n">
        <v>1</v>
      </c>
      <c r="O457" s="0" t="n">
        <v>0</v>
      </c>
      <c r="P457" s="0" t="n">
        <v>3</v>
      </c>
      <c r="Q457" s="0" t="n">
        <v>1</v>
      </c>
      <c r="R457" s="0" t="n">
        <v>0</v>
      </c>
      <c r="S457" s="0" t="n">
        <v>2</v>
      </c>
      <c r="T457" s="0" t="n">
        <v>1</v>
      </c>
      <c r="U457" s="21" t="s">
        <v>2643</v>
      </c>
      <c r="V457" s="21" t="s">
        <v>116</v>
      </c>
      <c r="W457" s="21" t="s">
        <v>2644</v>
      </c>
      <c r="X457" s="0" t="n">
        <v>3.21</v>
      </c>
      <c r="Y457" s="0" t="n">
        <v>10.7</v>
      </c>
      <c r="Z457" s="0" t="n">
        <v>53.6</v>
      </c>
      <c r="AA457" s="21" t="s">
        <v>2645</v>
      </c>
      <c r="AB457" s="21" t="s">
        <v>2646</v>
      </c>
      <c r="AC457" s="21" t="s">
        <v>120</v>
      </c>
      <c r="AD457" s="0" t="n">
        <v>96</v>
      </c>
      <c r="AE457" s="22" t="b">
        <f aca="false">FALSE()</f>
        <v>0</v>
      </c>
      <c r="AF457" s="21" t="s">
        <v>121</v>
      </c>
      <c r="AG457" s="21" t="s">
        <v>2647</v>
      </c>
    </row>
    <row r="458" customFormat="false" ht="15" hidden="false" customHeight="false" outlineLevel="0" collapsed="false">
      <c r="A458" s="0" t="s">
        <v>2648</v>
      </c>
      <c r="B458" s="18" t="s">
        <v>109</v>
      </c>
      <c r="C458" s="19" t="s">
        <v>26</v>
      </c>
      <c r="D458" s="20" t="s">
        <v>31</v>
      </c>
      <c r="E458" s="21" t="s">
        <v>2649</v>
      </c>
      <c r="G458" s="21" t="s">
        <v>127</v>
      </c>
      <c r="H458" s="21" t="s">
        <v>237</v>
      </c>
      <c r="I458" s="21" t="s">
        <v>113</v>
      </c>
      <c r="J458" s="21" t="s">
        <v>134</v>
      </c>
      <c r="K458" s="0" t="n">
        <v>4</v>
      </c>
      <c r="L458" s="0" t="n">
        <v>2</v>
      </c>
      <c r="M458" s="0" t="n">
        <v>1</v>
      </c>
      <c r="N458" s="0" t="n">
        <v>1</v>
      </c>
      <c r="O458" s="0" t="n">
        <v>0</v>
      </c>
      <c r="P458" s="0" t="n">
        <v>3</v>
      </c>
      <c r="Q458" s="0" t="n">
        <v>2</v>
      </c>
      <c r="R458" s="0" t="n">
        <v>1</v>
      </c>
      <c r="S458" s="0" t="n">
        <v>0</v>
      </c>
      <c r="T458" s="0" t="n">
        <v>1</v>
      </c>
      <c r="U458" s="21" t="s">
        <v>2650</v>
      </c>
      <c r="V458" s="21" t="s">
        <v>69</v>
      </c>
      <c r="W458" s="21" t="s">
        <v>1926</v>
      </c>
      <c r="X458" s="0" t="n">
        <v>4.58</v>
      </c>
      <c r="Y458" s="0" t="n">
        <v>17.3</v>
      </c>
      <c r="Z458" s="0" t="n">
        <v>51.9</v>
      </c>
      <c r="AA458" s="21" t="s">
        <v>2651</v>
      </c>
      <c r="AB458" s="21" t="s">
        <v>2652</v>
      </c>
      <c r="AC458" s="21" t="s">
        <v>120</v>
      </c>
      <c r="AD458" s="0" t="n">
        <v>97</v>
      </c>
      <c r="AE458" s="22" t="b">
        <f aca="false">FALSE()</f>
        <v>0</v>
      </c>
      <c r="AF458" s="21" t="s">
        <v>121</v>
      </c>
      <c r="AG458" s="21" t="s">
        <v>2653</v>
      </c>
    </row>
    <row r="459" customFormat="false" ht="15" hidden="false" customHeight="false" outlineLevel="0" collapsed="false">
      <c r="A459" s="0" t="s">
        <v>2654</v>
      </c>
      <c r="B459" s="18" t="s">
        <v>109</v>
      </c>
      <c r="C459" s="20" t="s">
        <v>25</v>
      </c>
      <c r="D459" s="23" t="s">
        <v>30</v>
      </c>
      <c r="E459" s="21" t="s">
        <v>2655</v>
      </c>
      <c r="G459" s="21" t="s">
        <v>127</v>
      </c>
      <c r="H459" s="21" t="s">
        <v>261</v>
      </c>
      <c r="I459" s="21" t="s">
        <v>113</v>
      </c>
      <c r="J459" s="21" t="s">
        <v>134</v>
      </c>
      <c r="K459" s="0" t="n">
        <v>4</v>
      </c>
      <c r="L459" s="0" t="n">
        <v>1</v>
      </c>
      <c r="M459" s="0" t="n">
        <v>3</v>
      </c>
      <c r="N459" s="0" t="n">
        <v>0</v>
      </c>
      <c r="O459" s="0" t="n">
        <v>0</v>
      </c>
      <c r="P459" s="0" t="n">
        <v>4</v>
      </c>
      <c r="Q459" s="0" t="n">
        <v>1</v>
      </c>
      <c r="R459" s="0" t="n">
        <v>0</v>
      </c>
      <c r="S459" s="0" t="n">
        <v>3</v>
      </c>
      <c r="T459" s="0" t="n">
        <v>0</v>
      </c>
      <c r="U459" s="21" t="s">
        <v>2656</v>
      </c>
      <c r="V459" s="21" t="s">
        <v>69</v>
      </c>
      <c r="W459" s="21" t="s">
        <v>183</v>
      </c>
      <c r="X459" s="0" t="n">
        <v>2.36</v>
      </c>
      <c r="Y459" s="0" t="n">
        <v>15.1</v>
      </c>
      <c r="Z459" s="0" t="n">
        <v>50.7</v>
      </c>
      <c r="AA459" s="21" t="s">
        <v>2657</v>
      </c>
      <c r="AB459" s="21" t="s">
        <v>2658</v>
      </c>
      <c r="AC459" s="21" t="s">
        <v>120</v>
      </c>
      <c r="AD459" s="0" t="n">
        <v>97</v>
      </c>
      <c r="AE459" s="22" t="b">
        <f aca="false">FALSE()</f>
        <v>0</v>
      </c>
      <c r="AF459" s="21" t="s">
        <v>121</v>
      </c>
      <c r="AG459" s="21" t="s">
        <v>2659</v>
      </c>
    </row>
    <row r="460" customFormat="false" ht="15" hidden="false" customHeight="false" outlineLevel="0" collapsed="false">
      <c r="A460" s="0" t="s">
        <v>2660</v>
      </c>
      <c r="B460" s="18" t="s">
        <v>109</v>
      </c>
      <c r="C460" s="19" t="s">
        <v>26</v>
      </c>
      <c r="D460" s="20" t="s">
        <v>31</v>
      </c>
      <c r="E460" s="21" t="s">
        <v>2661</v>
      </c>
      <c r="G460" s="21" t="s">
        <v>111</v>
      </c>
      <c r="H460" s="21" t="s">
        <v>217</v>
      </c>
      <c r="I460" s="21" t="s">
        <v>113</v>
      </c>
      <c r="J460" s="21" t="s">
        <v>134</v>
      </c>
      <c r="K460" s="0" t="n">
        <v>4</v>
      </c>
      <c r="L460" s="0" t="n">
        <v>0</v>
      </c>
      <c r="M460" s="0" t="n">
        <v>3</v>
      </c>
      <c r="N460" s="0" t="n">
        <v>1</v>
      </c>
      <c r="O460" s="0" t="n">
        <v>0</v>
      </c>
      <c r="P460" s="0" t="n">
        <v>3</v>
      </c>
      <c r="Q460" s="0" t="n">
        <v>0</v>
      </c>
      <c r="R460" s="0" t="n">
        <v>0</v>
      </c>
      <c r="S460" s="0" t="n">
        <v>3</v>
      </c>
      <c r="T460" s="0" t="n">
        <v>1</v>
      </c>
      <c r="U460" s="21" t="s">
        <v>2662</v>
      </c>
      <c r="V460" s="21" t="s">
        <v>69</v>
      </c>
      <c r="W460" s="21" t="s">
        <v>1802</v>
      </c>
      <c r="X460" s="0" t="n">
        <v>1.41</v>
      </c>
      <c r="Y460" s="0" t="n">
        <v>12.9</v>
      </c>
      <c r="Z460" s="0" t="n">
        <v>50.1</v>
      </c>
      <c r="AA460" s="21" t="s">
        <v>2663</v>
      </c>
      <c r="AB460" s="21" t="s">
        <v>2664</v>
      </c>
      <c r="AC460" s="21" t="s">
        <v>120</v>
      </c>
      <c r="AD460" s="0" t="n">
        <v>98</v>
      </c>
      <c r="AE460" s="22" t="b">
        <f aca="false">FALSE()</f>
        <v>0</v>
      </c>
      <c r="AF460" s="21" t="s">
        <v>121</v>
      </c>
      <c r="AG460" s="21" t="s">
        <v>2665</v>
      </c>
    </row>
    <row r="461" customFormat="false" ht="15" hidden="false" customHeight="false" outlineLevel="0" collapsed="false">
      <c r="A461" s="0" t="s">
        <v>2666</v>
      </c>
      <c r="B461" s="18" t="s">
        <v>109</v>
      </c>
      <c r="C461" s="19" t="s">
        <v>26</v>
      </c>
      <c r="D461" s="20" t="s">
        <v>31</v>
      </c>
      <c r="E461" s="21" t="s">
        <v>2667</v>
      </c>
      <c r="G461" s="21" t="s">
        <v>127</v>
      </c>
      <c r="H461" s="21" t="s">
        <v>112</v>
      </c>
      <c r="I461" s="21" t="s">
        <v>113</v>
      </c>
      <c r="J461" s="21" t="s">
        <v>134</v>
      </c>
      <c r="K461" s="0" t="n">
        <v>4</v>
      </c>
      <c r="L461" s="0" t="n">
        <v>0</v>
      </c>
      <c r="M461" s="0" t="n">
        <v>3</v>
      </c>
      <c r="N461" s="0" t="n">
        <v>1</v>
      </c>
      <c r="O461" s="0" t="n">
        <v>0</v>
      </c>
      <c r="P461" s="0" t="n">
        <v>3</v>
      </c>
      <c r="Q461" s="0" t="n">
        <v>0</v>
      </c>
      <c r="R461" s="0" t="n">
        <v>0</v>
      </c>
      <c r="S461" s="0" t="n">
        <v>3</v>
      </c>
      <c r="T461" s="0" t="n">
        <v>1</v>
      </c>
      <c r="U461" s="21" t="s">
        <v>2668</v>
      </c>
      <c r="V461" s="21" t="s">
        <v>69</v>
      </c>
      <c r="W461" s="21" t="s">
        <v>313</v>
      </c>
      <c r="X461" s="0" t="n">
        <v>9.21</v>
      </c>
      <c r="Y461" s="0" t="n">
        <v>20.9</v>
      </c>
      <c r="Z461" s="0" t="n">
        <v>50.9</v>
      </c>
      <c r="AA461" s="21" t="s">
        <v>2669</v>
      </c>
      <c r="AB461" s="21" t="s">
        <v>2670</v>
      </c>
      <c r="AC461" s="21" t="s">
        <v>120</v>
      </c>
      <c r="AD461" s="0" t="n">
        <v>96</v>
      </c>
      <c r="AE461" s="22" t="b">
        <f aca="false">FALSE()</f>
        <v>0</v>
      </c>
      <c r="AF461" s="21" t="s">
        <v>121</v>
      </c>
      <c r="AG461" s="21" t="s">
        <v>2671</v>
      </c>
    </row>
    <row r="462" customFormat="false" ht="15" hidden="false" customHeight="false" outlineLevel="0" collapsed="false">
      <c r="A462" s="0" t="s">
        <v>2672</v>
      </c>
      <c r="B462" s="18" t="s">
        <v>109</v>
      </c>
      <c r="C462" s="19" t="s">
        <v>26</v>
      </c>
      <c r="D462" s="20" t="s">
        <v>31</v>
      </c>
      <c r="E462" s="21" t="s">
        <v>2673</v>
      </c>
      <c r="G462" s="21" t="s">
        <v>111</v>
      </c>
      <c r="H462" s="21" t="s">
        <v>331</v>
      </c>
      <c r="I462" s="21" t="s">
        <v>113</v>
      </c>
      <c r="J462" s="21" t="s">
        <v>134</v>
      </c>
      <c r="K462" s="0" t="n">
        <v>4</v>
      </c>
      <c r="L462" s="0" t="n">
        <v>0</v>
      </c>
      <c r="M462" s="0" t="n">
        <v>3</v>
      </c>
      <c r="N462" s="0" t="n">
        <v>1</v>
      </c>
      <c r="O462" s="0" t="n">
        <v>0</v>
      </c>
      <c r="P462" s="0" t="n">
        <v>3</v>
      </c>
      <c r="Q462" s="0" t="n">
        <v>0</v>
      </c>
      <c r="R462" s="0" t="n">
        <v>0</v>
      </c>
      <c r="S462" s="0" t="n">
        <v>3</v>
      </c>
      <c r="T462" s="0" t="n">
        <v>1</v>
      </c>
      <c r="U462" s="21" t="s">
        <v>2674</v>
      </c>
      <c r="V462" s="21" t="s">
        <v>69</v>
      </c>
      <c r="W462" s="21" t="s">
        <v>301</v>
      </c>
      <c r="X462" s="0" t="n">
        <v>3.08</v>
      </c>
      <c r="Y462" s="0" t="n">
        <v>21.4</v>
      </c>
      <c r="Z462" s="0" t="n">
        <v>52.8</v>
      </c>
      <c r="AA462" s="21" t="s">
        <v>2675</v>
      </c>
      <c r="AB462" s="21" t="s">
        <v>2676</v>
      </c>
      <c r="AC462" s="21" t="s">
        <v>120</v>
      </c>
      <c r="AD462" s="0" t="n">
        <v>97</v>
      </c>
      <c r="AE462" s="22" t="b">
        <f aca="false">FALSE()</f>
        <v>0</v>
      </c>
      <c r="AF462" s="21" t="s">
        <v>121</v>
      </c>
      <c r="AG462" s="21" t="s">
        <v>2677</v>
      </c>
    </row>
    <row r="463" customFormat="false" ht="15" hidden="false" customHeight="false" outlineLevel="0" collapsed="false">
      <c r="A463" s="0" t="s">
        <v>2678</v>
      </c>
      <c r="B463" s="18" t="s">
        <v>109</v>
      </c>
      <c r="C463" s="19" t="s">
        <v>26</v>
      </c>
      <c r="D463" s="20" t="s">
        <v>31</v>
      </c>
      <c r="E463" s="21" t="s">
        <v>2679</v>
      </c>
      <c r="G463" s="21" t="s">
        <v>127</v>
      </c>
      <c r="H463" s="21" t="s">
        <v>439</v>
      </c>
      <c r="I463" s="21" t="s">
        <v>113</v>
      </c>
      <c r="J463" s="21" t="s">
        <v>134</v>
      </c>
      <c r="K463" s="0" t="n">
        <v>4</v>
      </c>
      <c r="L463" s="0" t="n">
        <v>1</v>
      </c>
      <c r="M463" s="0" t="n">
        <v>2</v>
      </c>
      <c r="N463" s="0" t="n">
        <v>1</v>
      </c>
      <c r="O463" s="0" t="n">
        <v>0</v>
      </c>
      <c r="P463" s="0" t="n">
        <v>3</v>
      </c>
      <c r="Q463" s="0" t="n">
        <v>0</v>
      </c>
      <c r="R463" s="0" t="n">
        <v>1</v>
      </c>
      <c r="S463" s="0" t="n">
        <v>2</v>
      </c>
      <c r="T463" s="0" t="n">
        <v>1</v>
      </c>
      <c r="U463" s="21" t="s">
        <v>2680</v>
      </c>
      <c r="W463" s="21" t="s">
        <v>2681</v>
      </c>
      <c r="X463" s="0" t="n">
        <v>1.72</v>
      </c>
      <c r="Y463" s="0" t="n">
        <v>19.1</v>
      </c>
      <c r="Z463" s="0" t="n">
        <v>49.1</v>
      </c>
      <c r="AA463" s="21" t="s">
        <v>2682</v>
      </c>
      <c r="AB463" s="21" t="s">
        <v>2683</v>
      </c>
      <c r="AC463" s="21" t="s">
        <v>120</v>
      </c>
      <c r="AD463" s="0" t="n">
        <v>96</v>
      </c>
      <c r="AE463" s="22" t="b">
        <f aca="false">FALSE()</f>
        <v>0</v>
      </c>
      <c r="AF463" s="21" t="s">
        <v>121</v>
      </c>
      <c r="AG463" s="21" t="s">
        <v>2684</v>
      </c>
    </row>
    <row r="464" customFormat="false" ht="15" hidden="false" customHeight="false" outlineLevel="0" collapsed="false">
      <c r="A464" s="0" t="s">
        <v>2685</v>
      </c>
      <c r="B464" s="18" t="s">
        <v>109</v>
      </c>
      <c r="C464" s="19" t="s">
        <v>26</v>
      </c>
      <c r="D464" s="20" t="s">
        <v>31</v>
      </c>
      <c r="E464" s="21" t="s">
        <v>2686</v>
      </c>
      <c r="G464" s="21" t="s">
        <v>111</v>
      </c>
      <c r="H464" s="21" t="s">
        <v>177</v>
      </c>
      <c r="I464" s="21" t="s">
        <v>113</v>
      </c>
      <c r="J464" s="21" t="s">
        <v>114</v>
      </c>
      <c r="K464" s="0" t="n">
        <v>8</v>
      </c>
      <c r="L464" s="0" t="n">
        <v>1</v>
      </c>
      <c r="M464" s="0" t="n">
        <v>3</v>
      </c>
      <c r="N464" s="0" t="n">
        <v>4</v>
      </c>
      <c r="O464" s="0" t="n">
        <v>0</v>
      </c>
      <c r="P464" s="0" t="n">
        <v>4</v>
      </c>
      <c r="Q464" s="0" t="n">
        <v>0</v>
      </c>
      <c r="R464" s="0" t="n">
        <v>1</v>
      </c>
      <c r="S464" s="0" t="n">
        <v>3</v>
      </c>
      <c r="T464" s="0" t="n">
        <v>4</v>
      </c>
      <c r="U464" s="21" t="s">
        <v>2687</v>
      </c>
      <c r="V464" s="21" t="s">
        <v>69</v>
      </c>
      <c r="W464" s="21" t="s">
        <v>433</v>
      </c>
      <c r="X464" s="0" t="n">
        <v>0.81</v>
      </c>
      <c r="Y464" s="0" t="n">
        <v>17.2</v>
      </c>
      <c r="Z464" s="0" t="n">
        <v>91.4</v>
      </c>
      <c r="AA464" s="21" t="s">
        <v>2688</v>
      </c>
      <c r="AB464" s="21" t="s">
        <v>2689</v>
      </c>
      <c r="AC464" s="21" t="s">
        <v>120</v>
      </c>
      <c r="AD464" s="0" t="n">
        <v>193</v>
      </c>
      <c r="AE464" s="22" t="b">
        <f aca="false">FALSE()</f>
        <v>0</v>
      </c>
      <c r="AF464" s="21" t="s">
        <v>121</v>
      </c>
      <c r="AG464" s="21" t="s">
        <v>2690</v>
      </c>
    </row>
    <row r="465" customFormat="false" ht="15" hidden="false" customHeight="false" outlineLevel="0" collapsed="false">
      <c r="A465" s="0" t="s">
        <v>2691</v>
      </c>
      <c r="B465" s="18" t="s">
        <v>109</v>
      </c>
      <c r="C465" s="18" t="s">
        <v>24</v>
      </c>
      <c r="D465" s="23" t="s">
        <v>30</v>
      </c>
      <c r="E465" s="21" t="s">
        <v>2692</v>
      </c>
      <c r="G465" s="21" t="s">
        <v>111</v>
      </c>
      <c r="H465" s="21" t="s">
        <v>188</v>
      </c>
      <c r="I465" s="21" t="s">
        <v>113</v>
      </c>
      <c r="J465" s="21" t="s">
        <v>134</v>
      </c>
      <c r="K465" s="0" t="n">
        <v>4</v>
      </c>
      <c r="L465" s="0" t="n">
        <v>4</v>
      </c>
      <c r="M465" s="0" t="n">
        <v>0</v>
      </c>
      <c r="N465" s="0" t="n">
        <v>0</v>
      </c>
      <c r="O465" s="0" t="n">
        <v>0</v>
      </c>
      <c r="P465" s="0" t="n">
        <v>4</v>
      </c>
      <c r="Q465" s="0" t="n">
        <v>2</v>
      </c>
      <c r="R465" s="0" t="n">
        <v>0</v>
      </c>
      <c r="S465" s="0" t="n">
        <v>2</v>
      </c>
      <c r="T465" s="0" t="n">
        <v>0</v>
      </c>
      <c r="U465" s="21" t="s">
        <v>2693</v>
      </c>
      <c r="W465" s="21" t="s">
        <v>30</v>
      </c>
      <c r="X465" s="0" t="n">
        <v>27.46</v>
      </c>
      <c r="Y465" s="0" t="n">
        <v>10.5</v>
      </c>
      <c r="Z465" s="0" t="n">
        <v>50.8</v>
      </c>
      <c r="AA465" s="21" t="s">
        <v>2694</v>
      </c>
      <c r="AB465" s="21" t="s">
        <v>2695</v>
      </c>
      <c r="AC465" s="21" t="s">
        <v>120</v>
      </c>
      <c r="AD465" s="0" t="n">
        <v>103</v>
      </c>
      <c r="AE465" s="22" t="b">
        <f aca="false">FALSE()</f>
        <v>0</v>
      </c>
      <c r="AF465" s="21" t="s">
        <v>121</v>
      </c>
      <c r="AG465" s="21" t="s">
        <v>2696</v>
      </c>
    </row>
    <row r="466" customFormat="false" ht="15" hidden="false" customHeight="false" outlineLevel="0" collapsed="false">
      <c r="A466" s="0" t="s">
        <v>2697</v>
      </c>
      <c r="B466" s="18" t="s">
        <v>109</v>
      </c>
      <c r="C466" s="19" t="s">
        <v>26</v>
      </c>
      <c r="D466" s="20" t="s">
        <v>31</v>
      </c>
      <c r="E466" s="21" t="s">
        <v>2698</v>
      </c>
      <c r="G466" s="21" t="s">
        <v>111</v>
      </c>
      <c r="H466" s="21" t="s">
        <v>151</v>
      </c>
      <c r="I466" s="21" t="s">
        <v>113</v>
      </c>
      <c r="J466" s="21" t="s">
        <v>114</v>
      </c>
      <c r="K466" s="0" t="n">
        <v>8</v>
      </c>
      <c r="L466" s="0" t="n">
        <v>0</v>
      </c>
      <c r="M466" s="0" t="n">
        <v>4</v>
      </c>
      <c r="N466" s="0" t="n">
        <v>4</v>
      </c>
      <c r="O466" s="0" t="n">
        <v>0</v>
      </c>
      <c r="P466" s="0" t="n">
        <v>4</v>
      </c>
      <c r="Q466" s="0" t="n">
        <v>0</v>
      </c>
      <c r="R466" s="0" t="n">
        <v>0</v>
      </c>
      <c r="S466" s="0" t="n">
        <v>4</v>
      </c>
      <c r="T466" s="0" t="n">
        <v>4</v>
      </c>
      <c r="U466" s="21" t="s">
        <v>2699</v>
      </c>
      <c r="V466" s="21" t="s">
        <v>69</v>
      </c>
      <c r="W466" s="21" t="s">
        <v>1420</v>
      </c>
      <c r="X466" s="0" t="n">
        <v>0.99</v>
      </c>
      <c r="Y466" s="0" t="n">
        <v>13.6</v>
      </c>
      <c r="Z466" s="0" t="n">
        <v>97</v>
      </c>
      <c r="AA466" s="21" t="s">
        <v>2700</v>
      </c>
      <c r="AB466" s="21" t="s">
        <v>2701</v>
      </c>
      <c r="AC466" s="21" t="s">
        <v>120</v>
      </c>
      <c r="AD466" s="0" t="n">
        <v>203</v>
      </c>
      <c r="AE466" s="22" t="b">
        <f aca="false">FALSE()</f>
        <v>0</v>
      </c>
      <c r="AF466" s="21" t="s">
        <v>121</v>
      </c>
      <c r="AG466" s="21" t="s">
        <v>2702</v>
      </c>
    </row>
    <row r="467" customFormat="false" ht="15" hidden="false" customHeight="false" outlineLevel="0" collapsed="false">
      <c r="A467" s="0" t="s">
        <v>2703</v>
      </c>
      <c r="B467" s="18" t="s">
        <v>109</v>
      </c>
      <c r="C467" s="19" t="s">
        <v>26</v>
      </c>
      <c r="D467" s="20" t="s">
        <v>31</v>
      </c>
      <c r="E467" s="21" t="s">
        <v>2704</v>
      </c>
      <c r="G467" s="21" t="s">
        <v>127</v>
      </c>
      <c r="H467" s="21" t="s">
        <v>281</v>
      </c>
      <c r="I467" s="21" t="s">
        <v>113</v>
      </c>
      <c r="J467" s="21" t="s">
        <v>114</v>
      </c>
      <c r="K467" s="0" t="n">
        <v>8</v>
      </c>
      <c r="L467" s="0" t="n">
        <v>1</v>
      </c>
      <c r="M467" s="0" t="n">
        <v>3</v>
      </c>
      <c r="N467" s="0" t="n">
        <v>4</v>
      </c>
      <c r="O467" s="0" t="n">
        <v>0</v>
      </c>
      <c r="P467" s="0" t="n">
        <v>4</v>
      </c>
      <c r="Q467" s="0" t="n">
        <v>0</v>
      </c>
      <c r="R467" s="0" t="n">
        <v>0</v>
      </c>
      <c r="S467" s="0" t="n">
        <v>4</v>
      </c>
      <c r="T467" s="0" t="n">
        <v>4</v>
      </c>
      <c r="U467" s="21" t="s">
        <v>2705</v>
      </c>
      <c r="V467" s="21" t="s">
        <v>69</v>
      </c>
      <c r="W467" s="21" t="s">
        <v>313</v>
      </c>
      <c r="X467" s="0" t="n">
        <v>3.56</v>
      </c>
      <c r="Y467" s="0" t="n">
        <v>23.9</v>
      </c>
      <c r="Z467" s="0" t="n">
        <v>103.9</v>
      </c>
      <c r="AA467" s="21" t="s">
        <v>2706</v>
      </c>
      <c r="AB467" s="21" t="s">
        <v>2707</v>
      </c>
      <c r="AC467" s="21" t="s">
        <v>120</v>
      </c>
      <c r="AD467" s="0" t="n">
        <v>196</v>
      </c>
      <c r="AE467" s="22" t="b">
        <f aca="false">FALSE()</f>
        <v>0</v>
      </c>
      <c r="AF467" s="21" t="s">
        <v>121</v>
      </c>
      <c r="AG467" s="21" t="s">
        <v>2708</v>
      </c>
    </row>
    <row r="468" customFormat="false" ht="15" hidden="false" customHeight="false" outlineLevel="0" collapsed="false">
      <c r="A468" s="0" t="s">
        <v>2709</v>
      </c>
      <c r="B468" s="18" t="s">
        <v>109</v>
      </c>
      <c r="C468" s="19" t="s">
        <v>26</v>
      </c>
      <c r="D468" s="20" t="s">
        <v>31</v>
      </c>
      <c r="E468" s="21" t="s">
        <v>2710</v>
      </c>
      <c r="G468" s="21" t="s">
        <v>111</v>
      </c>
      <c r="H468" s="21" t="s">
        <v>195</v>
      </c>
      <c r="I468" s="21" t="s">
        <v>113</v>
      </c>
      <c r="J468" s="21" t="s">
        <v>114</v>
      </c>
      <c r="K468" s="0" t="n">
        <v>8</v>
      </c>
      <c r="L468" s="0" t="n">
        <v>0</v>
      </c>
      <c r="M468" s="0" t="n">
        <v>3</v>
      </c>
      <c r="N468" s="0" t="n">
        <v>5</v>
      </c>
      <c r="O468" s="0" t="n">
        <v>0</v>
      </c>
      <c r="P468" s="0" t="n">
        <v>3</v>
      </c>
      <c r="Q468" s="0" t="n">
        <v>0</v>
      </c>
      <c r="R468" s="0" t="n">
        <v>0</v>
      </c>
      <c r="S468" s="0" t="n">
        <v>3</v>
      </c>
      <c r="T468" s="0" t="n">
        <v>5</v>
      </c>
      <c r="U468" s="21" t="s">
        <v>2711</v>
      </c>
      <c r="V468" s="21" t="s">
        <v>69</v>
      </c>
      <c r="W468" s="21" t="s">
        <v>313</v>
      </c>
      <c r="X468" s="0" t="n">
        <v>3.4</v>
      </c>
      <c r="Y468" s="0" t="n">
        <v>12.6</v>
      </c>
      <c r="Z468" s="0" t="n">
        <v>93.6</v>
      </c>
      <c r="AA468" s="21" t="s">
        <v>2712</v>
      </c>
      <c r="AB468" s="21" t="s">
        <v>2713</v>
      </c>
      <c r="AC468" s="21" t="s">
        <v>120</v>
      </c>
      <c r="AD468" s="0" t="n">
        <v>192</v>
      </c>
      <c r="AE468" s="22" t="b">
        <f aca="false">FALSE()</f>
        <v>0</v>
      </c>
      <c r="AF468" s="21" t="s">
        <v>121</v>
      </c>
      <c r="AG468" s="21" t="s">
        <v>2714</v>
      </c>
    </row>
    <row r="469" customFormat="false" ht="15" hidden="false" customHeight="false" outlineLevel="0" collapsed="false">
      <c r="A469" s="0" t="s">
        <v>2715</v>
      </c>
      <c r="B469" s="18" t="s">
        <v>109</v>
      </c>
      <c r="C469" s="19" t="s">
        <v>26</v>
      </c>
      <c r="D469" s="20" t="s">
        <v>31</v>
      </c>
      <c r="E469" s="21" t="s">
        <v>2716</v>
      </c>
      <c r="G469" s="21" t="s">
        <v>111</v>
      </c>
      <c r="H469" s="21" t="s">
        <v>686</v>
      </c>
      <c r="I469" s="21" t="s">
        <v>113</v>
      </c>
      <c r="J469" s="21" t="s">
        <v>134</v>
      </c>
      <c r="K469" s="0" t="n">
        <v>4</v>
      </c>
      <c r="L469" s="0" t="n">
        <v>1</v>
      </c>
      <c r="M469" s="0" t="n">
        <v>2</v>
      </c>
      <c r="N469" s="0" t="n">
        <v>1</v>
      </c>
      <c r="O469" s="0" t="n">
        <v>0</v>
      </c>
      <c r="P469" s="0" t="n">
        <v>3</v>
      </c>
      <c r="Q469" s="0" t="n">
        <v>0</v>
      </c>
      <c r="R469" s="0" t="n">
        <v>0</v>
      </c>
      <c r="S469" s="0" t="n">
        <v>3</v>
      </c>
      <c r="T469" s="0" t="n">
        <v>1</v>
      </c>
      <c r="U469" s="21" t="s">
        <v>2717</v>
      </c>
      <c r="V469" s="21" t="s">
        <v>69</v>
      </c>
      <c r="W469" s="21" t="s">
        <v>239</v>
      </c>
      <c r="X469" s="0" t="n">
        <v>6.87</v>
      </c>
      <c r="Y469" s="0" t="n">
        <v>7.2</v>
      </c>
      <c r="Z469" s="0" t="n">
        <v>59.3</v>
      </c>
      <c r="AA469" s="21" t="s">
        <v>2718</v>
      </c>
      <c r="AB469" s="21" t="s">
        <v>2719</v>
      </c>
      <c r="AC469" s="21" t="s">
        <v>120</v>
      </c>
      <c r="AD469" s="0" t="n">
        <v>98</v>
      </c>
      <c r="AE469" s="22" t="b">
        <f aca="false">FALSE()</f>
        <v>0</v>
      </c>
      <c r="AF469" s="21" t="s">
        <v>121</v>
      </c>
      <c r="AG469" s="21" t="s">
        <v>2720</v>
      </c>
    </row>
    <row r="470" customFormat="false" ht="15" hidden="false" customHeight="false" outlineLevel="0" collapsed="false">
      <c r="A470" s="0" t="s">
        <v>2721</v>
      </c>
      <c r="B470" s="18" t="s">
        <v>109</v>
      </c>
      <c r="C470" s="19" t="s">
        <v>26</v>
      </c>
      <c r="D470" s="20" t="s">
        <v>31</v>
      </c>
      <c r="E470" s="21" t="s">
        <v>2722</v>
      </c>
      <c r="G470" s="21" t="s">
        <v>111</v>
      </c>
      <c r="H470" s="21" t="s">
        <v>217</v>
      </c>
      <c r="I470" s="21" t="s">
        <v>113</v>
      </c>
      <c r="J470" s="21" t="s">
        <v>134</v>
      </c>
      <c r="K470" s="0" t="n">
        <v>4</v>
      </c>
      <c r="L470" s="0" t="n">
        <v>0</v>
      </c>
      <c r="M470" s="0" t="n">
        <v>2</v>
      </c>
      <c r="N470" s="0" t="n">
        <v>2</v>
      </c>
      <c r="O470" s="0" t="n">
        <v>0</v>
      </c>
      <c r="P470" s="0" t="n">
        <v>2</v>
      </c>
      <c r="Q470" s="0" t="n">
        <v>0</v>
      </c>
      <c r="R470" s="0" t="n">
        <v>1</v>
      </c>
      <c r="S470" s="0" t="n">
        <v>1</v>
      </c>
      <c r="T470" s="0" t="n">
        <v>2</v>
      </c>
      <c r="U470" s="21" t="s">
        <v>2723</v>
      </c>
      <c r="V470" s="21" t="s">
        <v>69</v>
      </c>
      <c r="W470" s="21" t="s">
        <v>313</v>
      </c>
      <c r="X470" s="0" t="n">
        <v>5.41</v>
      </c>
      <c r="Y470" s="0" t="n">
        <v>24.1</v>
      </c>
      <c r="Z470" s="0" t="n">
        <v>56.9</v>
      </c>
      <c r="AA470" s="21" t="s">
        <v>2724</v>
      </c>
      <c r="AB470" s="21" t="s">
        <v>2725</v>
      </c>
      <c r="AC470" s="21" t="s">
        <v>120</v>
      </c>
      <c r="AD470" s="0" t="n">
        <v>95</v>
      </c>
      <c r="AE470" s="22" t="b">
        <f aca="false">FALSE()</f>
        <v>0</v>
      </c>
      <c r="AF470" s="21" t="s">
        <v>121</v>
      </c>
      <c r="AG470" s="21" t="s">
        <v>2726</v>
      </c>
    </row>
    <row r="471" customFormat="false" ht="15" hidden="false" customHeight="false" outlineLevel="0" collapsed="false">
      <c r="A471" s="0" t="s">
        <v>2727</v>
      </c>
      <c r="B471" s="20" t="s">
        <v>124</v>
      </c>
      <c r="E471" s="21" t="s">
        <v>552</v>
      </c>
      <c r="F471" s="21" t="s">
        <v>553</v>
      </c>
      <c r="G471" s="21" t="s">
        <v>127</v>
      </c>
      <c r="H471" s="21" t="s">
        <v>554</v>
      </c>
      <c r="I471" s="21" t="s">
        <v>113</v>
      </c>
      <c r="Z471" s="0" t="n">
        <v>0</v>
      </c>
      <c r="AA471" s="21" t="s">
        <v>2728</v>
      </c>
      <c r="AB471" s="21" t="s">
        <v>2728</v>
      </c>
      <c r="AE471" s="22" t="b">
        <f aca="false">FALSE()</f>
        <v>0</v>
      </c>
      <c r="AF471" s="21" t="s">
        <v>121</v>
      </c>
      <c r="AG471" s="21" t="s">
        <v>2729</v>
      </c>
    </row>
    <row r="472" customFormat="false" ht="15" hidden="false" customHeight="false" outlineLevel="0" collapsed="false">
      <c r="A472" s="0" t="s">
        <v>2730</v>
      </c>
      <c r="B472" s="20" t="s">
        <v>124</v>
      </c>
      <c r="E472" s="21" t="s">
        <v>2731</v>
      </c>
      <c r="F472" s="21" t="s">
        <v>2732</v>
      </c>
      <c r="G472" s="21" t="s">
        <v>127</v>
      </c>
      <c r="H472" s="21" t="s">
        <v>953</v>
      </c>
      <c r="I472" s="21" t="s">
        <v>113</v>
      </c>
      <c r="Z472" s="0" t="n">
        <v>0</v>
      </c>
      <c r="AA472" s="21" t="s">
        <v>2733</v>
      </c>
      <c r="AB472" s="21" t="s">
        <v>2733</v>
      </c>
      <c r="AE472" s="22" t="b">
        <f aca="false">FALSE()</f>
        <v>0</v>
      </c>
      <c r="AF472" s="21" t="s">
        <v>121</v>
      </c>
      <c r="AG472" s="21" t="s">
        <v>2734</v>
      </c>
    </row>
    <row r="473" customFormat="false" ht="15" hidden="false" customHeight="false" outlineLevel="0" collapsed="false">
      <c r="A473" s="0" t="s">
        <v>2735</v>
      </c>
      <c r="B473" s="20" t="s">
        <v>124</v>
      </c>
      <c r="E473" s="21" t="s">
        <v>2731</v>
      </c>
      <c r="F473" s="21" t="s">
        <v>2732</v>
      </c>
      <c r="G473" s="21" t="s">
        <v>127</v>
      </c>
      <c r="H473" s="21" t="s">
        <v>177</v>
      </c>
      <c r="I473" s="21" t="s">
        <v>113</v>
      </c>
      <c r="Z473" s="0" t="n">
        <v>0</v>
      </c>
      <c r="AA473" s="21" t="s">
        <v>2736</v>
      </c>
      <c r="AB473" s="21" t="s">
        <v>2736</v>
      </c>
      <c r="AE473" s="22" t="b">
        <f aca="false">FALSE()</f>
        <v>0</v>
      </c>
      <c r="AF473" s="21" t="s">
        <v>121</v>
      </c>
      <c r="AG473" s="21" t="s">
        <v>2737</v>
      </c>
    </row>
    <row r="474" customFormat="false" ht="15" hidden="false" customHeight="false" outlineLevel="0" collapsed="false">
      <c r="A474" s="0" t="s">
        <v>2738</v>
      </c>
      <c r="B474" s="20" t="s">
        <v>124</v>
      </c>
      <c r="E474" s="21" t="s">
        <v>306</v>
      </c>
      <c r="F474" s="21" t="s">
        <v>307</v>
      </c>
      <c r="G474" s="21" t="s">
        <v>127</v>
      </c>
      <c r="H474" s="21" t="s">
        <v>308</v>
      </c>
      <c r="I474" s="21" t="s">
        <v>113</v>
      </c>
      <c r="Z474" s="0" t="n">
        <v>0</v>
      </c>
      <c r="AA474" s="21" t="s">
        <v>2739</v>
      </c>
      <c r="AB474" s="21" t="s">
        <v>2739</v>
      </c>
      <c r="AE474" s="22" t="b">
        <f aca="false">FALSE()</f>
        <v>0</v>
      </c>
      <c r="AF474" s="21" t="s">
        <v>121</v>
      </c>
      <c r="AG474" s="21" t="s">
        <v>2740</v>
      </c>
    </row>
    <row r="475" customFormat="false" ht="15" hidden="false" customHeight="false" outlineLevel="0" collapsed="false">
      <c r="A475" s="0" t="s">
        <v>2741</v>
      </c>
      <c r="B475" s="20" t="s">
        <v>124</v>
      </c>
      <c r="E475" s="21" t="s">
        <v>2742</v>
      </c>
      <c r="F475" s="21" t="s">
        <v>2743</v>
      </c>
      <c r="G475" s="21" t="s">
        <v>127</v>
      </c>
      <c r="H475" s="21" t="s">
        <v>953</v>
      </c>
      <c r="I475" s="21" t="s">
        <v>113</v>
      </c>
      <c r="Z475" s="0" t="n">
        <v>0</v>
      </c>
      <c r="AA475" s="21" t="s">
        <v>2744</v>
      </c>
      <c r="AB475" s="21" t="s">
        <v>2744</v>
      </c>
      <c r="AE475" s="22" t="b">
        <f aca="false">FALSE()</f>
        <v>0</v>
      </c>
      <c r="AF475" s="21" t="s">
        <v>121</v>
      </c>
      <c r="AG475" s="21" t="s">
        <v>2745</v>
      </c>
    </row>
    <row r="476" customFormat="false" ht="15" hidden="false" customHeight="false" outlineLevel="0" collapsed="false">
      <c r="A476" s="0" t="s">
        <v>2746</v>
      </c>
      <c r="B476" s="18" t="s">
        <v>109</v>
      </c>
      <c r="C476" s="19" t="s">
        <v>26</v>
      </c>
      <c r="D476" s="20" t="s">
        <v>31</v>
      </c>
      <c r="E476" s="21" t="s">
        <v>2747</v>
      </c>
      <c r="G476" s="21" t="s">
        <v>127</v>
      </c>
      <c r="H476" s="21" t="s">
        <v>269</v>
      </c>
      <c r="I476" s="21" t="s">
        <v>113</v>
      </c>
      <c r="J476" s="21" t="s">
        <v>114</v>
      </c>
      <c r="K476" s="0" t="n">
        <v>8</v>
      </c>
      <c r="L476" s="0" t="n">
        <v>1</v>
      </c>
      <c r="M476" s="0" t="n">
        <v>5</v>
      </c>
      <c r="N476" s="0" t="n">
        <v>2</v>
      </c>
      <c r="O476" s="0" t="n">
        <v>0</v>
      </c>
      <c r="P476" s="0" t="n">
        <v>6</v>
      </c>
      <c r="Q476" s="0" t="n">
        <v>0</v>
      </c>
      <c r="R476" s="0" t="n">
        <v>0</v>
      </c>
      <c r="S476" s="0" t="n">
        <v>6</v>
      </c>
      <c r="T476" s="0" t="n">
        <v>2</v>
      </c>
      <c r="U476" s="21" t="s">
        <v>2748</v>
      </c>
      <c r="V476" s="21" t="s">
        <v>69</v>
      </c>
      <c r="W476" s="21" t="s">
        <v>224</v>
      </c>
      <c r="X476" s="0" t="n">
        <v>6.67</v>
      </c>
      <c r="Y476" s="0" t="n">
        <v>21.3</v>
      </c>
      <c r="Z476" s="0" t="n">
        <v>101.9</v>
      </c>
      <c r="AA476" s="21" t="s">
        <v>2749</v>
      </c>
      <c r="AB476" s="21" t="s">
        <v>2750</v>
      </c>
      <c r="AC476" s="21" t="s">
        <v>120</v>
      </c>
      <c r="AD476" s="0" t="n">
        <v>192</v>
      </c>
      <c r="AE476" s="22" t="b">
        <f aca="false">FALSE()</f>
        <v>0</v>
      </c>
      <c r="AF476" s="21" t="s">
        <v>121</v>
      </c>
      <c r="AG476" s="21" t="s">
        <v>2751</v>
      </c>
    </row>
    <row r="477" customFormat="false" ht="15" hidden="false" customHeight="false" outlineLevel="0" collapsed="false">
      <c r="A477" s="0" t="s">
        <v>2752</v>
      </c>
      <c r="B477" s="18" t="s">
        <v>109</v>
      </c>
      <c r="C477" s="20" t="s">
        <v>25</v>
      </c>
      <c r="D477" s="23" t="s">
        <v>30</v>
      </c>
      <c r="E477" s="21" t="s">
        <v>2753</v>
      </c>
      <c r="G477" s="21" t="s">
        <v>111</v>
      </c>
      <c r="H477" s="21" t="s">
        <v>468</v>
      </c>
      <c r="I477" s="21" t="s">
        <v>113</v>
      </c>
      <c r="J477" s="21" t="s">
        <v>114</v>
      </c>
      <c r="K477" s="0" t="n">
        <v>8</v>
      </c>
      <c r="L477" s="0" t="n">
        <v>3</v>
      </c>
      <c r="M477" s="0" t="n">
        <v>5</v>
      </c>
      <c r="N477" s="0" t="n">
        <v>0</v>
      </c>
      <c r="O477" s="0" t="n">
        <v>0</v>
      </c>
      <c r="P477" s="0" t="n">
        <v>8</v>
      </c>
      <c r="Q477" s="0" t="n">
        <v>1</v>
      </c>
      <c r="R477" s="0" t="n">
        <v>1</v>
      </c>
      <c r="S477" s="0" t="n">
        <v>6</v>
      </c>
      <c r="T477" s="0" t="n">
        <v>0</v>
      </c>
      <c r="U477" s="21" t="s">
        <v>2754</v>
      </c>
      <c r="V477" s="21" t="s">
        <v>116</v>
      </c>
      <c r="W477" s="21" t="s">
        <v>163</v>
      </c>
      <c r="X477" s="0" t="n">
        <v>4.37</v>
      </c>
      <c r="Y477" s="0" t="n">
        <v>17</v>
      </c>
      <c r="Z477" s="0" t="n">
        <v>104.9</v>
      </c>
      <c r="AA477" s="21" t="s">
        <v>2755</v>
      </c>
      <c r="AB477" s="21" t="s">
        <v>2756</v>
      </c>
      <c r="AC477" s="21" t="s">
        <v>120</v>
      </c>
      <c r="AD477" s="0" t="n">
        <v>193</v>
      </c>
      <c r="AE477" s="22" t="b">
        <f aca="false">FALSE()</f>
        <v>0</v>
      </c>
      <c r="AF477" s="21" t="s">
        <v>121</v>
      </c>
      <c r="AG477" s="21" t="s">
        <v>2757</v>
      </c>
    </row>
    <row r="478" customFormat="false" ht="15" hidden="false" customHeight="false" outlineLevel="0" collapsed="false">
      <c r="A478" s="0" t="s">
        <v>2758</v>
      </c>
      <c r="B478" s="20" t="s">
        <v>124</v>
      </c>
      <c r="E478" s="21" t="s">
        <v>805</v>
      </c>
      <c r="F478" s="21" t="s">
        <v>806</v>
      </c>
      <c r="G478" s="21" t="s">
        <v>111</v>
      </c>
      <c r="H478" s="21" t="s">
        <v>1192</v>
      </c>
      <c r="I478" s="21" t="s">
        <v>113</v>
      </c>
      <c r="Z478" s="0" t="n">
        <v>0</v>
      </c>
      <c r="AA478" s="21" t="s">
        <v>2759</v>
      </c>
      <c r="AB478" s="21" t="s">
        <v>2759</v>
      </c>
      <c r="AE478" s="22" t="b">
        <f aca="false">FALSE()</f>
        <v>0</v>
      </c>
      <c r="AF478" s="21" t="s">
        <v>121</v>
      </c>
      <c r="AG478" s="21" t="s">
        <v>2760</v>
      </c>
    </row>
    <row r="479" customFormat="false" ht="15" hidden="false" customHeight="false" outlineLevel="0" collapsed="false">
      <c r="A479" s="0" t="s">
        <v>2761</v>
      </c>
      <c r="B479" s="18" t="s">
        <v>109</v>
      </c>
      <c r="C479" s="20" t="s">
        <v>25</v>
      </c>
      <c r="D479" s="23" t="s">
        <v>30</v>
      </c>
      <c r="E479" s="21" t="s">
        <v>2762</v>
      </c>
      <c r="G479" s="21" t="s">
        <v>111</v>
      </c>
      <c r="H479" s="21" t="s">
        <v>237</v>
      </c>
      <c r="I479" s="21" t="s">
        <v>113</v>
      </c>
      <c r="J479" s="21" t="s">
        <v>114</v>
      </c>
      <c r="K479" s="0" t="n">
        <v>8</v>
      </c>
      <c r="L479" s="0" t="n">
        <v>1</v>
      </c>
      <c r="M479" s="0" t="n">
        <v>7</v>
      </c>
      <c r="N479" s="0" t="n">
        <v>0</v>
      </c>
      <c r="O479" s="0" t="n">
        <v>0</v>
      </c>
      <c r="P479" s="0" t="n">
        <v>8</v>
      </c>
      <c r="Q479" s="0" t="n">
        <v>1</v>
      </c>
      <c r="R479" s="0" t="n">
        <v>2</v>
      </c>
      <c r="S479" s="0" t="n">
        <v>5</v>
      </c>
      <c r="T479" s="0" t="n">
        <v>0</v>
      </c>
      <c r="U479" s="21" t="s">
        <v>2763</v>
      </c>
      <c r="V479" s="21" t="s">
        <v>70</v>
      </c>
      <c r="W479" s="21" t="s">
        <v>183</v>
      </c>
      <c r="X479" s="0" t="n">
        <v>12.98</v>
      </c>
      <c r="Y479" s="0" t="n">
        <v>22</v>
      </c>
      <c r="Z479" s="0" t="n">
        <v>110.4</v>
      </c>
      <c r="AA479" s="21" t="s">
        <v>2764</v>
      </c>
      <c r="AB479" s="21" t="s">
        <v>2765</v>
      </c>
      <c r="AC479" s="21" t="s">
        <v>120</v>
      </c>
      <c r="AD479" s="0" t="n">
        <v>193</v>
      </c>
      <c r="AE479" s="22" t="b">
        <f aca="false">FALSE()</f>
        <v>0</v>
      </c>
      <c r="AF479" s="21" t="s">
        <v>121</v>
      </c>
      <c r="AG479" s="21" t="s">
        <v>2766</v>
      </c>
    </row>
    <row r="480" customFormat="false" ht="15" hidden="false" customHeight="false" outlineLevel="0" collapsed="false">
      <c r="A480" s="0" t="s">
        <v>2767</v>
      </c>
      <c r="B480" s="18" t="s">
        <v>109</v>
      </c>
      <c r="C480" s="19" t="s">
        <v>26</v>
      </c>
      <c r="D480" s="20" t="s">
        <v>31</v>
      </c>
      <c r="E480" s="21" t="s">
        <v>2768</v>
      </c>
      <c r="G480" s="21" t="s">
        <v>111</v>
      </c>
      <c r="H480" s="21" t="s">
        <v>170</v>
      </c>
      <c r="I480" s="21" t="s">
        <v>113</v>
      </c>
      <c r="J480" s="21" t="s">
        <v>134</v>
      </c>
      <c r="K480" s="0" t="n">
        <v>4</v>
      </c>
      <c r="L480" s="0" t="n">
        <v>0</v>
      </c>
      <c r="M480" s="0" t="n">
        <v>3</v>
      </c>
      <c r="N480" s="0" t="n">
        <v>1</v>
      </c>
      <c r="O480" s="0" t="n">
        <v>0</v>
      </c>
      <c r="P480" s="0" t="n">
        <v>3</v>
      </c>
      <c r="Q480" s="0" t="n">
        <v>0</v>
      </c>
      <c r="R480" s="0" t="n">
        <v>1</v>
      </c>
      <c r="S480" s="0" t="n">
        <v>2</v>
      </c>
      <c r="T480" s="0" t="n">
        <v>1</v>
      </c>
      <c r="U480" s="21" t="s">
        <v>2769</v>
      </c>
      <c r="V480" s="21" t="s">
        <v>69</v>
      </c>
      <c r="W480" s="21" t="s">
        <v>698</v>
      </c>
      <c r="X480" s="0" t="n">
        <v>0.96</v>
      </c>
      <c r="Y480" s="0" t="n">
        <v>7.4</v>
      </c>
      <c r="Z480" s="0" t="n">
        <v>55.1</v>
      </c>
      <c r="AA480" s="21" t="s">
        <v>2770</v>
      </c>
      <c r="AB480" s="21" t="s">
        <v>2771</v>
      </c>
      <c r="AC480" s="21" t="s">
        <v>120</v>
      </c>
      <c r="AD480" s="0" t="n">
        <v>95</v>
      </c>
      <c r="AE480" s="22" t="b">
        <f aca="false">FALSE()</f>
        <v>0</v>
      </c>
      <c r="AF480" s="21" t="s">
        <v>121</v>
      </c>
      <c r="AG480" s="21" t="s">
        <v>2772</v>
      </c>
    </row>
    <row r="481" customFormat="false" ht="15" hidden="false" customHeight="false" outlineLevel="0" collapsed="false">
      <c r="A481" s="0" t="s">
        <v>2773</v>
      </c>
      <c r="B481" s="18" t="s">
        <v>109</v>
      </c>
      <c r="C481" s="19" t="s">
        <v>26</v>
      </c>
      <c r="D481" s="20" t="s">
        <v>31</v>
      </c>
      <c r="E481" s="21" t="s">
        <v>2774</v>
      </c>
      <c r="G481" s="21" t="s">
        <v>111</v>
      </c>
      <c r="H481" s="21" t="s">
        <v>155</v>
      </c>
      <c r="I481" s="21" t="s">
        <v>113</v>
      </c>
      <c r="J481" s="21" t="s">
        <v>114</v>
      </c>
      <c r="K481" s="0" t="n">
        <v>8</v>
      </c>
      <c r="L481" s="0" t="n">
        <v>0</v>
      </c>
      <c r="M481" s="0" t="n">
        <v>3</v>
      </c>
      <c r="N481" s="0" t="n">
        <v>5</v>
      </c>
      <c r="O481" s="0" t="n">
        <v>0</v>
      </c>
      <c r="P481" s="0" t="n">
        <v>3</v>
      </c>
      <c r="Q481" s="0" t="n">
        <v>0</v>
      </c>
      <c r="R481" s="0" t="n">
        <v>0</v>
      </c>
      <c r="S481" s="0" t="n">
        <v>3</v>
      </c>
      <c r="T481" s="0" t="n">
        <v>5</v>
      </c>
      <c r="U481" s="21" t="s">
        <v>2775</v>
      </c>
      <c r="V481" s="21" t="s">
        <v>69</v>
      </c>
      <c r="W481" s="21" t="s">
        <v>433</v>
      </c>
      <c r="X481" s="0" t="n">
        <v>0.88</v>
      </c>
      <c r="Y481" s="0" t="n">
        <v>18.2</v>
      </c>
      <c r="Z481" s="0" t="n">
        <v>96.6</v>
      </c>
      <c r="AA481" s="21" t="s">
        <v>2776</v>
      </c>
      <c r="AB481" s="21" t="s">
        <v>2777</v>
      </c>
      <c r="AC481" s="21" t="s">
        <v>120</v>
      </c>
      <c r="AD481" s="0" t="n">
        <v>193</v>
      </c>
      <c r="AE481" s="22" t="b">
        <f aca="false">FALSE()</f>
        <v>0</v>
      </c>
      <c r="AF481" s="21" t="s">
        <v>121</v>
      </c>
      <c r="AG481" s="21" t="s">
        <v>2778</v>
      </c>
    </row>
    <row r="482" customFormat="false" ht="15" hidden="false" customHeight="false" outlineLevel="0" collapsed="false">
      <c r="A482" s="0" t="s">
        <v>2779</v>
      </c>
      <c r="B482" s="20" t="s">
        <v>124</v>
      </c>
      <c r="E482" s="21" t="s">
        <v>552</v>
      </c>
      <c r="F482" s="21" t="s">
        <v>553</v>
      </c>
      <c r="G482" s="21" t="s">
        <v>111</v>
      </c>
      <c r="H482" s="21" t="s">
        <v>554</v>
      </c>
      <c r="I482" s="21" t="s">
        <v>113</v>
      </c>
      <c r="Z482" s="0" t="n">
        <v>0</v>
      </c>
      <c r="AA482" s="21" t="s">
        <v>2780</v>
      </c>
      <c r="AB482" s="21" t="s">
        <v>2780</v>
      </c>
      <c r="AE482" s="22" t="b">
        <f aca="false">FALSE()</f>
        <v>0</v>
      </c>
      <c r="AF482" s="21" t="s">
        <v>121</v>
      </c>
      <c r="AG482" s="21" t="s">
        <v>2781</v>
      </c>
    </row>
    <row r="483" customFormat="false" ht="15" hidden="false" customHeight="false" outlineLevel="0" collapsed="false">
      <c r="A483" s="0" t="s">
        <v>2782</v>
      </c>
      <c r="B483" s="18" t="s">
        <v>109</v>
      </c>
      <c r="C483" s="20" t="s">
        <v>25</v>
      </c>
      <c r="D483" s="23" t="s">
        <v>30</v>
      </c>
      <c r="E483" s="21" t="s">
        <v>2783</v>
      </c>
      <c r="G483" s="21" t="s">
        <v>111</v>
      </c>
      <c r="H483" s="21" t="s">
        <v>217</v>
      </c>
      <c r="I483" s="21" t="s">
        <v>113</v>
      </c>
      <c r="J483" s="21" t="s">
        <v>134</v>
      </c>
      <c r="K483" s="0" t="n">
        <v>4</v>
      </c>
      <c r="L483" s="0" t="n">
        <v>0</v>
      </c>
      <c r="M483" s="0" t="n">
        <v>4</v>
      </c>
      <c r="N483" s="0" t="n">
        <v>0</v>
      </c>
      <c r="O483" s="0" t="n">
        <v>0</v>
      </c>
      <c r="P483" s="0" t="n">
        <v>4</v>
      </c>
      <c r="Q483" s="0" t="n">
        <v>0</v>
      </c>
      <c r="R483" s="0" t="n">
        <v>0</v>
      </c>
      <c r="S483" s="0" t="n">
        <v>4</v>
      </c>
      <c r="T483" s="0" t="n">
        <v>0</v>
      </c>
      <c r="U483" s="21" t="s">
        <v>2784</v>
      </c>
      <c r="V483" s="21" t="s">
        <v>69</v>
      </c>
      <c r="W483" s="21" t="s">
        <v>357</v>
      </c>
      <c r="X483" s="0" t="n">
        <v>1.33</v>
      </c>
      <c r="Y483" s="0" t="n">
        <v>10.1</v>
      </c>
      <c r="Z483" s="0" t="n">
        <v>47.4</v>
      </c>
      <c r="AA483" s="21" t="s">
        <v>2785</v>
      </c>
      <c r="AB483" s="21" t="s">
        <v>2786</v>
      </c>
      <c r="AC483" s="21" t="s">
        <v>120</v>
      </c>
      <c r="AD483" s="0" t="n">
        <v>95</v>
      </c>
      <c r="AE483" s="22" t="b">
        <f aca="false">FALSE()</f>
        <v>0</v>
      </c>
      <c r="AF483" s="21" t="s">
        <v>121</v>
      </c>
      <c r="AG483" s="21" t="s">
        <v>2787</v>
      </c>
    </row>
    <row r="484" customFormat="false" ht="15" hidden="false" customHeight="false" outlineLevel="0" collapsed="false">
      <c r="A484" s="0" t="s">
        <v>2788</v>
      </c>
      <c r="B484" s="18" t="s">
        <v>109</v>
      </c>
      <c r="C484" s="20" t="s">
        <v>25</v>
      </c>
      <c r="D484" s="23" t="s">
        <v>30</v>
      </c>
      <c r="E484" s="21" t="s">
        <v>2789</v>
      </c>
      <c r="G484" s="21" t="s">
        <v>127</v>
      </c>
      <c r="H484" s="21" t="s">
        <v>352</v>
      </c>
      <c r="I484" s="21" t="s">
        <v>113</v>
      </c>
      <c r="J484" s="21" t="s">
        <v>134</v>
      </c>
      <c r="K484" s="0" t="n">
        <v>4</v>
      </c>
      <c r="L484" s="0" t="n">
        <v>1</v>
      </c>
      <c r="M484" s="0" t="n">
        <v>3</v>
      </c>
      <c r="N484" s="0" t="n">
        <v>0</v>
      </c>
      <c r="O484" s="0" t="n">
        <v>0</v>
      </c>
      <c r="P484" s="0" t="n">
        <v>4</v>
      </c>
      <c r="Q484" s="0" t="n">
        <v>0</v>
      </c>
      <c r="R484" s="0" t="n">
        <v>0</v>
      </c>
      <c r="S484" s="0" t="n">
        <v>4</v>
      </c>
      <c r="T484" s="0" t="n">
        <v>0</v>
      </c>
      <c r="U484" s="21" t="s">
        <v>2790</v>
      </c>
      <c r="V484" s="21" t="s">
        <v>69</v>
      </c>
      <c r="W484" s="21" t="s">
        <v>183</v>
      </c>
      <c r="X484" s="0" t="n">
        <v>3.79</v>
      </c>
      <c r="Y484" s="0" t="n">
        <v>15.6</v>
      </c>
      <c r="Z484" s="0" t="n">
        <v>50.5</v>
      </c>
      <c r="AA484" s="21" t="s">
        <v>2791</v>
      </c>
      <c r="AB484" s="21" t="s">
        <v>2792</v>
      </c>
      <c r="AC484" s="21" t="s">
        <v>120</v>
      </c>
      <c r="AD484" s="0" t="n">
        <v>95</v>
      </c>
      <c r="AE484" s="22" t="b">
        <f aca="false">FALSE()</f>
        <v>0</v>
      </c>
      <c r="AF484" s="21" t="s">
        <v>121</v>
      </c>
      <c r="AG484" s="21" t="s">
        <v>2793</v>
      </c>
    </row>
    <row r="485" customFormat="false" ht="15" hidden="false" customHeight="false" outlineLevel="0" collapsed="false">
      <c r="A485" s="0" t="s">
        <v>2794</v>
      </c>
      <c r="B485" s="20" t="s">
        <v>124</v>
      </c>
      <c r="E485" s="21" t="s">
        <v>2795</v>
      </c>
      <c r="F485" s="21" t="s">
        <v>2796</v>
      </c>
      <c r="G485" s="21" t="s">
        <v>111</v>
      </c>
      <c r="H485" s="21" t="s">
        <v>343</v>
      </c>
      <c r="I485" s="21" t="s">
        <v>113</v>
      </c>
      <c r="Z485" s="0" t="n">
        <v>0</v>
      </c>
      <c r="AA485" s="21" t="s">
        <v>2797</v>
      </c>
      <c r="AB485" s="21" t="s">
        <v>2797</v>
      </c>
      <c r="AE485" s="22" t="b">
        <f aca="false">FALSE()</f>
        <v>0</v>
      </c>
      <c r="AF485" s="21" t="s">
        <v>121</v>
      </c>
      <c r="AG485" s="21" t="s">
        <v>2798</v>
      </c>
    </row>
    <row r="486" customFormat="false" ht="15" hidden="false" customHeight="false" outlineLevel="0" collapsed="false">
      <c r="A486" s="0" t="s">
        <v>2799</v>
      </c>
      <c r="B486" s="18" t="s">
        <v>109</v>
      </c>
      <c r="C486" s="19" t="s">
        <v>26</v>
      </c>
      <c r="D486" s="20" t="s">
        <v>31</v>
      </c>
      <c r="E486" s="21" t="s">
        <v>2800</v>
      </c>
      <c r="G486" s="21" t="s">
        <v>111</v>
      </c>
      <c r="H486" s="21" t="s">
        <v>299</v>
      </c>
      <c r="I486" s="21" t="s">
        <v>113</v>
      </c>
      <c r="J486" s="21" t="s">
        <v>114</v>
      </c>
      <c r="K486" s="0" t="n">
        <v>8</v>
      </c>
      <c r="L486" s="0" t="n">
        <v>1</v>
      </c>
      <c r="M486" s="0" t="n">
        <v>5</v>
      </c>
      <c r="N486" s="0" t="n">
        <v>2</v>
      </c>
      <c r="O486" s="0" t="n">
        <v>0</v>
      </c>
      <c r="P486" s="0" t="n">
        <v>6</v>
      </c>
      <c r="Q486" s="0" t="n">
        <v>0</v>
      </c>
      <c r="R486" s="0" t="n">
        <v>2</v>
      </c>
      <c r="S486" s="0" t="n">
        <v>4</v>
      </c>
      <c r="T486" s="0" t="n">
        <v>2</v>
      </c>
      <c r="U486" s="21" t="s">
        <v>2801</v>
      </c>
      <c r="V486" s="21" t="s">
        <v>69</v>
      </c>
      <c r="W486" s="21" t="s">
        <v>1512</v>
      </c>
      <c r="X486" s="0" t="n">
        <v>5.17</v>
      </c>
      <c r="Y486" s="0" t="n">
        <v>13.3</v>
      </c>
      <c r="Z486" s="0" t="n">
        <v>93.8</v>
      </c>
      <c r="AA486" s="21" t="s">
        <v>2802</v>
      </c>
      <c r="AB486" s="21" t="s">
        <v>2803</v>
      </c>
      <c r="AC486" s="21" t="s">
        <v>120</v>
      </c>
      <c r="AD486" s="0" t="n">
        <v>212</v>
      </c>
      <c r="AE486" s="22" t="b">
        <f aca="false">FALSE()</f>
        <v>0</v>
      </c>
      <c r="AF486" s="21" t="s">
        <v>121</v>
      </c>
      <c r="AG486" s="21" t="s">
        <v>2804</v>
      </c>
    </row>
    <row r="487" customFormat="false" ht="15" hidden="false" customHeight="false" outlineLevel="0" collapsed="false">
      <c r="A487" s="0" t="s">
        <v>2805</v>
      </c>
      <c r="B487" s="20" t="s">
        <v>124</v>
      </c>
      <c r="E487" s="21" t="s">
        <v>2806</v>
      </c>
      <c r="F487" s="21" t="s">
        <v>2807</v>
      </c>
      <c r="G487" s="21" t="s">
        <v>127</v>
      </c>
      <c r="H487" s="21" t="s">
        <v>2635</v>
      </c>
      <c r="I487" s="21" t="s">
        <v>113</v>
      </c>
      <c r="Z487" s="0" t="n">
        <v>0</v>
      </c>
      <c r="AA487" s="21" t="s">
        <v>2808</v>
      </c>
      <c r="AB487" s="21" t="s">
        <v>2808</v>
      </c>
      <c r="AE487" s="22" t="b">
        <f aca="false">FALSE()</f>
        <v>0</v>
      </c>
      <c r="AF487" s="21" t="s">
        <v>121</v>
      </c>
      <c r="AG487" s="21" t="s">
        <v>2809</v>
      </c>
    </row>
    <row r="488" customFormat="false" ht="15" hidden="false" customHeight="false" outlineLevel="0" collapsed="false">
      <c r="A488" s="0" t="s">
        <v>2810</v>
      </c>
      <c r="B488" s="18" t="s">
        <v>109</v>
      </c>
      <c r="C488" s="19" t="s">
        <v>26</v>
      </c>
      <c r="D488" s="20" t="s">
        <v>31</v>
      </c>
      <c r="E488" s="21" t="s">
        <v>2811</v>
      </c>
      <c r="G488" s="21" t="s">
        <v>127</v>
      </c>
      <c r="H488" s="21" t="s">
        <v>362</v>
      </c>
      <c r="I488" s="21" t="s">
        <v>113</v>
      </c>
      <c r="J488" s="21" t="s">
        <v>114</v>
      </c>
      <c r="K488" s="0" t="n">
        <v>8</v>
      </c>
      <c r="L488" s="0" t="n">
        <v>1</v>
      </c>
      <c r="M488" s="0" t="n">
        <v>6</v>
      </c>
      <c r="N488" s="0" t="n">
        <v>1</v>
      </c>
      <c r="O488" s="0" t="n">
        <v>0</v>
      </c>
      <c r="P488" s="0" t="n">
        <v>7</v>
      </c>
      <c r="Q488" s="0" t="n">
        <v>0</v>
      </c>
      <c r="R488" s="0" t="n">
        <v>0</v>
      </c>
      <c r="S488" s="0" t="n">
        <v>7</v>
      </c>
      <c r="T488" s="0" t="n">
        <v>1</v>
      </c>
      <c r="U488" s="21" t="s">
        <v>2812</v>
      </c>
      <c r="V488" s="21" t="s">
        <v>69</v>
      </c>
      <c r="W488" s="21" t="s">
        <v>672</v>
      </c>
      <c r="X488" s="0" t="n">
        <v>2.12</v>
      </c>
      <c r="Y488" s="0" t="n">
        <v>11.8</v>
      </c>
      <c r="Z488" s="0" t="n">
        <v>90.1</v>
      </c>
      <c r="AA488" s="21" t="s">
        <v>2813</v>
      </c>
      <c r="AB488" s="21" t="s">
        <v>2814</v>
      </c>
      <c r="AC488" s="21" t="s">
        <v>120</v>
      </c>
      <c r="AD488" s="0" t="n">
        <v>194</v>
      </c>
      <c r="AE488" s="22" t="b">
        <f aca="false">FALSE()</f>
        <v>0</v>
      </c>
      <c r="AF488" s="21" t="s">
        <v>121</v>
      </c>
      <c r="AG488" s="21" t="s">
        <v>2815</v>
      </c>
    </row>
    <row r="489" customFormat="false" ht="15" hidden="false" customHeight="false" outlineLevel="0" collapsed="false">
      <c r="A489" s="0" t="s">
        <v>2816</v>
      </c>
      <c r="B489" s="18" t="s">
        <v>109</v>
      </c>
      <c r="C489" s="19" t="s">
        <v>26</v>
      </c>
      <c r="D489" s="20" t="s">
        <v>31</v>
      </c>
      <c r="E489" s="21" t="s">
        <v>2817</v>
      </c>
      <c r="G489" s="21" t="s">
        <v>111</v>
      </c>
      <c r="H489" s="21" t="s">
        <v>887</v>
      </c>
      <c r="I489" s="21" t="s">
        <v>113</v>
      </c>
      <c r="J489" s="21" t="s">
        <v>134</v>
      </c>
      <c r="K489" s="0" t="n">
        <v>4</v>
      </c>
      <c r="L489" s="0" t="n">
        <v>0</v>
      </c>
      <c r="M489" s="0" t="n">
        <v>3</v>
      </c>
      <c r="N489" s="0" t="n">
        <v>1</v>
      </c>
      <c r="O489" s="0" t="n">
        <v>0</v>
      </c>
      <c r="P489" s="0" t="n">
        <v>3</v>
      </c>
      <c r="Q489" s="0" t="n">
        <v>0</v>
      </c>
      <c r="R489" s="0" t="n">
        <v>0</v>
      </c>
      <c r="S489" s="0" t="n">
        <v>3</v>
      </c>
      <c r="T489" s="0" t="n">
        <v>1</v>
      </c>
      <c r="U489" s="21" t="s">
        <v>2818</v>
      </c>
      <c r="V489" s="21" t="s">
        <v>69</v>
      </c>
      <c r="W489" s="21" t="s">
        <v>672</v>
      </c>
      <c r="X489" s="0" t="n">
        <v>1.91</v>
      </c>
      <c r="Y489" s="0" t="n">
        <v>6.2</v>
      </c>
      <c r="Z489" s="0" t="n">
        <v>50.6</v>
      </c>
      <c r="AA489" s="21" t="s">
        <v>2819</v>
      </c>
      <c r="AB489" s="21" t="s">
        <v>2820</v>
      </c>
      <c r="AC489" s="21" t="s">
        <v>120</v>
      </c>
      <c r="AD489" s="0" t="n">
        <v>95</v>
      </c>
      <c r="AE489" s="22" t="b">
        <f aca="false">FALSE()</f>
        <v>0</v>
      </c>
      <c r="AF489" s="21" t="s">
        <v>121</v>
      </c>
      <c r="AG489" s="21" t="s">
        <v>2821</v>
      </c>
    </row>
    <row r="490" customFormat="false" ht="15" hidden="false" customHeight="false" outlineLevel="0" collapsed="false">
      <c r="A490" s="0" t="s">
        <v>2822</v>
      </c>
      <c r="B490" s="18" t="s">
        <v>109</v>
      </c>
      <c r="C490" s="19" t="s">
        <v>26</v>
      </c>
      <c r="D490" s="20" t="s">
        <v>31</v>
      </c>
      <c r="E490" s="21" t="s">
        <v>2823</v>
      </c>
      <c r="G490" s="21" t="s">
        <v>111</v>
      </c>
      <c r="H490" s="21" t="s">
        <v>439</v>
      </c>
      <c r="I490" s="21" t="s">
        <v>113</v>
      </c>
      <c r="J490" s="21" t="s">
        <v>114</v>
      </c>
      <c r="K490" s="0" t="n">
        <v>8</v>
      </c>
      <c r="L490" s="0" t="n">
        <v>5</v>
      </c>
      <c r="M490" s="0" t="n">
        <v>1</v>
      </c>
      <c r="N490" s="0" t="n">
        <v>2</v>
      </c>
      <c r="O490" s="0" t="n">
        <v>0</v>
      </c>
      <c r="P490" s="0" t="n">
        <v>6</v>
      </c>
      <c r="Q490" s="0" t="n">
        <v>2</v>
      </c>
      <c r="R490" s="0" t="n">
        <v>0</v>
      </c>
      <c r="S490" s="0" t="n">
        <v>4</v>
      </c>
      <c r="T490" s="0" t="n">
        <v>2</v>
      </c>
      <c r="U490" s="21" t="s">
        <v>2824</v>
      </c>
      <c r="V490" s="21" t="s">
        <v>69</v>
      </c>
      <c r="W490" s="21" t="s">
        <v>136</v>
      </c>
      <c r="X490" s="0" t="n">
        <v>5.01</v>
      </c>
      <c r="Y490" s="0" t="n">
        <v>16.7</v>
      </c>
      <c r="Z490" s="0" t="n">
        <v>97.6</v>
      </c>
      <c r="AA490" s="21" t="s">
        <v>2825</v>
      </c>
      <c r="AB490" s="21" t="s">
        <v>2826</v>
      </c>
      <c r="AC490" s="21" t="s">
        <v>120</v>
      </c>
      <c r="AD490" s="0" t="n">
        <v>195</v>
      </c>
      <c r="AE490" s="22" t="b">
        <f aca="false">FALSE()</f>
        <v>0</v>
      </c>
      <c r="AF490" s="21" t="s">
        <v>121</v>
      </c>
      <c r="AG490" s="21" t="s">
        <v>2827</v>
      </c>
    </row>
    <row r="491" customFormat="false" ht="15" hidden="false" customHeight="false" outlineLevel="0" collapsed="false">
      <c r="A491" s="0" t="s">
        <v>2828</v>
      </c>
      <c r="B491" s="20" t="s">
        <v>124</v>
      </c>
      <c r="E491" s="21" t="s">
        <v>2829</v>
      </c>
      <c r="F491" s="21" t="s">
        <v>2830</v>
      </c>
      <c r="G491" s="21" t="s">
        <v>127</v>
      </c>
      <c r="H491" s="21" t="s">
        <v>575</v>
      </c>
      <c r="I491" s="21" t="s">
        <v>113</v>
      </c>
      <c r="Z491" s="0" t="n">
        <v>0</v>
      </c>
      <c r="AA491" s="21" t="s">
        <v>2831</v>
      </c>
      <c r="AB491" s="21" t="s">
        <v>2831</v>
      </c>
      <c r="AE491" s="22" t="b">
        <f aca="false">FALSE()</f>
        <v>0</v>
      </c>
      <c r="AF491" s="21" t="s">
        <v>121</v>
      </c>
      <c r="AG491" s="21" t="s">
        <v>2832</v>
      </c>
    </row>
    <row r="492" customFormat="false" ht="15" hidden="false" customHeight="false" outlineLevel="0" collapsed="false">
      <c r="A492" s="0" t="s">
        <v>2833</v>
      </c>
      <c r="B492" s="20" t="s">
        <v>124</v>
      </c>
      <c r="E492" s="21" t="s">
        <v>805</v>
      </c>
      <c r="F492" s="21" t="s">
        <v>806</v>
      </c>
      <c r="G492" s="21" t="s">
        <v>111</v>
      </c>
      <c r="H492" s="21" t="s">
        <v>289</v>
      </c>
      <c r="I492" s="21" t="s">
        <v>113</v>
      </c>
      <c r="Z492" s="0" t="n">
        <v>0</v>
      </c>
      <c r="AA492" s="21" t="s">
        <v>2834</v>
      </c>
      <c r="AB492" s="21" t="s">
        <v>2834</v>
      </c>
      <c r="AE492" s="22" t="b">
        <f aca="false">FALSE()</f>
        <v>0</v>
      </c>
      <c r="AF492" s="21" t="s">
        <v>121</v>
      </c>
      <c r="AG492" s="21" t="s">
        <v>2835</v>
      </c>
    </row>
    <row r="493" customFormat="false" ht="15" hidden="false" customHeight="false" outlineLevel="0" collapsed="false">
      <c r="A493" s="0" t="s">
        <v>2836</v>
      </c>
      <c r="B493" s="18" t="s">
        <v>109</v>
      </c>
      <c r="C493" s="19" t="s">
        <v>26</v>
      </c>
      <c r="D493" s="20" t="s">
        <v>31</v>
      </c>
      <c r="E493" s="21" t="s">
        <v>2837</v>
      </c>
      <c r="G493" s="21" t="s">
        <v>111</v>
      </c>
      <c r="H493" s="21" t="s">
        <v>953</v>
      </c>
      <c r="I493" s="21" t="s">
        <v>113</v>
      </c>
      <c r="J493" s="21" t="s">
        <v>134</v>
      </c>
      <c r="K493" s="0" t="n">
        <v>4</v>
      </c>
      <c r="L493" s="0" t="n">
        <v>1</v>
      </c>
      <c r="M493" s="0" t="n">
        <v>2</v>
      </c>
      <c r="N493" s="0" t="n">
        <v>1</v>
      </c>
      <c r="O493" s="0" t="n">
        <v>0</v>
      </c>
      <c r="P493" s="0" t="n">
        <v>3</v>
      </c>
      <c r="Q493" s="0" t="n">
        <v>1</v>
      </c>
      <c r="R493" s="0" t="n">
        <v>1</v>
      </c>
      <c r="S493" s="0" t="n">
        <v>1</v>
      </c>
      <c r="T493" s="0" t="n">
        <v>1</v>
      </c>
      <c r="U493" s="21" t="s">
        <v>2838</v>
      </c>
      <c r="V493" s="21" t="s">
        <v>69</v>
      </c>
      <c r="W493" s="21" t="s">
        <v>313</v>
      </c>
      <c r="X493" s="0" t="n">
        <v>1.77</v>
      </c>
      <c r="Y493" s="0" t="n">
        <v>17.8</v>
      </c>
      <c r="Z493" s="0" t="n">
        <v>52.7</v>
      </c>
      <c r="AA493" s="21" t="s">
        <v>2839</v>
      </c>
      <c r="AB493" s="21" t="s">
        <v>2840</v>
      </c>
      <c r="AC493" s="21" t="s">
        <v>120</v>
      </c>
      <c r="AD493" s="0" t="n">
        <v>97</v>
      </c>
      <c r="AE493" s="22" t="b">
        <f aca="false">FALSE()</f>
        <v>0</v>
      </c>
      <c r="AF493" s="21" t="s">
        <v>121</v>
      </c>
      <c r="AG493" s="21" t="s">
        <v>2841</v>
      </c>
    </row>
    <row r="494" customFormat="false" ht="15" hidden="false" customHeight="false" outlineLevel="0" collapsed="false">
      <c r="A494" s="0" t="s">
        <v>2842</v>
      </c>
      <c r="B494" s="20" t="s">
        <v>124</v>
      </c>
      <c r="E494" s="21" t="s">
        <v>805</v>
      </c>
      <c r="F494" s="21" t="s">
        <v>806</v>
      </c>
      <c r="G494" s="21" t="s">
        <v>111</v>
      </c>
      <c r="H494" s="21" t="s">
        <v>142</v>
      </c>
      <c r="I494" s="21" t="s">
        <v>113</v>
      </c>
      <c r="Z494" s="0" t="n">
        <v>0</v>
      </c>
      <c r="AA494" s="21" t="s">
        <v>2843</v>
      </c>
      <c r="AB494" s="21" t="s">
        <v>2843</v>
      </c>
      <c r="AE494" s="22" t="b">
        <f aca="false">FALSE()</f>
        <v>0</v>
      </c>
      <c r="AF494" s="21" t="s">
        <v>121</v>
      </c>
      <c r="AG494" s="21" t="s">
        <v>2844</v>
      </c>
    </row>
    <row r="495" customFormat="false" ht="15" hidden="false" customHeight="false" outlineLevel="0" collapsed="false">
      <c r="A495" s="0" t="s">
        <v>2845</v>
      </c>
      <c r="B495" s="20" t="s">
        <v>124</v>
      </c>
      <c r="E495" s="21" t="s">
        <v>2731</v>
      </c>
      <c r="F495" s="21" t="s">
        <v>2732</v>
      </c>
      <c r="G495" s="21" t="s">
        <v>127</v>
      </c>
      <c r="H495" s="21" t="s">
        <v>281</v>
      </c>
      <c r="I495" s="21" t="s">
        <v>113</v>
      </c>
      <c r="Z495" s="0" t="n">
        <v>0</v>
      </c>
      <c r="AA495" s="21" t="s">
        <v>2846</v>
      </c>
      <c r="AB495" s="21" t="s">
        <v>2846</v>
      </c>
      <c r="AE495" s="22" t="b">
        <f aca="false">FALSE()</f>
        <v>0</v>
      </c>
      <c r="AF495" s="21" t="s">
        <v>121</v>
      </c>
      <c r="AG495" s="21" t="s">
        <v>2847</v>
      </c>
    </row>
    <row r="496" customFormat="false" ht="15" hidden="false" customHeight="false" outlineLevel="0" collapsed="false">
      <c r="A496" s="0" t="s">
        <v>2848</v>
      </c>
      <c r="B496" s="18" t="s">
        <v>109</v>
      </c>
      <c r="C496" s="19" t="s">
        <v>26</v>
      </c>
      <c r="D496" s="20" t="s">
        <v>31</v>
      </c>
      <c r="E496" s="21" t="s">
        <v>2849</v>
      </c>
      <c r="G496" s="21" t="s">
        <v>111</v>
      </c>
      <c r="H496" s="21" t="s">
        <v>299</v>
      </c>
      <c r="I496" s="21" t="s">
        <v>113</v>
      </c>
      <c r="J496" s="21" t="s">
        <v>134</v>
      </c>
      <c r="K496" s="0" t="n">
        <v>4</v>
      </c>
      <c r="L496" s="0" t="n">
        <v>1</v>
      </c>
      <c r="M496" s="0" t="n">
        <v>2</v>
      </c>
      <c r="N496" s="0" t="n">
        <v>1</v>
      </c>
      <c r="O496" s="0" t="n">
        <v>0</v>
      </c>
      <c r="P496" s="0" t="n">
        <v>3</v>
      </c>
      <c r="Q496" s="0" t="n">
        <v>0</v>
      </c>
      <c r="R496" s="0" t="n">
        <v>0</v>
      </c>
      <c r="S496" s="0" t="n">
        <v>3</v>
      </c>
      <c r="T496" s="0" t="n">
        <v>1</v>
      </c>
      <c r="U496" s="21" t="s">
        <v>2850</v>
      </c>
      <c r="V496" s="21" t="s">
        <v>69</v>
      </c>
      <c r="W496" s="21" t="s">
        <v>136</v>
      </c>
      <c r="X496" s="0" t="n">
        <v>6.52</v>
      </c>
      <c r="Y496" s="0" t="n">
        <v>11</v>
      </c>
      <c r="Z496" s="0" t="n">
        <v>52.9</v>
      </c>
      <c r="AA496" s="21" t="s">
        <v>2851</v>
      </c>
      <c r="AB496" s="21" t="s">
        <v>2852</v>
      </c>
      <c r="AC496" s="21" t="s">
        <v>120</v>
      </c>
      <c r="AD496" s="0" t="n">
        <v>96</v>
      </c>
      <c r="AE496" s="22" t="b">
        <f aca="false">FALSE()</f>
        <v>0</v>
      </c>
      <c r="AF496" s="21" t="s">
        <v>121</v>
      </c>
      <c r="AG496" s="21" t="s">
        <v>2853</v>
      </c>
    </row>
    <row r="497" customFormat="false" ht="15" hidden="false" customHeight="false" outlineLevel="0" collapsed="false">
      <c r="A497" s="0" t="s">
        <v>2854</v>
      </c>
      <c r="B497" s="18" t="s">
        <v>109</v>
      </c>
      <c r="C497" s="20" t="s">
        <v>25</v>
      </c>
      <c r="D497" s="23" t="s">
        <v>30</v>
      </c>
      <c r="E497" s="21" t="s">
        <v>2855</v>
      </c>
      <c r="G497" s="21" t="s">
        <v>111</v>
      </c>
      <c r="H497" s="21" t="s">
        <v>195</v>
      </c>
      <c r="I497" s="21" t="s">
        <v>113</v>
      </c>
      <c r="J497" s="21" t="s">
        <v>114</v>
      </c>
      <c r="K497" s="0" t="n">
        <v>8</v>
      </c>
      <c r="L497" s="0" t="n">
        <v>3</v>
      </c>
      <c r="M497" s="0" t="n">
        <v>5</v>
      </c>
      <c r="N497" s="0" t="n">
        <v>0</v>
      </c>
      <c r="O497" s="0" t="n">
        <v>0</v>
      </c>
      <c r="P497" s="0" t="n">
        <v>8</v>
      </c>
      <c r="Q497" s="0" t="n">
        <v>0</v>
      </c>
      <c r="R497" s="0" t="n">
        <v>0</v>
      </c>
      <c r="S497" s="0" t="n">
        <v>8</v>
      </c>
      <c r="T497" s="0" t="n">
        <v>0</v>
      </c>
      <c r="U497" s="21" t="s">
        <v>2856</v>
      </c>
      <c r="V497" s="21" t="s">
        <v>69</v>
      </c>
      <c r="W497" s="21" t="s">
        <v>183</v>
      </c>
      <c r="X497" s="0" t="n">
        <v>8.28</v>
      </c>
      <c r="Y497" s="0" t="n">
        <v>12.6</v>
      </c>
      <c r="Z497" s="0" t="n">
        <v>92.9</v>
      </c>
      <c r="AA497" s="21" t="s">
        <v>2857</v>
      </c>
      <c r="AB497" s="21" t="s">
        <v>2858</v>
      </c>
      <c r="AC497" s="21" t="s">
        <v>120</v>
      </c>
      <c r="AD497" s="0" t="n">
        <v>196</v>
      </c>
      <c r="AE497" s="22" t="b">
        <f aca="false">FALSE()</f>
        <v>0</v>
      </c>
      <c r="AF497" s="21" t="s">
        <v>121</v>
      </c>
      <c r="AG497" s="21" t="s">
        <v>2859</v>
      </c>
    </row>
    <row r="498" customFormat="false" ht="15" hidden="false" customHeight="false" outlineLevel="0" collapsed="false">
      <c r="A498" s="0" t="s">
        <v>2860</v>
      </c>
      <c r="B498" s="18" t="s">
        <v>109</v>
      </c>
      <c r="C498" s="19" t="s">
        <v>26</v>
      </c>
      <c r="D498" s="20" t="s">
        <v>31</v>
      </c>
      <c r="E498" s="21" t="s">
        <v>2861</v>
      </c>
      <c r="G498" s="21" t="s">
        <v>127</v>
      </c>
      <c r="H498" s="21" t="s">
        <v>953</v>
      </c>
      <c r="I498" s="21" t="s">
        <v>113</v>
      </c>
      <c r="J498" s="21" t="s">
        <v>114</v>
      </c>
      <c r="K498" s="0" t="n">
        <v>8</v>
      </c>
      <c r="L498" s="0" t="n">
        <v>2</v>
      </c>
      <c r="M498" s="0" t="n">
        <v>5</v>
      </c>
      <c r="N498" s="0" t="n">
        <v>1</v>
      </c>
      <c r="O498" s="0" t="n">
        <v>0</v>
      </c>
      <c r="P498" s="0" t="n">
        <v>7</v>
      </c>
      <c r="Q498" s="0" t="n">
        <v>0</v>
      </c>
      <c r="R498" s="0" t="n">
        <v>0</v>
      </c>
      <c r="S498" s="0" t="n">
        <v>7</v>
      </c>
      <c r="T498" s="0" t="n">
        <v>1</v>
      </c>
      <c r="U498" s="21" t="s">
        <v>2862</v>
      </c>
      <c r="V498" s="21" t="s">
        <v>69</v>
      </c>
      <c r="W498" s="21" t="s">
        <v>433</v>
      </c>
      <c r="X498" s="0" t="n">
        <v>1.29</v>
      </c>
      <c r="Y498" s="0" t="n">
        <v>15</v>
      </c>
      <c r="Z498" s="0" t="n">
        <v>90</v>
      </c>
      <c r="AA498" s="21" t="s">
        <v>2863</v>
      </c>
      <c r="AB498" s="21" t="s">
        <v>2864</v>
      </c>
      <c r="AC498" s="21" t="s">
        <v>120</v>
      </c>
      <c r="AD498" s="0" t="n">
        <v>192</v>
      </c>
      <c r="AE498" s="22" t="b">
        <f aca="false">FALSE()</f>
        <v>0</v>
      </c>
      <c r="AF498" s="21" t="s">
        <v>121</v>
      </c>
      <c r="AG498" s="21" t="s">
        <v>2865</v>
      </c>
    </row>
    <row r="499" customFormat="false" ht="15" hidden="false" customHeight="false" outlineLevel="0" collapsed="false">
      <c r="A499" s="0" t="s">
        <v>2866</v>
      </c>
      <c r="B499" s="18" t="s">
        <v>109</v>
      </c>
      <c r="C499" s="19" t="s">
        <v>26</v>
      </c>
      <c r="D499" s="20" t="s">
        <v>31</v>
      </c>
      <c r="E499" s="21" t="s">
        <v>2867</v>
      </c>
      <c r="G499" s="21" t="s">
        <v>111</v>
      </c>
      <c r="H499" s="21" t="s">
        <v>575</v>
      </c>
      <c r="I499" s="21" t="s">
        <v>113</v>
      </c>
      <c r="J499" s="21" t="s">
        <v>114</v>
      </c>
      <c r="K499" s="0" t="n">
        <v>8</v>
      </c>
      <c r="L499" s="0" t="n">
        <v>3</v>
      </c>
      <c r="M499" s="0" t="n">
        <v>3</v>
      </c>
      <c r="N499" s="0" t="n">
        <v>2</v>
      </c>
      <c r="O499" s="0" t="n">
        <v>0</v>
      </c>
      <c r="P499" s="0" t="n">
        <v>6</v>
      </c>
      <c r="Q499" s="0" t="n">
        <v>2</v>
      </c>
      <c r="R499" s="0" t="n">
        <v>1</v>
      </c>
      <c r="S499" s="0" t="n">
        <v>3</v>
      </c>
      <c r="T499" s="0" t="n">
        <v>2</v>
      </c>
      <c r="U499" s="21" t="s">
        <v>2868</v>
      </c>
      <c r="V499" s="21" t="s">
        <v>116</v>
      </c>
      <c r="W499" s="21" t="s">
        <v>2869</v>
      </c>
      <c r="X499" s="0" t="n">
        <v>5.22</v>
      </c>
      <c r="Y499" s="0" t="n">
        <v>3.7</v>
      </c>
      <c r="Z499" s="0" t="n">
        <v>97.5</v>
      </c>
      <c r="AA499" s="21" t="s">
        <v>2870</v>
      </c>
      <c r="AB499" s="21" t="s">
        <v>2871</v>
      </c>
      <c r="AC499" s="21" t="s">
        <v>120</v>
      </c>
      <c r="AD499" s="0" t="n">
        <v>215</v>
      </c>
      <c r="AE499" s="22" t="b">
        <f aca="false">FALSE()</f>
        <v>0</v>
      </c>
      <c r="AF499" s="21" t="s">
        <v>121</v>
      </c>
      <c r="AG499" s="21" t="s">
        <v>2872</v>
      </c>
    </row>
    <row r="500" customFormat="false" ht="15" hidden="false" customHeight="false" outlineLevel="0" collapsed="false">
      <c r="A500" s="0" t="s">
        <v>2873</v>
      </c>
      <c r="B500" s="18" t="s">
        <v>109</v>
      </c>
      <c r="C500" s="19" t="s">
        <v>26</v>
      </c>
      <c r="D500" s="20" t="s">
        <v>31</v>
      </c>
      <c r="E500" s="21" t="s">
        <v>2874</v>
      </c>
      <c r="G500" s="21" t="s">
        <v>111</v>
      </c>
      <c r="H500" s="21" t="s">
        <v>439</v>
      </c>
      <c r="I500" s="21" t="s">
        <v>113</v>
      </c>
      <c r="J500" s="21" t="s">
        <v>134</v>
      </c>
      <c r="K500" s="0" t="n">
        <v>4</v>
      </c>
      <c r="L500" s="0" t="n">
        <v>0</v>
      </c>
      <c r="M500" s="0" t="n">
        <v>3</v>
      </c>
      <c r="N500" s="0" t="n">
        <v>1</v>
      </c>
      <c r="O500" s="0" t="n">
        <v>0</v>
      </c>
      <c r="P500" s="0" t="n">
        <v>3</v>
      </c>
      <c r="Q500" s="0" t="n">
        <v>0</v>
      </c>
      <c r="R500" s="0" t="n">
        <v>0</v>
      </c>
      <c r="S500" s="0" t="n">
        <v>3</v>
      </c>
      <c r="T500" s="0" t="n">
        <v>1</v>
      </c>
      <c r="U500" s="21" t="s">
        <v>2875</v>
      </c>
      <c r="V500" s="21" t="s">
        <v>70</v>
      </c>
      <c r="W500" s="21" t="s">
        <v>136</v>
      </c>
      <c r="X500" s="0" t="n">
        <v>4.97</v>
      </c>
      <c r="Y500" s="0" t="n">
        <v>7</v>
      </c>
      <c r="Z500" s="0" t="n">
        <v>51.3</v>
      </c>
      <c r="AA500" s="21" t="s">
        <v>2876</v>
      </c>
      <c r="AB500" s="21" t="s">
        <v>2877</v>
      </c>
      <c r="AC500" s="21" t="s">
        <v>120</v>
      </c>
      <c r="AD500" s="0" t="n">
        <v>97</v>
      </c>
      <c r="AE500" s="22" t="b">
        <f aca="false">FALSE()</f>
        <v>0</v>
      </c>
      <c r="AF500" s="21" t="s">
        <v>121</v>
      </c>
      <c r="AG500" s="21" t="s">
        <v>2878</v>
      </c>
    </row>
    <row r="501" customFormat="false" ht="15" hidden="false" customHeight="false" outlineLevel="0" collapsed="false">
      <c r="A501" s="0" t="s">
        <v>2879</v>
      </c>
      <c r="B501" s="18" t="s">
        <v>109</v>
      </c>
      <c r="C501" s="20" t="s">
        <v>25</v>
      </c>
      <c r="D501" s="23" t="s">
        <v>30</v>
      </c>
      <c r="E501" s="21" t="s">
        <v>2880</v>
      </c>
      <c r="G501" s="21" t="s">
        <v>127</v>
      </c>
      <c r="H501" s="21" t="s">
        <v>217</v>
      </c>
      <c r="I501" s="21" t="s">
        <v>113</v>
      </c>
      <c r="J501" s="21" t="s">
        <v>134</v>
      </c>
      <c r="K501" s="0" t="n">
        <v>4</v>
      </c>
      <c r="L501" s="0" t="n">
        <v>0</v>
      </c>
      <c r="M501" s="0" t="n">
        <v>4</v>
      </c>
      <c r="N501" s="0" t="n">
        <v>0</v>
      </c>
      <c r="O501" s="0" t="n">
        <v>0</v>
      </c>
      <c r="P501" s="0" t="n">
        <v>4</v>
      </c>
      <c r="Q501" s="0" t="n">
        <v>0</v>
      </c>
      <c r="R501" s="0" t="n">
        <v>0</v>
      </c>
      <c r="S501" s="0" t="n">
        <v>4</v>
      </c>
      <c r="T501" s="0" t="n">
        <v>0</v>
      </c>
      <c r="U501" s="21" t="s">
        <v>2881</v>
      </c>
      <c r="V501" s="21" t="s">
        <v>69</v>
      </c>
      <c r="W501" s="21" t="s">
        <v>163</v>
      </c>
      <c r="X501" s="0" t="n">
        <v>3.01</v>
      </c>
      <c r="Y501" s="0" t="n">
        <v>20.6</v>
      </c>
      <c r="Z501" s="0" t="n">
        <v>50.3</v>
      </c>
      <c r="AA501" s="21" t="s">
        <v>2882</v>
      </c>
      <c r="AB501" s="21" t="s">
        <v>2883</v>
      </c>
      <c r="AC501" s="21" t="s">
        <v>120</v>
      </c>
      <c r="AD501" s="0" t="n">
        <v>95</v>
      </c>
      <c r="AE501" s="22" t="b">
        <f aca="false">FALSE()</f>
        <v>0</v>
      </c>
      <c r="AF501" s="21" t="s">
        <v>121</v>
      </c>
      <c r="AG501" s="21" t="s">
        <v>2884</v>
      </c>
    </row>
    <row r="502" customFormat="false" ht="15" hidden="false" customHeight="false" outlineLevel="0" collapsed="false">
      <c r="A502" s="0" t="s">
        <v>2885</v>
      </c>
      <c r="B502" s="18" t="s">
        <v>109</v>
      </c>
      <c r="C502" s="20" t="s">
        <v>25</v>
      </c>
      <c r="D502" s="23" t="s">
        <v>30</v>
      </c>
      <c r="E502" s="21" t="s">
        <v>2886</v>
      </c>
      <c r="G502" s="21" t="s">
        <v>111</v>
      </c>
      <c r="H502" s="21" t="s">
        <v>203</v>
      </c>
      <c r="I502" s="21" t="s">
        <v>113</v>
      </c>
      <c r="J502" s="21" t="s">
        <v>134</v>
      </c>
      <c r="K502" s="0" t="n">
        <v>4</v>
      </c>
      <c r="L502" s="0" t="n">
        <v>0</v>
      </c>
      <c r="M502" s="0" t="n">
        <v>4</v>
      </c>
      <c r="N502" s="0" t="n">
        <v>0</v>
      </c>
      <c r="O502" s="0" t="n">
        <v>0</v>
      </c>
      <c r="P502" s="0" t="n">
        <v>4</v>
      </c>
      <c r="Q502" s="0" t="n">
        <v>0</v>
      </c>
      <c r="R502" s="0" t="n">
        <v>0</v>
      </c>
      <c r="S502" s="0" t="n">
        <v>4</v>
      </c>
      <c r="T502" s="0" t="n">
        <v>0</v>
      </c>
      <c r="U502" s="21" t="s">
        <v>2887</v>
      </c>
      <c r="V502" s="21" t="s">
        <v>69</v>
      </c>
      <c r="W502" s="21" t="s">
        <v>1809</v>
      </c>
      <c r="X502" s="0" t="n">
        <v>15.6</v>
      </c>
      <c r="Y502" s="0" t="n">
        <v>19.7</v>
      </c>
      <c r="Z502" s="0" t="n">
        <v>50.8</v>
      </c>
      <c r="AA502" s="21" t="s">
        <v>2888</v>
      </c>
      <c r="AB502" s="21" t="s">
        <v>2889</v>
      </c>
      <c r="AC502" s="21" t="s">
        <v>120</v>
      </c>
      <c r="AD502" s="0" t="n">
        <v>95</v>
      </c>
      <c r="AE502" s="22" t="b">
        <f aca="false">FALSE()</f>
        <v>0</v>
      </c>
      <c r="AF502" s="21" t="s">
        <v>121</v>
      </c>
      <c r="AG502" s="21" t="s">
        <v>2890</v>
      </c>
    </row>
    <row r="503" customFormat="false" ht="15" hidden="false" customHeight="false" outlineLevel="0" collapsed="false">
      <c r="A503" s="0" t="s">
        <v>2891</v>
      </c>
      <c r="B503" s="18" t="s">
        <v>109</v>
      </c>
      <c r="C503" s="19" t="s">
        <v>26</v>
      </c>
      <c r="D503" s="20" t="s">
        <v>31</v>
      </c>
      <c r="E503" s="21" t="s">
        <v>2892</v>
      </c>
      <c r="G503" s="21" t="s">
        <v>111</v>
      </c>
      <c r="H503" s="21" t="s">
        <v>1431</v>
      </c>
      <c r="I503" s="21" t="s">
        <v>113</v>
      </c>
      <c r="J503" s="21" t="s">
        <v>114</v>
      </c>
      <c r="K503" s="0" t="n">
        <v>8</v>
      </c>
      <c r="L503" s="0" t="n">
        <v>2</v>
      </c>
      <c r="M503" s="0" t="n">
        <v>4</v>
      </c>
      <c r="N503" s="0" t="n">
        <v>2</v>
      </c>
      <c r="O503" s="0" t="n">
        <v>0</v>
      </c>
      <c r="P503" s="0" t="n">
        <v>6</v>
      </c>
      <c r="Q503" s="0" t="n">
        <v>0</v>
      </c>
      <c r="R503" s="0" t="n">
        <v>1</v>
      </c>
      <c r="S503" s="0" t="n">
        <v>5</v>
      </c>
      <c r="T503" s="0" t="n">
        <v>2</v>
      </c>
      <c r="U503" s="21" t="s">
        <v>2893</v>
      </c>
      <c r="V503" s="21" t="s">
        <v>69</v>
      </c>
      <c r="W503" s="21" t="s">
        <v>301</v>
      </c>
      <c r="X503" s="0" t="n">
        <v>2.45</v>
      </c>
      <c r="Y503" s="0" t="n">
        <v>21.5</v>
      </c>
      <c r="Z503" s="0" t="n">
        <v>104</v>
      </c>
      <c r="AA503" s="21" t="s">
        <v>2894</v>
      </c>
      <c r="AB503" s="21" t="s">
        <v>2895</v>
      </c>
      <c r="AC503" s="21" t="s">
        <v>120</v>
      </c>
      <c r="AD503" s="0" t="n">
        <v>193</v>
      </c>
      <c r="AE503" s="22" t="b">
        <f aca="false">FALSE()</f>
        <v>0</v>
      </c>
      <c r="AF503" s="21" t="s">
        <v>121</v>
      </c>
      <c r="AG503" s="21" t="s">
        <v>2896</v>
      </c>
    </row>
    <row r="504" customFormat="false" ht="15" hidden="false" customHeight="false" outlineLevel="0" collapsed="false">
      <c r="A504" s="0" t="s">
        <v>2897</v>
      </c>
      <c r="B504" s="18" t="s">
        <v>109</v>
      </c>
      <c r="C504" s="19" t="s">
        <v>26</v>
      </c>
      <c r="D504" s="20" t="s">
        <v>31</v>
      </c>
      <c r="E504" s="21" t="s">
        <v>2898</v>
      </c>
      <c r="G504" s="21" t="s">
        <v>111</v>
      </c>
      <c r="H504" s="21" t="s">
        <v>151</v>
      </c>
      <c r="I504" s="21" t="s">
        <v>113</v>
      </c>
      <c r="J504" s="21" t="s">
        <v>114</v>
      </c>
      <c r="K504" s="0" t="n">
        <v>8</v>
      </c>
      <c r="L504" s="0" t="n">
        <v>2</v>
      </c>
      <c r="M504" s="0" t="n">
        <v>5</v>
      </c>
      <c r="N504" s="0" t="n">
        <v>1</v>
      </c>
      <c r="O504" s="0" t="n">
        <v>0</v>
      </c>
      <c r="P504" s="0" t="n">
        <v>7</v>
      </c>
      <c r="Q504" s="0" t="n">
        <v>1</v>
      </c>
      <c r="R504" s="0" t="n">
        <v>2</v>
      </c>
      <c r="S504" s="0" t="n">
        <v>4</v>
      </c>
      <c r="T504" s="0" t="n">
        <v>1</v>
      </c>
      <c r="U504" s="21" t="s">
        <v>2899</v>
      </c>
      <c r="V504" s="21" t="s">
        <v>69</v>
      </c>
      <c r="W504" s="21" t="s">
        <v>224</v>
      </c>
      <c r="X504" s="0" t="n">
        <v>3.2</v>
      </c>
      <c r="Y504" s="0" t="n">
        <v>11.9</v>
      </c>
      <c r="Z504" s="0" t="n">
        <v>93.4</v>
      </c>
      <c r="AA504" s="21" t="s">
        <v>2900</v>
      </c>
      <c r="AB504" s="21" t="s">
        <v>2901</v>
      </c>
      <c r="AC504" s="21" t="s">
        <v>120</v>
      </c>
      <c r="AD504" s="0" t="n">
        <v>195</v>
      </c>
      <c r="AE504" s="22" t="b">
        <f aca="false">FALSE()</f>
        <v>0</v>
      </c>
      <c r="AF504" s="21" t="s">
        <v>121</v>
      </c>
      <c r="AG504" s="21" t="s">
        <v>2902</v>
      </c>
    </row>
    <row r="505" customFormat="false" ht="15" hidden="false" customHeight="false" outlineLevel="0" collapsed="false">
      <c r="A505" s="0" t="s">
        <v>2903</v>
      </c>
      <c r="B505" s="18" t="s">
        <v>109</v>
      </c>
      <c r="C505" s="19" t="s">
        <v>26</v>
      </c>
      <c r="D505" s="20" t="s">
        <v>31</v>
      </c>
      <c r="E505" s="21" t="s">
        <v>2904</v>
      </c>
      <c r="G505" s="21" t="s">
        <v>111</v>
      </c>
      <c r="H505" s="21" t="s">
        <v>390</v>
      </c>
      <c r="I505" s="21" t="s">
        <v>171</v>
      </c>
      <c r="J505" s="21" t="s">
        <v>134</v>
      </c>
      <c r="K505" s="0" t="n">
        <v>4</v>
      </c>
      <c r="L505" s="0" t="n">
        <v>0</v>
      </c>
      <c r="M505" s="0" t="n">
        <v>2</v>
      </c>
      <c r="N505" s="0" t="n">
        <v>2</v>
      </c>
      <c r="O505" s="0" t="n">
        <v>0</v>
      </c>
      <c r="P505" s="0" t="n">
        <v>2</v>
      </c>
      <c r="Q505" s="0" t="n">
        <v>0</v>
      </c>
      <c r="R505" s="0" t="n">
        <v>0</v>
      </c>
      <c r="S505" s="0" t="n">
        <v>2</v>
      </c>
      <c r="T505" s="0" t="n">
        <v>2</v>
      </c>
      <c r="U505" s="21" t="s">
        <v>2905</v>
      </c>
      <c r="V505" s="21" t="s">
        <v>69</v>
      </c>
      <c r="W505" s="21" t="s">
        <v>313</v>
      </c>
      <c r="X505" s="0" t="n">
        <v>2.46</v>
      </c>
      <c r="Y505" s="0" t="n">
        <v>20.4</v>
      </c>
      <c r="Z505" s="0" t="n">
        <v>51.9</v>
      </c>
      <c r="AA505" s="21" t="s">
        <v>2906</v>
      </c>
      <c r="AB505" s="21" t="s">
        <v>2907</v>
      </c>
      <c r="AC505" s="21" t="s">
        <v>120</v>
      </c>
      <c r="AD505" s="0" t="n">
        <v>97</v>
      </c>
      <c r="AE505" s="22" t="b">
        <f aca="false">FALSE()</f>
        <v>0</v>
      </c>
      <c r="AF505" s="21" t="s">
        <v>121</v>
      </c>
      <c r="AG505" s="21" t="s">
        <v>2908</v>
      </c>
    </row>
    <row r="506" customFormat="false" ht="15" hidden="false" customHeight="false" outlineLevel="0" collapsed="false">
      <c r="A506" s="0" t="s">
        <v>2909</v>
      </c>
      <c r="B506" s="20" t="s">
        <v>124</v>
      </c>
      <c r="E506" s="21" t="s">
        <v>306</v>
      </c>
      <c r="F506" s="21" t="s">
        <v>307</v>
      </c>
      <c r="G506" s="21" t="s">
        <v>111</v>
      </c>
      <c r="H506" s="21" t="s">
        <v>308</v>
      </c>
      <c r="I506" s="21" t="s">
        <v>113</v>
      </c>
      <c r="Z506" s="0" t="n">
        <v>0</v>
      </c>
      <c r="AA506" s="21" t="s">
        <v>2910</v>
      </c>
      <c r="AB506" s="21" t="s">
        <v>2910</v>
      </c>
      <c r="AE506" s="22" t="b">
        <f aca="false">FALSE()</f>
        <v>0</v>
      </c>
      <c r="AF506" s="21" t="s">
        <v>121</v>
      </c>
      <c r="AG506" s="21" t="s">
        <v>2911</v>
      </c>
    </row>
    <row r="507" customFormat="false" ht="15" hidden="false" customHeight="false" outlineLevel="0" collapsed="false">
      <c r="A507" s="0" t="s">
        <v>2912</v>
      </c>
      <c r="B507" s="20" t="s">
        <v>124</v>
      </c>
      <c r="E507" s="21" t="s">
        <v>805</v>
      </c>
      <c r="F507" s="21" t="s">
        <v>806</v>
      </c>
      <c r="G507" s="21" t="s">
        <v>127</v>
      </c>
      <c r="H507" s="21" t="s">
        <v>352</v>
      </c>
      <c r="I507" s="21" t="s">
        <v>113</v>
      </c>
      <c r="Z507" s="0" t="n">
        <v>0</v>
      </c>
      <c r="AA507" s="21" t="s">
        <v>2913</v>
      </c>
      <c r="AB507" s="21" t="s">
        <v>2913</v>
      </c>
      <c r="AE507" s="22" t="b">
        <f aca="false">FALSE()</f>
        <v>0</v>
      </c>
      <c r="AF507" s="21" t="s">
        <v>121</v>
      </c>
      <c r="AG507" s="21" t="s">
        <v>2914</v>
      </c>
    </row>
    <row r="508" customFormat="false" ht="15" hidden="false" customHeight="false" outlineLevel="0" collapsed="false">
      <c r="A508" s="0" t="s">
        <v>2915</v>
      </c>
      <c r="B508" s="18" t="s">
        <v>109</v>
      </c>
      <c r="C508" s="20" t="s">
        <v>25</v>
      </c>
      <c r="D508" s="23" t="s">
        <v>30</v>
      </c>
      <c r="E508" s="21" t="s">
        <v>2916</v>
      </c>
      <c r="G508" s="21" t="s">
        <v>111</v>
      </c>
      <c r="H508" s="21" t="s">
        <v>155</v>
      </c>
      <c r="I508" s="21" t="s">
        <v>113</v>
      </c>
      <c r="J508" s="21" t="s">
        <v>134</v>
      </c>
      <c r="K508" s="0" t="n">
        <v>4</v>
      </c>
      <c r="L508" s="0" t="n">
        <v>1</v>
      </c>
      <c r="M508" s="0" t="n">
        <v>3</v>
      </c>
      <c r="N508" s="0" t="n">
        <v>0</v>
      </c>
      <c r="O508" s="0" t="n">
        <v>0</v>
      </c>
      <c r="P508" s="0" t="n">
        <v>4</v>
      </c>
      <c r="Q508" s="0" t="n">
        <v>0</v>
      </c>
      <c r="R508" s="0" t="n">
        <v>3</v>
      </c>
      <c r="S508" s="0" t="n">
        <v>1</v>
      </c>
      <c r="T508" s="0" t="n">
        <v>0</v>
      </c>
      <c r="U508" s="21" t="s">
        <v>2917</v>
      </c>
      <c r="W508" s="21" t="s">
        <v>470</v>
      </c>
      <c r="X508" s="0" t="n">
        <v>3.27</v>
      </c>
      <c r="Y508" s="0" t="n">
        <v>14.9</v>
      </c>
      <c r="Z508" s="0" t="n">
        <v>52.2</v>
      </c>
      <c r="AA508" s="21" t="s">
        <v>2918</v>
      </c>
      <c r="AB508" s="21" t="s">
        <v>2919</v>
      </c>
      <c r="AC508" s="21" t="s">
        <v>120</v>
      </c>
      <c r="AD508" s="0" t="n">
        <v>96</v>
      </c>
      <c r="AE508" s="22" t="b">
        <f aca="false">FALSE()</f>
        <v>0</v>
      </c>
      <c r="AF508" s="21" t="s">
        <v>121</v>
      </c>
      <c r="AG508" s="21" t="s">
        <v>2920</v>
      </c>
    </row>
    <row r="509" customFormat="false" ht="15" hidden="false" customHeight="false" outlineLevel="0" collapsed="false">
      <c r="A509" s="0" t="s">
        <v>2921</v>
      </c>
      <c r="B509" s="18" t="s">
        <v>109</v>
      </c>
      <c r="C509" s="20" t="s">
        <v>25</v>
      </c>
      <c r="D509" s="23" t="s">
        <v>30</v>
      </c>
      <c r="E509" s="21" t="s">
        <v>2922</v>
      </c>
      <c r="G509" s="21" t="s">
        <v>111</v>
      </c>
      <c r="H509" s="21" t="s">
        <v>686</v>
      </c>
      <c r="I509" s="21" t="s">
        <v>113</v>
      </c>
      <c r="J509" s="21" t="s">
        <v>134</v>
      </c>
      <c r="K509" s="0" t="n">
        <v>4</v>
      </c>
      <c r="L509" s="0" t="n">
        <v>2</v>
      </c>
      <c r="M509" s="0" t="n">
        <v>2</v>
      </c>
      <c r="N509" s="0" t="n">
        <v>0</v>
      </c>
      <c r="O509" s="0" t="n">
        <v>0</v>
      </c>
      <c r="P509" s="0" t="n">
        <v>4</v>
      </c>
      <c r="Q509" s="0" t="n">
        <v>0</v>
      </c>
      <c r="R509" s="0" t="n">
        <v>0</v>
      </c>
      <c r="S509" s="0" t="n">
        <v>4</v>
      </c>
      <c r="T509" s="0" t="n">
        <v>0</v>
      </c>
      <c r="U509" s="21" t="s">
        <v>2923</v>
      </c>
      <c r="V509" s="21" t="s">
        <v>69</v>
      </c>
      <c r="W509" s="21" t="s">
        <v>283</v>
      </c>
      <c r="X509" s="0" t="n">
        <v>7.56</v>
      </c>
      <c r="Y509" s="0" t="n">
        <v>9.8</v>
      </c>
      <c r="Z509" s="0" t="n">
        <v>51.3</v>
      </c>
      <c r="AA509" s="21" t="s">
        <v>2924</v>
      </c>
      <c r="AB509" s="21" t="s">
        <v>2925</v>
      </c>
      <c r="AC509" s="21" t="s">
        <v>120</v>
      </c>
      <c r="AD509" s="0" t="n">
        <v>96</v>
      </c>
      <c r="AE509" s="22" t="b">
        <f aca="false">FALSE()</f>
        <v>0</v>
      </c>
      <c r="AF509" s="21" t="s">
        <v>121</v>
      </c>
      <c r="AG509" s="21" t="s">
        <v>2926</v>
      </c>
    </row>
    <row r="510" customFormat="false" ht="15" hidden="false" customHeight="false" outlineLevel="0" collapsed="false">
      <c r="A510" s="0" t="s">
        <v>2927</v>
      </c>
      <c r="B510" s="20" t="s">
        <v>124</v>
      </c>
      <c r="E510" s="21" t="s">
        <v>2928</v>
      </c>
      <c r="F510" s="21" t="s">
        <v>2929</v>
      </c>
      <c r="G510" s="21" t="s">
        <v>127</v>
      </c>
      <c r="H510" s="21" t="s">
        <v>2635</v>
      </c>
      <c r="I510" s="21" t="s">
        <v>113</v>
      </c>
      <c r="Z510" s="0" t="n">
        <v>0</v>
      </c>
      <c r="AA510" s="21" t="s">
        <v>2930</v>
      </c>
      <c r="AB510" s="21" t="s">
        <v>2930</v>
      </c>
      <c r="AE510" s="22" t="b">
        <f aca="false">FALSE()</f>
        <v>0</v>
      </c>
      <c r="AF510" s="21" t="s">
        <v>121</v>
      </c>
      <c r="AG510" s="21" t="s">
        <v>2931</v>
      </c>
    </row>
    <row r="511" customFormat="false" ht="15" hidden="false" customHeight="false" outlineLevel="0" collapsed="false">
      <c r="A511" s="0" t="s">
        <v>2932</v>
      </c>
      <c r="B511" s="18" t="s">
        <v>109</v>
      </c>
      <c r="C511" s="20" t="s">
        <v>25</v>
      </c>
      <c r="D511" s="23" t="s">
        <v>30</v>
      </c>
      <c r="E511" s="21" t="s">
        <v>2933</v>
      </c>
      <c r="G511" s="21" t="s">
        <v>111</v>
      </c>
      <c r="H511" s="21" t="s">
        <v>468</v>
      </c>
      <c r="I511" s="21" t="s">
        <v>113</v>
      </c>
      <c r="J511" s="21" t="s">
        <v>114</v>
      </c>
      <c r="K511" s="0" t="n">
        <v>8</v>
      </c>
      <c r="L511" s="0" t="n">
        <v>0</v>
      </c>
      <c r="M511" s="0" t="n">
        <v>8</v>
      </c>
      <c r="N511" s="0" t="n">
        <v>0</v>
      </c>
      <c r="O511" s="0" t="n">
        <v>0</v>
      </c>
      <c r="P511" s="0" t="n">
        <v>8</v>
      </c>
      <c r="Q511" s="0" t="n">
        <v>0</v>
      </c>
      <c r="R511" s="0" t="n">
        <v>4</v>
      </c>
      <c r="S511" s="0" t="n">
        <v>4</v>
      </c>
      <c r="T511" s="0" t="n">
        <v>0</v>
      </c>
      <c r="U511" s="21" t="s">
        <v>2934</v>
      </c>
      <c r="V511" s="21" t="s">
        <v>70</v>
      </c>
      <c r="W511" s="21" t="s">
        <v>294</v>
      </c>
      <c r="X511" s="0" t="n">
        <v>0.41</v>
      </c>
      <c r="Y511" s="0" t="n">
        <v>15.7</v>
      </c>
      <c r="Z511" s="0" t="n">
        <v>97.3</v>
      </c>
      <c r="AA511" s="21" t="s">
        <v>2935</v>
      </c>
      <c r="AB511" s="21" t="s">
        <v>2936</v>
      </c>
      <c r="AC511" s="21" t="s">
        <v>120</v>
      </c>
      <c r="AD511" s="0" t="n">
        <v>197</v>
      </c>
      <c r="AE511" s="22" t="b">
        <f aca="false">FALSE()</f>
        <v>0</v>
      </c>
      <c r="AF511" s="21" t="s">
        <v>121</v>
      </c>
      <c r="AG511" s="21" t="s">
        <v>2937</v>
      </c>
    </row>
    <row r="512" customFormat="false" ht="15" hidden="false" customHeight="false" outlineLevel="0" collapsed="false">
      <c r="A512" s="0" t="s">
        <v>2938</v>
      </c>
      <c r="B512" s="20" t="s">
        <v>124</v>
      </c>
      <c r="E512" s="21" t="s">
        <v>1331</v>
      </c>
      <c r="F512" s="21" t="s">
        <v>1332</v>
      </c>
      <c r="G512" s="21" t="s">
        <v>127</v>
      </c>
      <c r="H512" s="21" t="s">
        <v>765</v>
      </c>
      <c r="I512" s="21" t="s">
        <v>113</v>
      </c>
      <c r="Z512" s="0" t="n">
        <v>0</v>
      </c>
      <c r="AA512" s="21" t="s">
        <v>2939</v>
      </c>
      <c r="AB512" s="21" t="s">
        <v>2939</v>
      </c>
      <c r="AE512" s="22" t="b">
        <f aca="false">FALSE()</f>
        <v>0</v>
      </c>
      <c r="AF512" s="21" t="s">
        <v>121</v>
      </c>
      <c r="AG512" s="21" t="s">
        <v>2940</v>
      </c>
    </row>
    <row r="513" customFormat="false" ht="15" hidden="false" customHeight="false" outlineLevel="0" collapsed="false">
      <c r="A513" s="0" t="s">
        <v>2941</v>
      </c>
      <c r="B513" s="18" t="s">
        <v>109</v>
      </c>
      <c r="C513" s="20" t="s">
        <v>25</v>
      </c>
      <c r="D513" s="23" t="s">
        <v>30</v>
      </c>
      <c r="E513" s="21" t="s">
        <v>2942</v>
      </c>
      <c r="G513" s="21" t="s">
        <v>111</v>
      </c>
      <c r="H513" s="21" t="s">
        <v>390</v>
      </c>
      <c r="I513" s="21" t="s">
        <v>113</v>
      </c>
      <c r="J513" s="21" t="s">
        <v>114</v>
      </c>
      <c r="K513" s="0" t="n">
        <v>8</v>
      </c>
      <c r="L513" s="0" t="n">
        <v>4</v>
      </c>
      <c r="M513" s="0" t="n">
        <v>4</v>
      </c>
      <c r="N513" s="0" t="n">
        <v>0</v>
      </c>
      <c r="O513" s="0" t="n">
        <v>0</v>
      </c>
      <c r="P513" s="0" t="n">
        <v>8</v>
      </c>
      <c r="Q513" s="0" t="n">
        <v>1</v>
      </c>
      <c r="R513" s="0" t="n">
        <v>0</v>
      </c>
      <c r="S513" s="0" t="n">
        <v>7</v>
      </c>
      <c r="T513" s="0" t="n">
        <v>0</v>
      </c>
      <c r="U513" s="21" t="s">
        <v>2943</v>
      </c>
      <c r="V513" s="21" t="s">
        <v>69</v>
      </c>
      <c r="W513" s="21" t="s">
        <v>183</v>
      </c>
      <c r="X513" s="0" t="n">
        <v>7.37</v>
      </c>
      <c r="Y513" s="0" t="n">
        <v>11.9</v>
      </c>
      <c r="Z513" s="0" t="n">
        <v>110.4</v>
      </c>
      <c r="AA513" s="21" t="s">
        <v>2944</v>
      </c>
      <c r="AB513" s="21" t="s">
        <v>2945</v>
      </c>
      <c r="AC513" s="21" t="s">
        <v>120</v>
      </c>
      <c r="AD513" s="0" t="n">
        <v>194</v>
      </c>
      <c r="AE513" s="22" t="b">
        <f aca="false">FALSE()</f>
        <v>0</v>
      </c>
      <c r="AF513" s="21" t="s">
        <v>121</v>
      </c>
      <c r="AG513" s="21" t="s">
        <v>2946</v>
      </c>
    </row>
    <row r="514" customFormat="false" ht="15" hidden="false" customHeight="false" outlineLevel="0" collapsed="false">
      <c r="A514" s="0" t="s">
        <v>2947</v>
      </c>
      <c r="B514" s="18" t="s">
        <v>109</v>
      </c>
      <c r="C514" s="20" t="s">
        <v>25</v>
      </c>
      <c r="D514" s="23" t="s">
        <v>30</v>
      </c>
      <c r="E514" s="21" t="s">
        <v>2948</v>
      </c>
      <c r="G514" s="21" t="s">
        <v>111</v>
      </c>
      <c r="H514" s="21" t="s">
        <v>439</v>
      </c>
      <c r="I514" s="21" t="s">
        <v>113</v>
      </c>
      <c r="J514" s="21" t="s">
        <v>134</v>
      </c>
      <c r="K514" s="0" t="n">
        <v>4</v>
      </c>
      <c r="L514" s="0" t="n">
        <v>0</v>
      </c>
      <c r="M514" s="0" t="n">
        <v>4</v>
      </c>
      <c r="N514" s="0" t="n">
        <v>0</v>
      </c>
      <c r="O514" s="0" t="n">
        <v>0</v>
      </c>
      <c r="P514" s="0" t="n">
        <v>4</v>
      </c>
      <c r="Q514" s="0" t="n">
        <v>0</v>
      </c>
      <c r="R514" s="0" t="n">
        <v>1</v>
      </c>
      <c r="S514" s="0" t="n">
        <v>3</v>
      </c>
      <c r="T514" s="0" t="n">
        <v>0</v>
      </c>
      <c r="U514" s="21" t="s">
        <v>2949</v>
      </c>
      <c r="V514" s="21" t="s">
        <v>69</v>
      </c>
      <c r="W514" s="21" t="s">
        <v>183</v>
      </c>
      <c r="X514" s="0" t="n">
        <v>3.2</v>
      </c>
      <c r="Y514" s="0" t="n">
        <v>24.7</v>
      </c>
      <c r="Z514" s="0" t="n">
        <v>58.6</v>
      </c>
      <c r="AA514" s="21" t="s">
        <v>2950</v>
      </c>
      <c r="AB514" s="21" t="s">
        <v>2951</v>
      </c>
      <c r="AC514" s="21" t="s">
        <v>120</v>
      </c>
      <c r="AD514" s="0" t="n">
        <v>97</v>
      </c>
      <c r="AE514" s="22" t="b">
        <f aca="false">FALSE()</f>
        <v>0</v>
      </c>
      <c r="AF514" s="21" t="s">
        <v>121</v>
      </c>
      <c r="AG514" s="21" t="s">
        <v>2952</v>
      </c>
    </row>
    <row r="515" customFormat="false" ht="15" hidden="false" customHeight="false" outlineLevel="0" collapsed="false">
      <c r="A515" s="0" t="s">
        <v>2953</v>
      </c>
      <c r="B515" s="18" t="s">
        <v>109</v>
      </c>
      <c r="C515" s="19" t="s">
        <v>26</v>
      </c>
      <c r="D515" s="20" t="s">
        <v>31</v>
      </c>
      <c r="E515" s="21" t="s">
        <v>2954</v>
      </c>
      <c r="G515" s="21" t="s">
        <v>111</v>
      </c>
      <c r="H515" s="21" t="s">
        <v>151</v>
      </c>
      <c r="I515" s="21" t="s">
        <v>113</v>
      </c>
      <c r="J515" s="21" t="s">
        <v>134</v>
      </c>
      <c r="K515" s="0" t="n">
        <v>4</v>
      </c>
      <c r="L515" s="0" t="n">
        <v>0</v>
      </c>
      <c r="M515" s="0" t="n">
        <v>3</v>
      </c>
      <c r="N515" s="0" t="n">
        <v>1</v>
      </c>
      <c r="O515" s="0" t="n">
        <v>0</v>
      </c>
      <c r="P515" s="0" t="n">
        <v>3</v>
      </c>
      <c r="Q515" s="0" t="n">
        <v>0</v>
      </c>
      <c r="R515" s="0" t="n">
        <v>1</v>
      </c>
      <c r="S515" s="0" t="n">
        <v>2</v>
      </c>
      <c r="T515" s="0" t="n">
        <v>1</v>
      </c>
      <c r="U515" s="21" t="s">
        <v>2955</v>
      </c>
      <c r="W515" s="21" t="s">
        <v>1870</v>
      </c>
      <c r="X515" s="0" t="n">
        <v>2.07</v>
      </c>
      <c r="Y515" s="0" t="n">
        <v>11.8</v>
      </c>
      <c r="Z515" s="0" t="n">
        <v>60.5</v>
      </c>
      <c r="AA515" s="21" t="s">
        <v>2956</v>
      </c>
      <c r="AB515" s="21" t="s">
        <v>2957</v>
      </c>
      <c r="AC515" s="21" t="s">
        <v>120</v>
      </c>
      <c r="AD515" s="0" t="n">
        <v>101</v>
      </c>
      <c r="AE515" s="22" t="b">
        <f aca="false">FALSE()</f>
        <v>0</v>
      </c>
      <c r="AF515" s="21" t="s">
        <v>121</v>
      </c>
      <c r="AG515" s="21" t="s">
        <v>2958</v>
      </c>
    </row>
    <row r="516" customFormat="false" ht="15" hidden="false" customHeight="false" outlineLevel="0" collapsed="false">
      <c r="A516" s="0" t="s">
        <v>2959</v>
      </c>
      <c r="B516" s="18" t="s">
        <v>109</v>
      </c>
      <c r="C516" s="20" t="s">
        <v>25</v>
      </c>
      <c r="D516" s="23" t="s">
        <v>30</v>
      </c>
      <c r="E516" s="21" t="s">
        <v>2960</v>
      </c>
      <c r="G516" s="21" t="s">
        <v>111</v>
      </c>
      <c r="H516" s="21" t="s">
        <v>275</v>
      </c>
      <c r="I516" s="21" t="s">
        <v>113</v>
      </c>
      <c r="J516" s="21" t="s">
        <v>134</v>
      </c>
      <c r="K516" s="0" t="n">
        <v>4</v>
      </c>
      <c r="L516" s="0" t="n">
        <v>2</v>
      </c>
      <c r="M516" s="0" t="n">
        <v>2</v>
      </c>
      <c r="N516" s="0" t="n">
        <v>0</v>
      </c>
      <c r="O516" s="0" t="n">
        <v>0</v>
      </c>
      <c r="P516" s="0" t="n">
        <v>4</v>
      </c>
      <c r="Q516" s="0" t="n">
        <v>2</v>
      </c>
      <c r="R516" s="0" t="n">
        <v>0</v>
      </c>
      <c r="S516" s="0" t="n">
        <v>2</v>
      </c>
      <c r="T516" s="0" t="n">
        <v>0</v>
      </c>
      <c r="U516" s="21" t="s">
        <v>2961</v>
      </c>
      <c r="V516" s="21" t="s">
        <v>69</v>
      </c>
      <c r="W516" s="21" t="s">
        <v>183</v>
      </c>
      <c r="X516" s="0" t="n">
        <v>5.58</v>
      </c>
      <c r="Y516" s="0" t="n">
        <v>18.6</v>
      </c>
      <c r="Z516" s="0" t="n">
        <v>56.8</v>
      </c>
      <c r="AA516" s="21" t="s">
        <v>2962</v>
      </c>
      <c r="AB516" s="21" t="s">
        <v>2963</v>
      </c>
      <c r="AC516" s="21" t="s">
        <v>120</v>
      </c>
      <c r="AD516" s="0" t="n">
        <v>96</v>
      </c>
      <c r="AE516" s="22" t="b">
        <f aca="false">FALSE()</f>
        <v>0</v>
      </c>
      <c r="AF516" s="21" t="s">
        <v>121</v>
      </c>
      <c r="AG516" s="21" t="s">
        <v>2964</v>
      </c>
    </row>
    <row r="517" customFormat="false" ht="15" hidden="false" customHeight="false" outlineLevel="0" collapsed="false">
      <c r="A517" s="0" t="s">
        <v>2965</v>
      </c>
      <c r="B517" s="18" t="s">
        <v>109</v>
      </c>
      <c r="C517" s="20" t="s">
        <v>25</v>
      </c>
      <c r="D517" s="23" t="s">
        <v>30</v>
      </c>
      <c r="E517" s="21" t="s">
        <v>2966</v>
      </c>
      <c r="G517" s="21" t="s">
        <v>127</v>
      </c>
      <c r="H517" s="21" t="s">
        <v>352</v>
      </c>
      <c r="I517" s="21" t="s">
        <v>113</v>
      </c>
      <c r="J517" s="21" t="s">
        <v>114</v>
      </c>
      <c r="K517" s="0" t="n">
        <v>8</v>
      </c>
      <c r="L517" s="0" t="n">
        <v>5</v>
      </c>
      <c r="M517" s="0" t="n">
        <v>3</v>
      </c>
      <c r="N517" s="0" t="n">
        <v>0</v>
      </c>
      <c r="O517" s="0" t="n">
        <v>0</v>
      </c>
      <c r="P517" s="0" t="n">
        <v>8</v>
      </c>
      <c r="Q517" s="0" t="n">
        <v>1</v>
      </c>
      <c r="R517" s="0" t="n">
        <v>1</v>
      </c>
      <c r="S517" s="0" t="n">
        <v>6</v>
      </c>
      <c r="T517" s="0" t="n">
        <v>0</v>
      </c>
      <c r="U517" s="21" t="s">
        <v>2967</v>
      </c>
      <c r="V517" s="21" t="s">
        <v>69</v>
      </c>
      <c r="W517" s="21" t="s">
        <v>183</v>
      </c>
      <c r="X517" s="0" t="n">
        <v>10.69</v>
      </c>
      <c r="Y517" s="0" t="n">
        <v>16.8</v>
      </c>
      <c r="Z517" s="0" t="n">
        <v>110.7</v>
      </c>
      <c r="AA517" s="21" t="s">
        <v>2968</v>
      </c>
      <c r="AB517" s="21" t="s">
        <v>2572</v>
      </c>
      <c r="AC517" s="21" t="s">
        <v>120</v>
      </c>
      <c r="AD517" s="0" t="n">
        <v>201</v>
      </c>
      <c r="AE517" s="22" t="b">
        <f aca="false">FALSE()</f>
        <v>0</v>
      </c>
      <c r="AF517" s="21" t="s">
        <v>121</v>
      </c>
      <c r="AG517" s="21" t="s">
        <v>2969</v>
      </c>
    </row>
    <row r="518" customFormat="false" ht="15" hidden="false" customHeight="false" outlineLevel="0" collapsed="false">
      <c r="A518" s="0" t="s">
        <v>2970</v>
      </c>
      <c r="B518" s="20" t="s">
        <v>124</v>
      </c>
      <c r="E518" s="21" t="s">
        <v>1331</v>
      </c>
      <c r="F518" s="21" t="s">
        <v>1332</v>
      </c>
      <c r="G518" s="21" t="s">
        <v>127</v>
      </c>
      <c r="H518" s="21" t="s">
        <v>765</v>
      </c>
      <c r="I518" s="21" t="s">
        <v>171</v>
      </c>
      <c r="Z518" s="0" t="n">
        <v>0</v>
      </c>
      <c r="AA518" s="21" t="s">
        <v>2971</v>
      </c>
      <c r="AB518" s="21" t="s">
        <v>2971</v>
      </c>
      <c r="AE518" s="22" t="b">
        <f aca="false">FALSE()</f>
        <v>0</v>
      </c>
      <c r="AF518" s="21" t="s">
        <v>121</v>
      </c>
      <c r="AG518" s="21" t="s">
        <v>2972</v>
      </c>
    </row>
    <row r="519" customFormat="false" ht="15" hidden="false" customHeight="false" outlineLevel="0" collapsed="false">
      <c r="A519" s="0" t="s">
        <v>2973</v>
      </c>
      <c r="B519" s="18" t="s">
        <v>109</v>
      </c>
      <c r="C519" s="20" t="s">
        <v>25</v>
      </c>
      <c r="D519" s="23" t="s">
        <v>30</v>
      </c>
      <c r="E519" s="21" t="s">
        <v>2974</v>
      </c>
      <c r="G519" s="21" t="s">
        <v>127</v>
      </c>
      <c r="H519" s="21" t="s">
        <v>151</v>
      </c>
      <c r="I519" s="21" t="s">
        <v>576</v>
      </c>
      <c r="J519" s="21" t="s">
        <v>134</v>
      </c>
      <c r="K519" s="0" t="n">
        <v>4</v>
      </c>
      <c r="L519" s="0" t="n">
        <v>0</v>
      </c>
      <c r="M519" s="0" t="n">
        <v>4</v>
      </c>
      <c r="N519" s="0" t="n">
        <v>0</v>
      </c>
      <c r="O519" s="0" t="n">
        <v>0</v>
      </c>
      <c r="P519" s="0" t="n">
        <v>4</v>
      </c>
      <c r="Q519" s="0" t="n">
        <v>0</v>
      </c>
      <c r="R519" s="0" t="n">
        <v>1</v>
      </c>
      <c r="S519" s="0" t="n">
        <v>3</v>
      </c>
      <c r="T519" s="0" t="n">
        <v>0</v>
      </c>
      <c r="U519" s="21" t="s">
        <v>2975</v>
      </c>
      <c r="V519" s="21" t="s">
        <v>69</v>
      </c>
      <c r="W519" s="21" t="s">
        <v>163</v>
      </c>
      <c r="X519" s="0" t="n">
        <v>2</v>
      </c>
      <c r="Y519" s="0" t="n">
        <v>13.2</v>
      </c>
      <c r="Z519" s="0" t="n">
        <v>58.3</v>
      </c>
      <c r="AA519" s="21" t="s">
        <v>2577</v>
      </c>
      <c r="AB519" s="21" t="s">
        <v>2976</v>
      </c>
      <c r="AC519" s="21" t="s">
        <v>120</v>
      </c>
      <c r="AD519" s="0" t="n">
        <v>102</v>
      </c>
      <c r="AE519" s="22" t="b">
        <f aca="false">FALSE()</f>
        <v>0</v>
      </c>
      <c r="AF519" s="21" t="s">
        <v>121</v>
      </c>
      <c r="AG519" s="21" t="s">
        <v>2977</v>
      </c>
    </row>
    <row r="520" customFormat="false" ht="15" hidden="false" customHeight="false" outlineLevel="0" collapsed="false">
      <c r="A520" s="0" t="s">
        <v>2978</v>
      </c>
      <c r="B520" s="18" t="s">
        <v>109</v>
      </c>
      <c r="C520" s="20" t="s">
        <v>25</v>
      </c>
      <c r="D520" s="23" t="s">
        <v>30</v>
      </c>
      <c r="E520" s="21" t="s">
        <v>2979</v>
      </c>
      <c r="G520" s="21" t="s">
        <v>111</v>
      </c>
      <c r="H520" s="21" t="s">
        <v>151</v>
      </c>
      <c r="I520" s="21" t="s">
        <v>113</v>
      </c>
      <c r="J520" s="21" t="s">
        <v>134</v>
      </c>
      <c r="K520" s="0" t="n">
        <v>4</v>
      </c>
      <c r="L520" s="0" t="n">
        <v>0</v>
      </c>
      <c r="M520" s="0" t="n">
        <v>4</v>
      </c>
      <c r="N520" s="0" t="n">
        <v>0</v>
      </c>
      <c r="O520" s="0" t="n">
        <v>0</v>
      </c>
      <c r="P520" s="0" t="n">
        <v>4</v>
      </c>
      <c r="Q520" s="0" t="n">
        <v>0</v>
      </c>
      <c r="R520" s="0" t="n">
        <v>2</v>
      </c>
      <c r="S520" s="0" t="n">
        <v>2</v>
      </c>
      <c r="T520" s="0" t="n">
        <v>0</v>
      </c>
      <c r="U520" s="21" t="s">
        <v>2980</v>
      </c>
      <c r="V520" s="21" t="s">
        <v>70</v>
      </c>
      <c r="W520" s="21" t="s">
        <v>1809</v>
      </c>
      <c r="X520" s="0" t="n">
        <v>12.2</v>
      </c>
      <c r="Y520" s="0" t="n">
        <v>17.5</v>
      </c>
      <c r="Z520" s="0" t="n">
        <v>58.8</v>
      </c>
      <c r="AA520" s="21" t="s">
        <v>2981</v>
      </c>
      <c r="AB520" s="21" t="s">
        <v>2982</v>
      </c>
      <c r="AC520" s="21" t="s">
        <v>120</v>
      </c>
      <c r="AD520" s="0" t="n">
        <v>97</v>
      </c>
      <c r="AE520" s="22" t="b">
        <f aca="false">FALSE()</f>
        <v>0</v>
      </c>
      <c r="AF520" s="21" t="s">
        <v>121</v>
      </c>
      <c r="AG520" s="21" t="s">
        <v>2983</v>
      </c>
    </row>
    <row r="521" customFormat="false" ht="15" hidden="false" customHeight="false" outlineLevel="0" collapsed="false">
      <c r="A521" s="0" t="s">
        <v>2984</v>
      </c>
      <c r="B521" s="20" t="s">
        <v>124</v>
      </c>
      <c r="E521" s="21" t="s">
        <v>552</v>
      </c>
      <c r="F521" s="21" t="s">
        <v>553</v>
      </c>
      <c r="G521" s="21" t="s">
        <v>127</v>
      </c>
      <c r="H521" s="21" t="s">
        <v>554</v>
      </c>
      <c r="I521" s="21" t="s">
        <v>113</v>
      </c>
      <c r="Z521" s="0" t="n">
        <v>0</v>
      </c>
      <c r="AA521" s="21" t="s">
        <v>2985</v>
      </c>
      <c r="AB521" s="21" t="s">
        <v>2985</v>
      </c>
      <c r="AE521" s="22" t="b">
        <f aca="false">FALSE()</f>
        <v>0</v>
      </c>
      <c r="AF521" s="21" t="s">
        <v>121</v>
      </c>
      <c r="AG521" s="21" t="s">
        <v>2986</v>
      </c>
    </row>
    <row r="522" customFormat="false" ht="15" hidden="false" customHeight="false" outlineLevel="0" collapsed="false">
      <c r="A522" s="0" t="s">
        <v>2987</v>
      </c>
      <c r="B522" s="18" t="s">
        <v>109</v>
      </c>
      <c r="C522" s="20" t="s">
        <v>25</v>
      </c>
      <c r="D522" s="23" t="s">
        <v>30</v>
      </c>
      <c r="E522" s="21" t="s">
        <v>2988</v>
      </c>
      <c r="G522" s="21" t="s">
        <v>127</v>
      </c>
      <c r="H522" s="21" t="s">
        <v>299</v>
      </c>
      <c r="I522" s="21" t="s">
        <v>113</v>
      </c>
      <c r="J522" s="21" t="s">
        <v>134</v>
      </c>
      <c r="K522" s="0" t="n">
        <v>4</v>
      </c>
      <c r="L522" s="0" t="n">
        <v>1</v>
      </c>
      <c r="M522" s="0" t="n">
        <v>3</v>
      </c>
      <c r="N522" s="0" t="n">
        <v>0</v>
      </c>
      <c r="O522" s="0" t="n">
        <v>0</v>
      </c>
      <c r="P522" s="0" t="n">
        <v>4</v>
      </c>
      <c r="Q522" s="0" t="n">
        <v>0</v>
      </c>
      <c r="R522" s="0" t="n">
        <v>0</v>
      </c>
      <c r="S522" s="0" t="n">
        <v>4</v>
      </c>
      <c r="T522" s="0" t="n">
        <v>0</v>
      </c>
      <c r="U522" s="21" t="s">
        <v>2989</v>
      </c>
      <c r="V522" s="21" t="s">
        <v>69</v>
      </c>
      <c r="W522" s="21" t="s">
        <v>1230</v>
      </c>
      <c r="X522" s="0" t="n">
        <v>3.08</v>
      </c>
      <c r="Y522" s="0" t="n">
        <v>9.1</v>
      </c>
      <c r="Z522" s="0" t="n">
        <v>59.8</v>
      </c>
      <c r="AA522" s="21" t="s">
        <v>2990</v>
      </c>
      <c r="AB522" s="21" t="s">
        <v>2991</v>
      </c>
      <c r="AC522" s="21" t="s">
        <v>120</v>
      </c>
      <c r="AD522" s="0" t="n">
        <v>96</v>
      </c>
      <c r="AE522" s="22" t="b">
        <f aca="false">FALSE()</f>
        <v>0</v>
      </c>
      <c r="AF522" s="21" t="s">
        <v>121</v>
      </c>
      <c r="AG522" s="21" t="s">
        <v>2992</v>
      </c>
    </row>
    <row r="523" customFormat="false" ht="15" hidden="false" customHeight="false" outlineLevel="0" collapsed="false">
      <c r="A523" s="0" t="s">
        <v>2993</v>
      </c>
      <c r="B523" s="18" t="s">
        <v>109</v>
      </c>
      <c r="C523" s="19" t="s">
        <v>26</v>
      </c>
      <c r="D523" s="20" t="s">
        <v>31</v>
      </c>
      <c r="E523" s="21" t="s">
        <v>2994</v>
      </c>
      <c r="G523" s="21" t="s">
        <v>111</v>
      </c>
      <c r="H523" s="21" t="s">
        <v>142</v>
      </c>
      <c r="I523" s="21" t="s">
        <v>113</v>
      </c>
      <c r="J523" s="21" t="s">
        <v>114</v>
      </c>
      <c r="K523" s="0" t="n">
        <v>8</v>
      </c>
      <c r="L523" s="0" t="n">
        <v>0</v>
      </c>
      <c r="M523" s="0" t="n">
        <v>7</v>
      </c>
      <c r="N523" s="0" t="n">
        <v>1</v>
      </c>
      <c r="O523" s="0" t="n">
        <v>0</v>
      </c>
      <c r="P523" s="0" t="n">
        <v>7</v>
      </c>
      <c r="Q523" s="0" t="n">
        <v>0</v>
      </c>
      <c r="R523" s="0" t="n">
        <v>4</v>
      </c>
      <c r="S523" s="0" t="n">
        <v>3</v>
      </c>
      <c r="T523" s="0" t="n">
        <v>1</v>
      </c>
      <c r="U523" s="21" t="s">
        <v>2995</v>
      </c>
      <c r="V523" s="21" t="s">
        <v>69</v>
      </c>
      <c r="W523" s="21" t="s">
        <v>313</v>
      </c>
      <c r="X523" s="0" t="n">
        <v>3.35</v>
      </c>
      <c r="Y523" s="0" t="n">
        <v>22.5</v>
      </c>
      <c r="Z523" s="0" t="n">
        <v>110.9</v>
      </c>
      <c r="AA523" s="21" t="s">
        <v>2996</v>
      </c>
      <c r="AB523" s="21" t="s">
        <v>2997</v>
      </c>
      <c r="AC523" s="21" t="s">
        <v>120</v>
      </c>
      <c r="AD523" s="0" t="n">
        <v>201</v>
      </c>
      <c r="AE523" s="22" t="b">
        <f aca="false">FALSE()</f>
        <v>0</v>
      </c>
      <c r="AF523" s="21" t="s">
        <v>121</v>
      </c>
      <c r="AG523" s="21" t="s">
        <v>2998</v>
      </c>
    </row>
    <row r="524" customFormat="false" ht="15" hidden="false" customHeight="false" outlineLevel="0" collapsed="false">
      <c r="A524" s="0" t="s">
        <v>2999</v>
      </c>
      <c r="B524" s="20" t="s">
        <v>124</v>
      </c>
      <c r="E524" s="21" t="s">
        <v>306</v>
      </c>
      <c r="F524" s="21" t="s">
        <v>307</v>
      </c>
      <c r="G524" s="21" t="s">
        <v>111</v>
      </c>
      <c r="H524" s="21" t="s">
        <v>308</v>
      </c>
      <c r="I524" s="21" t="s">
        <v>113</v>
      </c>
      <c r="Z524" s="0" t="n">
        <v>0</v>
      </c>
      <c r="AA524" s="21" t="s">
        <v>2141</v>
      </c>
      <c r="AB524" s="21" t="s">
        <v>2141</v>
      </c>
      <c r="AE524" s="22" t="b">
        <f aca="false">FALSE()</f>
        <v>0</v>
      </c>
      <c r="AF524" s="21" t="s">
        <v>121</v>
      </c>
      <c r="AG524" s="21" t="s">
        <v>3000</v>
      </c>
    </row>
    <row r="525" customFormat="false" ht="15" hidden="false" customHeight="false" outlineLevel="0" collapsed="false">
      <c r="A525" s="0" t="s">
        <v>3001</v>
      </c>
      <c r="B525" s="18" t="s">
        <v>109</v>
      </c>
      <c r="C525" s="20" t="s">
        <v>25</v>
      </c>
      <c r="D525" s="23" t="s">
        <v>30</v>
      </c>
      <c r="E525" s="21" t="s">
        <v>3002</v>
      </c>
      <c r="G525" s="21" t="s">
        <v>127</v>
      </c>
      <c r="H525" s="21" t="s">
        <v>269</v>
      </c>
      <c r="I525" s="21" t="s">
        <v>113</v>
      </c>
      <c r="J525" s="21" t="s">
        <v>134</v>
      </c>
      <c r="K525" s="0" t="n">
        <v>4</v>
      </c>
      <c r="L525" s="0" t="n">
        <v>0</v>
      </c>
      <c r="M525" s="0" t="n">
        <v>4</v>
      </c>
      <c r="N525" s="0" t="n">
        <v>0</v>
      </c>
      <c r="O525" s="0" t="n">
        <v>0</v>
      </c>
      <c r="P525" s="0" t="n">
        <v>4</v>
      </c>
      <c r="Q525" s="0" t="n">
        <v>0</v>
      </c>
      <c r="R525" s="0" t="n">
        <v>2</v>
      </c>
      <c r="S525" s="0" t="n">
        <v>2</v>
      </c>
      <c r="T525" s="0" t="n">
        <v>0</v>
      </c>
      <c r="U525" s="21" t="s">
        <v>3003</v>
      </c>
      <c r="V525" s="21" t="s">
        <v>69</v>
      </c>
      <c r="W525" s="21" t="s">
        <v>357</v>
      </c>
      <c r="X525" s="0" t="n">
        <v>2.44</v>
      </c>
      <c r="Y525" s="0" t="n">
        <v>8.8</v>
      </c>
      <c r="Z525" s="0" t="n">
        <v>59.4</v>
      </c>
      <c r="AA525" s="21" t="s">
        <v>3004</v>
      </c>
      <c r="AB525" s="21" t="s">
        <v>3005</v>
      </c>
      <c r="AC525" s="21" t="s">
        <v>120</v>
      </c>
      <c r="AD525" s="0" t="n">
        <v>98</v>
      </c>
      <c r="AE525" s="22" t="b">
        <f aca="false">FALSE()</f>
        <v>0</v>
      </c>
      <c r="AF525" s="21" t="s">
        <v>121</v>
      </c>
      <c r="AG525" s="21" t="s">
        <v>3006</v>
      </c>
    </row>
    <row r="526" customFormat="false" ht="15" hidden="false" customHeight="false" outlineLevel="0" collapsed="false">
      <c r="A526" s="0" t="s">
        <v>3007</v>
      </c>
      <c r="B526" s="18" t="s">
        <v>109</v>
      </c>
      <c r="C526" s="20" t="s">
        <v>25</v>
      </c>
      <c r="D526" s="23" t="s">
        <v>30</v>
      </c>
      <c r="E526" s="21" t="s">
        <v>3008</v>
      </c>
      <c r="G526" s="21" t="s">
        <v>111</v>
      </c>
      <c r="H526" s="21" t="s">
        <v>133</v>
      </c>
      <c r="I526" s="21" t="s">
        <v>113</v>
      </c>
      <c r="J526" s="21" t="s">
        <v>134</v>
      </c>
      <c r="K526" s="0" t="n">
        <v>4</v>
      </c>
      <c r="L526" s="0" t="n">
        <v>2</v>
      </c>
      <c r="M526" s="0" t="n">
        <v>2</v>
      </c>
      <c r="N526" s="0" t="n">
        <v>0</v>
      </c>
      <c r="O526" s="0" t="n">
        <v>0</v>
      </c>
      <c r="P526" s="0" t="n">
        <v>4</v>
      </c>
      <c r="Q526" s="0" t="n">
        <v>0</v>
      </c>
      <c r="R526" s="0" t="n">
        <v>0</v>
      </c>
      <c r="S526" s="0" t="n">
        <v>4</v>
      </c>
      <c r="T526" s="0" t="n">
        <v>0</v>
      </c>
      <c r="U526" s="21" t="s">
        <v>3009</v>
      </c>
      <c r="V526" s="21" t="s">
        <v>69</v>
      </c>
      <c r="W526" s="21" t="s">
        <v>1099</v>
      </c>
      <c r="X526" s="0" t="n">
        <v>8.17</v>
      </c>
      <c r="Y526" s="0" t="n">
        <v>6.8</v>
      </c>
      <c r="Z526" s="0" t="n">
        <v>57.4</v>
      </c>
      <c r="AA526" s="21" t="s">
        <v>3010</v>
      </c>
      <c r="AB526" s="21" t="s">
        <v>3011</v>
      </c>
      <c r="AC526" s="21" t="s">
        <v>120</v>
      </c>
      <c r="AD526" s="0" t="n">
        <v>100</v>
      </c>
      <c r="AE526" s="22" t="b">
        <f aca="false">FALSE()</f>
        <v>0</v>
      </c>
      <c r="AF526" s="21" t="s">
        <v>121</v>
      </c>
      <c r="AG526" s="21" t="s">
        <v>3012</v>
      </c>
    </row>
    <row r="527" customFormat="false" ht="15" hidden="false" customHeight="false" outlineLevel="0" collapsed="false">
      <c r="A527" s="0" t="s">
        <v>3013</v>
      </c>
      <c r="B527" s="20" t="s">
        <v>124</v>
      </c>
      <c r="E527" s="21" t="s">
        <v>805</v>
      </c>
      <c r="F527" s="21" t="s">
        <v>806</v>
      </c>
      <c r="G527" s="21" t="s">
        <v>127</v>
      </c>
      <c r="H527" s="21" t="s">
        <v>626</v>
      </c>
      <c r="I527" s="21" t="s">
        <v>171</v>
      </c>
      <c r="Z527" s="0" t="n">
        <v>0</v>
      </c>
      <c r="AA527" s="21" t="s">
        <v>3014</v>
      </c>
      <c r="AB527" s="21" t="s">
        <v>3014</v>
      </c>
      <c r="AE527" s="22" t="b">
        <f aca="false">FALSE()</f>
        <v>0</v>
      </c>
      <c r="AF527" s="21" t="s">
        <v>121</v>
      </c>
      <c r="AG527" s="21" t="s">
        <v>3015</v>
      </c>
    </row>
    <row r="528" customFormat="false" ht="15" hidden="false" customHeight="false" outlineLevel="0" collapsed="false">
      <c r="A528" s="0" t="s">
        <v>3016</v>
      </c>
      <c r="B528" s="18" t="s">
        <v>109</v>
      </c>
      <c r="C528" s="19" t="s">
        <v>26</v>
      </c>
      <c r="D528" s="20" t="s">
        <v>31</v>
      </c>
      <c r="E528" s="21" t="s">
        <v>3017</v>
      </c>
      <c r="G528" s="21" t="s">
        <v>127</v>
      </c>
      <c r="H528" s="21" t="s">
        <v>468</v>
      </c>
      <c r="I528" s="21" t="s">
        <v>113</v>
      </c>
      <c r="J528" s="21" t="s">
        <v>134</v>
      </c>
      <c r="K528" s="0" t="n">
        <v>4</v>
      </c>
      <c r="L528" s="0" t="n">
        <v>2</v>
      </c>
      <c r="M528" s="0" t="n">
        <v>1</v>
      </c>
      <c r="N528" s="0" t="n">
        <v>1</v>
      </c>
      <c r="O528" s="0" t="n">
        <v>0</v>
      </c>
      <c r="P528" s="0" t="n">
        <v>3</v>
      </c>
      <c r="Q528" s="0" t="n">
        <v>1</v>
      </c>
      <c r="R528" s="0" t="n">
        <v>0</v>
      </c>
      <c r="S528" s="0" t="n">
        <v>2</v>
      </c>
      <c r="T528" s="0" t="n">
        <v>1</v>
      </c>
      <c r="U528" s="21" t="s">
        <v>3018</v>
      </c>
      <c r="V528" s="21" t="s">
        <v>69</v>
      </c>
      <c r="W528" s="21" t="s">
        <v>345</v>
      </c>
      <c r="X528" s="0" t="n">
        <v>5.59</v>
      </c>
      <c r="Y528" s="0" t="n">
        <v>7.4</v>
      </c>
      <c r="Z528" s="0" t="n">
        <v>58</v>
      </c>
      <c r="AA528" s="21" t="s">
        <v>3019</v>
      </c>
      <c r="AB528" s="21" t="s">
        <v>3020</v>
      </c>
      <c r="AC528" s="21" t="s">
        <v>120</v>
      </c>
      <c r="AD528" s="0" t="n">
        <v>95</v>
      </c>
      <c r="AE528" s="22" t="b">
        <f aca="false">FALSE()</f>
        <v>0</v>
      </c>
      <c r="AF528" s="21" t="s">
        <v>121</v>
      </c>
      <c r="AG528" s="21" t="s">
        <v>3021</v>
      </c>
    </row>
    <row r="529" customFormat="false" ht="15" hidden="false" customHeight="false" outlineLevel="0" collapsed="false">
      <c r="A529" s="0" t="s">
        <v>3022</v>
      </c>
      <c r="B529" s="18" t="s">
        <v>109</v>
      </c>
      <c r="C529" s="19" t="s">
        <v>26</v>
      </c>
      <c r="D529" s="20" t="s">
        <v>31</v>
      </c>
      <c r="E529" s="21" t="s">
        <v>3023</v>
      </c>
      <c r="G529" s="21" t="s">
        <v>127</v>
      </c>
      <c r="H529" s="21" t="s">
        <v>575</v>
      </c>
      <c r="I529" s="21" t="s">
        <v>113</v>
      </c>
      <c r="J529" s="21" t="s">
        <v>134</v>
      </c>
      <c r="K529" s="0" t="n">
        <v>4</v>
      </c>
      <c r="L529" s="0" t="n">
        <v>0</v>
      </c>
      <c r="M529" s="0" t="n">
        <v>3</v>
      </c>
      <c r="N529" s="0" t="n">
        <v>1</v>
      </c>
      <c r="O529" s="0" t="n">
        <v>0</v>
      </c>
      <c r="P529" s="0" t="n">
        <v>3</v>
      </c>
      <c r="Q529" s="0" t="n">
        <v>0</v>
      </c>
      <c r="R529" s="0" t="n">
        <v>2</v>
      </c>
      <c r="S529" s="0" t="n">
        <v>1</v>
      </c>
      <c r="T529" s="0" t="n">
        <v>1</v>
      </c>
      <c r="U529" s="21" t="s">
        <v>3024</v>
      </c>
      <c r="W529" s="21" t="s">
        <v>3025</v>
      </c>
      <c r="X529" s="0" t="n">
        <v>22.67</v>
      </c>
      <c r="Y529" s="0" t="n">
        <v>20.6</v>
      </c>
      <c r="Z529" s="0" t="n">
        <v>59.4</v>
      </c>
      <c r="AA529" s="21" t="s">
        <v>3026</v>
      </c>
      <c r="AB529" s="21" t="s">
        <v>3027</v>
      </c>
      <c r="AC529" s="21" t="s">
        <v>120</v>
      </c>
      <c r="AD529" s="0" t="n">
        <v>98</v>
      </c>
      <c r="AE529" s="22" t="b">
        <f aca="false">FALSE()</f>
        <v>0</v>
      </c>
      <c r="AF529" s="21" t="s">
        <v>121</v>
      </c>
      <c r="AG529" s="21" t="s">
        <v>3028</v>
      </c>
    </row>
    <row r="530" customFormat="false" ht="15" hidden="false" customHeight="false" outlineLevel="0" collapsed="false">
      <c r="A530" s="0" t="s">
        <v>3029</v>
      </c>
      <c r="B530" s="18" t="s">
        <v>109</v>
      </c>
      <c r="C530" s="20" t="s">
        <v>25</v>
      </c>
      <c r="D530" s="23" t="s">
        <v>30</v>
      </c>
      <c r="E530" s="21" t="s">
        <v>3030</v>
      </c>
      <c r="G530" s="21" t="s">
        <v>127</v>
      </c>
      <c r="H530" s="21" t="s">
        <v>229</v>
      </c>
      <c r="I530" s="21" t="s">
        <v>113</v>
      </c>
      <c r="J530" s="21" t="s">
        <v>134</v>
      </c>
      <c r="K530" s="0" t="n">
        <v>4</v>
      </c>
      <c r="L530" s="0" t="n">
        <v>0</v>
      </c>
      <c r="M530" s="0" t="n">
        <v>4</v>
      </c>
      <c r="N530" s="0" t="n">
        <v>0</v>
      </c>
      <c r="O530" s="0" t="n">
        <v>0</v>
      </c>
      <c r="P530" s="0" t="n">
        <v>4</v>
      </c>
      <c r="Q530" s="0" t="n">
        <v>0</v>
      </c>
      <c r="R530" s="0" t="n">
        <v>3</v>
      </c>
      <c r="S530" s="0" t="n">
        <v>1</v>
      </c>
      <c r="T530" s="0" t="n">
        <v>0</v>
      </c>
      <c r="U530" s="21" t="s">
        <v>1158</v>
      </c>
      <c r="V530" s="21" t="s">
        <v>69</v>
      </c>
      <c r="W530" s="21" t="s">
        <v>183</v>
      </c>
      <c r="X530" s="0" t="n">
        <v>2.66</v>
      </c>
      <c r="Y530" s="0" t="n">
        <v>24</v>
      </c>
      <c r="Z530" s="0" t="n">
        <v>57.2</v>
      </c>
      <c r="AA530" s="21" t="s">
        <v>3031</v>
      </c>
      <c r="AB530" s="21" t="s">
        <v>3032</v>
      </c>
      <c r="AC530" s="21" t="s">
        <v>120</v>
      </c>
      <c r="AD530" s="0" t="n">
        <v>97</v>
      </c>
      <c r="AE530" s="22" t="b">
        <f aca="false">FALSE()</f>
        <v>0</v>
      </c>
      <c r="AF530" s="21" t="s">
        <v>121</v>
      </c>
      <c r="AG530" s="21" t="s">
        <v>3033</v>
      </c>
    </row>
    <row r="531" customFormat="false" ht="15" hidden="false" customHeight="false" outlineLevel="0" collapsed="false">
      <c r="A531" s="0" t="s">
        <v>3034</v>
      </c>
      <c r="B531" s="18" t="s">
        <v>109</v>
      </c>
      <c r="C531" s="19" t="s">
        <v>26</v>
      </c>
      <c r="D531" s="20" t="s">
        <v>31</v>
      </c>
      <c r="E531" s="21" t="s">
        <v>3035</v>
      </c>
      <c r="G531" s="21" t="s">
        <v>111</v>
      </c>
      <c r="H531" s="21" t="s">
        <v>275</v>
      </c>
      <c r="I531" s="21" t="s">
        <v>113</v>
      </c>
      <c r="J531" s="21" t="s">
        <v>114</v>
      </c>
      <c r="K531" s="0" t="n">
        <v>8</v>
      </c>
      <c r="L531" s="0" t="n">
        <v>1</v>
      </c>
      <c r="M531" s="0" t="n">
        <v>4</v>
      </c>
      <c r="N531" s="0" t="n">
        <v>3</v>
      </c>
      <c r="O531" s="0" t="n">
        <v>0</v>
      </c>
      <c r="P531" s="0" t="n">
        <v>5</v>
      </c>
      <c r="Q531" s="0" t="n">
        <v>1</v>
      </c>
      <c r="R531" s="0" t="n">
        <v>0</v>
      </c>
      <c r="S531" s="0" t="n">
        <v>4</v>
      </c>
      <c r="T531" s="0" t="n">
        <v>3</v>
      </c>
      <c r="U531" s="21" t="s">
        <v>3036</v>
      </c>
      <c r="V531" s="21" t="s">
        <v>69</v>
      </c>
      <c r="W531" s="21" t="s">
        <v>3037</v>
      </c>
      <c r="X531" s="0" t="n">
        <v>2.96</v>
      </c>
      <c r="Y531" s="0" t="n">
        <v>13.2</v>
      </c>
      <c r="Z531" s="0" t="n">
        <v>113</v>
      </c>
      <c r="AA531" s="21" t="s">
        <v>3038</v>
      </c>
      <c r="AB531" s="21" t="s">
        <v>2658</v>
      </c>
      <c r="AC531" s="21" t="s">
        <v>120</v>
      </c>
      <c r="AD531" s="0" t="n">
        <v>207</v>
      </c>
      <c r="AE531" s="22" t="b">
        <f aca="false">FALSE()</f>
        <v>0</v>
      </c>
      <c r="AF531" s="21" t="s">
        <v>121</v>
      </c>
      <c r="AG531" s="21" t="s">
        <v>3039</v>
      </c>
    </row>
    <row r="532" customFormat="false" ht="15" hidden="false" customHeight="false" outlineLevel="0" collapsed="false">
      <c r="A532" s="0" t="s">
        <v>3040</v>
      </c>
      <c r="B532" s="18" t="s">
        <v>109</v>
      </c>
      <c r="C532" s="20" t="s">
        <v>25</v>
      </c>
      <c r="D532" s="23" t="s">
        <v>30</v>
      </c>
      <c r="E532" s="21" t="s">
        <v>3041</v>
      </c>
      <c r="G532" s="21" t="s">
        <v>111</v>
      </c>
      <c r="H532" s="21" t="s">
        <v>869</v>
      </c>
      <c r="I532" s="21" t="s">
        <v>113</v>
      </c>
      <c r="J532" s="21" t="s">
        <v>134</v>
      </c>
      <c r="K532" s="0" t="n">
        <v>4</v>
      </c>
      <c r="L532" s="0" t="n">
        <v>2</v>
      </c>
      <c r="M532" s="0" t="n">
        <v>2</v>
      </c>
      <c r="N532" s="0" t="n">
        <v>0</v>
      </c>
      <c r="O532" s="0" t="n">
        <v>0</v>
      </c>
      <c r="P532" s="0" t="n">
        <v>4</v>
      </c>
      <c r="Q532" s="0" t="n">
        <v>1</v>
      </c>
      <c r="R532" s="0" t="n">
        <v>0</v>
      </c>
      <c r="S532" s="0" t="n">
        <v>3</v>
      </c>
      <c r="T532" s="0" t="n">
        <v>0</v>
      </c>
      <c r="U532" s="21" t="s">
        <v>3042</v>
      </c>
      <c r="V532" s="21" t="s">
        <v>69</v>
      </c>
      <c r="W532" s="21" t="s">
        <v>183</v>
      </c>
      <c r="X532" s="0" t="n">
        <v>1.9</v>
      </c>
      <c r="Y532" s="0" t="n">
        <v>20.4</v>
      </c>
      <c r="Z532" s="0" t="n">
        <v>59.8</v>
      </c>
      <c r="AA532" s="21" t="s">
        <v>2663</v>
      </c>
      <c r="AB532" s="21" t="s">
        <v>3043</v>
      </c>
      <c r="AC532" s="21" t="s">
        <v>120</v>
      </c>
      <c r="AD532" s="0" t="n">
        <v>95</v>
      </c>
      <c r="AE532" s="22" t="b">
        <f aca="false">FALSE()</f>
        <v>0</v>
      </c>
      <c r="AF532" s="21" t="s">
        <v>121</v>
      </c>
      <c r="AG532" s="21" t="s">
        <v>3044</v>
      </c>
    </row>
    <row r="533" customFormat="false" ht="15" hidden="false" customHeight="false" outlineLevel="0" collapsed="false">
      <c r="A533" s="0" t="s">
        <v>3045</v>
      </c>
      <c r="B533" s="18" t="s">
        <v>109</v>
      </c>
      <c r="C533" s="19" t="s">
        <v>26</v>
      </c>
      <c r="D533" s="20" t="s">
        <v>31</v>
      </c>
      <c r="E533" s="21" t="s">
        <v>3046</v>
      </c>
      <c r="G533" s="21" t="s">
        <v>111</v>
      </c>
      <c r="H533" s="21" t="s">
        <v>352</v>
      </c>
      <c r="I533" s="21" t="s">
        <v>113</v>
      </c>
      <c r="J533" s="21" t="s">
        <v>134</v>
      </c>
      <c r="K533" s="0" t="n">
        <v>4</v>
      </c>
      <c r="L533" s="0" t="n">
        <v>0</v>
      </c>
      <c r="M533" s="0" t="n">
        <v>3</v>
      </c>
      <c r="N533" s="0" t="n">
        <v>1</v>
      </c>
      <c r="O533" s="0" t="n">
        <v>0</v>
      </c>
      <c r="P533" s="0" t="n">
        <v>3</v>
      </c>
      <c r="Q533" s="0" t="n">
        <v>0</v>
      </c>
      <c r="R533" s="0" t="n">
        <v>1</v>
      </c>
      <c r="S533" s="0" t="n">
        <v>2</v>
      </c>
      <c r="T533" s="0" t="n">
        <v>1</v>
      </c>
      <c r="U533" s="21" t="s">
        <v>3047</v>
      </c>
      <c r="V533" s="21" t="s">
        <v>69</v>
      </c>
      <c r="W533" s="21" t="s">
        <v>412</v>
      </c>
      <c r="X533" s="0" t="n">
        <v>0.55</v>
      </c>
      <c r="Y533" s="0" t="n">
        <v>16.2</v>
      </c>
      <c r="Z533" s="0" t="n">
        <v>60.5</v>
      </c>
      <c r="AA533" s="21" t="s">
        <v>3048</v>
      </c>
      <c r="AB533" s="21" t="s">
        <v>3049</v>
      </c>
      <c r="AC533" s="21" t="s">
        <v>120</v>
      </c>
      <c r="AD533" s="0" t="n">
        <v>96</v>
      </c>
      <c r="AE533" s="22" t="b">
        <f aca="false">FALSE()</f>
        <v>0</v>
      </c>
      <c r="AF533" s="21" t="s">
        <v>121</v>
      </c>
      <c r="AG533" s="21" t="s">
        <v>3050</v>
      </c>
    </row>
    <row r="534" customFormat="false" ht="15" hidden="false" customHeight="false" outlineLevel="0" collapsed="false">
      <c r="A534" s="0" t="s">
        <v>3051</v>
      </c>
      <c r="B534" s="18" t="s">
        <v>109</v>
      </c>
      <c r="C534" s="19" t="s">
        <v>26</v>
      </c>
      <c r="D534" s="20" t="s">
        <v>31</v>
      </c>
      <c r="E534" s="21" t="s">
        <v>3052</v>
      </c>
      <c r="G534" s="21" t="s">
        <v>111</v>
      </c>
      <c r="H534" s="21" t="s">
        <v>299</v>
      </c>
      <c r="I534" s="21" t="s">
        <v>113</v>
      </c>
      <c r="J534" s="21" t="s">
        <v>114</v>
      </c>
      <c r="K534" s="0" t="n">
        <v>8</v>
      </c>
      <c r="L534" s="0" t="n">
        <v>0</v>
      </c>
      <c r="M534" s="0" t="n">
        <v>7</v>
      </c>
      <c r="N534" s="0" t="n">
        <v>1</v>
      </c>
      <c r="O534" s="0" t="n">
        <v>0</v>
      </c>
      <c r="P534" s="0" t="n">
        <v>7</v>
      </c>
      <c r="Q534" s="0" t="n">
        <v>0</v>
      </c>
      <c r="R534" s="0" t="n">
        <v>0</v>
      </c>
      <c r="S534" s="0" t="n">
        <v>7</v>
      </c>
      <c r="T534" s="0" t="n">
        <v>1</v>
      </c>
      <c r="U534" s="21" t="s">
        <v>3053</v>
      </c>
      <c r="V534" s="21" t="s">
        <v>69</v>
      </c>
      <c r="W534" s="21" t="s">
        <v>433</v>
      </c>
      <c r="X534" s="0" t="n">
        <v>1</v>
      </c>
      <c r="Y534" s="0" t="n">
        <v>16.2</v>
      </c>
      <c r="Z534" s="0" t="n">
        <v>109.3</v>
      </c>
      <c r="AA534" s="21" t="s">
        <v>3054</v>
      </c>
      <c r="AB534" s="21" t="s">
        <v>3055</v>
      </c>
      <c r="AC534" s="21" t="s">
        <v>120</v>
      </c>
      <c r="AD534" s="0" t="n">
        <v>193</v>
      </c>
      <c r="AE534" s="22" t="b">
        <f aca="false">FALSE()</f>
        <v>0</v>
      </c>
      <c r="AF534" s="21" t="s">
        <v>121</v>
      </c>
      <c r="AG534" s="21" t="s">
        <v>3056</v>
      </c>
    </row>
    <row r="535" customFormat="false" ht="15" hidden="false" customHeight="false" outlineLevel="0" collapsed="false">
      <c r="A535" s="0" t="s">
        <v>3057</v>
      </c>
      <c r="B535" s="18" t="s">
        <v>109</v>
      </c>
      <c r="C535" s="19" t="s">
        <v>26</v>
      </c>
      <c r="D535" s="20" t="s">
        <v>31</v>
      </c>
      <c r="E535" s="21" t="s">
        <v>3058</v>
      </c>
      <c r="G535" s="21" t="s">
        <v>127</v>
      </c>
      <c r="H535" s="21" t="s">
        <v>1192</v>
      </c>
      <c r="I535" s="21" t="s">
        <v>113</v>
      </c>
      <c r="J535" s="21" t="s">
        <v>114</v>
      </c>
      <c r="K535" s="0" t="n">
        <v>8</v>
      </c>
      <c r="L535" s="0" t="n">
        <v>0</v>
      </c>
      <c r="M535" s="0" t="n">
        <v>7</v>
      </c>
      <c r="N535" s="0" t="n">
        <v>1</v>
      </c>
      <c r="O535" s="0" t="n">
        <v>0</v>
      </c>
      <c r="P535" s="0" t="n">
        <v>7</v>
      </c>
      <c r="Q535" s="0" t="n">
        <v>0</v>
      </c>
      <c r="R535" s="0" t="n">
        <v>4</v>
      </c>
      <c r="S535" s="0" t="n">
        <v>3</v>
      </c>
      <c r="T535" s="0" t="n">
        <v>1</v>
      </c>
      <c r="U535" s="21" t="s">
        <v>3059</v>
      </c>
      <c r="V535" s="21" t="s">
        <v>69</v>
      </c>
      <c r="W535" s="21" t="s">
        <v>433</v>
      </c>
      <c r="X535" s="0" t="n">
        <v>1.31</v>
      </c>
      <c r="Y535" s="0" t="n">
        <v>19.1</v>
      </c>
      <c r="Z535" s="0" t="n">
        <v>109.8</v>
      </c>
      <c r="AA535" s="21" t="s">
        <v>3060</v>
      </c>
      <c r="AB535" s="21" t="s">
        <v>3061</v>
      </c>
      <c r="AC535" s="21" t="s">
        <v>120</v>
      </c>
      <c r="AD535" s="0" t="n">
        <v>192</v>
      </c>
      <c r="AE535" s="22" t="b">
        <f aca="false">FALSE()</f>
        <v>0</v>
      </c>
      <c r="AF535" s="21" t="s">
        <v>121</v>
      </c>
      <c r="AG535" s="21" t="s">
        <v>3062</v>
      </c>
    </row>
    <row r="536" customFormat="false" ht="15" hidden="false" customHeight="false" outlineLevel="0" collapsed="false">
      <c r="A536" s="0" t="s">
        <v>3063</v>
      </c>
      <c r="B536" s="20" t="s">
        <v>124</v>
      </c>
      <c r="E536" s="21" t="s">
        <v>3064</v>
      </c>
      <c r="F536" s="21" t="s">
        <v>3065</v>
      </c>
      <c r="G536" s="21" t="s">
        <v>111</v>
      </c>
      <c r="H536" s="21" t="s">
        <v>261</v>
      </c>
      <c r="I536" s="21" t="s">
        <v>113</v>
      </c>
      <c r="Z536" s="0" t="n">
        <v>0</v>
      </c>
      <c r="AA536" s="21" t="s">
        <v>3066</v>
      </c>
      <c r="AB536" s="21" t="s">
        <v>3066</v>
      </c>
      <c r="AE536" s="22" t="b">
        <f aca="false">FALSE()</f>
        <v>0</v>
      </c>
      <c r="AF536" s="21" t="s">
        <v>121</v>
      </c>
      <c r="AG536" s="21" t="s">
        <v>3067</v>
      </c>
    </row>
    <row r="537" customFormat="false" ht="15" hidden="false" customHeight="false" outlineLevel="0" collapsed="false">
      <c r="A537" s="0" t="s">
        <v>3068</v>
      </c>
      <c r="B537" s="18" t="s">
        <v>109</v>
      </c>
      <c r="C537" s="20" t="s">
        <v>25</v>
      </c>
      <c r="D537" s="23" t="s">
        <v>30</v>
      </c>
      <c r="E537" s="21" t="s">
        <v>3069</v>
      </c>
      <c r="G537" s="21" t="s">
        <v>111</v>
      </c>
      <c r="H537" s="21" t="s">
        <v>142</v>
      </c>
      <c r="I537" s="21" t="s">
        <v>113</v>
      </c>
      <c r="J537" s="21" t="s">
        <v>114</v>
      </c>
      <c r="K537" s="0" t="n">
        <v>8</v>
      </c>
      <c r="L537" s="0" t="n">
        <v>1</v>
      </c>
      <c r="M537" s="0" t="n">
        <v>7</v>
      </c>
      <c r="N537" s="0" t="n">
        <v>0</v>
      </c>
      <c r="O537" s="0" t="n">
        <v>0</v>
      </c>
      <c r="P537" s="0" t="n">
        <v>8</v>
      </c>
      <c r="Q537" s="0" t="n">
        <v>0</v>
      </c>
      <c r="R537" s="0" t="n">
        <v>3</v>
      </c>
      <c r="S537" s="0" t="n">
        <v>5</v>
      </c>
      <c r="T537" s="0" t="n">
        <v>0</v>
      </c>
      <c r="U537" s="21" t="s">
        <v>3070</v>
      </c>
      <c r="V537" s="21" t="s">
        <v>69</v>
      </c>
      <c r="W537" s="21" t="s">
        <v>1046</v>
      </c>
      <c r="X537" s="0" t="n">
        <v>5.39</v>
      </c>
      <c r="Y537" s="0" t="n">
        <v>20.9</v>
      </c>
      <c r="Z537" s="0" t="n">
        <v>109.2</v>
      </c>
      <c r="AA537" s="21" t="s">
        <v>3071</v>
      </c>
      <c r="AB537" s="21" t="s">
        <v>2701</v>
      </c>
      <c r="AC537" s="21" t="s">
        <v>120</v>
      </c>
      <c r="AD537" s="0" t="n">
        <v>193</v>
      </c>
      <c r="AE537" s="22" t="b">
        <f aca="false">FALSE()</f>
        <v>0</v>
      </c>
      <c r="AF537" s="21" t="s">
        <v>121</v>
      </c>
      <c r="AG537" s="21" t="s">
        <v>3072</v>
      </c>
    </row>
    <row r="538" customFormat="false" ht="15" hidden="false" customHeight="false" outlineLevel="0" collapsed="false">
      <c r="A538" s="0" t="s">
        <v>3073</v>
      </c>
      <c r="B538" s="20" t="s">
        <v>124</v>
      </c>
      <c r="E538" s="21" t="s">
        <v>211</v>
      </c>
      <c r="F538" s="21" t="s">
        <v>212</v>
      </c>
      <c r="G538" s="21" t="s">
        <v>127</v>
      </c>
      <c r="H538" s="21" t="s">
        <v>213</v>
      </c>
      <c r="I538" s="21" t="s">
        <v>113</v>
      </c>
      <c r="Z538" s="0" t="n">
        <v>0</v>
      </c>
      <c r="AA538" s="21" t="s">
        <v>2251</v>
      </c>
      <c r="AB538" s="21" t="s">
        <v>2251</v>
      </c>
      <c r="AE538" s="22" t="b">
        <f aca="false">FALSE()</f>
        <v>0</v>
      </c>
      <c r="AF538" s="21" t="s">
        <v>121</v>
      </c>
      <c r="AG538" s="21" t="s">
        <v>3074</v>
      </c>
    </row>
    <row r="539" customFormat="false" ht="15" hidden="false" customHeight="false" outlineLevel="0" collapsed="false">
      <c r="A539" s="0" t="s">
        <v>3075</v>
      </c>
      <c r="B539" s="18" t="s">
        <v>109</v>
      </c>
      <c r="C539" s="19" t="s">
        <v>26</v>
      </c>
      <c r="D539" s="20" t="s">
        <v>31</v>
      </c>
      <c r="E539" s="21" t="s">
        <v>3076</v>
      </c>
      <c r="G539" s="21" t="s">
        <v>111</v>
      </c>
      <c r="H539" s="21" t="s">
        <v>151</v>
      </c>
      <c r="I539" s="21" t="s">
        <v>113</v>
      </c>
      <c r="J539" s="21" t="s">
        <v>134</v>
      </c>
      <c r="K539" s="0" t="n">
        <v>4</v>
      </c>
      <c r="L539" s="0" t="n">
        <v>1</v>
      </c>
      <c r="M539" s="0" t="n">
        <v>2</v>
      </c>
      <c r="N539" s="0" t="n">
        <v>1</v>
      </c>
      <c r="O539" s="0" t="n">
        <v>0</v>
      </c>
      <c r="P539" s="0" t="n">
        <v>3</v>
      </c>
      <c r="Q539" s="0" t="n">
        <v>0</v>
      </c>
      <c r="R539" s="0" t="n">
        <v>2</v>
      </c>
      <c r="S539" s="0" t="n">
        <v>1</v>
      </c>
      <c r="T539" s="0" t="n">
        <v>1</v>
      </c>
      <c r="U539" s="21" t="s">
        <v>3077</v>
      </c>
      <c r="V539" s="21" t="s">
        <v>69</v>
      </c>
      <c r="W539" s="21" t="s">
        <v>646</v>
      </c>
      <c r="X539" s="0" t="n">
        <v>2.22</v>
      </c>
      <c r="Y539" s="0" t="n">
        <v>11.4</v>
      </c>
      <c r="Z539" s="0" t="n">
        <v>58.9</v>
      </c>
      <c r="AA539" s="21" t="s">
        <v>3078</v>
      </c>
      <c r="AB539" s="21" t="s">
        <v>3079</v>
      </c>
      <c r="AC539" s="21" t="s">
        <v>120</v>
      </c>
      <c r="AD539" s="0" t="n">
        <v>95</v>
      </c>
      <c r="AE539" s="22" t="b">
        <f aca="false">FALSE()</f>
        <v>0</v>
      </c>
      <c r="AF539" s="21" t="s">
        <v>121</v>
      </c>
      <c r="AG539" s="21" t="s">
        <v>3080</v>
      </c>
    </row>
    <row r="540" customFormat="false" ht="15" hidden="false" customHeight="false" outlineLevel="0" collapsed="false">
      <c r="A540" s="0" t="s">
        <v>3081</v>
      </c>
      <c r="B540" s="18" t="s">
        <v>109</v>
      </c>
      <c r="C540" s="19" t="s">
        <v>26</v>
      </c>
      <c r="D540" s="20" t="s">
        <v>31</v>
      </c>
      <c r="E540" s="21" t="s">
        <v>3082</v>
      </c>
      <c r="G540" s="21" t="s">
        <v>111</v>
      </c>
      <c r="H540" s="21" t="s">
        <v>397</v>
      </c>
      <c r="I540" s="21" t="s">
        <v>113</v>
      </c>
      <c r="J540" s="21" t="s">
        <v>134</v>
      </c>
      <c r="K540" s="0" t="n">
        <v>4</v>
      </c>
      <c r="L540" s="0" t="n">
        <v>1</v>
      </c>
      <c r="M540" s="0" t="n">
        <v>2</v>
      </c>
      <c r="N540" s="0" t="n">
        <v>1</v>
      </c>
      <c r="O540" s="0" t="n">
        <v>0</v>
      </c>
      <c r="P540" s="0" t="n">
        <v>3</v>
      </c>
      <c r="Q540" s="0" t="n">
        <v>0</v>
      </c>
      <c r="R540" s="0" t="n">
        <v>0</v>
      </c>
      <c r="S540" s="0" t="n">
        <v>3</v>
      </c>
      <c r="T540" s="0" t="n">
        <v>1</v>
      </c>
      <c r="U540" s="21" t="s">
        <v>3083</v>
      </c>
      <c r="V540" s="21" t="s">
        <v>69</v>
      </c>
      <c r="W540" s="21" t="s">
        <v>646</v>
      </c>
      <c r="X540" s="0" t="n">
        <v>1.5</v>
      </c>
      <c r="Y540" s="0" t="n">
        <v>14.3</v>
      </c>
      <c r="Z540" s="0" t="n">
        <v>58.6</v>
      </c>
      <c r="AA540" s="21" t="s">
        <v>3084</v>
      </c>
      <c r="AB540" s="21" t="s">
        <v>3085</v>
      </c>
      <c r="AC540" s="21" t="s">
        <v>120</v>
      </c>
      <c r="AD540" s="0" t="n">
        <v>96</v>
      </c>
      <c r="AE540" s="22" t="b">
        <f aca="false">FALSE()</f>
        <v>0</v>
      </c>
      <c r="AF540" s="21" t="s">
        <v>121</v>
      </c>
      <c r="AG540" s="21" t="s">
        <v>3086</v>
      </c>
    </row>
    <row r="541" customFormat="false" ht="15" hidden="false" customHeight="false" outlineLevel="0" collapsed="false">
      <c r="A541" s="0" t="s">
        <v>3087</v>
      </c>
      <c r="B541" s="18" t="s">
        <v>109</v>
      </c>
      <c r="C541" s="20" t="s">
        <v>25</v>
      </c>
      <c r="D541" s="23" t="s">
        <v>30</v>
      </c>
      <c r="E541" s="21" t="s">
        <v>3088</v>
      </c>
      <c r="G541" s="21" t="s">
        <v>111</v>
      </c>
      <c r="H541" s="21" t="s">
        <v>217</v>
      </c>
      <c r="I541" s="21" t="s">
        <v>113</v>
      </c>
      <c r="J541" s="21" t="s">
        <v>134</v>
      </c>
      <c r="K541" s="0" t="n">
        <v>4</v>
      </c>
      <c r="L541" s="0" t="n">
        <v>2</v>
      </c>
      <c r="M541" s="0" t="n">
        <v>2</v>
      </c>
      <c r="N541" s="0" t="n">
        <v>0</v>
      </c>
      <c r="O541" s="0" t="n">
        <v>0</v>
      </c>
      <c r="P541" s="0" t="n">
        <v>4</v>
      </c>
      <c r="Q541" s="0" t="n">
        <v>0</v>
      </c>
      <c r="R541" s="0" t="n">
        <v>0</v>
      </c>
      <c r="S541" s="0" t="n">
        <v>4</v>
      </c>
      <c r="T541" s="0" t="n">
        <v>0</v>
      </c>
      <c r="U541" s="21" t="s">
        <v>3089</v>
      </c>
      <c r="V541" s="21" t="s">
        <v>69</v>
      </c>
      <c r="W541" s="21" t="s">
        <v>283</v>
      </c>
      <c r="X541" s="0" t="n">
        <v>3.62</v>
      </c>
      <c r="Y541" s="0" t="n">
        <v>11.6</v>
      </c>
      <c r="Z541" s="0" t="n">
        <v>62.6</v>
      </c>
      <c r="AA541" s="21" t="s">
        <v>3090</v>
      </c>
      <c r="AB541" s="21" t="s">
        <v>3091</v>
      </c>
      <c r="AC541" s="21" t="s">
        <v>120</v>
      </c>
      <c r="AD541" s="0" t="n">
        <v>97</v>
      </c>
      <c r="AE541" s="22" t="b">
        <f aca="false">FALSE()</f>
        <v>0</v>
      </c>
      <c r="AF541" s="21" t="s">
        <v>121</v>
      </c>
      <c r="AG541" s="21" t="s">
        <v>3092</v>
      </c>
    </row>
    <row r="542" customFormat="false" ht="15" hidden="false" customHeight="false" outlineLevel="0" collapsed="false">
      <c r="A542" s="0" t="s">
        <v>3093</v>
      </c>
      <c r="B542" s="20" t="s">
        <v>124</v>
      </c>
      <c r="E542" s="21" t="s">
        <v>775</v>
      </c>
      <c r="F542" s="21" t="s">
        <v>776</v>
      </c>
      <c r="G542" s="21" t="s">
        <v>111</v>
      </c>
      <c r="H542" s="21" t="s">
        <v>869</v>
      </c>
      <c r="I542" s="21" t="s">
        <v>113</v>
      </c>
      <c r="Z542" s="0" t="n">
        <v>0</v>
      </c>
      <c r="AA542" s="21" t="s">
        <v>3094</v>
      </c>
      <c r="AB542" s="21" t="s">
        <v>3094</v>
      </c>
      <c r="AE542" s="22" t="b">
        <f aca="false">FALSE()</f>
        <v>0</v>
      </c>
      <c r="AF542" s="21" t="s">
        <v>121</v>
      </c>
      <c r="AG542" s="21" t="s">
        <v>3095</v>
      </c>
    </row>
    <row r="543" customFormat="false" ht="15" hidden="false" customHeight="false" outlineLevel="0" collapsed="false">
      <c r="A543" s="0" t="s">
        <v>3096</v>
      </c>
      <c r="B543" s="20" t="s">
        <v>124</v>
      </c>
      <c r="E543" s="21" t="s">
        <v>3097</v>
      </c>
      <c r="F543" s="21" t="s">
        <v>3098</v>
      </c>
      <c r="G543" s="21" t="s">
        <v>111</v>
      </c>
      <c r="H543" s="21" t="s">
        <v>887</v>
      </c>
      <c r="I543" s="21" t="s">
        <v>113</v>
      </c>
      <c r="Z543" s="0" t="n">
        <v>0</v>
      </c>
      <c r="AA543" s="21" t="s">
        <v>2278</v>
      </c>
      <c r="AB543" s="21" t="s">
        <v>2278</v>
      </c>
      <c r="AE543" s="22" t="b">
        <f aca="false">FALSE()</f>
        <v>0</v>
      </c>
      <c r="AF543" s="21" t="s">
        <v>121</v>
      </c>
      <c r="AG543" s="21" t="s">
        <v>3099</v>
      </c>
    </row>
    <row r="544" customFormat="false" ht="15" hidden="false" customHeight="false" outlineLevel="0" collapsed="false">
      <c r="A544" s="0" t="s">
        <v>3100</v>
      </c>
      <c r="B544" s="18" t="s">
        <v>109</v>
      </c>
      <c r="C544" s="19" t="s">
        <v>26</v>
      </c>
      <c r="D544" s="20" t="s">
        <v>31</v>
      </c>
      <c r="E544" s="21" t="s">
        <v>3101</v>
      </c>
      <c r="G544" s="21" t="s">
        <v>127</v>
      </c>
      <c r="H544" s="21" t="s">
        <v>155</v>
      </c>
      <c r="I544" s="21" t="s">
        <v>113</v>
      </c>
      <c r="J544" s="21" t="s">
        <v>114</v>
      </c>
      <c r="K544" s="0" t="n">
        <v>8</v>
      </c>
      <c r="L544" s="0" t="n">
        <v>2</v>
      </c>
      <c r="M544" s="0" t="n">
        <v>3</v>
      </c>
      <c r="N544" s="0" t="n">
        <v>3</v>
      </c>
      <c r="O544" s="0" t="n">
        <v>0</v>
      </c>
      <c r="P544" s="0" t="n">
        <v>5</v>
      </c>
      <c r="Q544" s="0" t="n">
        <v>2</v>
      </c>
      <c r="R544" s="0" t="n">
        <v>0</v>
      </c>
      <c r="S544" s="0" t="n">
        <v>3</v>
      </c>
      <c r="T544" s="0" t="n">
        <v>3</v>
      </c>
      <c r="U544" s="21" t="s">
        <v>3102</v>
      </c>
      <c r="V544" s="21" t="s">
        <v>69</v>
      </c>
      <c r="W544" s="21" t="s">
        <v>136</v>
      </c>
      <c r="X544" s="0" t="n">
        <v>2.37</v>
      </c>
      <c r="Y544" s="0" t="n">
        <v>15</v>
      </c>
      <c r="Z544" s="0" t="n">
        <v>110.3</v>
      </c>
      <c r="AA544" s="21" t="s">
        <v>2283</v>
      </c>
      <c r="AB544" s="21" t="s">
        <v>3103</v>
      </c>
      <c r="AC544" s="21" t="s">
        <v>120</v>
      </c>
      <c r="AD544" s="0" t="n">
        <v>193</v>
      </c>
      <c r="AE544" s="22" t="b">
        <f aca="false">FALSE()</f>
        <v>0</v>
      </c>
      <c r="AF544" s="21" t="s">
        <v>121</v>
      </c>
      <c r="AG544" s="21" t="s">
        <v>3104</v>
      </c>
    </row>
    <row r="545" customFormat="false" ht="15" hidden="false" customHeight="false" outlineLevel="0" collapsed="false">
      <c r="A545" s="0" t="s">
        <v>3105</v>
      </c>
      <c r="B545" s="18" t="s">
        <v>109</v>
      </c>
      <c r="C545" s="19" t="s">
        <v>26</v>
      </c>
      <c r="D545" s="20" t="s">
        <v>31</v>
      </c>
      <c r="E545" s="21" t="s">
        <v>3106</v>
      </c>
      <c r="G545" s="21" t="s">
        <v>111</v>
      </c>
      <c r="H545" s="21" t="s">
        <v>217</v>
      </c>
      <c r="I545" s="21" t="s">
        <v>113</v>
      </c>
      <c r="J545" s="21" t="s">
        <v>134</v>
      </c>
      <c r="K545" s="0" t="n">
        <v>4</v>
      </c>
      <c r="L545" s="0" t="n">
        <v>0</v>
      </c>
      <c r="M545" s="0" t="n">
        <v>3</v>
      </c>
      <c r="N545" s="0" t="n">
        <v>1</v>
      </c>
      <c r="O545" s="0" t="n">
        <v>0</v>
      </c>
      <c r="P545" s="0" t="n">
        <v>3</v>
      </c>
      <c r="Q545" s="0" t="n">
        <v>0</v>
      </c>
      <c r="R545" s="0" t="n">
        <v>0</v>
      </c>
      <c r="S545" s="0" t="n">
        <v>3</v>
      </c>
      <c r="T545" s="0" t="n">
        <v>1</v>
      </c>
      <c r="U545" s="21" t="s">
        <v>3107</v>
      </c>
      <c r="V545" s="21" t="s">
        <v>69</v>
      </c>
      <c r="W545" s="21" t="s">
        <v>313</v>
      </c>
      <c r="X545" s="0" t="n">
        <v>2.7</v>
      </c>
      <c r="Y545" s="0" t="n">
        <v>23.3</v>
      </c>
      <c r="Z545" s="0" t="n">
        <v>58.2</v>
      </c>
      <c r="AA545" s="21" t="s">
        <v>3108</v>
      </c>
      <c r="AB545" s="21" t="s">
        <v>3109</v>
      </c>
      <c r="AC545" s="21" t="s">
        <v>120</v>
      </c>
      <c r="AD545" s="0" t="n">
        <v>97</v>
      </c>
      <c r="AE545" s="22" t="b">
        <f aca="false">FALSE()</f>
        <v>0</v>
      </c>
      <c r="AF545" s="21" t="s">
        <v>121</v>
      </c>
      <c r="AG545" s="21" t="s">
        <v>3110</v>
      </c>
    </row>
    <row r="546" customFormat="false" ht="15" hidden="false" customHeight="false" outlineLevel="0" collapsed="false">
      <c r="A546" s="0" t="s">
        <v>3111</v>
      </c>
      <c r="B546" s="18" t="s">
        <v>109</v>
      </c>
      <c r="C546" s="20" t="s">
        <v>25</v>
      </c>
      <c r="D546" s="20" t="s">
        <v>29</v>
      </c>
      <c r="E546" s="21" t="s">
        <v>3112</v>
      </c>
      <c r="G546" s="21" t="s">
        <v>127</v>
      </c>
      <c r="H546" s="21" t="s">
        <v>269</v>
      </c>
      <c r="I546" s="21" t="s">
        <v>113</v>
      </c>
      <c r="J546" s="21" t="s">
        <v>114</v>
      </c>
      <c r="K546" s="0" t="n">
        <v>8</v>
      </c>
      <c r="L546" s="0" t="n">
        <v>5</v>
      </c>
      <c r="M546" s="0" t="n">
        <v>3</v>
      </c>
      <c r="N546" s="0" t="n">
        <v>0</v>
      </c>
      <c r="O546" s="0" t="n">
        <v>0</v>
      </c>
      <c r="P546" s="0" t="n">
        <v>8</v>
      </c>
      <c r="Q546" s="0" t="n">
        <v>5</v>
      </c>
      <c r="R546" s="0" t="n">
        <v>3</v>
      </c>
      <c r="S546" s="0" t="n">
        <v>0</v>
      </c>
      <c r="T546" s="0" t="n">
        <v>0</v>
      </c>
      <c r="W546" s="21" t="s">
        <v>3113</v>
      </c>
      <c r="X546" s="0" t="n">
        <v>2.07</v>
      </c>
      <c r="Y546" s="0" t="n">
        <v>16.3</v>
      </c>
      <c r="Z546" s="0" t="n">
        <v>108.7</v>
      </c>
      <c r="AA546" s="21" t="s">
        <v>3114</v>
      </c>
      <c r="AB546" s="21" t="s">
        <v>3115</v>
      </c>
      <c r="AC546" s="21" t="s">
        <v>120</v>
      </c>
      <c r="AD546" s="0" t="n">
        <v>192</v>
      </c>
      <c r="AE546" s="22" t="b">
        <f aca="false">FALSE()</f>
        <v>0</v>
      </c>
      <c r="AF546" s="21" t="s">
        <v>121</v>
      </c>
      <c r="AG546" s="21" t="s">
        <v>3116</v>
      </c>
    </row>
    <row r="547" customFormat="false" ht="15" hidden="false" customHeight="false" outlineLevel="0" collapsed="false">
      <c r="A547" s="0" t="s">
        <v>3117</v>
      </c>
      <c r="B547" s="18" t="s">
        <v>109</v>
      </c>
      <c r="C547" s="19" t="s">
        <v>26</v>
      </c>
      <c r="D547" s="20" t="s">
        <v>31</v>
      </c>
      <c r="E547" s="21" t="s">
        <v>3118</v>
      </c>
      <c r="G547" s="21" t="s">
        <v>111</v>
      </c>
      <c r="H547" s="21" t="s">
        <v>343</v>
      </c>
      <c r="I547" s="21" t="s">
        <v>113</v>
      </c>
      <c r="J547" s="21" t="s">
        <v>114</v>
      </c>
      <c r="K547" s="0" t="n">
        <v>8</v>
      </c>
      <c r="L547" s="0" t="n">
        <v>1</v>
      </c>
      <c r="M547" s="0" t="n">
        <v>3</v>
      </c>
      <c r="N547" s="0" t="n">
        <v>4</v>
      </c>
      <c r="O547" s="0" t="n">
        <v>0</v>
      </c>
      <c r="P547" s="0" t="n">
        <v>4</v>
      </c>
      <c r="Q547" s="0" t="n">
        <v>0</v>
      </c>
      <c r="R547" s="0" t="n">
        <v>0</v>
      </c>
      <c r="S547" s="0" t="n">
        <v>4</v>
      </c>
      <c r="T547" s="0" t="n">
        <v>4</v>
      </c>
      <c r="U547" s="21" t="s">
        <v>3119</v>
      </c>
      <c r="V547" s="21" t="s">
        <v>69</v>
      </c>
      <c r="W547" s="21" t="s">
        <v>705</v>
      </c>
      <c r="X547" s="0" t="n">
        <v>1.38</v>
      </c>
      <c r="Y547" s="0" t="n">
        <v>10.7</v>
      </c>
      <c r="Z547" s="0" t="n">
        <v>110.6</v>
      </c>
      <c r="AA547" s="21" t="s">
        <v>3120</v>
      </c>
      <c r="AB547" s="21" t="s">
        <v>3121</v>
      </c>
      <c r="AC547" s="21" t="s">
        <v>120</v>
      </c>
      <c r="AD547" s="0" t="n">
        <v>197</v>
      </c>
      <c r="AE547" s="22" t="b">
        <f aca="false">FALSE()</f>
        <v>0</v>
      </c>
      <c r="AF547" s="21" t="s">
        <v>121</v>
      </c>
      <c r="AG547" s="21" t="s">
        <v>3122</v>
      </c>
    </row>
    <row r="548" customFormat="false" ht="15" hidden="false" customHeight="false" outlineLevel="0" collapsed="false">
      <c r="A548" s="0" t="s">
        <v>3123</v>
      </c>
      <c r="B548" s="20" t="s">
        <v>124</v>
      </c>
      <c r="E548" s="21" t="s">
        <v>805</v>
      </c>
      <c r="F548" s="21" t="s">
        <v>806</v>
      </c>
      <c r="G548" s="21" t="s">
        <v>111</v>
      </c>
      <c r="H548" s="21" t="s">
        <v>343</v>
      </c>
      <c r="I548" s="21" t="s">
        <v>113</v>
      </c>
      <c r="Z548" s="0" t="n">
        <v>0</v>
      </c>
      <c r="AA548" s="21" t="s">
        <v>3124</v>
      </c>
      <c r="AB548" s="21" t="s">
        <v>3124</v>
      </c>
      <c r="AE548" s="22" t="b">
        <f aca="false">FALSE()</f>
        <v>0</v>
      </c>
      <c r="AF548" s="21" t="s">
        <v>121</v>
      </c>
      <c r="AG548" s="21" t="s">
        <v>3125</v>
      </c>
    </row>
    <row r="549" customFormat="false" ht="15" hidden="false" customHeight="false" outlineLevel="0" collapsed="false">
      <c r="A549" s="0" t="s">
        <v>3126</v>
      </c>
      <c r="B549" s="18" t="s">
        <v>109</v>
      </c>
      <c r="C549" s="20" t="s">
        <v>25</v>
      </c>
      <c r="D549" s="23" t="s">
        <v>30</v>
      </c>
      <c r="E549" s="21" t="s">
        <v>3127</v>
      </c>
      <c r="G549" s="21" t="s">
        <v>127</v>
      </c>
      <c r="H549" s="21" t="s">
        <v>495</v>
      </c>
      <c r="I549" s="21" t="s">
        <v>113</v>
      </c>
      <c r="J549" s="21" t="s">
        <v>134</v>
      </c>
      <c r="K549" s="0" t="n">
        <v>4</v>
      </c>
      <c r="L549" s="0" t="n">
        <v>2</v>
      </c>
      <c r="M549" s="0" t="n">
        <v>2</v>
      </c>
      <c r="N549" s="0" t="n">
        <v>0</v>
      </c>
      <c r="O549" s="0" t="n">
        <v>0</v>
      </c>
      <c r="P549" s="0" t="n">
        <v>4</v>
      </c>
      <c r="Q549" s="0" t="n">
        <v>0</v>
      </c>
      <c r="R549" s="0" t="n">
        <v>0</v>
      </c>
      <c r="S549" s="0" t="n">
        <v>4</v>
      </c>
      <c r="T549" s="0" t="n">
        <v>0</v>
      </c>
      <c r="U549" s="21" t="s">
        <v>3128</v>
      </c>
      <c r="V549" s="21" t="s">
        <v>69</v>
      </c>
      <c r="W549" s="21" t="s">
        <v>283</v>
      </c>
      <c r="X549" s="0" t="n">
        <v>13.07</v>
      </c>
      <c r="Y549" s="0" t="n">
        <v>6.2</v>
      </c>
      <c r="Z549" s="0" t="n">
        <v>58</v>
      </c>
      <c r="AA549" s="21" t="s">
        <v>3129</v>
      </c>
      <c r="AB549" s="21" t="s">
        <v>3130</v>
      </c>
      <c r="AC549" s="21" t="s">
        <v>120</v>
      </c>
      <c r="AD549" s="0" t="n">
        <v>95</v>
      </c>
      <c r="AE549" s="22" t="b">
        <f aca="false">FALSE()</f>
        <v>0</v>
      </c>
      <c r="AF549" s="21" t="s">
        <v>121</v>
      </c>
      <c r="AG549" s="21" t="s">
        <v>3131</v>
      </c>
    </row>
    <row r="550" customFormat="false" ht="15" hidden="false" customHeight="false" outlineLevel="0" collapsed="false">
      <c r="A550" s="0" t="s">
        <v>3132</v>
      </c>
      <c r="B550" s="18" t="s">
        <v>109</v>
      </c>
      <c r="C550" s="19" t="s">
        <v>26</v>
      </c>
      <c r="D550" s="20" t="s">
        <v>31</v>
      </c>
      <c r="E550" s="21" t="s">
        <v>3133</v>
      </c>
      <c r="G550" s="21" t="s">
        <v>127</v>
      </c>
      <c r="H550" s="21" t="s">
        <v>343</v>
      </c>
      <c r="I550" s="21" t="s">
        <v>113</v>
      </c>
      <c r="J550" s="21" t="s">
        <v>114</v>
      </c>
      <c r="K550" s="0" t="n">
        <v>8</v>
      </c>
      <c r="L550" s="0" t="n">
        <v>1</v>
      </c>
      <c r="M550" s="0" t="n">
        <v>6</v>
      </c>
      <c r="N550" s="0" t="n">
        <v>1</v>
      </c>
      <c r="O550" s="0" t="n">
        <v>0</v>
      </c>
      <c r="P550" s="0" t="n">
        <v>7</v>
      </c>
      <c r="Q550" s="0" t="n">
        <v>1</v>
      </c>
      <c r="R550" s="0" t="n">
        <v>2</v>
      </c>
      <c r="S550" s="0" t="n">
        <v>4</v>
      </c>
      <c r="T550" s="0" t="n">
        <v>1</v>
      </c>
      <c r="U550" s="21" t="s">
        <v>3134</v>
      </c>
      <c r="V550" s="21" t="s">
        <v>69</v>
      </c>
      <c r="W550" s="21" t="s">
        <v>1740</v>
      </c>
      <c r="X550" s="0" t="n">
        <v>1.77</v>
      </c>
      <c r="Y550" s="0" t="n">
        <v>16.6</v>
      </c>
      <c r="Z550" s="0" t="n">
        <v>109.1</v>
      </c>
      <c r="AA550" s="21" t="s">
        <v>3135</v>
      </c>
      <c r="AB550" s="21" t="s">
        <v>3136</v>
      </c>
      <c r="AC550" s="21" t="s">
        <v>120</v>
      </c>
      <c r="AD550" s="0" t="n">
        <v>192</v>
      </c>
      <c r="AE550" s="22" t="b">
        <f aca="false">FALSE()</f>
        <v>0</v>
      </c>
      <c r="AF550" s="21" t="s">
        <v>121</v>
      </c>
      <c r="AG550" s="21" t="s">
        <v>3137</v>
      </c>
    </row>
    <row r="551" customFormat="false" ht="15" hidden="false" customHeight="false" outlineLevel="0" collapsed="false">
      <c r="A551" s="0" t="s">
        <v>3138</v>
      </c>
      <c r="B551" s="20" t="s">
        <v>124</v>
      </c>
      <c r="E551" s="21" t="s">
        <v>751</v>
      </c>
      <c r="F551" s="21" t="s">
        <v>752</v>
      </c>
      <c r="G551" s="21" t="s">
        <v>127</v>
      </c>
      <c r="H551" s="21" t="s">
        <v>753</v>
      </c>
      <c r="I551" s="21" t="s">
        <v>113</v>
      </c>
      <c r="Z551" s="0" t="n">
        <v>0</v>
      </c>
      <c r="AA551" s="21" t="s">
        <v>3139</v>
      </c>
      <c r="AB551" s="21" t="s">
        <v>3139</v>
      </c>
      <c r="AE551" s="22" t="b">
        <f aca="false">FALSE()</f>
        <v>0</v>
      </c>
      <c r="AF551" s="21" t="s">
        <v>121</v>
      </c>
      <c r="AG551" s="21" t="s">
        <v>3140</v>
      </c>
    </row>
    <row r="552" customFormat="false" ht="15" hidden="false" customHeight="false" outlineLevel="0" collapsed="false">
      <c r="A552" s="0" t="s">
        <v>3141</v>
      </c>
      <c r="B552" s="20" t="s">
        <v>124</v>
      </c>
      <c r="E552" s="21" t="s">
        <v>306</v>
      </c>
      <c r="F552" s="21" t="s">
        <v>307</v>
      </c>
      <c r="G552" s="21" t="s">
        <v>111</v>
      </c>
      <c r="H552" s="21" t="s">
        <v>308</v>
      </c>
      <c r="I552" s="21" t="s">
        <v>113</v>
      </c>
      <c r="Z552" s="0" t="n">
        <v>0</v>
      </c>
      <c r="AA552" s="21" t="s">
        <v>3142</v>
      </c>
      <c r="AB552" s="21" t="s">
        <v>3142</v>
      </c>
      <c r="AE552" s="22" t="b">
        <f aca="false">FALSE()</f>
        <v>0</v>
      </c>
      <c r="AF552" s="21" t="s">
        <v>121</v>
      </c>
      <c r="AG552" s="21" t="s">
        <v>3143</v>
      </c>
    </row>
    <row r="553" customFormat="false" ht="15" hidden="false" customHeight="false" outlineLevel="0" collapsed="false">
      <c r="A553" s="0" t="s">
        <v>3144</v>
      </c>
      <c r="B553" s="18" t="s">
        <v>109</v>
      </c>
      <c r="C553" s="19" t="s">
        <v>26</v>
      </c>
      <c r="D553" s="20" t="s">
        <v>31</v>
      </c>
      <c r="E553" s="21" t="s">
        <v>3145</v>
      </c>
      <c r="G553" s="21" t="s">
        <v>111</v>
      </c>
      <c r="H553" s="21" t="s">
        <v>343</v>
      </c>
      <c r="I553" s="21" t="s">
        <v>113</v>
      </c>
      <c r="J553" s="21" t="s">
        <v>114</v>
      </c>
      <c r="K553" s="0" t="n">
        <v>8</v>
      </c>
      <c r="L553" s="0" t="n">
        <v>2</v>
      </c>
      <c r="M553" s="0" t="n">
        <v>3</v>
      </c>
      <c r="N553" s="0" t="n">
        <v>3</v>
      </c>
      <c r="O553" s="0" t="n">
        <v>0</v>
      </c>
      <c r="P553" s="0" t="n">
        <v>5</v>
      </c>
      <c r="Q553" s="0" t="n">
        <v>0</v>
      </c>
      <c r="R553" s="0" t="n">
        <v>0</v>
      </c>
      <c r="S553" s="0" t="n">
        <v>5</v>
      </c>
      <c r="T553" s="0" t="n">
        <v>3</v>
      </c>
      <c r="U553" s="21" t="s">
        <v>3146</v>
      </c>
      <c r="V553" s="21" t="s">
        <v>116</v>
      </c>
      <c r="W553" s="21" t="s">
        <v>3147</v>
      </c>
      <c r="X553" s="0" t="n">
        <v>1.07</v>
      </c>
      <c r="Y553" s="0" t="n">
        <v>14.9</v>
      </c>
      <c r="Z553" s="0" t="n">
        <v>112.5</v>
      </c>
      <c r="AA553" s="21" t="s">
        <v>3148</v>
      </c>
      <c r="AB553" s="21" t="s">
        <v>3149</v>
      </c>
      <c r="AC553" s="21" t="s">
        <v>120</v>
      </c>
      <c r="AD553" s="0" t="n">
        <v>191</v>
      </c>
      <c r="AE553" s="22" t="b">
        <f aca="false">FALSE()</f>
        <v>0</v>
      </c>
      <c r="AF553" s="21" t="s">
        <v>121</v>
      </c>
      <c r="AG553" s="21" t="s">
        <v>3150</v>
      </c>
    </row>
    <row r="554" customFormat="false" ht="15" hidden="false" customHeight="false" outlineLevel="0" collapsed="false">
      <c r="A554" s="0" t="s">
        <v>3151</v>
      </c>
      <c r="B554" s="18" t="s">
        <v>109</v>
      </c>
      <c r="C554" s="20" t="s">
        <v>25</v>
      </c>
      <c r="D554" s="23" t="s">
        <v>30</v>
      </c>
      <c r="E554" s="21" t="s">
        <v>3152</v>
      </c>
      <c r="G554" s="21" t="s">
        <v>111</v>
      </c>
      <c r="H554" s="21" t="s">
        <v>181</v>
      </c>
      <c r="I554" s="21" t="s">
        <v>113</v>
      </c>
      <c r="J554" s="21" t="s">
        <v>134</v>
      </c>
      <c r="K554" s="0" t="n">
        <v>4</v>
      </c>
      <c r="L554" s="0" t="n">
        <v>0</v>
      </c>
      <c r="M554" s="0" t="n">
        <v>4</v>
      </c>
      <c r="N554" s="0" t="n">
        <v>0</v>
      </c>
      <c r="O554" s="0" t="n">
        <v>0</v>
      </c>
      <c r="P554" s="0" t="n">
        <v>4</v>
      </c>
      <c r="Q554" s="0" t="n">
        <v>0</v>
      </c>
      <c r="R554" s="0" t="n">
        <v>2</v>
      </c>
      <c r="S554" s="0" t="n">
        <v>2</v>
      </c>
      <c r="T554" s="0" t="n">
        <v>0</v>
      </c>
      <c r="U554" s="21" t="s">
        <v>3153</v>
      </c>
      <c r="V554" s="21" t="s">
        <v>69</v>
      </c>
      <c r="W554" s="21" t="s">
        <v>1393</v>
      </c>
      <c r="X554" s="0" t="n">
        <v>2.31</v>
      </c>
      <c r="Y554" s="0" t="n">
        <v>29.9</v>
      </c>
      <c r="Z554" s="0" t="n">
        <v>59.5</v>
      </c>
      <c r="AA554" s="21" t="s">
        <v>2791</v>
      </c>
      <c r="AB554" s="21" t="s">
        <v>3154</v>
      </c>
      <c r="AC554" s="21" t="s">
        <v>120</v>
      </c>
      <c r="AD554" s="0" t="n">
        <v>95</v>
      </c>
      <c r="AE554" s="22" t="b">
        <f aca="false">FALSE()</f>
        <v>0</v>
      </c>
      <c r="AF554" s="21" t="s">
        <v>121</v>
      </c>
      <c r="AG554" s="21" t="s">
        <v>3155</v>
      </c>
    </row>
    <row r="555" customFormat="false" ht="15" hidden="false" customHeight="false" outlineLevel="0" collapsed="false">
      <c r="A555" s="0" t="s">
        <v>3156</v>
      </c>
      <c r="B555" s="20" t="s">
        <v>124</v>
      </c>
      <c r="E555" s="21" t="s">
        <v>805</v>
      </c>
      <c r="F555" s="21" t="s">
        <v>806</v>
      </c>
      <c r="G555" s="21" t="s">
        <v>111</v>
      </c>
      <c r="H555" s="21" t="s">
        <v>953</v>
      </c>
      <c r="I555" s="21" t="s">
        <v>113</v>
      </c>
      <c r="Z555" s="0" t="n">
        <v>0</v>
      </c>
      <c r="AA555" s="21" t="s">
        <v>3157</v>
      </c>
      <c r="AB555" s="21" t="s">
        <v>3157</v>
      </c>
      <c r="AE555" s="22" t="b">
        <f aca="false">FALSE()</f>
        <v>0</v>
      </c>
      <c r="AF555" s="21" t="s">
        <v>121</v>
      </c>
      <c r="AG555" s="21" t="s">
        <v>3158</v>
      </c>
    </row>
    <row r="556" customFormat="false" ht="15" hidden="false" customHeight="false" outlineLevel="0" collapsed="false">
      <c r="A556" s="0" t="s">
        <v>3159</v>
      </c>
      <c r="B556" s="20" t="s">
        <v>124</v>
      </c>
      <c r="E556" s="21" t="s">
        <v>552</v>
      </c>
      <c r="F556" s="21" t="s">
        <v>553</v>
      </c>
      <c r="G556" s="21" t="s">
        <v>111</v>
      </c>
      <c r="H556" s="21" t="s">
        <v>554</v>
      </c>
      <c r="I556" s="21" t="s">
        <v>113</v>
      </c>
      <c r="Z556" s="0" t="n">
        <v>0</v>
      </c>
      <c r="AA556" s="21" t="s">
        <v>3160</v>
      </c>
      <c r="AB556" s="21" t="s">
        <v>3160</v>
      </c>
      <c r="AE556" s="22" t="b">
        <f aca="false">FALSE()</f>
        <v>0</v>
      </c>
      <c r="AF556" s="21" t="s">
        <v>121</v>
      </c>
      <c r="AG556" s="21" t="s">
        <v>3161</v>
      </c>
    </row>
    <row r="557" customFormat="false" ht="15" hidden="false" customHeight="false" outlineLevel="0" collapsed="false">
      <c r="A557" s="0" t="s">
        <v>3162</v>
      </c>
      <c r="B557" s="18" t="s">
        <v>109</v>
      </c>
      <c r="C557" s="20" t="s">
        <v>25</v>
      </c>
      <c r="D557" s="23" t="s">
        <v>30</v>
      </c>
      <c r="E557" s="21" t="s">
        <v>3163</v>
      </c>
      <c r="G557" s="21" t="s">
        <v>127</v>
      </c>
      <c r="H557" s="21" t="s">
        <v>112</v>
      </c>
      <c r="I557" s="21" t="s">
        <v>113</v>
      </c>
      <c r="J557" s="21" t="s">
        <v>134</v>
      </c>
      <c r="K557" s="0" t="n">
        <v>4</v>
      </c>
      <c r="L557" s="0" t="n">
        <v>0</v>
      </c>
      <c r="M557" s="0" t="n">
        <v>4</v>
      </c>
      <c r="N557" s="0" t="n">
        <v>0</v>
      </c>
      <c r="O557" s="0" t="n">
        <v>0</v>
      </c>
      <c r="P557" s="0" t="n">
        <v>4</v>
      </c>
      <c r="Q557" s="0" t="n">
        <v>0</v>
      </c>
      <c r="R557" s="0" t="n">
        <v>0</v>
      </c>
      <c r="S557" s="0" t="n">
        <v>4</v>
      </c>
      <c r="T557" s="0" t="n">
        <v>0</v>
      </c>
      <c r="U557" s="21" t="s">
        <v>3164</v>
      </c>
      <c r="V557" s="21" t="s">
        <v>69</v>
      </c>
      <c r="W557" s="21" t="s">
        <v>1343</v>
      </c>
      <c r="X557" s="0" t="n">
        <v>2.18</v>
      </c>
      <c r="Y557" s="0" t="n">
        <v>14.1</v>
      </c>
      <c r="Z557" s="0" t="n">
        <v>63.8</v>
      </c>
      <c r="AA557" s="21" t="s">
        <v>3165</v>
      </c>
      <c r="AB557" s="21" t="s">
        <v>3166</v>
      </c>
      <c r="AC557" s="21" t="s">
        <v>120</v>
      </c>
      <c r="AD557" s="0" t="n">
        <v>107</v>
      </c>
      <c r="AE557" s="22" t="b">
        <f aca="false">FALSE()</f>
        <v>0</v>
      </c>
      <c r="AF557" s="21" t="s">
        <v>121</v>
      </c>
      <c r="AG557" s="21" t="s">
        <v>3167</v>
      </c>
    </row>
    <row r="558" customFormat="false" ht="15" hidden="false" customHeight="false" outlineLevel="0" collapsed="false">
      <c r="A558" s="0" t="s">
        <v>3168</v>
      </c>
      <c r="B558" s="20" t="s">
        <v>124</v>
      </c>
      <c r="E558" s="21" t="s">
        <v>206</v>
      </c>
      <c r="F558" s="21" t="s">
        <v>207</v>
      </c>
      <c r="G558" s="21" t="s">
        <v>127</v>
      </c>
      <c r="H558" s="21" t="s">
        <v>208</v>
      </c>
      <c r="I558" s="21" t="s">
        <v>113</v>
      </c>
      <c r="Z558" s="0" t="n">
        <v>0</v>
      </c>
      <c r="AA558" s="21" t="s">
        <v>3169</v>
      </c>
      <c r="AB558" s="21" t="s">
        <v>3169</v>
      </c>
      <c r="AE558" s="22" t="b">
        <f aca="false">FALSE()</f>
        <v>0</v>
      </c>
      <c r="AF558" s="21" t="s">
        <v>121</v>
      </c>
      <c r="AG558" s="21" t="s">
        <v>3170</v>
      </c>
    </row>
    <row r="559" customFormat="false" ht="15" hidden="false" customHeight="false" outlineLevel="0" collapsed="false">
      <c r="A559" s="0" t="s">
        <v>3171</v>
      </c>
      <c r="B559" s="20" t="s">
        <v>124</v>
      </c>
      <c r="E559" s="21" t="s">
        <v>552</v>
      </c>
      <c r="F559" s="21" t="s">
        <v>553</v>
      </c>
      <c r="G559" s="21" t="s">
        <v>127</v>
      </c>
      <c r="H559" s="21" t="s">
        <v>554</v>
      </c>
      <c r="I559" s="21" t="s">
        <v>113</v>
      </c>
      <c r="Z559" s="0" t="n">
        <v>0</v>
      </c>
      <c r="AA559" s="21" t="s">
        <v>3172</v>
      </c>
      <c r="AB559" s="21" t="s">
        <v>3172</v>
      </c>
      <c r="AE559" s="22" t="b">
        <f aca="false">FALSE()</f>
        <v>0</v>
      </c>
      <c r="AF559" s="21" t="s">
        <v>121</v>
      </c>
      <c r="AG559" s="21" t="s">
        <v>3173</v>
      </c>
    </row>
    <row r="560" customFormat="false" ht="15" hidden="false" customHeight="false" outlineLevel="0" collapsed="false">
      <c r="A560" s="0" t="s">
        <v>3174</v>
      </c>
      <c r="B560" s="20" t="s">
        <v>124</v>
      </c>
      <c r="E560" s="21" t="s">
        <v>211</v>
      </c>
      <c r="F560" s="21" t="s">
        <v>212</v>
      </c>
      <c r="G560" s="21" t="s">
        <v>127</v>
      </c>
      <c r="H560" s="21" t="s">
        <v>213</v>
      </c>
      <c r="I560" s="21" t="s">
        <v>113</v>
      </c>
      <c r="Z560" s="0" t="n">
        <v>0</v>
      </c>
      <c r="AA560" s="21" t="s">
        <v>3175</v>
      </c>
      <c r="AB560" s="21" t="s">
        <v>3175</v>
      </c>
      <c r="AE560" s="22" t="b">
        <f aca="false">FALSE()</f>
        <v>0</v>
      </c>
      <c r="AF560" s="21" t="s">
        <v>121</v>
      </c>
      <c r="AG560" s="21" t="s">
        <v>3176</v>
      </c>
    </row>
    <row r="561" customFormat="false" ht="15" hidden="false" customHeight="false" outlineLevel="0" collapsed="false">
      <c r="A561" s="0" t="s">
        <v>3177</v>
      </c>
      <c r="B561" s="18" t="s">
        <v>109</v>
      </c>
      <c r="C561" s="20" t="s">
        <v>25</v>
      </c>
      <c r="D561" s="23" t="s">
        <v>30</v>
      </c>
      <c r="E561" s="21" t="s">
        <v>3178</v>
      </c>
      <c r="G561" s="21" t="s">
        <v>111</v>
      </c>
      <c r="H561" s="21" t="s">
        <v>397</v>
      </c>
      <c r="I561" s="21" t="s">
        <v>113</v>
      </c>
      <c r="J561" s="21" t="s">
        <v>134</v>
      </c>
      <c r="K561" s="0" t="n">
        <v>4</v>
      </c>
      <c r="L561" s="0" t="n">
        <v>2</v>
      </c>
      <c r="M561" s="0" t="n">
        <v>2</v>
      </c>
      <c r="N561" s="0" t="n">
        <v>0</v>
      </c>
      <c r="O561" s="0" t="n">
        <v>0</v>
      </c>
      <c r="P561" s="0" t="n">
        <v>4</v>
      </c>
      <c r="Q561" s="0" t="n">
        <v>2</v>
      </c>
      <c r="R561" s="0" t="n">
        <v>0</v>
      </c>
      <c r="S561" s="0" t="n">
        <v>2</v>
      </c>
      <c r="T561" s="0" t="n">
        <v>0</v>
      </c>
      <c r="U561" s="21" t="s">
        <v>3179</v>
      </c>
      <c r="V561" s="21" t="s">
        <v>69</v>
      </c>
      <c r="W561" s="21" t="s">
        <v>183</v>
      </c>
      <c r="X561" s="0" t="n">
        <v>4.76</v>
      </c>
      <c r="Y561" s="0" t="n">
        <v>17.5</v>
      </c>
      <c r="Z561" s="0" t="n">
        <v>59.8</v>
      </c>
      <c r="AA561" s="21" t="s">
        <v>2383</v>
      </c>
      <c r="AB561" s="21" t="s">
        <v>3180</v>
      </c>
      <c r="AC561" s="21" t="s">
        <v>120</v>
      </c>
      <c r="AD561" s="0" t="n">
        <v>98</v>
      </c>
      <c r="AE561" s="22" t="b">
        <f aca="false">FALSE()</f>
        <v>0</v>
      </c>
      <c r="AF561" s="21" t="s">
        <v>121</v>
      </c>
      <c r="AG561" s="21" t="s">
        <v>3181</v>
      </c>
    </row>
    <row r="562" customFormat="false" ht="15" hidden="false" customHeight="false" outlineLevel="0" collapsed="false">
      <c r="A562" s="0" t="s">
        <v>3182</v>
      </c>
      <c r="B562" s="18" t="s">
        <v>109</v>
      </c>
      <c r="C562" s="20" t="s">
        <v>25</v>
      </c>
      <c r="D562" s="23" t="s">
        <v>30</v>
      </c>
      <c r="E562" s="21" t="s">
        <v>3183</v>
      </c>
      <c r="G562" s="21" t="s">
        <v>111</v>
      </c>
      <c r="H562" s="21" t="s">
        <v>289</v>
      </c>
      <c r="I562" s="21" t="s">
        <v>113</v>
      </c>
      <c r="J562" s="21" t="s">
        <v>134</v>
      </c>
      <c r="K562" s="0" t="n">
        <v>4</v>
      </c>
      <c r="L562" s="0" t="n">
        <v>2</v>
      </c>
      <c r="M562" s="0" t="n">
        <v>2</v>
      </c>
      <c r="N562" s="0" t="n">
        <v>0</v>
      </c>
      <c r="O562" s="0" t="n">
        <v>0</v>
      </c>
      <c r="P562" s="0" t="n">
        <v>4</v>
      </c>
      <c r="Q562" s="0" t="n">
        <v>0</v>
      </c>
      <c r="R562" s="0" t="n">
        <v>0</v>
      </c>
      <c r="S562" s="0" t="n">
        <v>4</v>
      </c>
      <c r="T562" s="0" t="n">
        <v>0</v>
      </c>
      <c r="U562" s="21" t="s">
        <v>3184</v>
      </c>
      <c r="V562" s="21" t="s">
        <v>69</v>
      </c>
      <c r="W562" s="21" t="s">
        <v>283</v>
      </c>
      <c r="X562" s="0" t="n">
        <v>1.76</v>
      </c>
      <c r="Y562" s="0" t="n">
        <v>15.8</v>
      </c>
      <c r="Z562" s="0" t="n">
        <v>58.3</v>
      </c>
      <c r="AA562" s="21" t="s">
        <v>3185</v>
      </c>
      <c r="AB562" s="21" t="s">
        <v>3186</v>
      </c>
      <c r="AC562" s="21" t="s">
        <v>120</v>
      </c>
      <c r="AD562" s="0" t="n">
        <v>96</v>
      </c>
      <c r="AE562" s="22" t="b">
        <f aca="false">FALSE()</f>
        <v>0</v>
      </c>
      <c r="AF562" s="21" t="s">
        <v>121</v>
      </c>
      <c r="AG562" s="21" t="s">
        <v>3187</v>
      </c>
    </row>
    <row r="563" customFormat="false" ht="15" hidden="false" customHeight="false" outlineLevel="0" collapsed="false">
      <c r="A563" s="0" t="s">
        <v>3188</v>
      </c>
      <c r="B563" s="18" t="s">
        <v>109</v>
      </c>
      <c r="C563" s="20" t="s">
        <v>25</v>
      </c>
      <c r="D563" s="23" t="s">
        <v>30</v>
      </c>
      <c r="E563" s="21" t="s">
        <v>3189</v>
      </c>
      <c r="G563" s="21" t="s">
        <v>127</v>
      </c>
      <c r="H563" s="21" t="s">
        <v>261</v>
      </c>
      <c r="I563" s="21" t="s">
        <v>113</v>
      </c>
      <c r="J563" s="21" t="s">
        <v>134</v>
      </c>
      <c r="K563" s="0" t="n">
        <v>4</v>
      </c>
      <c r="L563" s="0" t="n">
        <v>1</v>
      </c>
      <c r="M563" s="0" t="n">
        <v>3</v>
      </c>
      <c r="N563" s="0" t="n">
        <v>0</v>
      </c>
      <c r="O563" s="0" t="n">
        <v>0</v>
      </c>
      <c r="P563" s="0" t="n">
        <v>4</v>
      </c>
      <c r="Q563" s="0" t="n">
        <v>0</v>
      </c>
      <c r="R563" s="0" t="n">
        <v>1</v>
      </c>
      <c r="S563" s="0" t="n">
        <v>3</v>
      </c>
      <c r="T563" s="0" t="n">
        <v>0</v>
      </c>
      <c r="U563" s="21" t="s">
        <v>3190</v>
      </c>
      <c r="V563" s="21" t="s">
        <v>69</v>
      </c>
      <c r="W563" s="21" t="s">
        <v>1152</v>
      </c>
      <c r="X563" s="0" t="n">
        <v>0.93</v>
      </c>
      <c r="Y563" s="0" t="n">
        <v>10.1</v>
      </c>
      <c r="Z563" s="0" t="n">
        <v>60</v>
      </c>
      <c r="AA563" s="21" t="s">
        <v>3191</v>
      </c>
      <c r="AB563" s="21" t="s">
        <v>3192</v>
      </c>
      <c r="AC563" s="21" t="s">
        <v>120</v>
      </c>
      <c r="AD563" s="0" t="n">
        <v>96</v>
      </c>
      <c r="AE563" s="22" t="b">
        <f aca="false">FALSE()</f>
        <v>0</v>
      </c>
      <c r="AF563" s="21" t="s">
        <v>121</v>
      </c>
      <c r="AG563" s="21" t="s">
        <v>3193</v>
      </c>
    </row>
    <row r="564" customFormat="false" ht="15" hidden="false" customHeight="false" outlineLevel="0" collapsed="false">
      <c r="A564" s="0" t="s">
        <v>3194</v>
      </c>
      <c r="B564" s="20" t="s">
        <v>124</v>
      </c>
      <c r="E564" s="21" t="s">
        <v>552</v>
      </c>
      <c r="F564" s="21" t="s">
        <v>553</v>
      </c>
      <c r="G564" s="21" t="s">
        <v>127</v>
      </c>
      <c r="H564" s="21" t="s">
        <v>554</v>
      </c>
      <c r="I564" s="21" t="s">
        <v>113</v>
      </c>
      <c r="Z564" s="0" t="n">
        <v>0</v>
      </c>
      <c r="AA564" s="21" t="s">
        <v>3195</v>
      </c>
      <c r="AB564" s="21" t="s">
        <v>3195</v>
      </c>
      <c r="AE564" s="22" t="b">
        <f aca="false">FALSE()</f>
        <v>0</v>
      </c>
      <c r="AF564" s="21" t="s">
        <v>121</v>
      </c>
      <c r="AG564" s="21" t="s">
        <v>3196</v>
      </c>
    </row>
    <row r="565" customFormat="false" ht="15" hidden="false" customHeight="false" outlineLevel="0" collapsed="false">
      <c r="A565" s="0" t="s">
        <v>3197</v>
      </c>
      <c r="B565" s="20" t="s">
        <v>124</v>
      </c>
      <c r="E565" s="21" t="s">
        <v>3198</v>
      </c>
      <c r="F565" s="21" t="s">
        <v>3199</v>
      </c>
      <c r="G565" s="21" t="s">
        <v>111</v>
      </c>
      <c r="H565" s="21" t="s">
        <v>203</v>
      </c>
      <c r="I565" s="21" t="s">
        <v>113</v>
      </c>
      <c r="Z565" s="0" t="n">
        <v>0</v>
      </c>
      <c r="AA565" s="21" t="s">
        <v>3200</v>
      </c>
      <c r="AB565" s="21" t="s">
        <v>3200</v>
      </c>
      <c r="AE565" s="22" t="b">
        <f aca="false">FALSE()</f>
        <v>0</v>
      </c>
      <c r="AF565" s="21" t="s">
        <v>121</v>
      </c>
      <c r="AG565" s="21" t="s">
        <v>3201</v>
      </c>
    </row>
    <row r="566" customFormat="false" ht="15" hidden="false" customHeight="false" outlineLevel="0" collapsed="false">
      <c r="A566" s="0" t="s">
        <v>3202</v>
      </c>
      <c r="B566" s="18" t="s">
        <v>109</v>
      </c>
      <c r="C566" s="19" t="s">
        <v>26</v>
      </c>
      <c r="D566" s="20" t="s">
        <v>31</v>
      </c>
      <c r="E566" s="21" t="s">
        <v>3203</v>
      </c>
      <c r="G566" s="21" t="s">
        <v>111</v>
      </c>
      <c r="H566" s="21" t="s">
        <v>626</v>
      </c>
      <c r="I566" s="21" t="s">
        <v>113</v>
      </c>
      <c r="J566" s="21" t="s">
        <v>114</v>
      </c>
      <c r="K566" s="0" t="n">
        <v>8</v>
      </c>
      <c r="L566" s="0" t="n">
        <v>3</v>
      </c>
      <c r="M566" s="0" t="n">
        <v>4</v>
      </c>
      <c r="N566" s="0" t="n">
        <v>1</v>
      </c>
      <c r="O566" s="0" t="n">
        <v>0</v>
      </c>
      <c r="P566" s="0" t="n">
        <v>7</v>
      </c>
      <c r="Q566" s="0" t="n">
        <v>0</v>
      </c>
      <c r="R566" s="0" t="n">
        <v>1</v>
      </c>
      <c r="S566" s="0" t="n">
        <v>6</v>
      </c>
      <c r="T566" s="0" t="n">
        <v>1</v>
      </c>
      <c r="U566" s="21" t="s">
        <v>3204</v>
      </c>
      <c r="V566" s="21" t="s">
        <v>69</v>
      </c>
      <c r="W566" s="21" t="s">
        <v>239</v>
      </c>
      <c r="X566" s="0" t="n">
        <v>1.98</v>
      </c>
      <c r="Y566" s="0" t="n">
        <v>11.6</v>
      </c>
      <c r="Z566" s="0" t="n">
        <v>112.1</v>
      </c>
      <c r="AA566" s="21" t="s">
        <v>3205</v>
      </c>
      <c r="AB566" s="21" t="s">
        <v>3206</v>
      </c>
      <c r="AC566" s="21" t="s">
        <v>120</v>
      </c>
      <c r="AD566" s="0" t="n">
        <v>197</v>
      </c>
      <c r="AE566" s="22" t="b">
        <f aca="false">FALSE()</f>
        <v>0</v>
      </c>
      <c r="AF566" s="21" t="s">
        <v>121</v>
      </c>
      <c r="AG566" s="21" t="s">
        <v>3207</v>
      </c>
    </row>
    <row r="567" customFormat="false" ht="15" hidden="false" customHeight="false" outlineLevel="0" collapsed="false">
      <c r="A567" s="0" t="s">
        <v>3208</v>
      </c>
      <c r="B567" s="20" t="s">
        <v>124</v>
      </c>
      <c r="E567" s="21" t="s">
        <v>206</v>
      </c>
      <c r="F567" s="21" t="s">
        <v>207</v>
      </c>
      <c r="G567" s="21" t="s">
        <v>127</v>
      </c>
      <c r="H567" s="21" t="s">
        <v>208</v>
      </c>
      <c r="I567" s="21" t="s">
        <v>113</v>
      </c>
      <c r="Z567" s="0" t="n">
        <v>0</v>
      </c>
      <c r="AA567" s="21" t="s">
        <v>3209</v>
      </c>
      <c r="AB567" s="21" t="s">
        <v>3209</v>
      </c>
      <c r="AE567" s="22" t="b">
        <f aca="false">FALSE()</f>
        <v>0</v>
      </c>
      <c r="AF567" s="21" t="s">
        <v>121</v>
      </c>
      <c r="AG567" s="21" t="s">
        <v>3210</v>
      </c>
    </row>
    <row r="568" customFormat="false" ht="15" hidden="false" customHeight="false" outlineLevel="0" collapsed="false">
      <c r="A568" s="0" t="s">
        <v>3211</v>
      </c>
      <c r="B568" s="18" t="s">
        <v>109</v>
      </c>
      <c r="C568" s="19" t="s">
        <v>26</v>
      </c>
      <c r="D568" s="20" t="s">
        <v>31</v>
      </c>
      <c r="E568" s="21" t="s">
        <v>3212</v>
      </c>
      <c r="G568" s="21" t="s">
        <v>111</v>
      </c>
      <c r="H568" s="21" t="s">
        <v>468</v>
      </c>
      <c r="I568" s="21" t="s">
        <v>113</v>
      </c>
      <c r="J568" s="21" t="s">
        <v>134</v>
      </c>
      <c r="K568" s="0" t="n">
        <v>4</v>
      </c>
      <c r="L568" s="0" t="n">
        <v>0</v>
      </c>
      <c r="M568" s="0" t="n">
        <v>1</v>
      </c>
      <c r="N568" s="0" t="n">
        <v>3</v>
      </c>
      <c r="O568" s="0" t="n">
        <v>0</v>
      </c>
      <c r="P568" s="0" t="n">
        <v>1</v>
      </c>
      <c r="Q568" s="0" t="n">
        <v>0</v>
      </c>
      <c r="R568" s="0" t="n">
        <v>0</v>
      </c>
      <c r="S568" s="0" t="n">
        <v>1</v>
      </c>
      <c r="T568" s="0" t="n">
        <v>3</v>
      </c>
      <c r="U568" s="21" t="s">
        <v>3213</v>
      </c>
      <c r="V568" s="21" t="s">
        <v>69</v>
      </c>
      <c r="W568" s="21" t="s">
        <v>672</v>
      </c>
      <c r="X568" s="0" t="n">
        <v>1.26</v>
      </c>
      <c r="Y568" s="0" t="n">
        <v>15</v>
      </c>
      <c r="Z568" s="0" t="n">
        <v>59.7</v>
      </c>
      <c r="AA568" s="21" t="s">
        <v>2415</v>
      </c>
      <c r="AB568" s="21" t="s">
        <v>3214</v>
      </c>
      <c r="AC568" s="21" t="s">
        <v>120</v>
      </c>
      <c r="AD568" s="0" t="n">
        <v>98</v>
      </c>
      <c r="AE568" s="22" t="b">
        <f aca="false">FALSE()</f>
        <v>0</v>
      </c>
      <c r="AF568" s="21" t="s">
        <v>121</v>
      </c>
      <c r="AG568" s="21" t="s">
        <v>3215</v>
      </c>
    </row>
    <row r="569" customFormat="false" ht="15" hidden="false" customHeight="false" outlineLevel="0" collapsed="false">
      <c r="A569" s="0" t="s">
        <v>3216</v>
      </c>
      <c r="B569" s="18" t="s">
        <v>109</v>
      </c>
      <c r="C569" s="20" t="s">
        <v>25</v>
      </c>
      <c r="D569" s="23" t="s">
        <v>30</v>
      </c>
      <c r="E569" s="21" t="s">
        <v>3217</v>
      </c>
      <c r="G569" s="21" t="s">
        <v>111</v>
      </c>
      <c r="H569" s="21" t="s">
        <v>686</v>
      </c>
      <c r="I569" s="21" t="s">
        <v>113</v>
      </c>
      <c r="J569" s="21" t="s">
        <v>114</v>
      </c>
      <c r="K569" s="0" t="n">
        <v>8</v>
      </c>
      <c r="L569" s="0" t="n">
        <v>0</v>
      </c>
      <c r="M569" s="0" t="n">
        <v>8</v>
      </c>
      <c r="N569" s="0" t="n">
        <v>0</v>
      </c>
      <c r="O569" s="0" t="n">
        <v>0</v>
      </c>
      <c r="P569" s="0" t="n">
        <v>8</v>
      </c>
      <c r="Q569" s="0" t="n">
        <v>0</v>
      </c>
      <c r="R569" s="0" t="n">
        <v>4</v>
      </c>
      <c r="S569" s="0" t="n">
        <v>4</v>
      </c>
      <c r="T569" s="0" t="n">
        <v>0</v>
      </c>
      <c r="U569" s="21" t="s">
        <v>3218</v>
      </c>
      <c r="V569" s="21" t="s">
        <v>69</v>
      </c>
      <c r="W569" s="21" t="s">
        <v>294</v>
      </c>
      <c r="X569" s="0" t="n">
        <v>3.29</v>
      </c>
      <c r="Y569" s="0" t="n">
        <v>21.1</v>
      </c>
      <c r="Z569" s="0" t="n">
        <v>112.2</v>
      </c>
      <c r="AA569" s="21" t="s">
        <v>3219</v>
      </c>
      <c r="AB569" s="21" t="s">
        <v>3220</v>
      </c>
      <c r="AC569" s="21" t="s">
        <v>120</v>
      </c>
      <c r="AD569" s="0" t="n">
        <v>202</v>
      </c>
      <c r="AE569" s="22" t="b">
        <f aca="false">FALSE()</f>
        <v>0</v>
      </c>
      <c r="AF569" s="21" t="s">
        <v>121</v>
      </c>
      <c r="AG569" s="21" t="s">
        <v>3221</v>
      </c>
    </row>
    <row r="570" customFormat="false" ht="15" hidden="false" customHeight="false" outlineLevel="0" collapsed="false">
      <c r="A570" s="0" t="s">
        <v>3222</v>
      </c>
      <c r="B570" s="20" t="s">
        <v>124</v>
      </c>
      <c r="E570" s="21" t="s">
        <v>805</v>
      </c>
      <c r="F570" s="21" t="s">
        <v>806</v>
      </c>
      <c r="G570" s="21" t="s">
        <v>111</v>
      </c>
      <c r="H570" s="21" t="s">
        <v>275</v>
      </c>
      <c r="I570" s="21" t="s">
        <v>113</v>
      </c>
      <c r="Z570" s="0" t="n">
        <v>0</v>
      </c>
      <c r="AA570" s="21" t="s">
        <v>3223</v>
      </c>
      <c r="AB570" s="21" t="s">
        <v>3223</v>
      </c>
      <c r="AE570" s="22" t="b">
        <f aca="false">FALSE()</f>
        <v>0</v>
      </c>
      <c r="AF570" s="21" t="s">
        <v>121</v>
      </c>
      <c r="AG570" s="21" t="s">
        <v>3224</v>
      </c>
    </row>
    <row r="571" customFormat="false" ht="15" hidden="false" customHeight="false" outlineLevel="0" collapsed="false">
      <c r="A571" s="0" t="s">
        <v>3225</v>
      </c>
      <c r="B571" s="18" t="s">
        <v>109</v>
      </c>
      <c r="C571" s="19" t="s">
        <v>26</v>
      </c>
      <c r="D571" s="20" t="s">
        <v>31</v>
      </c>
      <c r="E571" s="21" t="s">
        <v>3226</v>
      </c>
      <c r="G571" s="21" t="s">
        <v>127</v>
      </c>
      <c r="H571" s="21" t="s">
        <v>203</v>
      </c>
      <c r="I571" s="21" t="s">
        <v>113</v>
      </c>
      <c r="J571" s="21" t="s">
        <v>114</v>
      </c>
      <c r="K571" s="0" t="n">
        <v>8</v>
      </c>
      <c r="L571" s="0" t="n">
        <v>0</v>
      </c>
      <c r="M571" s="0" t="n">
        <v>7</v>
      </c>
      <c r="N571" s="0" t="n">
        <v>1</v>
      </c>
      <c r="O571" s="0" t="n">
        <v>0</v>
      </c>
      <c r="P571" s="0" t="n">
        <v>7</v>
      </c>
      <c r="Q571" s="0" t="n">
        <v>0</v>
      </c>
      <c r="R571" s="0" t="n">
        <v>0</v>
      </c>
      <c r="S571" s="0" t="n">
        <v>7</v>
      </c>
      <c r="T571" s="0" t="n">
        <v>1</v>
      </c>
      <c r="U571" s="21" t="s">
        <v>3227</v>
      </c>
      <c r="V571" s="21" t="s">
        <v>116</v>
      </c>
      <c r="W571" s="21" t="s">
        <v>239</v>
      </c>
      <c r="X571" s="0" t="n">
        <v>1.11</v>
      </c>
      <c r="Y571" s="0" t="n">
        <v>5.7</v>
      </c>
      <c r="Z571" s="0" t="n">
        <v>115.2</v>
      </c>
      <c r="AA571" s="21" t="s">
        <v>3228</v>
      </c>
      <c r="AB571" s="21" t="s">
        <v>3229</v>
      </c>
      <c r="AC571" s="21" t="s">
        <v>120</v>
      </c>
      <c r="AD571" s="0" t="n">
        <v>193</v>
      </c>
      <c r="AE571" s="22" t="b">
        <f aca="false">FALSE()</f>
        <v>0</v>
      </c>
      <c r="AF571" s="21" t="s">
        <v>121</v>
      </c>
      <c r="AG571" s="21" t="s">
        <v>3230</v>
      </c>
    </row>
    <row r="572" customFormat="false" ht="15" hidden="false" customHeight="false" outlineLevel="0" collapsed="false">
      <c r="A572" s="0" t="s">
        <v>3231</v>
      </c>
      <c r="B572" s="20" t="s">
        <v>124</v>
      </c>
      <c r="E572" s="21" t="s">
        <v>3232</v>
      </c>
      <c r="F572" s="21" t="s">
        <v>3233</v>
      </c>
      <c r="G572" s="21" t="s">
        <v>127</v>
      </c>
      <c r="H572" s="21" t="s">
        <v>213</v>
      </c>
      <c r="I572" s="21" t="s">
        <v>113</v>
      </c>
      <c r="Z572" s="0" t="n">
        <v>0</v>
      </c>
      <c r="AA572" s="21" t="s">
        <v>3234</v>
      </c>
      <c r="AB572" s="21" t="s">
        <v>3234</v>
      </c>
      <c r="AE572" s="22" t="b">
        <f aca="false">FALSE()</f>
        <v>0</v>
      </c>
      <c r="AF572" s="21" t="s">
        <v>121</v>
      </c>
      <c r="AG572" s="21" t="s">
        <v>3235</v>
      </c>
    </row>
    <row r="573" customFormat="false" ht="15" hidden="false" customHeight="false" outlineLevel="0" collapsed="false">
      <c r="A573" s="0" t="s">
        <v>3236</v>
      </c>
      <c r="B573" s="18" t="s">
        <v>109</v>
      </c>
      <c r="C573" s="19" t="s">
        <v>26</v>
      </c>
      <c r="D573" s="20" t="s">
        <v>31</v>
      </c>
      <c r="E573" s="21" t="s">
        <v>3237</v>
      </c>
      <c r="G573" s="21" t="s">
        <v>111</v>
      </c>
      <c r="H573" s="21" t="s">
        <v>203</v>
      </c>
      <c r="I573" s="21" t="s">
        <v>113</v>
      </c>
      <c r="J573" s="21" t="s">
        <v>134</v>
      </c>
      <c r="K573" s="0" t="n">
        <v>4</v>
      </c>
      <c r="L573" s="0" t="n">
        <v>0</v>
      </c>
      <c r="M573" s="0" t="n">
        <v>2</v>
      </c>
      <c r="N573" s="0" t="n">
        <v>2</v>
      </c>
      <c r="O573" s="0" t="n">
        <v>0</v>
      </c>
      <c r="P573" s="0" t="n">
        <v>2</v>
      </c>
      <c r="Q573" s="0" t="n">
        <v>0</v>
      </c>
      <c r="R573" s="0" t="n">
        <v>0</v>
      </c>
      <c r="S573" s="0" t="n">
        <v>2</v>
      </c>
      <c r="T573" s="0" t="n">
        <v>2</v>
      </c>
      <c r="U573" s="21" t="s">
        <v>3238</v>
      </c>
      <c r="V573" s="21" t="s">
        <v>69</v>
      </c>
      <c r="W573" s="21" t="s">
        <v>136</v>
      </c>
      <c r="X573" s="0" t="n">
        <v>2.91</v>
      </c>
      <c r="Y573" s="0" t="n">
        <v>12</v>
      </c>
      <c r="Z573" s="0" t="n">
        <v>61.4</v>
      </c>
      <c r="AA573" s="21" t="s">
        <v>3239</v>
      </c>
      <c r="AB573" s="21" t="s">
        <v>3240</v>
      </c>
      <c r="AC573" s="21" t="s">
        <v>120</v>
      </c>
      <c r="AD573" s="0" t="n">
        <v>102</v>
      </c>
      <c r="AE573" s="22" t="b">
        <f aca="false">FALSE()</f>
        <v>0</v>
      </c>
      <c r="AF573" s="21" t="s">
        <v>121</v>
      </c>
      <c r="AG573" s="21" t="s">
        <v>3241</v>
      </c>
    </row>
    <row r="574" customFormat="false" ht="15" hidden="false" customHeight="false" outlineLevel="0" collapsed="false">
      <c r="A574" s="0" t="s">
        <v>3242</v>
      </c>
      <c r="B574" s="18" t="s">
        <v>109</v>
      </c>
      <c r="C574" s="19" t="s">
        <v>26</v>
      </c>
      <c r="D574" s="20" t="s">
        <v>31</v>
      </c>
      <c r="E574" s="21" t="s">
        <v>3243</v>
      </c>
      <c r="G574" s="21" t="s">
        <v>111</v>
      </c>
      <c r="H574" s="21" t="s">
        <v>352</v>
      </c>
      <c r="I574" s="21" t="s">
        <v>113</v>
      </c>
      <c r="J574" s="21" t="s">
        <v>134</v>
      </c>
      <c r="K574" s="0" t="n">
        <v>4</v>
      </c>
      <c r="L574" s="0" t="n">
        <v>0</v>
      </c>
      <c r="M574" s="0" t="n">
        <v>3</v>
      </c>
      <c r="N574" s="0" t="n">
        <v>1</v>
      </c>
      <c r="O574" s="0" t="n">
        <v>0</v>
      </c>
      <c r="P574" s="0" t="n">
        <v>3</v>
      </c>
      <c r="Q574" s="0" t="n">
        <v>0</v>
      </c>
      <c r="R574" s="0" t="n">
        <v>0</v>
      </c>
      <c r="S574" s="0" t="n">
        <v>3</v>
      </c>
      <c r="T574" s="0" t="n">
        <v>1</v>
      </c>
      <c r="U574" s="21" t="s">
        <v>3244</v>
      </c>
      <c r="V574" s="21" t="s">
        <v>69</v>
      </c>
      <c r="W574" s="21" t="s">
        <v>313</v>
      </c>
      <c r="X574" s="0" t="n">
        <v>6.28</v>
      </c>
      <c r="Y574" s="0" t="n">
        <v>20.1</v>
      </c>
      <c r="Z574" s="0" t="n">
        <v>60.1</v>
      </c>
      <c r="AA574" s="21" t="s">
        <v>3245</v>
      </c>
      <c r="AB574" s="21" t="s">
        <v>3246</v>
      </c>
      <c r="AC574" s="21" t="s">
        <v>120</v>
      </c>
      <c r="AD574" s="0" t="n">
        <v>99</v>
      </c>
      <c r="AE574" s="22" t="b">
        <f aca="false">FALSE()</f>
        <v>0</v>
      </c>
      <c r="AF574" s="21" t="s">
        <v>121</v>
      </c>
      <c r="AG574" s="21" t="s">
        <v>3247</v>
      </c>
    </row>
    <row r="575" customFormat="false" ht="15" hidden="false" customHeight="false" outlineLevel="0" collapsed="false">
      <c r="A575" s="0" t="s">
        <v>3248</v>
      </c>
      <c r="B575" s="18" t="s">
        <v>109</v>
      </c>
      <c r="C575" s="19" t="s">
        <v>26</v>
      </c>
      <c r="D575" s="20" t="s">
        <v>31</v>
      </c>
      <c r="E575" s="21" t="s">
        <v>3249</v>
      </c>
      <c r="G575" s="21" t="s">
        <v>111</v>
      </c>
      <c r="H575" s="21" t="s">
        <v>390</v>
      </c>
      <c r="I575" s="21" t="s">
        <v>113</v>
      </c>
      <c r="J575" s="21" t="s">
        <v>134</v>
      </c>
      <c r="K575" s="0" t="n">
        <v>4</v>
      </c>
      <c r="L575" s="0" t="n">
        <v>0</v>
      </c>
      <c r="M575" s="0" t="n">
        <v>2</v>
      </c>
      <c r="N575" s="0" t="n">
        <v>2</v>
      </c>
      <c r="O575" s="0" t="n">
        <v>0</v>
      </c>
      <c r="P575" s="0" t="n">
        <v>2</v>
      </c>
      <c r="Q575" s="0" t="n">
        <v>0</v>
      </c>
      <c r="R575" s="0" t="n">
        <v>0</v>
      </c>
      <c r="S575" s="0" t="n">
        <v>2</v>
      </c>
      <c r="T575" s="0" t="n">
        <v>2</v>
      </c>
      <c r="U575" s="21" t="s">
        <v>3250</v>
      </c>
      <c r="V575" s="21" t="s">
        <v>69</v>
      </c>
      <c r="W575" s="21" t="s">
        <v>1802</v>
      </c>
      <c r="X575" s="0" t="n">
        <v>4.98</v>
      </c>
      <c r="Y575" s="0" t="n">
        <v>9.2</v>
      </c>
      <c r="Z575" s="0" t="n">
        <v>58.5</v>
      </c>
      <c r="AA575" s="21" t="s">
        <v>3251</v>
      </c>
      <c r="AB575" s="21" t="s">
        <v>3252</v>
      </c>
      <c r="AC575" s="21" t="s">
        <v>120</v>
      </c>
      <c r="AD575" s="0" t="n">
        <v>96</v>
      </c>
      <c r="AE575" s="22" t="b">
        <f aca="false">FALSE()</f>
        <v>0</v>
      </c>
      <c r="AF575" s="21" t="s">
        <v>121</v>
      </c>
      <c r="AG575" s="21" t="s">
        <v>3253</v>
      </c>
    </row>
    <row r="576" customFormat="false" ht="15" hidden="false" customHeight="false" outlineLevel="0" collapsed="false">
      <c r="A576" s="0" t="s">
        <v>3254</v>
      </c>
      <c r="B576" s="20" t="s">
        <v>124</v>
      </c>
      <c r="E576" s="21" t="s">
        <v>3255</v>
      </c>
      <c r="F576" s="21" t="s">
        <v>3256</v>
      </c>
      <c r="G576" s="21" t="s">
        <v>127</v>
      </c>
      <c r="H576" s="21" t="s">
        <v>1431</v>
      </c>
      <c r="I576" s="21" t="s">
        <v>113</v>
      </c>
      <c r="Z576" s="0" t="n">
        <v>0</v>
      </c>
      <c r="AA576" s="21" t="s">
        <v>3257</v>
      </c>
      <c r="AB576" s="21" t="s">
        <v>3257</v>
      </c>
      <c r="AE576" s="22" t="b">
        <f aca="false">FALSE()</f>
        <v>0</v>
      </c>
      <c r="AF576" s="21" t="s">
        <v>121</v>
      </c>
      <c r="AG576" s="21" t="s">
        <v>3258</v>
      </c>
    </row>
    <row r="577" customFormat="false" ht="15" hidden="false" customHeight="false" outlineLevel="0" collapsed="false">
      <c r="A577" s="0" t="s">
        <v>3259</v>
      </c>
      <c r="B577" s="18" t="s">
        <v>109</v>
      </c>
      <c r="C577" s="20" t="s">
        <v>25</v>
      </c>
      <c r="D577" s="23" t="s">
        <v>30</v>
      </c>
      <c r="E577" s="21" t="s">
        <v>3260</v>
      </c>
      <c r="G577" s="21" t="s">
        <v>127</v>
      </c>
      <c r="H577" s="21" t="s">
        <v>686</v>
      </c>
      <c r="I577" s="21" t="s">
        <v>113</v>
      </c>
      <c r="J577" s="21" t="s">
        <v>114</v>
      </c>
      <c r="K577" s="0" t="n">
        <v>8</v>
      </c>
      <c r="L577" s="0" t="n">
        <v>5</v>
      </c>
      <c r="M577" s="0" t="n">
        <v>3</v>
      </c>
      <c r="N577" s="0" t="n">
        <v>0</v>
      </c>
      <c r="O577" s="0" t="n">
        <v>0</v>
      </c>
      <c r="P577" s="0" t="n">
        <v>8</v>
      </c>
      <c r="Q577" s="0" t="n">
        <v>4</v>
      </c>
      <c r="R577" s="0" t="n">
        <v>0</v>
      </c>
      <c r="S577" s="0" t="n">
        <v>4</v>
      </c>
      <c r="T577" s="0" t="n">
        <v>0</v>
      </c>
      <c r="U577" s="21" t="s">
        <v>3261</v>
      </c>
      <c r="V577" s="21" t="s">
        <v>69</v>
      </c>
      <c r="W577" s="21" t="s">
        <v>183</v>
      </c>
      <c r="X577" s="0" t="n">
        <v>6.8</v>
      </c>
      <c r="Y577" s="0" t="n">
        <v>12.8</v>
      </c>
      <c r="Z577" s="0" t="n">
        <v>110.9</v>
      </c>
      <c r="AA577" s="21" t="s">
        <v>3262</v>
      </c>
      <c r="AB577" s="21" t="s">
        <v>3263</v>
      </c>
      <c r="AC577" s="21" t="s">
        <v>120</v>
      </c>
      <c r="AD577" s="0" t="n">
        <v>193</v>
      </c>
      <c r="AE577" s="22" t="b">
        <f aca="false">FALSE()</f>
        <v>0</v>
      </c>
      <c r="AF577" s="21" t="s">
        <v>121</v>
      </c>
      <c r="AG577" s="21" t="s">
        <v>3264</v>
      </c>
    </row>
    <row r="578" customFormat="false" ht="15" hidden="false" customHeight="false" outlineLevel="0" collapsed="false">
      <c r="A578" s="0" t="s">
        <v>3265</v>
      </c>
      <c r="B578" s="20" t="s">
        <v>124</v>
      </c>
      <c r="E578" s="21" t="s">
        <v>805</v>
      </c>
      <c r="F578" s="21" t="s">
        <v>806</v>
      </c>
      <c r="G578" s="21" t="s">
        <v>111</v>
      </c>
      <c r="H578" s="21" t="s">
        <v>289</v>
      </c>
      <c r="I578" s="21" t="s">
        <v>113</v>
      </c>
      <c r="Z578" s="0" t="n">
        <v>0</v>
      </c>
      <c r="AA578" s="21" t="s">
        <v>3266</v>
      </c>
      <c r="AB578" s="21" t="s">
        <v>3266</v>
      </c>
      <c r="AE578" s="22" t="b">
        <f aca="false">FALSE()</f>
        <v>0</v>
      </c>
      <c r="AF578" s="21" t="s">
        <v>121</v>
      </c>
      <c r="AG578" s="21" t="s">
        <v>3267</v>
      </c>
    </row>
    <row r="579" customFormat="false" ht="15" hidden="false" customHeight="false" outlineLevel="0" collapsed="false">
      <c r="A579" s="0" t="s">
        <v>3268</v>
      </c>
      <c r="B579" s="18" t="s">
        <v>109</v>
      </c>
      <c r="C579" s="20" t="s">
        <v>25</v>
      </c>
      <c r="D579" s="23" t="s">
        <v>30</v>
      </c>
      <c r="E579" s="21" t="s">
        <v>3269</v>
      </c>
      <c r="G579" s="21" t="s">
        <v>127</v>
      </c>
      <c r="H579" s="21" t="s">
        <v>142</v>
      </c>
      <c r="I579" s="21" t="s">
        <v>113</v>
      </c>
      <c r="J579" s="21" t="s">
        <v>134</v>
      </c>
      <c r="K579" s="0" t="n">
        <v>4</v>
      </c>
      <c r="L579" s="0" t="n">
        <v>0</v>
      </c>
      <c r="M579" s="0" t="n">
        <v>4</v>
      </c>
      <c r="N579" s="0" t="n">
        <v>0</v>
      </c>
      <c r="O579" s="0" t="n">
        <v>0</v>
      </c>
      <c r="P579" s="0" t="n">
        <v>4</v>
      </c>
      <c r="Q579" s="0" t="n">
        <v>0</v>
      </c>
      <c r="R579" s="0" t="n">
        <v>0</v>
      </c>
      <c r="S579" s="0" t="n">
        <v>4</v>
      </c>
      <c r="T579" s="0" t="n">
        <v>0</v>
      </c>
      <c r="U579" s="21" t="s">
        <v>3270</v>
      </c>
      <c r="V579" s="21" t="s">
        <v>69</v>
      </c>
      <c r="W579" s="21" t="s">
        <v>587</v>
      </c>
      <c r="X579" s="0" t="n">
        <v>16.27</v>
      </c>
      <c r="Y579" s="0" t="n">
        <v>29.4</v>
      </c>
      <c r="Z579" s="0" t="n">
        <v>59</v>
      </c>
      <c r="AA579" s="21" t="s">
        <v>3271</v>
      </c>
      <c r="AB579" s="21" t="s">
        <v>3272</v>
      </c>
      <c r="AC579" s="21" t="s">
        <v>120</v>
      </c>
      <c r="AD579" s="0" t="n">
        <v>98</v>
      </c>
      <c r="AE579" s="22" t="b">
        <f aca="false">FALSE()</f>
        <v>0</v>
      </c>
      <c r="AF579" s="21" t="s">
        <v>121</v>
      </c>
      <c r="AG579" s="21" t="s">
        <v>3273</v>
      </c>
    </row>
    <row r="580" customFormat="false" ht="15" hidden="false" customHeight="false" outlineLevel="0" collapsed="false">
      <c r="A580" s="0" t="s">
        <v>3274</v>
      </c>
      <c r="B580" s="20" t="s">
        <v>124</v>
      </c>
      <c r="E580" s="21" t="s">
        <v>3275</v>
      </c>
      <c r="F580" s="21" t="s">
        <v>3276</v>
      </c>
      <c r="G580" s="21" t="s">
        <v>111</v>
      </c>
      <c r="H580" s="21" t="s">
        <v>142</v>
      </c>
      <c r="I580" s="21" t="s">
        <v>113</v>
      </c>
      <c r="Z580" s="0" t="n">
        <v>0</v>
      </c>
      <c r="AA580" s="21" t="s">
        <v>3277</v>
      </c>
      <c r="AB580" s="21" t="s">
        <v>3277</v>
      </c>
      <c r="AE580" s="22" t="b">
        <f aca="false">FALSE()</f>
        <v>0</v>
      </c>
      <c r="AF580" s="21" t="s">
        <v>121</v>
      </c>
      <c r="AG580" s="21" t="s">
        <v>3278</v>
      </c>
    </row>
    <row r="581" customFormat="false" ht="15" hidden="false" customHeight="false" outlineLevel="0" collapsed="false">
      <c r="A581" s="0" t="s">
        <v>3279</v>
      </c>
      <c r="B581" s="18" t="s">
        <v>109</v>
      </c>
      <c r="C581" s="19" t="s">
        <v>26</v>
      </c>
      <c r="D581" s="20" t="s">
        <v>31</v>
      </c>
      <c r="E581" s="21" t="s">
        <v>3280</v>
      </c>
      <c r="G581" s="21" t="s">
        <v>111</v>
      </c>
      <c r="H581" s="21" t="s">
        <v>229</v>
      </c>
      <c r="I581" s="21" t="s">
        <v>113</v>
      </c>
      <c r="J581" s="21" t="s">
        <v>134</v>
      </c>
      <c r="K581" s="0" t="n">
        <v>4</v>
      </c>
      <c r="L581" s="0" t="n">
        <v>0</v>
      </c>
      <c r="M581" s="0" t="n">
        <v>3</v>
      </c>
      <c r="N581" s="0" t="n">
        <v>1</v>
      </c>
      <c r="O581" s="0" t="n">
        <v>0</v>
      </c>
      <c r="P581" s="0" t="n">
        <v>3</v>
      </c>
      <c r="Q581" s="0" t="n">
        <v>0</v>
      </c>
      <c r="R581" s="0" t="n">
        <v>0</v>
      </c>
      <c r="S581" s="0" t="n">
        <v>3</v>
      </c>
      <c r="T581" s="0" t="n">
        <v>1</v>
      </c>
      <c r="U581" s="21" t="s">
        <v>3281</v>
      </c>
      <c r="V581" s="21" t="s">
        <v>69</v>
      </c>
      <c r="W581" s="21" t="s">
        <v>313</v>
      </c>
      <c r="X581" s="0" t="n">
        <v>3.15</v>
      </c>
      <c r="Y581" s="0" t="n">
        <v>20.7</v>
      </c>
      <c r="Z581" s="0" t="n">
        <v>60.9</v>
      </c>
      <c r="AA581" s="21" t="s">
        <v>3282</v>
      </c>
      <c r="AB581" s="21" t="s">
        <v>3283</v>
      </c>
      <c r="AC581" s="21" t="s">
        <v>120</v>
      </c>
      <c r="AD581" s="0" t="n">
        <v>100</v>
      </c>
      <c r="AE581" s="22" t="b">
        <f aca="false">FALSE()</f>
        <v>0</v>
      </c>
      <c r="AF581" s="21" t="s">
        <v>121</v>
      </c>
      <c r="AG581" s="21" t="s">
        <v>3284</v>
      </c>
    </row>
    <row r="582" customFormat="false" ht="15" hidden="false" customHeight="false" outlineLevel="0" collapsed="false">
      <c r="A582" s="0" t="s">
        <v>3285</v>
      </c>
      <c r="B582" s="18" t="s">
        <v>109</v>
      </c>
      <c r="C582" s="19" t="s">
        <v>26</v>
      </c>
      <c r="D582" s="20" t="s">
        <v>31</v>
      </c>
      <c r="E582" s="21" t="s">
        <v>3286</v>
      </c>
      <c r="G582" s="21" t="s">
        <v>127</v>
      </c>
      <c r="H582" s="21" t="s">
        <v>177</v>
      </c>
      <c r="I582" s="21" t="s">
        <v>113</v>
      </c>
      <c r="J582" s="21" t="s">
        <v>134</v>
      </c>
      <c r="K582" s="0" t="n">
        <v>4</v>
      </c>
      <c r="L582" s="0" t="n">
        <v>1</v>
      </c>
      <c r="M582" s="0" t="n">
        <v>2</v>
      </c>
      <c r="N582" s="0" t="n">
        <v>1</v>
      </c>
      <c r="O582" s="0" t="n">
        <v>0</v>
      </c>
      <c r="P582" s="0" t="n">
        <v>3</v>
      </c>
      <c r="Q582" s="0" t="n">
        <v>0</v>
      </c>
      <c r="R582" s="0" t="n">
        <v>0</v>
      </c>
      <c r="S582" s="0" t="n">
        <v>3</v>
      </c>
      <c r="T582" s="0" t="n">
        <v>1</v>
      </c>
      <c r="U582" s="21" t="s">
        <v>3287</v>
      </c>
      <c r="V582" s="21" t="s">
        <v>69</v>
      </c>
      <c r="W582" s="21" t="s">
        <v>3288</v>
      </c>
      <c r="X582" s="0" t="n">
        <v>2.67</v>
      </c>
      <c r="Y582" s="0" t="n">
        <v>7.8</v>
      </c>
      <c r="Z582" s="0" t="n">
        <v>61.4</v>
      </c>
      <c r="AA582" s="21" t="s">
        <v>3289</v>
      </c>
      <c r="AB582" s="21" t="s">
        <v>3290</v>
      </c>
      <c r="AC582" s="21" t="s">
        <v>120</v>
      </c>
      <c r="AD582" s="0" t="n">
        <v>105</v>
      </c>
      <c r="AE582" s="22" t="b">
        <f aca="false">FALSE()</f>
        <v>0</v>
      </c>
      <c r="AF582" s="21" t="s">
        <v>121</v>
      </c>
      <c r="AG582" s="21" t="s">
        <v>3291</v>
      </c>
    </row>
    <row r="583" customFormat="false" ht="15" hidden="false" customHeight="false" outlineLevel="0" collapsed="false">
      <c r="A583" s="0" t="s">
        <v>3292</v>
      </c>
      <c r="B583" s="20" t="s">
        <v>124</v>
      </c>
      <c r="E583" s="21" t="s">
        <v>3293</v>
      </c>
      <c r="F583" s="21" t="s">
        <v>3294</v>
      </c>
      <c r="G583" s="21" t="s">
        <v>111</v>
      </c>
      <c r="H583" s="21" t="s">
        <v>439</v>
      </c>
      <c r="I583" s="21" t="s">
        <v>113</v>
      </c>
      <c r="Z583" s="0" t="n">
        <v>0</v>
      </c>
      <c r="AA583" s="21" t="s">
        <v>3295</v>
      </c>
      <c r="AB583" s="21" t="s">
        <v>3295</v>
      </c>
      <c r="AE583" s="22" t="b">
        <f aca="false">FALSE()</f>
        <v>0</v>
      </c>
      <c r="AF583" s="21" t="s">
        <v>121</v>
      </c>
      <c r="AG583" s="21" t="s">
        <v>3296</v>
      </c>
    </row>
    <row r="584" customFormat="false" ht="15" hidden="false" customHeight="false" outlineLevel="0" collapsed="false">
      <c r="A584" s="0" t="s">
        <v>3297</v>
      </c>
      <c r="B584" s="20" t="s">
        <v>124</v>
      </c>
      <c r="E584" s="21" t="s">
        <v>206</v>
      </c>
      <c r="F584" s="21" t="s">
        <v>207</v>
      </c>
      <c r="G584" s="21" t="s">
        <v>127</v>
      </c>
      <c r="H584" s="21" t="s">
        <v>208</v>
      </c>
      <c r="I584" s="21" t="s">
        <v>171</v>
      </c>
      <c r="Z584" s="0" t="n">
        <v>0</v>
      </c>
      <c r="AA584" s="21" t="s">
        <v>2910</v>
      </c>
      <c r="AB584" s="21" t="s">
        <v>2910</v>
      </c>
      <c r="AE584" s="22" t="b">
        <f aca="false">FALSE()</f>
        <v>0</v>
      </c>
      <c r="AF584" s="21" t="s">
        <v>121</v>
      </c>
      <c r="AG584" s="21" t="s">
        <v>3298</v>
      </c>
    </row>
    <row r="585" customFormat="false" ht="15" hidden="false" customHeight="false" outlineLevel="0" collapsed="false">
      <c r="A585" s="0" t="s">
        <v>3299</v>
      </c>
      <c r="B585" s="18" t="s">
        <v>109</v>
      </c>
      <c r="C585" s="20" t="s">
        <v>25</v>
      </c>
      <c r="D585" s="23" t="s">
        <v>30</v>
      </c>
      <c r="E585" s="21" t="s">
        <v>3300</v>
      </c>
      <c r="G585" s="21" t="s">
        <v>111</v>
      </c>
      <c r="H585" s="21" t="s">
        <v>626</v>
      </c>
      <c r="I585" s="21" t="s">
        <v>113</v>
      </c>
      <c r="J585" s="21" t="s">
        <v>134</v>
      </c>
      <c r="K585" s="0" t="n">
        <v>4</v>
      </c>
      <c r="L585" s="0" t="n">
        <v>0</v>
      </c>
      <c r="M585" s="0" t="n">
        <v>4</v>
      </c>
      <c r="N585" s="0" t="n">
        <v>0</v>
      </c>
      <c r="O585" s="0" t="n">
        <v>0</v>
      </c>
      <c r="P585" s="0" t="n">
        <v>4</v>
      </c>
      <c r="Q585" s="0" t="n">
        <v>0</v>
      </c>
      <c r="R585" s="0" t="n">
        <v>3</v>
      </c>
      <c r="S585" s="0" t="n">
        <v>1</v>
      </c>
      <c r="T585" s="0" t="n">
        <v>0</v>
      </c>
      <c r="U585" s="21" t="s">
        <v>3301</v>
      </c>
      <c r="W585" s="21" t="s">
        <v>3302</v>
      </c>
      <c r="X585" s="0" t="n">
        <v>1.02</v>
      </c>
      <c r="Y585" s="0" t="n">
        <v>7.9</v>
      </c>
      <c r="Z585" s="0" t="n">
        <v>57.8</v>
      </c>
      <c r="AA585" s="21" t="s">
        <v>2913</v>
      </c>
      <c r="AB585" s="21" t="s">
        <v>3303</v>
      </c>
      <c r="AC585" s="21" t="s">
        <v>120</v>
      </c>
      <c r="AD585" s="0" t="n">
        <v>95</v>
      </c>
      <c r="AE585" s="22" t="b">
        <f aca="false">FALSE()</f>
        <v>0</v>
      </c>
      <c r="AF585" s="21" t="s">
        <v>121</v>
      </c>
      <c r="AG585" s="21" t="s">
        <v>3304</v>
      </c>
    </row>
    <row r="586" customFormat="false" ht="15" hidden="false" customHeight="false" outlineLevel="0" collapsed="false">
      <c r="A586" s="0" t="s">
        <v>3305</v>
      </c>
      <c r="B586" s="18" t="s">
        <v>109</v>
      </c>
      <c r="C586" s="19" t="s">
        <v>26</v>
      </c>
      <c r="D586" s="20" t="s">
        <v>31</v>
      </c>
      <c r="E586" s="21" t="s">
        <v>3306</v>
      </c>
      <c r="G586" s="21" t="s">
        <v>127</v>
      </c>
      <c r="H586" s="21" t="s">
        <v>188</v>
      </c>
      <c r="I586" s="21" t="s">
        <v>113</v>
      </c>
      <c r="J586" s="21" t="s">
        <v>134</v>
      </c>
      <c r="K586" s="0" t="n">
        <v>4</v>
      </c>
      <c r="L586" s="0" t="n">
        <v>2</v>
      </c>
      <c r="M586" s="0" t="n">
        <v>0</v>
      </c>
      <c r="N586" s="0" t="n">
        <v>2</v>
      </c>
      <c r="O586" s="0" t="n">
        <v>0</v>
      </c>
      <c r="P586" s="0" t="n">
        <v>2</v>
      </c>
      <c r="Q586" s="0" t="n">
        <v>1</v>
      </c>
      <c r="R586" s="0" t="n">
        <v>0</v>
      </c>
      <c r="S586" s="0" t="n">
        <v>1</v>
      </c>
      <c r="T586" s="0" t="n">
        <v>2</v>
      </c>
      <c r="U586" s="21" t="s">
        <v>3307</v>
      </c>
      <c r="V586" s="21" t="s">
        <v>69</v>
      </c>
      <c r="W586" s="21" t="s">
        <v>136</v>
      </c>
      <c r="X586" s="0" t="n">
        <v>4.78</v>
      </c>
      <c r="Y586" s="0" t="n">
        <v>6.4</v>
      </c>
      <c r="Z586" s="0" t="n">
        <v>62.1</v>
      </c>
      <c r="AA586" s="21" t="s">
        <v>3308</v>
      </c>
      <c r="AB586" s="21" t="s">
        <v>3309</v>
      </c>
      <c r="AC586" s="21" t="s">
        <v>120</v>
      </c>
      <c r="AD586" s="0" t="n">
        <v>98</v>
      </c>
      <c r="AE586" s="22" t="b">
        <f aca="false">FALSE()</f>
        <v>0</v>
      </c>
      <c r="AF586" s="21" t="s">
        <v>121</v>
      </c>
      <c r="AG586" s="21" t="s">
        <v>3310</v>
      </c>
    </row>
    <row r="587" customFormat="false" ht="15" hidden="false" customHeight="false" outlineLevel="0" collapsed="false">
      <c r="A587" s="0" t="s">
        <v>3311</v>
      </c>
      <c r="B587" s="18" t="s">
        <v>109</v>
      </c>
      <c r="C587" s="20" t="s">
        <v>25</v>
      </c>
      <c r="D587" s="23" t="s">
        <v>30</v>
      </c>
      <c r="E587" s="21" t="s">
        <v>3312</v>
      </c>
      <c r="G587" s="21" t="s">
        <v>127</v>
      </c>
      <c r="H587" s="21" t="s">
        <v>331</v>
      </c>
      <c r="I587" s="21" t="s">
        <v>113</v>
      </c>
      <c r="J587" s="21" t="s">
        <v>134</v>
      </c>
      <c r="K587" s="0" t="n">
        <v>4</v>
      </c>
      <c r="L587" s="0" t="n">
        <v>1</v>
      </c>
      <c r="M587" s="0" t="n">
        <v>3</v>
      </c>
      <c r="N587" s="0" t="n">
        <v>0</v>
      </c>
      <c r="O587" s="0" t="n">
        <v>0</v>
      </c>
      <c r="P587" s="0" t="n">
        <v>4</v>
      </c>
      <c r="Q587" s="0" t="n">
        <v>0</v>
      </c>
      <c r="R587" s="0" t="n">
        <v>1</v>
      </c>
      <c r="S587" s="0" t="n">
        <v>3</v>
      </c>
      <c r="T587" s="0" t="n">
        <v>0</v>
      </c>
      <c r="U587" s="21" t="s">
        <v>3313</v>
      </c>
      <c r="V587" s="21" t="s">
        <v>69</v>
      </c>
      <c r="W587" s="21" t="s">
        <v>357</v>
      </c>
      <c r="X587" s="0" t="n">
        <v>4.92</v>
      </c>
      <c r="Y587" s="0" t="n">
        <v>4.1</v>
      </c>
      <c r="Z587" s="0" t="n">
        <v>59.7</v>
      </c>
      <c r="AA587" s="21" t="s">
        <v>3314</v>
      </c>
      <c r="AB587" s="21" t="s">
        <v>3315</v>
      </c>
      <c r="AC587" s="21" t="s">
        <v>120</v>
      </c>
      <c r="AD587" s="0" t="n">
        <v>97</v>
      </c>
      <c r="AE587" s="22" t="b">
        <f aca="false">FALSE()</f>
        <v>0</v>
      </c>
      <c r="AF587" s="21" t="s">
        <v>121</v>
      </c>
      <c r="AG587" s="21" t="s">
        <v>3316</v>
      </c>
    </row>
    <row r="588" customFormat="false" ht="15" hidden="false" customHeight="false" outlineLevel="0" collapsed="false">
      <c r="A588" s="0" t="s">
        <v>3317</v>
      </c>
      <c r="B588" s="20" t="s">
        <v>124</v>
      </c>
      <c r="E588" s="21" t="s">
        <v>2633</v>
      </c>
      <c r="F588" s="21" t="s">
        <v>2634</v>
      </c>
      <c r="G588" s="21" t="s">
        <v>127</v>
      </c>
      <c r="H588" s="21" t="s">
        <v>2635</v>
      </c>
      <c r="I588" s="21" t="s">
        <v>113</v>
      </c>
      <c r="Z588" s="0" t="n">
        <v>0</v>
      </c>
      <c r="AA588" s="21" t="s">
        <v>3318</v>
      </c>
      <c r="AB588" s="21" t="s">
        <v>3318</v>
      </c>
      <c r="AE588" s="22" t="b">
        <f aca="false">FALSE()</f>
        <v>0</v>
      </c>
      <c r="AF588" s="21" t="s">
        <v>121</v>
      </c>
      <c r="AG588" s="21" t="s">
        <v>3319</v>
      </c>
    </row>
    <row r="589" customFormat="false" ht="15" hidden="false" customHeight="false" outlineLevel="0" collapsed="false">
      <c r="A589" s="0" t="s">
        <v>3320</v>
      </c>
      <c r="B589" s="18" t="s">
        <v>109</v>
      </c>
      <c r="C589" s="19" t="s">
        <v>26</v>
      </c>
      <c r="D589" s="20" t="s">
        <v>31</v>
      </c>
      <c r="E589" s="21" t="s">
        <v>3321</v>
      </c>
      <c r="G589" s="21" t="s">
        <v>111</v>
      </c>
      <c r="H589" s="21" t="s">
        <v>390</v>
      </c>
      <c r="I589" s="21" t="s">
        <v>113</v>
      </c>
      <c r="J589" s="21" t="s">
        <v>134</v>
      </c>
      <c r="K589" s="0" t="n">
        <v>4</v>
      </c>
      <c r="L589" s="0" t="n">
        <v>1</v>
      </c>
      <c r="M589" s="0" t="n">
        <v>1</v>
      </c>
      <c r="N589" s="0" t="n">
        <v>2</v>
      </c>
      <c r="O589" s="0" t="n">
        <v>0</v>
      </c>
      <c r="P589" s="0" t="n">
        <v>2</v>
      </c>
      <c r="Q589" s="0" t="n">
        <v>1</v>
      </c>
      <c r="R589" s="0" t="n">
        <v>1</v>
      </c>
      <c r="S589" s="0" t="n">
        <v>0</v>
      </c>
      <c r="T589" s="0" t="n">
        <v>2</v>
      </c>
      <c r="U589" s="21" t="s">
        <v>3322</v>
      </c>
      <c r="V589" s="21" t="s">
        <v>69</v>
      </c>
      <c r="W589" s="21" t="s">
        <v>3323</v>
      </c>
      <c r="X589" s="0" t="n">
        <v>5.15</v>
      </c>
      <c r="Y589" s="0" t="n">
        <v>15.1</v>
      </c>
      <c r="Z589" s="0" t="n">
        <v>61.9</v>
      </c>
      <c r="AA589" s="21" t="s">
        <v>3324</v>
      </c>
      <c r="AB589" s="21" t="s">
        <v>3325</v>
      </c>
      <c r="AC589" s="21" t="s">
        <v>120</v>
      </c>
      <c r="AD589" s="0" t="n">
        <v>104</v>
      </c>
      <c r="AE589" s="22" t="b">
        <f aca="false">FALSE()</f>
        <v>0</v>
      </c>
      <c r="AF589" s="21" t="s">
        <v>121</v>
      </c>
      <c r="AG589" s="21" t="s">
        <v>3326</v>
      </c>
    </row>
    <row r="590" customFormat="false" ht="15" hidden="false" customHeight="false" outlineLevel="0" collapsed="false">
      <c r="A590" s="0" t="s">
        <v>3327</v>
      </c>
      <c r="B590" s="18" t="s">
        <v>109</v>
      </c>
      <c r="C590" s="20" t="s">
        <v>25</v>
      </c>
      <c r="D590" s="23" t="s">
        <v>30</v>
      </c>
      <c r="E590" s="21" t="s">
        <v>3328</v>
      </c>
      <c r="G590" s="21" t="s">
        <v>111</v>
      </c>
      <c r="H590" s="21" t="s">
        <v>261</v>
      </c>
      <c r="I590" s="21" t="s">
        <v>113</v>
      </c>
      <c r="J590" s="21" t="s">
        <v>134</v>
      </c>
      <c r="K590" s="0" t="n">
        <v>4</v>
      </c>
      <c r="L590" s="0" t="n">
        <v>2</v>
      </c>
      <c r="M590" s="0" t="n">
        <v>2</v>
      </c>
      <c r="N590" s="0" t="n">
        <v>0</v>
      </c>
      <c r="O590" s="0" t="n">
        <v>0</v>
      </c>
      <c r="P590" s="0" t="n">
        <v>4</v>
      </c>
      <c r="Q590" s="0" t="n">
        <v>1</v>
      </c>
      <c r="R590" s="0" t="n">
        <v>0</v>
      </c>
      <c r="S590" s="0" t="n">
        <v>3</v>
      </c>
      <c r="T590" s="0" t="n">
        <v>0</v>
      </c>
      <c r="U590" s="21" t="s">
        <v>3329</v>
      </c>
      <c r="V590" s="21" t="s">
        <v>69</v>
      </c>
      <c r="W590" s="21" t="s">
        <v>183</v>
      </c>
      <c r="X590" s="0" t="n">
        <v>8.09</v>
      </c>
      <c r="Y590" s="0" t="n">
        <v>17.1</v>
      </c>
      <c r="Z590" s="0" t="n">
        <v>58.2</v>
      </c>
      <c r="AA590" s="21" t="s">
        <v>3330</v>
      </c>
      <c r="AB590" s="21" t="s">
        <v>3331</v>
      </c>
      <c r="AC590" s="21" t="s">
        <v>120</v>
      </c>
      <c r="AD590" s="0" t="n">
        <v>95</v>
      </c>
      <c r="AE590" s="22" t="b">
        <f aca="false">FALSE()</f>
        <v>0</v>
      </c>
      <c r="AF590" s="21" t="s">
        <v>121</v>
      </c>
      <c r="AG590" s="21" t="s">
        <v>3332</v>
      </c>
    </row>
    <row r="591" customFormat="false" ht="15" hidden="false" customHeight="false" outlineLevel="0" collapsed="false">
      <c r="A591" s="0" t="s">
        <v>3333</v>
      </c>
      <c r="B591" s="20" t="s">
        <v>124</v>
      </c>
      <c r="E591" s="21" t="s">
        <v>3334</v>
      </c>
      <c r="F591" s="21" t="s">
        <v>3335</v>
      </c>
      <c r="G591" s="21" t="s">
        <v>127</v>
      </c>
      <c r="H591" s="21" t="s">
        <v>626</v>
      </c>
      <c r="I591" s="21" t="s">
        <v>113</v>
      </c>
      <c r="Z591" s="0" t="n">
        <v>0</v>
      </c>
      <c r="AA591" s="21" t="s">
        <v>3336</v>
      </c>
      <c r="AB591" s="21" t="s">
        <v>3336</v>
      </c>
      <c r="AE591" s="22" t="b">
        <f aca="false">FALSE()</f>
        <v>0</v>
      </c>
      <c r="AF591" s="21" t="s">
        <v>121</v>
      </c>
      <c r="AG591" s="21" t="s">
        <v>3337</v>
      </c>
    </row>
    <row r="592" customFormat="false" ht="15" hidden="false" customHeight="false" outlineLevel="0" collapsed="false">
      <c r="A592" s="0" t="s">
        <v>3338</v>
      </c>
      <c r="B592" s="18" t="s">
        <v>109</v>
      </c>
      <c r="C592" s="19" t="s">
        <v>26</v>
      </c>
      <c r="D592" s="20" t="s">
        <v>31</v>
      </c>
      <c r="E592" s="21" t="s">
        <v>3339</v>
      </c>
      <c r="G592" s="21" t="s">
        <v>111</v>
      </c>
      <c r="H592" s="21" t="s">
        <v>203</v>
      </c>
      <c r="I592" s="21" t="s">
        <v>113</v>
      </c>
      <c r="J592" s="21" t="s">
        <v>114</v>
      </c>
      <c r="K592" s="0" t="n">
        <v>8</v>
      </c>
      <c r="L592" s="0" t="n">
        <v>0</v>
      </c>
      <c r="M592" s="0" t="n">
        <v>5</v>
      </c>
      <c r="N592" s="0" t="n">
        <v>3</v>
      </c>
      <c r="O592" s="0" t="n">
        <v>0</v>
      </c>
      <c r="P592" s="0" t="n">
        <v>5</v>
      </c>
      <c r="Q592" s="0" t="n">
        <v>0</v>
      </c>
      <c r="R592" s="0" t="n">
        <v>0</v>
      </c>
      <c r="S592" s="0" t="n">
        <v>5</v>
      </c>
      <c r="T592" s="0" t="n">
        <v>3</v>
      </c>
      <c r="U592" s="21" t="s">
        <v>3340</v>
      </c>
      <c r="W592" s="21" t="s">
        <v>3341</v>
      </c>
      <c r="X592" s="0" t="n">
        <v>0.34</v>
      </c>
      <c r="Y592" s="0" t="n">
        <v>22.7</v>
      </c>
      <c r="Z592" s="0" t="n">
        <v>74.6</v>
      </c>
      <c r="AA592" s="21" t="s">
        <v>3342</v>
      </c>
      <c r="AB592" s="21" t="s">
        <v>3343</v>
      </c>
      <c r="AC592" s="21" t="s">
        <v>120</v>
      </c>
      <c r="AD592" s="0" t="n">
        <v>192</v>
      </c>
      <c r="AE592" s="22" t="b">
        <f aca="false">FALSE()</f>
        <v>0</v>
      </c>
      <c r="AF592" s="21" t="s">
        <v>121</v>
      </c>
      <c r="AG592" s="21" t="s">
        <v>3344</v>
      </c>
    </row>
    <row r="593" customFormat="false" ht="15" hidden="false" customHeight="false" outlineLevel="0" collapsed="false">
      <c r="A593" s="0" t="s">
        <v>3345</v>
      </c>
      <c r="B593" s="20" t="s">
        <v>124</v>
      </c>
      <c r="E593" s="21" t="s">
        <v>243</v>
      </c>
      <c r="F593" s="21" t="s">
        <v>244</v>
      </c>
      <c r="G593" s="21" t="s">
        <v>127</v>
      </c>
      <c r="H593" s="21" t="s">
        <v>245</v>
      </c>
      <c r="I593" s="21" t="s">
        <v>113</v>
      </c>
      <c r="Z593" s="0" t="n">
        <v>0</v>
      </c>
      <c r="AA593" s="21" t="s">
        <v>3346</v>
      </c>
      <c r="AB593" s="21" t="s">
        <v>3346</v>
      </c>
      <c r="AE593" s="22" t="b">
        <f aca="false">FALSE()</f>
        <v>0</v>
      </c>
      <c r="AF593" s="21" t="s">
        <v>121</v>
      </c>
      <c r="AG593" s="21" t="s">
        <v>3347</v>
      </c>
    </row>
    <row r="594" customFormat="false" ht="15" hidden="false" customHeight="false" outlineLevel="0" collapsed="false">
      <c r="A594" s="0" t="s">
        <v>3348</v>
      </c>
      <c r="B594" s="20" t="s">
        <v>124</v>
      </c>
      <c r="E594" s="21" t="s">
        <v>947</v>
      </c>
      <c r="F594" s="21" t="s">
        <v>948</v>
      </c>
      <c r="G594" s="21" t="s">
        <v>111</v>
      </c>
      <c r="H594" s="21" t="s">
        <v>275</v>
      </c>
      <c r="I594" s="21" t="s">
        <v>113</v>
      </c>
      <c r="Z594" s="0" t="n">
        <v>0</v>
      </c>
      <c r="AA594" s="21" t="s">
        <v>3349</v>
      </c>
      <c r="AB594" s="21" t="s">
        <v>3349</v>
      </c>
      <c r="AE594" s="22" t="b">
        <f aca="false">FALSE()</f>
        <v>0</v>
      </c>
      <c r="AF594" s="21" t="s">
        <v>121</v>
      </c>
      <c r="AG594" s="21" t="s">
        <v>3350</v>
      </c>
    </row>
    <row r="595" customFormat="false" ht="15" hidden="false" customHeight="false" outlineLevel="0" collapsed="false">
      <c r="A595" s="0" t="s">
        <v>3351</v>
      </c>
      <c r="B595" s="18" t="s">
        <v>109</v>
      </c>
      <c r="C595" s="19" t="s">
        <v>26</v>
      </c>
      <c r="D595" s="20" t="s">
        <v>31</v>
      </c>
      <c r="E595" s="21" t="s">
        <v>3352</v>
      </c>
      <c r="G595" s="21" t="s">
        <v>111</v>
      </c>
      <c r="H595" s="21" t="s">
        <v>142</v>
      </c>
      <c r="I595" s="21" t="s">
        <v>171</v>
      </c>
      <c r="J595" s="21" t="s">
        <v>134</v>
      </c>
      <c r="K595" s="0" t="n">
        <v>4</v>
      </c>
      <c r="L595" s="0" t="n">
        <v>0</v>
      </c>
      <c r="M595" s="0" t="n">
        <v>2</v>
      </c>
      <c r="N595" s="0" t="n">
        <v>2</v>
      </c>
      <c r="O595" s="0" t="n">
        <v>0</v>
      </c>
      <c r="P595" s="0" t="n">
        <v>2</v>
      </c>
      <c r="Q595" s="0" t="n">
        <v>0</v>
      </c>
      <c r="R595" s="0" t="n">
        <v>0</v>
      </c>
      <c r="S595" s="0" t="n">
        <v>2</v>
      </c>
      <c r="T595" s="0" t="n">
        <v>2</v>
      </c>
      <c r="U595" s="21" t="s">
        <v>3353</v>
      </c>
      <c r="V595" s="21" t="s">
        <v>69</v>
      </c>
      <c r="W595" s="21" t="s">
        <v>1802</v>
      </c>
      <c r="X595" s="0" t="n">
        <v>2.07</v>
      </c>
      <c r="Y595" s="0" t="n">
        <v>12.8</v>
      </c>
      <c r="Z595" s="0" t="n">
        <v>40.6</v>
      </c>
      <c r="AA595" s="21" t="s">
        <v>3354</v>
      </c>
      <c r="AB595" s="21" t="s">
        <v>3355</v>
      </c>
      <c r="AC595" s="21" t="s">
        <v>120</v>
      </c>
      <c r="AD595" s="0" t="n">
        <v>95</v>
      </c>
      <c r="AE595" s="22" t="b">
        <f aca="false">FALSE()</f>
        <v>0</v>
      </c>
      <c r="AF595" s="21" t="s">
        <v>121</v>
      </c>
      <c r="AG595" s="21" t="s">
        <v>3356</v>
      </c>
    </row>
    <row r="596" customFormat="false" ht="15" hidden="false" customHeight="false" outlineLevel="0" collapsed="false">
      <c r="A596" s="0" t="s">
        <v>3357</v>
      </c>
      <c r="B596" s="20" t="s">
        <v>124</v>
      </c>
      <c r="E596" s="21" t="s">
        <v>727</v>
      </c>
      <c r="F596" s="21" t="s">
        <v>728</v>
      </c>
      <c r="G596" s="21" t="s">
        <v>127</v>
      </c>
      <c r="H596" s="21" t="s">
        <v>729</v>
      </c>
      <c r="I596" s="21" t="s">
        <v>113</v>
      </c>
      <c r="Z596" s="0" t="n">
        <v>0</v>
      </c>
      <c r="AA596" s="21" t="s">
        <v>3358</v>
      </c>
      <c r="AB596" s="21" t="s">
        <v>3358</v>
      </c>
      <c r="AE596" s="22" t="b">
        <f aca="false">FALSE()</f>
        <v>0</v>
      </c>
      <c r="AF596" s="21" t="s">
        <v>121</v>
      </c>
      <c r="AG596" s="21" t="s">
        <v>3359</v>
      </c>
    </row>
    <row r="597" customFormat="false" ht="15" hidden="false" customHeight="false" outlineLevel="0" collapsed="false">
      <c r="A597" s="0" t="s">
        <v>3360</v>
      </c>
      <c r="B597" s="20" t="s">
        <v>124</v>
      </c>
      <c r="E597" s="21" t="s">
        <v>684</v>
      </c>
      <c r="F597" s="21" t="s">
        <v>685</v>
      </c>
      <c r="G597" s="21" t="s">
        <v>111</v>
      </c>
      <c r="H597" s="21" t="s">
        <v>869</v>
      </c>
      <c r="I597" s="21" t="s">
        <v>113</v>
      </c>
      <c r="Z597" s="0" t="n">
        <v>0</v>
      </c>
      <c r="AA597" s="21" t="s">
        <v>3361</v>
      </c>
      <c r="AB597" s="21" t="s">
        <v>3361</v>
      </c>
      <c r="AE597" s="22" t="b">
        <f aca="false">FALSE()</f>
        <v>0</v>
      </c>
      <c r="AF597" s="21" t="s">
        <v>121</v>
      </c>
      <c r="AG597" s="21" t="s">
        <v>3362</v>
      </c>
    </row>
    <row r="598" customFormat="false" ht="15" hidden="false" customHeight="false" outlineLevel="0" collapsed="false">
      <c r="A598" s="0" t="s">
        <v>3363</v>
      </c>
      <c r="B598" s="18" t="s">
        <v>109</v>
      </c>
      <c r="C598" s="19" t="s">
        <v>26</v>
      </c>
      <c r="D598" s="20" t="s">
        <v>31</v>
      </c>
      <c r="E598" s="21" t="s">
        <v>3364</v>
      </c>
      <c r="G598" s="21" t="s">
        <v>111</v>
      </c>
      <c r="H598" s="21" t="s">
        <v>261</v>
      </c>
      <c r="I598" s="21" t="s">
        <v>113</v>
      </c>
      <c r="J598" s="21" t="s">
        <v>134</v>
      </c>
      <c r="K598" s="0" t="n">
        <v>4</v>
      </c>
      <c r="L598" s="0" t="n">
        <v>2</v>
      </c>
      <c r="M598" s="0" t="n">
        <v>0</v>
      </c>
      <c r="N598" s="0" t="n">
        <v>2</v>
      </c>
      <c r="O598" s="0" t="n">
        <v>0</v>
      </c>
      <c r="P598" s="0" t="n">
        <v>2</v>
      </c>
      <c r="Q598" s="0" t="n">
        <v>2</v>
      </c>
      <c r="R598" s="0" t="n">
        <v>0</v>
      </c>
      <c r="S598" s="0" t="n">
        <v>0</v>
      </c>
      <c r="T598" s="0" t="n">
        <v>2</v>
      </c>
      <c r="U598" s="21" t="s">
        <v>3365</v>
      </c>
      <c r="V598" s="21" t="s">
        <v>69</v>
      </c>
      <c r="W598" s="21" t="s">
        <v>529</v>
      </c>
      <c r="X598" s="0" t="n">
        <v>7.33</v>
      </c>
      <c r="Y598" s="0" t="n">
        <v>11</v>
      </c>
      <c r="Z598" s="0" t="n">
        <v>45.4</v>
      </c>
      <c r="AA598" s="21" t="s">
        <v>3366</v>
      </c>
      <c r="AB598" s="21" t="s">
        <v>3367</v>
      </c>
      <c r="AC598" s="21" t="s">
        <v>120</v>
      </c>
      <c r="AD598" s="0" t="n">
        <v>98</v>
      </c>
      <c r="AE598" s="22" t="b">
        <f aca="false">FALSE()</f>
        <v>0</v>
      </c>
      <c r="AF598" s="21" t="s">
        <v>121</v>
      </c>
      <c r="AG598" s="21" t="s">
        <v>3368</v>
      </c>
    </row>
    <row r="599" customFormat="false" ht="15" hidden="false" customHeight="false" outlineLevel="0" collapsed="false">
      <c r="A599" s="0" t="s">
        <v>3369</v>
      </c>
      <c r="B599" s="18" t="s">
        <v>109</v>
      </c>
      <c r="C599" s="19" t="s">
        <v>26</v>
      </c>
      <c r="D599" s="20" t="s">
        <v>31</v>
      </c>
      <c r="E599" s="21" t="s">
        <v>3370</v>
      </c>
      <c r="G599" s="21" t="s">
        <v>127</v>
      </c>
      <c r="H599" s="21" t="s">
        <v>195</v>
      </c>
      <c r="I599" s="21" t="s">
        <v>113</v>
      </c>
      <c r="J599" s="21" t="s">
        <v>134</v>
      </c>
      <c r="K599" s="0" t="n">
        <v>4</v>
      </c>
      <c r="L599" s="0" t="n">
        <v>0</v>
      </c>
      <c r="M599" s="0" t="n">
        <v>2</v>
      </c>
      <c r="N599" s="0" t="n">
        <v>2</v>
      </c>
      <c r="O599" s="0" t="n">
        <v>0</v>
      </c>
      <c r="P599" s="0" t="n">
        <v>2</v>
      </c>
      <c r="Q599" s="0" t="n">
        <v>0</v>
      </c>
      <c r="R599" s="0" t="n">
        <v>0</v>
      </c>
      <c r="S599" s="0" t="n">
        <v>2</v>
      </c>
      <c r="T599" s="0" t="n">
        <v>2</v>
      </c>
      <c r="U599" s="21" t="s">
        <v>3371</v>
      </c>
      <c r="V599" s="21" t="s">
        <v>69</v>
      </c>
      <c r="W599" s="21" t="s">
        <v>117</v>
      </c>
      <c r="X599" s="0" t="n">
        <v>1.54</v>
      </c>
      <c r="Y599" s="0" t="n">
        <v>19.5</v>
      </c>
      <c r="Z599" s="0" t="n">
        <v>42.4</v>
      </c>
      <c r="AA599" s="21" t="s">
        <v>3372</v>
      </c>
      <c r="AB599" s="21" t="s">
        <v>3373</v>
      </c>
      <c r="AC599" s="21" t="s">
        <v>120</v>
      </c>
      <c r="AD599" s="0" t="n">
        <v>96</v>
      </c>
      <c r="AE599" s="22" t="b">
        <f aca="false">FALSE()</f>
        <v>0</v>
      </c>
      <c r="AF599" s="21" t="s">
        <v>121</v>
      </c>
      <c r="AG599" s="21" t="s">
        <v>3374</v>
      </c>
    </row>
    <row r="600" customFormat="false" ht="15" hidden="false" customHeight="false" outlineLevel="0" collapsed="false">
      <c r="A600" s="0" t="s">
        <v>3375</v>
      </c>
      <c r="B600" s="20" t="s">
        <v>124</v>
      </c>
      <c r="E600" s="21" t="s">
        <v>125</v>
      </c>
      <c r="F600" s="21" t="s">
        <v>126</v>
      </c>
      <c r="G600" s="21" t="s">
        <v>111</v>
      </c>
      <c r="H600" s="21" t="s">
        <v>128</v>
      </c>
      <c r="I600" s="21" t="s">
        <v>113</v>
      </c>
      <c r="Z600" s="0" t="n">
        <v>0</v>
      </c>
      <c r="AA600" s="21" t="s">
        <v>3376</v>
      </c>
      <c r="AB600" s="21" t="s">
        <v>3376</v>
      </c>
      <c r="AE600" s="22" t="b">
        <f aca="false">FALSE()</f>
        <v>0</v>
      </c>
      <c r="AF600" s="21" t="s">
        <v>121</v>
      </c>
      <c r="AG600" s="21" t="s">
        <v>3377</v>
      </c>
    </row>
    <row r="601" customFormat="false" ht="15" hidden="false" customHeight="false" outlineLevel="0" collapsed="false">
      <c r="A601" s="0" t="s">
        <v>3378</v>
      </c>
      <c r="B601" s="18" t="s">
        <v>109</v>
      </c>
      <c r="C601" s="19" t="s">
        <v>26</v>
      </c>
      <c r="D601" s="20" t="s">
        <v>31</v>
      </c>
      <c r="E601" s="21" t="s">
        <v>3379</v>
      </c>
      <c r="G601" s="21" t="s">
        <v>111</v>
      </c>
      <c r="H601" s="21" t="s">
        <v>568</v>
      </c>
      <c r="I601" s="21" t="s">
        <v>113</v>
      </c>
      <c r="J601" s="21" t="s">
        <v>134</v>
      </c>
      <c r="K601" s="0" t="n">
        <v>4</v>
      </c>
      <c r="L601" s="0" t="n">
        <v>2</v>
      </c>
      <c r="M601" s="0" t="n">
        <v>0</v>
      </c>
      <c r="N601" s="0" t="n">
        <v>2</v>
      </c>
      <c r="O601" s="0" t="n">
        <v>0</v>
      </c>
      <c r="P601" s="0" t="n">
        <v>2</v>
      </c>
      <c r="Q601" s="0" t="n">
        <v>0</v>
      </c>
      <c r="R601" s="0" t="n">
        <v>0</v>
      </c>
      <c r="S601" s="0" t="n">
        <v>2</v>
      </c>
      <c r="T601" s="0" t="n">
        <v>2</v>
      </c>
      <c r="U601" s="21" t="s">
        <v>3380</v>
      </c>
      <c r="V601" s="21" t="s">
        <v>69</v>
      </c>
      <c r="W601" s="21" t="s">
        <v>136</v>
      </c>
      <c r="X601" s="0" t="n">
        <v>8.31</v>
      </c>
      <c r="Y601" s="0" t="n">
        <v>14.4</v>
      </c>
      <c r="Z601" s="0" t="n">
        <v>42.3</v>
      </c>
      <c r="AA601" s="21" t="s">
        <v>3381</v>
      </c>
      <c r="AB601" s="21" t="s">
        <v>1741</v>
      </c>
      <c r="AC601" s="21" t="s">
        <v>120</v>
      </c>
      <c r="AD601" s="0" t="n">
        <v>98</v>
      </c>
      <c r="AE601" s="22" t="b">
        <f aca="false">FALSE()</f>
        <v>0</v>
      </c>
      <c r="AF601" s="21" t="s">
        <v>121</v>
      </c>
      <c r="AG601" s="21" t="s">
        <v>3382</v>
      </c>
    </row>
    <row r="602" customFormat="false" ht="15" hidden="false" customHeight="false" outlineLevel="0" collapsed="false">
      <c r="A602" s="0" t="s">
        <v>3383</v>
      </c>
      <c r="B602" s="18" t="s">
        <v>109</v>
      </c>
      <c r="C602" s="19" t="s">
        <v>26</v>
      </c>
      <c r="D602" s="20" t="s">
        <v>31</v>
      </c>
      <c r="E602" s="21" t="s">
        <v>3384</v>
      </c>
      <c r="G602" s="21" t="s">
        <v>111</v>
      </c>
      <c r="H602" s="21" t="s">
        <v>177</v>
      </c>
      <c r="I602" s="21" t="s">
        <v>113</v>
      </c>
      <c r="J602" s="21" t="s">
        <v>134</v>
      </c>
      <c r="K602" s="0" t="n">
        <v>4</v>
      </c>
      <c r="L602" s="0" t="n">
        <v>0</v>
      </c>
      <c r="M602" s="0" t="n">
        <v>2</v>
      </c>
      <c r="N602" s="0" t="n">
        <v>2</v>
      </c>
      <c r="O602" s="0" t="n">
        <v>0</v>
      </c>
      <c r="P602" s="0" t="n">
        <v>2</v>
      </c>
      <c r="Q602" s="0" t="n">
        <v>0</v>
      </c>
      <c r="R602" s="0" t="n">
        <v>0</v>
      </c>
      <c r="S602" s="0" t="n">
        <v>2</v>
      </c>
      <c r="T602" s="0" t="n">
        <v>2</v>
      </c>
      <c r="U602" s="21" t="s">
        <v>3385</v>
      </c>
      <c r="V602" s="21" t="s">
        <v>69</v>
      </c>
      <c r="W602" s="21" t="s">
        <v>313</v>
      </c>
      <c r="X602" s="0" t="n">
        <v>2.01</v>
      </c>
      <c r="Y602" s="0" t="n">
        <v>20.1</v>
      </c>
      <c r="Z602" s="0" t="n">
        <v>47.4</v>
      </c>
      <c r="AA602" s="21" t="s">
        <v>3386</v>
      </c>
      <c r="AB602" s="21" t="s">
        <v>3387</v>
      </c>
      <c r="AC602" s="21" t="s">
        <v>120</v>
      </c>
      <c r="AD602" s="0" t="n">
        <v>97</v>
      </c>
      <c r="AE602" s="22" t="b">
        <f aca="false">FALSE()</f>
        <v>0</v>
      </c>
      <c r="AF602" s="21" t="s">
        <v>121</v>
      </c>
      <c r="AG602" s="21" t="s">
        <v>3388</v>
      </c>
    </row>
    <row r="603" customFormat="false" ht="15" hidden="false" customHeight="false" outlineLevel="0" collapsed="false">
      <c r="A603" s="0" t="s">
        <v>3389</v>
      </c>
      <c r="B603" s="20" t="s">
        <v>124</v>
      </c>
      <c r="E603" s="21" t="s">
        <v>3390</v>
      </c>
      <c r="F603" s="21" t="s">
        <v>3391</v>
      </c>
      <c r="G603" s="21" t="s">
        <v>111</v>
      </c>
      <c r="H603" s="21" t="s">
        <v>753</v>
      </c>
      <c r="I603" s="21" t="s">
        <v>113</v>
      </c>
      <c r="Z603" s="0" t="n">
        <v>0</v>
      </c>
      <c r="AA603" s="21" t="s">
        <v>3392</v>
      </c>
      <c r="AB603" s="21" t="s">
        <v>3392</v>
      </c>
      <c r="AE603" s="22" t="b">
        <f aca="false">FALSE()</f>
        <v>0</v>
      </c>
      <c r="AF603" s="21" t="s">
        <v>121</v>
      </c>
      <c r="AG603" s="21" t="s">
        <v>3393</v>
      </c>
    </row>
    <row r="604" customFormat="false" ht="15" hidden="false" customHeight="false" outlineLevel="0" collapsed="false">
      <c r="A604" s="0" t="s">
        <v>3394</v>
      </c>
      <c r="B604" s="18" t="s">
        <v>109</v>
      </c>
      <c r="C604" s="20" t="s">
        <v>25</v>
      </c>
      <c r="D604" s="23" t="s">
        <v>30</v>
      </c>
      <c r="E604" s="21" t="s">
        <v>3395</v>
      </c>
      <c r="G604" s="21" t="s">
        <v>127</v>
      </c>
      <c r="H604" s="21" t="s">
        <v>362</v>
      </c>
      <c r="I604" s="21" t="s">
        <v>113</v>
      </c>
      <c r="J604" s="21" t="s">
        <v>134</v>
      </c>
      <c r="K604" s="0" t="n">
        <v>4</v>
      </c>
      <c r="L604" s="0" t="n">
        <v>0</v>
      </c>
      <c r="M604" s="0" t="n">
        <v>4</v>
      </c>
      <c r="N604" s="0" t="n">
        <v>0</v>
      </c>
      <c r="O604" s="0" t="n">
        <v>0</v>
      </c>
      <c r="P604" s="0" t="n">
        <v>4</v>
      </c>
      <c r="Q604" s="0" t="n">
        <v>0</v>
      </c>
      <c r="R604" s="0" t="n">
        <v>0</v>
      </c>
      <c r="S604" s="0" t="n">
        <v>4</v>
      </c>
      <c r="T604" s="0" t="n">
        <v>0</v>
      </c>
      <c r="U604" s="21" t="s">
        <v>3396</v>
      </c>
      <c r="V604" s="21" t="s">
        <v>69</v>
      </c>
      <c r="W604" s="21" t="s">
        <v>283</v>
      </c>
      <c r="X604" s="0" t="n">
        <v>8.28</v>
      </c>
      <c r="Y604" s="0" t="n">
        <v>10.4</v>
      </c>
      <c r="Z604" s="0" t="n">
        <v>48.9</v>
      </c>
      <c r="AA604" s="21" t="s">
        <v>3397</v>
      </c>
      <c r="AB604" s="21" t="s">
        <v>3398</v>
      </c>
      <c r="AC604" s="21" t="s">
        <v>120</v>
      </c>
      <c r="AD604" s="0" t="n">
        <v>103</v>
      </c>
      <c r="AE604" s="22" t="b">
        <f aca="false">FALSE()</f>
        <v>0</v>
      </c>
      <c r="AF604" s="21" t="s">
        <v>121</v>
      </c>
      <c r="AG604" s="21" t="s">
        <v>3399</v>
      </c>
    </row>
    <row r="605" customFormat="false" ht="15" hidden="false" customHeight="false" outlineLevel="0" collapsed="false">
      <c r="A605" s="0" t="s">
        <v>3400</v>
      </c>
      <c r="B605" s="18" t="s">
        <v>109</v>
      </c>
      <c r="C605" s="20" t="s">
        <v>25</v>
      </c>
      <c r="D605" s="23" t="s">
        <v>30</v>
      </c>
      <c r="E605" s="21" t="s">
        <v>3401</v>
      </c>
      <c r="G605" s="21" t="s">
        <v>127</v>
      </c>
      <c r="H605" s="21" t="s">
        <v>953</v>
      </c>
      <c r="I605" s="21" t="s">
        <v>113</v>
      </c>
      <c r="J605" s="21" t="s">
        <v>134</v>
      </c>
      <c r="K605" s="0" t="n">
        <v>4</v>
      </c>
      <c r="L605" s="0" t="n">
        <v>2</v>
      </c>
      <c r="M605" s="0" t="n">
        <v>2</v>
      </c>
      <c r="N605" s="0" t="n">
        <v>0</v>
      </c>
      <c r="O605" s="0" t="n">
        <v>0</v>
      </c>
      <c r="P605" s="0" t="n">
        <v>4</v>
      </c>
      <c r="Q605" s="0" t="n">
        <v>0</v>
      </c>
      <c r="R605" s="0" t="n">
        <v>0</v>
      </c>
      <c r="S605" s="0" t="n">
        <v>4</v>
      </c>
      <c r="T605" s="0" t="n">
        <v>0</v>
      </c>
      <c r="U605" s="21" t="s">
        <v>3402</v>
      </c>
      <c r="V605" s="21" t="s">
        <v>69</v>
      </c>
      <c r="W605" s="21" t="s">
        <v>1230</v>
      </c>
      <c r="X605" s="0" t="n">
        <v>13.29</v>
      </c>
      <c r="Y605" s="0" t="n">
        <v>13</v>
      </c>
      <c r="Z605" s="0" t="n">
        <v>65.2</v>
      </c>
      <c r="AA605" s="21" t="s">
        <v>3403</v>
      </c>
      <c r="AB605" s="21" t="s">
        <v>3404</v>
      </c>
      <c r="AC605" s="21" t="s">
        <v>120</v>
      </c>
      <c r="AD605" s="0" t="n">
        <v>96</v>
      </c>
      <c r="AE605" s="22" t="b">
        <f aca="false">FALSE()</f>
        <v>0</v>
      </c>
      <c r="AF605" s="21" t="s">
        <v>121</v>
      </c>
      <c r="AG605" s="21" t="s">
        <v>3405</v>
      </c>
    </row>
    <row r="606" customFormat="false" ht="15" hidden="false" customHeight="false" outlineLevel="0" collapsed="false">
      <c r="A606" s="0" t="s">
        <v>3406</v>
      </c>
      <c r="B606" s="18" t="s">
        <v>109</v>
      </c>
      <c r="C606" s="19" t="s">
        <v>26</v>
      </c>
      <c r="D606" s="20" t="s">
        <v>31</v>
      </c>
      <c r="E606" s="21" t="s">
        <v>3407</v>
      </c>
      <c r="G606" s="21" t="s">
        <v>127</v>
      </c>
      <c r="H606" s="21" t="s">
        <v>289</v>
      </c>
      <c r="I606" s="21" t="s">
        <v>113</v>
      </c>
      <c r="J606" s="21" t="s">
        <v>134</v>
      </c>
      <c r="K606" s="0" t="n">
        <v>4</v>
      </c>
      <c r="L606" s="0" t="n">
        <v>1</v>
      </c>
      <c r="M606" s="0" t="n">
        <v>1</v>
      </c>
      <c r="N606" s="0" t="n">
        <v>2</v>
      </c>
      <c r="O606" s="0" t="n">
        <v>0</v>
      </c>
      <c r="P606" s="0" t="n">
        <v>2</v>
      </c>
      <c r="Q606" s="0" t="n">
        <v>1</v>
      </c>
      <c r="R606" s="0" t="n">
        <v>0</v>
      </c>
      <c r="S606" s="0" t="n">
        <v>1</v>
      </c>
      <c r="T606" s="0" t="n">
        <v>2</v>
      </c>
      <c r="U606" s="21" t="s">
        <v>3408</v>
      </c>
      <c r="V606" s="21" t="s">
        <v>69</v>
      </c>
      <c r="W606" s="21" t="s">
        <v>136</v>
      </c>
      <c r="X606" s="0" t="n">
        <v>3.41</v>
      </c>
      <c r="Y606" s="0" t="n">
        <v>2.9</v>
      </c>
      <c r="Z606" s="0" t="n">
        <v>40.6</v>
      </c>
      <c r="AA606" s="21" t="s">
        <v>3409</v>
      </c>
      <c r="AB606" s="21" t="s">
        <v>3410</v>
      </c>
      <c r="AC606" s="21" t="s">
        <v>120</v>
      </c>
      <c r="AD606" s="0" t="n">
        <v>95</v>
      </c>
      <c r="AE606" s="22" t="b">
        <f aca="false">FALSE()</f>
        <v>0</v>
      </c>
      <c r="AF606" s="21" t="s">
        <v>121</v>
      </c>
      <c r="AG606" s="21" t="s">
        <v>3411</v>
      </c>
    </row>
    <row r="607" customFormat="false" ht="15" hidden="false" customHeight="false" outlineLevel="0" collapsed="false">
      <c r="A607" s="0" t="s">
        <v>3412</v>
      </c>
      <c r="B607" s="20" t="s">
        <v>124</v>
      </c>
      <c r="E607" s="21" t="s">
        <v>211</v>
      </c>
      <c r="F607" s="21" t="s">
        <v>212</v>
      </c>
      <c r="G607" s="21" t="s">
        <v>111</v>
      </c>
      <c r="H607" s="21" t="s">
        <v>213</v>
      </c>
      <c r="I607" s="21" t="s">
        <v>113</v>
      </c>
      <c r="Z607" s="0" t="n">
        <v>0</v>
      </c>
      <c r="AA607" s="21" t="s">
        <v>3413</v>
      </c>
      <c r="AB607" s="21" t="s">
        <v>3413</v>
      </c>
      <c r="AE607" s="22" t="b">
        <f aca="false">FALSE()</f>
        <v>0</v>
      </c>
      <c r="AF607" s="21" t="s">
        <v>121</v>
      </c>
      <c r="AG607" s="21" t="s">
        <v>3414</v>
      </c>
    </row>
    <row r="608" customFormat="false" ht="15" hidden="false" customHeight="false" outlineLevel="0" collapsed="false">
      <c r="A608" s="0" t="s">
        <v>3415</v>
      </c>
      <c r="B608" s="20" t="s">
        <v>124</v>
      </c>
      <c r="E608" s="21" t="s">
        <v>1331</v>
      </c>
      <c r="F608" s="21" t="s">
        <v>1332</v>
      </c>
      <c r="G608" s="21" t="s">
        <v>127</v>
      </c>
      <c r="H608" s="21" t="s">
        <v>765</v>
      </c>
      <c r="I608" s="21" t="s">
        <v>113</v>
      </c>
      <c r="Z608" s="0" t="n">
        <v>0</v>
      </c>
      <c r="AA608" s="21" t="s">
        <v>3416</v>
      </c>
      <c r="AB608" s="21" t="s">
        <v>3416</v>
      </c>
      <c r="AE608" s="22" t="b">
        <f aca="false">FALSE()</f>
        <v>0</v>
      </c>
      <c r="AF608" s="21" t="s">
        <v>121</v>
      </c>
      <c r="AG608" s="21" t="s">
        <v>3417</v>
      </c>
    </row>
    <row r="609" customFormat="false" ht="15" hidden="false" customHeight="false" outlineLevel="0" collapsed="false">
      <c r="A609" s="0" t="s">
        <v>3418</v>
      </c>
      <c r="B609" s="18" t="s">
        <v>109</v>
      </c>
      <c r="C609" s="20" t="s">
        <v>25</v>
      </c>
      <c r="D609" s="23" t="s">
        <v>30</v>
      </c>
      <c r="E609" s="21" t="s">
        <v>3419</v>
      </c>
      <c r="G609" s="21" t="s">
        <v>111</v>
      </c>
      <c r="H609" s="21" t="s">
        <v>887</v>
      </c>
      <c r="I609" s="21" t="s">
        <v>113</v>
      </c>
      <c r="J609" s="21" t="s">
        <v>114</v>
      </c>
      <c r="K609" s="0" t="n">
        <v>8</v>
      </c>
      <c r="L609" s="0" t="n">
        <v>1</v>
      </c>
      <c r="M609" s="0" t="n">
        <v>7</v>
      </c>
      <c r="N609" s="0" t="n">
        <v>0</v>
      </c>
      <c r="O609" s="0" t="n">
        <v>0</v>
      </c>
      <c r="P609" s="0" t="n">
        <v>8</v>
      </c>
      <c r="Q609" s="0" t="n">
        <v>0</v>
      </c>
      <c r="R609" s="0" t="n">
        <v>1</v>
      </c>
      <c r="S609" s="0" t="n">
        <v>7</v>
      </c>
      <c r="T609" s="0" t="n">
        <v>0</v>
      </c>
      <c r="U609" s="21" t="s">
        <v>3420</v>
      </c>
      <c r="V609" s="21" t="s">
        <v>69</v>
      </c>
      <c r="W609" s="21" t="s">
        <v>3421</v>
      </c>
      <c r="X609" s="0" t="n">
        <v>3.12</v>
      </c>
      <c r="Y609" s="0" t="n">
        <v>20.8</v>
      </c>
      <c r="Z609" s="0" t="n">
        <v>74.6</v>
      </c>
      <c r="AA609" s="21" t="s">
        <v>3422</v>
      </c>
      <c r="AB609" s="21" t="s">
        <v>3423</v>
      </c>
      <c r="AC609" s="21" t="s">
        <v>120</v>
      </c>
      <c r="AD609" s="0" t="n">
        <v>195</v>
      </c>
      <c r="AE609" s="22" t="b">
        <f aca="false">FALSE()</f>
        <v>0</v>
      </c>
      <c r="AF609" s="21" t="s">
        <v>121</v>
      </c>
      <c r="AG609" s="21" t="s">
        <v>3424</v>
      </c>
    </row>
  </sheetData>
  <autoFilter ref="A1:AG6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10"/>
    <col collapsed="false" customWidth="true" hidden="false" outlineLevel="0" max="4" min="4" style="0" width="9"/>
    <col collapsed="false" customWidth="true" hidden="false" outlineLevel="0" max="5" min="5" style="0" width="12"/>
    <col collapsed="false" customWidth="true" hidden="false" outlineLevel="0" max="6" min="6" style="0" width="7"/>
    <col collapsed="false" customWidth="true" hidden="false" outlineLevel="0" max="7" min="7" style="0" width="27"/>
    <col collapsed="false" customWidth="true" hidden="false" outlineLevel="0" max="8" min="8" style="0" width="9"/>
    <col collapsed="false" customWidth="true" hidden="false" outlineLevel="0" max="10" min="9" style="0" width="10"/>
    <col collapsed="false" customWidth="true" hidden="false" outlineLevel="0" max="11" min="11" style="0" width="12"/>
    <col collapsed="false" customWidth="true" hidden="false" outlineLevel="0" max="12" min="12" style="0" width="9"/>
    <col collapsed="false" customWidth="true" hidden="false" outlineLevel="0" max="13" min="13" style="0" width="10"/>
    <col collapsed="false" customWidth="true" hidden="false" outlineLevel="0" max="14" min="14" style="0" width="9"/>
    <col collapsed="false" customWidth="true" hidden="false" outlineLevel="0" max="15" min="15" style="0" width="10"/>
    <col collapsed="false" customWidth="true" hidden="false" outlineLevel="0" max="16" min="16" style="0" width="12"/>
    <col collapsed="false" customWidth="true" hidden="false" outlineLevel="0" max="17" min="17" style="0" width="22"/>
    <col collapsed="false" customWidth="true" hidden="false" outlineLevel="0" max="18" min="18" style="0" width="60"/>
    <col collapsed="false" customWidth="true" hidden="false" outlineLevel="0" max="19" min="19" style="0" width="3"/>
    <col collapsed="false" customWidth="true" hidden="false" outlineLevel="0" max="20" min="20" style="0" width="46"/>
    <col collapsed="false" customWidth="true" hidden="false" outlineLevel="0" max="21" min="21" style="0" width="10"/>
    <col collapsed="false" customWidth="true" hidden="false" outlineLevel="0" max="23" min="22" style="0" width="14"/>
  </cols>
  <sheetData>
    <row r="1" customFormat="false" ht="45" hidden="false" customHeight="true" outlineLevel="0" collapsed="false">
      <c r="A1" s="24" t="s">
        <v>3425</v>
      </c>
      <c r="B1" s="24" t="s">
        <v>3426</v>
      </c>
      <c r="C1" s="24" t="s">
        <v>3427</v>
      </c>
      <c r="D1" s="24" t="s">
        <v>3428</v>
      </c>
      <c r="E1" s="24" t="s">
        <v>3429</v>
      </c>
      <c r="F1" s="24" t="s">
        <v>3430</v>
      </c>
      <c r="G1" s="24" t="s">
        <v>3431</v>
      </c>
      <c r="H1" s="24" t="s">
        <v>3432</v>
      </c>
      <c r="I1" s="24" t="s">
        <v>3433</v>
      </c>
      <c r="J1" s="24" t="s">
        <v>3434</v>
      </c>
      <c r="K1" s="24" t="s">
        <v>3435</v>
      </c>
      <c r="L1" s="24" t="s">
        <v>3436</v>
      </c>
      <c r="M1" s="24" t="s">
        <v>3437</v>
      </c>
      <c r="N1" s="24" t="s">
        <v>3438</v>
      </c>
      <c r="O1" s="24" t="s">
        <v>3439</v>
      </c>
      <c r="P1" s="24" t="s">
        <v>3440</v>
      </c>
      <c r="Q1" s="24" t="s">
        <v>3441</v>
      </c>
      <c r="R1" s="24" t="s">
        <v>3442</v>
      </c>
      <c r="T1" s="24" t="s">
        <v>3443</v>
      </c>
      <c r="U1" s="24" t="s">
        <v>3444</v>
      </c>
      <c r="V1" s="24" t="s">
        <v>3445</v>
      </c>
      <c r="W1" s="24" t="s">
        <v>3446</v>
      </c>
    </row>
    <row r="2" customFormat="false" ht="15" hidden="false" customHeight="false" outlineLevel="0" collapsed="false">
      <c r="A2" s="25" t="n">
        <f aca="false">IF(G2="REJECT",COUNTIF($G$2:$G$2277,"&lt;&gt;REJECT")+1+COUNTIFS($G$2:$G$2277,"REJECT",$B$2:$B$2277,"&gt;"&amp;B2),1+COUNTIFS($G$2:$G$2277,"&lt;&gt;REJECT",$B$2:$B$2277,"&gt;"&amp;B2))</f>
        <v>1</v>
      </c>
      <c r="B2" s="26" t="n">
        <f aca="false">ROUND(($U$2*MAX(0,MIN(1,($W$2-I2)/($W$2-$V$2)))+$U$3*MAX(0,MIN(1,($W$3-J2)/($W$3-$V$3)))+$U$4*MAX(0,MIN(1,($W$4-K2)/($W$4-$V$4)))+$U$5*MAX(0,MIN(1,($W$5-L2)/($W$5-$V$5)))+$U$6*MAX(0,MIN(1,($W$6-M2)/($W$6-$V$6)))+$U$7*MAX(0,MIN(1,($W$7-N2)/($W$7-$V$7)))+$U$8*IF(AND(O2&gt;=$V$8,O2&lt;=$W$8),1,0))/$U$9*100,2)</f>
        <v>99.32</v>
      </c>
      <c r="C2" s="27" t="s">
        <v>3299</v>
      </c>
      <c r="D2" s="25" t="s">
        <v>134</v>
      </c>
      <c r="E2" s="25" t="s">
        <v>3447</v>
      </c>
      <c r="F2" s="25" t="s">
        <v>3448</v>
      </c>
      <c r="G2" s="28" t="s">
        <v>29</v>
      </c>
      <c r="H2" s="28" t="s">
        <v>25</v>
      </c>
      <c r="I2" s="25" t="n">
        <v>0</v>
      </c>
      <c r="J2" s="25" t="n">
        <v>0</v>
      </c>
      <c r="K2" s="25" t="n">
        <v>0</v>
      </c>
      <c r="L2" s="29" t="n">
        <v>0.85</v>
      </c>
      <c r="M2" s="30" t="n">
        <v>2.5</v>
      </c>
      <c r="N2" s="29" t="n">
        <v>0.16</v>
      </c>
      <c r="O2" s="25" t="n">
        <v>183</v>
      </c>
      <c r="P2" s="30" t="n">
        <v>-3.04</v>
      </c>
      <c r="Q2" s="27"/>
      <c r="R2" s="27" t="s">
        <v>64</v>
      </c>
      <c r="T2" s="31" t="s">
        <v>3449</v>
      </c>
      <c r="U2" s="32" t="n">
        <v>35</v>
      </c>
      <c r="V2" s="32" t="n">
        <v>0</v>
      </c>
      <c r="W2" s="32" t="n">
        <v>8</v>
      </c>
    </row>
    <row r="3" customFormat="false" ht="15" hidden="false" customHeight="false" outlineLevel="0" collapsed="false">
      <c r="A3" s="25" t="n">
        <f aca="false">IF(G3="REJECT",COUNTIF($G$2:$G$2277,"&lt;&gt;REJECT")+1+COUNTIFS($G$2:$G$2277,"REJECT",$B$2:$B$2277,"&gt;"&amp;B3),1+COUNTIFS($G$2:$G$2277,"&lt;&gt;REJECT",$B$2:$B$2277,"&gt;"&amp;B3))</f>
        <v>2</v>
      </c>
      <c r="B3" s="26" t="n">
        <f aca="false">ROUND(($U$2*MAX(0,MIN(1,($W$2-I3)/($W$2-$V$2)))+$U$3*MAX(0,MIN(1,($W$3-J3)/($W$3-$V$3)))+$U$4*MAX(0,MIN(1,($W$4-K3)/($W$4-$V$4)))+$U$5*MAX(0,MIN(1,($W$5-L3)/($W$5-$V$5)))+$U$6*MAX(0,MIN(1,($W$6-M3)/($W$6-$V$6)))+$U$7*MAX(0,MIN(1,($W$7-N3)/($W$7-$V$7)))+$U$8*IF(AND(O3&gt;=$V$8,O3&lt;=$W$8),1,0))/$U$9*100,2)</f>
        <v>99.1</v>
      </c>
      <c r="C3" s="27" t="s">
        <v>3299</v>
      </c>
      <c r="D3" s="25" t="s">
        <v>134</v>
      </c>
      <c r="E3" s="25" t="s">
        <v>3450</v>
      </c>
      <c r="F3" s="25" t="s">
        <v>3448</v>
      </c>
      <c r="G3" s="28" t="s">
        <v>29</v>
      </c>
      <c r="H3" s="28" t="s">
        <v>25</v>
      </c>
      <c r="I3" s="25" t="n">
        <v>0</v>
      </c>
      <c r="J3" s="25" t="n">
        <v>0</v>
      </c>
      <c r="K3" s="25" t="n">
        <v>0</v>
      </c>
      <c r="L3" s="29" t="n">
        <v>0.8</v>
      </c>
      <c r="M3" s="30" t="n">
        <v>5.39</v>
      </c>
      <c r="N3" s="29" t="n">
        <v>0</v>
      </c>
      <c r="O3" s="25" t="n">
        <v>183</v>
      </c>
      <c r="P3" s="30" t="n">
        <v>-0.44</v>
      </c>
      <c r="Q3" s="27"/>
      <c r="R3" s="27" t="s">
        <v>3451</v>
      </c>
      <c r="T3" s="31" t="s">
        <v>3452</v>
      </c>
      <c r="U3" s="32" t="n">
        <v>20</v>
      </c>
      <c r="V3" s="32" t="n">
        <v>0</v>
      </c>
      <c r="W3" s="32" t="n">
        <v>2</v>
      </c>
    </row>
    <row r="4" customFormat="false" ht="15" hidden="false" customHeight="false" outlineLevel="0" collapsed="false">
      <c r="A4" s="25" t="n">
        <f aca="false">IF(G4="REJECT",COUNTIF($G$2:$G$2277,"&lt;&gt;REJECT")+1+COUNTIFS($G$2:$G$2277,"REJECT",$B$2:$B$2277,"&gt;"&amp;B4),1+COUNTIFS($G$2:$G$2277,"&lt;&gt;REJECT",$B$2:$B$2277,"&gt;"&amp;B4))</f>
        <v>3</v>
      </c>
      <c r="B4" s="26" t="n">
        <f aca="false">ROUND(($U$2*MAX(0,MIN(1,($W$2-I4)/($W$2-$V$2)))+$U$3*MAX(0,MIN(1,($W$3-J4)/($W$3-$V$3)))+$U$4*MAX(0,MIN(1,($W$4-K4)/($W$4-$V$4)))+$U$5*MAX(0,MIN(1,($W$5-L4)/($W$5-$V$5)))+$U$6*MAX(0,MIN(1,($W$6-M4)/($W$6-$V$6)))+$U$7*MAX(0,MIN(1,($W$7-N4)/($W$7-$V$7)))+$U$8*IF(AND(O4&gt;=$V$8,O4&lt;=$W$8),1,0))/$U$9*100,2)</f>
        <v>98.82</v>
      </c>
      <c r="C4" s="27" t="s">
        <v>3305</v>
      </c>
      <c r="D4" s="25" t="s">
        <v>134</v>
      </c>
      <c r="E4" s="25" t="s">
        <v>3447</v>
      </c>
      <c r="F4" s="25" t="s">
        <v>3448</v>
      </c>
      <c r="G4" s="33" t="s">
        <v>28</v>
      </c>
      <c r="H4" s="33" t="s">
        <v>24</v>
      </c>
      <c r="I4" s="25" t="n">
        <v>0</v>
      </c>
      <c r="J4" s="25" t="n">
        <v>0</v>
      </c>
      <c r="K4" s="25" t="n">
        <v>0</v>
      </c>
      <c r="L4" s="29" t="n">
        <v>0.81</v>
      </c>
      <c r="M4" s="30" t="n">
        <v>5.08</v>
      </c>
      <c r="N4" s="29" t="n">
        <v>0.2</v>
      </c>
      <c r="O4" s="25" t="n">
        <v>185</v>
      </c>
      <c r="P4" s="30" t="n">
        <v>0.83</v>
      </c>
      <c r="Q4" s="27"/>
      <c r="R4" s="27"/>
      <c r="T4" s="31" t="s">
        <v>3453</v>
      </c>
      <c r="U4" s="32" t="n">
        <v>15</v>
      </c>
      <c r="V4" s="32" t="n">
        <v>0</v>
      </c>
      <c r="W4" s="32" t="n">
        <v>8</v>
      </c>
    </row>
    <row r="5" customFormat="false" ht="15" hidden="false" customHeight="false" outlineLevel="0" collapsed="false">
      <c r="A5" s="25" t="n">
        <f aca="false">IF(G5="REJECT",COUNTIF($G$2:$G$2277,"&lt;&gt;REJECT")+1+COUNTIFS($G$2:$G$2277,"REJECT",$B$2:$B$2277,"&gt;"&amp;B5),1+COUNTIFS($G$2:$G$2277,"&lt;&gt;REJECT",$B$2:$B$2277,"&gt;"&amp;B5))</f>
        <v>4</v>
      </c>
      <c r="B5" s="26" t="n">
        <f aca="false">ROUND(($U$2*MAX(0,MIN(1,($W$2-I5)/($W$2-$V$2)))+$U$3*MAX(0,MIN(1,($W$3-J5)/($W$3-$V$3)))+$U$4*MAX(0,MIN(1,($W$4-K5)/($W$4-$V$4)))+$U$5*MAX(0,MIN(1,($W$5-L5)/($W$5-$V$5)))+$U$6*MAX(0,MIN(1,($W$6-M5)/($W$6-$V$6)))+$U$7*MAX(0,MIN(1,($W$7-N5)/($W$7-$V$7)))+$U$8*IF(AND(O5&gt;=$V$8,O5&lt;=$W$8),1,0))/$U$9*100,2)</f>
        <v>98.67</v>
      </c>
      <c r="C5" s="27" t="s">
        <v>2973</v>
      </c>
      <c r="D5" s="25" t="s">
        <v>134</v>
      </c>
      <c r="E5" s="25" t="s">
        <v>3450</v>
      </c>
      <c r="F5" s="25" t="s">
        <v>3448</v>
      </c>
      <c r="G5" s="28" t="s">
        <v>29</v>
      </c>
      <c r="H5" s="28" t="s">
        <v>25</v>
      </c>
      <c r="I5" s="25" t="n">
        <v>0</v>
      </c>
      <c r="J5" s="25" t="n">
        <v>0</v>
      </c>
      <c r="K5" s="25" t="n">
        <v>0</v>
      </c>
      <c r="L5" s="29" t="n">
        <v>0.82</v>
      </c>
      <c r="M5" s="30" t="n">
        <v>5.19</v>
      </c>
      <c r="N5" s="29" t="n">
        <v>0.28</v>
      </c>
      <c r="O5" s="25" t="n">
        <v>187</v>
      </c>
      <c r="P5" s="30" t="n">
        <v>5.39</v>
      </c>
      <c r="Q5" s="27"/>
      <c r="R5" s="27" t="s">
        <v>64</v>
      </c>
      <c r="T5" s="31" t="s">
        <v>3454</v>
      </c>
      <c r="U5" s="32" t="n">
        <v>15</v>
      </c>
      <c r="V5" s="32" t="n">
        <v>0.8</v>
      </c>
      <c r="W5" s="32" t="n">
        <v>0.55</v>
      </c>
    </row>
    <row r="6" customFormat="false" ht="15" hidden="false" customHeight="false" outlineLevel="0" collapsed="false">
      <c r="A6" s="25" t="n">
        <f aca="false">IF(G6="REJECT",COUNTIF($G$2:$G$2277,"&lt;&gt;REJECT")+1+COUNTIFS($G$2:$G$2277,"REJECT",$B$2:$B$2277,"&gt;"&amp;B6),1+COUNTIFS($G$2:$G$2277,"&lt;&gt;REJECT",$B$2:$B$2277,"&gt;"&amp;B6))</f>
        <v>5</v>
      </c>
      <c r="B6" s="26" t="n">
        <f aca="false">ROUND(($U$2*MAX(0,MIN(1,($W$2-I6)/($W$2-$V$2)))+$U$3*MAX(0,MIN(1,($W$3-J6)/($W$3-$V$3)))+$U$4*MAX(0,MIN(1,($W$4-K6)/($W$4-$V$4)))+$U$5*MAX(0,MIN(1,($W$5-L6)/($W$5-$V$5)))+$U$6*MAX(0,MIN(1,($W$6-M6)/($W$6-$V$6)))+$U$7*MAX(0,MIN(1,($W$7-N6)/($W$7-$V$7)))+$U$8*IF(AND(O6&gt;=$V$8,O6&lt;=$W$8),1,0))/$U$9*100,2)</f>
        <v>98.6</v>
      </c>
      <c r="C6" s="27" t="s">
        <v>1360</v>
      </c>
      <c r="D6" s="25" t="s">
        <v>134</v>
      </c>
      <c r="E6" s="25" t="s">
        <v>3450</v>
      </c>
      <c r="F6" s="25" t="s">
        <v>3448</v>
      </c>
      <c r="G6" s="33" t="s">
        <v>28</v>
      </c>
      <c r="H6" s="33" t="s">
        <v>24</v>
      </c>
      <c r="I6" s="25" t="n">
        <v>0</v>
      </c>
      <c r="J6" s="25" t="n">
        <v>0</v>
      </c>
      <c r="K6" s="25" t="n">
        <v>0</v>
      </c>
      <c r="L6" s="29" t="n">
        <v>0.79</v>
      </c>
      <c r="M6" s="30" t="n">
        <v>2.38</v>
      </c>
      <c r="N6" s="29" t="n">
        <v>0.24</v>
      </c>
      <c r="O6" s="25" t="n">
        <v>215</v>
      </c>
      <c r="P6" s="30" t="n">
        <v>9.42</v>
      </c>
      <c r="Q6" s="27"/>
      <c r="R6" s="27"/>
      <c r="T6" s="31" t="s">
        <v>3455</v>
      </c>
      <c r="U6" s="32" t="n">
        <v>5</v>
      </c>
      <c r="V6" s="32" t="n">
        <v>0</v>
      </c>
      <c r="W6" s="32" t="n">
        <v>30</v>
      </c>
    </row>
    <row r="7" customFormat="false" ht="15" hidden="false" customHeight="false" outlineLevel="0" collapsed="false">
      <c r="A7" s="25" t="n">
        <f aca="false">IF(G7="REJECT",COUNTIF($G$2:$G$2277,"&lt;&gt;REJECT")+1+COUNTIFS($G$2:$G$2277,"REJECT",$B$2:$B$2277,"&gt;"&amp;B7),1+COUNTIFS($G$2:$G$2277,"&lt;&gt;REJECT",$B$2:$B$2277,"&gt;"&amp;B7))</f>
        <v>6</v>
      </c>
      <c r="B7" s="26" t="n">
        <f aca="false">ROUND(($U$2*MAX(0,MIN(1,($W$2-I7)/($W$2-$V$2)))+$U$3*MAX(0,MIN(1,($W$3-J7)/($W$3-$V$3)))+$U$4*MAX(0,MIN(1,($W$4-K7)/($W$4-$V$4)))+$U$5*MAX(0,MIN(1,($W$5-L7)/($W$5-$V$5)))+$U$6*MAX(0,MIN(1,($W$6-M7)/($W$6-$V$6)))+$U$7*MAX(0,MIN(1,($W$7-N7)/($W$7-$V$7)))+$U$8*IF(AND(O7&gt;=$V$8,O7&lt;=$W$8),1,0))/$U$9*100,2)</f>
        <v>98.55</v>
      </c>
      <c r="C7" s="27" t="s">
        <v>215</v>
      </c>
      <c r="D7" s="25" t="s">
        <v>134</v>
      </c>
      <c r="E7" s="25" t="s">
        <v>3447</v>
      </c>
      <c r="F7" s="25" t="s">
        <v>3448</v>
      </c>
      <c r="G7" s="33" t="s">
        <v>28</v>
      </c>
      <c r="H7" s="33" t="s">
        <v>24</v>
      </c>
      <c r="I7" s="25" t="n">
        <v>0</v>
      </c>
      <c r="J7" s="25" t="n">
        <v>0</v>
      </c>
      <c r="K7" s="25" t="n">
        <v>0</v>
      </c>
      <c r="L7" s="29" t="n">
        <v>0.81</v>
      </c>
      <c r="M7" s="30" t="n">
        <v>8.68</v>
      </c>
      <c r="N7" s="29" t="n">
        <v>0</v>
      </c>
      <c r="O7" s="25" t="n">
        <v>187</v>
      </c>
      <c r="P7" s="30" t="n">
        <v>7.57</v>
      </c>
      <c r="Q7" s="27"/>
      <c r="R7" s="27"/>
      <c r="T7" s="31" t="s">
        <v>3456</v>
      </c>
      <c r="U7" s="32" t="n">
        <v>5</v>
      </c>
      <c r="V7" s="32" t="n">
        <v>0</v>
      </c>
      <c r="W7" s="32" t="n">
        <v>3</v>
      </c>
    </row>
    <row r="8" customFormat="false" ht="15" hidden="false" customHeight="false" outlineLevel="0" collapsed="false">
      <c r="A8" s="25" t="n">
        <f aca="false">IF(G8="REJECT",COUNTIF($G$2:$G$2277,"&lt;&gt;REJECT")+1+COUNTIFS($G$2:$G$2277,"REJECT",$B$2:$B$2277,"&gt;"&amp;B8),1+COUNTIFS($G$2:$G$2277,"&lt;&gt;REJECT",$B$2:$B$2277,"&gt;"&amp;B8))</f>
        <v>7</v>
      </c>
      <c r="B8" s="26" t="n">
        <f aca="false">ROUND(($U$2*MAX(0,MIN(1,($W$2-I8)/($W$2-$V$2)))+$U$3*MAX(0,MIN(1,($W$3-J8)/($W$3-$V$3)))+$U$4*MAX(0,MIN(1,($W$4-K8)/($W$4-$V$4)))+$U$5*MAX(0,MIN(1,($W$5-L8)/($W$5-$V$5)))+$U$6*MAX(0,MIN(1,($W$6-M8)/($W$6-$V$6)))+$U$7*MAX(0,MIN(1,($W$7-N8)/($W$7-$V$7)))+$U$8*IF(AND(O8&gt;=$V$8,O8&lt;=$W$8),1,0))/$U$9*100,2)</f>
        <v>98.53</v>
      </c>
      <c r="C8" s="27" t="s">
        <v>3259</v>
      </c>
      <c r="D8" s="25" t="s">
        <v>134</v>
      </c>
      <c r="E8" s="25" t="s">
        <v>3447</v>
      </c>
      <c r="F8" s="25" t="s">
        <v>3457</v>
      </c>
      <c r="G8" s="33" t="s">
        <v>28</v>
      </c>
      <c r="H8" s="33" t="s">
        <v>24</v>
      </c>
      <c r="I8" s="25" t="n">
        <v>0</v>
      </c>
      <c r="J8" s="25" t="n">
        <v>0</v>
      </c>
      <c r="K8" s="25" t="n">
        <v>0</v>
      </c>
      <c r="L8" s="29" t="n">
        <v>0.8</v>
      </c>
      <c r="M8" s="30" t="n">
        <v>6.41</v>
      </c>
      <c r="N8" s="29" t="n">
        <v>0.24</v>
      </c>
      <c r="O8" s="25" t="n">
        <v>188</v>
      </c>
      <c r="P8" s="30" t="n">
        <v>4.13</v>
      </c>
      <c r="Q8" s="27"/>
      <c r="R8" s="27"/>
      <c r="T8" s="31" t="s">
        <v>3458</v>
      </c>
      <c r="U8" s="32" t="n">
        <v>5</v>
      </c>
      <c r="V8" s="32" t="n">
        <v>120</v>
      </c>
      <c r="W8" s="32" t="n">
        <v>240</v>
      </c>
    </row>
    <row r="9" customFormat="false" ht="15" hidden="false" customHeight="false" outlineLevel="0" collapsed="false">
      <c r="A9" s="25" t="n">
        <f aca="false">IF(G9="REJECT",COUNTIF($G$2:$G$2277,"&lt;&gt;REJECT")+1+COUNTIFS($G$2:$G$2277,"REJECT",$B$2:$B$2277,"&gt;"&amp;B9),1+COUNTIFS($G$2:$G$2277,"&lt;&gt;REJECT",$B$2:$B$2277,"&gt;"&amp;B9))</f>
        <v>8</v>
      </c>
      <c r="B9" s="26" t="n">
        <f aca="false">ROUND(($U$2*MAX(0,MIN(1,($W$2-I9)/($W$2-$V$2)))+$U$3*MAX(0,MIN(1,($W$3-J9)/($W$3-$V$3)))+$U$4*MAX(0,MIN(1,($W$4-K9)/($W$4-$V$4)))+$U$5*MAX(0,MIN(1,($W$5-L9)/($W$5-$V$5)))+$U$6*MAX(0,MIN(1,($W$6-M9)/($W$6-$V$6)))+$U$7*MAX(0,MIN(1,($W$7-N9)/($W$7-$V$7)))+$U$8*IF(AND(O9&gt;=$V$8,O9&lt;=$W$8),1,0))/$U$9*100,2)</f>
        <v>98.5</v>
      </c>
      <c r="C9" s="27" t="s">
        <v>2155</v>
      </c>
      <c r="D9" s="25" t="s">
        <v>3459</v>
      </c>
      <c r="E9" s="25" t="s">
        <v>3447</v>
      </c>
      <c r="F9" s="25" t="s">
        <v>3457</v>
      </c>
      <c r="G9" s="33" t="s">
        <v>28</v>
      </c>
      <c r="H9" s="33" t="s">
        <v>24</v>
      </c>
      <c r="I9" s="25" t="n">
        <v>0</v>
      </c>
      <c r="J9" s="25" t="n">
        <v>0</v>
      </c>
      <c r="K9" s="25" t="n">
        <v>0</v>
      </c>
      <c r="L9" s="29" t="n">
        <v>0.81</v>
      </c>
      <c r="M9" s="30" t="n">
        <v>7.79</v>
      </c>
      <c r="N9" s="29" t="n">
        <v>0.12</v>
      </c>
      <c r="O9" s="25" t="n">
        <v>183</v>
      </c>
      <c r="P9" s="30" t="n">
        <v>1.5</v>
      </c>
      <c r="Q9" s="27"/>
      <c r="R9" s="27"/>
      <c r="T9" s="34" t="s">
        <v>3460</v>
      </c>
      <c r="U9" s="35" t="n">
        <f aca="false">SUM(U2:U8)</f>
        <v>100</v>
      </c>
    </row>
    <row r="10" customFormat="false" ht="15" hidden="false" customHeight="false" outlineLevel="0" collapsed="false">
      <c r="A10" s="25" t="n">
        <f aca="false">IF(G10="REJECT",COUNTIF($G$2:$G$2277,"&lt;&gt;REJECT")+1+COUNTIFS($G$2:$G$2277,"REJECT",$B$2:$B$2277,"&gt;"&amp;B10),1+COUNTIFS($G$2:$G$2277,"&lt;&gt;REJECT",$B$2:$B$2277,"&gt;"&amp;B10))</f>
        <v>9</v>
      </c>
      <c r="B10" s="26" t="n">
        <f aca="false">ROUND(($U$2*MAX(0,MIN(1,($W$2-I10)/($W$2-$V$2)))+$U$3*MAX(0,MIN(1,($W$3-J10)/($W$3-$V$3)))+$U$4*MAX(0,MIN(1,($W$4-K10)/($W$4-$V$4)))+$U$5*MAX(0,MIN(1,($W$5-L10)/($W$5-$V$5)))+$U$6*MAX(0,MIN(1,($W$6-M10)/($W$6-$V$6)))+$U$7*MAX(0,MIN(1,($W$7-N10)/($W$7-$V$7)))+$U$8*IF(AND(O10&gt;=$V$8,O10&lt;=$W$8),1,0))/$U$9*100,2)</f>
        <v>98.47</v>
      </c>
      <c r="C10" s="27" t="s">
        <v>650</v>
      </c>
      <c r="D10" s="25" t="s">
        <v>134</v>
      </c>
      <c r="E10" s="25" t="s">
        <v>3447</v>
      </c>
      <c r="F10" s="25" t="s">
        <v>3448</v>
      </c>
      <c r="G10" s="33" t="s">
        <v>28</v>
      </c>
      <c r="H10" s="33" t="s">
        <v>24</v>
      </c>
      <c r="I10" s="25" t="n">
        <v>0</v>
      </c>
      <c r="J10" s="25" t="n">
        <v>0</v>
      </c>
      <c r="K10" s="25" t="n">
        <v>0</v>
      </c>
      <c r="L10" s="29" t="n">
        <v>0.8</v>
      </c>
      <c r="M10" s="30" t="n">
        <v>9.21</v>
      </c>
      <c r="N10" s="29" t="n">
        <v>0</v>
      </c>
      <c r="O10" s="25" t="n">
        <v>196</v>
      </c>
      <c r="P10" s="30" t="n">
        <v>2.64</v>
      </c>
      <c r="Q10" s="27"/>
      <c r="R10" s="27"/>
    </row>
    <row r="11" customFormat="false" ht="15" hidden="false" customHeight="false" outlineLevel="0" collapsed="false">
      <c r="A11" s="25" t="n">
        <f aca="false">IF(G11="REJECT",COUNTIF($G$2:$G$2277,"&lt;&gt;REJECT")+1+COUNTIFS($G$2:$G$2277,"REJECT",$B$2:$B$2277,"&gt;"&amp;B11),1+COUNTIFS($G$2:$G$2277,"&lt;&gt;REJECT",$B$2:$B$2277,"&gt;"&amp;B11))</f>
        <v>10</v>
      </c>
      <c r="B11" s="26" t="n">
        <f aca="false">ROUND(($U$2*MAX(0,MIN(1,($W$2-I11)/($W$2-$V$2)))+$U$3*MAX(0,MIN(1,($W$3-J11)/($W$3-$V$3)))+$U$4*MAX(0,MIN(1,($W$4-K11)/($W$4-$V$4)))+$U$5*MAX(0,MIN(1,($W$5-L11)/($W$5-$V$5)))+$U$6*MAX(0,MIN(1,($W$6-M11)/($W$6-$V$6)))+$U$7*MAX(0,MIN(1,($W$7-N11)/($W$7-$V$7)))+$U$8*IF(AND(O11&gt;=$V$8,O11&lt;=$W$8),1,0))/$U$9*100,2)</f>
        <v>98.42</v>
      </c>
      <c r="C11" s="27" t="s">
        <v>1608</v>
      </c>
      <c r="D11" s="25" t="s">
        <v>134</v>
      </c>
      <c r="E11" s="25" t="s">
        <v>3450</v>
      </c>
      <c r="F11" s="25" t="s">
        <v>3448</v>
      </c>
      <c r="G11" s="33" t="s">
        <v>28</v>
      </c>
      <c r="H11" s="33" t="s">
        <v>24</v>
      </c>
      <c r="I11" s="25" t="n">
        <v>0</v>
      </c>
      <c r="J11" s="25" t="n">
        <v>0</v>
      </c>
      <c r="K11" s="25" t="n">
        <v>0</v>
      </c>
      <c r="L11" s="29" t="n">
        <v>0.84</v>
      </c>
      <c r="M11" s="30" t="n">
        <v>5.1</v>
      </c>
      <c r="N11" s="29" t="n">
        <v>0.44</v>
      </c>
      <c r="O11" s="25" t="n">
        <v>185</v>
      </c>
      <c r="P11" s="30" t="n">
        <v>7.79</v>
      </c>
      <c r="Q11" s="27"/>
      <c r="R11" s="27"/>
      <c r="T11" s="36" t="s">
        <v>3461</v>
      </c>
    </row>
    <row r="12" customFormat="false" ht="15" hidden="false" customHeight="false" outlineLevel="0" collapsed="false">
      <c r="A12" s="25" t="n">
        <f aca="false">IF(G12="REJECT",COUNTIF($G$2:$G$2277,"&lt;&gt;REJECT")+1+COUNTIFS($G$2:$G$2277,"REJECT",$B$2:$B$2277,"&gt;"&amp;B12),1+COUNTIFS($G$2:$G$2277,"&lt;&gt;REJECT",$B$2:$B$2277,"&gt;"&amp;B12))</f>
        <v>11</v>
      </c>
      <c r="B12" s="26" t="n">
        <f aca="false">ROUND(($U$2*MAX(0,MIN(1,($W$2-I12)/($W$2-$V$2)))+$U$3*MAX(0,MIN(1,($W$3-J12)/($W$3-$V$3)))+$U$4*MAX(0,MIN(1,($W$4-K12)/($W$4-$V$4)))+$U$5*MAX(0,MIN(1,($W$5-L12)/($W$5-$V$5)))+$U$6*MAX(0,MIN(1,($W$6-M12)/($W$6-$V$6)))+$U$7*MAX(0,MIN(1,($W$7-N12)/($W$7-$V$7)))+$U$8*IF(AND(O12&gt;=$V$8,O12&lt;=$W$8),1,0))/$U$9*100,2)</f>
        <v>98.32</v>
      </c>
      <c r="C12" s="27" t="s">
        <v>3259</v>
      </c>
      <c r="D12" s="25" t="s">
        <v>134</v>
      </c>
      <c r="E12" s="25" t="s">
        <v>3447</v>
      </c>
      <c r="F12" s="25" t="s">
        <v>3448</v>
      </c>
      <c r="G12" s="33" t="s">
        <v>28</v>
      </c>
      <c r="H12" s="33" t="s">
        <v>24</v>
      </c>
      <c r="I12" s="25" t="n">
        <v>0</v>
      </c>
      <c r="J12" s="25" t="n">
        <v>0</v>
      </c>
      <c r="K12" s="25" t="n">
        <v>0</v>
      </c>
      <c r="L12" s="29" t="n">
        <v>0.85</v>
      </c>
      <c r="M12" s="30" t="n">
        <v>4.11</v>
      </c>
      <c r="N12" s="29" t="n">
        <v>0.6</v>
      </c>
      <c r="O12" s="25" t="n">
        <v>187</v>
      </c>
      <c r="P12" s="30" t="n">
        <v>7.15</v>
      </c>
      <c r="Q12" s="27"/>
      <c r="R12" s="27"/>
      <c r="T12" s="37" t="s">
        <v>3462</v>
      </c>
    </row>
    <row r="13" customFormat="false" ht="15" hidden="false" customHeight="false" outlineLevel="0" collapsed="false">
      <c r="A13" s="25" t="n">
        <f aca="false">IF(G13="REJECT",COUNTIF($G$2:$G$2277,"&lt;&gt;REJECT")+1+COUNTIFS($G$2:$G$2277,"REJECT",$B$2:$B$2277,"&gt;"&amp;B13),1+COUNTIFS($G$2:$G$2277,"&lt;&gt;REJECT",$B$2:$B$2277,"&gt;"&amp;B13))</f>
        <v>12</v>
      </c>
      <c r="B13" s="26" t="n">
        <f aca="false">ROUND(($U$2*MAX(0,MIN(1,($W$2-I13)/($W$2-$V$2)))+$U$3*MAX(0,MIN(1,($W$3-J13)/($W$3-$V$3)))+$U$4*MAX(0,MIN(1,($W$4-K13)/($W$4-$V$4)))+$U$5*MAX(0,MIN(1,($W$5-L13)/($W$5-$V$5)))+$U$6*MAX(0,MIN(1,($W$6-M13)/($W$6-$V$6)))+$U$7*MAX(0,MIN(1,($W$7-N13)/($W$7-$V$7)))+$U$8*IF(AND(O13&gt;=$V$8,O13&lt;=$W$8),1,0))/$U$9*100,2)</f>
        <v>98.29</v>
      </c>
      <c r="C13" s="27" t="s">
        <v>2325</v>
      </c>
      <c r="D13" s="25" t="s">
        <v>134</v>
      </c>
      <c r="E13" s="25" t="s">
        <v>3450</v>
      </c>
      <c r="F13" s="25" t="s">
        <v>3448</v>
      </c>
      <c r="G13" s="28" t="s">
        <v>29</v>
      </c>
      <c r="H13" s="28" t="s">
        <v>25</v>
      </c>
      <c r="I13" s="25" t="n">
        <v>0</v>
      </c>
      <c r="J13" s="25" t="n">
        <v>0</v>
      </c>
      <c r="K13" s="25" t="n">
        <v>0</v>
      </c>
      <c r="L13" s="29" t="n">
        <v>0.81</v>
      </c>
      <c r="M13" s="30" t="n">
        <v>3.87</v>
      </c>
      <c r="N13" s="29" t="n">
        <v>0.64</v>
      </c>
      <c r="O13" s="25" t="n">
        <v>184</v>
      </c>
      <c r="P13" s="30" t="n">
        <v>-1.08</v>
      </c>
      <c r="Q13" s="27"/>
      <c r="R13" s="27" t="s">
        <v>62</v>
      </c>
      <c r="T13" s="37" t="s">
        <v>3463</v>
      </c>
    </row>
    <row r="14" customFormat="false" ht="15" hidden="false" customHeight="false" outlineLevel="0" collapsed="false">
      <c r="A14" s="25" t="n">
        <f aca="false">IF(G14="REJECT",COUNTIF($G$2:$G$2277,"&lt;&gt;REJECT")+1+COUNTIFS($G$2:$G$2277,"REJECT",$B$2:$B$2277,"&gt;"&amp;B14),1+COUNTIFS($G$2:$G$2277,"&lt;&gt;REJECT",$B$2:$B$2277,"&gt;"&amp;B14))</f>
        <v>13</v>
      </c>
      <c r="B14" s="26" t="n">
        <f aca="false">ROUND(($U$2*MAX(0,MIN(1,($W$2-I14)/($W$2-$V$2)))+$U$3*MAX(0,MIN(1,($W$3-J14)/($W$3-$V$3)))+$U$4*MAX(0,MIN(1,($W$4-K14)/($W$4-$V$4)))+$U$5*MAX(0,MIN(1,($W$5-L14)/($W$5-$V$5)))+$U$6*MAX(0,MIN(1,($W$6-M14)/($W$6-$V$6)))+$U$7*MAX(0,MIN(1,($W$7-N14)/($W$7-$V$7)))+$U$8*IF(AND(O14&gt;=$V$8,O14&lt;=$W$8),1,0))/$U$9*100,2)</f>
        <v>98.27</v>
      </c>
      <c r="C14" s="27" t="s">
        <v>1836</v>
      </c>
      <c r="D14" s="25" t="s">
        <v>134</v>
      </c>
      <c r="E14" s="25" t="s">
        <v>3450</v>
      </c>
      <c r="F14" s="25" t="s">
        <v>3448</v>
      </c>
      <c r="G14" s="28" t="s">
        <v>29</v>
      </c>
      <c r="H14" s="28" t="s">
        <v>25</v>
      </c>
      <c r="I14" s="25" t="n">
        <v>0</v>
      </c>
      <c r="J14" s="25" t="n">
        <v>0</v>
      </c>
      <c r="K14" s="25" t="n">
        <v>0</v>
      </c>
      <c r="L14" s="29" t="n">
        <v>0.8</v>
      </c>
      <c r="M14" s="30" t="n">
        <v>10.4</v>
      </c>
      <c r="N14" s="29" t="n">
        <v>0</v>
      </c>
      <c r="O14" s="25" t="n">
        <v>198</v>
      </c>
      <c r="P14" s="30" t="n">
        <v>13.57</v>
      </c>
      <c r="Q14" s="27"/>
      <c r="R14" s="27" t="s">
        <v>63</v>
      </c>
      <c r="T14" s="37" t="s">
        <v>3464</v>
      </c>
    </row>
    <row r="15" customFormat="false" ht="15" hidden="false" customHeight="false" outlineLevel="0" collapsed="false">
      <c r="A15" s="25" t="n">
        <f aca="false">IF(G15="REJECT",COUNTIF($G$2:$G$2277,"&lt;&gt;REJECT")+1+COUNTIFS($G$2:$G$2277,"REJECT",$B$2:$B$2277,"&gt;"&amp;B15),1+COUNTIFS($G$2:$G$2277,"&lt;&gt;REJECT",$B$2:$B$2277,"&gt;"&amp;B15))</f>
        <v>14</v>
      </c>
      <c r="B15" s="26" t="n">
        <f aca="false">ROUND(($U$2*MAX(0,MIN(1,($W$2-I15)/($W$2-$V$2)))+$U$3*MAX(0,MIN(1,($W$3-J15)/($W$3-$V$3)))+$U$4*MAX(0,MIN(1,($W$4-K15)/($W$4-$V$4)))+$U$5*MAX(0,MIN(1,($W$5-L15)/($W$5-$V$5)))+$U$6*MAX(0,MIN(1,($W$6-M15)/($W$6-$V$6)))+$U$7*MAX(0,MIN(1,($W$7-N15)/($W$7-$V$7)))+$U$8*IF(AND(O15&gt;=$V$8,O15&lt;=$W$8),1,0))/$U$9*100,2)</f>
        <v>98.26</v>
      </c>
      <c r="C15" s="27" t="s">
        <v>2397</v>
      </c>
      <c r="D15" s="25" t="s">
        <v>134</v>
      </c>
      <c r="E15" s="25" t="s">
        <v>3447</v>
      </c>
      <c r="F15" s="25" t="s">
        <v>3448</v>
      </c>
      <c r="G15" s="33" t="s">
        <v>28</v>
      </c>
      <c r="H15" s="33" t="s">
        <v>24</v>
      </c>
      <c r="I15" s="25" t="n">
        <v>0</v>
      </c>
      <c r="J15" s="25" t="n">
        <v>0</v>
      </c>
      <c r="K15" s="25" t="n">
        <v>0</v>
      </c>
      <c r="L15" s="29" t="n">
        <v>0.82</v>
      </c>
      <c r="M15" s="30" t="n">
        <v>6.03</v>
      </c>
      <c r="N15" s="29" t="n">
        <v>0.44</v>
      </c>
      <c r="O15" s="25" t="n">
        <v>183</v>
      </c>
      <c r="P15" s="30" t="n">
        <v>6.88</v>
      </c>
      <c r="Q15" s="27"/>
      <c r="R15" s="27"/>
      <c r="T15" s="37" t="s">
        <v>3465</v>
      </c>
    </row>
    <row r="16" customFormat="false" ht="15" hidden="false" customHeight="false" outlineLevel="0" collapsed="false">
      <c r="A16" s="25" t="n">
        <f aca="false">IF(G16="REJECT",COUNTIF($G$2:$G$2277,"&lt;&gt;REJECT")+1+COUNTIFS($G$2:$G$2277,"REJECT",$B$2:$B$2277,"&gt;"&amp;B16),1+COUNTIFS($G$2:$G$2277,"&lt;&gt;REJECT",$B$2:$B$2277,"&gt;"&amp;B16))</f>
        <v>15</v>
      </c>
      <c r="B16" s="26" t="n">
        <f aca="false">ROUND(($U$2*MAX(0,MIN(1,($W$2-I16)/($W$2-$V$2)))+$U$3*MAX(0,MIN(1,($W$3-J16)/($W$3-$V$3)))+$U$4*MAX(0,MIN(1,($W$4-K16)/($W$4-$V$4)))+$U$5*MAX(0,MIN(1,($W$5-L16)/($W$5-$V$5)))+$U$6*MAX(0,MIN(1,($W$6-M16)/($W$6-$V$6)))+$U$7*MAX(0,MIN(1,($W$7-N16)/($W$7-$V$7)))+$U$8*IF(AND(O16&gt;=$V$8,O16&lt;=$W$8),1,0))/$U$9*100,2)</f>
        <v>98.24</v>
      </c>
      <c r="C16" s="27" t="s">
        <v>3299</v>
      </c>
      <c r="D16" s="25" t="s">
        <v>134</v>
      </c>
      <c r="E16" s="25" t="s">
        <v>3450</v>
      </c>
      <c r="F16" s="25" t="s">
        <v>3457</v>
      </c>
      <c r="G16" s="28" t="s">
        <v>29</v>
      </c>
      <c r="H16" s="28" t="s">
        <v>25</v>
      </c>
      <c r="I16" s="25" t="n">
        <v>0</v>
      </c>
      <c r="J16" s="25" t="n">
        <v>0</v>
      </c>
      <c r="K16" s="25" t="n">
        <v>0</v>
      </c>
      <c r="L16" s="29" t="n">
        <v>0.8</v>
      </c>
      <c r="M16" s="30" t="n">
        <v>10.58</v>
      </c>
      <c r="N16" s="29" t="n">
        <v>0</v>
      </c>
      <c r="O16" s="25" t="n">
        <v>183</v>
      </c>
      <c r="P16" s="30" t="n">
        <v>0.39</v>
      </c>
      <c r="Q16" s="27"/>
      <c r="R16" s="27" t="s">
        <v>3466</v>
      </c>
      <c r="T16" s="37" t="s">
        <v>3467</v>
      </c>
    </row>
    <row r="17" customFormat="false" ht="15" hidden="false" customHeight="false" outlineLevel="0" collapsed="false">
      <c r="A17" s="25" t="n">
        <f aca="false">IF(G17="REJECT",COUNTIF($G$2:$G$2277,"&lt;&gt;REJECT")+1+COUNTIFS($G$2:$G$2277,"REJECT",$B$2:$B$2277,"&gt;"&amp;B17),1+COUNTIFS($G$2:$G$2277,"&lt;&gt;REJECT",$B$2:$B$2277,"&gt;"&amp;B17))</f>
        <v>16</v>
      </c>
      <c r="B17" s="26" t="n">
        <f aca="false">ROUND(($U$2*MAX(0,MIN(1,($W$2-I17)/($W$2-$V$2)))+$U$3*MAX(0,MIN(1,($W$3-J17)/($W$3-$V$3)))+$U$4*MAX(0,MIN(1,($W$4-K17)/($W$4-$V$4)))+$U$5*MAX(0,MIN(1,($W$5-L17)/($W$5-$V$5)))+$U$6*MAX(0,MIN(1,($W$6-M17)/($W$6-$V$6)))+$U$7*MAX(0,MIN(1,($W$7-N17)/($W$7-$V$7)))+$U$8*IF(AND(O17&gt;=$V$8,O17&lt;=$W$8),1,0))/$U$9*100,2)</f>
        <v>98.17</v>
      </c>
      <c r="C17" s="27" t="s">
        <v>2550</v>
      </c>
      <c r="D17" s="25" t="s">
        <v>134</v>
      </c>
      <c r="E17" s="25" t="s">
        <v>3450</v>
      </c>
      <c r="F17" s="25" t="s">
        <v>3457</v>
      </c>
      <c r="G17" s="33" t="s">
        <v>28</v>
      </c>
      <c r="H17" s="33" t="s">
        <v>24</v>
      </c>
      <c r="I17" s="25" t="n">
        <v>0</v>
      </c>
      <c r="J17" s="25" t="n">
        <v>0</v>
      </c>
      <c r="K17" s="25" t="n">
        <v>0</v>
      </c>
      <c r="L17" s="29" t="n">
        <v>0.82</v>
      </c>
      <c r="M17" s="30" t="n">
        <v>11.01</v>
      </c>
      <c r="N17" s="29" t="n">
        <v>0</v>
      </c>
      <c r="O17" s="25" t="n">
        <v>182</v>
      </c>
      <c r="P17" s="30" t="n">
        <v>9.17</v>
      </c>
      <c r="Q17" s="27"/>
      <c r="R17" s="27"/>
      <c r="T17" s="37" t="s">
        <v>3468</v>
      </c>
    </row>
    <row r="18" customFormat="false" ht="15" hidden="false" customHeight="false" outlineLevel="0" collapsed="false">
      <c r="A18" s="25" t="n">
        <f aca="false">IF(G18="REJECT",COUNTIF($G$2:$G$2277,"&lt;&gt;REJECT")+1+COUNTIFS($G$2:$G$2277,"REJECT",$B$2:$B$2277,"&gt;"&amp;B18),1+COUNTIFS($G$2:$G$2277,"&lt;&gt;REJECT",$B$2:$B$2277,"&gt;"&amp;B18))</f>
        <v>17</v>
      </c>
      <c r="B18" s="26" t="n">
        <f aca="false">ROUND(($U$2*MAX(0,MIN(1,($W$2-I18)/($W$2-$V$2)))+$U$3*MAX(0,MIN(1,($W$3-J18)/($W$3-$V$3)))+$U$4*MAX(0,MIN(1,($W$4-K18)/($W$4-$V$4)))+$U$5*MAX(0,MIN(1,($W$5-L18)/($W$5-$V$5)))+$U$6*MAX(0,MIN(1,($W$6-M18)/($W$6-$V$6)))+$U$7*MAX(0,MIN(1,($W$7-N18)/($W$7-$V$7)))+$U$8*IF(AND(O18&gt;=$V$8,O18&lt;=$W$8),1,0))/$U$9*100,2)</f>
        <v>98.12</v>
      </c>
      <c r="C18" s="27" t="s">
        <v>1346</v>
      </c>
      <c r="D18" s="25" t="s">
        <v>134</v>
      </c>
      <c r="E18" s="25" t="s">
        <v>3447</v>
      </c>
      <c r="F18" s="25" t="s">
        <v>3457</v>
      </c>
      <c r="G18" s="33" t="s">
        <v>28</v>
      </c>
      <c r="H18" s="33" t="s">
        <v>24</v>
      </c>
      <c r="I18" s="25" t="n">
        <v>0</v>
      </c>
      <c r="J18" s="25" t="n">
        <v>0</v>
      </c>
      <c r="K18" s="25" t="n">
        <v>0</v>
      </c>
      <c r="L18" s="29" t="n">
        <v>0.81</v>
      </c>
      <c r="M18" s="30" t="n">
        <v>11.29</v>
      </c>
      <c r="N18" s="29" t="n">
        <v>0</v>
      </c>
      <c r="O18" s="25" t="n">
        <v>194</v>
      </c>
      <c r="P18" s="30" t="n">
        <v>4.05</v>
      </c>
      <c r="Q18" s="27"/>
      <c r="R18" s="27"/>
      <c r="T18" s="37" t="s">
        <v>3469</v>
      </c>
    </row>
    <row r="19" customFormat="false" ht="15" hidden="false" customHeight="false" outlineLevel="0" collapsed="false">
      <c r="A19" s="25" t="n">
        <f aca="false">IF(G19="REJECT",COUNTIF($G$2:$G$2277,"&lt;&gt;REJECT")+1+COUNTIFS($G$2:$G$2277,"REJECT",$B$2:$B$2277,"&gt;"&amp;B19),1+COUNTIFS($G$2:$G$2277,"&lt;&gt;REJECT",$B$2:$B$2277,"&gt;"&amp;B19))</f>
        <v>18</v>
      </c>
      <c r="B19" s="26" t="n">
        <f aca="false">ROUND(($U$2*MAX(0,MIN(1,($W$2-I19)/($W$2-$V$2)))+$U$3*MAX(0,MIN(1,($W$3-J19)/($W$3-$V$3)))+$U$4*MAX(0,MIN(1,($W$4-K19)/($W$4-$V$4)))+$U$5*MAX(0,MIN(1,($W$5-L19)/($W$5-$V$5)))+$U$6*MAX(0,MIN(1,($W$6-M19)/($W$6-$V$6)))+$U$7*MAX(0,MIN(1,($W$7-N19)/($W$7-$V$7)))+$U$8*IF(AND(O19&gt;=$V$8,O19&lt;=$W$8),1,0))/$U$9*100,2)</f>
        <v>98.11</v>
      </c>
      <c r="C19" s="27" t="s">
        <v>573</v>
      </c>
      <c r="D19" s="25" t="s">
        <v>134</v>
      </c>
      <c r="E19" s="25" t="s">
        <v>3450</v>
      </c>
      <c r="F19" s="25" t="s">
        <v>3457</v>
      </c>
      <c r="G19" s="33" t="s">
        <v>28</v>
      </c>
      <c r="H19" s="33" t="s">
        <v>24</v>
      </c>
      <c r="I19" s="25" t="n">
        <v>0</v>
      </c>
      <c r="J19" s="25" t="n">
        <v>0</v>
      </c>
      <c r="K19" s="25" t="n">
        <v>0</v>
      </c>
      <c r="L19" s="29" t="n">
        <v>0.8</v>
      </c>
      <c r="M19" s="30" t="n">
        <v>10.15</v>
      </c>
      <c r="N19" s="29" t="n">
        <v>0.12</v>
      </c>
      <c r="O19" s="25" t="n">
        <v>183</v>
      </c>
      <c r="P19" s="30" t="n">
        <v>11.62</v>
      </c>
      <c r="Q19" s="27"/>
      <c r="R19" s="27"/>
    </row>
    <row r="20" customFormat="false" ht="15" hidden="false" customHeight="false" outlineLevel="0" collapsed="false">
      <c r="A20" s="25" t="n">
        <f aca="false">IF(G20="REJECT",COUNTIF($G$2:$G$2277,"&lt;&gt;REJECT")+1+COUNTIFS($G$2:$G$2277,"REJECT",$B$2:$B$2277,"&gt;"&amp;B20),1+COUNTIFS($G$2:$G$2277,"&lt;&gt;REJECT",$B$2:$B$2277,"&gt;"&amp;B20))</f>
        <v>19</v>
      </c>
      <c r="B20" s="26" t="n">
        <f aca="false">ROUND(($U$2*MAX(0,MIN(1,($W$2-I20)/($W$2-$V$2)))+$U$3*MAX(0,MIN(1,($W$3-J20)/($W$3-$V$3)))+$U$4*MAX(0,MIN(1,($W$4-K20)/($W$4-$V$4)))+$U$5*MAX(0,MIN(1,($W$5-L20)/($W$5-$V$5)))+$U$6*MAX(0,MIN(1,($W$6-M20)/($W$6-$V$6)))+$U$7*MAX(0,MIN(1,($W$7-N20)/($W$7-$V$7)))+$U$8*IF(AND(O20&gt;=$V$8,O20&lt;=$W$8),1,0))/$U$9*100,2)</f>
        <v>98.1</v>
      </c>
      <c r="C20" s="27" t="s">
        <v>1608</v>
      </c>
      <c r="D20" s="25" t="s">
        <v>134</v>
      </c>
      <c r="E20" s="25" t="s">
        <v>3450</v>
      </c>
      <c r="F20" s="25" t="s">
        <v>3457</v>
      </c>
      <c r="G20" s="33" t="s">
        <v>28</v>
      </c>
      <c r="H20" s="33" t="s">
        <v>24</v>
      </c>
      <c r="I20" s="25" t="n">
        <v>0</v>
      </c>
      <c r="J20" s="25" t="n">
        <v>0</v>
      </c>
      <c r="K20" s="25" t="n">
        <v>0</v>
      </c>
      <c r="L20" s="29" t="n">
        <v>0.83</v>
      </c>
      <c r="M20" s="30" t="n">
        <v>4.19</v>
      </c>
      <c r="N20" s="29" t="n">
        <v>0.72</v>
      </c>
      <c r="O20" s="25" t="n">
        <v>185</v>
      </c>
      <c r="P20" s="30" t="n">
        <v>11.56</v>
      </c>
      <c r="Q20" s="27"/>
      <c r="R20" s="27"/>
    </row>
    <row r="21" customFormat="false" ht="15" hidden="false" customHeight="false" outlineLevel="0" collapsed="false">
      <c r="A21" s="25" t="n">
        <f aca="false">IF(G21="REJECT",COUNTIF($G$2:$G$2277,"&lt;&gt;REJECT")+1+COUNTIFS($G$2:$G$2277,"REJECT",$B$2:$B$2277,"&gt;"&amp;B21),1+COUNTIFS($G$2:$G$2277,"&lt;&gt;REJECT",$B$2:$B$2277,"&gt;"&amp;B21))</f>
        <v>20</v>
      </c>
      <c r="B21" s="26" t="n">
        <f aca="false">ROUND(($U$2*MAX(0,MIN(1,($W$2-I21)/($W$2-$V$2)))+$U$3*MAX(0,MIN(1,($W$3-J21)/($W$3-$V$3)))+$U$4*MAX(0,MIN(1,($W$4-K21)/($W$4-$V$4)))+$U$5*MAX(0,MIN(1,($W$5-L21)/($W$5-$V$5)))+$U$6*MAX(0,MIN(1,($W$6-M21)/($W$6-$V$6)))+$U$7*MAX(0,MIN(1,($W$7-N21)/($W$7-$V$7)))+$U$8*IF(AND(O21&gt;=$V$8,O21&lt;=$W$8),1,0))/$U$9*100,2)</f>
        <v>98.06</v>
      </c>
      <c r="C21" s="27" t="s">
        <v>2397</v>
      </c>
      <c r="D21" s="25" t="s">
        <v>134</v>
      </c>
      <c r="E21" s="25" t="s">
        <v>3450</v>
      </c>
      <c r="F21" s="25" t="s">
        <v>3448</v>
      </c>
      <c r="G21" s="33" t="s">
        <v>28</v>
      </c>
      <c r="H21" s="33" t="s">
        <v>24</v>
      </c>
      <c r="I21" s="25" t="n">
        <v>0</v>
      </c>
      <c r="J21" s="25" t="n">
        <v>0</v>
      </c>
      <c r="K21" s="25" t="n">
        <v>0</v>
      </c>
      <c r="L21" s="29" t="n">
        <v>0.82</v>
      </c>
      <c r="M21" s="30" t="n">
        <v>6.04</v>
      </c>
      <c r="N21" s="29" t="n">
        <v>0.56</v>
      </c>
      <c r="O21" s="25" t="n">
        <v>184</v>
      </c>
      <c r="P21" s="30" t="n">
        <v>7.92</v>
      </c>
      <c r="Q21" s="27"/>
      <c r="R21" s="27"/>
    </row>
    <row r="22" customFormat="false" ht="15" hidden="false" customHeight="false" outlineLevel="0" collapsed="false">
      <c r="A22" s="25" t="n">
        <f aca="false">IF(G22="REJECT",COUNTIF($G$2:$G$2277,"&lt;&gt;REJECT")+1+COUNTIFS($G$2:$G$2277,"REJECT",$B$2:$B$2277,"&gt;"&amp;B22),1+COUNTIFS($G$2:$G$2277,"&lt;&gt;REJECT",$B$2:$B$2277,"&gt;"&amp;B22))</f>
        <v>21</v>
      </c>
      <c r="B22" s="26" t="n">
        <f aca="false">ROUND(($U$2*MAX(0,MIN(1,($W$2-I22)/($W$2-$V$2)))+$U$3*MAX(0,MIN(1,($W$3-J22)/($W$3-$V$3)))+$U$4*MAX(0,MIN(1,($W$4-K22)/($W$4-$V$4)))+$U$5*MAX(0,MIN(1,($W$5-L22)/($W$5-$V$5)))+$U$6*MAX(0,MIN(1,($W$6-M22)/($W$6-$V$6)))+$U$7*MAX(0,MIN(1,($W$7-N22)/($W$7-$V$7)))+$U$8*IF(AND(O22&gt;=$V$8,O22&lt;=$W$8),1,0))/$U$9*100,2)</f>
        <v>98.05</v>
      </c>
      <c r="C22" s="27" t="s">
        <v>1781</v>
      </c>
      <c r="D22" s="25" t="s">
        <v>134</v>
      </c>
      <c r="E22" s="25" t="s">
        <v>3450</v>
      </c>
      <c r="F22" s="25" t="s">
        <v>3448</v>
      </c>
      <c r="G22" s="28" t="s">
        <v>29</v>
      </c>
      <c r="H22" s="28" t="s">
        <v>25</v>
      </c>
      <c r="I22" s="25" t="n">
        <v>0</v>
      </c>
      <c r="J22" s="25" t="n">
        <v>0</v>
      </c>
      <c r="K22" s="25" t="n">
        <v>0</v>
      </c>
      <c r="L22" s="29" t="n">
        <v>0.79</v>
      </c>
      <c r="M22" s="30" t="n">
        <v>1.72</v>
      </c>
      <c r="N22" s="29" t="n">
        <v>0.64</v>
      </c>
      <c r="O22" s="25" t="n">
        <v>186</v>
      </c>
      <c r="P22" s="30" t="n">
        <v>-0.97</v>
      </c>
      <c r="Q22" s="27"/>
      <c r="R22" s="27" t="s">
        <v>62</v>
      </c>
    </row>
    <row r="23" customFormat="false" ht="15" hidden="false" customHeight="false" outlineLevel="0" collapsed="false">
      <c r="A23" s="25" t="n">
        <f aca="false">IF(G23="REJECT",COUNTIF($G$2:$G$2277,"&lt;&gt;REJECT")+1+COUNTIFS($G$2:$G$2277,"REJECT",$B$2:$B$2277,"&gt;"&amp;B23),1+COUNTIFS($G$2:$G$2277,"&lt;&gt;REJECT",$B$2:$B$2277,"&gt;"&amp;B23))</f>
        <v>22</v>
      </c>
      <c r="B23" s="26" t="n">
        <f aca="false">ROUND(($U$2*MAX(0,MIN(1,($W$2-I23)/($W$2-$V$2)))+$U$3*MAX(0,MIN(1,($W$3-J23)/($W$3-$V$3)))+$U$4*MAX(0,MIN(1,($W$4-K23)/($W$4-$V$4)))+$U$5*MAX(0,MIN(1,($W$5-L23)/($W$5-$V$5)))+$U$6*MAX(0,MIN(1,($W$6-M23)/($W$6-$V$6)))+$U$7*MAX(0,MIN(1,($W$7-N23)/($W$7-$V$7)))+$U$8*IF(AND(O23&gt;=$V$8,O23&lt;=$W$8),1,0))/$U$9*100,2)</f>
        <v>98.03</v>
      </c>
      <c r="C23" s="27" t="s">
        <v>573</v>
      </c>
      <c r="D23" s="25" t="s">
        <v>134</v>
      </c>
      <c r="E23" s="25" t="s">
        <v>3450</v>
      </c>
      <c r="F23" s="25" t="s">
        <v>3448</v>
      </c>
      <c r="G23" s="33" t="s">
        <v>28</v>
      </c>
      <c r="H23" s="33" t="s">
        <v>24</v>
      </c>
      <c r="I23" s="25" t="n">
        <v>0</v>
      </c>
      <c r="J23" s="25" t="n">
        <v>0</v>
      </c>
      <c r="K23" s="25" t="n">
        <v>0</v>
      </c>
      <c r="L23" s="29" t="n">
        <v>0.82</v>
      </c>
      <c r="M23" s="30" t="n">
        <v>4.21</v>
      </c>
      <c r="N23" s="29" t="n">
        <v>0.76</v>
      </c>
      <c r="O23" s="25" t="n">
        <v>183</v>
      </c>
      <c r="P23" s="30" t="n">
        <v>11.29</v>
      </c>
      <c r="Q23" s="27"/>
      <c r="R23" s="27"/>
    </row>
    <row r="24" customFormat="false" ht="15" hidden="false" customHeight="false" outlineLevel="0" collapsed="false">
      <c r="A24" s="25" t="n">
        <f aca="false">IF(G24="REJECT",COUNTIF($G$2:$G$2277,"&lt;&gt;REJECT")+1+COUNTIFS($G$2:$G$2277,"REJECT",$B$2:$B$2277,"&gt;"&amp;B24),1+COUNTIFS($G$2:$G$2277,"&lt;&gt;REJECT",$B$2:$B$2277,"&gt;"&amp;B24))</f>
        <v>22</v>
      </c>
      <c r="B24" s="26" t="n">
        <f aca="false">ROUND(($U$2*MAX(0,MIN(1,($W$2-I24)/($W$2-$V$2)))+$U$3*MAX(0,MIN(1,($W$3-J24)/($W$3-$V$3)))+$U$4*MAX(0,MIN(1,($W$4-K24)/($W$4-$V$4)))+$U$5*MAX(0,MIN(1,($W$5-L24)/($W$5-$V$5)))+$U$6*MAX(0,MIN(1,($W$6-M24)/($W$6-$V$6)))+$U$7*MAX(0,MIN(1,($W$7-N24)/($W$7-$V$7)))+$U$8*IF(AND(O24&gt;=$V$8,O24&lt;=$W$8),1,0))/$U$9*100,2)</f>
        <v>98.03</v>
      </c>
      <c r="C24" s="27" t="s">
        <v>2767</v>
      </c>
      <c r="D24" s="25" t="s">
        <v>134</v>
      </c>
      <c r="E24" s="25" t="s">
        <v>3450</v>
      </c>
      <c r="F24" s="25" t="s">
        <v>3448</v>
      </c>
      <c r="G24" s="28" t="s">
        <v>29</v>
      </c>
      <c r="H24" s="28" t="s">
        <v>25</v>
      </c>
      <c r="I24" s="25" t="n">
        <v>0</v>
      </c>
      <c r="J24" s="25" t="n">
        <v>0</v>
      </c>
      <c r="K24" s="25" t="n">
        <v>0</v>
      </c>
      <c r="L24" s="29" t="n">
        <v>0.79</v>
      </c>
      <c r="M24" s="30" t="n">
        <v>4.61</v>
      </c>
      <c r="N24" s="29" t="n">
        <v>0.36</v>
      </c>
      <c r="O24" s="25" t="n">
        <v>183</v>
      </c>
      <c r="P24" s="30" t="n">
        <v>2.16</v>
      </c>
      <c r="Q24" s="27"/>
      <c r="R24" s="27" t="s">
        <v>3451</v>
      </c>
    </row>
    <row r="25" customFormat="false" ht="15" hidden="false" customHeight="false" outlineLevel="0" collapsed="false">
      <c r="A25" s="25" t="n">
        <f aca="false">IF(G25="REJECT",COUNTIF($G$2:$G$2277,"&lt;&gt;REJECT")+1+COUNTIFS($G$2:$G$2277,"REJECT",$B$2:$B$2277,"&gt;"&amp;B25),1+COUNTIFS($G$2:$G$2277,"&lt;&gt;REJECT",$B$2:$B$2277,"&gt;"&amp;B25))</f>
        <v>24</v>
      </c>
      <c r="B25" s="26" t="n">
        <f aca="false">ROUND(($U$2*MAX(0,MIN(1,($W$2-I25)/($W$2-$V$2)))+$U$3*MAX(0,MIN(1,($W$3-J25)/($W$3-$V$3)))+$U$4*MAX(0,MIN(1,($W$4-K25)/($W$4-$V$4)))+$U$5*MAX(0,MIN(1,($W$5-L25)/($W$5-$V$5)))+$U$6*MAX(0,MIN(1,($W$6-M25)/($W$6-$V$6)))+$U$7*MAX(0,MIN(1,($W$7-N25)/($W$7-$V$7)))+$U$8*IF(AND(O25&gt;=$V$8,O25&lt;=$W$8),1,0))/$U$9*100,2)</f>
        <v>98</v>
      </c>
      <c r="C25" s="27" t="s">
        <v>1334</v>
      </c>
      <c r="D25" s="25" t="s">
        <v>134</v>
      </c>
      <c r="E25" s="25" t="s">
        <v>3450</v>
      </c>
      <c r="F25" s="25" t="s">
        <v>3448</v>
      </c>
      <c r="G25" s="28" t="s">
        <v>29</v>
      </c>
      <c r="H25" s="28" t="s">
        <v>25</v>
      </c>
      <c r="I25" s="25" t="n">
        <v>0</v>
      </c>
      <c r="J25" s="25" t="n">
        <v>0</v>
      </c>
      <c r="K25" s="25" t="n">
        <v>0</v>
      </c>
      <c r="L25" s="29" t="n">
        <v>0.85</v>
      </c>
      <c r="M25" s="30" t="n">
        <v>9.63</v>
      </c>
      <c r="N25" s="29" t="n">
        <v>0.24</v>
      </c>
      <c r="O25" s="25" t="n">
        <v>187</v>
      </c>
      <c r="P25" s="30" t="n">
        <v>-1.56</v>
      </c>
      <c r="Q25" s="27"/>
      <c r="R25" s="27" t="s">
        <v>3466</v>
      </c>
    </row>
    <row r="26" customFormat="false" ht="15" hidden="false" customHeight="false" outlineLevel="0" collapsed="false">
      <c r="A26" s="25" t="n">
        <f aca="false">IF(G26="REJECT",COUNTIF($G$2:$G$2277,"&lt;&gt;REJECT")+1+COUNTIFS($G$2:$G$2277,"REJECT",$B$2:$B$2277,"&gt;"&amp;B26),1+COUNTIFS($G$2:$G$2277,"&lt;&gt;REJECT",$B$2:$B$2277,"&gt;"&amp;B26))</f>
        <v>24</v>
      </c>
      <c r="B26" s="26" t="n">
        <f aca="false">ROUND(($U$2*MAX(0,MIN(1,($W$2-I26)/($W$2-$V$2)))+$U$3*MAX(0,MIN(1,($W$3-J26)/($W$3-$V$3)))+$U$4*MAX(0,MIN(1,($W$4-K26)/($W$4-$V$4)))+$U$5*MAX(0,MIN(1,($W$5-L26)/($W$5-$V$5)))+$U$6*MAX(0,MIN(1,($W$6-M26)/($W$6-$V$6)))+$U$7*MAX(0,MIN(1,($W$7-N26)/($W$7-$V$7)))+$U$8*IF(AND(O26&gt;=$V$8,O26&lt;=$W$8),1,0))/$U$9*100,2)</f>
        <v>98</v>
      </c>
      <c r="C26" s="27" t="s">
        <v>2614</v>
      </c>
      <c r="D26" s="25" t="s">
        <v>134</v>
      </c>
      <c r="E26" s="25" t="s">
        <v>3447</v>
      </c>
      <c r="F26" s="25" t="s">
        <v>3457</v>
      </c>
      <c r="G26" s="33" t="s">
        <v>28</v>
      </c>
      <c r="H26" s="33" t="s">
        <v>24</v>
      </c>
      <c r="I26" s="25" t="n">
        <v>0</v>
      </c>
      <c r="J26" s="25" t="n">
        <v>0</v>
      </c>
      <c r="K26" s="25" t="n">
        <v>0</v>
      </c>
      <c r="L26" s="29" t="n">
        <v>0.82</v>
      </c>
      <c r="M26" s="30" t="n">
        <v>11.99</v>
      </c>
      <c r="N26" s="29" t="n">
        <v>0</v>
      </c>
      <c r="O26" s="25" t="n">
        <v>185</v>
      </c>
      <c r="P26" s="30" t="n">
        <v>2.7</v>
      </c>
      <c r="Q26" s="27"/>
      <c r="R26" s="27"/>
    </row>
    <row r="27" customFormat="false" ht="15" hidden="false" customHeight="false" outlineLevel="0" collapsed="false">
      <c r="A27" s="25" t="n">
        <f aca="false">IF(G27="REJECT",COUNTIF($G$2:$G$2277,"&lt;&gt;REJECT")+1+COUNTIFS($G$2:$G$2277,"REJECT",$B$2:$B$2277,"&gt;"&amp;B27),1+COUNTIFS($G$2:$G$2277,"&lt;&gt;REJECT",$B$2:$B$2277,"&gt;"&amp;B27))</f>
        <v>26</v>
      </c>
      <c r="B27" s="26" t="n">
        <f aca="false">ROUND(($U$2*MAX(0,MIN(1,($W$2-I27)/($W$2-$V$2)))+$U$3*MAX(0,MIN(1,($W$3-J27)/($W$3-$V$3)))+$U$4*MAX(0,MIN(1,($W$4-K27)/($W$4-$V$4)))+$U$5*MAX(0,MIN(1,($W$5-L27)/($W$5-$V$5)))+$U$6*MAX(0,MIN(1,($W$6-M27)/($W$6-$V$6)))+$U$7*MAX(0,MIN(1,($W$7-N27)/($W$7-$V$7)))+$U$8*IF(AND(O27&gt;=$V$8,O27&lt;=$W$8),1,0))/$U$9*100,2)</f>
        <v>97.95</v>
      </c>
      <c r="C27" s="27" t="s">
        <v>1227</v>
      </c>
      <c r="D27" s="25" t="s">
        <v>134</v>
      </c>
      <c r="E27" s="25" t="s">
        <v>3450</v>
      </c>
      <c r="F27" s="25" t="s">
        <v>3457</v>
      </c>
      <c r="G27" s="28" t="s">
        <v>29</v>
      </c>
      <c r="H27" s="28" t="s">
        <v>25</v>
      </c>
      <c r="I27" s="25" t="n">
        <v>0</v>
      </c>
      <c r="J27" s="25" t="n">
        <v>0</v>
      </c>
      <c r="K27" s="25" t="n">
        <v>0</v>
      </c>
      <c r="L27" s="29" t="n">
        <v>0.81</v>
      </c>
      <c r="M27" s="30" t="n">
        <v>2.73</v>
      </c>
      <c r="N27" s="29" t="n">
        <v>0.96</v>
      </c>
      <c r="O27" s="25" t="n">
        <v>184</v>
      </c>
      <c r="P27" s="30" t="n">
        <v>-1.21</v>
      </c>
      <c r="Q27" s="27"/>
      <c r="R27" s="27" t="s">
        <v>62</v>
      </c>
    </row>
    <row r="28" customFormat="false" ht="15" hidden="false" customHeight="false" outlineLevel="0" collapsed="false">
      <c r="A28" s="25" t="n">
        <f aca="false">IF(G28="REJECT",COUNTIF($G$2:$G$2277,"&lt;&gt;REJECT")+1+COUNTIFS($G$2:$G$2277,"REJECT",$B$2:$B$2277,"&gt;"&amp;B28),1+COUNTIFS($G$2:$G$2277,"&lt;&gt;REJECT",$B$2:$B$2277,"&gt;"&amp;B28))</f>
        <v>26</v>
      </c>
      <c r="B28" s="26" t="n">
        <f aca="false">ROUND(($U$2*MAX(0,MIN(1,($W$2-I28)/($W$2-$V$2)))+$U$3*MAX(0,MIN(1,($W$3-J28)/($W$3-$V$3)))+$U$4*MAX(0,MIN(1,($W$4-K28)/($W$4-$V$4)))+$U$5*MAX(0,MIN(1,($W$5-L28)/($W$5-$V$5)))+$U$6*MAX(0,MIN(1,($W$6-M28)/($W$6-$V$6)))+$U$7*MAX(0,MIN(1,($W$7-N28)/($W$7-$V$7)))+$U$8*IF(AND(O28&gt;=$V$8,O28&lt;=$W$8),1,0))/$U$9*100,2)</f>
        <v>97.95</v>
      </c>
      <c r="C28" s="27" t="s">
        <v>1566</v>
      </c>
      <c r="D28" s="25" t="s">
        <v>134</v>
      </c>
      <c r="E28" s="25" t="s">
        <v>3450</v>
      </c>
      <c r="F28" s="25" t="s">
        <v>3448</v>
      </c>
      <c r="G28" s="33" t="s">
        <v>28</v>
      </c>
      <c r="H28" s="33" t="s">
        <v>24</v>
      </c>
      <c r="I28" s="25" t="n">
        <v>0</v>
      </c>
      <c r="J28" s="25" t="n">
        <v>0</v>
      </c>
      <c r="K28" s="25" t="n">
        <v>0</v>
      </c>
      <c r="L28" s="29" t="n">
        <v>0.8</v>
      </c>
      <c r="M28" s="30" t="n">
        <v>6.28</v>
      </c>
      <c r="N28" s="29" t="n">
        <v>0.6</v>
      </c>
      <c r="O28" s="25" t="n">
        <v>184</v>
      </c>
      <c r="P28" s="30" t="n">
        <v>3.41</v>
      </c>
      <c r="Q28" s="27"/>
      <c r="R28" s="27"/>
    </row>
    <row r="29" customFormat="false" ht="15" hidden="false" customHeight="false" outlineLevel="0" collapsed="false">
      <c r="A29" s="25" t="n">
        <f aca="false">IF(G29="REJECT",COUNTIF($G$2:$G$2277,"&lt;&gt;REJECT")+1+COUNTIFS($G$2:$G$2277,"REJECT",$B$2:$B$2277,"&gt;"&amp;B29),1+COUNTIFS($G$2:$G$2277,"&lt;&gt;REJECT",$B$2:$B$2277,"&gt;"&amp;B29))</f>
        <v>28</v>
      </c>
      <c r="B29" s="26" t="n">
        <f aca="false">ROUND(($U$2*MAX(0,MIN(1,($W$2-I29)/($W$2-$V$2)))+$U$3*MAX(0,MIN(1,($W$3-J29)/($W$3-$V$3)))+$U$4*MAX(0,MIN(1,($W$4-K29)/($W$4-$V$4)))+$U$5*MAX(0,MIN(1,($W$5-L29)/($W$5-$V$5)))+$U$6*MAX(0,MIN(1,($W$6-M29)/($W$6-$V$6)))+$U$7*MAX(0,MIN(1,($W$7-N29)/($W$7-$V$7)))+$U$8*IF(AND(O29&gt;=$V$8,O29&lt;=$W$8),1,0))/$U$9*100,2)</f>
        <v>97.94</v>
      </c>
      <c r="C29" s="27" t="s">
        <v>1073</v>
      </c>
      <c r="D29" s="25" t="s">
        <v>134</v>
      </c>
      <c r="E29" s="25" t="s">
        <v>3450</v>
      </c>
      <c r="F29" s="25" t="s">
        <v>3448</v>
      </c>
      <c r="G29" s="28" t="s">
        <v>29</v>
      </c>
      <c r="H29" s="28" t="s">
        <v>25</v>
      </c>
      <c r="I29" s="25" t="n">
        <v>0</v>
      </c>
      <c r="J29" s="25" t="n">
        <v>0</v>
      </c>
      <c r="K29" s="25" t="n">
        <v>0</v>
      </c>
      <c r="L29" s="29" t="n">
        <v>0.8</v>
      </c>
      <c r="M29" s="30" t="n">
        <v>3.18</v>
      </c>
      <c r="N29" s="29" t="n">
        <v>0.92</v>
      </c>
      <c r="O29" s="25" t="n">
        <v>184</v>
      </c>
      <c r="P29" s="30" t="n">
        <v>-1.05</v>
      </c>
      <c r="Q29" s="27"/>
      <c r="R29" s="27" t="s">
        <v>62</v>
      </c>
    </row>
    <row r="30" customFormat="false" ht="15" hidden="false" customHeight="false" outlineLevel="0" collapsed="false">
      <c r="A30" s="25" t="n">
        <f aca="false">IF(G30="REJECT",COUNTIF($G$2:$G$2277,"&lt;&gt;REJECT")+1+COUNTIFS($G$2:$G$2277,"REJECT",$B$2:$B$2277,"&gt;"&amp;B30),1+COUNTIFS($G$2:$G$2277,"&lt;&gt;REJECT",$B$2:$B$2277,"&gt;"&amp;B30))</f>
        <v>29</v>
      </c>
      <c r="B30" s="26" t="n">
        <f aca="false">ROUND(($U$2*MAX(0,MIN(1,($W$2-I30)/($W$2-$V$2)))+$U$3*MAX(0,MIN(1,($W$3-J30)/($W$3-$V$3)))+$U$4*MAX(0,MIN(1,($W$4-K30)/($W$4-$V$4)))+$U$5*MAX(0,MIN(1,($W$5-L30)/($W$5-$V$5)))+$U$6*MAX(0,MIN(1,($W$6-M30)/($W$6-$V$6)))+$U$7*MAX(0,MIN(1,($W$7-N30)/($W$7-$V$7)))+$U$8*IF(AND(O30&gt;=$V$8,O30&lt;=$W$8),1,0))/$U$9*100,2)</f>
        <v>97.93</v>
      </c>
      <c r="C30" s="27" t="s">
        <v>2453</v>
      </c>
      <c r="D30" s="25" t="s">
        <v>134</v>
      </c>
      <c r="E30" s="25" t="s">
        <v>3447</v>
      </c>
      <c r="F30" s="25" t="s">
        <v>3448</v>
      </c>
      <c r="G30" s="33" t="s">
        <v>28</v>
      </c>
      <c r="H30" s="33" t="s">
        <v>24</v>
      </c>
      <c r="I30" s="25" t="n">
        <v>0</v>
      </c>
      <c r="J30" s="25" t="n">
        <v>0</v>
      </c>
      <c r="K30" s="25" t="n">
        <v>0</v>
      </c>
      <c r="L30" s="29" t="n">
        <v>0.83</v>
      </c>
      <c r="M30" s="30" t="n">
        <v>9.65</v>
      </c>
      <c r="N30" s="29" t="n">
        <v>0.28</v>
      </c>
      <c r="O30" s="25" t="n">
        <v>189</v>
      </c>
      <c r="P30" s="30" t="n">
        <v>9.36</v>
      </c>
      <c r="Q30" s="27"/>
      <c r="R30" s="27"/>
    </row>
    <row r="31" customFormat="false" ht="15" hidden="false" customHeight="false" outlineLevel="0" collapsed="false">
      <c r="A31" s="25" t="n">
        <f aca="false">IF(G31="REJECT",COUNTIF($G$2:$G$2277,"&lt;&gt;REJECT")+1+COUNTIFS($G$2:$G$2277,"REJECT",$B$2:$B$2277,"&gt;"&amp;B31),1+COUNTIFS($G$2:$G$2277,"&lt;&gt;REJECT",$B$2:$B$2277,"&gt;"&amp;B31))</f>
        <v>30</v>
      </c>
      <c r="B31" s="26" t="n">
        <f aca="false">ROUND(($U$2*MAX(0,MIN(1,($W$2-I31)/($W$2-$V$2)))+$U$3*MAX(0,MIN(1,($W$3-J31)/($W$3-$V$3)))+$U$4*MAX(0,MIN(1,($W$4-K31)/($W$4-$V$4)))+$U$5*MAX(0,MIN(1,($W$5-L31)/($W$5-$V$5)))+$U$6*MAX(0,MIN(1,($W$6-M31)/($W$6-$V$6)))+$U$7*MAX(0,MIN(1,($W$7-N31)/($W$7-$V$7)))+$U$8*IF(AND(O31&gt;=$V$8,O31&lt;=$W$8),1,0))/$U$9*100,2)</f>
        <v>97.81</v>
      </c>
      <c r="C31" s="27" t="s">
        <v>1691</v>
      </c>
      <c r="D31" s="25" t="s">
        <v>134</v>
      </c>
      <c r="E31" s="25" t="s">
        <v>3447</v>
      </c>
      <c r="F31" s="25" t="s">
        <v>3448</v>
      </c>
      <c r="G31" s="33" t="s">
        <v>28</v>
      </c>
      <c r="H31" s="33" t="s">
        <v>24</v>
      </c>
      <c r="I31" s="25" t="n">
        <v>0</v>
      </c>
      <c r="J31" s="25" t="n">
        <v>0</v>
      </c>
      <c r="K31" s="25" t="n">
        <v>0</v>
      </c>
      <c r="L31" s="29" t="n">
        <v>0.83</v>
      </c>
      <c r="M31" s="30" t="n">
        <v>10.33</v>
      </c>
      <c r="N31" s="29" t="n">
        <v>0.28</v>
      </c>
      <c r="O31" s="25" t="n">
        <v>182</v>
      </c>
      <c r="P31" s="30" t="n">
        <v>0.91</v>
      </c>
      <c r="Q31" s="27"/>
      <c r="R31" s="27"/>
    </row>
    <row r="32" customFormat="false" ht="15" hidden="false" customHeight="false" outlineLevel="0" collapsed="false">
      <c r="A32" s="25" t="n">
        <f aca="false">IF(G32="REJECT",COUNTIF($G$2:$G$2277,"&lt;&gt;REJECT")+1+COUNTIFS($G$2:$G$2277,"REJECT",$B$2:$B$2277,"&gt;"&amp;B32),1+COUNTIFS($G$2:$G$2277,"&lt;&gt;REJECT",$B$2:$B$2277,"&gt;"&amp;B32))</f>
        <v>31</v>
      </c>
      <c r="B32" s="26" t="n">
        <f aca="false">ROUND(($U$2*MAX(0,MIN(1,($W$2-I32)/($W$2-$V$2)))+$U$3*MAX(0,MIN(1,($W$3-J32)/($W$3-$V$3)))+$U$4*MAX(0,MIN(1,($W$4-K32)/($W$4-$V$4)))+$U$5*MAX(0,MIN(1,($W$5-L32)/($W$5-$V$5)))+$U$6*MAX(0,MIN(1,($W$6-M32)/($W$6-$V$6)))+$U$7*MAX(0,MIN(1,($W$7-N32)/($W$7-$V$7)))+$U$8*IF(AND(O32&gt;=$V$8,O32&lt;=$W$8),1,0))/$U$9*100,2)</f>
        <v>97.79</v>
      </c>
      <c r="C32" s="27" t="s">
        <v>1096</v>
      </c>
      <c r="D32" s="25" t="s">
        <v>134</v>
      </c>
      <c r="E32" s="25" t="s">
        <v>3450</v>
      </c>
      <c r="F32" s="25" t="s">
        <v>3457</v>
      </c>
      <c r="G32" s="33" t="s">
        <v>28</v>
      </c>
      <c r="H32" s="33" t="s">
        <v>24</v>
      </c>
      <c r="I32" s="25" t="n">
        <v>0</v>
      </c>
      <c r="J32" s="25" t="n">
        <v>0</v>
      </c>
      <c r="K32" s="25" t="n">
        <v>0</v>
      </c>
      <c r="L32" s="29" t="n">
        <v>0.83</v>
      </c>
      <c r="M32" s="30" t="n">
        <v>11.64</v>
      </c>
      <c r="N32" s="29" t="n">
        <v>0.16</v>
      </c>
      <c r="O32" s="25" t="n">
        <v>183</v>
      </c>
      <c r="P32" s="30" t="n">
        <v>11.6</v>
      </c>
      <c r="Q32" s="27"/>
      <c r="R32" s="27"/>
    </row>
    <row r="33" customFormat="false" ht="15" hidden="false" customHeight="false" outlineLevel="0" collapsed="false">
      <c r="A33" s="25" t="n">
        <f aca="false">IF(G33="REJECT",COUNTIF($G$2:$G$2277,"&lt;&gt;REJECT")+1+COUNTIFS($G$2:$G$2277,"REJECT",$B$2:$B$2277,"&gt;"&amp;B33),1+COUNTIFS($G$2:$G$2277,"&lt;&gt;REJECT",$B$2:$B$2277,"&gt;"&amp;B33))</f>
        <v>32</v>
      </c>
      <c r="B33" s="26" t="n">
        <f aca="false">ROUND(($U$2*MAX(0,MIN(1,($W$2-I33)/($W$2-$V$2)))+$U$3*MAX(0,MIN(1,($W$3-J33)/($W$3-$V$3)))+$U$4*MAX(0,MIN(1,($W$4-K33)/($W$4-$V$4)))+$U$5*MAX(0,MIN(1,($W$5-L33)/($W$5-$V$5)))+$U$6*MAX(0,MIN(1,($W$6-M33)/($W$6-$V$6)))+$U$7*MAX(0,MIN(1,($W$7-N33)/($W$7-$V$7)))+$U$8*IF(AND(O33&gt;=$V$8,O33&lt;=$W$8),1,0))/$U$9*100,2)</f>
        <v>97.77</v>
      </c>
      <c r="C33" s="27" t="s">
        <v>923</v>
      </c>
      <c r="D33" s="25" t="s">
        <v>134</v>
      </c>
      <c r="E33" s="25" t="s">
        <v>3450</v>
      </c>
      <c r="F33" s="25" t="s">
        <v>3448</v>
      </c>
      <c r="G33" s="33" t="s">
        <v>28</v>
      </c>
      <c r="H33" s="33" t="s">
        <v>24</v>
      </c>
      <c r="I33" s="25" t="n">
        <v>0</v>
      </c>
      <c r="J33" s="25" t="n">
        <v>0</v>
      </c>
      <c r="K33" s="25" t="n">
        <v>0</v>
      </c>
      <c r="L33" s="29" t="n">
        <v>0.84</v>
      </c>
      <c r="M33" s="30" t="n">
        <v>10.58</v>
      </c>
      <c r="N33" s="29" t="n">
        <v>0.28</v>
      </c>
      <c r="O33" s="25" t="n">
        <v>184</v>
      </c>
      <c r="P33" s="30" t="n">
        <v>9.6</v>
      </c>
      <c r="Q33" s="27"/>
      <c r="R33" s="27"/>
    </row>
    <row r="34" customFormat="false" ht="15" hidden="false" customHeight="false" outlineLevel="0" collapsed="false">
      <c r="A34" s="25" t="n">
        <f aca="false">IF(G34="REJECT",COUNTIF($G$2:$G$2277,"&lt;&gt;REJECT")+1+COUNTIFS($G$2:$G$2277,"REJECT",$B$2:$B$2277,"&gt;"&amp;B34),1+COUNTIFS($G$2:$G$2277,"&lt;&gt;REJECT",$B$2:$B$2277,"&gt;"&amp;B34))</f>
        <v>32</v>
      </c>
      <c r="B34" s="26" t="n">
        <f aca="false">ROUND(($U$2*MAX(0,MIN(1,($W$2-I34)/($W$2-$V$2)))+$U$3*MAX(0,MIN(1,($W$3-J34)/($W$3-$V$3)))+$U$4*MAX(0,MIN(1,($W$4-K34)/($W$4-$V$4)))+$U$5*MAX(0,MIN(1,($W$5-L34)/($W$5-$V$5)))+$U$6*MAX(0,MIN(1,($W$6-M34)/($W$6-$V$6)))+$U$7*MAX(0,MIN(1,($W$7-N34)/($W$7-$V$7)))+$U$8*IF(AND(O34&gt;=$V$8,O34&lt;=$W$8),1,0))/$U$9*100,2)</f>
        <v>97.77</v>
      </c>
      <c r="C34" s="27" t="s">
        <v>2137</v>
      </c>
      <c r="D34" s="25" t="s">
        <v>134</v>
      </c>
      <c r="E34" s="25" t="s">
        <v>3447</v>
      </c>
      <c r="F34" s="25" t="s">
        <v>3448</v>
      </c>
      <c r="G34" s="28" t="s">
        <v>29</v>
      </c>
      <c r="H34" s="28" t="s">
        <v>25</v>
      </c>
      <c r="I34" s="25" t="n">
        <v>0</v>
      </c>
      <c r="J34" s="25" t="n">
        <v>0</v>
      </c>
      <c r="K34" s="25" t="n">
        <v>0</v>
      </c>
      <c r="L34" s="29" t="n">
        <v>0.79</v>
      </c>
      <c r="M34" s="30" t="n">
        <v>1.37</v>
      </c>
      <c r="N34" s="29" t="n">
        <v>0.84</v>
      </c>
      <c r="O34" s="25" t="n">
        <v>184</v>
      </c>
      <c r="P34" s="30" t="n">
        <v>-1.32</v>
      </c>
      <c r="Q34" s="27"/>
      <c r="R34" s="27" t="s">
        <v>63</v>
      </c>
    </row>
    <row r="35" customFormat="false" ht="15" hidden="false" customHeight="false" outlineLevel="0" collapsed="false">
      <c r="A35" s="25" t="n">
        <f aca="false">IF(G35="REJECT",COUNTIF($G$2:$G$2277,"&lt;&gt;REJECT")+1+COUNTIFS($G$2:$G$2277,"REJECT",$B$2:$B$2277,"&gt;"&amp;B35),1+COUNTIFS($G$2:$G$2277,"&lt;&gt;REJECT",$B$2:$B$2277,"&gt;"&amp;B35))</f>
        <v>34</v>
      </c>
      <c r="B35" s="26" t="n">
        <f aca="false">ROUND(($U$2*MAX(0,MIN(1,($W$2-I35)/($W$2-$V$2)))+$U$3*MAX(0,MIN(1,($W$3-J35)/($W$3-$V$3)))+$U$4*MAX(0,MIN(1,($W$4-K35)/($W$4-$V$4)))+$U$5*MAX(0,MIN(1,($W$5-L35)/($W$5-$V$5)))+$U$6*MAX(0,MIN(1,($W$6-M35)/($W$6-$V$6)))+$U$7*MAX(0,MIN(1,($W$7-N35)/($W$7-$V$7)))+$U$8*IF(AND(O35&gt;=$V$8,O35&lt;=$W$8),1,0))/$U$9*100,2)</f>
        <v>97.73</v>
      </c>
      <c r="C35" s="27" t="s">
        <v>500</v>
      </c>
      <c r="D35" s="25" t="s">
        <v>134</v>
      </c>
      <c r="E35" s="25" t="s">
        <v>3450</v>
      </c>
      <c r="F35" s="25" t="s">
        <v>3448</v>
      </c>
      <c r="G35" s="28" t="s">
        <v>29</v>
      </c>
      <c r="H35" s="28" t="s">
        <v>25</v>
      </c>
      <c r="I35" s="25" t="n">
        <v>0</v>
      </c>
      <c r="J35" s="25" t="n">
        <v>0</v>
      </c>
      <c r="K35" s="25" t="n">
        <v>0</v>
      </c>
      <c r="L35" s="29" t="n">
        <v>0.8</v>
      </c>
      <c r="M35" s="30" t="n">
        <v>9.25</v>
      </c>
      <c r="N35" s="29" t="n">
        <v>0.44</v>
      </c>
      <c r="O35" s="25" t="n">
        <v>182</v>
      </c>
      <c r="P35" s="30" t="n">
        <v>-0.66</v>
      </c>
      <c r="Q35" s="27"/>
      <c r="R35" s="27" t="s">
        <v>62</v>
      </c>
    </row>
    <row r="36" customFormat="false" ht="15" hidden="false" customHeight="false" outlineLevel="0" collapsed="false">
      <c r="A36" s="25" t="n">
        <f aca="false">IF(G36="REJECT",COUNTIF($G$2:$G$2277,"&lt;&gt;REJECT")+1+COUNTIFS($G$2:$G$2277,"REJECT",$B$2:$B$2277,"&gt;"&amp;B36),1+COUNTIFS($G$2:$G$2277,"&lt;&gt;REJECT",$B$2:$B$2277,"&gt;"&amp;B36))</f>
        <v>35</v>
      </c>
      <c r="B36" s="26" t="n">
        <f aca="false">ROUND(($U$2*MAX(0,MIN(1,($W$2-I36)/($W$2-$V$2)))+$U$3*MAX(0,MIN(1,($W$3-J36)/($W$3-$V$3)))+$U$4*MAX(0,MIN(1,($W$4-K36)/($W$4-$V$4)))+$U$5*MAX(0,MIN(1,($W$5-L36)/($W$5-$V$5)))+$U$6*MAX(0,MIN(1,($W$6-M36)/($W$6-$V$6)))+$U$7*MAX(0,MIN(1,($W$7-N36)/($W$7-$V$7)))+$U$8*IF(AND(O36&gt;=$V$8,O36&lt;=$W$8),1,0))/$U$9*100,2)</f>
        <v>97.7</v>
      </c>
      <c r="C36" s="27" t="s">
        <v>1346</v>
      </c>
      <c r="D36" s="25" t="s">
        <v>134</v>
      </c>
      <c r="E36" s="25" t="s">
        <v>3450</v>
      </c>
      <c r="F36" s="25" t="s">
        <v>3457</v>
      </c>
      <c r="G36" s="33" t="s">
        <v>28</v>
      </c>
      <c r="H36" s="33" t="s">
        <v>24</v>
      </c>
      <c r="I36" s="25" t="n">
        <v>0</v>
      </c>
      <c r="J36" s="25" t="n">
        <v>0</v>
      </c>
      <c r="K36" s="25" t="n">
        <v>0</v>
      </c>
      <c r="L36" s="29" t="n">
        <v>0.81</v>
      </c>
      <c r="M36" s="30" t="n">
        <v>10.58</v>
      </c>
      <c r="N36" s="29" t="n">
        <v>0.32</v>
      </c>
      <c r="O36" s="25" t="n">
        <v>185</v>
      </c>
      <c r="P36" s="30" t="n">
        <v>10.34</v>
      </c>
      <c r="Q36" s="27"/>
      <c r="R36" s="27"/>
    </row>
    <row r="37" customFormat="false" ht="15" hidden="false" customHeight="false" outlineLevel="0" collapsed="false">
      <c r="A37" s="25" t="n">
        <f aca="false">IF(G37="REJECT",COUNTIF($G$2:$G$2277,"&lt;&gt;REJECT")+1+COUNTIFS($G$2:$G$2277,"REJECT",$B$2:$B$2277,"&gt;"&amp;B37),1+COUNTIFS($G$2:$G$2277,"&lt;&gt;REJECT",$B$2:$B$2277,"&gt;"&amp;B37))</f>
        <v>36</v>
      </c>
      <c r="B37" s="26" t="n">
        <f aca="false">ROUND(($U$2*MAX(0,MIN(1,($W$2-I37)/($W$2-$V$2)))+$U$3*MAX(0,MIN(1,($W$3-J37)/($W$3-$V$3)))+$U$4*MAX(0,MIN(1,($W$4-K37)/($W$4-$V$4)))+$U$5*MAX(0,MIN(1,($W$5-L37)/($W$5-$V$5)))+$U$6*MAX(0,MIN(1,($W$6-M37)/($W$6-$V$6)))+$U$7*MAX(0,MIN(1,($W$7-N37)/($W$7-$V$7)))+$U$8*IF(AND(O37&gt;=$V$8,O37&lt;=$W$8),1,0))/$U$9*100,2)</f>
        <v>97.67</v>
      </c>
      <c r="C37" s="27" t="s">
        <v>2626</v>
      </c>
      <c r="D37" s="25" t="s">
        <v>134</v>
      </c>
      <c r="E37" s="25" t="s">
        <v>3450</v>
      </c>
      <c r="F37" s="25" t="s">
        <v>3457</v>
      </c>
      <c r="G37" s="28" t="s">
        <v>29</v>
      </c>
      <c r="H37" s="28" t="s">
        <v>25</v>
      </c>
      <c r="I37" s="25" t="n">
        <v>0</v>
      </c>
      <c r="J37" s="25" t="n">
        <v>0</v>
      </c>
      <c r="K37" s="25" t="n">
        <v>0</v>
      </c>
      <c r="L37" s="29" t="n">
        <v>0.85</v>
      </c>
      <c r="M37" s="30" t="n">
        <v>4.41</v>
      </c>
      <c r="N37" s="29" t="n">
        <v>0.96</v>
      </c>
      <c r="O37" s="25" t="n">
        <v>184</v>
      </c>
      <c r="P37" s="30" t="n">
        <v>-1.2</v>
      </c>
      <c r="Q37" s="27"/>
      <c r="R37" s="27" t="s">
        <v>62</v>
      </c>
    </row>
    <row r="38" customFormat="false" ht="15" hidden="false" customHeight="false" outlineLevel="0" collapsed="false">
      <c r="A38" s="25" t="n">
        <f aca="false">IF(G38="REJECT",COUNTIF($G$2:$G$2277,"&lt;&gt;REJECT")+1+COUNTIFS($G$2:$G$2277,"REJECT",$B$2:$B$2277,"&gt;"&amp;B38),1+COUNTIFS($G$2:$G$2277,"&lt;&gt;REJECT",$B$2:$B$2277,"&gt;"&amp;B38))</f>
        <v>37</v>
      </c>
      <c r="B38" s="26" t="n">
        <f aca="false">ROUND(($U$2*MAX(0,MIN(1,($W$2-I38)/($W$2-$V$2)))+$U$3*MAX(0,MIN(1,($W$3-J38)/($W$3-$V$3)))+$U$4*MAX(0,MIN(1,($W$4-K38)/($W$4-$V$4)))+$U$5*MAX(0,MIN(1,($W$5-L38)/($W$5-$V$5)))+$U$6*MAX(0,MIN(1,($W$6-M38)/($W$6-$V$6)))+$U$7*MAX(0,MIN(1,($W$7-N38)/($W$7-$V$7)))+$U$8*IF(AND(O38&gt;=$V$8,O38&lt;=$W$8),1,0))/$U$9*100,2)</f>
        <v>97.65</v>
      </c>
      <c r="C38" s="27" t="s">
        <v>2361</v>
      </c>
      <c r="D38" s="25" t="s">
        <v>134</v>
      </c>
      <c r="E38" s="25" t="s">
        <v>3447</v>
      </c>
      <c r="F38" s="25" t="s">
        <v>3448</v>
      </c>
      <c r="G38" s="33" t="s">
        <v>28</v>
      </c>
      <c r="H38" s="33" t="s">
        <v>24</v>
      </c>
      <c r="I38" s="25" t="n">
        <v>0</v>
      </c>
      <c r="J38" s="25" t="n">
        <v>0</v>
      </c>
      <c r="K38" s="25" t="n">
        <v>0</v>
      </c>
      <c r="L38" s="29" t="n">
        <v>0.84</v>
      </c>
      <c r="M38" s="30" t="n">
        <v>14.09</v>
      </c>
      <c r="N38" s="29" t="n">
        <v>0</v>
      </c>
      <c r="O38" s="25" t="n">
        <v>185</v>
      </c>
      <c r="P38" s="30" t="n">
        <v>-0.59</v>
      </c>
      <c r="Q38" s="27"/>
      <c r="R38" s="27"/>
    </row>
    <row r="39" customFormat="false" ht="15" hidden="false" customHeight="false" outlineLevel="0" collapsed="false">
      <c r="A39" s="25" t="n">
        <f aca="false">IF(G39="REJECT",COUNTIF($G$2:$G$2277,"&lt;&gt;REJECT")+1+COUNTIFS($G$2:$G$2277,"REJECT",$B$2:$B$2277,"&gt;"&amp;B39),1+COUNTIFS($G$2:$G$2277,"&lt;&gt;REJECT",$B$2:$B$2277,"&gt;"&amp;B39))</f>
        <v>38</v>
      </c>
      <c r="B39" s="26" t="n">
        <f aca="false">ROUND(($U$2*MAX(0,MIN(1,($W$2-I39)/($W$2-$V$2)))+$U$3*MAX(0,MIN(1,($W$3-J39)/($W$3-$V$3)))+$U$4*MAX(0,MIN(1,($W$4-K39)/($W$4-$V$4)))+$U$5*MAX(0,MIN(1,($W$5-L39)/($W$5-$V$5)))+$U$6*MAX(0,MIN(1,($W$6-M39)/($W$6-$V$6)))+$U$7*MAX(0,MIN(1,($W$7-N39)/($W$7-$V$7)))+$U$8*IF(AND(O39&gt;=$V$8,O39&lt;=$W$8),1,0))/$U$9*100,2)</f>
        <v>97.6</v>
      </c>
      <c r="C39" s="27" t="s">
        <v>1096</v>
      </c>
      <c r="D39" s="25" t="s">
        <v>3459</v>
      </c>
      <c r="E39" s="25" t="s">
        <v>3450</v>
      </c>
      <c r="F39" s="25" t="s">
        <v>3457</v>
      </c>
      <c r="G39" s="33" t="s">
        <v>28</v>
      </c>
      <c r="H39" s="33" t="s">
        <v>24</v>
      </c>
      <c r="I39" s="25" t="n">
        <v>0</v>
      </c>
      <c r="J39" s="25" t="n">
        <v>0</v>
      </c>
      <c r="K39" s="25" t="n">
        <v>0</v>
      </c>
      <c r="L39" s="29" t="n">
        <v>0.81</v>
      </c>
      <c r="M39" s="30" t="n">
        <v>7.19</v>
      </c>
      <c r="N39" s="29" t="n">
        <v>0.72</v>
      </c>
      <c r="O39" s="25" t="n">
        <v>186</v>
      </c>
      <c r="P39" s="30" t="n">
        <v>4.53</v>
      </c>
      <c r="Q39" s="27"/>
      <c r="R39" s="27"/>
    </row>
    <row r="40" customFormat="false" ht="15" hidden="false" customHeight="false" outlineLevel="0" collapsed="false">
      <c r="A40" s="25" t="n">
        <f aca="false">IF(G40="REJECT",COUNTIF($G$2:$G$2277,"&lt;&gt;REJECT")+1+COUNTIFS($G$2:$G$2277,"REJECT",$B$2:$B$2277,"&gt;"&amp;B40),1+COUNTIFS($G$2:$G$2277,"&lt;&gt;REJECT",$B$2:$B$2277,"&gt;"&amp;B40))</f>
        <v>39</v>
      </c>
      <c r="B40" s="26" t="n">
        <f aca="false">ROUND(($U$2*MAX(0,MIN(1,($W$2-I40)/($W$2-$V$2)))+$U$3*MAX(0,MIN(1,($W$3-J40)/($W$3-$V$3)))+$U$4*MAX(0,MIN(1,($W$4-K40)/($W$4-$V$4)))+$U$5*MAX(0,MIN(1,($W$5-L40)/($W$5-$V$5)))+$U$6*MAX(0,MIN(1,($W$6-M40)/($W$6-$V$6)))+$U$7*MAX(0,MIN(1,($W$7-N40)/($W$7-$V$7)))+$U$8*IF(AND(O40&gt;=$V$8,O40&lt;=$W$8),1,0))/$U$9*100,2)</f>
        <v>97.59</v>
      </c>
      <c r="C40" s="27" t="s">
        <v>1781</v>
      </c>
      <c r="D40" s="25" t="s">
        <v>134</v>
      </c>
      <c r="E40" s="25" t="s">
        <v>3450</v>
      </c>
      <c r="F40" s="25" t="s">
        <v>3457</v>
      </c>
      <c r="G40" s="28" t="s">
        <v>29</v>
      </c>
      <c r="H40" s="28" t="s">
        <v>25</v>
      </c>
      <c r="I40" s="25" t="n">
        <v>0</v>
      </c>
      <c r="J40" s="25" t="n">
        <v>0</v>
      </c>
      <c r="K40" s="25" t="n">
        <v>0</v>
      </c>
      <c r="L40" s="29" t="n">
        <v>0.8</v>
      </c>
      <c r="M40" s="30" t="n">
        <v>9.26</v>
      </c>
      <c r="N40" s="29" t="n">
        <v>0.52</v>
      </c>
      <c r="O40" s="25" t="n">
        <v>194</v>
      </c>
      <c r="P40" s="30" t="n">
        <v>-1.01</v>
      </c>
      <c r="Q40" s="27"/>
      <c r="R40" s="27" t="s">
        <v>3466</v>
      </c>
    </row>
    <row r="41" customFormat="false" ht="15" hidden="false" customHeight="false" outlineLevel="0" collapsed="false">
      <c r="A41" s="25" t="n">
        <f aca="false">IF(G41="REJECT",COUNTIF($G$2:$G$2277,"&lt;&gt;REJECT")+1+COUNTIFS($G$2:$G$2277,"REJECT",$B$2:$B$2277,"&gt;"&amp;B41),1+COUNTIFS($G$2:$G$2277,"&lt;&gt;REJECT",$B$2:$B$2277,"&gt;"&amp;B41))</f>
        <v>40</v>
      </c>
      <c r="B41" s="26" t="n">
        <f aca="false">ROUND(($U$2*MAX(0,MIN(1,($W$2-I41)/($W$2-$V$2)))+$U$3*MAX(0,MIN(1,($W$3-J41)/($W$3-$V$3)))+$U$4*MAX(0,MIN(1,($W$4-K41)/($W$4-$V$4)))+$U$5*MAX(0,MIN(1,($W$5-L41)/($W$5-$V$5)))+$U$6*MAX(0,MIN(1,($W$6-M41)/($W$6-$V$6)))+$U$7*MAX(0,MIN(1,($W$7-N41)/($W$7-$V$7)))+$U$8*IF(AND(O41&gt;=$V$8,O41&lt;=$W$8),1,0))/$U$9*100,2)</f>
        <v>97.57</v>
      </c>
      <c r="C41" s="27" t="s">
        <v>3406</v>
      </c>
      <c r="D41" s="25" t="s">
        <v>134</v>
      </c>
      <c r="E41" s="25" t="s">
        <v>3450</v>
      </c>
      <c r="F41" s="25" t="s">
        <v>3457</v>
      </c>
      <c r="G41" s="33" t="s">
        <v>28</v>
      </c>
      <c r="H41" s="33" t="s">
        <v>24</v>
      </c>
      <c r="I41" s="25" t="n">
        <v>0</v>
      </c>
      <c r="J41" s="25" t="n">
        <v>0</v>
      </c>
      <c r="K41" s="25" t="n">
        <v>0</v>
      </c>
      <c r="L41" s="29" t="n">
        <v>0.8</v>
      </c>
      <c r="M41" s="30" t="n">
        <v>4.96</v>
      </c>
      <c r="N41" s="29" t="n">
        <v>0.96</v>
      </c>
      <c r="O41" s="25" t="n">
        <v>183</v>
      </c>
      <c r="P41" s="30" t="n">
        <v>15.08</v>
      </c>
      <c r="Q41" s="27"/>
      <c r="R41" s="27"/>
    </row>
    <row r="42" customFormat="false" ht="15" hidden="false" customHeight="false" outlineLevel="0" collapsed="false">
      <c r="A42" s="25" t="n">
        <f aca="false">IF(G42="REJECT",COUNTIF($G$2:$G$2277,"&lt;&gt;REJECT")+1+COUNTIFS($G$2:$G$2277,"REJECT",$B$2:$B$2277,"&gt;"&amp;B42),1+COUNTIFS($G$2:$G$2277,"&lt;&gt;REJECT",$B$2:$B$2277,"&gt;"&amp;B42))</f>
        <v>41</v>
      </c>
      <c r="B42" s="26" t="n">
        <f aca="false">ROUND(($U$2*MAX(0,MIN(1,($W$2-I42)/($W$2-$V$2)))+$U$3*MAX(0,MIN(1,($W$3-J42)/($W$3-$V$3)))+$U$4*MAX(0,MIN(1,($W$4-K42)/($W$4-$V$4)))+$U$5*MAX(0,MIN(1,($W$5-L42)/($W$5-$V$5)))+$U$6*MAX(0,MIN(1,($W$6-M42)/($W$6-$V$6)))+$U$7*MAX(0,MIN(1,($W$7-N42)/($W$7-$V$7)))+$U$8*IF(AND(O42&gt;=$V$8,O42&lt;=$W$8),1,0))/$U$9*100,2)</f>
        <v>97.55</v>
      </c>
      <c r="C42" s="27" t="s">
        <v>1706</v>
      </c>
      <c r="D42" s="25" t="s">
        <v>134</v>
      </c>
      <c r="E42" s="25" t="s">
        <v>3450</v>
      </c>
      <c r="F42" s="25" t="s">
        <v>3448</v>
      </c>
      <c r="G42" s="33" t="s">
        <v>28</v>
      </c>
      <c r="H42" s="33" t="s">
        <v>24</v>
      </c>
      <c r="I42" s="25" t="n">
        <v>0</v>
      </c>
      <c r="J42" s="25" t="n">
        <v>0</v>
      </c>
      <c r="K42" s="25" t="n">
        <v>0</v>
      </c>
      <c r="L42" s="29" t="n">
        <v>0.78</v>
      </c>
      <c r="M42" s="30" t="n">
        <v>7.49</v>
      </c>
      <c r="N42" s="29" t="n">
        <v>0</v>
      </c>
      <c r="O42" s="25" t="n">
        <v>187</v>
      </c>
      <c r="P42" s="30" t="n">
        <v>16.89</v>
      </c>
      <c r="Q42" s="27"/>
      <c r="R42" s="27"/>
    </row>
    <row r="43" customFormat="false" ht="15" hidden="false" customHeight="false" outlineLevel="0" collapsed="false">
      <c r="A43" s="25" t="n">
        <f aca="false">IF(G43="REJECT",COUNTIF($G$2:$G$2277,"&lt;&gt;REJECT")+1+COUNTIFS($G$2:$G$2277,"REJECT",$B$2:$B$2277,"&gt;"&amp;B43),1+COUNTIFS($G$2:$G$2277,"&lt;&gt;REJECT",$B$2:$B$2277,"&gt;"&amp;B43))</f>
        <v>42</v>
      </c>
      <c r="B43" s="26" t="n">
        <f aca="false">ROUND(($U$2*MAX(0,MIN(1,($W$2-I43)/($W$2-$V$2)))+$U$3*MAX(0,MIN(1,($W$3-J43)/($W$3-$V$3)))+$U$4*MAX(0,MIN(1,($W$4-K43)/($W$4-$V$4)))+$U$5*MAX(0,MIN(1,($W$5-L43)/($W$5-$V$5)))+$U$6*MAX(0,MIN(1,($W$6-M43)/($W$6-$V$6)))+$U$7*MAX(0,MIN(1,($W$7-N43)/($W$7-$V$7)))+$U$8*IF(AND(O43&gt;=$V$8,O43&lt;=$W$8),1,0))/$U$9*100,2)</f>
        <v>97.52</v>
      </c>
      <c r="C43" s="27" t="s">
        <v>1465</v>
      </c>
      <c r="D43" s="25" t="s">
        <v>3459</v>
      </c>
      <c r="E43" s="25" t="s">
        <v>3450</v>
      </c>
      <c r="F43" s="25" t="s">
        <v>3448</v>
      </c>
      <c r="G43" s="28" t="s">
        <v>29</v>
      </c>
      <c r="H43" s="28" t="s">
        <v>25</v>
      </c>
      <c r="I43" s="25" t="n">
        <v>0</v>
      </c>
      <c r="J43" s="25" t="n">
        <v>0</v>
      </c>
      <c r="K43" s="25" t="n">
        <v>0</v>
      </c>
      <c r="L43" s="29" t="n">
        <v>0.79</v>
      </c>
      <c r="M43" s="30" t="n">
        <v>8.91</v>
      </c>
      <c r="N43" s="29" t="n">
        <v>0.24</v>
      </c>
      <c r="O43" s="25" t="n">
        <v>193</v>
      </c>
      <c r="P43" s="30" t="n">
        <v>7.5</v>
      </c>
      <c r="Q43" s="27"/>
      <c r="R43" s="27" t="s">
        <v>64</v>
      </c>
    </row>
    <row r="44" customFormat="false" ht="15" hidden="false" customHeight="false" outlineLevel="0" collapsed="false">
      <c r="A44" s="25" t="n">
        <f aca="false">IF(G44="REJECT",COUNTIF($G$2:$G$2277,"&lt;&gt;REJECT")+1+COUNTIFS($G$2:$G$2277,"REJECT",$B$2:$B$2277,"&gt;"&amp;B44),1+COUNTIFS($G$2:$G$2277,"&lt;&gt;REJECT",$B$2:$B$2277,"&gt;"&amp;B44))</f>
        <v>43</v>
      </c>
      <c r="B44" s="26" t="n">
        <f aca="false">ROUND(($U$2*MAX(0,MIN(1,($W$2-I44)/($W$2-$V$2)))+$U$3*MAX(0,MIN(1,($W$3-J44)/($W$3-$V$3)))+$U$4*MAX(0,MIN(1,($W$4-K44)/($W$4-$V$4)))+$U$5*MAX(0,MIN(1,($W$5-L44)/($W$5-$V$5)))+$U$6*MAX(0,MIN(1,($W$6-M44)/($W$6-$V$6)))+$U$7*MAX(0,MIN(1,($W$7-N44)/($W$7-$V$7)))+$U$8*IF(AND(O44&gt;=$V$8,O44&lt;=$W$8),1,0))/$U$9*100,2)</f>
        <v>97.5</v>
      </c>
      <c r="C44" s="27" t="s">
        <v>1334</v>
      </c>
      <c r="D44" s="25" t="s">
        <v>134</v>
      </c>
      <c r="E44" s="25" t="s">
        <v>3447</v>
      </c>
      <c r="F44" s="25" t="s">
        <v>3448</v>
      </c>
      <c r="G44" s="28" t="s">
        <v>29</v>
      </c>
      <c r="H44" s="28" t="s">
        <v>25</v>
      </c>
      <c r="I44" s="25" t="n">
        <v>0</v>
      </c>
      <c r="J44" s="25" t="n">
        <v>0</v>
      </c>
      <c r="K44" s="25" t="n">
        <v>0</v>
      </c>
      <c r="L44" s="29" t="n">
        <v>0.8</v>
      </c>
      <c r="M44" s="30" t="n">
        <v>7.01</v>
      </c>
      <c r="N44" s="29" t="n">
        <v>0.8</v>
      </c>
      <c r="O44" s="25" t="n">
        <v>189</v>
      </c>
      <c r="P44" s="30" t="n">
        <v>-1.36</v>
      </c>
      <c r="Q44" s="27"/>
      <c r="R44" s="27" t="s">
        <v>63</v>
      </c>
    </row>
    <row r="45" customFormat="false" ht="15" hidden="false" customHeight="false" outlineLevel="0" collapsed="false">
      <c r="A45" s="25" t="n">
        <f aca="false">IF(G45="REJECT",COUNTIF($G$2:$G$2277,"&lt;&gt;REJECT")+1+COUNTIFS($G$2:$G$2277,"REJECT",$B$2:$B$2277,"&gt;"&amp;B45),1+COUNTIFS($G$2:$G$2277,"&lt;&gt;REJECT",$B$2:$B$2277,"&gt;"&amp;B45))</f>
        <v>44</v>
      </c>
      <c r="B45" s="26" t="n">
        <f aca="false">ROUND(($U$2*MAX(0,MIN(1,($W$2-I45)/($W$2-$V$2)))+$U$3*MAX(0,MIN(1,($W$3-J45)/($W$3-$V$3)))+$U$4*MAX(0,MIN(1,($W$4-K45)/($W$4-$V$4)))+$U$5*MAX(0,MIN(1,($W$5-L45)/($W$5-$V$5)))+$U$6*MAX(0,MIN(1,($W$6-M45)/($W$6-$V$6)))+$U$7*MAX(0,MIN(1,($W$7-N45)/($W$7-$V$7)))+$U$8*IF(AND(O45&gt;=$V$8,O45&lt;=$W$8),1,0))/$U$9*100,2)</f>
        <v>97.44</v>
      </c>
      <c r="C45" s="27" t="s">
        <v>2413</v>
      </c>
      <c r="D45" s="25" t="s">
        <v>134</v>
      </c>
      <c r="E45" s="25" t="s">
        <v>3450</v>
      </c>
      <c r="F45" s="25" t="s">
        <v>3457</v>
      </c>
      <c r="G45" s="28" t="s">
        <v>29</v>
      </c>
      <c r="H45" s="28" t="s">
        <v>25</v>
      </c>
      <c r="I45" s="25" t="n">
        <v>0</v>
      </c>
      <c r="J45" s="25" t="n">
        <v>0</v>
      </c>
      <c r="K45" s="25" t="n">
        <v>0</v>
      </c>
      <c r="L45" s="29" t="n">
        <v>0.79</v>
      </c>
      <c r="M45" s="30" t="n">
        <v>10.19</v>
      </c>
      <c r="N45" s="29" t="n">
        <v>0.16</v>
      </c>
      <c r="O45" s="25" t="n">
        <v>185</v>
      </c>
      <c r="P45" s="30" t="n">
        <v>1.16</v>
      </c>
      <c r="Q45" s="27"/>
      <c r="R45" s="27" t="s">
        <v>62</v>
      </c>
    </row>
    <row r="46" customFormat="false" ht="15" hidden="false" customHeight="false" outlineLevel="0" collapsed="false">
      <c r="A46" s="25" t="n">
        <f aca="false">IF(G46="REJECT",COUNTIF($G$2:$G$2277,"&lt;&gt;REJECT")+1+COUNTIFS($G$2:$G$2277,"REJECT",$B$2:$B$2277,"&gt;"&amp;B46),1+COUNTIFS($G$2:$G$2277,"&lt;&gt;REJECT",$B$2:$B$2277,"&gt;"&amp;B46))</f>
        <v>45</v>
      </c>
      <c r="B46" s="26" t="n">
        <f aca="false">ROUND(($U$2*MAX(0,MIN(1,($W$2-I46)/($W$2-$V$2)))+$U$3*MAX(0,MIN(1,($W$3-J46)/($W$3-$V$3)))+$U$4*MAX(0,MIN(1,($W$4-K46)/($W$4-$V$4)))+$U$5*MAX(0,MIN(1,($W$5-L46)/($W$5-$V$5)))+$U$6*MAX(0,MIN(1,($W$6-M46)/($W$6-$V$6)))+$U$7*MAX(0,MIN(1,($W$7-N46)/($W$7-$V$7)))+$U$8*IF(AND(O46&gt;=$V$8,O46&lt;=$W$8),1,0))/$U$9*100,2)</f>
        <v>97.39</v>
      </c>
      <c r="C46" s="27" t="s">
        <v>977</v>
      </c>
      <c r="D46" s="25" t="s">
        <v>134</v>
      </c>
      <c r="E46" s="25" t="s">
        <v>3450</v>
      </c>
      <c r="F46" s="25" t="s">
        <v>3448</v>
      </c>
      <c r="G46" s="33" t="s">
        <v>28</v>
      </c>
      <c r="H46" s="33" t="s">
        <v>24</v>
      </c>
      <c r="I46" s="25" t="n">
        <v>0</v>
      </c>
      <c r="J46" s="25" t="n">
        <v>0</v>
      </c>
      <c r="K46" s="25" t="n">
        <v>0</v>
      </c>
      <c r="L46" s="29" t="n">
        <v>0.8</v>
      </c>
      <c r="M46" s="30" t="n">
        <v>15.67</v>
      </c>
      <c r="N46" s="29" t="n">
        <v>0</v>
      </c>
      <c r="O46" s="25" t="n">
        <v>185</v>
      </c>
      <c r="P46" s="30" t="n">
        <v>7.21</v>
      </c>
      <c r="Q46" s="27"/>
      <c r="R46" s="27"/>
    </row>
    <row r="47" customFormat="false" ht="15" hidden="false" customHeight="false" outlineLevel="0" collapsed="false">
      <c r="A47" s="25" t="n">
        <f aca="false">IF(G47="REJECT",COUNTIF($G$2:$G$2277,"&lt;&gt;REJECT")+1+COUNTIFS($G$2:$G$2277,"REJECT",$B$2:$B$2277,"&gt;"&amp;B47),1+COUNTIFS($G$2:$G$2277,"&lt;&gt;REJECT",$B$2:$B$2277,"&gt;"&amp;B47))</f>
        <v>45</v>
      </c>
      <c r="B47" s="26" t="n">
        <f aca="false">ROUND(($U$2*MAX(0,MIN(1,($W$2-I47)/($W$2-$V$2)))+$U$3*MAX(0,MIN(1,($W$3-J47)/($W$3-$V$3)))+$U$4*MAX(0,MIN(1,($W$4-K47)/($W$4-$V$4)))+$U$5*MAX(0,MIN(1,($W$5-L47)/($W$5-$V$5)))+$U$6*MAX(0,MIN(1,($W$6-M47)/($W$6-$V$6)))+$U$7*MAX(0,MIN(1,($W$7-N47)/($W$7-$V$7)))+$U$8*IF(AND(O47&gt;=$V$8,O47&lt;=$W$8),1,0))/$U$9*100,2)</f>
        <v>97.39</v>
      </c>
      <c r="C47" s="27" t="s">
        <v>1465</v>
      </c>
      <c r="D47" s="25" t="s">
        <v>3459</v>
      </c>
      <c r="E47" s="25" t="s">
        <v>3447</v>
      </c>
      <c r="F47" s="25" t="s">
        <v>3457</v>
      </c>
      <c r="G47" s="33" t="s">
        <v>28</v>
      </c>
      <c r="H47" s="33" t="s">
        <v>24</v>
      </c>
      <c r="I47" s="25" t="n">
        <v>0</v>
      </c>
      <c r="J47" s="25" t="n">
        <v>0</v>
      </c>
      <c r="K47" s="25" t="n">
        <v>0</v>
      </c>
      <c r="L47" s="29" t="n">
        <v>0.77</v>
      </c>
      <c r="M47" s="30" t="n">
        <v>4.86</v>
      </c>
      <c r="N47" s="29" t="n">
        <v>0</v>
      </c>
      <c r="O47" s="25" t="n">
        <v>182</v>
      </c>
      <c r="P47" s="30" t="n">
        <v>7.83</v>
      </c>
      <c r="Q47" s="27"/>
      <c r="R47" s="27"/>
    </row>
    <row r="48" customFormat="false" ht="15" hidden="false" customHeight="false" outlineLevel="0" collapsed="false">
      <c r="A48" s="25" t="n">
        <f aca="false">IF(G48="REJECT",COUNTIF($G$2:$G$2277,"&lt;&gt;REJECT")+1+COUNTIFS($G$2:$G$2277,"REJECT",$B$2:$B$2277,"&gt;"&amp;B48),1+COUNTIFS($G$2:$G$2277,"&lt;&gt;REJECT",$B$2:$B$2277,"&gt;"&amp;B48))</f>
        <v>47</v>
      </c>
      <c r="B48" s="26" t="n">
        <f aca="false">ROUND(($U$2*MAX(0,MIN(1,($W$2-I48)/($W$2-$V$2)))+$U$3*MAX(0,MIN(1,($W$3-J48)/($W$3-$V$3)))+$U$4*MAX(0,MIN(1,($W$4-K48)/($W$4-$V$4)))+$U$5*MAX(0,MIN(1,($W$5-L48)/($W$5-$V$5)))+$U$6*MAX(0,MIN(1,($W$6-M48)/($W$6-$V$6)))+$U$7*MAX(0,MIN(1,($W$7-N48)/($W$7-$V$7)))+$U$8*IF(AND(O48&gt;=$V$8,O48&lt;=$W$8),1,0))/$U$9*100,2)</f>
        <v>97.34</v>
      </c>
      <c r="C48" s="27" t="s">
        <v>1096</v>
      </c>
      <c r="D48" s="25" t="s">
        <v>134</v>
      </c>
      <c r="E48" s="25" t="s">
        <v>3450</v>
      </c>
      <c r="F48" s="25" t="s">
        <v>3448</v>
      </c>
      <c r="G48" s="33" t="s">
        <v>28</v>
      </c>
      <c r="H48" s="33" t="s">
        <v>24</v>
      </c>
      <c r="I48" s="25" t="n">
        <v>0</v>
      </c>
      <c r="J48" s="25" t="n">
        <v>0</v>
      </c>
      <c r="K48" s="25" t="n">
        <v>0</v>
      </c>
      <c r="L48" s="29" t="n">
        <v>0.86</v>
      </c>
      <c r="M48" s="30" t="n">
        <v>12.76</v>
      </c>
      <c r="N48" s="29" t="n">
        <v>0.32</v>
      </c>
      <c r="O48" s="25" t="n">
        <v>183</v>
      </c>
      <c r="P48" s="30" t="n">
        <v>13.95</v>
      </c>
      <c r="Q48" s="27"/>
      <c r="R48" s="27"/>
    </row>
    <row r="49" customFormat="false" ht="15" hidden="false" customHeight="false" outlineLevel="0" collapsed="false">
      <c r="A49" s="25" t="n">
        <f aca="false">IF(G49="REJECT",COUNTIF($G$2:$G$2277,"&lt;&gt;REJECT")+1+COUNTIFS($G$2:$G$2277,"REJECT",$B$2:$B$2277,"&gt;"&amp;B49),1+COUNTIFS($G$2:$G$2277,"&lt;&gt;REJECT",$B$2:$B$2277,"&gt;"&amp;B49))</f>
        <v>48</v>
      </c>
      <c r="B49" s="26" t="n">
        <f aca="false">ROUND(($U$2*MAX(0,MIN(1,($W$2-I49)/($W$2-$V$2)))+$U$3*MAX(0,MIN(1,($W$3-J49)/($W$3-$V$3)))+$U$4*MAX(0,MIN(1,($W$4-K49)/($W$4-$V$4)))+$U$5*MAX(0,MIN(1,($W$5-L49)/($W$5-$V$5)))+$U$6*MAX(0,MIN(1,($W$6-M49)/($W$6-$V$6)))+$U$7*MAX(0,MIN(1,($W$7-N49)/($W$7-$V$7)))+$U$8*IF(AND(O49&gt;=$V$8,O49&lt;=$W$8),1,0))/$U$9*100,2)</f>
        <v>97.32</v>
      </c>
      <c r="C49" s="27" t="s">
        <v>2915</v>
      </c>
      <c r="D49" s="25" t="s">
        <v>134</v>
      </c>
      <c r="E49" s="25" t="s">
        <v>3450</v>
      </c>
      <c r="F49" s="25" t="s">
        <v>3448</v>
      </c>
      <c r="G49" s="28" t="s">
        <v>29</v>
      </c>
      <c r="H49" s="28" t="s">
        <v>25</v>
      </c>
      <c r="I49" s="25" t="n">
        <v>0</v>
      </c>
      <c r="J49" s="25" t="n">
        <v>0</v>
      </c>
      <c r="K49" s="25" t="n">
        <v>0</v>
      </c>
      <c r="L49" s="29" t="n">
        <v>0.82</v>
      </c>
      <c r="M49" s="30" t="n">
        <v>8.48</v>
      </c>
      <c r="N49" s="29" t="n">
        <v>0.76</v>
      </c>
      <c r="O49" s="25" t="n">
        <v>184</v>
      </c>
      <c r="P49" s="30" t="n">
        <v>0.17</v>
      </c>
      <c r="Q49" s="27"/>
      <c r="R49" s="27" t="s">
        <v>62</v>
      </c>
    </row>
    <row r="50" customFormat="false" ht="15" hidden="false" customHeight="false" outlineLevel="0" collapsed="false">
      <c r="A50" s="25" t="n">
        <f aca="false">IF(G50="REJECT",COUNTIF($G$2:$G$2277,"&lt;&gt;REJECT")+1+COUNTIFS($G$2:$G$2277,"REJECT",$B$2:$B$2277,"&gt;"&amp;B50),1+COUNTIFS($G$2:$G$2277,"&lt;&gt;REJECT",$B$2:$B$2277,"&gt;"&amp;B50))</f>
        <v>49</v>
      </c>
      <c r="B50" s="26" t="n">
        <f aca="false">ROUND(($U$2*MAX(0,MIN(1,($W$2-I50)/($W$2-$V$2)))+$U$3*MAX(0,MIN(1,($W$3-J50)/($W$3-$V$3)))+$U$4*MAX(0,MIN(1,($W$4-K50)/($W$4-$V$4)))+$U$5*MAX(0,MIN(1,($W$5-L50)/($W$5-$V$5)))+$U$6*MAX(0,MIN(1,($W$6-M50)/($W$6-$V$6)))+$U$7*MAX(0,MIN(1,($W$7-N50)/($W$7-$V$7)))+$U$8*IF(AND(O50&gt;=$V$8,O50&lt;=$W$8),1,0))/$U$9*100,2)</f>
        <v>97.31</v>
      </c>
      <c r="C50" s="27" t="s">
        <v>2325</v>
      </c>
      <c r="D50" s="25" t="s">
        <v>134</v>
      </c>
      <c r="E50" s="25" t="s">
        <v>3450</v>
      </c>
      <c r="F50" s="25" t="s">
        <v>3457</v>
      </c>
      <c r="G50" s="28" t="s">
        <v>29</v>
      </c>
      <c r="H50" s="28" t="s">
        <v>25</v>
      </c>
      <c r="I50" s="25" t="n">
        <v>0</v>
      </c>
      <c r="J50" s="25" t="n">
        <v>0</v>
      </c>
      <c r="K50" s="25" t="n">
        <v>0</v>
      </c>
      <c r="L50" s="29" t="n">
        <v>0.79</v>
      </c>
      <c r="M50" s="30" t="n">
        <v>2.95</v>
      </c>
      <c r="N50" s="29" t="n">
        <v>0.96</v>
      </c>
      <c r="O50" s="25" t="n">
        <v>184</v>
      </c>
      <c r="P50" s="30" t="n">
        <v>-1.17</v>
      </c>
      <c r="Q50" s="27"/>
      <c r="R50" s="27" t="s">
        <v>3451</v>
      </c>
    </row>
    <row r="51" customFormat="false" ht="15" hidden="false" customHeight="false" outlineLevel="0" collapsed="false">
      <c r="A51" s="25" t="n">
        <f aca="false">IF(G51="REJECT",COUNTIF($G$2:$G$2277,"&lt;&gt;REJECT")+1+COUNTIFS($G$2:$G$2277,"REJECT",$B$2:$B$2277,"&gt;"&amp;B51),1+COUNTIFS($G$2:$G$2277,"&lt;&gt;REJECT",$B$2:$B$2277,"&gt;"&amp;B51))</f>
        <v>50</v>
      </c>
      <c r="B51" s="26" t="n">
        <f aca="false">ROUND(($U$2*MAX(0,MIN(1,($W$2-I51)/($W$2-$V$2)))+$U$3*MAX(0,MIN(1,($W$3-J51)/($W$3-$V$3)))+$U$4*MAX(0,MIN(1,($W$4-K51)/($W$4-$V$4)))+$U$5*MAX(0,MIN(1,($W$5-L51)/($W$5-$V$5)))+$U$6*MAX(0,MIN(1,($W$6-M51)/($W$6-$V$6)))+$U$7*MAX(0,MIN(1,($W$7-N51)/($W$7-$V$7)))+$U$8*IF(AND(O51&gt;=$V$8,O51&lt;=$W$8),1,0))/$U$9*100,2)</f>
        <v>97.27</v>
      </c>
      <c r="C51" s="27" t="s">
        <v>160</v>
      </c>
      <c r="D51" s="25" t="s">
        <v>134</v>
      </c>
      <c r="E51" s="25" t="s">
        <v>3447</v>
      </c>
      <c r="F51" s="25" t="s">
        <v>3448</v>
      </c>
      <c r="G51" s="28" t="s">
        <v>29</v>
      </c>
      <c r="H51" s="28" t="s">
        <v>25</v>
      </c>
      <c r="I51" s="25" t="n">
        <v>0</v>
      </c>
      <c r="J51" s="25" t="n">
        <v>0</v>
      </c>
      <c r="K51" s="25" t="n">
        <v>0</v>
      </c>
      <c r="L51" s="29" t="n">
        <v>0.79</v>
      </c>
      <c r="M51" s="30" t="n">
        <v>6.37</v>
      </c>
      <c r="N51" s="29" t="n">
        <v>0.64</v>
      </c>
      <c r="O51" s="25" t="n">
        <v>186</v>
      </c>
      <c r="P51" s="30" t="n">
        <v>-1.16</v>
      </c>
      <c r="Q51" s="27"/>
      <c r="R51" s="27" t="s">
        <v>64</v>
      </c>
    </row>
    <row r="52" customFormat="false" ht="15" hidden="false" customHeight="false" outlineLevel="0" collapsed="false">
      <c r="A52" s="25" t="n">
        <f aca="false">IF(G52="REJECT",COUNTIF($G$2:$G$2277,"&lt;&gt;REJECT")+1+COUNTIFS($G$2:$G$2277,"REJECT",$B$2:$B$2277,"&gt;"&amp;B52),1+COUNTIFS($G$2:$G$2277,"&lt;&gt;REJECT",$B$2:$B$2277,"&gt;"&amp;B52))</f>
        <v>50</v>
      </c>
      <c r="B52" s="26" t="n">
        <f aca="false">ROUND(($U$2*MAX(0,MIN(1,($W$2-I52)/($W$2-$V$2)))+$U$3*MAX(0,MIN(1,($W$3-J52)/($W$3-$V$3)))+$U$4*MAX(0,MIN(1,($W$4-K52)/($W$4-$V$4)))+$U$5*MAX(0,MIN(1,($W$5-L52)/($W$5-$V$5)))+$U$6*MAX(0,MIN(1,($W$6-M52)/($W$6-$V$6)))+$U$7*MAX(0,MIN(1,($W$7-N52)/($W$7-$V$7)))+$U$8*IF(AND(O52&gt;=$V$8,O52&lt;=$W$8),1,0))/$U$9*100,2)</f>
        <v>97.27</v>
      </c>
      <c r="C52" s="27" t="s">
        <v>643</v>
      </c>
      <c r="D52" s="25" t="s">
        <v>134</v>
      </c>
      <c r="E52" s="25" t="s">
        <v>3447</v>
      </c>
      <c r="F52" s="25" t="s">
        <v>3457</v>
      </c>
      <c r="G52" s="28" t="s">
        <v>29</v>
      </c>
      <c r="H52" s="28" t="s">
        <v>25</v>
      </c>
      <c r="I52" s="25" t="n">
        <v>0</v>
      </c>
      <c r="J52" s="25" t="n">
        <v>0</v>
      </c>
      <c r="K52" s="25" t="n">
        <v>0</v>
      </c>
      <c r="L52" s="29" t="n">
        <v>0.85</v>
      </c>
      <c r="M52" s="30" t="n">
        <v>12.41</v>
      </c>
      <c r="N52" s="29" t="n">
        <v>0.4</v>
      </c>
      <c r="O52" s="25" t="n">
        <v>185</v>
      </c>
      <c r="P52" s="30" t="n">
        <v>-1.65</v>
      </c>
      <c r="Q52" s="27"/>
      <c r="R52" s="27" t="s">
        <v>63</v>
      </c>
    </row>
    <row r="53" customFormat="false" ht="15" hidden="false" customHeight="false" outlineLevel="0" collapsed="false">
      <c r="A53" s="25" t="n">
        <f aca="false">IF(G53="REJECT",COUNTIF($G$2:$G$2277,"&lt;&gt;REJECT")+1+COUNTIFS($G$2:$G$2277,"REJECT",$B$2:$B$2277,"&gt;"&amp;B53),1+COUNTIFS($G$2:$G$2277,"&lt;&gt;REJECT",$B$2:$B$2277,"&gt;"&amp;B53))</f>
        <v>52</v>
      </c>
      <c r="B53" s="26" t="n">
        <f aca="false">ROUND(($U$2*MAX(0,MIN(1,($W$2-I53)/($W$2-$V$2)))+$U$3*MAX(0,MIN(1,($W$3-J53)/($W$3-$V$3)))+$U$4*MAX(0,MIN(1,($W$4-K53)/($W$4-$V$4)))+$U$5*MAX(0,MIN(1,($W$5-L53)/($W$5-$V$5)))+$U$6*MAX(0,MIN(1,($W$6-M53)/($W$6-$V$6)))+$U$7*MAX(0,MIN(1,($W$7-N53)/($W$7-$V$7)))+$U$8*IF(AND(O53&gt;=$V$8,O53&lt;=$W$8),1,0))/$U$9*100,2)</f>
        <v>97.23</v>
      </c>
      <c r="C53" s="27" t="s">
        <v>923</v>
      </c>
      <c r="D53" s="25" t="s">
        <v>134</v>
      </c>
      <c r="E53" s="25" t="s">
        <v>3447</v>
      </c>
      <c r="F53" s="25" t="s">
        <v>3457</v>
      </c>
      <c r="G53" s="33" t="s">
        <v>28</v>
      </c>
      <c r="H53" s="33" t="s">
        <v>24</v>
      </c>
      <c r="I53" s="25" t="n">
        <v>0</v>
      </c>
      <c r="J53" s="25" t="n">
        <v>0</v>
      </c>
      <c r="K53" s="25" t="n">
        <v>0</v>
      </c>
      <c r="L53" s="29" t="n">
        <v>0.88</v>
      </c>
      <c r="M53" s="30" t="n">
        <v>7.04</v>
      </c>
      <c r="N53" s="29" t="n">
        <v>0.96</v>
      </c>
      <c r="O53" s="25" t="n">
        <v>191</v>
      </c>
      <c r="P53" s="30" t="n">
        <v>7.27</v>
      </c>
      <c r="Q53" s="27"/>
      <c r="R53" s="27"/>
    </row>
    <row r="54" customFormat="false" ht="15" hidden="false" customHeight="false" outlineLevel="0" collapsed="false">
      <c r="A54" s="25" t="n">
        <f aca="false">IF(G54="REJECT",COUNTIF($G$2:$G$2277,"&lt;&gt;REJECT")+1+COUNTIFS($G$2:$G$2277,"REJECT",$B$2:$B$2277,"&gt;"&amp;B54),1+COUNTIFS($G$2:$G$2277,"&lt;&gt;REJECT",$B$2:$B$2277,"&gt;"&amp;B54))</f>
        <v>53</v>
      </c>
      <c r="B54" s="26" t="n">
        <f aca="false">ROUND(($U$2*MAX(0,MIN(1,($W$2-I54)/($W$2-$V$2)))+$U$3*MAX(0,MIN(1,($W$3-J54)/($W$3-$V$3)))+$U$4*MAX(0,MIN(1,($W$4-K54)/($W$4-$V$4)))+$U$5*MAX(0,MIN(1,($W$5-L54)/($W$5-$V$5)))+$U$6*MAX(0,MIN(1,($W$6-M54)/($W$6-$V$6)))+$U$7*MAX(0,MIN(1,($W$7-N54)/($W$7-$V$7)))+$U$8*IF(AND(O54&gt;=$V$8,O54&lt;=$W$8),1,0))/$U$9*100,2)</f>
        <v>97.21</v>
      </c>
      <c r="C54" s="27" t="s">
        <v>1346</v>
      </c>
      <c r="D54" s="25" t="s">
        <v>134</v>
      </c>
      <c r="E54" s="25" t="s">
        <v>3450</v>
      </c>
      <c r="F54" s="25" t="s">
        <v>3448</v>
      </c>
      <c r="G54" s="33" t="s">
        <v>28</v>
      </c>
      <c r="H54" s="33" t="s">
        <v>24</v>
      </c>
      <c r="I54" s="25" t="n">
        <v>0</v>
      </c>
      <c r="J54" s="25" t="n">
        <v>0</v>
      </c>
      <c r="K54" s="25" t="n">
        <v>0</v>
      </c>
      <c r="L54" s="29" t="n">
        <v>0.83</v>
      </c>
      <c r="M54" s="30" t="n">
        <v>15.15</v>
      </c>
      <c r="N54" s="29" t="n">
        <v>0.16</v>
      </c>
      <c r="O54" s="25" t="n">
        <v>185</v>
      </c>
      <c r="P54" s="30" t="n">
        <v>11.14</v>
      </c>
      <c r="Q54" s="27"/>
      <c r="R54" s="27"/>
    </row>
    <row r="55" customFormat="false" ht="15" hidden="false" customHeight="false" outlineLevel="0" collapsed="false">
      <c r="A55" s="25" t="n">
        <f aca="false">IF(G55="REJECT",COUNTIF($G$2:$G$2277,"&lt;&gt;REJECT")+1+COUNTIFS($G$2:$G$2277,"REJECT",$B$2:$B$2277,"&gt;"&amp;B55),1+COUNTIFS($G$2:$G$2277,"&lt;&gt;REJECT",$B$2:$B$2277,"&gt;"&amp;B55))</f>
        <v>54</v>
      </c>
      <c r="B55" s="26" t="n">
        <f aca="false">ROUND(($U$2*MAX(0,MIN(1,($W$2-I55)/($W$2-$V$2)))+$U$3*MAX(0,MIN(1,($W$3-J55)/($W$3-$V$3)))+$U$4*MAX(0,MIN(1,($W$4-K55)/($W$4-$V$4)))+$U$5*MAX(0,MIN(1,($W$5-L55)/($W$5-$V$5)))+$U$6*MAX(0,MIN(1,($W$6-M55)/($W$6-$V$6)))+$U$7*MAX(0,MIN(1,($W$7-N55)/($W$7-$V$7)))+$U$8*IF(AND(O55&gt;=$V$8,O55&lt;=$W$8),1,0))/$U$9*100,2)</f>
        <v>97.2</v>
      </c>
      <c r="C55" s="27" t="s">
        <v>1908</v>
      </c>
      <c r="D55" s="25" t="s">
        <v>3459</v>
      </c>
      <c r="E55" s="25" t="s">
        <v>3447</v>
      </c>
      <c r="F55" s="25" t="s">
        <v>3448</v>
      </c>
      <c r="G55" s="28" t="s">
        <v>29</v>
      </c>
      <c r="H55" s="28" t="s">
        <v>25</v>
      </c>
      <c r="I55" s="25" t="n">
        <v>0</v>
      </c>
      <c r="J55" s="25" t="n">
        <v>0</v>
      </c>
      <c r="K55" s="25" t="n">
        <v>0</v>
      </c>
      <c r="L55" s="29" t="n">
        <v>0.89</v>
      </c>
      <c r="M55" s="30" t="n">
        <v>7.58</v>
      </c>
      <c r="N55" s="29" t="n">
        <v>0.92</v>
      </c>
      <c r="O55" s="25" t="n">
        <v>185</v>
      </c>
      <c r="P55" s="30" t="n">
        <v>-3.28</v>
      </c>
      <c r="Q55" s="27"/>
      <c r="R55" s="27" t="s">
        <v>64</v>
      </c>
    </row>
    <row r="56" customFormat="false" ht="15" hidden="false" customHeight="false" outlineLevel="0" collapsed="false">
      <c r="A56" s="25" t="n">
        <f aca="false">IF(G56="REJECT",COUNTIF($G$2:$G$2277,"&lt;&gt;REJECT")+1+COUNTIFS($G$2:$G$2277,"REJECT",$B$2:$B$2277,"&gt;"&amp;B56),1+COUNTIFS($G$2:$G$2277,"&lt;&gt;REJECT",$B$2:$B$2277,"&gt;"&amp;B56))</f>
        <v>55</v>
      </c>
      <c r="B56" s="26" t="n">
        <f aca="false">ROUND(($U$2*MAX(0,MIN(1,($W$2-I56)/($W$2-$V$2)))+$U$3*MAX(0,MIN(1,($W$3-J56)/($W$3-$V$3)))+$U$4*MAX(0,MIN(1,($W$4-K56)/($W$4-$V$4)))+$U$5*MAX(0,MIN(1,($W$5-L56)/($W$5-$V$5)))+$U$6*MAX(0,MIN(1,($W$6-M56)/($W$6-$V$6)))+$U$7*MAX(0,MIN(1,($W$7-N56)/($W$7-$V$7)))+$U$8*IF(AND(O56&gt;=$V$8,O56&lt;=$W$8),1,0))/$U$9*100,2)</f>
        <v>97.15</v>
      </c>
      <c r="C56" s="27" t="s">
        <v>2137</v>
      </c>
      <c r="D56" s="25" t="s">
        <v>134</v>
      </c>
      <c r="E56" s="25" t="s">
        <v>3450</v>
      </c>
      <c r="F56" s="25" t="s">
        <v>3448</v>
      </c>
      <c r="G56" s="28" t="s">
        <v>29</v>
      </c>
      <c r="H56" s="28" t="s">
        <v>25</v>
      </c>
      <c r="I56" s="25" t="n">
        <v>0</v>
      </c>
      <c r="J56" s="25" t="n">
        <v>0</v>
      </c>
      <c r="K56" s="25" t="n">
        <v>0</v>
      </c>
      <c r="L56" s="29" t="n">
        <v>0.78</v>
      </c>
      <c r="M56" s="30" t="n">
        <v>1.92</v>
      </c>
      <c r="N56" s="29" t="n">
        <v>0.8</v>
      </c>
      <c r="O56" s="25" t="n">
        <v>184</v>
      </c>
      <c r="P56" s="30" t="n">
        <v>-0.77</v>
      </c>
      <c r="Q56" s="27"/>
      <c r="R56" s="27" t="s">
        <v>3466</v>
      </c>
    </row>
    <row r="57" customFormat="false" ht="15" hidden="false" customHeight="false" outlineLevel="0" collapsed="false">
      <c r="A57" s="25" t="n">
        <f aca="false">IF(G57="REJECT",COUNTIF($G$2:$G$2277,"&lt;&gt;REJECT")+1+COUNTIFS($G$2:$G$2277,"REJECT",$B$2:$B$2277,"&gt;"&amp;B57),1+COUNTIFS($G$2:$G$2277,"&lt;&gt;REJECT",$B$2:$B$2277,"&gt;"&amp;B57))</f>
        <v>56</v>
      </c>
      <c r="B57" s="26" t="n">
        <f aca="false">ROUND(($U$2*MAX(0,MIN(1,($W$2-I57)/($W$2-$V$2)))+$U$3*MAX(0,MIN(1,($W$3-J57)/($W$3-$V$3)))+$U$4*MAX(0,MIN(1,($W$4-K57)/($W$4-$V$4)))+$U$5*MAX(0,MIN(1,($W$5-L57)/($W$5-$V$5)))+$U$6*MAX(0,MIN(1,($W$6-M57)/($W$6-$V$6)))+$U$7*MAX(0,MIN(1,($W$7-N57)/($W$7-$V$7)))+$U$8*IF(AND(O57&gt;=$V$8,O57&lt;=$W$8),1,0))/$U$9*100,2)</f>
        <v>97.12</v>
      </c>
      <c r="C57" s="27" t="s">
        <v>131</v>
      </c>
      <c r="D57" s="25" t="s">
        <v>134</v>
      </c>
      <c r="E57" s="25" t="s">
        <v>3447</v>
      </c>
      <c r="F57" s="25" t="s">
        <v>3448</v>
      </c>
      <c r="G57" s="33" t="s">
        <v>28</v>
      </c>
      <c r="H57" s="33" t="s">
        <v>24</v>
      </c>
      <c r="I57" s="25" t="n">
        <v>0</v>
      </c>
      <c r="J57" s="25" t="n">
        <v>0</v>
      </c>
      <c r="K57" s="25" t="n">
        <v>0</v>
      </c>
      <c r="L57" s="29" t="n">
        <v>0.87</v>
      </c>
      <c r="M57" s="30" t="n">
        <v>10.89</v>
      </c>
      <c r="N57" s="29" t="n">
        <v>0.64</v>
      </c>
      <c r="O57" s="25" t="n">
        <v>187</v>
      </c>
      <c r="P57" s="30" t="n">
        <v>-0.51</v>
      </c>
      <c r="Q57" s="27"/>
      <c r="R57" s="27"/>
    </row>
    <row r="58" customFormat="false" ht="15" hidden="false" customHeight="false" outlineLevel="0" collapsed="false">
      <c r="A58" s="25" t="n">
        <f aca="false">IF(G58="REJECT",COUNTIF($G$2:$G$2277,"&lt;&gt;REJECT")+1+COUNTIFS($G$2:$G$2277,"REJECT",$B$2:$B$2277,"&gt;"&amp;B58),1+COUNTIFS($G$2:$G$2277,"&lt;&gt;REJECT",$B$2:$B$2277,"&gt;"&amp;B58))</f>
        <v>57</v>
      </c>
      <c r="B58" s="26" t="n">
        <f aca="false">ROUND(($U$2*MAX(0,MIN(1,($W$2-I58)/($W$2-$V$2)))+$U$3*MAX(0,MIN(1,($W$3-J58)/($W$3-$V$3)))+$U$4*MAX(0,MIN(1,($W$4-K58)/($W$4-$V$4)))+$U$5*MAX(0,MIN(1,($W$5-L58)/($W$5-$V$5)))+$U$6*MAX(0,MIN(1,($W$6-M58)/($W$6-$V$6)))+$U$7*MAX(0,MIN(1,($W$7-N58)/($W$7-$V$7)))+$U$8*IF(AND(O58&gt;=$V$8,O58&lt;=$W$8),1,0))/$U$9*100,2)</f>
        <v>97.1</v>
      </c>
      <c r="C58" s="27" t="s">
        <v>291</v>
      </c>
      <c r="D58" s="25" t="s">
        <v>134</v>
      </c>
      <c r="E58" s="25" t="s">
        <v>3450</v>
      </c>
      <c r="F58" s="25" t="s">
        <v>3448</v>
      </c>
      <c r="G58" s="28" t="s">
        <v>29</v>
      </c>
      <c r="H58" s="28" t="s">
        <v>25</v>
      </c>
      <c r="I58" s="25" t="n">
        <v>0</v>
      </c>
      <c r="J58" s="25" t="n">
        <v>0</v>
      </c>
      <c r="K58" s="25" t="n">
        <v>0</v>
      </c>
      <c r="L58" s="29" t="n">
        <v>0.77</v>
      </c>
      <c r="M58" s="30" t="n">
        <v>0.23</v>
      </c>
      <c r="N58" s="29" t="n">
        <v>0.64</v>
      </c>
      <c r="O58" s="25" t="n">
        <v>184</v>
      </c>
      <c r="P58" s="30" t="n">
        <v>-1.25</v>
      </c>
      <c r="Q58" s="27"/>
      <c r="R58" s="27" t="s">
        <v>62</v>
      </c>
    </row>
    <row r="59" customFormat="false" ht="15" hidden="false" customHeight="false" outlineLevel="0" collapsed="false">
      <c r="A59" s="25" t="n">
        <f aca="false">IF(G59="REJECT",COUNTIF($G$2:$G$2277,"&lt;&gt;REJECT")+1+COUNTIFS($G$2:$G$2277,"REJECT",$B$2:$B$2277,"&gt;"&amp;B59),1+COUNTIFS($G$2:$G$2277,"&lt;&gt;REJECT",$B$2:$B$2277,"&gt;"&amp;B59))</f>
        <v>58</v>
      </c>
      <c r="B59" s="26" t="n">
        <f aca="false">ROUND(($U$2*MAX(0,MIN(1,($W$2-I59)/($W$2-$V$2)))+$U$3*MAX(0,MIN(1,($W$3-J59)/($W$3-$V$3)))+$U$4*MAX(0,MIN(1,($W$4-K59)/($W$4-$V$4)))+$U$5*MAX(0,MIN(1,($W$5-L59)/($W$5-$V$5)))+$U$6*MAX(0,MIN(1,($W$6-M59)/($W$6-$V$6)))+$U$7*MAX(0,MIN(1,($W$7-N59)/($W$7-$V$7)))+$U$8*IF(AND(O59&gt;=$V$8,O59&lt;=$W$8),1,0))/$U$9*100,2)</f>
        <v>97.09</v>
      </c>
      <c r="C59" s="27" t="s">
        <v>2302</v>
      </c>
      <c r="D59" s="25" t="s">
        <v>134</v>
      </c>
      <c r="E59" s="25" t="s">
        <v>3447</v>
      </c>
      <c r="F59" s="25" t="s">
        <v>3448</v>
      </c>
      <c r="G59" s="33" t="s">
        <v>28</v>
      </c>
      <c r="H59" s="33" t="s">
        <v>24</v>
      </c>
      <c r="I59" s="25" t="n">
        <v>0</v>
      </c>
      <c r="J59" s="25" t="n">
        <v>0</v>
      </c>
      <c r="K59" s="25" t="n">
        <v>0</v>
      </c>
      <c r="L59" s="29" t="n">
        <v>0.78</v>
      </c>
      <c r="M59" s="30" t="n">
        <v>4.29</v>
      </c>
      <c r="N59" s="29" t="n">
        <v>0.6</v>
      </c>
      <c r="O59" s="25" t="n">
        <v>185</v>
      </c>
      <c r="P59" s="30" t="n">
        <v>4.93</v>
      </c>
      <c r="Q59" s="27"/>
      <c r="R59" s="27"/>
    </row>
    <row r="60" customFormat="false" ht="15" hidden="false" customHeight="false" outlineLevel="0" collapsed="false">
      <c r="A60" s="25" t="n">
        <f aca="false">IF(G60="REJECT",COUNTIF($G$2:$G$2277,"&lt;&gt;REJECT")+1+COUNTIFS($G$2:$G$2277,"REJECT",$B$2:$B$2277,"&gt;"&amp;B60),1+COUNTIFS($G$2:$G$2277,"&lt;&gt;REJECT",$B$2:$B$2277,"&gt;"&amp;B60))</f>
        <v>58</v>
      </c>
      <c r="B60" s="26" t="n">
        <f aca="false">ROUND(($U$2*MAX(0,MIN(1,($W$2-I60)/($W$2-$V$2)))+$U$3*MAX(0,MIN(1,($W$3-J60)/($W$3-$V$3)))+$U$4*MAX(0,MIN(1,($W$4-K60)/($W$4-$V$4)))+$U$5*MAX(0,MIN(1,($W$5-L60)/($W$5-$V$5)))+$U$6*MAX(0,MIN(1,($W$6-M60)/($W$6-$V$6)))+$U$7*MAX(0,MIN(1,($W$7-N60)/($W$7-$V$7)))+$U$8*IF(AND(O60&gt;=$V$8,O60&lt;=$W$8),1,0))/$U$9*100,2)</f>
        <v>97.09</v>
      </c>
      <c r="C60" s="27" t="s">
        <v>2836</v>
      </c>
      <c r="D60" s="25" t="s">
        <v>134</v>
      </c>
      <c r="E60" s="25" t="s">
        <v>3450</v>
      </c>
      <c r="F60" s="25" t="s">
        <v>3448</v>
      </c>
      <c r="G60" s="33" t="s">
        <v>28</v>
      </c>
      <c r="H60" s="33" t="s">
        <v>24</v>
      </c>
      <c r="I60" s="25" t="n">
        <v>0</v>
      </c>
      <c r="J60" s="25" t="n">
        <v>0</v>
      </c>
      <c r="K60" s="25" t="n">
        <v>0</v>
      </c>
      <c r="L60" s="29" t="n">
        <v>0.81</v>
      </c>
      <c r="M60" s="30" t="n">
        <v>9.45</v>
      </c>
      <c r="N60" s="29" t="n">
        <v>0.8</v>
      </c>
      <c r="O60" s="25" t="n">
        <v>183</v>
      </c>
      <c r="P60" s="30" t="n">
        <v>8.52</v>
      </c>
      <c r="Q60" s="27"/>
      <c r="R60" s="27"/>
    </row>
    <row r="61" customFormat="false" ht="15" hidden="false" customHeight="false" outlineLevel="0" collapsed="false">
      <c r="A61" s="25" t="n">
        <f aca="false">IF(G61="REJECT",COUNTIF($G$2:$G$2277,"&lt;&gt;REJECT")+1+COUNTIFS($G$2:$G$2277,"REJECT",$B$2:$B$2277,"&gt;"&amp;B61),1+COUNTIFS($G$2:$G$2277,"&lt;&gt;REJECT",$B$2:$B$2277,"&gt;"&amp;B61))</f>
        <v>60</v>
      </c>
      <c r="B61" s="26" t="n">
        <f aca="false">ROUND(($U$2*MAX(0,MIN(1,($W$2-I61)/($W$2-$V$2)))+$U$3*MAX(0,MIN(1,($W$3-J61)/($W$3-$V$3)))+$U$4*MAX(0,MIN(1,($W$4-K61)/($W$4-$V$4)))+$U$5*MAX(0,MIN(1,($W$5-L61)/($W$5-$V$5)))+$U$6*MAX(0,MIN(1,($W$6-M61)/($W$6-$V$6)))+$U$7*MAX(0,MIN(1,($W$7-N61)/($W$7-$V$7)))+$U$8*IF(AND(O61&gt;=$V$8,O61&lt;=$W$8),1,0))/$U$9*100,2)</f>
        <v>97.03</v>
      </c>
      <c r="C61" s="27" t="s">
        <v>1918</v>
      </c>
      <c r="D61" s="25" t="s">
        <v>134</v>
      </c>
      <c r="E61" s="25" t="s">
        <v>3447</v>
      </c>
      <c r="F61" s="25" t="s">
        <v>3448</v>
      </c>
      <c r="G61" s="33" t="s">
        <v>28</v>
      </c>
      <c r="H61" s="33" t="s">
        <v>24</v>
      </c>
      <c r="I61" s="25" t="n">
        <v>0</v>
      </c>
      <c r="J61" s="25" t="n">
        <v>0</v>
      </c>
      <c r="K61" s="25" t="n">
        <v>0</v>
      </c>
      <c r="L61" s="29" t="n">
        <v>0.77</v>
      </c>
      <c r="M61" s="30" t="n">
        <v>3.85</v>
      </c>
      <c r="N61" s="29" t="n">
        <v>0.32</v>
      </c>
      <c r="O61" s="25" t="n">
        <v>183</v>
      </c>
      <c r="P61" s="30" t="n">
        <v>3.73</v>
      </c>
      <c r="Q61" s="27"/>
      <c r="R61" s="27"/>
    </row>
    <row r="62" customFormat="false" ht="15" hidden="false" customHeight="false" outlineLevel="0" collapsed="false">
      <c r="A62" s="25" t="n">
        <f aca="false">IF(G62="REJECT",COUNTIF($G$2:$G$2277,"&lt;&gt;REJECT")+1+COUNTIFS($G$2:$G$2277,"REJECT",$B$2:$B$2277,"&gt;"&amp;B62),1+COUNTIFS($G$2:$G$2277,"&lt;&gt;REJECT",$B$2:$B$2277,"&gt;"&amp;B62))</f>
        <v>61</v>
      </c>
      <c r="B62" s="26" t="n">
        <f aca="false">ROUND(($U$2*MAX(0,MIN(1,($W$2-I62)/($W$2-$V$2)))+$U$3*MAX(0,MIN(1,($W$3-J62)/($W$3-$V$3)))+$U$4*MAX(0,MIN(1,($W$4-K62)/($W$4-$V$4)))+$U$5*MAX(0,MIN(1,($W$5-L62)/($W$5-$V$5)))+$U$6*MAX(0,MIN(1,($W$6-M62)/($W$6-$V$6)))+$U$7*MAX(0,MIN(1,($W$7-N62)/($W$7-$V$7)))+$U$8*IF(AND(O62&gt;=$V$8,O62&lt;=$W$8),1,0))/$U$9*100,2)</f>
        <v>96.94</v>
      </c>
      <c r="C62" s="27" t="s">
        <v>3177</v>
      </c>
      <c r="D62" s="25" t="s">
        <v>134</v>
      </c>
      <c r="E62" s="25" t="s">
        <v>3447</v>
      </c>
      <c r="F62" s="25" t="s">
        <v>3448</v>
      </c>
      <c r="G62" s="33" t="s">
        <v>28</v>
      </c>
      <c r="H62" s="33" t="s">
        <v>24</v>
      </c>
      <c r="I62" s="25" t="n">
        <v>0</v>
      </c>
      <c r="J62" s="25" t="n">
        <v>0</v>
      </c>
      <c r="K62" s="25" t="n">
        <v>0</v>
      </c>
      <c r="L62" s="29" t="n">
        <v>0.8</v>
      </c>
      <c r="M62" s="30" t="n">
        <v>15.19</v>
      </c>
      <c r="N62" s="29" t="n">
        <v>0.32</v>
      </c>
      <c r="O62" s="25" t="n">
        <v>184</v>
      </c>
      <c r="P62" s="30" t="n">
        <v>0.12</v>
      </c>
      <c r="Q62" s="27"/>
      <c r="R62" s="27"/>
    </row>
    <row r="63" customFormat="false" ht="15" hidden="false" customHeight="false" outlineLevel="0" collapsed="false">
      <c r="A63" s="25" t="n">
        <f aca="false">IF(G63="REJECT",COUNTIF($G$2:$G$2277,"&lt;&gt;REJECT")+1+COUNTIFS($G$2:$G$2277,"REJECT",$B$2:$B$2277,"&gt;"&amp;B63),1+COUNTIFS($G$2:$G$2277,"&lt;&gt;REJECT",$B$2:$B$2277,"&gt;"&amp;B63))</f>
        <v>62</v>
      </c>
      <c r="B63" s="26" t="n">
        <f aca="false">ROUND(($U$2*MAX(0,MIN(1,($W$2-I63)/($W$2-$V$2)))+$U$3*MAX(0,MIN(1,($W$3-J63)/($W$3-$V$3)))+$U$4*MAX(0,MIN(1,($W$4-K63)/($W$4-$V$4)))+$U$5*MAX(0,MIN(1,($W$5-L63)/($W$5-$V$5)))+$U$6*MAX(0,MIN(1,($W$6-M63)/($W$6-$V$6)))+$U$7*MAX(0,MIN(1,($W$7-N63)/($W$7-$V$7)))+$U$8*IF(AND(O63&gt;=$V$8,O63&lt;=$W$8),1,0))/$U$9*100,2)</f>
        <v>96.88</v>
      </c>
      <c r="C63" s="27" t="s">
        <v>1043</v>
      </c>
      <c r="D63" s="25" t="s">
        <v>3459</v>
      </c>
      <c r="E63" s="25" t="s">
        <v>3447</v>
      </c>
      <c r="F63" s="25" t="s">
        <v>3457</v>
      </c>
      <c r="G63" s="33" t="s">
        <v>28</v>
      </c>
      <c r="H63" s="33" t="s">
        <v>24</v>
      </c>
      <c r="I63" s="25" t="n">
        <v>0</v>
      </c>
      <c r="J63" s="25" t="n">
        <v>0</v>
      </c>
      <c r="K63" s="25" t="n">
        <v>0</v>
      </c>
      <c r="L63" s="29" t="n">
        <v>0.8</v>
      </c>
      <c r="M63" s="30" t="n">
        <v>14.74</v>
      </c>
      <c r="N63" s="29" t="n">
        <v>0.4</v>
      </c>
      <c r="O63" s="25" t="n">
        <v>185</v>
      </c>
      <c r="P63" s="30" t="n">
        <v>0.61</v>
      </c>
      <c r="Q63" s="27"/>
      <c r="R63" s="27"/>
    </row>
    <row r="64" customFormat="false" ht="15" hidden="false" customHeight="false" outlineLevel="0" collapsed="false">
      <c r="A64" s="25" t="n">
        <f aca="false">IF(G64="REJECT",COUNTIF($G$2:$G$2277,"&lt;&gt;REJECT")+1+COUNTIFS($G$2:$G$2277,"REJECT",$B$2:$B$2277,"&gt;"&amp;B64),1+COUNTIFS($G$2:$G$2277,"&lt;&gt;REJECT",$B$2:$B$2277,"&gt;"&amp;B64))</f>
        <v>62</v>
      </c>
      <c r="B64" s="26" t="n">
        <f aca="false">ROUND(($U$2*MAX(0,MIN(1,($W$2-I64)/($W$2-$V$2)))+$U$3*MAX(0,MIN(1,($W$3-J64)/($W$3-$V$3)))+$U$4*MAX(0,MIN(1,($W$4-K64)/($W$4-$V$4)))+$U$5*MAX(0,MIN(1,($W$5-L64)/($W$5-$V$5)))+$U$6*MAX(0,MIN(1,($W$6-M64)/($W$6-$V$6)))+$U$7*MAX(0,MIN(1,($W$7-N64)/($W$7-$V$7)))+$U$8*IF(AND(O64&gt;=$V$8,O64&lt;=$W$8),1,0))/$U$9*100,2)</f>
        <v>96.88</v>
      </c>
      <c r="C64" s="27" t="s">
        <v>2033</v>
      </c>
      <c r="D64" s="25" t="s">
        <v>134</v>
      </c>
      <c r="E64" s="25" t="s">
        <v>3447</v>
      </c>
      <c r="F64" s="25" t="s">
        <v>3448</v>
      </c>
      <c r="G64" s="33" t="s">
        <v>28</v>
      </c>
      <c r="H64" s="33" t="s">
        <v>24</v>
      </c>
      <c r="I64" s="25" t="n">
        <v>0</v>
      </c>
      <c r="J64" s="25" t="n">
        <v>0</v>
      </c>
      <c r="K64" s="25" t="n">
        <v>0</v>
      </c>
      <c r="L64" s="29" t="n">
        <v>0.76</v>
      </c>
      <c r="M64" s="30" t="n">
        <v>4.31</v>
      </c>
      <c r="N64" s="29" t="n">
        <v>0</v>
      </c>
      <c r="O64" s="25" t="n">
        <v>192</v>
      </c>
      <c r="P64" s="30" t="n">
        <v>3.73</v>
      </c>
      <c r="Q64" s="27"/>
      <c r="R64" s="27"/>
    </row>
    <row r="65" customFormat="false" ht="15" hidden="false" customHeight="false" outlineLevel="0" collapsed="false">
      <c r="A65" s="25" t="n">
        <f aca="false">IF(G65="REJECT",COUNTIF($G$2:$G$2277,"&lt;&gt;REJECT")+1+COUNTIFS($G$2:$G$2277,"REJECT",$B$2:$B$2277,"&gt;"&amp;B65),1+COUNTIFS($G$2:$G$2277,"&lt;&gt;REJECT",$B$2:$B$2277,"&gt;"&amp;B65))</f>
        <v>64</v>
      </c>
      <c r="B65" s="26" t="n">
        <f aca="false">ROUND(($U$2*MAX(0,MIN(1,($W$2-I65)/($W$2-$V$2)))+$U$3*MAX(0,MIN(1,($W$3-J65)/($W$3-$V$3)))+$U$4*MAX(0,MIN(1,($W$4-K65)/($W$4-$V$4)))+$U$5*MAX(0,MIN(1,($W$5-L65)/($W$5-$V$5)))+$U$6*MAX(0,MIN(1,($W$6-M65)/($W$6-$V$6)))+$U$7*MAX(0,MIN(1,($W$7-N65)/($W$7-$V$7)))+$U$8*IF(AND(O65&gt;=$V$8,O65&lt;=$W$8),1,0))/$U$9*100,2)</f>
        <v>96.87</v>
      </c>
      <c r="C65" s="27" t="s">
        <v>1096</v>
      </c>
      <c r="D65" s="25" t="s">
        <v>3459</v>
      </c>
      <c r="E65" s="25" t="s">
        <v>3450</v>
      </c>
      <c r="F65" s="25" t="s">
        <v>3448</v>
      </c>
      <c r="G65" s="28" t="s">
        <v>29</v>
      </c>
      <c r="H65" s="28" t="s">
        <v>25</v>
      </c>
      <c r="I65" s="25" t="n">
        <v>0</v>
      </c>
      <c r="J65" s="25" t="n">
        <v>0</v>
      </c>
      <c r="K65" s="25" t="n">
        <v>0</v>
      </c>
      <c r="L65" s="29" t="n">
        <v>0.85</v>
      </c>
      <c r="M65" s="30" t="n">
        <v>9.21</v>
      </c>
      <c r="N65" s="29" t="n">
        <v>0.96</v>
      </c>
      <c r="O65" s="25" t="n">
        <v>185</v>
      </c>
      <c r="P65" s="30" t="n">
        <v>11.75</v>
      </c>
      <c r="Q65" s="27"/>
      <c r="R65" s="27" t="s">
        <v>63</v>
      </c>
    </row>
    <row r="66" customFormat="false" ht="15" hidden="false" customHeight="false" outlineLevel="0" collapsed="false">
      <c r="A66" s="25" t="n">
        <f aca="false">IF(G66="REJECT",COUNTIF($G$2:$G$2277,"&lt;&gt;REJECT")+1+COUNTIFS($G$2:$G$2277,"REJECT",$B$2:$B$2277,"&gt;"&amp;B66),1+COUNTIFS($G$2:$G$2277,"&lt;&gt;REJECT",$B$2:$B$2277,"&gt;"&amp;B66))</f>
        <v>65</v>
      </c>
      <c r="B66" s="26" t="n">
        <f aca="false">ROUND(($U$2*MAX(0,MIN(1,($W$2-I66)/($W$2-$V$2)))+$U$3*MAX(0,MIN(1,($W$3-J66)/($W$3-$V$3)))+$U$4*MAX(0,MIN(1,($W$4-K66)/($W$4-$V$4)))+$U$5*MAX(0,MIN(1,($W$5-L66)/($W$5-$V$5)))+$U$6*MAX(0,MIN(1,($W$6-M66)/($W$6-$V$6)))+$U$7*MAX(0,MIN(1,($W$7-N66)/($W$7-$V$7)))+$U$8*IF(AND(O66&gt;=$V$8,O66&lt;=$W$8),1,0))/$U$9*100,2)</f>
        <v>96.86</v>
      </c>
      <c r="C66" s="27" t="s">
        <v>1608</v>
      </c>
      <c r="D66" s="25" t="s">
        <v>3459</v>
      </c>
      <c r="E66" s="25" t="s">
        <v>3450</v>
      </c>
      <c r="F66" s="25" t="s">
        <v>3448</v>
      </c>
      <c r="G66" s="28" t="s">
        <v>29</v>
      </c>
      <c r="H66" s="28" t="s">
        <v>25</v>
      </c>
      <c r="I66" s="25" t="n">
        <v>0</v>
      </c>
      <c r="J66" s="25" t="n">
        <v>0</v>
      </c>
      <c r="K66" s="25" t="n">
        <v>0</v>
      </c>
      <c r="L66" s="29" t="n">
        <v>0.81</v>
      </c>
      <c r="M66" s="30" t="n">
        <v>14.83</v>
      </c>
      <c r="N66" s="29" t="n">
        <v>0.4</v>
      </c>
      <c r="O66" s="25" t="n">
        <v>182</v>
      </c>
      <c r="P66" s="30" t="n">
        <v>6.34</v>
      </c>
      <c r="Q66" s="27"/>
      <c r="R66" s="27" t="s">
        <v>63</v>
      </c>
    </row>
    <row r="67" customFormat="false" ht="15" hidden="false" customHeight="false" outlineLevel="0" collapsed="false">
      <c r="A67" s="25" t="n">
        <f aca="false">IF(G67="REJECT",COUNTIF($G$2:$G$2277,"&lt;&gt;REJECT")+1+COUNTIFS($G$2:$G$2277,"REJECT",$B$2:$B$2277,"&gt;"&amp;B67),1+COUNTIFS($G$2:$G$2277,"&lt;&gt;REJECT",$B$2:$B$2277,"&gt;"&amp;B67))</f>
        <v>66</v>
      </c>
      <c r="B67" s="26" t="n">
        <f aca="false">ROUND(($U$2*MAX(0,MIN(1,($W$2-I67)/($W$2-$V$2)))+$U$3*MAX(0,MIN(1,($W$3-J67)/($W$3-$V$3)))+$U$4*MAX(0,MIN(1,($W$4-K67)/($W$4-$V$4)))+$U$5*MAX(0,MIN(1,($W$5-L67)/($W$5-$V$5)))+$U$6*MAX(0,MIN(1,($W$6-M67)/($W$6-$V$6)))+$U$7*MAX(0,MIN(1,($W$7-N67)/($W$7-$V$7)))+$U$8*IF(AND(O67&gt;=$V$8,O67&lt;=$W$8),1,0))/$U$9*100,2)</f>
        <v>96.84</v>
      </c>
      <c r="C67" s="27" t="s">
        <v>2654</v>
      </c>
      <c r="D67" s="25" t="s">
        <v>134</v>
      </c>
      <c r="E67" s="25" t="s">
        <v>3450</v>
      </c>
      <c r="F67" s="25" t="s">
        <v>3448</v>
      </c>
      <c r="G67" s="33" t="s">
        <v>28</v>
      </c>
      <c r="H67" s="33" t="s">
        <v>24</v>
      </c>
      <c r="I67" s="25" t="n">
        <v>0</v>
      </c>
      <c r="J67" s="25" t="n">
        <v>0</v>
      </c>
      <c r="K67" s="25" t="n">
        <v>0</v>
      </c>
      <c r="L67" s="29" t="n">
        <v>0.81</v>
      </c>
      <c r="M67" s="30" t="n">
        <v>15.77</v>
      </c>
      <c r="N67" s="29" t="n">
        <v>0.32</v>
      </c>
      <c r="O67" s="25" t="n">
        <v>183</v>
      </c>
      <c r="P67" s="30" t="n">
        <v>8.6</v>
      </c>
      <c r="Q67" s="27"/>
      <c r="R67" s="27"/>
    </row>
    <row r="68" customFormat="false" ht="15" hidden="false" customHeight="false" outlineLevel="0" collapsed="false">
      <c r="A68" s="25" t="n">
        <f aca="false">IF(G68="REJECT",COUNTIF($G$2:$G$2277,"&lt;&gt;REJECT")+1+COUNTIFS($G$2:$G$2277,"REJECT",$B$2:$B$2277,"&gt;"&amp;B68),1+COUNTIFS($G$2:$G$2277,"&lt;&gt;REJECT",$B$2:$B$2277,"&gt;"&amp;B68))</f>
        <v>67</v>
      </c>
      <c r="B68" s="26" t="n">
        <f aca="false">ROUND(($U$2*MAX(0,MIN(1,($W$2-I68)/($W$2-$V$2)))+$U$3*MAX(0,MIN(1,($W$3-J68)/($W$3-$V$3)))+$U$4*MAX(0,MIN(1,($W$4-K68)/($W$4-$V$4)))+$U$5*MAX(0,MIN(1,($W$5-L68)/($W$5-$V$5)))+$U$6*MAX(0,MIN(1,($W$6-M68)/($W$6-$V$6)))+$U$7*MAX(0,MIN(1,($W$7-N68)/($W$7-$V$7)))+$U$8*IF(AND(O68&gt;=$V$8,O68&lt;=$W$8),1,0))/$U$9*100,2)</f>
        <v>96.8</v>
      </c>
      <c r="C68" s="27" t="s">
        <v>2569</v>
      </c>
      <c r="D68" s="25" t="s">
        <v>134</v>
      </c>
      <c r="E68" s="25" t="s">
        <v>3447</v>
      </c>
      <c r="F68" s="25" t="s">
        <v>3448</v>
      </c>
      <c r="G68" s="28" t="s">
        <v>29</v>
      </c>
      <c r="H68" s="28" t="s">
        <v>25</v>
      </c>
      <c r="I68" s="25" t="n">
        <v>0</v>
      </c>
      <c r="J68" s="25" t="n">
        <v>0</v>
      </c>
      <c r="K68" s="25" t="n">
        <v>0</v>
      </c>
      <c r="L68" s="29" t="n">
        <v>0.77</v>
      </c>
      <c r="M68" s="30" t="n">
        <v>0.38</v>
      </c>
      <c r="N68" s="29" t="n">
        <v>0.8</v>
      </c>
      <c r="O68" s="25" t="n">
        <v>184</v>
      </c>
      <c r="P68" s="30" t="n">
        <v>-1.17</v>
      </c>
      <c r="Q68" s="27"/>
      <c r="R68" s="27" t="s">
        <v>64</v>
      </c>
    </row>
    <row r="69" customFormat="false" ht="15" hidden="false" customHeight="false" outlineLevel="0" collapsed="false">
      <c r="A69" s="25" t="n">
        <f aca="false">IF(G69="REJECT",COUNTIF($G$2:$G$2277,"&lt;&gt;REJECT")+1+COUNTIFS($G$2:$G$2277,"REJECT",$B$2:$B$2277,"&gt;"&amp;B69),1+COUNTIFS($G$2:$G$2277,"&lt;&gt;REJECT",$B$2:$B$2277,"&gt;"&amp;B69))</f>
        <v>68</v>
      </c>
      <c r="B69" s="26" t="n">
        <f aca="false">ROUND(($U$2*MAX(0,MIN(1,($W$2-I69)/($W$2-$V$2)))+$U$3*MAX(0,MIN(1,($W$3-J69)/($W$3-$V$3)))+$U$4*MAX(0,MIN(1,($W$4-K69)/($W$4-$V$4)))+$U$5*MAX(0,MIN(1,($W$5-L69)/($W$5-$V$5)))+$U$6*MAX(0,MIN(1,($W$6-M69)/($W$6-$V$6)))+$U$7*MAX(0,MIN(1,($W$7-N69)/($W$7-$V$7)))+$U$8*IF(AND(O69&gt;=$V$8,O69&lt;=$W$8),1,0))/$U$9*100,2)</f>
        <v>96.78</v>
      </c>
      <c r="C69" s="27" t="s">
        <v>2067</v>
      </c>
      <c r="D69" s="25" t="s">
        <v>3459</v>
      </c>
      <c r="E69" s="25" t="s">
        <v>3450</v>
      </c>
      <c r="F69" s="25" t="s">
        <v>3457</v>
      </c>
      <c r="G69" s="33" t="s">
        <v>28</v>
      </c>
      <c r="H69" s="33" t="s">
        <v>24</v>
      </c>
      <c r="I69" s="25" t="n">
        <v>0</v>
      </c>
      <c r="J69" s="25" t="n">
        <v>0</v>
      </c>
      <c r="K69" s="25" t="n">
        <v>0</v>
      </c>
      <c r="L69" s="29" t="n">
        <v>0.78</v>
      </c>
      <c r="M69" s="30" t="n">
        <v>6.9</v>
      </c>
      <c r="N69" s="29" t="n">
        <v>0.52</v>
      </c>
      <c r="O69" s="25" t="n">
        <v>182</v>
      </c>
      <c r="P69" s="30" t="n">
        <v>21.77</v>
      </c>
      <c r="Q69" s="27"/>
      <c r="R69" s="27"/>
    </row>
    <row r="70" customFormat="false" ht="15" hidden="false" customHeight="false" outlineLevel="0" collapsed="false">
      <c r="A70" s="25" t="n">
        <f aca="false">IF(G70="REJECT",COUNTIF($G$2:$G$2277,"&lt;&gt;REJECT")+1+COUNTIFS($G$2:$G$2277,"REJECT",$B$2:$B$2277,"&gt;"&amp;B70),1+COUNTIFS($G$2:$G$2277,"&lt;&gt;REJECT",$B$2:$B$2277,"&gt;"&amp;B70))</f>
        <v>68</v>
      </c>
      <c r="B70" s="26" t="n">
        <f aca="false">ROUND(($U$2*MAX(0,MIN(1,($W$2-I70)/($W$2-$V$2)))+$U$3*MAX(0,MIN(1,($W$3-J70)/($W$3-$V$3)))+$U$4*MAX(0,MIN(1,($W$4-K70)/($W$4-$V$4)))+$U$5*MAX(0,MIN(1,($W$5-L70)/($W$5-$V$5)))+$U$6*MAX(0,MIN(1,($W$6-M70)/($W$6-$V$6)))+$U$7*MAX(0,MIN(1,($W$7-N70)/($W$7-$V$7)))+$U$8*IF(AND(O70&gt;=$V$8,O70&lt;=$W$8),1,0))/$U$9*100,2)</f>
        <v>96.78</v>
      </c>
      <c r="C70" s="27" t="s">
        <v>2453</v>
      </c>
      <c r="D70" s="25" t="s">
        <v>134</v>
      </c>
      <c r="E70" s="25" t="s">
        <v>3447</v>
      </c>
      <c r="F70" s="25" t="s">
        <v>3457</v>
      </c>
      <c r="G70" s="33" t="s">
        <v>28</v>
      </c>
      <c r="H70" s="33" t="s">
        <v>24</v>
      </c>
      <c r="I70" s="25" t="n">
        <v>0</v>
      </c>
      <c r="J70" s="25" t="n">
        <v>0</v>
      </c>
      <c r="K70" s="25" t="n">
        <v>0</v>
      </c>
      <c r="L70" s="29" t="n">
        <v>0.83</v>
      </c>
      <c r="M70" s="30" t="n">
        <v>16.13</v>
      </c>
      <c r="N70" s="29" t="n">
        <v>0.32</v>
      </c>
      <c r="O70" s="25" t="n">
        <v>185</v>
      </c>
      <c r="P70" s="30" t="n">
        <v>0.79</v>
      </c>
      <c r="Q70" s="27"/>
      <c r="R70" s="27"/>
    </row>
    <row r="71" customFormat="false" ht="15" hidden="false" customHeight="false" outlineLevel="0" collapsed="false">
      <c r="A71" s="25" t="n">
        <f aca="false">IF(G71="REJECT",COUNTIF($G$2:$G$2277,"&lt;&gt;REJECT")+1+COUNTIFS($G$2:$G$2277,"REJECT",$B$2:$B$2277,"&gt;"&amp;B71),1+COUNTIFS($G$2:$G$2277,"&lt;&gt;REJECT",$B$2:$B$2277,"&gt;"&amp;B71))</f>
        <v>70</v>
      </c>
      <c r="B71" s="26" t="n">
        <f aca="false">ROUND(($U$2*MAX(0,MIN(1,($W$2-I71)/($W$2-$V$2)))+$U$3*MAX(0,MIN(1,($W$3-J71)/($W$3-$V$3)))+$U$4*MAX(0,MIN(1,($W$4-K71)/($W$4-$V$4)))+$U$5*MAX(0,MIN(1,($W$5-L71)/($W$5-$V$5)))+$U$6*MAX(0,MIN(1,($W$6-M71)/($W$6-$V$6)))+$U$7*MAX(0,MIN(1,($W$7-N71)/($W$7-$V$7)))+$U$8*IF(AND(O71&gt;=$V$8,O71&lt;=$W$8),1,0))/$U$9*100,2)</f>
        <v>96.75</v>
      </c>
      <c r="C71" s="27" t="s">
        <v>1221</v>
      </c>
      <c r="D71" s="25" t="s">
        <v>134</v>
      </c>
      <c r="E71" s="25" t="s">
        <v>3447</v>
      </c>
      <c r="F71" s="25" t="s">
        <v>3448</v>
      </c>
      <c r="G71" s="33" t="s">
        <v>28</v>
      </c>
      <c r="H71" s="33" t="s">
        <v>24</v>
      </c>
      <c r="I71" s="25" t="n">
        <v>0</v>
      </c>
      <c r="J71" s="25" t="n">
        <v>0</v>
      </c>
      <c r="K71" s="25" t="n">
        <v>0</v>
      </c>
      <c r="L71" s="29" t="n">
        <v>0.77</v>
      </c>
      <c r="M71" s="30" t="n">
        <v>7.49</v>
      </c>
      <c r="N71" s="29" t="n">
        <v>0.12</v>
      </c>
      <c r="O71" s="25" t="n">
        <v>191</v>
      </c>
      <c r="P71" s="30" t="n">
        <v>7.18</v>
      </c>
      <c r="Q71" s="27"/>
      <c r="R71" s="27"/>
    </row>
    <row r="72" customFormat="false" ht="15" hidden="false" customHeight="false" outlineLevel="0" collapsed="false">
      <c r="A72" s="25" t="n">
        <f aca="false">IF(G72="REJECT",COUNTIF($G$2:$G$2277,"&lt;&gt;REJECT")+1+COUNTIFS($G$2:$G$2277,"REJECT",$B$2:$B$2277,"&gt;"&amp;B72),1+COUNTIFS($G$2:$G$2277,"&lt;&gt;REJECT",$B$2:$B$2277,"&gt;"&amp;B72))</f>
        <v>71</v>
      </c>
      <c r="B72" s="26" t="n">
        <f aca="false">ROUND(($U$2*MAX(0,MIN(1,($W$2-I72)/($W$2-$V$2)))+$U$3*MAX(0,MIN(1,($W$3-J72)/($W$3-$V$3)))+$U$4*MAX(0,MIN(1,($W$4-K72)/($W$4-$V$4)))+$U$5*MAX(0,MIN(1,($W$5-L72)/($W$5-$V$5)))+$U$6*MAX(0,MIN(1,($W$6-M72)/($W$6-$V$6)))+$U$7*MAX(0,MIN(1,($W$7-N72)/($W$7-$V$7)))+$U$8*IF(AND(O72&gt;=$V$8,O72&lt;=$W$8),1,0))/$U$9*100,2)</f>
        <v>96.72</v>
      </c>
      <c r="C72" s="27" t="s">
        <v>1669</v>
      </c>
      <c r="D72" s="25" t="s">
        <v>3459</v>
      </c>
      <c r="E72" s="25" t="s">
        <v>3447</v>
      </c>
      <c r="F72" s="25" t="s">
        <v>3448</v>
      </c>
      <c r="G72" s="28" t="s">
        <v>29</v>
      </c>
      <c r="H72" s="28" t="s">
        <v>25</v>
      </c>
      <c r="I72" s="25" t="n">
        <v>0</v>
      </c>
      <c r="J72" s="25" t="n">
        <v>0</v>
      </c>
      <c r="K72" s="25" t="n">
        <v>0</v>
      </c>
      <c r="L72" s="29" t="n">
        <v>0.79</v>
      </c>
      <c r="M72" s="30" t="n">
        <v>11.29</v>
      </c>
      <c r="N72" s="29" t="n">
        <v>0.48</v>
      </c>
      <c r="O72" s="25" t="n">
        <v>184</v>
      </c>
      <c r="P72" s="30" t="n">
        <v>-1.02</v>
      </c>
      <c r="Q72" s="27"/>
      <c r="R72" s="27" t="s">
        <v>64</v>
      </c>
    </row>
    <row r="73" customFormat="false" ht="15" hidden="false" customHeight="false" outlineLevel="0" collapsed="false">
      <c r="A73" s="25" t="n">
        <f aca="false">IF(G73="REJECT",COUNTIF($G$2:$G$2277,"&lt;&gt;REJECT")+1+COUNTIFS($G$2:$G$2277,"REJECT",$B$2:$B$2277,"&gt;"&amp;B73),1+COUNTIFS($G$2:$G$2277,"&lt;&gt;REJECT",$B$2:$B$2277,"&gt;"&amp;B73))</f>
        <v>71</v>
      </c>
      <c r="B73" s="26" t="n">
        <f aca="false">ROUND(($U$2*MAX(0,MIN(1,($W$2-I73)/($W$2-$V$2)))+$U$3*MAX(0,MIN(1,($W$3-J73)/($W$3-$V$3)))+$U$4*MAX(0,MIN(1,($W$4-K73)/($W$4-$V$4)))+$U$5*MAX(0,MIN(1,($W$5-L73)/($W$5-$V$5)))+$U$6*MAX(0,MIN(1,($W$6-M73)/($W$6-$V$6)))+$U$7*MAX(0,MIN(1,($W$7-N73)/($W$7-$V$7)))+$U$8*IF(AND(O73&gt;=$V$8,O73&lt;=$W$8),1,0))/$U$9*100,2)</f>
        <v>96.72</v>
      </c>
      <c r="C73" s="27" t="s">
        <v>2155</v>
      </c>
      <c r="D73" s="25" t="s">
        <v>3459</v>
      </c>
      <c r="E73" s="25" t="s">
        <v>3447</v>
      </c>
      <c r="F73" s="25" t="s">
        <v>3448</v>
      </c>
      <c r="G73" s="28" t="s">
        <v>29</v>
      </c>
      <c r="H73" s="28" t="s">
        <v>25</v>
      </c>
      <c r="I73" s="25" t="n">
        <v>0</v>
      </c>
      <c r="J73" s="25" t="n">
        <v>0</v>
      </c>
      <c r="K73" s="25" t="n">
        <v>0</v>
      </c>
      <c r="L73" s="29" t="n">
        <v>0.82</v>
      </c>
      <c r="M73" s="30" t="n">
        <v>11.67</v>
      </c>
      <c r="N73" s="29" t="n">
        <v>0.8</v>
      </c>
      <c r="O73" s="25" t="n">
        <v>184</v>
      </c>
      <c r="P73" s="30" t="n">
        <v>-1.24</v>
      </c>
      <c r="Q73" s="27"/>
      <c r="R73" s="27" t="s">
        <v>64</v>
      </c>
    </row>
    <row r="74" customFormat="false" ht="15" hidden="false" customHeight="false" outlineLevel="0" collapsed="false">
      <c r="A74" s="25" t="n">
        <f aca="false">IF(G74="REJECT",COUNTIF($G$2:$G$2277,"&lt;&gt;REJECT")+1+COUNTIFS($G$2:$G$2277,"REJECT",$B$2:$B$2277,"&gt;"&amp;B74),1+COUNTIFS($G$2:$G$2277,"&lt;&gt;REJECT",$B$2:$B$2277,"&gt;"&amp;B74))</f>
        <v>73</v>
      </c>
      <c r="B74" s="26" t="n">
        <f aca="false">ROUND(($U$2*MAX(0,MIN(1,($W$2-I74)/($W$2-$V$2)))+$U$3*MAX(0,MIN(1,($W$3-J74)/($W$3-$V$3)))+$U$4*MAX(0,MIN(1,($W$4-K74)/($W$4-$V$4)))+$U$5*MAX(0,MIN(1,($W$5-L74)/($W$5-$V$5)))+$U$6*MAX(0,MIN(1,($W$6-M74)/($W$6-$V$6)))+$U$7*MAX(0,MIN(1,($W$7-N74)/($W$7-$V$7)))+$U$8*IF(AND(O74&gt;=$V$8,O74&lt;=$W$8),1,0))/$U$9*100,2)</f>
        <v>96.69</v>
      </c>
      <c r="C74" s="27" t="s">
        <v>1566</v>
      </c>
      <c r="D74" s="25" t="s">
        <v>134</v>
      </c>
      <c r="E74" s="25" t="s">
        <v>3450</v>
      </c>
      <c r="F74" s="25" t="s">
        <v>3457</v>
      </c>
      <c r="G74" s="33" t="s">
        <v>28</v>
      </c>
      <c r="H74" s="33" t="s">
        <v>24</v>
      </c>
      <c r="I74" s="25" t="n">
        <v>0</v>
      </c>
      <c r="J74" s="25" t="n">
        <v>0</v>
      </c>
      <c r="K74" s="25" t="n">
        <v>0</v>
      </c>
      <c r="L74" s="29" t="n">
        <v>0.79</v>
      </c>
      <c r="M74" s="30" t="n">
        <v>7.09</v>
      </c>
      <c r="N74" s="29" t="n">
        <v>0.92</v>
      </c>
      <c r="O74" s="25" t="n">
        <v>182</v>
      </c>
      <c r="P74" s="30" t="n">
        <v>3.18</v>
      </c>
      <c r="Q74" s="27"/>
      <c r="R74" s="27"/>
    </row>
    <row r="75" customFormat="false" ht="15" hidden="false" customHeight="false" outlineLevel="0" collapsed="false">
      <c r="A75" s="25" t="n">
        <f aca="false">IF(G75="REJECT",COUNTIF($G$2:$G$2277,"&lt;&gt;REJECT")+1+COUNTIFS($G$2:$G$2277,"REJECT",$B$2:$B$2277,"&gt;"&amp;B75),1+COUNTIFS($G$2:$G$2277,"&lt;&gt;REJECT",$B$2:$B$2277,"&gt;"&amp;B75))</f>
        <v>74</v>
      </c>
      <c r="B75" s="26" t="n">
        <f aca="false">ROUND(($U$2*MAX(0,MIN(1,($W$2-I75)/($W$2-$V$2)))+$U$3*MAX(0,MIN(1,($W$3-J75)/($W$3-$V$3)))+$U$4*MAX(0,MIN(1,($W$4-K75)/($W$4-$V$4)))+$U$5*MAX(0,MIN(1,($W$5-L75)/($W$5-$V$5)))+$U$6*MAX(0,MIN(1,($W$6-M75)/($W$6-$V$6)))+$U$7*MAX(0,MIN(1,($W$7-N75)/($W$7-$V$7)))+$U$8*IF(AND(O75&gt;=$V$8,O75&lt;=$W$8),1,0))/$U$9*100,2)</f>
        <v>96.68</v>
      </c>
      <c r="C75" s="27" t="s">
        <v>2314</v>
      </c>
      <c r="D75" s="25" t="s">
        <v>134</v>
      </c>
      <c r="E75" s="25" t="s">
        <v>3450</v>
      </c>
      <c r="F75" s="25" t="s">
        <v>3448</v>
      </c>
      <c r="G75" s="33" t="s">
        <v>28</v>
      </c>
      <c r="H75" s="33" t="s">
        <v>24</v>
      </c>
      <c r="I75" s="25" t="n">
        <v>0</v>
      </c>
      <c r="J75" s="25" t="n">
        <v>0</v>
      </c>
      <c r="K75" s="25" t="n">
        <v>0</v>
      </c>
      <c r="L75" s="29" t="n">
        <v>0.77</v>
      </c>
      <c r="M75" s="30" t="n">
        <v>7.5</v>
      </c>
      <c r="N75" s="29" t="n">
        <v>0.16</v>
      </c>
      <c r="O75" s="25" t="n">
        <v>183</v>
      </c>
      <c r="P75" s="30" t="n">
        <v>4.91</v>
      </c>
      <c r="Q75" s="27"/>
      <c r="R75" s="27"/>
    </row>
    <row r="76" customFormat="false" ht="15" hidden="false" customHeight="false" outlineLevel="0" collapsed="false">
      <c r="A76" s="25" t="n">
        <f aca="false">IF(G76="REJECT",COUNTIF($G$2:$G$2277,"&lt;&gt;REJECT")+1+COUNTIFS($G$2:$G$2277,"REJECT",$B$2:$B$2277,"&gt;"&amp;B76),1+COUNTIFS($G$2:$G$2277,"&lt;&gt;REJECT",$B$2:$B$2277,"&gt;"&amp;B76))</f>
        <v>75</v>
      </c>
      <c r="B76" s="26" t="n">
        <f aca="false">ROUND(($U$2*MAX(0,MIN(1,($W$2-I76)/($W$2-$V$2)))+$U$3*MAX(0,MIN(1,($W$3-J76)/($W$3-$V$3)))+$U$4*MAX(0,MIN(1,($W$4-K76)/($W$4-$V$4)))+$U$5*MAX(0,MIN(1,($W$5-L76)/($W$5-$V$5)))+$U$6*MAX(0,MIN(1,($W$6-M76)/($W$6-$V$6)))+$U$7*MAX(0,MIN(1,($W$7-N76)/($W$7-$V$7)))+$U$8*IF(AND(O76&gt;=$V$8,O76&lt;=$W$8),1,0))/$U$9*100,2)</f>
        <v>96.64</v>
      </c>
      <c r="C76" s="27" t="s">
        <v>2915</v>
      </c>
      <c r="D76" s="25" t="s">
        <v>134</v>
      </c>
      <c r="E76" s="25" t="s">
        <v>3450</v>
      </c>
      <c r="F76" s="25" t="s">
        <v>3457</v>
      </c>
      <c r="G76" s="28" t="s">
        <v>29</v>
      </c>
      <c r="H76" s="28" t="s">
        <v>25</v>
      </c>
      <c r="I76" s="25" t="n">
        <v>0</v>
      </c>
      <c r="J76" s="25" t="n">
        <v>0</v>
      </c>
      <c r="K76" s="25" t="n">
        <v>0</v>
      </c>
      <c r="L76" s="29" t="n">
        <v>0.82</v>
      </c>
      <c r="M76" s="30" t="n">
        <v>15.37</v>
      </c>
      <c r="N76" s="29" t="n">
        <v>0.48</v>
      </c>
      <c r="O76" s="25" t="n">
        <v>184</v>
      </c>
      <c r="P76" s="30" t="n">
        <v>7.6</v>
      </c>
      <c r="Q76" s="27"/>
      <c r="R76" s="27" t="s">
        <v>63</v>
      </c>
    </row>
    <row r="77" customFormat="false" ht="15" hidden="false" customHeight="false" outlineLevel="0" collapsed="false">
      <c r="A77" s="25" t="n">
        <f aca="false">IF(G77="REJECT",COUNTIF($G$2:$G$2277,"&lt;&gt;REJECT")+1+COUNTIFS($G$2:$G$2277,"REJECT",$B$2:$B$2277,"&gt;"&amp;B77),1+COUNTIFS($G$2:$G$2277,"&lt;&gt;REJECT",$B$2:$B$2277,"&gt;"&amp;B77))</f>
        <v>76</v>
      </c>
      <c r="B77" s="26" t="n">
        <f aca="false">ROUND(($U$2*MAX(0,MIN(1,($W$2-I77)/($W$2-$V$2)))+$U$3*MAX(0,MIN(1,($W$3-J77)/($W$3-$V$3)))+$U$4*MAX(0,MIN(1,($W$4-K77)/($W$4-$V$4)))+$U$5*MAX(0,MIN(1,($W$5-L77)/($W$5-$V$5)))+$U$6*MAX(0,MIN(1,($W$6-M77)/($W$6-$V$6)))+$U$7*MAX(0,MIN(1,($W$7-N77)/($W$7-$V$7)))+$U$8*IF(AND(O77&gt;=$V$8,O77&lt;=$W$8),1,0))/$U$9*100,2)</f>
        <v>96.59</v>
      </c>
      <c r="C77" s="27" t="s">
        <v>2169</v>
      </c>
      <c r="D77" s="25" t="s">
        <v>134</v>
      </c>
      <c r="E77" s="25" t="s">
        <v>3447</v>
      </c>
      <c r="F77" s="25" t="s">
        <v>3457</v>
      </c>
      <c r="G77" s="33" t="s">
        <v>28</v>
      </c>
      <c r="H77" s="33" t="s">
        <v>24</v>
      </c>
      <c r="I77" s="25" t="n">
        <v>0</v>
      </c>
      <c r="J77" s="25" t="n">
        <v>0</v>
      </c>
      <c r="K77" s="25" t="n">
        <v>0</v>
      </c>
      <c r="L77" s="29" t="n">
        <v>0.76</v>
      </c>
      <c r="M77" s="30" t="n">
        <v>4.45</v>
      </c>
      <c r="N77" s="29" t="n">
        <v>0.16</v>
      </c>
      <c r="O77" s="25" t="n">
        <v>185</v>
      </c>
      <c r="P77" s="30" t="n">
        <v>12.54</v>
      </c>
      <c r="Q77" s="27"/>
      <c r="R77" s="27"/>
    </row>
    <row r="78" customFormat="false" ht="15" hidden="false" customHeight="false" outlineLevel="0" collapsed="false">
      <c r="A78" s="25" t="n">
        <f aca="false">IF(G78="REJECT",COUNTIF($G$2:$G$2277,"&lt;&gt;REJECT")+1+COUNTIFS($G$2:$G$2277,"REJECT",$B$2:$B$2277,"&gt;"&amp;B78),1+COUNTIFS($G$2:$G$2277,"&lt;&gt;REJECT",$B$2:$B$2277,"&gt;"&amp;B78))</f>
        <v>77</v>
      </c>
      <c r="B78" s="26" t="n">
        <f aca="false">ROUND(($U$2*MAX(0,MIN(1,($W$2-I78)/($W$2-$V$2)))+$U$3*MAX(0,MIN(1,($W$3-J78)/($W$3-$V$3)))+$U$4*MAX(0,MIN(1,($W$4-K78)/($W$4-$V$4)))+$U$5*MAX(0,MIN(1,($W$5-L78)/($W$5-$V$5)))+$U$6*MAX(0,MIN(1,($W$6-M78)/($W$6-$V$6)))+$U$7*MAX(0,MIN(1,($W$7-N78)/($W$7-$V$7)))+$U$8*IF(AND(O78&gt;=$V$8,O78&lt;=$W$8),1,0))/$U$9*100,2)</f>
        <v>96.58</v>
      </c>
      <c r="C78" s="27" t="s">
        <v>818</v>
      </c>
      <c r="D78" s="25" t="s">
        <v>134</v>
      </c>
      <c r="E78" s="25" t="s">
        <v>3447</v>
      </c>
      <c r="F78" s="25" t="s">
        <v>3448</v>
      </c>
      <c r="G78" s="28" t="s">
        <v>29</v>
      </c>
      <c r="H78" s="28" t="s">
        <v>25</v>
      </c>
      <c r="I78" s="25" t="n">
        <v>0</v>
      </c>
      <c r="J78" s="25" t="n">
        <v>0</v>
      </c>
      <c r="K78" s="25" t="n">
        <v>0</v>
      </c>
      <c r="L78" s="29" t="n">
        <v>0.77</v>
      </c>
      <c r="M78" s="30" t="n">
        <v>2.95</v>
      </c>
      <c r="N78" s="29" t="n">
        <v>0.68</v>
      </c>
      <c r="O78" s="25" t="n">
        <v>194</v>
      </c>
      <c r="P78" s="30" t="n">
        <v>-1.28</v>
      </c>
      <c r="Q78" s="27"/>
      <c r="R78" s="27" t="s">
        <v>64</v>
      </c>
    </row>
    <row r="79" customFormat="false" ht="15" hidden="false" customHeight="false" outlineLevel="0" collapsed="false">
      <c r="A79" s="25" t="n">
        <f aca="false">IF(G79="REJECT",COUNTIF($G$2:$G$2277,"&lt;&gt;REJECT")+1+COUNTIFS($G$2:$G$2277,"REJECT",$B$2:$B$2277,"&gt;"&amp;B79),1+COUNTIFS($G$2:$G$2277,"&lt;&gt;REJECT",$B$2:$B$2277,"&gt;"&amp;B79))</f>
        <v>78</v>
      </c>
      <c r="B79" s="26" t="n">
        <f aca="false">ROUND(($U$2*MAX(0,MIN(1,($W$2-I79)/($W$2-$V$2)))+$U$3*MAX(0,MIN(1,($W$3-J79)/($W$3-$V$3)))+$U$4*MAX(0,MIN(1,($W$4-K79)/($W$4-$V$4)))+$U$5*MAX(0,MIN(1,($W$5-L79)/($W$5-$V$5)))+$U$6*MAX(0,MIN(1,($W$6-M79)/($W$6-$V$6)))+$U$7*MAX(0,MIN(1,($W$7-N79)/($W$7-$V$7)))+$U$8*IF(AND(O79&gt;=$V$8,O79&lt;=$W$8),1,0))/$U$9*100,2)</f>
        <v>96.54</v>
      </c>
      <c r="C79" s="27" t="s">
        <v>1073</v>
      </c>
      <c r="D79" s="25" t="s">
        <v>134</v>
      </c>
      <c r="E79" s="25" t="s">
        <v>3450</v>
      </c>
      <c r="F79" s="25" t="s">
        <v>3457</v>
      </c>
      <c r="G79" s="33" t="s">
        <v>28</v>
      </c>
      <c r="H79" s="33" t="s">
        <v>24</v>
      </c>
      <c r="I79" s="25" t="n">
        <v>0</v>
      </c>
      <c r="J79" s="25" t="n">
        <v>0</v>
      </c>
      <c r="K79" s="25" t="n">
        <v>0</v>
      </c>
      <c r="L79" s="29" t="n">
        <v>0.79</v>
      </c>
      <c r="M79" s="30" t="n">
        <v>15.54</v>
      </c>
      <c r="N79" s="29" t="n">
        <v>0.16</v>
      </c>
      <c r="O79" s="25" t="n">
        <v>184</v>
      </c>
      <c r="P79" s="30" t="n">
        <v>8.7</v>
      </c>
      <c r="Q79" s="27"/>
      <c r="R79" s="27"/>
    </row>
    <row r="80" customFormat="false" ht="15" hidden="false" customHeight="false" outlineLevel="0" collapsed="false">
      <c r="A80" s="25" t="n">
        <f aca="false">IF(G80="REJECT",COUNTIF($G$2:$G$2277,"&lt;&gt;REJECT")+1+COUNTIFS($G$2:$G$2277,"REJECT",$B$2:$B$2277,"&gt;"&amp;B80),1+COUNTIFS($G$2:$G$2277,"&lt;&gt;REJECT",$B$2:$B$2277,"&gt;"&amp;B80))</f>
        <v>79</v>
      </c>
      <c r="B80" s="26" t="n">
        <f aca="false">ROUND(($U$2*MAX(0,MIN(1,($W$2-I80)/($W$2-$V$2)))+$U$3*MAX(0,MIN(1,($W$3-J80)/($W$3-$V$3)))+$U$4*MAX(0,MIN(1,($W$4-K80)/($W$4-$V$4)))+$U$5*MAX(0,MIN(1,($W$5-L80)/($W$5-$V$5)))+$U$6*MAX(0,MIN(1,($W$6-M80)/($W$6-$V$6)))+$U$7*MAX(0,MIN(1,($W$7-N80)/($W$7-$V$7)))+$U$8*IF(AND(O80&gt;=$V$8,O80&lt;=$W$8),1,0))/$U$9*100,2)</f>
        <v>96.53</v>
      </c>
      <c r="C80" s="27" t="s">
        <v>2130</v>
      </c>
      <c r="D80" s="25" t="s">
        <v>134</v>
      </c>
      <c r="E80" s="25" t="s">
        <v>3450</v>
      </c>
      <c r="F80" s="25" t="s">
        <v>3448</v>
      </c>
      <c r="G80" s="28" t="s">
        <v>29</v>
      </c>
      <c r="H80" s="28" t="s">
        <v>25</v>
      </c>
      <c r="I80" s="25" t="n">
        <v>0</v>
      </c>
      <c r="J80" s="25" t="n">
        <v>0</v>
      </c>
      <c r="K80" s="25" t="n">
        <v>0</v>
      </c>
      <c r="L80" s="29" t="n">
        <v>0.76</v>
      </c>
      <c r="M80" s="30" t="n">
        <v>4.83</v>
      </c>
      <c r="N80" s="29" t="n">
        <v>0.16</v>
      </c>
      <c r="O80" s="25" t="n">
        <v>208</v>
      </c>
      <c r="P80" s="30" t="n">
        <v>4.98</v>
      </c>
      <c r="Q80" s="27"/>
      <c r="R80" s="27" t="s">
        <v>63</v>
      </c>
    </row>
    <row r="81" customFormat="false" ht="15" hidden="false" customHeight="false" outlineLevel="0" collapsed="false">
      <c r="A81" s="25" t="n">
        <f aca="false">IF(G81="REJECT",COUNTIF($G$2:$G$2277,"&lt;&gt;REJECT")+1+COUNTIFS($G$2:$G$2277,"REJECT",$B$2:$B$2277,"&gt;"&amp;B81),1+COUNTIFS($G$2:$G$2277,"&lt;&gt;REJECT",$B$2:$B$2277,"&gt;"&amp;B81))</f>
        <v>79</v>
      </c>
      <c r="B81" s="26" t="n">
        <f aca="false">ROUND(($U$2*MAX(0,MIN(1,($W$2-I81)/($W$2-$V$2)))+$U$3*MAX(0,MIN(1,($W$3-J81)/($W$3-$V$3)))+$U$4*MAX(0,MIN(1,($W$4-K81)/($W$4-$V$4)))+$U$5*MAX(0,MIN(1,($W$5-L81)/($W$5-$V$5)))+$U$6*MAX(0,MIN(1,($W$6-M81)/($W$6-$V$6)))+$U$7*MAX(0,MIN(1,($W$7-N81)/($W$7-$V$7)))+$U$8*IF(AND(O81&gt;=$V$8,O81&lt;=$W$8),1,0))/$U$9*100,2)</f>
        <v>96.53</v>
      </c>
      <c r="C81" s="27" t="s">
        <v>2407</v>
      </c>
      <c r="D81" s="25" t="s">
        <v>134</v>
      </c>
      <c r="E81" s="25" t="s">
        <v>3450</v>
      </c>
      <c r="F81" s="25" t="s">
        <v>3448</v>
      </c>
      <c r="G81" s="33" t="s">
        <v>28</v>
      </c>
      <c r="H81" s="33" t="s">
        <v>24</v>
      </c>
      <c r="I81" s="25" t="n">
        <v>0</v>
      </c>
      <c r="J81" s="25" t="n">
        <v>0</v>
      </c>
      <c r="K81" s="25" t="n">
        <v>0</v>
      </c>
      <c r="L81" s="29" t="n">
        <v>0.75</v>
      </c>
      <c r="M81" s="30" t="n">
        <v>0.44</v>
      </c>
      <c r="N81" s="29" t="n">
        <v>0.24</v>
      </c>
      <c r="O81" s="25" t="n">
        <v>197</v>
      </c>
      <c r="P81" s="30" t="n">
        <v>18.83</v>
      </c>
      <c r="Q81" s="27"/>
      <c r="R81" s="27"/>
    </row>
    <row r="82" customFormat="false" ht="15" hidden="false" customHeight="false" outlineLevel="0" collapsed="false">
      <c r="A82" s="25" t="n">
        <f aca="false">IF(G82="REJECT",COUNTIF($G$2:$G$2277,"&lt;&gt;REJECT")+1+COUNTIFS($G$2:$G$2277,"REJECT",$B$2:$B$2277,"&gt;"&amp;B82),1+COUNTIFS($G$2:$G$2277,"&lt;&gt;REJECT",$B$2:$B$2277,"&gt;"&amp;B82))</f>
        <v>81</v>
      </c>
      <c r="B82" s="26" t="n">
        <f aca="false">ROUND(($U$2*MAX(0,MIN(1,($W$2-I82)/($W$2-$V$2)))+$U$3*MAX(0,MIN(1,($W$3-J82)/($W$3-$V$3)))+$U$4*MAX(0,MIN(1,($W$4-K82)/($W$4-$V$4)))+$U$5*MAX(0,MIN(1,($W$5-L82)/($W$5-$V$5)))+$U$6*MAX(0,MIN(1,($W$6-M82)/($W$6-$V$6)))+$U$7*MAX(0,MIN(1,($W$7-N82)/($W$7-$V$7)))+$U$8*IF(AND(O82&gt;=$V$8,O82&lt;=$W$8),1,0))/$U$9*100,2)</f>
        <v>96.5</v>
      </c>
      <c r="C82" s="27" t="s">
        <v>1417</v>
      </c>
      <c r="D82" s="25" t="s">
        <v>134</v>
      </c>
      <c r="E82" s="25" t="s">
        <v>3450</v>
      </c>
      <c r="F82" s="25" t="s">
        <v>3448</v>
      </c>
      <c r="G82" s="33" t="s">
        <v>28</v>
      </c>
      <c r="H82" s="33" t="s">
        <v>24</v>
      </c>
      <c r="I82" s="25" t="n">
        <v>0</v>
      </c>
      <c r="J82" s="25" t="n">
        <v>0</v>
      </c>
      <c r="K82" s="25" t="n">
        <v>0</v>
      </c>
      <c r="L82" s="29" t="n">
        <v>0.79</v>
      </c>
      <c r="M82" s="30" t="n">
        <v>14.99</v>
      </c>
      <c r="N82" s="29" t="n">
        <v>0.24</v>
      </c>
      <c r="O82" s="25" t="n">
        <v>228</v>
      </c>
      <c r="P82" s="30" t="n">
        <v>7.2</v>
      </c>
      <c r="Q82" s="27"/>
      <c r="R82" s="27"/>
    </row>
    <row r="83" customFormat="false" ht="15" hidden="false" customHeight="false" outlineLevel="0" collapsed="false">
      <c r="A83" s="25" t="n">
        <f aca="false">IF(G83="REJECT",COUNTIF($G$2:$G$2277,"&lt;&gt;REJECT")+1+COUNTIFS($G$2:$G$2277,"REJECT",$B$2:$B$2277,"&gt;"&amp;B83),1+COUNTIFS($G$2:$G$2277,"&lt;&gt;REJECT",$B$2:$B$2277,"&gt;"&amp;B83))</f>
        <v>81</v>
      </c>
      <c r="B83" s="26" t="n">
        <f aca="false">ROUND(($U$2*MAX(0,MIN(1,($W$2-I83)/($W$2-$V$2)))+$U$3*MAX(0,MIN(1,($W$3-J83)/($W$3-$V$3)))+$U$4*MAX(0,MIN(1,($W$4-K83)/($W$4-$V$4)))+$U$5*MAX(0,MIN(1,($W$5-L83)/($W$5-$V$5)))+$U$6*MAX(0,MIN(1,($W$6-M83)/($W$6-$V$6)))+$U$7*MAX(0,MIN(1,($W$7-N83)/($W$7-$V$7)))+$U$8*IF(AND(O83&gt;=$V$8,O83&lt;=$W$8),1,0))/$U$9*100,2)</f>
        <v>96.5</v>
      </c>
      <c r="C83" s="27" t="s">
        <v>1848</v>
      </c>
      <c r="D83" s="25" t="s">
        <v>134</v>
      </c>
      <c r="E83" s="25" t="s">
        <v>3447</v>
      </c>
      <c r="F83" s="25" t="s">
        <v>3448</v>
      </c>
      <c r="G83" s="28" t="s">
        <v>29</v>
      </c>
      <c r="H83" s="28" t="s">
        <v>25</v>
      </c>
      <c r="I83" s="25" t="n">
        <v>0</v>
      </c>
      <c r="J83" s="25" t="n">
        <v>0</v>
      </c>
      <c r="K83" s="25" t="n">
        <v>0</v>
      </c>
      <c r="L83" s="29" t="n">
        <v>0.77</v>
      </c>
      <c r="M83" s="30" t="n">
        <v>7.39</v>
      </c>
      <c r="N83" s="29" t="n">
        <v>0.28</v>
      </c>
      <c r="O83" s="25" t="n">
        <v>185</v>
      </c>
      <c r="P83" s="30" t="n">
        <v>-0.87</v>
      </c>
      <c r="Q83" s="27"/>
      <c r="R83" s="27" t="s">
        <v>63</v>
      </c>
    </row>
    <row r="84" customFormat="false" ht="15" hidden="false" customHeight="false" outlineLevel="0" collapsed="false">
      <c r="A84" s="25" t="n">
        <f aca="false">IF(G84="REJECT",COUNTIF($G$2:$G$2277,"&lt;&gt;REJECT")+1+COUNTIFS($G$2:$G$2277,"REJECT",$B$2:$B$2277,"&gt;"&amp;B84),1+COUNTIFS($G$2:$G$2277,"&lt;&gt;REJECT",$B$2:$B$2277,"&gt;"&amp;B84))</f>
        <v>83</v>
      </c>
      <c r="B84" s="26" t="n">
        <f aca="false">ROUND(($U$2*MAX(0,MIN(1,($W$2-I84)/($W$2-$V$2)))+$U$3*MAX(0,MIN(1,($W$3-J84)/($W$3-$V$3)))+$U$4*MAX(0,MIN(1,($W$4-K84)/($W$4-$V$4)))+$U$5*MAX(0,MIN(1,($W$5-L84)/($W$5-$V$5)))+$U$6*MAX(0,MIN(1,($W$6-M84)/($W$6-$V$6)))+$U$7*MAX(0,MIN(1,($W$7-N84)/($W$7-$V$7)))+$U$8*IF(AND(O84&gt;=$V$8,O84&lt;=$W$8),1,0))/$U$9*100,2)</f>
        <v>96.46</v>
      </c>
      <c r="C84" s="27" t="s">
        <v>2413</v>
      </c>
      <c r="D84" s="25" t="s">
        <v>134</v>
      </c>
      <c r="E84" s="25" t="s">
        <v>3450</v>
      </c>
      <c r="F84" s="25" t="s">
        <v>3448</v>
      </c>
      <c r="G84" s="28" t="s">
        <v>29</v>
      </c>
      <c r="H84" s="28" t="s">
        <v>25</v>
      </c>
      <c r="I84" s="25" t="n">
        <v>0</v>
      </c>
      <c r="J84" s="25" t="n">
        <v>0</v>
      </c>
      <c r="K84" s="25" t="n">
        <v>0</v>
      </c>
      <c r="L84" s="29" t="n">
        <v>0.78</v>
      </c>
      <c r="M84" s="30" t="n">
        <v>12.05</v>
      </c>
      <c r="N84" s="29" t="n">
        <v>0.2</v>
      </c>
      <c r="O84" s="25" t="n">
        <v>189</v>
      </c>
      <c r="P84" s="30" t="n">
        <v>7.32</v>
      </c>
      <c r="Q84" s="27"/>
      <c r="R84" s="27" t="s">
        <v>63</v>
      </c>
    </row>
    <row r="85" customFormat="false" ht="15" hidden="false" customHeight="false" outlineLevel="0" collapsed="false">
      <c r="A85" s="25" t="n">
        <f aca="false">IF(G85="REJECT",COUNTIF($G$2:$G$2277,"&lt;&gt;REJECT")+1+COUNTIFS($G$2:$G$2277,"REJECT",$B$2:$B$2277,"&gt;"&amp;B85),1+COUNTIFS($G$2:$G$2277,"&lt;&gt;REJECT",$B$2:$B$2277,"&gt;"&amp;B85))</f>
        <v>84</v>
      </c>
      <c r="B85" s="26" t="n">
        <f aca="false">ROUND(($U$2*MAX(0,MIN(1,($W$2-I85)/($W$2-$V$2)))+$U$3*MAX(0,MIN(1,($W$3-J85)/($W$3-$V$3)))+$U$4*MAX(0,MIN(1,($W$4-K85)/($W$4-$V$4)))+$U$5*MAX(0,MIN(1,($W$5-L85)/($W$5-$V$5)))+$U$6*MAX(0,MIN(1,($W$6-M85)/($W$6-$V$6)))+$U$7*MAX(0,MIN(1,($W$7-N85)/($W$7-$V$7)))+$U$8*IF(AND(O85&gt;=$V$8,O85&lt;=$W$8),1,0))/$U$9*100,2)</f>
        <v>96.45</v>
      </c>
      <c r="C85" s="27" t="s">
        <v>2391</v>
      </c>
      <c r="D85" s="25" t="s">
        <v>134</v>
      </c>
      <c r="E85" s="25" t="s">
        <v>3450</v>
      </c>
      <c r="F85" s="25" t="s">
        <v>3448</v>
      </c>
      <c r="G85" s="33" t="s">
        <v>28</v>
      </c>
      <c r="H85" s="33" t="s">
        <v>24</v>
      </c>
      <c r="I85" s="25" t="n">
        <v>0</v>
      </c>
      <c r="J85" s="25" t="n">
        <v>0</v>
      </c>
      <c r="K85" s="25" t="n">
        <v>0</v>
      </c>
      <c r="L85" s="29" t="n">
        <v>0.77</v>
      </c>
      <c r="M85" s="30" t="n">
        <v>3.29</v>
      </c>
      <c r="N85" s="29" t="n">
        <v>0.72</v>
      </c>
      <c r="O85" s="25" t="n">
        <v>184</v>
      </c>
      <c r="P85" s="30" t="n">
        <v>3.18</v>
      </c>
      <c r="Q85" s="27"/>
      <c r="R85" s="27"/>
    </row>
    <row r="86" customFormat="false" ht="15" hidden="false" customHeight="false" outlineLevel="0" collapsed="false">
      <c r="A86" s="25" t="n">
        <f aca="false">IF(G86="REJECT",COUNTIF($G$2:$G$2277,"&lt;&gt;REJECT")+1+COUNTIFS($G$2:$G$2277,"REJECT",$B$2:$B$2277,"&gt;"&amp;B86),1+COUNTIFS($G$2:$G$2277,"&lt;&gt;REJECT",$B$2:$B$2277,"&gt;"&amp;B86))</f>
        <v>85</v>
      </c>
      <c r="B86" s="26" t="n">
        <f aca="false">ROUND(($U$2*MAX(0,MIN(1,($W$2-I86)/($W$2-$V$2)))+$U$3*MAX(0,MIN(1,($W$3-J86)/($W$3-$V$3)))+$U$4*MAX(0,MIN(1,($W$4-K86)/($W$4-$V$4)))+$U$5*MAX(0,MIN(1,($W$5-L86)/($W$5-$V$5)))+$U$6*MAX(0,MIN(1,($W$6-M86)/($W$6-$V$6)))+$U$7*MAX(0,MIN(1,($W$7-N86)/($W$7-$V$7)))+$U$8*IF(AND(O86&gt;=$V$8,O86&lt;=$W$8),1,0))/$U$9*100,2)</f>
        <v>96.43</v>
      </c>
      <c r="C86" s="27" t="s">
        <v>2580</v>
      </c>
      <c r="D86" s="25" t="s">
        <v>134</v>
      </c>
      <c r="E86" s="25" t="s">
        <v>3450</v>
      </c>
      <c r="F86" s="25" t="s">
        <v>3457</v>
      </c>
      <c r="G86" s="33" t="s">
        <v>28</v>
      </c>
      <c r="H86" s="33" t="s">
        <v>24</v>
      </c>
      <c r="I86" s="25" t="n">
        <v>0</v>
      </c>
      <c r="J86" s="25" t="n">
        <v>0</v>
      </c>
      <c r="K86" s="25" t="n">
        <v>0</v>
      </c>
      <c r="L86" s="29" t="n">
        <v>0.79</v>
      </c>
      <c r="M86" s="30" t="n">
        <v>12.23</v>
      </c>
      <c r="N86" s="29" t="n">
        <v>0.56</v>
      </c>
      <c r="O86" s="25" t="n">
        <v>187</v>
      </c>
      <c r="P86" s="30" t="n">
        <v>6.81</v>
      </c>
      <c r="Q86" s="27"/>
      <c r="R86" s="27"/>
    </row>
    <row r="87" customFormat="false" ht="15" hidden="false" customHeight="false" outlineLevel="0" collapsed="false">
      <c r="A87" s="25" t="n">
        <f aca="false">IF(G87="REJECT",COUNTIF($G$2:$G$2277,"&lt;&gt;REJECT")+1+COUNTIFS($G$2:$G$2277,"REJECT",$B$2:$B$2277,"&gt;"&amp;B87),1+COUNTIFS($G$2:$G$2277,"&lt;&gt;REJECT",$B$2:$B$2277,"&gt;"&amp;B87))</f>
        <v>86</v>
      </c>
      <c r="B87" s="26" t="n">
        <f aca="false">ROUND(($U$2*MAX(0,MIN(1,($W$2-I87)/($W$2-$V$2)))+$U$3*MAX(0,MIN(1,($W$3-J87)/($W$3-$V$3)))+$U$4*MAX(0,MIN(1,($W$4-K87)/($W$4-$V$4)))+$U$5*MAX(0,MIN(1,($W$5-L87)/($W$5-$V$5)))+$U$6*MAX(0,MIN(1,($W$6-M87)/($W$6-$V$6)))+$U$7*MAX(0,MIN(1,($W$7-N87)/($W$7-$V$7)))+$U$8*IF(AND(O87&gt;=$V$8,O87&lt;=$W$8),1,0))/$U$9*100,2)</f>
        <v>96.42</v>
      </c>
      <c r="C87" s="27" t="s">
        <v>977</v>
      </c>
      <c r="D87" s="25" t="s">
        <v>3459</v>
      </c>
      <c r="E87" s="25" t="s">
        <v>3450</v>
      </c>
      <c r="F87" s="25" t="s">
        <v>3448</v>
      </c>
      <c r="G87" s="28" t="s">
        <v>29</v>
      </c>
      <c r="H87" s="28" t="s">
        <v>25</v>
      </c>
      <c r="I87" s="25" t="n">
        <v>0</v>
      </c>
      <c r="J87" s="25" t="n">
        <v>0</v>
      </c>
      <c r="K87" s="25" t="n">
        <v>0</v>
      </c>
      <c r="L87" s="29" t="n">
        <v>0.79</v>
      </c>
      <c r="M87" s="30" t="n">
        <v>9.46</v>
      </c>
      <c r="N87" s="29" t="n">
        <v>0.84</v>
      </c>
      <c r="O87" s="25" t="n">
        <v>182</v>
      </c>
      <c r="P87" s="30" t="n">
        <v>0.77</v>
      </c>
      <c r="Q87" s="27"/>
      <c r="R87" s="27" t="s">
        <v>62</v>
      </c>
    </row>
    <row r="88" customFormat="false" ht="15" hidden="false" customHeight="false" outlineLevel="0" collapsed="false">
      <c r="A88" s="25" t="n">
        <f aca="false">IF(G88="REJECT",COUNTIF($G$2:$G$2277,"&lt;&gt;REJECT")+1+COUNTIFS($G$2:$G$2277,"REJECT",$B$2:$B$2277,"&gt;"&amp;B88),1+COUNTIFS($G$2:$G$2277,"&lt;&gt;REJECT",$B$2:$B$2277,"&gt;"&amp;B88))</f>
        <v>86</v>
      </c>
      <c r="B88" s="26" t="n">
        <f aca="false">ROUND(($U$2*MAX(0,MIN(1,($W$2-I88)/($W$2-$V$2)))+$U$3*MAX(0,MIN(1,($W$3-J88)/($W$3-$V$3)))+$U$4*MAX(0,MIN(1,($W$4-K88)/($W$4-$V$4)))+$U$5*MAX(0,MIN(1,($W$5-L88)/($W$5-$V$5)))+$U$6*MAX(0,MIN(1,($W$6-M88)/($W$6-$V$6)))+$U$7*MAX(0,MIN(1,($W$7-N88)/($W$7-$V$7)))+$U$8*IF(AND(O88&gt;=$V$8,O88&lt;=$W$8),1,0))/$U$9*100,2)</f>
        <v>96.42</v>
      </c>
      <c r="C88" s="27" t="s">
        <v>1547</v>
      </c>
      <c r="D88" s="25" t="s">
        <v>134</v>
      </c>
      <c r="E88" s="25" t="s">
        <v>3450</v>
      </c>
      <c r="F88" s="25" t="s">
        <v>3448</v>
      </c>
      <c r="G88" s="28" t="s">
        <v>29</v>
      </c>
      <c r="H88" s="28" t="s">
        <v>25</v>
      </c>
      <c r="I88" s="25" t="n">
        <v>0</v>
      </c>
      <c r="J88" s="25" t="n">
        <v>0</v>
      </c>
      <c r="K88" s="25" t="n">
        <v>0</v>
      </c>
      <c r="L88" s="29" t="n">
        <v>0.78</v>
      </c>
      <c r="M88" s="30" t="n">
        <v>6.71</v>
      </c>
      <c r="N88" s="29" t="n">
        <v>0.76</v>
      </c>
      <c r="O88" s="25" t="n">
        <v>184</v>
      </c>
      <c r="P88" s="30" t="n">
        <v>0.94</v>
      </c>
      <c r="Q88" s="27"/>
      <c r="R88" s="27" t="s">
        <v>62</v>
      </c>
    </row>
    <row r="89" customFormat="false" ht="15" hidden="false" customHeight="false" outlineLevel="0" collapsed="false">
      <c r="A89" s="25" t="n">
        <f aca="false">IF(G89="REJECT",COUNTIF($G$2:$G$2277,"&lt;&gt;REJECT")+1+COUNTIFS($G$2:$G$2277,"REJECT",$B$2:$B$2277,"&gt;"&amp;B89),1+COUNTIFS($G$2:$G$2277,"&lt;&gt;REJECT",$B$2:$B$2277,"&gt;"&amp;B89))</f>
        <v>88</v>
      </c>
      <c r="B89" s="26" t="n">
        <f aca="false">ROUND(($U$2*MAX(0,MIN(1,($W$2-I89)/($W$2-$V$2)))+$U$3*MAX(0,MIN(1,($W$3-J89)/($W$3-$V$3)))+$U$4*MAX(0,MIN(1,($W$4-K89)/($W$4-$V$4)))+$U$5*MAX(0,MIN(1,($W$5-L89)/($W$5-$V$5)))+$U$6*MAX(0,MIN(1,($W$6-M89)/($W$6-$V$6)))+$U$7*MAX(0,MIN(1,($W$7-N89)/($W$7-$V$7)))+$U$8*IF(AND(O89&gt;=$V$8,O89&lt;=$W$8),1,0))/$U$9*100,2)</f>
        <v>96.41</v>
      </c>
      <c r="C89" s="27" t="s">
        <v>2915</v>
      </c>
      <c r="D89" s="25" t="s">
        <v>134</v>
      </c>
      <c r="E89" s="25" t="s">
        <v>3447</v>
      </c>
      <c r="F89" s="25" t="s">
        <v>3457</v>
      </c>
      <c r="G89" s="28" t="s">
        <v>29</v>
      </c>
      <c r="H89" s="28" t="s">
        <v>25</v>
      </c>
      <c r="I89" s="25" t="n">
        <v>0</v>
      </c>
      <c r="J89" s="25" t="n">
        <v>0</v>
      </c>
      <c r="K89" s="25" t="n">
        <v>0</v>
      </c>
      <c r="L89" s="29" t="n">
        <v>0.88</v>
      </c>
      <c r="M89" s="30" t="n">
        <v>14.72</v>
      </c>
      <c r="N89" s="29" t="n">
        <v>0.68</v>
      </c>
      <c r="O89" s="25" t="n">
        <v>184</v>
      </c>
      <c r="P89" s="30" t="n">
        <v>3.18</v>
      </c>
      <c r="Q89" s="27"/>
      <c r="R89" s="27" t="s">
        <v>63</v>
      </c>
    </row>
    <row r="90" customFormat="false" ht="15" hidden="false" customHeight="false" outlineLevel="0" collapsed="false">
      <c r="A90" s="25" t="n">
        <f aca="false">IF(G90="REJECT",COUNTIF($G$2:$G$2277,"&lt;&gt;REJECT")+1+COUNTIFS($G$2:$G$2277,"REJECT",$B$2:$B$2277,"&gt;"&amp;B90),1+COUNTIFS($G$2:$G$2277,"&lt;&gt;REJECT",$B$2:$B$2277,"&gt;"&amp;B90))</f>
        <v>89</v>
      </c>
      <c r="B90" s="26" t="n">
        <f aca="false">ROUND(($U$2*MAX(0,MIN(1,($W$2-I90)/($W$2-$V$2)))+$U$3*MAX(0,MIN(1,($W$3-J90)/($W$3-$V$3)))+$U$4*MAX(0,MIN(1,($W$4-K90)/($W$4-$V$4)))+$U$5*MAX(0,MIN(1,($W$5-L90)/($W$5-$V$5)))+$U$6*MAX(0,MIN(1,($W$6-M90)/($W$6-$V$6)))+$U$7*MAX(0,MIN(1,($W$7-N90)/($W$7-$V$7)))+$U$8*IF(AND(O90&gt;=$V$8,O90&lt;=$W$8),1,0))/$U$9*100,2)</f>
        <v>96.36</v>
      </c>
      <c r="C90" s="27" t="s">
        <v>1836</v>
      </c>
      <c r="D90" s="25" t="s">
        <v>134</v>
      </c>
      <c r="E90" s="25" t="s">
        <v>3447</v>
      </c>
      <c r="F90" s="25" t="s">
        <v>3457</v>
      </c>
      <c r="G90" s="28" t="s">
        <v>29</v>
      </c>
      <c r="H90" s="28" t="s">
        <v>25</v>
      </c>
      <c r="I90" s="25" t="n">
        <v>0</v>
      </c>
      <c r="J90" s="25" t="n">
        <v>0</v>
      </c>
      <c r="K90" s="25" t="n">
        <v>0</v>
      </c>
      <c r="L90" s="29" t="n">
        <v>0.81</v>
      </c>
      <c r="M90" s="30" t="n">
        <v>13.02</v>
      </c>
      <c r="N90" s="29" t="n">
        <v>0.88</v>
      </c>
      <c r="O90" s="25" t="n">
        <v>190</v>
      </c>
      <c r="P90" s="30" t="n">
        <v>5.76</v>
      </c>
      <c r="Q90" s="27"/>
      <c r="R90" s="27" t="s">
        <v>63</v>
      </c>
    </row>
    <row r="91" customFormat="false" ht="15" hidden="false" customHeight="false" outlineLevel="0" collapsed="false">
      <c r="A91" s="25" t="n">
        <f aca="false">IF(G91="REJECT",COUNTIF($G$2:$G$2277,"&lt;&gt;REJECT")+1+COUNTIFS($G$2:$G$2277,"REJECT",$B$2:$B$2277,"&gt;"&amp;B91),1+COUNTIFS($G$2:$G$2277,"&lt;&gt;REJECT",$B$2:$B$2277,"&gt;"&amp;B91))</f>
        <v>90</v>
      </c>
      <c r="B91" s="26" t="n">
        <f aca="false">ROUND(($U$2*MAX(0,MIN(1,($W$2-I91)/($W$2-$V$2)))+$U$3*MAX(0,MIN(1,($W$3-J91)/($W$3-$V$3)))+$U$4*MAX(0,MIN(1,($W$4-K91)/($W$4-$V$4)))+$U$5*MAX(0,MIN(1,($W$5-L91)/($W$5-$V$5)))+$U$6*MAX(0,MIN(1,($W$6-M91)/($W$6-$V$6)))+$U$7*MAX(0,MIN(1,($W$7-N91)/($W$7-$V$7)))+$U$8*IF(AND(O91&gt;=$V$8,O91&lt;=$W$8),1,0))/$U$9*100,2)</f>
        <v>96.33</v>
      </c>
      <c r="C91" s="27" t="s">
        <v>1627</v>
      </c>
      <c r="D91" s="25" t="s">
        <v>134</v>
      </c>
      <c r="E91" s="25" t="s">
        <v>3447</v>
      </c>
      <c r="F91" s="25" t="s">
        <v>3448</v>
      </c>
      <c r="G91" s="28" t="s">
        <v>29</v>
      </c>
      <c r="H91" s="28" t="s">
        <v>25</v>
      </c>
      <c r="I91" s="25" t="n">
        <v>0</v>
      </c>
      <c r="J91" s="25" t="n">
        <v>0</v>
      </c>
      <c r="K91" s="25" t="n">
        <v>0</v>
      </c>
      <c r="L91" s="29" t="n">
        <v>0.78</v>
      </c>
      <c r="M91" s="30" t="n">
        <v>9.21</v>
      </c>
      <c r="N91" s="29" t="n">
        <v>0.56</v>
      </c>
      <c r="O91" s="25" t="n">
        <v>184</v>
      </c>
      <c r="P91" s="30" t="n">
        <v>2.07</v>
      </c>
      <c r="Q91" s="27"/>
      <c r="R91" s="27" t="s">
        <v>63</v>
      </c>
    </row>
    <row r="92" customFormat="false" ht="15" hidden="false" customHeight="false" outlineLevel="0" collapsed="false">
      <c r="A92" s="25" t="n">
        <f aca="false">IF(G92="REJECT",COUNTIF($G$2:$G$2277,"&lt;&gt;REJECT")+1+COUNTIFS($G$2:$G$2277,"REJECT",$B$2:$B$2277,"&gt;"&amp;B92),1+COUNTIFS($G$2:$G$2277,"&lt;&gt;REJECT",$B$2:$B$2277,"&gt;"&amp;B92))</f>
        <v>91</v>
      </c>
      <c r="B92" s="26" t="n">
        <f aca="false">ROUND(($U$2*MAX(0,MIN(1,($W$2-I92)/($W$2-$V$2)))+$U$3*MAX(0,MIN(1,($W$3-J92)/($W$3-$V$3)))+$U$4*MAX(0,MIN(1,($W$4-K92)/($W$4-$V$4)))+$U$5*MAX(0,MIN(1,($W$5-L92)/($W$5-$V$5)))+$U$6*MAX(0,MIN(1,($W$6-M92)/($W$6-$V$6)))+$U$7*MAX(0,MIN(1,($W$7-N92)/($W$7-$V$7)))+$U$8*IF(AND(O92&gt;=$V$8,O92&lt;=$W$8),1,0))/$U$9*100,2)</f>
        <v>96.31</v>
      </c>
      <c r="C92" s="27" t="s">
        <v>2569</v>
      </c>
      <c r="D92" s="25" t="s">
        <v>134</v>
      </c>
      <c r="E92" s="25" t="s">
        <v>3447</v>
      </c>
      <c r="F92" s="25" t="s">
        <v>3457</v>
      </c>
      <c r="G92" s="33" t="s">
        <v>28</v>
      </c>
      <c r="H92" s="33" t="s">
        <v>24</v>
      </c>
      <c r="I92" s="25" t="n">
        <v>0</v>
      </c>
      <c r="J92" s="25" t="n">
        <v>0</v>
      </c>
      <c r="K92" s="25" t="n">
        <v>0</v>
      </c>
      <c r="L92" s="29" t="n">
        <v>0.78</v>
      </c>
      <c r="M92" s="30" t="n">
        <v>6.56</v>
      </c>
      <c r="N92" s="29" t="n">
        <v>0.84</v>
      </c>
      <c r="O92" s="25" t="n">
        <v>187</v>
      </c>
      <c r="P92" s="30" t="n">
        <v>0.39</v>
      </c>
      <c r="Q92" s="27"/>
      <c r="R92" s="27"/>
    </row>
    <row r="93" customFormat="false" ht="15" hidden="false" customHeight="false" outlineLevel="0" collapsed="false">
      <c r="A93" s="25" t="n">
        <f aca="false">IF(G93="REJECT",COUNTIF($G$2:$G$2277,"&lt;&gt;REJECT")+1+COUNTIFS($G$2:$G$2277,"REJECT",$B$2:$B$2277,"&gt;"&amp;B93),1+COUNTIFS($G$2:$G$2277,"&lt;&gt;REJECT",$B$2:$B$2277,"&gt;"&amp;B93))</f>
        <v>92</v>
      </c>
      <c r="B93" s="26" t="n">
        <f aca="false">ROUND(($U$2*MAX(0,MIN(1,($W$2-I93)/($W$2-$V$2)))+$U$3*MAX(0,MIN(1,($W$3-J93)/($W$3-$V$3)))+$U$4*MAX(0,MIN(1,($W$4-K93)/($W$4-$V$4)))+$U$5*MAX(0,MIN(1,($W$5-L93)/($W$5-$V$5)))+$U$6*MAX(0,MIN(1,($W$6-M93)/($W$6-$V$6)))+$U$7*MAX(0,MIN(1,($W$7-N93)/($W$7-$V$7)))+$U$8*IF(AND(O93&gt;=$V$8,O93&lt;=$W$8),1,0))/$U$9*100,2)</f>
        <v>96.3</v>
      </c>
      <c r="C93" s="27" t="s">
        <v>1103</v>
      </c>
      <c r="D93" s="25" t="s">
        <v>134</v>
      </c>
      <c r="E93" s="25" t="s">
        <v>3450</v>
      </c>
      <c r="F93" s="25" t="s">
        <v>3448</v>
      </c>
      <c r="G93" s="28" t="s">
        <v>29</v>
      </c>
      <c r="H93" s="28" t="s">
        <v>25</v>
      </c>
      <c r="I93" s="25" t="n">
        <v>0</v>
      </c>
      <c r="J93" s="25" t="n">
        <v>0</v>
      </c>
      <c r="K93" s="25" t="n">
        <v>0</v>
      </c>
      <c r="L93" s="29" t="n">
        <v>0.77</v>
      </c>
      <c r="M93" s="30" t="n">
        <v>5.42</v>
      </c>
      <c r="N93" s="29" t="n">
        <v>0.6</v>
      </c>
      <c r="O93" s="25" t="n">
        <v>196</v>
      </c>
      <c r="P93" s="30" t="n">
        <v>-0.52</v>
      </c>
      <c r="Q93" s="27"/>
      <c r="R93" s="27" t="s">
        <v>62</v>
      </c>
    </row>
    <row r="94" customFormat="false" ht="15" hidden="false" customHeight="false" outlineLevel="0" collapsed="false">
      <c r="A94" s="25" t="n">
        <f aca="false">IF(G94="REJECT",COUNTIF($G$2:$G$2277,"&lt;&gt;REJECT")+1+COUNTIFS($G$2:$G$2277,"REJECT",$B$2:$B$2277,"&gt;"&amp;B94),1+COUNTIFS($G$2:$G$2277,"&lt;&gt;REJECT",$B$2:$B$2277,"&gt;"&amp;B94))</f>
        <v>93</v>
      </c>
      <c r="B94" s="26" t="n">
        <f aca="false">ROUND(($U$2*MAX(0,MIN(1,($W$2-I94)/($W$2-$V$2)))+$U$3*MAX(0,MIN(1,($W$3-J94)/($W$3-$V$3)))+$U$4*MAX(0,MIN(1,($W$4-K94)/($W$4-$V$4)))+$U$5*MAX(0,MIN(1,($W$5-L94)/($W$5-$V$5)))+$U$6*MAX(0,MIN(1,($W$6-M94)/($W$6-$V$6)))+$U$7*MAX(0,MIN(1,($W$7-N94)/($W$7-$V$7)))+$U$8*IF(AND(O94&gt;=$V$8,O94&lt;=$W$8),1,0))/$U$9*100,2)</f>
        <v>96.28</v>
      </c>
      <c r="C94" s="27" t="s">
        <v>227</v>
      </c>
      <c r="D94" s="25" t="s">
        <v>134</v>
      </c>
      <c r="E94" s="25" t="s">
        <v>3450</v>
      </c>
      <c r="F94" s="25" t="s">
        <v>3448</v>
      </c>
      <c r="G94" s="28" t="s">
        <v>29</v>
      </c>
      <c r="H94" s="28" t="s">
        <v>25</v>
      </c>
      <c r="I94" s="25" t="n">
        <v>0</v>
      </c>
      <c r="J94" s="25" t="n">
        <v>0</v>
      </c>
      <c r="K94" s="25" t="n">
        <v>0</v>
      </c>
      <c r="L94" s="29" t="n">
        <v>0.78</v>
      </c>
      <c r="M94" s="30" t="n">
        <v>10.3</v>
      </c>
      <c r="N94" s="29" t="n">
        <v>0.48</v>
      </c>
      <c r="O94" s="25" t="n">
        <v>192</v>
      </c>
      <c r="P94" s="30" t="n">
        <v>3</v>
      </c>
      <c r="Q94" s="27"/>
      <c r="R94" s="27" t="s">
        <v>3466</v>
      </c>
    </row>
    <row r="95" customFormat="false" ht="15" hidden="false" customHeight="false" outlineLevel="0" collapsed="false">
      <c r="A95" s="25" t="n">
        <f aca="false">IF(G95="REJECT",COUNTIF($G$2:$G$2277,"&lt;&gt;REJECT")+1+COUNTIFS($G$2:$G$2277,"REJECT",$B$2:$B$2277,"&gt;"&amp;B95),1+COUNTIFS($G$2:$G$2277,"&lt;&gt;REJECT",$B$2:$B$2277,"&gt;"&amp;B95))</f>
        <v>94</v>
      </c>
      <c r="B95" s="26" t="n">
        <f aca="false">ROUND(($U$2*MAX(0,MIN(1,($W$2-I95)/($W$2-$V$2)))+$U$3*MAX(0,MIN(1,($W$3-J95)/($W$3-$V$3)))+$U$4*MAX(0,MIN(1,($W$4-K95)/($W$4-$V$4)))+$U$5*MAX(0,MIN(1,($W$5-L95)/($W$5-$V$5)))+$U$6*MAX(0,MIN(1,($W$6-M95)/($W$6-$V$6)))+$U$7*MAX(0,MIN(1,($W$7-N95)/($W$7-$V$7)))+$U$8*IF(AND(O95&gt;=$V$8,O95&lt;=$W$8),1,0))/$U$9*100,2)</f>
        <v>96.25</v>
      </c>
      <c r="C95" s="27" t="s">
        <v>1156</v>
      </c>
      <c r="D95" s="25" t="s">
        <v>134</v>
      </c>
      <c r="E95" s="25" t="s">
        <v>3447</v>
      </c>
      <c r="F95" s="25" t="s">
        <v>3448</v>
      </c>
      <c r="G95" s="28" t="s">
        <v>29</v>
      </c>
      <c r="H95" s="28" t="s">
        <v>25</v>
      </c>
      <c r="I95" s="25" t="n">
        <v>0</v>
      </c>
      <c r="J95" s="25" t="n">
        <v>0</v>
      </c>
      <c r="K95" s="25" t="n">
        <v>0</v>
      </c>
      <c r="L95" s="29" t="n">
        <v>0.8</v>
      </c>
      <c r="M95" s="30" t="n">
        <v>18.1</v>
      </c>
      <c r="N95" s="29" t="n">
        <v>0.44</v>
      </c>
      <c r="O95" s="25" t="n">
        <v>186</v>
      </c>
      <c r="P95" s="30" t="n">
        <v>-0.79</v>
      </c>
      <c r="Q95" s="27"/>
      <c r="R95" s="27" t="s">
        <v>63</v>
      </c>
    </row>
    <row r="96" customFormat="false" ht="15" hidden="false" customHeight="false" outlineLevel="0" collapsed="false">
      <c r="A96" s="25" t="n">
        <f aca="false">IF(G96="REJECT",COUNTIF($G$2:$G$2277,"&lt;&gt;REJECT")+1+COUNTIFS($G$2:$G$2277,"REJECT",$B$2:$B$2277,"&gt;"&amp;B96),1+COUNTIFS($G$2:$G$2277,"&lt;&gt;REJECT",$B$2:$B$2277,"&gt;"&amp;B96))</f>
        <v>94</v>
      </c>
      <c r="B96" s="26" t="n">
        <f aca="false">ROUND(($U$2*MAX(0,MIN(1,($W$2-I96)/($W$2-$V$2)))+$U$3*MAX(0,MIN(1,($W$3-J96)/($W$3-$V$3)))+$U$4*MAX(0,MIN(1,($W$4-K96)/($W$4-$V$4)))+$U$5*MAX(0,MIN(1,($W$5-L96)/($W$5-$V$5)))+$U$6*MAX(0,MIN(1,($W$6-M96)/($W$6-$V$6)))+$U$7*MAX(0,MIN(1,($W$7-N96)/($W$7-$V$7)))+$U$8*IF(AND(O96&gt;=$V$8,O96&lt;=$W$8),1,0))/$U$9*100,2)</f>
        <v>96.25</v>
      </c>
      <c r="C96" s="27" t="s">
        <v>3029</v>
      </c>
      <c r="D96" s="25" t="s">
        <v>134</v>
      </c>
      <c r="E96" s="25" t="s">
        <v>3450</v>
      </c>
      <c r="F96" s="25" t="s">
        <v>3448</v>
      </c>
      <c r="G96" s="28" t="s">
        <v>29</v>
      </c>
      <c r="H96" s="28" t="s">
        <v>25</v>
      </c>
      <c r="I96" s="25" t="n">
        <v>0</v>
      </c>
      <c r="J96" s="25" t="n">
        <v>0</v>
      </c>
      <c r="K96" s="25" t="n">
        <v>0</v>
      </c>
      <c r="L96" s="29" t="n">
        <v>0.8</v>
      </c>
      <c r="M96" s="30" t="n">
        <v>22.51</v>
      </c>
      <c r="N96" s="29" t="n">
        <v>0</v>
      </c>
      <c r="O96" s="25" t="n">
        <v>189</v>
      </c>
      <c r="P96" s="30" t="n">
        <v>11.36</v>
      </c>
      <c r="Q96" s="27"/>
      <c r="R96" s="27" t="s">
        <v>61</v>
      </c>
    </row>
    <row r="97" customFormat="false" ht="15" hidden="false" customHeight="false" outlineLevel="0" collapsed="false">
      <c r="A97" s="25" t="n">
        <f aca="false">IF(G97="REJECT",COUNTIF($G$2:$G$2277,"&lt;&gt;REJECT")+1+COUNTIFS($G$2:$G$2277,"REJECT",$B$2:$B$2277,"&gt;"&amp;B97),1+COUNTIFS($G$2:$G$2277,"&lt;&gt;REJECT",$B$2:$B$2277,"&gt;"&amp;B97))</f>
        <v>96</v>
      </c>
      <c r="B97" s="26" t="n">
        <f aca="false">ROUND(($U$2*MAX(0,MIN(1,($W$2-I97)/($W$2-$V$2)))+$U$3*MAX(0,MIN(1,($W$3-J97)/($W$3-$V$3)))+$U$4*MAX(0,MIN(1,($W$4-K97)/($W$4-$V$4)))+$U$5*MAX(0,MIN(1,($W$5-L97)/($W$5-$V$5)))+$U$6*MAX(0,MIN(1,($W$6-M97)/($W$6-$V$6)))+$U$7*MAX(0,MIN(1,($W$7-N97)/($W$7-$V$7)))+$U$8*IF(AND(O97&gt;=$V$8,O97&lt;=$W$8),1,0))/$U$9*100,2)</f>
        <v>96.22</v>
      </c>
      <c r="C97" s="27" t="s">
        <v>2465</v>
      </c>
      <c r="D97" s="25" t="s">
        <v>3459</v>
      </c>
      <c r="E97" s="25" t="s">
        <v>3447</v>
      </c>
      <c r="F97" s="25" t="s">
        <v>3457</v>
      </c>
      <c r="G97" s="33" t="s">
        <v>28</v>
      </c>
      <c r="H97" s="33" t="s">
        <v>24</v>
      </c>
      <c r="I97" s="25" t="n">
        <v>0</v>
      </c>
      <c r="J97" s="25" t="n">
        <v>0</v>
      </c>
      <c r="K97" s="25" t="n">
        <v>0</v>
      </c>
      <c r="L97" s="29" t="n">
        <v>0.84</v>
      </c>
      <c r="M97" s="30" t="n">
        <v>17.9</v>
      </c>
      <c r="N97" s="29" t="n">
        <v>0.48</v>
      </c>
      <c r="O97" s="25" t="n">
        <v>184</v>
      </c>
      <c r="P97" s="30" t="n">
        <v>3.79</v>
      </c>
      <c r="Q97" s="27"/>
      <c r="R97" s="27"/>
    </row>
    <row r="98" customFormat="false" ht="15" hidden="false" customHeight="false" outlineLevel="0" collapsed="false">
      <c r="A98" s="25" t="n">
        <f aca="false">IF(G98="REJECT",COUNTIF($G$2:$G$2277,"&lt;&gt;REJECT")+1+COUNTIFS($G$2:$G$2277,"REJECT",$B$2:$B$2277,"&gt;"&amp;B98),1+COUNTIFS($G$2:$G$2277,"&lt;&gt;REJECT",$B$2:$B$2277,"&gt;"&amp;B98))</f>
        <v>97</v>
      </c>
      <c r="B98" s="26" t="n">
        <f aca="false">ROUND(($U$2*MAX(0,MIN(1,($W$2-I98)/($W$2-$V$2)))+$U$3*MAX(0,MIN(1,($W$3-J98)/($W$3-$V$3)))+$U$4*MAX(0,MIN(1,($W$4-K98)/($W$4-$V$4)))+$U$5*MAX(0,MIN(1,($W$5-L98)/($W$5-$V$5)))+$U$6*MAX(0,MIN(1,($W$6-M98)/($W$6-$V$6)))+$U$7*MAX(0,MIN(1,($W$7-N98)/($W$7-$V$7)))+$U$8*IF(AND(O98&gt;=$V$8,O98&lt;=$W$8),1,0))/$U$9*100,2)</f>
        <v>96.21</v>
      </c>
      <c r="C98" s="27" t="s">
        <v>1043</v>
      </c>
      <c r="D98" s="25" t="s">
        <v>3459</v>
      </c>
      <c r="E98" s="25" t="s">
        <v>3450</v>
      </c>
      <c r="F98" s="25" t="s">
        <v>3457</v>
      </c>
      <c r="G98" s="33" t="s">
        <v>28</v>
      </c>
      <c r="H98" s="33" t="s">
        <v>24</v>
      </c>
      <c r="I98" s="25" t="n">
        <v>0</v>
      </c>
      <c r="J98" s="25" t="n">
        <v>0</v>
      </c>
      <c r="K98" s="25" t="n">
        <v>0</v>
      </c>
      <c r="L98" s="29" t="n">
        <v>0.79</v>
      </c>
      <c r="M98" s="30" t="n">
        <v>19.12</v>
      </c>
      <c r="N98" s="29" t="n">
        <v>0</v>
      </c>
      <c r="O98" s="25" t="n">
        <v>187</v>
      </c>
      <c r="P98" s="30" t="n">
        <v>3.62</v>
      </c>
      <c r="Q98" s="27"/>
      <c r="R98" s="27"/>
    </row>
    <row r="99" customFormat="false" ht="15" hidden="false" customHeight="false" outlineLevel="0" collapsed="false">
      <c r="A99" s="25" t="n">
        <f aca="false">IF(G99="REJECT",COUNTIF($G$2:$G$2277,"&lt;&gt;REJECT")+1+COUNTIFS($G$2:$G$2277,"REJECT",$B$2:$B$2277,"&gt;"&amp;B99),1+COUNTIFS($G$2:$G$2277,"&lt;&gt;REJECT",$B$2:$B$2277,"&gt;"&amp;B99))</f>
        <v>98</v>
      </c>
      <c r="B99" s="26" t="n">
        <f aca="false">ROUND(($U$2*MAX(0,MIN(1,($W$2-I99)/($W$2-$V$2)))+$U$3*MAX(0,MIN(1,($W$3-J99)/($W$3-$V$3)))+$U$4*MAX(0,MIN(1,($W$4-K99)/($W$4-$V$4)))+$U$5*MAX(0,MIN(1,($W$5-L99)/($W$5-$V$5)))+$U$6*MAX(0,MIN(1,($W$6-M99)/($W$6-$V$6)))+$U$7*MAX(0,MIN(1,($W$7-N99)/($W$7-$V$7)))+$U$8*IF(AND(O99&gt;=$V$8,O99&lt;=$W$8),1,0))/$U$9*100,2)</f>
        <v>96.18</v>
      </c>
      <c r="C99" s="27" t="s">
        <v>2413</v>
      </c>
      <c r="D99" s="25" t="s">
        <v>134</v>
      </c>
      <c r="E99" s="25" t="s">
        <v>3447</v>
      </c>
      <c r="F99" s="25" t="s">
        <v>3457</v>
      </c>
      <c r="G99" s="33" t="s">
        <v>28</v>
      </c>
      <c r="H99" s="33" t="s">
        <v>24</v>
      </c>
      <c r="I99" s="25" t="n">
        <v>0</v>
      </c>
      <c r="J99" s="25" t="n">
        <v>0</v>
      </c>
      <c r="K99" s="25" t="n">
        <v>0</v>
      </c>
      <c r="L99" s="29" t="n">
        <v>0.79</v>
      </c>
      <c r="M99" s="30" t="n">
        <v>9.71</v>
      </c>
      <c r="N99" s="29" t="n">
        <v>0.96</v>
      </c>
      <c r="O99" s="25" t="n">
        <v>183</v>
      </c>
      <c r="P99" s="30" t="n">
        <v>-0.93</v>
      </c>
      <c r="Q99" s="27"/>
      <c r="R99" s="27"/>
    </row>
    <row r="100" customFormat="false" ht="15" hidden="false" customHeight="false" outlineLevel="0" collapsed="false">
      <c r="A100" s="25" t="n">
        <f aca="false">IF(G100="REJECT",COUNTIF($G$2:$G$2277,"&lt;&gt;REJECT")+1+COUNTIFS($G$2:$G$2277,"REJECT",$B$2:$B$2277,"&gt;"&amp;B100),1+COUNTIFS($G$2:$G$2277,"&lt;&gt;REJECT",$B$2:$B$2277,"&gt;"&amp;B100))</f>
        <v>99</v>
      </c>
      <c r="B100" s="26" t="n">
        <f aca="false">ROUND(($U$2*MAX(0,MIN(1,($W$2-I100)/($W$2-$V$2)))+$U$3*MAX(0,MIN(1,($W$3-J100)/($W$3-$V$3)))+$U$4*MAX(0,MIN(1,($W$4-K100)/($W$4-$V$4)))+$U$5*MAX(0,MIN(1,($W$5-L100)/($W$5-$V$5)))+$U$6*MAX(0,MIN(1,($W$6-M100)/($W$6-$V$6)))+$U$7*MAX(0,MIN(1,($W$7-N100)/($W$7-$V$7)))+$U$8*IF(AND(O100&gt;=$V$8,O100&lt;=$W$8),1,0))/$U$9*100,2)</f>
        <v>96.17</v>
      </c>
      <c r="C100" s="27" t="s">
        <v>354</v>
      </c>
      <c r="D100" s="25" t="s">
        <v>134</v>
      </c>
      <c r="E100" s="25" t="s">
        <v>3450</v>
      </c>
      <c r="F100" s="25" t="s">
        <v>3448</v>
      </c>
      <c r="G100" s="28" t="s">
        <v>29</v>
      </c>
      <c r="H100" s="28" t="s">
        <v>25</v>
      </c>
      <c r="I100" s="25" t="n">
        <v>0</v>
      </c>
      <c r="J100" s="25" t="n">
        <v>0</v>
      </c>
      <c r="K100" s="25" t="n">
        <v>0</v>
      </c>
      <c r="L100" s="29" t="n">
        <v>0.78</v>
      </c>
      <c r="M100" s="30" t="n">
        <v>7.8</v>
      </c>
      <c r="N100" s="29" t="n">
        <v>0.8</v>
      </c>
      <c r="O100" s="25" t="n">
        <v>183</v>
      </c>
      <c r="P100" s="30" t="n">
        <v>0.14</v>
      </c>
      <c r="Q100" s="27"/>
      <c r="R100" s="27" t="s">
        <v>3466</v>
      </c>
    </row>
    <row r="101" customFormat="false" ht="15" hidden="false" customHeight="false" outlineLevel="0" collapsed="false">
      <c r="A101" s="25" t="n">
        <f aca="false">IF(G101="REJECT",COUNTIF($G$2:$G$2277,"&lt;&gt;REJECT")+1+COUNTIFS($G$2:$G$2277,"REJECT",$B$2:$B$2277,"&gt;"&amp;B101),1+COUNTIFS($G$2:$G$2277,"&lt;&gt;REJECT",$B$2:$B$2277,"&gt;"&amp;B101))</f>
        <v>100</v>
      </c>
      <c r="B101" s="26" t="n">
        <f aca="false">ROUND(($U$2*MAX(0,MIN(1,($W$2-I101)/($W$2-$V$2)))+$U$3*MAX(0,MIN(1,($W$3-J101)/($W$3-$V$3)))+$U$4*MAX(0,MIN(1,($W$4-K101)/($W$4-$V$4)))+$U$5*MAX(0,MIN(1,($W$5-L101)/($W$5-$V$5)))+$U$6*MAX(0,MIN(1,($W$6-M101)/($W$6-$V$6)))+$U$7*MAX(0,MIN(1,($W$7-N101)/($W$7-$V$7)))+$U$8*IF(AND(O101&gt;=$V$8,O101&lt;=$W$8),1,0))/$U$9*100,2)</f>
        <v>96.16</v>
      </c>
      <c r="C101" s="27" t="s">
        <v>2965</v>
      </c>
      <c r="D101" s="25" t="s">
        <v>3459</v>
      </c>
      <c r="E101" s="25" t="s">
        <v>3447</v>
      </c>
      <c r="F101" s="25" t="s">
        <v>3457</v>
      </c>
      <c r="G101" s="33" t="s">
        <v>28</v>
      </c>
      <c r="H101" s="33" t="s">
        <v>24</v>
      </c>
      <c r="I101" s="25" t="n">
        <v>0</v>
      </c>
      <c r="J101" s="25" t="n">
        <v>0</v>
      </c>
      <c r="K101" s="25" t="n">
        <v>0</v>
      </c>
      <c r="L101" s="29" t="n">
        <v>0.8</v>
      </c>
      <c r="M101" s="30" t="n">
        <v>19.84</v>
      </c>
      <c r="N101" s="29" t="n">
        <v>0.32</v>
      </c>
      <c r="O101" s="25" t="n">
        <v>219</v>
      </c>
      <c r="P101" s="30" t="n">
        <v>5.46</v>
      </c>
      <c r="Q101" s="27"/>
      <c r="R101" s="27"/>
    </row>
    <row r="102" customFormat="false" ht="15" hidden="false" customHeight="false" outlineLevel="0" collapsed="false">
      <c r="A102" s="25" t="n">
        <f aca="false">IF(G102="REJECT",COUNTIF($G$2:$G$2277,"&lt;&gt;REJECT")+1+COUNTIFS($G$2:$G$2277,"REJECT",$B$2:$B$2277,"&gt;"&amp;B102),1+COUNTIFS($G$2:$G$2277,"&lt;&gt;REJECT",$B$2:$B$2277,"&gt;"&amp;B102))</f>
        <v>101</v>
      </c>
      <c r="B102" s="26" t="n">
        <f aca="false">ROUND(($U$2*MAX(0,MIN(1,($W$2-I102)/($W$2-$V$2)))+$U$3*MAX(0,MIN(1,($W$3-J102)/($W$3-$V$3)))+$U$4*MAX(0,MIN(1,($W$4-K102)/($W$4-$V$4)))+$U$5*MAX(0,MIN(1,($W$5-L102)/($W$5-$V$5)))+$U$6*MAX(0,MIN(1,($W$6-M102)/($W$6-$V$6)))+$U$7*MAX(0,MIN(1,($W$7-N102)/($W$7-$V$7)))+$U$8*IF(AND(O102&gt;=$V$8,O102&lt;=$W$8),1,0))/$U$9*100,2)</f>
        <v>96.15</v>
      </c>
      <c r="C102" s="27" t="s">
        <v>2001</v>
      </c>
      <c r="D102" s="25" t="s">
        <v>3459</v>
      </c>
      <c r="E102" s="25" t="s">
        <v>3447</v>
      </c>
      <c r="F102" s="25" t="s">
        <v>3457</v>
      </c>
      <c r="G102" s="28" t="s">
        <v>29</v>
      </c>
      <c r="H102" s="28" t="s">
        <v>25</v>
      </c>
      <c r="I102" s="25" t="n">
        <v>0</v>
      </c>
      <c r="J102" s="25" t="n">
        <v>0</v>
      </c>
      <c r="K102" s="25" t="n">
        <v>0</v>
      </c>
      <c r="L102" s="29" t="n">
        <v>0.83</v>
      </c>
      <c r="M102" s="30" t="n">
        <v>21.1</v>
      </c>
      <c r="N102" s="29" t="n">
        <v>0.2</v>
      </c>
      <c r="O102" s="25" t="n">
        <v>184</v>
      </c>
      <c r="P102" s="30" t="n">
        <v>2.06</v>
      </c>
      <c r="Q102" s="27"/>
      <c r="R102" s="27" t="s">
        <v>3470</v>
      </c>
    </row>
    <row r="103" customFormat="false" ht="15" hidden="false" customHeight="false" outlineLevel="0" collapsed="false">
      <c r="A103" s="25" t="n">
        <f aca="false">IF(G103="REJECT",COUNTIF($G$2:$G$2277,"&lt;&gt;REJECT")+1+COUNTIFS($G$2:$G$2277,"REJECT",$B$2:$B$2277,"&gt;"&amp;B103),1+COUNTIFS($G$2:$G$2277,"&lt;&gt;REJECT",$B$2:$B$2277,"&gt;"&amp;B103))</f>
        <v>102</v>
      </c>
      <c r="B103" s="26" t="n">
        <f aca="false">ROUND(($U$2*MAX(0,MIN(1,($W$2-I103)/($W$2-$V$2)))+$U$3*MAX(0,MIN(1,($W$3-J103)/($W$3-$V$3)))+$U$4*MAX(0,MIN(1,($W$4-K103)/($W$4-$V$4)))+$U$5*MAX(0,MIN(1,($W$5-L103)/($W$5-$V$5)))+$U$6*MAX(0,MIN(1,($W$6-M103)/($W$6-$V$6)))+$U$7*MAX(0,MIN(1,($W$7-N103)/($W$7-$V$7)))+$U$8*IF(AND(O103&gt;=$V$8,O103&lt;=$W$8),1,0))/$U$9*100,2)</f>
        <v>96.08</v>
      </c>
      <c r="C103" s="27" t="s">
        <v>2648</v>
      </c>
      <c r="D103" s="25" t="s">
        <v>134</v>
      </c>
      <c r="E103" s="25" t="s">
        <v>3447</v>
      </c>
      <c r="F103" s="25" t="s">
        <v>3448</v>
      </c>
      <c r="G103" s="33" t="s">
        <v>28</v>
      </c>
      <c r="H103" s="33" t="s">
        <v>24</v>
      </c>
      <c r="I103" s="25" t="n">
        <v>0</v>
      </c>
      <c r="J103" s="25" t="n">
        <v>0</v>
      </c>
      <c r="K103" s="25" t="n">
        <v>0</v>
      </c>
      <c r="L103" s="29" t="n">
        <v>0.79</v>
      </c>
      <c r="M103" s="30" t="n">
        <v>18.34</v>
      </c>
      <c r="N103" s="29" t="n">
        <v>0.16</v>
      </c>
      <c r="O103" s="25" t="n">
        <v>189</v>
      </c>
      <c r="P103" s="30" t="n">
        <v>3.94</v>
      </c>
      <c r="Q103" s="27"/>
      <c r="R103" s="27"/>
    </row>
    <row r="104" customFormat="false" ht="15" hidden="false" customHeight="false" outlineLevel="0" collapsed="false">
      <c r="A104" s="25" t="n">
        <f aca="false">IF(G104="REJECT",COUNTIF($G$2:$G$2277,"&lt;&gt;REJECT")+1+COUNTIFS($G$2:$G$2277,"REJECT",$B$2:$B$2277,"&gt;"&amp;B104),1+COUNTIFS($G$2:$G$2277,"&lt;&gt;REJECT",$B$2:$B$2277,"&gt;"&amp;B104))</f>
        <v>103</v>
      </c>
      <c r="B104" s="26" t="n">
        <f aca="false">ROUND(($U$2*MAX(0,MIN(1,($W$2-I104)/($W$2-$V$2)))+$U$3*MAX(0,MIN(1,($W$3-J104)/($W$3-$V$3)))+$U$4*MAX(0,MIN(1,($W$4-K104)/($W$4-$V$4)))+$U$5*MAX(0,MIN(1,($W$5-L104)/($W$5-$V$5)))+$U$6*MAX(0,MIN(1,($W$6-M104)/($W$6-$V$6)))+$U$7*MAX(0,MIN(1,($W$7-N104)/($W$7-$V$7)))+$U$8*IF(AND(O104&gt;=$V$8,O104&lt;=$W$8),1,0))/$U$9*100,2)</f>
        <v>96.07</v>
      </c>
      <c r="C104" s="27" t="s">
        <v>1137</v>
      </c>
      <c r="D104" s="25" t="s">
        <v>134</v>
      </c>
      <c r="E104" s="25" t="s">
        <v>3447</v>
      </c>
      <c r="F104" s="25" t="s">
        <v>3448</v>
      </c>
      <c r="G104" s="33" t="s">
        <v>28</v>
      </c>
      <c r="H104" s="33" t="s">
        <v>24</v>
      </c>
      <c r="I104" s="25" t="n">
        <v>0</v>
      </c>
      <c r="J104" s="25" t="n">
        <v>0</v>
      </c>
      <c r="K104" s="25" t="n">
        <v>0</v>
      </c>
      <c r="L104" s="29" t="n">
        <v>0.78</v>
      </c>
      <c r="M104" s="30" t="n">
        <v>16.37</v>
      </c>
      <c r="N104" s="29" t="n">
        <v>0</v>
      </c>
      <c r="O104" s="25" t="n">
        <v>189</v>
      </c>
      <c r="P104" s="30" t="n">
        <v>6.39</v>
      </c>
      <c r="Q104" s="27"/>
      <c r="R104" s="27"/>
    </row>
    <row r="105" customFormat="false" ht="15" hidden="false" customHeight="false" outlineLevel="0" collapsed="false">
      <c r="A105" s="25" t="n">
        <f aca="false">IF(G105="REJECT",COUNTIF($G$2:$G$2277,"&lt;&gt;REJECT")+1+COUNTIFS($G$2:$G$2277,"REJECT",$B$2:$B$2277,"&gt;"&amp;B105),1+COUNTIFS($G$2:$G$2277,"&lt;&gt;REJECT",$B$2:$B$2277,"&gt;"&amp;B105))</f>
        <v>104</v>
      </c>
      <c r="B105" s="26" t="n">
        <f aca="false">ROUND(($U$2*MAX(0,MIN(1,($W$2-I105)/($W$2-$V$2)))+$U$3*MAX(0,MIN(1,($W$3-J105)/($W$3-$V$3)))+$U$4*MAX(0,MIN(1,($W$4-K105)/($W$4-$V$4)))+$U$5*MAX(0,MIN(1,($W$5-L105)/($W$5-$V$5)))+$U$6*MAX(0,MIN(1,($W$6-M105)/($W$6-$V$6)))+$U$7*MAX(0,MIN(1,($W$7-N105)/($W$7-$V$7)))+$U$8*IF(AND(O105&gt;=$V$8,O105&lt;=$W$8),1,0))/$U$9*100,2)</f>
        <v>95.98</v>
      </c>
      <c r="C105" s="27" t="s">
        <v>1608</v>
      </c>
      <c r="D105" s="25" t="s">
        <v>3459</v>
      </c>
      <c r="E105" s="25" t="s">
        <v>3447</v>
      </c>
      <c r="F105" s="25" t="s">
        <v>3457</v>
      </c>
      <c r="G105" s="33" t="s">
        <v>28</v>
      </c>
      <c r="H105" s="33" t="s">
        <v>24</v>
      </c>
      <c r="I105" s="25" t="n">
        <v>0</v>
      </c>
      <c r="J105" s="25" t="n">
        <v>0</v>
      </c>
      <c r="K105" s="25" t="n">
        <v>0</v>
      </c>
      <c r="L105" s="29" t="n">
        <v>0.81</v>
      </c>
      <c r="M105" s="30" t="n">
        <v>17.3</v>
      </c>
      <c r="N105" s="29" t="n">
        <v>0.68</v>
      </c>
      <c r="O105" s="25" t="n">
        <v>184</v>
      </c>
      <c r="P105" s="30" t="n">
        <v>-0.1</v>
      </c>
      <c r="Q105" s="27"/>
      <c r="R105" s="27"/>
    </row>
    <row r="106" customFormat="false" ht="15" hidden="false" customHeight="false" outlineLevel="0" collapsed="false">
      <c r="A106" s="25" t="n">
        <f aca="false">IF(G106="REJECT",COUNTIF($G$2:$G$2277,"&lt;&gt;REJECT")+1+COUNTIFS($G$2:$G$2277,"REJECT",$B$2:$B$2277,"&gt;"&amp;B106),1+COUNTIFS($G$2:$G$2277,"&lt;&gt;REJECT",$B$2:$B$2277,"&gt;"&amp;B106))</f>
        <v>105</v>
      </c>
      <c r="B106" s="26" t="n">
        <f aca="false">ROUND(($U$2*MAX(0,MIN(1,($W$2-I106)/($W$2-$V$2)))+$U$3*MAX(0,MIN(1,($W$3-J106)/($W$3-$V$3)))+$U$4*MAX(0,MIN(1,($W$4-K106)/($W$4-$V$4)))+$U$5*MAX(0,MIN(1,($W$5-L106)/($W$5-$V$5)))+$U$6*MAX(0,MIN(1,($W$6-M106)/($W$6-$V$6)))+$U$7*MAX(0,MIN(1,($W$7-N106)/($W$7-$V$7)))+$U$8*IF(AND(O106&gt;=$V$8,O106&lt;=$W$8),1,0))/$U$9*100,2)</f>
        <v>95.95</v>
      </c>
      <c r="C106" s="27" t="s">
        <v>2001</v>
      </c>
      <c r="D106" s="25" t="s">
        <v>3459</v>
      </c>
      <c r="E106" s="25" t="s">
        <v>3447</v>
      </c>
      <c r="F106" s="25" t="s">
        <v>3448</v>
      </c>
      <c r="G106" s="28" t="s">
        <v>29</v>
      </c>
      <c r="H106" s="28" t="s">
        <v>25</v>
      </c>
      <c r="I106" s="25" t="n">
        <v>0</v>
      </c>
      <c r="J106" s="25" t="n">
        <v>0</v>
      </c>
      <c r="K106" s="25" t="n">
        <v>0</v>
      </c>
      <c r="L106" s="29" t="n">
        <v>0.87</v>
      </c>
      <c r="M106" s="30" t="n">
        <v>21.89</v>
      </c>
      <c r="N106" s="29" t="n">
        <v>0.24</v>
      </c>
      <c r="O106" s="25" t="n">
        <v>184</v>
      </c>
      <c r="P106" s="30" t="n">
        <v>-0.95</v>
      </c>
      <c r="Q106" s="27"/>
      <c r="R106" s="27" t="s">
        <v>3470</v>
      </c>
    </row>
    <row r="107" customFormat="false" ht="15" hidden="false" customHeight="false" outlineLevel="0" collapsed="false">
      <c r="A107" s="25" t="n">
        <f aca="false">IF(G107="REJECT",COUNTIF($G$2:$G$2277,"&lt;&gt;REJECT")+1+COUNTIFS($G$2:$G$2277,"REJECT",$B$2:$B$2277,"&gt;"&amp;B107),1+COUNTIFS($G$2:$G$2277,"&lt;&gt;REJECT",$B$2:$B$2277,"&gt;"&amp;B107))</f>
        <v>106</v>
      </c>
      <c r="B107" s="26" t="n">
        <f aca="false">ROUND(($U$2*MAX(0,MIN(1,($W$2-I107)/($W$2-$V$2)))+$U$3*MAX(0,MIN(1,($W$3-J107)/($W$3-$V$3)))+$U$4*MAX(0,MIN(1,($W$4-K107)/($W$4-$V$4)))+$U$5*MAX(0,MIN(1,($W$5-L107)/($W$5-$V$5)))+$U$6*MAX(0,MIN(1,($W$6-M107)/($W$6-$V$6)))+$U$7*MAX(0,MIN(1,($W$7-N107)/($W$7-$V$7)))+$U$8*IF(AND(O107&gt;=$V$8,O107&lt;=$W$8),1,0))/$U$9*100,2)</f>
        <v>95.94</v>
      </c>
      <c r="C107" s="27" t="s">
        <v>418</v>
      </c>
      <c r="D107" s="25" t="s">
        <v>134</v>
      </c>
      <c r="E107" s="25" t="s">
        <v>3447</v>
      </c>
      <c r="F107" s="25" t="s">
        <v>3448</v>
      </c>
      <c r="G107" s="28" t="s">
        <v>29</v>
      </c>
      <c r="H107" s="28" t="s">
        <v>25</v>
      </c>
      <c r="I107" s="25" t="n">
        <v>0</v>
      </c>
      <c r="J107" s="25" t="n">
        <v>0</v>
      </c>
      <c r="K107" s="25" t="n">
        <v>0</v>
      </c>
      <c r="L107" s="29" t="n">
        <v>0.79</v>
      </c>
      <c r="M107" s="30" t="n">
        <v>11.54</v>
      </c>
      <c r="N107" s="29" t="n">
        <v>0.92</v>
      </c>
      <c r="O107" s="25" t="n">
        <v>184</v>
      </c>
      <c r="P107" s="30" t="n">
        <v>-0.58</v>
      </c>
      <c r="Q107" s="27"/>
      <c r="R107" s="27" t="s">
        <v>63</v>
      </c>
    </row>
    <row r="108" customFormat="false" ht="15" hidden="false" customHeight="false" outlineLevel="0" collapsed="false">
      <c r="A108" s="25" t="n">
        <f aca="false">IF(G108="REJECT",COUNTIF($G$2:$G$2277,"&lt;&gt;REJECT")+1+COUNTIFS($G$2:$G$2277,"REJECT",$B$2:$B$2277,"&gt;"&amp;B108),1+COUNTIFS($G$2:$G$2277,"&lt;&gt;REJECT",$B$2:$B$2277,"&gt;"&amp;B108))</f>
        <v>107</v>
      </c>
      <c r="B108" s="26" t="n">
        <f aca="false">ROUND(($U$2*MAX(0,MIN(1,($W$2-I108)/($W$2-$V$2)))+$U$3*MAX(0,MIN(1,($W$3-J108)/($W$3-$V$3)))+$U$4*MAX(0,MIN(1,($W$4-K108)/($W$4-$V$4)))+$U$5*MAX(0,MIN(1,($W$5-L108)/($W$5-$V$5)))+$U$6*MAX(0,MIN(1,($W$6-M108)/($W$6-$V$6)))+$U$7*MAX(0,MIN(1,($W$7-N108)/($W$7-$V$7)))+$U$8*IF(AND(O108&gt;=$V$8,O108&lt;=$W$8),1,0))/$U$9*100,2)</f>
        <v>95.93</v>
      </c>
      <c r="C108" s="27" t="s">
        <v>1527</v>
      </c>
      <c r="D108" s="25" t="s">
        <v>134</v>
      </c>
      <c r="E108" s="25" t="s">
        <v>3450</v>
      </c>
      <c r="F108" s="25" t="s">
        <v>3457</v>
      </c>
      <c r="G108" s="28" t="s">
        <v>29</v>
      </c>
      <c r="H108" s="28" t="s">
        <v>25</v>
      </c>
      <c r="I108" s="25" t="n">
        <v>0</v>
      </c>
      <c r="J108" s="25" t="n">
        <v>0</v>
      </c>
      <c r="K108" s="25" t="n">
        <v>0</v>
      </c>
      <c r="L108" s="29" t="n">
        <v>0.85</v>
      </c>
      <c r="M108" s="30" t="n">
        <v>15.6</v>
      </c>
      <c r="N108" s="29" t="n">
        <v>0.88</v>
      </c>
      <c r="O108" s="25" t="n">
        <v>191</v>
      </c>
      <c r="P108" s="30" t="n">
        <v>4.97</v>
      </c>
      <c r="Q108" s="27"/>
      <c r="R108" s="27" t="s">
        <v>63</v>
      </c>
    </row>
    <row r="109" customFormat="false" ht="15" hidden="false" customHeight="false" outlineLevel="0" collapsed="false">
      <c r="A109" s="25" t="n">
        <f aca="false">IF(G109="REJECT",COUNTIF($G$2:$G$2277,"&lt;&gt;REJECT")+1+COUNTIFS($G$2:$G$2277,"REJECT",$B$2:$B$2277,"&gt;"&amp;B109),1+COUNTIFS($G$2:$G$2277,"&lt;&gt;REJECT",$B$2:$B$2277,"&gt;"&amp;B109))</f>
        <v>108</v>
      </c>
      <c r="B109" s="26" t="n">
        <f aca="false">ROUND(($U$2*MAX(0,MIN(1,($W$2-I109)/($W$2-$V$2)))+$U$3*MAX(0,MIN(1,($W$3-J109)/($W$3-$V$3)))+$U$4*MAX(0,MIN(1,($W$4-K109)/($W$4-$V$4)))+$U$5*MAX(0,MIN(1,($W$5-L109)/($W$5-$V$5)))+$U$6*MAX(0,MIN(1,($W$6-M109)/($W$6-$V$6)))+$U$7*MAX(0,MIN(1,($W$7-N109)/($W$7-$V$7)))+$U$8*IF(AND(O109&gt;=$V$8,O109&lt;=$W$8),1,0))/$U$9*100,2)</f>
        <v>95.92</v>
      </c>
      <c r="C109" s="27" t="s">
        <v>1203</v>
      </c>
      <c r="D109" s="25" t="s">
        <v>3459</v>
      </c>
      <c r="E109" s="25" t="s">
        <v>3450</v>
      </c>
      <c r="F109" s="25" t="s">
        <v>3448</v>
      </c>
      <c r="G109" s="28" t="s">
        <v>29</v>
      </c>
      <c r="H109" s="28" t="s">
        <v>25</v>
      </c>
      <c r="I109" s="25" t="n">
        <v>0</v>
      </c>
      <c r="J109" s="25" t="n">
        <v>0</v>
      </c>
      <c r="K109" s="25" t="n">
        <v>0</v>
      </c>
      <c r="L109" s="29" t="n">
        <v>0.75</v>
      </c>
      <c r="M109" s="30" t="n">
        <v>4.87</v>
      </c>
      <c r="N109" s="29" t="n">
        <v>0.16</v>
      </c>
      <c r="O109" s="25" t="n">
        <v>184</v>
      </c>
      <c r="P109" s="30" t="n">
        <v>15.24</v>
      </c>
      <c r="Q109" s="27"/>
      <c r="R109" s="27" t="s">
        <v>64</v>
      </c>
    </row>
    <row r="110" customFormat="false" ht="15" hidden="false" customHeight="false" outlineLevel="0" collapsed="false">
      <c r="A110" s="25" t="n">
        <f aca="false">IF(G110="REJECT",COUNTIF($G$2:$G$2277,"&lt;&gt;REJECT")+1+COUNTIFS($G$2:$G$2277,"REJECT",$B$2:$B$2277,"&gt;"&amp;B110),1+COUNTIFS($G$2:$G$2277,"&lt;&gt;REJECT",$B$2:$B$2277,"&gt;"&amp;B110))</f>
        <v>108</v>
      </c>
      <c r="B110" s="26" t="n">
        <f aca="false">ROUND(($U$2*MAX(0,MIN(1,($W$2-I110)/($W$2-$V$2)))+$U$3*MAX(0,MIN(1,($W$3-J110)/($W$3-$V$3)))+$U$4*MAX(0,MIN(1,($W$4-K110)/($W$4-$V$4)))+$U$5*MAX(0,MIN(1,($W$5-L110)/($W$5-$V$5)))+$U$6*MAX(0,MIN(1,($W$6-M110)/($W$6-$V$6)))+$U$7*MAX(0,MIN(1,($W$7-N110)/($W$7-$V$7)))+$U$8*IF(AND(O110&gt;=$V$8,O110&lt;=$W$8),1,0))/$U$9*100,2)</f>
        <v>95.92</v>
      </c>
      <c r="C110" s="27" t="s">
        <v>3311</v>
      </c>
      <c r="D110" s="25" t="s">
        <v>134</v>
      </c>
      <c r="E110" s="25" t="s">
        <v>3450</v>
      </c>
      <c r="F110" s="25" t="s">
        <v>3448</v>
      </c>
      <c r="G110" s="28" t="s">
        <v>29</v>
      </c>
      <c r="H110" s="28" t="s">
        <v>25</v>
      </c>
      <c r="I110" s="25" t="n">
        <v>0</v>
      </c>
      <c r="J110" s="25" t="n">
        <v>0</v>
      </c>
      <c r="K110" s="25" t="n">
        <v>0</v>
      </c>
      <c r="L110" s="29" t="n">
        <v>0.76</v>
      </c>
      <c r="M110" s="30" t="n">
        <v>0.86</v>
      </c>
      <c r="N110" s="29" t="n">
        <v>0.92</v>
      </c>
      <c r="O110" s="25" t="n">
        <v>188</v>
      </c>
      <c r="P110" s="30" t="n">
        <v>2.4</v>
      </c>
      <c r="Q110" s="27"/>
      <c r="R110" s="27" t="s">
        <v>3466</v>
      </c>
    </row>
    <row r="111" customFormat="false" ht="15" hidden="false" customHeight="false" outlineLevel="0" collapsed="false">
      <c r="A111" s="25" t="n">
        <f aca="false">IF(G111="REJECT",COUNTIF($G$2:$G$2277,"&lt;&gt;REJECT")+1+COUNTIFS($G$2:$G$2277,"REJECT",$B$2:$B$2277,"&gt;"&amp;B111),1+COUNTIFS($G$2:$G$2277,"&lt;&gt;REJECT",$B$2:$B$2277,"&gt;"&amp;B111))</f>
        <v>110</v>
      </c>
      <c r="B111" s="26" t="n">
        <f aca="false">ROUND(($U$2*MAX(0,MIN(1,($W$2-I111)/($W$2-$V$2)))+$U$3*MAX(0,MIN(1,($W$3-J111)/($W$3-$V$3)))+$U$4*MAX(0,MIN(1,($W$4-K111)/($W$4-$V$4)))+$U$5*MAX(0,MIN(1,($W$5-L111)/($W$5-$V$5)))+$U$6*MAX(0,MIN(1,($W$6-M111)/($W$6-$V$6)))+$U$7*MAX(0,MIN(1,($W$7-N111)/($W$7-$V$7)))+$U$8*IF(AND(O111&gt;=$V$8,O111&lt;=$W$8),1,0))/$U$9*100,2)</f>
        <v>95.9</v>
      </c>
      <c r="C111" s="27" t="s">
        <v>2001</v>
      </c>
      <c r="D111" s="25" t="s">
        <v>3459</v>
      </c>
      <c r="E111" s="25" t="s">
        <v>3450</v>
      </c>
      <c r="F111" s="25" t="s">
        <v>3448</v>
      </c>
      <c r="G111" s="28" t="s">
        <v>29</v>
      </c>
      <c r="H111" s="28" t="s">
        <v>25</v>
      </c>
      <c r="I111" s="25" t="n">
        <v>0</v>
      </c>
      <c r="J111" s="25" t="n">
        <v>0</v>
      </c>
      <c r="K111" s="25" t="n">
        <v>0</v>
      </c>
      <c r="L111" s="29" t="n">
        <v>0.85</v>
      </c>
      <c r="M111" s="30" t="n">
        <v>23.01</v>
      </c>
      <c r="N111" s="29" t="n">
        <v>0.16</v>
      </c>
      <c r="O111" s="25" t="n">
        <v>184</v>
      </c>
      <c r="P111" s="30" t="n">
        <v>3.22</v>
      </c>
      <c r="Q111" s="27"/>
      <c r="R111" s="27" t="s">
        <v>3470</v>
      </c>
    </row>
    <row r="112" customFormat="false" ht="15" hidden="false" customHeight="false" outlineLevel="0" collapsed="false">
      <c r="A112" s="25" t="n">
        <f aca="false">IF(G112="REJECT",COUNTIF($G$2:$G$2277,"&lt;&gt;REJECT")+1+COUNTIFS($G$2:$G$2277,"REJECT",$B$2:$B$2277,"&gt;"&amp;B112),1+COUNTIFS($G$2:$G$2277,"&lt;&gt;REJECT",$B$2:$B$2277,"&gt;"&amp;B112))</f>
        <v>110</v>
      </c>
      <c r="B112" s="26" t="n">
        <f aca="false">ROUND(($U$2*MAX(0,MIN(1,($W$2-I112)/($W$2-$V$2)))+$U$3*MAX(0,MIN(1,($W$3-J112)/($W$3-$V$3)))+$U$4*MAX(0,MIN(1,($W$4-K112)/($W$4-$V$4)))+$U$5*MAX(0,MIN(1,($W$5-L112)/($W$5-$V$5)))+$U$6*MAX(0,MIN(1,($W$6-M112)/($W$6-$V$6)))+$U$7*MAX(0,MIN(1,($W$7-N112)/($W$7-$V$7)))+$U$8*IF(AND(O112&gt;=$V$8,O112&lt;=$W$8),1,0))/$U$9*100,2)</f>
        <v>95.9</v>
      </c>
      <c r="C112" s="27" t="s">
        <v>2259</v>
      </c>
      <c r="D112" s="25" t="s">
        <v>134</v>
      </c>
      <c r="E112" s="25" t="s">
        <v>3450</v>
      </c>
      <c r="F112" s="25" t="s">
        <v>3457</v>
      </c>
      <c r="G112" s="28" t="s">
        <v>29</v>
      </c>
      <c r="H112" s="28" t="s">
        <v>25</v>
      </c>
      <c r="I112" s="25" t="n">
        <v>0</v>
      </c>
      <c r="J112" s="25" t="n">
        <v>0</v>
      </c>
      <c r="K112" s="25" t="n">
        <v>0</v>
      </c>
      <c r="L112" s="29" t="n">
        <v>0.8</v>
      </c>
      <c r="M112" s="30" t="n">
        <v>22.18</v>
      </c>
      <c r="N112" s="29" t="n">
        <v>0.24</v>
      </c>
      <c r="O112" s="25" t="n">
        <v>189</v>
      </c>
      <c r="P112" s="30" t="n">
        <v>7.14</v>
      </c>
      <c r="Q112" s="27"/>
      <c r="R112" s="27" t="s">
        <v>3470</v>
      </c>
    </row>
    <row r="113" customFormat="false" ht="15" hidden="false" customHeight="false" outlineLevel="0" collapsed="false">
      <c r="A113" s="25" t="n">
        <f aca="false">IF(G113="REJECT",COUNTIF($G$2:$G$2277,"&lt;&gt;REJECT")+1+COUNTIFS($G$2:$G$2277,"REJECT",$B$2:$B$2277,"&gt;"&amp;B113),1+COUNTIFS($G$2:$G$2277,"&lt;&gt;REJECT",$B$2:$B$2277,"&gt;"&amp;B113))</f>
        <v>112</v>
      </c>
      <c r="B113" s="26" t="n">
        <f aca="false">ROUND(($U$2*MAX(0,MIN(1,($W$2-I113)/($W$2-$V$2)))+$U$3*MAX(0,MIN(1,($W$3-J113)/($W$3-$V$3)))+$U$4*MAX(0,MIN(1,($W$4-K113)/($W$4-$V$4)))+$U$5*MAX(0,MIN(1,($W$5-L113)/($W$5-$V$5)))+$U$6*MAX(0,MIN(1,($W$6-M113)/($W$6-$V$6)))+$U$7*MAX(0,MIN(1,($W$7-N113)/($W$7-$V$7)))+$U$8*IF(AND(O113&gt;=$V$8,O113&lt;=$W$8),1,0))/$U$9*100,2)</f>
        <v>95.85</v>
      </c>
      <c r="C113" s="27" t="s">
        <v>2010</v>
      </c>
      <c r="D113" s="25" t="s">
        <v>134</v>
      </c>
      <c r="E113" s="25" t="s">
        <v>3450</v>
      </c>
      <c r="F113" s="25" t="s">
        <v>3448</v>
      </c>
      <c r="G113" s="28" t="s">
        <v>29</v>
      </c>
      <c r="H113" s="28" t="s">
        <v>25</v>
      </c>
      <c r="I113" s="25" t="n">
        <v>0</v>
      </c>
      <c r="J113" s="25" t="n">
        <v>0</v>
      </c>
      <c r="K113" s="25" t="n">
        <v>0</v>
      </c>
      <c r="L113" s="29" t="n">
        <v>0.77</v>
      </c>
      <c r="M113" s="30" t="n">
        <v>12.9</v>
      </c>
      <c r="N113" s="29" t="n">
        <v>0.12</v>
      </c>
      <c r="O113" s="25" t="n">
        <v>184</v>
      </c>
      <c r="P113" s="30" t="n">
        <v>5.63</v>
      </c>
      <c r="Q113" s="27"/>
      <c r="R113" s="27" t="s">
        <v>64</v>
      </c>
    </row>
    <row r="114" customFormat="false" ht="15" hidden="false" customHeight="false" outlineLevel="0" collapsed="false">
      <c r="A114" s="25" t="n">
        <f aca="false">IF(G114="REJECT",COUNTIF($G$2:$G$2277,"&lt;&gt;REJECT")+1+COUNTIFS($G$2:$G$2277,"REJECT",$B$2:$B$2277,"&gt;"&amp;B114),1+COUNTIFS($G$2:$G$2277,"&lt;&gt;REJECT",$B$2:$B$2277,"&gt;"&amp;B114))</f>
        <v>113</v>
      </c>
      <c r="B114" s="26" t="n">
        <f aca="false">ROUND(($U$2*MAX(0,MIN(1,($W$2-I114)/($W$2-$V$2)))+$U$3*MAX(0,MIN(1,($W$3-J114)/($W$3-$V$3)))+$U$4*MAX(0,MIN(1,($W$4-K114)/($W$4-$V$4)))+$U$5*MAX(0,MIN(1,($W$5-L114)/($W$5-$V$5)))+$U$6*MAX(0,MIN(1,($W$6-M114)/($W$6-$V$6)))+$U$7*MAX(0,MIN(1,($W$7-N114)/($W$7-$V$7)))+$U$8*IF(AND(O114&gt;=$V$8,O114&lt;=$W$8),1,0))/$U$9*100,2)</f>
        <v>95.83</v>
      </c>
      <c r="C114" s="27" t="s">
        <v>2580</v>
      </c>
      <c r="D114" s="25" t="s">
        <v>134</v>
      </c>
      <c r="E114" s="25" t="s">
        <v>3450</v>
      </c>
      <c r="F114" s="25" t="s">
        <v>3448</v>
      </c>
      <c r="G114" s="33" t="s">
        <v>28</v>
      </c>
      <c r="H114" s="33" t="s">
        <v>24</v>
      </c>
      <c r="I114" s="25" t="n">
        <v>0</v>
      </c>
      <c r="J114" s="25" t="n">
        <v>0</v>
      </c>
      <c r="K114" s="25" t="n">
        <v>0</v>
      </c>
      <c r="L114" s="29" t="n">
        <v>0.79</v>
      </c>
      <c r="M114" s="30" t="n">
        <v>17.85</v>
      </c>
      <c r="N114" s="29" t="n">
        <v>0.36</v>
      </c>
      <c r="O114" s="25" t="n">
        <v>191</v>
      </c>
      <c r="P114" s="30" t="n">
        <v>9.4</v>
      </c>
      <c r="Q114" s="27"/>
      <c r="R114" s="27"/>
    </row>
    <row r="115" customFormat="false" ht="15" hidden="false" customHeight="false" outlineLevel="0" collapsed="false">
      <c r="A115" s="25" t="n">
        <f aca="false">IF(G115="REJECT",COUNTIF($G$2:$G$2277,"&lt;&gt;REJECT")+1+COUNTIFS($G$2:$G$2277,"REJECT",$B$2:$B$2277,"&gt;"&amp;B115),1+COUNTIFS($G$2:$G$2277,"&lt;&gt;REJECT",$B$2:$B$2277,"&gt;"&amp;B115))</f>
        <v>114</v>
      </c>
      <c r="B115" s="26" t="n">
        <f aca="false">ROUND(($U$2*MAX(0,MIN(1,($W$2-I115)/($W$2-$V$2)))+$U$3*MAX(0,MIN(1,($W$3-J115)/($W$3-$V$3)))+$U$4*MAX(0,MIN(1,($W$4-K115)/($W$4-$V$4)))+$U$5*MAX(0,MIN(1,($W$5-L115)/($W$5-$V$5)))+$U$6*MAX(0,MIN(1,($W$6-M115)/($W$6-$V$6)))+$U$7*MAX(0,MIN(1,($W$7-N115)/($W$7-$V$7)))+$U$8*IF(AND(O115&gt;=$V$8,O115&lt;=$W$8),1,0))/$U$9*100,2)</f>
        <v>95.81</v>
      </c>
      <c r="C115" s="27" t="s">
        <v>291</v>
      </c>
      <c r="D115" s="25" t="s">
        <v>134</v>
      </c>
      <c r="E115" s="25" t="s">
        <v>3450</v>
      </c>
      <c r="F115" s="25" t="s">
        <v>3457</v>
      </c>
      <c r="G115" s="28" t="s">
        <v>29</v>
      </c>
      <c r="H115" s="28" t="s">
        <v>25</v>
      </c>
      <c r="I115" s="25" t="n">
        <v>0</v>
      </c>
      <c r="J115" s="25" t="n">
        <v>0</v>
      </c>
      <c r="K115" s="25" t="n">
        <v>0</v>
      </c>
      <c r="L115" s="29" t="n">
        <v>0.76</v>
      </c>
      <c r="M115" s="30" t="n">
        <v>1.15</v>
      </c>
      <c r="N115" s="29" t="n">
        <v>0.96</v>
      </c>
      <c r="O115" s="25" t="n">
        <v>192</v>
      </c>
      <c r="P115" s="30" t="n">
        <v>-0.61</v>
      </c>
      <c r="Q115" s="27"/>
      <c r="R115" s="27" t="s">
        <v>62</v>
      </c>
    </row>
    <row r="116" customFormat="false" ht="15" hidden="false" customHeight="false" outlineLevel="0" collapsed="false">
      <c r="A116" s="25" t="n">
        <f aca="false">IF(G116="REJECT",COUNTIF($G$2:$G$2277,"&lt;&gt;REJECT")+1+COUNTIFS($G$2:$G$2277,"REJECT",$B$2:$B$2277,"&gt;"&amp;B116),1+COUNTIFS($G$2:$G$2277,"&lt;&gt;REJECT",$B$2:$B$2277,"&gt;"&amp;B116))</f>
        <v>115</v>
      </c>
      <c r="B116" s="26" t="n">
        <f aca="false">ROUND(($U$2*MAX(0,MIN(1,($W$2-I116)/($W$2-$V$2)))+$U$3*MAX(0,MIN(1,($W$3-J116)/($W$3-$V$3)))+$U$4*MAX(0,MIN(1,($W$4-K116)/($W$4-$V$4)))+$U$5*MAX(0,MIN(1,($W$5-L116)/($W$5-$V$5)))+$U$6*MAX(0,MIN(1,($W$6-M116)/($W$6-$V$6)))+$U$7*MAX(0,MIN(1,($W$7-N116)/($W$7-$V$7)))+$U$8*IF(AND(O116&gt;=$V$8,O116&lt;=$W$8),1,0))/$U$9*100,2)</f>
        <v>95.79</v>
      </c>
      <c r="C116" s="27" t="s">
        <v>2021</v>
      </c>
      <c r="D116" s="25" t="s">
        <v>134</v>
      </c>
      <c r="E116" s="25" t="s">
        <v>3450</v>
      </c>
      <c r="F116" s="25" t="s">
        <v>3448</v>
      </c>
      <c r="G116" s="33" t="s">
        <v>28</v>
      </c>
      <c r="H116" s="33" t="s">
        <v>24</v>
      </c>
      <c r="I116" s="25" t="n">
        <v>0</v>
      </c>
      <c r="J116" s="25" t="n">
        <v>0</v>
      </c>
      <c r="K116" s="25" t="n">
        <v>0</v>
      </c>
      <c r="L116" s="29" t="n">
        <v>0.75</v>
      </c>
      <c r="M116" s="30" t="n">
        <v>7.27</v>
      </c>
      <c r="N116" s="29" t="n">
        <v>0</v>
      </c>
      <c r="O116" s="25" t="n">
        <v>183</v>
      </c>
      <c r="P116" s="30" t="n">
        <v>4.59</v>
      </c>
      <c r="Q116" s="27"/>
      <c r="R116" s="27"/>
    </row>
    <row r="117" customFormat="false" ht="15" hidden="false" customHeight="false" outlineLevel="0" collapsed="false">
      <c r="A117" s="25" t="n">
        <f aca="false">IF(G117="REJECT",COUNTIF($G$2:$G$2277,"&lt;&gt;REJECT")+1+COUNTIFS($G$2:$G$2277,"REJECT",$B$2:$B$2277,"&gt;"&amp;B117),1+COUNTIFS($G$2:$G$2277,"&lt;&gt;REJECT",$B$2:$B$2277,"&gt;"&amp;B117))</f>
        <v>116</v>
      </c>
      <c r="B117" s="26" t="n">
        <f aca="false">ROUND(($U$2*MAX(0,MIN(1,($W$2-I117)/($W$2-$V$2)))+$U$3*MAX(0,MIN(1,($W$3-J117)/($W$3-$V$3)))+$U$4*MAX(0,MIN(1,($W$4-K117)/($W$4-$V$4)))+$U$5*MAX(0,MIN(1,($W$5-L117)/($W$5-$V$5)))+$U$6*MAX(0,MIN(1,($W$6-M117)/($W$6-$V$6)))+$U$7*MAX(0,MIN(1,($W$7-N117)/($W$7-$V$7)))+$U$8*IF(AND(O117&gt;=$V$8,O117&lt;=$W$8),1,0))/$U$9*100,2)</f>
        <v>95.78</v>
      </c>
      <c r="C117" s="27" t="s">
        <v>1170</v>
      </c>
      <c r="D117" s="25" t="s">
        <v>134</v>
      </c>
      <c r="E117" s="25" t="s">
        <v>3447</v>
      </c>
      <c r="F117" s="25" t="s">
        <v>3457</v>
      </c>
      <c r="G117" s="28" t="s">
        <v>29</v>
      </c>
      <c r="H117" s="28" t="s">
        <v>25</v>
      </c>
      <c r="I117" s="25" t="n">
        <v>0</v>
      </c>
      <c r="J117" s="25" t="n">
        <v>0</v>
      </c>
      <c r="K117" s="25" t="n">
        <v>0</v>
      </c>
      <c r="L117" s="29" t="n">
        <v>0.79</v>
      </c>
      <c r="M117" s="30" t="n">
        <v>21.75</v>
      </c>
      <c r="N117" s="29" t="n">
        <v>0</v>
      </c>
      <c r="O117" s="25" t="n">
        <v>186</v>
      </c>
      <c r="P117" s="30" t="n">
        <v>5.03</v>
      </c>
      <c r="Q117" s="27"/>
      <c r="R117" s="27" t="s">
        <v>61</v>
      </c>
    </row>
    <row r="118" customFormat="false" ht="15" hidden="false" customHeight="false" outlineLevel="0" collapsed="false">
      <c r="A118" s="25" t="n">
        <f aca="false">IF(G118="REJECT",COUNTIF($G$2:$G$2277,"&lt;&gt;REJECT")+1+COUNTIFS($G$2:$G$2277,"REJECT",$B$2:$B$2277,"&gt;"&amp;B118),1+COUNTIFS($G$2:$G$2277,"&lt;&gt;REJECT",$B$2:$B$2277,"&gt;"&amp;B118))</f>
        <v>116</v>
      </c>
      <c r="B118" s="26" t="n">
        <f aca="false">ROUND(($U$2*MAX(0,MIN(1,($W$2-I118)/($W$2-$V$2)))+$U$3*MAX(0,MIN(1,($W$3-J118)/($W$3-$V$3)))+$U$4*MAX(0,MIN(1,($W$4-K118)/($W$4-$V$4)))+$U$5*MAX(0,MIN(1,($W$5-L118)/($W$5-$V$5)))+$U$6*MAX(0,MIN(1,($W$6-M118)/($W$6-$V$6)))+$U$7*MAX(0,MIN(1,($W$7-N118)/($W$7-$V$7)))+$U$8*IF(AND(O118&gt;=$V$8,O118&lt;=$W$8),1,0))/$U$9*100,2)</f>
        <v>95.78</v>
      </c>
      <c r="C118" s="27" t="s">
        <v>3327</v>
      </c>
      <c r="D118" s="25" t="s">
        <v>134</v>
      </c>
      <c r="E118" s="25" t="s">
        <v>3450</v>
      </c>
      <c r="F118" s="25" t="s">
        <v>3457</v>
      </c>
      <c r="G118" s="33" t="s">
        <v>28</v>
      </c>
      <c r="H118" s="33" t="s">
        <v>24</v>
      </c>
      <c r="I118" s="25" t="n">
        <v>0</v>
      </c>
      <c r="J118" s="25" t="n">
        <v>0</v>
      </c>
      <c r="K118" s="25" t="n">
        <v>0</v>
      </c>
      <c r="L118" s="29" t="n">
        <v>0.78</v>
      </c>
      <c r="M118" s="30" t="n">
        <v>11.71</v>
      </c>
      <c r="N118" s="29" t="n">
        <v>0.64</v>
      </c>
      <c r="O118" s="25" t="n">
        <v>182</v>
      </c>
      <c r="P118" s="30" t="n">
        <v>12.58</v>
      </c>
      <c r="Q118" s="27"/>
      <c r="R118" s="27"/>
    </row>
    <row r="119" customFormat="false" ht="15" hidden="false" customHeight="false" outlineLevel="0" collapsed="false">
      <c r="A119" s="25" t="n">
        <f aca="false">IF(G119="REJECT",COUNTIF($G$2:$G$2277,"&lt;&gt;REJECT")+1+COUNTIFS($G$2:$G$2277,"REJECT",$B$2:$B$2277,"&gt;"&amp;B119),1+COUNTIFS($G$2:$G$2277,"&lt;&gt;REJECT",$B$2:$B$2277,"&gt;"&amp;B119))</f>
        <v>118</v>
      </c>
      <c r="B119" s="26" t="n">
        <f aca="false">ROUND(($U$2*MAX(0,MIN(1,($W$2-I119)/($W$2-$V$2)))+$U$3*MAX(0,MIN(1,($W$3-J119)/($W$3-$V$3)))+$U$4*MAX(0,MIN(1,($W$4-K119)/($W$4-$V$4)))+$U$5*MAX(0,MIN(1,($W$5-L119)/($W$5-$V$5)))+$U$6*MAX(0,MIN(1,($W$6-M119)/($W$6-$V$6)))+$U$7*MAX(0,MIN(1,($W$7-N119)/($W$7-$V$7)))+$U$8*IF(AND(O119&gt;=$V$8,O119&lt;=$W$8),1,0))/$U$9*100,2)</f>
        <v>95.77</v>
      </c>
      <c r="C119" s="27" t="s">
        <v>1423</v>
      </c>
      <c r="D119" s="25" t="s">
        <v>134</v>
      </c>
      <c r="E119" s="25" t="s">
        <v>3447</v>
      </c>
      <c r="F119" s="25" t="s">
        <v>3457</v>
      </c>
      <c r="G119" s="33" t="s">
        <v>28</v>
      </c>
      <c r="H119" s="33" t="s">
        <v>24</v>
      </c>
      <c r="I119" s="25" t="n">
        <v>0</v>
      </c>
      <c r="J119" s="25" t="n">
        <v>0</v>
      </c>
      <c r="K119" s="25" t="n">
        <v>0</v>
      </c>
      <c r="L119" s="29" t="n">
        <v>0.79</v>
      </c>
      <c r="M119" s="30" t="n">
        <v>18.97</v>
      </c>
      <c r="N119" s="29" t="n">
        <v>0.28</v>
      </c>
      <c r="O119" s="25" t="n">
        <v>187</v>
      </c>
      <c r="P119" s="30" t="n">
        <v>2.19</v>
      </c>
      <c r="Q119" s="27"/>
      <c r="R119" s="27"/>
    </row>
    <row r="120" customFormat="false" ht="15" hidden="false" customHeight="false" outlineLevel="0" collapsed="false">
      <c r="A120" s="25" t="n">
        <f aca="false">IF(G120="REJECT",COUNTIF($G$2:$G$2277,"&lt;&gt;REJECT")+1+COUNTIFS($G$2:$G$2277,"REJECT",$B$2:$B$2277,"&gt;"&amp;B120),1+COUNTIFS($G$2:$G$2277,"&lt;&gt;REJECT",$B$2:$B$2277,"&gt;"&amp;B120))</f>
        <v>119</v>
      </c>
      <c r="B120" s="26" t="n">
        <f aca="false">ROUND(($U$2*MAX(0,MIN(1,($W$2-I120)/($W$2-$V$2)))+$U$3*MAX(0,MIN(1,($W$3-J120)/($W$3-$V$3)))+$U$4*MAX(0,MIN(1,($W$4-K120)/($W$4-$V$4)))+$U$5*MAX(0,MIN(1,($W$5-L120)/($W$5-$V$5)))+$U$6*MAX(0,MIN(1,($W$6-M120)/($W$6-$V$6)))+$U$7*MAX(0,MIN(1,($W$7-N120)/($W$7-$V$7)))+$U$8*IF(AND(O120&gt;=$V$8,O120&lt;=$W$8),1,0))/$U$9*100,2)</f>
        <v>95.76</v>
      </c>
      <c r="C120" s="27" t="s">
        <v>1227</v>
      </c>
      <c r="D120" s="25" t="s">
        <v>134</v>
      </c>
      <c r="E120" s="25" t="s">
        <v>3447</v>
      </c>
      <c r="F120" s="25" t="s">
        <v>3457</v>
      </c>
      <c r="G120" s="33" t="s">
        <v>28</v>
      </c>
      <c r="H120" s="33" t="s">
        <v>24</v>
      </c>
      <c r="I120" s="25" t="n">
        <v>0</v>
      </c>
      <c r="J120" s="25" t="n">
        <v>0</v>
      </c>
      <c r="K120" s="25" t="n">
        <v>0</v>
      </c>
      <c r="L120" s="29" t="n">
        <v>0.81</v>
      </c>
      <c r="M120" s="30" t="n">
        <v>15.83</v>
      </c>
      <c r="N120" s="29" t="n">
        <v>0.96</v>
      </c>
      <c r="O120" s="25" t="n">
        <v>183</v>
      </c>
      <c r="P120" s="30" t="n">
        <v>1.76</v>
      </c>
      <c r="Q120" s="27"/>
      <c r="R120" s="27"/>
    </row>
    <row r="121" customFormat="false" ht="15" hidden="false" customHeight="false" outlineLevel="0" collapsed="false">
      <c r="A121" s="25" t="n">
        <f aca="false">IF(G121="REJECT",COUNTIF($G$2:$G$2277,"&lt;&gt;REJECT")+1+COUNTIFS($G$2:$G$2277,"REJECT",$B$2:$B$2277,"&gt;"&amp;B121),1+COUNTIFS($G$2:$G$2277,"&lt;&gt;REJECT",$B$2:$B$2277,"&gt;"&amp;B121))</f>
        <v>120</v>
      </c>
      <c r="B121" s="26" t="n">
        <f aca="false">ROUND(($U$2*MAX(0,MIN(1,($W$2-I121)/($W$2-$V$2)))+$U$3*MAX(0,MIN(1,($W$3-J121)/($W$3-$V$3)))+$U$4*MAX(0,MIN(1,($W$4-K121)/($W$4-$V$4)))+$U$5*MAX(0,MIN(1,($W$5-L121)/($W$5-$V$5)))+$U$6*MAX(0,MIN(1,($W$6-M121)/($W$6-$V$6)))+$U$7*MAX(0,MIN(1,($W$7-N121)/($W$7-$V$7)))+$U$8*IF(AND(O121&gt;=$V$8,O121&lt;=$W$8),1,0))/$U$9*100,2)</f>
        <v>95.73</v>
      </c>
      <c r="C121" s="27" t="s">
        <v>2001</v>
      </c>
      <c r="D121" s="25" t="s">
        <v>3459</v>
      </c>
      <c r="E121" s="25" t="s">
        <v>3450</v>
      </c>
      <c r="F121" s="25" t="s">
        <v>3457</v>
      </c>
      <c r="G121" s="28" t="s">
        <v>29</v>
      </c>
      <c r="H121" s="28" t="s">
        <v>25</v>
      </c>
      <c r="I121" s="25" t="n">
        <v>0</v>
      </c>
      <c r="J121" s="25" t="n">
        <v>0</v>
      </c>
      <c r="K121" s="25" t="n">
        <v>0</v>
      </c>
      <c r="L121" s="29" t="n">
        <v>0.83</v>
      </c>
      <c r="M121" s="30" t="n">
        <v>20.84</v>
      </c>
      <c r="N121" s="29" t="n">
        <v>0.48</v>
      </c>
      <c r="O121" s="25" t="n">
        <v>184</v>
      </c>
      <c r="P121" s="30" t="n">
        <v>3.06</v>
      </c>
      <c r="Q121" s="27"/>
      <c r="R121" s="27" t="s">
        <v>3470</v>
      </c>
    </row>
    <row r="122" customFormat="false" ht="15" hidden="false" customHeight="false" outlineLevel="0" collapsed="false">
      <c r="A122" s="25" t="n">
        <f aca="false">IF(G122="REJECT",COUNTIF($G$2:$G$2277,"&lt;&gt;REJECT")+1+COUNTIFS($G$2:$G$2277,"REJECT",$B$2:$B$2277,"&gt;"&amp;B122),1+COUNTIFS($G$2:$G$2277,"&lt;&gt;REJECT",$B$2:$B$2277,"&gt;"&amp;B122))</f>
        <v>120</v>
      </c>
      <c r="B122" s="26" t="n">
        <f aca="false">ROUND(($U$2*MAX(0,MIN(1,($W$2-I122)/($W$2-$V$2)))+$U$3*MAX(0,MIN(1,($W$3-J122)/($W$3-$V$3)))+$U$4*MAX(0,MIN(1,($W$4-K122)/($W$4-$V$4)))+$U$5*MAX(0,MIN(1,($W$5-L122)/($W$5-$V$5)))+$U$6*MAX(0,MIN(1,($W$6-M122)/($W$6-$V$6)))+$U$7*MAX(0,MIN(1,($W$7-N122)/($W$7-$V$7)))+$U$8*IF(AND(O122&gt;=$V$8,O122&lt;=$W$8),1,0))/$U$9*100,2)</f>
        <v>95.73</v>
      </c>
      <c r="C122" s="27" t="s">
        <v>3259</v>
      </c>
      <c r="D122" s="25" t="s">
        <v>134</v>
      </c>
      <c r="E122" s="25" t="s">
        <v>3450</v>
      </c>
      <c r="F122" s="25" t="s">
        <v>3448</v>
      </c>
      <c r="G122" s="33" t="s">
        <v>28</v>
      </c>
      <c r="H122" s="33" t="s">
        <v>24</v>
      </c>
      <c r="I122" s="25" t="n">
        <v>0</v>
      </c>
      <c r="J122" s="25" t="n">
        <v>0</v>
      </c>
      <c r="K122" s="25" t="n">
        <v>0</v>
      </c>
      <c r="L122" s="29" t="n">
        <v>0.77</v>
      </c>
      <c r="M122" s="30" t="n">
        <v>6.42</v>
      </c>
      <c r="N122" s="29" t="n">
        <v>0.84</v>
      </c>
      <c r="O122" s="25" t="n">
        <v>195</v>
      </c>
      <c r="P122" s="30" t="n">
        <v>11.79</v>
      </c>
      <c r="Q122" s="27"/>
      <c r="R122" s="27"/>
    </row>
    <row r="123" customFormat="false" ht="15" hidden="false" customHeight="false" outlineLevel="0" collapsed="false">
      <c r="A123" s="25" t="n">
        <f aca="false">IF(G123="REJECT",COUNTIF($G$2:$G$2277,"&lt;&gt;REJECT")+1+COUNTIFS($G$2:$G$2277,"REJECT",$B$2:$B$2277,"&gt;"&amp;B123),1+COUNTIFS($G$2:$G$2277,"&lt;&gt;REJECT",$B$2:$B$2277,"&gt;"&amp;B123))</f>
        <v>122</v>
      </c>
      <c r="B123" s="26" t="n">
        <f aca="false">ROUND(($U$2*MAX(0,MIN(1,($W$2-I123)/($W$2-$V$2)))+$U$3*MAX(0,MIN(1,($W$3-J123)/($W$3-$V$3)))+$U$4*MAX(0,MIN(1,($W$4-K123)/($W$4-$V$4)))+$U$5*MAX(0,MIN(1,($W$5-L123)/($W$5-$V$5)))+$U$6*MAX(0,MIN(1,($W$6-M123)/($W$6-$V$6)))+$U$7*MAX(0,MIN(1,($W$7-N123)/($W$7-$V$7)))+$U$8*IF(AND(O123&gt;=$V$8,O123&lt;=$W$8),1,0))/$U$9*100,2)</f>
        <v>95.71</v>
      </c>
      <c r="C123" s="27" t="s">
        <v>1443</v>
      </c>
      <c r="D123" s="25" t="s">
        <v>3459</v>
      </c>
      <c r="E123" s="25" t="s">
        <v>3447</v>
      </c>
      <c r="F123" s="25" t="s">
        <v>3457</v>
      </c>
      <c r="G123" s="28" t="s">
        <v>29</v>
      </c>
      <c r="H123" s="28" t="s">
        <v>25</v>
      </c>
      <c r="I123" s="25" t="n">
        <v>0</v>
      </c>
      <c r="J123" s="25" t="n">
        <v>0</v>
      </c>
      <c r="K123" s="25" t="n">
        <v>0</v>
      </c>
      <c r="L123" s="29" t="n">
        <v>0.81</v>
      </c>
      <c r="M123" s="30" t="n">
        <v>25.77</v>
      </c>
      <c r="N123" s="29" t="n">
        <v>0</v>
      </c>
      <c r="O123" s="25" t="n">
        <v>181</v>
      </c>
      <c r="P123" s="30" t="n">
        <v>3.95</v>
      </c>
      <c r="Q123" s="27"/>
      <c r="R123" s="27" t="s">
        <v>61</v>
      </c>
    </row>
    <row r="124" customFormat="false" ht="15" hidden="false" customHeight="false" outlineLevel="0" collapsed="false">
      <c r="A124" s="25" t="n">
        <f aca="false">IF(G124="REJECT",COUNTIF($G$2:$G$2277,"&lt;&gt;REJECT")+1+COUNTIFS($G$2:$G$2277,"REJECT",$B$2:$B$2277,"&gt;"&amp;B124),1+COUNTIFS($G$2:$G$2277,"&lt;&gt;REJECT",$B$2:$B$2277,"&gt;"&amp;B124))</f>
        <v>123</v>
      </c>
      <c r="B124" s="26" t="n">
        <f aca="false">ROUND(($U$2*MAX(0,MIN(1,($W$2-I124)/($W$2-$V$2)))+$U$3*MAX(0,MIN(1,($W$3-J124)/($W$3-$V$3)))+$U$4*MAX(0,MIN(1,($W$4-K124)/($W$4-$V$4)))+$U$5*MAX(0,MIN(1,($W$5-L124)/($W$5-$V$5)))+$U$6*MAX(0,MIN(1,($W$6-M124)/($W$6-$V$6)))+$U$7*MAX(0,MIN(1,($W$7-N124)/($W$7-$V$7)))+$U$8*IF(AND(O124&gt;=$V$8,O124&lt;=$W$8),1,0))/$U$9*100,2)</f>
        <v>95.68</v>
      </c>
      <c r="C124" s="27" t="s">
        <v>2423</v>
      </c>
      <c r="D124" s="25" t="s">
        <v>134</v>
      </c>
      <c r="E124" s="25" t="s">
        <v>3450</v>
      </c>
      <c r="F124" s="25" t="s">
        <v>3448</v>
      </c>
      <c r="G124" s="33" t="s">
        <v>28</v>
      </c>
      <c r="H124" s="33" t="s">
        <v>24</v>
      </c>
      <c r="I124" s="25" t="n">
        <v>0</v>
      </c>
      <c r="J124" s="25" t="n">
        <v>0</v>
      </c>
      <c r="K124" s="25" t="n">
        <v>0</v>
      </c>
      <c r="L124" s="29" t="n">
        <v>0.75</v>
      </c>
      <c r="M124" s="30" t="n">
        <v>5.12</v>
      </c>
      <c r="N124" s="29" t="n">
        <v>0.28</v>
      </c>
      <c r="O124" s="25" t="n">
        <v>183</v>
      </c>
      <c r="P124" s="30" t="n">
        <v>11.46</v>
      </c>
      <c r="Q124" s="27"/>
      <c r="R124" s="27"/>
    </row>
    <row r="125" customFormat="false" ht="15" hidden="false" customHeight="false" outlineLevel="0" collapsed="false">
      <c r="A125" s="25" t="n">
        <f aca="false">IF(G125="REJECT",COUNTIF($G$2:$G$2277,"&lt;&gt;REJECT")+1+COUNTIFS($G$2:$G$2277,"REJECT",$B$2:$B$2277,"&gt;"&amp;B125),1+COUNTIFS($G$2:$G$2277,"&lt;&gt;REJECT",$B$2:$B$2277,"&gt;"&amp;B125))</f>
        <v>124</v>
      </c>
      <c r="B125" s="26" t="n">
        <f aca="false">ROUND(($U$2*MAX(0,MIN(1,($W$2-I125)/($W$2-$V$2)))+$U$3*MAX(0,MIN(1,($W$3-J125)/($W$3-$V$3)))+$U$4*MAX(0,MIN(1,($W$4-K125)/($W$4-$V$4)))+$U$5*MAX(0,MIN(1,($W$5-L125)/($W$5-$V$5)))+$U$6*MAX(0,MIN(1,($W$6-M125)/($W$6-$V$6)))+$U$7*MAX(0,MIN(1,($W$7-N125)/($W$7-$V$7)))+$U$8*IF(AND(O125&gt;=$V$8,O125&lt;=$W$8),1,0))/$U$9*100,2)</f>
        <v>95.67</v>
      </c>
      <c r="C125" s="27" t="s">
        <v>480</v>
      </c>
      <c r="D125" s="25" t="s">
        <v>134</v>
      </c>
      <c r="E125" s="25" t="s">
        <v>3447</v>
      </c>
      <c r="F125" s="25" t="s">
        <v>3448</v>
      </c>
      <c r="G125" s="28" t="s">
        <v>29</v>
      </c>
      <c r="H125" s="28" t="s">
        <v>25</v>
      </c>
      <c r="I125" s="25" t="n">
        <v>0</v>
      </c>
      <c r="J125" s="25" t="n">
        <v>0</v>
      </c>
      <c r="K125" s="25" t="n">
        <v>0</v>
      </c>
      <c r="L125" s="29" t="n">
        <v>0.75</v>
      </c>
      <c r="M125" s="30" t="n">
        <v>0.76</v>
      </c>
      <c r="N125" s="29" t="n">
        <v>0.72</v>
      </c>
      <c r="O125" s="25" t="n">
        <v>184</v>
      </c>
      <c r="P125" s="30" t="n">
        <v>-0.83</v>
      </c>
      <c r="Q125" s="27"/>
      <c r="R125" s="27" t="s">
        <v>64</v>
      </c>
    </row>
    <row r="126" customFormat="false" ht="15" hidden="false" customHeight="false" outlineLevel="0" collapsed="false">
      <c r="A126" s="25" t="n">
        <f aca="false">IF(G126="REJECT",COUNTIF($G$2:$G$2277,"&lt;&gt;REJECT")+1+COUNTIFS($G$2:$G$2277,"REJECT",$B$2:$B$2277,"&gt;"&amp;B126),1+COUNTIFS($G$2:$G$2277,"&lt;&gt;REJECT",$B$2:$B$2277,"&gt;"&amp;B126))</f>
        <v>124</v>
      </c>
      <c r="B126" s="26" t="n">
        <f aca="false">ROUND(($U$2*MAX(0,MIN(1,($W$2-I126)/($W$2-$V$2)))+$U$3*MAX(0,MIN(1,($W$3-J126)/($W$3-$V$3)))+$U$4*MAX(0,MIN(1,($W$4-K126)/($W$4-$V$4)))+$U$5*MAX(0,MIN(1,($W$5-L126)/($W$5-$V$5)))+$U$6*MAX(0,MIN(1,($W$6-M126)/($W$6-$V$6)))+$U$7*MAX(0,MIN(1,($W$7-N126)/($W$7-$V$7)))+$U$8*IF(AND(O126&gt;=$V$8,O126&lt;=$W$8),1,0))/$U$9*100,2)</f>
        <v>95.67</v>
      </c>
      <c r="C126" s="27" t="s">
        <v>2210</v>
      </c>
      <c r="D126" s="25" t="s">
        <v>134</v>
      </c>
      <c r="E126" s="25" t="s">
        <v>3447</v>
      </c>
      <c r="F126" s="25" t="s">
        <v>3457</v>
      </c>
      <c r="G126" s="33" t="s">
        <v>28</v>
      </c>
      <c r="H126" s="33" t="s">
        <v>24</v>
      </c>
      <c r="I126" s="25" t="n">
        <v>0</v>
      </c>
      <c r="J126" s="25" t="n">
        <v>0</v>
      </c>
      <c r="K126" s="25" t="n">
        <v>0</v>
      </c>
      <c r="L126" s="29" t="n">
        <v>0.78</v>
      </c>
      <c r="M126" s="30" t="n">
        <v>11.98</v>
      </c>
      <c r="N126" s="29" t="n">
        <v>0.68</v>
      </c>
      <c r="O126" s="25" t="n">
        <v>191</v>
      </c>
      <c r="P126" s="30" t="n">
        <v>2.75</v>
      </c>
      <c r="Q126" s="27"/>
      <c r="R126" s="27"/>
    </row>
    <row r="127" customFormat="false" ht="15" hidden="false" customHeight="false" outlineLevel="0" collapsed="false">
      <c r="A127" s="25" t="n">
        <f aca="false">IF(G127="REJECT",COUNTIF($G$2:$G$2277,"&lt;&gt;REJECT")+1+COUNTIFS($G$2:$G$2277,"REJECT",$B$2:$B$2277,"&gt;"&amp;B127),1+COUNTIFS($G$2:$G$2277,"&lt;&gt;REJECT",$B$2:$B$2277,"&gt;"&amp;B127))</f>
        <v>124</v>
      </c>
      <c r="B127" s="26" t="n">
        <f aca="false">ROUND(($U$2*MAX(0,MIN(1,($W$2-I127)/($W$2-$V$2)))+$U$3*MAX(0,MIN(1,($W$3-J127)/($W$3-$V$3)))+$U$4*MAX(0,MIN(1,($W$4-K127)/($W$4-$V$4)))+$U$5*MAX(0,MIN(1,($W$5-L127)/($W$5-$V$5)))+$U$6*MAX(0,MIN(1,($W$6-M127)/($W$6-$V$6)))+$U$7*MAX(0,MIN(1,($W$7-N127)/($W$7-$V$7)))+$U$8*IF(AND(O127&gt;=$V$8,O127&lt;=$W$8),1,0))/$U$9*100,2)</f>
        <v>95.67</v>
      </c>
      <c r="C127" s="27" t="s">
        <v>2391</v>
      </c>
      <c r="D127" s="25" t="s">
        <v>3459</v>
      </c>
      <c r="E127" s="25" t="s">
        <v>3447</v>
      </c>
      <c r="F127" s="25" t="s">
        <v>3457</v>
      </c>
      <c r="G127" s="33" t="s">
        <v>28</v>
      </c>
      <c r="H127" s="33" t="s">
        <v>24</v>
      </c>
      <c r="I127" s="25" t="n">
        <v>0</v>
      </c>
      <c r="J127" s="25" t="n">
        <v>0</v>
      </c>
      <c r="K127" s="25" t="n">
        <v>0</v>
      </c>
      <c r="L127" s="29" t="n">
        <v>0.79</v>
      </c>
      <c r="M127" s="30" t="n">
        <v>18.8</v>
      </c>
      <c r="N127" s="29" t="n">
        <v>0.36</v>
      </c>
      <c r="O127" s="25" t="n">
        <v>183</v>
      </c>
      <c r="P127" s="30" t="n">
        <v>4.55</v>
      </c>
      <c r="Q127" s="27"/>
      <c r="R127" s="27"/>
    </row>
    <row r="128" customFormat="false" ht="15" hidden="false" customHeight="false" outlineLevel="0" collapsed="false">
      <c r="A128" s="25" t="n">
        <f aca="false">IF(G128="REJECT",COUNTIF($G$2:$G$2277,"&lt;&gt;REJECT")+1+COUNTIFS($G$2:$G$2277,"REJECT",$B$2:$B$2277,"&gt;"&amp;B128),1+COUNTIFS($G$2:$G$2277,"&lt;&gt;REJECT",$B$2:$B$2277,"&gt;"&amp;B128))</f>
        <v>124</v>
      </c>
      <c r="B128" s="26" t="n">
        <f aca="false">ROUND(($U$2*MAX(0,MIN(1,($W$2-I128)/($W$2-$V$2)))+$U$3*MAX(0,MIN(1,($W$3-J128)/($W$3-$V$3)))+$U$4*MAX(0,MIN(1,($W$4-K128)/($W$4-$V$4)))+$U$5*MAX(0,MIN(1,($W$5-L128)/($W$5-$V$5)))+$U$6*MAX(0,MIN(1,($W$6-M128)/($W$6-$V$6)))+$U$7*MAX(0,MIN(1,($W$7-N128)/($W$7-$V$7)))+$U$8*IF(AND(O128&gt;=$V$8,O128&lt;=$W$8),1,0))/$U$9*100,2)</f>
        <v>95.67</v>
      </c>
      <c r="C128" s="27" t="s">
        <v>2941</v>
      </c>
      <c r="D128" s="25" t="s">
        <v>134</v>
      </c>
      <c r="E128" s="25" t="s">
        <v>3450</v>
      </c>
      <c r="F128" s="25" t="s">
        <v>3457</v>
      </c>
      <c r="G128" s="33" t="s">
        <v>28</v>
      </c>
      <c r="H128" s="33" t="s">
        <v>24</v>
      </c>
      <c r="I128" s="25" t="n">
        <v>0</v>
      </c>
      <c r="J128" s="25" t="n">
        <v>0</v>
      </c>
      <c r="K128" s="25" t="n">
        <v>0</v>
      </c>
      <c r="L128" s="29" t="n">
        <v>0.77</v>
      </c>
      <c r="M128" s="30" t="n">
        <v>10.01</v>
      </c>
      <c r="N128" s="29" t="n">
        <v>0.52</v>
      </c>
      <c r="O128" s="25" t="n">
        <v>185</v>
      </c>
      <c r="P128" s="30" t="n">
        <v>20.27</v>
      </c>
      <c r="Q128" s="27"/>
      <c r="R128" s="27"/>
    </row>
    <row r="129" customFormat="false" ht="15" hidden="false" customHeight="false" outlineLevel="0" collapsed="false">
      <c r="A129" s="25" t="n">
        <f aca="false">IF(G129="REJECT",COUNTIF($G$2:$G$2277,"&lt;&gt;REJECT")+1+COUNTIFS($G$2:$G$2277,"REJECT",$B$2:$B$2277,"&gt;"&amp;B129),1+COUNTIFS($G$2:$G$2277,"&lt;&gt;REJECT",$B$2:$B$2277,"&gt;"&amp;B129))</f>
        <v>128</v>
      </c>
      <c r="B129" s="26" t="n">
        <f aca="false">ROUND(($U$2*MAX(0,MIN(1,($W$2-I129)/($W$2-$V$2)))+$U$3*MAX(0,MIN(1,($W$3-J129)/($W$3-$V$3)))+$U$4*MAX(0,MIN(1,($W$4-K129)/($W$4-$V$4)))+$U$5*MAX(0,MIN(1,($W$5-L129)/($W$5-$V$5)))+$U$6*MAX(0,MIN(1,($W$6-M129)/($W$6-$V$6)))+$U$7*MAX(0,MIN(1,($W$7-N129)/($W$7-$V$7)))+$U$8*IF(AND(O129&gt;=$V$8,O129&lt;=$W$8),1,0))/$U$9*100,2)</f>
        <v>95.66</v>
      </c>
      <c r="C129" s="27" t="s">
        <v>1946</v>
      </c>
      <c r="D129" s="25" t="s">
        <v>134</v>
      </c>
      <c r="E129" s="25" t="s">
        <v>3447</v>
      </c>
      <c r="F129" s="25" t="s">
        <v>3457</v>
      </c>
      <c r="G129" s="33" t="s">
        <v>28</v>
      </c>
      <c r="H129" s="33" t="s">
        <v>24</v>
      </c>
      <c r="I129" s="25" t="n">
        <v>0</v>
      </c>
      <c r="J129" s="25" t="n">
        <v>0</v>
      </c>
      <c r="K129" s="25" t="n">
        <v>0</v>
      </c>
      <c r="L129" s="29" t="n">
        <v>0.77</v>
      </c>
      <c r="M129" s="30" t="n">
        <v>6.85</v>
      </c>
      <c r="N129" s="29" t="n">
        <v>0.84</v>
      </c>
      <c r="O129" s="25" t="n">
        <v>186</v>
      </c>
      <c r="P129" s="30" t="n">
        <v>-0.38</v>
      </c>
      <c r="Q129" s="27"/>
      <c r="R129" s="27"/>
    </row>
    <row r="130" customFormat="false" ht="15" hidden="false" customHeight="false" outlineLevel="0" collapsed="false">
      <c r="A130" s="25" t="n">
        <f aca="false">IF(G130="REJECT",COUNTIF($G$2:$G$2277,"&lt;&gt;REJECT")+1+COUNTIFS($G$2:$G$2277,"REJECT",$B$2:$B$2277,"&gt;"&amp;B130),1+COUNTIFS($G$2:$G$2277,"&lt;&gt;REJECT",$B$2:$B$2277,"&gt;"&amp;B130))</f>
        <v>129</v>
      </c>
      <c r="B130" s="26" t="n">
        <f aca="false">ROUND(($U$2*MAX(0,MIN(1,($W$2-I130)/($W$2-$V$2)))+$U$3*MAX(0,MIN(1,($W$3-J130)/($W$3-$V$3)))+$U$4*MAX(0,MIN(1,($W$4-K130)/($W$4-$V$4)))+$U$5*MAX(0,MIN(1,($W$5-L130)/($W$5-$V$5)))+$U$6*MAX(0,MIN(1,($W$6-M130)/($W$6-$V$6)))+$U$7*MAX(0,MIN(1,($W$7-N130)/($W$7-$V$7)))+$U$8*IF(AND(O130&gt;=$V$8,O130&lt;=$W$8),1,0))/$U$9*100,2)</f>
        <v>95.64</v>
      </c>
      <c r="C130" s="27" t="s">
        <v>1390</v>
      </c>
      <c r="D130" s="25" t="s">
        <v>134</v>
      </c>
      <c r="E130" s="25" t="s">
        <v>3447</v>
      </c>
      <c r="F130" s="25" t="s">
        <v>3457</v>
      </c>
      <c r="G130" s="33" t="s">
        <v>28</v>
      </c>
      <c r="H130" s="33" t="s">
        <v>24</v>
      </c>
      <c r="I130" s="25" t="n">
        <v>0</v>
      </c>
      <c r="J130" s="25" t="n">
        <v>0</v>
      </c>
      <c r="K130" s="25" t="n">
        <v>0</v>
      </c>
      <c r="L130" s="29" t="n">
        <v>0.77</v>
      </c>
      <c r="M130" s="30" t="n">
        <v>10.57</v>
      </c>
      <c r="N130" s="29" t="n">
        <v>0.48</v>
      </c>
      <c r="O130" s="25" t="n">
        <v>192</v>
      </c>
      <c r="P130" s="30" t="n">
        <v>2.77</v>
      </c>
      <c r="Q130" s="27"/>
      <c r="R130" s="27"/>
    </row>
    <row r="131" customFormat="false" ht="15" hidden="false" customHeight="false" outlineLevel="0" collapsed="false">
      <c r="A131" s="25" t="n">
        <f aca="false">IF(G131="REJECT",COUNTIF($G$2:$G$2277,"&lt;&gt;REJECT")+1+COUNTIFS($G$2:$G$2277,"REJECT",$B$2:$B$2277,"&gt;"&amp;B131),1+COUNTIFS($G$2:$G$2277,"&lt;&gt;REJECT",$B$2:$B$2277,"&gt;"&amp;B131))</f>
        <v>130</v>
      </c>
      <c r="B131" s="26" t="n">
        <f aca="false">ROUND(($U$2*MAX(0,MIN(1,($W$2-I131)/($W$2-$V$2)))+$U$3*MAX(0,MIN(1,($W$3-J131)/($W$3-$V$3)))+$U$4*MAX(0,MIN(1,($W$4-K131)/($W$4-$V$4)))+$U$5*MAX(0,MIN(1,($W$5-L131)/($W$5-$V$5)))+$U$6*MAX(0,MIN(1,($W$6-M131)/($W$6-$V$6)))+$U$7*MAX(0,MIN(1,($W$7-N131)/($W$7-$V$7)))+$U$8*IF(AND(O131&gt;=$V$8,O131&lt;=$W$8),1,0))/$U$9*100,2)</f>
        <v>95.62</v>
      </c>
      <c r="C131" s="27" t="s">
        <v>455</v>
      </c>
      <c r="D131" s="25" t="s">
        <v>134</v>
      </c>
      <c r="E131" s="25" t="s">
        <v>3450</v>
      </c>
      <c r="F131" s="25" t="s">
        <v>3448</v>
      </c>
      <c r="G131" s="28" t="s">
        <v>29</v>
      </c>
      <c r="H131" s="28" t="s">
        <v>25</v>
      </c>
      <c r="I131" s="25" t="n">
        <v>0</v>
      </c>
      <c r="J131" s="25" t="n">
        <v>0</v>
      </c>
      <c r="K131" s="25" t="n">
        <v>0</v>
      </c>
      <c r="L131" s="29" t="n">
        <v>0.78</v>
      </c>
      <c r="M131" s="30" t="n">
        <v>19.11</v>
      </c>
      <c r="N131" s="29" t="n">
        <v>0</v>
      </c>
      <c r="O131" s="25" t="n">
        <v>183</v>
      </c>
      <c r="P131" s="30" t="n">
        <v>15.66</v>
      </c>
      <c r="Q131" s="27"/>
      <c r="R131" s="27" t="s">
        <v>64</v>
      </c>
    </row>
    <row r="132" customFormat="false" ht="15" hidden="false" customHeight="false" outlineLevel="0" collapsed="false">
      <c r="A132" s="25" t="n">
        <f aca="false">IF(G132="REJECT",COUNTIF($G$2:$G$2277,"&lt;&gt;REJECT")+1+COUNTIFS($G$2:$G$2277,"REJECT",$B$2:$B$2277,"&gt;"&amp;B132),1+COUNTIFS($G$2:$G$2277,"&lt;&gt;REJECT",$B$2:$B$2277,"&gt;"&amp;B132))</f>
        <v>131</v>
      </c>
      <c r="B132" s="26" t="n">
        <f aca="false">ROUND(($U$2*MAX(0,MIN(1,($W$2-I132)/($W$2-$V$2)))+$U$3*MAX(0,MIN(1,($W$3-J132)/($W$3-$V$3)))+$U$4*MAX(0,MIN(1,($W$4-K132)/($W$4-$V$4)))+$U$5*MAX(0,MIN(1,($W$5-L132)/($W$5-$V$5)))+$U$6*MAX(0,MIN(1,($W$6-M132)/($W$6-$V$6)))+$U$7*MAX(0,MIN(1,($W$7-N132)/($W$7-$V$7)))+$U$8*IF(AND(O132&gt;=$V$8,O132&lt;=$W$8),1,0))/$U$9*100,2)</f>
        <v>95.61</v>
      </c>
      <c r="C132" s="27" t="s">
        <v>3202</v>
      </c>
      <c r="D132" s="25" t="s">
        <v>134</v>
      </c>
      <c r="E132" s="25" t="s">
        <v>3450</v>
      </c>
      <c r="F132" s="25" t="s">
        <v>3448</v>
      </c>
      <c r="G132" s="28" t="s">
        <v>29</v>
      </c>
      <c r="H132" s="28" t="s">
        <v>25</v>
      </c>
      <c r="I132" s="25" t="n">
        <v>0</v>
      </c>
      <c r="J132" s="25" t="n">
        <v>0</v>
      </c>
      <c r="K132" s="25" t="n">
        <v>0</v>
      </c>
      <c r="L132" s="29" t="n">
        <v>0.76</v>
      </c>
      <c r="M132" s="30" t="n">
        <v>5.93</v>
      </c>
      <c r="N132" s="29" t="n">
        <v>0.6</v>
      </c>
      <c r="O132" s="25" t="n">
        <v>184</v>
      </c>
      <c r="P132" s="30" t="n">
        <v>-1.21</v>
      </c>
      <c r="Q132" s="27"/>
      <c r="R132" s="27" t="s">
        <v>62</v>
      </c>
    </row>
    <row r="133" customFormat="false" ht="15" hidden="false" customHeight="false" outlineLevel="0" collapsed="false">
      <c r="A133" s="25" t="n">
        <f aca="false">IF(G133="REJECT",COUNTIF($G$2:$G$2277,"&lt;&gt;REJECT")+1+COUNTIFS($G$2:$G$2277,"REJECT",$B$2:$B$2277,"&gt;"&amp;B133),1+COUNTIFS($G$2:$G$2277,"&lt;&gt;REJECT",$B$2:$B$2277,"&gt;"&amp;B133))</f>
        <v>132</v>
      </c>
      <c r="B133" s="26" t="n">
        <f aca="false">ROUND(($U$2*MAX(0,MIN(1,($W$2-I133)/($W$2-$V$2)))+$U$3*MAX(0,MIN(1,($W$3-J133)/($W$3-$V$3)))+$U$4*MAX(0,MIN(1,($W$4-K133)/($W$4-$V$4)))+$U$5*MAX(0,MIN(1,($W$5-L133)/($W$5-$V$5)))+$U$6*MAX(0,MIN(1,($W$6-M133)/($W$6-$V$6)))+$U$7*MAX(0,MIN(1,($W$7-N133)/($W$7-$V$7)))+$U$8*IF(AND(O133&gt;=$V$8,O133&lt;=$W$8),1,0))/$U$9*100,2)</f>
        <v>95.6</v>
      </c>
      <c r="C133" s="27" t="s">
        <v>3177</v>
      </c>
      <c r="D133" s="25" t="s">
        <v>134</v>
      </c>
      <c r="E133" s="25" t="s">
        <v>3447</v>
      </c>
      <c r="F133" s="25" t="s">
        <v>3457</v>
      </c>
      <c r="G133" s="33" t="s">
        <v>28</v>
      </c>
      <c r="H133" s="33" t="s">
        <v>24</v>
      </c>
      <c r="I133" s="25" t="n">
        <v>0</v>
      </c>
      <c r="J133" s="25" t="n">
        <v>0</v>
      </c>
      <c r="K133" s="25" t="n">
        <v>0</v>
      </c>
      <c r="L133" s="29" t="n">
        <v>0.77</v>
      </c>
      <c r="M133" s="30" t="n">
        <v>8.79</v>
      </c>
      <c r="N133" s="29" t="n">
        <v>0.68</v>
      </c>
      <c r="O133" s="25" t="n">
        <v>200</v>
      </c>
      <c r="P133" s="30" t="n">
        <v>-1</v>
      </c>
      <c r="Q133" s="27"/>
      <c r="R133" s="27"/>
    </row>
    <row r="134" customFormat="false" ht="15" hidden="false" customHeight="false" outlineLevel="0" collapsed="false">
      <c r="A134" s="25" t="n">
        <f aca="false">IF(G134="REJECT",COUNTIF($G$2:$G$2277,"&lt;&gt;REJECT")+1+COUNTIFS($G$2:$G$2277,"REJECT",$B$2:$B$2277,"&gt;"&amp;B134),1+COUNTIFS($G$2:$G$2277,"&lt;&gt;REJECT",$B$2:$B$2277,"&gt;"&amp;B134))</f>
        <v>133</v>
      </c>
      <c r="B134" s="26" t="n">
        <f aca="false">ROUND(($U$2*MAX(0,MIN(1,($W$2-I134)/($W$2-$V$2)))+$U$3*MAX(0,MIN(1,($W$3-J134)/($W$3-$V$3)))+$U$4*MAX(0,MIN(1,($W$4-K134)/($W$4-$V$4)))+$U$5*MAX(0,MIN(1,($W$5-L134)/($W$5-$V$5)))+$U$6*MAX(0,MIN(1,($W$6-M134)/($W$6-$V$6)))+$U$7*MAX(0,MIN(1,($W$7-N134)/($W$7-$V$7)))+$U$8*IF(AND(O134&gt;=$V$8,O134&lt;=$W$8),1,0))/$U$9*100,2)</f>
        <v>95.56</v>
      </c>
      <c r="C134" s="27" t="s">
        <v>455</v>
      </c>
      <c r="D134" s="25" t="s">
        <v>3459</v>
      </c>
      <c r="E134" s="25" t="s">
        <v>3450</v>
      </c>
      <c r="F134" s="25" t="s">
        <v>3448</v>
      </c>
      <c r="G134" s="28" t="s">
        <v>29</v>
      </c>
      <c r="H134" s="28" t="s">
        <v>25</v>
      </c>
      <c r="I134" s="25" t="n">
        <v>0</v>
      </c>
      <c r="J134" s="25" t="n">
        <v>0</v>
      </c>
      <c r="K134" s="25" t="n">
        <v>0</v>
      </c>
      <c r="L134" s="29" t="n">
        <v>0.81</v>
      </c>
      <c r="M134" s="30" t="n">
        <v>25.04</v>
      </c>
      <c r="N134" s="29" t="n">
        <v>0.16</v>
      </c>
      <c r="O134" s="25" t="n">
        <v>183</v>
      </c>
      <c r="P134" s="30" t="n">
        <v>14.55</v>
      </c>
      <c r="Q134" s="27"/>
      <c r="R134" s="27" t="s">
        <v>61</v>
      </c>
    </row>
    <row r="135" customFormat="false" ht="15" hidden="false" customHeight="false" outlineLevel="0" collapsed="false">
      <c r="A135" s="25" t="n">
        <f aca="false">IF(G135="REJECT",COUNTIF($G$2:$G$2277,"&lt;&gt;REJECT")+1+COUNTIFS($G$2:$G$2277,"REJECT",$B$2:$B$2277,"&gt;"&amp;B135),1+COUNTIFS($G$2:$G$2277,"&lt;&gt;REJECT",$B$2:$B$2277,"&gt;"&amp;B135))</f>
        <v>134</v>
      </c>
      <c r="B135" s="26" t="n">
        <f aca="false">ROUND(($U$2*MAX(0,MIN(1,($W$2-I135)/($W$2-$V$2)))+$U$3*MAX(0,MIN(1,($W$3-J135)/($W$3-$V$3)))+$U$4*MAX(0,MIN(1,($W$4-K135)/($W$4-$V$4)))+$U$5*MAX(0,MIN(1,($W$5-L135)/($W$5-$V$5)))+$U$6*MAX(0,MIN(1,($W$6-M135)/($W$6-$V$6)))+$U$7*MAX(0,MIN(1,($W$7-N135)/($W$7-$V$7)))+$U$8*IF(AND(O135&gt;=$V$8,O135&lt;=$W$8),1,0))/$U$9*100,2)</f>
        <v>95.55</v>
      </c>
      <c r="C135" s="27" t="s">
        <v>273</v>
      </c>
      <c r="D135" s="25" t="s">
        <v>134</v>
      </c>
      <c r="E135" s="25" t="s">
        <v>3450</v>
      </c>
      <c r="F135" s="25" t="s">
        <v>3448</v>
      </c>
      <c r="G135" s="28" t="s">
        <v>29</v>
      </c>
      <c r="H135" s="28" t="s">
        <v>25</v>
      </c>
      <c r="I135" s="25" t="n">
        <v>0</v>
      </c>
      <c r="J135" s="25" t="n">
        <v>0</v>
      </c>
      <c r="K135" s="25" t="n">
        <v>0</v>
      </c>
      <c r="L135" s="29" t="n">
        <v>0.8</v>
      </c>
      <c r="M135" s="30" t="n">
        <v>20.28</v>
      </c>
      <c r="N135" s="29" t="n">
        <v>0.64</v>
      </c>
      <c r="O135" s="25" t="n">
        <v>212</v>
      </c>
      <c r="P135" s="30" t="n">
        <v>3.53</v>
      </c>
      <c r="Q135" s="27"/>
      <c r="R135" s="27" t="s">
        <v>61</v>
      </c>
    </row>
    <row r="136" customFormat="false" ht="15" hidden="false" customHeight="false" outlineLevel="0" collapsed="false">
      <c r="A136" s="25" t="n">
        <f aca="false">IF(G136="REJECT",COUNTIF($G$2:$G$2277,"&lt;&gt;REJECT")+1+COUNTIFS($G$2:$G$2277,"REJECT",$B$2:$B$2277,"&gt;"&amp;B136),1+COUNTIFS($G$2:$G$2277,"&lt;&gt;REJECT",$B$2:$B$2277,"&gt;"&amp;B136))</f>
        <v>134</v>
      </c>
      <c r="B136" s="26" t="n">
        <f aca="false">ROUND(($U$2*MAX(0,MIN(1,($W$2-I136)/($W$2-$V$2)))+$U$3*MAX(0,MIN(1,($W$3-J136)/($W$3-$V$3)))+$U$4*MAX(0,MIN(1,($W$4-K136)/($W$4-$V$4)))+$U$5*MAX(0,MIN(1,($W$5-L136)/($W$5-$V$5)))+$U$6*MAX(0,MIN(1,($W$6-M136)/($W$6-$V$6)))+$U$7*MAX(0,MIN(1,($W$7-N136)/($W$7-$V$7)))+$U$8*IF(AND(O136&gt;=$V$8,O136&lt;=$W$8),1,0))/$U$9*100,2)</f>
        <v>95.55</v>
      </c>
      <c r="C136" s="27" t="s">
        <v>480</v>
      </c>
      <c r="D136" s="25" t="s">
        <v>134</v>
      </c>
      <c r="E136" s="25" t="s">
        <v>3450</v>
      </c>
      <c r="F136" s="25" t="s">
        <v>3448</v>
      </c>
      <c r="G136" s="28" t="s">
        <v>29</v>
      </c>
      <c r="H136" s="28" t="s">
        <v>25</v>
      </c>
      <c r="I136" s="25" t="n">
        <v>0</v>
      </c>
      <c r="J136" s="25" t="n">
        <v>0</v>
      </c>
      <c r="K136" s="25" t="n">
        <v>0</v>
      </c>
      <c r="L136" s="29" t="n">
        <v>0.73</v>
      </c>
      <c r="M136" s="30" t="n">
        <v>1.51</v>
      </c>
      <c r="N136" s="29" t="n">
        <v>0</v>
      </c>
      <c r="O136" s="25" t="n">
        <v>183</v>
      </c>
      <c r="P136" s="30" t="n">
        <v>10.18</v>
      </c>
      <c r="Q136" s="27"/>
      <c r="R136" s="27" t="s">
        <v>64</v>
      </c>
    </row>
    <row r="137" customFormat="false" ht="15" hidden="false" customHeight="false" outlineLevel="0" collapsed="false">
      <c r="A137" s="25" t="n">
        <f aca="false">IF(G137="REJECT",COUNTIF($G$2:$G$2277,"&lt;&gt;REJECT")+1+COUNTIFS($G$2:$G$2277,"REJECT",$B$2:$B$2277,"&gt;"&amp;B137),1+COUNTIFS($G$2:$G$2277,"&lt;&gt;REJECT",$B$2:$B$2277,"&gt;"&amp;B137))</f>
        <v>136</v>
      </c>
      <c r="B137" s="26" t="n">
        <f aca="false">ROUND(($U$2*MAX(0,MIN(1,($W$2-I137)/($W$2-$V$2)))+$U$3*MAX(0,MIN(1,($W$3-J137)/($W$3-$V$3)))+$U$4*MAX(0,MIN(1,($W$4-K137)/($W$4-$V$4)))+$U$5*MAX(0,MIN(1,($W$5-L137)/($W$5-$V$5)))+$U$6*MAX(0,MIN(1,($W$6-M137)/($W$6-$V$6)))+$U$7*MAX(0,MIN(1,($W$7-N137)/($W$7-$V$7)))+$U$8*IF(AND(O137&gt;=$V$8,O137&lt;=$W$8),1,0))/$U$9*100,2)</f>
        <v>95.53</v>
      </c>
      <c r="C137" s="27" t="s">
        <v>852</v>
      </c>
      <c r="D137" s="25" t="s">
        <v>134</v>
      </c>
      <c r="E137" s="25" t="s">
        <v>3450</v>
      </c>
      <c r="F137" s="25" t="s">
        <v>3457</v>
      </c>
      <c r="G137" s="28" t="s">
        <v>29</v>
      </c>
      <c r="H137" s="28" t="s">
        <v>25</v>
      </c>
      <c r="I137" s="25" t="n">
        <v>0</v>
      </c>
      <c r="J137" s="25" t="n">
        <v>0</v>
      </c>
      <c r="K137" s="25" t="n">
        <v>0</v>
      </c>
      <c r="L137" s="29" t="n">
        <v>0.79</v>
      </c>
      <c r="M137" s="30" t="n">
        <v>21.25</v>
      </c>
      <c r="N137" s="29" t="n">
        <v>0.2</v>
      </c>
      <c r="O137" s="25" t="n">
        <v>191</v>
      </c>
      <c r="P137" s="30" t="n">
        <v>2.74</v>
      </c>
      <c r="Q137" s="27"/>
      <c r="R137" s="27" t="s">
        <v>3113</v>
      </c>
    </row>
    <row r="138" customFormat="false" ht="15" hidden="false" customHeight="false" outlineLevel="0" collapsed="false">
      <c r="A138" s="25" t="n">
        <f aca="false">IF(G138="REJECT",COUNTIF($G$2:$G$2277,"&lt;&gt;REJECT")+1+COUNTIFS($G$2:$G$2277,"REJECT",$B$2:$B$2277,"&gt;"&amp;B138),1+COUNTIFS($G$2:$G$2277,"&lt;&gt;REJECT",$B$2:$B$2277,"&gt;"&amp;B138))</f>
        <v>136</v>
      </c>
      <c r="B138" s="26" t="n">
        <f aca="false">ROUND(($U$2*MAX(0,MIN(1,($W$2-I138)/($W$2-$V$2)))+$U$3*MAX(0,MIN(1,($W$3-J138)/($W$3-$V$3)))+$U$4*MAX(0,MIN(1,($W$4-K138)/($W$4-$V$4)))+$U$5*MAX(0,MIN(1,($W$5-L138)/($W$5-$V$5)))+$U$6*MAX(0,MIN(1,($W$6-M138)/($W$6-$V$6)))+$U$7*MAX(0,MIN(1,($W$7-N138)/($W$7-$V$7)))+$U$8*IF(AND(O138&gt;=$V$8,O138&lt;=$W$8),1,0))/$U$9*100,2)</f>
        <v>95.53</v>
      </c>
      <c r="C138" s="27" t="s">
        <v>904</v>
      </c>
      <c r="D138" s="25" t="s">
        <v>134</v>
      </c>
      <c r="E138" s="25" t="s">
        <v>3450</v>
      </c>
      <c r="F138" s="25" t="s">
        <v>3448</v>
      </c>
      <c r="G138" s="33" t="s">
        <v>28</v>
      </c>
      <c r="H138" s="33" t="s">
        <v>24</v>
      </c>
      <c r="I138" s="25" t="n">
        <v>0</v>
      </c>
      <c r="J138" s="25" t="n">
        <v>0</v>
      </c>
      <c r="K138" s="25" t="n">
        <v>0</v>
      </c>
      <c r="L138" s="29" t="n">
        <v>0.74</v>
      </c>
      <c r="M138" s="30" t="n">
        <v>5.23</v>
      </c>
      <c r="N138" s="29" t="n">
        <v>0</v>
      </c>
      <c r="O138" s="25" t="n">
        <v>184</v>
      </c>
      <c r="P138" s="30" t="n">
        <v>5.89</v>
      </c>
      <c r="Q138" s="27"/>
      <c r="R138" s="27"/>
    </row>
    <row r="139" customFormat="false" ht="15" hidden="false" customHeight="false" outlineLevel="0" collapsed="false">
      <c r="A139" s="25" t="n">
        <f aca="false">IF(G139="REJECT",COUNTIF($G$2:$G$2277,"&lt;&gt;REJECT")+1+COUNTIFS($G$2:$G$2277,"REJECT",$B$2:$B$2277,"&gt;"&amp;B139),1+COUNTIFS($G$2:$G$2277,"&lt;&gt;REJECT",$B$2:$B$2277,"&gt;"&amp;B139))</f>
        <v>136</v>
      </c>
      <c r="B139" s="26" t="n">
        <f aca="false">ROUND(($U$2*MAX(0,MIN(1,($W$2-I139)/($W$2-$V$2)))+$U$3*MAX(0,MIN(1,($W$3-J139)/($W$3-$V$3)))+$U$4*MAX(0,MIN(1,($W$4-K139)/($W$4-$V$4)))+$U$5*MAX(0,MIN(1,($W$5-L139)/($W$5-$V$5)))+$U$6*MAX(0,MIN(1,($W$6-M139)/($W$6-$V$6)))+$U$7*MAX(0,MIN(1,($W$7-N139)/($W$7-$V$7)))+$U$8*IF(AND(O139&gt;=$V$8,O139&lt;=$W$8),1,0))/$U$9*100,2)</f>
        <v>95.53</v>
      </c>
      <c r="C139" s="27" t="s">
        <v>2016</v>
      </c>
      <c r="D139" s="25" t="s">
        <v>134</v>
      </c>
      <c r="E139" s="25" t="s">
        <v>3450</v>
      </c>
      <c r="F139" s="25" t="s">
        <v>3448</v>
      </c>
      <c r="G139" s="33" t="s">
        <v>28</v>
      </c>
      <c r="H139" s="33" t="s">
        <v>24</v>
      </c>
      <c r="I139" s="25" t="n">
        <v>0</v>
      </c>
      <c r="J139" s="25" t="n">
        <v>0</v>
      </c>
      <c r="K139" s="25" t="n">
        <v>0</v>
      </c>
      <c r="L139" s="29" t="n">
        <v>0.76</v>
      </c>
      <c r="M139" s="30" t="n">
        <v>11.23</v>
      </c>
      <c r="N139" s="29" t="n">
        <v>0.12</v>
      </c>
      <c r="O139" s="25" t="n">
        <v>185</v>
      </c>
      <c r="P139" s="30" t="n">
        <v>11.73</v>
      </c>
      <c r="Q139" s="27"/>
      <c r="R139" s="27"/>
    </row>
    <row r="140" customFormat="false" ht="15" hidden="false" customHeight="false" outlineLevel="0" collapsed="false">
      <c r="A140" s="25" t="n">
        <f aca="false">IF(G140="REJECT",COUNTIF($G$2:$G$2277,"&lt;&gt;REJECT")+1+COUNTIFS($G$2:$G$2277,"REJECT",$B$2:$B$2277,"&gt;"&amp;B140),1+COUNTIFS($G$2:$G$2277,"&lt;&gt;REJECT",$B$2:$B$2277,"&gt;"&amp;B140))</f>
        <v>139</v>
      </c>
      <c r="B140" s="26" t="n">
        <f aca="false">ROUND(($U$2*MAX(0,MIN(1,($W$2-I140)/($W$2-$V$2)))+$U$3*MAX(0,MIN(1,($W$3-J140)/($W$3-$V$3)))+$U$4*MAX(0,MIN(1,($W$4-K140)/($W$4-$V$4)))+$U$5*MAX(0,MIN(1,($W$5-L140)/($W$5-$V$5)))+$U$6*MAX(0,MIN(1,($W$6-M140)/($W$6-$V$6)))+$U$7*MAX(0,MIN(1,($W$7-N140)/($W$7-$V$7)))+$U$8*IF(AND(O140&gt;=$V$8,O140&lt;=$W$8),1,0))/$U$9*100,2)</f>
        <v>95.52</v>
      </c>
      <c r="C140" s="27" t="s">
        <v>1547</v>
      </c>
      <c r="D140" s="25" t="s">
        <v>134</v>
      </c>
      <c r="E140" s="25" t="s">
        <v>3450</v>
      </c>
      <c r="F140" s="25" t="s">
        <v>3457</v>
      </c>
      <c r="G140" s="28" t="s">
        <v>29</v>
      </c>
      <c r="H140" s="28" t="s">
        <v>25</v>
      </c>
      <c r="I140" s="25" t="n">
        <v>0</v>
      </c>
      <c r="J140" s="25" t="n">
        <v>0</v>
      </c>
      <c r="K140" s="25" t="n">
        <v>0</v>
      </c>
      <c r="L140" s="29" t="n">
        <v>0.78</v>
      </c>
      <c r="M140" s="30" t="n">
        <v>14.1</v>
      </c>
      <c r="N140" s="29" t="n">
        <v>0.56</v>
      </c>
      <c r="O140" s="25" t="n">
        <v>182</v>
      </c>
      <c r="P140" s="30" t="n">
        <v>5.08</v>
      </c>
      <c r="Q140" s="27"/>
      <c r="R140" s="27" t="s">
        <v>63</v>
      </c>
    </row>
    <row r="141" customFormat="false" ht="15" hidden="false" customHeight="false" outlineLevel="0" collapsed="false">
      <c r="A141" s="25" t="n">
        <f aca="false">IF(G141="REJECT",COUNTIF($G$2:$G$2277,"&lt;&gt;REJECT")+1+COUNTIFS($G$2:$G$2277,"REJECT",$B$2:$B$2277,"&gt;"&amp;B141),1+COUNTIFS($G$2:$G$2277,"&lt;&gt;REJECT",$B$2:$B$2277,"&gt;"&amp;B141))</f>
        <v>140</v>
      </c>
      <c r="B141" s="26" t="n">
        <f aca="false">ROUND(($U$2*MAX(0,MIN(1,($W$2-I141)/($W$2-$V$2)))+$U$3*MAX(0,MIN(1,($W$3-J141)/($W$3-$V$3)))+$U$4*MAX(0,MIN(1,($W$4-K141)/($W$4-$V$4)))+$U$5*MAX(0,MIN(1,($W$5-L141)/($W$5-$V$5)))+$U$6*MAX(0,MIN(1,($W$6-M141)/($W$6-$V$6)))+$U$7*MAX(0,MIN(1,($W$7-N141)/($W$7-$V$7)))+$U$8*IF(AND(O141&gt;=$V$8,O141&lt;=$W$8),1,0))/$U$9*100,2)</f>
        <v>95.49</v>
      </c>
      <c r="C141" s="27" t="s">
        <v>1278</v>
      </c>
      <c r="D141" s="25" t="s">
        <v>134</v>
      </c>
      <c r="E141" s="25" t="s">
        <v>3447</v>
      </c>
      <c r="F141" s="25" t="s">
        <v>3448</v>
      </c>
      <c r="G141" s="33" t="s">
        <v>28</v>
      </c>
      <c r="H141" s="33" t="s">
        <v>24</v>
      </c>
      <c r="I141" s="25" t="n">
        <v>0</v>
      </c>
      <c r="J141" s="25" t="n">
        <v>0</v>
      </c>
      <c r="K141" s="25" t="n">
        <v>0</v>
      </c>
      <c r="L141" s="29" t="n">
        <v>0.75</v>
      </c>
      <c r="M141" s="30" t="n">
        <v>7.44</v>
      </c>
      <c r="N141" s="29" t="n">
        <v>0.16</v>
      </c>
      <c r="O141" s="25" t="n">
        <v>183</v>
      </c>
      <c r="P141" s="30" t="n">
        <v>8.63</v>
      </c>
      <c r="Q141" s="27"/>
      <c r="R141" s="27"/>
    </row>
    <row r="142" customFormat="false" ht="15" hidden="false" customHeight="false" outlineLevel="0" collapsed="false">
      <c r="A142" s="25" t="n">
        <f aca="false">IF(G142="REJECT",COUNTIF($G$2:$G$2277,"&lt;&gt;REJECT")+1+COUNTIFS($G$2:$G$2277,"REJECT",$B$2:$B$2277,"&gt;"&amp;B142),1+COUNTIFS($G$2:$G$2277,"&lt;&gt;REJECT",$B$2:$B$2277,"&gt;"&amp;B142))</f>
        <v>141</v>
      </c>
      <c r="B142" s="26" t="n">
        <f aca="false">ROUND(($U$2*MAX(0,MIN(1,($W$2-I142)/($W$2-$V$2)))+$U$3*MAX(0,MIN(1,($W$3-J142)/($W$3-$V$3)))+$U$4*MAX(0,MIN(1,($W$4-K142)/($W$4-$V$4)))+$U$5*MAX(0,MIN(1,($W$5-L142)/($W$5-$V$5)))+$U$6*MAX(0,MIN(1,($W$6-M142)/($W$6-$V$6)))+$U$7*MAX(0,MIN(1,($W$7-N142)/($W$7-$V$7)))+$U$8*IF(AND(O142&gt;=$V$8,O142&lt;=$W$8),1,0))/$U$9*100,2)</f>
        <v>95.48</v>
      </c>
      <c r="C142" s="27" t="s">
        <v>2459</v>
      </c>
      <c r="D142" s="25" t="s">
        <v>134</v>
      </c>
      <c r="E142" s="25" t="s">
        <v>3450</v>
      </c>
      <c r="F142" s="25" t="s">
        <v>3448</v>
      </c>
      <c r="G142" s="28" t="s">
        <v>29</v>
      </c>
      <c r="H142" s="28" t="s">
        <v>25</v>
      </c>
      <c r="I142" s="25" t="n">
        <v>0</v>
      </c>
      <c r="J142" s="25" t="n">
        <v>0</v>
      </c>
      <c r="K142" s="25" t="n">
        <v>0</v>
      </c>
      <c r="L142" s="29" t="n">
        <v>0.81</v>
      </c>
      <c r="M142" s="30" t="n">
        <v>19.91</v>
      </c>
      <c r="N142" s="29" t="n">
        <v>0.72</v>
      </c>
      <c r="O142" s="25" t="n">
        <v>185</v>
      </c>
      <c r="P142" s="30" t="n">
        <v>6.24</v>
      </c>
      <c r="Q142" s="27"/>
      <c r="R142" s="27" t="s">
        <v>63</v>
      </c>
    </row>
    <row r="143" customFormat="false" ht="15" hidden="false" customHeight="false" outlineLevel="0" collapsed="false">
      <c r="A143" s="25" t="n">
        <f aca="false">IF(G143="REJECT",COUNTIF($G$2:$G$2277,"&lt;&gt;REJECT")+1+COUNTIFS($G$2:$G$2277,"REJECT",$B$2:$B$2277,"&gt;"&amp;B143),1+COUNTIFS($G$2:$G$2277,"&lt;&gt;REJECT",$B$2:$B$2277,"&gt;"&amp;B143))</f>
        <v>142</v>
      </c>
      <c r="B143" s="26" t="n">
        <f aca="false">ROUND(($U$2*MAX(0,MIN(1,($W$2-I143)/($W$2-$V$2)))+$U$3*MAX(0,MIN(1,($W$3-J143)/($W$3-$V$3)))+$U$4*MAX(0,MIN(1,($W$4-K143)/($W$4-$V$4)))+$U$5*MAX(0,MIN(1,($W$5-L143)/($W$5-$V$5)))+$U$6*MAX(0,MIN(1,($W$6-M143)/($W$6-$V$6)))+$U$7*MAX(0,MIN(1,($W$7-N143)/($W$7-$V$7)))+$U$8*IF(AND(O143&gt;=$V$8,O143&lt;=$W$8),1,0))/$U$9*100,2)</f>
        <v>95.47</v>
      </c>
      <c r="C143" s="27" t="s">
        <v>1215</v>
      </c>
      <c r="D143" s="25" t="s">
        <v>134</v>
      </c>
      <c r="E143" s="25" t="s">
        <v>3447</v>
      </c>
      <c r="F143" s="25" t="s">
        <v>3457</v>
      </c>
      <c r="G143" s="33" t="s">
        <v>28</v>
      </c>
      <c r="H143" s="33" t="s">
        <v>24</v>
      </c>
      <c r="I143" s="25" t="n">
        <v>0</v>
      </c>
      <c r="J143" s="25" t="n">
        <v>0</v>
      </c>
      <c r="K143" s="25" t="n">
        <v>0</v>
      </c>
      <c r="L143" s="29" t="n">
        <v>0.76</v>
      </c>
      <c r="M143" s="30" t="n">
        <v>12.77</v>
      </c>
      <c r="N143" s="29" t="n">
        <v>0</v>
      </c>
      <c r="O143" s="25" t="n">
        <v>184</v>
      </c>
      <c r="P143" s="30" t="n">
        <v>6.05</v>
      </c>
      <c r="Q143" s="27"/>
      <c r="R143" s="27"/>
    </row>
    <row r="144" customFormat="false" ht="15" hidden="false" customHeight="false" outlineLevel="0" collapsed="false">
      <c r="A144" s="25" t="n">
        <f aca="false">IF(G144="REJECT",COUNTIF($G$2:$G$2277,"&lt;&gt;REJECT")+1+COUNTIFS($G$2:$G$2277,"REJECT",$B$2:$B$2277,"&gt;"&amp;B144),1+COUNTIFS($G$2:$G$2277,"&lt;&gt;REJECT",$B$2:$B$2277,"&gt;"&amp;B144))</f>
        <v>143</v>
      </c>
      <c r="B144" s="26" t="n">
        <f aca="false">ROUND(($U$2*MAX(0,MIN(1,($W$2-I144)/($W$2-$V$2)))+$U$3*MAX(0,MIN(1,($W$3-J144)/($W$3-$V$3)))+$U$4*MAX(0,MIN(1,($W$4-K144)/($W$4-$V$4)))+$U$5*MAX(0,MIN(1,($W$5-L144)/($W$5-$V$5)))+$U$6*MAX(0,MIN(1,($W$6-M144)/($W$6-$V$6)))+$U$7*MAX(0,MIN(1,($W$7-N144)/($W$7-$V$7)))+$U$8*IF(AND(O144&gt;=$V$8,O144&lt;=$W$8),1,0))/$U$9*100,2)</f>
        <v>95.45</v>
      </c>
      <c r="C144" s="27" t="s">
        <v>2001</v>
      </c>
      <c r="D144" s="25" t="s">
        <v>134</v>
      </c>
      <c r="E144" s="25" t="s">
        <v>3450</v>
      </c>
      <c r="F144" s="25" t="s">
        <v>3457</v>
      </c>
      <c r="G144" s="28" t="s">
        <v>29</v>
      </c>
      <c r="H144" s="28" t="s">
        <v>25</v>
      </c>
      <c r="I144" s="25" t="n">
        <v>0</v>
      </c>
      <c r="J144" s="25" t="n">
        <v>0</v>
      </c>
      <c r="K144" s="25" t="n">
        <v>0</v>
      </c>
      <c r="L144" s="29" t="n">
        <v>0.8</v>
      </c>
      <c r="M144" s="30" t="n">
        <v>23.3</v>
      </c>
      <c r="N144" s="29" t="n">
        <v>0.4</v>
      </c>
      <c r="O144" s="25" t="n">
        <v>184</v>
      </c>
      <c r="P144" s="30" t="n">
        <v>3.82</v>
      </c>
      <c r="Q144" s="27"/>
      <c r="R144" s="27" t="s">
        <v>3470</v>
      </c>
    </row>
    <row r="145" customFormat="false" ht="15" hidden="false" customHeight="false" outlineLevel="0" collapsed="false">
      <c r="A145" s="25" t="n">
        <f aca="false">IF(G145="REJECT",COUNTIF($G$2:$G$2277,"&lt;&gt;REJECT")+1+COUNTIFS($G$2:$G$2277,"REJECT",$B$2:$B$2277,"&gt;"&amp;B145),1+COUNTIFS($G$2:$G$2277,"&lt;&gt;REJECT",$B$2:$B$2277,"&gt;"&amp;B145))</f>
        <v>144</v>
      </c>
      <c r="B145" s="26" t="n">
        <f aca="false">ROUND(($U$2*MAX(0,MIN(1,($W$2-I145)/($W$2-$V$2)))+$U$3*MAX(0,MIN(1,($W$3-J145)/($W$3-$V$3)))+$U$4*MAX(0,MIN(1,($W$4-K145)/($W$4-$V$4)))+$U$5*MAX(0,MIN(1,($W$5-L145)/($W$5-$V$5)))+$U$6*MAX(0,MIN(1,($W$6-M145)/($W$6-$V$6)))+$U$7*MAX(0,MIN(1,($W$7-N145)/($W$7-$V$7)))+$U$8*IF(AND(O145&gt;=$V$8,O145&lt;=$W$8),1,0))/$U$9*100,2)</f>
        <v>95.4</v>
      </c>
      <c r="C145" s="27" t="s">
        <v>215</v>
      </c>
      <c r="D145" s="25" t="s">
        <v>134</v>
      </c>
      <c r="E145" s="25" t="s">
        <v>3447</v>
      </c>
      <c r="F145" s="25" t="s">
        <v>3457</v>
      </c>
      <c r="G145" s="33" t="s">
        <v>28</v>
      </c>
      <c r="H145" s="33" t="s">
        <v>24</v>
      </c>
      <c r="I145" s="25" t="n">
        <v>0</v>
      </c>
      <c r="J145" s="25" t="n">
        <v>0</v>
      </c>
      <c r="K145" s="25" t="n">
        <v>0</v>
      </c>
      <c r="L145" s="29" t="n">
        <v>0.76</v>
      </c>
      <c r="M145" s="30" t="n">
        <v>6.03</v>
      </c>
      <c r="N145" s="29" t="n">
        <v>0.72</v>
      </c>
      <c r="O145" s="25" t="n">
        <v>184</v>
      </c>
      <c r="P145" s="30" t="n">
        <v>1.4</v>
      </c>
      <c r="Q145" s="27"/>
      <c r="R145" s="27"/>
    </row>
    <row r="146" customFormat="false" ht="15" hidden="false" customHeight="false" outlineLevel="0" collapsed="false">
      <c r="A146" s="25" t="n">
        <f aca="false">IF(G146="REJECT",COUNTIF($G$2:$G$2277,"&lt;&gt;REJECT")+1+COUNTIFS($G$2:$G$2277,"REJECT",$B$2:$B$2277,"&gt;"&amp;B146),1+COUNTIFS($G$2:$G$2277,"&lt;&gt;REJECT",$B$2:$B$2277,"&gt;"&amp;B146))</f>
        <v>144</v>
      </c>
      <c r="B146" s="26" t="n">
        <f aca="false">ROUND(($U$2*MAX(0,MIN(1,($W$2-I146)/($W$2-$V$2)))+$U$3*MAX(0,MIN(1,($W$3-J146)/($W$3-$V$3)))+$U$4*MAX(0,MIN(1,($W$4-K146)/($W$4-$V$4)))+$U$5*MAX(0,MIN(1,($W$5-L146)/($W$5-$V$5)))+$U$6*MAX(0,MIN(1,($W$6-M146)/($W$6-$V$6)))+$U$7*MAX(0,MIN(1,($W$7-N146)/($W$7-$V$7)))+$U$8*IF(AND(O146&gt;=$V$8,O146&lt;=$W$8),1,0))/$U$9*100,2)</f>
        <v>95.4</v>
      </c>
      <c r="C146" s="27" t="s">
        <v>609</v>
      </c>
      <c r="D146" s="25" t="s">
        <v>134</v>
      </c>
      <c r="E146" s="25" t="s">
        <v>3450</v>
      </c>
      <c r="F146" s="25" t="s">
        <v>3448</v>
      </c>
      <c r="G146" s="33" t="s">
        <v>28</v>
      </c>
      <c r="H146" s="33" t="s">
        <v>24</v>
      </c>
      <c r="I146" s="25" t="n">
        <v>0</v>
      </c>
      <c r="J146" s="25" t="n">
        <v>0</v>
      </c>
      <c r="K146" s="25" t="n">
        <v>0</v>
      </c>
      <c r="L146" s="29" t="n">
        <v>0.76</v>
      </c>
      <c r="M146" s="30" t="n">
        <v>9.98</v>
      </c>
      <c r="N146" s="29" t="n">
        <v>0.32</v>
      </c>
      <c r="O146" s="25" t="n">
        <v>183</v>
      </c>
      <c r="P146" s="30" t="n">
        <v>11.76</v>
      </c>
      <c r="Q146" s="27"/>
      <c r="R146" s="27"/>
    </row>
    <row r="147" customFormat="false" ht="15" hidden="false" customHeight="false" outlineLevel="0" collapsed="false">
      <c r="A147" s="25" t="n">
        <f aca="false">IF(G147="REJECT",COUNTIF($G$2:$G$2277,"&lt;&gt;REJECT")+1+COUNTIFS($G$2:$G$2277,"REJECT",$B$2:$B$2277,"&gt;"&amp;B147),1+COUNTIFS($G$2:$G$2277,"&lt;&gt;REJECT",$B$2:$B$2277,"&gt;"&amp;B147))</f>
        <v>144</v>
      </c>
      <c r="B147" s="26" t="n">
        <f aca="false">ROUND(($U$2*MAX(0,MIN(1,($W$2-I147)/($W$2-$V$2)))+$U$3*MAX(0,MIN(1,($W$3-J147)/($W$3-$V$3)))+$U$4*MAX(0,MIN(1,($W$4-K147)/($W$4-$V$4)))+$U$5*MAX(0,MIN(1,($W$5-L147)/($W$5-$V$5)))+$U$6*MAX(0,MIN(1,($W$6-M147)/($W$6-$V$6)))+$U$7*MAX(0,MIN(1,($W$7-N147)/($W$7-$V$7)))+$U$8*IF(AND(O147&gt;=$V$8,O147&lt;=$W$8),1,0))/$U$9*100,2)</f>
        <v>95.4</v>
      </c>
      <c r="C147" s="27" t="s">
        <v>1594</v>
      </c>
      <c r="D147" s="25" t="s">
        <v>134</v>
      </c>
      <c r="E147" s="25" t="s">
        <v>3450</v>
      </c>
      <c r="F147" s="25" t="s">
        <v>3448</v>
      </c>
      <c r="G147" s="28" t="s">
        <v>29</v>
      </c>
      <c r="H147" s="28" t="s">
        <v>25</v>
      </c>
      <c r="I147" s="25" t="n">
        <v>0</v>
      </c>
      <c r="J147" s="25" t="n">
        <v>0</v>
      </c>
      <c r="K147" s="25" t="n">
        <v>0</v>
      </c>
      <c r="L147" s="29" t="n">
        <v>0.76</v>
      </c>
      <c r="M147" s="30" t="n">
        <v>9.6</v>
      </c>
      <c r="N147" s="29" t="n">
        <v>0.36</v>
      </c>
      <c r="O147" s="25" t="n">
        <v>186</v>
      </c>
      <c r="P147" s="30" t="n">
        <v>1.65</v>
      </c>
      <c r="Q147" s="27"/>
      <c r="R147" s="27" t="s">
        <v>3451</v>
      </c>
    </row>
    <row r="148" customFormat="false" ht="15" hidden="false" customHeight="false" outlineLevel="0" collapsed="false">
      <c r="A148" s="25" t="n">
        <f aca="false">IF(G148="REJECT",COUNTIF($G$2:$G$2277,"&lt;&gt;REJECT")+1+COUNTIFS($G$2:$G$2277,"REJECT",$B$2:$B$2277,"&gt;"&amp;B148),1+COUNTIFS($G$2:$G$2277,"&lt;&gt;REJECT",$B$2:$B$2277,"&gt;"&amp;B148))</f>
        <v>147</v>
      </c>
      <c r="B148" s="26" t="n">
        <f aca="false">ROUND(($U$2*MAX(0,MIN(1,($W$2-I148)/($W$2-$V$2)))+$U$3*MAX(0,MIN(1,($W$3-J148)/($W$3-$V$3)))+$U$4*MAX(0,MIN(1,($W$4-K148)/($W$4-$V$4)))+$U$5*MAX(0,MIN(1,($W$5-L148)/($W$5-$V$5)))+$U$6*MAX(0,MIN(1,($W$6-M148)/($W$6-$V$6)))+$U$7*MAX(0,MIN(1,($W$7-N148)/($W$7-$V$7)))+$U$8*IF(AND(O148&gt;=$V$8,O148&lt;=$W$8),1,0))/$U$9*100,2)</f>
        <v>95.38</v>
      </c>
      <c r="C148" s="27" t="s">
        <v>2137</v>
      </c>
      <c r="D148" s="25" t="s">
        <v>134</v>
      </c>
      <c r="E148" s="25" t="s">
        <v>3447</v>
      </c>
      <c r="F148" s="25" t="s">
        <v>3457</v>
      </c>
      <c r="G148" s="28" t="s">
        <v>29</v>
      </c>
      <c r="H148" s="28" t="s">
        <v>25</v>
      </c>
      <c r="I148" s="25" t="n">
        <v>0</v>
      </c>
      <c r="J148" s="25" t="n">
        <v>0</v>
      </c>
      <c r="K148" s="25" t="n">
        <v>0</v>
      </c>
      <c r="L148" s="29" t="n">
        <v>0.75</v>
      </c>
      <c r="M148" s="30" t="n">
        <v>0.51</v>
      </c>
      <c r="N148" s="29" t="n">
        <v>0.92</v>
      </c>
      <c r="O148" s="25" t="n">
        <v>186</v>
      </c>
      <c r="P148" s="30" t="n">
        <v>-1.07</v>
      </c>
      <c r="Q148" s="27"/>
      <c r="R148" s="27" t="s">
        <v>63</v>
      </c>
    </row>
    <row r="149" customFormat="false" ht="15" hidden="false" customHeight="false" outlineLevel="0" collapsed="false">
      <c r="A149" s="25" t="n">
        <f aca="false">IF(G149="REJECT",COUNTIF($G$2:$G$2277,"&lt;&gt;REJECT")+1+COUNTIFS($G$2:$G$2277,"REJECT",$B$2:$B$2277,"&gt;"&amp;B149),1+COUNTIFS($G$2:$G$2277,"&lt;&gt;REJECT",$B$2:$B$2277,"&gt;"&amp;B149))</f>
        <v>147</v>
      </c>
      <c r="B149" s="26" t="n">
        <f aca="false">ROUND(($U$2*MAX(0,MIN(1,($W$2-I149)/($W$2-$V$2)))+$U$3*MAX(0,MIN(1,($W$3-J149)/($W$3-$V$3)))+$U$4*MAX(0,MIN(1,($W$4-K149)/($W$4-$V$4)))+$U$5*MAX(0,MIN(1,($W$5-L149)/($W$5-$V$5)))+$U$6*MAX(0,MIN(1,($W$6-M149)/($W$6-$V$6)))+$U$7*MAX(0,MIN(1,($W$7-N149)/($W$7-$V$7)))+$U$8*IF(AND(O149&gt;=$V$8,O149&lt;=$W$8),1,0))/$U$9*100,2)</f>
        <v>95.38</v>
      </c>
      <c r="C149" s="27" t="s">
        <v>3022</v>
      </c>
      <c r="D149" s="25" t="s">
        <v>134</v>
      </c>
      <c r="E149" s="25" t="s">
        <v>3450</v>
      </c>
      <c r="F149" s="25" t="s">
        <v>3448</v>
      </c>
      <c r="G149" s="28" t="s">
        <v>29</v>
      </c>
      <c r="H149" s="28" t="s">
        <v>25</v>
      </c>
      <c r="I149" s="25" t="n">
        <v>0</v>
      </c>
      <c r="J149" s="25" t="n">
        <v>0</v>
      </c>
      <c r="K149" s="25" t="n">
        <v>0</v>
      </c>
      <c r="L149" s="29" t="n">
        <v>0.76</v>
      </c>
      <c r="M149" s="30" t="n">
        <v>4.1</v>
      </c>
      <c r="N149" s="29" t="n">
        <v>0.92</v>
      </c>
      <c r="O149" s="25" t="n">
        <v>192</v>
      </c>
      <c r="P149" s="30" t="n">
        <v>-0.09</v>
      </c>
      <c r="Q149" s="27"/>
      <c r="R149" s="27" t="s">
        <v>62</v>
      </c>
    </row>
    <row r="150" customFormat="false" ht="15" hidden="false" customHeight="false" outlineLevel="0" collapsed="false">
      <c r="A150" s="25" t="n">
        <f aca="false">IF(G150="REJECT",COUNTIF($G$2:$G$2277,"&lt;&gt;REJECT")+1+COUNTIFS($G$2:$G$2277,"REJECT",$B$2:$B$2277,"&gt;"&amp;B150),1+COUNTIFS($G$2:$G$2277,"&lt;&gt;REJECT",$B$2:$B$2277,"&gt;"&amp;B150))</f>
        <v>149</v>
      </c>
      <c r="B150" s="26" t="n">
        <f aca="false">ROUND(($U$2*MAX(0,MIN(1,($W$2-I150)/($W$2-$V$2)))+$U$3*MAX(0,MIN(1,($W$3-J150)/($W$3-$V$3)))+$U$4*MAX(0,MIN(1,($W$4-K150)/($W$4-$V$4)))+$U$5*MAX(0,MIN(1,($W$5-L150)/($W$5-$V$5)))+$U$6*MAX(0,MIN(1,($W$6-M150)/($W$6-$V$6)))+$U$7*MAX(0,MIN(1,($W$7-N150)/($W$7-$V$7)))+$U$8*IF(AND(O150&gt;=$V$8,O150&lt;=$W$8),1,0))/$U$9*100,2)</f>
        <v>95.34</v>
      </c>
      <c r="C150" s="27" t="s">
        <v>1443</v>
      </c>
      <c r="D150" s="25" t="s">
        <v>3459</v>
      </c>
      <c r="E150" s="25" t="s">
        <v>3447</v>
      </c>
      <c r="F150" s="25" t="s">
        <v>3448</v>
      </c>
      <c r="G150" s="28" t="s">
        <v>29</v>
      </c>
      <c r="H150" s="28" t="s">
        <v>25</v>
      </c>
      <c r="I150" s="25" t="n">
        <v>0</v>
      </c>
      <c r="J150" s="25" t="n">
        <v>0</v>
      </c>
      <c r="K150" s="25" t="n">
        <v>0</v>
      </c>
      <c r="L150" s="29" t="n">
        <v>0.81</v>
      </c>
      <c r="M150" s="30" t="n">
        <v>23.95</v>
      </c>
      <c r="N150" s="29" t="n">
        <v>0.4</v>
      </c>
      <c r="O150" s="25" t="n">
        <v>185</v>
      </c>
      <c r="P150" s="30" t="n">
        <v>11.66</v>
      </c>
      <c r="Q150" s="27"/>
      <c r="R150" s="27" t="s">
        <v>61</v>
      </c>
    </row>
    <row r="151" customFormat="false" ht="15" hidden="false" customHeight="false" outlineLevel="0" collapsed="false">
      <c r="A151" s="25" t="n">
        <f aca="false">IF(G151="REJECT",COUNTIF($G$2:$G$2277,"&lt;&gt;REJECT")+1+COUNTIFS($G$2:$G$2277,"REJECT",$B$2:$B$2277,"&gt;"&amp;B151),1+COUNTIFS($G$2:$G$2277,"&lt;&gt;REJECT",$B$2:$B$2277,"&gt;"&amp;B151))</f>
        <v>150</v>
      </c>
      <c r="B151" s="26" t="n">
        <f aca="false">ROUND(($U$2*MAX(0,MIN(1,($W$2-I151)/($W$2-$V$2)))+$U$3*MAX(0,MIN(1,($W$3-J151)/($W$3-$V$3)))+$U$4*MAX(0,MIN(1,($W$4-K151)/($W$4-$V$4)))+$U$5*MAX(0,MIN(1,($W$5-L151)/($W$5-$V$5)))+$U$6*MAX(0,MIN(1,($W$6-M151)/($W$6-$V$6)))+$U$7*MAX(0,MIN(1,($W$7-N151)/($W$7-$V$7)))+$U$8*IF(AND(O151&gt;=$V$8,O151&lt;=$W$8),1,0))/$U$9*100,2)</f>
        <v>95.33</v>
      </c>
      <c r="C151" s="27" t="s">
        <v>720</v>
      </c>
      <c r="D151" s="25" t="s">
        <v>134</v>
      </c>
      <c r="E151" s="25" t="s">
        <v>3450</v>
      </c>
      <c r="F151" s="25" t="s">
        <v>3448</v>
      </c>
      <c r="G151" s="28" t="s">
        <v>29</v>
      </c>
      <c r="H151" s="28" t="s">
        <v>25</v>
      </c>
      <c r="I151" s="25" t="n">
        <v>0</v>
      </c>
      <c r="J151" s="25" t="n">
        <v>0</v>
      </c>
      <c r="K151" s="25" t="n">
        <v>0</v>
      </c>
      <c r="L151" s="29" t="n">
        <v>0.74</v>
      </c>
      <c r="M151" s="30" t="n">
        <v>6.43</v>
      </c>
      <c r="N151" s="29" t="n">
        <v>0</v>
      </c>
      <c r="O151" s="25" t="n">
        <v>183</v>
      </c>
      <c r="P151" s="30" t="n">
        <v>2.87</v>
      </c>
      <c r="Q151" s="27"/>
      <c r="R151" s="27" t="s">
        <v>62</v>
      </c>
    </row>
    <row r="152" customFormat="false" ht="15" hidden="false" customHeight="false" outlineLevel="0" collapsed="false">
      <c r="A152" s="25" t="n">
        <f aca="false">IF(G152="REJECT",COUNTIF($G$2:$G$2277,"&lt;&gt;REJECT")+1+COUNTIFS($G$2:$G$2277,"REJECT",$B$2:$B$2277,"&gt;"&amp;B152),1+COUNTIFS($G$2:$G$2277,"&lt;&gt;REJECT",$B$2:$B$2277,"&gt;"&amp;B152))</f>
        <v>151</v>
      </c>
      <c r="B152" s="26" t="n">
        <f aca="false">ROUND(($U$2*MAX(0,MIN(1,($W$2-I152)/($W$2-$V$2)))+$U$3*MAX(0,MIN(1,($W$3-J152)/($W$3-$V$3)))+$U$4*MAX(0,MIN(1,($W$4-K152)/($W$4-$V$4)))+$U$5*MAX(0,MIN(1,($W$5-L152)/($W$5-$V$5)))+$U$6*MAX(0,MIN(1,($W$6-M152)/($W$6-$V$6)))+$U$7*MAX(0,MIN(1,($W$7-N152)/($W$7-$V$7)))+$U$8*IF(AND(O152&gt;=$V$8,O152&lt;=$W$8),1,0))/$U$9*100,2)</f>
        <v>95.32</v>
      </c>
      <c r="C152" s="27" t="s">
        <v>1515</v>
      </c>
      <c r="D152" s="25" t="s">
        <v>134</v>
      </c>
      <c r="E152" s="25" t="s">
        <v>3450</v>
      </c>
      <c r="F152" s="25" t="s">
        <v>3457</v>
      </c>
      <c r="G152" s="33" t="s">
        <v>28</v>
      </c>
      <c r="H152" s="33" t="s">
        <v>24</v>
      </c>
      <c r="I152" s="25" t="n">
        <v>0</v>
      </c>
      <c r="J152" s="25" t="n">
        <v>0</v>
      </c>
      <c r="K152" s="25" t="n">
        <v>0</v>
      </c>
      <c r="L152" s="29" t="n">
        <v>0.75</v>
      </c>
      <c r="M152" s="30" t="n">
        <v>10.07</v>
      </c>
      <c r="N152" s="29" t="n">
        <v>0</v>
      </c>
      <c r="O152" s="25" t="n">
        <v>182</v>
      </c>
      <c r="P152" s="30" t="n">
        <v>4.85</v>
      </c>
      <c r="Q152" s="27"/>
      <c r="R152" s="27"/>
    </row>
    <row r="153" customFormat="false" ht="15" hidden="false" customHeight="false" outlineLevel="0" collapsed="false">
      <c r="A153" s="25" t="n">
        <f aca="false">IF(G153="REJECT",COUNTIF($G$2:$G$2277,"&lt;&gt;REJECT")+1+COUNTIFS($G$2:$G$2277,"REJECT",$B$2:$B$2277,"&gt;"&amp;B153),1+COUNTIFS($G$2:$G$2277,"&lt;&gt;REJECT",$B$2:$B$2277,"&gt;"&amp;B153))</f>
        <v>152</v>
      </c>
      <c r="B153" s="26" t="n">
        <f aca="false">ROUND(($U$2*MAX(0,MIN(1,($W$2-I153)/($W$2-$V$2)))+$U$3*MAX(0,MIN(1,($W$3-J153)/($W$3-$V$3)))+$U$4*MAX(0,MIN(1,($W$4-K153)/($W$4-$V$4)))+$U$5*MAX(0,MIN(1,($W$5-L153)/($W$5-$V$5)))+$U$6*MAX(0,MIN(1,($W$6-M153)/($W$6-$V$6)))+$U$7*MAX(0,MIN(1,($W$7-N153)/($W$7-$V$7)))+$U$8*IF(AND(O153&gt;=$V$8,O153&lt;=$W$8),1,0))/$U$9*100,2)</f>
        <v>95.3</v>
      </c>
      <c r="C153" s="27" t="s">
        <v>1103</v>
      </c>
      <c r="D153" s="25" t="s">
        <v>134</v>
      </c>
      <c r="E153" s="25" t="s">
        <v>3447</v>
      </c>
      <c r="F153" s="25" t="s">
        <v>3448</v>
      </c>
      <c r="G153" s="33" t="s">
        <v>28</v>
      </c>
      <c r="H153" s="33" t="s">
        <v>24</v>
      </c>
      <c r="I153" s="25" t="n">
        <v>0</v>
      </c>
      <c r="J153" s="25" t="n">
        <v>0</v>
      </c>
      <c r="K153" s="25" t="n">
        <v>0</v>
      </c>
      <c r="L153" s="29" t="n">
        <v>0.75</v>
      </c>
      <c r="M153" s="30" t="n">
        <v>6.22</v>
      </c>
      <c r="N153" s="29" t="n">
        <v>0.4</v>
      </c>
      <c r="O153" s="25" t="n">
        <v>192</v>
      </c>
      <c r="P153" s="30" t="n">
        <v>0.28</v>
      </c>
      <c r="Q153" s="27"/>
      <c r="R153" s="27"/>
    </row>
    <row r="154" customFormat="false" ht="15" hidden="false" customHeight="false" outlineLevel="0" collapsed="false">
      <c r="A154" s="25" t="n">
        <f aca="false">IF(G154="REJECT",COUNTIF($G$2:$G$2277,"&lt;&gt;REJECT")+1+COUNTIFS($G$2:$G$2277,"REJECT",$B$2:$B$2277,"&gt;"&amp;B154),1+COUNTIFS($G$2:$G$2277,"&lt;&gt;REJECT",$B$2:$B$2277,"&gt;"&amp;B154))</f>
        <v>153</v>
      </c>
      <c r="B154" s="26" t="n">
        <f aca="false">ROUND(($U$2*MAX(0,MIN(1,($W$2-I154)/($W$2-$V$2)))+$U$3*MAX(0,MIN(1,($W$3-J154)/($W$3-$V$3)))+$U$4*MAX(0,MIN(1,($W$4-K154)/($W$4-$V$4)))+$U$5*MAX(0,MIN(1,($W$5-L154)/($W$5-$V$5)))+$U$6*MAX(0,MIN(1,($W$6-M154)/($W$6-$V$6)))+$U$7*MAX(0,MIN(1,($W$7-N154)/($W$7-$V$7)))+$U$8*IF(AND(O154&gt;=$V$8,O154&lt;=$W$8),1,0))/$U$9*100,2)</f>
        <v>95.26</v>
      </c>
      <c r="C154" s="27" t="s">
        <v>1175</v>
      </c>
      <c r="D154" s="25" t="s">
        <v>134</v>
      </c>
      <c r="E154" s="25" t="s">
        <v>3447</v>
      </c>
      <c r="F154" s="25" t="s">
        <v>3448</v>
      </c>
      <c r="G154" s="28" t="s">
        <v>29</v>
      </c>
      <c r="H154" s="28" t="s">
        <v>25</v>
      </c>
      <c r="I154" s="25" t="n">
        <v>0</v>
      </c>
      <c r="J154" s="25" t="n">
        <v>0</v>
      </c>
      <c r="K154" s="25" t="n">
        <v>0</v>
      </c>
      <c r="L154" s="29" t="n">
        <v>0.81</v>
      </c>
      <c r="M154" s="30" t="n">
        <v>25.62</v>
      </c>
      <c r="N154" s="29" t="n">
        <v>0.28</v>
      </c>
      <c r="O154" s="25" t="n">
        <v>190</v>
      </c>
      <c r="P154" s="30" t="n">
        <v>1.26</v>
      </c>
      <c r="Q154" s="27"/>
      <c r="R154" s="27" t="s">
        <v>61</v>
      </c>
    </row>
    <row r="155" customFormat="false" ht="15" hidden="false" customHeight="false" outlineLevel="0" collapsed="false">
      <c r="A155" s="25" t="n">
        <f aca="false">IF(G155="REJECT",COUNTIF($G$2:$G$2277,"&lt;&gt;REJECT")+1+COUNTIFS($G$2:$G$2277,"REJECT",$B$2:$B$2277,"&gt;"&amp;B155),1+COUNTIFS($G$2:$G$2277,"&lt;&gt;REJECT",$B$2:$B$2277,"&gt;"&amp;B155))</f>
        <v>153</v>
      </c>
      <c r="B155" s="26" t="n">
        <f aca="false">ROUND(($U$2*MAX(0,MIN(1,($W$2-I155)/($W$2-$V$2)))+$U$3*MAX(0,MIN(1,($W$3-J155)/($W$3-$V$3)))+$U$4*MAX(0,MIN(1,($W$4-K155)/($W$4-$V$4)))+$U$5*MAX(0,MIN(1,($W$5-L155)/($W$5-$V$5)))+$U$6*MAX(0,MIN(1,($W$6-M155)/($W$6-$V$6)))+$U$7*MAX(0,MIN(1,($W$7-N155)/($W$7-$V$7)))+$U$8*IF(AND(O155&gt;=$V$8,O155&lt;=$W$8),1,0))/$U$9*100,2)</f>
        <v>95.26</v>
      </c>
      <c r="C155" s="27" t="s">
        <v>2143</v>
      </c>
      <c r="D155" s="25" t="s">
        <v>134</v>
      </c>
      <c r="E155" s="25" t="s">
        <v>3447</v>
      </c>
      <c r="F155" s="25" t="s">
        <v>3457</v>
      </c>
      <c r="G155" s="33" t="s">
        <v>28</v>
      </c>
      <c r="H155" s="33" t="s">
        <v>24</v>
      </c>
      <c r="I155" s="25" t="n">
        <v>0</v>
      </c>
      <c r="J155" s="25" t="n">
        <v>0</v>
      </c>
      <c r="K155" s="25" t="n">
        <v>0</v>
      </c>
      <c r="L155" s="29" t="n">
        <v>0.78</v>
      </c>
      <c r="M155" s="30" t="n">
        <v>18.83</v>
      </c>
      <c r="N155" s="29" t="n">
        <v>0.24</v>
      </c>
      <c r="O155" s="25" t="n">
        <v>189</v>
      </c>
      <c r="P155" s="30" t="n">
        <v>0.46</v>
      </c>
      <c r="Q155" s="27"/>
      <c r="R155" s="27"/>
    </row>
    <row r="156" customFormat="false" ht="15" hidden="false" customHeight="false" outlineLevel="0" collapsed="false">
      <c r="A156" s="25" t="n">
        <f aca="false">IF(G156="REJECT",COUNTIF($G$2:$G$2277,"&lt;&gt;REJECT")+1+COUNTIFS($G$2:$G$2277,"REJECT",$B$2:$B$2277,"&gt;"&amp;B156),1+COUNTIFS($G$2:$G$2277,"&lt;&gt;REJECT",$B$2:$B$2277,"&gt;"&amp;B156))</f>
        <v>155</v>
      </c>
      <c r="B156" s="26" t="n">
        <f aca="false">ROUND(($U$2*MAX(0,MIN(1,($W$2-I156)/($W$2-$V$2)))+$U$3*MAX(0,MIN(1,($W$3-J156)/($W$3-$V$3)))+$U$4*MAX(0,MIN(1,($W$4-K156)/($W$4-$V$4)))+$U$5*MAX(0,MIN(1,($W$5-L156)/($W$5-$V$5)))+$U$6*MAX(0,MIN(1,($W$6-M156)/($W$6-$V$6)))+$U$7*MAX(0,MIN(1,($W$7-N156)/($W$7-$V$7)))+$U$8*IF(AND(O156&gt;=$V$8,O156&lt;=$W$8),1,0))/$U$9*100,2)</f>
        <v>95.24</v>
      </c>
      <c r="C156" s="27" t="s">
        <v>874</v>
      </c>
      <c r="D156" s="25" t="s">
        <v>134</v>
      </c>
      <c r="E156" s="25" t="s">
        <v>3447</v>
      </c>
      <c r="F156" s="25" t="s">
        <v>3448</v>
      </c>
      <c r="G156" s="33" t="s">
        <v>28</v>
      </c>
      <c r="H156" s="33" t="s">
        <v>24</v>
      </c>
      <c r="I156" s="25" t="n">
        <v>0</v>
      </c>
      <c r="J156" s="25" t="n">
        <v>0</v>
      </c>
      <c r="K156" s="25" t="n">
        <v>0</v>
      </c>
      <c r="L156" s="29" t="n">
        <v>0.78</v>
      </c>
      <c r="M156" s="30" t="n">
        <v>16.15</v>
      </c>
      <c r="N156" s="29" t="n">
        <v>0.52</v>
      </c>
      <c r="O156" s="25" t="n">
        <v>189</v>
      </c>
      <c r="P156" s="30" t="n">
        <v>5.09</v>
      </c>
      <c r="Q156" s="27"/>
      <c r="R156" s="27"/>
    </row>
    <row r="157" customFormat="false" ht="15" hidden="false" customHeight="false" outlineLevel="0" collapsed="false">
      <c r="A157" s="25" t="n">
        <f aca="false">IF(G157="REJECT",COUNTIF($G$2:$G$2277,"&lt;&gt;REJECT")+1+COUNTIFS($G$2:$G$2277,"REJECT",$B$2:$B$2277,"&gt;"&amp;B157),1+COUNTIFS($G$2:$G$2277,"&lt;&gt;REJECT",$B$2:$B$2277,"&gt;"&amp;B157))</f>
        <v>156</v>
      </c>
      <c r="B157" s="26" t="n">
        <f aca="false">ROUND(($U$2*MAX(0,MIN(1,($W$2-I157)/($W$2-$V$2)))+$U$3*MAX(0,MIN(1,($W$3-J157)/($W$3-$V$3)))+$U$4*MAX(0,MIN(1,($W$4-K157)/($W$4-$V$4)))+$U$5*MAX(0,MIN(1,($W$5-L157)/($W$5-$V$5)))+$U$6*MAX(0,MIN(1,($W$6-M157)/($W$6-$V$6)))+$U$7*MAX(0,MIN(1,($W$7-N157)/($W$7-$V$7)))+$U$8*IF(AND(O157&gt;=$V$8,O157&lt;=$W$8),1,0))/$U$9*100,2)</f>
        <v>95.23</v>
      </c>
      <c r="C157" s="27" t="s">
        <v>2391</v>
      </c>
      <c r="D157" s="25" t="s">
        <v>134</v>
      </c>
      <c r="E157" s="25" t="s">
        <v>3447</v>
      </c>
      <c r="F157" s="25" t="s">
        <v>3448</v>
      </c>
      <c r="G157" s="33" t="s">
        <v>28</v>
      </c>
      <c r="H157" s="33" t="s">
        <v>24</v>
      </c>
      <c r="I157" s="25" t="n">
        <v>0</v>
      </c>
      <c r="J157" s="25" t="n">
        <v>0</v>
      </c>
      <c r="K157" s="25" t="n">
        <v>0</v>
      </c>
      <c r="L157" s="29" t="n">
        <v>0.77</v>
      </c>
      <c r="M157" s="30" t="n">
        <v>13.02</v>
      </c>
      <c r="N157" s="29" t="n">
        <v>0.48</v>
      </c>
      <c r="O157" s="25" t="n">
        <v>183</v>
      </c>
      <c r="P157" s="30" t="n">
        <v>6.93</v>
      </c>
      <c r="Q157" s="27"/>
      <c r="R157" s="27"/>
    </row>
    <row r="158" customFormat="false" ht="15" hidden="false" customHeight="false" outlineLevel="0" collapsed="false">
      <c r="A158" s="25" t="n">
        <f aca="false">IF(G158="REJECT",COUNTIF($G$2:$G$2277,"&lt;&gt;REJECT")+1+COUNTIFS($G$2:$G$2277,"REJECT",$B$2:$B$2277,"&gt;"&amp;B158),1+COUNTIFS($G$2:$G$2277,"&lt;&gt;REJECT",$B$2:$B$2277,"&gt;"&amp;B158))</f>
        <v>156</v>
      </c>
      <c r="B158" s="26" t="n">
        <f aca="false">ROUND(($U$2*MAX(0,MIN(1,($W$2-I158)/($W$2-$V$2)))+$U$3*MAX(0,MIN(1,($W$3-J158)/($W$3-$V$3)))+$U$4*MAX(0,MIN(1,($W$4-K158)/($W$4-$V$4)))+$U$5*MAX(0,MIN(1,($W$5-L158)/($W$5-$V$5)))+$U$6*MAX(0,MIN(1,($W$6-M158)/($W$6-$V$6)))+$U$7*MAX(0,MIN(1,($W$7-N158)/($W$7-$V$7)))+$U$8*IF(AND(O158&gt;=$V$8,O158&lt;=$W$8),1,0))/$U$9*100,2)</f>
        <v>95.23</v>
      </c>
      <c r="C158" s="27" t="s">
        <v>2523</v>
      </c>
      <c r="D158" s="25" t="s">
        <v>134</v>
      </c>
      <c r="E158" s="25" t="s">
        <v>3447</v>
      </c>
      <c r="F158" s="25" t="s">
        <v>3448</v>
      </c>
      <c r="G158" s="28" t="s">
        <v>29</v>
      </c>
      <c r="H158" s="28" t="s">
        <v>25</v>
      </c>
      <c r="I158" s="25" t="n">
        <v>0</v>
      </c>
      <c r="J158" s="25" t="n">
        <v>0</v>
      </c>
      <c r="K158" s="25" t="n">
        <v>0</v>
      </c>
      <c r="L158" s="29" t="n">
        <v>0.77</v>
      </c>
      <c r="M158" s="30" t="n">
        <v>13.44</v>
      </c>
      <c r="N158" s="29" t="n">
        <v>0.44</v>
      </c>
      <c r="O158" s="25" t="n">
        <v>186</v>
      </c>
      <c r="P158" s="30" t="n">
        <v>1.13</v>
      </c>
      <c r="Q158" s="27"/>
      <c r="R158" s="27" t="s">
        <v>64</v>
      </c>
    </row>
    <row r="159" customFormat="false" ht="15" hidden="false" customHeight="false" outlineLevel="0" collapsed="false">
      <c r="A159" s="25" t="n">
        <f aca="false">IF(G159="REJECT",COUNTIF($G$2:$G$2277,"&lt;&gt;REJECT")+1+COUNTIFS($G$2:$G$2277,"REJECT",$B$2:$B$2277,"&gt;"&amp;B159),1+COUNTIFS($G$2:$G$2277,"&lt;&gt;REJECT",$B$2:$B$2277,"&gt;"&amp;B159))</f>
        <v>156</v>
      </c>
      <c r="B159" s="26" t="n">
        <f aca="false">ROUND(($U$2*MAX(0,MIN(1,($W$2-I159)/($W$2-$V$2)))+$U$3*MAX(0,MIN(1,($W$3-J159)/($W$3-$V$3)))+$U$4*MAX(0,MIN(1,($W$4-K159)/($W$4-$V$4)))+$U$5*MAX(0,MIN(1,($W$5-L159)/($W$5-$V$5)))+$U$6*MAX(0,MIN(1,($W$6-M159)/($W$6-$V$6)))+$U$7*MAX(0,MIN(1,($W$7-N159)/($W$7-$V$7)))+$U$8*IF(AND(O159&gt;=$V$8,O159&lt;=$W$8),1,0))/$U$9*100,2)</f>
        <v>95.23</v>
      </c>
      <c r="C159" s="27" t="s">
        <v>2836</v>
      </c>
      <c r="D159" s="25" t="s">
        <v>134</v>
      </c>
      <c r="E159" s="25" t="s">
        <v>3450</v>
      </c>
      <c r="F159" s="25" t="s">
        <v>3457</v>
      </c>
      <c r="G159" s="28" t="s">
        <v>29</v>
      </c>
      <c r="H159" s="28" t="s">
        <v>25</v>
      </c>
      <c r="I159" s="25" t="n">
        <v>0</v>
      </c>
      <c r="J159" s="25" t="n">
        <v>0</v>
      </c>
      <c r="K159" s="25" t="n">
        <v>0</v>
      </c>
      <c r="L159" s="29" t="n">
        <v>0.81</v>
      </c>
      <c r="M159" s="30" t="n">
        <v>27.41</v>
      </c>
      <c r="N159" s="29" t="n">
        <v>0.12</v>
      </c>
      <c r="O159" s="25" t="n">
        <v>189</v>
      </c>
      <c r="P159" s="30" t="n">
        <v>6.63</v>
      </c>
      <c r="Q159" s="27"/>
      <c r="R159" s="27" t="s">
        <v>61</v>
      </c>
    </row>
    <row r="160" customFormat="false" ht="15" hidden="false" customHeight="false" outlineLevel="0" collapsed="false">
      <c r="A160" s="25" t="n">
        <f aca="false">IF(G160="REJECT",COUNTIF($G$2:$G$2277,"&lt;&gt;REJECT")+1+COUNTIFS($G$2:$G$2277,"REJECT",$B$2:$B$2277,"&gt;"&amp;B160),1+COUNTIFS($G$2:$G$2277,"&lt;&gt;REJECT",$B$2:$B$2277,"&gt;"&amp;B160))</f>
        <v>156</v>
      </c>
      <c r="B160" s="26" t="n">
        <f aca="false">ROUND(($U$2*MAX(0,MIN(1,($W$2-I160)/($W$2-$V$2)))+$U$3*MAX(0,MIN(1,($W$3-J160)/($W$3-$V$3)))+$U$4*MAX(0,MIN(1,($W$4-K160)/($W$4-$V$4)))+$U$5*MAX(0,MIN(1,($W$5-L160)/($W$5-$V$5)))+$U$6*MAX(0,MIN(1,($W$6-M160)/($W$6-$V$6)))+$U$7*MAX(0,MIN(1,($W$7-N160)/($W$7-$V$7)))+$U$8*IF(AND(O160&gt;=$V$8,O160&lt;=$W$8),1,0))/$U$9*100,2)</f>
        <v>95.23</v>
      </c>
      <c r="C160" s="27" t="s">
        <v>2965</v>
      </c>
      <c r="D160" s="25" t="s">
        <v>3459</v>
      </c>
      <c r="E160" s="25" t="s">
        <v>3450</v>
      </c>
      <c r="F160" s="25" t="s">
        <v>3448</v>
      </c>
      <c r="G160" s="28" t="s">
        <v>29</v>
      </c>
      <c r="H160" s="28" t="s">
        <v>25</v>
      </c>
      <c r="I160" s="25" t="n">
        <v>0</v>
      </c>
      <c r="J160" s="25" t="n">
        <v>0</v>
      </c>
      <c r="K160" s="25" t="n">
        <v>0</v>
      </c>
      <c r="L160" s="29" t="n">
        <v>0.8</v>
      </c>
      <c r="M160" s="30" t="n">
        <v>21.04</v>
      </c>
      <c r="N160" s="29" t="n">
        <v>0.76</v>
      </c>
      <c r="O160" s="25" t="n">
        <v>213</v>
      </c>
      <c r="P160" s="30" t="n">
        <v>14.88</v>
      </c>
      <c r="Q160" s="27"/>
      <c r="R160" s="27" t="s">
        <v>61</v>
      </c>
    </row>
    <row r="161" customFormat="false" ht="15" hidden="false" customHeight="false" outlineLevel="0" collapsed="false">
      <c r="A161" s="25" t="n">
        <f aca="false">IF(G161="REJECT",COUNTIF($G$2:$G$2277,"&lt;&gt;REJECT")+1+COUNTIFS($G$2:$G$2277,"REJECT",$B$2:$B$2277,"&gt;"&amp;B161),1+COUNTIFS($G$2:$G$2277,"&lt;&gt;REJECT",$B$2:$B$2277,"&gt;"&amp;B161))</f>
        <v>160</v>
      </c>
      <c r="B161" s="26" t="n">
        <f aca="false">ROUND(($U$2*MAX(0,MIN(1,($W$2-I161)/($W$2-$V$2)))+$U$3*MAX(0,MIN(1,($W$3-J161)/($W$3-$V$3)))+$U$4*MAX(0,MIN(1,($W$4-K161)/($W$4-$V$4)))+$U$5*MAX(0,MIN(1,($W$5-L161)/($W$5-$V$5)))+$U$6*MAX(0,MIN(1,($W$6-M161)/($W$6-$V$6)))+$U$7*MAX(0,MIN(1,($W$7-N161)/($W$7-$V$7)))+$U$8*IF(AND(O161&gt;=$V$8,O161&lt;=$W$8),1,0))/$U$9*100,2)</f>
        <v>95.22</v>
      </c>
      <c r="C161" s="27" t="s">
        <v>1278</v>
      </c>
      <c r="D161" s="25" t="s">
        <v>134</v>
      </c>
      <c r="E161" s="25" t="s">
        <v>3447</v>
      </c>
      <c r="F161" s="25" t="s">
        <v>3457</v>
      </c>
      <c r="G161" s="33" t="s">
        <v>28</v>
      </c>
      <c r="H161" s="33" t="s">
        <v>24</v>
      </c>
      <c r="I161" s="25" t="n">
        <v>0</v>
      </c>
      <c r="J161" s="25" t="n">
        <v>0</v>
      </c>
      <c r="K161" s="25" t="n">
        <v>0</v>
      </c>
      <c r="L161" s="29" t="n">
        <v>0.76</v>
      </c>
      <c r="M161" s="30" t="n">
        <v>7.9</v>
      </c>
      <c r="N161" s="29" t="n">
        <v>0.64</v>
      </c>
      <c r="O161" s="25" t="n">
        <v>185</v>
      </c>
      <c r="P161" s="30" t="n">
        <v>7.97</v>
      </c>
      <c r="Q161" s="27"/>
      <c r="R161" s="27"/>
    </row>
    <row r="162" customFormat="false" ht="15" hidden="false" customHeight="false" outlineLevel="0" collapsed="false">
      <c r="A162" s="25" t="n">
        <f aca="false">IF(G162="REJECT",COUNTIF($G$2:$G$2277,"&lt;&gt;REJECT")+1+COUNTIFS($G$2:$G$2277,"REJECT",$B$2:$B$2277,"&gt;"&amp;B162),1+COUNTIFS($G$2:$G$2277,"&lt;&gt;REJECT",$B$2:$B$2277,"&gt;"&amp;B162))</f>
        <v>160</v>
      </c>
      <c r="B162" s="26" t="n">
        <f aca="false">ROUND(($U$2*MAX(0,MIN(1,($W$2-I162)/($W$2-$V$2)))+$U$3*MAX(0,MIN(1,($W$3-J162)/($W$3-$V$3)))+$U$4*MAX(0,MIN(1,($W$4-K162)/($W$4-$V$4)))+$U$5*MAX(0,MIN(1,($W$5-L162)/($W$5-$V$5)))+$U$6*MAX(0,MIN(1,($W$6-M162)/($W$6-$V$6)))+$U$7*MAX(0,MIN(1,($W$7-N162)/($W$7-$V$7)))+$U$8*IF(AND(O162&gt;=$V$8,O162&lt;=$W$8),1,0))/$U$9*100,2)</f>
        <v>95.22</v>
      </c>
      <c r="C162" s="27" t="s">
        <v>2113</v>
      </c>
      <c r="D162" s="25" t="s">
        <v>134</v>
      </c>
      <c r="E162" s="25" t="s">
        <v>3447</v>
      </c>
      <c r="F162" s="25" t="s">
        <v>3448</v>
      </c>
      <c r="G162" s="28" t="s">
        <v>29</v>
      </c>
      <c r="H162" s="28" t="s">
        <v>25</v>
      </c>
      <c r="I162" s="25" t="n">
        <v>0</v>
      </c>
      <c r="J162" s="25" t="n">
        <v>0</v>
      </c>
      <c r="K162" s="25" t="n">
        <v>0</v>
      </c>
      <c r="L162" s="29" t="n">
        <v>0.81</v>
      </c>
      <c r="M162" s="30" t="n">
        <v>28.66</v>
      </c>
      <c r="N162" s="29" t="n">
        <v>0</v>
      </c>
      <c r="O162" s="25" t="n">
        <v>192</v>
      </c>
      <c r="P162" s="30" t="n">
        <v>2.84</v>
      </c>
      <c r="Q162" s="27"/>
      <c r="R162" s="27" t="s">
        <v>61</v>
      </c>
    </row>
    <row r="163" customFormat="false" ht="15" hidden="false" customHeight="false" outlineLevel="0" collapsed="false">
      <c r="A163" s="25" t="n">
        <f aca="false">IF(G163="REJECT",COUNTIF($G$2:$G$2277,"&lt;&gt;REJECT")+1+COUNTIFS($G$2:$G$2277,"REJECT",$B$2:$B$2277,"&gt;"&amp;B163),1+COUNTIFS($G$2:$G$2277,"&lt;&gt;REJECT",$B$2:$B$2277,"&gt;"&amp;B163))</f>
        <v>162</v>
      </c>
      <c r="B163" s="26" t="n">
        <f aca="false">ROUND(($U$2*MAX(0,MIN(1,($W$2-I163)/($W$2-$V$2)))+$U$3*MAX(0,MIN(1,($W$3-J163)/($W$3-$V$3)))+$U$4*MAX(0,MIN(1,($W$4-K163)/($W$4-$V$4)))+$U$5*MAX(0,MIN(1,($W$5-L163)/($W$5-$V$5)))+$U$6*MAX(0,MIN(1,($W$6-M163)/($W$6-$V$6)))+$U$7*MAX(0,MIN(1,($W$7-N163)/($W$7-$V$7)))+$U$8*IF(AND(O163&gt;=$V$8,O163&lt;=$W$8),1,0))/$U$9*100,2)</f>
        <v>95.19</v>
      </c>
      <c r="C163" s="27" t="s">
        <v>1465</v>
      </c>
      <c r="D163" s="25" t="s">
        <v>134</v>
      </c>
      <c r="E163" s="25" t="s">
        <v>3447</v>
      </c>
      <c r="F163" s="25" t="s">
        <v>3457</v>
      </c>
      <c r="G163" s="28" t="s">
        <v>29</v>
      </c>
      <c r="H163" s="28" t="s">
        <v>25</v>
      </c>
      <c r="I163" s="25" t="n">
        <v>0</v>
      </c>
      <c r="J163" s="25" t="n">
        <v>0</v>
      </c>
      <c r="K163" s="25" t="n">
        <v>0</v>
      </c>
      <c r="L163" s="29" t="n">
        <v>0.79</v>
      </c>
      <c r="M163" s="30" t="n">
        <v>23.64</v>
      </c>
      <c r="N163" s="29" t="n">
        <v>0.16</v>
      </c>
      <c r="O163" s="25" t="n">
        <v>187</v>
      </c>
      <c r="P163" s="30" t="n">
        <v>5.05</v>
      </c>
      <c r="Q163" s="27"/>
      <c r="R163" s="27" t="s">
        <v>61</v>
      </c>
    </row>
    <row r="164" customFormat="false" ht="15" hidden="false" customHeight="false" outlineLevel="0" collapsed="false">
      <c r="A164" s="25" t="n">
        <f aca="false">IF(G164="REJECT",COUNTIF($G$2:$G$2277,"&lt;&gt;REJECT")+1+COUNTIFS($G$2:$G$2277,"REJECT",$B$2:$B$2277,"&gt;"&amp;B164),1+COUNTIFS($G$2:$G$2277,"&lt;&gt;REJECT",$B$2:$B$2277,"&gt;"&amp;B164))</f>
        <v>162</v>
      </c>
      <c r="B164" s="26" t="n">
        <f aca="false">ROUND(($U$2*MAX(0,MIN(1,($W$2-I164)/($W$2-$V$2)))+$U$3*MAX(0,MIN(1,($W$3-J164)/($W$3-$V$3)))+$U$4*MAX(0,MIN(1,($W$4-K164)/($W$4-$V$4)))+$U$5*MAX(0,MIN(1,($W$5-L164)/($W$5-$V$5)))+$U$6*MAX(0,MIN(1,($W$6-M164)/($W$6-$V$6)))+$U$7*MAX(0,MIN(1,($W$7-N164)/($W$7-$V$7)))+$U$8*IF(AND(O164&gt;=$V$8,O164&lt;=$W$8),1,0))/$U$9*100,2)</f>
        <v>95.19</v>
      </c>
      <c r="C164" s="27" t="s">
        <v>2423</v>
      </c>
      <c r="D164" s="25" t="s">
        <v>134</v>
      </c>
      <c r="E164" s="25" t="s">
        <v>3450</v>
      </c>
      <c r="F164" s="25" t="s">
        <v>3457</v>
      </c>
      <c r="G164" s="33" t="s">
        <v>28</v>
      </c>
      <c r="H164" s="33" t="s">
        <v>24</v>
      </c>
      <c r="I164" s="25" t="n">
        <v>0</v>
      </c>
      <c r="J164" s="25" t="n">
        <v>0</v>
      </c>
      <c r="K164" s="25" t="n">
        <v>0</v>
      </c>
      <c r="L164" s="29" t="n">
        <v>0.76</v>
      </c>
      <c r="M164" s="30" t="n">
        <v>6.85</v>
      </c>
      <c r="N164" s="29" t="n">
        <v>0.76</v>
      </c>
      <c r="O164" s="25" t="n">
        <v>185</v>
      </c>
      <c r="P164" s="30" t="n">
        <v>10.85</v>
      </c>
      <c r="Q164" s="27"/>
      <c r="R164" s="27"/>
    </row>
    <row r="165" customFormat="false" ht="15" hidden="false" customHeight="false" outlineLevel="0" collapsed="false">
      <c r="A165" s="25" t="n">
        <f aca="false">IF(G165="REJECT",COUNTIF($G$2:$G$2277,"&lt;&gt;REJECT")+1+COUNTIFS($G$2:$G$2277,"REJECT",$B$2:$B$2277,"&gt;"&amp;B165),1+COUNTIFS($G$2:$G$2277,"&lt;&gt;REJECT",$B$2:$B$2277,"&gt;"&amp;B165))</f>
        <v>164</v>
      </c>
      <c r="B165" s="26" t="n">
        <f aca="false">ROUND(($U$2*MAX(0,MIN(1,($W$2-I165)/($W$2-$V$2)))+$U$3*MAX(0,MIN(1,($W$3-J165)/($W$3-$V$3)))+$U$4*MAX(0,MIN(1,($W$4-K165)/($W$4-$V$4)))+$U$5*MAX(0,MIN(1,($W$5-L165)/($W$5-$V$5)))+$U$6*MAX(0,MIN(1,($W$6-M165)/($W$6-$V$6)))+$U$7*MAX(0,MIN(1,($W$7-N165)/($W$7-$V$7)))+$U$8*IF(AND(O165&gt;=$V$8,O165&lt;=$W$8),1,0))/$U$9*100,2)</f>
        <v>95.18</v>
      </c>
      <c r="C165" s="27" t="s">
        <v>923</v>
      </c>
      <c r="D165" s="25" t="s">
        <v>3459</v>
      </c>
      <c r="E165" s="25" t="s">
        <v>3447</v>
      </c>
      <c r="F165" s="25" t="s">
        <v>3457</v>
      </c>
      <c r="G165" s="28" t="s">
        <v>29</v>
      </c>
      <c r="H165" s="28" t="s">
        <v>25</v>
      </c>
      <c r="I165" s="25" t="n">
        <v>0</v>
      </c>
      <c r="J165" s="25" t="n">
        <v>0</v>
      </c>
      <c r="K165" s="25" t="n">
        <v>0</v>
      </c>
      <c r="L165" s="29" t="n">
        <v>0.83</v>
      </c>
      <c r="M165" s="30" t="n">
        <v>20.15</v>
      </c>
      <c r="N165" s="29" t="n">
        <v>0.88</v>
      </c>
      <c r="O165" s="25" t="n">
        <v>184</v>
      </c>
      <c r="P165" s="30" t="n">
        <v>1.45</v>
      </c>
      <c r="Q165" s="27"/>
      <c r="R165" s="27" t="s">
        <v>61</v>
      </c>
    </row>
    <row r="166" customFormat="false" ht="15" hidden="false" customHeight="false" outlineLevel="0" collapsed="false">
      <c r="A166" s="25" t="n">
        <f aca="false">IF(G166="REJECT",COUNTIF($G$2:$G$2277,"&lt;&gt;REJECT")+1+COUNTIFS($G$2:$G$2277,"REJECT",$B$2:$B$2277,"&gt;"&amp;B166),1+COUNTIFS($G$2:$G$2277,"&lt;&gt;REJECT",$B$2:$B$2277,"&gt;"&amp;B166))</f>
        <v>164</v>
      </c>
      <c r="B166" s="26" t="n">
        <f aca="false">ROUND(($U$2*MAX(0,MIN(1,($W$2-I166)/($W$2-$V$2)))+$U$3*MAX(0,MIN(1,($W$3-J166)/($W$3-$V$3)))+$U$4*MAX(0,MIN(1,($W$4-K166)/($W$4-$V$4)))+$U$5*MAX(0,MIN(1,($W$5-L166)/($W$5-$V$5)))+$U$6*MAX(0,MIN(1,($W$6-M166)/($W$6-$V$6)))+$U$7*MAX(0,MIN(1,($W$7-N166)/($W$7-$V$7)))+$U$8*IF(AND(O166&gt;=$V$8,O166&lt;=$W$8),1,0))/$U$9*100,2)</f>
        <v>95.18</v>
      </c>
      <c r="C166" s="27" t="s">
        <v>1346</v>
      </c>
      <c r="D166" s="25" t="s">
        <v>3459</v>
      </c>
      <c r="E166" s="25" t="s">
        <v>3450</v>
      </c>
      <c r="F166" s="25" t="s">
        <v>3448</v>
      </c>
      <c r="G166" s="28" t="s">
        <v>29</v>
      </c>
      <c r="H166" s="28" t="s">
        <v>25</v>
      </c>
      <c r="I166" s="25" t="n">
        <v>0</v>
      </c>
      <c r="J166" s="25" t="n">
        <v>0</v>
      </c>
      <c r="K166" s="25" t="n">
        <v>0</v>
      </c>
      <c r="L166" s="29" t="n">
        <v>0.8</v>
      </c>
      <c r="M166" s="30" t="n">
        <v>25.74</v>
      </c>
      <c r="N166" s="29" t="n">
        <v>0.32</v>
      </c>
      <c r="O166" s="25" t="n">
        <v>183</v>
      </c>
      <c r="P166" s="30" t="n">
        <v>11.63</v>
      </c>
      <c r="Q166" s="27"/>
      <c r="R166" s="27" t="s">
        <v>3470</v>
      </c>
    </row>
    <row r="167" customFormat="false" ht="15" hidden="false" customHeight="false" outlineLevel="0" collapsed="false">
      <c r="A167" s="25" t="n">
        <f aca="false">IF(G167="REJECT",COUNTIF($G$2:$G$2277,"&lt;&gt;REJECT")+1+COUNTIFS($G$2:$G$2277,"REJECT",$B$2:$B$2277,"&gt;"&amp;B167),1+COUNTIFS($G$2:$G$2277,"&lt;&gt;REJECT",$B$2:$B$2277,"&gt;"&amp;B167))</f>
        <v>166</v>
      </c>
      <c r="B167" s="26" t="n">
        <f aca="false">ROUND(($U$2*MAX(0,MIN(1,($W$2-I167)/($W$2-$V$2)))+$U$3*MAX(0,MIN(1,($W$3-J167)/($W$3-$V$3)))+$U$4*MAX(0,MIN(1,($W$4-K167)/($W$4-$V$4)))+$U$5*MAX(0,MIN(1,($W$5-L167)/($W$5-$V$5)))+$U$6*MAX(0,MIN(1,($W$6-M167)/($W$6-$V$6)))+$U$7*MAX(0,MIN(1,($W$7-N167)/($W$7-$V$7)))+$U$8*IF(AND(O167&gt;=$V$8,O167&lt;=$W$8),1,0))/$U$9*100,2)</f>
        <v>95.14</v>
      </c>
      <c r="C167" s="27" t="s">
        <v>160</v>
      </c>
      <c r="D167" s="25" t="s">
        <v>134</v>
      </c>
      <c r="E167" s="25" t="s">
        <v>3450</v>
      </c>
      <c r="F167" s="25" t="s">
        <v>3448</v>
      </c>
      <c r="G167" s="28" t="s">
        <v>29</v>
      </c>
      <c r="H167" s="28" t="s">
        <v>25</v>
      </c>
      <c r="I167" s="25" t="n">
        <v>0</v>
      </c>
      <c r="J167" s="25" t="n">
        <v>0</v>
      </c>
      <c r="K167" s="25" t="n">
        <v>0</v>
      </c>
      <c r="L167" s="29" t="n">
        <v>0.78</v>
      </c>
      <c r="M167" s="30" t="n">
        <v>18.39</v>
      </c>
      <c r="N167" s="29" t="n">
        <v>0.36</v>
      </c>
      <c r="O167" s="25" t="n">
        <v>189</v>
      </c>
      <c r="P167" s="30" t="n">
        <v>6.12</v>
      </c>
      <c r="Q167" s="27"/>
      <c r="R167" s="27" t="s">
        <v>64</v>
      </c>
    </row>
    <row r="168" customFormat="false" ht="15" hidden="false" customHeight="false" outlineLevel="0" collapsed="false">
      <c r="A168" s="25" t="n">
        <f aca="false">IF(G168="REJECT",COUNTIF($G$2:$G$2277,"&lt;&gt;REJECT")+1+COUNTIFS($G$2:$G$2277,"REJECT",$B$2:$B$2277,"&gt;"&amp;B168),1+COUNTIFS($G$2:$G$2277,"&lt;&gt;REJECT",$B$2:$B$2277,"&gt;"&amp;B168))</f>
        <v>166</v>
      </c>
      <c r="B168" s="26" t="n">
        <f aca="false">ROUND(($U$2*MAX(0,MIN(1,($W$2-I168)/($W$2-$V$2)))+$U$3*MAX(0,MIN(1,($W$3-J168)/($W$3-$V$3)))+$U$4*MAX(0,MIN(1,($W$4-K168)/($W$4-$V$4)))+$U$5*MAX(0,MIN(1,($W$5-L168)/($W$5-$V$5)))+$U$6*MAX(0,MIN(1,($W$6-M168)/($W$6-$V$6)))+$U$7*MAX(0,MIN(1,($W$7-N168)/($W$7-$V$7)))+$U$8*IF(AND(O168&gt;=$V$8,O168&lt;=$W$8),1,0))/$U$9*100,2)</f>
        <v>95.14</v>
      </c>
      <c r="C168" s="27" t="s">
        <v>1614</v>
      </c>
      <c r="D168" s="25" t="s">
        <v>134</v>
      </c>
      <c r="E168" s="25" t="s">
        <v>3450</v>
      </c>
      <c r="F168" s="25" t="s">
        <v>3448</v>
      </c>
      <c r="G168" s="33" t="s">
        <v>28</v>
      </c>
      <c r="H168" s="33" t="s">
        <v>24</v>
      </c>
      <c r="I168" s="25" t="n">
        <v>0</v>
      </c>
      <c r="J168" s="25" t="n">
        <v>0</v>
      </c>
      <c r="K168" s="25" t="n">
        <v>0</v>
      </c>
      <c r="L168" s="29" t="n">
        <v>0.78</v>
      </c>
      <c r="M168" s="30" t="n">
        <v>17.96</v>
      </c>
      <c r="N168" s="29" t="n">
        <v>0.4</v>
      </c>
      <c r="O168" s="25" t="n">
        <v>182</v>
      </c>
      <c r="P168" s="30" t="n">
        <v>8.21</v>
      </c>
      <c r="Q168" s="27"/>
      <c r="R168" s="27"/>
    </row>
    <row r="169" customFormat="false" ht="15" hidden="false" customHeight="false" outlineLevel="0" collapsed="false">
      <c r="A169" s="25" t="n">
        <f aca="false">IF(G169="REJECT",COUNTIF($G$2:$G$2277,"&lt;&gt;REJECT")+1+COUNTIFS($G$2:$G$2277,"REJECT",$B$2:$B$2277,"&gt;"&amp;B169),1+COUNTIFS($G$2:$G$2277,"&lt;&gt;REJECT",$B$2:$B$2277,"&gt;"&amp;B169))</f>
        <v>168</v>
      </c>
      <c r="B169" s="26" t="n">
        <f aca="false">ROUND(($U$2*MAX(0,MIN(1,($W$2-I169)/($W$2-$V$2)))+$U$3*MAX(0,MIN(1,($W$3-J169)/($W$3-$V$3)))+$U$4*MAX(0,MIN(1,($W$4-K169)/($W$4-$V$4)))+$U$5*MAX(0,MIN(1,($W$5-L169)/($W$5-$V$5)))+$U$6*MAX(0,MIN(1,($W$6-M169)/($W$6-$V$6)))+$U$7*MAX(0,MIN(1,($W$7-N169)/($W$7-$V$7)))+$U$8*IF(AND(O169&gt;=$V$8,O169&lt;=$W$8),1,0))/$U$9*100,2)</f>
        <v>95.13</v>
      </c>
      <c r="C169" s="27" t="s">
        <v>818</v>
      </c>
      <c r="D169" s="25" t="s">
        <v>134</v>
      </c>
      <c r="E169" s="25" t="s">
        <v>3450</v>
      </c>
      <c r="F169" s="25" t="s">
        <v>3448</v>
      </c>
      <c r="G169" s="28" t="s">
        <v>29</v>
      </c>
      <c r="H169" s="28" t="s">
        <v>25</v>
      </c>
      <c r="I169" s="25" t="n">
        <v>0</v>
      </c>
      <c r="J169" s="25" t="n">
        <v>0</v>
      </c>
      <c r="K169" s="25" t="n">
        <v>0</v>
      </c>
      <c r="L169" s="29" t="n">
        <v>0.74</v>
      </c>
      <c r="M169" s="30" t="n">
        <v>5.62</v>
      </c>
      <c r="N169" s="29" t="n">
        <v>0.2</v>
      </c>
      <c r="O169" s="25" t="n">
        <v>185</v>
      </c>
      <c r="P169" s="30" t="n">
        <v>0.62</v>
      </c>
      <c r="Q169" s="27"/>
      <c r="R169" s="27" t="s">
        <v>3451</v>
      </c>
    </row>
    <row r="170" customFormat="false" ht="15" hidden="false" customHeight="false" outlineLevel="0" collapsed="false">
      <c r="A170" s="25" t="n">
        <f aca="false">IF(G170="REJECT",COUNTIF($G$2:$G$2277,"&lt;&gt;REJECT")+1+COUNTIFS($G$2:$G$2277,"REJECT",$B$2:$B$2277,"&gt;"&amp;B170),1+COUNTIFS($G$2:$G$2277,"&lt;&gt;REJECT",$B$2:$B$2277,"&gt;"&amp;B170))</f>
        <v>168</v>
      </c>
      <c r="B170" s="26" t="n">
        <f aca="false">ROUND(($U$2*MAX(0,MIN(1,($W$2-I170)/($W$2-$V$2)))+$U$3*MAX(0,MIN(1,($W$3-J170)/($W$3-$V$3)))+$U$4*MAX(0,MIN(1,($W$4-K170)/($W$4-$V$4)))+$U$5*MAX(0,MIN(1,($W$5-L170)/($W$5-$V$5)))+$U$6*MAX(0,MIN(1,($W$6-M170)/($W$6-$V$6)))+$U$7*MAX(0,MIN(1,($W$7-N170)/($W$7-$V$7)))+$U$8*IF(AND(O170&gt;=$V$8,O170&lt;=$W$8),1,0))/$U$9*100,2)</f>
        <v>95.13</v>
      </c>
      <c r="C170" s="27" t="s">
        <v>923</v>
      </c>
      <c r="D170" s="25" t="s">
        <v>3459</v>
      </c>
      <c r="E170" s="25" t="s">
        <v>3450</v>
      </c>
      <c r="F170" s="25" t="s">
        <v>3448</v>
      </c>
      <c r="G170" s="28" t="s">
        <v>29</v>
      </c>
      <c r="H170" s="28" t="s">
        <v>25</v>
      </c>
      <c r="I170" s="25" t="n">
        <v>0</v>
      </c>
      <c r="J170" s="25" t="n">
        <v>0</v>
      </c>
      <c r="K170" s="25" t="n">
        <v>0</v>
      </c>
      <c r="L170" s="29" t="n">
        <v>0.84</v>
      </c>
      <c r="M170" s="30" t="n">
        <v>23.6</v>
      </c>
      <c r="N170" s="29" t="n">
        <v>0.56</v>
      </c>
      <c r="O170" s="25" t="n">
        <v>201</v>
      </c>
      <c r="P170" s="30" t="n">
        <v>9.4</v>
      </c>
      <c r="Q170" s="27"/>
      <c r="R170" s="27" t="s">
        <v>3470</v>
      </c>
    </row>
    <row r="171" customFormat="false" ht="15" hidden="false" customHeight="false" outlineLevel="0" collapsed="false">
      <c r="A171" s="25" t="n">
        <f aca="false">IF(G171="REJECT",COUNTIF($G$2:$G$2277,"&lt;&gt;REJECT")+1+COUNTIFS($G$2:$G$2277,"REJECT",$B$2:$B$2277,"&gt;"&amp;B171),1+COUNTIFS($G$2:$G$2277,"&lt;&gt;REJECT",$B$2:$B$2277,"&gt;"&amp;B171))</f>
        <v>170</v>
      </c>
      <c r="B171" s="26" t="n">
        <f aca="false">ROUND(($U$2*MAX(0,MIN(1,($W$2-I171)/($W$2-$V$2)))+$U$3*MAX(0,MIN(1,($W$3-J171)/($W$3-$V$3)))+$U$4*MAX(0,MIN(1,($W$4-K171)/($W$4-$V$4)))+$U$5*MAX(0,MIN(1,($W$5-L171)/($W$5-$V$5)))+$U$6*MAX(0,MIN(1,($W$6-M171)/($W$6-$V$6)))+$U$7*MAX(0,MIN(1,($W$7-N171)/($W$7-$V$7)))+$U$8*IF(AND(O171&gt;=$V$8,O171&lt;=$W$8),1,0))/$U$9*100,2)</f>
        <v>95.12</v>
      </c>
      <c r="C171" s="27" t="s">
        <v>2137</v>
      </c>
      <c r="D171" s="25" t="s">
        <v>134</v>
      </c>
      <c r="E171" s="25" t="s">
        <v>3450</v>
      </c>
      <c r="F171" s="25" t="s">
        <v>3457</v>
      </c>
      <c r="G171" s="28" t="s">
        <v>29</v>
      </c>
      <c r="H171" s="28" t="s">
        <v>25</v>
      </c>
      <c r="I171" s="25" t="n">
        <v>0</v>
      </c>
      <c r="J171" s="25" t="n">
        <v>0</v>
      </c>
      <c r="K171" s="25" t="n">
        <v>0</v>
      </c>
      <c r="L171" s="29" t="n">
        <v>0.74</v>
      </c>
      <c r="M171" s="30" t="n">
        <v>1.71</v>
      </c>
      <c r="N171" s="29" t="n">
        <v>0.6</v>
      </c>
      <c r="O171" s="25" t="n">
        <v>196</v>
      </c>
      <c r="P171" s="30" t="n">
        <v>7.55</v>
      </c>
      <c r="Q171" s="27"/>
      <c r="R171" s="27" t="s">
        <v>63</v>
      </c>
    </row>
    <row r="172" customFormat="false" ht="15" hidden="false" customHeight="false" outlineLevel="0" collapsed="false">
      <c r="A172" s="25" t="n">
        <f aca="false">IF(G172="REJECT",COUNTIF($G$2:$G$2277,"&lt;&gt;REJECT")+1+COUNTIFS($G$2:$G$2277,"REJECT",$B$2:$B$2277,"&gt;"&amp;B172),1+COUNTIFS($G$2:$G$2277,"&lt;&gt;REJECT",$B$2:$B$2277,"&gt;"&amp;B172))</f>
        <v>171</v>
      </c>
      <c r="B172" s="26" t="n">
        <f aca="false">ROUND(($U$2*MAX(0,MIN(1,($W$2-I172)/($W$2-$V$2)))+$U$3*MAX(0,MIN(1,($W$3-J172)/($W$3-$V$3)))+$U$4*MAX(0,MIN(1,($W$4-K172)/($W$4-$V$4)))+$U$5*MAX(0,MIN(1,($W$5-L172)/($W$5-$V$5)))+$U$6*MAX(0,MIN(1,($W$6-M172)/($W$6-$V$6)))+$U$7*MAX(0,MIN(1,($W$7-N172)/($W$7-$V$7)))+$U$8*IF(AND(O172&gt;=$V$8,O172&lt;=$W$8),1,0))/$U$9*100,2)</f>
        <v>95.11</v>
      </c>
      <c r="C172" s="27" t="s">
        <v>1103</v>
      </c>
      <c r="D172" s="25" t="s">
        <v>134</v>
      </c>
      <c r="E172" s="25" t="s">
        <v>3450</v>
      </c>
      <c r="F172" s="25" t="s">
        <v>3457</v>
      </c>
      <c r="G172" s="28" t="s">
        <v>29</v>
      </c>
      <c r="H172" s="28" t="s">
        <v>25</v>
      </c>
      <c r="I172" s="25" t="n">
        <v>0</v>
      </c>
      <c r="J172" s="25" t="n">
        <v>0</v>
      </c>
      <c r="K172" s="25" t="n">
        <v>0</v>
      </c>
      <c r="L172" s="29" t="n">
        <v>0.75</v>
      </c>
      <c r="M172" s="30" t="n">
        <v>8.13</v>
      </c>
      <c r="N172" s="29" t="n">
        <v>0.32</v>
      </c>
      <c r="O172" s="25" t="n">
        <v>185</v>
      </c>
      <c r="P172" s="30" t="n">
        <v>5.44</v>
      </c>
      <c r="Q172" s="27"/>
      <c r="R172" s="27" t="s">
        <v>63</v>
      </c>
    </row>
    <row r="173" customFormat="false" ht="15" hidden="false" customHeight="false" outlineLevel="0" collapsed="false">
      <c r="A173" s="25" t="n">
        <f aca="false">IF(G173="REJECT",COUNTIF($G$2:$G$2277,"&lt;&gt;REJECT")+1+COUNTIFS($G$2:$G$2277,"REJECT",$B$2:$B$2277,"&gt;"&amp;B173),1+COUNTIFS($G$2:$G$2277,"&lt;&gt;REJECT",$B$2:$B$2277,"&gt;"&amp;B173))</f>
        <v>172</v>
      </c>
      <c r="B173" s="26" t="n">
        <f aca="false">ROUND(($U$2*MAX(0,MIN(1,($W$2-I173)/($W$2-$V$2)))+$U$3*MAX(0,MIN(1,($W$3-J173)/($W$3-$V$3)))+$U$4*MAX(0,MIN(1,($W$4-K173)/($W$4-$V$4)))+$U$5*MAX(0,MIN(1,($W$5-L173)/($W$5-$V$5)))+$U$6*MAX(0,MIN(1,($W$6-M173)/($W$6-$V$6)))+$U$7*MAX(0,MIN(1,($W$7-N173)/($W$7-$V$7)))+$U$8*IF(AND(O173&gt;=$V$8,O173&lt;=$W$8),1,0))/$U$9*100,2)</f>
        <v>95.1</v>
      </c>
      <c r="C173" s="27" t="s">
        <v>923</v>
      </c>
      <c r="D173" s="25" t="s">
        <v>3459</v>
      </c>
      <c r="E173" s="25" t="s">
        <v>3450</v>
      </c>
      <c r="F173" s="25" t="s">
        <v>3457</v>
      </c>
      <c r="G173" s="28" t="s">
        <v>29</v>
      </c>
      <c r="H173" s="28" t="s">
        <v>25</v>
      </c>
      <c r="I173" s="25" t="n">
        <v>0</v>
      </c>
      <c r="J173" s="25" t="n">
        <v>0</v>
      </c>
      <c r="K173" s="25" t="n">
        <v>0</v>
      </c>
      <c r="L173" s="29" t="n">
        <v>0.84</v>
      </c>
      <c r="M173" s="30" t="n">
        <v>21.02</v>
      </c>
      <c r="N173" s="29" t="n">
        <v>0.84</v>
      </c>
      <c r="O173" s="25" t="n">
        <v>183</v>
      </c>
      <c r="P173" s="30" t="n">
        <v>14.06</v>
      </c>
      <c r="Q173" s="27"/>
      <c r="R173" s="27" t="s">
        <v>61</v>
      </c>
    </row>
    <row r="174" customFormat="false" ht="15" hidden="false" customHeight="false" outlineLevel="0" collapsed="false">
      <c r="A174" s="25" t="n">
        <f aca="false">IF(G174="REJECT",COUNTIF($G$2:$G$2277,"&lt;&gt;REJECT")+1+COUNTIFS($G$2:$G$2277,"REJECT",$B$2:$B$2277,"&gt;"&amp;B174),1+COUNTIFS($G$2:$G$2277,"&lt;&gt;REJECT",$B$2:$B$2277,"&gt;"&amp;B174))</f>
        <v>173</v>
      </c>
      <c r="B174" s="26" t="n">
        <f aca="false">ROUND(($U$2*MAX(0,MIN(1,($W$2-I174)/($W$2-$V$2)))+$U$3*MAX(0,MIN(1,($W$3-J174)/($W$3-$V$3)))+$U$4*MAX(0,MIN(1,($W$4-K174)/($W$4-$V$4)))+$U$5*MAX(0,MIN(1,($W$5-L174)/($W$5-$V$5)))+$U$6*MAX(0,MIN(1,($W$6-M174)/($W$6-$V$6)))+$U$7*MAX(0,MIN(1,($W$7-N174)/($W$7-$V$7)))+$U$8*IF(AND(O174&gt;=$V$8,O174&lt;=$W$8),1,0))/$U$9*100,2)</f>
        <v>95.07</v>
      </c>
      <c r="C174" s="27" t="s">
        <v>1996</v>
      </c>
      <c r="D174" s="25" t="s">
        <v>134</v>
      </c>
      <c r="E174" s="25" t="s">
        <v>3447</v>
      </c>
      <c r="F174" s="25" t="s">
        <v>3457</v>
      </c>
      <c r="G174" s="33" t="s">
        <v>28</v>
      </c>
      <c r="H174" s="33" t="s">
        <v>24</v>
      </c>
      <c r="I174" s="25" t="n">
        <v>0</v>
      </c>
      <c r="J174" s="25" t="n">
        <v>0</v>
      </c>
      <c r="K174" s="25" t="n">
        <v>0</v>
      </c>
      <c r="L174" s="29" t="n">
        <v>0.77</v>
      </c>
      <c r="M174" s="30" t="n">
        <v>14.01</v>
      </c>
      <c r="N174" s="29" t="n">
        <v>0.48</v>
      </c>
      <c r="O174" s="25" t="n">
        <v>185</v>
      </c>
      <c r="P174" s="30" t="n">
        <v>-0.94</v>
      </c>
      <c r="Q174" s="27"/>
      <c r="R174" s="27"/>
    </row>
    <row r="175" customFormat="false" ht="15" hidden="false" customHeight="false" outlineLevel="0" collapsed="false">
      <c r="A175" s="25" t="n">
        <f aca="false">IF(G175="REJECT",COUNTIF($G$2:$G$2277,"&lt;&gt;REJECT")+1+COUNTIFS($G$2:$G$2277,"REJECT",$B$2:$B$2277,"&gt;"&amp;B175),1+COUNTIFS($G$2:$G$2277,"&lt;&gt;REJECT",$B$2:$B$2277,"&gt;"&amp;B175))</f>
        <v>174</v>
      </c>
      <c r="B175" s="26" t="n">
        <f aca="false">ROUND(($U$2*MAX(0,MIN(1,($W$2-I175)/($W$2-$V$2)))+$U$3*MAX(0,MIN(1,($W$3-J175)/($W$3-$V$3)))+$U$4*MAX(0,MIN(1,($W$4-K175)/($W$4-$V$4)))+$U$5*MAX(0,MIN(1,($W$5-L175)/($W$5-$V$5)))+$U$6*MAX(0,MIN(1,($W$6-M175)/($W$6-$V$6)))+$U$7*MAX(0,MIN(1,($W$7-N175)/($W$7-$V$7)))+$U$8*IF(AND(O175&gt;=$V$8,O175&lt;=$W$8),1,0))/$U$9*100,2)</f>
        <v>95.06</v>
      </c>
      <c r="C175" s="27" t="s">
        <v>2332</v>
      </c>
      <c r="D175" s="25" t="s">
        <v>3459</v>
      </c>
      <c r="E175" s="25" t="s">
        <v>3447</v>
      </c>
      <c r="F175" s="25" t="s">
        <v>3448</v>
      </c>
      <c r="G175" s="28" t="s">
        <v>29</v>
      </c>
      <c r="H175" s="28" t="s">
        <v>25</v>
      </c>
      <c r="I175" s="25" t="n">
        <v>0</v>
      </c>
      <c r="J175" s="25" t="n">
        <v>0</v>
      </c>
      <c r="K175" s="25" t="n">
        <v>0</v>
      </c>
      <c r="L175" s="29" t="n">
        <v>0.76</v>
      </c>
      <c r="M175" s="30" t="n">
        <v>6.82</v>
      </c>
      <c r="N175" s="29" t="n">
        <v>0.84</v>
      </c>
      <c r="O175" s="25" t="n">
        <v>184</v>
      </c>
      <c r="P175" s="30" t="n">
        <v>-1.2</v>
      </c>
      <c r="Q175" s="27"/>
      <c r="R175" s="27" t="s">
        <v>64</v>
      </c>
    </row>
    <row r="176" customFormat="false" ht="15" hidden="false" customHeight="false" outlineLevel="0" collapsed="false">
      <c r="A176" s="25" t="n">
        <f aca="false">IF(G176="REJECT",COUNTIF($G$2:$G$2277,"&lt;&gt;REJECT")+1+COUNTIFS($G$2:$G$2277,"REJECT",$B$2:$B$2277,"&gt;"&amp;B176),1+COUNTIFS($G$2:$G$2277,"&lt;&gt;REJECT",$B$2:$B$2277,"&gt;"&amp;B176))</f>
        <v>174</v>
      </c>
      <c r="B176" s="26" t="n">
        <f aca="false">ROUND(($U$2*MAX(0,MIN(1,($W$2-I176)/($W$2-$V$2)))+$U$3*MAX(0,MIN(1,($W$3-J176)/($W$3-$V$3)))+$U$4*MAX(0,MIN(1,($W$4-K176)/($W$4-$V$4)))+$U$5*MAX(0,MIN(1,($W$5-L176)/($W$5-$V$5)))+$U$6*MAX(0,MIN(1,($W$6-M176)/($W$6-$V$6)))+$U$7*MAX(0,MIN(1,($W$7-N176)/($W$7-$V$7)))+$U$8*IF(AND(O176&gt;=$V$8,O176&lt;=$W$8),1,0))/$U$9*100,2)</f>
        <v>95.06</v>
      </c>
      <c r="C176" s="27" t="s">
        <v>2685</v>
      </c>
      <c r="D176" s="25" t="s">
        <v>3459</v>
      </c>
      <c r="E176" s="25" t="s">
        <v>3447</v>
      </c>
      <c r="F176" s="25" t="s">
        <v>3457</v>
      </c>
      <c r="G176" s="28" t="s">
        <v>29</v>
      </c>
      <c r="H176" s="28" t="s">
        <v>25</v>
      </c>
      <c r="I176" s="25" t="n">
        <v>0</v>
      </c>
      <c r="J176" s="25" t="n">
        <v>0</v>
      </c>
      <c r="K176" s="25" t="n">
        <v>0</v>
      </c>
      <c r="L176" s="29" t="n">
        <v>0.81</v>
      </c>
      <c r="M176" s="30" t="n">
        <v>26.85</v>
      </c>
      <c r="N176" s="29" t="n">
        <v>0.28</v>
      </c>
      <c r="O176" s="25" t="n">
        <v>184</v>
      </c>
      <c r="P176" s="30" t="n">
        <v>2.24</v>
      </c>
      <c r="Q176" s="27"/>
      <c r="R176" s="27" t="s">
        <v>3470</v>
      </c>
    </row>
    <row r="177" customFormat="false" ht="15" hidden="false" customHeight="false" outlineLevel="0" collapsed="false">
      <c r="A177" s="25" t="n">
        <f aca="false">IF(G177="REJECT",COUNTIF($G$2:$G$2277,"&lt;&gt;REJECT")+1+COUNTIFS($G$2:$G$2277,"REJECT",$B$2:$B$2277,"&gt;"&amp;B177),1+COUNTIFS($G$2:$G$2277,"&lt;&gt;REJECT",$B$2:$B$2277,"&gt;"&amp;B177))</f>
        <v>174</v>
      </c>
      <c r="B177" s="26" t="n">
        <f aca="false">ROUND(($U$2*MAX(0,MIN(1,($W$2-I177)/($W$2-$V$2)))+$U$3*MAX(0,MIN(1,($W$3-J177)/($W$3-$V$3)))+$U$4*MAX(0,MIN(1,($W$4-K177)/($W$4-$V$4)))+$U$5*MAX(0,MIN(1,($W$5-L177)/($W$5-$V$5)))+$U$6*MAX(0,MIN(1,($W$6-M177)/($W$6-$V$6)))+$U$7*MAX(0,MIN(1,($W$7-N177)/($W$7-$V$7)))+$U$8*IF(AND(O177&gt;=$V$8,O177&lt;=$W$8),1,0))/$U$9*100,2)</f>
        <v>95.06</v>
      </c>
      <c r="C177" s="27" t="s">
        <v>3075</v>
      </c>
      <c r="D177" s="25" t="s">
        <v>134</v>
      </c>
      <c r="E177" s="25" t="s">
        <v>3450</v>
      </c>
      <c r="F177" s="25" t="s">
        <v>3448</v>
      </c>
      <c r="G177" s="28" t="s">
        <v>29</v>
      </c>
      <c r="H177" s="28" t="s">
        <v>25</v>
      </c>
      <c r="I177" s="25" t="n">
        <v>0</v>
      </c>
      <c r="J177" s="25" t="n">
        <v>0</v>
      </c>
      <c r="K177" s="25" t="n">
        <v>0</v>
      </c>
      <c r="L177" s="29" t="n">
        <v>0.74</v>
      </c>
      <c r="M177" s="30" t="n">
        <v>3.25</v>
      </c>
      <c r="N177" s="29" t="n">
        <v>0.48</v>
      </c>
      <c r="O177" s="25" t="n">
        <v>182</v>
      </c>
      <c r="P177" s="30" t="n">
        <v>-1.12</v>
      </c>
      <c r="Q177" s="27"/>
      <c r="R177" s="27" t="s">
        <v>62</v>
      </c>
    </row>
    <row r="178" customFormat="false" ht="15" hidden="false" customHeight="false" outlineLevel="0" collapsed="false">
      <c r="A178" s="25" t="n">
        <f aca="false">IF(G178="REJECT",COUNTIF($G$2:$G$2277,"&lt;&gt;REJECT")+1+COUNTIFS($G$2:$G$2277,"REJECT",$B$2:$B$2277,"&gt;"&amp;B178),1+COUNTIFS($G$2:$G$2277,"&lt;&gt;REJECT",$B$2:$B$2277,"&gt;"&amp;B178))</f>
        <v>177</v>
      </c>
      <c r="B178" s="26" t="n">
        <f aca="false">ROUND(($U$2*MAX(0,MIN(1,($W$2-I178)/($W$2-$V$2)))+$U$3*MAX(0,MIN(1,($W$3-J178)/($W$3-$V$3)))+$U$4*MAX(0,MIN(1,($W$4-K178)/($W$4-$V$4)))+$U$5*MAX(0,MIN(1,($W$5-L178)/($W$5-$V$5)))+$U$6*MAX(0,MIN(1,($W$6-M178)/($W$6-$V$6)))+$U$7*MAX(0,MIN(1,($W$7-N178)/($W$7-$V$7)))+$U$8*IF(AND(O178&gt;=$V$8,O178&lt;=$W$8),1,0))/$U$9*100,2)</f>
        <v>95.02</v>
      </c>
      <c r="C178" s="27" t="s">
        <v>2648</v>
      </c>
      <c r="D178" s="25" t="s">
        <v>134</v>
      </c>
      <c r="E178" s="25" t="s">
        <v>3450</v>
      </c>
      <c r="F178" s="25" t="s">
        <v>3448</v>
      </c>
      <c r="G178" s="33" t="s">
        <v>28</v>
      </c>
      <c r="H178" s="33" t="s">
        <v>24</v>
      </c>
      <c r="I178" s="25" t="n">
        <v>0</v>
      </c>
      <c r="J178" s="25" t="n">
        <v>0</v>
      </c>
      <c r="K178" s="25" t="n">
        <v>0</v>
      </c>
      <c r="L178" s="29" t="n">
        <v>0.78</v>
      </c>
      <c r="M178" s="30" t="n">
        <v>16.3</v>
      </c>
      <c r="N178" s="29" t="n">
        <v>0.64</v>
      </c>
      <c r="O178" s="25" t="n">
        <v>184</v>
      </c>
      <c r="P178" s="30" t="n">
        <v>6.81</v>
      </c>
      <c r="Q178" s="27"/>
      <c r="R178" s="27"/>
    </row>
    <row r="179" customFormat="false" ht="15" hidden="false" customHeight="false" outlineLevel="0" collapsed="false">
      <c r="A179" s="25" t="n">
        <f aca="false">IF(G179="REJECT",COUNTIF($G$2:$G$2277,"&lt;&gt;REJECT")+1+COUNTIFS($G$2:$G$2277,"REJECT",$B$2:$B$2277,"&gt;"&amp;B179),1+COUNTIFS($G$2:$G$2277,"&lt;&gt;REJECT",$B$2:$B$2277,"&gt;"&amp;B179))</f>
        <v>178</v>
      </c>
      <c r="B179" s="26" t="n">
        <f aca="false">ROUND(($U$2*MAX(0,MIN(1,($W$2-I179)/($W$2-$V$2)))+$U$3*MAX(0,MIN(1,($W$3-J179)/($W$3-$V$3)))+$U$4*MAX(0,MIN(1,($W$4-K179)/($W$4-$V$4)))+$U$5*MAX(0,MIN(1,($W$5-L179)/($W$5-$V$5)))+$U$6*MAX(0,MIN(1,($W$6-M179)/($W$6-$V$6)))+$U$7*MAX(0,MIN(1,($W$7-N179)/($W$7-$V$7)))+$U$8*IF(AND(O179&gt;=$V$8,O179&lt;=$W$8),1,0))/$U$9*100,2)</f>
        <v>95.01</v>
      </c>
      <c r="C179" s="27" t="s">
        <v>977</v>
      </c>
      <c r="D179" s="25" t="s">
        <v>134</v>
      </c>
      <c r="E179" s="25" t="s">
        <v>3450</v>
      </c>
      <c r="F179" s="25" t="s">
        <v>3457</v>
      </c>
      <c r="G179" s="33" t="s">
        <v>28</v>
      </c>
      <c r="H179" s="33" t="s">
        <v>24</v>
      </c>
      <c r="I179" s="25" t="n">
        <v>0</v>
      </c>
      <c r="J179" s="25" t="n">
        <v>0</v>
      </c>
      <c r="K179" s="25" t="n">
        <v>0</v>
      </c>
      <c r="L179" s="29" t="n">
        <v>0.78</v>
      </c>
      <c r="M179" s="30" t="n">
        <v>19.92</v>
      </c>
      <c r="N179" s="29" t="n">
        <v>0.28</v>
      </c>
      <c r="O179" s="25" t="n">
        <v>182</v>
      </c>
      <c r="P179" s="30" t="n">
        <v>14.45</v>
      </c>
      <c r="Q179" s="27"/>
      <c r="R179" s="27"/>
    </row>
    <row r="180" customFormat="false" ht="15" hidden="false" customHeight="false" outlineLevel="0" collapsed="false">
      <c r="A180" s="25" t="n">
        <f aca="false">IF(G180="REJECT",COUNTIF($G$2:$G$2277,"&lt;&gt;REJECT")+1+COUNTIFS($G$2:$G$2277,"REJECT",$B$2:$B$2277,"&gt;"&amp;B180),1+COUNTIFS($G$2:$G$2277,"&lt;&gt;REJECT",$B$2:$B$2277,"&gt;"&amp;B180))</f>
        <v>179</v>
      </c>
      <c r="B180" s="26" t="n">
        <f aca="false">ROUND(($U$2*MAX(0,MIN(1,($W$2-I180)/($W$2-$V$2)))+$U$3*MAX(0,MIN(1,($W$3-J180)/($W$3-$V$3)))+$U$4*MAX(0,MIN(1,($W$4-K180)/($W$4-$V$4)))+$U$5*MAX(0,MIN(1,($W$5-L180)/($W$5-$V$5)))+$U$6*MAX(0,MIN(1,($W$6-M180)/($W$6-$V$6)))+$U$7*MAX(0,MIN(1,($W$7-N180)/($W$7-$V$7)))+$U$8*IF(AND(O180&gt;=$V$8,O180&lt;=$W$8),1,0))/$U$9*100,2)</f>
        <v>95</v>
      </c>
      <c r="C180" s="27" t="s">
        <v>977</v>
      </c>
      <c r="D180" s="25" t="s">
        <v>3459</v>
      </c>
      <c r="E180" s="25" t="s">
        <v>3450</v>
      </c>
      <c r="F180" s="25" t="s">
        <v>3457</v>
      </c>
      <c r="G180" s="33" t="s">
        <v>28</v>
      </c>
      <c r="H180" s="33" t="s">
        <v>24</v>
      </c>
      <c r="I180" s="25" t="n">
        <v>0</v>
      </c>
      <c r="J180" s="25" t="n">
        <v>0</v>
      </c>
      <c r="K180" s="25" t="n">
        <v>0</v>
      </c>
      <c r="L180" s="29" t="n">
        <v>0.77</v>
      </c>
      <c r="M180" s="30" t="n">
        <v>19.21</v>
      </c>
      <c r="N180" s="29" t="n">
        <v>0</v>
      </c>
      <c r="O180" s="25" t="n">
        <v>183</v>
      </c>
      <c r="P180" s="30" t="n">
        <v>13.44</v>
      </c>
      <c r="Q180" s="27"/>
      <c r="R180" s="27"/>
    </row>
    <row r="181" customFormat="false" ht="15" hidden="false" customHeight="false" outlineLevel="0" collapsed="false">
      <c r="A181" s="25" t="n">
        <f aca="false">IF(G181="REJECT",COUNTIF($G$2:$G$2277,"&lt;&gt;REJECT")+1+COUNTIFS($G$2:$G$2277,"REJECT",$B$2:$B$2277,"&gt;"&amp;B181),1+COUNTIFS($G$2:$G$2277,"&lt;&gt;REJECT",$B$2:$B$2277,"&gt;"&amp;B181))</f>
        <v>179</v>
      </c>
      <c r="B181" s="26" t="n">
        <f aca="false">ROUND(($U$2*MAX(0,MIN(1,($W$2-I181)/($W$2-$V$2)))+$U$3*MAX(0,MIN(1,($W$3-J181)/($W$3-$V$3)))+$U$4*MAX(0,MIN(1,($W$4-K181)/($W$4-$V$4)))+$U$5*MAX(0,MIN(1,($W$5-L181)/($W$5-$V$5)))+$U$6*MAX(0,MIN(1,($W$6-M181)/($W$6-$V$6)))+$U$7*MAX(0,MIN(1,($W$7-N181)/($W$7-$V$7)))+$U$8*IF(AND(O181&gt;=$V$8,O181&lt;=$W$8),1,0))/$U$9*100,2)</f>
        <v>95</v>
      </c>
      <c r="C181" s="27" t="s">
        <v>1761</v>
      </c>
      <c r="D181" s="25" t="s">
        <v>134</v>
      </c>
      <c r="E181" s="25" t="s">
        <v>3447</v>
      </c>
      <c r="F181" s="25" t="s">
        <v>3448</v>
      </c>
      <c r="G181" s="28" t="s">
        <v>29</v>
      </c>
      <c r="H181" s="28" t="s">
        <v>25</v>
      </c>
      <c r="I181" s="25" t="n">
        <v>0</v>
      </c>
      <c r="J181" s="25" t="n">
        <v>0</v>
      </c>
      <c r="K181" s="25" t="n">
        <v>0</v>
      </c>
      <c r="L181" s="29" t="n">
        <v>0.79</v>
      </c>
      <c r="M181" s="30" t="n">
        <v>20.01</v>
      </c>
      <c r="N181" s="29" t="n">
        <v>0.64</v>
      </c>
      <c r="O181" s="25" t="n">
        <v>192</v>
      </c>
      <c r="P181" s="30" t="n">
        <v>-1.25</v>
      </c>
      <c r="Q181" s="27"/>
      <c r="R181" s="27" t="s">
        <v>3470</v>
      </c>
    </row>
    <row r="182" customFormat="false" ht="15" hidden="false" customHeight="false" outlineLevel="0" collapsed="false">
      <c r="A182" s="25" t="n">
        <f aca="false">IF(G182="REJECT",COUNTIF($G$2:$G$2277,"&lt;&gt;REJECT")+1+COUNTIFS($G$2:$G$2277,"REJECT",$B$2:$B$2277,"&gt;"&amp;B182),1+COUNTIFS($G$2:$G$2277,"&lt;&gt;REJECT",$B$2:$B$2277,"&gt;"&amp;B182))</f>
        <v>181</v>
      </c>
      <c r="B182" s="26" t="n">
        <f aca="false">ROUND(($U$2*MAX(0,MIN(1,($W$2-I182)/($W$2-$V$2)))+$U$3*MAX(0,MIN(1,($W$3-J182)/($W$3-$V$3)))+$U$4*MAX(0,MIN(1,($W$4-K182)/($W$4-$V$4)))+$U$5*MAX(0,MIN(1,($W$5-L182)/($W$5-$V$5)))+$U$6*MAX(0,MIN(1,($W$6-M182)/($W$6-$V$6)))+$U$7*MAX(0,MIN(1,($W$7-N182)/($W$7-$V$7)))+$U$8*IF(AND(O182&gt;=$V$8,O182&lt;=$W$8),1,0))/$U$9*100,2)</f>
        <v>94.95</v>
      </c>
      <c r="C182" s="27" t="s">
        <v>1346</v>
      </c>
      <c r="D182" s="25" t="s">
        <v>3459</v>
      </c>
      <c r="E182" s="25" t="s">
        <v>3450</v>
      </c>
      <c r="F182" s="25" t="s">
        <v>3457</v>
      </c>
      <c r="G182" s="28" t="s">
        <v>29</v>
      </c>
      <c r="H182" s="28" t="s">
        <v>25</v>
      </c>
      <c r="I182" s="25" t="n">
        <v>0</v>
      </c>
      <c r="J182" s="25" t="n">
        <v>0</v>
      </c>
      <c r="K182" s="25" t="n">
        <v>0</v>
      </c>
      <c r="L182" s="29" t="n">
        <v>0.8</v>
      </c>
      <c r="M182" s="30" t="n">
        <v>21.49</v>
      </c>
      <c r="N182" s="29" t="n">
        <v>0.88</v>
      </c>
      <c r="O182" s="25" t="n">
        <v>184</v>
      </c>
      <c r="P182" s="30" t="n">
        <v>4.98</v>
      </c>
      <c r="Q182" s="27"/>
      <c r="R182" s="27" t="s">
        <v>61</v>
      </c>
    </row>
    <row r="183" customFormat="false" ht="15" hidden="false" customHeight="false" outlineLevel="0" collapsed="false">
      <c r="A183" s="25" t="n">
        <f aca="false">IF(G183="REJECT",COUNTIF($G$2:$G$2277,"&lt;&gt;REJECT")+1+COUNTIFS($G$2:$G$2277,"REJECT",$B$2:$B$2277,"&gt;"&amp;B183),1+COUNTIFS($G$2:$G$2277,"&lt;&gt;REJECT",$B$2:$B$2277,"&gt;"&amp;B183))</f>
        <v>182</v>
      </c>
      <c r="B183" s="26" t="n">
        <f aca="false">ROUND(($U$2*MAX(0,MIN(1,($W$2-I183)/($W$2-$V$2)))+$U$3*MAX(0,MIN(1,($W$3-J183)/($W$3-$V$3)))+$U$4*MAX(0,MIN(1,($W$4-K183)/($W$4-$V$4)))+$U$5*MAX(0,MIN(1,($W$5-L183)/($W$5-$V$5)))+$U$6*MAX(0,MIN(1,($W$6-M183)/($W$6-$V$6)))+$U$7*MAX(0,MIN(1,($W$7-N183)/($W$7-$V$7)))+$U$8*IF(AND(O183&gt;=$V$8,O183&lt;=$W$8),1,0))/$U$9*100,2)</f>
        <v>94.91</v>
      </c>
      <c r="C183" s="27" t="s">
        <v>2691</v>
      </c>
      <c r="D183" s="25" t="s">
        <v>134</v>
      </c>
      <c r="E183" s="25" t="s">
        <v>3450</v>
      </c>
      <c r="F183" s="25" t="s">
        <v>3448</v>
      </c>
      <c r="G183" s="33" t="s">
        <v>28</v>
      </c>
      <c r="H183" s="33" t="s">
        <v>24</v>
      </c>
      <c r="I183" s="25" t="n">
        <v>0</v>
      </c>
      <c r="J183" s="25" t="n">
        <v>0</v>
      </c>
      <c r="K183" s="25" t="n">
        <v>0</v>
      </c>
      <c r="L183" s="29" t="n">
        <v>0.78</v>
      </c>
      <c r="M183" s="30" t="n">
        <v>16.53</v>
      </c>
      <c r="N183" s="29" t="n">
        <v>0.68</v>
      </c>
      <c r="O183" s="25" t="n">
        <v>185</v>
      </c>
      <c r="P183" s="30" t="n">
        <v>22.18</v>
      </c>
      <c r="Q183" s="27"/>
      <c r="R183" s="27"/>
    </row>
    <row r="184" customFormat="false" ht="15" hidden="false" customHeight="false" outlineLevel="0" collapsed="false">
      <c r="A184" s="25" t="n">
        <f aca="false">IF(G184="REJECT",COUNTIF($G$2:$G$2277,"&lt;&gt;REJECT")+1+COUNTIFS($G$2:$G$2277,"REJECT",$B$2:$B$2277,"&gt;"&amp;B184),1+COUNTIFS($G$2:$G$2277,"&lt;&gt;REJECT",$B$2:$B$2277,"&gt;"&amp;B184))</f>
        <v>183</v>
      </c>
      <c r="B184" s="26" t="n">
        <f aca="false">ROUND(($U$2*MAX(0,MIN(1,($W$2-I184)/($W$2-$V$2)))+$U$3*MAX(0,MIN(1,($W$3-J184)/($W$3-$V$3)))+$U$4*MAX(0,MIN(1,($W$4-K184)/($W$4-$V$4)))+$U$5*MAX(0,MIN(1,($W$5-L184)/($W$5-$V$5)))+$U$6*MAX(0,MIN(1,($W$6-M184)/($W$6-$V$6)))+$U$7*MAX(0,MIN(1,($W$7-N184)/($W$7-$V$7)))+$U$8*IF(AND(O184&gt;=$V$8,O184&lt;=$W$8),1,0))/$U$9*100,2)</f>
        <v>94.9</v>
      </c>
      <c r="C184" s="27" t="s">
        <v>1390</v>
      </c>
      <c r="D184" s="25" t="s">
        <v>134</v>
      </c>
      <c r="E184" s="25" t="s">
        <v>3450</v>
      </c>
      <c r="F184" s="25" t="s">
        <v>3457</v>
      </c>
      <c r="G184" s="33" t="s">
        <v>28</v>
      </c>
      <c r="H184" s="33" t="s">
        <v>24</v>
      </c>
      <c r="I184" s="25" t="n">
        <v>0</v>
      </c>
      <c r="J184" s="25" t="n">
        <v>0</v>
      </c>
      <c r="K184" s="25" t="n">
        <v>0</v>
      </c>
      <c r="L184" s="29" t="n">
        <v>0.75</v>
      </c>
      <c r="M184" s="30" t="n">
        <v>12.58</v>
      </c>
      <c r="N184" s="29" t="n">
        <v>0</v>
      </c>
      <c r="O184" s="25" t="n">
        <v>186</v>
      </c>
      <c r="P184" s="30" t="n">
        <v>13.94</v>
      </c>
      <c r="Q184" s="27"/>
      <c r="R184" s="27"/>
    </row>
    <row r="185" customFormat="false" ht="15" hidden="false" customHeight="false" outlineLevel="0" collapsed="false">
      <c r="A185" s="25" t="n">
        <f aca="false">IF(G185="REJECT",COUNTIF($G$2:$G$2277,"&lt;&gt;REJECT")+1+COUNTIFS($G$2:$G$2277,"REJECT",$B$2:$B$2277,"&gt;"&amp;B185),1+COUNTIFS($G$2:$G$2277,"&lt;&gt;REJECT",$B$2:$B$2277,"&gt;"&amp;B185))</f>
        <v>184</v>
      </c>
      <c r="B185" s="26" t="n">
        <f aca="false">ROUND(($U$2*MAX(0,MIN(1,($W$2-I185)/($W$2-$V$2)))+$U$3*MAX(0,MIN(1,($W$3-J185)/($W$3-$V$3)))+$U$4*MAX(0,MIN(1,($W$4-K185)/($W$4-$V$4)))+$U$5*MAX(0,MIN(1,($W$5-L185)/($W$5-$V$5)))+$U$6*MAX(0,MIN(1,($W$6-M185)/($W$6-$V$6)))+$U$7*MAX(0,MIN(1,($W$7-N185)/($W$7-$V$7)))+$U$8*IF(AND(O185&gt;=$V$8,O185&lt;=$W$8),1,0))/$U$9*100,2)</f>
        <v>94.89</v>
      </c>
      <c r="C185" s="27" t="s">
        <v>2186</v>
      </c>
      <c r="D185" s="25" t="s">
        <v>3459</v>
      </c>
      <c r="E185" s="25" t="s">
        <v>3447</v>
      </c>
      <c r="F185" s="25" t="s">
        <v>3457</v>
      </c>
      <c r="G185" s="33" t="s">
        <v>28</v>
      </c>
      <c r="H185" s="33" t="s">
        <v>24</v>
      </c>
      <c r="I185" s="25" t="n">
        <v>0</v>
      </c>
      <c r="J185" s="25" t="n">
        <v>0</v>
      </c>
      <c r="K185" s="25" t="n">
        <v>0</v>
      </c>
      <c r="L185" s="29" t="n">
        <v>0.77</v>
      </c>
      <c r="M185" s="30" t="n">
        <v>12.66</v>
      </c>
      <c r="N185" s="29" t="n">
        <v>0.72</v>
      </c>
      <c r="O185" s="25" t="n">
        <v>182</v>
      </c>
      <c r="P185" s="30" t="n">
        <v>0.58</v>
      </c>
      <c r="Q185" s="27"/>
      <c r="R185" s="27"/>
    </row>
    <row r="186" customFormat="false" ht="15" hidden="false" customHeight="false" outlineLevel="0" collapsed="false">
      <c r="A186" s="25" t="n">
        <f aca="false">IF(G186="REJECT",COUNTIF($G$2:$G$2277,"&lt;&gt;REJECT")+1+COUNTIFS($G$2:$G$2277,"REJECT",$B$2:$B$2277,"&gt;"&amp;B186),1+COUNTIFS($G$2:$G$2277,"&lt;&gt;REJECT",$B$2:$B$2277,"&gt;"&amp;B186))</f>
        <v>185</v>
      </c>
      <c r="B186" s="26" t="n">
        <f aca="false">ROUND(($U$2*MAX(0,MIN(1,($W$2-I186)/($W$2-$V$2)))+$U$3*MAX(0,MIN(1,($W$3-J186)/($W$3-$V$3)))+$U$4*MAX(0,MIN(1,($W$4-K186)/($W$4-$V$4)))+$U$5*MAX(0,MIN(1,($W$5-L186)/($W$5-$V$5)))+$U$6*MAX(0,MIN(1,($W$6-M186)/($W$6-$V$6)))+$U$7*MAX(0,MIN(1,($W$7-N186)/($W$7-$V$7)))+$U$8*IF(AND(O186&gt;=$V$8,O186&lt;=$W$8),1,0))/$U$9*100,2)</f>
        <v>94.87</v>
      </c>
      <c r="C186" s="27" t="s">
        <v>2010</v>
      </c>
      <c r="D186" s="25" t="s">
        <v>134</v>
      </c>
      <c r="E186" s="25" t="s">
        <v>3450</v>
      </c>
      <c r="F186" s="25" t="s">
        <v>3457</v>
      </c>
      <c r="G186" s="33" t="s">
        <v>28</v>
      </c>
      <c r="H186" s="33" t="s">
        <v>24</v>
      </c>
      <c r="I186" s="25" t="n">
        <v>0</v>
      </c>
      <c r="J186" s="25" t="n">
        <v>0</v>
      </c>
      <c r="K186" s="25" t="n">
        <v>0</v>
      </c>
      <c r="L186" s="29" t="n">
        <v>0.76</v>
      </c>
      <c r="M186" s="30" t="n">
        <v>8.77</v>
      </c>
      <c r="N186" s="29" t="n">
        <v>0.76</v>
      </c>
      <c r="O186" s="25" t="n">
        <v>190</v>
      </c>
      <c r="P186" s="30" t="n">
        <v>7.53</v>
      </c>
      <c r="Q186" s="27"/>
      <c r="R186" s="27"/>
    </row>
    <row r="187" customFormat="false" ht="15" hidden="false" customHeight="false" outlineLevel="0" collapsed="false">
      <c r="A187" s="25" t="n">
        <f aca="false">IF(G187="REJECT",COUNTIF($G$2:$G$2277,"&lt;&gt;REJECT")+1+COUNTIFS($G$2:$G$2277,"REJECT",$B$2:$B$2277,"&gt;"&amp;B187),1+COUNTIFS($G$2:$G$2277,"&lt;&gt;REJECT",$B$2:$B$2277,"&gt;"&amp;B187))</f>
        <v>186</v>
      </c>
      <c r="B187" s="26" t="n">
        <f aca="false">ROUND(($U$2*MAX(0,MIN(1,($W$2-I187)/($W$2-$V$2)))+$U$3*MAX(0,MIN(1,($W$3-J187)/($W$3-$V$3)))+$U$4*MAX(0,MIN(1,($W$4-K187)/($W$4-$V$4)))+$U$5*MAX(0,MIN(1,($W$5-L187)/($W$5-$V$5)))+$U$6*MAX(0,MIN(1,($W$6-M187)/($W$6-$V$6)))+$U$7*MAX(0,MIN(1,($W$7-N187)/($W$7-$V$7)))+$U$8*IF(AND(O187&gt;=$V$8,O187&lt;=$W$8),1,0))/$U$9*100,2)</f>
        <v>94.86</v>
      </c>
      <c r="C187" s="27" t="s">
        <v>373</v>
      </c>
      <c r="D187" s="25" t="s">
        <v>3459</v>
      </c>
      <c r="E187" s="25" t="s">
        <v>3447</v>
      </c>
      <c r="F187" s="25" t="s">
        <v>3448</v>
      </c>
      <c r="G187" s="33" t="s">
        <v>28</v>
      </c>
      <c r="H187" s="33" t="s">
        <v>24</v>
      </c>
      <c r="I187" s="25" t="n">
        <v>0</v>
      </c>
      <c r="J187" s="25" t="n">
        <v>0</v>
      </c>
      <c r="K187" s="25" t="n">
        <v>0</v>
      </c>
      <c r="L187" s="29" t="n">
        <v>0.79</v>
      </c>
      <c r="M187" s="30" t="n">
        <v>19.63</v>
      </c>
      <c r="N187" s="29" t="n">
        <v>0.76</v>
      </c>
      <c r="O187" s="25" t="n">
        <v>185</v>
      </c>
      <c r="P187" s="30" t="n">
        <v>10.41</v>
      </c>
      <c r="Q187" s="27"/>
      <c r="R187" s="27"/>
    </row>
    <row r="188" customFormat="false" ht="15" hidden="false" customHeight="false" outlineLevel="0" collapsed="false">
      <c r="A188" s="25" t="n">
        <f aca="false">IF(G188="REJECT",COUNTIF($G$2:$G$2277,"&lt;&gt;REJECT")+1+COUNTIFS($G$2:$G$2277,"REJECT",$B$2:$B$2277,"&gt;"&amp;B188),1+COUNTIFS($G$2:$G$2277,"&lt;&gt;REJECT",$B$2:$B$2277,"&gt;"&amp;B188))</f>
        <v>186</v>
      </c>
      <c r="B188" s="26" t="n">
        <f aca="false">ROUND(($U$2*MAX(0,MIN(1,($W$2-I188)/($W$2-$V$2)))+$U$3*MAX(0,MIN(1,($W$3-J188)/($W$3-$V$3)))+$U$4*MAX(0,MIN(1,($W$4-K188)/($W$4-$V$4)))+$U$5*MAX(0,MIN(1,($W$5-L188)/($W$5-$V$5)))+$U$6*MAX(0,MIN(1,($W$6-M188)/($W$6-$V$6)))+$U$7*MAX(0,MIN(1,($W$7-N188)/($W$7-$V$7)))+$U$8*IF(AND(O188&gt;=$V$8,O188&lt;=$W$8),1,0))/$U$9*100,2)</f>
        <v>94.86</v>
      </c>
      <c r="C188" s="27" t="s">
        <v>1614</v>
      </c>
      <c r="D188" s="25" t="s">
        <v>3459</v>
      </c>
      <c r="E188" s="25" t="s">
        <v>3450</v>
      </c>
      <c r="F188" s="25" t="s">
        <v>3448</v>
      </c>
      <c r="G188" s="28" t="s">
        <v>29</v>
      </c>
      <c r="H188" s="28" t="s">
        <v>25</v>
      </c>
      <c r="I188" s="25" t="n">
        <v>0</v>
      </c>
      <c r="J188" s="25" t="n">
        <v>0</v>
      </c>
      <c r="K188" s="25" t="n">
        <v>0</v>
      </c>
      <c r="L188" s="29" t="n">
        <v>0.79</v>
      </c>
      <c r="M188" s="30" t="n">
        <v>22.85</v>
      </c>
      <c r="N188" s="29" t="n">
        <v>0.44</v>
      </c>
      <c r="O188" s="25" t="n">
        <v>183</v>
      </c>
      <c r="P188" s="30" t="n">
        <v>19.24</v>
      </c>
      <c r="Q188" s="27"/>
      <c r="R188" s="27" t="s">
        <v>61</v>
      </c>
    </row>
    <row r="189" customFormat="false" ht="15" hidden="false" customHeight="false" outlineLevel="0" collapsed="false">
      <c r="A189" s="25" t="n">
        <f aca="false">IF(G189="REJECT",COUNTIF($G$2:$G$2277,"&lt;&gt;REJECT")+1+COUNTIFS($G$2:$G$2277,"REJECT",$B$2:$B$2277,"&gt;"&amp;B189),1+COUNTIFS($G$2:$G$2277,"&lt;&gt;REJECT",$B$2:$B$2277,"&gt;"&amp;B189))</f>
        <v>188</v>
      </c>
      <c r="B189" s="26" t="n">
        <f aca="false">ROUND(($U$2*MAX(0,MIN(1,($W$2-I189)/($W$2-$V$2)))+$U$3*MAX(0,MIN(1,($W$3-J189)/($W$3-$V$3)))+$U$4*MAX(0,MIN(1,($W$4-K189)/($W$4-$V$4)))+$U$5*MAX(0,MIN(1,($W$5-L189)/($W$5-$V$5)))+$U$6*MAX(0,MIN(1,($W$6-M189)/($W$6-$V$6)))+$U$7*MAX(0,MIN(1,($W$7-N189)/($W$7-$V$7)))+$U$8*IF(AND(O189&gt;=$V$8,O189&lt;=$W$8),1,0))/$U$9*100,2)</f>
        <v>94.84</v>
      </c>
      <c r="C189" s="27" t="s">
        <v>846</v>
      </c>
      <c r="D189" s="25" t="s">
        <v>134</v>
      </c>
      <c r="E189" s="25" t="s">
        <v>3447</v>
      </c>
      <c r="F189" s="25" t="s">
        <v>3448</v>
      </c>
      <c r="G189" s="33" t="s">
        <v>28</v>
      </c>
      <c r="H189" s="33" t="s">
        <v>24</v>
      </c>
      <c r="I189" s="25" t="n">
        <v>0</v>
      </c>
      <c r="J189" s="25" t="n">
        <v>0</v>
      </c>
      <c r="K189" s="25" t="n">
        <v>0</v>
      </c>
      <c r="L189" s="29" t="n">
        <v>0.75</v>
      </c>
      <c r="M189" s="30" t="n">
        <v>11.34</v>
      </c>
      <c r="N189" s="29" t="n">
        <v>0.16</v>
      </c>
      <c r="O189" s="25" t="n">
        <v>185</v>
      </c>
      <c r="P189" s="30" t="n">
        <v>-1.45</v>
      </c>
      <c r="Q189" s="27"/>
      <c r="R189" s="27"/>
    </row>
    <row r="190" customFormat="false" ht="15" hidden="false" customHeight="false" outlineLevel="0" collapsed="false">
      <c r="A190" s="25" t="n">
        <f aca="false">IF(G190="REJECT",COUNTIF($G$2:$G$2277,"&lt;&gt;REJECT")+1+COUNTIFS($G$2:$G$2277,"REJECT",$B$2:$B$2277,"&gt;"&amp;B190),1+COUNTIFS($G$2:$G$2277,"&lt;&gt;REJECT",$B$2:$B$2277,"&gt;"&amp;B190))</f>
        <v>189</v>
      </c>
      <c r="B190" s="26" t="n">
        <f aca="false">ROUND(($U$2*MAX(0,MIN(1,($W$2-I190)/($W$2-$V$2)))+$U$3*MAX(0,MIN(1,($W$3-J190)/($W$3-$V$3)))+$U$4*MAX(0,MIN(1,($W$4-K190)/($W$4-$V$4)))+$U$5*MAX(0,MIN(1,($W$5-L190)/($W$5-$V$5)))+$U$6*MAX(0,MIN(1,($W$6-M190)/($W$6-$V$6)))+$U$7*MAX(0,MIN(1,($W$7-N190)/($W$7-$V$7)))+$U$8*IF(AND(O190&gt;=$V$8,O190&lt;=$W$8),1,0))/$U$9*100,2)</f>
        <v>94.82</v>
      </c>
      <c r="C190" s="27" t="s">
        <v>1302</v>
      </c>
      <c r="D190" s="25" t="s">
        <v>134</v>
      </c>
      <c r="E190" s="25" t="s">
        <v>3450</v>
      </c>
      <c r="F190" s="25" t="s">
        <v>3448</v>
      </c>
      <c r="G190" s="28" t="s">
        <v>29</v>
      </c>
      <c r="H190" s="28" t="s">
        <v>25</v>
      </c>
      <c r="I190" s="25" t="n">
        <v>0</v>
      </c>
      <c r="J190" s="25" t="n">
        <v>0</v>
      </c>
      <c r="K190" s="25" t="n">
        <v>0</v>
      </c>
      <c r="L190" s="29" t="n">
        <v>0.74</v>
      </c>
      <c r="M190" s="30" t="n">
        <v>0.66</v>
      </c>
      <c r="N190" s="29" t="n">
        <v>0.88</v>
      </c>
      <c r="O190" s="25" t="n">
        <v>184</v>
      </c>
      <c r="P190" s="30" t="n">
        <v>0.61</v>
      </c>
      <c r="Q190" s="27"/>
      <c r="R190" s="27" t="s">
        <v>3451</v>
      </c>
    </row>
    <row r="191" customFormat="false" ht="15" hidden="false" customHeight="false" outlineLevel="0" collapsed="false">
      <c r="A191" s="25" t="n">
        <f aca="false">IF(G191="REJECT",COUNTIF($G$2:$G$2277,"&lt;&gt;REJECT")+1+COUNTIFS($G$2:$G$2277,"REJECT",$B$2:$B$2277,"&gt;"&amp;B191),1+COUNTIFS($G$2:$G$2277,"&lt;&gt;REJECT",$B$2:$B$2277,"&gt;"&amp;B191))</f>
        <v>190</v>
      </c>
      <c r="B191" s="26" t="n">
        <f aca="false">ROUND(($U$2*MAX(0,MIN(1,($W$2-I191)/($W$2-$V$2)))+$U$3*MAX(0,MIN(1,($W$3-J191)/($W$3-$V$3)))+$U$4*MAX(0,MIN(1,($W$4-K191)/($W$4-$V$4)))+$U$5*MAX(0,MIN(1,($W$5-L191)/($W$5-$V$5)))+$U$6*MAX(0,MIN(1,($W$6-M191)/($W$6-$V$6)))+$U$7*MAX(0,MIN(1,($W$7-N191)/($W$7-$V$7)))+$U$8*IF(AND(O191&gt;=$V$8,O191&lt;=$W$8),1,0))/$U$9*100,2)</f>
        <v>94.78</v>
      </c>
      <c r="C191" s="27" t="s">
        <v>367</v>
      </c>
      <c r="D191" s="25" t="s">
        <v>134</v>
      </c>
      <c r="E191" s="25" t="s">
        <v>3447</v>
      </c>
      <c r="F191" s="25" t="s">
        <v>3457</v>
      </c>
      <c r="G191" s="28" t="s">
        <v>29</v>
      </c>
      <c r="H191" s="28" t="s">
        <v>25</v>
      </c>
      <c r="I191" s="25" t="n">
        <v>0</v>
      </c>
      <c r="J191" s="25" t="n">
        <v>0</v>
      </c>
      <c r="K191" s="25" t="n">
        <v>0</v>
      </c>
      <c r="L191" s="29" t="n">
        <v>0.78</v>
      </c>
      <c r="M191" s="30" t="n">
        <v>20.13</v>
      </c>
      <c r="N191" s="29" t="n">
        <v>0.4</v>
      </c>
      <c r="O191" s="25" t="n">
        <v>184</v>
      </c>
      <c r="P191" s="30" t="n">
        <v>-0.69</v>
      </c>
      <c r="Q191" s="27"/>
      <c r="R191" s="27" t="s">
        <v>3471</v>
      </c>
    </row>
    <row r="192" customFormat="false" ht="15" hidden="false" customHeight="false" outlineLevel="0" collapsed="false">
      <c r="A192" s="25" t="n">
        <f aca="false">IF(G192="REJECT",COUNTIF($G$2:$G$2277,"&lt;&gt;REJECT")+1+COUNTIFS($G$2:$G$2277,"REJECT",$B$2:$B$2277,"&gt;"&amp;B192),1+COUNTIFS($G$2:$G$2277,"&lt;&gt;REJECT",$B$2:$B$2277,"&gt;"&amp;B192))</f>
        <v>191</v>
      </c>
      <c r="B192" s="26" t="n">
        <f aca="false">ROUND(($U$2*MAX(0,MIN(1,($W$2-I192)/($W$2-$V$2)))+$U$3*MAX(0,MIN(1,($W$3-J192)/($W$3-$V$3)))+$U$4*MAX(0,MIN(1,($W$4-K192)/($W$4-$V$4)))+$U$5*MAX(0,MIN(1,($W$5-L192)/($W$5-$V$5)))+$U$6*MAX(0,MIN(1,($W$6-M192)/($W$6-$V$6)))+$U$7*MAX(0,MIN(1,($W$7-N192)/($W$7-$V$7)))+$U$8*IF(AND(O192&gt;=$V$8,O192&lt;=$W$8),1,0))/$U$9*100,2)</f>
        <v>94.77</v>
      </c>
      <c r="C192" s="27" t="s">
        <v>373</v>
      </c>
      <c r="D192" s="25" t="s">
        <v>134</v>
      </c>
      <c r="E192" s="25" t="s">
        <v>3447</v>
      </c>
      <c r="F192" s="25" t="s">
        <v>3448</v>
      </c>
      <c r="G192" s="28" t="s">
        <v>29</v>
      </c>
      <c r="H192" s="28" t="s">
        <v>25</v>
      </c>
      <c r="I192" s="25" t="n">
        <v>0</v>
      </c>
      <c r="J192" s="25" t="n">
        <v>0</v>
      </c>
      <c r="K192" s="25" t="n">
        <v>0</v>
      </c>
      <c r="L192" s="29" t="n">
        <v>0.75</v>
      </c>
      <c r="M192" s="30" t="n">
        <v>8.99</v>
      </c>
      <c r="N192" s="29" t="n">
        <v>0.44</v>
      </c>
      <c r="O192" s="25" t="n">
        <v>186</v>
      </c>
      <c r="P192" s="30" t="n">
        <v>1.75</v>
      </c>
      <c r="Q192" s="27"/>
      <c r="R192" s="27" t="s">
        <v>64</v>
      </c>
    </row>
    <row r="193" customFormat="false" ht="15" hidden="false" customHeight="false" outlineLevel="0" collapsed="false">
      <c r="A193" s="25" t="n">
        <f aca="false">IF(G193="REJECT",COUNTIF($G$2:$G$2277,"&lt;&gt;REJECT")+1+COUNTIFS($G$2:$G$2277,"REJECT",$B$2:$B$2277,"&gt;"&amp;B193),1+COUNTIFS($G$2:$G$2277,"&lt;&gt;REJECT",$B$2:$B$2277,"&gt;"&amp;B193))</f>
        <v>191</v>
      </c>
      <c r="B193" s="26" t="n">
        <f aca="false">ROUND(($U$2*MAX(0,MIN(1,($W$2-I193)/($W$2-$V$2)))+$U$3*MAX(0,MIN(1,($W$3-J193)/($W$3-$V$3)))+$U$4*MAX(0,MIN(1,($W$4-K193)/($W$4-$V$4)))+$U$5*MAX(0,MIN(1,($W$5-L193)/($W$5-$V$5)))+$U$6*MAX(0,MIN(1,($W$6-M193)/($W$6-$V$6)))+$U$7*MAX(0,MIN(1,($W$7-N193)/($W$7-$V$7)))+$U$8*IF(AND(O193&gt;=$V$8,O193&lt;=$W$8),1,0))/$U$9*100,2)</f>
        <v>94.77</v>
      </c>
      <c r="C193" s="27" t="s">
        <v>3034</v>
      </c>
      <c r="D193" s="25" t="s">
        <v>134</v>
      </c>
      <c r="E193" s="25" t="s">
        <v>3450</v>
      </c>
      <c r="F193" s="25" t="s">
        <v>3457</v>
      </c>
      <c r="G193" s="33" t="s">
        <v>28</v>
      </c>
      <c r="H193" s="33" t="s">
        <v>24</v>
      </c>
      <c r="I193" s="25" t="n">
        <v>0</v>
      </c>
      <c r="J193" s="25" t="n">
        <v>0</v>
      </c>
      <c r="K193" s="25" t="n">
        <v>0</v>
      </c>
      <c r="L193" s="29" t="n">
        <v>0.76</v>
      </c>
      <c r="M193" s="30" t="n">
        <v>8.59</v>
      </c>
      <c r="N193" s="29" t="n">
        <v>0.84</v>
      </c>
      <c r="O193" s="25" t="n">
        <v>204</v>
      </c>
      <c r="P193" s="30" t="n">
        <v>9.38</v>
      </c>
      <c r="Q193" s="27"/>
      <c r="R193" s="27"/>
    </row>
    <row r="194" customFormat="false" ht="15" hidden="false" customHeight="false" outlineLevel="0" collapsed="false">
      <c r="A194" s="25" t="n">
        <f aca="false">IF(G194="REJECT",COUNTIF($G$2:$G$2277,"&lt;&gt;REJECT")+1+COUNTIFS($G$2:$G$2277,"REJECT",$B$2:$B$2277,"&gt;"&amp;B194),1+COUNTIFS($G$2:$G$2277,"&lt;&gt;REJECT",$B$2:$B$2277,"&gt;"&amp;B194))</f>
        <v>193</v>
      </c>
      <c r="B194" s="26" t="n">
        <f aca="false">ROUND(($U$2*MAX(0,MIN(1,($W$2-I194)/($W$2-$V$2)))+$U$3*MAX(0,MIN(1,($W$3-J194)/($W$3-$V$3)))+$U$4*MAX(0,MIN(1,($W$4-K194)/($W$4-$V$4)))+$U$5*MAX(0,MIN(1,($W$5-L194)/($W$5-$V$5)))+$U$6*MAX(0,MIN(1,($W$6-M194)/($W$6-$V$6)))+$U$7*MAX(0,MIN(1,($W$7-N194)/($W$7-$V$7)))+$U$8*IF(AND(O194&gt;=$V$8,O194&lt;=$W$8),1,0))/$U$9*100,2)</f>
        <v>94.73</v>
      </c>
      <c r="C194" s="27" t="s">
        <v>2556</v>
      </c>
      <c r="D194" s="25" t="s">
        <v>134</v>
      </c>
      <c r="E194" s="25" t="s">
        <v>3447</v>
      </c>
      <c r="F194" s="25" t="s">
        <v>3448</v>
      </c>
      <c r="G194" s="33" t="s">
        <v>28</v>
      </c>
      <c r="H194" s="33" t="s">
        <v>24</v>
      </c>
      <c r="I194" s="25" t="n">
        <v>0</v>
      </c>
      <c r="J194" s="25" t="n">
        <v>0</v>
      </c>
      <c r="K194" s="25" t="n">
        <v>0</v>
      </c>
      <c r="L194" s="29" t="n">
        <v>0.77</v>
      </c>
      <c r="M194" s="30" t="n">
        <v>16.81</v>
      </c>
      <c r="N194" s="29" t="n">
        <v>0.4</v>
      </c>
      <c r="O194" s="25" t="n">
        <v>187</v>
      </c>
      <c r="P194" s="30" t="n">
        <v>5.46</v>
      </c>
      <c r="Q194" s="27"/>
      <c r="R194" s="27"/>
    </row>
    <row r="195" customFormat="false" ht="15" hidden="false" customHeight="false" outlineLevel="0" collapsed="false">
      <c r="A195" s="25" t="n">
        <f aca="false">IF(G195="REJECT",COUNTIF($G$2:$G$2277,"&lt;&gt;REJECT")+1+COUNTIFS($G$2:$G$2277,"REJECT",$B$2:$B$2277,"&gt;"&amp;B195),1+COUNTIFS($G$2:$G$2277,"&lt;&gt;REJECT",$B$2:$B$2277,"&gt;"&amp;B195))</f>
        <v>194</v>
      </c>
      <c r="B195" s="26" t="n">
        <f aca="false">ROUND(($U$2*MAX(0,MIN(1,($W$2-I195)/($W$2-$V$2)))+$U$3*MAX(0,MIN(1,($W$3-J195)/($W$3-$V$3)))+$U$4*MAX(0,MIN(1,($W$4-K195)/($W$4-$V$4)))+$U$5*MAX(0,MIN(1,($W$5-L195)/($W$5-$V$5)))+$U$6*MAX(0,MIN(1,($W$6-M195)/($W$6-$V$6)))+$U$7*MAX(0,MIN(1,($W$7-N195)/($W$7-$V$7)))+$U$8*IF(AND(O195&gt;=$V$8,O195&lt;=$W$8),1,0))/$U$9*100,2)</f>
        <v>94.7</v>
      </c>
      <c r="C195" s="27" t="s">
        <v>215</v>
      </c>
      <c r="D195" s="25" t="s">
        <v>134</v>
      </c>
      <c r="E195" s="25" t="s">
        <v>3450</v>
      </c>
      <c r="F195" s="25" t="s">
        <v>3448</v>
      </c>
      <c r="G195" s="28" t="s">
        <v>29</v>
      </c>
      <c r="H195" s="28" t="s">
        <v>25</v>
      </c>
      <c r="I195" s="25" t="n">
        <v>0</v>
      </c>
      <c r="J195" s="25" t="n">
        <v>0</v>
      </c>
      <c r="K195" s="25" t="n">
        <v>0</v>
      </c>
      <c r="L195" s="29" t="n">
        <v>0.73</v>
      </c>
      <c r="M195" s="30" t="n">
        <v>1.38</v>
      </c>
      <c r="N195" s="29" t="n">
        <v>0.52</v>
      </c>
      <c r="O195" s="25" t="n">
        <v>190</v>
      </c>
      <c r="P195" s="30" t="n">
        <v>1.89</v>
      </c>
      <c r="Q195" s="27"/>
      <c r="R195" s="27" t="s">
        <v>62</v>
      </c>
    </row>
    <row r="196" customFormat="false" ht="15" hidden="false" customHeight="false" outlineLevel="0" collapsed="false">
      <c r="A196" s="25" t="n">
        <f aca="false">IF(G196="REJECT",COUNTIF($G$2:$G$2277,"&lt;&gt;REJECT")+1+COUNTIFS($G$2:$G$2277,"REJECT",$B$2:$B$2277,"&gt;"&amp;B196),1+COUNTIFS($G$2:$G$2277,"&lt;&gt;REJECT",$B$2:$B$2277,"&gt;"&amp;B196))</f>
        <v>194</v>
      </c>
      <c r="B196" s="26" t="n">
        <f aca="false">ROUND(($U$2*MAX(0,MIN(1,($W$2-I196)/($W$2-$V$2)))+$U$3*MAX(0,MIN(1,($W$3-J196)/($W$3-$V$3)))+$U$4*MAX(0,MIN(1,($W$4-K196)/($W$4-$V$4)))+$U$5*MAX(0,MIN(1,($W$5-L196)/($W$5-$V$5)))+$U$6*MAX(0,MIN(1,($W$6-M196)/($W$6-$V$6)))+$U$7*MAX(0,MIN(1,($W$7-N196)/($W$7-$V$7)))+$U$8*IF(AND(O196&gt;=$V$8,O196&lt;=$W$8),1,0))/$U$9*100,2)</f>
        <v>94.7</v>
      </c>
      <c r="C196" s="27" t="s">
        <v>493</v>
      </c>
      <c r="D196" s="25" t="s">
        <v>134</v>
      </c>
      <c r="E196" s="25" t="s">
        <v>3450</v>
      </c>
      <c r="F196" s="25" t="s">
        <v>3448</v>
      </c>
      <c r="G196" s="33" t="s">
        <v>28</v>
      </c>
      <c r="H196" s="33" t="s">
        <v>24</v>
      </c>
      <c r="I196" s="25" t="n">
        <v>0</v>
      </c>
      <c r="J196" s="25" t="n">
        <v>0</v>
      </c>
      <c r="K196" s="25" t="n">
        <v>0</v>
      </c>
      <c r="L196" s="29" t="n">
        <v>0.77</v>
      </c>
      <c r="M196" s="30" t="n">
        <v>17</v>
      </c>
      <c r="N196" s="29" t="n">
        <v>0.4</v>
      </c>
      <c r="O196" s="25" t="n">
        <v>183</v>
      </c>
      <c r="P196" s="30" t="n">
        <v>8.73</v>
      </c>
      <c r="Q196" s="27"/>
      <c r="R196" s="27"/>
    </row>
    <row r="197" customFormat="false" ht="15" hidden="false" customHeight="false" outlineLevel="0" collapsed="false">
      <c r="A197" s="25" t="n">
        <f aca="false">IF(G197="REJECT",COUNTIF($G$2:$G$2277,"&lt;&gt;REJECT")+1+COUNTIFS($G$2:$G$2277,"REJECT",$B$2:$B$2277,"&gt;"&amp;B197),1+COUNTIFS($G$2:$G$2277,"&lt;&gt;REJECT",$B$2:$B$2277,"&gt;"&amp;B197))</f>
        <v>196</v>
      </c>
      <c r="B197" s="26" t="n">
        <f aca="false">ROUND(($U$2*MAX(0,MIN(1,($W$2-I197)/($W$2-$V$2)))+$U$3*MAX(0,MIN(1,($W$3-J197)/($W$3-$V$3)))+$U$4*MAX(0,MIN(1,($W$4-K197)/($W$4-$V$4)))+$U$5*MAX(0,MIN(1,($W$5-L197)/($W$5-$V$5)))+$U$6*MAX(0,MIN(1,($W$6-M197)/($W$6-$V$6)))+$U$7*MAX(0,MIN(1,($W$7-N197)/($W$7-$V$7)))+$U$8*IF(AND(O197&gt;=$V$8,O197&lt;=$W$8),1,0))/$U$9*100,2)</f>
        <v>94.69</v>
      </c>
      <c r="C197" s="27" t="s">
        <v>1259</v>
      </c>
      <c r="D197" s="25" t="s">
        <v>134</v>
      </c>
      <c r="E197" s="25" t="s">
        <v>3447</v>
      </c>
      <c r="F197" s="25" t="s">
        <v>3457</v>
      </c>
      <c r="G197" s="33" t="s">
        <v>28</v>
      </c>
      <c r="H197" s="33" t="s">
        <v>24</v>
      </c>
      <c r="I197" s="25" t="n">
        <v>0</v>
      </c>
      <c r="J197" s="25" t="n">
        <v>0</v>
      </c>
      <c r="K197" s="25" t="n">
        <v>0</v>
      </c>
      <c r="L197" s="29" t="n">
        <v>0.75</v>
      </c>
      <c r="M197" s="30" t="n">
        <v>13.84</v>
      </c>
      <c r="N197" s="29" t="n">
        <v>0</v>
      </c>
      <c r="O197" s="25" t="n">
        <v>182</v>
      </c>
      <c r="P197" s="30" t="n">
        <v>-0.62</v>
      </c>
      <c r="Q197" s="27"/>
      <c r="R197" s="27"/>
    </row>
    <row r="198" customFormat="false" ht="15" hidden="false" customHeight="false" outlineLevel="0" collapsed="false">
      <c r="A198" s="25" t="n">
        <f aca="false">IF(G198="REJECT",COUNTIF($G$2:$G$2277,"&lt;&gt;REJECT")+1+COUNTIFS($G$2:$G$2277,"REJECT",$B$2:$B$2277,"&gt;"&amp;B198),1+COUNTIFS($G$2:$G$2277,"&lt;&gt;REJECT",$B$2:$B$2277,"&gt;"&amp;B198))</f>
        <v>196</v>
      </c>
      <c r="B198" s="26" t="n">
        <f aca="false">ROUND(($U$2*MAX(0,MIN(1,($W$2-I198)/($W$2-$V$2)))+$U$3*MAX(0,MIN(1,($W$3-J198)/($W$3-$V$3)))+$U$4*MAX(0,MIN(1,($W$4-K198)/($W$4-$V$4)))+$U$5*MAX(0,MIN(1,($W$5-L198)/($W$5-$V$5)))+$U$6*MAX(0,MIN(1,($W$6-M198)/($W$6-$V$6)))+$U$7*MAX(0,MIN(1,($W$7-N198)/($W$7-$V$7)))+$U$8*IF(AND(O198&gt;=$V$8,O198&lt;=$W$8),1,0))/$U$9*100,2)</f>
        <v>94.69</v>
      </c>
      <c r="C198" s="27" t="s">
        <v>2332</v>
      </c>
      <c r="D198" s="25" t="s">
        <v>3459</v>
      </c>
      <c r="E198" s="25" t="s">
        <v>3447</v>
      </c>
      <c r="F198" s="25" t="s">
        <v>3457</v>
      </c>
      <c r="G198" s="33" t="s">
        <v>28</v>
      </c>
      <c r="H198" s="33" t="s">
        <v>24</v>
      </c>
      <c r="I198" s="25" t="n">
        <v>0</v>
      </c>
      <c r="J198" s="25" t="n">
        <v>0</v>
      </c>
      <c r="K198" s="25" t="n">
        <v>0</v>
      </c>
      <c r="L198" s="29" t="n">
        <v>0.76</v>
      </c>
      <c r="M198" s="30" t="n">
        <v>15.89</v>
      </c>
      <c r="N198" s="29" t="n">
        <v>0.16</v>
      </c>
      <c r="O198" s="25" t="n">
        <v>183</v>
      </c>
      <c r="P198" s="30" t="n">
        <v>6.13</v>
      </c>
      <c r="Q198" s="27"/>
      <c r="R198" s="27"/>
    </row>
    <row r="199" customFormat="false" ht="15" hidden="false" customHeight="false" outlineLevel="0" collapsed="false">
      <c r="A199" s="25" t="n">
        <f aca="false">IF(G199="REJECT",COUNTIF($G$2:$G$2277,"&lt;&gt;REJECT")+1+COUNTIFS($G$2:$G$2277,"REJECT",$B$2:$B$2277,"&gt;"&amp;B199),1+COUNTIFS($G$2:$G$2277,"&lt;&gt;REJECT",$B$2:$B$2277,"&gt;"&amp;B199))</f>
        <v>196</v>
      </c>
      <c r="B199" s="26" t="n">
        <f aca="false">ROUND(($U$2*MAX(0,MIN(1,($W$2-I199)/($W$2-$V$2)))+$U$3*MAX(0,MIN(1,($W$3-J199)/($W$3-$V$3)))+$U$4*MAX(0,MIN(1,($W$4-K199)/($W$4-$V$4)))+$U$5*MAX(0,MIN(1,($W$5-L199)/($W$5-$V$5)))+$U$6*MAX(0,MIN(1,($W$6-M199)/($W$6-$V$6)))+$U$7*MAX(0,MIN(1,($W$7-N199)/($W$7-$V$7)))+$U$8*IF(AND(O199&gt;=$V$8,O199&lt;=$W$8),1,0))/$U$9*100,2)</f>
        <v>94.69</v>
      </c>
      <c r="C199" s="27" t="s">
        <v>3151</v>
      </c>
      <c r="D199" s="25" t="s">
        <v>134</v>
      </c>
      <c r="E199" s="25" t="s">
        <v>3447</v>
      </c>
      <c r="F199" s="25" t="s">
        <v>3448</v>
      </c>
      <c r="G199" s="28" t="s">
        <v>29</v>
      </c>
      <c r="H199" s="28" t="s">
        <v>25</v>
      </c>
      <c r="I199" s="25" t="n">
        <v>0</v>
      </c>
      <c r="J199" s="25" t="n">
        <v>0</v>
      </c>
      <c r="K199" s="25" t="n">
        <v>0</v>
      </c>
      <c r="L199" s="29" t="n">
        <v>0.9</v>
      </c>
      <c r="M199" s="30" t="n">
        <v>27.86</v>
      </c>
      <c r="N199" s="29" t="n">
        <v>0.4</v>
      </c>
      <c r="O199" s="25" t="n">
        <v>184</v>
      </c>
      <c r="P199" s="30" t="n">
        <v>-1.57</v>
      </c>
      <c r="Q199" s="27"/>
      <c r="R199" s="27" t="s">
        <v>3470</v>
      </c>
    </row>
    <row r="200" customFormat="false" ht="15" hidden="false" customHeight="false" outlineLevel="0" collapsed="false">
      <c r="A200" s="25" t="n">
        <f aca="false">IF(G200="REJECT",COUNTIF($G$2:$G$2277,"&lt;&gt;REJECT")+1+COUNTIFS($G$2:$G$2277,"REJECT",$B$2:$B$2277,"&gt;"&amp;B200),1+COUNTIFS($G$2:$G$2277,"&lt;&gt;REJECT",$B$2:$B$2277,"&gt;"&amp;B200))</f>
        <v>199</v>
      </c>
      <c r="B200" s="26" t="n">
        <f aca="false">ROUND(($U$2*MAX(0,MIN(1,($W$2-I200)/($W$2-$V$2)))+$U$3*MAX(0,MIN(1,($W$3-J200)/($W$3-$V$3)))+$U$4*MAX(0,MIN(1,($W$4-K200)/($W$4-$V$4)))+$U$5*MAX(0,MIN(1,($W$5-L200)/($W$5-$V$5)))+$U$6*MAX(0,MIN(1,($W$6-M200)/($W$6-$V$6)))+$U$7*MAX(0,MIN(1,($W$7-N200)/($W$7-$V$7)))+$U$8*IF(AND(O200&gt;=$V$8,O200&lt;=$W$8),1,0))/$U$9*100,2)</f>
        <v>94.68</v>
      </c>
      <c r="C200" s="27" t="s">
        <v>227</v>
      </c>
      <c r="D200" s="25" t="s">
        <v>134</v>
      </c>
      <c r="E200" s="25" t="s">
        <v>3450</v>
      </c>
      <c r="F200" s="25" t="s">
        <v>3457</v>
      </c>
      <c r="G200" s="33" t="s">
        <v>28</v>
      </c>
      <c r="H200" s="33" t="s">
        <v>24</v>
      </c>
      <c r="I200" s="25" t="n">
        <v>0</v>
      </c>
      <c r="J200" s="25" t="n">
        <v>0</v>
      </c>
      <c r="K200" s="25" t="n">
        <v>0</v>
      </c>
      <c r="L200" s="29" t="n">
        <v>0.77</v>
      </c>
      <c r="M200" s="30" t="n">
        <v>13.95</v>
      </c>
      <c r="N200" s="29" t="n">
        <v>0.72</v>
      </c>
      <c r="O200" s="25" t="n">
        <v>183</v>
      </c>
      <c r="P200" s="30" t="n">
        <v>6.4</v>
      </c>
      <c r="Q200" s="27"/>
      <c r="R200" s="27"/>
    </row>
    <row r="201" customFormat="false" ht="15" hidden="false" customHeight="false" outlineLevel="0" collapsed="false">
      <c r="A201" s="25" t="n">
        <f aca="false">IF(G201="REJECT",COUNTIF($G$2:$G$2277,"&lt;&gt;REJECT")+1+COUNTIFS($G$2:$G$2277,"REJECT",$B$2:$B$2277,"&gt;"&amp;B201),1+COUNTIFS($G$2:$G$2277,"&lt;&gt;REJECT",$B$2:$B$2277,"&gt;"&amp;B201))</f>
        <v>200</v>
      </c>
      <c r="B201" s="26" t="n">
        <f aca="false">ROUND(($U$2*MAX(0,MIN(1,($W$2-I201)/($W$2-$V$2)))+$U$3*MAX(0,MIN(1,($W$3-J201)/($W$3-$V$3)))+$U$4*MAX(0,MIN(1,($W$4-K201)/($W$4-$V$4)))+$U$5*MAX(0,MIN(1,($W$5-L201)/($W$5-$V$5)))+$U$6*MAX(0,MIN(1,($W$6-M201)/($W$6-$V$6)))+$U$7*MAX(0,MIN(1,($W$7-N201)/($W$7-$V$7)))+$U$8*IF(AND(O201&gt;=$V$8,O201&lt;=$W$8),1,0))/$U$9*100,2)</f>
        <v>94.62</v>
      </c>
      <c r="C201" s="27" t="s">
        <v>1553</v>
      </c>
      <c r="D201" s="25" t="s">
        <v>3459</v>
      </c>
      <c r="E201" s="25" t="s">
        <v>3450</v>
      </c>
      <c r="F201" s="25" t="s">
        <v>3448</v>
      </c>
      <c r="G201" s="28" t="s">
        <v>29</v>
      </c>
      <c r="H201" s="28" t="s">
        <v>25</v>
      </c>
      <c r="I201" s="25" t="n">
        <v>0</v>
      </c>
      <c r="J201" s="25" t="n">
        <v>0</v>
      </c>
      <c r="K201" s="25" t="n">
        <v>0</v>
      </c>
      <c r="L201" s="29" t="n">
        <v>0.78</v>
      </c>
      <c r="M201" s="30" t="n">
        <v>21.48</v>
      </c>
      <c r="N201" s="29" t="n">
        <v>0.36</v>
      </c>
      <c r="O201" s="25" t="n">
        <v>185</v>
      </c>
      <c r="P201" s="30" t="n">
        <v>11.54</v>
      </c>
      <c r="Q201" s="27"/>
      <c r="R201" s="27" t="s">
        <v>61</v>
      </c>
    </row>
    <row r="202" customFormat="false" ht="15" hidden="false" customHeight="false" outlineLevel="0" collapsed="false">
      <c r="A202" s="25" t="n">
        <f aca="false">IF(G202="REJECT",COUNTIF($G$2:$G$2277,"&lt;&gt;REJECT")+1+COUNTIFS($G$2:$G$2277,"REJECT",$B$2:$B$2277,"&gt;"&amp;B202),1+COUNTIFS($G$2:$G$2277,"&lt;&gt;REJECT",$B$2:$B$2277,"&gt;"&amp;B202))</f>
        <v>201</v>
      </c>
      <c r="B202" s="26" t="n">
        <f aca="false">ROUND(($U$2*MAX(0,MIN(1,($W$2-I202)/($W$2-$V$2)))+$U$3*MAX(0,MIN(1,($W$3-J202)/($W$3-$V$3)))+$U$4*MAX(0,MIN(1,($W$4-K202)/($W$4-$V$4)))+$U$5*MAX(0,MIN(1,($W$5-L202)/($W$5-$V$5)))+$U$6*MAX(0,MIN(1,($W$6-M202)/($W$6-$V$6)))+$U$7*MAX(0,MIN(1,($W$7-N202)/($W$7-$V$7)))+$U$8*IF(AND(O202&gt;=$V$8,O202&lt;=$W$8),1,0))/$U$9*100,2)</f>
        <v>94.61</v>
      </c>
      <c r="C202" s="27" t="s">
        <v>1836</v>
      </c>
      <c r="D202" s="25" t="s">
        <v>134</v>
      </c>
      <c r="E202" s="25" t="s">
        <v>3450</v>
      </c>
      <c r="F202" s="25" t="s">
        <v>3457</v>
      </c>
      <c r="G202" s="28" t="s">
        <v>29</v>
      </c>
      <c r="H202" s="28" t="s">
        <v>25</v>
      </c>
      <c r="I202" s="25" t="n">
        <v>0</v>
      </c>
      <c r="J202" s="25" t="n">
        <v>0</v>
      </c>
      <c r="K202" s="25" t="n">
        <v>0</v>
      </c>
      <c r="L202" s="29" t="n">
        <v>0.77</v>
      </c>
      <c r="M202" s="30" t="n">
        <v>17.12</v>
      </c>
      <c r="N202" s="29" t="n">
        <v>0.44</v>
      </c>
      <c r="O202" s="25" t="n">
        <v>187</v>
      </c>
      <c r="P202" s="30" t="n">
        <v>17.08</v>
      </c>
      <c r="Q202" s="27"/>
      <c r="R202" s="27" t="s">
        <v>63</v>
      </c>
    </row>
    <row r="203" customFormat="false" ht="15" hidden="false" customHeight="false" outlineLevel="0" collapsed="false">
      <c r="A203" s="25" t="n">
        <f aca="false">IF(G203="REJECT",COUNTIF($G$2:$G$2277,"&lt;&gt;REJECT")+1+COUNTIFS($G$2:$G$2277,"REJECT",$B$2:$B$2277,"&gt;"&amp;B203),1+COUNTIFS($G$2:$G$2277,"&lt;&gt;REJECT",$B$2:$B$2277,"&gt;"&amp;B203))</f>
        <v>201</v>
      </c>
      <c r="B203" s="26" t="n">
        <f aca="false">ROUND(($U$2*MAX(0,MIN(1,($W$2-I203)/($W$2-$V$2)))+$U$3*MAX(0,MIN(1,($W$3-J203)/($W$3-$V$3)))+$U$4*MAX(0,MIN(1,($W$4-K203)/($W$4-$V$4)))+$U$5*MAX(0,MIN(1,($W$5-L203)/($W$5-$V$5)))+$U$6*MAX(0,MIN(1,($W$6-M203)/($W$6-$V$6)))+$U$7*MAX(0,MIN(1,($W$7-N203)/($W$7-$V$7)))+$U$8*IF(AND(O203&gt;=$V$8,O203&lt;=$W$8),1,0))/$U$9*100,2)</f>
        <v>94.61</v>
      </c>
      <c r="C203" s="27" t="s">
        <v>1918</v>
      </c>
      <c r="D203" s="25" t="s">
        <v>134</v>
      </c>
      <c r="E203" s="25" t="s">
        <v>3450</v>
      </c>
      <c r="F203" s="25" t="s">
        <v>3448</v>
      </c>
      <c r="G203" s="33" t="s">
        <v>28</v>
      </c>
      <c r="H203" s="33" t="s">
        <v>24</v>
      </c>
      <c r="I203" s="25" t="n">
        <v>0</v>
      </c>
      <c r="J203" s="25" t="n">
        <v>0</v>
      </c>
      <c r="K203" s="25" t="n">
        <v>0</v>
      </c>
      <c r="L203" s="29" t="n">
        <v>0.72</v>
      </c>
      <c r="M203" s="30" t="n">
        <v>3.56</v>
      </c>
      <c r="N203" s="29" t="n">
        <v>0</v>
      </c>
      <c r="O203" s="25" t="n">
        <v>195</v>
      </c>
      <c r="P203" s="30" t="n">
        <v>11.62</v>
      </c>
      <c r="Q203" s="27"/>
      <c r="R203" s="27"/>
    </row>
    <row r="204" customFormat="false" ht="15" hidden="false" customHeight="false" outlineLevel="0" collapsed="false">
      <c r="A204" s="25" t="n">
        <f aca="false">IF(G204="REJECT",COUNTIF($G$2:$G$2277,"&lt;&gt;REJECT")+1+COUNTIFS($G$2:$G$2277,"REJECT",$B$2:$B$2277,"&gt;"&amp;B204),1+COUNTIFS($G$2:$G$2277,"&lt;&gt;REJECT",$B$2:$B$2277,"&gt;"&amp;B204))</f>
        <v>203</v>
      </c>
      <c r="B204" s="26" t="n">
        <f aca="false">ROUND(($U$2*MAX(0,MIN(1,($W$2-I204)/($W$2-$V$2)))+$U$3*MAX(0,MIN(1,($W$3-J204)/($W$3-$V$3)))+$U$4*MAX(0,MIN(1,($W$4-K204)/($W$4-$V$4)))+$U$5*MAX(0,MIN(1,($W$5-L204)/($W$5-$V$5)))+$U$6*MAX(0,MIN(1,($W$6-M204)/($W$6-$V$6)))+$U$7*MAX(0,MIN(1,($W$7-N204)/($W$7-$V$7)))+$U$8*IF(AND(O204&gt;=$V$8,O204&lt;=$W$8),1,0))/$U$9*100,2)</f>
        <v>94.6</v>
      </c>
      <c r="C204" s="27" t="s">
        <v>2308</v>
      </c>
      <c r="D204" s="25" t="s">
        <v>134</v>
      </c>
      <c r="E204" s="25" t="s">
        <v>3450</v>
      </c>
      <c r="F204" s="25" t="s">
        <v>3448</v>
      </c>
      <c r="G204" s="28" t="s">
        <v>29</v>
      </c>
      <c r="H204" s="28" t="s">
        <v>25</v>
      </c>
      <c r="I204" s="25" t="n">
        <v>0</v>
      </c>
      <c r="J204" s="25" t="n">
        <v>0</v>
      </c>
      <c r="K204" s="25" t="n">
        <v>0</v>
      </c>
      <c r="L204" s="29" t="n">
        <v>0.75</v>
      </c>
      <c r="M204" s="30" t="n">
        <v>14.41</v>
      </c>
      <c r="N204" s="29" t="n">
        <v>0</v>
      </c>
      <c r="O204" s="25" t="n">
        <v>210</v>
      </c>
      <c r="P204" s="30" t="n">
        <v>1.32</v>
      </c>
      <c r="Q204" s="27"/>
      <c r="R204" s="27" t="s">
        <v>3466</v>
      </c>
    </row>
    <row r="205" customFormat="false" ht="15" hidden="false" customHeight="false" outlineLevel="0" collapsed="false">
      <c r="A205" s="25" t="n">
        <f aca="false">IF(G205="REJECT",COUNTIF($G$2:$G$2277,"&lt;&gt;REJECT")+1+COUNTIFS($G$2:$G$2277,"REJECT",$B$2:$B$2277,"&gt;"&amp;B205),1+COUNTIFS($G$2:$G$2277,"&lt;&gt;REJECT",$B$2:$B$2277,"&gt;"&amp;B205))</f>
        <v>204</v>
      </c>
      <c r="B205" s="26" t="n">
        <f aca="false">ROUND(($U$2*MAX(0,MIN(1,($W$2-I205)/($W$2-$V$2)))+$U$3*MAX(0,MIN(1,($W$3-J205)/($W$3-$V$3)))+$U$4*MAX(0,MIN(1,($W$4-K205)/($W$4-$V$4)))+$U$5*MAX(0,MIN(1,($W$5-L205)/($W$5-$V$5)))+$U$6*MAX(0,MIN(1,($W$6-M205)/($W$6-$V$6)))+$U$7*MAX(0,MIN(1,($W$7-N205)/($W$7-$V$7)))+$U$8*IF(AND(O205&gt;=$V$8,O205&lt;=$W$8),1,0))/$U$9*100,2)</f>
        <v>94.58</v>
      </c>
      <c r="C205" s="27" t="s">
        <v>1002</v>
      </c>
      <c r="D205" s="25" t="s">
        <v>134</v>
      </c>
      <c r="E205" s="25" t="s">
        <v>3447</v>
      </c>
      <c r="F205" s="25" t="s">
        <v>3448</v>
      </c>
      <c r="G205" s="33" t="s">
        <v>28</v>
      </c>
      <c r="H205" s="33" t="s">
        <v>24</v>
      </c>
      <c r="I205" s="25" t="n">
        <v>0</v>
      </c>
      <c r="J205" s="25" t="n">
        <v>0</v>
      </c>
      <c r="K205" s="25" t="n">
        <v>0</v>
      </c>
      <c r="L205" s="29" t="n">
        <v>0.77</v>
      </c>
      <c r="M205" s="30" t="n">
        <v>19.3</v>
      </c>
      <c r="N205" s="29" t="n">
        <v>0.24</v>
      </c>
      <c r="O205" s="25" t="n">
        <v>184</v>
      </c>
      <c r="P205" s="30" t="n">
        <v>2.98</v>
      </c>
      <c r="Q205" s="27"/>
      <c r="R205" s="27"/>
    </row>
    <row r="206" customFormat="false" ht="15" hidden="false" customHeight="false" outlineLevel="0" collapsed="false">
      <c r="A206" s="25" t="n">
        <f aca="false">IF(G206="REJECT",COUNTIF($G$2:$G$2277,"&lt;&gt;REJECT")+1+COUNTIFS($G$2:$G$2277,"REJECT",$B$2:$B$2277,"&gt;"&amp;B206),1+COUNTIFS($G$2:$G$2277,"&lt;&gt;REJECT",$B$2:$B$2277,"&gt;"&amp;B206))</f>
        <v>205</v>
      </c>
      <c r="B206" s="26" t="n">
        <f aca="false">ROUND(($U$2*MAX(0,MIN(1,($W$2-I206)/($W$2-$V$2)))+$U$3*MAX(0,MIN(1,($W$3-J206)/($W$3-$V$3)))+$U$4*MAX(0,MIN(1,($W$4-K206)/($W$4-$V$4)))+$U$5*MAX(0,MIN(1,($W$5-L206)/($W$5-$V$5)))+$U$6*MAX(0,MIN(1,($W$6-M206)/($W$6-$V$6)))+$U$7*MAX(0,MIN(1,($W$7-N206)/($W$7-$V$7)))+$U$8*IF(AND(O206&gt;=$V$8,O206&lt;=$W$8),1,0))/$U$9*100,2)</f>
        <v>94.57</v>
      </c>
      <c r="C206" s="27" t="s">
        <v>2391</v>
      </c>
      <c r="D206" s="25" t="s">
        <v>3459</v>
      </c>
      <c r="E206" s="25" t="s">
        <v>3450</v>
      </c>
      <c r="F206" s="25" t="s">
        <v>3448</v>
      </c>
      <c r="G206" s="28" t="s">
        <v>29</v>
      </c>
      <c r="H206" s="28" t="s">
        <v>25</v>
      </c>
      <c r="I206" s="25" t="n">
        <v>0</v>
      </c>
      <c r="J206" s="25" t="n">
        <v>0</v>
      </c>
      <c r="K206" s="25" t="n">
        <v>0</v>
      </c>
      <c r="L206" s="29" t="n">
        <v>0.78</v>
      </c>
      <c r="M206" s="30" t="n">
        <v>20.99</v>
      </c>
      <c r="N206" s="29" t="n">
        <v>0.44</v>
      </c>
      <c r="O206" s="25" t="n">
        <v>183</v>
      </c>
      <c r="P206" s="30" t="n">
        <v>7.64</v>
      </c>
      <c r="Q206" s="27"/>
      <c r="R206" s="27" t="s">
        <v>61</v>
      </c>
    </row>
    <row r="207" customFormat="false" ht="15" hidden="false" customHeight="false" outlineLevel="0" collapsed="false">
      <c r="A207" s="25" t="n">
        <f aca="false">IF(G207="REJECT",COUNTIF($G$2:$G$2277,"&lt;&gt;REJECT")+1+COUNTIFS($G$2:$G$2277,"REJECT",$B$2:$B$2277,"&gt;"&amp;B207),1+COUNTIFS($G$2:$G$2277,"&lt;&gt;REJECT",$B$2:$B$2277,"&gt;"&amp;B207))</f>
        <v>206</v>
      </c>
      <c r="B207" s="26" t="n">
        <f aca="false">ROUND(($U$2*MAX(0,MIN(1,($W$2-I207)/($W$2-$V$2)))+$U$3*MAX(0,MIN(1,($W$3-J207)/($W$3-$V$3)))+$U$4*MAX(0,MIN(1,($W$4-K207)/($W$4-$V$4)))+$U$5*MAX(0,MIN(1,($W$5-L207)/($W$5-$V$5)))+$U$6*MAX(0,MIN(1,($W$6-M207)/($W$6-$V$6)))+$U$7*MAX(0,MIN(1,($W$7-N207)/($W$7-$V$7)))+$U$8*IF(AND(O207&gt;=$V$8,O207&lt;=$W$8),1,0))/$U$9*100,2)</f>
        <v>94.56</v>
      </c>
      <c r="C207" s="27" t="s">
        <v>756</v>
      </c>
      <c r="D207" s="25" t="s">
        <v>3459</v>
      </c>
      <c r="E207" s="25" t="s">
        <v>3447</v>
      </c>
      <c r="F207" s="25" t="s">
        <v>3448</v>
      </c>
      <c r="G207" s="33" t="s">
        <v>28</v>
      </c>
      <c r="H207" s="33" t="s">
        <v>24</v>
      </c>
      <c r="I207" s="25" t="n">
        <v>0</v>
      </c>
      <c r="J207" s="25" t="n">
        <v>0</v>
      </c>
      <c r="K207" s="25" t="n">
        <v>0</v>
      </c>
      <c r="L207" s="29" t="n">
        <v>0.77</v>
      </c>
      <c r="M207" s="30" t="n">
        <v>16.66</v>
      </c>
      <c r="N207" s="29" t="n">
        <v>0.52</v>
      </c>
      <c r="O207" s="25" t="n">
        <v>210</v>
      </c>
      <c r="P207" s="30" t="n">
        <v>12.3</v>
      </c>
      <c r="Q207" s="27"/>
      <c r="R207" s="27"/>
    </row>
    <row r="208" customFormat="false" ht="15" hidden="false" customHeight="false" outlineLevel="0" collapsed="false">
      <c r="A208" s="25" t="n">
        <f aca="false">IF(G208="REJECT",COUNTIF($G$2:$G$2277,"&lt;&gt;REJECT")+1+COUNTIFS($G$2:$G$2277,"REJECT",$B$2:$B$2277,"&gt;"&amp;B208),1+COUNTIFS($G$2:$G$2277,"&lt;&gt;REJECT",$B$2:$B$2277,"&gt;"&amp;B208))</f>
        <v>207</v>
      </c>
      <c r="B208" s="26" t="n">
        <f aca="false">ROUND(($U$2*MAX(0,MIN(1,($W$2-I208)/($W$2-$V$2)))+$U$3*MAX(0,MIN(1,($W$3-J208)/($W$3-$V$3)))+$U$4*MAX(0,MIN(1,($W$4-K208)/($W$4-$V$4)))+$U$5*MAX(0,MIN(1,($W$5-L208)/($W$5-$V$5)))+$U$6*MAX(0,MIN(1,($W$6-M208)/($W$6-$V$6)))+$U$7*MAX(0,MIN(1,($W$7-N208)/($W$7-$V$7)))+$U$8*IF(AND(O208&gt;=$V$8,O208&lt;=$W$8),1,0))/$U$9*100,2)</f>
        <v>94.53</v>
      </c>
      <c r="C208" s="27" t="s">
        <v>1068</v>
      </c>
      <c r="D208" s="25" t="s">
        <v>134</v>
      </c>
      <c r="E208" s="25" t="s">
        <v>3450</v>
      </c>
      <c r="F208" s="25" t="s">
        <v>3448</v>
      </c>
      <c r="G208" s="33" t="s">
        <v>28</v>
      </c>
      <c r="H208" s="33" t="s">
        <v>24</v>
      </c>
      <c r="I208" s="25" t="n">
        <v>0</v>
      </c>
      <c r="J208" s="25" t="n">
        <v>0</v>
      </c>
      <c r="K208" s="25" t="n">
        <v>0</v>
      </c>
      <c r="L208" s="29" t="n">
        <v>0.74</v>
      </c>
      <c r="M208" s="30" t="n">
        <v>4.01</v>
      </c>
      <c r="N208" s="29" t="n">
        <v>0.72</v>
      </c>
      <c r="O208" s="25" t="n">
        <v>190</v>
      </c>
      <c r="P208" s="30" t="n">
        <v>5.42</v>
      </c>
      <c r="Q208" s="27"/>
      <c r="R208" s="27"/>
    </row>
    <row r="209" customFormat="false" ht="15" hidden="false" customHeight="false" outlineLevel="0" collapsed="false">
      <c r="A209" s="25" t="n">
        <f aca="false">IF(G209="REJECT",COUNTIF($G$2:$G$2277,"&lt;&gt;REJECT")+1+COUNTIFS($G$2:$G$2277,"REJECT",$B$2:$B$2277,"&gt;"&amp;B209),1+COUNTIFS($G$2:$G$2277,"&lt;&gt;REJECT",$B$2:$B$2277,"&gt;"&amp;B209))</f>
        <v>207</v>
      </c>
      <c r="B209" s="26" t="n">
        <f aca="false">ROUND(($U$2*MAX(0,MIN(1,($W$2-I209)/($W$2-$V$2)))+$U$3*MAX(0,MIN(1,($W$3-J209)/($W$3-$V$3)))+$U$4*MAX(0,MIN(1,($W$4-K209)/($W$4-$V$4)))+$U$5*MAX(0,MIN(1,($W$5-L209)/($W$5-$V$5)))+$U$6*MAX(0,MIN(1,($W$6-M209)/($W$6-$V$6)))+$U$7*MAX(0,MIN(1,($W$7-N209)/($W$7-$V$7)))+$U$8*IF(AND(O209&gt;=$V$8,O209&lt;=$W$8),1,0))/$U$9*100,2)</f>
        <v>94.53</v>
      </c>
      <c r="C209" s="27" t="s">
        <v>2569</v>
      </c>
      <c r="D209" s="25" t="s">
        <v>134</v>
      </c>
      <c r="E209" s="25" t="s">
        <v>3450</v>
      </c>
      <c r="F209" s="25" t="s">
        <v>3457</v>
      </c>
      <c r="G209" s="33" t="s">
        <v>28</v>
      </c>
      <c r="H209" s="33" t="s">
        <v>24</v>
      </c>
      <c r="I209" s="25" t="n">
        <v>0</v>
      </c>
      <c r="J209" s="25" t="n">
        <v>0</v>
      </c>
      <c r="K209" s="25" t="n">
        <v>0</v>
      </c>
      <c r="L209" s="29" t="n">
        <v>0.74</v>
      </c>
      <c r="M209" s="30" t="n">
        <v>5.61</v>
      </c>
      <c r="N209" s="29" t="n">
        <v>0.56</v>
      </c>
      <c r="O209" s="25" t="n">
        <v>182</v>
      </c>
      <c r="P209" s="30" t="n">
        <v>9.79</v>
      </c>
      <c r="Q209" s="27"/>
      <c r="R209" s="27"/>
    </row>
    <row r="210" customFormat="false" ht="15" hidden="false" customHeight="false" outlineLevel="0" collapsed="false">
      <c r="A210" s="25" t="n">
        <f aca="false">IF(G210="REJECT",COUNTIF($G$2:$G$2277,"&lt;&gt;REJECT")+1+COUNTIFS($G$2:$G$2277,"REJECT",$B$2:$B$2277,"&gt;"&amp;B210),1+COUNTIFS($G$2:$G$2277,"&lt;&gt;REJECT",$B$2:$B$2277,"&gt;"&amp;B210))</f>
        <v>209</v>
      </c>
      <c r="B210" s="26" t="n">
        <f aca="false">ROUND(($U$2*MAX(0,MIN(1,($W$2-I210)/($W$2-$V$2)))+$U$3*MAX(0,MIN(1,($W$3-J210)/($W$3-$V$3)))+$U$4*MAX(0,MIN(1,($W$4-K210)/($W$4-$V$4)))+$U$5*MAX(0,MIN(1,($W$5-L210)/($W$5-$V$5)))+$U$6*MAX(0,MIN(1,($W$6-M210)/($W$6-$V$6)))+$U$7*MAX(0,MIN(1,($W$7-N210)/($W$7-$V$7)))+$U$8*IF(AND(O210&gt;=$V$8,O210&lt;=$W$8),1,0))/$U$9*100,2)</f>
        <v>94.52</v>
      </c>
      <c r="C210" s="27" t="s">
        <v>2529</v>
      </c>
      <c r="D210" s="25" t="s">
        <v>134</v>
      </c>
      <c r="E210" s="25" t="s">
        <v>3450</v>
      </c>
      <c r="F210" s="25" t="s">
        <v>3457</v>
      </c>
      <c r="G210" s="33" t="s">
        <v>28</v>
      </c>
      <c r="H210" s="33" t="s">
        <v>24</v>
      </c>
      <c r="I210" s="25" t="n">
        <v>0</v>
      </c>
      <c r="J210" s="25" t="n">
        <v>0</v>
      </c>
      <c r="K210" s="25" t="n">
        <v>0</v>
      </c>
      <c r="L210" s="29" t="n">
        <v>0.76</v>
      </c>
      <c r="M210" s="30" t="n">
        <v>14.86</v>
      </c>
      <c r="N210" s="29" t="n">
        <v>0.36</v>
      </c>
      <c r="O210" s="25" t="n">
        <v>183</v>
      </c>
      <c r="P210" s="30" t="n">
        <v>10</v>
      </c>
      <c r="Q210" s="27"/>
      <c r="R210" s="27"/>
    </row>
    <row r="211" customFormat="false" ht="15" hidden="false" customHeight="false" outlineLevel="0" collapsed="false">
      <c r="A211" s="25" t="n">
        <f aca="false">IF(G211="REJECT",COUNTIF($G$2:$G$2277,"&lt;&gt;REJECT")+1+COUNTIFS($G$2:$G$2277,"REJECT",$B$2:$B$2277,"&gt;"&amp;B211),1+COUNTIFS($G$2:$G$2277,"&lt;&gt;REJECT",$B$2:$B$2277,"&gt;"&amp;B211))</f>
        <v>210</v>
      </c>
      <c r="B211" s="26" t="n">
        <f aca="false">ROUND(($U$2*MAX(0,MIN(1,($W$2-I211)/($W$2-$V$2)))+$U$3*MAX(0,MIN(1,($W$3-J211)/($W$3-$V$3)))+$U$4*MAX(0,MIN(1,($W$4-K211)/($W$4-$V$4)))+$U$5*MAX(0,MIN(1,($W$5-L211)/($W$5-$V$5)))+$U$6*MAX(0,MIN(1,($W$6-M211)/($W$6-$V$6)))+$U$7*MAX(0,MIN(1,($W$7-N211)/($W$7-$V$7)))+$U$8*IF(AND(O211&gt;=$V$8,O211&lt;=$W$8),1,0))/$U$9*100,2)</f>
        <v>94.48</v>
      </c>
      <c r="C211" s="27" t="s">
        <v>2529</v>
      </c>
      <c r="D211" s="25" t="s">
        <v>134</v>
      </c>
      <c r="E211" s="25" t="s">
        <v>3450</v>
      </c>
      <c r="F211" s="25" t="s">
        <v>3448</v>
      </c>
      <c r="G211" s="33" t="s">
        <v>28</v>
      </c>
      <c r="H211" s="33" t="s">
        <v>24</v>
      </c>
      <c r="I211" s="25" t="n">
        <v>0</v>
      </c>
      <c r="J211" s="25" t="n">
        <v>0</v>
      </c>
      <c r="K211" s="25" t="n">
        <v>0</v>
      </c>
      <c r="L211" s="29" t="n">
        <v>0.77</v>
      </c>
      <c r="M211" s="30" t="n">
        <v>18.7</v>
      </c>
      <c r="N211" s="29" t="n">
        <v>0.36</v>
      </c>
      <c r="O211" s="25" t="n">
        <v>183</v>
      </c>
      <c r="P211" s="30" t="n">
        <v>12.02</v>
      </c>
      <c r="Q211" s="27"/>
      <c r="R211" s="27"/>
    </row>
    <row r="212" customFormat="false" ht="15" hidden="false" customHeight="false" outlineLevel="0" collapsed="false">
      <c r="A212" s="25" t="n">
        <f aca="false">IF(G212="REJECT",COUNTIF($G$2:$G$2277,"&lt;&gt;REJECT")+1+COUNTIFS($G$2:$G$2277,"REJECT",$B$2:$B$2277,"&gt;"&amp;B212),1+COUNTIFS($G$2:$G$2277,"&lt;&gt;REJECT",$B$2:$B$2277,"&gt;"&amp;B212))</f>
        <v>211</v>
      </c>
      <c r="B212" s="26" t="n">
        <f aca="false">ROUND(($U$2*MAX(0,MIN(1,($W$2-I212)/($W$2-$V$2)))+$U$3*MAX(0,MIN(1,($W$3-J212)/($W$3-$V$3)))+$U$4*MAX(0,MIN(1,($W$4-K212)/($W$4-$V$4)))+$U$5*MAX(0,MIN(1,($W$5-L212)/($W$5-$V$5)))+$U$6*MAX(0,MIN(1,($W$6-M212)/($W$6-$V$6)))+$U$7*MAX(0,MIN(1,($W$7-N212)/($W$7-$V$7)))+$U$8*IF(AND(O212&gt;=$V$8,O212&lt;=$W$8),1,0))/$U$9*100,2)</f>
        <v>94.47</v>
      </c>
      <c r="C212" s="27" t="s">
        <v>160</v>
      </c>
      <c r="D212" s="25" t="s">
        <v>134</v>
      </c>
      <c r="E212" s="25" t="s">
        <v>3450</v>
      </c>
      <c r="F212" s="25" t="s">
        <v>3457</v>
      </c>
      <c r="G212" s="28" t="s">
        <v>29</v>
      </c>
      <c r="H212" s="28" t="s">
        <v>25</v>
      </c>
      <c r="I212" s="25" t="n">
        <v>0</v>
      </c>
      <c r="J212" s="25" t="n">
        <v>0</v>
      </c>
      <c r="K212" s="25" t="n">
        <v>0</v>
      </c>
      <c r="L212" s="29" t="n">
        <v>0.77</v>
      </c>
      <c r="M212" s="30" t="n">
        <v>20.78</v>
      </c>
      <c r="N212" s="29" t="n">
        <v>0.16</v>
      </c>
      <c r="O212" s="25" t="n">
        <v>188</v>
      </c>
      <c r="P212" s="30" t="n">
        <v>7.98</v>
      </c>
      <c r="Q212" s="27"/>
      <c r="R212" s="27" t="s">
        <v>61</v>
      </c>
    </row>
    <row r="213" customFormat="false" ht="15" hidden="false" customHeight="false" outlineLevel="0" collapsed="false">
      <c r="A213" s="25" t="n">
        <f aca="false">IF(G213="REJECT",COUNTIF($G$2:$G$2277,"&lt;&gt;REJECT")+1+COUNTIFS($G$2:$G$2277,"REJECT",$B$2:$B$2277,"&gt;"&amp;B213),1+COUNTIFS($G$2:$G$2277,"&lt;&gt;REJECT",$B$2:$B$2277,"&gt;"&amp;B213))</f>
        <v>211</v>
      </c>
      <c r="B213" s="26" t="n">
        <f aca="false">ROUND(($U$2*MAX(0,MIN(1,($W$2-I213)/($W$2-$V$2)))+$U$3*MAX(0,MIN(1,($W$3-J213)/($W$3-$V$3)))+$U$4*MAX(0,MIN(1,($W$4-K213)/($W$4-$V$4)))+$U$5*MAX(0,MIN(1,($W$5-L213)/($W$5-$V$5)))+$U$6*MAX(0,MIN(1,($W$6-M213)/($W$6-$V$6)))+$U$7*MAX(0,MIN(1,($W$7-N213)/($W$7-$V$7)))+$U$8*IF(AND(O213&gt;=$V$8,O213&lt;=$W$8),1,0))/$U$9*100,2)</f>
        <v>94.47</v>
      </c>
      <c r="C213" s="27" t="s">
        <v>1185</v>
      </c>
      <c r="D213" s="25" t="s">
        <v>134</v>
      </c>
      <c r="E213" s="25" t="s">
        <v>3450</v>
      </c>
      <c r="F213" s="25" t="s">
        <v>3448</v>
      </c>
      <c r="G213" s="33" t="s">
        <v>28</v>
      </c>
      <c r="H213" s="33" t="s">
        <v>24</v>
      </c>
      <c r="I213" s="25" t="n">
        <v>0</v>
      </c>
      <c r="J213" s="25" t="n">
        <v>0</v>
      </c>
      <c r="K213" s="25" t="n">
        <v>0</v>
      </c>
      <c r="L213" s="29" t="n">
        <v>0.73</v>
      </c>
      <c r="M213" s="30" t="n">
        <v>3.16</v>
      </c>
      <c r="N213" s="29" t="n">
        <v>0.48</v>
      </c>
      <c r="O213" s="25" t="n">
        <v>182</v>
      </c>
      <c r="P213" s="30" t="n">
        <v>5.03</v>
      </c>
      <c r="Q213" s="27"/>
      <c r="R213" s="27"/>
    </row>
    <row r="214" customFormat="false" ht="15" hidden="false" customHeight="false" outlineLevel="0" collapsed="false">
      <c r="A214" s="25" t="n">
        <f aca="false">IF(G214="REJECT",COUNTIF($G$2:$G$2277,"&lt;&gt;REJECT")+1+COUNTIFS($G$2:$G$2277,"REJECT",$B$2:$B$2277,"&gt;"&amp;B214),1+COUNTIFS($G$2:$G$2277,"&lt;&gt;REJECT",$B$2:$B$2277,"&gt;"&amp;B214))</f>
        <v>213</v>
      </c>
      <c r="B214" s="26" t="n">
        <f aca="false">ROUND(($U$2*MAX(0,MIN(1,($W$2-I214)/($W$2-$V$2)))+$U$3*MAX(0,MIN(1,($W$3-J214)/($W$3-$V$3)))+$U$4*MAX(0,MIN(1,($W$4-K214)/($W$4-$V$4)))+$U$5*MAX(0,MIN(1,($W$5-L214)/($W$5-$V$5)))+$U$6*MAX(0,MIN(1,($W$6-M214)/($W$6-$V$6)))+$U$7*MAX(0,MIN(1,($W$7-N214)/($W$7-$V$7)))+$U$8*IF(AND(O214&gt;=$V$8,O214&lt;=$W$8),1,0))/$U$9*100,2)</f>
        <v>94.46</v>
      </c>
      <c r="C214" s="27" t="s">
        <v>2001</v>
      </c>
      <c r="D214" s="25" t="s">
        <v>134</v>
      </c>
      <c r="E214" s="25" t="s">
        <v>3447</v>
      </c>
      <c r="F214" s="25" t="s">
        <v>3457</v>
      </c>
      <c r="G214" s="28" t="s">
        <v>29</v>
      </c>
      <c r="H214" s="28" t="s">
        <v>25</v>
      </c>
      <c r="I214" s="25" t="n">
        <v>0</v>
      </c>
      <c r="J214" s="25" t="n">
        <v>0</v>
      </c>
      <c r="K214" s="25" t="n">
        <v>0</v>
      </c>
      <c r="L214" s="29" t="n">
        <v>0.8</v>
      </c>
      <c r="M214" s="30" t="n">
        <v>23.64</v>
      </c>
      <c r="N214" s="29" t="n">
        <v>0.96</v>
      </c>
      <c r="O214" s="25" t="n">
        <v>193</v>
      </c>
      <c r="P214" s="30" t="n">
        <v>2.99</v>
      </c>
      <c r="Q214" s="27"/>
      <c r="R214" s="27" t="s">
        <v>3470</v>
      </c>
    </row>
    <row r="215" customFormat="false" ht="15" hidden="false" customHeight="false" outlineLevel="0" collapsed="false">
      <c r="A215" s="25" t="n">
        <f aca="false">IF(G215="REJECT",COUNTIF($G$2:$G$2277,"&lt;&gt;REJECT")+1+COUNTIFS($G$2:$G$2277,"REJECT",$B$2:$B$2277,"&gt;"&amp;B215),1+COUNTIFS($G$2:$G$2277,"&lt;&gt;REJECT",$B$2:$B$2277,"&gt;"&amp;B215))</f>
        <v>214</v>
      </c>
      <c r="B215" s="26" t="n">
        <f aca="false">ROUND(($U$2*MAX(0,MIN(1,($W$2-I215)/($W$2-$V$2)))+$U$3*MAX(0,MIN(1,($W$3-J215)/($W$3-$V$3)))+$U$4*MAX(0,MIN(1,($W$4-K215)/($W$4-$V$4)))+$U$5*MAX(0,MIN(1,($W$5-L215)/($W$5-$V$5)))+$U$6*MAX(0,MIN(1,($W$6-M215)/($W$6-$V$6)))+$U$7*MAX(0,MIN(1,($W$7-N215)/($W$7-$V$7)))+$U$8*IF(AND(O215&gt;=$V$8,O215&lt;=$W$8),1,0))/$U$9*100,2)</f>
        <v>94.44</v>
      </c>
      <c r="C215" s="27" t="s">
        <v>3100</v>
      </c>
      <c r="D215" s="25" t="s">
        <v>3459</v>
      </c>
      <c r="E215" s="25" t="s">
        <v>3450</v>
      </c>
      <c r="F215" s="25" t="s">
        <v>3457</v>
      </c>
      <c r="G215" s="33" t="s">
        <v>28</v>
      </c>
      <c r="H215" s="33" t="s">
        <v>24</v>
      </c>
      <c r="I215" s="25" t="n">
        <v>0</v>
      </c>
      <c r="J215" s="25" t="n">
        <v>0</v>
      </c>
      <c r="K215" s="25" t="n">
        <v>0</v>
      </c>
      <c r="L215" s="29" t="n">
        <v>0.76</v>
      </c>
      <c r="M215" s="30" t="n">
        <v>15.74</v>
      </c>
      <c r="N215" s="29" t="n">
        <v>0.32</v>
      </c>
      <c r="O215" s="25" t="n">
        <v>183</v>
      </c>
      <c r="P215" s="30" t="n">
        <v>10.38</v>
      </c>
      <c r="Q215" s="27"/>
      <c r="R215" s="27"/>
    </row>
    <row r="216" customFormat="false" ht="15" hidden="false" customHeight="false" outlineLevel="0" collapsed="false">
      <c r="A216" s="25" t="n">
        <f aca="false">IF(G216="REJECT",COUNTIF($G$2:$G$2277,"&lt;&gt;REJECT")+1+COUNTIFS($G$2:$G$2277,"REJECT",$B$2:$B$2277,"&gt;"&amp;B216),1+COUNTIFS($G$2:$G$2277,"&lt;&gt;REJECT",$B$2:$B$2277,"&gt;"&amp;B216))</f>
        <v>215</v>
      </c>
      <c r="B216" s="26" t="n">
        <f aca="false">ROUND(($U$2*MAX(0,MIN(1,($W$2-I216)/($W$2-$V$2)))+$U$3*MAX(0,MIN(1,($W$3-J216)/($W$3-$V$3)))+$U$4*MAX(0,MIN(1,($W$4-K216)/($W$4-$V$4)))+$U$5*MAX(0,MIN(1,($W$5-L216)/($W$5-$V$5)))+$U$6*MAX(0,MIN(1,($W$6-M216)/($W$6-$V$6)))+$U$7*MAX(0,MIN(1,($W$7-N216)/($W$7-$V$7)))+$U$8*IF(AND(O216&gt;=$V$8,O216&lt;=$W$8),1,0))/$U$9*100,2)</f>
        <v>94.37</v>
      </c>
      <c r="C216" s="27" t="s">
        <v>2580</v>
      </c>
      <c r="D216" s="25" t="s">
        <v>134</v>
      </c>
      <c r="E216" s="25" t="s">
        <v>3447</v>
      </c>
      <c r="F216" s="25" t="s">
        <v>3448</v>
      </c>
      <c r="G216" s="33" t="s">
        <v>28</v>
      </c>
      <c r="H216" s="33" t="s">
        <v>24</v>
      </c>
      <c r="I216" s="25" t="n">
        <v>0</v>
      </c>
      <c r="J216" s="25" t="n">
        <v>0</v>
      </c>
      <c r="K216" s="25" t="n">
        <v>0</v>
      </c>
      <c r="L216" s="29" t="n">
        <v>0.78</v>
      </c>
      <c r="M216" s="30" t="n">
        <v>16.99</v>
      </c>
      <c r="N216" s="29" t="n">
        <v>0.96</v>
      </c>
      <c r="O216" s="25" t="n">
        <v>189</v>
      </c>
      <c r="P216" s="30" t="n">
        <v>-1.02</v>
      </c>
      <c r="Q216" s="27"/>
      <c r="R216" s="27"/>
    </row>
    <row r="217" customFormat="false" ht="15" hidden="false" customHeight="false" outlineLevel="0" collapsed="false">
      <c r="A217" s="25" t="n">
        <f aca="false">IF(G217="REJECT",COUNTIF($G$2:$G$2277,"&lt;&gt;REJECT")+1+COUNTIFS($G$2:$G$2277,"REJECT",$B$2:$B$2277,"&gt;"&amp;B217),1+COUNTIFS($G$2:$G$2277,"&lt;&gt;REJECT",$B$2:$B$2277,"&gt;"&amp;B217))</f>
        <v>215</v>
      </c>
      <c r="B217" s="26" t="n">
        <f aca="false">ROUND(($U$2*MAX(0,MIN(1,($W$2-I217)/($W$2-$V$2)))+$U$3*MAX(0,MIN(1,($W$3-J217)/($W$3-$V$3)))+$U$4*MAX(0,MIN(1,($W$4-K217)/($W$4-$V$4)))+$U$5*MAX(0,MIN(1,($W$5-L217)/($W$5-$V$5)))+$U$6*MAX(0,MIN(1,($W$6-M217)/($W$6-$V$6)))+$U$7*MAX(0,MIN(1,($W$7-N217)/($W$7-$V$7)))+$U$8*IF(AND(O217&gt;=$V$8,O217&lt;=$W$8),1,0))/$U$9*100,2)</f>
        <v>94.37</v>
      </c>
      <c r="C217" s="27" t="s">
        <v>3100</v>
      </c>
      <c r="D217" s="25" t="s">
        <v>3459</v>
      </c>
      <c r="E217" s="25" t="s">
        <v>3450</v>
      </c>
      <c r="F217" s="25" t="s">
        <v>3448</v>
      </c>
      <c r="G217" s="33" t="s">
        <v>28</v>
      </c>
      <c r="H217" s="33" t="s">
        <v>24</v>
      </c>
      <c r="I217" s="25" t="n">
        <v>0</v>
      </c>
      <c r="J217" s="25" t="n">
        <v>0</v>
      </c>
      <c r="K217" s="25" t="n">
        <v>0</v>
      </c>
      <c r="L217" s="29" t="n">
        <v>0.74</v>
      </c>
      <c r="M217" s="30" t="n">
        <v>5.4</v>
      </c>
      <c r="N217" s="29" t="n">
        <v>0.68</v>
      </c>
      <c r="O217" s="25" t="n">
        <v>184</v>
      </c>
      <c r="P217" s="30" t="n">
        <v>3.1</v>
      </c>
      <c r="Q217" s="27"/>
      <c r="R217" s="27"/>
    </row>
    <row r="218" customFormat="false" ht="15" hidden="false" customHeight="false" outlineLevel="0" collapsed="false">
      <c r="A218" s="25" t="n">
        <f aca="false">IF(G218="REJECT",COUNTIF($G$2:$G$2277,"&lt;&gt;REJECT")+1+COUNTIFS($G$2:$G$2277,"REJECT",$B$2:$B$2277,"&gt;"&amp;B218),1+COUNTIFS($G$2:$G$2277,"&lt;&gt;REJECT",$B$2:$B$2277,"&gt;"&amp;B218))</f>
        <v>217</v>
      </c>
      <c r="B218" s="26" t="n">
        <f aca="false">ROUND(($U$2*MAX(0,MIN(1,($W$2-I218)/($W$2-$V$2)))+$U$3*MAX(0,MIN(1,($W$3-J218)/($W$3-$V$3)))+$U$4*MAX(0,MIN(1,($W$4-K218)/($W$4-$V$4)))+$U$5*MAX(0,MIN(1,($W$5-L218)/($W$5-$V$5)))+$U$6*MAX(0,MIN(1,($W$6-M218)/($W$6-$V$6)))+$U$7*MAX(0,MIN(1,($W$7-N218)/($W$7-$V$7)))+$U$8*IF(AND(O218&gt;=$V$8,O218&lt;=$W$8),1,0))/$U$9*100,2)</f>
        <v>94.36</v>
      </c>
      <c r="C218" s="27" t="s">
        <v>874</v>
      </c>
      <c r="D218" s="25" t="s">
        <v>134</v>
      </c>
      <c r="E218" s="25" t="s">
        <v>3450</v>
      </c>
      <c r="F218" s="25" t="s">
        <v>3457</v>
      </c>
      <c r="G218" s="28" t="s">
        <v>29</v>
      </c>
      <c r="H218" s="28" t="s">
        <v>25</v>
      </c>
      <c r="I218" s="25" t="n">
        <v>0</v>
      </c>
      <c r="J218" s="25" t="n">
        <v>0</v>
      </c>
      <c r="K218" s="25" t="n">
        <v>0</v>
      </c>
      <c r="L218" s="29" t="n">
        <v>0.75</v>
      </c>
      <c r="M218" s="30" t="n">
        <v>9.02</v>
      </c>
      <c r="N218" s="29" t="n">
        <v>0.68</v>
      </c>
      <c r="O218" s="25" t="n">
        <v>193</v>
      </c>
      <c r="P218" s="30" t="n">
        <v>4.66</v>
      </c>
      <c r="Q218" s="27"/>
      <c r="R218" s="27" t="s">
        <v>64</v>
      </c>
    </row>
    <row r="219" customFormat="false" ht="15" hidden="false" customHeight="false" outlineLevel="0" collapsed="false">
      <c r="A219" s="25" t="n">
        <f aca="false">IF(G219="REJECT",COUNTIF($G$2:$G$2277,"&lt;&gt;REJECT")+1+COUNTIFS($G$2:$G$2277,"REJECT",$B$2:$B$2277,"&gt;"&amp;B219),1+COUNTIFS($G$2:$G$2277,"&lt;&gt;REJECT",$B$2:$B$2277,"&gt;"&amp;B219))</f>
        <v>217</v>
      </c>
      <c r="B219" s="26" t="n">
        <f aca="false">ROUND(($U$2*MAX(0,MIN(1,($W$2-I219)/($W$2-$V$2)))+$U$3*MAX(0,MIN(1,($W$3-J219)/($W$3-$V$3)))+$U$4*MAX(0,MIN(1,($W$4-K219)/($W$4-$V$4)))+$U$5*MAX(0,MIN(1,($W$5-L219)/($W$5-$V$5)))+$U$6*MAX(0,MIN(1,($W$6-M219)/($W$6-$V$6)))+$U$7*MAX(0,MIN(1,($W$7-N219)/($W$7-$V$7)))+$U$8*IF(AND(O219&gt;=$V$8,O219&lt;=$W$8),1,0))/$U$9*100,2)</f>
        <v>94.36</v>
      </c>
      <c r="C219" s="27" t="s">
        <v>1842</v>
      </c>
      <c r="D219" s="25" t="s">
        <v>3459</v>
      </c>
      <c r="E219" s="25" t="s">
        <v>3450</v>
      </c>
      <c r="F219" s="25" t="s">
        <v>3457</v>
      </c>
      <c r="G219" s="28" t="s">
        <v>29</v>
      </c>
      <c r="H219" s="28" t="s">
        <v>25</v>
      </c>
      <c r="I219" s="25" t="n">
        <v>0</v>
      </c>
      <c r="J219" s="25" t="n">
        <v>0</v>
      </c>
      <c r="K219" s="25" t="n">
        <v>0</v>
      </c>
      <c r="L219" s="29" t="n">
        <v>0.75</v>
      </c>
      <c r="M219" s="30" t="n">
        <v>11.83</v>
      </c>
      <c r="N219" s="29" t="n">
        <v>0.4</v>
      </c>
      <c r="O219" s="25" t="n">
        <v>184</v>
      </c>
      <c r="P219" s="30" t="n">
        <v>11.41</v>
      </c>
      <c r="Q219" s="27"/>
      <c r="R219" s="27" t="s">
        <v>63</v>
      </c>
    </row>
    <row r="220" customFormat="false" ht="15" hidden="false" customHeight="false" outlineLevel="0" collapsed="false">
      <c r="A220" s="25" t="n">
        <f aca="false">IF(G220="REJECT",COUNTIF($G$2:$G$2277,"&lt;&gt;REJECT")+1+COUNTIFS($G$2:$G$2277,"REJECT",$B$2:$B$2277,"&gt;"&amp;B220),1+COUNTIFS($G$2:$G$2277,"&lt;&gt;REJECT",$B$2:$B$2277,"&gt;"&amp;B220))</f>
        <v>219</v>
      </c>
      <c r="B220" s="26" t="n">
        <f aca="false">ROUND(($U$2*MAX(0,MIN(1,($W$2-I220)/($W$2-$V$2)))+$U$3*MAX(0,MIN(1,($W$3-J220)/($W$3-$V$3)))+$U$4*MAX(0,MIN(1,($W$4-K220)/($W$4-$V$4)))+$U$5*MAX(0,MIN(1,($W$5-L220)/($W$5-$V$5)))+$U$6*MAX(0,MIN(1,($W$6-M220)/($W$6-$V$6)))+$U$7*MAX(0,MIN(1,($W$7-N220)/($W$7-$V$7)))+$U$8*IF(AND(O220&gt;=$V$8,O220&lt;=$W$8),1,0))/$U$9*100,2)</f>
        <v>94.33</v>
      </c>
      <c r="C220" s="27" t="s">
        <v>1156</v>
      </c>
      <c r="D220" s="25" t="s">
        <v>3459</v>
      </c>
      <c r="E220" s="25" t="s">
        <v>3447</v>
      </c>
      <c r="F220" s="25" t="s">
        <v>3457</v>
      </c>
      <c r="G220" s="28" t="s">
        <v>29</v>
      </c>
      <c r="H220" s="28" t="s">
        <v>25</v>
      </c>
      <c r="I220" s="25" t="n">
        <v>0</v>
      </c>
      <c r="J220" s="25" t="n">
        <v>0</v>
      </c>
      <c r="K220" s="25" t="n">
        <v>0</v>
      </c>
      <c r="L220" s="29" t="n">
        <v>0.81</v>
      </c>
      <c r="M220" s="30" t="n">
        <v>27.64</v>
      </c>
      <c r="N220" s="29" t="n">
        <v>0.64</v>
      </c>
      <c r="O220" s="25" t="n">
        <v>183</v>
      </c>
      <c r="P220" s="30" t="n">
        <v>-0.04</v>
      </c>
      <c r="Q220" s="27"/>
      <c r="R220" s="27" t="s">
        <v>61</v>
      </c>
    </row>
    <row r="221" customFormat="false" ht="15" hidden="false" customHeight="false" outlineLevel="0" collapsed="false">
      <c r="A221" s="25" t="n">
        <f aca="false">IF(G221="REJECT",COUNTIF($G$2:$G$2277,"&lt;&gt;REJECT")+1+COUNTIFS($G$2:$G$2277,"REJECT",$B$2:$B$2277,"&gt;"&amp;B221),1+COUNTIFS($G$2:$G$2277,"&lt;&gt;REJECT",$B$2:$B$2277,"&gt;"&amp;B221))</f>
        <v>219</v>
      </c>
      <c r="B221" s="26" t="n">
        <f aca="false">ROUND(($U$2*MAX(0,MIN(1,($W$2-I221)/($W$2-$V$2)))+$U$3*MAX(0,MIN(1,($W$3-J221)/($W$3-$V$3)))+$U$4*MAX(0,MIN(1,($W$4-K221)/($W$4-$V$4)))+$U$5*MAX(0,MIN(1,($W$5-L221)/($W$5-$V$5)))+$U$6*MAX(0,MIN(1,($W$6-M221)/($W$6-$V$6)))+$U$7*MAX(0,MIN(1,($W$7-N221)/($W$7-$V$7)))+$U$8*IF(AND(O221&gt;=$V$8,O221&lt;=$W$8),1,0))/$U$9*100,2)</f>
        <v>94.33</v>
      </c>
      <c r="C221" s="27" t="s">
        <v>3057</v>
      </c>
      <c r="D221" s="25" t="s">
        <v>134</v>
      </c>
      <c r="E221" s="25" t="s">
        <v>3450</v>
      </c>
      <c r="F221" s="25" t="s">
        <v>3448</v>
      </c>
      <c r="G221" s="28" t="s">
        <v>29</v>
      </c>
      <c r="H221" s="28" t="s">
        <v>25</v>
      </c>
      <c r="I221" s="25" t="n">
        <v>0</v>
      </c>
      <c r="J221" s="25" t="n">
        <v>0</v>
      </c>
      <c r="K221" s="25" t="n">
        <v>0</v>
      </c>
      <c r="L221" s="29" t="n">
        <v>0.77</v>
      </c>
      <c r="M221" s="30" t="n">
        <v>19.24</v>
      </c>
      <c r="N221" s="29" t="n">
        <v>0.4</v>
      </c>
      <c r="O221" s="25" t="n">
        <v>183</v>
      </c>
      <c r="P221" s="30" t="n">
        <v>0.62</v>
      </c>
      <c r="Q221" s="27"/>
      <c r="R221" s="27" t="s">
        <v>3466</v>
      </c>
    </row>
    <row r="222" customFormat="false" ht="15" hidden="false" customHeight="false" outlineLevel="0" collapsed="false">
      <c r="A222" s="25" t="n">
        <f aca="false">IF(G222="REJECT",COUNTIF($G$2:$G$2277,"&lt;&gt;REJECT")+1+COUNTIFS($G$2:$G$2277,"REJECT",$B$2:$B$2277,"&gt;"&amp;B222),1+COUNTIFS($G$2:$G$2277,"&lt;&gt;REJECT",$B$2:$B$2277,"&gt;"&amp;B222))</f>
        <v>221</v>
      </c>
      <c r="B222" s="26" t="n">
        <f aca="false">ROUND(($U$2*MAX(0,MIN(1,($W$2-I222)/($W$2-$V$2)))+$U$3*MAX(0,MIN(1,($W$3-J222)/($W$3-$V$3)))+$U$4*MAX(0,MIN(1,($W$4-K222)/($W$4-$V$4)))+$U$5*MAX(0,MIN(1,($W$5-L222)/($W$5-$V$5)))+$U$6*MAX(0,MIN(1,($W$6-M222)/($W$6-$V$6)))+$U$7*MAX(0,MIN(1,($W$7-N222)/($W$7-$V$7)))+$U$8*IF(AND(O222&gt;=$V$8,O222&lt;=$W$8),1,0))/$U$9*100,2)</f>
        <v>94.32</v>
      </c>
      <c r="C222" s="27" t="s">
        <v>676</v>
      </c>
      <c r="D222" s="25" t="s">
        <v>134</v>
      </c>
      <c r="E222" s="25" t="s">
        <v>3450</v>
      </c>
      <c r="F222" s="25" t="s">
        <v>3448</v>
      </c>
      <c r="G222" s="28" t="s">
        <v>29</v>
      </c>
      <c r="H222" s="28" t="s">
        <v>25</v>
      </c>
      <c r="I222" s="25" t="n">
        <v>0</v>
      </c>
      <c r="J222" s="25" t="n">
        <v>0</v>
      </c>
      <c r="K222" s="25" t="n">
        <v>0</v>
      </c>
      <c r="L222" s="29" t="n">
        <v>0.73</v>
      </c>
      <c r="M222" s="30" t="n">
        <v>2.46</v>
      </c>
      <c r="N222" s="29" t="n">
        <v>0.64</v>
      </c>
      <c r="O222" s="25" t="n">
        <v>190</v>
      </c>
      <c r="P222" s="30" t="n">
        <v>4.16</v>
      </c>
      <c r="Q222" s="27"/>
      <c r="R222" s="27" t="s">
        <v>63</v>
      </c>
    </row>
    <row r="223" customFormat="false" ht="15" hidden="false" customHeight="false" outlineLevel="0" collapsed="false">
      <c r="A223" s="25" t="n">
        <f aca="false">IF(G223="REJECT",COUNTIF($G$2:$G$2277,"&lt;&gt;REJECT")+1+COUNTIFS($G$2:$G$2277,"REJECT",$B$2:$B$2277,"&gt;"&amp;B223),1+COUNTIFS($G$2:$G$2277,"&lt;&gt;REJECT",$B$2:$B$2277,"&gt;"&amp;B223))</f>
        <v>222</v>
      </c>
      <c r="B223" s="26" t="n">
        <f aca="false">ROUND(($U$2*MAX(0,MIN(1,($W$2-I223)/($W$2-$V$2)))+$U$3*MAX(0,MIN(1,($W$3-J223)/($W$3-$V$3)))+$U$4*MAX(0,MIN(1,($W$4-K223)/($W$4-$V$4)))+$U$5*MAX(0,MIN(1,($W$5-L223)/($W$5-$V$5)))+$U$6*MAX(0,MIN(1,($W$6-M223)/($W$6-$V$6)))+$U$7*MAX(0,MIN(1,($W$7-N223)/($W$7-$V$7)))+$U$8*IF(AND(O223&gt;=$V$8,O223&lt;=$W$8),1,0))/$U$9*100,2)</f>
        <v>94.3</v>
      </c>
      <c r="C223" s="27" t="s">
        <v>1594</v>
      </c>
      <c r="D223" s="25" t="s">
        <v>134</v>
      </c>
      <c r="E223" s="25" t="s">
        <v>3450</v>
      </c>
      <c r="F223" s="25" t="s">
        <v>3457</v>
      </c>
      <c r="G223" s="28" t="s">
        <v>29</v>
      </c>
      <c r="H223" s="28" t="s">
        <v>25</v>
      </c>
      <c r="I223" s="25" t="n">
        <v>0</v>
      </c>
      <c r="J223" s="25" t="n">
        <v>0</v>
      </c>
      <c r="K223" s="25" t="n">
        <v>0</v>
      </c>
      <c r="L223" s="29" t="n">
        <v>0.75</v>
      </c>
      <c r="M223" s="30" t="n">
        <v>13.03</v>
      </c>
      <c r="N223" s="29" t="n">
        <v>0.32</v>
      </c>
      <c r="O223" s="25" t="n">
        <v>191</v>
      </c>
      <c r="P223" s="30" t="n">
        <v>0.76</v>
      </c>
      <c r="Q223" s="27"/>
      <c r="R223" s="27" t="s">
        <v>3466</v>
      </c>
    </row>
    <row r="224" customFormat="false" ht="15" hidden="false" customHeight="false" outlineLevel="0" collapsed="false">
      <c r="A224" s="25" t="n">
        <f aca="false">IF(G224="REJECT",COUNTIF($G$2:$G$2277,"&lt;&gt;REJECT")+1+COUNTIFS($G$2:$G$2277,"REJECT",$B$2:$B$2277,"&gt;"&amp;B224),1+COUNTIFS($G$2:$G$2277,"&lt;&gt;REJECT",$B$2:$B$2277,"&gt;"&amp;B224))</f>
        <v>223</v>
      </c>
      <c r="B224" s="26" t="n">
        <f aca="false">ROUND(($U$2*MAX(0,MIN(1,($W$2-I224)/($W$2-$V$2)))+$U$3*MAX(0,MIN(1,($W$3-J224)/($W$3-$V$3)))+$U$4*MAX(0,MIN(1,($W$4-K224)/($W$4-$V$4)))+$U$5*MAX(0,MIN(1,($W$5-L224)/($W$5-$V$5)))+$U$6*MAX(0,MIN(1,($W$6-M224)/($W$6-$V$6)))+$U$7*MAX(0,MIN(1,($W$7-N224)/($W$7-$V$7)))+$U$8*IF(AND(O224&gt;=$V$8,O224&lt;=$W$8),1,0))/$U$9*100,2)</f>
        <v>94.29</v>
      </c>
      <c r="C224" s="27" t="s">
        <v>852</v>
      </c>
      <c r="D224" s="25" t="s">
        <v>134</v>
      </c>
      <c r="E224" s="25" t="s">
        <v>3450</v>
      </c>
      <c r="F224" s="25" t="s">
        <v>3448</v>
      </c>
      <c r="G224" s="33" t="s">
        <v>28</v>
      </c>
      <c r="H224" s="33" t="s">
        <v>24</v>
      </c>
      <c r="I224" s="25" t="n">
        <v>0</v>
      </c>
      <c r="J224" s="25" t="n">
        <v>0</v>
      </c>
      <c r="K224" s="25" t="n">
        <v>0</v>
      </c>
      <c r="L224" s="29" t="n">
        <v>0.77</v>
      </c>
      <c r="M224" s="30" t="n">
        <v>18.68</v>
      </c>
      <c r="N224" s="29" t="n">
        <v>0.48</v>
      </c>
      <c r="O224" s="25" t="n">
        <v>185</v>
      </c>
      <c r="P224" s="30" t="n">
        <v>5.94</v>
      </c>
      <c r="Q224" s="27"/>
      <c r="R224" s="27"/>
    </row>
    <row r="225" customFormat="false" ht="15" hidden="false" customHeight="false" outlineLevel="0" collapsed="false">
      <c r="A225" s="25" t="n">
        <f aca="false">IF(G225="REJECT",COUNTIF($G$2:$G$2277,"&lt;&gt;REJECT")+1+COUNTIFS($G$2:$G$2277,"REJECT",$B$2:$B$2277,"&gt;"&amp;B225),1+COUNTIFS($G$2:$G$2277,"&lt;&gt;REJECT",$B$2:$B$2277,"&gt;"&amp;B225))</f>
        <v>224</v>
      </c>
      <c r="B225" s="26" t="n">
        <f aca="false">ROUND(($U$2*MAX(0,MIN(1,($W$2-I225)/($W$2-$V$2)))+$U$3*MAX(0,MIN(1,($W$3-J225)/($W$3-$V$3)))+$U$4*MAX(0,MIN(1,($W$4-K225)/($W$4-$V$4)))+$U$5*MAX(0,MIN(1,($W$5-L225)/($W$5-$V$5)))+$U$6*MAX(0,MIN(1,($W$6-M225)/($W$6-$V$6)))+$U$7*MAX(0,MIN(1,($W$7-N225)/($W$7-$V$7)))+$U$8*IF(AND(O225&gt;=$V$8,O225&lt;=$W$8),1,0))/$U$9*100,2)</f>
        <v>94.27</v>
      </c>
      <c r="C225" s="27" t="s">
        <v>373</v>
      </c>
      <c r="D225" s="25" t="s">
        <v>3459</v>
      </c>
      <c r="E225" s="25" t="s">
        <v>3450</v>
      </c>
      <c r="F225" s="25" t="s">
        <v>3448</v>
      </c>
      <c r="G225" s="33" t="s">
        <v>28</v>
      </c>
      <c r="H225" s="33" t="s">
        <v>24</v>
      </c>
      <c r="I225" s="25" t="n">
        <v>0</v>
      </c>
      <c r="J225" s="25" t="n">
        <v>0</v>
      </c>
      <c r="K225" s="25" t="n">
        <v>0</v>
      </c>
      <c r="L225" s="29" t="n">
        <v>0.77</v>
      </c>
      <c r="M225" s="30" t="n">
        <v>17.17</v>
      </c>
      <c r="N225" s="29" t="n">
        <v>0.64</v>
      </c>
      <c r="O225" s="25" t="n">
        <v>184</v>
      </c>
      <c r="P225" s="30" t="n">
        <v>3.86</v>
      </c>
      <c r="Q225" s="27"/>
      <c r="R225" s="27"/>
    </row>
    <row r="226" customFormat="false" ht="15" hidden="false" customHeight="false" outlineLevel="0" collapsed="false">
      <c r="A226" s="25" t="n">
        <f aca="false">IF(G226="REJECT",COUNTIF($G$2:$G$2277,"&lt;&gt;REJECT")+1+COUNTIFS($G$2:$G$2277,"REJECT",$B$2:$B$2277,"&gt;"&amp;B226),1+COUNTIFS($G$2:$G$2277,"&lt;&gt;REJECT",$B$2:$B$2277,"&gt;"&amp;B226))</f>
        <v>225</v>
      </c>
      <c r="B226" s="26" t="n">
        <f aca="false">ROUND(($U$2*MAX(0,MIN(1,($W$2-I226)/($W$2-$V$2)))+$U$3*MAX(0,MIN(1,($W$3-J226)/($W$3-$V$3)))+$U$4*MAX(0,MIN(1,($W$4-K226)/($W$4-$V$4)))+$U$5*MAX(0,MIN(1,($W$5-L226)/($W$5-$V$5)))+$U$6*MAX(0,MIN(1,($W$6-M226)/($W$6-$V$6)))+$U$7*MAX(0,MIN(1,($W$7-N226)/($W$7-$V$7)))+$U$8*IF(AND(O226&gt;=$V$8,O226&lt;=$W$8),1,0))/$U$9*100,2)</f>
        <v>94.25</v>
      </c>
      <c r="C226" s="27" t="s">
        <v>1732</v>
      </c>
      <c r="D226" s="25" t="s">
        <v>134</v>
      </c>
      <c r="E226" s="25" t="s">
        <v>3447</v>
      </c>
      <c r="F226" s="25" t="s">
        <v>3448</v>
      </c>
      <c r="G226" s="33" t="s">
        <v>28</v>
      </c>
      <c r="H226" s="33" t="s">
        <v>24</v>
      </c>
      <c r="I226" s="25" t="n">
        <v>0</v>
      </c>
      <c r="J226" s="25" t="n">
        <v>0</v>
      </c>
      <c r="K226" s="25" t="n">
        <v>0</v>
      </c>
      <c r="L226" s="29" t="n">
        <v>0.74</v>
      </c>
      <c r="M226" s="30" t="n">
        <v>11.3</v>
      </c>
      <c r="N226" s="29" t="n">
        <v>0.16</v>
      </c>
      <c r="O226" s="25" t="n">
        <v>189</v>
      </c>
      <c r="P226" s="30" t="n">
        <v>3.32</v>
      </c>
      <c r="Q226" s="27"/>
      <c r="R226" s="27"/>
    </row>
    <row r="227" customFormat="false" ht="15" hidden="false" customHeight="false" outlineLevel="0" collapsed="false">
      <c r="A227" s="25" t="n">
        <f aca="false">IF(G227="REJECT",COUNTIF($G$2:$G$2277,"&lt;&gt;REJECT")+1+COUNTIFS($G$2:$G$2277,"REJECT",$B$2:$B$2277,"&gt;"&amp;B227),1+COUNTIFS($G$2:$G$2277,"&lt;&gt;REJECT",$B$2:$B$2277,"&gt;"&amp;B227))</f>
        <v>225</v>
      </c>
      <c r="B227" s="26" t="n">
        <f aca="false">ROUND(($U$2*MAX(0,MIN(1,($W$2-I227)/($W$2-$V$2)))+$U$3*MAX(0,MIN(1,($W$3-J227)/($W$3-$V$3)))+$U$4*MAX(0,MIN(1,($W$4-K227)/($W$4-$V$4)))+$U$5*MAX(0,MIN(1,($W$5-L227)/($W$5-$V$5)))+$U$6*MAX(0,MIN(1,($W$6-M227)/($W$6-$V$6)))+$U$7*MAX(0,MIN(1,($W$7-N227)/($W$7-$V$7)))+$U$8*IF(AND(O227&gt;=$V$8,O227&lt;=$W$8),1,0))/$U$9*100,2)</f>
        <v>94.25</v>
      </c>
      <c r="C227" s="27" t="s">
        <v>3029</v>
      </c>
      <c r="D227" s="25" t="s">
        <v>134</v>
      </c>
      <c r="E227" s="25" t="s">
        <v>3450</v>
      </c>
      <c r="F227" s="25" t="s">
        <v>3457</v>
      </c>
      <c r="G227" s="28" t="s">
        <v>29</v>
      </c>
      <c r="H227" s="28" t="s">
        <v>25</v>
      </c>
      <c r="I227" s="25" t="n">
        <v>0</v>
      </c>
      <c r="J227" s="25" t="n">
        <v>0</v>
      </c>
      <c r="K227" s="25" t="n">
        <v>0</v>
      </c>
      <c r="L227" s="29" t="n">
        <v>0.78</v>
      </c>
      <c r="M227" s="30" t="n">
        <v>24.51</v>
      </c>
      <c r="N227" s="29" t="n">
        <v>0.28</v>
      </c>
      <c r="O227" s="25" t="n">
        <v>183</v>
      </c>
      <c r="P227" s="30" t="n">
        <v>12.08</v>
      </c>
      <c r="Q227" s="27"/>
      <c r="R227" s="27" t="s">
        <v>61</v>
      </c>
    </row>
    <row r="228" customFormat="false" ht="15" hidden="false" customHeight="false" outlineLevel="0" collapsed="false">
      <c r="A228" s="25" t="n">
        <f aca="false">IF(G228="REJECT",COUNTIF($G$2:$G$2277,"&lt;&gt;REJECT")+1+COUNTIFS($G$2:$G$2277,"REJECT",$B$2:$B$2277,"&gt;"&amp;B228),1+COUNTIFS($G$2:$G$2277,"&lt;&gt;REJECT",$B$2:$B$2277,"&gt;"&amp;B228))</f>
        <v>227</v>
      </c>
      <c r="B228" s="26" t="n">
        <f aca="false">ROUND(($U$2*MAX(0,MIN(1,($W$2-I228)/($W$2-$V$2)))+$U$3*MAX(0,MIN(1,($W$3-J228)/($W$3-$V$3)))+$U$4*MAX(0,MIN(1,($W$4-K228)/($W$4-$V$4)))+$U$5*MAX(0,MIN(1,($W$5-L228)/($W$5-$V$5)))+$U$6*MAX(0,MIN(1,($W$6-M228)/($W$6-$V$6)))+$U$7*MAX(0,MIN(1,($W$7-N228)/($W$7-$V$7)))+$U$8*IF(AND(O228&gt;=$V$8,O228&lt;=$W$8),1,0))/$U$9*100,2)</f>
        <v>94.23</v>
      </c>
      <c r="C228" s="27" t="s">
        <v>500</v>
      </c>
      <c r="D228" s="25" t="s">
        <v>134</v>
      </c>
      <c r="E228" s="25" t="s">
        <v>3447</v>
      </c>
      <c r="F228" s="25" t="s">
        <v>3457</v>
      </c>
      <c r="G228" s="28" t="s">
        <v>29</v>
      </c>
      <c r="H228" s="28" t="s">
        <v>25</v>
      </c>
      <c r="I228" s="25" t="n">
        <v>0</v>
      </c>
      <c r="J228" s="25" t="n">
        <v>0</v>
      </c>
      <c r="K228" s="25" t="n">
        <v>0</v>
      </c>
      <c r="L228" s="29" t="n">
        <v>0.79</v>
      </c>
      <c r="M228" s="30" t="n">
        <v>24.24</v>
      </c>
      <c r="N228" s="29" t="n">
        <v>0.68</v>
      </c>
      <c r="O228" s="25" t="n">
        <v>183</v>
      </c>
      <c r="P228" s="30" t="n">
        <v>0.48</v>
      </c>
      <c r="Q228" s="27"/>
      <c r="R228" s="27" t="s">
        <v>61</v>
      </c>
    </row>
    <row r="229" customFormat="false" ht="15" hidden="false" customHeight="false" outlineLevel="0" collapsed="false">
      <c r="A229" s="25" t="n">
        <f aca="false">IF(G229="REJECT",COUNTIF($G$2:$G$2277,"&lt;&gt;REJECT")+1+COUNTIFS($G$2:$G$2277,"REJECT",$B$2:$B$2277,"&gt;"&amp;B229),1+COUNTIFS($G$2:$G$2277,"&lt;&gt;REJECT",$B$2:$B$2277,"&gt;"&amp;B229))</f>
        <v>228</v>
      </c>
      <c r="B229" s="26" t="n">
        <f aca="false">ROUND(($U$2*MAX(0,MIN(1,($W$2-I229)/($W$2-$V$2)))+$U$3*MAX(0,MIN(1,($W$3-J229)/($W$3-$V$3)))+$U$4*MAX(0,MIN(1,($W$4-K229)/($W$4-$V$4)))+$U$5*MAX(0,MIN(1,($W$5-L229)/($W$5-$V$5)))+$U$6*MAX(0,MIN(1,($W$6-M229)/($W$6-$V$6)))+$U$7*MAX(0,MIN(1,($W$7-N229)/($W$7-$V$7)))+$U$8*IF(AND(O229&gt;=$V$8,O229&lt;=$W$8),1,0))/$U$9*100,2)</f>
        <v>94.22</v>
      </c>
      <c r="C229" s="27" t="s">
        <v>2385</v>
      </c>
      <c r="D229" s="25" t="s">
        <v>134</v>
      </c>
      <c r="E229" s="25" t="s">
        <v>3450</v>
      </c>
      <c r="F229" s="25" t="s">
        <v>3448</v>
      </c>
      <c r="G229" s="33" t="s">
        <v>28</v>
      </c>
      <c r="H229" s="33" t="s">
        <v>24</v>
      </c>
      <c r="I229" s="25" t="n">
        <v>0</v>
      </c>
      <c r="J229" s="25" t="n">
        <v>0</v>
      </c>
      <c r="K229" s="25" t="n">
        <v>0</v>
      </c>
      <c r="L229" s="29" t="n">
        <v>0.75</v>
      </c>
      <c r="M229" s="30" t="n">
        <v>10.68</v>
      </c>
      <c r="N229" s="29" t="n">
        <v>0.6</v>
      </c>
      <c r="O229" s="25" t="n">
        <v>188</v>
      </c>
      <c r="P229" s="30" t="n">
        <v>18.24</v>
      </c>
      <c r="Q229" s="27"/>
      <c r="R229" s="27"/>
    </row>
    <row r="230" customFormat="false" ht="15" hidden="false" customHeight="false" outlineLevel="0" collapsed="false">
      <c r="A230" s="25" t="n">
        <f aca="false">IF(G230="REJECT",COUNTIF($G$2:$G$2277,"&lt;&gt;REJECT")+1+COUNTIFS($G$2:$G$2277,"REJECT",$B$2:$B$2277,"&gt;"&amp;B230),1+COUNTIFS($G$2:$G$2277,"&lt;&gt;REJECT",$B$2:$B$2277,"&gt;"&amp;B230))</f>
        <v>229</v>
      </c>
      <c r="B230" s="26" t="n">
        <f aca="false">ROUND(($U$2*MAX(0,MIN(1,($W$2-I230)/($W$2-$V$2)))+$U$3*MAX(0,MIN(1,($W$3-J230)/($W$3-$V$3)))+$U$4*MAX(0,MIN(1,($W$4-K230)/($W$4-$V$4)))+$U$5*MAX(0,MIN(1,($W$5-L230)/($W$5-$V$5)))+$U$6*MAX(0,MIN(1,($W$6-M230)/($W$6-$V$6)))+$U$7*MAX(0,MIN(1,($W$7-N230)/($W$7-$V$7)))+$U$8*IF(AND(O230&gt;=$V$8,O230&lt;=$W$8),1,0))/$U$9*100,2)</f>
        <v>94.19</v>
      </c>
      <c r="C230" s="27" t="s">
        <v>1553</v>
      </c>
      <c r="D230" s="25" t="s">
        <v>3459</v>
      </c>
      <c r="E230" s="25" t="s">
        <v>3450</v>
      </c>
      <c r="F230" s="25" t="s">
        <v>3457</v>
      </c>
      <c r="G230" s="28" t="s">
        <v>29</v>
      </c>
      <c r="H230" s="28" t="s">
        <v>25</v>
      </c>
      <c r="I230" s="25" t="n">
        <v>0</v>
      </c>
      <c r="J230" s="25" t="n">
        <v>0</v>
      </c>
      <c r="K230" s="25" t="n">
        <v>0</v>
      </c>
      <c r="L230" s="29" t="n">
        <v>0.76</v>
      </c>
      <c r="M230" s="30" t="n">
        <v>20.47</v>
      </c>
      <c r="N230" s="29" t="n">
        <v>0</v>
      </c>
      <c r="O230" s="25" t="n">
        <v>182</v>
      </c>
      <c r="P230" s="30" t="n">
        <v>9.59</v>
      </c>
      <c r="Q230" s="27"/>
      <c r="R230" s="27" t="s">
        <v>61</v>
      </c>
    </row>
    <row r="231" customFormat="false" ht="15" hidden="false" customHeight="false" outlineLevel="0" collapsed="false">
      <c r="A231" s="25" t="n">
        <f aca="false">IF(G231="REJECT",COUNTIF($G$2:$G$2277,"&lt;&gt;REJECT")+1+COUNTIFS($G$2:$G$2277,"REJECT",$B$2:$B$2277,"&gt;"&amp;B231),1+COUNTIFS($G$2:$G$2277,"&lt;&gt;REJECT",$B$2:$B$2277,"&gt;"&amp;B231))</f>
        <v>230</v>
      </c>
      <c r="B231" s="26" t="n">
        <f aca="false">ROUND(($U$2*MAX(0,MIN(1,($W$2-I231)/($W$2-$V$2)))+$U$3*MAX(0,MIN(1,($W$3-J231)/($W$3-$V$3)))+$U$4*MAX(0,MIN(1,($W$4-K231)/($W$4-$V$4)))+$U$5*MAX(0,MIN(1,($W$5-L231)/($W$5-$V$5)))+$U$6*MAX(0,MIN(1,($W$6-M231)/($W$6-$V$6)))+$U$7*MAX(0,MIN(1,($W$7-N231)/($W$7-$V$7)))+$U$8*IF(AND(O231&gt;=$V$8,O231&lt;=$W$8),1,0))/$U$9*100,2)</f>
        <v>94.15</v>
      </c>
      <c r="C231" s="27" t="s">
        <v>1594</v>
      </c>
      <c r="D231" s="25" t="s">
        <v>134</v>
      </c>
      <c r="E231" s="25" t="s">
        <v>3447</v>
      </c>
      <c r="F231" s="25" t="s">
        <v>3457</v>
      </c>
      <c r="G231" s="28" t="s">
        <v>29</v>
      </c>
      <c r="H231" s="28" t="s">
        <v>25</v>
      </c>
      <c r="I231" s="25" t="n">
        <v>0</v>
      </c>
      <c r="J231" s="25" t="n">
        <v>0</v>
      </c>
      <c r="K231" s="25" t="n">
        <v>0</v>
      </c>
      <c r="L231" s="29" t="n">
        <v>0.75</v>
      </c>
      <c r="M231" s="30" t="n">
        <v>13.08</v>
      </c>
      <c r="N231" s="29" t="n">
        <v>0.4</v>
      </c>
      <c r="O231" s="25" t="n">
        <v>185</v>
      </c>
      <c r="P231" s="30" t="n">
        <v>-0.11</v>
      </c>
      <c r="Q231" s="27"/>
      <c r="R231" s="27" t="s">
        <v>63</v>
      </c>
    </row>
    <row r="232" customFormat="false" ht="15" hidden="false" customHeight="false" outlineLevel="0" collapsed="false">
      <c r="A232" s="25" t="n">
        <f aca="false">IF(G232="REJECT",COUNTIF($G$2:$G$2277,"&lt;&gt;REJECT")+1+COUNTIFS($G$2:$G$2277,"REJECT",$B$2:$B$2277,"&gt;"&amp;B232),1+COUNTIFS($G$2:$G$2277,"&lt;&gt;REJECT",$B$2:$B$2277,"&gt;"&amp;B232))</f>
        <v>231</v>
      </c>
      <c r="B232" s="26" t="n">
        <f aca="false">ROUND(($U$2*MAX(0,MIN(1,($W$2-I232)/($W$2-$V$2)))+$U$3*MAX(0,MIN(1,($W$3-J232)/($W$3-$V$3)))+$U$4*MAX(0,MIN(1,($W$4-K232)/($W$4-$V$4)))+$U$5*MAX(0,MIN(1,($W$5-L232)/($W$5-$V$5)))+$U$6*MAX(0,MIN(1,($W$6-M232)/($W$6-$V$6)))+$U$7*MAX(0,MIN(1,($W$7-N232)/($W$7-$V$7)))+$U$8*IF(AND(O232&gt;=$V$8,O232&lt;=$W$8),1,0))/$U$9*100,2)</f>
        <v>94.14</v>
      </c>
      <c r="C232" s="27" t="s">
        <v>2761</v>
      </c>
      <c r="D232" s="25" t="s">
        <v>134</v>
      </c>
      <c r="E232" s="25" t="s">
        <v>3447</v>
      </c>
      <c r="F232" s="25" t="s">
        <v>3457</v>
      </c>
      <c r="G232" s="33" t="s">
        <v>28</v>
      </c>
      <c r="H232" s="33" t="s">
        <v>24</v>
      </c>
      <c r="I232" s="25" t="n">
        <v>0</v>
      </c>
      <c r="J232" s="25" t="n">
        <v>0</v>
      </c>
      <c r="K232" s="25" t="n">
        <v>0</v>
      </c>
      <c r="L232" s="29" t="n">
        <v>0.76</v>
      </c>
      <c r="M232" s="30" t="n">
        <v>17.98</v>
      </c>
      <c r="N232" s="29" t="n">
        <v>0.28</v>
      </c>
      <c r="O232" s="25" t="n">
        <v>187</v>
      </c>
      <c r="P232" s="30" t="n">
        <v>0.28</v>
      </c>
      <c r="Q232" s="27"/>
      <c r="R232" s="27"/>
    </row>
    <row r="233" customFormat="false" ht="15" hidden="false" customHeight="false" outlineLevel="0" collapsed="false">
      <c r="A233" s="25" t="n">
        <f aca="false">IF(G233="REJECT",COUNTIF($G$2:$G$2277,"&lt;&gt;REJECT")+1+COUNTIFS($G$2:$G$2277,"REJECT",$B$2:$B$2277,"&gt;"&amp;B233),1+COUNTIFS($G$2:$G$2277,"&lt;&gt;REJECT",$B$2:$B$2277,"&gt;"&amp;B233))</f>
        <v>232</v>
      </c>
      <c r="B233" s="26" t="n">
        <f aca="false">ROUND(($U$2*MAX(0,MIN(1,($W$2-I233)/($W$2-$V$2)))+$U$3*MAX(0,MIN(1,($W$3-J233)/($W$3-$V$3)))+$U$4*MAX(0,MIN(1,($W$4-K233)/($W$4-$V$4)))+$U$5*MAX(0,MIN(1,($W$5-L233)/($W$5-$V$5)))+$U$6*MAX(0,MIN(1,($W$6-M233)/($W$6-$V$6)))+$U$7*MAX(0,MIN(1,($W$7-N233)/($W$7-$V$7)))+$U$8*IF(AND(O233&gt;=$V$8,O233&lt;=$W$8),1,0))/$U$9*100,2)</f>
        <v>94.13</v>
      </c>
      <c r="C233" s="27" t="s">
        <v>1073</v>
      </c>
      <c r="D233" s="25" t="s">
        <v>134</v>
      </c>
      <c r="E233" s="25" t="s">
        <v>3447</v>
      </c>
      <c r="F233" s="25" t="s">
        <v>3457</v>
      </c>
      <c r="G233" s="33" t="s">
        <v>28</v>
      </c>
      <c r="H233" s="33" t="s">
        <v>24</v>
      </c>
      <c r="I233" s="25" t="n">
        <v>0</v>
      </c>
      <c r="J233" s="25" t="n">
        <v>0</v>
      </c>
      <c r="K233" s="25" t="n">
        <v>0</v>
      </c>
      <c r="L233" s="29" t="n">
        <v>0.74</v>
      </c>
      <c r="M233" s="30" t="n">
        <v>10.85</v>
      </c>
      <c r="N233" s="29" t="n">
        <v>0.28</v>
      </c>
      <c r="O233" s="25" t="n">
        <v>186</v>
      </c>
      <c r="P233" s="30" t="n">
        <v>4.51</v>
      </c>
      <c r="Q233" s="27"/>
      <c r="R233" s="27"/>
    </row>
    <row r="234" customFormat="false" ht="15" hidden="false" customHeight="false" outlineLevel="0" collapsed="false">
      <c r="A234" s="25" t="n">
        <f aca="false">IF(G234="REJECT",COUNTIF($G$2:$G$2277,"&lt;&gt;REJECT")+1+COUNTIFS($G$2:$G$2277,"REJECT",$B$2:$B$2277,"&gt;"&amp;B234),1+COUNTIFS($G$2:$G$2277,"&lt;&gt;REJECT",$B$2:$B$2277,"&gt;"&amp;B234))</f>
        <v>232</v>
      </c>
      <c r="B234" s="26" t="n">
        <f aca="false">ROUND(($U$2*MAX(0,MIN(1,($W$2-I234)/($W$2-$V$2)))+$U$3*MAX(0,MIN(1,($W$3-J234)/($W$3-$V$3)))+$U$4*MAX(0,MIN(1,($W$4-K234)/($W$4-$V$4)))+$U$5*MAX(0,MIN(1,($W$5-L234)/($W$5-$V$5)))+$U$6*MAX(0,MIN(1,($W$6-M234)/($W$6-$V$6)))+$U$7*MAX(0,MIN(1,($W$7-N234)/($W$7-$V$7)))+$U$8*IF(AND(O234&gt;=$V$8,O234&lt;=$W$8),1,0))/$U$9*100,2)</f>
        <v>94.13</v>
      </c>
      <c r="C234" s="27" t="s">
        <v>2355</v>
      </c>
      <c r="D234" s="25" t="s">
        <v>134</v>
      </c>
      <c r="E234" s="25" t="s">
        <v>3447</v>
      </c>
      <c r="F234" s="25" t="s">
        <v>3457</v>
      </c>
      <c r="G234" s="28" t="s">
        <v>29</v>
      </c>
      <c r="H234" s="28" t="s">
        <v>25</v>
      </c>
      <c r="I234" s="25" t="n">
        <v>0</v>
      </c>
      <c r="J234" s="25" t="n">
        <v>0</v>
      </c>
      <c r="K234" s="25" t="n">
        <v>0</v>
      </c>
      <c r="L234" s="29" t="n">
        <v>0.86</v>
      </c>
      <c r="M234" s="30" t="n">
        <v>37.81</v>
      </c>
      <c r="N234" s="29" t="n">
        <v>0.52</v>
      </c>
      <c r="O234" s="25" t="n">
        <v>184</v>
      </c>
      <c r="P234" s="30" t="n">
        <v>0.39</v>
      </c>
      <c r="Q234" s="27"/>
      <c r="R234" s="27" t="s">
        <v>66</v>
      </c>
    </row>
    <row r="235" customFormat="false" ht="15" hidden="false" customHeight="false" outlineLevel="0" collapsed="false">
      <c r="A235" s="25" t="n">
        <f aca="false">IF(G235="REJECT",COUNTIF($G$2:$G$2277,"&lt;&gt;REJECT")+1+COUNTIFS($G$2:$G$2277,"REJECT",$B$2:$B$2277,"&gt;"&amp;B235),1+COUNTIFS($G$2:$G$2277,"&lt;&gt;REJECT",$B$2:$B$2277,"&gt;"&amp;B235))</f>
        <v>232</v>
      </c>
      <c r="B235" s="26" t="n">
        <f aca="false">ROUND(($U$2*MAX(0,MIN(1,($W$2-I235)/($W$2-$V$2)))+$U$3*MAX(0,MIN(1,($W$3-J235)/($W$3-$V$3)))+$U$4*MAX(0,MIN(1,($W$4-K235)/($W$4-$V$4)))+$U$5*MAX(0,MIN(1,($W$5-L235)/($W$5-$V$5)))+$U$6*MAX(0,MIN(1,($W$6-M235)/($W$6-$V$6)))+$U$7*MAX(0,MIN(1,($W$7-N235)/($W$7-$V$7)))+$U$8*IF(AND(O235&gt;=$V$8,O235&lt;=$W$8),1,0))/$U$9*100,2)</f>
        <v>94.13</v>
      </c>
      <c r="C235" s="27" t="s">
        <v>2379</v>
      </c>
      <c r="D235" s="25" t="s">
        <v>134</v>
      </c>
      <c r="E235" s="25" t="s">
        <v>3450</v>
      </c>
      <c r="F235" s="25" t="s">
        <v>3457</v>
      </c>
      <c r="G235" s="33" t="s">
        <v>28</v>
      </c>
      <c r="H235" s="33" t="s">
        <v>24</v>
      </c>
      <c r="I235" s="25" t="n">
        <v>0</v>
      </c>
      <c r="J235" s="25" t="n">
        <v>0</v>
      </c>
      <c r="K235" s="25" t="n">
        <v>0</v>
      </c>
      <c r="L235" s="29" t="n">
        <v>0.72</v>
      </c>
      <c r="M235" s="30" t="n">
        <v>3.23</v>
      </c>
      <c r="N235" s="29" t="n">
        <v>0.32</v>
      </c>
      <c r="O235" s="25" t="n">
        <v>183</v>
      </c>
      <c r="P235" s="30" t="n">
        <v>14.42</v>
      </c>
      <c r="Q235" s="27"/>
      <c r="R235" s="27"/>
    </row>
    <row r="236" customFormat="false" ht="15" hidden="false" customHeight="false" outlineLevel="0" collapsed="false">
      <c r="A236" s="25" t="n">
        <f aca="false">IF(G236="REJECT",COUNTIF($G$2:$G$2277,"&lt;&gt;REJECT")+1+COUNTIFS($G$2:$G$2277,"REJECT",$B$2:$B$2277,"&gt;"&amp;B236),1+COUNTIFS($G$2:$G$2277,"&lt;&gt;REJECT",$B$2:$B$2277,"&gt;"&amp;B236))</f>
        <v>235</v>
      </c>
      <c r="B236" s="26" t="n">
        <f aca="false">ROUND(($U$2*MAX(0,MIN(1,($W$2-I236)/($W$2-$V$2)))+$U$3*MAX(0,MIN(1,($W$3-J236)/($W$3-$V$3)))+$U$4*MAX(0,MIN(1,($W$4-K236)/($W$4-$V$4)))+$U$5*MAX(0,MIN(1,($W$5-L236)/($W$5-$V$5)))+$U$6*MAX(0,MIN(1,($W$6-M236)/($W$6-$V$6)))+$U$7*MAX(0,MIN(1,($W$7-N236)/($W$7-$V$7)))+$U$8*IF(AND(O236&gt;=$V$8,O236&lt;=$W$8),1,0))/$U$9*100,2)</f>
        <v>94.11</v>
      </c>
      <c r="C236" s="27" t="s">
        <v>1185</v>
      </c>
      <c r="D236" s="25" t="s">
        <v>134</v>
      </c>
      <c r="E236" s="25" t="s">
        <v>3450</v>
      </c>
      <c r="F236" s="25" t="s">
        <v>3457</v>
      </c>
      <c r="G236" s="28" t="s">
        <v>29</v>
      </c>
      <c r="H236" s="28" t="s">
        <v>25</v>
      </c>
      <c r="I236" s="25" t="n">
        <v>0</v>
      </c>
      <c r="J236" s="25" t="n">
        <v>0</v>
      </c>
      <c r="K236" s="25" t="n">
        <v>0</v>
      </c>
      <c r="L236" s="29" t="n">
        <v>0.73</v>
      </c>
      <c r="M236" s="30" t="n">
        <v>5.73</v>
      </c>
      <c r="N236" s="29" t="n">
        <v>0.44</v>
      </c>
      <c r="O236" s="25" t="n">
        <v>182</v>
      </c>
      <c r="P236" s="30" t="n">
        <v>18</v>
      </c>
      <c r="Q236" s="27"/>
      <c r="R236" s="27" t="s">
        <v>63</v>
      </c>
    </row>
    <row r="237" customFormat="false" ht="15" hidden="false" customHeight="false" outlineLevel="0" collapsed="false">
      <c r="A237" s="25" t="n">
        <f aca="false">IF(G237="REJECT",COUNTIF($G$2:$G$2277,"&lt;&gt;REJECT")+1+COUNTIFS($G$2:$G$2277,"REJECT",$B$2:$B$2277,"&gt;"&amp;B237),1+COUNTIFS($G$2:$G$2277,"&lt;&gt;REJECT",$B$2:$B$2277,"&gt;"&amp;B237))</f>
        <v>235</v>
      </c>
      <c r="B237" s="26" t="n">
        <f aca="false">ROUND(($U$2*MAX(0,MIN(1,($W$2-I237)/($W$2-$V$2)))+$U$3*MAX(0,MIN(1,($W$3-J237)/($W$3-$V$3)))+$U$4*MAX(0,MIN(1,($W$4-K237)/($W$4-$V$4)))+$U$5*MAX(0,MIN(1,($W$5-L237)/($W$5-$V$5)))+$U$6*MAX(0,MIN(1,($W$6-M237)/($W$6-$V$6)))+$U$7*MAX(0,MIN(1,($W$7-N237)/($W$7-$V$7)))+$U$8*IF(AND(O237&gt;=$V$8,O237&lt;=$W$8),1,0))/$U$9*100,2)</f>
        <v>94.11</v>
      </c>
      <c r="C237" s="27" t="s">
        <v>1515</v>
      </c>
      <c r="D237" s="25" t="s">
        <v>134</v>
      </c>
      <c r="E237" s="25" t="s">
        <v>3450</v>
      </c>
      <c r="F237" s="25" t="s">
        <v>3448</v>
      </c>
      <c r="G237" s="33" t="s">
        <v>28</v>
      </c>
      <c r="H237" s="33" t="s">
        <v>24</v>
      </c>
      <c r="I237" s="25" t="n">
        <v>0</v>
      </c>
      <c r="J237" s="25" t="n">
        <v>0</v>
      </c>
      <c r="K237" s="25" t="n">
        <v>0</v>
      </c>
      <c r="L237" s="29" t="n">
        <v>0.74</v>
      </c>
      <c r="M237" s="30" t="n">
        <v>8.17</v>
      </c>
      <c r="N237" s="29" t="n">
        <v>0.56</v>
      </c>
      <c r="O237" s="25" t="n">
        <v>183</v>
      </c>
      <c r="P237" s="30" t="n">
        <v>5.11</v>
      </c>
      <c r="Q237" s="27"/>
      <c r="R237" s="27"/>
    </row>
    <row r="238" customFormat="false" ht="15" hidden="false" customHeight="false" outlineLevel="0" collapsed="false">
      <c r="A238" s="25" t="n">
        <f aca="false">IF(G238="REJECT",COUNTIF($G$2:$G$2277,"&lt;&gt;REJECT")+1+COUNTIFS($G$2:$G$2277,"REJECT",$B$2:$B$2277,"&gt;"&amp;B238),1+COUNTIFS($G$2:$G$2277,"&lt;&gt;REJECT",$B$2:$B$2277,"&gt;"&amp;B238))</f>
        <v>235</v>
      </c>
      <c r="B238" s="26" t="n">
        <f aca="false">ROUND(($U$2*MAX(0,MIN(1,($W$2-I238)/($W$2-$V$2)))+$U$3*MAX(0,MIN(1,($W$3-J238)/($W$3-$V$3)))+$U$4*MAX(0,MIN(1,($W$4-K238)/($W$4-$V$4)))+$U$5*MAX(0,MIN(1,($W$5-L238)/($W$5-$V$5)))+$U$6*MAX(0,MIN(1,($W$6-M238)/($W$6-$V$6)))+$U$7*MAX(0,MIN(1,($W$7-N238)/($W$7-$V$7)))+$U$8*IF(AND(O238&gt;=$V$8,O238&lt;=$W$8),1,0))/$U$9*100,2)</f>
        <v>94.11</v>
      </c>
      <c r="C238" s="27" t="s">
        <v>2314</v>
      </c>
      <c r="D238" s="25" t="s">
        <v>134</v>
      </c>
      <c r="E238" s="25" t="s">
        <v>3450</v>
      </c>
      <c r="F238" s="25" t="s">
        <v>3457</v>
      </c>
      <c r="G238" s="33" t="s">
        <v>28</v>
      </c>
      <c r="H238" s="33" t="s">
        <v>24</v>
      </c>
      <c r="I238" s="25" t="n">
        <v>0</v>
      </c>
      <c r="J238" s="25" t="n">
        <v>0</v>
      </c>
      <c r="K238" s="25" t="n">
        <v>0</v>
      </c>
      <c r="L238" s="29" t="n">
        <v>0.75</v>
      </c>
      <c r="M238" s="30" t="n">
        <v>10.96</v>
      </c>
      <c r="N238" s="29" t="n">
        <v>0.64</v>
      </c>
      <c r="O238" s="25" t="n">
        <v>184</v>
      </c>
      <c r="P238" s="30" t="n">
        <v>5.06</v>
      </c>
      <c r="Q238" s="27"/>
      <c r="R238" s="27"/>
    </row>
    <row r="239" customFormat="false" ht="15" hidden="false" customHeight="false" outlineLevel="0" collapsed="false">
      <c r="A239" s="25" t="n">
        <f aca="false">IF(G239="REJECT",COUNTIF($G$2:$G$2277,"&lt;&gt;REJECT")+1+COUNTIFS($G$2:$G$2277,"REJECT",$B$2:$B$2277,"&gt;"&amp;B239),1+COUNTIFS($G$2:$G$2277,"&lt;&gt;REJECT",$B$2:$B$2277,"&gt;"&amp;B239))</f>
        <v>238</v>
      </c>
      <c r="B239" s="26" t="n">
        <f aca="false">ROUND(($U$2*MAX(0,MIN(1,($W$2-I239)/($W$2-$V$2)))+$U$3*MAX(0,MIN(1,($W$3-J239)/($W$3-$V$3)))+$U$4*MAX(0,MIN(1,($W$4-K239)/($W$4-$V$4)))+$U$5*MAX(0,MIN(1,($W$5-L239)/($W$5-$V$5)))+$U$6*MAX(0,MIN(1,($W$6-M239)/($W$6-$V$6)))+$U$7*MAX(0,MIN(1,($W$7-N239)/($W$7-$V$7)))+$U$8*IF(AND(O239&gt;=$V$8,O239&lt;=$W$8),1,0))/$U$9*100,2)</f>
        <v>94.09</v>
      </c>
      <c r="C239" s="27" t="s">
        <v>2614</v>
      </c>
      <c r="D239" s="25" t="s">
        <v>134</v>
      </c>
      <c r="E239" s="25" t="s">
        <v>3450</v>
      </c>
      <c r="F239" s="25" t="s">
        <v>3448</v>
      </c>
      <c r="G239" s="28" t="s">
        <v>29</v>
      </c>
      <c r="H239" s="28" t="s">
        <v>25</v>
      </c>
      <c r="I239" s="25" t="n">
        <v>0</v>
      </c>
      <c r="J239" s="25" t="n">
        <v>0</v>
      </c>
      <c r="K239" s="25" t="n">
        <v>0</v>
      </c>
      <c r="L239" s="29" t="n">
        <v>0.78</v>
      </c>
      <c r="M239" s="30" t="n">
        <v>27.08</v>
      </c>
      <c r="N239" s="29" t="n">
        <v>0.12</v>
      </c>
      <c r="O239" s="25" t="n">
        <v>185</v>
      </c>
      <c r="P239" s="30" t="n">
        <v>13.56</v>
      </c>
      <c r="Q239" s="27"/>
      <c r="R239" s="27" t="s">
        <v>61</v>
      </c>
    </row>
    <row r="240" customFormat="false" ht="15" hidden="false" customHeight="false" outlineLevel="0" collapsed="false">
      <c r="A240" s="25" t="n">
        <f aca="false">IF(G240="REJECT",COUNTIF($G$2:$G$2277,"&lt;&gt;REJECT")+1+COUNTIFS($G$2:$G$2277,"REJECT",$B$2:$B$2277,"&gt;"&amp;B240),1+COUNTIFS($G$2:$G$2277,"&lt;&gt;REJECT",$B$2:$B$2277,"&gt;"&amp;B240))</f>
        <v>239</v>
      </c>
      <c r="B240" s="26" t="n">
        <f aca="false">ROUND(($U$2*MAX(0,MIN(1,($W$2-I240)/($W$2-$V$2)))+$U$3*MAX(0,MIN(1,($W$3-J240)/($W$3-$V$3)))+$U$4*MAX(0,MIN(1,($W$4-K240)/($W$4-$V$4)))+$U$5*MAX(0,MIN(1,($W$5-L240)/($W$5-$V$5)))+$U$6*MAX(0,MIN(1,($W$6-M240)/($W$6-$V$6)))+$U$7*MAX(0,MIN(1,($W$7-N240)/($W$7-$V$7)))+$U$8*IF(AND(O240&gt;=$V$8,O240&lt;=$W$8),1,0))/$U$9*100,2)</f>
        <v>94.04</v>
      </c>
      <c r="C240" s="27" t="s">
        <v>2143</v>
      </c>
      <c r="D240" s="25" t="s">
        <v>134</v>
      </c>
      <c r="E240" s="25" t="s">
        <v>3447</v>
      </c>
      <c r="F240" s="25" t="s">
        <v>3448</v>
      </c>
      <c r="G240" s="28" t="s">
        <v>29</v>
      </c>
      <c r="H240" s="28" t="s">
        <v>25</v>
      </c>
      <c r="I240" s="25" t="n">
        <v>0</v>
      </c>
      <c r="J240" s="25" t="n">
        <v>0</v>
      </c>
      <c r="K240" s="25" t="n">
        <v>0</v>
      </c>
      <c r="L240" s="29" t="n">
        <v>0.75</v>
      </c>
      <c r="M240" s="30" t="n">
        <v>11.36</v>
      </c>
      <c r="N240" s="29" t="n">
        <v>0.64</v>
      </c>
      <c r="O240" s="25" t="n">
        <v>186</v>
      </c>
      <c r="P240" s="30" t="n">
        <v>-0.6</v>
      </c>
      <c r="Q240" s="27"/>
      <c r="R240" s="27" t="s">
        <v>63</v>
      </c>
    </row>
    <row r="241" customFormat="false" ht="15" hidden="false" customHeight="false" outlineLevel="0" collapsed="false">
      <c r="A241" s="25" t="n">
        <f aca="false">IF(G241="REJECT",COUNTIF($G$2:$G$2277,"&lt;&gt;REJECT")+1+COUNTIFS($G$2:$G$2277,"REJECT",$B$2:$B$2277,"&gt;"&amp;B241),1+COUNTIFS($G$2:$G$2277,"&lt;&gt;REJECT",$B$2:$B$2277,"&gt;"&amp;B241))</f>
        <v>240</v>
      </c>
      <c r="B241" s="26" t="n">
        <f aca="false">ROUND(($U$2*MAX(0,MIN(1,($W$2-I241)/($W$2-$V$2)))+$U$3*MAX(0,MIN(1,($W$3-J241)/($W$3-$V$3)))+$U$4*MAX(0,MIN(1,($W$4-K241)/($W$4-$V$4)))+$U$5*MAX(0,MIN(1,($W$5-L241)/($W$5-$V$5)))+$U$6*MAX(0,MIN(1,($W$6-M241)/($W$6-$V$6)))+$U$7*MAX(0,MIN(1,($W$7-N241)/($W$7-$V$7)))+$U$8*IF(AND(O241&gt;=$V$8,O241&lt;=$W$8),1,0))/$U$9*100,2)</f>
        <v>94.03</v>
      </c>
      <c r="C241" s="27" t="s">
        <v>2586</v>
      </c>
      <c r="D241" s="25" t="s">
        <v>134</v>
      </c>
      <c r="E241" s="25" t="s">
        <v>3450</v>
      </c>
      <c r="F241" s="25" t="s">
        <v>3448</v>
      </c>
      <c r="G241" s="28" t="s">
        <v>29</v>
      </c>
      <c r="H241" s="28" t="s">
        <v>25</v>
      </c>
      <c r="I241" s="25" t="n">
        <v>0</v>
      </c>
      <c r="J241" s="25" t="n">
        <v>0</v>
      </c>
      <c r="K241" s="25" t="n">
        <v>0</v>
      </c>
      <c r="L241" s="29" t="n">
        <v>0.73</v>
      </c>
      <c r="M241" s="30" t="n">
        <v>1.05</v>
      </c>
      <c r="N241" s="29" t="n">
        <v>0.96</v>
      </c>
      <c r="O241" s="25" t="n">
        <v>192</v>
      </c>
      <c r="P241" s="30" t="n">
        <v>-1.04</v>
      </c>
      <c r="Q241" s="27"/>
      <c r="R241" s="27" t="s">
        <v>62</v>
      </c>
    </row>
    <row r="242" customFormat="false" ht="15" hidden="false" customHeight="false" outlineLevel="0" collapsed="false">
      <c r="A242" s="25" t="n">
        <f aca="false">IF(G242="REJECT",COUNTIF($G$2:$G$2277,"&lt;&gt;REJECT")+1+COUNTIFS($G$2:$G$2277,"REJECT",$B$2:$B$2277,"&gt;"&amp;B242),1+COUNTIFS($G$2:$G$2277,"&lt;&gt;REJECT",$B$2:$B$2277,"&gt;"&amp;B242))</f>
        <v>241</v>
      </c>
      <c r="B242" s="26" t="n">
        <f aca="false">ROUND(($U$2*MAX(0,MIN(1,($W$2-I242)/($W$2-$V$2)))+$U$3*MAX(0,MIN(1,($W$3-J242)/($W$3-$V$3)))+$U$4*MAX(0,MIN(1,($W$4-K242)/($W$4-$V$4)))+$U$5*MAX(0,MIN(1,($W$5-L242)/($W$5-$V$5)))+$U$6*MAX(0,MIN(1,($W$6-M242)/($W$6-$V$6)))+$U$7*MAX(0,MIN(1,($W$7-N242)/($W$7-$V$7)))+$U$8*IF(AND(O242&gt;=$V$8,O242&lt;=$W$8),1,0))/$U$9*100,2)</f>
        <v>94.02</v>
      </c>
      <c r="C242" s="27" t="s">
        <v>248</v>
      </c>
      <c r="D242" s="25" t="s">
        <v>134</v>
      </c>
      <c r="E242" s="25" t="s">
        <v>3450</v>
      </c>
      <c r="F242" s="25" t="s">
        <v>3457</v>
      </c>
      <c r="G242" s="33" t="s">
        <v>28</v>
      </c>
      <c r="H242" s="33" t="s">
        <v>24</v>
      </c>
      <c r="I242" s="25" t="n">
        <v>0</v>
      </c>
      <c r="J242" s="25" t="n">
        <v>0</v>
      </c>
      <c r="K242" s="25" t="n">
        <v>0</v>
      </c>
      <c r="L242" s="29" t="n">
        <v>0.75</v>
      </c>
      <c r="M242" s="30" t="n">
        <v>12.67</v>
      </c>
      <c r="N242" s="29" t="n">
        <v>0.52</v>
      </c>
      <c r="O242" s="25" t="n">
        <v>183</v>
      </c>
      <c r="P242" s="30" t="n">
        <v>11.37</v>
      </c>
      <c r="Q242" s="27"/>
      <c r="R242" s="27"/>
    </row>
    <row r="243" customFormat="false" ht="15" hidden="false" customHeight="false" outlineLevel="0" collapsed="false">
      <c r="A243" s="25" t="n">
        <f aca="false">IF(G243="REJECT",COUNTIF($G$2:$G$2277,"&lt;&gt;REJECT")+1+COUNTIFS($G$2:$G$2277,"REJECT",$B$2:$B$2277,"&gt;"&amp;B243),1+COUNTIFS($G$2:$G$2277,"&lt;&gt;REJECT",$B$2:$B$2277,"&gt;"&amp;B243))</f>
        <v>242</v>
      </c>
      <c r="B243" s="26" t="n">
        <f aca="false">ROUND(($U$2*MAX(0,MIN(1,($W$2-I243)/($W$2-$V$2)))+$U$3*MAX(0,MIN(1,($W$3-J243)/($W$3-$V$3)))+$U$4*MAX(0,MIN(1,($W$4-K243)/($W$4-$V$4)))+$U$5*MAX(0,MIN(1,($W$5-L243)/($W$5-$V$5)))+$U$6*MAX(0,MIN(1,($W$6-M243)/($W$6-$V$6)))+$U$7*MAX(0,MIN(1,($W$7-N243)/($W$7-$V$7)))+$U$8*IF(AND(O243&gt;=$V$8,O243&lt;=$W$8),1,0))/$U$9*100,2)</f>
        <v>94</v>
      </c>
      <c r="C243" s="27" t="s">
        <v>1706</v>
      </c>
      <c r="D243" s="25" t="s">
        <v>134</v>
      </c>
      <c r="E243" s="25" t="s">
        <v>3450</v>
      </c>
      <c r="F243" s="25" t="s">
        <v>3457</v>
      </c>
      <c r="G243" s="33" t="s">
        <v>28</v>
      </c>
      <c r="H243" s="33" t="s">
        <v>24</v>
      </c>
      <c r="I243" s="25" t="n">
        <v>0</v>
      </c>
      <c r="J243" s="25" t="n">
        <v>0</v>
      </c>
      <c r="K243" s="25" t="n">
        <v>0</v>
      </c>
      <c r="L243" s="29" t="n">
        <v>0.74</v>
      </c>
      <c r="M243" s="30" t="n">
        <v>6.43</v>
      </c>
      <c r="N243" s="29" t="n">
        <v>0.8</v>
      </c>
      <c r="O243" s="25" t="n">
        <v>184</v>
      </c>
      <c r="P243" s="30" t="n">
        <v>15.73</v>
      </c>
      <c r="Q243" s="27"/>
      <c r="R243" s="27"/>
    </row>
    <row r="244" customFormat="false" ht="15" hidden="false" customHeight="false" outlineLevel="0" collapsed="false">
      <c r="A244" s="25" t="n">
        <f aca="false">IF(G244="REJECT",COUNTIF($G$2:$G$2277,"&lt;&gt;REJECT")+1+COUNTIFS($G$2:$G$2277,"REJECT",$B$2:$B$2277,"&gt;"&amp;B244),1+COUNTIFS($G$2:$G$2277,"&lt;&gt;REJECT",$B$2:$B$2277,"&gt;"&amp;B244))</f>
        <v>243</v>
      </c>
      <c r="B244" s="26" t="n">
        <f aca="false">ROUND(($U$2*MAX(0,MIN(1,($W$2-I244)/($W$2-$V$2)))+$U$3*MAX(0,MIN(1,($W$3-J244)/($W$3-$V$3)))+$U$4*MAX(0,MIN(1,($W$4-K244)/($W$4-$V$4)))+$U$5*MAX(0,MIN(1,($W$5-L244)/($W$5-$V$5)))+$U$6*MAX(0,MIN(1,($W$6-M244)/($W$6-$V$6)))+$U$7*MAX(0,MIN(1,($W$7-N244)/($W$7-$V$7)))+$U$8*IF(AND(O244&gt;=$V$8,O244&lt;=$W$8),1,0))/$U$9*100,2)</f>
        <v>93.98</v>
      </c>
      <c r="C244" s="27" t="s">
        <v>1308</v>
      </c>
      <c r="D244" s="25" t="s">
        <v>134</v>
      </c>
      <c r="E244" s="25" t="s">
        <v>3450</v>
      </c>
      <c r="F244" s="25" t="s">
        <v>3448</v>
      </c>
      <c r="G244" s="33" t="s">
        <v>28</v>
      </c>
      <c r="H244" s="33" t="s">
        <v>24</v>
      </c>
      <c r="I244" s="25" t="n">
        <v>0</v>
      </c>
      <c r="J244" s="25" t="n">
        <v>0</v>
      </c>
      <c r="K244" s="25" t="n">
        <v>0</v>
      </c>
      <c r="L244" s="29" t="n">
        <v>0.74</v>
      </c>
      <c r="M244" s="30" t="n">
        <v>10.9</v>
      </c>
      <c r="N244" s="29" t="n">
        <v>0.36</v>
      </c>
      <c r="O244" s="25" t="n">
        <v>193</v>
      </c>
      <c r="P244" s="30" t="n">
        <v>6.24</v>
      </c>
      <c r="Q244" s="27"/>
      <c r="R244" s="27"/>
    </row>
    <row r="245" customFormat="false" ht="15" hidden="false" customHeight="false" outlineLevel="0" collapsed="false">
      <c r="A245" s="25" t="n">
        <f aca="false">IF(G245="REJECT",COUNTIF($G$2:$G$2277,"&lt;&gt;REJECT")+1+COUNTIFS($G$2:$G$2277,"REJECT",$B$2:$B$2277,"&gt;"&amp;B245),1+COUNTIFS($G$2:$G$2277,"&lt;&gt;REJECT",$B$2:$B$2277,"&gt;"&amp;B245))</f>
        <v>244</v>
      </c>
      <c r="B245" s="26" t="n">
        <f aca="false">ROUND(($U$2*MAX(0,MIN(1,($W$2-I245)/($W$2-$V$2)))+$U$3*MAX(0,MIN(1,($W$3-J245)/($W$3-$V$3)))+$U$4*MAX(0,MIN(1,($W$4-K245)/($W$4-$V$4)))+$U$5*MAX(0,MIN(1,($W$5-L245)/($W$5-$V$5)))+$U$6*MAX(0,MIN(1,($W$6-M245)/($W$6-$V$6)))+$U$7*MAX(0,MIN(1,($W$7-N245)/($W$7-$V$7)))+$U$8*IF(AND(O245&gt;=$V$8,O245&lt;=$W$8),1,0))/$U$9*100,2)</f>
        <v>93.96</v>
      </c>
      <c r="C245" s="27" t="s">
        <v>2569</v>
      </c>
      <c r="D245" s="25" t="s">
        <v>134</v>
      </c>
      <c r="E245" s="25" t="s">
        <v>3450</v>
      </c>
      <c r="F245" s="25" t="s">
        <v>3448</v>
      </c>
      <c r="G245" s="28" t="s">
        <v>29</v>
      </c>
      <c r="H245" s="28" t="s">
        <v>25</v>
      </c>
      <c r="I245" s="25" t="n">
        <v>0</v>
      </c>
      <c r="J245" s="25" t="n">
        <v>0</v>
      </c>
      <c r="K245" s="25" t="n">
        <v>0</v>
      </c>
      <c r="L245" s="29" t="n">
        <v>0.71</v>
      </c>
      <c r="M245" s="30" t="n">
        <v>3.82</v>
      </c>
      <c r="N245" s="29" t="n">
        <v>0</v>
      </c>
      <c r="O245" s="25" t="n">
        <v>185</v>
      </c>
      <c r="P245" s="30" t="n">
        <v>12.67</v>
      </c>
      <c r="Q245" s="27"/>
      <c r="R245" s="27" t="s">
        <v>64</v>
      </c>
    </row>
    <row r="246" customFormat="false" ht="15" hidden="false" customHeight="false" outlineLevel="0" collapsed="false">
      <c r="A246" s="25" t="n">
        <f aca="false">IF(G246="REJECT",COUNTIF($G$2:$G$2277,"&lt;&gt;REJECT")+1+COUNTIFS($G$2:$G$2277,"REJECT",$B$2:$B$2277,"&gt;"&amp;B246),1+COUNTIFS($G$2:$G$2277,"&lt;&gt;REJECT",$B$2:$B$2277,"&gt;"&amp;B246))</f>
        <v>245</v>
      </c>
      <c r="B246" s="26" t="n">
        <f aca="false">ROUND(($U$2*MAX(0,MIN(1,($W$2-I246)/($W$2-$V$2)))+$U$3*MAX(0,MIN(1,($W$3-J246)/($W$3-$V$3)))+$U$4*MAX(0,MIN(1,($W$4-K246)/($W$4-$V$4)))+$U$5*MAX(0,MIN(1,($W$5-L246)/($W$5-$V$5)))+$U$6*MAX(0,MIN(1,($W$6-M246)/($W$6-$V$6)))+$U$7*MAX(0,MIN(1,($W$7-N246)/($W$7-$V$7)))+$U$8*IF(AND(O246&gt;=$V$8,O246&lt;=$W$8),1,0))/$U$9*100,2)</f>
        <v>93.95</v>
      </c>
      <c r="C246" s="27" t="s">
        <v>1465</v>
      </c>
      <c r="D246" s="25" t="s">
        <v>3459</v>
      </c>
      <c r="E246" s="25" t="s">
        <v>3450</v>
      </c>
      <c r="F246" s="25" t="s">
        <v>3457</v>
      </c>
      <c r="G246" s="33" t="s">
        <v>28</v>
      </c>
      <c r="H246" s="33" t="s">
        <v>24</v>
      </c>
      <c r="I246" s="25" t="n">
        <v>0</v>
      </c>
      <c r="J246" s="25" t="n">
        <v>0</v>
      </c>
      <c r="K246" s="25" t="n">
        <v>0</v>
      </c>
      <c r="L246" s="29" t="n">
        <v>0.74</v>
      </c>
      <c r="M246" s="30" t="n">
        <v>9.49</v>
      </c>
      <c r="N246" s="29" t="n">
        <v>0.52</v>
      </c>
      <c r="O246" s="25" t="n">
        <v>183</v>
      </c>
      <c r="P246" s="30" t="n">
        <v>14.7</v>
      </c>
      <c r="Q246" s="27"/>
      <c r="R246" s="27"/>
    </row>
    <row r="247" customFormat="false" ht="15" hidden="false" customHeight="false" outlineLevel="0" collapsed="false">
      <c r="A247" s="25" t="n">
        <f aca="false">IF(G247="REJECT",COUNTIF($G$2:$G$2277,"&lt;&gt;REJECT")+1+COUNTIFS($G$2:$G$2277,"REJECT",$B$2:$B$2277,"&gt;"&amp;B247),1+COUNTIFS($G$2:$G$2277,"&lt;&gt;REJECT",$B$2:$B$2277,"&gt;"&amp;B247))</f>
        <v>245</v>
      </c>
      <c r="B247" s="26" t="n">
        <f aca="false">ROUND(($U$2*MAX(0,MIN(1,($W$2-I247)/($W$2-$V$2)))+$U$3*MAX(0,MIN(1,($W$3-J247)/($W$3-$V$3)))+$U$4*MAX(0,MIN(1,($W$4-K247)/($W$4-$V$4)))+$U$5*MAX(0,MIN(1,($W$5-L247)/($W$5-$V$5)))+$U$6*MAX(0,MIN(1,($W$6-M247)/($W$6-$V$6)))+$U$7*MAX(0,MIN(1,($W$7-N247)/($W$7-$V$7)))+$U$8*IF(AND(O247&gt;=$V$8,O247&lt;=$W$8),1,0))/$U$9*100,2)</f>
        <v>93.95</v>
      </c>
      <c r="C247" s="27" t="s">
        <v>1793</v>
      </c>
      <c r="D247" s="25" t="s">
        <v>134</v>
      </c>
      <c r="E247" s="25" t="s">
        <v>3447</v>
      </c>
      <c r="F247" s="25" t="s">
        <v>3457</v>
      </c>
      <c r="G247" s="33" t="s">
        <v>28</v>
      </c>
      <c r="H247" s="33" t="s">
        <v>24</v>
      </c>
      <c r="I247" s="25" t="n">
        <v>0</v>
      </c>
      <c r="J247" s="25" t="n">
        <v>0</v>
      </c>
      <c r="K247" s="25" t="n">
        <v>0</v>
      </c>
      <c r="L247" s="29" t="n">
        <v>0.73</v>
      </c>
      <c r="M247" s="30" t="n">
        <v>9.1</v>
      </c>
      <c r="N247" s="29" t="n">
        <v>0.2</v>
      </c>
      <c r="O247" s="25" t="n">
        <v>186</v>
      </c>
      <c r="P247" s="30" t="n">
        <v>0.7</v>
      </c>
      <c r="Q247" s="27"/>
      <c r="R247" s="27"/>
    </row>
    <row r="248" customFormat="false" ht="15" hidden="false" customHeight="false" outlineLevel="0" collapsed="false">
      <c r="A248" s="25" t="n">
        <f aca="false">IF(G248="REJECT",COUNTIF($G$2:$G$2277,"&lt;&gt;REJECT")+1+COUNTIFS($G$2:$G$2277,"REJECT",$B$2:$B$2277,"&gt;"&amp;B248),1+COUNTIFS($G$2:$G$2277,"&lt;&gt;REJECT",$B$2:$B$2277,"&gt;"&amp;B248))</f>
        <v>247</v>
      </c>
      <c r="B248" s="26" t="n">
        <f aca="false">ROUND(($U$2*MAX(0,MIN(1,($W$2-I248)/($W$2-$V$2)))+$U$3*MAX(0,MIN(1,($W$3-J248)/($W$3-$V$3)))+$U$4*MAX(0,MIN(1,($W$4-K248)/($W$4-$V$4)))+$U$5*MAX(0,MIN(1,($W$5-L248)/($W$5-$V$5)))+$U$6*MAX(0,MIN(1,($W$6-M248)/($W$6-$V$6)))+$U$7*MAX(0,MIN(1,($W$7-N248)/($W$7-$V$7)))+$U$8*IF(AND(O248&gt;=$V$8,O248&lt;=$W$8),1,0))/$U$9*100,2)</f>
        <v>93.94</v>
      </c>
      <c r="C248" s="27" t="s">
        <v>323</v>
      </c>
      <c r="D248" s="25" t="s">
        <v>3459</v>
      </c>
      <c r="E248" s="25" t="s">
        <v>3450</v>
      </c>
      <c r="F248" s="25" t="s">
        <v>3448</v>
      </c>
      <c r="G248" s="33" t="s">
        <v>28</v>
      </c>
      <c r="H248" s="33" t="s">
        <v>24</v>
      </c>
      <c r="I248" s="25" t="n">
        <v>0</v>
      </c>
      <c r="J248" s="25" t="n">
        <v>0</v>
      </c>
      <c r="K248" s="25" t="n">
        <v>0</v>
      </c>
      <c r="L248" s="29" t="n">
        <v>0.75</v>
      </c>
      <c r="M248" s="30" t="n">
        <v>18.38</v>
      </c>
      <c r="N248" s="29" t="n">
        <v>0</v>
      </c>
      <c r="O248" s="25" t="n">
        <v>184</v>
      </c>
      <c r="P248" s="30" t="n">
        <v>21.44</v>
      </c>
      <c r="Q248" s="27"/>
      <c r="R248" s="27"/>
    </row>
    <row r="249" customFormat="false" ht="15" hidden="false" customHeight="false" outlineLevel="0" collapsed="false">
      <c r="A249" s="25" t="n">
        <f aca="false">IF(G249="REJECT",COUNTIF($G$2:$G$2277,"&lt;&gt;REJECT")+1+COUNTIFS($G$2:$G$2277,"REJECT",$B$2:$B$2277,"&gt;"&amp;B249),1+COUNTIFS($G$2:$G$2277,"&lt;&gt;REJECT",$B$2:$B$2277,"&gt;"&amp;B249))</f>
        <v>248</v>
      </c>
      <c r="B249" s="26" t="n">
        <f aca="false">ROUND(($U$2*MAX(0,MIN(1,($W$2-I249)/($W$2-$V$2)))+$U$3*MAX(0,MIN(1,($W$3-J249)/($W$3-$V$3)))+$U$4*MAX(0,MIN(1,($W$4-K249)/($W$4-$V$4)))+$U$5*MAX(0,MIN(1,($W$5-L249)/($W$5-$V$5)))+$U$6*MAX(0,MIN(1,($W$6-M249)/($W$6-$V$6)))+$U$7*MAX(0,MIN(1,($W$7-N249)/($W$7-$V$7)))+$U$8*IF(AND(O249&gt;=$V$8,O249&lt;=$W$8),1,0))/$U$9*100,2)</f>
        <v>93.93</v>
      </c>
      <c r="C249" s="27" t="s">
        <v>2355</v>
      </c>
      <c r="D249" s="25" t="s">
        <v>134</v>
      </c>
      <c r="E249" s="25" t="s">
        <v>3447</v>
      </c>
      <c r="F249" s="25" t="s">
        <v>3448</v>
      </c>
      <c r="G249" s="28" t="s">
        <v>29</v>
      </c>
      <c r="H249" s="28" t="s">
        <v>25</v>
      </c>
      <c r="I249" s="25" t="n">
        <v>0</v>
      </c>
      <c r="J249" s="25" t="n">
        <v>0</v>
      </c>
      <c r="K249" s="25" t="n">
        <v>0</v>
      </c>
      <c r="L249" s="29" t="n">
        <v>0.85</v>
      </c>
      <c r="M249" s="30" t="n">
        <v>35.09</v>
      </c>
      <c r="N249" s="29" t="n">
        <v>0.64</v>
      </c>
      <c r="O249" s="25" t="n">
        <v>190</v>
      </c>
      <c r="P249" s="30" t="n">
        <v>0.77</v>
      </c>
      <c r="Q249" s="27"/>
      <c r="R249" s="27" t="s">
        <v>66</v>
      </c>
    </row>
    <row r="250" customFormat="false" ht="15" hidden="false" customHeight="false" outlineLevel="0" collapsed="false">
      <c r="A250" s="25" t="n">
        <f aca="false">IF(G250="REJECT",COUNTIF($G$2:$G$2277,"&lt;&gt;REJECT")+1+COUNTIFS($G$2:$G$2277,"REJECT",$B$2:$B$2277,"&gt;"&amp;B250),1+COUNTIFS($G$2:$G$2277,"&lt;&gt;REJECT",$B$2:$B$2277,"&gt;"&amp;B250))</f>
        <v>249</v>
      </c>
      <c r="B250" s="26" t="n">
        <f aca="false">ROUND(($U$2*MAX(0,MIN(1,($W$2-I250)/($W$2-$V$2)))+$U$3*MAX(0,MIN(1,($W$3-J250)/($W$3-$V$3)))+$U$4*MAX(0,MIN(1,($W$4-K250)/($W$4-$V$4)))+$U$5*MAX(0,MIN(1,($W$5-L250)/($W$5-$V$5)))+$U$6*MAX(0,MIN(1,($W$6-M250)/($W$6-$V$6)))+$U$7*MAX(0,MIN(1,($W$7-N250)/($W$7-$V$7)))+$U$8*IF(AND(O250&gt;=$V$8,O250&lt;=$W$8),1,0))/$U$9*100,2)</f>
        <v>93.92</v>
      </c>
      <c r="C250" s="27" t="s">
        <v>279</v>
      </c>
      <c r="D250" s="25" t="s">
        <v>134</v>
      </c>
      <c r="E250" s="25" t="s">
        <v>3450</v>
      </c>
      <c r="F250" s="25" t="s">
        <v>3457</v>
      </c>
      <c r="G250" s="33" t="s">
        <v>28</v>
      </c>
      <c r="H250" s="33" t="s">
        <v>24</v>
      </c>
      <c r="I250" s="25" t="n">
        <v>0</v>
      </c>
      <c r="J250" s="25" t="n">
        <v>0</v>
      </c>
      <c r="K250" s="25" t="n">
        <v>0</v>
      </c>
      <c r="L250" s="29" t="n">
        <v>0.75</v>
      </c>
      <c r="M250" s="30" t="n">
        <v>16.11</v>
      </c>
      <c r="N250" s="29" t="n">
        <v>0.24</v>
      </c>
      <c r="O250" s="25" t="n">
        <v>188</v>
      </c>
      <c r="P250" s="30" t="n">
        <v>11.47</v>
      </c>
      <c r="Q250" s="27"/>
      <c r="R250" s="27"/>
    </row>
    <row r="251" customFormat="false" ht="15" hidden="false" customHeight="false" outlineLevel="0" collapsed="false">
      <c r="A251" s="25" t="n">
        <f aca="false">IF(G251="REJECT",COUNTIF($G$2:$G$2277,"&lt;&gt;REJECT")+1+COUNTIFS($G$2:$G$2277,"REJECT",$B$2:$B$2277,"&gt;"&amp;B251),1+COUNTIFS($G$2:$G$2277,"&lt;&gt;REJECT",$B$2:$B$2277,"&gt;"&amp;B251))</f>
        <v>249</v>
      </c>
      <c r="B251" s="26" t="n">
        <f aca="false">ROUND(($U$2*MAX(0,MIN(1,($W$2-I251)/($W$2-$V$2)))+$U$3*MAX(0,MIN(1,($W$3-J251)/($W$3-$V$3)))+$U$4*MAX(0,MIN(1,($W$4-K251)/($W$4-$V$4)))+$U$5*MAX(0,MIN(1,($W$5-L251)/($W$5-$V$5)))+$U$6*MAX(0,MIN(1,($W$6-M251)/($W$6-$V$6)))+$U$7*MAX(0,MIN(1,($W$7-N251)/($W$7-$V$7)))+$U$8*IF(AND(O251&gt;=$V$8,O251&lt;=$W$8),1,0))/$U$9*100,2)</f>
        <v>93.92</v>
      </c>
      <c r="C251" s="27" t="s">
        <v>2016</v>
      </c>
      <c r="D251" s="25" t="s">
        <v>134</v>
      </c>
      <c r="E251" s="25" t="s">
        <v>3447</v>
      </c>
      <c r="F251" s="25" t="s">
        <v>3448</v>
      </c>
      <c r="G251" s="33" t="s">
        <v>28</v>
      </c>
      <c r="H251" s="33" t="s">
        <v>24</v>
      </c>
      <c r="I251" s="25" t="n">
        <v>0</v>
      </c>
      <c r="J251" s="25" t="n">
        <v>0</v>
      </c>
      <c r="K251" s="25" t="n">
        <v>0</v>
      </c>
      <c r="L251" s="29" t="n">
        <v>0.74</v>
      </c>
      <c r="M251" s="30" t="n">
        <v>11.26</v>
      </c>
      <c r="N251" s="29" t="n">
        <v>0.36</v>
      </c>
      <c r="O251" s="25" t="n">
        <v>217</v>
      </c>
      <c r="P251" s="30" t="n">
        <v>0.05</v>
      </c>
      <c r="Q251" s="27"/>
      <c r="R251" s="27"/>
    </row>
    <row r="252" customFormat="false" ht="15" hidden="false" customHeight="false" outlineLevel="0" collapsed="false">
      <c r="A252" s="25" t="n">
        <f aca="false">IF(G252="REJECT",COUNTIF($G$2:$G$2277,"&lt;&gt;REJECT")+1+COUNTIFS($G$2:$G$2277,"REJECT",$B$2:$B$2277,"&gt;"&amp;B252),1+COUNTIFS($G$2:$G$2277,"&lt;&gt;REJECT",$B$2:$B$2277,"&gt;"&amp;B252))</f>
        <v>251</v>
      </c>
      <c r="B252" s="26" t="n">
        <f aca="false">ROUND(($U$2*MAX(0,MIN(1,($W$2-I252)/($W$2-$V$2)))+$U$3*MAX(0,MIN(1,($W$3-J252)/($W$3-$V$3)))+$U$4*MAX(0,MIN(1,($W$4-K252)/($W$4-$V$4)))+$U$5*MAX(0,MIN(1,($W$5-L252)/($W$5-$V$5)))+$U$6*MAX(0,MIN(1,($W$6-M252)/($W$6-$V$6)))+$U$7*MAX(0,MIN(1,($W$7-N252)/($W$7-$V$7)))+$U$8*IF(AND(O252&gt;=$V$8,O252&lt;=$W$8),1,0))/$U$9*100,2)</f>
        <v>93.89</v>
      </c>
      <c r="C252" s="27" t="s">
        <v>1084</v>
      </c>
      <c r="D252" s="25" t="s">
        <v>134</v>
      </c>
      <c r="E252" s="25" t="s">
        <v>3447</v>
      </c>
      <c r="F252" s="25" t="s">
        <v>3457</v>
      </c>
      <c r="G252" s="33" t="s">
        <v>28</v>
      </c>
      <c r="H252" s="33" t="s">
        <v>24</v>
      </c>
      <c r="I252" s="25" t="n">
        <v>0</v>
      </c>
      <c r="J252" s="25" t="n">
        <v>0</v>
      </c>
      <c r="K252" s="25" t="n">
        <v>0</v>
      </c>
      <c r="L252" s="29" t="n">
        <v>0.75</v>
      </c>
      <c r="M252" s="30" t="n">
        <v>12.68</v>
      </c>
      <c r="N252" s="29" t="n">
        <v>0.6</v>
      </c>
      <c r="O252" s="25" t="n">
        <v>182</v>
      </c>
      <c r="P252" s="30" t="n">
        <v>-0.84</v>
      </c>
      <c r="Q252" s="27"/>
      <c r="R252" s="27"/>
    </row>
    <row r="253" customFormat="false" ht="15" hidden="false" customHeight="false" outlineLevel="0" collapsed="false">
      <c r="A253" s="25" t="n">
        <f aca="false">IF(G253="REJECT",COUNTIF($G$2:$G$2277,"&lt;&gt;REJECT")+1+COUNTIFS($G$2:$G$2277,"REJECT",$B$2:$B$2277,"&gt;"&amp;B253),1+COUNTIFS($G$2:$G$2277,"&lt;&gt;REJECT",$B$2:$B$2277,"&gt;"&amp;B253))</f>
        <v>252</v>
      </c>
      <c r="B253" s="26" t="n">
        <f aca="false">ROUND(($U$2*MAX(0,MIN(1,($W$2-I253)/($W$2-$V$2)))+$U$3*MAX(0,MIN(1,($W$3-J253)/($W$3-$V$3)))+$U$4*MAX(0,MIN(1,($W$4-K253)/($W$4-$V$4)))+$U$5*MAX(0,MIN(1,($W$5-L253)/($W$5-$V$5)))+$U$6*MAX(0,MIN(1,($W$6-M253)/($W$6-$V$6)))+$U$7*MAX(0,MIN(1,($W$7-N253)/($W$7-$V$7)))+$U$8*IF(AND(O253&gt;=$V$8,O253&lt;=$W$8),1,0))/$U$9*100,2)</f>
        <v>93.88</v>
      </c>
      <c r="C253" s="27" t="s">
        <v>1443</v>
      </c>
      <c r="D253" s="25" t="s">
        <v>134</v>
      </c>
      <c r="E253" s="25" t="s">
        <v>3450</v>
      </c>
      <c r="F253" s="25" t="s">
        <v>3448</v>
      </c>
      <c r="G253" s="28" t="s">
        <v>29</v>
      </c>
      <c r="H253" s="28" t="s">
        <v>25</v>
      </c>
      <c r="I253" s="25" t="n">
        <v>0</v>
      </c>
      <c r="J253" s="25" t="n">
        <v>0</v>
      </c>
      <c r="K253" s="25" t="n">
        <v>0</v>
      </c>
      <c r="L253" s="29" t="n">
        <v>0.74</v>
      </c>
      <c r="M253" s="30" t="n">
        <v>15.14</v>
      </c>
      <c r="N253" s="29" t="n">
        <v>0</v>
      </c>
      <c r="O253" s="25" t="n">
        <v>187</v>
      </c>
      <c r="P253" s="30" t="n">
        <v>19.67</v>
      </c>
      <c r="Q253" s="27"/>
      <c r="R253" s="27" t="s">
        <v>64</v>
      </c>
    </row>
    <row r="254" customFormat="false" ht="15" hidden="false" customHeight="false" outlineLevel="0" collapsed="false">
      <c r="A254" s="25" t="n">
        <f aca="false">IF(G254="REJECT",COUNTIF($G$2:$G$2277,"&lt;&gt;REJECT")+1+COUNTIFS($G$2:$G$2277,"REJECT",$B$2:$B$2277,"&gt;"&amp;B254),1+COUNTIFS($G$2:$G$2277,"&lt;&gt;REJECT",$B$2:$B$2277,"&gt;"&amp;B254))</f>
        <v>253</v>
      </c>
      <c r="B254" s="26" t="n">
        <f aca="false">ROUND(($U$2*MAX(0,MIN(1,($W$2-I254)/($W$2-$V$2)))+$U$3*MAX(0,MIN(1,($W$3-J254)/($W$3-$V$3)))+$U$4*MAX(0,MIN(1,($W$4-K254)/($W$4-$V$4)))+$U$5*MAX(0,MIN(1,($W$5-L254)/($W$5-$V$5)))+$U$6*MAX(0,MIN(1,($W$6-M254)/($W$6-$V$6)))+$U$7*MAX(0,MIN(1,($W$7-N254)/($W$7-$V$7)))+$U$8*IF(AND(O254&gt;=$V$8,O254&lt;=$W$8),1,0))/$U$9*100,2)</f>
        <v>93.8</v>
      </c>
      <c r="C254" s="27" t="s">
        <v>1197</v>
      </c>
      <c r="D254" s="25" t="s">
        <v>3459</v>
      </c>
      <c r="E254" s="25" t="s">
        <v>3450</v>
      </c>
      <c r="F254" s="25" t="s">
        <v>3448</v>
      </c>
      <c r="G254" s="28" t="s">
        <v>29</v>
      </c>
      <c r="H254" s="28" t="s">
        <v>25</v>
      </c>
      <c r="I254" s="25" t="n">
        <v>0</v>
      </c>
      <c r="J254" s="25" t="n">
        <v>0</v>
      </c>
      <c r="K254" s="25" t="n">
        <v>0</v>
      </c>
      <c r="L254" s="29" t="n">
        <v>0.73</v>
      </c>
      <c r="M254" s="30" t="n">
        <v>10.81</v>
      </c>
      <c r="N254" s="29" t="n">
        <v>0.12</v>
      </c>
      <c r="O254" s="25" t="n">
        <v>181</v>
      </c>
      <c r="P254" s="30" t="n">
        <v>4.39</v>
      </c>
      <c r="Q254" s="27"/>
      <c r="R254" s="27" t="s">
        <v>64</v>
      </c>
    </row>
    <row r="255" customFormat="false" ht="15" hidden="false" customHeight="false" outlineLevel="0" collapsed="false">
      <c r="A255" s="25" t="n">
        <f aca="false">IF(G255="REJECT",COUNTIF($G$2:$G$2277,"&lt;&gt;REJECT")+1+COUNTIFS($G$2:$G$2277,"REJECT",$B$2:$B$2277,"&gt;"&amp;B255),1+COUNTIFS($G$2:$G$2277,"&lt;&gt;REJECT",$B$2:$B$2277,"&gt;"&amp;B255))</f>
        <v>254</v>
      </c>
      <c r="B255" s="26" t="n">
        <f aca="false">ROUND(($U$2*MAX(0,MIN(1,($W$2-I255)/($W$2-$V$2)))+$U$3*MAX(0,MIN(1,($W$3-J255)/($W$3-$V$3)))+$U$4*MAX(0,MIN(1,($W$4-K255)/($W$4-$V$4)))+$U$5*MAX(0,MIN(1,($W$5-L255)/($W$5-$V$5)))+$U$6*MAX(0,MIN(1,($W$6-M255)/($W$6-$V$6)))+$U$7*MAX(0,MIN(1,($W$7-N255)/($W$7-$V$7)))+$U$8*IF(AND(O255&gt;=$V$8,O255&lt;=$W$8),1,0))/$U$9*100,2)</f>
        <v>93.76</v>
      </c>
      <c r="C255" s="27" t="s">
        <v>1448</v>
      </c>
      <c r="D255" s="25" t="s">
        <v>134</v>
      </c>
      <c r="E255" s="25" t="s">
        <v>3450</v>
      </c>
      <c r="F255" s="25" t="s">
        <v>3448</v>
      </c>
      <c r="G255" s="28" t="s">
        <v>29</v>
      </c>
      <c r="H255" s="28" t="s">
        <v>25</v>
      </c>
      <c r="I255" s="25" t="n">
        <v>0</v>
      </c>
      <c r="J255" s="25" t="n">
        <v>0</v>
      </c>
      <c r="K255" s="25" t="n">
        <v>0</v>
      </c>
      <c r="L255" s="29" t="n">
        <v>0.71</v>
      </c>
      <c r="M255" s="30" t="n">
        <v>1.85</v>
      </c>
      <c r="N255" s="29" t="n">
        <v>0.32</v>
      </c>
      <c r="O255" s="25" t="n">
        <v>182</v>
      </c>
      <c r="P255" s="30" t="n">
        <v>5.91</v>
      </c>
      <c r="Q255" s="27"/>
      <c r="R255" s="27" t="s">
        <v>63</v>
      </c>
    </row>
    <row r="256" customFormat="false" ht="15" hidden="false" customHeight="false" outlineLevel="0" collapsed="false">
      <c r="A256" s="25" t="n">
        <f aca="false">IF(G256="REJECT",COUNTIF($G$2:$G$2277,"&lt;&gt;REJECT")+1+COUNTIFS($G$2:$G$2277,"REJECT",$B$2:$B$2277,"&gt;"&amp;B256),1+COUNTIFS($G$2:$G$2277,"&lt;&gt;REJECT",$B$2:$B$2277,"&gt;"&amp;B256))</f>
        <v>255</v>
      </c>
      <c r="B256" s="26" t="n">
        <f aca="false">ROUND(($U$2*MAX(0,MIN(1,($W$2-I256)/($W$2-$V$2)))+$U$3*MAX(0,MIN(1,($W$3-J256)/($W$3-$V$3)))+$U$4*MAX(0,MIN(1,($W$4-K256)/($W$4-$V$4)))+$U$5*MAX(0,MIN(1,($W$5-L256)/($W$5-$V$5)))+$U$6*MAX(0,MIN(1,($W$6-M256)/($W$6-$V$6)))+$U$7*MAX(0,MIN(1,($W$7-N256)/($W$7-$V$7)))+$U$8*IF(AND(O256&gt;=$V$8,O256&lt;=$W$8),1,0))/$U$9*100,2)</f>
        <v>93.72</v>
      </c>
      <c r="C256" s="27" t="s">
        <v>1842</v>
      </c>
      <c r="D256" s="25" t="s">
        <v>134</v>
      </c>
      <c r="E256" s="25" t="s">
        <v>3450</v>
      </c>
      <c r="F256" s="25" t="s">
        <v>3457</v>
      </c>
      <c r="G256" s="33" t="s">
        <v>28</v>
      </c>
      <c r="H256" s="33" t="s">
        <v>24</v>
      </c>
      <c r="I256" s="25" t="n">
        <v>0</v>
      </c>
      <c r="J256" s="25" t="n">
        <v>0</v>
      </c>
      <c r="K256" s="25" t="n">
        <v>0</v>
      </c>
      <c r="L256" s="29" t="n">
        <v>0.72</v>
      </c>
      <c r="M256" s="30" t="n">
        <v>3.26</v>
      </c>
      <c r="N256" s="29" t="n">
        <v>0.56</v>
      </c>
      <c r="O256" s="25" t="n">
        <v>183</v>
      </c>
      <c r="P256" s="30" t="n">
        <v>13.7</v>
      </c>
      <c r="Q256" s="27"/>
      <c r="R256" s="27"/>
    </row>
    <row r="257" customFormat="false" ht="15" hidden="false" customHeight="false" outlineLevel="0" collapsed="false">
      <c r="A257" s="25" t="n">
        <f aca="false">IF(G257="REJECT",COUNTIF($G$2:$G$2277,"&lt;&gt;REJECT")+1+COUNTIFS($G$2:$G$2277,"REJECT",$B$2:$B$2277,"&gt;"&amp;B257),1+COUNTIFS($G$2:$G$2277,"&lt;&gt;REJECT",$B$2:$B$2277,"&gt;"&amp;B257))</f>
        <v>255</v>
      </c>
      <c r="B257" s="26" t="n">
        <f aca="false">ROUND(($U$2*MAX(0,MIN(1,($W$2-I257)/($W$2-$V$2)))+$U$3*MAX(0,MIN(1,($W$3-J257)/($W$3-$V$3)))+$U$4*MAX(0,MIN(1,($W$4-K257)/($W$4-$V$4)))+$U$5*MAX(0,MIN(1,($W$5-L257)/($W$5-$V$5)))+$U$6*MAX(0,MIN(1,($W$6-M257)/($W$6-$V$6)))+$U$7*MAX(0,MIN(1,($W$7-N257)/($W$7-$V$7)))+$U$8*IF(AND(O257&gt;=$V$8,O257&lt;=$W$8),1,0))/$U$9*100,2)</f>
        <v>93.72</v>
      </c>
      <c r="C257" s="27" t="s">
        <v>2067</v>
      </c>
      <c r="D257" s="25" t="s">
        <v>3459</v>
      </c>
      <c r="E257" s="25" t="s">
        <v>3450</v>
      </c>
      <c r="F257" s="25" t="s">
        <v>3448</v>
      </c>
      <c r="G257" s="28" t="s">
        <v>29</v>
      </c>
      <c r="H257" s="28" t="s">
        <v>25</v>
      </c>
      <c r="I257" s="25" t="n">
        <v>0</v>
      </c>
      <c r="J257" s="25" t="n">
        <v>0</v>
      </c>
      <c r="K257" s="25" t="n">
        <v>0</v>
      </c>
      <c r="L257" s="29" t="n">
        <v>0.8</v>
      </c>
      <c r="M257" s="30" t="n">
        <v>29.66</v>
      </c>
      <c r="N257" s="29" t="n">
        <v>0.8</v>
      </c>
      <c r="O257" s="25" t="n">
        <v>191</v>
      </c>
      <c r="P257" s="30" t="n">
        <v>19.66</v>
      </c>
      <c r="Q257" s="27"/>
      <c r="R257" s="27" t="s">
        <v>61</v>
      </c>
    </row>
    <row r="258" customFormat="false" ht="15" hidden="false" customHeight="false" outlineLevel="0" collapsed="false">
      <c r="A258" s="25" t="n">
        <f aca="false">IF(G258="REJECT",COUNTIF($G$2:$G$2277,"&lt;&gt;REJECT")+1+COUNTIFS($G$2:$G$2277,"REJECT",$B$2:$B$2277,"&gt;"&amp;B258),1+COUNTIFS($G$2:$G$2277,"&lt;&gt;REJECT",$B$2:$B$2277,"&gt;"&amp;B258))</f>
        <v>255</v>
      </c>
      <c r="B258" s="26" t="n">
        <f aca="false">ROUND(($U$2*MAX(0,MIN(1,($W$2-I258)/($W$2-$V$2)))+$U$3*MAX(0,MIN(1,($W$3-J258)/($W$3-$V$3)))+$U$4*MAX(0,MIN(1,($W$4-K258)/($W$4-$V$4)))+$U$5*MAX(0,MIN(1,($W$5-L258)/($W$5-$V$5)))+$U$6*MAX(0,MIN(1,($W$6-M258)/($W$6-$V$6)))+$U$7*MAX(0,MIN(1,($W$7-N258)/($W$7-$V$7)))+$U$8*IF(AND(O258&gt;=$V$8,O258&lt;=$W$8),1,0))/$U$9*100,2)</f>
        <v>93.72</v>
      </c>
      <c r="C258" s="27" t="s">
        <v>2198</v>
      </c>
      <c r="D258" s="25" t="s">
        <v>134</v>
      </c>
      <c r="E258" s="25" t="s">
        <v>3450</v>
      </c>
      <c r="F258" s="25" t="s">
        <v>3457</v>
      </c>
      <c r="G258" s="28" t="s">
        <v>29</v>
      </c>
      <c r="H258" s="28" t="s">
        <v>25</v>
      </c>
      <c r="I258" s="25" t="n">
        <v>0</v>
      </c>
      <c r="J258" s="25" t="n">
        <v>0</v>
      </c>
      <c r="K258" s="25" t="n">
        <v>0</v>
      </c>
      <c r="L258" s="29" t="n">
        <v>0.72</v>
      </c>
      <c r="M258" s="30" t="n">
        <v>6.47</v>
      </c>
      <c r="N258" s="29" t="n">
        <v>0.24</v>
      </c>
      <c r="O258" s="25" t="n">
        <v>184</v>
      </c>
      <c r="P258" s="30" t="n">
        <v>8.44</v>
      </c>
      <c r="Q258" s="27"/>
      <c r="R258" s="27" t="s">
        <v>64</v>
      </c>
    </row>
    <row r="259" customFormat="false" ht="15" hidden="false" customHeight="false" outlineLevel="0" collapsed="false">
      <c r="A259" s="25" t="n">
        <f aca="false">IF(G259="REJECT",COUNTIF($G$2:$G$2277,"&lt;&gt;REJECT")+1+COUNTIFS($G$2:$G$2277,"REJECT",$B$2:$B$2277,"&gt;"&amp;B259),1+COUNTIFS($G$2:$G$2277,"&lt;&gt;REJECT",$B$2:$B$2277,"&gt;"&amp;B259))</f>
        <v>258</v>
      </c>
      <c r="B259" s="26" t="n">
        <f aca="false">ROUND(($U$2*MAX(0,MIN(1,($W$2-I259)/($W$2-$V$2)))+$U$3*MAX(0,MIN(1,($W$3-J259)/($W$3-$V$3)))+$U$4*MAX(0,MIN(1,($W$4-K259)/($W$4-$V$4)))+$U$5*MAX(0,MIN(1,($W$5-L259)/($W$5-$V$5)))+$U$6*MAX(0,MIN(1,($W$6-M259)/($W$6-$V$6)))+$U$7*MAX(0,MIN(1,($W$7-N259)/($W$7-$V$7)))+$U$8*IF(AND(O259&gt;=$V$8,O259&lt;=$W$8),1,0))/$U$9*100,2)</f>
        <v>93.71</v>
      </c>
      <c r="C259" s="27" t="s">
        <v>493</v>
      </c>
      <c r="D259" s="25" t="s">
        <v>134</v>
      </c>
      <c r="E259" s="25" t="s">
        <v>3447</v>
      </c>
      <c r="F259" s="25" t="s">
        <v>3448</v>
      </c>
      <c r="G259" s="33" t="s">
        <v>28</v>
      </c>
      <c r="H259" s="33" t="s">
        <v>24</v>
      </c>
      <c r="I259" s="25" t="n">
        <v>0</v>
      </c>
      <c r="J259" s="25" t="n">
        <v>0</v>
      </c>
      <c r="K259" s="25" t="n">
        <v>0</v>
      </c>
      <c r="L259" s="29" t="n">
        <v>0.74</v>
      </c>
      <c r="M259" s="30" t="n">
        <v>16.15</v>
      </c>
      <c r="N259" s="29" t="n">
        <v>0</v>
      </c>
      <c r="O259" s="25" t="n">
        <v>185</v>
      </c>
      <c r="P259" s="30" t="n">
        <v>5.18</v>
      </c>
      <c r="Q259" s="27"/>
      <c r="R259" s="27"/>
    </row>
    <row r="260" customFormat="false" ht="15" hidden="false" customHeight="false" outlineLevel="0" collapsed="false">
      <c r="A260" s="25" t="n">
        <f aca="false">IF(G260="REJECT",COUNTIF($G$2:$G$2277,"&lt;&gt;REJECT")+1+COUNTIFS($G$2:$G$2277,"REJECT",$B$2:$B$2277,"&gt;"&amp;B260),1+COUNTIFS($G$2:$G$2277,"&lt;&gt;REJECT",$B$2:$B$2277,"&gt;"&amp;B260))</f>
        <v>258</v>
      </c>
      <c r="B260" s="26" t="n">
        <f aca="false">ROUND(($U$2*MAX(0,MIN(1,($W$2-I260)/($W$2-$V$2)))+$U$3*MAX(0,MIN(1,($W$3-J260)/($W$3-$V$3)))+$U$4*MAX(0,MIN(1,($W$4-K260)/($W$4-$V$4)))+$U$5*MAX(0,MIN(1,($W$5-L260)/($W$5-$V$5)))+$U$6*MAX(0,MIN(1,($W$6-M260)/($W$6-$V$6)))+$U$7*MAX(0,MIN(1,($W$7-N260)/($W$7-$V$7)))+$U$8*IF(AND(O260&gt;=$V$8,O260&lt;=$W$8),1,0))/$U$9*100,2)</f>
        <v>93.71</v>
      </c>
      <c r="C260" s="27" t="s">
        <v>1982</v>
      </c>
      <c r="D260" s="25" t="s">
        <v>134</v>
      </c>
      <c r="E260" s="25" t="s">
        <v>3447</v>
      </c>
      <c r="F260" s="25" t="s">
        <v>3457</v>
      </c>
      <c r="G260" s="33" t="s">
        <v>28</v>
      </c>
      <c r="H260" s="33" t="s">
        <v>24</v>
      </c>
      <c r="I260" s="25" t="n">
        <v>0</v>
      </c>
      <c r="J260" s="25" t="n">
        <v>0</v>
      </c>
      <c r="K260" s="25" t="n">
        <v>0</v>
      </c>
      <c r="L260" s="29" t="n">
        <v>0.73</v>
      </c>
      <c r="M260" s="30" t="n">
        <v>12.54</v>
      </c>
      <c r="N260" s="29" t="n">
        <v>0</v>
      </c>
      <c r="O260" s="25" t="n">
        <v>183</v>
      </c>
      <c r="P260" s="30" t="n">
        <v>3.71</v>
      </c>
      <c r="Q260" s="27"/>
      <c r="R260" s="27"/>
    </row>
    <row r="261" customFormat="false" ht="15" hidden="false" customHeight="false" outlineLevel="0" collapsed="false">
      <c r="A261" s="25" t="n">
        <f aca="false">IF(G261="REJECT",COUNTIF($G$2:$G$2277,"&lt;&gt;REJECT")+1+COUNTIFS($G$2:$G$2277,"REJECT",$B$2:$B$2277,"&gt;"&amp;B261),1+COUNTIFS($G$2:$G$2277,"&lt;&gt;REJECT",$B$2:$B$2277,"&gt;"&amp;B261))</f>
        <v>258</v>
      </c>
      <c r="B261" s="26" t="n">
        <f aca="false">ROUND(($U$2*MAX(0,MIN(1,($W$2-I261)/($W$2-$V$2)))+$U$3*MAX(0,MIN(1,($W$3-J261)/($W$3-$V$3)))+$U$4*MAX(0,MIN(1,($W$4-K261)/($W$4-$V$4)))+$U$5*MAX(0,MIN(1,($W$5-L261)/($W$5-$V$5)))+$U$6*MAX(0,MIN(1,($W$6-M261)/($W$6-$V$6)))+$U$7*MAX(0,MIN(1,($W$7-N261)/($W$7-$V$7)))+$U$8*IF(AND(O261&gt;=$V$8,O261&lt;=$W$8),1,0))/$U$9*100,2)</f>
        <v>93.71</v>
      </c>
      <c r="C261" s="27" t="s">
        <v>2993</v>
      </c>
      <c r="D261" s="25" t="s">
        <v>134</v>
      </c>
      <c r="E261" s="25" t="s">
        <v>3450</v>
      </c>
      <c r="F261" s="25" t="s">
        <v>3448</v>
      </c>
      <c r="G261" s="28" t="s">
        <v>29</v>
      </c>
      <c r="H261" s="28" t="s">
        <v>25</v>
      </c>
      <c r="I261" s="25" t="n">
        <v>0</v>
      </c>
      <c r="J261" s="25" t="n">
        <v>0</v>
      </c>
      <c r="K261" s="25" t="n">
        <v>0</v>
      </c>
      <c r="L261" s="29" t="n">
        <v>0.76</v>
      </c>
      <c r="M261" s="30" t="n">
        <v>23.34</v>
      </c>
      <c r="N261" s="29" t="n">
        <v>0</v>
      </c>
      <c r="O261" s="25" t="n">
        <v>198</v>
      </c>
      <c r="P261" s="30" t="n">
        <v>9.97</v>
      </c>
      <c r="Q261" s="27"/>
      <c r="R261" s="27" t="s">
        <v>61</v>
      </c>
    </row>
    <row r="262" customFormat="false" ht="15" hidden="false" customHeight="false" outlineLevel="0" collapsed="false">
      <c r="A262" s="25" t="n">
        <f aca="false">IF(G262="REJECT",COUNTIF($G$2:$G$2277,"&lt;&gt;REJECT")+1+COUNTIFS($G$2:$G$2277,"REJECT",$B$2:$B$2277,"&gt;"&amp;B262),1+COUNTIFS($G$2:$G$2277,"&lt;&gt;REJECT",$B$2:$B$2277,"&gt;"&amp;B262))</f>
        <v>258</v>
      </c>
      <c r="B262" s="26" t="n">
        <f aca="false">ROUND(($U$2*MAX(0,MIN(1,($W$2-I262)/($W$2-$V$2)))+$U$3*MAX(0,MIN(1,($W$3-J262)/($W$3-$V$3)))+$U$4*MAX(0,MIN(1,($W$4-K262)/($W$4-$V$4)))+$U$5*MAX(0,MIN(1,($W$5-L262)/($W$5-$V$5)))+$U$6*MAX(0,MIN(1,($W$6-M262)/($W$6-$V$6)))+$U$7*MAX(0,MIN(1,($W$7-N262)/($W$7-$V$7)))+$U$8*IF(AND(O262&gt;=$V$8,O262&lt;=$W$8),1,0))/$U$9*100,2)</f>
        <v>93.71</v>
      </c>
      <c r="C262" s="27" t="s">
        <v>3216</v>
      </c>
      <c r="D262" s="25" t="s">
        <v>3459</v>
      </c>
      <c r="E262" s="25" t="s">
        <v>3450</v>
      </c>
      <c r="F262" s="25" t="s">
        <v>3448</v>
      </c>
      <c r="G262" s="28" t="s">
        <v>29</v>
      </c>
      <c r="H262" s="28" t="s">
        <v>25</v>
      </c>
      <c r="I262" s="25" t="n">
        <v>0</v>
      </c>
      <c r="J262" s="25" t="n">
        <v>0</v>
      </c>
      <c r="K262" s="25" t="n">
        <v>0</v>
      </c>
      <c r="L262" s="29" t="n">
        <v>0.77</v>
      </c>
      <c r="M262" s="30" t="n">
        <v>20.57</v>
      </c>
      <c r="N262" s="29" t="n">
        <v>0.64</v>
      </c>
      <c r="O262" s="25" t="n">
        <v>182</v>
      </c>
      <c r="P262" s="30" t="n">
        <v>-0.75</v>
      </c>
      <c r="Q262" s="27"/>
      <c r="R262" s="27" t="s">
        <v>3113</v>
      </c>
    </row>
    <row r="263" customFormat="false" ht="15" hidden="false" customHeight="false" outlineLevel="0" collapsed="false">
      <c r="A263" s="25" t="n">
        <f aca="false">IF(G263="REJECT",COUNTIF($G$2:$G$2277,"&lt;&gt;REJECT")+1+COUNTIFS($G$2:$G$2277,"REJECT",$B$2:$B$2277,"&gt;"&amp;B263),1+COUNTIFS($G$2:$G$2277,"&lt;&gt;REJECT",$B$2:$B$2277,"&gt;"&amp;B263))</f>
        <v>262</v>
      </c>
      <c r="B263" s="26" t="n">
        <f aca="false">ROUND(($U$2*MAX(0,MIN(1,($W$2-I263)/($W$2-$V$2)))+$U$3*MAX(0,MIN(1,($W$3-J263)/($W$3-$V$3)))+$U$4*MAX(0,MIN(1,($W$4-K263)/($W$4-$V$4)))+$U$5*MAX(0,MIN(1,($W$5-L263)/($W$5-$V$5)))+$U$6*MAX(0,MIN(1,($W$6-M263)/($W$6-$V$6)))+$U$7*MAX(0,MIN(1,($W$7-N263)/($W$7-$V$7)))+$U$8*IF(AND(O263&gt;=$V$8,O263&lt;=$W$8),1,0))/$U$9*100,2)</f>
        <v>93.67</v>
      </c>
      <c r="C263" s="27" t="s">
        <v>1848</v>
      </c>
      <c r="D263" s="25" t="s">
        <v>134</v>
      </c>
      <c r="E263" s="25" t="s">
        <v>3447</v>
      </c>
      <c r="F263" s="25" t="s">
        <v>3457</v>
      </c>
      <c r="G263" s="28" t="s">
        <v>29</v>
      </c>
      <c r="H263" s="28" t="s">
        <v>25</v>
      </c>
      <c r="I263" s="25" t="n">
        <v>0</v>
      </c>
      <c r="J263" s="25" t="n">
        <v>0</v>
      </c>
      <c r="K263" s="25" t="n">
        <v>0</v>
      </c>
      <c r="L263" s="29" t="n">
        <v>0.75</v>
      </c>
      <c r="M263" s="30" t="n">
        <v>15.96</v>
      </c>
      <c r="N263" s="29" t="n">
        <v>0.4</v>
      </c>
      <c r="O263" s="25" t="n">
        <v>184</v>
      </c>
      <c r="P263" s="30" t="n">
        <v>-1.29</v>
      </c>
      <c r="Q263" s="27"/>
      <c r="R263" s="27" t="s">
        <v>64</v>
      </c>
    </row>
    <row r="264" customFormat="false" ht="15" hidden="false" customHeight="false" outlineLevel="0" collapsed="false">
      <c r="A264" s="25" t="n">
        <f aca="false">IF(G264="REJECT",COUNTIF($G$2:$G$2277,"&lt;&gt;REJECT")+1+COUNTIFS($G$2:$G$2277,"REJECT",$B$2:$B$2277,"&gt;"&amp;B264),1+COUNTIFS($G$2:$G$2277,"&lt;&gt;REJECT",$B$2:$B$2277,"&gt;"&amp;B264))</f>
        <v>263</v>
      </c>
      <c r="B264" s="26" t="n">
        <f aca="false">ROUND(($U$2*MAX(0,MIN(1,($W$2-I264)/($W$2-$V$2)))+$U$3*MAX(0,MIN(1,($W$3-J264)/($W$3-$V$3)))+$U$4*MAX(0,MIN(1,($W$4-K264)/($W$4-$V$4)))+$U$5*MAX(0,MIN(1,($W$5-L264)/($W$5-$V$5)))+$U$6*MAX(0,MIN(1,($W$6-M264)/($W$6-$V$6)))+$U$7*MAX(0,MIN(1,($W$7-N264)/($W$7-$V$7)))+$U$8*IF(AND(O264&gt;=$V$8,O264&lt;=$W$8),1,0))/$U$9*100,2)</f>
        <v>93.66</v>
      </c>
      <c r="C264" s="27" t="s">
        <v>1203</v>
      </c>
      <c r="D264" s="25" t="s">
        <v>3459</v>
      </c>
      <c r="E264" s="25" t="s">
        <v>3447</v>
      </c>
      <c r="F264" s="25" t="s">
        <v>3448</v>
      </c>
      <c r="G264" s="28" t="s">
        <v>29</v>
      </c>
      <c r="H264" s="28" t="s">
        <v>25</v>
      </c>
      <c r="I264" s="25" t="n">
        <v>0</v>
      </c>
      <c r="J264" s="25" t="n">
        <v>0</v>
      </c>
      <c r="K264" s="25" t="n">
        <v>0</v>
      </c>
      <c r="L264" s="29" t="n">
        <v>0.72</v>
      </c>
      <c r="M264" s="30" t="n">
        <v>0.46</v>
      </c>
      <c r="N264" s="29" t="n">
        <v>0.88</v>
      </c>
      <c r="O264" s="25" t="n">
        <v>184</v>
      </c>
      <c r="P264" s="30" t="n">
        <v>-0.93</v>
      </c>
      <c r="Q264" s="27"/>
      <c r="R264" s="27" t="s">
        <v>64</v>
      </c>
    </row>
    <row r="265" customFormat="false" ht="15" hidden="false" customHeight="false" outlineLevel="0" collapsed="false">
      <c r="A265" s="25" t="n">
        <f aca="false">IF(G265="REJECT",COUNTIF($G$2:$G$2277,"&lt;&gt;REJECT")+1+COUNTIFS($G$2:$G$2277,"REJECT",$B$2:$B$2277,"&gt;"&amp;B265),1+COUNTIFS($G$2:$G$2277,"&lt;&gt;REJECT",$B$2:$B$2277,"&gt;"&amp;B265))</f>
        <v>264</v>
      </c>
      <c r="B265" s="26" t="n">
        <f aca="false">ROUND(($U$2*MAX(0,MIN(1,($W$2-I265)/($W$2-$V$2)))+$U$3*MAX(0,MIN(1,($W$3-J265)/($W$3-$V$3)))+$U$4*MAX(0,MIN(1,($W$4-K265)/($W$4-$V$4)))+$U$5*MAX(0,MIN(1,($W$5-L265)/($W$5-$V$5)))+$U$6*MAX(0,MIN(1,($W$6-M265)/($W$6-$V$6)))+$U$7*MAX(0,MIN(1,($W$7-N265)/($W$7-$V$7)))+$U$8*IF(AND(O265&gt;=$V$8,O265&lt;=$W$8),1,0))/$U$9*100,2)</f>
        <v>93.65</v>
      </c>
      <c r="C265" s="27" t="s">
        <v>2494</v>
      </c>
      <c r="D265" s="25" t="s">
        <v>134</v>
      </c>
      <c r="E265" s="25" t="s">
        <v>3450</v>
      </c>
      <c r="F265" s="25" t="s">
        <v>3448</v>
      </c>
      <c r="G265" s="28" t="s">
        <v>29</v>
      </c>
      <c r="H265" s="28" t="s">
        <v>25</v>
      </c>
      <c r="I265" s="25" t="n">
        <v>0</v>
      </c>
      <c r="J265" s="25" t="n">
        <v>0</v>
      </c>
      <c r="K265" s="25" t="n">
        <v>0</v>
      </c>
      <c r="L265" s="29" t="n">
        <v>0.78</v>
      </c>
      <c r="M265" s="30" t="n">
        <v>29.32</v>
      </c>
      <c r="N265" s="29" t="n">
        <v>0.16</v>
      </c>
      <c r="O265" s="25" t="n">
        <v>181</v>
      </c>
      <c r="P265" s="30" t="n">
        <v>5.23</v>
      </c>
      <c r="Q265" s="27"/>
      <c r="R265" s="27" t="s">
        <v>61</v>
      </c>
    </row>
    <row r="266" customFormat="false" ht="15" hidden="false" customHeight="false" outlineLevel="0" collapsed="false">
      <c r="A266" s="25" t="n">
        <f aca="false">IF(G266="REJECT",COUNTIF($G$2:$G$2277,"&lt;&gt;REJECT")+1+COUNTIFS($G$2:$G$2277,"REJECT",$B$2:$B$2277,"&gt;"&amp;B266),1+COUNTIFS($G$2:$G$2277,"&lt;&gt;REJECT",$B$2:$B$2277,"&gt;"&amp;B266))</f>
        <v>265</v>
      </c>
      <c r="B266" s="26" t="n">
        <f aca="false">ROUND(($U$2*MAX(0,MIN(1,($W$2-I266)/($W$2-$V$2)))+$U$3*MAX(0,MIN(1,($W$3-J266)/($W$3-$V$3)))+$U$4*MAX(0,MIN(1,($W$4-K266)/($W$4-$V$4)))+$U$5*MAX(0,MIN(1,($W$5-L266)/($W$5-$V$5)))+$U$6*MAX(0,MIN(1,($W$6-M266)/($W$6-$V$6)))+$U$7*MAX(0,MIN(1,($W$7-N266)/($W$7-$V$7)))+$U$8*IF(AND(O266&gt;=$V$8,O266&lt;=$W$8),1,0))/$U$9*100,2)</f>
        <v>93.63</v>
      </c>
      <c r="C266" s="27" t="s">
        <v>1553</v>
      </c>
      <c r="D266" s="25" t="s">
        <v>134</v>
      </c>
      <c r="E266" s="25" t="s">
        <v>3447</v>
      </c>
      <c r="F266" s="25" t="s">
        <v>3448</v>
      </c>
      <c r="G266" s="33" t="s">
        <v>28</v>
      </c>
      <c r="H266" s="33" t="s">
        <v>24</v>
      </c>
      <c r="I266" s="25" t="n">
        <v>0</v>
      </c>
      <c r="J266" s="25" t="n">
        <v>0</v>
      </c>
      <c r="K266" s="25" t="n">
        <v>0</v>
      </c>
      <c r="L266" s="29" t="n">
        <v>0.75</v>
      </c>
      <c r="M266" s="30" t="n">
        <v>12.65</v>
      </c>
      <c r="N266" s="29" t="n">
        <v>0.76</v>
      </c>
      <c r="O266" s="25" t="n">
        <v>191</v>
      </c>
      <c r="P266" s="30" t="n">
        <v>4.7</v>
      </c>
      <c r="Q266" s="27"/>
      <c r="R266" s="27"/>
    </row>
    <row r="267" customFormat="false" ht="15" hidden="false" customHeight="false" outlineLevel="0" collapsed="false">
      <c r="A267" s="25" t="n">
        <f aca="false">IF(G267="REJECT",COUNTIF($G$2:$G$2277,"&lt;&gt;REJECT")+1+COUNTIFS($G$2:$G$2277,"REJECT",$B$2:$B$2277,"&gt;"&amp;B267),1+COUNTIFS($G$2:$G$2277,"&lt;&gt;REJECT",$B$2:$B$2277,"&gt;"&amp;B267))</f>
        <v>266</v>
      </c>
      <c r="B267" s="26" t="n">
        <f aca="false">ROUND(($U$2*MAX(0,MIN(1,($W$2-I267)/($W$2-$V$2)))+$U$3*MAX(0,MIN(1,($W$3-J267)/($W$3-$V$3)))+$U$4*MAX(0,MIN(1,($W$4-K267)/($W$4-$V$4)))+$U$5*MAX(0,MIN(1,($W$5-L267)/($W$5-$V$5)))+$U$6*MAX(0,MIN(1,($W$6-M267)/($W$6-$V$6)))+$U$7*MAX(0,MIN(1,($W$7-N267)/($W$7-$V$7)))+$U$8*IF(AND(O267&gt;=$V$8,O267&lt;=$W$8),1,0))/$U$9*100,2)</f>
        <v>93.6</v>
      </c>
      <c r="C267" s="27" t="s">
        <v>480</v>
      </c>
      <c r="D267" s="25" t="s">
        <v>134</v>
      </c>
      <c r="E267" s="25" t="s">
        <v>3447</v>
      </c>
      <c r="F267" s="25" t="s">
        <v>3457</v>
      </c>
      <c r="G267" s="33" t="s">
        <v>28</v>
      </c>
      <c r="H267" s="33" t="s">
        <v>24</v>
      </c>
      <c r="I267" s="25" t="n">
        <v>0</v>
      </c>
      <c r="J267" s="25" t="n">
        <v>0</v>
      </c>
      <c r="K267" s="25" t="n">
        <v>0</v>
      </c>
      <c r="L267" s="29" t="n">
        <v>0.72</v>
      </c>
      <c r="M267" s="30" t="n">
        <v>4.03</v>
      </c>
      <c r="N267" s="29" t="n">
        <v>0.56</v>
      </c>
      <c r="O267" s="25" t="n">
        <v>185</v>
      </c>
      <c r="P267" s="30" t="n">
        <v>0.74</v>
      </c>
      <c r="Q267" s="27"/>
      <c r="R267" s="27"/>
    </row>
    <row r="268" customFormat="false" ht="15" hidden="false" customHeight="false" outlineLevel="0" collapsed="false">
      <c r="A268" s="25" t="n">
        <f aca="false">IF(G268="REJECT",COUNTIF($G$2:$G$2277,"&lt;&gt;REJECT")+1+COUNTIFS($G$2:$G$2277,"REJECT",$B$2:$B$2277,"&gt;"&amp;B268),1+COUNTIFS($G$2:$G$2277,"&lt;&gt;REJECT",$B$2:$B$2277,"&gt;"&amp;B268))</f>
        <v>267</v>
      </c>
      <c r="B268" s="26" t="n">
        <f aca="false">ROUND(($U$2*MAX(0,MIN(1,($W$2-I268)/($W$2-$V$2)))+$U$3*MAX(0,MIN(1,($W$3-J268)/($W$3-$V$3)))+$U$4*MAX(0,MIN(1,($W$4-K268)/($W$4-$V$4)))+$U$5*MAX(0,MIN(1,($W$5-L268)/($W$5-$V$5)))+$U$6*MAX(0,MIN(1,($W$6-M268)/($W$6-$V$6)))+$U$7*MAX(0,MIN(1,($W$7-N268)/($W$7-$V$7)))+$U$8*IF(AND(O268&gt;=$V$8,O268&lt;=$W$8),1,0))/$U$9*100,2)</f>
        <v>93.59</v>
      </c>
      <c r="C268" s="27" t="s">
        <v>500</v>
      </c>
      <c r="D268" s="25" t="s">
        <v>134</v>
      </c>
      <c r="E268" s="25" t="s">
        <v>3450</v>
      </c>
      <c r="F268" s="25" t="s">
        <v>3457</v>
      </c>
      <c r="G268" s="28" t="s">
        <v>29</v>
      </c>
      <c r="H268" s="28" t="s">
        <v>25</v>
      </c>
      <c r="I268" s="25" t="n">
        <v>0</v>
      </c>
      <c r="J268" s="25" t="n">
        <v>0</v>
      </c>
      <c r="K268" s="25" t="n">
        <v>0</v>
      </c>
      <c r="L268" s="29" t="n">
        <v>0.77</v>
      </c>
      <c r="M268" s="30" t="n">
        <v>20.84</v>
      </c>
      <c r="N268" s="29" t="n">
        <v>0.68</v>
      </c>
      <c r="O268" s="25" t="n">
        <v>182</v>
      </c>
      <c r="P268" s="30" t="n">
        <v>-0.17</v>
      </c>
      <c r="Q268" s="27"/>
      <c r="R268" s="27" t="s">
        <v>3113</v>
      </c>
    </row>
    <row r="269" customFormat="false" ht="15" hidden="false" customHeight="false" outlineLevel="0" collapsed="false">
      <c r="A269" s="25" t="n">
        <f aca="false">IF(G269="REJECT",COUNTIF($G$2:$G$2277,"&lt;&gt;REJECT")+1+COUNTIFS($G$2:$G$2277,"REJECT",$B$2:$B$2277,"&gt;"&amp;B269),1+COUNTIFS($G$2:$G$2277,"&lt;&gt;REJECT",$B$2:$B$2277,"&gt;"&amp;B269))</f>
        <v>267</v>
      </c>
      <c r="B269" s="26" t="n">
        <f aca="false">ROUND(($U$2*MAX(0,MIN(1,($W$2-I269)/($W$2-$V$2)))+$U$3*MAX(0,MIN(1,($W$3-J269)/($W$3-$V$3)))+$U$4*MAX(0,MIN(1,($W$4-K269)/($W$4-$V$4)))+$U$5*MAX(0,MIN(1,($W$5-L269)/($W$5-$V$5)))+$U$6*MAX(0,MIN(1,($W$6-M269)/($W$6-$V$6)))+$U$7*MAX(0,MIN(1,($W$7-N269)/($W$7-$V$7)))+$U$8*IF(AND(O269&gt;=$V$8,O269&lt;=$W$8),1,0))/$U$9*100,2)</f>
        <v>93.59</v>
      </c>
      <c r="C269" s="27" t="s">
        <v>2993</v>
      </c>
      <c r="D269" s="25" t="s">
        <v>3459</v>
      </c>
      <c r="E269" s="25" t="s">
        <v>3450</v>
      </c>
      <c r="F269" s="25" t="s">
        <v>3448</v>
      </c>
      <c r="G269" s="28" t="s">
        <v>29</v>
      </c>
      <c r="H269" s="28" t="s">
        <v>25</v>
      </c>
      <c r="I269" s="25" t="n">
        <v>0</v>
      </c>
      <c r="J269" s="25" t="n">
        <v>0</v>
      </c>
      <c r="K269" s="25" t="n">
        <v>0</v>
      </c>
      <c r="L269" s="29" t="n">
        <v>0.78</v>
      </c>
      <c r="M269" s="30" t="n">
        <v>21.69</v>
      </c>
      <c r="N269" s="29" t="n">
        <v>0.96</v>
      </c>
      <c r="O269" s="25" t="n">
        <v>223</v>
      </c>
      <c r="P269" s="30" t="n">
        <v>11.55</v>
      </c>
      <c r="Q269" s="27"/>
      <c r="R269" s="27" t="s">
        <v>61</v>
      </c>
    </row>
    <row r="270" customFormat="false" ht="15" hidden="false" customHeight="false" outlineLevel="0" collapsed="false">
      <c r="A270" s="25" t="n">
        <f aca="false">IF(G270="REJECT",COUNTIF($G$2:$G$2277,"&lt;&gt;REJECT")+1+COUNTIFS($G$2:$G$2277,"REJECT",$B$2:$B$2277,"&gt;"&amp;B270),1+COUNTIFS($G$2:$G$2277,"&lt;&gt;REJECT",$B$2:$B$2277,"&gt;"&amp;B270))</f>
        <v>269</v>
      </c>
      <c r="B270" s="26" t="n">
        <f aca="false">ROUND(($U$2*MAX(0,MIN(1,($W$2-I270)/($W$2-$V$2)))+$U$3*MAX(0,MIN(1,($W$3-J270)/($W$3-$V$3)))+$U$4*MAX(0,MIN(1,($W$4-K270)/($W$4-$V$4)))+$U$5*MAX(0,MIN(1,($W$5-L270)/($W$5-$V$5)))+$U$6*MAX(0,MIN(1,($W$6-M270)/($W$6-$V$6)))+$U$7*MAX(0,MIN(1,($W$7-N270)/($W$7-$V$7)))+$U$8*IF(AND(O270&gt;=$V$8,O270&lt;=$W$8),1,0))/$U$9*100,2)</f>
        <v>93.58</v>
      </c>
      <c r="C270" s="27" t="s">
        <v>354</v>
      </c>
      <c r="D270" s="25" t="s">
        <v>3459</v>
      </c>
      <c r="E270" s="25" t="s">
        <v>3450</v>
      </c>
      <c r="F270" s="25" t="s">
        <v>3457</v>
      </c>
      <c r="G270" s="28" t="s">
        <v>29</v>
      </c>
      <c r="H270" s="28" t="s">
        <v>25</v>
      </c>
      <c r="I270" s="25" t="n">
        <v>0</v>
      </c>
      <c r="J270" s="25" t="n">
        <v>0</v>
      </c>
      <c r="K270" s="25" t="n">
        <v>0</v>
      </c>
      <c r="L270" s="29" t="n">
        <v>0.75</v>
      </c>
      <c r="M270" s="30" t="n">
        <v>15.32</v>
      </c>
      <c r="N270" s="29" t="n">
        <v>0.52</v>
      </c>
      <c r="O270" s="25" t="n">
        <v>183</v>
      </c>
      <c r="P270" s="30" t="n">
        <v>-1.96</v>
      </c>
      <c r="Q270" s="27"/>
      <c r="R270" s="27" t="s">
        <v>3466</v>
      </c>
    </row>
    <row r="271" customFormat="false" ht="15" hidden="false" customHeight="false" outlineLevel="0" collapsed="false">
      <c r="A271" s="25" t="n">
        <f aca="false">IF(G271="REJECT",COUNTIF($G$2:$G$2277,"&lt;&gt;REJECT")+1+COUNTIFS($G$2:$G$2277,"REJECT",$B$2:$B$2277,"&gt;"&amp;B271),1+COUNTIFS($G$2:$G$2277,"&lt;&gt;REJECT",$B$2:$B$2277,"&gt;"&amp;B271))</f>
        <v>269</v>
      </c>
      <c r="B271" s="26" t="n">
        <f aca="false">ROUND(($U$2*MAX(0,MIN(1,($W$2-I271)/($W$2-$V$2)))+$U$3*MAX(0,MIN(1,($W$3-J271)/($W$3-$V$3)))+$U$4*MAX(0,MIN(1,($W$4-K271)/($W$4-$V$4)))+$U$5*MAX(0,MIN(1,($W$5-L271)/($W$5-$V$5)))+$U$6*MAX(0,MIN(1,($W$6-M271)/($W$6-$V$6)))+$U$7*MAX(0,MIN(1,($W$7-N271)/($W$7-$V$7)))+$U$8*IF(AND(O271&gt;=$V$8,O271&lt;=$W$8),1,0))/$U$9*100,2)</f>
        <v>93.58</v>
      </c>
      <c r="C271" s="27" t="s">
        <v>1527</v>
      </c>
      <c r="D271" s="25" t="s">
        <v>134</v>
      </c>
      <c r="E271" s="25" t="s">
        <v>3447</v>
      </c>
      <c r="F271" s="25" t="s">
        <v>3457</v>
      </c>
      <c r="G271" s="28" t="s">
        <v>29</v>
      </c>
      <c r="H271" s="28" t="s">
        <v>25</v>
      </c>
      <c r="I271" s="25" t="n">
        <v>0</v>
      </c>
      <c r="J271" s="25" t="n">
        <v>0</v>
      </c>
      <c r="K271" s="25" t="n">
        <v>0</v>
      </c>
      <c r="L271" s="29" t="n">
        <v>0.76</v>
      </c>
      <c r="M271" s="30" t="n">
        <v>16.15</v>
      </c>
      <c r="N271" s="29" t="n">
        <v>0.8</v>
      </c>
      <c r="O271" s="25" t="n">
        <v>187</v>
      </c>
      <c r="P271" s="30" t="n">
        <v>6.42</v>
      </c>
      <c r="Q271" s="27"/>
      <c r="R271" s="27" t="s">
        <v>63</v>
      </c>
    </row>
    <row r="272" customFormat="false" ht="15" hidden="false" customHeight="false" outlineLevel="0" collapsed="false">
      <c r="A272" s="25" t="n">
        <f aca="false">IF(G272="REJECT",COUNTIF($G$2:$G$2277,"&lt;&gt;REJECT")+1+COUNTIFS($G$2:$G$2277,"REJECT",$B$2:$B$2277,"&gt;"&amp;B272),1+COUNTIFS($G$2:$G$2277,"&lt;&gt;REJECT",$B$2:$B$2277,"&gt;"&amp;B272))</f>
        <v>269</v>
      </c>
      <c r="B272" s="26" t="n">
        <f aca="false">ROUND(($U$2*MAX(0,MIN(1,($W$2-I272)/($W$2-$V$2)))+$U$3*MAX(0,MIN(1,($W$3-J272)/($W$3-$V$3)))+$U$4*MAX(0,MIN(1,($W$4-K272)/($W$4-$V$4)))+$U$5*MAX(0,MIN(1,($W$5-L272)/($W$5-$V$5)))+$U$6*MAX(0,MIN(1,($W$6-M272)/($W$6-$V$6)))+$U$7*MAX(0,MIN(1,($W$7-N272)/($W$7-$V$7)))+$U$8*IF(AND(O272&gt;=$V$8,O272&lt;=$W$8),1,0))/$U$9*100,2)</f>
        <v>93.58</v>
      </c>
      <c r="C272" s="27" t="s">
        <v>3001</v>
      </c>
      <c r="D272" s="25" t="s">
        <v>134</v>
      </c>
      <c r="E272" s="25" t="s">
        <v>3447</v>
      </c>
      <c r="F272" s="25" t="s">
        <v>3457</v>
      </c>
      <c r="G272" s="28" t="s">
        <v>29</v>
      </c>
      <c r="H272" s="28" t="s">
        <v>25</v>
      </c>
      <c r="I272" s="25" t="n">
        <v>0</v>
      </c>
      <c r="J272" s="25" t="n">
        <v>0</v>
      </c>
      <c r="K272" s="25" t="n">
        <v>0</v>
      </c>
      <c r="L272" s="29" t="n">
        <v>0.73</v>
      </c>
      <c r="M272" s="30" t="n">
        <v>5.71</v>
      </c>
      <c r="N272" s="29" t="n">
        <v>0.76</v>
      </c>
      <c r="O272" s="25" t="n">
        <v>186</v>
      </c>
      <c r="P272" s="30" t="n">
        <v>-1.04</v>
      </c>
      <c r="Q272" s="27"/>
      <c r="R272" s="27" t="s">
        <v>63</v>
      </c>
    </row>
    <row r="273" customFormat="false" ht="15" hidden="false" customHeight="false" outlineLevel="0" collapsed="false">
      <c r="A273" s="25" t="n">
        <f aca="false">IF(G273="REJECT",COUNTIF($G$2:$G$2277,"&lt;&gt;REJECT")+1+COUNTIFS($G$2:$G$2277,"REJECT",$B$2:$B$2277,"&gt;"&amp;B273),1+COUNTIFS($G$2:$G$2277,"&lt;&gt;REJECT",$B$2:$B$2277,"&gt;"&amp;B273))</f>
        <v>272</v>
      </c>
      <c r="B273" s="26" t="n">
        <f aca="false">ROUND(($U$2*MAX(0,MIN(1,($W$2-I273)/($W$2-$V$2)))+$U$3*MAX(0,MIN(1,($W$3-J273)/($W$3-$V$3)))+$U$4*MAX(0,MIN(1,($W$4-K273)/($W$4-$V$4)))+$U$5*MAX(0,MIN(1,($W$5-L273)/($W$5-$V$5)))+$U$6*MAX(0,MIN(1,($W$6-M273)/($W$6-$V$6)))+$U$7*MAX(0,MIN(1,($W$7-N273)/($W$7-$V$7)))+$U$8*IF(AND(O273&gt;=$V$8,O273&lt;=$W$8),1,0))/$U$9*100,2)</f>
        <v>93.54</v>
      </c>
      <c r="C273" s="27" t="s">
        <v>373</v>
      </c>
      <c r="D273" s="25" t="s">
        <v>134</v>
      </c>
      <c r="E273" s="25" t="s">
        <v>3447</v>
      </c>
      <c r="F273" s="25" t="s">
        <v>3457</v>
      </c>
      <c r="G273" s="28" t="s">
        <v>29</v>
      </c>
      <c r="H273" s="28" t="s">
        <v>25</v>
      </c>
      <c r="I273" s="25" t="n">
        <v>0</v>
      </c>
      <c r="J273" s="25" t="n">
        <v>0</v>
      </c>
      <c r="K273" s="25" t="n">
        <v>0</v>
      </c>
      <c r="L273" s="29" t="n">
        <v>0.73</v>
      </c>
      <c r="M273" s="30" t="n">
        <v>11.56</v>
      </c>
      <c r="N273" s="29" t="n">
        <v>0.2</v>
      </c>
      <c r="O273" s="25" t="n">
        <v>184</v>
      </c>
      <c r="P273" s="30" t="n">
        <v>8.15</v>
      </c>
      <c r="Q273" s="27"/>
      <c r="R273" s="27" t="s">
        <v>63</v>
      </c>
    </row>
    <row r="274" customFormat="false" ht="15" hidden="false" customHeight="false" outlineLevel="0" collapsed="false">
      <c r="A274" s="25" t="n">
        <f aca="false">IF(G274="REJECT",COUNTIF($G$2:$G$2277,"&lt;&gt;REJECT")+1+COUNTIFS($G$2:$G$2277,"REJECT",$B$2:$B$2277,"&gt;"&amp;B274),1+COUNTIFS($G$2:$G$2277,"&lt;&gt;REJECT",$B$2:$B$2277,"&gt;"&amp;B274))</f>
        <v>273</v>
      </c>
      <c r="B274" s="26" t="n">
        <f aca="false">ROUND(($U$2*MAX(0,MIN(1,($W$2-I274)/($W$2-$V$2)))+$U$3*MAX(0,MIN(1,($W$3-J274)/($W$3-$V$3)))+$U$4*MAX(0,MIN(1,($W$4-K274)/($W$4-$V$4)))+$U$5*MAX(0,MIN(1,($W$5-L274)/($W$5-$V$5)))+$U$6*MAX(0,MIN(1,($W$6-M274)/($W$6-$V$6)))+$U$7*MAX(0,MIN(1,($W$7-N274)/($W$7-$V$7)))+$U$8*IF(AND(O274&gt;=$V$8,O274&lt;=$W$8),1,0))/$U$9*100,2)</f>
        <v>93.52</v>
      </c>
      <c r="C274" s="27" t="s">
        <v>874</v>
      </c>
      <c r="D274" s="25" t="s">
        <v>134</v>
      </c>
      <c r="E274" s="25" t="s">
        <v>3447</v>
      </c>
      <c r="F274" s="25" t="s">
        <v>3457</v>
      </c>
      <c r="G274" s="28" t="s">
        <v>29</v>
      </c>
      <c r="H274" s="28" t="s">
        <v>25</v>
      </c>
      <c r="I274" s="25" t="n">
        <v>0</v>
      </c>
      <c r="J274" s="25" t="n">
        <v>0</v>
      </c>
      <c r="K274" s="25" t="n">
        <v>0</v>
      </c>
      <c r="L274" s="29" t="n">
        <v>0.72</v>
      </c>
      <c r="M274" s="30" t="n">
        <v>2.87</v>
      </c>
      <c r="N274" s="29" t="n">
        <v>0.72</v>
      </c>
      <c r="O274" s="25" t="n">
        <v>186</v>
      </c>
      <c r="P274" s="30" t="n">
        <v>-1.21</v>
      </c>
      <c r="Q274" s="27"/>
      <c r="R274" s="27" t="s">
        <v>64</v>
      </c>
    </row>
    <row r="275" customFormat="false" ht="15" hidden="false" customHeight="false" outlineLevel="0" collapsed="false">
      <c r="A275" s="25" t="n">
        <f aca="false">IF(G275="REJECT",COUNTIF($G$2:$G$2277,"&lt;&gt;REJECT")+1+COUNTIFS($G$2:$G$2277,"REJECT",$B$2:$B$2277,"&gt;"&amp;B275),1+COUNTIFS($G$2:$G$2277,"&lt;&gt;REJECT",$B$2:$B$2277,"&gt;"&amp;B275))</f>
        <v>274</v>
      </c>
      <c r="B275" s="26" t="n">
        <f aca="false">ROUND(($U$2*MAX(0,MIN(1,($W$2-I275)/($W$2-$V$2)))+$U$3*MAX(0,MIN(1,($W$3-J275)/($W$3-$V$3)))+$U$4*MAX(0,MIN(1,($W$4-K275)/($W$4-$V$4)))+$U$5*MAX(0,MIN(1,($W$5-L275)/($W$5-$V$5)))+$U$6*MAX(0,MIN(1,($W$6-M275)/($W$6-$V$6)))+$U$7*MAX(0,MIN(1,($W$7-N275)/($W$7-$V$7)))+$U$8*IF(AND(O275&gt;=$V$8,O275&lt;=$W$8),1,0))/$U$9*100,2)</f>
        <v>93.47</v>
      </c>
      <c r="C275" s="27" t="s">
        <v>1370</v>
      </c>
      <c r="D275" s="25" t="s">
        <v>134</v>
      </c>
      <c r="E275" s="25" t="s">
        <v>3450</v>
      </c>
      <c r="F275" s="25" t="s">
        <v>3457</v>
      </c>
      <c r="G275" s="28" t="s">
        <v>29</v>
      </c>
      <c r="H275" s="28" t="s">
        <v>25</v>
      </c>
      <c r="I275" s="25" t="n">
        <v>0</v>
      </c>
      <c r="J275" s="25" t="n">
        <v>0</v>
      </c>
      <c r="K275" s="25" t="n">
        <v>0</v>
      </c>
      <c r="L275" s="29" t="n">
        <v>0.76</v>
      </c>
      <c r="M275" s="30" t="n">
        <v>20.01</v>
      </c>
      <c r="N275" s="29" t="n">
        <v>0.48</v>
      </c>
      <c r="O275" s="25" t="n">
        <v>182</v>
      </c>
      <c r="P275" s="30" t="n">
        <v>12.7</v>
      </c>
      <c r="Q275" s="27"/>
      <c r="R275" s="27" t="s">
        <v>3470</v>
      </c>
    </row>
    <row r="276" customFormat="false" ht="15" hidden="false" customHeight="false" outlineLevel="0" collapsed="false">
      <c r="A276" s="25" t="n">
        <f aca="false">IF(G276="REJECT",COUNTIF($G$2:$G$2277,"&lt;&gt;REJECT")+1+COUNTIFS($G$2:$G$2277,"REJECT",$B$2:$B$2277,"&gt;"&amp;B276),1+COUNTIFS($G$2:$G$2277,"&lt;&gt;REJECT",$B$2:$B$2277,"&gt;"&amp;B276))</f>
        <v>274</v>
      </c>
      <c r="B276" s="26" t="n">
        <f aca="false">ROUND(($U$2*MAX(0,MIN(1,($W$2-I276)/($W$2-$V$2)))+$U$3*MAX(0,MIN(1,($W$3-J276)/($W$3-$V$3)))+$U$4*MAX(0,MIN(1,($W$4-K276)/($W$4-$V$4)))+$U$5*MAX(0,MIN(1,($W$5-L276)/($W$5-$V$5)))+$U$6*MAX(0,MIN(1,($W$6-M276)/($W$6-$V$6)))+$U$7*MAX(0,MIN(1,($W$7-N276)/($W$7-$V$7)))+$U$8*IF(AND(O276&gt;=$V$8,O276&lt;=$W$8),1,0))/$U$9*100,2)</f>
        <v>93.47</v>
      </c>
      <c r="C276" s="27" t="s">
        <v>1553</v>
      </c>
      <c r="D276" s="25" t="s">
        <v>134</v>
      </c>
      <c r="E276" s="25" t="s">
        <v>3450</v>
      </c>
      <c r="F276" s="25" t="s">
        <v>3457</v>
      </c>
      <c r="G276" s="28" t="s">
        <v>29</v>
      </c>
      <c r="H276" s="28" t="s">
        <v>25</v>
      </c>
      <c r="I276" s="25" t="n">
        <v>0</v>
      </c>
      <c r="J276" s="25" t="n">
        <v>0</v>
      </c>
      <c r="K276" s="25" t="n">
        <v>0</v>
      </c>
      <c r="L276" s="29" t="n">
        <v>0.73</v>
      </c>
      <c r="M276" s="30" t="n">
        <v>12.8</v>
      </c>
      <c r="N276" s="29" t="n">
        <v>0.12</v>
      </c>
      <c r="O276" s="25" t="n">
        <v>184</v>
      </c>
      <c r="P276" s="30" t="n">
        <v>5.27</v>
      </c>
      <c r="Q276" s="27"/>
      <c r="R276" s="27" t="s">
        <v>63</v>
      </c>
    </row>
    <row r="277" customFormat="false" ht="15" hidden="false" customHeight="false" outlineLevel="0" collapsed="false">
      <c r="A277" s="25" t="n">
        <f aca="false">IF(G277="REJECT",COUNTIF($G$2:$G$2277,"&lt;&gt;REJECT")+1+COUNTIFS($G$2:$G$2277,"REJECT",$B$2:$B$2277,"&gt;"&amp;B277),1+COUNTIFS($G$2:$G$2277,"&lt;&gt;REJECT",$B$2:$B$2277,"&gt;"&amp;B277))</f>
        <v>276</v>
      </c>
      <c r="B277" s="26" t="n">
        <f aca="false">ROUND(($U$2*MAX(0,MIN(1,($W$2-I277)/($W$2-$V$2)))+$U$3*MAX(0,MIN(1,($W$3-J277)/($W$3-$V$3)))+$U$4*MAX(0,MIN(1,($W$4-K277)/($W$4-$V$4)))+$U$5*MAX(0,MIN(1,($W$5-L277)/($W$5-$V$5)))+$U$6*MAX(0,MIN(1,($W$6-M277)/($W$6-$V$6)))+$U$7*MAX(0,MIN(1,($W$7-N277)/($W$7-$V$7)))+$U$8*IF(AND(O277&gt;=$V$8,O277&lt;=$W$8),1,0))/$U$9*100,2)</f>
        <v>93.44</v>
      </c>
      <c r="C277" s="27" t="s">
        <v>3029</v>
      </c>
      <c r="D277" s="25" t="s">
        <v>134</v>
      </c>
      <c r="E277" s="25" t="s">
        <v>3447</v>
      </c>
      <c r="F277" s="25" t="s">
        <v>3457</v>
      </c>
      <c r="G277" s="28" t="s">
        <v>29</v>
      </c>
      <c r="H277" s="28" t="s">
        <v>25</v>
      </c>
      <c r="I277" s="25" t="n">
        <v>0</v>
      </c>
      <c r="J277" s="25" t="n">
        <v>0</v>
      </c>
      <c r="K277" s="25" t="n">
        <v>0</v>
      </c>
      <c r="L277" s="29" t="n">
        <v>0.78</v>
      </c>
      <c r="M277" s="30" t="n">
        <v>24.15</v>
      </c>
      <c r="N277" s="29" t="n">
        <v>0.8</v>
      </c>
      <c r="O277" s="25" t="n">
        <v>185</v>
      </c>
      <c r="P277" s="30" t="n">
        <v>8.79</v>
      </c>
      <c r="Q277" s="27"/>
      <c r="R277" s="27" t="s">
        <v>61</v>
      </c>
    </row>
    <row r="278" customFormat="false" ht="15" hidden="false" customHeight="false" outlineLevel="0" collapsed="false">
      <c r="A278" s="25" t="n">
        <f aca="false">IF(G278="REJECT",COUNTIF($G$2:$G$2277,"&lt;&gt;REJECT")+1+COUNTIFS($G$2:$G$2277,"REJECT",$B$2:$B$2277,"&gt;"&amp;B278),1+COUNTIFS($G$2:$G$2277,"&lt;&gt;REJECT",$B$2:$B$2277,"&gt;"&amp;B278))</f>
        <v>277</v>
      </c>
      <c r="B278" s="26" t="n">
        <f aca="false">ROUND(($U$2*MAX(0,MIN(1,($W$2-I278)/($W$2-$V$2)))+$U$3*MAX(0,MIN(1,($W$3-J278)/($W$3-$V$3)))+$U$4*MAX(0,MIN(1,($W$4-K278)/($W$4-$V$4)))+$U$5*MAX(0,MIN(1,($W$5-L278)/($W$5-$V$5)))+$U$6*MAX(0,MIN(1,($W$6-M278)/($W$6-$V$6)))+$U$7*MAX(0,MIN(1,($W$7-N278)/($W$7-$V$7)))+$U$8*IF(AND(O278&gt;=$V$8,O278&lt;=$W$8),1,0))/$U$9*100,2)</f>
        <v>93.42</v>
      </c>
      <c r="C278" s="27" t="s">
        <v>2274</v>
      </c>
      <c r="D278" s="25" t="s">
        <v>134</v>
      </c>
      <c r="E278" s="25" t="s">
        <v>3450</v>
      </c>
      <c r="F278" s="25" t="s">
        <v>3448</v>
      </c>
      <c r="G278" s="33" t="s">
        <v>28</v>
      </c>
      <c r="H278" s="33" t="s">
        <v>24</v>
      </c>
      <c r="I278" s="25" t="n">
        <v>0</v>
      </c>
      <c r="J278" s="25" t="n">
        <v>0</v>
      </c>
      <c r="K278" s="25" t="n">
        <v>0</v>
      </c>
      <c r="L278" s="29" t="n">
        <v>0.73</v>
      </c>
      <c r="M278" s="30" t="n">
        <v>5.86</v>
      </c>
      <c r="N278" s="29" t="n">
        <v>0.84</v>
      </c>
      <c r="O278" s="25" t="n">
        <v>187</v>
      </c>
      <c r="P278" s="30" t="n">
        <v>6.45</v>
      </c>
      <c r="Q278" s="27"/>
      <c r="R278" s="27"/>
    </row>
    <row r="279" customFormat="false" ht="15" hidden="false" customHeight="false" outlineLevel="0" collapsed="false">
      <c r="A279" s="25" t="n">
        <f aca="false">IF(G279="REJECT",COUNTIF($G$2:$G$2277,"&lt;&gt;REJECT")+1+COUNTIFS($G$2:$G$2277,"REJECT",$B$2:$B$2277,"&gt;"&amp;B279),1+COUNTIFS($G$2:$G$2277,"&lt;&gt;REJECT",$B$2:$B$2277,"&gt;"&amp;B279))</f>
        <v>278</v>
      </c>
      <c r="B279" s="26" t="n">
        <f aca="false">ROUND(($U$2*MAX(0,MIN(1,($W$2-I279)/($W$2-$V$2)))+$U$3*MAX(0,MIN(1,($W$3-J279)/($W$3-$V$3)))+$U$4*MAX(0,MIN(1,($W$4-K279)/($W$4-$V$4)))+$U$5*MAX(0,MIN(1,($W$5-L279)/($W$5-$V$5)))+$U$6*MAX(0,MIN(1,($W$6-M279)/($W$6-$V$6)))+$U$7*MAX(0,MIN(1,($W$7-N279)/($W$7-$V$7)))+$U$8*IF(AND(O279&gt;=$V$8,O279&lt;=$W$8),1,0))/$U$9*100,2)</f>
        <v>93.35</v>
      </c>
      <c r="C279" s="27" t="s">
        <v>1918</v>
      </c>
      <c r="D279" s="25" t="s">
        <v>134</v>
      </c>
      <c r="E279" s="25" t="s">
        <v>3447</v>
      </c>
      <c r="F279" s="25" t="s">
        <v>3457</v>
      </c>
      <c r="G279" s="33" t="s">
        <v>28</v>
      </c>
      <c r="H279" s="33" t="s">
        <v>24</v>
      </c>
      <c r="I279" s="25" t="n">
        <v>0</v>
      </c>
      <c r="J279" s="25" t="n">
        <v>0</v>
      </c>
      <c r="K279" s="25" t="n">
        <v>0</v>
      </c>
      <c r="L279" s="29" t="n">
        <v>0.72</v>
      </c>
      <c r="M279" s="30" t="n">
        <v>5.08</v>
      </c>
      <c r="N279" s="29" t="n">
        <v>0.6</v>
      </c>
      <c r="O279" s="25" t="n">
        <v>183</v>
      </c>
      <c r="P279" s="30" t="n">
        <v>2.5</v>
      </c>
      <c r="Q279" s="27"/>
      <c r="R279" s="27"/>
    </row>
    <row r="280" customFormat="false" ht="15" hidden="false" customHeight="false" outlineLevel="0" collapsed="false">
      <c r="A280" s="25" t="n">
        <f aca="false">IF(G280="REJECT",COUNTIF($G$2:$G$2277,"&lt;&gt;REJECT")+1+COUNTIFS($G$2:$G$2277,"REJECT",$B$2:$B$2277,"&gt;"&amp;B280),1+COUNTIFS($G$2:$G$2277,"&lt;&gt;REJECT",$B$2:$B$2277,"&gt;"&amp;B280))</f>
        <v>278</v>
      </c>
      <c r="B280" s="26" t="n">
        <f aca="false">ROUND(($U$2*MAX(0,MIN(1,($W$2-I280)/($W$2-$V$2)))+$U$3*MAX(0,MIN(1,($W$3-J280)/($W$3-$V$3)))+$U$4*MAX(0,MIN(1,($W$4-K280)/($W$4-$V$4)))+$U$5*MAX(0,MIN(1,($W$5-L280)/($W$5-$V$5)))+$U$6*MAX(0,MIN(1,($W$6-M280)/($W$6-$V$6)))+$U$7*MAX(0,MIN(1,($W$7-N280)/($W$7-$V$7)))+$U$8*IF(AND(O280&gt;=$V$8,O280&lt;=$W$8),1,0))/$U$9*100,2)</f>
        <v>93.35</v>
      </c>
      <c r="C280" s="27" t="s">
        <v>2761</v>
      </c>
      <c r="D280" s="25" t="s">
        <v>3459</v>
      </c>
      <c r="E280" s="25" t="s">
        <v>3450</v>
      </c>
      <c r="F280" s="25" t="s">
        <v>3448</v>
      </c>
      <c r="G280" s="28" t="s">
        <v>29</v>
      </c>
      <c r="H280" s="28" t="s">
        <v>25</v>
      </c>
      <c r="I280" s="25" t="n">
        <v>0</v>
      </c>
      <c r="J280" s="25" t="n">
        <v>0</v>
      </c>
      <c r="K280" s="25" t="n">
        <v>0</v>
      </c>
      <c r="L280" s="29" t="n">
        <v>0.76</v>
      </c>
      <c r="M280" s="30" t="n">
        <v>20.29</v>
      </c>
      <c r="N280" s="29" t="n">
        <v>0.52</v>
      </c>
      <c r="O280" s="25" t="n">
        <v>184</v>
      </c>
      <c r="P280" s="30" t="n">
        <v>6.28</v>
      </c>
      <c r="Q280" s="27"/>
      <c r="R280" s="27" t="s">
        <v>61</v>
      </c>
    </row>
    <row r="281" customFormat="false" ht="15" hidden="false" customHeight="false" outlineLevel="0" collapsed="false">
      <c r="A281" s="25" t="n">
        <f aca="false">IF(G281="REJECT",COUNTIF($G$2:$G$2277,"&lt;&gt;REJECT")+1+COUNTIFS($G$2:$G$2277,"REJECT",$B$2:$B$2277,"&gt;"&amp;B281),1+COUNTIFS($G$2:$G$2277,"&lt;&gt;REJECT",$B$2:$B$2277,"&gt;"&amp;B281))</f>
        <v>280</v>
      </c>
      <c r="B281" s="26" t="n">
        <f aca="false">ROUND(($U$2*MAX(0,MIN(1,($W$2-I281)/($W$2-$V$2)))+$U$3*MAX(0,MIN(1,($W$3-J281)/($W$3-$V$3)))+$U$4*MAX(0,MIN(1,($W$4-K281)/($W$4-$V$4)))+$U$5*MAX(0,MIN(1,($W$5-L281)/($W$5-$V$5)))+$U$6*MAX(0,MIN(1,($W$6-M281)/($W$6-$V$6)))+$U$7*MAX(0,MIN(1,($W$7-N281)/($W$7-$V$7)))+$U$8*IF(AND(O281&gt;=$V$8,O281&lt;=$W$8),1,0))/$U$9*100,2)</f>
        <v>93.33</v>
      </c>
      <c r="C281" s="27" t="s">
        <v>2978</v>
      </c>
      <c r="D281" s="25" t="s">
        <v>134</v>
      </c>
      <c r="E281" s="25" t="s">
        <v>3447</v>
      </c>
      <c r="F281" s="25" t="s">
        <v>3457</v>
      </c>
      <c r="G281" s="28" t="s">
        <v>29</v>
      </c>
      <c r="H281" s="28" t="s">
        <v>25</v>
      </c>
      <c r="I281" s="25" t="n">
        <v>0</v>
      </c>
      <c r="J281" s="25" t="n">
        <v>0</v>
      </c>
      <c r="K281" s="25" t="n">
        <v>0</v>
      </c>
      <c r="L281" s="29" t="n">
        <v>0.77</v>
      </c>
      <c r="M281" s="30" t="n">
        <v>27.64</v>
      </c>
      <c r="N281" s="29" t="n">
        <v>0.16</v>
      </c>
      <c r="O281" s="25" t="n">
        <v>188</v>
      </c>
      <c r="P281" s="30" t="n">
        <v>-3.67</v>
      </c>
      <c r="Q281" s="27"/>
      <c r="R281" s="27" t="s">
        <v>61</v>
      </c>
    </row>
    <row r="282" customFormat="false" ht="15" hidden="false" customHeight="false" outlineLevel="0" collapsed="false">
      <c r="A282" s="25" t="n">
        <f aca="false">IF(G282="REJECT",COUNTIF($G$2:$G$2277,"&lt;&gt;REJECT")+1+COUNTIFS($G$2:$G$2277,"REJECT",$B$2:$B$2277,"&gt;"&amp;B282),1+COUNTIFS($G$2:$G$2277,"&lt;&gt;REJECT",$B$2:$B$2277,"&gt;"&amp;B282))</f>
        <v>281</v>
      </c>
      <c r="B282" s="26" t="n">
        <f aca="false">ROUND(($U$2*MAX(0,MIN(1,($W$2-I282)/($W$2-$V$2)))+$U$3*MAX(0,MIN(1,($W$3-J282)/($W$3-$V$3)))+$U$4*MAX(0,MIN(1,($W$4-K282)/($W$4-$V$4)))+$U$5*MAX(0,MIN(1,($W$5-L282)/($W$5-$V$5)))+$U$6*MAX(0,MIN(1,($W$6-M282)/($W$6-$V$6)))+$U$7*MAX(0,MIN(1,($W$7-N282)/($W$7-$V$7)))+$U$8*IF(AND(O282&gt;=$V$8,O282&lt;=$W$8),1,0))/$U$9*100,2)</f>
        <v>93.32</v>
      </c>
      <c r="C282" s="27" t="s">
        <v>323</v>
      </c>
      <c r="D282" s="25" t="s">
        <v>134</v>
      </c>
      <c r="E282" s="25" t="s">
        <v>3450</v>
      </c>
      <c r="F282" s="25" t="s">
        <v>3448</v>
      </c>
      <c r="G282" s="33" t="s">
        <v>28</v>
      </c>
      <c r="H282" s="33" t="s">
        <v>24</v>
      </c>
      <c r="I282" s="25" t="n">
        <v>0</v>
      </c>
      <c r="J282" s="25" t="n">
        <v>0</v>
      </c>
      <c r="K282" s="25" t="n">
        <v>0</v>
      </c>
      <c r="L282" s="29" t="n">
        <v>0.73</v>
      </c>
      <c r="M282" s="30" t="n">
        <v>12.91</v>
      </c>
      <c r="N282" s="29" t="n">
        <v>0.2</v>
      </c>
      <c r="O282" s="25" t="n">
        <v>182</v>
      </c>
      <c r="P282" s="30" t="n">
        <v>24.25</v>
      </c>
      <c r="Q282" s="27"/>
      <c r="R282" s="27"/>
    </row>
    <row r="283" customFormat="false" ht="15" hidden="false" customHeight="false" outlineLevel="0" collapsed="false">
      <c r="A283" s="25" t="n">
        <f aca="false">IF(G283="REJECT",COUNTIF($G$2:$G$2277,"&lt;&gt;REJECT")+1+COUNTIFS($G$2:$G$2277,"REJECT",$B$2:$B$2277,"&gt;"&amp;B283),1+COUNTIFS($G$2:$G$2277,"&lt;&gt;REJECT",$B$2:$B$2277,"&gt;"&amp;B283))</f>
        <v>281</v>
      </c>
      <c r="B283" s="26" t="n">
        <f aca="false">ROUND(($U$2*MAX(0,MIN(1,($W$2-I283)/($W$2-$V$2)))+$U$3*MAX(0,MIN(1,($W$3-J283)/($W$3-$V$3)))+$U$4*MAX(0,MIN(1,($W$4-K283)/($W$4-$V$4)))+$U$5*MAX(0,MIN(1,($W$5-L283)/($W$5-$V$5)))+$U$6*MAX(0,MIN(1,($W$6-M283)/($W$6-$V$6)))+$U$7*MAX(0,MIN(1,($W$7-N283)/($W$7-$V$7)))+$U$8*IF(AND(O283&gt;=$V$8,O283&lt;=$W$8),1,0))/$U$9*100,2)</f>
        <v>93.32</v>
      </c>
      <c r="C283" s="27" t="s">
        <v>2344</v>
      </c>
      <c r="D283" s="25" t="s">
        <v>134</v>
      </c>
      <c r="E283" s="25" t="s">
        <v>3447</v>
      </c>
      <c r="F283" s="25" t="s">
        <v>3457</v>
      </c>
      <c r="G283" s="33" t="s">
        <v>28</v>
      </c>
      <c r="H283" s="33" t="s">
        <v>24</v>
      </c>
      <c r="I283" s="25" t="n">
        <v>0</v>
      </c>
      <c r="J283" s="25" t="n">
        <v>0</v>
      </c>
      <c r="K283" s="25" t="n">
        <v>0</v>
      </c>
      <c r="L283" s="29" t="n">
        <v>0.75</v>
      </c>
      <c r="M283" s="30" t="n">
        <v>18.5</v>
      </c>
      <c r="N283" s="29" t="n">
        <v>0.36</v>
      </c>
      <c r="O283" s="25" t="n">
        <v>186</v>
      </c>
      <c r="P283" s="30" t="n">
        <v>2.02</v>
      </c>
      <c r="Q283" s="27"/>
      <c r="R283" s="27"/>
    </row>
    <row r="284" customFormat="false" ht="15" hidden="false" customHeight="false" outlineLevel="0" collapsed="false">
      <c r="A284" s="25" t="n">
        <f aca="false">IF(G284="REJECT",COUNTIF($G$2:$G$2277,"&lt;&gt;REJECT")+1+COUNTIFS($G$2:$G$2277,"REJECT",$B$2:$B$2277,"&gt;"&amp;B284),1+COUNTIFS($G$2:$G$2277,"&lt;&gt;REJECT",$B$2:$B$2277,"&gt;"&amp;B284))</f>
        <v>283</v>
      </c>
      <c r="B284" s="26" t="n">
        <f aca="false">ROUND(($U$2*MAX(0,MIN(1,($W$2-I284)/($W$2-$V$2)))+$U$3*MAX(0,MIN(1,($W$3-J284)/($W$3-$V$3)))+$U$4*MAX(0,MIN(1,($W$4-K284)/($W$4-$V$4)))+$U$5*MAX(0,MIN(1,($W$5-L284)/($W$5-$V$5)))+$U$6*MAX(0,MIN(1,($W$6-M284)/($W$6-$V$6)))+$U$7*MAX(0,MIN(1,($W$7-N284)/($W$7-$V$7)))+$U$8*IF(AND(O284&gt;=$V$8,O284&lt;=$W$8),1,0))/$U$9*100,2)</f>
        <v>93.31</v>
      </c>
      <c r="C284" s="27" t="s">
        <v>1334</v>
      </c>
      <c r="D284" s="25" t="s">
        <v>134</v>
      </c>
      <c r="E284" s="25" t="s">
        <v>3450</v>
      </c>
      <c r="F284" s="25" t="s">
        <v>3457</v>
      </c>
      <c r="G284" s="28" t="s">
        <v>29</v>
      </c>
      <c r="H284" s="28" t="s">
        <v>25</v>
      </c>
      <c r="I284" s="25" t="n">
        <v>0</v>
      </c>
      <c r="J284" s="25" t="n">
        <v>0</v>
      </c>
      <c r="K284" s="25" t="n">
        <v>0</v>
      </c>
      <c r="L284" s="29" t="n">
        <v>0.82</v>
      </c>
      <c r="M284" s="30" t="n">
        <v>5.37</v>
      </c>
      <c r="N284" s="29" t="n">
        <v>0.48</v>
      </c>
      <c r="O284" s="25" t="n">
        <v>281</v>
      </c>
      <c r="P284" s="30" t="n">
        <v>2.23</v>
      </c>
      <c r="Q284" s="27"/>
      <c r="R284" s="27" t="s">
        <v>3472</v>
      </c>
    </row>
    <row r="285" customFormat="false" ht="15" hidden="false" customHeight="false" outlineLevel="0" collapsed="false">
      <c r="A285" s="25" t="n">
        <f aca="false">IF(G285="REJECT",COUNTIF($G$2:$G$2277,"&lt;&gt;REJECT")+1+COUNTIFS($G$2:$G$2277,"REJECT",$B$2:$B$2277,"&gt;"&amp;B285),1+COUNTIFS($G$2:$G$2277,"&lt;&gt;REJECT",$B$2:$B$2277,"&gt;"&amp;B285))</f>
        <v>284</v>
      </c>
      <c r="B285" s="26" t="n">
        <f aca="false">ROUND(($U$2*MAX(0,MIN(1,($W$2-I285)/($W$2-$V$2)))+$U$3*MAX(0,MIN(1,($W$3-J285)/($W$3-$V$3)))+$U$4*MAX(0,MIN(1,($W$4-K285)/($W$4-$V$4)))+$U$5*MAX(0,MIN(1,($W$5-L285)/($W$5-$V$5)))+$U$6*MAX(0,MIN(1,($W$6-M285)/($W$6-$V$6)))+$U$7*MAX(0,MIN(1,($W$7-N285)/($W$7-$V$7)))+$U$8*IF(AND(O285&gt;=$V$8,O285&lt;=$W$8),1,0))/$U$9*100,2)</f>
        <v>93.29</v>
      </c>
      <c r="C285" s="27" t="s">
        <v>1002</v>
      </c>
      <c r="D285" s="25" t="s">
        <v>134</v>
      </c>
      <c r="E285" s="25" t="s">
        <v>3450</v>
      </c>
      <c r="F285" s="25" t="s">
        <v>3457</v>
      </c>
      <c r="G285" s="33" t="s">
        <v>28</v>
      </c>
      <c r="H285" s="33" t="s">
        <v>24</v>
      </c>
      <c r="I285" s="25" t="n">
        <v>0</v>
      </c>
      <c r="J285" s="25" t="n">
        <v>0</v>
      </c>
      <c r="K285" s="25" t="n">
        <v>0</v>
      </c>
      <c r="L285" s="29" t="n">
        <v>0.73</v>
      </c>
      <c r="M285" s="30" t="n">
        <v>12.26</v>
      </c>
      <c r="N285" s="29" t="n">
        <v>0.28</v>
      </c>
      <c r="O285" s="25" t="n">
        <v>183</v>
      </c>
      <c r="P285" s="30" t="n">
        <v>9.29</v>
      </c>
      <c r="Q285" s="27"/>
      <c r="R285" s="27"/>
    </row>
    <row r="286" customFormat="false" ht="15" hidden="false" customHeight="false" outlineLevel="0" collapsed="false">
      <c r="A286" s="25" t="n">
        <f aca="false">IF(G286="REJECT",COUNTIF($G$2:$G$2277,"&lt;&gt;REJECT")+1+COUNTIFS($G$2:$G$2277,"REJECT",$B$2:$B$2277,"&gt;"&amp;B286),1+COUNTIFS($G$2:$G$2277,"&lt;&gt;REJECT",$B$2:$B$2277,"&gt;"&amp;B286))</f>
        <v>285</v>
      </c>
      <c r="B286" s="26" t="n">
        <f aca="false">ROUND(($U$2*MAX(0,MIN(1,($W$2-I286)/($W$2-$V$2)))+$U$3*MAX(0,MIN(1,($W$3-J286)/($W$3-$V$3)))+$U$4*MAX(0,MIN(1,($W$4-K286)/($W$4-$V$4)))+$U$5*MAX(0,MIN(1,($W$5-L286)/($W$5-$V$5)))+$U$6*MAX(0,MIN(1,($W$6-M286)/($W$6-$V$6)))+$U$7*MAX(0,MIN(1,($W$7-N286)/($W$7-$V$7)))+$U$8*IF(AND(O286&gt;=$V$8,O286&lt;=$W$8),1,0))/$U$9*100,2)</f>
        <v>93.27</v>
      </c>
      <c r="C286" s="27" t="s">
        <v>1370</v>
      </c>
      <c r="D286" s="25" t="s">
        <v>134</v>
      </c>
      <c r="E286" s="25" t="s">
        <v>3450</v>
      </c>
      <c r="F286" s="25" t="s">
        <v>3448</v>
      </c>
      <c r="G286" s="28" t="s">
        <v>29</v>
      </c>
      <c r="H286" s="28" t="s">
        <v>25</v>
      </c>
      <c r="I286" s="25" t="n">
        <v>0</v>
      </c>
      <c r="J286" s="25" t="n">
        <v>0</v>
      </c>
      <c r="K286" s="25" t="n">
        <v>0</v>
      </c>
      <c r="L286" s="29" t="n">
        <v>0.76</v>
      </c>
      <c r="M286" s="30" t="n">
        <v>21.98</v>
      </c>
      <c r="N286" s="29" t="n">
        <v>0.4</v>
      </c>
      <c r="O286" s="25" t="n">
        <v>183</v>
      </c>
      <c r="P286" s="30" t="n">
        <v>12.68</v>
      </c>
      <c r="Q286" s="27"/>
      <c r="R286" s="27" t="s">
        <v>61</v>
      </c>
    </row>
    <row r="287" customFormat="false" ht="15" hidden="false" customHeight="false" outlineLevel="0" collapsed="false">
      <c r="A287" s="25" t="n">
        <f aca="false">IF(G287="REJECT",COUNTIF($G$2:$G$2277,"&lt;&gt;REJECT")+1+COUNTIFS($G$2:$G$2277,"REJECT",$B$2:$B$2277,"&gt;"&amp;B287),1+COUNTIFS($G$2:$G$2277,"&lt;&gt;REJECT",$B$2:$B$2277,"&gt;"&amp;B287))</f>
        <v>285</v>
      </c>
      <c r="B287" s="26" t="n">
        <f aca="false">ROUND(($U$2*MAX(0,MIN(1,($W$2-I287)/($W$2-$V$2)))+$U$3*MAX(0,MIN(1,($W$3-J287)/($W$3-$V$3)))+$U$4*MAX(0,MIN(1,($W$4-K287)/($W$4-$V$4)))+$U$5*MAX(0,MIN(1,($W$5-L287)/($W$5-$V$5)))+$U$6*MAX(0,MIN(1,($W$6-M287)/($W$6-$V$6)))+$U$7*MAX(0,MIN(1,($W$7-N287)/($W$7-$V$7)))+$U$8*IF(AND(O287&gt;=$V$8,O287&lt;=$W$8),1,0))/$U$9*100,2)</f>
        <v>93.27</v>
      </c>
      <c r="C287" s="27" t="s">
        <v>1775</v>
      </c>
      <c r="D287" s="25" t="s">
        <v>134</v>
      </c>
      <c r="E287" s="25" t="s">
        <v>3450</v>
      </c>
      <c r="F287" s="25" t="s">
        <v>3457</v>
      </c>
      <c r="G287" s="28" t="s">
        <v>29</v>
      </c>
      <c r="H287" s="28" t="s">
        <v>25</v>
      </c>
      <c r="I287" s="25" t="n">
        <v>0</v>
      </c>
      <c r="J287" s="25" t="n">
        <v>0</v>
      </c>
      <c r="K287" s="25" t="n">
        <v>0</v>
      </c>
      <c r="L287" s="29" t="n">
        <v>0.76</v>
      </c>
      <c r="M287" s="30" t="n">
        <v>24.78</v>
      </c>
      <c r="N287" s="29" t="n">
        <v>0.12</v>
      </c>
      <c r="O287" s="25" t="n">
        <v>185</v>
      </c>
      <c r="P287" s="30" t="n">
        <v>4.24</v>
      </c>
      <c r="Q287" s="27"/>
      <c r="R287" s="27" t="s">
        <v>3470</v>
      </c>
    </row>
    <row r="288" customFormat="false" ht="15" hidden="false" customHeight="false" outlineLevel="0" collapsed="false">
      <c r="A288" s="25" t="n">
        <f aca="false">IF(G288="REJECT",COUNTIF($G$2:$G$2277,"&lt;&gt;REJECT")+1+COUNTIFS($G$2:$G$2277,"REJECT",$B$2:$B$2277,"&gt;"&amp;B288),1+COUNTIFS($G$2:$G$2277,"&lt;&gt;REJECT",$B$2:$B$2277,"&gt;"&amp;B288))</f>
        <v>287</v>
      </c>
      <c r="B288" s="26" t="n">
        <f aca="false">ROUND(($U$2*MAX(0,MIN(1,($W$2-I288)/($W$2-$V$2)))+$U$3*MAX(0,MIN(1,($W$3-J288)/($W$3-$V$3)))+$U$4*MAX(0,MIN(1,($W$4-K288)/($W$4-$V$4)))+$U$5*MAX(0,MIN(1,($W$5-L288)/($W$5-$V$5)))+$U$6*MAX(0,MIN(1,($W$6-M288)/($W$6-$V$6)))+$U$7*MAX(0,MIN(1,($W$7-N288)/($W$7-$V$7)))+$U$8*IF(AND(O288&gt;=$V$8,O288&lt;=$W$8),1,0))/$U$9*100,2)</f>
        <v>93.26</v>
      </c>
      <c r="C288" s="27" t="s">
        <v>669</v>
      </c>
      <c r="D288" s="25" t="s">
        <v>134</v>
      </c>
      <c r="E288" s="25" t="s">
        <v>3447</v>
      </c>
      <c r="F288" s="25" t="s">
        <v>3457</v>
      </c>
      <c r="G288" s="33" t="s">
        <v>28</v>
      </c>
      <c r="H288" s="33" t="s">
        <v>24</v>
      </c>
      <c r="I288" s="25" t="n">
        <v>0</v>
      </c>
      <c r="J288" s="25" t="n">
        <v>0</v>
      </c>
      <c r="K288" s="25" t="n">
        <v>0</v>
      </c>
      <c r="L288" s="29" t="n">
        <v>0.73</v>
      </c>
      <c r="M288" s="30" t="n">
        <v>9.67</v>
      </c>
      <c r="N288" s="29" t="n">
        <v>0.56</v>
      </c>
      <c r="O288" s="25" t="n">
        <v>183</v>
      </c>
      <c r="P288" s="30" t="n">
        <v>4.48</v>
      </c>
      <c r="Q288" s="27"/>
      <c r="R288" s="27"/>
    </row>
    <row r="289" customFormat="false" ht="15" hidden="false" customHeight="false" outlineLevel="0" collapsed="false">
      <c r="A289" s="25" t="n">
        <f aca="false">IF(G289="REJECT",COUNTIF($G$2:$G$2277,"&lt;&gt;REJECT")+1+COUNTIFS($G$2:$G$2277,"REJECT",$B$2:$B$2277,"&gt;"&amp;B289),1+COUNTIFS($G$2:$G$2277,"&lt;&gt;REJECT",$B$2:$B$2277,"&gt;"&amp;B289))</f>
        <v>287</v>
      </c>
      <c r="B289" s="26" t="n">
        <f aca="false">ROUND(($U$2*MAX(0,MIN(1,($W$2-I289)/($W$2-$V$2)))+$U$3*MAX(0,MIN(1,($W$3-J289)/($W$3-$V$3)))+$U$4*MAX(0,MIN(1,($W$4-K289)/($W$4-$V$4)))+$U$5*MAX(0,MIN(1,($W$5-L289)/($W$5-$V$5)))+$U$6*MAX(0,MIN(1,($W$6-M289)/($W$6-$V$6)))+$U$7*MAX(0,MIN(1,($W$7-N289)/($W$7-$V$7)))+$U$8*IF(AND(O289&gt;=$V$8,O289&lt;=$W$8),1,0))/$U$9*100,2)</f>
        <v>93.26</v>
      </c>
      <c r="C289" s="27" t="s">
        <v>1221</v>
      </c>
      <c r="D289" s="25" t="s">
        <v>134</v>
      </c>
      <c r="E289" s="25" t="s">
        <v>3450</v>
      </c>
      <c r="F289" s="25" t="s">
        <v>3448</v>
      </c>
      <c r="G289" s="33" t="s">
        <v>28</v>
      </c>
      <c r="H289" s="33" t="s">
        <v>24</v>
      </c>
      <c r="I289" s="25" t="n">
        <v>0</v>
      </c>
      <c r="J289" s="25" t="n">
        <v>0</v>
      </c>
      <c r="K289" s="25" t="n">
        <v>0</v>
      </c>
      <c r="L289" s="29" t="n">
        <v>0.72</v>
      </c>
      <c r="M289" s="30" t="n">
        <v>5.22</v>
      </c>
      <c r="N289" s="29" t="n">
        <v>0.64</v>
      </c>
      <c r="O289" s="25" t="n">
        <v>183</v>
      </c>
      <c r="P289" s="30" t="n">
        <v>12.12</v>
      </c>
      <c r="Q289" s="27"/>
      <c r="R289" s="27"/>
    </row>
    <row r="290" customFormat="false" ht="15" hidden="false" customHeight="false" outlineLevel="0" collapsed="false">
      <c r="A290" s="25" t="n">
        <f aca="false">IF(G290="REJECT",COUNTIF($G$2:$G$2277,"&lt;&gt;REJECT")+1+COUNTIFS($G$2:$G$2277,"REJECT",$B$2:$B$2277,"&gt;"&amp;B290),1+COUNTIFS($G$2:$G$2277,"&lt;&gt;REJECT",$B$2:$B$2277,"&gt;"&amp;B290))</f>
        <v>289</v>
      </c>
      <c r="B290" s="26" t="n">
        <f aca="false">ROUND(($U$2*MAX(0,MIN(1,($W$2-I290)/($W$2-$V$2)))+$U$3*MAX(0,MIN(1,($W$3-J290)/($W$3-$V$3)))+$U$4*MAX(0,MIN(1,($W$4-K290)/($W$4-$V$4)))+$U$5*MAX(0,MIN(1,($W$5-L290)/($W$5-$V$5)))+$U$6*MAX(0,MIN(1,($W$6-M290)/($W$6-$V$6)))+$U$7*MAX(0,MIN(1,($W$7-N290)/($W$7-$V$7)))+$U$8*IF(AND(O290&gt;=$V$8,O290&lt;=$W$8),1,0))/$U$9*100,2)</f>
        <v>93.25</v>
      </c>
      <c r="C290" s="27" t="s">
        <v>354</v>
      </c>
      <c r="D290" s="25" t="s">
        <v>3459</v>
      </c>
      <c r="E290" s="25" t="s">
        <v>3450</v>
      </c>
      <c r="F290" s="25" t="s">
        <v>3448</v>
      </c>
      <c r="G290" s="28" t="s">
        <v>29</v>
      </c>
      <c r="H290" s="28" t="s">
        <v>25</v>
      </c>
      <c r="I290" s="25" t="n">
        <v>0</v>
      </c>
      <c r="J290" s="25" t="n">
        <v>0</v>
      </c>
      <c r="K290" s="25" t="n">
        <v>0</v>
      </c>
      <c r="L290" s="29" t="n">
        <v>0.72</v>
      </c>
      <c r="M290" s="30" t="n">
        <v>11.69</v>
      </c>
      <c r="N290" s="29" t="n">
        <v>0</v>
      </c>
      <c r="O290" s="25" t="n">
        <v>187</v>
      </c>
      <c r="P290" s="30" t="n">
        <v>0.55</v>
      </c>
      <c r="Q290" s="27"/>
      <c r="R290" s="27" t="s">
        <v>3466</v>
      </c>
    </row>
    <row r="291" customFormat="false" ht="15" hidden="false" customHeight="false" outlineLevel="0" collapsed="false">
      <c r="A291" s="25" t="n">
        <f aca="false">IF(G291="REJECT",COUNTIF($G$2:$G$2277,"&lt;&gt;REJECT")+1+COUNTIFS($G$2:$G$2277,"REJECT",$B$2:$B$2277,"&gt;"&amp;B291),1+COUNTIFS($G$2:$G$2277,"&lt;&gt;REJECT",$B$2:$B$2277,"&gt;"&amp;B291))</f>
        <v>290</v>
      </c>
      <c r="B291" s="26" t="n">
        <f aca="false">ROUND(($U$2*MAX(0,MIN(1,($W$2-I291)/($W$2-$V$2)))+$U$3*MAX(0,MIN(1,($W$3-J291)/($W$3-$V$3)))+$U$4*MAX(0,MIN(1,($W$4-K291)/($W$4-$V$4)))+$U$5*MAX(0,MIN(1,($W$5-L291)/($W$5-$V$5)))+$U$6*MAX(0,MIN(1,($W$6-M291)/($W$6-$V$6)))+$U$7*MAX(0,MIN(1,($W$7-N291)/($W$7-$V$7)))+$U$8*IF(AND(O291&gt;=$V$8,O291&lt;=$W$8),1,0))/$U$9*100,2)</f>
        <v>93.22</v>
      </c>
      <c r="C291" s="27" t="s">
        <v>1793</v>
      </c>
      <c r="D291" s="25" t="s">
        <v>3459</v>
      </c>
      <c r="E291" s="25" t="s">
        <v>3450</v>
      </c>
      <c r="F291" s="25" t="s">
        <v>3448</v>
      </c>
      <c r="G291" s="28" t="s">
        <v>29</v>
      </c>
      <c r="H291" s="28" t="s">
        <v>25</v>
      </c>
      <c r="I291" s="25" t="n">
        <v>0</v>
      </c>
      <c r="J291" s="25" t="n">
        <v>0</v>
      </c>
      <c r="K291" s="25" t="n">
        <v>0</v>
      </c>
      <c r="L291" s="29" t="n">
        <v>0.78</v>
      </c>
      <c r="M291" s="30" t="n">
        <v>24.28</v>
      </c>
      <c r="N291" s="29" t="n">
        <v>0.92</v>
      </c>
      <c r="O291" s="25" t="n">
        <v>185</v>
      </c>
      <c r="P291" s="30" t="n">
        <v>2.11</v>
      </c>
      <c r="Q291" s="27"/>
      <c r="R291" s="27" t="s">
        <v>3473</v>
      </c>
    </row>
    <row r="292" customFormat="false" ht="15" hidden="false" customHeight="false" outlineLevel="0" collapsed="false">
      <c r="A292" s="25" t="n">
        <f aca="false">IF(G292="REJECT",COUNTIF($G$2:$G$2277,"&lt;&gt;REJECT")+1+COUNTIFS($G$2:$G$2277,"REJECT",$B$2:$B$2277,"&gt;"&amp;B292),1+COUNTIFS($G$2:$G$2277,"&lt;&gt;REJECT",$B$2:$B$2277,"&gt;"&amp;B292))</f>
        <v>290</v>
      </c>
      <c r="B292" s="26" t="n">
        <f aca="false">ROUND(($U$2*MAX(0,MIN(1,($W$2-I292)/($W$2-$V$2)))+$U$3*MAX(0,MIN(1,($W$3-J292)/($W$3-$V$3)))+$U$4*MAX(0,MIN(1,($W$4-K292)/($W$4-$V$4)))+$U$5*MAX(0,MIN(1,($W$5-L292)/($W$5-$V$5)))+$U$6*MAX(0,MIN(1,($W$6-M292)/($W$6-$V$6)))+$U$7*MAX(0,MIN(1,($W$7-N292)/($W$7-$V$7)))+$U$8*IF(AND(O292&gt;=$V$8,O292&lt;=$W$8),1,0))/$U$9*100,2)</f>
        <v>93.22</v>
      </c>
      <c r="C292" s="27" t="s">
        <v>3188</v>
      </c>
      <c r="D292" s="25" t="s">
        <v>134</v>
      </c>
      <c r="E292" s="25" t="s">
        <v>3450</v>
      </c>
      <c r="F292" s="25" t="s">
        <v>3457</v>
      </c>
      <c r="G292" s="28" t="s">
        <v>29</v>
      </c>
      <c r="H292" s="28" t="s">
        <v>25</v>
      </c>
      <c r="I292" s="25" t="n">
        <v>0</v>
      </c>
      <c r="J292" s="25" t="n">
        <v>0</v>
      </c>
      <c r="K292" s="25" t="n">
        <v>0</v>
      </c>
      <c r="L292" s="29" t="n">
        <v>0.73</v>
      </c>
      <c r="M292" s="30" t="n">
        <v>11.46</v>
      </c>
      <c r="N292" s="29" t="n">
        <v>0.4</v>
      </c>
      <c r="O292" s="25" t="n">
        <v>183</v>
      </c>
      <c r="P292" s="30" t="n">
        <v>7.6</v>
      </c>
      <c r="Q292" s="27"/>
      <c r="R292" s="27" t="s">
        <v>64</v>
      </c>
    </row>
    <row r="293" customFormat="false" ht="15" hidden="false" customHeight="false" outlineLevel="0" collapsed="false">
      <c r="A293" s="25" t="n">
        <f aca="false">IF(G293="REJECT",COUNTIF($G$2:$G$2277,"&lt;&gt;REJECT")+1+COUNTIFS($G$2:$G$2277,"REJECT",$B$2:$B$2277,"&gt;"&amp;B293),1+COUNTIFS($G$2:$G$2277,"&lt;&gt;REJECT",$B$2:$B$2277,"&gt;"&amp;B293))</f>
        <v>292</v>
      </c>
      <c r="B293" s="26" t="n">
        <f aca="false">ROUND(($U$2*MAX(0,MIN(1,($W$2-I293)/($W$2-$V$2)))+$U$3*MAX(0,MIN(1,($W$3-J293)/($W$3-$V$3)))+$U$4*MAX(0,MIN(1,($W$4-K293)/($W$4-$V$4)))+$U$5*MAX(0,MIN(1,($W$5-L293)/($W$5-$V$5)))+$U$6*MAX(0,MIN(1,($W$6-M293)/($W$6-$V$6)))+$U$7*MAX(0,MIN(1,($W$7-N293)/($W$7-$V$7)))+$U$8*IF(AND(O293&gt;=$V$8,O293&lt;=$W$8),1,0))/$U$9*100,2)</f>
        <v>93.2</v>
      </c>
      <c r="C293" s="27" t="s">
        <v>2039</v>
      </c>
      <c r="D293" s="25" t="s">
        <v>134</v>
      </c>
      <c r="E293" s="25" t="s">
        <v>3450</v>
      </c>
      <c r="F293" s="25" t="s">
        <v>3448</v>
      </c>
      <c r="G293" s="28" t="s">
        <v>29</v>
      </c>
      <c r="H293" s="28" t="s">
        <v>25</v>
      </c>
      <c r="I293" s="25" t="n">
        <v>0</v>
      </c>
      <c r="J293" s="25" t="n">
        <v>0</v>
      </c>
      <c r="K293" s="25" t="n">
        <v>0</v>
      </c>
      <c r="L293" s="29" t="n">
        <v>0.77</v>
      </c>
      <c r="M293" s="30" t="n">
        <v>31.39</v>
      </c>
      <c r="N293" s="29" t="n">
        <v>0</v>
      </c>
      <c r="O293" s="25" t="n">
        <v>182</v>
      </c>
      <c r="P293" s="30" t="n">
        <v>6.27</v>
      </c>
      <c r="Q293" s="27"/>
      <c r="R293" s="27" t="s">
        <v>66</v>
      </c>
    </row>
    <row r="294" customFormat="false" ht="15" hidden="false" customHeight="false" outlineLevel="0" collapsed="false">
      <c r="A294" s="25" t="n">
        <f aca="false">IF(G294="REJECT",COUNTIF($G$2:$G$2277,"&lt;&gt;REJECT")+1+COUNTIFS($G$2:$G$2277,"REJECT",$B$2:$B$2277,"&gt;"&amp;B294),1+COUNTIFS($G$2:$G$2277,"&lt;&gt;REJECT",$B$2:$B$2277,"&gt;"&amp;B294))</f>
        <v>293</v>
      </c>
      <c r="B294" s="26" t="n">
        <f aca="false">ROUND(($U$2*MAX(0,MIN(1,($W$2-I294)/($W$2-$V$2)))+$U$3*MAX(0,MIN(1,($W$3-J294)/($W$3-$V$3)))+$U$4*MAX(0,MIN(1,($W$4-K294)/($W$4-$V$4)))+$U$5*MAX(0,MIN(1,($W$5-L294)/($W$5-$V$5)))+$U$6*MAX(0,MIN(1,($W$6-M294)/($W$6-$V$6)))+$U$7*MAX(0,MIN(1,($W$7-N294)/($W$7-$V$7)))+$U$8*IF(AND(O294&gt;=$V$8,O294&lt;=$W$8),1,0))/$U$9*100,2)</f>
        <v>93.19</v>
      </c>
      <c r="C294" s="27" t="s">
        <v>513</v>
      </c>
      <c r="D294" s="25" t="s">
        <v>134</v>
      </c>
      <c r="E294" s="25" t="s">
        <v>3450</v>
      </c>
      <c r="F294" s="25" t="s">
        <v>3448</v>
      </c>
      <c r="G294" s="33" t="s">
        <v>28</v>
      </c>
      <c r="H294" s="33" t="s">
        <v>24</v>
      </c>
      <c r="I294" s="25" t="n">
        <v>0</v>
      </c>
      <c r="J294" s="25" t="n">
        <v>0</v>
      </c>
      <c r="K294" s="25" t="n">
        <v>0</v>
      </c>
      <c r="L294" s="29" t="n">
        <v>0.71</v>
      </c>
      <c r="M294" s="30" t="n">
        <v>2.88</v>
      </c>
      <c r="N294" s="29" t="n">
        <v>0.56</v>
      </c>
      <c r="O294" s="25" t="n">
        <v>184</v>
      </c>
      <c r="P294" s="30" t="n">
        <v>4.29</v>
      </c>
      <c r="Q294" s="27"/>
      <c r="R294" s="27"/>
    </row>
    <row r="295" customFormat="false" ht="15" hidden="false" customHeight="false" outlineLevel="0" collapsed="false">
      <c r="A295" s="25" t="n">
        <f aca="false">IF(G295="REJECT",COUNTIF($G$2:$G$2277,"&lt;&gt;REJECT")+1+COUNTIFS($G$2:$G$2277,"REJECT",$B$2:$B$2277,"&gt;"&amp;B295),1+COUNTIFS($G$2:$G$2277,"&lt;&gt;REJECT",$B$2:$B$2277,"&gt;"&amp;B295))</f>
        <v>294</v>
      </c>
      <c r="B295" s="26" t="n">
        <f aca="false">ROUND(($U$2*MAX(0,MIN(1,($W$2-I295)/($W$2-$V$2)))+$U$3*MAX(0,MIN(1,($W$3-J295)/($W$3-$V$3)))+$U$4*MAX(0,MIN(1,($W$4-K295)/($W$4-$V$4)))+$U$5*MAX(0,MIN(1,($W$5-L295)/($W$5-$V$5)))+$U$6*MAX(0,MIN(1,($W$6-M295)/($W$6-$V$6)))+$U$7*MAX(0,MIN(1,($W$7-N295)/($W$7-$V$7)))+$U$8*IF(AND(O295&gt;=$V$8,O295&lt;=$W$8),1,0))/$U$9*100,2)</f>
        <v>93.15</v>
      </c>
      <c r="C295" s="27" t="s">
        <v>1645</v>
      </c>
      <c r="D295" s="25" t="s">
        <v>134</v>
      </c>
      <c r="E295" s="25" t="s">
        <v>3450</v>
      </c>
      <c r="F295" s="25" t="s">
        <v>3457</v>
      </c>
      <c r="G295" s="28" t="s">
        <v>29</v>
      </c>
      <c r="H295" s="28" t="s">
        <v>25</v>
      </c>
      <c r="I295" s="25" t="n">
        <v>0</v>
      </c>
      <c r="J295" s="25" t="n">
        <v>0</v>
      </c>
      <c r="K295" s="25" t="n">
        <v>0</v>
      </c>
      <c r="L295" s="29" t="n">
        <v>0.77</v>
      </c>
      <c r="M295" s="30" t="n">
        <v>23.1</v>
      </c>
      <c r="N295" s="29" t="n">
        <v>0.72</v>
      </c>
      <c r="O295" s="25" t="n">
        <v>183</v>
      </c>
      <c r="P295" s="30" t="n">
        <v>11.42</v>
      </c>
      <c r="Q295" s="27"/>
      <c r="R295" s="27" t="s">
        <v>61</v>
      </c>
    </row>
    <row r="296" customFormat="false" ht="15" hidden="false" customHeight="false" outlineLevel="0" collapsed="false">
      <c r="A296" s="25" t="n">
        <f aca="false">IF(G296="REJECT",COUNTIF($G$2:$G$2277,"&lt;&gt;REJECT")+1+COUNTIFS($G$2:$G$2277,"REJECT",$B$2:$B$2277,"&gt;"&amp;B296),1+COUNTIFS($G$2:$G$2277,"&lt;&gt;REJECT",$B$2:$B$2277,"&gt;"&amp;B296))</f>
        <v>295</v>
      </c>
      <c r="B296" s="26" t="n">
        <f aca="false">ROUND(($U$2*MAX(0,MIN(1,($W$2-I296)/($W$2-$V$2)))+$U$3*MAX(0,MIN(1,($W$3-J296)/($W$3-$V$3)))+$U$4*MAX(0,MIN(1,($W$4-K296)/($W$4-$V$4)))+$U$5*MAX(0,MIN(1,($W$5-L296)/($W$5-$V$5)))+$U$6*MAX(0,MIN(1,($W$6-M296)/($W$6-$V$6)))+$U$7*MAX(0,MIN(1,($W$7-N296)/($W$7-$V$7)))+$U$8*IF(AND(O296&gt;=$V$8,O296&lt;=$W$8),1,0))/$U$9*100,2)</f>
        <v>93.14</v>
      </c>
      <c r="C296" s="27" t="s">
        <v>756</v>
      </c>
      <c r="D296" s="25" t="s">
        <v>3459</v>
      </c>
      <c r="E296" s="25" t="s">
        <v>3450</v>
      </c>
      <c r="F296" s="25" t="s">
        <v>3457</v>
      </c>
      <c r="G296" s="33" t="s">
        <v>28</v>
      </c>
      <c r="H296" s="33" t="s">
        <v>24</v>
      </c>
      <c r="I296" s="25" t="n">
        <v>0</v>
      </c>
      <c r="J296" s="25" t="n">
        <v>0</v>
      </c>
      <c r="K296" s="25" t="n">
        <v>0</v>
      </c>
      <c r="L296" s="29" t="n">
        <v>0.75</v>
      </c>
      <c r="M296" s="30" t="n">
        <v>15.56</v>
      </c>
      <c r="N296" s="29" t="n">
        <v>0.76</v>
      </c>
      <c r="O296" s="25" t="n">
        <v>186</v>
      </c>
      <c r="P296" s="30" t="n">
        <v>19.44</v>
      </c>
      <c r="Q296" s="27"/>
      <c r="R296" s="27"/>
    </row>
    <row r="297" customFormat="false" ht="15" hidden="false" customHeight="false" outlineLevel="0" collapsed="false">
      <c r="A297" s="25" t="n">
        <f aca="false">IF(G297="REJECT",COUNTIF($G$2:$G$2277,"&lt;&gt;REJECT")+1+COUNTIFS($G$2:$G$2277,"REJECT",$B$2:$B$2277,"&gt;"&amp;B297),1+COUNTIFS($G$2:$G$2277,"&lt;&gt;REJECT",$B$2:$B$2277,"&gt;"&amp;B297))</f>
        <v>295</v>
      </c>
      <c r="B297" s="26" t="n">
        <f aca="false">ROUND(($U$2*MAX(0,MIN(1,($W$2-I297)/($W$2-$V$2)))+$U$3*MAX(0,MIN(1,($W$3-J297)/($W$3-$V$3)))+$U$4*MAX(0,MIN(1,($W$4-K297)/($W$4-$V$4)))+$U$5*MAX(0,MIN(1,($W$5-L297)/($W$5-$V$5)))+$U$6*MAX(0,MIN(1,($W$6-M297)/($W$6-$V$6)))+$U$7*MAX(0,MIN(1,($W$7-N297)/($W$7-$V$7)))+$U$8*IF(AND(O297&gt;=$V$8,O297&lt;=$W$8),1,0))/$U$9*100,2)</f>
        <v>93.14</v>
      </c>
      <c r="C297" s="27" t="s">
        <v>1443</v>
      </c>
      <c r="D297" s="25" t="s">
        <v>134</v>
      </c>
      <c r="E297" s="25" t="s">
        <v>3447</v>
      </c>
      <c r="F297" s="25" t="s">
        <v>3457</v>
      </c>
      <c r="G297" s="33" t="s">
        <v>28</v>
      </c>
      <c r="H297" s="33" t="s">
        <v>24</v>
      </c>
      <c r="I297" s="25" t="n">
        <v>0</v>
      </c>
      <c r="J297" s="25" t="n">
        <v>0</v>
      </c>
      <c r="K297" s="25" t="n">
        <v>0</v>
      </c>
      <c r="L297" s="29" t="n">
        <v>0.72</v>
      </c>
      <c r="M297" s="30" t="n">
        <v>12.38</v>
      </c>
      <c r="N297" s="29" t="n">
        <v>0</v>
      </c>
      <c r="O297" s="25" t="n">
        <v>183</v>
      </c>
      <c r="P297" s="30" t="n">
        <v>7.24</v>
      </c>
      <c r="Q297" s="27"/>
      <c r="R297" s="27"/>
    </row>
    <row r="298" customFormat="false" ht="15" hidden="false" customHeight="false" outlineLevel="0" collapsed="false">
      <c r="A298" s="25" t="n">
        <f aca="false">IF(G298="REJECT",COUNTIF($G$2:$G$2277,"&lt;&gt;REJECT")+1+COUNTIFS($G$2:$G$2277,"REJECT",$B$2:$B$2277,"&gt;"&amp;B298),1+COUNTIFS($G$2:$G$2277,"&lt;&gt;REJECT",$B$2:$B$2277,"&gt;"&amp;B298))</f>
        <v>297</v>
      </c>
      <c r="B298" s="26" t="n">
        <f aca="false">ROUND(($U$2*MAX(0,MIN(1,($W$2-I298)/($W$2-$V$2)))+$U$3*MAX(0,MIN(1,($W$3-J298)/($W$3-$V$3)))+$U$4*MAX(0,MIN(1,($W$4-K298)/($W$4-$V$4)))+$U$5*MAX(0,MIN(1,($W$5-L298)/($W$5-$V$5)))+$U$6*MAX(0,MIN(1,($W$6-M298)/($W$6-$V$6)))+$U$7*MAX(0,MIN(1,($W$7-N298)/($W$7-$V$7)))+$U$8*IF(AND(O298&gt;=$V$8,O298&lt;=$W$8),1,0))/$U$9*100,2)</f>
        <v>93.13</v>
      </c>
      <c r="C298" s="27" t="s">
        <v>1946</v>
      </c>
      <c r="D298" s="25" t="s">
        <v>134</v>
      </c>
      <c r="E298" s="25" t="s">
        <v>3447</v>
      </c>
      <c r="F298" s="25" t="s">
        <v>3448</v>
      </c>
      <c r="G298" s="33" t="s">
        <v>28</v>
      </c>
      <c r="H298" s="33" t="s">
        <v>24</v>
      </c>
      <c r="I298" s="25" t="n">
        <v>0</v>
      </c>
      <c r="J298" s="25" t="n">
        <v>0</v>
      </c>
      <c r="K298" s="25" t="n">
        <v>0</v>
      </c>
      <c r="L298" s="29" t="n">
        <v>0.73</v>
      </c>
      <c r="M298" s="30" t="n">
        <v>10.45</v>
      </c>
      <c r="N298" s="29" t="n">
        <v>0.56</v>
      </c>
      <c r="O298" s="25" t="n">
        <v>188</v>
      </c>
      <c r="P298" s="30" t="n">
        <v>1.28</v>
      </c>
      <c r="Q298" s="27"/>
      <c r="R298" s="27"/>
    </row>
    <row r="299" customFormat="false" ht="15" hidden="false" customHeight="false" outlineLevel="0" collapsed="false">
      <c r="A299" s="25" t="n">
        <f aca="false">IF(G299="REJECT",COUNTIF($G$2:$G$2277,"&lt;&gt;REJECT")+1+COUNTIFS($G$2:$G$2277,"REJECT",$B$2:$B$2277,"&gt;"&amp;B299),1+COUNTIFS($G$2:$G$2277,"&lt;&gt;REJECT",$B$2:$B$2277,"&gt;"&amp;B299))</f>
        <v>298</v>
      </c>
      <c r="B299" s="26" t="n">
        <f aca="false">ROUND(($U$2*MAX(0,MIN(1,($W$2-I299)/($W$2-$V$2)))+$U$3*MAX(0,MIN(1,($W$3-J299)/($W$3-$V$3)))+$U$4*MAX(0,MIN(1,($W$4-K299)/($W$4-$V$4)))+$U$5*MAX(0,MIN(1,($W$5-L299)/($W$5-$V$5)))+$U$6*MAX(0,MIN(1,($W$6-M299)/($W$6-$V$6)))+$U$7*MAX(0,MIN(1,($W$7-N299)/($W$7-$V$7)))+$U$8*IF(AND(O299&gt;=$V$8,O299&lt;=$W$8),1,0))/$U$9*100,2)</f>
        <v>93.12</v>
      </c>
      <c r="C299" s="27" t="s">
        <v>2180</v>
      </c>
      <c r="D299" s="25" t="s">
        <v>134</v>
      </c>
      <c r="E299" s="25" t="s">
        <v>3447</v>
      </c>
      <c r="F299" s="25" t="s">
        <v>3457</v>
      </c>
      <c r="G299" s="33" t="s">
        <v>28</v>
      </c>
      <c r="H299" s="33" t="s">
        <v>24</v>
      </c>
      <c r="I299" s="25" t="n">
        <v>0</v>
      </c>
      <c r="J299" s="25" t="n">
        <v>0</v>
      </c>
      <c r="K299" s="25" t="n">
        <v>0</v>
      </c>
      <c r="L299" s="29" t="n">
        <v>0.71</v>
      </c>
      <c r="M299" s="30" t="n">
        <v>0.9</v>
      </c>
      <c r="N299" s="29" t="n">
        <v>0.8</v>
      </c>
      <c r="O299" s="25" t="n">
        <v>186</v>
      </c>
      <c r="P299" s="30" t="n">
        <v>-1.31</v>
      </c>
      <c r="Q299" s="27"/>
      <c r="R299" s="27"/>
    </row>
    <row r="300" customFormat="false" ht="15" hidden="false" customHeight="false" outlineLevel="0" collapsed="false">
      <c r="A300" s="25" t="n">
        <f aca="false">IF(G300="REJECT",COUNTIF($G$2:$G$2277,"&lt;&gt;REJECT")+1+COUNTIFS($G$2:$G$2277,"REJECT",$B$2:$B$2277,"&gt;"&amp;B300),1+COUNTIFS($G$2:$G$2277,"&lt;&gt;REJECT",$B$2:$B$2277,"&gt;"&amp;B300))</f>
        <v>299</v>
      </c>
      <c r="B300" s="26" t="n">
        <f aca="false">ROUND(($U$2*MAX(0,MIN(1,($W$2-I300)/($W$2-$V$2)))+$U$3*MAX(0,MIN(1,($W$3-J300)/($W$3-$V$3)))+$U$4*MAX(0,MIN(1,($W$4-K300)/($W$4-$V$4)))+$U$5*MAX(0,MIN(1,($W$5-L300)/($W$5-$V$5)))+$U$6*MAX(0,MIN(1,($W$6-M300)/($W$6-$V$6)))+$U$7*MAX(0,MIN(1,($W$7-N300)/($W$7-$V$7)))+$U$8*IF(AND(O300&gt;=$V$8,O300&lt;=$W$8),1,0))/$U$9*100,2)</f>
        <v>93.1</v>
      </c>
      <c r="C300" s="27" t="s">
        <v>487</v>
      </c>
      <c r="D300" s="25" t="s">
        <v>134</v>
      </c>
      <c r="E300" s="25" t="s">
        <v>3450</v>
      </c>
      <c r="F300" s="25" t="s">
        <v>3448</v>
      </c>
      <c r="G300" s="33" t="s">
        <v>28</v>
      </c>
      <c r="H300" s="33" t="s">
        <v>24</v>
      </c>
      <c r="I300" s="25" t="n">
        <v>0</v>
      </c>
      <c r="J300" s="25" t="n">
        <v>0</v>
      </c>
      <c r="K300" s="25" t="n">
        <v>0</v>
      </c>
      <c r="L300" s="29" t="n">
        <v>0.73</v>
      </c>
      <c r="M300" s="30" t="n">
        <v>8.23</v>
      </c>
      <c r="N300" s="29" t="n">
        <v>0.8</v>
      </c>
      <c r="O300" s="25" t="n">
        <v>183</v>
      </c>
      <c r="P300" s="30" t="n">
        <v>7.94</v>
      </c>
      <c r="Q300" s="27"/>
      <c r="R300" s="27"/>
    </row>
    <row r="301" customFormat="false" ht="15" hidden="false" customHeight="false" outlineLevel="0" collapsed="false">
      <c r="A301" s="25" t="n">
        <f aca="false">IF(G301="REJECT",COUNTIF($G$2:$G$2277,"&lt;&gt;REJECT")+1+COUNTIFS($G$2:$G$2277,"REJECT",$B$2:$B$2277,"&gt;"&amp;B301),1+COUNTIFS($G$2:$G$2277,"&lt;&gt;REJECT",$B$2:$B$2277,"&gt;"&amp;B301))</f>
        <v>299</v>
      </c>
      <c r="B301" s="26" t="n">
        <f aca="false">ROUND(($U$2*MAX(0,MIN(1,($W$2-I301)/($W$2-$V$2)))+$U$3*MAX(0,MIN(1,($W$3-J301)/($W$3-$V$3)))+$U$4*MAX(0,MIN(1,($W$4-K301)/($W$4-$V$4)))+$U$5*MAX(0,MIN(1,($W$5-L301)/($W$5-$V$5)))+$U$6*MAX(0,MIN(1,($W$6-M301)/($W$6-$V$6)))+$U$7*MAX(0,MIN(1,($W$7-N301)/($W$7-$V$7)))+$U$8*IF(AND(O301&gt;=$V$8,O301&lt;=$W$8),1,0))/$U$9*100,2)</f>
        <v>93.1</v>
      </c>
      <c r="C301" s="27" t="s">
        <v>1137</v>
      </c>
      <c r="D301" s="25" t="s">
        <v>134</v>
      </c>
      <c r="E301" s="25" t="s">
        <v>3450</v>
      </c>
      <c r="F301" s="25" t="s">
        <v>3448</v>
      </c>
      <c r="G301" s="33" t="s">
        <v>28</v>
      </c>
      <c r="H301" s="33" t="s">
        <v>24</v>
      </c>
      <c r="I301" s="25" t="n">
        <v>0</v>
      </c>
      <c r="J301" s="25" t="n">
        <v>0</v>
      </c>
      <c r="K301" s="25" t="n">
        <v>0</v>
      </c>
      <c r="L301" s="29" t="n">
        <v>0.73</v>
      </c>
      <c r="M301" s="30" t="n">
        <v>13</v>
      </c>
      <c r="N301" s="29" t="n">
        <v>0.32</v>
      </c>
      <c r="O301" s="25" t="n">
        <v>186</v>
      </c>
      <c r="P301" s="30" t="n">
        <v>5.25</v>
      </c>
      <c r="Q301" s="27"/>
      <c r="R301" s="27"/>
    </row>
    <row r="302" customFormat="false" ht="15" hidden="false" customHeight="false" outlineLevel="0" collapsed="false">
      <c r="A302" s="25" t="n">
        <f aca="false">IF(G302="REJECT",COUNTIF($G$2:$G$2277,"&lt;&gt;REJECT")+1+COUNTIFS($G$2:$G$2277,"REJECT",$B$2:$B$2277,"&gt;"&amp;B302),1+COUNTIFS($G$2:$G$2277,"&lt;&gt;REJECT",$B$2:$B$2277,"&gt;"&amp;B302))</f>
        <v>301</v>
      </c>
      <c r="B302" s="26" t="n">
        <f aca="false">ROUND(($U$2*MAX(0,MIN(1,($W$2-I302)/($W$2-$V$2)))+$U$3*MAX(0,MIN(1,($W$3-J302)/($W$3-$V$3)))+$U$4*MAX(0,MIN(1,($W$4-K302)/($W$4-$V$4)))+$U$5*MAX(0,MIN(1,($W$5-L302)/($W$5-$V$5)))+$U$6*MAX(0,MIN(1,($W$6-M302)/($W$6-$V$6)))+$U$7*MAX(0,MIN(1,($W$7-N302)/($W$7-$V$7)))+$U$8*IF(AND(O302&gt;=$V$8,O302&lt;=$W$8),1,0))/$U$9*100,2)</f>
        <v>93.06</v>
      </c>
      <c r="C302" s="27" t="s">
        <v>738</v>
      </c>
      <c r="D302" s="25" t="s">
        <v>134</v>
      </c>
      <c r="E302" s="25" t="s">
        <v>3450</v>
      </c>
      <c r="F302" s="25" t="s">
        <v>3448</v>
      </c>
      <c r="G302" s="33" t="s">
        <v>28</v>
      </c>
      <c r="H302" s="33" t="s">
        <v>24</v>
      </c>
      <c r="I302" s="25" t="n">
        <v>0</v>
      </c>
      <c r="J302" s="25" t="n">
        <v>0</v>
      </c>
      <c r="K302" s="25" t="n">
        <v>0</v>
      </c>
      <c r="L302" s="29" t="n">
        <v>0.75</v>
      </c>
      <c r="M302" s="30" t="n">
        <v>16.02</v>
      </c>
      <c r="N302" s="29" t="n">
        <v>0.76</v>
      </c>
      <c r="O302" s="25" t="n">
        <v>183</v>
      </c>
      <c r="P302" s="30" t="n">
        <v>21.27</v>
      </c>
      <c r="Q302" s="27"/>
      <c r="R302" s="27"/>
    </row>
    <row r="303" customFormat="false" ht="15" hidden="false" customHeight="false" outlineLevel="0" collapsed="false">
      <c r="A303" s="25" t="n">
        <f aca="false">IF(G303="REJECT",COUNTIF($G$2:$G$2277,"&lt;&gt;REJECT")+1+COUNTIFS($G$2:$G$2277,"REJECT",$B$2:$B$2277,"&gt;"&amp;B303),1+COUNTIFS($G$2:$G$2277,"&lt;&gt;REJECT",$B$2:$B$2277,"&gt;"&amp;B303))</f>
        <v>301</v>
      </c>
      <c r="B303" s="26" t="n">
        <f aca="false">ROUND(($U$2*MAX(0,MIN(1,($W$2-I303)/($W$2-$V$2)))+$U$3*MAX(0,MIN(1,($W$3-J303)/($W$3-$V$3)))+$U$4*MAX(0,MIN(1,($W$4-K303)/($W$4-$V$4)))+$U$5*MAX(0,MIN(1,($W$5-L303)/($W$5-$V$5)))+$U$6*MAX(0,MIN(1,($W$6-M303)/($W$6-$V$6)))+$U$7*MAX(0,MIN(1,($W$7-N303)/($W$7-$V$7)))+$U$8*IF(AND(O303&gt;=$V$8,O303&lt;=$W$8),1,0))/$U$9*100,2)</f>
        <v>93.06</v>
      </c>
      <c r="C303" s="27" t="s">
        <v>1156</v>
      </c>
      <c r="D303" s="25" t="s">
        <v>3459</v>
      </c>
      <c r="E303" s="25" t="s">
        <v>3450</v>
      </c>
      <c r="F303" s="25" t="s">
        <v>3448</v>
      </c>
      <c r="G303" s="28" t="s">
        <v>29</v>
      </c>
      <c r="H303" s="28" t="s">
        <v>25</v>
      </c>
      <c r="I303" s="25" t="n">
        <v>0</v>
      </c>
      <c r="J303" s="25" t="n">
        <v>0</v>
      </c>
      <c r="K303" s="25" t="n">
        <v>0</v>
      </c>
      <c r="L303" s="29" t="n">
        <v>0.75</v>
      </c>
      <c r="M303" s="30" t="n">
        <v>23.64</v>
      </c>
      <c r="N303" s="29" t="n">
        <v>0</v>
      </c>
      <c r="O303" s="25" t="n">
        <v>182</v>
      </c>
      <c r="P303" s="30" t="n">
        <v>8.85</v>
      </c>
      <c r="Q303" s="27"/>
      <c r="R303" s="27" t="s">
        <v>61</v>
      </c>
    </row>
    <row r="304" customFormat="false" ht="15" hidden="false" customHeight="false" outlineLevel="0" collapsed="false">
      <c r="A304" s="25" t="n">
        <f aca="false">IF(G304="REJECT",COUNTIF($G$2:$G$2277,"&lt;&gt;REJECT")+1+COUNTIFS($G$2:$G$2277,"REJECT",$B$2:$B$2277,"&gt;"&amp;B304),1+COUNTIFS($G$2:$G$2277,"&lt;&gt;REJECT",$B$2:$B$2277,"&gt;"&amp;B304))</f>
        <v>301</v>
      </c>
      <c r="B304" s="26" t="n">
        <f aca="false">ROUND(($U$2*MAX(0,MIN(1,($W$2-I304)/($W$2-$V$2)))+$U$3*MAX(0,MIN(1,($W$3-J304)/($W$3-$V$3)))+$U$4*MAX(0,MIN(1,($W$4-K304)/($W$4-$V$4)))+$U$5*MAX(0,MIN(1,($W$5-L304)/($W$5-$V$5)))+$U$6*MAX(0,MIN(1,($W$6-M304)/($W$6-$V$6)))+$U$7*MAX(0,MIN(1,($W$7-N304)/($W$7-$V$7)))+$U$8*IF(AND(O304&gt;=$V$8,O304&lt;=$W$8),1,0))/$U$9*100,2)</f>
        <v>93.06</v>
      </c>
      <c r="C304" s="27" t="s">
        <v>2459</v>
      </c>
      <c r="D304" s="25" t="s">
        <v>134</v>
      </c>
      <c r="E304" s="25" t="s">
        <v>3450</v>
      </c>
      <c r="F304" s="25" t="s">
        <v>3457</v>
      </c>
      <c r="G304" s="33" t="s">
        <v>28</v>
      </c>
      <c r="H304" s="33" t="s">
        <v>24</v>
      </c>
      <c r="I304" s="25" t="n">
        <v>0</v>
      </c>
      <c r="J304" s="25" t="n">
        <v>0</v>
      </c>
      <c r="K304" s="25" t="n">
        <v>0</v>
      </c>
      <c r="L304" s="29" t="n">
        <v>0.75</v>
      </c>
      <c r="M304" s="30" t="n">
        <v>19.66</v>
      </c>
      <c r="N304" s="29" t="n">
        <v>0.4</v>
      </c>
      <c r="O304" s="25" t="n">
        <v>182</v>
      </c>
      <c r="P304" s="30" t="n">
        <v>9.11</v>
      </c>
      <c r="Q304" s="27"/>
      <c r="R304" s="27"/>
    </row>
    <row r="305" customFormat="false" ht="15" hidden="false" customHeight="false" outlineLevel="0" collapsed="false">
      <c r="A305" s="25" t="n">
        <f aca="false">IF(G305="REJECT",COUNTIF($G$2:$G$2277,"&lt;&gt;REJECT")+1+COUNTIFS($G$2:$G$2277,"REJECT",$B$2:$B$2277,"&gt;"&amp;B305),1+COUNTIFS($G$2:$G$2277,"&lt;&gt;REJECT",$B$2:$B$2277,"&gt;"&amp;B305))</f>
        <v>304</v>
      </c>
      <c r="B305" s="26" t="n">
        <f aca="false">ROUND(($U$2*MAX(0,MIN(1,($W$2-I305)/($W$2-$V$2)))+$U$3*MAX(0,MIN(1,($W$3-J305)/($W$3-$V$3)))+$U$4*MAX(0,MIN(1,($W$4-K305)/($W$4-$V$4)))+$U$5*MAX(0,MIN(1,($W$5-L305)/($W$5-$V$5)))+$U$6*MAX(0,MIN(1,($W$6-M305)/($W$6-$V$6)))+$U$7*MAX(0,MIN(1,($W$7-N305)/($W$7-$V$7)))+$U$8*IF(AND(O305&gt;=$V$8,O305&lt;=$W$8),1,0))/$U$9*100,2)</f>
        <v>93.03</v>
      </c>
      <c r="C305" s="27" t="s">
        <v>329</v>
      </c>
      <c r="D305" s="25" t="s">
        <v>134</v>
      </c>
      <c r="E305" s="25" t="s">
        <v>3447</v>
      </c>
      <c r="F305" s="25" t="s">
        <v>3457</v>
      </c>
      <c r="G305" s="33" t="s">
        <v>28</v>
      </c>
      <c r="H305" s="33" t="s">
        <v>24</v>
      </c>
      <c r="I305" s="25" t="n">
        <v>0</v>
      </c>
      <c r="J305" s="25" t="n">
        <v>0</v>
      </c>
      <c r="K305" s="25" t="n">
        <v>0</v>
      </c>
      <c r="L305" s="29" t="n">
        <v>0.74</v>
      </c>
      <c r="M305" s="30" t="n">
        <v>13.84</v>
      </c>
      <c r="N305" s="29" t="n">
        <v>0.64</v>
      </c>
      <c r="O305" s="25" t="n">
        <v>185</v>
      </c>
      <c r="P305" s="30" t="n">
        <v>8.99</v>
      </c>
      <c r="Q305" s="27"/>
      <c r="R305" s="27"/>
    </row>
    <row r="306" customFormat="false" ht="15" hidden="false" customHeight="false" outlineLevel="0" collapsed="false">
      <c r="A306" s="25" t="n">
        <f aca="false">IF(G306="REJECT",COUNTIF($G$2:$G$2277,"&lt;&gt;REJECT")+1+COUNTIFS($G$2:$G$2277,"REJECT",$B$2:$B$2277,"&gt;"&amp;B306),1+COUNTIFS($G$2:$G$2277,"&lt;&gt;REJECT",$B$2:$B$2277,"&gt;"&amp;B306))</f>
        <v>305</v>
      </c>
      <c r="B306" s="26" t="n">
        <f aca="false">ROUND(($U$2*MAX(0,MIN(1,($W$2-I306)/($W$2-$V$2)))+$U$3*MAX(0,MIN(1,($W$3-J306)/($W$3-$V$3)))+$U$4*MAX(0,MIN(1,($W$4-K306)/($W$4-$V$4)))+$U$5*MAX(0,MIN(1,($W$5-L306)/($W$5-$V$5)))+$U$6*MAX(0,MIN(1,($W$6-M306)/($W$6-$V$6)))+$U$7*MAX(0,MIN(1,($W$7-N306)/($W$7-$V$7)))+$U$8*IF(AND(O306&gt;=$V$8,O306&lt;=$W$8),1,0))/$U$9*100,2)</f>
        <v>93.02</v>
      </c>
      <c r="C306" s="27" t="s">
        <v>215</v>
      </c>
      <c r="D306" s="25" t="s">
        <v>134</v>
      </c>
      <c r="E306" s="25" t="s">
        <v>3450</v>
      </c>
      <c r="F306" s="25" t="s">
        <v>3457</v>
      </c>
      <c r="G306" s="33" t="s">
        <v>28</v>
      </c>
      <c r="H306" s="33" t="s">
        <v>24</v>
      </c>
      <c r="I306" s="25" t="n">
        <v>0</v>
      </c>
      <c r="J306" s="25" t="n">
        <v>0</v>
      </c>
      <c r="K306" s="25" t="n">
        <v>0</v>
      </c>
      <c r="L306" s="29" t="n">
        <v>0.72</v>
      </c>
      <c r="M306" s="30" t="n">
        <v>7.46</v>
      </c>
      <c r="N306" s="29" t="n">
        <v>0.56</v>
      </c>
      <c r="O306" s="25" t="n">
        <v>216</v>
      </c>
      <c r="P306" s="30" t="n">
        <v>13.22</v>
      </c>
      <c r="Q306" s="27"/>
      <c r="R306" s="27"/>
    </row>
    <row r="307" customFormat="false" ht="15" hidden="false" customHeight="false" outlineLevel="0" collapsed="false">
      <c r="A307" s="25" t="n">
        <f aca="false">IF(G307="REJECT",COUNTIF($G$2:$G$2277,"&lt;&gt;REJECT")+1+COUNTIFS($G$2:$G$2277,"REJECT",$B$2:$B$2277,"&gt;"&amp;B307),1+COUNTIFS($G$2:$G$2277,"&lt;&gt;REJECT",$B$2:$B$2277,"&gt;"&amp;B307))</f>
        <v>306</v>
      </c>
      <c r="B307" s="26" t="n">
        <f aca="false">ROUND(($U$2*MAX(0,MIN(1,($W$2-I307)/($W$2-$V$2)))+$U$3*MAX(0,MIN(1,($W$3-J307)/($W$3-$V$3)))+$U$4*MAX(0,MIN(1,($W$4-K307)/($W$4-$V$4)))+$U$5*MAX(0,MIN(1,($W$5-L307)/($W$5-$V$5)))+$U$6*MAX(0,MIN(1,($W$6-M307)/($W$6-$V$6)))+$U$7*MAX(0,MIN(1,($W$7-N307)/($W$7-$V$7)))+$U$8*IF(AND(O307&gt;=$V$8,O307&lt;=$W$8),1,0))/$U$9*100,2)</f>
        <v>93.01</v>
      </c>
      <c r="C307" s="27" t="s">
        <v>1645</v>
      </c>
      <c r="D307" s="25" t="s">
        <v>134</v>
      </c>
      <c r="E307" s="25" t="s">
        <v>3450</v>
      </c>
      <c r="F307" s="25" t="s">
        <v>3448</v>
      </c>
      <c r="G307" s="28" t="s">
        <v>29</v>
      </c>
      <c r="H307" s="28" t="s">
        <v>25</v>
      </c>
      <c r="I307" s="25" t="n">
        <v>0</v>
      </c>
      <c r="J307" s="25" t="n">
        <v>0</v>
      </c>
      <c r="K307" s="25" t="n">
        <v>0</v>
      </c>
      <c r="L307" s="29" t="n">
        <v>0.74</v>
      </c>
      <c r="M307" s="30" t="n">
        <v>20.34</v>
      </c>
      <c r="N307" s="29" t="n">
        <v>0</v>
      </c>
      <c r="O307" s="25" t="n">
        <v>186</v>
      </c>
      <c r="P307" s="30" t="n">
        <v>12.27</v>
      </c>
      <c r="Q307" s="27"/>
      <c r="R307" s="27" t="s">
        <v>3470</v>
      </c>
    </row>
    <row r="308" customFormat="false" ht="15" hidden="false" customHeight="false" outlineLevel="0" collapsed="false">
      <c r="A308" s="25" t="n">
        <f aca="false">IF(G308="REJECT",COUNTIF($G$2:$G$2277,"&lt;&gt;REJECT")+1+COUNTIFS($G$2:$G$2277,"REJECT",$B$2:$B$2277,"&gt;"&amp;B308),1+COUNTIFS($G$2:$G$2277,"&lt;&gt;REJECT",$B$2:$B$2277,"&gt;"&amp;B308))</f>
        <v>307</v>
      </c>
      <c r="B308" s="26" t="n">
        <f aca="false">ROUND(($U$2*MAX(0,MIN(1,($W$2-I308)/($W$2-$V$2)))+$U$3*MAX(0,MIN(1,($W$3-J308)/($W$3-$V$3)))+$U$4*MAX(0,MIN(1,($W$4-K308)/($W$4-$V$4)))+$U$5*MAX(0,MIN(1,($W$5-L308)/($W$5-$V$5)))+$U$6*MAX(0,MIN(1,($W$6-M308)/($W$6-$V$6)))+$U$7*MAX(0,MIN(1,($W$7-N308)/($W$7-$V$7)))+$U$8*IF(AND(O308&gt;=$V$8,O308&lt;=$W$8),1,0))/$U$9*100,2)</f>
        <v>92.99</v>
      </c>
      <c r="C308" s="27" t="s">
        <v>1203</v>
      </c>
      <c r="D308" s="25" t="s">
        <v>134</v>
      </c>
      <c r="E308" s="25" t="s">
        <v>3447</v>
      </c>
      <c r="F308" s="25" t="s">
        <v>3457</v>
      </c>
      <c r="G308" s="33" t="s">
        <v>28</v>
      </c>
      <c r="H308" s="33" t="s">
        <v>24</v>
      </c>
      <c r="I308" s="25" t="n">
        <v>0</v>
      </c>
      <c r="J308" s="25" t="n">
        <v>0</v>
      </c>
      <c r="K308" s="25" t="n">
        <v>0</v>
      </c>
      <c r="L308" s="29" t="n">
        <v>0.72</v>
      </c>
      <c r="M308" s="30" t="n">
        <v>7.65</v>
      </c>
      <c r="N308" s="29" t="n">
        <v>0.56</v>
      </c>
      <c r="O308" s="25" t="n">
        <v>183</v>
      </c>
      <c r="P308" s="30" t="n">
        <v>0.57</v>
      </c>
      <c r="Q308" s="27"/>
      <c r="R308" s="27"/>
    </row>
    <row r="309" customFormat="false" ht="15" hidden="false" customHeight="false" outlineLevel="0" collapsed="false">
      <c r="A309" s="25" t="n">
        <f aca="false">IF(G309="REJECT",COUNTIF($G$2:$G$2277,"&lt;&gt;REJECT")+1+COUNTIFS($G$2:$G$2277,"REJECT",$B$2:$B$2277,"&gt;"&amp;B309),1+COUNTIFS($G$2:$G$2277,"&lt;&gt;REJECT",$B$2:$B$2277,"&gt;"&amp;B309))</f>
        <v>307</v>
      </c>
      <c r="B309" s="26" t="n">
        <f aca="false">ROUND(($U$2*MAX(0,MIN(1,($W$2-I309)/($W$2-$V$2)))+$U$3*MAX(0,MIN(1,($W$3-J309)/($W$3-$V$3)))+$U$4*MAX(0,MIN(1,($W$4-K309)/($W$4-$V$4)))+$U$5*MAX(0,MIN(1,($W$5-L309)/($W$5-$V$5)))+$U$6*MAX(0,MIN(1,($W$6-M309)/($W$6-$V$6)))+$U$7*MAX(0,MIN(1,($W$7-N309)/($W$7-$V$7)))+$U$8*IF(AND(O309&gt;=$V$8,O309&lt;=$W$8),1,0))/$U$9*100,2)</f>
        <v>92.99</v>
      </c>
      <c r="C309" s="27" t="s">
        <v>2648</v>
      </c>
      <c r="D309" s="25" t="s">
        <v>134</v>
      </c>
      <c r="E309" s="25" t="s">
        <v>3450</v>
      </c>
      <c r="F309" s="25" t="s">
        <v>3457</v>
      </c>
      <c r="G309" s="28" t="s">
        <v>29</v>
      </c>
      <c r="H309" s="28" t="s">
        <v>25</v>
      </c>
      <c r="I309" s="25" t="n">
        <v>0</v>
      </c>
      <c r="J309" s="25" t="n">
        <v>0</v>
      </c>
      <c r="K309" s="25" t="n">
        <v>0</v>
      </c>
      <c r="L309" s="29" t="n">
        <v>0.74</v>
      </c>
      <c r="M309" s="30" t="n">
        <v>20.47</v>
      </c>
      <c r="N309" s="29" t="n">
        <v>0</v>
      </c>
      <c r="O309" s="25" t="n">
        <v>184</v>
      </c>
      <c r="P309" s="30" t="n">
        <v>13.5</v>
      </c>
      <c r="Q309" s="27"/>
      <c r="R309" s="27" t="s">
        <v>61</v>
      </c>
    </row>
    <row r="310" customFormat="false" ht="15" hidden="false" customHeight="false" outlineLevel="0" collapsed="false">
      <c r="A310" s="25" t="n">
        <f aca="false">IF(G310="REJECT",COUNTIF($G$2:$G$2277,"&lt;&gt;REJECT")+1+COUNTIFS($G$2:$G$2277,"REJECT",$B$2:$B$2277,"&gt;"&amp;B310),1+COUNTIFS($G$2:$G$2277,"&lt;&gt;REJECT",$B$2:$B$2277,"&gt;"&amp;B310))</f>
        <v>307</v>
      </c>
      <c r="B310" s="26" t="n">
        <f aca="false">ROUND(($U$2*MAX(0,MIN(1,($W$2-I310)/($W$2-$V$2)))+$U$3*MAX(0,MIN(1,($W$3-J310)/($W$3-$V$3)))+$U$4*MAX(0,MIN(1,($W$4-K310)/($W$4-$V$4)))+$U$5*MAX(0,MIN(1,($W$5-L310)/($W$5-$V$5)))+$U$6*MAX(0,MIN(1,($W$6-M310)/($W$6-$V$6)))+$U$7*MAX(0,MIN(1,($W$7-N310)/($W$7-$V$7)))+$U$8*IF(AND(O310&gt;=$V$8,O310&lt;=$W$8),1,0))/$U$9*100,2)</f>
        <v>92.99</v>
      </c>
      <c r="C310" s="27" t="s">
        <v>3016</v>
      </c>
      <c r="D310" s="25" t="s">
        <v>134</v>
      </c>
      <c r="E310" s="25" t="s">
        <v>3447</v>
      </c>
      <c r="F310" s="25" t="s">
        <v>3457</v>
      </c>
      <c r="G310" s="33" t="s">
        <v>28</v>
      </c>
      <c r="H310" s="33" t="s">
        <v>24</v>
      </c>
      <c r="I310" s="25" t="n">
        <v>0</v>
      </c>
      <c r="J310" s="25" t="n">
        <v>0</v>
      </c>
      <c r="K310" s="25" t="n">
        <v>0</v>
      </c>
      <c r="L310" s="29" t="n">
        <v>0.73</v>
      </c>
      <c r="M310" s="30" t="n">
        <v>7.65</v>
      </c>
      <c r="N310" s="29" t="n">
        <v>0.92</v>
      </c>
      <c r="O310" s="25" t="n">
        <v>183</v>
      </c>
      <c r="P310" s="30" t="n">
        <v>-0.62</v>
      </c>
      <c r="Q310" s="27"/>
      <c r="R310" s="27"/>
    </row>
    <row r="311" customFormat="false" ht="15" hidden="false" customHeight="false" outlineLevel="0" collapsed="false">
      <c r="A311" s="25" t="n">
        <f aca="false">IF(G311="REJECT",COUNTIF($G$2:$G$2277,"&lt;&gt;REJECT")+1+COUNTIFS($G$2:$G$2277,"REJECT",$B$2:$B$2277,"&gt;"&amp;B311),1+COUNTIFS($G$2:$G$2277,"&lt;&gt;REJECT",$B$2:$B$2277,"&gt;"&amp;B311))</f>
        <v>310</v>
      </c>
      <c r="B311" s="26" t="n">
        <f aca="false">ROUND(($U$2*MAX(0,MIN(1,($W$2-I311)/($W$2-$V$2)))+$U$3*MAX(0,MIN(1,($W$3-J311)/($W$3-$V$3)))+$U$4*MAX(0,MIN(1,($W$4-K311)/($W$4-$V$4)))+$U$5*MAX(0,MIN(1,($W$5-L311)/($W$5-$V$5)))+$U$6*MAX(0,MIN(1,($W$6-M311)/($W$6-$V$6)))+$U$7*MAX(0,MIN(1,($W$7-N311)/($W$7-$V$7)))+$U$8*IF(AND(O311&gt;=$V$8,O311&lt;=$W$8),1,0))/$U$9*100,2)</f>
        <v>92.98</v>
      </c>
      <c r="C311" s="27" t="s">
        <v>1448</v>
      </c>
      <c r="D311" s="25" t="s">
        <v>134</v>
      </c>
      <c r="E311" s="25" t="s">
        <v>3450</v>
      </c>
      <c r="F311" s="25" t="s">
        <v>3457</v>
      </c>
      <c r="G311" s="33" t="s">
        <v>28</v>
      </c>
      <c r="H311" s="33" t="s">
        <v>24</v>
      </c>
      <c r="I311" s="25" t="n">
        <v>0</v>
      </c>
      <c r="J311" s="25" t="n">
        <v>0</v>
      </c>
      <c r="K311" s="25" t="n">
        <v>0</v>
      </c>
      <c r="L311" s="29" t="n">
        <v>0.7</v>
      </c>
      <c r="M311" s="30" t="n">
        <v>1.33</v>
      </c>
      <c r="N311" s="29" t="n">
        <v>0.48</v>
      </c>
      <c r="O311" s="25" t="n">
        <v>182</v>
      </c>
      <c r="P311" s="30" t="n">
        <v>6.43</v>
      </c>
      <c r="Q311" s="27"/>
      <c r="R311" s="27"/>
    </row>
    <row r="312" customFormat="false" ht="15" hidden="false" customHeight="false" outlineLevel="0" collapsed="false">
      <c r="A312" s="25" t="n">
        <f aca="false">IF(G312="REJECT",COUNTIF($G$2:$G$2277,"&lt;&gt;REJECT")+1+COUNTIFS($G$2:$G$2277,"REJECT",$B$2:$B$2277,"&gt;"&amp;B312),1+COUNTIFS($G$2:$G$2277,"&lt;&gt;REJECT",$B$2:$B$2277,"&gt;"&amp;B312))</f>
        <v>310</v>
      </c>
      <c r="B312" s="26" t="n">
        <f aca="false">ROUND(($U$2*MAX(0,MIN(1,($W$2-I312)/($W$2-$V$2)))+$U$3*MAX(0,MIN(1,($W$3-J312)/($W$3-$V$3)))+$U$4*MAX(0,MIN(1,($W$4-K312)/($W$4-$V$4)))+$U$5*MAX(0,MIN(1,($W$5-L312)/($W$5-$V$5)))+$U$6*MAX(0,MIN(1,($W$6-M312)/($W$6-$V$6)))+$U$7*MAX(0,MIN(1,($W$7-N312)/($W$7-$V$7)))+$U$8*IF(AND(O312&gt;=$V$8,O312&lt;=$W$8),1,0))/$U$9*100,2)</f>
        <v>92.98</v>
      </c>
      <c r="C312" s="27" t="s">
        <v>3057</v>
      </c>
      <c r="D312" s="25" t="s">
        <v>134</v>
      </c>
      <c r="E312" s="25" t="s">
        <v>3447</v>
      </c>
      <c r="F312" s="25" t="s">
        <v>3457</v>
      </c>
      <c r="G312" s="28" t="s">
        <v>29</v>
      </c>
      <c r="H312" s="28" t="s">
        <v>25</v>
      </c>
      <c r="I312" s="25" t="n">
        <v>0</v>
      </c>
      <c r="J312" s="25" t="n">
        <v>0</v>
      </c>
      <c r="K312" s="25" t="n">
        <v>0</v>
      </c>
      <c r="L312" s="29" t="n">
        <v>0.76</v>
      </c>
      <c r="M312" s="30" t="n">
        <v>18.93</v>
      </c>
      <c r="N312" s="29" t="n">
        <v>0.88</v>
      </c>
      <c r="O312" s="25" t="n">
        <v>187</v>
      </c>
      <c r="P312" s="30" t="n">
        <v>-0.64</v>
      </c>
      <c r="Q312" s="27"/>
      <c r="R312" s="27" t="s">
        <v>63</v>
      </c>
    </row>
    <row r="313" customFormat="false" ht="15" hidden="false" customHeight="false" outlineLevel="0" collapsed="false">
      <c r="A313" s="25" t="n">
        <f aca="false">IF(G313="REJECT",COUNTIF($G$2:$G$2277,"&lt;&gt;REJECT")+1+COUNTIFS($G$2:$G$2277,"REJECT",$B$2:$B$2277,"&gt;"&amp;B313),1+COUNTIFS($G$2:$G$2277,"&lt;&gt;REJECT",$B$2:$B$2277,"&gt;"&amp;B313))</f>
        <v>312</v>
      </c>
      <c r="B313" s="26" t="n">
        <f aca="false">ROUND(($U$2*MAX(0,MIN(1,($W$2-I313)/($W$2-$V$2)))+$U$3*MAX(0,MIN(1,($W$3-J313)/($W$3-$V$3)))+$U$4*MAX(0,MIN(1,($W$4-K313)/($W$4-$V$4)))+$U$5*MAX(0,MIN(1,($W$5-L313)/($W$5-$V$5)))+$U$6*MAX(0,MIN(1,($W$6-M313)/($W$6-$V$6)))+$U$7*MAX(0,MIN(1,($W$7-N313)/($W$7-$V$7)))+$U$8*IF(AND(O313&gt;=$V$8,O313&lt;=$W$8),1,0))/$U$9*100,2)</f>
        <v>92.97</v>
      </c>
      <c r="C313" s="27" t="s">
        <v>2186</v>
      </c>
      <c r="D313" s="25" t="s">
        <v>134</v>
      </c>
      <c r="E313" s="25" t="s">
        <v>3450</v>
      </c>
      <c r="F313" s="25" t="s">
        <v>3448</v>
      </c>
      <c r="G313" s="33" t="s">
        <v>28</v>
      </c>
      <c r="H313" s="33" t="s">
        <v>24</v>
      </c>
      <c r="I313" s="25" t="n">
        <v>0</v>
      </c>
      <c r="J313" s="25" t="n">
        <v>0</v>
      </c>
      <c r="K313" s="25" t="n">
        <v>0</v>
      </c>
      <c r="L313" s="29" t="n">
        <v>0.75</v>
      </c>
      <c r="M313" s="30" t="n">
        <v>19.01</v>
      </c>
      <c r="N313" s="29" t="n">
        <v>0.52</v>
      </c>
      <c r="O313" s="25" t="n">
        <v>183</v>
      </c>
      <c r="P313" s="30" t="n">
        <v>11.86</v>
      </c>
      <c r="Q313" s="27"/>
      <c r="R313" s="27"/>
    </row>
    <row r="314" customFormat="false" ht="15" hidden="false" customHeight="false" outlineLevel="0" collapsed="false">
      <c r="A314" s="25" t="n">
        <f aca="false">IF(G314="REJECT",COUNTIF($G$2:$G$2277,"&lt;&gt;REJECT")+1+COUNTIFS($G$2:$G$2277,"REJECT",$B$2:$B$2277,"&gt;"&amp;B314),1+COUNTIFS($G$2:$G$2277,"&lt;&gt;REJECT",$B$2:$B$2277,"&gt;"&amp;B314))</f>
        <v>313</v>
      </c>
      <c r="B314" s="26" t="n">
        <f aca="false">ROUND(($U$2*MAX(0,MIN(1,($W$2-I314)/($W$2-$V$2)))+$U$3*MAX(0,MIN(1,($W$3-J314)/($W$3-$V$3)))+$U$4*MAX(0,MIN(1,($W$4-K314)/($W$4-$V$4)))+$U$5*MAX(0,MIN(1,($W$5-L314)/($W$5-$V$5)))+$U$6*MAX(0,MIN(1,($W$6-M314)/($W$6-$V$6)))+$U$7*MAX(0,MIN(1,($W$7-N314)/($W$7-$V$7)))+$U$8*IF(AND(O314&gt;=$V$8,O314&lt;=$W$8),1,0))/$U$9*100,2)</f>
        <v>92.95</v>
      </c>
      <c r="C314" s="27" t="s">
        <v>830</v>
      </c>
      <c r="D314" s="25" t="s">
        <v>134</v>
      </c>
      <c r="E314" s="25" t="s">
        <v>3447</v>
      </c>
      <c r="F314" s="25" t="s">
        <v>3448</v>
      </c>
      <c r="G314" s="28" t="s">
        <v>29</v>
      </c>
      <c r="H314" s="28" t="s">
        <v>25</v>
      </c>
      <c r="I314" s="25" t="n">
        <v>0</v>
      </c>
      <c r="J314" s="25" t="n">
        <v>0</v>
      </c>
      <c r="K314" s="25" t="n">
        <v>0</v>
      </c>
      <c r="L314" s="29" t="n">
        <v>0.74</v>
      </c>
      <c r="M314" s="30" t="n">
        <v>16.28</v>
      </c>
      <c r="N314" s="29" t="n">
        <v>0.44</v>
      </c>
      <c r="O314" s="25" t="n">
        <v>195</v>
      </c>
      <c r="P314" s="30" t="n">
        <v>12.9</v>
      </c>
      <c r="Q314" s="27"/>
      <c r="R314" s="27" t="s">
        <v>63</v>
      </c>
    </row>
    <row r="315" customFormat="false" ht="15" hidden="false" customHeight="false" outlineLevel="0" collapsed="false">
      <c r="A315" s="25" t="n">
        <f aca="false">IF(G315="REJECT",COUNTIF($G$2:$G$2277,"&lt;&gt;REJECT")+1+COUNTIFS($G$2:$G$2277,"REJECT",$B$2:$B$2277,"&gt;"&amp;B315),1+COUNTIFS($G$2:$G$2277,"&lt;&gt;REJECT",$B$2:$B$2277,"&gt;"&amp;B315))</f>
        <v>314</v>
      </c>
      <c r="B315" s="26" t="n">
        <f aca="false">ROUND(($U$2*MAX(0,MIN(1,($W$2-I315)/($W$2-$V$2)))+$U$3*MAX(0,MIN(1,($W$3-J315)/($W$3-$V$3)))+$U$4*MAX(0,MIN(1,($W$4-K315)/($W$4-$V$4)))+$U$5*MAX(0,MIN(1,($W$5-L315)/($W$5-$V$5)))+$U$6*MAX(0,MIN(1,($W$6-M315)/($W$6-$V$6)))+$U$7*MAX(0,MIN(1,($W$7-N315)/($W$7-$V$7)))+$U$8*IF(AND(O315&gt;=$V$8,O315&lt;=$W$8),1,0))/$U$9*100,2)</f>
        <v>92.93</v>
      </c>
      <c r="C315" s="27" t="s">
        <v>1203</v>
      </c>
      <c r="D315" s="25" t="s">
        <v>134</v>
      </c>
      <c r="E315" s="25" t="s">
        <v>3450</v>
      </c>
      <c r="F315" s="25" t="s">
        <v>3457</v>
      </c>
      <c r="G315" s="28" t="s">
        <v>29</v>
      </c>
      <c r="H315" s="28" t="s">
        <v>25</v>
      </c>
      <c r="I315" s="25" t="n">
        <v>0</v>
      </c>
      <c r="J315" s="25" t="n">
        <v>0</v>
      </c>
      <c r="K315" s="25" t="n">
        <v>0</v>
      </c>
      <c r="L315" s="29" t="n">
        <v>0.71</v>
      </c>
      <c r="M315" s="30" t="n">
        <v>0.4</v>
      </c>
      <c r="N315" s="29" t="n">
        <v>0.96</v>
      </c>
      <c r="O315" s="25" t="n">
        <v>186</v>
      </c>
      <c r="P315" s="30" t="n">
        <v>-0.35</v>
      </c>
      <c r="Q315" s="27"/>
      <c r="R315" s="27" t="s">
        <v>62</v>
      </c>
    </row>
    <row r="316" customFormat="false" ht="15" hidden="false" customHeight="false" outlineLevel="0" collapsed="false">
      <c r="A316" s="25" t="n">
        <f aca="false">IF(G316="REJECT",COUNTIF($G$2:$G$2277,"&lt;&gt;REJECT")+1+COUNTIFS($G$2:$G$2277,"REJECT",$B$2:$B$2277,"&gt;"&amp;B316),1+COUNTIFS($G$2:$G$2277,"&lt;&gt;REJECT",$B$2:$B$2277,"&gt;"&amp;B316))</f>
        <v>315</v>
      </c>
      <c r="B316" s="26" t="n">
        <f aca="false">ROUND(($U$2*MAX(0,MIN(1,($W$2-I316)/($W$2-$V$2)))+$U$3*MAX(0,MIN(1,($W$3-J316)/($W$3-$V$3)))+$U$4*MAX(0,MIN(1,($W$4-K316)/($W$4-$V$4)))+$U$5*MAX(0,MIN(1,($W$5-L316)/($W$5-$V$5)))+$U$6*MAX(0,MIN(1,($W$6-M316)/($W$6-$V$6)))+$U$7*MAX(0,MIN(1,($W$7-N316)/($W$7-$V$7)))+$U$8*IF(AND(O316&gt;=$V$8,O316&lt;=$W$8),1,0))/$U$9*100,2)</f>
        <v>92.88</v>
      </c>
      <c r="C316" s="27" t="s">
        <v>2529</v>
      </c>
      <c r="D316" s="25" t="s">
        <v>134</v>
      </c>
      <c r="E316" s="25" t="s">
        <v>3447</v>
      </c>
      <c r="F316" s="25" t="s">
        <v>3457</v>
      </c>
      <c r="G316" s="33" t="s">
        <v>28</v>
      </c>
      <c r="H316" s="33" t="s">
        <v>24</v>
      </c>
      <c r="I316" s="25" t="n">
        <v>0</v>
      </c>
      <c r="J316" s="25" t="n">
        <v>0</v>
      </c>
      <c r="K316" s="25" t="n">
        <v>0</v>
      </c>
      <c r="L316" s="29" t="n">
        <v>0.75</v>
      </c>
      <c r="M316" s="30" t="n">
        <v>15.12</v>
      </c>
      <c r="N316" s="29" t="n">
        <v>0.96</v>
      </c>
      <c r="O316" s="25" t="n">
        <v>183</v>
      </c>
      <c r="P316" s="30" t="n">
        <v>-0.14</v>
      </c>
      <c r="Q316" s="27"/>
      <c r="R316" s="27"/>
    </row>
    <row r="317" customFormat="false" ht="15" hidden="false" customHeight="false" outlineLevel="0" collapsed="false">
      <c r="A317" s="25" t="n">
        <f aca="false">IF(G317="REJECT",COUNTIF($G$2:$G$2277,"&lt;&gt;REJECT")+1+COUNTIFS($G$2:$G$2277,"REJECT",$B$2:$B$2277,"&gt;"&amp;B317),1+COUNTIFS($G$2:$G$2277,"&lt;&gt;REJECT",$B$2:$B$2277,"&gt;"&amp;B317))</f>
        <v>316</v>
      </c>
      <c r="B317" s="26" t="n">
        <f aca="false">ROUND(($U$2*MAX(0,MIN(1,($W$2-I317)/($W$2-$V$2)))+$U$3*MAX(0,MIN(1,($W$3-J317)/($W$3-$V$3)))+$U$4*MAX(0,MIN(1,($W$4-K317)/($W$4-$V$4)))+$U$5*MAX(0,MIN(1,($W$5-L317)/($W$5-$V$5)))+$U$6*MAX(0,MIN(1,($W$6-M317)/($W$6-$V$6)))+$U$7*MAX(0,MIN(1,($W$7-N317)/($W$7-$V$7)))+$U$8*IF(AND(O317&gt;=$V$8,O317&lt;=$W$8),1,0))/$U$9*100,2)</f>
        <v>92.87</v>
      </c>
      <c r="C317" s="27" t="s">
        <v>273</v>
      </c>
      <c r="D317" s="25" t="s">
        <v>134</v>
      </c>
      <c r="E317" s="25" t="s">
        <v>3447</v>
      </c>
      <c r="F317" s="25" t="s">
        <v>3448</v>
      </c>
      <c r="G317" s="28" t="s">
        <v>29</v>
      </c>
      <c r="H317" s="28" t="s">
        <v>25</v>
      </c>
      <c r="I317" s="25" t="n">
        <v>0</v>
      </c>
      <c r="J317" s="25" t="n">
        <v>0</v>
      </c>
      <c r="K317" s="25" t="n">
        <v>0</v>
      </c>
      <c r="L317" s="29" t="n">
        <v>0.78</v>
      </c>
      <c r="M317" s="30" t="n">
        <v>26.77</v>
      </c>
      <c r="N317" s="29" t="n">
        <v>0.88</v>
      </c>
      <c r="O317" s="25" t="n">
        <v>183</v>
      </c>
      <c r="P317" s="30" t="n">
        <v>7.45</v>
      </c>
      <c r="Q317" s="27"/>
      <c r="R317" s="27" t="s">
        <v>61</v>
      </c>
    </row>
    <row r="318" customFormat="false" ht="15" hidden="false" customHeight="false" outlineLevel="0" collapsed="false">
      <c r="A318" s="25" t="n">
        <f aca="false">IF(G318="REJECT",COUNTIF($G$2:$G$2277,"&lt;&gt;REJECT")+1+COUNTIFS($G$2:$G$2277,"REJECT",$B$2:$B$2277,"&gt;"&amp;B318),1+COUNTIFS($G$2:$G$2277,"&lt;&gt;REJECT",$B$2:$B$2277,"&gt;"&amp;B318))</f>
        <v>316</v>
      </c>
      <c r="B318" s="26" t="n">
        <f aca="false">ROUND(($U$2*MAX(0,MIN(1,($W$2-I318)/($W$2-$V$2)))+$U$3*MAX(0,MIN(1,($W$3-J318)/($W$3-$V$3)))+$U$4*MAX(0,MIN(1,($W$4-K318)/($W$4-$V$4)))+$U$5*MAX(0,MIN(1,($W$5-L318)/($W$5-$V$5)))+$U$6*MAX(0,MIN(1,($W$6-M318)/($W$6-$V$6)))+$U$7*MAX(0,MIN(1,($W$7-N318)/($W$7-$V$7)))+$U$8*IF(AND(O318&gt;=$V$8,O318&lt;=$W$8),1,0))/$U$9*100,2)</f>
        <v>92.87</v>
      </c>
      <c r="C318" s="27" t="s">
        <v>676</v>
      </c>
      <c r="D318" s="25" t="s">
        <v>134</v>
      </c>
      <c r="E318" s="25" t="s">
        <v>3450</v>
      </c>
      <c r="F318" s="25" t="s">
        <v>3457</v>
      </c>
      <c r="G318" s="33" t="s">
        <v>28</v>
      </c>
      <c r="H318" s="33" t="s">
        <v>24</v>
      </c>
      <c r="I318" s="25" t="n">
        <v>0</v>
      </c>
      <c r="J318" s="25" t="n">
        <v>0</v>
      </c>
      <c r="K318" s="25" t="n">
        <v>0</v>
      </c>
      <c r="L318" s="29" t="n">
        <v>0.7</v>
      </c>
      <c r="M318" s="30" t="n">
        <v>6.78</v>
      </c>
      <c r="N318" s="29" t="n">
        <v>0</v>
      </c>
      <c r="O318" s="25" t="n">
        <v>195</v>
      </c>
      <c r="P318" s="30" t="n">
        <v>12.94</v>
      </c>
      <c r="Q318" s="27"/>
      <c r="R318" s="27"/>
    </row>
    <row r="319" customFormat="false" ht="15" hidden="false" customHeight="false" outlineLevel="0" collapsed="false">
      <c r="A319" s="25" t="n">
        <f aca="false">IF(G319="REJECT",COUNTIF($G$2:$G$2277,"&lt;&gt;REJECT")+1+COUNTIFS($G$2:$G$2277,"REJECT",$B$2:$B$2277,"&gt;"&amp;B319),1+COUNTIFS($G$2:$G$2277,"&lt;&gt;REJECT",$B$2:$B$2277,"&gt;"&amp;B319))</f>
        <v>318</v>
      </c>
      <c r="B319" s="26" t="n">
        <f aca="false">ROUND(($U$2*MAX(0,MIN(1,($W$2-I319)/($W$2-$V$2)))+$U$3*MAX(0,MIN(1,($W$3-J319)/($W$3-$V$3)))+$U$4*MAX(0,MIN(1,($W$4-K319)/($W$4-$V$4)))+$U$5*MAX(0,MIN(1,($W$5-L319)/($W$5-$V$5)))+$U$6*MAX(0,MIN(1,($W$6-M319)/($W$6-$V$6)))+$U$7*MAX(0,MIN(1,($W$7-N319)/($W$7-$V$7)))+$U$8*IF(AND(O319&gt;=$V$8,O319&lt;=$W$8),1,0))/$U$9*100,2)</f>
        <v>92.84</v>
      </c>
      <c r="C319" s="27" t="s">
        <v>449</v>
      </c>
      <c r="D319" s="25" t="s">
        <v>3459</v>
      </c>
      <c r="E319" s="25" t="s">
        <v>3447</v>
      </c>
      <c r="F319" s="25" t="s">
        <v>3457</v>
      </c>
      <c r="G319" s="38" t="s">
        <v>30</v>
      </c>
      <c r="H319" s="33" t="s">
        <v>24</v>
      </c>
      <c r="I319" s="25" t="n">
        <v>1</v>
      </c>
      <c r="J319" s="25" t="n">
        <v>0</v>
      </c>
      <c r="K319" s="25" t="n">
        <v>1</v>
      </c>
      <c r="L319" s="29" t="n">
        <v>0.82</v>
      </c>
      <c r="M319" s="30" t="n">
        <v>1.09</v>
      </c>
      <c r="N319" s="29" t="n">
        <v>0.44</v>
      </c>
      <c r="O319" s="25" t="n">
        <v>185</v>
      </c>
      <c r="P319" s="30" t="n">
        <v>1.87</v>
      </c>
      <c r="Q319" s="27" t="s">
        <v>3474</v>
      </c>
      <c r="R319" s="27" t="s">
        <v>30</v>
      </c>
    </row>
    <row r="320" customFormat="false" ht="15" hidden="false" customHeight="false" outlineLevel="0" collapsed="false">
      <c r="A320" s="25" t="n">
        <f aca="false">IF(G320="REJECT",COUNTIF($G$2:$G$2277,"&lt;&gt;REJECT")+1+COUNTIFS($G$2:$G$2277,"REJECT",$B$2:$B$2277,"&gt;"&amp;B320),1+COUNTIFS($G$2:$G$2277,"&lt;&gt;REJECT",$B$2:$B$2277,"&gt;"&amp;B320))</f>
        <v>319</v>
      </c>
      <c r="B320" s="26" t="n">
        <f aca="false">ROUND(($U$2*MAX(0,MIN(1,($W$2-I320)/($W$2-$V$2)))+$U$3*MAX(0,MIN(1,($W$3-J320)/($W$3-$V$3)))+$U$4*MAX(0,MIN(1,($W$4-K320)/($W$4-$V$4)))+$U$5*MAX(0,MIN(1,($W$5-L320)/($W$5-$V$5)))+$U$6*MAX(0,MIN(1,($W$6-M320)/($W$6-$V$6)))+$U$7*MAX(0,MIN(1,($W$7-N320)/($W$7-$V$7)))+$U$8*IF(AND(O320&gt;=$V$8,O320&lt;=$W$8),1,0))/$U$9*100,2)</f>
        <v>92.83</v>
      </c>
      <c r="C320" s="27" t="s">
        <v>1002</v>
      </c>
      <c r="D320" s="25" t="s">
        <v>134</v>
      </c>
      <c r="E320" s="25" t="s">
        <v>3450</v>
      </c>
      <c r="F320" s="25" t="s">
        <v>3448</v>
      </c>
      <c r="G320" s="33" t="s">
        <v>28</v>
      </c>
      <c r="H320" s="33" t="s">
        <v>24</v>
      </c>
      <c r="I320" s="25" t="n">
        <v>0</v>
      </c>
      <c r="J320" s="25" t="n">
        <v>0</v>
      </c>
      <c r="K320" s="25" t="n">
        <v>0</v>
      </c>
      <c r="L320" s="29" t="n">
        <v>0.76</v>
      </c>
      <c r="M320" s="30" t="n">
        <v>19.01</v>
      </c>
      <c r="N320" s="29" t="n">
        <v>0.96</v>
      </c>
      <c r="O320" s="25" t="n">
        <v>183</v>
      </c>
      <c r="P320" s="30" t="n">
        <v>8.94</v>
      </c>
      <c r="Q320" s="27"/>
      <c r="R320" s="27"/>
    </row>
    <row r="321" customFormat="false" ht="15" hidden="false" customHeight="false" outlineLevel="0" collapsed="false">
      <c r="A321" s="25" t="n">
        <f aca="false">IF(G321="REJECT",COUNTIF($G$2:$G$2277,"&lt;&gt;REJECT")+1+COUNTIFS($G$2:$G$2277,"REJECT",$B$2:$B$2277,"&gt;"&amp;B321),1+COUNTIFS($G$2:$G$2277,"&lt;&gt;REJECT",$B$2:$B$2277,"&gt;"&amp;B321))</f>
        <v>319</v>
      </c>
      <c r="B321" s="26" t="n">
        <f aca="false">ROUND(($U$2*MAX(0,MIN(1,($W$2-I321)/($W$2-$V$2)))+$U$3*MAX(0,MIN(1,($W$3-J321)/($W$3-$V$3)))+$U$4*MAX(0,MIN(1,($W$4-K321)/($W$4-$V$4)))+$U$5*MAX(0,MIN(1,($W$5-L321)/($W$5-$V$5)))+$U$6*MAX(0,MIN(1,($W$6-M321)/($W$6-$V$6)))+$U$7*MAX(0,MIN(1,($W$7-N321)/($W$7-$V$7)))+$U$8*IF(AND(O321&gt;=$V$8,O321&lt;=$W$8),1,0))/$U$9*100,2)</f>
        <v>92.83</v>
      </c>
      <c r="C321" s="27" t="s">
        <v>3216</v>
      </c>
      <c r="D321" s="25" t="s">
        <v>3459</v>
      </c>
      <c r="E321" s="25" t="s">
        <v>3450</v>
      </c>
      <c r="F321" s="25" t="s">
        <v>3457</v>
      </c>
      <c r="G321" s="28" t="s">
        <v>29</v>
      </c>
      <c r="H321" s="28" t="s">
        <v>25</v>
      </c>
      <c r="I321" s="25" t="n">
        <v>0</v>
      </c>
      <c r="J321" s="25" t="n">
        <v>0</v>
      </c>
      <c r="K321" s="25" t="n">
        <v>0</v>
      </c>
      <c r="L321" s="29" t="n">
        <v>0.76</v>
      </c>
      <c r="M321" s="30" t="n">
        <v>21.85</v>
      </c>
      <c r="N321" s="29" t="n">
        <v>0.68</v>
      </c>
      <c r="O321" s="25" t="n">
        <v>240</v>
      </c>
      <c r="P321" s="30" t="n">
        <v>-1.58</v>
      </c>
      <c r="Q321" s="27"/>
      <c r="R321" s="27" t="s">
        <v>3113</v>
      </c>
    </row>
    <row r="322" customFormat="false" ht="15" hidden="false" customHeight="false" outlineLevel="0" collapsed="false">
      <c r="A322" s="25" t="n">
        <f aca="false">IF(G322="REJECT",COUNTIF($G$2:$G$2277,"&lt;&gt;REJECT")+1+COUNTIFS($G$2:$G$2277,"REJECT",$B$2:$B$2277,"&gt;"&amp;B322),1+COUNTIFS($G$2:$G$2277,"&lt;&gt;REJECT",$B$2:$B$2277,"&gt;"&amp;B322))</f>
        <v>321</v>
      </c>
      <c r="B322" s="26" t="n">
        <f aca="false">ROUND(($U$2*MAX(0,MIN(1,($W$2-I322)/($W$2-$V$2)))+$U$3*MAX(0,MIN(1,($W$3-J322)/($W$3-$V$3)))+$U$4*MAX(0,MIN(1,($W$4-K322)/($W$4-$V$4)))+$U$5*MAX(0,MIN(1,($W$5-L322)/($W$5-$V$5)))+$U$6*MAX(0,MIN(1,($W$6-M322)/($W$6-$V$6)))+$U$7*MAX(0,MIN(1,($W$7-N322)/($W$7-$V$7)))+$U$8*IF(AND(O322&gt;=$V$8,O322&lt;=$W$8),1,0))/$U$9*100,2)</f>
        <v>92.82</v>
      </c>
      <c r="C322" s="27" t="s">
        <v>1002</v>
      </c>
      <c r="D322" s="25" t="s">
        <v>134</v>
      </c>
      <c r="E322" s="25" t="s">
        <v>3447</v>
      </c>
      <c r="F322" s="25" t="s">
        <v>3457</v>
      </c>
      <c r="G322" s="33" t="s">
        <v>28</v>
      </c>
      <c r="H322" s="33" t="s">
        <v>24</v>
      </c>
      <c r="I322" s="25" t="n">
        <v>0</v>
      </c>
      <c r="J322" s="25" t="n">
        <v>0</v>
      </c>
      <c r="K322" s="25" t="n">
        <v>0</v>
      </c>
      <c r="L322" s="29" t="n">
        <v>0.74</v>
      </c>
      <c r="M322" s="30" t="n">
        <v>12.29</v>
      </c>
      <c r="N322" s="29" t="n">
        <v>0.92</v>
      </c>
      <c r="O322" s="25" t="n">
        <v>189</v>
      </c>
      <c r="P322" s="30" t="n">
        <v>3.49</v>
      </c>
      <c r="Q322" s="27"/>
      <c r="R322" s="27"/>
    </row>
    <row r="323" customFormat="false" ht="15" hidden="false" customHeight="false" outlineLevel="0" collapsed="false">
      <c r="A323" s="25" t="n">
        <f aca="false">IF(G323="REJECT",COUNTIF($G$2:$G$2277,"&lt;&gt;REJECT")+1+COUNTIFS($G$2:$G$2277,"REJECT",$B$2:$B$2277,"&gt;"&amp;B323),1+COUNTIFS($G$2:$G$2277,"&lt;&gt;REJECT",$B$2:$B$2277,"&gt;"&amp;B323))</f>
        <v>322</v>
      </c>
      <c r="B323" s="26" t="n">
        <f aca="false">ROUND(($U$2*MAX(0,MIN(1,($W$2-I323)/($W$2-$V$2)))+$U$3*MAX(0,MIN(1,($W$3-J323)/($W$3-$V$3)))+$U$4*MAX(0,MIN(1,($W$4-K323)/($W$4-$V$4)))+$U$5*MAX(0,MIN(1,($W$5-L323)/($W$5-$V$5)))+$U$6*MAX(0,MIN(1,($W$6-M323)/($W$6-$V$6)))+$U$7*MAX(0,MIN(1,($W$7-N323)/($W$7-$V$7)))+$U$8*IF(AND(O323&gt;=$V$8,O323&lt;=$W$8),1,0))/$U$9*100,2)</f>
        <v>92.81</v>
      </c>
      <c r="C323" s="27" t="s">
        <v>1084</v>
      </c>
      <c r="D323" s="25" t="s">
        <v>3459</v>
      </c>
      <c r="E323" s="25" t="s">
        <v>3447</v>
      </c>
      <c r="F323" s="25" t="s">
        <v>3457</v>
      </c>
      <c r="G323" s="28" t="s">
        <v>29</v>
      </c>
      <c r="H323" s="28" t="s">
        <v>25</v>
      </c>
      <c r="I323" s="25" t="n">
        <v>0</v>
      </c>
      <c r="J323" s="25" t="n">
        <v>0</v>
      </c>
      <c r="K323" s="25" t="n">
        <v>0</v>
      </c>
      <c r="L323" s="29" t="n">
        <v>0.77</v>
      </c>
      <c r="M323" s="30" t="n">
        <v>27.92</v>
      </c>
      <c r="N323" s="29" t="n">
        <v>0.44</v>
      </c>
      <c r="O323" s="25" t="n">
        <v>184</v>
      </c>
      <c r="P323" s="30" t="n">
        <v>0.15</v>
      </c>
      <c r="Q323" s="27"/>
      <c r="R323" s="27" t="s">
        <v>61</v>
      </c>
    </row>
    <row r="324" customFormat="false" ht="15" hidden="false" customHeight="false" outlineLevel="0" collapsed="false">
      <c r="A324" s="25" t="n">
        <f aca="false">IF(G324="REJECT",COUNTIF($G$2:$G$2277,"&lt;&gt;REJECT")+1+COUNTIFS($G$2:$G$2277,"REJECT",$B$2:$B$2277,"&gt;"&amp;B324),1+COUNTIFS($G$2:$G$2277,"&lt;&gt;REJECT",$B$2:$B$2277,"&gt;"&amp;B324))</f>
        <v>323</v>
      </c>
      <c r="B324" s="26" t="n">
        <f aca="false">ROUND(($U$2*MAX(0,MIN(1,($W$2-I324)/($W$2-$V$2)))+$U$3*MAX(0,MIN(1,($W$3-J324)/($W$3-$V$3)))+$U$4*MAX(0,MIN(1,($W$4-K324)/($W$4-$V$4)))+$U$5*MAX(0,MIN(1,($W$5-L324)/($W$5-$V$5)))+$U$6*MAX(0,MIN(1,($W$6-M324)/($W$6-$V$6)))+$U$7*MAX(0,MIN(1,($W$7-N324)/($W$7-$V$7)))+$U$8*IF(AND(O324&gt;=$V$8,O324&lt;=$W$8),1,0))/$U$9*100,2)</f>
        <v>92.8</v>
      </c>
      <c r="C324" s="27" t="s">
        <v>1103</v>
      </c>
      <c r="D324" s="25" t="s">
        <v>3459</v>
      </c>
      <c r="E324" s="25" t="s">
        <v>3447</v>
      </c>
      <c r="F324" s="25" t="s">
        <v>3448</v>
      </c>
      <c r="G324" s="33" t="s">
        <v>28</v>
      </c>
      <c r="H324" s="33" t="s">
        <v>24</v>
      </c>
      <c r="I324" s="25" t="n">
        <v>0</v>
      </c>
      <c r="J324" s="25" t="n">
        <v>0</v>
      </c>
      <c r="K324" s="25" t="n">
        <v>0</v>
      </c>
      <c r="L324" s="29" t="n">
        <v>0.74</v>
      </c>
      <c r="M324" s="30" t="n">
        <v>18</v>
      </c>
      <c r="N324" s="29" t="n">
        <v>0.36</v>
      </c>
      <c r="O324" s="25" t="n">
        <v>188</v>
      </c>
      <c r="P324" s="30" t="n">
        <v>0.17</v>
      </c>
      <c r="Q324" s="27"/>
      <c r="R324" s="27"/>
    </row>
    <row r="325" customFormat="false" ht="15" hidden="false" customHeight="false" outlineLevel="0" collapsed="false">
      <c r="A325" s="25" t="n">
        <f aca="false">IF(G325="REJECT",COUNTIF($G$2:$G$2277,"&lt;&gt;REJECT")+1+COUNTIFS($G$2:$G$2277,"REJECT",$B$2:$B$2277,"&gt;"&amp;B325),1+COUNTIFS($G$2:$G$2277,"&lt;&gt;REJECT",$B$2:$B$2277,"&gt;"&amp;B325))</f>
        <v>323</v>
      </c>
      <c r="B325" s="26" t="n">
        <f aca="false">ROUND(($U$2*MAX(0,MIN(1,($W$2-I325)/($W$2-$V$2)))+$U$3*MAX(0,MIN(1,($W$3-J325)/($W$3-$V$3)))+$U$4*MAX(0,MIN(1,($W$4-K325)/($W$4-$V$4)))+$U$5*MAX(0,MIN(1,($W$5-L325)/($W$5-$V$5)))+$U$6*MAX(0,MIN(1,($W$6-M325)/($W$6-$V$6)))+$U$7*MAX(0,MIN(1,($W$7-N325)/($W$7-$V$7)))+$U$8*IF(AND(O325&gt;=$V$8,O325&lt;=$W$8),1,0))/$U$9*100,2)</f>
        <v>92.8</v>
      </c>
      <c r="C325" s="27" t="s">
        <v>1385</v>
      </c>
      <c r="D325" s="25" t="s">
        <v>134</v>
      </c>
      <c r="E325" s="25" t="s">
        <v>3447</v>
      </c>
      <c r="F325" s="25" t="s">
        <v>3457</v>
      </c>
      <c r="G325" s="33" t="s">
        <v>28</v>
      </c>
      <c r="H325" s="33" t="s">
        <v>24</v>
      </c>
      <c r="I325" s="25" t="n">
        <v>0</v>
      </c>
      <c r="J325" s="25" t="n">
        <v>0</v>
      </c>
      <c r="K325" s="25" t="n">
        <v>0</v>
      </c>
      <c r="L325" s="29" t="n">
        <v>0.74</v>
      </c>
      <c r="M325" s="30" t="n">
        <v>18.41</v>
      </c>
      <c r="N325" s="29" t="n">
        <v>0.32</v>
      </c>
      <c r="O325" s="25" t="n">
        <v>185</v>
      </c>
      <c r="P325" s="30" t="n">
        <v>4.02</v>
      </c>
      <c r="Q325" s="27"/>
      <c r="R325" s="27"/>
    </row>
    <row r="326" customFormat="false" ht="15" hidden="false" customHeight="false" outlineLevel="0" collapsed="false">
      <c r="A326" s="25" t="n">
        <f aca="false">IF(G326="REJECT",COUNTIF($G$2:$G$2277,"&lt;&gt;REJECT")+1+COUNTIFS($G$2:$G$2277,"REJECT",$B$2:$B$2277,"&gt;"&amp;B326),1+COUNTIFS($G$2:$G$2277,"&lt;&gt;REJECT",$B$2:$B$2277,"&gt;"&amp;B326))</f>
        <v>323</v>
      </c>
      <c r="B326" s="26" t="n">
        <f aca="false">ROUND(($U$2*MAX(0,MIN(1,($W$2-I326)/($W$2-$V$2)))+$U$3*MAX(0,MIN(1,($W$3-J326)/($W$3-$V$3)))+$U$4*MAX(0,MIN(1,($W$4-K326)/($W$4-$V$4)))+$U$5*MAX(0,MIN(1,($W$5-L326)/($W$5-$V$5)))+$U$6*MAX(0,MIN(1,($W$6-M326)/($W$6-$V$6)))+$U$7*MAX(0,MIN(1,($W$7-N326)/($W$7-$V$7)))+$U$8*IF(AND(O326&gt;=$V$8,O326&lt;=$W$8),1,0))/$U$9*100,2)</f>
        <v>92.8</v>
      </c>
      <c r="C326" s="27" t="s">
        <v>1732</v>
      </c>
      <c r="D326" s="25" t="s">
        <v>134</v>
      </c>
      <c r="E326" s="25" t="s">
        <v>3447</v>
      </c>
      <c r="F326" s="25" t="s">
        <v>3457</v>
      </c>
      <c r="G326" s="28" t="s">
        <v>29</v>
      </c>
      <c r="H326" s="28" t="s">
        <v>25</v>
      </c>
      <c r="I326" s="25" t="n">
        <v>0</v>
      </c>
      <c r="J326" s="25" t="n">
        <v>0</v>
      </c>
      <c r="K326" s="25" t="n">
        <v>0</v>
      </c>
      <c r="L326" s="29" t="n">
        <v>0.71</v>
      </c>
      <c r="M326" s="30" t="n">
        <v>3.6</v>
      </c>
      <c r="N326" s="29" t="n">
        <v>0.72</v>
      </c>
      <c r="O326" s="25" t="n">
        <v>188</v>
      </c>
      <c r="P326" s="30" t="n">
        <v>-1.21</v>
      </c>
      <c r="Q326" s="27"/>
      <c r="R326" s="27" t="s">
        <v>63</v>
      </c>
    </row>
    <row r="327" customFormat="false" ht="15" hidden="false" customHeight="false" outlineLevel="0" collapsed="false">
      <c r="A327" s="25" t="n">
        <f aca="false">IF(G327="REJECT",COUNTIF($G$2:$G$2277,"&lt;&gt;REJECT")+1+COUNTIFS($G$2:$G$2277,"REJECT",$B$2:$B$2277,"&gt;"&amp;B327),1+COUNTIFS($G$2:$G$2277,"&lt;&gt;REJECT",$B$2:$B$2277,"&gt;"&amp;B327))</f>
        <v>323</v>
      </c>
      <c r="B327" s="26" t="n">
        <f aca="false">ROUND(($U$2*MAX(0,MIN(1,($W$2-I327)/($W$2-$V$2)))+$U$3*MAX(0,MIN(1,($W$3-J327)/($W$3-$V$3)))+$U$4*MAX(0,MIN(1,($W$4-K327)/($W$4-$V$4)))+$U$5*MAX(0,MIN(1,($W$5-L327)/($W$5-$V$5)))+$U$6*MAX(0,MIN(1,($W$6-M327)/($W$6-$V$6)))+$U$7*MAX(0,MIN(1,($W$7-N327)/($W$7-$V$7)))+$U$8*IF(AND(O327&gt;=$V$8,O327&lt;=$W$8),1,0))/$U$9*100,2)</f>
        <v>92.8</v>
      </c>
      <c r="C327" s="27" t="s">
        <v>3216</v>
      </c>
      <c r="D327" s="25" t="s">
        <v>3459</v>
      </c>
      <c r="E327" s="25" t="s">
        <v>3447</v>
      </c>
      <c r="F327" s="25" t="s">
        <v>3448</v>
      </c>
      <c r="G327" s="28" t="s">
        <v>29</v>
      </c>
      <c r="H327" s="28" t="s">
        <v>25</v>
      </c>
      <c r="I327" s="25" t="n">
        <v>0</v>
      </c>
      <c r="J327" s="25" t="n">
        <v>0</v>
      </c>
      <c r="K327" s="25" t="n">
        <v>0</v>
      </c>
      <c r="L327" s="29" t="n">
        <v>0.76</v>
      </c>
      <c r="M327" s="30" t="n">
        <v>24.79</v>
      </c>
      <c r="N327" s="29" t="n">
        <v>0.4</v>
      </c>
      <c r="O327" s="25" t="n">
        <v>185</v>
      </c>
      <c r="P327" s="30" t="n">
        <v>1.62</v>
      </c>
      <c r="Q327" s="27"/>
      <c r="R327" s="27" t="s">
        <v>61</v>
      </c>
    </row>
    <row r="328" customFormat="false" ht="15" hidden="false" customHeight="false" outlineLevel="0" collapsed="false">
      <c r="A328" s="25" t="n">
        <f aca="false">IF(G328="REJECT",COUNTIF($G$2:$G$2277,"&lt;&gt;REJECT")+1+COUNTIFS($G$2:$G$2277,"REJECT",$B$2:$B$2277,"&gt;"&amp;B328),1+COUNTIFS($G$2:$G$2277,"&lt;&gt;REJECT",$B$2:$B$2277,"&gt;"&amp;B328))</f>
        <v>327</v>
      </c>
      <c r="B328" s="26" t="n">
        <f aca="false">ROUND(($U$2*MAX(0,MIN(1,($W$2-I328)/($W$2-$V$2)))+$U$3*MAX(0,MIN(1,($W$3-J328)/($W$3-$V$3)))+$U$4*MAX(0,MIN(1,($W$4-K328)/($W$4-$V$4)))+$U$5*MAX(0,MIN(1,($W$5-L328)/($W$5-$V$5)))+$U$6*MAX(0,MIN(1,($W$6-M328)/($W$6-$V$6)))+$U$7*MAX(0,MIN(1,($W$7-N328)/($W$7-$V$7)))+$U$8*IF(AND(O328&gt;=$V$8,O328&lt;=$W$8),1,0))/$U$9*100,2)</f>
        <v>92.79</v>
      </c>
      <c r="C328" s="27" t="s">
        <v>3259</v>
      </c>
      <c r="D328" s="25" t="s">
        <v>134</v>
      </c>
      <c r="E328" s="25" t="s">
        <v>3450</v>
      </c>
      <c r="F328" s="25" t="s">
        <v>3457</v>
      </c>
      <c r="G328" s="33" t="s">
        <v>28</v>
      </c>
      <c r="H328" s="33" t="s">
        <v>24</v>
      </c>
      <c r="I328" s="25" t="n">
        <v>0</v>
      </c>
      <c r="J328" s="25" t="n">
        <v>0</v>
      </c>
      <c r="K328" s="25" t="n">
        <v>0</v>
      </c>
      <c r="L328" s="29" t="n">
        <v>0.71</v>
      </c>
      <c r="M328" s="30" t="n">
        <v>4.09</v>
      </c>
      <c r="N328" s="29" t="n">
        <v>0.68</v>
      </c>
      <c r="O328" s="25" t="n">
        <v>186</v>
      </c>
      <c r="P328" s="30" t="n">
        <v>7.63</v>
      </c>
      <c r="Q328" s="27"/>
      <c r="R328" s="27"/>
    </row>
    <row r="329" customFormat="false" ht="15" hidden="false" customHeight="false" outlineLevel="0" collapsed="false">
      <c r="A329" s="25" t="n">
        <f aca="false">IF(G329="REJECT",COUNTIF($G$2:$G$2277,"&lt;&gt;REJECT")+1+COUNTIFS($G$2:$G$2277,"REJECT",$B$2:$B$2277,"&gt;"&amp;B329),1+COUNTIFS($G$2:$G$2277,"&lt;&gt;REJECT",$B$2:$B$2277,"&gt;"&amp;B329))</f>
        <v>328</v>
      </c>
      <c r="B329" s="26" t="n">
        <f aca="false">ROUND(($U$2*MAX(0,MIN(1,($W$2-I329)/($W$2-$V$2)))+$U$3*MAX(0,MIN(1,($W$3-J329)/($W$3-$V$3)))+$U$4*MAX(0,MIN(1,($W$4-K329)/($W$4-$V$4)))+$U$5*MAX(0,MIN(1,($W$5-L329)/($W$5-$V$5)))+$U$6*MAX(0,MIN(1,($W$6-M329)/($W$6-$V$6)))+$U$7*MAX(0,MIN(1,($W$7-N329)/($W$7-$V$7)))+$U$8*IF(AND(O329&gt;=$V$8,O329&lt;=$W$8),1,0))/$U$9*100,2)</f>
        <v>92.75</v>
      </c>
      <c r="C329" s="27" t="s">
        <v>373</v>
      </c>
      <c r="D329" s="25" t="s">
        <v>134</v>
      </c>
      <c r="E329" s="25" t="s">
        <v>3450</v>
      </c>
      <c r="F329" s="25" t="s">
        <v>3448</v>
      </c>
      <c r="G329" s="28" t="s">
        <v>29</v>
      </c>
      <c r="H329" s="28" t="s">
        <v>25</v>
      </c>
      <c r="I329" s="25" t="n">
        <v>0</v>
      </c>
      <c r="J329" s="25" t="n">
        <v>0</v>
      </c>
      <c r="K329" s="25" t="n">
        <v>0</v>
      </c>
      <c r="L329" s="29" t="n">
        <v>0.74</v>
      </c>
      <c r="M329" s="30" t="n">
        <v>15.09</v>
      </c>
      <c r="N329" s="29" t="n">
        <v>0.68</v>
      </c>
      <c r="O329" s="25" t="n">
        <v>185</v>
      </c>
      <c r="P329" s="30" t="n">
        <v>10.92</v>
      </c>
      <c r="Q329" s="27"/>
      <c r="R329" s="27" t="s">
        <v>64</v>
      </c>
    </row>
    <row r="330" customFormat="false" ht="15" hidden="false" customHeight="false" outlineLevel="0" collapsed="false">
      <c r="A330" s="25" t="n">
        <f aca="false">IF(G330="REJECT",COUNTIF($G$2:$G$2277,"&lt;&gt;REJECT")+1+COUNTIFS($G$2:$G$2277,"REJECT",$B$2:$B$2277,"&gt;"&amp;B330),1+COUNTIFS($G$2:$G$2277,"&lt;&gt;REJECT",$B$2:$B$2277,"&gt;"&amp;B330))</f>
        <v>328</v>
      </c>
      <c r="B330" s="26" t="n">
        <f aca="false">ROUND(($U$2*MAX(0,MIN(1,($W$2-I330)/($W$2-$V$2)))+$U$3*MAX(0,MIN(1,($W$3-J330)/($W$3-$V$3)))+$U$4*MAX(0,MIN(1,($W$4-K330)/($W$4-$V$4)))+$U$5*MAX(0,MIN(1,($W$5-L330)/($W$5-$V$5)))+$U$6*MAX(0,MIN(1,($W$6-M330)/($W$6-$V$6)))+$U$7*MAX(0,MIN(1,($W$7-N330)/($W$7-$V$7)))+$U$8*IF(AND(O330&gt;=$V$8,O330&lt;=$W$8),1,0))/$U$9*100,2)</f>
        <v>92.75</v>
      </c>
      <c r="C330" s="27" t="s">
        <v>2691</v>
      </c>
      <c r="D330" s="25" t="s">
        <v>134</v>
      </c>
      <c r="E330" s="25" t="s">
        <v>3450</v>
      </c>
      <c r="F330" s="25" t="s">
        <v>3457</v>
      </c>
      <c r="G330" s="33" t="s">
        <v>28</v>
      </c>
      <c r="H330" s="33" t="s">
        <v>24</v>
      </c>
      <c r="I330" s="25" t="n">
        <v>0</v>
      </c>
      <c r="J330" s="25" t="n">
        <v>0</v>
      </c>
      <c r="K330" s="25" t="n">
        <v>0</v>
      </c>
      <c r="L330" s="29" t="n">
        <v>0.73</v>
      </c>
      <c r="M330" s="30" t="n">
        <v>13.09</v>
      </c>
      <c r="N330" s="29" t="n">
        <v>0.52</v>
      </c>
      <c r="O330" s="25" t="n">
        <v>210</v>
      </c>
      <c r="P330" s="30" t="n">
        <v>13.75</v>
      </c>
      <c r="Q330" s="27"/>
      <c r="R330" s="27"/>
    </row>
    <row r="331" customFormat="false" ht="15" hidden="false" customHeight="false" outlineLevel="0" collapsed="false">
      <c r="A331" s="25" t="n">
        <f aca="false">IF(G331="REJECT",COUNTIF($G$2:$G$2277,"&lt;&gt;REJECT")+1+COUNTIFS($G$2:$G$2277,"REJECT",$B$2:$B$2277,"&gt;"&amp;B331),1+COUNTIFS($G$2:$G$2277,"&lt;&gt;REJECT",$B$2:$B$2277,"&gt;"&amp;B331))</f>
        <v>330</v>
      </c>
      <c r="B331" s="26" t="n">
        <f aca="false">ROUND(($U$2*MAX(0,MIN(1,($W$2-I331)/($W$2-$V$2)))+$U$3*MAX(0,MIN(1,($W$3-J331)/($W$3-$V$3)))+$U$4*MAX(0,MIN(1,($W$4-K331)/($W$4-$V$4)))+$U$5*MAX(0,MIN(1,($W$5-L331)/($W$5-$V$5)))+$U$6*MAX(0,MIN(1,($W$6-M331)/($W$6-$V$6)))+$U$7*MAX(0,MIN(1,($W$7-N331)/($W$7-$V$7)))+$U$8*IF(AND(O331&gt;=$V$8,O331&lt;=$W$8),1,0))/$U$9*100,2)</f>
        <v>92.74</v>
      </c>
      <c r="C331" s="27" t="s">
        <v>1553</v>
      </c>
      <c r="D331" s="25" t="s">
        <v>134</v>
      </c>
      <c r="E331" s="25" t="s">
        <v>3447</v>
      </c>
      <c r="F331" s="25" t="s">
        <v>3457</v>
      </c>
      <c r="G331" s="28" t="s">
        <v>29</v>
      </c>
      <c r="H331" s="28" t="s">
        <v>25</v>
      </c>
      <c r="I331" s="25" t="n">
        <v>0</v>
      </c>
      <c r="J331" s="25" t="n">
        <v>0</v>
      </c>
      <c r="K331" s="25" t="n">
        <v>0</v>
      </c>
      <c r="L331" s="29" t="n">
        <v>0.73</v>
      </c>
      <c r="M331" s="30" t="n">
        <v>10.36</v>
      </c>
      <c r="N331" s="29" t="n">
        <v>0.8</v>
      </c>
      <c r="O331" s="25" t="n">
        <v>186</v>
      </c>
      <c r="P331" s="30" t="n">
        <v>-1.31</v>
      </c>
      <c r="Q331" s="27"/>
      <c r="R331" s="27" t="s">
        <v>63</v>
      </c>
    </row>
    <row r="332" customFormat="false" ht="15" hidden="false" customHeight="false" outlineLevel="0" collapsed="false">
      <c r="A332" s="25" t="n">
        <f aca="false">IF(G332="REJECT",COUNTIF($G$2:$G$2277,"&lt;&gt;REJECT")+1+COUNTIFS($G$2:$G$2277,"REJECT",$B$2:$B$2277,"&gt;"&amp;B332),1+COUNTIFS($G$2:$G$2277,"&lt;&gt;REJECT",$B$2:$B$2277,"&gt;"&amp;B332))</f>
        <v>330</v>
      </c>
      <c r="B332" s="26" t="n">
        <f aca="false">ROUND(($U$2*MAX(0,MIN(1,($W$2-I332)/($W$2-$V$2)))+$U$3*MAX(0,MIN(1,($W$3-J332)/($W$3-$V$3)))+$U$4*MAX(0,MIN(1,($W$4-K332)/($W$4-$V$4)))+$U$5*MAX(0,MIN(1,($W$5-L332)/($W$5-$V$5)))+$U$6*MAX(0,MIN(1,($W$6-M332)/($W$6-$V$6)))+$U$7*MAX(0,MIN(1,($W$7-N332)/($W$7-$V$7)))+$U$8*IF(AND(O332&gt;=$V$8,O332&lt;=$W$8),1,0))/$U$9*100,2)</f>
        <v>92.74</v>
      </c>
      <c r="C332" s="27" t="s">
        <v>3216</v>
      </c>
      <c r="D332" s="25" t="s">
        <v>3459</v>
      </c>
      <c r="E332" s="25" t="s">
        <v>3447</v>
      </c>
      <c r="F332" s="25" t="s">
        <v>3457</v>
      </c>
      <c r="G332" s="28" t="s">
        <v>29</v>
      </c>
      <c r="H332" s="28" t="s">
        <v>25</v>
      </c>
      <c r="I332" s="25" t="n">
        <v>0</v>
      </c>
      <c r="J332" s="25" t="n">
        <v>0</v>
      </c>
      <c r="K332" s="25" t="n">
        <v>0</v>
      </c>
      <c r="L332" s="29" t="n">
        <v>0.76</v>
      </c>
      <c r="M332" s="30" t="n">
        <v>26.38</v>
      </c>
      <c r="N332" s="29" t="n">
        <v>0.28</v>
      </c>
      <c r="O332" s="25" t="n">
        <v>185</v>
      </c>
      <c r="P332" s="30" t="n">
        <v>-1.14</v>
      </c>
      <c r="Q332" s="27"/>
      <c r="R332" s="27" t="s">
        <v>61</v>
      </c>
    </row>
    <row r="333" customFormat="false" ht="15" hidden="false" customHeight="false" outlineLevel="0" collapsed="false">
      <c r="A333" s="25" t="n">
        <f aca="false">IF(G333="REJECT",COUNTIF($G$2:$G$2277,"&lt;&gt;REJECT")+1+COUNTIFS($G$2:$G$2277,"REJECT",$B$2:$B$2277,"&gt;"&amp;B333),1+COUNTIFS($G$2:$G$2277,"&lt;&gt;REJECT",$B$2:$B$2277,"&gt;"&amp;B333))</f>
        <v>332</v>
      </c>
      <c r="B333" s="26" t="n">
        <f aca="false">ROUND(($U$2*MAX(0,MIN(1,($W$2-I333)/($W$2-$V$2)))+$U$3*MAX(0,MIN(1,($W$3-J333)/($W$3-$V$3)))+$U$4*MAX(0,MIN(1,($W$4-K333)/($W$4-$V$4)))+$U$5*MAX(0,MIN(1,($W$5-L333)/($W$5-$V$5)))+$U$6*MAX(0,MIN(1,($W$6-M333)/($W$6-$V$6)))+$U$7*MAX(0,MIN(1,($W$7-N333)/($W$7-$V$7)))+$U$8*IF(AND(O333&gt;=$V$8,O333&lt;=$W$8),1,0))/$U$9*100,2)</f>
        <v>92.73</v>
      </c>
      <c r="C333" s="27" t="s">
        <v>1390</v>
      </c>
      <c r="D333" s="25" t="s">
        <v>134</v>
      </c>
      <c r="E333" s="25" t="s">
        <v>3447</v>
      </c>
      <c r="F333" s="25" t="s">
        <v>3448</v>
      </c>
      <c r="G333" s="28" t="s">
        <v>29</v>
      </c>
      <c r="H333" s="28" t="s">
        <v>25</v>
      </c>
      <c r="I333" s="25" t="n">
        <v>0</v>
      </c>
      <c r="J333" s="25" t="n">
        <v>0</v>
      </c>
      <c r="K333" s="25" t="n">
        <v>0</v>
      </c>
      <c r="L333" s="29" t="n">
        <v>0.77</v>
      </c>
      <c r="M333" s="30" t="n">
        <v>30.21</v>
      </c>
      <c r="N333" s="29" t="n">
        <v>0.28</v>
      </c>
      <c r="O333" s="25" t="n">
        <v>185</v>
      </c>
      <c r="P333" s="30" t="n">
        <v>9.06</v>
      </c>
      <c r="Q333" s="27"/>
      <c r="R333" s="27" t="s">
        <v>66</v>
      </c>
    </row>
    <row r="334" customFormat="false" ht="15" hidden="false" customHeight="false" outlineLevel="0" collapsed="false">
      <c r="A334" s="25" t="n">
        <f aca="false">IF(G334="REJECT",COUNTIF($G$2:$G$2277,"&lt;&gt;REJECT")+1+COUNTIFS($G$2:$G$2277,"REJECT",$B$2:$B$2277,"&gt;"&amp;B334),1+COUNTIFS($G$2:$G$2277,"&lt;&gt;REJECT",$B$2:$B$2277,"&gt;"&amp;B334))</f>
        <v>333</v>
      </c>
      <c r="B334" s="26" t="n">
        <f aca="false">ROUND(($U$2*MAX(0,MIN(1,($W$2-I334)/($W$2-$V$2)))+$U$3*MAX(0,MIN(1,($W$3-J334)/($W$3-$V$3)))+$U$4*MAX(0,MIN(1,($W$4-K334)/($W$4-$V$4)))+$U$5*MAX(0,MIN(1,($W$5-L334)/($W$5-$V$5)))+$U$6*MAX(0,MIN(1,($W$6-M334)/($W$6-$V$6)))+$U$7*MAX(0,MIN(1,($W$7-N334)/($W$7-$V$7)))+$U$8*IF(AND(O334&gt;=$V$8,O334&lt;=$W$8),1,0))/$U$9*100,2)</f>
        <v>92.72</v>
      </c>
      <c r="C334" s="27" t="s">
        <v>273</v>
      </c>
      <c r="D334" s="25" t="s">
        <v>134</v>
      </c>
      <c r="E334" s="25" t="s">
        <v>3447</v>
      </c>
      <c r="F334" s="25" t="s">
        <v>3457</v>
      </c>
      <c r="G334" s="28" t="s">
        <v>29</v>
      </c>
      <c r="H334" s="28" t="s">
        <v>25</v>
      </c>
      <c r="I334" s="25" t="n">
        <v>0</v>
      </c>
      <c r="J334" s="25" t="n">
        <v>0</v>
      </c>
      <c r="K334" s="25" t="n">
        <v>0</v>
      </c>
      <c r="L334" s="29" t="n">
        <v>0.76</v>
      </c>
      <c r="M334" s="30" t="n">
        <v>25.26</v>
      </c>
      <c r="N334" s="29" t="n">
        <v>0.4</v>
      </c>
      <c r="O334" s="25" t="n">
        <v>183</v>
      </c>
      <c r="P334" s="30" t="n">
        <v>7.81</v>
      </c>
      <c r="Q334" s="27"/>
      <c r="R334" s="27" t="s">
        <v>61</v>
      </c>
    </row>
    <row r="335" customFormat="false" ht="15" hidden="false" customHeight="false" outlineLevel="0" collapsed="false">
      <c r="A335" s="25" t="n">
        <f aca="false">IF(G335="REJECT",COUNTIF($G$2:$G$2277,"&lt;&gt;REJECT")+1+COUNTIFS($G$2:$G$2277,"REJECT",$B$2:$B$2277,"&gt;"&amp;B335),1+COUNTIFS($G$2:$G$2277,"&lt;&gt;REJECT",$B$2:$B$2277,"&gt;"&amp;B335))</f>
        <v>333</v>
      </c>
      <c r="B335" s="26" t="n">
        <f aca="false">ROUND(($U$2*MAX(0,MIN(1,($W$2-I335)/($W$2-$V$2)))+$U$3*MAX(0,MIN(1,($W$3-J335)/($W$3-$V$3)))+$U$4*MAX(0,MIN(1,($W$4-K335)/($W$4-$V$4)))+$U$5*MAX(0,MIN(1,($W$5-L335)/($W$5-$V$5)))+$U$6*MAX(0,MIN(1,($W$6-M335)/($W$6-$V$6)))+$U$7*MAX(0,MIN(1,($W$7-N335)/($W$7-$V$7)))+$U$8*IF(AND(O335&gt;=$V$8,O335&lt;=$W$8),1,0))/$U$9*100,2)</f>
        <v>92.72</v>
      </c>
      <c r="C335" s="27" t="s">
        <v>1203</v>
      </c>
      <c r="D335" s="25" t="s">
        <v>3459</v>
      </c>
      <c r="E335" s="25" t="s">
        <v>3447</v>
      </c>
      <c r="F335" s="25" t="s">
        <v>3457</v>
      </c>
      <c r="G335" s="33" t="s">
        <v>28</v>
      </c>
      <c r="H335" s="33" t="s">
        <v>24</v>
      </c>
      <c r="I335" s="25" t="n">
        <v>0</v>
      </c>
      <c r="J335" s="25" t="n">
        <v>0</v>
      </c>
      <c r="K335" s="25" t="n">
        <v>0</v>
      </c>
      <c r="L335" s="29" t="n">
        <v>0.7</v>
      </c>
      <c r="M335" s="30" t="n">
        <v>6.08</v>
      </c>
      <c r="N335" s="29" t="n">
        <v>0.16</v>
      </c>
      <c r="O335" s="25" t="n">
        <v>184</v>
      </c>
      <c r="P335" s="30" t="n">
        <v>0.07</v>
      </c>
      <c r="Q335" s="27"/>
      <c r="R335" s="27"/>
    </row>
    <row r="336" customFormat="false" ht="15" hidden="false" customHeight="false" outlineLevel="0" collapsed="false">
      <c r="A336" s="25" t="n">
        <f aca="false">IF(G336="REJECT",COUNTIF($G$2:$G$2277,"&lt;&gt;REJECT")+1+COUNTIFS($G$2:$G$2277,"REJECT",$B$2:$B$2277,"&gt;"&amp;B336),1+COUNTIFS($G$2:$G$2277,"&lt;&gt;REJECT",$B$2:$B$2277,"&gt;"&amp;B336))</f>
        <v>335</v>
      </c>
      <c r="B336" s="26" t="n">
        <f aca="false">ROUND(($U$2*MAX(0,MIN(1,($W$2-I336)/($W$2-$V$2)))+$U$3*MAX(0,MIN(1,($W$3-J336)/($W$3-$V$3)))+$U$4*MAX(0,MIN(1,($W$4-K336)/($W$4-$V$4)))+$U$5*MAX(0,MIN(1,($W$5-L336)/($W$5-$V$5)))+$U$6*MAX(0,MIN(1,($W$6-M336)/($W$6-$V$6)))+$U$7*MAX(0,MIN(1,($W$7-N336)/($W$7-$V$7)))+$U$8*IF(AND(O336&gt;=$V$8,O336&lt;=$W$8),1,0))/$U$9*100,2)</f>
        <v>92.71</v>
      </c>
      <c r="C336" s="27" t="s">
        <v>2391</v>
      </c>
      <c r="D336" s="25" t="s">
        <v>134</v>
      </c>
      <c r="E336" s="25" t="s">
        <v>3450</v>
      </c>
      <c r="F336" s="25" t="s">
        <v>3457</v>
      </c>
      <c r="G336" s="33" t="s">
        <v>28</v>
      </c>
      <c r="H336" s="33" t="s">
        <v>24</v>
      </c>
      <c r="I336" s="25" t="n">
        <v>0</v>
      </c>
      <c r="J336" s="25" t="n">
        <v>0</v>
      </c>
      <c r="K336" s="25" t="n">
        <v>0</v>
      </c>
      <c r="L336" s="29" t="n">
        <v>0.73</v>
      </c>
      <c r="M336" s="30" t="n">
        <v>14.15</v>
      </c>
      <c r="N336" s="29" t="n">
        <v>0.44</v>
      </c>
      <c r="O336" s="25" t="n">
        <v>186</v>
      </c>
      <c r="P336" s="30" t="n">
        <v>9.97</v>
      </c>
      <c r="Q336" s="27"/>
      <c r="R336" s="27"/>
    </row>
    <row r="337" customFormat="false" ht="15" hidden="false" customHeight="false" outlineLevel="0" collapsed="false">
      <c r="A337" s="25" t="n">
        <f aca="false">IF(G337="REJECT",COUNTIF($G$2:$G$2277,"&lt;&gt;REJECT")+1+COUNTIFS($G$2:$G$2277,"REJECT",$B$2:$B$2277,"&gt;"&amp;B337),1+COUNTIFS($G$2:$G$2277,"&lt;&gt;REJECT",$B$2:$B$2277,"&gt;"&amp;B337))</f>
        <v>336</v>
      </c>
      <c r="B337" s="26" t="n">
        <f aca="false">ROUND(($U$2*MAX(0,MIN(1,($W$2-I337)/($W$2-$V$2)))+$U$3*MAX(0,MIN(1,($W$3-J337)/($W$3-$V$3)))+$U$4*MAX(0,MIN(1,($W$4-K337)/($W$4-$V$4)))+$U$5*MAX(0,MIN(1,($W$5-L337)/($W$5-$V$5)))+$U$6*MAX(0,MIN(1,($W$6-M337)/($W$6-$V$6)))+$U$7*MAX(0,MIN(1,($W$7-N337)/($W$7-$V$7)))+$U$8*IF(AND(O337&gt;=$V$8,O337&lt;=$W$8),1,0))/$U$9*100,2)</f>
        <v>92.66</v>
      </c>
      <c r="C337" s="27" t="s">
        <v>1156</v>
      </c>
      <c r="D337" s="25" t="s">
        <v>3459</v>
      </c>
      <c r="E337" s="25" t="s">
        <v>3447</v>
      </c>
      <c r="F337" s="25" t="s">
        <v>3448</v>
      </c>
      <c r="G337" s="28" t="s">
        <v>29</v>
      </c>
      <c r="H337" s="28" t="s">
        <v>25</v>
      </c>
      <c r="I337" s="25" t="n">
        <v>0</v>
      </c>
      <c r="J337" s="25" t="n">
        <v>0</v>
      </c>
      <c r="K337" s="25" t="n">
        <v>0</v>
      </c>
      <c r="L337" s="29" t="n">
        <v>0.77</v>
      </c>
      <c r="M337" s="30" t="n">
        <v>28.47</v>
      </c>
      <c r="N337" s="29" t="n">
        <v>0.48</v>
      </c>
      <c r="O337" s="25" t="n">
        <v>183</v>
      </c>
      <c r="P337" s="30" t="n">
        <v>2.22</v>
      </c>
      <c r="Q337" s="27"/>
      <c r="R337" s="27" t="s">
        <v>61</v>
      </c>
    </row>
    <row r="338" customFormat="false" ht="15" hidden="false" customHeight="false" outlineLevel="0" collapsed="false">
      <c r="A338" s="25" t="n">
        <f aca="false">IF(G338="REJECT",COUNTIF($G$2:$G$2277,"&lt;&gt;REJECT")+1+COUNTIFS($G$2:$G$2277,"REJECT",$B$2:$B$2277,"&gt;"&amp;B338),1+COUNTIFS($G$2:$G$2277,"&lt;&gt;REJECT",$B$2:$B$2277,"&gt;"&amp;B338))</f>
        <v>337</v>
      </c>
      <c r="B338" s="26" t="n">
        <f aca="false">ROUND(($U$2*MAX(0,MIN(1,($W$2-I338)/($W$2-$V$2)))+$U$3*MAX(0,MIN(1,($W$3-J338)/($W$3-$V$3)))+$U$4*MAX(0,MIN(1,($W$4-K338)/($W$4-$V$4)))+$U$5*MAX(0,MIN(1,($W$5-L338)/($W$5-$V$5)))+$U$6*MAX(0,MIN(1,($W$6-M338)/($W$6-$V$6)))+$U$7*MAX(0,MIN(1,($W$7-N338)/($W$7-$V$7)))+$U$8*IF(AND(O338&gt;=$V$8,O338&lt;=$W$8),1,0))/$U$9*100,2)</f>
        <v>92.63</v>
      </c>
      <c r="C338" s="27" t="s">
        <v>2721</v>
      </c>
      <c r="D338" s="25" t="s">
        <v>134</v>
      </c>
      <c r="E338" s="25" t="s">
        <v>3450</v>
      </c>
      <c r="F338" s="25" t="s">
        <v>3457</v>
      </c>
      <c r="G338" s="28" t="s">
        <v>29</v>
      </c>
      <c r="H338" s="28" t="s">
        <v>25</v>
      </c>
      <c r="I338" s="25" t="n">
        <v>0</v>
      </c>
      <c r="J338" s="25" t="n">
        <v>0</v>
      </c>
      <c r="K338" s="25" t="n">
        <v>0</v>
      </c>
      <c r="L338" s="29" t="n">
        <v>0.76</v>
      </c>
      <c r="M338" s="30" t="n">
        <v>26.62</v>
      </c>
      <c r="N338" s="29" t="n">
        <v>0.32</v>
      </c>
      <c r="O338" s="25" t="n">
        <v>182</v>
      </c>
      <c r="P338" s="30" t="n">
        <v>16.63</v>
      </c>
      <c r="Q338" s="27"/>
      <c r="R338" s="27" t="s">
        <v>61</v>
      </c>
    </row>
    <row r="339" customFormat="false" ht="15" hidden="false" customHeight="false" outlineLevel="0" collapsed="false">
      <c r="A339" s="25" t="n">
        <f aca="false">IF(G339="REJECT",COUNTIF($G$2:$G$2277,"&lt;&gt;REJECT")+1+COUNTIFS($G$2:$G$2277,"REJECT",$B$2:$B$2277,"&gt;"&amp;B339),1+COUNTIFS($G$2:$G$2277,"&lt;&gt;REJECT",$B$2:$B$2277,"&gt;"&amp;B339))</f>
        <v>338</v>
      </c>
      <c r="B339" s="26" t="n">
        <f aca="false">ROUND(($U$2*MAX(0,MIN(1,($W$2-I339)/($W$2-$V$2)))+$U$3*MAX(0,MIN(1,($W$3-J339)/($W$3-$V$3)))+$U$4*MAX(0,MIN(1,($W$4-K339)/($W$4-$V$4)))+$U$5*MAX(0,MIN(1,($W$5-L339)/($W$5-$V$5)))+$U$6*MAX(0,MIN(1,($W$6-M339)/($W$6-$V$6)))+$U$7*MAX(0,MIN(1,($W$7-N339)/($W$7-$V$7)))+$U$8*IF(AND(O339&gt;=$V$8,O339&lt;=$W$8),1,0))/$U$9*100,2)</f>
        <v>92.61</v>
      </c>
      <c r="C339" s="27" t="s">
        <v>1286</v>
      </c>
      <c r="D339" s="25" t="s">
        <v>134</v>
      </c>
      <c r="E339" s="25" t="s">
        <v>3450</v>
      </c>
      <c r="F339" s="25" t="s">
        <v>3448</v>
      </c>
      <c r="G339" s="28" t="s">
        <v>29</v>
      </c>
      <c r="H339" s="28" t="s">
        <v>25</v>
      </c>
      <c r="I339" s="25" t="n">
        <v>0</v>
      </c>
      <c r="J339" s="25" t="n">
        <v>0</v>
      </c>
      <c r="K339" s="25" t="n">
        <v>0</v>
      </c>
      <c r="L339" s="29" t="n">
        <v>0.73</v>
      </c>
      <c r="M339" s="30" t="n">
        <v>9.53</v>
      </c>
      <c r="N339" s="29" t="n">
        <v>0.96</v>
      </c>
      <c r="O339" s="25" t="n">
        <v>194</v>
      </c>
      <c r="P339" s="30" t="n">
        <v>-1.24</v>
      </c>
      <c r="Q339" s="27"/>
      <c r="R339" s="27" t="s">
        <v>62</v>
      </c>
    </row>
    <row r="340" customFormat="false" ht="15" hidden="false" customHeight="false" outlineLevel="0" collapsed="false">
      <c r="A340" s="25" t="n">
        <f aca="false">IF(G340="REJECT",COUNTIF($G$2:$G$2277,"&lt;&gt;REJECT")+1+COUNTIFS($G$2:$G$2277,"REJECT",$B$2:$B$2277,"&gt;"&amp;B340),1+COUNTIFS($G$2:$G$2277,"&lt;&gt;REJECT",$B$2:$B$2277,"&gt;"&amp;B340))</f>
        <v>339</v>
      </c>
      <c r="B340" s="26" t="n">
        <f aca="false">ROUND(($U$2*MAX(0,MIN(1,($W$2-I340)/($W$2-$V$2)))+$U$3*MAX(0,MIN(1,($W$3-J340)/($W$3-$V$3)))+$U$4*MAX(0,MIN(1,($W$4-K340)/($W$4-$V$4)))+$U$5*MAX(0,MIN(1,($W$5-L340)/($W$5-$V$5)))+$U$6*MAX(0,MIN(1,($W$6-M340)/($W$6-$V$6)))+$U$7*MAX(0,MIN(1,($W$7-N340)/($W$7-$V$7)))+$U$8*IF(AND(O340&gt;=$V$8,O340&lt;=$W$8),1,0))/$U$9*100,2)</f>
        <v>92.59</v>
      </c>
      <c r="C340" s="27" t="s">
        <v>1589</v>
      </c>
      <c r="D340" s="25" t="s">
        <v>134</v>
      </c>
      <c r="E340" s="25" t="s">
        <v>3447</v>
      </c>
      <c r="F340" s="25" t="s">
        <v>3457</v>
      </c>
      <c r="G340" s="33" t="s">
        <v>28</v>
      </c>
      <c r="H340" s="33" t="s">
        <v>24</v>
      </c>
      <c r="I340" s="25" t="n">
        <v>0</v>
      </c>
      <c r="J340" s="25" t="n">
        <v>0</v>
      </c>
      <c r="K340" s="25" t="n">
        <v>0</v>
      </c>
      <c r="L340" s="29" t="n">
        <v>0.72</v>
      </c>
      <c r="M340" s="30" t="n">
        <v>11.66</v>
      </c>
      <c r="N340" s="29" t="n">
        <v>0.4</v>
      </c>
      <c r="O340" s="25" t="n">
        <v>186</v>
      </c>
      <c r="P340" s="30" t="n">
        <v>1.37</v>
      </c>
      <c r="Q340" s="27"/>
      <c r="R340" s="27"/>
    </row>
    <row r="341" customFormat="false" ht="15" hidden="false" customHeight="false" outlineLevel="0" collapsed="false">
      <c r="A341" s="25" t="n">
        <f aca="false">IF(G341="REJECT",COUNTIF($G$2:$G$2277,"&lt;&gt;REJECT")+1+COUNTIFS($G$2:$G$2277,"REJECT",$B$2:$B$2277,"&gt;"&amp;B341),1+COUNTIFS($G$2:$G$2277,"&lt;&gt;REJECT",$B$2:$B$2277,"&gt;"&amp;B341))</f>
        <v>340</v>
      </c>
      <c r="B341" s="26" t="n">
        <f aca="false">ROUND(($U$2*MAX(0,MIN(1,($W$2-I341)/($W$2-$V$2)))+$U$3*MAX(0,MIN(1,($W$3-J341)/($W$3-$V$3)))+$U$4*MAX(0,MIN(1,($W$4-K341)/($W$4-$V$4)))+$U$5*MAX(0,MIN(1,($W$5-L341)/($W$5-$V$5)))+$U$6*MAX(0,MIN(1,($W$6-M341)/($W$6-$V$6)))+$U$7*MAX(0,MIN(1,($W$7-N341)/($W$7-$V$7)))+$U$8*IF(AND(O341&gt;=$V$8,O341&lt;=$W$8),1,0))/$U$9*100,2)</f>
        <v>92.57</v>
      </c>
      <c r="C341" s="27" t="s">
        <v>2678</v>
      </c>
      <c r="D341" s="25" t="s">
        <v>134</v>
      </c>
      <c r="E341" s="25" t="s">
        <v>3447</v>
      </c>
      <c r="F341" s="25" t="s">
        <v>3457</v>
      </c>
      <c r="G341" s="28" t="s">
        <v>29</v>
      </c>
      <c r="H341" s="28" t="s">
        <v>25</v>
      </c>
      <c r="I341" s="25" t="n">
        <v>0</v>
      </c>
      <c r="J341" s="25" t="n">
        <v>0</v>
      </c>
      <c r="K341" s="25" t="n">
        <v>0</v>
      </c>
      <c r="L341" s="29" t="n">
        <v>0.76</v>
      </c>
      <c r="M341" s="30" t="n">
        <v>26.98</v>
      </c>
      <c r="N341" s="29" t="n">
        <v>0.32</v>
      </c>
      <c r="O341" s="25" t="n">
        <v>183</v>
      </c>
      <c r="P341" s="30" t="n">
        <v>1.18</v>
      </c>
      <c r="Q341" s="27"/>
      <c r="R341" s="27" t="s">
        <v>3470</v>
      </c>
    </row>
    <row r="342" customFormat="false" ht="15" hidden="false" customHeight="false" outlineLevel="0" collapsed="false">
      <c r="A342" s="25" t="n">
        <f aca="false">IF(G342="REJECT",COUNTIF($G$2:$G$2277,"&lt;&gt;REJECT")+1+COUNTIFS($G$2:$G$2277,"REJECT",$B$2:$B$2277,"&gt;"&amp;B342),1+COUNTIFS($G$2:$G$2277,"&lt;&gt;REJECT",$B$2:$B$2277,"&gt;"&amp;B342))</f>
        <v>341</v>
      </c>
      <c r="B342" s="26" t="n">
        <f aca="false">ROUND(($U$2*MAX(0,MIN(1,($W$2-I342)/($W$2-$V$2)))+$U$3*MAX(0,MIN(1,($W$3-J342)/($W$3-$V$3)))+$U$4*MAX(0,MIN(1,($W$4-K342)/($W$4-$V$4)))+$U$5*MAX(0,MIN(1,($W$5-L342)/($W$5-$V$5)))+$U$6*MAX(0,MIN(1,($W$6-M342)/($W$6-$V$6)))+$U$7*MAX(0,MIN(1,($W$7-N342)/($W$7-$V$7)))+$U$8*IF(AND(O342&gt;=$V$8,O342&lt;=$W$8),1,0))/$U$9*100,2)</f>
        <v>92.56</v>
      </c>
      <c r="C342" s="27" t="s">
        <v>1390</v>
      </c>
      <c r="D342" s="25" t="s">
        <v>3459</v>
      </c>
      <c r="E342" s="25" t="s">
        <v>3447</v>
      </c>
      <c r="F342" s="25" t="s">
        <v>3448</v>
      </c>
      <c r="G342" s="28" t="s">
        <v>29</v>
      </c>
      <c r="H342" s="28" t="s">
        <v>25</v>
      </c>
      <c r="I342" s="25" t="n">
        <v>0</v>
      </c>
      <c r="J342" s="25" t="n">
        <v>0</v>
      </c>
      <c r="K342" s="25" t="n">
        <v>0</v>
      </c>
      <c r="L342" s="29" t="n">
        <v>0.76</v>
      </c>
      <c r="M342" s="30" t="n">
        <v>29.03</v>
      </c>
      <c r="N342" s="29" t="n">
        <v>0.12</v>
      </c>
      <c r="O342" s="25" t="n">
        <v>184</v>
      </c>
      <c r="P342" s="30" t="n">
        <v>5.06</v>
      </c>
      <c r="Q342" s="27"/>
      <c r="R342" s="27" t="s">
        <v>61</v>
      </c>
    </row>
    <row r="343" customFormat="false" ht="15" hidden="false" customHeight="false" outlineLevel="0" collapsed="false">
      <c r="A343" s="25" t="n">
        <f aca="false">IF(G343="REJECT",COUNTIF($G$2:$G$2277,"&lt;&gt;REJECT")+1+COUNTIFS($G$2:$G$2277,"REJECT",$B$2:$B$2277,"&gt;"&amp;B343),1+COUNTIFS($G$2:$G$2277,"&lt;&gt;REJECT",$B$2:$B$2277,"&gt;"&amp;B343))</f>
        <v>342</v>
      </c>
      <c r="B343" s="26" t="n">
        <f aca="false">ROUND(($U$2*MAX(0,MIN(1,($W$2-I343)/($W$2-$V$2)))+$U$3*MAX(0,MIN(1,($W$3-J343)/($W$3-$V$3)))+$U$4*MAX(0,MIN(1,($W$4-K343)/($W$4-$V$4)))+$U$5*MAX(0,MIN(1,($W$5-L343)/($W$5-$V$5)))+$U$6*MAX(0,MIN(1,($W$6-M343)/($W$6-$V$6)))+$U$7*MAX(0,MIN(1,($W$7-N343)/($W$7-$V$7)))+$U$8*IF(AND(O343&gt;=$V$8,O343&lt;=$W$8),1,0))/$U$9*100,2)</f>
        <v>92.55</v>
      </c>
      <c r="C343" s="27" t="s">
        <v>3022</v>
      </c>
      <c r="D343" s="25" t="s">
        <v>134</v>
      </c>
      <c r="E343" s="25" t="s">
        <v>3450</v>
      </c>
      <c r="F343" s="25" t="s">
        <v>3457</v>
      </c>
      <c r="G343" s="28" t="s">
        <v>29</v>
      </c>
      <c r="H343" s="28" t="s">
        <v>25</v>
      </c>
      <c r="I343" s="25" t="n">
        <v>0</v>
      </c>
      <c r="J343" s="25" t="n">
        <v>0</v>
      </c>
      <c r="K343" s="25" t="n">
        <v>0</v>
      </c>
      <c r="L343" s="29" t="n">
        <v>0.75</v>
      </c>
      <c r="M343" s="30" t="n">
        <v>20.69</v>
      </c>
      <c r="N343" s="29" t="n">
        <v>0.6</v>
      </c>
      <c r="O343" s="25" t="n">
        <v>187</v>
      </c>
      <c r="P343" s="30" t="n">
        <v>20.01</v>
      </c>
      <c r="Q343" s="27"/>
      <c r="R343" s="27" t="s">
        <v>61</v>
      </c>
    </row>
    <row r="344" customFormat="false" ht="15" hidden="false" customHeight="false" outlineLevel="0" collapsed="false">
      <c r="A344" s="25" t="n">
        <f aca="false">IF(G344="REJECT",COUNTIF($G$2:$G$2277,"&lt;&gt;REJECT")+1+COUNTIFS($G$2:$G$2277,"REJECT",$B$2:$B$2277,"&gt;"&amp;B344),1+COUNTIFS($G$2:$G$2277,"&lt;&gt;REJECT",$B$2:$B$2277,"&gt;"&amp;B344))</f>
        <v>343</v>
      </c>
      <c r="B344" s="26" t="n">
        <f aca="false">ROUND(($U$2*MAX(0,MIN(1,($W$2-I344)/($W$2-$V$2)))+$U$3*MAX(0,MIN(1,($W$3-J344)/($W$3-$V$3)))+$U$4*MAX(0,MIN(1,($W$4-K344)/($W$4-$V$4)))+$U$5*MAX(0,MIN(1,($W$5-L344)/($W$5-$V$5)))+$U$6*MAX(0,MIN(1,($W$6-M344)/($W$6-$V$6)))+$U$7*MAX(0,MIN(1,($W$7-N344)/($W$7-$V$7)))+$U$8*IF(AND(O344&gt;=$V$8,O344&lt;=$W$8),1,0))/$U$9*100,2)</f>
        <v>92.53</v>
      </c>
      <c r="C344" s="27" t="s">
        <v>1553</v>
      </c>
      <c r="D344" s="25" t="s">
        <v>134</v>
      </c>
      <c r="E344" s="25" t="s">
        <v>3450</v>
      </c>
      <c r="F344" s="25" t="s">
        <v>3448</v>
      </c>
      <c r="G344" s="33" t="s">
        <v>28</v>
      </c>
      <c r="H344" s="33" t="s">
        <v>24</v>
      </c>
      <c r="I344" s="25" t="n">
        <v>0</v>
      </c>
      <c r="J344" s="25" t="n">
        <v>0</v>
      </c>
      <c r="K344" s="25" t="n">
        <v>0</v>
      </c>
      <c r="L344" s="29" t="n">
        <v>0.72</v>
      </c>
      <c r="M344" s="30" t="n">
        <v>14.02</v>
      </c>
      <c r="N344" s="29" t="n">
        <v>0.2</v>
      </c>
      <c r="O344" s="25" t="n">
        <v>187</v>
      </c>
      <c r="P344" s="30" t="n">
        <v>11.29</v>
      </c>
      <c r="Q344" s="27"/>
      <c r="R344" s="27"/>
    </row>
    <row r="345" customFormat="false" ht="15" hidden="false" customHeight="false" outlineLevel="0" collapsed="false">
      <c r="A345" s="25" t="n">
        <f aca="false">IF(G345="REJECT",COUNTIF($G$2:$G$2277,"&lt;&gt;REJECT")+1+COUNTIFS($G$2:$G$2277,"REJECT",$B$2:$B$2277,"&gt;"&amp;B345),1+COUNTIFS($G$2:$G$2277,"&lt;&gt;REJECT",$B$2:$B$2277,"&gt;"&amp;B345))</f>
        <v>344</v>
      </c>
      <c r="B345" s="26" t="n">
        <f aca="false">ROUND(($U$2*MAX(0,MIN(1,($W$2-I345)/($W$2-$V$2)))+$U$3*MAX(0,MIN(1,($W$3-J345)/($W$3-$V$3)))+$U$4*MAX(0,MIN(1,($W$4-K345)/($W$4-$V$4)))+$U$5*MAX(0,MIN(1,($W$5-L345)/($W$5-$V$5)))+$U$6*MAX(0,MIN(1,($W$6-M345)/($W$6-$V$6)))+$U$7*MAX(0,MIN(1,($W$7-N345)/($W$7-$V$7)))+$U$8*IF(AND(O345&gt;=$V$8,O345&lt;=$W$8),1,0))/$U$9*100,2)</f>
        <v>92.52</v>
      </c>
      <c r="C345" s="27" t="s">
        <v>1627</v>
      </c>
      <c r="D345" s="25" t="s">
        <v>134</v>
      </c>
      <c r="E345" s="25" t="s">
        <v>3450</v>
      </c>
      <c r="F345" s="25" t="s">
        <v>3448</v>
      </c>
      <c r="G345" s="28" t="s">
        <v>29</v>
      </c>
      <c r="H345" s="28" t="s">
        <v>25</v>
      </c>
      <c r="I345" s="25" t="n">
        <v>0</v>
      </c>
      <c r="J345" s="25" t="n">
        <v>0</v>
      </c>
      <c r="K345" s="25" t="n">
        <v>0</v>
      </c>
      <c r="L345" s="29" t="n">
        <v>0.72</v>
      </c>
      <c r="M345" s="30" t="n">
        <v>10.5</v>
      </c>
      <c r="N345" s="29" t="n">
        <v>0.56</v>
      </c>
      <c r="O345" s="25" t="n">
        <v>187</v>
      </c>
      <c r="P345" s="30" t="n">
        <v>6.51</v>
      </c>
      <c r="Q345" s="27"/>
      <c r="R345" s="27" t="s">
        <v>63</v>
      </c>
    </row>
    <row r="346" customFormat="false" ht="15" hidden="false" customHeight="false" outlineLevel="0" collapsed="false">
      <c r="A346" s="25" t="n">
        <f aca="false">IF(G346="REJECT",COUNTIF($G$2:$G$2277,"&lt;&gt;REJECT")+1+COUNTIFS($G$2:$G$2277,"REJECT",$B$2:$B$2277,"&gt;"&amp;B346),1+COUNTIFS($G$2:$G$2277,"&lt;&gt;REJECT",$B$2:$B$2277,"&gt;"&amp;B346))</f>
        <v>344</v>
      </c>
      <c r="B346" s="26" t="n">
        <f aca="false">ROUND(($U$2*MAX(0,MIN(1,($W$2-I346)/($W$2-$V$2)))+$U$3*MAX(0,MIN(1,($W$3-J346)/($W$3-$V$3)))+$U$4*MAX(0,MIN(1,($W$4-K346)/($W$4-$V$4)))+$U$5*MAX(0,MIN(1,($W$5-L346)/($W$5-$V$5)))+$U$6*MAX(0,MIN(1,($W$6-M346)/($W$6-$V$6)))+$U$7*MAX(0,MIN(1,($W$7-N346)/($W$7-$V$7)))+$U$8*IF(AND(O346&gt;=$V$8,O346&lt;=$W$8),1,0))/$U$9*100,2)</f>
        <v>92.52</v>
      </c>
      <c r="C346" s="27" t="s">
        <v>2016</v>
      </c>
      <c r="D346" s="25" t="s">
        <v>134</v>
      </c>
      <c r="E346" s="25" t="s">
        <v>3447</v>
      </c>
      <c r="F346" s="25" t="s">
        <v>3457</v>
      </c>
      <c r="G346" s="33" t="s">
        <v>28</v>
      </c>
      <c r="H346" s="33" t="s">
        <v>24</v>
      </c>
      <c r="I346" s="25" t="n">
        <v>0</v>
      </c>
      <c r="J346" s="25" t="n">
        <v>0</v>
      </c>
      <c r="K346" s="25" t="n">
        <v>0</v>
      </c>
      <c r="L346" s="29" t="n">
        <v>0.72</v>
      </c>
      <c r="M346" s="30" t="n">
        <v>14.89</v>
      </c>
      <c r="N346" s="29" t="n">
        <v>0.12</v>
      </c>
      <c r="O346" s="25" t="n">
        <v>184</v>
      </c>
      <c r="P346" s="30" t="n">
        <v>0.63</v>
      </c>
      <c r="Q346" s="27"/>
      <c r="R346" s="27"/>
    </row>
    <row r="347" customFormat="false" ht="15" hidden="false" customHeight="false" outlineLevel="0" collapsed="false">
      <c r="A347" s="25" t="n">
        <f aca="false">IF(G347="REJECT",COUNTIF($G$2:$G$2277,"&lt;&gt;REJECT")+1+COUNTIFS($G$2:$G$2277,"REJECT",$B$2:$B$2277,"&gt;"&amp;B347),1+COUNTIFS($G$2:$G$2277,"&lt;&gt;REJECT",$B$2:$B$2277,"&gt;"&amp;B347))</f>
        <v>346</v>
      </c>
      <c r="B347" s="26" t="n">
        <f aca="false">ROUND(($U$2*MAX(0,MIN(1,($W$2-I347)/($W$2-$V$2)))+$U$3*MAX(0,MIN(1,($W$3-J347)/($W$3-$V$3)))+$U$4*MAX(0,MIN(1,($W$4-K347)/($W$4-$V$4)))+$U$5*MAX(0,MIN(1,($W$5-L347)/($W$5-$V$5)))+$U$6*MAX(0,MIN(1,($W$6-M347)/($W$6-$V$6)))+$U$7*MAX(0,MIN(1,($W$7-N347)/($W$7-$V$7)))+$U$8*IF(AND(O347&gt;=$V$8,O347&lt;=$W$8),1,0))/$U$9*100,2)</f>
        <v>92.51</v>
      </c>
      <c r="C347" s="27" t="s">
        <v>1197</v>
      </c>
      <c r="D347" s="25" t="s">
        <v>134</v>
      </c>
      <c r="E347" s="25" t="s">
        <v>3450</v>
      </c>
      <c r="F347" s="25" t="s">
        <v>3448</v>
      </c>
      <c r="G347" s="28" t="s">
        <v>29</v>
      </c>
      <c r="H347" s="28" t="s">
        <v>25</v>
      </c>
      <c r="I347" s="25" t="n">
        <v>0</v>
      </c>
      <c r="J347" s="25" t="n">
        <v>0</v>
      </c>
      <c r="K347" s="25" t="n">
        <v>0</v>
      </c>
      <c r="L347" s="29" t="n">
        <v>0.72</v>
      </c>
      <c r="M347" s="30" t="n">
        <v>9.34</v>
      </c>
      <c r="N347" s="29" t="n">
        <v>0.68</v>
      </c>
      <c r="O347" s="25" t="n">
        <v>185</v>
      </c>
      <c r="P347" s="30" t="n">
        <v>5.26</v>
      </c>
      <c r="Q347" s="27"/>
      <c r="R347" s="27" t="s">
        <v>64</v>
      </c>
    </row>
    <row r="348" customFormat="false" ht="15" hidden="false" customHeight="false" outlineLevel="0" collapsed="false">
      <c r="A348" s="25" t="n">
        <f aca="false">IF(G348="REJECT",COUNTIF($G$2:$G$2277,"&lt;&gt;REJECT")+1+COUNTIFS($G$2:$G$2277,"REJECT",$B$2:$B$2277,"&gt;"&amp;B348),1+COUNTIFS($G$2:$G$2277,"&lt;&gt;REJECT",$B$2:$B$2277,"&gt;"&amp;B348))</f>
        <v>346</v>
      </c>
      <c r="B348" s="26" t="n">
        <f aca="false">ROUND(($U$2*MAX(0,MIN(1,($W$2-I348)/($W$2-$V$2)))+$U$3*MAX(0,MIN(1,($W$3-J348)/($W$3-$V$3)))+$U$4*MAX(0,MIN(1,($W$4-K348)/($W$4-$V$4)))+$U$5*MAX(0,MIN(1,($W$5-L348)/($W$5-$V$5)))+$U$6*MAX(0,MIN(1,($W$6-M348)/($W$6-$V$6)))+$U$7*MAX(0,MIN(1,($W$7-N348)/($W$7-$V$7)))+$U$8*IF(AND(O348&gt;=$V$8,O348&lt;=$W$8),1,0))/$U$9*100,2)</f>
        <v>92.51</v>
      </c>
      <c r="C348" s="27" t="s">
        <v>2993</v>
      </c>
      <c r="D348" s="25" t="s">
        <v>3459</v>
      </c>
      <c r="E348" s="25" t="s">
        <v>3450</v>
      </c>
      <c r="F348" s="25" t="s">
        <v>3457</v>
      </c>
      <c r="G348" s="28" t="s">
        <v>29</v>
      </c>
      <c r="H348" s="28" t="s">
        <v>25</v>
      </c>
      <c r="I348" s="25" t="n">
        <v>0</v>
      </c>
      <c r="J348" s="25" t="n">
        <v>0</v>
      </c>
      <c r="K348" s="25" t="n">
        <v>0</v>
      </c>
      <c r="L348" s="29" t="n">
        <v>0.75</v>
      </c>
      <c r="M348" s="30" t="n">
        <v>23.37</v>
      </c>
      <c r="N348" s="29" t="n">
        <v>0.36</v>
      </c>
      <c r="O348" s="25" t="n">
        <v>183</v>
      </c>
      <c r="P348" s="30" t="n">
        <v>9.7</v>
      </c>
      <c r="Q348" s="27"/>
      <c r="R348" s="27" t="s">
        <v>61</v>
      </c>
    </row>
    <row r="349" customFormat="false" ht="15" hidden="false" customHeight="false" outlineLevel="0" collapsed="false">
      <c r="A349" s="25" t="n">
        <f aca="false">IF(G349="REJECT",COUNTIF($G$2:$G$2277,"&lt;&gt;REJECT")+1+COUNTIFS($G$2:$G$2277,"REJECT",$B$2:$B$2277,"&gt;"&amp;B349),1+COUNTIFS($G$2:$G$2277,"&lt;&gt;REJECT",$B$2:$B$2277,"&gt;"&amp;B349))</f>
        <v>348</v>
      </c>
      <c r="B349" s="26" t="n">
        <f aca="false">ROUND(($U$2*MAX(0,MIN(1,($W$2-I349)/($W$2-$V$2)))+$U$3*MAX(0,MIN(1,($W$3-J349)/($W$3-$V$3)))+$U$4*MAX(0,MIN(1,($W$4-K349)/($W$4-$V$4)))+$U$5*MAX(0,MIN(1,($W$5-L349)/($W$5-$V$5)))+$U$6*MAX(0,MIN(1,($W$6-M349)/($W$6-$V$6)))+$U$7*MAX(0,MIN(1,($W$7-N349)/($W$7-$V$7)))+$U$8*IF(AND(O349&gt;=$V$8,O349&lt;=$W$8),1,0))/$U$9*100,2)</f>
        <v>92.41</v>
      </c>
      <c r="C349" s="27" t="s">
        <v>373</v>
      </c>
      <c r="D349" s="25" t="s">
        <v>3459</v>
      </c>
      <c r="E349" s="25" t="s">
        <v>3447</v>
      </c>
      <c r="F349" s="25" t="s">
        <v>3457</v>
      </c>
      <c r="G349" s="28" t="s">
        <v>29</v>
      </c>
      <c r="H349" s="28" t="s">
        <v>25</v>
      </c>
      <c r="I349" s="25" t="n">
        <v>0</v>
      </c>
      <c r="J349" s="25" t="n">
        <v>0</v>
      </c>
      <c r="K349" s="25" t="n">
        <v>0</v>
      </c>
      <c r="L349" s="29" t="n">
        <v>0.74</v>
      </c>
      <c r="M349" s="30" t="n">
        <v>21.54</v>
      </c>
      <c r="N349" s="29" t="n">
        <v>0.24</v>
      </c>
      <c r="O349" s="25" t="n">
        <v>184</v>
      </c>
      <c r="P349" s="30" t="n">
        <v>7.49</v>
      </c>
      <c r="Q349" s="27"/>
      <c r="R349" s="27" t="s">
        <v>61</v>
      </c>
    </row>
    <row r="350" customFormat="false" ht="15" hidden="false" customHeight="false" outlineLevel="0" collapsed="false">
      <c r="A350" s="25" t="n">
        <f aca="false">IF(G350="REJECT",COUNTIF($G$2:$G$2277,"&lt;&gt;REJECT")+1+COUNTIFS($G$2:$G$2277,"REJECT",$B$2:$B$2277,"&gt;"&amp;B350),1+COUNTIFS($G$2:$G$2277,"&lt;&gt;REJECT",$B$2:$B$2277,"&gt;"&amp;B350))</f>
        <v>348</v>
      </c>
      <c r="B350" s="26" t="n">
        <f aca="false">ROUND(($U$2*MAX(0,MIN(1,($W$2-I350)/($W$2-$V$2)))+$U$3*MAX(0,MIN(1,($W$3-J350)/($W$3-$V$3)))+$U$4*MAX(0,MIN(1,($W$4-K350)/($W$4-$V$4)))+$U$5*MAX(0,MIN(1,($W$5-L350)/($W$5-$V$5)))+$U$6*MAX(0,MIN(1,($W$6-M350)/($W$6-$V$6)))+$U$7*MAX(0,MIN(1,($W$7-N350)/($W$7-$V$7)))+$U$8*IF(AND(O350&gt;=$V$8,O350&lt;=$W$8),1,0))/$U$9*100,2)</f>
        <v>92.41</v>
      </c>
      <c r="C350" s="27" t="s">
        <v>2607</v>
      </c>
      <c r="D350" s="25" t="s">
        <v>134</v>
      </c>
      <c r="E350" s="25" t="s">
        <v>3447</v>
      </c>
      <c r="F350" s="25" t="s">
        <v>3457</v>
      </c>
      <c r="G350" s="38" t="s">
        <v>30</v>
      </c>
      <c r="H350" s="28" t="s">
        <v>25</v>
      </c>
      <c r="I350" s="25" t="n">
        <v>1</v>
      </c>
      <c r="J350" s="25" t="n">
        <v>0</v>
      </c>
      <c r="K350" s="25" t="n">
        <v>1</v>
      </c>
      <c r="L350" s="29" t="n">
        <v>0.86</v>
      </c>
      <c r="M350" s="30" t="n">
        <v>3.65</v>
      </c>
      <c r="N350" s="29" t="n">
        <v>0.44</v>
      </c>
      <c r="O350" s="25" t="n">
        <v>188</v>
      </c>
      <c r="P350" s="30" t="n">
        <v>-1.28</v>
      </c>
      <c r="Q350" s="27" t="s">
        <v>3475</v>
      </c>
      <c r="R350" s="27" t="s">
        <v>2610</v>
      </c>
    </row>
    <row r="351" customFormat="false" ht="15" hidden="false" customHeight="false" outlineLevel="0" collapsed="false">
      <c r="A351" s="25" t="n">
        <f aca="false">IF(G351="REJECT",COUNTIF($G$2:$G$2277,"&lt;&gt;REJECT")+1+COUNTIFS($G$2:$G$2277,"REJECT",$B$2:$B$2277,"&gt;"&amp;B351),1+COUNTIFS($G$2:$G$2277,"&lt;&gt;REJECT",$B$2:$B$2277,"&gt;"&amp;B351))</f>
        <v>350</v>
      </c>
      <c r="B351" s="26" t="n">
        <f aca="false">ROUND(($U$2*MAX(0,MIN(1,($W$2-I351)/($W$2-$V$2)))+$U$3*MAX(0,MIN(1,($W$3-J351)/($W$3-$V$3)))+$U$4*MAX(0,MIN(1,($W$4-K351)/($W$4-$V$4)))+$U$5*MAX(0,MIN(1,($W$5-L351)/($W$5-$V$5)))+$U$6*MAX(0,MIN(1,($W$6-M351)/($W$6-$V$6)))+$U$7*MAX(0,MIN(1,($W$7-N351)/($W$7-$V$7)))+$U$8*IF(AND(O351&gt;=$V$8,O351&lt;=$W$8),1,0))/$U$9*100,2)</f>
        <v>92.4</v>
      </c>
      <c r="C351" s="27" t="s">
        <v>1842</v>
      </c>
      <c r="D351" s="25" t="s">
        <v>134</v>
      </c>
      <c r="E351" s="25" t="s">
        <v>3450</v>
      </c>
      <c r="F351" s="25" t="s">
        <v>3448</v>
      </c>
      <c r="G351" s="28" t="s">
        <v>29</v>
      </c>
      <c r="H351" s="28" t="s">
        <v>25</v>
      </c>
      <c r="I351" s="25" t="n">
        <v>0</v>
      </c>
      <c r="J351" s="25" t="n">
        <v>0</v>
      </c>
      <c r="K351" s="25" t="n">
        <v>0</v>
      </c>
      <c r="L351" s="29" t="n">
        <v>0.73</v>
      </c>
      <c r="M351" s="30" t="n">
        <v>10.79</v>
      </c>
      <c r="N351" s="29" t="n">
        <v>0.96</v>
      </c>
      <c r="O351" s="25" t="n">
        <v>184</v>
      </c>
      <c r="P351" s="30" t="n">
        <v>-0.04</v>
      </c>
      <c r="Q351" s="27"/>
      <c r="R351" s="27" t="s">
        <v>62</v>
      </c>
    </row>
    <row r="352" customFormat="false" ht="15" hidden="false" customHeight="false" outlineLevel="0" collapsed="false">
      <c r="A352" s="25" t="n">
        <f aca="false">IF(G352="REJECT",COUNTIF($G$2:$G$2277,"&lt;&gt;REJECT")+1+COUNTIFS($G$2:$G$2277,"REJECT",$B$2:$B$2277,"&gt;"&amp;B352),1+COUNTIFS($G$2:$G$2277,"&lt;&gt;REJECT",$B$2:$B$2277,"&gt;"&amp;B352))</f>
        <v>351</v>
      </c>
      <c r="B352" s="26" t="n">
        <f aca="false">ROUND(($U$2*MAX(0,MIN(1,($W$2-I352)/($W$2-$V$2)))+$U$3*MAX(0,MIN(1,($W$3-J352)/($W$3-$V$3)))+$U$4*MAX(0,MIN(1,($W$4-K352)/($W$4-$V$4)))+$U$5*MAX(0,MIN(1,($W$5-L352)/($W$5-$V$5)))+$U$6*MAX(0,MIN(1,($W$6-M352)/($W$6-$V$6)))+$U$7*MAX(0,MIN(1,($W$7-N352)/($W$7-$V$7)))+$U$8*IF(AND(O352&gt;=$V$8,O352&lt;=$W$8),1,0))/$U$9*100,2)</f>
        <v>92.39</v>
      </c>
      <c r="C352" s="27" t="s">
        <v>140</v>
      </c>
      <c r="D352" s="25" t="s">
        <v>134</v>
      </c>
      <c r="E352" s="25" t="s">
        <v>3450</v>
      </c>
      <c r="F352" s="25" t="s">
        <v>3448</v>
      </c>
      <c r="G352" s="33" t="s">
        <v>28</v>
      </c>
      <c r="H352" s="33" t="s">
        <v>24</v>
      </c>
      <c r="I352" s="25" t="n">
        <v>0</v>
      </c>
      <c r="J352" s="25" t="n">
        <v>0</v>
      </c>
      <c r="K352" s="25" t="n">
        <v>0</v>
      </c>
      <c r="L352" s="29" t="n">
        <v>0.71</v>
      </c>
      <c r="M352" s="30" t="n">
        <v>9.66</v>
      </c>
      <c r="N352" s="29" t="n">
        <v>0.36</v>
      </c>
      <c r="O352" s="25" t="n">
        <v>185</v>
      </c>
      <c r="P352" s="30" t="n">
        <v>23.16</v>
      </c>
      <c r="Q352" s="27"/>
      <c r="R352" s="27"/>
    </row>
    <row r="353" customFormat="false" ht="15" hidden="false" customHeight="false" outlineLevel="0" collapsed="false">
      <c r="A353" s="25" t="n">
        <f aca="false">IF(G353="REJECT",COUNTIF($G$2:$G$2277,"&lt;&gt;REJECT")+1+COUNTIFS($G$2:$G$2277,"REJECT",$B$2:$B$2277,"&gt;"&amp;B353),1+COUNTIFS($G$2:$G$2277,"&lt;&gt;REJECT",$B$2:$B$2277,"&gt;"&amp;B353))</f>
        <v>351</v>
      </c>
      <c r="B353" s="26" t="n">
        <f aca="false">ROUND(($U$2*MAX(0,MIN(1,($W$2-I353)/($W$2-$V$2)))+$U$3*MAX(0,MIN(1,($W$3-J353)/($W$3-$V$3)))+$U$4*MAX(0,MIN(1,($W$4-K353)/($W$4-$V$4)))+$U$5*MAX(0,MIN(1,($W$5-L353)/($W$5-$V$5)))+$U$6*MAX(0,MIN(1,($W$6-M353)/($W$6-$V$6)))+$U$7*MAX(0,MIN(1,($W$7-N353)/($W$7-$V$7)))+$U$8*IF(AND(O353&gt;=$V$8,O353&lt;=$W$8),1,0))/$U$9*100,2)</f>
        <v>92.39</v>
      </c>
      <c r="C353" s="27" t="s">
        <v>507</v>
      </c>
      <c r="D353" s="25" t="s">
        <v>134</v>
      </c>
      <c r="E353" s="25" t="s">
        <v>3447</v>
      </c>
      <c r="F353" s="25" t="s">
        <v>3457</v>
      </c>
      <c r="G353" s="28" t="s">
        <v>29</v>
      </c>
      <c r="H353" s="28" t="s">
        <v>25</v>
      </c>
      <c r="I353" s="25" t="n">
        <v>0</v>
      </c>
      <c r="J353" s="25" t="n">
        <v>0</v>
      </c>
      <c r="K353" s="25" t="n">
        <v>0</v>
      </c>
      <c r="L353" s="29" t="n">
        <v>0.75</v>
      </c>
      <c r="M353" s="30" t="n">
        <v>21.26</v>
      </c>
      <c r="N353" s="29" t="n">
        <v>0.64</v>
      </c>
      <c r="O353" s="25" t="n">
        <v>183</v>
      </c>
      <c r="P353" s="30" t="n">
        <v>12.46</v>
      </c>
      <c r="Q353" s="27"/>
      <c r="R353" s="27" t="s">
        <v>61</v>
      </c>
    </row>
    <row r="354" customFormat="false" ht="15" hidden="false" customHeight="false" outlineLevel="0" collapsed="false">
      <c r="A354" s="25" t="n">
        <f aca="false">IF(G354="REJECT",COUNTIF($G$2:$G$2277,"&lt;&gt;REJECT")+1+COUNTIFS($G$2:$G$2277,"REJECT",$B$2:$B$2277,"&gt;"&amp;B354),1+COUNTIFS($G$2:$G$2277,"&lt;&gt;REJECT",$B$2:$B$2277,"&gt;"&amp;B354))</f>
        <v>353</v>
      </c>
      <c r="B354" s="26" t="n">
        <f aca="false">ROUND(($U$2*MAX(0,MIN(1,($W$2-I354)/($W$2-$V$2)))+$U$3*MAX(0,MIN(1,($W$3-J354)/($W$3-$V$3)))+$U$4*MAX(0,MIN(1,($W$4-K354)/($W$4-$V$4)))+$U$5*MAX(0,MIN(1,($W$5-L354)/($W$5-$V$5)))+$U$6*MAX(0,MIN(1,($W$6-M354)/($W$6-$V$6)))+$U$7*MAX(0,MIN(1,($W$7-N354)/($W$7-$V$7)))+$U$8*IF(AND(O354&gt;=$V$8,O354&lt;=$W$8),1,0))/$U$9*100,2)</f>
        <v>92.37</v>
      </c>
      <c r="C354" s="27" t="s">
        <v>1982</v>
      </c>
      <c r="D354" s="25" t="s">
        <v>134</v>
      </c>
      <c r="E354" s="25" t="s">
        <v>3447</v>
      </c>
      <c r="F354" s="25" t="s">
        <v>3448</v>
      </c>
      <c r="G354" s="33" t="s">
        <v>28</v>
      </c>
      <c r="H354" s="33" t="s">
        <v>24</v>
      </c>
      <c r="I354" s="25" t="n">
        <v>0</v>
      </c>
      <c r="J354" s="25" t="n">
        <v>0</v>
      </c>
      <c r="K354" s="25" t="n">
        <v>0</v>
      </c>
      <c r="L354" s="29" t="n">
        <v>0.71</v>
      </c>
      <c r="M354" s="30" t="n">
        <v>8.21</v>
      </c>
      <c r="N354" s="29" t="n">
        <v>0.52</v>
      </c>
      <c r="O354" s="25" t="n">
        <v>182</v>
      </c>
      <c r="P354" s="30" t="n">
        <v>-0.94</v>
      </c>
      <c r="Q354" s="27"/>
      <c r="R354" s="27"/>
    </row>
    <row r="355" customFormat="false" ht="15" hidden="false" customHeight="false" outlineLevel="0" collapsed="false">
      <c r="A355" s="25" t="n">
        <f aca="false">IF(G355="REJECT",COUNTIF($G$2:$G$2277,"&lt;&gt;REJECT")+1+COUNTIFS($G$2:$G$2277,"REJECT",$B$2:$B$2277,"&gt;"&amp;B355),1+COUNTIFS($G$2:$G$2277,"&lt;&gt;REJECT",$B$2:$B$2277,"&gt;"&amp;B355))</f>
        <v>354</v>
      </c>
      <c r="B355" s="26" t="n">
        <f aca="false">ROUND(($U$2*MAX(0,MIN(1,($W$2-I355)/($W$2-$V$2)))+$U$3*MAX(0,MIN(1,($W$3-J355)/($W$3-$V$3)))+$U$4*MAX(0,MIN(1,($W$4-K355)/($W$4-$V$4)))+$U$5*MAX(0,MIN(1,($W$5-L355)/($W$5-$V$5)))+$U$6*MAX(0,MIN(1,($W$6-M355)/($W$6-$V$6)))+$U$7*MAX(0,MIN(1,($W$7-N355)/($W$7-$V$7)))+$U$8*IF(AND(O355&gt;=$V$8,O355&lt;=$W$8),1,0))/$U$9*100,2)</f>
        <v>92.31</v>
      </c>
      <c r="C355" s="27" t="s">
        <v>480</v>
      </c>
      <c r="D355" s="25" t="s">
        <v>134</v>
      </c>
      <c r="E355" s="25" t="s">
        <v>3450</v>
      </c>
      <c r="F355" s="25" t="s">
        <v>3457</v>
      </c>
      <c r="G355" s="28" t="s">
        <v>29</v>
      </c>
      <c r="H355" s="28" t="s">
        <v>25</v>
      </c>
      <c r="I355" s="25" t="n">
        <v>0</v>
      </c>
      <c r="J355" s="25" t="n">
        <v>0</v>
      </c>
      <c r="K355" s="25" t="n">
        <v>0</v>
      </c>
      <c r="L355" s="29" t="n">
        <v>0.7</v>
      </c>
      <c r="M355" s="30" t="n">
        <v>1.77</v>
      </c>
      <c r="N355" s="29" t="n">
        <v>0.84</v>
      </c>
      <c r="O355" s="25" t="n">
        <v>184</v>
      </c>
      <c r="P355" s="30" t="n">
        <v>1.29</v>
      </c>
      <c r="Q355" s="27"/>
      <c r="R355" s="27" t="s">
        <v>62</v>
      </c>
    </row>
    <row r="356" customFormat="false" ht="15" hidden="false" customHeight="false" outlineLevel="0" collapsed="false">
      <c r="A356" s="25" t="n">
        <f aca="false">IF(G356="REJECT",COUNTIF($G$2:$G$2277,"&lt;&gt;REJECT")+1+COUNTIFS($G$2:$G$2277,"REJECT",$B$2:$B$2277,"&gt;"&amp;B356),1+COUNTIFS($G$2:$G$2277,"&lt;&gt;REJECT",$B$2:$B$2277,"&gt;"&amp;B356))</f>
        <v>354</v>
      </c>
      <c r="B356" s="26" t="n">
        <f aca="false">ROUND(($U$2*MAX(0,MIN(1,($W$2-I356)/($W$2-$V$2)))+$U$3*MAX(0,MIN(1,($W$3-J356)/($W$3-$V$3)))+$U$4*MAX(0,MIN(1,($W$4-K356)/($W$4-$V$4)))+$U$5*MAX(0,MIN(1,($W$5-L356)/($W$5-$V$5)))+$U$6*MAX(0,MIN(1,($W$6-M356)/($W$6-$V$6)))+$U$7*MAX(0,MIN(1,($W$7-N356)/($W$7-$V$7)))+$U$8*IF(AND(O356&gt;=$V$8,O356&lt;=$W$8),1,0))/$U$9*100,2)</f>
        <v>92.31</v>
      </c>
      <c r="C356" s="27" t="s">
        <v>1203</v>
      </c>
      <c r="D356" s="25" t="s">
        <v>134</v>
      </c>
      <c r="E356" s="25" t="s">
        <v>3450</v>
      </c>
      <c r="F356" s="25" t="s">
        <v>3448</v>
      </c>
      <c r="G356" s="33" t="s">
        <v>28</v>
      </c>
      <c r="H356" s="33" t="s">
        <v>24</v>
      </c>
      <c r="I356" s="25" t="n">
        <v>0</v>
      </c>
      <c r="J356" s="25" t="n">
        <v>0</v>
      </c>
      <c r="K356" s="25" t="n">
        <v>0</v>
      </c>
      <c r="L356" s="29" t="n">
        <v>0.71</v>
      </c>
      <c r="M356" s="30" t="n">
        <v>12.54</v>
      </c>
      <c r="N356" s="29" t="n">
        <v>0.12</v>
      </c>
      <c r="O356" s="25" t="n">
        <v>185</v>
      </c>
      <c r="P356" s="30" t="n">
        <v>13.97</v>
      </c>
      <c r="Q356" s="27"/>
      <c r="R356" s="27"/>
    </row>
    <row r="357" customFormat="false" ht="15" hidden="false" customHeight="false" outlineLevel="0" collapsed="false">
      <c r="A357" s="25" t="n">
        <f aca="false">IF(G357="REJECT",COUNTIF($G$2:$G$2277,"&lt;&gt;REJECT")+1+COUNTIFS($G$2:$G$2277,"REJECT",$B$2:$B$2277,"&gt;"&amp;B357),1+COUNTIFS($G$2:$G$2277,"&lt;&gt;REJECT",$B$2:$B$2277,"&gt;"&amp;B357))</f>
        <v>356</v>
      </c>
      <c r="B357" s="26" t="n">
        <f aca="false">ROUND(($U$2*MAX(0,MIN(1,($W$2-I357)/($W$2-$V$2)))+$U$3*MAX(0,MIN(1,($W$3-J357)/($W$3-$V$3)))+$U$4*MAX(0,MIN(1,($W$4-K357)/($W$4-$V$4)))+$U$5*MAX(0,MIN(1,($W$5-L357)/($W$5-$V$5)))+$U$6*MAX(0,MIN(1,($W$6-M357)/($W$6-$V$6)))+$U$7*MAX(0,MIN(1,($W$7-N357)/($W$7-$V$7)))+$U$8*IF(AND(O357&gt;=$V$8,O357&lt;=$W$8),1,0))/$U$9*100,2)</f>
        <v>92.3</v>
      </c>
      <c r="C357" s="27" t="s">
        <v>1156</v>
      </c>
      <c r="D357" s="25" t="s">
        <v>3459</v>
      </c>
      <c r="E357" s="25" t="s">
        <v>3450</v>
      </c>
      <c r="F357" s="25" t="s">
        <v>3457</v>
      </c>
      <c r="G357" s="28" t="s">
        <v>29</v>
      </c>
      <c r="H357" s="28" t="s">
        <v>25</v>
      </c>
      <c r="I357" s="25" t="n">
        <v>0</v>
      </c>
      <c r="J357" s="25" t="n">
        <v>0</v>
      </c>
      <c r="K357" s="25" t="n">
        <v>0</v>
      </c>
      <c r="L357" s="29" t="n">
        <v>0.76</v>
      </c>
      <c r="M357" s="30" t="n">
        <v>26.19</v>
      </c>
      <c r="N357" s="29" t="n">
        <v>0.56</v>
      </c>
      <c r="O357" s="25" t="n">
        <v>182</v>
      </c>
      <c r="P357" s="30" t="n">
        <v>7.55</v>
      </c>
      <c r="Q357" s="27"/>
      <c r="R357" s="27" t="s">
        <v>61</v>
      </c>
    </row>
    <row r="358" customFormat="false" ht="15" hidden="false" customHeight="false" outlineLevel="0" collapsed="false">
      <c r="A358" s="25" t="n">
        <f aca="false">IF(G358="REJECT",COUNTIF($G$2:$G$2277,"&lt;&gt;REJECT")+1+COUNTIFS($G$2:$G$2277,"REJECT",$B$2:$B$2277,"&gt;"&amp;B358),1+COUNTIFS($G$2:$G$2277,"&lt;&gt;REJECT",$B$2:$B$2277,"&gt;"&amp;B358))</f>
        <v>356</v>
      </c>
      <c r="B358" s="26" t="n">
        <f aca="false">ROUND(($U$2*MAX(0,MIN(1,($W$2-I358)/($W$2-$V$2)))+$U$3*MAX(0,MIN(1,($W$3-J358)/($W$3-$V$3)))+$U$4*MAX(0,MIN(1,($W$4-K358)/($W$4-$V$4)))+$U$5*MAX(0,MIN(1,($W$5-L358)/($W$5-$V$5)))+$U$6*MAX(0,MIN(1,($W$6-M358)/($W$6-$V$6)))+$U$7*MAX(0,MIN(1,($W$7-N358)/($W$7-$V$7)))+$U$8*IF(AND(O358&gt;=$V$8,O358&lt;=$W$8),1,0))/$U$9*100,2)</f>
        <v>92.3</v>
      </c>
      <c r="C358" s="27" t="s">
        <v>2993</v>
      </c>
      <c r="D358" s="25" t="s">
        <v>134</v>
      </c>
      <c r="E358" s="25" t="s">
        <v>3450</v>
      </c>
      <c r="F358" s="25" t="s">
        <v>3457</v>
      </c>
      <c r="G358" s="28" t="s">
        <v>29</v>
      </c>
      <c r="H358" s="28" t="s">
        <v>25</v>
      </c>
      <c r="I358" s="25" t="n">
        <v>0</v>
      </c>
      <c r="J358" s="25" t="n">
        <v>0</v>
      </c>
      <c r="K358" s="25" t="n">
        <v>0</v>
      </c>
      <c r="L358" s="29" t="n">
        <v>0.75</v>
      </c>
      <c r="M358" s="30" t="n">
        <v>22.19</v>
      </c>
      <c r="N358" s="29" t="n">
        <v>0.6</v>
      </c>
      <c r="O358" s="25" t="n">
        <v>199</v>
      </c>
      <c r="P358" s="30" t="n">
        <v>8.36</v>
      </c>
      <c r="Q358" s="27"/>
      <c r="R358" s="27" t="s">
        <v>61</v>
      </c>
    </row>
    <row r="359" customFormat="false" ht="15" hidden="false" customHeight="false" outlineLevel="0" collapsed="false">
      <c r="A359" s="25" t="n">
        <f aca="false">IF(G359="REJECT",COUNTIF($G$2:$G$2277,"&lt;&gt;REJECT")+1+COUNTIFS($G$2:$G$2277,"REJECT",$B$2:$B$2277,"&gt;"&amp;B359),1+COUNTIFS($G$2:$G$2277,"&lt;&gt;REJECT",$B$2:$B$2277,"&gt;"&amp;B359))</f>
        <v>358</v>
      </c>
      <c r="B359" s="26" t="n">
        <f aca="false">ROUND(($U$2*MAX(0,MIN(1,($W$2-I359)/($W$2-$V$2)))+$U$3*MAX(0,MIN(1,($W$3-J359)/($W$3-$V$3)))+$U$4*MAX(0,MIN(1,($W$4-K359)/($W$4-$V$4)))+$U$5*MAX(0,MIN(1,($W$5-L359)/($W$5-$V$5)))+$U$6*MAX(0,MIN(1,($W$6-M359)/($W$6-$V$6)))+$U$7*MAX(0,MIN(1,($W$7-N359)/($W$7-$V$7)))+$U$8*IF(AND(O359&gt;=$V$8,O359&lt;=$W$8),1,0))/$U$9*100,2)</f>
        <v>92.28</v>
      </c>
      <c r="C359" s="27" t="s">
        <v>2932</v>
      </c>
      <c r="D359" s="25" t="s">
        <v>3459</v>
      </c>
      <c r="E359" s="25" t="s">
        <v>3450</v>
      </c>
      <c r="F359" s="25" t="s">
        <v>3448</v>
      </c>
      <c r="G359" s="28" t="s">
        <v>29</v>
      </c>
      <c r="H359" s="28" t="s">
        <v>25</v>
      </c>
      <c r="I359" s="25" t="n">
        <v>0</v>
      </c>
      <c r="J359" s="25" t="n">
        <v>0</v>
      </c>
      <c r="K359" s="25" t="n">
        <v>0</v>
      </c>
      <c r="L359" s="29" t="n">
        <v>0.74</v>
      </c>
      <c r="M359" s="30" t="n">
        <v>20.3</v>
      </c>
      <c r="N359" s="29" t="n">
        <v>0.44</v>
      </c>
      <c r="O359" s="25" t="n">
        <v>184</v>
      </c>
      <c r="P359" s="30" t="n">
        <v>-0.58</v>
      </c>
      <c r="Q359" s="27"/>
      <c r="R359" s="27" t="s">
        <v>3473</v>
      </c>
    </row>
    <row r="360" customFormat="false" ht="15" hidden="false" customHeight="false" outlineLevel="0" collapsed="false">
      <c r="A360" s="25" t="n">
        <f aca="false">IF(G360="REJECT",COUNTIF($G$2:$G$2277,"&lt;&gt;REJECT")+1+COUNTIFS($G$2:$G$2277,"REJECT",$B$2:$B$2277,"&gt;"&amp;B360),1+COUNTIFS($G$2:$G$2277,"&lt;&gt;REJECT",$B$2:$B$2277,"&gt;"&amp;B360))</f>
        <v>359</v>
      </c>
      <c r="B360" s="26" t="n">
        <f aca="false">ROUND(($U$2*MAX(0,MIN(1,($W$2-I360)/($W$2-$V$2)))+$U$3*MAX(0,MIN(1,($W$3-J360)/($W$3-$V$3)))+$U$4*MAX(0,MIN(1,($W$4-K360)/($W$4-$V$4)))+$U$5*MAX(0,MIN(1,($W$5-L360)/($W$5-$V$5)))+$U$6*MAX(0,MIN(1,($W$6-M360)/($W$6-$V$6)))+$U$7*MAX(0,MIN(1,($W$7-N360)/($W$7-$V$7)))+$U$8*IF(AND(O360&gt;=$V$8,O360&lt;=$W$8),1,0))/$U$9*100,2)</f>
        <v>92.25</v>
      </c>
      <c r="C360" s="27" t="s">
        <v>1308</v>
      </c>
      <c r="D360" s="25" t="s">
        <v>134</v>
      </c>
      <c r="E360" s="25" t="s">
        <v>3450</v>
      </c>
      <c r="F360" s="25" t="s">
        <v>3457</v>
      </c>
      <c r="G360" s="28" t="s">
        <v>29</v>
      </c>
      <c r="H360" s="28" t="s">
        <v>25</v>
      </c>
      <c r="I360" s="25" t="n">
        <v>0</v>
      </c>
      <c r="J360" s="25" t="n">
        <v>0</v>
      </c>
      <c r="K360" s="25" t="n">
        <v>0</v>
      </c>
      <c r="L360" s="29" t="n">
        <v>0.73</v>
      </c>
      <c r="M360" s="30" t="n">
        <v>12.51</v>
      </c>
      <c r="N360" s="29" t="n">
        <v>0.88</v>
      </c>
      <c r="O360" s="25" t="n">
        <v>187</v>
      </c>
      <c r="P360" s="30" t="n">
        <v>4.97</v>
      </c>
      <c r="Q360" s="27"/>
      <c r="R360" s="27" t="s">
        <v>64</v>
      </c>
    </row>
    <row r="361" customFormat="false" ht="15" hidden="false" customHeight="false" outlineLevel="0" collapsed="false">
      <c r="A361" s="25" t="n">
        <f aca="false">IF(G361="REJECT",COUNTIF($G$2:$G$2277,"&lt;&gt;REJECT")+1+COUNTIFS($G$2:$G$2277,"REJECT",$B$2:$B$2277,"&gt;"&amp;B361),1+COUNTIFS($G$2:$G$2277,"&lt;&gt;REJECT",$B$2:$B$2277,"&gt;"&amp;B361))</f>
        <v>360</v>
      </c>
      <c r="B361" s="26" t="n">
        <f aca="false">ROUND(($U$2*MAX(0,MIN(1,($W$2-I361)/($W$2-$V$2)))+$U$3*MAX(0,MIN(1,($W$3-J361)/($W$3-$V$3)))+$U$4*MAX(0,MIN(1,($W$4-K361)/($W$4-$V$4)))+$U$5*MAX(0,MIN(1,($W$5-L361)/($W$5-$V$5)))+$U$6*MAX(0,MIN(1,($W$6-M361)/($W$6-$V$6)))+$U$7*MAX(0,MIN(1,($W$7-N361)/($W$7-$V$7)))+$U$8*IF(AND(O361&gt;=$V$8,O361&lt;=$W$8),1,0))/$U$9*100,2)</f>
        <v>92.23</v>
      </c>
      <c r="C361" s="27" t="s">
        <v>2379</v>
      </c>
      <c r="D361" s="25" t="s">
        <v>134</v>
      </c>
      <c r="E361" s="25" t="s">
        <v>3450</v>
      </c>
      <c r="F361" s="25" t="s">
        <v>3448</v>
      </c>
      <c r="G361" s="33" t="s">
        <v>28</v>
      </c>
      <c r="H361" s="33" t="s">
        <v>24</v>
      </c>
      <c r="I361" s="25" t="n">
        <v>0</v>
      </c>
      <c r="J361" s="25" t="n">
        <v>0</v>
      </c>
      <c r="K361" s="25" t="n">
        <v>0</v>
      </c>
      <c r="L361" s="29" t="n">
        <v>0.71</v>
      </c>
      <c r="M361" s="30" t="n">
        <v>7.8</v>
      </c>
      <c r="N361" s="29" t="n">
        <v>0.64</v>
      </c>
      <c r="O361" s="25" t="n">
        <v>183</v>
      </c>
      <c r="P361" s="30" t="n">
        <v>14.74</v>
      </c>
      <c r="Q361" s="27"/>
      <c r="R361" s="27"/>
    </row>
    <row r="362" customFormat="false" ht="15" hidden="false" customHeight="false" outlineLevel="0" collapsed="false">
      <c r="A362" s="25" t="n">
        <f aca="false">IF(G362="REJECT",COUNTIF($G$2:$G$2277,"&lt;&gt;REJECT")+1+COUNTIFS($G$2:$G$2277,"REJECT",$B$2:$B$2277,"&gt;"&amp;B362),1+COUNTIFS($G$2:$G$2277,"&lt;&gt;REJECT",$B$2:$B$2277,"&gt;"&amp;B362))</f>
        <v>361</v>
      </c>
      <c r="B362" s="26" t="n">
        <f aca="false">ROUND(($U$2*MAX(0,MIN(1,($W$2-I362)/($W$2-$V$2)))+$U$3*MAX(0,MIN(1,($W$3-J362)/($W$3-$V$3)))+$U$4*MAX(0,MIN(1,($W$4-K362)/($W$4-$V$4)))+$U$5*MAX(0,MIN(1,($W$5-L362)/($W$5-$V$5)))+$U$6*MAX(0,MIN(1,($W$6-M362)/($W$6-$V$6)))+$U$7*MAX(0,MIN(1,($W$7-N362)/($W$7-$V$7)))+$U$8*IF(AND(O362&gt;=$V$8,O362&lt;=$W$8),1,0))/$U$9*100,2)</f>
        <v>92.22</v>
      </c>
      <c r="C362" s="27" t="s">
        <v>2021</v>
      </c>
      <c r="D362" s="25" t="s">
        <v>134</v>
      </c>
      <c r="E362" s="25" t="s">
        <v>3450</v>
      </c>
      <c r="F362" s="25" t="s">
        <v>3457</v>
      </c>
      <c r="G362" s="28" t="s">
        <v>29</v>
      </c>
      <c r="H362" s="28" t="s">
        <v>25</v>
      </c>
      <c r="I362" s="25" t="n">
        <v>0</v>
      </c>
      <c r="J362" s="25" t="n">
        <v>0</v>
      </c>
      <c r="K362" s="25" t="n">
        <v>0</v>
      </c>
      <c r="L362" s="29" t="n">
        <v>0.71</v>
      </c>
      <c r="M362" s="30" t="n">
        <v>10.66</v>
      </c>
      <c r="N362" s="29" t="n">
        <v>0.36</v>
      </c>
      <c r="O362" s="25" t="n">
        <v>183</v>
      </c>
      <c r="P362" s="30" t="n">
        <v>1.71</v>
      </c>
      <c r="Q362" s="27"/>
      <c r="R362" s="27" t="s">
        <v>3466</v>
      </c>
    </row>
    <row r="363" customFormat="false" ht="15" hidden="false" customHeight="false" outlineLevel="0" collapsed="false">
      <c r="A363" s="25" t="n">
        <f aca="false">IF(G363="REJECT",COUNTIF($G$2:$G$2277,"&lt;&gt;REJECT")+1+COUNTIFS($G$2:$G$2277,"REJECT",$B$2:$B$2277,"&gt;"&amp;B363),1+COUNTIFS($G$2:$G$2277,"&lt;&gt;REJECT",$B$2:$B$2277,"&gt;"&amp;B363))</f>
        <v>361</v>
      </c>
      <c r="B363" s="26" t="n">
        <f aca="false">ROUND(($U$2*MAX(0,MIN(1,($W$2-I363)/($W$2-$V$2)))+$U$3*MAX(0,MIN(1,($W$3-J363)/($W$3-$V$3)))+$U$4*MAX(0,MIN(1,($W$4-K363)/($W$4-$V$4)))+$U$5*MAX(0,MIN(1,($W$5-L363)/($W$5-$V$5)))+$U$6*MAX(0,MIN(1,($W$6-M363)/($W$6-$V$6)))+$U$7*MAX(0,MIN(1,($W$7-N363)/($W$7-$V$7)))+$U$8*IF(AND(O363&gt;=$V$8,O363&lt;=$W$8),1,0))/$U$9*100,2)</f>
        <v>92.22</v>
      </c>
      <c r="C363" s="27" t="s">
        <v>2987</v>
      </c>
      <c r="D363" s="25" t="s">
        <v>134</v>
      </c>
      <c r="E363" s="25" t="s">
        <v>3447</v>
      </c>
      <c r="F363" s="25" t="s">
        <v>3448</v>
      </c>
      <c r="G363" s="38" t="s">
        <v>30</v>
      </c>
      <c r="H363" s="33" t="s">
        <v>24</v>
      </c>
      <c r="I363" s="25" t="n">
        <v>1</v>
      </c>
      <c r="J363" s="25" t="n">
        <v>0</v>
      </c>
      <c r="K363" s="25" t="n">
        <v>1</v>
      </c>
      <c r="L363" s="29" t="n">
        <v>0.8</v>
      </c>
      <c r="M363" s="30" t="n">
        <v>7.17</v>
      </c>
      <c r="N363" s="29" t="n">
        <v>0.2</v>
      </c>
      <c r="O363" s="25" t="n">
        <v>184</v>
      </c>
      <c r="P363" s="30" t="n">
        <v>-2.64</v>
      </c>
      <c r="Q363" s="27" t="s">
        <v>3476</v>
      </c>
      <c r="R363" s="27" t="s">
        <v>30</v>
      </c>
    </row>
    <row r="364" customFormat="false" ht="15" hidden="false" customHeight="false" outlineLevel="0" collapsed="false">
      <c r="A364" s="25" t="n">
        <f aca="false">IF(G364="REJECT",COUNTIF($G$2:$G$2277,"&lt;&gt;REJECT")+1+COUNTIFS($G$2:$G$2277,"REJECT",$B$2:$B$2277,"&gt;"&amp;B364),1+COUNTIFS($G$2:$G$2277,"&lt;&gt;REJECT",$B$2:$B$2277,"&gt;"&amp;B364))</f>
        <v>363</v>
      </c>
      <c r="B364" s="26" t="n">
        <f aca="false">ROUND(($U$2*MAX(0,MIN(1,($W$2-I364)/($W$2-$V$2)))+$U$3*MAX(0,MIN(1,($W$3-J364)/($W$3-$V$3)))+$U$4*MAX(0,MIN(1,($W$4-K364)/($W$4-$V$4)))+$U$5*MAX(0,MIN(1,($W$5-L364)/($W$5-$V$5)))+$U$6*MAX(0,MIN(1,($W$6-M364)/($W$6-$V$6)))+$U$7*MAX(0,MIN(1,($W$7-N364)/($W$7-$V$7)))+$U$8*IF(AND(O364&gt;=$V$8,O364&lt;=$W$8),1,0))/$U$9*100,2)</f>
        <v>92.19</v>
      </c>
      <c r="C364" s="27" t="s">
        <v>1627</v>
      </c>
      <c r="D364" s="25" t="s">
        <v>134</v>
      </c>
      <c r="E364" s="25" t="s">
        <v>3447</v>
      </c>
      <c r="F364" s="25" t="s">
        <v>3457</v>
      </c>
      <c r="G364" s="28" t="s">
        <v>29</v>
      </c>
      <c r="H364" s="28" t="s">
        <v>25</v>
      </c>
      <c r="I364" s="25" t="n">
        <v>0</v>
      </c>
      <c r="J364" s="25" t="n">
        <v>0</v>
      </c>
      <c r="K364" s="25" t="n">
        <v>0</v>
      </c>
      <c r="L364" s="29" t="n">
        <v>0.7</v>
      </c>
      <c r="M364" s="30" t="n">
        <v>2.05</v>
      </c>
      <c r="N364" s="29" t="n">
        <v>0.88</v>
      </c>
      <c r="O364" s="25" t="n">
        <v>184</v>
      </c>
      <c r="P364" s="30" t="n">
        <v>-1.15</v>
      </c>
      <c r="Q364" s="27"/>
      <c r="R364" s="27" t="s">
        <v>64</v>
      </c>
    </row>
    <row r="365" customFormat="false" ht="15" hidden="false" customHeight="false" outlineLevel="0" collapsed="false">
      <c r="A365" s="25" t="n">
        <f aca="false">IF(G365="REJECT",COUNTIF($G$2:$G$2277,"&lt;&gt;REJECT")+1+COUNTIFS($G$2:$G$2277,"REJECT",$B$2:$B$2277,"&gt;"&amp;B365),1+COUNTIFS($G$2:$G$2277,"&lt;&gt;REJECT",$B$2:$B$2277,"&gt;"&amp;B365))</f>
        <v>364</v>
      </c>
      <c r="B365" s="26" t="n">
        <f aca="false">ROUND(($U$2*MAX(0,MIN(1,($W$2-I365)/($W$2-$V$2)))+$U$3*MAX(0,MIN(1,($W$3-J365)/($W$3-$V$3)))+$U$4*MAX(0,MIN(1,($W$4-K365)/($W$4-$V$4)))+$U$5*MAX(0,MIN(1,($W$5-L365)/($W$5-$V$5)))+$U$6*MAX(0,MIN(1,($W$6-M365)/($W$6-$V$6)))+$U$7*MAX(0,MIN(1,($W$7-N365)/($W$7-$V$7)))+$U$8*IF(AND(O365&gt;=$V$8,O365&lt;=$W$8),1,0))/$U$9*100,2)</f>
        <v>92.18</v>
      </c>
      <c r="C365" s="27" t="s">
        <v>695</v>
      </c>
      <c r="D365" s="25" t="s">
        <v>134</v>
      </c>
      <c r="E365" s="25" t="s">
        <v>3450</v>
      </c>
      <c r="F365" s="25" t="s">
        <v>3448</v>
      </c>
      <c r="G365" s="28" t="s">
        <v>29</v>
      </c>
      <c r="H365" s="28" t="s">
        <v>25</v>
      </c>
      <c r="I365" s="25" t="n">
        <v>0</v>
      </c>
      <c r="J365" s="25" t="n">
        <v>0</v>
      </c>
      <c r="K365" s="25" t="n">
        <v>0</v>
      </c>
      <c r="L365" s="29" t="n">
        <v>0.71</v>
      </c>
      <c r="M365" s="30" t="n">
        <v>7.75</v>
      </c>
      <c r="N365" s="29" t="n">
        <v>0.68</v>
      </c>
      <c r="O365" s="25" t="n">
        <v>182</v>
      </c>
      <c r="P365" s="30" t="n">
        <v>-0.73</v>
      </c>
      <c r="Q365" s="27"/>
      <c r="R365" s="27" t="s">
        <v>3451</v>
      </c>
    </row>
    <row r="366" customFormat="false" ht="15" hidden="false" customHeight="false" outlineLevel="0" collapsed="false">
      <c r="A366" s="25" t="n">
        <f aca="false">IF(G366="REJECT",COUNTIF($G$2:$G$2277,"&lt;&gt;REJECT")+1+COUNTIFS($G$2:$G$2277,"REJECT",$B$2:$B$2277,"&gt;"&amp;B366),1+COUNTIFS($G$2:$G$2277,"&lt;&gt;REJECT",$B$2:$B$2277,"&gt;"&amp;B366))</f>
        <v>364</v>
      </c>
      <c r="B366" s="26" t="n">
        <f aca="false">ROUND(($U$2*MAX(0,MIN(1,($W$2-I366)/($W$2-$V$2)))+$U$3*MAX(0,MIN(1,($W$3-J366)/($W$3-$V$3)))+$U$4*MAX(0,MIN(1,($W$4-K366)/($W$4-$V$4)))+$U$5*MAX(0,MIN(1,($W$5-L366)/($W$5-$V$5)))+$U$6*MAX(0,MIN(1,($W$6-M366)/($W$6-$V$6)))+$U$7*MAX(0,MIN(1,($W$7-N366)/($W$7-$V$7)))+$U$8*IF(AND(O366&gt;=$V$8,O366&lt;=$W$8),1,0))/$U$9*100,2)</f>
        <v>92.18</v>
      </c>
      <c r="C366" s="27" t="s">
        <v>2137</v>
      </c>
      <c r="D366" s="25" t="s">
        <v>3459</v>
      </c>
      <c r="E366" s="25" t="s">
        <v>3447</v>
      </c>
      <c r="F366" s="25" t="s">
        <v>3457</v>
      </c>
      <c r="G366" s="28" t="s">
        <v>29</v>
      </c>
      <c r="H366" s="28" t="s">
        <v>25</v>
      </c>
      <c r="I366" s="25" t="n">
        <v>0</v>
      </c>
      <c r="J366" s="25" t="n">
        <v>0</v>
      </c>
      <c r="K366" s="25" t="n">
        <v>0</v>
      </c>
      <c r="L366" s="29" t="n">
        <v>0.75</v>
      </c>
      <c r="M366" s="30" t="n">
        <v>21.34</v>
      </c>
      <c r="N366" s="29" t="n">
        <v>0.76</v>
      </c>
      <c r="O366" s="25" t="n">
        <v>184</v>
      </c>
      <c r="P366" s="30" t="n">
        <v>0.28</v>
      </c>
      <c r="Q366" s="27"/>
      <c r="R366" s="27" t="s">
        <v>61</v>
      </c>
    </row>
    <row r="367" customFormat="false" ht="15" hidden="false" customHeight="false" outlineLevel="0" collapsed="false">
      <c r="A367" s="25" t="n">
        <f aca="false">IF(G367="REJECT",COUNTIF($G$2:$G$2277,"&lt;&gt;REJECT")+1+COUNTIFS($G$2:$G$2277,"REJECT",$B$2:$B$2277,"&gt;"&amp;B367),1+COUNTIFS($G$2:$G$2277,"&lt;&gt;REJECT",$B$2:$B$2277,"&gt;"&amp;B367))</f>
        <v>366</v>
      </c>
      <c r="B367" s="26" t="n">
        <f aca="false">ROUND(($U$2*MAX(0,MIN(1,($W$2-I367)/($W$2-$V$2)))+$U$3*MAX(0,MIN(1,($W$3-J367)/($W$3-$V$3)))+$U$4*MAX(0,MIN(1,($W$4-K367)/($W$4-$V$4)))+$U$5*MAX(0,MIN(1,($W$5-L367)/($W$5-$V$5)))+$U$6*MAX(0,MIN(1,($W$6-M367)/($W$6-$V$6)))+$U$7*MAX(0,MIN(1,($W$7-N367)/($W$7-$V$7)))+$U$8*IF(AND(O367&gt;=$V$8,O367&lt;=$W$8),1,0))/$U$9*100,2)</f>
        <v>92.17</v>
      </c>
      <c r="C367" s="27" t="s">
        <v>1793</v>
      </c>
      <c r="D367" s="25" t="s">
        <v>134</v>
      </c>
      <c r="E367" s="25" t="s">
        <v>3450</v>
      </c>
      <c r="F367" s="25" t="s">
        <v>3448</v>
      </c>
      <c r="G367" s="33" t="s">
        <v>28</v>
      </c>
      <c r="H367" s="33" t="s">
        <v>24</v>
      </c>
      <c r="I367" s="25" t="n">
        <v>0</v>
      </c>
      <c r="J367" s="25" t="n">
        <v>0</v>
      </c>
      <c r="K367" s="25" t="n">
        <v>0</v>
      </c>
      <c r="L367" s="29" t="n">
        <v>0.71</v>
      </c>
      <c r="M367" s="30" t="n">
        <v>9.8</v>
      </c>
      <c r="N367" s="29" t="n">
        <v>0.48</v>
      </c>
      <c r="O367" s="25" t="n">
        <v>189</v>
      </c>
      <c r="P367" s="30" t="n">
        <v>7.1</v>
      </c>
      <c r="Q367" s="27"/>
      <c r="R367" s="27"/>
    </row>
    <row r="368" customFormat="false" ht="15" hidden="false" customHeight="false" outlineLevel="0" collapsed="false">
      <c r="A368" s="25" t="n">
        <f aca="false">IF(G368="REJECT",COUNTIF($G$2:$G$2277,"&lt;&gt;REJECT")+1+COUNTIFS($G$2:$G$2277,"REJECT",$B$2:$B$2277,"&gt;"&amp;B368),1+COUNTIFS($G$2:$G$2277,"&lt;&gt;REJECT",$B$2:$B$2277,"&gt;"&amp;B368))</f>
        <v>367</v>
      </c>
      <c r="B368" s="26" t="n">
        <f aca="false">ROUND(($U$2*MAX(0,MIN(1,($W$2-I368)/($W$2-$V$2)))+$U$3*MAX(0,MIN(1,($W$3-J368)/($W$3-$V$3)))+$U$4*MAX(0,MIN(1,($W$4-K368)/($W$4-$V$4)))+$U$5*MAX(0,MIN(1,($W$5-L368)/($W$5-$V$5)))+$U$6*MAX(0,MIN(1,($W$6-M368)/($W$6-$V$6)))+$U$7*MAX(0,MIN(1,($W$7-N368)/($W$7-$V$7)))+$U$8*IF(AND(O368&gt;=$V$8,O368&lt;=$W$8),1,0))/$U$9*100,2)</f>
        <v>92.15</v>
      </c>
      <c r="C368" s="27" t="s">
        <v>702</v>
      </c>
      <c r="D368" s="25" t="s">
        <v>134</v>
      </c>
      <c r="E368" s="25" t="s">
        <v>3450</v>
      </c>
      <c r="F368" s="25" t="s">
        <v>3448</v>
      </c>
      <c r="G368" s="28" t="s">
        <v>29</v>
      </c>
      <c r="H368" s="28" t="s">
        <v>25</v>
      </c>
      <c r="I368" s="25" t="n">
        <v>0</v>
      </c>
      <c r="J368" s="25" t="n">
        <v>0</v>
      </c>
      <c r="K368" s="25" t="n">
        <v>0</v>
      </c>
      <c r="L368" s="29" t="n">
        <v>0.76</v>
      </c>
      <c r="M368" s="30" t="n">
        <v>27.13</v>
      </c>
      <c r="N368" s="29" t="n">
        <v>0.56</v>
      </c>
      <c r="O368" s="25" t="n">
        <v>183</v>
      </c>
      <c r="P368" s="30" t="n">
        <v>10.5</v>
      </c>
      <c r="Q368" s="27"/>
      <c r="R368" s="27" t="s">
        <v>61</v>
      </c>
    </row>
    <row r="369" customFormat="false" ht="15" hidden="false" customHeight="false" outlineLevel="0" collapsed="false">
      <c r="A369" s="25" t="n">
        <f aca="false">IF(G369="REJECT",COUNTIF($G$2:$G$2277,"&lt;&gt;REJECT")+1+COUNTIFS($G$2:$G$2277,"REJECT",$B$2:$B$2277,"&gt;"&amp;B369),1+COUNTIFS($G$2:$G$2277,"&lt;&gt;REJECT",$B$2:$B$2277,"&gt;"&amp;B369))</f>
        <v>368</v>
      </c>
      <c r="B369" s="26" t="n">
        <f aca="false">ROUND(($U$2*MAX(0,MIN(1,($W$2-I369)/($W$2-$V$2)))+$U$3*MAX(0,MIN(1,($W$3-J369)/($W$3-$V$3)))+$U$4*MAX(0,MIN(1,($W$4-K369)/($W$4-$V$4)))+$U$5*MAX(0,MIN(1,($W$5-L369)/($W$5-$V$5)))+$U$6*MAX(0,MIN(1,($W$6-M369)/($W$6-$V$6)))+$U$7*MAX(0,MIN(1,($W$7-N369)/($W$7-$V$7)))+$U$8*IF(AND(O369&gt;=$V$8,O369&lt;=$W$8),1,0))/$U$9*100,2)</f>
        <v>92.13</v>
      </c>
      <c r="C369" s="27" t="s">
        <v>1982</v>
      </c>
      <c r="D369" s="25" t="s">
        <v>134</v>
      </c>
      <c r="E369" s="25" t="s">
        <v>3450</v>
      </c>
      <c r="F369" s="25" t="s">
        <v>3457</v>
      </c>
      <c r="G369" s="33" t="s">
        <v>28</v>
      </c>
      <c r="H369" s="33" t="s">
        <v>24</v>
      </c>
      <c r="I369" s="25" t="n">
        <v>0</v>
      </c>
      <c r="J369" s="25" t="n">
        <v>0</v>
      </c>
      <c r="K369" s="25" t="n">
        <v>0</v>
      </c>
      <c r="L369" s="29" t="n">
        <v>0.7</v>
      </c>
      <c r="M369" s="30" t="n">
        <v>6.84</v>
      </c>
      <c r="N369" s="29" t="n">
        <v>0.44</v>
      </c>
      <c r="O369" s="25" t="n">
        <v>182</v>
      </c>
      <c r="P369" s="30" t="n">
        <v>8.41</v>
      </c>
      <c r="Q369" s="27"/>
      <c r="R369" s="27"/>
    </row>
    <row r="370" customFormat="false" ht="15" hidden="false" customHeight="false" outlineLevel="0" collapsed="false">
      <c r="A370" s="25" t="n">
        <f aca="false">IF(G370="REJECT",COUNTIF($G$2:$G$2277,"&lt;&gt;REJECT")+1+COUNTIFS($G$2:$G$2277,"REJECT",$B$2:$B$2277,"&gt;"&amp;B370),1+COUNTIFS($G$2:$G$2277,"&lt;&gt;REJECT",$B$2:$B$2277,"&gt;"&amp;B370))</f>
        <v>369</v>
      </c>
      <c r="B370" s="26" t="n">
        <f aca="false">ROUND(($U$2*MAX(0,MIN(1,($W$2-I370)/($W$2-$V$2)))+$U$3*MAX(0,MIN(1,($W$3-J370)/($W$3-$V$3)))+$U$4*MAX(0,MIN(1,($W$4-K370)/($W$4-$V$4)))+$U$5*MAX(0,MIN(1,($W$5-L370)/($W$5-$V$5)))+$U$6*MAX(0,MIN(1,($W$6-M370)/($W$6-$V$6)))+$U$7*MAX(0,MIN(1,($W$7-N370)/($W$7-$V$7)))+$U$8*IF(AND(O370&gt;=$V$8,O370&lt;=$W$8),1,0))/$U$9*100,2)</f>
        <v>92.11</v>
      </c>
      <c r="C370" s="27" t="s">
        <v>1982</v>
      </c>
      <c r="D370" s="25" t="s">
        <v>134</v>
      </c>
      <c r="E370" s="25" t="s">
        <v>3450</v>
      </c>
      <c r="F370" s="25" t="s">
        <v>3448</v>
      </c>
      <c r="G370" s="33" t="s">
        <v>28</v>
      </c>
      <c r="H370" s="33" t="s">
        <v>24</v>
      </c>
      <c r="I370" s="25" t="n">
        <v>0</v>
      </c>
      <c r="J370" s="25" t="n">
        <v>0</v>
      </c>
      <c r="K370" s="25" t="n">
        <v>0</v>
      </c>
      <c r="L370" s="29" t="n">
        <v>0.72</v>
      </c>
      <c r="M370" s="30" t="n">
        <v>14.17</v>
      </c>
      <c r="N370" s="29" t="n">
        <v>0.44</v>
      </c>
      <c r="O370" s="25" t="n">
        <v>183</v>
      </c>
      <c r="P370" s="30" t="n">
        <v>13.73</v>
      </c>
      <c r="Q370" s="27"/>
      <c r="R370" s="27"/>
    </row>
    <row r="371" customFormat="false" ht="15" hidden="false" customHeight="false" outlineLevel="0" collapsed="false">
      <c r="A371" s="25" t="n">
        <f aca="false">IF(G371="REJECT",COUNTIF($G$2:$G$2277,"&lt;&gt;REJECT")+1+COUNTIFS($G$2:$G$2277,"REJECT",$B$2:$B$2277,"&gt;"&amp;B371),1+COUNTIFS($G$2:$G$2277,"&lt;&gt;REJECT",$B$2:$B$2277,"&gt;"&amp;B371))</f>
        <v>370</v>
      </c>
      <c r="B371" s="26" t="n">
        <f aca="false">ROUND(($U$2*MAX(0,MIN(1,($W$2-I371)/($W$2-$V$2)))+$U$3*MAX(0,MIN(1,($W$3-J371)/($W$3-$V$3)))+$U$4*MAX(0,MIN(1,($W$4-K371)/($W$4-$V$4)))+$U$5*MAX(0,MIN(1,($W$5-L371)/($W$5-$V$5)))+$U$6*MAX(0,MIN(1,($W$6-M371)/($W$6-$V$6)))+$U$7*MAX(0,MIN(1,($W$7-N371)/($W$7-$V$7)))+$U$8*IF(AND(O371&gt;=$V$8,O371&lt;=$W$8),1,0))/$U$9*100,2)</f>
        <v>92.1</v>
      </c>
      <c r="C371" s="27" t="s">
        <v>1149</v>
      </c>
      <c r="D371" s="25" t="s">
        <v>134</v>
      </c>
      <c r="E371" s="25" t="s">
        <v>3447</v>
      </c>
      <c r="F371" s="25" t="s">
        <v>3448</v>
      </c>
      <c r="G371" s="38" t="s">
        <v>30</v>
      </c>
      <c r="H371" s="33" t="s">
        <v>24</v>
      </c>
      <c r="I371" s="25" t="n">
        <v>1</v>
      </c>
      <c r="J371" s="25" t="n">
        <v>0</v>
      </c>
      <c r="K371" s="25" t="n">
        <v>0</v>
      </c>
      <c r="L371" s="29" t="n">
        <v>0.84</v>
      </c>
      <c r="M371" s="30" t="n">
        <v>13.95</v>
      </c>
      <c r="N371" s="29" t="n">
        <v>0.72</v>
      </c>
      <c r="O371" s="25" t="n">
        <v>189</v>
      </c>
      <c r="P371" s="30" t="n">
        <v>7.26</v>
      </c>
      <c r="Q371" s="27" t="s">
        <v>3477</v>
      </c>
      <c r="R371" s="27" t="s">
        <v>30</v>
      </c>
    </row>
    <row r="372" customFormat="false" ht="15" hidden="false" customHeight="false" outlineLevel="0" collapsed="false">
      <c r="A372" s="25" t="n">
        <f aca="false">IF(G372="REJECT",COUNTIF($G$2:$G$2277,"&lt;&gt;REJECT")+1+COUNTIFS($G$2:$G$2277,"REJECT",$B$2:$B$2277,"&gt;"&amp;B372),1+COUNTIFS($G$2:$G$2277,"&lt;&gt;REJECT",$B$2:$B$2277,"&gt;"&amp;B372))</f>
        <v>371</v>
      </c>
      <c r="B372" s="26" t="n">
        <f aca="false">ROUND(($U$2*MAX(0,MIN(1,($W$2-I372)/($W$2-$V$2)))+$U$3*MAX(0,MIN(1,($W$3-J372)/($W$3-$V$3)))+$U$4*MAX(0,MIN(1,($W$4-K372)/($W$4-$V$4)))+$U$5*MAX(0,MIN(1,($W$5-L372)/($W$5-$V$5)))+$U$6*MAX(0,MIN(1,($W$6-M372)/($W$6-$V$6)))+$U$7*MAX(0,MIN(1,($W$7-N372)/($W$7-$V$7)))+$U$8*IF(AND(O372&gt;=$V$8,O372&lt;=$W$8),1,0))/$U$9*100,2)</f>
        <v>92.08</v>
      </c>
      <c r="C372" s="27" t="s">
        <v>1103</v>
      </c>
      <c r="D372" s="25" t="s">
        <v>3459</v>
      </c>
      <c r="E372" s="25" t="s">
        <v>3450</v>
      </c>
      <c r="F372" s="25" t="s">
        <v>3448</v>
      </c>
      <c r="G372" s="28" t="s">
        <v>29</v>
      </c>
      <c r="H372" s="28" t="s">
        <v>25</v>
      </c>
      <c r="I372" s="25" t="n">
        <v>0</v>
      </c>
      <c r="J372" s="25" t="n">
        <v>0</v>
      </c>
      <c r="K372" s="25" t="n">
        <v>0</v>
      </c>
      <c r="L372" s="29" t="n">
        <v>0.73</v>
      </c>
      <c r="M372" s="30" t="n">
        <v>13.92</v>
      </c>
      <c r="N372" s="29" t="n">
        <v>0.84</v>
      </c>
      <c r="O372" s="25" t="n">
        <v>182</v>
      </c>
      <c r="P372" s="30" t="n">
        <v>-0.98</v>
      </c>
      <c r="Q372" s="27"/>
      <c r="R372" s="27" t="s">
        <v>62</v>
      </c>
    </row>
    <row r="373" customFormat="false" ht="15" hidden="false" customHeight="false" outlineLevel="0" collapsed="false">
      <c r="A373" s="25" t="n">
        <f aca="false">IF(G373="REJECT",COUNTIF($G$2:$G$2277,"&lt;&gt;REJECT")+1+COUNTIFS($G$2:$G$2277,"REJECT",$B$2:$B$2277,"&gt;"&amp;B373),1+COUNTIFS($G$2:$G$2277,"&lt;&gt;REJECT",$B$2:$B$2277,"&gt;"&amp;B373))</f>
        <v>372</v>
      </c>
      <c r="B373" s="26" t="n">
        <f aca="false">ROUND(($U$2*MAX(0,MIN(1,($W$2-I373)/($W$2-$V$2)))+$U$3*MAX(0,MIN(1,($W$3-J373)/($W$3-$V$3)))+$U$4*MAX(0,MIN(1,($W$4-K373)/($W$4-$V$4)))+$U$5*MAX(0,MIN(1,($W$5-L373)/($W$5-$V$5)))+$U$6*MAX(0,MIN(1,($W$6-M373)/($W$6-$V$6)))+$U$7*MAX(0,MIN(1,($W$7-N373)/($W$7-$V$7)))+$U$8*IF(AND(O373&gt;=$V$8,O373&lt;=$W$8),1,0))/$U$9*100,2)</f>
        <v>92.05</v>
      </c>
      <c r="C373" s="27" t="s">
        <v>1848</v>
      </c>
      <c r="D373" s="25" t="s">
        <v>134</v>
      </c>
      <c r="E373" s="25" t="s">
        <v>3450</v>
      </c>
      <c r="F373" s="25" t="s">
        <v>3448</v>
      </c>
      <c r="G373" s="28" t="s">
        <v>29</v>
      </c>
      <c r="H373" s="28" t="s">
        <v>25</v>
      </c>
      <c r="I373" s="25" t="n">
        <v>0</v>
      </c>
      <c r="J373" s="25" t="n">
        <v>0</v>
      </c>
      <c r="K373" s="25" t="n">
        <v>0</v>
      </c>
      <c r="L373" s="29" t="n">
        <v>0.72</v>
      </c>
      <c r="M373" s="30" t="n">
        <v>12.93</v>
      </c>
      <c r="N373" s="29" t="n">
        <v>0.6</v>
      </c>
      <c r="O373" s="25" t="n">
        <v>225</v>
      </c>
      <c r="P373" s="30" t="n">
        <v>0.25</v>
      </c>
      <c r="Q373" s="27"/>
      <c r="R373" s="27" t="s">
        <v>3466</v>
      </c>
    </row>
    <row r="374" customFormat="false" ht="15" hidden="false" customHeight="false" outlineLevel="0" collapsed="false">
      <c r="A374" s="25" t="n">
        <f aca="false">IF(G374="REJECT",COUNTIF($G$2:$G$2277,"&lt;&gt;REJECT")+1+COUNTIFS($G$2:$G$2277,"REJECT",$B$2:$B$2277,"&gt;"&amp;B374),1+COUNTIFS($G$2:$G$2277,"&lt;&gt;REJECT",$B$2:$B$2277,"&gt;"&amp;B374))</f>
        <v>372</v>
      </c>
      <c r="B374" s="26" t="n">
        <f aca="false">ROUND(($U$2*MAX(0,MIN(1,($W$2-I374)/($W$2-$V$2)))+$U$3*MAX(0,MIN(1,($W$3-J374)/($W$3-$V$3)))+$U$4*MAX(0,MIN(1,($W$4-K374)/($W$4-$V$4)))+$U$5*MAX(0,MIN(1,($W$5-L374)/($W$5-$V$5)))+$U$6*MAX(0,MIN(1,($W$6-M374)/($W$6-$V$6)))+$U$7*MAX(0,MIN(1,($W$7-N374)/($W$7-$V$7)))+$U$8*IF(AND(O374&gt;=$V$8,O374&lt;=$W$8),1,0))/$U$9*100,2)</f>
        <v>92.05</v>
      </c>
      <c r="C374" s="27" t="s">
        <v>2626</v>
      </c>
      <c r="D374" s="25" t="s">
        <v>134</v>
      </c>
      <c r="E374" s="25" t="s">
        <v>3447</v>
      </c>
      <c r="F374" s="25" t="s">
        <v>3457</v>
      </c>
      <c r="G374" s="38" t="s">
        <v>30</v>
      </c>
      <c r="H374" s="33" t="s">
        <v>24</v>
      </c>
      <c r="I374" s="25" t="n">
        <v>1</v>
      </c>
      <c r="J374" s="25" t="n">
        <v>0</v>
      </c>
      <c r="K374" s="25" t="n">
        <v>1</v>
      </c>
      <c r="L374" s="29" t="n">
        <v>0.85</v>
      </c>
      <c r="M374" s="30" t="n">
        <v>10.19</v>
      </c>
      <c r="N374" s="29" t="n">
        <v>0</v>
      </c>
      <c r="O374" s="25" t="n">
        <v>183</v>
      </c>
      <c r="P374" s="30" t="n">
        <v>-1.72</v>
      </c>
      <c r="Q374" s="27" t="s">
        <v>3478</v>
      </c>
      <c r="R374" s="27" t="s">
        <v>30</v>
      </c>
    </row>
    <row r="375" customFormat="false" ht="15" hidden="false" customHeight="false" outlineLevel="0" collapsed="false">
      <c r="A375" s="25" t="n">
        <f aca="false">IF(G375="REJECT",COUNTIF($G$2:$G$2277,"&lt;&gt;REJECT")+1+COUNTIFS($G$2:$G$2277,"REJECT",$B$2:$B$2277,"&gt;"&amp;B375),1+COUNTIFS($G$2:$G$2277,"&lt;&gt;REJECT",$B$2:$B$2277,"&gt;"&amp;B375))</f>
        <v>372</v>
      </c>
      <c r="B375" s="26" t="n">
        <f aca="false">ROUND(($U$2*MAX(0,MIN(1,($W$2-I375)/($W$2-$V$2)))+$U$3*MAX(0,MIN(1,($W$3-J375)/($W$3-$V$3)))+$U$4*MAX(0,MIN(1,($W$4-K375)/($W$4-$V$4)))+$U$5*MAX(0,MIN(1,($W$5-L375)/($W$5-$V$5)))+$U$6*MAX(0,MIN(1,($W$6-M375)/($W$6-$V$6)))+$U$7*MAX(0,MIN(1,($W$7-N375)/($W$7-$V$7)))+$U$8*IF(AND(O375&gt;=$V$8,O375&lt;=$W$8),1,0))/$U$9*100,2)</f>
        <v>92.05</v>
      </c>
      <c r="C375" s="27" t="s">
        <v>3320</v>
      </c>
      <c r="D375" s="25" t="s">
        <v>134</v>
      </c>
      <c r="E375" s="25" t="s">
        <v>3450</v>
      </c>
      <c r="F375" s="25" t="s">
        <v>3457</v>
      </c>
      <c r="G375" s="33" t="s">
        <v>28</v>
      </c>
      <c r="H375" s="33" t="s">
        <v>24</v>
      </c>
      <c r="I375" s="25" t="n">
        <v>0</v>
      </c>
      <c r="J375" s="25" t="n">
        <v>0</v>
      </c>
      <c r="K375" s="25" t="n">
        <v>0</v>
      </c>
      <c r="L375" s="29" t="n">
        <v>0.72</v>
      </c>
      <c r="M375" s="30" t="n">
        <v>12.12</v>
      </c>
      <c r="N375" s="29" t="n">
        <v>0.68</v>
      </c>
      <c r="O375" s="25" t="n">
        <v>187</v>
      </c>
      <c r="P375" s="30" t="n">
        <v>12.93</v>
      </c>
      <c r="Q375" s="27"/>
      <c r="R375" s="27"/>
    </row>
    <row r="376" customFormat="false" ht="15" hidden="false" customHeight="false" outlineLevel="0" collapsed="false">
      <c r="A376" s="25" t="n">
        <f aca="false">IF(G376="REJECT",COUNTIF($G$2:$G$2277,"&lt;&gt;REJECT")+1+COUNTIFS($G$2:$G$2277,"REJECT",$B$2:$B$2277,"&gt;"&amp;B376),1+COUNTIFS($G$2:$G$2277,"&lt;&gt;REJECT",$B$2:$B$2277,"&gt;"&amp;B376))</f>
        <v>375</v>
      </c>
      <c r="B376" s="26" t="n">
        <f aca="false">ROUND(($U$2*MAX(0,MIN(1,($W$2-I376)/($W$2-$V$2)))+$U$3*MAX(0,MIN(1,($W$3-J376)/($W$3-$V$3)))+$U$4*MAX(0,MIN(1,($W$4-K376)/($W$4-$V$4)))+$U$5*MAX(0,MIN(1,($W$5-L376)/($W$5-$V$5)))+$U$6*MAX(0,MIN(1,($W$6-M376)/($W$6-$V$6)))+$U$7*MAX(0,MIN(1,($W$7-N376)/($W$7-$V$7)))+$U$8*IF(AND(O376&gt;=$V$8,O376&lt;=$W$8),1,0))/$U$9*100,2)</f>
        <v>92.03</v>
      </c>
      <c r="C376" s="27" t="s">
        <v>1156</v>
      </c>
      <c r="D376" s="25" t="s">
        <v>134</v>
      </c>
      <c r="E376" s="25" t="s">
        <v>3450</v>
      </c>
      <c r="F376" s="25" t="s">
        <v>3448</v>
      </c>
      <c r="G376" s="28" t="s">
        <v>29</v>
      </c>
      <c r="H376" s="28" t="s">
        <v>25</v>
      </c>
      <c r="I376" s="25" t="n">
        <v>0</v>
      </c>
      <c r="J376" s="25" t="n">
        <v>0</v>
      </c>
      <c r="K376" s="25" t="n">
        <v>0</v>
      </c>
      <c r="L376" s="29" t="n">
        <v>0.73</v>
      </c>
      <c r="M376" s="30" t="n">
        <v>20.64</v>
      </c>
      <c r="N376" s="29" t="n">
        <v>0.2</v>
      </c>
      <c r="O376" s="25" t="n">
        <v>185</v>
      </c>
      <c r="P376" s="30" t="n">
        <v>11.35</v>
      </c>
      <c r="Q376" s="27"/>
      <c r="R376" s="27" t="s">
        <v>3470</v>
      </c>
    </row>
    <row r="377" customFormat="false" ht="15" hidden="false" customHeight="false" outlineLevel="0" collapsed="false">
      <c r="A377" s="25" t="n">
        <f aca="false">IF(G377="REJECT",COUNTIF($G$2:$G$2277,"&lt;&gt;REJECT")+1+COUNTIFS($G$2:$G$2277,"REJECT",$B$2:$B$2277,"&gt;"&amp;B377),1+COUNTIFS($G$2:$G$2277,"&lt;&gt;REJECT",$B$2:$B$2277,"&gt;"&amp;B377))</f>
        <v>376</v>
      </c>
      <c r="B377" s="26" t="n">
        <f aca="false">ROUND(($U$2*MAX(0,MIN(1,($W$2-I377)/($W$2-$V$2)))+$U$3*MAX(0,MIN(1,($W$3-J377)/($W$3-$V$3)))+$U$4*MAX(0,MIN(1,($W$4-K377)/($W$4-$V$4)))+$U$5*MAX(0,MIN(1,($W$5-L377)/($W$5-$V$5)))+$U$6*MAX(0,MIN(1,($W$6-M377)/($W$6-$V$6)))+$U$7*MAX(0,MIN(1,($W$7-N377)/($W$7-$V$7)))+$U$8*IF(AND(O377&gt;=$V$8,O377&lt;=$W$8),1,0))/$U$9*100,2)</f>
        <v>92.02</v>
      </c>
      <c r="C377" s="27" t="s">
        <v>923</v>
      </c>
      <c r="D377" s="25" t="s">
        <v>134</v>
      </c>
      <c r="E377" s="25" t="s">
        <v>3447</v>
      </c>
      <c r="F377" s="25" t="s">
        <v>3448</v>
      </c>
      <c r="G377" s="38" t="s">
        <v>30</v>
      </c>
      <c r="H377" s="33" t="s">
        <v>24</v>
      </c>
      <c r="I377" s="25" t="n">
        <v>1</v>
      </c>
      <c r="J377" s="25" t="n">
        <v>0</v>
      </c>
      <c r="K377" s="25" t="n">
        <v>1</v>
      </c>
      <c r="L377" s="29" t="n">
        <v>0.91</v>
      </c>
      <c r="M377" s="30" t="n">
        <v>5.97</v>
      </c>
      <c r="N377" s="29" t="n">
        <v>0.44</v>
      </c>
      <c r="O377" s="25" t="n">
        <v>190</v>
      </c>
      <c r="P377" s="30" t="n">
        <v>2.4</v>
      </c>
      <c r="Q377" s="27" t="s">
        <v>3479</v>
      </c>
      <c r="R377" s="27" t="s">
        <v>30</v>
      </c>
    </row>
    <row r="378" customFormat="false" ht="15" hidden="false" customHeight="false" outlineLevel="0" collapsed="false">
      <c r="A378" s="25" t="n">
        <f aca="false">IF(G378="REJECT",COUNTIF($G$2:$G$2277,"&lt;&gt;REJECT")+1+COUNTIFS($G$2:$G$2277,"REJECT",$B$2:$B$2277,"&gt;"&amp;B378),1+COUNTIFS($G$2:$G$2277,"&lt;&gt;REJECT",$B$2:$B$2277,"&gt;"&amp;B378))</f>
        <v>377</v>
      </c>
      <c r="B378" s="26" t="n">
        <f aca="false">ROUND(($U$2*MAX(0,MIN(1,($W$2-I378)/($W$2-$V$2)))+$U$3*MAX(0,MIN(1,($W$3-J378)/($W$3-$V$3)))+$U$4*MAX(0,MIN(1,($W$4-K378)/($W$4-$V$4)))+$U$5*MAX(0,MIN(1,($W$5-L378)/($W$5-$V$5)))+$U$6*MAX(0,MIN(1,($W$6-M378)/($W$6-$V$6)))+$U$7*MAX(0,MIN(1,($W$7-N378)/($W$7-$V$7)))+$U$8*IF(AND(O378&gt;=$V$8,O378&lt;=$W$8),1,0))/$U$9*100,2)</f>
        <v>92</v>
      </c>
      <c r="C378" s="27" t="s">
        <v>1589</v>
      </c>
      <c r="D378" s="25" t="s">
        <v>134</v>
      </c>
      <c r="E378" s="25" t="s">
        <v>3450</v>
      </c>
      <c r="F378" s="25" t="s">
        <v>3448</v>
      </c>
      <c r="G378" s="33" t="s">
        <v>28</v>
      </c>
      <c r="H378" s="33" t="s">
        <v>24</v>
      </c>
      <c r="I378" s="25" t="n">
        <v>0</v>
      </c>
      <c r="J378" s="25" t="n">
        <v>0</v>
      </c>
      <c r="K378" s="25" t="n">
        <v>0</v>
      </c>
      <c r="L378" s="29" t="n">
        <v>0.7</v>
      </c>
      <c r="M378" s="30" t="n">
        <v>7.23</v>
      </c>
      <c r="N378" s="29" t="n">
        <v>0.48</v>
      </c>
      <c r="O378" s="25" t="n">
        <v>192</v>
      </c>
      <c r="P378" s="30" t="n">
        <v>4.65</v>
      </c>
      <c r="Q378" s="27"/>
      <c r="R378" s="27"/>
    </row>
    <row r="379" customFormat="false" ht="15" hidden="false" customHeight="false" outlineLevel="0" collapsed="false">
      <c r="A379" s="25" t="n">
        <f aca="false">IF(G379="REJECT",COUNTIF($G$2:$G$2277,"&lt;&gt;REJECT")+1+COUNTIFS($G$2:$G$2277,"REJECT",$B$2:$B$2277,"&gt;"&amp;B379),1+COUNTIFS($G$2:$G$2277,"&lt;&gt;REJECT",$B$2:$B$2277,"&gt;"&amp;B379))</f>
        <v>378</v>
      </c>
      <c r="B379" s="26" t="n">
        <f aca="false">ROUND(($U$2*MAX(0,MIN(1,($W$2-I379)/($W$2-$V$2)))+$U$3*MAX(0,MIN(1,($W$3-J379)/($W$3-$V$3)))+$U$4*MAX(0,MIN(1,($W$4-K379)/($W$4-$V$4)))+$U$5*MAX(0,MIN(1,($W$5-L379)/($W$5-$V$5)))+$U$6*MAX(0,MIN(1,($W$6-M379)/($W$6-$V$6)))+$U$7*MAX(0,MIN(1,($W$7-N379)/($W$7-$V$7)))+$U$8*IF(AND(O379&gt;=$V$8,O379&lt;=$W$8),1,0))/$U$9*100,2)</f>
        <v>91.98</v>
      </c>
      <c r="C379" s="27" t="s">
        <v>409</v>
      </c>
      <c r="D379" s="25" t="s">
        <v>3459</v>
      </c>
      <c r="E379" s="25" t="s">
        <v>3450</v>
      </c>
      <c r="F379" s="25" t="s">
        <v>3457</v>
      </c>
      <c r="G379" s="28" t="s">
        <v>29</v>
      </c>
      <c r="H379" s="28" t="s">
        <v>25</v>
      </c>
      <c r="I379" s="25" t="n">
        <v>0</v>
      </c>
      <c r="J379" s="25" t="n">
        <v>0</v>
      </c>
      <c r="K379" s="25" t="n">
        <v>0</v>
      </c>
      <c r="L379" s="29" t="n">
        <v>0.75</v>
      </c>
      <c r="M379" s="30" t="n">
        <v>21.32</v>
      </c>
      <c r="N379" s="29" t="n">
        <v>0.88</v>
      </c>
      <c r="O379" s="25" t="n">
        <v>205</v>
      </c>
      <c r="P379" s="30" t="n">
        <v>5.86</v>
      </c>
      <c r="Q379" s="27"/>
      <c r="R379" s="27" t="s">
        <v>3471</v>
      </c>
    </row>
    <row r="380" customFormat="false" ht="15" hidden="false" customHeight="false" outlineLevel="0" collapsed="false">
      <c r="A380" s="25" t="n">
        <f aca="false">IF(G380="REJECT",COUNTIF($G$2:$G$2277,"&lt;&gt;REJECT")+1+COUNTIFS($G$2:$G$2277,"REJECT",$B$2:$B$2277,"&gt;"&amp;B380),1+COUNTIFS($G$2:$G$2277,"&lt;&gt;REJECT",$B$2:$B$2277,"&gt;"&amp;B380))</f>
        <v>379</v>
      </c>
      <c r="B380" s="26" t="n">
        <f aca="false">ROUND(($U$2*MAX(0,MIN(1,($W$2-I380)/($W$2-$V$2)))+$U$3*MAX(0,MIN(1,($W$3-J380)/($W$3-$V$3)))+$U$4*MAX(0,MIN(1,($W$4-K380)/($W$4-$V$4)))+$U$5*MAX(0,MIN(1,($W$5-L380)/($W$5-$V$5)))+$U$6*MAX(0,MIN(1,($W$6-M380)/($W$6-$V$6)))+$U$7*MAX(0,MIN(1,($W$7-N380)/($W$7-$V$7)))+$U$8*IF(AND(O380&gt;=$V$8,O380&lt;=$W$8),1,0))/$U$9*100,2)</f>
        <v>91.97</v>
      </c>
      <c r="C380" s="27" t="s">
        <v>1961</v>
      </c>
      <c r="D380" s="25" t="s">
        <v>134</v>
      </c>
      <c r="E380" s="25" t="s">
        <v>3447</v>
      </c>
      <c r="F380" s="25" t="s">
        <v>3448</v>
      </c>
      <c r="G380" s="38" t="s">
        <v>30</v>
      </c>
      <c r="H380" s="33" t="s">
        <v>24</v>
      </c>
      <c r="I380" s="25" t="n">
        <v>1</v>
      </c>
      <c r="J380" s="25" t="n">
        <v>0</v>
      </c>
      <c r="K380" s="25" t="n">
        <v>1</v>
      </c>
      <c r="L380" s="29" t="n">
        <v>0.82</v>
      </c>
      <c r="M380" s="30" t="n">
        <v>4.68</v>
      </c>
      <c r="N380" s="29" t="n">
        <v>0.6</v>
      </c>
      <c r="O380" s="25" t="n">
        <v>183</v>
      </c>
      <c r="P380" s="30" t="n">
        <v>-0.88</v>
      </c>
      <c r="Q380" s="27" t="s">
        <v>3476</v>
      </c>
      <c r="R380" s="27" t="s">
        <v>30</v>
      </c>
    </row>
    <row r="381" customFormat="false" ht="15" hidden="false" customHeight="false" outlineLevel="0" collapsed="false">
      <c r="A381" s="25" t="n">
        <f aca="false">IF(G381="REJECT",COUNTIF($G$2:$G$2277,"&lt;&gt;REJECT")+1+COUNTIFS($G$2:$G$2277,"REJECT",$B$2:$B$2277,"&gt;"&amp;B381),1+COUNTIFS($G$2:$G$2277,"&lt;&gt;REJECT",$B$2:$B$2277,"&gt;"&amp;B381))</f>
        <v>380</v>
      </c>
      <c r="B381" s="26" t="n">
        <f aca="false">ROUND(($U$2*MAX(0,MIN(1,($W$2-I381)/($W$2-$V$2)))+$U$3*MAX(0,MIN(1,($W$3-J381)/($W$3-$V$3)))+$U$4*MAX(0,MIN(1,($W$4-K381)/($W$4-$V$4)))+$U$5*MAX(0,MIN(1,($W$5-L381)/($W$5-$V$5)))+$U$6*MAX(0,MIN(1,($W$6-M381)/($W$6-$V$6)))+$U$7*MAX(0,MIN(1,($W$7-N381)/($W$7-$V$7)))+$U$8*IF(AND(O381&gt;=$V$8,O381&lt;=$W$8),1,0))/$U$9*100,2)</f>
        <v>91.96</v>
      </c>
      <c r="C381" s="27" t="s">
        <v>3363</v>
      </c>
      <c r="D381" s="25" t="s">
        <v>134</v>
      </c>
      <c r="E381" s="25" t="s">
        <v>3450</v>
      </c>
      <c r="F381" s="25" t="s">
        <v>3448</v>
      </c>
      <c r="G381" s="33" t="s">
        <v>28</v>
      </c>
      <c r="H381" s="33" t="s">
        <v>24</v>
      </c>
      <c r="I381" s="25" t="n">
        <v>0</v>
      </c>
      <c r="J381" s="25" t="n">
        <v>0</v>
      </c>
      <c r="K381" s="25" t="n">
        <v>0</v>
      </c>
      <c r="L381" s="29" t="n">
        <v>0.71</v>
      </c>
      <c r="M381" s="30" t="n">
        <v>8.22</v>
      </c>
      <c r="N381" s="29" t="n">
        <v>0.76</v>
      </c>
      <c r="O381" s="25" t="n">
        <v>196</v>
      </c>
      <c r="P381" s="30" t="n">
        <v>9.98</v>
      </c>
      <c r="Q381" s="27"/>
      <c r="R381" s="27"/>
    </row>
    <row r="382" customFormat="false" ht="15" hidden="false" customHeight="false" outlineLevel="0" collapsed="false">
      <c r="A382" s="25" t="n">
        <f aca="false">IF(G382="REJECT",COUNTIF($G$2:$G$2277,"&lt;&gt;REJECT")+1+COUNTIFS($G$2:$G$2277,"REJECT",$B$2:$B$2277,"&gt;"&amp;B382),1+COUNTIFS($G$2:$G$2277,"&lt;&gt;REJECT",$B$2:$B$2277,"&gt;"&amp;B382))</f>
        <v>381</v>
      </c>
      <c r="B382" s="26" t="n">
        <f aca="false">ROUND(($U$2*MAX(0,MIN(1,($W$2-I382)/($W$2-$V$2)))+$U$3*MAX(0,MIN(1,($W$3-J382)/($W$3-$V$3)))+$U$4*MAX(0,MIN(1,($W$4-K382)/($W$4-$V$4)))+$U$5*MAX(0,MIN(1,($W$5-L382)/($W$5-$V$5)))+$U$6*MAX(0,MIN(1,($W$6-M382)/($W$6-$V$6)))+$U$7*MAX(0,MIN(1,($W$7-N382)/($W$7-$V$7)))+$U$8*IF(AND(O382&gt;=$V$8,O382&lt;=$W$8),1,0))/$U$9*100,2)</f>
        <v>91.94</v>
      </c>
      <c r="C382" s="27" t="s">
        <v>1614</v>
      </c>
      <c r="D382" s="25" t="s">
        <v>134</v>
      </c>
      <c r="E382" s="25" t="s">
        <v>3450</v>
      </c>
      <c r="F382" s="25" t="s">
        <v>3457</v>
      </c>
      <c r="G382" s="28" t="s">
        <v>29</v>
      </c>
      <c r="H382" s="28" t="s">
        <v>25</v>
      </c>
      <c r="I382" s="25" t="n">
        <v>0</v>
      </c>
      <c r="J382" s="25" t="n">
        <v>0</v>
      </c>
      <c r="K382" s="25" t="n">
        <v>0</v>
      </c>
      <c r="L382" s="29" t="n">
        <v>0.7</v>
      </c>
      <c r="M382" s="30" t="n">
        <v>3.97</v>
      </c>
      <c r="N382" s="29" t="n">
        <v>0.84</v>
      </c>
      <c r="O382" s="25" t="n">
        <v>182</v>
      </c>
      <c r="P382" s="30" t="n">
        <v>1.29</v>
      </c>
      <c r="Q382" s="27"/>
      <c r="R382" s="27" t="s">
        <v>62</v>
      </c>
    </row>
    <row r="383" customFormat="false" ht="15" hidden="false" customHeight="false" outlineLevel="0" collapsed="false">
      <c r="A383" s="25" t="n">
        <f aca="false">IF(G383="REJECT",COUNTIF($G$2:$G$2277,"&lt;&gt;REJECT")+1+COUNTIFS($G$2:$G$2277,"REJECT",$B$2:$B$2277,"&gt;"&amp;B383),1+COUNTIFS($G$2:$G$2277,"&lt;&gt;REJECT",$B$2:$B$2277,"&gt;"&amp;B383))</f>
        <v>382</v>
      </c>
      <c r="B383" s="26" t="n">
        <f aca="false">ROUND(($U$2*MAX(0,MIN(1,($W$2-I383)/($W$2-$V$2)))+$U$3*MAX(0,MIN(1,($W$3-J383)/($W$3-$V$3)))+$U$4*MAX(0,MIN(1,($W$4-K383)/($W$4-$V$4)))+$U$5*MAX(0,MIN(1,($W$5-L383)/($W$5-$V$5)))+$U$6*MAX(0,MIN(1,($W$6-M383)/($W$6-$V$6)))+$U$7*MAX(0,MIN(1,($W$7-N383)/($W$7-$V$7)))+$U$8*IF(AND(O383&gt;=$V$8,O383&lt;=$W$8),1,0))/$U$9*100,2)</f>
        <v>91.93</v>
      </c>
      <c r="C383" s="27" t="s">
        <v>695</v>
      </c>
      <c r="D383" s="25" t="s">
        <v>134</v>
      </c>
      <c r="E383" s="25" t="s">
        <v>3450</v>
      </c>
      <c r="F383" s="25" t="s">
        <v>3457</v>
      </c>
      <c r="G383" s="28" t="s">
        <v>29</v>
      </c>
      <c r="H383" s="28" t="s">
        <v>25</v>
      </c>
      <c r="I383" s="25" t="n">
        <v>0</v>
      </c>
      <c r="J383" s="25" t="n">
        <v>0</v>
      </c>
      <c r="K383" s="25" t="n">
        <v>0</v>
      </c>
      <c r="L383" s="29" t="n">
        <v>0.71</v>
      </c>
      <c r="M383" s="30" t="n">
        <v>14.81</v>
      </c>
      <c r="N383" s="29" t="n">
        <v>0.12</v>
      </c>
      <c r="O383" s="25" t="n">
        <v>183</v>
      </c>
      <c r="P383" s="30" t="n">
        <v>-0.02</v>
      </c>
      <c r="Q383" s="27"/>
      <c r="R383" s="27" t="s">
        <v>3466</v>
      </c>
    </row>
    <row r="384" customFormat="false" ht="15" hidden="false" customHeight="false" outlineLevel="0" collapsed="false">
      <c r="A384" s="25" t="n">
        <f aca="false">IF(G384="REJECT",COUNTIF($G$2:$G$2277,"&lt;&gt;REJECT")+1+COUNTIFS($G$2:$G$2277,"REJECT",$B$2:$B$2277,"&gt;"&amp;B384),1+COUNTIFS($G$2:$G$2277,"&lt;&gt;REJECT",$B$2:$B$2277,"&gt;"&amp;B384))</f>
        <v>382</v>
      </c>
      <c r="B384" s="26" t="n">
        <f aca="false">ROUND(($U$2*MAX(0,MIN(1,($W$2-I384)/($W$2-$V$2)))+$U$3*MAX(0,MIN(1,($W$3-J384)/($W$3-$V$3)))+$U$4*MAX(0,MIN(1,($W$4-K384)/($W$4-$V$4)))+$U$5*MAX(0,MIN(1,($W$5-L384)/($W$5-$V$5)))+$U$6*MAX(0,MIN(1,($W$6-M384)/($W$6-$V$6)))+$U$7*MAX(0,MIN(1,($W$7-N384)/($W$7-$V$7)))+$U$8*IF(AND(O384&gt;=$V$8,O384&lt;=$W$8),1,0))/$U$9*100,2)</f>
        <v>91.93</v>
      </c>
      <c r="C384" s="27" t="s">
        <v>1589</v>
      </c>
      <c r="D384" s="25" t="s">
        <v>134</v>
      </c>
      <c r="E384" s="25" t="s">
        <v>3447</v>
      </c>
      <c r="F384" s="25" t="s">
        <v>3448</v>
      </c>
      <c r="G384" s="33" t="s">
        <v>28</v>
      </c>
      <c r="H384" s="33" t="s">
        <v>24</v>
      </c>
      <c r="I384" s="25" t="n">
        <v>0</v>
      </c>
      <c r="J384" s="25" t="n">
        <v>0</v>
      </c>
      <c r="K384" s="25" t="n">
        <v>0</v>
      </c>
      <c r="L384" s="29" t="n">
        <v>0.72</v>
      </c>
      <c r="M384" s="30" t="n">
        <v>19.65</v>
      </c>
      <c r="N384" s="29" t="n">
        <v>0</v>
      </c>
      <c r="O384" s="25" t="n">
        <v>183</v>
      </c>
      <c r="P384" s="30" t="n">
        <v>1.65</v>
      </c>
      <c r="Q384" s="27"/>
      <c r="R384" s="27"/>
    </row>
    <row r="385" customFormat="false" ht="15" hidden="false" customHeight="false" outlineLevel="0" collapsed="false">
      <c r="A385" s="25" t="n">
        <f aca="false">IF(G385="REJECT",COUNTIF($G$2:$G$2277,"&lt;&gt;REJECT")+1+COUNTIFS($G$2:$G$2277,"REJECT",$B$2:$B$2277,"&gt;"&amp;B385),1+COUNTIFS($G$2:$G$2277,"&lt;&gt;REJECT",$B$2:$B$2277,"&gt;"&amp;B385))</f>
        <v>382</v>
      </c>
      <c r="B385" s="26" t="n">
        <f aca="false">ROUND(($U$2*MAX(0,MIN(1,($W$2-I385)/($W$2-$V$2)))+$U$3*MAX(0,MIN(1,($W$3-J385)/($W$3-$V$3)))+$U$4*MAX(0,MIN(1,($W$4-K385)/($W$4-$V$4)))+$U$5*MAX(0,MIN(1,($W$5-L385)/($W$5-$V$5)))+$U$6*MAX(0,MIN(1,($W$6-M385)/($W$6-$V$6)))+$U$7*MAX(0,MIN(1,($W$7-N385)/($W$7-$V$7)))+$U$8*IF(AND(O385&gt;=$V$8,O385&lt;=$W$8),1,0))/$U$9*100,2)</f>
        <v>91.93</v>
      </c>
      <c r="C385" s="27" t="s">
        <v>1620</v>
      </c>
      <c r="D385" s="25" t="s">
        <v>134</v>
      </c>
      <c r="E385" s="25" t="s">
        <v>3447</v>
      </c>
      <c r="F385" s="25" t="s">
        <v>3448</v>
      </c>
      <c r="G385" s="28" t="s">
        <v>29</v>
      </c>
      <c r="H385" s="28" t="s">
        <v>25</v>
      </c>
      <c r="I385" s="25" t="n">
        <v>0</v>
      </c>
      <c r="J385" s="25" t="n">
        <v>0</v>
      </c>
      <c r="K385" s="25" t="n">
        <v>0</v>
      </c>
      <c r="L385" s="29" t="n">
        <v>0.72</v>
      </c>
      <c r="M385" s="30" t="n">
        <v>10.81</v>
      </c>
      <c r="N385" s="29" t="n">
        <v>0.88</v>
      </c>
      <c r="O385" s="25" t="n">
        <v>184</v>
      </c>
      <c r="P385" s="30" t="n">
        <v>-1.11</v>
      </c>
      <c r="Q385" s="27"/>
      <c r="R385" s="27" t="s">
        <v>64</v>
      </c>
    </row>
    <row r="386" customFormat="false" ht="15" hidden="false" customHeight="false" outlineLevel="0" collapsed="false">
      <c r="A386" s="25" t="n">
        <f aca="false">IF(G386="REJECT",COUNTIF($G$2:$G$2277,"&lt;&gt;REJECT")+1+COUNTIFS($G$2:$G$2277,"REJECT",$B$2:$B$2277,"&gt;"&amp;B386),1+COUNTIFS($G$2:$G$2277,"&lt;&gt;REJECT",$B$2:$B$2277,"&gt;"&amp;B386))</f>
        <v>385</v>
      </c>
      <c r="B386" s="26" t="n">
        <f aca="false">ROUND(($U$2*MAX(0,MIN(1,($W$2-I386)/($W$2-$V$2)))+$U$3*MAX(0,MIN(1,($W$3-J386)/($W$3-$V$3)))+$U$4*MAX(0,MIN(1,($W$4-K386)/($W$4-$V$4)))+$U$5*MAX(0,MIN(1,($W$5-L386)/($W$5-$V$5)))+$U$6*MAX(0,MIN(1,($W$6-M386)/($W$6-$V$6)))+$U$7*MAX(0,MIN(1,($W$7-N386)/($W$7-$V$7)))+$U$8*IF(AND(O386&gt;=$V$8,O386&lt;=$W$8),1,0))/$U$9*100,2)</f>
        <v>91.92</v>
      </c>
      <c r="C386" s="27" t="s">
        <v>2033</v>
      </c>
      <c r="D386" s="25" t="s">
        <v>3459</v>
      </c>
      <c r="E386" s="25" t="s">
        <v>3450</v>
      </c>
      <c r="F386" s="25" t="s">
        <v>3457</v>
      </c>
      <c r="G386" s="28" t="s">
        <v>29</v>
      </c>
      <c r="H386" s="28" t="s">
        <v>25</v>
      </c>
      <c r="I386" s="25" t="n">
        <v>0</v>
      </c>
      <c r="J386" s="25" t="n">
        <v>0</v>
      </c>
      <c r="K386" s="25" t="n">
        <v>0</v>
      </c>
      <c r="L386" s="29" t="n">
        <v>0.74</v>
      </c>
      <c r="M386" s="30" t="n">
        <v>20.48</v>
      </c>
      <c r="N386" s="29" t="n">
        <v>0.64</v>
      </c>
      <c r="O386" s="25" t="n">
        <v>182</v>
      </c>
      <c r="P386" s="30" t="n">
        <v>7.39</v>
      </c>
      <c r="Q386" s="27"/>
      <c r="R386" s="27" t="s">
        <v>61</v>
      </c>
    </row>
    <row r="387" customFormat="false" ht="15" hidden="false" customHeight="false" outlineLevel="0" collapsed="false">
      <c r="A387" s="25" t="n">
        <f aca="false">IF(G387="REJECT",COUNTIF($G$2:$G$2277,"&lt;&gt;REJECT")+1+COUNTIFS($G$2:$G$2277,"REJECT",$B$2:$B$2277,"&gt;"&amp;B387),1+COUNTIFS($G$2:$G$2277,"&lt;&gt;REJECT",$B$2:$B$2277,"&gt;"&amp;B387))</f>
        <v>386</v>
      </c>
      <c r="B387" s="26" t="n">
        <f aca="false">ROUND(($U$2*MAX(0,MIN(1,($W$2-I387)/($W$2-$V$2)))+$U$3*MAX(0,MIN(1,($W$3-J387)/($W$3-$V$3)))+$U$4*MAX(0,MIN(1,($W$4-K387)/($W$4-$V$4)))+$U$5*MAX(0,MIN(1,($W$5-L387)/($W$5-$V$5)))+$U$6*MAX(0,MIN(1,($W$6-M387)/($W$6-$V$6)))+$U$7*MAX(0,MIN(1,($W$7-N387)/($W$7-$V$7)))+$U$8*IF(AND(O387&gt;=$V$8,O387&lt;=$W$8),1,0))/$U$9*100,2)</f>
        <v>91.91</v>
      </c>
      <c r="C387" s="27" t="s">
        <v>989</v>
      </c>
      <c r="D387" s="25" t="s">
        <v>134</v>
      </c>
      <c r="E387" s="25" t="s">
        <v>3450</v>
      </c>
      <c r="F387" s="25" t="s">
        <v>3457</v>
      </c>
      <c r="G387" s="28" t="s">
        <v>29</v>
      </c>
      <c r="H387" s="28" t="s">
        <v>25</v>
      </c>
      <c r="I387" s="25" t="n">
        <v>0</v>
      </c>
      <c r="J387" s="25" t="n">
        <v>0</v>
      </c>
      <c r="K387" s="25" t="n">
        <v>0</v>
      </c>
      <c r="L387" s="29" t="n">
        <v>0.75</v>
      </c>
      <c r="M387" s="30" t="n">
        <v>21.76</v>
      </c>
      <c r="N387" s="29" t="n">
        <v>0.88</v>
      </c>
      <c r="O387" s="25" t="n">
        <v>181</v>
      </c>
      <c r="P387" s="30" t="n">
        <v>11.88</v>
      </c>
      <c r="Q387" s="27"/>
      <c r="R387" s="27" t="s">
        <v>61</v>
      </c>
    </row>
    <row r="388" customFormat="false" ht="15" hidden="false" customHeight="false" outlineLevel="0" collapsed="false">
      <c r="A388" s="25" t="n">
        <f aca="false">IF(G388="REJECT",COUNTIF($G$2:$G$2277,"&lt;&gt;REJECT")+1+COUNTIFS($G$2:$G$2277,"REJECT",$B$2:$B$2277,"&gt;"&amp;B388),1+COUNTIFS($G$2:$G$2277,"&lt;&gt;REJECT",$B$2:$B$2277,"&gt;"&amp;B388))</f>
        <v>386</v>
      </c>
      <c r="B388" s="26" t="n">
        <f aca="false">ROUND(($U$2*MAX(0,MIN(1,($W$2-I388)/($W$2-$V$2)))+$U$3*MAX(0,MIN(1,($W$3-J388)/($W$3-$V$3)))+$U$4*MAX(0,MIN(1,($W$4-K388)/($W$4-$V$4)))+$U$5*MAX(0,MIN(1,($W$5-L388)/($W$5-$V$5)))+$U$6*MAX(0,MIN(1,($W$6-M388)/($W$6-$V$6)))+$U$7*MAX(0,MIN(1,($W$7-N388)/($W$7-$V$7)))+$U$8*IF(AND(O388&gt;=$V$8,O388&lt;=$W$8),1,0))/$U$9*100,2)</f>
        <v>91.91</v>
      </c>
      <c r="C388" s="27" t="s">
        <v>3075</v>
      </c>
      <c r="D388" s="25" t="s">
        <v>134</v>
      </c>
      <c r="E388" s="25" t="s">
        <v>3447</v>
      </c>
      <c r="F388" s="25" t="s">
        <v>3457</v>
      </c>
      <c r="G388" s="28" t="s">
        <v>29</v>
      </c>
      <c r="H388" s="28" t="s">
        <v>25</v>
      </c>
      <c r="I388" s="25" t="n">
        <v>0</v>
      </c>
      <c r="J388" s="25" t="n">
        <v>0</v>
      </c>
      <c r="K388" s="25" t="n">
        <v>0</v>
      </c>
      <c r="L388" s="29" t="n">
        <v>0.72</v>
      </c>
      <c r="M388" s="30" t="n">
        <v>13.33</v>
      </c>
      <c r="N388" s="29" t="n">
        <v>0.64</v>
      </c>
      <c r="O388" s="25" t="n">
        <v>183</v>
      </c>
      <c r="P388" s="30" t="n">
        <v>1.49</v>
      </c>
      <c r="Q388" s="27"/>
      <c r="R388" s="27" t="s">
        <v>63</v>
      </c>
    </row>
    <row r="389" customFormat="false" ht="15" hidden="false" customHeight="false" outlineLevel="0" collapsed="false">
      <c r="A389" s="25" t="n">
        <f aca="false">IF(G389="REJECT",COUNTIF($G$2:$G$2277,"&lt;&gt;REJECT")+1+COUNTIFS($G$2:$G$2277,"REJECT",$B$2:$B$2277,"&gt;"&amp;B389),1+COUNTIFS($G$2:$G$2277,"&lt;&gt;REJECT",$B$2:$B$2277,"&gt;"&amp;B389))</f>
        <v>388</v>
      </c>
      <c r="B389" s="26" t="n">
        <f aca="false">ROUND(($U$2*MAX(0,MIN(1,($W$2-I389)/($W$2-$V$2)))+$U$3*MAX(0,MIN(1,($W$3-J389)/($W$3-$V$3)))+$U$4*MAX(0,MIN(1,($W$4-K389)/($W$4-$V$4)))+$U$5*MAX(0,MIN(1,($W$5-L389)/($W$5-$V$5)))+$U$6*MAX(0,MIN(1,($W$6-M389)/($W$6-$V$6)))+$U$7*MAX(0,MIN(1,($W$7-N389)/($W$7-$V$7)))+$U$8*IF(AND(O389&gt;=$V$8,O389&lt;=$W$8),1,0))/$U$9*100,2)</f>
        <v>91.89</v>
      </c>
      <c r="C389" s="27" t="s">
        <v>3111</v>
      </c>
      <c r="D389" s="25" t="s">
        <v>134</v>
      </c>
      <c r="E389" s="25" t="s">
        <v>3450</v>
      </c>
      <c r="F389" s="25" t="s">
        <v>3457</v>
      </c>
      <c r="G389" s="28" t="s">
        <v>29</v>
      </c>
      <c r="H389" s="28" t="s">
        <v>25</v>
      </c>
      <c r="I389" s="25" t="n">
        <v>0</v>
      </c>
      <c r="J389" s="25" t="n">
        <v>0</v>
      </c>
      <c r="K389" s="25" t="n">
        <v>0</v>
      </c>
      <c r="L389" s="29" t="n">
        <v>0.7</v>
      </c>
      <c r="M389" s="30" t="n">
        <v>6.26</v>
      </c>
      <c r="N389" s="29" t="n">
        <v>0.64</v>
      </c>
      <c r="O389" s="25" t="n">
        <v>184</v>
      </c>
      <c r="P389" s="30" t="n">
        <v>2.8</v>
      </c>
      <c r="Q389" s="27"/>
      <c r="R389" s="27" t="s">
        <v>62</v>
      </c>
    </row>
    <row r="390" customFormat="false" ht="15" hidden="false" customHeight="false" outlineLevel="0" collapsed="false">
      <c r="A390" s="25" t="n">
        <f aca="false">IF(G390="REJECT",COUNTIF($G$2:$G$2277,"&lt;&gt;REJECT")+1+COUNTIFS($G$2:$G$2277,"REJECT",$B$2:$B$2277,"&gt;"&amp;B390),1+COUNTIFS($G$2:$G$2277,"&lt;&gt;REJECT",$B$2:$B$2277,"&gt;"&amp;B390))</f>
        <v>389</v>
      </c>
      <c r="B390" s="26" t="n">
        <f aca="false">ROUND(($U$2*MAX(0,MIN(1,($W$2-I390)/($W$2-$V$2)))+$U$3*MAX(0,MIN(1,($W$3-J390)/($W$3-$V$3)))+$U$4*MAX(0,MIN(1,($W$4-K390)/($W$4-$V$4)))+$U$5*MAX(0,MIN(1,($W$5-L390)/($W$5-$V$5)))+$U$6*MAX(0,MIN(1,($W$6-M390)/($W$6-$V$6)))+$U$7*MAX(0,MIN(1,($W$7-N390)/($W$7-$V$7)))+$U$8*IF(AND(O390&gt;=$V$8,O390&lt;=$W$8),1,0))/$U$9*100,2)</f>
        <v>91.88</v>
      </c>
      <c r="C390" s="27" t="s">
        <v>500</v>
      </c>
      <c r="D390" s="25" t="s">
        <v>134</v>
      </c>
      <c r="E390" s="25" t="s">
        <v>3447</v>
      </c>
      <c r="F390" s="25" t="s">
        <v>3448</v>
      </c>
      <c r="G390" s="38" t="s">
        <v>30</v>
      </c>
      <c r="H390" s="33" t="s">
        <v>24</v>
      </c>
      <c r="I390" s="25" t="n">
        <v>1</v>
      </c>
      <c r="J390" s="25" t="n">
        <v>0</v>
      </c>
      <c r="K390" s="25" t="n">
        <v>1</v>
      </c>
      <c r="L390" s="29" t="n">
        <v>0.81</v>
      </c>
      <c r="M390" s="30" t="n">
        <v>8.44</v>
      </c>
      <c r="N390" s="29" t="n">
        <v>0.28</v>
      </c>
      <c r="O390" s="25" t="n">
        <v>182</v>
      </c>
      <c r="P390" s="30" t="n">
        <v>0.23</v>
      </c>
      <c r="Q390" s="27" t="s">
        <v>3480</v>
      </c>
      <c r="R390" s="27" t="s">
        <v>30</v>
      </c>
    </row>
    <row r="391" customFormat="false" ht="15" hidden="false" customHeight="false" outlineLevel="0" collapsed="false">
      <c r="A391" s="25" t="n">
        <f aca="false">IF(G391="REJECT",COUNTIF($G$2:$G$2277,"&lt;&gt;REJECT")+1+COUNTIFS($G$2:$G$2277,"REJECT",$B$2:$B$2277,"&gt;"&amp;B391),1+COUNTIFS($G$2:$G$2277,"&lt;&gt;REJECT",$B$2:$B$2277,"&gt;"&amp;B391))</f>
        <v>390</v>
      </c>
      <c r="B391" s="26" t="n">
        <f aca="false">ROUND(($U$2*MAX(0,MIN(1,($W$2-I391)/($W$2-$V$2)))+$U$3*MAX(0,MIN(1,($W$3-J391)/($W$3-$V$3)))+$U$4*MAX(0,MIN(1,($W$4-K391)/($W$4-$V$4)))+$U$5*MAX(0,MIN(1,($W$5-L391)/($W$5-$V$5)))+$U$6*MAX(0,MIN(1,($W$6-M391)/($W$6-$V$6)))+$U$7*MAX(0,MIN(1,($W$7-N391)/($W$7-$V$7)))+$U$8*IF(AND(O391&gt;=$V$8,O391&lt;=$W$8),1,0))/$U$9*100,2)</f>
        <v>91.86</v>
      </c>
      <c r="C391" s="27" t="s">
        <v>2601</v>
      </c>
      <c r="D391" s="25" t="s">
        <v>134</v>
      </c>
      <c r="E391" s="25" t="s">
        <v>3447</v>
      </c>
      <c r="F391" s="25" t="s">
        <v>3457</v>
      </c>
      <c r="G391" s="28" t="s">
        <v>29</v>
      </c>
      <c r="H391" s="28" t="s">
        <v>25</v>
      </c>
      <c r="I391" s="25" t="n">
        <v>0</v>
      </c>
      <c r="J391" s="25" t="n">
        <v>0</v>
      </c>
      <c r="K391" s="25" t="n">
        <v>0</v>
      </c>
      <c r="L391" s="29" t="n">
        <v>0.74</v>
      </c>
      <c r="M391" s="30" t="n">
        <v>20.45</v>
      </c>
      <c r="N391" s="29" t="n">
        <v>0.68</v>
      </c>
      <c r="O391" s="25" t="n">
        <v>190</v>
      </c>
      <c r="P391" s="30" t="n">
        <v>-0.36</v>
      </c>
      <c r="Q391" s="27"/>
      <c r="R391" s="27" t="s">
        <v>61</v>
      </c>
    </row>
    <row r="392" customFormat="false" ht="15" hidden="false" customHeight="false" outlineLevel="0" collapsed="false">
      <c r="A392" s="25" t="n">
        <f aca="false">IF(G392="REJECT",COUNTIF($G$2:$G$2277,"&lt;&gt;REJECT")+1+COUNTIFS($G$2:$G$2277,"REJECT",$B$2:$B$2277,"&gt;"&amp;B392),1+COUNTIFS($G$2:$G$2277,"&lt;&gt;REJECT",$B$2:$B$2277,"&gt;"&amp;B392))</f>
        <v>391</v>
      </c>
      <c r="B392" s="26" t="n">
        <f aca="false">ROUND(($U$2*MAX(0,MIN(1,($W$2-I392)/($W$2-$V$2)))+$U$3*MAX(0,MIN(1,($W$3-J392)/($W$3-$V$3)))+$U$4*MAX(0,MIN(1,($W$4-K392)/($W$4-$V$4)))+$U$5*MAX(0,MIN(1,($W$5-L392)/($W$5-$V$5)))+$U$6*MAX(0,MIN(1,($W$6-M392)/($W$6-$V$6)))+$U$7*MAX(0,MIN(1,($W$7-N392)/($W$7-$V$7)))+$U$8*IF(AND(O392&gt;=$V$8,O392&lt;=$W$8),1,0))/$U$9*100,2)</f>
        <v>91.85</v>
      </c>
      <c r="C392" s="27" t="s">
        <v>2866</v>
      </c>
      <c r="D392" s="25" t="s">
        <v>134</v>
      </c>
      <c r="E392" s="25" t="s">
        <v>3450</v>
      </c>
      <c r="F392" s="25" t="s">
        <v>3457</v>
      </c>
      <c r="G392" s="33" t="s">
        <v>28</v>
      </c>
      <c r="H392" s="33" t="s">
        <v>24</v>
      </c>
      <c r="I392" s="25" t="n">
        <v>0</v>
      </c>
      <c r="J392" s="25" t="n">
        <v>0</v>
      </c>
      <c r="K392" s="25" t="n">
        <v>0</v>
      </c>
      <c r="L392" s="29" t="n">
        <v>0.69</v>
      </c>
      <c r="M392" s="30" t="n">
        <v>3.29</v>
      </c>
      <c r="N392" s="29" t="n">
        <v>0.6</v>
      </c>
      <c r="O392" s="25" t="n">
        <v>185</v>
      </c>
      <c r="P392" s="30" t="n">
        <v>11.71</v>
      </c>
      <c r="Q392" s="27"/>
      <c r="R392" s="27"/>
    </row>
    <row r="393" customFormat="false" ht="15" hidden="false" customHeight="false" outlineLevel="0" collapsed="false">
      <c r="A393" s="25" t="n">
        <f aca="false">IF(G393="REJECT",COUNTIF($G$2:$G$2277,"&lt;&gt;REJECT")+1+COUNTIFS($G$2:$G$2277,"REJECT",$B$2:$B$2277,"&gt;"&amp;B393),1+COUNTIFS($G$2:$G$2277,"&lt;&gt;REJECT",$B$2:$B$2277,"&gt;"&amp;B393))</f>
        <v>392</v>
      </c>
      <c r="B393" s="26" t="n">
        <f aca="false">ROUND(($U$2*MAX(0,MIN(1,($W$2-I393)/($W$2-$V$2)))+$U$3*MAX(0,MIN(1,($W$3-J393)/($W$3-$V$3)))+$U$4*MAX(0,MIN(1,($W$4-K393)/($W$4-$V$4)))+$U$5*MAX(0,MIN(1,($W$5-L393)/($W$5-$V$5)))+$U$6*MAX(0,MIN(1,($W$6-M393)/($W$6-$V$6)))+$U$7*MAX(0,MIN(1,($W$7-N393)/($W$7-$V$7)))+$U$8*IF(AND(O393&gt;=$V$8,O393&lt;=$W$8),1,0))/$U$9*100,2)</f>
        <v>91.82</v>
      </c>
      <c r="C393" s="27" t="s">
        <v>373</v>
      </c>
      <c r="D393" s="25" t="s">
        <v>134</v>
      </c>
      <c r="E393" s="25" t="s">
        <v>3450</v>
      </c>
      <c r="F393" s="25" t="s">
        <v>3457</v>
      </c>
      <c r="G393" s="28" t="s">
        <v>29</v>
      </c>
      <c r="H393" s="28" t="s">
        <v>25</v>
      </c>
      <c r="I393" s="25" t="n">
        <v>0</v>
      </c>
      <c r="J393" s="25" t="n">
        <v>0</v>
      </c>
      <c r="K393" s="25" t="n">
        <v>0</v>
      </c>
      <c r="L393" s="29" t="n">
        <v>0.7</v>
      </c>
      <c r="M393" s="30" t="n">
        <v>11.5</v>
      </c>
      <c r="N393" s="29" t="n">
        <v>0.16</v>
      </c>
      <c r="O393" s="25" t="n">
        <v>183</v>
      </c>
      <c r="P393" s="30" t="n">
        <v>10.33</v>
      </c>
      <c r="Q393" s="27"/>
      <c r="R393" s="27" t="s">
        <v>63</v>
      </c>
    </row>
    <row r="394" customFormat="false" ht="15" hidden="false" customHeight="false" outlineLevel="0" collapsed="false">
      <c r="A394" s="25" t="n">
        <f aca="false">IF(G394="REJECT",COUNTIF($G$2:$G$2277,"&lt;&gt;REJECT")+1+COUNTIFS($G$2:$G$2277,"REJECT",$B$2:$B$2277,"&gt;"&amp;B394),1+COUNTIFS($G$2:$G$2277,"&lt;&gt;REJECT",$B$2:$B$2277,"&gt;"&amp;B394))</f>
        <v>392</v>
      </c>
      <c r="B394" s="26" t="n">
        <f aca="false">ROUND(($U$2*MAX(0,MIN(1,($W$2-I394)/($W$2-$V$2)))+$U$3*MAX(0,MIN(1,($W$3-J394)/($W$3-$V$3)))+$U$4*MAX(0,MIN(1,($W$4-K394)/($W$4-$V$4)))+$U$5*MAX(0,MIN(1,($W$5-L394)/($W$5-$V$5)))+$U$6*MAX(0,MIN(1,($W$6-M394)/($W$6-$V$6)))+$U$7*MAX(0,MIN(1,($W$7-N394)/($W$7-$V$7)))+$U$8*IF(AND(O394&gt;=$V$8,O394&lt;=$W$8),1,0))/$U$9*100,2)</f>
        <v>91.82</v>
      </c>
      <c r="C394" s="27" t="s">
        <v>1732</v>
      </c>
      <c r="D394" s="25" t="s">
        <v>134</v>
      </c>
      <c r="E394" s="25" t="s">
        <v>3450</v>
      </c>
      <c r="F394" s="25" t="s">
        <v>3448</v>
      </c>
      <c r="G394" s="33" t="s">
        <v>28</v>
      </c>
      <c r="H394" s="33" t="s">
        <v>24</v>
      </c>
      <c r="I394" s="25" t="n">
        <v>0</v>
      </c>
      <c r="J394" s="25" t="n">
        <v>0</v>
      </c>
      <c r="K394" s="25" t="n">
        <v>0</v>
      </c>
      <c r="L394" s="29" t="n">
        <v>0.71</v>
      </c>
      <c r="M394" s="30" t="n">
        <v>11.51</v>
      </c>
      <c r="N394" s="29" t="n">
        <v>0.52</v>
      </c>
      <c r="O394" s="25" t="n">
        <v>191</v>
      </c>
      <c r="P394" s="30" t="n">
        <v>13</v>
      </c>
      <c r="Q394" s="27"/>
      <c r="R394" s="27"/>
    </row>
    <row r="395" customFormat="false" ht="15" hidden="false" customHeight="false" outlineLevel="0" collapsed="false">
      <c r="A395" s="25" t="n">
        <f aca="false">IF(G395="REJECT",COUNTIF($G$2:$G$2277,"&lt;&gt;REJECT")+1+COUNTIFS($G$2:$G$2277,"REJECT",$B$2:$B$2277,"&gt;"&amp;B395),1+COUNTIFS($G$2:$G$2277,"&lt;&gt;REJECT",$B$2:$B$2277,"&gt;"&amp;B395))</f>
        <v>392</v>
      </c>
      <c r="B395" s="26" t="n">
        <f aca="false">ROUND(($U$2*MAX(0,MIN(1,($W$2-I395)/($W$2-$V$2)))+$U$3*MAX(0,MIN(1,($W$3-J395)/($W$3-$V$3)))+$U$4*MAX(0,MIN(1,($W$4-K395)/($W$4-$V$4)))+$U$5*MAX(0,MIN(1,($W$5-L395)/($W$5-$V$5)))+$U$6*MAX(0,MIN(1,($W$6-M395)/($W$6-$V$6)))+$U$7*MAX(0,MIN(1,($W$7-N395)/($W$7-$V$7)))+$U$8*IF(AND(O395&gt;=$V$8,O395&lt;=$W$8),1,0))/$U$9*100,2)</f>
        <v>91.82</v>
      </c>
      <c r="C395" s="27" t="s">
        <v>2385</v>
      </c>
      <c r="D395" s="25" t="s">
        <v>134</v>
      </c>
      <c r="E395" s="25" t="s">
        <v>3447</v>
      </c>
      <c r="F395" s="25" t="s">
        <v>3457</v>
      </c>
      <c r="G395" s="33" t="s">
        <v>28</v>
      </c>
      <c r="H395" s="33" t="s">
        <v>24</v>
      </c>
      <c r="I395" s="25" t="n">
        <v>0</v>
      </c>
      <c r="J395" s="25" t="n">
        <v>0</v>
      </c>
      <c r="K395" s="25" t="n">
        <v>0</v>
      </c>
      <c r="L395" s="29" t="n">
        <v>0.72</v>
      </c>
      <c r="M395" s="30" t="n">
        <v>18.67</v>
      </c>
      <c r="N395" s="29" t="n">
        <v>0.16</v>
      </c>
      <c r="O395" s="25" t="n">
        <v>189</v>
      </c>
      <c r="P395" s="30" t="n">
        <v>6.77</v>
      </c>
      <c r="Q395" s="27"/>
      <c r="R395" s="27"/>
    </row>
    <row r="396" customFormat="false" ht="15" hidden="false" customHeight="false" outlineLevel="0" collapsed="false">
      <c r="A396" s="25" t="n">
        <f aca="false">IF(G396="REJECT",COUNTIF($G$2:$G$2277,"&lt;&gt;REJECT")+1+COUNTIFS($G$2:$G$2277,"REJECT",$B$2:$B$2277,"&gt;"&amp;B396),1+COUNTIFS($G$2:$G$2277,"&lt;&gt;REJECT",$B$2:$B$2277,"&gt;"&amp;B396))</f>
        <v>392</v>
      </c>
      <c r="B396" s="26" t="n">
        <f aca="false">ROUND(($U$2*MAX(0,MIN(1,($W$2-I396)/($W$2-$V$2)))+$U$3*MAX(0,MIN(1,($W$3-J396)/($W$3-$V$3)))+$U$4*MAX(0,MIN(1,($W$4-K396)/($W$4-$V$4)))+$U$5*MAX(0,MIN(1,($W$5-L396)/($W$5-$V$5)))+$U$6*MAX(0,MIN(1,($W$6-M396)/($W$6-$V$6)))+$U$7*MAX(0,MIN(1,($W$7-N396)/($W$7-$V$7)))+$U$8*IF(AND(O396&gt;=$V$8,O396&lt;=$W$8),1,0))/$U$9*100,2)</f>
        <v>91.82</v>
      </c>
      <c r="C396" s="27" t="s">
        <v>3111</v>
      </c>
      <c r="D396" s="25" t="s">
        <v>134</v>
      </c>
      <c r="E396" s="25" t="s">
        <v>3447</v>
      </c>
      <c r="F396" s="25" t="s">
        <v>3457</v>
      </c>
      <c r="G396" s="33" t="s">
        <v>28</v>
      </c>
      <c r="H396" s="33" t="s">
        <v>24</v>
      </c>
      <c r="I396" s="25" t="n">
        <v>0</v>
      </c>
      <c r="J396" s="25" t="n">
        <v>0</v>
      </c>
      <c r="K396" s="25" t="n">
        <v>0</v>
      </c>
      <c r="L396" s="29" t="n">
        <v>0.71</v>
      </c>
      <c r="M396" s="30" t="n">
        <v>13.46</v>
      </c>
      <c r="N396" s="29" t="n">
        <v>0.32</v>
      </c>
      <c r="O396" s="25" t="n">
        <v>183</v>
      </c>
      <c r="P396" s="30" t="n">
        <v>6.88</v>
      </c>
      <c r="Q396" s="27"/>
      <c r="R396" s="27"/>
    </row>
    <row r="397" customFormat="false" ht="15" hidden="false" customHeight="false" outlineLevel="0" collapsed="false">
      <c r="A397" s="25" t="n">
        <f aca="false">IF(G397="REJECT",COUNTIF($G$2:$G$2277,"&lt;&gt;REJECT")+1+COUNTIFS($G$2:$G$2277,"REJECT",$B$2:$B$2277,"&gt;"&amp;B397),1+COUNTIFS($G$2:$G$2277,"&lt;&gt;REJECT",$B$2:$B$2277,"&gt;"&amp;B397))</f>
        <v>396</v>
      </c>
      <c r="B397" s="26" t="n">
        <f aca="false">ROUND(($U$2*MAX(0,MIN(1,($W$2-I397)/($W$2-$V$2)))+$U$3*MAX(0,MIN(1,($W$3-J397)/($W$3-$V$3)))+$U$4*MAX(0,MIN(1,($W$4-K397)/($W$4-$V$4)))+$U$5*MAX(0,MIN(1,($W$5-L397)/($W$5-$V$5)))+$U$6*MAX(0,MIN(1,($W$6-M397)/($W$6-$V$6)))+$U$7*MAX(0,MIN(1,($W$7-N397)/($W$7-$V$7)))+$U$8*IF(AND(O397&gt;=$V$8,O397&lt;=$W$8),1,0))/$U$9*100,2)</f>
        <v>91.77</v>
      </c>
      <c r="C397" s="27" t="s">
        <v>1685</v>
      </c>
      <c r="D397" s="25" t="s">
        <v>3459</v>
      </c>
      <c r="E397" s="25" t="s">
        <v>3450</v>
      </c>
      <c r="F397" s="25" t="s">
        <v>3457</v>
      </c>
      <c r="G397" s="33" t="s">
        <v>28</v>
      </c>
      <c r="H397" s="33" t="s">
        <v>24</v>
      </c>
      <c r="I397" s="25" t="n">
        <v>0</v>
      </c>
      <c r="J397" s="25" t="n">
        <v>0</v>
      </c>
      <c r="K397" s="25" t="n">
        <v>0</v>
      </c>
      <c r="L397" s="29" t="n">
        <v>0.73</v>
      </c>
      <c r="M397" s="30" t="n">
        <v>15.8</v>
      </c>
      <c r="N397" s="29" t="n">
        <v>0.84</v>
      </c>
      <c r="O397" s="25" t="n">
        <v>184</v>
      </c>
      <c r="P397" s="30" t="n">
        <v>6.68</v>
      </c>
      <c r="Q397" s="27"/>
      <c r="R397" s="27"/>
    </row>
    <row r="398" customFormat="false" ht="15" hidden="false" customHeight="false" outlineLevel="0" collapsed="false">
      <c r="A398" s="25" t="n">
        <f aca="false">IF(G398="REJECT",COUNTIF($G$2:$G$2277,"&lt;&gt;REJECT")+1+COUNTIFS($G$2:$G$2277,"REJECT",$B$2:$B$2277,"&gt;"&amp;B398),1+COUNTIFS($G$2:$G$2277,"&lt;&gt;REJECT",$B$2:$B$2277,"&gt;"&amp;B398))</f>
        <v>397</v>
      </c>
      <c r="B398" s="26" t="n">
        <f aca="false">ROUND(($U$2*MAX(0,MIN(1,($W$2-I398)/($W$2-$V$2)))+$U$3*MAX(0,MIN(1,($W$3-J398)/($W$3-$V$3)))+$U$4*MAX(0,MIN(1,($W$4-K398)/($W$4-$V$4)))+$U$5*MAX(0,MIN(1,($W$5-L398)/($W$5-$V$5)))+$U$6*MAX(0,MIN(1,($W$6-M398)/($W$6-$V$6)))+$U$7*MAX(0,MIN(1,($W$7-N398)/($W$7-$V$7)))+$U$8*IF(AND(O398&gt;=$V$8,O398&lt;=$W$8),1,0))/$U$9*100,2)</f>
        <v>91.76</v>
      </c>
      <c r="C398" s="27" t="s">
        <v>3111</v>
      </c>
      <c r="D398" s="25" t="s">
        <v>3459</v>
      </c>
      <c r="E398" s="25" t="s">
        <v>3450</v>
      </c>
      <c r="F398" s="25" t="s">
        <v>3448</v>
      </c>
      <c r="G398" s="33" t="s">
        <v>28</v>
      </c>
      <c r="H398" s="33" t="s">
        <v>24</v>
      </c>
      <c r="I398" s="25" t="n">
        <v>0</v>
      </c>
      <c r="J398" s="25" t="n">
        <v>0</v>
      </c>
      <c r="K398" s="25" t="n">
        <v>0</v>
      </c>
      <c r="L398" s="29" t="n">
        <v>0.72</v>
      </c>
      <c r="M398" s="30" t="n">
        <v>19.05</v>
      </c>
      <c r="N398" s="29" t="n">
        <v>0.16</v>
      </c>
      <c r="O398" s="25" t="n">
        <v>183</v>
      </c>
      <c r="P398" s="30" t="n">
        <v>5.45</v>
      </c>
      <c r="Q398" s="27"/>
      <c r="R398" s="27"/>
    </row>
    <row r="399" customFormat="false" ht="15" hidden="false" customHeight="false" outlineLevel="0" collapsed="false">
      <c r="A399" s="25" t="n">
        <f aca="false">IF(G399="REJECT",COUNTIF($G$2:$G$2277,"&lt;&gt;REJECT")+1+COUNTIFS($G$2:$G$2277,"REJECT",$B$2:$B$2277,"&gt;"&amp;B399),1+COUNTIFS($G$2:$G$2277,"&lt;&gt;REJECT",$B$2:$B$2277,"&gt;"&amp;B399))</f>
        <v>398</v>
      </c>
      <c r="B399" s="26" t="n">
        <f aca="false">ROUND(($U$2*MAX(0,MIN(1,($W$2-I399)/($W$2-$V$2)))+$U$3*MAX(0,MIN(1,($W$3-J399)/($W$3-$V$3)))+$U$4*MAX(0,MIN(1,($W$4-K399)/($W$4-$V$4)))+$U$5*MAX(0,MIN(1,($W$5-L399)/($W$5-$V$5)))+$U$6*MAX(0,MIN(1,($W$6-M399)/($W$6-$V$6)))+$U$7*MAX(0,MIN(1,($W$7-N399)/($W$7-$V$7)))+$U$8*IF(AND(O399&gt;=$V$8,O399&lt;=$W$8),1,0))/$U$9*100,2)</f>
        <v>91.75</v>
      </c>
      <c r="C399" s="27" t="s">
        <v>1103</v>
      </c>
      <c r="D399" s="25" t="s">
        <v>3459</v>
      </c>
      <c r="E399" s="25" t="s">
        <v>3447</v>
      </c>
      <c r="F399" s="25" t="s">
        <v>3457</v>
      </c>
      <c r="G399" s="28" t="s">
        <v>29</v>
      </c>
      <c r="H399" s="28" t="s">
        <v>25</v>
      </c>
      <c r="I399" s="25" t="n">
        <v>0</v>
      </c>
      <c r="J399" s="25" t="n">
        <v>0</v>
      </c>
      <c r="K399" s="25" t="n">
        <v>0</v>
      </c>
      <c r="L399" s="29" t="n">
        <v>0.75</v>
      </c>
      <c r="M399" s="30" t="n">
        <v>22.28</v>
      </c>
      <c r="N399" s="29" t="n">
        <v>0.92</v>
      </c>
      <c r="O399" s="25" t="n">
        <v>183</v>
      </c>
      <c r="P399" s="30" t="n">
        <v>0.59</v>
      </c>
      <c r="Q399" s="27"/>
      <c r="R399" s="27" t="s">
        <v>61</v>
      </c>
    </row>
    <row r="400" customFormat="false" ht="15" hidden="false" customHeight="false" outlineLevel="0" collapsed="false">
      <c r="A400" s="25" t="n">
        <f aca="false">IF(G400="REJECT",COUNTIF($G$2:$G$2277,"&lt;&gt;REJECT")+1+COUNTIFS($G$2:$G$2277,"REJECT",$B$2:$B$2277,"&gt;"&amp;B400),1+COUNTIFS($G$2:$G$2277,"&lt;&gt;REJECT",$B$2:$B$2277,"&gt;"&amp;B400))</f>
        <v>399</v>
      </c>
      <c r="B400" s="26" t="n">
        <f aca="false">ROUND(($U$2*MAX(0,MIN(1,($W$2-I400)/($W$2-$V$2)))+$U$3*MAX(0,MIN(1,($W$3-J400)/($W$3-$V$3)))+$U$4*MAX(0,MIN(1,($W$4-K400)/($W$4-$V$4)))+$U$5*MAX(0,MIN(1,($W$5-L400)/($W$5-$V$5)))+$U$6*MAX(0,MIN(1,($W$6-M400)/($W$6-$V$6)))+$U$7*MAX(0,MIN(1,($W$7-N400)/($W$7-$V$7)))+$U$8*IF(AND(O400&gt;=$V$8,O400&lt;=$W$8),1,0))/$U$9*100,2)</f>
        <v>91.74</v>
      </c>
      <c r="C400" s="27" t="s">
        <v>493</v>
      </c>
      <c r="D400" s="25" t="s">
        <v>134</v>
      </c>
      <c r="E400" s="25" t="s">
        <v>3450</v>
      </c>
      <c r="F400" s="25" t="s">
        <v>3457</v>
      </c>
      <c r="G400" s="33" t="s">
        <v>28</v>
      </c>
      <c r="H400" s="33" t="s">
        <v>24</v>
      </c>
      <c r="I400" s="25" t="n">
        <v>0</v>
      </c>
      <c r="J400" s="25" t="n">
        <v>0</v>
      </c>
      <c r="K400" s="25" t="n">
        <v>0</v>
      </c>
      <c r="L400" s="29" t="n">
        <v>0.72</v>
      </c>
      <c r="M400" s="30" t="n">
        <v>17.18</v>
      </c>
      <c r="N400" s="29" t="n">
        <v>0.36</v>
      </c>
      <c r="O400" s="25" t="n">
        <v>183</v>
      </c>
      <c r="P400" s="30" t="n">
        <v>15.76</v>
      </c>
      <c r="Q400" s="27"/>
      <c r="R400" s="27"/>
    </row>
    <row r="401" customFormat="false" ht="15" hidden="false" customHeight="false" outlineLevel="0" collapsed="false">
      <c r="A401" s="25" t="n">
        <f aca="false">IF(G401="REJECT",COUNTIF($G$2:$G$2277,"&lt;&gt;REJECT")+1+COUNTIFS($G$2:$G$2277,"REJECT",$B$2:$B$2277,"&gt;"&amp;B401),1+COUNTIFS($G$2:$G$2277,"&lt;&gt;REJECT",$B$2:$B$2277,"&gt;"&amp;B401))</f>
        <v>399</v>
      </c>
      <c r="B401" s="26" t="n">
        <f aca="false">ROUND(($U$2*MAX(0,MIN(1,($W$2-I401)/($W$2-$V$2)))+$U$3*MAX(0,MIN(1,($W$3-J401)/($W$3-$V$3)))+$U$4*MAX(0,MIN(1,($W$4-K401)/($W$4-$V$4)))+$U$5*MAX(0,MIN(1,($W$5-L401)/($W$5-$V$5)))+$U$6*MAX(0,MIN(1,($W$6-M401)/($W$6-$V$6)))+$U$7*MAX(0,MIN(1,($W$7-N401)/($W$7-$V$7)))+$U$8*IF(AND(O401&gt;=$V$8,O401&lt;=$W$8),1,0))/$U$9*100,2)</f>
        <v>91.74</v>
      </c>
      <c r="C401" s="27" t="s">
        <v>3111</v>
      </c>
      <c r="D401" s="25" t="s">
        <v>134</v>
      </c>
      <c r="E401" s="25" t="s">
        <v>3447</v>
      </c>
      <c r="F401" s="25" t="s">
        <v>3448</v>
      </c>
      <c r="G401" s="33" t="s">
        <v>28</v>
      </c>
      <c r="H401" s="33" t="s">
        <v>24</v>
      </c>
      <c r="I401" s="25" t="n">
        <v>0</v>
      </c>
      <c r="J401" s="25" t="n">
        <v>0</v>
      </c>
      <c r="K401" s="25" t="n">
        <v>0</v>
      </c>
      <c r="L401" s="29" t="n">
        <v>0.7</v>
      </c>
      <c r="M401" s="30" t="n">
        <v>12.38</v>
      </c>
      <c r="N401" s="29" t="n">
        <v>0.12</v>
      </c>
      <c r="O401" s="25" t="n">
        <v>181</v>
      </c>
      <c r="P401" s="30" t="n">
        <v>7.09</v>
      </c>
      <c r="Q401" s="27"/>
      <c r="R401" s="27"/>
    </row>
    <row r="402" customFormat="false" ht="15" hidden="false" customHeight="false" outlineLevel="0" collapsed="false">
      <c r="A402" s="25" t="n">
        <f aca="false">IF(G402="REJECT",COUNTIF($G$2:$G$2277,"&lt;&gt;REJECT")+1+COUNTIFS($G$2:$G$2277,"REJECT",$B$2:$B$2277,"&gt;"&amp;B402),1+COUNTIFS($G$2:$G$2277,"&lt;&gt;REJECT",$B$2:$B$2277,"&gt;"&amp;B402))</f>
        <v>401</v>
      </c>
      <c r="B402" s="26" t="n">
        <f aca="false">ROUND(($U$2*MAX(0,MIN(1,($W$2-I402)/($W$2-$V$2)))+$U$3*MAX(0,MIN(1,($W$3-J402)/($W$3-$V$3)))+$U$4*MAX(0,MIN(1,($W$4-K402)/($W$4-$V$4)))+$U$5*MAX(0,MIN(1,($W$5-L402)/($W$5-$V$5)))+$U$6*MAX(0,MIN(1,($W$6-M402)/($W$6-$V$6)))+$U$7*MAX(0,MIN(1,($W$7-N402)/($W$7-$V$7)))+$U$8*IF(AND(O402&gt;=$V$8,O402&lt;=$W$8),1,0))/$U$9*100,2)</f>
        <v>91.73</v>
      </c>
      <c r="C402" s="27" t="s">
        <v>354</v>
      </c>
      <c r="D402" s="25" t="s">
        <v>134</v>
      </c>
      <c r="E402" s="25" t="s">
        <v>3450</v>
      </c>
      <c r="F402" s="25" t="s">
        <v>3457</v>
      </c>
      <c r="G402" s="28" t="s">
        <v>29</v>
      </c>
      <c r="H402" s="28" t="s">
        <v>25</v>
      </c>
      <c r="I402" s="25" t="n">
        <v>0</v>
      </c>
      <c r="J402" s="25" t="n">
        <v>0</v>
      </c>
      <c r="K402" s="25" t="n">
        <v>0</v>
      </c>
      <c r="L402" s="29" t="n">
        <v>0.71</v>
      </c>
      <c r="M402" s="30" t="n">
        <v>9.22</v>
      </c>
      <c r="N402" s="29" t="n">
        <v>0.8</v>
      </c>
      <c r="O402" s="25" t="n">
        <v>182</v>
      </c>
      <c r="P402" s="30" t="n">
        <v>2.84</v>
      </c>
      <c r="Q402" s="27"/>
      <c r="R402" s="27" t="s">
        <v>62</v>
      </c>
    </row>
    <row r="403" customFormat="false" ht="15" hidden="false" customHeight="false" outlineLevel="0" collapsed="false">
      <c r="A403" s="25" t="n">
        <f aca="false">IF(G403="REJECT",COUNTIF($G$2:$G$2277,"&lt;&gt;REJECT")+1+COUNTIFS($G$2:$G$2277,"REJECT",$B$2:$B$2277,"&gt;"&amp;B403),1+COUNTIFS($G$2:$G$2277,"&lt;&gt;REJECT",$B$2:$B$2277,"&gt;"&amp;B403))</f>
        <v>402</v>
      </c>
      <c r="B403" s="26" t="n">
        <f aca="false">ROUND(($U$2*MAX(0,MIN(1,($W$2-I403)/($W$2-$V$2)))+$U$3*MAX(0,MIN(1,($W$3-J403)/($W$3-$V$3)))+$U$4*MAX(0,MIN(1,($W$4-K403)/($W$4-$V$4)))+$U$5*MAX(0,MIN(1,($W$5-L403)/($W$5-$V$5)))+$U$6*MAX(0,MIN(1,($W$6-M403)/($W$6-$V$6)))+$U$7*MAX(0,MIN(1,($W$7-N403)/($W$7-$V$7)))+$U$8*IF(AND(O403&gt;=$V$8,O403&lt;=$W$8),1,0))/$U$9*100,2)</f>
        <v>91.72</v>
      </c>
      <c r="C403" s="27" t="s">
        <v>140</v>
      </c>
      <c r="D403" s="25" t="s">
        <v>134</v>
      </c>
      <c r="E403" s="25" t="s">
        <v>3450</v>
      </c>
      <c r="F403" s="25" t="s">
        <v>3457</v>
      </c>
      <c r="G403" s="28" t="s">
        <v>29</v>
      </c>
      <c r="H403" s="28" t="s">
        <v>25</v>
      </c>
      <c r="I403" s="25" t="n">
        <v>0</v>
      </c>
      <c r="J403" s="25" t="n">
        <v>0</v>
      </c>
      <c r="K403" s="25" t="n">
        <v>0</v>
      </c>
      <c r="L403" s="29" t="n">
        <v>0.76</v>
      </c>
      <c r="M403" s="30" t="n">
        <v>28.07</v>
      </c>
      <c r="N403" s="29" t="n">
        <v>0.72</v>
      </c>
      <c r="O403" s="25" t="n">
        <v>184</v>
      </c>
      <c r="P403" s="30" t="n">
        <v>15.18</v>
      </c>
      <c r="Q403" s="27"/>
      <c r="R403" s="27" t="s">
        <v>3470</v>
      </c>
    </row>
    <row r="404" customFormat="false" ht="15" hidden="false" customHeight="false" outlineLevel="0" collapsed="false">
      <c r="A404" s="25" t="n">
        <f aca="false">IF(G404="REJECT",COUNTIF($G$2:$G$2277,"&lt;&gt;REJECT")+1+COUNTIFS($G$2:$G$2277,"REJECT",$B$2:$B$2277,"&gt;"&amp;B404),1+COUNTIFS($G$2:$G$2277,"&lt;&gt;REJECT",$B$2:$B$2277,"&gt;"&amp;B404))</f>
        <v>403</v>
      </c>
      <c r="B404" s="26" t="n">
        <f aca="false">ROUND(($U$2*MAX(0,MIN(1,($W$2-I404)/($W$2-$V$2)))+$U$3*MAX(0,MIN(1,($W$3-J404)/($W$3-$V$3)))+$U$4*MAX(0,MIN(1,($W$4-K404)/($W$4-$V$4)))+$U$5*MAX(0,MIN(1,($W$5-L404)/($W$5-$V$5)))+$U$6*MAX(0,MIN(1,($W$6-M404)/($W$6-$V$6)))+$U$7*MAX(0,MIN(1,($W$7-N404)/($W$7-$V$7)))+$U$8*IF(AND(O404&gt;=$V$8,O404&lt;=$W$8),1,0))/$U$9*100,2)</f>
        <v>91.71</v>
      </c>
      <c r="C404" s="27" t="s">
        <v>2932</v>
      </c>
      <c r="D404" s="25" t="s">
        <v>3459</v>
      </c>
      <c r="E404" s="25" t="s">
        <v>3447</v>
      </c>
      <c r="F404" s="25" t="s">
        <v>3457</v>
      </c>
      <c r="G404" s="28" t="s">
        <v>29</v>
      </c>
      <c r="H404" s="28" t="s">
        <v>25</v>
      </c>
      <c r="I404" s="25" t="n">
        <v>0</v>
      </c>
      <c r="J404" s="25" t="n">
        <v>0</v>
      </c>
      <c r="K404" s="25" t="n">
        <v>0</v>
      </c>
      <c r="L404" s="29" t="n">
        <v>0.73</v>
      </c>
      <c r="M404" s="30" t="n">
        <v>21.76</v>
      </c>
      <c r="N404" s="29" t="n">
        <v>0.28</v>
      </c>
      <c r="O404" s="25" t="n">
        <v>184</v>
      </c>
      <c r="P404" s="30" t="n">
        <v>-2.46</v>
      </c>
      <c r="Q404" s="27"/>
      <c r="R404" s="27" t="s">
        <v>61</v>
      </c>
    </row>
    <row r="405" customFormat="false" ht="15" hidden="false" customHeight="false" outlineLevel="0" collapsed="false">
      <c r="A405" s="25" t="n">
        <f aca="false">IF(G405="REJECT",COUNTIF($G$2:$G$2277,"&lt;&gt;REJECT")+1+COUNTIFS($G$2:$G$2277,"REJECT",$B$2:$B$2277,"&gt;"&amp;B405),1+COUNTIFS($G$2:$G$2277,"&lt;&gt;REJECT",$B$2:$B$2277,"&gt;"&amp;B405))</f>
        <v>404</v>
      </c>
      <c r="B405" s="26" t="n">
        <f aca="false">ROUND(($U$2*MAX(0,MIN(1,($W$2-I405)/($W$2-$V$2)))+$U$3*MAX(0,MIN(1,($W$3-J405)/($W$3-$V$3)))+$U$4*MAX(0,MIN(1,($W$4-K405)/($W$4-$V$4)))+$U$5*MAX(0,MIN(1,($W$5-L405)/($W$5-$V$5)))+$U$6*MAX(0,MIN(1,($W$6-M405)/($W$6-$V$6)))+$U$7*MAX(0,MIN(1,($W$7-N405)/($W$7-$V$7)))+$U$8*IF(AND(O405&gt;=$V$8,O405&lt;=$W$8),1,0))/$U$9*100,2)</f>
        <v>91.68</v>
      </c>
      <c r="C405" s="27" t="s">
        <v>1043</v>
      </c>
      <c r="D405" s="25" t="s">
        <v>134</v>
      </c>
      <c r="E405" s="25" t="s">
        <v>3450</v>
      </c>
      <c r="F405" s="25" t="s">
        <v>3457</v>
      </c>
      <c r="G405" s="28" t="s">
        <v>29</v>
      </c>
      <c r="H405" s="28" t="s">
        <v>25</v>
      </c>
      <c r="I405" s="25" t="n">
        <v>0</v>
      </c>
      <c r="J405" s="25" t="n">
        <v>0</v>
      </c>
      <c r="K405" s="25" t="n">
        <v>0</v>
      </c>
      <c r="L405" s="29" t="n">
        <v>0.75</v>
      </c>
      <c r="M405" s="30" t="n">
        <v>22.7</v>
      </c>
      <c r="N405" s="29" t="n">
        <v>0.92</v>
      </c>
      <c r="O405" s="25" t="n">
        <v>209</v>
      </c>
      <c r="P405" s="30" t="n">
        <v>4.28</v>
      </c>
      <c r="Q405" s="27"/>
      <c r="R405" s="27" t="s">
        <v>61</v>
      </c>
    </row>
    <row r="406" customFormat="false" ht="15" hidden="false" customHeight="false" outlineLevel="0" collapsed="false">
      <c r="A406" s="25" t="n">
        <f aca="false">IF(G406="REJECT",COUNTIF($G$2:$G$2277,"&lt;&gt;REJECT")+1+COUNTIFS($G$2:$G$2277,"REJECT",$B$2:$B$2277,"&gt;"&amp;B406),1+COUNTIFS($G$2:$G$2277,"&lt;&gt;REJECT",$B$2:$B$2277,"&gt;"&amp;B406))</f>
        <v>405</v>
      </c>
      <c r="B406" s="26" t="n">
        <f aca="false">ROUND(($U$2*MAX(0,MIN(1,($W$2-I406)/($W$2-$V$2)))+$U$3*MAX(0,MIN(1,($W$3-J406)/($W$3-$V$3)))+$U$4*MAX(0,MIN(1,($W$4-K406)/($W$4-$V$4)))+$U$5*MAX(0,MIN(1,($W$5-L406)/($W$5-$V$5)))+$U$6*MAX(0,MIN(1,($W$6-M406)/($W$6-$V$6)))+$U$7*MAX(0,MIN(1,($W$7-N406)/($W$7-$V$7)))+$U$8*IF(AND(O406&gt;=$V$8,O406&lt;=$W$8),1,0))/$U$9*100,2)</f>
        <v>91.64</v>
      </c>
      <c r="C406" s="27" t="s">
        <v>756</v>
      </c>
      <c r="D406" s="25" t="s">
        <v>3459</v>
      </c>
      <c r="E406" s="25" t="s">
        <v>3450</v>
      </c>
      <c r="F406" s="25" t="s">
        <v>3448</v>
      </c>
      <c r="G406" s="33" t="s">
        <v>28</v>
      </c>
      <c r="H406" s="33" t="s">
        <v>24</v>
      </c>
      <c r="I406" s="25" t="n">
        <v>0</v>
      </c>
      <c r="J406" s="25" t="n">
        <v>0</v>
      </c>
      <c r="K406" s="25" t="n">
        <v>0</v>
      </c>
      <c r="L406" s="29" t="n">
        <v>0.72</v>
      </c>
      <c r="M406" s="30" t="n">
        <v>14.54</v>
      </c>
      <c r="N406" s="29" t="n">
        <v>0.68</v>
      </c>
      <c r="O406" s="25" t="n">
        <v>184</v>
      </c>
      <c r="P406" s="30" t="n">
        <v>16.85</v>
      </c>
      <c r="Q406" s="27"/>
      <c r="R406" s="27"/>
    </row>
    <row r="407" customFormat="false" ht="15" hidden="false" customHeight="false" outlineLevel="0" collapsed="false">
      <c r="A407" s="25" t="n">
        <f aca="false">IF(G407="REJECT",COUNTIF($G$2:$G$2277,"&lt;&gt;REJECT")+1+COUNTIFS($G$2:$G$2277,"REJECT",$B$2:$B$2277,"&gt;"&amp;B407),1+COUNTIFS($G$2:$G$2277,"&lt;&gt;REJECT",$B$2:$B$2277,"&gt;"&amp;B407))</f>
        <v>406</v>
      </c>
      <c r="B407" s="26" t="n">
        <f aca="false">ROUND(($U$2*MAX(0,MIN(1,($W$2-I407)/($W$2-$V$2)))+$U$3*MAX(0,MIN(1,($W$3-J407)/($W$3-$V$3)))+$U$4*MAX(0,MIN(1,($W$4-K407)/($W$4-$V$4)))+$U$5*MAX(0,MIN(1,($W$5-L407)/($W$5-$V$5)))+$U$6*MAX(0,MIN(1,($W$6-M407)/($W$6-$V$6)))+$U$7*MAX(0,MIN(1,($W$7-N407)/($W$7-$V$7)))+$U$8*IF(AND(O407&gt;=$V$8,O407&lt;=$W$8),1,0))/$U$9*100,2)</f>
        <v>91.63</v>
      </c>
      <c r="C407" s="27" t="s">
        <v>1583</v>
      </c>
      <c r="D407" s="25" t="s">
        <v>134</v>
      </c>
      <c r="E407" s="25" t="s">
        <v>3450</v>
      </c>
      <c r="F407" s="25" t="s">
        <v>3448</v>
      </c>
      <c r="G407" s="33" t="s">
        <v>28</v>
      </c>
      <c r="H407" s="33" t="s">
        <v>24</v>
      </c>
      <c r="I407" s="25" t="n">
        <v>0</v>
      </c>
      <c r="J407" s="25" t="n">
        <v>0</v>
      </c>
      <c r="K407" s="25" t="n">
        <v>0</v>
      </c>
      <c r="L407" s="29" t="n">
        <v>0.72</v>
      </c>
      <c r="M407" s="30" t="n">
        <v>15.41</v>
      </c>
      <c r="N407" s="29" t="n">
        <v>0.6</v>
      </c>
      <c r="O407" s="25" t="n">
        <v>191</v>
      </c>
      <c r="P407" s="30" t="n">
        <v>15.17</v>
      </c>
      <c r="Q407" s="27"/>
      <c r="R407" s="27"/>
    </row>
    <row r="408" customFormat="false" ht="15" hidden="false" customHeight="false" outlineLevel="0" collapsed="false">
      <c r="A408" s="25" t="n">
        <f aca="false">IF(G408="REJECT",COUNTIF($G$2:$G$2277,"&lt;&gt;REJECT")+1+COUNTIFS($G$2:$G$2277,"REJECT",$B$2:$B$2277,"&gt;"&amp;B408),1+COUNTIFS($G$2:$G$2277,"&lt;&gt;REJECT",$B$2:$B$2277,"&gt;"&amp;B408))</f>
        <v>407</v>
      </c>
      <c r="B408" s="26" t="n">
        <f aca="false">ROUND(($U$2*MAX(0,MIN(1,($W$2-I408)/($W$2-$V$2)))+$U$3*MAX(0,MIN(1,($W$3-J408)/($W$3-$V$3)))+$U$4*MAX(0,MIN(1,($W$4-K408)/($W$4-$V$4)))+$U$5*MAX(0,MIN(1,($W$5-L408)/($W$5-$V$5)))+$U$6*MAX(0,MIN(1,($W$6-M408)/($W$6-$V$6)))+$U$7*MAX(0,MIN(1,($W$7-N408)/($W$7-$V$7)))+$U$8*IF(AND(O408&gt;=$V$8,O408&lt;=$W$8),1,0))/$U$9*100,2)</f>
        <v>91.62</v>
      </c>
      <c r="C408" s="27" t="s">
        <v>2556</v>
      </c>
      <c r="D408" s="25" t="s">
        <v>134</v>
      </c>
      <c r="E408" s="25" t="s">
        <v>3450</v>
      </c>
      <c r="F408" s="25" t="s">
        <v>3457</v>
      </c>
      <c r="G408" s="28" t="s">
        <v>29</v>
      </c>
      <c r="H408" s="28" t="s">
        <v>25</v>
      </c>
      <c r="I408" s="25" t="n">
        <v>0</v>
      </c>
      <c r="J408" s="25" t="n">
        <v>0</v>
      </c>
      <c r="K408" s="25" t="n">
        <v>0</v>
      </c>
      <c r="L408" s="29" t="n">
        <v>0.69</v>
      </c>
      <c r="M408" s="30" t="n">
        <v>3.5</v>
      </c>
      <c r="N408" s="29" t="n">
        <v>0.72</v>
      </c>
      <c r="O408" s="25" t="n">
        <v>190</v>
      </c>
      <c r="P408" s="30" t="n">
        <v>-0.87</v>
      </c>
      <c r="Q408" s="27"/>
      <c r="R408" s="27" t="s">
        <v>62</v>
      </c>
    </row>
    <row r="409" customFormat="false" ht="15" hidden="false" customHeight="false" outlineLevel="0" collapsed="false">
      <c r="A409" s="25" t="n">
        <f aca="false">IF(G409="REJECT",COUNTIF($G$2:$G$2277,"&lt;&gt;REJECT")+1+COUNTIFS($G$2:$G$2277,"REJECT",$B$2:$B$2277,"&gt;"&amp;B409),1+COUNTIFS($G$2:$G$2277,"&lt;&gt;REJECT",$B$2:$B$2277,"&gt;"&amp;B409))</f>
        <v>408</v>
      </c>
      <c r="B409" s="26" t="n">
        <f aca="false">ROUND(($U$2*MAX(0,MIN(1,($W$2-I409)/($W$2-$V$2)))+$U$3*MAX(0,MIN(1,($W$3-J409)/($W$3-$V$3)))+$U$4*MAX(0,MIN(1,($W$4-K409)/($W$4-$V$4)))+$U$5*MAX(0,MIN(1,($W$5-L409)/($W$5-$V$5)))+$U$6*MAX(0,MIN(1,($W$6-M409)/($W$6-$V$6)))+$U$7*MAX(0,MIN(1,($W$7-N409)/($W$7-$V$7)))+$U$8*IF(AND(O409&gt;=$V$8,O409&lt;=$W$8),1,0))/$U$9*100,2)</f>
        <v>91.59</v>
      </c>
      <c r="C409" s="27" t="s">
        <v>466</v>
      </c>
      <c r="D409" s="25" t="s">
        <v>134</v>
      </c>
      <c r="E409" s="25" t="s">
        <v>3447</v>
      </c>
      <c r="F409" s="25" t="s">
        <v>3457</v>
      </c>
      <c r="G409" s="38" t="s">
        <v>30</v>
      </c>
      <c r="H409" s="28" t="s">
        <v>25</v>
      </c>
      <c r="I409" s="25" t="n">
        <v>1</v>
      </c>
      <c r="J409" s="25" t="n">
        <v>0</v>
      </c>
      <c r="K409" s="25" t="n">
        <v>1</v>
      </c>
      <c r="L409" s="29" t="n">
        <v>0.87</v>
      </c>
      <c r="M409" s="30" t="n">
        <v>12.96</v>
      </c>
      <c r="N409" s="29" t="n">
        <v>0</v>
      </c>
      <c r="O409" s="25" t="n">
        <v>185</v>
      </c>
      <c r="P409" s="30" t="n">
        <v>-0.15</v>
      </c>
      <c r="Q409" s="27" t="s">
        <v>3476</v>
      </c>
      <c r="R409" s="27" t="s">
        <v>2133</v>
      </c>
    </row>
    <row r="410" customFormat="false" ht="15" hidden="false" customHeight="false" outlineLevel="0" collapsed="false">
      <c r="A410" s="25" t="n">
        <f aca="false">IF(G410="REJECT",COUNTIF($G$2:$G$2277,"&lt;&gt;REJECT")+1+COUNTIFS($G$2:$G$2277,"REJECT",$B$2:$B$2277,"&gt;"&amp;B410),1+COUNTIFS($G$2:$G$2277,"&lt;&gt;REJECT",$B$2:$B$2277,"&gt;"&amp;B410))</f>
        <v>409</v>
      </c>
      <c r="B410" s="26" t="n">
        <f aca="false">ROUND(($U$2*MAX(0,MIN(1,($W$2-I410)/($W$2-$V$2)))+$U$3*MAX(0,MIN(1,($W$3-J410)/($W$3-$V$3)))+$U$4*MAX(0,MIN(1,($W$4-K410)/($W$4-$V$4)))+$U$5*MAX(0,MIN(1,($W$5-L410)/($W$5-$V$5)))+$U$6*MAX(0,MIN(1,($W$6-M410)/($W$6-$V$6)))+$U$7*MAX(0,MIN(1,($W$7-N410)/($W$7-$V$7)))+$U$8*IF(AND(O410&gt;=$V$8,O410&lt;=$W$8),1,0))/$U$9*100,2)</f>
        <v>91.58</v>
      </c>
      <c r="C410" s="27" t="s">
        <v>1156</v>
      </c>
      <c r="D410" s="25" t="s">
        <v>134</v>
      </c>
      <c r="E410" s="25" t="s">
        <v>3447</v>
      </c>
      <c r="F410" s="25" t="s">
        <v>3457</v>
      </c>
      <c r="G410" s="28" t="s">
        <v>29</v>
      </c>
      <c r="H410" s="28" t="s">
        <v>25</v>
      </c>
      <c r="I410" s="25" t="n">
        <v>0</v>
      </c>
      <c r="J410" s="25" t="n">
        <v>0</v>
      </c>
      <c r="K410" s="25" t="n">
        <v>0</v>
      </c>
      <c r="L410" s="29" t="n">
        <v>0.71</v>
      </c>
      <c r="M410" s="30" t="n">
        <v>11.75</v>
      </c>
      <c r="N410" s="29" t="n">
        <v>0.64</v>
      </c>
      <c r="O410" s="25" t="n">
        <v>186</v>
      </c>
      <c r="P410" s="30" t="n">
        <v>-1.11</v>
      </c>
      <c r="Q410" s="27"/>
      <c r="R410" s="27" t="s">
        <v>64</v>
      </c>
    </row>
    <row r="411" customFormat="false" ht="15" hidden="false" customHeight="false" outlineLevel="0" collapsed="false">
      <c r="A411" s="25" t="n">
        <f aca="false">IF(G411="REJECT",COUNTIF($G$2:$G$2277,"&lt;&gt;REJECT")+1+COUNTIFS($G$2:$G$2277,"REJECT",$B$2:$B$2277,"&gt;"&amp;B411),1+COUNTIFS($G$2:$G$2277,"&lt;&gt;REJECT",$B$2:$B$2277,"&gt;"&amp;B411))</f>
        <v>410</v>
      </c>
      <c r="B411" s="26" t="n">
        <f aca="false">ROUND(($U$2*MAX(0,MIN(1,($W$2-I411)/($W$2-$V$2)))+$U$3*MAX(0,MIN(1,($W$3-J411)/($W$3-$V$3)))+$U$4*MAX(0,MIN(1,($W$4-K411)/($W$4-$V$4)))+$U$5*MAX(0,MIN(1,($W$5-L411)/($W$5-$V$5)))+$U$6*MAX(0,MIN(1,($W$6-M411)/($W$6-$V$6)))+$U$7*MAX(0,MIN(1,($W$7-N411)/($W$7-$V$7)))+$U$8*IF(AND(O411&gt;=$V$8,O411&lt;=$W$8),1,0))/$U$9*100,2)</f>
        <v>91.53</v>
      </c>
      <c r="C411" s="27" t="s">
        <v>3057</v>
      </c>
      <c r="D411" s="25" t="s">
        <v>3459</v>
      </c>
      <c r="E411" s="25" t="s">
        <v>3450</v>
      </c>
      <c r="F411" s="25" t="s">
        <v>3457</v>
      </c>
      <c r="G411" s="28" t="s">
        <v>29</v>
      </c>
      <c r="H411" s="28" t="s">
        <v>25</v>
      </c>
      <c r="I411" s="25" t="n">
        <v>0</v>
      </c>
      <c r="J411" s="25" t="n">
        <v>0</v>
      </c>
      <c r="K411" s="25" t="n">
        <v>0</v>
      </c>
      <c r="L411" s="29" t="n">
        <v>0.74</v>
      </c>
      <c r="M411" s="30" t="n">
        <v>20.81</v>
      </c>
      <c r="N411" s="29" t="n">
        <v>0.84</v>
      </c>
      <c r="O411" s="25" t="n">
        <v>184</v>
      </c>
      <c r="P411" s="30" t="n">
        <v>-0.43</v>
      </c>
      <c r="Q411" s="27"/>
      <c r="R411" s="27" t="s">
        <v>3113</v>
      </c>
    </row>
    <row r="412" customFormat="false" ht="15" hidden="false" customHeight="false" outlineLevel="0" collapsed="false">
      <c r="A412" s="25" t="n">
        <f aca="false">IF(G412="REJECT",COUNTIF($G$2:$G$2277,"&lt;&gt;REJECT")+1+COUNTIFS($G$2:$G$2277,"REJECT",$B$2:$B$2277,"&gt;"&amp;B412),1+COUNTIFS($G$2:$G$2277,"&lt;&gt;REJECT",$B$2:$B$2277,"&gt;"&amp;B412))</f>
        <v>411</v>
      </c>
      <c r="B412" s="26" t="n">
        <f aca="false">ROUND(($U$2*MAX(0,MIN(1,($W$2-I412)/($W$2-$V$2)))+$U$3*MAX(0,MIN(1,($W$3-J412)/($W$3-$V$3)))+$U$4*MAX(0,MIN(1,($W$4-K412)/($W$4-$V$4)))+$U$5*MAX(0,MIN(1,($W$5-L412)/($W$5-$V$5)))+$U$6*MAX(0,MIN(1,($W$6-M412)/($W$6-$V$6)))+$U$7*MAX(0,MIN(1,($W$7-N412)/($W$7-$V$7)))+$U$8*IF(AND(O412&gt;=$V$8,O412&lt;=$W$8),1,0))/$U$9*100,2)</f>
        <v>91.52</v>
      </c>
      <c r="C412" s="27" t="s">
        <v>1465</v>
      </c>
      <c r="D412" s="25" t="s">
        <v>134</v>
      </c>
      <c r="E412" s="25" t="s">
        <v>3447</v>
      </c>
      <c r="F412" s="25" t="s">
        <v>3448</v>
      </c>
      <c r="G412" s="38" t="s">
        <v>30</v>
      </c>
      <c r="H412" s="33" t="s">
        <v>24</v>
      </c>
      <c r="I412" s="25" t="n">
        <v>1</v>
      </c>
      <c r="J412" s="25" t="n">
        <v>0</v>
      </c>
      <c r="K412" s="25" t="n">
        <v>1</v>
      </c>
      <c r="L412" s="29" t="n">
        <v>0.83</v>
      </c>
      <c r="M412" s="30" t="n">
        <v>9.4</v>
      </c>
      <c r="N412" s="29" t="n">
        <v>0.4</v>
      </c>
      <c r="O412" s="25" t="n">
        <v>216</v>
      </c>
      <c r="P412" s="30" t="n">
        <v>-0.68</v>
      </c>
      <c r="Q412" s="27" t="s">
        <v>3480</v>
      </c>
      <c r="R412" s="27" t="s">
        <v>30</v>
      </c>
    </row>
    <row r="413" customFormat="false" ht="15" hidden="false" customHeight="false" outlineLevel="0" collapsed="false">
      <c r="A413" s="25" t="n">
        <f aca="false">IF(G413="REJECT",COUNTIF($G$2:$G$2277,"&lt;&gt;REJECT")+1+COUNTIFS($G$2:$G$2277,"REJECT",$B$2:$B$2277,"&gt;"&amp;B413),1+COUNTIFS($G$2:$G$2277,"&lt;&gt;REJECT",$B$2:$B$2277,"&gt;"&amp;B413))</f>
        <v>412</v>
      </c>
      <c r="B413" s="26" t="n">
        <f aca="false">ROUND(($U$2*MAX(0,MIN(1,($W$2-I413)/($W$2-$V$2)))+$U$3*MAX(0,MIN(1,($W$3-J413)/($W$3-$V$3)))+$U$4*MAX(0,MIN(1,($W$4-K413)/($W$4-$V$4)))+$U$5*MAX(0,MIN(1,($W$5-L413)/($W$5-$V$5)))+$U$6*MAX(0,MIN(1,($W$6-M413)/($W$6-$V$6)))+$U$7*MAX(0,MIN(1,($W$7-N413)/($W$7-$V$7)))+$U$8*IF(AND(O413&gt;=$V$8,O413&lt;=$W$8),1,0))/$U$9*100,2)</f>
        <v>91.51</v>
      </c>
      <c r="C413" s="27" t="s">
        <v>2061</v>
      </c>
      <c r="D413" s="25" t="s">
        <v>3459</v>
      </c>
      <c r="E413" s="25" t="s">
        <v>3447</v>
      </c>
      <c r="F413" s="25" t="s">
        <v>3457</v>
      </c>
      <c r="G413" s="28" t="s">
        <v>29</v>
      </c>
      <c r="H413" s="28" t="s">
        <v>25</v>
      </c>
      <c r="I413" s="25" t="n">
        <v>0</v>
      </c>
      <c r="J413" s="25" t="n">
        <v>0</v>
      </c>
      <c r="K413" s="25" t="n">
        <v>0</v>
      </c>
      <c r="L413" s="29" t="n">
        <v>0.71</v>
      </c>
      <c r="M413" s="30" t="n">
        <v>13.34</v>
      </c>
      <c r="N413" s="29" t="n">
        <v>0.52</v>
      </c>
      <c r="O413" s="25" t="n">
        <v>186</v>
      </c>
      <c r="P413" s="30" t="n">
        <v>5.11</v>
      </c>
      <c r="Q413" s="27"/>
      <c r="R413" s="27" t="s">
        <v>63</v>
      </c>
    </row>
    <row r="414" customFormat="false" ht="15" hidden="false" customHeight="false" outlineLevel="0" collapsed="false">
      <c r="A414" s="25" t="n">
        <f aca="false">IF(G414="REJECT",COUNTIF($G$2:$G$2277,"&lt;&gt;REJECT")+1+COUNTIFS($G$2:$G$2277,"REJECT",$B$2:$B$2277,"&gt;"&amp;B414),1+COUNTIFS($G$2:$G$2277,"&lt;&gt;REJECT",$B$2:$B$2277,"&gt;"&amp;B414))</f>
        <v>413</v>
      </c>
      <c r="B414" s="26" t="n">
        <f aca="false">ROUND(($U$2*MAX(0,MIN(1,($W$2-I414)/($W$2-$V$2)))+$U$3*MAX(0,MIN(1,($W$3-J414)/($W$3-$V$3)))+$U$4*MAX(0,MIN(1,($W$4-K414)/($W$4-$V$4)))+$U$5*MAX(0,MIN(1,($W$5-L414)/($W$5-$V$5)))+$U$6*MAX(0,MIN(1,($W$6-M414)/($W$6-$V$6)))+$U$7*MAX(0,MIN(1,($W$7-N414)/($W$7-$V$7)))+$U$8*IF(AND(O414&gt;=$V$8,O414&lt;=$W$8),1,0))/$U$9*100,2)</f>
        <v>91.49</v>
      </c>
      <c r="C414" s="27" t="s">
        <v>1016</v>
      </c>
      <c r="D414" s="25" t="s">
        <v>134</v>
      </c>
      <c r="E414" s="25" t="s">
        <v>3450</v>
      </c>
      <c r="F414" s="25" t="s">
        <v>3448</v>
      </c>
      <c r="G414" s="33" t="s">
        <v>28</v>
      </c>
      <c r="H414" s="33" t="s">
        <v>24</v>
      </c>
      <c r="I414" s="25" t="n">
        <v>0</v>
      </c>
      <c r="J414" s="25" t="n">
        <v>0</v>
      </c>
      <c r="K414" s="25" t="n">
        <v>0</v>
      </c>
      <c r="L414" s="29" t="n">
        <v>0.71</v>
      </c>
      <c r="M414" s="30" t="n">
        <v>15.49</v>
      </c>
      <c r="N414" s="29" t="n">
        <v>0.32</v>
      </c>
      <c r="O414" s="25" t="n">
        <v>189</v>
      </c>
      <c r="P414" s="30" t="n">
        <v>9.07</v>
      </c>
      <c r="Q414" s="27"/>
      <c r="R414" s="27"/>
    </row>
    <row r="415" customFormat="false" ht="15" hidden="false" customHeight="false" outlineLevel="0" collapsed="false">
      <c r="A415" s="25" t="n">
        <f aca="false">IF(G415="REJECT",COUNTIF($G$2:$G$2277,"&lt;&gt;REJECT")+1+COUNTIFS($G$2:$G$2277,"REJECT",$B$2:$B$2277,"&gt;"&amp;B415),1+COUNTIFS($G$2:$G$2277,"&lt;&gt;REJECT",$B$2:$B$2277,"&gt;"&amp;B415))</f>
        <v>414</v>
      </c>
      <c r="B415" s="26" t="n">
        <f aca="false">ROUND(($U$2*MAX(0,MIN(1,($W$2-I415)/($W$2-$V$2)))+$U$3*MAX(0,MIN(1,($W$3-J415)/($W$3-$V$3)))+$U$4*MAX(0,MIN(1,($W$4-K415)/($W$4-$V$4)))+$U$5*MAX(0,MIN(1,($W$5-L415)/($W$5-$V$5)))+$U$6*MAX(0,MIN(1,($W$6-M415)/($W$6-$V$6)))+$U$7*MAX(0,MIN(1,($W$7-N415)/($W$7-$V$7)))+$U$8*IF(AND(O415&gt;=$V$8,O415&lt;=$W$8),1,0))/$U$9*100,2)</f>
        <v>91.47</v>
      </c>
      <c r="C415" s="27" t="s">
        <v>1253</v>
      </c>
      <c r="D415" s="25" t="s">
        <v>134</v>
      </c>
      <c r="E415" s="25" t="s">
        <v>3447</v>
      </c>
      <c r="F415" s="25" t="s">
        <v>3448</v>
      </c>
      <c r="G415" s="38" t="s">
        <v>30</v>
      </c>
      <c r="H415" s="33" t="s">
        <v>24</v>
      </c>
      <c r="I415" s="25" t="n">
        <v>1</v>
      </c>
      <c r="J415" s="25" t="n">
        <v>0</v>
      </c>
      <c r="K415" s="25" t="n">
        <v>1</v>
      </c>
      <c r="L415" s="29" t="n">
        <v>0.85</v>
      </c>
      <c r="M415" s="30" t="n">
        <v>13.71</v>
      </c>
      <c r="N415" s="29" t="n">
        <v>0</v>
      </c>
      <c r="O415" s="25" t="n">
        <v>187</v>
      </c>
      <c r="P415" s="30" t="n">
        <v>-1.25</v>
      </c>
      <c r="Q415" s="27" t="s">
        <v>3474</v>
      </c>
      <c r="R415" s="27" t="s">
        <v>30</v>
      </c>
    </row>
    <row r="416" customFormat="false" ht="15" hidden="false" customHeight="false" outlineLevel="0" collapsed="false">
      <c r="A416" s="25" t="n">
        <f aca="false">IF(G416="REJECT",COUNTIF($G$2:$G$2277,"&lt;&gt;REJECT")+1+COUNTIFS($G$2:$G$2277,"REJECT",$B$2:$B$2277,"&gt;"&amp;B416),1+COUNTIFS($G$2:$G$2277,"&lt;&gt;REJECT",$B$2:$B$2277,"&gt;"&amp;B416))</f>
        <v>415</v>
      </c>
      <c r="B416" s="26" t="n">
        <f aca="false">ROUND(($U$2*MAX(0,MIN(1,($W$2-I416)/($W$2-$V$2)))+$U$3*MAX(0,MIN(1,($W$3-J416)/($W$3-$V$3)))+$U$4*MAX(0,MIN(1,($W$4-K416)/($W$4-$V$4)))+$U$5*MAX(0,MIN(1,($W$5-L416)/($W$5-$V$5)))+$U$6*MAX(0,MIN(1,($W$6-M416)/($W$6-$V$6)))+$U$7*MAX(0,MIN(1,($W$7-N416)/($W$7-$V$7)))+$U$8*IF(AND(O416&gt;=$V$8,O416&lt;=$W$8),1,0))/$U$9*100,2)</f>
        <v>91.4</v>
      </c>
      <c r="C416" s="27" t="s">
        <v>1197</v>
      </c>
      <c r="D416" s="25" t="s">
        <v>3459</v>
      </c>
      <c r="E416" s="25" t="s">
        <v>3450</v>
      </c>
      <c r="F416" s="25" t="s">
        <v>3457</v>
      </c>
      <c r="G416" s="28" t="s">
        <v>29</v>
      </c>
      <c r="H416" s="28" t="s">
        <v>25</v>
      </c>
      <c r="I416" s="25" t="n">
        <v>0</v>
      </c>
      <c r="J416" s="25" t="n">
        <v>0</v>
      </c>
      <c r="K416" s="25" t="n">
        <v>0</v>
      </c>
      <c r="L416" s="29" t="n">
        <v>0.72</v>
      </c>
      <c r="M416" s="30" t="n">
        <v>17.63</v>
      </c>
      <c r="N416" s="29" t="n">
        <v>0.52</v>
      </c>
      <c r="O416" s="25" t="n">
        <v>182</v>
      </c>
      <c r="P416" s="30" t="n">
        <v>1.33</v>
      </c>
      <c r="Q416" s="27"/>
      <c r="R416" s="27" t="s">
        <v>62</v>
      </c>
    </row>
    <row r="417" customFormat="false" ht="15" hidden="false" customHeight="false" outlineLevel="0" collapsed="false">
      <c r="A417" s="25" t="n">
        <f aca="false">IF(G417="REJECT",COUNTIF($G$2:$G$2277,"&lt;&gt;REJECT")+1+COUNTIFS($G$2:$G$2277,"REJECT",$B$2:$B$2277,"&gt;"&amp;B417),1+COUNTIFS($G$2:$G$2277,"&lt;&gt;REJECT",$B$2:$B$2277,"&gt;"&amp;B417))</f>
        <v>415</v>
      </c>
      <c r="B417" s="26" t="n">
        <f aca="false">ROUND(($U$2*MAX(0,MIN(1,($W$2-I417)/($W$2-$V$2)))+$U$3*MAX(0,MIN(1,($W$3-J417)/($W$3-$V$3)))+$U$4*MAX(0,MIN(1,($W$4-K417)/($W$4-$V$4)))+$U$5*MAX(0,MIN(1,($W$5-L417)/($W$5-$V$5)))+$U$6*MAX(0,MIN(1,($W$6-M417)/($W$6-$V$6)))+$U$7*MAX(0,MIN(1,($W$7-N417)/($W$7-$V$7)))+$U$8*IF(AND(O417&gt;=$V$8,O417&lt;=$W$8),1,0))/$U$9*100,2)</f>
        <v>91.4</v>
      </c>
      <c r="C417" s="27" t="s">
        <v>2096</v>
      </c>
      <c r="D417" s="25" t="s">
        <v>134</v>
      </c>
      <c r="E417" s="25" t="s">
        <v>3450</v>
      </c>
      <c r="F417" s="25" t="s">
        <v>3448</v>
      </c>
      <c r="G417" s="28" t="s">
        <v>29</v>
      </c>
      <c r="H417" s="28" t="s">
        <v>25</v>
      </c>
      <c r="I417" s="25" t="n">
        <v>0</v>
      </c>
      <c r="J417" s="25" t="n">
        <v>0</v>
      </c>
      <c r="K417" s="25" t="n">
        <v>0</v>
      </c>
      <c r="L417" s="29" t="n">
        <v>0.74</v>
      </c>
      <c r="M417" s="30" t="n">
        <v>31.88</v>
      </c>
      <c r="N417" s="29" t="n">
        <v>0</v>
      </c>
      <c r="O417" s="25" t="n">
        <v>185</v>
      </c>
      <c r="P417" s="30" t="n">
        <v>10.92</v>
      </c>
      <c r="Q417" s="27"/>
      <c r="R417" s="27" t="s">
        <v>66</v>
      </c>
    </row>
    <row r="418" customFormat="false" ht="15" hidden="false" customHeight="false" outlineLevel="0" collapsed="false">
      <c r="A418" s="25" t="n">
        <f aca="false">IF(G418="REJECT",COUNTIF($G$2:$G$2277,"&lt;&gt;REJECT")+1+COUNTIFS($G$2:$G$2277,"REJECT",$B$2:$B$2277,"&gt;"&amp;B418),1+COUNTIFS($G$2:$G$2277,"&lt;&gt;REJECT",$B$2:$B$2277,"&gt;"&amp;B418))</f>
        <v>417</v>
      </c>
      <c r="B418" s="26" t="n">
        <f aca="false">ROUND(($U$2*MAX(0,MIN(1,($W$2-I418)/($W$2-$V$2)))+$U$3*MAX(0,MIN(1,($W$3-J418)/($W$3-$V$3)))+$U$4*MAX(0,MIN(1,($W$4-K418)/($W$4-$V$4)))+$U$5*MAX(0,MIN(1,($W$5-L418)/($W$5-$V$5)))+$U$6*MAX(0,MIN(1,($W$6-M418)/($W$6-$V$6)))+$U$7*MAX(0,MIN(1,($W$7-N418)/($W$7-$V$7)))+$U$8*IF(AND(O418&gt;=$V$8,O418&lt;=$W$8),1,0))/$U$9*100,2)</f>
        <v>91.39</v>
      </c>
      <c r="C418" s="27" t="s">
        <v>656</v>
      </c>
      <c r="D418" s="25" t="s">
        <v>134</v>
      </c>
      <c r="E418" s="25" t="s">
        <v>3447</v>
      </c>
      <c r="F418" s="25" t="s">
        <v>3448</v>
      </c>
      <c r="G418" s="38" t="s">
        <v>30</v>
      </c>
      <c r="H418" s="28" t="s">
        <v>25</v>
      </c>
      <c r="I418" s="25" t="n">
        <v>1</v>
      </c>
      <c r="J418" s="25" t="n">
        <v>0</v>
      </c>
      <c r="K418" s="25" t="n">
        <v>1</v>
      </c>
      <c r="L418" s="29" t="n">
        <v>0.83</v>
      </c>
      <c r="M418" s="30" t="n">
        <v>4.99</v>
      </c>
      <c r="N418" s="29" t="n">
        <v>0.92</v>
      </c>
      <c r="O418" s="25" t="n">
        <v>190</v>
      </c>
      <c r="P418" s="30" t="n">
        <v>-1.08</v>
      </c>
      <c r="Q418" s="27" t="s">
        <v>3481</v>
      </c>
      <c r="R418" s="27" t="s">
        <v>2610</v>
      </c>
    </row>
    <row r="419" customFormat="false" ht="15" hidden="false" customHeight="false" outlineLevel="0" collapsed="false">
      <c r="A419" s="25" t="n">
        <f aca="false">IF(G419="REJECT",COUNTIF($G$2:$G$2277,"&lt;&gt;REJECT")+1+COUNTIFS($G$2:$G$2277,"REJECT",$B$2:$B$2277,"&gt;"&amp;B419),1+COUNTIFS($G$2:$G$2277,"&lt;&gt;REJECT",$B$2:$B$2277,"&gt;"&amp;B419))</f>
        <v>418</v>
      </c>
      <c r="B419" s="26" t="n">
        <f aca="false">ROUND(($U$2*MAX(0,MIN(1,($W$2-I419)/($W$2-$V$2)))+$U$3*MAX(0,MIN(1,($W$3-J419)/($W$3-$V$3)))+$U$4*MAX(0,MIN(1,($W$4-K419)/($W$4-$V$4)))+$U$5*MAX(0,MIN(1,($W$5-L419)/($W$5-$V$5)))+$U$6*MAX(0,MIN(1,($W$6-M419)/($W$6-$V$6)))+$U$7*MAX(0,MIN(1,($W$7-N419)/($W$7-$V$7)))+$U$8*IF(AND(O419&gt;=$V$8,O419&lt;=$W$8),1,0))/$U$9*100,2)</f>
        <v>91.36</v>
      </c>
      <c r="C419" s="27" t="s">
        <v>2932</v>
      </c>
      <c r="D419" s="25" t="s">
        <v>3459</v>
      </c>
      <c r="E419" s="25" t="s">
        <v>3447</v>
      </c>
      <c r="F419" s="25" t="s">
        <v>3448</v>
      </c>
      <c r="G419" s="28" t="s">
        <v>29</v>
      </c>
      <c r="H419" s="28" t="s">
        <v>25</v>
      </c>
      <c r="I419" s="25" t="n">
        <v>0</v>
      </c>
      <c r="J419" s="25" t="n">
        <v>0</v>
      </c>
      <c r="K419" s="25" t="n">
        <v>0</v>
      </c>
      <c r="L419" s="29" t="n">
        <v>0.72</v>
      </c>
      <c r="M419" s="30" t="n">
        <v>16.25</v>
      </c>
      <c r="N419" s="29" t="n">
        <v>0.68</v>
      </c>
      <c r="O419" s="25" t="n">
        <v>184</v>
      </c>
      <c r="P419" s="30" t="n">
        <v>-1.39</v>
      </c>
      <c r="Q419" s="27"/>
      <c r="R419" s="27" t="s">
        <v>64</v>
      </c>
    </row>
    <row r="420" customFormat="false" ht="15" hidden="false" customHeight="false" outlineLevel="0" collapsed="false">
      <c r="A420" s="25" t="n">
        <f aca="false">IF(G420="REJECT",COUNTIF($G$2:$G$2277,"&lt;&gt;REJECT")+1+COUNTIFS($G$2:$G$2277,"REJECT",$B$2:$B$2277,"&gt;"&amp;B420),1+COUNTIFS($G$2:$G$2277,"&lt;&gt;REJECT",$B$2:$B$2277,"&gt;"&amp;B420))</f>
        <v>419</v>
      </c>
      <c r="B420" s="26" t="n">
        <f aca="false">ROUND(($U$2*MAX(0,MIN(1,($W$2-I420)/($W$2-$V$2)))+$U$3*MAX(0,MIN(1,($W$3-J420)/($W$3-$V$3)))+$U$4*MAX(0,MIN(1,($W$4-K420)/($W$4-$V$4)))+$U$5*MAX(0,MIN(1,($W$5-L420)/($W$5-$V$5)))+$U$6*MAX(0,MIN(1,($W$6-M420)/($W$6-$V$6)))+$U$7*MAX(0,MIN(1,($W$7-N420)/($W$7-$V$7)))+$U$8*IF(AND(O420&gt;=$V$8,O420&lt;=$W$8),1,0))/$U$9*100,2)</f>
        <v>91.32</v>
      </c>
      <c r="C420" s="27" t="s">
        <v>1253</v>
      </c>
      <c r="D420" s="25" t="s">
        <v>3459</v>
      </c>
      <c r="E420" s="25" t="s">
        <v>3450</v>
      </c>
      <c r="F420" s="25" t="s">
        <v>3448</v>
      </c>
      <c r="G420" s="33" t="s">
        <v>28</v>
      </c>
      <c r="H420" s="33" t="s">
        <v>24</v>
      </c>
      <c r="I420" s="25" t="n">
        <v>0</v>
      </c>
      <c r="J420" s="25" t="n">
        <v>0</v>
      </c>
      <c r="K420" s="25" t="n">
        <v>0</v>
      </c>
      <c r="L420" s="29" t="n">
        <v>0.69</v>
      </c>
      <c r="M420" s="30" t="n">
        <v>12.51</v>
      </c>
      <c r="N420" s="29" t="n">
        <v>0</v>
      </c>
      <c r="O420" s="25" t="n">
        <v>185</v>
      </c>
      <c r="P420" s="30" t="n">
        <v>4.13</v>
      </c>
      <c r="Q420" s="27"/>
      <c r="R420" s="27"/>
    </row>
    <row r="421" customFormat="false" ht="15" hidden="false" customHeight="false" outlineLevel="0" collapsed="false">
      <c r="A421" s="25" t="n">
        <f aca="false">IF(G421="REJECT",COUNTIF($G$2:$G$2277,"&lt;&gt;REJECT")+1+COUNTIFS($G$2:$G$2277,"REJECT",$B$2:$B$2277,"&gt;"&amp;B421),1+COUNTIFS($G$2:$G$2277,"&lt;&gt;REJECT",$B$2:$B$2277,"&gt;"&amp;B421))</f>
        <v>419</v>
      </c>
      <c r="B421" s="26" t="n">
        <f aca="false">ROUND(($U$2*MAX(0,MIN(1,($W$2-I421)/($W$2-$V$2)))+$U$3*MAX(0,MIN(1,($W$3-J421)/($W$3-$V$3)))+$U$4*MAX(0,MIN(1,($W$4-K421)/($W$4-$V$4)))+$U$5*MAX(0,MIN(1,($W$5-L421)/($W$5-$V$5)))+$U$6*MAX(0,MIN(1,($W$6-M421)/($W$6-$V$6)))+$U$7*MAX(0,MIN(1,($W$7-N421)/($W$7-$V$7)))+$U$8*IF(AND(O421&gt;=$V$8,O421&lt;=$W$8),1,0))/$U$9*100,2)</f>
        <v>91.32</v>
      </c>
      <c r="C421" s="27" t="s">
        <v>1259</v>
      </c>
      <c r="D421" s="25" t="s">
        <v>134</v>
      </c>
      <c r="E421" s="25" t="s">
        <v>3450</v>
      </c>
      <c r="F421" s="25" t="s">
        <v>3457</v>
      </c>
      <c r="G421" s="28" t="s">
        <v>29</v>
      </c>
      <c r="H421" s="28" t="s">
        <v>25</v>
      </c>
      <c r="I421" s="25" t="n">
        <v>0</v>
      </c>
      <c r="J421" s="25" t="n">
        <v>0</v>
      </c>
      <c r="K421" s="25" t="n">
        <v>0</v>
      </c>
      <c r="L421" s="29" t="n">
        <v>0.7</v>
      </c>
      <c r="M421" s="30" t="n">
        <v>8.91</v>
      </c>
      <c r="N421" s="29" t="n">
        <v>0.72</v>
      </c>
      <c r="O421" s="25" t="n">
        <v>184</v>
      </c>
      <c r="P421" s="30" t="n">
        <v>-0.9</v>
      </c>
      <c r="Q421" s="27"/>
      <c r="R421" s="27" t="s">
        <v>62</v>
      </c>
    </row>
    <row r="422" customFormat="false" ht="15" hidden="false" customHeight="false" outlineLevel="0" collapsed="false">
      <c r="A422" s="25" t="n">
        <f aca="false">IF(G422="REJECT",COUNTIF($G$2:$G$2277,"&lt;&gt;REJECT")+1+COUNTIFS($G$2:$G$2277,"REJECT",$B$2:$B$2277,"&gt;"&amp;B422),1+COUNTIFS($G$2:$G$2277,"&lt;&gt;REJECT",$B$2:$B$2277,"&gt;"&amp;B422))</f>
        <v>421</v>
      </c>
      <c r="B422" s="26" t="n">
        <f aca="false">ROUND(($U$2*MAX(0,MIN(1,($W$2-I422)/($W$2-$V$2)))+$U$3*MAX(0,MIN(1,($W$3-J422)/($W$3-$V$3)))+$U$4*MAX(0,MIN(1,($W$4-K422)/($W$4-$V$4)))+$U$5*MAX(0,MIN(1,($W$5-L422)/($W$5-$V$5)))+$U$6*MAX(0,MIN(1,($W$6-M422)/($W$6-$V$6)))+$U$7*MAX(0,MIN(1,($W$7-N422)/($W$7-$V$7)))+$U$8*IF(AND(O422&gt;=$V$8,O422&lt;=$W$8),1,0))/$U$9*100,2)</f>
        <v>91.31</v>
      </c>
      <c r="C422" s="27" t="s">
        <v>669</v>
      </c>
      <c r="D422" s="25" t="s">
        <v>3459</v>
      </c>
      <c r="E422" s="25" t="s">
        <v>3450</v>
      </c>
      <c r="F422" s="25" t="s">
        <v>3448</v>
      </c>
      <c r="G422" s="28" t="s">
        <v>29</v>
      </c>
      <c r="H422" s="28" t="s">
        <v>25</v>
      </c>
      <c r="I422" s="25" t="n">
        <v>0</v>
      </c>
      <c r="J422" s="25" t="n">
        <v>0</v>
      </c>
      <c r="K422" s="25" t="n">
        <v>0</v>
      </c>
      <c r="L422" s="29" t="n">
        <v>0.69</v>
      </c>
      <c r="M422" s="30" t="n">
        <v>8.15</v>
      </c>
      <c r="N422" s="29" t="n">
        <v>0.44</v>
      </c>
      <c r="O422" s="25" t="n">
        <v>183</v>
      </c>
      <c r="P422" s="30" t="n">
        <v>16.78</v>
      </c>
      <c r="Q422" s="27"/>
      <c r="R422" s="27" t="s">
        <v>63</v>
      </c>
    </row>
    <row r="423" customFormat="false" ht="15" hidden="false" customHeight="false" outlineLevel="0" collapsed="false">
      <c r="A423" s="25" t="n">
        <f aca="false">IF(G423="REJECT",COUNTIF($G$2:$G$2277,"&lt;&gt;REJECT")+1+COUNTIFS($G$2:$G$2277,"REJECT",$B$2:$B$2277,"&gt;"&amp;B423),1+COUNTIFS($G$2:$G$2277,"&lt;&gt;REJECT",$B$2:$B$2277,"&gt;"&amp;B423))</f>
        <v>421</v>
      </c>
      <c r="B423" s="26" t="n">
        <f aca="false">ROUND(($U$2*MAX(0,MIN(1,($W$2-I423)/($W$2-$V$2)))+$U$3*MAX(0,MIN(1,($W$3-J423)/($W$3-$V$3)))+$U$4*MAX(0,MIN(1,($W$4-K423)/($W$4-$V$4)))+$U$5*MAX(0,MIN(1,($W$5-L423)/($W$5-$V$5)))+$U$6*MAX(0,MIN(1,($W$6-M423)/($W$6-$V$6)))+$U$7*MAX(0,MIN(1,($W$7-N423)/($W$7-$V$7)))+$U$8*IF(AND(O423&gt;=$V$8,O423&lt;=$W$8),1,0))/$U$9*100,2)</f>
        <v>91.31</v>
      </c>
      <c r="C423" s="27" t="s">
        <v>2130</v>
      </c>
      <c r="D423" s="25" t="s">
        <v>134</v>
      </c>
      <c r="E423" s="25" t="s">
        <v>3450</v>
      </c>
      <c r="F423" s="25" t="s">
        <v>3457</v>
      </c>
      <c r="G423" s="28" t="s">
        <v>29</v>
      </c>
      <c r="H423" s="28" t="s">
        <v>25</v>
      </c>
      <c r="I423" s="25" t="n">
        <v>0</v>
      </c>
      <c r="J423" s="25" t="n">
        <v>0</v>
      </c>
      <c r="K423" s="25" t="n">
        <v>0</v>
      </c>
      <c r="L423" s="29" t="n">
        <v>0.73</v>
      </c>
      <c r="M423" s="30" t="n">
        <v>18.16</v>
      </c>
      <c r="N423" s="29" t="n">
        <v>0.88</v>
      </c>
      <c r="O423" s="25" t="n">
        <v>189</v>
      </c>
      <c r="P423" s="30" t="n">
        <v>4.32</v>
      </c>
      <c r="Q423" s="27"/>
      <c r="R423" s="27" t="s">
        <v>63</v>
      </c>
    </row>
    <row r="424" customFormat="false" ht="15" hidden="false" customHeight="false" outlineLevel="0" collapsed="false">
      <c r="A424" s="25" t="n">
        <f aca="false">IF(G424="REJECT",COUNTIF($G$2:$G$2277,"&lt;&gt;REJECT")+1+COUNTIFS($G$2:$G$2277,"REJECT",$B$2:$B$2277,"&gt;"&amp;B424),1+COUNTIFS($G$2:$G$2277,"&lt;&gt;REJECT",$B$2:$B$2277,"&gt;"&amp;B424))</f>
        <v>423</v>
      </c>
      <c r="B424" s="26" t="n">
        <f aca="false">ROUND(($U$2*MAX(0,MIN(1,($W$2-I424)/($W$2-$V$2)))+$U$3*MAX(0,MIN(1,($W$3-J424)/($W$3-$V$3)))+$U$4*MAX(0,MIN(1,($W$4-K424)/($W$4-$V$4)))+$U$5*MAX(0,MIN(1,($W$5-L424)/($W$5-$V$5)))+$U$6*MAX(0,MIN(1,($W$6-M424)/($W$6-$V$6)))+$U$7*MAX(0,MIN(1,($W$7-N424)/($W$7-$V$7)))+$U$8*IF(AND(O424&gt;=$V$8,O424&lt;=$W$8),1,0))/$U$9*100,2)</f>
        <v>91.3</v>
      </c>
      <c r="C424" s="27" t="s">
        <v>2308</v>
      </c>
      <c r="D424" s="25" t="s">
        <v>134</v>
      </c>
      <c r="E424" s="25" t="s">
        <v>3450</v>
      </c>
      <c r="F424" s="25" t="s">
        <v>3457</v>
      </c>
      <c r="G424" s="28" t="s">
        <v>29</v>
      </c>
      <c r="H424" s="28" t="s">
        <v>25</v>
      </c>
      <c r="I424" s="25" t="n">
        <v>0</v>
      </c>
      <c r="J424" s="25" t="n">
        <v>0</v>
      </c>
      <c r="K424" s="25" t="n">
        <v>0</v>
      </c>
      <c r="L424" s="29" t="n">
        <v>0.73</v>
      </c>
      <c r="M424" s="30" t="n">
        <v>19.79</v>
      </c>
      <c r="N424" s="29" t="n">
        <v>0.72</v>
      </c>
      <c r="O424" s="25" t="n">
        <v>183</v>
      </c>
      <c r="P424" s="30" t="n">
        <v>1.21</v>
      </c>
      <c r="Q424" s="27"/>
      <c r="R424" s="27" t="s">
        <v>62</v>
      </c>
    </row>
    <row r="425" customFormat="false" ht="15" hidden="false" customHeight="false" outlineLevel="0" collapsed="false">
      <c r="A425" s="25" t="n">
        <f aca="false">IF(G425="REJECT",COUNTIF($G$2:$G$2277,"&lt;&gt;REJECT")+1+COUNTIFS($G$2:$G$2277,"REJECT",$B$2:$B$2277,"&gt;"&amp;B425),1+COUNTIFS($G$2:$G$2277,"&lt;&gt;REJECT",$B$2:$B$2277,"&gt;"&amp;B425))</f>
        <v>424</v>
      </c>
      <c r="B425" s="26" t="n">
        <f aca="false">ROUND(($U$2*MAX(0,MIN(1,($W$2-I425)/($W$2-$V$2)))+$U$3*MAX(0,MIN(1,($W$3-J425)/($W$3-$V$3)))+$U$4*MAX(0,MIN(1,($W$4-K425)/($W$4-$V$4)))+$U$5*MAX(0,MIN(1,($W$5-L425)/($W$5-$V$5)))+$U$6*MAX(0,MIN(1,($W$6-M425)/($W$6-$V$6)))+$U$7*MAX(0,MIN(1,($W$7-N425)/($W$7-$V$7)))+$U$8*IF(AND(O425&gt;=$V$8,O425&lt;=$W$8),1,0))/$U$9*100,2)</f>
        <v>91.28</v>
      </c>
      <c r="C425" s="27" t="s">
        <v>1465</v>
      </c>
      <c r="D425" s="25" t="s">
        <v>134</v>
      </c>
      <c r="E425" s="25" t="s">
        <v>3450</v>
      </c>
      <c r="F425" s="25" t="s">
        <v>3448</v>
      </c>
      <c r="G425" s="28" t="s">
        <v>29</v>
      </c>
      <c r="H425" s="28" t="s">
        <v>25</v>
      </c>
      <c r="I425" s="25" t="n">
        <v>0</v>
      </c>
      <c r="J425" s="25" t="n">
        <v>0</v>
      </c>
      <c r="K425" s="25" t="n">
        <v>0</v>
      </c>
      <c r="L425" s="29" t="n">
        <v>0.69</v>
      </c>
      <c r="M425" s="30" t="n">
        <v>3.12</v>
      </c>
      <c r="N425" s="29" t="n">
        <v>0.96</v>
      </c>
      <c r="O425" s="25" t="n">
        <v>184</v>
      </c>
      <c r="P425" s="30" t="n">
        <v>-1.12</v>
      </c>
      <c r="Q425" s="27"/>
      <c r="R425" s="27" t="s">
        <v>62</v>
      </c>
    </row>
    <row r="426" customFormat="false" ht="15" hidden="false" customHeight="false" outlineLevel="0" collapsed="false">
      <c r="A426" s="25" t="n">
        <f aca="false">IF(G426="REJECT",COUNTIF($G$2:$G$2277,"&lt;&gt;REJECT")+1+COUNTIFS($G$2:$G$2277,"REJECT",$B$2:$B$2277,"&gt;"&amp;B426),1+COUNTIFS($G$2:$G$2277,"&lt;&gt;REJECT",$B$2:$B$2277,"&gt;"&amp;B426))</f>
        <v>424</v>
      </c>
      <c r="B426" s="26" t="n">
        <f aca="false">ROUND(($U$2*MAX(0,MIN(1,($W$2-I426)/($W$2-$V$2)))+$U$3*MAX(0,MIN(1,($W$3-J426)/($W$3-$V$3)))+$U$4*MAX(0,MIN(1,($W$4-K426)/($W$4-$V$4)))+$U$5*MAX(0,MIN(1,($W$5-L426)/($W$5-$V$5)))+$U$6*MAX(0,MIN(1,($W$6-M426)/($W$6-$V$6)))+$U$7*MAX(0,MIN(1,($W$7-N426)/($W$7-$V$7)))+$U$8*IF(AND(O426&gt;=$V$8,O426&lt;=$W$8),1,0))/$U$9*100,2)</f>
        <v>91.28</v>
      </c>
      <c r="C426" s="27" t="s">
        <v>1639</v>
      </c>
      <c r="D426" s="25" t="s">
        <v>3459</v>
      </c>
      <c r="E426" s="25" t="s">
        <v>3450</v>
      </c>
      <c r="F426" s="25" t="s">
        <v>3457</v>
      </c>
      <c r="G426" s="33" t="s">
        <v>28</v>
      </c>
      <c r="H426" s="33" t="s">
        <v>24</v>
      </c>
      <c r="I426" s="25" t="n">
        <v>0</v>
      </c>
      <c r="J426" s="25" t="n">
        <v>0</v>
      </c>
      <c r="K426" s="25" t="n">
        <v>0</v>
      </c>
      <c r="L426" s="29" t="n">
        <v>0.72</v>
      </c>
      <c r="M426" s="30" t="n">
        <v>18.75</v>
      </c>
      <c r="N426" s="29" t="n">
        <v>0.48</v>
      </c>
      <c r="O426" s="25" t="n">
        <v>184</v>
      </c>
      <c r="P426" s="30" t="n">
        <v>11.7</v>
      </c>
      <c r="Q426" s="27"/>
      <c r="R426" s="27"/>
    </row>
    <row r="427" customFormat="false" ht="15" hidden="false" customHeight="false" outlineLevel="0" collapsed="false">
      <c r="A427" s="25" t="n">
        <f aca="false">IF(G427="REJECT",COUNTIF($G$2:$G$2277,"&lt;&gt;REJECT")+1+COUNTIFS($G$2:$G$2277,"REJECT",$B$2:$B$2277,"&gt;"&amp;B427),1+COUNTIFS($G$2:$G$2277,"&lt;&gt;REJECT",$B$2:$B$2277,"&gt;"&amp;B427))</f>
        <v>424</v>
      </c>
      <c r="B427" s="26" t="n">
        <f aca="false">ROUND(($U$2*MAX(0,MIN(1,($W$2-I427)/($W$2-$V$2)))+$U$3*MAX(0,MIN(1,($W$3-J427)/($W$3-$V$3)))+$U$4*MAX(0,MIN(1,($W$4-K427)/($W$4-$V$4)))+$U$5*MAX(0,MIN(1,($W$5-L427)/($W$5-$V$5)))+$U$6*MAX(0,MIN(1,($W$6-M427)/($W$6-$V$6)))+$U$7*MAX(0,MIN(1,($W$7-N427)/($W$7-$V$7)))+$U$8*IF(AND(O427&gt;=$V$8,O427&lt;=$W$8),1,0))/$U$9*100,2)</f>
        <v>91.28</v>
      </c>
      <c r="C427" s="27" t="s">
        <v>1955</v>
      </c>
      <c r="D427" s="25" t="s">
        <v>134</v>
      </c>
      <c r="E427" s="25" t="s">
        <v>3450</v>
      </c>
      <c r="F427" s="25" t="s">
        <v>3457</v>
      </c>
      <c r="G427" s="33" t="s">
        <v>28</v>
      </c>
      <c r="H427" s="33" t="s">
        <v>24</v>
      </c>
      <c r="I427" s="25" t="n">
        <v>0</v>
      </c>
      <c r="J427" s="25" t="n">
        <v>0</v>
      </c>
      <c r="K427" s="25" t="n">
        <v>0</v>
      </c>
      <c r="L427" s="29" t="n">
        <v>0.69</v>
      </c>
      <c r="M427" s="30" t="n">
        <v>3.53</v>
      </c>
      <c r="N427" s="29" t="n">
        <v>0.92</v>
      </c>
      <c r="O427" s="25" t="n">
        <v>195</v>
      </c>
      <c r="P427" s="30" t="n">
        <v>13.6</v>
      </c>
      <c r="Q427" s="27"/>
      <c r="R427" s="27"/>
    </row>
    <row r="428" customFormat="false" ht="15" hidden="false" customHeight="false" outlineLevel="0" collapsed="false">
      <c r="A428" s="25" t="n">
        <f aca="false">IF(G428="REJECT",COUNTIF($G$2:$G$2277,"&lt;&gt;REJECT")+1+COUNTIFS($G$2:$G$2277,"REJECT",$B$2:$B$2277,"&gt;"&amp;B428),1+COUNTIFS($G$2:$G$2277,"&lt;&gt;REJECT",$B$2:$B$2277,"&gt;"&amp;B428))</f>
        <v>427</v>
      </c>
      <c r="B428" s="26" t="n">
        <f aca="false">ROUND(($U$2*MAX(0,MIN(1,($W$2-I428)/($W$2-$V$2)))+$U$3*MAX(0,MIN(1,($W$3-J428)/($W$3-$V$3)))+$U$4*MAX(0,MIN(1,($W$4-K428)/($W$4-$V$4)))+$U$5*MAX(0,MIN(1,($W$5-L428)/($W$5-$V$5)))+$U$6*MAX(0,MIN(1,($W$6-M428)/($W$6-$V$6)))+$U$7*MAX(0,MIN(1,($W$7-N428)/($W$7-$V$7)))+$U$8*IF(AND(O428&gt;=$V$8,O428&lt;=$W$8),1,0))/$U$9*100,2)</f>
        <v>91.25</v>
      </c>
      <c r="C428" s="27" t="s">
        <v>2373</v>
      </c>
      <c r="D428" s="25" t="s">
        <v>134</v>
      </c>
      <c r="E428" s="25" t="s">
        <v>3450</v>
      </c>
      <c r="F428" s="25" t="s">
        <v>3448</v>
      </c>
      <c r="G428" s="33" t="s">
        <v>28</v>
      </c>
      <c r="H428" s="33" t="s">
        <v>24</v>
      </c>
      <c r="I428" s="25" t="n">
        <v>0</v>
      </c>
      <c r="J428" s="25" t="n">
        <v>0</v>
      </c>
      <c r="K428" s="25" t="n">
        <v>0</v>
      </c>
      <c r="L428" s="29" t="n">
        <v>0.71</v>
      </c>
      <c r="M428" s="30" t="n">
        <v>13.71</v>
      </c>
      <c r="N428" s="29" t="n">
        <v>0.64</v>
      </c>
      <c r="O428" s="25" t="n">
        <v>183</v>
      </c>
      <c r="P428" s="30" t="n">
        <v>12.09</v>
      </c>
      <c r="Q428" s="27"/>
      <c r="R428" s="27"/>
    </row>
    <row r="429" customFormat="false" ht="15" hidden="false" customHeight="false" outlineLevel="0" collapsed="false">
      <c r="A429" s="25" t="n">
        <f aca="false">IF(G429="REJECT",COUNTIF($G$2:$G$2277,"&lt;&gt;REJECT")+1+COUNTIFS($G$2:$G$2277,"REJECT",$B$2:$B$2277,"&gt;"&amp;B429),1+COUNTIFS($G$2:$G$2277,"&lt;&gt;REJECT",$B$2:$B$2277,"&gt;"&amp;B429))</f>
        <v>428</v>
      </c>
      <c r="B429" s="26" t="n">
        <f aca="false">ROUND(($U$2*MAX(0,MIN(1,($W$2-I429)/($W$2-$V$2)))+$U$3*MAX(0,MIN(1,($W$3-J429)/($W$3-$V$3)))+$U$4*MAX(0,MIN(1,($W$4-K429)/($W$4-$V$4)))+$U$5*MAX(0,MIN(1,($W$5-L429)/($W$5-$V$5)))+$U$6*MAX(0,MIN(1,($W$6-M429)/($W$6-$V$6)))+$U$7*MAX(0,MIN(1,($W$7-N429)/($W$7-$V$7)))+$U$8*IF(AND(O429&gt;=$V$8,O429&lt;=$W$8),1,0))/$U$9*100,2)</f>
        <v>91.24</v>
      </c>
      <c r="C429" s="27" t="s">
        <v>1049</v>
      </c>
      <c r="D429" s="25" t="s">
        <v>134</v>
      </c>
      <c r="E429" s="25" t="s">
        <v>3450</v>
      </c>
      <c r="F429" s="25" t="s">
        <v>3448</v>
      </c>
      <c r="G429" s="33" t="s">
        <v>28</v>
      </c>
      <c r="H429" s="33" t="s">
        <v>24</v>
      </c>
      <c r="I429" s="25" t="n">
        <v>0</v>
      </c>
      <c r="J429" s="25" t="n">
        <v>0</v>
      </c>
      <c r="K429" s="25" t="n">
        <v>0</v>
      </c>
      <c r="L429" s="29" t="n">
        <v>0.7</v>
      </c>
      <c r="M429" s="30" t="n">
        <v>8.14</v>
      </c>
      <c r="N429" s="29" t="n">
        <v>0.84</v>
      </c>
      <c r="O429" s="25" t="n">
        <v>194</v>
      </c>
      <c r="P429" s="30" t="n">
        <v>8.06</v>
      </c>
      <c r="Q429" s="27"/>
      <c r="R429" s="27"/>
    </row>
    <row r="430" customFormat="false" ht="15" hidden="false" customHeight="false" outlineLevel="0" collapsed="false">
      <c r="A430" s="25" t="n">
        <f aca="false">IF(G430="REJECT",COUNTIF($G$2:$G$2277,"&lt;&gt;REJECT")+1+COUNTIFS($G$2:$G$2277,"REJECT",$B$2:$B$2277,"&gt;"&amp;B430),1+COUNTIFS($G$2:$G$2277,"&lt;&gt;REJECT",$B$2:$B$2277,"&gt;"&amp;B430))</f>
        <v>429</v>
      </c>
      <c r="B430" s="26" t="n">
        <f aca="false">ROUND(($U$2*MAX(0,MIN(1,($W$2-I430)/($W$2-$V$2)))+$U$3*MAX(0,MIN(1,($W$3-J430)/($W$3-$V$3)))+$U$4*MAX(0,MIN(1,($W$4-K430)/($W$4-$V$4)))+$U$5*MAX(0,MIN(1,($W$5-L430)/($W$5-$V$5)))+$U$6*MAX(0,MIN(1,($W$6-M430)/($W$6-$V$6)))+$U$7*MAX(0,MIN(1,($W$7-N430)/($W$7-$V$7)))+$U$8*IF(AND(O430&gt;=$V$8,O430&lt;=$W$8),1,0))/$U$9*100,2)</f>
        <v>91.21</v>
      </c>
      <c r="C430" s="27" t="s">
        <v>1253</v>
      </c>
      <c r="D430" s="25" t="s">
        <v>3459</v>
      </c>
      <c r="E430" s="25" t="s">
        <v>3447</v>
      </c>
      <c r="F430" s="25" t="s">
        <v>3448</v>
      </c>
      <c r="G430" s="38" t="s">
        <v>30</v>
      </c>
      <c r="H430" s="33" t="s">
        <v>24</v>
      </c>
      <c r="I430" s="25" t="n">
        <v>1</v>
      </c>
      <c r="J430" s="25" t="n">
        <v>0</v>
      </c>
      <c r="K430" s="25" t="n">
        <v>1</v>
      </c>
      <c r="L430" s="29" t="n">
        <v>0.8</v>
      </c>
      <c r="M430" s="30" t="n">
        <v>11.67</v>
      </c>
      <c r="N430" s="29" t="n">
        <v>0.36</v>
      </c>
      <c r="O430" s="25" t="n">
        <v>186</v>
      </c>
      <c r="P430" s="30" t="n">
        <v>0.39</v>
      </c>
      <c r="Q430" s="27" t="s">
        <v>3481</v>
      </c>
      <c r="R430" s="27" t="s">
        <v>30</v>
      </c>
    </row>
    <row r="431" customFormat="false" ht="15" hidden="false" customHeight="false" outlineLevel="0" collapsed="false">
      <c r="A431" s="25" t="n">
        <f aca="false">IF(G431="REJECT",COUNTIF($G$2:$G$2277,"&lt;&gt;REJECT")+1+COUNTIFS($G$2:$G$2277,"REJECT",$B$2:$B$2277,"&gt;"&amp;B431),1+COUNTIFS($G$2:$G$2277,"&lt;&gt;REJECT",$B$2:$B$2277,"&gt;"&amp;B431))</f>
        <v>429</v>
      </c>
      <c r="B431" s="26" t="n">
        <f aca="false">ROUND(($U$2*MAX(0,MIN(1,($W$2-I431)/($W$2-$V$2)))+$U$3*MAX(0,MIN(1,($W$3-J431)/($W$3-$V$3)))+$U$4*MAX(0,MIN(1,($W$4-K431)/($W$4-$V$4)))+$U$5*MAX(0,MIN(1,($W$5-L431)/($W$5-$V$5)))+$U$6*MAX(0,MIN(1,($W$6-M431)/($W$6-$V$6)))+$U$7*MAX(0,MIN(1,($W$7-N431)/($W$7-$V$7)))+$U$8*IF(AND(O431&gt;=$V$8,O431&lt;=$W$8),1,0))/$U$9*100,2)</f>
        <v>91.21</v>
      </c>
      <c r="C431" s="27" t="s">
        <v>1935</v>
      </c>
      <c r="D431" s="25" t="s">
        <v>134</v>
      </c>
      <c r="E431" s="25" t="s">
        <v>3447</v>
      </c>
      <c r="F431" s="25" t="s">
        <v>3457</v>
      </c>
      <c r="G431" s="38" t="s">
        <v>30</v>
      </c>
      <c r="H431" s="33" t="s">
        <v>24</v>
      </c>
      <c r="I431" s="25" t="n">
        <v>1</v>
      </c>
      <c r="J431" s="25" t="n">
        <v>0</v>
      </c>
      <c r="K431" s="25" t="n">
        <v>1</v>
      </c>
      <c r="L431" s="29" t="n">
        <v>0.84</v>
      </c>
      <c r="M431" s="30" t="n">
        <v>13.62</v>
      </c>
      <c r="N431" s="29" t="n">
        <v>0.16</v>
      </c>
      <c r="O431" s="25" t="n">
        <v>189</v>
      </c>
      <c r="P431" s="30" t="n">
        <v>-3.76</v>
      </c>
      <c r="Q431" s="27" t="s">
        <v>3478</v>
      </c>
      <c r="R431" s="27" t="s">
        <v>30</v>
      </c>
    </row>
    <row r="432" customFormat="false" ht="15" hidden="false" customHeight="false" outlineLevel="0" collapsed="false">
      <c r="A432" s="25" t="n">
        <f aca="false">IF(G432="REJECT",COUNTIF($G$2:$G$2277,"&lt;&gt;REJECT")+1+COUNTIFS($G$2:$G$2277,"REJECT",$B$2:$B$2277,"&gt;"&amp;B432),1+COUNTIFS($G$2:$G$2277,"&lt;&gt;REJECT",$B$2:$B$2277,"&gt;"&amp;B432))</f>
        <v>431</v>
      </c>
      <c r="B432" s="26" t="n">
        <f aca="false">ROUND(($U$2*MAX(0,MIN(1,($W$2-I432)/($W$2-$V$2)))+$U$3*MAX(0,MIN(1,($W$3-J432)/($W$3-$V$3)))+$U$4*MAX(0,MIN(1,($W$4-K432)/($W$4-$V$4)))+$U$5*MAX(0,MIN(1,($W$5-L432)/($W$5-$V$5)))+$U$6*MAX(0,MIN(1,($W$6-M432)/($W$6-$V$6)))+$U$7*MAX(0,MIN(1,($W$7-N432)/($W$7-$V$7)))+$U$8*IF(AND(O432&gt;=$V$8,O432&lt;=$W$8),1,0))/$U$9*100,2)</f>
        <v>91.19</v>
      </c>
      <c r="C432" s="27" t="s">
        <v>2626</v>
      </c>
      <c r="D432" s="25" t="s">
        <v>134</v>
      </c>
      <c r="E432" s="25" t="s">
        <v>3450</v>
      </c>
      <c r="F432" s="25" t="s">
        <v>3448</v>
      </c>
      <c r="G432" s="33" t="s">
        <v>28</v>
      </c>
      <c r="H432" s="33" t="s">
        <v>24</v>
      </c>
      <c r="I432" s="25" t="n">
        <v>0</v>
      </c>
      <c r="J432" s="25" t="n">
        <v>0</v>
      </c>
      <c r="K432" s="25" t="n">
        <v>0</v>
      </c>
      <c r="L432" s="29" t="n">
        <v>0.7</v>
      </c>
      <c r="M432" s="30" t="n">
        <v>10.09</v>
      </c>
      <c r="N432" s="29" t="n">
        <v>0.68</v>
      </c>
      <c r="O432" s="25" t="n">
        <v>206</v>
      </c>
      <c r="P432" s="30" t="n">
        <v>3.04</v>
      </c>
      <c r="Q432" s="27"/>
      <c r="R432" s="27"/>
    </row>
    <row r="433" customFormat="false" ht="15" hidden="false" customHeight="false" outlineLevel="0" collapsed="false">
      <c r="A433" s="25" t="n">
        <f aca="false">IF(G433="REJECT",COUNTIF($G$2:$G$2277,"&lt;&gt;REJECT")+1+COUNTIFS($G$2:$G$2277,"REJECT",$B$2:$B$2277,"&gt;"&amp;B433),1+COUNTIFS($G$2:$G$2277,"&lt;&gt;REJECT",$B$2:$B$2277,"&gt;"&amp;B433))</f>
        <v>432</v>
      </c>
      <c r="B433" s="26" t="n">
        <f aca="false">ROUND(($U$2*MAX(0,MIN(1,($W$2-I433)/($W$2-$V$2)))+$U$3*MAX(0,MIN(1,($W$3-J433)/($W$3-$V$3)))+$U$4*MAX(0,MIN(1,($W$4-K433)/($W$4-$V$4)))+$U$5*MAX(0,MIN(1,($W$5-L433)/($W$5-$V$5)))+$U$6*MAX(0,MIN(1,($W$6-M433)/($W$6-$V$6)))+$U$7*MAX(0,MIN(1,($W$7-N433)/($W$7-$V$7)))+$U$8*IF(AND(O433&gt;=$V$8,O433&lt;=$W$8),1,0))/$U$9*100,2)</f>
        <v>91.16</v>
      </c>
      <c r="C433" s="27" t="s">
        <v>2061</v>
      </c>
      <c r="D433" s="25" t="s">
        <v>3459</v>
      </c>
      <c r="E433" s="25" t="s">
        <v>3450</v>
      </c>
      <c r="F433" s="25" t="s">
        <v>3448</v>
      </c>
      <c r="G433" s="28" t="s">
        <v>29</v>
      </c>
      <c r="H433" s="28" t="s">
        <v>25</v>
      </c>
      <c r="I433" s="25" t="n">
        <v>0</v>
      </c>
      <c r="J433" s="25" t="n">
        <v>0</v>
      </c>
      <c r="K433" s="25" t="n">
        <v>0</v>
      </c>
      <c r="L433" s="29" t="n">
        <v>0.72</v>
      </c>
      <c r="M433" s="30" t="n">
        <v>21.86</v>
      </c>
      <c r="N433" s="29" t="n">
        <v>0.24</v>
      </c>
      <c r="O433" s="25" t="n">
        <v>193</v>
      </c>
      <c r="P433" s="30" t="n">
        <v>2.8</v>
      </c>
      <c r="Q433" s="27"/>
      <c r="R433" s="27" t="s">
        <v>3113</v>
      </c>
    </row>
    <row r="434" customFormat="false" ht="15" hidden="false" customHeight="false" outlineLevel="0" collapsed="false">
      <c r="A434" s="25" t="n">
        <f aca="false">IF(G434="REJECT",COUNTIF($G$2:$G$2277,"&lt;&gt;REJECT")+1+COUNTIFS($G$2:$G$2277,"REJECT",$B$2:$B$2277,"&gt;"&amp;B434),1+COUNTIFS($G$2:$G$2277,"&lt;&gt;REJECT",$B$2:$B$2277,"&gt;"&amp;B434))</f>
        <v>432</v>
      </c>
      <c r="B434" s="26" t="n">
        <f aca="false">ROUND(($U$2*MAX(0,MIN(1,($W$2-I434)/($W$2-$V$2)))+$U$3*MAX(0,MIN(1,($W$3-J434)/($W$3-$V$3)))+$U$4*MAX(0,MIN(1,($W$4-K434)/($W$4-$V$4)))+$U$5*MAX(0,MIN(1,($W$5-L434)/($W$5-$V$5)))+$U$6*MAX(0,MIN(1,($W$6-M434)/($W$6-$V$6)))+$U$7*MAX(0,MIN(1,($W$7-N434)/($W$7-$V$7)))+$U$8*IF(AND(O434&gt;=$V$8,O434&lt;=$W$8),1,0))/$U$9*100,2)</f>
        <v>91.16</v>
      </c>
      <c r="C434" s="27" t="s">
        <v>3045</v>
      </c>
      <c r="D434" s="25" t="s">
        <v>134</v>
      </c>
      <c r="E434" s="25" t="s">
        <v>3447</v>
      </c>
      <c r="F434" s="25" t="s">
        <v>3448</v>
      </c>
      <c r="G434" s="28" t="s">
        <v>29</v>
      </c>
      <c r="H434" s="28" t="s">
        <v>25</v>
      </c>
      <c r="I434" s="25" t="n">
        <v>0</v>
      </c>
      <c r="J434" s="25" t="n">
        <v>0</v>
      </c>
      <c r="K434" s="25" t="n">
        <v>0</v>
      </c>
      <c r="L434" s="29" t="n">
        <v>0.68</v>
      </c>
      <c r="M434" s="30" t="n">
        <v>3.86</v>
      </c>
      <c r="N434" s="29" t="n">
        <v>0.6</v>
      </c>
      <c r="O434" s="25" t="n">
        <v>184</v>
      </c>
      <c r="P434" s="30" t="n">
        <v>-1.25</v>
      </c>
      <c r="Q434" s="27"/>
      <c r="R434" s="27" t="s">
        <v>64</v>
      </c>
    </row>
    <row r="435" customFormat="false" ht="15" hidden="false" customHeight="false" outlineLevel="0" collapsed="false">
      <c r="A435" s="25" t="n">
        <f aca="false">IF(G435="REJECT",COUNTIF($G$2:$G$2277,"&lt;&gt;REJECT")+1+COUNTIFS($G$2:$G$2277,"REJECT",$B$2:$B$2277,"&gt;"&amp;B435),1+COUNTIFS($G$2:$G$2277,"&lt;&gt;REJECT",$B$2:$B$2277,"&gt;"&amp;B435))</f>
        <v>434</v>
      </c>
      <c r="B435" s="26" t="n">
        <f aca="false">ROUND(($U$2*MAX(0,MIN(1,($W$2-I435)/($W$2-$V$2)))+$U$3*MAX(0,MIN(1,($W$3-J435)/($W$3-$V$3)))+$U$4*MAX(0,MIN(1,($W$4-K435)/($W$4-$V$4)))+$U$5*MAX(0,MIN(1,($W$5-L435)/($W$5-$V$5)))+$U$6*MAX(0,MIN(1,($W$6-M435)/($W$6-$V$6)))+$U$7*MAX(0,MIN(1,($W$7-N435)/($W$7-$V$7)))+$U$8*IF(AND(O435&gt;=$V$8,O435&lt;=$W$8),1,0))/$U$9*100,2)</f>
        <v>91.14</v>
      </c>
      <c r="C435" s="27" t="s">
        <v>2074</v>
      </c>
      <c r="D435" s="25" t="s">
        <v>134</v>
      </c>
      <c r="E435" s="25" t="s">
        <v>3450</v>
      </c>
      <c r="F435" s="25" t="s">
        <v>3457</v>
      </c>
      <c r="G435" s="28" t="s">
        <v>29</v>
      </c>
      <c r="H435" s="28" t="s">
        <v>25</v>
      </c>
      <c r="I435" s="25" t="n">
        <v>0</v>
      </c>
      <c r="J435" s="25" t="n">
        <v>0</v>
      </c>
      <c r="K435" s="25" t="n">
        <v>0</v>
      </c>
      <c r="L435" s="29" t="n">
        <v>0.7</v>
      </c>
      <c r="M435" s="30" t="n">
        <v>9.99</v>
      </c>
      <c r="N435" s="29" t="n">
        <v>0.72</v>
      </c>
      <c r="O435" s="25" t="n">
        <v>184</v>
      </c>
      <c r="P435" s="30" t="n">
        <v>-0.71</v>
      </c>
      <c r="Q435" s="27"/>
      <c r="R435" s="27" t="s">
        <v>62</v>
      </c>
    </row>
    <row r="436" customFormat="false" ht="15" hidden="false" customHeight="false" outlineLevel="0" collapsed="false">
      <c r="A436" s="25" t="n">
        <f aca="false">IF(G436="REJECT",COUNTIF($G$2:$G$2277,"&lt;&gt;REJECT")+1+COUNTIFS($G$2:$G$2277,"REJECT",$B$2:$B$2277,"&gt;"&amp;B436),1+COUNTIFS($G$2:$G$2277,"&lt;&gt;REJECT",$B$2:$B$2277,"&gt;"&amp;B436))</f>
        <v>434</v>
      </c>
      <c r="B436" s="26" t="n">
        <f aca="false">ROUND(($U$2*MAX(0,MIN(1,($W$2-I436)/($W$2-$V$2)))+$U$3*MAX(0,MIN(1,($W$3-J436)/($W$3-$V$3)))+$U$4*MAX(0,MIN(1,($W$4-K436)/($W$4-$V$4)))+$U$5*MAX(0,MIN(1,($W$5-L436)/($W$5-$V$5)))+$U$6*MAX(0,MIN(1,($W$6-M436)/($W$6-$V$6)))+$U$7*MAX(0,MIN(1,($W$7-N436)/($W$7-$V$7)))+$U$8*IF(AND(O436&gt;=$V$8,O436&lt;=$W$8),1,0))/$U$9*100,2)</f>
        <v>91.14</v>
      </c>
      <c r="C436" s="27" t="s">
        <v>2860</v>
      </c>
      <c r="D436" s="25" t="s">
        <v>134</v>
      </c>
      <c r="E436" s="25" t="s">
        <v>3447</v>
      </c>
      <c r="F436" s="25" t="s">
        <v>3448</v>
      </c>
      <c r="G436" s="38" t="s">
        <v>30</v>
      </c>
      <c r="H436" s="33" t="s">
        <v>24</v>
      </c>
      <c r="I436" s="25" t="n">
        <v>1</v>
      </c>
      <c r="J436" s="25" t="n">
        <v>0</v>
      </c>
      <c r="K436" s="25" t="n">
        <v>0</v>
      </c>
      <c r="L436" s="29" t="n">
        <v>0.75</v>
      </c>
      <c r="M436" s="30" t="n">
        <v>4.12</v>
      </c>
      <c r="N436" s="29" t="n">
        <v>0.48</v>
      </c>
      <c r="O436" s="25" t="n">
        <v>186</v>
      </c>
      <c r="P436" s="30" t="n">
        <v>-0.71</v>
      </c>
      <c r="Q436" s="27" t="s">
        <v>3482</v>
      </c>
      <c r="R436" s="27" t="s">
        <v>30</v>
      </c>
    </row>
    <row r="437" customFormat="false" ht="15" hidden="false" customHeight="false" outlineLevel="0" collapsed="false">
      <c r="A437" s="25" t="n">
        <f aca="false">IF(G437="REJECT",COUNTIF($G$2:$G$2277,"&lt;&gt;REJECT")+1+COUNTIFS($G$2:$G$2277,"REJECT",$B$2:$B$2277,"&gt;"&amp;B437),1+COUNTIFS($G$2:$G$2277,"&lt;&gt;REJECT",$B$2:$B$2277,"&gt;"&amp;B437))</f>
        <v>436</v>
      </c>
      <c r="B437" s="26" t="n">
        <f aca="false">ROUND(($U$2*MAX(0,MIN(1,($W$2-I437)/($W$2-$V$2)))+$U$3*MAX(0,MIN(1,($W$3-J437)/($W$3-$V$3)))+$U$4*MAX(0,MIN(1,($W$4-K437)/($W$4-$V$4)))+$U$5*MAX(0,MIN(1,($W$5-L437)/($W$5-$V$5)))+$U$6*MAX(0,MIN(1,($W$6-M437)/($W$6-$V$6)))+$U$7*MAX(0,MIN(1,($W$7-N437)/($W$7-$V$7)))+$U$8*IF(AND(O437&gt;=$V$8,O437&lt;=$W$8),1,0))/$U$9*100,2)</f>
        <v>91.12</v>
      </c>
      <c r="C437" s="27" t="s">
        <v>1935</v>
      </c>
      <c r="D437" s="25" t="s">
        <v>134</v>
      </c>
      <c r="E437" s="25" t="s">
        <v>3450</v>
      </c>
      <c r="F437" s="25" t="s">
        <v>3448</v>
      </c>
      <c r="G437" s="28" t="s">
        <v>29</v>
      </c>
      <c r="H437" s="28" t="s">
        <v>25</v>
      </c>
      <c r="I437" s="25" t="n">
        <v>0</v>
      </c>
      <c r="J437" s="25" t="n">
        <v>0</v>
      </c>
      <c r="K437" s="25" t="n">
        <v>0</v>
      </c>
      <c r="L437" s="29" t="n">
        <v>0.73</v>
      </c>
      <c r="M437" s="30" t="n">
        <v>23.31</v>
      </c>
      <c r="N437" s="29" t="n">
        <v>0.48</v>
      </c>
      <c r="O437" s="25" t="n">
        <v>192</v>
      </c>
      <c r="P437" s="30" t="n">
        <v>3.52</v>
      </c>
      <c r="Q437" s="27"/>
      <c r="R437" s="27" t="s">
        <v>61</v>
      </c>
    </row>
    <row r="438" customFormat="false" ht="15" hidden="false" customHeight="false" outlineLevel="0" collapsed="false">
      <c r="A438" s="25" t="n">
        <f aca="false">IF(G438="REJECT",COUNTIF($G$2:$G$2277,"&lt;&gt;REJECT")+1+COUNTIFS($G$2:$G$2277,"REJECT",$B$2:$B$2277,"&gt;"&amp;B438),1+COUNTIFS($G$2:$G$2277,"&lt;&gt;REJECT",$B$2:$B$2277,"&gt;"&amp;B438))</f>
        <v>437</v>
      </c>
      <c r="B438" s="26" t="n">
        <f aca="false">ROUND(($U$2*MAX(0,MIN(1,($W$2-I438)/($W$2-$V$2)))+$U$3*MAX(0,MIN(1,($W$3-J438)/($W$3-$V$3)))+$U$4*MAX(0,MIN(1,($W$4-K438)/($W$4-$V$4)))+$U$5*MAX(0,MIN(1,($W$5-L438)/($W$5-$V$5)))+$U$6*MAX(0,MIN(1,($W$6-M438)/($W$6-$V$6)))+$U$7*MAX(0,MIN(1,($W$7-N438)/($W$7-$V$7)))+$U$8*IF(AND(O438&gt;=$V$8,O438&lt;=$W$8),1,0))/$U$9*100,2)</f>
        <v>91.11</v>
      </c>
      <c r="C438" s="27" t="s">
        <v>1732</v>
      </c>
      <c r="D438" s="25" t="s">
        <v>134</v>
      </c>
      <c r="E438" s="25" t="s">
        <v>3450</v>
      </c>
      <c r="F438" s="25" t="s">
        <v>3457</v>
      </c>
      <c r="G438" s="28" t="s">
        <v>29</v>
      </c>
      <c r="H438" s="28" t="s">
        <v>25</v>
      </c>
      <c r="I438" s="25" t="n">
        <v>0</v>
      </c>
      <c r="J438" s="25" t="n">
        <v>0</v>
      </c>
      <c r="K438" s="25" t="n">
        <v>0</v>
      </c>
      <c r="L438" s="29" t="n">
        <v>0.69</v>
      </c>
      <c r="M438" s="30" t="n">
        <v>8.92</v>
      </c>
      <c r="N438" s="29" t="n">
        <v>0.48</v>
      </c>
      <c r="O438" s="25" t="n">
        <v>208</v>
      </c>
      <c r="P438" s="30" t="n">
        <v>6.31</v>
      </c>
      <c r="Q438" s="27"/>
      <c r="R438" s="27" t="s">
        <v>63</v>
      </c>
    </row>
    <row r="439" customFormat="false" ht="15" hidden="false" customHeight="false" outlineLevel="0" collapsed="false">
      <c r="A439" s="25" t="n">
        <f aca="false">IF(G439="REJECT",COUNTIF($G$2:$G$2277,"&lt;&gt;REJECT")+1+COUNTIFS($G$2:$G$2277,"REJECT",$B$2:$B$2277,"&gt;"&amp;B439),1+COUNTIFS($G$2:$G$2277,"&lt;&gt;REJECT",$B$2:$B$2277,"&gt;"&amp;B439))</f>
        <v>438</v>
      </c>
      <c r="B439" s="26" t="n">
        <f aca="false">ROUND(($U$2*MAX(0,MIN(1,($W$2-I439)/($W$2-$V$2)))+$U$3*MAX(0,MIN(1,($W$3-J439)/($W$3-$V$3)))+$U$4*MAX(0,MIN(1,($W$4-K439)/($W$4-$V$4)))+$U$5*MAX(0,MIN(1,($W$5-L439)/($W$5-$V$5)))+$U$6*MAX(0,MIN(1,($W$6-M439)/($W$6-$V$6)))+$U$7*MAX(0,MIN(1,($W$7-N439)/($W$7-$V$7)))+$U$8*IF(AND(O439&gt;=$V$8,O439&lt;=$W$8),1,0))/$U$9*100,2)</f>
        <v>91.1</v>
      </c>
      <c r="C439" s="27" t="s">
        <v>1043</v>
      </c>
      <c r="D439" s="25" t="s">
        <v>134</v>
      </c>
      <c r="E439" s="25" t="s">
        <v>3447</v>
      </c>
      <c r="F439" s="25" t="s">
        <v>3448</v>
      </c>
      <c r="G439" s="38" t="s">
        <v>30</v>
      </c>
      <c r="H439" s="33" t="s">
        <v>24</v>
      </c>
      <c r="I439" s="25" t="n">
        <v>1</v>
      </c>
      <c r="J439" s="25" t="n">
        <v>0</v>
      </c>
      <c r="K439" s="25" t="n">
        <v>1</v>
      </c>
      <c r="L439" s="29" t="n">
        <v>0.83</v>
      </c>
      <c r="M439" s="30" t="n">
        <v>15.92</v>
      </c>
      <c r="N439" s="29" t="n">
        <v>0</v>
      </c>
      <c r="O439" s="25" t="n">
        <v>185</v>
      </c>
      <c r="P439" s="30" t="n">
        <v>-0.62</v>
      </c>
      <c r="Q439" s="27" t="s">
        <v>3476</v>
      </c>
      <c r="R439" s="27" t="s">
        <v>30</v>
      </c>
    </row>
    <row r="440" customFormat="false" ht="15" hidden="false" customHeight="false" outlineLevel="0" collapsed="false">
      <c r="A440" s="25" t="n">
        <f aca="false">IF(G440="REJECT",COUNTIF($G$2:$G$2277,"&lt;&gt;REJECT")+1+COUNTIFS($G$2:$G$2277,"REJECT",$B$2:$B$2277,"&gt;"&amp;B440),1+COUNTIFS($G$2:$G$2277,"&lt;&gt;REJECT",$B$2:$B$2277,"&gt;"&amp;B440))</f>
        <v>439</v>
      </c>
      <c r="B440" s="26" t="n">
        <f aca="false">ROUND(($U$2*MAX(0,MIN(1,($W$2-I440)/($W$2-$V$2)))+$U$3*MAX(0,MIN(1,($W$3-J440)/($W$3-$V$3)))+$U$4*MAX(0,MIN(1,($W$4-K440)/($W$4-$V$4)))+$U$5*MAX(0,MIN(1,($W$5-L440)/($W$5-$V$5)))+$U$6*MAX(0,MIN(1,($W$6-M440)/($W$6-$V$6)))+$U$7*MAX(0,MIN(1,($W$7-N440)/($W$7-$V$7)))+$U$8*IF(AND(O440&gt;=$V$8,O440&lt;=$W$8),1,0))/$U$9*100,2)</f>
        <v>91.08</v>
      </c>
      <c r="C440" s="27" t="s">
        <v>1028</v>
      </c>
      <c r="D440" s="25" t="s">
        <v>134</v>
      </c>
      <c r="E440" s="25" t="s">
        <v>3447</v>
      </c>
      <c r="F440" s="25" t="s">
        <v>3448</v>
      </c>
      <c r="G440" s="38" t="s">
        <v>30</v>
      </c>
      <c r="H440" s="33" t="s">
        <v>24</v>
      </c>
      <c r="I440" s="25" t="n">
        <v>1</v>
      </c>
      <c r="J440" s="25" t="n">
        <v>0</v>
      </c>
      <c r="K440" s="25" t="n">
        <v>1</v>
      </c>
      <c r="L440" s="29" t="n">
        <v>0.81</v>
      </c>
      <c r="M440" s="30" t="n">
        <v>16.04</v>
      </c>
      <c r="N440" s="29" t="n">
        <v>0</v>
      </c>
      <c r="O440" s="25" t="n">
        <v>182</v>
      </c>
      <c r="P440" s="30" t="n">
        <v>1.41</v>
      </c>
      <c r="Q440" s="27" t="s">
        <v>3476</v>
      </c>
      <c r="R440" s="27" t="s">
        <v>30</v>
      </c>
    </row>
    <row r="441" customFormat="false" ht="15" hidden="false" customHeight="false" outlineLevel="0" collapsed="false">
      <c r="A441" s="25" t="n">
        <f aca="false">IF(G441="REJECT",COUNTIF($G$2:$G$2277,"&lt;&gt;REJECT")+1+COUNTIFS($G$2:$G$2277,"REJECT",$B$2:$B$2277,"&gt;"&amp;B441),1+COUNTIFS($G$2:$G$2277,"&lt;&gt;REJECT",$B$2:$B$2277,"&gt;"&amp;B441))</f>
        <v>439</v>
      </c>
      <c r="B441" s="26" t="n">
        <f aca="false">ROUND(($U$2*MAX(0,MIN(1,($W$2-I441)/($W$2-$V$2)))+$U$3*MAX(0,MIN(1,($W$3-J441)/($W$3-$V$3)))+$U$4*MAX(0,MIN(1,($W$4-K441)/($W$4-$V$4)))+$U$5*MAX(0,MIN(1,($W$5-L441)/($W$5-$V$5)))+$U$6*MAX(0,MIN(1,($W$6-M441)/($W$6-$V$6)))+$U$7*MAX(0,MIN(1,($W$7-N441)/($W$7-$V$7)))+$U$8*IF(AND(O441&gt;=$V$8,O441&lt;=$W$8),1,0))/$U$9*100,2)</f>
        <v>91.08</v>
      </c>
      <c r="C441" s="27" t="s">
        <v>1346</v>
      </c>
      <c r="D441" s="25" t="s">
        <v>134</v>
      </c>
      <c r="E441" s="25" t="s">
        <v>3447</v>
      </c>
      <c r="F441" s="25" t="s">
        <v>3448</v>
      </c>
      <c r="G441" s="38" t="s">
        <v>30</v>
      </c>
      <c r="H441" s="33" t="s">
        <v>24</v>
      </c>
      <c r="I441" s="25" t="n">
        <v>1</v>
      </c>
      <c r="J441" s="25" t="n">
        <v>0</v>
      </c>
      <c r="K441" s="25" t="n">
        <v>1</v>
      </c>
      <c r="L441" s="29" t="n">
        <v>0.82</v>
      </c>
      <c r="M441" s="30" t="n">
        <v>8.84</v>
      </c>
      <c r="N441" s="29" t="n">
        <v>0.72</v>
      </c>
      <c r="O441" s="25" t="n">
        <v>201</v>
      </c>
      <c r="P441" s="30" t="n">
        <v>6.64</v>
      </c>
      <c r="Q441" s="27" t="s">
        <v>3483</v>
      </c>
      <c r="R441" s="27" t="s">
        <v>30</v>
      </c>
    </row>
    <row r="442" customFormat="false" ht="15" hidden="false" customHeight="false" outlineLevel="0" collapsed="false">
      <c r="A442" s="25" t="n">
        <f aca="false">IF(G442="REJECT",COUNTIF($G$2:$G$2277,"&lt;&gt;REJECT")+1+COUNTIFS($G$2:$G$2277,"REJECT",$B$2:$B$2277,"&gt;"&amp;B442),1+COUNTIFS($G$2:$G$2277,"&lt;&gt;REJECT",$B$2:$B$2277,"&gt;"&amp;B442))</f>
        <v>439</v>
      </c>
      <c r="B442" s="26" t="n">
        <f aca="false">ROUND(($U$2*MAX(0,MIN(1,($W$2-I442)/($W$2-$V$2)))+$U$3*MAX(0,MIN(1,($W$3-J442)/($W$3-$V$3)))+$U$4*MAX(0,MIN(1,($W$4-K442)/($W$4-$V$4)))+$U$5*MAX(0,MIN(1,($W$5-L442)/($W$5-$V$5)))+$U$6*MAX(0,MIN(1,($W$6-M442)/($W$6-$V$6)))+$U$7*MAX(0,MIN(1,($W$7-N442)/($W$7-$V$7)))+$U$8*IF(AND(O442&gt;=$V$8,O442&lt;=$W$8),1,0))/$U$9*100,2)</f>
        <v>91.08</v>
      </c>
      <c r="C442" s="27" t="s">
        <v>1589</v>
      </c>
      <c r="D442" s="25" t="s">
        <v>3459</v>
      </c>
      <c r="E442" s="25" t="s">
        <v>3447</v>
      </c>
      <c r="F442" s="25" t="s">
        <v>3457</v>
      </c>
      <c r="G442" s="33" t="s">
        <v>28</v>
      </c>
      <c r="H442" s="33" t="s">
        <v>24</v>
      </c>
      <c r="I442" s="25" t="n">
        <v>0</v>
      </c>
      <c r="J442" s="25" t="n">
        <v>0</v>
      </c>
      <c r="K442" s="25" t="n">
        <v>0</v>
      </c>
      <c r="L442" s="29" t="n">
        <v>0.7</v>
      </c>
      <c r="M442" s="30" t="n">
        <v>13.51</v>
      </c>
      <c r="N442" s="29" t="n">
        <v>0.4</v>
      </c>
      <c r="O442" s="25" t="n">
        <v>185</v>
      </c>
      <c r="P442" s="30" t="n">
        <v>1.92</v>
      </c>
      <c r="Q442" s="27"/>
      <c r="R442" s="27"/>
    </row>
    <row r="443" customFormat="false" ht="15" hidden="false" customHeight="false" outlineLevel="0" collapsed="false">
      <c r="A443" s="25" t="n">
        <f aca="false">IF(G443="REJECT",COUNTIF($G$2:$G$2277,"&lt;&gt;REJECT")+1+COUNTIFS($G$2:$G$2277,"REJECT",$B$2:$B$2277,"&gt;"&amp;B443),1+COUNTIFS($G$2:$G$2277,"&lt;&gt;REJECT",$B$2:$B$2277,"&gt;"&amp;B443))</f>
        <v>442</v>
      </c>
      <c r="B443" s="26" t="n">
        <f aca="false">ROUND(($U$2*MAX(0,MIN(1,($W$2-I443)/($W$2-$V$2)))+$U$3*MAX(0,MIN(1,($W$3-J443)/($W$3-$V$3)))+$U$4*MAX(0,MIN(1,($W$4-K443)/($W$4-$V$4)))+$U$5*MAX(0,MIN(1,($W$5-L443)/($W$5-$V$5)))+$U$6*MAX(0,MIN(1,($W$6-M443)/($W$6-$V$6)))+$U$7*MAX(0,MIN(1,($W$7-N443)/($W$7-$V$7)))+$U$8*IF(AND(O443&gt;=$V$8,O443&lt;=$W$8),1,0))/$U$9*100,2)</f>
        <v>91.05</v>
      </c>
      <c r="C443" s="27" t="s">
        <v>2280</v>
      </c>
      <c r="D443" s="25" t="s">
        <v>134</v>
      </c>
      <c r="E443" s="25" t="s">
        <v>3450</v>
      </c>
      <c r="F443" s="25" t="s">
        <v>3457</v>
      </c>
      <c r="G443" s="33" t="s">
        <v>28</v>
      </c>
      <c r="H443" s="33" t="s">
        <v>24</v>
      </c>
      <c r="I443" s="25" t="n">
        <v>0</v>
      </c>
      <c r="J443" s="25" t="n">
        <v>0</v>
      </c>
      <c r="K443" s="25" t="n">
        <v>0</v>
      </c>
      <c r="L443" s="29" t="n">
        <v>0.71</v>
      </c>
      <c r="M443" s="30" t="n">
        <v>13.72</v>
      </c>
      <c r="N443" s="29" t="n">
        <v>0.76</v>
      </c>
      <c r="O443" s="25" t="n">
        <v>185</v>
      </c>
      <c r="P443" s="30" t="n">
        <v>14.55</v>
      </c>
      <c r="Q443" s="27"/>
      <c r="R443" s="27"/>
    </row>
    <row r="444" customFormat="false" ht="15" hidden="false" customHeight="false" outlineLevel="0" collapsed="false">
      <c r="A444" s="25" t="n">
        <f aca="false">IF(G444="REJECT",COUNTIF($G$2:$G$2277,"&lt;&gt;REJECT")+1+COUNTIFS($G$2:$G$2277,"REJECT",$B$2:$B$2277,"&gt;"&amp;B444),1+COUNTIFS($G$2:$G$2277,"&lt;&gt;REJECT",$B$2:$B$2277,"&gt;"&amp;B444))</f>
        <v>443</v>
      </c>
      <c r="B444" s="26" t="n">
        <f aca="false">ROUND(($U$2*MAX(0,MIN(1,($W$2-I444)/($W$2-$V$2)))+$U$3*MAX(0,MIN(1,($W$3-J444)/($W$3-$V$3)))+$U$4*MAX(0,MIN(1,($W$4-K444)/($W$4-$V$4)))+$U$5*MAX(0,MIN(1,($W$5-L444)/($W$5-$V$5)))+$U$6*MAX(0,MIN(1,($W$6-M444)/($W$6-$V$6)))+$U$7*MAX(0,MIN(1,($W$7-N444)/($W$7-$V$7)))+$U$8*IF(AND(O444&gt;=$V$8,O444&lt;=$W$8),1,0))/$U$9*100,2)</f>
        <v>91.04</v>
      </c>
      <c r="C444" s="27" t="s">
        <v>738</v>
      </c>
      <c r="D444" s="25" t="s">
        <v>134</v>
      </c>
      <c r="E444" s="25" t="s">
        <v>3450</v>
      </c>
      <c r="F444" s="25" t="s">
        <v>3457</v>
      </c>
      <c r="G444" s="33" t="s">
        <v>28</v>
      </c>
      <c r="H444" s="33" t="s">
        <v>24</v>
      </c>
      <c r="I444" s="25" t="n">
        <v>0</v>
      </c>
      <c r="J444" s="25" t="n">
        <v>0</v>
      </c>
      <c r="K444" s="25" t="n">
        <v>0</v>
      </c>
      <c r="L444" s="29" t="n">
        <v>0.71</v>
      </c>
      <c r="M444" s="30" t="n">
        <v>14.97</v>
      </c>
      <c r="N444" s="29" t="n">
        <v>0.64</v>
      </c>
      <c r="O444" s="25" t="n">
        <v>191</v>
      </c>
      <c r="P444" s="30" t="n">
        <v>19.73</v>
      </c>
      <c r="Q444" s="27"/>
      <c r="R444" s="27"/>
    </row>
    <row r="445" customFormat="false" ht="15" hidden="false" customHeight="false" outlineLevel="0" collapsed="false">
      <c r="A445" s="25" t="n">
        <f aca="false">IF(G445="REJECT",COUNTIF($G$2:$G$2277,"&lt;&gt;REJECT")+1+COUNTIFS($G$2:$G$2277,"REJECT",$B$2:$B$2277,"&gt;"&amp;B445),1+COUNTIFS($G$2:$G$2277,"&lt;&gt;REJECT",$B$2:$B$2277,"&gt;"&amp;B445))</f>
        <v>444</v>
      </c>
      <c r="B445" s="26" t="n">
        <f aca="false">ROUND(($U$2*MAX(0,MIN(1,($W$2-I445)/($W$2-$V$2)))+$U$3*MAX(0,MIN(1,($W$3-J445)/($W$3-$V$3)))+$U$4*MAX(0,MIN(1,($W$4-K445)/($W$4-$V$4)))+$U$5*MAX(0,MIN(1,($W$5-L445)/($W$5-$V$5)))+$U$6*MAX(0,MIN(1,($W$6-M445)/($W$6-$V$6)))+$U$7*MAX(0,MIN(1,($W$7-N445)/($W$7-$V$7)))+$U$8*IF(AND(O445&gt;=$V$8,O445&lt;=$W$8),1,0))/$U$9*100,2)</f>
        <v>91.03</v>
      </c>
      <c r="C445" s="27" t="s">
        <v>2953</v>
      </c>
      <c r="D445" s="25" t="s">
        <v>134</v>
      </c>
      <c r="E445" s="25" t="s">
        <v>3450</v>
      </c>
      <c r="F445" s="25" t="s">
        <v>3457</v>
      </c>
      <c r="G445" s="28" t="s">
        <v>29</v>
      </c>
      <c r="H445" s="28" t="s">
        <v>25</v>
      </c>
      <c r="I445" s="25" t="n">
        <v>0</v>
      </c>
      <c r="J445" s="25" t="n">
        <v>0</v>
      </c>
      <c r="K445" s="25" t="n">
        <v>0</v>
      </c>
      <c r="L445" s="29" t="n">
        <v>0.7</v>
      </c>
      <c r="M445" s="30" t="n">
        <v>11.41</v>
      </c>
      <c r="N445" s="29" t="n">
        <v>0.64</v>
      </c>
      <c r="O445" s="25" t="n">
        <v>184</v>
      </c>
      <c r="P445" s="30" t="n">
        <v>1.27</v>
      </c>
      <c r="Q445" s="27"/>
      <c r="R445" s="27" t="s">
        <v>62</v>
      </c>
    </row>
    <row r="446" customFormat="false" ht="15" hidden="false" customHeight="false" outlineLevel="0" collapsed="false">
      <c r="A446" s="25" t="n">
        <f aca="false">IF(G446="REJECT",COUNTIF($G$2:$G$2277,"&lt;&gt;REJECT")+1+COUNTIFS($G$2:$G$2277,"REJECT",$B$2:$B$2277,"&gt;"&amp;B446),1+COUNTIFS($G$2:$G$2277,"&lt;&gt;REJECT",$B$2:$B$2277,"&gt;"&amp;B446))</f>
        <v>445</v>
      </c>
      <c r="B446" s="26" t="n">
        <f aca="false">ROUND(($U$2*MAX(0,MIN(1,($W$2-I446)/($W$2-$V$2)))+$U$3*MAX(0,MIN(1,($W$3-J446)/($W$3-$V$3)))+$U$4*MAX(0,MIN(1,($W$4-K446)/($W$4-$V$4)))+$U$5*MAX(0,MIN(1,($W$5-L446)/($W$5-$V$5)))+$U$6*MAX(0,MIN(1,($W$6-M446)/($W$6-$V$6)))+$U$7*MAX(0,MIN(1,($W$7-N446)/($W$7-$V$7)))+$U$8*IF(AND(O446&gt;=$V$8,O446&lt;=$W$8),1,0))/$U$9*100,2)</f>
        <v>91.02</v>
      </c>
      <c r="C446" s="27" t="s">
        <v>594</v>
      </c>
      <c r="D446" s="25" t="s">
        <v>134</v>
      </c>
      <c r="E446" s="25" t="s">
        <v>3450</v>
      </c>
      <c r="F446" s="25" t="s">
        <v>3457</v>
      </c>
      <c r="G446" s="28" t="s">
        <v>29</v>
      </c>
      <c r="H446" s="28" t="s">
        <v>25</v>
      </c>
      <c r="I446" s="25" t="n">
        <v>0</v>
      </c>
      <c r="J446" s="25" t="n">
        <v>0</v>
      </c>
      <c r="K446" s="25" t="n">
        <v>0</v>
      </c>
      <c r="L446" s="29" t="n">
        <v>0.73</v>
      </c>
      <c r="M446" s="30" t="n">
        <v>23.86</v>
      </c>
      <c r="N446" s="29" t="n">
        <v>0.48</v>
      </c>
      <c r="O446" s="25" t="n">
        <v>183</v>
      </c>
      <c r="P446" s="30" t="n">
        <v>13.92</v>
      </c>
      <c r="Q446" s="27"/>
      <c r="R446" s="27" t="s">
        <v>61</v>
      </c>
    </row>
    <row r="447" customFormat="false" ht="15" hidden="false" customHeight="false" outlineLevel="0" collapsed="false">
      <c r="A447" s="25" t="n">
        <f aca="false">IF(G447="REJECT",COUNTIF($G$2:$G$2277,"&lt;&gt;REJECT")+1+COUNTIFS($G$2:$G$2277,"REJECT",$B$2:$B$2277,"&gt;"&amp;B447),1+COUNTIFS($G$2:$G$2277,"&lt;&gt;REJECT",$B$2:$B$2277,"&gt;"&amp;B447))</f>
        <v>446</v>
      </c>
      <c r="B447" s="26" t="n">
        <f aca="false">ROUND(($U$2*MAX(0,MIN(1,($W$2-I447)/($W$2-$V$2)))+$U$3*MAX(0,MIN(1,($W$3-J447)/($W$3-$V$3)))+$U$4*MAX(0,MIN(1,($W$4-K447)/($W$4-$V$4)))+$U$5*MAX(0,MIN(1,($W$5-L447)/($W$5-$V$5)))+$U$6*MAX(0,MIN(1,($W$6-M447)/($W$6-$V$6)))+$U$7*MAX(0,MIN(1,($W$7-N447)/($W$7-$V$7)))+$U$8*IF(AND(O447&gt;=$V$8,O447&lt;=$W$8),1,0))/$U$9*100,2)</f>
        <v>91.01</v>
      </c>
      <c r="C447" s="27" t="s">
        <v>824</v>
      </c>
      <c r="D447" s="25" t="s">
        <v>134</v>
      </c>
      <c r="E447" s="25" t="s">
        <v>3450</v>
      </c>
      <c r="F447" s="25" t="s">
        <v>3448</v>
      </c>
      <c r="G447" s="28" t="s">
        <v>29</v>
      </c>
      <c r="H447" s="28" t="s">
        <v>25</v>
      </c>
      <c r="I447" s="25" t="n">
        <v>0</v>
      </c>
      <c r="J447" s="25" t="n">
        <v>0</v>
      </c>
      <c r="K447" s="25" t="n">
        <v>0</v>
      </c>
      <c r="L447" s="29" t="n">
        <v>0.72</v>
      </c>
      <c r="M447" s="30" t="n">
        <v>21.52</v>
      </c>
      <c r="N447" s="29" t="n">
        <v>0.36</v>
      </c>
      <c r="O447" s="25" t="n">
        <v>187</v>
      </c>
      <c r="P447" s="30" t="n">
        <v>11.06</v>
      </c>
      <c r="Q447" s="27"/>
      <c r="R447" s="27" t="s">
        <v>61</v>
      </c>
    </row>
    <row r="448" customFormat="false" ht="15" hidden="false" customHeight="false" outlineLevel="0" collapsed="false">
      <c r="A448" s="25" t="n">
        <f aca="false">IF(G448="REJECT",COUNTIF($G$2:$G$2277,"&lt;&gt;REJECT")+1+COUNTIFS($G$2:$G$2277,"REJECT",$B$2:$B$2277,"&gt;"&amp;B448),1+COUNTIFS($G$2:$G$2277,"&lt;&gt;REJECT",$B$2:$B$2277,"&gt;"&amp;B448))</f>
        <v>447</v>
      </c>
      <c r="B448" s="26" t="n">
        <f aca="false">ROUND(($U$2*MAX(0,MIN(1,($W$2-I448)/($W$2-$V$2)))+$U$3*MAX(0,MIN(1,($W$3-J448)/($W$3-$V$3)))+$U$4*MAX(0,MIN(1,($W$4-K448)/($W$4-$V$4)))+$U$5*MAX(0,MIN(1,($W$5-L448)/($W$5-$V$5)))+$U$6*MAX(0,MIN(1,($W$6-M448)/($W$6-$V$6)))+$U$7*MAX(0,MIN(1,($W$7-N448)/($W$7-$V$7)))+$U$8*IF(AND(O448&gt;=$V$8,O448&lt;=$W$8),1,0))/$U$9*100,2)</f>
        <v>91</v>
      </c>
      <c r="C448" s="27" t="s">
        <v>2280</v>
      </c>
      <c r="D448" s="25" t="s">
        <v>3459</v>
      </c>
      <c r="E448" s="25" t="s">
        <v>3450</v>
      </c>
      <c r="F448" s="25" t="s">
        <v>3457</v>
      </c>
      <c r="G448" s="33" t="s">
        <v>28</v>
      </c>
      <c r="H448" s="33" t="s">
        <v>24</v>
      </c>
      <c r="I448" s="25" t="n">
        <v>0</v>
      </c>
      <c r="J448" s="25" t="n">
        <v>0</v>
      </c>
      <c r="K448" s="25" t="n">
        <v>0</v>
      </c>
      <c r="L448" s="29" t="n">
        <v>0.7</v>
      </c>
      <c r="M448" s="30" t="n">
        <v>18</v>
      </c>
      <c r="N448" s="29" t="n">
        <v>0</v>
      </c>
      <c r="O448" s="25" t="n">
        <v>183</v>
      </c>
      <c r="P448" s="30" t="n">
        <v>13.9</v>
      </c>
      <c r="Q448" s="27"/>
      <c r="R448" s="27"/>
    </row>
    <row r="449" customFormat="false" ht="15" hidden="false" customHeight="false" outlineLevel="0" collapsed="false">
      <c r="A449" s="25" t="n">
        <f aca="false">IF(G449="REJECT",COUNTIF($G$2:$G$2277,"&lt;&gt;REJECT")+1+COUNTIFS($G$2:$G$2277,"REJECT",$B$2:$B$2277,"&gt;"&amp;B449),1+COUNTIFS($G$2:$G$2277,"&lt;&gt;REJECT",$B$2:$B$2277,"&gt;"&amp;B449))</f>
        <v>447</v>
      </c>
      <c r="B449" s="26" t="n">
        <f aca="false">ROUND(($U$2*MAX(0,MIN(1,($W$2-I449)/($W$2-$V$2)))+$U$3*MAX(0,MIN(1,($W$3-J449)/($W$3-$V$3)))+$U$4*MAX(0,MIN(1,($W$4-K449)/($W$4-$V$4)))+$U$5*MAX(0,MIN(1,($W$5-L449)/($W$5-$V$5)))+$U$6*MAX(0,MIN(1,($W$6-M449)/($W$6-$V$6)))+$U$7*MAX(0,MIN(1,($W$7-N449)/($W$7-$V$7)))+$U$8*IF(AND(O449&gt;=$V$8,O449&lt;=$W$8),1,0))/$U$9*100,2)</f>
        <v>91</v>
      </c>
      <c r="C449" s="27" t="s">
        <v>2355</v>
      </c>
      <c r="D449" s="25" t="s">
        <v>134</v>
      </c>
      <c r="E449" s="25" t="s">
        <v>3450</v>
      </c>
      <c r="F449" s="25" t="s">
        <v>3457</v>
      </c>
      <c r="G449" s="28" t="s">
        <v>29</v>
      </c>
      <c r="H449" s="28" t="s">
        <v>25</v>
      </c>
      <c r="I449" s="25" t="n">
        <v>0</v>
      </c>
      <c r="J449" s="25" t="n">
        <v>0</v>
      </c>
      <c r="K449" s="25" t="n">
        <v>0</v>
      </c>
      <c r="L449" s="29" t="n">
        <v>0.75</v>
      </c>
      <c r="M449" s="30" t="n">
        <v>40.83</v>
      </c>
      <c r="N449" s="29" t="n">
        <v>0.6</v>
      </c>
      <c r="O449" s="25" t="n">
        <v>191</v>
      </c>
      <c r="P449" s="30" t="n">
        <v>15.3</v>
      </c>
      <c r="Q449" s="27"/>
      <c r="R449" s="27" t="s">
        <v>66</v>
      </c>
    </row>
    <row r="450" customFormat="false" ht="15" hidden="false" customHeight="false" outlineLevel="0" collapsed="false">
      <c r="A450" s="25" t="n">
        <f aca="false">IF(G450="REJECT",COUNTIF($G$2:$G$2277,"&lt;&gt;REJECT")+1+COUNTIFS($G$2:$G$2277,"REJECT",$B$2:$B$2277,"&gt;"&amp;B450),1+COUNTIFS($G$2:$G$2277,"&lt;&gt;REJECT",$B$2:$B$2277,"&gt;"&amp;B450))</f>
        <v>447</v>
      </c>
      <c r="B450" s="26" t="n">
        <f aca="false">ROUND(($U$2*MAX(0,MIN(1,($W$2-I450)/($W$2-$V$2)))+$U$3*MAX(0,MIN(1,($W$3-J450)/($W$3-$V$3)))+$U$4*MAX(0,MIN(1,($W$4-K450)/($W$4-$V$4)))+$U$5*MAX(0,MIN(1,($W$5-L450)/($W$5-$V$5)))+$U$6*MAX(0,MIN(1,($W$6-M450)/($W$6-$V$6)))+$U$7*MAX(0,MIN(1,($W$7-N450)/($W$7-$V$7)))+$U$8*IF(AND(O450&gt;=$V$8,O450&lt;=$W$8),1,0))/$U$9*100,2)</f>
        <v>91</v>
      </c>
      <c r="C450" s="27" t="s">
        <v>2397</v>
      </c>
      <c r="D450" s="25" t="s">
        <v>134</v>
      </c>
      <c r="E450" s="25" t="s">
        <v>3450</v>
      </c>
      <c r="F450" s="25" t="s">
        <v>3457</v>
      </c>
      <c r="G450" s="33" t="s">
        <v>28</v>
      </c>
      <c r="H450" s="33" t="s">
        <v>24</v>
      </c>
      <c r="I450" s="25" t="n">
        <v>0</v>
      </c>
      <c r="J450" s="25" t="n">
        <v>0</v>
      </c>
      <c r="K450" s="25" t="n">
        <v>0</v>
      </c>
      <c r="L450" s="29" t="n">
        <v>0.71</v>
      </c>
      <c r="M450" s="30" t="n">
        <v>14.39</v>
      </c>
      <c r="N450" s="29" t="n">
        <v>0.72</v>
      </c>
      <c r="O450" s="25" t="n">
        <v>185</v>
      </c>
      <c r="P450" s="30" t="n">
        <v>17</v>
      </c>
      <c r="Q450" s="27"/>
      <c r="R450" s="27"/>
    </row>
    <row r="451" customFormat="false" ht="15" hidden="false" customHeight="false" outlineLevel="0" collapsed="false">
      <c r="A451" s="25" t="n">
        <f aca="false">IF(G451="REJECT",COUNTIF($G$2:$G$2277,"&lt;&gt;REJECT")+1+COUNTIFS($G$2:$G$2277,"REJECT",$B$2:$B$2277,"&gt;"&amp;B451),1+COUNTIFS($G$2:$G$2277,"&lt;&gt;REJECT",$B$2:$B$2277,"&gt;"&amp;B451))</f>
        <v>450</v>
      </c>
      <c r="B451" s="26" t="n">
        <f aca="false">ROUND(($U$2*MAX(0,MIN(1,($W$2-I451)/($W$2-$V$2)))+$U$3*MAX(0,MIN(1,($W$3-J451)/($W$3-$V$3)))+$U$4*MAX(0,MIN(1,($W$4-K451)/($W$4-$V$4)))+$U$5*MAX(0,MIN(1,($W$5-L451)/($W$5-$V$5)))+$U$6*MAX(0,MIN(1,($W$6-M451)/($W$6-$V$6)))+$U$7*MAX(0,MIN(1,($W$7-N451)/($W$7-$V$7)))+$U$8*IF(AND(O451&gt;=$V$8,O451&lt;=$W$8),1,0))/$U$9*100,2)</f>
        <v>90.98</v>
      </c>
      <c r="C451" s="27" t="s">
        <v>2397</v>
      </c>
      <c r="D451" s="25" t="s">
        <v>134</v>
      </c>
      <c r="E451" s="25" t="s">
        <v>3447</v>
      </c>
      <c r="F451" s="25" t="s">
        <v>3457</v>
      </c>
      <c r="G451" s="33" t="s">
        <v>28</v>
      </c>
      <c r="H451" s="33" t="s">
        <v>24</v>
      </c>
      <c r="I451" s="25" t="n">
        <v>0</v>
      </c>
      <c r="J451" s="25" t="n">
        <v>0</v>
      </c>
      <c r="K451" s="25" t="n">
        <v>0</v>
      </c>
      <c r="L451" s="29" t="n">
        <v>0.71</v>
      </c>
      <c r="M451" s="30" t="n">
        <v>12.93</v>
      </c>
      <c r="N451" s="29" t="n">
        <v>0.88</v>
      </c>
      <c r="O451" s="25" t="n">
        <v>195</v>
      </c>
      <c r="P451" s="30" t="n">
        <v>11.05</v>
      </c>
      <c r="Q451" s="27"/>
      <c r="R451" s="27"/>
    </row>
    <row r="452" customFormat="false" ht="15" hidden="false" customHeight="false" outlineLevel="0" collapsed="false">
      <c r="A452" s="25" t="n">
        <f aca="false">IF(G452="REJECT",COUNTIF($G$2:$G$2277,"&lt;&gt;REJECT")+1+COUNTIFS($G$2:$G$2277,"REJECT",$B$2:$B$2277,"&gt;"&amp;B452),1+COUNTIFS($G$2:$G$2277,"&lt;&gt;REJECT",$B$2:$B$2277,"&gt;"&amp;B452))</f>
        <v>451</v>
      </c>
      <c r="B452" s="26" t="n">
        <f aca="false">ROUND(($U$2*MAX(0,MIN(1,($W$2-I452)/($W$2-$V$2)))+$U$3*MAX(0,MIN(1,($W$3-J452)/($W$3-$V$3)))+$U$4*MAX(0,MIN(1,($W$4-K452)/($W$4-$V$4)))+$U$5*MAX(0,MIN(1,($W$5-L452)/($W$5-$V$5)))+$U$6*MAX(0,MIN(1,($W$6-M452)/($W$6-$V$6)))+$U$7*MAX(0,MIN(1,($W$7-N452)/($W$7-$V$7)))+$U$8*IF(AND(O452&gt;=$V$8,O452&lt;=$W$8),1,0))/$U$9*100,2)</f>
        <v>90.92</v>
      </c>
      <c r="C452" s="27" t="s">
        <v>1068</v>
      </c>
      <c r="D452" s="25" t="s">
        <v>3459</v>
      </c>
      <c r="E452" s="25" t="s">
        <v>3450</v>
      </c>
      <c r="F452" s="25" t="s">
        <v>3457</v>
      </c>
      <c r="G452" s="28" t="s">
        <v>29</v>
      </c>
      <c r="H452" s="28" t="s">
        <v>25</v>
      </c>
      <c r="I452" s="25" t="n">
        <v>0</v>
      </c>
      <c r="J452" s="25" t="n">
        <v>0</v>
      </c>
      <c r="K452" s="25" t="n">
        <v>0</v>
      </c>
      <c r="L452" s="29" t="n">
        <v>0.73</v>
      </c>
      <c r="M452" s="30" t="n">
        <v>24.89</v>
      </c>
      <c r="N452" s="29" t="n">
        <v>0.44</v>
      </c>
      <c r="O452" s="25" t="n">
        <v>183</v>
      </c>
      <c r="P452" s="30" t="n">
        <v>10.83</v>
      </c>
      <c r="Q452" s="27"/>
      <c r="R452" s="27" t="s">
        <v>61</v>
      </c>
    </row>
    <row r="453" customFormat="false" ht="15" hidden="false" customHeight="false" outlineLevel="0" collapsed="false">
      <c r="A453" s="25" t="n">
        <f aca="false">IF(G453="REJECT",COUNTIF($G$2:$G$2277,"&lt;&gt;REJECT")+1+COUNTIFS($G$2:$G$2277,"REJECT",$B$2:$B$2277,"&gt;"&amp;B453),1+COUNTIFS($G$2:$G$2277,"&lt;&gt;REJECT",$B$2:$B$2277,"&gt;"&amp;B453))</f>
        <v>451</v>
      </c>
      <c r="B453" s="26" t="n">
        <f aca="false">ROUND(($U$2*MAX(0,MIN(1,($W$2-I453)/($W$2-$V$2)))+$U$3*MAX(0,MIN(1,($W$3-J453)/($W$3-$V$3)))+$U$4*MAX(0,MIN(1,($W$4-K453)/($W$4-$V$4)))+$U$5*MAX(0,MIN(1,($W$5-L453)/($W$5-$V$5)))+$U$6*MAX(0,MIN(1,($W$6-M453)/($W$6-$V$6)))+$U$7*MAX(0,MIN(1,($W$7-N453)/($W$7-$V$7)))+$U$8*IF(AND(O453&gt;=$V$8,O453&lt;=$W$8),1,0))/$U$9*100,2)</f>
        <v>90.92</v>
      </c>
      <c r="C453" s="27" t="s">
        <v>2385</v>
      </c>
      <c r="D453" s="25" t="s">
        <v>134</v>
      </c>
      <c r="E453" s="25" t="s">
        <v>3450</v>
      </c>
      <c r="F453" s="25" t="s">
        <v>3457</v>
      </c>
      <c r="G453" s="33" t="s">
        <v>28</v>
      </c>
      <c r="H453" s="33" t="s">
        <v>24</v>
      </c>
      <c r="I453" s="25" t="n">
        <v>0</v>
      </c>
      <c r="J453" s="25" t="n">
        <v>0</v>
      </c>
      <c r="K453" s="25" t="n">
        <v>0</v>
      </c>
      <c r="L453" s="29" t="n">
        <v>0.71</v>
      </c>
      <c r="M453" s="30" t="n">
        <v>18.09</v>
      </c>
      <c r="N453" s="29" t="n">
        <v>0.4</v>
      </c>
      <c r="O453" s="25" t="n">
        <v>201</v>
      </c>
      <c r="P453" s="30" t="n">
        <v>20.04</v>
      </c>
      <c r="Q453" s="27"/>
      <c r="R453" s="27"/>
    </row>
    <row r="454" customFormat="false" ht="15" hidden="false" customHeight="false" outlineLevel="0" collapsed="false">
      <c r="A454" s="25" t="n">
        <f aca="false">IF(G454="REJECT",COUNTIF($G$2:$G$2277,"&lt;&gt;REJECT")+1+COUNTIFS($G$2:$G$2277,"REJECT",$B$2:$B$2277,"&gt;"&amp;B454),1+COUNTIFS($G$2:$G$2277,"&lt;&gt;REJECT",$B$2:$B$2277,"&gt;"&amp;B454))</f>
        <v>453</v>
      </c>
      <c r="B454" s="26" t="n">
        <f aca="false">ROUND(($U$2*MAX(0,MIN(1,($W$2-I454)/($W$2-$V$2)))+$U$3*MAX(0,MIN(1,($W$3-J454)/($W$3-$V$3)))+$U$4*MAX(0,MIN(1,($W$4-K454)/($W$4-$V$4)))+$U$5*MAX(0,MIN(1,($W$5-L454)/($W$5-$V$5)))+$U$6*MAX(0,MIN(1,($W$6-M454)/($W$6-$V$6)))+$U$7*MAX(0,MIN(1,($W$7-N454)/($W$7-$V$7)))+$U$8*IF(AND(O454&gt;=$V$8,O454&lt;=$W$8),1,0))/$U$9*100,2)</f>
        <v>90.9</v>
      </c>
      <c r="C454" s="27" t="s">
        <v>951</v>
      </c>
      <c r="D454" s="25" t="s">
        <v>134</v>
      </c>
      <c r="E454" s="25" t="s">
        <v>3450</v>
      </c>
      <c r="F454" s="25" t="s">
        <v>3457</v>
      </c>
      <c r="G454" s="28" t="s">
        <v>29</v>
      </c>
      <c r="H454" s="28" t="s">
        <v>25</v>
      </c>
      <c r="I454" s="25" t="n">
        <v>0</v>
      </c>
      <c r="J454" s="25" t="n">
        <v>0</v>
      </c>
      <c r="K454" s="25" t="n">
        <v>0</v>
      </c>
      <c r="L454" s="29" t="n">
        <v>0.72</v>
      </c>
      <c r="M454" s="30" t="n">
        <v>25.81</v>
      </c>
      <c r="N454" s="29" t="n">
        <v>0</v>
      </c>
      <c r="O454" s="25" t="n">
        <v>186</v>
      </c>
      <c r="P454" s="30" t="n">
        <v>13.35</v>
      </c>
      <c r="Q454" s="27"/>
      <c r="R454" s="27" t="s">
        <v>61</v>
      </c>
    </row>
    <row r="455" customFormat="false" ht="15" hidden="false" customHeight="false" outlineLevel="0" collapsed="false">
      <c r="A455" s="25" t="n">
        <f aca="false">IF(G455="REJECT",COUNTIF($G$2:$G$2277,"&lt;&gt;REJECT")+1+COUNTIFS($G$2:$G$2277,"REJECT",$B$2:$B$2277,"&gt;"&amp;B455),1+COUNTIFS($G$2:$G$2277,"&lt;&gt;REJECT",$B$2:$B$2277,"&gt;"&amp;B455))</f>
        <v>453</v>
      </c>
      <c r="B455" s="26" t="n">
        <f aca="false">ROUND(($U$2*MAX(0,MIN(1,($W$2-I455)/($W$2-$V$2)))+$U$3*MAX(0,MIN(1,($W$3-J455)/($W$3-$V$3)))+$U$4*MAX(0,MIN(1,($W$4-K455)/($W$4-$V$4)))+$U$5*MAX(0,MIN(1,($W$5-L455)/($W$5-$V$5)))+$U$6*MAX(0,MIN(1,($W$6-M455)/($W$6-$V$6)))+$U$7*MAX(0,MIN(1,($W$7-N455)/($W$7-$V$7)))+$U$8*IF(AND(O455&gt;=$V$8,O455&lt;=$W$8),1,0))/$U$9*100,2)</f>
        <v>90.9</v>
      </c>
      <c r="C455" s="27" t="s">
        <v>971</v>
      </c>
      <c r="D455" s="25" t="s">
        <v>134</v>
      </c>
      <c r="E455" s="25" t="s">
        <v>3447</v>
      </c>
      <c r="F455" s="25" t="s">
        <v>3448</v>
      </c>
      <c r="G455" s="33" t="s">
        <v>28</v>
      </c>
      <c r="H455" s="33" t="s">
        <v>24</v>
      </c>
      <c r="I455" s="25" t="n">
        <v>0</v>
      </c>
      <c r="J455" s="25" t="n">
        <v>0</v>
      </c>
      <c r="K455" s="25" t="n">
        <v>0</v>
      </c>
      <c r="L455" s="29" t="n">
        <v>0.68</v>
      </c>
      <c r="M455" s="30" t="n">
        <v>5.81</v>
      </c>
      <c r="N455" s="29" t="n">
        <v>0.56</v>
      </c>
      <c r="O455" s="25" t="n">
        <v>183</v>
      </c>
      <c r="P455" s="30" t="n">
        <v>4.45</v>
      </c>
      <c r="Q455" s="27"/>
      <c r="R455" s="27"/>
    </row>
    <row r="456" customFormat="false" ht="15" hidden="false" customHeight="false" outlineLevel="0" collapsed="false">
      <c r="A456" s="25" t="n">
        <f aca="false">IF(G456="REJECT",COUNTIF($G$2:$G$2277,"&lt;&gt;REJECT")+1+COUNTIFS($G$2:$G$2277,"REJECT",$B$2:$B$2277,"&gt;"&amp;B456),1+COUNTIFS($G$2:$G$2277,"&lt;&gt;REJECT",$B$2:$B$2277,"&gt;"&amp;B456))</f>
        <v>455</v>
      </c>
      <c r="B456" s="26" t="n">
        <f aca="false">ROUND(($U$2*MAX(0,MIN(1,($W$2-I456)/($W$2-$V$2)))+$U$3*MAX(0,MIN(1,($W$3-J456)/($W$3-$V$3)))+$U$4*MAX(0,MIN(1,($W$4-K456)/($W$4-$V$4)))+$U$5*MAX(0,MIN(1,($W$5-L456)/($W$5-$V$5)))+$U$6*MAX(0,MIN(1,($W$6-M456)/($W$6-$V$6)))+$U$7*MAX(0,MIN(1,($W$7-N456)/($W$7-$V$7)))+$U$8*IF(AND(O456&gt;=$V$8,O456&lt;=$W$8),1,0))/$U$9*100,2)</f>
        <v>90.87</v>
      </c>
      <c r="C456" s="27" t="s">
        <v>507</v>
      </c>
      <c r="D456" s="25" t="s">
        <v>134</v>
      </c>
      <c r="E456" s="25" t="s">
        <v>3447</v>
      </c>
      <c r="F456" s="25" t="s">
        <v>3448</v>
      </c>
      <c r="G456" s="38" t="s">
        <v>30</v>
      </c>
      <c r="H456" s="33" t="s">
        <v>24</v>
      </c>
      <c r="I456" s="25" t="n">
        <v>1</v>
      </c>
      <c r="J456" s="25" t="n">
        <v>0</v>
      </c>
      <c r="K456" s="25" t="n">
        <v>1</v>
      </c>
      <c r="L456" s="29" t="n">
        <v>0.79</v>
      </c>
      <c r="M456" s="30" t="n">
        <v>4.1</v>
      </c>
      <c r="N456" s="29" t="n">
        <v>0.96</v>
      </c>
      <c r="O456" s="25" t="n">
        <v>183</v>
      </c>
      <c r="P456" s="30" t="n">
        <v>9.19</v>
      </c>
      <c r="Q456" s="27" t="s">
        <v>3476</v>
      </c>
      <c r="R456" s="27" t="s">
        <v>30</v>
      </c>
    </row>
    <row r="457" customFormat="false" ht="15" hidden="false" customHeight="false" outlineLevel="0" collapsed="false">
      <c r="A457" s="25" t="n">
        <f aca="false">IF(G457="REJECT",COUNTIF($G$2:$G$2277,"&lt;&gt;REJECT")+1+COUNTIFS($G$2:$G$2277,"REJECT",$B$2:$B$2277,"&gt;"&amp;B457),1+COUNTIFS($G$2:$G$2277,"&lt;&gt;REJECT",$B$2:$B$2277,"&gt;"&amp;B457))</f>
        <v>456</v>
      </c>
      <c r="B457" s="26" t="n">
        <f aca="false">ROUND(($U$2*MAX(0,MIN(1,($W$2-I457)/($W$2-$V$2)))+$U$3*MAX(0,MIN(1,($W$3-J457)/($W$3-$V$3)))+$U$4*MAX(0,MIN(1,($W$4-K457)/($W$4-$V$4)))+$U$5*MAX(0,MIN(1,($W$5-L457)/($W$5-$V$5)))+$U$6*MAX(0,MIN(1,($W$6-M457)/($W$6-$V$6)))+$U$7*MAX(0,MIN(1,($W$7-N457)/($W$7-$V$7)))+$U$8*IF(AND(O457&gt;=$V$8,O457&lt;=$W$8),1,0))/$U$9*100,2)</f>
        <v>90.86</v>
      </c>
      <c r="C457" s="27" t="s">
        <v>108</v>
      </c>
      <c r="D457" s="25" t="s">
        <v>3459</v>
      </c>
      <c r="E457" s="25" t="s">
        <v>3450</v>
      </c>
      <c r="F457" s="25" t="s">
        <v>3457</v>
      </c>
      <c r="G457" s="28" t="s">
        <v>29</v>
      </c>
      <c r="H457" s="28" t="s">
        <v>25</v>
      </c>
      <c r="I457" s="25" t="n">
        <v>0</v>
      </c>
      <c r="J457" s="25" t="n">
        <v>0</v>
      </c>
      <c r="K457" s="25" t="n">
        <v>0</v>
      </c>
      <c r="L457" s="29" t="n">
        <v>0.67</v>
      </c>
      <c r="M457" s="30" t="n">
        <v>8.05</v>
      </c>
      <c r="N457" s="29" t="n">
        <v>0</v>
      </c>
      <c r="O457" s="25" t="n">
        <v>181</v>
      </c>
      <c r="P457" s="30" t="n">
        <v>15.4</v>
      </c>
      <c r="Q457" s="27"/>
      <c r="R457" s="27" t="s">
        <v>63</v>
      </c>
    </row>
    <row r="458" customFormat="false" ht="15" hidden="false" customHeight="false" outlineLevel="0" collapsed="false">
      <c r="A458" s="25" t="n">
        <f aca="false">IF(G458="REJECT",COUNTIF($G$2:$G$2277,"&lt;&gt;REJECT")+1+COUNTIFS($G$2:$G$2277,"REJECT",$B$2:$B$2277,"&gt;"&amp;B458),1+COUNTIFS($G$2:$G$2277,"&lt;&gt;REJECT",$B$2:$B$2277,"&gt;"&amp;B458))</f>
        <v>456</v>
      </c>
      <c r="B458" s="26" t="n">
        <f aca="false">ROUND(($U$2*MAX(0,MIN(1,($W$2-I458)/($W$2-$V$2)))+$U$3*MAX(0,MIN(1,($W$3-J458)/($W$3-$V$3)))+$U$4*MAX(0,MIN(1,($W$4-K458)/($W$4-$V$4)))+$U$5*MAX(0,MIN(1,($W$5-L458)/($W$5-$V$5)))+$U$6*MAX(0,MIN(1,($W$6-M458)/($W$6-$V$6)))+$U$7*MAX(0,MIN(1,($W$7-N458)/($W$7-$V$7)))+$U$8*IF(AND(O458&gt;=$V$8,O458&lt;=$W$8),1,0))/$U$9*100,2)</f>
        <v>90.86</v>
      </c>
      <c r="C458" s="27" t="s">
        <v>2746</v>
      </c>
      <c r="D458" s="25" t="s">
        <v>134</v>
      </c>
      <c r="E458" s="25" t="s">
        <v>3447</v>
      </c>
      <c r="F458" s="25" t="s">
        <v>3448</v>
      </c>
      <c r="G458" s="38" t="s">
        <v>30</v>
      </c>
      <c r="H458" s="33" t="s">
        <v>24</v>
      </c>
      <c r="I458" s="25" t="n">
        <v>1</v>
      </c>
      <c r="J458" s="25" t="n">
        <v>0</v>
      </c>
      <c r="K458" s="25" t="n">
        <v>1</v>
      </c>
      <c r="L458" s="29" t="n">
        <v>0.8</v>
      </c>
      <c r="M458" s="30" t="n">
        <v>9.73</v>
      </c>
      <c r="N458" s="29" t="n">
        <v>0.76</v>
      </c>
      <c r="O458" s="25" t="n">
        <v>186</v>
      </c>
      <c r="P458" s="30" t="n">
        <v>-0.59</v>
      </c>
      <c r="Q458" s="27" t="s">
        <v>3476</v>
      </c>
      <c r="R458" s="27" t="s">
        <v>30</v>
      </c>
    </row>
    <row r="459" customFormat="false" ht="15" hidden="false" customHeight="false" outlineLevel="0" collapsed="false">
      <c r="A459" s="25" t="n">
        <f aca="false">IF(G459="REJECT",COUNTIF($G$2:$G$2277,"&lt;&gt;REJECT")+1+COUNTIFS($G$2:$G$2277,"REJECT",$B$2:$B$2277,"&gt;"&amp;B459),1+COUNTIFS($G$2:$G$2277,"&lt;&gt;REJECT",$B$2:$B$2277,"&gt;"&amp;B459))</f>
        <v>458</v>
      </c>
      <c r="B459" s="26" t="n">
        <f aca="false">ROUND(($U$2*MAX(0,MIN(1,($W$2-I459)/($W$2-$V$2)))+$U$3*MAX(0,MIN(1,($W$3-J459)/($W$3-$V$3)))+$U$4*MAX(0,MIN(1,($W$4-K459)/($W$4-$V$4)))+$U$5*MAX(0,MIN(1,($W$5-L459)/($W$5-$V$5)))+$U$6*MAX(0,MIN(1,($W$6-M459)/($W$6-$V$6)))+$U$7*MAX(0,MIN(1,($W$7-N459)/($W$7-$V$7)))+$U$8*IF(AND(O459&gt;=$V$8,O459&lt;=$W$8),1,0))/$U$9*100,2)</f>
        <v>90.85</v>
      </c>
      <c r="C459" s="27" t="s">
        <v>3363</v>
      </c>
      <c r="D459" s="25" t="s">
        <v>134</v>
      </c>
      <c r="E459" s="25" t="s">
        <v>3450</v>
      </c>
      <c r="F459" s="25" t="s">
        <v>3457</v>
      </c>
      <c r="G459" s="33" t="s">
        <v>28</v>
      </c>
      <c r="H459" s="33" t="s">
        <v>24</v>
      </c>
      <c r="I459" s="25" t="n">
        <v>0</v>
      </c>
      <c r="J459" s="25" t="n">
        <v>0</v>
      </c>
      <c r="K459" s="25" t="n">
        <v>0</v>
      </c>
      <c r="L459" s="29" t="n">
        <v>0.69</v>
      </c>
      <c r="M459" s="30" t="n">
        <v>12.93</v>
      </c>
      <c r="N459" s="29" t="n">
        <v>0.24</v>
      </c>
      <c r="O459" s="25" t="n">
        <v>186</v>
      </c>
      <c r="P459" s="30" t="n">
        <v>12.21</v>
      </c>
      <c r="Q459" s="27"/>
      <c r="R459" s="27"/>
    </row>
    <row r="460" customFormat="false" ht="15" hidden="false" customHeight="false" outlineLevel="0" collapsed="false">
      <c r="A460" s="25" t="n">
        <f aca="false">IF(G460="REJECT",COUNTIF($G$2:$G$2277,"&lt;&gt;REJECT")+1+COUNTIFS($G$2:$G$2277,"REJECT",$B$2:$B$2277,"&gt;"&amp;B460),1+COUNTIFS($G$2:$G$2277,"&lt;&gt;REJECT",$B$2:$B$2277,"&gt;"&amp;B460))</f>
        <v>459</v>
      </c>
      <c r="B460" s="26" t="n">
        <f aca="false">ROUND(($U$2*MAX(0,MIN(1,($W$2-I460)/($W$2-$V$2)))+$U$3*MAX(0,MIN(1,($W$3-J460)/($W$3-$V$3)))+$U$4*MAX(0,MIN(1,($W$4-K460)/($W$4-$V$4)))+$U$5*MAX(0,MIN(1,($W$5-L460)/($W$5-$V$5)))+$U$6*MAX(0,MIN(1,($W$6-M460)/($W$6-$V$6)))+$U$7*MAX(0,MIN(1,($W$7-N460)/($W$7-$V$7)))+$U$8*IF(AND(O460&gt;=$V$8,O460&lt;=$W$8),1,0))/$U$9*100,2)</f>
        <v>90.84</v>
      </c>
      <c r="C460" s="27" t="s">
        <v>2959</v>
      </c>
      <c r="D460" s="25" t="s">
        <v>134</v>
      </c>
      <c r="E460" s="25" t="s">
        <v>3447</v>
      </c>
      <c r="F460" s="25" t="s">
        <v>3457</v>
      </c>
      <c r="G460" s="33" t="s">
        <v>28</v>
      </c>
      <c r="H460" s="33" t="s">
        <v>24</v>
      </c>
      <c r="I460" s="25" t="n">
        <v>0</v>
      </c>
      <c r="J460" s="25" t="n">
        <v>0</v>
      </c>
      <c r="K460" s="25" t="n">
        <v>0</v>
      </c>
      <c r="L460" s="29" t="n">
        <v>0.71</v>
      </c>
      <c r="M460" s="30" t="n">
        <v>16.98</v>
      </c>
      <c r="N460" s="29" t="n">
        <v>0.56</v>
      </c>
      <c r="O460" s="25" t="n">
        <v>185</v>
      </c>
      <c r="P460" s="30" t="n">
        <v>4.6</v>
      </c>
      <c r="Q460" s="27"/>
      <c r="R460" s="27"/>
    </row>
    <row r="461" customFormat="false" ht="15" hidden="false" customHeight="false" outlineLevel="0" collapsed="false">
      <c r="A461" s="25" t="n">
        <f aca="false">IF(G461="REJECT",COUNTIF($G$2:$G$2277,"&lt;&gt;REJECT")+1+COUNTIFS($G$2:$G$2277,"REJECT",$B$2:$B$2277,"&gt;"&amp;B461),1+COUNTIFS($G$2:$G$2277,"&lt;&gt;REJECT",$B$2:$B$2277,"&gt;"&amp;B461))</f>
        <v>460</v>
      </c>
      <c r="B461" s="26" t="n">
        <f aca="false">ROUND(($U$2*MAX(0,MIN(1,($W$2-I461)/($W$2-$V$2)))+$U$3*MAX(0,MIN(1,($W$3-J461)/($W$3-$V$3)))+$U$4*MAX(0,MIN(1,($W$4-K461)/($W$4-$V$4)))+$U$5*MAX(0,MIN(1,($W$5-L461)/($W$5-$V$5)))+$U$6*MAX(0,MIN(1,($W$6-M461)/($W$6-$V$6)))+$U$7*MAX(0,MIN(1,($W$7-N461)/($W$7-$V$7)))+$U$8*IF(AND(O461&gt;=$V$8,O461&lt;=$W$8),1,0))/$U$9*100,2)</f>
        <v>90.83</v>
      </c>
      <c r="C461" s="27" t="s">
        <v>2482</v>
      </c>
      <c r="D461" s="25" t="s">
        <v>134</v>
      </c>
      <c r="E461" s="25" t="s">
        <v>3447</v>
      </c>
      <c r="F461" s="25" t="s">
        <v>3457</v>
      </c>
      <c r="G461" s="28" t="s">
        <v>29</v>
      </c>
      <c r="H461" s="28" t="s">
        <v>25</v>
      </c>
      <c r="I461" s="25" t="n">
        <v>0</v>
      </c>
      <c r="J461" s="25" t="n">
        <v>0</v>
      </c>
      <c r="K461" s="25" t="n">
        <v>0</v>
      </c>
      <c r="L461" s="29" t="n">
        <v>0.65</v>
      </c>
      <c r="M461" s="30" t="n">
        <v>1.04</v>
      </c>
      <c r="N461" s="29" t="n">
        <v>0</v>
      </c>
      <c r="O461" s="25" t="n">
        <v>200</v>
      </c>
      <c r="P461" s="30" t="n">
        <v>-0.48</v>
      </c>
      <c r="Q461" s="27"/>
      <c r="R461" s="27" t="s">
        <v>64</v>
      </c>
    </row>
    <row r="462" customFormat="false" ht="15" hidden="false" customHeight="false" outlineLevel="0" collapsed="false">
      <c r="A462" s="25" t="n">
        <f aca="false">IF(G462="REJECT",COUNTIF($G$2:$G$2277,"&lt;&gt;REJECT")+1+COUNTIFS($G$2:$G$2277,"REJECT",$B$2:$B$2277,"&gt;"&amp;B462),1+COUNTIFS($G$2:$G$2277,"&lt;&gt;REJECT",$B$2:$B$2277,"&gt;"&amp;B462))</f>
        <v>461</v>
      </c>
      <c r="B462" s="26" t="n">
        <f aca="false">ROUND(($U$2*MAX(0,MIN(1,($W$2-I462)/($W$2-$V$2)))+$U$3*MAX(0,MIN(1,($W$3-J462)/($W$3-$V$3)))+$U$4*MAX(0,MIN(1,($W$4-K462)/($W$4-$V$4)))+$U$5*MAX(0,MIN(1,($W$5-L462)/($W$5-$V$5)))+$U$6*MAX(0,MIN(1,($W$6-M462)/($W$6-$V$6)))+$U$7*MAX(0,MIN(1,($W$7-N462)/($W$7-$V$7)))+$U$8*IF(AND(O462&gt;=$V$8,O462&lt;=$W$8),1,0))/$U$9*100,2)</f>
        <v>90.81</v>
      </c>
      <c r="C462" s="27" t="s">
        <v>669</v>
      </c>
      <c r="D462" s="25" t="s">
        <v>134</v>
      </c>
      <c r="E462" s="25" t="s">
        <v>3450</v>
      </c>
      <c r="F462" s="25" t="s">
        <v>3448</v>
      </c>
      <c r="G462" s="33" t="s">
        <v>28</v>
      </c>
      <c r="H462" s="33" t="s">
        <v>24</v>
      </c>
      <c r="I462" s="25" t="n">
        <v>0</v>
      </c>
      <c r="J462" s="25" t="n">
        <v>0</v>
      </c>
      <c r="K462" s="25" t="n">
        <v>0</v>
      </c>
      <c r="L462" s="29" t="n">
        <v>0.68</v>
      </c>
      <c r="M462" s="30" t="n">
        <v>10.74</v>
      </c>
      <c r="N462" s="29" t="n">
        <v>0.12</v>
      </c>
      <c r="O462" s="25" t="n">
        <v>197</v>
      </c>
      <c r="P462" s="30" t="n">
        <v>17.13</v>
      </c>
      <c r="Q462" s="27"/>
      <c r="R462" s="27"/>
    </row>
    <row r="463" customFormat="false" ht="15" hidden="false" customHeight="false" outlineLevel="0" collapsed="false">
      <c r="A463" s="25" t="n">
        <f aca="false">IF(G463="REJECT",COUNTIF($G$2:$G$2277,"&lt;&gt;REJECT")+1+COUNTIFS($G$2:$G$2277,"REJECT",$B$2:$B$2277,"&gt;"&amp;B463),1+COUNTIFS($G$2:$G$2277,"&lt;&gt;REJECT",$B$2:$B$2277,"&gt;"&amp;B463))</f>
        <v>462</v>
      </c>
      <c r="B463" s="26" t="n">
        <f aca="false">ROUND(($U$2*MAX(0,MIN(1,($W$2-I463)/($W$2-$V$2)))+$U$3*MAX(0,MIN(1,($W$3-J463)/($W$3-$V$3)))+$U$4*MAX(0,MIN(1,($W$4-K463)/($W$4-$V$4)))+$U$5*MAX(0,MIN(1,($W$5-L463)/($W$5-$V$5)))+$U$6*MAX(0,MIN(1,($W$6-M463)/($W$6-$V$6)))+$U$7*MAX(0,MIN(1,($W$7-N463)/($W$7-$V$7)))+$U$8*IF(AND(O463&gt;=$V$8,O463&lt;=$W$8),1,0))/$U$9*100,2)</f>
        <v>90.79</v>
      </c>
      <c r="C463" s="27" t="s">
        <v>3111</v>
      </c>
      <c r="D463" s="25" t="s">
        <v>134</v>
      </c>
      <c r="E463" s="25" t="s">
        <v>3450</v>
      </c>
      <c r="F463" s="25" t="s">
        <v>3448</v>
      </c>
      <c r="G463" s="33" t="s">
        <v>28</v>
      </c>
      <c r="H463" s="33" t="s">
        <v>24</v>
      </c>
      <c r="I463" s="25" t="n">
        <v>0</v>
      </c>
      <c r="J463" s="25" t="n">
        <v>0</v>
      </c>
      <c r="K463" s="25" t="n">
        <v>0</v>
      </c>
      <c r="L463" s="29" t="n">
        <v>0.69</v>
      </c>
      <c r="M463" s="30" t="n">
        <v>10.87</v>
      </c>
      <c r="N463" s="29" t="n">
        <v>0.48</v>
      </c>
      <c r="O463" s="25" t="n">
        <v>182</v>
      </c>
      <c r="P463" s="30" t="n">
        <v>6.83</v>
      </c>
      <c r="Q463" s="27"/>
      <c r="R463" s="27"/>
    </row>
    <row r="464" customFormat="false" ht="15" hidden="false" customHeight="false" outlineLevel="0" collapsed="false">
      <c r="A464" s="25" t="n">
        <f aca="false">IF(G464="REJECT",COUNTIF($G$2:$G$2277,"&lt;&gt;REJECT")+1+COUNTIFS($G$2:$G$2277,"REJECT",$B$2:$B$2277,"&gt;"&amp;B464),1+COUNTIFS($G$2:$G$2277,"&lt;&gt;REJECT",$B$2:$B$2277,"&gt;"&amp;B464))</f>
        <v>463</v>
      </c>
      <c r="B464" s="26" t="n">
        <f aca="false">ROUND(($U$2*MAX(0,MIN(1,($W$2-I464)/($W$2-$V$2)))+$U$3*MAX(0,MIN(1,($W$3-J464)/($W$3-$V$3)))+$U$4*MAX(0,MIN(1,($W$4-K464)/($W$4-$V$4)))+$U$5*MAX(0,MIN(1,($W$5-L464)/($W$5-$V$5)))+$U$6*MAX(0,MIN(1,($W$6-M464)/($W$6-$V$6)))+$U$7*MAX(0,MIN(1,($W$7-N464)/($W$7-$V$7)))+$U$8*IF(AND(O464&gt;=$V$8,O464&lt;=$W$8),1,0))/$U$9*100,2)</f>
        <v>90.76</v>
      </c>
      <c r="C464" s="27" t="s">
        <v>1016</v>
      </c>
      <c r="D464" s="25" t="s">
        <v>134</v>
      </c>
      <c r="E464" s="25" t="s">
        <v>3450</v>
      </c>
      <c r="F464" s="25" t="s">
        <v>3457</v>
      </c>
      <c r="G464" s="33" t="s">
        <v>28</v>
      </c>
      <c r="H464" s="33" t="s">
        <v>24</v>
      </c>
      <c r="I464" s="25" t="n">
        <v>0</v>
      </c>
      <c r="J464" s="25" t="n">
        <v>0</v>
      </c>
      <c r="K464" s="25" t="n">
        <v>0</v>
      </c>
      <c r="L464" s="29" t="n">
        <v>0.71</v>
      </c>
      <c r="M464" s="30" t="n">
        <v>15.82</v>
      </c>
      <c r="N464" s="29" t="n">
        <v>0.72</v>
      </c>
      <c r="O464" s="25" t="n">
        <v>187</v>
      </c>
      <c r="P464" s="30" t="n">
        <v>8.47</v>
      </c>
      <c r="Q464" s="27"/>
      <c r="R464" s="27"/>
    </row>
    <row r="465" customFormat="false" ht="15" hidden="false" customHeight="false" outlineLevel="0" collapsed="false">
      <c r="A465" s="25" t="n">
        <f aca="false">IF(G465="REJECT",COUNTIF($G$2:$G$2277,"&lt;&gt;REJECT")+1+COUNTIFS($G$2:$G$2277,"REJECT",$B$2:$B$2277,"&gt;"&amp;B465),1+COUNTIFS($G$2:$G$2277,"&lt;&gt;REJECT",$B$2:$B$2277,"&gt;"&amp;B465))</f>
        <v>463</v>
      </c>
      <c r="B465" s="26" t="n">
        <f aca="false">ROUND(($U$2*MAX(0,MIN(1,($W$2-I465)/($W$2-$V$2)))+$U$3*MAX(0,MIN(1,($W$3-J465)/($W$3-$V$3)))+$U$4*MAX(0,MIN(1,($W$4-K465)/($W$4-$V$4)))+$U$5*MAX(0,MIN(1,($W$5-L465)/($W$5-$V$5)))+$U$6*MAX(0,MIN(1,($W$6-M465)/($W$6-$V$6)))+$U$7*MAX(0,MIN(1,($W$7-N465)/($W$7-$V$7)))+$U$8*IF(AND(O465&gt;=$V$8,O465&lt;=$W$8),1,0))/$U$9*100,2)</f>
        <v>90.76</v>
      </c>
      <c r="C465" s="27" t="s">
        <v>2891</v>
      </c>
      <c r="D465" s="25" t="s">
        <v>134</v>
      </c>
      <c r="E465" s="25" t="s">
        <v>3450</v>
      </c>
      <c r="F465" s="25" t="s">
        <v>3448</v>
      </c>
      <c r="G465" s="28" t="s">
        <v>29</v>
      </c>
      <c r="H465" s="28" t="s">
        <v>25</v>
      </c>
      <c r="I465" s="25" t="n">
        <v>0</v>
      </c>
      <c r="J465" s="25" t="n">
        <v>0</v>
      </c>
      <c r="K465" s="25" t="n">
        <v>0</v>
      </c>
      <c r="L465" s="29" t="n">
        <v>0.72</v>
      </c>
      <c r="M465" s="30" t="n">
        <v>25.02</v>
      </c>
      <c r="N465" s="29" t="n">
        <v>0.16</v>
      </c>
      <c r="O465" s="25" t="n">
        <v>187</v>
      </c>
      <c r="P465" s="30" t="n">
        <v>14.23</v>
      </c>
      <c r="Q465" s="27"/>
      <c r="R465" s="27" t="s">
        <v>3471</v>
      </c>
    </row>
    <row r="466" customFormat="false" ht="15" hidden="false" customHeight="false" outlineLevel="0" collapsed="false">
      <c r="A466" s="25" t="n">
        <f aca="false">IF(G466="REJECT",COUNTIF($G$2:$G$2277,"&lt;&gt;REJECT")+1+COUNTIFS($G$2:$G$2277,"REJECT",$B$2:$B$2277,"&gt;"&amp;B466),1+COUNTIFS($G$2:$G$2277,"&lt;&gt;REJECT",$B$2:$B$2277,"&gt;"&amp;B466))</f>
        <v>465</v>
      </c>
      <c r="B466" s="26" t="n">
        <f aca="false">ROUND(($U$2*MAX(0,MIN(1,($W$2-I466)/($W$2-$V$2)))+$U$3*MAX(0,MIN(1,($W$3-J466)/($W$3-$V$3)))+$U$4*MAX(0,MIN(1,($W$4-K466)/($W$4-$V$4)))+$U$5*MAX(0,MIN(1,($W$5-L466)/($W$5-$V$5)))+$U$6*MAX(0,MIN(1,($W$6-M466)/($W$6-$V$6)))+$U$7*MAX(0,MIN(1,($W$7-N466)/($W$7-$V$7)))+$U$8*IF(AND(O466&gt;=$V$8,O466&lt;=$W$8),1,0))/$U$9*100,2)</f>
        <v>90.75</v>
      </c>
      <c r="C466" s="27" t="s">
        <v>2556</v>
      </c>
      <c r="D466" s="25" t="s">
        <v>134</v>
      </c>
      <c r="E466" s="25" t="s">
        <v>3447</v>
      </c>
      <c r="F466" s="25" t="s">
        <v>3457</v>
      </c>
      <c r="G466" s="38" t="s">
        <v>30</v>
      </c>
      <c r="H466" s="33" t="s">
        <v>24</v>
      </c>
      <c r="I466" s="25" t="n">
        <v>1</v>
      </c>
      <c r="J466" s="25" t="n">
        <v>0</v>
      </c>
      <c r="K466" s="25" t="n">
        <v>1</v>
      </c>
      <c r="L466" s="29" t="n">
        <v>0.82</v>
      </c>
      <c r="M466" s="30" t="n">
        <v>13.58</v>
      </c>
      <c r="N466" s="29" t="n">
        <v>0.44</v>
      </c>
      <c r="O466" s="25" t="n">
        <v>185</v>
      </c>
      <c r="P466" s="30" t="n">
        <v>3.66</v>
      </c>
      <c r="Q466" s="27" t="s">
        <v>3474</v>
      </c>
      <c r="R466" s="27" t="s">
        <v>30</v>
      </c>
    </row>
    <row r="467" customFormat="false" ht="15" hidden="false" customHeight="false" outlineLevel="0" collapsed="false">
      <c r="A467" s="25" t="n">
        <f aca="false">IF(G467="REJECT",COUNTIF($G$2:$G$2277,"&lt;&gt;REJECT")+1+COUNTIFS($G$2:$G$2277,"REJECT",$B$2:$B$2277,"&gt;"&amp;B467),1+COUNTIFS($G$2:$G$2277,"&lt;&gt;REJECT",$B$2:$B$2277,"&gt;"&amp;B467))</f>
        <v>466</v>
      </c>
      <c r="B467" s="26" t="n">
        <f aca="false">ROUND(($U$2*MAX(0,MIN(1,($W$2-I467)/($W$2-$V$2)))+$U$3*MAX(0,MIN(1,($W$3-J467)/($W$3-$V$3)))+$U$4*MAX(0,MIN(1,($W$4-K467)/($W$4-$V$4)))+$U$5*MAX(0,MIN(1,($W$5-L467)/($W$5-$V$5)))+$U$6*MAX(0,MIN(1,($W$6-M467)/($W$6-$V$6)))+$U$7*MAX(0,MIN(1,($W$7-N467)/($W$7-$V$7)))+$U$8*IF(AND(O467&gt;=$V$8,O467&lt;=$W$8),1,0))/$U$9*100,2)</f>
        <v>90.74</v>
      </c>
      <c r="C467" s="27" t="s">
        <v>1775</v>
      </c>
      <c r="D467" s="25" t="s">
        <v>134</v>
      </c>
      <c r="E467" s="25" t="s">
        <v>3447</v>
      </c>
      <c r="F467" s="25" t="s">
        <v>3457</v>
      </c>
      <c r="G467" s="28" t="s">
        <v>29</v>
      </c>
      <c r="H467" s="28" t="s">
        <v>25</v>
      </c>
      <c r="I467" s="25" t="n">
        <v>0</v>
      </c>
      <c r="J467" s="25" t="n">
        <v>0</v>
      </c>
      <c r="K467" s="25" t="n">
        <v>0</v>
      </c>
      <c r="L467" s="29" t="n">
        <v>0.72</v>
      </c>
      <c r="M467" s="30" t="n">
        <v>22.77</v>
      </c>
      <c r="N467" s="29" t="n">
        <v>0.4</v>
      </c>
      <c r="O467" s="25" t="n">
        <v>188</v>
      </c>
      <c r="P467" s="30" t="n">
        <v>-0.77</v>
      </c>
      <c r="Q467" s="27"/>
      <c r="R467" s="27" t="s">
        <v>3470</v>
      </c>
    </row>
    <row r="468" customFormat="false" ht="15" hidden="false" customHeight="false" outlineLevel="0" collapsed="false">
      <c r="A468" s="25" t="n">
        <f aca="false">IF(G468="REJECT",COUNTIF($G$2:$G$2277,"&lt;&gt;REJECT")+1+COUNTIFS($G$2:$G$2277,"REJECT",$B$2:$B$2277,"&gt;"&amp;B468),1+COUNTIFS($G$2:$G$2277,"&lt;&gt;REJECT",$B$2:$B$2277,"&gt;"&amp;B468))</f>
        <v>466</v>
      </c>
      <c r="B468" s="26" t="n">
        <f aca="false">ROUND(($U$2*MAX(0,MIN(1,($W$2-I468)/($W$2-$V$2)))+$U$3*MAX(0,MIN(1,($W$3-J468)/($W$3-$V$3)))+$U$4*MAX(0,MIN(1,($W$4-K468)/($W$4-$V$4)))+$U$5*MAX(0,MIN(1,($W$5-L468)/($W$5-$V$5)))+$U$6*MAX(0,MIN(1,($W$6-M468)/($W$6-$V$6)))+$U$7*MAX(0,MIN(1,($W$7-N468)/($W$7-$V$7)))+$U$8*IF(AND(O468&gt;=$V$8,O468&lt;=$W$8),1,0))/$U$9*100,2)</f>
        <v>90.74</v>
      </c>
      <c r="C468" s="27" t="s">
        <v>2822</v>
      </c>
      <c r="D468" s="25" t="s">
        <v>134</v>
      </c>
      <c r="E468" s="25" t="s">
        <v>3450</v>
      </c>
      <c r="F468" s="25" t="s">
        <v>3457</v>
      </c>
      <c r="G468" s="33" t="s">
        <v>28</v>
      </c>
      <c r="H468" s="33" t="s">
        <v>24</v>
      </c>
      <c r="I468" s="25" t="n">
        <v>0</v>
      </c>
      <c r="J468" s="25" t="n">
        <v>0</v>
      </c>
      <c r="K468" s="25" t="n">
        <v>0</v>
      </c>
      <c r="L468" s="29" t="n">
        <v>0.7</v>
      </c>
      <c r="M468" s="30" t="n">
        <v>19.54</v>
      </c>
      <c r="N468" s="29" t="n">
        <v>0</v>
      </c>
      <c r="O468" s="25" t="n">
        <v>183</v>
      </c>
      <c r="P468" s="30" t="n">
        <v>9.22</v>
      </c>
      <c r="Q468" s="27"/>
      <c r="R468" s="27"/>
    </row>
    <row r="469" customFormat="false" ht="15" hidden="false" customHeight="false" outlineLevel="0" collapsed="false">
      <c r="A469" s="25" t="n">
        <f aca="false">IF(G469="REJECT",COUNTIF($G$2:$G$2277,"&lt;&gt;REJECT")+1+COUNTIFS($G$2:$G$2277,"REJECT",$B$2:$B$2277,"&gt;"&amp;B469),1+COUNTIFS($G$2:$G$2277,"&lt;&gt;REJECT",$B$2:$B$2277,"&gt;"&amp;B469))</f>
        <v>468</v>
      </c>
      <c r="B469" s="26" t="n">
        <f aca="false">ROUND(($U$2*MAX(0,MIN(1,($W$2-I469)/($W$2-$V$2)))+$U$3*MAX(0,MIN(1,($W$3-J469)/($W$3-$V$3)))+$U$4*MAX(0,MIN(1,($W$4-K469)/($W$4-$V$4)))+$U$5*MAX(0,MIN(1,($W$5-L469)/($W$5-$V$5)))+$U$6*MAX(0,MIN(1,($W$6-M469)/($W$6-$V$6)))+$U$7*MAX(0,MIN(1,($W$7-N469)/($W$7-$V$7)))+$U$8*IF(AND(O469&gt;=$V$8,O469&lt;=$W$8),1,0))/$U$9*100,2)</f>
        <v>90.71</v>
      </c>
      <c r="C469" s="27" t="s">
        <v>1068</v>
      </c>
      <c r="D469" s="25" t="s">
        <v>134</v>
      </c>
      <c r="E469" s="25" t="s">
        <v>3450</v>
      </c>
      <c r="F469" s="25" t="s">
        <v>3457</v>
      </c>
      <c r="G469" s="33" t="s">
        <v>28</v>
      </c>
      <c r="H469" s="33" t="s">
        <v>24</v>
      </c>
      <c r="I469" s="25" t="n">
        <v>0</v>
      </c>
      <c r="J469" s="25" t="n">
        <v>0</v>
      </c>
      <c r="K469" s="25" t="n">
        <v>0</v>
      </c>
      <c r="L469" s="29" t="n">
        <v>0.71</v>
      </c>
      <c r="M469" s="30" t="n">
        <v>16.55</v>
      </c>
      <c r="N469" s="29" t="n">
        <v>0.68</v>
      </c>
      <c r="O469" s="25" t="n">
        <v>185</v>
      </c>
      <c r="P469" s="30" t="n">
        <v>8.95</v>
      </c>
      <c r="Q469" s="27"/>
      <c r="R469" s="27"/>
    </row>
    <row r="470" customFormat="false" ht="15" hidden="false" customHeight="false" outlineLevel="0" collapsed="false">
      <c r="A470" s="25" t="n">
        <f aca="false">IF(G470="REJECT",COUNTIF($G$2:$G$2277,"&lt;&gt;REJECT")+1+COUNTIFS($G$2:$G$2277,"REJECT",$B$2:$B$2277,"&gt;"&amp;B470),1+COUNTIFS($G$2:$G$2277,"&lt;&gt;REJECT",$B$2:$B$2277,"&gt;"&amp;B470))</f>
        <v>469</v>
      </c>
      <c r="B470" s="26" t="n">
        <f aca="false">ROUND(($U$2*MAX(0,MIN(1,($W$2-I470)/($W$2-$V$2)))+$U$3*MAX(0,MIN(1,($W$3-J470)/($W$3-$V$3)))+$U$4*MAX(0,MIN(1,($W$4-K470)/($W$4-$V$4)))+$U$5*MAX(0,MIN(1,($W$5-L470)/($W$5-$V$5)))+$U$6*MAX(0,MIN(1,($W$6-M470)/($W$6-$V$6)))+$U$7*MAX(0,MIN(1,($W$7-N470)/($W$7-$V$7)))+$U$8*IF(AND(O470&gt;=$V$8,O470&lt;=$W$8),1,0))/$U$9*100,2)</f>
        <v>90.7</v>
      </c>
      <c r="C470" s="27" t="s">
        <v>669</v>
      </c>
      <c r="D470" s="25" t="s">
        <v>134</v>
      </c>
      <c r="E470" s="25" t="s">
        <v>3450</v>
      </c>
      <c r="F470" s="25" t="s">
        <v>3457</v>
      </c>
      <c r="G470" s="33" t="s">
        <v>28</v>
      </c>
      <c r="H470" s="33" t="s">
        <v>24</v>
      </c>
      <c r="I470" s="25" t="n">
        <v>0</v>
      </c>
      <c r="J470" s="25" t="n">
        <v>0</v>
      </c>
      <c r="K470" s="25" t="n">
        <v>0</v>
      </c>
      <c r="L470" s="29" t="n">
        <v>0.69</v>
      </c>
      <c r="M470" s="30" t="n">
        <v>8.99</v>
      </c>
      <c r="N470" s="29" t="n">
        <v>0.72</v>
      </c>
      <c r="O470" s="25" t="n">
        <v>183</v>
      </c>
      <c r="P470" s="30" t="n">
        <v>16.81</v>
      </c>
      <c r="Q470" s="27"/>
      <c r="R470" s="27"/>
    </row>
    <row r="471" customFormat="false" ht="15" hidden="false" customHeight="false" outlineLevel="0" collapsed="false">
      <c r="A471" s="25" t="n">
        <f aca="false">IF(G471="REJECT",COUNTIF($G$2:$G$2277,"&lt;&gt;REJECT")+1+COUNTIFS($G$2:$G$2277,"REJECT",$B$2:$B$2277,"&gt;"&amp;B471),1+COUNTIFS($G$2:$G$2277,"&lt;&gt;REJECT",$B$2:$B$2277,"&gt;"&amp;B471))</f>
        <v>470</v>
      </c>
      <c r="B471" s="26" t="n">
        <f aca="false">ROUND(($U$2*MAX(0,MIN(1,($W$2-I471)/($W$2-$V$2)))+$U$3*MAX(0,MIN(1,($W$3-J471)/($W$3-$V$3)))+$U$4*MAX(0,MIN(1,($W$4-K471)/($W$4-$V$4)))+$U$5*MAX(0,MIN(1,($W$5-L471)/($W$5-$V$5)))+$U$6*MAX(0,MIN(1,($W$6-M471)/($W$6-$V$6)))+$U$7*MAX(0,MIN(1,($W$7-N471)/($W$7-$V$7)))+$U$8*IF(AND(O471&gt;=$V$8,O471&lt;=$W$8),1,0))/$U$9*100,2)</f>
        <v>90.66</v>
      </c>
      <c r="C471" s="27" t="s">
        <v>2236</v>
      </c>
      <c r="D471" s="25" t="s">
        <v>134</v>
      </c>
      <c r="E471" s="25" t="s">
        <v>3450</v>
      </c>
      <c r="F471" s="25" t="s">
        <v>3457</v>
      </c>
      <c r="G471" s="28" t="s">
        <v>29</v>
      </c>
      <c r="H471" s="28" t="s">
        <v>25</v>
      </c>
      <c r="I471" s="25" t="n">
        <v>0</v>
      </c>
      <c r="J471" s="25" t="n">
        <v>0</v>
      </c>
      <c r="K471" s="25" t="n">
        <v>0</v>
      </c>
      <c r="L471" s="29" t="n">
        <v>0.7</v>
      </c>
      <c r="M471" s="30" t="n">
        <v>12.44</v>
      </c>
      <c r="N471" s="29" t="n">
        <v>0.76</v>
      </c>
      <c r="O471" s="25" t="n">
        <v>186</v>
      </c>
      <c r="P471" s="30" t="n">
        <v>-1.13</v>
      </c>
      <c r="Q471" s="27"/>
      <c r="R471" s="27" t="s">
        <v>3451</v>
      </c>
    </row>
    <row r="472" customFormat="false" ht="15" hidden="false" customHeight="false" outlineLevel="0" collapsed="false">
      <c r="A472" s="25" t="n">
        <f aca="false">IF(G472="REJECT",COUNTIF($G$2:$G$2277,"&lt;&gt;REJECT")+1+COUNTIFS($G$2:$G$2277,"REJECT",$B$2:$B$2277,"&gt;"&amp;B472),1+COUNTIFS($G$2:$G$2277,"&lt;&gt;REJECT",$B$2:$B$2277,"&gt;"&amp;B472))</f>
        <v>471</v>
      </c>
      <c r="B472" s="26" t="n">
        <f aca="false">ROUND(($U$2*MAX(0,MIN(1,($W$2-I472)/($W$2-$V$2)))+$U$3*MAX(0,MIN(1,($W$3-J472)/($W$3-$V$3)))+$U$4*MAX(0,MIN(1,($W$4-K472)/($W$4-$V$4)))+$U$5*MAX(0,MIN(1,($W$5-L472)/($W$5-$V$5)))+$U$6*MAX(0,MIN(1,($W$6-M472)/($W$6-$V$6)))+$U$7*MAX(0,MIN(1,($W$7-N472)/($W$7-$V$7)))+$U$8*IF(AND(O472&gt;=$V$8,O472&lt;=$W$8),1,0))/$U$9*100,2)</f>
        <v>90.65</v>
      </c>
      <c r="C472" s="27" t="s">
        <v>1406</v>
      </c>
      <c r="D472" s="25" t="s">
        <v>134</v>
      </c>
      <c r="E472" s="25" t="s">
        <v>3447</v>
      </c>
      <c r="F472" s="25" t="s">
        <v>3448</v>
      </c>
      <c r="G472" s="28" t="s">
        <v>29</v>
      </c>
      <c r="H472" s="28" t="s">
        <v>25</v>
      </c>
      <c r="I472" s="25" t="n">
        <v>0</v>
      </c>
      <c r="J472" s="25" t="n">
        <v>0</v>
      </c>
      <c r="K472" s="25" t="n">
        <v>0</v>
      </c>
      <c r="L472" s="29" t="n">
        <v>0.71</v>
      </c>
      <c r="M472" s="30" t="n">
        <v>14.12</v>
      </c>
      <c r="N472" s="29" t="n">
        <v>0.96</v>
      </c>
      <c r="O472" s="25" t="n">
        <v>209</v>
      </c>
      <c r="P472" s="30" t="n">
        <v>-1.8</v>
      </c>
      <c r="Q472" s="27"/>
      <c r="R472" s="27" t="s">
        <v>64</v>
      </c>
    </row>
    <row r="473" customFormat="false" ht="15" hidden="false" customHeight="false" outlineLevel="0" collapsed="false">
      <c r="A473" s="25" t="n">
        <f aca="false">IF(G473="REJECT",COUNTIF($G$2:$G$2277,"&lt;&gt;REJECT")+1+COUNTIFS($G$2:$G$2277,"REJECT",$B$2:$B$2277,"&gt;"&amp;B473),1+COUNTIFS($G$2:$G$2277,"&lt;&gt;REJECT",$B$2:$B$2277,"&gt;"&amp;B473))</f>
        <v>472</v>
      </c>
      <c r="B473" s="26" t="n">
        <f aca="false">ROUND(($U$2*MAX(0,MIN(1,($W$2-I473)/($W$2-$V$2)))+$U$3*MAX(0,MIN(1,($W$3-J473)/($W$3-$V$3)))+$U$4*MAX(0,MIN(1,($W$4-K473)/($W$4-$V$4)))+$U$5*MAX(0,MIN(1,($W$5-L473)/($W$5-$V$5)))+$U$6*MAX(0,MIN(1,($W$6-M473)/($W$6-$V$6)))+$U$7*MAX(0,MIN(1,($W$7-N473)/($W$7-$V$7)))+$U$8*IF(AND(O473&gt;=$V$8,O473&lt;=$W$8),1,0))/$U$9*100,2)</f>
        <v>90.62</v>
      </c>
      <c r="C473" s="27" t="s">
        <v>964</v>
      </c>
      <c r="D473" s="25" t="s">
        <v>134</v>
      </c>
      <c r="E473" s="25" t="s">
        <v>3450</v>
      </c>
      <c r="F473" s="25" t="s">
        <v>3457</v>
      </c>
      <c r="G473" s="28" t="s">
        <v>29</v>
      </c>
      <c r="H473" s="28" t="s">
        <v>25</v>
      </c>
      <c r="I473" s="25" t="n">
        <v>0</v>
      </c>
      <c r="J473" s="25" t="n">
        <v>0</v>
      </c>
      <c r="K473" s="25" t="n">
        <v>0</v>
      </c>
      <c r="L473" s="29" t="n">
        <v>0.67</v>
      </c>
      <c r="M473" s="30" t="n">
        <v>5.09</v>
      </c>
      <c r="N473" s="29" t="n">
        <v>0.44</v>
      </c>
      <c r="O473" s="25" t="n">
        <v>183</v>
      </c>
      <c r="P473" s="30" t="n">
        <v>-1.21</v>
      </c>
      <c r="Q473" s="27"/>
      <c r="R473" s="27" t="s">
        <v>62</v>
      </c>
    </row>
    <row r="474" customFormat="false" ht="15" hidden="false" customHeight="false" outlineLevel="0" collapsed="false">
      <c r="A474" s="25" t="n">
        <f aca="false">IF(G474="REJECT",COUNTIF($G$2:$G$2277,"&lt;&gt;REJECT")+1+COUNTIFS($G$2:$G$2277,"REJECT",$B$2:$B$2277,"&gt;"&amp;B474),1+COUNTIFS($G$2:$G$2277,"&lt;&gt;REJECT",$B$2:$B$2277,"&gt;"&amp;B474))</f>
        <v>473</v>
      </c>
      <c r="B474" s="26" t="n">
        <f aca="false">ROUND(($U$2*MAX(0,MIN(1,($W$2-I474)/($W$2-$V$2)))+$U$3*MAX(0,MIN(1,($W$3-J474)/($W$3-$V$3)))+$U$4*MAX(0,MIN(1,($W$4-K474)/($W$4-$V$4)))+$U$5*MAX(0,MIN(1,($W$5-L474)/($W$5-$V$5)))+$U$6*MAX(0,MIN(1,($W$6-M474)/($W$6-$V$6)))+$U$7*MAX(0,MIN(1,($W$7-N474)/($W$7-$V$7)))+$U$8*IF(AND(O474&gt;=$V$8,O474&lt;=$W$8),1,0))/$U$9*100,2)</f>
        <v>90.6</v>
      </c>
      <c r="C474" s="27" t="s">
        <v>1589</v>
      </c>
      <c r="D474" s="25" t="s">
        <v>3459</v>
      </c>
      <c r="E474" s="25" t="s">
        <v>3450</v>
      </c>
      <c r="F474" s="25" t="s">
        <v>3448</v>
      </c>
      <c r="G474" s="28" t="s">
        <v>29</v>
      </c>
      <c r="H474" s="28" t="s">
        <v>25</v>
      </c>
      <c r="I474" s="25" t="n">
        <v>0</v>
      </c>
      <c r="J474" s="25" t="n">
        <v>0</v>
      </c>
      <c r="K474" s="25" t="n">
        <v>0</v>
      </c>
      <c r="L474" s="29" t="n">
        <v>0.72</v>
      </c>
      <c r="M474" s="30" t="n">
        <v>25.18</v>
      </c>
      <c r="N474" s="29" t="n">
        <v>0.24</v>
      </c>
      <c r="O474" s="25" t="n">
        <v>183</v>
      </c>
      <c r="P474" s="30" t="n">
        <v>9.12</v>
      </c>
      <c r="Q474" s="27"/>
      <c r="R474" s="27" t="s">
        <v>61</v>
      </c>
    </row>
    <row r="475" customFormat="false" ht="15" hidden="false" customHeight="false" outlineLevel="0" collapsed="false">
      <c r="A475" s="25" t="n">
        <f aca="false">IF(G475="REJECT",COUNTIF($G$2:$G$2277,"&lt;&gt;REJECT")+1+COUNTIFS($G$2:$G$2277,"REJECT",$B$2:$B$2277,"&gt;"&amp;B475),1+COUNTIFS($G$2:$G$2277,"&lt;&gt;REJECT",$B$2:$B$2277,"&gt;"&amp;B475))</f>
        <v>474</v>
      </c>
      <c r="B475" s="26" t="n">
        <f aca="false">ROUND(($U$2*MAX(0,MIN(1,($W$2-I475)/($W$2-$V$2)))+$U$3*MAX(0,MIN(1,($W$3-J475)/($W$3-$V$3)))+$U$4*MAX(0,MIN(1,($W$4-K475)/($W$4-$V$4)))+$U$5*MAX(0,MIN(1,($W$5-L475)/($W$5-$V$5)))+$U$6*MAX(0,MIN(1,($W$6-M475)/($W$6-$V$6)))+$U$7*MAX(0,MIN(1,($W$7-N475)/($W$7-$V$7)))+$U$8*IF(AND(O475&gt;=$V$8,O475&lt;=$W$8),1,0))/$U$9*100,2)</f>
        <v>90.58</v>
      </c>
      <c r="C475" s="27" t="s">
        <v>3051</v>
      </c>
      <c r="D475" s="25" t="s">
        <v>134</v>
      </c>
      <c r="E475" s="25" t="s">
        <v>3447</v>
      </c>
      <c r="F475" s="25" t="s">
        <v>3448</v>
      </c>
      <c r="G475" s="38" t="s">
        <v>30</v>
      </c>
      <c r="H475" s="28" t="s">
        <v>25</v>
      </c>
      <c r="I475" s="25" t="n">
        <v>1</v>
      </c>
      <c r="J475" s="25" t="n">
        <v>0</v>
      </c>
      <c r="K475" s="25" t="n">
        <v>1</v>
      </c>
      <c r="L475" s="29" t="n">
        <v>0.82</v>
      </c>
      <c r="M475" s="30" t="n">
        <v>12.6</v>
      </c>
      <c r="N475" s="29" t="n">
        <v>0.64</v>
      </c>
      <c r="O475" s="25" t="n">
        <v>189</v>
      </c>
      <c r="P475" s="30" t="n">
        <v>-1.53</v>
      </c>
      <c r="Q475" s="27" t="s">
        <v>3474</v>
      </c>
      <c r="R475" s="27" t="s">
        <v>2133</v>
      </c>
    </row>
    <row r="476" customFormat="false" ht="15" hidden="false" customHeight="false" outlineLevel="0" collapsed="false">
      <c r="A476" s="25" t="n">
        <f aca="false">IF(G476="REJECT",COUNTIF($G$2:$G$2277,"&lt;&gt;REJECT")+1+COUNTIFS($G$2:$G$2277,"REJECT",$B$2:$B$2277,"&gt;"&amp;B476),1+COUNTIFS($G$2:$G$2277,"&lt;&gt;REJECT",$B$2:$B$2277,"&gt;"&amp;B476))</f>
        <v>475</v>
      </c>
      <c r="B476" s="26" t="n">
        <f aca="false">ROUND(($U$2*MAX(0,MIN(1,($W$2-I476)/($W$2-$V$2)))+$U$3*MAX(0,MIN(1,($W$3-J476)/($W$3-$V$3)))+$U$4*MAX(0,MIN(1,($W$4-K476)/($W$4-$V$4)))+$U$5*MAX(0,MIN(1,($W$5-L476)/($W$5-$V$5)))+$U$6*MAX(0,MIN(1,($W$6-M476)/($W$6-$V$6)))+$U$7*MAX(0,MIN(1,($W$7-N476)/($W$7-$V$7)))+$U$8*IF(AND(O476&gt;=$V$8,O476&lt;=$W$8),1,0))/$U$9*100,2)</f>
        <v>90.56</v>
      </c>
      <c r="C476" s="27" t="s">
        <v>797</v>
      </c>
      <c r="D476" s="25" t="s">
        <v>134</v>
      </c>
      <c r="E476" s="25" t="s">
        <v>3447</v>
      </c>
      <c r="F476" s="25" t="s">
        <v>3448</v>
      </c>
      <c r="G476" s="38" t="s">
        <v>30</v>
      </c>
      <c r="H476" s="33" t="s">
        <v>24</v>
      </c>
      <c r="I476" s="25" t="n">
        <v>1</v>
      </c>
      <c r="J476" s="25" t="n">
        <v>0</v>
      </c>
      <c r="K476" s="25" t="n">
        <v>1</v>
      </c>
      <c r="L476" s="29" t="n">
        <v>0.78</v>
      </c>
      <c r="M476" s="30" t="n">
        <v>7.94</v>
      </c>
      <c r="N476" s="29" t="n">
        <v>0.4</v>
      </c>
      <c r="O476" s="25" t="n">
        <v>195</v>
      </c>
      <c r="P476" s="30" t="n">
        <v>8.97</v>
      </c>
      <c r="Q476" s="27" t="s">
        <v>3475</v>
      </c>
      <c r="R476" s="27" t="s">
        <v>30</v>
      </c>
    </row>
    <row r="477" customFormat="false" ht="15" hidden="false" customHeight="false" outlineLevel="0" collapsed="false">
      <c r="A477" s="25" t="n">
        <f aca="false">IF(G477="REJECT",COUNTIF($G$2:$G$2277,"&lt;&gt;REJECT")+1+COUNTIFS($G$2:$G$2277,"REJECT",$B$2:$B$2277,"&gt;"&amp;B477),1+COUNTIFS($G$2:$G$2277,"&lt;&gt;REJECT",$B$2:$B$2277,"&gt;"&amp;B477))</f>
        <v>475</v>
      </c>
      <c r="B477" s="26" t="n">
        <f aca="false">ROUND(($U$2*MAX(0,MIN(1,($W$2-I477)/($W$2-$V$2)))+$U$3*MAX(0,MIN(1,($W$3-J477)/($W$3-$V$3)))+$U$4*MAX(0,MIN(1,($W$4-K477)/($W$4-$V$4)))+$U$5*MAX(0,MIN(1,($W$5-L477)/($W$5-$V$5)))+$U$6*MAX(0,MIN(1,($W$6-M477)/($W$6-$V$6)))+$U$7*MAX(0,MIN(1,($W$7-N477)/($W$7-$V$7)))+$U$8*IF(AND(O477&gt;=$V$8,O477&lt;=$W$8),1,0))/$U$9*100,2)</f>
        <v>90.56</v>
      </c>
      <c r="C477" s="27" t="s">
        <v>937</v>
      </c>
      <c r="D477" s="25" t="s">
        <v>134</v>
      </c>
      <c r="E477" s="25" t="s">
        <v>3447</v>
      </c>
      <c r="F477" s="25" t="s">
        <v>3448</v>
      </c>
      <c r="G477" s="38" t="s">
        <v>30</v>
      </c>
      <c r="H477" s="28" t="s">
        <v>25</v>
      </c>
      <c r="I477" s="25" t="n">
        <v>1</v>
      </c>
      <c r="J477" s="25" t="n">
        <v>0</v>
      </c>
      <c r="K477" s="25" t="n">
        <v>1</v>
      </c>
      <c r="L477" s="29" t="n">
        <v>0.91</v>
      </c>
      <c r="M477" s="30" t="n">
        <v>14.33</v>
      </c>
      <c r="N477" s="29" t="n">
        <v>0.48</v>
      </c>
      <c r="O477" s="25" t="n">
        <v>187</v>
      </c>
      <c r="P477" s="30" t="n">
        <v>-1.39</v>
      </c>
      <c r="Q477" s="27" t="s">
        <v>3476</v>
      </c>
      <c r="R477" s="27" t="s">
        <v>2610</v>
      </c>
    </row>
    <row r="478" customFormat="false" ht="15" hidden="false" customHeight="false" outlineLevel="0" collapsed="false">
      <c r="A478" s="25" t="n">
        <f aca="false">IF(G478="REJECT",COUNTIF($G$2:$G$2277,"&lt;&gt;REJECT")+1+COUNTIFS($G$2:$G$2277,"REJECT",$B$2:$B$2277,"&gt;"&amp;B478),1+COUNTIFS($G$2:$G$2277,"&lt;&gt;REJECT",$B$2:$B$2277,"&gt;"&amp;B478))</f>
        <v>477</v>
      </c>
      <c r="B478" s="26" t="n">
        <f aca="false">ROUND(($U$2*MAX(0,MIN(1,($W$2-I478)/($W$2-$V$2)))+$U$3*MAX(0,MIN(1,($W$3-J478)/($W$3-$V$3)))+$U$4*MAX(0,MIN(1,($W$4-K478)/($W$4-$V$4)))+$U$5*MAX(0,MIN(1,($W$5-L478)/($W$5-$V$5)))+$U$6*MAX(0,MIN(1,($W$6-M478)/($W$6-$V$6)))+$U$7*MAX(0,MIN(1,($W$7-N478)/($W$7-$V$7)))+$U$8*IF(AND(O478&gt;=$V$8,O478&lt;=$W$8),1,0))/$U$9*100,2)</f>
        <v>90.55</v>
      </c>
      <c r="C478" s="27" t="s">
        <v>1103</v>
      </c>
      <c r="D478" s="25" t="s">
        <v>3459</v>
      </c>
      <c r="E478" s="25" t="s">
        <v>3450</v>
      </c>
      <c r="F478" s="25" t="s">
        <v>3457</v>
      </c>
      <c r="G478" s="28" t="s">
        <v>29</v>
      </c>
      <c r="H478" s="28" t="s">
        <v>25</v>
      </c>
      <c r="I478" s="25" t="n">
        <v>0</v>
      </c>
      <c r="J478" s="25" t="n">
        <v>0</v>
      </c>
      <c r="K478" s="25" t="n">
        <v>0</v>
      </c>
      <c r="L478" s="29" t="n">
        <v>0.71</v>
      </c>
      <c r="M478" s="30" t="n">
        <v>17.52</v>
      </c>
      <c r="N478" s="29" t="n">
        <v>0.68</v>
      </c>
      <c r="O478" s="25" t="n">
        <v>194</v>
      </c>
      <c r="P478" s="30" t="n">
        <v>-0.83</v>
      </c>
      <c r="Q478" s="27"/>
      <c r="R478" s="27" t="s">
        <v>62</v>
      </c>
    </row>
    <row r="479" customFormat="false" ht="15" hidden="false" customHeight="false" outlineLevel="0" collapsed="false">
      <c r="A479" s="25" t="n">
        <f aca="false">IF(G479="REJECT",COUNTIF($G$2:$G$2277,"&lt;&gt;REJECT")+1+COUNTIFS($G$2:$G$2277,"REJECT",$B$2:$B$2277,"&gt;"&amp;B479),1+COUNTIFS($G$2:$G$2277,"&lt;&gt;REJECT",$B$2:$B$2277,"&gt;"&amp;B479))</f>
        <v>477</v>
      </c>
      <c r="B479" s="26" t="n">
        <f aca="false">ROUND(($U$2*MAX(0,MIN(1,($W$2-I479)/($W$2-$V$2)))+$U$3*MAX(0,MIN(1,($W$3-J479)/($W$3-$V$3)))+$U$4*MAX(0,MIN(1,($W$4-K479)/($W$4-$V$4)))+$U$5*MAX(0,MIN(1,($W$5-L479)/($W$5-$V$5)))+$U$6*MAX(0,MIN(1,($W$6-M479)/($W$6-$V$6)))+$U$7*MAX(0,MIN(1,($W$7-N479)/($W$7-$V$7)))+$U$8*IF(AND(O479&gt;=$V$8,O479&lt;=$W$8),1,0))/$U$9*100,2)</f>
        <v>90.55</v>
      </c>
      <c r="C479" s="27" t="s">
        <v>1955</v>
      </c>
      <c r="D479" s="25" t="s">
        <v>3459</v>
      </c>
      <c r="E479" s="25" t="s">
        <v>3450</v>
      </c>
      <c r="F479" s="25" t="s">
        <v>3457</v>
      </c>
      <c r="G479" s="33" t="s">
        <v>28</v>
      </c>
      <c r="H479" s="33" t="s">
        <v>24</v>
      </c>
      <c r="I479" s="25" t="n">
        <v>0</v>
      </c>
      <c r="J479" s="25" t="n">
        <v>0</v>
      </c>
      <c r="K479" s="25" t="n">
        <v>0</v>
      </c>
      <c r="L479" s="29" t="n">
        <v>0.71</v>
      </c>
      <c r="M479" s="30" t="n">
        <v>14.72</v>
      </c>
      <c r="N479" s="29" t="n">
        <v>0.96</v>
      </c>
      <c r="O479" s="25" t="n">
        <v>184</v>
      </c>
      <c r="P479" s="30" t="n">
        <v>8.35</v>
      </c>
      <c r="Q479" s="27"/>
      <c r="R479" s="27"/>
    </row>
    <row r="480" customFormat="false" ht="15" hidden="false" customHeight="false" outlineLevel="0" collapsed="false">
      <c r="A480" s="25" t="n">
        <f aca="false">IF(G480="REJECT",COUNTIF($G$2:$G$2277,"&lt;&gt;REJECT")+1+COUNTIFS($G$2:$G$2277,"REJECT",$B$2:$B$2277,"&gt;"&amp;B480),1+COUNTIFS($G$2:$G$2277,"&lt;&gt;REJECT",$B$2:$B$2277,"&gt;"&amp;B480))</f>
        <v>479</v>
      </c>
      <c r="B480" s="26" t="n">
        <f aca="false">ROUND(($U$2*MAX(0,MIN(1,($W$2-I480)/($W$2-$V$2)))+$U$3*MAX(0,MIN(1,($W$3-J480)/($W$3-$V$3)))+$U$4*MAX(0,MIN(1,($W$4-K480)/($W$4-$V$4)))+$U$5*MAX(0,MIN(1,($W$5-L480)/($W$5-$V$5)))+$U$6*MAX(0,MIN(1,($W$6-M480)/($W$6-$V$6)))+$U$7*MAX(0,MIN(1,($W$7-N480)/($W$7-$V$7)))+$U$8*IF(AND(O480&gt;=$V$8,O480&lt;=$W$8),1,0))/$U$9*100,2)</f>
        <v>90.54</v>
      </c>
      <c r="C480" s="27" t="s">
        <v>2143</v>
      </c>
      <c r="D480" s="25" t="s">
        <v>134</v>
      </c>
      <c r="E480" s="25" t="s">
        <v>3450</v>
      </c>
      <c r="F480" s="25" t="s">
        <v>3448</v>
      </c>
      <c r="G480" s="28" t="s">
        <v>29</v>
      </c>
      <c r="H480" s="28" t="s">
        <v>25</v>
      </c>
      <c r="I480" s="25" t="n">
        <v>0</v>
      </c>
      <c r="J480" s="25" t="n">
        <v>0</v>
      </c>
      <c r="K480" s="25" t="n">
        <v>0</v>
      </c>
      <c r="L480" s="29" t="n">
        <v>0.7</v>
      </c>
      <c r="M480" s="30" t="n">
        <v>13.15</v>
      </c>
      <c r="N480" s="29" t="n">
        <v>0.76</v>
      </c>
      <c r="O480" s="25" t="n">
        <v>206</v>
      </c>
      <c r="P480" s="30" t="n">
        <v>-0.36</v>
      </c>
      <c r="Q480" s="27"/>
      <c r="R480" s="27" t="s">
        <v>3466</v>
      </c>
    </row>
    <row r="481" customFormat="false" ht="15" hidden="false" customHeight="false" outlineLevel="0" collapsed="false">
      <c r="A481" s="25" t="n">
        <f aca="false">IF(G481="REJECT",COUNTIF($G$2:$G$2277,"&lt;&gt;REJECT")+1+COUNTIFS($G$2:$G$2277,"REJECT",$B$2:$B$2277,"&gt;"&amp;B481),1+COUNTIFS($G$2:$G$2277,"&lt;&gt;REJECT",$B$2:$B$2277,"&gt;"&amp;B481))</f>
        <v>479</v>
      </c>
      <c r="B481" s="26" t="n">
        <f aca="false">ROUND(($U$2*MAX(0,MIN(1,($W$2-I481)/($W$2-$V$2)))+$U$3*MAX(0,MIN(1,($W$3-J481)/($W$3-$V$3)))+$U$4*MAX(0,MIN(1,($W$4-K481)/($W$4-$V$4)))+$U$5*MAX(0,MIN(1,($W$5-L481)/($W$5-$V$5)))+$U$6*MAX(0,MIN(1,($W$6-M481)/($W$6-$V$6)))+$U$7*MAX(0,MIN(1,($W$7-N481)/($W$7-$V$7)))+$U$8*IF(AND(O481&gt;=$V$8,O481&lt;=$W$8),1,0))/$U$9*100,2)</f>
        <v>90.54</v>
      </c>
      <c r="C481" s="27" t="s">
        <v>2641</v>
      </c>
      <c r="D481" s="25" t="s">
        <v>134</v>
      </c>
      <c r="E481" s="25" t="s">
        <v>3450</v>
      </c>
      <c r="F481" s="25" t="s">
        <v>3457</v>
      </c>
      <c r="G481" s="33" t="s">
        <v>28</v>
      </c>
      <c r="H481" s="33" t="s">
        <v>24</v>
      </c>
      <c r="I481" s="25" t="n">
        <v>0</v>
      </c>
      <c r="J481" s="25" t="n">
        <v>0</v>
      </c>
      <c r="K481" s="25" t="n">
        <v>0</v>
      </c>
      <c r="L481" s="29" t="n">
        <v>0.7</v>
      </c>
      <c r="M481" s="30" t="n">
        <v>14.39</v>
      </c>
      <c r="N481" s="29" t="n">
        <v>0.64</v>
      </c>
      <c r="O481" s="25" t="n">
        <v>183</v>
      </c>
      <c r="P481" s="30" t="n">
        <v>8.58</v>
      </c>
      <c r="Q481" s="27"/>
      <c r="R481" s="27"/>
    </row>
    <row r="482" customFormat="false" ht="15" hidden="false" customHeight="false" outlineLevel="0" collapsed="false">
      <c r="A482" s="25" t="n">
        <f aca="false">IF(G482="REJECT",COUNTIF($G$2:$G$2277,"&lt;&gt;REJECT")+1+COUNTIFS($G$2:$G$2277,"REJECT",$B$2:$B$2277,"&gt;"&amp;B482),1+COUNTIFS($G$2:$G$2277,"&lt;&gt;REJECT",$B$2:$B$2277,"&gt;"&amp;B482))</f>
        <v>481</v>
      </c>
      <c r="B482" s="26" t="n">
        <f aca="false">ROUND(($U$2*MAX(0,MIN(1,($W$2-I482)/($W$2-$V$2)))+$U$3*MAX(0,MIN(1,($W$3-J482)/($W$3-$V$3)))+$U$4*MAX(0,MIN(1,($W$4-K482)/($W$4-$V$4)))+$U$5*MAX(0,MIN(1,($W$5-L482)/($W$5-$V$5)))+$U$6*MAX(0,MIN(1,($W$6-M482)/($W$6-$V$6)))+$U$7*MAX(0,MIN(1,($W$7-N482)/($W$7-$V$7)))+$U$8*IF(AND(O482&gt;=$V$8,O482&lt;=$W$8),1,0))/$U$9*100,2)</f>
        <v>90.53</v>
      </c>
      <c r="C482" s="27" t="s">
        <v>3418</v>
      </c>
      <c r="D482" s="25" t="s">
        <v>134</v>
      </c>
      <c r="E482" s="25" t="s">
        <v>3450</v>
      </c>
      <c r="F482" s="25" t="s">
        <v>3448</v>
      </c>
      <c r="G482" s="28" t="s">
        <v>29</v>
      </c>
      <c r="H482" s="28" t="s">
        <v>25</v>
      </c>
      <c r="I482" s="25" t="n">
        <v>0</v>
      </c>
      <c r="J482" s="25" t="n">
        <v>0</v>
      </c>
      <c r="K482" s="25" t="n">
        <v>0</v>
      </c>
      <c r="L482" s="29" t="n">
        <v>0.73</v>
      </c>
      <c r="M482" s="30" t="n">
        <v>30.8</v>
      </c>
      <c r="N482" s="29" t="n">
        <v>0.16</v>
      </c>
      <c r="O482" s="25" t="n">
        <v>191</v>
      </c>
      <c r="P482" s="30" t="n">
        <v>10.19</v>
      </c>
      <c r="Q482" s="27"/>
      <c r="R482" s="27" t="s">
        <v>66</v>
      </c>
    </row>
    <row r="483" customFormat="false" ht="15" hidden="false" customHeight="false" outlineLevel="0" collapsed="false">
      <c r="A483" s="25" t="n">
        <f aca="false">IF(G483="REJECT",COUNTIF($G$2:$G$2277,"&lt;&gt;REJECT")+1+COUNTIFS($G$2:$G$2277,"REJECT",$B$2:$B$2277,"&gt;"&amp;B483),1+COUNTIFS($G$2:$G$2277,"&lt;&gt;REJECT",$B$2:$B$2277,"&gt;"&amp;B483))</f>
        <v>482</v>
      </c>
      <c r="B483" s="26" t="n">
        <f aca="false">ROUND(($U$2*MAX(0,MIN(1,($W$2-I483)/($W$2-$V$2)))+$U$3*MAX(0,MIN(1,($W$3-J483)/($W$3-$V$3)))+$U$4*MAX(0,MIN(1,($W$4-K483)/($W$4-$V$4)))+$U$5*MAX(0,MIN(1,($W$5-L483)/($W$5-$V$5)))+$U$6*MAX(0,MIN(1,($W$6-M483)/($W$6-$V$6)))+$U$7*MAX(0,MIN(1,($W$7-N483)/($W$7-$V$7)))+$U$8*IF(AND(O483&gt;=$V$8,O483&lt;=$W$8),1,0))/$U$9*100,2)</f>
        <v>90.48</v>
      </c>
      <c r="C483" s="27" t="s">
        <v>3111</v>
      </c>
      <c r="D483" s="25" t="s">
        <v>3459</v>
      </c>
      <c r="E483" s="25" t="s">
        <v>3447</v>
      </c>
      <c r="F483" s="25" t="s">
        <v>3457</v>
      </c>
      <c r="G483" s="28" t="s">
        <v>29</v>
      </c>
      <c r="H483" s="28" t="s">
        <v>25</v>
      </c>
      <c r="I483" s="25" t="n">
        <v>0</v>
      </c>
      <c r="J483" s="25" t="n">
        <v>0</v>
      </c>
      <c r="K483" s="25" t="n">
        <v>0</v>
      </c>
      <c r="L483" s="29" t="n">
        <v>0.71</v>
      </c>
      <c r="M483" s="30" t="n">
        <v>21.5</v>
      </c>
      <c r="N483" s="29" t="n">
        <v>0.32</v>
      </c>
      <c r="O483" s="25" t="n">
        <v>188</v>
      </c>
      <c r="P483" s="30" t="n">
        <v>6.79</v>
      </c>
      <c r="Q483" s="27"/>
      <c r="R483" s="27" t="s">
        <v>61</v>
      </c>
    </row>
    <row r="484" customFormat="false" ht="15" hidden="false" customHeight="false" outlineLevel="0" collapsed="false">
      <c r="A484" s="25" t="n">
        <f aca="false">IF(G484="REJECT",COUNTIF($G$2:$G$2277,"&lt;&gt;REJECT")+1+COUNTIFS($G$2:$G$2277,"REJECT",$B$2:$B$2277,"&gt;"&amp;B484),1+COUNTIFS($G$2:$G$2277,"&lt;&gt;REJECT",$B$2:$B$2277,"&gt;"&amp;B484))</f>
        <v>483</v>
      </c>
      <c r="B484" s="26" t="n">
        <f aca="false">ROUND(($U$2*MAX(0,MIN(1,($W$2-I484)/($W$2-$V$2)))+$U$3*MAX(0,MIN(1,($W$3-J484)/($W$3-$V$3)))+$U$4*MAX(0,MIN(1,($W$4-K484)/($W$4-$V$4)))+$U$5*MAX(0,MIN(1,($W$5-L484)/($W$5-$V$5)))+$U$6*MAX(0,MIN(1,($W$6-M484)/($W$6-$V$6)))+$U$7*MAX(0,MIN(1,($W$7-N484)/($W$7-$V$7)))+$U$8*IF(AND(O484&gt;=$V$8,O484&lt;=$W$8),1,0))/$U$9*100,2)</f>
        <v>90.45</v>
      </c>
      <c r="C484" s="27" t="s">
        <v>584</v>
      </c>
      <c r="D484" s="25" t="s">
        <v>3459</v>
      </c>
      <c r="E484" s="25" t="s">
        <v>3447</v>
      </c>
      <c r="F484" s="25" t="s">
        <v>3457</v>
      </c>
      <c r="G484" s="28" t="s">
        <v>29</v>
      </c>
      <c r="H484" s="28" t="s">
        <v>25</v>
      </c>
      <c r="I484" s="25" t="n">
        <v>0</v>
      </c>
      <c r="J484" s="25" t="n">
        <v>0</v>
      </c>
      <c r="K484" s="25" t="n">
        <v>0</v>
      </c>
      <c r="L484" s="29" t="n">
        <v>0.73</v>
      </c>
      <c r="M484" s="30" t="n">
        <v>24.48</v>
      </c>
      <c r="N484" s="29" t="n">
        <v>0.76</v>
      </c>
      <c r="O484" s="25" t="n">
        <v>184</v>
      </c>
      <c r="P484" s="30" t="n">
        <v>-0.63</v>
      </c>
      <c r="Q484" s="27"/>
      <c r="R484" s="27" t="s">
        <v>61</v>
      </c>
    </row>
    <row r="485" customFormat="false" ht="15" hidden="false" customHeight="false" outlineLevel="0" collapsed="false">
      <c r="A485" s="25" t="n">
        <f aca="false">IF(G485="REJECT",COUNTIF($G$2:$G$2277,"&lt;&gt;REJECT")+1+COUNTIFS($G$2:$G$2277,"REJECT",$B$2:$B$2277,"&gt;"&amp;B485),1+COUNTIFS($G$2:$G$2277,"&lt;&gt;REJECT",$B$2:$B$2277,"&gt;"&amp;B485))</f>
        <v>483</v>
      </c>
      <c r="B485" s="26" t="n">
        <f aca="false">ROUND(($U$2*MAX(0,MIN(1,($W$2-I485)/($W$2-$V$2)))+$U$3*MAX(0,MIN(1,($W$3-J485)/($W$3-$V$3)))+$U$4*MAX(0,MIN(1,($W$4-K485)/($W$4-$V$4)))+$U$5*MAX(0,MIN(1,($W$5-L485)/($W$5-$V$5)))+$U$6*MAX(0,MIN(1,($W$6-M485)/($W$6-$V$6)))+$U$7*MAX(0,MIN(1,($W$7-N485)/($W$7-$V$7)))+$U$8*IF(AND(O485&gt;=$V$8,O485&lt;=$W$8),1,0))/$U$9*100,2)</f>
        <v>90.45</v>
      </c>
      <c r="C485" s="27" t="s">
        <v>1068</v>
      </c>
      <c r="D485" s="25" t="s">
        <v>3459</v>
      </c>
      <c r="E485" s="25" t="s">
        <v>3450</v>
      </c>
      <c r="F485" s="25" t="s">
        <v>3448</v>
      </c>
      <c r="G485" s="33" t="s">
        <v>28</v>
      </c>
      <c r="H485" s="33" t="s">
        <v>24</v>
      </c>
      <c r="I485" s="25" t="n">
        <v>0</v>
      </c>
      <c r="J485" s="25" t="n">
        <v>0</v>
      </c>
      <c r="K485" s="25" t="n">
        <v>0</v>
      </c>
      <c r="L485" s="29" t="n">
        <v>0.7</v>
      </c>
      <c r="M485" s="30" t="n">
        <v>18.48</v>
      </c>
      <c r="N485" s="29" t="n">
        <v>0.28</v>
      </c>
      <c r="O485" s="25" t="n">
        <v>183</v>
      </c>
      <c r="P485" s="30" t="n">
        <v>9.59</v>
      </c>
      <c r="Q485" s="27"/>
      <c r="R485" s="27"/>
    </row>
    <row r="486" customFormat="false" ht="15" hidden="false" customHeight="false" outlineLevel="0" collapsed="false">
      <c r="A486" s="25" t="n">
        <f aca="false">IF(G486="REJECT",COUNTIF($G$2:$G$2277,"&lt;&gt;REJECT")+1+COUNTIFS($G$2:$G$2277,"REJECT",$B$2:$B$2277,"&gt;"&amp;B486),1+COUNTIFS($G$2:$G$2277,"&lt;&gt;REJECT",$B$2:$B$2277,"&gt;"&amp;B486))</f>
        <v>483</v>
      </c>
      <c r="B486" s="26" t="n">
        <f aca="false">ROUND(($U$2*MAX(0,MIN(1,($W$2-I486)/($W$2-$V$2)))+$U$3*MAX(0,MIN(1,($W$3-J486)/($W$3-$V$3)))+$U$4*MAX(0,MIN(1,($W$4-K486)/($W$4-$V$4)))+$U$5*MAX(0,MIN(1,($W$5-L486)/($W$5-$V$5)))+$U$6*MAX(0,MIN(1,($W$6-M486)/($W$6-$V$6)))+$U$7*MAX(0,MIN(1,($W$7-N486)/($W$7-$V$7)))+$U$8*IF(AND(O486&gt;=$V$8,O486&lt;=$W$8),1,0))/$U$9*100,2)</f>
        <v>90.45</v>
      </c>
      <c r="C486" s="27" t="s">
        <v>1400</v>
      </c>
      <c r="D486" s="25" t="s">
        <v>3459</v>
      </c>
      <c r="E486" s="25" t="s">
        <v>3447</v>
      </c>
      <c r="F486" s="25" t="s">
        <v>3448</v>
      </c>
      <c r="G486" s="28" t="s">
        <v>29</v>
      </c>
      <c r="H486" s="28" t="s">
        <v>25</v>
      </c>
      <c r="I486" s="25" t="n">
        <v>0</v>
      </c>
      <c r="J486" s="25" t="n">
        <v>0</v>
      </c>
      <c r="K486" s="25" t="n">
        <v>0</v>
      </c>
      <c r="L486" s="29" t="n">
        <v>0.68</v>
      </c>
      <c r="M486" s="30" t="n">
        <v>4.5</v>
      </c>
      <c r="N486" s="29" t="n">
        <v>0.96</v>
      </c>
      <c r="O486" s="25" t="n">
        <v>186</v>
      </c>
      <c r="P486" s="30" t="n">
        <v>-1.08</v>
      </c>
      <c r="Q486" s="27"/>
      <c r="R486" s="27" t="s">
        <v>64</v>
      </c>
    </row>
    <row r="487" customFormat="false" ht="15" hidden="false" customHeight="false" outlineLevel="0" collapsed="false">
      <c r="A487" s="25" t="n">
        <f aca="false">IF(G487="REJECT",COUNTIF($G$2:$G$2277,"&lt;&gt;REJECT")+1+COUNTIFS($G$2:$G$2277,"REJECT",$B$2:$B$2277,"&gt;"&amp;B487),1+COUNTIFS($G$2:$G$2277,"&lt;&gt;REJECT",$B$2:$B$2277,"&gt;"&amp;B487))</f>
        <v>486</v>
      </c>
      <c r="B487" s="26" t="n">
        <f aca="false">ROUND(($U$2*MAX(0,MIN(1,($W$2-I487)/($W$2-$V$2)))+$U$3*MAX(0,MIN(1,($W$3-J487)/($W$3-$V$3)))+$U$4*MAX(0,MIN(1,($W$4-K487)/($W$4-$V$4)))+$U$5*MAX(0,MIN(1,($W$5-L487)/($W$5-$V$5)))+$U$6*MAX(0,MIN(1,($W$6-M487)/($W$6-$V$6)))+$U$7*MAX(0,MIN(1,($W$7-N487)/($W$7-$V$7)))+$U$8*IF(AND(O487&gt;=$V$8,O487&lt;=$W$8),1,0))/$U$9*100,2)</f>
        <v>90.41</v>
      </c>
      <c r="C487" s="27" t="s">
        <v>1253</v>
      </c>
      <c r="D487" s="25" t="s">
        <v>3459</v>
      </c>
      <c r="E487" s="25" t="s">
        <v>3450</v>
      </c>
      <c r="F487" s="25" t="s">
        <v>3457</v>
      </c>
      <c r="G487" s="28" t="s">
        <v>29</v>
      </c>
      <c r="H487" s="28" t="s">
        <v>25</v>
      </c>
      <c r="I487" s="25" t="n">
        <v>0</v>
      </c>
      <c r="J487" s="25" t="n">
        <v>0</v>
      </c>
      <c r="K487" s="25" t="n">
        <v>0</v>
      </c>
      <c r="L487" s="29" t="n">
        <v>0.69</v>
      </c>
      <c r="M487" s="30" t="n">
        <v>9.56</v>
      </c>
      <c r="N487" s="29" t="n">
        <v>0.84</v>
      </c>
      <c r="O487" s="25" t="n">
        <v>184</v>
      </c>
      <c r="P487" s="30" t="n">
        <v>-0.01</v>
      </c>
      <c r="Q487" s="27"/>
      <c r="R487" s="27" t="s">
        <v>62</v>
      </c>
    </row>
    <row r="488" customFormat="false" ht="15" hidden="false" customHeight="false" outlineLevel="0" collapsed="false">
      <c r="A488" s="25" t="n">
        <f aca="false">IF(G488="REJECT",COUNTIF($G$2:$G$2277,"&lt;&gt;REJECT")+1+COUNTIFS($G$2:$G$2277,"REJECT",$B$2:$B$2277,"&gt;"&amp;B488),1+COUNTIFS($G$2:$G$2277,"&lt;&gt;REJECT",$B$2:$B$2277,"&gt;"&amp;B488))</f>
        <v>487</v>
      </c>
      <c r="B488" s="26" t="n">
        <f aca="false">ROUND(($U$2*MAX(0,MIN(1,($W$2-I488)/($W$2-$V$2)))+$U$3*MAX(0,MIN(1,($W$3-J488)/($W$3-$V$3)))+$U$4*MAX(0,MIN(1,($W$4-K488)/($W$4-$V$4)))+$U$5*MAX(0,MIN(1,($W$5-L488)/($W$5-$V$5)))+$U$6*MAX(0,MIN(1,($W$6-M488)/($W$6-$V$6)))+$U$7*MAX(0,MIN(1,($W$7-N488)/($W$7-$V$7)))+$U$8*IF(AND(O488&gt;=$V$8,O488&lt;=$W$8),1,0))/$U$9*100,2)</f>
        <v>90.36</v>
      </c>
      <c r="C488" s="27" t="s">
        <v>2556</v>
      </c>
      <c r="D488" s="25" t="s">
        <v>134</v>
      </c>
      <c r="E488" s="25" t="s">
        <v>3450</v>
      </c>
      <c r="F488" s="25" t="s">
        <v>3448</v>
      </c>
      <c r="G488" s="33" t="s">
        <v>28</v>
      </c>
      <c r="H488" s="33" t="s">
        <v>24</v>
      </c>
      <c r="I488" s="25" t="n">
        <v>0</v>
      </c>
      <c r="J488" s="25" t="n">
        <v>0</v>
      </c>
      <c r="K488" s="25" t="n">
        <v>0</v>
      </c>
      <c r="L488" s="29" t="n">
        <v>0.7</v>
      </c>
      <c r="M488" s="30" t="n">
        <v>16.66</v>
      </c>
      <c r="N488" s="29" t="n">
        <v>0.52</v>
      </c>
      <c r="O488" s="25" t="n">
        <v>183</v>
      </c>
      <c r="P488" s="30" t="n">
        <v>12.89</v>
      </c>
      <c r="Q488" s="27"/>
      <c r="R488" s="27"/>
    </row>
    <row r="489" customFormat="false" ht="15" hidden="false" customHeight="false" outlineLevel="0" collapsed="false">
      <c r="A489" s="25" t="n">
        <f aca="false">IF(G489="REJECT",COUNTIF($G$2:$G$2277,"&lt;&gt;REJECT")+1+COUNTIFS($G$2:$G$2277,"REJECT",$B$2:$B$2277,"&gt;"&amp;B489),1+COUNTIFS($G$2:$G$2277,"&lt;&gt;REJECT",$B$2:$B$2277,"&gt;"&amp;B489))</f>
        <v>488</v>
      </c>
      <c r="B489" s="26" t="n">
        <f aca="false">ROUND(($U$2*MAX(0,MIN(1,($W$2-I489)/($W$2-$V$2)))+$U$3*MAX(0,MIN(1,($W$3-J489)/($W$3-$V$3)))+$U$4*MAX(0,MIN(1,($W$4-K489)/($W$4-$V$4)))+$U$5*MAX(0,MIN(1,($W$5-L489)/($W$5-$V$5)))+$U$6*MAX(0,MIN(1,($W$6-M489)/($W$6-$V$6)))+$U$7*MAX(0,MIN(1,($W$7-N489)/($W$7-$V$7)))+$U$8*IF(AND(O489&gt;=$V$8,O489&lt;=$W$8),1,0))/$U$9*100,2)</f>
        <v>90.35</v>
      </c>
      <c r="C489" s="27" t="s">
        <v>1400</v>
      </c>
      <c r="D489" s="25" t="s">
        <v>3459</v>
      </c>
      <c r="E489" s="25" t="s">
        <v>3450</v>
      </c>
      <c r="F489" s="25" t="s">
        <v>3448</v>
      </c>
      <c r="G489" s="28" t="s">
        <v>29</v>
      </c>
      <c r="H489" s="28" t="s">
        <v>25</v>
      </c>
      <c r="I489" s="25" t="n">
        <v>0</v>
      </c>
      <c r="J489" s="25" t="n">
        <v>0</v>
      </c>
      <c r="K489" s="25" t="n">
        <v>0</v>
      </c>
      <c r="L489" s="29" t="n">
        <v>0.7</v>
      </c>
      <c r="M489" s="30" t="n">
        <v>19.12</v>
      </c>
      <c r="N489" s="29" t="n">
        <v>0.28</v>
      </c>
      <c r="O489" s="25" t="n">
        <v>186</v>
      </c>
      <c r="P489" s="30" t="n">
        <v>3.5</v>
      </c>
      <c r="Q489" s="27"/>
      <c r="R489" s="27" t="s">
        <v>64</v>
      </c>
    </row>
    <row r="490" customFormat="false" ht="15" hidden="false" customHeight="false" outlineLevel="0" collapsed="false">
      <c r="A490" s="25" t="n">
        <f aca="false">IF(G490="REJECT",COUNTIF($G$2:$G$2277,"&lt;&gt;REJECT")+1+COUNTIFS($G$2:$G$2277,"REJECT",$B$2:$B$2277,"&gt;"&amp;B490),1+COUNTIFS($G$2:$G$2277,"&lt;&gt;REJECT",$B$2:$B$2277,"&gt;"&amp;B490))</f>
        <v>489</v>
      </c>
      <c r="B490" s="26" t="n">
        <f aca="false">ROUND(($U$2*MAX(0,MIN(1,($W$2-I490)/($W$2-$V$2)))+$U$3*MAX(0,MIN(1,($W$3-J490)/($W$3-$V$3)))+$U$4*MAX(0,MIN(1,($W$4-K490)/($W$4-$V$4)))+$U$5*MAX(0,MIN(1,($W$5-L490)/($W$5-$V$5)))+$U$6*MAX(0,MIN(1,($W$6-M490)/($W$6-$V$6)))+$U$7*MAX(0,MIN(1,($W$7-N490)/($W$7-$V$7)))+$U$8*IF(AND(O490&gt;=$V$8,O490&lt;=$W$8),1,0))/$U$9*100,2)</f>
        <v>90.34</v>
      </c>
      <c r="C490" s="27" t="s">
        <v>2941</v>
      </c>
      <c r="D490" s="25" t="s">
        <v>134</v>
      </c>
      <c r="E490" s="25" t="s">
        <v>3450</v>
      </c>
      <c r="F490" s="25" t="s">
        <v>3448</v>
      </c>
      <c r="G490" s="38" t="s">
        <v>30</v>
      </c>
      <c r="H490" s="33" t="s">
        <v>24</v>
      </c>
      <c r="I490" s="25" t="n">
        <v>1</v>
      </c>
      <c r="J490" s="25" t="n">
        <v>0</v>
      </c>
      <c r="K490" s="25" t="n">
        <v>1</v>
      </c>
      <c r="L490" s="29" t="n">
        <v>0.78</v>
      </c>
      <c r="M490" s="30" t="n">
        <v>10.04</v>
      </c>
      <c r="N490" s="29" t="n">
        <v>0.32</v>
      </c>
      <c r="O490" s="25" t="n">
        <v>191</v>
      </c>
      <c r="P490" s="30" t="n">
        <v>20.98</v>
      </c>
      <c r="Q490" s="27" t="s">
        <v>3484</v>
      </c>
      <c r="R490" s="27" t="s">
        <v>30</v>
      </c>
    </row>
    <row r="491" customFormat="false" ht="15" hidden="false" customHeight="false" outlineLevel="0" collapsed="false">
      <c r="A491" s="25" t="n">
        <f aca="false">IF(G491="REJECT",COUNTIF($G$2:$G$2277,"&lt;&gt;REJECT")+1+COUNTIFS($G$2:$G$2277,"REJECT",$B$2:$B$2277,"&gt;"&amp;B491),1+COUNTIFS($G$2:$G$2277,"&lt;&gt;REJECT",$B$2:$B$2277,"&gt;"&amp;B491))</f>
        <v>490</v>
      </c>
      <c r="B491" s="26" t="n">
        <f aca="false">ROUND(($U$2*MAX(0,MIN(1,($W$2-I491)/($W$2-$V$2)))+$U$3*MAX(0,MIN(1,($W$3-J491)/($W$3-$V$3)))+$U$4*MAX(0,MIN(1,($W$4-K491)/($W$4-$V$4)))+$U$5*MAX(0,MIN(1,($W$5-L491)/($W$5-$V$5)))+$U$6*MAX(0,MIN(1,($W$6-M491)/($W$6-$V$6)))+$U$7*MAX(0,MIN(1,($W$7-N491)/($W$7-$V$7)))+$U$8*IF(AND(O491&gt;=$V$8,O491&lt;=$W$8),1,0))/$U$9*100,2)</f>
        <v>90.32</v>
      </c>
      <c r="C491" s="27" t="s">
        <v>1726</v>
      </c>
      <c r="D491" s="25" t="s">
        <v>3459</v>
      </c>
      <c r="E491" s="25" t="s">
        <v>3450</v>
      </c>
      <c r="F491" s="25" t="s">
        <v>3448</v>
      </c>
      <c r="G491" s="28" t="s">
        <v>29</v>
      </c>
      <c r="H491" s="28" t="s">
        <v>25</v>
      </c>
      <c r="I491" s="25" t="n">
        <v>0</v>
      </c>
      <c r="J491" s="25" t="n">
        <v>0</v>
      </c>
      <c r="K491" s="25" t="n">
        <v>0</v>
      </c>
      <c r="L491" s="29" t="n">
        <v>0.72</v>
      </c>
      <c r="M491" s="30" t="n">
        <v>20.89</v>
      </c>
      <c r="N491" s="29" t="n">
        <v>0.84</v>
      </c>
      <c r="O491" s="25" t="n">
        <v>194</v>
      </c>
      <c r="P491" s="30" t="n">
        <v>2.98</v>
      </c>
      <c r="Q491" s="27"/>
      <c r="R491" s="27" t="s">
        <v>3113</v>
      </c>
    </row>
    <row r="492" customFormat="false" ht="15" hidden="false" customHeight="false" outlineLevel="0" collapsed="false">
      <c r="A492" s="25" t="n">
        <f aca="false">IF(G492="REJECT",COUNTIF($G$2:$G$2277,"&lt;&gt;REJECT")+1+COUNTIFS($G$2:$G$2277,"REJECT",$B$2:$B$2277,"&gt;"&amp;B492),1+COUNTIFS($G$2:$G$2277,"&lt;&gt;REJECT",$B$2:$B$2277,"&gt;"&amp;B492))</f>
        <v>490</v>
      </c>
      <c r="B492" s="26" t="n">
        <f aca="false">ROUND(($U$2*MAX(0,MIN(1,($W$2-I492)/($W$2-$V$2)))+$U$3*MAX(0,MIN(1,($W$3-J492)/($W$3-$V$3)))+$U$4*MAX(0,MIN(1,($W$4-K492)/($W$4-$V$4)))+$U$5*MAX(0,MIN(1,($W$5-L492)/($W$5-$V$5)))+$U$6*MAX(0,MIN(1,($W$6-M492)/($W$6-$V$6)))+$U$7*MAX(0,MIN(1,($W$7-N492)/($W$7-$V$7)))+$U$8*IF(AND(O492&gt;=$V$8,O492&lt;=$W$8),1,0))/$U$9*100,2)</f>
        <v>90.32</v>
      </c>
      <c r="C492" s="27" t="s">
        <v>3378</v>
      </c>
      <c r="D492" s="25" t="s">
        <v>134</v>
      </c>
      <c r="E492" s="25" t="s">
        <v>3450</v>
      </c>
      <c r="F492" s="25" t="s">
        <v>3457</v>
      </c>
      <c r="G492" s="38" t="s">
        <v>30</v>
      </c>
      <c r="H492" s="33" t="s">
        <v>24</v>
      </c>
      <c r="I492" s="25" t="n">
        <v>1</v>
      </c>
      <c r="J492" s="25" t="n">
        <v>0</v>
      </c>
      <c r="K492" s="25" t="n">
        <v>1</v>
      </c>
      <c r="L492" s="29" t="n">
        <v>0.79</v>
      </c>
      <c r="M492" s="30" t="n">
        <v>13.39</v>
      </c>
      <c r="N492" s="29" t="n">
        <v>0.36</v>
      </c>
      <c r="O492" s="25" t="n">
        <v>195</v>
      </c>
      <c r="P492" s="30" t="n">
        <v>19.59</v>
      </c>
      <c r="Q492" s="27" t="s">
        <v>3484</v>
      </c>
      <c r="R492" s="27" t="s">
        <v>30</v>
      </c>
    </row>
    <row r="493" customFormat="false" ht="15" hidden="false" customHeight="false" outlineLevel="0" collapsed="false">
      <c r="A493" s="25" t="n">
        <f aca="false">IF(G493="REJECT",COUNTIF($G$2:$G$2277,"&lt;&gt;REJECT")+1+COUNTIFS($G$2:$G$2277,"REJECT",$B$2:$B$2277,"&gt;"&amp;B493),1+COUNTIFS($G$2:$G$2277,"&lt;&gt;REJECT",$B$2:$B$2277,"&gt;"&amp;B493))</f>
        <v>492</v>
      </c>
      <c r="B493" s="26" t="n">
        <f aca="false">ROUND(($U$2*MAX(0,MIN(1,($W$2-I493)/($W$2-$V$2)))+$U$3*MAX(0,MIN(1,($W$3-J493)/($W$3-$V$3)))+$U$4*MAX(0,MIN(1,($W$4-K493)/($W$4-$V$4)))+$U$5*MAX(0,MIN(1,($W$5-L493)/($W$5-$V$5)))+$U$6*MAX(0,MIN(1,($W$6-M493)/($W$6-$V$6)))+$U$7*MAX(0,MIN(1,($W$7-N493)/($W$7-$V$7)))+$U$8*IF(AND(O493&gt;=$V$8,O493&lt;=$W$8),1,0))/$U$9*100,2)</f>
        <v>90.31</v>
      </c>
      <c r="C493" s="27" t="s">
        <v>1116</v>
      </c>
      <c r="D493" s="25" t="s">
        <v>134</v>
      </c>
      <c r="E493" s="25" t="s">
        <v>3450</v>
      </c>
      <c r="F493" s="25" t="s">
        <v>3448</v>
      </c>
      <c r="G493" s="38" t="s">
        <v>30</v>
      </c>
      <c r="H493" s="33" t="s">
        <v>24</v>
      </c>
      <c r="I493" s="25" t="n">
        <v>1</v>
      </c>
      <c r="J493" s="25" t="n">
        <v>0</v>
      </c>
      <c r="K493" s="25" t="n">
        <v>1</v>
      </c>
      <c r="L493" s="29" t="n">
        <v>0.76</v>
      </c>
      <c r="M493" s="30" t="n">
        <v>5.03</v>
      </c>
      <c r="N493" s="29" t="n">
        <v>0.12</v>
      </c>
      <c r="O493" s="25" t="n">
        <v>186</v>
      </c>
      <c r="P493" s="30" t="n">
        <v>12.32</v>
      </c>
      <c r="Q493" s="27" t="s">
        <v>3476</v>
      </c>
      <c r="R493" s="27" t="s">
        <v>30</v>
      </c>
    </row>
    <row r="494" customFormat="false" ht="15" hidden="false" customHeight="false" outlineLevel="0" collapsed="false">
      <c r="A494" s="25" t="n">
        <f aca="false">IF(G494="REJECT",COUNTIF($G$2:$G$2277,"&lt;&gt;REJECT")+1+COUNTIFS($G$2:$G$2277,"REJECT",$B$2:$B$2277,"&gt;"&amp;B494),1+COUNTIFS($G$2:$G$2277,"&lt;&gt;REJECT",$B$2:$B$2277,"&gt;"&amp;B494))</f>
        <v>493</v>
      </c>
      <c r="B494" s="26" t="n">
        <f aca="false">ROUND(($U$2*MAX(0,MIN(1,($W$2-I494)/($W$2-$V$2)))+$U$3*MAX(0,MIN(1,($W$3-J494)/($W$3-$V$3)))+$U$4*MAX(0,MIN(1,($W$4-K494)/($W$4-$V$4)))+$U$5*MAX(0,MIN(1,($W$5-L494)/($W$5-$V$5)))+$U$6*MAX(0,MIN(1,($W$6-M494)/($W$6-$V$6)))+$U$7*MAX(0,MIN(1,($W$7-N494)/($W$7-$V$7)))+$U$8*IF(AND(O494&gt;=$V$8,O494&lt;=$W$8),1,0))/$U$9*100,2)</f>
        <v>90.3</v>
      </c>
      <c r="C494" s="27" t="s">
        <v>951</v>
      </c>
      <c r="D494" s="25" t="s">
        <v>134</v>
      </c>
      <c r="E494" s="25" t="s">
        <v>3447</v>
      </c>
      <c r="F494" s="25" t="s">
        <v>3448</v>
      </c>
      <c r="G494" s="38" t="s">
        <v>30</v>
      </c>
      <c r="H494" s="33" t="s">
        <v>24</v>
      </c>
      <c r="I494" s="25" t="n">
        <v>1</v>
      </c>
      <c r="J494" s="25" t="n">
        <v>0</v>
      </c>
      <c r="K494" s="25" t="n">
        <v>1</v>
      </c>
      <c r="L494" s="29" t="n">
        <v>0.81</v>
      </c>
      <c r="M494" s="30" t="n">
        <v>17.91</v>
      </c>
      <c r="N494" s="29" t="n">
        <v>0.28</v>
      </c>
      <c r="O494" s="25" t="n">
        <v>199</v>
      </c>
      <c r="P494" s="30" t="n">
        <v>9.76</v>
      </c>
      <c r="Q494" s="27" t="s">
        <v>3481</v>
      </c>
      <c r="R494" s="27" t="s">
        <v>30</v>
      </c>
    </row>
    <row r="495" customFormat="false" ht="15" hidden="false" customHeight="false" outlineLevel="0" collapsed="false">
      <c r="A495" s="25" t="n">
        <f aca="false">IF(G495="REJECT",COUNTIF($G$2:$G$2277,"&lt;&gt;REJECT")+1+COUNTIFS($G$2:$G$2277,"REJECT",$B$2:$B$2277,"&gt;"&amp;B495),1+COUNTIFS($G$2:$G$2277,"&lt;&gt;REJECT",$B$2:$B$2277,"&gt;"&amp;B495))</f>
        <v>493</v>
      </c>
      <c r="B495" s="26" t="n">
        <f aca="false">ROUND(($U$2*MAX(0,MIN(1,($W$2-I495)/($W$2-$V$2)))+$U$3*MAX(0,MIN(1,($W$3-J495)/($W$3-$V$3)))+$U$4*MAX(0,MIN(1,($W$4-K495)/($W$4-$V$4)))+$U$5*MAX(0,MIN(1,($W$5-L495)/($W$5-$V$5)))+$U$6*MAX(0,MIN(1,($W$6-M495)/($W$6-$V$6)))+$U$7*MAX(0,MIN(1,($W$7-N495)/($W$7-$V$7)))+$U$8*IF(AND(O495&gt;=$V$8,O495&lt;=$W$8),1,0))/$U$9*100,2)</f>
        <v>90.3</v>
      </c>
      <c r="C495" s="27" t="s">
        <v>2761</v>
      </c>
      <c r="D495" s="25" t="s">
        <v>3459</v>
      </c>
      <c r="E495" s="25" t="s">
        <v>3450</v>
      </c>
      <c r="F495" s="25" t="s">
        <v>3457</v>
      </c>
      <c r="G495" s="28" t="s">
        <v>29</v>
      </c>
      <c r="H495" s="28" t="s">
        <v>25</v>
      </c>
      <c r="I495" s="25" t="n">
        <v>0</v>
      </c>
      <c r="J495" s="25" t="n">
        <v>0</v>
      </c>
      <c r="K495" s="25" t="n">
        <v>0</v>
      </c>
      <c r="L495" s="29" t="n">
        <v>0.73</v>
      </c>
      <c r="M495" s="30" t="n">
        <v>25.79</v>
      </c>
      <c r="N495" s="29" t="n">
        <v>0.72</v>
      </c>
      <c r="O495" s="25" t="n">
        <v>183</v>
      </c>
      <c r="P495" s="30" t="n">
        <v>14.23</v>
      </c>
      <c r="Q495" s="27"/>
      <c r="R495" s="27" t="s">
        <v>61</v>
      </c>
    </row>
    <row r="496" customFormat="false" ht="15" hidden="false" customHeight="false" outlineLevel="0" collapsed="false">
      <c r="A496" s="25" t="n">
        <f aca="false">IF(G496="REJECT",COUNTIF($G$2:$G$2277,"&lt;&gt;REJECT")+1+COUNTIFS($G$2:$G$2277,"REJECT",$B$2:$B$2277,"&gt;"&amp;B496),1+COUNTIFS($G$2:$G$2277,"&lt;&gt;REJECT",$B$2:$B$2277,"&gt;"&amp;B496))</f>
        <v>493</v>
      </c>
      <c r="B496" s="26" t="n">
        <f aca="false">ROUND(($U$2*MAX(0,MIN(1,($W$2-I496)/($W$2-$V$2)))+$U$3*MAX(0,MIN(1,($W$3-J496)/($W$3-$V$3)))+$U$4*MAX(0,MIN(1,($W$4-K496)/($W$4-$V$4)))+$U$5*MAX(0,MIN(1,($W$5-L496)/($W$5-$V$5)))+$U$6*MAX(0,MIN(1,($W$6-M496)/($W$6-$V$6)))+$U$7*MAX(0,MIN(1,($W$7-N496)/($W$7-$V$7)))+$U$8*IF(AND(O496&gt;=$V$8,O496&lt;=$W$8),1,0))/$U$9*100,2)</f>
        <v>90.3</v>
      </c>
      <c r="C496" s="27" t="s">
        <v>3111</v>
      </c>
      <c r="D496" s="25" t="s">
        <v>3459</v>
      </c>
      <c r="E496" s="25" t="s">
        <v>3450</v>
      </c>
      <c r="F496" s="25" t="s">
        <v>3457</v>
      </c>
      <c r="G496" s="28" t="s">
        <v>29</v>
      </c>
      <c r="H496" s="28" t="s">
        <v>25</v>
      </c>
      <c r="I496" s="25" t="n">
        <v>0</v>
      </c>
      <c r="J496" s="25" t="n">
        <v>0</v>
      </c>
      <c r="K496" s="25" t="n">
        <v>0</v>
      </c>
      <c r="L496" s="29" t="n">
        <v>0.7</v>
      </c>
      <c r="M496" s="30" t="n">
        <v>20.58</v>
      </c>
      <c r="N496" s="29" t="n">
        <v>0.16</v>
      </c>
      <c r="O496" s="25" t="n">
        <v>190</v>
      </c>
      <c r="P496" s="30" t="n">
        <v>7.19</v>
      </c>
      <c r="Q496" s="27"/>
      <c r="R496" s="27" t="s">
        <v>61</v>
      </c>
    </row>
    <row r="497" customFormat="false" ht="15" hidden="false" customHeight="false" outlineLevel="0" collapsed="false">
      <c r="A497" s="25" t="n">
        <f aca="false">IF(G497="REJECT",COUNTIF($G$2:$G$2277,"&lt;&gt;REJECT")+1+COUNTIFS($G$2:$G$2277,"REJECT",$B$2:$B$2277,"&gt;"&amp;B497),1+COUNTIFS($G$2:$G$2277,"&lt;&gt;REJECT",$B$2:$B$2277,"&gt;"&amp;B497))</f>
        <v>496</v>
      </c>
      <c r="B497" s="26" t="n">
        <f aca="false">ROUND(($U$2*MAX(0,MIN(1,($W$2-I497)/($W$2-$V$2)))+$U$3*MAX(0,MIN(1,($W$3-J497)/($W$3-$V$3)))+$U$4*MAX(0,MIN(1,($W$4-K497)/($W$4-$V$4)))+$U$5*MAX(0,MIN(1,($W$5-L497)/($W$5-$V$5)))+$U$6*MAX(0,MIN(1,($W$6-M497)/($W$6-$V$6)))+$U$7*MAX(0,MIN(1,($W$7-N497)/($W$7-$V$7)))+$U$8*IF(AND(O497&gt;=$V$8,O497&lt;=$W$8),1,0))/$U$9*100,2)</f>
        <v>90.29</v>
      </c>
      <c r="C497" s="27" t="s">
        <v>1423</v>
      </c>
      <c r="D497" s="25" t="s">
        <v>134</v>
      </c>
      <c r="E497" s="25" t="s">
        <v>3450</v>
      </c>
      <c r="F497" s="25" t="s">
        <v>3457</v>
      </c>
      <c r="G497" s="33" t="s">
        <v>28</v>
      </c>
      <c r="H497" s="33" t="s">
        <v>24</v>
      </c>
      <c r="I497" s="25" t="n">
        <v>0</v>
      </c>
      <c r="J497" s="25" t="n">
        <v>0</v>
      </c>
      <c r="K497" s="25" t="n">
        <v>0</v>
      </c>
      <c r="L497" s="29" t="n">
        <v>0.69</v>
      </c>
      <c r="M497" s="30" t="n">
        <v>18.69</v>
      </c>
      <c r="N497" s="29" t="n">
        <v>0</v>
      </c>
      <c r="O497" s="25" t="n">
        <v>182</v>
      </c>
      <c r="P497" s="30" t="n">
        <v>14.92</v>
      </c>
      <c r="Q497" s="27"/>
      <c r="R497" s="27"/>
    </row>
    <row r="498" customFormat="false" ht="15" hidden="false" customHeight="false" outlineLevel="0" collapsed="false">
      <c r="A498" s="25" t="n">
        <f aca="false">IF(G498="REJECT",COUNTIF($G$2:$G$2277,"&lt;&gt;REJECT")+1+COUNTIFS($G$2:$G$2277,"REJECT",$B$2:$B$2277,"&gt;"&amp;B498),1+COUNTIFS($G$2:$G$2277,"&lt;&gt;REJECT",$B$2:$B$2277,"&gt;"&amp;B498))</f>
        <v>497</v>
      </c>
      <c r="B498" s="26" t="n">
        <f aca="false">ROUND(($U$2*MAX(0,MIN(1,($W$2-I498)/($W$2-$V$2)))+$U$3*MAX(0,MIN(1,($W$3-J498)/($W$3-$V$3)))+$U$4*MAX(0,MIN(1,($W$4-K498)/($W$4-$V$4)))+$U$5*MAX(0,MIN(1,($W$5-L498)/($W$5-$V$5)))+$U$6*MAX(0,MIN(1,($W$6-M498)/($W$6-$V$6)))+$U$7*MAX(0,MIN(1,($W$7-N498)/($W$7-$V$7)))+$U$8*IF(AND(O498&gt;=$V$8,O498&lt;=$W$8),1,0))/$U$9*100,2)</f>
        <v>90.27</v>
      </c>
      <c r="C498" s="27" t="s">
        <v>3057</v>
      </c>
      <c r="D498" s="25" t="s">
        <v>134</v>
      </c>
      <c r="E498" s="25" t="s">
        <v>3450</v>
      </c>
      <c r="F498" s="25" t="s">
        <v>3457</v>
      </c>
      <c r="G498" s="28" t="s">
        <v>29</v>
      </c>
      <c r="H498" s="28" t="s">
        <v>25</v>
      </c>
      <c r="I498" s="25" t="n">
        <v>0</v>
      </c>
      <c r="J498" s="25" t="n">
        <v>0</v>
      </c>
      <c r="K498" s="25" t="n">
        <v>0</v>
      </c>
      <c r="L498" s="29" t="n">
        <v>0.71</v>
      </c>
      <c r="M498" s="30" t="n">
        <v>18.36</v>
      </c>
      <c r="N498" s="29" t="n">
        <v>0.76</v>
      </c>
      <c r="O498" s="25" t="n">
        <v>183</v>
      </c>
      <c r="P498" s="30" t="n">
        <v>-0.25</v>
      </c>
      <c r="Q498" s="27"/>
      <c r="R498" s="27" t="s">
        <v>3466</v>
      </c>
    </row>
    <row r="499" customFormat="false" ht="15" hidden="false" customHeight="false" outlineLevel="0" collapsed="false">
      <c r="A499" s="25" t="n">
        <f aca="false">IF(G499="REJECT",COUNTIF($G$2:$G$2277,"&lt;&gt;REJECT")+1+COUNTIFS($G$2:$G$2277,"REJECT",$B$2:$B$2277,"&gt;"&amp;B499),1+COUNTIFS($G$2:$G$2277,"&lt;&gt;REJECT",$B$2:$B$2277,"&gt;"&amp;B499))</f>
        <v>498</v>
      </c>
      <c r="B499" s="26" t="n">
        <f aca="false">ROUND(($U$2*MAX(0,MIN(1,($W$2-I499)/($W$2-$V$2)))+$U$3*MAX(0,MIN(1,($W$3-J499)/($W$3-$V$3)))+$U$4*MAX(0,MIN(1,($W$4-K499)/($W$4-$V$4)))+$U$5*MAX(0,MIN(1,($W$5-L499)/($W$5-$V$5)))+$U$6*MAX(0,MIN(1,($W$6-M499)/($W$6-$V$6)))+$U$7*MAX(0,MIN(1,($W$7-N499)/($W$7-$V$7)))+$U$8*IF(AND(O499&gt;=$V$8,O499&lt;=$W$8),1,0))/$U$9*100,2)</f>
        <v>90.21</v>
      </c>
      <c r="C499" s="27" t="s">
        <v>1848</v>
      </c>
      <c r="D499" s="25" t="s">
        <v>134</v>
      </c>
      <c r="E499" s="25" t="s">
        <v>3450</v>
      </c>
      <c r="F499" s="25" t="s">
        <v>3457</v>
      </c>
      <c r="G499" s="28" t="s">
        <v>29</v>
      </c>
      <c r="H499" s="28" t="s">
        <v>25</v>
      </c>
      <c r="I499" s="25" t="n">
        <v>0</v>
      </c>
      <c r="J499" s="25" t="n">
        <v>0</v>
      </c>
      <c r="K499" s="25" t="n">
        <v>0</v>
      </c>
      <c r="L499" s="29" t="n">
        <v>0.69</v>
      </c>
      <c r="M499" s="30" t="n">
        <v>15.16</v>
      </c>
      <c r="N499" s="29" t="n">
        <v>0.4</v>
      </c>
      <c r="O499" s="25" t="n">
        <v>182</v>
      </c>
      <c r="P499" s="30" t="n">
        <v>0.63</v>
      </c>
      <c r="Q499" s="27"/>
      <c r="R499" s="27" t="s">
        <v>3451</v>
      </c>
    </row>
    <row r="500" customFormat="false" ht="15" hidden="false" customHeight="false" outlineLevel="0" collapsed="false">
      <c r="A500" s="25" t="n">
        <f aca="false">IF(G500="REJECT",COUNTIF($G$2:$G$2277,"&lt;&gt;REJECT")+1+COUNTIFS($G$2:$G$2277,"REJECT",$B$2:$B$2277,"&gt;"&amp;B500),1+COUNTIFS($G$2:$G$2277,"&lt;&gt;REJECT",$B$2:$B$2277,"&gt;"&amp;B500))</f>
        <v>499</v>
      </c>
      <c r="B500" s="26" t="n">
        <f aca="false">ROUND(($U$2*MAX(0,MIN(1,($W$2-I500)/($W$2-$V$2)))+$U$3*MAX(0,MIN(1,($W$3-J500)/($W$3-$V$3)))+$U$4*MAX(0,MIN(1,($W$4-K500)/($W$4-$V$4)))+$U$5*MAX(0,MIN(1,($W$5-L500)/($W$5-$V$5)))+$U$6*MAX(0,MIN(1,($W$6-M500)/($W$6-$V$6)))+$U$7*MAX(0,MIN(1,($W$7-N500)/($W$7-$V$7)))+$U$8*IF(AND(O500&gt;=$V$8,O500&lt;=$W$8),1,0))/$U$9*100,2)</f>
        <v>90.2</v>
      </c>
      <c r="C500" s="27" t="s">
        <v>2355</v>
      </c>
      <c r="D500" s="25" t="s">
        <v>134</v>
      </c>
      <c r="E500" s="25" t="s">
        <v>3450</v>
      </c>
      <c r="F500" s="25" t="s">
        <v>3448</v>
      </c>
      <c r="G500" s="28" t="s">
        <v>29</v>
      </c>
      <c r="H500" s="28" t="s">
        <v>25</v>
      </c>
      <c r="I500" s="25" t="n">
        <v>0</v>
      </c>
      <c r="J500" s="25" t="n">
        <v>0</v>
      </c>
      <c r="K500" s="25" t="n">
        <v>0</v>
      </c>
      <c r="L500" s="29" t="n">
        <v>0.74</v>
      </c>
      <c r="M500" s="30" t="n">
        <v>36.2</v>
      </c>
      <c r="N500" s="29" t="n">
        <v>0.72</v>
      </c>
      <c r="O500" s="25" t="n">
        <v>184</v>
      </c>
      <c r="P500" s="30" t="n">
        <v>14.12</v>
      </c>
      <c r="Q500" s="27"/>
      <c r="R500" s="27" t="s">
        <v>66</v>
      </c>
    </row>
    <row r="501" customFormat="false" ht="15" hidden="false" customHeight="false" outlineLevel="0" collapsed="false">
      <c r="A501" s="25" t="n">
        <f aca="false">IF(G501="REJECT",COUNTIF($G$2:$G$2277,"&lt;&gt;REJECT")+1+COUNTIFS($G$2:$G$2277,"REJECT",$B$2:$B$2277,"&gt;"&amp;B501),1+COUNTIFS($G$2:$G$2277,"&lt;&gt;REJECT",$B$2:$B$2277,"&gt;"&amp;B501))</f>
        <v>500</v>
      </c>
      <c r="B501" s="26" t="n">
        <f aca="false">ROUND(($U$2*MAX(0,MIN(1,($W$2-I501)/($W$2-$V$2)))+$U$3*MAX(0,MIN(1,($W$3-J501)/($W$3-$V$3)))+$U$4*MAX(0,MIN(1,($W$4-K501)/($W$4-$V$4)))+$U$5*MAX(0,MIN(1,($W$5-L501)/($W$5-$V$5)))+$U$6*MAX(0,MIN(1,($W$6-M501)/($W$6-$V$6)))+$U$7*MAX(0,MIN(1,($W$7-N501)/($W$7-$V$7)))+$U$8*IF(AND(O501&gt;=$V$8,O501&lt;=$W$8),1,0))/$U$9*100,2)</f>
        <v>90.17</v>
      </c>
      <c r="C501" s="27" t="s">
        <v>1234</v>
      </c>
      <c r="D501" s="25" t="s">
        <v>134</v>
      </c>
      <c r="E501" s="25" t="s">
        <v>3450</v>
      </c>
      <c r="F501" s="25" t="s">
        <v>3448</v>
      </c>
      <c r="G501" s="33" t="s">
        <v>28</v>
      </c>
      <c r="H501" s="33" t="s">
        <v>24</v>
      </c>
      <c r="I501" s="25" t="n">
        <v>0</v>
      </c>
      <c r="J501" s="25" t="n">
        <v>0</v>
      </c>
      <c r="K501" s="25" t="n">
        <v>0</v>
      </c>
      <c r="L501" s="29" t="n">
        <v>0.69</v>
      </c>
      <c r="M501" s="30" t="n">
        <v>10.58</v>
      </c>
      <c r="N501" s="29" t="n">
        <v>0.88</v>
      </c>
      <c r="O501" s="25" t="n">
        <v>191</v>
      </c>
      <c r="P501" s="30" t="n">
        <v>10.45</v>
      </c>
      <c r="Q501" s="27"/>
      <c r="R501" s="27"/>
    </row>
    <row r="502" customFormat="false" ht="15" hidden="false" customHeight="false" outlineLevel="0" collapsed="false">
      <c r="A502" s="25" t="n">
        <f aca="false">IF(G502="REJECT",COUNTIF($G$2:$G$2277,"&lt;&gt;REJECT")+1+COUNTIFS($G$2:$G$2277,"REJECT",$B$2:$B$2277,"&gt;"&amp;B502),1+COUNTIFS($G$2:$G$2277,"&lt;&gt;REJECT",$B$2:$B$2277,"&gt;"&amp;B502))</f>
        <v>500</v>
      </c>
      <c r="B502" s="26" t="n">
        <f aca="false">ROUND(($U$2*MAX(0,MIN(1,($W$2-I502)/($W$2-$V$2)))+$U$3*MAX(0,MIN(1,($W$3-J502)/($W$3-$V$3)))+$U$4*MAX(0,MIN(1,($W$4-K502)/($W$4-$V$4)))+$U$5*MAX(0,MIN(1,($W$5-L502)/($W$5-$V$5)))+$U$6*MAX(0,MIN(1,($W$6-M502)/($W$6-$V$6)))+$U$7*MAX(0,MIN(1,($W$7-N502)/($W$7-$V$7)))+$U$8*IF(AND(O502&gt;=$V$8,O502&lt;=$W$8),1,0))/$U$9*100,2)</f>
        <v>90.17</v>
      </c>
      <c r="C502" s="27" t="s">
        <v>2978</v>
      </c>
      <c r="D502" s="25" t="s">
        <v>134</v>
      </c>
      <c r="E502" s="25" t="s">
        <v>3450</v>
      </c>
      <c r="F502" s="25" t="s">
        <v>3457</v>
      </c>
      <c r="G502" s="28" t="s">
        <v>29</v>
      </c>
      <c r="H502" s="28" t="s">
        <v>25</v>
      </c>
      <c r="I502" s="25" t="n">
        <v>0</v>
      </c>
      <c r="J502" s="25" t="n">
        <v>0</v>
      </c>
      <c r="K502" s="25" t="n">
        <v>0</v>
      </c>
      <c r="L502" s="29" t="n">
        <v>0.71</v>
      </c>
      <c r="M502" s="30" t="n">
        <v>18.96</v>
      </c>
      <c r="N502" s="29" t="n">
        <v>0.76</v>
      </c>
      <c r="O502" s="25" t="n">
        <v>184</v>
      </c>
      <c r="P502" s="30" t="n">
        <v>-1.27</v>
      </c>
      <c r="Q502" s="27"/>
      <c r="R502" s="27" t="s">
        <v>62</v>
      </c>
    </row>
    <row r="503" customFormat="false" ht="15" hidden="false" customHeight="false" outlineLevel="0" collapsed="false">
      <c r="A503" s="25" t="n">
        <f aca="false">IF(G503="REJECT",COUNTIF($G$2:$G$2277,"&lt;&gt;REJECT")+1+COUNTIFS($G$2:$G$2277,"REJECT",$B$2:$B$2277,"&gt;"&amp;B503),1+COUNTIFS($G$2:$G$2277,"&lt;&gt;REJECT",$B$2:$B$2277,"&gt;"&amp;B503))</f>
        <v>502</v>
      </c>
      <c r="B503" s="26" t="n">
        <f aca="false">ROUND(($U$2*MAX(0,MIN(1,($W$2-I503)/($W$2-$V$2)))+$U$3*MAX(0,MIN(1,($W$3-J503)/($W$3-$V$3)))+$U$4*MAX(0,MIN(1,($W$4-K503)/($W$4-$V$4)))+$U$5*MAX(0,MIN(1,($W$5-L503)/($W$5-$V$5)))+$U$6*MAX(0,MIN(1,($W$6-M503)/($W$6-$V$6)))+$U$7*MAX(0,MIN(1,($W$7-N503)/($W$7-$V$7)))+$U$8*IF(AND(O503&gt;=$V$8,O503&lt;=$W$8),1,0))/$U$9*100,2)</f>
        <v>90.11</v>
      </c>
      <c r="C503" s="27" t="s">
        <v>830</v>
      </c>
      <c r="D503" s="25" t="s">
        <v>134</v>
      </c>
      <c r="E503" s="25" t="s">
        <v>3450</v>
      </c>
      <c r="F503" s="25" t="s">
        <v>3448</v>
      </c>
      <c r="G503" s="28" t="s">
        <v>29</v>
      </c>
      <c r="H503" s="28" t="s">
        <v>25</v>
      </c>
      <c r="I503" s="25" t="n">
        <v>0</v>
      </c>
      <c r="J503" s="25" t="n">
        <v>0</v>
      </c>
      <c r="K503" s="25" t="n">
        <v>0</v>
      </c>
      <c r="L503" s="29" t="n">
        <v>0.7</v>
      </c>
      <c r="M503" s="30" t="n">
        <v>18.14</v>
      </c>
      <c r="N503" s="29" t="n">
        <v>0.52</v>
      </c>
      <c r="O503" s="25" t="n">
        <v>199</v>
      </c>
      <c r="P503" s="30" t="n">
        <v>14.31</v>
      </c>
      <c r="Q503" s="27"/>
      <c r="R503" s="27" t="s">
        <v>63</v>
      </c>
    </row>
    <row r="504" customFormat="false" ht="15" hidden="false" customHeight="false" outlineLevel="0" collapsed="false">
      <c r="A504" s="25" t="n">
        <f aca="false">IF(G504="REJECT",COUNTIF($G$2:$G$2277,"&lt;&gt;REJECT")+1+COUNTIFS($G$2:$G$2277,"REJECT",$B$2:$B$2277,"&gt;"&amp;B504),1+COUNTIFS($G$2:$G$2277,"&lt;&gt;REJECT",$B$2:$B$2277,"&gt;"&amp;B504))</f>
        <v>502</v>
      </c>
      <c r="B504" s="26" t="n">
        <f aca="false">ROUND(($U$2*MAX(0,MIN(1,($W$2-I504)/($W$2-$V$2)))+$U$3*MAX(0,MIN(1,($W$3-J504)/($W$3-$V$3)))+$U$4*MAX(0,MIN(1,($W$4-K504)/($W$4-$V$4)))+$U$5*MAX(0,MIN(1,($W$5-L504)/($W$5-$V$5)))+$U$6*MAX(0,MIN(1,($W$6-M504)/($W$6-$V$6)))+$U$7*MAX(0,MIN(1,($W$7-N504)/($W$7-$V$7)))+$U$8*IF(AND(O504&gt;=$V$8,O504&lt;=$W$8),1,0))/$U$9*100,2)</f>
        <v>90.11</v>
      </c>
      <c r="C504" s="27" t="s">
        <v>1400</v>
      </c>
      <c r="D504" s="25" t="s">
        <v>3459</v>
      </c>
      <c r="E504" s="25" t="s">
        <v>3450</v>
      </c>
      <c r="F504" s="25" t="s">
        <v>3457</v>
      </c>
      <c r="G504" s="28" t="s">
        <v>29</v>
      </c>
      <c r="H504" s="28" t="s">
        <v>25</v>
      </c>
      <c r="I504" s="25" t="n">
        <v>0</v>
      </c>
      <c r="J504" s="25" t="n">
        <v>0</v>
      </c>
      <c r="K504" s="25" t="n">
        <v>0</v>
      </c>
      <c r="L504" s="29" t="n">
        <v>0.71</v>
      </c>
      <c r="M504" s="30" t="n">
        <v>23.74</v>
      </c>
      <c r="N504" s="29" t="n">
        <v>0.32</v>
      </c>
      <c r="O504" s="25" t="n">
        <v>183</v>
      </c>
      <c r="P504" s="30" t="n">
        <v>4.04</v>
      </c>
      <c r="Q504" s="27"/>
      <c r="R504" s="27" t="s">
        <v>3470</v>
      </c>
    </row>
    <row r="505" customFormat="false" ht="15" hidden="false" customHeight="false" outlineLevel="0" collapsed="false">
      <c r="A505" s="25" t="n">
        <f aca="false">IF(G505="REJECT",COUNTIF($G$2:$G$2277,"&lt;&gt;REJECT")+1+COUNTIFS($G$2:$G$2277,"REJECT",$B$2:$B$2277,"&gt;"&amp;B505),1+COUNTIFS($G$2:$G$2277,"&lt;&gt;REJECT",$B$2:$B$2277,"&gt;"&amp;B505))</f>
        <v>502</v>
      </c>
      <c r="B505" s="26" t="n">
        <f aca="false">ROUND(($U$2*MAX(0,MIN(1,($W$2-I505)/($W$2-$V$2)))+$U$3*MAX(0,MIN(1,($W$3-J505)/($W$3-$V$3)))+$U$4*MAX(0,MIN(1,($W$4-K505)/($W$4-$V$4)))+$U$5*MAX(0,MIN(1,($W$5-L505)/($W$5-$V$5)))+$U$6*MAX(0,MIN(1,($W$6-M505)/($W$6-$V$6)))+$U$7*MAX(0,MIN(1,($W$7-N505)/($W$7-$V$7)))+$U$8*IF(AND(O505&gt;=$V$8,O505&lt;=$W$8),1,0))/$U$9*100,2)</f>
        <v>90.11</v>
      </c>
      <c r="C505" s="27" t="s">
        <v>2866</v>
      </c>
      <c r="D505" s="25" t="s">
        <v>3459</v>
      </c>
      <c r="E505" s="25" t="s">
        <v>3450</v>
      </c>
      <c r="F505" s="25" t="s">
        <v>3448</v>
      </c>
      <c r="G505" s="28" t="s">
        <v>29</v>
      </c>
      <c r="H505" s="28" t="s">
        <v>25</v>
      </c>
      <c r="I505" s="25" t="n">
        <v>0</v>
      </c>
      <c r="J505" s="25" t="n">
        <v>0</v>
      </c>
      <c r="K505" s="25" t="n">
        <v>0</v>
      </c>
      <c r="L505" s="29" t="n">
        <v>0.67</v>
      </c>
      <c r="M505" s="30" t="n">
        <v>5.72</v>
      </c>
      <c r="N505" s="29" t="n">
        <v>0.68</v>
      </c>
      <c r="O505" s="25" t="n">
        <v>183</v>
      </c>
      <c r="P505" s="30" t="n">
        <v>17.14</v>
      </c>
      <c r="Q505" s="27"/>
      <c r="R505" s="27" t="s">
        <v>64</v>
      </c>
    </row>
    <row r="506" customFormat="false" ht="15" hidden="false" customHeight="false" outlineLevel="0" collapsed="false">
      <c r="A506" s="25" t="n">
        <f aca="false">IF(G506="REJECT",COUNTIF($G$2:$G$2277,"&lt;&gt;REJECT")+1+COUNTIFS($G$2:$G$2277,"REJECT",$B$2:$B$2277,"&gt;"&amp;B506),1+COUNTIFS($G$2:$G$2277,"&lt;&gt;REJECT",$B$2:$B$2277,"&gt;"&amp;B506))</f>
        <v>505</v>
      </c>
      <c r="B506" s="26" t="n">
        <f aca="false">ROUND(($U$2*MAX(0,MIN(1,($W$2-I506)/($W$2-$V$2)))+$U$3*MAX(0,MIN(1,($W$3-J506)/($W$3-$V$3)))+$U$4*MAX(0,MIN(1,($W$4-K506)/($W$4-$V$4)))+$U$5*MAX(0,MIN(1,($W$5-L506)/($W$5-$V$5)))+$U$6*MAX(0,MIN(1,($W$6-M506)/($W$6-$V$6)))+$U$7*MAX(0,MIN(1,($W$7-N506)/($W$7-$V$7)))+$U$8*IF(AND(O506&gt;=$V$8,O506&lt;=$W$8),1,0))/$U$9*100,2)</f>
        <v>90.1</v>
      </c>
      <c r="C506" s="27" t="s">
        <v>2854</v>
      </c>
      <c r="D506" s="25" t="s">
        <v>3459</v>
      </c>
      <c r="E506" s="25" t="s">
        <v>3447</v>
      </c>
      <c r="F506" s="25" t="s">
        <v>3448</v>
      </c>
      <c r="G506" s="38" t="s">
        <v>30</v>
      </c>
      <c r="H506" s="33" t="s">
        <v>24</v>
      </c>
      <c r="I506" s="25" t="n">
        <v>1</v>
      </c>
      <c r="J506" s="25" t="n">
        <v>0</v>
      </c>
      <c r="K506" s="25" t="n">
        <v>1</v>
      </c>
      <c r="L506" s="29" t="n">
        <v>0.9</v>
      </c>
      <c r="M506" s="30" t="n">
        <v>15.1</v>
      </c>
      <c r="N506" s="29" t="n">
        <v>0.68</v>
      </c>
      <c r="O506" s="25" t="n">
        <v>184</v>
      </c>
      <c r="P506" s="30" t="n">
        <v>-1.37</v>
      </c>
      <c r="Q506" s="27" t="s">
        <v>3474</v>
      </c>
      <c r="R506" s="27" t="s">
        <v>30</v>
      </c>
    </row>
    <row r="507" customFormat="false" ht="15" hidden="false" customHeight="false" outlineLevel="0" collapsed="false">
      <c r="A507" s="25" t="n">
        <f aca="false">IF(G507="REJECT",COUNTIF($G$2:$G$2277,"&lt;&gt;REJECT")+1+COUNTIFS($G$2:$G$2277,"REJECT",$B$2:$B$2277,"&gt;"&amp;B507),1+COUNTIFS($G$2:$G$2277,"&lt;&gt;REJECT",$B$2:$B$2277,"&gt;"&amp;B507))</f>
        <v>506</v>
      </c>
      <c r="B507" s="26" t="n">
        <f aca="false">ROUND(($U$2*MAX(0,MIN(1,($W$2-I507)/($W$2-$V$2)))+$U$3*MAX(0,MIN(1,($W$3-J507)/($W$3-$V$3)))+$U$4*MAX(0,MIN(1,($W$4-K507)/($W$4-$V$4)))+$U$5*MAX(0,MIN(1,($W$5-L507)/($W$5-$V$5)))+$U$6*MAX(0,MIN(1,($W$6-M507)/($W$6-$V$6)))+$U$7*MAX(0,MIN(1,($W$7-N507)/($W$7-$V$7)))+$U$8*IF(AND(O507&gt;=$V$8,O507&lt;=$W$8),1,0))/$U$9*100,2)</f>
        <v>90.09</v>
      </c>
      <c r="C507" s="27" t="s">
        <v>2373</v>
      </c>
      <c r="D507" s="25" t="s">
        <v>134</v>
      </c>
      <c r="E507" s="25" t="s">
        <v>3450</v>
      </c>
      <c r="F507" s="25" t="s">
        <v>3457</v>
      </c>
      <c r="G507" s="33" t="s">
        <v>28</v>
      </c>
      <c r="H507" s="33" t="s">
        <v>24</v>
      </c>
      <c r="I507" s="25" t="n">
        <v>0</v>
      </c>
      <c r="J507" s="25" t="n">
        <v>0</v>
      </c>
      <c r="K507" s="25" t="n">
        <v>0</v>
      </c>
      <c r="L507" s="29" t="n">
        <v>0.69</v>
      </c>
      <c r="M507" s="30" t="n">
        <v>13.49</v>
      </c>
      <c r="N507" s="29" t="n">
        <v>0.64</v>
      </c>
      <c r="O507" s="25" t="n">
        <v>183</v>
      </c>
      <c r="P507" s="30" t="n">
        <v>9.43</v>
      </c>
      <c r="Q507" s="27"/>
      <c r="R507" s="27"/>
    </row>
    <row r="508" customFormat="false" ht="15" hidden="false" customHeight="false" outlineLevel="0" collapsed="false">
      <c r="A508" s="25" t="n">
        <f aca="false">IF(G508="REJECT",COUNTIF($G$2:$G$2277,"&lt;&gt;REJECT")+1+COUNTIFS($G$2:$G$2277,"REJECT",$B$2:$B$2277,"&gt;"&amp;B508),1+COUNTIFS($G$2:$G$2277,"&lt;&gt;REJECT",$B$2:$B$2277,"&gt;"&amp;B508))</f>
        <v>507</v>
      </c>
      <c r="B508" s="26" t="n">
        <f aca="false">ROUND(($U$2*MAX(0,MIN(1,($W$2-I508)/($W$2-$V$2)))+$U$3*MAX(0,MIN(1,($W$3-J508)/($W$3-$V$3)))+$U$4*MAX(0,MIN(1,($W$4-K508)/($W$4-$V$4)))+$U$5*MAX(0,MIN(1,($W$5-L508)/($W$5-$V$5)))+$U$6*MAX(0,MIN(1,($W$6-M508)/($W$6-$V$6)))+$U$7*MAX(0,MIN(1,($W$7-N508)/($W$7-$V$7)))+$U$8*IF(AND(O508&gt;=$V$8,O508&lt;=$W$8),1,0))/$U$9*100,2)</f>
        <v>90.08</v>
      </c>
      <c r="C508" s="27" t="s">
        <v>2782</v>
      </c>
      <c r="D508" s="25" t="s">
        <v>134</v>
      </c>
      <c r="E508" s="25" t="s">
        <v>3447</v>
      </c>
      <c r="F508" s="25" t="s">
        <v>3448</v>
      </c>
      <c r="G508" s="38" t="s">
        <v>30</v>
      </c>
      <c r="H508" s="28" t="s">
        <v>25</v>
      </c>
      <c r="I508" s="25" t="n">
        <v>1</v>
      </c>
      <c r="J508" s="25" t="n">
        <v>0</v>
      </c>
      <c r="K508" s="25" t="n">
        <v>1</v>
      </c>
      <c r="L508" s="29" t="n">
        <v>0.77</v>
      </c>
      <c r="M508" s="30" t="n">
        <v>5.64</v>
      </c>
      <c r="N508" s="29" t="n">
        <v>0.56</v>
      </c>
      <c r="O508" s="25" t="n">
        <v>183</v>
      </c>
      <c r="P508" s="30" t="n">
        <v>1.58</v>
      </c>
      <c r="Q508" s="27" t="s">
        <v>3474</v>
      </c>
      <c r="R508" s="27" t="s">
        <v>2133</v>
      </c>
    </row>
    <row r="509" customFormat="false" ht="15" hidden="false" customHeight="false" outlineLevel="0" collapsed="false">
      <c r="A509" s="25" t="n">
        <f aca="false">IF(G509="REJECT",COUNTIF($G$2:$G$2277,"&lt;&gt;REJECT")+1+COUNTIFS($G$2:$G$2277,"REJECT",$B$2:$B$2277,"&gt;"&amp;B509),1+COUNTIFS($G$2:$G$2277,"&lt;&gt;REJECT",$B$2:$B$2277,"&gt;"&amp;B509))</f>
        <v>507</v>
      </c>
      <c r="B509" s="26" t="n">
        <f aca="false">ROUND(($U$2*MAX(0,MIN(1,($W$2-I509)/($W$2-$V$2)))+$U$3*MAX(0,MIN(1,($W$3-J509)/($W$3-$V$3)))+$U$4*MAX(0,MIN(1,($W$4-K509)/($W$4-$V$4)))+$U$5*MAX(0,MIN(1,($W$5-L509)/($W$5-$V$5)))+$U$6*MAX(0,MIN(1,($W$6-M509)/($W$6-$V$6)))+$U$7*MAX(0,MIN(1,($W$7-N509)/($W$7-$V$7)))+$U$8*IF(AND(O509&gt;=$V$8,O509&lt;=$W$8),1,0))/$U$9*100,2)</f>
        <v>90.08</v>
      </c>
      <c r="C509" s="27" t="s">
        <v>2932</v>
      </c>
      <c r="D509" s="25" t="s">
        <v>3459</v>
      </c>
      <c r="E509" s="25" t="s">
        <v>3450</v>
      </c>
      <c r="F509" s="25" t="s">
        <v>3457</v>
      </c>
      <c r="G509" s="28" t="s">
        <v>29</v>
      </c>
      <c r="H509" s="28" t="s">
        <v>25</v>
      </c>
      <c r="I509" s="25" t="n">
        <v>0</v>
      </c>
      <c r="J509" s="25" t="n">
        <v>0</v>
      </c>
      <c r="K509" s="25" t="n">
        <v>0</v>
      </c>
      <c r="L509" s="29" t="n">
        <v>0.72</v>
      </c>
      <c r="M509" s="30" t="n">
        <v>22.71</v>
      </c>
      <c r="N509" s="29" t="n">
        <v>0.8</v>
      </c>
      <c r="O509" s="25" t="n">
        <v>191</v>
      </c>
      <c r="P509" s="30" t="n">
        <v>1.17</v>
      </c>
      <c r="Q509" s="27"/>
      <c r="R509" s="27" t="s">
        <v>3113</v>
      </c>
    </row>
    <row r="510" customFormat="false" ht="15" hidden="false" customHeight="false" outlineLevel="0" collapsed="false">
      <c r="A510" s="25" t="n">
        <f aca="false">IF(G510="REJECT",COUNTIF($G$2:$G$2277,"&lt;&gt;REJECT")+1+COUNTIFS($G$2:$G$2277,"REJECT",$B$2:$B$2277,"&gt;"&amp;B510),1+COUNTIFS($G$2:$G$2277,"&lt;&gt;REJECT",$B$2:$B$2277,"&gt;"&amp;B510))</f>
        <v>509</v>
      </c>
      <c r="B510" s="26" t="n">
        <f aca="false">ROUND(($U$2*MAX(0,MIN(1,($W$2-I510)/($W$2-$V$2)))+$U$3*MAX(0,MIN(1,($W$3-J510)/($W$3-$V$3)))+$U$4*MAX(0,MIN(1,($W$4-K510)/($W$4-$V$4)))+$U$5*MAX(0,MIN(1,($W$5-L510)/($W$5-$V$5)))+$U$6*MAX(0,MIN(1,($W$6-M510)/($W$6-$V$6)))+$U$7*MAX(0,MIN(1,($W$7-N510)/($W$7-$V$7)))+$U$8*IF(AND(O510&gt;=$V$8,O510&lt;=$W$8),1,0))/$U$9*100,2)</f>
        <v>90.06</v>
      </c>
      <c r="C510" s="27" t="s">
        <v>279</v>
      </c>
      <c r="D510" s="25" t="s">
        <v>134</v>
      </c>
      <c r="E510" s="25" t="s">
        <v>3447</v>
      </c>
      <c r="F510" s="25" t="s">
        <v>3457</v>
      </c>
      <c r="G510" s="33" t="s">
        <v>28</v>
      </c>
      <c r="H510" s="33" t="s">
        <v>24</v>
      </c>
      <c r="I510" s="25" t="n">
        <v>0</v>
      </c>
      <c r="J510" s="25" t="n">
        <v>0</v>
      </c>
      <c r="K510" s="25" t="n">
        <v>0</v>
      </c>
      <c r="L510" s="29" t="n">
        <v>0.68</v>
      </c>
      <c r="M510" s="30" t="n">
        <v>14.86</v>
      </c>
      <c r="N510" s="29" t="n">
        <v>0.16</v>
      </c>
      <c r="O510" s="25" t="n">
        <v>184</v>
      </c>
      <c r="P510" s="30" t="n">
        <v>-0.22</v>
      </c>
      <c r="Q510" s="27"/>
      <c r="R510" s="27"/>
    </row>
    <row r="511" customFormat="false" ht="15" hidden="false" customHeight="false" outlineLevel="0" collapsed="false">
      <c r="A511" s="25" t="n">
        <f aca="false">IF(G511="REJECT",COUNTIF($G$2:$G$2277,"&lt;&gt;REJECT")+1+COUNTIFS($G$2:$G$2277,"REJECT",$B$2:$B$2277,"&gt;"&amp;B511),1+COUNTIFS($G$2:$G$2277,"&lt;&gt;REJECT",$B$2:$B$2277,"&gt;"&amp;B511))</f>
        <v>510</v>
      </c>
      <c r="B511" s="26" t="n">
        <f aca="false">ROUND(($U$2*MAX(0,MIN(1,($W$2-I511)/($W$2-$V$2)))+$U$3*MAX(0,MIN(1,($W$3-J511)/($W$3-$V$3)))+$U$4*MAX(0,MIN(1,($W$4-K511)/($W$4-$V$4)))+$U$5*MAX(0,MIN(1,($W$5-L511)/($W$5-$V$5)))+$U$6*MAX(0,MIN(1,($W$6-M511)/($W$6-$V$6)))+$U$7*MAX(0,MIN(1,($W$7-N511)/($W$7-$V$7)))+$U$8*IF(AND(O511&gt;=$V$8,O511&lt;=$W$8),1,0))/$U$9*100,2)</f>
        <v>90.05</v>
      </c>
      <c r="C511" s="27" t="s">
        <v>367</v>
      </c>
      <c r="D511" s="25" t="s">
        <v>134</v>
      </c>
      <c r="E511" s="25" t="s">
        <v>3447</v>
      </c>
      <c r="F511" s="25" t="s">
        <v>3448</v>
      </c>
      <c r="G511" s="38" t="s">
        <v>30</v>
      </c>
      <c r="H511" s="28" t="s">
        <v>25</v>
      </c>
      <c r="I511" s="25" t="n">
        <v>1</v>
      </c>
      <c r="J511" s="25" t="n">
        <v>0</v>
      </c>
      <c r="K511" s="25" t="n">
        <v>1</v>
      </c>
      <c r="L511" s="29" t="n">
        <v>0.81</v>
      </c>
      <c r="M511" s="30" t="n">
        <v>21.02</v>
      </c>
      <c r="N511" s="29" t="n">
        <v>0.12</v>
      </c>
      <c r="O511" s="25" t="n">
        <v>185</v>
      </c>
      <c r="P511" s="30" t="n">
        <v>-0.46</v>
      </c>
      <c r="Q511" s="27" t="s">
        <v>3476</v>
      </c>
      <c r="R511" s="27" t="s">
        <v>992</v>
      </c>
    </row>
    <row r="512" customFormat="false" ht="15" hidden="false" customHeight="false" outlineLevel="0" collapsed="false">
      <c r="A512" s="25" t="n">
        <f aca="false">IF(G512="REJECT",COUNTIF($G$2:$G$2277,"&lt;&gt;REJECT")+1+COUNTIFS($G$2:$G$2277,"REJECT",$B$2:$B$2277,"&gt;"&amp;B512),1+COUNTIFS($G$2:$G$2277,"&lt;&gt;REJECT",$B$2:$B$2277,"&gt;"&amp;B512))</f>
        <v>511</v>
      </c>
      <c r="B512" s="26" t="n">
        <f aca="false">ROUND(($U$2*MAX(0,MIN(1,($W$2-I512)/($W$2-$V$2)))+$U$3*MAX(0,MIN(1,($W$3-J512)/($W$3-$V$3)))+$U$4*MAX(0,MIN(1,($W$4-K512)/($W$4-$V$4)))+$U$5*MAX(0,MIN(1,($W$5-L512)/($W$5-$V$5)))+$U$6*MAX(0,MIN(1,($W$6-M512)/($W$6-$V$6)))+$U$7*MAX(0,MIN(1,($W$7-N512)/($W$7-$V$7)))+$U$8*IF(AND(O512&gt;=$V$8,O512&lt;=$W$8),1,0))/$U$9*100,2)</f>
        <v>90.04</v>
      </c>
      <c r="C512" s="27" t="s">
        <v>2482</v>
      </c>
      <c r="D512" s="25" t="s">
        <v>134</v>
      </c>
      <c r="E512" s="25" t="s">
        <v>3450</v>
      </c>
      <c r="F512" s="25" t="s">
        <v>3457</v>
      </c>
      <c r="G512" s="28" t="s">
        <v>29</v>
      </c>
      <c r="H512" s="28" t="s">
        <v>25</v>
      </c>
      <c r="I512" s="25" t="n">
        <v>0</v>
      </c>
      <c r="J512" s="25" t="n">
        <v>0</v>
      </c>
      <c r="K512" s="25" t="n">
        <v>0</v>
      </c>
      <c r="L512" s="29" t="n">
        <v>0.65</v>
      </c>
      <c r="M512" s="30" t="n">
        <v>1.75</v>
      </c>
      <c r="N512" s="29" t="n">
        <v>0.4</v>
      </c>
      <c r="O512" s="25" t="n">
        <v>182</v>
      </c>
      <c r="P512" s="30" t="n">
        <v>-0.32</v>
      </c>
      <c r="Q512" s="27"/>
      <c r="R512" s="27" t="s">
        <v>3451</v>
      </c>
    </row>
    <row r="513" customFormat="false" ht="15" hidden="false" customHeight="false" outlineLevel="0" collapsed="false">
      <c r="A513" s="25" t="n">
        <f aca="false">IF(G513="REJECT",COUNTIF($G$2:$G$2277,"&lt;&gt;REJECT")+1+COUNTIFS($G$2:$G$2277,"REJECT",$B$2:$B$2277,"&gt;"&amp;B513),1+COUNTIFS($G$2:$G$2277,"&lt;&gt;REJECT",$B$2:$B$2277,"&gt;"&amp;B513))</f>
        <v>511</v>
      </c>
      <c r="B513" s="26" t="n">
        <f aca="false">ROUND(($U$2*MAX(0,MIN(1,($W$2-I513)/($W$2-$V$2)))+$U$3*MAX(0,MIN(1,($W$3-J513)/($W$3-$V$3)))+$U$4*MAX(0,MIN(1,($W$4-K513)/($W$4-$V$4)))+$U$5*MAX(0,MIN(1,($W$5-L513)/($W$5-$V$5)))+$U$6*MAX(0,MIN(1,($W$6-M513)/($W$6-$V$6)))+$U$7*MAX(0,MIN(1,($W$7-N513)/($W$7-$V$7)))+$U$8*IF(AND(O513&gt;=$V$8,O513&lt;=$W$8),1,0))/$U$9*100,2)</f>
        <v>90.04</v>
      </c>
      <c r="C513" s="27" t="s">
        <v>2752</v>
      </c>
      <c r="D513" s="25" t="s">
        <v>3459</v>
      </c>
      <c r="E513" s="25" t="s">
        <v>3450</v>
      </c>
      <c r="F513" s="25" t="s">
        <v>3457</v>
      </c>
      <c r="G513" s="28" t="s">
        <v>29</v>
      </c>
      <c r="H513" s="28" t="s">
        <v>25</v>
      </c>
      <c r="I513" s="25" t="n">
        <v>0</v>
      </c>
      <c r="J513" s="25" t="n">
        <v>0</v>
      </c>
      <c r="K513" s="25" t="n">
        <v>0</v>
      </c>
      <c r="L513" s="29" t="n">
        <v>0.69</v>
      </c>
      <c r="M513" s="30" t="n">
        <v>20.17</v>
      </c>
      <c r="N513" s="29" t="n">
        <v>0</v>
      </c>
      <c r="O513" s="25" t="n">
        <v>190</v>
      </c>
      <c r="P513" s="30" t="n">
        <v>9.54</v>
      </c>
      <c r="Q513" s="27"/>
      <c r="R513" s="27" t="s">
        <v>3471</v>
      </c>
    </row>
    <row r="514" customFormat="false" ht="15" hidden="false" customHeight="false" outlineLevel="0" collapsed="false">
      <c r="A514" s="25" t="n">
        <f aca="false">IF(G514="REJECT",COUNTIF($G$2:$G$2277,"&lt;&gt;REJECT")+1+COUNTIFS($G$2:$G$2277,"REJECT",$B$2:$B$2277,"&gt;"&amp;B514),1+COUNTIFS($G$2:$G$2277,"&lt;&gt;REJECT",$B$2:$B$2277,"&gt;"&amp;B514))</f>
        <v>513</v>
      </c>
      <c r="B514" s="26" t="n">
        <f aca="false">ROUND(($U$2*MAX(0,MIN(1,($W$2-I514)/($W$2-$V$2)))+$U$3*MAX(0,MIN(1,($W$3-J514)/($W$3-$V$3)))+$U$4*MAX(0,MIN(1,($W$4-K514)/($W$4-$V$4)))+$U$5*MAX(0,MIN(1,($W$5-L514)/($W$5-$V$5)))+$U$6*MAX(0,MIN(1,($W$6-M514)/($W$6-$V$6)))+$U$7*MAX(0,MIN(1,($W$7-N514)/($W$7-$V$7)))+$U$8*IF(AND(O514&gt;=$V$8,O514&lt;=$W$8),1,0))/$U$9*100,2)</f>
        <v>90.02</v>
      </c>
      <c r="C514" s="27" t="s">
        <v>964</v>
      </c>
      <c r="D514" s="25" t="s">
        <v>134</v>
      </c>
      <c r="E514" s="25" t="s">
        <v>3447</v>
      </c>
      <c r="F514" s="25" t="s">
        <v>3457</v>
      </c>
      <c r="G514" s="33" t="s">
        <v>28</v>
      </c>
      <c r="H514" s="33" t="s">
        <v>24</v>
      </c>
      <c r="I514" s="25" t="n">
        <v>0</v>
      </c>
      <c r="J514" s="25" t="n">
        <v>0</v>
      </c>
      <c r="K514" s="25" t="n">
        <v>0</v>
      </c>
      <c r="L514" s="29" t="n">
        <v>0.66</v>
      </c>
      <c r="M514" s="30" t="n">
        <v>5.07</v>
      </c>
      <c r="N514" s="29" t="n">
        <v>0.44</v>
      </c>
      <c r="O514" s="25" t="n">
        <v>186</v>
      </c>
      <c r="P514" s="30" t="n">
        <v>-0.89</v>
      </c>
      <c r="Q514" s="27"/>
      <c r="R514" s="27"/>
    </row>
    <row r="515" customFormat="false" ht="15" hidden="false" customHeight="false" outlineLevel="0" collapsed="false">
      <c r="A515" s="25" t="n">
        <f aca="false">IF(G515="REJECT",COUNTIF($G$2:$G$2277,"&lt;&gt;REJECT")+1+COUNTIFS($G$2:$G$2277,"REJECT",$B$2:$B$2277,"&gt;"&amp;B515),1+COUNTIFS($G$2:$G$2277,"&lt;&gt;REJECT",$B$2:$B$2277,"&gt;"&amp;B515))</f>
        <v>514</v>
      </c>
      <c r="B515" s="26" t="n">
        <f aca="false">ROUND(($U$2*MAX(0,MIN(1,($W$2-I515)/($W$2-$V$2)))+$U$3*MAX(0,MIN(1,($W$3-J515)/($W$3-$V$3)))+$U$4*MAX(0,MIN(1,($W$4-K515)/($W$4-$V$4)))+$U$5*MAX(0,MIN(1,($W$5-L515)/($W$5-$V$5)))+$U$6*MAX(0,MIN(1,($W$6-M515)/($W$6-$V$6)))+$U$7*MAX(0,MIN(1,($W$7-N515)/($W$7-$V$7)))+$U$8*IF(AND(O515&gt;=$V$8,O515&lt;=$W$8),1,0))/$U$9*100,2)</f>
        <v>89.96</v>
      </c>
      <c r="C515" s="27" t="s">
        <v>989</v>
      </c>
      <c r="D515" s="25" t="s">
        <v>134</v>
      </c>
      <c r="E515" s="25" t="s">
        <v>3450</v>
      </c>
      <c r="F515" s="25" t="s">
        <v>3448</v>
      </c>
      <c r="G515" s="33" t="s">
        <v>28</v>
      </c>
      <c r="H515" s="33" t="s">
        <v>24</v>
      </c>
      <c r="I515" s="25" t="n">
        <v>0</v>
      </c>
      <c r="J515" s="25" t="n">
        <v>0</v>
      </c>
      <c r="K515" s="25" t="n">
        <v>0</v>
      </c>
      <c r="L515" s="29" t="n">
        <v>0.7</v>
      </c>
      <c r="M515" s="30" t="n">
        <v>15.04</v>
      </c>
      <c r="N515" s="29" t="n">
        <v>0.92</v>
      </c>
      <c r="O515" s="25" t="n">
        <v>180</v>
      </c>
      <c r="P515" s="30" t="n">
        <v>4.08</v>
      </c>
      <c r="Q515" s="27"/>
      <c r="R515" s="27"/>
    </row>
    <row r="516" customFormat="false" ht="15" hidden="false" customHeight="false" outlineLevel="0" collapsed="false">
      <c r="A516" s="25" t="n">
        <f aca="false">IF(G516="REJECT",COUNTIF($G$2:$G$2277,"&lt;&gt;REJECT")+1+COUNTIFS($G$2:$G$2277,"REJECT",$B$2:$B$2277,"&gt;"&amp;B516),1+COUNTIFS($G$2:$G$2277,"&lt;&gt;REJECT",$B$2:$B$2277,"&gt;"&amp;B516))</f>
        <v>515</v>
      </c>
      <c r="B516" s="26" t="n">
        <f aca="false">ROUND(($U$2*MAX(0,MIN(1,($W$2-I516)/($W$2-$V$2)))+$U$3*MAX(0,MIN(1,($W$3-J516)/($W$3-$V$3)))+$U$4*MAX(0,MIN(1,($W$4-K516)/($W$4-$V$4)))+$U$5*MAX(0,MIN(1,($W$5-L516)/($W$5-$V$5)))+$U$6*MAX(0,MIN(1,($W$6-M516)/($W$6-$V$6)))+$U$7*MAX(0,MIN(1,($W$7-N516)/($W$7-$V$7)))+$U$8*IF(AND(O516&gt;=$V$8,O516&lt;=$W$8),1,0))/$U$9*100,2)</f>
        <v>89.94</v>
      </c>
      <c r="C516" s="27" t="s">
        <v>2280</v>
      </c>
      <c r="D516" s="25" t="s">
        <v>3459</v>
      </c>
      <c r="E516" s="25" t="s">
        <v>3450</v>
      </c>
      <c r="F516" s="25" t="s">
        <v>3448</v>
      </c>
      <c r="G516" s="28" t="s">
        <v>29</v>
      </c>
      <c r="H516" s="28" t="s">
        <v>25</v>
      </c>
      <c r="I516" s="25" t="n">
        <v>0</v>
      </c>
      <c r="J516" s="25" t="n">
        <v>0</v>
      </c>
      <c r="K516" s="25" t="n">
        <v>0</v>
      </c>
      <c r="L516" s="29" t="n">
        <v>0.68</v>
      </c>
      <c r="M516" s="30" t="n">
        <v>9.18</v>
      </c>
      <c r="N516" s="29" t="n">
        <v>0.8</v>
      </c>
      <c r="O516" s="25" t="n">
        <v>182</v>
      </c>
      <c r="P516" s="30" t="n">
        <v>1.75</v>
      </c>
      <c r="Q516" s="27"/>
      <c r="R516" s="27" t="s">
        <v>62</v>
      </c>
    </row>
    <row r="517" customFormat="false" ht="15" hidden="false" customHeight="false" outlineLevel="0" collapsed="false">
      <c r="A517" s="25" t="n">
        <f aca="false">IF(G517="REJECT",COUNTIF($G$2:$G$2277,"&lt;&gt;REJECT")+1+COUNTIFS($G$2:$G$2277,"REJECT",$B$2:$B$2277,"&gt;"&amp;B517),1+COUNTIFS($G$2:$G$2277,"&lt;&gt;REJECT",$B$2:$B$2277,"&gt;"&amp;B517))</f>
        <v>516</v>
      </c>
      <c r="B517" s="26" t="n">
        <f aca="false">ROUND(($U$2*MAX(0,MIN(1,($W$2-I517)/($W$2-$V$2)))+$U$3*MAX(0,MIN(1,($W$3-J517)/($W$3-$V$3)))+$U$4*MAX(0,MIN(1,($W$4-K517)/($W$4-$V$4)))+$U$5*MAX(0,MIN(1,($W$5-L517)/($W$5-$V$5)))+$U$6*MAX(0,MIN(1,($W$6-M517)/($W$6-$V$6)))+$U$7*MAX(0,MIN(1,($W$7-N517)/($W$7-$V$7)))+$U$8*IF(AND(O517&gt;=$V$8,O517&lt;=$W$8),1,0))/$U$9*100,2)</f>
        <v>89.93</v>
      </c>
      <c r="C517" s="27" t="s">
        <v>3225</v>
      </c>
      <c r="D517" s="25" t="s">
        <v>134</v>
      </c>
      <c r="E517" s="25" t="s">
        <v>3447</v>
      </c>
      <c r="F517" s="25" t="s">
        <v>3448</v>
      </c>
      <c r="G517" s="38" t="s">
        <v>30</v>
      </c>
      <c r="H517" s="28" t="s">
        <v>25</v>
      </c>
      <c r="I517" s="25" t="n">
        <v>1</v>
      </c>
      <c r="J517" s="25" t="n">
        <v>0</v>
      </c>
      <c r="K517" s="25" t="n">
        <v>1</v>
      </c>
      <c r="L517" s="29" t="n">
        <v>0.76</v>
      </c>
      <c r="M517" s="30" t="n">
        <v>0.54</v>
      </c>
      <c r="N517" s="29" t="n">
        <v>0.8</v>
      </c>
      <c r="O517" s="25" t="n">
        <v>184</v>
      </c>
      <c r="P517" s="30" t="n">
        <v>-1.24</v>
      </c>
      <c r="Q517" s="27" t="s">
        <v>3485</v>
      </c>
      <c r="R517" s="27" t="s">
        <v>2610</v>
      </c>
    </row>
    <row r="518" customFormat="false" ht="15" hidden="false" customHeight="false" outlineLevel="0" collapsed="false">
      <c r="A518" s="25" t="n">
        <f aca="false">IF(G518="REJECT",COUNTIF($G$2:$G$2277,"&lt;&gt;REJECT")+1+COUNTIFS($G$2:$G$2277,"REJECT",$B$2:$B$2277,"&gt;"&amp;B518),1+COUNTIFS($G$2:$G$2277,"&lt;&gt;REJECT",$B$2:$B$2277,"&gt;"&amp;B518))</f>
        <v>517</v>
      </c>
      <c r="B518" s="26" t="n">
        <f aca="false">ROUND(($U$2*MAX(0,MIN(1,($W$2-I518)/($W$2-$V$2)))+$U$3*MAX(0,MIN(1,($W$3-J518)/($W$3-$V$3)))+$U$4*MAX(0,MIN(1,($W$4-K518)/($W$4-$V$4)))+$U$5*MAX(0,MIN(1,($W$5-L518)/($W$5-$V$5)))+$U$6*MAX(0,MIN(1,($W$6-M518)/($W$6-$V$6)))+$U$7*MAX(0,MIN(1,($W$7-N518)/($W$7-$V$7)))+$U$8*IF(AND(O518&gt;=$V$8,O518&lt;=$W$8),1,0))/$U$9*100,2)</f>
        <v>89.9</v>
      </c>
      <c r="C518" s="27" t="s">
        <v>380</v>
      </c>
      <c r="D518" s="25" t="s">
        <v>134</v>
      </c>
      <c r="E518" s="25" t="s">
        <v>3450</v>
      </c>
      <c r="F518" s="25" t="s">
        <v>3448</v>
      </c>
      <c r="G518" s="38" t="s">
        <v>30</v>
      </c>
      <c r="H518" s="28" t="s">
        <v>25</v>
      </c>
      <c r="I518" s="25" t="n">
        <v>1</v>
      </c>
      <c r="J518" s="25" t="n">
        <v>0</v>
      </c>
      <c r="K518" s="25" t="n">
        <v>1</v>
      </c>
      <c r="L518" s="29" t="n">
        <v>0.76</v>
      </c>
      <c r="M518" s="30" t="n">
        <v>8.71</v>
      </c>
      <c r="N518" s="29" t="n">
        <v>0</v>
      </c>
      <c r="O518" s="25" t="n">
        <v>188</v>
      </c>
      <c r="P518" s="30" t="n">
        <v>9.78</v>
      </c>
      <c r="Q518" s="27" t="s">
        <v>3476</v>
      </c>
      <c r="R518" s="27" t="s">
        <v>2133</v>
      </c>
    </row>
    <row r="519" customFormat="false" ht="15" hidden="false" customHeight="false" outlineLevel="0" collapsed="false">
      <c r="A519" s="25" t="n">
        <f aca="false">IF(G519="REJECT",COUNTIF($G$2:$G$2277,"&lt;&gt;REJECT")+1+COUNTIFS($G$2:$G$2277,"REJECT",$B$2:$B$2277,"&gt;"&amp;B519),1+COUNTIFS($G$2:$G$2277,"&lt;&gt;REJECT",$B$2:$B$2277,"&gt;"&amp;B519))</f>
        <v>517</v>
      </c>
      <c r="B519" s="26" t="n">
        <f aca="false">ROUND(($U$2*MAX(0,MIN(1,($W$2-I519)/($W$2-$V$2)))+$U$3*MAX(0,MIN(1,($W$3-J519)/($W$3-$V$3)))+$U$4*MAX(0,MIN(1,($W$4-K519)/($W$4-$V$4)))+$U$5*MAX(0,MIN(1,($W$5-L519)/($W$5-$V$5)))+$U$6*MAX(0,MIN(1,($W$6-M519)/($W$6-$V$6)))+$U$7*MAX(0,MIN(1,($W$7-N519)/($W$7-$V$7)))+$U$8*IF(AND(O519&gt;=$V$8,O519&lt;=$W$8),1,0))/$U$9*100,2)</f>
        <v>89.9</v>
      </c>
      <c r="C519" s="27" t="s">
        <v>1400</v>
      </c>
      <c r="D519" s="25" t="s">
        <v>3459</v>
      </c>
      <c r="E519" s="25" t="s">
        <v>3447</v>
      </c>
      <c r="F519" s="25" t="s">
        <v>3457</v>
      </c>
      <c r="G519" s="28" t="s">
        <v>29</v>
      </c>
      <c r="H519" s="28" t="s">
        <v>25</v>
      </c>
      <c r="I519" s="25" t="n">
        <v>0</v>
      </c>
      <c r="J519" s="25" t="n">
        <v>0</v>
      </c>
      <c r="K519" s="25" t="n">
        <v>0</v>
      </c>
      <c r="L519" s="29" t="n">
        <v>0.7</v>
      </c>
      <c r="M519" s="30" t="n">
        <v>24.58</v>
      </c>
      <c r="N519" s="29" t="n">
        <v>0</v>
      </c>
      <c r="O519" s="25" t="n">
        <v>184</v>
      </c>
      <c r="P519" s="30" t="n">
        <v>2.99</v>
      </c>
      <c r="Q519" s="27"/>
      <c r="R519" s="27" t="s">
        <v>3470</v>
      </c>
    </row>
    <row r="520" customFormat="false" ht="15" hidden="false" customHeight="false" outlineLevel="0" collapsed="false">
      <c r="A520" s="25" t="n">
        <f aca="false">IF(G520="REJECT",COUNTIF($G$2:$G$2277,"&lt;&gt;REJECT")+1+COUNTIFS($G$2:$G$2277,"REJECT",$B$2:$B$2277,"&gt;"&amp;B520),1+COUNTIFS($G$2:$G$2277,"&lt;&gt;REJECT",$B$2:$B$2277,"&gt;"&amp;B520))</f>
        <v>517</v>
      </c>
      <c r="B520" s="26" t="n">
        <f aca="false">ROUND(($U$2*MAX(0,MIN(1,($W$2-I520)/($W$2-$V$2)))+$U$3*MAX(0,MIN(1,($W$3-J520)/($W$3-$V$3)))+$U$4*MAX(0,MIN(1,($W$4-K520)/($W$4-$V$4)))+$U$5*MAX(0,MIN(1,($W$5-L520)/($W$5-$V$5)))+$U$6*MAX(0,MIN(1,($W$6-M520)/($W$6-$V$6)))+$U$7*MAX(0,MIN(1,($W$7-N520)/($W$7-$V$7)))+$U$8*IF(AND(O520&gt;=$V$8,O520&lt;=$W$8),1,0))/$U$9*100,2)</f>
        <v>89.9</v>
      </c>
      <c r="C520" s="27" t="s">
        <v>1589</v>
      </c>
      <c r="D520" s="25" t="s">
        <v>134</v>
      </c>
      <c r="E520" s="25" t="s">
        <v>3450</v>
      </c>
      <c r="F520" s="25" t="s">
        <v>3457</v>
      </c>
      <c r="G520" s="33" t="s">
        <v>28</v>
      </c>
      <c r="H520" s="33" t="s">
        <v>24</v>
      </c>
      <c r="I520" s="25" t="n">
        <v>0</v>
      </c>
      <c r="J520" s="25" t="n">
        <v>0</v>
      </c>
      <c r="K520" s="25" t="n">
        <v>0</v>
      </c>
      <c r="L520" s="29" t="n">
        <v>0.69</v>
      </c>
      <c r="M520" s="30" t="n">
        <v>11.83</v>
      </c>
      <c r="N520" s="29" t="n">
        <v>0.92</v>
      </c>
      <c r="O520" s="25" t="n">
        <v>184</v>
      </c>
      <c r="P520" s="30" t="n">
        <v>8.39</v>
      </c>
      <c r="Q520" s="27"/>
      <c r="R520" s="27"/>
    </row>
    <row r="521" customFormat="false" ht="15" hidden="false" customHeight="false" outlineLevel="0" collapsed="false">
      <c r="A521" s="25" t="n">
        <f aca="false">IF(G521="REJECT",COUNTIF($G$2:$G$2277,"&lt;&gt;REJECT")+1+COUNTIFS($G$2:$G$2277,"REJECT",$B$2:$B$2277,"&gt;"&amp;B521),1+COUNTIFS($G$2:$G$2277,"&lt;&gt;REJECT",$B$2:$B$2277,"&gt;"&amp;B521))</f>
        <v>517</v>
      </c>
      <c r="B521" s="26" t="n">
        <f aca="false">ROUND(($U$2*MAX(0,MIN(1,($W$2-I521)/($W$2-$V$2)))+$U$3*MAX(0,MIN(1,($W$3-J521)/($W$3-$V$3)))+$U$4*MAX(0,MIN(1,($W$4-K521)/($W$4-$V$4)))+$U$5*MAX(0,MIN(1,($W$5-L521)/($W$5-$V$5)))+$U$6*MAX(0,MIN(1,($W$6-M521)/($W$6-$V$6)))+$U$7*MAX(0,MIN(1,($W$7-N521)/($W$7-$V$7)))+$U$8*IF(AND(O521&gt;=$V$8,O521&lt;=$W$8),1,0))/$U$9*100,2)</f>
        <v>89.9</v>
      </c>
      <c r="C521" s="27" t="s">
        <v>1726</v>
      </c>
      <c r="D521" s="25" t="s">
        <v>134</v>
      </c>
      <c r="E521" s="25" t="s">
        <v>3450</v>
      </c>
      <c r="F521" s="25" t="s">
        <v>3448</v>
      </c>
      <c r="G521" s="28" t="s">
        <v>29</v>
      </c>
      <c r="H521" s="28" t="s">
        <v>25</v>
      </c>
      <c r="I521" s="25" t="n">
        <v>0</v>
      </c>
      <c r="J521" s="25" t="n">
        <v>0</v>
      </c>
      <c r="K521" s="25" t="n">
        <v>0</v>
      </c>
      <c r="L521" s="29" t="n">
        <v>0.7</v>
      </c>
      <c r="M521" s="30" t="n">
        <v>21</v>
      </c>
      <c r="N521" s="29" t="n">
        <v>0.36</v>
      </c>
      <c r="O521" s="25" t="n">
        <v>206</v>
      </c>
      <c r="P521" s="30" t="n">
        <v>3.02</v>
      </c>
      <c r="Q521" s="27"/>
      <c r="R521" s="27" t="s">
        <v>61</v>
      </c>
    </row>
    <row r="522" customFormat="false" ht="15" hidden="false" customHeight="false" outlineLevel="0" collapsed="false">
      <c r="A522" s="25" t="n">
        <f aca="false">IF(G522="REJECT",COUNTIF($G$2:$G$2277,"&lt;&gt;REJECT")+1+COUNTIFS($G$2:$G$2277,"REJECT",$B$2:$B$2277,"&gt;"&amp;B522),1+COUNTIFS($G$2:$G$2277,"&lt;&gt;REJECT",$B$2:$B$2277,"&gt;"&amp;B522))</f>
        <v>517</v>
      </c>
      <c r="B522" s="26" t="n">
        <f aca="false">ROUND(($U$2*MAX(0,MIN(1,($W$2-I522)/($W$2-$V$2)))+$U$3*MAX(0,MIN(1,($W$3-J522)/($W$3-$V$3)))+$U$4*MAX(0,MIN(1,($W$4-K522)/($W$4-$V$4)))+$U$5*MAX(0,MIN(1,($W$5-L522)/($W$5-$V$5)))+$U$6*MAX(0,MIN(1,($W$6-M522)/($W$6-$V$6)))+$U$7*MAX(0,MIN(1,($W$7-N522)/($W$7-$V$7)))+$U$8*IF(AND(O522&gt;=$V$8,O522&lt;=$W$8),1,0))/$U$9*100,2)</f>
        <v>89.9</v>
      </c>
      <c r="C522" s="27" t="s">
        <v>2947</v>
      </c>
      <c r="D522" s="25" t="s">
        <v>134</v>
      </c>
      <c r="E522" s="25" t="s">
        <v>3450</v>
      </c>
      <c r="F522" s="25" t="s">
        <v>3457</v>
      </c>
      <c r="G522" s="28" t="s">
        <v>29</v>
      </c>
      <c r="H522" s="28" t="s">
        <v>25</v>
      </c>
      <c r="I522" s="25" t="n">
        <v>0</v>
      </c>
      <c r="J522" s="25" t="n">
        <v>0</v>
      </c>
      <c r="K522" s="25" t="n">
        <v>0</v>
      </c>
      <c r="L522" s="29" t="n">
        <v>0.72</v>
      </c>
      <c r="M522" s="30" t="n">
        <v>24.22</v>
      </c>
      <c r="N522" s="29" t="n">
        <v>0.76</v>
      </c>
      <c r="O522" s="25" t="n">
        <v>186</v>
      </c>
      <c r="P522" s="30" t="n">
        <v>5.21</v>
      </c>
      <c r="Q522" s="27"/>
      <c r="R522" s="27" t="s">
        <v>61</v>
      </c>
    </row>
    <row r="523" customFormat="false" ht="15" hidden="false" customHeight="false" outlineLevel="0" collapsed="false">
      <c r="A523" s="25" t="n">
        <f aca="false">IF(G523="REJECT",COUNTIF($G$2:$G$2277,"&lt;&gt;REJECT")+1+COUNTIFS($G$2:$G$2277,"REJECT",$B$2:$B$2277,"&gt;"&amp;B523),1+COUNTIFS($G$2:$G$2277,"&lt;&gt;REJECT",$B$2:$B$2277,"&gt;"&amp;B523))</f>
        <v>522</v>
      </c>
      <c r="B523" s="26" t="n">
        <f aca="false">ROUND(($U$2*MAX(0,MIN(1,($W$2-I523)/($W$2-$V$2)))+$U$3*MAX(0,MIN(1,($W$3-J523)/($W$3-$V$3)))+$U$4*MAX(0,MIN(1,($W$4-K523)/($W$4-$V$4)))+$U$5*MAX(0,MIN(1,($W$5-L523)/($W$5-$V$5)))+$U$6*MAX(0,MIN(1,($W$6-M523)/($W$6-$V$6)))+$U$7*MAX(0,MIN(1,($W$7-N523)/($W$7-$V$7)))+$U$8*IF(AND(O523&gt;=$V$8,O523&lt;=$W$8),1,0))/$U$9*100,2)</f>
        <v>89.88</v>
      </c>
      <c r="C523" s="27" t="s">
        <v>2080</v>
      </c>
      <c r="D523" s="25" t="s">
        <v>134</v>
      </c>
      <c r="E523" s="25" t="s">
        <v>3450</v>
      </c>
      <c r="F523" s="25" t="s">
        <v>3448</v>
      </c>
      <c r="G523" s="33" t="s">
        <v>28</v>
      </c>
      <c r="H523" s="33" t="s">
        <v>24</v>
      </c>
      <c r="I523" s="25" t="n">
        <v>0</v>
      </c>
      <c r="J523" s="25" t="n">
        <v>0</v>
      </c>
      <c r="K523" s="25" t="n">
        <v>0</v>
      </c>
      <c r="L523" s="29" t="n">
        <v>0.7</v>
      </c>
      <c r="M523" s="30" t="n">
        <v>18.33</v>
      </c>
      <c r="N523" s="29" t="n">
        <v>0.64</v>
      </c>
      <c r="O523" s="25" t="n">
        <v>183</v>
      </c>
      <c r="P523" s="30" t="n">
        <v>18.46</v>
      </c>
      <c r="Q523" s="27"/>
      <c r="R523" s="27"/>
    </row>
    <row r="524" customFormat="false" ht="15" hidden="false" customHeight="false" outlineLevel="0" collapsed="false">
      <c r="A524" s="25" t="n">
        <f aca="false">IF(G524="REJECT",COUNTIF($G$2:$G$2277,"&lt;&gt;REJECT")+1+COUNTIFS($G$2:$G$2277,"REJECT",$B$2:$B$2277,"&gt;"&amp;B524),1+COUNTIFS($G$2:$G$2277,"&lt;&gt;REJECT",$B$2:$B$2277,"&gt;"&amp;B524))</f>
        <v>523</v>
      </c>
      <c r="B524" s="26" t="n">
        <f aca="false">ROUND(($U$2*MAX(0,MIN(1,($W$2-I524)/($W$2-$V$2)))+$U$3*MAX(0,MIN(1,($W$3-J524)/($W$3-$V$3)))+$U$4*MAX(0,MIN(1,($W$4-K524)/($W$4-$V$4)))+$U$5*MAX(0,MIN(1,($W$5-L524)/($W$5-$V$5)))+$U$6*MAX(0,MIN(1,($W$6-M524)/($W$6-$V$6)))+$U$7*MAX(0,MIN(1,($W$7-N524)/($W$7-$V$7)))+$U$8*IF(AND(O524&gt;=$V$8,O524&lt;=$W$8),1,0))/$U$9*100,2)</f>
        <v>89.87</v>
      </c>
      <c r="C524" s="27" t="s">
        <v>2973</v>
      </c>
      <c r="D524" s="25" t="s">
        <v>134</v>
      </c>
      <c r="E524" s="25" t="s">
        <v>3447</v>
      </c>
      <c r="F524" s="25" t="s">
        <v>3457</v>
      </c>
      <c r="G524" s="38" t="s">
        <v>30</v>
      </c>
      <c r="H524" s="28" t="s">
        <v>25</v>
      </c>
      <c r="I524" s="25" t="n">
        <v>1</v>
      </c>
      <c r="J524" s="25" t="n">
        <v>0</v>
      </c>
      <c r="K524" s="25" t="n">
        <v>1</v>
      </c>
      <c r="L524" s="29" t="n">
        <v>0.8</v>
      </c>
      <c r="M524" s="30" t="n">
        <v>21.26</v>
      </c>
      <c r="N524" s="29" t="n">
        <v>0.2</v>
      </c>
      <c r="O524" s="25" t="n">
        <v>185</v>
      </c>
      <c r="P524" s="30" t="n">
        <v>4.32</v>
      </c>
      <c r="Q524" s="27" t="s">
        <v>3483</v>
      </c>
      <c r="R524" s="27" t="s">
        <v>992</v>
      </c>
    </row>
    <row r="525" customFormat="false" ht="15" hidden="false" customHeight="false" outlineLevel="0" collapsed="false">
      <c r="A525" s="25" t="n">
        <f aca="false">IF(G525="REJECT",COUNTIF($G$2:$G$2277,"&lt;&gt;REJECT")+1+COUNTIFS($G$2:$G$2277,"REJECT",$B$2:$B$2277,"&gt;"&amp;B525),1+COUNTIFS($G$2:$G$2277,"&lt;&gt;REJECT",$B$2:$B$2277,"&gt;"&amp;B525))</f>
        <v>523</v>
      </c>
      <c r="B525" s="26" t="n">
        <f aca="false">ROUND(($U$2*MAX(0,MIN(1,($W$2-I525)/($W$2-$V$2)))+$U$3*MAX(0,MIN(1,($W$3-J525)/($W$3-$V$3)))+$U$4*MAX(0,MIN(1,($W$4-K525)/($W$4-$V$4)))+$U$5*MAX(0,MIN(1,($W$5-L525)/($W$5-$V$5)))+$U$6*MAX(0,MIN(1,($W$6-M525)/($W$6-$V$6)))+$U$7*MAX(0,MIN(1,($W$7-N525)/($W$7-$V$7)))+$U$8*IF(AND(O525&gt;=$V$8,O525&lt;=$W$8),1,0))/$U$9*100,2)</f>
        <v>89.87</v>
      </c>
      <c r="C525" s="27" t="s">
        <v>3144</v>
      </c>
      <c r="D525" s="25" t="s">
        <v>3459</v>
      </c>
      <c r="E525" s="25" t="s">
        <v>3447</v>
      </c>
      <c r="F525" s="25" t="s">
        <v>3457</v>
      </c>
      <c r="G525" s="38" t="s">
        <v>30</v>
      </c>
      <c r="H525" s="28" t="s">
        <v>25</v>
      </c>
      <c r="I525" s="25" t="n">
        <v>1</v>
      </c>
      <c r="J525" s="25" t="n">
        <v>0</v>
      </c>
      <c r="K525" s="25" t="n">
        <v>1</v>
      </c>
      <c r="L525" s="29" t="n">
        <v>0.8</v>
      </c>
      <c r="M525" s="30" t="n">
        <v>14.47</v>
      </c>
      <c r="N525" s="29" t="n">
        <v>0.88</v>
      </c>
      <c r="O525" s="25" t="n">
        <v>184</v>
      </c>
      <c r="P525" s="30" t="n">
        <v>-1.22</v>
      </c>
      <c r="Q525" s="27" t="s">
        <v>3476</v>
      </c>
      <c r="R525" s="27" t="s">
        <v>2610</v>
      </c>
    </row>
    <row r="526" customFormat="false" ht="15" hidden="false" customHeight="false" outlineLevel="0" collapsed="false">
      <c r="A526" s="25" t="n">
        <f aca="false">IF(G526="REJECT",COUNTIF($G$2:$G$2277,"&lt;&gt;REJECT")+1+COUNTIFS($G$2:$G$2277,"REJECT",$B$2:$B$2277,"&gt;"&amp;B526),1+COUNTIFS($G$2:$G$2277,"&lt;&gt;REJECT",$B$2:$B$2277,"&gt;"&amp;B526))</f>
        <v>525</v>
      </c>
      <c r="B526" s="26" t="n">
        <f aca="false">ROUND(($U$2*MAX(0,MIN(1,($W$2-I526)/($W$2-$V$2)))+$U$3*MAX(0,MIN(1,($W$3-J526)/($W$3-$V$3)))+$U$4*MAX(0,MIN(1,($W$4-K526)/($W$4-$V$4)))+$U$5*MAX(0,MIN(1,($W$5-L526)/($W$5-$V$5)))+$U$6*MAX(0,MIN(1,($W$6-M526)/($W$6-$V$6)))+$U$7*MAX(0,MIN(1,($W$7-N526)/($W$7-$V$7)))+$U$8*IF(AND(O526&gt;=$V$8,O526&lt;=$W$8),1,0))/$U$9*100,2)</f>
        <v>89.86</v>
      </c>
      <c r="C526" s="27" t="s">
        <v>2607</v>
      </c>
      <c r="D526" s="25" t="s">
        <v>134</v>
      </c>
      <c r="E526" s="25" t="s">
        <v>3447</v>
      </c>
      <c r="F526" s="25" t="s">
        <v>3448</v>
      </c>
      <c r="G526" s="38" t="s">
        <v>30</v>
      </c>
      <c r="H526" s="33" t="s">
        <v>24</v>
      </c>
      <c r="I526" s="25" t="n">
        <v>1</v>
      </c>
      <c r="J526" s="25" t="n">
        <v>0</v>
      </c>
      <c r="K526" s="25" t="n">
        <v>1</v>
      </c>
      <c r="L526" s="29" t="n">
        <v>0.85</v>
      </c>
      <c r="M526" s="30" t="n">
        <v>14.15</v>
      </c>
      <c r="N526" s="29" t="n">
        <v>0.92</v>
      </c>
      <c r="O526" s="25" t="n">
        <v>187</v>
      </c>
      <c r="P526" s="30" t="n">
        <v>2.24</v>
      </c>
      <c r="Q526" s="27" t="s">
        <v>3475</v>
      </c>
      <c r="R526" s="27" t="s">
        <v>30</v>
      </c>
    </row>
    <row r="527" customFormat="false" ht="15" hidden="false" customHeight="false" outlineLevel="0" collapsed="false">
      <c r="A527" s="25" t="n">
        <f aca="false">IF(G527="REJECT",COUNTIF($G$2:$G$2277,"&lt;&gt;REJECT")+1+COUNTIFS($G$2:$G$2277,"REJECT",$B$2:$B$2277,"&gt;"&amp;B527),1+COUNTIFS($G$2:$G$2277,"&lt;&gt;REJECT",$B$2:$B$2277,"&gt;"&amp;B527))</f>
        <v>526</v>
      </c>
      <c r="B527" s="26" t="n">
        <f aca="false">ROUND(($U$2*MAX(0,MIN(1,($W$2-I527)/($W$2-$V$2)))+$U$3*MAX(0,MIN(1,($W$3-J527)/($W$3-$V$3)))+$U$4*MAX(0,MIN(1,($W$4-K527)/($W$4-$V$4)))+$U$5*MAX(0,MIN(1,($W$5-L527)/($W$5-$V$5)))+$U$6*MAX(0,MIN(1,($W$6-M527)/($W$6-$V$6)))+$U$7*MAX(0,MIN(1,($W$7-N527)/($W$7-$V$7)))+$U$8*IF(AND(O527&gt;=$V$8,O527&lt;=$W$8),1,0))/$U$9*100,2)</f>
        <v>89.85</v>
      </c>
      <c r="C527" s="27" t="s">
        <v>2296</v>
      </c>
      <c r="D527" s="25" t="s">
        <v>134</v>
      </c>
      <c r="E527" s="25" t="s">
        <v>3447</v>
      </c>
      <c r="F527" s="25" t="s">
        <v>3457</v>
      </c>
      <c r="G527" s="33" t="s">
        <v>28</v>
      </c>
      <c r="H527" s="33" t="s">
        <v>24</v>
      </c>
      <c r="I527" s="25" t="n">
        <v>0</v>
      </c>
      <c r="J527" s="25" t="n">
        <v>0</v>
      </c>
      <c r="K527" s="25" t="n">
        <v>0</v>
      </c>
      <c r="L527" s="29" t="n">
        <v>0.67</v>
      </c>
      <c r="M527" s="30" t="n">
        <v>9.68</v>
      </c>
      <c r="N527" s="29" t="n">
        <v>0.44</v>
      </c>
      <c r="O527" s="25" t="n">
        <v>183</v>
      </c>
      <c r="P527" s="30" t="n">
        <v>8.18</v>
      </c>
      <c r="Q527" s="27"/>
      <c r="R527" s="27"/>
    </row>
    <row r="528" customFormat="false" ht="15" hidden="false" customHeight="false" outlineLevel="0" collapsed="false">
      <c r="A528" s="25" t="n">
        <f aca="false">IF(G528="REJECT",COUNTIF($G$2:$G$2277,"&lt;&gt;REJECT")+1+COUNTIFS($G$2:$G$2277,"REJECT",$B$2:$B$2277,"&gt;"&amp;B528),1+COUNTIFS($G$2:$G$2277,"&lt;&gt;REJECT",$B$2:$B$2277,"&gt;"&amp;B528))</f>
        <v>527</v>
      </c>
      <c r="B528" s="26" t="n">
        <f aca="false">ROUND(($U$2*MAX(0,MIN(1,($W$2-I528)/($W$2-$V$2)))+$U$3*MAX(0,MIN(1,($W$3-J528)/($W$3-$V$3)))+$U$4*MAX(0,MIN(1,($W$4-K528)/($W$4-$V$4)))+$U$5*MAX(0,MIN(1,($W$5-L528)/($W$5-$V$5)))+$U$6*MAX(0,MIN(1,($W$6-M528)/($W$6-$V$6)))+$U$7*MAX(0,MIN(1,($W$7-N528)/($W$7-$V$7)))+$U$8*IF(AND(O528&gt;=$V$8,O528&lt;=$W$8),1,0))/$U$9*100,2)</f>
        <v>89.84</v>
      </c>
      <c r="C528" s="27" t="s">
        <v>594</v>
      </c>
      <c r="D528" s="25" t="s">
        <v>134</v>
      </c>
      <c r="E528" s="25" t="s">
        <v>3447</v>
      </c>
      <c r="F528" s="25" t="s">
        <v>3457</v>
      </c>
      <c r="G528" s="28" t="s">
        <v>29</v>
      </c>
      <c r="H528" s="28" t="s">
        <v>25</v>
      </c>
      <c r="I528" s="25" t="n">
        <v>0</v>
      </c>
      <c r="J528" s="25" t="n">
        <v>0</v>
      </c>
      <c r="K528" s="25" t="n">
        <v>0</v>
      </c>
      <c r="L528" s="29" t="n">
        <v>0.72</v>
      </c>
      <c r="M528" s="30" t="n">
        <v>24.14</v>
      </c>
      <c r="N528" s="29" t="n">
        <v>0.8</v>
      </c>
      <c r="O528" s="25" t="n">
        <v>183</v>
      </c>
      <c r="P528" s="30" t="n">
        <v>8.73</v>
      </c>
      <c r="Q528" s="27"/>
      <c r="R528" s="27" t="s">
        <v>61</v>
      </c>
    </row>
    <row r="529" customFormat="false" ht="15" hidden="false" customHeight="false" outlineLevel="0" collapsed="false">
      <c r="A529" s="25" t="n">
        <f aca="false">IF(G529="REJECT",COUNTIF($G$2:$G$2277,"&lt;&gt;REJECT")+1+COUNTIFS($G$2:$G$2277,"REJECT",$B$2:$B$2277,"&gt;"&amp;B529),1+COUNTIFS($G$2:$G$2277,"&lt;&gt;REJECT",$B$2:$B$2277,"&gt;"&amp;B529))</f>
        <v>527</v>
      </c>
      <c r="B529" s="26" t="n">
        <f aca="false">ROUND(($U$2*MAX(0,MIN(1,($W$2-I529)/($W$2-$V$2)))+$U$3*MAX(0,MIN(1,($W$3-J529)/($W$3-$V$3)))+$U$4*MAX(0,MIN(1,($W$4-K529)/($W$4-$V$4)))+$U$5*MAX(0,MIN(1,($W$5-L529)/($W$5-$V$5)))+$U$6*MAX(0,MIN(1,($W$6-M529)/($W$6-$V$6)))+$U$7*MAX(0,MIN(1,($W$7-N529)/($W$7-$V$7)))+$U$8*IF(AND(O529&gt;=$V$8,O529&lt;=$W$8),1,0))/$U$9*100,2)</f>
        <v>89.84</v>
      </c>
      <c r="C529" s="27" t="s">
        <v>756</v>
      </c>
      <c r="D529" s="25" t="s">
        <v>134</v>
      </c>
      <c r="E529" s="25" t="s">
        <v>3450</v>
      </c>
      <c r="F529" s="25" t="s">
        <v>3457</v>
      </c>
      <c r="G529" s="33" t="s">
        <v>28</v>
      </c>
      <c r="H529" s="33" t="s">
        <v>24</v>
      </c>
      <c r="I529" s="25" t="n">
        <v>0</v>
      </c>
      <c r="J529" s="25" t="n">
        <v>0</v>
      </c>
      <c r="K529" s="25" t="n">
        <v>0</v>
      </c>
      <c r="L529" s="29" t="n">
        <v>0.68</v>
      </c>
      <c r="M529" s="30" t="n">
        <v>12.16</v>
      </c>
      <c r="N529" s="29" t="n">
        <v>0.56</v>
      </c>
      <c r="O529" s="25" t="n">
        <v>182</v>
      </c>
      <c r="P529" s="30" t="n">
        <v>17.36</v>
      </c>
      <c r="Q529" s="27"/>
      <c r="R529" s="27"/>
    </row>
    <row r="530" customFormat="false" ht="15" hidden="false" customHeight="false" outlineLevel="0" collapsed="false">
      <c r="A530" s="25" t="n">
        <f aca="false">IF(G530="REJECT",COUNTIF($G$2:$G$2277,"&lt;&gt;REJECT")+1+COUNTIFS($G$2:$G$2277,"REJECT",$B$2:$B$2277,"&gt;"&amp;B530),1+COUNTIFS($G$2:$G$2277,"&lt;&gt;REJECT",$B$2:$B$2277,"&gt;"&amp;B530))</f>
        <v>527</v>
      </c>
      <c r="B530" s="26" t="n">
        <f aca="false">ROUND(($U$2*MAX(0,MIN(1,($W$2-I530)/($W$2-$V$2)))+$U$3*MAX(0,MIN(1,($W$3-J530)/($W$3-$V$3)))+$U$4*MAX(0,MIN(1,($W$4-K530)/($W$4-$V$4)))+$U$5*MAX(0,MIN(1,($W$5-L530)/($W$5-$V$5)))+$U$6*MAX(0,MIN(1,($W$6-M530)/($W$6-$V$6)))+$U$7*MAX(0,MIN(1,($W$7-N530)/($W$7-$V$7)))+$U$8*IF(AND(O530&gt;=$V$8,O530&lt;=$W$8),1,0))/$U$9*100,2)</f>
        <v>89.84</v>
      </c>
      <c r="C530" s="27" t="s">
        <v>3068</v>
      </c>
      <c r="D530" s="25" t="s">
        <v>3459</v>
      </c>
      <c r="E530" s="25" t="s">
        <v>3450</v>
      </c>
      <c r="F530" s="25" t="s">
        <v>3457</v>
      </c>
      <c r="G530" s="28" t="s">
        <v>29</v>
      </c>
      <c r="H530" s="28" t="s">
        <v>25</v>
      </c>
      <c r="I530" s="25" t="n">
        <v>0</v>
      </c>
      <c r="J530" s="25" t="n">
        <v>0</v>
      </c>
      <c r="K530" s="25" t="n">
        <v>0</v>
      </c>
      <c r="L530" s="29" t="n">
        <v>0.69</v>
      </c>
      <c r="M530" s="30" t="n">
        <v>14.19</v>
      </c>
      <c r="N530" s="29" t="n">
        <v>0.72</v>
      </c>
      <c r="O530" s="25" t="n">
        <v>186</v>
      </c>
      <c r="P530" s="30" t="n">
        <v>2.01</v>
      </c>
      <c r="Q530" s="27"/>
      <c r="R530" s="27" t="s">
        <v>62</v>
      </c>
    </row>
    <row r="531" customFormat="false" ht="15" hidden="false" customHeight="false" outlineLevel="0" collapsed="false">
      <c r="A531" s="25" t="n">
        <f aca="false">IF(G531="REJECT",COUNTIF($G$2:$G$2277,"&lt;&gt;REJECT")+1+COUNTIFS($G$2:$G$2277,"REJECT",$B$2:$B$2277,"&gt;"&amp;B531),1+COUNTIFS($G$2:$G$2277,"&lt;&gt;REJECT",$B$2:$B$2277,"&gt;"&amp;B531))</f>
        <v>530</v>
      </c>
      <c r="B531" s="26" t="n">
        <f aca="false">ROUND(($U$2*MAX(0,MIN(1,($W$2-I531)/($W$2-$V$2)))+$U$3*MAX(0,MIN(1,($W$3-J531)/($W$3-$V$3)))+$U$4*MAX(0,MIN(1,($W$4-K531)/($W$4-$V$4)))+$U$5*MAX(0,MIN(1,($W$5-L531)/($W$5-$V$5)))+$U$6*MAX(0,MIN(1,($W$6-M531)/($W$6-$V$6)))+$U$7*MAX(0,MIN(1,($W$7-N531)/($W$7-$V$7)))+$U$8*IF(AND(O531&gt;=$V$8,O531&lt;=$W$8),1,0))/$U$9*100,2)</f>
        <v>89.72</v>
      </c>
      <c r="C531" s="27" t="s">
        <v>1987</v>
      </c>
      <c r="D531" s="25" t="s">
        <v>134</v>
      </c>
      <c r="E531" s="25" t="s">
        <v>3450</v>
      </c>
      <c r="F531" s="25" t="s">
        <v>3457</v>
      </c>
      <c r="G531" s="28" t="s">
        <v>29</v>
      </c>
      <c r="H531" s="28" t="s">
        <v>25</v>
      </c>
      <c r="I531" s="25" t="n">
        <v>0</v>
      </c>
      <c r="J531" s="25" t="n">
        <v>0</v>
      </c>
      <c r="K531" s="25" t="n">
        <v>0</v>
      </c>
      <c r="L531" s="29" t="n">
        <v>0.69</v>
      </c>
      <c r="M531" s="30" t="n">
        <v>19.71</v>
      </c>
      <c r="N531" s="29" t="n">
        <v>0.24</v>
      </c>
      <c r="O531" s="25" t="n">
        <v>187</v>
      </c>
      <c r="P531" s="30" t="n">
        <v>9.35</v>
      </c>
      <c r="Q531" s="27"/>
      <c r="R531" s="27" t="s">
        <v>64</v>
      </c>
    </row>
    <row r="532" customFormat="false" ht="15" hidden="false" customHeight="false" outlineLevel="0" collapsed="false">
      <c r="A532" s="25" t="n">
        <f aca="false">IF(G532="REJECT",COUNTIF($G$2:$G$2277,"&lt;&gt;REJECT")+1+COUNTIFS($G$2:$G$2277,"REJECT",$B$2:$B$2277,"&gt;"&amp;B532),1+COUNTIFS($G$2:$G$2277,"&lt;&gt;REJECT",$B$2:$B$2277,"&gt;"&amp;B532))</f>
        <v>531</v>
      </c>
      <c r="B532" s="26" t="n">
        <f aca="false">ROUND(($U$2*MAX(0,MIN(1,($W$2-I532)/($W$2-$V$2)))+$U$3*MAX(0,MIN(1,($W$3-J532)/($W$3-$V$3)))+$U$4*MAX(0,MIN(1,($W$4-K532)/($W$4-$V$4)))+$U$5*MAX(0,MIN(1,($W$5-L532)/($W$5-$V$5)))+$U$6*MAX(0,MIN(1,($W$6-M532)/($W$6-$V$6)))+$U$7*MAX(0,MIN(1,($W$7-N532)/($W$7-$V$7)))+$U$8*IF(AND(O532&gt;=$V$8,O532&lt;=$W$8),1,0))/$U$9*100,2)</f>
        <v>89.71</v>
      </c>
      <c r="C532" s="27" t="s">
        <v>2096</v>
      </c>
      <c r="D532" s="25" t="s">
        <v>134</v>
      </c>
      <c r="E532" s="25" t="s">
        <v>3450</v>
      </c>
      <c r="F532" s="25" t="s">
        <v>3457</v>
      </c>
      <c r="G532" s="28" t="s">
        <v>29</v>
      </c>
      <c r="H532" s="28" t="s">
        <v>25</v>
      </c>
      <c r="I532" s="25" t="n">
        <v>0</v>
      </c>
      <c r="J532" s="25" t="n">
        <v>0</v>
      </c>
      <c r="K532" s="25" t="n">
        <v>0</v>
      </c>
      <c r="L532" s="29" t="n">
        <v>0.72</v>
      </c>
      <c r="M532" s="30" t="n">
        <v>23.76</v>
      </c>
      <c r="N532" s="29" t="n">
        <v>0.92</v>
      </c>
      <c r="O532" s="25" t="n">
        <v>185</v>
      </c>
      <c r="P532" s="30" t="n">
        <v>13.6</v>
      </c>
      <c r="Q532" s="27"/>
      <c r="R532" s="27" t="s">
        <v>61</v>
      </c>
    </row>
    <row r="533" customFormat="false" ht="15" hidden="false" customHeight="false" outlineLevel="0" collapsed="false">
      <c r="A533" s="25" t="n">
        <f aca="false">IF(G533="REJECT",COUNTIF($G$2:$G$2277,"&lt;&gt;REJECT")+1+COUNTIFS($G$2:$G$2277,"REJECT",$B$2:$B$2277,"&gt;"&amp;B533),1+COUNTIFS($G$2:$G$2277,"&lt;&gt;REJECT",$B$2:$B$2277,"&gt;"&amp;B533))</f>
        <v>531</v>
      </c>
      <c r="B533" s="26" t="n">
        <f aca="false">ROUND(($U$2*MAX(0,MIN(1,($W$2-I533)/($W$2-$V$2)))+$U$3*MAX(0,MIN(1,($W$3-J533)/($W$3-$V$3)))+$U$4*MAX(0,MIN(1,($W$4-K533)/($W$4-$V$4)))+$U$5*MAX(0,MIN(1,($W$5-L533)/($W$5-$V$5)))+$U$6*MAX(0,MIN(1,($W$6-M533)/($W$6-$V$6)))+$U$7*MAX(0,MIN(1,($W$7-N533)/($W$7-$V$7)))+$U$8*IF(AND(O533&gt;=$V$8,O533&lt;=$W$8),1,0))/$U$9*100,2)</f>
        <v>89.71</v>
      </c>
      <c r="C533" s="27" t="s">
        <v>2541</v>
      </c>
      <c r="D533" s="25" t="s">
        <v>134</v>
      </c>
      <c r="E533" s="25" t="s">
        <v>3450</v>
      </c>
      <c r="F533" s="25" t="s">
        <v>3457</v>
      </c>
      <c r="G533" s="33" t="s">
        <v>28</v>
      </c>
      <c r="H533" s="33" t="s">
        <v>24</v>
      </c>
      <c r="I533" s="25" t="n">
        <v>0</v>
      </c>
      <c r="J533" s="25" t="n">
        <v>0</v>
      </c>
      <c r="K533" s="25" t="n">
        <v>0</v>
      </c>
      <c r="L533" s="29" t="n">
        <v>0.68</v>
      </c>
      <c r="M533" s="30" t="n">
        <v>16.14</v>
      </c>
      <c r="N533" s="29" t="n">
        <v>0.24</v>
      </c>
      <c r="O533" s="25" t="n">
        <v>182</v>
      </c>
      <c r="P533" s="30" t="n">
        <v>10.51</v>
      </c>
      <c r="Q533" s="27"/>
      <c r="R533" s="27"/>
    </row>
    <row r="534" customFormat="false" ht="15" hidden="false" customHeight="false" outlineLevel="0" collapsed="false">
      <c r="A534" s="25" t="n">
        <f aca="false">IF(G534="REJECT",COUNTIF($G$2:$G$2277,"&lt;&gt;REJECT")+1+COUNTIFS($G$2:$G$2277,"REJECT",$B$2:$B$2277,"&gt;"&amp;B534),1+COUNTIFS($G$2:$G$2277,"&lt;&gt;REJECT",$B$2:$B$2277,"&gt;"&amp;B534))</f>
        <v>533</v>
      </c>
      <c r="B534" s="26" t="n">
        <f aca="false">ROUND(($U$2*MAX(0,MIN(1,($W$2-I534)/($W$2-$V$2)))+$U$3*MAX(0,MIN(1,($W$3-J534)/($W$3-$V$3)))+$U$4*MAX(0,MIN(1,($W$4-K534)/($W$4-$V$4)))+$U$5*MAX(0,MIN(1,($W$5-L534)/($W$5-$V$5)))+$U$6*MAX(0,MIN(1,($W$6-M534)/($W$6-$V$6)))+$U$7*MAX(0,MIN(1,($W$7-N534)/($W$7-$V$7)))+$U$8*IF(AND(O534&gt;=$V$8,O534&lt;=$W$8),1,0))/$U$9*100,2)</f>
        <v>89.69</v>
      </c>
      <c r="C534" s="27" t="s">
        <v>2978</v>
      </c>
      <c r="D534" s="25" t="s">
        <v>134</v>
      </c>
      <c r="E534" s="25" t="s">
        <v>3447</v>
      </c>
      <c r="F534" s="25" t="s">
        <v>3448</v>
      </c>
      <c r="G534" s="38" t="s">
        <v>30</v>
      </c>
      <c r="H534" s="28" t="s">
        <v>25</v>
      </c>
      <c r="I534" s="25" t="n">
        <v>1</v>
      </c>
      <c r="J534" s="25" t="n">
        <v>0</v>
      </c>
      <c r="K534" s="25" t="n">
        <v>1</v>
      </c>
      <c r="L534" s="29" t="n">
        <v>0.8</v>
      </c>
      <c r="M534" s="30" t="n">
        <v>14.76</v>
      </c>
      <c r="N534" s="29" t="n">
        <v>0.96</v>
      </c>
      <c r="O534" s="25" t="n">
        <v>185</v>
      </c>
      <c r="P534" s="30" t="n">
        <v>-4.79</v>
      </c>
      <c r="Q534" s="27" t="s">
        <v>3476</v>
      </c>
      <c r="R534" s="27" t="s">
        <v>2133</v>
      </c>
    </row>
    <row r="535" customFormat="false" ht="15" hidden="false" customHeight="false" outlineLevel="0" collapsed="false">
      <c r="A535" s="25" t="n">
        <f aca="false">IF(G535="REJECT",COUNTIF($G$2:$G$2277,"&lt;&gt;REJECT")+1+COUNTIFS($G$2:$G$2277,"REJECT",$B$2:$B$2277,"&gt;"&amp;B535),1+COUNTIFS($G$2:$G$2277,"&lt;&gt;REJECT",$B$2:$B$2277,"&gt;"&amp;B535))</f>
        <v>533</v>
      </c>
      <c r="B535" s="26" t="n">
        <f aca="false">ROUND(($U$2*MAX(0,MIN(1,($W$2-I535)/($W$2-$V$2)))+$U$3*MAX(0,MIN(1,($W$3-J535)/($W$3-$V$3)))+$U$4*MAX(0,MIN(1,($W$4-K535)/($W$4-$V$4)))+$U$5*MAX(0,MIN(1,($W$5-L535)/($W$5-$V$5)))+$U$6*MAX(0,MIN(1,($W$6-M535)/($W$6-$V$6)))+$U$7*MAX(0,MIN(1,($W$7-N535)/($W$7-$V$7)))+$U$8*IF(AND(O535&gt;=$V$8,O535&lt;=$W$8),1,0))/$U$9*100,2)</f>
        <v>89.69</v>
      </c>
      <c r="C535" s="27" t="s">
        <v>3132</v>
      </c>
      <c r="D535" s="25" t="s">
        <v>3459</v>
      </c>
      <c r="E535" s="25" t="s">
        <v>3450</v>
      </c>
      <c r="F535" s="25" t="s">
        <v>3448</v>
      </c>
      <c r="G535" s="28" t="s">
        <v>29</v>
      </c>
      <c r="H535" s="28" t="s">
        <v>25</v>
      </c>
      <c r="I535" s="25" t="n">
        <v>0</v>
      </c>
      <c r="J535" s="25" t="n">
        <v>0</v>
      </c>
      <c r="K535" s="25" t="n">
        <v>0</v>
      </c>
      <c r="L535" s="29" t="n">
        <v>0.69</v>
      </c>
      <c r="M535" s="30" t="n">
        <v>13.06</v>
      </c>
      <c r="N535" s="29" t="n">
        <v>0.92</v>
      </c>
      <c r="O535" s="25" t="n">
        <v>184</v>
      </c>
      <c r="P535" s="30" t="n">
        <v>-1.1</v>
      </c>
      <c r="Q535" s="27"/>
      <c r="R535" s="27" t="s">
        <v>62</v>
      </c>
    </row>
    <row r="536" customFormat="false" ht="15" hidden="false" customHeight="false" outlineLevel="0" collapsed="false">
      <c r="A536" s="25" t="n">
        <f aca="false">IF(G536="REJECT",COUNTIF($G$2:$G$2277,"&lt;&gt;REJECT")+1+COUNTIFS($G$2:$G$2277,"REJECT",$B$2:$B$2277,"&gt;"&amp;B536),1+COUNTIFS($G$2:$G$2277,"&lt;&gt;REJECT",$B$2:$B$2277,"&gt;"&amp;B536))</f>
        <v>535</v>
      </c>
      <c r="B536" s="26" t="n">
        <f aca="false">ROUND(($U$2*MAX(0,MIN(1,($W$2-I536)/($W$2-$V$2)))+$U$3*MAX(0,MIN(1,($W$3-J536)/($W$3-$V$3)))+$U$4*MAX(0,MIN(1,($W$4-K536)/($W$4-$V$4)))+$U$5*MAX(0,MIN(1,($W$5-L536)/($W$5-$V$5)))+$U$6*MAX(0,MIN(1,($W$6-M536)/($W$6-$V$6)))+$U$7*MAX(0,MIN(1,($W$7-N536)/($W$7-$V$7)))+$U$8*IF(AND(O536&gt;=$V$8,O536&lt;=$W$8),1,0))/$U$9*100,2)</f>
        <v>89.68</v>
      </c>
      <c r="C536" s="27" t="s">
        <v>1412</v>
      </c>
      <c r="D536" s="25" t="s">
        <v>134</v>
      </c>
      <c r="E536" s="25" t="s">
        <v>3447</v>
      </c>
      <c r="F536" s="25" t="s">
        <v>3448</v>
      </c>
      <c r="G536" s="38" t="s">
        <v>30</v>
      </c>
      <c r="H536" s="33" t="s">
        <v>24</v>
      </c>
      <c r="I536" s="25" t="n">
        <v>1</v>
      </c>
      <c r="J536" s="25" t="n">
        <v>0</v>
      </c>
      <c r="K536" s="25" t="n">
        <v>1</v>
      </c>
      <c r="L536" s="29" t="n">
        <v>0.75</v>
      </c>
      <c r="M536" s="30" t="n">
        <v>6.42</v>
      </c>
      <c r="N536" s="29" t="n">
        <v>0</v>
      </c>
      <c r="O536" s="25" t="n">
        <v>187</v>
      </c>
      <c r="P536" s="30" t="n">
        <v>3.24</v>
      </c>
      <c r="Q536" s="27" t="s">
        <v>3481</v>
      </c>
      <c r="R536" s="27" t="s">
        <v>30</v>
      </c>
    </row>
    <row r="537" customFormat="false" ht="15" hidden="false" customHeight="false" outlineLevel="0" collapsed="false">
      <c r="A537" s="25" t="n">
        <f aca="false">IF(G537="REJECT",COUNTIF($G$2:$G$2277,"&lt;&gt;REJECT")+1+COUNTIFS($G$2:$G$2277,"REJECT",$B$2:$B$2277,"&gt;"&amp;B537),1+COUNTIFS($G$2:$G$2277,"&lt;&gt;REJECT",$B$2:$B$2277,"&gt;"&amp;B537))</f>
        <v>535</v>
      </c>
      <c r="B537" s="26" t="n">
        <f aca="false">ROUND(($U$2*MAX(0,MIN(1,($W$2-I537)/($W$2-$V$2)))+$U$3*MAX(0,MIN(1,($W$3-J537)/($W$3-$V$3)))+$U$4*MAX(0,MIN(1,($W$4-K537)/($W$4-$V$4)))+$U$5*MAX(0,MIN(1,($W$5-L537)/($W$5-$V$5)))+$U$6*MAX(0,MIN(1,($W$6-M537)/($W$6-$V$6)))+$U$7*MAX(0,MIN(1,($W$7-N537)/($W$7-$V$7)))+$U$8*IF(AND(O537&gt;=$V$8,O537&lt;=$W$8),1,0))/$U$9*100,2)</f>
        <v>89.68</v>
      </c>
      <c r="C537" s="27" t="s">
        <v>1589</v>
      </c>
      <c r="D537" s="25" t="s">
        <v>3459</v>
      </c>
      <c r="E537" s="25" t="s">
        <v>3450</v>
      </c>
      <c r="F537" s="25" t="s">
        <v>3457</v>
      </c>
      <c r="G537" s="33" t="s">
        <v>28</v>
      </c>
      <c r="H537" s="33" t="s">
        <v>24</v>
      </c>
      <c r="I537" s="25" t="n">
        <v>0</v>
      </c>
      <c r="J537" s="25" t="n">
        <v>0</v>
      </c>
      <c r="K537" s="25" t="n">
        <v>0</v>
      </c>
      <c r="L537" s="29" t="n">
        <v>0.68</v>
      </c>
      <c r="M537" s="30" t="n">
        <v>15.14</v>
      </c>
      <c r="N537" s="29" t="n">
        <v>0.36</v>
      </c>
      <c r="O537" s="25" t="n">
        <v>183</v>
      </c>
      <c r="P537" s="30" t="n">
        <v>14.77</v>
      </c>
      <c r="Q537" s="27"/>
      <c r="R537" s="27"/>
    </row>
    <row r="538" customFormat="false" ht="15" hidden="false" customHeight="false" outlineLevel="0" collapsed="false">
      <c r="A538" s="25" t="n">
        <f aca="false">IF(G538="REJECT",COUNTIF($G$2:$G$2277,"&lt;&gt;REJECT")+1+COUNTIFS($G$2:$G$2277,"REJECT",$B$2:$B$2277,"&gt;"&amp;B538),1+COUNTIFS($G$2:$G$2277,"&lt;&gt;REJECT",$B$2:$B$2277,"&gt;"&amp;B538))</f>
        <v>537</v>
      </c>
      <c r="B538" s="26" t="n">
        <f aca="false">ROUND(($U$2*MAX(0,MIN(1,($W$2-I538)/($W$2-$V$2)))+$U$3*MAX(0,MIN(1,($W$3-J538)/($W$3-$V$3)))+$U$4*MAX(0,MIN(1,($W$4-K538)/($W$4-$V$4)))+$U$5*MAX(0,MIN(1,($W$5-L538)/($W$5-$V$5)))+$U$6*MAX(0,MIN(1,($W$6-M538)/($W$6-$V$6)))+$U$7*MAX(0,MIN(1,($W$7-N538)/($W$7-$V$7)))+$U$8*IF(AND(O538&gt;=$V$8,O538&lt;=$W$8),1,0))/$U$9*100,2)</f>
        <v>89.65</v>
      </c>
      <c r="C538" s="27" t="s">
        <v>2137</v>
      </c>
      <c r="D538" s="25" t="s">
        <v>3459</v>
      </c>
      <c r="E538" s="25" t="s">
        <v>3447</v>
      </c>
      <c r="F538" s="25" t="s">
        <v>3448</v>
      </c>
      <c r="G538" s="38" t="s">
        <v>30</v>
      </c>
      <c r="H538" s="28" t="s">
        <v>25</v>
      </c>
      <c r="I538" s="25" t="n">
        <v>1</v>
      </c>
      <c r="J538" s="25" t="n">
        <v>0</v>
      </c>
      <c r="K538" s="25" t="n">
        <v>1</v>
      </c>
      <c r="L538" s="29" t="n">
        <v>0.82</v>
      </c>
      <c r="M538" s="30" t="n">
        <v>20.99</v>
      </c>
      <c r="N538" s="29" t="n">
        <v>0.36</v>
      </c>
      <c r="O538" s="25" t="n">
        <v>228</v>
      </c>
      <c r="P538" s="30" t="n">
        <v>5.78</v>
      </c>
      <c r="Q538" s="27" t="s">
        <v>3474</v>
      </c>
      <c r="R538" s="27" t="s">
        <v>992</v>
      </c>
    </row>
    <row r="539" customFormat="false" ht="15" hidden="false" customHeight="false" outlineLevel="0" collapsed="false">
      <c r="A539" s="25" t="n">
        <f aca="false">IF(G539="REJECT",COUNTIF($G$2:$G$2277,"&lt;&gt;REJECT")+1+COUNTIFS($G$2:$G$2277,"REJECT",$B$2:$B$2277,"&gt;"&amp;B539),1+COUNTIFS($G$2:$G$2277,"&lt;&gt;REJECT",$B$2:$B$2277,"&gt;"&amp;B539))</f>
        <v>538</v>
      </c>
      <c r="B539" s="26" t="n">
        <f aca="false">ROUND(($U$2*MAX(0,MIN(1,($W$2-I539)/($W$2-$V$2)))+$U$3*MAX(0,MIN(1,($W$3-J539)/($W$3-$V$3)))+$U$4*MAX(0,MIN(1,($W$4-K539)/($W$4-$V$4)))+$U$5*MAX(0,MIN(1,($W$5-L539)/($W$5-$V$5)))+$U$6*MAX(0,MIN(1,($W$6-M539)/($W$6-$V$6)))+$U$7*MAX(0,MIN(1,($W$7-N539)/($W$7-$V$7)))+$U$8*IF(AND(O539&gt;=$V$8,O539&lt;=$W$8),1,0))/$U$9*100,2)</f>
        <v>89.64</v>
      </c>
      <c r="C539" s="27" t="s">
        <v>336</v>
      </c>
      <c r="D539" s="25" t="s">
        <v>134</v>
      </c>
      <c r="E539" s="25" t="s">
        <v>3450</v>
      </c>
      <c r="F539" s="25" t="s">
        <v>3457</v>
      </c>
      <c r="G539" s="33" t="s">
        <v>28</v>
      </c>
      <c r="H539" s="33" t="s">
        <v>24</v>
      </c>
      <c r="I539" s="25" t="n">
        <v>0</v>
      </c>
      <c r="J539" s="25" t="n">
        <v>0</v>
      </c>
      <c r="K539" s="25" t="n">
        <v>0</v>
      </c>
      <c r="L539" s="29" t="n">
        <v>0.68</v>
      </c>
      <c r="M539" s="30" t="n">
        <v>14.58</v>
      </c>
      <c r="N539" s="29" t="n">
        <v>0.44</v>
      </c>
      <c r="O539" s="25" t="n">
        <v>183</v>
      </c>
      <c r="P539" s="30" t="n">
        <v>11.21</v>
      </c>
      <c r="Q539" s="27"/>
      <c r="R539" s="27"/>
    </row>
    <row r="540" customFormat="false" ht="15" hidden="false" customHeight="false" outlineLevel="0" collapsed="false">
      <c r="A540" s="25" t="n">
        <f aca="false">IF(G540="REJECT",COUNTIF($G$2:$G$2277,"&lt;&gt;REJECT")+1+COUNTIFS($G$2:$G$2277,"REJECT",$B$2:$B$2277,"&gt;"&amp;B540),1+COUNTIFS($G$2:$G$2277,"&lt;&gt;REJECT",$B$2:$B$2277,"&gt;"&amp;B540))</f>
        <v>538</v>
      </c>
      <c r="B540" s="26" t="n">
        <f aca="false">ROUND(($U$2*MAX(0,MIN(1,($W$2-I540)/($W$2-$V$2)))+$U$3*MAX(0,MIN(1,($W$3-J540)/($W$3-$V$3)))+$U$4*MAX(0,MIN(1,($W$4-K540)/($W$4-$V$4)))+$U$5*MAX(0,MIN(1,($W$5-L540)/($W$5-$V$5)))+$U$6*MAX(0,MIN(1,($W$6-M540)/($W$6-$V$6)))+$U$7*MAX(0,MIN(1,($W$7-N540)/($W$7-$V$7)))+$U$8*IF(AND(O540&gt;=$V$8,O540&lt;=$W$8),1,0))/$U$9*100,2)</f>
        <v>89.64</v>
      </c>
      <c r="C540" s="27" t="s">
        <v>1620</v>
      </c>
      <c r="D540" s="25" t="s">
        <v>134</v>
      </c>
      <c r="E540" s="25" t="s">
        <v>3450</v>
      </c>
      <c r="F540" s="25" t="s">
        <v>3448</v>
      </c>
      <c r="G540" s="28" t="s">
        <v>29</v>
      </c>
      <c r="H540" s="28" t="s">
        <v>25</v>
      </c>
      <c r="I540" s="25" t="n">
        <v>0</v>
      </c>
      <c r="J540" s="25" t="n">
        <v>0</v>
      </c>
      <c r="K540" s="25" t="n">
        <v>0</v>
      </c>
      <c r="L540" s="29" t="n">
        <v>0.72</v>
      </c>
      <c r="M540" s="30" t="n">
        <v>26.57</v>
      </c>
      <c r="N540" s="29" t="n">
        <v>0.68</v>
      </c>
      <c r="O540" s="25" t="n">
        <v>183</v>
      </c>
      <c r="P540" s="30" t="n">
        <v>2.18</v>
      </c>
      <c r="Q540" s="27"/>
      <c r="R540" s="27" t="s">
        <v>3473</v>
      </c>
    </row>
    <row r="541" customFormat="false" ht="15" hidden="false" customHeight="false" outlineLevel="0" collapsed="false">
      <c r="A541" s="25" t="n">
        <f aca="false">IF(G541="REJECT",COUNTIF($G$2:$G$2277,"&lt;&gt;REJECT")+1+COUNTIFS($G$2:$G$2277,"REJECT",$B$2:$B$2277,"&gt;"&amp;B541),1+COUNTIFS($G$2:$G$2277,"&lt;&gt;REJECT",$B$2:$B$2277,"&gt;"&amp;B541))</f>
        <v>538</v>
      </c>
      <c r="B541" s="26" t="n">
        <f aca="false">ROUND(($U$2*MAX(0,MIN(1,($W$2-I541)/($W$2-$V$2)))+$U$3*MAX(0,MIN(1,($W$3-J541)/($W$3-$V$3)))+$U$4*MAX(0,MIN(1,($W$4-K541)/($W$4-$V$4)))+$U$5*MAX(0,MIN(1,($W$5-L541)/($W$5-$V$5)))+$U$6*MAX(0,MIN(1,($W$6-M541)/($W$6-$V$6)))+$U$7*MAX(0,MIN(1,($W$7-N541)/($W$7-$V$7)))+$U$8*IF(AND(O541&gt;=$V$8,O541&lt;=$W$8),1,0))/$U$9*100,2)</f>
        <v>89.64</v>
      </c>
      <c r="C541" s="27" t="s">
        <v>3001</v>
      </c>
      <c r="D541" s="25" t="s">
        <v>134</v>
      </c>
      <c r="E541" s="25" t="s">
        <v>3450</v>
      </c>
      <c r="F541" s="25" t="s">
        <v>3457</v>
      </c>
      <c r="G541" s="28" t="s">
        <v>29</v>
      </c>
      <c r="H541" s="28" t="s">
        <v>25</v>
      </c>
      <c r="I541" s="25" t="n">
        <v>0</v>
      </c>
      <c r="J541" s="25" t="n">
        <v>0</v>
      </c>
      <c r="K541" s="25" t="n">
        <v>0</v>
      </c>
      <c r="L541" s="29" t="n">
        <v>0.67</v>
      </c>
      <c r="M541" s="30" t="n">
        <v>6.14</v>
      </c>
      <c r="N541" s="29" t="n">
        <v>0.92</v>
      </c>
      <c r="O541" s="25" t="n">
        <v>184</v>
      </c>
      <c r="P541" s="30" t="n">
        <v>-0.75</v>
      </c>
      <c r="Q541" s="27"/>
      <c r="R541" s="27" t="s">
        <v>3466</v>
      </c>
    </row>
    <row r="542" customFormat="false" ht="15" hidden="false" customHeight="false" outlineLevel="0" collapsed="false">
      <c r="A542" s="25" t="n">
        <f aca="false">IF(G542="REJECT",COUNTIF($G$2:$G$2277,"&lt;&gt;REJECT")+1+COUNTIFS($G$2:$G$2277,"REJECT",$B$2:$B$2277,"&gt;"&amp;B542),1+COUNTIFS($G$2:$G$2277,"&lt;&gt;REJECT",$B$2:$B$2277,"&gt;"&amp;B542))</f>
        <v>541</v>
      </c>
      <c r="B542" s="26" t="n">
        <f aca="false">ROUND(($U$2*MAX(0,MIN(1,($W$2-I542)/($W$2-$V$2)))+$U$3*MAX(0,MIN(1,($W$3-J542)/($W$3-$V$3)))+$U$4*MAX(0,MIN(1,($W$4-K542)/($W$4-$V$4)))+$U$5*MAX(0,MIN(1,($W$5-L542)/($W$5-$V$5)))+$U$6*MAX(0,MIN(1,($W$6-M542)/($W$6-$V$6)))+$U$7*MAX(0,MIN(1,($W$7-N542)/($W$7-$V$7)))+$U$8*IF(AND(O542&gt;=$V$8,O542&lt;=$W$8),1,0))/$U$9*100,2)</f>
        <v>89.62</v>
      </c>
      <c r="C542" s="27" t="s">
        <v>879</v>
      </c>
      <c r="D542" s="25" t="s">
        <v>3459</v>
      </c>
      <c r="E542" s="25" t="s">
        <v>3447</v>
      </c>
      <c r="F542" s="25" t="s">
        <v>3448</v>
      </c>
      <c r="G542" s="38" t="s">
        <v>30</v>
      </c>
      <c r="H542" s="28" t="s">
        <v>25</v>
      </c>
      <c r="I542" s="25" t="n">
        <v>1</v>
      </c>
      <c r="J542" s="25" t="n">
        <v>0</v>
      </c>
      <c r="K542" s="25" t="n">
        <v>1</v>
      </c>
      <c r="L542" s="29" t="n">
        <v>0.84</v>
      </c>
      <c r="M542" s="30" t="n">
        <v>24.81</v>
      </c>
      <c r="N542" s="29" t="n">
        <v>0</v>
      </c>
      <c r="O542" s="25" t="n">
        <v>183</v>
      </c>
      <c r="P542" s="30" t="n">
        <v>7.87</v>
      </c>
      <c r="Q542" s="27" t="s">
        <v>3476</v>
      </c>
      <c r="R542" s="27" t="s">
        <v>992</v>
      </c>
    </row>
    <row r="543" customFormat="false" ht="15" hidden="false" customHeight="false" outlineLevel="0" collapsed="false">
      <c r="A543" s="25" t="n">
        <f aca="false">IF(G543="REJECT",COUNTIF($G$2:$G$2277,"&lt;&gt;REJECT")+1+COUNTIFS($G$2:$G$2277,"REJECT",$B$2:$B$2277,"&gt;"&amp;B543),1+COUNTIFS($G$2:$G$2277,"&lt;&gt;REJECT",$B$2:$B$2277,"&gt;"&amp;B543))</f>
        <v>542</v>
      </c>
      <c r="B543" s="26" t="n">
        <f aca="false">ROUND(($U$2*MAX(0,MIN(1,($W$2-I543)/($W$2-$V$2)))+$U$3*MAX(0,MIN(1,($W$3-J543)/($W$3-$V$3)))+$U$4*MAX(0,MIN(1,($W$4-K543)/($W$4-$V$4)))+$U$5*MAX(0,MIN(1,($W$5-L543)/($W$5-$V$5)))+$U$6*MAX(0,MIN(1,($W$6-M543)/($W$6-$V$6)))+$U$7*MAX(0,MIN(1,($W$7-N543)/($W$7-$V$7)))+$U$8*IF(AND(O543&gt;=$V$8,O543&lt;=$W$8),1,0))/$U$9*100,2)</f>
        <v>89.54</v>
      </c>
      <c r="C543" s="27" t="s">
        <v>637</v>
      </c>
      <c r="D543" s="25" t="s">
        <v>134</v>
      </c>
      <c r="E543" s="25" t="s">
        <v>3450</v>
      </c>
      <c r="F543" s="25" t="s">
        <v>3457</v>
      </c>
      <c r="G543" s="28" t="s">
        <v>29</v>
      </c>
      <c r="H543" s="28" t="s">
        <v>25</v>
      </c>
      <c r="I543" s="25" t="n">
        <v>0</v>
      </c>
      <c r="J543" s="25" t="n">
        <v>0</v>
      </c>
      <c r="K543" s="25" t="n">
        <v>0</v>
      </c>
      <c r="L543" s="29" t="n">
        <v>0.67</v>
      </c>
      <c r="M543" s="30" t="n">
        <v>7.58</v>
      </c>
      <c r="N543" s="29" t="n">
        <v>0.84</v>
      </c>
      <c r="O543" s="25" t="n">
        <v>184</v>
      </c>
      <c r="P543" s="30" t="n">
        <v>4.16</v>
      </c>
      <c r="Q543" s="27"/>
      <c r="R543" s="27" t="s">
        <v>64</v>
      </c>
    </row>
    <row r="544" customFormat="false" ht="15" hidden="false" customHeight="false" outlineLevel="0" collapsed="false">
      <c r="A544" s="25" t="n">
        <f aca="false">IF(G544="REJECT",COUNTIF($G$2:$G$2277,"&lt;&gt;REJECT")+1+COUNTIFS($G$2:$G$2277,"REJECT",$B$2:$B$2277,"&gt;"&amp;B544),1+COUNTIFS($G$2:$G$2277,"&lt;&gt;REJECT",$B$2:$B$2277,"&gt;"&amp;B544))</f>
        <v>543</v>
      </c>
      <c r="B544" s="26" t="n">
        <f aca="false">ROUND(($U$2*MAX(0,MIN(1,($W$2-I544)/($W$2-$V$2)))+$U$3*MAX(0,MIN(1,($W$3-J544)/($W$3-$V$3)))+$U$4*MAX(0,MIN(1,($W$4-K544)/($W$4-$V$4)))+$U$5*MAX(0,MIN(1,($W$5-L544)/($W$5-$V$5)))+$U$6*MAX(0,MIN(1,($W$6-M544)/($W$6-$V$6)))+$U$7*MAX(0,MIN(1,($W$7-N544)/($W$7-$V$7)))+$U$8*IF(AND(O544&gt;=$V$8,O544&lt;=$W$8),1,0))/$U$9*100,2)</f>
        <v>89.53</v>
      </c>
      <c r="C544" s="27" t="s">
        <v>380</v>
      </c>
      <c r="D544" s="25" t="s">
        <v>134</v>
      </c>
      <c r="E544" s="25" t="s">
        <v>3450</v>
      </c>
      <c r="F544" s="25" t="s">
        <v>3457</v>
      </c>
      <c r="G544" s="28" t="s">
        <v>29</v>
      </c>
      <c r="H544" s="28" t="s">
        <v>25</v>
      </c>
      <c r="I544" s="25" t="n">
        <v>0</v>
      </c>
      <c r="J544" s="25" t="n">
        <v>0</v>
      </c>
      <c r="K544" s="25" t="n">
        <v>0</v>
      </c>
      <c r="L544" s="29" t="n">
        <v>0.72</v>
      </c>
      <c r="M544" s="30" t="n">
        <v>30.05</v>
      </c>
      <c r="N544" s="29" t="n">
        <v>0.4</v>
      </c>
      <c r="O544" s="25" t="n">
        <v>188</v>
      </c>
      <c r="P544" s="30" t="n">
        <v>11.62</v>
      </c>
      <c r="Q544" s="27"/>
      <c r="R544" s="27" t="s">
        <v>66</v>
      </c>
    </row>
    <row r="545" customFormat="false" ht="15" hidden="false" customHeight="false" outlineLevel="0" collapsed="false">
      <c r="A545" s="25" t="n">
        <f aca="false">IF(G545="REJECT",COUNTIF($G$2:$G$2277,"&lt;&gt;REJECT")+1+COUNTIFS($G$2:$G$2277,"REJECT",$B$2:$B$2277,"&gt;"&amp;B545),1+COUNTIFS($G$2:$G$2277,"&lt;&gt;REJECT",$B$2:$B$2277,"&gt;"&amp;B545))</f>
        <v>543</v>
      </c>
      <c r="B545" s="26" t="n">
        <f aca="false">ROUND(($U$2*MAX(0,MIN(1,($W$2-I545)/($W$2-$V$2)))+$U$3*MAX(0,MIN(1,($W$3-J545)/($W$3-$V$3)))+$U$4*MAX(0,MIN(1,($W$4-K545)/($W$4-$V$4)))+$U$5*MAX(0,MIN(1,($W$5-L545)/($W$5-$V$5)))+$U$6*MAX(0,MIN(1,($W$6-M545)/($W$6-$V$6)))+$U$7*MAX(0,MIN(1,($W$7-N545)/($W$7-$V$7)))+$U$8*IF(AND(O545&gt;=$V$8,O545&lt;=$W$8),1,0))/$U$9*100,2)</f>
        <v>89.53</v>
      </c>
      <c r="C545" s="27" t="s">
        <v>1390</v>
      </c>
      <c r="D545" s="25" t="s">
        <v>3459</v>
      </c>
      <c r="E545" s="25" t="s">
        <v>3447</v>
      </c>
      <c r="F545" s="25" t="s">
        <v>3457</v>
      </c>
      <c r="G545" s="38" t="s">
        <v>30</v>
      </c>
      <c r="H545" s="28" t="s">
        <v>25</v>
      </c>
      <c r="I545" s="25" t="n">
        <v>1</v>
      </c>
      <c r="J545" s="25" t="n">
        <v>0</v>
      </c>
      <c r="K545" s="25" t="n">
        <v>0</v>
      </c>
      <c r="L545" s="29" t="n">
        <v>0.79</v>
      </c>
      <c r="M545" s="30" t="n">
        <v>23.38</v>
      </c>
      <c r="N545" s="29" t="n">
        <v>0.96</v>
      </c>
      <c r="O545" s="25" t="n">
        <v>186</v>
      </c>
      <c r="P545" s="30" t="n">
        <v>-0.73</v>
      </c>
      <c r="Q545" s="27" t="s">
        <v>3482</v>
      </c>
      <c r="R545" s="27" t="s">
        <v>144</v>
      </c>
    </row>
    <row r="546" customFormat="false" ht="15" hidden="false" customHeight="false" outlineLevel="0" collapsed="false">
      <c r="A546" s="25" t="n">
        <f aca="false">IF(G546="REJECT",COUNTIF($G$2:$G$2277,"&lt;&gt;REJECT")+1+COUNTIFS($G$2:$G$2277,"REJECT",$B$2:$B$2277,"&gt;"&amp;B546),1+COUNTIFS($G$2:$G$2277,"&lt;&gt;REJECT",$B$2:$B$2277,"&gt;"&amp;B546))</f>
        <v>543</v>
      </c>
      <c r="B546" s="26" t="n">
        <f aca="false">ROUND(($U$2*MAX(0,MIN(1,($W$2-I546)/($W$2-$V$2)))+$U$3*MAX(0,MIN(1,($W$3-J546)/($W$3-$V$3)))+$U$4*MAX(0,MIN(1,($W$4-K546)/($W$4-$V$4)))+$U$5*MAX(0,MIN(1,($W$5-L546)/($W$5-$V$5)))+$U$6*MAX(0,MIN(1,($W$6-M546)/($W$6-$V$6)))+$U$7*MAX(0,MIN(1,($W$7-N546)/($W$7-$V$7)))+$U$8*IF(AND(O546&gt;=$V$8,O546&lt;=$W$8),1,0))/$U$9*100,2)</f>
        <v>89.53</v>
      </c>
      <c r="C546" s="27" t="s">
        <v>1669</v>
      </c>
      <c r="D546" s="25" t="s">
        <v>3459</v>
      </c>
      <c r="E546" s="25" t="s">
        <v>3447</v>
      </c>
      <c r="F546" s="25" t="s">
        <v>3457</v>
      </c>
      <c r="G546" s="38" t="s">
        <v>30</v>
      </c>
      <c r="H546" s="33" t="s">
        <v>24</v>
      </c>
      <c r="I546" s="25" t="n">
        <v>1</v>
      </c>
      <c r="J546" s="25" t="n">
        <v>0</v>
      </c>
      <c r="K546" s="25" t="n">
        <v>1</v>
      </c>
      <c r="L546" s="29" t="n">
        <v>0.85</v>
      </c>
      <c r="M546" s="30" t="n">
        <v>19.71</v>
      </c>
      <c r="N546" s="29" t="n">
        <v>0.56</v>
      </c>
      <c r="O546" s="25" t="n">
        <v>187</v>
      </c>
      <c r="P546" s="30" t="n">
        <v>1.71</v>
      </c>
      <c r="Q546" s="27" t="s">
        <v>3480</v>
      </c>
      <c r="R546" s="27" t="s">
        <v>30</v>
      </c>
    </row>
    <row r="547" customFormat="false" ht="15" hidden="false" customHeight="false" outlineLevel="0" collapsed="false">
      <c r="A547" s="25" t="n">
        <f aca="false">IF(G547="REJECT",COUNTIF($G$2:$G$2277,"&lt;&gt;REJECT")+1+COUNTIFS($G$2:$G$2277,"REJECT",$B$2:$B$2277,"&gt;"&amp;B547),1+COUNTIFS($G$2:$G$2277,"&lt;&gt;REJECT",$B$2:$B$2277,"&gt;"&amp;B547))</f>
        <v>543</v>
      </c>
      <c r="B547" s="26" t="n">
        <f aca="false">ROUND(($U$2*MAX(0,MIN(1,($W$2-I547)/($W$2-$V$2)))+$U$3*MAX(0,MIN(1,($W$3-J547)/($W$3-$V$3)))+$U$4*MAX(0,MIN(1,($W$4-K547)/($W$4-$V$4)))+$U$5*MAX(0,MIN(1,($W$5-L547)/($W$5-$V$5)))+$U$6*MAX(0,MIN(1,($W$6-M547)/($W$6-$V$6)))+$U$7*MAX(0,MIN(1,($W$7-N547)/($W$7-$V$7)))+$U$8*IF(AND(O547&gt;=$V$8,O547&lt;=$W$8),1,0))/$U$9*100,2)</f>
        <v>89.53</v>
      </c>
      <c r="C547" s="27" t="s">
        <v>1744</v>
      </c>
      <c r="D547" s="25" t="s">
        <v>134</v>
      </c>
      <c r="E547" s="25" t="s">
        <v>3450</v>
      </c>
      <c r="F547" s="25" t="s">
        <v>3457</v>
      </c>
      <c r="G547" s="28" t="s">
        <v>29</v>
      </c>
      <c r="H547" s="28" t="s">
        <v>25</v>
      </c>
      <c r="I547" s="25" t="n">
        <v>0</v>
      </c>
      <c r="J547" s="25" t="n">
        <v>0</v>
      </c>
      <c r="K547" s="25" t="n">
        <v>0</v>
      </c>
      <c r="L547" s="29" t="n">
        <v>0.7</v>
      </c>
      <c r="M547" s="30" t="n">
        <v>20.81</v>
      </c>
      <c r="N547" s="29" t="n">
        <v>0.6</v>
      </c>
      <c r="O547" s="25" t="n">
        <v>187</v>
      </c>
      <c r="P547" s="30" t="n">
        <v>3.86</v>
      </c>
      <c r="Q547" s="27"/>
      <c r="R547" s="27" t="s">
        <v>61</v>
      </c>
    </row>
    <row r="548" customFormat="false" ht="15" hidden="false" customHeight="false" outlineLevel="0" collapsed="false">
      <c r="A548" s="25" t="n">
        <f aca="false">IF(G548="REJECT",COUNTIF($G$2:$G$2277,"&lt;&gt;REJECT")+1+COUNTIFS($G$2:$G$2277,"REJECT",$B$2:$B$2277,"&gt;"&amp;B548),1+COUNTIFS($G$2:$G$2277,"&lt;&gt;REJECT",$B$2:$B$2277,"&gt;"&amp;B548))</f>
        <v>547</v>
      </c>
      <c r="B548" s="26" t="n">
        <f aca="false">ROUND(($U$2*MAX(0,MIN(1,($W$2-I548)/($W$2-$V$2)))+$U$3*MAX(0,MIN(1,($W$3-J548)/($W$3-$V$3)))+$U$4*MAX(0,MIN(1,($W$4-K548)/($W$4-$V$4)))+$U$5*MAX(0,MIN(1,($W$5-L548)/($W$5-$V$5)))+$U$6*MAX(0,MIN(1,($W$6-M548)/($W$6-$V$6)))+$U$7*MAX(0,MIN(1,($W$7-N548)/($W$7-$V$7)))+$U$8*IF(AND(O548&gt;=$V$8,O548&lt;=$W$8),1,0))/$U$9*100,2)</f>
        <v>89.52</v>
      </c>
      <c r="C548" s="27" t="s">
        <v>2482</v>
      </c>
      <c r="D548" s="25" t="s">
        <v>3459</v>
      </c>
      <c r="E548" s="25" t="s">
        <v>3447</v>
      </c>
      <c r="F548" s="25" t="s">
        <v>3457</v>
      </c>
      <c r="G548" s="33" t="s">
        <v>28</v>
      </c>
      <c r="H548" s="33" t="s">
        <v>24</v>
      </c>
      <c r="I548" s="25" t="n">
        <v>0</v>
      </c>
      <c r="J548" s="25" t="n">
        <v>0</v>
      </c>
      <c r="K548" s="25" t="n">
        <v>0</v>
      </c>
      <c r="L548" s="29" t="n">
        <v>0.68</v>
      </c>
      <c r="M548" s="30" t="n">
        <v>18.47</v>
      </c>
      <c r="N548" s="29" t="n">
        <v>0.12</v>
      </c>
      <c r="O548" s="25" t="n">
        <v>183</v>
      </c>
      <c r="P548" s="30" t="n">
        <v>-0.42</v>
      </c>
      <c r="Q548" s="27"/>
      <c r="R548" s="27"/>
    </row>
    <row r="549" customFormat="false" ht="15" hidden="false" customHeight="false" outlineLevel="0" collapsed="false">
      <c r="A549" s="25" t="n">
        <f aca="false">IF(G549="REJECT",COUNTIF($G$2:$G$2277,"&lt;&gt;REJECT")+1+COUNTIFS($G$2:$G$2277,"REJECT",$B$2:$B$2277,"&gt;"&amp;B549),1+COUNTIFS($G$2:$G$2277,"&lt;&gt;REJECT",$B$2:$B$2277,"&gt;"&amp;B549))</f>
        <v>548</v>
      </c>
      <c r="B549" s="26" t="n">
        <f aca="false">ROUND(($U$2*MAX(0,MIN(1,($W$2-I549)/($W$2-$V$2)))+$U$3*MAX(0,MIN(1,($W$3-J549)/($W$3-$V$3)))+$U$4*MAX(0,MIN(1,($W$4-K549)/($W$4-$V$4)))+$U$5*MAX(0,MIN(1,($W$5-L549)/($W$5-$V$5)))+$U$6*MAX(0,MIN(1,($W$6-M549)/($W$6-$V$6)))+$U$7*MAX(0,MIN(1,($W$7-N549)/($W$7-$V$7)))+$U$8*IF(AND(O549&gt;=$V$8,O549&lt;=$W$8),1,0))/$U$9*100,2)</f>
        <v>89.51</v>
      </c>
      <c r="C549" s="27" t="s">
        <v>273</v>
      </c>
      <c r="D549" s="25" t="s">
        <v>134</v>
      </c>
      <c r="E549" s="25" t="s">
        <v>3450</v>
      </c>
      <c r="F549" s="25" t="s">
        <v>3457</v>
      </c>
      <c r="G549" s="28" t="s">
        <v>29</v>
      </c>
      <c r="H549" s="28" t="s">
        <v>25</v>
      </c>
      <c r="I549" s="25" t="n">
        <v>0</v>
      </c>
      <c r="J549" s="25" t="n">
        <v>0</v>
      </c>
      <c r="K549" s="25" t="n">
        <v>0</v>
      </c>
      <c r="L549" s="29" t="n">
        <v>0.72</v>
      </c>
      <c r="M549" s="30" t="n">
        <v>25.34</v>
      </c>
      <c r="N549" s="29" t="n">
        <v>0.88</v>
      </c>
      <c r="O549" s="25" t="n">
        <v>195</v>
      </c>
      <c r="P549" s="30" t="n">
        <v>14.3</v>
      </c>
      <c r="Q549" s="27"/>
      <c r="R549" s="27" t="s">
        <v>61</v>
      </c>
    </row>
    <row r="550" customFormat="false" ht="15" hidden="false" customHeight="false" outlineLevel="0" collapsed="false">
      <c r="A550" s="25" t="n">
        <f aca="false">IF(G550="REJECT",COUNTIF($G$2:$G$2277,"&lt;&gt;REJECT")+1+COUNTIFS($G$2:$G$2277,"REJECT",$B$2:$B$2277,"&gt;"&amp;B550),1+COUNTIFS($G$2:$G$2277,"&lt;&gt;REJECT",$B$2:$B$2277,"&gt;"&amp;B550))</f>
        <v>549</v>
      </c>
      <c r="B550" s="26" t="n">
        <f aca="false">ROUND(($U$2*MAX(0,MIN(1,($W$2-I550)/($W$2-$V$2)))+$U$3*MAX(0,MIN(1,($W$3-J550)/($W$3-$V$3)))+$U$4*MAX(0,MIN(1,($W$4-K550)/($W$4-$V$4)))+$U$5*MAX(0,MIN(1,($W$5-L550)/($W$5-$V$5)))+$U$6*MAX(0,MIN(1,($W$6-M550)/($W$6-$V$6)))+$U$7*MAX(0,MIN(1,($W$7-N550)/($W$7-$V$7)))+$U$8*IF(AND(O550&gt;=$V$8,O550&lt;=$W$8),1,0))/$U$9*100,2)</f>
        <v>89.5</v>
      </c>
      <c r="C550" s="27" t="s">
        <v>221</v>
      </c>
      <c r="D550" s="25" t="s">
        <v>134</v>
      </c>
      <c r="E550" s="25" t="s">
        <v>3447</v>
      </c>
      <c r="F550" s="25" t="s">
        <v>3448</v>
      </c>
      <c r="G550" s="38" t="s">
        <v>30</v>
      </c>
      <c r="H550" s="28" t="s">
        <v>25</v>
      </c>
      <c r="I550" s="25" t="n">
        <v>1</v>
      </c>
      <c r="J550" s="25" t="n">
        <v>0</v>
      </c>
      <c r="K550" s="25" t="n">
        <v>1</v>
      </c>
      <c r="L550" s="29" t="n">
        <v>0.81</v>
      </c>
      <c r="M550" s="30" t="n">
        <v>25.51</v>
      </c>
      <c r="N550" s="29" t="n">
        <v>0</v>
      </c>
      <c r="O550" s="25" t="n">
        <v>184</v>
      </c>
      <c r="P550" s="30" t="n">
        <v>6.2</v>
      </c>
      <c r="Q550" s="27" t="s">
        <v>3481</v>
      </c>
      <c r="R550" s="27" t="s">
        <v>992</v>
      </c>
    </row>
    <row r="551" customFormat="false" ht="15" hidden="false" customHeight="false" outlineLevel="0" collapsed="false">
      <c r="A551" s="25" t="n">
        <f aca="false">IF(G551="REJECT",COUNTIF($G$2:$G$2277,"&lt;&gt;REJECT")+1+COUNTIFS($G$2:$G$2277,"REJECT",$B$2:$B$2277,"&gt;"&amp;B551),1+COUNTIFS($G$2:$G$2277,"&lt;&gt;REJECT",$B$2:$B$2277,"&gt;"&amp;B551))</f>
        <v>549</v>
      </c>
      <c r="B551" s="26" t="n">
        <f aca="false">ROUND(($U$2*MAX(0,MIN(1,($W$2-I551)/($W$2-$V$2)))+$U$3*MAX(0,MIN(1,($W$3-J551)/($W$3-$V$3)))+$U$4*MAX(0,MIN(1,($W$4-K551)/($W$4-$V$4)))+$U$5*MAX(0,MIN(1,($W$5-L551)/($W$5-$V$5)))+$U$6*MAX(0,MIN(1,($W$6-M551)/($W$6-$V$6)))+$U$7*MAX(0,MIN(1,($W$7-N551)/($W$7-$V$7)))+$U$8*IF(AND(O551&gt;=$V$8,O551&lt;=$W$8),1,0))/$U$9*100,2)</f>
        <v>89.5</v>
      </c>
      <c r="C551" s="27" t="s">
        <v>2541</v>
      </c>
      <c r="D551" s="25" t="s">
        <v>134</v>
      </c>
      <c r="E551" s="25" t="s">
        <v>3447</v>
      </c>
      <c r="F551" s="25" t="s">
        <v>3457</v>
      </c>
      <c r="G551" s="33" t="s">
        <v>28</v>
      </c>
      <c r="H551" s="33" t="s">
        <v>24</v>
      </c>
      <c r="I551" s="25" t="n">
        <v>0</v>
      </c>
      <c r="J551" s="25" t="n">
        <v>0</v>
      </c>
      <c r="K551" s="25" t="n">
        <v>0</v>
      </c>
      <c r="L551" s="29" t="n">
        <v>0.69</v>
      </c>
      <c r="M551" s="30" t="n">
        <v>15.41</v>
      </c>
      <c r="N551" s="29" t="n">
        <v>0.8</v>
      </c>
      <c r="O551" s="25" t="n">
        <v>183</v>
      </c>
      <c r="P551" s="30" t="n">
        <v>-0.31</v>
      </c>
      <c r="Q551" s="27"/>
      <c r="R551" s="27"/>
    </row>
    <row r="552" customFormat="false" ht="15" hidden="false" customHeight="false" outlineLevel="0" collapsed="false">
      <c r="A552" s="25" t="n">
        <f aca="false">IF(G552="REJECT",COUNTIF($G$2:$G$2277,"&lt;&gt;REJECT")+1+COUNTIFS($G$2:$G$2277,"REJECT",$B$2:$B$2277,"&gt;"&amp;B552),1+COUNTIFS($G$2:$G$2277,"&lt;&gt;REJECT",$B$2:$B$2277,"&gt;"&amp;B552))</f>
        <v>551</v>
      </c>
      <c r="B552" s="26" t="n">
        <f aca="false">ROUND(($U$2*MAX(0,MIN(1,($W$2-I552)/($W$2-$V$2)))+$U$3*MAX(0,MIN(1,($W$3-J552)/($W$3-$V$3)))+$U$4*MAX(0,MIN(1,($W$4-K552)/($W$4-$V$4)))+$U$5*MAX(0,MIN(1,($W$5-L552)/($W$5-$V$5)))+$U$6*MAX(0,MIN(1,($W$6-M552)/($W$6-$V$6)))+$U$7*MAX(0,MIN(1,($W$7-N552)/($W$7-$V$7)))+$U$8*IF(AND(O552&gt;=$V$8,O552&lt;=$W$8),1,0))/$U$9*100,2)</f>
        <v>89.49</v>
      </c>
      <c r="C552" s="27" t="s">
        <v>1033</v>
      </c>
      <c r="D552" s="25" t="s">
        <v>134</v>
      </c>
      <c r="E552" s="25" t="s">
        <v>3450</v>
      </c>
      <c r="F552" s="25" t="s">
        <v>3457</v>
      </c>
      <c r="G552" s="28" t="s">
        <v>29</v>
      </c>
      <c r="H552" s="28" t="s">
        <v>25</v>
      </c>
      <c r="I552" s="25" t="n">
        <v>0</v>
      </c>
      <c r="J552" s="25" t="n">
        <v>0</v>
      </c>
      <c r="K552" s="25" t="n">
        <v>0</v>
      </c>
      <c r="L552" s="29" t="n">
        <v>0.65</v>
      </c>
      <c r="M552" s="30" t="n">
        <v>3.05</v>
      </c>
      <c r="N552" s="29" t="n">
        <v>0.6</v>
      </c>
      <c r="O552" s="25" t="n">
        <v>187</v>
      </c>
      <c r="P552" s="30" t="n">
        <v>2.46</v>
      </c>
      <c r="Q552" s="27"/>
      <c r="R552" s="27" t="s">
        <v>3451</v>
      </c>
    </row>
    <row r="553" customFormat="false" ht="15" hidden="false" customHeight="false" outlineLevel="0" collapsed="false">
      <c r="A553" s="25" t="n">
        <f aca="false">IF(G553="REJECT",COUNTIF($G$2:$G$2277,"&lt;&gt;REJECT")+1+COUNTIFS($G$2:$G$2277,"REJECT",$B$2:$B$2277,"&gt;"&amp;B553),1+COUNTIFS($G$2:$G$2277,"&lt;&gt;REJECT",$B$2:$B$2277,"&gt;"&amp;B553))</f>
        <v>552</v>
      </c>
      <c r="B553" s="26" t="n">
        <f aca="false">ROUND(($U$2*MAX(0,MIN(1,($W$2-I553)/($W$2-$V$2)))+$U$3*MAX(0,MIN(1,($W$3-J553)/($W$3-$V$3)))+$U$4*MAX(0,MIN(1,($W$4-K553)/($W$4-$V$4)))+$U$5*MAX(0,MIN(1,($W$5-L553)/($W$5-$V$5)))+$U$6*MAX(0,MIN(1,($W$6-M553)/($W$6-$V$6)))+$U$7*MAX(0,MIN(1,($W$7-N553)/($W$7-$V$7)))+$U$8*IF(AND(O553&gt;=$V$8,O553&lt;=$W$8),1,0))/$U$9*100,2)</f>
        <v>89.47</v>
      </c>
      <c r="C553" s="27" t="s">
        <v>594</v>
      </c>
      <c r="D553" s="25" t="s">
        <v>134</v>
      </c>
      <c r="E553" s="25" t="s">
        <v>3447</v>
      </c>
      <c r="F553" s="25" t="s">
        <v>3448</v>
      </c>
      <c r="G553" s="28" t="s">
        <v>29</v>
      </c>
      <c r="H553" s="28" t="s">
        <v>25</v>
      </c>
      <c r="I553" s="25" t="n">
        <v>0</v>
      </c>
      <c r="J553" s="25" t="n">
        <v>0</v>
      </c>
      <c r="K553" s="25" t="n">
        <v>0</v>
      </c>
      <c r="L553" s="29" t="n">
        <v>0.71</v>
      </c>
      <c r="M553" s="30" t="n">
        <v>23.58</v>
      </c>
      <c r="N553" s="29" t="n">
        <v>0.72</v>
      </c>
      <c r="O553" s="25" t="n">
        <v>183</v>
      </c>
      <c r="P553" s="30" t="n">
        <v>13.25</v>
      </c>
      <c r="Q553" s="27"/>
      <c r="R553" s="27" t="s">
        <v>61</v>
      </c>
    </row>
    <row r="554" customFormat="false" ht="15" hidden="false" customHeight="false" outlineLevel="0" collapsed="false">
      <c r="A554" s="25" t="n">
        <f aca="false">IF(G554="REJECT",COUNTIF($G$2:$G$2277,"&lt;&gt;REJECT")+1+COUNTIFS($G$2:$G$2277,"REJECT",$B$2:$B$2277,"&gt;"&amp;B554),1+COUNTIFS($G$2:$G$2277,"&lt;&gt;REJECT",$B$2:$B$2277,"&gt;"&amp;B554))</f>
        <v>553</v>
      </c>
      <c r="B554" s="26" t="n">
        <f aca="false">ROUND(($U$2*MAX(0,MIN(1,($W$2-I554)/($W$2-$V$2)))+$U$3*MAX(0,MIN(1,($W$3-J554)/($W$3-$V$3)))+$U$4*MAX(0,MIN(1,($W$4-K554)/($W$4-$V$4)))+$U$5*MAX(0,MIN(1,($W$5-L554)/($W$5-$V$5)))+$U$6*MAX(0,MIN(1,($W$6-M554)/($W$6-$V$6)))+$U$7*MAX(0,MIN(1,($W$7-N554)/($W$7-$V$7)))+$U$8*IF(AND(O554&gt;=$V$8,O554&lt;=$W$8),1,0))/$U$9*100,2)</f>
        <v>89.45</v>
      </c>
      <c r="C554" s="27" t="s">
        <v>3400</v>
      </c>
      <c r="D554" s="25" t="s">
        <v>134</v>
      </c>
      <c r="E554" s="25" t="s">
        <v>3447</v>
      </c>
      <c r="F554" s="25" t="s">
        <v>3457</v>
      </c>
      <c r="G554" s="38" t="s">
        <v>30</v>
      </c>
      <c r="H554" s="33" t="s">
        <v>24</v>
      </c>
      <c r="I554" s="25" t="n">
        <v>1</v>
      </c>
      <c r="J554" s="25" t="n">
        <v>0</v>
      </c>
      <c r="K554" s="25" t="n">
        <v>1</v>
      </c>
      <c r="L554" s="29" t="n">
        <v>0.79</v>
      </c>
      <c r="M554" s="30" t="n">
        <v>14.58</v>
      </c>
      <c r="N554" s="29" t="n">
        <v>0.76</v>
      </c>
      <c r="O554" s="25" t="n">
        <v>185</v>
      </c>
      <c r="P554" s="30" t="n">
        <v>-1.41</v>
      </c>
      <c r="Q554" s="27" t="s">
        <v>3475</v>
      </c>
      <c r="R554" s="27" t="s">
        <v>30</v>
      </c>
    </row>
    <row r="555" customFormat="false" ht="15" hidden="false" customHeight="false" outlineLevel="0" collapsed="false">
      <c r="A555" s="25" t="n">
        <f aca="false">IF(G555="REJECT",COUNTIF($G$2:$G$2277,"&lt;&gt;REJECT")+1+COUNTIFS($G$2:$G$2277,"REJECT",$B$2:$B$2277,"&gt;"&amp;B555),1+COUNTIFS($G$2:$G$2277,"&lt;&gt;REJECT",$B$2:$B$2277,"&gt;"&amp;B555))</f>
        <v>554</v>
      </c>
      <c r="B555" s="26" t="n">
        <f aca="false">ROUND(($U$2*MAX(0,MIN(1,($W$2-I555)/($W$2-$V$2)))+$U$3*MAX(0,MIN(1,($W$3-J555)/($W$3-$V$3)))+$U$4*MAX(0,MIN(1,($W$4-K555)/($W$4-$V$4)))+$U$5*MAX(0,MIN(1,($W$5-L555)/($W$5-$V$5)))+$U$6*MAX(0,MIN(1,($W$6-M555)/($W$6-$V$6)))+$U$7*MAX(0,MIN(1,($W$7-N555)/($W$7-$V$7)))+$U$8*IF(AND(O555&gt;=$V$8,O555&lt;=$W$8),1,0))/$U$9*100,2)</f>
        <v>89.43</v>
      </c>
      <c r="C555" s="27" t="s">
        <v>2580</v>
      </c>
      <c r="D555" s="25" t="s">
        <v>3459</v>
      </c>
      <c r="E555" s="25" t="s">
        <v>3447</v>
      </c>
      <c r="F555" s="25" t="s">
        <v>3448</v>
      </c>
      <c r="G555" s="38" t="s">
        <v>30</v>
      </c>
      <c r="H555" s="28" t="s">
        <v>25</v>
      </c>
      <c r="I555" s="25" t="n">
        <v>1</v>
      </c>
      <c r="J555" s="25" t="n">
        <v>0</v>
      </c>
      <c r="K555" s="25" t="n">
        <v>1</v>
      </c>
      <c r="L555" s="29" t="n">
        <v>0.81</v>
      </c>
      <c r="M555" s="30" t="n">
        <v>19.53</v>
      </c>
      <c r="N555" s="29" t="n">
        <v>0.64</v>
      </c>
      <c r="O555" s="25" t="n">
        <v>184</v>
      </c>
      <c r="P555" s="30" t="n">
        <v>-0.79</v>
      </c>
      <c r="Q555" s="27" t="s">
        <v>3476</v>
      </c>
      <c r="R555" s="27" t="s">
        <v>2133</v>
      </c>
    </row>
    <row r="556" customFormat="false" ht="15" hidden="false" customHeight="false" outlineLevel="0" collapsed="false">
      <c r="A556" s="25" t="n">
        <f aca="false">IF(G556="REJECT",COUNTIF($G$2:$G$2277,"&lt;&gt;REJECT")+1+COUNTIFS($G$2:$G$2277,"REJECT",$B$2:$B$2277,"&gt;"&amp;B556),1+COUNTIFS($G$2:$G$2277,"&lt;&gt;REJECT",$B$2:$B$2277,"&gt;"&amp;B556))</f>
        <v>555</v>
      </c>
      <c r="B556" s="26" t="n">
        <f aca="false">ROUND(($U$2*MAX(0,MIN(1,($W$2-I556)/($W$2-$V$2)))+$U$3*MAX(0,MIN(1,($W$3-J556)/($W$3-$V$3)))+$U$4*MAX(0,MIN(1,($W$4-K556)/($W$4-$V$4)))+$U$5*MAX(0,MIN(1,($W$5-L556)/($W$5-$V$5)))+$U$6*MAX(0,MIN(1,($W$6-M556)/($W$6-$V$6)))+$U$7*MAX(0,MIN(1,($W$7-N556)/($W$7-$V$7)))+$U$8*IF(AND(O556&gt;=$V$8,O556&lt;=$W$8),1,0))/$U$9*100,2)</f>
        <v>89.41</v>
      </c>
      <c r="C556" s="27" t="s">
        <v>2061</v>
      </c>
      <c r="D556" s="25" t="s">
        <v>3459</v>
      </c>
      <c r="E556" s="25" t="s">
        <v>3450</v>
      </c>
      <c r="F556" s="25" t="s">
        <v>3457</v>
      </c>
      <c r="G556" s="28" t="s">
        <v>29</v>
      </c>
      <c r="H556" s="28" t="s">
        <v>25</v>
      </c>
      <c r="I556" s="25" t="n">
        <v>0</v>
      </c>
      <c r="J556" s="25" t="n">
        <v>0</v>
      </c>
      <c r="K556" s="25" t="n">
        <v>0</v>
      </c>
      <c r="L556" s="29" t="n">
        <v>0.7</v>
      </c>
      <c r="M556" s="30" t="n">
        <v>18.37</v>
      </c>
      <c r="N556" s="29" t="n">
        <v>0.92</v>
      </c>
      <c r="O556" s="25" t="n">
        <v>187</v>
      </c>
      <c r="P556" s="30" t="n">
        <v>5.21</v>
      </c>
      <c r="Q556" s="27"/>
      <c r="R556" s="27" t="s">
        <v>63</v>
      </c>
    </row>
    <row r="557" customFormat="false" ht="15" hidden="false" customHeight="false" outlineLevel="0" collapsed="false">
      <c r="A557" s="25" t="n">
        <f aca="false">IF(G557="REJECT",COUNTIF($G$2:$G$2277,"&lt;&gt;REJECT")+1+COUNTIFS($G$2:$G$2277,"REJECT",$B$2:$B$2277,"&gt;"&amp;B557),1+COUNTIFS($G$2:$G$2277,"&lt;&gt;REJECT",$B$2:$B$2277,"&gt;"&amp;B557))</f>
        <v>556</v>
      </c>
      <c r="B557" s="26" t="n">
        <f aca="false">ROUND(($U$2*MAX(0,MIN(1,($W$2-I557)/($W$2-$V$2)))+$U$3*MAX(0,MIN(1,($W$3-J557)/($W$3-$V$3)))+$U$4*MAX(0,MIN(1,($W$4-K557)/($W$4-$V$4)))+$U$5*MAX(0,MIN(1,($W$5-L557)/($W$5-$V$5)))+$U$6*MAX(0,MIN(1,($W$6-M557)/($W$6-$V$6)))+$U$7*MAX(0,MIN(1,($W$7-N557)/($W$7-$V$7)))+$U$8*IF(AND(O557&gt;=$V$8,O557&lt;=$W$8),1,0))/$U$9*100,2)</f>
        <v>89.4</v>
      </c>
      <c r="C557" s="27" t="s">
        <v>2822</v>
      </c>
      <c r="D557" s="25" t="s">
        <v>3459</v>
      </c>
      <c r="E557" s="25" t="s">
        <v>3450</v>
      </c>
      <c r="F557" s="25" t="s">
        <v>3457</v>
      </c>
      <c r="G557" s="33" t="s">
        <v>28</v>
      </c>
      <c r="H557" s="33" t="s">
        <v>24</v>
      </c>
      <c r="I557" s="25" t="n">
        <v>0</v>
      </c>
      <c r="J557" s="25" t="n">
        <v>0</v>
      </c>
      <c r="K557" s="25" t="n">
        <v>0</v>
      </c>
      <c r="L557" s="29" t="n">
        <v>0.69</v>
      </c>
      <c r="M557" s="30" t="n">
        <v>19.22</v>
      </c>
      <c r="N557" s="29" t="n">
        <v>0.48</v>
      </c>
      <c r="O557" s="25" t="n">
        <v>184</v>
      </c>
      <c r="P557" s="30" t="n">
        <v>8.21</v>
      </c>
      <c r="Q557" s="27"/>
      <c r="R557" s="27"/>
    </row>
    <row r="558" customFormat="false" ht="15" hidden="false" customHeight="false" outlineLevel="0" collapsed="false">
      <c r="A558" s="25" t="n">
        <f aca="false">IF(G558="REJECT",COUNTIF($G$2:$G$2277,"&lt;&gt;REJECT")+1+COUNTIFS($G$2:$G$2277,"REJECT",$B$2:$B$2277,"&gt;"&amp;B558),1+COUNTIFS($G$2:$G$2277,"&lt;&gt;REJECT",$B$2:$B$2277,"&gt;"&amp;B558))</f>
        <v>557</v>
      </c>
      <c r="B558" s="26" t="n">
        <f aca="false">ROUND(($U$2*MAX(0,MIN(1,($W$2-I558)/($W$2-$V$2)))+$U$3*MAX(0,MIN(1,($W$3-J558)/($W$3-$V$3)))+$U$4*MAX(0,MIN(1,($W$4-K558)/($W$4-$V$4)))+$U$5*MAX(0,MIN(1,($W$5-L558)/($W$5-$V$5)))+$U$6*MAX(0,MIN(1,($W$6-M558)/($W$6-$V$6)))+$U$7*MAX(0,MIN(1,($W$7-N558)/($W$7-$V$7)))+$U$8*IF(AND(O558&gt;=$V$8,O558&lt;=$W$8),1,0))/$U$9*100,2)</f>
        <v>89.38</v>
      </c>
      <c r="C558" s="27" t="s">
        <v>1170</v>
      </c>
      <c r="D558" s="25" t="s">
        <v>134</v>
      </c>
      <c r="E558" s="25" t="s">
        <v>3447</v>
      </c>
      <c r="F558" s="25" t="s">
        <v>3448</v>
      </c>
      <c r="G558" s="38" t="s">
        <v>30</v>
      </c>
      <c r="H558" s="33" t="s">
        <v>24</v>
      </c>
      <c r="I558" s="25" t="n">
        <v>1</v>
      </c>
      <c r="J558" s="25" t="n">
        <v>0</v>
      </c>
      <c r="K558" s="25" t="n">
        <v>1</v>
      </c>
      <c r="L558" s="29" t="n">
        <v>0.82</v>
      </c>
      <c r="M558" s="30" t="n">
        <v>18.62</v>
      </c>
      <c r="N558" s="29" t="n">
        <v>0.76</v>
      </c>
      <c r="O558" s="25" t="n">
        <v>187</v>
      </c>
      <c r="P558" s="30" t="n">
        <v>3</v>
      </c>
      <c r="Q558" s="27" t="s">
        <v>3478</v>
      </c>
      <c r="R558" s="27" t="s">
        <v>30</v>
      </c>
    </row>
    <row r="559" customFormat="false" ht="15" hidden="false" customHeight="false" outlineLevel="0" collapsed="false">
      <c r="A559" s="25" t="n">
        <f aca="false">IF(G559="REJECT",COUNTIF($G$2:$G$2277,"&lt;&gt;REJECT")+1+COUNTIFS($G$2:$G$2277,"REJECT",$B$2:$B$2277,"&gt;"&amp;B559),1+COUNTIFS($G$2:$G$2277,"&lt;&gt;REJECT",$B$2:$B$2277,"&gt;"&amp;B559))</f>
        <v>557</v>
      </c>
      <c r="B559" s="26" t="n">
        <f aca="false">ROUND(($U$2*MAX(0,MIN(1,($W$2-I559)/($W$2-$V$2)))+$U$3*MAX(0,MIN(1,($W$3-J559)/($W$3-$V$3)))+$U$4*MAX(0,MIN(1,($W$4-K559)/($W$4-$V$4)))+$U$5*MAX(0,MIN(1,($W$5-L559)/($W$5-$V$5)))+$U$6*MAX(0,MIN(1,($W$6-M559)/($W$6-$V$6)))+$U$7*MAX(0,MIN(1,($W$7-N559)/($W$7-$V$7)))+$U$8*IF(AND(O559&gt;=$V$8,O559&lt;=$W$8),1,0))/$U$9*100,2)</f>
        <v>89.38</v>
      </c>
      <c r="C559" s="27" t="s">
        <v>2891</v>
      </c>
      <c r="D559" s="25" t="s">
        <v>3459</v>
      </c>
      <c r="E559" s="25" t="s">
        <v>3447</v>
      </c>
      <c r="F559" s="25" t="s">
        <v>3448</v>
      </c>
      <c r="G559" s="38" t="s">
        <v>30</v>
      </c>
      <c r="H559" s="33" t="s">
        <v>24</v>
      </c>
      <c r="I559" s="25" t="n">
        <v>1</v>
      </c>
      <c r="J559" s="25" t="n">
        <v>0</v>
      </c>
      <c r="K559" s="25" t="n">
        <v>1</v>
      </c>
      <c r="L559" s="29" t="n">
        <v>0.86</v>
      </c>
      <c r="M559" s="30" t="n">
        <v>16.61</v>
      </c>
      <c r="N559" s="29" t="n">
        <v>0.96</v>
      </c>
      <c r="O559" s="25" t="n">
        <v>185</v>
      </c>
      <c r="P559" s="30" t="n">
        <v>3.64</v>
      </c>
      <c r="Q559" s="27" t="s">
        <v>3475</v>
      </c>
      <c r="R559" s="27" t="s">
        <v>30</v>
      </c>
    </row>
    <row r="560" customFormat="false" ht="15" hidden="false" customHeight="false" outlineLevel="0" collapsed="false">
      <c r="A560" s="25" t="n">
        <f aca="false">IF(G560="REJECT",COUNTIF($G$2:$G$2277,"&lt;&gt;REJECT")+1+COUNTIFS($G$2:$G$2277,"REJECT",$B$2:$B$2277,"&gt;"&amp;B560),1+COUNTIFS($G$2:$G$2277,"&lt;&gt;REJECT",$B$2:$B$2277,"&gt;"&amp;B560))</f>
        <v>559</v>
      </c>
      <c r="B560" s="26" t="n">
        <f aca="false">ROUND(($U$2*MAX(0,MIN(1,($W$2-I560)/($W$2-$V$2)))+$U$3*MAX(0,MIN(1,($W$3-J560)/($W$3-$V$3)))+$U$4*MAX(0,MIN(1,($W$4-K560)/($W$4-$V$4)))+$U$5*MAX(0,MIN(1,($W$5-L560)/($W$5-$V$5)))+$U$6*MAX(0,MIN(1,($W$6-M560)/($W$6-$V$6)))+$U$7*MAX(0,MIN(1,($W$7-N560)/($W$7-$V$7)))+$U$8*IF(AND(O560&gt;=$V$8,O560&lt;=$W$8),1,0))/$U$9*100,2)</f>
        <v>89.33</v>
      </c>
      <c r="C560" s="27" t="s">
        <v>1691</v>
      </c>
      <c r="D560" s="25" t="s">
        <v>134</v>
      </c>
      <c r="E560" s="25" t="s">
        <v>3447</v>
      </c>
      <c r="F560" s="25" t="s">
        <v>3457</v>
      </c>
      <c r="G560" s="38" t="s">
        <v>30</v>
      </c>
      <c r="H560" s="33" t="s">
        <v>24</v>
      </c>
      <c r="I560" s="25" t="n">
        <v>1</v>
      </c>
      <c r="J560" s="25" t="n">
        <v>0</v>
      </c>
      <c r="K560" s="25" t="n">
        <v>1</v>
      </c>
      <c r="L560" s="29" t="n">
        <v>0.83</v>
      </c>
      <c r="M560" s="30" t="n">
        <v>17.75</v>
      </c>
      <c r="N560" s="29" t="n">
        <v>0.88</v>
      </c>
      <c r="O560" s="25" t="n">
        <v>183</v>
      </c>
      <c r="P560" s="30" t="n">
        <v>-1.04</v>
      </c>
      <c r="Q560" s="27" t="s">
        <v>3476</v>
      </c>
      <c r="R560" s="27" t="s">
        <v>30</v>
      </c>
    </row>
    <row r="561" customFormat="false" ht="15" hidden="false" customHeight="false" outlineLevel="0" collapsed="false">
      <c r="A561" s="25" t="n">
        <f aca="false">IF(G561="REJECT",COUNTIF($G$2:$G$2277,"&lt;&gt;REJECT")+1+COUNTIFS($G$2:$G$2277,"REJECT",$B$2:$B$2277,"&gt;"&amp;B561),1+COUNTIFS($G$2:$G$2277,"&lt;&gt;REJECT",$B$2:$B$2277,"&gt;"&amp;B561))</f>
        <v>560</v>
      </c>
      <c r="B561" s="26" t="n">
        <f aca="false">ROUND(($U$2*MAX(0,MIN(1,($W$2-I561)/($W$2-$V$2)))+$U$3*MAX(0,MIN(1,($W$3-J561)/($W$3-$V$3)))+$U$4*MAX(0,MIN(1,($W$4-K561)/($W$4-$V$4)))+$U$5*MAX(0,MIN(1,($W$5-L561)/($W$5-$V$5)))+$U$6*MAX(0,MIN(1,($W$6-M561)/($W$6-$V$6)))+$U$7*MAX(0,MIN(1,($W$7-N561)/($W$7-$V$7)))+$U$8*IF(AND(O561&gt;=$V$8,O561&lt;=$W$8),1,0))/$U$9*100,2)</f>
        <v>89.22</v>
      </c>
      <c r="C561" s="27" t="s">
        <v>1583</v>
      </c>
      <c r="D561" s="25" t="s">
        <v>134</v>
      </c>
      <c r="E561" s="25" t="s">
        <v>3450</v>
      </c>
      <c r="F561" s="25" t="s">
        <v>3457</v>
      </c>
      <c r="G561" s="33" t="s">
        <v>28</v>
      </c>
      <c r="H561" s="33" t="s">
        <v>24</v>
      </c>
      <c r="I561" s="25" t="n">
        <v>0</v>
      </c>
      <c r="J561" s="25" t="n">
        <v>0</v>
      </c>
      <c r="K561" s="25" t="n">
        <v>0</v>
      </c>
      <c r="L561" s="29" t="n">
        <v>0.69</v>
      </c>
      <c r="M561" s="30" t="n">
        <v>17.88</v>
      </c>
      <c r="N561" s="29" t="n">
        <v>0.72</v>
      </c>
      <c r="O561" s="25" t="n">
        <v>190</v>
      </c>
      <c r="P561" s="30" t="n">
        <v>13.81</v>
      </c>
      <c r="Q561" s="27"/>
      <c r="R561" s="27"/>
    </row>
    <row r="562" customFormat="false" ht="15" hidden="false" customHeight="false" outlineLevel="0" collapsed="false">
      <c r="A562" s="25" t="n">
        <f aca="false">IF(G562="REJECT",COUNTIF($G$2:$G$2277,"&lt;&gt;REJECT")+1+COUNTIFS($G$2:$G$2277,"REJECT",$B$2:$B$2277,"&gt;"&amp;B562),1+COUNTIFS($G$2:$G$2277,"&lt;&gt;REJECT",$B$2:$B$2277,"&gt;"&amp;B562))</f>
        <v>560</v>
      </c>
      <c r="B562" s="26" t="n">
        <f aca="false">ROUND(($U$2*MAX(0,MIN(1,($W$2-I562)/($W$2-$V$2)))+$U$3*MAX(0,MIN(1,($W$3-J562)/($W$3-$V$3)))+$U$4*MAX(0,MIN(1,($W$4-K562)/($W$4-$V$4)))+$U$5*MAX(0,MIN(1,($W$5-L562)/($W$5-$V$5)))+$U$6*MAX(0,MIN(1,($W$6-M562)/($W$6-$V$6)))+$U$7*MAX(0,MIN(1,($W$7-N562)/($W$7-$V$7)))+$U$8*IF(AND(O562&gt;=$V$8,O562&lt;=$W$8),1,0))/$U$9*100,2)</f>
        <v>89.22</v>
      </c>
      <c r="C562" s="27" t="s">
        <v>1955</v>
      </c>
      <c r="D562" s="25" t="s">
        <v>3459</v>
      </c>
      <c r="E562" s="25" t="s">
        <v>3447</v>
      </c>
      <c r="F562" s="25" t="s">
        <v>3457</v>
      </c>
      <c r="G562" s="38" t="s">
        <v>30</v>
      </c>
      <c r="H562" s="33" t="s">
        <v>24</v>
      </c>
      <c r="I562" s="25" t="n">
        <v>1</v>
      </c>
      <c r="J562" s="25" t="n">
        <v>0</v>
      </c>
      <c r="K562" s="25" t="n">
        <v>1</v>
      </c>
      <c r="L562" s="29" t="n">
        <v>0.78</v>
      </c>
      <c r="M562" s="30" t="n">
        <v>17.19</v>
      </c>
      <c r="N562" s="29" t="n">
        <v>0.28</v>
      </c>
      <c r="O562" s="25" t="n">
        <v>183</v>
      </c>
      <c r="P562" s="30" t="n">
        <v>3.05</v>
      </c>
      <c r="Q562" s="27" t="s">
        <v>3481</v>
      </c>
      <c r="R562" s="27" t="s">
        <v>30</v>
      </c>
    </row>
    <row r="563" customFormat="false" ht="15" hidden="false" customHeight="false" outlineLevel="0" collapsed="false">
      <c r="A563" s="25" t="n">
        <f aca="false">IF(G563="REJECT",COUNTIF($G$2:$G$2277,"&lt;&gt;REJECT")+1+COUNTIFS($G$2:$G$2277,"REJECT",$B$2:$B$2277,"&gt;"&amp;B563),1+COUNTIFS($G$2:$G$2277,"&lt;&gt;REJECT",$B$2:$B$2277,"&gt;"&amp;B563))</f>
        <v>562</v>
      </c>
      <c r="B563" s="26" t="n">
        <f aca="false">ROUND(($U$2*MAX(0,MIN(1,($W$2-I563)/($W$2-$V$2)))+$U$3*MAX(0,MIN(1,($W$3-J563)/($W$3-$V$3)))+$U$4*MAX(0,MIN(1,($W$4-K563)/($W$4-$V$4)))+$U$5*MAX(0,MIN(1,($W$5-L563)/($W$5-$V$5)))+$U$6*MAX(0,MIN(1,($W$6-M563)/($W$6-$V$6)))+$U$7*MAX(0,MIN(1,($W$7-N563)/($W$7-$V$7)))+$U$8*IF(AND(O563&gt;=$V$8,O563&lt;=$W$8),1,0))/$U$9*100,2)</f>
        <v>89.21</v>
      </c>
      <c r="C563" s="27" t="s">
        <v>2130</v>
      </c>
      <c r="D563" s="25" t="s">
        <v>134</v>
      </c>
      <c r="E563" s="25" t="s">
        <v>3447</v>
      </c>
      <c r="F563" s="25" t="s">
        <v>3448</v>
      </c>
      <c r="G563" s="38" t="s">
        <v>30</v>
      </c>
      <c r="H563" s="28" t="s">
        <v>25</v>
      </c>
      <c r="I563" s="25" t="n">
        <v>1</v>
      </c>
      <c r="J563" s="25" t="n">
        <v>0</v>
      </c>
      <c r="K563" s="25" t="n">
        <v>1</v>
      </c>
      <c r="L563" s="29" t="n">
        <v>0.75</v>
      </c>
      <c r="M563" s="30" t="n">
        <v>4.84</v>
      </c>
      <c r="N563" s="29" t="n">
        <v>0.44</v>
      </c>
      <c r="O563" s="25" t="n">
        <v>192</v>
      </c>
      <c r="P563" s="30" t="n">
        <v>2.35</v>
      </c>
      <c r="Q563" s="27" t="s">
        <v>3484</v>
      </c>
      <c r="R563" s="27" t="s">
        <v>2133</v>
      </c>
    </row>
    <row r="564" customFormat="false" ht="15" hidden="false" customHeight="false" outlineLevel="0" collapsed="false">
      <c r="A564" s="25" t="n">
        <f aca="false">IF(G564="REJECT",COUNTIF($G$2:$G$2277,"&lt;&gt;REJECT")+1+COUNTIFS($G$2:$G$2277,"REJECT",$B$2:$B$2277,"&gt;"&amp;B564),1+COUNTIFS($G$2:$G$2277,"&lt;&gt;REJECT",$B$2:$B$2277,"&gt;"&amp;B564))</f>
        <v>563</v>
      </c>
      <c r="B564" s="26" t="n">
        <f aca="false">ROUND(($U$2*MAX(0,MIN(1,($W$2-I564)/($W$2-$V$2)))+$U$3*MAX(0,MIN(1,($W$3-J564)/($W$3-$V$3)))+$U$4*MAX(0,MIN(1,($W$4-K564)/($W$4-$V$4)))+$U$5*MAX(0,MIN(1,($W$5-L564)/($W$5-$V$5)))+$U$6*MAX(0,MIN(1,($W$6-M564)/($W$6-$V$6)))+$U$7*MAX(0,MIN(1,($W$7-N564)/($W$7-$V$7)))+$U$8*IF(AND(O564&gt;=$V$8,O564&lt;=$W$8),1,0))/$U$9*100,2)</f>
        <v>89.2</v>
      </c>
      <c r="C564" s="27" t="s">
        <v>1918</v>
      </c>
      <c r="D564" s="25" t="s">
        <v>134</v>
      </c>
      <c r="E564" s="25" t="s">
        <v>3450</v>
      </c>
      <c r="F564" s="25" t="s">
        <v>3457</v>
      </c>
      <c r="G564" s="33" t="s">
        <v>28</v>
      </c>
      <c r="H564" s="33" t="s">
        <v>24</v>
      </c>
      <c r="I564" s="25" t="n">
        <v>0</v>
      </c>
      <c r="J564" s="25" t="n">
        <v>0</v>
      </c>
      <c r="K564" s="25" t="n">
        <v>0</v>
      </c>
      <c r="L564" s="29" t="n">
        <v>0.65</v>
      </c>
      <c r="M564" s="30" t="n">
        <v>2.41</v>
      </c>
      <c r="N564" s="29" t="n">
        <v>0.84</v>
      </c>
      <c r="O564" s="25" t="n">
        <v>184</v>
      </c>
      <c r="P564" s="30" t="n">
        <v>9.43</v>
      </c>
      <c r="Q564" s="27"/>
      <c r="R564" s="27"/>
    </row>
    <row r="565" customFormat="false" ht="15" hidden="false" customHeight="false" outlineLevel="0" collapsed="false">
      <c r="A565" s="25" t="n">
        <f aca="false">IF(G565="REJECT",COUNTIF($G$2:$G$2277,"&lt;&gt;REJECT")+1+COUNTIFS($G$2:$G$2277,"REJECT",$B$2:$B$2277,"&gt;"&amp;B565),1+COUNTIFS($G$2:$G$2277,"&lt;&gt;REJECT",$B$2:$B$2277,"&gt;"&amp;B565))</f>
        <v>564</v>
      </c>
      <c r="B565" s="26" t="n">
        <f aca="false">ROUND(($U$2*MAX(0,MIN(1,($W$2-I565)/($W$2-$V$2)))+$U$3*MAX(0,MIN(1,($W$3-J565)/($W$3-$V$3)))+$U$4*MAX(0,MIN(1,($W$4-K565)/($W$4-$V$4)))+$U$5*MAX(0,MIN(1,($W$5-L565)/($W$5-$V$5)))+$U$6*MAX(0,MIN(1,($W$6-M565)/($W$6-$V$6)))+$U$7*MAX(0,MIN(1,($W$7-N565)/($W$7-$V$7)))+$U$8*IF(AND(O565&gt;=$V$8,O565&lt;=$W$8),1,0))/$U$9*100,2)</f>
        <v>89.15</v>
      </c>
      <c r="C565" s="27" t="s">
        <v>1955</v>
      </c>
      <c r="D565" s="25" t="s">
        <v>134</v>
      </c>
      <c r="E565" s="25" t="s">
        <v>3450</v>
      </c>
      <c r="F565" s="25" t="s">
        <v>3448</v>
      </c>
      <c r="G565" s="28" t="s">
        <v>29</v>
      </c>
      <c r="H565" s="28" t="s">
        <v>25</v>
      </c>
      <c r="I565" s="25" t="n">
        <v>0</v>
      </c>
      <c r="J565" s="25" t="n">
        <v>0</v>
      </c>
      <c r="K565" s="25" t="n">
        <v>0</v>
      </c>
      <c r="L565" s="29" t="n">
        <v>0.7</v>
      </c>
      <c r="M565" s="30" t="n">
        <v>22.71</v>
      </c>
      <c r="N565" s="29" t="n">
        <v>0.64</v>
      </c>
      <c r="O565" s="25" t="n">
        <v>185</v>
      </c>
      <c r="P565" s="30" t="n">
        <v>14.39</v>
      </c>
      <c r="Q565" s="27"/>
      <c r="R565" s="27" t="s">
        <v>61</v>
      </c>
    </row>
    <row r="566" customFormat="false" ht="15" hidden="false" customHeight="false" outlineLevel="0" collapsed="false">
      <c r="A566" s="25" t="n">
        <f aca="false">IF(G566="REJECT",COUNTIF($G$2:$G$2277,"&lt;&gt;REJECT")+1+COUNTIFS($G$2:$G$2277,"REJECT",$B$2:$B$2277,"&gt;"&amp;B566),1+COUNTIFS($G$2:$G$2277,"&lt;&gt;REJECT",$B$2:$B$2277,"&gt;"&amp;B566))</f>
        <v>565</v>
      </c>
      <c r="B566" s="26" t="n">
        <f aca="false">ROUND(($U$2*MAX(0,MIN(1,($W$2-I566)/($W$2-$V$2)))+$U$3*MAX(0,MIN(1,($W$3-J566)/($W$3-$V$3)))+$U$4*MAX(0,MIN(1,($W$4-K566)/($W$4-$V$4)))+$U$5*MAX(0,MIN(1,($W$5-L566)/($W$5-$V$5)))+$U$6*MAX(0,MIN(1,($W$6-M566)/($W$6-$V$6)))+$U$7*MAX(0,MIN(1,($W$7-N566)/($W$7-$V$7)))+$U$8*IF(AND(O566&gt;=$V$8,O566&lt;=$W$8),1,0))/$U$9*100,2)</f>
        <v>89.14</v>
      </c>
      <c r="C566" s="27" t="s">
        <v>3378</v>
      </c>
      <c r="D566" s="25" t="s">
        <v>134</v>
      </c>
      <c r="E566" s="25" t="s">
        <v>3450</v>
      </c>
      <c r="F566" s="25" t="s">
        <v>3448</v>
      </c>
      <c r="G566" s="38" t="s">
        <v>30</v>
      </c>
      <c r="H566" s="33" t="s">
        <v>24</v>
      </c>
      <c r="I566" s="25" t="n">
        <v>1</v>
      </c>
      <c r="J566" s="25" t="n">
        <v>0</v>
      </c>
      <c r="K566" s="25" t="n">
        <v>1</v>
      </c>
      <c r="L566" s="29" t="n">
        <v>0.77</v>
      </c>
      <c r="M566" s="30" t="n">
        <v>14.86</v>
      </c>
      <c r="N566" s="29" t="n">
        <v>0.2</v>
      </c>
      <c r="O566" s="25" t="n">
        <v>185</v>
      </c>
      <c r="P566" s="30" t="n">
        <v>17.7</v>
      </c>
      <c r="Q566" s="27" t="s">
        <v>3484</v>
      </c>
      <c r="R566" s="27" t="s">
        <v>30</v>
      </c>
    </row>
    <row r="567" customFormat="false" ht="15" hidden="false" customHeight="false" outlineLevel="0" collapsed="false">
      <c r="A567" s="25" t="n">
        <f aca="false">IF(G567="REJECT",COUNTIF($G$2:$G$2277,"&lt;&gt;REJECT")+1+COUNTIFS($G$2:$G$2277,"REJECT",$B$2:$B$2277,"&gt;"&amp;B567),1+COUNTIFS($G$2:$G$2277,"&lt;&gt;REJECT",$B$2:$B$2277,"&gt;"&amp;B567))</f>
        <v>566</v>
      </c>
      <c r="B567" s="26" t="n">
        <f aca="false">ROUND(($U$2*MAX(0,MIN(1,($W$2-I567)/($W$2-$V$2)))+$U$3*MAX(0,MIN(1,($W$3-J567)/($W$3-$V$3)))+$U$4*MAX(0,MIN(1,($W$4-K567)/($W$4-$V$4)))+$U$5*MAX(0,MIN(1,($W$5-L567)/($W$5-$V$5)))+$U$6*MAX(0,MIN(1,($W$6-M567)/($W$6-$V$6)))+$U$7*MAX(0,MIN(1,($W$7-N567)/($W$7-$V$7)))+$U$8*IF(AND(O567&gt;=$V$8,O567&lt;=$W$8),1,0))/$U$9*100,2)</f>
        <v>89.12</v>
      </c>
      <c r="C567" s="27" t="s">
        <v>2482</v>
      </c>
      <c r="D567" s="25" t="s">
        <v>134</v>
      </c>
      <c r="E567" s="25" t="s">
        <v>3447</v>
      </c>
      <c r="F567" s="25" t="s">
        <v>3448</v>
      </c>
      <c r="G567" s="28" t="s">
        <v>29</v>
      </c>
      <c r="H567" s="28" t="s">
        <v>25</v>
      </c>
      <c r="I567" s="25" t="n">
        <v>0</v>
      </c>
      <c r="J567" s="25" t="n">
        <v>0</v>
      </c>
      <c r="K567" s="25" t="n">
        <v>0</v>
      </c>
      <c r="L567" s="29" t="n">
        <v>0.67</v>
      </c>
      <c r="M567" s="30" t="n">
        <v>16.49</v>
      </c>
      <c r="N567" s="29" t="n">
        <v>0.2</v>
      </c>
      <c r="O567" s="25" t="n">
        <v>183</v>
      </c>
      <c r="P567" s="30" t="n">
        <v>0.14</v>
      </c>
      <c r="Q567" s="27"/>
      <c r="R567" s="27" t="s">
        <v>64</v>
      </c>
    </row>
    <row r="568" customFormat="false" ht="15" hidden="false" customHeight="false" outlineLevel="0" collapsed="false">
      <c r="A568" s="25" t="n">
        <f aca="false">IF(G568="REJECT",COUNTIF($G$2:$G$2277,"&lt;&gt;REJECT")+1+COUNTIFS($G$2:$G$2277,"REJECT",$B$2:$B$2277,"&gt;"&amp;B568),1+COUNTIFS($G$2:$G$2277,"&lt;&gt;REJECT",$B$2:$B$2277,"&gt;"&amp;B568))</f>
        <v>567</v>
      </c>
      <c r="B568" s="26" t="n">
        <f aca="false">ROUND(($U$2*MAX(0,MIN(1,($W$2-I568)/($W$2-$V$2)))+$U$3*MAX(0,MIN(1,($W$3-J568)/($W$3-$V$3)))+$U$4*MAX(0,MIN(1,($W$4-K568)/($W$4-$V$4)))+$U$5*MAX(0,MIN(1,($W$5-L568)/($W$5-$V$5)))+$U$6*MAX(0,MIN(1,($W$6-M568)/($W$6-$V$6)))+$U$7*MAX(0,MIN(1,($W$7-N568)/($W$7-$V$7)))+$U$8*IF(AND(O568&gt;=$V$8,O568&lt;=$W$8),1,0))/$U$9*100,2)</f>
        <v>89.05</v>
      </c>
      <c r="C568" s="27" t="s">
        <v>3057</v>
      </c>
      <c r="D568" s="25" t="s">
        <v>3459</v>
      </c>
      <c r="E568" s="25" t="s">
        <v>3447</v>
      </c>
      <c r="F568" s="25" t="s">
        <v>3448</v>
      </c>
      <c r="G568" s="38" t="s">
        <v>30</v>
      </c>
      <c r="H568" s="28" t="s">
        <v>25</v>
      </c>
      <c r="I568" s="25" t="n">
        <v>1</v>
      </c>
      <c r="J568" s="25" t="n">
        <v>0</v>
      </c>
      <c r="K568" s="25" t="n">
        <v>1</v>
      </c>
      <c r="L568" s="29" t="n">
        <v>0.79</v>
      </c>
      <c r="M568" s="30" t="n">
        <v>15.78</v>
      </c>
      <c r="N568" s="29" t="n">
        <v>0.88</v>
      </c>
      <c r="O568" s="25" t="n">
        <v>184</v>
      </c>
      <c r="P568" s="30" t="n">
        <v>-0.94</v>
      </c>
      <c r="Q568" s="27" t="s">
        <v>3486</v>
      </c>
      <c r="R568" s="27" t="s">
        <v>2610</v>
      </c>
    </row>
    <row r="569" customFormat="false" ht="15" hidden="false" customHeight="false" outlineLevel="0" collapsed="false">
      <c r="A569" s="25" t="n">
        <f aca="false">IF(G569="REJECT",COUNTIF($G$2:$G$2277,"&lt;&gt;REJECT")+1+COUNTIFS($G$2:$G$2277,"REJECT",$B$2:$B$2277,"&gt;"&amp;B569),1+COUNTIFS($G$2:$G$2277,"&lt;&gt;REJECT",$B$2:$B$2277,"&gt;"&amp;B569))</f>
        <v>568</v>
      </c>
      <c r="B569" s="26" t="n">
        <f aca="false">ROUND(($U$2*MAX(0,MIN(1,($W$2-I569)/($W$2-$V$2)))+$U$3*MAX(0,MIN(1,($W$3-J569)/($W$3-$V$3)))+$U$4*MAX(0,MIN(1,($W$4-K569)/($W$4-$V$4)))+$U$5*MAX(0,MIN(1,($W$5-L569)/($W$5-$V$5)))+$U$6*MAX(0,MIN(1,($W$6-M569)/($W$6-$V$6)))+$U$7*MAX(0,MIN(1,($W$7-N569)/($W$7-$V$7)))+$U$8*IF(AND(O569&gt;=$V$8,O569&lt;=$W$8),1,0))/$U$9*100,2)</f>
        <v>89</v>
      </c>
      <c r="C569" s="27" t="s">
        <v>895</v>
      </c>
      <c r="D569" s="25" t="s">
        <v>134</v>
      </c>
      <c r="E569" s="25" t="s">
        <v>3450</v>
      </c>
      <c r="F569" s="25" t="s">
        <v>3448</v>
      </c>
      <c r="G569" s="38" t="s">
        <v>30</v>
      </c>
      <c r="H569" s="33" t="s">
        <v>24</v>
      </c>
      <c r="I569" s="25" t="n">
        <v>1</v>
      </c>
      <c r="J569" s="25" t="n">
        <v>0</v>
      </c>
      <c r="K569" s="25" t="n">
        <v>1</v>
      </c>
      <c r="L569" s="29" t="n">
        <v>0.76</v>
      </c>
      <c r="M569" s="30" t="n">
        <v>5.72</v>
      </c>
      <c r="N569" s="29" t="n">
        <v>0.84</v>
      </c>
      <c r="O569" s="25" t="n">
        <v>184</v>
      </c>
      <c r="P569" s="30" t="n">
        <v>13.66</v>
      </c>
      <c r="Q569" s="27" t="s">
        <v>3474</v>
      </c>
      <c r="R569" s="27" t="s">
        <v>30</v>
      </c>
    </row>
    <row r="570" customFormat="false" ht="15" hidden="false" customHeight="false" outlineLevel="0" collapsed="false">
      <c r="A570" s="25" t="n">
        <f aca="false">IF(G570="REJECT",COUNTIF($G$2:$G$2277,"&lt;&gt;REJECT")+1+COUNTIFS($G$2:$G$2277,"REJECT",$B$2:$B$2277,"&gt;"&amp;B570),1+COUNTIFS($G$2:$G$2277,"&lt;&gt;REJECT",$B$2:$B$2277,"&gt;"&amp;B570))</f>
        <v>569</v>
      </c>
      <c r="B570" s="26" t="n">
        <f aca="false">ROUND(($U$2*MAX(0,MIN(1,($W$2-I570)/($W$2-$V$2)))+$U$3*MAX(0,MIN(1,($W$3-J570)/($W$3-$V$3)))+$U$4*MAX(0,MIN(1,($W$4-K570)/($W$4-$V$4)))+$U$5*MAX(0,MIN(1,($W$5-L570)/($W$5-$V$5)))+$U$6*MAX(0,MIN(1,($W$6-M570)/($W$6-$V$6)))+$U$7*MAX(0,MIN(1,($W$7-N570)/($W$7-$V$7)))+$U$8*IF(AND(O570&gt;=$V$8,O570&lt;=$W$8),1,0))/$U$9*100,2)</f>
        <v>88.95</v>
      </c>
      <c r="C570" s="27" t="s">
        <v>1793</v>
      </c>
      <c r="D570" s="25" t="s">
        <v>134</v>
      </c>
      <c r="E570" s="25" t="s">
        <v>3450</v>
      </c>
      <c r="F570" s="25" t="s">
        <v>3457</v>
      </c>
      <c r="G570" s="33" t="s">
        <v>28</v>
      </c>
      <c r="H570" s="33" t="s">
        <v>24</v>
      </c>
      <c r="I570" s="25" t="n">
        <v>0</v>
      </c>
      <c r="J570" s="25" t="n">
        <v>0</v>
      </c>
      <c r="K570" s="25" t="n">
        <v>0</v>
      </c>
      <c r="L570" s="29" t="n">
        <v>0.65</v>
      </c>
      <c r="M570" s="30" t="n">
        <v>8.32</v>
      </c>
      <c r="N570" s="29" t="n">
        <v>0.4</v>
      </c>
      <c r="O570" s="25" t="n">
        <v>184</v>
      </c>
      <c r="P570" s="30" t="n">
        <v>9.26</v>
      </c>
      <c r="Q570" s="27"/>
      <c r="R570" s="27"/>
    </row>
    <row r="571" customFormat="false" ht="15" hidden="false" customHeight="false" outlineLevel="0" collapsed="false">
      <c r="A571" s="25" t="n">
        <f aca="false">IF(G571="REJECT",COUNTIF($G$2:$G$2277,"&lt;&gt;REJECT")+1+COUNTIFS($G$2:$G$2277,"REJECT",$B$2:$B$2277,"&gt;"&amp;B571),1+COUNTIFS($G$2:$G$2277,"&lt;&gt;REJECT",$B$2:$B$2277,"&gt;"&amp;B571))</f>
        <v>570</v>
      </c>
      <c r="B571" s="26" t="n">
        <f aca="false">ROUND(($U$2*MAX(0,MIN(1,($W$2-I571)/($W$2-$V$2)))+$U$3*MAX(0,MIN(1,($W$3-J571)/($W$3-$V$3)))+$U$4*MAX(0,MIN(1,($W$4-K571)/($W$4-$V$4)))+$U$5*MAX(0,MIN(1,($W$5-L571)/($W$5-$V$5)))+$U$6*MAX(0,MIN(1,($W$6-M571)/($W$6-$V$6)))+$U$7*MAX(0,MIN(1,($W$7-N571)/($W$7-$V$7)))+$U$8*IF(AND(O571&gt;=$V$8,O571&lt;=$W$8),1,0))/$U$9*100,2)</f>
        <v>88.94</v>
      </c>
      <c r="C571" s="27" t="s">
        <v>3111</v>
      </c>
      <c r="D571" s="25" t="s">
        <v>3459</v>
      </c>
      <c r="E571" s="25" t="s">
        <v>3447</v>
      </c>
      <c r="F571" s="25" t="s">
        <v>3448</v>
      </c>
      <c r="G571" s="33" t="s">
        <v>28</v>
      </c>
      <c r="H571" s="33" t="s">
        <v>24</v>
      </c>
      <c r="I571" s="25" t="n">
        <v>0</v>
      </c>
      <c r="J571" s="25" t="n">
        <v>0</v>
      </c>
      <c r="K571" s="25" t="n">
        <v>0</v>
      </c>
      <c r="L571" s="29" t="n">
        <v>0.69</v>
      </c>
      <c r="M571" s="30" t="n">
        <v>19.56</v>
      </c>
      <c r="N571" s="29" t="n">
        <v>0.72</v>
      </c>
      <c r="O571" s="25" t="n">
        <v>183</v>
      </c>
      <c r="P571" s="30" t="n">
        <v>6.9</v>
      </c>
      <c r="Q571" s="27"/>
      <c r="R571" s="27"/>
    </row>
    <row r="572" customFormat="false" ht="15" hidden="false" customHeight="false" outlineLevel="0" collapsed="false">
      <c r="A572" s="25" t="n">
        <f aca="false">IF(G572="REJECT",COUNTIF($G$2:$G$2277,"&lt;&gt;REJECT")+1+COUNTIFS($G$2:$G$2277,"REJECT",$B$2:$B$2277,"&gt;"&amp;B572),1+COUNTIFS($G$2:$G$2277,"&lt;&gt;REJECT",$B$2:$B$2277,"&gt;"&amp;B572))</f>
        <v>571</v>
      </c>
      <c r="B572" s="26" t="n">
        <f aca="false">ROUND(($U$2*MAX(0,MIN(1,($W$2-I572)/($W$2-$V$2)))+$U$3*MAX(0,MIN(1,($W$3-J572)/($W$3-$V$3)))+$U$4*MAX(0,MIN(1,($W$4-K572)/($W$4-$V$4)))+$U$5*MAX(0,MIN(1,($W$5-L572)/($W$5-$V$5)))+$U$6*MAX(0,MIN(1,($W$6-M572)/($W$6-$V$6)))+$U$7*MAX(0,MIN(1,($W$7-N572)/($W$7-$V$7)))+$U$8*IF(AND(O572&gt;=$V$8,O572&lt;=$W$8),1,0))/$U$9*100,2)</f>
        <v>88.93</v>
      </c>
      <c r="C572" s="27" t="s">
        <v>2407</v>
      </c>
      <c r="D572" s="25" t="s">
        <v>3459</v>
      </c>
      <c r="E572" s="25" t="s">
        <v>3447</v>
      </c>
      <c r="F572" s="25" t="s">
        <v>3448</v>
      </c>
      <c r="G572" s="38" t="s">
        <v>30</v>
      </c>
      <c r="H572" s="33" t="s">
        <v>24</v>
      </c>
      <c r="I572" s="25" t="n">
        <v>1</v>
      </c>
      <c r="J572" s="25" t="n">
        <v>0</v>
      </c>
      <c r="K572" s="25" t="n">
        <v>1</v>
      </c>
      <c r="L572" s="29" t="n">
        <v>0.75</v>
      </c>
      <c r="M572" s="30" t="n">
        <v>4.91</v>
      </c>
      <c r="N572" s="29" t="n">
        <v>0.6</v>
      </c>
      <c r="O572" s="25" t="n">
        <v>186</v>
      </c>
      <c r="P572" s="30" t="n">
        <v>0.16</v>
      </c>
      <c r="Q572" s="27" t="s">
        <v>3481</v>
      </c>
      <c r="R572" s="27" t="s">
        <v>30</v>
      </c>
    </row>
    <row r="573" customFormat="false" ht="15" hidden="false" customHeight="false" outlineLevel="0" collapsed="false">
      <c r="A573" s="25" t="n">
        <f aca="false">IF(G573="REJECT",COUNTIF($G$2:$G$2277,"&lt;&gt;REJECT")+1+COUNTIFS($G$2:$G$2277,"REJECT",$B$2:$B$2277,"&gt;"&amp;B573),1+COUNTIFS($G$2:$G$2277,"&lt;&gt;REJECT",$B$2:$B$2277,"&gt;"&amp;B573))</f>
        <v>572</v>
      </c>
      <c r="B573" s="26" t="n">
        <f aca="false">ROUND(($U$2*MAX(0,MIN(1,($W$2-I573)/($W$2-$V$2)))+$U$3*MAX(0,MIN(1,($W$3-J573)/($W$3-$V$3)))+$U$4*MAX(0,MIN(1,($W$4-K573)/($W$4-$V$4)))+$U$5*MAX(0,MIN(1,($W$5-L573)/($W$5-$V$5)))+$U$6*MAX(0,MIN(1,($W$6-M573)/($W$6-$V$6)))+$U$7*MAX(0,MIN(1,($W$7-N573)/($W$7-$V$7)))+$U$8*IF(AND(O573&gt;=$V$8,O573&lt;=$W$8),1,0))/$U$9*100,2)</f>
        <v>88.92</v>
      </c>
      <c r="C573" s="27" t="s">
        <v>2761</v>
      </c>
      <c r="D573" s="25" t="s">
        <v>134</v>
      </c>
      <c r="E573" s="25" t="s">
        <v>3447</v>
      </c>
      <c r="F573" s="25" t="s">
        <v>3448</v>
      </c>
      <c r="G573" s="38" t="s">
        <v>30</v>
      </c>
      <c r="H573" s="28" t="s">
        <v>25</v>
      </c>
      <c r="I573" s="25" t="n">
        <v>1</v>
      </c>
      <c r="J573" s="25" t="n">
        <v>0</v>
      </c>
      <c r="K573" s="25" t="n">
        <v>1</v>
      </c>
      <c r="L573" s="29" t="n">
        <v>0.85</v>
      </c>
      <c r="M573" s="30" t="n">
        <v>22.18</v>
      </c>
      <c r="N573" s="29" t="n">
        <v>0.68</v>
      </c>
      <c r="O573" s="25" t="n">
        <v>187</v>
      </c>
      <c r="P573" s="30" t="n">
        <v>-0.69</v>
      </c>
      <c r="Q573" s="27" t="s">
        <v>3481</v>
      </c>
      <c r="R573" s="27" t="s">
        <v>992</v>
      </c>
    </row>
    <row r="574" customFormat="false" ht="15" hidden="false" customHeight="false" outlineLevel="0" collapsed="false">
      <c r="A574" s="25" t="n">
        <f aca="false">IF(G574="REJECT",COUNTIF($G$2:$G$2277,"&lt;&gt;REJECT")+1+COUNTIFS($G$2:$G$2277,"REJECT",$B$2:$B$2277,"&gt;"&amp;B574),1+COUNTIFS($G$2:$G$2277,"&lt;&gt;REJECT",$B$2:$B$2277,"&gt;"&amp;B574))</f>
        <v>573</v>
      </c>
      <c r="B574" s="26" t="n">
        <f aca="false">ROUND(($U$2*MAX(0,MIN(1,($W$2-I574)/($W$2-$V$2)))+$U$3*MAX(0,MIN(1,($W$3-J574)/($W$3-$V$3)))+$U$4*MAX(0,MIN(1,($W$4-K574)/($W$4-$V$4)))+$U$5*MAX(0,MIN(1,($W$5-L574)/($W$5-$V$5)))+$U$6*MAX(0,MIN(1,($W$6-M574)/($W$6-$V$6)))+$U$7*MAX(0,MIN(1,($W$7-N574)/($W$7-$V$7)))+$U$8*IF(AND(O574&gt;=$V$8,O574&lt;=$W$8),1,0))/$U$9*100,2)</f>
        <v>88.88</v>
      </c>
      <c r="C574" s="27" t="s">
        <v>1465</v>
      </c>
      <c r="D574" s="25" t="s">
        <v>134</v>
      </c>
      <c r="E574" s="25" t="s">
        <v>3450</v>
      </c>
      <c r="F574" s="25" t="s">
        <v>3457</v>
      </c>
      <c r="G574" s="28" t="s">
        <v>29</v>
      </c>
      <c r="H574" s="28" t="s">
        <v>25</v>
      </c>
      <c r="I574" s="25" t="n">
        <v>0</v>
      </c>
      <c r="J574" s="25" t="n">
        <v>0</v>
      </c>
      <c r="K574" s="25" t="n">
        <v>0</v>
      </c>
      <c r="L574" s="29" t="n">
        <v>0.69</v>
      </c>
      <c r="M574" s="30" t="n">
        <v>24.31</v>
      </c>
      <c r="N574" s="29" t="n">
        <v>0.28</v>
      </c>
      <c r="O574" s="25" t="n">
        <v>187</v>
      </c>
      <c r="P574" s="30" t="n">
        <v>13.21</v>
      </c>
      <c r="Q574" s="27"/>
      <c r="R574" s="27" t="s">
        <v>61</v>
      </c>
    </row>
    <row r="575" customFormat="false" ht="15" hidden="false" customHeight="false" outlineLevel="0" collapsed="false">
      <c r="A575" s="25" t="n">
        <f aca="false">IF(G575="REJECT",COUNTIF($G$2:$G$2277,"&lt;&gt;REJECT")+1+COUNTIFS($G$2:$G$2277,"REJECT",$B$2:$B$2277,"&gt;"&amp;B575),1+COUNTIFS($G$2:$G$2277,"&lt;&gt;REJECT",$B$2:$B$2277,"&gt;"&amp;B575))</f>
        <v>574</v>
      </c>
      <c r="B575" s="26" t="n">
        <f aca="false">ROUND(($U$2*MAX(0,MIN(1,($W$2-I575)/($W$2-$V$2)))+$U$3*MAX(0,MIN(1,($W$3-J575)/($W$3-$V$3)))+$U$4*MAX(0,MIN(1,($W$4-K575)/($W$4-$V$4)))+$U$5*MAX(0,MIN(1,($W$5-L575)/($W$5-$V$5)))+$U$6*MAX(0,MIN(1,($W$6-M575)/($W$6-$V$6)))+$U$7*MAX(0,MIN(1,($W$7-N575)/($W$7-$V$7)))+$U$8*IF(AND(O575&gt;=$V$8,O575&lt;=$W$8),1,0))/$U$9*100,2)</f>
        <v>88.81</v>
      </c>
      <c r="C575" s="27" t="s">
        <v>1122</v>
      </c>
      <c r="D575" s="25" t="s">
        <v>134</v>
      </c>
      <c r="E575" s="25" t="s">
        <v>3447</v>
      </c>
      <c r="F575" s="25" t="s">
        <v>3448</v>
      </c>
      <c r="G575" s="38" t="s">
        <v>30</v>
      </c>
      <c r="H575" s="28" t="s">
        <v>25</v>
      </c>
      <c r="I575" s="25" t="n">
        <v>1</v>
      </c>
      <c r="J575" s="25" t="n">
        <v>0</v>
      </c>
      <c r="K575" s="25" t="n">
        <v>1</v>
      </c>
      <c r="L575" s="29" t="n">
        <v>0.87</v>
      </c>
      <c r="M575" s="30" t="n">
        <v>23.25</v>
      </c>
      <c r="N575" s="29" t="n">
        <v>0.64</v>
      </c>
      <c r="O575" s="25" t="n">
        <v>189</v>
      </c>
      <c r="P575" s="30" t="n">
        <v>6.95</v>
      </c>
      <c r="Q575" s="27" t="s">
        <v>3474</v>
      </c>
      <c r="R575" s="27" t="s">
        <v>992</v>
      </c>
    </row>
    <row r="576" customFormat="false" ht="15" hidden="false" customHeight="false" outlineLevel="0" collapsed="false">
      <c r="A576" s="25" t="n">
        <f aca="false">IF(G576="REJECT",COUNTIF($G$2:$G$2277,"&lt;&gt;REJECT")+1+COUNTIFS($G$2:$G$2277,"REJECT",$B$2:$B$2277,"&gt;"&amp;B576),1+COUNTIFS($G$2:$G$2277,"&lt;&gt;REJECT",$B$2:$B$2277,"&gt;"&amp;B576))</f>
        <v>574</v>
      </c>
      <c r="B576" s="26" t="n">
        <f aca="false">ROUND(($U$2*MAX(0,MIN(1,($W$2-I576)/($W$2-$V$2)))+$U$3*MAX(0,MIN(1,($W$3-J576)/($W$3-$V$3)))+$U$4*MAX(0,MIN(1,($W$4-K576)/($W$4-$V$4)))+$U$5*MAX(0,MIN(1,($W$5-L576)/($W$5-$V$5)))+$U$6*MAX(0,MIN(1,($W$6-M576)/($W$6-$V$6)))+$U$7*MAX(0,MIN(1,($W$7-N576)/($W$7-$V$7)))+$U$8*IF(AND(O576&gt;=$V$8,O576&lt;=$W$8),1,0))/$U$9*100,2)</f>
        <v>88.81</v>
      </c>
      <c r="C576" s="27" t="s">
        <v>2959</v>
      </c>
      <c r="D576" s="25" t="s">
        <v>134</v>
      </c>
      <c r="E576" s="25" t="s">
        <v>3447</v>
      </c>
      <c r="F576" s="25" t="s">
        <v>3448</v>
      </c>
      <c r="G576" s="38" t="s">
        <v>30</v>
      </c>
      <c r="H576" s="28" t="s">
        <v>25</v>
      </c>
      <c r="I576" s="25" t="n">
        <v>1</v>
      </c>
      <c r="J576" s="25" t="n">
        <v>0</v>
      </c>
      <c r="K576" s="25" t="n">
        <v>1</v>
      </c>
      <c r="L576" s="29" t="n">
        <v>0.78</v>
      </c>
      <c r="M576" s="30" t="n">
        <v>22.42</v>
      </c>
      <c r="N576" s="29" t="n">
        <v>0</v>
      </c>
      <c r="O576" s="25" t="n">
        <v>182</v>
      </c>
      <c r="P576" s="30" t="n">
        <v>10.54</v>
      </c>
      <c r="Q576" s="27" t="s">
        <v>3481</v>
      </c>
      <c r="R576" s="27" t="s">
        <v>992</v>
      </c>
    </row>
    <row r="577" customFormat="false" ht="15" hidden="false" customHeight="false" outlineLevel="0" collapsed="false">
      <c r="A577" s="25" t="n">
        <f aca="false">IF(G577="REJECT",COUNTIF($G$2:$G$2277,"&lt;&gt;REJECT")+1+COUNTIFS($G$2:$G$2277,"REJECT",$B$2:$B$2277,"&gt;"&amp;B577),1+COUNTIFS($G$2:$G$2277,"&lt;&gt;REJECT",$B$2:$B$2277,"&gt;"&amp;B577))</f>
        <v>576</v>
      </c>
      <c r="B577" s="26" t="n">
        <f aca="false">ROUND(($U$2*MAX(0,MIN(1,($W$2-I577)/($W$2-$V$2)))+$U$3*MAX(0,MIN(1,($W$3-J577)/($W$3-$V$3)))+$U$4*MAX(0,MIN(1,($W$4-K577)/($W$4-$V$4)))+$U$5*MAX(0,MIN(1,($W$5-L577)/($W$5-$V$5)))+$U$6*MAX(0,MIN(1,($W$6-M577)/($W$6-$V$6)))+$U$7*MAX(0,MIN(1,($W$7-N577)/($W$7-$V$7)))+$U$8*IF(AND(O577&gt;=$V$8,O577&lt;=$W$8),1,0))/$U$9*100,2)</f>
        <v>88.73</v>
      </c>
      <c r="C577" s="27" t="s">
        <v>2586</v>
      </c>
      <c r="D577" s="25" t="s">
        <v>134</v>
      </c>
      <c r="E577" s="25" t="s">
        <v>3450</v>
      </c>
      <c r="F577" s="25" t="s">
        <v>3457</v>
      </c>
      <c r="G577" s="28" t="s">
        <v>29</v>
      </c>
      <c r="H577" s="28" t="s">
        <v>25</v>
      </c>
      <c r="I577" s="25" t="n">
        <v>0</v>
      </c>
      <c r="J577" s="25" t="n">
        <v>0</v>
      </c>
      <c r="K577" s="25" t="n">
        <v>0</v>
      </c>
      <c r="L577" s="29" t="n">
        <v>0.72</v>
      </c>
      <c r="M577" s="30" t="n">
        <v>30.79</v>
      </c>
      <c r="N577" s="29" t="n">
        <v>0.88</v>
      </c>
      <c r="O577" s="25" t="n">
        <v>189</v>
      </c>
      <c r="P577" s="30" t="n">
        <v>4.67</v>
      </c>
      <c r="Q577" s="27"/>
      <c r="R577" s="27" t="s">
        <v>66</v>
      </c>
    </row>
    <row r="578" customFormat="false" ht="15" hidden="false" customHeight="false" outlineLevel="0" collapsed="false">
      <c r="A578" s="25" t="n">
        <f aca="false">IF(G578="REJECT",COUNTIF($G$2:$G$2277,"&lt;&gt;REJECT")+1+COUNTIFS($G$2:$G$2277,"REJECT",$B$2:$B$2277,"&gt;"&amp;B578),1+COUNTIFS($G$2:$G$2277,"&lt;&gt;REJECT",$B$2:$B$2277,"&gt;"&amp;B578))</f>
        <v>577</v>
      </c>
      <c r="B578" s="26" t="n">
        <f aca="false">ROUND(($U$2*MAX(0,MIN(1,($W$2-I578)/($W$2-$V$2)))+$U$3*MAX(0,MIN(1,($W$3-J578)/($W$3-$V$3)))+$U$4*MAX(0,MIN(1,($W$4-K578)/($W$4-$V$4)))+$U$5*MAX(0,MIN(1,($W$5-L578)/($W$5-$V$5)))+$U$6*MAX(0,MIN(1,($W$6-M578)/($W$6-$V$6)))+$U$7*MAX(0,MIN(1,($W$7-N578)/($W$7-$V$7)))+$U$8*IF(AND(O578&gt;=$V$8,O578&lt;=$W$8),1,0))/$U$9*100,2)</f>
        <v>88.66</v>
      </c>
      <c r="C578" s="27" t="s">
        <v>2860</v>
      </c>
      <c r="D578" s="25" t="s">
        <v>134</v>
      </c>
      <c r="E578" s="25" t="s">
        <v>3450</v>
      </c>
      <c r="F578" s="25" t="s">
        <v>3448</v>
      </c>
      <c r="G578" s="38" t="s">
        <v>30</v>
      </c>
      <c r="H578" s="28" t="s">
        <v>25</v>
      </c>
      <c r="I578" s="25" t="n">
        <v>1</v>
      </c>
      <c r="J578" s="25" t="n">
        <v>0</v>
      </c>
      <c r="K578" s="25" t="n">
        <v>1</v>
      </c>
      <c r="L578" s="29" t="n">
        <v>0.74</v>
      </c>
      <c r="M578" s="30" t="n">
        <v>2.15</v>
      </c>
      <c r="N578" s="29" t="n">
        <v>0.68</v>
      </c>
      <c r="O578" s="25" t="n">
        <v>184</v>
      </c>
      <c r="P578" s="30" t="n">
        <v>-0.23</v>
      </c>
      <c r="Q578" s="27" t="s">
        <v>3482</v>
      </c>
      <c r="R578" s="27" t="s">
        <v>2559</v>
      </c>
    </row>
    <row r="579" customFormat="false" ht="15" hidden="false" customHeight="false" outlineLevel="0" collapsed="false">
      <c r="A579" s="25" t="n">
        <f aca="false">IF(G579="REJECT",COUNTIF($G$2:$G$2277,"&lt;&gt;REJECT")+1+COUNTIFS($G$2:$G$2277,"REJECT",$B$2:$B$2277,"&gt;"&amp;B579),1+COUNTIFS($G$2:$G$2277,"&lt;&gt;REJECT",$B$2:$B$2277,"&gt;"&amp;B579))</f>
        <v>578</v>
      </c>
      <c r="B579" s="26" t="n">
        <f aca="false">ROUND(($U$2*MAX(0,MIN(1,($W$2-I579)/($W$2-$V$2)))+$U$3*MAX(0,MIN(1,($W$3-J579)/($W$3-$V$3)))+$U$4*MAX(0,MIN(1,($W$4-K579)/($W$4-$V$4)))+$U$5*MAX(0,MIN(1,($W$5-L579)/($W$5-$V$5)))+$U$6*MAX(0,MIN(1,($W$6-M579)/($W$6-$V$6)))+$U$7*MAX(0,MIN(1,($W$7-N579)/($W$7-$V$7)))+$U$8*IF(AND(O579&gt;=$V$8,O579&lt;=$W$8),1,0))/$U$9*100,2)</f>
        <v>88.65</v>
      </c>
      <c r="C579" s="27" t="s">
        <v>3057</v>
      </c>
      <c r="D579" s="25" t="s">
        <v>134</v>
      </c>
      <c r="E579" s="25" t="s">
        <v>3447</v>
      </c>
      <c r="F579" s="25" t="s">
        <v>3448</v>
      </c>
      <c r="G579" s="38" t="s">
        <v>30</v>
      </c>
      <c r="H579" s="28" t="s">
        <v>25</v>
      </c>
      <c r="I579" s="25" t="n">
        <v>1</v>
      </c>
      <c r="J579" s="25" t="n">
        <v>0</v>
      </c>
      <c r="K579" s="25" t="n">
        <v>1</v>
      </c>
      <c r="L579" s="29" t="n">
        <v>0.79</v>
      </c>
      <c r="M579" s="30" t="n">
        <v>19.03</v>
      </c>
      <c r="N579" s="29" t="n">
        <v>0.8</v>
      </c>
      <c r="O579" s="25" t="n">
        <v>187</v>
      </c>
      <c r="P579" s="30" t="n">
        <v>-0.04</v>
      </c>
      <c r="Q579" s="27" t="s">
        <v>3483</v>
      </c>
      <c r="R579" s="27" t="s">
        <v>2133</v>
      </c>
    </row>
    <row r="580" customFormat="false" ht="15" hidden="false" customHeight="false" outlineLevel="0" collapsed="false">
      <c r="A580" s="25" t="n">
        <f aca="false">IF(G580="REJECT",COUNTIF($G$2:$G$2277,"&lt;&gt;REJECT")+1+COUNTIFS($G$2:$G$2277,"REJECT",$B$2:$B$2277,"&gt;"&amp;B580),1+COUNTIFS($G$2:$G$2277,"&lt;&gt;REJECT",$B$2:$B$2277,"&gt;"&amp;B580))</f>
        <v>579</v>
      </c>
      <c r="B580" s="26" t="n">
        <f aca="false">ROUND(($U$2*MAX(0,MIN(1,($W$2-I580)/($W$2-$V$2)))+$U$3*MAX(0,MIN(1,($W$3-J580)/($W$3-$V$3)))+$U$4*MAX(0,MIN(1,($W$4-K580)/($W$4-$V$4)))+$U$5*MAX(0,MIN(1,($W$5-L580)/($W$5-$V$5)))+$U$6*MAX(0,MIN(1,($W$6-M580)/($W$6-$V$6)))+$U$7*MAX(0,MIN(1,($W$7-N580)/($W$7-$V$7)))+$U$8*IF(AND(O580&gt;=$V$8,O580&lt;=$W$8),1,0))/$U$9*100,2)</f>
        <v>88.63</v>
      </c>
      <c r="C580" s="27" t="s">
        <v>2601</v>
      </c>
      <c r="D580" s="25" t="s">
        <v>134</v>
      </c>
      <c r="E580" s="25" t="s">
        <v>3450</v>
      </c>
      <c r="F580" s="25" t="s">
        <v>3448</v>
      </c>
      <c r="G580" s="33" t="s">
        <v>28</v>
      </c>
      <c r="H580" s="33" t="s">
        <v>24</v>
      </c>
      <c r="I580" s="25" t="n">
        <v>0</v>
      </c>
      <c r="J580" s="25" t="n">
        <v>0</v>
      </c>
      <c r="K580" s="25" t="n">
        <v>0</v>
      </c>
      <c r="L580" s="29" t="n">
        <v>0.65</v>
      </c>
      <c r="M580" s="30" t="n">
        <v>14.23</v>
      </c>
      <c r="N580" s="29" t="n">
        <v>0</v>
      </c>
      <c r="O580" s="25" t="n">
        <v>185</v>
      </c>
      <c r="P580" s="30" t="n">
        <v>16.02</v>
      </c>
      <c r="Q580" s="27"/>
      <c r="R580" s="27"/>
    </row>
    <row r="581" customFormat="false" ht="15" hidden="false" customHeight="false" outlineLevel="0" collapsed="false">
      <c r="A581" s="25" t="n">
        <f aca="false">IF(G581="REJECT",COUNTIF($G$2:$G$2277,"&lt;&gt;REJECT")+1+COUNTIFS($G$2:$G$2277,"REJECT",$B$2:$B$2277,"&gt;"&amp;B581),1+COUNTIFS($G$2:$G$2277,"&lt;&gt;REJECT",$B$2:$B$2277,"&gt;"&amp;B581))</f>
        <v>579</v>
      </c>
      <c r="B581" s="26" t="n">
        <f aca="false">ROUND(($U$2*MAX(0,MIN(1,($W$2-I581)/($W$2-$V$2)))+$U$3*MAX(0,MIN(1,($W$3-J581)/($W$3-$V$3)))+$U$4*MAX(0,MIN(1,($W$4-K581)/($W$4-$V$4)))+$U$5*MAX(0,MIN(1,($W$5-L581)/($W$5-$V$5)))+$U$6*MAX(0,MIN(1,($W$6-M581)/($W$6-$V$6)))+$U$7*MAX(0,MIN(1,($W$7-N581)/($W$7-$V$7)))+$U$8*IF(AND(O581&gt;=$V$8,O581&lt;=$W$8),1,0))/$U$9*100,2)</f>
        <v>88.63</v>
      </c>
      <c r="C581" s="27" t="s">
        <v>2685</v>
      </c>
      <c r="D581" s="25" t="s">
        <v>3459</v>
      </c>
      <c r="E581" s="25" t="s">
        <v>3447</v>
      </c>
      <c r="F581" s="25" t="s">
        <v>3448</v>
      </c>
      <c r="G581" s="38" t="s">
        <v>30</v>
      </c>
      <c r="H581" s="28" t="s">
        <v>25</v>
      </c>
      <c r="I581" s="25" t="n">
        <v>1</v>
      </c>
      <c r="J581" s="25" t="n">
        <v>0</v>
      </c>
      <c r="K581" s="25" t="n">
        <v>1</v>
      </c>
      <c r="L581" s="29" t="n">
        <v>0.84</v>
      </c>
      <c r="M581" s="30" t="n">
        <v>21.12</v>
      </c>
      <c r="N581" s="29" t="n">
        <v>0.96</v>
      </c>
      <c r="O581" s="25" t="n">
        <v>184</v>
      </c>
      <c r="P581" s="30" t="n">
        <v>-1.28</v>
      </c>
      <c r="Q581" s="27" t="s">
        <v>3480</v>
      </c>
      <c r="R581" s="27" t="s">
        <v>3487</v>
      </c>
    </row>
    <row r="582" customFormat="false" ht="15" hidden="false" customHeight="false" outlineLevel="0" collapsed="false">
      <c r="A582" s="25" t="n">
        <f aca="false">IF(G582="REJECT",COUNTIF($G$2:$G$2277,"&lt;&gt;REJECT")+1+COUNTIFS($G$2:$G$2277,"REJECT",$B$2:$B$2277,"&gt;"&amp;B582),1+COUNTIFS($G$2:$G$2277,"&lt;&gt;REJECT",$B$2:$B$2277,"&gt;"&amp;B582))</f>
        <v>581</v>
      </c>
      <c r="B582" s="26" t="n">
        <f aca="false">ROUND(($U$2*MAX(0,MIN(1,($W$2-I582)/($W$2-$V$2)))+$U$3*MAX(0,MIN(1,($W$3-J582)/($W$3-$V$3)))+$U$4*MAX(0,MIN(1,($W$4-K582)/($W$4-$V$4)))+$U$5*MAX(0,MIN(1,($W$5-L582)/($W$5-$V$5)))+$U$6*MAX(0,MIN(1,($W$6-M582)/($W$6-$V$6)))+$U$7*MAX(0,MIN(1,($W$7-N582)/($W$7-$V$7)))+$U$8*IF(AND(O582&gt;=$V$8,O582&lt;=$W$8),1,0))/$U$9*100,2)</f>
        <v>88.61</v>
      </c>
      <c r="C582" s="27" t="s">
        <v>437</v>
      </c>
      <c r="D582" s="25" t="s">
        <v>134</v>
      </c>
      <c r="E582" s="25" t="s">
        <v>3450</v>
      </c>
      <c r="F582" s="25" t="s">
        <v>3457</v>
      </c>
      <c r="G582" s="33" t="s">
        <v>28</v>
      </c>
      <c r="H582" s="33" t="s">
        <v>24</v>
      </c>
      <c r="I582" s="25" t="n">
        <v>0</v>
      </c>
      <c r="J582" s="25" t="n">
        <v>0</v>
      </c>
      <c r="K582" s="25" t="n">
        <v>0</v>
      </c>
      <c r="L582" s="29" t="n">
        <v>0.67</v>
      </c>
      <c r="M582" s="30" t="n">
        <v>18.37</v>
      </c>
      <c r="N582" s="29" t="n">
        <v>0.32</v>
      </c>
      <c r="O582" s="25" t="n">
        <v>193</v>
      </c>
      <c r="P582" s="30" t="n">
        <v>15.76</v>
      </c>
      <c r="Q582" s="27"/>
      <c r="R582" s="27"/>
    </row>
    <row r="583" customFormat="false" ht="15" hidden="false" customHeight="false" outlineLevel="0" collapsed="false">
      <c r="A583" s="25" t="n">
        <f aca="false">IF(G583="REJECT",COUNTIF($G$2:$G$2277,"&lt;&gt;REJECT")+1+COUNTIFS($G$2:$G$2277,"REJECT",$B$2:$B$2277,"&gt;"&amp;B583),1+COUNTIFS($G$2:$G$2277,"&lt;&gt;REJECT",$B$2:$B$2277,"&gt;"&amp;B583))</f>
        <v>581</v>
      </c>
      <c r="B583" s="26" t="n">
        <f aca="false">ROUND(($U$2*MAX(0,MIN(1,($W$2-I583)/($W$2-$V$2)))+$U$3*MAX(0,MIN(1,($W$3-J583)/($W$3-$V$3)))+$U$4*MAX(0,MIN(1,($W$4-K583)/($W$4-$V$4)))+$U$5*MAX(0,MIN(1,($W$5-L583)/($W$5-$V$5)))+$U$6*MAX(0,MIN(1,($W$6-M583)/($W$6-$V$6)))+$U$7*MAX(0,MIN(1,($W$7-N583)/($W$7-$V$7)))+$U$8*IF(AND(O583&gt;=$V$8,O583&lt;=$W$8),1,0))/$U$9*100,2)</f>
        <v>88.61</v>
      </c>
      <c r="C583" s="27" t="s">
        <v>513</v>
      </c>
      <c r="D583" s="25" t="s">
        <v>134</v>
      </c>
      <c r="E583" s="25" t="s">
        <v>3447</v>
      </c>
      <c r="F583" s="25" t="s">
        <v>3457</v>
      </c>
      <c r="G583" s="33" t="s">
        <v>28</v>
      </c>
      <c r="H583" s="33" t="s">
        <v>24</v>
      </c>
      <c r="I583" s="25" t="n">
        <v>0</v>
      </c>
      <c r="J583" s="25" t="n">
        <v>0</v>
      </c>
      <c r="K583" s="25" t="n">
        <v>0</v>
      </c>
      <c r="L583" s="29" t="n">
        <v>0.64</v>
      </c>
      <c r="M583" s="30" t="n">
        <v>8.36</v>
      </c>
      <c r="N583" s="29" t="n">
        <v>0.24</v>
      </c>
      <c r="O583" s="25" t="n">
        <v>183</v>
      </c>
      <c r="P583" s="30" t="n">
        <v>0.62</v>
      </c>
      <c r="Q583" s="27"/>
      <c r="R583" s="27"/>
    </row>
    <row r="584" customFormat="false" ht="15" hidden="false" customHeight="false" outlineLevel="0" collapsed="false">
      <c r="A584" s="25" t="n">
        <f aca="false">IF(G584="REJECT",COUNTIF($G$2:$G$2277,"&lt;&gt;REJECT")+1+COUNTIFS($G$2:$G$2277,"REJECT",$B$2:$B$2277,"&gt;"&amp;B584),1+COUNTIFS($G$2:$G$2277,"&lt;&gt;REJECT",$B$2:$B$2277,"&gt;"&amp;B584))</f>
        <v>583</v>
      </c>
      <c r="B584" s="26" t="n">
        <f aca="false">ROUND(($U$2*MAX(0,MIN(1,($W$2-I584)/($W$2-$V$2)))+$U$3*MAX(0,MIN(1,($W$3-J584)/($W$3-$V$3)))+$U$4*MAX(0,MIN(1,($W$4-K584)/($W$4-$V$4)))+$U$5*MAX(0,MIN(1,($W$5-L584)/($W$5-$V$5)))+$U$6*MAX(0,MIN(1,($W$6-M584)/($W$6-$V$6)))+$U$7*MAX(0,MIN(1,($W$7-N584)/($W$7-$V$7)))+$U$8*IF(AND(O584&gt;=$V$8,O584&lt;=$W$8),1,0))/$U$9*100,2)</f>
        <v>88.58</v>
      </c>
      <c r="C584" s="27" t="s">
        <v>2897</v>
      </c>
      <c r="D584" s="25" t="s">
        <v>134</v>
      </c>
      <c r="E584" s="25" t="s">
        <v>3447</v>
      </c>
      <c r="F584" s="25" t="s">
        <v>3457</v>
      </c>
      <c r="G584" s="33" t="s">
        <v>28</v>
      </c>
      <c r="H584" s="33" t="s">
        <v>24</v>
      </c>
      <c r="I584" s="25" t="n">
        <v>0</v>
      </c>
      <c r="J584" s="25" t="n">
        <v>0</v>
      </c>
      <c r="K584" s="25" t="n">
        <v>0</v>
      </c>
      <c r="L584" s="29" t="n">
        <v>0.65</v>
      </c>
      <c r="M584" s="30" t="n">
        <v>9.74</v>
      </c>
      <c r="N584" s="29" t="n">
        <v>0.48</v>
      </c>
      <c r="O584" s="25" t="n">
        <v>183</v>
      </c>
      <c r="P584" s="30" t="n">
        <v>-0.92</v>
      </c>
      <c r="Q584" s="27"/>
      <c r="R584" s="27"/>
    </row>
    <row r="585" customFormat="false" ht="15" hidden="false" customHeight="false" outlineLevel="0" collapsed="false">
      <c r="A585" s="25" t="n">
        <f aca="false">IF(G585="REJECT",COUNTIF($G$2:$G$2277,"&lt;&gt;REJECT")+1+COUNTIFS($G$2:$G$2277,"REJECT",$B$2:$B$2277,"&gt;"&amp;B585),1+COUNTIFS($G$2:$G$2277,"&lt;&gt;REJECT",$B$2:$B$2277,"&gt;"&amp;B585))</f>
        <v>584</v>
      </c>
      <c r="B585" s="26" t="n">
        <f aca="false">ROUND(($U$2*MAX(0,MIN(1,($W$2-I585)/($W$2-$V$2)))+$U$3*MAX(0,MIN(1,($W$3-J585)/($W$3-$V$3)))+$U$4*MAX(0,MIN(1,($W$4-K585)/($W$4-$V$4)))+$U$5*MAX(0,MIN(1,($W$5-L585)/($W$5-$V$5)))+$U$6*MAX(0,MIN(1,($W$6-M585)/($W$6-$V$6)))+$U$7*MAX(0,MIN(1,($W$7-N585)/($W$7-$V$7)))+$U$8*IF(AND(O585&gt;=$V$8,O585&lt;=$W$8),1,0))/$U$9*100,2)</f>
        <v>88.55</v>
      </c>
      <c r="C585" s="27" t="s">
        <v>2860</v>
      </c>
      <c r="D585" s="25" t="s">
        <v>134</v>
      </c>
      <c r="E585" s="25" t="s">
        <v>3450</v>
      </c>
      <c r="F585" s="25" t="s">
        <v>3457</v>
      </c>
      <c r="G585" s="38" t="s">
        <v>30</v>
      </c>
      <c r="H585" s="33" t="s">
        <v>24</v>
      </c>
      <c r="I585" s="25" t="n">
        <v>1</v>
      </c>
      <c r="J585" s="25" t="n">
        <v>0</v>
      </c>
      <c r="K585" s="25" t="n">
        <v>0</v>
      </c>
      <c r="L585" s="29" t="n">
        <v>0.74</v>
      </c>
      <c r="M585" s="30" t="n">
        <v>11.64</v>
      </c>
      <c r="N585" s="29" t="n">
        <v>0.92</v>
      </c>
      <c r="O585" s="25" t="n">
        <v>185</v>
      </c>
      <c r="P585" s="30" t="n">
        <v>5.97</v>
      </c>
      <c r="Q585" s="27" t="s">
        <v>3482</v>
      </c>
      <c r="R585" s="27" t="s">
        <v>30</v>
      </c>
    </row>
    <row r="586" customFormat="false" ht="15" hidden="false" customHeight="false" outlineLevel="0" collapsed="false">
      <c r="A586" s="25" t="n">
        <f aca="false">IF(G586="REJECT",COUNTIF($G$2:$G$2277,"&lt;&gt;REJECT")+1+COUNTIFS($G$2:$G$2277,"REJECT",$B$2:$B$2277,"&gt;"&amp;B586),1+COUNTIFS($G$2:$G$2277,"&lt;&gt;REJECT",$B$2:$B$2277,"&gt;"&amp;B586))</f>
        <v>584</v>
      </c>
      <c r="B586" s="26" t="n">
        <f aca="false">ROUND(($U$2*MAX(0,MIN(1,($W$2-I586)/($W$2-$V$2)))+$U$3*MAX(0,MIN(1,($W$3-J586)/($W$3-$V$3)))+$U$4*MAX(0,MIN(1,($W$4-K586)/($W$4-$V$4)))+$U$5*MAX(0,MIN(1,($W$5-L586)/($W$5-$V$5)))+$U$6*MAX(0,MIN(1,($W$6-M586)/($W$6-$V$6)))+$U$7*MAX(0,MIN(1,($W$7-N586)/($W$7-$V$7)))+$U$8*IF(AND(O586&gt;=$V$8,O586&lt;=$W$8),1,0))/$U$9*100,2)</f>
        <v>88.55</v>
      </c>
      <c r="C586" s="27" t="s">
        <v>2891</v>
      </c>
      <c r="D586" s="25" t="s">
        <v>3459</v>
      </c>
      <c r="E586" s="25" t="s">
        <v>3447</v>
      </c>
      <c r="F586" s="25" t="s">
        <v>3457</v>
      </c>
      <c r="G586" s="38" t="s">
        <v>30</v>
      </c>
      <c r="H586" s="28" t="s">
        <v>25</v>
      </c>
      <c r="I586" s="25" t="n">
        <v>1</v>
      </c>
      <c r="J586" s="25" t="n">
        <v>0</v>
      </c>
      <c r="K586" s="25" t="n">
        <v>1</v>
      </c>
      <c r="L586" s="29" t="n">
        <v>0.79</v>
      </c>
      <c r="M586" s="30" t="n">
        <v>23.58</v>
      </c>
      <c r="N586" s="29" t="n">
        <v>0.4</v>
      </c>
      <c r="O586" s="25" t="n">
        <v>183</v>
      </c>
      <c r="P586" s="30" t="n">
        <v>4.76</v>
      </c>
      <c r="Q586" s="27" t="s">
        <v>3478</v>
      </c>
      <c r="R586" s="27" t="s">
        <v>992</v>
      </c>
    </row>
    <row r="587" customFormat="false" ht="15" hidden="false" customHeight="false" outlineLevel="0" collapsed="false">
      <c r="A587" s="25" t="n">
        <f aca="false">IF(G587="REJECT",COUNTIF($G$2:$G$2277,"&lt;&gt;REJECT")+1+COUNTIFS($G$2:$G$2277,"REJECT",$B$2:$B$2277,"&gt;"&amp;B587),1+COUNTIFS($G$2:$G$2277,"&lt;&gt;REJECT",$B$2:$B$2277,"&gt;"&amp;B587))</f>
        <v>586</v>
      </c>
      <c r="B587" s="26" t="n">
        <f aca="false">ROUND(($U$2*MAX(0,MIN(1,($W$2-I587)/($W$2-$V$2)))+$U$3*MAX(0,MIN(1,($W$3-J587)/($W$3-$V$3)))+$U$4*MAX(0,MIN(1,($W$4-K587)/($W$4-$V$4)))+$U$5*MAX(0,MIN(1,($W$5-L587)/($W$5-$V$5)))+$U$6*MAX(0,MIN(1,($W$6-M587)/($W$6-$V$6)))+$U$7*MAX(0,MIN(1,($W$7-N587)/($W$7-$V$7)))+$U$8*IF(AND(O587&gt;=$V$8,O587&lt;=$W$8),1,0))/$U$9*100,2)</f>
        <v>88.54</v>
      </c>
      <c r="C587" s="27" t="s">
        <v>2482</v>
      </c>
      <c r="D587" s="25" t="s">
        <v>134</v>
      </c>
      <c r="E587" s="25" t="s">
        <v>3450</v>
      </c>
      <c r="F587" s="25" t="s">
        <v>3448</v>
      </c>
      <c r="G587" s="28" t="s">
        <v>29</v>
      </c>
      <c r="H587" s="28" t="s">
        <v>25</v>
      </c>
      <c r="I587" s="25" t="n">
        <v>0</v>
      </c>
      <c r="J587" s="25" t="n">
        <v>0</v>
      </c>
      <c r="K587" s="25" t="n">
        <v>0</v>
      </c>
      <c r="L587" s="29" t="n">
        <v>0.7</v>
      </c>
      <c r="M587" s="30" t="n">
        <v>23.59</v>
      </c>
      <c r="N587" s="29" t="n">
        <v>0.92</v>
      </c>
      <c r="O587" s="25" t="n">
        <v>197</v>
      </c>
      <c r="P587" s="30" t="n">
        <v>1.55</v>
      </c>
      <c r="Q587" s="27"/>
      <c r="R587" s="27" t="s">
        <v>3473</v>
      </c>
    </row>
    <row r="588" customFormat="false" ht="15" hidden="false" customHeight="false" outlineLevel="0" collapsed="false">
      <c r="A588" s="25" t="n">
        <f aca="false">IF(G588="REJECT",COUNTIF($G$2:$G$2277,"&lt;&gt;REJECT")+1+COUNTIFS($G$2:$G$2277,"REJECT",$B$2:$B$2277,"&gt;"&amp;B588),1+COUNTIFS($G$2:$G$2277,"&lt;&gt;REJECT",$B$2:$B$2277,"&gt;"&amp;B588))</f>
        <v>587</v>
      </c>
      <c r="B588" s="26" t="n">
        <f aca="false">ROUND(($U$2*MAX(0,MIN(1,($W$2-I588)/($W$2-$V$2)))+$U$3*MAX(0,MIN(1,($W$3-J588)/($W$3-$V$3)))+$U$4*MAX(0,MIN(1,($W$4-K588)/($W$4-$V$4)))+$U$5*MAX(0,MIN(1,($W$5-L588)/($W$5-$V$5)))+$U$6*MAX(0,MIN(1,($W$6-M588)/($W$6-$V$6)))+$U$7*MAX(0,MIN(1,($W$7-N588)/($W$7-$V$7)))+$U$8*IF(AND(O588&gt;=$V$8,O588&lt;=$W$8),1,0))/$U$9*100,2)</f>
        <v>88.48</v>
      </c>
      <c r="C588" s="27" t="s">
        <v>2854</v>
      </c>
      <c r="D588" s="25" t="s">
        <v>3459</v>
      </c>
      <c r="E588" s="25" t="s">
        <v>3447</v>
      </c>
      <c r="F588" s="25" t="s">
        <v>3457</v>
      </c>
      <c r="G588" s="38" t="s">
        <v>30</v>
      </c>
      <c r="H588" s="28" t="s">
        <v>25</v>
      </c>
      <c r="I588" s="25" t="n">
        <v>1</v>
      </c>
      <c r="J588" s="25" t="n">
        <v>0</v>
      </c>
      <c r="K588" s="25" t="n">
        <v>1</v>
      </c>
      <c r="L588" s="29" t="n">
        <v>0.85</v>
      </c>
      <c r="M588" s="30" t="n">
        <v>22.41</v>
      </c>
      <c r="N588" s="29" t="n">
        <v>0.92</v>
      </c>
      <c r="O588" s="25" t="n">
        <v>184</v>
      </c>
      <c r="P588" s="30" t="n">
        <v>-1.26</v>
      </c>
      <c r="Q588" s="27" t="s">
        <v>3474</v>
      </c>
      <c r="R588" s="27" t="s">
        <v>992</v>
      </c>
    </row>
    <row r="589" customFormat="false" ht="15" hidden="false" customHeight="false" outlineLevel="0" collapsed="false">
      <c r="A589" s="25" t="n">
        <f aca="false">IF(G589="REJECT",COUNTIF($G$2:$G$2277,"&lt;&gt;REJECT")+1+COUNTIFS($G$2:$G$2277,"REJECT",$B$2:$B$2277,"&gt;"&amp;B589),1+COUNTIFS($G$2:$G$2277,"&lt;&gt;REJECT",$B$2:$B$2277,"&gt;"&amp;B589))</f>
        <v>587</v>
      </c>
      <c r="B589" s="26" t="n">
        <f aca="false">ROUND(($U$2*MAX(0,MIN(1,($W$2-I589)/($W$2-$V$2)))+$U$3*MAX(0,MIN(1,($W$3-J589)/($W$3-$V$3)))+$U$4*MAX(0,MIN(1,($W$4-K589)/($W$4-$V$4)))+$U$5*MAX(0,MIN(1,($W$5-L589)/($W$5-$V$5)))+$U$6*MAX(0,MIN(1,($W$6-M589)/($W$6-$V$6)))+$U$7*MAX(0,MIN(1,($W$7-N589)/($W$7-$V$7)))+$U$8*IF(AND(O589&gt;=$V$8,O589&lt;=$W$8),1,0))/$U$9*100,2)</f>
        <v>88.48</v>
      </c>
      <c r="C589" s="27" t="s">
        <v>3087</v>
      </c>
      <c r="D589" s="25" t="s">
        <v>134</v>
      </c>
      <c r="E589" s="25" t="s">
        <v>3447</v>
      </c>
      <c r="F589" s="25" t="s">
        <v>3448</v>
      </c>
      <c r="G589" s="38" t="s">
        <v>30</v>
      </c>
      <c r="H589" s="33" t="s">
        <v>24</v>
      </c>
      <c r="I589" s="25" t="n">
        <v>1</v>
      </c>
      <c r="J589" s="25" t="n">
        <v>0</v>
      </c>
      <c r="K589" s="25" t="n">
        <v>1</v>
      </c>
      <c r="L589" s="29" t="n">
        <v>0.76</v>
      </c>
      <c r="M589" s="30" t="n">
        <v>10.04</v>
      </c>
      <c r="N589" s="29" t="n">
        <v>0.72</v>
      </c>
      <c r="O589" s="25" t="n">
        <v>183</v>
      </c>
      <c r="P589" s="30" t="n">
        <v>-0.98</v>
      </c>
      <c r="Q589" s="27" t="s">
        <v>3481</v>
      </c>
      <c r="R589" s="27" t="s">
        <v>30</v>
      </c>
    </row>
    <row r="590" customFormat="false" ht="15" hidden="false" customHeight="false" outlineLevel="0" collapsed="false">
      <c r="A590" s="25" t="n">
        <f aca="false">IF(G590="REJECT",COUNTIF($G$2:$G$2277,"&lt;&gt;REJECT")+1+COUNTIFS($G$2:$G$2277,"REJECT",$B$2:$B$2277,"&gt;"&amp;B590),1+COUNTIFS($G$2:$G$2277,"&lt;&gt;REJECT",$B$2:$B$2277,"&gt;"&amp;B590))</f>
        <v>589</v>
      </c>
      <c r="B590" s="26" t="n">
        <f aca="false">ROUND(($U$2*MAX(0,MIN(1,($W$2-I590)/($W$2-$V$2)))+$U$3*MAX(0,MIN(1,($W$3-J590)/($W$3-$V$3)))+$U$4*MAX(0,MIN(1,($W$4-K590)/($W$4-$V$4)))+$U$5*MAX(0,MIN(1,($W$5-L590)/($W$5-$V$5)))+$U$6*MAX(0,MIN(1,($W$6-M590)/($W$6-$V$6)))+$U$7*MAX(0,MIN(1,($W$7-N590)/($W$7-$V$7)))+$U$8*IF(AND(O590&gt;=$V$8,O590&lt;=$W$8),1,0))/$U$9*100,2)</f>
        <v>88.36</v>
      </c>
      <c r="C590" s="27" t="s">
        <v>1253</v>
      </c>
      <c r="D590" s="25" t="s">
        <v>134</v>
      </c>
      <c r="E590" s="25" t="s">
        <v>3450</v>
      </c>
      <c r="F590" s="25" t="s">
        <v>3448</v>
      </c>
      <c r="G590" s="33" t="s">
        <v>28</v>
      </c>
      <c r="H590" s="33" t="s">
        <v>24</v>
      </c>
      <c r="I590" s="25" t="n">
        <v>0</v>
      </c>
      <c r="J590" s="25" t="n">
        <v>0</v>
      </c>
      <c r="K590" s="25" t="n">
        <v>0</v>
      </c>
      <c r="L590" s="29" t="n">
        <v>0.66</v>
      </c>
      <c r="M590" s="30" t="n">
        <v>15.82</v>
      </c>
      <c r="N590" s="29" t="n">
        <v>0.36</v>
      </c>
      <c r="O590" s="25" t="n">
        <v>185</v>
      </c>
      <c r="P590" s="30" t="n">
        <v>10.53</v>
      </c>
      <c r="Q590" s="27"/>
      <c r="R590" s="27"/>
    </row>
    <row r="591" customFormat="false" ht="15" hidden="false" customHeight="false" outlineLevel="0" collapsed="false">
      <c r="A591" s="25" t="n">
        <f aca="false">IF(G591="REJECT",COUNTIF($G$2:$G$2277,"&lt;&gt;REJECT")+1+COUNTIFS($G$2:$G$2277,"REJECT",$B$2:$B$2277,"&gt;"&amp;B591),1+COUNTIFS($G$2:$G$2277,"&lt;&gt;REJECT",$B$2:$B$2277,"&gt;"&amp;B591))</f>
        <v>590</v>
      </c>
      <c r="B591" s="26" t="n">
        <f aca="false">ROUND(($U$2*MAX(0,MIN(1,($W$2-I591)/($W$2-$V$2)))+$U$3*MAX(0,MIN(1,($W$3-J591)/($W$3-$V$3)))+$U$4*MAX(0,MIN(1,($W$4-K591)/($W$4-$V$4)))+$U$5*MAX(0,MIN(1,($W$5-L591)/($W$5-$V$5)))+$U$6*MAX(0,MIN(1,($W$6-M591)/($W$6-$V$6)))+$U$7*MAX(0,MIN(1,($W$7-N591)/($W$7-$V$7)))+$U$8*IF(AND(O591&gt;=$V$8,O591&lt;=$W$8),1,0))/$U$9*100,2)</f>
        <v>88.33</v>
      </c>
      <c r="C591" s="27" t="s">
        <v>2891</v>
      </c>
      <c r="D591" s="25" t="s">
        <v>134</v>
      </c>
      <c r="E591" s="25" t="s">
        <v>3447</v>
      </c>
      <c r="F591" s="25" t="s">
        <v>3457</v>
      </c>
      <c r="G591" s="38" t="s">
        <v>30</v>
      </c>
      <c r="H591" s="33" t="s">
        <v>24</v>
      </c>
      <c r="I591" s="25" t="n">
        <v>1</v>
      </c>
      <c r="J591" s="25" t="n">
        <v>0</v>
      </c>
      <c r="K591" s="25" t="n">
        <v>1</v>
      </c>
      <c r="L591" s="29" t="n">
        <v>0.76</v>
      </c>
      <c r="M591" s="30" t="n">
        <v>14.12</v>
      </c>
      <c r="N591" s="29" t="n">
        <v>0.4</v>
      </c>
      <c r="O591" s="25" t="n">
        <v>184</v>
      </c>
      <c r="P591" s="30" t="n">
        <v>7.94</v>
      </c>
      <c r="Q591" s="27" t="s">
        <v>3474</v>
      </c>
      <c r="R591" s="27" t="s">
        <v>30</v>
      </c>
    </row>
    <row r="592" customFormat="false" ht="15" hidden="false" customHeight="false" outlineLevel="0" collapsed="false">
      <c r="A592" s="25" t="n">
        <f aca="false">IF(G592="REJECT",COUNTIF($G$2:$G$2277,"&lt;&gt;REJECT")+1+COUNTIFS($G$2:$G$2277,"REJECT",$B$2:$B$2277,"&gt;"&amp;B592),1+COUNTIFS($G$2:$G$2277,"&lt;&gt;REJECT",$B$2:$B$2277,"&gt;"&amp;B592))</f>
        <v>591</v>
      </c>
      <c r="B592" s="26" t="n">
        <f aca="false">ROUND(($U$2*MAX(0,MIN(1,($W$2-I592)/($W$2-$V$2)))+$U$3*MAX(0,MIN(1,($W$3-J592)/($W$3-$V$3)))+$U$4*MAX(0,MIN(1,($W$4-K592)/($W$4-$V$4)))+$U$5*MAX(0,MIN(1,($W$5-L592)/($W$5-$V$5)))+$U$6*MAX(0,MIN(1,($W$6-M592)/($W$6-$V$6)))+$U$7*MAX(0,MIN(1,($W$7-N592)/($W$7-$V$7)))+$U$8*IF(AND(O592&gt;=$V$8,O592&lt;=$W$8),1,0))/$U$9*100,2)</f>
        <v>88.29</v>
      </c>
      <c r="C592" s="27" t="s">
        <v>2325</v>
      </c>
      <c r="D592" s="25" t="s">
        <v>134</v>
      </c>
      <c r="E592" s="25" t="s">
        <v>3447</v>
      </c>
      <c r="F592" s="25" t="s">
        <v>3448</v>
      </c>
      <c r="G592" s="38" t="s">
        <v>30</v>
      </c>
      <c r="H592" s="33" t="s">
        <v>24</v>
      </c>
      <c r="I592" s="25" t="n">
        <v>1</v>
      </c>
      <c r="J592" s="25" t="n">
        <v>0</v>
      </c>
      <c r="K592" s="25" t="n">
        <v>1</v>
      </c>
      <c r="L592" s="29" t="n">
        <v>0.75</v>
      </c>
      <c r="M592" s="30" t="n">
        <v>5.98</v>
      </c>
      <c r="N592" s="29" t="n">
        <v>0.88</v>
      </c>
      <c r="O592" s="25" t="n">
        <v>183</v>
      </c>
      <c r="P592" s="30" t="n">
        <v>-0.46</v>
      </c>
      <c r="Q592" s="27" t="s">
        <v>3476</v>
      </c>
      <c r="R592" s="27" t="s">
        <v>30</v>
      </c>
    </row>
    <row r="593" customFormat="false" ht="15" hidden="false" customHeight="false" outlineLevel="0" collapsed="false">
      <c r="A593" s="25" t="n">
        <f aca="false">IF(G593="REJECT",COUNTIF($G$2:$G$2277,"&lt;&gt;REJECT")+1+COUNTIFS($G$2:$G$2277,"REJECT",$B$2:$B$2277,"&gt;"&amp;B593),1+COUNTIFS($G$2:$G$2277,"&lt;&gt;REJECT",$B$2:$B$2277,"&gt;"&amp;B593))</f>
        <v>592</v>
      </c>
      <c r="B593" s="26" t="n">
        <f aca="false">ROUND(($U$2*MAX(0,MIN(1,($W$2-I593)/($W$2-$V$2)))+$U$3*MAX(0,MIN(1,($W$3-J593)/($W$3-$V$3)))+$U$4*MAX(0,MIN(1,($W$4-K593)/($W$4-$V$4)))+$U$5*MAX(0,MIN(1,($W$5-L593)/($W$5-$V$5)))+$U$6*MAX(0,MIN(1,($W$6-M593)/($W$6-$V$6)))+$U$7*MAX(0,MIN(1,($W$7-N593)/($W$7-$V$7)))+$U$8*IF(AND(O593&gt;=$V$8,O593&lt;=$W$8),1,0))/$U$9*100,2)</f>
        <v>88.27</v>
      </c>
      <c r="C593" s="27" t="s">
        <v>248</v>
      </c>
      <c r="D593" s="25" t="s">
        <v>134</v>
      </c>
      <c r="E593" s="25" t="s">
        <v>3450</v>
      </c>
      <c r="F593" s="25" t="s">
        <v>3448</v>
      </c>
      <c r="G593" s="38" t="s">
        <v>30</v>
      </c>
      <c r="H593" s="28" t="s">
        <v>25</v>
      </c>
      <c r="I593" s="25" t="n">
        <v>1</v>
      </c>
      <c r="J593" s="25" t="n">
        <v>0</v>
      </c>
      <c r="K593" s="25" t="n">
        <v>1</v>
      </c>
      <c r="L593" s="29" t="n">
        <v>0.77</v>
      </c>
      <c r="M593" s="30" t="n">
        <v>22.09</v>
      </c>
      <c r="N593" s="29" t="n">
        <v>0</v>
      </c>
      <c r="O593" s="25" t="n">
        <v>213</v>
      </c>
      <c r="P593" s="30" t="n">
        <v>8.42</v>
      </c>
      <c r="Q593" s="27" t="s">
        <v>3488</v>
      </c>
      <c r="R593" s="27" t="s">
        <v>144</v>
      </c>
    </row>
    <row r="594" customFormat="false" ht="15" hidden="false" customHeight="false" outlineLevel="0" collapsed="false">
      <c r="A594" s="25" t="n">
        <f aca="false">IF(G594="REJECT",COUNTIF($G$2:$G$2277,"&lt;&gt;REJECT")+1+COUNTIFS($G$2:$G$2277,"REJECT",$B$2:$B$2277,"&gt;"&amp;B594),1+COUNTIFS($G$2:$G$2277,"&lt;&gt;REJECT",$B$2:$B$2277,"&gt;"&amp;B594))</f>
        <v>593</v>
      </c>
      <c r="B594" s="26" t="n">
        <f aca="false">ROUND(($U$2*MAX(0,MIN(1,($W$2-I594)/($W$2-$V$2)))+$U$3*MAX(0,MIN(1,($W$3-J594)/($W$3-$V$3)))+$U$4*MAX(0,MIN(1,($W$4-K594)/($W$4-$V$4)))+$U$5*MAX(0,MIN(1,($W$5-L594)/($W$5-$V$5)))+$U$6*MAX(0,MIN(1,($W$6-M594)/($W$6-$V$6)))+$U$7*MAX(0,MIN(1,($W$7-N594)/($W$7-$V$7)))+$U$8*IF(AND(O594&gt;=$V$8,O594&lt;=$W$8),1,0))/$U$9*100,2)</f>
        <v>88.19</v>
      </c>
      <c r="C594" s="27" t="s">
        <v>2965</v>
      </c>
      <c r="D594" s="25" t="s">
        <v>134</v>
      </c>
      <c r="E594" s="25" t="s">
        <v>3450</v>
      </c>
      <c r="F594" s="25" t="s">
        <v>3448</v>
      </c>
      <c r="G594" s="38" t="s">
        <v>30</v>
      </c>
      <c r="H594" s="33" t="s">
        <v>24</v>
      </c>
      <c r="I594" s="25" t="n">
        <v>1</v>
      </c>
      <c r="J594" s="25" t="n">
        <v>0</v>
      </c>
      <c r="K594" s="25" t="n">
        <v>1</v>
      </c>
      <c r="L594" s="29" t="n">
        <v>0.75</v>
      </c>
      <c r="M594" s="30" t="n">
        <v>15.39</v>
      </c>
      <c r="N594" s="29" t="n">
        <v>0</v>
      </c>
      <c r="O594" s="25" t="n">
        <v>184</v>
      </c>
      <c r="P594" s="30" t="n">
        <v>18.34</v>
      </c>
      <c r="Q594" s="27" t="s">
        <v>3483</v>
      </c>
      <c r="R594" s="27" t="s">
        <v>30</v>
      </c>
    </row>
    <row r="595" customFormat="false" ht="15" hidden="false" customHeight="false" outlineLevel="0" collapsed="false">
      <c r="A595" s="25" t="n">
        <f aca="false">IF(G595="REJECT",COUNTIF($G$2:$G$2277,"&lt;&gt;REJECT")+1+COUNTIFS($G$2:$G$2277,"REJECT",$B$2:$B$2277,"&gt;"&amp;B595),1+COUNTIFS($G$2:$G$2277,"&lt;&gt;REJECT",$B$2:$B$2277,"&gt;"&amp;B595))</f>
        <v>594</v>
      </c>
      <c r="B595" s="26" t="n">
        <f aca="false">ROUND(($U$2*MAX(0,MIN(1,($W$2-I595)/($W$2-$V$2)))+$U$3*MAX(0,MIN(1,($W$3-J595)/($W$3-$V$3)))+$U$4*MAX(0,MIN(1,($W$4-K595)/($W$4-$V$4)))+$U$5*MAX(0,MIN(1,($W$5-L595)/($W$5-$V$5)))+$U$6*MAX(0,MIN(1,($W$6-M595)/($W$6-$V$6)))+$U$7*MAX(0,MIN(1,($W$7-N595)/($W$7-$V$7)))+$U$8*IF(AND(O595&gt;=$V$8,O595&lt;=$W$8),1,0))/$U$9*100,2)</f>
        <v>88.17</v>
      </c>
      <c r="C595" s="27" t="s">
        <v>513</v>
      </c>
      <c r="D595" s="25" t="s">
        <v>134</v>
      </c>
      <c r="E595" s="25" t="s">
        <v>3450</v>
      </c>
      <c r="F595" s="25" t="s">
        <v>3457</v>
      </c>
      <c r="G595" s="33" t="s">
        <v>28</v>
      </c>
      <c r="H595" s="33" t="s">
        <v>24</v>
      </c>
      <c r="I595" s="25" t="n">
        <v>0</v>
      </c>
      <c r="J595" s="25" t="n">
        <v>0</v>
      </c>
      <c r="K595" s="25" t="n">
        <v>0</v>
      </c>
      <c r="L595" s="29" t="n">
        <v>0.63</v>
      </c>
      <c r="M595" s="30" t="n">
        <v>5.77</v>
      </c>
      <c r="N595" s="29" t="n">
        <v>0.4</v>
      </c>
      <c r="O595" s="25" t="n">
        <v>184</v>
      </c>
      <c r="P595" s="30" t="n">
        <v>6.58</v>
      </c>
      <c r="Q595" s="27"/>
      <c r="R595" s="27"/>
    </row>
    <row r="596" customFormat="false" ht="15" hidden="false" customHeight="false" outlineLevel="0" collapsed="false">
      <c r="A596" s="25" t="n">
        <f aca="false">IF(G596="REJECT",COUNTIF($G$2:$G$2277,"&lt;&gt;REJECT")+1+COUNTIFS($G$2:$G$2277,"REJECT",$B$2:$B$2277,"&gt;"&amp;B596),1+COUNTIFS($G$2:$G$2277,"&lt;&gt;REJECT",$B$2:$B$2277,"&gt;"&amp;B596))</f>
        <v>594</v>
      </c>
      <c r="B596" s="26" t="n">
        <f aca="false">ROUND(($U$2*MAX(0,MIN(1,($W$2-I596)/($W$2-$V$2)))+$U$3*MAX(0,MIN(1,($W$3-J596)/($W$3-$V$3)))+$U$4*MAX(0,MIN(1,($W$4-K596)/($W$4-$V$4)))+$U$5*MAX(0,MIN(1,($W$5-L596)/($W$5-$V$5)))+$U$6*MAX(0,MIN(1,($W$6-M596)/($W$6-$V$6)))+$U$7*MAX(0,MIN(1,($W$7-N596)/($W$7-$V$7)))+$U$8*IF(AND(O596&gt;=$V$8,O596&lt;=$W$8),1,0))/$U$9*100,2)</f>
        <v>88.17</v>
      </c>
      <c r="C596" s="27" t="s">
        <v>2482</v>
      </c>
      <c r="D596" s="25" t="s">
        <v>3459</v>
      </c>
      <c r="E596" s="25" t="s">
        <v>3450</v>
      </c>
      <c r="F596" s="25" t="s">
        <v>3457</v>
      </c>
      <c r="G596" s="28" t="s">
        <v>29</v>
      </c>
      <c r="H596" s="28" t="s">
        <v>25</v>
      </c>
      <c r="I596" s="25" t="n">
        <v>0</v>
      </c>
      <c r="J596" s="25" t="n">
        <v>0</v>
      </c>
      <c r="K596" s="25" t="n">
        <v>0</v>
      </c>
      <c r="L596" s="29" t="n">
        <v>0.68</v>
      </c>
      <c r="M596" s="30" t="n">
        <v>18.19</v>
      </c>
      <c r="N596" s="29" t="n">
        <v>0.96</v>
      </c>
      <c r="O596" s="25" t="n">
        <v>184</v>
      </c>
      <c r="P596" s="30" t="n">
        <v>-0.72</v>
      </c>
      <c r="Q596" s="27"/>
      <c r="R596" s="27" t="s">
        <v>62</v>
      </c>
    </row>
    <row r="597" customFormat="false" ht="15" hidden="false" customHeight="false" outlineLevel="0" collapsed="false">
      <c r="A597" s="25" t="n">
        <f aca="false">IF(G597="REJECT",COUNTIF($G$2:$G$2277,"&lt;&gt;REJECT")+1+COUNTIFS($G$2:$G$2277,"REJECT",$B$2:$B$2277,"&gt;"&amp;B597),1+COUNTIFS($G$2:$G$2277,"&lt;&gt;REJECT",$B$2:$B$2277,"&gt;"&amp;B597))</f>
        <v>596</v>
      </c>
      <c r="B597" s="26" t="n">
        <f aca="false">ROUND(($U$2*MAX(0,MIN(1,($W$2-I597)/($W$2-$V$2)))+$U$3*MAX(0,MIN(1,($W$3-J597)/($W$3-$V$3)))+$U$4*MAX(0,MIN(1,($W$4-K597)/($W$4-$V$4)))+$U$5*MAX(0,MIN(1,($W$5-L597)/($W$5-$V$5)))+$U$6*MAX(0,MIN(1,($W$6-M597)/($W$6-$V$6)))+$U$7*MAX(0,MIN(1,($W$7-N597)/($W$7-$V$7)))+$U$8*IF(AND(O597&gt;=$V$8,O597&lt;=$W$8),1,0))/$U$9*100,2)</f>
        <v>88.11</v>
      </c>
      <c r="C597" s="27" t="s">
        <v>2959</v>
      </c>
      <c r="D597" s="25" t="s">
        <v>134</v>
      </c>
      <c r="E597" s="25" t="s">
        <v>3450</v>
      </c>
      <c r="F597" s="25" t="s">
        <v>3457</v>
      </c>
      <c r="G597" s="33" t="s">
        <v>28</v>
      </c>
      <c r="H597" s="33" t="s">
        <v>24</v>
      </c>
      <c r="I597" s="25" t="n">
        <v>0</v>
      </c>
      <c r="J597" s="25" t="n">
        <v>0</v>
      </c>
      <c r="K597" s="25" t="n">
        <v>0</v>
      </c>
      <c r="L597" s="29" t="n">
        <v>0.66</v>
      </c>
      <c r="M597" s="30" t="n">
        <v>12.93</v>
      </c>
      <c r="N597" s="29" t="n">
        <v>0.8</v>
      </c>
      <c r="O597" s="25" t="n">
        <v>185</v>
      </c>
      <c r="P597" s="30" t="n">
        <v>14.66</v>
      </c>
      <c r="Q597" s="27"/>
      <c r="R597" s="27"/>
    </row>
    <row r="598" customFormat="false" ht="15" hidden="false" customHeight="false" outlineLevel="0" collapsed="false">
      <c r="A598" s="25" t="n">
        <f aca="false">IF(G598="REJECT",COUNTIF($G$2:$G$2277,"&lt;&gt;REJECT")+1+COUNTIFS($G$2:$G$2277,"REJECT",$B$2:$B$2277,"&gt;"&amp;B598),1+COUNTIFS($G$2:$G$2277,"&lt;&gt;REJECT",$B$2:$B$2277,"&gt;"&amp;B598))</f>
        <v>597</v>
      </c>
      <c r="B598" s="26" t="n">
        <f aca="false">ROUND(($U$2*MAX(0,MIN(1,($W$2-I598)/($W$2-$V$2)))+$U$3*MAX(0,MIN(1,($W$3-J598)/($W$3-$V$3)))+$U$4*MAX(0,MIN(1,($W$4-K598)/($W$4-$V$4)))+$U$5*MAX(0,MIN(1,($W$5-L598)/($W$5-$V$5)))+$U$6*MAX(0,MIN(1,($W$6-M598)/($W$6-$V$6)))+$U$7*MAX(0,MIN(1,($W$7-N598)/($W$7-$V$7)))+$U$8*IF(AND(O598&gt;=$V$8,O598&lt;=$W$8),1,0))/$U$9*100,2)</f>
        <v>88.09</v>
      </c>
      <c r="C598" s="27" t="s">
        <v>1487</v>
      </c>
      <c r="D598" s="25" t="s">
        <v>134</v>
      </c>
      <c r="E598" s="25" t="s">
        <v>3450</v>
      </c>
      <c r="F598" s="25" t="s">
        <v>3457</v>
      </c>
      <c r="G598" s="38" t="s">
        <v>30</v>
      </c>
      <c r="H598" s="28" t="s">
        <v>25</v>
      </c>
      <c r="I598" s="25" t="n">
        <v>1</v>
      </c>
      <c r="J598" s="25" t="n">
        <v>0</v>
      </c>
      <c r="K598" s="25" t="n">
        <v>0</v>
      </c>
      <c r="L598" s="29" t="n">
        <v>0.73</v>
      </c>
      <c r="M598" s="30" t="n">
        <v>16.41</v>
      </c>
      <c r="N598" s="29" t="n">
        <v>0.36</v>
      </c>
      <c r="O598" s="25" t="n">
        <v>187</v>
      </c>
      <c r="P598" s="30" t="n">
        <v>2.72</v>
      </c>
      <c r="Q598" s="27" t="s">
        <v>3489</v>
      </c>
      <c r="R598" s="27" t="s">
        <v>2328</v>
      </c>
    </row>
    <row r="599" customFormat="false" ht="15" hidden="false" customHeight="false" outlineLevel="0" collapsed="false">
      <c r="A599" s="25" t="n">
        <f aca="false">IF(G599="REJECT",COUNTIF($G$2:$G$2277,"&lt;&gt;REJECT")+1+COUNTIFS($G$2:$G$2277,"REJECT",$B$2:$B$2277,"&gt;"&amp;B599),1+COUNTIFS($G$2:$G$2277,"&lt;&gt;REJECT",$B$2:$B$2277,"&gt;"&amp;B599))</f>
        <v>597</v>
      </c>
      <c r="B599" s="26" t="n">
        <f aca="false">ROUND(($U$2*MAX(0,MIN(1,($W$2-I599)/($W$2-$V$2)))+$U$3*MAX(0,MIN(1,($W$3-J599)/($W$3-$V$3)))+$U$4*MAX(0,MIN(1,($W$4-K599)/($W$4-$V$4)))+$U$5*MAX(0,MIN(1,($W$5-L599)/($W$5-$V$5)))+$U$6*MAX(0,MIN(1,($W$6-M599)/($W$6-$V$6)))+$U$7*MAX(0,MIN(1,($W$7-N599)/($W$7-$V$7)))+$U$8*IF(AND(O599&gt;=$V$8,O599&lt;=$W$8),1,0))/$U$9*100,2)</f>
        <v>88.09</v>
      </c>
      <c r="C599" s="27" t="s">
        <v>2752</v>
      </c>
      <c r="D599" s="25" t="s">
        <v>134</v>
      </c>
      <c r="E599" s="25" t="s">
        <v>3450</v>
      </c>
      <c r="F599" s="25" t="s">
        <v>3448</v>
      </c>
      <c r="G599" s="33" t="s">
        <v>28</v>
      </c>
      <c r="H599" s="33" t="s">
        <v>24</v>
      </c>
      <c r="I599" s="25" t="n">
        <v>0</v>
      </c>
      <c r="J599" s="25" t="n">
        <v>0</v>
      </c>
      <c r="K599" s="25" t="n">
        <v>0</v>
      </c>
      <c r="L599" s="29" t="n">
        <v>0.68</v>
      </c>
      <c r="M599" s="30" t="n">
        <v>18.69</v>
      </c>
      <c r="N599" s="29" t="n">
        <v>0.96</v>
      </c>
      <c r="O599" s="25" t="n">
        <v>187</v>
      </c>
      <c r="P599" s="30" t="n">
        <v>10.97</v>
      </c>
      <c r="Q599" s="27"/>
      <c r="R599" s="27"/>
    </row>
    <row r="600" customFormat="false" ht="15" hidden="false" customHeight="false" outlineLevel="0" collapsed="false">
      <c r="A600" s="25" t="n">
        <f aca="false">IF(G600="REJECT",COUNTIF($G$2:$G$2277,"&lt;&gt;REJECT")+1+COUNTIFS($G$2:$G$2277,"REJECT",$B$2:$B$2277,"&gt;"&amp;B600),1+COUNTIFS($G$2:$G$2277,"&lt;&gt;REJECT",$B$2:$B$2277,"&gt;"&amp;B600))</f>
        <v>599</v>
      </c>
      <c r="B600" s="26" t="n">
        <f aca="false">ROUND(($U$2*MAX(0,MIN(1,($W$2-I600)/($W$2-$V$2)))+$U$3*MAX(0,MIN(1,($W$3-J600)/($W$3-$V$3)))+$U$4*MAX(0,MIN(1,($W$4-K600)/($W$4-$V$4)))+$U$5*MAX(0,MIN(1,($W$5-L600)/($W$5-$V$5)))+$U$6*MAX(0,MIN(1,($W$6-M600)/($W$6-$V$6)))+$U$7*MAX(0,MIN(1,($W$7-N600)/($W$7-$V$7)))+$U$8*IF(AND(O600&gt;=$V$8,O600&lt;=$W$8),1,0))/$U$9*100,2)</f>
        <v>88.08</v>
      </c>
      <c r="C600" s="27" t="s">
        <v>1627</v>
      </c>
      <c r="D600" s="25" t="s">
        <v>134</v>
      </c>
      <c r="E600" s="25" t="s">
        <v>3450</v>
      </c>
      <c r="F600" s="25" t="s">
        <v>3457</v>
      </c>
      <c r="G600" s="28" t="s">
        <v>29</v>
      </c>
      <c r="H600" s="28" t="s">
        <v>25</v>
      </c>
      <c r="I600" s="25" t="n">
        <v>0</v>
      </c>
      <c r="J600" s="25" t="n">
        <v>0</v>
      </c>
      <c r="K600" s="25" t="n">
        <v>0</v>
      </c>
      <c r="L600" s="29" t="n">
        <v>0.66</v>
      </c>
      <c r="M600" s="30" t="n">
        <v>13.54</v>
      </c>
      <c r="N600" s="29" t="n">
        <v>0.76</v>
      </c>
      <c r="O600" s="25" t="n">
        <v>185</v>
      </c>
      <c r="P600" s="30" t="n">
        <v>10.23</v>
      </c>
      <c r="Q600" s="27"/>
      <c r="R600" s="27" t="s">
        <v>64</v>
      </c>
    </row>
    <row r="601" customFormat="false" ht="15" hidden="false" customHeight="false" outlineLevel="0" collapsed="false">
      <c r="A601" s="25" t="n">
        <f aca="false">IF(G601="REJECT",COUNTIF($G$2:$G$2277,"&lt;&gt;REJECT")+1+COUNTIFS($G$2:$G$2277,"REJECT",$B$2:$B$2277,"&gt;"&amp;B601),1+COUNTIFS($G$2:$G$2277,"&lt;&gt;REJECT",$B$2:$B$2277,"&gt;"&amp;B601))</f>
        <v>600</v>
      </c>
      <c r="B601" s="26" t="n">
        <f aca="false">ROUND(($U$2*MAX(0,MIN(1,($W$2-I601)/($W$2-$V$2)))+$U$3*MAX(0,MIN(1,($W$3-J601)/($W$3-$V$3)))+$U$4*MAX(0,MIN(1,($W$4-K601)/($W$4-$V$4)))+$U$5*MAX(0,MIN(1,($W$5-L601)/($W$5-$V$5)))+$U$6*MAX(0,MIN(1,($W$6-M601)/($W$6-$V$6)))+$U$7*MAX(0,MIN(1,($W$7-N601)/($W$7-$V$7)))+$U$8*IF(AND(O601&gt;=$V$8,O601&lt;=$W$8),1,0))/$U$9*100,2)</f>
        <v>87.99</v>
      </c>
      <c r="C601" s="27" t="s">
        <v>1314</v>
      </c>
      <c r="D601" s="25" t="s">
        <v>134</v>
      </c>
      <c r="E601" s="25" t="s">
        <v>3450</v>
      </c>
      <c r="F601" s="25" t="s">
        <v>3457</v>
      </c>
      <c r="G601" s="33" t="s">
        <v>28</v>
      </c>
      <c r="H601" s="33" t="s">
        <v>24</v>
      </c>
      <c r="I601" s="25" t="n">
        <v>0</v>
      </c>
      <c r="J601" s="25" t="n">
        <v>0</v>
      </c>
      <c r="K601" s="25" t="n">
        <v>0</v>
      </c>
      <c r="L601" s="29" t="n">
        <v>0.63</v>
      </c>
      <c r="M601" s="30" t="n">
        <v>5.28</v>
      </c>
      <c r="N601" s="29" t="n">
        <v>0.56</v>
      </c>
      <c r="O601" s="25" t="n">
        <v>183</v>
      </c>
      <c r="P601" s="30" t="n">
        <v>7.97</v>
      </c>
      <c r="Q601" s="27"/>
      <c r="R601" s="27"/>
    </row>
    <row r="602" customFormat="false" ht="15" hidden="false" customHeight="false" outlineLevel="0" collapsed="false">
      <c r="A602" s="25" t="n">
        <f aca="false">IF(G602="REJECT",COUNTIF($G$2:$G$2277,"&lt;&gt;REJECT")+1+COUNTIFS($G$2:$G$2277,"REJECT",$B$2:$B$2277,"&gt;"&amp;B602),1+COUNTIFS($G$2:$G$2277,"&lt;&gt;REJECT",$B$2:$B$2277,"&gt;"&amp;B602))</f>
        <v>601</v>
      </c>
      <c r="B602" s="26" t="n">
        <f aca="false">ROUND(($U$2*MAX(0,MIN(1,($W$2-I602)/($W$2-$V$2)))+$U$3*MAX(0,MIN(1,($W$3-J602)/($W$3-$V$3)))+$U$4*MAX(0,MIN(1,($W$4-K602)/($W$4-$V$4)))+$U$5*MAX(0,MIN(1,($W$5-L602)/($W$5-$V$5)))+$U$6*MAX(0,MIN(1,($W$6-M602)/($W$6-$V$6)))+$U$7*MAX(0,MIN(1,($W$7-N602)/($W$7-$V$7)))+$U$8*IF(AND(O602&gt;=$V$8,O602&lt;=$W$8),1,0))/$U$9*100,2)</f>
        <v>87.97</v>
      </c>
      <c r="C602" s="27" t="s">
        <v>2391</v>
      </c>
      <c r="D602" s="25" t="s">
        <v>3459</v>
      </c>
      <c r="E602" s="25" t="s">
        <v>3450</v>
      </c>
      <c r="F602" s="25" t="s">
        <v>3457</v>
      </c>
      <c r="G602" s="38" t="s">
        <v>30</v>
      </c>
      <c r="H602" s="33" t="s">
        <v>24</v>
      </c>
      <c r="I602" s="25" t="n">
        <v>1</v>
      </c>
      <c r="J602" s="25" t="n">
        <v>0</v>
      </c>
      <c r="K602" s="25" t="n">
        <v>0</v>
      </c>
      <c r="L602" s="29" t="n">
        <v>0.73</v>
      </c>
      <c r="M602" s="30" t="n">
        <v>19.56</v>
      </c>
      <c r="N602" s="29" t="n">
        <v>0.12</v>
      </c>
      <c r="O602" s="25" t="n">
        <v>183</v>
      </c>
      <c r="P602" s="30" t="n">
        <v>10.85</v>
      </c>
      <c r="Q602" s="27" t="s">
        <v>3480</v>
      </c>
      <c r="R602" s="27" t="s">
        <v>30</v>
      </c>
    </row>
    <row r="603" customFormat="false" ht="15" hidden="false" customHeight="false" outlineLevel="0" collapsed="false">
      <c r="A603" s="25" t="n">
        <f aca="false">IF(G603="REJECT",COUNTIF($G$2:$G$2277,"&lt;&gt;REJECT")+1+COUNTIFS($G$2:$G$2277,"REJECT",$B$2:$B$2277,"&gt;"&amp;B603),1+COUNTIFS($G$2:$G$2277,"&lt;&gt;REJECT",$B$2:$B$2277,"&gt;"&amp;B603))</f>
        <v>602</v>
      </c>
      <c r="B603" s="26" t="n">
        <f aca="false">ROUND(($U$2*MAX(0,MIN(1,($W$2-I603)/($W$2-$V$2)))+$U$3*MAX(0,MIN(1,($W$3-J603)/($W$3-$V$3)))+$U$4*MAX(0,MIN(1,($W$4-K603)/($W$4-$V$4)))+$U$5*MAX(0,MIN(1,($W$5-L603)/($W$5-$V$5)))+$U$6*MAX(0,MIN(1,($W$6-M603)/($W$6-$V$6)))+$U$7*MAX(0,MIN(1,($W$7-N603)/($W$7-$V$7)))+$U$8*IF(AND(O603&gt;=$V$8,O603&lt;=$W$8),1,0))/$U$9*100,2)</f>
        <v>87.89</v>
      </c>
      <c r="C603" s="27" t="s">
        <v>3068</v>
      </c>
      <c r="D603" s="25" t="s">
        <v>3459</v>
      </c>
      <c r="E603" s="25" t="s">
        <v>3450</v>
      </c>
      <c r="F603" s="25" t="s">
        <v>3448</v>
      </c>
      <c r="G603" s="28" t="s">
        <v>29</v>
      </c>
      <c r="H603" s="28" t="s">
        <v>25</v>
      </c>
      <c r="I603" s="25" t="n">
        <v>0</v>
      </c>
      <c r="J603" s="25" t="n">
        <v>0</v>
      </c>
      <c r="K603" s="25" t="n">
        <v>0</v>
      </c>
      <c r="L603" s="29" t="n">
        <v>0.67</v>
      </c>
      <c r="M603" s="30" t="n">
        <v>21.48</v>
      </c>
      <c r="N603" s="29" t="n">
        <v>0.44</v>
      </c>
      <c r="O603" s="25" t="n">
        <v>185</v>
      </c>
      <c r="P603" s="30" t="n">
        <v>5.15</v>
      </c>
      <c r="Q603" s="27"/>
      <c r="R603" s="27" t="s">
        <v>61</v>
      </c>
    </row>
    <row r="604" customFormat="false" ht="15" hidden="false" customHeight="false" outlineLevel="0" collapsed="false">
      <c r="A604" s="25" t="n">
        <f aca="false">IF(G604="REJECT",COUNTIF($G$2:$G$2277,"&lt;&gt;REJECT")+1+COUNTIFS($G$2:$G$2277,"REJECT",$B$2:$B$2277,"&gt;"&amp;B604),1+COUNTIFS($G$2:$G$2277,"&lt;&gt;REJECT",$B$2:$B$2277,"&gt;"&amp;B604))</f>
        <v>603</v>
      </c>
      <c r="B604" s="26" t="n">
        <f aca="false">ROUND(($U$2*MAX(0,MIN(1,($W$2-I604)/($W$2-$V$2)))+$U$3*MAX(0,MIN(1,($W$3-J604)/($W$3-$V$3)))+$U$4*MAX(0,MIN(1,($W$4-K604)/($W$4-$V$4)))+$U$5*MAX(0,MIN(1,($W$5-L604)/($W$5-$V$5)))+$U$6*MAX(0,MIN(1,($W$6-M604)/($W$6-$V$6)))+$U$7*MAX(0,MIN(1,($W$7-N604)/($W$7-$V$7)))+$U$8*IF(AND(O604&gt;=$V$8,O604&lt;=$W$8),1,0))/$U$9*100,2)</f>
        <v>87.87</v>
      </c>
      <c r="C604" s="27" t="s">
        <v>2027</v>
      </c>
      <c r="D604" s="25" t="s">
        <v>134</v>
      </c>
      <c r="E604" s="25" t="s">
        <v>3447</v>
      </c>
      <c r="F604" s="25" t="s">
        <v>3457</v>
      </c>
      <c r="G604" s="38" t="s">
        <v>30</v>
      </c>
      <c r="H604" s="28" t="s">
        <v>25</v>
      </c>
      <c r="I604" s="25" t="n">
        <v>1</v>
      </c>
      <c r="J604" s="25" t="n">
        <v>0</v>
      </c>
      <c r="K604" s="25" t="n">
        <v>1</v>
      </c>
      <c r="L604" s="29" t="n">
        <v>0.77</v>
      </c>
      <c r="M604" s="30" t="n">
        <v>18.09</v>
      </c>
      <c r="N604" s="29" t="n">
        <v>0.64</v>
      </c>
      <c r="O604" s="25" t="n">
        <v>183</v>
      </c>
      <c r="P604" s="30" t="n">
        <v>-0.09</v>
      </c>
      <c r="Q604" s="27" t="s">
        <v>3475</v>
      </c>
      <c r="R604" s="27" t="s">
        <v>2133</v>
      </c>
    </row>
    <row r="605" customFormat="false" ht="15" hidden="false" customHeight="false" outlineLevel="0" collapsed="false">
      <c r="A605" s="25" t="n">
        <f aca="false">IF(G605="REJECT",COUNTIF($G$2:$G$2277,"&lt;&gt;REJECT")+1+COUNTIFS($G$2:$G$2277,"REJECT",$B$2:$B$2277,"&gt;"&amp;B605),1+COUNTIFS($G$2:$G$2277,"&lt;&gt;REJECT",$B$2:$B$2277,"&gt;"&amp;B605))</f>
        <v>603</v>
      </c>
      <c r="B605" s="26" t="n">
        <f aca="false">ROUND(($U$2*MAX(0,MIN(1,($W$2-I605)/($W$2-$V$2)))+$U$3*MAX(0,MIN(1,($W$3-J605)/($W$3-$V$3)))+$U$4*MAX(0,MIN(1,($W$4-K605)/($W$4-$V$4)))+$U$5*MAX(0,MIN(1,($W$5-L605)/($W$5-$V$5)))+$U$6*MAX(0,MIN(1,($W$6-M605)/($W$6-$V$6)))+$U$7*MAX(0,MIN(1,($W$7-N605)/($W$7-$V$7)))+$U$8*IF(AND(O605&gt;=$V$8,O605&lt;=$W$8),1,0))/$U$9*100,2)</f>
        <v>87.87</v>
      </c>
      <c r="C605" s="27" t="s">
        <v>2169</v>
      </c>
      <c r="D605" s="25" t="s">
        <v>134</v>
      </c>
      <c r="E605" s="25" t="s">
        <v>3447</v>
      </c>
      <c r="F605" s="25" t="s">
        <v>3448</v>
      </c>
      <c r="G605" s="38" t="s">
        <v>30</v>
      </c>
      <c r="H605" s="33" t="s">
        <v>24</v>
      </c>
      <c r="I605" s="25" t="n">
        <v>1</v>
      </c>
      <c r="J605" s="25" t="n">
        <v>0</v>
      </c>
      <c r="K605" s="25" t="n">
        <v>1</v>
      </c>
      <c r="L605" s="29" t="n">
        <v>0.75</v>
      </c>
      <c r="M605" s="30" t="n">
        <v>8.06</v>
      </c>
      <c r="N605" s="29" t="n">
        <v>0.92</v>
      </c>
      <c r="O605" s="25" t="n">
        <v>187</v>
      </c>
      <c r="P605" s="30" t="n">
        <v>12.37</v>
      </c>
      <c r="Q605" s="27" t="s">
        <v>3490</v>
      </c>
      <c r="R605" s="27" t="s">
        <v>30</v>
      </c>
    </row>
    <row r="606" customFormat="false" ht="15" hidden="false" customHeight="false" outlineLevel="0" collapsed="false">
      <c r="A606" s="25" t="n">
        <f aca="false">IF(G606="REJECT",COUNTIF($G$2:$G$2277,"&lt;&gt;REJECT")+1+COUNTIFS($G$2:$G$2277,"REJECT",$B$2:$B$2277,"&gt;"&amp;B606),1+COUNTIFS($G$2:$G$2277,"&lt;&gt;REJECT",$B$2:$B$2277,"&gt;"&amp;B606))</f>
        <v>605</v>
      </c>
      <c r="B606" s="26" t="n">
        <f aca="false">ROUND(($U$2*MAX(0,MIN(1,($W$2-I606)/($W$2-$V$2)))+$U$3*MAX(0,MIN(1,($W$3-J606)/($W$3-$V$3)))+$U$4*MAX(0,MIN(1,($W$4-K606)/($W$4-$V$4)))+$U$5*MAX(0,MIN(1,($W$5-L606)/($W$5-$V$5)))+$U$6*MAX(0,MIN(1,($W$6-M606)/($W$6-$V$6)))+$U$7*MAX(0,MIN(1,($W$7-N606)/($W$7-$V$7)))+$U$8*IF(AND(O606&gt;=$V$8,O606&lt;=$W$8),1,0))/$U$9*100,2)</f>
        <v>87.81</v>
      </c>
      <c r="C606" s="27" t="s">
        <v>1209</v>
      </c>
      <c r="D606" s="25" t="s">
        <v>134</v>
      </c>
      <c r="E606" s="25" t="s">
        <v>3450</v>
      </c>
      <c r="F606" s="25" t="s">
        <v>3448</v>
      </c>
      <c r="G606" s="33" t="s">
        <v>28</v>
      </c>
      <c r="H606" s="33" t="s">
        <v>24</v>
      </c>
      <c r="I606" s="25" t="n">
        <v>0</v>
      </c>
      <c r="J606" s="25" t="n">
        <v>0</v>
      </c>
      <c r="K606" s="25" t="n">
        <v>0</v>
      </c>
      <c r="L606" s="29" t="n">
        <v>0.65</v>
      </c>
      <c r="M606" s="30" t="n">
        <v>16.37</v>
      </c>
      <c r="N606" s="29" t="n">
        <v>0.28</v>
      </c>
      <c r="O606" s="25" t="n">
        <v>186</v>
      </c>
      <c r="P606" s="30" t="n">
        <v>14.42</v>
      </c>
      <c r="Q606" s="27"/>
      <c r="R606" s="27"/>
    </row>
    <row r="607" customFormat="false" ht="15" hidden="false" customHeight="false" outlineLevel="0" collapsed="false">
      <c r="A607" s="25" t="n">
        <f aca="false">IF(G607="REJECT",COUNTIF($G$2:$G$2277,"&lt;&gt;REJECT")+1+COUNTIFS($G$2:$G$2277,"REJECT",$B$2:$B$2277,"&gt;"&amp;B607),1+COUNTIFS($G$2:$G$2277,"&lt;&gt;REJECT",$B$2:$B$2277,"&gt;"&amp;B607))</f>
        <v>606</v>
      </c>
      <c r="B607" s="26" t="n">
        <f aca="false">ROUND(($U$2*MAX(0,MIN(1,($W$2-I607)/($W$2-$V$2)))+$U$3*MAX(0,MIN(1,($W$3-J607)/($W$3-$V$3)))+$U$4*MAX(0,MIN(1,($W$4-K607)/($W$4-$V$4)))+$U$5*MAX(0,MIN(1,($W$5-L607)/($W$5-$V$5)))+$U$6*MAX(0,MIN(1,($W$6-M607)/($W$6-$V$6)))+$U$7*MAX(0,MIN(1,($W$7-N607)/($W$7-$V$7)))+$U$8*IF(AND(O607&gt;=$V$8,O607&lt;=$W$8),1,0))/$U$9*100,2)</f>
        <v>87.8</v>
      </c>
      <c r="C607" s="27" t="s">
        <v>2429</v>
      </c>
      <c r="D607" s="25" t="s">
        <v>3459</v>
      </c>
      <c r="E607" s="25" t="s">
        <v>3450</v>
      </c>
      <c r="F607" s="25" t="s">
        <v>3448</v>
      </c>
      <c r="G607" s="38" t="s">
        <v>30</v>
      </c>
      <c r="H607" s="28" t="s">
        <v>25</v>
      </c>
      <c r="I607" s="25" t="n">
        <v>1</v>
      </c>
      <c r="J607" s="25" t="n">
        <v>0</v>
      </c>
      <c r="K607" s="25" t="n">
        <v>1</v>
      </c>
      <c r="L607" s="29" t="n">
        <v>0.78</v>
      </c>
      <c r="M607" s="30" t="n">
        <v>18.9</v>
      </c>
      <c r="N607" s="29" t="n">
        <v>0.96</v>
      </c>
      <c r="O607" s="25" t="n">
        <v>183</v>
      </c>
      <c r="P607" s="30" t="n">
        <v>1.95</v>
      </c>
      <c r="Q607" s="27" t="s">
        <v>3474</v>
      </c>
      <c r="R607" s="27" t="s">
        <v>470</v>
      </c>
    </row>
    <row r="608" customFormat="false" ht="15" hidden="false" customHeight="false" outlineLevel="0" collapsed="false">
      <c r="A608" s="25" t="n">
        <f aca="false">IF(G608="REJECT",COUNTIF($G$2:$G$2277,"&lt;&gt;REJECT")+1+COUNTIFS($G$2:$G$2277,"REJECT",$B$2:$B$2277,"&gt;"&amp;B608),1+COUNTIFS($G$2:$G$2277,"&lt;&gt;REJECT",$B$2:$B$2277,"&gt;"&amp;B608))</f>
        <v>607</v>
      </c>
      <c r="B608" s="26" t="n">
        <f aca="false">ROUND(($U$2*MAX(0,MIN(1,($W$2-I608)/($W$2-$V$2)))+$U$3*MAX(0,MIN(1,($W$3-J608)/($W$3-$V$3)))+$U$4*MAX(0,MIN(1,($W$4-K608)/($W$4-$V$4)))+$U$5*MAX(0,MIN(1,($W$5-L608)/($W$5-$V$5)))+$U$6*MAX(0,MIN(1,($W$6-M608)/($W$6-$V$6)))+$U$7*MAX(0,MIN(1,($W$7-N608)/($W$7-$V$7)))+$U$8*IF(AND(O608&gt;=$V$8,O608&lt;=$W$8),1,0))/$U$9*100,2)</f>
        <v>87.79</v>
      </c>
      <c r="C608" s="27" t="s">
        <v>329</v>
      </c>
      <c r="D608" s="25" t="s">
        <v>134</v>
      </c>
      <c r="E608" s="25" t="s">
        <v>3447</v>
      </c>
      <c r="F608" s="25" t="s">
        <v>3448</v>
      </c>
      <c r="G608" s="38" t="s">
        <v>30</v>
      </c>
      <c r="H608" s="33" t="s">
        <v>24</v>
      </c>
      <c r="I608" s="25" t="n">
        <v>1</v>
      </c>
      <c r="J608" s="25" t="n">
        <v>0</v>
      </c>
      <c r="K608" s="25" t="n">
        <v>1</v>
      </c>
      <c r="L608" s="29" t="n">
        <v>0.74</v>
      </c>
      <c r="M608" s="30" t="n">
        <v>10.19</v>
      </c>
      <c r="N608" s="29" t="n">
        <v>0.4</v>
      </c>
      <c r="O608" s="25" t="n">
        <v>184</v>
      </c>
      <c r="P608" s="30" t="n">
        <v>5.19</v>
      </c>
      <c r="Q608" s="27" t="s">
        <v>3478</v>
      </c>
      <c r="R608" s="27" t="s">
        <v>30</v>
      </c>
    </row>
    <row r="609" customFormat="false" ht="15" hidden="false" customHeight="false" outlineLevel="0" collapsed="false">
      <c r="A609" s="25" t="n">
        <f aca="false">IF(G609="REJECT",COUNTIF($G$2:$G$2277,"&lt;&gt;REJECT")+1+COUNTIFS($G$2:$G$2277,"REJECT",$B$2:$B$2277,"&gt;"&amp;B609),1+COUNTIFS($G$2:$G$2277,"&lt;&gt;REJECT",$B$2:$B$2277,"&gt;"&amp;B609))</f>
        <v>607</v>
      </c>
      <c r="B609" s="26" t="n">
        <f aca="false">ROUND(($U$2*MAX(0,MIN(1,($W$2-I609)/($W$2-$V$2)))+$U$3*MAX(0,MIN(1,($W$3-J609)/($W$3-$V$3)))+$U$4*MAX(0,MIN(1,($W$4-K609)/($W$4-$V$4)))+$U$5*MAX(0,MIN(1,($W$5-L609)/($W$5-$V$5)))+$U$6*MAX(0,MIN(1,($W$6-M609)/($W$6-$V$6)))+$U$7*MAX(0,MIN(1,($W$7-N609)/($W$7-$V$7)))+$U$8*IF(AND(O609&gt;=$V$8,O609&lt;=$W$8),1,0))/$U$9*100,2)</f>
        <v>87.79</v>
      </c>
      <c r="C609" s="27" t="s">
        <v>2509</v>
      </c>
      <c r="D609" s="25" t="s">
        <v>134</v>
      </c>
      <c r="E609" s="25" t="s">
        <v>3447</v>
      </c>
      <c r="F609" s="25" t="s">
        <v>3457</v>
      </c>
      <c r="G609" s="38" t="s">
        <v>30</v>
      </c>
      <c r="H609" s="28" t="s">
        <v>25</v>
      </c>
      <c r="I609" s="25" t="n">
        <v>1</v>
      </c>
      <c r="J609" s="25" t="n">
        <v>0</v>
      </c>
      <c r="K609" s="25" t="n">
        <v>1</v>
      </c>
      <c r="L609" s="29" t="n">
        <v>0.76</v>
      </c>
      <c r="M609" s="30" t="n">
        <v>15.79</v>
      </c>
      <c r="N609" s="29" t="n">
        <v>0.56</v>
      </c>
      <c r="O609" s="25" t="n">
        <v>188</v>
      </c>
      <c r="P609" s="30" t="n">
        <v>0.04</v>
      </c>
      <c r="Q609" s="27" t="s">
        <v>3486</v>
      </c>
      <c r="R609" s="27" t="s">
        <v>2610</v>
      </c>
    </row>
    <row r="610" customFormat="false" ht="15" hidden="false" customHeight="false" outlineLevel="0" collapsed="false">
      <c r="A610" s="25" t="n">
        <f aca="false">IF(G610="REJECT",COUNTIF($G$2:$G$2277,"&lt;&gt;REJECT")+1+COUNTIFS($G$2:$G$2277,"REJECT",$B$2:$B$2277,"&gt;"&amp;B610),1+COUNTIFS($G$2:$G$2277,"&lt;&gt;REJECT",$B$2:$B$2277,"&gt;"&amp;B610))</f>
        <v>609</v>
      </c>
      <c r="B610" s="26" t="n">
        <f aca="false">ROUND(($U$2*MAX(0,MIN(1,($W$2-I610)/($W$2-$V$2)))+$U$3*MAX(0,MIN(1,($W$3-J610)/($W$3-$V$3)))+$U$4*MAX(0,MIN(1,($W$4-K610)/($W$4-$V$4)))+$U$5*MAX(0,MIN(1,($W$5-L610)/($W$5-$V$5)))+$U$6*MAX(0,MIN(1,($W$6-M610)/($W$6-$V$6)))+$U$7*MAX(0,MIN(1,($W$7-N610)/($W$7-$V$7)))+$U$8*IF(AND(O610&gt;=$V$8,O610&lt;=$W$8),1,0))/$U$9*100,2)</f>
        <v>87.78</v>
      </c>
      <c r="C610" s="27" t="s">
        <v>983</v>
      </c>
      <c r="D610" s="25" t="s">
        <v>134</v>
      </c>
      <c r="E610" s="25" t="s">
        <v>3447</v>
      </c>
      <c r="F610" s="25" t="s">
        <v>3457</v>
      </c>
      <c r="G610" s="38" t="s">
        <v>30</v>
      </c>
      <c r="H610" s="33" t="s">
        <v>24</v>
      </c>
      <c r="I610" s="25" t="n">
        <v>1</v>
      </c>
      <c r="J610" s="25" t="n">
        <v>0</v>
      </c>
      <c r="K610" s="25" t="n">
        <v>1</v>
      </c>
      <c r="L610" s="29" t="n">
        <v>0.76</v>
      </c>
      <c r="M610" s="30" t="n">
        <v>13.45</v>
      </c>
      <c r="N610" s="29" t="n">
        <v>0.8</v>
      </c>
      <c r="O610" s="25" t="n">
        <v>184</v>
      </c>
      <c r="P610" s="30" t="n">
        <v>2.69</v>
      </c>
      <c r="Q610" s="27" t="s">
        <v>3478</v>
      </c>
      <c r="R610" s="27" t="s">
        <v>30</v>
      </c>
    </row>
    <row r="611" customFormat="false" ht="15" hidden="false" customHeight="false" outlineLevel="0" collapsed="false">
      <c r="A611" s="25" t="n">
        <f aca="false">IF(G611="REJECT",COUNTIF($G$2:$G$2277,"&lt;&gt;REJECT")+1+COUNTIFS($G$2:$G$2277,"REJECT",$B$2:$B$2277,"&gt;"&amp;B611),1+COUNTIFS($G$2:$G$2277,"&lt;&gt;REJECT",$B$2:$B$2277,"&gt;"&amp;B611))</f>
        <v>609</v>
      </c>
      <c r="B611" s="26" t="n">
        <f aca="false">ROUND(($U$2*MAX(0,MIN(1,($W$2-I611)/($W$2-$V$2)))+$U$3*MAX(0,MIN(1,($W$3-J611)/($W$3-$V$3)))+$U$4*MAX(0,MIN(1,($W$4-K611)/($W$4-$V$4)))+$U$5*MAX(0,MIN(1,($W$5-L611)/($W$5-$V$5)))+$U$6*MAX(0,MIN(1,($W$6-M611)/($W$6-$V$6)))+$U$7*MAX(0,MIN(1,($W$7-N611)/($W$7-$V$7)))+$U$8*IF(AND(O611&gt;=$V$8,O611&lt;=$W$8),1,0))/$U$9*100,2)</f>
        <v>87.78</v>
      </c>
      <c r="C611" s="27" t="s">
        <v>1385</v>
      </c>
      <c r="D611" s="25" t="s">
        <v>134</v>
      </c>
      <c r="E611" s="25" t="s">
        <v>3450</v>
      </c>
      <c r="F611" s="25" t="s">
        <v>3448</v>
      </c>
      <c r="G611" s="28" t="s">
        <v>29</v>
      </c>
      <c r="H611" s="28" t="s">
        <v>25</v>
      </c>
      <c r="I611" s="25" t="n">
        <v>0</v>
      </c>
      <c r="J611" s="25" t="n">
        <v>0</v>
      </c>
      <c r="K611" s="25" t="n">
        <v>0</v>
      </c>
      <c r="L611" s="29" t="n">
        <v>0.68</v>
      </c>
      <c r="M611" s="30" t="n">
        <v>22.9</v>
      </c>
      <c r="N611" s="29" t="n">
        <v>0.72</v>
      </c>
      <c r="O611" s="25" t="n">
        <v>185</v>
      </c>
      <c r="P611" s="30" t="n">
        <v>3.98</v>
      </c>
      <c r="Q611" s="27"/>
      <c r="R611" s="27" t="s">
        <v>3470</v>
      </c>
    </row>
    <row r="612" customFormat="false" ht="15" hidden="false" customHeight="false" outlineLevel="0" collapsed="false">
      <c r="A612" s="25" t="n">
        <f aca="false">IF(G612="REJECT",COUNTIF($G$2:$G$2277,"&lt;&gt;REJECT")+1+COUNTIFS($G$2:$G$2277,"REJECT",$B$2:$B$2277,"&gt;"&amp;B612),1+COUNTIFS($G$2:$G$2277,"&lt;&gt;REJECT",$B$2:$B$2277,"&gt;"&amp;B612))</f>
        <v>609</v>
      </c>
      <c r="B612" s="26" t="n">
        <f aca="false">ROUND(($U$2*MAX(0,MIN(1,($W$2-I612)/($W$2-$V$2)))+$U$3*MAX(0,MIN(1,($W$3-J612)/($W$3-$V$3)))+$U$4*MAX(0,MIN(1,($W$4-K612)/($W$4-$V$4)))+$U$5*MAX(0,MIN(1,($W$5-L612)/($W$5-$V$5)))+$U$6*MAX(0,MIN(1,($W$6-M612)/($W$6-$V$6)))+$U$7*MAX(0,MIN(1,($W$7-N612)/($W$7-$V$7)))+$U$8*IF(AND(O612&gt;=$V$8,O612&lt;=$W$8),1,0))/$U$9*100,2)</f>
        <v>87.78</v>
      </c>
      <c r="C612" s="27" t="s">
        <v>3188</v>
      </c>
      <c r="D612" s="25" t="s">
        <v>134</v>
      </c>
      <c r="E612" s="25" t="s">
        <v>3450</v>
      </c>
      <c r="F612" s="25" t="s">
        <v>3448</v>
      </c>
      <c r="G612" s="38" t="s">
        <v>30</v>
      </c>
      <c r="H612" s="33" t="s">
        <v>24</v>
      </c>
      <c r="I612" s="25" t="n">
        <v>1</v>
      </c>
      <c r="J612" s="25" t="n">
        <v>0</v>
      </c>
      <c r="K612" s="25" t="n">
        <v>1</v>
      </c>
      <c r="L612" s="29" t="n">
        <v>0.74</v>
      </c>
      <c r="M612" s="30" t="n">
        <v>8.65</v>
      </c>
      <c r="N612" s="29" t="n">
        <v>0.56</v>
      </c>
      <c r="O612" s="25" t="n">
        <v>184</v>
      </c>
      <c r="P612" s="30" t="n">
        <v>3.39</v>
      </c>
      <c r="Q612" s="27" t="s">
        <v>3476</v>
      </c>
      <c r="R612" s="27" t="s">
        <v>30</v>
      </c>
    </row>
    <row r="613" customFormat="false" ht="15" hidden="false" customHeight="false" outlineLevel="0" collapsed="false">
      <c r="A613" s="25" t="n">
        <f aca="false">IF(G613="REJECT",COUNTIF($G$2:$G$2277,"&lt;&gt;REJECT")+1+COUNTIFS($G$2:$G$2277,"REJECT",$B$2:$B$2277,"&gt;"&amp;B613),1+COUNTIFS($G$2:$G$2277,"&lt;&gt;REJECT",$B$2:$B$2277,"&gt;"&amp;B613))</f>
        <v>612</v>
      </c>
      <c r="B613" s="26" t="n">
        <f aca="false">ROUND(($U$2*MAX(0,MIN(1,($W$2-I613)/($W$2-$V$2)))+$U$3*MAX(0,MIN(1,($W$3-J613)/($W$3-$V$3)))+$U$4*MAX(0,MIN(1,($W$4-K613)/($W$4-$V$4)))+$U$5*MAX(0,MIN(1,($W$5-L613)/($W$5-$V$5)))+$U$6*MAX(0,MIN(1,($W$6-M613)/($W$6-$V$6)))+$U$7*MAX(0,MIN(1,($W$7-N613)/($W$7-$V$7)))+$U$8*IF(AND(O613&gt;=$V$8,O613&lt;=$W$8),1,0))/$U$9*100,2)</f>
        <v>87.75</v>
      </c>
      <c r="C613" s="27" t="s">
        <v>2897</v>
      </c>
      <c r="D613" s="25" t="s">
        <v>134</v>
      </c>
      <c r="E613" s="25" t="s">
        <v>3450</v>
      </c>
      <c r="F613" s="25" t="s">
        <v>3457</v>
      </c>
      <c r="G613" s="28" t="s">
        <v>29</v>
      </c>
      <c r="H613" s="28" t="s">
        <v>25</v>
      </c>
      <c r="I613" s="25" t="n">
        <v>0</v>
      </c>
      <c r="J613" s="25" t="n">
        <v>0</v>
      </c>
      <c r="K613" s="25" t="n">
        <v>0</v>
      </c>
      <c r="L613" s="29" t="n">
        <v>0.63</v>
      </c>
      <c r="M613" s="30" t="n">
        <v>9.12</v>
      </c>
      <c r="N613" s="29" t="n">
        <v>0.32</v>
      </c>
      <c r="O613" s="25" t="n">
        <v>200</v>
      </c>
      <c r="P613" s="30" t="n">
        <v>1.68</v>
      </c>
      <c r="Q613" s="27"/>
      <c r="R613" s="27" t="s">
        <v>62</v>
      </c>
    </row>
    <row r="614" customFormat="false" ht="15" hidden="false" customHeight="false" outlineLevel="0" collapsed="false">
      <c r="A614" s="25" t="n">
        <f aca="false">IF(G614="REJECT",COUNTIF($G$2:$G$2277,"&lt;&gt;REJECT")+1+COUNTIFS($G$2:$G$2277,"REJECT",$B$2:$B$2277,"&gt;"&amp;B614),1+COUNTIFS($G$2:$G$2277,"&lt;&gt;REJECT",$B$2:$B$2277,"&gt;"&amp;B614))</f>
        <v>613</v>
      </c>
      <c r="B614" s="26" t="n">
        <f aca="false">ROUND(($U$2*MAX(0,MIN(1,($W$2-I614)/($W$2-$V$2)))+$U$3*MAX(0,MIN(1,($W$3-J614)/($W$3-$V$3)))+$U$4*MAX(0,MIN(1,($W$4-K614)/($W$4-$V$4)))+$U$5*MAX(0,MIN(1,($W$5-L614)/($W$5-$V$5)))+$U$6*MAX(0,MIN(1,($W$6-M614)/($W$6-$V$6)))+$U$7*MAX(0,MIN(1,($W$7-N614)/($W$7-$V$7)))+$U$8*IF(AND(O614&gt;=$V$8,O614&lt;=$W$8),1,0))/$U$9*100,2)</f>
        <v>87.71</v>
      </c>
      <c r="C614" s="27" t="s">
        <v>2280</v>
      </c>
      <c r="D614" s="25" t="s">
        <v>134</v>
      </c>
      <c r="E614" s="25" t="s">
        <v>3450</v>
      </c>
      <c r="F614" s="25" t="s">
        <v>3448</v>
      </c>
      <c r="G614" s="33" t="s">
        <v>28</v>
      </c>
      <c r="H614" s="33" t="s">
        <v>24</v>
      </c>
      <c r="I614" s="25" t="n">
        <v>0</v>
      </c>
      <c r="J614" s="25" t="n">
        <v>0</v>
      </c>
      <c r="K614" s="25" t="n">
        <v>0</v>
      </c>
      <c r="L614" s="29" t="n">
        <v>0.66</v>
      </c>
      <c r="M614" s="30" t="n">
        <v>16.15</v>
      </c>
      <c r="N614" s="29" t="n">
        <v>0.72</v>
      </c>
      <c r="O614" s="25" t="n">
        <v>183</v>
      </c>
      <c r="P614" s="30" t="n">
        <v>17.2</v>
      </c>
      <c r="Q614" s="27"/>
      <c r="R614" s="27"/>
    </row>
    <row r="615" customFormat="false" ht="15" hidden="false" customHeight="false" outlineLevel="0" collapsed="false">
      <c r="A615" s="25" t="n">
        <f aca="false">IF(G615="REJECT",COUNTIF($G$2:$G$2277,"&lt;&gt;REJECT")+1+COUNTIFS($G$2:$G$2277,"REJECT",$B$2:$B$2277,"&gt;"&amp;B615),1+COUNTIFS($G$2:$G$2277,"&lt;&gt;REJECT",$B$2:$B$2277,"&gt;"&amp;B615))</f>
        <v>614</v>
      </c>
      <c r="B615" s="26" t="n">
        <f aca="false">ROUND(($U$2*MAX(0,MIN(1,($W$2-I615)/($W$2-$V$2)))+$U$3*MAX(0,MIN(1,($W$3-J615)/($W$3-$V$3)))+$U$4*MAX(0,MIN(1,($W$4-K615)/($W$4-$V$4)))+$U$5*MAX(0,MIN(1,($W$5-L615)/($W$5-$V$5)))+$U$6*MAX(0,MIN(1,($W$6-M615)/($W$6-$V$6)))+$U$7*MAX(0,MIN(1,($W$7-N615)/($W$7-$V$7)))+$U$8*IF(AND(O615&gt;=$V$8,O615&lt;=$W$8),1,0))/$U$9*100,2)</f>
        <v>87.69</v>
      </c>
      <c r="C615" s="27" t="s">
        <v>1726</v>
      </c>
      <c r="D615" s="25" t="s">
        <v>134</v>
      </c>
      <c r="E615" s="25" t="s">
        <v>3450</v>
      </c>
      <c r="F615" s="25" t="s">
        <v>3457</v>
      </c>
      <c r="G615" s="33" t="s">
        <v>28</v>
      </c>
      <c r="H615" s="33" t="s">
        <v>24</v>
      </c>
      <c r="I615" s="25" t="n">
        <v>0</v>
      </c>
      <c r="J615" s="25" t="n">
        <v>0</v>
      </c>
      <c r="K615" s="25" t="n">
        <v>0</v>
      </c>
      <c r="L615" s="29" t="n">
        <v>0.65</v>
      </c>
      <c r="M615" s="30" t="n">
        <v>16.64</v>
      </c>
      <c r="N615" s="29" t="n">
        <v>0.32</v>
      </c>
      <c r="O615" s="25" t="n">
        <v>184</v>
      </c>
      <c r="P615" s="30" t="n">
        <v>6.25</v>
      </c>
      <c r="Q615" s="27"/>
      <c r="R615" s="27"/>
    </row>
    <row r="616" customFormat="false" ht="15" hidden="false" customHeight="false" outlineLevel="0" collapsed="false">
      <c r="A616" s="25" t="n">
        <f aca="false">IF(G616="REJECT",COUNTIF($G$2:$G$2277,"&lt;&gt;REJECT")+1+COUNTIFS($G$2:$G$2277,"REJECT",$B$2:$B$2277,"&gt;"&amp;B616),1+COUNTIFS($G$2:$G$2277,"&lt;&gt;REJECT",$B$2:$B$2277,"&gt;"&amp;B616))</f>
        <v>615</v>
      </c>
      <c r="B616" s="26" t="n">
        <f aca="false">ROUND(($U$2*MAX(0,MIN(1,($W$2-I616)/($W$2-$V$2)))+$U$3*MAX(0,MIN(1,($W$3-J616)/($W$3-$V$3)))+$U$4*MAX(0,MIN(1,($W$4-K616)/($W$4-$V$4)))+$U$5*MAX(0,MIN(1,($W$5-L616)/($W$5-$V$5)))+$U$6*MAX(0,MIN(1,($W$6-M616)/($W$6-$V$6)))+$U$7*MAX(0,MIN(1,($W$7-N616)/($W$7-$V$7)))+$U$8*IF(AND(O616&gt;=$V$8,O616&lt;=$W$8),1,0))/$U$9*100,2)</f>
        <v>87.67</v>
      </c>
      <c r="C616" s="27" t="s">
        <v>1589</v>
      </c>
      <c r="D616" s="25" t="s">
        <v>3459</v>
      </c>
      <c r="E616" s="25" t="s">
        <v>3447</v>
      </c>
      <c r="F616" s="25" t="s">
        <v>3448</v>
      </c>
      <c r="G616" s="28" t="s">
        <v>29</v>
      </c>
      <c r="H616" s="28" t="s">
        <v>25</v>
      </c>
      <c r="I616" s="25" t="n">
        <v>0</v>
      </c>
      <c r="J616" s="25" t="n">
        <v>0</v>
      </c>
      <c r="K616" s="25" t="n">
        <v>0</v>
      </c>
      <c r="L616" s="29" t="n">
        <v>0.67</v>
      </c>
      <c r="M616" s="30" t="n">
        <v>24.4</v>
      </c>
      <c r="N616" s="29" t="n">
        <v>0.28</v>
      </c>
      <c r="O616" s="25" t="n">
        <v>183</v>
      </c>
      <c r="P616" s="30" t="n">
        <v>2.43</v>
      </c>
      <c r="Q616" s="27"/>
      <c r="R616" s="27" t="s">
        <v>61</v>
      </c>
    </row>
    <row r="617" customFormat="false" ht="15" hidden="false" customHeight="false" outlineLevel="0" collapsed="false">
      <c r="A617" s="25" t="n">
        <f aca="false">IF(G617="REJECT",COUNTIF($G$2:$G$2277,"&lt;&gt;REJECT")+1+COUNTIFS($G$2:$G$2277,"REJECT",$B$2:$B$2277,"&gt;"&amp;B617),1+COUNTIFS($G$2:$G$2277,"&lt;&gt;REJECT",$B$2:$B$2277,"&gt;"&amp;B617))</f>
        <v>616</v>
      </c>
      <c r="B617" s="26" t="n">
        <f aca="false">ROUND(($U$2*MAX(0,MIN(1,($W$2-I617)/($W$2-$V$2)))+$U$3*MAX(0,MIN(1,($W$3-J617)/($W$3-$V$3)))+$U$4*MAX(0,MIN(1,($W$4-K617)/($W$4-$V$4)))+$U$5*MAX(0,MIN(1,($W$5-L617)/($W$5-$V$5)))+$U$6*MAX(0,MIN(1,($W$6-M617)/($W$6-$V$6)))+$U$7*MAX(0,MIN(1,($W$7-N617)/($W$7-$V$7)))+$U$8*IF(AND(O617&gt;=$V$8,O617&lt;=$W$8),1,0))/$U$9*100,2)</f>
        <v>87.65</v>
      </c>
      <c r="C617" s="27" t="s">
        <v>2236</v>
      </c>
      <c r="D617" s="25" t="s">
        <v>134</v>
      </c>
      <c r="E617" s="25" t="s">
        <v>3450</v>
      </c>
      <c r="F617" s="25" t="s">
        <v>3448</v>
      </c>
      <c r="G617" s="28" t="s">
        <v>29</v>
      </c>
      <c r="H617" s="28" t="s">
        <v>25</v>
      </c>
      <c r="I617" s="25" t="n">
        <v>0</v>
      </c>
      <c r="J617" s="25" t="n">
        <v>0</v>
      </c>
      <c r="K617" s="25" t="n">
        <v>0</v>
      </c>
      <c r="L617" s="29" t="n">
        <v>0.66</v>
      </c>
      <c r="M617" s="30" t="n">
        <v>18.09</v>
      </c>
      <c r="N617" s="29" t="n">
        <v>0.56</v>
      </c>
      <c r="O617" s="25" t="n">
        <v>185</v>
      </c>
      <c r="P617" s="30" t="n">
        <v>17.09</v>
      </c>
      <c r="Q617" s="27"/>
      <c r="R617" s="27" t="s">
        <v>63</v>
      </c>
    </row>
    <row r="618" customFormat="false" ht="15" hidden="false" customHeight="false" outlineLevel="0" collapsed="false">
      <c r="A618" s="25" t="n">
        <f aca="false">IF(G618="REJECT",COUNTIF($G$2:$G$2277,"&lt;&gt;REJECT")+1+COUNTIFS($G$2:$G$2277,"REJECT",$B$2:$B$2277,"&gt;"&amp;B618),1+COUNTIFS($G$2:$G$2277,"&lt;&gt;REJECT",$B$2:$B$2277,"&gt;"&amp;B618))</f>
        <v>617</v>
      </c>
      <c r="B618" s="26" t="n">
        <f aca="false">ROUND(($U$2*MAX(0,MIN(1,($W$2-I618)/($W$2-$V$2)))+$U$3*MAX(0,MIN(1,($W$3-J618)/($W$3-$V$3)))+$U$4*MAX(0,MIN(1,($W$4-K618)/($W$4-$V$4)))+$U$5*MAX(0,MIN(1,($W$5-L618)/($W$5-$V$5)))+$U$6*MAX(0,MIN(1,($W$6-M618)/($W$6-$V$6)))+$U$7*MAX(0,MIN(1,($W$7-N618)/($W$7-$V$7)))+$U$8*IF(AND(O618&gt;=$V$8,O618&lt;=$W$8),1,0))/$U$9*100,2)</f>
        <v>87.62</v>
      </c>
      <c r="C618" s="27" t="s">
        <v>797</v>
      </c>
      <c r="D618" s="25" t="s">
        <v>134</v>
      </c>
      <c r="E618" s="25" t="s">
        <v>3447</v>
      </c>
      <c r="F618" s="25" t="s">
        <v>3457</v>
      </c>
      <c r="G618" s="38" t="s">
        <v>30</v>
      </c>
      <c r="H618" s="33" t="s">
        <v>24</v>
      </c>
      <c r="I618" s="25" t="n">
        <v>1</v>
      </c>
      <c r="J618" s="25" t="n">
        <v>0</v>
      </c>
      <c r="K618" s="25" t="n">
        <v>1</v>
      </c>
      <c r="L618" s="29" t="n">
        <v>0.73</v>
      </c>
      <c r="M618" s="30" t="n">
        <v>5.99</v>
      </c>
      <c r="N618" s="29" t="n">
        <v>0.56</v>
      </c>
      <c r="O618" s="25" t="n">
        <v>184</v>
      </c>
      <c r="P618" s="30" t="n">
        <v>5.49</v>
      </c>
      <c r="Q618" s="27" t="s">
        <v>3476</v>
      </c>
      <c r="R618" s="27" t="s">
        <v>30</v>
      </c>
    </row>
    <row r="619" customFormat="false" ht="15" hidden="false" customHeight="false" outlineLevel="0" collapsed="false">
      <c r="A619" s="25" t="n">
        <f aca="false">IF(G619="REJECT",COUNTIF($G$2:$G$2277,"&lt;&gt;REJECT")+1+COUNTIFS($G$2:$G$2277,"REJECT",$B$2:$B$2277,"&gt;"&amp;B619),1+COUNTIFS($G$2:$G$2277,"&lt;&gt;REJECT",$B$2:$B$2277,"&gt;"&amp;B619))</f>
        <v>617</v>
      </c>
      <c r="B619" s="26" t="n">
        <f aca="false">ROUND(($U$2*MAX(0,MIN(1,($W$2-I619)/($W$2-$V$2)))+$U$3*MAX(0,MIN(1,($W$3-J619)/($W$3-$V$3)))+$U$4*MAX(0,MIN(1,($W$4-K619)/($W$4-$V$4)))+$U$5*MAX(0,MIN(1,($W$5-L619)/($W$5-$V$5)))+$U$6*MAX(0,MIN(1,($W$6-M619)/($W$6-$V$6)))+$U$7*MAX(0,MIN(1,($W$7-N619)/($W$7-$V$7)))+$U$8*IF(AND(O619&gt;=$V$8,O619&lt;=$W$8),1,0))/$U$9*100,2)</f>
        <v>87.62</v>
      </c>
      <c r="C619" s="27" t="s">
        <v>1043</v>
      </c>
      <c r="D619" s="25" t="s">
        <v>134</v>
      </c>
      <c r="E619" s="25" t="s">
        <v>3447</v>
      </c>
      <c r="F619" s="25" t="s">
        <v>3457</v>
      </c>
      <c r="G619" s="38" t="s">
        <v>30</v>
      </c>
      <c r="H619" s="28" t="s">
        <v>25</v>
      </c>
      <c r="I619" s="25" t="n">
        <v>1</v>
      </c>
      <c r="J619" s="25" t="n">
        <v>0</v>
      </c>
      <c r="K619" s="25" t="n">
        <v>1</v>
      </c>
      <c r="L619" s="29" t="n">
        <v>0.77</v>
      </c>
      <c r="M619" s="30" t="n">
        <v>21.2</v>
      </c>
      <c r="N619" s="29" t="n">
        <v>0.48</v>
      </c>
      <c r="O619" s="25" t="n">
        <v>183</v>
      </c>
      <c r="P619" s="30" t="n">
        <v>-0.46</v>
      </c>
      <c r="Q619" s="27" t="s">
        <v>3478</v>
      </c>
      <c r="R619" s="27" t="s">
        <v>992</v>
      </c>
    </row>
    <row r="620" customFormat="false" ht="15" hidden="false" customHeight="false" outlineLevel="0" collapsed="false">
      <c r="A620" s="25" t="n">
        <f aca="false">IF(G620="REJECT",COUNTIF($G$2:$G$2277,"&lt;&gt;REJECT")+1+COUNTIFS($G$2:$G$2277,"REJECT",$B$2:$B$2277,"&gt;"&amp;B620),1+COUNTIFS($G$2:$G$2277,"&lt;&gt;REJECT",$B$2:$B$2277,"&gt;"&amp;B620))</f>
        <v>619</v>
      </c>
      <c r="B620" s="26" t="n">
        <f aca="false">ROUND(($U$2*MAX(0,MIN(1,($W$2-I620)/($W$2-$V$2)))+$U$3*MAX(0,MIN(1,($W$3-J620)/($W$3-$V$3)))+$U$4*MAX(0,MIN(1,($W$4-K620)/($W$4-$V$4)))+$U$5*MAX(0,MIN(1,($W$5-L620)/($W$5-$V$5)))+$U$6*MAX(0,MIN(1,($W$6-M620)/($W$6-$V$6)))+$U$7*MAX(0,MIN(1,($W$7-N620)/($W$7-$V$7)))+$U$8*IF(AND(O620&gt;=$V$8,O620&lt;=$W$8),1,0))/$U$9*100,2)</f>
        <v>87.54</v>
      </c>
      <c r="C620" s="27" t="s">
        <v>1406</v>
      </c>
      <c r="D620" s="25" t="s">
        <v>134</v>
      </c>
      <c r="E620" s="25" t="s">
        <v>3447</v>
      </c>
      <c r="F620" s="25" t="s">
        <v>3457</v>
      </c>
      <c r="G620" s="28" t="s">
        <v>29</v>
      </c>
      <c r="H620" s="28" t="s">
        <v>25</v>
      </c>
      <c r="I620" s="25" t="n">
        <v>0</v>
      </c>
      <c r="J620" s="25" t="n">
        <v>0</v>
      </c>
      <c r="K620" s="25" t="n">
        <v>0</v>
      </c>
      <c r="L620" s="29" t="n">
        <v>0.63</v>
      </c>
      <c r="M620" s="30" t="n">
        <v>9.97</v>
      </c>
      <c r="N620" s="29" t="n">
        <v>0.36</v>
      </c>
      <c r="O620" s="25" t="n">
        <v>182</v>
      </c>
      <c r="P620" s="30" t="n">
        <v>-1.31</v>
      </c>
      <c r="Q620" s="27"/>
      <c r="R620" s="27" t="s">
        <v>64</v>
      </c>
    </row>
    <row r="621" customFormat="false" ht="15" hidden="false" customHeight="false" outlineLevel="0" collapsed="false">
      <c r="A621" s="25" t="n">
        <f aca="false">IF(G621="REJECT",COUNTIF($G$2:$G$2277,"&lt;&gt;REJECT")+1+COUNTIFS($G$2:$G$2277,"REJECT",$B$2:$B$2277,"&gt;"&amp;B621),1+COUNTIFS($G$2:$G$2277,"&lt;&gt;REJECT",$B$2:$B$2277,"&gt;"&amp;B621))</f>
        <v>620</v>
      </c>
      <c r="B621" s="26" t="n">
        <f aca="false">ROUND(($U$2*MAX(0,MIN(1,($W$2-I621)/($W$2-$V$2)))+$U$3*MAX(0,MIN(1,($W$3-J621)/($W$3-$V$3)))+$U$4*MAX(0,MIN(1,($W$4-K621)/($W$4-$V$4)))+$U$5*MAX(0,MIN(1,($W$5-L621)/($W$5-$V$5)))+$U$6*MAX(0,MIN(1,($W$6-M621)/($W$6-$V$6)))+$U$7*MAX(0,MIN(1,($W$7-N621)/($W$7-$V$7)))+$U$8*IF(AND(O621&gt;=$V$8,O621&lt;=$W$8),1,0))/$U$9*100,2)</f>
        <v>87.52</v>
      </c>
      <c r="C621" s="27" t="s">
        <v>560</v>
      </c>
      <c r="D621" s="25" t="s">
        <v>134</v>
      </c>
      <c r="E621" s="25" t="s">
        <v>3447</v>
      </c>
      <c r="F621" s="25" t="s">
        <v>3457</v>
      </c>
      <c r="G621" s="38" t="s">
        <v>30</v>
      </c>
      <c r="H621" s="33" t="s">
        <v>24</v>
      </c>
      <c r="I621" s="25" t="n">
        <v>1</v>
      </c>
      <c r="J621" s="25" t="n">
        <v>0</v>
      </c>
      <c r="K621" s="25" t="n">
        <v>1</v>
      </c>
      <c r="L621" s="29" t="n">
        <v>0.74</v>
      </c>
      <c r="M621" s="30" t="n">
        <v>14.21</v>
      </c>
      <c r="N621" s="29" t="n">
        <v>0.16</v>
      </c>
      <c r="O621" s="25" t="n">
        <v>182</v>
      </c>
      <c r="P621" s="30" t="n">
        <v>-0.5</v>
      </c>
      <c r="Q621" s="27" t="s">
        <v>3474</v>
      </c>
      <c r="R621" s="27" t="s">
        <v>30</v>
      </c>
    </row>
    <row r="622" customFormat="false" ht="15" hidden="false" customHeight="false" outlineLevel="0" collapsed="false">
      <c r="A622" s="25" t="n">
        <f aca="false">IF(G622="REJECT",COUNTIF($G$2:$G$2277,"&lt;&gt;REJECT")+1+COUNTIFS($G$2:$G$2277,"REJECT",$B$2:$B$2277,"&gt;"&amp;B622),1+COUNTIFS($G$2:$G$2277,"&lt;&gt;REJECT",$B$2:$B$2277,"&gt;"&amp;B622))</f>
        <v>621</v>
      </c>
      <c r="B622" s="26" t="n">
        <f aca="false">ROUND(($U$2*MAX(0,MIN(1,($W$2-I622)/($W$2-$V$2)))+$U$3*MAX(0,MIN(1,($W$3-J622)/($W$3-$V$3)))+$U$4*MAX(0,MIN(1,($W$4-K622)/($W$4-$V$4)))+$U$5*MAX(0,MIN(1,($W$5-L622)/($W$5-$V$5)))+$U$6*MAX(0,MIN(1,($W$6-M622)/($W$6-$V$6)))+$U$7*MAX(0,MIN(1,($W$7-N622)/($W$7-$V$7)))+$U$8*IF(AND(O622&gt;=$V$8,O622&lt;=$W$8),1,0))/$U$9*100,2)</f>
        <v>87.46</v>
      </c>
      <c r="C622" s="27" t="s">
        <v>2274</v>
      </c>
      <c r="D622" s="25" t="s">
        <v>134</v>
      </c>
      <c r="E622" s="25" t="s">
        <v>3447</v>
      </c>
      <c r="F622" s="25" t="s">
        <v>3457</v>
      </c>
      <c r="G622" s="38" t="s">
        <v>30</v>
      </c>
      <c r="H622" s="33" t="s">
        <v>24</v>
      </c>
      <c r="I622" s="25" t="n">
        <v>1</v>
      </c>
      <c r="J622" s="25" t="n">
        <v>0</v>
      </c>
      <c r="K622" s="25" t="n">
        <v>1</v>
      </c>
      <c r="L622" s="29" t="n">
        <v>0.74</v>
      </c>
      <c r="M622" s="30" t="n">
        <v>11.75</v>
      </c>
      <c r="N622" s="29" t="n">
        <v>0.44</v>
      </c>
      <c r="O622" s="25" t="n">
        <v>183</v>
      </c>
      <c r="P622" s="30" t="n">
        <v>-0.48</v>
      </c>
      <c r="Q622" s="27" t="s">
        <v>3483</v>
      </c>
      <c r="R622" s="27" t="s">
        <v>30</v>
      </c>
    </row>
    <row r="623" customFormat="false" ht="15" hidden="false" customHeight="false" outlineLevel="0" collapsed="false">
      <c r="A623" s="25" t="n">
        <f aca="false">IF(G623="REJECT",COUNTIF($G$2:$G$2277,"&lt;&gt;REJECT")+1+COUNTIFS($G$2:$G$2277,"REJECT",$B$2:$B$2277,"&gt;"&amp;B623),1+COUNTIFS($G$2:$G$2277,"&lt;&gt;REJECT",$B$2:$B$2277,"&gt;"&amp;B623))</f>
        <v>622</v>
      </c>
      <c r="B623" s="26" t="n">
        <f aca="false">ROUND(($U$2*MAX(0,MIN(1,($W$2-I623)/($W$2-$V$2)))+$U$3*MAX(0,MIN(1,($W$3-J623)/($W$3-$V$3)))+$U$4*MAX(0,MIN(1,($W$4-K623)/($W$4-$V$4)))+$U$5*MAX(0,MIN(1,($W$5-L623)/($W$5-$V$5)))+$U$6*MAX(0,MIN(1,($W$6-M623)/($W$6-$V$6)))+$U$7*MAX(0,MIN(1,($W$7-N623)/($W$7-$V$7)))+$U$8*IF(AND(O623&gt;=$V$8,O623&lt;=$W$8),1,0))/$U$9*100,2)</f>
        <v>87.45</v>
      </c>
      <c r="C623" s="27" t="s">
        <v>3040</v>
      </c>
      <c r="D623" s="25" t="s">
        <v>134</v>
      </c>
      <c r="E623" s="25" t="s">
        <v>3450</v>
      </c>
      <c r="F623" s="25" t="s">
        <v>3457</v>
      </c>
      <c r="G623" s="33" t="s">
        <v>28</v>
      </c>
      <c r="H623" s="33" t="s">
        <v>24</v>
      </c>
      <c r="I623" s="25" t="n">
        <v>0</v>
      </c>
      <c r="J623" s="25" t="n">
        <v>0</v>
      </c>
      <c r="K623" s="25" t="n">
        <v>0</v>
      </c>
      <c r="L623" s="29" t="n">
        <v>0.66</v>
      </c>
      <c r="M623" s="30" t="n">
        <v>16.49</v>
      </c>
      <c r="N623" s="29" t="n">
        <v>0.84</v>
      </c>
      <c r="O623" s="25" t="n">
        <v>183</v>
      </c>
      <c r="P623" s="30" t="n">
        <v>4.54</v>
      </c>
      <c r="Q623" s="27"/>
      <c r="R623" s="27"/>
    </row>
    <row r="624" customFormat="false" ht="15" hidden="false" customHeight="false" outlineLevel="0" collapsed="false">
      <c r="A624" s="25" t="n">
        <f aca="false">IF(G624="REJECT",COUNTIF($G$2:$G$2277,"&lt;&gt;REJECT")+1+COUNTIFS($G$2:$G$2277,"REJECT",$B$2:$B$2277,"&gt;"&amp;B624),1+COUNTIFS($G$2:$G$2277,"&lt;&gt;REJECT",$B$2:$B$2277,"&gt;"&amp;B624))</f>
        <v>623</v>
      </c>
      <c r="B624" s="26" t="n">
        <f aca="false">ROUND(($U$2*MAX(0,MIN(1,($W$2-I624)/($W$2-$V$2)))+$U$3*MAX(0,MIN(1,($W$3-J624)/($W$3-$V$3)))+$U$4*MAX(0,MIN(1,($W$4-K624)/($W$4-$V$4)))+$U$5*MAX(0,MIN(1,($W$5-L624)/($W$5-$V$5)))+$U$6*MAX(0,MIN(1,($W$6-M624)/($W$6-$V$6)))+$U$7*MAX(0,MIN(1,($W$7-N624)/($W$7-$V$7)))+$U$8*IF(AND(O624&gt;=$V$8,O624&lt;=$W$8),1,0))/$U$9*100,2)</f>
        <v>87.42</v>
      </c>
      <c r="C624" s="27" t="s">
        <v>380</v>
      </c>
      <c r="D624" s="25" t="s">
        <v>134</v>
      </c>
      <c r="E624" s="25" t="s">
        <v>3447</v>
      </c>
      <c r="F624" s="25" t="s">
        <v>3457</v>
      </c>
      <c r="G624" s="38" t="s">
        <v>30</v>
      </c>
      <c r="H624" s="28" t="s">
        <v>25</v>
      </c>
      <c r="I624" s="25" t="n">
        <v>1</v>
      </c>
      <c r="J624" s="25" t="n">
        <v>0</v>
      </c>
      <c r="K624" s="25" t="n">
        <v>1</v>
      </c>
      <c r="L624" s="29" t="n">
        <v>0.8</v>
      </c>
      <c r="M624" s="30" t="n">
        <v>31.84</v>
      </c>
      <c r="N624" s="29" t="n">
        <v>0.8</v>
      </c>
      <c r="O624" s="25" t="n">
        <v>185</v>
      </c>
      <c r="P624" s="30" t="n">
        <v>11.27</v>
      </c>
      <c r="Q624" s="27" t="s">
        <v>3491</v>
      </c>
      <c r="R624" s="27" t="s">
        <v>3492</v>
      </c>
    </row>
    <row r="625" customFormat="false" ht="15" hidden="false" customHeight="false" outlineLevel="0" collapsed="false">
      <c r="A625" s="25" t="n">
        <f aca="false">IF(G625="REJECT",COUNTIF($G$2:$G$2277,"&lt;&gt;REJECT")+1+COUNTIFS($G$2:$G$2277,"REJECT",$B$2:$B$2277,"&gt;"&amp;B625),1+COUNTIFS($G$2:$G$2277,"&lt;&gt;REJECT",$B$2:$B$2277,"&gt;"&amp;B625))</f>
        <v>624</v>
      </c>
      <c r="B625" s="26" t="n">
        <f aca="false">ROUND(($U$2*MAX(0,MIN(1,($W$2-I625)/($W$2-$V$2)))+$U$3*MAX(0,MIN(1,($W$3-J625)/($W$3-$V$3)))+$U$4*MAX(0,MIN(1,($W$4-K625)/($W$4-$V$4)))+$U$5*MAX(0,MIN(1,($W$5-L625)/($W$5-$V$5)))+$U$6*MAX(0,MIN(1,($W$6-M625)/($W$6-$V$6)))+$U$7*MAX(0,MIN(1,($W$7-N625)/($W$7-$V$7)))+$U$8*IF(AND(O625&gt;=$V$8,O625&lt;=$W$8),1,0))/$U$9*100,2)</f>
        <v>87.41</v>
      </c>
      <c r="C625" s="27" t="s">
        <v>3418</v>
      </c>
      <c r="D625" s="25" t="s">
        <v>134</v>
      </c>
      <c r="E625" s="25" t="s">
        <v>3447</v>
      </c>
      <c r="F625" s="25" t="s">
        <v>3448</v>
      </c>
      <c r="G625" s="38" t="s">
        <v>30</v>
      </c>
      <c r="H625" s="28" t="s">
        <v>25</v>
      </c>
      <c r="I625" s="25" t="n">
        <v>1</v>
      </c>
      <c r="J625" s="25" t="n">
        <v>0</v>
      </c>
      <c r="K625" s="25" t="n">
        <v>1</v>
      </c>
      <c r="L625" s="29" t="n">
        <v>0.77</v>
      </c>
      <c r="M625" s="30" t="n">
        <v>24.07</v>
      </c>
      <c r="N625" s="29" t="n">
        <v>0.32</v>
      </c>
      <c r="O625" s="25" t="n">
        <v>188</v>
      </c>
      <c r="P625" s="30" t="n">
        <v>4.84</v>
      </c>
      <c r="Q625" s="27" t="s">
        <v>3481</v>
      </c>
      <c r="R625" s="27" t="s">
        <v>992</v>
      </c>
    </row>
    <row r="626" customFormat="false" ht="15" hidden="false" customHeight="false" outlineLevel="0" collapsed="false">
      <c r="A626" s="25" t="n">
        <f aca="false">IF(G626="REJECT",COUNTIF($G$2:$G$2277,"&lt;&gt;REJECT")+1+COUNTIFS($G$2:$G$2277,"REJECT",$B$2:$B$2277,"&gt;"&amp;B626),1+COUNTIFS($G$2:$G$2277,"&lt;&gt;REJECT",$B$2:$B$2277,"&gt;"&amp;B626))</f>
        <v>625</v>
      </c>
      <c r="B626" s="26" t="n">
        <f aca="false">ROUND(($U$2*MAX(0,MIN(1,($W$2-I626)/($W$2-$V$2)))+$U$3*MAX(0,MIN(1,($W$3-J626)/($W$3-$V$3)))+$U$4*MAX(0,MIN(1,($W$4-K626)/($W$4-$V$4)))+$U$5*MAX(0,MIN(1,($W$5-L626)/($W$5-$V$5)))+$U$6*MAX(0,MIN(1,($W$6-M626)/($W$6-$V$6)))+$U$7*MAX(0,MIN(1,($W$7-N626)/($W$7-$V$7)))+$U$8*IF(AND(O626&gt;=$V$8,O626&lt;=$W$8),1,0))/$U$9*100,2)</f>
        <v>87.33</v>
      </c>
      <c r="C626" s="27" t="s">
        <v>2767</v>
      </c>
      <c r="D626" s="25" t="s">
        <v>134</v>
      </c>
      <c r="E626" s="25" t="s">
        <v>3450</v>
      </c>
      <c r="F626" s="25" t="s">
        <v>3457</v>
      </c>
      <c r="G626" s="38" t="s">
        <v>30</v>
      </c>
      <c r="H626" s="28" t="s">
        <v>25</v>
      </c>
      <c r="I626" s="25" t="n">
        <v>1</v>
      </c>
      <c r="J626" s="25" t="n">
        <v>0</v>
      </c>
      <c r="K626" s="25" t="n">
        <v>1</v>
      </c>
      <c r="L626" s="29" t="n">
        <v>0.74</v>
      </c>
      <c r="M626" s="30" t="n">
        <v>10.14</v>
      </c>
      <c r="N626" s="29" t="n">
        <v>0.68</v>
      </c>
      <c r="O626" s="25" t="n">
        <v>184</v>
      </c>
      <c r="P626" s="30" t="n">
        <v>-0.16</v>
      </c>
      <c r="Q626" s="27" t="s">
        <v>3476</v>
      </c>
      <c r="R626" s="27" t="s">
        <v>470</v>
      </c>
    </row>
    <row r="627" customFormat="false" ht="15" hidden="false" customHeight="false" outlineLevel="0" collapsed="false">
      <c r="A627" s="25" t="n">
        <f aca="false">IF(G627="REJECT",COUNTIF($G$2:$G$2277,"&lt;&gt;REJECT")+1+COUNTIFS($G$2:$G$2277,"REJECT",$B$2:$B$2277,"&gt;"&amp;B627),1+COUNTIFS($G$2:$G$2277,"&lt;&gt;REJECT",$B$2:$B$2277,"&gt;"&amp;B627))</f>
        <v>626</v>
      </c>
      <c r="B627" s="26" t="n">
        <f aca="false">ROUND(($U$2*MAX(0,MIN(1,($W$2-I627)/($W$2-$V$2)))+$U$3*MAX(0,MIN(1,($W$3-J627)/($W$3-$V$3)))+$U$4*MAX(0,MIN(1,($W$4-K627)/($W$4-$V$4)))+$U$5*MAX(0,MIN(1,($W$5-L627)/($W$5-$V$5)))+$U$6*MAX(0,MIN(1,($W$6-M627)/($W$6-$V$6)))+$U$7*MAX(0,MIN(1,($W$7-N627)/($W$7-$V$7)))+$U$8*IF(AND(O627&gt;=$V$8,O627&lt;=$W$8),1,0))/$U$9*100,2)</f>
        <v>87.3</v>
      </c>
      <c r="C627" s="27" t="s">
        <v>1234</v>
      </c>
      <c r="D627" s="25" t="s">
        <v>134</v>
      </c>
      <c r="E627" s="25" t="s">
        <v>3450</v>
      </c>
      <c r="F627" s="25" t="s">
        <v>3457</v>
      </c>
      <c r="G627" s="33" t="s">
        <v>28</v>
      </c>
      <c r="H627" s="33" t="s">
        <v>24</v>
      </c>
      <c r="I627" s="25" t="n">
        <v>0</v>
      </c>
      <c r="J627" s="25" t="n">
        <v>0</v>
      </c>
      <c r="K627" s="25" t="n">
        <v>0</v>
      </c>
      <c r="L627" s="29" t="n">
        <v>0.63</v>
      </c>
      <c r="M627" s="30" t="n">
        <v>9.02</v>
      </c>
      <c r="N627" s="29" t="n">
        <v>0.6</v>
      </c>
      <c r="O627" s="25" t="n">
        <v>182</v>
      </c>
      <c r="P627" s="30" t="n">
        <v>11.18</v>
      </c>
      <c r="Q627" s="27"/>
      <c r="R627" s="27"/>
    </row>
    <row r="628" customFormat="false" ht="15" hidden="false" customHeight="false" outlineLevel="0" collapsed="false">
      <c r="A628" s="25" t="n">
        <f aca="false">IF(G628="REJECT",COUNTIF($G$2:$G$2277,"&lt;&gt;REJECT")+1+COUNTIFS($G$2:$G$2277,"REJECT",$B$2:$B$2277,"&gt;"&amp;B628),1+COUNTIFS($G$2:$G$2277,"&lt;&gt;REJECT",$B$2:$B$2277,"&gt;"&amp;B628))</f>
        <v>627</v>
      </c>
      <c r="B628" s="26" t="n">
        <f aca="false">ROUND(($U$2*MAX(0,MIN(1,($W$2-I628)/($W$2-$V$2)))+$U$3*MAX(0,MIN(1,($W$3-J628)/($W$3-$V$3)))+$U$4*MAX(0,MIN(1,($W$4-K628)/($W$4-$V$4)))+$U$5*MAX(0,MIN(1,($W$5-L628)/($W$5-$V$5)))+$U$6*MAX(0,MIN(1,($W$6-M628)/($W$6-$V$6)))+$U$7*MAX(0,MIN(1,($W$7-N628)/($W$7-$V$7)))+$U$8*IF(AND(O628&gt;=$V$8,O628&lt;=$W$8),1,0))/$U$9*100,2)</f>
        <v>87.28</v>
      </c>
      <c r="C628" s="27" t="s">
        <v>560</v>
      </c>
      <c r="D628" s="25" t="s">
        <v>134</v>
      </c>
      <c r="E628" s="25" t="s">
        <v>3447</v>
      </c>
      <c r="F628" s="25" t="s">
        <v>3448</v>
      </c>
      <c r="G628" s="38" t="s">
        <v>30</v>
      </c>
      <c r="H628" s="33" t="s">
        <v>24</v>
      </c>
      <c r="I628" s="25" t="n">
        <v>1</v>
      </c>
      <c r="J628" s="25" t="n">
        <v>0</v>
      </c>
      <c r="K628" s="25" t="n">
        <v>1</v>
      </c>
      <c r="L628" s="29" t="n">
        <v>0.71</v>
      </c>
      <c r="M628" s="30" t="n">
        <v>6.45</v>
      </c>
      <c r="N628" s="29" t="n">
        <v>0</v>
      </c>
      <c r="O628" s="25" t="n">
        <v>182</v>
      </c>
      <c r="P628" s="30" t="n">
        <v>-0.44</v>
      </c>
      <c r="Q628" s="27" t="s">
        <v>3474</v>
      </c>
      <c r="R628" s="27" t="s">
        <v>30</v>
      </c>
    </row>
    <row r="629" customFormat="false" ht="15" hidden="false" customHeight="false" outlineLevel="0" collapsed="false">
      <c r="A629" s="25" t="n">
        <f aca="false">IF(G629="REJECT",COUNTIF($G$2:$G$2277,"&lt;&gt;REJECT")+1+COUNTIFS($G$2:$G$2277,"REJECT",$B$2:$B$2277,"&gt;"&amp;B629),1+COUNTIFS($G$2:$G$2277,"&lt;&gt;REJECT",$B$2:$B$2277,"&gt;"&amp;B629))</f>
        <v>628</v>
      </c>
      <c r="B629" s="26" t="n">
        <f aca="false">ROUND(($U$2*MAX(0,MIN(1,($W$2-I629)/($W$2-$V$2)))+$U$3*MAX(0,MIN(1,($W$3-J629)/($W$3-$V$3)))+$U$4*MAX(0,MIN(1,($W$4-K629)/($W$4-$V$4)))+$U$5*MAX(0,MIN(1,($W$5-L629)/($W$5-$V$5)))+$U$6*MAX(0,MIN(1,($W$6-M629)/($W$6-$V$6)))+$U$7*MAX(0,MIN(1,($W$7-N629)/($W$7-$V$7)))+$U$8*IF(AND(O629&gt;=$V$8,O629&lt;=$W$8),1,0))/$U$9*100,2)</f>
        <v>87.19</v>
      </c>
      <c r="C629" s="27" t="s">
        <v>2866</v>
      </c>
      <c r="D629" s="25" t="s">
        <v>3459</v>
      </c>
      <c r="E629" s="25" t="s">
        <v>3450</v>
      </c>
      <c r="F629" s="25" t="s">
        <v>3457</v>
      </c>
      <c r="G629" s="33" t="s">
        <v>28</v>
      </c>
      <c r="H629" s="33" t="s">
        <v>24</v>
      </c>
      <c r="I629" s="25" t="n">
        <v>0</v>
      </c>
      <c r="J629" s="25" t="n">
        <v>0</v>
      </c>
      <c r="K629" s="25" t="n">
        <v>0</v>
      </c>
      <c r="L629" s="29" t="n">
        <v>0.61</v>
      </c>
      <c r="M629" s="30" t="n">
        <v>4.89</v>
      </c>
      <c r="N629" s="29" t="n">
        <v>0.36</v>
      </c>
      <c r="O629" s="25" t="n">
        <v>218</v>
      </c>
      <c r="P629" s="30" t="n">
        <v>14.36</v>
      </c>
      <c r="Q629" s="27"/>
      <c r="R629" s="27"/>
    </row>
    <row r="630" customFormat="false" ht="15" hidden="false" customHeight="false" outlineLevel="0" collapsed="false">
      <c r="A630" s="25" t="n">
        <f aca="false">IF(G630="REJECT",COUNTIF($G$2:$G$2277,"&lt;&gt;REJECT")+1+COUNTIFS($G$2:$G$2277,"REJECT",$B$2:$B$2277,"&gt;"&amp;B630),1+COUNTIFS($G$2:$G$2277,"&lt;&gt;REJECT",$B$2:$B$2277,"&gt;"&amp;B630))</f>
        <v>628</v>
      </c>
      <c r="B630" s="26" t="n">
        <f aca="false">ROUND(($U$2*MAX(0,MIN(1,($W$2-I630)/($W$2-$V$2)))+$U$3*MAX(0,MIN(1,($W$3-J630)/($W$3-$V$3)))+$U$4*MAX(0,MIN(1,($W$4-K630)/($W$4-$V$4)))+$U$5*MAX(0,MIN(1,($W$5-L630)/($W$5-$V$5)))+$U$6*MAX(0,MIN(1,($W$6-M630)/($W$6-$V$6)))+$U$7*MAX(0,MIN(1,($W$7-N630)/($W$7-$V$7)))+$U$8*IF(AND(O630&gt;=$V$8,O630&lt;=$W$8),1,0))/$U$9*100,2)</f>
        <v>87.19</v>
      </c>
      <c r="C630" s="27" t="s">
        <v>3202</v>
      </c>
      <c r="D630" s="25" t="s">
        <v>134</v>
      </c>
      <c r="E630" s="25" t="s">
        <v>3450</v>
      </c>
      <c r="F630" s="25" t="s">
        <v>3457</v>
      </c>
      <c r="G630" s="38" t="s">
        <v>30</v>
      </c>
      <c r="H630" s="28" t="s">
        <v>25</v>
      </c>
      <c r="I630" s="25" t="n">
        <v>1</v>
      </c>
      <c r="J630" s="25" t="n">
        <v>0</v>
      </c>
      <c r="K630" s="25" t="n">
        <v>1</v>
      </c>
      <c r="L630" s="29" t="n">
        <v>0.75</v>
      </c>
      <c r="M630" s="30" t="n">
        <v>19.38</v>
      </c>
      <c r="N630" s="29" t="n">
        <v>0.2</v>
      </c>
      <c r="O630" s="25" t="n">
        <v>226</v>
      </c>
      <c r="P630" s="30" t="n">
        <v>1.79</v>
      </c>
      <c r="Q630" s="27" t="s">
        <v>3489</v>
      </c>
      <c r="R630" s="27" t="s">
        <v>2328</v>
      </c>
    </row>
    <row r="631" customFormat="false" ht="15" hidden="false" customHeight="false" outlineLevel="0" collapsed="false">
      <c r="A631" s="25" t="n">
        <f aca="false">IF(G631="REJECT",COUNTIF($G$2:$G$2277,"&lt;&gt;REJECT")+1+COUNTIFS($G$2:$G$2277,"REJECT",$B$2:$B$2277,"&gt;"&amp;B631),1+COUNTIFS($G$2:$G$2277,"&lt;&gt;REJECT",$B$2:$B$2277,"&gt;"&amp;B631))</f>
        <v>630</v>
      </c>
      <c r="B631" s="26" t="n">
        <f aca="false">ROUND(($U$2*MAX(0,MIN(1,($W$2-I631)/($W$2-$V$2)))+$U$3*MAX(0,MIN(1,($W$3-J631)/($W$3-$V$3)))+$U$4*MAX(0,MIN(1,($W$4-K631)/($W$4-$V$4)))+$U$5*MAX(0,MIN(1,($W$5-L631)/($W$5-$V$5)))+$U$6*MAX(0,MIN(1,($W$6-M631)/($W$6-$V$6)))+$U$7*MAX(0,MIN(1,($W$7-N631)/($W$7-$V$7)))+$U$8*IF(AND(O631&gt;=$V$8,O631&lt;=$W$8),1,0))/$U$9*100,2)</f>
        <v>87.04</v>
      </c>
      <c r="C631" s="27" t="s">
        <v>885</v>
      </c>
      <c r="D631" s="25" t="s">
        <v>134</v>
      </c>
      <c r="E631" s="25" t="s">
        <v>3450</v>
      </c>
      <c r="F631" s="25" t="s">
        <v>3457</v>
      </c>
      <c r="G631" s="33" t="s">
        <v>28</v>
      </c>
      <c r="H631" s="33" t="s">
        <v>24</v>
      </c>
      <c r="I631" s="25" t="n">
        <v>0</v>
      </c>
      <c r="J631" s="25" t="n">
        <v>0</v>
      </c>
      <c r="K631" s="25" t="n">
        <v>0</v>
      </c>
      <c r="L631" s="29" t="n">
        <v>0.66</v>
      </c>
      <c r="M631" s="30" t="n">
        <v>19.34</v>
      </c>
      <c r="N631" s="29" t="n">
        <v>0.8</v>
      </c>
      <c r="O631" s="25" t="n">
        <v>183</v>
      </c>
      <c r="P631" s="30" t="n">
        <v>11.3</v>
      </c>
      <c r="Q631" s="27"/>
      <c r="R631" s="27"/>
    </row>
    <row r="632" customFormat="false" ht="15" hidden="false" customHeight="false" outlineLevel="0" collapsed="false">
      <c r="A632" s="25" t="n">
        <f aca="false">IF(G632="REJECT",COUNTIF($G$2:$G$2277,"&lt;&gt;REJECT")+1+COUNTIFS($G$2:$G$2277,"REJECT",$B$2:$B$2277,"&gt;"&amp;B632),1+COUNTIFS($G$2:$G$2277,"&lt;&gt;REJECT",$B$2:$B$2277,"&gt;"&amp;B632))</f>
        <v>631</v>
      </c>
      <c r="B632" s="26" t="n">
        <f aca="false">ROUND(($U$2*MAX(0,MIN(1,($W$2-I632)/($W$2-$V$2)))+$U$3*MAX(0,MIN(1,($W$3-J632)/($W$3-$V$3)))+$U$4*MAX(0,MIN(1,($W$4-K632)/($W$4-$V$4)))+$U$5*MAX(0,MIN(1,($W$5-L632)/($W$5-$V$5)))+$U$6*MAX(0,MIN(1,($W$6-M632)/($W$6-$V$6)))+$U$7*MAX(0,MIN(1,($W$7-N632)/($W$7-$V$7)))+$U$8*IF(AND(O632&gt;=$V$8,O632&lt;=$W$8),1,0))/$U$9*100,2)</f>
        <v>87.01</v>
      </c>
      <c r="C632" s="27" t="s">
        <v>2344</v>
      </c>
      <c r="D632" s="25" t="s">
        <v>134</v>
      </c>
      <c r="E632" s="25" t="s">
        <v>3447</v>
      </c>
      <c r="F632" s="25" t="s">
        <v>3448</v>
      </c>
      <c r="G632" s="38" t="s">
        <v>30</v>
      </c>
      <c r="H632" s="28" t="s">
        <v>25</v>
      </c>
      <c r="I632" s="25" t="n">
        <v>1</v>
      </c>
      <c r="J632" s="25" t="n">
        <v>0</v>
      </c>
      <c r="K632" s="25" t="n">
        <v>1</v>
      </c>
      <c r="L632" s="29" t="n">
        <v>0.73</v>
      </c>
      <c r="M632" s="30" t="n">
        <v>9.65</v>
      </c>
      <c r="N632" s="29" t="n">
        <v>0.56</v>
      </c>
      <c r="O632" s="25" t="n">
        <v>187</v>
      </c>
      <c r="P632" s="30" t="n">
        <v>3.67</v>
      </c>
      <c r="Q632" s="27" t="s">
        <v>3493</v>
      </c>
      <c r="R632" s="27" t="s">
        <v>2133</v>
      </c>
    </row>
    <row r="633" customFormat="false" ht="15" hidden="false" customHeight="false" outlineLevel="0" collapsed="false">
      <c r="A633" s="25" t="n">
        <f aca="false">IF(G633="REJECT",COUNTIF($G$2:$G$2277,"&lt;&gt;REJECT")+1+COUNTIFS($G$2:$G$2277,"REJECT",$B$2:$B$2277,"&gt;"&amp;B633),1+COUNTIFS($G$2:$G$2277,"&lt;&gt;REJECT",$B$2:$B$2277,"&gt;"&amp;B633))</f>
        <v>631</v>
      </c>
      <c r="B633" s="26" t="n">
        <f aca="false">ROUND(($U$2*MAX(0,MIN(1,($W$2-I633)/($W$2-$V$2)))+$U$3*MAX(0,MIN(1,($W$3-J633)/($W$3-$V$3)))+$U$4*MAX(0,MIN(1,($W$4-K633)/($W$4-$V$4)))+$U$5*MAX(0,MIN(1,($W$5-L633)/($W$5-$V$5)))+$U$6*MAX(0,MIN(1,($W$6-M633)/($W$6-$V$6)))+$U$7*MAX(0,MIN(1,($W$7-N633)/($W$7-$V$7)))+$U$8*IF(AND(O633&gt;=$V$8,O633&lt;=$W$8),1,0))/$U$9*100,2)</f>
        <v>87.01</v>
      </c>
      <c r="C633" s="27" t="s">
        <v>2601</v>
      </c>
      <c r="D633" s="25" t="s">
        <v>134</v>
      </c>
      <c r="E633" s="25" t="s">
        <v>3450</v>
      </c>
      <c r="F633" s="25" t="s">
        <v>3457</v>
      </c>
      <c r="G633" s="28" t="s">
        <v>29</v>
      </c>
      <c r="H633" s="28" t="s">
        <v>25</v>
      </c>
      <c r="I633" s="25" t="n">
        <v>0</v>
      </c>
      <c r="J633" s="25" t="n">
        <v>0</v>
      </c>
      <c r="K633" s="25" t="n">
        <v>0</v>
      </c>
      <c r="L633" s="29" t="n">
        <v>0.67</v>
      </c>
      <c r="M633" s="30" t="n">
        <v>22.37</v>
      </c>
      <c r="N633" s="29" t="n">
        <v>0.88</v>
      </c>
      <c r="O633" s="25" t="n">
        <v>189</v>
      </c>
      <c r="P633" s="30" t="n">
        <v>15.13</v>
      </c>
      <c r="Q633" s="27"/>
      <c r="R633" s="27" t="s">
        <v>61</v>
      </c>
    </row>
    <row r="634" customFormat="false" ht="15" hidden="false" customHeight="false" outlineLevel="0" collapsed="false">
      <c r="A634" s="25" t="n">
        <f aca="false">IF(G634="REJECT",COUNTIF($G$2:$G$2277,"&lt;&gt;REJECT")+1+COUNTIFS($G$2:$G$2277,"REJECT",$B$2:$B$2277,"&gt;"&amp;B634),1+COUNTIFS($G$2:$G$2277,"&lt;&gt;REJECT",$B$2:$B$2277,"&gt;"&amp;B634))</f>
        <v>633</v>
      </c>
      <c r="B634" s="26" t="n">
        <f aca="false">ROUND(($U$2*MAX(0,MIN(1,($W$2-I634)/($W$2-$V$2)))+$U$3*MAX(0,MIN(1,($W$3-J634)/($W$3-$V$3)))+$U$4*MAX(0,MIN(1,($W$4-K634)/($W$4-$V$4)))+$U$5*MAX(0,MIN(1,($W$5-L634)/($W$5-$V$5)))+$U$6*MAX(0,MIN(1,($W$6-M634)/($W$6-$V$6)))+$U$7*MAX(0,MIN(1,($W$7-N634)/($W$7-$V$7)))+$U$8*IF(AND(O634&gt;=$V$8,O634&lt;=$W$8),1,0))/$U$9*100,2)</f>
        <v>86.93</v>
      </c>
      <c r="C634" s="27" t="s">
        <v>2198</v>
      </c>
      <c r="D634" s="25" t="s">
        <v>134</v>
      </c>
      <c r="E634" s="25" t="s">
        <v>3447</v>
      </c>
      <c r="F634" s="25" t="s">
        <v>3457</v>
      </c>
      <c r="G634" s="38" t="s">
        <v>30</v>
      </c>
      <c r="H634" s="28" t="s">
        <v>25</v>
      </c>
      <c r="I634" s="25" t="n">
        <v>1</v>
      </c>
      <c r="J634" s="25" t="n">
        <v>0</v>
      </c>
      <c r="K634" s="25" t="n">
        <v>1</v>
      </c>
      <c r="L634" s="29" t="n">
        <v>0.71</v>
      </c>
      <c r="M634" s="30" t="n">
        <v>0.55</v>
      </c>
      <c r="N634" s="29" t="n">
        <v>0.8</v>
      </c>
      <c r="O634" s="25" t="n">
        <v>184</v>
      </c>
      <c r="P634" s="30" t="n">
        <v>-0.93</v>
      </c>
      <c r="Q634" s="27" t="s">
        <v>3485</v>
      </c>
      <c r="R634" s="27" t="s">
        <v>2610</v>
      </c>
    </row>
    <row r="635" customFormat="false" ht="15" hidden="false" customHeight="false" outlineLevel="0" collapsed="false">
      <c r="A635" s="25" t="n">
        <f aca="false">IF(G635="REJECT",COUNTIF($G$2:$G$2277,"&lt;&gt;REJECT")+1+COUNTIFS($G$2:$G$2277,"REJECT",$B$2:$B$2277,"&gt;"&amp;B635),1+COUNTIFS($G$2:$G$2277,"&lt;&gt;REJECT",$B$2:$B$2277,"&gt;"&amp;B635))</f>
        <v>633</v>
      </c>
      <c r="B635" s="26" t="n">
        <f aca="false">ROUND(($U$2*MAX(0,MIN(1,($W$2-I635)/($W$2-$V$2)))+$U$3*MAX(0,MIN(1,($W$3-J635)/($W$3-$V$3)))+$U$4*MAX(0,MIN(1,($W$4-K635)/($W$4-$V$4)))+$U$5*MAX(0,MIN(1,($W$5-L635)/($W$5-$V$5)))+$U$6*MAX(0,MIN(1,($W$6-M635)/($W$6-$V$6)))+$U$7*MAX(0,MIN(1,($W$7-N635)/($W$7-$V$7)))+$U$8*IF(AND(O635&gt;=$V$8,O635&lt;=$W$8),1,0))/$U$9*100,2)</f>
        <v>86.93</v>
      </c>
      <c r="C635" s="27" t="s">
        <v>2965</v>
      </c>
      <c r="D635" s="25" t="s">
        <v>3459</v>
      </c>
      <c r="E635" s="25" t="s">
        <v>3450</v>
      </c>
      <c r="F635" s="25" t="s">
        <v>3457</v>
      </c>
      <c r="G635" s="38" t="s">
        <v>30</v>
      </c>
      <c r="H635" s="33" t="s">
        <v>24</v>
      </c>
      <c r="I635" s="25" t="n">
        <v>1</v>
      </c>
      <c r="J635" s="25" t="n">
        <v>0</v>
      </c>
      <c r="K635" s="25" t="n">
        <v>1</v>
      </c>
      <c r="L635" s="29" t="n">
        <v>0.75</v>
      </c>
      <c r="M635" s="30" t="n">
        <v>18.12</v>
      </c>
      <c r="N635" s="29" t="n">
        <v>0.48</v>
      </c>
      <c r="O635" s="25" t="n">
        <v>184</v>
      </c>
      <c r="P635" s="30" t="n">
        <v>15.86</v>
      </c>
      <c r="Q635" s="27" t="s">
        <v>3491</v>
      </c>
      <c r="R635" s="27" t="s">
        <v>30</v>
      </c>
    </row>
    <row r="636" customFormat="false" ht="15" hidden="false" customHeight="false" outlineLevel="0" collapsed="false">
      <c r="A636" s="25" t="n">
        <f aca="false">IF(G636="REJECT",COUNTIF($G$2:$G$2277,"&lt;&gt;REJECT")+1+COUNTIFS($G$2:$G$2277,"REJECT",$B$2:$B$2277,"&gt;"&amp;B636),1+COUNTIFS($G$2:$G$2277,"&lt;&gt;REJECT",$B$2:$B$2277,"&gt;"&amp;B636))</f>
        <v>635</v>
      </c>
      <c r="B636" s="26" t="n">
        <f aca="false">ROUND(($U$2*MAX(0,MIN(1,($W$2-I636)/($W$2-$V$2)))+$U$3*MAX(0,MIN(1,($W$3-J636)/($W$3-$V$3)))+$U$4*MAX(0,MIN(1,($W$4-K636)/($W$4-$V$4)))+$U$5*MAX(0,MIN(1,($W$5-L636)/($W$5-$V$5)))+$U$6*MAX(0,MIN(1,($W$6-M636)/($W$6-$V$6)))+$U$7*MAX(0,MIN(1,($W$7-N636)/($W$7-$V$7)))+$U$8*IF(AND(O636&gt;=$V$8,O636&lt;=$W$8),1,0))/$U$9*100,2)</f>
        <v>86.9</v>
      </c>
      <c r="C636" s="27" t="s">
        <v>1132</v>
      </c>
      <c r="D636" s="25" t="s">
        <v>134</v>
      </c>
      <c r="E636" s="25" t="s">
        <v>3447</v>
      </c>
      <c r="F636" s="25" t="s">
        <v>3457</v>
      </c>
      <c r="G636" s="33" t="s">
        <v>28</v>
      </c>
      <c r="H636" s="33" t="s">
        <v>24</v>
      </c>
      <c r="I636" s="25" t="n">
        <v>0</v>
      </c>
      <c r="J636" s="25" t="n">
        <v>0</v>
      </c>
      <c r="K636" s="25" t="n">
        <v>0</v>
      </c>
      <c r="L636" s="29" t="n">
        <v>0.61</v>
      </c>
      <c r="M636" s="30" t="n">
        <v>5.78</v>
      </c>
      <c r="N636" s="29" t="n">
        <v>0.44</v>
      </c>
      <c r="O636" s="25" t="n">
        <v>184</v>
      </c>
      <c r="P636" s="30" t="n">
        <v>-0.84</v>
      </c>
      <c r="Q636" s="27"/>
      <c r="R636" s="27"/>
    </row>
    <row r="637" customFormat="false" ht="15" hidden="false" customHeight="false" outlineLevel="0" collapsed="false">
      <c r="A637" s="25" t="n">
        <f aca="false">IF(G637="REJECT",COUNTIF($G$2:$G$2277,"&lt;&gt;REJECT")+1+COUNTIFS($G$2:$G$2277,"REJECT",$B$2:$B$2277,"&gt;"&amp;B637),1+COUNTIFS($G$2:$G$2277,"&lt;&gt;REJECT",$B$2:$B$2277,"&gt;"&amp;B637))</f>
        <v>636</v>
      </c>
      <c r="B637" s="26" t="n">
        <f aca="false">ROUND(($U$2*MAX(0,MIN(1,($W$2-I637)/($W$2-$V$2)))+$U$3*MAX(0,MIN(1,($W$3-J637)/($W$3-$V$3)))+$U$4*MAX(0,MIN(1,($W$4-K637)/($W$4-$V$4)))+$U$5*MAX(0,MIN(1,($W$5-L637)/($W$5-$V$5)))+$U$6*MAX(0,MIN(1,($W$6-M637)/($W$6-$V$6)))+$U$7*MAX(0,MIN(1,($W$7-N637)/($W$7-$V$7)))+$U$8*IF(AND(O637&gt;=$V$8,O637&lt;=$W$8),1,0))/$U$9*100,2)</f>
        <v>86.85</v>
      </c>
      <c r="C637" s="27" t="s">
        <v>2429</v>
      </c>
      <c r="D637" s="25" t="s">
        <v>3459</v>
      </c>
      <c r="E637" s="25" t="s">
        <v>3447</v>
      </c>
      <c r="F637" s="25" t="s">
        <v>3457</v>
      </c>
      <c r="G637" s="38" t="s">
        <v>30</v>
      </c>
      <c r="H637" s="33" t="s">
        <v>24</v>
      </c>
      <c r="I637" s="25" t="n">
        <v>1</v>
      </c>
      <c r="J637" s="25" t="n">
        <v>0</v>
      </c>
      <c r="K637" s="25" t="n">
        <v>1</v>
      </c>
      <c r="L637" s="29" t="n">
        <v>0.73</v>
      </c>
      <c r="M637" s="30" t="n">
        <v>13.79</v>
      </c>
      <c r="N637" s="29" t="n">
        <v>0.24</v>
      </c>
      <c r="O637" s="25" t="n">
        <v>182</v>
      </c>
      <c r="P637" s="30" t="n">
        <v>5.72</v>
      </c>
      <c r="Q637" s="27" t="s">
        <v>3474</v>
      </c>
      <c r="R637" s="27" t="s">
        <v>30</v>
      </c>
    </row>
    <row r="638" customFormat="false" ht="15" hidden="false" customHeight="false" outlineLevel="0" collapsed="false">
      <c r="A638" s="25" t="n">
        <f aca="false">IF(G638="REJECT",COUNTIF($G$2:$G$2277,"&lt;&gt;REJECT")+1+COUNTIFS($G$2:$G$2277,"REJECT",$B$2:$B$2277,"&gt;"&amp;B638),1+COUNTIFS($G$2:$G$2277,"&lt;&gt;REJECT",$B$2:$B$2277,"&gt;"&amp;B638))</f>
        <v>637</v>
      </c>
      <c r="B638" s="26" t="n">
        <f aca="false">ROUND(($U$2*MAX(0,MIN(1,($W$2-I638)/($W$2-$V$2)))+$U$3*MAX(0,MIN(1,($W$3-J638)/($W$3-$V$3)))+$U$4*MAX(0,MIN(1,($W$4-K638)/($W$4-$V$4)))+$U$5*MAX(0,MIN(1,($W$5-L638)/($W$5-$V$5)))+$U$6*MAX(0,MIN(1,($W$6-M638)/($W$6-$V$6)))+$U$7*MAX(0,MIN(1,($W$7-N638)/($W$7-$V$7)))+$U$8*IF(AND(O638&gt;=$V$8,O638&lt;=$W$8),1,0))/$U$9*100,2)</f>
        <v>86.74</v>
      </c>
      <c r="C638" s="27" t="s">
        <v>108</v>
      </c>
      <c r="D638" s="25" t="s">
        <v>134</v>
      </c>
      <c r="E638" s="25" t="s">
        <v>3450</v>
      </c>
      <c r="F638" s="25" t="s">
        <v>3457</v>
      </c>
      <c r="G638" s="28" t="s">
        <v>29</v>
      </c>
      <c r="H638" s="28" t="s">
        <v>25</v>
      </c>
      <c r="I638" s="25" t="n">
        <v>0</v>
      </c>
      <c r="J638" s="25" t="n">
        <v>0</v>
      </c>
      <c r="K638" s="25" t="n">
        <v>0</v>
      </c>
      <c r="L638" s="29" t="n">
        <v>0.66</v>
      </c>
      <c r="M638" s="30" t="n">
        <v>29.18</v>
      </c>
      <c r="N638" s="29" t="n">
        <v>0</v>
      </c>
      <c r="O638" s="25" t="n">
        <v>184</v>
      </c>
      <c r="P638" s="30" t="n">
        <v>15.44</v>
      </c>
      <c r="Q638" s="27"/>
      <c r="R638" s="27" t="s">
        <v>61</v>
      </c>
    </row>
    <row r="639" customFormat="false" ht="15" hidden="false" customHeight="false" outlineLevel="0" collapsed="false">
      <c r="A639" s="25" t="n">
        <f aca="false">IF(G639="REJECT",COUNTIF($G$2:$G$2277,"&lt;&gt;REJECT")+1+COUNTIFS($G$2:$G$2277,"REJECT",$B$2:$B$2277,"&gt;"&amp;B639),1+COUNTIFS($G$2:$G$2277,"&lt;&gt;REJECT",$B$2:$B$2277,"&gt;"&amp;B639))</f>
        <v>638</v>
      </c>
      <c r="B639" s="26" t="n">
        <f aca="false">ROUND(($U$2*MAX(0,MIN(1,($W$2-I639)/($W$2-$V$2)))+$U$3*MAX(0,MIN(1,($W$3-J639)/($W$3-$V$3)))+$U$4*MAX(0,MIN(1,($W$4-K639)/($W$4-$V$4)))+$U$5*MAX(0,MIN(1,($W$5-L639)/($W$5-$V$5)))+$U$6*MAX(0,MIN(1,($W$6-M639)/($W$6-$V$6)))+$U$7*MAX(0,MIN(1,($W$7-N639)/($W$7-$V$7)))+$U$8*IF(AND(O639&gt;=$V$8,O639&lt;=$W$8),1,0))/$U$9*100,2)</f>
        <v>86.72</v>
      </c>
      <c r="C639" s="27" t="s">
        <v>1325</v>
      </c>
      <c r="D639" s="25" t="s">
        <v>134</v>
      </c>
      <c r="E639" s="25" t="s">
        <v>3447</v>
      </c>
      <c r="F639" s="25" t="s">
        <v>3448</v>
      </c>
      <c r="G639" s="38" t="s">
        <v>30</v>
      </c>
      <c r="H639" s="33" t="s">
        <v>24</v>
      </c>
      <c r="I639" s="25" t="n">
        <v>1</v>
      </c>
      <c r="J639" s="25" t="n">
        <v>0</v>
      </c>
      <c r="K639" s="25" t="n">
        <v>1</v>
      </c>
      <c r="L639" s="29" t="n">
        <v>0.76</v>
      </c>
      <c r="M639" s="30" t="n">
        <v>18.56</v>
      </c>
      <c r="N639" s="29" t="n">
        <v>0.92</v>
      </c>
      <c r="O639" s="25" t="n">
        <v>211</v>
      </c>
      <c r="P639" s="30" t="n">
        <v>3.48</v>
      </c>
      <c r="Q639" s="27" t="s">
        <v>3486</v>
      </c>
      <c r="R639" s="27" t="s">
        <v>30</v>
      </c>
    </row>
    <row r="640" customFormat="false" ht="15" hidden="false" customHeight="false" outlineLevel="0" collapsed="false">
      <c r="A640" s="25" t="n">
        <f aca="false">IF(G640="REJECT",COUNTIF($G$2:$G$2277,"&lt;&gt;REJECT")+1+COUNTIFS($G$2:$G$2277,"REJECT",$B$2:$B$2277,"&gt;"&amp;B640),1+COUNTIFS($G$2:$G$2277,"&lt;&gt;REJECT",$B$2:$B$2277,"&gt;"&amp;B640))</f>
        <v>639</v>
      </c>
      <c r="B640" s="26" t="n">
        <f aca="false">ROUND(($U$2*MAX(0,MIN(1,($W$2-I640)/($W$2-$V$2)))+$U$3*MAX(0,MIN(1,($W$3-J640)/($W$3-$V$3)))+$U$4*MAX(0,MIN(1,($W$4-K640)/($W$4-$V$4)))+$U$5*MAX(0,MIN(1,($W$5-L640)/($W$5-$V$5)))+$U$6*MAX(0,MIN(1,($W$6-M640)/($W$6-$V$6)))+$U$7*MAX(0,MIN(1,($W$7-N640)/($W$7-$V$7)))+$U$8*IF(AND(O640&gt;=$V$8,O640&lt;=$W$8),1,0))/$U$9*100,2)</f>
        <v>86.54</v>
      </c>
      <c r="C640" s="27" t="s">
        <v>584</v>
      </c>
      <c r="D640" s="25" t="s">
        <v>3459</v>
      </c>
      <c r="E640" s="25" t="s">
        <v>3450</v>
      </c>
      <c r="F640" s="25" t="s">
        <v>3457</v>
      </c>
      <c r="G640" s="28" t="s">
        <v>29</v>
      </c>
      <c r="H640" s="28" t="s">
        <v>25</v>
      </c>
      <c r="I640" s="25" t="n">
        <v>0</v>
      </c>
      <c r="J640" s="25" t="n">
        <v>0</v>
      </c>
      <c r="K640" s="25" t="n">
        <v>0</v>
      </c>
      <c r="L640" s="29" t="n">
        <v>0.67</v>
      </c>
      <c r="M640" s="30" t="n">
        <v>26.76</v>
      </c>
      <c r="N640" s="29" t="n">
        <v>0.72</v>
      </c>
      <c r="O640" s="25" t="n">
        <v>240</v>
      </c>
      <c r="P640" s="30" t="n">
        <v>6.83</v>
      </c>
      <c r="Q640" s="27"/>
      <c r="R640" s="27" t="s">
        <v>61</v>
      </c>
    </row>
    <row r="641" customFormat="false" ht="15" hidden="false" customHeight="false" outlineLevel="0" collapsed="false">
      <c r="A641" s="25" t="n">
        <f aca="false">IF(G641="REJECT",COUNTIF($G$2:$G$2277,"&lt;&gt;REJECT")+1+COUNTIFS($G$2:$G$2277,"REJECT",$B$2:$B$2277,"&gt;"&amp;B641),1+COUNTIFS($G$2:$G$2277,"&lt;&gt;REJECT",$B$2:$B$2277,"&gt;"&amp;B641))</f>
        <v>640</v>
      </c>
      <c r="B641" s="26" t="n">
        <f aca="false">ROUND(($U$2*MAX(0,MIN(1,($W$2-I641)/($W$2-$V$2)))+$U$3*MAX(0,MIN(1,($W$3-J641)/($W$3-$V$3)))+$U$4*MAX(0,MIN(1,($W$4-K641)/($W$4-$V$4)))+$U$5*MAX(0,MIN(1,($W$5-L641)/($W$5-$V$5)))+$U$6*MAX(0,MIN(1,($W$6-M641)/($W$6-$V$6)))+$U$7*MAX(0,MIN(1,($W$7-N641)/($W$7-$V$7)))+$U$8*IF(AND(O641&gt;=$V$8,O641&lt;=$W$8),1,0))/$U$9*100,2)</f>
        <v>86.49</v>
      </c>
      <c r="C641" s="27" t="s">
        <v>2761</v>
      </c>
      <c r="D641" s="25" t="s">
        <v>3459</v>
      </c>
      <c r="E641" s="25" t="s">
        <v>3447</v>
      </c>
      <c r="F641" s="25" t="s">
        <v>3457</v>
      </c>
      <c r="G641" s="38" t="s">
        <v>30</v>
      </c>
      <c r="H641" s="28" t="s">
        <v>25</v>
      </c>
      <c r="I641" s="25" t="n">
        <v>2</v>
      </c>
      <c r="J641" s="25" t="n">
        <v>0</v>
      </c>
      <c r="K641" s="25" t="n">
        <v>0</v>
      </c>
      <c r="L641" s="29" t="n">
        <v>0.94</v>
      </c>
      <c r="M641" s="30" t="n">
        <v>23.35</v>
      </c>
      <c r="N641" s="29" t="n">
        <v>0.52</v>
      </c>
      <c r="O641" s="25" t="n">
        <v>184</v>
      </c>
      <c r="P641" s="30" t="n">
        <v>-0.75</v>
      </c>
      <c r="Q641" s="27" t="s">
        <v>3494</v>
      </c>
      <c r="R641" s="27" t="s">
        <v>992</v>
      </c>
    </row>
    <row r="642" customFormat="false" ht="15" hidden="false" customHeight="false" outlineLevel="0" collapsed="false">
      <c r="A642" s="25" t="n">
        <f aca="false">IF(G642="REJECT",COUNTIF($G$2:$G$2277,"&lt;&gt;REJECT")+1+COUNTIFS($G$2:$G$2277,"REJECT",$B$2:$B$2277,"&gt;"&amp;B642),1+COUNTIFS($G$2:$G$2277,"&lt;&gt;REJECT",$B$2:$B$2277,"&gt;"&amp;B642))</f>
        <v>641</v>
      </c>
      <c r="B642" s="26" t="n">
        <f aca="false">ROUND(($U$2*MAX(0,MIN(1,($W$2-I642)/($W$2-$V$2)))+$U$3*MAX(0,MIN(1,($W$3-J642)/($W$3-$V$3)))+$U$4*MAX(0,MIN(1,($W$4-K642)/($W$4-$V$4)))+$U$5*MAX(0,MIN(1,($W$5-L642)/($W$5-$V$5)))+$U$6*MAX(0,MIN(1,($W$6-M642)/($W$6-$V$6)))+$U$7*MAX(0,MIN(1,($W$7-N642)/($W$7-$V$7)))+$U$8*IF(AND(O642&gt;=$V$8,O642&lt;=$W$8),1,0))/$U$9*100,2)</f>
        <v>86.43</v>
      </c>
      <c r="C642" s="27" t="s">
        <v>545</v>
      </c>
      <c r="D642" s="25" t="s">
        <v>134</v>
      </c>
      <c r="E642" s="25" t="s">
        <v>3450</v>
      </c>
      <c r="F642" s="25" t="s">
        <v>3457</v>
      </c>
      <c r="G642" s="28" t="s">
        <v>29</v>
      </c>
      <c r="H642" s="28" t="s">
        <v>25</v>
      </c>
      <c r="I642" s="25" t="n">
        <v>0</v>
      </c>
      <c r="J642" s="25" t="n">
        <v>0</v>
      </c>
      <c r="K642" s="25" t="n">
        <v>0</v>
      </c>
      <c r="L642" s="29" t="n">
        <v>0.62</v>
      </c>
      <c r="M642" s="30" t="n">
        <v>13.83</v>
      </c>
      <c r="N642" s="29" t="n">
        <v>0.28</v>
      </c>
      <c r="O642" s="25" t="n">
        <v>198</v>
      </c>
      <c r="P642" s="30" t="n">
        <v>-0.98</v>
      </c>
      <c r="Q642" s="27"/>
      <c r="R642" s="27" t="s">
        <v>3466</v>
      </c>
    </row>
    <row r="643" customFormat="false" ht="15" hidden="false" customHeight="false" outlineLevel="0" collapsed="false">
      <c r="A643" s="25" t="n">
        <f aca="false">IF(G643="REJECT",COUNTIF($G$2:$G$2277,"&lt;&gt;REJECT")+1+COUNTIFS($G$2:$G$2277,"REJECT",$B$2:$B$2277,"&gt;"&amp;B643),1+COUNTIFS($G$2:$G$2277,"&lt;&gt;REJECT",$B$2:$B$2277,"&gt;"&amp;B643))</f>
        <v>641</v>
      </c>
      <c r="B643" s="26" t="n">
        <f aca="false">ROUND(($U$2*MAX(0,MIN(1,($W$2-I643)/($W$2-$V$2)))+$U$3*MAX(0,MIN(1,($W$3-J643)/($W$3-$V$3)))+$U$4*MAX(0,MIN(1,($W$4-K643)/($W$4-$V$4)))+$U$5*MAX(0,MIN(1,($W$5-L643)/($W$5-$V$5)))+$U$6*MAX(0,MIN(1,($W$6-M643)/($W$6-$V$6)))+$U$7*MAX(0,MIN(1,($W$7-N643)/($W$7-$V$7)))+$U$8*IF(AND(O643&gt;=$V$8,O643&lt;=$W$8),1,0))/$U$9*100,2)</f>
        <v>86.43</v>
      </c>
      <c r="C643" s="27" t="s">
        <v>2746</v>
      </c>
      <c r="D643" s="25" t="s">
        <v>134</v>
      </c>
      <c r="E643" s="25" t="s">
        <v>3447</v>
      </c>
      <c r="F643" s="25" t="s">
        <v>3457</v>
      </c>
      <c r="G643" s="38" t="s">
        <v>30</v>
      </c>
      <c r="H643" s="28" t="s">
        <v>25</v>
      </c>
      <c r="I643" s="25" t="n">
        <v>1</v>
      </c>
      <c r="J643" s="25" t="n">
        <v>0</v>
      </c>
      <c r="K643" s="25" t="n">
        <v>1</v>
      </c>
      <c r="L643" s="29" t="n">
        <v>0.74</v>
      </c>
      <c r="M643" s="30" t="n">
        <v>20.72</v>
      </c>
      <c r="N643" s="29" t="n">
        <v>0.16</v>
      </c>
      <c r="O643" s="25" t="n">
        <v>182</v>
      </c>
      <c r="P643" s="30" t="n">
        <v>4.73</v>
      </c>
      <c r="Q643" s="27" t="s">
        <v>3476</v>
      </c>
      <c r="R643" s="27" t="s">
        <v>992</v>
      </c>
    </row>
    <row r="644" customFormat="false" ht="15" hidden="false" customHeight="false" outlineLevel="0" collapsed="false">
      <c r="A644" s="25" t="n">
        <f aca="false">IF(G644="REJECT",COUNTIF($G$2:$G$2277,"&lt;&gt;REJECT")+1+COUNTIFS($G$2:$G$2277,"REJECT",$B$2:$B$2277,"&gt;"&amp;B644),1+COUNTIFS($G$2:$G$2277,"&lt;&gt;REJECT",$B$2:$B$2277,"&gt;"&amp;B644))</f>
        <v>641</v>
      </c>
      <c r="B644" s="26" t="n">
        <f aca="false">ROUND(($U$2*MAX(0,MIN(1,($W$2-I644)/($W$2-$V$2)))+$U$3*MAX(0,MIN(1,($W$3-J644)/($W$3-$V$3)))+$U$4*MAX(0,MIN(1,($W$4-K644)/($W$4-$V$4)))+$U$5*MAX(0,MIN(1,($W$5-L644)/($W$5-$V$5)))+$U$6*MAX(0,MIN(1,($W$6-M644)/($W$6-$V$6)))+$U$7*MAX(0,MIN(1,($W$7-N644)/($W$7-$V$7)))+$U$8*IF(AND(O644&gt;=$V$8,O644&lt;=$W$8),1,0))/$U$9*100,2)</f>
        <v>86.43</v>
      </c>
      <c r="C644" s="27" t="s">
        <v>3151</v>
      </c>
      <c r="D644" s="25" t="s">
        <v>134</v>
      </c>
      <c r="E644" s="25" t="s">
        <v>3447</v>
      </c>
      <c r="F644" s="25" t="s">
        <v>3457</v>
      </c>
      <c r="G644" s="28" t="s">
        <v>29</v>
      </c>
      <c r="H644" s="28" t="s">
        <v>25</v>
      </c>
      <c r="I644" s="25" t="n">
        <v>0</v>
      </c>
      <c r="J644" s="25" t="n">
        <v>0</v>
      </c>
      <c r="K644" s="25" t="n">
        <v>0</v>
      </c>
      <c r="L644" s="29" t="n">
        <v>0.68</v>
      </c>
      <c r="M644" s="30" t="n">
        <v>29.81</v>
      </c>
      <c r="N644" s="29" t="n">
        <v>0.84</v>
      </c>
      <c r="O644" s="25" t="n">
        <v>183</v>
      </c>
      <c r="P644" s="30" t="n">
        <v>-0.21</v>
      </c>
      <c r="Q644" s="27"/>
      <c r="R644" s="27" t="s">
        <v>61</v>
      </c>
    </row>
    <row r="645" customFormat="false" ht="15" hidden="false" customHeight="false" outlineLevel="0" collapsed="false">
      <c r="A645" s="25" t="n">
        <f aca="false">IF(G645="REJECT",COUNTIF($G$2:$G$2277,"&lt;&gt;REJECT")+1+COUNTIFS($G$2:$G$2277,"REJECT",$B$2:$B$2277,"&gt;"&amp;B645),1+COUNTIFS($G$2:$G$2277,"&lt;&gt;REJECT",$B$2:$B$2277,"&gt;"&amp;B645))</f>
        <v>644</v>
      </c>
      <c r="B645" s="26" t="n">
        <f aca="false">ROUND(($U$2*MAX(0,MIN(1,($W$2-I645)/($W$2-$V$2)))+$U$3*MAX(0,MIN(1,($W$3-J645)/($W$3-$V$3)))+$U$4*MAX(0,MIN(1,($W$4-K645)/($W$4-$V$4)))+$U$5*MAX(0,MIN(1,($W$5-L645)/($W$5-$V$5)))+$U$6*MAX(0,MIN(1,($W$6-M645)/($W$6-$V$6)))+$U$7*MAX(0,MIN(1,($W$7-N645)/($W$7-$V$7)))+$U$8*IF(AND(O645&gt;=$V$8,O645&lt;=$W$8),1,0))/$U$9*100,2)</f>
        <v>86.42</v>
      </c>
      <c r="C645" s="27" t="s">
        <v>1110</v>
      </c>
      <c r="D645" s="25" t="s">
        <v>134</v>
      </c>
      <c r="E645" s="25" t="s">
        <v>3447</v>
      </c>
      <c r="F645" s="25" t="s">
        <v>3457</v>
      </c>
      <c r="G645" s="38" t="s">
        <v>30</v>
      </c>
      <c r="H645" s="33" t="s">
        <v>24</v>
      </c>
      <c r="I645" s="25" t="n">
        <v>1</v>
      </c>
      <c r="J645" s="25" t="n">
        <v>0</v>
      </c>
      <c r="K645" s="25" t="n">
        <v>1</v>
      </c>
      <c r="L645" s="29" t="n">
        <v>0.73</v>
      </c>
      <c r="M645" s="30" t="n">
        <v>10.41</v>
      </c>
      <c r="N645" s="29" t="n">
        <v>0.84</v>
      </c>
      <c r="O645" s="25" t="n">
        <v>183</v>
      </c>
      <c r="P645" s="30" t="n">
        <v>-1.9</v>
      </c>
      <c r="Q645" s="27" t="s">
        <v>3495</v>
      </c>
      <c r="R645" s="27" t="s">
        <v>30</v>
      </c>
    </row>
    <row r="646" customFormat="false" ht="15" hidden="false" customHeight="false" outlineLevel="0" collapsed="false">
      <c r="A646" s="25" t="n">
        <f aca="false">IF(G646="REJECT",COUNTIF($G$2:$G$2277,"&lt;&gt;REJECT")+1+COUNTIFS($G$2:$G$2277,"REJECT",$B$2:$B$2277,"&gt;"&amp;B646),1+COUNTIFS($G$2:$G$2277,"&lt;&gt;REJECT",$B$2:$B$2277,"&gt;"&amp;B646))</f>
        <v>645</v>
      </c>
      <c r="B646" s="26" t="n">
        <f aca="false">ROUND(($U$2*MAX(0,MIN(1,($W$2-I646)/($W$2-$V$2)))+$U$3*MAX(0,MIN(1,($W$3-J646)/($W$3-$V$3)))+$U$4*MAX(0,MIN(1,($W$4-K646)/($W$4-$V$4)))+$U$5*MAX(0,MIN(1,($W$5-L646)/($W$5-$V$5)))+$U$6*MAX(0,MIN(1,($W$6-M646)/($W$6-$V$6)))+$U$7*MAX(0,MIN(1,($W$7-N646)/($W$7-$V$7)))+$U$8*IF(AND(O646&gt;=$V$8,O646&lt;=$W$8),1,0))/$U$9*100,2)</f>
        <v>86.36</v>
      </c>
      <c r="C646" s="27" t="s">
        <v>911</v>
      </c>
      <c r="D646" s="25" t="s">
        <v>134</v>
      </c>
      <c r="E646" s="25" t="s">
        <v>3447</v>
      </c>
      <c r="F646" s="25" t="s">
        <v>3457</v>
      </c>
      <c r="G646" s="38" t="s">
        <v>30</v>
      </c>
      <c r="H646" s="33" t="s">
        <v>24</v>
      </c>
      <c r="I646" s="25" t="n">
        <v>1</v>
      </c>
      <c r="J646" s="25" t="n">
        <v>0</v>
      </c>
      <c r="K646" s="25" t="n">
        <v>1</v>
      </c>
      <c r="L646" s="29" t="n">
        <v>0.74</v>
      </c>
      <c r="M646" s="30" t="n">
        <v>18.37</v>
      </c>
      <c r="N646" s="29" t="n">
        <v>0.44</v>
      </c>
      <c r="O646" s="25" t="n">
        <v>184</v>
      </c>
      <c r="P646" s="30" t="n">
        <v>3.55</v>
      </c>
      <c r="Q646" s="27" t="s">
        <v>3485</v>
      </c>
      <c r="R646" s="27" t="s">
        <v>30</v>
      </c>
    </row>
    <row r="647" customFormat="false" ht="15" hidden="false" customHeight="false" outlineLevel="0" collapsed="false">
      <c r="A647" s="25" t="n">
        <f aca="false">IF(G647="REJECT",COUNTIF($G$2:$G$2277,"&lt;&gt;REJECT")+1+COUNTIFS($G$2:$G$2277,"REJECT",$B$2:$B$2277,"&gt;"&amp;B647),1+COUNTIFS($G$2:$G$2277,"&lt;&gt;REJECT",$B$2:$B$2277,"&gt;"&amp;B647))</f>
        <v>646</v>
      </c>
      <c r="B647" s="26" t="n">
        <f aca="false">ROUND(($U$2*MAX(0,MIN(1,($W$2-I647)/($W$2-$V$2)))+$U$3*MAX(0,MIN(1,($W$3-J647)/($W$3-$V$3)))+$U$4*MAX(0,MIN(1,($W$4-K647)/($W$4-$V$4)))+$U$5*MAX(0,MIN(1,($W$5-L647)/($W$5-$V$5)))+$U$6*MAX(0,MIN(1,($W$6-M647)/($W$6-$V$6)))+$U$7*MAX(0,MIN(1,($W$7-N647)/($W$7-$V$7)))+$U$8*IF(AND(O647&gt;=$V$8,O647&lt;=$W$8),1,0))/$U$9*100,2)</f>
        <v>86.32</v>
      </c>
      <c r="C647" s="27" t="s">
        <v>867</v>
      </c>
      <c r="D647" s="25" t="s">
        <v>134</v>
      </c>
      <c r="E647" s="25" t="s">
        <v>3447</v>
      </c>
      <c r="F647" s="25" t="s">
        <v>3457</v>
      </c>
      <c r="G647" s="33" t="s">
        <v>28</v>
      </c>
      <c r="H647" s="33" t="s">
        <v>24</v>
      </c>
      <c r="I647" s="25" t="n">
        <v>0</v>
      </c>
      <c r="J647" s="25" t="n">
        <v>0</v>
      </c>
      <c r="K647" s="25" t="n">
        <v>0</v>
      </c>
      <c r="L647" s="29" t="n">
        <v>0.63</v>
      </c>
      <c r="M647" s="30" t="n">
        <v>13.67</v>
      </c>
      <c r="N647" s="29" t="n">
        <v>0.72</v>
      </c>
      <c r="O647" s="25" t="n">
        <v>189</v>
      </c>
      <c r="P647" s="30" t="n">
        <v>0.15</v>
      </c>
      <c r="Q647" s="27"/>
      <c r="R647" s="27"/>
    </row>
    <row r="648" customFormat="false" ht="15" hidden="false" customHeight="false" outlineLevel="0" collapsed="false">
      <c r="A648" s="25" t="n">
        <f aca="false">IF(G648="REJECT",COUNTIF($G$2:$G$2277,"&lt;&gt;REJECT")+1+COUNTIFS($G$2:$G$2277,"REJECT",$B$2:$B$2277,"&gt;"&amp;B648),1+COUNTIFS($G$2:$G$2277,"&lt;&gt;REJECT",$B$2:$B$2277,"&gt;"&amp;B648))</f>
        <v>647</v>
      </c>
      <c r="B648" s="26" t="n">
        <f aca="false">ROUND(($U$2*MAX(0,MIN(1,($W$2-I648)/($W$2-$V$2)))+$U$3*MAX(0,MIN(1,($W$3-J648)/($W$3-$V$3)))+$U$4*MAX(0,MIN(1,($W$4-K648)/($W$4-$V$4)))+$U$5*MAX(0,MIN(1,($W$5-L648)/($W$5-$V$5)))+$U$6*MAX(0,MIN(1,($W$6-M648)/($W$6-$V$6)))+$U$7*MAX(0,MIN(1,($W$7-N648)/($W$7-$V$7)))+$U$8*IF(AND(O648&gt;=$V$8,O648&lt;=$W$8),1,0))/$U$9*100,2)</f>
        <v>86.29</v>
      </c>
      <c r="C648" s="27" t="s">
        <v>830</v>
      </c>
      <c r="D648" s="25" t="s">
        <v>134</v>
      </c>
      <c r="E648" s="25" t="s">
        <v>3450</v>
      </c>
      <c r="F648" s="25" t="s">
        <v>3457</v>
      </c>
      <c r="G648" s="28" t="s">
        <v>29</v>
      </c>
      <c r="H648" s="28" t="s">
        <v>25</v>
      </c>
      <c r="I648" s="25" t="n">
        <v>0</v>
      </c>
      <c r="J648" s="25" t="n">
        <v>0</v>
      </c>
      <c r="K648" s="25" t="n">
        <v>0</v>
      </c>
      <c r="L648" s="29" t="n">
        <v>0.67</v>
      </c>
      <c r="M648" s="30" t="n">
        <v>28.66</v>
      </c>
      <c r="N648" s="29" t="n">
        <v>0.68</v>
      </c>
      <c r="O648" s="25" t="n">
        <v>183</v>
      </c>
      <c r="P648" s="30" t="n">
        <v>16.79</v>
      </c>
      <c r="Q648" s="27"/>
      <c r="R648" s="27" t="s">
        <v>61</v>
      </c>
    </row>
    <row r="649" customFormat="false" ht="15" hidden="false" customHeight="false" outlineLevel="0" collapsed="false">
      <c r="A649" s="25" t="n">
        <f aca="false">IF(G649="REJECT",COUNTIF($G$2:$G$2277,"&lt;&gt;REJECT")+1+COUNTIFS($G$2:$G$2277,"REJECT",$B$2:$B$2277,"&gt;"&amp;B649),1+COUNTIFS($G$2:$G$2277,"&lt;&gt;REJECT",$B$2:$B$2277,"&gt;"&amp;B649))</f>
        <v>648</v>
      </c>
      <c r="B649" s="26" t="n">
        <f aca="false">ROUND(($U$2*MAX(0,MIN(1,($W$2-I649)/($W$2-$V$2)))+$U$3*MAX(0,MIN(1,($W$3-J649)/($W$3-$V$3)))+$U$4*MAX(0,MIN(1,($W$4-K649)/($W$4-$V$4)))+$U$5*MAX(0,MIN(1,($W$5-L649)/($W$5-$V$5)))+$U$6*MAX(0,MIN(1,($W$6-M649)/($W$6-$V$6)))+$U$7*MAX(0,MIN(1,($W$7-N649)/($W$7-$V$7)))+$U$8*IF(AND(O649&gt;=$V$8,O649&lt;=$W$8),1,0))/$U$9*100,2)</f>
        <v>86.26</v>
      </c>
      <c r="C649" s="27" t="s">
        <v>3182</v>
      </c>
      <c r="D649" s="25" t="s">
        <v>134</v>
      </c>
      <c r="E649" s="25" t="s">
        <v>3447</v>
      </c>
      <c r="F649" s="25" t="s">
        <v>3457</v>
      </c>
      <c r="G649" s="38" t="s">
        <v>30</v>
      </c>
      <c r="H649" s="33" t="s">
        <v>24</v>
      </c>
      <c r="I649" s="25" t="n">
        <v>1</v>
      </c>
      <c r="J649" s="25" t="n">
        <v>0</v>
      </c>
      <c r="K649" s="25" t="n">
        <v>1</v>
      </c>
      <c r="L649" s="29" t="n">
        <v>0.74</v>
      </c>
      <c r="M649" s="30" t="n">
        <v>18.54</v>
      </c>
      <c r="N649" s="29" t="n">
        <v>0.48</v>
      </c>
      <c r="O649" s="25" t="n">
        <v>186</v>
      </c>
      <c r="P649" s="30" t="n">
        <v>-1.39</v>
      </c>
      <c r="Q649" s="27" t="s">
        <v>3486</v>
      </c>
      <c r="R649" s="27" t="s">
        <v>30</v>
      </c>
    </row>
    <row r="650" customFormat="false" ht="15" hidden="false" customHeight="false" outlineLevel="0" collapsed="false">
      <c r="A650" s="25" t="n">
        <f aca="false">IF(G650="REJECT",COUNTIF($G$2:$G$2277,"&lt;&gt;REJECT")+1+COUNTIFS($G$2:$G$2277,"REJECT",$B$2:$B$2277,"&gt;"&amp;B650),1+COUNTIFS($G$2:$G$2277,"&lt;&gt;REJECT",$B$2:$B$2277,"&gt;"&amp;B650))</f>
        <v>649</v>
      </c>
      <c r="B650" s="26" t="n">
        <f aca="false">ROUND(($U$2*MAX(0,MIN(1,($W$2-I650)/($W$2-$V$2)))+$U$3*MAX(0,MIN(1,($W$3-J650)/($W$3-$V$3)))+$U$4*MAX(0,MIN(1,($W$4-K650)/($W$4-$V$4)))+$U$5*MAX(0,MIN(1,($W$5-L650)/($W$5-$V$5)))+$U$6*MAX(0,MIN(1,($W$6-M650)/($W$6-$V$6)))+$U$7*MAX(0,MIN(1,($W$7-N650)/($W$7-$V$7)))+$U$8*IF(AND(O650&gt;=$V$8,O650&lt;=$W$8),1,0))/$U$9*100,2)</f>
        <v>86.17</v>
      </c>
      <c r="C650" s="27" t="s">
        <v>1390</v>
      </c>
      <c r="D650" s="25" t="s">
        <v>3459</v>
      </c>
      <c r="E650" s="25" t="s">
        <v>3450</v>
      </c>
      <c r="F650" s="25" t="s">
        <v>3457</v>
      </c>
      <c r="G650" s="38" t="s">
        <v>30</v>
      </c>
      <c r="H650" s="28" t="s">
        <v>25</v>
      </c>
      <c r="I650" s="25" t="n">
        <v>1</v>
      </c>
      <c r="J650" s="25" t="n">
        <v>0</v>
      </c>
      <c r="K650" s="25" t="n">
        <v>0</v>
      </c>
      <c r="L650" s="29" t="n">
        <v>0.74</v>
      </c>
      <c r="M650" s="30" t="n">
        <v>29.53</v>
      </c>
      <c r="N650" s="29" t="n">
        <v>0.56</v>
      </c>
      <c r="O650" s="25" t="n">
        <v>196</v>
      </c>
      <c r="P650" s="30" t="n">
        <v>11.27</v>
      </c>
      <c r="Q650" s="27" t="s">
        <v>3482</v>
      </c>
      <c r="R650" s="27" t="s">
        <v>144</v>
      </c>
    </row>
    <row r="651" customFormat="false" ht="15" hidden="false" customHeight="false" outlineLevel="0" collapsed="false">
      <c r="A651" s="25" t="n">
        <f aca="false">IF(G651="REJECT",COUNTIF($G$2:$G$2277,"&lt;&gt;REJECT")+1+COUNTIFS($G$2:$G$2277,"REJECT",$B$2:$B$2277,"&gt;"&amp;B651),1+COUNTIFS($G$2:$G$2277,"&lt;&gt;REJECT",$B$2:$B$2277,"&gt;"&amp;B651))</f>
        <v>649</v>
      </c>
      <c r="B651" s="26" t="n">
        <f aca="false">ROUND(($U$2*MAX(0,MIN(1,($W$2-I651)/($W$2-$V$2)))+$U$3*MAX(0,MIN(1,($W$3-J651)/($W$3-$V$3)))+$U$4*MAX(0,MIN(1,($W$4-K651)/($W$4-$V$4)))+$U$5*MAX(0,MIN(1,($W$5-L651)/($W$5-$V$5)))+$U$6*MAX(0,MIN(1,($W$6-M651)/($W$6-$V$6)))+$U$7*MAX(0,MIN(1,($W$7-N651)/($W$7-$V$7)))+$U$8*IF(AND(O651&gt;=$V$8,O651&lt;=$W$8),1,0))/$U$9*100,2)</f>
        <v>86.17</v>
      </c>
      <c r="C651" s="27" t="s">
        <v>3320</v>
      </c>
      <c r="D651" s="25" t="s">
        <v>134</v>
      </c>
      <c r="E651" s="25" t="s">
        <v>3450</v>
      </c>
      <c r="F651" s="25" t="s">
        <v>3448</v>
      </c>
      <c r="G651" s="28" t="s">
        <v>29</v>
      </c>
      <c r="H651" s="28" t="s">
        <v>25</v>
      </c>
      <c r="I651" s="25" t="n">
        <v>0</v>
      </c>
      <c r="J651" s="25" t="n">
        <v>0</v>
      </c>
      <c r="K651" s="25" t="n">
        <v>0</v>
      </c>
      <c r="L651" s="29" t="n">
        <v>0.72</v>
      </c>
      <c r="M651" s="30" t="n">
        <v>20.16</v>
      </c>
      <c r="N651" s="29" t="n">
        <v>0.4</v>
      </c>
      <c r="O651" s="25" t="n">
        <v>247</v>
      </c>
      <c r="P651" s="30" t="n">
        <v>15.1</v>
      </c>
      <c r="Q651" s="27"/>
      <c r="R651" s="27" t="s">
        <v>3496</v>
      </c>
    </row>
    <row r="652" customFormat="false" ht="15" hidden="false" customHeight="false" outlineLevel="0" collapsed="false">
      <c r="A652" s="25" t="n">
        <f aca="false">IF(G652="REJECT",COUNTIF($G$2:$G$2277,"&lt;&gt;REJECT")+1+COUNTIFS($G$2:$G$2277,"REJECT",$B$2:$B$2277,"&gt;"&amp;B652),1+COUNTIFS($G$2:$G$2277,"&lt;&gt;REJECT",$B$2:$B$2277,"&gt;"&amp;B652))</f>
        <v>651</v>
      </c>
      <c r="B652" s="26" t="n">
        <f aca="false">ROUND(($U$2*MAX(0,MIN(1,($W$2-I652)/($W$2-$V$2)))+$U$3*MAX(0,MIN(1,($W$3-J652)/($W$3-$V$3)))+$U$4*MAX(0,MIN(1,($W$4-K652)/($W$4-$V$4)))+$U$5*MAX(0,MIN(1,($W$5-L652)/($W$5-$V$5)))+$U$6*MAX(0,MIN(1,($W$6-M652)/($W$6-$V$6)))+$U$7*MAX(0,MIN(1,($W$7-N652)/($W$7-$V$7)))+$U$8*IF(AND(O652&gt;=$V$8,O652&lt;=$W$8),1,0))/$U$9*100,2)</f>
        <v>86.14</v>
      </c>
      <c r="C652" s="27" t="s">
        <v>676</v>
      </c>
      <c r="D652" s="25" t="s">
        <v>134</v>
      </c>
      <c r="E652" s="25" t="s">
        <v>3447</v>
      </c>
      <c r="F652" s="25" t="s">
        <v>3448</v>
      </c>
      <c r="G652" s="38" t="s">
        <v>30</v>
      </c>
      <c r="H652" s="28" t="s">
        <v>25</v>
      </c>
      <c r="I652" s="25" t="n">
        <v>2</v>
      </c>
      <c r="J652" s="25" t="n">
        <v>0</v>
      </c>
      <c r="K652" s="25" t="n">
        <v>2</v>
      </c>
      <c r="L652" s="29" t="n">
        <v>0.82</v>
      </c>
      <c r="M652" s="30" t="n">
        <v>0.98</v>
      </c>
      <c r="N652" s="29" t="n">
        <v>0.72</v>
      </c>
      <c r="O652" s="25" t="n">
        <v>184</v>
      </c>
      <c r="P652" s="30" t="n">
        <v>-0.13</v>
      </c>
      <c r="Q652" s="27" t="s">
        <v>3497</v>
      </c>
      <c r="R652" s="27" t="s">
        <v>2133</v>
      </c>
    </row>
    <row r="653" customFormat="false" ht="15" hidden="false" customHeight="false" outlineLevel="0" collapsed="false">
      <c r="A653" s="25" t="n">
        <f aca="false">IF(G653="REJECT",COUNTIF($G$2:$G$2277,"&lt;&gt;REJECT")+1+COUNTIFS($G$2:$G$2277,"REJECT",$B$2:$B$2277,"&gt;"&amp;B653),1+COUNTIFS($G$2:$G$2277,"&lt;&gt;REJECT",$B$2:$B$2277,"&gt;"&amp;B653))</f>
        <v>652</v>
      </c>
      <c r="B653" s="26" t="n">
        <f aca="false">ROUND(($U$2*MAX(0,MIN(1,($W$2-I653)/($W$2-$V$2)))+$U$3*MAX(0,MIN(1,($W$3-J653)/($W$3-$V$3)))+$U$4*MAX(0,MIN(1,($W$4-K653)/($W$4-$V$4)))+$U$5*MAX(0,MIN(1,($W$5-L653)/($W$5-$V$5)))+$U$6*MAX(0,MIN(1,($W$6-M653)/($W$6-$V$6)))+$U$7*MAX(0,MIN(1,($W$7-N653)/($W$7-$V$7)))+$U$8*IF(AND(O653&gt;=$V$8,O653&lt;=$W$8),1,0))/$U$9*100,2)</f>
        <v>86.05</v>
      </c>
      <c r="C653" s="27" t="s">
        <v>1859</v>
      </c>
      <c r="D653" s="25" t="s">
        <v>134</v>
      </c>
      <c r="E653" s="25" t="s">
        <v>3450</v>
      </c>
      <c r="F653" s="25" t="s">
        <v>3448</v>
      </c>
      <c r="G653" s="28" t="s">
        <v>29</v>
      </c>
      <c r="H653" s="28" t="s">
        <v>25</v>
      </c>
      <c r="I653" s="25" t="n">
        <v>0</v>
      </c>
      <c r="J653" s="25" t="n">
        <v>0</v>
      </c>
      <c r="K653" s="25" t="n">
        <v>0</v>
      </c>
      <c r="L653" s="29" t="n">
        <v>0.61</v>
      </c>
      <c r="M653" s="30" t="n">
        <v>10.93</v>
      </c>
      <c r="N653" s="29" t="n">
        <v>0.44</v>
      </c>
      <c r="O653" s="25" t="n">
        <v>188</v>
      </c>
      <c r="P653" s="30" t="n">
        <v>-0.64</v>
      </c>
      <c r="Q653" s="27"/>
      <c r="R653" s="27" t="s">
        <v>62</v>
      </c>
    </row>
    <row r="654" customFormat="false" ht="15" hidden="false" customHeight="false" outlineLevel="0" collapsed="false">
      <c r="A654" s="25" t="n">
        <f aca="false">IF(G654="REJECT",COUNTIF($G$2:$G$2277,"&lt;&gt;REJECT")+1+COUNTIFS($G$2:$G$2277,"REJECT",$B$2:$B$2277,"&gt;"&amp;B654),1+COUNTIFS($G$2:$G$2277,"&lt;&gt;REJECT",$B$2:$B$2277,"&gt;"&amp;B654))</f>
        <v>653</v>
      </c>
      <c r="B654" s="26" t="n">
        <f aca="false">ROUND(($U$2*MAX(0,MIN(1,($W$2-I654)/($W$2-$V$2)))+$U$3*MAX(0,MIN(1,($W$3-J654)/($W$3-$V$3)))+$U$4*MAX(0,MIN(1,($W$4-K654)/($W$4-$V$4)))+$U$5*MAX(0,MIN(1,($W$5-L654)/($W$5-$V$5)))+$U$6*MAX(0,MIN(1,($W$6-M654)/($W$6-$V$6)))+$U$7*MAX(0,MIN(1,($W$7-N654)/($W$7-$V$7)))+$U$8*IF(AND(O654&gt;=$V$8,O654&lt;=$W$8),1,0))/$U$9*100,2)</f>
        <v>86.03</v>
      </c>
      <c r="C654" s="27" t="s">
        <v>1737</v>
      </c>
      <c r="D654" s="25" t="s">
        <v>134</v>
      </c>
      <c r="E654" s="25" t="s">
        <v>3447</v>
      </c>
      <c r="F654" s="25" t="s">
        <v>3448</v>
      </c>
      <c r="G654" s="38" t="s">
        <v>30</v>
      </c>
      <c r="H654" s="28" t="s">
        <v>25</v>
      </c>
      <c r="I654" s="25" t="n">
        <v>1</v>
      </c>
      <c r="J654" s="25" t="n">
        <v>0</v>
      </c>
      <c r="K654" s="25" t="n">
        <v>1</v>
      </c>
      <c r="L654" s="29" t="n">
        <v>0.73</v>
      </c>
      <c r="M654" s="30" t="n">
        <v>11.92</v>
      </c>
      <c r="N654" s="29" t="n">
        <v>0.92</v>
      </c>
      <c r="O654" s="25" t="n">
        <v>184</v>
      </c>
      <c r="P654" s="30" t="n">
        <v>-0.91</v>
      </c>
      <c r="Q654" s="27" t="s">
        <v>3474</v>
      </c>
      <c r="R654" s="27" t="s">
        <v>2133</v>
      </c>
    </row>
    <row r="655" customFormat="false" ht="15" hidden="false" customHeight="false" outlineLevel="0" collapsed="false">
      <c r="A655" s="25" t="n">
        <f aca="false">IF(G655="REJECT",COUNTIF($G$2:$G$2277,"&lt;&gt;REJECT")+1+COUNTIFS($G$2:$G$2277,"REJECT",$B$2:$B$2277,"&gt;"&amp;B655),1+COUNTIFS($G$2:$G$2277,"&lt;&gt;REJECT",$B$2:$B$2277,"&gt;"&amp;B655))</f>
        <v>654</v>
      </c>
      <c r="B655" s="26" t="n">
        <f aca="false">ROUND(($U$2*MAX(0,MIN(1,($W$2-I655)/($W$2-$V$2)))+$U$3*MAX(0,MIN(1,($W$3-J655)/($W$3-$V$3)))+$U$4*MAX(0,MIN(1,($W$4-K655)/($W$4-$V$4)))+$U$5*MAX(0,MIN(1,($W$5-L655)/($W$5-$V$5)))+$U$6*MAX(0,MIN(1,($W$6-M655)/($W$6-$V$6)))+$U$7*MAX(0,MIN(1,($W$7-N655)/($W$7-$V$7)))+$U$8*IF(AND(O655&gt;=$V$8,O655&lt;=$W$8),1,0))/$U$9*100,2)</f>
        <v>86</v>
      </c>
      <c r="C655" s="27" t="s">
        <v>418</v>
      </c>
      <c r="D655" s="25" t="s">
        <v>3459</v>
      </c>
      <c r="E655" s="25" t="s">
        <v>3447</v>
      </c>
      <c r="F655" s="25" t="s">
        <v>3448</v>
      </c>
      <c r="G655" s="38" t="s">
        <v>30</v>
      </c>
      <c r="H655" s="33" t="s">
        <v>24</v>
      </c>
      <c r="I655" s="25" t="n">
        <v>2</v>
      </c>
      <c r="J655" s="25" t="n">
        <v>0</v>
      </c>
      <c r="K655" s="25" t="n">
        <v>2</v>
      </c>
      <c r="L655" s="29" t="n">
        <v>0.85</v>
      </c>
      <c r="M655" s="30" t="n">
        <v>5.4</v>
      </c>
      <c r="N655" s="29" t="n">
        <v>0.36</v>
      </c>
      <c r="O655" s="25" t="n">
        <v>183</v>
      </c>
      <c r="P655" s="30" t="n">
        <v>7.18</v>
      </c>
      <c r="Q655" s="27" t="s">
        <v>3498</v>
      </c>
      <c r="R655" s="27" t="s">
        <v>30</v>
      </c>
    </row>
    <row r="656" customFormat="false" ht="15" hidden="false" customHeight="false" outlineLevel="0" collapsed="false">
      <c r="A656" s="25" t="n">
        <f aca="false">IF(G656="REJECT",COUNTIF($G$2:$G$2277,"&lt;&gt;REJECT")+1+COUNTIFS($G$2:$G$2277,"REJECT",$B$2:$B$2277,"&gt;"&amp;B656),1+COUNTIFS($G$2:$G$2277,"&lt;&gt;REJECT",$B$2:$B$2277,"&gt;"&amp;B656))</f>
        <v>655</v>
      </c>
      <c r="B656" s="26" t="n">
        <f aca="false">ROUND(($U$2*MAX(0,MIN(1,($W$2-I656)/($W$2-$V$2)))+$U$3*MAX(0,MIN(1,($W$3-J656)/($W$3-$V$3)))+$U$4*MAX(0,MIN(1,($W$4-K656)/($W$4-$V$4)))+$U$5*MAX(0,MIN(1,($W$5-L656)/($W$5-$V$5)))+$U$6*MAX(0,MIN(1,($W$6-M656)/($W$6-$V$6)))+$U$7*MAX(0,MIN(1,($W$7-N656)/($W$7-$V$7)))+$U$8*IF(AND(O656&gt;=$V$8,O656&lt;=$W$8),1,0))/$U$9*100,2)</f>
        <v>85.78</v>
      </c>
      <c r="C656" s="27" t="s">
        <v>3311</v>
      </c>
      <c r="D656" s="25" t="s">
        <v>134</v>
      </c>
      <c r="E656" s="25" t="s">
        <v>3447</v>
      </c>
      <c r="F656" s="25" t="s">
        <v>3448</v>
      </c>
      <c r="G656" s="38" t="s">
        <v>30</v>
      </c>
      <c r="H656" s="28" t="s">
        <v>25</v>
      </c>
      <c r="I656" s="25" t="n">
        <v>2</v>
      </c>
      <c r="J656" s="25" t="n">
        <v>0</v>
      </c>
      <c r="K656" s="25" t="n">
        <v>2</v>
      </c>
      <c r="L656" s="29" t="n">
        <v>0.83</v>
      </c>
      <c r="M656" s="30" t="n">
        <v>1.1</v>
      </c>
      <c r="N656" s="29" t="n">
        <v>0.92</v>
      </c>
      <c r="O656" s="25" t="n">
        <v>186</v>
      </c>
      <c r="P656" s="30" t="n">
        <v>-1.03</v>
      </c>
      <c r="Q656" s="27" t="s">
        <v>3499</v>
      </c>
      <c r="R656" s="27" t="s">
        <v>2133</v>
      </c>
    </row>
    <row r="657" customFormat="false" ht="15" hidden="false" customHeight="false" outlineLevel="0" collapsed="false">
      <c r="A657" s="25" t="n">
        <f aca="false">IF(G657="REJECT",COUNTIF($G$2:$G$2277,"&lt;&gt;REJECT")+1+COUNTIFS($G$2:$G$2277,"REJECT",$B$2:$B$2277,"&gt;"&amp;B657),1+COUNTIFS($G$2:$G$2277,"&lt;&gt;REJECT",$B$2:$B$2277,"&gt;"&amp;B657))</f>
        <v>656</v>
      </c>
      <c r="B657" s="26" t="n">
        <f aca="false">ROUND(($U$2*MAX(0,MIN(1,($W$2-I657)/($W$2-$V$2)))+$U$3*MAX(0,MIN(1,($W$3-J657)/($W$3-$V$3)))+$U$4*MAX(0,MIN(1,($W$4-K657)/($W$4-$V$4)))+$U$5*MAX(0,MIN(1,($W$5-L657)/($W$5-$V$5)))+$U$6*MAX(0,MIN(1,($W$6-M657)/($W$6-$V$6)))+$U$7*MAX(0,MIN(1,($W$7-N657)/($W$7-$V$7)))+$U$8*IF(AND(O657&gt;=$V$8,O657&lt;=$W$8),1,0))/$U$9*100,2)</f>
        <v>85.76</v>
      </c>
      <c r="C657" s="27" t="s">
        <v>1908</v>
      </c>
      <c r="D657" s="25" t="s">
        <v>134</v>
      </c>
      <c r="E657" s="25" t="s">
        <v>3447</v>
      </c>
      <c r="F657" s="25" t="s">
        <v>3457</v>
      </c>
      <c r="G657" s="38" t="s">
        <v>30</v>
      </c>
      <c r="H657" s="33" t="s">
        <v>24</v>
      </c>
      <c r="I657" s="25" t="n">
        <v>2</v>
      </c>
      <c r="J657" s="25" t="n">
        <v>0</v>
      </c>
      <c r="K657" s="25" t="n">
        <v>2</v>
      </c>
      <c r="L657" s="29" t="n">
        <v>0.87</v>
      </c>
      <c r="M657" s="30" t="n">
        <v>6.44</v>
      </c>
      <c r="N657" s="29" t="n">
        <v>0.4</v>
      </c>
      <c r="O657" s="25" t="n">
        <v>187</v>
      </c>
      <c r="P657" s="30" t="n">
        <v>-2.06</v>
      </c>
      <c r="Q657" s="27" t="s">
        <v>3500</v>
      </c>
      <c r="R657" s="27" t="s">
        <v>30</v>
      </c>
    </row>
    <row r="658" customFormat="false" ht="15" hidden="false" customHeight="false" outlineLevel="0" collapsed="false">
      <c r="A658" s="25" t="n">
        <f aca="false">IF(G658="REJECT",COUNTIF($G$2:$G$2277,"&lt;&gt;REJECT")+1+COUNTIFS($G$2:$G$2277,"REJECT",$B$2:$B$2277,"&gt;"&amp;B658),1+COUNTIFS($G$2:$G$2277,"&lt;&gt;REJECT",$B$2:$B$2277,"&gt;"&amp;B658))</f>
        <v>657</v>
      </c>
      <c r="B658" s="26" t="n">
        <f aca="false">ROUND(($U$2*MAX(0,MIN(1,($W$2-I658)/($W$2-$V$2)))+$U$3*MAX(0,MIN(1,($W$3-J658)/($W$3-$V$3)))+$U$4*MAX(0,MIN(1,($W$4-K658)/($W$4-$V$4)))+$U$5*MAX(0,MIN(1,($W$5-L658)/($W$5-$V$5)))+$U$6*MAX(0,MIN(1,($W$6-M658)/($W$6-$V$6)))+$U$7*MAX(0,MIN(1,($W$7-N658)/($W$7-$V$7)))+$U$8*IF(AND(O658&gt;=$V$8,O658&lt;=$W$8),1,0))/$U$9*100,2)</f>
        <v>85.68</v>
      </c>
      <c r="C658" s="27" t="s">
        <v>2921</v>
      </c>
      <c r="D658" s="25" t="s">
        <v>134</v>
      </c>
      <c r="E658" s="25" t="s">
        <v>3447</v>
      </c>
      <c r="F658" s="25" t="s">
        <v>3457</v>
      </c>
      <c r="G658" s="38" t="s">
        <v>30</v>
      </c>
      <c r="H658" s="33" t="s">
        <v>24</v>
      </c>
      <c r="I658" s="25" t="n">
        <v>2</v>
      </c>
      <c r="J658" s="25" t="n">
        <v>0</v>
      </c>
      <c r="K658" s="25" t="n">
        <v>2</v>
      </c>
      <c r="L658" s="29" t="n">
        <v>0.88</v>
      </c>
      <c r="M658" s="30" t="n">
        <v>3.7</v>
      </c>
      <c r="N658" s="29" t="n">
        <v>0.72</v>
      </c>
      <c r="O658" s="25" t="n">
        <v>185</v>
      </c>
      <c r="P658" s="30" t="n">
        <v>-0.99</v>
      </c>
      <c r="Q658" s="27" t="s">
        <v>3501</v>
      </c>
      <c r="R658" s="27" t="s">
        <v>30</v>
      </c>
    </row>
    <row r="659" customFormat="false" ht="15" hidden="false" customHeight="false" outlineLevel="0" collapsed="false">
      <c r="A659" s="25" t="n">
        <f aca="false">IF(G659="REJECT",COUNTIF($G$2:$G$2277,"&lt;&gt;REJECT")+1+COUNTIFS($G$2:$G$2277,"REJECT",$B$2:$B$2277,"&gt;"&amp;B659),1+COUNTIFS($G$2:$G$2277,"&lt;&gt;REJECT",$B$2:$B$2277,"&gt;"&amp;B659))</f>
        <v>658</v>
      </c>
      <c r="B659" s="26" t="n">
        <f aca="false">ROUND(($U$2*MAX(0,MIN(1,($W$2-I659)/($W$2-$V$2)))+$U$3*MAX(0,MIN(1,($W$3-J659)/($W$3-$V$3)))+$U$4*MAX(0,MIN(1,($W$4-K659)/($W$4-$V$4)))+$U$5*MAX(0,MIN(1,($W$5-L659)/($W$5-$V$5)))+$U$6*MAX(0,MIN(1,($W$6-M659)/($W$6-$V$6)))+$U$7*MAX(0,MIN(1,($W$7-N659)/($W$7-$V$7)))+$U$8*IF(AND(O659&gt;=$V$8,O659&lt;=$W$8),1,0))/$U$9*100,2)</f>
        <v>85.61</v>
      </c>
      <c r="C659" s="27" t="s">
        <v>895</v>
      </c>
      <c r="D659" s="25" t="s">
        <v>134</v>
      </c>
      <c r="E659" s="25" t="s">
        <v>3450</v>
      </c>
      <c r="F659" s="25" t="s">
        <v>3457</v>
      </c>
      <c r="G659" s="38" t="s">
        <v>30</v>
      </c>
      <c r="H659" s="33" t="s">
        <v>24</v>
      </c>
      <c r="I659" s="25" t="n">
        <v>1</v>
      </c>
      <c r="J659" s="25" t="n">
        <v>0</v>
      </c>
      <c r="K659" s="25" t="n">
        <v>1</v>
      </c>
      <c r="L659" s="29" t="n">
        <v>0.71</v>
      </c>
      <c r="M659" s="30" t="n">
        <v>10.82</v>
      </c>
      <c r="N659" s="29" t="n">
        <v>0.56</v>
      </c>
      <c r="O659" s="25" t="n">
        <v>182</v>
      </c>
      <c r="P659" s="30" t="n">
        <v>17.54</v>
      </c>
      <c r="Q659" s="27" t="s">
        <v>3474</v>
      </c>
      <c r="R659" s="27" t="s">
        <v>30</v>
      </c>
    </row>
    <row r="660" customFormat="false" ht="15" hidden="false" customHeight="false" outlineLevel="0" collapsed="false">
      <c r="A660" s="25" t="n">
        <f aca="false">IF(G660="REJECT",COUNTIF($G$2:$G$2277,"&lt;&gt;REJECT")+1+COUNTIFS($G$2:$G$2277,"REJECT",$B$2:$B$2277,"&gt;"&amp;B660),1+COUNTIFS($G$2:$G$2277,"&lt;&gt;REJECT",$B$2:$B$2277,"&gt;"&amp;B660))</f>
        <v>658</v>
      </c>
      <c r="B660" s="26" t="n">
        <f aca="false">ROUND(($U$2*MAX(0,MIN(1,($W$2-I660)/($W$2-$V$2)))+$U$3*MAX(0,MIN(1,($W$3-J660)/($W$3-$V$3)))+$U$4*MAX(0,MIN(1,($W$4-K660)/($W$4-$V$4)))+$U$5*MAX(0,MIN(1,($W$5-L660)/($W$5-$V$5)))+$U$6*MAX(0,MIN(1,($W$6-M660)/($W$6-$V$6)))+$U$7*MAX(0,MIN(1,($W$7-N660)/($W$7-$V$7)))+$U$8*IF(AND(O660&gt;=$V$8,O660&lt;=$W$8),1,0))/$U$9*100,2)</f>
        <v>85.61</v>
      </c>
      <c r="C660" s="27" t="s">
        <v>1417</v>
      </c>
      <c r="D660" s="25" t="s">
        <v>134</v>
      </c>
      <c r="E660" s="25" t="s">
        <v>3450</v>
      </c>
      <c r="F660" s="25" t="s">
        <v>3457</v>
      </c>
      <c r="G660" s="38" t="s">
        <v>30</v>
      </c>
      <c r="H660" s="28" t="s">
        <v>25</v>
      </c>
      <c r="I660" s="25" t="n">
        <v>1</v>
      </c>
      <c r="J660" s="25" t="n">
        <v>0</v>
      </c>
      <c r="K660" s="25" t="n">
        <v>1</v>
      </c>
      <c r="L660" s="29" t="n">
        <v>0.78</v>
      </c>
      <c r="M660" s="30" t="n">
        <v>10.47</v>
      </c>
      <c r="N660" s="29" t="n">
        <v>0.12</v>
      </c>
      <c r="O660" s="25" t="n">
        <v>60</v>
      </c>
      <c r="P660" s="30" t="n">
        <v>0.63</v>
      </c>
      <c r="Q660" s="27" t="s">
        <v>3483</v>
      </c>
      <c r="R660" s="27" t="s">
        <v>3502</v>
      </c>
    </row>
    <row r="661" customFormat="false" ht="15" hidden="false" customHeight="false" outlineLevel="0" collapsed="false">
      <c r="A661" s="25" t="n">
        <f aca="false">IF(G661="REJECT",COUNTIF($G$2:$G$2277,"&lt;&gt;REJECT")+1+COUNTIFS($G$2:$G$2277,"REJECT",$B$2:$B$2277,"&gt;"&amp;B661),1+COUNTIFS($G$2:$G$2277,"&lt;&gt;REJECT",$B$2:$B$2277,"&gt;"&amp;B661))</f>
        <v>658</v>
      </c>
      <c r="B661" s="26" t="n">
        <f aca="false">ROUND(($U$2*MAX(0,MIN(1,($W$2-I661)/($W$2-$V$2)))+$U$3*MAX(0,MIN(1,($W$3-J661)/($W$3-$V$3)))+$U$4*MAX(0,MIN(1,($W$4-K661)/($W$4-$V$4)))+$U$5*MAX(0,MIN(1,($W$5-L661)/($W$5-$V$5)))+$U$6*MAX(0,MIN(1,($W$6-M661)/($W$6-$V$6)))+$U$7*MAX(0,MIN(1,($W$7-N661)/($W$7-$V$7)))+$U$8*IF(AND(O661&gt;=$V$8,O661&lt;=$W$8),1,0))/$U$9*100,2)</f>
        <v>85.61</v>
      </c>
      <c r="C661" s="27" t="s">
        <v>2033</v>
      </c>
      <c r="D661" s="25" t="s">
        <v>134</v>
      </c>
      <c r="E661" s="25" t="s">
        <v>3447</v>
      </c>
      <c r="F661" s="25" t="s">
        <v>3457</v>
      </c>
      <c r="G661" s="38" t="s">
        <v>30</v>
      </c>
      <c r="H661" s="33" t="s">
        <v>24</v>
      </c>
      <c r="I661" s="25" t="n">
        <v>1</v>
      </c>
      <c r="J661" s="25" t="n">
        <v>0</v>
      </c>
      <c r="K661" s="25" t="n">
        <v>1</v>
      </c>
      <c r="L661" s="29" t="n">
        <v>0.68</v>
      </c>
      <c r="M661" s="30" t="n">
        <v>5.63</v>
      </c>
      <c r="N661" s="29" t="n">
        <v>0</v>
      </c>
      <c r="O661" s="25" t="n">
        <v>188</v>
      </c>
      <c r="P661" s="30" t="n">
        <v>0.73</v>
      </c>
      <c r="Q661" s="27" t="s">
        <v>3484</v>
      </c>
      <c r="R661" s="27" t="s">
        <v>30</v>
      </c>
    </row>
    <row r="662" customFormat="false" ht="15" hidden="false" customHeight="false" outlineLevel="0" collapsed="false">
      <c r="A662" s="25" t="n">
        <f aca="false">IF(G662="REJECT",COUNTIF($G$2:$G$2277,"&lt;&gt;REJECT")+1+COUNTIFS($G$2:$G$2277,"REJECT",$B$2:$B$2277,"&gt;"&amp;B662),1+COUNTIFS($G$2:$G$2277,"&lt;&gt;REJECT",$B$2:$B$2277,"&gt;"&amp;B662))</f>
        <v>661</v>
      </c>
      <c r="B662" s="26" t="n">
        <f aca="false">ROUND(($U$2*MAX(0,MIN(1,($W$2-I662)/($W$2-$V$2)))+$U$3*MAX(0,MIN(1,($W$3-J662)/($W$3-$V$3)))+$U$4*MAX(0,MIN(1,($W$4-K662)/($W$4-$V$4)))+$U$5*MAX(0,MIN(1,($W$5-L662)/($W$5-$V$5)))+$U$6*MAX(0,MIN(1,($W$6-M662)/($W$6-$V$6)))+$U$7*MAX(0,MIN(1,($W$7-N662)/($W$7-$V$7)))+$U$8*IF(AND(O662&gt;=$V$8,O662&lt;=$W$8),1,0))/$U$9*100,2)</f>
        <v>85.54</v>
      </c>
      <c r="C662" s="27" t="s">
        <v>2607</v>
      </c>
      <c r="D662" s="25" t="s">
        <v>134</v>
      </c>
      <c r="E662" s="25" t="s">
        <v>3450</v>
      </c>
      <c r="F662" s="25" t="s">
        <v>3457</v>
      </c>
      <c r="G662" s="38" t="s">
        <v>30</v>
      </c>
      <c r="H662" s="28" t="s">
        <v>25</v>
      </c>
      <c r="I662" s="25" t="n">
        <v>2</v>
      </c>
      <c r="J662" s="25" t="n">
        <v>0</v>
      </c>
      <c r="K662" s="25" t="n">
        <v>2</v>
      </c>
      <c r="L662" s="29" t="n">
        <v>0.8</v>
      </c>
      <c r="M662" s="30" t="n">
        <v>8.95</v>
      </c>
      <c r="N662" s="29" t="n">
        <v>0.28</v>
      </c>
      <c r="O662" s="25" t="n">
        <v>186</v>
      </c>
      <c r="P662" s="30" t="n">
        <v>3.23</v>
      </c>
      <c r="Q662" s="27" t="s">
        <v>3503</v>
      </c>
      <c r="R662" s="27" t="s">
        <v>2610</v>
      </c>
    </row>
    <row r="663" customFormat="false" ht="15" hidden="false" customHeight="false" outlineLevel="0" collapsed="false">
      <c r="A663" s="25" t="n">
        <f aca="false">IF(G663="REJECT",COUNTIF($G$2:$G$2277,"&lt;&gt;REJECT")+1+COUNTIFS($G$2:$G$2277,"REJECT",$B$2:$B$2277,"&gt;"&amp;B663),1+COUNTIFS($G$2:$G$2277,"&lt;&gt;REJECT",$B$2:$B$2277,"&gt;"&amp;B663))</f>
        <v>662</v>
      </c>
      <c r="B663" s="26" t="n">
        <f aca="false">ROUND(($U$2*MAX(0,MIN(1,($W$2-I663)/($W$2-$V$2)))+$U$3*MAX(0,MIN(1,($W$3-J663)/($W$3-$V$3)))+$U$4*MAX(0,MIN(1,($W$4-K663)/($W$4-$V$4)))+$U$5*MAX(0,MIN(1,($W$5-L663)/($W$5-$V$5)))+$U$6*MAX(0,MIN(1,($W$6-M663)/($W$6-$V$6)))+$U$7*MAX(0,MIN(1,($W$7-N663)/($W$7-$V$7)))+$U$8*IF(AND(O663&gt;=$V$8,O663&lt;=$W$8),1,0))/$U$9*100,2)</f>
        <v>85.51</v>
      </c>
      <c r="C663" s="27" t="s">
        <v>2550</v>
      </c>
      <c r="D663" s="25" t="s">
        <v>134</v>
      </c>
      <c r="E663" s="25" t="s">
        <v>3447</v>
      </c>
      <c r="F663" s="25" t="s">
        <v>3457</v>
      </c>
      <c r="G663" s="38" t="s">
        <v>30</v>
      </c>
      <c r="H663" s="33" t="s">
        <v>24</v>
      </c>
      <c r="I663" s="25" t="n">
        <v>2</v>
      </c>
      <c r="J663" s="25" t="n">
        <v>0</v>
      </c>
      <c r="K663" s="25" t="n">
        <v>2</v>
      </c>
      <c r="L663" s="29" t="n">
        <v>0.81</v>
      </c>
      <c r="M663" s="30" t="n">
        <v>9.57</v>
      </c>
      <c r="N663" s="29" t="n">
        <v>0.24</v>
      </c>
      <c r="O663" s="25" t="n">
        <v>182</v>
      </c>
      <c r="P663" s="30" t="n">
        <v>5.42</v>
      </c>
      <c r="Q663" s="27" t="s">
        <v>3494</v>
      </c>
      <c r="R663" s="27" t="s">
        <v>30</v>
      </c>
    </row>
    <row r="664" customFormat="false" ht="15" hidden="false" customHeight="false" outlineLevel="0" collapsed="false">
      <c r="A664" s="25" t="n">
        <f aca="false">IF(G664="REJECT",COUNTIF($G$2:$G$2277,"&lt;&gt;REJECT")+1+COUNTIFS($G$2:$G$2277,"REJECT",$B$2:$B$2277,"&gt;"&amp;B664),1+COUNTIFS($G$2:$G$2277,"&lt;&gt;REJECT",$B$2:$B$2277,"&gt;"&amp;B664))</f>
        <v>662</v>
      </c>
      <c r="B664" s="26" t="n">
        <f aca="false">ROUND(($U$2*MAX(0,MIN(1,($W$2-I664)/($W$2-$V$2)))+$U$3*MAX(0,MIN(1,($W$3-J664)/($W$3-$V$3)))+$U$4*MAX(0,MIN(1,($W$4-K664)/($W$4-$V$4)))+$U$5*MAX(0,MIN(1,($W$5-L664)/($W$5-$V$5)))+$U$6*MAX(0,MIN(1,($W$6-M664)/($W$6-$V$6)))+$U$7*MAX(0,MIN(1,($W$7-N664)/($W$7-$V$7)))+$U$8*IF(AND(O664&gt;=$V$8,O664&lt;=$W$8),1,0))/$U$9*100,2)</f>
        <v>85.51</v>
      </c>
      <c r="C664" s="27" t="s">
        <v>2601</v>
      </c>
      <c r="D664" s="25" t="s">
        <v>134</v>
      </c>
      <c r="E664" s="25" t="s">
        <v>3447</v>
      </c>
      <c r="F664" s="25" t="s">
        <v>3448</v>
      </c>
      <c r="G664" s="38" t="s">
        <v>30</v>
      </c>
      <c r="H664" s="33" t="s">
        <v>24</v>
      </c>
      <c r="I664" s="25" t="n">
        <v>1</v>
      </c>
      <c r="J664" s="25" t="n">
        <v>0</v>
      </c>
      <c r="K664" s="25" t="n">
        <v>1</v>
      </c>
      <c r="L664" s="29" t="n">
        <v>0.72</v>
      </c>
      <c r="M664" s="30" t="n">
        <v>13.44</v>
      </c>
      <c r="N664" s="29" t="n">
        <v>0.72</v>
      </c>
      <c r="O664" s="25" t="n">
        <v>187</v>
      </c>
      <c r="P664" s="30" t="n">
        <v>9.81</v>
      </c>
      <c r="Q664" s="27" t="s">
        <v>3476</v>
      </c>
      <c r="R664" s="27" t="s">
        <v>30</v>
      </c>
    </row>
    <row r="665" customFormat="false" ht="15" hidden="false" customHeight="false" outlineLevel="0" collapsed="false">
      <c r="A665" s="25" t="n">
        <f aca="false">IF(G665="REJECT",COUNTIF($G$2:$G$2277,"&lt;&gt;REJECT")+1+COUNTIFS($G$2:$G$2277,"REJECT",$B$2:$B$2277,"&gt;"&amp;B665),1+COUNTIFS($G$2:$G$2277,"&lt;&gt;REJECT",$B$2:$B$2277,"&gt;"&amp;B665))</f>
        <v>664</v>
      </c>
      <c r="B665" s="26" t="n">
        <f aca="false">ROUND(($U$2*MAX(0,MIN(1,($W$2-I665)/($W$2-$V$2)))+$U$3*MAX(0,MIN(1,($W$3-J665)/($W$3-$V$3)))+$U$4*MAX(0,MIN(1,($W$4-K665)/($W$4-$V$4)))+$U$5*MAX(0,MIN(1,($W$5-L665)/($W$5-$V$5)))+$U$6*MAX(0,MIN(1,($W$6-M665)/($W$6-$V$6)))+$U$7*MAX(0,MIN(1,($W$7-N665)/($W$7-$V$7)))+$U$8*IF(AND(O665&gt;=$V$8,O665&lt;=$W$8),1,0))/$U$9*100,2)</f>
        <v>85.5</v>
      </c>
      <c r="C665" s="27" t="s">
        <v>3242</v>
      </c>
      <c r="D665" s="25" t="s">
        <v>134</v>
      </c>
      <c r="E665" s="25" t="s">
        <v>3447</v>
      </c>
      <c r="F665" s="25" t="s">
        <v>3448</v>
      </c>
      <c r="G665" s="38" t="s">
        <v>30</v>
      </c>
      <c r="H665" s="28" t="s">
        <v>25</v>
      </c>
      <c r="I665" s="25" t="n">
        <v>1</v>
      </c>
      <c r="J665" s="25" t="n">
        <v>0</v>
      </c>
      <c r="K665" s="25" t="n">
        <v>1</v>
      </c>
      <c r="L665" s="29" t="n">
        <v>0.75</v>
      </c>
      <c r="M665" s="30" t="n">
        <v>21.89</v>
      </c>
      <c r="N665" s="29" t="n">
        <v>0.96</v>
      </c>
      <c r="O665" s="25" t="n">
        <v>187</v>
      </c>
      <c r="P665" s="30" t="n">
        <v>15.55</v>
      </c>
      <c r="Q665" s="27" t="s">
        <v>3478</v>
      </c>
      <c r="R665" s="27" t="s">
        <v>992</v>
      </c>
    </row>
    <row r="666" customFormat="false" ht="15" hidden="false" customHeight="false" outlineLevel="0" collapsed="false">
      <c r="A666" s="25" t="n">
        <f aca="false">IF(G666="REJECT",COUNTIF($G$2:$G$2277,"&lt;&gt;REJECT")+1+COUNTIFS($G$2:$G$2277,"REJECT",$B$2:$B$2277,"&gt;"&amp;B666),1+COUNTIFS($G$2:$G$2277,"&lt;&gt;REJECT",$B$2:$B$2277,"&gt;"&amp;B666))</f>
        <v>665</v>
      </c>
      <c r="B666" s="26" t="n">
        <f aca="false">ROUND(($U$2*MAX(0,MIN(1,($W$2-I666)/($W$2-$V$2)))+$U$3*MAX(0,MIN(1,($W$3-J666)/($W$3-$V$3)))+$U$4*MAX(0,MIN(1,($W$4-K666)/($W$4-$V$4)))+$U$5*MAX(0,MIN(1,($W$5-L666)/($W$5-$V$5)))+$U$6*MAX(0,MIN(1,($W$6-M666)/($W$6-$V$6)))+$U$7*MAX(0,MIN(1,($W$7-N666)/($W$7-$V$7)))+$U$8*IF(AND(O666&gt;=$V$8,O666&lt;=$W$8),1,0))/$U$9*100,2)</f>
        <v>85.44</v>
      </c>
      <c r="C666" s="27" t="s">
        <v>1028</v>
      </c>
      <c r="D666" s="25" t="s">
        <v>134</v>
      </c>
      <c r="E666" s="25" t="s">
        <v>3450</v>
      </c>
      <c r="F666" s="25" t="s">
        <v>3457</v>
      </c>
      <c r="G666" s="38" t="s">
        <v>30</v>
      </c>
      <c r="H666" s="33" t="s">
        <v>24</v>
      </c>
      <c r="I666" s="25" t="n">
        <v>1</v>
      </c>
      <c r="J666" s="25" t="n">
        <v>0</v>
      </c>
      <c r="K666" s="25" t="n">
        <v>1</v>
      </c>
      <c r="L666" s="29" t="n">
        <v>0.73</v>
      </c>
      <c r="M666" s="30" t="n">
        <v>17.09</v>
      </c>
      <c r="N666" s="29" t="n">
        <v>0.76</v>
      </c>
      <c r="O666" s="25" t="n">
        <v>197</v>
      </c>
      <c r="P666" s="30" t="n">
        <v>7.15</v>
      </c>
      <c r="Q666" s="27" t="s">
        <v>3476</v>
      </c>
      <c r="R666" s="27" t="s">
        <v>30</v>
      </c>
    </row>
    <row r="667" customFormat="false" ht="15" hidden="false" customHeight="false" outlineLevel="0" collapsed="false">
      <c r="A667" s="25" t="n">
        <f aca="false">IF(G667="REJECT",COUNTIF($G$2:$G$2277,"&lt;&gt;REJECT")+1+COUNTIFS($G$2:$G$2277,"REJECT",$B$2:$B$2277,"&gt;"&amp;B667),1+COUNTIFS($G$2:$G$2277,"&lt;&gt;REJECT",$B$2:$B$2277,"&gt;"&amp;B667))</f>
        <v>665</v>
      </c>
      <c r="B667" s="26" t="n">
        <f aca="false">ROUND(($U$2*MAX(0,MIN(1,($W$2-I667)/($W$2-$V$2)))+$U$3*MAX(0,MIN(1,($W$3-J667)/($W$3-$V$3)))+$U$4*MAX(0,MIN(1,($W$4-K667)/($W$4-$V$4)))+$U$5*MAX(0,MIN(1,($W$5-L667)/($W$5-$V$5)))+$U$6*MAX(0,MIN(1,($W$6-M667)/($W$6-$V$6)))+$U$7*MAX(0,MIN(1,($W$7-N667)/($W$7-$V$7)))+$U$8*IF(AND(O667&gt;=$V$8,O667&lt;=$W$8),1,0))/$U$9*100,2)</f>
        <v>85.44</v>
      </c>
      <c r="C667" s="27" t="s">
        <v>2897</v>
      </c>
      <c r="D667" s="25" t="s">
        <v>3459</v>
      </c>
      <c r="E667" s="25" t="s">
        <v>3450</v>
      </c>
      <c r="F667" s="25" t="s">
        <v>3448</v>
      </c>
      <c r="G667" s="28" t="s">
        <v>29</v>
      </c>
      <c r="H667" s="28" t="s">
        <v>25</v>
      </c>
      <c r="I667" s="25" t="n">
        <v>0</v>
      </c>
      <c r="J667" s="25" t="n">
        <v>0</v>
      </c>
      <c r="K667" s="25" t="n">
        <v>0</v>
      </c>
      <c r="L667" s="29" t="n">
        <v>0.62</v>
      </c>
      <c r="M667" s="30" t="n">
        <v>14.14</v>
      </c>
      <c r="N667" s="29" t="n">
        <v>0.84</v>
      </c>
      <c r="O667" s="25" t="n">
        <v>184</v>
      </c>
      <c r="P667" s="30" t="n">
        <v>-1.14</v>
      </c>
      <c r="Q667" s="27"/>
      <c r="R667" s="27" t="s">
        <v>62</v>
      </c>
    </row>
    <row r="668" customFormat="false" ht="15" hidden="false" customHeight="false" outlineLevel="0" collapsed="false">
      <c r="A668" s="25" t="n">
        <f aca="false">IF(G668="REJECT",COUNTIF($G$2:$G$2277,"&lt;&gt;REJECT")+1+COUNTIFS($G$2:$G$2277,"REJECT",$B$2:$B$2277,"&gt;"&amp;B668),1+COUNTIFS($G$2:$G$2277,"&lt;&gt;REJECT",$B$2:$B$2277,"&gt;"&amp;B668))</f>
        <v>667</v>
      </c>
      <c r="B668" s="26" t="n">
        <f aca="false">ROUND(($U$2*MAX(0,MIN(1,($W$2-I668)/($W$2-$V$2)))+$U$3*MAX(0,MIN(1,($W$3-J668)/($W$3-$V$3)))+$U$4*MAX(0,MIN(1,($W$4-K668)/($W$4-$V$4)))+$U$5*MAX(0,MIN(1,($W$5-L668)/($W$5-$V$5)))+$U$6*MAX(0,MIN(1,($W$6-M668)/($W$6-$V$6)))+$U$7*MAX(0,MIN(1,($W$7-N668)/($W$7-$V$7)))+$U$8*IF(AND(O668&gt;=$V$8,O668&lt;=$W$8),1,0))/$U$9*100,2)</f>
        <v>85.43</v>
      </c>
      <c r="C668" s="27" t="s">
        <v>2302</v>
      </c>
      <c r="D668" s="25" t="s">
        <v>3459</v>
      </c>
      <c r="E668" s="25" t="s">
        <v>3447</v>
      </c>
      <c r="F668" s="25" t="s">
        <v>3448</v>
      </c>
      <c r="G668" s="38" t="s">
        <v>30</v>
      </c>
      <c r="H668" s="33" t="s">
        <v>24</v>
      </c>
      <c r="I668" s="25" t="n">
        <v>2</v>
      </c>
      <c r="J668" s="25" t="n">
        <v>0</v>
      </c>
      <c r="K668" s="25" t="n">
        <v>1</v>
      </c>
      <c r="L668" s="29" t="n">
        <v>0.79</v>
      </c>
      <c r="M668" s="30" t="n">
        <v>15.27</v>
      </c>
      <c r="N668" s="29" t="n">
        <v>0.48</v>
      </c>
      <c r="O668" s="25" t="n">
        <v>186</v>
      </c>
      <c r="P668" s="30" t="n">
        <v>-0.04</v>
      </c>
      <c r="Q668" s="27" t="s">
        <v>3504</v>
      </c>
      <c r="R668" s="27" t="s">
        <v>30</v>
      </c>
    </row>
    <row r="669" customFormat="false" ht="15" hidden="false" customHeight="false" outlineLevel="0" collapsed="false">
      <c r="A669" s="25" t="n">
        <f aca="false">IF(G669="REJECT",COUNTIF($G$2:$G$2277,"&lt;&gt;REJECT")+1+COUNTIFS($G$2:$G$2277,"REJECT",$B$2:$B$2277,"&gt;"&amp;B669),1+COUNTIFS($G$2:$G$2277,"&lt;&gt;REJECT",$B$2:$B$2277,"&gt;"&amp;B669))</f>
        <v>668</v>
      </c>
      <c r="B669" s="26" t="n">
        <f aca="false">ROUND(($U$2*MAX(0,MIN(1,($W$2-I669)/($W$2-$V$2)))+$U$3*MAX(0,MIN(1,($W$3-J669)/($W$3-$V$3)))+$U$4*MAX(0,MIN(1,($W$4-K669)/($W$4-$V$4)))+$U$5*MAX(0,MIN(1,($W$5-L669)/($W$5-$V$5)))+$U$6*MAX(0,MIN(1,($W$6-M669)/($W$6-$V$6)))+$U$7*MAX(0,MIN(1,($W$7-N669)/($W$7-$V$7)))+$U$8*IF(AND(O669&gt;=$V$8,O669&lt;=$W$8),1,0))/$U$9*100,2)</f>
        <v>85.4</v>
      </c>
      <c r="C669" s="27" t="s">
        <v>830</v>
      </c>
      <c r="D669" s="25" t="s">
        <v>3459</v>
      </c>
      <c r="E669" s="25" t="s">
        <v>3447</v>
      </c>
      <c r="F669" s="25" t="s">
        <v>3448</v>
      </c>
      <c r="G669" s="38" t="s">
        <v>30</v>
      </c>
      <c r="H669" s="33" t="s">
        <v>24</v>
      </c>
      <c r="I669" s="25" t="n">
        <v>1</v>
      </c>
      <c r="J669" s="25" t="n">
        <v>0</v>
      </c>
      <c r="K669" s="25" t="n">
        <v>1</v>
      </c>
      <c r="L669" s="29" t="n">
        <v>0.71</v>
      </c>
      <c r="M669" s="30" t="n">
        <v>15.29</v>
      </c>
      <c r="N669" s="29" t="n">
        <v>0.24</v>
      </c>
      <c r="O669" s="25" t="n">
        <v>182</v>
      </c>
      <c r="P669" s="30" t="n">
        <v>2.32</v>
      </c>
      <c r="Q669" s="27" t="s">
        <v>3479</v>
      </c>
      <c r="R669" s="27" t="s">
        <v>30</v>
      </c>
    </row>
    <row r="670" customFormat="false" ht="15" hidden="false" customHeight="false" outlineLevel="0" collapsed="false">
      <c r="A670" s="25" t="n">
        <f aca="false">IF(G670="REJECT",COUNTIF($G$2:$G$2277,"&lt;&gt;REJECT")+1+COUNTIFS($G$2:$G$2277,"REJECT",$B$2:$B$2277,"&gt;"&amp;B670),1+COUNTIFS($G$2:$G$2277,"&lt;&gt;REJECT",$B$2:$B$2277,"&gt;"&amp;B670))</f>
        <v>669</v>
      </c>
      <c r="B670" s="26" t="n">
        <f aca="false">ROUND(($U$2*MAX(0,MIN(1,($W$2-I670)/($W$2-$V$2)))+$U$3*MAX(0,MIN(1,($W$3-J670)/($W$3-$V$3)))+$U$4*MAX(0,MIN(1,($W$4-K670)/($W$4-$V$4)))+$U$5*MAX(0,MIN(1,($W$5-L670)/($W$5-$V$5)))+$U$6*MAX(0,MIN(1,($W$6-M670)/($W$6-$V$6)))+$U$7*MAX(0,MIN(1,($W$7-N670)/($W$7-$V$7)))+$U$8*IF(AND(O670&gt;=$V$8,O670&lt;=$W$8),1,0))/$U$9*100,2)</f>
        <v>85.29</v>
      </c>
      <c r="C670" s="27" t="s">
        <v>2574</v>
      </c>
      <c r="D670" s="25" t="s">
        <v>134</v>
      </c>
      <c r="E670" s="25" t="s">
        <v>3450</v>
      </c>
      <c r="F670" s="25" t="s">
        <v>3457</v>
      </c>
      <c r="G670" s="38" t="s">
        <v>30</v>
      </c>
      <c r="H670" s="33" t="s">
        <v>24</v>
      </c>
      <c r="I670" s="25" t="n">
        <v>1</v>
      </c>
      <c r="J670" s="25" t="n">
        <v>0</v>
      </c>
      <c r="K670" s="25" t="n">
        <v>1</v>
      </c>
      <c r="L670" s="29" t="n">
        <v>0.7</v>
      </c>
      <c r="M670" s="30" t="n">
        <v>11.98</v>
      </c>
      <c r="N670" s="29" t="n">
        <v>0.28</v>
      </c>
      <c r="O670" s="25" t="n">
        <v>183</v>
      </c>
      <c r="P670" s="30" t="n">
        <v>11.71</v>
      </c>
      <c r="Q670" s="27" t="s">
        <v>3476</v>
      </c>
      <c r="R670" s="27" t="s">
        <v>30</v>
      </c>
    </row>
    <row r="671" customFormat="false" ht="15" hidden="false" customHeight="false" outlineLevel="0" collapsed="false">
      <c r="A671" s="25" t="n">
        <f aca="false">IF(G671="REJECT",COUNTIF($G$2:$G$2277,"&lt;&gt;REJECT")+1+COUNTIFS($G$2:$G$2277,"REJECT",$B$2:$B$2277,"&gt;"&amp;B671),1+COUNTIFS($G$2:$G$2277,"&lt;&gt;REJECT",$B$2:$B$2277,"&gt;"&amp;B671))</f>
        <v>670</v>
      </c>
      <c r="B671" s="26" t="n">
        <f aca="false">ROUND(($U$2*MAX(0,MIN(1,($W$2-I671)/($W$2-$V$2)))+$U$3*MAX(0,MIN(1,($W$3-J671)/($W$3-$V$3)))+$U$4*MAX(0,MIN(1,($W$4-K671)/($W$4-$V$4)))+$U$5*MAX(0,MIN(1,($W$5-L671)/($W$5-$V$5)))+$U$6*MAX(0,MIN(1,($W$6-M671)/($W$6-$V$6)))+$U$7*MAX(0,MIN(1,($W$7-N671)/($W$7-$V$7)))+$U$8*IF(AND(O671&gt;=$V$8,O671&lt;=$W$8),1,0))/$U$9*100,2)</f>
        <v>85.26</v>
      </c>
      <c r="C671" s="27" t="s">
        <v>2302</v>
      </c>
      <c r="D671" s="25" t="s">
        <v>134</v>
      </c>
      <c r="E671" s="25" t="s">
        <v>3447</v>
      </c>
      <c r="F671" s="25" t="s">
        <v>3457</v>
      </c>
      <c r="G671" s="38" t="s">
        <v>30</v>
      </c>
      <c r="H671" s="33" t="s">
        <v>24</v>
      </c>
      <c r="I671" s="25" t="n">
        <v>2</v>
      </c>
      <c r="J671" s="25" t="n">
        <v>0</v>
      </c>
      <c r="K671" s="25" t="n">
        <v>2</v>
      </c>
      <c r="L671" s="29" t="n">
        <v>0.81</v>
      </c>
      <c r="M671" s="30" t="n">
        <v>6.63</v>
      </c>
      <c r="N671" s="29" t="n">
        <v>0.68</v>
      </c>
      <c r="O671" s="25" t="n">
        <v>183</v>
      </c>
      <c r="P671" s="30" t="n">
        <v>4.46</v>
      </c>
      <c r="Q671" s="27" t="s">
        <v>3505</v>
      </c>
      <c r="R671" s="27" t="s">
        <v>30</v>
      </c>
    </row>
    <row r="672" customFormat="false" ht="15" hidden="false" customHeight="false" outlineLevel="0" collapsed="false">
      <c r="A672" s="25" t="n">
        <f aca="false">IF(G672="REJECT",COUNTIF($G$2:$G$2277,"&lt;&gt;REJECT")+1+COUNTIFS($G$2:$G$2277,"REJECT",$B$2:$B$2277,"&gt;"&amp;B672),1+COUNTIFS($G$2:$G$2277,"&lt;&gt;REJECT",$B$2:$B$2277,"&gt;"&amp;B672))</f>
        <v>671</v>
      </c>
      <c r="B672" s="26" t="n">
        <f aca="false">ROUND(($U$2*MAX(0,MIN(1,($W$2-I672)/($W$2-$V$2)))+$U$3*MAX(0,MIN(1,($W$3-J672)/($W$3-$V$3)))+$U$4*MAX(0,MIN(1,($W$4-K672)/($W$4-$V$4)))+$U$5*MAX(0,MIN(1,($W$5-L672)/($W$5-$V$5)))+$U$6*MAX(0,MIN(1,($W$6-M672)/($W$6-$V$6)))+$U$7*MAX(0,MIN(1,($W$7-N672)/($W$7-$V$7)))+$U$8*IF(AND(O672&gt;=$V$8,O672&lt;=$W$8),1,0))/$U$9*100,2)</f>
        <v>85.24</v>
      </c>
      <c r="C672" s="27" t="s">
        <v>3007</v>
      </c>
      <c r="D672" s="25" t="s">
        <v>134</v>
      </c>
      <c r="E672" s="25" t="s">
        <v>3450</v>
      </c>
      <c r="F672" s="25" t="s">
        <v>3457</v>
      </c>
      <c r="G672" s="38" t="s">
        <v>30</v>
      </c>
      <c r="H672" s="33" t="s">
        <v>24</v>
      </c>
      <c r="I672" s="25" t="n">
        <v>2</v>
      </c>
      <c r="J672" s="25" t="n">
        <v>0</v>
      </c>
      <c r="K672" s="25" t="n">
        <v>2</v>
      </c>
      <c r="L672" s="29" t="n">
        <v>0.83</v>
      </c>
      <c r="M672" s="30" t="n">
        <v>7.18</v>
      </c>
      <c r="N672" s="29" t="n">
        <v>0.64</v>
      </c>
      <c r="O672" s="25" t="n">
        <v>183</v>
      </c>
      <c r="P672" s="30" t="n">
        <v>13.19</v>
      </c>
      <c r="Q672" s="27" t="s">
        <v>3506</v>
      </c>
      <c r="R672" s="27" t="s">
        <v>30</v>
      </c>
    </row>
    <row r="673" customFormat="false" ht="15" hidden="false" customHeight="false" outlineLevel="0" collapsed="false">
      <c r="A673" s="25" t="n">
        <f aca="false">IF(G673="REJECT",COUNTIF($G$2:$G$2277,"&lt;&gt;REJECT")+1+COUNTIFS($G$2:$G$2277,"REJECT",$B$2:$B$2277,"&gt;"&amp;B673),1+COUNTIFS($G$2:$G$2277,"&lt;&gt;REJECT",$B$2:$B$2277,"&gt;"&amp;B673))</f>
        <v>672</v>
      </c>
      <c r="B673" s="26" t="n">
        <f aca="false">ROUND(($U$2*MAX(0,MIN(1,($W$2-I673)/($W$2-$V$2)))+$U$3*MAX(0,MIN(1,($W$3-J673)/($W$3-$V$3)))+$U$4*MAX(0,MIN(1,($W$4-K673)/($W$4-$V$4)))+$U$5*MAX(0,MIN(1,($W$5-L673)/($W$5-$V$5)))+$U$6*MAX(0,MIN(1,($W$6-M673)/($W$6-$V$6)))+$U$7*MAX(0,MIN(1,($W$7-N673)/($W$7-$V$7)))+$U$8*IF(AND(O673&gt;=$V$8,O673&lt;=$W$8),1,0))/$U$9*100,2)</f>
        <v>85.17</v>
      </c>
      <c r="C673" s="27" t="s">
        <v>2016</v>
      </c>
      <c r="D673" s="25" t="s">
        <v>134</v>
      </c>
      <c r="E673" s="25" t="s">
        <v>3450</v>
      </c>
      <c r="F673" s="25" t="s">
        <v>3457</v>
      </c>
      <c r="G673" s="38" t="s">
        <v>30</v>
      </c>
      <c r="H673" s="33" t="s">
        <v>24</v>
      </c>
      <c r="I673" s="25" t="n">
        <v>1</v>
      </c>
      <c r="J673" s="25" t="n">
        <v>0</v>
      </c>
      <c r="K673" s="25" t="n">
        <v>1</v>
      </c>
      <c r="L673" s="29" t="n">
        <v>0.7</v>
      </c>
      <c r="M673" s="30" t="n">
        <v>12.67</v>
      </c>
      <c r="N673" s="29" t="n">
        <v>0.28</v>
      </c>
      <c r="O673" s="25" t="n">
        <v>220</v>
      </c>
      <c r="P673" s="30" t="n">
        <v>10.95</v>
      </c>
      <c r="Q673" s="27" t="s">
        <v>3507</v>
      </c>
      <c r="R673" s="27" t="s">
        <v>30</v>
      </c>
    </row>
    <row r="674" customFormat="false" ht="15" hidden="false" customHeight="false" outlineLevel="0" collapsed="false">
      <c r="A674" s="25" t="n">
        <f aca="false">IF(G674="REJECT",COUNTIF($G$2:$G$2277,"&lt;&gt;REJECT")+1+COUNTIFS($G$2:$G$2277,"REJECT",$B$2:$B$2277,"&gt;"&amp;B674),1+COUNTIFS($G$2:$G$2277,"&lt;&gt;REJECT",$B$2:$B$2277,"&gt;"&amp;B674))</f>
        <v>672</v>
      </c>
      <c r="B674" s="26" t="n">
        <f aca="false">ROUND(($U$2*MAX(0,MIN(1,($W$2-I674)/($W$2-$V$2)))+$U$3*MAX(0,MIN(1,($W$3-J674)/($W$3-$V$3)))+$U$4*MAX(0,MIN(1,($W$4-K674)/($W$4-$V$4)))+$U$5*MAX(0,MIN(1,($W$5-L674)/($W$5-$V$5)))+$U$6*MAX(0,MIN(1,($W$6-M674)/($W$6-$V$6)))+$U$7*MAX(0,MIN(1,($W$7-N674)/($W$7-$V$7)))+$U$8*IF(AND(O674&gt;=$V$8,O674&lt;=$W$8),1,0))/$U$9*100,2)</f>
        <v>85.17</v>
      </c>
      <c r="C674" s="27" t="s">
        <v>2302</v>
      </c>
      <c r="D674" s="25" t="s">
        <v>3459</v>
      </c>
      <c r="E674" s="25" t="s">
        <v>3447</v>
      </c>
      <c r="F674" s="25" t="s">
        <v>3457</v>
      </c>
      <c r="G674" s="38" t="s">
        <v>30</v>
      </c>
      <c r="H674" s="28" t="s">
        <v>25</v>
      </c>
      <c r="I674" s="25" t="n">
        <v>2</v>
      </c>
      <c r="J674" s="25" t="n">
        <v>0</v>
      </c>
      <c r="K674" s="25" t="n">
        <v>1</v>
      </c>
      <c r="L674" s="29" t="n">
        <v>0.81</v>
      </c>
      <c r="M674" s="30" t="n">
        <v>16.45</v>
      </c>
      <c r="N674" s="29" t="n">
        <v>0.88</v>
      </c>
      <c r="O674" s="25" t="n">
        <v>184</v>
      </c>
      <c r="P674" s="30" t="n">
        <v>3.49</v>
      </c>
      <c r="Q674" s="27" t="s">
        <v>3504</v>
      </c>
      <c r="R674" s="27" t="s">
        <v>2133</v>
      </c>
    </row>
    <row r="675" customFormat="false" ht="15" hidden="false" customHeight="false" outlineLevel="0" collapsed="false">
      <c r="A675" s="25" t="n">
        <f aca="false">IF(G675="REJECT",COUNTIF($G$2:$G$2277,"&lt;&gt;REJECT")+1+COUNTIFS($G$2:$G$2277,"REJECT",$B$2:$B$2277,"&gt;"&amp;B675),1+COUNTIFS($G$2:$G$2277,"&lt;&gt;REJECT",$B$2:$B$2277,"&gt;"&amp;B675))</f>
        <v>674</v>
      </c>
      <c r="B675" s="26" t="n">
        <f aca="false">ROUND(($U$2*MAX(0,MIN(1,($W$2-I675)/($W$2-$V$2)))+$U$3*MAX(0,MIN(1,($W$3-J675)/($W$3-$V$3)))+$U$4*MAX(0,MIN(1,($W$4-K675)/($W$4-$V$4)))+$U$5*MAX(0,MIN(1,($W$5-L675)/($W$5-$V$5)))+$U$6*MAX(0,MIN(1,($W$6-M675)/($W$6-$V$6)))+$U$7*MAX(0,MIN(1,($W$7-N675)/($W$7-$V$7)))+$U$8*IF(AND(O675&gt;=$V$8,O675&lt;=$W$8),1,0))/$U$9*100,2)</f>
        <v>85.11</v>
      </c>
      <c r="C675" s="27" t="s">
        <v>1149</v>
      </c>
      <c r="D675" s="25" t="s">
        <v>134</v>
      </c>
      <c r="E675" s="25" t="s">
        <v>3447</v>
      </c>
      <c r="F675" s="25" t="s">
        <v>3457</v>
      </c>
      <c r="G675" s="38" t="s">
        <v>30</v>
      </c>
      <c r="H675" s="28" t="s">
        <v>25</v>
      </c>
      <c r="I675" s="25" t="n">
        <v>2</v>
      </c>
      <c r="J675" s="25" t="n">
        <v>0</v>
      </c>
      <c r="K675" s="25" t="n">
        <v>2</v>
      </c>
      <c r="L675" s="29" t="n">
        <v>0.85</v>
      </c>
      <c r="M675" s="30" t="n">
        <v>5.15</v>
      </c>
      <c r="N675" s="29" t="n">
        <v>0.92</v>
      </c>
      <c r="O675" s="25" t="n">
        <v>184</v>
      </c>
      <c r="P675" s="30" t="n">
        <v>-1.23</v>
      </c>
      <c r="Q675" s="27" t="s">
        <v>3499</v>
      </c>
      <c r="R675" s="27" t="s">
        <v>2610</v>
      </c>
    </row>
    <row r="676" customFormat="false" ht="15" hidden="false" customHeight="false" outlineLevel="0" collapsed="false">
      <c r="A676" s="25" t="n">
        <f aca="false">IF(G676="REJECT",COUNTIF($G$2:$G$2277,"&lt;&gt;REJECT")+1+COUNTIFS($G$2:$G$2277,"REJECT",$B$2:$B$2277,"&gt;"&amp;B676),1+COUNTIFS($G$2:$G$2277,"&lt;&gt;REJECT",$B$2:$B$2277,"&gt;"&amp;B676))</f>
        <v>674</v>
      </c>
      <c r="B676" s="26" t="n">
        <f aca="false">ROUND(($U$2*MAX(0,MIN(1,($W$2-I676)/($W$2-$V$2)))+$U$3*MAX(0,MIN(1,($W$3-J676)/($W$3-$V$3)))+$U$4*MAX(0,MIN(1,($W$4-K676)/($W$4-$V$4)))+$U$5*MAX(0,MIN(1,($W$5-L676)/($W$5-$V$5)))+$U$6*MAX(0,MIN(1,($W$6-M676)/($W$6-$V$6)))+$U$7*MAX(0,MIN(1,($W$7-N676)/($W$7-$V$7)))+$U$8*IF(AND(O676&gt;=$V$8,O676&lt;=$W$8),1,0))/$U$9*100,2)</f>
        <v>85.11</v>
      </c>
      <c r="C676" s="27" t="s">
        <v>1566</v>
      </c>
      <c r="D676" s="25" t="s">
        <v>134</v>
      </c>
      <c r="E676" s="25" t="s">
        <v>3447</v>
      </c>
      <c r="F676" s="25" t="s">
        <v>3457</v>
      </c>
      <c r="G676" s="38" t="s">
        <v>30</v>
      </c>
      <c r="H676" s="33" t="s">
        <v>24</v>
      </c>
      <c r="I676" s="25" t="n">
        <v>2</v>
      </c>
      <c r="J676" s="25" t="n">
        <v>0</v>
      </c>
      <c r="K676" s="25" t="n">
        <v>2</v>
      </c>
      <c r="L676" s="29" t="n">
        <v>0.82</v>
      </c>
      <c r="M676" s="30" t="n">
        <v>11.15</v>
      </c>
      <c r="N676" s="29" t="n">
        <v>0.32</v>
      </c>
      <c r="O676" s="25" t="n">
        <v>182</v>
      </c>
      <c r="P676" s="30" t="n">
        <v>0.49</v>
      </c>
      <c r="Q676" s="27" t="s">
        <v>3494</v>
      </c>
      <c r="R676" s="27" t="s">
        <v>30</v>
      </c>
    </row>
    <row r="677" customFormat="false" ht="15" hidden="false" customHeight="false" outlineLevel="0" collapsed="false">
      <c r="A677" s="25" t="n">
        <f aca="false">IF(G677="REJECT",COUNTIF($G$2:$G$2277,"&lt;&gt;REJECT")+1+COUNTIFS($G$2:$G$2277,"REJECT",$B$2:$B$2277,"&gt;"&amp;B677),1+COUNTIFS($G$2:$G$2277,"&lt;&gt;REJECT",$B$2:$B$2277,"&gt;"&amp;B677))</f>
        <v>676</v>
      </c>
      <c r="B677" s="26" t="n">
        <f aca="false">ROUND(($U$2*MAX(0,MIN(1,($W$2-I677)/($W$2-$V$2)))+$U$3*MAX(0,MIN(1,($W$3-J677)/($W$3-$V$3)))+$U$4*MAX(0,MIN(1,($W$4-K677)/($W$4-$V$4)))+$U$5*MAX(0,MIN(1,($W$5-L677)/($W$5-$V$5)))+$U$6*MAX(0,MIN(1,($W$6-M677)/($W$6-$V$6)))+$U$7*MAX(0,MIN(1,($W$7-N677)/($W$7-$V$7)))+$U$8*IF(AND(O677&gt;=$V$8,O677&lt;=$W$8),1,0))/$U$9*100,2)</f>
        <v>85.09</v>
      </c>
      <c r="C677" s="27" t="s">
        <v>1209</v>
      </c>
      <c r="D677" s="25" t="s">
        <v>134</v>
      </c>
      <c r="E677" s="25" t="s">
        <v>3450</v>
      </c>
      <c r="F677" s="25" t="s">
        <v>3457</v>
      </c>
      <c r="G677" s="33" t="s">
        <v>28</v>
      </c>
      <c r="H677" s="33" t="s">
        <v>24</v>
      </c>
      <c r="I677" s="25" t="n">
        <v>0</v>
      </c>
      <c r="J677" s="25" t="n">
        <v>0</v>
      </c>
      <c r="K677" s="25" t="n">
        <v>0</v>
      </c>
      <c r="L677" s="29" t="n">
        <v>0.62</v>
      </c>
      <c r="M677" s="30" t="n">
        <v>16.67</v>
      </c>
      <c r="N677" s="29" t="n">
        <v>0.8</v>
      </c>
      <c r="O677" s="25" t="n">
        <v>183</v>
      </c>
      <c r="P677" s="30" t="n">
        <v>15.29</v>
      </c>
      <c r="Q677" s="27"/>
      <c r="R677" s="27"/>
    </row>
    <row r="678" customFormat="false" ht="15" hidden="false" customHeight="false" outlineLevel="0" collapsed="false">
      <c r="A678" s="25" t="n">
        <f aca="false">IF(G678="REJECT",COUNTIF($G$2:$G$2277,"&lt;&gt;REJECT")+1+COUNTIFS($G$2:$G$2277,"REJECT",$B$2:$B$2277,"&gt;"&amp;B678),1+COUNTIFS($G$2:$G$2277,"&lt;&gt;REJECT",$B$2:$B$2277,"&gt;"&amp;B678))</f>
        <v>677</v>
      </c>
      <c r="B678" s="26" t="n">
        <f aca="false">ROUND(($U$2*MAX(0,MIN(1,($W$2-I678)/($W$2-$V$2)))+$U$3*MAX(0,MIN(1,($W$3-J678)/($W$3-$V$3)))+$U$4*MAX(0,MIN(1,($W$4-K678)/($W$4-$V$4)))+$U$5*MAX(0,MIN(1,($W$5-L678)/($W$5-$V$5)))+$U$6*MAX(0,MIN(1,($W$6-M678)/($W$6-$V$6)))+$U$7*MAX(0,MIN(1,($W$7-N678)/($W$7-$V$7)))+$U$8*IF(AND(O678&gt;=$V$8,O678&lt;=$W$8),1,0))/$U$9*100,2)</f>
        <v>85.01</v>
      </c>
      <c r="C678" s="27" t="s">
        <v>3418</v>
      </c>
      <c r="D678" s="25" t="s">
        <v>3459</v>
      </c>
      <c r="E678" s="25" t="s">
        <v>3447</v>
      </c>
      <c r="F678" s="25" t="s">
        <v>3448</v>
      </c>
      <c r="G678" s="38" t="s">
        <v>30</v>
      </c>
      <c r="H678" s="28" t="s">
        <v>25</v>
      </c>
      <c r="I678" s="25" t="n">
        <v>1</v>
      </c>
      <c r="J678" s="25" t="n">
        <v>0</v>
      </c>
      <c r="K678" s="25" t="n">
        <v>1</v>
      </c>
      <c r="L678" s="29" t="n">
        <v>0.73</v>
      </c>
      <c r="M678" s="30" t="n">
        <v>20.86</v>
      </c>
      <c r="N678" s="29" t="n">
        <v>0.64</v>
      </c>
      <c r="O678" s="25" t="n">
        <v>185</v>
      </c>
      <c r="P678" s="30" t="n">
        <v>5.49</v>
      </c>
      <c r="Q678" s="27" t="s">
        <v>3478</v>
      </c>
      <c r="R678" s="27" t="s">
        <v>992</v>
      </c>
    </row>
    <row r="679" customFormat="false" ht="15" hidden="false" customHeight="false" outlineLevel="0" collapsed="false">
      <c r="A679" s="25" t="n">
        <f aca="false">IF(G679="REJECT",COUNTIF($G$2:$G$2277,"&lt;&gt;REJECT")+1+COUNTIFS($G$2:$G$2277,"REJECT",$B$2:$B$2277,"&gt;"&amp;B679),1+COUNTIFS($G$2:$G$2277,"&lt;&gt;REJECT",$B$2:$B$2277,"&gt;"&amp;B679))</f>
        <v>678</v>
      </c>
      <c r="B679" s="26" t="n">
        <f aca="false">ROUND(($U$2*MAX(0,MIN(1,($W$2-I679)/($W$2-$V$2)))+$U$3*MAX(0,MIN(1,($W$3-J679)/($W$3-$V$3)))+$U$4*MAX(0,MIN(1,($W$4-K679)/($W$4-$V$4)))+$U$5*MAX(0,MIN(1,($W$5-L679)/($W$5-$V$5)))+$U$6*MAX(0,MIN(1,($W$6-M679)/($W$6-$V$6)))+$U$7*MAX(0,MIN(1,($W$7-N679)/($W$7-$V$7)))+$U$8*IF(AND(O679&gt;=$V$8,O679&lt;=$W$8),1,0))/$U$9*100,2)</f>
        <v>84.93</v>
      </c>
      <c r="C679" s="27" t="s">
        <v>1775</v>
      </c>
      <c r="D679" s="25" t="s">
        <v>134</v>
      </c>
      <c r="E679" s="25" t="s">
        <v>3450</v>
      </c>
      <c r="F679" s="25" t="s">
        <v>3448</v>
      </c>
      <c r="G679" s="28" t="s">
        <v>29</v>
      </c>
      <c r="H679" s="28" t="s">
        <v>25</v>
      </c>
      <c r="I679" s="25" t="n">
        <v>0</v>
      </c>
      <c r="J679" s="25" t="n">
        <v>0</v>
      </c>
      <c r="K679" s="25" t="n">
        <v>0</v>
      </c>
      <c r="L679" s="29" t="n">
        <v>0.63</v>
      </c>
      <c r="M679" s="30" t="n">
        <v>28.05</v>
      </c>
      <c r="N679" s="29" t="n">
        <v>0.12</v>
      </c>
      <c r="O679" s="25" t="n">
        <v>187</v>
      </c>
      <c r="P679" s="30" t="n">
        <v>10.66</v>
      </c>
      <c r="Q679" s="27"/>
      <c r="R679" s="27" t="s">
        <v>61</v>
      </c>
    </row>
    <row r="680" customFormat="false" ht="15" hidden="false" customHeight="false" outlineLevel="0" collapsed="false">
      <c r="A680" s="25" t="n">
        <f aca="false">IF(G680="REJECT",COUNTIF($G$2:$G$2277,"&lt;&gt;REJECT")+1+COUNTIFS($G$2:$G$2277,"REJECT",$B$2:$B$2277,"&gt;"&amp;B680),1+COUNTIFS($G$2:$G$2277,"&lt;&gt;REJECT",$B$2:$B$2277,"&gt;"&amp;B680))</f>
        <v>679</v>
      </c>
      <c r="B680" s="26" t="n">
        <f aca="false">ROUND(($U$2*MAX(0,MIN(1,($W$2-I680)/($W$2-$V$2)))+$U$3*MAX(0,MIN(1,($W$3-J680)/($W$3-$V$3)))+$U$4*MAX(0,MIN(1,($W$4-K680)/($W$4-$V$4)))+$U$5*MAX(0,MIN(1,($W$5-L680)/($W$5-$V$5)))+$U$6*MAX(0,MIN(1,($W$6-M680)/($W$6-$V$6)))+$U$7*MAX(0,MIN(1,($W$7-N680)/($W$7-$V$7)))+$U$8*IF(AND(O680&gt;=$V$8,O680&lt;=$W$8),1,0))/$U$9*100,2)</f>
        <v>84.76</v>
      </c>
      <c r="C680" s="27" t="s">
        <v>3202</v>
      </c>
      <c r="D680" s="25" t="s">
        <v>3459</v>
      </c>
      <c r="E680" s="25" t="s">
        <v>3447</v>
      </c>
      <c r="F680" s="25" t="s">
        <v>3448</v>
      </c>
      <c r="G680" s="38" t="s">
        <v>30</v>
      </c>
      <c r="H680" s="33" t="s">
        <v>24</v>
      </c>
      <c r="I680" s="25" t="n">
        <v>2</v>
      </c>
      <c r="J680" s="25" t="n">
        <v>0</v>
      </c>
      <c r="K680" s="25" t="n">
        <v>2</v>
      </c>
      <c r="L680" s="29" t="n">
        <v>0.82</v>
      </c>
      <c r="M680" s="30" t="n">
        <v>11.26</v>
      </c>
      <c r="N680" s="29" t="n">
        <v>0.52</v>
      </c>
      <c r="O680" s="25" t="n">
        <v>183</v>
      </c>
      <c r="P680" s="30" t="n">
        <v>-0.57</v>
      </c>
      <c r="Q680" s="27" t="s">
        <v>3508</v>
      </c>
      <c r="R680" s="27" t="s">
        <v>30</v>
      </c>
    </row>
    <row r="681" customFormat="false" ht="15" hidden="false" customHeight="false" outlineLevel="0" collapsed="false">
      <c r="A681" s="25" t="n">
        <f aca="false">IF(G681="REJECT",COUNTIF($G$2:$G$2277,"&lt;&gt;REJECT")+1+COUNTIFS($G$2:$G$2277,"REJECT",$B$2:$B$2277,"&gt;"&amp;B681),1+COUNTIFS($G$2:$G$2277,"&lt;&gt;REJECT",$B$2:$B$2277,"&gt;"&amp;B681))</f>
        <v>680</v>
      </c>
      <c r="B681" s="26" t="n">
        <f aca="false">ROUND(($U$2*MAX(0,MIN(1,($W$2-I681)/($W$2-$V$2)))+$U$3*MAX(0,MIN(1,($W$3-J681)/($W$3-$V$3)))+$U$4*MAX(0,MIN(1,($W$4-K681)/($W$4-$V$4)))+$U$5*MAX(0,MIN(1,($W$5-L681)/($W$5-$V$5)))+$U$6*MAX(0,MIN(1,($W$6-M681)/($W$6-$V$6)))+$U$7*MAX(0,MIN(1,($W$7-N681)/($W$7-$V$7)))+$U$8*IF(AND(O681&gt;=$V$8,O681&lt;=$W$8),1,0))/$U$9*100,2)</f>
        <v>84.74</v>
      </c>
      <c r="C681" s="27" t="s">
        <v>2143</v>
      </c>
      <c r="D681" s="25" t="s">
        <v>134</v>
      </c>
      <c r="E681" s="25" t="s">
        <v>3450</v>
      </c>
      <c r="F681" s="25" t="s">
        <v>3457</v>
      </c>
      <c r="G681" s="38" t="s">
        <v>30</v>
      </c>
      <c r="H681" s="33" t="s">
        <v>24</v>
      </c>
      <c r="I681" s="25" t="n">
        <v>1</v>
      </c>
      <c r="J681" s="25" t="n">
        <v>0</v>
      </c>
      <c r="K681" s="25" t="n">
        <v>1</v>
      </c>
      <c r="L681" s="29" t="n">
        <v>0.71</v>
      </c>
      <c r="M681" s="30" t="n">
        <v>16.85</v>
      </c>
      <c r="N681" s="29" t="n">
        <v>0.48</v>
      </c>
      <c r="O681" s="25" t="n">
        <v>189</v>
      </c>
      <c r="P681" s="30" t="n">
        <v>6.34</v>
      </c>
      <c r="Q681" s="27" t="s">
        <v>3482</v>
      </c>
      <c r="R681" s="27" t="s">
        <v>30</v>
      </c>
    </row>
    <row r="682" customFormat="false" ht="15" hidden="false" customHeight="false" outlineLevel="0" collapsed="false">
      <c r="A682" s="25" t="n">
        <f aca="false">IF(G682="REJECT",COUNTIF($G$2:$G$2277,"&lt;&gt;REJECT")+1+COUNTIFS($G$2:$G$2277,"REJECT",$B$2:$B$2277,"&gt;"&amp;B682),1+COUNTIFS($G$2:$G$2277,"&lt;&gt;REJECT",$B$2:$B$2277,"&gt;"&amp;B682))</f>
        <v>681</v>
      </c>
      <c r="B682" s="26" t="n">
        <f aca="false">ROUND(($U$2*MAX(0,MIN(1,($W$2-I682)/($W$2-$V$2)))+$U$3*MAX(0,MIN(1,($W$3-J682)/($W$3-$V$3)))+$U$4*MAX(0,MIN(1,($W$4-K682)/($W$4-$V$4)))+$U$5*MAX(0,MIN(1,($W$5-L682)/($W$5-$V$5)))+$U$6*MAX(0,MIN(1,($W$6-M682)/($W$6-$V$6)))+$U$7*MAX(0,MIN(1,($W$7-N682)/($W$7-$V$7)))+$U$8*IF(AND(O682&gt;=$V$8,O682&lt;=$W$8),1,0))/$U$9*100,2)</f>
        <v>84.73</v>
      </c>
      <c r="C682" s="27" t="s">
        <v>2021</v>
      </c>
      <c r="D682" s="25" t="s">
        <v>134</v>
      </c>
      <c r="E682" s="25" t="s">
        <v>3447</v>
      </c>
      <c r="F682" s="25" t="s">
        <v>3448</v>
      </c>
      <c r="G682" s="38" t="s">
        <v>30</v>
      </c>
      <c r="H682" s="33" t="s">
        <v>24</v>
      </c>
      <c r="I682" s="25" t="n">
        <v>2</v>
      </c>
      <c r="J682" s="25" t="n">
        <v>0</v>
      </c>
      <c r="K682" s="25" t="n">
        <v>2</v>
      </c>
      <c r="L682" s="29" t="n">
        <v>0.82</v>
      </c>
      <c r="M682" s="30" t="n">
        <v>7.82</v>
      </c>
      <c r="N682" s="29" t="n">
        <v>0.88</v>
      </c>
      <c r="O682" s="25" t="n">
        <v>183</v>
      </c>
      <c r="P682" s="30" t="n">
        <v>-1.78</v>
      </c>
      <c r="Q682" s="27" t="s">
        <v>3499</v>
      </c>
      <c r="R682" s="27" t="s">
        <v>30</v>
      </c>
    </row>
    <row r="683" customFormat="false" ht="15" hidden="false" customHeight="false" outlineLevel="0" collapsed="false">
      <c r="A683" s="25" t="n">
        <f aca="false">IF(G683="REJECT",COUNTIF($G$2:$G$2277,"&lt;&gt;REJECT")+1+COUNTIFS($G$2:$G$2277,"REJECT",$B$2:$B$2277,"&gt;"&amp;B683),1+COUNTIFS($G$2:$G$2277,"&lt;&gt;REJECT",$B$2:$B$2277,"&gt;"&amp;B683))</f>
        <v>682</v>
      </c>
      <c r="B683" s="26" t="n">
        <f aca="false">ROUND(($U$2*MAX(0,MIN(1,($W$2-I683)/($W$2-$V$2)))+$U$3*MAX(0,MIN(1,($W$3-J683)/($W$3-$V$3)))+$U$4*MAX(0,MIN(1,($W$4-K683)/($W$4-$V$4)))+$U$5*MAX(0,MIN(1,($W$5-L683)/($W$5-$V$5)))+$U$6*MAX(0,MIN(1,($W$6-M683)/($W$6-$V$6)))+$U$7*MAX(0,MIN(1,($W$7-N683)/($W$7-$V$7)))+$U$8*IF(AND(O683&gt;=$V$8,O683&lt;=$W$8),1,0))/$U$9*100,2)</f>
        <v>84.72</v>
      </c>
      <c r="C683" s="27" t="s">
        <v>455</v>
      </c>
      <c r="D683" s="25" t="s">
        <v>3459</v>
      </c>
      <c r="E683" s="25" t="s">
        <v>3447</v>
      </c>
      <c r="F683" s="25" t="s">
        <v>3457</v>
      </c>
      <c r="G683" s="38" t="s">
        <v>30</v>
      </c>
      <c r="H683" s="28" t="s">
        <v>25</v>
      </c>
      <c r="I683" s="25" t="n">
        <v>1</v>
      </c>
      <c r="J683" s="25" t="n">
        <v>0</v>
      </c>
      <c r="K683" s="25" t="n">
        <v>1</v>
      </c>
      <c r="L683" s="29" t="n">
        <v>0.73</v>
      </c>
      <c r="M683" s="30" t="n">
        <v>21</v>
      </c>
      <c r="N683" s="29" t="n">
        <v>0.8</v>
      </c>
      <c r="O683" s="25" t="n">
        <v>182</v>
      </c>
      <c r="P683" s="30" t="n">
        <v>-0.92</v>
      </c>
      <c r="Q683" s="27" t="s">
        <v>3509</v>
      </c>
      <c r="R683" s="27" t="s">
        <v>144</v>
      </c>
    </row>
    <row r="684" customFormat="false" ht="15" hidden="false" customHeight="false" outlineLevel="0" collapsed="false">
      <c r="A684" s="25" t="n">
        <f aca="false">IF(G684="REJECT",COUNTIF($G$2:$G$2277,"&lt;&gt;REJECT")+1+COUNTIFS($G$2:$G$2277,"REJECT",$B$2:$B$2277,"&gt;"&amp;B684),1+COUNTIFS($G$2:$G$2277,"&lt;&gt;REJECT",$B$2:$B$2277,"&gt;"&amp;B684))</f>
        <v>683</v>
      </c>
      <c r="B684" s="26" t="n">
        <f aca="false">ROUND(($U$2*MAX(0,MIN(1,($W$2-I684)/($W$2-$V$2)))+$U$3*MAX(0,MIN(1,($W$3-J684)/($W$3-$V$3)))+$U$4*MAX(0,MIN(1,($W$4-K684)/($W$4-$V$4)))+$U$5*MAX(0,MIN(1,($W$5-L684)/($W$5-$V$5)))+$U$6*MAX(0,MIN(1,($W$6-M684)/($W$6-$V$6)))+$U$7*MAX(0,MIN(1,($W$7-N684)/($W$7-$V$7)))+$U$8*IF(AND(O684&gt;=$V$8,O684&lt;=$W$8),1,0))/$U$9*100,2)</f>
        <v>84.71</v>
      </c>
      <c r="C684" s="27" t="s">
        <v>599</v>
      </c>
      <c r="D684" s="25" t="s">
        <v>134</v>
      </c>
      <c r="E684" s="25" t="s">
        <v>3450</v>
      </c>
      <c r="F684" s="25" t="s">
        <v>3457</v>
      </c>
      <c r="G684" s="38" t="s">
        <v>30</v>
      </c>
      <c r="H684" s="28" t="s">
        <v>25</v>
      </c>
      <c r="I684" s="25" t="n">
        <v>1</v>
      </c>
      <c r="J684" s="25" t="n">
        <v>0</v>
      </c>
      <c r="K684" s="25" t="n">
        <v>1</v>
      </c>
      <c r="L684" s="29" t="n">
        <v>0.69</v>
      </c>
      <c r="M684" s="30" t="n">
        <v>12.23</v>
      </c>
      <c r="N684" s="29" t="n">
        <v>0.24</v>
      </c>
      <c r="O684" s="25" t="n">
        <v>183</v>
      </c>
      <c r="P684" s="30" t="n">
        <v>4.93</v>
      </c>
      <c r="Q684" s="27" t="s">
        <v>3510</v>
      </c>
      <c r="R684" s="27" t="s">
        <v>2133</v>
      </c>
    </row>
    <row r="685" customFormat="false" ht="15" hidden="false" customHeight="false" outlineLevel="0" collapsed="false">
      <c r="A685" s="25" t="n">
        <f aca="false">IF(G685="REJECT",COUNTIF($G$2:$G$2277,"&lt;&gt;REJECT")+1+COUNTIFS($G$2:$G$2277,"REJECT",$B$2:$B$2277,"&gt;"&amp;B685),1+COUNTIFS($G$2:$G$2277,"&lt;&gt;REJECT",$B$2:$B$2277,"&gt;"&amp;B685))</f>
        <v>684</v>
      </c>
      <c r="B685" s="26" t="n">
        <f aca="false">ROUND(($U$2*MAX(0,MIN(1,($W$2-I685)/($W$2-$V$2)))+$U$3*MAX(0,MIN(1,($W$3-J685)/($W$3-$V$3)))+$U$4*MAX(0,MIN(1,($W$4-K685)/($W$4-$V$4)))+$U$5*MAX(0,MIN(1,($W$5-L685)/($W$5-$V$5)))+$U$6*MAX(0,MIN(1,($W$6-M685)/($W$6-$V$6)))+$U$7*MAX(0,MIN(1,($W$7-N685)/($W$7-$V$7)))+$U$8*IF(AND(O685&gt;=$V$8,O685&lt;=$W$8),1,0))/$U$9*100,2)</f>
        <v>84.69</v>
      </c>
      <c r="C685" s="27" t="s">
        <v>3105</v>
      </c>
      <c r="D685" s="25" t="s">
        <v>134</v>
      </c>
      <c r="E685" s="25" t="s">
        <v>3447</v>
      </c>
      <c r="F685" s="25" t="s">
        <v>3457</v>
      </c>
      <c r="G685" s="38" t="s">
        <v>30</v>
      </c>
      <c r="H685" s="28" t="s">
        <v>25</v>
      </c>
      <c r="I685" s="25" t="n">
        <v>1</v>
      </c>
      <c r="J685" s="25" t="n">
        <v>0</v>
      </c>
      <c r="K685" s="25" t="n">
        <v>1</v>
      </c>
      <c r="L685" s="29" t="n">
        <v>0.72</v>
      </c>
      <c r="M685" s="30" t="n">
        <v>21.54</v>
      </c>
      <c r="N685" s="29" t="n">
        <v>0.4</v>
      </c>
      <c r="O685" s="25" t="n">
        <v>184</v>
      </c>
      <c r="P685" s="30" t="n">
        <v>0.57</v>
      </c>
      <c r="Q685" s="27" t="s">
        <v>3476</v>
      </c>
      <c r="R685" s="27" t="s">
        <v>992</v>
      </c>
    </row>
    <row r="686" customFormat="false" ht="15" hidden="false" customHeight="false" outlineLevel="0" collapsed="false">
      <c r="A686" s="25" t="n">
        <f aca="false">IF(G686="REJECT",COUNTIF($G$2:$G$2277,"&lt;&gt;REJECT")+1+COUNTIFS($G$2:$G$2277,"REJECT",$B$2:$B$2277,"&gt;"&amp;B686),1+COUNTIFS($G$2:$G$2277,"&lt;&gt;REJECT",$B$2:$B$2277,"&gt;"&amp;B686))</f>
        <v>685</v>
      </c>
      <c r="B686" s="26" t="n">
        <f aca="false">ROUND(($U$2*MAX(0,MIN(1,($W$2-I686)/($W$2-$V$2)))+$U$3*MAX(0,MIN(1,($W$3-J686)/($W$3-$V$3)))+$U$4*MAX(0,MIN(1,($W$4-K686)/($W$4-$V$4)))+$U$5*MAX(0,MIN(1,($W$5-L686)/($W$5-$V$5)))+$U$6*MAX(0,MIN(1,($W$6-M686)/($W$6-$V$6)))+$U$7*MAX(0,MIN(1,($W$7-N686)/($W$7-$V$7)))+$U$8*IF(AND(O686&gt;=$V$8,O686&lt;=$W$8),1,0))/$U$9*100,2)</f>
        <v>84.62</v>
      </c>
      <c r="C686" s="27" t="s">
        <v>2580</v>
      </c>
      <c r="D686" s="25" t="s">
        <v>3459</v>
      </c>
      <c r="E686" s="25" t="s">
        <v>3450</v>
      </c>
      <c r="F686" s="25" t="s">
        <v>3457</v>
      </c>
      <c r="G686" s="38" t="s">
        <v>30</v>
      </c>
      <c r="H686" s="28" t="s">
        <v>25</v>
      </c>
      <c r="I686" s="25" t="n">
        <v>1</v>
      </c>
      <c r="J686" s="25" t="n">
        <v>0</v>
      </c>
      <c r="K686" s="25" t="n">
        <v>1</v>
      </c>
      <c r="L686" s="29" t="n">
        <v>0.72</v>
      </c>
      <c r="M686" s="30" t="n">
        <v>23.2</v>
      </c>
      <c r="N686" s="29" t="n">
        <v>0.28</v>
      </c>
      <c r="O686" s="25" t="n">
        <v>184</v>
      </c>
      <c r="P686" s="30" t="n">
        <v>6.66</v>
      </c>
      <c r="Q686" s="27" t="s">
        <v>3474</v>
      </c>
      <c r="R686" s="27" t="s">
        <v>992</v>
      </c>
    </row>
    <row r="687" customFormat="false" ht="15" hidden="false" customHeight="false" outlineLevel="0" collapsed="false">
      <c r="A687" s="25" t="n">
        <f aca="false">IF(G687="REJECT",COUNTIF($G$2:$G$2277,"&lt;&gt;REJECT")+1+COUNTIFS($G$2:$G$2277,"REJECT",$B$2:$B$2277,"&gt;"&amp;B687),1+COUNTIFS($G$2:$G$2277,"&lt;&gt;REJECT",$B$2:$B$2277,"&gt;"&amp;B687))</f>
        <v>686</v>
      </c>
      <c r="B687" s="26" t="n">
        <f aca="false">ROUND(($U$2*MAX(0,MIN(1,($W$2-I687)/($W$2-$V$2)))+$U$3*MAX(0,MIN(1,($W$3-J687)/($W$3-$V$3)))+$U$4*MAX(0,MIN(1,($W$4-K687)/($W$4-$V$4)))+$U$5*MAX(0,MIN(1,($W$5-L687)/($W$5-$V$5)))+$U$6*MAX(0,MIN(1,($W$6-M687)/($W$6-$V$6)))+$U$7*MAX(0,MIN(1,($W$7-N687)/($W$7-$V$7)))+$U$8*IF(AND(O687&gt;=$V$8,O687&lt;=$W$8),1,0))/$U$9*100,2)</f>
        <v>84.49</v>
      </c>
      <c r="C687" s="27" t="s">
        <v>663</v>
      </c>
      <c r="D687" s="25" t="s">
        <v>134</v>
      </c>
      <c r="E687" s="25" t="s">
        <v>3450</v>
      </c>
      <c r="F687" s="25" t="s">
        <v>3457</v>
      </c>
      <c r="G687" s="33" t="s">
        <v>28</v>
      </c>
      <c r="H687" s="33" t="s">
        <v>24</v>
      </c>
      <c r="I687" s="25" t="n">
        <v>0</v>
      </c>
      <c r="J687" s="25" t="n">
        <v>0</v>
      </c>
      <c r="K687" s="25" t="n">
        <v>0</v>
      </c>
      <c r="L687" s="29" t="n">
        <v>0.59</v>
      </c>
      <c r="M687" s="30" t="n">
        <v>15.84</v>
      </c>
      <c r="N687" s="29" t="n">
        <v>0.16</v>
      </c>
      <c r="O687" s="25" t="n">
        <v>184</v>
      </c>
      <c r="P687" s="30" t="n">
        <v>17.83</v>
      </c>
      <c r="Q687" s="27"/>
      <c r="R687" s="27"/>
    </row>
    <row r="688" customFormat="false" ht="15" hidden="false" customHeight="false" outlineLevel="0" collapsed="false">
      <c r="A688" s="25" t="n">
        <f aca="false">IF(G688="REJECT",COUNTIF($G$2:$G$2277,"&lt;&gt;REJECT")+1+COUNTIFS($G$2:$G$2277,"REJECT",$B$2:$B$2277,"&gt;"&amp;B688),1+COUNTIFS($G$2:$G$2277,"&lt;&gt;REJECT",$B$2:$B$2277,"&gt;"&amp;B688))</f>
        <v>686</v>
      </c>
      <c r="B688" s="26" t="n">
        <f aca="false">ROUND(($U$2*MAX(0,MIN(1,($W$2-I688)/($W$2-$V$2)))+$U$3*MAX(0,MIN(1,($W$3-J688)/($W$3-$V$3)))+$U$4*MAX(0,MIN(1,($W$4-K688)/($W$4-$V$4)))+$U$5*MAX(0,MIN(1,($W$5-L688)/($W$5-$V$5)))+$U$6*MAX(0,MIN(1,($W$6-M688)/($W$6-$V$6)))+$U$7*MAX(0,MIN(1,($W$7-N688)/($W$7-$V$7)))+$U$8*IF(AND(O688&gt;=$V$8,O688&lt;=$W$8),1,0))/$U$9*100,2)</f>
        <v>84.49</v>
      </c>
      <c r="C688" s="27" t="s">
        <v>996</v>
      </c>
      <c r="D688" s="25" t="s">
        <v>134</v>
      </c>
      <c r="E688" s="25" t="s">
        <v>3447</v>
      </c>
      <c r="F688" s="25" t="s">
        <v>3457</v>
      </c>
      <c r="G688" s="38" t="s">
        <v>30</v>
      </c>
      <c r="H688" s="33" t="s">
        <v>24</v>
      </c>
      <c r="I688" s="25" t="n">
        <v>2</v>
      </c>
      <c r="J688" s="25" t="n">
        <v>0</v>
      </c>
      <c r="K688" s="25" t="n">
        <v>2</v>
      </c>
      <c r="L688" s="29" t="n">
        <v>0.78</v>
      </c>
      <c r="M688" s="30" t="n">
        <v>10.89</v>
      </c>
      <c r="N688" s="29" t="n">
        <v>0</v>
      </c>
      <c r="O688" s="25" t="n">
        <v>182</v>
      </c>
      <c r="P688" s="30" t="n">
        <v>-1.16</v>
      </c>
      <c r="Q688" s="27" t="s">
        <v>3511</v>
      </c>
      <c r="R688" s="27" t="s">
        <v>30</v>
      </c>
    </row>
    <row r="689" customFormat="false" ht="15" hidden="false" customHeight="false" outlineLevel="0" collapsed="false">
      <c r="A689" s="25" t="n">
        <f aca="false">IF(G689="REJECT",COUNTIF($G$2:$G$2277,"&lt;&gt;REJECT")+1+COUNTIFS($G$2:$G$2277,"REJECT",$B$2:$B$2277,"&gt;"&amp;B689),1+COUNTIFS($G$2:$G$2277,"&lt;&gt;REJECT",$B$2:$B$2277,"&gt;"&amp;B689))</f>
        <v>688</v>
      </c>
      <c r="B689" s="26" t="n">
        <f aca="false">ROUND(($U$2*MAX(0,MIN(1,($W$2-I689)/($W$2-$V$2)))+$U$3*MAX(0,MIN(1,($W$3-J689)/($W$3-$V$3)))+$U$4*MAX(0,MIN(1,($W$4-K689)/($W$4-$V$4)))+$U$5*MAX(0,MIN(1,($W$5-L689)/($W$5-$V$5)))+$U$6*MAX(0,MIN(1,($W$6-M689)/($W$6-$V$6)))+$U$7*MAX(0,MIN(1,($W$7-N689)/($W$7-$V$7)))+$U$8*IF(AND(O689&gt;=$V$8,O689&lt;=$W$8),1,0))/$U$9*100,2)</f>
        <v>84.46</v>
      </c>
      <c r="C689" s="27" t="s">
        <v>1867</v>
      </c>
      <c r="D689" s="25" t="s">
        <v>134</v>
      </c>
      <c r="E689" s="25" t="s">
        <v>3447</v>
      </c>
      <c r="F689" s="25" t="s">
        <v>3448</v>
      </c>
      <c r="G689" s="38" t="s">
        <v>30</v>
      </c>
      <c r="H689" s="33" t="s">
        <v>24</v>
      </c>
      <c r="I689" s="25" t="n">
        <v>2</v>
      </c>
      <c r="J689" s="25" t="n">
        <v>0</v>
      </c>
      <c r="K689" s="25" t="n">
        <v>2</v>
      </c>
      <c r="L689" s="29" t="n">
        <v>0.78</v>
      </c>
      <c r="M689" s="30" t="n">
        <v>4.64</v>
      </c>
      <c r="N689" s="29" t="n">
        <v>0.64</v>
      </c>
      <c r="O689" s="25" t="n">
        <v>189</v>
      </c>
      <c r="P689" s="30" t="n">
        <v>0.1</v>
      </c>
      <c r="Q689" s="27" t="s">
        <v>3503</v>
      </c>
      <c r="R689" s="27" t="s">
        <v>30</v>
      </c>
    </row>
    <row r="690" customFormat="false" ht="15" hidden="false" customHeight="false" outlineLevel="0" collapsed="false">
      <c r="A690" s="25" t="n">
        <f aca="false">IF(G690="REJECT",COUNTIF($G$2:$G$2277,"&lt;&gt;REJECT")+1+COUNTIFS($G$2:$G$2277,"REJECT",$B$2:$B$2277,"&gt;"&amp;B690),1+COUNTIFS($G$2:$G$2277,"&lt;&gt;REJECT",$B$2:$B$2277,"&gt;"&amp;B690))</f>
        <v>689</v>
      </c>
      <c r="B690" s="26" t="n">
        <f aca="false">ROUND(($U$2*MAX(0,MIN(1,($W$2-I690)/($W$2-$V$2)))+$U$3*MAX(0,MIN(1,($W$3-J690)/($W$3-$V$3)))+$U$4*MAX(0,MIN(1,($W$4-K690)/($W$4-$V$4)))+$U$5*MAX(0,MIN(1,($W$5-L690)/($W$5-$V$5)))+$U$6*MAX(0,MIN(1,($W$6-M690)/($W$6-$V$6)))+$U$7*MAX(0,MIN(1,($W$7-N690)/($W$7-$V$7)))+$U$8*IF(AND(O690&gt;=$V$8,O690&lt;=$W$8),1,0))/$U$9*100,2)</f>
        <v>84.32</v>
      </c>
      <c r="C690" s="27" t="s">
        <v>2265</v>
      </c>
      <c r="D690" s="25" t="s">
        <v>134</v>
      </c>
      <c r="E690" s="25" t="s">
        <v>3450</v>
      </c>
      <c r="F690" s="25" t="s">
        <v>3448</v>
      </c>
      <c r="G690" s="38" t="s">
        <v>30</v>
      </c>
      <c r="H690" s="28" t="s">
        <v>25</v>
      </c>
      <c r="I690" s="25" t="n">
        <v>1</v>
      </c>
      <c r="J690" s="25" t="n">
        <v>0</v>
      </c>
      <c r="K690" s="25" t="n">
        <v>1</v>
      </c>
      <c r="L690" s="29" t="n">
        <v>0.74</v>
      </c>
      <c r="M690" s="30" t="n">
        <v>27.8</v>
      </c>
      <c r="N690" s="29" t="n">
        <v>0.72</v>
      </c>
      <c r="O690" s="25" t="n">
        <v>185</v>
      </c>
      <c r="P690" s="30" t="n">
        <v>12.85</v>
      </c>
      <c r="Q690" s="27" t="s">
        <v>3512</v>
      </c>
      <c r="R690" s="27" t="s">
        <v>992</v>
      </c>
    </row>
    <row r="691" customFormat="false" ht="15" hidden="false" customHeight="false" outlineLevel="0" collapsed="false">
      <c r="A691" s="25" t="n">
        <f aca="false">IF(G691="REJECT",COUNTIF($G$2:$G$2277,"&lt;&gt;REJECT")+1+COUNTIFS($G$2:$G$2277,"REJECT",$B$2:$B$2277,"&gt;"&amp;B691),1+COUNTIFS($G$2:$G$2277,"&lt;&gt;REJECT",$B$2:$B$2277,"&gt;"&amp;B691))</f>
        <v>690</v>
      </c>
      <c r="B691" s="26" t="n">
        <f aca="false">ROUND(($U$2*MAX(0,MIN(1,($W$2-I691)/($W$2-$V$2)))+$U$3*MAX(0,MIN(1,($W$3-J691)/($W$3-$V$3)))+$U$4*MAX(0,MIN(1,($W$4-K691)/($W$4-$V$4)))+$U$5*MAX(0,MIN(1,($W$5-L691)/($W$5-$V$5)))+$U$6*MAX(0,MIN(1,($W$6-M691)/($W$6-$V$6)))+$U$7*MAX(0,MIN(1,($W$7-N691)/($W$7-$V$7)))+$U$8*IF(AND(O691&gt;=$V$8,O691&lt;=$W$8),1,0))/$U$9*100,2)</f>
        <v>84.3</v>
      </c>
      <c r="C691" s="27" t="s">
        <v>3040</v>
      </c>
      <c r="D691" s="25" t="s">
        <v>134</v>
      </c>
      <c r="E691" s="25" t="s">
        <v>3447</v>
      </c>
      <c r="F691" s="25" t="s">
        <v>3457</v>
      </c>
      <c r="G691" s="38" t="s">
        <v>30</v>
      </c>
      <c r="H691" s="33" t="s">
        <v>24</v>
      </c>
      <c r="I691" s="25" t="n">
        <v>1</v>
      </c>
      <c r="J691" s="25" t="n">
        <v>0</v>
      </c>
      <c r="K691" s="25" t="n">
        <v>1</v>
      </c>
      <c r="L691" s="29" t="n">
        <v>0.7</v>
      </c>
      <c r="M691" s="30" t="n">
        <v>15.49</v>
      </c>
      <c r="N691" s="29" t="n">
        <v>0.52</v>
      </c>
      <c r="O691" s="25" t="n">
        <v>184</v>
      </c>
      <c r="P691" s="30" t="n">
        <v>0.31</v>
      </c>
      <c r="Q691" s="27" t="s">
        <v>3476</v>
      </c>
      <c r="R691" s="27" t="s">
        <v>30</v>
      </c>
    </row>
    <row r="692" customFormat="false" ht="15" hidden="false" customHeight="false" outlineLevel="0" collapsed="false">
      <c r="A692" s="25" t="n">
        <f aca="false">IF(G692="REJECT",COUNTIF($G$2:$G$2277,"&lt;&gt;REJECT")+1+COUNTIFS($G$2:$G$2277,"REJECT",$B$2:$B$2277,"&gt;"&amp;B692),1+COUNTIFS($G$2:$G$2277,"&lt;&gt;REJECT",$B$2:$B$2277,"&gt;"&amp;B692))</f>
        <v>691</v>
      </c>
      <c r="B692" s="26" t="n">
        <f aca="false">ROUND(($U$2*MAX(0,MIN(1,($W$2-I692)/($W$2-$V$2)))+$U$3*MAX(0,MIN(1,($W$3-J692)/($W$3-$V$3)))+$U$4*MAX(0,MIN(1,($W$4-K692)/($W$4-$V$4)))+$U$5*MAX(0,MIN(1,($W$5-L692)/($W$5-$V$5)))+$U$6*MAX(0,MIN(1,($W$6-M692)/($W$6-$V$6)))+$U$7*MAX(0,MIN(1,($W$7-N692)/($W$7-$V$7)))+$U$8*IF(AND(O692&gt;=$V$8,O692&lt;=$W$8),1,0))/$U$9*100,2)</f>
        <v>84.29</v>
      </c>
      <c r="C692" s="27" t="s">
        <v>818</v>
      </c>
      <c r="D692" s="25" t="s">
        <v>134</v>
      </c>
      <c r="E692" s="25" t="s">
        <v>3447</v>
      </c>
      <c r="F692" s="25" t="s">
        <v>3457</v>
      </c>
      <c r="G692" s="38" t="s">
        <v>30</v>
      </c>
      <c r="H692" s="28" t="s">
        <v>25</v>
      </c>
      <c r="I692" s="25" t="n">
        <v>2</v>
      </c>
      <c r="J692" s="25" t="n">
        <v>0</v>
      </c>
      <c r="K692" s="25" t="n">
        <v>2</v>
      </c>
      <c r="L692" s="29" t="n">
        <v>0.78</v>
      </c>
      <c r="M692" s="30" t="n">
        <v>2.87</v>
      </c>
      <c r="N692" s="29" t="n">
        <v>0.92</v>
      </c>
      <c r="O692" s="25" t="n">
        <v>224</v>
      </c>
      <c r="P692" s="30" t="n">
        <v>-1.21</v>
      </c>
      <c r="Q692" s="27" t="s">
        <v>3505</v>
      </c>
      <c r="R692" s="27" t="s">
        <v>2610</v>
      </c>
    </row>
    <row r="693" customFormat="false" ht="15" hidden="false" customHeight="false" outlineLevel="0" collapsed="false">
      <c r="A693" s="25" t="n">
        <f aca="false">IF(G693="REJECT",COUNTIF($G$2:$G$2277,"&lt;&gt;REJECT")+1+COUNTIFS($G$2:$G$2277,"REJECT",$B$2:$B$2277,"&gt;"&amp;B693),1+COUNTIFS($G$2:$G$2277,"&lt;&gt;REJECT",$B$2:$B$2277,"&gt;"&amp;B693))</f>
        <v>692</v>
      </c>
      <c r="B693" s="26" t="n">
        <f aca="false">ROUND(($U$2*MAX(0,MIN(1,($W$2-I693)/($W$2-$V$2)))+$U$3*MAX(0,MIN(1,($W$3-J693)/($W$3-$V$3)))+$U$4*MAX(0,MIN(1,($W$4-K693)/($W$4-$V$4)))+$U$5*MAX(0,MIN(1,($W$5-L693)/($W$5-$V$5)))+$U$6*MAX(0,MIN(1,($W$6-M693)/($W$6-$V$6)))+$U$7*MAX(0,MIN(1,($W$7-N693)/($W$7-$V$7)))+$U$8*IF(AND(O693&gt;=$V$8,O693&lt;=$W$8),1,0))/$U$9*100,2)</f>
        <v>84.24</v>
      </c>
      <c r="C693" s="27" t="s">
        <v>584</v>
      </c>
      <c r="D693" s="25" t="s">
        <v>134</v>
      </c>
      <c r="E693" s="25" t="s">
        <v>3447</v>
      </c>
      <c r="F693" s="25" t="s">
        <v>3457</v>
      </c>
      <c r="G693" s="38" t="s">
        <v>30</v>
      </c>
      <c r="H693" s="28" t="s">
        <v>25</v>
      </c>
      <c r="I693" s="25" t="n">
        <v>1</v>
      </c>
      <c r="J693" s="25" t="n">
        <v>0</v>
      </c>
      <c r="K693" s="25" t="n">
        <v>1</v>
      </c>
      <c r="L693" s="29" t="n">
        <v>0.73</v>
      </c>
      <c r="M693" s="30" t="n">
        <v>23.49</v>
      </c>
      <c r="N693" s="29" t="n">
        <v>0.84</v>
      </c>
      <c r="O693" s="25" t="n">
        <v>188</v>
      </c>
      <c r="P693" s="30" t="n">
        <v>-0.47</v>
      </c>
      <c r="Q693" s="27" t="s">
        <v>3474</v>
      </c>
      <c r="R693" s="27" t="s">
        <v>992</v>
      </c>
    </row>
    <row r="694" customFormat="false" ht="15" hidden="false" customHeight="false" outlineLevel="0" collapsed="false">
      <c r="A694" s="25" t="n">
        <f aca="false">IF(G694="REJECT",COUNTIF($G$2:$G$2277,"&lt;&gt;REJECT")+1+COUNTIFS($G$2:$G$2277,"REJECT",$B$2:$B$2277,"&gt;"&amp;B694),1+COUNTIFS($G$2:$G$2277,"&lt;&gt;REJECT",$B$2:$B$2277,"&gt;"&amp;B694))</f>
        <v>693</v>
      </c>
      <c r="B694" s="26" t="n">
        <f aca="false">ROUND(($U$2*MAX(0,MIN(1,($W$2-I694)/($W$2-$V$2)))+$U$3*MAX(0,MIN(1,($W$3-J694)/($W$3-$V$3)))+$U$4*MAX(0,MIN(1,($W$4-K694)/($W$4-$V$4)))+$U$5*MAX(0,MIN(1,($W$5-L694)/($W$5-$V$5)))+$U$6*MAX(0,MIN(1,($W$6-M694)/($W$6-$V$6)))+$U$7*MAX(0,MIN(1,($W$7-N694)/($W$7-$V$7)))+$U$8*IF(AND(O694&gt;=$V$8,O694&lt;=$W$8),1,0))/$U$9*100,2)</f>
        <v>84.23</v>
      </c>
      <c r="C694" s="27" t="s">
        <v>2429</v>
      </c>
      <c r="D694" s="25" t="s">
        <v>3459</v>
      </c>
      <c r="E694" s="25" t="s">
        <v>3450</v>
      </c>
      <c r="F694" s="25" t="s">
        <v>3457</v>
      </c>
      <c r="G694" s="38" t="s">
        <v>30</v>
      </c>
      <c r="H694" s="33" t="s">
        <v>24</v>
      </c>
      <c r="I694" s="25" t="n">
        <v>1</v>
      </c>
      <c r="J694" s="25" t="n">
        <v>0</v>
      </c>
      <c r="K694" s="25" t="n">
        <v>1</v>
      </c>
      <c r="L694" s="29" t="n">
        <v>0.69</v>
      </c>
      <c r="M694" s="30" t="n">
        <v>17.53</v>
      </c>
      <c r="N694" s="29" t="n">
        <v>0</v>
      </c>
      <c r="O694" s="25" t="n">
        <v>182</v>
      </c>
      <c r="P694" s="30" t="n">
        <v>6.09</v>
      </c>
      <c r="Q694" s="27" t="s">
        <v>3474</v>
      </c>
      <c r="R694" s="27" t="s">
        <v>30</v>
      </c>
    </row>
    <row r="695" customFormat="false" ht="15" hidden="false" customHeight="false" outlineLevel="0" collapsed="false">
      <c r="A695" s="25" t="n">
        <f aca="false">IF(G695="REJECT",COUNTIF($G$2:$G$2277,"&lt;&gt;REJECT")+1+COUNTIFS($G$2:$G$2277,"REJECT",$B$2:$B$2277,"&gt;"&amp;B695),1+COUNTIFS($G$2:$G$2277,"&lt;&gt;REJECT",$B$2:$B$2277,"&gt;"&amp;B695))</f>
        <v>694</v>
      </c>
      <c r="B695" s="26" t="n">
        <f aca="false">ROUND(($U$2*MAX(0,MIN(1,($W$2-I695)/($W$2-$V$2)))+$U$3*MAX(0,MIN(1,($W$3-J695)/($W$3-$V$3)))+$U$4*MAX(0,MIN(1,($W$4-K695)/($W$4-$V$4)))+$U$5*MAX(0,MIN(1,($W$5-L695)/($W$5-$V$5)))+$U$6*MAX(0,MIN(1,($W$6-M695)/($W$6-$V$6)))+$U$7*MAX(0,MIN(1,($W$7-N695)/($W$7-$V$7)))+$U$8*IF(AND(O695&gt;=$V$8,O695&lt;=$W$8),1,0))/$U$9*100,2)</f>
        <v>84.19</v>
      </c>
      <c r="C695" s="27" t="s">
        <v>1110</v>
      </c>
      <c r="D695" s="25" t="s">
        <v>134</v>
      </c>
      <c r="E695" s="25" t="s">
        <v>3450</v>
      </c>
      <c r="F695" s="25" t="s">
        <v>3457</v>
      </c>
      <c r="G695" s="38" t="s">
        <v>30</v>
      </c>
      <c r="H695" s="33" t="s">
        <v>24</v>
      </c>
      <c r="I695" s="25" t="n">
        <v>1</v>
      </c>
      <c r="J695" s="25" t="n">
        <v>0</v>
      </c>
      <c r="K695" s="25" t="n">
        <v>1</v>
      </c>
      <c r="L695" s="29" t="n">
        <v>0.68</v>
      </c>
      <c r="M695" s="30" t="n">
        <v>10.59</v>
      </c>
      <c r="N695" s="29" t="n">
        <v>0.36</v>
      </c>
      <c r="O695" s="25" t="n">
        <v>182</v>
      </c>
      <c r="P695" s="30" t="n">
        <v>6.5</v>
      </c>
      <c r="Q695" s="27" t="s">
        <v>3484</v>
      </c>
      <c r="R695" s="27" t="s">
        <v>30</v>
      </c>
    </row>
    <row r="696" customFormat="false" ht="15" hidden="false" customHeight="false" outlineLevel="0" collapsed="false">
      <c r="A696" s="25" t="n">
        <f aca="false">IF(G696="REJECT",COUNTIF($G$2:$G$2277,"&lt;&gt;REJECT")+1+COUNTIFS($G$2:$G$2277,"REJECT",$B$2:$B$2277,"&gt;"&amp;B696),1+COUNTIFS($G$2:$G$2277,"&lt;&gt;REJECT",$B$2:$B$2277,"&gt;"&amp;B696))</f>
        <v>695</v>
      </c>
      <c r="B696" s="26" t="n">
        <f aca="false">ROUND(($U$2*MAX(0,MIN(1,($W$2-I696)/($W$2-$V$2)))+$U$3*MAX(0,MIN(1,($W$3-J696)/($W$3-$V$3)))+$U$4*MAX(0,MIN(1,($W$4-K696)/($W$4-$V$4)))+$U$5*MAX(0,MIN(1,($W$5-L696)/($W$5-$V$5)))+$U$6*MAX(0,MIN(1,($W$6-M696)/($W$6-$V$6)))+$U$7*MAX(0,MIN(1,($W$7-N696)/($W$7-$V$7)))+$U$8*IF(AND(O696&gt;=$V$8,O696&lt;=$W$8),1,0))/$U$9*100,2)</f>
        <v>84.17</v>
      </c>
      <c r="C696" s="27" t="s">
        <v>1867</v>
      </c>
      <c r="D696" s="25" t="s">
        <v>134</v>
      </c>
      <c r="E696" s="25" t="s">
        <v>3450</v>
      </c>
      <c r="F696" s="25" t="s">
        <v>3457</v>
      </c>
      <c r="G696" s="38" t="s">
        <v>30</v>
      </c>
      <c r="H696" s="28" t="s">
        <v>25</v>
      </c>
      <c r="I696" s="25" t="n">
        <v>2</v>
      </c>
      <c r="J696" s="25" t="n">
        <v>0</v>
      </c>
      <c r="K696" s="25" t="n">
        <v>2</v>
      </c>
      <c r="L696" s="29" t="n">
        <v>0.76</v>
      </c>
      <c r="M696" s="30" t="n">
        <v>5.61</v>
      </c>
      <c r="N696" s="29" t="n">
        <v>0</v>
      </c>
      <c r="O696" s="25" t="n">
        <v>193</v>
      </c>
      <c r="P696" s="30" t="n">
        <v>-0.41</v>
      </c>
      <c r="Q696" s="27" t="s">
        <v>3503</v>
      </c>
      <c r="R696" s="27" t="s">
        <v>2328</v>
      </c>
    </row>
    <row r="697" customFormat="false" ht="15" hidden="false" customHeight="false" outlineLevel="0" collapsed="false">
      <c r="A697" s="25" t="n">
        <f aca="false">IF(G697="REJECT",COUNTIF($G$2:$G$2277,"&lt;&gt;REJECT")+1+COUNTIFS($G$2:$G$2277,"REJECT",$B$2:$B$2277,"&gt;"&amp;B697),1+COUNTIFS($G$2:$G$2277,"&lt;&gt;REJECT",$B$2:$B$2277,"&gt;"&amp;B697))</f>
        <v>696</v>
      </c>
      <c r="B697" s="26" t="n">
        <f aca="false">ROUND(($U$2*MAX(0,MIN(1,($W$2-I697)/($W$2-$V$2)))+$U$3*MAX(0,MIN(1,($W$3-J697)/($W$3-$V$3)))+$U$4*MAX(0,MIN(1,($W$4-K697)/($W$4-$V$4)))+$U$5*MAX(0,MIN(1,($W$5-L697)/($W$5-$V$5)))+$U$6*MAX(0,MIN(1,($W$6-M697)/($W$6-$V$6)))+$U$7*MAX(0,MIN(1,($W$7-N697)/($W$7-$V$7)))+$U$8*IF(AND(O697&gt;=$V$8,O697&lt;=$W$8),1,0))/$U$9*100,2)</f>
        <v>84.1</v>
      </c>
      <c r="C697" s="27" t="s">
        <v>637</v>
      </c>
      <c r="D697" s="25" t="s">
        <v>134</v>
      </c>
      <c r="E697" s="25" t="s">
        <v>3447</v>
      </c>
      <c r="F697" s="25" t="s">
        <v>3448</v>
      </c>
      <c r="G697" s="38" t="s">
        <v>30</v>
      </c>
      <c r="H697" s="33" t="s">
        <v>24</v>
      </c>
      <c r="I697" s="25" t="n">
        <v>2</v>
      </c>
      <c r="J697" s="25" t="n">
        <v>0</v>
      </c>
      <c r="K697" s="25" t="n">
        <v>2</v>
      </c>
      <c r="L697" s="29" t="n">
        <v>0.76</v>
      </c>
      <c r="M697" s="30" t="n">
        <v>3.18</v>
      </c>
      <c r="N697" s="29" t="n">
        <v>0.28</v>
      </c>
      <c r="O697" s="25" t="n">
        <v>183</v>
      </c>
      <c r="P697" s="30" t="n">
        <v>5.2</v>
      </c>
      <c r="Q697" s="27" t="s">
        <v>3511</v>
      </c>
      <c r="R697" s="27" t="s">
        <v>30</v>
      </c>
    </row>
    <row r="698" customFormat="false" ht="15" hidden="false" customHeight="false" outlineLevel="0" collapsed="false">
      <c r="A698" s="25" t="n">
        <f aca="false">IF(G698="REJECT",COUNTIF($G$2:$G$2277,"&lt;&gt;REJECT")+1+COUNTIFS($G$2:$G$2277,"REJECT",$B$2:$B$2277,"&gt;"&amp;B698),1+COUNTIFS($G$2:$G$2277,"&lt;&gt;REJECT",$B$2:$B$2277,"&gt;"&amp;B698))</f>
        <v>697</v>
      </c>
      <c r="B698" s="26" t="n">
        <f aca="false">ROUND(($U$2*MAX(0,MIN(1,($W$2-I698)/($W$2-$V$2)))+$U$3*MAX(0,MIN(1,($W$3-J698)/($W$3-$V$3)))+$U$4*MAX(0,MIN(1,($W$4-K698)/($W$4-$V$4)))+$U$5*MAX(0,MIN(1,($W$5-L698)/($W$5-$V$5)))+$U$6*MAX(0,MIN(1,($W$6-M698)/($W$6-$V$6)))+$U$7*MAX(0,MIN(1,($W$7-N698)/($W$7-$V$7)))+$U$8*IF(AND(O698&gt;=$V$8,O698&lt;=$W$8),1,0))/$U$9*100,2)</f>
        <v>84.05</v>
      </c>
      <c r="C698" s="27" t="s">
        <v>1825</v>
      </c>
      <c r="D698" s="25" t="s">
        <v>134</v>
      </c>
      <c r="E698" s="25" t="s">
        <v>3447</v>
      </c>
      <c r="F698" s="25" t="s">
        <v>3457</v>
      </c>
      <c r="G698" s="38" t="s">
        <v>30</v>
      </c>
      <c r="H698" s="33" t="s">
        <v>24</v>
      </c>
      <c r="I698" s="25" t="n">
        <v>1</v>
      </c>
      <c r="J698" s="25" t="n">
        <v>0</v>
      </c>
      <c r="K698" s="25" t="n">
        <v>1</v>
      </c>
      <c r="L698" s="29" t="n">
        <v>0.67</v>
      </c>
      <c r="M698" s="30" t="n">
        <v>9.4</v>
      </c>
      <c r="N698" s="29" t="n">
        <v>0.2</v>
      </c>
      <c r="O698" s="25" t="n">
        <v>184</v>
      </c>
      <c r="P698" s="30" t="n">
        <v>-0.84</v>
      </c>
      <c r="Q698" s="27" t="s">
        <v>3476</v>
      </c>
      <c r="R698" s="27" t="s">
        <v>30</v>
      </c>
    </row>
    <row r="699" customFormat="false" ht="15" hidden="false" customHeight="false" outlineLevel="0" collapsed="false">
      <c r="A699" s="25" t="n">
        <f aca="false">IF(G699="REJECT",COUNTIF($G$2:$G$2277,"&lt;&gt;REJECT")+1+COUNTIFS($G$2:$G$2277,"REJECT",$B$2:$B$2277,"&gt;"&amp;B699),1+COUNTIFS($G$2:$G$2277,"&lt;&gt;REJECT",$B$2:$B$2277,"&gt;"&amp;B699))</f>
        <v>697</v>
      </c>
      <c r="B699" s="26" t="n">
        <f aca="false">ROUND(($U$2*MAX(0,MIN(1,($W$2-I699)/($W$2-$V$2)))+$U$3*MAX(0,MIN(1,($W$3-J699)/($W$3-$V$3)))+$U$4*MAX(0,MIN(1,($W$4-K699)/($W$4-$V$4)))+$U$5*MAX(0,MIN(1,($W$5-L699)/($W$5-$V$5)))+$U$6*MAX(0,MIN(1,($W$6-M699)/($W$6-$V$6)))+$U$7*MAX(0,MIN(1,($W$7-N699)/($W$7-$V$7)))+$U$8*IF(AND(O699&gt;=$V$8,O699&lt;=$W$8),1,0))/$U$9*100,2)</f>
        <v>84.05</v>
      </c>
      <c r="C699" s="27" t="s">
        <v>3327</v>
      </c>
      <c r="D699" s="25" t="s">
        <v>134</v>
      </c>
      <c r="E699" s="25" t="s">
        <v>3447</v>
      </c>
      <c r="F699" s="25" t="s">
        <v>3448</v>
      </c>
      <c r="G699" s="38" t="s">
        <v>30</v>
      </c>
      <c r="H699" s="28" t="s">
        <v>25</v>
      </c>
      <c r="I699" s="25" t="n">
        <v>2</v>
      </c>
      <c r="J699" s="25" t="n">
        <v>0</v>
      </c>
      <c r="K699" s="25" t="n">
        <v>2</v>
      </c>
      <c r="L699" s="29" t="n">
        <v>0.85</v>
      </c>
      <c r="M699" s="30" t="n">
        <v>20.72</v>
      </c>
      <c r="N699" s="29" t="n">
        <v>0</v>
      </c>
      <c r="O699" s="25" t="n">
        <v>182</v>
      </c>
      <c r="P699" s="30" t="n">
        <v>2.73</v>
      </c>
      <c r="Q699" s="27" t="s">
        <v>3498</v>
      </c>
      <c r="R699" s="27" t="s">
        <v>992</v>
      </c>
    </row>
    <row r="700" customFormat="false" ht="15" hidden="false" customHeight="false" outlineLevel="0" collapsed="false">
      <c r="A700" s="25" t="n">
        <f aca="false">IF(G700="REJECT",COUNTIF($G$2:$G$2277,"&lt;&gt;REJECT")+1+COUNTIFS($G$2:$G$2277,"REJECT",$B$2:$B$2277,"&gt;"&amp;B700),1+COUNTIFS($G$2:$G$2277,"&lt;&gt;REJECT",$B$2:$B$2277,"&gt;"&amp;B700))</f>
        <v>699</v>
      </c>
      <c r="B700" s="26" t="n">
        <f aca="false">ROUND(($U$2*MAX(0,MIN(1,($W$2-I700)/($W$2-$V$2)))+$U$3*MAX(0,MIN(1,($W$3-J700)/($W$3-$V$3)))+$U$4*MAX(0,MIN(1,($W$4-K700)/($W$4-$V$4)))+$U$5*MAX(0,MIN(1,($W$5-L700)/($W$5-$V$5)))+$U$6*MAX(0,MIN(1,($W$6-M700)/($W$6-$V$6)))+$U$7*MAX(0,MIN(1,($W$7-N700)/($W$7-$V$7)))+$U$8*IF(AND(O700&gt;=$V$8,O700&lt;=$W$8),1,0))/$U$9*100,2)</f>
        <v>84.03</v>
      </c>
      <c r="C700" s="27" t="s">
        <v>1271</v>
      </c>
      <c r="D700" s="25" t="s">
        <v>134</v>
      </c>
      <c r="E700" s="25" t="s">
        <v>3447</v>
      </c>
      <c r="F700" s="25" t="s">
        <v>3457</v>
      </c>
      <c r="G700" s="38" t="s">
        <v>30</v>
      </c>
      <c r="H700" s="28" t="s">
        <v>25</v>
      </c>
      <c r="I700" s="25" t="n">
        <v>2</v>
      </c>
      <c r="J700" s="25" t="n">
        <v>0</v>
      </c>
      <c r="K700" s="25" t="n">
        <v>2</v>
      </c>
      <c r="L700" s="29" t="n">
        <v>0.77</v>
      </c>
      <c r="M700" s="30" t="n">
        <v>10.04</v>
      </c>
      <c r="N700" s="29" t="n">
        <v>0</v>
      </c>
      <c r="O700" s="25" t="n">
        <v>183</v>
      </c>
      <c r="P700" s="30" t="n">
        <v>0.77</v>
      </c>
      <c r="Q700" s="27" t="s">
        <v>3513</v>
      </c>
      <c r="R700" s="27" t="s">
        <v>2133</v>
      </c>
    </row>
    <row r="701" customFormat="false" ht="15" hidden="false" customHeight="false" outlineLevel="0" collapsed="false">
      <c r="A701" s="25" t="n">
        <f aca="false">IF(G701="REJECT",COUNTIF($G$2:$G$2277,"&lt;&gt;REJECT")+1+COUNTIFS($G$2:$G$2277,"REJECT",$B$2:$B$2277,"&gt;"&amp;B701),1+COUNTIFS($G$2:$G$2277,"&lt;&gt;REJECT",$B$2:$B$2277,"&gt;"&amp;B701))</f>
        <v>700</v>
      </c>
      <c r="B701" s="26" t="n">
        <f aca="false">ROUND(($U$2*MAX(0,MIN(1,($W$2-I701)/($W$2-$V$2)))+$U$3*MAX(0,MIN(1,($W$3-J701)/($W$3-$V$3)))+$U$4*MAX(0,MIN(1,($W$4-K701)/($W$4-$V$4)))+$U$5*MAX(0,MIN(1,($W$5-L701)/($W$5-$V$5)))+$U$6*MAX(0,MIN(1,($W$6-M701)/($W$6-$V$6)))+$U$7*MAX(0,MIN(1,($W$7-N701)/($W$7-$V$7)))+$U$8*IF(AND(O701&gt;=$V$8,O701&lt;=$W$8),1,0))/$U$9*100,2)</f>
        <v>84.02</v>
      </c>
      <c r="C701" s="27" t="s">
        <v>2198</v>
      </c>
      <c r="D701" s="25" t="s">
        <v>134</v>
      </c>
      <c r="E701" s="25" t="s">
        <v>3447</v>
      </c>
      <c r="F701" s="25" t="s">
        <v>3448</v>
      </c>
      <c r="G701" s="38" t="s">
        <v>30</v>
      </c>
      <c r="H701" s="33" t="s">
        <v>24</v>
      </c>
      <c r="I701" s="25" t="n">
        <v>2</v>
      </c>
      <c r="J701" s="25" t="n">
        <v>0</v>
      </c>
      <c r="K701" s="25" t="n">
        <v>2</v>
      </c>
      <c r="L701" s="29" t="n">
        <v>0.86</v>
      </c>
      <c r="M701" s="30" t="n">
        <v>14.88</v>
      </c>
      <c r="N701" s="29" t="n">
        <v>0.6</v>
      </c>
      <c r="O701" s="25" t="n">
        <v>183</v>
      </c>
      <c r="P701" s="30" t="n">
        <v>-0.58</v>
      </c>
      <c r="Q701" s="27" t="s">
        <v>3501</v>
      </c>
      <c r="R701" s="27" t="s">
        <v>30</v>
      </c>
    </row>
    <row r="702" customFormat="false" ht="15" hidden="false" customHeight="false" outlineLevel="0" collapsed="false">
      <c r="A702" s="25" t="n">
        <f aca="false">IF(G702="REJECT",COUNTIF($G$2:$G$2277,"&lt;&gt;REJECT")+1+COUNTIFS($G$2:$G$2277,"REJECT",$B$2:$B$2277,"&gt;"&amp;B702),1+COUNTIFS($G$2:$G$2277,"&lt;&gt;REJECT",$B$2:$B$2277,"&gt;"&amp;B702))</f>
        <v>701</v>
      </c>
      <c r="B702" s="26" t="n">
        <f aca="false">ROUND(($U$2*MAX(0,MIN(1,($W$2-I702)/($W$2-$V$2)))+$U$3*MAX(0,MIN(1,($W$3-J702)/($W$3-$V$3)))+$U$4*MAX(0,MIN(1,($W$4-K702)/($W$4-$V$4)))+$U$5*MAX(0,MIN(1,($W$5-L702)/($W$5-$V$5)))+$U$6*MAX(0,MIN(1,($W$6-M702)/($W$6-$V$6)))+$U$7*MAX(0,MIN(1,($W$7-N702)/($W$7-$V$7)))+$U$8*IF(AND(O702&gt;=$V$8,O702&lt;=$W$8),1,0))/$U$9*100,2)</f>
        <v>84.01</v>
      </c>
      <c r="C702" s="27" t="s">
        <v>1314</v>
      </c>
      <c r="D702" s="25" t="s">
        <v>134</v>
      </c>
      <c r="E702" s="25" t="s">
        <v>3447</v>
      </c>
      <c r="F702" s="25" t="s">
        <v>3457</v>
      </c>
      <c r="G702" s="38" t="s">
        <v>30</v>
      </c>
      <c r="H702" s="33" t="s">
        <v>24</v>
      </c>
      <c r="I702" s="25" t="n">
        <v>2</v>
      </c>
      <c r="J702" s="25" t="n">
        <v>0</v>
      </c>
      <c r="K702" s="25" t="n">
        <v>2</v>
      </c>
      <c r="L702" s="29" t="n">
        <v>0.76</v>
      </c>
      <c r="M702" s="30" t="n">
        <v>5.36</v>
      </c>
      <c r="N702" s="29" t="n">
        <v>0.12</v>
      </c>
      <c r="O702" s="25" t="n">
        <v>183</v>
      </c>
      <c r="P702" s="30" t="n">
        <v>0.17</v>
      </c>
      <c r="Q702" s="27" t="s">
        <v>3505</v>
      </c>
      <c r="R702" s="27" t="s">
        <v>30</v>
      </c>
    </row>
    <row r="703" customFormat="false" ht="15" hidden="false" customHeight="false" outlineLevel="0" collapsed="false">
      <c r="A703" s="25" t="n">
        <f aca="false">IF(G703="REJECT",COUNTIF($G$2:$G$2277,"&lt;&gt;REJECT")+1+COUNTIFS($G$2:$G$2277,"REJECT",$B$2:$B$2277,"&gt;"&amp;B703),1+COUNTIFS($G$2:$G$2277,"&lt;&gt;REJECT",$B$2:$B$2277,"&gt;"&amp;B703))</f>
        <v>702</v>
      </c>
      <c r="B703" s="26" t="n">
        <f aca="false">ROUND(($U$2*MAX(0,MIN(1,($W$2-I703)/($W$2-$V$2)))+$U$3*MAX(0,MIN(1,($W$3-J703)/($W$3-$V$3)))+$U$4*MAX(0,MIN(1,($W$4-K703)/($W$4-$V$4)))+$U$5*MAX(0,MIN(1,($W$5-L703)/($W$5-$V$5)))+$U$6*MAX(0,MIN(1,($W$6-M703)/($W$6-$V$6)))+$U$7*MAX(0,MIN(1,($W$7-N703)/($W$7-$V$7)))+$U$8*IF(AND(O703&gt;=$V$8,O703&lt;=$W$8),1,0))/$U$9*100,2)</f>
        <v>83.97</v>
      </c>
      <c r="C703" s="27" t="s">
        <v>2799</v>
      </c>
      <c r="D703" s="25" t="s">
        <v>134</v>
      </c>
      <c r="E703" s="25" t="s">
        <v>3450</v>
      </c>
      <c r="F703" s="25" t="s">
        <v>3457</v>
      </c>
      <c r="G703" s="38" t="s">
        <v>30</v>
      </c>
      <c r="H703" s="28" t="s">
        <v>25</v>
      </c>
      <c r="I703" s="25" t="n">
        <v>1</v>
      </c>
      <c r="J703" s="25" t="n">
        <v>0</v>
      </c>
      <c r="K703" s="25" t="n">
        <v>1</v>
      </c>
      <c r="L703" s="29" t="n">
        <v>0.68</v>
      </c>
      <c r="M703" s="30" t="n">
        <v>8.27</v>
      </c>
      <c r="N703" s="29" t="n">
        <v>0.72</v>
      </c>
      <c r="O703" s="25" t="n">
        <v>185</v>
      </c>
      <c r="P703" s="30" t="n">
        <v>14.74</v>
      </c>
      <c r="Q703" s="27" t="s">
        <v>3482</v>
      </c>
      <c r="R703" s="27" t="s">
        <v>2133</v>
      </c>
    </row>
    <row r="704" customFormat="false" ht="15" hidden="false" customHeight="false" outlineLevel="0" collapsed="false">
      <c r="A704" s="25" t="n">
        <f aca="false">IF(G704="REJECT",COUNTIF($G$2:$G$2277,"&lt;&gt;REJECT")+1+COUNTIFS($G$2:$G$2277,"REJECT",$B$2:$B$2277,"&gt;"&amp;B704),1+COUNTIFS($G$2:$G$2277,"&lt;&gt;REJECT",$B$2:$B$2277,"&gt;"&amp;B704))</f>
        <v>703</v>
      </c>
      <c r="B704" s="26" t="n">
        <f aca="false">ROUND(($U$2*MAX(0,MIN(1,($W$2-I704)/($W$2-$V$2)))+$U$3*MAX(0,MIN(1,($W$3-J704)/($W$3-$V$3)))+$U$4*MAX(0,MIN(1,($W$4-K704)/($W$4-$V$4)))+$U$5*MAX(0,MIN(1,($W$5-L704)/($W$5-$V$5)))+$U$6*MAX(0,MIN(1,($W$6-M704)/($W$6-$V$6)))+$U$7*MAX(0,MIN(1,($W$7-N704)/($W$7-$V$7)))+$U$8*IF(AND(O704&gt;=$V$8,O704&lt;=$W$8),1,0))/$U$9*100,2)</f>
        <v>83.96</v>
      </c>
      <c r="C704" s="27" t="s">
        <v>3105</v>
      </c>
      <c r="D704" s="25" t="s">
        <v>134</v>
      </c>
      <c r="E704" s="25" t="s">
        <v>3447</v>
      </c>
      <c r="F704" s="25" t="s">
        <v>3448</v>
      </c>
      <c r="G704" s="38" t="s">
        <v>30</v>
      </c>
      <c r="H704" s="28" t="s">
        <v>25</v>
      </c>
      <c r="I704" s="25" t="n">
        <v>1</v>
      </c>
      <c r="J704" s="25" t="n">
        <v>0</v>
      </c>
      <c r="K704" s="25" t="n">
        <v>1</v>
      </c>
      <c r="L704" s="29" t="n">
        <v>0.71</v>
      </c>
      <c r="M704" s="30" t="n">
        <v>23.53</v>
      </c>
      <c r="N704" s="29" t="n">
        <v>0.28</v>
      </c>
      <c r="O704" s="25" t="n">
        <v>191</v>
      </c>
      <c r="P704" s="30" t="n">
        <v>2.78</v>
      </c>
      <c r="Q704" s="27" t="s">
        <v>3485</v>
      </c>
      <c r="R704" s="27" t="s">
        <v>992</v>
      </c>
    </row>
    <row r="705" customFormat="false" ht="15" hidden="false" customHeight="false" outlineLevel="0" collapsed="false">
      <c r="A705" s="25" t="n">
        <f aca="false">IF(G705="REJECT",COUNTIF($G$2:$G$2277,"&lt;&gt;REJECT")+1+COUNTIFS($G$2:$G$2277,"REJECT",$B$2:$B$2277,"&gt;"&amp;B705),1+COUNTIFS($G$2:$G$2277,"&lt;&gt;REJECT",$B$2:$B$2277,"&gt;"&amp;B705))</f>
        <v>704</v>
      </c>
      <c r="B705" s="26" t="n">
        <f aca="false">ROUND(($U$2*MAX(0,MIN(1,($W$2-I705)/($W$2-$V$2)))+$U$3*MAX(0,MIN(1,($W$3-J705)/($W$3-$V$3)))+$U$4*MAX(0,MIN(1,($W$4-K705)/($W$4-$V$4)))+$U$5*MAX(0,MIN(1,($W$5-L705)/($W$5-$V$5)))+$U$6*MAX(0,MIN(1,($W$6-M705)/($W$6-$V$6)))+$U$7*MAX(0,MIN(1,($W$7-N705)/($W$7-$V$7)))+$U$8*IF(AND(O705&gt;=$V$8,O705&lt;=$W$8),1,0))/$U$9*100,2)</f>
        <v>83.87</v>
      </c>
      <c r="C705" s="27" t="s">
        <v>1116</v>
      </c>
      <c r="D705" s="25" t="s">
        <v>134</v>
      </c>
      <c r="E705" s="25" t="s">
        <v>3447</v>
      </c>
      <c r="F705" s="25" t="s">
        <v>3448</v>
      </c>
      <c r="G705" s="38" t="s">
        <v>30</v>
      </c>
      <c r="H705" s="33" t="s">
        <v>24</v>
      </c>
      <c r="I705" s="25" t="n">
        <v>2</v>
      </c>
      <c r="J705" s="25" t="n">
        <v>0</v>
      </c>
      <c r="K705" s="25" t="n">
        <v>2</v>
      </c>
      <c r="L705" s="29" t="n">
        <v>0.76</v>
      </c>
      <c r="M705" s="30" t="n">
        <v>4.58</v>
      </c>
      <c r="N705" s="29" t="n">
        <v>0.28</v>
      </c>
      <c r="O705" s="25" t="n">
        <v>186</v>
      </c>
      <c r="P705" s="30" t="n">
        <v>9.85</v>
      </c>
      <c r="Q705" s="27" t="s">
        <v>3514</v>
      </c>
      <c r="R705" s="27" t="s">
        <v>30</v>
      </c>
    </row>
    <row r="706" customFormat="false" ht="15" hidden="false" customHeight="false" outlineLevel="0" collapsed="false">
      <c r="A706" s="25" t="n">
        <f aca="false">IF(G706="REJECT",COUNTIF($G$2:$G$2277,"&lt;&gt;REJECT")+1+COUNTIFS($G$2:$G$2277,"REJECT",$B$2:$B$2277,"&gt;"&amp;B706),1+COUNTIFS($G$2:$G$2277,"&lt;&gt;REJECT",$B$2:$B$2277,"&gt;"&amp;B706))</f>
        <v>705</v>
      </c>
      <c r="B706" s="26" t="n">
        <f aca="false">ROUND(($U$2*MAX(0,MIN(1,($W$2-I706)/($W$2-$V$2)))+$U$3*MAX(0,MIN(1,($W$3-J706)/($W$3-$V$3)))+$U$4*MAX(0,MIN(1,($W$4-K706)/($W$4-$V$4)))+$U$5*MAX(0,MIN(1,($W$5-L706)/($W$5-$V$5)))+$U$6*MAX(0,MIN(1,($W$6-M706)/($W$6-$V$6)))+$U$7*MAX(0,MIN(1,($W$7-N706)/($W$7-$V$7)))+$U$8*IF(AND(O706&gt;=$V$8,O706&lt;=$W$8),1,0))/$U$9*100,2)</f>
        <v>83.84</v>
      </c>
      <c r="C706" s="27" t="s">
        <v>2879</v>
      </c>
      <c r="D706" s="25" t="s">
        <v>134</v>
      </c>
      <c r="E706" s="25" t="s">
        <v>3447</v>
      </c>
      <c r="F706" s="25" t="s">
        <v>3448</v>
      </c>
      <c r="G706" s="38" t="s">
        <v>30</v>
      </c>
      <c r="H706" s="28" t="s">
        <v>25</v>
      </c>
      <c r="I706" s="25" t="n">
        <v>1</v>
      </c>
      <c r="J706" s="25" t="n">
        <v>0</v>
      </c>
      <c r="K706" s="25" t="n">
        <v>1</v>
      </c>
      <c r="L706" s="29" t="n">
        <v>0.7</v>
      </c>
      <c r="M706" s="30" t="n">
        <v>15.05</v>
      </c>
      <c r="N706" s="29" t="n">
        <v>0.84</v>
      </c>
      <c r="O706" s="25" t="n">
        <v>182</v>
      </c>
      <c r="P706" s="30" t="n">
        <v>-0.83</v>
      </c>
      <c r="Q706" s="27" t="s">
        <v>3485</v>
      </c>
      <c r="R706" s="27" t="s">
        <v>2610</v>
      </c>
    </row>
    <row r="707" customFormat="false" ht="15" hidden="false" customHeight="false" outlineLevel="0" collapsed="false">
      <c r="A707" s="25" t="n">
        <f aca="false">IF(G707="REJECT",COUNTIF($G$2:$G$2277,"&lt;&gt;REJECT")+1+COUNTIFS($G$2:$G$2277,"REJECT",$B$2:$B$2277,"&gt;"&amp;B707),1+COUNTIFS($G$2:$G$2277,"&lt;&gt;REJECT",$B$2:$B$2277,"&gt;"&amp;B707))</f>
        <v>706</v>
      </c>
      <c r="B707" s="26" t="n">
        <f aca="false">ROUND(($U$2*MAX(0,MIN(1,($W$2-I707)/($W$2-$V$2)))+$U$3*MAX(0,MIN(1,($W$3-J707)/($W$3-$V$3)))+$U$4*MAX(0,MIN(1,($W$4-K707)/($W$4-$V$4)))+$U$5*MAX(0,MIN(1,($W$5-L707)/($W$5-$V$5)))+$U$6*MAX(0,MIN(1,($W$6-M707)/($W$6-$V$6)))+$U$7*MAX(0,MIN(1,($W$7-N707)/($W$7-$V$7)))+$U$8*IF(AND(O707&gt;=$V$8,O707&lt;=$W$8),1,0))/$U$9*100,2)</f>
        <v>83.78</v>
      </c>
      <c r="C707" s="27" t="s">
        <v>2799</v>
      </c>
      <c r="D707" s="25" t="s">
        <v>3459</v>
      </c>
      <c r="E707" s="25" t="s">
        <v>3450</v>
      </c>
      <c r="F707" s="25" t="s">
        <v>3448</v>
      </c>
      <c r="G707" s="28" t="s">
        <v>29</v>
      </c>
      <c r="H707" s="28" t="s">
        <v>25</v>
      </c>
      <c r="I707" s="25" t="n">
        <v>0</v>
      </c>
      <c r="J707" s="25" t="n">
        <v>0</v>
      </c>
      <c r="K707" s="25" t="n">
        <v>0</v>
      </c>
      <c r="L707" s="29" t="n">
        <v>0.6</v>
      </c>
      <c r="M707" s="30" t="n">
        <v>22.9</v>
      </c>
      <c r="N707" s="29" t="n">
        <v>0.24</v>
      </c>
      <c r="O707" s="25" t="n">
        <v>231</v>
      </c>
      <c r="P707" s="30" t="n">
        <v>11.78</v>
      </c>
      <c r="Q707" s="27"/>
      <c r="R707" s="27" t="s">
        <v>61</v>
      </c>
    </row>
    <row r="708" customFormat="false" ht="15" hidden="false" customHeight="false" outlineLevel="0" collapsed="false">
      <c r="A708" s="25" t="n">
        <f aca="false">IF(G708="REJECT",COUNTIF($G$2:$G$2277,"&lt;&gt;REJECT")+1+COUNTIFS($G$2:$G$2277,"REJECT",$B$2:$B$2277,"&gt;"&amp;B708),1+COUNTIFS($G$2:$G$2277,"&lt;&gt;REJECT",$B$2:$B$2277,"&gt;"&amp;B708))</f>
        <v>707</v>
      </c>
      <c r="B708" s="26" t="n">
        <f aca="false">ROUND(($U$2*MAX(0,MIN(1,($W$2-I708)/($W$2-$V$2)))+$U$3*MAX(0,MIN(1,($W$3-J708)/($W$3-$V$3)))+$U$4*MAX(0,MIN(1,($W$4-K708)/($W$4-$V$4)))+$U$5*MAX(0,MIN(1,($W$5-L708)/($W$5-$V$5)))+$U$6*MAX(0,MIN(1,($W$6-M708)/($W$6-$V$6)))+$U$7*MAX(0,MIN(1,($W$7-N708)/($W$7-$V$7)))+$U$8*IF(AND(O708&gt;=$V$8,O708&lt;=$W$8),1,0))/$U$9*100,2)</f>
        <v>83.65</v>
      </c>
      <c r="C708" s="27" t="s">
        <v>2752</v>
      </c>
      <c r="D708" s="25" t="s">
        <v>3459</v>
      </c>
      <c r="E708" s="25" t="s">
        <v>3447</v>
      </c>
      <c r="F708" s="25" t="s">
        <v>3457</v>
      </c>
      <c r="G708" s="38" t="s">
        <v>30</v>
      </c>
      <c r="H708" s="28" t="s">
        <v>25</v>
      </c>
      <c r="I708" s="25" t="n">
        <v>2</v>
      </c>
      <c r="J708" s="25" t="n">
        <v>0</v>
      </c>
      <c r="K708" s="25" t="n">
        <v>2</v>
      </c>
      <c r="L708" s="29" t="n">
        <v>0.79</v>
      </c>
      <c r="M708" s="30" t="n">
        <v>13.88</v>
      </c>
      <c r="N708" s="29" t="n">
        <v>0.56</v>
      </c>
      <c r="O708" s="25" t="n">
        <v>184</v>
      </c>
      <c r="P708" s="30" t="n">
        <v>-0.97</v>
      </c>
      <c r="Q708" s="27" t="s">
        <v>3505</v>
      </c>
      <c r="R708" s="27" t="s">
        <v>2610</v>
      </c>
    </row>
    <row r="709" customFormat="false" ht="15" hidden="false" customHeight="false" outlineLevel="0" collapsed="false">
      <c r="A709" s="25" t="n">
        <f aca="false">IF(G709="REJECT",COUNTIF($G$2:$G$2277,"&lt;&gt;REJECT")+1+COUNTIFS($G$2:$G$2277,"REJECT",$B$2:$B$2277,"&gt;"&amp;B709),1+COUNTIFS($G$2:$G$2277,"&lt;&gt;REJECT",$B$2:$B$2277,"&gt;"&amp;B709))</f>
        <v>708</v>
      </c>
      <c r="B709" s="26" t="n">
        <f aca="false">ROUND(($U$2*MAX(0,MIN(1,($W$2-I709)/($W$2-$V$2)))+$U$3*MAX(0,MIN(1,($W$3-J709)/($W$3-$V$3)))+$U$4*MAX(0,MIN(1,($W$4-K709)/($W$4-$V$4)))+$U$5*MAX(0,MIN(1,($W$5-L709)/($W$5-$V$5)))+$U$6*MAX(0,MIN(1,($W$6-M709)/($W$6-$V$6)))+$U$7*MAX(0,MIN(1,($W$7-N709)/($W$7-$V$7)))+$U$8*IF(AND(O709&gt;=$V$8,O709&lt;=$W$8),1,0))/$U$9*100,2)</f>
        <v>83.63</v>
      </c>
      <c r="C709" s="27" t="s">
        <v>1320</v>
      </c>
      <c r="D709" s="25" t="s">
        <v>3459</v>
      </c>
      <c r="E709" s="25" t="s">
        <v>3450</v>
      </c>
      <c r="F709" s="25" t="s">
        <v>3448</v>
      </c>
      <c r="G709" s="33" t="s">
        <v>28</v>
      </c>
      <c r="H709" s="33" t="s">
        <v>24</v>
      </c>
      <c r="I709" s="25" t="n">
        <v>0</v>
      </c>
      <c r="J709" s="25" t="n">
        <v>0</v>
      </c>
      <c r="K709" s="25" t="n">
        <v>0</v>
      </c>
      <c r="L709" s="29" t="n">
        <v>0.58</v>
      </c>
      <c r="M709" s="30" t="n">
        <v>13.42</v>
      </c>
      <c r="N709" s="29" t="n">
        <v>0.56</v>
      </c>
      <c r="O709" s="25" t="n">
        <v>183</v>
      </c>
      <c r="P709" s="30" t="n">
        <v>11.69</v>
      </c>
      <c r="Q709" s="27"/>
      <c r="R709" s="27"/>
    </row>
    <row r="710" customFormat="false" ht="15" hidden="false" customHeight="false" outlineLevel="0" collapsed="false">
      <c r="A710" s="25" t="n">
        <f aca="false">IF(G710="REJECT",COUNTIF($G$2:$G$2277,"&lt;&gt;REJECT")+1+COUNTIFS($G$2:$G$2277,"REJECT",$B$2:$B$2277,"&gt;"&amp;B710),1+COUNTIFS($G$2:$G$2277,"&lt;&gt;REJECT",$B$2:$B$2277,"&gt;"&amp;B710))</f>
        <v>709</v>
      </c>
      <c r="B710" s="26" t="n">
        <f aca="false">ROUND(($U$2*MAX(0,MIN(1,($W$2-I710)/($W$2-$V$2)))+$U$3*MAX(0,MIN(1,($W$3-J710)/($W$3-$V$3)))+$U$4*MAX(0,MIN(1,($W$4-K710)/($W$4-$V$4)))+$U$5*MAX(0,MIN(1,($W$5-L710)/($W$5-$V$5)))+$U$6*MAX(0,MIN(1,($W$6-M710)/($W$6-$V$6)))+$U$7*MAX(0,MIN(1,($W$7-N710)/($W$7-$V$7)))+$U$8*IF(AND(O710&gt;=$V$8,O710&lt;=$W$8),1,0))/$U$9*100,2)</f>
        <v>83.61</v>
      </c>
      <c r="C710" s="27" t="s">
        <v>3068</v>
      </c>
      <c r="D710" s="25" t="s">
        <v>134</v>
      </c>
      <c r="E710" s="25" t="s">
        <v>3450</v>
      </c>
      <c r="F710" s="25" t="s">
        <v>3457</v>
      </c>
      <c r="G710" s="28" t="s">
        <v>29</v>
      </c>
      <c r="H710" s="28" t="s">
        <v>25</v>
      </c>
      <c r="I710" s="25" t="n">
        <v>0</v>
      </c>
      <c r="J710" s="25" t="n">
        <v>0</v>
      </c>
      <c r="K710" s="25" t="n">
        <v>0</v>
      </c>
      <c r="L710" s="29" t="n">
        <v>0.61</v>
      </c>
      <c r="M710" s="30" t="n">
        <v>20.75</v>
      </c>
      <c r="N710" s="29" t="n">
        <v>0.92</v>
      </c>
      <c r="O710" s="25" t="n">
        <v>186</v>
      </c>
      <c r="P710" s="30" t="n">
        <v>0.38</v>
      </c>
      <c r="Q710" s="27"/>
      <c r="R710" s="27" t="s">
        <v>3113</v>
      </c>
    </row>
    <row r="711" customFormat="false" ht="15" hidden="false" customHeight="false" outlineLevel="0" collapsed="false">
      <c r="A711" s="25" t="n">
        <f aca="false">IF(G711="REJECT",COUNTIF($G$2:$G$2277,"&lt;&gt;REJECT")+1+COUNTIFS($G$2:$G$2277,"REJECT",$B$2:$B$2277,"&gt;"&amp;B711),1+COUNTIFS($G$2:$G$2277,"&lt;&gt;REJECT",$B$2:$B$2277,"&gt;"&amp;B711))</f>
        <v>710</v>
      </c>
      <c r="B711" s="26" t="n">
        <f aca="false">ROUND(($U$2*MAX(0,MIN(1,($W$2-I711)/($W$2-$V$2)))+$U$3*MAX(0,MIN(1,($W$3-J711)/($W$3-$V$3)))+$U$4*MAX(0,MIN(1,($W$4-K711)/($W$4-$V$4)))+$U$5*MAX(0,MIN(1,($W$5-L711)/($W$5-$V$5)))+$U$6*MAX(0,MIN(1,($W$6-M711)/($W$6-$V$6)))+$U$7*MAX(0,MIN(1,($W$7-N711)/($W$7-$V$7)))+$U$8*IF(AND(O711&gt;=$V$8,O711&lt;=$W$8),1,0))/$U$9*100,2)</f>
        <v>83.58</v>
      </c>
      <c r="C711" s="27" t="s">
        <v>1271</v>
      </c>
      <c r="D711" s="25" t="s">
        <v>134</v>
      </c>
      <c r="E711" s="25" t="s">
        <v>3450</v>
      </c>
      <c r="F711" s="25" t="s">
        <v>3457</v>
      </c>
      <c r="G711" s="38" t="s">
        <v>30</v>
      </c>
      <c r="H711" s="28" t="s">
        <v>25</v>
      </c>
      <c r="I711" s="25" t="n">
        <v>2</v>
      </c>
      <c r="J711" s="25" t="n">
        <v>0</v>
      </c>
      <c r="K711" s="25" t="n">
        <v>2</v>
      </c>
      <c r="L711" s="29" t="n">
        <v>0.78</v>
      </c>
      <c r="M711" s="30" t="n">
        <v>10.73</v>
      </c>
      <c r="N711" s="29" t="n">
        <v>0.56</v>
      </c>
      <c r="O711" s="25" t="n">
        <v>182</v>
      </c>
      <c r="P711" s="30" t="n">
        <v>-0.08</v>
      </c>
      <c r="Q711" s="27" t="s">
        <v>3506</v>
      </c>
      <c r="R711" s="27" t="s">
        <v>470</v>
      </c>
    </row>
    <row r="712" customFormat="false" ht="15" hidden="false" customHeight="false" outlineLevel="0" collapsed="false">
      <c r="A712" s="25" t="n">
        <f aca="false">IF(G712="REJECT",COUNTIF($G$2:$G$2277,"&lt;&gt;REJECT")+1+COUNTIFS($G$2:$G$2277,"REJECT",$B$2:$B$2277,"&gt;"&amp;B712),1+COUNTIFS($G$2:$G$2277,"&lt;&gt;REJECT",$B$2:$B$2277,"&gt;"&amp;B712))</f>
        <v>711</v>
      </c>
      <c r="B712" s="26" t="n">
        <f aca="false">ROUND(($U$2*MAX(0,MIN(1,($W$2-I712)/($W$2-$V$2)))+$U$3*MAX(0,MIN(1,($W$3-J712)/($W$3-$V$3)))+$U$4*MAX(0,MIN(1,($W$4-K712)/($W$4-$V$4)))+$U$5*MAX(0,MIN(1,($W$5-L712)/($W$5-$V$5)))+$U$6*MAX(0,MIN(1,($W$6-M712)/($W$6-$V$6)))+$U$7*MAX(0,MIN(1,($W$7-N712)/($W$7-$V$7)))+$U$8*IF(AND(O712&gt;=$V$8,O712&lt;=$W$8),1,0))/$U$9*100,2)</f>
        <v>83.53</v>
      </c>
      <c r="C712" s="27" t="s">
        <v>437</v>
      </c>
      <c r="D712" s="25" t="s">
        <v>134</v>
      </c>
      <c r="E712" s="25" t="s">
        <v>3447</v>
      </c>
      <c r="F712" s="25" t="s">
        <v>3448</v>
      </c>
      <c r="G712" s="38" t="s">
        <v>30</v>
      </c>
      <c r="H712" s="33" t="s">
        <v>24</v>
      </c>
      <c r="I712" s="25" t="n">
        <v>1</v>
      </c>
      <c r="J712" s="25" t="n">
        <v>0</v>
      </c>
      <c r="K712" s="25" t="n">
        <v>1</v>
      </c>
      <c r="L712" s="29" t="n">
        <v>0.67</v>
      </c>
      <c r="M712" s="30" t="n">
        <v>10.92</v>
      </c>
      <c r="N712" s="29" t="n">
        <v>0.36</v>
      </c>
      <c r="O712" s="25" t="n">
        <v>182</v>
      </c>
      <c r="P712" s="30" t="n">
        <v>4.03</v>
      </c>
      <c r="Q712" s="27" t="s">
        <v>3478</v>
      </c>
      <c r="R712" s="27" t="s">
        <v>30</v>
      </c>
    </row>
    <row r="713" customFormat="false" ht="15" hidden="false" customHeight="false" outlineLevel="0" collapsed="false">
      <c r="A713" s="25" t="n">
        <f aca="false">IF(G713="REJECT",COUNTIF($G$2:$G$2277,"&lt;&gt;REJECT")+1+COUNTIFS($G$2:$G$2277,"REJECT",$B$2:$B$2277,"&gt;"&amp;B713),1+COUNTIFS($G$2:$G$2277,"&lt;&gt;REJECT",$B$2:$B$2277,"&gt;"&amp;B713))</f>
        <v>712</v>
      </c>
      <c r="B713" s="26" t="n">
        <f aca="false">ROUND(($U$2*MAX(0,MIN(1,($W$2-I713)/($W$2-$V$2)))+$U$3*MAX(0,MIN(1,($W$3-J713)/($W$3-$V$3)))+$U$4*MAX(0,MIN(1,($W$4-K713)/($W$4-$V$4)))+$U$5*MAX(0,MIN(1,($W$5-L713)/($W$5-$V$5)))+$U$6*MAX(0,MIN(1,($W$6-M713)/($W$6-$V$6)))+$U$7*MAX(0,MIN(1,($W$7-N713)/($W$7-$V$7)))+$U$8*IF(AND(O713&gt;=$V$8,O713&lt;=$W$8),1,0))/$U$9*100,2)</f>
        <v>83.52</v>
      </c>
      <c r="C713" s="27" t="s">
        <v>738</v>
      </c>
      <c r="D713" s="25" t="s">
        <v>134</v>
      </c>
      <c r="E713" s="25" t="s">
        <v>3447</v>
      </c>
      <c r="F713" s="25" t="s">
        <v>3448</v>
      </c>
      <c r="G713" s="38" t="s">
        <v>30</v>
      </c>
      <c r="H713" s="33" t="s">
        <v>24</v>
      </c>
      <c r="I713" s="25" t="n">
        <v>2</v>
      </c>
      <c r="J713" s="25" t="n">
        <v>0</v>
      </c>
      <c r="K713" s="25" t="n">
        <v>2</v>
      </c>
      <c r="L713" s="29" t="n">
        <v>0.8</v>
      </c>
      <c r="M713" s="30" t="n">
        <v>15.89</v>
      </c>
      <c r="N713" s="29" t="n">
        <v>0.8</v>
      </c>
      <c r="O713" s="25" t="n">
        <v>185</v>
      </c>
      <c r="P713" s="30" t="n">
        <v>11.49</v>
      </c>
      <c r="Q713" s="27" t="s">
        <v>3515</v>
      </c>
      <c r="R713" s="27" t="s">
        <v>30</v>
      </c>
    </row>
    <row r="714" customFormat="false" ht="15" hidden="false" customHeight="false" outlineLevel="0" collapsed="false">
      <c r="A714" s="25" t="n">
        <f aca="false">IF(G714="REJECT",COUNTIF($G$2:$G$2277,"&lt;&gt;REJECT")+1+COUNTIFS($G$2:$G$2277,"REJECT",$B$2:$B$2277,"&gt;"&amp;B714),1+COUNTIFS($G$2:$G$2277,"&lt;&gt;REJECT",$B$2:$B$2277,"&gt;"&amp;B714))</f>
        <v>712</v>
      </c>
      <c r="B714" s="26" t="n">
        <f aca="false">ROUND(($U$2*MAX(0,MIN(1,($W$2-I714)/($W$2-$V$2)))+$U$3*MAX(0,MIN(1,($W$3-J714)/($W$3-$V$3)))+$U$4*MAX(0,MIN(1,($W$4-K714)/($W$4-$V$4)))+$U$5*MAX(0,MIN(1,($W$5-L714)/($W$5-$V$5)))+$U$6*MAX(0,MIN(1,($W$6-M714)/($W$6-$V$6)))+$U$7*MAX(0,MIN(1,($W$7-N714)/($W$7-$V$7)))+$U$8*IF(AND(O714&gt;=$V$8,O714&lt;=$W$8),1,0))/$U$9*100,2)</f>
        <v>83.52</v>
      </c>
      <c r="C714" s="27" t="s">
        <v>1750</v>
      </c>
      <c r="D714" s="25" t="s">
        <v>134</v>
      </c>
      <c r="E714" s="25" t="s">
        <v>3450</v>
      </c>
      <c r="F714" s="25" t="s">
        <v>3448</v>
      </c>
      <c r="G714" s="38" t="s">
        <v>30</v>
      </c>
      <c r="H714" s="33" t="s">
        <v>24</v>
      </c>
      <c r="I714" s="25" t="n">
        <v>2</v>
      </c>
      <c r="J714" s="25" t="n">
        <v>0</v>
      </c>
      <c r="K714" s="25" t="n">
        <v>2</v>
      </c>
      <c r="L714" s="29" t="n">
        <v>0.78</v>
      </c>
      <c r="M714" s="30" t="n">
        <v>14.31</v>
      </c>
      <c r="N714" s="29" t="n">
        <v>0.24</v>
      </c>
      <c r="O714" s="25" t="n">
        <v>187</v>
      </c>
      <c r="P714" s="30" t="n">
        <v>14.46</v>
      </c>
      <c r="Q714" s="27" t="s">
        <v>3516</v>
      </c>
      <c r="R714" s="27" t="s">
        <v>30</v>
      </c>
    </row>
    <row r="715" customFormat="false" ht="15" hidden="false" customHeight="false" outlineLevel="0" collapsed="false">
      <c r="A715" s="25" t="n">
        <f aca="false">IF(G715="REJECT",COUNTIF($G$2:$G$2277,"&lt;&gt;REJECT")+1+COUNTIFS($G$2:$G$2277,"REJECT",$B$2:$B$2277,"&gt;"&amp;B715),1+COUNTIFS($G$2:$G$2277,"&lt;&gt;REJECT",$B$2:$B$2277,"&gt;"&amp;B715))</f>
        <v>712</v>
      </c>
      <c r="B715" s="26" t="n">
        <f aca="false">ROUND(($U$2*MAX(0,MIN(1,($W$2-I715)/($W$2-$V$2)))+$U$3*MAX(0,MIN(1,($W$3-J715)/($W$3-$V$3)))+$U$4*MAX(0,MIN(1,($W$4-K715)/($W$4-$V$4)))+$U$5*MAX(0,MIN(1,($W$5-L715)/($W$5-$V$5)))+$U$6*MAX(0,MIN(1,($W$6-M715)/($W$6-$V$6)))+$U$7*MAX(0,MIN(1,($W$7-N715)/($W$7-$V$7)))+$U$8*IF(AND(O715&gt;=$V$8,O715&lt;=$W$8),1,0))/$U$9*100,2)</f>
        <v>83.52</v>
      </c>
      <c r="C715" s="27" t="s">
        <v>3132</v>
      </c>
      <c r="D715" s="25" t="s">
        <v>3459</v>
      </c>
      <c r="E715" s="25" t="s">
        <v>3450</v>
      </c>
      <c r="F715" s="25" t="s">
        <v>3457</v>
      </c>
      <c r="G715" s="28" t="s">
        <v>29</v>
      </c>
      <c r="H715" s="28" t="s">
        <v>25</v>
      </c>
      <c r="I715" s="25" t="n">
        <v>0</v>
      </c>
      <c r="J715" s="25" t="n">
        <v>0</v>
      </c>
      <c r="K715" s="25" t="n">
        <v>0</v>
      </c>
      <c r="L715" s="29" t="n">
        <v>0.6</v>
      </c>
      <c r="M715" s="30" t="n">
        <v>18.51</v>
      </c>
      <c r="N715" s="29" t="n">
        <v>0.84</v>
      </c>
      <c r="O715" s="25" t="n">
        <v>182</v>
      </c>
      <c r="P715" s="30" t="n">
        <v>0.24</v>
      </c>
      <c r="Q715" s="27"/>
      <c r="R715" s="27" t="s">
        <v>62</v>
      </c>
    </row>
    <row r="716" customFormat="false" ht="15" hidden="false" customHeight="false" outlineLevel="0" collapsed="false">
      <c r="A716" s="25" t="n">
        <f aca="false">IF(G716="REJECT",COUNTIF($G$2:$G$2277,"&lt;&gt;REJECT")+1+COUNTIFS($G$2:$G$2277,"REJECT",$B$2:$B$2277,"&gt;"&amp;B716),1+COUNTIFS($G$2:$G$2277,"&lt;&gt;REJECT",$B$2:$B$2277,"&gt;"&amp;B716))</f>
        <v>715</v>
      </c>
      <c r="B716" s="26" t="n">
        <f aca="false">ROUND(($U$2*MAX(0,MIN(1,($W$2-I716)/($W$2-$V$2)))+$U$3*MAX(0,MIN(1,($W$3-J716)/($W$3-$V$3)))+$U$4*MAX(0,MIN(1,($W$4-K716)/($W$4-$V$4)))+$U$5*MAX(0,MIN(1,($W$5-L716)/($W$5-$V$5)))+$U$6*MAX(0,MIN(1,($W$6-M716)/($W$6-$V$6)))+$U$7*MAX(0,MIN(1,($W$7-N716)/($W$7-$V$7)))+$U$8*IF(AND(O716&gt;=$V$8,O716&lt;=$W$8),1,0))/$U$9*100,2)</f>
        <v>83.51</v>
      </c>
      <c r="C716" s="27" t="s">
        <v>3081</v>
      </c>
      <c r="D716" s="25" t="s">
        <v>134</v>
      </c>
      <c r="E716" s="25" t="s">
        <v>3447</v>
      </c>
      <c r="F716" s="25" t="s">
        <v>3448</v>
      </c>
      <c r="G716" s="38" t="s">
        <v>30</v>
      </c>
      <c r="H716" s="33" t="s">
        <v>24</v>
      </c>
      <c r="I716" s="25" t="n">
        <v>2</v>
      </c>
      <c r="J716" s="25" t="n">
        <v>0</v>
      </c>
      <c r="K716" s="25" t="n">
        <v>2</v>
      </c>
      <c r="L716" s="29" t="n">
        <v>0.79</v>
      </c>
      <c r="M716" s="30" t="n">
        <v>13.13</v>
      </c>
      <c r="N716" s="29" t="n">
        <v>0.72</v>
      </c>
      <c r="O716" s="25" t="n">
        <v>185</v>
      </c>
      <c r="P716" s="30" t="n">
        <v>0.21</v>
      </c>
      <c r="Q716" s="27" t="s">
        <v>3498</v>
      </c>
      <c r="R716" s="27" t="s">
        <v>30</v>
      </c>
    </row>
    <row r="717" customFormat="false" ht="15" hidden="false" customHeight="false" outlineLevel="0" collapsed="false">
      <c r="A717" s="25" t="n">
        <f aca="false">IF(G717="REJECT",COUNTIF($G$2:$G$2277,"&lt;&gt;REJECT")+1+COUNTIFS($G$2:$G$2277,"REJECT",$B$2:$B$2277,"&gt;"&amp;B717),1+COUNTIFS($G$2:$G$2277,"&lt;&gt;REJECT",$B$2:$B$2277,"&gt;"&amp;B717))</f>
        <v>716</v>
      </c>
      <c r="B717" s="26" t="n">
        <f aca="false">ROUND(($U$2*MAX(0,MIN(1,($W$2-I717)/($W$2-$V$2)))+$U$3*MAX(0,MIN(1,($W$3-J717)/($W$3-$V$3)))+$U$4*MAX(0,MIN(1,($W$4-K717)/($W$4-$V$4)))+$U$5*MAX(0,MIN(1,($W$5-L717)/($W$5-$V$5)))+$U$6*MAX(0,MIN(1,($W$6-M717)/($W$6-$V$6)))+$U$7*MAX(0,MIN(1,($W$7-N717)/($W$7-$V$7)))+$U$8*IF(AND(O717&gt;=$V$8,O717&lt;=$W$8),1,0))/$U$9*100,2)</f>
        <v>83.49</v>
      </c>
      <c r="C717" s="27" t="s">
        <v>545</v>
      </c>
      <c r="D717" s="25" t="s">
        <v>134</v>
      </c>
      <c r="E717" s="25" t="s">
        <v>3447</v>
      </c>
      <c r="F717" s="25" t="s">
        <v>3457</v>
      </c>
      <c r="G717" s="28" t="s">
        <v>29</v>
      </c>
      <c r="H717" s="28" t="s">
        <v>25</v>
      </c>
      <c r="I717" s="25" t="n">
        <v>0</v>
      </c>
      <c r="J717" s="25" t="n">
        <v>0</v>
      </c>
      <c r="K717" s="25" t="n">
        <v>0</v>
      </c>
      <c r="L717" s="29" t="n">
        <v>0.59</v>
      </c>
      <c r="M717" s="30" t="n">
        <v>15.06</v>
      </c>
      <c r="N717" s="29" t="n">
        <v>0.84</v>
      </c>
      <c r="O717" s="25" t="n">
        <v>185</v>
      </c>
      <c r="P717" s="30" t="n">
        <v>1.34</v>
      </c>
      <c r="Q717" s="27"/>
      <c r="R717" s="27" t="s">
        <v>63</v>
      </c>
    </row>
    <row r="718" customFormat="false" ht="15" hidden="false" customHeight="false" outlineLevel="0" collapsed="false">
      <c r="A718" s="25" t="n">
        <f aca="false">IF(G718="REJECT",COUNTIF($G$2:$G$2277,"&lt;&gt;REJECT")+1+COUNTIFS($G$2:$G$2277,"REJECT",$B$2:$B$2277,"&gt;"&amp;B718),1+COUNTIFS($G$2:$G$2277,"&lt;&gt;REJECT",$B$2:$B$2277,"&gt;"&amp;B718))</f>
        <v>717</v>
      </c>
      <c r="B718" s="26" t="n">
        <f aca="false">ROUND(($U$2*MAX(0,MIN(1,($W$2-I718)/($W$2-$V$2)))+$U$3*MAX(0,MIN(1,($W$3-J718)/($W$3-$V$3)))+$U$4*MAX(0,MIN(1,($W$4-K718)/($W$4-$V$4)))+$U$5*MAX(0,MIN(1,($W$5-L718)/($W$5-$V$5)))+$U$6*MAX(0,MIN(1,($W$6-M718)/($W$6-$V$6)))+$U$7*MAX(0,MIN(1,($W$7-N718)/($W$7-$V$7)))+$U$8*IF(AND(O718&gt;=$V$8,O718&lt;=$W$8),1,0))/$U$9*100,2)</f>
        <v>83.48</v>
      </c>
      <c r="C718" s="27" t="s">
        <v>879</v>
      </c>
      <c r="D718" s="25" t="s">
        <v>134</v>
      </c>
      <c r="E718" s="25" t="s">
        <v>3447</v>
      </c>
      <c r="F718" s="25" t="s">
        <v>3448</v>
      </c>
      <c r="G718" s="38" t="s">
        <v>30</v>
      </c>
      <c r="H718" s="33" t="s">
        <v>24</v>
      </c>
      <c r="I718" s="25" t="n">
        <v>2</v>
      </c>
      <c r="J718" s="25" t="n">
        <v>0</v>
      </c>
      <c r="K718" s="25" t="n">
        <v>2</v>
      </c>
      <c r="L718" s="29" t="n">
        <v>0.78</v>
      </c>
      <c r="M718" s="30" t="n">
        <v>8.52</v>
      </c>
      <c r="N718" s="29" t="n">
        <v>0.84</v>
      </c>
      <c r="O718" s="25" t="n">
        <v>185</v>
      </c>
      <c r="P718" s="30" t="n">
        <v>9.76</v>
      </c>
      <c r="Q718" s="27" t="s">
        <v>3517</v>
      </c>
      <c r="R718" s="27" t="s">
        <v>30</v>
      </c>
    </row>
    <row r="719" customFormat="false" ht="15" hidden="false" customHeight="false" outlineLevel="0" collapsed="false">
      <c r="A719" s="25" t="n">
        <f aca="false">IF(G719="REJECT",COUNTIF($G$2:$G$2277,"&lt;&gt;REJECT")+1+COUNTIFS($G$2:$G$2277,"REJECT",$B$2:$B$2277,"&gt;"&amp;B719),1+COUNTIFS($G$2:$G$2277,"&lt;&gt;REJECT",$B$2:$B$2277,"&gt;"&amp;B719))</f>
        <v>717</v>
      </c>
      <c r="B719" s="26" t="n">
        <f aca="false">ROUND(($U$2*MAX(0,MIN(1,($W$2-I719)/($W$2-$V$2)))+$U$3*MAX(0,MIN(1,($W$3-J719)/($W$3-$V$3)))+$U$4*MAX(0,MIN(1,($W$4-K719)/($W$4-$V$4)))+$U$5*MAX(0,MIN(1,($W$5-L719)/($W$5-$V$5)))+$U$6*MAX(0,MIN(1,($W$6-M719)/($W$6-$V$6)))+$U$7*MAX(0,MIN(1,($W$7-N719)/($W$7-$V$7)))+$U$8*IF(AND(O719&gt;=$V$8,O719&lt;=$W$8),1,0))/$U$9*100,2)</f>
        <v>83.48</v>
      </c>
      <c r="C719" s="27" t="s">
        <v>2921</v>
      </c>
      <c r="D719" s="25" t="s">
        <v>134</v>
      </c>
      <c r="E719" s="25" t="s">
        <v>3447</v>
      </c>
      <c r="F719" s="25" t="s">
        <v>3448</v>
      </c>
      <c r="G719" s="38" t="s">
        <v>30</v>
      </c>
      <c r="H719" s="33" t="s">
        <v>24</v>
      </c>
      <c r="I719" s="25" t="n">
        <v>2</v>
      </c>
      <c r="J719" s="25" t="n">
        <v>0</v>
      </c>
      <c r="K719" s="25" t="n">
        <v>2</v>
      </c>
      <c r="L719" s="29" t="n">
        <v>0.87</v>
      </c>
      <c r="M719" s="30" t="n">
        <v>15.73</v>
      </c>
      <c r="N719" s="29" t="n">
        <v>0.84</v>
      </c>
      <c r="O719" s="25" t="n">
        <v>183</v>
      </c>
      <c r="P719" s="30" t="n">
        <v>-0.95</v>
      </c>
      <c r="Q719" s="27" t="s">
        <v>3501</v>
      </c>
      <c r="R719" s="27" t="s">
        <v>30</v>
      </c>
    </row>
    <row r="720" customFormat="false" ht="15" hidden="false" customHeight="false" outlineLevel="0" collapsed="false">
      <c r="A720" s="25" t="n">
        <f aca="false">IF(G720="REJECT",COUNTIF($G$2:$G$2277,"&lt;&gt;REJECT")+1+COUNTIFS($G$2:$G$2277,"REJECT",$B$2:$B$2277,"&gt;"&amp;B720),1+COUNTIFS($G$2:$G$2277,"&lt;&gt;REJECT",$B$2:$B$2277,"&gt;"&amp;B720))</f>
        <v>719</v>
      </c>
      <c r="B720" s="26" t="n">
        <f aca="false">ROUND(($U$2*MAX(0,MIN(1,($W$2-I720)/($W$2-$V$2)))+$U$3*MAX(0,MIN(1,($W$3-J720)/($W$3-$V$3)))+$U$4*MAX(0,MIN(1,($W$4-K720)/($W$4-$V$4)))+$U$5*MAX(0,MIN(1,($W$5-L720)/($W$5-$V$5)))+$U$6*MAX(0,MIN(1,($W$6-M720)/($W$6-$V$6)))+$U$7*MAX(0,MIN(1,($W$7-N720)/($W$7-$V$7)))+$U$8*IF(AND(O720&gt;=$V$8,O720&lt;=$W$8),1,0))/$U$9*100,2)</f>
        <v>83.47</v>
      </c>
      <c r="C720" s="27" t="s">
        <v>2915</v>
      </c>
      <c r="D720" s="25" t="s">
        <v>134</v>
      </c>
      <c r="E720" s="25" t="s">
        <v>3447</v>
      </c>
      <c r="F720" s="25" t="s">
        <v>3448</v>
      </c>
      <c r="G720" s="38" t="s">
        <v>30</v>
      </c>
      <c r="H720" s="33" t="s">
        <v>24</v>
      </c>
      <c r="I720" s="25" t="n">
        <v>2</v>
      </c>
      <c r="J720" s="25" t="n">
        <v>0</v>
      </c>
      <c r="K720" s="25" t="n">
        <v>2</v>
      </c>
      <c r="L720" s="29" t="n">
        <v>0.87</v>
      </c>
      <c r="M720" s="30" t="n">
        <v>14.98</v>
      </c>
      <c r="N720" s="29" t="n">
        <v>0.92</v>
      </c>
      <c r="O720" s="25" t="n">
        <v>183</v>
      </c>
      <c r="P720" s="30" t="n">
        <v>7.37</v>
      </c>
      <c r="Q720" s="27" t="s">
        <v>3508</v>
      </c>
      <c r="R720" s="27" t="s">
        <v>30</v>
      </c>
    </row>
    <row r="721" customFormat="false" ht="15" hidden="false" customHeight="false" outlineLevel="0" collapsed="false">
      <c r="A721" s="25" t="n">
        <f aca="false">IF(G721="REJECT",COUNTIF($G$2:$G$2277,"&lt;&gt;REJECT")+1+COUNTIFS($G$2:$G$2277,"REJECT",$B$2:$B$2277,"&gt;"&amp;B721),1+COUNTIFS($G$2:$G$2277,"&lt;&gt;REJECT",$B$2:$B$2277,"&gt;"&amp;B721))</f>
        <v>720</v>
      </c>
      <c r="B721" s="26" t="n">
        <f aca="false">ROUND(($U$2*MAX(0,MIN(1,($W$2-I721)/($W$2-$V$2)))+$U$3*MAX(0,MIN(1,($W$3-J721)/($W$3-$V$3)))+$U$4*MAX(0,MIN(1,($W$4-K721)/($W$4-$V$4)))+$U$5*MAX(0,MIN(1,($W$5-L721)/($W$5-$V$5)))+$U$6*MAX(0,MIN(1,($W$6-M721)/($W$6-$V$6)))+$U$7*MAX(0,MIN(1,($W$7-N721)/($W$7-$V$7)))+$U$8*IF(AND(O721&gt;=$V$8,O721&lt;=$W$8),1,0))/$U$9*100,2)</f>
        <v>83.42</v>
      </c>
      <c r="C721" s="27" t="s">
        <v>2210</v>
      </c>
      <c r="D721" s="25" t="s">
        <v>134</v>
      </c>
      <c r="E721" s="25" t="s">
        <v>3450</v>
      </c>
      <c r="F721" s="25" t="s">
        <v>3457</v>
      </c>
      <c r="G721" s="38" t="s">
        <v>30</v>
      </c>
      <c r="H721" s="33" t="s">
        <v>24</v>
      </c>
      <c r="I721" s="25" t="n">
        <v>2</v>
      </c>
      <c r="J721" s="25" t="n">
        <v>0</v>
      </c>
      <c r="K721" s="25" t="n">
        <v>2</v>
      </c>
      <c r="L721" s="29" t="n">
        <v>0.78</v>
      </c>
      <c r="M721" s="30" t="n">
        <v>8.47</v>
      </c>
      <c r="N721" s="29" t="n">
        <v>0.88</v>
      </c>
      <c r="O721" s="25" t="n">
        <v>189</v>
      </c>
      <c r="P721" s="30" t="n">
        <v>9.47</v>
      </c>
      <c r="Q721" s="27" t="s">
        <v>3518</v>
      </c>
      <c r="R721" s="27" t="s">
        <v>30</v>
      </c>
    </row>
    <row r="722" customFormat="false" ht="15" hidden="false" customHeight="false" outlineLevel="0" collapsed="false">
      <c r="A722" s="25" t="n">
        <f aca="false">IF(G722="REJECT",COUNTIF($G$2:$G$2277,"&lt;&gt;REJECT")+1+COUNTIFS($G$2:$G$2277,"REJECT",$B$2:$B$2277,"&gt;"&amp;B722),1+COUNTIFS($G$2:$G$2277,"&lt;&gt;REJECT",$B$2:$B$2277,"&gt;"&amp;B722))</f>
        <v>721</v>
      </c>
      <c r="B722" s="26" t="n">
        <f aca="false">ROUND(($U$2*MAX(0,MIN(1,($W$2-I722)/($W$2-$V$2)))+$U$3*MAX(0,MIN(1,($W$3-J722)/($W$3-$V$3)))+$U$4*MAX(0,MIN(1,($W$4-K722)/($W$4-$V$4)))+$U$5*MAX(0,MIN(1,($W$5-L722)/($W$5-$V$5)))+$U$6*MAX(0,MIN(1,($W$6-M722)/($W$6-$V$6)))+$U$7*MAX(0,MIN(1,($W$7-N722)/($W$7-$V$7)))+$U$8*IF(AND(O722&gt;=$V$8,O722&lt;=$W$8),1,0))/$U$9*100,2)</f>
        <v>83.37</v>
      </c>
      <c r="C722" s="27" t="s">
        <v>1314</v>
      </c>
      <c r="D722" s="25" t="s">
        <v>3459</v>
      </c>
      <c r="E722" s="25" t="s">
        <v>3447</v>
      </c>
      <c r="F722" s="25" t="s">
        <v>3448</v>
      </c>
      <c r="G722" s="38" t="s">
        <v>30</v>
      </c>
      <c r="H722" s="28" t="s">
        <v>25</v>
      </c>
      <c r="I722" s="25" t="n">
        <v>2</v>
      </c>
      <c r="J722" s="25" t="n">
        <v>0</v>
      </c>
      <c r="K722" s="25" t="n">
        <v>2</v>
      </c>
      <c r="L722" s="29" t="n">
        <v>0.92</v>
      </c>
      <c r="M722" s="30" t="n">
        <v>19.58</v>
      </c>
      <c r="N722" s="29" t="n">
        <v>0.52</v>
      </c>
      <c r="O722" s="25" t="n">
        <v>183</v>
      </c>
      <c r="P722" s="30" t="n">
        <v>1.37</v>
      </c>
      <c r="Q722" s="27" t="s">
        <v>3519</v>
      </c>
      <c r="R722" s="27" t="s">
        <v>2133</v>
      </c>
    </row>
    <row r="723" customFormat="false" ht="15" hidden="false" customHeight="false" outlineLevel="0" collapsed="false">
      <c r="A723" s="25" t="n">
        <f aca="false">IF(G723="REJECT",COUNTIF($G$2:$G$2277,"&lt;&gt;REJECT")+1+COUNTIFS($G$2:$G$2277,"REJECT",$B$2:$B$2277,"&gt;"&amp;B723),1+COUNTIFS($G$2:$G$2277,"&lt;&gt;REJECT",$B$2:$B$2277,"&gt;"&amp;B723))</f>
        <v>722</v>
      </c>
      <c r="B723" s="26" t="n">
        <f aca="false">ROUND(($U$2*MAX(0,MIN(1,($W$2-I723)/($W$2-$V$2)))+$U$3*MAX(0,MIN(1,($W$3-J723)/($W$3-$V$3)))+$U$4*MAX(0,MIN(1,($W$4-K723)/($W$4-$V$4)))+$U$5*MAX(0,MIN(1,($W$5-L723)/($W$5-$V$5)))+$U$6*MAX(0,MIN(1,($W$6-M723)/($W$6-$V$6)))+$U$7*MAX(0,MIN(1,($W$7-N723)/($W$7-$V$7)))+$U$8*IF(AND(O723&gt;=$V$8,O723&lt;=$W$8),1,0))/$U$9*100,2)</f>
        <v>83.32</v>
      </c>
      <c r="C723" s="27" t="s">
        <v>2465</v>
      </c>
      <c r="D723" s="25" t="s">
        <v>3459</v>
      </c>
      <c r="E723" s="25" t="s">
        <v>3447</v>
      </c>
      <c r="F723" s="25" t="s">
        <v>3448</v>
      </c>
      <c r="G723" s="38" t="s">
        <v>30</v>
      </c>
      <c r="H723" s="33" t="s">
        <v>24</v>
      </c>
      <c r="I723" s="25" t="n">
        <v>2</v>
      </c>
      <c r="J723" s="25" t="n">
        <v>0</v>
      </c>
      <c r="K723" s="25" t="n">
        <v>2</v>
      </c>
      <c r="L723" s="29" t="n">
        <v>0.84</v>
      </c>
      <c r="M723" s="30" t="n">
        <v>16.26</v>
      </c>
      <c r="N723" s="29" t="n">
        <v>0.88</v>
      </c>
      <c r="O723" s="25" t="n">
        <v>185</v>
      </c>
      <c r="P723" s="30" t="n">
        <v>8.05</v>
      </c>
      <c r="Q723" s="27" t="s">
        <v>3518</v>
      </c>
      <c r="R723" s="27" t="s">
        <v>30</v>
      </c>
    </row>
    <row r="724" customFormat="false" ht="15" hidden="false" customHeight="false" outlineLevel="0" collapsed="false">
      <c r="A724" s="25" t="n">
        <f aca="false">IF(G724="REJECT",COUNTIF($G$2:$G$2277,"&lt;&gt;REJECT")+1+COUNTIFS($G$2:$G$2277,"REJECT",$B$2:$B$2277,"&gt;"&amp;B724),1+COUNTIFS($G$2:$G$2277,"&lt;&gt;REJECT",$B$2:$B$2277,"&gt;"&amp;B724))</f>
        <v>722</v>
      </c>
      <c r="B724" s="26" t="n">
        <f aca="false">ROUND(($U$2*MAX(0,MIN(1,($W$2-I724)/($W$2-$V$2)))+$U$3*MAX(0,MIN(1,($W$3-J724)/($W$3-$V$3)))+$U$4*MAX(0,MIN(1,($W$4-K724)/($W$4-$V$4)))+$U$5*MAX(0,MIN(1,($W$5-L724)/($W$5-$V$5)))+$U$6*MAX(0,MIN(1,($W$6-M724)/($W$6-$V$6)))+$U$7*MAX(0,MIN(1,($W$7-N724)/($W$7-$V$7)))+$U$8*IF(AND(O724&gt;=$V$8,O724&lt;=$W$8),1,0))/$U$9*100,2)</f>
        <v>83.32</v>
      </c>
      <c r="C724" s="27" t="s">
        <v>2685</v>
      </c>
      <c r="D724" s="25" t="s">
        <v>134</v>
      </c>
      <c r="E724" s="25" t="s">
        <v>3447</v>
      </c>
      <c r="F724" s="25" t="s">
        <v>3448</v>
      </c>
      <c r="G724" s="38" t="s">
        <v>30</v>
      </c>
      <c r="H724" s="33" t="s">
        <v>24</v>
      </c>
      <c r="I724" s="25" t="n">
        <v>2</v>
      </c>
      <c r="J724" s="25" t="n">
        <v>0</v>
      </c>
      <c r="K724" s="25" t="n">
        <v>2</v>
      </c>
      <c r="L724" s="29" t="n">
        <v>0.78</v>
      </c>
      <c r="M724" s="30" t="n">
        <v>12.67</v>
      </c>
      <c r="N724" s="29" t="n">
        <v>0.52</v>
      </c>
      <c r="O724" s="25" t="n">
        <v>192</v>
      </c>
      <c r="P724" s="30" t="n">
        <v>-0.87</v>
      </c>
      <c r="Q724" s="27" t="s">
        <v>3499</v>
      </c>
      <c r="R724" s="27" t="s">
        <v>30</v>
      </c>
    </row>
    <row r="725" customFormat="false" ht="15" hidden="false" customHeight="false" outlineLevel="0" collapsed="false">
      <c r="A725" s="25" t="n">
        <f aca="false">IF(G725="REJECT",COUNTIF($G$2:$G$2277,"&lt;&gt;REJECT")+1+COUNTIFS($G$2:$G$2277,"REJECT",$B$2:$B$2277,"&gt;"&amp;B725),1+COUNTIFS($G$2:$G$2277,"&lt;&gt;REJECT",$B$2:$B$2277,"&gt;"&amp;B725))</f>
        <v>724</v>
      </c>
      <c r="B725" s="26" t="n">
        <f aca="false">ROUND(($U$2*MAX(0,MIN(1,($W$2-I725)/($W$2-$V$2)))+$U$3*MAX(0,MIN(1,($W$3-J725)/($W$3-$V$3)))+$U$4*MAX(0,MIN(1,($W$4-K725)/($W$4-$V$4)))+$U$5*MAX(0,MIN(1,($W$5-L725)/($W$5-$V$5)))+$U$6*MAX(0,MIN(1,($W$6-M725)/($W$6-$V$6)))+$U$7*MAX(0,MIN(1,($W$7-N725)/($W$7-$V$7)))+$U$8*IF(AND(O725&gt;=$V$8,O725&lt;=$W$8),1,0))/$U$9*100,2)</f>
        <v>83.29</v>
      </c>
      <c r="C725" s="27" t="s">
        <v>1385</v>
      </c>
      <c r="D725" s="25" t="s">
        <v>134</v>
      </c>
      <c r="E725" s="25" t="s">
        <v>3447</v>
      </c>
      <c r="F725" s="25" t="s">
        <v>3448</v>
      </c>
      <c r="G725" s="38" t="s">
        <v>30</v>
      </c>
      <c r="H725" s="28" t="s">
        <v>25</v>
      </c>
      <c r="I725" s="25" t="n">
        <v>2</v>
      </c>
      <c r="J725" s="25" t="n">
        <v>0</v>
      </c>
      <c r="K725" s="25" t="n">
        <v>2</v>
      </c>
      <c r="L725" s="29" t="n">
        <v>0.86</v>
      </c>
      <c r="M725" s="30" t="n">
        <v>22.84</v>
      </c>
      <c r="N725" s="29" t="n">
        <v>0.24</v>
      </c>
      <c r="O725" s="25" t="n">
        <v>183</v>
      </c>
      <c r="P725" s="30" t="n">
        <v>2.47</v>
      </c>
      <c r="Q725" s="27" t="s">
        <v>3501</v>
      </c>
      <c r="R725" s="27" t="s">
        <v>144</v>
      </c>
    </row>
    <row r="726" customFormat="false" ht="15" hidden="false" customHeight="false" outlineLevel="0" collapsed="false">
      <c r="A726" s="25" t="n">
        <f aca="false">IF(G726="REJECT",COUNTIF($G$2:$G$2277,"&lt;&gt;REJECT")+1+COUNTIFS($G$2:$G$2277,"REJECT",$B$2:$B$2277,"&gt;"&amp;B726),1+COUNTIFS($G$2:$G$2277,"&lt;&gt;REJECT",$B$2:$B$2277,"&gt;"&amp;B726))</f>
        <v>725</v>
      </c>
      <c r="B726" s="26" t="n">
        <f aca="false">ROUND(($U$2*MAX(0,MIN(1,($W$2-I726)/($W$2-$V$2)))+$U$3*MAX(0,MIN(1,($W$3-J726)/($W$3-$V$3)))+$U$4*MAX(0,MIN(1,($W$4-K726)/($W$4-$V$4)))+$U$5*MAX(0,MIN(1,($W$5-L726)/($W$5-$V$5)))+$U$6*MAX(0,MIN(1,($W$6-M726)/($W$6-$V$6)))+$U$7*MAX(0,MIN(1,($W$7-N726)/($W$7-$V$7)))+$U$8*IF(AND(O726&gt;=$V$8,O726&lt;=$W$8),1,0))/$U$9*100,2)</f>
        <v>83.23</v>
      </c>
      <c r="C726" s="27" t="s">
        <v>1346</v>
      </c>
      <c r="D726" s="25" t="s">
        <v>3459</v>
      </c>
      <c r="E726" s="25" t="s">
        <v>3447</v>
      </c>
      <c r="F726" s="25" t="s">
        <v>3448</v>
      </c>
      <c r="G726" s="38" t="s">
        <v>30</v>
      </c>
      <c r="H726" s="28" t="s">
        <v>25</v>
      </c>
      <c r="I726" s="25" t="n">
        <v>2</v>
      </c>
      <c r="J726" s="25" t="n">
        <v>0</v>
      </c>
      <c r="K726" s="25" t="n">
        <v>2</v>
      </c>
      <c r="L726" s="29" t="n">
        <v>0.85</v>
      </c>
      <c r="M726" s="30" t="n">
        <v>19.21</v>
      </c>
      <c r="N726" s="29" t="n">
        <v>0.64</v>
      </c>
      <c r="O726" s="25" t="n">
        <v>182</v>
      </c>
      <c r="P726" s="30" t="n">
        <v>2.6</v>
      </c>
      <c r="Q726" s="27" t="s">
        <v>3520</v>
      </c>
      <c r="R726" s="27" t="s">
        <v>2133</v>
      </c>
    </row>
    <row r="727" customFormat="false" ht="15" hidden="false" customHeight="false" outlineLevel="0" collapsed="false">
      <c r="A727" s="25" t="n">
        <f aca="false">IF(G727="REJECT",COUNTIF($G$2:$G$2277,"&lt;&gt;REJECT")+1+COUNTIFS($G$2:$G$2277,"REJECT",$B$2:$B$2277,"&gt;"&amp;B727),1+COUNTIFS($G$2:$G$2277,"&lt;&gt;REJECT",$B$2:$B$2277,"&gt;"&amp;B727))</f>
        <v>726</v>
      </c>
      <c r="B727" s="26" t="n">
        <f aca="false">ROUND(($U$2*MAX(0,MIN(1,($W$2-I727)/($W$2-$V$2)))+$U$3*MAX(0,MIN(1,($W$3-J727)/($W$3-$V$3)))+$U$4*MAX(0,MIN(1,($W$4-K727)/($W$4-$V$4)))+$U$5*MAX(0,MIN(1,($W$5-L727)/($W$5-$V$5)))+$U$6*MAX(0,MIN(1,($W$6-M727)/($W$6-$V$6)))+$U$7*MAX(0,MIN(1,($W$7-N727)/($W$7-$V$7)))+$U$8*IF(AND(O727&gt;=$V$8,O727&lt;=$W$8),1,0))/$U$9*100,2)</f>
        <v>83.22</v>
      </c>
      <c r="C727" s="27" t="s">
        <v>291</v>
      </c>
      <c r="D727" s="25" t="s">
        <v>134</v>
      </c>
      <c r="E727" s="25" t="s">
        <v>3447</v>
      </c>
      <c r="F727" s="25" t="s">
        <v>3457</v>
      </c>
      <c r="G727" s="38" t="s">
        <v>30</v>
      </c>
      <c r="H727" s="33" t="s">
        <v>24</v>
      </c>
      <c r="I727" s="25" t="n">
        <v>2</v>
      </c>
      <c r="J727" s="25" t="n">
        <v>0</v>
      </c>
      <c r="K727" s="25" t="n">
        <v>2</v>
      </c>
      <c r="L727" s="29" t="n">
        <v>0.75</v>
      </c>
      <c r="M727" s="30" t="n">
        <v>3.67</v>
      </c>
      <c r="N727" s="29" t="n">
        <v>0.4</v>
      </c>
      <c r="O727" s="25" t="n">
        <v>202</v>
      </c>
      <c r="P727" s="30" t="n">
        <v>1.18</v>
      </c>
      <c r="Q727" s="27" t="s">
        <v>3521</v>
      </c>
      <c r="R727" s="27" t="s">
        <v>30</v>
      </c>
    </row>
    <row r="728" customFormat="false" ht="15" hidden="false" customHeight="false" outlineLevel="0" collapsed="false">
      <c r="A728" s="25" t="n">
        <f aca="false">IF(G728="REJECT",COUNTIF($G$2:$G$2277,"&lt;&gt;REJECT")+1+COUNTIFS($G$2:$G$2277,"REJECT",$B$2:$B$2277,"&gt;"&amp;B728),1+COUNTIFS($G$2:$G$2277,"&lt;&gt;REJECT",$B$2:$B$2277,"&gt;"&amp;B728))</f>
        <v>727</v>
      </c>
      <c r="B728" s="26" t="n">
        <f aca="false">ROUND(($U$2*MAX(0,MIN(1,($W$2-I728)/($W$2-$V$2)))+$U$3*MAX(0,MIN(1,($W$3-J728)/($W$3-$V$3)))+$U$4*MAX(0,MIN(1,($W$4-K728)/($W$4-$V$4)))+$U$5*MAX(0,MIN(1,($W$5-L728)/($W$5-$V$5)))+$U$6*MAX(0,MIN(1,($W$6-M728)/($W$6-$V$6)))+$U$7*MAX(0,MIN(1,($W$7-N728)/($W$7-$V$7)))+$U$8*IF(AND(O728&gt;=$V$8,O728&lt;=$W$8),1,0))/$U$9*100,2)</f>
        <v>83.13</v>
      </c>
      <c r="C728" s="27" t="s">
        <v>3418</v>
      </c>
      <c r="D728" s="25" t="s">
        <v>134</v>
      </c>
      <c r="E728" s="25" t="s">
        <v>3447</v>
      </c>
      <c r="F728" s="25" t="s">
        <v>3457</v>
      </c>
      <c r="G728" s="38" t="s">
        <v>30</v>
      </c>
      <c r="H728" s="33" t="s">
        <v>24</v>
      </c>
      <c r="I728" s="25" t="n">
        <v>2</v>
      </c>
      <c r="J728" s="25" t="n">
        <v>0</v>
      </c>
      <c r="K728" s="25" t="n">
        <v>2</v>
      </c>
      <c r="L728" s="29" t="n">
        <v>0.79</v>
      </c>
      <c r="M728" s="30" t="n">
        <v>19.81</v>
      </c>
      <c r="N728" s="29" t="n">
        <v>0.28</v>
      </c>
      <c r="O728" s="25" t="n">
        <v>199</v>
      </c>
      <c r="P728" s="30" t="n">
        <v>5.06</v>
      </c>
      <c r="Q728" s="27" t="s">
        <v>3499</v>
      </c>
      <c r="R728" s="27" t="s">
        <v>30</v>
      </c>
    </row>
    <row r="729" customFormat="false" ht="15" hidden="false" customHeight="false" outlineLevel="0" collapsed="false">
      <c r="A729" s="25" t="n">
        <f aca="false">IF(G729="REJECT",COUNTIF($G$2:$G$2277,"&lt;&gt;REJECT")+1+COUNTIFS($G$2:$G$2277,"REJECT",$B$2:$B$2277,"&gt;"&amp;B729),1+COUNTIFS($G$2:$G$2277,"&lt;&gt;REJECT",$B$2:$B$2277,"&gt;"&amp;B729))</f>
        <v>728</v>
      </c>
      <c r="B729" s="26" t="n">
        <f aca="false">ROUND(($U$2*MAX(0,MIN(1,($W$2-I729)/($W$2-$V$2)))+$U$3*MAX(0,MIN(1,($W$3-J729)/($W$3-$V$3)))+$U$4*MAX(0,MIN(1,($W$4-K729)/($W$4-$V$4)))+$U$5*MAX(0,MIN(1,($W$5-L729)/($W$5-$V$5)))+$U$6*MAX(0,MIN(1,($W$6-M729)/($W$6-$V$6)))+$U$7*MAX(0,MIN(1,($W$7-N729)/($W$7-$V$7)))+$U$8*IF(AND(O729&gt;=$V$8,O729&lt;=$W$8),1,0))/$U$9*100,2)</f>
        <v>83.12</v>
      </c>
      <c r="C729" s="27" t="s">
        <v>235</v>
      </c>
      <c r="D729" s="25" t="s">
        <v>134</v>
      </c>
      <c r="E729" s="25" t="s">
        <v>3447</v>
      </c>
      <c r="F729" s="25" t="s">
        <v>3448</v>
      </c>
      <c r="G729" s="38" t="s">
        <v>30</v>
      </c>
      <c r="H729" s="28" t="s">
        <v>25</v>
      </c>
      <c r="I729" s="25" t="n">
        <v>2</v>
      </c>
      <c r="J729" s="25" t="n">
        <v>0</v>
      </c>
      <c r="K729" s="25" t="n">
        <v>2</v>
      </c>
      <c r="L729" s="29" t="n">
        <v>0.76</v>
      </c>
      <c r="M729" s="30" t="n">
        <v>7.48</v>
      </c>
      <c r="N729" s="29" t="n">
        <v>0.44</v>
      </c>
      <c r="O729" s="25" t="n">
        <v>182</v>
      </c>
      <c r="P729" s="30" t="n">
        <v>0.48</v>
      </c>
      <c r="Q729" s="27" t="s">
        <v>3522</v>
      </c>
      <c r="R729" s="27" t="s">
        <v>2610</v>
      </c>
    </row>
    <row r="730" customFormat="false" ht="15" hidden="false" customHeight="false" outlineLevel="0" collapsed="false">
      <c r="A730" s="25" t="n">
        <f aca="false">IF(G730="REJECT",COUNTIF($G$2:$G$2277,"&lt;&gt;REJECT")+1+COUNTIFS($G$2:$G$2277,"REJECT",$B$2:$B$2277,"&gt;"&amp;B730),1+COUNTIFS($G$2:$G$2277,"&lt;&gt;REJECT",$B$2:$B$2277,"&gt;"&amp;B730))</f>
        <v>728</v>
      </c>
      <c r="B730" s="26" t="n">
        <f aca="false">ROUND(($U$2*MAX(0,MIN(1,($W$2-I730)/($W$2-$V$2)))+$U$3*MAX(0,MIN(1,($W$3-J730)/($W$3-$V$3)))+$U$4*MAX(0,MIN(1,($W$4-K730)/($W$4-$V$4)))+$U$5*MAX(0,MIN(1,($W$5-L730)/($W$5-$V$5)))+$U$6*MAX(0,MIN(1,($W$6-M730)/($W$6-$V$6)))+$U$7*MAX(0,MIN(1,($W$7-N730)/($W$7-$V$7)))+$U$8*IF(AND(O730&gt;=$V$8,O730&lt;=$W$8),1,0))/$U$9*100,2)</f>
        <v>83.12</v>
      </c>
      <c r="C730" s="27" t="s">
        <v>714</v>
      </c>
      <c r="D730" s="25" t="s">
        <v>3459</v>
      </c>
      <c r="E730" s="25" t="s">
        <v>3447</v>
      </c>
      <c r="F730" s="25" t="s">
        <v>3457</v>
      </c>
      <c r="G730" s="38" t="s">
        <v>30</v>
      </c>
      <c r="H730" s="28" t="s">
        <v>25</v>
      </c>
      <c r="I730" s="25" t="n">
        <v>2</v>
      </c>
      <c r="J730" s="25" t="n">
        <v>0</v>
      </c>
      <c r="K730" s="25" t="n">
        <v>2</v>
      </c>
      <c r="L730" s="29" t="n">
        <v>0.81</v>
      </c>
      <c r="M730" s="30" t="n">
        <v>22.67</v>
      </c>
      <c r="N730" s="29" t="n">
        <v>0.36</v>
      </c>
      <c r="O730" s="25" t="n">
        <v>192</v>
      </c>
      <c r="P730" s="30" t="n">
        <v>8.71</v>
      </c>
      <c r="Q730" s="27" t="s">
        <v>3523</v>
      </c>
      <c r="R730" s="27" t="s">
        <v>992</v>
      </c>
    </row>
    <row r="731" customFormat="false" ht="15" hidden="false" customHeight="false" outlineLevel="0" collapsed="false">
      <c r="A731" s="25" t="n">
        <f aca="false">IF(G731="REJECT",COUNTIF($G$2:$G$2277,"&lt;&gt;REJECT")+1+COUNTIFS($G$2:$G$2277,"REJECT",$B$2:$B$2277,"&gt;"&amp;B731),1+COUNTIFS($G$2:$G$2277,"&lt;&gt;REJECT",$B$2:$B$2277,"&gt;"&amp;B731))</f>
        <v>730</v>
      </c>
      <c r="B731" s="26" t="n">
        <f aca="false">ROUND(($U$2*MAX(0,MIN(1,($W$2-I731)/($W$2-$V$2)))+$U$3*MAX(0,MIN(1,($W$3-J731)/($W$3-$V$3)))+$U$4*MAX(0,MIN(1,($W$4-K731)/($W$4-$V$4)))+$U$5*MAX(0,MIN(1,($W$5-L731)/($W$5-$V$5)))+$U$6*MAX(0,MIN(1,($W$6-M731)/($W$6-$V$6)))+$U$7*MAX(0,MIN(1,($W$7-N731)/($W$7-$V$7)))+$U$8*IF(AND(O731&gt;=$V$8,O731&lt;=$W$8),1,0))/$U$9*100,2)</f>
        <v>83.07</v>
      </c>
      <c r="C731" s="27" t="s">
        <v>989</v>
      </c>
      <c r="D731" s="25" t="s">
        <v>134</v>
      </c>
      <c r="E731" s="25" t="s">
        <v>3447</v>
      </c>
      <c r="F731" s="25" t="s">
        <v>3457</v>
      </c>
      <c r="G731" s="38" t="s">
        <v>30</v>
      </c>
      <c r="H731" s="28" t="s">
        <v>25</v>
      </c>
      <c r="I731" s="25" t="n">
        <v>2</v>
      </c>
      <c r="J731" s="25" t="n">
        <v>0</v>
      </c>
      <c r="K731" s="25" t="n">
        <v>2</v>
      </c>
      <c r="L731" s="29" t="n">
        <v>0.81</v>
      </c>
      <c r="M731" s="30" t="n">
        <v>20.2</v>
      </c>
      <c r="N731" s="29" t="n">
        <v>0.64</v>
      </c>
      <c r="O731" s="25" t="n">
        <v>183</v>
      </c>
      <c r="P731" s="30" t="n">
        <v>4.32</v>
      </c>
      <c r="Q731" s="27" t="s">
        <v>3503</v>
      </c>
      <c r="R731" s="27" t="s">
        <v>992</v>
      </c>
    </row>
    <row r="732" customFormat="false" ht="15" hidden="false" customHeight="false" outlineLevel="0" collapsed="false">
      <c r="A732" s="25" t="n">
        <f aca="false">IF(G732="REJECT",COUNTIF($G$2:$G$2277,"&lt;&gt;REJECT")+1+COUNTIFS($G$2:$G$2277,"REJECT",$B$2:$B$2277,"&gt;"&amp;B732),1+COUNTIFS($G$2:$G$2277,"&lt;&gt;REJECT",$B$2:$B$2277,"&gt;"&amp;B732))</f>
        <v>731</v>
      </c>
      <c r="B732" s="26" t="n">
        <f aca="false">ROUND(($U$2*MAX(0,MIN(1,($W$2-I732)/($W$2-$V$2)))+$U$3*MAX(0,MIN(1,($W$3-J732)/($W$3-$V$3)))+$U$4*MAX(0,MIN(1,($W$4-K732)/($W$4-$V$4)))+$U$5*MAX(0,MIN(1,($W$5-L732)/($W$5-$V$5)))+$U$6*MAX(0,MIN(1,($W$6-M732)/($W$6-$V$6)))+$U$7*MAX(0,MIN(1,($W$7-N732)/($W$7-$V$7)))+$U$8*IF(AND(O732&gt;=$V$8,O732&lt;=$W$8),1,0))/$U$9*100,2)</f>
        <v>83.04</v>
      </c>
      <c r="C732" s="27" t="s">
        <v>879</v>
      </c>
      <c r="D732" s="25" t="s">
        <v>3459</v>
      </c>
      <c r="E732" s="25" t="s">
        <v>3447</v>
      </c>
      <c r="F732" s="25" t="s">
        <v>3457</v>
      </c>
      <c r="G732" s="38" t="s">
        <v>30</v>
      </c>
      <c r="H732" s="28" t="s">
        <v>25</v>
      </c>
      <c r="I732" s="25" t="n">
        <v>2</v>
      </c>
      <c r="J732" s="25" t="n">
        <v>0</v>
      </c>
      <c r="K732" s="25" t="n">
        <v>2</v>
      </c>
      <c r="L732" s="29" t="n">
        <v>0.82</v>
      </c>
      <c r="M732" s="30" t="n">
        <v>23.99</v>
      </c>
      <c r="N732" s="29" t="n">
        <v>0.28</v>
      </c>
      <c r="O732" s="25" t="n">
        <v>185</v>
      </c>
      <c r="P732" s="30" t="n">
        <v>-2.49</v>
      </c>
      <c r="Q732" s="27" t="s">
        <v>3511</v>
      </c>
      <c r="R732" s="27" t="s">
        <v>992</v>
      </c>
    </row>
    <row r="733" customFormat="false" ht="15" hidden="false" customHeight="false" outlineLevel="0" collapsed="false">
      <c r="A733" s="25" t="n">
        <f aca="false">IF(G733="REJECT",COUNTIF($G$2:$G$2277,"&lt;&gt;REJECT")+1+COUNTIFS($G$2:$G$2277,"REJECT",$B$2:$B$2277,"&gt;"&amp;B733),1+COUNTIFS($G$2:$G$2277,"&lt;&gt;REJECT",$B$2:$B$2277,"&gt;"&amp;B733))</f>
        <v>732</v>
      </c>
      <c r="B733" s="26" t="n">
        <f aca="false">ROUND(($U$2*MAX(0,MIN(1,($W$2-I733)/($W$2-$V$2)))+$U$3*MAX(0,MIN(1,($W$3-J733)/($W$3-$V$3)))+$U$4*MAX(0,MIN(1,($W$4-K733)/($W$4-$V$4)))+$U$5*MAX(0,MIN(1,($W$5-L733)/($W$5-$V$5)))+$U$6*MAX(0,MIN(1,($W$6-M733)/($W$6-$V$6)))+$U$7*MAX(0,MIN(1,($W$7-N733)/($W$7-$V$7)))+$U$8*IF(AND(O733&gt;=$V$8,O733&lt;=$W$8),1,0))/$U$9*100,2)</f>
        <v>83.01</v>
      </c>
      <c r="C733" s="27" t="s">
        <v>2672</v>
      </c>
      <c r="D733" s="25" t="s">
        <v>134</v>
      </c>
      <c r="E733" s="25" t="s">
        <v>3447</v>
      </c>
      <c r="F733" s="25" t="s">
        <v>3448</v>
      </c>
      <c r="G733" s="38" t="s">
        <v>30</v>
      </c>
      <c r="H733" s="28" t="s">
        <v>25</v>
      </c>
      <c r="I733" s="25" t="n">
        <v>2</v>
      </c>
      <c r="J733" s="25" t="n">
        <v>0</v>
      </c>
      <c r="K733" s="25" t="n">
        <v>2</v>
      </c>
      <c r="L733" s="29" t="n">
        <v>0.76</v>
      </c>
      <c r="M733" s="30" t="n">
        <v>4.14</v>
      </c>
      <c r="N733" s="29" t="n">
        <v>0.84</v>
      </c>
      <c r="O733" s="25" t="n">
        <v>184</v>
      </c>
      <c r="P733" s="30" t="n">
        <v>-1.14</v>
      </c>
      <c r="Q733" s="27" t="s">
        <v>3523</v>
      </c>
      <c r="R733" s="27" t="s">
        <v>2610</v>
      </c>
    </row>
    <row r="734" customFormat="false" ht="15" hidden="false" customHeight="false" outlineLevel="0" collapsed="false">
      <c r="A734" s="25" t="n">
        <f aca="false">IF(G734="REJECT",COUNTIF($G$2:$G$2277,"&lt;&gt;REJECT")+1+COUNTIFS($G$2:$G$2277,"REJECT",$B$2:$B$2277,"&gt;"&amp;B734),1+COUNTIFS($G$2:$G$2277,"&lt;&gt;REJECT",$B$2:$B$2277,"&gt;"&amp;B734))</f>
        <v>733</v>
      </c>
      <c r="B734" s="26" t="n">
        <f aca="false">ROUND(($U$2*MAX(0,MIN(1,($W$2-I734)/($W$2-$V$2)))+$U$3*MAX(0,MIN(1,($W$3-J734)/($W$3-$V$3)))+$U$4*MAX(0,MIN(1,($W$4-K734)/($W$4-$V$4)))+$U$5*MAX(0,MIN(1,($W$5-L734)/($W$5-$V$5)))+$U$6*MAX(0,MIN(1,($W$6-M734)/($W$6-$V$6)))+$U$7*MAX(0,MIN(1,($W$7-N734)/($W$7-$V$7)))+$U$8*IF(AND(O734&gt;=$V$8,O734&lt;=$W$8),1,0))/$U$9*100,2)</f>
        <v>82.97</v>
      </c>
      <c r="C734" s="27" t="s">
        <v>1854</v>
      </c>
      <c r="D734" s="25" t="s">
        <v>134</v>
      </c>
      <c r="E734" s="25" t="s">
        <v>3447</v>
      </c>
      <c r="F734" s="25" t="s">
        <v>3457</v>
      </c>
      <c r="G734" s="38" t="s">
        <v>30</v>
      </c>
      <c r="H734" s="33" t="s">
        <v>24</v>
      </c>
      <c r="I734" s="25" t="n">
        <v>2</v>
      </c>
      <c r="J734" s="25" t="n">
        <v>0</v>
      </c>
      <c r="K734" s="25" t="n">
        <v>2</v>
      </c>
      <c r="L734" s="29" t="n">
        <v>0.75</v>
      </c>
      <c r="M734" s="30" t="n">
        <v>3.2</v>
      </c>
      <c r="N734" s="29" t="n">
        <v>0.6</v>
      </c>
      <c r="O734" s="25" t="n">
        <v>187</v>
      </c>
      <c r="P734" s="30" t="n">
        <v>10.15</v>
      </c>
      <c r="Q734" s="27" t="s">
        <v>3514</v>
      </c>
      <c r="R734" s="27" t="s">
        <v>30</v>
      </c>
    </row>
    <row r="735" customFormat="false" ht="15" hidden="false" customHeight="false" outlineLevel="0" collapsed="false">
      <c r="A735" s="25" t="n">
        <f aca="false">IF(G735="REJECT",COUNTIF($G$2:$G$2277,"&lt;&gt;REJECT")+1+COUNTIFS($G$2:$G$2277,"REJECT",$B$2:$B$2277,"&gt;"&amp;B735),1+COUNTIFS($G$2:$G$2277,"&lt;&gt;REJECT",$B$2:$B$2277,"&gt;"&amp;B735))</f>
        <v>734</v>
      </c>
      <c r="B735" s="26" t="n">
        <f aca="false">ROUND(($U$2*MAX(0,MIN(1,($W$2-I735)/($W$2-$V$2)))+$U$3*MAX(0,MIN(1,($W$3-J735)/($W$3-$V$3)))+$U$4*MAX(0,MIN(1,($W$4-K735)/($W$4-$V$4)))+$U$5*MAX(0,MIN(1,($W$5-L735)/($W$5-$V$5)))+$U$6*MAX(0,MIN(1,($W$6-M735)/($W$6-$V$6)))+$U$7*MAX(0,MIN(1,($W$7-N735)/($W$7-$V$7)))+$U$8*IF(AND(O735&gt;=$V$8,O735&lt;=$W$8),1,0))/$U$9*100,2)</f>
        <v>82.96</v>
      </c>
      <c r="C735" s="27" t="s">
        <v>2441</v>
      </c>
      <c r="D735" s="25" t="s">
        <v>134</v>
      </c>
      <c r="E735" s="25" t="s">
        <v>3447</v>
      </c>
      <c r="F735" s="25" t="s">
        <v>3448</v>
      </c>
      <c r="G735" s="38" t="s">
        <v>30</v>
      </c>
      <c r="H735" s="33" t="s">
        <v>24</v>
      </c>
      <c r="I735" s="25" t="n">
        <v>1</v>
      </c>
      <c r="J735" s="25" t="n">
        <v>0</v>
      </c>
      <c r="K735" s="25" t="n">
        <v>1</v>
      </c>
      <c r="L735" s="29" t="n">
        <v>0.69</v>
      </c>
      <c r="M735" s="30" t="n">
        <v>19.97</v>
      </c>
      <c r="N735" s="29" t="n">
        <v>0.52</v>
      </c>
      <c r="O735" s="25" t="n">
        <v>182</v>
      </c>
      <c r="P735" s="30" t="n">
        <v>-0.83</v>
      </c>
      <c r="Q735" s="27" t="s">
        <v>3475</v>
      </c>
      <c r="R735" s="27" t="s">
        <v>30</v>
      </c>
    </row>
    <row r="736" customFormat="false" ht="15" hidden="false" customHeight="false" outlineLevel="0" collapsed="false">
      <c r="A736" s="25" t="n">
        <f aca="false">IF(G736="REJECT",COUNTIF($G$2:$G$2277,"&lt;&gt;REJECT")+1+COUNTIFS($G$2:$G$2277,"REJECT",$B$2:$B$2277,"&gt;"&amp;B736),1+COUNTIFS($G$2:$G$2277,"&lt;&gt;REJECT",$B$2:$B$2277,"&gt;"&amp;B736))</f>
        <v>735</v>
      </c>
      <c r="B736" s="26" t="n">
        <f aca="false">ROUND(($U$2*MAX(0,MIN(1,($W$2-I736)/($W$2-$V$2)))+$U$3*MAX(0,MIN(1,($W$3-J736)/($W$3-$V$3)))+$U$4*MAX(0,MIN(1,($W$4-K736)/($W$4-$V$4)))+$U$5*MAX(0,MIN(1,($W$5-L736)/($W$5-$V$5)))+$U$6*MAX(0,MIN(1,($W$6-M736)/($W$6-$V$6)))+$U$7*MAX(0,MIN(1,($W$7-N736)/($W$7-$V$7)))+$U$8*IF(AND(O736&gt;=$V$8,O736&lt;=$W$8),1,0))/$U$9*100,2)</f>
        <v>82.93</v>
      </c>
      <c r="C736" s="27" t="s">
        <v>140</v>
      </c>
      <c r="D736" s="25" t="s">
        <v>134</v>
      </c>
      <c r="E736" s="25" t="s">
        <v>3447</v>
      </c>
      <c r="F736" s="25" t="s">
        <v>3457</v>
      </c>
      <c r="G736" s="38" t="s">
        <v>30</v>
      </c>
      <c r="H736" s="28" t="s">
        <v>25</v>
      </c>
      <c r="I736" s="25" t="n">
        <v>2</v>
      </c>
      <c r="J736" s="25" t="n">
        <v>0</v>
      </c>
      <c r="K736" s="25" t="n">
        <v>2</v>
      </c>
      <c r="L736" s="29" t="n">
        <v>0.76</v>
      </c>
      <c r="M736" s="30" t="n">
        <v>3.45</v>
      </c>
      <c r="N736" s="29" t="n">
        <v>0.96</v>
      </c>
      <c r="O736" s="25" t="n">
        <v>230</v>
      </c>
      <c r="P736" s="30" t="n">
        <v>-1.18</v>
      </c>
      <c r="Q736" s="27" t="s">
        <v>3522</v>
      </c>
      <c r="R736" s="27" t="s">
        <v>2133</v>
      </c>
    </row>
    <row r="737" customFormat="false" ht="15" hidden="false" customHeight="false" outlineLevel="0" collapsed="false">
      <c r="A737" s="25" t="n">
        <f aca="false">IF(G737="REJECT",COUNTIF($G$2:$G$2277,"&lt;&gt;REJECT")+1+COUNTIFS($G$2:$G$2277,"REJECT",$B$2:$B$2277,"&gt;"&amp;B737),1+COUNTIFS($G$2:$G$2277,"&lt;&gt;REJECT",$B$2:$B$2277,"&gt;"&amp;B737))</f>
        <v>735</v>
      </c>
      <c r="B737" s="26" t="n">
        <f aca="false">ROUND(($U$2*MAX(0,MIN(1,($W$2-I737)/($W$2-$V$2)))+$U$3*MAX(0,MIN(1,($W$3-J737)/($W$3-$V$3)))+$U$4*MAX(0,MIN(1,($W$4-K737)/($W$4-$V$4)))+$U$5*MAX(0,MIN(1,($W$5-L737)/($W$5-$V$5)))+$U$6*MAX(0,MIN(1,($W$6-M737)/($W$6-$V$6)))+$U$7*MAX(0,MIN(1,($W$7-N737)/($W$7-$V$7)))+$U$8*IF(AND(O737&gt;=$V$8,O737&lt;=$W$8),1,0))/$U$9*100,2)</f>
        <v>82.93</v>
      </c>
      <c r="C737" s="27" t="s">
        <v>637</v>
      </c>
      <c r="D737" s="25" t="s">
        <v>134</v>
      </c>
      <c r="E737" s="25" t="s">
        <v>3447</v>
      </c>
      <c r="F737" s="25" t="s">
        <v>3457</v>
      </c>
      <c r="G737" s="38" t="s">
        <v>30</v>
      </c>
      <c r="H737" s="28" t="s">
        <v>25</v>
      </c>
      <c r="I737" s="25" t="n">
        <v>2</v>
      </c>
      <c r="J737" s="25" t="n">
        <v>0</v>
      </c>
      <c r="K737" s="25" t="n">
        <v>2</v>
      </c>
      <c r="L737" s="29" t="n">
        <v>0.76</v>
      </c>
      <c r="M737" s="30" t="n">
        <v>3.85</v>
      </c>
      <c r="N737" s="29" t="n">
        <v>0.92</v>
      </c>
      <c r="O737" s="25" t="n">
        <v>188</v>
      </c>
      <c r="P737" s="30" t="n">
        <v>-1.09</v>
      </c>
      <c r="Q737" s="27" t="s">
        <v>3499</v>
      </c>
      <c r="R737" s="27" t="s">
        <v>2610</v>
      </c>
    </row>
    <row r="738" customFormat="false" ht="15" hidden="false" customHeight="false" outlineLevel="0" collapsed="false">
      <c r="A738" s="25" t="n">
        <f aca="false">IF(G738="REJECT",COUNTIF($G$2:$G$2277,"&lt;&gt;REJECT")+1+COUNTIFS($G$2:$G$2277,"REJECT",$B$2:$B$2277,"&gt;"&amp;B738),1+COUNTIFS($G$2:$G$2277,"&lt;&gt;REJECT",$B$2:$B$2277,"&gt;"&amp;B738))</f>
        <v>737</v>
      </c>
      <c r="B738" s="26" t="n">
        <f aca="false">ROUND(($U$2*MAX(0,MIN(1,($W$2-I738)/($W$2-$V$2)))+$U$3*MAX(0,MIN(1,($W$3-J738)/($W$3-$V$3)))+$U$4*MAX(0,MIN(1,($W$4-K738)/($W$4-$V$4)))+$U$5*MAX(0,MIN(1,($W$5-L738)/($W$5-$V$5)))+$U$6*MAX(0,MIN(1,($W$6-M738)/($W$6-$V$6)))+$U$7*MAX(0,MIN(1,($W$7-N738)/($W$7-$V$7)))+$U$8*IF(AND(O738&gt;=$V$8,O738&lt;=$W$8),1,0))/$U$9*100,2)</f>
        <v>82.91</v>
      </c>
      <c r="C738" s="27" t="s">
        <v>2799</v>
      </c>
      <c r="D738" s="25" t="s">
        <v>3459</v>
      </c>
      <c r="E738" s="25" t="s">
        <v>3450</v>
      </c>
      <c r="F738" s="25" t="s">
        <v>3457</v>
      </c>
      <c r="G738" s="28" t="s">
        <v>29</v>
      </c>
      <c r="H738" s="28" t="s">
        <v>25</v>
      </c>
      <c r="I738" s="25" t="n">
        <v>0</v>
      </c>
      <c r="J738" s="25" t="n">
        <v>0</v>
      </c>
      <c r="K738" s="25" t="n">
        <v>0</v>
      </c>
      <c r="L738" s="29" t="n">
        <v>0.66</v>
      </c>
      <c r="M738" s="30" t="n">
        <v>20.53</v>
      </c>
      <c r="N738" s="29" t="n">
        <v>0.16</v>
      </c>
      <c r="O738" s="25" t="n">
        <v>261</v>
      </c>
      <c r="P738" s="30" t="n">
        <v>14.22</v>
      </c>
      <c r="Q738" s="27"/>
      <c r="R738" s="27" t="s">
        <v>3496</v>
      </c>
    </row>
    <row r="739" customFormat="false" ht="15" hidden="false" customHeight="false" outlineLevel="0" collapsed="false">
      <c r="A739" s="25" t="n">
        <f aca="false">IF(G739="REJECT",COUNTIF($G$2:$G$2277,"&lt;&gt;REJECT")+1+COUNTIFS($G$2:$G$2277,"REJECT",$B$2:$B$2277,"&gt;"&amp;B739),1+COUNTIFS($G$2:$G$2277,"&lt;&gt;REJECT",$B$2:$B$2277,"&gt;"&amp;B739))</f>
        <v>738</v>
      </c>
      <c r="B739" s="26" t="n">
        <f aca="false">ROUND(($U$2*MAX(0,MIN(1,($W$2-I739)/($W$2-$V$2)))+$U$3*MAX(0,MIN(1,($W$3-J739)/($W$3-$V$3)))+$U$4*MAX(0,MIN(1,($W$4-K739)/($W$4-$V$4)))+$U$5*MAX(0,MIN(1,($W$5-L739)/($W$5-$V$5)))+$U$6*MAX(0,MIN(1,($W$6-M739)/($W$6-$V$6)))+$U$7*MAX(0,MIN(1,($W$7-N739)/($W$7-$V$7)))+$U$8*IF(AND(O739&gt;=$V$8,O739&lt;=$W$8),1,0))/$U$9*100,2)</f>
        <v>82.89</v>
      </c>
      <c r="C739" s="27" t="s">
        <v>2580</v>
      </c>
      <c r="D739" s="25" t="s">
        <v>3459</v>
      </c>
      <c r="E739" s="25" t="s">
        <v>3447</v>
      </c>
      <c r="F739" s="25" t="s">
        <v>3457</v>
      </c>
      <c r="G739" s="38" t="s">
        <v>30</v>
      </c>
      <c r="H739" s="28" t="s">
        <v>25</v>
      </c>
      <c r="I739" s="25" t="n">
        <v>2</v>
      </c>
      <c r="J739" s="25" t="n">
        <v>0</v>
      </c>
      <c r="K739" s="25" t="n">
        <v>2</v>
      </c>
      <c r="L739" s="29" t="n">
        <v>0.83</v>
      </c>
      <c r="M739" s="30" t="n">
        <v>27.66</v>
      </c>
      <c r="N739" s="29" t="n">
        <v>0</v>
      </c>
      <c r="O739" s="25" t="n">
        <v>183</v>
      </c>
      <c r="P739" s="30" t="n">
        <v>-0.71</v>
      </c>
      <c r="Q739" s="27" t="s">
        <v>3511</v>
      </c>
      <c r="R739" s="27" t="s">
        <v>992</v>
      </c>
    </row>
    <row r="740" customFormat="false" ht="15" hidden="false" customHeight="false" outlineLevel="0" collapsed="false">
      <c r="A740" s="25" t="n">
        <f aca="false">IF(G740="REJECT",COUNTIF($G$2:$G$2277,"&lt;&gt;REJECT")+1+COUNTIFS($G$2:$G$2277,"REJECT",$B$2:$B$2277,"&gt;"&amp;B740),1+COUNTIFS($G$2:$G$2277,"&lt;&gt;REJECT",$B$2:$B$2277,"&gt;"&amp;B740))</f>
        <v>738</v>
      </c>
      <c r="B740" s="26" t="n">
        <f aca="false">ROUND(($U$2*MAX(0,MIN(1,($W$2-I740)/($W$2-$V$2)))+$U$3*MAX(0,MIN(1,($W$3-J740)/($W$3-$V$3)))+$U$4*MAX(0,MIN(1,($W$4-K740)/($W$4-$V$4)))+$U$5*MAX(0,MIN(1,($W$5-L740)/($W$5-$V$5)))+$U$6*MAX(0,MIN(1,($W$6-M740)/($W$6-$V$6)))+$U$7*MAX(0,MIN(1,($W$7-N740)/($W$7-$V$7)))+$U$8*IF(AND(O740&gt;=$V$8,O740&lt;=$W$8),1,0))/$U$9*100,2)</f>
        <v>82.89</v>
      </c>
      <c r="C740" s="27" t="s">
        <v>3016</v>
      </c>
      <c r="D740" s="25" t="s">
        <v>134</v>
      </c>
      <c r="E740" s="25" t="s">
        <v>3447</v>
      </c>
      <c r="F740" s="25" t="s">
        <v>3448</v>
      </c>
      <c r="G740" s="38" t="s">
        <v>30</v>
      </c>
      <c r="H740" s="33" t="s">
        <v>24</v>
      </c>
      <c r="I740" s="25" t="n">
        <v>2</v>
      </c>
      <c r="J740" s="25" t="n">
        <v>0</v>
      </c>
      <c r="K740" s="25" t="n">
        <v>2</v>
      </c>
      <c r="L740" s="29" t="n">
        <v>0.76</v>
      </c>
      <c r="M740" s="30" t="n">
        <v>7.27</v>
      </c>
      <c r="N740" s="29" t="n">
        <v>0.6</v>
      </c>
      <c r="O740" s="25" t="n">
        <v>183</v>
      </c>
      <c r="P740" s="30" t="n">
        <v>2.54</v>
      </c>
      <c r="Q740" s="27" t="s">
        <v>3524</v>
      </c>
      <c r="R740" s="27" t="s">
        <v>30</v>
      </c>
    </row>
    <row r="741" customFormat="false" ht="15" hidden="false" customHeight="false" outlineLevel="0" collapsed="false">
      <c r="A741" s="25" t="n">
        <f aca="false">IF(G741="REJECT",COUNTIF($G$2:$G$2277,"&lt;&gt;REJECT")+1+COUNTIFS($G$2:$G$2277,"REJECT",$B$2:$B$2277,"&gt;"&amp;B741),1+COUNTIFS($G$2:$G$2277,"&lt;&gt;REJECT",$B$2:$B$2277,"&gt;"&amp;B741))</f>
        <v>740</v>
      </c>
      <c r="B741" s="26" t="n">
        <f aca="false">ROUND(($U$2*MAX(0,MIN(1,($W$2-I741)/($W$2-$V$2)))+$U$3*MAX(0,MIN(1,($W$3-J741)/($W$3-$V$3)))+$U$4*MAX(0,MIN(1,($W$4-K741)/($W$4-$V$4)))+$U$5*MAX(0,MIN(1,($W$5-L741)/($W$5-$V$5)))+$U$6*MAX(0,MIN(1,($W$6-M741)/($W$6-$V$6)))+$U$7*MAX(0,MIN(1,($W$7-N741)/($W$7-$V$7)))+$U$8*IF(AND(O741&gt;=$V$8,O741&lt;=$W$8),1,0))/$U$9*100,2)</f>
        <v>82.84</v>
      </c>
      <c r="C741" s="27" t="s">
        <v>2204</v>
      </c>
      <c r="D741" s="25" t="s">
        <v>134</v>
      </c>
      <c r="E741" s="25" t="s">
        <v>3447</v>
      </c>
      <c r="F741" s="25" t="s">
        <v>3448</v>
      </c>
      <c r="G741" s="38" t="s">
        <v>30</v>
      </c>
      <c r="H741" s="33" t="s">
        <v>24</v>
      </c>
      <c r="I741" s="25" t="n">
        <v>2</v>
      </c>
      <c r="J741" s="25" t="n">
        <v>0</v>
      </c>
      <c r="K741" s="25" t="n">
        <v>2</v>
      </c>
      <c r="L741" s="29" t="n">
        <v>0.92</v>
      </c>
      <c r="M741" s="30" t="n">
        <v>18.76</v>
      </c>
      <c r="N741" s="29" t="n">
        <v>0.92</v>
      </c>
      <c r="O741" s="25" t="n">
        <v>187</v>
      </c>
      <c r="P741" s="30" t="n">
        <v>-2.41</v>
      </c>
      <c r="Q741" s="27" t="s">
        <v>3518</v>
      </c>
      <c r="R741" s="27" t="s">
        <v>30</v>
      </c>
    </row>
    <row r="742" customFormat="false" ht="15" hidden="false" customHeight="false" outlineLevel="0" collapsed="false">
      <c r="A742" s="25" t="n">
        <f aca="false">IF(G742="REJECT",COUNTIF($G$2:$G$2277,"&lt;&gt;REJECT")+1+COUNTIFS($G$2:$G$2277,"REJECT",$B$2:$B$2277,"&gt;"&amp;B742),1+COUNTIFS($G$2:$G$2277,"&lt;&gt;REJECT",$B$2:$B$2277,"&gt;"&amp;B742))</f>
        <v>740</v>
      </c>
      <c r="B742" s="26" t="n">
        <f aca="false">ROUND(($U$2*MAX(0,MIN(1,($W$2-I742)/($W$2-$V$2)))+$U$3*MAX(0,MIN(1,($W$3-J742)/($W$3-$V$3)))+$U$4*MAX(0,MIN(1,($W$4-K742)/($W$4-$V$4)))+$U$5*MAX(0,MIN(1,($W$5-L742)/($W$5-$V$5)))+$U$6*MAX(0,MIN(1,($W$6-M742)/($W$6-$V$6)))+$U$7*MAX(0,MIN(1,($W$7-N742)/($W$7-$V$7)))+$U$8*IF(AND(O742&gt;=$V$8,O742&lt;=$W$8),1,0))/$U$9*100,2)</f>
        <v>82.84</v>
      </c>
      <c r="C742" s="27" t="s">
        <v>2891</v>
      </c>
      <c r="D742" s="25" t="s">
        <v>134</v>
      </c>
      <c r="E742" s="25" t="s">
        <v>3447</v>
      </c>
      <c r="F742" s="25" t="s">
        <v>3448</v>
      </c>
      <c r="G742" s="38" t="s">
        <v>30</v>
      </c>
      <c r="H742" s="28" t="s">
        <v>25</v>
      </c>
      <c r="I742" s="25" t="n">
        <v>2</v>
      </c>
      <c r="J742" s="25" t="n">
        <v>0</v>
      </c>
      <c r="K742" s="25" t="n">
        <v>2</v>
      </c>
      <c r="L742" s="29" t="n">
        <v>0.86</v>
      </c>
      <c r="M742" s="30" t="n">
        <v>20.37</v>
      </c>
      <c r="N742" s="29" t="n">
        <v>0.76</v>
      </c>
      <c r="O742" s="25" t="n">
        <v>186</v>
      </c>
      <c r="P742" s="30" t="n">
        <v>3.67</v>
      </c>
      <c r="Q742" s="27" t="s">
        <v>3500</v>
      </c>
      <c r="R742" s="27" t="s">
        <v>3487</v>
      </c>
    </row>
    <row r="743" customFormat="false" ht="15" hidden="false" customHeight="false" outlineLevel="0" collapsed="false">
      <c r="A743" s="25" t="n">
        <f aca="false">IF(G743="REJECT",COUNTIF($G$2:$G$2277,"&lt;&gt;REJECT")+1+COUNTIFS($G$2:$G$2277,"REJECT",$B$2:$B$2277,"&gt;"&amp;B743),1+COUNTIFS($G$2:$G$2277,"&lt;&gt;REJECT",$B$2:$B$2277,"&gt;"&amp;B743))</f>
        <v>742</v>
      </c>
      <c r="B743" s="26" t="n">
        <f aca="false">ROUND(($U$2*MAX(0,MIN(1,($W$2-I743)/($W$2-$V$2)))+$U$3*MAX(0,MIN(1,($W$3-J743)/($W$3-$V$3)))+$U$4*MAX(0,MIN(1,($W$4-K743)/($W$4-$V$4)))+$U$5*MAX(0,MIN(1,($W$5-L743)/($W$5-$V$5)))+$U$6*MAX(0,MIN(1,($W$6-M743)/($W$6-$V$6)))+$U$7*MAX(0,MIN(1,($W$7-N743)/($W$7-$V$7)))+$U$8*IF(AND(O743&gt;=$V$8,O743&lt;=$W$8),1,0))/$U$9*100,2)</f>
        <v>82.8</v>
      </c>
      <c r="C743" s="27" t="s">
        <v>2465</v>
      </c>
      <c r="D743" s="25" t="s">
        <v>134</v>
      </c>
      <c r="E743" s="25" t="s">
        <v>3447</v>
      </c>
      <c r="F743" s="25" t="s">
        <v>3448</v>
      </c>
      <c r="G743" s="38" t="s">
        <v>30</v>
      </c>
      <c r="H743" s="28" t="s">
        <v>25</v>
      </c>
      <c r="I743" s="25" t="n">
        <v>2</v>
      </c>
      <c r="J743" s="25" t="n">
        <v>0</v>
      </c>
      <c r="K743" s="25" t="n">
        <v>2</v>
      </c>
      <c r="L743" s="29" t="n">
        <v>0.8</v>
      </c>
      <c r="M743" s="30" t="n">
        <v>24.59</v>
      </c>
      <c r="N743" s="29" t="n">
        <v>0.36</v>
      </c>
      <c r="O743" s="25" t="n">
        <v>183</v>
      </c>
      <c r="P743" s="30" t="n">
        <v>13.35</v>
      </c>
      <c r="Q743" s="27" t="s">
        <v>3500</v>
      </c>
      <c r="R743" s="27" t="s">
        <v>992</v>
      </c>
    </row>
    <row r="744" customFormat="false" ht="15" hidden="false" customHeight="false" outlineLevel="0" collapsed="false">
      <c r="A744" s="25" t="n">
        <f aca="false">IF(G744="REJECT",COUNTIF($G$2:$G$2277,"&lt;&gt;REJECT")+1+COUNTIFS($G$2:$G$2277,"REJECT",$B$2:$B$2277,"&gt;"&amp;B744),1+COUNTIFS($G$2:$G$2277,"&lt;&gt;REJECT",$B$2:$B$2277,"&gt;"&amp;B744))</f>
        <v>743</v>
      </c>
      <c r="B744" s="26" t="n">
        <f aca="false">ROUND(($U$2*MAX(0,MIN(1,($W$2-I744)/($W$2-$V$2)))+$U$3*MAX(0,MIN(1,($W$3-J744)/($W$3-$V$3)))+$U$4*MAX(0,MIN(1,($W$4-K744)/($W$4-$V$4)))+$U$5*MAX(0,MIN(1,($W$5-L744)/($W$5-$V$5)))+$U$6*MAX(0,MIN(1,($W$6-M744)/($W$6-$V$6)))+$U$7*MAX(0,MIN(1,($W$7-N744)/($W$7-$V$7)))+$U$8*IF(AND(O744&gt;=$V$8,O744&lt;=$W$8),1,0))/$U$9*100,2)</f>
        <v>82.7</v>
      </c>
      <c r="C744" s="27" t="s">
        <v>3144</v>
      </c>
      <c r="D744" s="25" t="s">
        <v>3459</v>
      </c>
      <c r="E744" s="25" t="s">
        <v>3447</v>
      </c>
      <c r="F744" s="25" t="s">
        <v>3448</v>
      </c>
      <c r="G744" s="38" t="s">
        <v>30</v>
      </c>
      <c r="H744" s="33" t="s">
        <v>24</v>
      </c>
      <c r="I744" s="25" t="n">
        <v>2</v>
      </c>
      <c r="J744" s="25" t="n">
        <v>0</v>
      </c>
      <c r="K744" s="25" t="n">
        <v>2</v>
      </c>
      <c r="L744" s="29" t="n">
        <v>0.79</v>
      </c>
      <c r="M744" s="30" t="n">
        <v>19.18</v>
      </c>
      <c r="N744" s="29" t="n">
        <v>0.6</v>
      </c>
      <c r="O744" s="25" t="n">
        <v>184</v>
      </c>
      <c r="P744" s="30" t="n">
        <v>1.37</v>
      </c>
      <c r="Q744" s="27" t="s">
        <v>3525</v>
      </c>
      <c r="R744" s="27" t="s">
        <v>30</v>
      </c>
    </row>
    <row r="745" customFormat="false" ht="15" hidden="false" customHeight="false" outlineLevel="0" collapsed="false">
      <c r="A745" s="25" t="n">
        <f aca="false">IF(G745="REJECT",COUNTIF($G$2:$G$2277,"&lt;&gt;REJECT")+1+COUNTIFS($G$2:$G$2277,"REJECT",$B$2:$B$2277,"&gt;"&amp;B745),1+COUNTIFS($G$2:$G$2277,"&lt;&gt;REJECT",$B$2:$B$2277,"&gt;"&amp;B745))</f>
        <v>744</v>
      </c>
      <c r="B745" s="26" t="n">
        <f aca="false">ROUND(($U$2*MAX(0,MIN(1,($W$2-I745)/($W$2-$V$2)))+$U$3*MAX(0,MIN(1,($W$3-J745)/($W$3-$V$3)))+$U$4*MAX(0,MIN(1,($W$4-K745)/($W$4-$V$4)))+$U$5*MAX(0,MIN(1,($W$5-L745)/($W$5-$V$5)))+$U$6*MAX(0,MIN(1,($W$6-M745)/($W$6-$V$6)))+$U$7*MAX(0,MIN(1,($W$7-N745)/($W$7-$V$7)))+$U$8*IF(AND(O745&gt;=$V$8,O745&lt;=$W$8),1,0))/$U$9*100,2)</f>
        <v>82.69</v>
      </c>
      <c r="C745" s="27" t="s">
        <v>2993</v>
      </c>
      <c r="D745" s="25" t="s">
        <v>134</v>
      </c>
      <c r="E745" s="25" t="s">
        <v>3447</v>
      </c>
      <c r="F745" s="25" t="s">
        <v>3448</v>
      </c>
      <c r="G745" s="38" t="s">
        <v>30</v>
      </c>
      <c r="H745" s="28" t="s">
        <v>25</v>
      </c>
      <c r="I745" s="25" t="n">
        <v>2</v>
      </c>
      <c r="J745" s="25" t="n">
        <v>0</v>
      </c>
      <c r="K745" s="25" t="n">
        <v>2</v>
      </c>
      <c r="L745" s="29" t="n">
        <v>0.79</v>
      </c>
      <c r="M745" s="30" t="n">
        <v>22.45</v>
      </c>
      <c r="N745" s="29" t="n">
        <v>0.28</v>
      </c>
      <c r="O745" s="25" t="n">
        <v>183</v>
      </c>
      <c r="P745" s="30" t="n">
        <v>3.44</v>
      </c>
      <c r="Q745" s="27" t="s">
        <v>3506</v>
      </c>
      <c r="R745" s="27" t="s">
        <v>992</v>
      </c>
    </row>
    <row r="746" customFormat="false" ht="15" hidden="false" customHeight="false" outlineLevel="0" collapsed="false">
      <c r="A746" s="25" t="n">
        <f aca="false">IF(G746="REJECT",COUNTIF($G$2:$G$2277,"&lt;&gt;REJECT")+1+COUNTIFS($G$2:$G$2277,"REJECT",$B$2:$B$2277,"&gt;"&amp;B746),1+COUNTIFS($G$2:$G$2277,"&lt;&gt;REJECT",$B$2:$B$2277,"&gt;"&amp;B746))</f>
        <v>745</v>
      </c>
      <c r="B746" s="26" t="n">
        <f aca="false">ROUND(($U$2*MAX(0,MIN(1,($W$2-I746)/($W$2-$V$2)))+$U$3*MAX(0,MIN(1,($W$3-J746)/($W$3-$V$3)))+$U$4*MAX(0,MIN(1,($W$4-K746)/($W$4-$V$4)))+$U$5*MAX(0,MIN(1,($W$5-L746)/($W$5-$V$5)))+$U$6*MAX(0,MIN(1,($W$6-M746)/($W$6-$V$6)))+$U$7*MAX(0,MIN(1,($W$7-N746)/($W$7-$V$7)))+$U$8*IF(AND(O746&gt;=$V$8,O746&lt;=$W$8),1,0))/$U$9*100,2)</f>
        <v>82.66</v>
      </c>
      <c r="C746" s="27" t="s">
        <v>2247</v>
      </c>
      <c r="D746" s="25" t="s">
        <v>134</v>
      </c>
      <c r="E746" s="25" t="s">
        <v>3447</v>
      </c>
      <c r="F746" s="25" t="s">
        <v>3448</v>
      </c>
      <c r="G746" s="38" t="s">
        <v>30</v>
      </c>
      <c r="H746" s="33" t="s">
        <v>24</v>
      </c>
      <c r="I746" s="25" t="n">
        <v>2</v>
      </c>
      <c r="J746" s="25" t="n">
        <v>0</v>
      </c>
      <c r="K746" s="25" t="n">
        <v>2</v>
      </c>
      <c r="L746" s="29" t="n">
        <v>0.75</v>
      </c>
      <c r="M746" s="30" t="n">
        <v>5.04</v>
      </c>
      <c r="N746" s="29" t="n">
        <v>0.6</v>
      </c>
      <c r="O746" s="25" t="n">
        <v>188</v>
      </c>
      <c r="P746" s="30" t="n">
        <v>12.41</v>
      </c>
      <c r="Q746" s="27" t="s">
        <v>3517</v>
      </c>
      <c r="R746" s="27" t="s">
        <v>30</v>
      </c>
    </row>
    <row r="747" customFormat="false" ht="15" hidden="false" customHeight="false" outlineLevel="0" collapsed="false">
      <c r="A747" s="25" t="n">
        <f aca="false">IF(G747="REJECT",COUNTIF($G$2:$G$2277,"&lt;&gt;REJECT")+1+COUNTIFS($G$2:$G$2277,"REJECT",$B$2:$B$2277,"&gt;"&amp;B747),1+COUNTIFS($G$2:$G$2277,"&lt;&gt;REJECT",$B$2:$B$2277,"&gt;"&amp;B747))</f>
        <v>746</v>
      </c>
      <c r="B747" s="26" t="n">
        <f aca="false">ROUND(($U$2*MAX(0,MIN(1,($W$2-I747)/($W$2-$V$2)))+$U$3*MAX(0,MIN(1,($W$3-J747)/($W$3-$V$3)))+$U$4*MAX(0,MIN(1,($W$4-K747)/($W$4-$V$4)))+$U$5*MAX(0,MIN(1,($W$5-L747)/($W$5-$V$5)))+$U$6*MAX(0,MIN(1,($W$6-M747)/($W$6-$V$6)))+$U$7*MAX(0,MIN(1,($W$7-N747)/($W$7-$V$7)))+$U$8*IF(AND(O747&gt;=$V$8,O747&lt;=$W$8),1,0))/$U$9*100,2)</f>
        <v>82.59</v>
      </c>
      <c r="C747" s="27" t="s">
        <v>140</v>
      </c>
      <c r="D747" s="25" t="s">
        <v>134</v>
      </c>
      <c r="E747" s="25" t="s">
        <v>3447</v>
      </c>
      <c r="F747" s="25" t="s">
        <v>3448</v>
      </c>
      <c r="G747" s="38" t="s">
        <v>30</v>
      </c>
      <c r="H747" s="33" t="s">
        <v>24</v>
      </c>
      <c r="I747" s="25" t="n">
        <v>2</v>
      </c>
      <c r="J747" s="25" t="n">
        <v>0</v>
      </c>
      <c r="K747" s="25" t="n">
        <v>2</v>
      </c>
      <c r="L747" s="29" t="n">
        <v>0.75</v>
      </c>
      <c r="M747" s="30" t="n">
        <v>8.66</v>
      </c>
      <c r="N747" s="29" t="n">
        <v>0.28</v>
      </c>
      <c r="O747" s="25" t="n">
        <v>187</v>
      </c>
      <c r="P747" s="30" t="n">
        <v>2.11</v>
      </c>
      <c r="Q747" s="27" t="s">
        <v>3522</v>
      </c>
      <c r="R747" s="27" t="s">
        <v>30</v>
      </c>
    </row>
    <row r="748" customFormat="false" ht="15" hidden="false" customHeight="false" outlineLevel="0" collapsed="false">
      <c r="A748" s="25" t="n">
        <f aca="false">IF(G748="REJECT",COUNTIF($G$2:$G$2277,"&lt;&gt;REJECT")+1+COUNTIFS($G$2:$G$2277,"REJECT",$B$2:$B$2277,"&gt;"&amp;B748),1+COUNTIFS($G$2:$G$2277,"&lt;&gt;REJECT",$B$2:$B$2277,"&gt;"&amp;B748))</f>
        <v>747</v>
      </c>
      <c r="B748" s="26" t="n">
        <f aca="false">ROUND(($U$2*MAX(0,MIN(1,($W$2-I748)/($W$2-$V$2)))+$U$3*MAX(0,MIN(1,($W$3-J748)/($W$3-$V$3)))+$U$4*MAX(0,MIN(1,($W$4-K748)/($W$4-$V$4)))+$U$5*MAX(0,MIN(1,($W$5-L748)/($W$5-$V$5)))+$U$6*MAX(0,MIN(1,($W$6-M748)/($W$6-$V$6)))+$U$7*MAX(0,MIN(1,($W$7-N748)/($W$7-$V$7)))+$U$8*IF(AND(O748&gt;=$V$8,O748&lt;=$W$8),1,0))/$U$9*100,2)</f>
        <v>82.53</v>
      </c>
      <c r="C748" s="27" t="s">
        <v>1023</v>
      </c>
      <c r="D748" s="25" t="s">
        <v>134</v>
      </c>
      <c r="E748" s="25" t="s">
        <v>3447</v>
      </c>
      <c r="F748" s="25" t="s">
        <v>3448</v>
      </c>
      <c r="G748" s="38" t="s">
        <v>30</v>
      </c>
      <c r="H748" s="33" t="s">
        <v>24</v>
      </c>
      <c r="I748" s="25" t="n">
        <v>2</v>
      </c>
      <c r="J748" s="25" t="n">
        <v>0</v>
      </c>
      <c r="K748" s="25" t="n">
        <v>2</v>
      </c>
      <c r="L748" s="29" t="n">
        <v>0.76</v>
      </c>
      <c r="M748" s="30" t="n">
        <v>6.21</v>
      </c>
      <c r="N748" s="29" t="n">
        <v>0.92</v>
      </c>
      <c r="O748" s="25" t="n">
        <v>219</v>
      </c>
      <c r="P748" s="30" t="n">
        <v>10.6</v>
      </c>
      <c r="Q748" s="27" t="s">
        <v>3506</v>
      </c>
      <c r="R748" s="27" t="s">
        <v>30</v>
      </c>
    </row>
    <row r="749" customFormat="false" ht="15" hidden="false" customHeight="false" outlineLevel="0" collapsed="false">
      <c r="A749" s="25" t="n">
        <f aca="false">IF(G749="REJECT",COUNTIF($G$2:$G$2277,"&lt;&gt;REJECT")+1+COUNTIFS($G$2:$G$2277,"REJECT",$B$2:$B$2277,"&gt;"&amp;B749),1+COUNTIFS($G$2:$G$2277,"&lt;&gt;REJECT",$B$2:$B$2277,"&gt;"&amp;B749))</f>
        <v>748</v>
      </c>
      <c r="B749" s="26" t="n">
        <f aca="false">ROUND(($U$2*MAX(0,MIN(1,($W$2-I749)/($W$2-$V$2)))+$U$3*MAX(0,MIN(1,($W$3-J749)/($W$3-$V$3)))+$U$4*MAX(0,MIN(1,($W$4-K749)/($W$4-$V$4)))+$U$5*MAX(0,MIN(1,($W$5-L749)/($W$5-$V$5)))+$U$6*MAX(0,MIN(1,($W$6-M749)/($W$6-$V$6)))+$U$7*MAX(0,MIN(1,($W$7-N749)/($W$7-$V$7)))+$U$8*IF(AND(O749&gt;=$V$8,O749&lt;=$W$8),1,0))/$U$9*100,2)</f>
        <v>82.5</v>
      </c>
      <c r="C749" s="27" t="s">
        <v>1137</v>
      </c>
      <c r="D749" s="25" t="s">
        <v>134</v>
      </c>
      <c r="E749" s="25" t="s">
        <v>3447</v>
      </c>
      <c r="F749" s="25" t="s">
        <v>3457</v>
      </c>
      <c r="G749" s="38" t="s">
        <v>30</v>
      </c>
      <c r="H749" s="28" t="s">
        <v>25</v>
      </c>
      <c r="I749" s="25" t="n">
        <v>2</v>
      </c>
      <c r="J749" s="25" t="n">
        <v>0</v>
      </c>
      <c r="K749" s="25" t="n">
        <v>2</v>
      </c>
      <c r="L749" s="29" t="n">
        <v>0.81</v>
      </c>
      <c r="M749" s="30" t="n">
        <v>30.41</v>
      </c>
      <c r="N749" s="29" t="n">
        <v>0</v>
      </c>
      <c r="O749" s="25" t="n">
        <v>184</v>
      </c>
      <c r="P749" s="30" t="n">
        <v>2.89</v>
      </c>
      <c r="Q749" s="27" t="s">
        <v>3498</v>
      </c>
      <c r="R749" s="27" t="s">
        <v>3492</v>
      </c>
    </row>
    <row r="750" customFormat="false" ht="15" hidden="false" customHeight="false" outlineLevel="0" collapsed="false">
      <c r="A750" s="25" t="n">
        <f aca="false">IF(G750="REJECT",COUNTIF($G$2:$G$2277,"&lt;&gt;REJECT")+1+COUNTIFS($G$2:$G$2277,"REJECT",$B$2:$B$2277,"&gt;"&amp;B750),1+COUNTIFS($G$2:$G$2277,"&lt;&gt;REJECT",$B$2:$B$2277,"&gt;"&amp;B750))</f>
        <v>749</v>
      </c>
      <c r="B750" s="26" t="n">
        <f aca="false">ROUND(($U$2*MAX(0,MIN(1,($W$2-I750)/($W$2-$V$2)))+$U$3*MAX(0,MIN(1,($W$3-J750)/($W$3-$V$3)))+$U$4*MAX(0,MIN(1,($W$4-K750)/($W$4-$V$4)))+$U$5*MAX(0,MIN(1,($W$5-L750)/($W$5-$V$5)))+$U$6*MAX(0,MIN(1,($W$6-M750)/($W$6-$V$6)))+$U$7*MAX(0,MIN(1,($W$7-N750)/($W$7-$V$7)))+$U$8*IF(AND(O750&gt;=$V$8,O750&lt;=$W$8),1,0))/$U$9*100,2)</f>
        <v>82.35</v>
      </c>
      <c r="C750" s="27" t="s">
        <v>1314</v>
      </c>
      <c r="D750" s="25" t="s">
        <v>3459</v>
      </c>
      <c r="E750" s="25" t="s">
        <v>3447</v>
      </c>
      <c r="F750" s="25" t="s">
        <v>3457</v>
      </c>
      <c r="G750" s="38" t="s">
        <v>30</v>
      </c>
      <c r="H750" s="28" t="s">
        <v>25</v>
      </c>
      <c r="I750" s="25" t="n">
        <v>2</v>
      </c>
      <c r="J750" s="25" t="n">
        <v>0</v>
      </c>
      <c r="K750" s="25" t="n">
        <v>2</v>
      </c>
      <c r="L750" s="29" t="n">
        <v>0.77</v>
      </c>
      <c r="M750" s="30" t="n">
        <v>11.28</v>
      </c>
      <c r="N750" s="29" t="n">
        <v>0.88</v>
      </c>
      <c r="O750" s="25" t="n">
        <v>186</v>
      </c>
      <c r="P750" s="30" t="n">
        <v>-1.23</v>
      </c>
      <c r="Q750" s="27" t="s">
        <v>3524</v>
      </c>
      <c r="R750" s="27" t="s">
        <v>2610</v>
      </c>
    </row>
    <row r="751" customFormat="false" ht="15" hidden="false" customHeight="false" outlineLevel="0" collapsed="false">
      <c r="A751" s="25" t="n">
        <f aca="false">IF(G751="REJECT",COUNTIF($G$2:$G$2277,"&lt;&gt;REJECT")+1+COUNTIFS($G$2:$G$2277,"REJECT",$B$2:$B$2277,"&gt;"&amp;B751),1+COUNTIFS($G$2:$G$2277,"&lt;&gt;REJECT",$B$2:$B$2277,"&gt;"&amp;B751))</f>
        <v>750</v>
      </c>
      <c r="B751" s="26" t="n">
        <f aca="false">ROUND(($U$2*MAX(0,MIN(1,($W$2-I751)/($W$2-$V$2)))+$U$3*MAX(0,MIN(1,($W$3-J751)/($W$3-$V$3)))+$U$4*MAX(0,MIN(1,($W$4-K751)/($W$4-$V$4)))+$U$5*MAX(0,MIN(1,($W$5-L751)/($W$5-$V$5)))+$U$6*MAX(0,MIN(1,($W$6-M751)/($W$6-$V$6)))+$U$7*MAX(0,MIN(1,($W$7-N751)/($W$7-$V$7)))+$U$8*IF(AND(O751&gt;=$V$8,O751&lt;=$W$8),1,0))/$U$9*100,2)</f>
        <v>82.32</v>
      </c>
      <c r="C751" s="27" t="s">
        <v>3406</v>
      </c>
      <c r="D751" s="25" t="s">
        <v>134</v>
      </c>
      <c r="E751" s="25" t="s">
        <v>3450</v>
      </c>
      <c r="F751" s="25" t="s">
        <v>3448</v>
      </c>
      <c r="G751" s="38" t="s">
        <v>30</v>
      </c>
      <c r="H751" s="28" t="s">
        <v>25</v>
      </c>
      <c r="I751" s="25" t="n">
        <v>1</v>
      </c>
      <c r="J751" s="25" t="n">
        <v>1</v>
      </c>
      <c r="K751" s="25" t="n">
        <v>1</v>
      </c>
      <c r="L751" s="29" t="n">
        <v>0.78</v>
      </c>
      <c r="M751" s="30" t="n">
        <v>1.4</v>
      </c>
      <c r="N751" s="29" t="n">
        <v>0</v>
      </c>
      <c r="O751" s="25" t="n">
        <v>182</v>
      </c>
      <c r="P751" s="30" t="n">
        <v>12.56</v>
      </c>
      <c r="Q751" s="27" t="s">
        <v>69</v>
      </c>
      <c r="R751" s="27" t="s">
        <v>283</v>
      </c>
    </row>
    <row r="752" customFormat="false" ht="15" hidden="false" customHeight="false" outlineLevel="0" collapsed="false">
      <c r="A752" s="25" t="n">
        <f aca="false">IF(G752="REJECT",COUNTIF($G$2:$G$2277,"&lt;&gt;REJECT")+1+COUNTIFS($G$2:$G$2277,"REJECT",$B$2:$B$2277,"&gt;"&amp;B752),1+COUNTIFS($G$2:$G$2277,"&lt;&gt;REJECT",$B$2:$B$2277,"&gt;"&amp;B752))</f>
        <v>751</v>
      </c>
      <c r="B752" s="26" t="n">
        <f aca="false">ROUND(($U$2*MAX(0,MIN(1,($W$2-I752)/($W$2-$V$2)))+$U$3*MAX(0,MIN(1,($W$3-J752)/($W$3-$V$3)))+$U$4*MAX(0,MIN(1,($W$4-K752)/($W$4-$V$4)))+$U$5*MAX(0,MIN(1,($W$5-L752)/($W$5-$V$5)))+$U$6*MAX(0,MIN(1,($W$6-M752)/($W$6-$V$6)))+$U$7*MAX(0,MIN(1,($W$7-N752)/($W$7-$V$7)))+$U$8*IF(AND(O752&gt;=$V$8,O752&lt;=$W$8),1,0))/$U$9*100,2)</f>
        <v>82.29</v>
      </c>
      <c r="C752" s="27" t="s">
        <v>732</v>
      </c>
      <c r="D752" s="25" t="s">
        <v>134</v>
      </c>
      <c r="E752" s="25" t="s">
        <v>3447</v>
      </c>
      <c r="F752" s="25" t="s">
        <v>3457</v>
      </c>
      <c r="G752" s="38" t="s">
        <v>30</v>
      </c>
      <c r="H752" s="28" t="s">
        <v>25</v>
      </c>
      <c r="I752" s="25" t="n">
        <v>2</v>
      </c>
      <c r="J752" s="25" t="n">
        <v>0</v>
      </c>
      <c r="K752" s="25" t="n">
        <v>2</v>
      </c>
      <c r="L752" s="29" t="n">
        <v>0.88</v>
      </c>
      <c r="M752" s="30" t="n">
        <v>24.48</v>
      </c>
      <c r="N752" s="29" t="n">
        <v>0.68</v>
      </c>
      <c r="O752" s="25" t="n">
        <v>185</v>
      </c>
      <c r="P752" s="30" t="n">
        <v>2.41</v>
      </c>
      <c r="Q752" s="27" t="s">
        <v>3526</v>
      </c>
      <c r="R752" s="27" t="s">
        <v>144</v>
      </c>
    </row>
    <row r="753" customFormat="false" ht="15" hidden="false" customHeight="false" outlineLevel="0" collapsed="false">
      <c r="A753" s="25" t="n">
        <f aca="false">IF(G753="REJECT",COUNTIF($G$2:$G$2277,"&lt;&gt;REJECT")+1+COUNTIFS($G$2:$G$2277,"REJECT",$B$2:$B$2277,"&gt;"&amp;B753),1+COUNTIFS($G$2:$G$2277,"&lt;&gt;REJECT",$B$2:$B$2277,"&gt;"&amp;B753))</f>
        <v>752</v>
      </c>
      <c r="B753" s="26" t="n">
        <f aca="false">ROUND(($U$2*MAX(0,MIN(1,($W$2-I753)/($W$2-$V$2)))+$U$3*MAX(0,MIN(1,($W$3-J753)/($W$3-$V$3)))+$U$4*MAX(0,MIN(1,($W$4-K753)/($W$4-$V$4)))+$U$5*MAX(0,MIN(1,($W$5-L753)/($W$5-$V$5)))+$U$6*MAX(0,MIN(1,($W$6-M753)/($W$6-$V$6)))+$U$7*MAX(0,MIN(1,($W$7-N753)/($W$7-$V$7)))+$U$8*IF(AND(O753&gt;=$V$8,O753&lt;=$W$8),1,0))/$U$9*100,2)</f>
        <v>82.25</v>
      </c>
      <c r="C753" s="27" t="s">
        <v>615</v>
      </c>
      <c r="D753" s="25" t="s">
        <v>134</v>
      </c>
      <c r="E753" s="25" t="s">
        <v>3447</v>
      </c>
      <c r="F753" s="25" t="s">
        <v>3448</v>
      </c>
      <c r="G753" s="38" t="s">
        <v>30</v>
      </c>
      <c r="H753" s="28" t="s">
        <v>25</v>
      </c>
      <c r="I753" s="25" t="n">
        <v>2</v>
      </c>
      <c r="J753" s="25" t="n">
        <v>0</v>
      </c>
      <c r="K753" s="25" t="n">
        <v>2</v>
      </c>
      <c r="L753" s="29" t="n">
        <v>0.83</v>
      </c>
      <c r="M753" s="30" t="n">
        <v>22.28</v>
      </c>
      <c r="N753" s="29" t="n">
        <v>0.92</v>
      </c>
      <c r="O753" s="25" t="n">
        <v>185</v>
      </c>
      <c r="P753" s="30" t="n">
        <v>7.16</v>
      </c>
      <c r="Q753" s="27" t="s">
        <v>3527</v>
      </c>
      <c r="R753" s="27" t="s">
        <v>992</v>
      </c>
    </row>
    <row r="754" customFormat="false" ht="15" hidden="false" customHeight="false" outlineLevel="0" collapsed="false">
      <c r="A754" s="25" t="n">
        <f aca="false">IF(G754="REJECT",COUNTIF($G$2:$G$2277,"&lt;&gt;REJECT")+1+COUNTIFS($G$2:$G$2277,"REJECT",$B$2:$B$2277,"&gt;"&amp;B754),1+COUNTIFS($G$2:$G$2277,"&lt;&gt;REJECT",$B$2:$B$2277,"&gt;"&amp;B754))</f>
        <v>753</v>
      </c>
      <c r="B754" s="26" t="n">
        <f aca="false">ROUND(($U$2*MAX(0,MIN(1,($W$2-I754)/($W$2-$V$2)))+$U$3*MAX(0,MIN(1,($W$3-J754)/($W$3-$V$3)))+$U$4*MAX(0,MIN(1,($W$4-K754)/($W$4-$V$4)))+$U$5*MAX(0,MIN(1,($W$5-L754)/($W$5-$V$5)))+$U$6*MAX(0,MIN(1,($W$6-M754)/($W$6-$V$6)))+$U$7*MAX(0,MIN(1,($W$7-N754)/($W$7-$V$7)))+$U$8*IF(AND(O754&gt;=$V$8,O754&lt;=$W$8),1,0))/$U$9*100,2)</f>
        <v>82.24</v>
      </c>
      <c r="C754" s="27" t="s">
        <v>2509</v>
      </c>
      <c r="D754" s="25" t="s">
        <v>134</v>
      </c>
      <c r="E754" s="25" t="s">
        <v>3447</v>
      </c>
      <c r="F754" s="25" t="s">
        <v>3448</v>
      </c>
      <c r="G754" s="38" t="s">
        <v>30</v>
      </c>
      <c r="H754" s="28" t="s">
        <v>25</v>
      </c>
      <c r="I754" s="25" t="n">
        <v>2</v>
      </c>
      <c r="J754" s="25" t="n">
        <v>0</v>
      </c>
      <c r="K754" s="25" t="n">
        <v>2</v>
      </c>
      <c r="L754" s="29" t="n">
        <v>0.77</v>
      </c>
      <c r="M754" s="30" t="n">
        <v>20.76</v>
      </c>
      <c r="N754" s="29" t="n">
        <v>0</v>
      </c>
      <c r="O754" s="25" t="n">
        <v>182</v>
      </c>
      <c r="P754" s="30" t="n">
        <v>8.53</v>
      </c>
      <c r="Q754" s="27" t="s">
        <v>3528</v>
      </c>
      <c r="R754" s="27" t="s">
        <v>144</v>
      </c>
    </row>
    <row r="755" customFormat="false" ht="15" hidden="false" customHeight="false" outlineLevel="0" collapsed="false">
      <c r="A755" s="25" t="n">
        <f aca="false">IF(G755="REJECT",COUNTIF($G$2:$G$2277,"&lt;&gt;REJECT")+1+COUNTIFS($G$2:$G$2277,"REJECT",$B$2:$B$2277,"&gt;"&amp;B755),1+COUNTIFS($G$2:$G$2277,"&lt;&gt;REJECT",$B$2:$B$2277,"&gt;"&amp;B755))</f>
        <v>754</v>
      </c>
      <c r="B755" s="26" t="n">
        <f aca="false">ROUND(($U$2*MAX(0,MIN(1,($W$2-I755)/($W$2-$V$2)))+$U$3*MAX(0,MIN(1,($W$3-J755)/($W$3-$V$3)))+$U$4*MAX(0,MIN(1,($W$4-K755)/($W$4-$V$4)))+$U$5*MAX(0,MIN(1,($W$5-L755)/($W$5-$V$5)))+$U$6*MAX(0,MIN(1,($W$6-M755)/($W$6-$V$6)))+$U$7*MAX(0,MIN(1,($W$7-N755)/($W$7-$V$7)))+$U$8*IF(AND(O755&gt;=$V$8,O755&lt;=$W$8),1,0))/$U$9*100,2)</f>
        <v>82.23</v>
      </c>
      <c r="C755" s="27" t="s">
        <v>1968</v>
      </c>
      <c r="D755" s="25" t="s">
        <v>3459</v>
      </c>
      <c r="E755" s="25" t="s">
        <v>3450</v>
      </c>
      <c r="F755" s="25" t="s">
        <v>3457</v>
      </c>
      <c r="G755" s="38" t="s">
        <v>30</v>
      </c>
      <c r="H755" s="28" t="s">
        <v>25</v>
      </c>
      <c r="I755" s="25" t="n">
        <v>1</v>
      </c>
      <c r="J755" s="25" t="n">
        <v>0</v>
      </c>
      <c r="K755" s="25" t="n">
        <v>1</v>
      </c>
      <c r="L755" s="29" t="n">
        <v>0.68</v>
      </c>
      <c r="M755" s="30" t="n">
        <v>25.92</v>
      </c>
      <c r="N755" s="29" t="n">
        <v>0</v>
      </c>
      <c r="O755" s="25" t="n">
        <v>181</v>
      </c>
      <c r="P755" s="30" t="n">
        <v>9.73</v>
      </c>
      <c r="Q755" s="27" t="s">
        <v>3476</v>
      </c>
      <c r="R755" s="27" t="s">
        <v>3487</v>
      </c>
    </row>
    <row r="756" customFormat="false" ht="15" hidden="false" customHeight="false" outlineLevel="0" collapsed="false">
      <c r="A756" s="25" t="n">
        <f aca="false">IF(G756="REJECT",COUNTIF($G$2:$G$2277,"&lt;&gt;REJECT")+1+COUNTIFS($G$2:$G$2277,"REJECT",$B$2:$B$2277,"&gt;"&amp;B756),1+COUNTIFS($G$2:$G$2277,"&lt;&gt;REJECT",$B$2:$B$2277,"&gt;"&amp;B756))</f>
        <v>755</v>
      </c>
      <c r="B756" s="26" t="n">
        <f aca="false">ROUND(($U$2*MAX(0,MIN(1,($W$2-I756)/($W$2-$V$2)))+$U$3*MAX(0,MIN(1,($W$3-J756)/($W$3-$V$3)))+$U$4*MAX(0,MIN(1,($W$4-K756)/($W$4-$V$4)))+$U$5*MAX(0,MIN(1,($W$5-L756)/($W$5-$V$5)))+$U$6*MAX(0,MIN(1,($W$6-M756)/($W$6-$V$6)))+$U$7*MAX(0,MIN(1,($W$7-N756)/($W$7-$V$7)))+$U$8*IF(AND(O756&gt;=$V$8,O756&lt;=$W$8),1,0))/$U$9*100,2)</f>
        <v>82.06</v>
      </c>
      <c r="C756" s="27" t="s">
        <v>676</v>
      </c>
      <c r="D756" s="25" t="s">
        <v>3459</v>
      </c>
      <c r="E756" s="25" t="s">
        <v>3447</v>
      </c>
      <c r="F756" s="25" t="s">
        <v>3448</v>
      </c>
      <c r="G756" s="38" t="s">
        <v>30</v>
      </c>
      <c r="H756" s="28" t="s">
        <v>25</v>
      </c>
      <c r="I756" s="25" t="n">
        <v>2</v>
      </c>
      <c r="J756" s="25" t="n">
        <v>0</v>
      </c>
      <c r="K756" s="25" t="n">
        <v>2</v>
      </c>
      <c r="L756" s="29" t="n">
        <v>0.77</v>
      </c>
      <c r="M756" s="30" t="n">
        <v>13.02</v>
      </c>
      <c r="N756" s="29" t="n">
        <v>0.88</v>
      </c>
      <c r="O756" s="25" t="n">
        <v>184</v>
      </c>
      <c r="P756" s="30" t="n">
        <v>-0.59</v>
      </c>
      <c r="Q756" s="27" t="s">
        <v>3523</v>
      </c>
      <c r="R756" s="27" t="s">
        <v>2610</v>
      </c>
    </row>
    <row r="757" customFormat="false" ht="15" hidden="false" customHeight="false" outlineLevel="0" collapsed="false">
      <c r="A757" s="25" t="n">
        <f aca="false">IF(G757="REJECT",COUNTIF($G$2:$G$2277,"&lt;&gt;REJECT")+1+COUNTIFS($G$2:$G$2277,"REJECT",$B$2:$B$2277,"&gt;"&amp;B757),1+COUNTIFS($G$2:$G$2277,"&lt;&gt;REJECT",$B$2:$B$2277,"&gt;"&amp;B757))</f>
        <v>756</v>
      </c>
      <c r="B757" s="26" t="n">
        <f aca="false">ROUND(($U$2*MAX(0,MIN(1,($W$2-I757)/($W$2-$V$2)))+$U$3*MAX(0,MIN(1,($W$3-J757)/($W$3-$V$3)))+$U$4*MAX(0,MIN(1,($W$4-K757)/($W$4-$V$4)))+$U$5*MAX(0,MIN(1,($W$5-L757)/($W$5-$V$5)))+$U$6*MAX(0,MIN(1,($W$6-M757)/($W$6-$V$6)))+$U$7*MAX(0,MIN(1,($W$7-N757)/($W$7-$V$7)))+$U$8*IF(AND(O757&gt;=$V$8,O757&lt;=$W$8),1,0))/$U$9*100,2)</f>
        <v>81.96</v>
      </c>
      <c r="C757" s="27" t="s">
        <v>2660</v>
      </c>
      <c r="D757" s="25" t="s">
        <v>134</v>
      </c>
      <c r="E757" s="25" t="s">
        <v>3447</v>
      </c>
      <c r="F757" s="25" t="s">
        <v>3448</v>
      </c>
      <c r="G757" s="38" t="s">
        <v>30</v>
      </c>
      <c r="H757" s="28" t="s">
        <v>25</v>
      </c>
      <c r="I757" s="25" t="n">
        <v>1</v>
      </c>
      <c r="J757" s="25" t="n">
        <v>1</v>
      </c>
      <c r="K757" s="25" t="n">
        <v>1</v>
      </c>
      <c r="L757" s="29" t="n">
        <v>0.84</v>
      </c>
      <c r="M757" s="30" t="n">
        <v>4.37</v>
      </c>
      <c r="N757" s="29" t="n">
        <v>0.64</v>
      </c>
      <c r="O757" s="25" t="n">
        <v>192</v>
      </c>
      <c r="P757" s="30" t="n">
        <v>-1.08</v>
      </c>
      <c r="Q757" s="27" t="s">
        <v>69</v>
      </c>
      <c r="R757" s="27" t="s">
        <v>1152</v>
      </c>
    </row>
    <row r="758" customFormat="false" ht="15" hidden="false" customHeight="false" outlineLevel="0" collapsed="false">
      <c r="A758" s="25" t="n">
        <f aca="false">IF(G758="REJECT",COUNTIF($G$2:$G$2277,"&lt;&gt;REJECT")+1+COUNTIFS($G$2:$G$2277,"REJECT",$B$2:$B$2277,"&gt;"&amp;B758),1+COUNTIFS($G$2:$G$2277,"&lt;&gt;REJECT",$B$2:$B$2277,"&gt;"&amp;B758))</f>
        <v>757</v>
      </c>
      <c r="B758" s="26" t="n">
        <f aca="false">ROUND(($U$2*MAX(0,MIN(1,($W$2-I758)/($W$2-$V$2)))+$U$3*MAX(0,MIN(1,($W$3-J758)/($W$3-$V$3)))+$U$4*MAX(0,MIN(1,($W$4-K758)/($W$4-$V$4)))+$U$5*MAX(0,MIN(1,($W$5-L758)/($W$5-$V$5)))+$U$6*MAX(0,MIN(1,($W$6-M758)/($W$6-$V$6)))+$U$7*MAX(0,MIN(1,($W$7-N758)/($W$7-$V$7)))+$U$8*IF(AND(O758&gt;=$V$8,O758&lt;=$W$8),1,0))/$U$9*100,2)</f>
        <v>81.9</v>
      </c>
      <c r="C758" s="27" t="s">
        <v>923</v>
      </c>
      <c r="D758" s="25" t="s">
        <v>134</v>
      </c>
      <c r="E758" s="25" t="s">
        <v>3450</v>
      </c>
      <c r="F758" s="25" t="s">
        <v>3457</v>
      </c>
      <c r="G758" s="38" t="s">
        <v>30</v>
      </c>
      <c r="H758" s="28" t="s">
        <v>25</v>
      </c>
      <c r="I758" s="25" t="n">
        <v>1</v>
      </c>
      <c r="J758" s="25" t="n">
        <v>1</v>
      </c>
      <c r="K758" s="25" t="n">
        <v>1</v>
      </c>
      <c r="L758" s="29" t="n">
        <v>0.83</v>
      </c>
      <c r="M758" s="30" t="n">
        <v>5.11</v>
      </c>
      <c r="N758" s="29" t="n">
        <v>0.6</v>
      </c>
      <c r="O758" s="25" t="n">
        <v>194</v>
      </c>
      <c r="P758" s="30" t="n">
        <v>14.01</v>
      </c>
      <c r="Q758" s="27" t="s">
        <v>69</v>
      </c>
      <c r="R758" s="27" t="s">
        <v>283</v>
      </c>
    </row>
    <row r="759" customFormat="false" ht="15" hidden="false" customHeight="false" outlineLevel="0" collapsed="false">
      <c r="A759" s="25" t="n">
        <f aca="false">IF(G759="REJECT",COUNTIF($G$2:$G$2277,"&lt;&gt;REJECT")+1+COUNTIFS($G$2:$G$2277,"REJECT",$B$2:$B$2277,"&gt;"&amp;B759),1+COUNTIFS($G$2:$G$2277,"&lt;&gt;REJECT",$B$2:$B$2277,"&gt;"&amp;B759))</f>
        <v>758</v>
      </c>
      <c r="B759" s="26" t="n">
        <f aca="false">ROUND(($U$2*MAX(0,MIN(1,($W$2-I759)/($W$2-$V$2)))+$U$3*MAX(0,MIN(1,($W$3-J759)/($W$3-$V$3)))+$U$4*MAX(0,MIN(1,($W$4-K759)/($W$4-$V$4)))+$U$5*MAX(0,MIN(1,($W$5-L759)/($W$5-$V$5)))+$U$6*MAX(0,MIN(1,($W$6-M759)/($W$6-$V$6)))+$U$7*MAX(0,MIN(1,($W$7-N759)/($W$7-$V$7)))+$U$8*IF(AND(O759&gt;=$V$8,O759&lt;=$W$8),1,0))/$U$9*100,2)</f>
        <v>81.83</v>
      </c>
      <c r="C759" s="27" t="s">
        <v>1028</v>
      </c>
      <c r="D759" s="25" t="s">
        <v>134</v>
      </c>
      <c r="E759" s="25" t="s">
        <v>3447</v>
      </c>
      <c r="F759" s="25" t="s">
        <v>3457</v>
      </c>
      <c r="G759" s="38" t="s">
        <v>30</v>
      </c>
      <c r="H759" s="33" t="s">
        <v>24</v>
      </c>
      <c r="I759" s="25" t="n">
        <v>2</v>
      </c>
      <c r="J759" s="25" t="n">
        <v>0</v>
      </c>
      <c r="K759" s="25" t="n">
        <v>2</v>
      </c>
      <c r="L759" s="29" t="n">
        <v>0.76</v>
      </c>
      <c r="M759" s="30" t="n">
        <v>17.61</v>
      </c>
      <c r="N759" s="29" t="n">
        <v>0.2</v>
      </c>
      <c r="O759" s="25" t="n">
        <v>187</v>
      </c>
      <c r="P759" s="30" t="n">
        <v>-0.5</v>
      </c>
      <c r="Q759" s="27" t="s">
        <v>3525</v>
      </c>
      <c r="R759" s="27" t="s">
        <v>30</v>
      </c>
    </row>
    <row r="760" customFormat="false" ht="15" hidden="false" customHeight="false" outlineLevel="0" collapsed="false">
      <c r="A760" s="25" t="n">
        <f aca="false">IF(G760="REJECT",COUNTIF($G$2:$G$2277,"&lt;&gt;REJECT")+1+COUNTIFS($G$2:$G$2277,"REJECT",$B$2:$B$2277,"&gt;"&amp;B760),1+COUNTIFS($G$2:$G$2277,"&lt;&gt;REJECT",$B$2:$B$2277,"&gt;"&amp;B760))</f>
        <v>759</v>
      </c>
      <c r="B760" s="26" t="n">
        <f aca="false">ROUND(($U$2*MAX(0,MIN(1,($W$2-I760)/($W$2-$V$2)))+$U$3*MAX(0,MIN(1,($W$3-J760)/($W$3-$V$3)))+$U$4*MAX(0,MIN(1,($W$4-K760)/($W$4-$V$4)))+$U$5*MAX(0,MIN(1,($W$5-L760)/($W$5-$V$5)))+$U$6*MAX(0,MIN(1,($W$6-M760)/($W$6-$V$6)))+$U$7*MAX(0,MIN(1,($W$7-N760)/($W$7-$V$7)))+$U$8*IF(AND(O760&gt;=$V$8,O760&lt;=$W$8),1,0))/$U$9*100,2)</f>
        <v>81.82</v>
      </c>
      <c r="C760" s="27" t="s">
        <v>1320</v>
      </c>
      <c r="D760" s="25" t="s">
        <v>134</v>
      </c>
      <c r="E760" s="25" t="s">
        <v>3450</v>
      </c>
      <c r="F760" s="25" t="s">
        <v>3448</v>
      </c>
      <c r="G760" s="33" t="s">
        <v>28</v>
      </c>
      <c r="H760" s="33" t="s">
        <v>24</v>
      </c>
      <c r="I760" s="25" t="n">
        <v>0</v>
      </c>
      <c r="J760" s="25" t="n">
        <v>0</v>
      </c>
      <c r="K760" s="25" t="n">
        <v>0</v>
      </c>
      <c r="L760" s="29" t="n">
        <v>0.55</v>
      </c>
      <c r="M760" s="30" t="n">
        <v>17.48</v>
      </c>
      <c r="N760" s="29" t="n">
        <v>0.16</v>
      </c>
      <c r="O760" s="25" t="n">
        <v>182</v>
      </c>
      <c r="P760" s="30" t="n">
        <v>8.67</v>
      </c>
      <c r="Q760" s="27"/>
      <c r="R760" s="27"/>
    </row>
    <row r="761" customFormat="false" ht="15" hidden="false" customHeight="false" outlineLevel="0" collapsed="false">
      <c r="A761" s="25" t="n">
        <f aca="false">IF(G761="REJECT",COUNTIF($G$2:$G$2277,"&lt;&gt;REJECT")+1+COUNTIFS($G$2:$G$2277,"REJECT",$B$2:$B$2277,"&gt;"&amp;B761),1+COUNTIFS($G$2:$G$2277,"&lt;&gt;REJECT",$B$2:$B$2277,"&gt;"&amp;B761))</f>
        <v>760</v>
      </c>
      <c r="B761" s="26" t="n">
        <f aca="false">ROUND(($U$2*MAX(0,MIN(1,($W$2-I761)/($W$2-$V$2)))+$U$3*MAX(0,MIN(1,($W$3-J761)/($W$3-$V$3)))+$U$4*MAX(0,MIN(1,($W$4-K761)/($W$4-$V$4)))+$U$5*MAX(0,MIN(1,($W$5-L761)/($W$5-$V$5)))+$U$6*MAX(0,MIN(1,($W$6-M761)/($W$6-$V$6)))+$U$7*MAX(0,MIN(1,($W$7-N761)/($W$7-$V$7)))+$U$8*IF(AND(O761&gt;=$V$8,O761&lt;=$W$8),1,0))/$U$9*100,2)</f>
        <v>81.78</v>
      </c>
      <c r="C761" s="27" t="s">
        <v>221</v>
      </c>
      <c r="D761" s="25" t="s">
        <v>134</v>
      </c>
      <c r="E761" s="25" t="s">
        <v>3447</v>
      </c>
      <c r="F761" s="25" t="s">
        <v>3457</v>
      </c>
      <c r="G761" s="38" t="s">
        <v>30</v>
      </c>
      <c r="H761" s="28" t="s">
        <v>25</v>
      </c>
      <c r="I761" s="25" t="n">
        <v>2</v>
      </c>
      <c r="J761" s="25" t="n">
        <v>0</v>
      </c>
      <c r="K761" s="25" t="n">
        <v>2</v>
      </c>
      <c r="L761" s="29" t="n">
        <v>0.82</v>
      </c>
      <c r="M761" s="30" t="n">
        <v>28.7</v>
      </c>
      <c r="N761" s="29" t="n">
        <v>0.56</v>
      </c>
      <c r="O761" s="25" t="n">
        <v>183</v>
      </c>
      <c r="P761" s="30" t="n">
        <v>2.09</v>
      </c>
      <c r="Q761" s="27" t="s">
        <v>3499</v>
      </c>
      <c r="R761" s="27" t="s">
        <v>992</v>
      </c>
    </row>
    <row r="762" customFormat="false" ht="15" hidden="false" customHeight="false" outlineLevel="0" collapsed="false">
      <c r="A762" s="25" t="n">
        <f aca="false">IF(G762="REJECT",COUNTIF($G$2:$G$2277,"&lt;&gt;REJECT")+1+COUNTIFS($G$2:$G$2277,"REJECT",$B$2:$B$2277,"&gt;"&amp;B762),1+COUNTIFS($G$2:$G$2277,"&lt;&gt;REJECT",$B$2:$B$2277,"&gt;"&amp;B762))</f>
        <v>761</v>
      </c>
      <c r="B762" s="26" t="n">
        <f aca="false">ROUND(($U$2*MAX(0,MIN(1,($W$2-I762)/($W$2-$V$2)))+$U$3*MAX(0,MIN(1,($W$3-J762)/($W$3-$V$3)))+$U$4*MAX(0,MIN(1,($W$4-K762)/($W$4-$V$4)))+$U$5*MAX(0,MIN(1,($W$5-L762)/($W$5-$V$5)))+$U$6*MAX(0,MIN(1,($W$6-M762)/($W$6-$V$6)))+$U$7*MAX(0,MIN(1,($W$7-N762)/($W$7-$V$7)))+$U$8*IF(AND(O762&gt;=$V$8,O762&lt;=$W$8),1,0))/$U$9*100,2)</f>
        <v>81.73</v>
      </c>
      <c r="C762" s="27" t="s">
        <v>1458</v>
      </c>
      <c r="D762" s="25" t="s">
        <v>134</v>
      </c>
      <c r="E762" s="25" t="s">
        <v>3447</v>
      </c>
      <c r="F762" s="25" t="s">
        <v>3457</v>
      </c>
      <c r="G762" s="38" t="s">
        <v>30</v>
      </c>
      <c r="H762" s="28" t="s">
        <v>25</v>
      </c>
      <c r="I762" s="25" t="n">
        <v>1</v>
      </c>
      <c r="J762" s="25" t="n">
        <v>1</v>
      </c>
      <c r="K762" s="25" t="n">
        <v>1</v>
      </c>
      <c r="L762" s="29" t="n">
        <v>0.8</v>
      </c>
      <c r="M762" s="30" t="n">
        <v>5.3</v>
      </c>
      <c r="N762" s="29" t="n">
        <v>0.68</v>
      </c>
      <c r="O762" s="25" t="n">
        <v>184</v>
      </c>
      <c r="P762" s="30" t="n">
        <v>-1.19</v>
      </c>
      <c r="Q762" s="27" t="s">
        <v>70</v>
      </c>
      <c r="R762" s="27" t="s">
        <v>1152</v>
      </c>
    </row>
    <row r="763" customFormat="false" ht="15" hidden="false" customHeight="false" outlineLevel="0" collapsed="false">
      <c r="A763" s="25" t="n">
        <f aca="false">IF(G763="REJECT",COUNTIF($G$2:$G$2277,"&lt;&gt;REJECT")+1+COUNTIFS($G$2:$G$2277,"REJECT",$B$2:$B$2277,"&gt;"&amp;B763),1+COUNTIFS($G$2:$G$2277,"&lt;&gt;REJECT",$B$2:$B$2277,"&gt;"&amp;B763))</f>
        <v>762</v>
      </c>
      <c r="B763" s="26" t="n">
        <f aca="false">ROUND(($U$2*MAX(0,MIN(1,($W$2-I763)/($W$2-$V$2)))+$U$3*MAX(0,MIN(1,($W$3-J763)/($W$3-$V$3)))+$U$4*MAX(0,MIN(1,($W$4-K763)/($W$4-$V$4)))+$U$5*MAX(0,MIN(1,($W$5-L763)/($W$5-$V$5)))+$U$6*MAX(0,MIN(1,($W$6-M763)/($W$6-$V$6)))+$U$7*MAX(0,MIN(1,($W$7-N763)/($W$7-$V$7)))+$U$8*IF(AND(O763&gt;=$V$8,O763&lt;=$W$8),1,0))/$U$9*100,2)</f>
        <v>81.68</v>
      </c>
      <c r="C763" s="27" t="s">
        <v>3285</v>
      </c>
      <c r="D763" s="25" t="s">
        <v>134</v>
      </c>
      <c r="E763" s="25" t="s">
        <v>3447</v>
      </c>
      <c r="F763" s="25" t="s">
        <v>3448</v>
      </c>
      <c r="G763" s="38" t="s">
        <v>30</v>
      </c>
      <c r="H763" s="33" t="s">
        <v>24</v>
      </c>
      <c r="I763" s="25" t="n">
        <v>2</v>
      </c>
      <c r="J763" s="25" t="n">
        <v>0</v>
      </c>
      <c r="K763" s="25" t="n">
        <v>2</v>
      </c>
      <c r="L763" s="29" t="n">
        <v>0.75</v>
      </c>
      <c r="M763" s="30" t="n">
        <v>9.75</v>
      </c>
      <c r="N763" s="29" t="n">
        <v>0.72</v>
      </c>
      <c r="O763" s="25" t="n">
        <v>183</v>
      </c>
      <c r="P763" s="30" t="n">
        <v>3.99</v>
      </c>
      <c r="Q763" s="27" t="s">
        <v>3529</v>
      </c>
      <c r="R763" s="27" t="s">
        <v>30</v>
      </c>
    </row>
    <row r="764" customFormat="false" ht="15" hidden="false" customHeight="false" outlineLevel="0" collapsed="false">
      <c r="A764" s="25" t="n">
        <f aca="false">IF(G764="REJECT",COUNTIF($G$2:$G$2277,"&lt;&gt;REJECT")+1+COUNTIFS($G$2:$G$2277,"REJECT",$B$2:$B$2277,"&gt;"&amp;B764),1+COUNTIFS($G$2:$G$2277,"&lt;&gt;REJECT",$B$2:$B$2277,"&gt;"&amp;B764))</f>
        <v>763</v>
      </c>
      <c r="B764" s="26" t="n">
        <f aca="false">ROUND(($U$2*MAX(0,MIN(1,($W$2-I764)/($W$2-$V$2)))+$U$3*MAX(0,MIN(1,($W$3-J764)/($W$3-$V$3)))+$U$4*MAX(0,MIN(1,($W$4-K764)/($W$4-$V$4)))+$U$5*MAX(0,MIN(1,($W$5-L764)/($W$5-$V$5)))+$U$6*MAX(0,MIN(1,($W$6-M764)/($W$6-$V$6)))+$U$7*MAX(0,MIN(1,($W$7-N764)/($W$7-$V$7)))+$U$8*IF(AND(O764&gt;=$V$8,O764&lt;=$W$8),1,0))/$U$9*100,2)</f>
        <v>81.54</v>
      </c>
      <c r="C764" s="27" t="s">
        <v>455</v>
      </c>
      <c r="D764" s="25" t="s">
        <v>134</v>
      </c>
      <c r="E764" s="25" t="s">
        <v>3447</v>
      </c>
      <c r="F764" s="25" t="s">
        <v>3448</v>
      </c>
      <c r="G764" s="38" t="s">
        <v>30</v>
      </c>
      <c r="H764" s="28" t="s">
        <v>25</v>
      </c>
      <c r="I764" s="25" t="n">
        <v>1</v>
      </c>
      <c r="J764" s="25" t="n">
        <v>1</v>
      </c>
      <c r="K764" s="25" t="n">
        <v>1</v>
      </c>
      <c r="L764" s="29" t="n">
        <v>0.81</v>
      </c>
      <c r="M764" s="30" t="n">
        <v>5.68</v>
      </c>
      <c r="N764" s="29" t="n">
        <v>0.76</v>
      </c>
      <c r="O764" s="25" t="n">
        <v>184</v>
      </c>
      <c r="P764" s="30" t="n">
        <v>-1.15</v>
      </c>
      <c r="Q764" s="27" t="s">
        <v>69</v>
      </c>
      <c r="R764" s="27" t="s">
        <v>1152</v>
      </c>
    </row>
    <row r="765" customFormat="false" ht="15" hidden="false" customHeight="false" outlineLevel="0" collapsed="false">
      <c r="A765" s="25" t="n">
        <f aca="false">IF(G765="REJECT",COUNTIF($G$2:$G$2277,"&lt;&gt;REJECT")+1+COUNTIFS($G$2:$G$2277,"REJECT",$B$2:$B$2277,"&gt;"&amp;B765),1+COUNTIFS($G$2:$G$2277,"&lt;&gt;REJECT",$B$2:$B$2277,"&gt;"&amp;B765))</f>
        <v>764</v>
      </c>
      <c r="B765" s="26" t="n">
        <f aca="false">ROUND(($U$2*MAX(0,MIN(1,($W$2-I765)/($W$2-$V$2)))+$U$3*MAX(0,MIN(1,($W$3-J765)/($W$3-$V$3)))+$U$4*MAX(0,MIN(1,($W$4-K765)/($W$4-$V$4)))+$U$5*MAX(0,MIN(1,($W$5-L765)/($W$5-$V$5)))+$U$6*MAX(0,MIN(1,($W$6-M765)/($W$6-$V$6)))+$U$7*MAX(0,MIN(1,($W$7-N765)/($W$7-$V$7)))+$U$8*IF(AND(O765&gt;=$V$8,O765&lt;=$W$8),1,0))/$U$9*100,2)</f>
        <v>81.5</v>
      </c>
      <c r="C765" s="27" t="s">
        <v>1320</v>
      </c>
      <c r="D765" s="25" t="s">
        <v>134</v>
      </c>
      <c r="E765" s="25" t="s">
        <v>3450</v>
      </c>
      <c r="F765" s="25" t="s">
        <v>3457</v>
      </c>
      <c r="G765" s="38" t="s">
        <v>30</v>
      </c>
      <c r="H765" s="33" t="s">
        <v>24</v>
      </c>
      <c r="I765" s="25" t="n">
        <v>1</v>
      </c>
      <c r="J765" s="25" t="n">
        <v>0</v>
      </c>
      <c r="K765" s="25" t="n">
        <v>1</v>
      </c>
      <c r="L765" s="29" t="n">
        <v>0.65</v>
      </c>
      <c r="M765" s="30" t="n">
        <v>13.1</v>
      </c>
      <c r="N765" s="29" t="n">
        <v>0.64</v>
      </c>
      <c r="O765" s="25" t="n">
        <v>182</v>
      </c>
      <c r="P765" s="30" t="n">
        <v>7.22</v>
      </c>
      <c r="Q765" s="27" t="s">
        <v>3474</v>
      </c>
      <c r="R765" s="27" t="s">
        <v>30</v>
      </c>
    </row>
    <row r="766" customFormat="false" ht="15" hidden="false" customHeight="false" outlineLevel="0" collapsed="false">
      <c r="A766" s="25" t="n">
        <f aca="false">IF(G766="REJECT",COUNTIF($G$2:$G$2277,"&lt;&gt;REJECT")+1+COUNTIFS($G$2:$G$2277,"REJECT",$B$2:$B$2277,"&gt;"&amp;B766),1+COUNTIFS($G$2:$G$2277,"&lt;&gt;REJECT",$B$2:$B$2277,"&gt;"&amp;B766))</f>
        <v>765</v>
      </c>
      <c r="B766" s="26" t="n">
        <f aca="false">ROUND(($U$2*MAX(0,MIN(1,($W$2-I766)/($W$2-$V$2)))+$U$3*MAX(0,MIN(1,($W$3-J766)/($W$3-$V$3)))+$U$4*MAX(0,MIN(1,($W$4-K766)/($W$4-$V$4)))+$U$5*MAX(0,MIN(1,($W$5-L766)/($W$5-$V$5)))+$U$6*MAX(0,MIN(1,($W$6-M766)/($W$6-$V$6)))+$U$7*MAX(0,MIN(1,($W$7-N766)/($W$7-$V$7)))+$U$8*IF(AND(O766&gt;=$V$8,O766&lt;=$W$8),1,0))/$U$9*100,2)</f>
        <v>81.49</v>
      </c>
      <c r="C766" s="27" t="s">
        <v>418</v>
      </c>
      <c r="D766" s="25" t="s">
        <v>3459</v>
      </c>
      <c r="E766" s="25" t="s">
        <v>3450</v>
      </c>
      <c r="F766" s="25" t="s">
        <v>3457</v>
      </c>
      <c r="G766" s="38" t="s">
        <v>30</v>
      </c>
      <c r="H766" s="28" t="s">
        <v>25</v>
      </c>
      <c r="I766" s="25" t="n">
        <v>1</v>
      </c>
      <c r="J766" s="25" t="n">
        <v>1</v>
      </c>
      <c r="K766" s="25" t="n">
        <v>1</v>
      </c>
      <c r="L766" s="29" t="n">
        <v>0.78</v>
      </c>
      <c r="M766" s="30" t="n">
        <v>3.59</v>
      </c>
      <c r="N766" s="29" t="n">
        <v>0.28</v>
      </c>
      <c r="O766" s="25" t="n">
        <v>182</v>
      </c>
      <c r="P766" s="30" t="n">
        <v>14.9</v>
      </c>
      <c r="Q766" s="27" t="s">
        <v>69</v>
      </c>
      <c r="R766" s="27" t="s">
        <v>283</v>
      </c>
    </row>
    <row r="767" customFormat="false" ht="15" hidden="false" customHeight="false" outlineLevel="0" collapsed="false">
      <c r="A767" s="25" t="n">
        <f aca="false">IF(G767="REJECT",COUNTIF($G$2:$G$2277,"&lt;&gt;REJECT")+1+COUNTIFS($G$2:$G$2277,"REJECT",$B$2:$B$2277,"&gt;"&amp;B767),1+COUNTIFS($G$2:$G$2277,"&lt;&gt;REJECT",$B$2:$B$2277,"&gt;"&amp;B767))</f>
        <v>766</v>
      </c>
      <c r="B767" s="26" t="n">
        <f aca="false">ROUND(($U$2*MAX(0,MIN(1,($W$2-I767)/($W$2-$V$2)))+$U$3*MAX(0,MIN(1,($W$3-J767)/($W$3-$V$3)))+$U$4*MAX(0,MIN(1,($W$4-K767)/($W$4-$V$4)))+$U$5*MAX(0,MIN(1,($W$5-L767)/($W$5-$V$5)))+$U$6*MAX(0,MIN(1,($W$6-M767)/($W$6-$V$6)))+$U$7*MAX(0,MIN(1,($W$7-N767)/($W$7-$V$7)))+$U$8*IF(AND(O767&gt;=$V$8,O767&lt;=$W$8),1,0))/$U$9*100,2)</f>
        <v>81.48</v>
      </c>
      <c r="C767" s="27" t="s">
        <v>830</v>
      </c>
      <c r="D767" s="25" t="s">
        <v>3459</v>
      </c>
      <c r="E767" s="25" t="s">
        <v>3447</v>
      </c>
      <c r="F767" s="25" t="s">
        <v>3457</v>
      </c>
      <c r="G767" s="38" t="s">
        <v>30</v>
      </c>
      <c r="H767" s="33" t="s">
        <v>24</v>
      </c>
      <c r="I767" s="25" t="n">
        <v>2</v>
      </c>
      <c r="J767" s="25" t="n">
        <v>0</v>
      </c>
      <c r="K767" s="25" t="n">
        <v>2</v>
      </c>
      <c r="L767" s="29" t="n">
        <v>0.73</v>
      </c>
      <c r="M767" s="30" t="n">
        <v>5.7</v>
      </c>
      <c r="N767" s="29" t="n">
        <v>0.52</v>
      </c>
      <c r="O767" s="25" t="n">
        <v>183</v>
      </c>
      <c r="P767" s="30" t="n">
        <v>2.64</v>
      </c>
      <c r="Q767" s="27" t="s">
        <v>3530</v>
      </c>
      <c r="R767" s="27" t="s">
        <v>30</v>
      </c>
    </row>
    <row r="768" customFormat="false" ht="15" hidden="false" customHeight="false" outlineLevel="0" collapsed="false">
      <c r="A768" s="25" t="n">
        <f aca="false">IF(G768="REJECT",COUNTIF($G$2:$G$2277,"&lt;&gt;REJECT")+1+COUNTIFS($G$2:$G$2277,"REJECT",$B$2:$B$2277,"&gt;"&amp;B768),1+COUNTIFS($G$2:$G$2277,"&lt;&gt;REJECT",$B$2:$B$2277,"&gt;"&amp;B768))</f>
        <v>767</v>
      </c>
      <c r="B768" s="26" t="n">
        <f aca="false">ROUND(($U$2*MAX(0,MIN(1,($W$2-I768)/($W$2-$V$2)))+$U$3*MAX(0,MIN(1,($W$3-J768)/($W$3-$V$3)))+$U$4*MAX(0,MIN(1,($W$4-K768)/($W$4-$V$4)))+$U$5*MAX(0,MIN(1,($W$5-L768)/($W$5-$V$5)))+$U$6*MAX(0,MIN(1,($W$6-M768)/($W$6-$V$6)))+$U$7*MAX(0,MIN(1,($W$7-N768)/($W$7-$V$7)))+$U$8*IF(AND(O768&gt;=$V$8,O768&lt;=$W$8),1,0))/$U$9*100,2)</f>
        <v>81.46</v>
      </c>
      <c r="C768" s="27" t="s">
        <v>2534</v>
      </c>
      <c r="D768" s="25" t="s">
        <v>134</v>
      </c>
      <c r="E768" s="25" t="s">
        <v>3447</v>
      </c>
      <c r="F768" s="25" t="s">
        <v>3448</v>
      </c>
      <c r="G768" s="38" t="s">
        <v>30</v>
      </c>
      <c r="H768" s="28" t="s">
        <v>25</v>
      </c>
      <c r="I768" s="25" t="n">
        <v>2</v>
      </c>
      <c r="J768" s="25" t="n">
        <v>0</v>
      </c>
      <c r="K768" s="25" t="n">
        <v>2</v>
      </c>
      <c r="L768" s="29" t="n">
        <v>0.76</v>
      </c>
      <c r="M768" s="30" t="n">
        <v>20.27</v>
      </c>
      <c r="N768" s="29" t="n">
        <v>0.16</v>
      </c>
      <c r="O768" s="25" t="n">
        <v>220</v>
      </c>
      <c r="P768" s="30" t="n">
        <v>2.25</v>
      </c>
      <c r="Q768" s="27" t="s">
        <v>3531</v>
      </c>
      <c r="R768" s="27" t="s">
        <v>992</v>
      </c>
    </row>
    <row r="769" customFormat="false" ht="15" hidden="false" customHeight="false" outlineLevel="0" collapsed="false">
      <c r="A769" s="25" t="n">
        <f aca="false">IF(G769="REJECT",COUNTIF($G$2:$G$2277,"&lt;&gt;REJECT")+1+COUNTIFS($G$2:$G$2277,"REJECT",$B$2:$B$2277,"&gt;"&amp;B769),1+COUNTIFS($G$2:$G$2277,"&lt;&gt;REJECT",$B$2:$B$2277,"&gt;"&amp;B769))</f>
        <v>768</v>
      </c>
      <c r="B769" s="26" t="n">
        <f aca="false">ROUND(($U$2*MAX(0,MIN(1,($W$2-I769)/($W$2-$V$2)))+$U$3*MAX(0,MIN(1,($W$3-J769)/($W$3-$V$3)))+$U$4*MAX(0,MIN(1,($W$4-K769)/($W$4-$V$4)))+$U$5*MAX(0,MIN(1,($W$5-L769)/($W$5-$V$5)))+$U$6*MAX(0,MIN(1,($W$6-M769)/($W$6-$V$6)))+$U$7*MAX(0,MIN(1,($W$7-N769)/($W$7-$V$7)))+$U$8*IF(AND(O769&gt;=$V$8,O769&lt;=$W$8),1,0))/$U$9*100,2)</f>
        <v>81.44</v>
      </c>
      <c r="C769" s="27" t="s">
        <v>3132</v>
      </c>
      <c r="D769" s="25" t="s">
        <v>3459</v>
      </c>
      <c r="E769" s="25" t="s">
        <v>3447</v>
      </c>
      <c r="F769" s="25" t="s">
        <v>3457</v>
      </c>
      <c r="G769" s="33" t="s">
        <v>28</v>
      </c>
      <c r="H769" s="33" t="s">
        <v>24</v>
      </c>
      <c r="I769" s="25" t="n">
        <v>0</v>
      </c>
      <c r="J769" s="25" t="n">
        <v>0</v>
      </c>
      <c r="K769" s="25" t="n">
        <v>0</v>
      </c>
      <c r="L769" s="29" t="n">
        <v>0.54</v>
      </c>
      <c r="M769" s="30" t="n">
        <v>17.39</v>
      </c>
      <c r="N769" s="29" t="n">
        <v>0.4</v>
      </c>
      <c r="O769" s="25" t="n">
        <v>183</v>
      </c>
      <c r="P769" s="30" t="n">
        <v>0.21</v>
      </c>
      <c r="Q769" s="27"/>
      <c r="R769" s="27"/>
    </row>
    <row r="770" customFormat="false" ht="15" hidden="false" customHeight="false" outlineLevel="0" collapsed="false">
      <c r="A770" s="25" t="n">
        <f aca="false">IF(G770="REJECT",COUNTIF($G$2:$G$2277,"&lt;&gt;REJECT")+1+COUNTIFS($G$2:$G$2277,"REJECT",$B$2:$B$2277,"&gt;"&amp;B770),1+COUNTIFS($G$2:$G$2277,"&lt;&gt;REJECT",$B$2:$B$2277,"&gt;"&amp;B770))</f>
        <v>769</v>
      </c>
      <c r="B770" s="26" t="n">
        <f aca="false">ROUND(($U$2*MAX(0,MIN(1,($W$2-I770)/($W$2-$V$2)))+$U$3*MAX(0,MIN(1,($W$3-J770)/($W$3-$V$3)))+$U$4*MAX(0,MIN(1,($W$4-K770)/($W$4-$V$4)))+$U$5*MAX(0,MIN(1,($W$5-L770)/($W$5-$V$5)))+$U$6*MAX(0,MIN(1,($W$6-M770)/($W$6-$V$6)))+$U$7*MAX(0,MIN(1,($W$7-N770)/($W$7-$V$7)))+$U$8*IF(AND(O770&gt;=$V$8,O770&lt;=$W$8),1,0))/$U$9*100,2)</f>
        <v>81.34</v>
      </c>
      <c r="C770" s="27" t="s">
        <v>2407</v>
      </c>
      <c r="D770" s="25" t="s">
        <v>3459</v>
      </c>
      <c r="E770" s="25" t="s">
        <v>3450</v>
      </c>
      <c r="F770" s="25" t="s">
        <v>3448</v>
      </c>
      <c r="G770" s="38" t="s">
        <v>30</v>
      </c>
      <c r="H770" s="28" t="s">
        <v>25</v>
      </c>
      <c r="I770" s="25" t="n">
        <v>1</v>
      </c>
      <c r="J770" s="25" t="n">
        <v>1</v>
      </c>
      <c r="K770" s="25" t="n">
        <v>1</v>
      </c>
      <c r="L770" s="29" t="n">
        <v>0.79</v>
      </c>
      <c r="M770" s="30" t="n">
        <v>8.46</v>
      </c>
      <c r="N770" s="29" t="n">
        <v>0.24</v>
      </c>
      <c r="O770" s="25" t="n">
        <v>218</v>
      </c>
      <c r="P770" s="30" t="n">
        <v>15.35</v>
      </c>
      <c r="Q770" s="27" t="s">
        <v>69</v>
      </c>
      <c r="R770" s="27" t="s">
        <v>283</v>
      </c>
    </row>
    <row r="771" customFormat="false" ht="15" hidden="false" customHeight="false" outlineLevel="0" collapsed="false">
      <c r="A771" s="25" t="n">
        <f aca="false">IF(G771="REJECT",COUNTIF($G$2:$G$2277,"&lt;&gt;REJECT")+1+COUNTIFS($G$2:$G$2277,"REJECT",$B$2:$B$2277,"&gt;"&amp;B771),1+COUNTIFS($G$2:$G$2277,"&lt;&gt;REJECT",$B$2:$B$2277,"&gt;"&amp;B771))</f>
        <v>770</v>
      </c>
      <c r="B771" s="26" t="n">
        <f aca="false">ROUND(($U$2*MAX(0,MIN(1,($W$2-I771)/($W$2-$V$2)))+$U$3*MAX(0,MIN(1,($W$3-J771)/($W$3-$V$3)))+$U$4*MAX(0,MIN(1,($W$4-K771)/($W$4-$V$4)))+$U$5*MAX(0,MIN(1,($W$5-L771)/($W$5-$V$5)))+$U$6*MAX(0,MIN(1,($W$6-M771)/($W$6-$V$6)))+$U$7*MAX(0,MIN(1,($W$7-N771)/($W$7-$V$7)))+$U$8*IF(AND(O771&gt;=$V$8,O771&lt;=$W$8),1,0))/$U$9*100,2)</f>
        <v>81.31</v>
      </c>
      <c r="C771" s="27" t="s">
        <v>354</v>
      </c>
      <c r="D771" s="25" t="s">
        <v>3459</v>
      </c>
      <c r="E771" s="25" t="s">
        <v>3447</v>
      </c>
      <c r="F771" s="25" t="s">
        <v>3457</v>
      </c>
      <c r="G771" s="38" t="s">
        <v>30</v>
      </c>
      <c r="H771" s="28" t="s">
        <v>25</v>
      </c>
      <c r="I771" s="25" t="n">
        <v>1</v>
      </c>
      <c r="J771" s="25" t="n">
        <v>0</v>
      </c>
      <c r="K771" s="25" t="n">
        <v>1</v>
      </c>
      <c r="L771" s="29" t="n">
        <v>0.62</v>
      </c>
      <c r="M771" s="30" t="n">
        <v>5.06</v>
      </c>
      <c r="N771" s="29" t="n">
        <v>0.48</v>
      </c>
      <c r="O771" s="25" t="n">
        <v>183</v>
      </c>
      <c r="P771" s="30" t="n">
        <v>-1.15</v>
      </c>
      <c r="Q771" s="27" t="s">
        <v>3474</v>
      </c>
      <c r="R771" s="27" t="s">
        <v>2133</v>
      </c>
    </row>
    <row r="772" customFormat="false" ht="15" hidden="false" customHeight="false" outlineLevel="0" collapsed="false">
      <c r="A772" s="25" t="n">
        <f aca="false">IF(G772="REJECT",COUNTIF($G$2:$G$2277,"&lt;&gt;REJECT")+1+COUNTIFS($G$2:$G$2277,"REJECT",$B$2:$B$2277,"&gt;"&amp;B772),1+COUNTIFS($G$2:$G$2277,"&lt;&gt;REJECT",$B$2:$B$2277,"&gt;"&amp;B772))</f>
        <v>770</v>
      </c>
      <c r="B772" s="26" t="n">
        <f aca="false">ROUND(($U$2*MAX(0,MIN(1,($W$2-I772)/($W$2-$V$2)))+$U$3*MAX(0,MIN(1,($W$3-J772)/($W$3-$V$3)))+$U$4*MAX(0,MIN(1,($W$4-K772)/($W$4-$V$4)))+$U$5*MAX(0,MIN(1,($W$5-L772)/($W$5-$V$5)))+$U$6*MAX(0,MIN(1,($W$6-M772)/($W$6-$V$6)))+$U$7*MAX(0,MIN(1,($W$7-N772)/($W$7-$V$7)))+$U$8*IF(AND(O772&gt;=$V$8,O772&lt;=$W$8),1,0))/$U$9*100,2)</f>
        <v>81.31</v>
      </c>
      <c r="C772" s="27" t="s">
        <v>2441</v>
      </c>
      <c r="D772" s="25" t="s">
        <v>134</v>
      </c>
      <c r="E772" s="25" t="s">
        <v>3447</v>
      </c>
      <c r="F772" s="25" t="s">
        <v>3457</v>
      </c>
      <c r="G772" s="38" t="s">
        <v>30</v>
      </c>
      <c r="H772" s="28" t="s">
        <v>25</v>
      </c>
      <c r="I772" s="25" t="n">
        <v>1</v>
      </c>
      <c r="J772" s="25" t="n">
        <v>0</v>
      </c>
      <c r="K772" s="25" t="n">
        <v>1</v>
      </c>
      <c r="L772" s="29" t="n">
        <v>0.67</v>
      </c>
      <c r="M772" s="30" t="n">
        <v>26.25</v>
      </c>
      <c r="N772" s="29" t="n">
        <v>0.16</v>
      </c>
      <c r="O772" s="25" t="n">
        <v>184</v>
      </c>
      <c r="P772" s="30" t="n">
        <v>1.39</v>
      </c>
      <c r="Q772" s="27" t="s">
        <v>3478</v>
      </c>
      <c r="R772" s="27" t="s">
        <v>992</v>
      </c>
    </row>
    <row r="773" customFormat="false" ht="15" hidden="false" customHeight="false" outlineLevel="0" collapsed="false">
      <c r="A773" s="25" t="n">
        <f aca="false">IF(G773="REJECT",COUNTIF($G$2:$G$2277,"&lt;&gt;REJECT")+1+COUNTIFS($G$2:$G$2277,"REJECT",$B$2:$B$2277,"&gt;"&amp;B773),1+COUNTIFS($G$2:$G$2277,"&lt;&gt;REJECT",$B$2:$B$2277,"&gt;"&amp;B773))</f>
        <v>772</v>
      </c>
      <c r="B773" s="26" t="n">
        <f aca="false">ROUND(($U$2*MAX(0,MIN(1,($W$2-I773)/($W$2-$V$2)))+$U$3*MAX(0,MIN(1,($W$3-J773)/($W$3-$V$3)))+$U$4*MAX(0,MIN(1,($W$4-K773)/($W$4-$V$4)))+$U$5*MAX(0,MIN(1,($W$5-L773)/($W$5-$V$5)))+$U$6*MAX(0,MIN(1,($W$6-M773)/($W$6-$V$6)))+$U$7*MAX(0,MIN(1,($W$7-N773)/($W$7-$V$7)))+$U$8*IF(AND(O773&gt;=$V$8,O773&lt;=$W$8),1,0))/$U$9*100,2)</f>
        <v>81.26</v>
      </c>
      <c r="C773" s="27" t="s">
        <v>1685</v>
      </c>
      <c r="D773" s="25" t="s">
        <v>134</v>
      </c>
      <c r="E773" s="25" t="s">
        <v>3447</v>
      </c>
      <c r="F773" s="25" t="s">
        <v>3448</v>
      </c>
      <c r="G773" s="38" t="s">
        <v>30</v>
      </c>
      <c r="H773" s="33" t="s">
        <v>24</v>
      </c>
      <c r="I773" s="25" t="n">
        <v>2</v>
      </c>
      <c r="J773" s="25" t="n">
        <v>0</v>
      </c>
      <c r="K773" s="25" t="n">
        <v>2</v>
      </c>
      <c r="L773" s="29" t="n">
        <v>0.74</v>
      </c>
      <c r="M773" s="30" t="n">
        <v>11.04</v>
      </c>
      <c r="N773" s="29" t="n">
        <v>0.48</v>
      </c>
      <c r="O773" s="25" t="n">
        <v>193</v>
      </c>
      <c r="P773" s="30" t="n">
        <v>6.81</v>
      </c>
      <c r="Q773" s="27" t="s">
        <v>3508</v>
      </c>
      <c r="R773" s="27" t="s">
        <v>30</v>
      </c>
    </row>
    <row r="774" customFormat="false" ht="15" hidden="false" customHeight="false" outlineLevel="0" collapsed="false">
      <c r="A774" s="25" t="n">
        <f aca="false">IF(G774="REJECT",COUNTIF($G$2:$G$2277,"&lt;&gt;REJECT")+1+COUNTIFS($G$2:$G$2277,"REJECT",$B$2:$B$2277,"&gt;"&amp;B774),1+COUNTIFS($G$2:$G$2277,"&lt;&gt;REJECT",$B$2:$B$2277,"&gt;"&amp;B774))</f>
        <v>773</v>
      </c>
      <c r="B774" s="26" t="n">
        <f aca="false">ROUND(($U$2*MAX(0,MIN(1,($W$2-I774)/($W$2-$V$2)))+$U$3*MAX(0,MIN(1,($W$3-J774)/($W$3-$V$3)))+$U$4*MAX(0,MIN(1,($W$4-K774)/($W$4-$V$4)))+$U$5*MAX(0,MIN(1,($W$5-L774)/($W$5-$V$5)))+$U$6*MAX(0,MIN(1,($W$6-M774)/($W$6-$V$6)))+$U$7*MAX(0,MIN(1,($W$7-N774)/($W$7-$V$7)))+$U$8*IF(AND(O774&gt;=$V$8,O774&lt;=$W$8),1,0))/$U$9*100,2)</f>
        <v>81.25</v>
      </c>
      <c r="C774" s="27" t="s">
        <v>1259</v>
      </c>
      <c r="D774" s="25" t="s">
        <v>134</v>
      </c>
      <c r="E774" s="25" t="s">
        <v>3447</v>
      </c>
      <c r="F774" s="25" t="s">
        <v>3448</v>
      </c>
      <c r="G774" s="38" t="s">
        <v>30</v>
      </c>
      <c r="H774" s="28" t="s">
        <v>25</v>
      </c>
      <c r="I774" s="25" t="n">
        <v>2</v>
      </c>
      <c r="J774" s="25" t="n">
        <v>0</v>
      </c>
      <c r="K774" s="25" t="n">
        <v>2</v>
      </c>
      <c r="L774" s="29" t="n">
        <v>0.76</v>
      </c>
      <c r="M774" s="30" t="n">
        <v>14.31</v>
      </c>
      <c r="N774" s="29" t="n">
        <v>0.88</v>
      </c>
      <c r="O774" s="25" t="n">
        <v>186</v>
      </c>
      <c r="P774" s="30" t="n">
        <v>-0.82</v>
      </c>
      <c r="Q774" s="27" t="s">
        <v>3526</v>
      </c>
      <c r="R774" s="27" t="s">
        <v>2610</v>
      </c>
    </row>
    <row r="775" customFormat="false" ht="15" hidden="false" customHeight="false" outlineLevel="0" collapsed="false">
      <c r="A775" s="25" t="n">
        <f aca="false">IF(G775="REJECT",COUNTIF($G$2:$G$2277,"&lt;&gt;REJECT")+1+COUNTIFS($G$2:$G$2277,"REJECT",$B$2:$B$2277,"&gt;"&amp;B775),1+COUNTIFS($G$2:$G$2277,"&lt;&gt;REJECT",$B$2:$B$2277,"&gt;"&amp;B775))</f>
        <v>774</v>
      </c>
      <c r="B775" s="26" t="n">
        <f aca="false">ROUND(($U$2*MAX(0,MIN(1,($W$2-I775)/($W$2-$V$2)))+$U$3*MAX(0,MIN(1,($W$3-J775)/($W$3-$V$3)))+$U$4*MAX(0,MIN(1,($W$4-K775)/($W$4-$V$4)))+$U$5*MAX(0,MIN(1,($W$5-L775)/($W$5-$V$5)))+$U$6*MAX(0,MIN(1,($W$6-M775)/($W$6-$V$6)))+$U$7*MAX(0,MIN(1,($W$7-N775)/($W$7-$V$7)))+$U$8*IF(AND(O775&gt;=$V$8,O775&lt;=$W$8),1,0))/$U$9*100,2)</f>
        <v>81.15</v>
      </c>
      <c r="C775" s="27" t="s">
        <v>2155</v>
      </c>
      <c r="D775" s="25" t="s">
        <v>3459</v>
      </c>
      <c r="E775" s="25" t="s">
        <v>3450</v>
      </c>
      <c r="F775" s="25" t="s">
        <v>3448</v>
      </c>
      <c r="G775" s="38" t="s">
        <v>30</v>
      </c>
      <c r="H775" s="28" t="s">
        <v>25</v>
      </c>
      <c r="I775" s="25" t="n">
        <v>1</v>
      </c>
      <c r="J775" s="25" t="n">
        <v>1</v>
      </c>
      <c r="K775" s="25" t="n">
        <v>1</v>
      </c>
      <c r="L775" s="29" t="n">
        <v>0.81</v>
      </c>
      <c r="M775" s="30" t="n">
        <v>15.59</v>
      </c>
      <c r="N775" s="29" t="n">
        <v>0</v>
      </c>
      <c r="O775" s="25" t="n">
        <v>183</v>
      </c>
      <c r="P775" s="30" t="n">
        <v>6.14</v>
      </c>
      <c r="Q775" s="27" t="s">
        <v>70</v>
      </c>
      <c r="R775" s="27" t="s">
        <v>1152</v>
      </c>
    </row>
    <row r="776" customFormat="false" ht="15" hidden="false" customHeight="false" outlineLevel="0" collapsed="false">
      <c r="A776" s="25" t="n">
        <f aca="false">IF(G776="REJECT",COUNTIF($G$2:$G$2277,"&lt;&gt;REJECT")+1+COUNTIFS($G$2:$G$2277,"REJECT",$B$2:$B$2277,"&gt;"&amp;B776),1+COUNTIFS($G$2:$G$2277,"&lt;&gt;REJECT",$B$2:$B$2277,"&gt;"&amp;B776))</f>
        <v>775</v>
      </c>
      <c r="B776" s="26" t="n">
        <f aca="false">ROUND(($U$2*MAX(0,MIN(1,($W$2-I776)/($W$2-$V$2)))+$U$3*MAX(0,MIN(1,($W$3-J776)/($W$3-$V$3)))+$U$4*MAX(0,MIN(1,($W$4-K776)/($W$4-$V$4)))+$U$5*MAX(0,MIN(1,($W$5-L776)/($W$5-$V$5)))+$U$6*MAX(0,MIN(1,($W$6-M776)/($W$6-$V$6)))+$U$7*MAX(0,MIN(1,($W$7-N776)/($W$7-$V$7)))+$U$8*IF(AND(O776&gt;=$V$8,O776&lt;=$W$8),1,0))/$U$9*100,2)</f>
        <v>81.14</v>
      </c>
      <c r="C776" s="27" t="s">
        <v>2810</v>
      </c>
      <c r="D776" s="25" t="s">
        <v>3459</v>
      </c>
      <c r="E776" s="25" t="s">
        <v>3447</v>
      </c>
      <c r="F776" s="25" t="s">
        <v>3457</v>
      </c>
      <c r="G776" s="38" t="s">
        <v>30</v>
      </c>
      <c r="H776" s="33" t="s">
        <v>24</v>
      </c>
      <c r="I776" s="25" t="n">
        <v>2</v>
      </c>
      <c r="J776" s="25" t="n">
        <v>0</v>
      </c>
      <c r="K776" s="25" t="n">
        <v>2</v>
      </c>
      <c r="L776" s="29" t="n">
        <v>0.74</v>
      </c>
      <c r="M776" s="30" t="n">
        <v>14.56</v>
      </c>
      <c r="N776" s="29" t="n">
        <v>0.2</v>
      </c>
      <c r="O776" s="25" t="n">
        <v>182</v>
      </c>
      <c r="P776" s="30" t="n">
        <v>2.26</v>
      </c>
      <c r="Q776" s="27" t="s">
        <v>3524</v>
      </c>
      <c r="R776" s="27" t="s">
        <v>30</v>
      </c>
    </row>
    <row r="777" customFormat="false" ht="15" hidden="false" customHeight="false" outlineLevel="0" collapsed="false">
      <c r="A777" s="25" t="n">
        <f aca="false">IF(G777="REJECT",COUNTIF($G$2:$G$2277,"&lt;&gt;REJECT")+1+COUNTIFS($G$2:$G$2277,"REJECT",$B$2:$B$2277,"&gt;"&amp;B777),1+COUNTIFS($G$2:$G$2277,"&lt;&gt;REJECT",$B$2:$B$2277,"&gt;"&amp;B777))</f>
        <v>775</v>
      </c>
      <c r="B777" s="26" t="n">
        <f aca="false">ROUND(($U$2*MAX(0,MIN(1,($W$2-I777)/($W$2-$V$2)))+$U$3*MAX(0,MIN(1,($W$3-J777)/($W$3-$V$3)))+$U$4*MAX(0,MIN(1,($W$4-K777)/($W$4-$V$4)))+$U$5*MAX(0,MIN(1,($W$5-L777)/($W$5-$V$5)))+$U$6*MAX(0,MIN(1,($W$6-M777)/($W$6-$V$6)))+$U$7*MAX(0,MIN(1,($W$7-N777)/($W$7-$V$7)))+$U$8*IF(AND(O777&gt;=$V$8,O777&lt;=$W$8),1,0))/$U$9*100,2)</f>
        <v>81.14</v>
      </c>
      <c r="C777" s="27" t="s">
        <v>2932</v>
      </c>
      <c r="D777" s="25" t="s">
        <v>134</v>
      </c>
      <c r="E777" s="25" t="s">
        <v>3450</v>
      </c>
      <c r="F777" s="25" t="s">
        <v>3448</v>
      </c>
      <c r="G777" s="38" t="s">
        <v>30</v>
      </c>
      <c r="H777" s="28" t="s">
        <v>25</v>
      </c>
      <c r="I777" s="25" t="n">
        <v>1</v>
      </c>
      <c r="J777" s="25" t="n">
        <v>1</v>
      </c>
      <c r="K777" s="25" t="n">
        <v>1</v>
      </c>
      <c r="L777" s="29" t="n">
        <v>0.79</v>
      </c>
      <c r="M777" s="30" t="n">
        <v>6.85</v>
      </c>
      <c r="N777" s="29" t="n">
        <v>0.52</v>
      </c>
      <c r="O777" s="25" t="n">
        <v>192</v>
      </c>
      <c r="P777" s="30" t="n">
        <v>-1.12</v>
      </c>
      <c r="Q777" s="27" t="s">
        <v>70</v>
      </c>
      <c r="R777" s="27" t="s">
        <v>197</v>
      </c>
    </row>
    <row r="778" customFormat="false" ht="15" hidden="false" customHeight="false" outlineLevel="0" collapsed="false">
      <c r="A778" s="25" t="n">
        <f aca="false">IF(G778="REJECT",COUNTIF($G$2:$G$2277,"&lt;&gt;REJECT")+1+COUNTIFS($G$2:$G$2277,"REJECT",$B$2:$B$2277,"&gt;"&amp;B778),1+COUNTIFS($G$2:$G$2277,"&lt;&gt;REJECT",$B$2:$B$2277,"&gt;"&amp;B778))</f>
        <v>777</v>
      </c>
      <c r="B778" s="26" t="n">
        <f aca="false">ROUND(($U$2*MAX(0,MIN(1,($W$2-I778)/($W$2-$V$2)))+$U$3*MAX(0,MIN(1,($W$3-J778)/($W$3-$V$3)))+$U$4*MAX(0,MIN(1,($W$4-K778)/($W$4-$V$4)))+$U$5*MAX(0,MIN(1,($W$5-L778)/($W$5-$V$5)))+$U$6*MAX(0,MIN(1,($W$6-M778)/($W$6-$V$6)))+$U$7*MAX(0,MIN(1,($W$7-N778)/($W$7-$V$7)))+$U$8*IF(AND(O778&gt;=$V$8,O778&lt;=$W$8),1,0))/$U$9*100,2)</f>
        <v>80.99</v>
      </c>
      <c r="C778" s="27" t="s">
        <v>2259</v>
      </c>
      <c r="D778" s="25" t="s">
        <v>134</v>
      </c>
      <c r="E778" s="25" t="s">
        <v>3450</v>
      </c>
      <c r="F778" s="25" t="s">
        <v>3448</v>
      </c>
      <c r="G778" s="38" t="s">
        <v>30</v>
      </c>
      <c r="H778" s="28" t="s">
        <v>25</v>
      </c>
      <c r="I778" s="25" t="n">
        <v>1</v>
      </c>
      <c r="J778" s="25" t="n">
        <v>1</v>
      </c>
      <c r="K778" s="25" t="n">
        <v>1</v>
      </c>
      <c r="L778" s="29" t="n">
        <v>0.83</v>
      </c>
      <c r="M778" s="30" t="n">
        <v>10.16</v>
      </c>
      <c r="N778" s="29" t="n">
        <v>0.64</v>
      </c>
      <c r="O778" s="25" t="n">
        <v>208</v>
      </c>
      <c r="P778" s="30" t="n">
        <v>4.04</v>
      </c>
      <c r="Q778" s="27" t="s">
        <v>69</v>
      </c>
      <c r="R778" s="27" t="s">
        <v>283</v>
      </c>
    </row>
    <row r="779" customFormat="false" ht="15" hidden="false" customHeight="false" outlineLevel="0" collapsed="false">
      <c r="A779" s="25" t="n">
        <f aca="false">IF(G779="REJECT",COUNTIF($G$2:$G$2277,"&lt;&gt;REJECT")+1+COUNTIFS($G$2:$G$2277,"REJECT",$B$2:$B$2277,"&gt;"&amp;B779),1+COUNTIFS($G$2:$G$2277,"&lt;&gt;REJECT",$B$2:$B$2277,"&gt;"&amp;B779))</f>
        <v>778</v>
      </c>
      <c r="B779" s="26" t="n">
        <f aca="false">ROUND(($U$2*MAX(0,MIN(1,($W$2-I779)/($W$2-$V$2)))+$U$3*MAX(0,MIN(1,($W$3-J779)/($W$3-$V$3)))+$U$4*MAX(0,MIN(1,($W$4-K779)/($W$4-$V$4)))+$U$5*MAX(0,MIN(1,($W$5-L779)/($W$5-$V$5)))+$U$6*MAX(0,MIN(1,($W$6-M779)/($W$6-$V$6)))+$U$7*MAX(0,MIN(1,($W$7-N779)/($W$7-$V$7)))+$U$8*IF(AND(O779&gt;=$V$8,O779&lt;=$W$8),1,0))/$U$9*100,2)</f>
        <v>80.98</v>
      </c>
      <c r="C779" s="27" t="s">
        <v>1170</v>
      </c>
      <c r="D779" s="25" t="s">
        <v>3459</v>
      </c>
      <c r="E779" s="25" t="s">
        <v>3447</v>
      </c>
      <c r="F779" s="25" t="s">
        <v>3448</v>
      </c>
      <c r="G779" s="38" t="s">
        <v>30</v>
      </c>
      <c r="H779" s="28" t="s">
        <v>25</v>
      </c>
      <c r="I779" s="25" t="n">
        <v>1</v>
      </c>
      <c r="J779" s="25" t="n">
        <v>1</v>
      </c>
      <c r="K779" s="25" t="n">
        <v>1</v>
      </c>
      <c r="L779" s="29" t="n">
        <v>0.8</v>
      </c>
      <c r="M779" s="30" t="n">
        <v>9.44</v>
      </c>
      <c r="N779" s="29" t="n">
        <v>0.72</v>
      </c>
      <c r="O779" s="25" t="n">
        <v>184</v>
      </c>
      <c r="P779" s="30" t="n">
        <v>-1.19</v>
      </c>
      <c r="Q779" s="27" t="s">
        <v>69</v>
      </c>
      <c r="R779" s="27" t="s">
        <v>1152</v>
      </c>
    </row>
    <row r="780" customFormat="false" ht="15" hidden="false" customHeight="false" outlineLevel="0" collapsed="false">
      <c r="A780" s="25" t="n">
        <f aca="false">IF(G780="REJECT",COUNTIF($G$2:$G$2277,"&lt;&gt;REJECT")+1+COUNTIFS($G$2:$G$2277,"REJECT",$B$2:$B$2277,"&gt;"&amp;B780),1+COUNTIFS($G$2:$G$2277,"&lt;&gt;REJECT",$B$2:$B$2277,"&gt;"&amp;B780))</f>
        <v>779</v>
      </c>
      <c r="B780" s="26" t="n">
        <f aca="false">ROUND(($U$2*MAX(0,MIN(1,($W$2-I780)/($W$2-$V$2)))+$U$3*MAX(0,MIN(1,($W$3-J780)/($W$3-$V$3)))+$U$4*MAX(0,MIN(1,($W$4-K780)/($W$4-$V$4)))+$U$5*MAX(0,MIN(1,($W$5-L780)/($W$5-$V$5)))+$U$6*MAX(0,MIN(1,($W$6-M780)/($W$6-$V$6)))+$U$7*MAX(0,MIN(1,($W$7-N780)/($W$7-$V$7)))+$U$8*IF(AND(O780&gt;=$V$8,O780&lt;=$W$8),1,0))/$U$9*100,2)</f>
        <v>80.97</v>
      </c>
      <c r="C780" s="27" t="s">
        <v>2227</v>
      </c>
      <c r="D780" s="25" t="s">
        <v>134</v>
      </c>
      <c r="E780" s="25" t="s">
        <v>3450</v>
      </c>
      <c r="F780" s="25" t="s">
        <v>3457</v>
      </c>
      <c r="G780" s="38" t="s">
        <v>30</v>
      </c>
      <c r="H780" s="33" t="s">
        <v>24</v>
      </c>
      <c r="I780" s="25" t="n">
        <v>2</v>
      </c>
      <c r="J780" s="25" t="n">
        <v>0</v>
      </c>
      <c r="K780" s="25" t="n">
        <v>2</v>
      </c>
      <c r="L780" s="29" t="n">
        <v>0.73</v>
      </c>
      <c r="M780" s="30" t="n">
        <v>12.76</v>
      </c>
      <c r="N780" s="29" t="n">
        <v>0.12</v>
      </c>
      <c r="O780" s="25" t="n">
        <v>185</v>
      </c>
      <c r="P780" s="30" t="n">
        <v>9.14</v>
      </c>
      <c r="Q780" s="27" t="s">
        <v>3527</v>
      </c>
      <c r="R780" s="27" t="s">
        <v>30</v>
      </c>
    </row>
    <row r="781" customFormat="false" ht="15" hidden="false" customHeight="false" outlineLevel="0" collapsed="false">
      <c r="A781" s="25" t="n">
        <f aca="false">IF(G781="REJECT",COUNTIF($G$2:$G$2277,"&lt;&gt;REJECT")+1+COUNTIFS($G$2:$G$2277,"REJECT",$B$2:$B$2277,"&gt;"&amp;B781),1+COUNTIFS($G$2:$G$2277,"&lt;&gt;REJECT",$B$2:$B$2277,"&gt;"&amp;B781))</f>
        <v>780</v>
      </c>
      <c r="B781" s="26" t="n">
        <f aca="false">ROUND(($U$2*MAX(0,MIN(1,($W$2-I781)/($W$2-$V$2)))+$U$3*MAX(0,MIN(1,($W$3-J781)/($W$3-$V$3)))+$U$4*MAX(0,MIN(1,($W$4-K781)/($W$4-$V$4)))+$U$5*MAX(0,MIN(1,($W$5-L781)/($W$5-$V$5)))+$U$6*MAX(0,MIN(1,($W$6-M781)/($W$6-$V$6)))+$U$7*MAX(0,MIN(1,($W$7-N781)/($W$7-$V$7)))+$U$8*IF(AND(O781&gt;=$V$8,O781&lt;=$W$8),1,0))/$U$9*100,2)</f>
        <v>80.92</v>
      </c>
      <c r="C781" s="27" t="s">
        <v>1968</v>
      </c>
      <c r="D781" s="25" t="s">
        <v>3459</v>
      </c>
      <c r="E781" s="25" t="s">
        <v>3450</v>
      </c>
      <c r="F781" s="25" t="s">
        <v>3448</v>
      </c>
      <c r="G781" s="38" t="s">
        <v>30</v>
      </c>
      <c r="H781" s="28" t="s">
        <v>25</v>
      </c>
      <c r="I781" s="25" t="n">
        <v>1</v>
      </c>
      <c r="J781" s="25" t="n">
        <v>0</v>
      </c>
      <c r="K781" s="25" t="n">
        <v>1</v>
      </c>
      <c r="L781" s="29" t="n">
        <v>0.67</v>
      </c>
      <c r="M781" s="30" t="n">
        <v>25.4</v>
      </c>
      <c r="N781" s="29" t="n">
        <v>0.48</v>
      </c>
      <c r="O781" s="25" t="n">
        <v>193</v>
      </c>
      <c r="P781" s="30" t="n">
        <v>3.64</v>
      </c>
      <c r="Q781" s="27" t="s">
        <v>3476</v>
      </c>
      <c r="R781" s="27" t="s">
        <v>3487</v>
      </c>
    </row>
    <row r="782" customFormat="false" ht="15" hidden="false" customHeight="false" outlineLevel="0" collapsed="false">
      <c r="A782" s="25" t="n">
        <f aca="false">IF(G782="REJECT",COUNTIF($G$2:$G$2277,"&lt;&gt;REJECT")+1+COUNTIFS($G$2:$G$2277,"REJECT",$B$2:$B$2277,"&gt;"&amp;B782),1+COUNTIFS($G$2:$G$2277,"&lt;&gt;REJECT",$B$2:$B$2277,"&gt;"&amp;B782))</f>
        <v>781</v>
      </c>
      <c r="B782" s="26" t="n">
        <f aca="false">ROUND(($U$2*MAX(0,MIN(1,($W$2-I782)/($W$2-$V$2)))+$U$3*MAX(0,MIN(1,($W$3-J782)/($W$3-$V$3)))+$U$4*MAX(0,MIN(1,($W$4-K782)/($W$4-$V$4)))+$U$5*MAX(0,MIN(1,($W$5-L782)/($W$5-$V$5)))+$U$6*MAX(0,MIN(1,($W$6-M782)/($W$6-$V$6)))+$U$7*MAX(0,MIN(1,($W$7-N782)/($W$7-$V$7)))+$U$8*IF(AND(O782&gt;=$V$8,O782&lt;=$W$8),1,0))/$U$9*100,2)</f>
        <v>80.82</v>
      </c>
      <c r="C782" s="27" t="s">
        <v>2407</v>
      </c>
      <c r="D782" s="25" t="s">
        <v>3459</v>
      </c>
      <c r="E782" s="25" t="s">
        <v>3450</v>
      </c>
      <c r="F782" s="25" t="s">
        <v>3457</v>
      </c>
      <c r="G782" s="38" t="s">
        <v>30</v>
      </c>
      <c r="H782" s="28" t="s">
        <v>25</v>
      </c>
      <c r="I782" s="25" t="n">
        <v>1</v>
      </c>
      <c r="J782" s="25" t="n">
        <v>1</v>
      </c>
      <c r="K782" s="25" t="n">
        <v>1</v>
      </c>
      <c r="L782" s="29" t="n">
        <v>0.79</v>
      </c>
      <c r="M782" s="30" t="n">
        <v>8.81</v>
      </c>
      <c r="N782" s="29" t="n">
        <v>0.52</v>
      </c>
      <c r="O782" s="25" t="n">
        <v>182</v>
      </c>
      <c r="P782" s="30" t="n">
        <v>8.6</v>
      </c>
      <c r="Q782" s="27" t="s">
        <v>69</v>
      </c>
      <c r="R782" s="27" t="s">
        <v>283</v>
      </c>
    </row>
    <row r="783" customFormat="false" ht="15" hidden="false" customHeight="false" outlineLevel="0" collapsed="false">
      <c r="A783" s="25" t="n">
        <f aca="false">IF(G783="REJECT",COUNTIF($G$2:$G$2277,"&lt;&gt;REJECT")+1+COUNTIFS($G$2:$G$2277,"REJECT",$B$2:$B$2277,"&gt;"&amp;B783),1+COUNTIFS($G$2:$G$2277,"&lt;&gt;REJECT",$B$2:$B$2277,"&gt;"&amp;B783))</f>
        <v>782</v>
      </c>
      <c r="B783" s="26" t="n">
        <f aca="false">ROUND(($U$2*MAX(0,MIN(1,($W$2-I783)/($W$2-$V$2)))+$U$3*MAX(0,MIN(1,($W$3-J783)/($W$3-$V$3)))+$U$4*MAX(0,MIN(1,($W$4-K783)/($W$4-$V$4)))+$U$5*MAX(0,MIN(1,($W$5-L783)/($W$5-$V$5)))+$U$6*MAX(0,MIN(1,($W$6-M783)/($W$6-$V$6)))+$U$7*MAX(0,MIN(1,($W$7-N783)/($W$7-$V$7)))+$U$8*IF(AND(O783&gt;=$V$8,O783&lt;=$W$8),1,0))/$U$9*100,2)</f>
        <v>80.79</v>
      </c>
      <c r="C783" s="27" t="s">
        <v>895</v>
      </c>
      <c r="D783" s="25" t="s">
        <v>134</v>
      </c>
      <c r="E783" s="25" t="s">
        <v>3447</v>
      </c>
      <c r="F783" s="25" t="s">
        <v>3448</v>
      </c>
      <c r="G783" s="38" t="s">
        <v>30</v>
      </c>
      <c r="H783" s="33" t="s">
        <v>24</v>
      </c>
      <c r="I783" s="25" t="n">
        <v>2</v>
      </c>
      <c r="J783" s="25" t="n">
        <v>0</v>
      </c>
      <c r="K783" s="25" t="n">
        <v>2</v>
      </c>
      <c r="L783" s="29" t="n">
        <v>0.73</v>
      </c>
      <c r="M783" s="30" t="n">
        <v>11.87</v>
      </c>
      <c r="N783" s="29" t="n">
        <v>0.32</v>
      </c>
      <c r="O783" s="25" t="n">
        <v>184</v>
      </c>
      <c r="P783" s="30" t="n">
        <v>12.19</v>
      </c>
      <c r="Q783" s="27" t="s">
        <v>3532</v>
      </c>
      <c r="R783" s="27" t="s">
        <v>30</v>
      </c>
    </row>
    <row r="784" customFormat="false" ht="15" hidden="false" customHeight="false" outlineLevel="0" collapsed="false">
      <c r="A784" s="25" t="n">
        <f aca="false">IF(G784="REJECT",COUNTIF($G$2:$G$2277,"&lt;&gt;REJECT")+1+COUNTIFS($G$2:$G$2277,"REJECT",$B$2:$B$2277,"&gt;"&amp;B784),1+COUNTIFS($G$2:$G$2277,"&lt;&gt;REJECT",$B$2:$B$2277,"&gt;"&amp;B784))</f>
        <v>783</v>
      </c>
      <c r="B784" s="26" t="n">
        <f aca="false">ROUND(($U$2*MAX(0,MIN(1,($W$2-I784)/($W$2-$V$2)))+$U$3*MAX(0,MIN(1,($W$3-J784)/($W$3-$V$3)))+$U$4*MAX(0,MIN(1,($W$4-K784)/($W$4-$V$4)))+$U$5*MAX(0,MIN(1,($W$5-L784)/($W$5-$V$5)))+$U$6*MAX(0,MIN(1,($W$6-M784)/($W$6-$V$6)))+$U$7*MAX(0,MIN(1,($W$7-N784)/($W$7-$V$7)))+$U$8*IF(AND(O784&gt;=$V$8,O784&lt;=$W$8),1,0))/$U$9*100,2)</f>
        <v>80.78</v>
      </c>
      <c r="C784" s="27" t="s">
        <v>1190</v>
      </c>
      <c r="D784" s="25" t="s">
        <v>3459</v>
      </c>
      <c r="E784" s="25" t="s">
        <v>3447</v>
      </c>
      <c r="F784" s="25" t="s">
        <v>3457</v>
      </c>
      <c r="G784" s="38" t="s">
        <v>30</v>
      </c>
      <c r="H784" s="33" t="s">
        <v>24</v>
      </c>
      <c r="I784" s="25" t="n">
        <v>2</v>
      </c>
      <c r="J784" s="25" t="n">
        <v>0</v>
      </c>
      <c r="K784" s="25" t="n">
        <v>2</v>
      </c>
      <c r="L784" s="29" t="n">
        <v>0.74</v>
      </c>
      <c r="M784" s="30" t="n">
        <v>18.71</v>
      </c>
      <c r="N784" s="29" t="n">
        <v>0</v>
      </c>
      <c r="O784" s="25" t="n">
        <v>183</v>
      </c>
      <c r="P784" s="30" t="n">
        <v>0.74</v>
      </c>
      <c r="Q784" s="27" t="s">
        <v>3521</v>
      </c>
      <c r="R784" s="27" t="s">
        <v>30</v>
      </c>
    </row>
    <row r="785" customFormat="false" ht="15" hidden="false" customHeight="false" outlineLevel="0" collapsed="false">
      <c r="A785" s="25" t="n">
        <f aca="false">IF(G785="REJECT",COUNTIF($G$2:$G$2277,"&lt;&gt;REJECT")+1+COUNTIFS($G$2:$G$2277,"REJECT",$B$2:$B$2277,"&gt;"&amp;B785),1+COUNTIFS($G$2:$G$2277,"&lt;&gt;REJECT",$B$2:$B$2277,"&gt;"&amp;B785))</f>
        <v>784</v>
      </c>
      <c r="B785" s="26" t="n">
        <f aca="false">ROUND(($U$2*MAX(0,MIN(1,($W$2-I785)/($W$2-$V$2)))+$U$3*MAX(0,MIN(1,($W$3-J785)/($W$3-$V$3)))+$U$4*MAX(0,MIN(1,($W$4-K785)/($W$4-$V$4)))+$U$5*MAX(0,MIN(1,($W$5-L785)/($W$5-$V$5)))+$U$6*MAX(0,MIN(1,($W$6-M785)/($W$6-$V$6)))+$U$7*MAX(0,MIN(1,($W$7-N785)/($W$7-$V$7)))+$U$8*IF(AND(O785&gt;=$V$8,O785&lt;=$W$8),1,0))/$U$9*100,2)</f>
        <v>80.77</v>
      </c>
      <c r="C785" s="27" t="s">
        <v>1458</v>
      </c>
      <c r="D785" s="25" t="s">
        <v>3459</v>
      </c>
      <c r="E785" s="25" t="s">
        <v>3447</v>
      </c>
      <c r="F785" s="25" t="s">
        <v>3448</v>
      </c>
      <c r="G785" s="38" t="s">
        <v>30</v>
      </c>
      <c r="H785" s="28" t="s">
        <v>25</v>
      </c>
      <c r="I785" s="25" t="n">
        <v>1</v>
      </c>
      <c r="J785" s="25" t="n">
        <v>1</v>
      </c>
      <c r="K785" s="25" t="n">
        <v>1</v>
      </c>
      <c r="L785" s="29" t="n">
        <v>0.81</v>
      </c>
      <c r="M785" s="30" t="n">
        <v>15.88</v>
      </c>
      <c r="N785" s="29" t="n">
        <v>0.2</v>
      </c>
      <c r="O785" s="25" t="n">
        <v>185</v>
      </c>
      <c r="P785" s="30" t="n">
        <v>4.41</v>
      </c>
      <c r="Q785" s="27" t="s">
        <v>69</v>
      </c>
      <c r="R785" s="27" t="s">
        <v>283</v>
      </c>
    </row>
    <row r="786" customFormat="false" ht="15" hidden="false" customHeight="false" outlineLevel="0" collapsed="false">
      <c r="A786" s="25" t="n">
        <f aca="false">IF(G786="REJECT",COUNTIF($G$2:$G$2277,"&lt;&gt;REJECT")+1+COUNTIFS($G$2:$G$2277,"REJECT",$B$2:$B$2277,"&gt;"&amp;B786),1+COUNTIFS($G$2:$G$2277,"&lt;&gt;REJECT",$B$2:$B$2277,"&gt;"&amp;B786))</f>
        <v>785</v>
      </c>
      <c r="B786" s="26" t="n">
        <f aca="false">ROUND(($U$2*MAX(0,MIN(1,($W$2-I786)/($W$2-$V$2)))+$U$3*MAX(0,MIN(1,($W$3-J786)/($W$3-$V$3)))+$U$4*MAX(0,MIN(1,($W$4-K786)/($W$4-$V$4)))+$U$5*MAX(0,MIN(1,($W$5-L786)/($W$5-$V$5)))+$U$6*MAX(0,MIN(1,($W$6-M786)/($W$6-$V$6)))+$U$7*MAX(0,MIN(1,($W$7-N786)/($W$7-$V$7)))+$U$8*IF(AND(O786&gt;=$V$8,O786&lt;=$W$8),1,0))/$U$9*100,2)</f>
        <v>80.73</v>
      </c>
      <c r="C786" s="27" t="s">
        <v>1011</v>
      </c>
      <c r="D786" s="25" t="s">
        <v>134</v>
      </c>
      <c r="E786" s="25" t="s">
        <v>3450</v>
      </c>
      <c r="F786" s="25" t="s">
        <v>3448</v>
      </c>
      <c r="G786" s="38" t="s">
        <v>30</v>
      </c>
      <c r="H786" s="28" t="s">
        <v>25</v>
      </c>
      <c r="I786" s="25" t="n">
        <v>1</v>
      </c>
      <c r="J786" s="25" t="n">
        <v>1</v>
      </c>
      <c r="K786" s="25" t="n">
        <v>1</v>
      </c>
      <c r="L786" s="29" t="n">
        <v>0.79</v>
      </c>
      <c r="M786" s="30" t="n">
        <v>10.53</v>
      </c>
      <c r="N786" s="29" t="n">
        <v>0.4</v>
      </c>
      <c r="O786" s="25" t="n">
        <v>183</v>
      </c>
      <c r="P786" s="30" t="n">
        <v>8.5</v>
      </c>
      <c r="Q786" s="27" t="s">
        <v>69</v>
      </c>
      <c r="R786" s="27" t="s">
        <v>1099</v>
      </c>
    </row>
    <row r="787" customFormat="false" ht="15" hidden="false" customHeight="false" outlineLevel="0" collapsed="false">
      <c r="A787" s="25" t="n">
        <f aca="false">IF(G787="REJECT",COUNTIF($G$2:$G$2277,"&lt;&gt;REJECT")+1+COUNTIFS($G$2:$G$2277,"REJECT",$B$2:$B$2277,"&gt;"&amp;B787),1+COUNTIFS($G$2:$G$2277,"&lt;&gt;REJECT",$B$2:$B$2277,"&gt;"&amp;B787))</f>
        <v>786</v>
      </c>
      <c r="B787" s="26" t="n">
        <f aca="false">ROUND(($U$2*MAX(0,MIN(1,($W$2-I787)/($W$2-$V$2)))+$U$3*MAX(0,MIN(1,($W$3-J787)/($W$3-$V$3)))+$U$4*MAX(0,MIN(1,($W$4-K787)/($W$4-$V$4)))+$U$5*MAX(0,MIN(1,($W$5-L787)/($W$5-$V$5)))+$U$6*MAX(0,MIN(1,($W$6-M787)/($W$6-$V$6)))+$U$7*MAX(0,MIN(1,($W$7-N787)/($W$7-$V$7)))+$U$8*IF(AND(O787&gt;=$V$8,O787&lt;=$W$8),1,0))/$U$9*100,2)</f>
        <v>80.65</v>
      </c>
      <c r="C787" s="27" t="s">
        <v>2204</v>
      </c>
      <c r="D787" s="25" t="s">
        <v>3459</v>
      </c>
      <c r="E787" s="25" t="s">
        <v>3447</v>
      </c>
      <c r="F787" s="25" t="s">
        <v>3457</v>
      </c>
      <c r="G787" s="38" t="s">
        <v>30</v>
      </c>
      <c r="H787" s="28" t="s">
        <v>25</v>
      </c>
      <c r="I787" s="25" t="n">
        <v>2</v>
      </c>
      <c r="J787" s="25" t="n">
        <v>0</v>
      </c>
      <c r="K787" s="25" t="n">
        <v>2</v>
      </c>
      <c r="L787" s="29" t="n">
        <v>0.77</v>
      </c>
      <c r="M787" s="30" t="n">
        <v>23.11</v>
      </c>
      <c r="N787" s="29" t="n">
        <v>0.72</v>
      </c>
      <c r="O787" s="25" t="n">
        <v>185</v>
      </c>
      <c r="P787" s="30" t="n">
        <v>0.78</v>
      </c>
      <c r="Q787" s="27" t="s">
        <v>3505</v>
      </c>
      <c r="R787" s="27" t="s">
        <v>992</v>
      </c>
    </row>
    <row r="788" customFormat="false" ht="15" hidden="false" customHeight="false" outlineLevel="0" collapsed="false">
      <c r="A788" s="25" t="n">
        <f aca="false">IF(G788="REJECT",COUNTIF($G$2:$G$2277,"&lt;&gt;REJECT")+1+COUNTIFS($G$2:$G$2277,"REJECT",$B$2:$B$2277,"&gt;"&amp;B788),1+COUNTIFS($G$2:$G$2277,"&lt;&gt;REJECT",$B$2:$B$2277,"&gt;"&amp;B788))</f>
        <v>787</v>
      </c>
      <c r="B788" s="26" t="n">
        <f aca="false">ROUND(($U$2*MAX(0,MIN(1,($W$2-I788)/($W$2-$V$2)))+$U$3*MAX(0,MIN(1,($W$3-J788)/($W$3-$V$3)))+$U$4*MAX(0,MIN(1,($W$4-K788)/($W$4-$V$4)))+$U$5*MAX(0,MIN(1,($W$5-L788)/($W$5-$V$5)))+$U$6*MAX(0,MIN(1,($W$6-M788)/($W$6-$V$6)))+$U$7*MAX(0,MIN(1,($W$7-N788)/($W$7-$V$7)))+$U$8*IF(AND(O788&gt;=$V$8,O788&lt;=$W$8),1,0))/$U$9*100,2)</f>
        <v>80.59</v>
      </c>
      <c r="C788" s="27" t="s">
        <v>2033</v>
      </c>
      <c r="D788" s="25" t="s">
        <v>3459</v>
      </c>
      <c r="E788" s="25" t="s">
        <v>3447</v>
      </c>
      <c r="F788" s="25" t="s">
        <v>3448</v>
      </c>
      <c r="G788" s="38" t="s">
        <v>30</v>
      </c>
      <c r="H788" s="28" t="s">
        <v>25</v>
      </c>
      <c r="I788" s="25" t="n">
        <v>2</v>
      </c>
      <c r="J788" s="25" t="n">
        <v>0</v>
      </c>
      <c r="K788" s="25" t="n">
        <v>2</v>
      </c>
      <c r="L788" s="29" t="n">
        <v>0.74</v>
      </c>
      <c r="M788" s="30" t="n">
        <v>13.84</v>
      </c>
      <c r="N788" s="29" t="n">
        <v>0.6</v>
      </c>
      <c r="O788" s="25" t="n">
        <v>184</v>
      </c>
      <c r="P788" s="30" t="n">
        <v>-1.21</v>
      </c>
      <c r="Q788" s="27" t="s">
        <v>3533</v>
      </c>
      <c r="R788" s="27" t="s">
        <v>2610</v>
      </c>
    </row>
    <row r="789" customFormat="false" ht="15" hidden="false" customHeight="false" outlineLevel="0" collapsed="false">
      <c r="A789" s="25" t="n">
        <f aca="false">IF(G789="REJECT",COUNTIF($G$2:$G$2277,"&lt;&gt;REJECT")+1+COUNTIFS($G$2:$G$2277,"REJECT",$B$2:$B$2277,"&gt;"&amp;B789),1+COUNTIFS($G$2:$G$2277,"&lt;&gt;REJECT",$B$2:$B$2277,"&gt;"&amp;B789))</f>
        <v>788</v>
      </c>
      <c r="B789" s="26" t="n">
        <f aca="false">ROUND(($U$2*MAX(0,MIN(1,($W$2-I789)/($W$2-$V$2)))+$U$3*MAX(0,MIN(1,($W$3-J789)/($W$3-$V$3)))+$U$4*MAX(0,MIN(1,($W$4-K789)/($W$4-$V$4)))+$U$5*MAX(0,MIN(1,($W$5-L789)/($W$5-$V$5)))+$U$6*MAX(0,MIN(1,($W$6-M789)/($W$6-$V$6)))+$U$7*MAX(0,MIN(1,($W$7-N789)/($W$7-$V$7)))+$U$8*IF(AND(O789&gt;=$V$8,O789&lt;=$W$8),1,0))/$U$9*100,2)</f>
        <v>80.58</v>
      </c>
      <c r="C789" s="27" t="s">
        <v>566</v>
      </c>
      <c r="D789" s="25" t="s">
        <v>134</v>
      </c>
      <c r="E789" s="25" t="s">
        <v>3447</v>
      </c>
      <c r="F789" s="25" t="s">
        <v>3457</v>
      </c>
      <c r="G789" s="38" t="s">
        <v>30</v>
      </c>
      <c r="H789" s="33" t="s">
        <v>24</v>
      </c>
      <c r="I789" s="25" t="n">
        <v>2</v>
      </c>
      <c r="J789" s="25" t="n">
        <v>0</v>
      </c>
      <c r="K789" s="25" t="n">
        <v>2</v>
      </c>
      <c r="L789" s="29" t="n">
        <v>0.75</v>
      </c>
      <c r="M789" s="30" t="n">
        <v>14.33</v>
      </c>
      <c r="N789" s="29" t="n">
        <v>0.92</v>
      </c>
      <c r="O789" s="25" t="n">
        <v>186</v>
      </c>
      <c r="P789" s="30" t="n">
        <v>-1.2</v>
      </c>
      <c r="Q789" s="27" t="s">
        <v>3501</v>
      </c>
      <c r="R789" s="27" t="s">
        <v>30</v>
      </c>
    </row>
    <row r="790" customFormat="false" ht="15" hidden="false" customHeight="false" outlineLevel="0" collapsed="false">
      <c r="A790" s="25" t="n">
        <f aca="false">IF(G790="REJECT",COUNTIF($G$2:$G$2277,"&lt;&gt;REJECT")+1+COUNTIFS($G$2:$G$2277,"REJECT",$B$2:$B$2277,"&gt;"&amp;B790),1+COUNTIFS($G$2:$G$2277,"&lt;&gt;REJECT",$B$2:$B$2277,"&gt;"&amp;B790))</f>
        <v>789</v>
      </c>
      <c r="B790" s="26" t="n">
        <f aca="false">ROUND(($U$2*MAX(0,MIN(1,($W$2-I790)/($W$2-$V$2)))+$U$3*MAX(0,MIN(1,($W$3-J790)/($W$3-$V$3)))+$U$4*MAX(0,MIN(1,($W$4-K790)/($W$4-$V$4)))+$U$5*MAX(0,MIN(1,($W$5-L790)/($W$5-$V$5)))+$U$6*MAX(0,MIN(1,($W$6-M790)/($W$6-$V$6)))+$U$7*MAX(0,MIN(1,($W$7-N790)/($W$7-$V$7)))+$U$8*IF(AND(O790&gt;=$V$8,O790&lt;=$W$8),1,0))/$U$9*100,2)</f>
        <v>80.56</v>
      </c>
      <c r="C790" s="27" t="s">
        <v>830</v>
      </c>
      <c r="D790" s="25" t="s">
        <v>3459</v>
      </c>
      <c r="E790" s="25" t="s">
        <v>3450</v>
      </c>
      <c r="F790" s="25" t="s">
        <v>3457</v>
      </c>
      <c r="G790" s="38" t="s">
        <v>30</v>
      </c>
      <c r="H790" s="33" t="s">
        <v>24</v>
      </c>
      <c r="I790" s="25" t="n">
        <v>2</v>
      </c>
      <c r="J790" s="25" t="n">
        <v>0</v>
      </c>
      <c r="K790" s="25" t="n">
        <v>2</v>
      </c>
      <c r="L790" s="29" t="n">
        <v>0.72</v>
      </c>
      <c r="M790" s="30" t="n">
        <v>4.82</v>
      </c>
      <c r="N790" s="29" t="n">
        <v>0.8</v>
      </c>
      <c r="O790" s="25" t="n">
        <v>183</v>
      </c>
      <c r="P790" s="30" t="n">
        <v>13.31</v>
      </c>
      <c r="Q790" s="27" t="s">
        <v>3534</v>
      </c>
      <c r="R790" s="27" t="s">
        <v>30</v>
      </c>
    </row>
    <row r="791" customFormat="false" ht="15" hidden="false" customHeight="false" outlineLevel="0" collapsed="false">
      <c r="A791" s="25" t="n">
        <f aca="false">IF(G791="REJECT",COUNTIF($G$2:$G$2277,"&lt;&gt;REJECT")+1+COUNTIFS($G$2:$G$2277,"REJECT",$B$2:$B$2277,"&gt;"&amp;B791),1+COUNTIFS($G$2:$G$2277,"&lt;&gt;REJECT",$B$2:$B$2277,"&gt;"&amp;B791))</f>
        <v>790</v>
      </c>
      <c r="B791" s="26" t="n">
        <f aca="false">ROUND(($U$2*MAX(0,MIN(1,($W$2-I791)/($W$2-$V$2)))+$U$3*MAX(0,MIN(1,($W$3-J791)/($W$3-$V$3)))+$U$4*MAX(0,MIN(1,($W$4-K791)/($W$4-$V$4)))+$U$5*MAX(0,MIN(1,($W$5-L791)/($W$5-$V$5)))+$U$6*MAX(0,MIN(1,($W$6-M791)/($W$6-$V$6)))+$U$7*MAX(0,MIN(1,($W$7-N791)/($W$7-$V$7)))+$U$8*IF(AND(O791&gt;=$V$8,O791&lt;=$W$8),1,0))/$U$9*100,2)</f>
        <v>80.55</v>
      </c>
      <c r="C791" s="27" t="s">
        <v>2429</v>
      </c>
      <c r="D791" s="25" t="s">
        <v>134</v>
      </c>
      <c r="E791" s="25" t="s">
        <v>3450</v>
      </c>
      <c r="F791" s="25" t="s">
        <v>3448</v>
      </c>
      <c r="G791" s="38" t="s">
        <v>30</v>
      </c>
      <c r="H791" s="28" t="s">
        <v>25</v>
      </c>
      <c r="I791" s="25" t="n">
        <v>1</v>
      </c>
      <c r="J791" s="25" t="n">
        <v>1</v>
      </c>
      <c r="K791" s="25" t="n">
        <v>1</v>
      </c>
      <c r="L791" s="29" t="n">
        <v>0.78</v>
      </c>
      <c r="M791" s="30" t="n">
        <v>4.38</v>
      </c>
      <c r="N791" s="29" t="n">
        <v>0.76</v>
      </c>
      <c r="O791" s="25" t="n">
        <v>186</v>
      </c>
      <c r="P791" s="30" t="n">
        <v>0.67</v>
      </c>
      <c r="Q791" s="27" t="s">
        <v>69</v>
      </c>
      <c r="R791" s="27" t="s">
        <v>1230</v>
      </c>
    </row>
    <row r="792" customFormat="false" ht="15" hidden="false" customHeight="false" outlineLevel="0" collapsed="false">
      <c r="A792" s="25" t="n">
        <f aca="false">IF(G792="REJECT",COUNTIF($G$2:$G$2277,"&lt;&gt;REJECT")+1+COUNTIFS($G$2:$G$2277,"REJECT",$B$2:$B$2277,"&gt;"&amp;B792),1+COUNTIFS($G$2:$G$2277,"&lt;&gt;REJECT",$B$2:$B$2277,"&gt;"&amp;B792))</f>
        <v>790</v>
      </c>
      <c r="B792" s="26" t="n">
        <f aca="false">ROUND(($U$2*MAX(0,MIN(1,($W$2-I792)/($W$2-$V$2)))+$U$3*MAX(0,MIN(1,($W$3-J792)/($W$3-$V$3)))+$U$4*MAX(0,MIN(1,($W$4-K792)/($W$4-$V$4)))+$U$5*MAX(0,MIN(1,($W$5-L792)/($W$5-$V$5)))+$U$6*MAX(0,MIN(1,($W$6-M792)/($W$6-$V$6)))+$U$7*MAX(0,MIN(1,($W$7-N792)/($W$7-$V$7)))+$U$8*IF(AND(O792&gt;=$V$8,O792&lt;=$W$8),1,0))/$U$9*100,2)</f>
        <v>80.55</v>
      </c>
      <c r="C792" s="27" t="s">
        <v>2767</v>
      </c>
      <c r="D792" s="25" t="s">
        <v>134</v>
      </c>
      <c r="E792" s="25" t="s">
        <v>3447</v>
      </c>
      <c r="F792" s="25" t="s">
        <v>3448</v>
      </c>
      <c r="G792" s="38" t="s">
        <v>30</v>
      </c>
      <c r="H792" s="28" t="s">
        <v>25</v>
      </c>
      <c r="I792" s="25" t="n">
        <v>1</v>
      </c>
      <c r="J792" s="25" t="n">
        <v>1</v>
      </c>
      <c r="K792" s="25" t="n">
        <v>1</v>
      </c>
      <c r="L792" s="29" t="n">
        <v>0.76</v>
      </c>
      <c r="M792" s="30" t="n">
        <v>3.21</v>
      </c>
      <c r="N792" s="29" t="n">
        <v>0.16</v>
      </c>
      <c r="O792" s="25" t="n">
        <v>183</v>
      </c>
      <c r="P792" s="30" t="n">
        <v>3.63</v>
      </c>
      <c r="Q792" s="27" t="s">
        <v>69</v>
      </c>
      <c r="R792" s="27" t="s">
        <v>1152</v>
      </c>
    </row>
    <row r="793" customFormat="false" ht="15" hidden="false" customHeight="false" outlineLevel="0" collapsed="false">
      <c r="A793" s="25" t="n">
        <f aca="false">IF(G793="REJECT",COUNTIF($G$2:$G$2277,"&lt;&gt;REJECT")+1+COUNTIFS($G$2:$G$2277,"REJECT",$B$2:$B$2277,"&gt;"&amp;B793),1+COUNTIFS($G$2:$G$2277,"&lt;&gt;REJECT",$B$2:$B$2277,"&gt;"&amp;B793))</f>
        <v>792</v>
      </c>
      <c r="B793" s="26" t="n">
        <f aca="false">ROUND(($U$2*MAX(0,MIN(1,($W$2-I793)/($W$2-$V$2)))+$U$3*MAX(0,MIN(1,($W$3-J793)/($W$3-$V$3)))+$U$4*MAX(0,MIN(1,($W$4-K793)/($W$4-$V$4)))+$U$5*MAX(0,MIN(1,($W$5-L793)/($W$5-$V$5)))+$U$6*MAX(0,MIN(1,($W$6-M793)/($W$6-$V$6)))+$U$7*MAX(0,MIN(1,($W$7-N793)/($W$7-$V$7)))+$U$8*IF(AND(O793&gt;=$V$8,O793&lt;=$W$8),1,0))/$U$9*100,2)</f>
        <v>80.51</v>
      </c>
      <c r="C793" s="27" t="s">
        <v>1350</v>
      </c>
      <c r="D793" s="25" t="s">
        <v>134</v>
      </c>
      <c r="E793" s="25" t="s">
        <v>3447</v>
      </c>
      <c r="F793" s="25" t="s">
        <v>3457</v>
      </c>
      <c r="G793" s="38" t="s">
        <v>30</v>
      </c>
      <c r="H793" s="33" t="s">
        <v>24</v>
      </c>
      <c r="I793" s="25" t="n">
        <v>2</v>
      </c>
      <c r="J793" s="25" t="n">
        <v>0</v>
      </c>
      <c r="K793" s="25" t="n">
        <v>2</v>
      </c>
      <c r="L793" s="29" t="n">
        <v>0.75</v>
      </c>
      <c r="M793" s="30" t="n">
        <v>15.94</v>
      </c>
      <c r="N793" s="29" t="n">
        <v>0.8</v>
      </c>
      <c r="O793" s="25" t="n">
        <v>187</v>
      </c>
      <c r="P793" s="30" t="n">
        <v>-0.47</v>
      </c>
      <c r="Q793" s="27" t="s">
        <v>3523</v>
      </c>
      <c r="R793" s="27" t="s">
        <v>30</v>
      </c>
    </row>
    <row r="794" customFormat="false" ht="15" hidden="false" customHeight="false" outlineLevel="0" collapsed="false">
      <c r="A794" s="25" t="n">
        <f aca="false">IF(G794="REJECT",COUNTIF($G$2:$G$2277,"&lt;&gt;REJECT")+1+COUNTIFS($G$2:$G$2277,"REJECT",$B$2:$B$2277,"&gt;"&amp;B794),1+COUNTIFS($G$2:$G$2277,"&lt;&gt;REJECT",$B$2:$B$2277,"&gt;"&amp;B794))</f>
        <v>793</v>
      </c>
      <c r="B794" s="26" t="n">
        <f aca="false">ROUND(($U$2*MAX(0,MIN(1,($W$2-I794)/($W$2-$V$2)))+$U$3*MAX(0,MIN(1,($W$3-J794)/($W$3-$V$3)))+$U$4*MAX(0,MIN(1,($W$4-K794)/($W$4-$V$4)))+$U$5*MAX(0,MIN(1,($W$5-L794)/($W$5-$V$5)))+$U$6*MAX(0,MIN(1,($W$6-M794)/($W$6-$V$6)))+$U$7*MAX(0,MIN(1,($W$7-N794)/($W$7-$V$7)))+$U$8*IF(AND(O794&gt;=$V$8,O794&lt;=$W$8),1,0))/$U$9*100,2)</f>
        <v>80.46</v>
      </c>
      <c r="C794" s="27" t="s">
        <v>279</v>
      </c>
      <c r="D794" s="25" t="s">
        <v>134</v>
      </c>
      <c r="E794" s="25" t="s">
        <v>3447</v>
      </c>
      <c r="F794" s="25" t="s">
        <v>3448</v>
      </c>
      <c r="G794" s="38" t="s">
        <v>30</v>
      </c>
      <c r="H794" s="33" t="s">
        <v>24</v>
      </c>
      <c r="I794" s="25" t="n">
        <v>1</v>
      </c>
      <c r="J794" s="25" t="n">
        <v>0</v>
      </c>
      <c r="K794" s="25" t="n">
        <v>1</v>
      </c>
      <c r="L794" s="29" t="n">
        <v>0.61</v>
      </c>
      <c r="M794" s="30" t="n">
        <v>8.54</v>
      </c>
      <c r="N794" s="29" t="n">
        <v>0.28</v>
      </c>
      <c r="O794" s="25" t="n">
        <v>183</v>
      </c>
      <c r="P794" s="30" t="n">
        <v>1.23</v>
      </c>
      <c r="Q794" s="27" t="s">
        <v>3474</v>
      </c>
      <c r="R794" s="27" t="s">
        <v>30</v>
      </c>
    </row>
    <row r="795" customFormat="false" ht="15" hidden="false" customHeight="false" outlineLevel="0" collapsed="false">
      <c r="A795" s="25" t="n">
        <f aca="false">IF(G795="REJECT",COUNTIF($G$2:$G$2277,"&lt;&gt;REJECT")+1+COUNTIFS($G$2:$G$2277,"REJECT",$B$2:$B$2277,"&gt;"&amp;B795),1+COUNTIFS($G$2:$G$2277,"&lt;&gt;REJECT",$B$2:$B$2277,"&gt;"&amp;B795))</f>
        <v>794</v>
      </c>
      <c r="B795" s="26" t="n">
        <f aca="false">ROUND(($U$2*MAX(0,MIN(1,($W$2-I795)/($W$2-$V$2)))+$U$3*MAX(0,MIN(1,($W$3-J795)/($W$3-$V$3)))+$U$4*MAX(0,MIN(1,($W$4-K795)/($W$4-$V$4)))+$U$5*MAX(0,MIN(1,($W$5-L795)/($W$5-$V$5)))+$U$6*MAX(0,MIN(1,($W$6-M795)/($W$6-$V$6)))+$U$7*MAX(0,MIN(1,($W$7-N795)/($W$7-$V$7)))+$U$8*IF(AND(O795&gt;=$V$8,O795&lt;=$W$8),1,0))/$U$9*100,2)</f>
        <v>80.41</v>
      </c>
      <c r="C795" s="27" t="s">
        <v>2302</v>
      </c>
      <c r="D795" s="25" t="s">
        <v>134</v>
      </c>
      <c r="E795" s="25" t="s">
        <v>3450</v>
      </c>
      <c r="F795" s="25" t="s">
        <v>3448</v>
      </c>
      <c r="G795" s="38" t="s">
        <v>30</v>
      </c>
      <c r="H795" s="28" t="s">
        <v>25</v>
      </c>
      <c r="I795" s="25" t="n">
        <v>1</v>
      </c>
      <c r="J795" s="25" t="n">
        <v>1</v>
      </c>
      <c r="K795" s="25" t="n">
        <v>1</v>
      </c>
      <c r="L795" s="29" t="n">
        <v>0.78</v>
      </c>
      <c r="M795" s="30" t="n">
        <v>6.45</v>
      </c>
      <c r="N795" s="29" t="n">
        <v>0.64</v>
      </c>
      <c r="O795" s="25" t="n">
        <v>187</v>
      </c>
      <c r="P795" s="30" t="n">
        <v>6.05</v>
      </c>
      <c r="Q795" s="27" t="s">
        <v>69</v>
      </c>
      <c r="R795" s="27" t="s">
        <v>283</v>
      </c>
    </row>
    <row r="796" customFormat="false" ht="15" hidden="false" customHeight="false" outlineLevel="0" collapsed="false">
      <c r="A796" s="25" t="n">
        <f aca="false">IF(G796="REJECT",COUNTIF($G$2:$G$2277,"&lt;&gt;REJECT")+1+COUNTIFS($G$2:$G$2277,"REJECT",$B$2:$B$2277,"&gt;"&amp;B796),1+COUNTIFS($G$2:$G$2277,"&lt;&gt;REJECT",$B$2:$B$2277,"&gt;"&amp;B796))</f>
        <v>795</v>
      </c>
      <c r="B796" s="26" t="n">
        <f aca="false">ROUND(($U$2*MAX(0,MIN(1,($W$2-I796)/($W$2-$V$2)))+$U$3*MAX(0,MIN(1,($W$3-J796)/($W$3-$V$3)))+$U$4*MAX(0,MIN(1,($W$4-K796)/($W$4-$V$4)))+$U$5*MAX(0,MIN(1,($W$5-L796)/($W$5-$V$5)))+$U$6*MAX(0,MIN(1,($W$6-M796)/($W$6-$V$6)))+$U$7*MAX(0,MIN(1,($W$7-N796)/($W$7-$V$7)))+$U$8*IF(AND(O796&gt;=$V$8,O796&lt;=$W$8),1,0))/$U$9*100,2)</f>
        <v>80.4</v>
      </c>
      <c r="C796" s="27" t="s">
        <v>297</v>
      </c>
      <c r="D796" s="25" t="s">
        <v>134</v>
      </c>
      <c r="E796" s="25" t="s">
        <v>3447</v>
      </c>
      <c r="F796" s="25" t="s">
        <v>3448</v>
      </c>
      <c r="G796" s="38" t="s">
        <v>30</v>
      </c>
      <c r="H796" s="33" t="s">
        <v>24</v>
      </c>
      <c r="I796" s="25" t="n">
        <v>2</v>
      </c>
      <c r="J796" s="25" t="n">
        <v>0</v>
      </c>
      <c r="K796" s="25" t="n">
        <v>2</v>
      </c>
      <c r="L796" s="29" t="n">
        <v>0.73</v>
      </c>
      <c r="M796" s="30" t="n">
        <v>15.42</v>
      </c>
      <c r="N796" s="29" t="n">
        <v>0.2</v>
      </c>
      <c r="O796" s="25" t="n">
        <v>184</v>
      </c>
      <c r="P796" s="30" t="n">
        <v>1.8</v>
      </c>
      <c r="Q796" s="27" t="s">
        <v>3497</v>
      </c>
      <c r="R796" s="27" t="s">
        <v>30</v>
      </c>
    </row>
    <row r="797" customFormat="false" ht="15" hidden="false" customHeight="false" outlineLevel="0" collapsed="false">
      <c r="A797" s="25" t="n">
        <f aca="false">IF(G797="REJECT",COUNTIF($G$2:$G$2277,"&lt;&gt;REJECT")+1+COUNTIFS($G$2:$G$2277,"REJECT",$B$2:$B$2277,"&gt;"&amp;B797),1+COUNTIFS($G$2:$G$2277,"&lt;&gt;REJECT",$B$2:$B$2277,"&gt;"&amp;B797))</f>
        <v>796</v>
      </c>
      <c r="B797" s="26" t="n">
        <f aca="false">ROUND(($U$2*MAX(0,MIN(1,($W$2-I797)/($W$2-$V$2)))+$U$3*MAX(0,MIN(1,($W$3-J797)/($W$3-$V$3)))+$U$4*MAX(0,MIN(1,($W$4-K797)/($W$4-$V$4)))+$U$5*MAX(0,MIN(1,($W$5-L797)/($W$5-$V$5)))+$U$6*MAX(0,MIN(1,($W$6-M797)/($W$6-$V$6)))+$U$7*MAX(0,MIN(1,($W$7-N797)/($W$7-$V$7)))+$U$8*IF(AND(O797&gt;=$V$8,O797&lt;=$W$8),1,0))/$U$9*100,2)</f>
        <v>80.37</v>
      </c>
      <c r="C797" s="27" t="s">
        <v>1842</v>
      </c>
      <c r="D797" s="25" t="s">
        <v>3459</v>
      </c>
      <c r="E797" s="25" t="s">
        <v>3450</v>
      </c>
      <c r="F797" s="25" t="s">
        <v>3448</v>
      </c>
      <c r="G797" s="38" t="s">
        <v>30</v>
      </c>
      <c r="H797" s="28" t="s">
        <v>25</v>
      </c>
      <c r="I797" s="25" t="n">
        <v>1</v>
      </c>
      <c r="J797" s="25" t="n">
        <v>1</v>
      </c>
      <c r="K797" s="25" t="n">
        <v>1</v>
      </c>
      <c r="L797" s="29" t="n">
        <v>0.78</v>
      </c>
      <c r="M797" s="30" t="n">
        <v>7.88</v>
      </c>
      <c r="N797" s="29" t="n">
        <v>0.52</v>
      </c>
      <c r="O797" s="25" t="n">
        <v>184</v>
      </c>
      <c r="P797" s="30" t="n">
        <v>4.81</v>
      </c>
      <c r="Q797" s="27" t="s">
        <v>69</v>
      </c>
      <c r="R797" s="27" t="s">
        <v>283</v>
      </c>
    </row>
    <row r="798" customFormat="false" ht="15" hidden="false" customHeight="false" outlineLevel="0" collapsed="false">
      <c r="A798" s="25" t="n">
        <f aca="false">IF(G798="REJECT",COUNTIF($G$2:$G$2277,"&lt;&gt;REJECT")+1+COUNTIFS($G$2:$G$2277,"REJECT",$B$2:$B$2277,"&gt;"&amp;B798),1+COUNTIFS($G$2:$G$2277,"&lt;&gt;REJECT",$B$2:$B$2277,"&gt;"&amp;B798))</f>
        <v>797</v>
      </c>
      <c r="B798" s="26" t="n">
        <f aca="false">ROUND(($U$2*MAX(0,MIN(1,($W$2-I798)/($W$2-$V$2)))+$U$3*MAX(0,MIN(1,($W$3-J798)/($W$3-$V$3)))+$U$4*MAX(0,MIN(1,($W$4-K798)/($W$4-$V$4)))+$U$5*MAX(0,MIN(1,($W$5-L798)/($W$5-$V$5)))+$U$6*MAX(0,MIN(1,($W$6-M798)/($W$6-$V$6)))+$U$7*MAX(0,MIN(1,($W$7-N798)/($W$7-$V$7)))+$U$8*IF(AND(O798&gt;=$V$8,O798&lt;=$W$8),1,0))/$U$9*100,2)</f>
        <v>80.28</v>
      </c>
      <c r="C798" s="27" t="s">
        <v>2574</v>
      </c>
      <c r="D798" s="25" t="s">
        <v>134</v>
      </c>
      <c r="E798" s="25" t="s">
        <v>3447</v>
      </c>
      <c r="F798" s="25" t="s">
        <v>3448</v>
      </c>
      <c r="G798" s="38" t="s">
        <v>30</v>
      </c>
      <c r="H798" s="28" t="s">
        <v>25</v>
      </c>
      <c r="I798" s="25" t="n">
        <v>2</v>
      </c>
      <c r="J798" s="25" t="n">
        <v>0</v>
      </c>
      <c r="K798" s="25" t="n">
        <v>2</v>
      </c>
      <c r="L798" s="29" t="n">
        <v>0.74</v>
      </c>
      <c r="M798" s="30" t="n">
        <v>19.74</v>
      </c>
      <c r="N798" s="29" t="n">
        <v>0.2</v>
      </c>
      <c r="O798" s="25" t="n">
        <v>186</v>
      </c>
      <c r="P798" s="30" t="n">
        <v>4.55</v>
      </c>
      <c r="Q798" s="27" t="s">
        <v>3523</v>
      </c>
      <c r="R798" s="27" t="s">
        <v>2133</v>
      </c>
    </row>
    <row r="799" customFormat="false" ht="15" hidden="false" customHeight="false" outlineLevel="0" collapsed="false">
      <c r="A799" s="25" t="n">
        <f aca="false">IF(G799="REJECT",COUNTIF($G$2:$G$2277,"&lt;&gt;REJECT")+1+COUNTIFS($G$2:$G$2277,"REJECT",$B$2:$B$2277,"&gt;"&amp;B799),1+COUNTIFS($G$2:$G$2277,"&lt;&gt;REJECT",$B$2:$B$2277,"&gt;"&amp;B799))</f>
        <v>798</v>
      </c>
      <c r="B799" s="26" t="n">
        <f aca="false">ROUND(($U$2*MAX(0,MIN(1,($W$2-I799)/($W$2-$V$2)))+$U$3*MAX(0,MIN(1,($W$3-J799)/($W$3-$V$3)))+$U$4*MAX(0,MIN(1,($W$4-K799)/($W$4-$V$4)))+$U$5*MAX(0,MIN(1,($W$5-L799)/($W$5-$V$5)))+$U$6*MAX(0,MIN(1,($W$6-M799)/($W$6-$V$6)))+$U$7*MAX(0,MIN(1,($W$7-N799)/($W$7-$V$7)))+$U$8*IF(AND(O799&gt;=$V$8,O799&lt;=$W$8),1,0))/$U$9*100,2)</f>
        <v>80.26</v>
      </c>
      <c r="C799" s="27" t="s">
        <v>2965</v>
      </c>
      <c r="D799" s="25" t="s">
        <v>134</v>
      </c>
      <c r="E799" s="25" t="s">
        <v>3450</v>
      </c>
      <c r="F799" s="25" t="s">
        <v>3457</v>
      </c>
      <c r="G799" s="38" t="s">
        <v>30</v>
      </c>
      <c r="H799" s="33" t="s">
        <v>24</v>
      </c>
      <c r="I799" s="25" t="n">
        <v>2</v>
      </c>
      <c r="J799" s="25" t="n">
        <v>0</v>
      </c>
      <c r="K799" s="25" t="n">
        <v>2</v>
      </c>
      <c r="L799" s="29" t="n">
        <v>0.74</v>
      </c>
      <c r="M799" s="30" t="n">
        <v>14.67</v>
      </c>
      <c r="N799" s="29" t="n">
        <v>0.72</v>
      </c>
      <c r="O799" s="25" t="n">
        <v>195</v>
      </c>
      <c r="P799" s="30" t="n">
        <v>16.97</v>
      </c>
      <c r="Q799" s="27" t="s">
        <v>3535</v>
      </c>
      <c r="R799" s="27" t="s">
        <v>30</v>
      </c>
    </row>
    <row r="800" customFormat="false" ht="15" hidden="false" customHeight="false" outlineLevel="0" collapsed="false">
      <c r="A800" s="25" t="n">
        <f aca="false">IF(G800="REJECT",COUNTIF($G$2:$G$2277,"&lt;&gt;REJECT")+1+COUNTIFS($G$2:$G$2277,"REJECT",$B$2:$B$2277,"&gt;"&amp;B800),1+COUNTIFS($G$2:$G$2277,"&lt;&gt;REJECT",$B$2:$B$2277,"&gt;"&amp;B800))</f>
        <v>799</v>
      </c>
      <c r="B800" s="26" t="n">
        <f aca="false">ROUND(($U$2*MAX(0,MIN(1,($W$2-I800)/($W$2-$V$2)))+$U$3*MAX(0,MIN(1,($W$3-J800)/($W$3-$V$3)))+$U$4*MAX(0,MIN(1,($W$4-K800)/($W$4-$V$4)))+$U$5*MAX(0,MIN(1,($W$5-L800)/($W$5-$V$5)))+$U$6*MAX(0,MIN(1,($W$6-M800)/($W$6-$V$6)))+$U$7*MAX(0,MIN(1,($W$7-N800)/($W$7-$V$7)))+$U$8*IF(AND(O800&gt;=$V$8,O800&lt;=$W$8),1,0))/$U$9*100,2)</f>
        <v>80.17</v>
      </c>
      <c r="C800" s="27" t="s">
        <v>1340</v>
      </c>
      <c r="D800" s="25" t="s">
        <v>134</v>
      </c>
      <c r="E800" s="25" t="s">
        <v>3447</v>
      </c>
      <c r="F800" s="25" t="s">
        <v>3457</v>
      </c>
      <c r="G800" s="38" t="s">
        <v>30</v>
      </c>
      <c r="H800" s="33" t="s">
        <v>24</v>
      </c>
      <c r="I800" s="25" t="n">
        <v>2</v>
      </c>
      <c r="J800" s="25" t="n">
        <v>0</v>
      </c>
      <c r="K800" s="25" t="n">
        <v>2</v>
      </c>
      <c r="L800" s="29" t="n">
        <v>0.74</v>
      </c>
      <c r="M800" s="30" t="n">
        <v>13.19</v>
      </c>
      <c r="N800" s="29" t="n">
        <v>0.92</v>
      </c>
      <c r="O800" s="25" t="n">
        <v>186</v>
      </c>
      <c r="P800" s="30" t="n">
        <v>-1.07</v>
      </c>
      <c r="Q800" s="27" t="s">
        <v>3499</v>
      </c>
      <c r="R800" s="27" t="s">
        <v>30</v>
      </c>
    </row>
    <row r="801" customFormat="false" ht="15" hidden="false" customHeight="false" outlineLevel="0" collapsed="false">
      <c r="A801" s="25" t="n">
        <f aca="false">IF(G801="REJECT",COUNTIF($G$2:$G$2277,"&lt;&gt;REJECT")+1+COUNTIFS($G$2:$G$2277,"REJECT",$B$2:$B$2277,"&gt;"&amp;B801),1+COUNTIFS($G$2:$G$2277,"&lt;&gt;REJECT",$B$2:$B$2277,"&gt;"&amp;B801))</f>
        <v>800</v>
      </c>
      <c r="B801" s="26" t="n">
        <f aca="false">ROUND(($U$2*MAX(0,MIN(1,($W$2-I801)/($W$2-$V$2)))+$U$3*MAX(0,MIN(1,($W$3-J801)/($W$3-$V$3)))+$U$4*MAX(0,MIN(1,($W$4-K801)/($W$4-$V$4)))+$U$5*MAX(0,MIN(1,($W$5-L801)/($W$5-$V$5)))+$U$6*MAX(0,MIN(1,($W$6-M801)/($W$6-$V$6)))+$U$7*MAX(0,MIN(1,($W$7-N801)/($W$7-$V$7)))+$U$8*IF(AND(O801&gt;=$V$8,O801&lt;=$W$8),1,0))/$U$9*100,2)</f>
        <v>80.15</v>
      </c>
      <c r="C801" s="27" t="s">
        <v>2155</v>
      </c>
      <c r="D801" s="25" t="s">
        <v>3459</v>
      </c>
      <c r="E801" s="25" t="s">
        <v>3450</v>
      </c>
      <c r="F801" s="25" t="s">
        <v>3457</v>
      </c>
      <c r="G801" s="38" t="s">
        <v>30</v>
      </c>
      <c r="H801" s="28" t="s">
        <v>25</v>
      </c>
      <c r="I801" s="25" t="n">
        <v>1</v>
      </c>
      <c r="J801" s="25" t="n">
        <v>1</v>
      </c>
      <c r="K801" s="25" t="n">
        <v>1</v>
      </c>
      <c r="L801" s="29" t="n">
        <v>0.78</v>
      </c>
      <c r="M801" s="30" t="n">
        <v>8.81</v>
      </c>
      <c r="N801" s="29" t="n">
        <v>0.56</v>
      </c>
      <c r="O801" s="25" t="n">
        <v>182</v>
      </c>
      <c r="P801" s="30" t="n">
        <v>6.35</v>
      </c>
      <c r="Q801" s="27" t="s">
        <v>70</v>
      </c>
      <c r="R801" s="27" t="s">
        <v>283</v>
      </c>
    </row>
    <row r="802" customFormat="false" ht="15" hidden="false" customHeight="false" outlineLevel="0" collapsed="false">
      <c r="A802" s="25" t="n">
        <f aca="false">IF(G802="REJECT",COUNTIF($G$2:$G$2277,"&lt;&gt;REJECT")+1+COUNTIFS($G$2:$G$2277,"REJECT",$B$2:$B$2277,"&gt;"&amp;B802),1+COUNTIFS($G$2:$G$2277,"&lt;&gt;REJECT",$B$2:$B$2277,"&gt;"&amp;B802))</f>
        <v>801</v>
      </c>
      <c r="B802" s="26" t="n">
        <f aca="false">ROUND(($U$2*MAX(0,MIN(1,($W$2-I802)/($W$2-$V$2)))+$U$3*MAX(0,MIN(1,($W$3-J802)/($W$3-$V$3)))+$U$4*MAX(0,MIN(1,($W$4-K802)/($W$4-$V$4)))+$U$5*MAX(0,MIN(1,($W$5-L802)/($W$5-$V$5)))+$U$6*MAX(0,MIN(1,($W$6-M802)/($W$6-$V$6)))+$U$7*MAX(0,MIN(1,($W$7-N802)/($W$7-$V$7)))+$U$8*IF(AND(O802&gt;=$V$8,O802&lt;=$W$8),1,0))/$U$9*100,2)</f>
        <v>80.14</v>
      </c>
      <c r="C802" s="27" t="s">
        <v>297</v>
      </c>
      <c r="D802" s="25" t="s">
        <v>134</v>
      </c>
      <c r="E802" s="25" t="s">
        <v>3447</v>
      </c>
      <c r="F802" s="25" t="s">
        <v>3457</v>
      </c>
      <c r="G802" s="38" t="s">
        <v>30</v>
      </c>
      <c r="H802" s="28" t="s">
        <v>25</v>
      </c>
      <c r="I802" s="25" t="n">
        <v>2</v>
      </c>
      <c r="J802" s="25" t="n">
        <v>0</v>
      </c>
      <c r="K802" s="25" t="n">
        <v>2</v>
      </c>
      <c r="L802" s="29" t="n">
        <v>0.74</v>
      </c>
      <c r="M802" s="30" t="n">
        <v>13.39</v>
      </c>
      <c r="N802" s="29" t="n">
        <v>0.92</v>
      </c>
      <c r="O802" s="25" t="n">
        <v>184</v>
      </c>
      <c r="P802" s="30" t="n">
        <v>-0.48</v>
      </c>
      <c r="Q802" s="27" t="s">
        <v>3508</v>
      </c>
      <c r="R802" s="27" t="s">
        <v>2610</v>
      </c>
    </row>
    <row r="803" customFormat="false" ht="15" hidden="false" customHeight="false" outlineLevel="0" collapsed="false">
      <c r="A803" s="25" t="n">
        <f aca="false">IF(G803="REJECT",COUNTIF($G$2:$G$2277,"&lt;&gt;REJECT")+1+COUNTIFS($G$2:$G$2277,"REJECT",$B$2:$B$2277,"&gt;"&amp;B803),1+COUNTIFS($G$2:$G$2277,"&lt;&gt;REJECT",$B$2:$B$2277,"&gt;"&amp;B803))</f>
        <v>801</v>
      </c>
      <c r="B803" s="26" t="n">
        <f aca="false">ROUND(($U$2*MAX(0,MIN(1,($W$2-I803)/($W$2-$V$2)))+$U$3*MAX(0,MIN(1,($W$3-J803)/($W$3-$V$3)))+$U$4*MAX(0,MIN(1,($W$4-K803)/($W$4-$V$4)))+$U$5*MAX(0,MIN(1,($W$5-L803)/($W$5-$V$5)))+$U$6*MAX(0,MIN(1,($W$6-M803)/($W$6-$V$6)))+$U$7*MAX(0,MIN(1,($W$7-N803)/($W$7-$V$7)))+$U$8*IF(AND(O803&gt;=$V$8,O803&lt;=$W$8),1,0))/$U$9*100,2)</f>
        <v>80.14</v>
      </c>
      <c r="C803" s="27" t="s">
        <v>2654</v>
      </c>
      <c r="D803" s="25" t="s">
        <v>134</v>
      </c>
      <c r="E803" s="25" t="s">
        <v>3447</v>
      </c>
      <c r="F803" s="25" t="s">
        <v>3457</v>
      </c>
      <c r="G803" s="38" t="s">
        <v>30</v>
      </c>
      <c r="H803" s="28" t="s">
        <v>25</v>
      </c>
      <c r="I803" s="25" t="n">
        <v>1</v>
      </c>
      <c r="J803" s="25" t="n">
        <v>1</v>
      </c>
      <c r="K803" s="25" t="n">
        <v>1</v>
      </c>
      <c r="L803" s="29" t="n">
        <v>0.79</v>
      </c>
      <c r="M803" s="30" t="n">
        <v>14.46</v>
      </c>
      <c r="N803" s="29" t="n">
        <v>0.36</v>
      </c>
      <c r="O803" s="25" t="n">
        <v>182</v>
      </c>
      <c r="P803" s="30" t="n">
        <v>5.86</v>
      </c>
      <c r="Q803" s="27" t="s">
        <v>69</v>
      </c>
      <c r="R803" s="27" t="s">
        <v>283</v>
      </c>
    </row>
    <row r="804" customFormat="false" ht="15" hidden="false" customHeight="false" outlineLevel="0" collapsed="false">
      <c r="A804" s="25" t="n">
        <f aca="false">IF(G804="REJECT",COUNTIF($G$2:$G$2277,"&lt;&gt;REJECT")+1+COUNTIFS($G$2:$G$2277,"REJECT",$B$2:$B$2277,"&gt;"&amp;B804),1+COUNTIFS($G$2:$G$2277,"&lt;&gt;REJECT",$B$2:$B$2277,"&gt;"&amp;B804))</f>
        <v>803</v>
      </c>
      <c r="B804" s="26" t="n">
        <f aca="false">ROUND(($U$2*MAX(0,MIN(1,($W$2-I804)/($W$2-$V$2)))+$U$3*MAX(0,MIN(1,($W$3-J804)/($W$3-$V$3)))+$U$4*MAX(0,MIN(1,($W$4-K804)/($W$4-$V$4)))+$U$5*MAX(0,MIN(1,($W$5-L804)/($W$5-$V$5)))+$U$6*MAX(0,MIN(1,($W$6-M804)/($W$6-$V$6)))+$U$7*MAX(0,MIN(1,($W$7-N804)/($W$7-$V$7)))+$U$8*IF(AND(O804&gt;=$V$8,O804&lt;=$W$8),1,0))/$U$9*100,2)</f>
        <v>80.09</v>
      </c>
      <c r="C804" s="27" t="s">
        <v>418</v>
      </c>
      <c r="D804" s="25" t="s">
        <v>3459</v>
      </c>
      <c r="E804" s="25" t="s">
        <v>3447</v>
      </c>
      <c r="F804" s="25" t="s">
        <v>3457</v>
      </c>
      <c r="G804" s="38" t="s">
        <v>30</v>
      </c>
      <c r="H804" s="33" t="s">
        <v>24</v>
      </c>
      <c r="I804" s="25" t="n">
        <v>3</v>
      </c>
      <c r="J804" s="25" t="n">
        <v>0</v>
      </c>
      <c r="K804" s="25" t="n">
        <v>3</v>
      </c>
      <c r="L804" s="29" t="n">
        <v>0.82</v>
      </c>
      <c r="M804" s="30" t="n">
        <v>3.35</v>
      </c>
      <c r="N804" s="29" t="n">
        <v>0.36</v>
      </c>
      <c r="O804" s="25" t="n">
        <v>182</v>
      </c>
      <c r="P804" s="30" t="n">
        <v>2.75</v>
      </c>
      <c r="Q804" s="27" t="s">
        <v>3536</v>
      </c>
      <c r="R804" s="27" t="s">
        <v>30</v>
      </c>
    </row>
    <row r="805" customFormat="false" ht="15" hidden="false" customHeight="false" outlineLevel="0" collapsed="false">
      <c r="A805" s="25" t="n">
        <f aca="false">IF(G805="REJECT",COUNTIF($G$2:$G$2277,"&lt;&gt;REJECT")+1+COUNTIFS($G$2:$G$2277,"REJECT",$B$2:$B$2277,"&gt;"&amp;B805),1+COUNTIFS($G$2:$G$2277,"&lt;&gt;REJECT",$B$2:$B$2277,"&gt;"&amp;B805))</f>
        <v>804</v>
      </c>
      <c r="B805" s="26" t="n">
        <f aca="false">ROUND(($U$2*MAX(0,MIN(1,($W$2-I805)/($W$2-$V$2)))+$U$3*MAX(0,MIN(1,($W$3-J805)/($W$3-$V$3)))+$U$4*MAX(0,MIN(1,($W$4-K805)/($W$4-$V$4)))+$U$5*MAX(0,MIN(1,($W$5-L805)/($W$5-$V$5)))+$U$6*MAX(0,MIN(1,($W$6-M805)/($W$6-$V$6)))+$U$7*MAX(0,MIN(1,($W$7-N805)/($W$7-$V$7)))+$U$8*IF(AND(O805&gt;=$V$8,O805&lt;=$W$8),1,0))/$U$9*100,2)</f>
        <v>80.08</v>
      </c>
      <c r="C805" s="27" t="s">
        <v>2932</v>
      </c>
      <c r="D805" s="25" t="s">
        <v>134</v>
      </c>
      <c r="E805" s="25" t="s">
        <v>3447</v>
      </c>
      <c r="F805" s="25" t="s">
        <v>3457</v>
      </c>
      <c r="G805" s="38" t="s">
        <v>30</v>
      </c>
      <c r="H805" s="28" t="s">
        <v>25</v>
      </c>
      <c r="I805" s="25" t="n">
        <v>1</v>
      </c>
      <c r="J805" s="25" t="n">
        <v>1</v>
      </c>
      <c r="K805" s="25" t="n">
        <v>1</v>
      </c>
      <c r="L805" s="29" t="n">
        <v>0.79</v>
      </c>
      <c r="M805" s="30" t="n">
        <v>10.8</v>
      </c>
      <c r="N805" s="29" t="n">
        <v>0.76</v>
      </c>
      <c r="O805" s="25" t="n">
        <v>190</v>
      </c>
      <c r="P805" s="30" t="n">
        <v>-0.9</v>
      </c>
      <c r="Q805" s="27" t="s">
        <v>70</v>
      </c>
      <c r="R805" s="27" t="s">
        <v>1152</v>
      </c>
    </row>
    <row r="806" customFormat="false" ht="15" hidden="false" customHeight="false" outlineLevel="0" collapsed="false">
      <c r="A806" s="25" t="n">
        <f aca="false">IF(G806="REJECT",COUNTIF($G$2:$G$2277,"&lt;&gt;REJECT")+1+COUNTIFS($G$2:$G$2277,"REJECT",$B$2:$B$2277,"&gt;"&amp;B806),1+COUNTIFS($G$2:$G$2277,"&lt;&gt;REJECT",$B$2:$B$2277,"&gt;"&amp;B806))</f>
        <v>805</v>
      </c>
      <c r="B806" s="26" t="n">
        <f aca="false">ROUND(($U$2*MAX(0,MIN(1,($W$2-I806)/($W$2-$V$2)))+$U$3*MAX(0,MIN(1,($W$3-J806)/($W$3-$V$3)))+$U$4*MAX(0,MIN(1,($W$4-K806)/($W$4-$V$4)))+$U$5*MAX(0,MIN(1,($W$5-L806)/($W$5-$V$5)))+$U$6*MAX(0,MIN(1,($W$6-M806)/($W$6-$V$6)))+$U$7*MAX(0,MIN(1,($W$7-N806)/($W$7-$V$7)))+$U$8*IF(AND(O806&gt;=$V$8,O806&lt;=$W$8),1,0))/$U$9*100,2)</f>
        <v>80.06</v>
      </c>
      <c r="C806" s="27" t="s">
        <v>1825</v>
      </c>
      <c r="D806" s="25" t="s">
        <v>3459</v>
      </c>
      <c r="E806" s="25" t="s">
        <v>3447</v>
      </c>
      <c r="F806" s="25" t="s">
        <v>3457</v>
      </c>
      <c r="G806" s="38" t="s">
        <v>30</v>
      </c>
      <c r="H806" s="33" t="s">
        <v>24</v>
      </c>
      <c r="I806" s="25" t="n">
        <v>1</v>
      </c>
      <c r="J806" s="25" t="n">
        <v>0</v>
      </c>
      <c r="K806" s="25" t="n">
        <v>1</v>
      </c>
      <c r="L806" s="29" t="n">
        <v>0.61</v>
      </c>
      <c r="M806" s="30" t="n">
        <v>6.96</v>
      </c>
      <c r="N806" s="29" t="n">
        <v>0.68</v>
      </c>
      <c r="O806" s="25" t="n">
        <v>183</v>
      </c>
      <c r="P806" s="30" t="n">
        <v>0.46</v>
      </c>
      <c r="Q806" s="27" t="s">
        <v>3476</v>
      </c>
      <c r="R806" s="27" t="s">
        <v>30</v>
      </c>
    </row>
    <row r="807" customFormat="false" ht="15" hidden="false" customHeight="false" outlineLevel="0" collapsed="false">
      <c r="A807" s="25" t="n">
        <f aca="false">IF(G807="REJECT",COUNTIF($G$2:$G$2277,"&lt;&gt;REJECT")+1+COUNTIFS($G$2:$G$2277,"REJECT",$B$2:$B$2277,"&gt;"&amp;B807),1+COUNTIFS($G$2:$G$2277,"&lt;&gt;REJECT",$B$2:$B$2277,"&gt;"&amp;B807))</f>
        <v>806</v>
      </c>
      <c r="B807" s="26" t="n">
        <f aca="false">ROUND(($U$2*MAX(0,MIN(1,($W$2-I807)/($W$2-$V$2)))+$U$3*MAX(0,MIN(1,($W$3-J807)/($W$3-$V$3)))+$U$4*MAX(0,MIN(1,($W$4-K807)/($W$4-$V$4)))+$U$5*MAX(0,MIN(1,($W$5-L807)/($W$5-$V$5)))+$U$6*MAX(0,MIN(1,($W$6-M807)/($W$6-$V$6)))+$U$7*MAX(0,MIN(1,($W$7-N807)/($W$7-$V$7)))+$U$8*IF(AND(O807&gt;=$V$8,O807&lt;=$W$8),1,0))/$U$9*100,2)</f>
        <v>80.03</v>
      </c>
      <c r="C807" s="27" t="s">
        <v>1899</v>
      </c>
      <c r="D807" s="25" t="s">
        <v>134</v>
      </c>
      <c r="E807" s="25" t="s">
        <v>3450</v>
      </c>
      <c r="F807" s="25" t="s">
        <v>3448</v>
      </c>
      <c r="G807" s="38" t="s">
        <v>30</v>
      </c>
      <c r="H807" s="28" t="s">
        <v>25</v>
      </c>
      <c r="I807" s="25" t="n">
        <v>1</v>
      </c>
      <c r="J807" s="25" t="n">
        <v>1</v>
      </c>
      <c r="K807" s="25" t="n">
        <v>1</v>
      </c>
      <c r="L807" s="29" t="n">
        <v>0.77</v>
      </c>
      <c r="M807" s="30" t="n">
        <v>4.3</v>
      </c>
      <c r="N807" s="29" t="n">
        <v>0.72</v>
      </c>
      <c r="O807" s="25" t="n">
        <v>204</v>
      </c>
      <c r="P807" s="30" t="n">
        <v>9.78</v>
      </c>
      <c r="Q807" s="27" t="s">
        <v>69</v>
      </c>
      <c r="R807" s="27" t="s">
        <v>283</v>
      </c>
    </row>
    <row r="808" customFormat="false" ht="15" hidden="false" customHeight="false" outlineLevel="0" collapsed="false">
      <c r="A808" s="25" t="n">
        <f aca="false">IF(G808="REJECT",COUNTIF($G$2:$G$2277,"&lt;&gt;REJECT")+1+COUNTIFS($G$2:$G$2277,"REJECT",$B$2:$B$2277,"&gt;"&amp;B808),1+COUNTIFS($G$2:$G$2277,"&lt;&gt;REJECT",$B$2:$B$2277,"&gt;"&amp;B808))</f>
        <v>807</v>
      </c>
      <c r="B808" s="26" t="n">
        <f aca="false">ROUND(($U$2*MAX(0,MIN(1,($W$2-I808)/($W$2-$V$2)))+$U$3*MAX(0,MIN(1,($W$3-J808)/($W$3-$V$3)))+$U$4*MAX(0,MIN(1,($W$4-K808)/($W$4-$V$4)))+$U$5*MAX(0,MIN(1,($W$5-L808)/($W$5-$V$5)))+$U$6*MAX(0,MIN(1,($W$6-M808)/($W$6-$V$6)))+$U$7*MAX(0,MIN(1,($W$7-N808)/($W$7-$V$7)))+$U$8*IF(AND(O808&gt;=$V$8,O808&lt;=$W$8),1,0))/$U$9*100,2)</f>
        <v>79.95</v>
      </c>
      <c r="C808" s="27" t="s">
        <v>958</v>
      </c>
      <c r="D808" s="25" t="s">
        <v>134</v>
      </c>
      <c r="E808" s="25" t="s">
        <v>3447</v>
      </c>
      <c r="F808" s="25" t="s">
        <v>3457</v>
      </c>
      <c r="G808" s="38" t="s">
        <v>30</v>
      </c>
      <c r="H808" s="28" t="s">
        <v>25</v>
      </c>
      <c r="I808" s="25" t="n">
        <v>2</v>
      </c>
      <c r="J808" s="25" t="n">
        <v>0</v>
      </c>
      <c r="K808" s="25" t="n">
        <v>2</v>
      </c>
      <c r="L808" s="29" t="n">
        <v>0.74</v>
      </c>
      <c r="M808" s="30" t="n">
        <v>23.68</v>
      </c>
      <c r="N808" s="29" t="n">
        <v>0</v>
      </c>
      <c r="O808" s="25" t="n">
        <v>184</v>
      </c>
      <c r="P808" s="30" t="n">
        <v>-1.43</v>
      </c>
      <c r="Q808" s="27" t="s">
        <v>3514</v>
      </c>
      <c r="R808" s="27" t="s">
        <v>992</v>
      </c>
    </row>
    <row r="809" customFormat="false" ht="15" hidden="false" customHeight="false" outlineLevel="0" collapsed="false">
      <c r="A809" s="25" t="n">
        <f aca="false">IF(G809="REJECT",COUNTIF($G$2:$G$2277,"&lt;&gt;REJECT")+1+COUNTIFS($G$2:$G$2277,"REJECT",$B$2:$B$2277,"&gt;"&amp;B809),1+COUNTIFS($G$2:$G$2277,"&lt;&gt;REJECT",$B$2:$B$2277,"&gt;"&amp;B809))</f>
        <v>808</v>
      </c>
      <c r="B809" s="26" t="n">
        <f aca="false">ROUND(($U$2*MAX(0,MIN(1,($W$2-I809)/($W$2-$V$2)))+$U$3*MAX(0,MIN(1,($W$3-J809)/($W$3-$V$3)))+$U$4*MAX(0,MIN(1,($W$4-K809)/($W$4-$V$4)))+$U$5*MAX(0,MIN(1,($W$5-L809)/($W$5-$V$5)))+$U$6*MAX(0,MIN(1,($W$6-M809)/($W$6-$V$6)))+$U$7*MAX(0,MIN(1,($W$7-N809)/($W$7-$V$7)))+$U$8*IF(AND(O809&gt;=$V$8,O809&lt;=$W$8),1,0))/$U$9*100,2)</f>
        <v>79.91</v>
      </c>
      <c r="C809" s="27" t="s">
        <v>2210</v>
      </c>
      <c r="D809" s="25" t="s">
        <v>134</v>
      </c>
      <c r="E809" s="25" t="s">
        <v>3447</v>
      </c>
      <c r="F809" s="25" t="s">
        <v>3448</v>
      </c>
      <c r="G809" s="38" t="s">
        <v>30</v>
      </c>
      <c r="H809" s="28" t="s">
        <v>25</v>
      </c>
      <c r="I809" s="25" t="n">
        <v>1</v>
      </c>
      <c r="J809" s="25" t="n">
        <v>1</v>
      </c>
      <c r="K809" s="25" t="n">
        <v>1</v>
      </c>
      <c r="L809" s="29" t="n">
        <v>0.77</v>
      </c>
      <c r="M809" s="30" t="n">
        <v>7.46</v>
      </c>
      <c r="N809" s="29" t="n">
        <v>0.48</v>
      </c>
      <c r="O809" s="25" t="n">
        <v>190</v>
      </c>
      <c r="P809" s="30" t="n">
        <v>0.21</v>
      </c>
      <c r="Q809" s="27" t="s">
        <v>70</v>
      </c>
      <c r="R809" s="27" t="s">
        <v>283</v>
      </c>
    </row>
    <row r="810" customFormat="false" ht="15" hidden="false" customHeight="false" outlineLevel="0" collapsed="false">
      <c r="A810" s="25" t="n">
        <f aca="false">IF(G810="REJECT",COUNTIF($G$2:$G$2277,"&lt;&gt;REJECT")+1+COUNTIFS($G$2:$G$2277,"REJECT",$B$2:$B$2277,"&gt;"&amp;B810),1+COUNTIFS($G$2:$G$2277,"&lt;&gt;REJECT",$B$2:$B$2277,"&gt;"&amp;B810))</f>
        <v>809</v>
      </c>
      <c r="B810" s="26" t="n">
        <f aca="false">ROUND(($U$2*MAX(0,MIN(1,($W$2-I810)/($W$2-$V$2)))+$U$3*MAX(0,MIN(1,($W$3-J810)/($W$3-$V$3)))+$U$4*MAX(0,MIN(1,($W$4-K810)/($W$4-$V$4)))+$U$5*MAX(0,MIN(1,($W$5-L810)/($W$5-$V$5)))+$U$6*MAX(0,MIN(1,($W$6-M810)/($W$6-$V$6)))+$U$7*MAX(0,MIN(1,($W$7-N810)/($W$7-$V$7)))+$U$8*IF(AND(O810&gt;=$V$8,O810&lt;=$W$8),1,0))/$U$9*100,2)</f>
        <v>79.89</v>
      </c>
      <c r="C810" s="27" t="s">
        <v>1423</v>
      </c>
      <c r="D810" s="25" t="s">
        <v>134</v>
      </c>
      <c r="E810" s="25" t="s">
        <v>3447</v>
      </c>
      <c r="F810" s="25" t="s">
        <v>3448</v>
      </c>
      <c r="G810" s="38" t="s">
        <v>30</v>
      </c>
      <c r="H810" s="28" t="s">
        <v>25</v>
      </c>
      <c r="I810" s="25" t="n">
        <v>1</v>
      </c>
      <c r="J810" s="25" t="n">
        <v>1</v>
      </c>
      <c r="K810" s="25" t="n">
        <v>1</v>
      </c>
      <c r="L810" s="29" t="n">
        <v>0.77</v>
      </c>
      <c r="M810" s="30" t="n">
        <v>8.75</v>
      </c>
      <c r="N810" s="29" t="n">
        <v>0.36</v>
      </c>
      <c r="O810" s="25" t="n">
        <v>183</v>
      </c>
      <c r="P810" s="30" t="n">
        <v>1.44</v>
      </c>
      <c r="Q810" s="27" t="s">
        <v>69</v>
      </c>
      <c r="R810" s="27" t="s">
        <v>283</v>
      </c>
    </row>
    <row r="811" customFormat="false" ht="15" hidden="false" customHeight="false" outlineLevel="0" collapsed="false">
      <c r="A811" s="25" t="n">
        <f aca="false">IF(G811="REJECT",COUNTIF($G$2:$G$2277,"&lt;&gt;REJECT")+1+COUNTIFS($G$2:$G$2277,"REJECT",$B$2:$B$2277,"&gt;"&amp;B811),1+COUNTIFS($G$2:$G$2277,"&lt;&gt;REJECT",$B$2:$B$2277,"&gt;"&amp;B811))</f>
        <v>810</v>
      </c>
      <c r="B811" s="26" t="n">
        <f aca="false">ROUND(($U$2*MAX(0,MIN(1,($W$2-I811)/($W$2-$V$2)))+$U$3*MAX(0,MIN(1,($W$3-J811)/($W$3-$V$3)))+$U$4*MAX(0,MIN(1,($W$4-K811)/($W$4-$V$4)))+$U$5*MAX(0,MIN(1,($W$5-L811)/($W$5-$V$5)))+$U$6*MAX(0,MIN(1,($W$6-M811)/($W$6-$V$6)))+$U$7*MAX(0,MIN(1,($W$7-N811)/($W$7-$V$7)))+$U$8*IF(AND(O811&gt;=$V$8,O811&lt;=$W$8),1,0))/$U$9*100,2)</f>
        <v>79.85</v>
      </c>
      <c r="C811" s="27" t="s">
        <v>418</v>
      </c>
      <c r="D811" s="25" t="s">
        <v>3459</v>
      </c>
      <c r="E811" s="25" t="s">
        <v>3450</v>
      </c>
      <c r="F811" s="25" t="s">
        <v>3448</v>
      </c>
      <c r="G811" s="38" t="s">
        <v>30</v>
      </c>
      <c r="H811" s="28" t="s">
        <v>25</v>
      </c>
      <c r="I811" s="25" t="n">
        <v>1</v>
      </c>
      <c r="J811" s="25" t="n">
        <v>1</v>
      </c>
      <c r="K811" s="25" t="n">
        <v>1</v>
      </c>
      <c r="L811" s="29" t="n">
        <v>0.77</v>
      </c>
      <c r="M811" s="30" t="n">
        <v>2.98</v>
      </c>
      <c r="N811" s="29" t="n">
        <v>0.96</v>
      </c>
      <c r="O811" s="25" t="n">
        <v>182</v>
      </c>
      <c r="P811" s="30" t="n">
        <v>4.95</v>
      </c>
      <c r="Q811" s="27" t="s">
        <v>69</v>
      </c>
      <c r="R811" s="27" t="s">
        <v>283</v>
      </c>
    </row>
    <row r="812" customFormat="false" ht="15" hidden="false" customHeight="false" outlineLevel="0" collapsed="false">
      <c r="A812" s="25" t="n">
        <f aca="false">IF(G812="REJECT",COUNTIF($G$2:$G$2277,"&lt;&gt;REJECT")+1+COUNTIFS($G$2:$G$2277,"REJECT",$B$2:$B$2277,"&gt;"&amp;B812),1+COUNTIFS($G$2:$G$2277,"&lt;&gt;REJECT",$B$2:$B$2277,"&gt;"&amp;B812))</f>
        <v>811</v>
      </c>
      <c r="B812" s="26" t="n">
        <f aca="false">ROUND(($U$2*MAX(0,MIN(1,($W$2-I812)/($W$2-$V$2)))+$U$3*MAX(0,MIN(1,($W$3-J812)/($W$3-$V$3)))+$U$4*MAX(0,MIN(1,($W$4-K812)/($W$4-$V$4)))+$U$5*MAX(0,MIN(1,($W$5-L812)/($W$5-$V$5)))+$U$6*MAX(0,MIN(1,($W$6-M812)/($W$6-$V$6)))+$U$7*MAX(0,MIN(1,($W$7-N812)/($W$7-$V$7)))+$U$8*IF(AND(O812&gt;=$V$8,O812&lt;=$W$8),1,0))/$U$9*100,2)</f>
        <v>79.84</v>
      </c>
      <c r="C812" s="27" t="s">
        <v>1685</v>
      </c>
      <c r="D812" s="25" t="s">
        <v>134</v>
      </c>
      <c r="E812" s="25" t="s">
        <v>3450</v>
      </c>
      <c r="F812" s="25" t="s">
        <v>3457</v>
      </c>
      <c r="G812" s="38" t="s">
        <v>30</v>
      </c>
      <c r="H812" s="28" t="s">
        <v>25</v>
      </c>
      <c r="I812" s="25" t="n">
        <v>1</v>
      </c>
      <c r="J812" s="25" t="n">
        <v>1</v>
      </c>
      <c r="K812" s="25" t="n">
        <v>1</v>
      </c>
      <c r="L812" s="29" t="n">
        <v>0.78</v>
      </c>
      <c r="M812" s="30" t="n">
        <v>13.46</v>
      </c>
      <c r="N812" s="29" t="n">
        <v>0.28</v>
      </c>
      <c r="O812" s="25" t="n">
        <v>189</v>
      </c>
      <c r="P812" s="30" t="n">
        <v>16.12</v>
      </c>
      <c r="Q812" s="27" t="s">
        <v>69</v>
      </c>
      <c r="R812" s="27" t="s">
        <v>283</v>
      </c>
    </row>
    <row r="813" customFormat="false" ht="15" hidden="false" customHeight="false" outlineLevel="0" collapsed="false">
      <c r="A813" s="25" t="n">
        <f aca="false">IF(G813="REJECT",COUNTIF($G$2:$G$2277,"&lt;&gt;REJECT")+1+COUNTIFS($G$2:$G$2277,"REJECT",$B$2:$B$2277,"&gt;"&amp;B813),1+COUNTIFS($G$2:$G$2277,"&lt;&gt;REJECT",$B$2:$B$2277,"&gt;"&amp;B813))</f>
        <v>812</v>
      </c>
      <c r="B813" s="26" t="n">
        <f aca="false">ROUND(($U$2*MAX(0,MIN(1,($W$2-I813)/($W$2-$V$2)))+$U$3*MAX(0,MIN(1,($W$3-J813)/($W$3-$V$3)))+$U$4*MAX(0,MIN(1,($W$4-K813)/($W$4-$V$4)))+$U$5*MAX(0,MIN(1,($W$5-L813)/($W$5-$V$5)))+$U$6*MAX(0,MIN(1,($W$6-M813)/($W$6-$V$6)))+$U$7*MAX(0,MIN(1,($W$7-N813)/($W$7-$V$7)))+$U$8*IF(AND(O813&gt;=$V$8,O813&lt;=$W$8),1,0))/$U$9*100,2)</f>
        <v>79.78</v>
      </c>
      <c r="C813" s="27" t="s">
        <v>455</v>
      </c>
      <c r="D813" s="25" t="s">
        <v>3459</v>
      </c>
      <c r="E813" s="25" t="s">
        <v>3450</v>
      </c>
      <c r="F813" s="25" t="s">
        <v>3457</v>
      </c>
      <c r="G813" s="38" t="s">
        <v>30</v>
      </c>
      <c r="H813" s="28" t="s">
        <v>25</v>
      </c>
      <c r="I813" s="25" t="n">
        <v>1</v>
      </c>
      <c r="J813" s="25" t="n">
        <v>0</v>
      </c>
      <c r="K813" s="25" t="n">
        <v>1</v>
      </c>
      <c r="L813" s="29" t="n">
        <v>0.65</v>
      </c>
      <c r="M813" s="30" t="n">
        <v>23.8</v>
      </c>
      <c r="N813" s="29" t="n">
        <v>0.6</v>
      </c>
      <c r="O813" s="25" t="n">
        <v>183</v>
      </c>
      <c r="P813" s="30" t="n">
        <v>14.36</v>
      </c>
      <c r="Q813" s="27" t="s">
        <v>3509</v>
      </c>
      <c r="R813" s="27" t="s">
        <v>144</v>
      </c>
    </row>
    <row r="814" customFormat="false" ht="15" hidden="false" customHeight="false" outlineLevel="0" collapsed="false">
      <c r="A814" s="25" t="n">
        <f aca="false">IF(G814="REJECT",COUNTIF($G$2:$G$2277,"&lt;&gt;REJECT")+1+COUNTIFS($G$2:$G$2277,"REJECT",$B$2:$B$2277,"&gt;"&amp;B814),1+COUNTIFS($G$2:$G$2277,"&lt;&gt;REJECT",$B$2:$B$2277,"&gt;"&amp;B814))</f>
        <v>812</v>
      </c>
      <c r="B814" s="26" t="n">
        <f aca="false">ROUND(($U$2*MAX(0,MIN(1,($W$2-I814)/($W$2-$V$2)))+$U$3*MAX(0,MIN(1,($W$3-J814)/($W$3-$V$3)))+$U$4*MAX(0,MIN(1,($W$4-K814)/($W$4-$V$4)))+$U$5*MAX(0,MIN(1,($W$5-L814)/($W$5-$V$5)))+$U$6*MAX(0,MIN(1,($W$6-M814)/($W$6-$V$6)))+$U$7*MAX(0,MIN(1,($W$7-N814)/($W$7-$V$7)))+$U$8*IF(AND(O814&gt;=$V$8,O814&lt;=$W$8),1,0))/$U$9*100,2)</f>
        <v>79.78</v>
      </c>
      <c r="C814" s="27" t="s">
        <v>1023</v>
      </c>
      <c r="D814" s="25" t="s">
        <v>134</v>
      </c>
      <c r="E814" s="25" t="s">
        <v>3450</v>
      </c>
      <c r="F814" s="25" t="s">
        <v>3448</v>
      </c>
      <c r="G814" s="38" t="s">
        <v>30</v>
      </c>
      <c r="H814" s="28" t="s">
        <v>25</v>
      </c>
      <c r="I814" s="25" t="n">
        <v>1</v>
      </c>
      <c r="J814" s="25" t="n">
        <v>1</v>
      </c>
      <c r="K814" s="25" t="n">
        <v>1</v>
      </c>
      <c r="L814" s="29" t="n">
        <v>0.76</v>
      </c>
      <c r="M814" s="30" t="n">
        <v>1.84</v>
      </c>
      <c r="N814" s="29" t="n">
        <v>0.76</v>
      </c>
      <c r="O814" s="25" t="n">
        <v>218</v>
      </c>
      <c r="P814" s="30" t="n">
        <v>3.71</v>
      </c>
      <c r="Q814" s="27" t="s">
        <v>69</v>
      </c>
      <c r="R814" s="27" t="s">
        <v>283</v>
      </c>
    </row>
    <row r="815" customFormat="false" ht="15" hidden="false" customHeight="false" outlineLevel="0" collapsed="false">
      <c r="A815" s="25" t="n">
        <f aca="false">IF(G815="REJECT",COUNTIF($G$2:$G$2277,"&lt;&gt;REJECT")+1+COUNTIFS($G$2:$G$2277,"REJECT",$B$2:$B$2277,"&gt;"&amp;B815),1+COUNTIFS($G$2:$G$2277,"&lt;&gt;REJECT",$B$2:$B$2277,"&gt;"&amp;B815))</f>
        <v>814</v>
      </c>
      <c r="B815" s="26" t="n">
        <f aca="false">ROUND(($U$2*MAX(0,MIN(1,($W$2-I815)/($W$2-$V$2)))+$U$3*MAX(0,MIN(1,($W$3-J815)/($W$3-$V$3)))+$U$4*MAX(0,MIN(1,($W$4-K815)/($W$4-$V$4)))+$U$5*MAX(0,MIN(1,($W$5-L815)/($W$5-$V$5)))+$U$6*MAX(0,MIN(1,($W$6-M815)/($W$6-$V$6)))+$U$7*MAX(0,MIN(1,($W$7-N815)/($W$7-$V$7)))+$U$8*IF(AND(O815&gt;=$V$8,O815&lt;=$W$8),1,0))/$U$9*100,2)</f>
        <v>79.77</v>
      </c>
      <c r="C815" s="27" t="s">
        <v>1380</v>
      </c>
      <c r="D815" s="25" t="s">
        <v>134</v>
      </c>
      <c r="E815" s="25" t="s">
        <v>3447</v>
      </c>
      <c r="F815" s="25" t="s">
        <v>3448</v>
      </c>
      <c r="G815" s="38" t="s">
        <v>30</v>
      </c>
      <c r="H815" s="28" t="s">
        <v>25</v>
      </c>
      <c r="I815" s="25" t="n">
        <v>2</v>
      </c>
      <c r="J815" s="25" t="n">
        <v>0</v>
      </c>
      <c r="K815" s="25" t="n">
        <v>2</v>
      </c>
      <c r="L815" s="29" t="n">
        <v>0.76</v>
      </c>
      <c r="M815" s="30" t="n">
        <v>30.33</v>
      </c>
      <c r="N815" s="29" t="n">
        <v>0.2</v>
      </c>
      <c r="O815" s="25" t="n">
        <v>188</v>
      </c>
      <c r="P815" s="30" t="n">
        <v>8.06</v>
      </c>
      <c r="Q815" s="27" t="s">
        <v>3537</v>
      </c>
      <c r="R815" s="27" t="s">
        <v>3492</v>
      </c>
    </row>
    <row r="816" customFormat="false" ht="15" hidden="false" customHeight="false" outlineLevel="0" collapsed="false">
      <c r="A816" s="25" t="n">
        <f aca="false">IF(G816="REJECT",COUNTIF($G$2:$G$2277,"&lt;&gt;REJECT")+1+COUNTIFS($G$2:$G$2277,"REJECT",$B$2:$B$2277,"&gt;"&amp;B816),1+COUNTIFS($G$2:$G$2277,"&lt;&gt;REJECT",$B$2:$B$2277,"&gt;"&amp;B816))</f>
        <v>814</v>
      </c>
      <c r="B816" s="26" t="n">
        <f aca="false">ROUND(($U$2*MAX(0,MIN(1,($W$2-I816)/($W$2-$V$2)))+$U$3*MAX(0,MIN(1,($W$3-J816)/($W$3-$V$3)))+$U$4*MAX(0,MIN(1,($W$4-K816)/($W$4-$V$4)))+$U$5*MAX(0,MIN(1,($W$5-L816)/($W$5-$V$5)))+$U$6*MAX(0,MIN(1,($W$6-M816)/($W$6-$V$6)))+$U$7*MAX(0,MIN(1,($W$7-N816)/($W$7-$V$7)))+$U$8*IF(AND(O816&gt;=$V$8,O816&lt;=$W$8),1,0))/$U$9*100,2)</f>
        <v>79.77</v>
      </c>
      <c r="C816" s="27" t="s">
        <v>2067</v>
      </c>
      <c r="D816" s="25" t="s">
        <v>3459</v>
      </c>
      <c r="E816" s="25" t="s">
        <v>3447</v>
      </c>
      <c r="F816" s="25" t="s">
        <v>3457</v>
      </c>
      <c r="G816" s="38" t="s">
        <v>30</v>
      </c>
      <c r="H816" s="28" t="s">
        <v>25</v>
      </c>
      <c r="I816" s="25" t="n">
        <v>1</v>
      </c>
      <c r="J816" s="25" t="n">
        <v>1</v>
      </c>
      <c r="K816" s="25" t="n">
        <v>1</v>
      </c>
      <c r="L816" s="29" t="n">
        <v>0.77</v>
      </c>
      <c r="M816" s="30" t="n">
        <v>9.08</v>
      </c>
      <c r="N816" s="29" t="n">
        <v>0.4</v>
      </c>
      <c r="O816" s="25" t="n">
        <v>183</v>
      </c>
      <c r="P816" s="30" t="n">
        <v>10.04</v>
      </c>
      <c r="Q816" s="27" t="s">
        <v>69</v>
      </c>
      <c r="R816" s="27" t="s">
        <v>283</v>
      </c>
    </row>
    <row r="817" customFormat="false" ht="15" hidden="false" customHeight="false" outlineLevel="0" collapsed="false">
      <c r="A817" s="25" t="n">
        <f aca="false">IF(G817="REJECT",COUNTIF($G$2:$G$2277,"&lt;&gt;REJECT")+1+COUNTIFS($G$2:$G$2277,"REJECT",$B$2:$B$2277,"&gt;"&amp;B817),1+COUNTIFS($G$2:$G$2277,"&lt;&gt;REJECT",$B$2:$B$2277,"&gt;"&amp;B817))</f>
        <v>816</v>
      </c>
      <c r="B817" s="26" t="n">
        <f aca="false">ROUND(($U$2*MAX(0,MIN(1,($W$2-I817)/($W$2-$V$2)))+$U$3*MAX(0,MIN(1,($W$3-J817)/($W$3-$V$3)))+$U$4*MAX(0,MIN(1,($W$4-K817)/($W$4-$V$4)))+$U$5*MAX(0,MIN(1,($W$5-L817)/($W$5-$V$5)))+$U$6*MAX(0,MIN(1,($W$6-M817)/($W$6-$V$6)))+$U$7*MAX(0,MIN(1,($W$7-N817)/($W$7-$V$7)))+$U$8*IF(AND(O817&gt;=$V$8,O817&lt;=$W$8),1,0))/$U$9*100,2)</f>
        <v>79.76</v>
      </c>
      <c r="C817" s="27" t="s">
        <v>1011</v>
      </c>
      <c r="D817" s="25" t="s">
        <v>134</v>
      </c>
      <c r="E817" s="25" t="s">
        <v>3450</v>
      </c>
      <c r="F817" s="25" t="s">
        <v>3457</v>
      </c>
      <c r="G817" s="38" t="s">
        <v>30</v>
      </c>
      <c r="H817" s="28" t="s">
        <v>25</v>
      </c>
      <c r="I817" s="25" t="n">
        <v>1</v>
      </c>
      <c r="J817" s="25" t="n">
        <v>1</v>
      </c>
      <c r="K817" s="25" t="n">
        <v>1</v>
      </c>
      <c r="L817" s="29" t="n">
        <v>0.77</v>
      </c>
      <c r="M817" s="30" t="n">
        <v>5.57</v>
      </c>
      <c r="N817" s="29" t="n">
        <v>0.76</v>
      </c>
      <c r="O817" s="25" t="n">
        <v>183</v>
      </c>
      <c r="P817" s="30" t="n">
        <v>9.43</v>
      </c>
      <c r="Q817" s="27" t="s">
        <v>69</v>
      </c>
      <c r="R817" s="27" t="s">
        <v>283</v>
      </c>
    </row>
    <row r="818" customFormat="false" ht="15" hidden="false" customHeight="false" outlineLevel="0" collapsed="false">
      <c r="A818" s="25" t="n">
        <f aca="false">IF(G818="REJECT",COUNTIF($G$2:$G$2277,"&lt;&gt;REJECT")+1+COUNTIFS($G$2:$G$2277,"REJECT",$B$2:$B$2277,"&gt;"&amp;B818),1+COUNTIFS($G$2:$G$2277,"&lt;&gt;REJECT",$B$2:$B$2277,"&gt;"&amp;B818))</f>
        <v>817</v>
      </c>
      <c r="B818" s="26" t="n">
        <f aca="false">ROUND(($U$2*MAX(0,MIN(1,($W$2-I818)/($W$2-$V$2)))+$U$3*MAX(0,MIN(1,($W$3-J818)/($W$3-$V$3)))+$U$4*MAX(0,MIN(1,($W$4-K818)/($W$4-$V$4)))+$U$5*MAX(0,MIN(1,($W$5-L818)/($W$5-$V$5)))+$U$6*MAX(0,MIN(1,($W$6-M818)/($W$6-$V$6)))+$U$7*MAX(0,MIN(1,($W$7-N818)/($W$7-$V$7)))+$U$8*IF(AND(O818&gt;=$V$8,O818&lt;=$W$8),1,0))/$U$9*100,2)</f>
        <v>79.72</v>
      </c>
      <c r="C818" s="27" t="s">
        <v>573</v>
      </c>
      <c r="D818" s="25" t="s">
        <v>134</v>
      </c>
      <c r="E818" s="25" t="s">
        <v>3447</v>
      </c>
      <c r="F818" s="25" t="s">
        <v>3457</v>
      </c>
      <c r="G818" s="38" t="s">
        <v>30</v>
      </c>
      <c r="H818" s="28" t="s">
        <v>25</v>
      </c>
      <c r="I818" s="25" t="n">
        <v>1</v>
      </c>
      <c r="J818" s="25" t="n">
        <v>1</v>
      </c>
      <c r="K818" s="25" t="n">
        <v>1</v>
      </c>
      <c r="L818" s="29" t="n">
        <v>0.78</v>
      </c>
      <c r="M818" s="30" t="n">
        <v>9.4</v>
      </c>
      <c r="N818" s="29" t="n">
        <v>0.76</v>
      </c>
      <c r="O818" s="25" t="n">
        <v>183</v>
      </c>
      <c r="P818" s="30" t="n">
        <v>7.67</v>
      </c>
      <c r="Q818" s="27" t="s">
        <v>69</v>
      </c>
      <c r="R818" s="27" t="s">
        <v>283</v>
      </c>
    </row>
    <row r="819" customFormat="false" ht="15" hidden="false" customHeight="false" outlineLevel="0" collapsed="false">
      <c r="A819" s="25" t="n">
        <f aca="false">IF(G819="REJECT",COUNTIF($G$2:$G$2277,"&lt;&gt;REJECT")+1+COUNTIFS($G$2:$G$2277,"REJECT",$B$2:$B$2277,"&gt;"&amp;B819),1+COUNTIFS($G$2:$G$2277,"&lt;&gt;REJECT",$B$2:$B$2277,"&gt;"&amp;B819))</f>
        <v>818</v>
      </c>
      <c r="B819" s="26" t="n">
        <f aca="false">ROUND(($U$2*MAX(0,MIN(1,($W$2-I819)/($W$2-$V$2)))+$U$3*MAX(0,MIN(1,($W$3-J819)/($W$3-$V$3)))+$U$4*MAX(0,MIN(1,($W$4-K819)/($W$4-$V$4)))+$U$5*MAX(0,MIN(1,($W$5-L819)/($W$5-$V$5)))+$U$6*MAX(0,MIN(1,($W$6-M819)/($W$6-$V$6)))+$U$7*MAX(0,MIN(1,($W$7-N819)/($W$7-$V$7)))+$U$8*IF(AND(O819&gt;=$V$8,O819&lt;=$W$8),1,0))/$U$9*100,2)</f>
        <v>79.68</v>
      </c>
      <c r="C819" s="27" t="s">
        <v>1908</v>
      </c>
      <c r="D819" s="25" t="s">
        <v>134</v>
      </c>
      <c r="E819" s="25" t="s">
        <v>3450</v>
      </c>
      <c r="F819" s="25" t="s">
        <v>3457</v>
      </c>
      <c r="G819" s="38" t="s">
        <v>30</v>
      </c>
      <c r="H819" s="28" t="s">
        <v>25</v>
      </c>
      <c r="I819" s="25" t="n">
        <v>2</v>
      </c>
      <c r="J819" s="25" t="n">
        <v>0</v>
      </c>
      <c r="K819" s="25" t="n">
        <v>2</v>
      </c>
      <c r="L819" s="29" t="n">
        <v>0.71</v>
      </c>
      <c r="M819" s="30" t="n">
        <v>5.3</v>
      </c>
      <c r="N819" s="29" t="n">
        <v>0.92</v>
      </c>
      <c r="O819" s="25" t="n">
        <v>188</v>
      </c>
      <c r="P819" s="30" t="n">
        <v>-1.12</v>
      </c>
      <c r="Q819" s="27" t="s">
        <v>3494</v>
      </c>
      <c r="R819" s="27" t="s">
        <v>2559</v>
      </c>
    </row>
    <row r="820" customFormat="false" ht="15" hidden="false" customHeight="false" outlineLevel="0" collapsed="false">
      <c r="A820" s="25" t="n">
        <f aca="false">IF(G820="REJECT",COUNTIF($G$2:$G$2277,"&lt;&gt;REJECT")+1+COUNTIFS($G$2:$G$2277,"REJECT",$B$2:$B$2277,"&gt;"&amp;B820),1+COUNTIFS($G$2:$G$2277,"&lt;&gt;REJECT",$B$2:$B$2277,"&gt;"&amp;B820))</f>
        <v>819</v>
      </c>
      <c r="B820" s="26" t="n">
        <f aca="false">ROUND(($U$2*MAX(0,MIN(1,($W$2-I820)/($W$2-$V$2)))+$U$3*MAX(0,MIN(1,($W$3-J820)/($W$3-$V$3)))+$U$4*MAX(0,MIN(1,($W$4-K820)/($W$4-$V$4)))+$U$5*MAX(0,MIN(1,($W$5-L820)/($W$5-$V$5)))+$U$6*MAX(0,MIN(1,($W$6-M820)/($W$6-$V$6)))+$U$7*MAX(0,MIN(1,($W$7-N820)/($W$7-$V$7)))+$U$8*IF(AND(O820&gt;=$V$8,O820&lt;=$W$8),1,0))/$U$9*100,2)</f>
        <v>79.61</v>
      </c>
      <c r="C820" s="27" t="s">
        <v>108</v>
      </c>
      <c r="D820" s="25" t="s">
        <v>134</v>
      </c>
      <c r="E820" s="25" t="s">
        <v>3450</v>
      </c>
      <c r="F820" s="25" t="s">
        <v>3448</v>
      </c>
      <c r="G820" s="38" t="s">
        <v>30</v>
      </c>
      <c r="H820" s="28" t="s">
        <v>25</v>
      </c>
      <c r="I820" s="25" t="n">
        <v>1</v>
      </c>
      <c r="J820" s="25" t="n">
        <v>0</v>
      </c>
      <c r="K820" s="25" t="n">
        <v>1</v>
      </c>
      <c r="L820" s="29" t="n">
        <v>0.66</v>
      </c>
      <c r="M820" s="30" t="n">
        <v>24.87</v>
      </c>
      <c r="N820" s="29" t="n">
        <v>0.96</v>
      </c>
      <c r="O820" s="25" t="n">
        <v>193</v>
      </c>
      <c r="P820" s="30" t="n">
        <v>14.77</v>
      </c>
      <c r="Q820" s="27" t="s">
        <v>3476</v>
      </c>
      <c r="R820" s="27" t="s">
        <v>992</v>
      </c>
    </row>
    <row r="821" customFormat="false" ht="15" hidden="false" customHeight="false" outlineLevel="0" collapsed="false">
      <c r="A821" s="25" t="n">
        <f aca="false">IF(G821="REJECT",COUNTIF($G$2:$G$2277,"&lt;&gt;REJECT")+1+COUNTIFS($G$2:$G$2277,"REJECT",$B$2:$B$2277,"&gt;"&amp;B821),1+COUNTIFS($G$2:$G$2277,"&lt;&gt;REJECT",$B$2:$B$2277,"&gt;"&amp;B821))</f>
        <v>820</v>
      </c>
      <c r="B821" s="26" t="n">
        <f aca="false">ROUND(($U$2*MAX(0,MIN(1,($W$2-I821)/($W$2-$V$2)))+$U$3*MAX(0,MIN(1,($W$3-J821)/($W$3-$V$3)))+$U$4*MAX(0,MIN(1,($W$4-K821)/($W$4-$V$4)))+$U$5*MAX(0,MIN(1,($W$5-L821)/($W$5-$V$5)))+$U$6*MAX(0,MIN(1,($W$6-M821)/($W$6-$V$6)))+$U$7*MAX(0,MIN(1,($W$7-N821)/($W$7-$V$7)))+$U$8*IF(AND(O821&gt;=$V$8,O821&lt;=$W$8),1,0))/$U$9*100,2)</f>
        <v>79.58</v>
      </c>
      <c r="C821" s="27" t="s">
        <v>3305</v>
      </c>
      <c r="D821" s="25" t="s">
        <v>134</v>
      </c>
      <c r="E821" s="25" t="s">
        <v>3447</v>
      </c>
      <c r="F821" s="25" t="s">
        <v>3457</v>
      </c>
      <c r="G821" s="38" t="s">
        <v>30</v>
      </c>
      <c r="H821" s="33" t="s">
        <v>24</v>
      </c>
      <c r="I821" s="25" t="n">
        <v>3</v>
      </c>
      <c r="J821" s="25" t="n">
        <v>0</v>
      </c>
      <c r="K821" s="25" t="n">
        <v>3</v>
      </c>
      <c r="L821" s="29" t="n">
        <v>0.81</v>
      </c>
      <c r="M821" s="30" t="n">
        <v>7.63</v>
      </c>
      <c r="N821" s="29" t="n">
        <v>0.24</v>
      </c>
      <c r="O821" s="25" t="n">
        <v>203</v>
      </c>
      <c r="P821" s="30" t="n">
        <v>1.43</v>
      </c>
      <c r="Q821" s="27" t="s">
        <v>3538</v>
      </c>
      <c r="R821" s="27" t="s">
        <v>30</v>
      </c>
    </row>
    <row r="822" customFormat="false" ht="15" hidden="false" customHeight="false" outlineLevel="0" collapsed="false">
      <c r="A822" s="25" t="n">
        <f aca="false">IF(G822="REJECT",COUNTIF($G$2:$G$2277,"&lt;&gt;REJECT")+1+COUNTIFS($G$2:$G$2277,"REJECT",$B$2:$B$2277,"&gt;"&amp;B822),1+COUNTIFS($G$2:$G$2277,"&lt;&gt;REJECT",$B$2:$B$2277,"&gt;"&amp;B822))</f>
        <v>821</v>
      </c>
      <c r="B822" s="26" t="n">
        <f aca="false">ROUND(($U$2*MAX(0,MIN(1,($W$2-I822)/($W$2-$V$2)))+$U$3*MAX(0,MIN(1,($W$3-J822)/($W$3-$V$3)))+$U$4*MAX(0,MIN(1,($W$4-K822)/($W$4-$V$4)))+$U$5*MAX(0,MIN(1,($W$5-L822)/($W$5-$V$5)))+$U$6*MAX(0,MIN(1,($W$6-M822)/($W$6-$V$6)))+$U$7*MAX(0,MIN(1,($W$7-N822)/($W$7-$V$7)))+$U$8*IF(AND(O822&gt;=$V$8,O822&lt;=$W$8),1,0))/$U$9*100,2)</f>
        <v>79.47</v>
      </c>
      <c r="C822" s="27" t="s">
        <v>2580</v>
      </c>
      <c r="D822" s="25" t="s">
        <v>134</v>
      </c>
      <c r="E822" s="25" t="s">
        <v>3447</v>
      </c>
      <c r="F822" s="25" t="s">
        <v>3457</v>
      </c>
      <c r="G822" s="38" t="s">
        <v>30</v>
      </c>
      <c r="H822" s="33" t="s">
        <v>24</v>
      </c>
      <c r="I822" s="25" t="n">
        <v>3</v>
      </c>
      <c r="J822" s="25" t="n">
        <v>0</v>
      </c>
      <c r="K822" s="25" t="n">
        <v>3</v>
      </c>
      <c r="L822" s="29" t="n">
        <v>0.82</v>
      </c>
      <c r="M822" s="30" t="n">
        <v>10.7</v>
      </c>
      <c r="N822" s="29" t="n">
        <v>0</v>
      </c>
      <c r="O822" s="25" t="n">
        <v>187</v>
      </c>
      <c r="P822" s="30" t="n">
        <v>-0.93</v>
      </c>
      <c r="Q822" s="27" t="s">
        <v>3539</v>
      </c>
      <c r="R822" s="27" t="s">
        <v>30</v>
      </c>
    </row>
    <row r="823" customFormat="false" ht="15" hidden="false" customHeight="false" outlineLevel="0" collapsed="false">
      <c r="A823" s="25" t="n">
        <f aca="false">IF(G823="REJECT",COUNTIF($G$2:$G$2277,"&lt;&gt;REJECT")+1+COUNTIFS($G$2:$G$2277,"REJECT",$B$2:$B$2277,"&gt;"&amp;B823),1+COUNTIFS($G$2:$G$2277,"&lt;&gt;REJECT",$B$2:$B$2277,"&gt;"&amp;B823))</f>
        <v>822</v>
      </c>
      <c r="B823" s="26" t="n">
        <f aca="false">ROUND(($U$2*MAX(0,MIN(1,($W$2-I823)/($W$2-$V$2)))+$U$3*MAX(0,MIN(1,($W$3-J823)/($W$3-$V$3)))+$U$4*MAX(0,MIN(1,($W$4-K823)/($W$4-$V$4)))+$U$5*MAX(0,MIN(1,($W$5-L823)/($W$5-$V$5)))+$U$6*MAX(0,MIN(1,($W$6-M823)/($W$6-$V$6)))+$U$7*MAX(0,MIN(1,($W$7-N823)/($W$7-$V$7)))+$U$8*IF(AND(O823&gt;=$V$8,O823&lt;=$W$8),1,0))/$U$9*100,2)</f>
        <v>79.46</v>
      </c>
      <c r="C823" s="27" t="s">
        <v>663</v>
      </c>
      <c r="D823" s="25" t="s">
        <v>134</v>
      </c>
      <c r="E823" s="25" t="s">
        <v>3450</v>
      </c>
      <c r="F823" s="25" t="s">
        <v>3448</v>
      </c>
      <c r="G823" s="38" t="s">
        <v>30</v>
      </c>
      <c r="H823" s="33" t="s">
        <v>24</v>
      </c>
      <c r="I823" s="25" t="n">
        <v>1</v>
      </c>
      <c r="J823" s="25" t="n">
        <v>0</v>
      </c>
      <c r="K823" s="25" t="n">
        <v>1</v>
      </c>
      <c r="L823" s="29" t="n">
        <v>0.61</v>
      </c>
      <c r="M823" s="30" t="n">
        <v>12.12</v>
      </c>
      <c r="N823" s="29" t="n">
        <v>0.52</v>
      </c>
      <c r="O823" s="25" t="n">
        <v>183</v>
      </c>
      <c r="P823" s="30" t="n">
        <v>14.56</v>
      </c>
      <c r="Q823" s="27" t="s">
        <v>3476</v>
      </c>
      <c r="R823" s="27" t="s">
        <v>30</v>
      </c>
    </row>
    <row r="824" customFormat="false" ht="15" hidden="false" customHeight="false" outlineLevel="0" collapsed="false">
      <c r="A824" s="25" t="n">
        <f aca="false">IF(G824="REJECT",COUNTIF($G$2:$G$2277,"&lt;&gt;REJECT")+1+COUNTIFS($G$2:$G$2277,"REJECT",$B$2:$B$2277,"&gt;"&amp;B824),1+COUNTIFS($G$2:$G$2277,"&lt;&gt;REJECT",$B$2:$B$2277,"&gt;"&amp;B824))</f>
        <v>823</v>
      </c>
      <c r="B824" s="26" t="n">
        <f aca="false">ROUND(($U$2*MAX(0,MIN(1,($W$2-I824)/($W$2-$V$2)))+$U$3*MAX(0,MIN(1,($W$3-J824)/($W$3-$V$3)))+$U$4*MAX(0,MIN(1,($W$4-K824)/($W$4-$V$4)))+$U$5*MAX(0,MIN(1,($W$5-L824)/($W$5-$V$5)))+$U$6*MAX(0,MIN(1,($W$6-M824)/($W$6-$V$6)))+$U$7*MAX(0,MIN(1,($W$7-N824)/($W$7-$V$7)))+$U$8*IF(AND(O824&gt;=$V$8,O824&lt;=$W$8),1,0))/$U$9*100,2)</f>
        <v>79.43</v>
      </c>
      <c r="C824" s="27" t="s">
        <v>1787</v>
      </c>
      <c r="D824" s="25" t="s">
        <v>3459</v>
      </c>
      <c r="E824" s="25" t="s">
        <v>3447</v>
      </c>
      <c r="F824" s="25" t="s">
        <v>3448</v>
      </c>
      <c r="G824" s="38" t="s">
        <v>30</v>
      </c>
      <c r="H824" s="28" t="s">
        <v>25</v>
      </c>
      <c r="I824" s="25" t="n">
        <v>1</v>
      </c>
      <c r="J824" s="25" t="n">
        <v>1</v>
      </c>
      <c r="K824" s="25" t="n">
        <v>1</v>
      </c>
      <c r="L824" s="29" t="n">
        <v>0.79</v>
      </c>
      <c r="M824" s="30" t="n">
        <v>14.32</v>
      </c>
      <c r="N824" s="29" t="n">
        <v>0.8</v>
      </c>
      <c r="O824" s="25" t="n">
        <v>184</v>
      </c>
      <c r="P824" s="30" t="n">
        <v>-1.04</v>
      </c>
      <c r="Q824" s="27" t="s">
        <v>69</v>
      </c>
      <c r="R824" s="27" t="s">
        <v>1099</v>
      </c>
    </row>
    <row r="825" customFormat="false" ht="15" hidden="false" customHeight="false" outlineLevel="0" collapsed="false">
      <c r="A825" s="25" t="n">
        <f aca="false">IF(G825="REJECT",COUNTIF($G$2:$G$2277,"&lt;&gt;REJECT")+1+COUNTIFS($G$2:$G$2277,"REJECT",$B$2:$B$2277,"&gt;"&amp;B825),1+COUNTIFS($G$2:$G$2277,"&lt;&gt;REJECT",$B$2:$B$2277,"&gt;"&amp;B825))</f>
        <v>823</v>
      </c>
      <c r="B825" s="26" t="n">
        <f aca="false">ROUND(($U$2*MAX(0,MIN(1,($W$2-I825)/($W$2-$V$2)))+$U$3*MAX(0,MIN(1,($W$3-J825)/($W$3-$V$3)))+$U$4*MAX(0,MIN(1,($W$4-K825)/($W$4-$V$4)))+$U$5*MAX(0,MIN(1,($W$5-L825)/($W$5-$V$5)))+$U$6*MAX(0,MIN(1,($W$6-M825)/($W$6-$V$6)))+$U$7*MAX(0,MIN(1,($W$7-N825)/($W$7-$V$7)))+$U$8*IF(AND(O825&gt;=$V$8,O825&lt;=$W$8),1,0))/$U$9*100,2)</f>
        <v>79.43</v>
      </c>
      <c r="C825" s="27" t="s">
        <v>2932</v>
      </c>
      <c r="D825" s="25" t="s">
        <v>134</v>
      </c>
      <c r="E825" s="25" t="s">
        <v>3450</v>
      </c>
      <c r="F825" s="25" t="s">
        <v>3457</v>
      </c>
      <c r="G825" s="38" t="s">
        <v>30</v>
      </c>
      <c r="H825" s="28" t="s">
        <v>25</v>
      </c>
      <c r="I825" s="25" t="n">
        <v>1</v>
      </c>
      <c r="J825" s="25" t="n">
        <v>1</v>
      </c>
      <c r="K825" s="25" t="n">
        <v>1</v>
      </c>
      <c r="L825" s="29" t="n">
        <v>0.77</v>
      </c>
      <c r="M825" s="30" t="n">
        <v>15.1</v>
      </c>
      <c r="N825" s="29" t="n">
        <v>0</v>
      </c>
      <c r="O825" s="25" t="n">
        <v>202</v>
      </c>
      <c r="P825" s="30" t="n">
        <v>0.29</v>
      </c>
      <c r="Q825" s="27" t="s">
        <v>70</v>
      </c>
      <c r="R825" s="27" t="s">
        <v>197</v>
      </c>
    </row>
    <row r="826" customFormat="false" ht="15" hidden="false" customHeight="false" outlineLevel="0" collapsed="false">
      <c r="A826" s="25" t="n">
        <f aca="false">IF(G826="REJECT",COUNTIF($G$2:$G$2277,"&lt;&gt;REJECT")+1+COUNTIFS($G$2:$G$2277,"REJECT",$B$2:$B$2277,"&gt;"&amp;B826),1+COUNTIFS($G$2:$G$2277,"&lt;&gt;REJECT",$B$2:$B$2277,"&gt;"&amp;B826))</f>
        <v>825</v>
      </c>
      <c r="B826" s="26" t="n">
        <f aca="false">ROUND(($U$2*MAX(0,MIN(1,($W$2-I826)/($W$2-$V$2)))+$U$3*MAX(0,MIN(1,($W$3-J826)/($W$3-$V$3)))+$U$4*MAX(0,MIN(1,($W$4-K826)/($W$4-$V$4)))+$U$5*MAX(0,MIN(1,($W$5-L826)/($W$5-$V$5)))+$U$6*MAX(0,MIN(1,($W$6-M826)/($W$6-$V$6)))+$U$7*MAX(0,MIN(1,($W$7-N826)/($W$7-$V$7)))+$U$8*IF(AND(O826&gt;=$V$8,O826&lt;=$W$8),1,0))/$U$9*100,2)</f>
        <v>79.38</v>
      </c>
      <c r="C826" s="27" t="s">
        <v>2332</v>
      </c>
      <c r="D826" s="25" t="s">
        <v>134</v>
      </c>
      <c r="E826" s="25" t="s">
        <v>3447</v>
      </c>
      <c r="F826" s="25" t="s">
        <v>3448</v>
      </c>
      <c r="G826" s="38" t="s">
        <v>30</v>
      </c>
      <c r="H826" s="28" t="s">
        <v>25</v>
      </c>
      <c r="I826" s="25" t="n">
        <v>3</v>
      </c>
      <c r="J826" s="25" t="n">
        <v>0</v>
      </c>
      <c r="K826" s="25" t="n">
        <v>3</v>
      </c>
      <c r="L826" s="29" t="n">
        <v>0.8</v>
      </c>
      <c r="M826" s="30" t="n">
        <v>2.42</v>
      </c>
      <c r="N826" s="29" t="n">
        <v>0.88</v>
      </c>
      <c r="O826" s="25" t="n">
        <v>184</v>
      </c>
      <c r="P826" s="30" t="n">
        <v>0.92</v>
      </c>
      <c r="Q826" s="27" t="s">
        <v>3540</v>
      </c>
      <c r="R826" s="27" t="s">
        <v>2133</v>
      </c>
    </row>
    <row r="827" customFormat="false" ht="15" hidden="false" customHeight="false" outlineLevel="0" collapsed="false">
      <c r="A827" s="25" t="n">
        <f aca="false">IF(G827="REJECT",COUNTIF($G$2:$G$2277,"&lt;&gt;REJECT")+1+COUNTIFS($G$2:$G$2277,"REJECT",$B$2:$B$2277,"&gt;"&amp;B827),1+COUNTIFS($G$2:$G$2277,"&lt;&gt;REJECT",$B$2:$B$2277,"&gt;"&amp;B827))</f>
        <v>826</v>
      </c>
      <c r="B827" s="26" t="n">
        <f aca="false">ROUND(($U$2*MAX(0,MIN(1,($W$2-I827)/($W$2-$V$2)))+$U$3*MAX(0,MIN(1,($W$3-J827)/($W$3-$V$3)))+$U$4*MAX(0,MIN(1,($W$4-K827)/($W$4-$V$4)))+$U$5*MAX(0,MIN(1,($W$5-L827)/($W$5-$V$5)))+$U$6*MAX(0,MIN(1,($W$6-M827)/($W$6-$V$6)))+$U$7*MAX(0,MIN(1,($W$7-N827)/($W$7-$V$7)))+$U$8*IF(AND(O827&gt;=$V$8,O827&lt;=$W$8),1,0))/$U$9*100,2)</f>
        <v>79.34</v>
      </c>
      <c r="C827" s="27" t="s">
        <v>3081</v>
      </c>
      <c r="D827" s="25" t="s">
        <v>134</v>
      </c>
      <c r="E827" s="25" t="s">
        <v>3450</v>
      </c>
      <c r="F827" s="25" t="s">
        <v>3448</v>
      </c>
      <c r="G827" s="38" t="s">
        <v>30</v>
      </c>
      <c r="H827" s="28" t="s">
        <v>25</v>
      </c>
      <c r="I827" s="25" t="n">
        <v>1</v>
      </c>
      <c r="J827" s="25" t="n">
        <v>1</v>
      </c>
      <c r="K827" s="25" t="n">
        <v>1</v>
      </c>
      <c r="L827" s="29" t="n">
        <v>0.78</v>
      </c>
      <c r="M827" s="30" t="n">
        <v>19.28</v>
      </c>
      <c r="N827" s="29" t="n">
        <v>0</v>
      </c>
      <c r="O827" s="25" t="n">
        <v>182</v>
      </c>
      <c r="P827" s="30" t="n">
        <v>7.19</v>
      </c>
      <c r="Q827" s="27" t="s">
        <v>69</v>
      </c>
      <c r="R827" s="27" t="s">
        <v>283</v>
      </c>
    </row>
    <row r="828" customFormat="false" ht="15" hidden="false" customHeight="false" outlineLevel="0" collapsed="false">
      <c r="A828" s="25" t="n">
        <f aca="false">IF(G828="REJECT",COUNTIF($G$2:$G$2277,"&lt;&gt;REJECT")+1+COUNTIFS($G$2:$G$2277,"REJECT",$B$2:$B$2277,"&gt;"&amp;B828),1+COUNTIFS($G$2:$G$2277,"&lt;&gt;REJECT",$B$2:$B$2277,"&gt;"&amp;B828))</f>
        <v>827</v>
      </c>
      <c r="B828" s="26" t="n">
        <f aca="false">ROUND(($U$2*MAX(0,MIN(1,($W$2-I828)/($W$2-$V$2)))+$U$3*MAX(0,MIN(1,($W$3-J828)/($W$3-$V$3)))+$U$4*MAX(0,MIN(1,($W$4-K828)/($W$4-$V$4)))+$U$5*MAX(0,MIN(1,($W$5-L828)/($W$5-$V$5)))+$U$6*MAX(0,MIN(1,($W$6-M828)/($W$6-$V$6)))+$U$7*MAX(0,MIN(1,($W$7-N828)/($W$7-$V$7)))+$U$8*IF(AND(O828&gt;=$V$8,O828&lt;=$W$8),1,0))/$U$9*100,2)</f>
        <v>79.26</v>
      </c>
      <c r="C828" s="27" t="s">
        <v>3034</v>
      </c>
      <c r="D828" s="25" t="s">
        <v>134</v>
      </c>
      <c r="E828" s="25" t="s">
        <v>3450</v>
      </c>
      <c r="F828" s="25" t="s">
        <v>3448</v>
      </c>
      <c r="G828" s="38" t="s">
        <v>30</v>
      </c>
      <c r="H828" s="28" t="s">
        <v>25</v>
      </c>
      <c r="I828" s="25" t="n">
        <v>1</v>
      </c>
      <c r="J828" s="25" t="n">
        <v>1</v>
      </c>
      <c r="K828" s="25" t="n">
        <v>1</v>
      </c>
      <c r="L828" s="29" t="n">
        <v>0.78</v>
      </c>
      <c r="M828" s="30" t="n">
        <v>11.37</v>
      </c>
      <c r="N828" s="29" t="n">
        <v>0.84</v>
      </c>
      <c r="O828" s="25" t="n">
        <v>189</v>
      </c>
      <c r="P828" s="30" t="n">
        <v>16.42</v>
      </c>
      <c r="Q828" s="27" t="s">
        <v>69</v>
      </c>
      <c r="R828" s="27" t="s">
        <v>283</v>
      </c>
    </row>
    <row r="829" customFormat="false" ht="15" hidden="false" customHeight="false" outlineLevel="0" collapsed="false">
      <c r="A829" s="25" t="n">
        <f aca="false">IF(G829="REJECT",COUNTIF($G$2:$G$2277,"&lt;&gt;REJECT")+1+COUNTIFS($G$2:$G$2277,"REJECT",$B$2:$B$2277,"&gt;"&amp;B829),1+COUNTIFS($G$2:$G$2277,"&lt;&gt;REJECT",$B$2:$B$2277,"&gt;"&amp;B829))</f>
        <v>828</v>
      </c>
      <c r="B829" s="26" t="n">
        <f aca="false">ROUND(($U$2*MAX(0,MIN(1,($W$2-I829)/($W$2-$V$2)))+$U$3*MAX(0,MIN(1,($W$3-J829)/($W$3-$V$3)))+$U$4*MAX(0,MIN(1,($W$4-K829)/($W$4-$V$4)))+$U$5*MAX(0,MIN(1,($W$5-L829)/($W$5-$V$5)))+$U$6*MAX(0,MIN(1,($W$6-M829)/($W$6-$V$6)))+$U$7*MAX(0,MIN(1,($W$7-N829)/($W$7-$V$7)))+$U$8*IF(AND(O829&gt;=$V$8,O829&lt;=$W$8),1,0))/$U$9*100,2)</f>
        <v>79.21</v>
      </c>
      <c r="C829" s="27" t="s">
        <v>643</v>
      </c>
      <c r="D829" s="25" t="s">
        <v>134</v>
      </c>
      <c r="E829" s="25" t="s">
        <v>3447</v>
      </c>
      <c r="F829" s="25" t="s">
        <v>3448</v>
      </c>
      <c r="G829" s="38" t="s">
        <v>30</v>
      </c>
      <c r="H829" s="28" t="s">
        <v>25</v>
      </c>
      <c r="I829" s="25" t="n">
        <v>3</v>
      </c>
      <c r="J829" s="25" t="n">
        <v>0</v>
      </c>
      <c r="K829" s="25" t="n">
        <v>3</v>
      </c>
      <c r="L829" s="29" t="n">
        <v>0.85</v>
      </c>
      <c r="M829" s="30" t="n">
        <v>6.65</v>
      </c>
      <c r="N829" s="29" t="n">
        <v>0.56</v>
      </c>
      <c r="O829" s="25" t="n">
        <v>186</v>
      </c>
      <c r="P829" s="30" t="n">
        <v>-1.22</v>
      </c>
      <c r="Q829" s="27" t="s">
        <v>3541</v>
      </c>
      <c r="R829" s="27" t="s">
        <v>2133</v>
      </c>
    </row>
    <row r="830" customFormat="false" ht="15" hidden="false" customHeight="false" outlineLevel="0" collapsed="false">
      <c r="A830" s="25" t="n">
        <f aca="false">IF(G830="REJECT",COUNTIF($G$2:$G$2277,"&lt;&gt;REJECT")+1+COUNTIFS($G$2:$G$2277,"REJECT",$B$2:$B$2277,"&gt;"&amp;B830),1+COUNTIFS($G$2:$G$2277,"&lt;&gt;REJECT",$B$2:$B$2277,"&gt;"&amp;B830))</f>
        <v>829</v>
      </c>
      <c r="B830" s="26" t="n">
        <f aca="false">ROUND(($U$2*MAX(0,MIN(1,($W$2-I830)/($W$2-$V$2)))+$U$3*MAX(0,MIN(1,($W$3-J830)/($W$3-$V$3)))+$U$4*MAX(0,MIN(1,($W$4-K830)/($W$4-$V$4)))+$U$5*MAX(0,MIN(1,($W$5-L830)/($W$5-$V$5)))+$U$6*MAX(0,MIN(1,($W$6-M830)/($W$6-$V$6)))+$U$7*MAX(0,MIN(1,($W$7-N830)/($W$7-$V$7)))+$U$8*IF(AND(O830&gt;=$V$8,O830&lt;=$W$8),1,0))/$U$9*100,2)</f>
        <v>79.2</v>
      </c>
      <c r="C830" s="27" t="s">
        <v>2391</v>
      </c>
      <c r="D830" s="25" t="s">
        <v>3459</v>
      </c>
      <c r="E830" s="25" t="s">
        <v>3447</v>
      </c>
      <c r="F830" s="25" t="s">
        <v>3448</v>
      </c>
      <c r="G830" s="38" t="s">
        <v>30</v>
      </c>
      <c r="H830" s="28" t="s">
        <v>25</v>
      </c>
      <c r="I830" s="25" t="n">
        <v>1</v>
      </c>
      <c r="J830" s="25" t="n">
        <v>1</v>
      </c>
      <c r="K830" s="25" t="n">
        <v>1</v>
      </c>
      <c r="L830" s="29" t="n">
        <v>0.79</v>
      </c>
      <c r="M830" s="30" t="n">
        <v>20.53</v>
      </c>
      <c r="N830" s="29" t="n">
        <v>0.32</v>
      </c>
      <c r="O830" s="25" t="n">
        <v>183</v>
      </c>
      <c r="P830" s="30" t="n">
        <v>8.37</v>
      </c>
      <c r="Q830" s="27" t="s">
        <v>69</v>
      </c>
      <c r="R830" s="27" t="s">
        <v>183</v>
      </c>
    </row>
    <row r="831" customFormat="false" ht="15" hidden="false" customHeight="false" outlineLevel="0" collapsed="false">
      <c r="A831" s="25" t="n">
        <f aca="false">IF(G831="REJECT",COUNTIF($G$2:$G$2277,"&lt;&gt;REJECT")+1+COUNTIFS($G$2:$G$2277,"REJECT",$B$2:$B$2277,"&gt;"&amp;B831),1+COUNTIFS($G$2:$G$2277,"&lt;&gt;REJECT",$B$2:$B$2277,"&gt;"&amp;B831))</f>
        <v>830</v>
      </c>
      <c r="B831" s="26" t="n">
        <f aca="false">ROUND(($U$2*MAX(0,MIN(1,($W$2-I831)/($W$2-$V$2)))+$U$3*MAX(0,MIN(1,($W$3-J831)/($W$3-$V$3)))+$U$4*MAX(0,MIN(1,($W$4-K831)/($W$4-$V$4)))+$U$5*MAX(0,MIN(1,($W$5-L831)/($W$5-$V$5)))+$U$6*MAX(0,MIN(1,($W$6-M831)/($W$6-$V$6)))+$U$7*MAX(0,MIN(1,($W$7-N831)/($W$7-$V$7)))+$U$8*IF(AND(O831&gt;=$V$8,O831&lt;=$W$8),1,0))/$U$9*100,2)</f>
        <v>79.19</v>
      </c>
      <c r="C831" s="27" t="s">
        <v>1096</v>
      </c>
      <c r="D831" s="25" t="s">
        <v>3459</v>
      </c>
      <c r="E831" s="25" t="s">
        <v>3447</v>
      </c>
      <c r="F831" s="25" t="s">
        <v>3448</v>
      </c>
      <c r="G831" s="38" t="s">
        <v>30</v>
      </c>
      <c r="H831" s="28" t="s">
        <v>25</v>
      </c>
      <c r="I831" s="25" t="n">
        <v>1</v>
      </c>
      <c r="J831" s="25" t="n">
        <v>1</v>
      </c>
      <c r="K831" s="25" t="n">
        <v>1</v>
      </c>
      <c r="L831" s="29" t="n">
        <v>0.76</v>
      </c>
      <c r="M831" s="30" t="n">
        <v>4.54</v>
      </c>
      <c r="N831" s="29" t="n">
        <v>0.84</v>
      </c>
      <c r="O831" s="25" t="n">
        <v>186</v>
      </c>
      <c r="P831" s="30" t="n">
        <v>-0.54</v>
      </c>
      <c r="Q831" s="27" t="s">
        <v>69</v>
      </c>
      <c r="R831" s="27" t="s">
        <v>1099</v>
      </c>
    </row>
    <row r="832" customFormat="false" ht="15" hidden="false" customHeight="false" outlineLevel="0" collapsed="false">
      <c r="A832" s="25" t="n">
        <f aca="false">IF(G832="REJECT",COUNTIF($G$2:$G$2277,"&lt;&gt;REJECT")+1+COUNTIFS($G$2:$G$2277,"REJECT",$B$2:$B$2277,"&gt;"&amp;B832),1+COUNTIFS($G$2:$G$2277,"&lt;&gt;REJECT",$B$2:$B$2277,"&gt;"&amp;B832))</f>
        <v>831</v>
      </c>
      <c r="B832" s="26" t="n">
        <f aca="false">ROUND(($U$2*MAX(0,MIN(1,($W$2-I832)/($W$2-$V$2)))+$U$3*MAX(0,MIN(1,($W$3-J832)/($W$3-$V$3)))+$U$4*MAX(0,MIN(1,($W$4-K832)/($W$4-$V$4)))+$U$5*MAX(0,MIN(1,($W$5-L832)/($W$5-$V$5)))+$U$6*MAX(0,MIN(1,($W$6-M832)/($W$6-$V$6)))+$U$7*MAX(0,MIN(1,($W$7-N832)/($W$7-$V$7)))+$U$8*IF(AND(O832&gt;=$V$8,O832&lt;=$W$8),1,0))/$U$9*100,2)</f>
        <v>79.17</v>
      </c>
      <c r="C832" s="27" t="s">
        <v>1203</v>
      </c>
      <c r="D832" s="25" t="s">
        <v>3459</v>
      </c>
      <c r="E832" s="25" t="s">
        <v>3450</v>
      </c>
      <c r="F832" s="25" t="s">
        <v>3457</v>
      </c>
      <c r="G832" s="38" t="s">
        <v>30</v>
      </c>
      <c r="H832" s="28" t="s">
        <v>25</v>
      </c>
      <c r="I832" s="25" t="n">
        <v>1</v>
      </c>
      <c r="J832" s="25" t="n">
        <v>1</v>
      </c>
      <c r="K832" s="25" t="n">
        <v>1</v>
      </c>
      <c r="L832" s="29" t="n">
        <v>0.74</v>
      </c>
      <c r="M832" s="30" t="n">
        <v>5.88</v>
      </c>
      <c r="N832" s="29" t="n">
        <v>0</v>
      </c>
      <c r="O832" s="25" t="n">
        <v>182</v>
      </c>
      <c r="P832" s="30" t="n">
        <v>13.97</v>
      </c>
      <c r="Q832" s="27" t="s">
        <v>69</v>
      </c>
      <c r="R832" s="27" t="s">
        <v>283</v>
      </c>
    </row>
    <row r="833" customFormat="false" ht="15" hidden="false" customHeight="false" outlineLevel="0" collapsed="false">
      <c r="A833" s="25" t="n">
        <f aca="false">IF(G833="REJECT",COUNTIF($G$2:$G$2277,"&lt;&gt;REJECT")+1+COUNTIFS($G$2:$G$2277,"REJECT",$B$2:$B$2277,"&gt;"&amp;B833),1+COUNTIFS($G$2:$G$2277,"&lt;&gt;REJECT",$B$2:$B$2277,"&gt;"&amp;B833))</f>
        <v>832</v>
      </c>
      <c r="B833" s="26" t="n">
        <f aca="false">ROUND(($U$2*MAX(0,MIN(1,($W$2-I833)/($W$2-$V$2)))+$U$3*MAX(0,MIN(1,($W$3-J833)/($W$3-$V$3)))+$U$4*MAX(0,MIN(1,($W$4-K833)/($W$4-$V$4)))+$U$5*MAX(0,MIN(1,($W$5-L833)/($W$5-$V$5)))+$U$6*MAX(0,MIN(1,($W$6-M833)/($W$6-$V$6)))+$U$7*MAX(0,MIN(1,($W$7-N833)/($W$7-$V$7)))+$U$8*IF(AND(O833&gt;=$V$8,O833&lt;=$W$8),1,0))/$U$9*100,2)</f>
        <v>79.12</v>
      </c>
      <c r="C833" s="27" t="s">
        <v>186</v>
      </c>
      <c r="D833" s="25" t="s">
        <v>134</v>
      </c>
      <c r="E833" s="25" t="s">
        <v>3447</v>
      </c>
      <c r="F833" s="25" t="s">
        <v>3448</v>
      </c>
      <c r="G833" s="38" t="s">
        <v>30</v>
      </c>
      <c r="H833" s="28" t="s">
        <v>25</v>
      </c>
      <c r="I833" s="25" t="n">
        <v>2</v>
      </c>
      <c r="J833" s="25" t="n">
        <v>0</v>
      </c>
      <c r="K833" s="25" t="n">
        <v>2</v>
      </c>
      <c r="L833" s="29" t="n">
        <v>0.74</v>
      </c>
      <c r="M833" s="30" t="n">
        <v>26.69</v>
      </c>
      <c r="N833" s="29" t="n">
        <v>0.2</v>
      </c>
      <c r="O833" s="25" t="n">
        <v>186</v>
      </c>
      <c r="P833" s="30" t="n">
        <v>0.7</v>
      </c>
      <c r="Q833" s="27" t="s">
        <v>3520</v>
      </c>
      <c r="R833" s="27" t="s">
        <v>992</v>
      </c>
    </row>
    <row r="834" customFormat="false" ht="15" hidden="false" customHeight="false" outlineLevel="0" collapsed="false">
      <c r="A834" s="25" t="n">
        <f aca="false">IF(G834="REJECT",COUNTIF($G$2:$G$2277,"&lt;&gt;REJECT")+1+COUNTIFS($G$2:$G$2277,"REJECT",$B$2:$B$2277,"&gt;"&amp;B834),1+COUNTIFS($G$2:$G$2277,"&lt;&gt;REJECT",$B$2:$B$2277,"&gt;"&amp;B834))</f>
        <v>833</v>
      </c>
      <c r="B834" s="26" t="n">
        <f aca="false">ROUND(($U$2*MAX(0,MIN(1,($W$2-I834)/($W$2-$V$2)))+$U$3*MAX(0,MIN(1,($W$3-J834)/($W$3-$V$3)))+$U$4*MAX(0,MIN(1,($W$4-K834)/($W$4-$V$4)))+$U$5*MAX(0,MIN(1,($W$5-L834)/($W$5-$V$5)))+$U$6*MAX(0,MIN(1,($W$6-M834)/($W$6-$V$6)))+$U$7*MAX(0,MIN(1,($W$7-N834)/($W$7-$V$7)))+$U$8*IF(AND(O834&gt;=$V$8,O834&lt;=$W$8),1,0))/$U$9*100,2)</f>
        <v>79.06</v>
      </c>
      <c r="C834" s="27" t="s">
        <v>1583</v>
      </c>
      <c r="D834" s="25" t="s">
        <v>134</v>
      </c>
      <c r="E834" s="25" t="s">
        <v>3447</v>
      </c>
      <c r="F834" s="25" t="s">
        <v>3448</v>
      </c>
      <c r="G834" s="38" t="s">
        <v>30</v>
      </c>
      <c r="H834" s="33" t="s">
        <v>24</v>
      </c>
      <c r="I834" s="25" t="n">
        <v>3</v>
      </c>
      <c r="J834" s="25" t="n">
        <v>0</v>
      </c>
      <c r="K834" s="25" t="n">
        <v>3</v>
      </c>
      <c r="L834" s="29" t="n">
        <v>0.8</v>
      </c>
      <c r="M834" s="30" t="n">
        <v>4.77</v>
      </c>
      <c r="N834" s="29" t="n">
        <v>0.84</v>
      </c>
      <c r="O834" s="25" t="n">
        <v>188</v>
      </c>
      <c r="P834" s="30" t="n">
        <v>2.63</v>
      </c>
      <c r="Q834" s="27" t="s">
        <v>3539</v>
      </c>
      <c r="R834" s="27" t="s">
        <v>30</v>
      </c>
    </row>
    <row r="835" customFormat="false" ht="15" hidden="false" customHeight="false" outlineLevel="0" collapsed="false">
      <c r="A835" s="25" t="n">
        <f aca="false">IF(G835="REJECT",COUNTIF($G$2:$G$2277,"&lt;&gt;REJECT")+1+COUNTIFS($G$2:$G$2277,"REJECT",$B$2:$B$2277,"&gt;"&amp;B835),1+COUNTIFS($G$2:$G$2277,"&lt;&gt;REJECT",$B$2:$B$2277,"&gt;"&amp;B835))</f>
        <v>833</v>
      </c>
      <c r="B835" s="26" t="n">
        <f aca="false">ROUND(($U$2*MAX(0,MIN(1,($W$2-I835)/($W$2-$V$2)))+$U$3*MAX(0,MIN(1,($W$3-J835)/($W$3-$V$3)))+$U$4*MAX(0,MIN(1,($W$4-K835)/($W$4-$V$4)))+$U$5*MAX(0,MIN(1,($W$5-L835)/($W$5-$V$5)))+$U$6*MAX(0,MIN(1,($W$6-M835)/($W$6-$V$6)))+$U$7*MAX(0,MIN(1,($W$7-N835)/($W$7-$V$7)))+$U$8*IF(AND(O835&gt;=$V$8,O835&lt;=$W$8),1,0))/$U$9*100,2)</f>
        <v>79.06</v>
      </c>
      <c r="C835" s="27" t="s">
        <v>2074</v>
      </c>
      <c r="D835" s="25" t="s">
        <v>134</v>
      </c>
      <c r="E835" s="25" t="s">
        <v>3450</v>
      </c>
      <c r="F835" s="25" t="s">
        <v>3448</v>
      </c>
      <c r="G835" s="38" t="s">
        <v>30</v>
      </c>
      <c r="H835" s="28" t="s">
        <v>25</v>
      </c>
      <c r="I835" s="25" t="n">
        <v>1</v>
      </c>
      <c r="J835" s="25" t="n">
        <v>1</v>
      </c>
      <c r="K835" s="25" t="n">
        <v>1</v>
      </c>
      <c r="L835" s="29" t="n">
        <v>0.76</v>
      </c>
      <c r="M835" s="30" t="n">
        <v>10.55</v>
      </c>
      <c r="N835" s="29" t="n">
        <v>0.32</v>
      </c>
      <c r="O835" s="25" t="n">
        <v>210</v>
      </c>
      <c r="P835" s="30" t="n">
        <v>-0.94</v>
      </c>
      <c r="Q835" s="27" t="s">
        <v>69</v>
      </c>
      <c r="R835" s="27" t="s">
        <v>197</v>
      </c>
    </row>
    <row r="836" customFormat="false" ht="15" hidden="false" customHeight="false" outlineLevel="0" collapsed="false">
      <c r="A836" s="25" t="n">
        <f aca="false">IF(G836="REJECT",COUNTIF($G$2:$G$2277,"&lt;&gt;REJECT")+1+COUNTIFS($G$2:$G$2277,"REJECT",$B$2:$B$2277,"&gt;"&amp;B836),1+COUNTIFS($G$2:$G$2277,"&lt;&gt;REJECT",$B$2:$B$2277,"&gt;"&amp;B836))</f>
        <v>833</v>
      </c>
      <c r="B836" s="26" t="n">
        <f aca="false">ROUND(($U$2*MAX(0,MIN(1,($W$2-I836)/($W$2-$V$2)))+$U$3*MAX(0,MIN(1,($W$3-J836)/($W$3-$V$3)))+$U$4*MAX(0,MIN(1,($W$4-K836)/($W$4-$V$4)))+$U$5*MAX(0,MIN(1,($W$5-L836)/($W$5-$V$5)))+$U$6*MAX(0,MIN(1,($W$6-M836)/($W$6-$V$6)))+$U$7*MAX(0,MIN(1,($W$7-N836)/($W$7-$V$7)))+$U$8*IF(AND(O836&gt;=$V$8,O836&lt;=$W$8),1,0))/$U$9*100,2)</f>
        <v>79.06</v>
      </c>
      <c r="C836" s="27" t="s">
        <v>2953</v>
      </c>
      <c r="D836" s="25" t="s">
        <v>134</v>
      </c>
      <c r="E836" s="25" t="s">
        <v>3450</v>
      </c>
      <c r="F836" s="25" t="s">
        <v>3448</v>
      </c>
      <c r="G836" s="38" t="s">
        <v>30</v>
      </c>
      <c r="H836" s="28" t="s">
        <v>25</v>
      </c>
      <c r="I836" s="25" t="n">
        <v>2</v>
      </c>
      <c r="J836" s="25" t="n">
        <v>0</v>
      </c>
      <c r="K836" s="25" t="n">
        <v>2</v>
      </c>
      <c r="L836" s="29" t="n">
        <v>0.72</v>
      </c>
      <c r="M836" s="30" t="n">
        <v>12.26</v>
      </c>
      <c r="N836" s="29" t="n">
        <v>0.96</v>
      </c>
      <c r="O836" s="25" t="n">
        <v>189</v>
      </c>
      <c r="P836" s="30" t="n">
        <v>7.29</v>
      </c>
      <c r="Q836" s="27" t="s">
        <v>3524</v>
      </c>
      <c r="R836" s="27" t="s">
        <v>2610</v>
      </c>
    </row>
    <row r="837" customFormat="false" ht="15" hidden="false" customHeight="false" outlineLevel="0" collapsed="false">
      <c r="A837" s="25" t="n">
        <f aca="false">IF(G837="REJECT",COUNTIF($G$2:$G$2277,"&lt;&gt;REJECT")+1+COUNTIFS($G$2:$G$2277,"REJECT",$B$2:$B$2277,"&gt;"&amp;B837),1+COUNTIFS($G$2:$G$2277,"&lt;&gt;REJECT",$B$2:$B$2277,"&gt;"&amp;B837))</f>
        <v>836</v>
      </c>
      <c r="B837" s="26" t="n">
        <f aca="false">ROUND(($U$2*MAX(0,MIN(1,($W$2-I837)/($W$2-$V$2)))+$U$3*MAX(0,MIN(1,($W$3-J837)/($W$3-$V$3)))+$U$4*MAX(0,MIN(1,($W$4-K837)/($W$4-$V$4)))+$U$5*MAX(0,MIN(1,($W$5-L837)/($W$5-$V$5)))+$U$6*MAX(0,MIN(1,($W$6-M837)/($W$6-$V$6)))+$U$7*MAX(0,MIN(1,($W$7-N837)/($W$7-$V$7)))+$U$8*IF(AND(O837&gt;=$V$8,O837&lt;=$W$8),1,0))/$U$9*100,2)</f>
        <v>79.05</v>
      </c>
      <c r="C837" s="27" t="s">
        <v>2782</v>
      </c>
      <c r="D837" s="25" t="s">
        <v>134</v>
      </c>
      <c r="E837" s="25" t="s">
        <v>3447</v>
      </c>
      <c r="F837" s="25" t="s">
        <v>3457</v>
      </c>
      <c r="G837" s="38" t="s">
        <v>30</v>
      </c>
      <c r="H837" s="28" t="s">
        <v>25</v>
      </c>
      <c r="I837" s="25" t="n">
        <v>1</v>
      </c>
      <c r="J837" s="25" t="n">
        <v>1</v>
      </c>
      <c r="K837" s="25" t="n">
        <v>1</v>
      </c>
      <c r="L837" s="29" t="n">
        <v>0.76</v>
      </c>
      <c r="M837" s="30" t="n">
        <v>11</v>
      </c>
      <c r="N837" s="29" t="n">
        <v>0.28</v>
      </c>
      <c r="O837" s="25" t="n">
        <v>183</v>
      </c>
      <c r="P837" s="30" t="n">
        <v>2.97</v>
      </c>
      <c r="Q837" s="27" t="s">
        <v>69</v>
      </c>
      <c r="R837" s="27" t="s">
        <v>283</v>
      </c>
    </row>
    <row r="838" customFormat="false" ht="15" hidden="false" customHeight="false" outlineLevel="0" collapsed="false">
      <c r="A838" s="25" t="n">
        <f aca="false">IF(G838="REJECT",COUNTIF($G$2:$G$2277,"&lt;&gt;REJECT")+1+COUNTIFS($G$2:$G$2277,"REJECT",$B$2:$B$2277,"&gt;"&amp;B838),1+COUNTIFS($G$2:$G$2277,"&lt;&gt;REJECT",$B$2:$B$2277,"&gt;"&amp;B838))</f>
        <v>837</v>
      </c>
      <c r="B838" s="26" t="n">
        <f aca="false">ROUND(($U$2*MAX(0,MIN(1,($W$2-I838)/($W$2-$V$2)))+$U$3*MAX(0,MIN(1,($W$3-J838)/($W$3-$V$3)))+$U$4*MAX(0,MIN(1,($W$4-K838)/($W$4-$V$4)))+$U$5*MAX(0,MIN(1,($W$5-L838)/($W$5-$V$5)))+$U$6*MAX(0,MIN(1,($W$6-M838)/($W$6-$V$6)))+$U$7*MAX(0,MIN(1,($W$7-N838)/($W$7-$V$7)))+$U$8*IF(AND(O838&gt;=$V$8,O838&lt;=$W$8),1,0))/$U$9*100,2)</f>
        <v>79.04</v>
      </c>
      <c r="C838" s="27" t="s">
        <v>1429</v>
      </c>
      <c r="D838" s="25" t="s">
        <v>134</v>
      </c>
      <c r="E838" s="25" t="s">
        <v>3447</v>
      </c>
      <c r="F838" s="25" t="s">
        <v>3457</v>
      </c>
      <c r="G838" s="38" t="s">
        <v>30</v>
      </c>
      <c r="H838" s="33" t="s">
        <v>24</v>
      </c>
      <c r="I838" s="25" t="n">
        <v>2</v>
      </c>
      <c r="J838" s="25" t="n">
        <v>0</v>
      </c>
      <c r="K838" s="25" t="n">
        <v>2</v>
      </c>
      <c r="L838" s="29" t="n">
        <v>0.71</v>
      </c>
      <c r="M838" s="30" t="n">
        <v>12.78</v>
      </c>
      <c r="N838" s="29" t="n">
        <v>0.56</v>
      </c>
      <c r="O838" s="25" t="n">
        <v>185</v>
      </c>
      <c r="P838" s="30" t="n">
        <v>9.87</v>
      </c>
      <c r="Q838" s="27" t="s">
        <v>3524</v>
      </c>
      <c r="R838" s="27" t="s">
        <v>30</v>
      </c>
    </row>
    <row r="839" customFormat="false" ht="15" hidden="false" customHeight="false" outlineLevel="0" collapsed="false">
      <c r="A839" s="25" t="n">
        <f aca="false">IF(G839="REJECT",COUNTIF($G$2:$G$2277,"&lt;&gt;REJECT")+1+COUNTIFS($G$2:$G$2277,"REJECT",$B$2:$B$2277,"&gt;"&amp;B839),1+COUNTIFS($G$2:$G$2277,"&lt;&gt;REJECT",$B$2:$B$2277,"&gt;"&amp;B839))</f>
        <v>838</v>
      </c>
      <c r="B839" s="26" t="n">
        <f aca="false">ROUND(($U$2*MAX(0,MIN(1,($W$2-I839)/($W$2-$V$2)))+$U$3*MAX(0,MIN(1,($W$3-J839)/($W$3-$V$3)))+$U$4*MAX(0,MIN(1,($W$4-K839)/($W$4-$V$4)))+$U$5*MAX(0,MIN(1,($W$5-L839)/($W$5-$V$5)))+$U$6*MAX(0,MIN(1,($W$6-M839)/($W$6-$V$6)))+$U$7*MAX(0,MIN(1,($W$7-N839)/($W$7-$V$7)))+$U$8*IF(AND(O839&gt;=$V$8,O839&lt;=$W$8),1,0))/$U$9*100,2)</f>
        <v>79.01</v>
      </c>
      <c r="C839" s="27" t="s">
        <v>2155</v>
      </c>
      <c r="D839" s="25" t="s">
        <v>134</v>
      </c>
      <c r="E839" s="25" t="s">
        <v>3450</v>
      </c>
      <c r="F839" s="25" t="s">
        <v>3448</v>
      </c>
      <c r="G839" s="38" t="s">
        <v>30</v>
      </c>
      <c r="H839" s="28" t="s">
        <v>25</v>
      </c>
      <c r="I839" s="25" t="n">
        <v>1</v>
      </c>
      <c r="J839" s="25" t="n">
        <v>1</v>
      </c>
      <c r="K839" s="25" t="n">
        <v>1</v>
      </c>
      <c r="L839" s="29" t="n">
        <v>0.8</v>
      </c>
      <c r="M839" s="30" t="n">
        <v>28.42</v>
      </c>
      <c r="N839" s="29" t="n">
        <v>0</v>
      </c>
      <c r="O839" s="25" t="n">
        <v>185</v>
      </c>
      <c r="P839" s="30" t="n">
        <v>5.84</v>
      </c>
      <c r="Q839" s="27" t="s">
        <v>70</v>
      </c>
      <c r="R839" s="27" t="s">
        <v>183</v>
      </c>
    </row>
    <row r="840" customFormat="false" ht="15" hidden="false" customHeight="false" outlineLevel="0" collapsed="false">
      <c r="A840" s="25" t="n">
        <f aca="false">IF(G840="REJECT",COUNTIF($G$2:$G$2277,"&lt;&gt;REJECT")+1+COUNTIFS($G$2:$G$2277,"REJECT",$B$2:$B$2277,"&gt;"&amp;B840),1+COUNTIFS($G$2:$G$2277,"&lt;&gt;REJECT",$B$2:$B$2277,"&gt;"&amp;B840))</f>
        <v>839</v>
      </c>
      <c r="B840" s="26" t="n">
        <f aca="false">ROUND(($U$2*MAX(0,MIN(1,($W$2-I840)/($W$2-$V$2)))+$U$3*MAX(0,MIN(1,($W$3-J840)/($W$3-$V$3)))+$U$4*MAX(0,MIN(1,($W$4-K840)/($W$4-$V$4)))+$U$5*MAX(0,MIN(1,($W$5-L840)/($W$5-$V$5)))+$U$6*MAX(0,MIN(1,($W$6-M840)/($W$6-$V$6)))+$U$7*MAX(0,MIN(1,($W$7-N840)/($W$7-$V$7)))+$U$8*IF(AND(O840&gt;=$V$8,O840&lt;=$W$8),1,0))/$U$9*100,2)</f>
        <v>78.98</v>
      </c>
      <c r="C840" s="27" t="s">
        <v>937</v>
      </c>
      <c r="D840" s="25" t="s">
        <v>134</v>
      </c>
      <c r="E840" s="25" t="s">
        <v>3447</v>
      </c>
      <c r="F840" s="25" t="s">
        <v>3457</v>
      </c>
      <c r="G840" s="38" t="s">
        <v>30</v>
      </c>
      <c r="H840" s="28" t="s">
        <v>25</v>
      </c>
      <c r="I840" s="25" t="n">
        <v>3</v>
      </c>
      <c r="J840" s="25" t="n">
        <v>0</v>
      </c>
      <c r="K840" s="25" t="n">
        <v>3</v>
      </c>
      <c r="L840" s="29" t="n">
        <v>0.84</v>
      </c>
      <c r="M840" s="30" t="n">
        <v>5.21</v>
      </c>
      <c r="N840" s="29" t="n">
        <v>0.84</v>
      </c>
      <c r="O840" s="25" t="n">
        <v>184</v>
      </c>
      <c r="P840" s="30" t="n">
        <v>-1.22</v>
      </c>
      <c r="Q840" s="27" t="s">
        <v>3542</v>
      </c>
      <c r="R840" s="27" t="s">
        <v>2610</v>
      </c>
    </row>
    <row r="841" customFormat="false" ht="15" hidden="false" customHeight="false" outlineLevel="0" collapsed="false">
      <c r="A841" s="25" t="n">
        <f aca="false">IF(G841="REJECT",COUNTIF($G$2:$G$2277,"&lt;&gt;REJECT")+1+COUNTIFS($G$2:$G$2277,"REJECT",$B$2:$B$2277,"&gt;"&amp;B841),1+COUNTIFS($G$2:$G$2277,"&lt;&gt;REJECT",$B$2:$B$2277,"&gt;"&amp;B841))</f>
        <v>840</v>
      </c>
      <c r="B841" s="26" t="n">
        <f aca="false">ROUND(($U$2*MAX(0,MIN(1,($W$2-I841)/($W$2-$V$2)))+$U$3*MAX(0,MIN(1,($W$3-J841)/($W$3-$V$3)))+$U$4*MAX(0,MIN(1,($W$4-K841)/($W$4-$V$4)))+$U$5*MAX(0,MIN(1,($W$5-L841)/($W$5-$V$5)))+$U$6*MAX(0,MIN(1,($W$6-M841)/($W$6-$V$6)))+$U$7*MAX(0,MIN(1,($W$7-N841)/($W$7-$V$7)))+$U$8*IF(AND(O841&gt;=$V$8,O841&lt;=$W$8),1,0))/$U$9*100,2)</f>
        <v>78.96</v>
      </c>
      <c r="C841" s="27" t="s">
        <v>2001</v>
      </c>
      <c r="D841" s="25" t="s">
        <v>134</v>
      </c>
      <c r="E841" s="25" t="s">
        <v>3447</v>
      </c>
      <c r="F841" s="25" t="s">
        <v>3448</v>
      </c>
      <c r="G841" s="38" t="s">
        <v>30</v>
      </c>
      <c r="H841" s="28" t="s">
        <v>25</v>
      </c>
      <c r="I841" s="25" t="n">
        <v>1</v>
      </c>
      <c r="J841" s="25" t="n">
        <v>1</v>
      </c>
      <c r="K841" s="25" t="n">
        <v>1</v>
      </c>
      <c r="L841" s="29" t="n">
        <v>0.79</v>
      </c>
      <c r="M841" s="30" t="n">
        <v>19.16</v>
      </c>
      <c r="N841" s="29" t="n">
        <v>0.6</v>
      </c>
      <c r="O841" s="25" t="n">
        <v>186</v>
      </c>
      <c r="P841" s="30" t="n">
        <v>-0.27</v>
      </c>
      <c r="Q841" s="27" t="s">
        <v>69</v>
      </c>
      <c r="R841" s="27" t="s">
        <v>1152</v>
      </c>
    </row>
    <row r="842" customFormat="false" ht="15" hidden="false" customHeight="false" outlineLevel="0" collapsed="false">
      <c r="A842" s="25" t="n">
        <f aca="false">IF(G842="REJECT",COUNTIF($G$2:$G$2277,"&lt;&gt;REJECT")+1+COUNTIFS($G$2:$G$2277,"REJECT",$B$2:$B$2277,"&gt;"&amp;B842),1+COUNTIFS($G$2:$G$2277,"&lt;&gt;REJECT",$B$2:$B$2277,"&gt;"&amp;B842))</f>
        <v>841</v>
      </c>
      <c r="B842" s="26" t="n">
        <f aca="false">ROUND(($U$2*MAX(0,MIN(1,($W$2-I842)/($W$2-$V$2)))+$U$3*MAX(0,MIN(1,($W$3-J842)/($W$3-$V$3)))+$U$4*MAX(0,MIN(1,($W$4-K842)/($W$4-$V$4)))+$U$5*MAX(0,MIN(1,($W$5-L842)/($W$5-$V$5)))+$U$6*MAX(0,MIN(1,($W$6-M842)/($W$6-$V$6)))+$U$7*MAX(0,MIN(1,($W$7-N842)/($W$7-$V$7)))+$U$8*IF(AND(O842&gt;=$V$8,O842&lt;=$W$8),1,0))/$U$9*100,2)</f>
        <v>78.94</v>
      </c>
      <c r="C842" s="27" t="s">
        <v>1899</v>
      </c>
      <c r="D842" s="25" t="s">
        <v>134</v>
      </c>
      <c r="E842" s="25" t="s">
        <v>3450</v>
      </c>
      <c r="F842" s="25" t="s">
        <v>3457</v>
      </c>
      <c r="G842" s="38" t="s">
        <v>30</v>
      </c>
      <c r="H842" s="28" t="s">
        <v>25</v>
      </c>
      <c r="I842" s="25" t="n">
        <v>1</v>
      </c>
      <c r="J842" s="25" t="n">
        <v>1</v>
      </c>
      <c r="K842" s="25" t="n">
        <v>1</v>
      </c>
      <c r="L842" s="29" t="n">
        <v>0.78</v>
      </c>
      <c r="M842" s="30" t="n">
        <v>14.05</v>
      </c>
      <c r="N842" s="29" t="n">
        <v>0.76</v>
      </c>
      <c r="O842" s="25" t="n">
        <v>187</v>
      </c>
      <c r="P842" s="30" t="n">
        <v>15.01</v>
      </c>
      <c r="Q842" s="27" t="s">
        <v>69</v>
      </c>
      <c r="R842" s="27" t="s">
        <v>283</v>
      </c>
    </row>
    <row r="843" customFormat="false" ht="15" hidden="false" customHeight="false" outlineLevel="0" collapsed="false">
      <c r="A843" s="25" t="n">
        <f aca="false">IF(G843="REJECT",COUNTIF($G$2:$G$2277,"&lt;&gt;REJECT")+1+COUNTIFS($G$2:$G$2277,"REJECT",$B$2:$B$2277,"&gt;"&amp;B843),1+COUNTIFS($G$2:$G$2277,"&lt;&gt;REJECT",$B$2:$B$2277,"&gt;"&amp;B843))</f>
        <v>842</v>
      </c>
      <c r="B843" s="26" t="n">
        <f aca="false">ROUND(($U$2*MAX(0,MIN(1,($W$2-I843)/($W$2-$V$2)))+$U$3*MAX(0,MIN(1,($W$3-J843)/($W$3-$V$3)))+$U$4*MAX(0,MIN(1,($W$4-K843)/($W$4-$V$4)))+$U$5*MAX(0,MIN(1,($W$5-L843)/($W$5-$V$5)))+$U$6*MAX(0,MIN(1,($W$6-M843)/($W$6-$V$6)))+$U$7*MAX(0,MIN(1,($W$7-N843)/($W$7-$V$7)))+$U$8*IF(AND(O843&gt;=$V$8,O843&lt;=$W$8),1,0))/$U$9*100,2)</f>
        <v>78.92</v>
      </c>
      <c r="C843" s="27" t="s">
        <v>507</v>
      </c>
      <c r="D843" s="25" t="s">
        <v>134</v>
      </c>
      <c r="E843" s="25" t="s">
        <v>3450</v>
      </c>
      <c r="F843" s="25" t="s">
        <v>3448</v>
      </c>
      <c r="G843" s="38" t="s">
        <v>30</v>
      </c>
      <c r="H843" s="28" t="s">
        <v>25</v>
      </c>
      <c r="I843" s="25" t="n">
        <v>1</v>
      </c>
      <c r="J843" s="25" t="n">
        <v>1</v>
      </c>
      <c r="K843" s="25" t="n">
        <v>1</v>
      </c>
      <c r="L843" s="29" t="n">
        <v>0.74</v>
      </c>
      <c r="M843" s="30" t="n">
        <v>0.57</v>
      </c>
      <c r="N843" s="29" t="n">
        <v>0.68</v>
      </c>
      <c r="O843" s="25" t="n">
        <v>182</v>
      </c>
      <c r="P843" s="30" t="n">
        <v>3.01</v>
      </c>
      <c r="Q843" s="27" t="s">
        <v>69</v>
      </c>
      <c r="R843" s="27" t="s">
        <v>283</v>
      </c>
    </row>
    <row r="844" customFormat="false" ht="15" hidden="false" customHeight="false" outlineLevel="0" collapsed="false">
      <c r="A844" s="25" t="n">
        <f aca="false">IF(G844="REJECT",COUNTIF($G$2:$G$2277,"&lt;&gt;REJECT")+1+COUNTIFS($G$2:$G$2277,"REJECT",$B$2:$B$2277,"&gt;"&amp;B844),1+COUNTIFS($G$2:$G$2277,"&lt;&gt;REJECT",$B$2:$B$2277,"&gt;"&amp;B844))</f>
        <v>843</v>
      </c>
      <c r="B844" s="26" t="n">
        <f aca="false">ROUND(($U$2*MAX(0,MIN(1,($W$2-I844)/($W$2-$V$2)))+$U$3*MAX(0,MIN(1,($W$3-J844)/($W$3-$V$3)))+$U$4*MAX(0,MIN(1,($W$4-K844)/($W$4-$V$4)))+$U$5*MAX(0,MIN(1,($W$5-L844)/($W$5-$V$5)))+$U$6*MAX(0,MIN(1,($W$6-M844)/($W$6-$V$6)))+$U$7*MAX(0,MIN(1,($W$7-N844)/($W$7-$V$7)))+$U$8*IF(AND(O844&gt;=$V$8,O844&lt;=$W$8),1,0))/$U$9*100,2)</f>
        <v>78.9</v>
      </c>
      <c r="C844" s="27" t="s">
        <v>1559</v>
      </c>
      <c r="D844" s="25" t="s">
        <v>134</v>
      </c>
      <c r="E844" s="25" t="s">
        <v>3447</v>
      </c>
      <c r="F844" s="25" t="s">
        <v>3448</v>
      </c>
      <c r="G844" s="38" t="s">
        <v>30</v>
      </c>
      <c r="H844" s="28" t="s">
        <v>25</v>
      </c>
      <c r="I844" s="25" t="n">
        <v>3</v>
      </c>
      <c r="J844" s="25" t="n">
        <v>0</v>
      </c>
      <c r="K844" s="25" t="n">
        <v>3</v>
      </c>
      <c r="L844" s="29" t="n">
        <v>0.84</v>
      </c>
      <c r="M844" s="30" t="n">
        <v>14.09</v>
      </c>
      <c r="N844" s="29" t="n">
        <v>0</v>
      </c>
      <c r="O844" s="25" t="n">
        <v>185</v>
      </c>
      <c r="P844" s="30" t="n">
        <v>-2.03</v>
      </c>
      <c r="Q844" s="27" t="s">
        <v>3541</v>
      </c>
      <c r="R844" s="27" t="s">
        <v>2133</v>
      </c>
    </row>
    <row r="845" customFormat="false" ht="15" hidden="false" customHeight="false" outlineLevel="0" collapsed="false">
      <c r="A845" s="25" t="n">
        <f aca="false">IF(G845="REJECT",COUNTIF($G$2:$G$2277,"&lt;&gt;REJECT")+1+COUNTIFS($G$2:$G$2277,"REJECT",$B$2:$B$2277,"&gt;"&amp;B845),1+COUNTIFS($G$2:$G$2277,"&lt;&gt;REJECT",$B$2:$B$2277,"&gt;"&amp;B845))</f>
        <v>844</v>
      </c>
      <c r="B845" s="26" t="n">
        <f aca="false">ROUND(($U$2*MAX(0,MIN(1,($W$2-I845)/($W$2-$V$2)))+$U$3*MAX(0,MIN(1,($W$3-J845)/($W$3-$V$3)))+$U$4*MAX(0,MIN(1,($W$4-K845)/($W$4-$V$4)))+$U$5*MAX(0,MIN(1,($W$5-L845)/($W$5-$V$5)))+$U$6*MAX(0,MIN(1,($W$6-M845)/($W$6-$V$6)))+$U$7*MAX(0,MIN(1,($W$7-N845)/($W$7-$V$7)))+$U$8*IF(AND(O845&gt;=$V$8,O845&lt;=$W$8),1,0))/$U$9*100,2)</f>
        <v>78.88</v>
      </c>
      <c r="C845" s="27" t="s">
        <v>323</v>
      </c>
      <c r="D845" s="25" t="s">
        <v>134</v>
      </c>
      <c r="E845" s="25" t="s">
        <v>3447</v>
      </c>
      <c r="F845" s="25" t="s">
        <v>3448</v>
      </c>
      <c r="G845" s="38" t="s">
        <v>30</v>
      </c>
      <c r="H845" s="33" t="s">
        <v>24</v>
      </c>
      <c r="I845" s="25" t="n">
        <v>2</v>
      </c>
      <c r="J845" s="25" t="n">
        <v>0</v>
      </c>
      <c r="K845" s="25" t="n">
        <v>2</v>
      </c>
      <c r="L845" s="29" t="n">
        <v>0.7</v>
      </c>
      <c r="M845" s="30" t="n">
        <v>10.52</v>
      </c>
      <c r="N845" s="29" t="n">
        <v>0.52</v>
      </c>
      <c r="O845" s="25" t="n">
        <v>183</v>
      </c>
      <c r="P845" s="30" t="n">
        <v>12.29</v>
      </c>
      <c r="Q845" s="27" t="s">
        <v>3543</v>
      </c>
      <c r="R845" s="27" t="s">
        <v>30</v>
      </c>
    </row>
    <row r="846" customFormat="false" ht="15" hidden="false" customHeight="false" outlineLevel="0" collapsed="false">
      <c r="A846" s="25" t="n">
        <f aca="false">IF(G846="REJECT",COUNTIF($G$2:$G$2277,"&lt;&gt;REJECT")+1+COUNTIFS($G$2:$G$2277,"REJECT",$B$2:$B$2277,"&gt;"&amp;B846),1+COUNTIFS($G$2:$G$2277,"&lt;&gt;REJECT",$B$2:$B$2277,"&gt;"&amp;B846))</f>
        <v>844</v>
      </c>
      <c r="B846" s="26" t="n">
        <f aca="false">ROUND(($U$2*MAX(0,MIN(1,($W$2-I846)/($W$2-$V$2)))+$U$3*MAX(0,MIN(1,($W$3-J846)/($W$3-$V$3)))+$U$4*MAX(0,MIN(1,($W$4-K846)/($W$4-$V$4)))+$U$5*MAX(0,MIN(1,($W$5-L846)/($W$5-$V$5)))+$U$6*MAX(0,MIN(1,($W$6-M846)/($W$6-$V$6)))+$U$7*MAX(0,MIN(1,($W$7-N846)/($W$7-$V$7)))+$U$8*IF(AND(O846&gt;=$V$8,O846&lt;=$W$8),1,0))/$U$9*100,2)</f>
        <v>78.88</v>
      </c>
      <c r="C846" s="27" t="s">
        <v>3162</v>
      </c>
      <c r="D846" s="25" t="s">
        <v>134</v>
      </c>
      <c r="E846" s="25" t="s">
        <v>3450</v>
      </c>
      <c r="F846" s="25" t="s">
        <v>3448</v>
      </c>
      <c r="G846" s="38" t="s">
        <v>30</v>
      </c>
      <c r="H846" s="28" t="s">
        <v>25</v>
      </c>
      <c r="I846" s="25" t="n">
        <v>1</v>
      </c>
      <c r="J846" s="25" t="n">
        <v>1</v>
      </c>
      <c r="K846" s="25" t="n">
        <v>1</v>
      </c>
      <c r="L846" s="29" t="n">
        <v>0.76</v>
      </c>
      <c r="M846" s="30" t="n">
        <v>12.45</v>
      </c>
      <c r="N846" s="29" t="n">
        <v>0.24</v>
      </c>
      <c r="O846" s="25" t="n">
        <v>181</v>
      </c>
      <c r="P846" s="30" t="n">
        <v>9.87</v>
      </c>
      <c r="Q846" s="27" t="s">
        <v>69</v>
      </c>
      <c r="R846" s="27" t="s">
        <v>283</v>
      </c>
    </row>
    <row r="847" customFormat="false" ht="15" hidden="false" customHeight="false" outlineLevel="0" collapsed="false">
      <c r="A847" s="25" t="n">
        <f aca="false">IF(G847="REJECT",COUNTIF($G$2:$G$2277,"&lt;&gt;REJECT")+1+COUNTIFS($G$2:$G$2277,"REJECT",$B$2:$B$2277,"&gt;"&amp;B847),1+COUNTIFS($G$2:$G$2277,"&lt;&gt;REJECT",$B$2:$B$2277,"&gt;"&amp;B847))</f>
        <v>846</v>
      </c>
      <c r="B847" s="26" t="n">
        <f aca="false">ROUND(($U$2*MAX(0,MIN(1,($W$2-I847)/($W$2-$V$2)))+$U$3*MAX(0,MIN(1,($W$3-J847)/($W$3-$V$3)))+$U$4*MAX(0,MIN(1,($W$4-K847)/($W$4-$V$4)))+$U$5*MAX(0,MIN(1,($W$5-L847)/($W$5-$V$5)))+$U$6*MAX(0,MIN(1,($W$6-M847)/($W$6-$V$6)))+$U$7*MAX(0,MIN(1,($W$7-N847)/($W$7-$V$7)))+$U$8*IF(AND(O847&gt;=$V$8,O847&lt;=$W$8),1,0))/$U$9*100,2)</f>
        <v>78.86</v>
      </c>
      <c r="C847" s="27" t="s">
        <v>1271</v>
      </c>
      <c r="D847" s="25" t="s">
        <v>134</v>
      </c>
      <c r="E847" s="25" t="s">
        <v>3447</v>
      </c>
      <c r="F847" s="25" t="s">
        <v>3448</v>
      </c>
      <c r="G847" s="38" t="s">
        <v>30</v>
      </c>
      <c r="H847" s="28" t="s">
        <v>25</v>
      </c>
      <c r="I847" s="25" t="n">
        <v>3</v>
      </c>
      <c r="J847" s="25" t="n">
        <v>0</v>
      </c>
      <c r="K847" s="25" t="n">
        <v>3</v>
      </c>
      <c r="L847" s="29" t="n">
        <v>0.8</v>
      </c>
      <c r="M847" s="30" t="n">
        <v>6.33</v>
      </c>
      <c r="N847" s="29" t="n">
        <v>0.8</v>
      </c>
      <c r="O847" s="25" t="n">
        <v>183</v>
      </c>
      <c r="P847" s="30" t="n">
        <v>1.84</v>
      </c>
      <c r="Q847" s="27" t="s">
        <v>3544</v>
      </c>
      <c r="R847" s="27" t="s">
        <v>2133</v>
      </c>
    </row>
    <row r="848" customFormat="false" ht="15" hidden="false" customHeight="false" outlineLevel="0" collapsed="false">
      <c r="A848" s="25" t="n">
        <f aca="false">IF(G848="REJECT",COUNTIF($G$2:$G$2277,"&lt;&gt;REJECT")+1+COUNTIFS($G$2:$G$2277,"REJECT",$B$2:$B$2277,"&gt;"&amp;B848),1+COUNTIFS($G$2:$G$2277,"&lt;&gt;REJECT",$B$2:$B$2277,"&gt;"&amp;B848))</f>
        <v>847</v>
      </c>
      <c r="B848" s="26" t="n">
        <f aca="false">ROUND(($U$2*MAX(0,MIN(1,($W$2-I848)/($W$2-$V$2)))+$U$3*MAX(0,MIN(1,($W$3-J848)/($W$3-$V$3)))+$U$4*MAX(0,MIN(1,($W$4-K848)/($W$4-$V$4)))+$U$5*MAX(0,MIN(1,($W$5-L848)/($W$5-$V$5)))+$U$6*MAX(0,MIN(1,($W$6-M848)/($W$6-$V$6)))+$U$7*MAX(0,MIN(1,($W$7-N848)/($W$7-$V$7)))+$U$8*IF(AND(O848&gt;=$V$8,O848&lt;=$W$8),1,0))/$U$9*100,2)</f>
        <v>78.8</v>
      </c>
      <c r="C848" s="27" t="s">
        <v>714</v>
      </c>
      <c r="D848" s="25" t="s">
        <v>134</v>
      </c>
      <c r="E848" s="25" t="s">
        <v>3447</v>
      </c>
      <c r="F848" s="25" t="s">
        <v>3448</v>
      </c>
      <c r="G848" s="38" t="s">
        <v>30</v>
      </c>
      <c r="H848" s="33" t="s">
        <v>24</v>
      </c>
      <c r="I848" s="25" t="n">
        <v>3</v>
      </c>
      <c r="J848" s="25" t="n">
        <v>0</v>
      </c>
      <c r="K848" s="25" t="n">
        <v>3</v>
      </c>
      <c r="L848" s="29" t="n">
        <v>0.78</v>
      </c>
      <c r="M848" s="30" t="n">
        <v>5.51</v>
      </c>
      <c r="N848" s="29" t="n">
        <v>0.2</v>
      </c>
      <c r="O848" s="25" t="n">
        <v>182</v>
      </c>
      <c r="P848" s="30" t="n">
        <v>10.67</v>
      </c>
      <c r="Q848" s="27" t="s">
        <v>3544</v>
      </c>
      <c r="R848" s="27" t="s">
        <v>30</v>
      </c>
    </row>
    <row r="849" customFormat="false" ht="15" hidden="false" customHeight="false" outlineLevel="0" collapsed="false">
      <c r="A849" s="25" t="n">
        <f aca="false">IF(G849="REJECT",COUNTIF($G$2:$G$2277,"&lt;&gt;REJECT")+1+COUNTIFS($G$2:$G$2277,"REJECT",$B$2:$B$2277,"&gt;"&amp;B849),1+COUNTIFS($G$2:$G$2277,"&lt;&gt;REJECT",$B$2:$B$2277,"&gt;"&amp;B849))</f>
        <v>848</v>
      </c>
      <c r="B849" s="26" t="n">
        <f aca="false">ROUND(($U$2*MAX(0,MIN(1,($W$2-I849)/($W$2-$V$2)))+$U$3*MAX(0,MIN(1,($W$3-J849)/($W$3-$V$3)))+$U$4*MAX(0,MIN(1,($W$4-K849)/($W$4-$V$4)))+$U$5*MAX(0,MIN(1,($W$5-L849)/($W$5-$V$5)))+$U$6*MAX(0,MIN(1,($W$6-M849)/($W$6-$V$6)))+$U$7*MAX(0,MIN(1,($W$7-N849)/($W$7-$V$7)))+$U$8*IF(AND(O849&gt;=$V$8,O849&lt;=$W$8),1,0))/$U$9*100,2)</f>
        <v>78.75</v>
      </c>
      <c r="C849" s="27" t="s">
        <v>2447</v>
      </c>
      <c r="D849" s="25" t="s">
        <v>134</v>
      </c>
      <c r="E849" s="25" t="s">
        <v>3447</v>
      </c>
      <c r="F849" s="25" t="s">
        <v>3448</v>
      </c>
      <c r="G849" s="38" t="s">
        <v>30</v>
      </c>
      <c r="H849" s="33" t="s">
        <v>24</v>
      </c>
      <c r="I849" s="25" t="n">
        <v>2</v>
      </c>
      <c r="J849" s="25" t="n">
        <v>0</v>
      </c>
      <c r="K849" s="25" t="n">
        <v>2</v>
      </c>
      <c r="L849" s="29" t="n">
        <v>0.7</v>
      </c>
      <c r="M849" s="30" t="n">
        <v>7.29</v>
      </c>
      <c r="N849" s="29" t="n">
        <v>0.92</v>
      </c>
      <c r="O849" s="25" t="n">
        <v>187</v>
      </c>
      <c r="P849" s="30" t="n">
        <v>0.45</v>
      </c>
      <c r="Q849" s="27" t="s">
        <v>3501</v>
      </c>
      <c r="R849" s="27" t="s">
        <v>30</v>
      </c>
    </row>
    <row r="850" customFormat="false" ht="15" hidden="false" customHeight="false" outlineLevel="0" collapsed="false">
      <c r="A850" s="25" t="n">
        <f aca="false">IF(G850="REJECT",COUNTIF($G$2:$G$2277,"&lt;&gt;REJECT")+1+COUNTIFS($G$2:$G$2277,"REJECT",$B$2:$B$2277,"&gt;"&amp;B850),1+COUNTIFS($G$2:$G$2277,"&lt;&gt;REJECT",$B$2:$B$2277,"&gt;"&amp;B850))</f>
        <v>849</v>
      </c>
      <c r="B850" s="26" t="n">
        <f aca="false">ROUND(($U$2*MAX(0,MIN(1,($W$2-I850)/($W$2-$V$2)))+$U$3*MAX(0,MIN(1,($W$3-J850)/($W$3-$V$3)))+$U$4*MAX(0,MIN(1,($W$4-K850)/($W$4-$V$4)))+$U$5*MAX(0,MIN(1,($W$5-L850)/($W$5-$V$5)))+$U$6*MAX(0,MIN(1,($W$6-M850)/($W$6-$V$6)))+$U$7*MAX(0,MIN(1,($W$7-N850)/($W$7-$V$7)))+$U$8*IF(AND(O850&gt;=$V$8,O850&lt;=$W$8),1,0))/$U$9*100,2)</f>
        <v>78.72</v>
      </c>
      <c r="C850" s="27" t="s">
        <v>2413</v>
      </c>
      <c r="D850" s="25" t="s">
        <v>134</v>
      </c>
      <c r="E850" s="25" t="s">
        <v>3447</v>
      </c>
      <c r="F850" s="25" t="s">
        <v>3448</v>
      </c>
      <c r="G850" s="38" t="s">
        <v>30</v>
      </c>
      <c r="H850" s="28" t="s">
        <v>25</v>
      </c>
      <c r="I850" s="25" t="n">
        <v>1</v>
      </c>
      <c r="J850" s="25" t="n">
        <v>1</v>
      </c>
      <c r="K850" s="25" t="n">
        <v>1</v>
      </c>
      <c r="L850" s="29" t="n">
        <v>0.76</v>
      </c>
      <c r="M850" s="30" t="n">
        <v>7.4</v>
      </c>
      <c r="N850" s="29" t="n">
        <v>0.84</v>
      </c>
      <c r="O850" s="25" t="n">
        <v>184</v>
      </c>
      <c r="P850" s="30" t="n">
        <v>-0.27</v>
      </c>
      <c r="Q850" s="27" t="s">
        <v>69</v>
      </c>
      <c r="R850" s="27" t="s">
        <v>1099</v>
      </c>
    </row>
    <row r="851" customFormat="false" ht="15" hidden="false" customHeight="false" outlineLevel="0" collapsed="false">
      <c r="A851" s="25" t="n">
        <f aca="false">IF(G851="REJECT",COUNTIF($G$2:$G$2277,"&lt;&gt;REJECT")+1+COUNTIFS($G$2:$G$2277,"REJECT",$B$2:$B$2277,"&gt;"&amp;B851),1+COUNTIFS($G$2:$G$2277,"&lt;&gt;REJECT",$B$2:$B$2277,"&gt;"&amp;B851))</f>
        <v>850</v>
      </c>
      <c r="B851" s="26" t="n">
        <f aca="false">ROUND(($U$2*MAX(0,MIN(1,($W$2-I851)/($W$2-$V$2)))+$U$3*MAX(0,MIN(1,($W$3-J851)/($W$3-$V$3)))+$U$4*MAX(0,MIN(1,($W$4-K851)/($W$4-$V$4)))+$U$5*MAX(0,MIN(1,($W$5-L851)/($W$5-$V$5)))+$U$6*MAX(0,MIN(1,($W$6-M851)/($W$6-$V$6)))+$U$7*MAX(0,MIN(1,($W$7-N851)/($W$7-$V$7)))+$U$8*IF(AND(O851&gt;=$V$8,O851&lt;=$W$8),1,0))/$U$9*100,2)</f>
        <v>78.7</v>
      </c>
      <c r="C851" s="27" t="s">
        <v>676</v>
      </c>
      <c r="D851" s="25" t="s">
        <v>134</v>
      </c>
      <c r="E851" s="25" t="s">
        <v>3447</v>
      </c>
      <c r="F851" s="25" t="s">
        <v>3457</v>
      </c>
      <c r="G851" s="38" t="s">
        <v>30</v>
      </c>
      <c r="H851" s="33" t="s">
        <v>24</v>
      </c>
      <c r="I851" s="25" t="n">
        <v>3</v>
      </c>
      <c r="J851" s="25" t="n">
        <v>0</v>
      </c>
      <c r="K851" s="25" t="n">
        <v>3</v>
      </c>
      <c r="L851" s="29" t="n">
        <v>0.78</v>
      </c>
      <c r="M851" s="30" t="n">
        <v>2.5</v>
      </c>
      <c r="N851" s="29" t="n">
        <v>0.56</v>
      </c>
      <c r="O851" s="25" t="n">
        <v>188</v>
      </c>
      <c r="P851" s="30" t="n">
        <v>-0.18</v>
      </c>
      <c r="Q851" s="27" t="s">
        <v>3545</v>
      </c>
      <c r="R851" s="27" t="s">
        <v>30</v>
      </c>
    </row>
    <row r="852" customFormat="false" ht="15" hidden="false" customHeight="false" outlineLevel="0" collapsed="false">
      <c r="A852" s="25" t="n">
        <f aca="false">IF(G852="REJECT",COUNTIF($G$2:$G$2277,"&lt;&gt;REJECT")+1+COUNTIFS($G$2:$G$2277,"REJECT",$B$2:$B$2277,"&gt;"&amp;B852),1+COUNTIFS($G$2:$G$2277,"&lt;&gt;REJECT",$B$2:$B$2277,"&gt;"&amp;B852))</f>
        <v>851</v>
      </c>
      <c r="B852" s="26" t="n">
        <f aca="false">ROUND(($U$2*MAX(0,MIN(1,($W$2-I852)/($W$2-$V$2)))+$U$3*MAX(0,MIN(1,($W$3-J852)/($W$3-$V$3)))+$U$4*MAX(0,MIN(1,($W$4-K852)/($W$4-$V$4)))+$U$5*MAX(0,MIN(1,($W$5-L852)/($W$5-$V$5)))+$U$6*MAX(0,MIN(1,($W$6-M852)/($W$6-$V$6)))+$U$7*MAX(0,MIN(1,($W$7-N852)/($W$7-$V$7)))+$U$8*IF(AND(O852&gt;=$V$8,O852&lt;=$W$8),1,0))/$U$9*100,2)</f>
        <v>78.6</v>
      </c>
      <c r="C852" s="27" t="s">
        <v>2001</v>
      </c>
      <c r="D852" s="25" t="s">
        <v>134</v>
      </c>
      <c r="E852" s="25" t="s">
        <v>3450</v>
      </c>
      <c r="F852" s="25" t="s">
        <v>3448</v>
      </c>
      <c r="G852" s="38" t="s">
        <v>30</v>
      </c>
      <c r="H852" s="28" t="s">
        <v>25</v>
      </c>
      <c r="I852" s="25" t="n">
        <v>1</v>
      </c>
      <c r="J852" s="25" t="n">
        <v>1</v>
      </c>
      <c r="K852" s="25" t="n">
        <v>1</v>
      </c>
      <c r="L852" s="29" t="n">
        <v>0.81</v>
      </c>
      <c r="M852" s="30" t="n">
        <v>26.49</v>
      </c>
      <c r="N852" s="29" t="n">
        <v>0.44</v>
      </c>
      <c r="O852" s="25" t="n">
        <v>185</v>
      </c>
      <c r="P852" s="30" t="n">
        <v>5.44</v>
      </c>
      <c r="Q852" s="27" t="s">
        <v>69</v>
      </c>
      <c r="R852" s="27" t="s">
        <v>163</v>
      </c>
    </row>
    <row r="853" customFormat="false" ht="15" hidden="false" customHeight="false" outlineLevel="0" collapsed="false">
      <c r="A853" s="25" t="n">
        <f aca="false">IF(G853="REJECT",COUNTIF($G$2:$G$2277,"&lt;&gt;REJECT")+1+COUNTIFS($G$2:$G$2277,"REJECT",$B$2:$B$2277,"&gt;"&amp;B853),1+COUNTIFS($G$2:$G$2277,"&lt;&gt;REJECT",$B$2:$B$2277,"&gt;"&amp;B853))</f>
        <v>852</v>
      </c>
      <c r="B853" s="26" t="n">
        <f aca="false">ROUND(($U$2*MAX(0,MIN(1,($W$2-I853)/($W$2-$V$2)))+$U$3*MAX(0,MIN(1,($W$3-J853)/($W$3-$V$3)))+$U$4*MAX(0,MIN(1,($W$4-K853)/($W$4-$V$4)))+$U$5*MAX(0,MIN(1,($W$5-L853)/($W$5-$V$5)))+$U$6*MAX(0,MIN(1,($W$6-M853)/($W$6-$V$6)))+$U$7*MAX(0,MIN(1,($W$7-N853)/($W$7-$V$7)))+$U$8*IF(AND(O853&gt;=$V$8,O853&lt;=$W$8),1,0))/$U$9*100,2)</f>
        <v>78.57</v>
      </c>
      <c r="C853" s="27" t="s">
        <v>2429</v>
      </c>
      <c r="D853" s="25" t="s">
        <v>134</v>
      </c>
      <c r="E853" s="25" t="s">
        <v>3447</v>
      </c>
      <c r="F853" s="25" t="s">
        <v>3457</v>
      </c>
      <c r="G853" s="38" t="s">
        <v>30</v>
      </c>
      <c r="H853" s="28" t="s">
        <v>25</v>
      </c>
      <c r="I853" s="25" t="n">
        <v>1</v>
      </c>
      <c r="J853" s="25" t="n">
        <v>1</v>
      </c>
      <c r="K853" s="25" t="n">
        <v>1</v>
      </c>
      <c r="L853" s="29" t="n">
        <v>0.78</v>
      </c>
      <c r="M853" s="30" t="n">
        <v>16.71</v>
      </c>
      <c r="N853" s="29" t="n">
        <v>0.72</v>
      </c>
      <c r="O853" s="25" t="n">
        <v>183</v>
      </c>
      <c r="P853" s="30" t="n">
        <v>3.8</v>
      </c>
      <c r="Q853" s="27" t="s">
        <v>69</v>
      </c>
      <c r="R853" s="27" t="s">
        <v>283</v>
      </c>
    </row>
    <row r="854" customFormat="false" ht="15" hidden="false" customHeight="false" outlineLevel="0" collapsed="false">
      <c r="A854" s="25" t="n">
        <f aca="false">IF(G854="REJECT",COUNTIF($G$2:$G$2277,"&lt;&gt;REJECT")+1+COUNTIFS($G$2:$G$2277,"REJECT",$B$2:$B$2277,"&gt;"&amp;B854),1+COUNTIFS($G$2:$G$2277,"&lt;&gt;REJECT",$B$2:$B$2277,"&gt;"&amp;B854))</f>
        <v>853</v>
      </c>
      <c r="B854" s="26" t="n">
        <f aca="false">ROUND(($U$2*MAX(0,MIN(1,($W$2-I854)/($W$2-$V$2)))+$U$3*MAX(0,MIN(1,($W$3-J854)/($W$3-$V$3)))+$U$4*MAX(0,MIN(1,($W$4-K854)/($W$4-$V$4)))+$U$5*MAX(0,MIN(1,($W$5-L854)/($W$5-$V$5)))+$U$6*MAX(0,MIN(1,($W$6-M854)/($W$6-$V$6)))+$U$7*MAX(0,MIN(1,($W$7-N854)/($W$7-$V$7)))+$U$8*IF(AND(O854&gt;=$V$8,O854&lt;=$W$8),1,0))/$U$9*100,2)</f>
        <v>78.54</v>
      </c>
      <c r="C854" s="27" t="s">
        <v>1247</v>
      </c>
      <c r="D854" s="25" t="s">
        <v>134</v>
      </c>
      <c r="E854" s="25" t="s">
        <v>3447</v>
      </c>
      <c r="F854" s="25" t="s">
        <v>3448</v>
      </c>
      <c r="G854" s="38" t="s">
        <v>30</v>
      </c>
      <c r="H854" s="28" t="s">
        <v>25</v>
      </c>
      <c r="I854" s="25" t="n">
        <v>1</v>
      </c>
      <c r="J854" s="25" t="n">
        <v>1</v>
      </c>
      <c r="K854" s="25" t="n">
        <v>1</v>
      </c>
      <c r="L854" s="29" t="n">
        <v>0.75</v>
      </c>
      <c r="M854" s="30" t="n">
        <v>5.26</v>
      </c>
      <c r="N854" s="29" t="n">
        <v>0.8</v>
      </c>
      <c r="O854" s="25" t="n">
        <v>183</v>
      </c>
      <c r="P854" s="30" t="n">
        <v>4.43</v>
      </c>
      <c r="Q854" s="27" t="s">
        <v>69</v>
      </c>
      <c r="R854" s="27" t="s">
        <v>1099</v>
      </c>
    </row>
    <row r="855" customFormat="false" ht="15" hidden="false" customHeight="false" outlineLevel="0" collapsed="false">
      <c r="A855" s="25" t="n">
        <f aca="false">IF(G855="REJECT",COUNTIF($G$2:$G$2277,"&lt;&gt;REJECT")+1+COUNTIFS($G$2:$G$2277,"REJECT",$B$2:$B$2277,"&gt;"&amp;B855),1+COUNTIFS($G$2:$G$2277,"&lt;&gt;REJECT",$B$2:$B$2277,"&gt;"&amp;B855))</f>
        <v>853</v>
      </c>
      <c r="B855" s="26" t="n">
        <f aca="false">ROUND(($U$2*MAX(0,MIN(1,($W$2-I855)/($W$2-$V$2)))+$U$3*MAX(0,MIN(1,($W$3-J855)/($W$3-$V$3)))+$U$4*MAX(0,MIN(1,($W$4-K855)/($W$4-$V$4)))+$U$5*MAX(0,MIN(1,($W$5-L855)/($W$5-$V$5)))+$U$6*MAX(0,MIN(1,($W$6-M855)/($W$6-$V$6)))+$U$7*MAX(0,MIN(1,($W$7-N855)/($W$7-$V$7)))+$U$8*IF(AND(O855&gt;=$V$8,O855&lt;=$W$8),1,0))/$U$9*100,2)</f>
        <v>78.54</v>
      </c>
      <c r="C855" s="27" t="s">
        <v>2137</v>
      </c>
      <c r="D855" s="25" t="s">
        <v>3459</v>
      </c>
      <c r="E855" s="25" t="s">
        <v>3450</v>
      </c>
      <c r="F855" s="25" t="s">
        <v>3448</v>
      </c>
      <c r="G855" s="38" t="s">
        <v>30</v>
      </c>
      <c r="H855" s="28" t="s">
        <v>25</v>
      </c>
      <c r="I855" s="25" t="n">
        <v>1</v>
      </c>
      <c r="J855" s="25" t="n">
        <v>1</v>
      </c>
      <c r="K855" s="25" t="n">
        <v>1</v>
      </c>
      <c r="L855" s="29" t="n">
        <v>0.78</v>
      </c>
      <c r="M855" s="30" t="n">
        <v>19.25</v>
      </c>
      <c r="N855" s="29" t="n">
        <v>0.48</v>
      </c>
      <c r="O855" s="25" t="n">
        <v>188</v>
      </c>
      <c r="P855" s="30" t="n">
        <v>9.19</v>
      </c>
      <c r="Q855" s="27" t="s">
        <v>69</v>
      </c>
      <c r="R855" s="27" t="s">
        <v>283</v>
      </c>
    </row>
    <row r="856" customFormat="false" ht="15" hidden="false" customHeight="false" outlineLevel="0" collapsed="false">
      <c r="A856" s="25" t="n">
        <f aca="false">IF(G856="REJECT",COUNTIF($G$2:$G$2277,"&lt;&gt;REJECT")+1+COUNTIFS($G$2:$G$2277,"REJECT",$B$2:$B$2277,"&gt;"&amp;B856),1+COUNTIFS($G$2:$G$2277,"&lt;&gt;REJECT",$B$2:$B$2277,"&gt;"&amp;B856))</f>
        <v>855</v>
      </c>
      <c r="B856" s="26" t="n">
        <f aca="false">ROUND(($U$2*MAX(0,MIN(1,($W$2-I856)/($W$2-$V$2)))+$U$3*MAX(0,MIN(1,($W$3-J856)/($W$3-$V$3)))+$U$4*MAX(0,MIN(1,($W$4-K856)/($W$4-$V$4)))+$U$5*MAX(0,MIN(1,($W$5-L856)/($W$5-$V$5)))+$U$6*MAX(0,MIN(1,($W$6-M856)/($W$6-$V$6)))+$U$7*MAX(0,MIN(1,($W$7-N856)/($W$7-$V$7)))+$U$8*IF(AND(O856&gt;=$V$8,O856&lt;=$W$8),1,0))/$U$9*100,2)</f>
        <v>78.52</v>
      </c>
      <c r="C856" s="27" t="s">
        <v>418</v>
      </c>
      <c r="D856" s="25" t="s">
        <v>134</v>
      </c>
      <c r="E856" s="25" t="s">
        <v>3450</v>
      </c>
      <c r="F856" s="25" t="s">
        <v>3457</v>
      </c>
      <c r="G856" s="38" t="s">
        <v>30</v>
      </c>
      <c r="H856" s="28" t="s">
        <v>25</v>
      </c>
      <c r="I856" s="25" t="n">
        <v>1</v>
      </c>
      <c r="J856" s="25" t="n">
        <v>1</v>
      </c>
      <c r="K856" s="25" t="n">
        <v>1</v>
      </c>
      <c r="L856" s="29" t="n">
        <v>0.74</v>
      </c>
      <c r="M856" s="30" t="n">
        <v>5.81</v>
      </c>
      <c r="N856" s="29" t="n">
        <v>0.4</v>
      </c>
      <c r="O856" s="25" t="n">
        <v>182</v>
      </c>
      <c r="P856" s="30" t="n">
        <v>4.42</v>
      </c>
      <c r="Q856" s="27" t="s">
        <v>69</v>
      </c>
      <c r="R856" s="27" t="s">
        <v>1152</v>
      </c>
    </row>
    <row r="857" customFormat="false" ht="15" hidden="false" customHeight="false" outlineLevel="0" collapsed="false">
      <c r="A857" s="25" t="n">
        <f aca="false">IF(G857="REJECT",COUNTIF($G$2:$G$2277,"&lt;&gt;REJECT")+1+COUNTIFS($G$2:$G$2277,"REJECT",$B$2:$B$2277,"&gt;"&amp;B857),1+COUNTIFS($G$2:$G$2277,"&lt;&gt;REJECT",$B$2:$B$2277,"&gt;"&amp;B857))</f>
        <v>855</v>
      </c>
      <c r="B857" s="26" t="n">
        <f aca="false">ROUND(($U$2*MAX(0,MIN(1,($W$2-I857)/($W$2-$V$2)))+$U$3*MAX(0,MIN(1,($W$3-J857)/($W$3-$V$3)))+$U$4*MAX(0,MIN(1,($W$4-K857)/($W$4-$V$4)))+$U$5*MAX(0,MIN(1,($W$5-L857)/($W$5-$V$5)))+$U$6*MAX(0,MIN(1,($W$6-M857)/($W$6-$V$6)))+$U$7*MAX(0,MIN(1,($W$7-N857)/($W$7-$V$7)))+$U$8*IF(AND(O857&gt;=$V$8,O857&lt;=$W$8),1,0))/$U$9*100,2)</f>
        <v>78.52</v>
      </c>
      <c r="C857" s="27" t="s">
        <v>839</v>
      </c>
      <c r="D857" s="25" t="s">
        <v>134</v>
      </c>
      <c r="E857" s="25" t="s">
        <v>3450</v>
      </c>
      <c r="F857" s="25" t="s">
        <v>3457</v>
      </c>
      <c r="G857" s="38" t="s">
        <v>30</v>
      </c>
      <c r="H857" s="28" t="s">
        <v>25</v>
      </c>
      <c r="I857" s="25" t="n">
        <v>1</v>
      </c>
      <c r="J857" s="25" t="n">
        <v>1</v>
      </c>
      <c r="K857" s="25" t="n">
        <v>1</v>
      </c>
      <c r="L857" s="29" t="n">
        <v>0.76</v>
      </c>
      <c r="M857" s="30" t="n">
        <v>7.77</v>
      </c>
      <c r="N857" s="29" t="n">
        <v>0.92</v>
      </c>
      <c r="O857" s="25" t="n">
        <v>183</v>
      </c>
      <c r="P857" s="30" t="n">
        <v>13.84</v>
      </c>
      <c r="Q857" s="27" t="s">
        <v>69</v>
      </c>
      <c r="R857" s="27" t="s">
        <v>283</v>
      </c>
    </row>
    <row r="858" customFormat="false" ht="15" hidden="false" customHeight="false" outlineLevel="0" collapsed="false">
      <c r="A858" s="25" t="n">
        <f aca="false">IF(G858="REJECT",COUNTIF($G$2:$G$2277,"&lt;&gt;REJECT")+1+COUNTIFS($G$2:$G$2277,"REJECT",$B$2:$B$2277,"&gt;"&amp;B858),1+COUNTIFS($G$2:$G$2277,"&lt;&gt;REJECT",$B$2:$B$2277,"&gt;"&amp;B858))</f>
        <v>857</v>
      </c>
      <c r="B858" s="26" t="n">
        <f aca="false">ROUND(($U$2*MAX(0,MIN(1,($W$2-I858)/($W$2-$V$2)))+$U$3*MAX(0,MIN(1,($W$3-J858)/($W$3-$V$3)))+$U$4*MAX(0,MIN(1,($W$4-K858)/($W$4-$V$4)))+$U$5*MAX(0,MIN(1,($W$5-L858)/($W$5-$V$5)))+$U$6*MAX(0,MIN(1,($W$6-M858)/($W$6-$V$6)))+$U$7*MAX(0,MIN(1,($W$7-N858)/($W$7-$V$7)))+$U$8*IF(AND(O858&gt;=$V$8,O858&lt;=$W$8),1,0))/$U$9*100,2)</f>
        <v>78.48</v>
      </c>
      <c r="C858" s="27" t="s">
        <v>951</v>
      </c>
      <c r="D858" s="25" t="s">
        <v>3459</v>
      </c>
      <c r="E858" s="25" t="s">
        <v>3447</v>
      </c>
      <c r="F858" s="25" t="s">
        <v>3448</v>
      </c>
      <c r="G858" s="38" t="s">
        <v>30</v>
      </c>
      <c r="H858" s="33" t="s">
        <v>24</v>
      </c>
      <c r="I858" s="25" t="n">
        <v>3</v>
      </c>
      <c r="J858" s="25" t="n">
        <v>0</v>
      </c>
      <c r="K858" s="25" t="n">
        <v>3</v>
      </c>
      <c r="L858" s="29" t="n">
        <v>0.78</v>
      </c>
      <c r="M858" s="30" t="n">
        <v>9.45</v>
      </c>
      <c r="N858" s="29" t="n">
        <v>0</v>
      </c>
      <c r="O858" s="25" t="n">
        <v>182</v>
      </c>
      <c r="P858" s="30" t="n">
        <v>9.87</v>
      </c>
      <c r="Q858" s="27" t="s">
        <v>3546</v>
      </c>
      <c r="R858" s="27" t="s">
        <v>30</v>
      </c>
    </row>
    <row r="859" customFormat="false" ht="15" hidden="false" customHeight="false" outlineLevel="0" collapsed="false">
      <c r="A859" s="25" t="n">
        <f aca="false">IF(G859="REJECT",COUNTIF($G$2:$G$2277,"&lt;&gt;REJECT")+1+COUNTIFS($G$2:$G$2277,"REJECT",$B$2:$B$2277,"&gt;"&amp;B859),1+COUNTIFS($G$2:$G$2277,"&lt;&gt;REJECT",$B$2:$B$2277,"&gt;"&amp;B859))</f>
        <v>857</v>
      </c>
      <c r="B859" s="26" t="n">
        <f aca="false">ROUND(($U$2*MAX(0,MIN(1,($W$2-I859)/($W$2-$V$2)))+$U$3*MAX(0,MIN(1,($W$3-J859)/($W$3-$V$3)))+$U$4*MAX(0,MIN(1,($W$4-K859)/($W$4-$V$4)))+$U$5*MAX(0,MIN(1,($W$5-L859)/($W$5-$V$5)))+$U$6*MAX(0,MIN(1,($W$6-M859)/($W$6-$V$6)))+$U$7*MAX(0,MIN(1,($W$7-N859)/($W$7-$V$7)))+$U$8*IF(AND(O859&gt;=$V$8,O859&lt;=$W$8),1,0))/$U$9*100,2)</f>
        <v>78.48</v>
      </c>
      <c r="C859" s="27" t="s">
        <v>2885</v>
      </c>
      <c r="D859" s="25" t="s">
        <v>134</v>
      </c>
      <c r="E859" s="25" t="s">
        <v>3447</v>
      </c>
      <c r="F859" s="25" t="s">
        <v>3457</v>
      </c>
      <c r="G859" s="38" t="s">
        <v>30</v>
      </c>
      <c r="H859" s="28" t="s">
        <v>25</v>
      </c>
      <c r="I859" s="25" t="n">
        <v>1</v>
      </c>
      <c r="J859" s="25" t="n">
        <v>1</v>
      </c>
      <c r="K859" s="25" t="n">
        <v>1</v>
      </c>
      <c r="L859" s="29" t="n">
        <v>0.77</v>
      </c>
      <c r="M859" s="30" t="n">
        <v>19.2</v>
      </c>
      <c r="N859" s="29" t="n">
        <v>0.16</v>
      </c>
      <c r="O859" s="25" t="n">
        <v>183</v>
      </c>
      <c r="P859" s="30" t="n">
        <v>2.83</v>
      </c>
      <c r="Q859" s="27" t="s">
        <v>69</v>
      </c>
      <c r="R859" s="27" t="s">
        <v>283</v>
      </c>
    </row>
    <row r="860" customFormat="false" ht="15" hidden="false" customHeight="false" outlineLevel="0" collapsed="false">
      <c r="A860" s="25" t="n">
        <f aca="false">IF(G860="REJECT",COUNTIF($G$2:$G$2277,"&lt;&gt;REJECT")+1+COUNTIFS($G$2:$G$2277,"REJECT",$B$2:$B$2277,"&gt;"&amp;B860),1+COUNTIFS($G$2:$G$2277,"&lt;&gt;REJECT",$B$2:$B$2277,"&gt;"&amp;B860))</f>
        <v>859</v>
      </c>
      <c r="B860" s="26" t="n">
        <f aca="false">ROUND(($U$2*MAX(0,MIN(1,($W$2-I860)/($W$2-$V$2)))+$U$3*MAX(0,MIN(1,($W$3-J860)/($W$3-$V$3)))+$U$4*MAX(0,MIN(1,($W$4-K860)/($W$4-$V$4)))+$U$5*MAX(0,MIN(1,($W$5-L860)/($W$5-$V$5)))+$U$6*MAX(0,MIN(1,($W$6-M860)/($W$6-$V$6)))+$U$7*MAX(0,MIN(1,($W$7-N860)/($W$7-$V$7)))+$U$8*IF(AND(O860&gt;=$V$8,O860&lt;=$W$8),1,0))/$U$9*100,2)</f>
        <v>78.47</v>
      </c>
      <c r="C860" s="27" t="s">
        <v>3327</v>
      </c>
      <c r="D860" s="25" t="s">
        <v>134</v>
      </c>
      <c r="E860" s="25" t="s">
        <v>3447</v>
      </c>
      <c r="F860" s="25" t="s">
        <v>3457</v>
      </c>
      <c r="G860" s="38" t="s">
        <v>30</v>
      </c>
      <c r="H860" s="33" t="s">
        <v>24</v>
      </c>
      <c r="I860" s="25" t="n">
        <v>3</v>
      </c>
      <c r="J860" s="25" t="n">
        <v>0</v>
      </c>
      <c r="K860" s="25" t="n">
        <v>3</v>
      </c>
      <c r="L860" s="29" t="n">
        <v>0.83</v>
      </c>
      <c r="M860" s="30" t="n">
        <v>13.51</v>
      </c>
      <c r="N860" s="29" t="n">
        <v>0.32</v>
      </c>
      <c r="O860" s="25" t="n">
        <v>182</v>
      </c>
      <c r="P860" s="30" t="n">
        <v>-0.17</v>
      </c>
      <c r="Q860" s="27" t="s">
        <v>3539</v>
      </c>
      <c r="R860" s="27" t="s">
        <v>30</v>
      </c>
    </row>
    <row r="861" customFormat="false" ht="15" hidden="false" customHeight="false" outlineLevel="0" collapsed="false">
      <c r="A861" s="25" t="n">
        <f aca="false">IF(G861="REJECT",COUNTIF($G$2:$G$2277,"&lt;&gt;REJECT")+1+COUNTIFS($G$2:$G$2277,"REJECT",$B$2:$B$2277,"&gt;"&amp;B861),1+COUNTIFS($G$2:$G$2277,"&lt;&gt;REJECT",$B$2:$B$2277,"&gt;"&amp;B861))</f>
        <v>860</v>
      </c>
      <c r="B861" s="26" t="n">
        <f aca="false">ROUND(($U$2*MAX(0,MIN(1,($W$2-I861)/($W$2-$V$2)))+$U$3*MAX(0,MIN(1,($W$3-J861)/($W$3-$V$3)))+$U$4*MAX(0,MIN(1,($W$4-K861)/($W$4-$V$4)))+$U$5*MAX(0,MIN(1,($W$5-L861)/($W$5-$V$5)))+$U$6*MAX(0,MIN(1,($W$6-M861)/($W$6-$V$6)))+$U$7*MAX(0,MIN(1,($W$7-N861)/($W$7-$V$7)))+$U$8*IF(AND(O861&gt;=$V$8,O861&lt;=$W$8),1,0))/$U$9*100,2)</f>
        <v>78.45</v>
      </c>
      <c r="C861" s="27" t="s">
        <v>656</v>
      </c>
      <c r="D861" s="25" t="s">
        <v>134</v>
      </c>
      <c r="E861" s="25" t="s">
        <v>3447</v>
      </c>
      <c r="F861" s="25" t="s">
        <v>3457</v>
      </c>
      <c r="G861" s="38" t="s">
        <v>30</v>
      </c>
      <c r="H861" s="33" t="s">
        <v>24</v>
      </c>
      <c r="I861" s="25" t="n">
        <v>3</v>
      </c>
      <c r="J861" s="25" t="n">
        <v>0</v>
      </c>
      <c r="K861" s="25" t="n">
        <v>3</v>
      </c>
      <c r="L861" s="29" t="n">
        <v>0.79</v>
      </c>
      <c r="M861" s="30" t="n">
        <v>6.03</v>
      </c>
      <c r="N861" s="29" t="n">
        <v>0.72</v>
      </c>
      <c r="O861" s="25" t="n">
        <v>195</v>
      </c>
      <c r="P861" s="30" t="n">
        <v>0.37</v>
      </c>
      <c r="Q861" s="27" t="s">
        <v>3547</v>
      </c>
      <c r="R861" s="27" t="s">
        <v>30</v>
      </c>
    </row>
    <row r="862" customFormat="false" ht="15" hidden="false" customHeight="false" outlineLevel="0" collapsed="false">
      <c r="A862" s="25" t="n">
        <f aca="false">IF(G862="REJECT",COUNTIF($G$2:$G$2277,"&lt;&gt;REJECT")+1+COUNTIFS($G$2:$G$2277,"REJECT",$B$2:$B$2277,"&gt;"&amp;B862),1+COUNTIFS($G$2:$G$2277,"&lt;&gt;REJECT",$B$2:$B$2277,"&gt;"&amp;B862))</f>
        <v>860</v>
      </c>
      <c r="B862" s="26" t="n">
        <f aca="false">ROUND(($U$2*MAX(0,MIN(1,($W$2-I862)/($W$2-$V$2)))+$U$3*MAX(0,MIN(1,($W$3-J862)/($W$3-$V$3)))+$U$4*MAX(0,MIN(1,($W$4-K862)/($W$4-$V$4)))+$U$5*MAX(0,MIN(1,($W$5-L862)/($W$5-$V$5)))+$U$6*MAX(0,MIN(1,($W$6-M862)/($W$6-$V$6)))+$U$7*MAX(0,MIN(1,($W$7-N862)/($W$7-$V$7)))+$U$8*IF(AND(O862&gt;=$V$8,O862&lt;=$W$8),1,0))/$U$9*100,2)</f>
        <v>78.45</v>
      </c>
      <c r="C862" s="27" t="s">
        <v>1060</v>
      </c>
      <c r="D862" s="25" t="s">
        <v>134</v>
      </c>
      <c r="E862" s="25" t="s">
        <v>3450</v>
      </c>
      <c r="F862" s="25" t="s">
        <v>3457</v>
      </c>
      <c r="G862" s="38" t="s">
        <v>30</v>
      </c>
      <c r="H862" s="28" t="s">
        <v>25</v>
      </c>
      <c r="I862" s="25" t="n">
        <v>1</v>
      </c>
      <c r="J862" s="25" t="n">
        <v>1</v>
      </c>
      <c r="K862" s="25" t="n">
        <v>1</v>
      </c>
      <c r="L862" s="29" t="n">
        <v>0.77</v>
      </c>
      <c r="M862" s="30" t="n">
        <v>13.38</v>
      </c>
      <c r="N862" s="29" t="n">
        <v>0.76</v>
      </c>
      <c r="O862" s="25" t="n">
        <v>183</v>
      </c>
      <c r="P862" s="30" t="n">
        <v>12.05</v>
      </c>
      <c r="Q862" s="27" t="s">
        <v>69</v>
      </c>
      <c r="R862" s="27" t="s">
        <v>283</v>
      </c>
    </row>
    <row r="863" customFormat="false" ht="15" hidden="false" customHeight="false" outlineLevel="0" collapsed="false">
      <c r="A863" s="25" t="n">
        <f aca="false">IF(G863="REJECT",COUNTIF($G$2:$G$2277,"&lt;&gt;REJECT")+1+COUNTIFS($G$2:$G$2277,"REJECT",$B$2:$B$2277,"&gt;"&amp;B863),1+COUNTIFS($G$2:$G$2277,"&lt;&gt;REJECT",$B$2:$B$2277,"&gt;"&amp;B863))</f>
        <v>860</v>
      </c>
      <c r="B863" s="26" t="n">
        <f aca="false">ROUND(($U$2*MAX(0,MIN(1,($W$2-I863)/($W$2-$V$2)))+$U$3*MAX(0,MIN(1,($W$3-J863)/($W$3-$V$3)))+$U$4*MAX(0,MIN(1,($W$4-K863)/($W$4-$V$4)))+$U$5*MAX(0,MIN(1,($W$5-L863)/($W$5-$V$5)))+$U$6*MAX(0,MIN(1,($W$6-M863)/($W$6-$V$6)))+$U$7*MAX(0,MIN(1,($W$7-N863)/($W$7-$V$7)))+$U$8*IF(AND(O863&gt;=$V$8,O863&lt;=$W$8),1,0))/$U$9*100,2)</f>
        <v>78.45</v>
      </c>
      <c r="C863" s="27" t="s">
        <v>2155</v>
      </c>
      <c r="D863" s="25" t="s">
        <v>134</v>
      </c>
      <c r="E863" s="25" t="s">
        <v>3447</v>
      </c>
      <c r="F863" s="25" t="s">
        <v>3448</v>
      </c>
      <c r="G863" s="38" t="s">
        <v>30</v>
      </c>
      <c r="H863" s="28" t="s">
        <v>25</v>
      </c>
      <c r="I863" s="25" t="n">
        <v>1</v>
      </c>
      <c r="J863" s="25" t="n">
        <v>1</v>
      </c>
      <c r="K863" s="25" t="n">
        <v>1</v>
      </c>
      <c r="L863" s="29" t="n">
        <v>0.8</v>
      </c>
      <c r="M863" s="30" t="n">
        <v>27.4</v>
      </c>
      <c r="N863" s="29" t="n">
        <v>0.44</v>
      </c>
      <c r="O863" s="25" t="n">
        <v>191</v>
      </c>
      <c r="P863" s="30" t="n">
        <v>0.31</v>
      </c>
      <c r="Q863" s="27" t="s">
        <v>69</v>
      </c>
      <c r="R863" s="27" t="s">
        <v>183</v>
      </c>
    </row>
    <row r="864" customFormat="false" ht="15" hidden="false" customHeight="false" outlineLevel="0" collapsed="false">
      <c r="A864" s="25" t="n">
        <f aca="false">IF(G864="REJECT",COUNTIF($G$2:$G$2277,"&lt;&gt;REJECT")+1+COUNTIFS($G$2:$G$2277,"REJECT",$B$2:$B$2277,"&gt;"&amp;B864),1+COUNTIFS($G$2:$G$2277,"&lt;&gt;REJECT",$B$2:$B$2277,"&gt;"&amp;B864))</f>
        <v>860</v>
      </c>
      <c r="B864" s="26" t="n">
        <f aca="false">ROUND(($U$2*MAX(0,MIN(1,($W$2-I864)/($W$2-$V$2)))+$U$3*MAX(0,MIN(1,($W$3-J864)/($W$3-$V$3)))+$U$4*MAX(0,MIN(1,($W$4-K864)/($W$4-$V$4)))+$U$5*MAX(0,MIN(1,($W$5-L864)/($W$5-$V$5)))+$U$6*MAX(0,MIN(1,($W$6-M864)/($W$6-$V$6)))+$U$7*MAX(0,MIN(1,($W$7-N864)/($W$7-$V$7)))+$U$8*IF(AND(O864&gt;=$V$8,O864&lt;=$W$8),1,0))/$U$9*100,2)</f>
        <v>78.45</v>
      </c>
      <c r="C864" s="27" t="s">
        <v>2614</v>
      </c>
      <c r="D864" s="25" t="s">
        <v>134</v>
      </c>
      <c r="E864" s="25" t="s">
        <v>3450</v>
      </c>
      <c r="F864" s="25" t="s">
        <v>3457</v>
      </c>
      <c r="G864" s="38" t="s">
        <v>30</v>
      </c>
      <c r="H864" s="28" t="s">
        <v>25</v>
      </c>
      <c r="I864" s="25" t="n">
        <v>1</v>
      </c>
      <c r="J864" s="25" t="n">
        <v>1</v>
      </c>
      <c r="K864" s="25" t="n">
        <v>1</v>
      </c>
      <c r="L864" s="29" t="n">
        <v>0.76</v>
      </c>
      <c r="M864" s="30" t="n">
        <v>8.59</v>
      </c>
      <c r="N864" s="29" t="n">
        <v>0.88</v>
      </c>
      <c r="O864" s="25" t="n">
        <v>184</v>
      </c>
      <c r="P864" s="30" t="n">
        <v>13.11</v>
      </c>
      <c r="Q864" s="27" t="s">
        <v>69</v>
      </c>
      <c r="R864" s="27" t="s">
        <v>283</v>
      </c>
    </row>
    <row r="865" customFormat="false" ht="15" hidden="false" customHeight="false" outlineLevel="0" collapsed="false">
      <c r="A865" s="25" t="n">
        <f aca="false">IF(G865="REJECT",COUNTIF($G$2:$G$2277,"&lt;&gt;REJECT")+1+COUNTIFS($G$2:$G$2277,"REJECT",$B$2:$B$2277,"&gt;"&amp;B865),1+COUNTIFS($G$2:$G$2277,"&lt;&gt;REJECT",$B$2:$B$2277,"&gt;"&amp;B865))</f>
        <v>864</v>
      </c>
      <c r="B865" s="26" t="n">
        <f aca="false">ROUND(($U$2*MAX(0,MIN(1,($W$2-I865)/($W$2-$V$2)))+$U$3*MAX(0,MIN(1,($W$3-J865)/($W$3-$V$3)))+$U$4*MAX(0,MIN(1,($W$4-K865)/($W$4-$V$4)))+$U$5*MAX(0,MIN(1,($W$5-L865)/($W$5-$V$5)))+$U$6*MAX(0,MIN(1,($W$6-M865)/($W$6-$V$6)))+$U$7*MAX(0,MIN(1,($W$7-N865)/($W$7-$V$7)))+$U$8*IF(AND(O865&gt;=$V$8,O865&lt;=$W$8),1,0))/$U$9*100,2)</f>
        <v>78.43</v>
      </c>
      <c r="C865" s="27" t="s">
        <v>323</v>
      </c>
      <c r="D865" s="25" t="s">
        <v>3459</v>
      </c>
      <c r="E865" s="25" t="s">
        <v>3447</v>
      </c>
      <c r="F865" s="25" t="s">
        <v>3457</v>
      </c>
      <c r="G865" s="38" t="s">
        <v>30</v>
      </c>
      <c r="H865" s="28" t="s">
        <v>25</v>
      </c>
      <c r="I865" s="25" t="n">
        <v>1</v>
      </c>
      <c r="J865" s="25" t="n">
        <v>1</v>
      </c>
      <c r="K865" s="25" t="n">
        <v>1</v>
      </c>
      <c r="L865" s="29" t="n">
        <v>0.73</v>
      </c>
      <c r="M865" s="30" t="n">
        <v>3.95</v>
      </c>
      <c r="N865" s="29" t="n">
        <v>0.28</v>
      </c>
      <c r="O865" s="25" t="n">
        <v>184</v>
      </c>
      <c r="P865" s="30" t="n">
        <v>12.01</v>
      </c>
      <c r="Q865" s="27" t="s">
        <v>69</v>
      </c>
      <c r="R865" s="27" t="s">
        <v>283</v>
      </c>
    </row>
    <row r="866" customFormat="false" ht="15" hidden="false" customHeight="false" outlineLevel="0" collapsed="false">
      <c r="A866" s="25" t="n">
        <f aca="false">IF(G866="REJECT",COUNTIF($G$2:$G$2277,"&lt;&gt;REJECT")+1+COUNTIFS($G$2:$G$2277,"REJECT",$B$2:$B$2277,"&gt;"&amp;B866),1+COUNTIFS($G$2:$G$2277,"&lt;&gt;REJECT",$B$2:$B$2277,"&gt;"&amp;B866))</f>
        <v>865</v>
      </c>
      <c r="B866" s="26" t="n">
        <f aca="false">ROUND(($U$2*MAX(0,MIN(1,($W$2-I866)/($W$2-$V$2)))+$U$3*MAX(0,MIN(1,($W$3-J866)/($W$3-$V$3)))+$U$4*MAX(0,MIN(1,($W$4-K866)/($W$4-$V$4)))+$U$5*MAX(0,MIN(1,($W$5-L866)/($W$5-$V$5)))+$U$6*MAX(0,MIN(1,($W$6-M866)/($W$6-$V$6)))+$U$7*MAX(0,MIN(1,($W$7-N866)/($W$7-$V$7)))+$U$8*IF(AND(O866&gt;=$V$8,O866&lt;=$W$8),1,0))/$U$9*100,2)</f>
        <v>78.4</v>
      </c>
      <c r="C866" s="27" t="s">
        <v>650</v>
      </c>
      <c r="D866" s="25" t="s">
        <v>134</v>
      </c>
      <c r="E866" s="25" t="s">
        <v>3447</v>
      </c>
      <c r="F866" s="25" t="s">
        <v>3457</v>
      </c>
      <c r="G866" s="38" t="s">
        <v>30</v>
      </c>
      <c r="H866" s="28" t="s">
        <v>25</v>
      </c>
      <c r="I866" s="25" t="n">
        <v>1</v>
      </c>
      <c r="J866" s="25" t="n">
        <v>1</v>
      </c>
      <c r="K866" s="25" t="n">
        <v>1</v>
      </c>
      <c r="L866" s="29" t="n">
        <v>0.76</v>
      </c>
      <c r="M866" s="30" t="n">
        <v>17.73</v>
      </c>
      <c r="N866" s="29" t="n">
        <v>0</v>
      </c>
      <c r="O866" s="25" t="n">
        <v>185</v>
      </c>
      <c r="P866" s="30" t="n">
        <v>4.43</v>
      </c>
      <c r="Q866" s="27" t="s">
        <v>69</v>
      </c>
      <c r="R866" s="27" t="s">
        <v>283</v>
      </c>
    </row>
    <row r="867" customFormat="false" ht="15" hidden="false" customHeight="false" outlineLevel="0" collapsed="false">
      <c r="A867" s="25" t="n">
        <f aca="false">IF(G867="REJECT",COUNTIF($G$2:$G$2277,"&lt;&gt;REJECT")+1+COUNTIFS($G$2:$G$2277,"REJECT",$B$2:$B$2277,"&gt;"&amp;B867),1+COUNTIFS($G$2:$G$2277,"&lt;&gt;REJECT",$B$2:$B$2277,"&gt;"&amp;B867))</f>
        <v>866</v>
      </c>
      <c r="B867" s="26" t="n">
        <f aca="false">ROUND(($U$2*MAX(0,MIN(1,($W$2-I867)/($W$2-$V$2)))+$U$3*MAX(0,MIN(1,($W$3-J867)/($W$3-$V$3)))+$U$4*MAX(0,MIN(1,($W$4-K867)/($W$4-$V$4)))+$U$5*MAX(0,MIN(1,($W$5-L867)/($W$5-$V$5)))+$U$6*MAX(0,MIN(1,($W$6-M867)/($W$6-$V$6)))+$U$7*MAX(0,MIN(1,($W$7-N867)/($W$7-$V$7)))+$U$8*IF(AND(O867&gt;=$V$8,O867&lt;=$W$8),1,0))/$U$9*100,2)</f>
        <v>78.35</v>
      </c>
      <c r="C867" s="27" t="s">
        <v>3400</v>
      </c>
      <c r="D867" s="25" t="s">
        <v>134</v>
      </c>
      <c r="E867" s="25" t="s">
        <v>3447</v>
      </c>
      <c r="F867" s="25" t="s">
        <v>3448</v>
      </c>
      <c r="G867" s="38" t="s">
        <v>30</v>
      </c>
      <c r="H867" s="33" t="s">
        <v>24</v>
      </c>
      <c r="I867" s="25" t="n">
        <v>3</v>
      </c>
      <c r="J867" s="25" t="n">
        <v>0</v>
      </c>
      <c r="K867" s="25" t="n">
        <v>3</v>
      </c>
      <c r="L867" s="29" t="n">
        <v>0.81</v>
      </c>
      <c r="M867" s="30" t="n">
        <v>14.62</v>
      </c>
      <c r="N867" s="29" t="n">
        <v>0.28</v>
      </c>
      <c r="O867" s="25" t="n">
        <v>185</v>
      </c>
      <c r="P867" s="30" t="n">
        <v>1.07</v>
      </c>
      <c r="Q867" s="27" t="s">
        <v>3541</v>
      </c>
      <c r="R867" s="27" t="s">
        <v>30</v>
      </c>
    </row>
    <row r="868" customFormat="false" ht="15" hidden="false" customHeight="false" outlineLevel="0" collapsed="false">
      <c r="A868" s="25" t="n">
        <f aca="false">IF(G868="REJECT",COUNTIF($G$2:$G$2277,"&lt;&gt;REJECT")+1+COUNTIFS($G$2:$G$2277,"REJECT",$B$2:$B$2277,"&gt;"&amp;B868),1+COUNTIFS($G$2:$G$2277,"&lt;&gt;REJECT",$B$2:$B$2277,"&gt;"&amp;B868))</f>
        <v>867</v>
      </c>
      <c r="B868" s="26" t="n">
        <f aca="false">ROUND(($U$2*MAX(0,MIN(1,($W$2-I868)/($W$2-$V$2)))+$U$3*MAX(0,MIN(1,($W$3-J868)/($W$3-$V$3)))+$U$4*MAX(0,MIN(1,($W$4-K868)/($W$4-$V$4)))+$U$5*MAX(0,MIN(1,($W$5-L868)/($W$5-$V$5)))+$U$6*MAX(0,MIN(1,($W$6-M868)/($W$6-$V$6)))+$U$7*MAX(0,MIN(1,($W$7-N868)/($W$7-$V$7)))+$U$8*IF(AND(O868&gt;=$V$8,O868&lt;=$W$8),1,0))/$U$9*100,2)</f>
        <v>78.26</v>
      </c>
      <c r="C868" s="27" t="s">
        <v>785</v>
      </c>
      <c r="D868" s="25" t="s">
        <v>134</v>
      </c>
      <c r="E868" s="25" t="s">
        <v>3447</v>
      </c>
      <c r="F868" s="25" t="s">
        <v>3448</v>
      </c>
      <c r="G868" s="38" t="s">
        <v>30</v>
      </c>
      <c r="H868" s="33" t="s">
        <v>24</v>
      </c>
      <c r="I868" s="25" t="n">
        <v>2</v>
      </c>
      <c r="J868" s="25" t="n">
        <v>0</v>
      </c>
      <c r="K868" s="25" t="n">
        <v>2</v>
      </c>
      <c r="L868" s="29" t="n">
        <v>0.7</v>
      </c>
      <c r="M868" s="30" t="n">
        <v>9.86</v>
      </c>
      <c r="N868" s="29" t="n">
        <v>0.96</v>
      </c>
      <c r="O868" s="25" t="n">
        <v>185</v>
      </c>
      <c r="P868" s="30" t="n">
        <v>8.92</v>
      </c>
      <c r="Q868" s="27" t="s">
        <v>3505</v>
      </c>
      <c r="R868" s="27" t="s">
        <v>30</v>
      </c>
    </row>
    <row r="869" customFormat="false" ht="15" hidden="false" customHeight="false" outlineLevel="0" collapsed="false">
      <c r="A869" s="25" t="n">
        <f aca="false">IF(G869="REJECT",COUNTIF($G$2:$G$2277,"&lt;&gt;REJECT")+1+COUNTIFS($G$2:$G$2277,"REJECT",$B$2:$B$2277,"&gt;"&amp;B869),1+COUNTIFS($G$2:$G$2277,"&lt;&gt;REJECT",$B$2:$B$2277,"&gt;"&amp;B869))</f>
        <v>867</v>
      </c>
      <c r="B869" s="26" t="n">
        <f aca="false">ROUND(($U$2*MAX(0,MIN(1,($W$2-I869)/($W$2-$V$2)))+$U$3*MAX(0,MIN(1,($W$3-J869)/($W$3-$V$3)))+$U$4*MAX(0,MIN(1,($W$4-K869)/($W$4-$V$4)))+$U$5*MAX(0,MIN(1,($W$5-L869)/($W$5-$V$5)))+$U$6*MAX(0,MIN(1,($W$6-M869)/($W$6-$V$6)))+$U$7*MAX(0,MIN(1,($W$7-N869)/($W$7-$V$7)))+$U$8*IF(AND(O869&gt;=$V$8,O869&lt;=$W$8),1,0))/$U$9*100,2)</f>
        <v>78.26</v>
      </c>
      <c r="C869" s="27" t="s">
        <v>2529</v>
      </c>
      <c r="D869" s="25" t="s">
        <v>134</v>
      </c>
      <c r="E869" s="25" t="s">
        <v>3447</v>
      </c>
      <c r="F869" s="25" t="s">
        <v>3448</v>
      </c>
      <c r="G869" s="38" t="s">
        <v>30</v>
      </c>
      <c r="H869" s="28" t="s">
        <v>25</v>
      </c>
      <c r="I869" s="25" t="n">
        <v>1</v>
      </c>
      <c r="J869" s="25" t="n">
        <v>1</v>
      </c>
      <c r="K869" s="25" t="n">
        <v>1</v>
      </c>
      <c r="L869" s="29" t="n">
        <v>0.77</v>
      </c>
      <c r="M869" s="30" t="n">
        <v>16.55</v>
      </c>
      <c r="N869" s="29" t="n">
        <v>0.56</v>
      </c>
      <c r="O869" s="25" t="n">
        <v>183</v>
      </c>
      <c r="P869" s="30" t="n">
        <v>0.66</v>
      </c>
      <c r="Q869" s="27" t="s">
        <v>69</v>
      </c>
      <c r="R869" s="27" t="s">
        <v>283</v>
      </c>
    </row>
    <row r="870" customFormat="false" ht="15" hidden="false" customHeight="false" outlineLevel="0" collapsed="false">
      <c r="A870" s="25" t="n">
        <f aca="false">IF(G870="REJECT",COUNTIF($G$2:$G$2277,"&lt;&gt;REJECT")+1+COUNTIFS($G$2:$G$2277,"REJECT",$B$2:$B$2277,"&gt;"&amp;B870),1+COUNTIFS($G$2:$G$2277,"&lt;&gt;REJECT",$B$2:$B$2277,"&gt;"&amp;B870))</f>
        <v>869</v>
      </c>
      <c r="B870" s="26" t="n">
        <f aca="false">ROUND(($U$2*MAX(0,MIN(1,($W$2-I870)/($W$2-$V$2)))+$U$3*MAX(0,MIN(1,($W$3-J870)/($W$3-$V$3)))+$U$4*MAX(0,MIN(1,($W$4-K870)/($W$4-$V$4)))+$U$5*MAX(0,MIN(1,($W$5-L870)/($W$5-$V$5)))+$U$6*MAX(0,MIN(1,($W$6-M870)/($W$6-$V$6)))+$U$7*MAX(0,MIN(1,($W$7-N870)/($W$7-$V$7)))+$U$8*IF(AND(O870&gt;=$V$8,O870&lt;=$W$8),1,0))/$U$9*100,2)</f>
        <v>78.25</v>
      </c>
      <c r="C870" s="27" t="s">
        <v>958</v>
      </c>
      <c r="D870" s="25" t="s">
        <v>134</v>
      </c>
      <c r="E870" s="25" t="s">
        <v>3447</v>
      </c>
      <c r="F870" s="25" t="s">
        <v>3448</v>
      </c>
      <c r="G870" s="38" t="s">
        <v>30</v>
      </c>
      <c r="H870" s="33" t="s">
        <v>24</v>
      </c>
      <c r="I870" s="25" t="n">
        <v>3</v>
      </c>
      <c r="J870" s="25" t="n">
        <v>0</v>
      </c>
      <c r="K870" s="25" t="n">
        <v>3</v>
      </c>
      <c r="L870" s="29" t="n">
        <v>0.8</v>
      </c>
      <c r="M870" s="30" t="n">
        <v>17.98</v>
      </c>
      <c r="N870" s="29" t="n">
        <v>0</v>
      </c>
      <c r="O870" s="25" t="n">
        <v>184</v>
      </c>
      <c r="P870" s="30" t="n">
        <v>-1.6</v>
      </c>
      <c r="Q870" s="27" t="s">
        <v>3541</v>
      </c>
      <c r="R870" s="27" t="s">
        <v>30</v>
      </c>
    </row>
    <row r="871" customFormat="false" ht="15" hidden="false" customHeight="false" outlineLevel="0" collapsed="false">
      <c r="A871" s="25" t="n">
        <f aca="false">IF(G871="REJECT",COUNTIF($G$2:$G$2277,"&lt;&gt;REJECT")+1+COUNTIFS($G$2:$G$2277,"REJECT",$B$2:$B$2277,"&gt;"&amp;B871),1+COUNTIFS($G$2:$G$2277,"&lt;&gt;REJECT",$B$2:$B$2277,"&gt;"&amp;B871))</f>
        <v>870</v>
      </c>
      <c r="B871" s="26" t="n">
        <f aca="false">ROUND(($U$2*MAX(0,MIN(1,($W$2-I871)/($W$2-$V$2)))+$U$3*MAX(0,MIN(1,($W$3-J871)/($W$3-$V$3)))+$U$4*MAX(0,MIN(1,($W$4-K871)/($W$4-$V$4)))+$U$5*MAX(0,MIN(1,($W$5-L871)/($W$5-$V$5)))+$U$6*MAX(0,MIN(1,($W$6-M871)/($W$6-$V$6)))+$U$7*MAX(0,MIN(1,($W$7-N871)/($W$7-$V$7)))+$U$8*IF(AND(O871&gt;=$V$8,O871&lt;=$W$8),1,0))/$U$9*100,2)</f>
        <v>78.24</v>
      </c>
      <c r="C871" s="27" t="s">
        <v>2654</v>
      </c>
      <c r="D871" s="25" t="s">
        <v>134</v>
      </c>
      <c r="E871" s="25" t="s">
        <v>3450</v>
      </c>
      <c r="F871" s="25" t="s">
        <v>3457</v>
      </c>
      <c r="G871" s="38" t="s">
        <v>30</v>
      </c>
      <c r="H871" s="28" t="s">
        <v>25</v>
      </c>
      <c r="I871" s="25" t="n">
        <v>1</v>
      </c>
      <c r="J871" s="25" t="n">
        <v>1</v>
      </c>
      <c r="K871" s="25" t="n">
        <v>1</v>
      </c>
      <c r="L871" s="29" t="n">
        <v>0.76</v>
      </c>
      <c r="M871" s="30" t="n">
        <v>10.29</v>
      </c>
      <c r="N871" s="29" t="n">
        <v>0.84</v>
      </c>
      <c r="O871" s="25" t="n">
        <v>184</v>
      </c>
      <c r="P871" s="30" t="n">
        <v>3.43</v>
      </c>
      <c r="Q871" s="27" t="s">
        <v>69</v>
      </c>
      <c r="R871" s="27" t="s">
        <v>283</v>
      </c>
    </row>
    <row r="872" customFormat="false" ht="15" hidden="false" customHeight="false" outlineLevel="0" collapsed="false">
      <c r="A872" s="25" t="n">
        <f aca="false">IF(G872="REJECT",COUNTIF($G$2:$G$2277,"&lt;&gt;REJECT")+1+COUNTIFS($G$2:$G$2277,"REJECT",$B$2:$B$2277,"&gt;"&amp;B872),1+COUNTIFS($G$2:$G$2277,"&lt;&gt;REJECT",$B$2:$B$2277,"&gt;"&amp;B872))</f>
        <v>871</v>
      </c>
      <c r="B872" s="26" t="n">
        <f aca="false">ROUND(($U$2*MAX(0,MIN(1,($W$2-I872)/($W$2-$V$2)))+$U$3*MAX(0,MIN(1,($W$3-J872)/($W$3-$V$3)))+$U$4*MAX(0,MIN(1,($W$4-K872)/($W$4-$V$4)))+$U$5*MAX(0,MIN(1,($W$5-L872)/($W$5-$V$5)))+$U$6*MAX(0,MIN(1,($W$6-M872)/($W$6-$V$6)))+$U$7*MAX(0,MIN(1,($W$7-N872)/($W$7-$V$7)))+$U$8*IF(AND(O872&gt;=$V$8,O872&lt;=$W$8),1,0))/$U$9*100,2)</f>
        <v>78.21</v>
      </c>
      <c r="C872" s="27" t="s">
        <v>1691</v>
      </c>
      <c r="D872" s="25" t="s">
        <v>134</v>
      </c>
      <c r="E872" s="25" t="s">
        <v>3450</v>
      </c>
      <c r="F872" s="25" t="s">
        <v>3448</v>
      </c>
      <c r="G872" s="38" t="s">
        <v>30</v>
      </c>
      <c r="H872" s="28" t="s">
        <v>25</v>
      </c>
      <c r="I872" s="25" t="n">
        <v>1</v>
      </c>
      <c r="J872" s="25" t="n">
        <v>1</v>
      </c>
      <c r="K872" s="25" t="n">
        <v>1</v>
      </c>
      <c r="L872" s="29" t="n">
        <v>0.76</v>
      </c>
      <c r="M872" s="30" t="n">
        <v>11.64</v>
      </c>
      <c r="N872" s="29" t="n">
        <v>0.72</v>
      </c>
      <c r="O872" s="25" t="n">
        <v>184</v>
      </c>
      <c r="P872" s="30" t="n">
        <v>17.04</v>
      </c>
      <c r="Q872" s="27" t="s">
        <v>69</v>
      </c>
      <c r="R872" s="27" t="s">
        <v>283</v>
      </c>
    </row>
    <row r="873" customFormat="false" ht="15" hidden="false" customHeight="false" outlineLevel="0" collapsed="false">
      <c r="A873" s="25" t="n">
        <f aca="false">IF(G873="REJECT",COUNTIF($G$2:$G$2277,"&lt;&gt;REJECT")+1+COUNTIFS($G$2:$G$2277,"REJECT",$B$2:$B$2277,"&gt;"&amp;B873),1+COUNTIFS($G$2:$G$2277,"&lt;&gt;REJECT",$B$2:$B$2277,"&gt;"&amp;B873))</f>
        <v>872</v>
      </c>
      <c r="B873" s="26" t="n">
        <f aca="false">ROUND(($U$2*MAX(0,MIN(1,($W$2-I873)/($W$2-$V$2)))+$U$3*MAX(0,MIN(1,($W$3-J873)/($W$3-$V$3)))+$U$4*MAX(0,MIN(1,($W$4-K873)/($W$4-$V$4)))+$U$5*MAX(0,MIN(1,($W$5-L873)/($W$5-$V$5)))+$U$6*MAX(0,MIN(1,($W$6-M873)/($W$6-$V$6)))+$U$7*MAX(0,MIN(1,($W$7-N873)/($W$7-$V$7)))+$U$8*IF(AND(O873&gt;=$V$8,O873&lt;=$W$8),1,0))/$U$9*100,2)</f>
        <v>78.19</v>
      </c>
      <c r="C873" s="27" t="s">
        <v>2715</v>
      </c>
      <c r="D873" s="25" t="s">
        <v>134</v>
      </c>
      <c r="E873" s="25" t="s">
        <v>3447</v>
      </c>
      <c r="F873" s="25" t="s">
        <v>3457</v>
      </c>
      <c r="G873" s="38" t="s">
        <v>30</v>
      </c>
      <c r="H873" s="28" t="s">
        <v>25</v>
      </c>
      <c r="I873" s="25" t="n">
        <v>2</v>
      </c>
      <c r="J873" s="25" t="n">
        <v>0</v>
      </c>
      <c r="K873" s="25" t="n">
        <v>2</v>
      </c>
      <c r="L873" s="29" t="n">
        <v>0.69</v>
      </c>
      <c r="M873" s="30" t="n">
        <v>9.87</v>
      </c>
      <c r="N873" s="29" t="n">
        <v>0.64</v>
      </c>
      <c r="O873" s="25" t="n">
        <v>188</v>
      </c>
      <c r="P873" s="30" t="n">
        <v>-1.28</v>
      </c>
      <c r="Q873" s="27" t="s">
        <v>3518</v>
      </c>
      <c r="R873" s="27" t="s">
        <v>2610</v>
      </c>
    </row>
    <row r="874" customFormat="false" ht="15" hidden="false" customHeight="false" outlineLevel="0" collapsed="false">
      <c r="A874" s="25" t="n">
        <f aca="false">IF(G874="REJECT",COUNTIF($G$2:$G$2277,"&lt;&gt;REJECT")+1+COUNTIFS($G$2:$G$2277,"REJECT",$B$2:$B$2277,"&gt;"&amp;B874),1+COUNTIFS($G$2:$G$2277,"&lt;&gt;REJECT",$B$2:$B$2277,"&gt;"&amp;B874))</f>
        <v>873</v>
      </c>
      <c r="B874" s="26" t="n">
        <f aca="false">ROUND(($U$2*MAX(0,MIN(1,($W$2-I874)/($W$2-$V$2)))+$U$3*MAX(0,MIN(1,($W$3-J874)/($W$3-$V$3)))+$U$4*MAX(0,MIN(1,($W$4-K874)/($W$4-$V$4)))+$U$5*MAX(0,MIN(1,($W$5-L874)/($W$5-$V$5)))+$U$6*MAX(0,MIN(1,($W$6-M874)/($W$6-$V$6)))+$U$7*MAX(0,MIN(1,($W$7-N874)/($W$7-$V$7)))+$U$8*IF(AND(O874&gt;=$V$8,O874&lt;=$W$8),1,0))/$U$9*100,2)</f>
        <v>78.17</v>
      </c>
      <c r="C874" s="27" t="s">
        <v>2113</v>
      </c>
      <c r="D874" s="25" t="s">
        <v>134</v>
      </c>
      <c r="E874" s="25" t="s">
        <v>3450</v>
      </c>
      <c r="F874" s="25" t="s">
        <v>3448</v>
      </c>
      <c r="G874" s="38" t="s">
        <v>30</v>
      </c>
      <c r="H874" s="28" t="s">
        <v>25</v>
      </c>
      <c r="I874" s="25" t="n">
        <v>1</v>
      </c>
      <c r="J874" s="25" t="n">
        <v>1</v>
      </c>
      <c r="K874" s="25" t="n">
        <v>1</v>
      </c>
      <c r="L874" s="29" t="n">
        <v>0.77</v>
      </c>
      <c r="M874" s="30" t="n">
        <v>14.66</v>
      </c>
      <c r="N874" s="29" t="n">
        <v>0.8</v>
      </c>
      <c r="O874" s="25" t="n">
        <v>182</v>
      </c>
      <c r="P874" s="30" t="n">
        <v>0.46</v>
      </c>
      <c r="Q874" s="27" t="s">
        <v>69</v>
      </c>
      <c r="R874" s="27" t="s">
        <v>1230</v>
      </c>
    </row>
    <row r="875" customFormat="false" ht="15" hidden="false" customHeight="false" outlineLevel="0" collapsed="false">
      <c r="A875" s="25" t="n">
        <f aca="false">IF(G875="REJECT",COUNTIF($G$2:$G$2277,"&lt;&gt;REJECT")+1+COUNTIFS($G$2:$G$2277,"REJECT",$B$2:$B$2277,"&gt;"&amp;B875),1+COUNTIFS($G$2:$G$2277,"&lt;&gt;REJECT",$B$2:$B$2277,"&gt;"&amp;B875))</f>
        <v>874</v>
      </c>
      <c r="B875" s="26" t="n">
        <f aca="false">ROUND(($U$2*MAX(0,MIN(1,($W$2-I875)/($W$2-$V$2)))+$U$3*MAX(0,MIN(1,($W$3-J875)/($W$3-$V$3)))+$U$4*MAX(0,MIN(1,($W$4-K875)/($W$4-$V$4)))+$U$5*MAX(0,MIN(1,($W$5-L875)/($W$5-$V$5)))+$U$6*MAX(0,MIN(1,($W$6-M875)/($W$6-$V$6)))+$U$7*MAX(0,MIN(1,($W$7-N875)/($W$7-$V$7)))+$U$8*IF(AND(O875&gt;=$V$8,O875&lt;=$W$8),1,0))/$U$9*100,2)</f>
        <v>78.13</v>
      </c>
      <c r="C875" s="27" t="s">
        <v>3177</v>
      </c>
      <c r="D875" s="25" t="s">
        <v>134</v>
      </c>
      <c r="E875" s="25" t="s">
        <v>3450</v>
      </c>
      <c r="F875" s="25" t="s">
        <v>3448</v>
      </c>
      <c r="G875" s="38" t="s">
        <v>30</v>
      </c>
      <c r="H875" s="28" t="s">
        <v>25</v>
      </c>
      <c r="I875" s="25" t="n">
        <v>1</v>
      </c>
      <c r="J875" s="25" t="n">
        <v>1</v>
      </c>
      <c r="K875" s="25" t="n">
        <v>1</v>
      </c>
      <c r="L875" s="29" t="n">
        <v>0.77</v>
      </c>
      <c r="M875" s="30" t="n">
        <v>19.75</v>
      </c>
      <c r="N875" s="29" t="n">
        <v>0.32</v>
      </c>
      <c r="O875" s="25" t="n">
        <v>185</v>
      </c>
      <c r="P875" s="30" t="n">
        <v>16.31</v>
      </c>
      <c r="Q875" s="27" t="s">
        <v>69</v>
      </c>
      <c r="R875" s="27" t="s">
        <v>283</v>
      </c>
    </row>
    <row r="876" customFormat="false" ht="15" hidden="false" customHeight="false" outlineLevel="0" collapsed="false">
      <c r="A876" s="25" t="n">
        <f aca="false">IF(G876="REJECT",COUNTIF($G$2:$G$2277,"&lt;&gt;REJECT")+1+COUNTIFS($G$2:$G$2277,"REJECT",$B$2:$B$2277,"&gt;"&amp;B876),1+COUNTIFS($G$2:$G$2277,"&lt;&gt;REJECT",$B$2:$B$2277,"&gt;"&amp;B876))</f>
        <v>875</v>
      </c>
      <c r="B876" s="26" t="n">
        <f aca="false">ROUND(($U$2*MAX(0,MIN(1,($W$2-I876)/($W$2-$V$2)))+$U$3*MAX(0,MIN(1,($W$3-J876)/($W$3-$V$3)))+$U$4*MAX(0,MIN(1,($W$4-K876)/($W$4-$V$4)))+$U$5*MAX(0,MIN(1,($W$5-L876)/($W$5-$V$5)))+$U$6*MAX(0,MIN(1,($W$6-M876)/($W$6-$V$6)))+$U$7*MAX(0,MIN(1,($W$7-N876)/($W$7-$V$7)))+$U$8*IF(AND(O876&gt;=$V$8,O876&lt;=$W$8),1,0))/$U$9*100,2)</f>
        <v>77.99</v>
      </c>
      <c r="C876" s="27" t="s">
        <v>1227</v>
      </c>
      <c r="D876" s="25" t="s">
        <v>134</v>
      </c>
      <c r="E876" s="25" t="s">
        <v>3450</v>
      </c>
      <c r="F876" s="25" t="s">
        <v>3448</v>
      </c>
      <c r="G876" s="38" t="s">
        <v>30</v>
      </c>
      <c r="H876" s="28" t="s">
        <v>25</v>
      </c>
      <c r="I876" s="25" t="n">
        <v>1</v>
      </c>
      <c r="J876" s="25" t="n">
        <v>1</v>
      </c>
      <c r="K876" s="25" t="n">
        <v>1</v>
      </c>
      <c r="L876" s="29" t="n">
        <v>0.75</v>
      </c>
      <c r="M876" s="30" t="n">
        <v>14.94</v>
      </c>
      <c r="N876" s="29" t="n">
        <v>0.16</v>
      </c>
      <c r="O876" s="25" t="n">
        <v>182</v>
      </c>
      <c r="P876" s="30" t="n">
        <v>4.37</v>
      </c>
      <c r="Q876" s="27" t="s">
        <v>69</v>
      </c>
      <c r="R876" s="27" t="s">
        <v>283</v>
      </c>
    </row>
    <row r="877" customFormat="false" ht="15" hidden="false" customHeight="false" outlineLevel="0" collapsed="false">
      <c r="A877" s="25" t="n">
        <f aca="false">IF(G877="REJECT",COUNTIF($G$2:$G$2277,"&lt;&gt;REJECT")+1+COUNTIFS($G$2:$G$2277,"REJECT",$B$2:$B$2277,"&gt;"&amp;B877),1+COUNTIFS($G$2:$G$2277,"&lt;&gt;REJECT",$B$2:$B$2277,"&gt;"&amp;B877))</f>
        <v>875</v>
      </c>
      <c r="B877" s="26" t="n">
        <f aca="false">ROUND(($U$2*MAX(0,MIN(1,($W$2-I877)/($W$2-$V$2)))+$U$3*MAX(0,MIN(1,($W$3-J877)/($W$3-$V$3)))+$U$4*MAX(0,MIN(1,($W$4-K877)/($W$4-$V$4)))+$U$5*MAX(0,MIN(1,($W$5-L877)/($W$5-$V$5)))+$U$6*MAX(0,MIN(1,($W$6-M877)/($W$6-$V$6)))+$U$7*MAX(0,MIN(1,($W$7-N877)/($W$7-$V$7)))+$U$8*IF(AND(O877&gt;=$V$8,O877&lt;=$W$8),1,0))/$U$9*100,2)</f>
        <v>77.99</v>
      </c>
      <c r="C877" s="27" t="s">
        <v>3202</v>
      </c>
      <c r="D877" s="25" t="s">
        <v>134</v>
      </c>
      <c r="E877" s="25" t="s">
        <v>3447</v>
      </c>
      <c r="F877" s="25" t="s">
        <v>3448</v>
      </c>
      <c r="G877" s="38" t="s">
        <v>30</v>
      </c>
      <c r="H877" s="33" t="s">
        <v>24</v>
      </c>
      <c r="I877" s="25" t="n">
        <v>3</v>
      </c>
      <c r="J877" s="25" t="n">
        <v>0</v>
      </c>
      <c r="K877" s="25" t="n">
        <v>3</v>
      </c>
      <c r="L877" s="29" t="n">
        <v>0.79</v>
      </c>
      <c r="M877" s="30" t="n">
        <v>11.55</v>
      </c>
      <c r="N877" s="29" t="n">
        <v>0.44</v>
      </c>
      <c r="O877" s="25" t="n">
        <v>183</v>
      </c>
      <c r="P877" s="30" t="n">
        <v>0.33</v>
      </c>
      <c r="Q877" s="27" t="s">
        <v>3547</v>
      </c>
      <c r="R877" s="27" t="s">
        <v>30</v>
      </c>
    </row>
    <row r="878" customFormat="false" ht="15" hidden="false" customHeight="false" outlineLevel="0" collapsed="false">
      <c r="A878" s="25" t="n">
        <f aca="false">IF(G878="REJECT",COUNTIF($G$2:$G$2277,"&lt;&gt;REJECT")+1+COUNTIFS($G$2:$G$2277,"REJECT",$B$2:$B$2277,"&gt;"&amp;B878),1+COUNTIFS($G$2:$G$2277,"&lt;&gt;REJECT",$B$2:$B$2277,"&gt;"&amp;B878))</f>
        <v>877</v>
      </c>
      <c r="B878" s="26" t="n">
        <f aca="false">ROUND(($U$2*MAX(0,MIN(1,($W$2-I878)/($W$2-$V$2)))+$U$3*MAX(0,MIN(1,($W$3-J878)/($W$3-$V$3)))+$U$4*MAX(0,MIN(1,($W$4-K878)/($W$4-$V$4)))+$U$5*MAX(0,MIN(1,($W$5-L878)/($W$5-$V$5)))+$U$6*MAX(0,MIN(1,($W$6-M878)/($W$6-$V$6)))+$U$7*MAX(0,MIN(1,($W$7-N878)/($W$7-$V$7)))+$U$8*IF(AND(O878&gt;=$V$8,O878&lt;=$W$8),1,0))/$U$9*100,2)</f>
        <v>77.98</v>
      </c>
      <c r="C878" s="27" t="s">
        <v>1320</v>
      </c>
      <c r="D878" s="25" t="s">
        <v>134</v>
      </c>
      <c r="E878" s="25" t="s">
        <v>3447</v>
      </c>
      <c r="F878" s="25" t="s">
        <v>3457</v>
      </c>
      <c r="G878" s="38" t="s">
        <v>30</v>
      </c>
      <c r="H878" s="33" t="s">
        <v>24</v>
      </c>
      <c r="I878" s="25" t="n">
        <v>3</v>
      </c>
      <c r="J878" s="25" t="n">
        <v>0</v>
      </c>
      <c r="K878" s="25" t="n">
        <v>3</v>
      </c>
      <c r="L878" s="29" t="n">
        <v>0.79</v>
      </c>
      <c r="M878" s="30" t="n">
        <v>9.22</v>
      </c>
      <c r="N878" s="29" t="n">
        <v>0.68</v>
      </c>
      <c r="O878" s="25" t="n">
        <v>184</v>
      </c>
      <c r="P878" s="30" t="n">
        <v>-0.59</v>
      </c>
      <c r="Q878" s="27" t="s">
        <v>3541</v>
      </c>
      <c r="R878" s="27" t="s">
        <v>30</v>
      </c>
    </row>
    <row r="879" customFormat="false" ht="15" hidden="false" customHeight="false" outlineLevel="0" collapsed="false">
      <c r="A879" s="25" t="n">
        <f aca="false">IF(G879="REJECT",COUNTIF($G$2:$G$2277,"&lt;&gt;REJECT")+1+COUNTIFS($G$2:$G$2277,"REJECT",$B$2:$B$2277,"&gt;"&amp;B879),1+COUNTIFS($G$2:$G$2277,"&lt;&gt;REJECT",$B$2:$B$2277,"&gt;"&amp;B879))</f>
        <v>878</v>
      </c>
      <c r="B879" s="26" t="n">
        <f aca="false">ROUND(($U$2*MAX(0,MIN(1,($W$2-I879)/($W$2-$V$2)))+$U$3*MAX(0,MIN(1,($W$3-J879)/($W$3-$V$3)))+$U$4*MAX(0,MIN(1,($W$4-K879)/($W$4-$V$4)))+$U$5*MAX(0,MIN(1,($W$5-L879)/($W$5-$V$5)))+$U$6*MAX(0,MIN(1,($W$6-M879)/($W$6-$V$6)))+$U$7*MAX(0,MIN(1,($W$7-N879)/($W$7-$V$7)))+$U$8*IF(AND(O879&gt;=$V$8,O879&lt;=$W$8),1,0))/$U$9*100,2)</f>
        <v>77.94</v>
      </c>
      <c r="C879" s="27" t="s">
        <v>409</v>
      </c>
      <c r="D879" s="25" t="s">
        <v>134</v>
      </c>
      <c r="E879" s="25" t="s">
        <v>3450</v>
      </c>
      <c r="F879" s="25" t="s">
        <v>3448</v>
      </c>
      <c r="G879" s="38" t="s">
        <v>30</v>
      </c>
      <c r="H879" s="28" t="s">
        <v>25</v>
      </c>
      <c r="I879" s="25" t="n">
        <v>1</v>
      </c>
      <c r="J879" s="25" t="n">
        <v>1</v>
      </c>
      <c r="K879" s="25" t="n">
        <v>1</v>
      </c>
      <c r="L879" s="29" t="n">
        <v>0.75</v>
      </c>
      <c r="M879" s="30" t="n">
        <v>15.64</v>
      </c>
      <c r="N879" s="29" t="n">
        <v>0.12</v>
      </c>
      <c r="O879" s="25" t="n">
        <v>184</v>
      </c>
      <c r="P879" s="30" t="n">
        <v>5.03</v>
      </c>
      <c r="Q879" s="27" t="s">
        <v>69</v>
      </c>
      <c r="R879" s="27" t="s">
        <v>1152</v>
      </c>
    </row>
    <row r="880" customFormat="false" ht="15" hidden="false" customHeight="false" outlineLevel="0" collapsed="false">
      <c r="A880" s="25" t="n">
        <f aca="false">IF(G880="REJECT",COUNTIF($G$2:$G$2277,"&lt;&gt;REJECT")+1+COUNTIFS($G$2:$G$2277,"REJECT",$B$2:$B$2277,"&gt;"&amp;B880),1+COUNTIFS($G$2:$G$2277,"&lt;&gt;REJECT",$B$2:$B$2277,"&gt;"&amp;B880))</f>
        <v>878</v>
      </c>
      <c r="B880" s="26" t="n">
        <f aca="false">ROUND(($U$2*MAX(0,MIN(1,($W$2-I880)/($W$2-$V$2)))+$U$3*MAX(0,MIN(1,($W$3-J880)/($W$3-$V$3)))+$U$4*MAX(0,MIN(1,($W$4-K880)/($W$4-$V$4)))+$U$5*MAX(0,MIN(1,($W$5-L880)/($W$5-$V$5)))+$U$6*MAX(0,MIN(1,($W$6-M880)/($W$6-$V$6)))+$U$7*MAX(0,MIN(1,($W$7-N880)/($W$7-$V$7)))+$U$8*IF(AND(O880&gt;=$V$8,O880&lt;=$W$8),1,0))/$U$9*100,2)</f>
        <v>77.94</v>
      </c>
      <c r="C880" s="27" t="s">
        <v>1908</v>
      </c>
      <c r="D880" s="25" t="s">
        <v>3459</v>
      </c>
      <c r="E880" s="25" t="s">
        <v>3447</v>
      </c>
      <c r="F880" s="25" t="s">
        <v>3457</v>
      </c>
      <c r="G880" s="38" t="s">
        <v>30</v>
      </c>
      <c r="H880" s="28" t="s">
        <v>25</v>
      </c>
      <c r="I880" s="25" t="n">
        <v>3</v>
      </c>
      <c r="J880" s="25" t="n">
        <v>0</v>
      </c>
      <c r="K880" s="25" t="n">
        <v>3</v>
      </c>
      <c r="L880" s="29" t="n">
        <v>0.83</v>
      </c>
      <c r="M880" s="30" t="n">
        <v>13.49</v>
      </c>
      <c r="N880" s="29" t="n">
        <v>0.64</v>
      </c>
      <c r="O880" s="25" t="n">
        <v>182</v>
      </c>
      <c r="P880" s="30" t="n">
        <v>-1.49</v>
      </c>
      <c r="Q880" s="27" t="s">
        <v>3548</v>
      </c>
      <c r="R880" s="27" t="s">
        <v>2133</v>
      </c>
    </row>
    <row r="881" customFormat="false" ht="15" hidden="false" customHeight="false" outlineLevel="0" collapsed="false">
      <c r="A881" s="25" t="n">
        <f aca="false">IF(G881="REJECT",COUNTIF($G$2:$G$2277,"&lt;&gt;REJECT")+1+COUNTIFS($G$2:$G$2277,"REJECT",$B$2:$B$2277,"&gt;"&amp;B881),1+COUNTIFS($G$2:$G$2277,"&lt;&gt;REJECT",$B$2:$B$2277,"&gt;"&amp;B881))</f>
        <v>880</v>
      </c>
      <c r="B881" s="26" t="n">
        <f aca="false">ROUND(($U$2*MAX(0,MIN(1,($W$2-I881)/($W$2-$V$2)))+$U$3*MAX(0,MIN(1,($W$3-J881)/($W$3-$V$3)))+$U$4*MAX(0,MIN(1,($W$4-K881)/($W$4-$V$4)))+$U$5*MAX(0,MIN(1,($W$5-L881)/($W$5-$V$5)))+$U$6*MAX(0,MIN(1,($W$6-M881)/($W$6-$V$6)))+$U$7*MAX(0,MIN(1,($W$7-N881)/($W$7-$V$7)))+$U$8*IF(AND(O881&gt;=$V$8,O881&lt;=$W$8),1,0))/$U$9*100,2)</f>
        <v>77.93</v>
      </c>
      <c r="C881" s="27" t="s">
        <v>2067</v>
      </c>
      <c r="D881" s="25" t="s">
        <v>134</v>
      </c>
      <c r="E881" s="25" t="s">
        <v>3450</v>
      </c>
      <c r="F881" s="25" t="s">
        <v>3448</v>
      </c>
      <c r="G881" s="38" t="s">
        <v>30</v>
      </c>
      <c r="H881" s="28" t="s">
        <v>25</v>
      </c>
      <c r="I881" s="25" t="n">
        <v>1</v>
      </c>
      <c r="J881" s="25" t="n">
        <v>1</v>
      </c>
      <c r="K881" s="25" t="n">
        <v>0</v>
      </c>
      <c r="L881" s="29" t="n">
        <v>0.7</v>
      </c>
      <c r="M881" s="30" t="n">
        <v>3.39</v>
      </c>
      <c r="N881" s="29" t="n">
        <v>0.68</v>
      </c>
      <c r="O881" s="25" t="n">
        <v>182</v>
      </c>
      <c r="P881" s="30" t="n">
        <v>16.14</v>
      </c>
      <c r="Q881" s="27" t="s">
        <v>73</v>
      </c>
      <c r="R881" s="27" t="s">
        <v>283</v>
      </c>
    </row>
    <row r="882" customFormat="false" ht="15" hidden="false" customHeight="false" outlineLevel="0" collapsed="false">
      <c r="A882" s="25" t="n">
        <f aca="false">IF(G882="REJECT",COUNTIF($G$2:$G$2277,"&lt;&gt;REJECT")+1+COUNTIFS($G$2:$G$2277,"REJECT",$B$2:$B$2277,"&gt;"&amp;B882),1+COUNTIFS($G$2:$G$2277,"&lt;&gt;REJECT",$B$2:$B$2277,"&gt;"&amp;B882))</f>
        <v>881</v>
      </c>
      <c r="B882" s="26" t="n">
        <f aca="false">ROUND(($U$2*MAX(0,MIN(1,($W$2-I882)/($W$2-$V$2)))+$U$3*MAX(0,MIN(1,($W$3-J882)/($W$3-$V$3)))+$U$4*MAX(0,MIN(1,($W$4-K882)/($W$4-$V$4)))+$U$5*MAX(0,MIN(1,($W$5-L882)/($W$5-$V$5)))+$U$6*MAX(0,MIN(1,($W$6-M882)/($W$6-$V$6)))+$U$7*MAX(0,MIN(1,($W$7-N882)/($W$7-$V$7)))+$U$8*IF(AND(O882&gt;=$V$8,O882&lt;=$W$8),1,0))/$U$9*100,2)</f>
        <v>77.92</v>
      </c>
      <c r="C882" s="27" t="s">
        <v>1669</v>
      </c>
      <c r="D882" s="25" t="s">
        <v>134</v>
      </c>
      <c r="E882" s="25" t="s">
        <v>3447</v>
      </c>
      <c r="F882" s="25" t="s">
        <v>3457</v>
      </c>
      <c r="G882" s="38" t="s">
        <v>30</v>
      </c>
      <c r="H882" s="28" t="s">
        <v>25</v>
      </c>
      <c r="I882" s="25" t="n">
        <v>2</v>
      </c>
      <c r="J882" s="25" t="n">
        <v>0</v>
      </c>
      <c r="K882" s="25" t="n">
        <v>2</v>
      </c>
      <c r="L882" s="29" t="n">
        <v>0.7</v>
      </c>
      <c r="M882" s="30" t="n">
        <v>17.86</v>
      </c>
      <c r="N882" s="29" t="n">
        <v>0.36</v>
      </c>
      <c r="O882" s="25" t="n">
        <v>189</v>
      </c>
      <c r="P882" s="30" t="n">
        <v>1.29</v>
      </c>
      <c r="Q882" s="27" t="s">
        <v>3549</v>
      </c>
      <c r="R882" s="27" t="s">
        <v>2610</v>
      </c>
    </row>
    <row r="883" customFormat="false" ht="15" hidden="false" customHeight="false" outlineLevel="0" collapsed="false">
      <c r="A883" s="25" t="n">
        <f aca="false">IF(G883="REJECT",COUNTIF($G$2:$G$2277,"&lt;&gt;REJECT")+1+COUNTIFS($G$2:$G$2277,"REJECT",$B$2:$B$2277,"&gt;"&amp;B883),1+COUNTIFS($G$2:$G$2277,"&lt;&gt;REJECT",$B$2:$B$2277,"&gt;"&amp;B883))</f>
        <v>882</v>
      </c>
      <c r="B883" s="26" t="n">
        <f aca="false">ROUND(($U$2*MAX(0,MIN(1,($W$2-I883)/($W$2-$V$2)))+$U$3*MAX(0,MIN(1,($W$3-J883)/($W$3-$V$3)))+$U$4*MAX(0,MIN(1,($W$4-K883)/($W$4-$V$4)))+$U$5*MAX(0,MIN(1,($W$5-L883)/($W$5-$V$5)))+$U$6*MAX(0,MIN(1,($W$6-M883)/($W$6-$V$6)))+$U$7*MAX(0,MIN(1,($W$7-N883)/($W$7-$V$7)))+$U$8*IF(AND(O883&gt;=$V$8,O883&lt;=$W$8),1,0))/$U$9*100,2)</f>
        <v>77.88</v>
      </c>
      <c r="C883" s="27" t="s">
        <v>785</v>
      </c>
      <c r="D883" s="25" t="s">
        <v>3459</v>
      </c>
      <c r="E883" s="25" t="s">
        <v>3447</v>
      </c>
      <c r="F883" s="25" t="s">
        <v>3457</v>
      </c>
      <c r="G883" s="38" t="s">
        <v>30</v>
      </c>
      <c r="H883" s="28" t="s">
        <v>25</v>
      </c>
      <c r="I883" s="25" t="n">
        <v>3</v>
      </c>
      <c r="J883" s="25" t="n">
        <v>0</v>
      </c>
      <c r="K883" s="25" t="n">
        <v>3</v>
      </c>
      <c r="L883" s="29" t="n">
        <v>0.82</v>
      </c>
      <c r="M883" s="30" t="n">
        <v>20.22</v>
      </c>
      <c r="N883" s="29" t="n">
        <v>0</v>
      </c>
      <c r="O883" s="25" t="n">
        <v>183</v>
      </c>
      <c r="P883" s="30" t="n">
        <v>4.15</v>
      </c>
      <c r="Q883" s="27" t="s">
        <v>3550</v>
      </c>
      <c r="R883" s="27" t="s">
        <v>992</v>
      </c>
    </row>
    <row r="884" customFormat="false" ht="15" hidden="false" customHeight="false" outlineLevel="0" collapsed="false">
      <c r="A884" s="25" t="n">
        <f aca="false">IF(G884="REJECT",COUNTIF($G$2:$G$2277,"&lt;&gt;REJECT")+1+COUNTIFS($G$2:$G$2277,"REJECT",$B$2:$B$2277,"&gt;"&amp;B884),1+COUNTIFS($G$2:$G$2277,"&lt;&gt;REJECT",$B$2:$B$2277,"&gt;"&amp;B884))</f>
        <v>883</v>
      </c>
      <c r="B884" s="26" t="n">
        <f aca="false">ROUND(($U$2*MAX(0,MIN(1,($W$2-I884)/($W$2-$V$2)))+$U$3*MAX(0,MIN(1,($W$3-J884)/($W$3-$V$3)))+$U$4*MAX(0,MIN(1,($W$4-K884)/($W$4-$V$4)))+$U$5*MAX(0,MIN(1,($W$5-L884)/($W$5-$V$5)))+$U$6*MAX(0,MIN(1,($W$6-M884)/($W$6-$V$6)))+$U$7*MAX(0,MIN(1,($W$7-N884)/($W$7-$V$7)))+$U$8*IF(AND(O884&gt;=$V$8,O884&lt;=$W$8),1,0))/$U$9*100,2)</f>
        <v>77.87</v>
      </c>
      <c r="C884" s="27" t="s">
        <v>1060</v>
      </c>
      <c r="D884" s="25" t="s">
        <v>134</v>
      </c>
      <c r="E884" s="25" t="s">
        <v>3450</v>
      </c>
      <c r="F884" s="25" t="s">
        <v>3448</v>
      </c>
      <c r="G884" s="38" t="s">
        <v>30</v>
      </c>
      <c r="H884" s="28" t="s">
        <v>25</v>
      </c>
      <c r="I884" s="25" t="n">
        <v>1</v>
      </c>
      <c r="J884" s="25" t="n">
        <v>1</v>
      </c>
      <c r="K884" s="25" t="n">
        <v>1</v>
      </c>
      <c r="L884" s="29" t="n">
        <v>0.76</v>
      </c>
      <c r="M884" s="30" t="n">
        <v>17.66</v>
      </c>
      <c r="N884" s="29" t="n">
        <v>0.32</v>
      </c>
      <c r="O884" s="25" t="n">
        <v>183</v>
      </c>
      <c r="P884" s="30" t="n">
        <v>8.18</v>
      </c>
      <c r="Q884" s="27" t="s">
        <v>69</v>
      </c>
      <c r="R884" s="27" t="s">
        <v>1099</v>
      </c>
    </row>
    <row r="885" customFormat="false" ht="15" hidden="false" customHeight="false" outlineLevel="0" collapsed="false">
      <c r="A885" s="25" t="n">
        <f aca="false">IF(G885="REJECT",COUNTIF($G$2:$G$2277,"&lt;&gt;REJECT")+1+COUNTIFS($G$2:$G$2277,"REJECT",$B$2:$B$2277,"&gt;"&amp;B885),1+COUNTIFS($G$2:$G$2277,"&lt;&gt;REJECT",$B$2:$B$2277,"&gt;"&amp;B885))</f>
        <v>884</v>
      </c>
      <c r="B885" s="26" t="n">
        <f aca="false">ROUND(($U$2*MAX(0,MIN(1,($W$2-I885)/($W$2-$V$2)))+$U$3*MAX(0,MIN(1,($W$3-J885)/($W$3-$V$3)))+$U$4*MAX(0,MIN(1,($W$4-K885)/($W$4-$V$4)))+$U$5*MAX(0,MIN(1,($W$5-L885)/($W$5-$V$5)))+$U$6*MAX(0,MIN(1,($W$6-M885)/($W$6-$V$6)))+$U$7*MAX(0,MIN(1,($W$7-N885)/($W$7-$V$7)))+$U$8*IF(AND(O885&gt;=$V$8,O885&lt;=$W$8),1,0))/$U$9*100,2)</f>
        <v>77.86</v>
      </c>
      <c r="C885" s="27" t="s">
        <v>466</v>
      </c>
      <c r="D885" s="25" t="s">
        <v>134</v>
      </c>
      <c r="E885" s="25" t="s">
        <v>3450</v>
      </c>
      <c r="F885" s="25" t="s">
        <v>3457</v>
      </c>
      <c r="G885" s="38" t="s">
        <v>30</v>
      </c>
      <c r="H885" s="28" t="s">
        <v>25</v>
      </c>
      <c r="I885" s="25" t="n">
        <v>3</v>
      </c>
      <c r="J885" s="25" t="n">
        <v>0</v>
      </c>
      <c r="K885" s="25" t="n">
        <v>3</v>
      </c>
      <c r="L885" s="29" t="n">
        <v>0.84</v>
      </c>
      <c r="M885" s="30" t="n">
        <v>13.94</v>
      </c>
      <c r="N885" s="29" t="n">
        <v>0.64</v>
      </c>
      <c r="O885" s="25" t="n">
        <v>187</v>
      </c>
      <c r="P885" s="30" t="n">
        <v>1.73</v>
      </c>
      <c r="Q885" s="27" t="s">
        <v>3551</v>
      </c>
      <c r="R885" s="27" t="s">
        <v>470</v>
      </c>
    </row>
    <row r="886" customFormat="false" ht="15" hidden="false" customHeight="false" outlineLevel="0" collapsed="false">
      <c r="A886" s="25" t="n">
        <f aca="false">IF(G886="REJECT",COUNTIF($G$2:$G$2277,"&lt;&gt;REJECT")+1+COUNTIFS($G$2:$G$2277,"REJECT",$B$2:$B$2277,"&gt;"&amp;B886),1+COUNTIFS($G$2:$G$2277,"&lt;&gt;REJECT",$B$2:$B$2277,"&gt;"&amp;B886))</f>
        <v>884</v>
      </c>
      <c r="B886" s="26" t="n">
        <f aca="false">ROUND(($U$2*MAX(0,MIN(1,($W$2-I886)/($W$2-$V$2)))+$U$3*MAX(0,MIN(1,($W$3-J886)/($W$3-$V$3)))+$U$4*MAX(0,MIN(1,($W$4-K886)/($W$4-$V$4)))+$U$5*MAX(0,MIN(1,($W$5-L886)/($W$5-$V$5)))+$U$6*MAX(0,MIN(1,($W$6-M886)/($W$6-$V$6)))+$U$7*MAX(0,MIN(1,($W$7-N886)/($W$7-$V$7)))+$U$8*IF(AND(O886&gt;=$V$8,O886&lt;=$W$8),1,0))/$U$9*100,2)</f>
        <v>77.86</v>
      </c>
      <c r="C886" s="27" t="s">
        <v>2055</v>
      </c>
      <c r="D886" s="25" t="s">
        <v>3459</v>
      </c>
      <c r="E886" s="25" t="s">
        <v>3447</v>
      </c>
      <c r="F886" s="25" t="s">
        <v>3448</v>
      </c>
      <c r="G886" s="38" t="s">
        <v>30</v>
      </c>
      <c r="H886" s="28" t="s">
        <v>25</v>
      </c>
      <c r="I886" s="25" t="n">
        <v>2</v>
      </c>
      <c r="J886" s="25" t="n">
        <v>0</v>
      </c>
      <c r="K886" s="25" t="n">
        <v>2</v>
      </c>
      <c r="L886" s="29" t="n">
        <v>0.72</v>
      </c>
      <c r="M886" s="30" t="n">
        <v>23.86</v>
      </c>
      <c r="N886" s="29" t="n">
        <v>0.52</v>
      </c>
      <c r="O886" s="25" t="n">
        <v>197</v>
      </c>
      <c r="P886" s="30" t="n">
        <v>6.86</v>
      </c>
      <c r="Q886" s="27" t="s">
        <v>3499</v>
      </c>
      <c r="R886" s="27" t="s">
        <v>992</v>
      </c>
    </row>
    <row r="887" customFormat="false" ht="15" hidden="false" customHeight="false" outlineLevel="0" collapsed="false">
      <c r="A887" s="25" t="n">
        <f aca="false">IF(G887="REJECT",COUNTIF($G$2:$G$2277,"&lt;&gt;REJECT")+1+COUNTIFS($G$2:$G$2277,"REJECT",$B$2:$B$2277,"&gt;"&amp;B887),1+COUNTIFS($G$2:$G$2277,"&lt;&gt;REJECT",$B$2:$B$2277,"&gt;"&amp;B887))</f>
        <v>886</v>
      </c>
      <c r="B887" s="26" t="n">
        <f aca="false">ROUND(($U$2*MAX(0,MIN(1,($W$2-I887)/($W$2-$V$2)))+$U$3*MAX(0,MIN(1,($W$3-J887)/($W$3-$V$3)))+$U$4*MAX(0,MIN(1,($W$4-K887)/($W$4-$V$4)))+$U$5*MAX(0,MIN(1,($W$5-L887)/($W$5-$V$5)))+$U$6*MAX(0,MIN(1,($W$6-M887)/($W$6-$V$6)))+$U$7*MAX(0,MIN(1,($W$7-N887)/($W$7-$V$7)))+$U$8*IF(AND(O887&gt;=$V$8,O887&lt;=$W$8),1,0))/$U$9*100,2)</f>
        <v>77.85</v>
      </c>
      <c r="C887" s="27" t="s">
        <v>2180</v>
      </c>
      <c r="D887" s="25" t="s">
        <v>134</v>
      </c>
      <c r="E887" s="25" t="s">
        <v>3450</v>
      </c>
      <c r="F887" s="25" t="s">
        <v>3457</v>
      </c>
      <c r="G887" s="38" t="s">
        <v>30</v>
      </c>
      <c r="H887" s="28" t="s">
        <v>25</v>
      </c>
      <c r="I887" s="25" t="n">
        <v>1</v>
      </c>
      <c r="J887" s="25" t="n">
        <v>1</v>
      </c>
      <c r="K887" s="25" t="n">
        <v>1</v>
      </c>
      <c r="L887" s="29" t="n">
        <v>0.74</v>
      </c>
      <c r="M887" s="30" t="n">
        <v>11.78</v>
      </c>
      <c r="N887" s="29" t="n">
        <v>0.2</v>
      </c>
      <c r="O887" s="25" t="n">
        <v>200</v>
      </c>
      <c r="P887" s="30" t="n">
        <v>18.69</v>
      </c>
      <c r="Q887" s="27" t="s">
        <v>70</v>
      </c>
      <c r="R887" s="27" t="s">
        <v>283</v>
      </c>
    </row>
    <row r="888" customFormat="false" ht="15" hidden="false" customHeight="false" outlineLevel="0" collapsed="false">
      <c r="A888" s="25" t="n">
        <f aca="false">IF(G888="REJECT",COUNTIF($G$2:$G$2277,"&lt;&gt;REJECT")+1+COUNTIFS($G$2:$G$2277,"REJECT",$B$2:$B$2277,"&gt;"&amp;B888),1+COUNTIFS($G$2:$G$2277,"&lt;&gt;REJECT",$B$2:$B$2277,"&gt;"&amp;B888))</f>
        <v>887</v>
      </c>
      <c r="B888" s="26" t="n">
        <f aca="false">ROUND(($U$2*MAX(0,MIN(1,($W$2-I888)/($W$2-$V$2)))+$U$3*MAX(0,MIN(1,($W$3-J888)/($W$3-$V$3)))+$U$4*MAX(0,MIN(1,($W$4-K888)/($W$4-$V$4)))+$U$5*MAX(0,MIN(1,($W$5-L888)/($W$5-$V$5)))+$U$6*MAX(0,MIN(1,($W$6-M888)/($W$6-$V$6)))+$U$7*MAX(0,MIN(1,($W$7-N888)/($W$7-$V$7)))+$U$8*IF(AND(O888&gt;=$V$8,O888&lt;=$W$8),1,0))/$U$9*100,2)</f>
        <v>77.81</v>
      </c>
      <c r="C888" s="27" t="s">
        <v>2338</v>
      </c>
      <c r="D888" s="25" t="s">
        <v>134</v>
      </c>
      <c r="E888" s="25" t="s">
        <v>3447</v>
      </c>
      <c r="F888" s="25" t="s">
        <v>3448</v>
      </c>
      <c r="G888" s="38" t="s">
        <v>30</v>
      </c>
      <c r="H888" s="28" t="s">
        <v>25</v>
      </c>
      <c r="I888" s="25" t="n">
        <v>2</v>
      </c>
      <c r="J888" s="25" t="n">
        <v>0</v>
      </c>
      <c r="K888" s="25" t="n">
        <v>2</v>
      </c>
      <c r="L888" s="29" t="n">
        <v>0.67</v>
      </c>
      <c r="M888" s="30" t="n">
        <v>11.37</v>
      </c>
      <c r="N888" s="29" t="n">
        <v>0</v>
      </c>
      <c r="O888" s="25" t="n">
        <v>184</v>
      </c>
      <c r="P888" s="30" t="n">
        <v>1.96</v>
      </c>
      <c r="Q888" s="27" t="s">
        <v>3505</v>
      </c>
      <c r="R888" s="27" t="s">
        <v>2133</v>
      </c>
    </row>
    <row r="889" customFormat="false" ht="15" hidden="false" customHeight="false" outlineLevel="0" collapsed="false">
      <c r="A889" s="25" t="n">
        <f aca="false">IF(G889="REJECT",COUNTIF($G$2:$G$2277,"&lt;&gt;REJECT")+1+COUNTIFS($G$2:$G$2277,"REJECT",$B$2:$B$2277,"&gt;"&amp;B889),1+COUNTIFS($G$2:$G$2277,"&lt;&gt;REJECT",$B$2:$B$2277,"&gt;"&amp;B889))</f>
        <v>888</v>
      </c>
      <c r="B889" s="26" t="n">
        <f aca="false">ROUND(($U$2*MAX(0,MIN(1,($W$2-I889)/($W$2-$V$2)))+$U$3*MAX(0,MIN(1,($W$3-J889)/($W$3-$V$3)))+$U$4*MAX(0,MIN(1,($W$4-K889)/($W$4-$V$4)))+$U$5*MAX(0,MIN(1,($W$5-L889)/($W$5-$V$5)))+$U$6*MAX(0,MIN(1,($W$6-M889)/($W$6-$V$6)))+$U$7*MAX(0,MIN(1,($W$7-N889)/($W$7-$V$7)))+$U$8*IF(AND(O889&gt;=$V$8,O889&lt;=$W$8),1,0))/$U$9*100,2)</f>
        <v>77.79</v>
      </c>
      <c r="C889" s="27" t="s">
        <v>1547</v>
      </c>
      <c r="D889" s="25" t="s">
        <v>134</v>
      </c>
      <c r="E889" s="25" t="s">
        <v>3447</v>
      </c>
      <c r="F889" s="25" t="s">
        <v>3457</v>
      </c>
      <c r="G889" s="38" t="s">
        <v>30</v>
      </c>
      <c r="H889" s="28" t="s">
        <v>25</v>
      </c>
      <c r="I889" s="25" t="n">
        <v>3</v>
      </c>
      <c r="J889" s="25" t="n">
        <v>0</v>
      </c>
      <c r="K889" s="25" t="n">
        <v>3</v>
      </c>
      <c r="L889" s="29" t="n">
        <v>0.8</v>
      </c>
      <c r="M889" s="30" t="n">
        <v>13.54</v>
      </c>
      <c r="N889" s="29" t="n">
        <v>0.72</v>
      </c>
      <c r="O889" s="25" t="n">
        <v>184</v>
      </c>
      <c r="P889" s="30" t="n">
        <v>2.17</v>
      </c>
      <c r="Q889" s="27" t="s">
        <v>3552</v>
      </c>
      <c r="R889" s="27" t="s">
        <v>2133</v>
      </c>
    </row>
    <row r="890" customFormat="false" ht="15" hidden="false" customHeight="false" outlineLevel="0" collapsed="false">
      <c r="A890" s="25" t="n">
        <f aca="false">IF(G890="REJECT",COUNTIF($G$2:$G$2277,"&lt;&gt;REJECT")+1+COUNTIFS($G$2:$G$2277,"REJECT",$B$2:$B$2277,"&gt;"&amp;B890),1+COUNTIFS($G$2:$G$2277,"&lt;&gt;REJECT",$B$2:$B$2277,"&gt;"&amp;B890))</f>
        <v>889</v>
      </c>
      <c r="B890" s="26" t="n">
        <f aca="false">ROUND(($U$2*MAX(0,MIN(1,($W$2-I890)/($W$2-$V$2)))+$U$3*MAX(0,MIN(1,($W$3-J890)/($W$3-$V$3)))+$U$4*MAX(0,MIN(1,($W$4-K890)/($W$4-$V$4)))+$U$5*MAX(0,MIN(1,($W$5-L890)/($W$5-$V$5)))+$U$6*MAX(0,MIN(1,($W$6-M890)/($W$6-$V$6)))+$U$7*MAX(0,MIN(1,($W$7-N890)/($W$7-$V$7)))+$U$8*IF(AND(O890&gt;=$V$8,O890&lt;=$W$8),1,0))/$U$9*100,2)</f>
        <v>77.78</v>
      </c>
      <c r="C890" s="27" t="s">
        <v>2453</v>
      </c>
      <c r="D890" s="25" t="s">
        <v>3459</v>
      </c>
      <c r="E890" s="25" t="s">
        <v>3447</v>
      </c>
      <c r="F890" s="25" t="s">
        <v>3448</v>
      </c>
      <c r="G890" s="38" t="s">
        <v>30</v>
      </c>
      <c r="H890" s="28" t="s">
        <v>25</v>
      </c>
      <c r="I890" s="25" t="n">
        <v>3</v>
      </c>
      <c r="J890" s="25" t="n">
        <v>0</v>
      </c>
      <c r="K890" s="25" t="n">
        <v>3</v>
      </c>
      <c r="L890" s="29" t="n">
        <v>0.81</v>
      </c>
      <c r="M890" s="30" t="n">
        <v>18.02</v>
      </c>
      <c r="N890" s="29" t="n">
        <v>0.28</v>
      </c>
      <c r="O890" s="25" t="n">
        <v>184</v>
      </c>
      <c r="P890" s="30" t="n">
        <v>6.21</v>
      </c>
      <c r="Q890" s="27" t="s">
        <v>3553</v>
      </c>
      <c r="R890" s="27" t="s">
        <v>2133</v>
      </c>
    </row>
    <row r="891" customFormat="false" ht="15" hidden="false" customHeight="false" outlineLevel="0" collapsed="false">
      <c r="A891" s="25" t="n">
        <f aca="false">IF(G891="REJECT",COUNTIF($G$2:$G$2277,"&lt;&gt;REJECT")+1+COUNTIFS($G$2:$G$2277,"REJECT",$B$2:$B$2277,"&gt;"&amp;B891),1+COUNTIFS($G$2:$G$2277,"&lt;&gt;REJECT",$B$2:$B$2277,"&gt;"&amp;B891))</f>
        <v>890</v>
      </c>
      <c r="B891" s="26" t="n">
        <f aca="false">ROUND(($U$2*MAX(0,MIN(1,($W$2-I891)/($W$2-$V$2)))+$U$3*MAX(0,MIN(1,($W$3-J891)/($W$3-$V$3)))+$U$4*MAX(0,MIN(1,($W$4-K891)/($W$4-$V$4)))+$U$5*MAX(0,MIN(1,($W$5-L891)/($W$5-$V$5)))+$U$6*MAX(0,MIN(1,($W$6-M891)/($W$6-$V$6)))+$U$7*MAX(0,MIN(1,($W$7-N891)/($W$7-$V$7)))+$U$8*IF(AND(O891&gt;=$V$8,O891&lt;=$W$8),1,0))/$U$9*100,2)</f>
        <v>77.72</v>
      </c>
      <c r="C891" s="27" t="s">
        <v>2654</v>
      </c>
      <c r="D891" s="25" t="s">
        <v>134</v>
      </c>
      <c r="E891" s="25" t="s">
        <v>3447</v>
      </c>
      <c r="F891" s="25" t="s">
        <v>3448</v>
      </c>
      <c r="G891" s="38" t="s">
        <v>30</v>
      </c>
      <c r="H891" s="28" t="s">
        <v>25</v>
      </c>
      <c r="I891" s="25" t="n">
        <v>3</v>
      </c>
      <c r="J891" s="25" t="n">
        <v>0</v>
      </c>
      <c r="K891" s="25" t="n">
        <v>3</v>
      </c>
      <c r="L891" s="29" t="n">
        <v>0.83</v>
      </c>
      <c r="M891" s="30" t="n">
        <v>21.2</v>
      </c>
      <c r="N891" s="29" t="n">
        <v>0</v>
      </c>
      <c r="O891" s="25" t="n">
        <v>193</v>
      </c>
      <c r="P891" s="30" t="n">
        <v>6.92</v>
      </c>
      <c r="Q891" s="27" t="s">
        <v>3554</v>
      </c>
      <c r="R891" s="27" t="s">
        <v>992</v>
      </c>
    </row>
    <row r="892" customFormat="false" ht="15" hidden="false" customHeight="false" outlineLevel="0" collapsed="false">
      <c r="A892" s="25" t="n">
        <f aca="false">IF(G892="REJECT",COUNTIF($G$2:$G$2277,"&lt;&gt;REJECT")+1+COUNTIFS($G$2:$G$2277,"REJECT",$B$2:$B$2277,"&gt;"&amp;B892),1+COUNTIFS($G$2:$G$2277,"&lt;&gt;REJECT",$B$2:$B$2277,"&gt;"&amp;B892))</f>
        <v>891</v>
      </c>
      <c r="B892" s="26" t="n">
        <f aca="false">ROUND(($U$2*MAX(0,MIN(1,($W$2-I892)/($W$2-$V$2)))+$U$3*MAX(0,MIN(1,($W$3-J892)/($W$3-$V$3)))+$U$4*MAX(0,MIN(1,($W$4-K892)/($W$4-$V$4)))+$U$5*MAX(0,MIN(1,($W$5-L892)/($W$5-$V$5)))+$U$6*MAX(0,MIN(1,($W$6-M892)/($W$6-$V$6)))+$U$7*MAX(0,MIN(1,($W$7-N892)/($W$7-$V$7)))+$U$8*IF(AND(O892&gt;=$V$8,O892&lt;=$W$8),1,0))/$U$9*100,2)</f>
        <v>77.67</v>
      </c>
      <c r="C892" s="27" t="s">
        <v>2186</v>
      </c>
      <c r="D892" s="25" t="s">
        <v>3459</v>
      </c>
      <c r="E892" s="25" t="s">
        <v>3450</v>
      </c>
      <c r="F892" s="25" t="s">
        <v>3448</v>
      </c>
      <c r="G892" s="38" t="s">
        <v>30</v>
      </c>
      <c r="H892" s="28" t="s">
        <v>25</v>
      </c>
      <c r="I892" s="25" t="n">
        <v>1</v>
      </c>
      <c r="J892" s="25" t="n">
        <v>1</v>
      </c>
      <c r="K892" s="25" t="n">
        <v>1</v>
      </c>
      <c r="L892" s="29" t="n">
        <v>0.74</v>
      </c>
      <c r="M892" s="30" t="n">
        <v>12.91</v>
      </c>
      <c r="N892" s="29" t="n">
        <v>0.2</v>
      </c>
      <c r="O892" s="25" t="n">
        <v>183</v>
      </c>
      <c r="P892" s="30" t="n">
        <v>11.23</v>
      </c>
      <c r="Q892" s="27" t="s">
        <v>69</v>
      </c>
      <c r="R892" s="27" t="s">
        <v>1099</v>
      </c>
    </row>
    <row r="893" customFormat="false" ht="15" hidden="false" customHeight="false" outlineLevel="0" collapsed="false">
      <c r="A893" s="25" t="n">
        <f aca="false">IF(G893="REJECT",COUNTIF($G$2:$G$2277,"&lt;&gt;REJECT")+1+COUNTIFS($G$2:$G$2277,"REJECT",$B$2:$B$2277,"&gt;"&amp;B893),1+COUNTIFS($G$2:$G$2277,"&lt;&gt;REJECT",$B$2:$B$2277,"&gt;"&amp;B893))</f>
        <v>892</v>
      </c>
      <c r="B893" s="26" t="n">
        <f aca="false">ROUND(($U$2*MAX(0,MIN(1,($W$2-I893)/($W$2-$V$2)))+$U$3*MAX(0,MIN(1,($W$3-J893)/($W$3-$V$3)))+$U$4*MAX(0,MIN(1,($W$4-K893)/($W$4-$V$4)))+$U$5*MAX(0,MIN(1,($W$5-L893)/($W$5-$V$5)))+$U$6*MAX(0,MIN(1,($W$6-M893)/($W$6-$V$6)))+$U$7*MAX(0,MIN(1,($W$7-N893)/($W$7-$V$7)))+$U$8*IF(AND(O893&gt;=$V$8,O893&lt;=$W$8),1,0))/$U$9*100,2)</f>
        <v>77.66</v>
      </c>
      <c r="C893" s="27" t="s">
        <v>1325</v>
      </c>
      <c r="D893" s="25" t="s">
        <v>134</v>
      </c>
      <c r="E893" s="25" t="s">
        <v>3450</v>
      </c>
      <c r="F893" s="25" t="s">
        <v>3457</v>
      </c>
      <c r="G893" s="38" t="s">
        <v>30</v>
      </c>
      <c r="H893" s="28" t="s">
        <v>25</v>
      </c>
      <c r="I893" s="25" t="n">
        <v>1</v>
      </c>
      <c r="J893" s="25" t="n">
        <v>1</v>
      </c>
      <c r="K893" s="25" t="n">
        <v>1</v>
      </c>
      <c r="L893" s="29" t="n">
        <v>0.73</v>
      </c>
      <c r="M893" s="30" t="n">
        <v>4.93</v>
      </c>
      <c r="N893" s="29" t="n">
        <v>0.64</v>
      </c>
      <c r="O893" s="25" t="n">
        <v>184</v>
      </c>
      <c r="P893" s="30" t="n">
        <v>4.39</v>
      </c>
      <c r="Q893" s="27" t="s">
        <v>69</v>
      </c>
      <c r="R893" s="27" t="s">
        <v>283</v>
      </c>
    </row>
    <row r="894" customFormat="false" ht="15" hidden="false" customHeight="false" outlineLevel="0" collapsed="false">
      <c r="A894" s="25" t="n">
        <f aca="false">IF(G894="REJECT",COUNTIF($G$2:$G$2277,"&lt;&gt;REJECT")+1+COUNTIFS($G$2:$G$2277,"REJECT",$B$2:$B$2277,"&gt;"&amp;B894),1+COUNTIFS($G$2:$G$2277,"&lt;&gt;REJECT",$B$2:$B$2277,"&gt;"&amp;B894))</f>
        <v>893</v>
      </c>
      <c r="B894" s="26" t="n">
        <f aca="false">ROUND(($U$2*MAX(0,MIN(1,($W$2-I894)/($W$2-$V$2)))+$U$3*MAX(0,MIN(1,($W$3-J894)/($W$3-$V$3)))+$U$4*MAX(0,MIN(1,($W$4-K894)/($W$4-$V$4)))+$U$5*MAX(0,MIN(1,($W$5-L894)/($W$5-$V$5)))+$U$6*MAX(0,MIN(1,($W$6-M894)/($W$6-$V$6)))+$U$7*MAX(0,MIN(1,($W$7-N894)/($W$7-$V$7)))+$U$8*IF(AND(O894&gt;=$V$8,O894&lt;=$W$8),1,0))/$U$9*100,2)</f>
        <v>77.64</v>
      </c>
      <c r="C894" s="27" t="s">
        <v>1116</v>
      </c>
      <c r="D894" s="25" t="s">
        <v>134</v>
      </c>
      <c r="E894" s="25" t="s">
        <v>3447</v>
      </c>
      <c r="F894" s="25" t="s">
        <v>3457</v>
      </c>
      <c r="G894" s="38" t="s">
        <v>30</v>
      </c>
      <c r="H894" s="28" t="s">
        <v>25</v>
      </c>
      <c r="I894" s="25" t="n">
        <v>1</v>
      </c>
      <c r="J894" s="25" t="n">
        <v>1</v>
      </c>
      <c r="K894" s="25" t="n">
        <v>1</v>
      </c>
      <c r="L894" s="29" t="n">
        <v>0.74</v>
      </c>
      <c r="M894" s="30" t="n">
        <v>8.65</v>
      </c>
      <c r="N894" s="29" t="n">
        <v>0.64</v>
      </c>
      <c r="O894" s="25" t="n">
        <v>187</v>
      </c>
      <c r="P894" s="30" t="n">
        <v>10.75</v>
      </c>
      <c r="Q894" s="27" t="s">
        <v>69</v>
      </c>
      <c r="R894" s="27" t="s">
        <v>283</v>
      </c>
    </row>
    <row r="895" customFormat="false" ht="15" hidden="false" customHeight="false" outlineLevel="0" collapsed="false">
      <c r="A895" s="25" t="n">
        <f aca="false">IF(G895="REJECT",COUNTIF($G$2:$G$2277,"&lt;&gt;REJECT")+1+COUNTIFS($G$2:$G$2277,"REJECT",$B$2:$B$2277,"&gt;"&amp;B895),1+COUNTIFS($G$2:$G$2277,"&lt;&gt;REJECT",$B$2:$B$2277,"&gt;"&amp;B895))</f>
        <v>893</v>
      </c>
      <c r="B895" s="26" t="n">
        <f aca="false">ROUND(($U$2*MAX(0,MIN(1,($W$2-I895)/($W$2-$V$2)))+$U$3*MAX(0,MIN(1,($W$3-J895)/($W$3-$V$3)))+$U$4*MAX(0,MIN(1,($W$4-K895)/($W$4-$V$4)))+$U$5*MAX(0,MIN(1,($W$5-L895)/($W$5-$V$5)))+$U$6*MAX(0,MIN(1,($W$6-M895)/($W$6-$V$6)))+$U$7*MAX(0,MIN(1,($W$7-N895)/($W$7-$V$7)))+$U$8*IF(AND(O895&gt;=$V$8,O895&lt;=$W$8),1,0))/$U$9*100,2)</f>
        <v>77.64</v>
      </c>
      <c r="C895" s="27" t="s">
        <v>1240</v>
      </c>
      <c r="D895" s="25" t="s">
        <v>134</v>
      </c>
      <c r="E895" s="25" t="s">
        <v>3447</v>
      </c>
      <c r="F895" s="25" t="s">
        <v>3457</v>
      </c>
      <c r="G895" s="38" t="s">
        <v>30</v>
      </c>
      <c r="H895" s="33" t="s">
        <v>24</v>
      </c>
      <c r="I895" s="25" t="n">
        <v>3</v>
      </c>
      <c r="J895" s="25" t="n">
        <v>0</v>
      </c>
      <c r="K895" s="25" t="n">
        <v>3</v>
      </c>
      <c r="L895" s="29" t="n">
        <v>0.8</v>
      </c>
      <c r="M895" s="30" t="n">
        <v>18.46</v>
      </c>
      <c r="N895" s="29" t="n">
        <v>0.32</v>
      </c>
      <c r="O895" s="25" t="n">
        <v>185</v>
      </c>
      <c r="P895" s="30" t="n">
        <v>-1.17</v>
      </c>
      <c r="Q895" s="27" t="s">
        <v>3555</v>
      </c>
      <c r="R895" s="27" t="s">
        <v>30</v>
      </c>
    </row>
    <row r="896" customFormat="false" ht="15" hidden="false" customHeight="false" outlineLevel="0" collapsed="false">
      <c r="A896" s="25" t="n">
        <f aca="false">IF(G896="REJECT",COUNTIF($G$2:$G$2277,"&lt;&gt;REJECT")+1+COUNTIFS($G$2:$G$2277,"REJECT",$B$2:$B$2277,"&gt;"&amp;B896),1+COUNTIFS($G$2:$G$2277,"&lt;&gt;REJECT",$B$2:$B$2277,"&gt;"&amp;B896))</f>
        <v>895</v>
      </c>
      <c r="B896" s="26" t="n">
        <f aca="false">ROUND(($U$2*MAX(0,MIN(1,($W$2-I896)/($W$2-$V$2)))+$U$3*MAX(0,MIN(1,($W$3-J896)/($W$3-$V$3)))+$U$4*MAX(0,MIN(1,($W$4-K896)/($W$4-$V$4)))+$U$5*MAX(0,MIN(1,($W$5-L896)/($W$5-$V$5)))+$U$6*MAX(0,MIN(1,($W$6-M896)/($W$6-$V$6)))+$U$7*MAX(0,MIN(1,($W$7-N896)/($W$7-$V$7)))+$U$8*IF(AND(O896&gt;=$V$8,O896&lt;=$W$8),1,0))/$U$9*100,2)</f>
        <v>77.63</v>
      </c>
      <c r="C896" s="27" t="s">
        <v>1968</v>
      </c>
      <c r="D896" s="25" t="s">
        <v>134</v>
      </c>
      <c r="E896" s="25" t="s">
        <v>3447</v>
      </c>
      <c r="F896" s="25" t="s">
        <v>3457</v>
      </c>
      <c r="G896" s="38" t="s">
        <v>30</v>
      </c>
      <c r="H896" s="33" t="s">
        <v>24</v>
      </c>
      <c r="I896" s="25" t="n">
        <v>1</v>
      </c>
      <c r="J896" s="25" t="n">
        <v>0</v>
      </c>
      <c r="K896" s="25" t="n">
        <v>1</v>
      </c>
      <c r="L896" s="29" t="n">
        <v>0.58</v>
      </c>
      <c r="M896" s="30" t="n">
        <v>11.13</v>
      </c>
      <c r="N896" s="29" t="n">
        <v>0.64</v>
      </c>
      <c r="O896" s="25" t="n">
        <v>184</v>
      </c>
      <c r="P896" s="30" t="n">
        <v>-1.44</v>
      </c>
      <c r="Q896" s="27" t="s">
        <v>3474</v>
      </c>
      <c r="R896" s="27" t="s">
        <v>30</v>
      </c>
    </row>
    <row r="897" customFormat="false" ht="15" hidden="false" customHeight="false" outlineLevel="0" collapsed="false">
      <c r="A897" s="25" t="n">
        <f aca="false">IF(G897="REJECT",COUNTIF($G$2:$G$2277,"&lt;&gt;REJECT")+1+COUNTIFS($G$2:$G$2277,"REJECT",$B$2:$B$2277,"&gt;"&amp;B897),1+COUNTIFS($G$2:$G$2277,"&lt;&gt;REJECT",$B$2:$B$2277,"&gt;"&amp;B897))</f>
        <v>895</v>
      </c>
      <c r="B897" s="26" t="n">
        <f aca="false">ROUND(($U$2*MAX(0,MIN(1,($W$2-I897)/($W$2-$V$2)))+$U$3*MAX(0,MIN(1,($W$3-J897)/($W$3-$V$3)))+$U$4*MAX(0,MIN(1,($W$4-K897)/($W$4-$V$4)))+$U$5*MAX(0,MIN(1,($W$5-L897)/($W$5-$V$5)))+$U$6*MAX(0,MIN(1,($W$6-M897)/($W$6-$V$6)))+$U$7*MAX(0,MIN(1,($W$7-N897)/($W$7-$V$7)))+$U$8*IF(AND(O897&gt;=$V$8,O897&lt;=$W$8),1,0))/$U$9*100,2)</f>
        <v>77.63</v>
      </c>
      <c r="C897" s="27" t="s">
        <v>2973</v>
      </c>
      <c r="D897" s="25" t="s">
        <v>134</v>
      </c>
      <c r="E897" s="25" t="s">
        <v>3447</v>
      </c>
      <c r="F897" s="25" t="s">
        <v>3448</v>
      </c>
      <c r="G897" s="38" t="s">
        <v>30</v>
      </c>
      <c r="H897" s="28" t="s">
        <v>25</v>
      </c>
      <c r="I897" s="25" t="n">
        <v>3</v>
      </c>
      <c r="J897" s="25" t="n">
        <v>0</v>
      </c>
      <c r="K897" s="25" t="n">
        <v>3</v>
      </c>
      <c r="L897" s="29" t="n">
        <v>0.75</v>
      </c>
      <c r="M897" s="30" t="n">
        <v>3.75</v>
      </c>
      <c r="N897" s="29" t="n">
        <v>0</v>
      </c>
      <c r="O897" s="25" t="n">
        <v>208</v>
      </c>
      <c r="P897" s="30" t="n">
        <v>5.72</v>
      </c>
      <c r="Q897" s="27" t="s">
        <v>3556</v>
      </c>
      <c r="R897" s="27" t="s">
        <v>2610</v>
      </c>
    </row>
    <row r="898" customFormat="false" ht="15" hidden="false" customHeight="false" outlineLevel="0" collapsed="false">
      <c r="A898" s="25" t="n">
        <f aca="false">IF(G898="REJECT",COUNTIF($G$2:$G$2277,"&lt;&gt;REJECT")+1+COUNTIFS($G$2:$G$2277,"REJECT",$B$2:$B$2277,"&gt;"&amp;B898),1+COUNTIFS($G$2:$G$2277,"&lt;&gt;REJECT",$B$2:$B$2277,"&gt;"&amp;B898))</f>
        <v>897</v>
      </c>
      <c r="B898" s="26" t="n">
        <f aca="false">ROUND(($U$2*MAX(0,MIN(1,($W$2-I898)/($W$2-$V$2)))+$U$3*MAX(0,MIN(1,($W$3-J898)/($W$3-$V$3)))+$U$4*MAX(0,MIN(1,($W$4-K898)/($W$4-$V$4)))+$U$5*MAX(0,MIN(1,($W$5-L898)/($W$5-$V$5)))+$U$6*MAX(0,MIN(1,($W$6-M898)/($W$6-$V$6)))+$U$7*MAX(0,MIN(1,($W$7-N898)/($W$7-$V$7)))+$U$8*IF(AND(O898&gt;=$V$8,O898&lt;=$W$8),1,0))/$U$9*100,2)</f>
        <v>77.62</v>
      </c>
      <c r="C898" s="27" t="s">
        <v>1096</v>
      </c>
      <c r="D898" s="25" t="s">
        <v>134</v>
      </c>
      <c r="E898" s="25" t="s">
        <v>3447</v>
      </c>
      <c r="F898" s="25" t="s">
        <v>3448</v>
      </c>
      <c r="G898" s="38" t="s">
        <v>30</v>
      </c>
      <c r="H898" s="33" t="s">
        <v>24</v>
      </c>
      <c r="I898" s="25" t="n">
        <v>3</v>
      </c>
      <c r="J898" s="25" t="n">
        <v>0</v>
      </c>
      <c r="K898" s="25" t="n">
        <v>3</v>
      </c>
      <c r="L898" s="29" t="n">
        <v>0.78</v>
      </c>
      <c r="M898" s="30" t="n">
        <v>11.36</v>
      </c>
      <c r="N898" s="29" t="n">
        <v>0.32</v>
      </c>
      <c r="O898" s="25" t="n">
        <v>183</v>
      </c>
      <c r="P898" s="30" t="n">
        <v>8.59</v>
      </c>
      <c r="Q898" s="27" t="s">
        <v>3557</v>
      </c>
      <c r="R898" s="27" t="s">
        <v>30</v>
      </c>
    </row>
    <row r="899" customFormat="false" ht="15" hidden="false" customHeight="false" outlineLevel="0" collapsed="false">
      <c r="A899" s="25" t="n">
        <f aca="false">IF(G899="REJECT",COUNTIF($G$2:$G$2277,"&lt;&gt;REJECT")+1+COUNTIFS($G$2:$G$2277,"REJECT",$B$2:$B$2277,"&gt;"&amp;B899),1+COUNTIFS($G$2:$G$2277,"&lt;&gt;REJECT",$B$2:$B$2277,"&gt;"&amp;B899))</f>
        <v>898</v>
      </c>
      <c r="B899" s="26" t="n">
        <f aca="false">ROUND(($U$2*MAX(0,MIN(1,($W$2-I899)/($W$2-$V$2)))+$U$3*MAX(0,MIN(1,($W$3-J899)/($W$3-$V$3)))+$U$4*MAX(0,MIN(1,($W$4-K899)/($W$4-$V$4)))+$U$5*MAX(0,MIN(1,($W$5-L899)/($W$5-$V$5)))+$U$6*MAX(0,MIN(1,($W$6-M899)/($W$6-$V$6)))+$U$7*MAX(0,MIN(1,($W$7-N899)/($W$7-$V$7)))+$U$8*IF(AND(O899&gt;=$V$8,O899&lt;=$W$8),1,0))/$U$9*100,2)</f>
        <v>77.61</v>
      </c>
      <c r="C899" s="27" t="s">
        <v>3351</v>
      </c>
      <c r="D899" s="25" t="s">
        <v>134</v>
      </c>
      <c r="E899" s="25" t="s">
        <v>3450</v>
      </c>
      <c r="F899" s="25" t="s">
        <v>3448</v>
      </c>
      <c r="G899" s="38" t="s">
        <v>30</v>
      </c>
      <c r="H899" s="28" t="s">
        <v>25</v>
      </c>
      <c r="I899" s="25" t="n">
        <v>1</v>
      </c>
      <c r="J899" s="25" t="n">
        <v>1</v>
      </c>
      <c r="K899" s="25" t="n">
        <v>1</v>
      </c>
      <c r="L899" s="29" t="n">
        <v>0.74</v>
      </c>
      <c r="M899" s="30" t="n">
        <v>12.02</v>
      </c>
      <c r="N899" s="29" t="n">
        <v>0.32</v>
      </c>
      <c r="O899" s="25" t="n">
        <v>182</v>
      </c>
      <c r="P899" s="30" t="n">
        <v>10.33</v>
      </c>
      <c r="Q899" s="27" t="s">
        <v>69</v>
      </c>
      <c r="R899" s="27" t="s">
        <v>283</v>
      </c>
    </row>
    <row r="900" customFormat="false" ht="15" hidden="false" customHeight="false" outlineLevel="0" collapsed="false">
      <c r="A900" s="25" t="n">
        <f aca="false">IF(G900="REJECT",COUNTIF($G$2:$G$2277,"&lt;&gt;REJECT")+1+COUNTIFS($G$2:$G$2277,"REJECT",$B$2:$B$2277,"&gt;"&amp;B900),1+COUNTIFS($G$2:$G$2277,"&lt;&gt;REJECT",$B$2:$B$2277,"&gt;"&amp;B900))</f>
        <v>899</v>
      </c>
      <c r="B900" s="26" t="n">
        <f aca="false">ROUND(($U$2*MAX(0,MIN(1,($W$2-I900)/($W$2-$V$2)))+$U$3*MAX(0,MIN(1,($W$3-J900)/($W$3-$V$3)))+$U$4*MAX(0,MIN(1,($W$4-K900)/($W$4-$V$4)))+$U$5*MAX(0,MIN(1,($W$5-L900)/($W$5-$V$5)))+$U$6*MAX(0,MIN(1,($W$6-M900)/($W$6-$V$6)))+$U$7*MAX(0,MIN(1,($W$7-N900)/($W$7-$V$7)))+$U$8*IF(AND(O900&gt;=$V$8,O900&lt;=$W$8),1,0))/$U$9*100,2)</f>
        <v>77.6</v>
      </c>
      <c r="C900" s="27" t="s">
        <v>1968</v>
      </c>
      <c r="D900" s="25" t="s">
        <v>3459</v>
      </c>
      <c r="E900" s="25" t="s">
        <v>3447</v>
      </c>
      <c r="F900" s="25" t="s">
        <v>3448</v>
      </c>
      <c r="G900" s="38" t="s">
        <v>30</v>
      </c>
      <c r="H900" s="28" t="s">
        <v>25</v>
      </c>
      <c r="I900" s="25" t="n">
        <v>2</v>
      </c>
      <c r="J900" s="25" t="n">
        <v>0</v>
      </c>
      <c r="K900" s="25" t="n">
        <v>2</v>
      </c>
      <c r="L900" s="29" t="n">
        <v>0.71</v>
      </c>
      <c r="M900" s="30" t="n">
        <v>18.6</v>
      </c>
      <c r="N900" s="29" t="n">
        <v>0.84</v>
      </c>
      <c r="O900" s="25" t="n">
        <v>184</v>
      </c>
      <c r="P900" s="30" t="n">
        <v>-0.77</v>
      </c>
      <c r="Q900" s="27" t="s">
        <v>3524</v>
      </c>
      <c r="R900" s="27" t="s">
        <v>2610</v>
      </c>
    </row>
    <row r="901" customFormat="false" ht="15" hidden="false" customHeight="false" outlineLevel="0" collapsed="false">
      <c r="A901" s="25" t="n">
        <f aca="false">IF(G901="REJECT",COUNTIF($G$2:$G$2277,"&lt;&gt;REJECT")+1+COUNTIFS($G$2:$G$2277,"REJECT",$B$2:$B$2277,"&gt;"&amp;B901),1+COUNTIFS($G$2:$G$2277,"&lt;&gt;REJECT",$B$2:$B$2277,"&gt;"&amp;B901))</f>
        <v>900</v>
      </c>
      <c r="B901" s="26" t="n">
        <f aca="false">ROUND(($U$2*MAX(0,MIN(1,($W$2-I901)/($W$2-$V$2)))+$U$3*MAX(0,MIN(1,($W$3-J901)/($W$3-$V$3)))+$U$4*MAX(0,MIN(1,($W$4-K901)/($W$4-$V$4)))+$U$5*MAX(0,MIN(1,($W$5-L901)/($W$5-$V$5)))+$U$6*MAX(0,MIN(1,($W$6-M901)/($W$6-$V$6)))+$U$7*MAX(0,MIN(1,($W$7-N901)/($W$7-$V$7)))+$U$8*IF(AND(O901&gt;=$V$8,O901&lt;=$W$8),1,0))/$U$9*100,2)</f>
        <v>77.56</v>
      </c>
      <c r="C901" s="27" t="s">
        <v>637</v>
      </c>
      <c r="D901" s="25" t="s">
        <v>3459</v>
      </c>
      <c r="E901" s="25" t="s">
        <v>3447</v>
      </c>
      <c r="F901" s="25" t="s">
        <v>3448</v>
      </c>
      <c r="G901" s="38" t="s">
        <v>30</v>
      </c>
      <c r="H901" s="33" t="s">
        <v>24</v>
      </c>
      <c r="I901" s="25" t="n">
        <v>3</v>
      </c>
      <c r="J901" s="25" t="n">
        <v>0</v>
      </c>
      <c r="K901" s="25" t="n">
        <v>3</v>
      </c>
      <c r="L901" s="29" t="n">
        <v>0.85</v>
      </c>
      <c r="M901" s="30" t="n">
        <v>18.53</v>
      </c>
      <c r="N901" s="29" t="n">
        <v>0.36</v>
      </c>
      <c r="O901" s="25" t="n">
        <v>184</v>
      </c>
      <c r="P901" s="30" t="n">
        <v>-0.7</v>
      </c>
      <c r="Q901" s="27" t="s">
        <v>3551</v>
      </c>
      <c r="R901" s="27" t="s">
        <v>30</v>
      </c>
    </row>
    <row r="902" customFormat="false" ht="15" hidden="false" customHeight="false" outlineLevel="0" collapsed="false">
      <c r="A902" s="25" t="n">
        <f aca="false">IF(G902="REJECT",COUNTIF($G$2:$G$2277,"&lt;&gt;REJECT")+1+COUNTIFS($G$2:$G$2277,"REJECT",$B$2:$B$2277,"&gt;"&amp;B902),1+COUNTIFS($G$2:$G$2277,"&lt;&gt;REJECT",$B$2:$B$2277,"&gt;"&amp;B902))</f>
        <v>901</v>
      </c>
      <c r="B902" s="26" t="n">
        <f aca="false">ROUND(($U$2*MAX(0,MIN(1,($W$2-I902)/($W$2-$V$2)))+$U$3*MAX(0,MIN(1,($W$3-J902)/($W$3-$V$3)))+$U$4*MAX(0,MIN(1,($W$4-K902)/($W$4-$V$4)))+$U$5*MAX(0,MIN(1,($W$5-L902)/($W$5-$V$5)))+$U$6*MAX(0,MIN(1,($W$6-M902)/($W$6-$V$6)))+$U$7*MAX(0,MIN(1,($W$7-N902)/($W$7-$V$7)))+$U$8*IF(AND(O902&gt;=$V$8,O902&lt;=$W$8),1,0))/$U$9*100,2)</f>
        <v>77.5</v>
      </c>
      <c r="C902" s="27" t="s">
        <v>2302</v>
      </c>
      <c r="D902" s="25" t="s">
        <v>134</v>
      </c>
      <c r="E902" s="25" t="s">
        <v>3450</v>
      </c>
      <c r="F902" s="25" t="s">
        <v>3457</v>
      </c>
      <c r="G902" s="38" t="s">
        <v>30</v>
      </c>
      <c r="H902" s="28" t="s">
        <v>25</v>
      </c>
      <c r="I902" s="25" t="n">
        <v>1</v>
      </c>
      <c r="J902" s="25" t="n">
        <v>1</v>
      </c>
      <c r="K902" s="25" t="n">
        <v>1</v>
      </c>
      <c r="L902" s="29" t="n">
        <v>0.73</v>
      </c>
      <c r="M902" s="30" t="n">
        <v>7.48</v>
      </c>
      <c r="N902" s="29" t="n">
        <v>0.48</v>
      </c>
      <c r="O902" s="25" t="n">
        <v>182</v>
      </c>
      <c r="P902" s="30" t="n">
        <v>8.25</v>
      </c>
      <c r="Q902" s="27" t="s">
        <v>69</v>
      </c>
      <c r="R902" s="27" t="s">
        <v>283</v>
      </c>
    </row>
    <row r="903" customFormat="false" ht="15" hidden="false" customHeight="false" outlineLevel="0" collapsed="false">
      <c r="A903" s="25" t="n">
        <f aca="false">IF(G903="REJECT",COUNTIF($G$2:$G$2277,"&lt;&gt;REJECT")+1+COUNTIFS($G$2:$G$2277,"REJECT",$B$2:$B$2277,"&gt;"&amp;B903),1+COUNTIFS($G$2:$G$2277,"&lt;&gt;REJECT",$B$2:$B$2277,"&gt;"&amp;B903))</f>
        <v>902</v>
      </c>
      <c r="B903" s="26" t="n">
        <f aca="false">ROUND(($U$2*MAX(0,MIN(1,($W$2-I903)/($W$2-$V$2)))+$U$3*MAX(0,MIN(1,($W$3-J903)/($W$3-$V$3)))+$U$4*MAX(0,MIN(1,($W$4-K903)/($W$4-$V$4)))+$U$5*MAX(0,MIN(1,($W$5-L903)/($W$5-$V$5)))+$U$6*MAX(0,MIN(1,($W$6-M903)/($W$6-$V$6)))+$U$7*MAX(0,MIN(1,($W$7-N903)/($W$7-$V$7)))+$U$8*IF(AND(O903&gt;=$V$8,O903&lt;=$W$8),1,0))/$U$9*100,2)</f>
        <v>77.49</v>
      </c>
      <c r="C903" s="27" t="s">
        <v>1443</v>
      </c>
      <c r="D903" s="25" t="s">
        <v>134</v>
      </c>
      <c r="E903" s="25" t="s">
        <v>3450</v>
      </c>
      <c r="F903" s="25" t="s">
        <v>3457</v>
      </c>
      <c r="G903" s="38" t="s">
        <v>30</v>
      </c>
      <c r="H903" s="28" t="s">
        <v>25</v>
      </c>
      <c r="I903" s="25" t="n">
        <v>1</v>
      </c>
      <c r="J903" s="25" t="n">
        <v>1</v>
      </c>
      <c r="K903" s="25" t="n">
        <v>1</v>
      </c>
      <c r="L903" s="29" t="n">
        <v>0.74</v>
      </c>
      <c r="M903" s="30" t="n">
        <v>11.96</v>
      </c>
      <c r="N903" s="29" t="n">
        <v>0.4</v>
      </c>
      <c r="O903" s="25" t="n">
        <v>182</v>
      </c>
      <c r="P903" s="30" t="n">
        <v>17.69</v>
      </c>
      <c r="Q903" s="27" t="s">
        <v>69</v>
      </c>
      <c r="R903" s="27" t="s">
        <v>283</v>
      </c>
    </row>
    <row r="904" customFormat="false" ht="15" hidden="false" customHeight="false" outlineLevel="0" collapsed="false">
      <c r="A904" s="25" t="n">
        <f aca="false">IF(G904="REJECT",COUNTIF($G$2:$G$2277,"&lt;&gt;REJECT")+1+COUNTIFS($G$2:$G$2277,"REJECT",$B$2:$B$2277,"&gt;"&amp;B904),1+COUNTIFS($G$2:$G$2277,"&lt;&gt;REJECT",$B$2:$B$2277,"&gt;"&amp;B904))</f>
        <v>903</v>
      </c>
      <c r="B904" s="26" t="n">
        <f aca="false">ROUND(($U$2*MAX(0,MIN(1,($W$2-I904)/($W$2-$V$2)))+$U$3*MAX(0,MIN(1,($W$3-J904)/($W$3-$V$3)))+$U$4*MAX(0,MIN(1,($W$4-K904)/($W$4-$V$4)))+$U$5*MAX(0,MIN(1,($W$5-L904)/($W$5-$V$5)))+$U$6*MAX(0,MIN(1,($W$6-M904)/($W$6-$V$6)))+$U$7*MAX(0,MIN(1,($W$7-N904)/($W$7-$V$7)))+$U$8*IF(AND(O904&gt;=$V$8,O904&lt;=$W$8),1,0))/$U$9*100,2)</f>
        <v>77.48</v>
      </c>
      <c r="C904" s="27" t="s">
        <v>1247</v>
      </c>
      <c r="D904" s="25" t="s">
        <v>134</v>
      </c>
      <c r="E904" s="25" t="s">
        <v>3450</v>
      </c>
      <c r="F904" s="25" t="s">
        <v>3448</v>
      </c>
      <c r="G904" s="38" t="s">
        <v>30</v>
      </c>
      <c r="H904" s="28" t="s">
        <v>25</v>
      </c>
      <c r="I904" s="25" t="n">
        <v>1</v>
      </c>
      <c r="J904" s="25" t="n">
        <v>1</v>
      </c>
      <c r="K904" s="25" t="n">
        <v>1</v>
      </c>
      <c r="L904" s="29" t="n">
        <v>0.75</v>
      </c>
      <c r="M904" s="30" t="n">
        <v>10.4</v>
      </c>
      <c r="N904" s="29" t="n">
        <v>0.92</v>
      </c>
      <c r="O904" s="25" t="n">
        <v>183</v>
      </c>
      <c r="P904" s="30" t="n">
        <v>7.3</v>
      </c>
      <c r="Q904" s="27" t="s">
        <v>69</v>
      </c>
      <c r="R904" s="27" t="s">
        <v>1099</v>
      </c>
    </row>
    <row r="905" customFormat="false" ht="15" hidden="false" customHeight="false" outlineLevel="0" collapsed="false">
      <c r="A905" s="25" t="n">
        <f aca="false">IF(G905="REJECT",COUNTIF($G$2:$G$2277,"&lt;&gt;REJECT")+1+COUNTIFS($G$2:$G$2277,"REJECT",$B$2:$B$2277,"&gt;"&amp;B905),1+COUNTIFS($G$2:$G$2277,"&lt;&gt;REJECT",$B$2:$B$2277,"&gt;"&amp;B905))</f>
        <v>903</v>
      </c>
      <c r="B905" s="26" t="n">
        <f aca="false">ROUND(($U$2*MAX(0,MIN(1,($W$2-I905)/($W$2-$V$2)))+$U$3*MAX(0,MIN(1,($W$3-J905)/($W$3-$V$3)))+$U$4*MAX(0,MIN(1,($W$4-K905)/($W$4-$V$4)))+$U$5*MAX(0,MIN(1,($W$5-L905)/($W$5-$V$5)))+$U$6*MAX(0,MIN(1,($W$6-M905)/($W$6-$V$6)))+$U$7*MAX(0,MIN(1,($W$7-N905)/($W$7-$V$7)))+$U$8*IF(AND(O905&gt;=$V$8,O905&lt;=$W$8),1,0))/$U$9*100,2)</f>
        <v>77.48</v>
      </c>
      <c r="C905" s="27" t="s">
        <v>2641</v>
      </c>
      <c r="D905" s="25" t="s">
        <v>134</v>
      </c>
      <c r="E905" s="25" t="s">
        <v>3450</v>
      </c>
      <c r="F905" s="25" t="s">
        <v>3448</v>
      </c>
      <c r="G905" s="38" t="s">
        <v>30</v>
      </c>
      <c r="H905" s="28" t="s">
        <v>25</v>
      </c>
      <c r="I905" s="25" t="n">
        <v>1</v>
      </c>
      <c r="J905" s="25" t="n">
        <v>1</v>
      </c>
      <c r="K905" s="25" t="n">
        <v>1</v>
      </c>
      <c r="L905" s="29" t="n">
        <v>0.72</v>
      </c>
      <c r="M905" s="30" t="n">
        <v>4.83</v>
      </c>
      <c r="N905" s="29" t="n">
        <v>0.4</v>
      </c>
      <c r="O905" s="25" t="n">
        <v>184</v>
      </c>
      <c r="P905" s="30" t="n">
        <v>8.17</v>
      </c>
      <c r="Q905" s="27" t="s">
        <v>70</v>
      </c>
      <c r="R905" s="27" t="s">
        <v>283</v>
      </c>
    </row>
    <row r="906" customFormat="false" ht="15" hidden="false" customHeight="false" outlineLevel="0" collapsed="false">
      <c r="A906" s="25" t="n">
        <f aca="false">IF(G906="REJECT",COUNTIF($G$2:$G$2277,"&lt;&gt;REJECT")+1+COUNTIFS($G$2:$G$2277,"REJECT",$B$2:$B$2277,"&gt;"&amp;B906),1+COUNTIFS($G$2:$G$2277,"&lt;&gt;REJECT",$B$2:$B$2277,"&gt;"&amp;B906))</f>
        <v>905</v>
      </c>
      <c r="B906" s="26" t="n">
        <f aca="false">ROUND(($U$2*MAX(0,MIN(1,($W$2-I906)/($W$2-$V$2)))+$U$3*MAX(0,MIN(1,($W$3-J906)/($W$3-$V$3)))+$U$4*MAX(0,MIN(1,($W$4-K906)/($W$4-$V$4)))+$U$5*MAX(0,MIN(1,($W$5-L906)/($W$5-$V$5)))+$U$6*MAX(0,MIN(1,($W$6-M906)/($W$6-$V$6)))+$U$7*MAX(0,MIN(1,($W$7-N906)/($W$7-$V$7)))+$U$8*IF(AND(O906&gt;=$V$8,O906&lt;=$W$8),1,0))/$U$9*100,2)</f>
        <v>77.47</v>
      </c>
      <c r="C906" s="27" t="s">
        <v>2854</v>
      </c>
      <c r="D906" s="25" t="s">
        <v>134</v>
      </c>
      <c r="E906" s="25" t="s">
        <v>3450</v>
      </c>
      <c r="F906" s="25" t="s">
        <v>3448</v>
      </c>
      <c r="G906" s="38" t="s">
        <v>30</v>
      </c>
      <c r="H906" s="28" t="s">
        <v>25</v>
      </c>
      <c r="I906" s="25" t="n">
        <v>1</v>
      </c>
      <c r="J906" s="25" t="n">
        <v>1</v>
      </c>
      <c r="K906" s="25" t="n">
        <v>1</v>
      </c>
      <c r="L906" s="29" t="n">
        <v>0.73</v>
      </c>
      <c r="M906" s="30" t="n">
        <v>4.89</v>
      </c>
      <c r="N906" s="29" t="n">
        <v>0.76</v>
      </c>
      <c r="O906" s="25" t="n">
        <v>215</v>
      </c>
      <c r="P906" s="30" t="n">
        <v>19.86</v>
      </c>
      <c r="Q906" s="27" t="s">
        <v>69</v>
      </c>
      <c r="R906" s="27" t="s">
        <v>283</v>
      </c>
    </row>
    <row r="907" customFormat="false" ht="15" hidden="false" customHeight="false" outlineLevel="0" collapsed="false">
      <c r="A907" s="25" t="n">
        <f aca="false">IF(G907="REJECT",COUNTIF($G$2:$G$2277,"&lt;&gt;REJECT")+1+COUNTIFS($G$2:$G$2277,"REJECT",$B$2:$B$2277,"&gt;"&amp;B907),1+COUNTIFS($G$2:$G$2277,"&lt;&gt;REJECT",$B$2:$B$2277,"&gt;"&amp;B907))</f>
        <v>906</v>
      </c>
      <c r="B907" s="26" t="n">
        <f aca="false">ROUND(($U$2*MAX(0,MIN(1,($W$2-I907)/($W$2-$V$2)))+$U$3*MAX(0,MIN(1,($W$3-J907)/($W$3-$V$3)))+$U$4*MAX(0,MIN(1,($W$4-K907)/($W$4-$V$4)))+$U$5*MAX(0,MIN(1,($W$5-L907)/($W$5-$V$5)))+$U$6*MAX(0,MIN(1,($W$6-M907)/($W$6-$V$6)))+$U$7*MAX(0,MIN(1,($W$7-N907)/($W$7-$V$7)))+$U$8*IF(AND(O907&gt;=$V$8,O907&lt;=$W$8),1,0))/$U$9*100,2)</f>
        <v>77.45</v>
      </c>
      <c r="C907" s="27" t="s">
        <v>2626</v>
      </c>
      <c r="D907" s="25" t="s">
        <v>134</v>
      </c>
      <c r="E907" s="25" t="s">
        <v>3447</v>
      </c>
      <c r="F907" s="25" t="s">
        <v>3448</v>
      </c>
      <c r="G907" s="38" t="s">
        <v>30</v>
      </c>
      <c r="H907" s="33" t="s">
        <v>24</v>
      </c>
      <c r="I907" s="25" t="n">
        <v>3</v>
      </c>
      <c r="J907" s="25" t="n">
        <v>0</v>
      </c>
      <c r="K907" s="25" t="n">
        <v>3</v>
      </c>
      <c r="L907" s="29" t="n">
        <v>0.78</v>
      </c>
      <c r="M907" s="30" t="n">
        <v>13.6</v>
      </c>
      <c r="N907" s="29" t="n">
        <v>0.2</v>
      </c>
      <c r="O907" s="25" t="n">
        <v>185</v>
      </c>
      <c r="P907" s="30" t="n">
        <v>-0.59</v>
      </c>
      <c r="Q907" s="27" t="s">
        <v>3541</v>
      </c>
      <c r="R907" s="27" t="s">
        <v>30</v>
      </c>
    </row>
    <row r="908" customFormat="false" ht="15" hidden="false" customHeight="false" outlineLevel="0" collapsed="false">
      <c r="A908" s="25" t="n">
        <f aca="false">IF(G908="REJECT",COUNTIF($G$2:$G$2277,"&lt;&gt;REJECT")+1+COUNTIFS($G$2:$G$2277,"REJECT",$B$2:$B$2277,"&gt;"&amp;B908),1+COUNTIFS($G$2:$G$2277,"&lt;&gt;REJECT",$B$2:$B$2277,"&gt;"&amp;B908))</f>
        <v>907</v>
      </c>
      <c r="B908" s="26" t="n">
        <f aca="false">ROUND(($U$2*MAX(0,MIN(1,($W$2-I908)/($W$2-$V$2)))+$U$3*MAX(0,MIN(1,($W$3-J908)/($W$3-$V$3)))+$U$4*MAX(0,MIN(1,($W$4-K908)/($W$4-$V$4)))+$U$5*MAX(0,MIN(1,($W$5-L908)/($W$5-$V$5)))+$U$6*MAX(0,MIN(1,($W$6-M908)/($W$6-$V$6)))+$U$7*MAX(0,MIN(1,($W$7-N908)/($W$7-$V$7)))+$U$8*IF(AND(O908&gt;=$V$8,O908&lt;=$W$8),1,0))/$U$9*100,2)</f>
        <v>77.43</v>
      </c>
      <c r="C908" s="27" t="s">
        <v>1380</v>
      </c>
      <c r="D908" s="25" t="s">
        <v>134</v>
      </c>
      <c r="E908" s="25" t="s">
        <v>3447</v>
      </c>
      <c r="F908" s="25" t="s">
        <v>3457</v>
      </c>
      <c r="G908" s="38" t="s">
        <v>30</v>
      </c>
      <c r="H908" s="28" t="s">
        <v>25</v>
      </c>
      <c r="I908" s="25" t="n">
        <v>2</v>
      </c>
      <c r="J908" s="25" t="n">
        <v>0</v>
      </c>
      <c r="K908" s="25" t="n">
        <v>2</v>
      </c>
      <c r="L908" s="29" t="n">
        <v>0.72</v>
      </c>
      <c r="M908" s="30" t="n">
        <v>30.93</v>
      </c>
      <c r="N908" s="29" t="n">
        <v>0.16</v>
      </c>
      <c r="O908" s="25" t="n">
        <v>185</v>
      </c>
      <c r="P908" s="30" t="n">
        <v>10.4</v>
      </c>
      <c r="Q908" s="27" t="s">
        <v>3530</v>
      </c>
      <c r="R908" s="27" t="s">
        <v>3492</v>
      </c>
    </row>
    <row r="909" customFormat="false" ht="15" hidden="false" customHeight="false" outlineLevel="0" collapsed="false">
      <c r="A909" s="25" t="n">
        <f aca="false">IF(G909="REJECT",COUNTIF($G$2:$G$2277,"&lt;&gt;REJECT")+1+COUNTIFS($G$2:$G$2277,"REJECT",$B$2:$B$2277,"&gt;"&amp;B909),1+COUNTIFS($G$2:$G$2277,"&lt;&gt;REJECT",$B$2:$B$2277,"&gt;"&amp;B909))</f>
        <v>908</v>
      </c>
      <c r="B909" s="26" t="n">
        <f aca="false">ROUND(($U$2*MAX(0,MIN(1,($W$2-I909)/($W$2-$V$2)))+$U$3*MAX(0,MIN(1,($W$3-J909)/($W$3-$V$3)))+$U$4*MAX(0,MIN(1,($W$4-K909)/($W$4-$V$4)))+$U$5*MAX(0,MIN(1,($W$5-L909)/($W$5-$V$5)))+$U$6*MAX(0,MIN(1,($W$6-M909)/($W$6-$V$6)))+$U$7*MAX(0,MIN(1,($W$7-N909)/($W$7-$V$7)))+$U$8*IF(AND(O909&gt;=$V$8,O909&lt;=$W$8),1,0))/$U$9*100,2)</f>
        <v>77.38</v>
      </c>
      <c r="C909" s="27" t="s">
        <v>409</v>
      </c>
      <c r="D909" s="25" t="s">
        <v>134</v>
      </c>
      <c r="E909" s="25" t="s">
        <v>3450</v>
      </c>
      <c r="F909" s="25" t="s">
        <v>3457</v>
      </c>
      <c r="G909" s="38" t="s">
        <v>30</v>
      </c>
      <c r="H909" s="28" t="s">
        <v>25</v>
      </c>
      <c r="I909" s="25" t="n">
        <v>1</v>
      </c>
      <c r="J909" s="25" t="n">
        <v>1</v>
      </c>
      <c r="K909" s="25" t="n">
        <v>1</v>
      </c>
      <c r="L909" s="29" t="n">
        <v>0.75</v>
      </c>
      <c r="M909" s="30" t="n">
        <v>16.24</v>
      </c>
      <c r="N909" s="29" t="n">
        <v>0.4</v>
      </c>
      <c r="O909" s="25" t="n">
        <v>184</v>
      </c>
      <c r="P909" s="30" t="n">
        <v>7.26</v>
      </c>
      <c r="Q909" s="27" t="s">
        <v>69</v>
      </c>
      <c r="R909" s="27" t="s">
        <v>283</v>
      </c>
    </row>
    <row r="910" customFormat="false" ht="15" hidden="false" customHeight="false" outlineLevel="0" collapsed="false">
      <c r="A910" s="25" t="n">
        <f aca="false">IF(G910="REJECT",COUNTIF($G$2:$G$2277,"&lt;&gt;REJECT")+1+COUNTIFS($G$2:$G$2277,"REJECT",$B$2:$B$2277,"&gt;"&amp;B910),1+COUNTIFS($G$2:$G$2277,"&lt;&gt;REJECT",$B$2:$B$2277,"&gt;"&amp;B910))</f>
        <v>909</v>
      </c>
      <c r="B910" s="26" t="n">
        <f aca="false">ROUND(($U$2*MAX(0,MIN(1,($W$2-I910)/($W$2-$V$2)))+$U$3*MAX(0,MIN(1,($W$3-J910)/($W$3-$V$3)))+$U$4*MAX(0,MIN(1,($W$4-K910)/($W$4-$V$4)))+$U$5*MAX(0,MIN(1,($W$5-L910)/($W$5-$V$5)))+$U$6*MAX(0,MIN(1,($W$6-M910)/($W$6-$V$6)))+$U$7*MAX(0,MIN(1,($W$7-N910)/($W$7-$V$7)))+$U$8*IF(AND(O910&gt;=$V$8,O910&lt;=$W$8),1,0))/$U$9*100,2)</f>
        <v>77.35</v>
      </c>
      <c r="C910" s="27" t="s">
        <v>917</v>
      </c>
      <c r="D910" s="25" t="s">
        <v>134</v>
      </c>
      <c r="E910" s="25" t="s">
        <v>3450</v>
      </c>
      <c r="F910" s="25" t="s">
        <v>3448</v>
      </c>
      <c r="G910" s="38" t="s">
        <v>30</v>
      </c>
      <c r="H910" s="28" t="s">
        <v>25</v>
      </c>
      <c r="I910" s="25" t="n">
        <v>1</v>
      </c>
      <c r="J910" s="25" t="n">
        <v>1</v>
      </c>
      <c r="K910" s="25" t="n">
        <v>1</v>
      </c>
      <c r="L910" s="29" t="n">
        <v>0.72</v>
      </c>
      <c r="M910" s="30" t="n">
        <v>2.41</v>
      </c>
      <c r="N910" s="29" t="n">
        <v>0.72</v>
      </c>
      <c r="O910" s="25" t="n">
        <v>188</v>
      </c>
      <c r="P910" s="30" t="n">
        <v>7.44</v>
      </c>
      <c r="Q910" s="27" t="s">
        <v>69</v>
      </c>
      <c r="R910" s="27" t="s">
        <v>283</v>
      </c>
    </row>
    <row r="911" customFormat="false" ht="15" hidden="false" customHeight="false" outlineLevel="0" collapsed="false">
      <c r="A911" s="25" t="n">
        <f aca="false">IF(G911="REJECT",COUNTIF($G$2:$G$2277,"&lt;&gt;REJECT")+1+COUNTIFS($G$2:$G$2277,"REJECT",$B$2:$B$2277,"&gt;"&amp;B911),1+COUNTIFS($G$2:$G$2277,"&lt;&gt;REJECT",$B$2:$B$2277,"&gt;"&amp;B911))</f>
        <v>909</v>
      </c>
      <c r="B911" s="26" t="n">
        <f aca="false">ROUND(($U$2*MAX(0,MIN(1,($W$2-I911)/($W$2-$V$2)))+$U$3*MAX(0,MIN(1,($W$3-J911)/($W$3-$V$3)))+$U$4*MAX(0,MIN(1,($W$4-K911)/($W$4-$V$4)))+$U$5*MAX(0,MIN(1,($W$5-L911)/($W$5-$V$5)))+$U$6*MAX(0,MIN(1,($W$6-M911)/($W$6-$V$6)))+$U$7*MAX(0,MIN(1,($W$7-N911)/($W$7-$V$7)))+$U$8*IF(AND(O911&gt;=$V$8,O911&lt;=$W$8),1,0))/$U$9*100,2)</f>
        <v>77.35</v>
      </c>
      <c r="C911" s="27" t="s">
        <v>1190</v>
      </c>
      <c r="D911" s="25" t="s">
        <v>134</v>
      </c>
      <c r="E911" s="25" t="s">
        <v>3450</v>
      </c>
      <c r="F911" s="25" t="s">
        <v>3457</v>
      </c>
      <c r="G911" s="38" t="s">
        <v>30</v>
      </c>
      <c r="H911" s="28" t="s">
        <v>25</v>
      </c>
      <c r="I911" s="25" t="n">
        <v>1</v>
      </c>
      <c r="J911" s="25" t="n">
        <v>1</v>
      </c>
      <c r="K911" s="25" t="n">
        <v>1</v>
      </c>
      <c r="L911" s="29" t="n">
        <v>0.74</v>
      </c>
      <c r="M911" s="30" t="n">
        <v>13.58</v>
      </c>
      <c r="N911" s="29" t="n">
        <v>0.32</v>
      </c>
      <c r="O911" s="25" t="n">
        <v>184</v>
      </c>
      <c r="P911" s="30" t="n">
        <v>15.13</v>
      </c>
      <c r="Q911" s="27" t="s">
        <v>69</v>
      </c>
      <c r="R911" s="27" t="s">
        <v>283</v>
      </c>
    </row>
    <row r="912" customFormat="false" ht="15" hidden="false" customHeight="false" outlineLevel="0" collapsed="false">
      <c r="A912" s="25" t="n">
        <f aca="false">IF(G912="REJECT",COUNTIF($G$2:$G$2277,"&lt;&gt;REJECT")+1+COUNTIFS($G$2:$G$2277,"REJECT",$B$2:$B$2277,"&gt;"&amp;B912),1+COUNTIFS($G$2:$G$2277,"&lt;&gt;REJECT",$B$2:$B$2277,"&gt;"&amp;B912))</f>
        <v>911</v>
      </c>
      <c r="B912" s="26" t="n">
        <f aca="false">ROUND(($U$2*MAX(0,MIN(1,($W$2-I912)/($W$2-$V$2)))+$U$3*MAX(0,MIN(1,($W$3-J912)/($W$3-$V$3)))+$U$4*MAX(0,MIN(1,($W$4-K912)/($W$4-$V$4)))+$U$5*MAX(0,MIN(1,($W$5-L912)/($W$5-$V$5)))+$U$6*MAX(0,MIN(1,($W$6-M912)/($W$6-$V$6)))+$U$7*MAX(0,MIN(1,($W$7-N912)/($W$7-$V$7)))+$U$8*IF(AND(O912&gt;=$V$8,O912&lt;=$W$8),1,0))/$U$9*100,2)</f>
        <v>77.32</v>
      </c>
      <c r="C912" s="27" t="s">
        <v>2391</v>
      </c>
      <c r="D912" s="25" t="s">
        <v>134</v>
      </c>
      <c r="E912" s="25" t="s">
        <v>3447</v>
      </c>
      <c r="F912" s="25" t="s">
        <v>3457</v>
      </c>
      <c r="G912" s="38" t="s">
        <v>30</v>
      </c>
      <c r="H912" s="28" t="s">
        <v>25</v>
      </c>
      <c r="I912" s="25" t="n">
        <v>1</v>
      </c>
      <c r="J912" s="25" t="n">
        <v>1</v>
      </c>
      <c r="K912" s="25" t="n">
        <v>1</v>
      </c>
      <c r="L912" s="29" t="n">
        <v>0.74</v>
      </c>
      <c r="M912" s="30" t="n">
        <v>10.97</v>
      </c>
      <c r="N912" s="29" t="n">
        <v>0.6</v>
      </c>
      <c r="O912" s="25" t="n">
        <v>186</v>
      </c>
      <c r="P912" s="30" t="n">
        <v>1.93</v>
      </c>
      <c r="Q912" s="27" t="s">
        <v>69</v>
      </c>
      <c r="R912" s="27" t="s">
        <v>283</v>
      </c>
    </row>
    <row r="913" customFormat="false" ht="15" hidden="false" customHeight="false" outlineLevel="0" collapsed="false">
      <c r="A913" s="25" t="n">
        <f aca="false">IF(G913="REJECT",COUNTIF($G$2:$G$2277,"&lt;&gt;REJECT")+1+COUNTIFS($G$2:$G$2277,"REJECT",$B$2:$B$2277,"&gt;"&amp;B913),1+COUNTIFS($G$2:$G$2277,"&lt;&gt;REJECT",$B$2:$B$2277,"&gt;"&amp;B913))</f>
        <v>912</v>
      </c>
      <c r="B913" s="26" t="n">
        <f aca="false">ROUND(($U$2*MAX(0,MIN(1,($W$2-I913)/($W$2-$V$2)))+$U$3*MAX(0,MIN(1,($W$3-J913)/($W$3-$V$3)))+$U$4*MAX(0,MIN(1,($W$4-K913)/($W$4-$V$4)))+$U$5*MAX(0,MIN(1,($W$5-L913)/($W$5-$V$5)))+$U$6*MAX(0,MIN(1,($W$6-M913)/($W$6-$V$6)))+$U$7*MAX(0,MIN(1,($W$7-N913)/($W$7-$V$7)))+$U$8*IF(AND(O913&gt;=$V$8,O913&lt;=$W$8),1,0))/$U$9*100,2)</f>
        <v>77.26</v>
      </c>
      <c r="C913" s="27" t="s">
        <v>3327</v>
      </c>
      <c r="D913" s="25" t="s">
        <v>134</v>
      </c>
      <c r="E913" s="25" t="s">
        <v>3450</v>
      </c>
      <c r="F913" s="25" t="s">
        <v>3448</v>
      </c>
      <c r="G913" s="38" t="s">
        <v>30</v>
      </c>
      <c r="H913" s="28" t="s">
        <v>25</v>
      </c>
      <c r="I913" s="25" t="n">
        <v>1</v>
      </c>
      <c r="J913" s="25" t="n">
        <v>1</v>
      </c>
      <c r="K913" s="25" t="n">
        <v>1</v>
      </c>
      <c r="L913" s="29" t="n">
        <v>0.78</v>
      </c>
      <c r="M913" s="30" t="n">
        <v>25.33</v>
      </c>
      <c r="N913" s="29" t="n">
        <v>0.64</v>
      </c>
      <c r="O913" s="25" t="n">
        <v>182</v>
      </c>
      <c r="P913" s="30" t="n">
        <v>12.32</v>
      </c>
      <c r="Q913" s="27" t="s">
        <v>69</v>
      </c>
      <c r="R913" s="27" t="s">
        <v>183</v>
      </c>
    </row>
    <row r="914" customFormat="false" ht="15" hidden="false" customHeight="false" outlineLevel="0" collapsed="false">
      <c r="A914" s="25" t="n">
        <f aca="false">IF(G914="REJECT",COUNTIF($G$2:$G$2277,"&lt;&gt;REJECT")+1+COUNTIFS($G$2:$G$2277,"REJECT",$B$2:$B$2277,"&gt;"&amp;B914),1+COUNTIFS($G$2:$G$2277,"&lt;&gt;REJECT",$B$2:$B$2277,"&gt;"&amp;B914))</f>
        <v>913</v>
      </c>
      <c r="B914" s="26" t="n">
        <f aca="false">ROUND(($U$2*MAX(0,MIN(1,($W$2-I914)/($W$2-$V$2)))+$U$3*MAX(0,MIN(1,($W$3-J914)/($W$3-$V$3)))+$U$4*MAX(0,MIN(1,($W$4-K914)/($W$4-$V$4)))+$U$5*MAX(0,MIN(1,($W$5-L914)/($W$5-$V$5)))+$U$6*MAX(0,MIN(1,($W$6-M914)/($W$6-$V$6)))+$U$7*MAX(0,MIN(1,($W$7-N914)/($W$7-$V$7)))+$U$8*IF(AND(O914&gt;=$V$8,O914&lt;=$W$8),1,0))/$U$9*100,2)</f>
        <v>77.24</v>
      </c>
      <c r="C914" s="27" t="s">
        <v>3022</v>
      </c>
      <c r="D914" s="25" t="s">
        <v>134</v>
      </c>
      <c r="E914" s="25" t="s">
        <v>3447</v>
      </c>
      <c r="F914" s="25" t="s">
        <v>3448</v>
      </c>
      <c r="G914" s="38" t="s">
        <v>30</v>
      </c>
      <c r="H914" s="28" t="s">
        <v>25</v>
      </c>
      <c r="I914" s="25" t="n">
        <v>3</v>
      </c>
      <c r="J914" s="25" t="n">
        <v>0</v>
      </c>
      <c r="K914" s="25" t="n">
        <v>3</v>
      </c>
      <c r="L914" s="29" t="n">
        <v>0.79</v>
      </c>
      <c r="M914" s="30" t="n">
        <v>20.46</v>
      </c>
      <c r="N914" s="29" t="n">
        <v>0</v>
      </c>
      <c r="O914" s="25" t="n">
        <v>188</v>
      </c>
      <c r="P914" s="30" t="n">
        <v>6.9</v>
      </c>
      <c r="Q914" s="27" t="s">
        <v>3558</v>
      </c>
      <c r="R914" s="27" t="s">
        <v>992</v>
      </c>
    </row>
    <row r="915" customFormat="false" ht="15" hidden="false" customHeight="false" outlineLevel="0" collapsed="false">
      <c r="A915" s="25" t="n">
        <f aca="false">IF(G915="REJECT",COUNTIF($G$2:$G$2277,"&lt;&gt;REJECT")+1+COUNTIFS($G$2:$G$2277,"REJECT",$B$2:$B$2277,"&gt;"&amp;B915),1+COUNTIFS($G$2:$G$2277,"&lt;&gt;REJECT",$B$2:$B$2277,"&gt;"&amp;B915))</f>
        <v>914</v>
      </c>
      <c r="B915" s="26" t="n">
        <f aca="false">ROUND(($U$2*MAX(0,MIN(1,($W$2-I915)/($W$2-$V$2)))+$U$3*MAX(0,MIN(1,($W$3-J915)/($W$3-$V$3)))+$U$4*MAX(0,MIN(1,($W$4-K915)/($W$4-$V$4)))+$U$5*MAX(0,MIN(1,($W$5-L915)/($W$5-$V$5)))+$U$6*MAX(0,MIN(1,($W$6-M915)/($W$6-$V$6)))+$U$7*MAX(0,MIN(1,($W$7-N915)/($W$7-$V$7)))+$U$8*IF(AND(O915&gt;=$V$8,O915&lt;=$W$8),1,0))/$U$9*100,2)</f>
        <v>77.23</v>
      </c>
      <c r="C915" s="27" t="s">
        <v>2274</v>
      </c>
      <c r="D915" s="25" t="s">
        <v>134</v>
      </c>
      <c r="E915" s="25" t="s">
        <v>3447</v>
      </c>
      <c r="F915" s="25" t="s">
        <v>3448</v>
      </c>
      <c r="G915" s="38" t="s">
        <v>30</v>
      </c>
      <c r="H915" s="33" t="s">
        <v>24</v>
      </c>
      <c r="I915" s="25" t="n">
        <v>3</v>
      </c>
      <c r="J915" s="25" t="n">
        <v>0</v>
      </c>
      <c r="K915" s="25" t="n">
        <v>3</v>
      </c>
      <c r="L915" s="29" t="n">
        <v>0.76</v>
      </c>
      <c r="M915" s="30" t="n">
        <v>6.1</v>
      </c>
      <c r="N915" s="29" t="n">
        <v>0.36</v>
      </c>
      <c r="O915" s="25" t="n">
        <v>182</v>
      </c>
      <c r="P915" s="30" t="n">
        <v>-0.78</v>
      </c>
      <c r="Q915" s="27" t="s">
        <v>3559</v>
      </c>
      <c r="R915" s="27" t="s">
        <v>30</v>
      </c>
    </row>
    <row r="916" customFormat="false" ht="15" hidden="false" customHeight="false" outlineLevel="0" collapsed="false">
      <c r="A916" s="25" t="n">
        <f aca="false">IF(G916="REJECT",COUNTIF($G$2:$G$2277,"&lt;&gt;REJECT")+1+COUNTIFS($G$2:$G$2277,"REJECT",$B$2:$B$2277,"&gt;"&amp;B916),1+COUNTIFS($G$2:$G$2277,"&lt;&gt;REJECT",$B$2:$B$2277,"&gt;"&amp;B916))</f>
        <v>915</v>
      </c>
      <c r="B916" s="26" t="n">
        <f aca="false">ROUND(($U$2*MAX(0,MIN(1,($W$2-I916)/($W$2-$V$2)))+$U$3*MAX(0,MIN(1,($W$3-J916)/($W$3-$V$3)))+$U$4*MAX(0,MIN(1,($W$4-K916)/($W$4-$V$4)))+$U$5*MAX(0,MIN(1,($W$5-L916)/($W$5-$V$5)))+$U$6*MAX(0,MIN(1,($W$6-M916)/($W$6-$V$6)))+$U$7*MAX(0,MIN(1,($W$7-N916)/($W$7-$V$7)))+$U$8*IF(AND(O916&gt;=$V$8,O916&lt;=$W$8),1,0))/$U$9*100,2)</f>
        <v>77.22</v>
      </c>
      <c r="C916" s="27" t="s">
        <v>879</v>
      </c>
      <c r="D916" s="25" t="s">
        <v>3459</v>
      </c>
      <c r="E916" s="25" t="s">
        <v>3450</v>
      </c>
      <c r="F916" s="25" t="s">
        <v>3448</v>
      </c>
      <c r="G916" s="38" t="s">
        <v>30</v>
      </c>
      <c r="H916" s="28" t="s">
        <v>25</v>
      </c>
      <c r="I916" s="25" t="n">
        <v>1</v>
      </c>
      <c r="J916" s="25" t="n">
        <v>1</v>
      </c>
      <c r="K916" s="25" t="n">
        <v>1</v>
      </c>
      <c r="L916" s="29" t="n">
        <v>0.77</v>
      </c>
      <c r="M916" s="30" t="n">
        <v>26.8</v>
      </c>
      <c r="N916" s="29" t="n">
        <v>0.16</v>
      </c>
      <c r="O916" s="25" t="n">
        <v>183</v>
      </c>
      <c r="P916" s="30" t="n">
        <v>10.51</v>
      </c>
      <c r="Q916" s="27" t="s">
        <v>69</v>
      </c>
      <c r="R916" s="27" t="s">
        <v>183</v>
      </c>
    </row>
    <row r="917" customFormat="false" ht="15" hidden="false" customHeight="false" outlineLevel="0" collapsed="false">
      <c r="A917" s="25" t="n">
        <f aca="false">IF(G917="REJECT",COUNTIF($G$2:$G$2277,"&lt;&gt;REJECT")+1+COUNTIFS($G$2:$G$2277,"REJECT",$B$2:$B$2277,"&gt;"&amp;B917),1+COUNTIFS($G$2:$G$2277,"&lt;&gt;REJECT",$B$2:$B$2277,"&gt;"&amp;B917))</f>
        <v>916</v>
      </c>
      <c r="B917" s="26" t="n">
        <f aca="false">ROUND(($U$2*MAX(0,MIN(1,($W$2-I917)/($W$2-$V$2)))+$U$3*MAX(0,MIN(1,($W$3-J917)/($W$3-$V$3)))+$U$4*MAX(0,MIN(1,($W$4-K917)/($W$4-$V$4)))+$U$5*MAX(0,MIN(1,($W$5-L917)/($W$5-$V$5)))+$U$6*MAX(0,MIN(1,($W$6-M917)/($W$6-$V$6)))+$U$7*MAX(0,MIN(1,($W$7-N917)/($W$7-$V$7)))+$U$8*IF(AND(O917&gt;=$V$8,O917&lt;=$W$8),1,0))/$U$9*100,2)</f>
        <v>77.18</v>
      </c>
      <c r="C917" s="27" t="s">
        <v>1509</v>
      </c>
      <c r="D917" s="25" t="s">
        <v>3459</v>
      </c>
      <c r="E917" s="25" t="s">
        <v>3447</v>
      </c>
      <c r="F917" s="25" t="s">
        <v>3457</v>
      </c>
      <c r="G917" s="38" t="s">
        <v>30</v>
      </c>
      <c r="H917" s="28" t="s">
        <v>25</v>
      </c>
      <c r="I917" s="25" t="n">
        <v>3</v>
      </c>
      <c r="J917" s="25" t="n">
        <v>0</v>
      </c>
      <c r="K917" s="25" t="n">
        <v>3</v>
      </c>
      <c r="L917" s="29" t="n">
        <v>0.81</v>
      </c>
      <c r="M917" s="30" t="n">
        <v>22.82</v>
      </c>
      <c r="N917" s="29" t="n">
        <v>0.16</v>
      </c>
      <c r="O917" s="25" t="n">
        <v>184</v>
      </c>
      <c r="P917" s="30" t="n">
        <v>3.48</v>
      </c>
      <c r="Q917" s="27" t="s">
        <v>3551</v>
      </c>
      <c r="R917" s="27" t="s">
        <v>992</v>
      </c>
    </row>
    <row r="918" customFormat="false" ht="15" hidden="false" customHeight="false" outlineLevel="0" collapsed="false">
      <c r="A918" s="25" t="n">
        <f aca="false">IF(G918="REJECT",COUNTIF($G$2:$G$2277,"&lt;&gt;REJECT")+1+COUNTIFS($G$2:$G$2277,"REJECT",$B$2:$B$2277,"&gt;"&amp;B918),1+COUNTIFS($G$2:$G$2277,"&lt;&gt;REJECT",$B$2:$B$2277,"&gt;"&amp;B918))</f>
        <v>916</v>
      </c>
      <c r="B918" s="26" t="n">
        <f aca="false">ROUND(($U$2*MAX(0,MIN(1,($W$2-I918)/($W$2-$V$2)))+$U$3*MAX(0,MIN(1,($W$3-J918)/($W$3-$V$3)))+$U$4*MAX(0,MIN(1,($W$4-K918)/($W$4-$V$4)))+$U$5*MAX(0,MIN(1,($W$5-L918)/($W$5-$V$5)))+$U$6*MAX(0,MIN(1,($W$6-M918)/($W$6-$V$6)))+$U$7*MAX(0,MIN(1,($W$7-N918)/($W$7-$V$7)))+$U$8*IF(AND(O918&gt;=$V$8,O918&lt;=$W$8),1,0))/$U$9*100,2)</f>
        <v>77.18</v>
      </c>
      <c r="C918" s="27" t="s">
        <v>2361</v>
      </c>
      <c r="D918" s="25" t="s">
        <v>134</v>
      </c>
      <c r="E918" s="25" t="s">
        <v>3447</v>
      </c>
      <c r="F918" s="25" t="s">
        <v>3457</v>
      </c>
      <c r="G918" s="38" t="s">
        <v>30</v>
      </c>
      <c r="H918" s="33" t="s">
        <v>24</v>
      </c>
      <c r="I918" s="25" t="n">
        <v>3</v>
      </c>
      <c r="J918" s="25" t="n">
        <v>0</v>
      </c>
      <c r="K918" s="25" t="n">
        <v>3</v>
      </c>
      <c r="L918" s="29" t="n">
        <v>0.8</v>
      </c>
      <c r="M918" s="30" t="n">
        <v>19.22</v>
      </c>
      <c r="N918" s="29" t="n">
        <v>0.52</v>
      </c>
      <c r="O918" s="25" t="n">
        <v>213</v>
      </c>
      <c r="P918" s="30" t="n">
        <v>-0.68</v>
      </c>
      <c r="Q918" s="27" t="s">
        <v>3560</v>
      </c>
      <c r="R918" s="27" t="s">
        <v>30</v>
      </c>
    </row>
    <row r="919" customFormat="false" ht="15" hidden="false" customHeight="false" outlineLevel="0" collapsed="false">
      <c r="A919" s="25" t="n">
        <f aca="false">IF(G919="REJECT",COUNTIF($G$2:$G$2277,"&lt;&gt;REJECT")+1+COUNTIFS($G$2:$G$2277,"REJECT",$B$2:$B$2277,"&gt;"&amp;B919),1+COUNTIFS($G$2:$G$2277,"&lt;&gt;REJECT",$B$2:$B$2277,"&gt;"&amp;B919))</f>
        <v>916</v>
      </c>
      <c r="B919" s="26" t="n">
        <f aca="false">ROUND(($U$2*MAX(0,MIN(1,($W$2-I919)/($W$2-$V$2)))+$U$3*MAX(0,MIN(1,($W$3-J919)/($W$3-$V$3)))+$U$4*MAX(0,MIN(1,($W$4-K919)/($W$4-$V$4)))+$U$5*MAX(0,MIN(1,($W$5-L919)/($W$5-$V$5)))+$U$6*MAX(0,MIN(1,($W$6-M919)/($W$6-$V$6)))+$U$7*MAX(0,MIN(1,($W$7-N919)/($W$7-$V$7)))+$U$8*IF(AND(O919&gt;=$V$8,O919&lt;=$W$8),1,0))/$U$9*100,2)</f>
        <v>77.18</v>
      </c>
      <c r="C919" s="27" t="s">
        <v>2752</v>
      </c>
      <c r="D919" s="25" t="s">
        <v>134</v>
      </c>
      <c r="E919" s="25" t="s">
        <v>3447</v>
      </c>
      <c r="F919" s="25" t="s">
        <v>3448</v>
      </c>
      <c r="G919" s="38" t="s">
        <v>30</v>
      </c>
      <c r="H919" s="33" t="s">
        <v>24</v>
      </c>
      <c r="I919" s="25" t="n">
        <v>3</v>
      </c>
      <c r="J919" s="25" t="n">
        <v>0</v>
      </c>
      <c r="K919" s="25" t="n">
        <v>3</v>
      </c>
      <c r="L919" s="29" t="n">
        <v>0.81</v>
      </c>
      <c r="M919" s="30" t="n">
        <v>15.23</v>
      </c>
      <c r="N919" s="29" t="n">
        <v>0.92</v>
      </c>
      <c r="O919" s="25" t="n">
        <v>185</v>
      </c>
      <c r="P919" s="30" t="n">
        <v>-1.02</v>
      </c>
      <c r="Q919" s="27" t="s">
        <v>3561</v>
      </c>
      <c r="R919" s="27" t="s">
        <v>30</v>
      </c>
    </row>
    <row r="920" customFormat="false" ht="15" hidden="false" customHeight="false" outlineLevel="0" collapsed="false">
      <c r="A920" s="25" t="n">
        <f aca="false">IF(G920="REJECT",COUNTIF($G$2:$G$2277,"&lt;&gt;REJECT")+1+COUNTIFS($G$2:$G$2277,"REJECT",$B$2:$B$2277,"&gt;"&amp;B920),1+COUNTIFS($G$2:$G$2277,"&lt;&gt;REJECT",$B$2:$B$2277,"&gt;"&amp;B920))</f>
        <v>919</v>
      </c>
      <c r="B920" s="26" t="n">
        <f aca="false">ROUND(($U$2*MAX(0,MIN(1,($W$2-I920)/($W$2-$V$2)))+$U$3*MAX(0,MIN(1,($W$3-J920)/($W$3-$V$3)))+$U$4*MAX(0,MIN(1,($W$4-K920)/($W$4-$V$4)))+$U$5*MAX(0,MIN(1,($W$5-L920)/($W$5-$V$5)))+$U$6*MAX(0,MIN(1,($W$6-M920)/($W$6-$V$6)))+$U$7*MAX(0,MIN(1,($W$7-N920)/($W$7-$V$7)))+$U$8*IF(AND(O920&gt;=$V$8,O920&lt;=$W$8),1,0))/$U$9*100,2)</f>
        <v>77.17</v>
      </c>
      <c r="C920" s="27" t="s">
        <v>1325</v>
      </c>
      <c r="D920" s="25" t="s">
        <v>134</v>
      </c>
      <c r="E920" s="25" t="s">
        <v>3450</v>
      </c>
      <c r="F920" s="25" t="s">
        <v>3448</v>
      </c>
      <c r="G920" s="38" t="s">
        <v>30</v>
      </c>
      <c r="H920" s="28" t="s">
        <v>25</v>
      </c>
      <c r="I920" s="25" t="n">
        <v>1</v>
      </c>
      <c r="J920" s="25" t="n">
        <v>1</v>
      </c>
      <c r="K920" s="25" t="n">
        <v>1</v>
      </c>
      <c r="L920" s="29" t="n">
        <v>0.77</v>
      </c>
      <c r="M920" s="30" t="n">
        <v>20.28</v>
      </c>
      <c r="N920" s="29" t="n">
        <v>0.84</v>
      </c>
      <c r="O920" s="25" t="n">
        <v>185</v>
      </c>
      <c r="P920" s="30" t="n">
        <v>17.09</v>
      </c>
      <c r="Q920" s="27" t="s">
        <v>69</v>
      </c>
      <c r="R920" s="27" t="s">
        <v>183</v>
      </c>
    </row>
    <row r="921" customFormat="false" ht="15" hidden="false" customHeight="false" outlineLevel="0" collapsed="false">
      <c r="A921" s="25" t="n">
        <f aca="false">IF(G921="REJECT",COUNTIF($G$2:$G$2277,"&lt;&gt;REJECT")+1+COUNTIFS($G$2:$G$2277,"REJECT",$B$2:$B$2277,"&gt;"&amp;B921),1+COUNTIFS($G$2:$G$2277,"&lt;&gt;REJECT",$B$2:$B$2277,"&gt;"&amp;B921))</f>
        <v>920</v>
      </c>
      <c r="B921" s="26" t="n">
        <f aca="false">ROUND(($U$2*MAX(0,MIN(1,($W$2-I921)/($W$2-$V$2)))+$U$3*MAX(0,MIN(1,($W$3-J921)/($W$3-$V$3)))+$U$4*MAX(0,MIN(1,($W$4-K921)/($W$4-$V$4)))+$U$5*MAX(0,MIN(1,($W$5-L921)/($W$5-$V$5)))+$U$6*MAX(0,MIN(1,($W$6-M921)/($W$6-$V$6)))+$U$7*MAX(0,MIN(1,($W$7-N921)/($W$7-$V$7)))+$U$8*IF(AND(O921&gt;=$V$8,O921&lt;=$W$8),1,0))/$U$9*100,2)</f>
        <v>77.15</v>
      </c>
      <c r="C921" s="27" t="s">
        <v>1043</v>
      </c>
      <c r="D921" s="25" t="s">
        <v>3459</v>
      </c>
      <c r="E921" s="25" t="s">
        <v>3447</v>
      </c>
      <c r="F921" s="25" t="s">
        <v>3448</v>
      </c>
      <c r="G921" s="38" t="s">
        <v>30</v>
      </c>
      <c r="H921" s="33" t="s">
        <v>24</v>
      </c>
      <c r="I921" s="25" t="n">
        <v>3</v>
      </c>
      <c r="J921" s="25" t="n">
        <v>0</v>
      </c>
      <c r="K921" s="25" t="n">
        <v>3</v>
      </c>
      <c r="L921" s="29" t="n">
        <v>0.8</v>
      </c>
      <c r="M921" s="30" t="n">
        <v>17.39</v>
      </c>
      <c r="N921" s="29" t="n">
        <v>0.72</v>
      </c>
      <c r="O921" s="25" t="n">
        <v>185</v>
      </c>
      <c r="P921" s="30" t="n">
        <v>-1.96</v>
      </c>
      <c r="Q921" s="27" t="s">
        <v>3540</v>
      </c>
      <c r="R921" s="27" t="s">
        <v>30</v>
      </c>
    </row>
    <row r="922" customFormat="false" ht="15" hidden="false" customHeight="false" outlineLevel="0" collapsed="false">
      <c r="A922" s="25" t="n">
        <f aca="false">IF(G922="REJECT",COUNTIF($G$2:$G$2277,"&lt;&gt;REJECT")+1+COUNTIFS($G$2:$G$2277,"REJECT",$B$2:$B$2277,"&gt;"&amp;B922),1+COUNTIFS($G$2:$G$2277,"&lt;&gt;REJECT",$B$2:$B$2277,"&gt;"&amp;B922))</f>
        <v>921</v>
      </c>
      <c r="B922" s="26" t="n">
        <f aca="false">ROUND(($U$2*MAX(0,MIN(1,($W$2-I922)/($W$2-$V$2)))+$U$3*MAX(0,MIN(1,($W$3-J922)/($W$3-$V$3)))+$U$4*MAX(0,MIN(1,($W$4-K922)/($W$4-$V$4)))+$U$5*MAX(0,MIN(1,($W$5-L922)/($W$5-$V$5)))+$U$6*MAX(0,MIN(1,($W$6-M922)/($W$6-$V$6)))+$U$7*MAX(0,MIN(1,($W$7-N922)/($W$7-$V$7)))+$U$8*IF(AND(O922&gt;=$V$8,O922&lt;=$W$8),1,0))/$U$9*100,2)</f>
        <v>77.13</v>
      </c>
      <c r="C922" s="27" t="s">
        <v>2169</v>
      </c>
      <c r="D922" s="25" t="s">
        <v>134</v>
      </c>
      <c r="E922" s="25" t="s">
        <v>3450</v>
      </c>
      <c r="F922" s="25" t="s">
        <v>3448</v>
      </c>
      <c r="G922" s="38" t="s">
        <v>30</v>
      </c>
      <c r="H922" s="33" t="s">
        <v>24</v>
      </c>
      <c r="I922" s="25" t="n">
        <v>3</v>
      </c>
      <c r="J922" s="25" t="n">
        <v>0</v>
      </c>
      <c r="K922" s="25" t="n">
        <v>3</v>
      </c>
      <c r="L922" s="29" t="n">
        <v>0.77</v>
      </c>
      <c r="M922" s="30" t="n">
        <v>10.33</v>
      </c>
      <c r="N922" s="29" t="n">
        <v>0.36</v>
      </c>
      <c r="O922" s="25" t="n">
        <v>187</v>
      </c>
      <c r="P922" s="30" t="n">
        <v>14.52</v>
      </c>
      <c r="Q922" s="27" t="s">
        <v>3562</v>
      </c>
      <c r="R922" s="27" t="s">
        <v>30</v>
      </c>
    </row>
    <row r="923" customFormat="false" ht="15" hidden="false" customHeight="false" outlineLevel="0" collapsed="false">
      <c r="A923" s="25" t="n">
        <f aca="false">IF(G923="REJECT",COUNTIF($G$2:$G$2277,"&lt;&gt;REJECT")+1+COUNTIFS($G$2:$G$2277,"REJECT",$B$2:$B$2277,"&gt;"&amp;B923),1+COUNTIFS($G$2:$G$2277,"&lt;&gt;REJECT",$B$2:$B$2277,"&gt;"&amp;B923))</f>
        <v>922</v>
      </c>
      <c r="B923" s="26" t="n">
        <f aca="false">ROUND(($U$2*MAX(0,MIN(1,($W$2-I923)/($W$2-$V$2)))+$U$3*MAX(0,MIN(1,($W$3-J923)/($W$3-$V$3)))+$U$4*MAX(0,MIN(1,($W$4-K923)/($W$4-$V$4)))+$U$5*MAX(0,MIN(1,($W$5-L923)/($W$5-$V$5)))+$U$6*MAX(0,MIN(1,($W$6-M923)/($W$6-$V$6)))+$U$7*MAX(0,MIN(1,($W$7-N923)/($W$7-$V$7)))+$U$8*IF(AND(O923&gt;=$V$8,O923&lt;=$W$8),1,0))/$U$9*100,2)</f>
        <v>77.12</v>
      </c>
      <c r="C923" s="27" t="s">
        <v>923</v>
      </c>
      <c r="D923" s="25" t="s">
        <v>3459</v>
      </c>
      <c r="E923" s="25" t="s">
        <v>3447</v>
      </c>
      <c r="F923" s="25" t="s">
        <v>3448</v>
      </c>
      <c r="G923" s="38" t="s">
        <v>30</v>
      </c>
      <c r="H923" s="28" t="s">
        <v>25</v>
      </c>
      <c r="I923" s="25" t="n">
        <v>3</v>
      </c>
      <c r="J923" s="25" t="n">
        <v>0</v>
      </c>
      <c r="K923" s="25" t="n">
        <v>3</v>
      </c>
      <c r="L923" s="29" t="n">
        <v>0.89</v>
      </c>
      <c r="M923" s="30" t="n">
        <v>23.6</v>
      </c>
      <c r="N923" s="29" t="n">
        <v>0.12</v>
      </c>
      <c r="O923" s="25" t="n">
        <v>187</v>
      </c>
      <c r="P923" s="30" t="n">
        <v>3.81</v>
      </c>
      <c r="Q923" s="27" t="s">
        <v>3563</v>
      </c>
      <c r="R923" s="27" t="s">
        <v>144</v>
      </c>
    </row>
    <row r="924" customFormat="false" ht="15" hidden="false" customHeight="false" outlineLevel="0" collapsed="false">
      <c r="A924" s="25" t="n">
        <f aca="false">IF(G924="REJECT",COUNTIF($G$2:$G$2277,"&lt;&gt;REJECT")+1+COUNTIFS($G$2:$G$2277,"REJECT",$B$2:$B$2277,"&gt;"&amp;B924),1+COUNTIFS($G$2:$G$2277,"&lt;&gt;REJECT",$B$2:$B$2277,"&gt;"&amp;B924))</f>
        <v>922</v>
      </c>
      <c r="B924" s="26" t="n">
        <f aca="false">ROUND(($U$2*MAX(0,MIN(1,($W$2-I924)/($W$2-$V$2)))+$U$3*MAX(0,MIN(1,($W$3-J924)/($W$3-$V$3)))+$U$4*MAX(0,MIN(1,($W$4-K924)/($W$4-$V$4)))+$U$5*MAX(0,MIN(1,($W$5-L924)/($W$5-$V$5)))+$U$6*MAX(0,MIN(1,($W$6-M924)/($W$6-$V$6)))+$U$7*MAX(0,MIN(1,($W$7-N924)/($W$7-$V$7)))+$U$8*IF(AND(O924&gt;=$V$8,O924&lt;=$W$8),1,0))/$U$9*100,2)</f>
        <v>77.12</v>
      </c>
      <c r="C924" s="27" t="s">
        <v>2752</v>
      </c>
      <c r="D924" s="25" t="s">
        <v>3459</v>
      </c>
      <c r="E924" s="25" t="s">
        <v>3447</v>
      </c>
      <c r="F924" s="25" t="s">
        <v>3448</v>
      </c>
      <c r="G924" s="38" t="s">
        <v>30</v>
      </c>
      <c r="H924" s="28" t="s">
        <v>25</v>
      </c>
      <c r="I924" s="25" t="n">
        <v>3</v>
      </c>
      <c r="J924" s="25" t="n">
        <v>0</v>
      </c>
      <c r="K924" s="25" t="n">
        <v>3</v>
      </c>
      <c r="L924" s="29" t="n">
        <v>0.81</v>
      </c>
      <c r="M924" s="30" t="n">
        <v>24.76</v>
      </c>
      <c r="N924" s="29" t="n">
        <v>0</v>
      </c>
      <c r="O924" s="25" t="n">
        <v>183</v>
      </c>
      <c r="P924" s="30" t="n">
        <v>1</v>
      </c>
      <c r="Q924" s="27" t="s">
        <v>3541</v>
      </c>
      <c r="R924" s="27" t="s">
        <v>992</v>
      </c>
    </row>
    <row r="925" customFormat="false" ht="15" hidden="false" customHeight="false" outlineLevel="0" collapsed="false">
      <c r="A925" s="25" t="n">
        <f aca="false">IF(G925="REJECT",COUNTIF($G$2:$G$2277,"&lt;&gt;REJECT")+1+COUNTIFS($G$2:$G$2277,"REJECT",$B$2:$B$2277,"&gt;"&amp;B925),1+COUNTIFS($G$2:$G$2277,"&lt;&gt;REJECT",$B$2:$B$2277,"&gt;"&amp;B925))</f>
        <v>924</v>
      </c>
      <c r="B925" s="26" t="n">
        <f aca="false">ROUND(($U$2*MAX(0,MIN(1,($W$2-I925)/($W$2-$V$2)))+$U$3*MAX(0,MIN(1,($W$3-J925)/($W$3-$V$3)))+$U$4*MAX(0,MIN(1,($W$4-K925)/($W$4-$V$4)))+$U$5*MAX(0,MIN(1,($W$5-L925)/($W$5-$V$5)))+$U$6*MAX(0,MIN(1,($W$6-M925)/($W$6-$V$6)))+$U$7*MAX(0,MIN(1,($W$7-N925)/($W$7-$V$7)))+$U$8*IF(AND(O925&gt;=$V$8,O925&lt;=$W$8),1,0))/$U$9*100,2)</f>
        <v>77.07</v>
      </c>
      <c r="C925" s="27" t="s">
        <v>2344</v>
      </c>
      <c r="D925" s="25" t="s">
        <v>134</v>
      </c>
      <c r="E925" s="25" t="s">
        <v>3450</v>
      </c>
      <c r="F925" s="25" t="s">
        <v>3448</v>
      </c>
      <c r="G925" s="38" t="s">
        <v>30</v>
      </c>
      <c r="H925" s="28" t="s">
        <v>25</v>
      </c>
      <c r="I925" s="25" t="n">
        <v>1</v>
      </c>
      <c r="J925" s="25" t="n">
        <v>1</v>
      </c>
      <c r="K925" s="25" t="n">
        <v>1</v>
      </c>
      <c r="L925" s="29" t="n">
        <v>0.73</v>
      </c>
      <c r="M925" s="30" t="n">
        <v>14.86</v>
      </c>
      <c r="N925" s="29" t="n">
        <v>0</v>
      </c>
      <c r="O925" s="25" t="n">
        <v>201</v>
      </c>
      <c r="P925" s="30" t="n">
        <v>6.79</v>
      </c>
      <c r="Q925" s="27" t="s">
        <v>70</v>
      </c>
      <c r="R925" s="27" t="s">
        <v>1099</v>
      </c>
    </row>
    <row r="926" customFormat="false" ht="15" hidden="false" customHeight="false" outlineLevel="0" collapsed="false">
      <c r="A926" s="25" t="n">
        <f aca="false">IF(G926="REJECT",COUNTIF($G$2:$G$2277,"&lt;&gt;REJECT")+1+COUNTIFS($G$2:$G$2277,"REJECT",$B$2:$B$2277,"&gt;"&amp;B926),1+COUNTIFS($G$2:$G$2277,"&lt;&gt;REJECT",$B$2:$B$2277,"&gt;"&amp;B926))</f>
        <v>925</v>
      </c>
      <c r="B926" s="26" t="n">
        <f aca="false">ROUND(($U$2*MAX(0,MIN(1,($W$2-I926)/($W$2-$V$2)))+$U$3*MAX(0,MIN(1,($W$3-J926)/($W$3-$V$3)))+$U$4*MAX(0,MIN(1,($W$4-K926)/($W$4-$V$4)))+$U$5*MAX(0,MIN(1,($W$5-L926)/($W$5-$V$5)))+$U$6*MAX(0,MIN(1,($W$6-M926)/($W$6-$V$6)))+$U$7*MAX(0,MIN(1,($W$7-N926)/($W$7-$V$7)))+$U$8*IF(AND(O926&gt;=$V$8,O926&lt;=$W$8),1,0))/$U$9*100,2)</f>
        <v>77.05</v>
      </c>
      <c r="C926" s="27" t="s">
        <v>609</v>
      </c>
      <c r="D926" s="25" t="s">
        <v>134</v>
      </c>
      <c r="E926" s="25" t="s">
        <v>3450</v>
      </c>
      <c r="F926" s="25" t="s">
        <v>3457</v>
      </c>
      <c r="G926" s="38" t="s">
        <v>30</v>
      </c>
      <c r="H926" s="28" t="s">
        <v>25</v>
      </c>
      <c r="I926" s="25" t="n">
        <v>1</v>
      </c>
      <c r="J926" s="25" t="n">
        <v>1</v>
      </c>
      <c r="K926" s="25" t="n">
        <v>1</v>
      </c>
      <c r="L926" s="29" t="n">
        <v>0.73</v>
      </c>
      <c r="M926" s="30" t="n">
        <v>7</v>
      </c>
      <c r="N926" s="29" t="n">
        <v>0.8</v>
      </c>
      <c r="O926" s="25" t="n">
        <v>184</v>
      </c>
      <c r="P926" s="30" t="n">
        <v>6.3</v>
      </c>
      <c r="Q926" s="27" t="s">
        <v>70</v>
      </c>
      <c r="R926" s="27" t="s">
        <v>283</v>
      </c>
    </row>
    <row r="927" customFormat="false" ht="15" hidden="false" customHeight="false" outlineLevel="0" collapsed="false">
      <c r="A927" s="25" t="n">
        <f aca="false">IF(G927="REJECT",COUNTIF($G$2:$G$2277,"&lt;&gt;REJECT")+1+COUNTIFS($G$2:$G$2277,"REJECT",$B$2:$B$2277,"&gt;"&amp;B927),1+COUNTIFS($G$2:$G$2277,"&lt;&gt;REJECT",$B$2:$B$2277,"&gt;"&amp;B927))</f>
        <v>925</v>
      </c>
      <c r="B927" s="26" t="n">
        <f aca="false">ROUND(($U$2*MAX(0,MIN(1,($W$2-I927)/($W$2-$V$2)))+$U$3*MAX(0,MIN(1,($W$3-J927)/($W$3-$V$3)))+$U$4*MAX(0,MIN(1,($W$4-K927)/($W$4-$V$4)))+$U$5*MAX(0,MIN(1,($W$5-L927)/($W$5-$V$5)))+$U$6*MAX(0,MIN(1,($W$6-M927)/($W$6-$V$6)))+$U$7*MAX(0,MIN(1,($W$7-N927)/($W$7-$V$7)))+$U$8*IF(AND(O927&gt;=$V$8,O927&lt;=$W$8),1,0))/$U$9*100,2)</f>
        <v>77.05</v>
      </c>
      <c r="C927" s="27" t="s">
        <v>3259</v>
      </c>
      <c r="D927" s="25" t="s">
        <v>3459</v>
      </c>
      <c r="E927" s="25" t="s">
        <v>3447</v>
      </c>
      <c r="F927" s="25" t="s">
        <v>3457</v>
      </c>
      <c r="G927" s="38" t="s">
        <v>30</v>
      </c>
      <c r="H927" s="33" t="s">
        <v>24</v>
      </c>
      <c r="I927" s="25" t="n">
        <v>3</v>
      </c>
      <c r="J927" s="25" t="n">
        <v>0</v>
      </c>
      <c r="K927" s="25" t="n">
        <v>3</v>
      </c>
      <c r="L927" s="29" t="n">
        <v>0.88</v>
      </c>
      <c r="M927" s="30" t="n">
        <v>19.2</v>
      </c>
      <c r="N927" s="29" t="n">
        <v>0.6</v>
      </c>
      <c r="O927" s="25" t="n">
        <v>183</v>
      </c>
      <c r="P927" s="30" t="n">
        <v>-4.03</v>
      </c>
      <c r="Q927" s="27" t="s">
        <v>3538</v>
      </c>
      <c r="R927" s="27" t="s">
        <v>30</v>
      </c>
    </row>
    <row r="928" customFormat="false" ht="15" hidden="false" customHeight="false" outlineLevel="0" collapsed="false">
      <c r="A928" s="25" t="n">
        <f aca="false">IF(G928="REJECT",COUNTIF($G$2:$G$2277,"&lt;&gt;REJECT")+1+COUNTIFS($G$2:$G$2277,"REJECT",$B$2:$B$2277,"&gt;"&amp;B928),1+COUNTIFS($G$2:$G$2277,"&lt;&gt;REJECT",$B$2:$B$2277,"&gt;"&amp;B928))</f>
        <v>927</v>
      </c>
      <c r="B928" s="26" t="n">
        <f aca="false">ROUND(($U$2*MAX(0,MIN(1,($W$2-I928)/($W$2-$V$2)))+$U$3*MAX(0,MIN(1,($W$3-J928)/($W$3-$V$3)))+$U$4*MAX(0,MIN(1,($W$4-K928)/($W$4-$V$4)))+$U$5*MAX(0,MIN(1,($W$5-L928)/($W$5-$V$5)))+$U$6*MAX(0,MIN(1,($W$6-M928)/($W$6-$V$6)))+$U$7*MAX(0,MIN(1,($W$7-N928)/($W$7-$V$7)))+$U$8*IF(AND(O928&gt;=$V$8,O928&lt;=$W$8),1,0))/$U$9*100,2)</f>
        <v>77.04</v>
      </c>
      <c r="C928" s="27" t="s">
        <v>1806</v>
      </c>
      <c r="D928" s="25" t="s">
        <v>134</v>
      </c>
      <c r="E928" s="25" t="s">
        <v>3450</v>
      </c>
      <c r="F928" s="25" t="s">
        <v>3448</v>
      </c>
      <c r="G928" s="38" t="s">
        <v>30</v>
      </c>
      <c r="H928" s="28" t="s">
        <v>25</v>
      </c>
      <c r="I928" s="25" t="n">
        <v>1</v>
      </c>
      <c r="J928" s="25" t="n">
        <v>1</v>
      </c>
      <c r="K928" s="25" t="n">
        <v>1</v>
      </c>
      <c r="L928" s="29" t="n">
        <v>0.75</v>
      </c>
      <c r="M928" s="30" t="n">
        <v>20.64</v>
      </c>
      <c r="N928" s="29" t="n">
        <v>0.16</v>
      </c>
      <c r="O928" s="25" t="n">
        <v>182</v>
      </c>
      <c r="P928" s="30" t="n">
        <v>6.3</v>
      </c>
      <c r="Q928" s="27" t="s">
        <v>69</v>
      </c>
      <c r="R928" s="27" t="s">
        <v>183</v>
      </c>
    </row>
    <row r="929" customFormat="false" ht="15" hidden="false" customHeight="false" outlineLevel="0" collapsed="false">
      <c r="A929" s="25" t="n">
        <f aca="false">IF(G929="REJECT",COUNTIF($G$2:$G$2277,"&lt;&gt;REJECT")+1+COUNTIFS($G$2:$G$2277,"REJECT",$B$2:$B$2277,"&gt;"&amp;B929),1+COUNTIFS($G$2:$G$2277,"&lt;&gt;REJECT",$B$2:$B$2277,"&gt;"&amp;B929))</f>
        <v>928</v>
      </c>
      <c r="B929" s="26" t="n">
        <f aca="false">ROUND(($U$2*MAX(0,MIN(1,($W$2-I929)/($W$2-$V$2)))+$U$3*MAX(0,MIN(1,($W$3-J929)/($W$3-$V$3)))+$U$4*MAX(0,MIN(1,($W$4-K929)/($W$4-$V$4)))+$U$5*MAX(0,MIN(1,($W$5-L929)/($W$5-$V$5)))+$U$6*MAX(0,MIN(1,($W$6-M929)/($W$6-$V$6)))+$U$7*MAX(0,MIN(1,($W$7-N929)/($W$7-$V$7)))+$U$8*IF(AND(O929&gt;=$V$8,O929&lt;=$W$8),1,0))/$U$9*100,2)</f>
        <v>77.03</v>
      </c>
      <c r="C929" s="27" t="s">
        <v>2459</v>
      </c>
      <c r="D929" s="25" t="s">
        <v>134</v>
      </c>
      <c r="E929" s="25" t="s">
        <v>3447</v>
      </c>
      <c r="F929" s="25" t="s">
        <v>3457</v>
      </c>
      <c r="G929" s="38" t="s">
        <v>30</v>
      </c>
      <c r="H929" s="33" t="s">
        <v>24</v>
      </c>
      <c r="I929" s="25" t="n">
        <v>3</v>
      </c>
      <c r="J929" s="25" t="n">
        <v>0</v>
      </c>
      <c r="K929" s="25" t="n">
        <v>3</v>
      </c>
      <c r="L929" s="29" t="n">
        <v>0.82</v>
      </c>
      <c r="M929" s="30" t="n">
        <v>19.75</v>
      </c>
      <c r="N929" s="29" t="n">
        <v>0.56</v>
      </c>
      <c r="O929" s="25" t="n">
        <v>186</v>
      </c>
      <c r="P929" s="30" t="n">
        <v>-0.33</v>
      </c>
      <c r="Q929" s="27" t="s">
        <v>3564</v>
      </c>
      <c r="R929" s="27" t="s">
        <v>30</v>
      </c>
    </row>
    <row r="930" customFormat="false" ht="15" hidden="false" customHeight="false" outlineLevel="0" collapsed="false">
      <c r="A930" s="25" t="n">
        <f aca="false">IF(G930="REJECT",COUNTIF($G$2:$G$2277,"&lt;&gt;REJECT")+1+COUNTIFS($G$2:$G$2277,"REJECT",$B$2:$B$2277,"&gt;"&amp;B930),1+COUNTIFS($G$2:$G$2277,"&lt;&gt;REJECT",$B$2:$B$2277,"&gt;"&amp;B930))</f>
        <v>928</v>
      </c>
      <c r="B930" s="26" t="n">
        <f aca="false">ROUND(($U$2*MAX(0,MIN(1,($W$2-I930)/($W$2-$V$2)))+$U$3*MAX(0,MIN(1,($W$3-J930)/($W$3-$V$3)))+$U$4*MAX(0,MIN(1,($W$4-K930)/($W$4-$V$4)))+$U$5*MAX(0,MIN(1,($W$5-L930)/($W$5-$V$5)))+$U$6*MAX(0,MIN(1,($W$6-M930)/($W$6-$V$6)))+$U$7*MAX(0,MIN(1,($W$7-N930)/($W$7-$V$7)))+$U$8*IF(AND(O930&gt;=$V$8,O930&lt;=$W$8),1,0))/$U$9*100,2)</f>
        <v>77.03</v>
      </c>
      <c r="C930" s="27" t="s">
        <v>3351</v>
      </c>
      <c r="D930" s="25" t="s">
        <v>134</v>
      </c>
      <c r="E930" s="25" t="s">
        <v>3450</v>
      </c>
      <c r="F930" s="25" t="s">
        <v>3457</v>
      </c>
      <c r="G930" s="38" t="s">
        <v>30</v>
      </c>
      <c r="H930" s="28" t="s">
        <v>25</v>
      </c>
      <c r="I930" s="25" t="n">
        <v>1</v>
      </c>
      <c r="J930" s="25" t="n">
        <v>1</v>
      </c>
      <c r="K930" s="25" t="n">
        <v>1</v>
      </c>
      <c r="L930" s="29" t="n">
        <v>0.74</v>
      </c>
      <c r="M930" s="30" t="n">
        <v>18.75</v>
      </c>
      <c r="N930" s="29" t="n">
        <v>0</v>
      </c>
      <c r="O930" s="25" t="n">
        <v>184</v>
      </c>
      <c r="P930" s="30" t="n">
        <v>11.65</v>
      </c>
      <c r="Q930" s="27" t="s">
        <v>69</v>
      </c>
      <c r="R930" s="27" t="s">
        <v>1152</v>
      </c>
    </row>
    <row r="931" customFormat="false" ht="15" hidden="false" customHeight="false" outlineLevel="0" collapsed="false">
      <c r="A931" s="25" t="n">
        <f aca="false">IF(G931="REJECT",COUNTIF($G$2:$G$2277,"&lt;&gt;REJECT")+1+COUNTIFS($G$2:$G$2277,"REJECT",$B$2:$B$2277,"&gt;"&amp;B931),1+COUNTIFS($G$2:$G$2277,"&lt;&gt;REJECT",$B$2:$B$2277,"&gt;"&amp;B931))</f>
        <v>930</v>
      </c>
      <c r="B931" s="26" t="n">
        <f aca="false">ROUND(($U$2*MAX(0,MIN(1,($W$2-I931)/($W$2-$V$2)))+$U$3*MAX(0,MIN(1,($W$3-J931)/($W$3-$V$3)))+$U$4*MAX(0,MIN(1,($W$4-K931)/($W$4-$V$4)))+$U$5*MAX(0,MIN(1,($W$5-L931)/($W$5-$V$5)))+$U$6*MAX(0,MIN(1,($W$6-M931)/($W$6-$V$6)))+$U$7*MAX(0,MIN(1,($W$7-N931)/($W$7-$V$7)))+$U$8*IF(AND(O931&gt;=$V$8,O931&lt;=$W$8),1,0))/$U$9*100,2)</f>
        <v>77.02</v>
      </c>
      <c r="C931" s="27" t="s">
        <v>1645</v>
      </c>
      <c r="D931" s="25" t="s">
        <v>134</v>
      </c>
      <c r="E931" s="25" t="s">
        <v>3447</v>
      </c>
      <c r="F931" s="25" t="s">
        <v>3448</v>
      </c>
      <c r="G931" s="38" t="s">
        <v>30</v>
      </c>
      <c r="H931" s="28" t="s">
        <v>25</v>
      </c>
      <c r="I931" s="25" t="n">
        <v>1</v>
      </c>
      <c r="J931" s="25" t="n">
        <v>1</v>
      </c>
      <c r="K931" s="25" t="n">
        <v>1</v>
      </c>
      <c r="L931" s="29" t="n">
        <v>0.74</v>
      </c>
      <c r="M931" s="30" t="n">
        <v>11.17</v>
      </c>
      <c r="N931" s="29" t="n">
        <v>0.76</v>
      </c>
      <c r="O931" s="25" t="n">
        <v>184</v>
      </c>
      <c r="P931" s="30" t="n">
        <v>-0.06</v>
      </c>
      <c r="Q931" s="27" t="s">
        <v>69</v>
      </c>
      <c r="R931" s="27" t="s">
        <v>1099</v>
      </c>
    </row>
    <row r="932" customFormat="false" ht="15" hidden="false" customHeight="false" outlineLevel="0" collapsed="false">
      <c r="A932" s="25" t="n">
        <f aca="false">IF(G932="REJECT",COUNTIF($G$2:$G$2277,"&lt;&gt;REJECT")+1+COUNTIFS($G$2:$G$2277,"REJECT",$B$2:$B$2277,"&gt;"&amp;B932),1+COUNTIFS($G$2:$G$2277,"&lt;&gt;REJECT",$B$2:$B$2277,"&gt;"&amp;B932))</f>
        <v>930</v>
      </c>
      <c r="B932" s="26" t="n">
        <f aca="false">ROUND(($U$2*MAX(0,MIN(1,($W$2-I932)/($W$2-$V$2)))+$U$3*MAX(0,MIN(1,($W$3-J932)/($W$3-$V$3)))+$U$4*MAX(0,MIN(1,($W$4-K932)/($W$4-$V$4)))+$U$5*MAX(0,MIN(1,($W$5-L932)/($W$5-$V$5)))+$U$6*MAX(0,MIN(1,($W$6-M932)/($W$6-$V$6)))+$U$7*MAX(0,MIN(1,($W$7-N932)/($W$7-$V$7)))+$U$8*IF(AND(O932&gt;=$V$8,O932&lt;=$W$8),1,0))/$U$9*100,2)</f>
        <v>77.02</v>
      </c>
      <c r="C932" s="27" t="s">
        <v>1663</v>
      </c>
      <c r="D932" s="25" t="s">
        <v>134</v>
      </c>
      <c r="E932" s="25" t="s">
        <v>3450</v>
      </c>
      <c r="F932" s="25" t="s">
        <v>3448</v>
      </c>
      <c r="G932" s="38" t="s">
        <v>30</v>
      </c>
      <c r="H932" s="28" t="s">
        <v>25</v>
      </c>
      <c r="I932" s="25" t="n">
        <v>1</v>
      </c>
      <c r="J932" s="25" t="n">
        <v>1</v>
      </c>
      <c r="K932" s="25" t="n">
        <v>1</v>
      </c>
      <c r="L932" s="29" t="n">
        <v>0.73</v>
      </c>
      <c r="M932" s="30" t="n">
        <v>13.98</v>
      </c>
      <c r="N932" s="29" t="n">
        <v>0.12</v>
      </c>
      <c r="O932" s="25" t="n">
        <v>184</v>
      </c>
      <c r="P932" s="30" t="n">
        <v>14.04</v>
      </c>
      <c r="Q932" s="27" t="s">
        <v>69</v>
      </c>
      <c r="R932" s="27" t="s">
        <v>283</v>
      </c>
    </row>
    <row r="933" customFormat="false" ht="15" hidden="false" customHeight="false" outlineLevel="0" collapsed="false">
      <c r="A933" s="25" t="n">
        <f aca="false">IF(G933="REJECT",COUNTIF($G$2:$G$2277,"&lt;&gt;REJECT")+1+COUNTIFS($G$2:$G$2277,"REJECT",$B$2:$B$2277,"&gt;"&amp;B933),1+COUNTIFS($G$2:$G$2277,"&lt;&gt;REJECT",$B$2:$B$2277,"&gt;"&amp;B933))</f>
        <v>932</v>
      </c>
      <c r="B933" s="26" t="n">
        <f aca="false">ROUND(($U$2*MAX(0,MIN(1,($W$2-I933)/($W$2-$V$2)))+$U$3*MAX(0,MIN(1,($W$3-J933)/($W$3-$V$3)))+$U$4*MAX(0,MIN(1,($W$4-K933)/($W$4-$V$4)))+$U$5*MAX(0,MIN(1,($W$5-L933)/($W$5-$V$5)))+$U$6*MAX(0,MIN(1,($W$6-M933)/($W$6-$V$6)))+$U$7*MAX(0,MIN(1,($W$7-N933)/($W$7-$V$7)))+$U$8*IF(AND(O933&gt;=$V$8,O933&lt;=$W$8),1,0))/$U$9*100,2)</f>
        <v>77.01</v>
      </c>
      <c r="C933" s="27" t="s">
        <v>2137</v>
      </c>
      <c r="D933" s="25" t="s">
        <v>3459</v>
      </c>
      <c r="E933" s="25" t="s">
        <v>3450</v>
      </c>
      <c r="F933" s="25" t="s">
        <v>3457</v>
      </c>
      <c r="G933" s="38" t="s">
        <v>30</v>
      </c>
      <c r="H933" s="28" t="s">
        <v>25</v>
      </c>
      <c r="I933" s="25" t="n">
        <v>1</v>
      </c>
      <c r="J933" s="25" t="n">
        <v>1</v>
      </c>
      <c r="K933" s="25" t="n">
        <v>1</v>
      </c>
      <c r="L933" s="29" t="n">
        <v>0.76</v>
      </c>
      <c r="M933" s="30" t="n">
        <v>23.64</v>
      </c>
      <c r="N933" s="29" t="n">
        <v>0.24</v>
      </c>
      <c r="O933" s="25" t="n">
        <v>183</v>
      </c>
      <c r="P933" s="30" t="n">
        <v>17.51</v>
      </c>
      <c r="Q933" s="27" t="s">
        <v>69</v>
      </c>
      <c r="R933" s="27" t="s">
        <v>183</v>
      </c>
    </row>
    <row r="934" customFormat="false" ht="15" hidden="false" customHeight="false" outlineLevel="0" collapsed="false">
      <c r="A934" s="25" t="n">
        <f aca="false">IF(G934="REJECT",COUNTIF($G$2:$G$2277,"&lt;&gt;REJECT")+1+COUNTIFS($G$2:$G$2277,"REJECT",$B$2:$B$2277,"&gt;"&amp;B934),1+COUNTIFS($G$2:$G$2277,"&lt;&gt;REJECT",$B$2:$B$2277,"&gt;"&amp;B934))</f>
        <v>932</v>
      </c>
      <c r="B934" s="26" t="n">
        <f aca="false">ROUND(($U$2*MAX(0,MIN(1,($W$2-I934)/($W$2-$V$2)))+$U$3*MAX(0,MIN(1,($W$3-J934)/($W$3-$V$3)))+$U$4*MAX(0,MIN(1,($W$4-K934)/($W$4-$V$4)))+$U$5*MAX(0,MIN(1,($W$5-L934)/($W$5-$V$5)))+$U$6*MAX(0,MIN(1,($W$6-M934)/($W$6-$V$6)))+$U$7*MAX(0,MIN(1,($W$7-N934)/($W$7-$V$7)))+$U$8*IF(AND(O934&gt;=$V$8,O934&lt;=$W$8),1,0))/$U$9*100,2)</f>
        <v>77.01</v>
      </c>
      <c r="C934" s="27" t="s">
        <v>2752</v>
      </c>
      <c r="D934" s="25" t="s">
        <v>134</v>
      </c>
      <c r="E934" s="25" t="s">
        <v>3447</v>
      </c>
      <c r="F934" s="25" t="s">
        <v>3457</v>
      </c>
      <c r="G934" s="38" t="s">
        <v>30</v>
      </c>
      <c r="H934" s="33" t="s">
        <v>24</v>
      </c>
      <c r="I934" s="25" t="n">
        <v>3</v>
      </c>
      <c r="J934" s="25" t="n">
        <v>0</v>
      </c>
      <c r="K934" s="25" t="n">
        <v>3</v>
      </c>
      <c r="L934" s="29" t="n">
        <v>0.76</v>
      </c>
      <c r="M934" s="30" t="n">
        <v>9.84</v>
      </c>
      <c r="N934" s="29" t="n">
        <v>0.12</v>
      </c>
      <c r="O934" s="25" t="n">
        <v>186</v>
      </c>
      <c r="P934" s="30" t="n">
        <v>-1.1</v>
      </c>
      <c r="Q934" s="27" t="s">
        <v>3561</v>
      </c>
      <c r="R934" s="27" t="s">
        <v>30</v>
      </c>
    </row>
    <row r="935" customFormat="false" ht="15" hidden="false" customHeight="false" outlineLevel="0" collapsed="false">
      <c r="A935" s="25" t="n">
        <f aca="false">IF(G935="REJECT",COUNTIF($G$2:$G$2277,"&lt;&gt;REJECT")+1+COUNTIFS($G$2:$G$2277,"REJECT",$B$2:$B$2277,"&gt;"&amp;B935),1+COUNTIFS($G$2:$G$2277,"&lt;&gt;REJECT",$B$2:$B$2277,"&gt;"&amp;B935))</f>
        <v>934</v>
      </c>
      <c r="B935" s="26" t="n">
        <f aca="false">ROUND(($U$2*MAX(0,MIN(1,($W$2-I935)/($W$2-$V$2)))+$U$3*MAX(0,MIN(1,($W$3-J935)/($W$3-$V$3)))+$U$4*MAX(0,MIN(1,($W$4-K935)/($W$4-$V$4)))+$U$5*MAX(0,MIN(1,($W$5-L935)/($W$5-$V$5)))+$U$6*MAX(0,MIN(1,($W$6-M935)/($W$6-$V$6)))+$U$7*MAX(0,MIN(1,($W$7-N935)/($W$7-$V$7)))+$U$8*IF(AND(O935&gt;=$V$8,O935&lt;=$W$8),1,0))/$U$9*100,2)</f>
        <v>76.99</v>
      </c>
      <c r="C935" s="27" t="s">
        <v>533</v>
      </c>
      <c r="D935" s="25" t="s">
        <v>134</v>
      </c>
      <c r="E935" s="25" t="s">
        <v>3450</v>
      </c>
      <c r="F935" s="25" t="s">
        <v>3448</v>
      </c>
      <c r="G935" s="38" t="s">
        <v>30</v>
      </c>
      <c r="H935" s="28" t="s">
        <v>25</v>
      </c>
      <c r="I935" s="25" t="n">
        <v>1</v>
      </c>
      <c r="J935" s="25" t="n">
        <v>1</v>
      </c>
      <c r="K935" s="25" t="n">
        <v>1</v>
      </c>
      <c r="L935" s="29" t="n">
        <v>0.75</v>
      </c>
      <c r="M935" s="30" t="n">
        <v>18.95</v>
      </c>
      <c r="N935" s="29" t="n">
        <v>0.36</v>
      </c>
      <c r="O935" s="25" t="n">
        <v>183</v>
      </c>
      <c r="P935" s="30" t="n">
        <v>5.63</v>
      </c>
      <c r="Q935" s="27" t="s">
        <v>69</v>
      </c>
      <c r="R935" s="27" t="s">
        <v>283</v>
      </c>
    </row>
    <row r="936" customFormat="false" ht="15" hidden="false" customHeight="false" outlineLevel="0" collapsed="false">
      <c r="A936" s="25" t="n">
        <f aca="false">IF(G936="REJECT",COUNTIF($G$2:$G$2277,"&lt;&gt;REJECT")+1+COUNTIFS($G$2:$G$2277,"REJECT",$B$2:$B$2277,"&gt;"&amp;B936),1+COUNTIFS($G$2:$G$2277,"&lt;&gt;REJECT",$B$2:$B$2277,"&gt;"&amp;B936))</f>
        <v>935</v>
      </c>
      <c r="B936" s="26" t="n">
        <f aca="false">ROUND(($U$2*MAX(0,MIN(1,($W$2-I936)/($W$2-$V$2)))+$U$3*MAX(0,MIN(1,($W$3-J936)/($W$3-$V$3)))+$U$4*MAX(0,MIN(1,($W$4-K936)/($W$4-$V$4)))+$U$5*MAX(0,MIN(1,($W$5-L936)/($W$5-$V$5)))+$U$6*MAX(0,MIN(1,($W$6-M936)/($W$6-$V$6)))+$U$7*MAX(0,MIN(1,($W$7-N936)/($W$7-$V$7)))+$U$8*IF(AND(O936&gt;=$V$8,O936&lt;=$W$8),1,0))/$U$9*100,2)</f>
        <v>76.97</v>
      </c>
      <c r="C936" s="27" t="s">
        <v>3087</v>
      </c>
      <c r="D936" s="25" t="s">
        <v>134</v>
      </c>
      <c r="E936" s="25" t="s">
        <v>3450</v>
      </c>
      <c r="F936" s="25" t="s">
        <v>3457</v>
      </c>
      <c r="G936" s="38" t="s">
        <v>30</v>
      </c>
      <c r="H936" s="28" t="s">
        <v>25</v>
      </c>
      <c r="I936" s="25" t="n">
        <v>1</v>
      </c>
      <c r="J936" s="25" t="n">
        <v>1</v>
      </c>
      <c r="K936" s="25" t="n">
        <v>1</v>
      </c>
      <c r="L936" s="29" t="n">
        <v>0.73</v>
      </c>
      <c r="M936" s="30" t="n">
        <v>11.87</v>
      </c>
      <c r="N936" s="29" t="n">
        <v>0.36</v>
      </c>
      <c r="O936" s="25" t="n">
        <v>194</v>
      </c>
      <c r="P936" s="30" t="n">
        <v>7.09</v>
      </c>
      <c r="Q936" s="27" t="s">
        <v>69</v>
      </c>
      <c r="R936" s="27" t="s">
        <v>283</v>
      </c>
    </row>
    <row r="937" customFormat="false" ht="15" hidden="false" customHeight="false" outlineLevel="0" collapsed="false">
      <c r="A937" s="25" t="n">
        <f aca="false">IF(G937="REJECT",COUNTIF($G$2:$G$2277,"&lt;&gt;REJECT")+1+COUNTIFS($G$2:$G$2277,"REJECT",$B$2:$B$2277,"&gt;"&amp;B937),1+COUNTIFS($G$2:$G$2277,"&lt;&gt;REJECT",$B$2:$B$2277,"&gt;"&amp;B937))</f>
        <v>935</v>
      </c>
      <c r="B937" s="26" t="n">
        <f aca="false">ROUND(($U$2*MAX(0,MIN(1,($W$2-I937)/($W$2-$V$2)))+$U$3*MAX(0,MIN(1,($W$3-J937)/($W$3-$V$3)))+$U$4*MAX(0,MIN(1,($W$4-K937)/($W$4-$V$4)))+$U$5*MAX(0,MIN(1,($W$5-L937)/($W$5-$V$5)))+$U$6*MAX(0,MIN(1,($W$6-M937)/($W$6-$V$6)))+$U$7*MAX(0,MIN(1,($W$7-N937)/($W$7-$V$7)))+$U$8*IF(AND(O937&gt;=$V$8,O937&lt;=$W$8),1,0))/$U$9*100,2)</f>
        <v>76.97</v>
      </c>
      <c r="C937" s="27" t="s">
        <v>3338</v>
      </c>
      <c r="D937" s="25" t="s">
        <v>3459</v>
      </c>
      <c r="E937" s="25" t="s">
        <v>3447</v>
      </c>
      <c r="F937" s="25" t="s">
        <v>3457</v>
      </c>
      <c r="G937" s="38" t="s">
        <v>30</v>
      </c>
      <c r="H937" s="28" t="s">
        <v>25</v>
      </c>
      <c r="I937" s="25" t="n">
        <v>3</v>
      </c>
      <c r="J937" s="25" t="n">
        <v>0</v>
      </c>
      <c r="K937" s="25" t="n">
        <v>3</v>
      </c>
      <c r="L937" s="29" t="n">
        <v>0.81</v>
      </c>
      <c r="M937" s="30" t="n">
        <v>19.68</v>
      </c>
      <c r="N937" s="29" t="n">
        <v>0.6</v>
      </c>
      <c r="O937" s="25" t="n">
        <v>184</v>
      </c>
      <c r="P937" s="30" t="n">
        <v>-0.91</v>
      </c>
      <c r="Q937" s="27" t="s">
        <v>3565</v>
      </c>
      <c r="R937" s="27" t="s">
        <v>2610</v>
      </c>
    </row>
    <row r="938" customFormat="false" ht="15" hidden="false" customHeight="false" outlineLevel="0" collapsed="false">
      <c r="A938" s="25" t="n">
        <f aca="false">IF(G938="REJECT",COUNTIF($G$2:$G$2277,"&lt;&gt;REJECT")+1+COUNTIFS($G$2:$G$2277,"REJECT",$B$2:$B$2277,"&gt;"&amp;B938),1+COUNTIFS($G$2:$G$2277,"&lt;&gt;REJECT",$B$2:$B$2277,"&gt;"&amp;B938))</f>
        <v>937</v>
      </c>
      <c r="B938" s="26" t="n">
        <f aca="false">ROUND(($U$2*MAX(0,MIN(1,($W$2-I938)/($W$2-$V$2)))+$U$3*MAX(0,MIN(1,($W$3-J938)/($W$3-$V$3)))+$U$4*MAX(0,MIN(1,($W$4-K938)/($W$4-$V$4)))+$U$5*MAX(0,MIN(1,($W$5-L938)/($W$5-$V$5)))+$U$6*MAX(0,MIN(1,($W$6-M938)/($W$6-$V$6)))+$U$7*MAX(0,MIN(1,($W$7-N938)/($W$7-$V$7)))+$U$8*IF(AND(O938&gt;=$V$8,O938&lt;=$W$8),1,0))/$U$9*100,2)</f>
        <v>76.95</v>
      </c>
      <c r="C938" s="27" t="s">
        <v>186</v>
      </c>
      <c r="D938" s="25" t="s">
        <v>134</v>
      </c>
      <c r="E938" s="25" t="s">
        <v>3447</v>
      </c>
      <c r="F938" s="25" t="s">
        <v>3457</v>
      </c>
      <c r="G938" s="38" t="s">
        <v>30</v>
      </c>
      <c r="H938" s="28" t="s">
        <v>25</v>
      </c>
      <c r="I938" s="25" t="n">
        <v>2</v>
      </c>
      <c r="J938" s="25" t="n">
        <v>0</v>
      </c>
      <c r="K938" s="25" t="n">
        <v>2</v>
      </c>
      <c r="L938" s="29" t="n">
        <v>0.72</v>
      </c>
      <c r="M938" s="30" t="n">
        <v>25.28</v>
      </c>
      <c r="N938" s="29" t="n">
        <v>0.92</v>
      </c>
      <c r="O938" s="25" t="n">
        <v>183</v>
      </c>
      <c r="P938" s="30" t="n">
        <v>-0.69</v>
      </c>
      <c r="Q938" s="27" t="s">
        <v>3520</v>
      </c>
      <c r="R938" s="27" t="s">
        <v>992</v>
      </c>
    </row>
    <row r="939" customFormat="false" ht="15" hidden="false" customHeight="false" outlineLevel="0" collapsed="false">
      <c r="A939" s="25" t="n">
        <f aca="false">IF(G939="REJECT",COUNTIF($G$2:$G$2277,"&lt;&gt;REJECT")+1+COUNTIFS($G$2:$G$2277,"REJECT",$B$2:$B$2277,"&gt;"&amp;B939),1+COUNTIFS($G$2:$G$2277,"&lt;&gt;REJECT",$B$2:$B$2277,"&gt;"&amp;B939))</f>
        <v>937</v>
      </c>
      <c r="B939" s="26" t="n">
        <f aca="false">ROUND(($U$2*MAX(0,MIN(1,($W$2-I939)/($W$2-$V$2)))+$U$3*MAX(0,MIN(1,($W$3-J939)/($W$3-$V$3)))+$U$4*MAX(0,MIN(1,($W$4-K939)/($W$4-$V$4)))+$U$5*MAX(0,MIN(1,($W$5-L939)/($W$5-$V$5)))+$U$6*MAX(0,MIN(1,($W$6-M939)/($W$6-$V$6)))+$U$7*MAX(0,MIN(1,($W$7-N939)/($W$7-$V$7)))+$U$8*IF(AND(O939&gt;=$V$8,O939&lt;=$W$8),1,0))/$U$9*100,2)</f>
        <v>76.95</v>
      </c>
      <c r="C939" s="27" t="s">
        <v>3225</v>
      </c>
      <c r="D939" s="25" t="s">
        <v>3459</v>
      </c>
      <c r="E939" s="25" t="s">
        <v>3447</v>
      </c>
      <c r="F939" s="25" t="s">
        <v>3457</v>
      </c>
      <c r="G939" s="38" t="s">
        <v>30</v>
      </c>
      <c r="H939" s="28" t="s">
        <v>25</v>
      </c>
      <c r="I939" s="25" t="n">
        <v>1</v>
      </c>
      <c r="J939" s="25" t="n">
        <v>1</v>
      </c>
      <c r="K939" s="25" t="n">
        <v>1</v>
      </c>
      <c r="L939" s="29" t="n">
        <v>0.73</v>
      </c>
      <c r="M939" s="30" t="n">
        <v>15.58</v>
      </c>
      <c r="N939" s="29" t="n">
        <v>0</v>
      </c>
      <c r="O939" s="25" t="n">
        <v>183</v>
      </c>
      <c r="P939" s="30" t="n">
        <v>1.01</v>
      </c>
      <c r="Q939" s="27" t="s">
        <v>69</v>
      </c>
      <c r="R939" s="27" t="s">
        <v>283</v>
      </c>
    </row>
    <row r="940" customFormat="false" ht="15" hidden="false" customHeight="false" outlineLevel="0" collapsed="false">
      <c r="A940" s="25" t="n">
        <f aca="false">IF(G940="REJECT",COUNTIF($G$2:$G$2277,"&lt;&gt;REJECT")+1+COUNTIFS($G$2:$G$2277,"REJECT",$B$2:$B$2277,"&gt;"&amp;B940),1+COUNTIFS($G$2:$G$2277,"&lt;&gt;REJECT",$B$2:$B$2277,"&gt;"&amp;B940))</f>
        <v>939</v>
      </c>
      <c r="B940" s="26" t="n">
        <f aca="false">ROUND(($U$2*MAX(0,MIN(1,($W$2-I940)/($W$2-$V$2)))+$U$3*MAX(0,MIN(1,($W$3-J940)/($W$3-$V$3)))+$U$4*MAX(0,MIN(1,($W$4-K940)/($W$4-$V$4)))+$U$5*MAX(0,MIN(1,($W$5-L940)/($W$5-$V$5)))+$U$6*MAX(0,MIN(1,($W$6-M940)/($W$6-$V$6)))+$U$7*MAX(0,MIN(1,($W$7-N940)/($W$7-$V$7)))+$U$8*IF(AND(O940&gt;=$V$8,O940&lt;=$W$8),1,0))/$U$9*100,2)</f>
        <v>76.92</v>
      </c>
      <c r="C940" s="27" t="s">
        <v>2685</v>
      </c>
      <c r="D940" s="25" t="s">
        <v>134</v>
      </c>
      <c r="E940" s="25" t="s">
        <v>3447</v>
      </c>
      <c r="F940" s="25" t="s">
        <v>3457</v>
      </c>
      <c r="G940" s="38" t="s">
        <v>30</v>
      </c>
      <c r="H940" s="28" t="s">
        <v>25</v>
      </c>
      <c r="I940" s="25" t="n">
        <v>3</v>
      </c>
      <c r="J940" s="25" t="n">
        <v>0</v>
      </c>
      <c r="K940" s="25" t="n">
        <v>3</v>
      </c>
      <c r="L940" s="29" t="n">
        <v>0.78</v>
      </c>
      <c r="M940" s="30" t="n">
        <v>9.56</v>
      </c>
      <c r="N940" s="29" t="n">
        <v>0.92</v>
      </c>
      <c r="O940" s="25" t="n">
        <v>188</v>
      </c>
      <c r="P940" s="30" t="n">
        <v>-1.25</v>
      </c>
      <c r="Q940" s="27" t="s">
        <v>3560</v>
      </c>
      <c r="R940" s="27" t="s">
        <v>2133</v>
      </c>
    </row>
    <row r="941" customFormat="false" ht="15" hidden="false" customHeight="false" outlineLevel="0" collapsed="false">
      <c r="A941" s="25" t="n">
        <f aca="false">IF(G941="REJECT",COUNTIF($G$2:$G$2277,"&lt;&gt;REJECT")+1+COUNTIFS($G$2:$G$2277,"REJECT",$B$2:$B$2277,"&gt;"&amp;B941),1+COUNTIFS($G$2:$G$2277,"&lt;&gt;REJECT",$B$2:$B$2277,"&gt;"&amp;B941))</f>
        <v>940</v>
      </c>
      <c r="B941" s="26" t="n">
        <f aca="false">ROUND(($U$2*MAX(0,MIN(1,($W$2-I941)/($W$2-$V$2)))+$U$3*MAX(0,MIN(1,($W$3-J941)/($W$3-$V$3)))+$U$4*MAX(0,MIN(1,($W$4-K941)/($W$4-$V$4)))+$U$5*MAX(0,MIN(1,($W$5-L941)/($W$5-$V$5)))+$U$6*MAX(0,MIN(1,($W$6-M941)/($W$6-$V$6)))+$U$7*MAX(0,MIN(1,($W$7-N941)/($W$7-$V$7)))+$U$8*IF(AND(O941&gt;=$V$8,O941&lt;=$W$8),1,0))/$U$9*100,2)</f>
        <v>76.91</v>
      </c>
      <c r="C941" s="27" t="s">
        <v>2471</v>
      </c>
      <c r="D941" s="25" t="s">
        <v>134</v>
      </c>
      <c r="E941" s="25" t="s">
        <v>3450</v>
      </c>
      <c r="F941" s="25" t="s">
        <v>3448</v>
      </c>
      <c r="G941" s="38" t="s">
        <v>30</v>
      </c>
      <c r="H941" s="28" t="s">
        <v>25</v>
      </c>
      <c r="I941" s="25" t="n">
        <v>1</v>
      </c>
      <c r="J941" s="25" t="n">
        <v>1</v>
      </c>
      <c r="K941" s="25" t="n">
        <v>1</v>
      </c>
      <c r="L941" s="29" t="n">
        <v>0.73</v>
      </c>
      <c r="M941" s="30" t="n">
        <v>7.02</v>
      </c>
      <c r="N941" s="29" t="n">
        <v>0.88</v>
      </c>
      <c r="O941" s="25" t="n">
        <v>184</v>
      </c>
      <c r="P941" s="30" t="n">
        <v>2.09</v>
      </c>
      <c r="Q941" s="27" t="s">
        <v>69</v>
      </c>
      <c r="R941" s="27" t="s">
        <v>1230</v>
      </c>
    </row>
    <row r="942" customFormat="false" ht="15" hidden="false" customHeight="false" outlineLevel="0" collapsed="false">
      <c r="A942" s="25" t="n">
        <f aca="false">IF(G942="REJECT",COUNTIF($G$2:$G$2277,"&lt;&gt;REJECT")+1+COUNTIFS($G$2:$G$2277,"REJECT",$B$2:$B$2277,"&gt;"&amp;B942),1+COUNTIFS($G$2:$G$2277,"&lt;&gt;REJECT",$B$2:$B$2277,"&gt;"&amp;B942))</f>
        <v>940</v>
      </c>
      <c r="B942" s="26" t="n">
        <f aca="false">ROUND(($U$2*MAX(0,MIN(1,($W$2-I942)/($W$2-$V$2)))+$U$3*MAX(0,MIN(1,($W$3-J942)/($W$3-$V$3)))+$U$4*MAX(0,MIN(1,($W$4-K942)/($W$4-$V$4)))+$U$5*MAX(0,MIN(1,($W$5-L942)/($W$5-$V$5)))+$U$6*MAX(0,MIN(1,($W$6-M942)/($W$6-$V$6)))+$U$7*MAX(0,MIN(1,($W$7-N942)/($W$7-$V$7)))+$U$8*IF(AND(O942&gt;=$V$8,O942&lt;=$W$8),1,0))/$U$9*100,2)</f>
        <v>76.91</v>
      </c>
      <c r="C942" s="27" t="s">
        <v>2534</v>
      </c>
      <c r="D942" s="25" t="s">
        <v>3459</v>
      </c>
      <c r="E942" s="25" t="s">
        <v>3450</v>
      </c>
      <c r="F942" s="25" t="s">
        <v>3457</v>
      </c>
      <c r="G942" s="38" t="s">
        <v>30</v>
      </c>
      <c r="H942" s="28" t="s">
        <v>25</v>
      </c>
      <c r="I942" s="25" t="n">
        <v>1</v>
      </c>
      <c r="J942" s="25" t="n">
        <v>1</v>
      </c>
      <c r="K942" s="25" t="n">
        <v>1</v>
      </c>
      <c r="L942" s="29" t="n">
        <v>0.77</v>
      </c>
      <c r="M942" s="30" t="n">
        <v>23.85</v>
      </c>
      <c r="N942" s="29" t="n">
        <v>0.64</v>
      </c>
      <c r="O942" s="25" t="n">
        <v>206</v>
      </c>
      <c r="P942" s="30" t="n">
        <v>1.01</v>
      </c>
      <c r="Q942" s="27" t="s">
        <v>69</v>
      </c>
      <c r="R942" s="27" t="s">
        <v>1046</v>
      </c>
    </row>
    <row r="943" customFormat="false" ht="15" hidden="false" customHeight="false" outlineLevel="0" collapsed="false">
      <c r="A943" s="25" t="n">
        <f aca="false">IF(G943="REJECT",COUNTIF($G$2:$G$2277,"&lt;&gt;REJECT")+1+COUNTIFS($G$2:$G$2277,"REJECT",$B$2:$B$2277,"&gt;"&amp;B943),1+COUNTIFS($G$2:$G$2277,"&lt;&gt;REJECT",$B$2:$B$2277,"&gt;"&amp;B943))</f>
        <v>942</v>
      </c>
      <c r="B943" s="26" t="n">
        <f aca="false">ROUND(($U$2*MAX(0,MIN(1,($W$2-I943)/($W$2-$V$2)))+$U$3*MAX(0,MIN(1,($W$3-J943)/($W$3-$V$3)))+$U$4*MAX(0,MIN(1,($W$4-K943)/($W$4-$V$4)))+$U$5*MAX(0,MIN(1,($W$5-L943)/($W$5-$V$5)))+$U$6*MAX(0,MIN(1,($W$6-M943)/($W$6-$V$6)))+$U$7*MAX(0,MIN(1,($W$7-N943)/($W$7-$V$7)))+$U$8*IF(AND(O943&gt;=$V$8,O943&lt;=$W$8),1,0))/$U$9*100,2)</f>
        <v>76.88</v>
      </c>
      <c r="C943" s="27" t="s">
        <v>1043</v>
      </c>
      <c r="D943" s="25" t="s">
        <v>3459</v>
      </c>
      <c r="E943" s="25" t="s">
        <v>3450</v>
      </c>
      <c r="F943" s="25" t="s">
        <v>3448</v>
      </c>
      <c r="G943" s="38" t="s">
        <v>30</v>
      </c>
      <c r="H943" s="28" t="s">
        <v>25</v>
      </c>
      <c r="I943" s="25" t="n">
        <v>1</v>
      </c>
      <c r="J943" s="25" t="n">
        <v>1</v>
      </c>
      <c r="K943" s="25" t="n">
        <v>1</v>
      </c>
      <c r="L943" s="29" t="n">
        <v>0.74</v>
      </c>
      <c r="M943" s="30" t="n">
        <v>15.63</v>
      </c>
      <c r="N943" s="29" t="n">
        <v>0.4</v>
      </c>
      <c r="O943" s="25" t="n">
        <v>184</v>
      </c>
      <c r="P943" s="30" t="n">
        <v>1.8</v>
      </c>
      <c r="Q943" s="27" t="s">
        <v>69</v>
      </c>
      <c r="R943" s="27" t="s">
        <v>1230</v>
      </c>
    </row>
    <row r="944" customFormat="false" ht="15" hidden="false" customHeight="false" outlineLevel="0" collapsed="false">
      <c r="A944" s="25" t="n">
        <f aca="false">IF(G944="REJECT",COUNTIF($G$2:$G$2277,"&lt;&gt;REJECT")+1+COUNTIFS($G$2:$G$2277,"REJECT",$B$2:$B$2277,"&gt;"&amp;B944),1+COUNTIFS($G$2:$G$2277,"&lt;&gt;REJECT",$B$2:$B$2277,"&gt;"&amp;B944))</f>
        <v>942</v>
      </c>
      <c r="B944" s="26" t="n">
        <f aca="false">ROUND(($U$2*MAX(0,MIN(1,($W$2-I944)/($W$2-$V$2)))+$U$3*MAX(0,MIN(1,($W$3-J944)/($W$3-$V$3)))+$U$4*MAX(0,MIN(1,($W$4-K944)/($W$4-$V$4)))+$U$5*MAX(0,MIN(1,($W$5-L944)/($W$5-$V$5)))+$U$6*MAX(0,MIN(1,($W$6-M944)/($W$6-$V$6)))+$U$7*MAX(0,MIN(1,($W$7-N944)/($W$7-$V$7)))+$U$8*IF(AND(O944&gt;=$V$8,O944&lt;=$W$8),1,0))/$U$9*100,2)</f>
        <v>76.88</v>
      </c>
      <c r="C944" s="27" t="s">
        <v>1325</v>
      </c>
      <c r="D944" s="25" t="s">
        <v>134</v>
      </c>
      <c r="E944" s="25" t="s">
        <v>3447</v>
      </c>
      <c r="F944" s="25" t="s">
        <v>3457</v>
      </c>
      <c r="G944" s="38" t="s">
        <v>30</v>
      </c>
      <c r="H944" s="28" t="s">
        <v>25</v>
      </c>
      <c r="I944" s="25" t="n">
        <v>1</v>
      </c>
      <c r="J944" s="25" t="n">
        <v>1</v>
      </c>
      <c r="K944" s="25" t="n">
        <v>1</v>
      </c>
      <c r="L944" s="29" t="n">
        <v>0.74</v>
      </c>
      <c r="M944" s="30" t="n">
        <v>12.45</v>
      </c>
      <c r="N944" s="29" t="n">
        <v>0.72</v>
      </c>
      <c r="O944" s="25" t="n">
        <v>193</v>
      </c>
      <c r="P944" s="30" t="n">
        <v>1.18</v>
      </c>
      <c r="Q944" s="27" t="s">
        <v>69</v>
      </c>
      <c r="R944" s="27" t="s">
        <v>283</v>
      </c>
    </row>
    <row r="945" customFormat="false" ht="15" hidden="false" customHeight="false" outlineLevel="0" collapsed="false">
      <c r="A945" s="25" t="n">
        <f aca="false">IF(G945="REJECT",COUNTIF($G$2:$G$2277,"&lt;&gt;REJECT")+1+COUNTIFS($G$2:$G$2277,"REJECT",$B$2:$B$2277,"&gt;"&amp;B945),1+COUNTIFS($G$2:$G$2277,"&lt;&gt;REJECT",$B$2:$B$2277,"&gt;"&amp;B945))</f>
        <v>944</v>
      </c>
      <c r="B945" s="26" t="n">
        <f aca="false">ROUND(($U$2*MAX(0,MIN(1,($W$2-I945)/($W$2-$V$2)))+$U$3*MAX(0,MIN(1,($W$3-J945)/($W$3-$V$3)))+$U$4*MAX(0,MIN(1,($W$4-K945)/($W$4-$V$4)))+$U$5*MAX(0,MIN(1,($W$5-L945)/($W$5-$V$5)))+$U$6*MAX(0,MIN(1,($W$6-M945)/($W$6-$V$6)))+$U$7*MAX(0,MIN(1,($W$7-N945)/($W$7-$V$7)))+$U$8*IF(AND(O945&gt;=$V$8,O945&lt;=$W$8),1,0))/$U$9*100,2)</f>
        <v>76.87</v>
      </c>
      <c r="C945" s="27" t="s">
        <v>3162</v>
      </c>
      <c r="D945" s="25" t="s">
        <v>134</v>
      </c>
      <c r="E945" s="25" t="s">
        <v>3447</v>
      </c>
      <c r="F945" s="25" t="s">
        <v>3457</v>
      </c>
      <c r="G945" s="38" t="s">
        <v>30</v>
      </c>
      <c r="H945" s="28" t="s">
        <v>25</v>
      </c>
      <c r="I945" s="25" t="n">
        <v>1</v>
      </c>
      <c r="J945" s="25" t="n">
        <v>1</v>
      </c>
      <c r="K945" s="25" t="n">
        <v>1</v>
      </c>
      <c r="L945" s="29" t="n">
        <v>0.73</v>
      </c>
      <c r="M945" s="30" t="n">
        <v>16.09</v>
      </c>
      <c r="N945" s="29" t="n">
        <v>0</v>
      </c>
      <c r="O945" s="25" t="n">
        <v>181</v>
      </c>
      <c r="P945" s="30" t="n">
        <v>4.99</v>
      </c>
      <c r="Q945" s="27" t="s">
        <v>69</v>
      </c>
      <c r="R945" s="27" t="s">
        <v>283</v>
      </c>
    </row>
    <row r="946" customFormat="false" ht="15" hidden="false" customHeight="false" outlineLevel="0" collapsed="false">
      <c r="A946" s="25" t="n">
        <f aca="false">IF(G946="REJECT",COUNTIF($G$2:$G$2277,"&lt;&gt;REJECT")+1+COUNTIFS($G$2:$G$2277,"REJECT",$B$2:$B$2277,"&gt;"&amp;B946),1+COUNTIFS($G$2:$G$2277,"&lt;&gt;REJECT",$B$2:$B$2277,"&gt;"&amp;B946))</f>
        <v>945</v>
      </c>
      <c r="B946" s="26" t="n">
        <f aca="false">ROUND(($U$2*MAX(0,MIN(1,($W$2-I946)/($W$2-$V$2)))+$U$3*MAX(0,MIN(1,($W$3-J946)/($W$3-$V$3)))+$U$4*MAX(0,MIN(1,($W$4-K946)/($W$4-$V$4)))+$U$5*MAX(0,MIN(1,($W$5-L946)/($W$5-$V$5)))+$U$6*MAX(0,MIN(1,($W$6-M946)/($W$6-$V$6)))+$U$7*MAX(0,MIN(1,($W$7-N946)/($W$7-$V$7)))+$U$8*IF(AND(O946&gt;=$V$8,O946&lt;=$W$8),1,0))/$U$9*100,2)</f>
        <v>76.86</v>
      </c>
      <c r="C946" s="27" t="s">
        <v>1509</v>
      </c>
      <c r="D946" s="25" t="s">
        <v>3459</v>
      </c>
      <c r="E946" s="25" t="s">
        <v>3447</v>
      </c>
      <c r="F946" s="25" t="s">
        <v>3448</v>
      </c>
      <c r="G946" s="38" t="s">
        <v>30</v>
      </c>
      <c r="H946" s="28" t="s">
        <v>25</v>
      </c>
      <c r="I946" s="25" t="n">
        <v>3</v>
      </c>
      <c r="J946" s="25" t="n">
        <v>0</v>
      </c>
      <c r="K946" s="25" t="n">
        <v>3</v>
      </c>
      <c r="L946" s="29" t="n">
        <v>0.81</v>
      </c>
      <c r="M946" s="30" t="n">
        <v>23.15</v>
      </c>
      <c r="N946" s="29" t="n">
        <v>0.32</v>
      </c>
      <c r="O946" s="25" t="n">
        <v>188</v>
      </c>
      <c r="P946" s="30" t="n">
        <v>6.13</v>
      </c>
      <c r="Q946" s="27" t="s">
        <v>3551</v>
      </c>
      <c r="R946" s="27" t="s">
        <v>992</v>
      </c>
    </row>
    <row r="947" customFormat="false" ht="15" hidden="false" customHeight="false" outlineLevel="0" collapsed="false">
      <c r="A947" s="25" t="n">
        <f aca="false">IF(G947="REJECT",COUNTIF($G$2:$G$2277,"&lt;&gt;REJECT")+1+COUNTIFS($G$2:$G$2277,"REJECT",$B$2:$B$2277,"&gt;"&amp;B947),1+COUNTIFS($G$2:$G$2277,"&lt;&gt;REJECT",$B$2:$B$2277,"&gt;"&amp;B947))</f>
        <v>945</v>
      </c>
      <c r="B947" s="26" t="n">
        <f aca="false">ROUND(($U$2*MAX(0,MIN(1,($W$2-I947)/($W$2-$V$2)))+$U$3*MAX(0,MIN(1,($W$3-J947)/($W$3-$V$3)))+$U$4*MAX(0,MIN(1,($W$4-K947)/($W$4-$V$4)))+$U$5*MAX(0,MIN(1,($W$5-L947)/($W$5-$V$5)))+$U$6*MAX(0,MIN(1,($W$6-M947)/($W$6-$V$6)))+$U$7*MAX(0,MIN(1,($W$7-N947)/($W$7-$V$7)))+$U$8*IF(AND(O947&gt;=$V$8,O947&lt;=$W$8),1,0))/$U$9*100,2)</f>
        <v>76.86</v>
      </c>
      <c r="C947" s="27" t="s">
        <v>3057</v>
      </c>
      <c r="D947" s="25" t="s">
        <v>3459</v>
      </c>
      <c r="E947" s="25" t="s">
        <v>3450</v>
      </c>
      <c r="F947" s="25" t="s">
        <v>3448</v>
      </c>
      <c r="G947" s="38" t="s">
        <v>30</v>
      </c>
      <c r="H947" s="28" t="s">
        <v>25</v>
      </c>
      <c r="I947" s="25" t="n">
        <v>1</v>
      </c>
      <c r="J947" s="25" t="n">
        <v>1</v>
      </c>
      <c r="K947" s="25" t="n">
        <v>1</v>
      </c>
      <c r="L947" s="29" t="n">
        <v>0.77</v>
      </c>
      <c r="M947" s="30" t="n">
        <v>24.52</v>
      </c>
      <c r="N947" s="29" t="n">
        <v>0.6</v>
      </c>
      <c r="O947" s="25" t="n">
        <v>181</v>
      </c>
      <c r="P947" s="30" t="n">
        <v>2.22</v>
      </c>
      <c r="Q947" s="27" t="s">
        <v>69</v>
      </c>
      <c r="R947" s="27" t="s">
        <v>294</v>
      </c>
    </row>
    <row r="948" customFormat="false" ht="15" hidden="false" customHeight="false" outlineLevel="0" collapsed="false">
      <c r="A948" s="25" t="n">
        <f aca="false">IF(G948="REJECT",COUNTIF($G$2:$G$2277,"&lt;&gt;REJECT")+1+COUNTIFS($G$2:$G$2277,"REJECT",$B$2:$B$2277,"&gt;"&amp;B948),1+COUNTIFS($G$2:$G$2277,"&lt;&gt;REJECT",$B$2:$B$2277,"&gt;"&amp;B948))</f>
        <v>947</v>
      </c>
      <c r="B948" s="26" t="n">
        <f aca="false">ROUND(($U$2*MAX(0,MIN(1,($W$2-I948)/($W$2-$V$2)))+$U$3*MAX(0,MIN(1,($W$3-J948)/($W$3-$V$3)))+$U$4*MAX(0,MIN(1,($W$4-K948)/($W$4-$V$4)))+$U$5*MAX(0,MIN(1,($W$5-L948)/($W$5-$V$5)))+$U$6*MAX(0,MIN(1,($W$6-M948)/($W$6-$V$6)))+$U$7*MAX(0,MIN(1,($W$7-N948)/($W$7-$V$7)))+$U$8*IF(AND(O948&gt;=$V$8,O948&lt;=$W$8),1,0))/$U$9*100,2)</f>
        <v>76.85</v>
      </c>
      <c r="C948" s="27" t="s">
        <v>637</v>
      </c>
      <c r="D948" s="25" t="s">
        <v>3459</v>
      </c>
      <c r="E948" s="25" t="s">
        <v>3447</v>
      </c>
      <c r="F948" s="25" t="s">
        <v>3457</v>
      </c>
      <c r="G948" s="38" t="s">
        <v>30</v>
      </c>
      <c r="H948" s="28" t="s">
        <v>25</v>
      </c>
      <c r="I948" s="25" t="n">
        <v>1</v>
      </c>
      <c r="J948" s="25" t="n">
        <v>1</v>
      </c>
      <c r="K948" s="25" t="n">
        <v>1</v>
      </c>
      <c r="L948" s="29" t="n">
        <v>0.75</v>
      </c>
      <c r="M948" s="30" t="n">
        <v>23.39</v>
      </c>
      <c r="N948" s="29" t="n">
        <v>0</v>
      </c>
      <c r="O948" s="25" t="n">
        <v>183</v>
      </c>
      <c r="P948" s="30" t="n">
        <v>4.14</v>
      </c>
      <c r="Q948" s="27" t="s">
        <v>69</v>
      </c>
      <c r="R948" s="27" t="s">
        <v>183</v>
      </c>
    </row>
    <row r="949" customFormat="false" ht="15" hidden="false" customHeight="false" outlineLevel="0" collapsed="false">
      <c r="A949" s="25" t="n">
        <f aca="false">IF(G949="REJECT",COUNTIF($G$2:$G$2277,"&lt;&gt;REJECT")+1+COUNTIFS($G$2:$G$2277,"REJECT",$B$2:$B$2277,"&gt;"&amp;B949),1+COUNTIFS($G$2:$G$2277,"&lt;&gt;REJECT",$B$2:$B$2277,"&gt;"&amp;B949))</f>
        <v>948</v>
      </c>
      <c r="B949" s="26" t="n">
        <f aca="false">ROUND(($U$2*MAX(0,MIN(1,($W$2-I949)/($W$2-$V$2)))+$U$3*MAX(0,MIN(1,($W$3-J949)/($W$3-$V$3)))+$U$4*MAX(0,MIN(1,($W$4-K949)/($W$4-$V$4)))+$U$5*MAX(0,MIN(1,($W$5-L949)/($W$5-$V$5)))+$U$6*MAX(0,MIN(1,($W$6-M949)/($W$6-$V$6)))+$U$7*MAX(0,MIN(1,($W$7-N949)/($W$7-$V$7)))+$U$8*IF(AND(O949&gt;=$V$8,O949&lt;=$W$8),1,0))/$U$9*100,2)</f>
        <v>76.84</v>
      </c>
      <c r="C949" s="27" t="s">
        <v>573</v>
      </c>
      <c r="D949" s="25" t="s">
        <v>134</v>
      </c>
      <c r="E949" s="25" t="s">
        <v>3447</v>
      </c>
      <c r="F949" s="25" t="s">
        <v>3448</v>
      </c>
      <c r="G949" s="38" t="s">
        <v>30</v>
      </c>
      <c r="H949" s="28" t="s">
        <v>25</v>
      </c>
      <c r="I949" s="25" t="n">
        <v>2</v>
      </c>
      <c r="J949" s="25" t="n">
        <v>1</v>
      </c>
      <c r="K949" s="25" t="n">
        <v>2</v>
      </c>
      <c r="L949" s="29" t="n">
        <v>0.81</v>
      </c>
      <c r="M949" s="30" t="n">
        <v>2.77</v>
      </c>
      <c r="N949" s="29" t="n">
        <v>0.12</v>
      </c>
      <c r="O949" s="25" t="n">
        <v>183</v>
      </c>
      <c r="P949" s="30" t="n">
        <v>8.04</v>
      </c>
      <c r="Q949" s="27" t="s">
        <v>3566</v>
      </c>
      <c r="R949" s="27" t="s">
        <v>283</v>
      </c>
    </row>
    <row r="950" customFormat="false" ht="15" hidden="false" customHeight="false" outlineLevel="0" collapsed="false">
      <c r="A950" s="25" t="n">
        <f aca="false">IF(G950="REJECT",COUNTIF($G$2:$G$2277,"&lt;&gt;REJECT")+1+COUNTIFS($G$2:$G$2277,"REJECT",$B$2:$B$2277,"&gt;"&amp;B950),1+COUNTIFS($G$2:$G$2277,"&lt;&gt;REJECT",$B$2:$B$2277,"&gt;"&amp;B950))</f>
        <v>948</v>
      </c>
      <c r="B950" s="26" t="n">
        <f aca="false">ROUND(($U$2*MAX(0,MIN(1,($W$2-I950)/($W$2-$V$2)))+$U$3*MAX(0,MIN(1,($W$3-J950)/($W$3-$V$3)))+$U$4*MAX(0,MIN(1,($W$4-K950)/($W$4-$V$4)))+$U$5*MAX(0,MIN(1,($W$5-L950)/($W$5-$V$5)))+$U$6*MAX(0,MIN(1,($W$6-M950)/($W$6-$V$6)))+$U$7*MAX(0,MIN(1,($W$7-N950)/($W$7-$V$7)))+$U$8*IF(AND(O950&gt;=$V$8,O950&lt;=$W$8),1,0))/$U$9*100,2)</f>
        <v>76.84</v>
      </c>
      <c r="C950" s="27" t="s">
        <v>1412</v>
      </c>
      <c r="D950" s="25" t="s">
        <v>134</v>
      </c>
      <c r="E950" s="25" t="s">
        <v>3447</v>
      </c>
      <c r="F950" s="25" t="s">
        <v>3457</v>
      </c>
      <c r="G950" s="38" t="s">
        <v>30</v>
      </c>
      <c r="H950" s="33" t="s">
        <v>24</v>
      </c>
      <c r="I950" s="25" t="n">
        <v>3</v>
      </c>
      <c r="J950" s="25" t="n">
        <v>0</v>
      </c>
      <c r="K950" s="25" t="n">
        <v>3</v>
      </c>
      <c r="L950" s="29" t="n">
        <v>0.77</v>
      </c>
      <c r="M950" s="30" t="n">
        <v>11.64</v>
      </c>
      <c r="N950" s="29" t="n">
        <v>0.4</v>
      </c>
      <c r="O950" s="25" t="n">
        <v>187</v>
      </c>
      <c r="P950" s="30" t="n">
        <v>0.95</v>
      </c>
      <c r="Q950" s="27" t="s">
        <v>3540</v>
      </c>
      <c r="R950" s="27" t="s">
        <v>30</v>
      </c>
    </row>
    <row r="951" customFormat="false" ht="15" hidden="false" customHeight="false" outlineLevel="0" collapsed="false">
      <c r="A951" s="25" t="n">
        <f aca="false">IF(G951="REJECT",COUNTIF($G$2:$G$2277,"&lt;&gt;REJECT")+1+COUNTIFS($G$2:$G$2277,"REJECT",$B$2:$B$2277,"&gt;"&amp;B951),1+COUNTIFS($G$2:$G$2277,"&lt;&gt;REJECT",$B$2:$B$2277,"&gt;"&amp;B951))</f>
        <v>948</v>
      </c>
      <c r="B951" s="26" t="n">
        <f aca="false">ROUND(($U$2*MAX(0,MIN(1,($W$2-I951)/($W$2-$V$2)))+$U$3*MAX(0,MIN(1,($W$3-J951)/($W$3-$V$3)))+$U$4*MAX(0,MIN(1,($W$4-K951)/($W$4-$V$4)))+$U$5*MAX(0,MIN(1,($W$5-L951)/($W$5-$V$5)))+$U$6*MAX(0,MIN(1,($W$6-M951)/($W$6-$V$6)))+$U$7*MAX(0,MIN(1,($W$7-N951)/($W$7-$V$7)))+$U$8*IF(AND(O951&gt;=$V$8,O951&lt;=$W$8),1,0))/$U$9*100,2)</f>
        <v>76.84</v>
      </c>
      <c r="C951" s="27" t="s">
        <v>2049</v>
      </c>
      <c r="D951" s="25" t="s">
        <v>134</v>
      </c>
      <c r="E951" s="25" t="s">
        <v>3450</v>
      </c>
      <c r="F951" s="25" t="s">
        <v>3457</v>
      </c>
      <c r="G951" s="38" t="s">
        <v>30</v>
      </c>
      <c r="H951" s="28" t="s">
        <v>25</v>
      </c>
      <c r="I951" s="25" t="n">
        <v>1</v>
      </c>
      <c r="J951" s="25" t="n">
        <v>1</v>
      </c>
      <c r="K951" s="25" t="n">
        <v>1</v>
      </c>
      <c r="L951" s="29" t="n">
        <v>0.75</v>
      </c>
      <c r="M951" s="30" t="n">
        <v>20.65</v>
      </c>
      <c r="N951" s="29" t="n">
        <v>0.28</v>
      </c>
      <c r="O951" s="25" t="n">
        <v>184</v>
      </c>
      <c r="P951" s="30" t="n">
        <v>10.06</v>
      </c>
      <c r="Q951" s="27" t="s">
        <v>69</v>
      </c>
      <c r="R951" s="27" t="s">
        <v>183</v>
      </c>
    </row>
    <row r="952" customFormat="false" ht="15" hidden="false" customHeight="false" outlineLevel="0" collapsed="false">
      <c r="A952" s="25" t="n">
        <f aca="false">IF(G952="REJECT",COUNTIF($G$2:$G$2277,"&lt;&gt;REJECT")+1+COUNTIFS($G$2:$G$2277,"REJECT",$B$2:$B$2277,"&gt;"&amp;B952),1+COUNTIFS($G$2:$G$2277,"&lt;&gt;REJECT",$B$2:$B$2277,"&gt;"&amp;B952))</f>
        <v>948</v>
      </c>
      <c r="B952" s="26" t="n">
        <f aca="false">ROUND(($U$2*MAX(0,MIN(1,($W$2-I952)/($W$2-$V$2)))+$U$3*MAX(0,MIN(1,($W$3-J952)/($W$3-$V$3)))+$U$4*MAX(0,MIN(1,($W$4-K952)/($W$4-$V$4)))+$U$5*MAX(0,MIN(1,($W$5-L952)/($W$5-$V$5)))+$U$6*MAX(0,MIN(1,($W$6-M952)/($W$6-$V$6)))+$U$7*MAX(0,MIN(1,($W$7-N952)/($W$7-$V$7)))+$U$8*IF(AND(O952&gt;=$V$8,O952&lt;=$W$8),1,0))/$U$9*100,2)</f>
        <v>76.84</v>
      </c>
      <c r="C952" s="27" t="s">
        <v>2453</v>
      </c>
      <c r="D952" s="25" t="s">
        <v>3459</v>
      </c>
      <c r="E952" s="25" t="s">
        <v>3450</v>
      </c>
      <c r="F952" s="25" t="s">
        <v>3448</v>
      </c>
      <c r="G952" s="38" t="s">
        <v>30</v>
      </c>
      <c r="H952" s="28" t="s">
        <v>25</v>
      </c>
      <c r="I952" s="25" t="n">
        <v>1</v>
      </c>
      <c r="J952" s="25" t="n">
        <v>1</v>
      </c>
      <c r="K952" s="25" t="n">
        <v>1</v>
      </c>
      <c r="L952" s="29" t="n">
        <v>0.76</v>
      </c>
      <c r="M952" s="30" t="n">
        <v>23.85</v>
      </c>
      <c r="N952" s="29" t="n">
        <v>0.32</v>
      </c>
      <c r="O952" s="25" t="n">
        <v>182</v>
      </c>
      <c r="P952" s="30" t="n">
        <v>3.79</v>
      </c>
      <c r="Q952" s="27" t="s">
        <v>69</v>
      </c>
      <c r="R952" s="27" t="s">
        <v>157</v>
      </c>
    </row>
    <row r="953" customFormat="false" ht="15" hidden="false" customHeight="false" outlineLevel="0" collapsed="false">
      <c r="A953" s="25" t="n">
        <f aca="false">IF(G953="REJECT",COUNTIF($G$2:$G$2277,"&lt;&gt;REJECT")+1+COUNTIFS($G$2:$G$2277,"REJECT",$B$2:$B$2277,"&gt;"&amp;B953),1+COUNTIFS($G$2:$G$2277,"&lt;&gt;REJECT",$B$2:$B$2277,"&gt;"&amp;B953))</f>
        <v>952</v>
      </c>
      <c r="B953" s="26" t="n">
        <f aca="false">ROUND(($U$2*MAX(0,MIN(1,($W$2-I953)/($W$2-$V$2)))+$U$3*MAX(0,MIN(1,($W$3-J953)/($W$3-$V$3)))+$U$4*MAX(0,MIN(1,($W$4-K953)/($W$4-$V$4)))+$U$5*MAX(0,MIN(1,($W$5-L953)/($W$5-$V$5)))+$U$6*MAX(0,MIN(1,($W$6-M953)/($W$6-$V$6)))+$U$7*MAX(0,MIN(1,($W$7-N953)/($W$7-$V$7)))+$U$8*IF(AND(O953&gt;=$V$8,O953&lt;=$W$8),1,0))/$U$9*100,2)</f>
        <v>76.83</v>
      </c>
      <c r="C953" s="27" t="s">
        <v>2465</v>
      </c>
      <c r="D953" s="25" t="s">
        <v>134</v>
      </c>
      <c r="E953" s="25" t="s">
        <v>3447</v>
      </c>
      <c r="F953" s="25" t="s">
        <v>3457</v>
      </c>
      <c r="G953" s="38" t="s">
        <v>30</v>
      </c>
      <c r="H953" s="33" t="s">
        <v>24</v>
      </c>
      <c r="I953" s="25" t="n">
        <v>3</v>
      </c>
      <c r="J953" s="25" t="n">
        <v>0</v>
      </c>
      <c r="K953" s="25" t="n">
        <v>3</v>
      </c>
      <c r="L953" s="29" t="n">
        <v>0.77</v>
      </c>
      <c r="M953" s="30" t="n">
        <v>12.93</v>
      </c>
      <c r="N953" s="29" t="n">
        <v>0.28</v>
      </c>
      <c r="O953" s="25" t="n">
        <v>183</v>
      </c>
      <c r="P953" s="30" t="n">
        <v>5.42</v>
      </c>
      <c r="Q953" s="27" t="s">
        <v>3548</v>
      </c>
      <c r="R953" s="27" t="s">
        <v>30</v>
      </c>
    </row>
    <row r="954" customFormat="false" ht="15" hidden="false" customHeight="false" outlineLevel="0" collapsed="false">
      <c r="A954" s="25" t="n">
        <f aca="false">IF(G954="REJECT",COUNTIF($G$2:$G$2277,"&lt;&gt;REJECT")+1+COUNTIFS($G$2:$G$2277,"REJECT",$B$2:$B$2277,"&gt;"&amp;B954),1+COUNTIFS($G$2:$G$2277,"&lt;&gt;REJECT",$B$2:$B$2277,"&gt;"&amp;B954))</f>
        <v>953</v>
      </c>
      <c r="B954" s="26" t="n">
        <f aca="false">ROUND(($U$2*MAX(0,MIN(1,($W$2-I954)/($W$2-$V$2)))+$U$3*MAX(0,MIN(1,($W$3-J954)/($W$3-$V$3)))+$U$4*MAX(0,MIN(1,($W$4-K954)/($W$4-$V$4)))+$U$5*MAX(0,MIN(1,($W$5-L954)/($W$5-$V$5)))+$U$6*MAX(0,MIN(1,($W$6-M954)/($W$6-$V$6)))+$U$7*MAX(0,MIN(1,($W$7-N954)/($W$7-$V$7)))+$U$8*IF(AND(O954&gt;=$V$8,O954&lt;=$W$8),1,0))/$U$9*100,2)</f>
        <v>76.77</v>
      </c>
      <c r="C954" s="27" t="s">
        <v>867</v>
      </c>
      <c r="D954" s="25" t="s">
        <v>134</v>
      </c>
      <c r="E954" s="25" t="s">
        <v>3450</v>
      </c>
      <c r="F954" s="25" t="s">
        <v>3448</v>
      </c>
      <c r="G954" s="38" t="s">
        <v>30</v>
      </c>
      <c r="H954" s="28" t="s">
        <v>25</v>
      </c>
      <c r="I954" s="25" t="n">
        <v>1</v>
      </c>
      <c r="J954" s="25" t="n">
        <v>1</v>
      </c>
      <c r="K954" s="25" t="n">
        <v>1</v>
      </c>
      <c r="L954" s="29" t="n">
        <v>0.71</v>
      </c>
      <c r="M954" s="30" t="n">
        <v>8.26</v>
      </c>
      <c r="N954" s="29" t="n">
        <v>0.12</v>
      </c>
      <c r="O954" s="25" t="n">
        <v>184</v>
      </c>
      <c r="P954" s="30" t="n">
        <v>-0.3</v>
      </c>
      <c r="Q954" s="27" t="s">
        <v>69</v>
      </c>
      <c r="R954" s="27" t="s">
        <v>357</v>
      </c>
    </row>
    <row r="955" customFormat="false" ht="15" hidden="false" customHeight="false" outlineLevel="0" collapsed="false">
      <c r="A955" s="25" t="n">
        <f aca="false">IF(G955="REJECT",COUNTIF($G$2:$G$2277,"&lt;&gt;REJECT")+1+COUNTIFS($G$2:$G$2277,"REJECT",$B$2:$B$2277,"&gt;"&amp;B955),1+COUNTIFS($G$2:$G$2277,"&lt;&gt;REJECT",$B$2:$B$2277,"&gt;"&amp;B955))</f>
        <v>954</v>
      </c>
      <c r="B955" s="26" t="n">
        <f aca="false">ROUND(($U$2*MAX(0,MIN(1,($W$2-I955)/($W$2-$V$2)))+$U$3*MAX(0,MIN(1,($W$3-J955)/($W$3-$V$3)))+$U$4*MAX(0,MIN(1,($W$4-K955)/($W$4-$V$4)))+$U$5*MAX(0,MIN(1,($W$5-L955)/($W$5-$V$5)))+$U$6*MAX(0,MIN(1,($W$6-M955)/($W$6-$V$6)))+$U$7*MAX(0,MIN(1,($W$7-N955)/($W$7-$V$7)))+$U$8*IF(AND(O955&gt;=$V$8,O955&lt;=$W$8),1,0))/$U$9*100,2)</f>
        <v>76.75</v>
      </c>
      <c r="C955" s="27" t="s">
        <v>131</v>
      </c>
      <c r="D955" s="25" t="s">
        <v>134</v>
      </c>
      <c r="E955" s="25" t="s">
        <v>3447</v>
      </c>
      <c r="F955" s="25" t="s">
        <v>3457</v>
      </c>
      <c r="G955" s="38" t="s">
        <v>30</v>
      </c>
      <c r="H955" s="33" t="s">
        <v>24</v>
      </c>
      <c r="I955" s="25" t="n">
        <v>3</v>
      </c>
      <c r="J955" s="25" t="n">
        <v>0</v>
      </c>
      <c r="K955" s="25" t="n">
        <v>3</v>
      </c>
      <c r="L955" s="29" t="n">
        <v>0.87</v>
      </c>
      <c r="M955" s="30" t="n">
        <v>19.01</v>
      </c>
      <c r="N955" s="29" t="n">
        <v>0.8</v>
      </c>
      <c r="O955" s="25" t="n">
        <v>185</v>
      </c>
      <c r="P955" s="30" t="n">
        <v>-1.22</v>
      </c>
      <c r="Q955" s="27" t="s">
        <v>3538</v>
      </c>
      <c r="R955" s="27" t="s">
        <v>30</v>
      </c>
    </row>
    <row r="956" customFormat="false" ht="15" hidden="false" customHeight="false" outlineLevel="0" collapsed="false">
      <c r="A956" s="25" t="n">
        <f aca="false">IF(G956="REJECT",COUNTIF($G$2:$G$2277,"&lt;&gt;REJECT")+1+COUNTIFS($G$2:$G$2277,"REJECT",$B$2:$B$2277,"&gt;"&amp;B956),1+COUNTIFS($G$2:$G$2277,"&lt;&gt;REJECT",$B$2:$B$2277,"&gt;"&amp;B956))</f>
        <v>954</v>
      </c>
      <c r="B956" s="26" t="n">
        <f aca="false">ROUND(($U$2*MAX(0,MIN(1,($W$2-I956)/($W$2-$V$2)))+$U$3*MAX(0,MIN(1,($W$3-J956)/($W$3-$V$3)))+$U$4*MAX(0,MIN(1,($W$4-K956)/($W$4-$V$4)))+$U$5*MAX(0,MIN(1,($W$5-L956)/($W$5-$V$5)))+$U$6*MAX(0,MIN(1,($W$6-M956)/($W$6-$V$6)))+$U$7*MAX(0,MIN(1,($W$7-N956)/($W$7-$V$7)))+$U$8*IF(AND(O956&gt;=$V$8,O956&lt;=$W$8),1,0))/$U$9*100,2)</f>
        <v>76.75</v>
      </c>
      <c r="C956" s="27" t="s">
        <v>1806</v>
      </c>
      <c r="D956" s="25" t="s">
        <v>134</v>
      </c>
      <c r="E956" s="25" t="s">
        <v>3447</v>
      </c>
      <c r="F956" s="25" t="s">
        <v>3448</v>
      </c>
      <c r="G956" s="38" t="s">
        <v>30</v>
      </c>
      <c r="H956" s="28" t="s">
        <v>25</v>
      </c>
      <c r="I956" s="25" t="n">
        <v>1</v>
      </c>
      <c r="J956" s="25" t="n">
        <v>1</v>
      </c>
      <c r="K956" s="25" t="n">
        <v>1</v>
      </c>
      <c r="L956" s="29" t="n">
        <v>0.75</v>
      </c>
      <c r="M956" s="30" t="n">
        <v>19.62</v>
      </c>
      <c r="N956" s="29" t="n">
        <v>0.44</v>
      </c>
      <c r="O956" s="25" t="n">
        <v>183</v>
      </c>
      <c r="P956" s="30" t="n">
        <v>4.62</v>
      </c>
      <c r="Q956" s="27" t="s">
        <v>69</v>
      </c>
      <c r="R956" s="27" t="s">
        <v>283</v>
      </c>
    </row>
    <row r="957" customFormat="false" ht="15" hidden="false" customHeight="false" outlineLevel="0" collapsed="false">
      <c r="A957" s="25" t="n">
        <f aca="false">IF(G957="REJECT",COUNTIF($G$2:$G$2277,"&lt;&gt;REJECT")+1+COUNTIFS($G$2:$G$2277,"REJECT",$B$2:$B$2277,"&gt;"&amp;B957),1+COUNTIFS($G$2:$G$2277,"&lt;&gt;REJECT",$B$2:$B$2277,"&gt;"&amp;B957))</f>
        <v>956</v>
      </c>
      <c r="B957" s="26" t="n">
        <f aca="false">ROUND(($U$2*MAX(0,MIN(1,($W$2-I957)/($W$2-$V$2)))+$U$3*MAX(0,MIN(1,($W$3-J957)/($W$3-$V$3)))+$U$4*MAX(0,MIN(1,($W$4-K957)/($W$4-$V$4)))+$U$5*MAX(0,MIN(1,($W$5-L957)/($W$5-$V$5)))+$U$6*MAX(0,MIN(1,($W$6-M957)/($W$6-$V$6)))+$U$7*MAX(0,MIN(1,($W$7-N957)/($W$7-$V$7)))+$U$8*IF(AND(O957&gt;=$V$8,O957&lt;=$W$8),1,0))/$U$9*100,2)</f>
        <v>76.73</v>
      </c>
      <c r="C957" s="27" t="s">
        <v>2204</v>
      </c>
      <c r="D957" s="25" t="s">
        <v>134</v>
      </c>
      <c r="E957" s="25" t="s">
        <v>3447</v>
      </c>
      <c r="F957" s="25" t="s">
        <v>3457</v>
      </c>
      <c r="G957" s="38" t="s">
        <v>30</v>
      </c>
      <c r="H957" s="28" t="s">
        <v>25</v>
      </c>
      <c r="I957" s="25" t="n">
        <v>3</v>
      </c>
      <c r="J957" s="25" t="n">
        <v>0</v>
      </c>
      <c r="K957" s="25" t="n">
        <v>3</v>
      </c>
      <c r="L957" s="29" t="n">
        <v>0.87</v>
      </c>
      <c r="M957" s="30" t="n">
        <v>20.31</v>
      </c>
      <c r="N957" s="29" t="n">
        <v>0.68</v>
      </c>
      <c r="O957" s="25" t="n">
        <v>191</v>
      </c>
      <c r="P957" s="30" t="n">
        <v>-0.79</v>
      </c>
      <c r="Q957" s="27" t="s">
        <v>3563</v>
      </c>
      <c r="R957" s="27" t="s">
        <v>992</v>
      </c>
    </row>
    <row r="958" customFormat="false" ht="15" hidden="false" customHeight="false" outlineLevel="0" collapsed="false">
      <c r="A958" s="25" t="n">
        <f aca="false">IF(G958="REJECT",COUNTIF($G$2:$G$2277,"&lt;&gt;REJECT")+1+COUNTIFS($G$2:$G$2277,"REJECT",$B$2:$B$2277,"&gt;"&amp;B958),1+COUNTIFS($G$2:$G$2277,"&lt;&gt;REJECT",$B$2:$B$2277,"&gt;"&amp;B958))</f>
        <v>957</v>
      </c>
      <c r="B958" s="26" t="n">
        <f aca="false">ROUND(($U$2*MAX(0,MIN(1,($W$2-I958)/($W$2-$V$2)))+$U$3*MAX(0,MIN(1,($W$3-J958)/($W$3-$V$3)))+$U$4*MAX(0,MIN(1,($W$4-K958)/($W$4-$V$4)))+$U$5*MAX(0,MIN(1,($W$5-L958)/($W$5-$V$5)))+$U$6*MAX(0,MIN(1,($W$6-M958)/($W$6-$V$6)))+$U$7*MAX(0,MIN(1,($W$7-N958)/($W$7-$V$7)))+$U$8*IF(AND(O958&gt;=$V$8,O958&lt;=$W$8),1,0))/$U$9*100,2)</f>
        <v>76.7</v>
      </c>
      <c r="C958" s="27" t="s">
        <v>455</v>
      </c>
      <c r="D958" s="25" t="s">
        <v>134</v>
      </c>
      <c r="E958" s="25" t="s">
        <v>3447</v>
      </c>
      <c r="F958" s="25" t="s">
        <v>3457</v>
      </c>
      <c r="G958" s="38" t="s">
        <v>30</v>
      </c>
      <c r="H958" s="28" t="s">
        <v>25</v>
      </c>
      <c r="I958" s="25" t="n">
        <v>1</v>
      </c>
      <c r="J958" s="25" t="n">
        <v>1</v>
      </c>
      <c r="K958" s="25" t="n">
        <v>1</v>
      </c>
      <c r="L958" s="29" t="n">
        <v>0.75</v>
      </c>
      <c r="M958" s="30" t="n">
        <v>17.92</v>
      </c>
      <c r="N958" s="29" t="n">
        <v>0.64</v>
      </c>
      <c r="O958" s="25" t="n">
        <v>191</v>
      </c>
      <c r="P958" s="30" t="n">
        <v>1.97</v>
      </c>
      <c r="Q958" s="27" t="s">
        <v>69</v>
      </c>
      <c r="R958" s="27" t="s">
        <v>283</v>
      </c>
    </row>
    <row r="959" customFormat="false" ht="15" hidden="false" customHeight="false" outlineLevel="0" collapsed="false">
      <c r="A959" s="25" t="n">
        <f aca="false">IF(G959="REJECT",COUNTIF($G$2:$G$2277,"&lt;&gt;REJECT")+1+COUNTIFS($G$2:$G$2277,"REJECT",$B$2:$B$2277,"&gt;"&amp;B959),1+COUNTIFS($G$2:$G$2277,"&lt;&gt;REJECT",$B$2:$B$2277,"&gt;"&amp;B959))</f>
        <v>957</v>
      </c>
      <c r="B959" s="26" t="n">
        <f aca="false">ROUND(($U$2*MAX(0,MIN(1,($W$2-I959)/($W$2-$V$2)))+$U$3*MAX(0,MIN(1,($W$3-J959)/($W$3-$V$3)))+$U$4*MAX(0,MIN(1,($W$4-K959)/($W$4-$V$4)))+$U$5*MAX(0,MIN(1,($W$5-L959)/($W$5-$V$5)))+$U$6*MAX(0,MIN(1,($W$6-M959)/($W$6-$V$6)))+$U$7*MAX(0,MIN(1,($W$7-N959)/($W$7-$V$7)))+$U$8*IF(AND(O959&gt;=$V$8,O959&lt;=$W$8),1,0))/$U$9*100,2)</f>
        <v>76.7</v>
      </c>
      <c r="C959" s="27" t="s">
        <v>1819</v>
      </c>
      <c r="D959" s="25" t="s">
        <v>134</v>
      </c>
      <c r="E959" s="25" t="s">
        <v>3447</v>
      </c>
      <c r="F959" s="25" t="s">
        <v>3448</v>
      </c>
      <c r="G959" s="38" t="s">
        <v>30</v>
      </c>
      <c r="H959" s="28" t="s">
        <v>25</v>
      </c>
      <c r="I959" s="25" t="n">
        <v>1</v>
      </c>
      <c r="J959" s="25" t="n">
        <v>1</v>
      </c>
      <c r="K959" s="25" t="n">
        <v>1</v>
      </c>
      <c r="L959" s="29" t="n">
        <v>0.72</v>
      </c>
      <c r="M959" s="30" t="n">
        <v>11.48</v>
      </c>
      <c r="N959" s="29" t="n">
        <v>0.2</v>
      </c>
      <c r="O959" s="25" t="n">
        <v>186</v>
      </c>
      <c r="P959" s="30" t="n">
        <v>0.38</v>
      </c>
      <c r="Q959" s="27" t="s">
        <v>69</v>
      </c>
      <c r="R959" s="27" t="s">
        <v>1099</v>
      </c>
    </row>
    <row r="960" customFormat="false" ht="15" hidden="false" customHeight="false" outlineLevel="0" collapsed="false">
      <c r="A960" s="25" t="n">
        <f aca="false">IF(G960="REJECT",COUNTIF($G$2:$G$2277,"&lt;&gt;REJECT")+1+COUNTIFS($G$2:$G$2277,"REJECT",$B$2:$B$2277,"&gt;"&amp;B960),1+COUNTIFS($G$2:$G$2277,"&lt;&gt;REJECT",$B$2:$B$2277,"&gt;"&amp;B960))</f>
        <v>959</v>
      </c>
      <c r="B960" s="26" t="n">
        <f aca="false">ROUND(($U$2*MAX(0,MIN(1,($W$2-I960)/($W$2-$V$2)))+$U$3*MAX(0,MIN(1,($W$3-J960)/($W$3-$V$3)))+$U$4*MAX(0,MIN(1,($W$4-K960)/($W$4-$V$4)))+$U$5*MAX(0,MIN(1,($W$5-L960)/($W$5-$V$5)))+$U$6*MAX(0,MIN(1,($W$6-M960)/($W$6-$V$6)))+$U$7*MAX(0,MIN(1,($W$7-N960)/($W$7-$V$7)))+$U$8*IF(AND(O960&gt;=$V$8,O960&lt;=$W$8),1,0))/$U$9*100,2)</f>
        <v>76.69</v>
      </c>
      <c r="C960" s="27" t="s">
        <v>1043</v>
      </c>
      <c r="D960" s="25" t="s">
        <v>134</v>
      </c>
      <c r="E960" s="25" t="s">
        <v>3450</v>
      </c>
      <c r="F960" s="25" t="s">
        <v>3448</v>
      </c>
      <c r="G960" s="38" t="s">
        <v>30</v>
      </c>
      <c r="H960" s="28" t="s">
        <v>25</v>
      </c>
      <c r="I960" s="25" t="n">
        <v>1</v>
      </c>
      <c r="J960" s="25" t="n">
        <v>1</v>
      </c>
      <c r="K960" s="25" t="n">
        <v>1</v>
      </c>
      <c r="L960" s="29" t="n">
        <v>0.75</v>
      </c>
      <c r="M960" s="30" t="n">
        <v>14.77</v>
      </c>
      <c r="N960" s="29" t="n">
        <v>0.96</v>
      </c>
      <c r="O960" s="25" t="n">
        <v>183</v>
      </c>
      <c r="P960" s="30" t="n">
        <v>3.02</v>
      </c>
      <c r="Q960" s="27" t="s">
        <v>69</v>
      </c>
      <c r="R960" s="27" t="s">
        <v>283</v>
      </c>
    </row>
    <row r="961" customFormat="false" ht="15" hidden="false" customHeight="false" outlineLevel="0" collapsed="false">
      <c r="A961" s="25" t="n">
        <f aca="false">IF(G961="REJECT",COUNTIF($G$2:$G$2277,"&lt;&gt;REJECT")+1+COUNTIFS($G$2:$G$2277,"REJECT",$B$2:$B$2277,"&gt;"&amp;B961),1+COUNTIFS($G$2:$G$2277,"&lt;&gt;REJECT",$B$2:$B$2277,"&gt;"&amp;B961))</f>
        <v>960</v>
      </c>
      <c r="B961" s="26" t="n">
        <f aca="false">ROUND(($U$2*MAX(0,MIN(1,($W$2-I961)/($W$2-$V$2)))+$U$3*MAX(0,MIN(1,($W$3-J961)/($W$3-$V$3)))+$U$4*MAX(0,MIN(1,($W$4-K961)/($W$4-$V$4)))+$U$5*MAX(0,MIN(1,($W$5-L961)/($W$5-$V$5)))+$U$6*MAX(0,MIN(1,($W$6-M961)/($W$6-$V$6)))+$U$7*MAX(0,MIN(1,($W$7-N961)/($W$7-$V$7)))+$U$8*IF(AND(O961&gt;=$V$8,O961&lt;=$W$8),1,0))/$U$9*100,2)</f>
        <v>76.68</v>
      </c>
      <c r="C961" s="27" t="s">
        <v>1819</v>
      </c>
      <c r="D961" s="25" t="s">
        <v>134</v>
      </c>
      <c r="E961" s="25" t="s">
        <v>3450</v>
      </c>
      <c r="F961" s="25" t="s">
        <v>3457</v>
      </c>
      <c r="G961" s="38" t="s">
        <v>30</v>
      </c>
      <c r="H961" s="28" t="s">
        <v>25</v>
      </c>
      <c r="I961" s="25" t="n">
        <v>1</v>
      </c>
      <c r="J961" s="25" t="n">
        <v>1</v>
      </c>
      <c r="K961" s="25" t="n">
        <v>1</v>
      </c>
      <c r="L961" s="29" t="n">
        <v>0.72</v>
      </c>
      <c r="M961" s="30" t="n">
        <v>13.62</v>
      </c>
      <c r="N961" s="29" t="n">
        <v>0</v>
      </c>
      <c r="O961" s="25" t="n">
        <v>185</v>
      </c>
      <c r="P961" s="30" t="n">
        <v>1.55</v>
      </c>
      <c r="Q961" s="27" t="s">
        <v>69</v>
      </c>
      <c r="R961" s="27" t="s">
        <v>197</v>
      </c>
    </row>
    <row r="962" customFormat="false" ht="15" hidden="false" customHeight="false" outlineLevel="0" collapsed="false">
      <c r="A962" s="25" t="n">
        <f aca="false">IF(G962="REJECT",COUNTIF($G$2:$G$2277,"&lt;&gt;REJECT")+1+COUNTIFS($G$2:$G$2277,"REJECT",$B$2:$B$2277,"&gt;"&amp;B962),1+COUNTIFS($G$2:$G$2277,"&lt;&gt;REJECT",$B$2:$B$2277,"&gt;"&amp;B962))</f>
        <v>961</v>
      </c>
      <c r="B962" s="26" t="n">
        <f aca="false">ROUND(($U$2*MAX(0,MIN(1,($W$2-I962)/($W$2-$V$2)))+$U$3*MAX(0,MIN(1,($W$3-J962)/($W$3-$V$3)))+$U$4*MAX(0,MIN(1,($W$4-K962)/($W$4-$V$4)))+$U$5*MAX(0,MIN(1,($W$5-L962)/($W$5-$V$5)))+$U$6*MAX(0,MIN(1,($W$6-M962)/($W$6-$V$6)))+$U$7*MAX(0,MIN(1,($W$7-N962)/($W$7-$V$7)))+$U$8*IF(AND(O962&gt;=$V$8,O962&lt;=$W$8),1,0))/$U$9*100,2)</f>
        <v>76.63</v>
      </c>
      <c r="C962" s="27" t="s">
        <v>1259</v>
      </c>
      <c r="D962" s="25" t="s">
        <v>134</v>
      </c>
      <c r="E962" s="25" t="s">
        <v>3450</v>
      </c>
      <c r="F962" s="25" t="s">
        <v>3448</v>
      </c>
      <c r="G962" s="38" t="s">
        <v>30</v>
      </c>
      <c r="H962" s="28" t="s">
        <v>25</v>
      </c>
      <c r="I962" s="25" t="n">
        <v>1</v>
      </c>
      <c r="J962" s="25" t="n">
        <v>1</v>
      </c>
      <c r="K962" s="25" t="n">
        <v>1</v>
      </c>
      <c r="L962" s="29" t="n">
        <v>0.74</v>
      </c>
      <c r="M962" s="30" t="n">
        <v>21.15</v>
      </c>
      <c r="N962" s="29" t="n">
        <v>0</v>
      </c>
      <c r="O962" s="25" t="n">
        <v>184</v>
      </c>
      <c r="P962" s="30" t="n">
        <v>3.89</v>
      </c>
      <c r="Q962" s="27" t="s">
        <v>69</v>
      </c>
      <c r="R962" s="27" t="s">
        <v>163</v>
      </c>
    </row>
    <row r="963" customFormat="false" ht="15" hidden="false" customHeight="false" outlineLevel="0" collapsed="false">
      <c r="A963" s="25" t="n">
        <f aca="false">IF(G963="REJECT",COUNTIF($G$2:$G$2277,"&lt;&gt;REJECT")+1+COUNTIFS($G$2:$G$2277,"REJECT",$B$2:$B$2277,"&gt;"&amp;B963),1+COUNTIFS($G$2:$G$2277,"&lt;&gt;REJECT",$B$2:$B$2277,"&gt;"&amp;B963))</f>
        <v>962</v>
      </c>
      <c r="B963" s="26" t="n">
        <f aca="false">ROUND(($U$2*MAX(0,MIN(1,($W$2-I963)/($W$2-$V$2)))+$U$3*MAX(0,MIN(1,($W$3-J963)/($W$3-$V$3)))+$U$4*MAX(0,MIN(1,($W$4-K963)/($W$4-$V$4)))+$U$5*MAX(0,MIN(1,($W$5-L963)/($W$5-$V$5)))+$U$6*MAX(0,MIN(1,($W$6-M963)/($W$6-$V$6)))+$U$7*MAX(0,MIN(1,($W$7-N963)/($W$7-$V$7)))+$U$8*IF(AND(O963&gt;=$V$8,O963&lt;=$W$8),1,0))/$U$9*100,2)</f>
        <v>76.62</v>
      </c>
      <c r="C963" s="27" t="s">
        <v>1819</v>
      </c>
      <c r="D963" s="25" t="s">
        <v>134</v>
      </c>
      <c r="E963" s="25" t="s">
        <v>3450</v>
      </c>
      <c r="F963" s="25" t="s">
        <v>3448</v>
      </c>
      <c r="G963" s="38" t="s">
        <v>30</v>
      </c>
      <c r="H963" s="28" t="s">
        <v>25</v>
      </c>
      <c r="I963" s="25" t="n">
        <v>1</v>
      </c>
      <c r="J963" s="25" t="n">
        <v>1</v>
      </c>
      <c r="K963" s="25" t="n">
        <v>1</v>
      </c>
      <c r="L963" s="29" t="n">
        <v>0.73</v>
      </c>
      <c r="M963" s="30" t="n">
        <v>9.96</v>
      </c>
      <c r="N963" s="29" t="n">
        <v>0.76</v>
      </c>
      <c r="O963" s="25" t="n">
        <v>189</v>
      </c>
      <c r="P963" s="30" t="n">
        <v>1.46</v>
      </c>
      <c r="Q963" s="27" t="s">
        <v>69</v>
      </c>
      <c r="R963" s="27" t="s">
        <v>357</v>
      </c>
    </row>
    <row r="964" customFormat="false" ht="15" hidden="false" customHeight="false" outlineLevel="0" collapsed="false">
      <c r="A964" s="25" t="n">
        <f aca="false">IF(G964="REJECT",COUNTIF($G$2:$G$2277,"&lt;&gt;REJECT")+1+COUNTIFS($G$2:$G$2277,"REJECT",$B$2:$B$2277,"&gt;"&amp;B964),1+COUNTIFS($G$2:$G$2277,"&lt;&gt;REJECT",$B$2:$B$2277,"&gt;"&amp;B964))</f>
        <v>963</v>
      </c>
      <c r="B964" s="26" t="n">
        <f aca="false">ROUND(($U$2*MAX(0,MIN(1,($W$2-I964)/($W$2-$V$2)))+$U$3*MAX(0,MIN(1,($W$3-J964)/($W$3-$V$3)))+$U$4*MAX(0,MIN(1,($W$4-K964)/($W$4-$V$4)))+$U$5*MAX(0,MIN(1,($W$5-L964)/($W$5-$V$5)))+$U$6*MAX(0,MIN(1,($W$6-M964)/($W$6-$V$6)))+$U$7*MAX(0,MIN(1,($W$7-N964)/($W$7-$V$7)))+$U$8*IF(AND(O964&gt;=$V$8,O964&lt;=$W$8),1,0))/$U$9*100,2)</f>
        <v>76.59</v>
      </c>
      <c r="C964" s="27" t="s">
        <v>2423</v>
      </c>
      <c r="D964" s="25" t="s">
        <v>134</v>
      </c>
      <c r="E964" s="25" t="s">
        <v>3447</v>
      </c>
      <c r="F964" s="25" t="s">
        <v>3448</v>
      </c>
      <c r="G964" s="38" t="s">
        <v>30</v>
      </c>
      <c r="H964" s="28" t="s">
        <v>25</v>
      </c>
      <c r="I964" s="25" t="n">
        <v>2</v>
      </c>
      <c r="J964" s="25" t="n">
        <v>1</v>
      </c>
      <c r="K964" s="25" t="n">
        <v>2</v>
      </c>
      <c r="L964" s="29" t="n">
        <v>0.81</v>
      </c>
      <c r="M964" s="30" t="n">
        <v>3.86</v>
      </c>
      <c r="N964" s="29" t="n">
        <v>0.16</v>
      </c>
      <c r="O964" s="25" t="n">
        <v>187</v>
      </c>
      <c r="P964" s="30" t="n">
        <v>12.69</v>
      </c>
      <c r="Q964" s="27" t="s">
        <v>3566</v>
      </c>
      <c r="R964" s="27" t="s">
        <v>283</v>
      </c>
    </row>
    <row r="965" customFormat="false" ht="15" hidden="false" customHeight="false" outlineLevel="0" collapsed="false">
      <c r="A965" s="25" t="n">
        <f aca="false">IF(G965="REJECT",COUNTIF($G$2:$G$2277,"&lt;&gt;REJECT")+1+COUNTIFS($G$2:$G$2277,"REJECT",$B$2:$B$2277,"&gt;"&amp;B965),1+COUNTIFS($G$2:$G$2277,"&lt;&gt;REJECT",$B$2:$B$2277,"&gt;"&amp;B965))</f>
        <v>964</v>
      </c>
      <c r="B965" s="26" t="n">
        <f aca="false">ROUND(($U$2*MAX(0,MIN(1,($W$2-I965)/($W$2-$V$2)))+$U$3*MAX(0,MIN(1,($W$3-J965)/($W$3-$V$3)))+$U$4*MAX(0,MIN(1,($W$4-K965)/($W$4-$V$4)))+$U$5*MAX(0,MIN(1,($W$5-L965)/($W$5-$V$5)))+$U$6*MAX(0,MIN(1,($W$6-M965)/($W$6-$V$6)))+$U$7*MAX(0,MIN(1,($W$7-N965)/($W$7-$V$7)))+$U$8*IF(AND(O965&gt;=$V$8,O965&lt;=$W$8),1,0))/$U$9*100,2)</f>
        <v>76.57</v>
      </c>
      <c r="C965" s="27" t="s">
        <v>1651</v>
      </c>
      <c r="D965" s="25" t="s">
        <v>134</v>
      </c>
      <c r="E965" s="25" t="s">
        <v>3447</v>
      </c>
      <c r="F965" s="25" t="s">
        <v>3448</v>
      </c>
      <c r="G965" s="38" t="s">
        <v>30</v>
      </c>
      <c r="H965" s="28" t="s">
        <v>25</v>
      </c>
      <c r="I965" s="25" t="n">
        <v>3</v>
      </c>
      <c r="J965" s="25" t="n">
        <v>0</v>
      </c>
      <c r="K965" s="25" t="n">
        <v>3</v>
      </c>
      <c r="L965" s="29" t="n">
        <v>0.77</v>
      </c>
      <c r="M965" s="30" t="n">
        <v>12.09</v>
      </c>
      <c r="N965" s="29" t="n">
        <v>0.52</v>
      </c>
      <c r="O965" s="25" t="n">
        <v>183</v>
      </c>
      <c r="P965" s="30" t="n">
        <v>9.36</v>
      </c>
      <c r="Q965" s="27" t="s">
        <v>3567</v>
      </c>
      <c r="R965" s="27" t="s">
        <v>2610</v>
      </c>
    </row>
    <row r="966" customFormat="false" ht="15" hidden="false" customHeight="false" outlineLevel="0" collapsed="false">
      <c r="A966" s="25" t="n">
        <f aca="false">IF(G966="REJECT",COUNTIF($G$2:$G$2277,"&lt;&gt;REJECT")+1+COUNTIFS($G$2:$G$2277,"REJECT",$B$2:$B$2277,"&gt;"&amp;B966),1+COUNTIFS($G$2:$G$2277,"&lt;&gt;REJECT",$B$2:$B$2277,"&gt;"&amp;B966))</f>
        <v>965</v>
      </c>
      <c r="B966" s="26" t="n">
        <f aca="false">ROUND(($U$2*MAX(0,MIN(1,($W$2-I966)/($W$2-$V$2)))+$U$3*MAX(0,MIN(1,($W$3-J966)/($W$3-$V$3)))+$U$4*MAX(0,MIN(1,($W$4-K966)/($W$4-$V$4)))+$U$5*MAX(0,MIN(1,($W$5-L966)/($W$5-$V$5)))+$U$6*MAX(0,MIN(1,($W$6-M966)/($W$6-$V$6)))+$U$7*MAX(0,MIN(1,($W$7-N966)/($W$7-$V$7)))+$U$8*IF(AND(O966&gt;=$V$8,O966&lt;=$W$8),1,0))/$U$9*100,2)</f>
        <v>76.56</v>
      </c>
      <c r="C966" s="27" t="s">
        <v>1594</v>
      </c>
      <c r="D966" s="25" t="s">
        <v>3459</v>
      </c>
      <c r="E966" s="25" t="s">
        <v>3447</v>
      </c>
      <c r="F966" s="25" t="s">
        <v>3457</v>
      </c>
      <c r="G966" s="38" t="s">
        <v>30</v>
      </c>
      <c r="H966" s="28" t="s">
        <v>25</v>
      </c>
      <c r="I966" s="25" t="n">
        <v>1</v>
      </c>
      <c r="J966" s="25" t="n">
        <v>1</v>
      </c>
      <c r="K966" s="25" t="n">
        <v>1</v>
      </c>
      <c r="L966" s="29" t="n">
        <v>0.75</v>
      </c>
      <c r="M966" s="30" t="n">
        <v>16.32</v>
      </c>
      <c r="N966" s="29" t="n">
        <v>0.88</v>
      </c>
      <c r="O966" s="25" t="n">
        <v>184</v>
      </c>
      <c r="P966" s="30" t="n">
        <v>-1.04</v>
      </c>
      <c r="Q966" s="27" t="s">
        <v>69</v>
      </c>
      <c r="R966" s="27" t="s">
        <v>1152</v>
      </c>
    </row>
    <row r="967" customFormat="false" ht="15" hidden="false" customHeight="false" outlineLevel="0" collapsed="false">
      <c r="A967" s="25" t="n">
        <f aca="false">IF(G967="REJECT",COUNTIF($G$2:$G$2277,"&lt;&gt;REJECT")+1+COUNTIFS($G$2:$G$2277,"REJECT",$B$2:$B$2277,"&gt;"&amp;B967),1+COUNTIFS($G$2:$G$2277,"&lt;&gt;REJECT",$B$2:$B$2277,"&gt;"&amp;B967))</f>
        <v>966</v>
      </c>
      <c r="B967" s="26" t="n">
        <f aca="false">ROUND(($U$2*MAX(0,MIN(1,($W$2-I967)/($W$2-$V$2)))+$U$3*MAX(0,MIN(1,($W$3-J967)/($W$3-$V$3)))+$U$4*MAX(0,MIN(1,($W$4-K967)/($W$4-$V$4)))+$U$5*MAX(0,MIN(1,($W$5-L967)/($W$5-$V$5)))+$U$6*MAX(0,MIN(1,($W$6-M967)/($W$6-$V$6)))+$U$7*MAX(0,MIN(1,($W$7-N967)/($W$7-$V$7)))+$U$8*IF(AND(O967&gt;=$V$8,O967&lt;=$W$8),1,0))/$U$9*100,2)</f>
        <v>76.54</v>
      </c>
      <c r="C967" s="27" t="s">
        <v>388</v>
      </c>
      <c r="D967" s="25" t="s">
        <v>134</v>
      </c>
      <c r="E967" s="25" t="s">
        <v>3447</v>
      </c>
      <c r="F967" s="25" t="s">
        <v>3448</v>
      </c>
      <c r="G967" s="38" t="s">
        <v>30</v>
      </c>
      <c r="H967" s="33" t="s">
        <v>24</v>
      </c>
      <c r="I967" s="25" t="n">
        <v>3</v>
      </c>
      <c r="J967" s="25" t="n">
        <v>0</v>
      </c>
      <c r="K967" s="25" t="n">
        <v>3</v>
      </c>
      <c r="L967" s="29" t="n">
        <v>0.77</v>
      </c>
      <c r="M967" s="30" t="n">
        <v>15.07</v>
      </c>
      <c r="N967" s="29" t="n">
        <v>0.24</v>
      </c>
      <c r="O967" s="25" t="n">
        <v>182</v>
      </c>
      <c r="P967" s="30" t="n">
        <v>-1.46</v>
      </c>
      <c r="Q967" s="27" t="s">
        <v>3561</v>
      </c>
      <c r="R967" s="27" t="s">
        <v>30</v>
      </c>
    </row>
    <row r="968" customFormat="false" ht="15" hidden="false" customHeight="false" outlineLevel="0" collapsed="false">
      <c r="A968" s="25" t="n">
        <f aca="false">IF(G968="REJECT",COUNTIF($G$2:$G$2277,"&lt;&gt;REJECT")+1+COUNTIFS($G$2:$G$2277,"REJECT",$B$2:$B$2277,"&gt;"&amp;B968),1+COUNTIFS($G$2:$G$2277,"&lt;&gt;REJECT",$B$2:$B$2277,"&gt;"&amp;B968))</f>
        <v>967</v>
      </c>
      <c r="B968" s="26" t="n">
        <f aca="false">ROUND(($U$2*MAX(0,MIN(1,($W$2-I968)/($W$2-$V$2)))+$U$3*MAX(0,MIN(1,($W$3-J968)/($W$3-$V$3)))+$U$4*MAX(0,MIN(1,($W$4-K968)/($W$4-$V$4)))+$U$5*MAX(0,MIN(1,($W$5-L968)/($W$5-$V$5)))+$U$6*MAX(0,MIN(1,($W$6-M968)/($W$6-$V$6)))+$U$7*MAX(0,MIN(1,($W$7-N968)/($W$7-$V$7)))+$U$8*IF(AND(O968&gt;=$V$8,O968&lt;=$W$8),1,0))/$U$9*100,2)</f>
        <v>76.5</v>
      </c>
      <c r="C968" s="27" t="s">
        <v>2534</v>
      </c>
      <c r="D968" s="25" t="s">
        <v>134</v>
      </c>
      <c r="E968" s="25" t="s">
        <v>3450</v>
      </c>
      <c r="F968" s="25" t="s">
        <v>3448</v>
      </c>
      <c r="G968" s="38" t="s">
        <v>30</v>
      </c>
      <c r="H968" s="28" t="s">
        <v>25</v>
      </c>
      <c r="I968" s="25" t="n">
        <v>1</v>
      </c>
      <c r="J968" s="25" t="n">
        <v>1</v>
      </c>
      <c r="K968" s="25" t="n">
        <v>1</v>
      </c>
      <c r="L968" s="29" t="n">
        <v>0.75</v>
      </c>
      <c r="M968" s="30" t="n">
        <v>21.49</v>
      </c>
      <c r="N968" s="29" t="n">
        <v>0.4</v>
      </c>
      <c r="O968" s="25" t="n">
        <v>185</v>
      </c>
      <c r="P968" s="30" t="n">
        <v>5.78</v>
      </c>
      <c r="Q968" s="27" t="s">
        <v>69</v>
      </c>
      <c r="R968" s="27" t="s">
        <v>183</v>
      </c>
    </row>
    <row r="969" customFormat="false" ht="15" hidden="false" customHeight="false" outlineLevel="0" collapsed="false">
      <c r="A969" s="25" t="n">
        <f aca="false">IF(G969="REJECT",COUNTIF($G$2:$G$2277,"&lt;&gt;REJECT")+1+COUNTIFS($G$2:$G$2277,"REJECT",$B$2:$B$2277,"&gt;"&amp;B969),1+COUNTIFS($G$2:$G$2277,"&lt;&gt;REJECT",$B$2:$B$2277,"&gt;"&amp;B969))</f>
        <v>968</v>
      </c>
      <c r="B969" s="26" t="n">
        <f aca="false">ROUND(($U$2*MAX(0,MIN(1,($W$2-I969)/($W$2-$V$2)))+$U$3*MAX(0,MIN(1,($W$3-J969)/($W$3-$V$3)))+$U$4*MAX(0,MIN(1,($W$4-K969)/($W$4-$V$4)))+$U$5*MAX(0,MIN(1,($W$5-L969)/($W$5-$V$5)))+$U$6*MAX(0,MIN(1,($W$6-M969)/($W$6-$V$6)))+$U$7*MAX(0,MIN(1,($W$7-N969)/($W$7-$V$7)))+$U$8*IF(AND(O969&gt;=$V$8,O969&lt;=$W$8),1,0))/$U$9*100,2)</f>
        <v>76.48</v>
      </c>
      <c r="C969" s="27" t="s">
        <v>2435</v>
      </c>
      <c r="D969" s="25" t="s">
        <v>3459</v>
      </c>
      <c r="E969" s="25" t="s">
        <v>3450</v>
      </c>
      <c r="F969" s="25" t="s">
        <v>3448</v>
      </c>
      <c r="G969" s="38" t="s">
        <v>30</v>
      </c>
      <c r="H969" s="28" t="s">
        <v>25</v>
      </c>
      <c r="I969" s="25" t="n">
        <v>1</v>
      </c>
      <c r="J969" s="25" t="n">
        <v>1</v>
      </c>
      <c r="K969" s="25" t="n">
        <v>1</v>
      </c>
      <c r="L969" s="29" t="n">
        <v>0.76</v>
      </c>
      <c r="M969" s="30" t="n">
        <v>25.6</v>
      </c>
      <c r="N969" s="29" t="n">
        <v>0.36</v>
      </c>
      <c r="O969" s="25" t="n">
        <v>183</v>
      </c>
      <c r="P969" s="30" t="n">
        <v>7.26</v>
      </c>
      <c r="Q969" s="27" t="s">
        <v>69</v>
      </c>
      <c r="R969" s="27" t="s">
        <v>157</v>
      </c>
    </row>
    <row r="970" customFormat="false" ht="15" hidden="false" customHeight="false" outlineLevel="0" collapsed="false">
      <c r="A970" s="25" t="n">
        <f aca="false">IF(G970="REJECT",COUNTIF($G$2:$G$2277,"&lt;&gt;REJECT")+1+COUNTIFS($G$2:$G$2277,"REJECT",$B$2:$B$2277,"&gt;"&amp;B970),1+COUNTIFS($G$2:$G$2277,"&lt;&gt;REJECT",$B$2:$B$2277,"&gt;"&amp;B970))</f>
        <v>968</v>
      </c>
      <c r="B970" s="26" t="n">
        <f aca="false">ROUND(($U$2*MAX(0,MIN(1,($W$2-I970)/($W$2-$V$2)))+$U$3*MAX(0,MIN(1,($W$3-J970)/($W$3-$V$3)))+$U$4*MAX(0,MIN(1,($W$4-K970)/($W$4-$V$4)))+$U$5*MAX(0,MIN(1,($W$5-L970)/($W$5-$V$5)))+$U$6*MAX(0,MIN(1,($W$6-M970)/($W$6-$V$6)))+$U$7*MAX(0,MIN(1,($W$7-N970)/($W$7-$V$7)))+$U$8*IF(AND(O970&gt;=$V$8,O970&lt;=$W$8),1,0))/$U$9*100,2)</f>
        <v>76.48</v>
      </c>
      <c r="C970" s="27" t="s">
        <v>3268</v>
      </c>
      <c r="D970" s="25" t="s">
        <v>134</v>
      </c>
      <c r="E970" s="25" t="s">
        <v>3447</v>
      </c>
      <c r="F970" s="25" t="s">
        <v>3457</v>
      </c>
      <c r="G970" s="38" t="s">
        <v>30</v>
      </c>
      <c r="H970" s="28" t="s">
        <v>25</v>
      </c>
      <c r="I970" s="25" t="n">
        <v>1</v>
      </c>
      <c r="J970" s="25" t="n">
        <v>1</v>
      </c>
      <c r="K970" s="25" t="n">
        <v>1</v>
      </c>
      <c r="L970" s="29" t="n">
        <v>0.77</v>
      </c>
      <c r="M970" s="30" t="n">
        <v>30.61</v>
      </c>
      <c r="N970" s="29" t="n">
        <v>0.28</v>
      </c>
      <c r="O970" s="25" t="n">
        <v>186</v>
      </c>
      <c r="P970" s="30" t="n">
        <v>-1.17</v>
      </c>
      <c r="Q970" s="27" t="s">
        <v>69</v>
      </c>
      <c r="R970" s="27" t="s">
        <v>1140</v>
      </c>
    </row>
    <row r="971" customFormat="false" ht="15" hidden="false" customHeight="false" outlineLevel="0" collapsed="false">
      <c r="A971" s="25" t="n">
        <f aca="false">IF(G971="REJECT",COUNTIF($G$2:$G$2277,"&lt;&gt;REJECT")+1+COUNTIFS($G$2:$G$2277,"REJECT",$B$2:$B$2277,"&gt;"&amp;B971),1+COUNTIFS($G$2:$G$2277,"&lt;&gt;REJECT",$B$2:$B$2277,"&gt;"&amp;B971))</f>
        <v>970</v>
      </c>
      <c r="B971" s="26" t="n">
        <f aca="false">ROUND(($U$2*MAX(0,MIN(1,($W$2-I971)/($W$2-$V$2)))+$U$3*MAX(0,MIN(1,($W$3-J971)/($W$3-$V$3)))+$U$4*MAX(0,MIN(1,($W$4-K971)/($W$4-$V$4)))+$U$5*MAX(0,MIN(1,($W$5-L971)/($W$5-$V$5)))+$U$6*MAX(0,MIN(1,($W$6-M971)/($W$6-$V$6)))+$U$7*MAX(0,MIN(1,($W$7-N971)/($W$7-$V$7)))+$U$8*IF(AND(O971&gt;=$V$8,O971&lt;=$W$8),1,0))/$U$9*100,2)</f>
        <v>76.41</v>
      </c>
      <c r="C971" s="27" t="s">
        <v>291</v>
      </c>
      <c r="D971" s="25" t="s">
        <v>3459</v>
      </c>
      <c r="E971" s="25" t="s">
        <v>3450</v>
      </c>
      <c r="F971" s="25" t="s">
        <v>3457</v>
      </c>
      <c r="G971" s="38" t="s">
        <v>30</v>
      </c>
      <c r="H971" s="28" t="s">
        <v>25</v>
      </c>
      <c r="I971" s="25" t="n">
        <v>1</v>
      </c>
      <c r="J971" s="25" t="n">
        <v>1</v>
      </c>
      <c r="K971" s="25" t="n">
        <v>1</v>
      </c>
      <c r="L971" s="29" t="n">
        <v>0.77</v>
      </c>
      <c r="M971" s="30" t="n">
        <v>24.07</v>
      </c>
      <c r="N971" s="29" t="n">
        <v>0.92</v>
      </c>
      <c r="O971" s="25" t="n">
        <v>185</v>
      </c>
      <c r="P971" s="30" t="n">
        <v>1.01</v>
      </c>
      <c r="Q971" s="27" t="s">
        <v>69</v>
      </c>
      <c r="R971" s="27" t="s">
        <v>294</v>
      </c>
    </row>
    <row r="972" customFormat="false" ht="15" hidden="false" customHeight="false" outlineLevel="0" collapsed="false">
      <c r="A972" s="25" t="n">
        <f aca="false">IF(G972="REJECT",COUNTIF($G$2:$G$2277,"&lt;&gt;REJECT")+1+COUNTIFS($G$2:$G$2277,"REJECT",$B$2:$B$2277,"&gt;"&amp;B972),1+COUNTIFS($G$2:$G$2277,"&lt;&gt;REJECT",$B$2:$B$2277,"&gt;"&amp;B972))</f>
        <v>970</v>
      </c>
      <c r="B972" s="26" t="n">
        <f aca="false">ROUND(($U$2*MAX(0,MIN(1,($W$2-I972)/($W$2-$V$2)))+$U$3*MAX(0,MIN(1,($W$3-J972)/($W$3-$V$3)))+$U$4*MAX(0,MIN(1,($W$4-K972)/($W$4-$V$4)))+$U$5*MAX(0,MIN(1,($W$5-L972)/($W$5-$V$5)))+$U$6*MAX(0,MIN(1,($W$6-M972)/($W$6-$V$6)))+$U$7*MAX(0,MIN(1,($W$7-N972)/($W$7-$V$7)))+$U$8*IF(AND(O972&gt;=$V$8,O972&lt;=$W$8),1,0))/$U$9*100,2)</f>
        <v>76.41</v>
      </c>
      <c r="C972" s="27" t="s">
        <v>1559</v>
      </c>
      <c r="D972" s="25" t="s">
        <v>134</v>
      </c>
      <c r="E972" s="25" t="s">
        <v>3447</v>
      </c>
      <c r="F972" s="25" t="s">
        <v>3457</v>
      </c>
      <c r="G972" s="38" t="s">
        <v>30</v>
      </c>
      <c r="H972" s="28" t="s">
        <v>25</v>
      </c>
      <c r="I972" s="25" t="n">
        <v>3</v>
      </c>
      <c r="J972" s="25" t="n">
        <v>0</v>
      </c>
      <c r="K972" s="25" t="n">
        <v>3</v>
      </c>
      <c r="L972" s="29" t="n">
        <v>0.86</v>
      </c>
      <c r="M972" s="30" t="n">
        <v>25.47</v>
      </c>
      <c r="N972" s="29" t="n">
        <v>0.36</v>
      </c>
      <c r="O972" s="25" t="n">
        <v>186</v>
      </c>
      <c r="P972" s="30" t="n">
        <v>-1.96</v>
      </c>
      <c r="Q972" s="27" t="s">
        <v>3541</v>
      </c>
      <c r="R972" s="27" t="s">
        <v>3487</v>
      </c>
    </row>
    <row r="973" customFormat="false" ht="15" hidden="false" customHeight="false" outlineLevel="0" collapsed="false">
      <c r="A973" s="25" t="n">
        <f aca="false">IF(G973="REJECT",COUNTIF($G$2:$G$2277,"&lt;&gt;REJECT")+1+COUNTIFS($G$2:$G$2277,"REJECT",$B$2:$B$2277,"&gt;"&amp;B973),1+COUNTIFS($G$2:$G$2277,"&lt;&gt;REJECT",$B$2:$B$2277,"&gt;"&amp;B973))</f>
        <v>972</v>
      </c>
      <c r="B973" s="26" t="n">
        <f aca="false">ROUND(($U$2*MAX(0,MIN(1,($W$2-I973)/($W$2-$V$2)))+$U$3*MAX(0,MIN(1,($W$3-J973)/($W$3-$V$3)))+$U$4*MAX(0,MIN(1,($W$4-K973)/($W$4-$V$4)))+$U$5*MAX(0,MIN(1,($W$5-L973)/($W$5-$V$5)))+$U$6*MAX(0,MIN(1,($W$6-M973)/($W$6-$V$6)))+$U$7*MAX(0,MIN(1,($W$7-N973)/($W$7-$V$7)))+$U$8*IF(AND(O973&gt;=$V$8,O973&lt;=$W$8),1,0))/$U$9*100,2)</f>
        <v>76.37</v>
      </c>
      <c r="C973" s="27" t="s">
        <v>418</v>
      </c>
      <c r="D973" s="25" t="s">
        <v>134</v>
      </c>
      <c r="E973" s="25" t="s">
        <v>3450</v>
      </c>
      <c r="F973" s="25" t="s">
        <v>3448</v>
      </c>
      <c r="G973" s="38" t="s">
        <v>30</v>
      </c>
      <c r="H973" s="28" t="s">
        <v>25</v>
      </c>
      <c r="I973" s="25" t="n">
        <v>1</v>
      </c>
      <c r="J973" s="25" t="n">
        <v>1</v>
      </c>
      <c r="K973" s="25" t="n">
        <v>1</v>
      </c>
      <c r="L973" s="29" t="n">
        <v>0.74</v>
      </c>
      <c r="M973" s="30" t="n">
        <v>15.46</v>
      </c>
      <c r="N973" s="29" t="n">
        <v>0.72</v>
      </c>
      <c r="O973" s="25" t="n">
        <v>183</v>
      </c>
      <c r="P973" s="30" t="n">
        <v>13.91</v>
      </c>
      <c r="Q973" s="27" t="s">
        <v>69</v>
      </c>
      <c r="R973" s="27" t="s">
        <v>1099</v>
      </c>
    </row>
    <row r="974" customFormat="false" ht="15" hidden="false" customHeight="false" outlineLevel="0" collapsed="false">
      <c r="A974" s="25" t="n">
        <f aca="false">IF(G974="REJECT",COUNTIF($G$2:$G$2277,"&lt;&gt;REJECT")+1+COUNTIFS($G$2:$G$2277,"REJECT",$B$2:$B$2277,"&gt;"&amp;B974),1+COUNTIFS($G$2:$G$2277,"&lt;&gt;REJECT",$B$2:$B$2277,"&gt;"&amp;B974))</f>
        <v>972</v>
      </c>
      <c r="B974" s="26" t="n">
        <f aca="false">ROUND(($U$2*MAX(0,MIN(1,($W$2-I974)/($W$2-$V$2)))+$U$3*MAX(0,MIN(1,($W$3-J974)/($W$3-$V$3)))+$U$4*MAX(0,MIN(1,($W$4-K974)/($W$4-$V$4)))+$U$5*MAX(0,MIN(1,($W$5-L974)/($W$5-$V$5)))+$U$6*MAX(0,MIN(1,($W$6-M974)/($W$6-$V$6)))+$U$7*MAX(0,MIN(1,($W$7-N974)/($W$7-$V$7)))+$U$8*IF(AND(O974&gt;=$V$8,O974&lt;=$W$8),1,0))/$U$9*100,2)</f>
        <v>76.37</v>
      </c>
      <c r="C974" s="27" t="s">
        <v>1968</v>
      </c>
      <c r="D974" s="25" t="s">
        <v>134</v>
      </c>
      <c r="E974" s="25" t="s">
        <v>3447</v>
      </c>
      <c r="F974" s="25" t="s">
        <v>3448</v>
      </c>
      <c r="G974" s="38" t="s">
        <v>30</v>
      </c>
      <c r="H974" s="33" t="s">
        <v>24</v>
      </c>
      <c r="I974" s="25" t="n">
        <v>2</v>
      </c>
      <c r="J974" s="25" t="n">
        <v>0</v>
      </c>
      <c r="K974" s="25" t="n">
        <v>2</v>
      </c>
      <c r="L974" s="29" t="n">
        <v>0.65</v>
      </c>
      <c r="M974" s="30" t="n">
        <v>11.2</v>
      </c>
      <c r="N974" s="29" t="n">
        <v>0.16</v>
      </c>
      <c r="O974" s="25" t="n">
        <v>199</v>
      </c>
      <c r="P974" s="30" t="n">
        <v>-0.35</v>
      </c>
      <c r="Q974" s="27" t="s">
        <v>3531</v>
      </c>
      <c r="R974" s="27" t="s">
        <v>30</v>
      </c>
    </row>
    <row r="975" customFormat="false" ht="15" hidden="false" customHeight="false" outlineLevel="0" collapsed="false">
      <c r="A975" s="25" t="n">
        <f aca="false">IF(G975="REJECT",COUNTIF($G$2:$G$2277,"&lt;&gt;REJECT")+1+COUNTIFS($G$2:$G$2277,"REJECT",$B$2:$B$2277,"&gt;"&amp;B975),1+COUNTIFS($G$2:$G$2277,"&lt;&gt;REJECT",$B$2:$B$2277,"&gt;"&amp;B975))</f>
        <v>974</v>
      </c>
      <c r="B975" s="26" t="n">
        <f aca="false">ROUND(($U$2*MAX(0,MIN(1,($W$2-I975)/($W$2-$V$2)))+$U$3*MAX(0,MIN(1,($W$3-J975)/($W$3-$V$3)))+$U$4*MAX(0,MIN(1,($W$4-K975)/($W$4-$V$4)))+$U$5*MAX(0,MIN(1,($W$5-L975)/($W$5-$V$5)))+$U$6*MAX(0,MIN(1,($W$6-M975)/($W$6-$V$6)))+$U$7*MAX(0,MIN(1,($W$7-N975)/($W$7-$V$7)))+$U$8*IF(AND(O975&gt;=$V$8,O975&lt;=$W$8),1,0))/$U$9*100,2)</f>
        <v>76.33</v>
      </c>
      <c r="C975" s="27" t="s">
        <v>3034</v>
      </c>
      <c r="D975" s="25" t="s">
        <v>3459</v>
      </c>
      <c r="E975" s="25" t="s">
        <v>3450</v>
      </c>
      <c r="F975" s="25" t="s">
        <v>3457</v>
      </c>
      <c r="G975" s="38" t="s">
        <v>30</v>
      </c>
      <c r="H975" s="28" t="s">
        <v>25</v>
      </c>
      <c r="I975" s="25" t="n">
        <v>1</v>
      </c>
      <c r="J975" s="25" t="n">
        <v>1</v>
      </c>
      <c r="K975" s="25" t="n">
        <v>1</v>
      </c>
      <c r="L975" s="29" t="n">
        <v>0.73</v>
      </c>
      <c r="M975" s="30" t="n">
        <v>19.34</v>
      </c>
      <c r="N975" s="29" t="n">
        <v>0</v>
      </c>
      <c r="O975" s="25" t="n">
        <v>205</v>
      </c>
      <c r="P975" s="30" t="n">
        <v>13.49</v>
      </c>
      <c r="Q975" s="27" t="s">
        <v>69</v>
      </c>
      <c r="R975" s="27" t="s">
        <v>283</v>
      </c>
    </row>
    <row r="976" customFormat="false" ht="15" hidden="false" customHeight="false" outlineLevel="0" collapsed="false">
      <c r="A976" s="25" t="n">
        <f aca="false">IF(G976="REJECT",COUNTIF($G$2:$G$2277,"&lt;&gt;REJECT")+1+COUNTIFS($G$2:$G$2277,"REJECT",$B$2:$B$2277,"&gt;"&amp;B976),1+COUNTIFS($G$2:$G$2277,"&lt;&gt;REJECT",$B$2:$B$2277,"&gt;"&amp;B976))</f>
        <v>975</v>
      </c>
      <c r="B976" s="26" t="n">
        <f aca="false">ROUND(($U$2*MAX(0,MIN(1,($W$2-I976)/($W$2-$V$2)))+$U$3*MAX(0,MIN(1,($W$3-J976)/($W$3-$V$3)))+$U$4*MAX(0,MIN(1,($W$4-K976)/($W$4-$V$4)))+$U$5*MAX(0,MIN(1,($W$5-L976)/($W$5-$V$5)))+$U$6*MAX(0,MIN(1,($W$6-M976)/($W$6-$V$6)))+$U$7*MAX(0,MIN(1,($W$7-N976)/($W$7-$V$7)))+$U$8*IF(AND(O976&gt;=$V$8,O976&lt;=$W$8),1,0))/$U$9*100,2)</f>
        <v>76.25</v>
      </c>
      <c r="C976" s="27" t="s">
        <v>2761</v>
      </c>
      <c r="D976" s="25" t="s">
        <v>3459</v>
      </c>
      <c r="E976" s="25" t="s">
        <v>3447</v>
      </c>
      <c r="F976" s="25" t="s">
        <v>3448</v>
      </c>
      <c r="G976" s="38" t="s">
        <v>30</v>
      </c>
      <c r="H976" s="28" t="s">
        <v>25</v>
      </c>
      <c r="I976" s="25" t="n">
        <v>4</v>
      </c>
      <c r="J976" s="25" t="n">
        <v>0</v>
      </c>
      <c r="K976" s="25" t="n">
        <v>1</v>
      </c>
      <c r="L976" s="29" t="n">
        <v>0.96</v>
      </c>
      <c r="M976" s="30" t="n">
        <v>23.83</v>
      </c>
      <c r="N976" s="29" t="n">
        <v>0.24</v>
      </c>
      <c r="O976" s="25" t="n">
        <v>185</v>
      </c>
      <c r="P976" s="30" t="n">
        <v>-1.96</v>
      </c>
      <c r="Q976" s="27" t="s">
        <v>3568</v>
      </c>
      <c r="R976" s="27" t="s">
        <v>992</v>
      </c>
    </row>
    <row r="977" customFormat="false" ht="15" hidden="false" customHeight="false" outlineLevel="0" collapsed="false">
      <c r="A977" s="25" t="n">
        <f aca="false">IF(G977="REJECT",COUNTIF($G$2:$G$2277,"&lt;&gt;REJECT")+1+COUNTIFS($G$2:$G$2277,"REJECT",$B$2:$B$2277,"&gt;"&amp;B977),1+COUNTIFS($G$2:$G$2277,"&lt;&gt;REJECT",$B$2:$B$2277,"&gt;"&amp;B977))</f>
        <v>976</v>
      </c>
      <c r="B977" s="26" t="n">
        <f aca="false">ROUND(($U$2*MAX(0,MIN(1,($W$2-I977)/($W$2-$V$2)))+$U$3*MAX(0,MIN(1,($W$3-J977)/($W$3-$V$3)))+$U$4*MAX(0,MIN(1,($W$4-K977)/($W$4-$V$4)))+$U$5*MAX(0,MIN(1,($W$5-L977)/($W$5-$V$5)))+$U$6*MAX(0,MIN(1,($W$6-M977)/($W$6-$V$6)))+$U$7*MAX(0,MIN(1,($W$7-N977)/($W$7-$V$7)))+$U$8*IF(AND(O977&gt;=$V$8,O977&lt;=$W$8),1,0))/$U$9*100,2)</f>
        <v>76.23</v>
      </c>
      <c r="C977" s="27" t="s">
        <v>1787</v>
      </c>
      <c r="D977" s="25" t="s">
        <v>3459</v>
      </c>
      <c r="E977" s="25" t="s">
        <v>3447</v>
      </c>
      <c r="F977" s="25" t="s">
        <v>3457</v>
      </c>
      <c r="G977" s="38" t="s">
        <v>30</v>
      </c>
      <c r="H977" s="28" t="s">
        <v>25</v>
      </c>
      <c r="I977" s="25" t="n">
        <v>1</v>
      </c>
      <c r="J977" s="25" t="n">
        <v>1</v>
      </c>
      <c r="K977" s="25" t="n">
        <v>1</v>
      </c>
      <c r="L977" s="29" t="n">
        <v>0.73</v>
      </c>
      <c r="M977" s="30" t="n">
        <v>11.9</v>
      </c>
      <c r="N977" s="29" t="n">
        <v>0.8</v>
      </c>
      <c r="O977" s="25" t="n">
        <v>184</v>
      </c>
      <c r="P977" s="30" t="n">
        <v>-1.21</v>
      </c>
      <c r="Q977" s="27" t="s">
        <v>69</v>
      </c>
      <c r="R977" s="27" t="s">
        <v>283</v>
      </c>
    </row>
    <row r="978" customFormat="false" ht="15" hidden="false" customHeight="false" outlineLevel="0" collapsed="false">
      <c r="A978" s="25" t="n">
        <f aca="false">IF(G978="REJECT",COUNTIF($G$2:$G$2277,"&lt;&gt;REJECT")+1+COUNTIFS($G$2:$G$2277,"REJECT",$B$2:$B$2277,"&gt;"&amp;B978),1+COUNTIFS($G$2:$G$2277,"&lt;&gt;REJECT",$B$2:$B$2277,"&gt;"&amp;B978))</f>
        <v>977</v>
      </c>
      <c r="B978" s="26" t="n">
        <f aca="false">ROUND(($U$2*MAX(0,MIN(1,($W$2-I978)/($W$2-$V$2)))+$U$3*MAX(0,MIN(1,($W$3-J978)/($W$3-$V$3)))+$U$4*MAX(0,MIN(1,($W$4-K978)/($W$4-$V$4)))+$U$5*MAX(0,MIN(1,($W$5-L978)/($W$5-$V$5)))+$U$6*MAX(0,MIN(1,($W$6-M978)/($W$6-$V$6)))+$U$7*MAX(0,MIN(1,($W$7-N978)/($W$7-$V$7)))+$U$8*IF(AND(O978&gt;=$V$8,O978&lt;=$W$8),1,0))/$U$9*100,2)</f>
        <v>76.22</v>
      </c>
      <c r="C978" s="27" t="s">
        <v>2169</v>
      </c>
      <c r="D978" s="25" t="s">
        <v>134</v>
      </c>
      <c r="E978" s="25" t="s">
        <v>3450</v>
      </c>
      <c r="F978" s="25" t="s">
        <v>3457</v>
      </c>
      <c r="G978" s="38" t="s">
        <v>30</v>
      </c>
      <c r="H978" s="33" t="s">
        <v>24</v>
      </c>
      <c r="I978" s="25" t="n">
        <v>3</v>
      </c>
      <c r="J978" s="25" t="n">
        <v>0</v>
      </c>
      <c r="K978" s="25" t="n">
        <v>3</v>
      </c>
      <c r="L978" s="29" t="n">
        <v>0.74</v>
      </c>
      <c r="M978" s="30" t="n">
        <v>4.56</v>
      </c>
      <c r="N978" s="29" t="n">
        <v>0.4</v>
      </c>
      <c r="O978" s="25" t="n">
        <v>186</v>
      </c>
      <c r="P978" s="30" t="n">
        <v>14.67</v>
      </c>
      <c r="Q978" s="27" t="s">
        <v>3562</v>
      </c>
      <c r="R978" s="27" t="s">
        <v>30</v>
      </c>
    </row>
    <row r="979" customFormat="false" ht="15" hidden="false" customHeight="false" outlineLevel="0" collapsed="false">
      <c r="A979" s="25" t="n">
        <f aca="false">IF(G979="REJECT",COUNTIF($G$2:$G$2277,"&lt;&gt;REJECT")+1+COUNTIFS($G$2:$G$2277,"REJECT",$B$2:$B$2277,"&gt;"&amp;B979),1+COUNTIFS($G$2:$G$2277,"&lt;&gt;REJECT",$B$2:$B$2277,"&gt;"&amp;B979))</f>
        <v>977</v>
      </c>
      <c r="B979" s="26" t="n">
        <f aca="false">ROUND(($U$2*MAX(0,MIN(1,($W$2-I979)/($W$2-$V$2)))+$U$3*MAX(0,MIN(1,($W$3-J979)/($W$3-$V$3)))+$U$4*MAX(0,MIN(1,($W$4-K979)/($W$4-$V$4)))+$U$5*MAX(0,MIN(1,($W$5-L979)/($W$5-$V$5)))+$U$6*MAX(0,MIN(1,($W$6-M979)/($W$6-$V$6)))+$U$7*MAX(0,MIN(1,($W$7-N979)/($W$7-$V$7)))+$U$8*IF(AND(O979&gt;=$V$8,O979&lt;=$W$8),1,0))/$U$9*100,2)</f>
        <v>76.22</v>
      </c>
      <c r="C979" s="27" t="s">
        <v>2752</v>
      </c>
      <c r="D979" s="25" t="s">
        <v>134</v>
      </c>
      <c r="E979" s="25" t="s">
        <v>3450</v>
      </c>
      <c r="F979" s="25" t="s">
        <v>3457</v>
      </c>
      <c r="G979" s="38" t="s">
        <v>30</v>
      </c>
      <c r="H979" s="28" t="s">
        <v>25</v>
      </c>
      <c r="I979" s="25" t="n">
        <v>1</v>
      </c>
      <c r="J979" s="25" t="n">
        <v>1</v>
      </c>
      <c r="K979" s="25" t="n">
        <v>1</v>
      </c>
      <c r="L979" s="29" t="n">
        <v>0.71</v>
      </c>
      <c r="M979" s="30" t="n">
        <v>11.59</v>
      </c>
      <c r="N979" s="29" t="n">
        <v>0.12</v>
      </c>
      <c r="O979" s="25" t="n">
        <v>184</v>
      </c>
      <c r="P979" s="30" t="n">
        <v>14.48</v>
      </c>
      <c r="Q979" s="27" t="s">
        <v>69</v>
      </c>
      <c r="R979" s="27" t="s">
        <v>283</v>
      </c>
    </row>
    <row r="980" customFormat="false" ht="15" hidden="false" customHeight="false" outlineLevel="0" collapsed="false">
      <c r="A980" s="25" t="n">
        <f aca="false">IF(G980="REJECT",COUNTIF($G$2:$G$2277,"&lt;&gt;REJECT")+1+COUNTIFS($G$2:$G$2277,"REJECT",$B$2:$B$2277,"&gt;"&amp;B980),1+COUNTIFS($G$2:$G$2277,"&lt;&gt;REJECT",$B$2:$B$2277,"&gt;"&amp;B980))</f>
        <v>979</v>
      </c>
      <c r="B980" s="26" t="n">
        <f aca="false">ROUND(($U$2*MAX(0,MIN(1,($W$2-I980)/($W$2-$V$2)))+$U$3*MAX(0,MIN(1,($W$3-J980)/($W$3-$V$3)))+$U$4*MAX(0,MIN(1,($W$4-K980)/($W$4-$V$4)))+$U$5*MAX(0,MIN(1,($W$5-L980)/($W$5-$V$5)))+$U$6*MAX(0,MIN(1,($W$6-M980)/($W$6-$V$6)))+$U$7*MAX(0,MIN(1,($W$7-N980)/($W$7-$V$7)))+$U$8*IF(AND(O980&gt;=$V$8,O980&lt;=$W$8),1,0))/$U$9*100,2)</f>
        <v>76.21</v>
      </c>
      <c r="C980" s="27" t="s">
        <v>917</v>
      </c>
      <c r="D980" s="25" t="s">
        <v>134</v>
      </c>
      <c r="E980" s="25" t="s">
        <v>3450</v>
      </c>
      <c r="F980" s="25" t="s">
        <v>3457</v>
      </c>
      <c r="G980" s="38" t="s">
        <v>30</v>
      </c>
      <c r="H980" s="28" t="s">
        <v>25</v>
      </c>
      <c r="I980" s="25" t="n">
        <v>1</v>
      </c>
      <c r="J980" s="25" t="n">
        <v>1</v>
      </c>
      <c r="K980" s="25" t="n">
        <v>1</v>
      </c>
      <c r="L980" s="29" t="n">
        <v>0.7</v>
      </c>
      <c r="M980" s="30" t="n">
        <v>7.27</v>
      </c>
      <c r="N980" s="29" t="n">
        <v>0.2</v>
      </c>
      <c r="O980" s="25" t="n">
        <v>182</v>
      </c>
      <c r="P980" s="30" t="n">
        <v>18.27</v>
      </c>
      <c r="Q980" s="27" t="s">
        <v>69</v>
      </c>
      <c r="R980" s="27" t="s">
        <v>283</v>
      </c>
    </row>
    <row r="981" customFormat="false" ht="15" hidden="false" customHeight="false" outlineLevel="0" collapsed="false">
      <c r="A981" s="25" t="n">
        <f aca="false">IF(G981="REJECT",COUNTIF($G$2:$G$2277,"&lt;&gt;REJECT")+1+COUNTIFS($G$2:$G$2277,"REJECT",$B$2:$B$2277,"&gt;"&amp;B981),1+COUNTIFS($G$2:$G$2277,"&lt;&gt;REJECT",$B$2:$B$2277,"&gt;"&amp;B981))</f>
        <v>979</v>
      </c>
      <c r="B981" s="26" t="n">
        <f aca="false">ROUND(($U$2*MAX(0,MIN(1,($W$2-I981)/($W$2-$V$2)))+$U$3*MAX(0,MIN(1,($W$3-J981)/($W$3-$V$3)))+$U$4*MAX(0,MIN(1,($W$4-K981)/($W$4-$V$4)))+$U$5*MAX(0,MIN(1,($W$5-L981)/($W$5-$V$5)))+$U$6*MAX(0,MIN(1,($W$6-M981)/($W$6-$V$6)))+$U$7*MAX(0,MIN(1,($W$7-N981)/($W$7-$V$7)))+$U$8*IF(AND(O981&gt;=$V$8,O981&lt;=$W$8),1,0))/$U$9*100,2)</f>
        <v>76.21</v>
      </c>
      <c r="C981" s="27" t="s">
        <v>2897</v>
      </c>
      <c r="D981" s="25" t="s">
        <v>134</v>
      </c>
      <c r="E981" s="25" t="s">
        <v>3450</v>
      </c>
      <c r="F981" s="25" t="s">
        <v>3448</v>
      </c>
      <c r="G981" s="38" t="s">
        <v>30</v>
      </c>
      <c r="H981" s="28" t="s">
        <v>25</v>
      </c>
      <c r="I981" s="25" t="n">
        <v>2</v>
      </c>
      <c r="J981" s="25" t="n">
        <v>0</v>
      </c>
      <c r="K981" s="25" t="n">
        <v>2</v>
      </c>
      <c r="L981" s="29" t="n">
        <v>0.63</v>
      </c>
      <c r="M981" s="30" t="n">
        <v>6.54</v>
      </c>
      <c r="N981" s="29" t="n">
        <v>0</v>
      </c>
      <c r="O981" s="25" t="n">
        <v>186</v>
      </c>
      <c r="P981" s="30" t="n">
        <v>2.86</v>
      </c>
      <c r="Q981" s="27" t="s">
        <v>3505</v>
      </c>
      <c r="R981" s="27" t="s">
        <v>2559</v>
      </c>
    </row>
    <row r="982" customFormat="false" ht="15" hidden="false" customHeight="false" outlineLevel="0" collapsed="false">
      <c r="A982" s="25" t="n">
        <f aca="false">IF(G982="REJECT",COUNTIF($G$2:$G$2277,"&lt;&gt;REJECT")+1+COUNTIFS($G$2:$G$2277,"REJECT",$B$2:$B$2277,"&gt;"&amp;B982),1+COUNTIFS($G$2:$G$2277,"&lt;&gt;REJECT",$B$2:$B$2277,"&gt;"&amp;B982))</f>
        <v>981</v>
      </c>
      <c r="B982" s="26" t="n">
        <f aca="false">ROUND(($U$2*MAX(0,MIN(1,($W$2-I982)/($W$2-$V$2)))+$U$3*MAX(0,MIN(1,($W$3-J982)/($W$3-$V$3)))+$U$4*MAX(0,MIN(1,($W$4-K982)/($W$4-$V$4)))+$U$5*MAX(0,MIN(1,($W$5-L982)/($W$5-$V$5)))+$U$6*MAX(0,MIN(1,($W$6-M982)/($W$6-$V$6)))+$U$7*MAX(0,MIN(1,($W$7-N982)/($W$7-$V$7)))+$U$8*IF(AND(O982&gt;=$V$8,O982&lt;=$W$8),1,0))/$U$9*100,2)</f>
        <v>76.19</v>
      </c>
      <c r="C982" s="27" t="s">
        <v>3383</v>
      </c>
      <c r="D982" s="25" t="s">
        <v>134</v>
      </c>
      <c r="E982" s="25" t="s">
        <v>3450</v>
      </c>
      <c r="F982" s="25" t="s">
        <v>3448</v>
      </c>
      <c r="G982" s="38" t="s">
        <v>30</v>
      </c>
      <c r="H982" s="28" t="s">
        <v>25</v>
      </c>
      <c r="I982" s="25" t="n">
        <v>1</v>
      </c>
      <c r="J982" s="25" t="n">
        <v>1</v>
      </c>
      <c r="K982" s="25" t="n">
        <v>1</v>
      </c>
      <c r="L982" s="29" t="n">
        <v>0.74</v>
      </c>
      <c r="M982" s="30" t="n">
        <v>20.58</v>
      </c>
      <c r="N982" s="29" t="n">
        <v>0.32</v>
      </c>
      <c r="O982" s="25" t="n">
        <v>186</v>
      </c>
      <c r="P982" s="30" t="n">
        <v>15.06</v>
      </c>
      <c r="Q982" s="27" t="s">
        <v>69</v>
      </c>
      <c r="R982" s="27" t="s">
        <v>183</v>
      </c>
    </row>
    <row r="983" customFormat="false" ht="15" hidden="false" customHeight="false" outlineLevel="0" collapsed="false">
      <c r="A983" s="25" t="n">
        <f aca="false">IF(G983="REJECT",COUNTIF($G$2:$G$2277,"&lt;&gt;REJECT")+1+COUNTIFS($G$2:$G$2277,"REJECT",$B$2:$B$2277,"&gt;"&amp;B983),1+COUNTIFS($G$2:$G$2277,"&lt;&gt;REJECT",$B$2:$B$2277,"&gt;"&amp;B983))</f>
        <v>982</v>
      </c>
      <c r="B983" s="26" t="n">
        <f aca="false">ROUND(($U$2*MAX(0,MIN(1,($W$2-I983)/($W$2-$V$2)))+$U$3*MAX(0,MIN(1,($W$3-J983)/($W$3-$V$3)))+$U$4*MAX(0,MIN(1,($W$4-K983)/($W$4-$V$4)))+$U$5*MAX(0,MIN(1,($W$5-L983)/($W$5-$V$5)))+$U$6*MAX(0,MIN(1,($W$6-M983)/($W$6-$V$6)))+$U$7*MAX(0,MIN(1,($W$7-N983)/($W$7-$V$7)))+$U$8*IF(AND(O983&gt;=$V$8,O983&lt;=$W$8),1,0))/$U$9*100,2)</f>
        <v>76.18</v>
      </c>
      <c r="C983" s="27" t="s">
        <v>2697</v>
      </c>
      <c r="D983" s="25" t="s">
        <v>134</v>
      </c>
      <c r="E983" s="25" t="s">
        <v>3450</v>
      </c>
      <c r="F983" s="25" t="s">
        <v>3457</v>
      </c>
      <c r="G983" s="38" t="s">
        <v>30</v>
      </c>
      <c r="H983" s="28" t="s">
        <v>25</v>
      </c>
      <c r="I983" s="25" t="n">
        <v>2</v>
      </c>
      <c r="J983" s="25" t="n">
        <v>0</v>
      </c>
      <c r="K983" s="25" t="n">
        <v>2</v>
      </c>
      <c r="L983" s="29" t="n">
        <v>0.67</v>
      </c>
      <c r="M983" s="30" t="n">
        <v>11.91</v>
      </c>
      <c r="N983" s="29" t="n">
        <v>0.92</v>
      </c>
      <c r="O983" s="25" t="n">
        <v>185</v>
      </c>
      <c r="P983" s="30" t="n">
        <v>2.63</v>
      </c>
      <c r="Q983" s="27" t="s">
        <v>3516</v>
      </c>
      <c r="R983" s="27" t="s">
        <v>2328</v>
      </c>
    </row>
    <row r="984" customFormat="false" ht="15" hidden="false" customHeight="false" outlineLevel="0" collapsed="false">
      <c r="A984" s="25" t="n">
        <f aca="false">IF(G984="REJECT",COUNTIF($G$2:$G$2277,"&lt;&gt;REJECT")+1+COUNTIFS($G$2:$G$2277,"REJECT",$B$2:$B$2277,"&gt;"&amp;B984),1+COUNTIFS($G$2:$G$2277,"&lt;&gt;REJECT",$B$2:$B$2277,"&gt;"&amp;B984))</f>
        <v>983</v>
      </c>
      <c r="B984" s="26" t="n">
        <f aca="false">ROUND(($U$2*MAX(0,MIN(1,($W$2-I984)/($W$2-$V$2)))+$U$3*MAX(0,MIN(1,($W$3-J984)/($W$3-$V$3)))+$U$4*MAX(0,MIN(1,($W$4-K984)/($W$4-$V$4)))+$U$5*MAX(0,MIN(1,($W$5-L984)/($W$5-$V$5)))+$U$6*MAX(0,MIN(1,($W$6-M984)/($W$6-$V$6)))+$U$7*MAX(0,MIN(1,($W$7-N984)/($W$7-$V$7)))+$U$8*IF(AND(O984&gt;=$V$8,O984&lt;=$W$8),1,0))/$U$9*100,2)</f>
        <v>76.17</v>
      </c>
      <c r="C984" s="27" t="s">
        <v>2488</v>
      </c>
      <c r="D984" s="25" t="s">
        <v>134</v>
      </c>
      <c r="E984" s="25" t="s">
        <v>3447</v>
      </c>
      <c r="F984" s="25" t="s">
        <v>3448</v>
      </c>
      <c r="G984" s="38" t="s">
        <v>30</v>
      </c>
      <c r="H984" s="28" t="s">
        <v>25</v>
      </c>
      <c r="I984" s="25" t="n">
        <v>3</v>
      </c>
      <c r="J984" s="25" t="n">
        <v>0</v>
      </c>
      <c r="K984" s="25" t="n">
        <v>3</v>
      </c>
      <c r="L984" s="29" t="n">
        <v>0.84</v>
      </c>
      <c r="M984" s="30" t="n">
        <v>22.46</v>
      </c>
      <c r="N984" s="29" t="n">
        <v>0.8</v>
      </c>
      <c r="O984" s="25" t="n">
        <v>185</v>
      </c>
      <c r="P984" s="30" t="n">
        <v>0.7</v>
      </c>
      <c r="Q984" s="27" t="s">
        <v>3567</v>
      </c>
      <c r="R984" s="27" t="s">
        <v>992</v>
      </c>
    </row>
    <row r="985" customFormat="false" ht="15" hidden="false" customHeight="false" outlineLevel="0" collapsed="false">
      <c r="A985" s="25" t="n">
        <f aca="false">IF(G985="REJECT",COUNTIF($G$2:$G$2277,"&lt;&gt;REJECT")+1+COUNTIFS($G$2:$G$2277,"REJECT",$B$2:$B$2277,"&gt;"&amp;B985),1+COUNTIFS($G$2:$G$2277,"&lt;&gt;REJECT",$B$2:$B$2277,"&gt;"&amp;B985))</f>
        <v>984</v>
      </c>
      <c r="B985" s="26" t="n">
        <f aca="false">ROUND(($U$2*MAX(0,MIN(1,($W$2-I985)/($W$2-$V$2)))+$U$3*MAX(0,MIN(1,($W$3-J985)/($W$3-$V$3)))+$U$4*MAX(0,MIN(1,($W$4-K985)/($W$4-$V$4)))+$U$5*MAX(0,MIN(1,($W$5-L985)/($W$5-$V$5)))+$U$6*MAX(0,MIN(1,($W$6-M985)/($W$6-$V$6)))+$U$7*MAX(0,MIN(1,($W$7-N985)/($W$7-$V$7)))+$U$8*IF(AND(O985&gt;=$V$8,O985&lt;=$W$8),1,0))/$U$9*100,2)</f>
        <v>76.16</v>
      </c>
      <c r="C985" s="27" t="s">
        <v>153</v>
      </c>
      <c r="D985" s="25" t="s">
        <v>134</v>
      </c>
      <c r="E985" s="25" t="s">
        <v>3447</v>
      </c>
      <c r="F985" s="25" t="s">
        <v>3448</v>
      </c>
      <c r="G985" s="38" t="s">
        <v>30</v>
      </c>
      <c r="H985" s="28" t="s">
        <v>25</v>
      </c>
      <c r="I985" s="25" t="n">
        <v>3</v>
      </c>
      <c r="J985" s="25" t="n">
        <v>0</v>
      </c>
      <c r="K985" s="25" t="n">
        <v>3</v>
      </c>
      <c r="L985" s="29" t="n">
        <v>0.78</v>
      </c>
      <c r="M985" s="30" t="n">
        <v>18.55</v>
      </c>
      <c r="N985" s="29" t="n">
        <v>0.48</v>
      </c>
      <c r="O985" s="25" t="n">
        <v>183</v>
      </c>
      <c r="P985" s="30" t="n">
        <v>3.69</v>
      </c>
      <c r="Q985" s="27" t="s">
        <v>3569</v>
      </c>
      <c r="R985" s="27" t="s">
        <v>2133</v>
      </c>
    </row>
    <row r="986" customFormat="false" ht="15" hidden="false" customHeight="false" outlineLevel="0" collapsed="false">
      <c r="A986" s="25" t="n">
        <f aca="false">IF(G986="REJECT",COUNTIF($G$2:$G$2277,"&lt;&gt;REJECT")+1+COUNTIFS($G$2:$G$2277,"REJECT",$B$2:$B$2277,"&gt;"&amp;B986),1+COUNTIFS($G$2:$G$2277,"&lt;&gt;REJECT",$B$2:$B$2277,"&gt;"&amp;B986))</f>
        <v>985</v>
      </c>
      <c r="B986" s="26" t="n">
        <f aca="false">ROUND(($U$2*MAX(0,MIN(1,($W$2-I986)/($W$2-$V$2)))+$U$3*MAX(0,MIN(1,($W$3-J986)/($W$3-$V$3)))+$U$4*MAX(0,MIN(1,($W$4-K986)/($W$4-$V$4)))+$U$5*MAX(0,MIN(1,($W$5-L986)/($W$5-$V$5)))+$U$6*MAX(0,MIN(1,($W$6-M986)/($W$6-$V$6)))+$U$7*MAX(0,MIN(1,($W$7-N986)/($W$7-$V$7)))+$U$8*IF(AND(O986&gt;=$V$8,O986&lt;=$W$8),1,0))/$U$9*100,2)</f>
        <v>76.13</v>
      </c>
      <c r="C986" s="27" t="s">
        <v>702</v>
      </c>
      <c r="D986" s="25" t="s">
        <v>3459</v>
      </c>
      <c r="E986" s="25" t="s">
        <v>3450</v>
      </c>
      <c r="F986" s="25" t="s">
        <v>3457</v>
      </c>
      <c r="G986" s="38" t="s">
        <v>30</v>
      </c>
      <c r="H986" s="28" t="s">
        <v>25</v>
      </c>
      <c r="I986" s="25" t="n">
        <v>1</v>
      </c>
      <c r="J986" s="25" t="n">
        <v>1</v>
      </c>
      <c r="K986" s="25" t="n">
        <v>1</v>
      </c>
      <c r="L986" s="29" t="n">
        <v>0.76</v>
      </c>
      <c r="M986" s="30" t="n">
        <v>29.32</v>
      </c>
      <c r="N986" s="29" t="n">
        <v>0.2</v>
      </c>
      <c r="O986" s="25" t="n">
        <v>185</v>
      </c>
      <c r="P986" s="30" t="n">
        <v>2.15</v>
      </c>
      <c r="Q986" s="27" t="s">
        <v>69</v>
      </c>
      <c r="R986" s="27" t="s">
        <v>294</v>
      </c>
    </row>
    <row r="987" customFormat="false" ht="15" hidden="false" customHeight="false" outlineLevel="0" collapsed="false">
      <c r="A987" s="25" t="n">
        <f aca="false">IF(G987="REJECT",COUNTIF($G$2:$G$2277,"&lt;&gt;REJECT")+1+COUNTIFS($G$2:$G$2277,"REJECT",$B$2:$B$2277,"&gt;"&amp;B987),1+COUNTIFS($G$2:$G$2277,"&lt;&gt;REJECT",$B$2:$B$2277,"&gt;"&amp;B987))</f>
        <v>986</v>
      </c>
      <c r="B987" s="26" t="n">
        <f aca="false">ROUND(($U$2*MAX(0,MIN(1,($W$2-I987)/($W$2-$V$2)))+$U$3*MAX(0,MIN(1,($W$3-J987)/($W$3-$V$3)))+$U$4*MAX(0,MIN(1,($W$4-K987)/($W$4-$V$4)))+$U$5*MAX(0,MIN(1,($W$5-L987)/($W$5-$V$5)))+$U$6*MAX(0,MIN(1,($W$6-M987)/($W$6-$V$6)))+$U$7*MAX(0,MIN(1,($W$7-N987)/($W$7-$V$7)))+$U$8*IF(AND(O987&gt;=$V$8,O987&lt;=$W$8),1,0))/$U$9*100,2)</f>
        <v>76.06</v>
      </c>
      <c r="C987" s="27" t="s">
        <v>291</v>
      </c>
      <c r="D987" s="25" t="s">
        <v>3459</v>
      </c>
      <c r="E987" s="25" t="s">
        <v>3450</v>
      </c>
      <c r="F987" s="25" t="s">
        <v>3448</v>
      </c>
      <c r="G987" s="38" t="s">
        <v>30</v>
      </c>
      <c r="H987" s="28" t="s">
        <v>25</v>
      </c>
      <c r="I987" s="25" t="n">
        <v>1</v>
      </c>
      <c r="J987" s="25" t="n">
        <v>1</v>
      </c>
      <c r="K987" s="25" t="n">
        <v>1</v>
      </c>
      <c r="L987" s="29" t="n">
        <v>0.75</v>
      </c>
      <c r="M987" s="30" t="n">
        <v>20.96</v>
      </c>
      <c r="N987" s="29" t="n">
        <v>0.72</v>
      </c>
      <c r="O987" s="25" t="n">
        <v>184</v>
      </c>
      <c r="P987" s="30" t="n">
        <v>-0.47</v>
      </c>
      <c r="Q987" s="27" t="s">
        <v>69</v>
      </c>
      <c r="R987" s="27" t="s">
        <v>1046</v>
      </c>
    </row>
    <row r="988" customFormat="false" ht="15" hidden="false" customHeight="false" outlineLevel="0" collapsed="false">
      <c r="A988" s="25" t="n">
        <f aca="false">IF(G988="REJECT",COUNTIF($G$2:$G$2277,"&lt;&gt;REJECT")+1+COUNTIFS($G$2:$G$2277,"REJECT",$B$2:$B$2277,"&gt;"&amp;B988),1+COUNTIFS($G$2:$G$2277,"&lt;&gt;REJECT",$B$2:$B$2277,"&gt;"&amp;B988))</f>
        <v>986</v>
      </c>
      <c r="B988" s="26" t="n">
        <f aca="false">ROUND(($U$2*MAX(0,MIN(1,($W$2-I988)/($W$2-$V$2)))+$U$3*MAX(0,MIN(1,($W$3-J988)/($W$3-$V$3)))+$U$4*MAX(0,MIN(1,($W$4-K988)/($W$4-$V$4)))+$U$5*MAX(0,MIN(1,($W$5-L988)/($W$5-$V$5)))+$U$6*MAX(0,MIN(1,($W$6-M988)/($W$6-$V$6)))+$U$7*MAX(0,MIN(1,($W$7-N988)/($W$7-$V$7)))+$U$8*IF(AND(O988&gt;=$V$8,O988&lt;=$W$8),1,0))/$U$9*100,2)</f>
        <v>76.06</v>
      </c>
      <c r="C988" s="27" t="s">
        <v>1813</v>
      </c>
      <c r="D988" s="25" t="s">
        <v>134</v>
      </c>
      <c r="E988" s="25" t="s">
        <v>3450</v>
      </c>
      <c r="F988" s="25" t="s">
        <v>3448</v>
      </c>
      <c r="G988" s="38" t="s">
        <v>30</v>
      </c>
      <c r="H988" s="28" t="s">
        <v>25</v>
      </c>
      <c r="I988" s="25" t="n">
        <v>1</v>
      </c>
      <c r="J988" s="25" t="n">
        <v>1</v>
      </c>
      <c r="K988" s="25" t="n">
        <v>1</v>
      </c>
      <c r="L988" s="29" t="n">
        <v>0.74</v>
      </c>
      <c r="M988" s="30" t="n">
        <v>17.36</v>
      </c>
      <c r="N988" s="29" t="n">
        <v>0.72</v>
      </c>
      <c r="O988" s="25" t="n">
        <v>189</v>
      </c>
      <c r="P988" s="30" t="n">
        <v>2.33</v>
      </c>
      <c r="Q988" s="27" t="s">
        <v>69</v>
      </c>
      <c r="R988" s="27" t="s">
        <v>1230</v>
      </c>
    </row>
    <row r="989" customFormat="false" ht="15" hidden="false" customHeight="false" outlineLevel="0" collapsed="false">
      <c r="A989" s="25" t="n">
        <f aca="false">IF(G989="REJECT",COUNTIF($G$2:$G$2277,"&lt;&gt;REJECT")+1+COUNTIFS($G$2:$G$2277,"REJECT",$B$2:$B$2277,"&gt;"&amp;B989),1+COUNTIFS($G$2:$G$2277,"&lt;&gt;REJECT",$B$2:$B$2277,"&gt;"&amp;B989))</f>
        <v>988</v>
      </c>
      <c r="B989" s="26" t="n">
        <f aca="false">ROUND(($U$2*MAX(0,MIN(1,($W$2-I989)/($W$2-$V$2)))+$U$3*MAX(0,MIN(1,($W$3-J989)/($W$3-$V$3)))+$U$4*MAX(0,MIN(1,($W$4-K989)/($W$4-$V$4)))+$U$5*MAX(0,MIN(1,($W$5-L989)/($W$5-$V$5)))+$U$6*MAX(0,MIN(1,($W$6-M989)/($W$6-$V$6)))+$U$7*MAX(0,MIN(1,($W$7-N989)/($W$7-$V$7)))+$U$8*IF(AND(O989&gt;=$V$8,O989&lt;=$W$8),1,0))/$U$9*100,2)</f>
        <v>76.05</v>
      </c>
      <c r="C989" s="27" t="s">
        <v>867</v>
      </c>
      <c r="D989" s="25" t="s">
        <v>134</v>
      </c>
      <c r="E989" s="25" t="s">
        <v>3447</v>
      </c>
      <c r="F989" s="25" t="s">
        <v>3448</v>
      </c>
      <c r="G989" s="38" t="s">
        <v>30</v>
      </c>
      <c r="H989" s="28" t="s">
        <v>25</v>
      </c>
      <c r="I989" s="25" t="n">
        <v>2</v>
      </c>
      <c r="J989" s="25" t="n">
        <v>0</v>
      </c>
      <c r="K989" s="25" t="n">
        <v>2</v>
      </c>
      <c r="L989" s="29" t="n">
        <v>0.65</v>
      </c>
      <c r="M989" s="30" t="n">
        <v>7.48</v>
      </c>
      <c r="N989" s="29" t="n">
        <v>0.72</v>
      </c>
      <c r="O989" s="25" t="n">
        <v>187</v>
      </c>
      <c r="P989" s="30" t="n">
        <v>0.2</v>
      </c>
      <c r="Q989" s="27" t="s">
        <v>3506</v>
      </c>
      <c r="R989" s="27" t="s">
        <v>2133</v>
      </c>
    </row>
    <row r="990" customFormat="false" ht="15" hidden="false" customHeight="false" outlineLevel="0" collapsed="false">
      <c r="A990" s="25" t="n">
        <f aca="false">IF(G990="REJECT",COUNTIF($G$2:$G$2277,"&lt;&gt;REJECT")+1+COUNTIFS($G$2:$G$2277,"REJECT",$B$2:$B$2277,"&gt;"&amp;B990),1+COUNTIFS($G$2:$G$2277,"&lt;&gt;REJECT",$B$2:$B$2277,"&gt;"&amp;B990))</f>
        <v>989</v>
      </c>
      <c r="B990" s="26" t="n">
        <f aca="false">ROUND(($U$2*MAX(0,MIN(1,($W$2-I990)/($W$2-$V$2)))+$U$3*MAX(0,MIN(1,($W$3-J990)/($W$3-$V$3)))+$U$4*MAX(0,MIN(1,($W$4-K990)/($W$4-$V$4)))+$U$5*MAX(0,MIN(1,($W$5-L990)/($W$5-$V$5)))+$U$6*MAX(0,MIN(1,($W$6-M990)/($W$6-$V$6)))+$U$7*MAX(0,MIN(1,($W$7-N990)/($W$7-$V$7)))+$U$8*IF(AND(O990&gt;=$V$8,O990&lt;=$W$8),1,0))/$U$9*100,2)</f>
        <v>76.03</v>
      </c>
      <c r="C990" s="27" t="s">
        <v>1487</v>
      </c>
      <c r="D990" s="25" t="s">
        <v>134</v>
      </c>
      <c r="E990" s="25" t="s">
        <v>3450</v>
      </c>
      <c r="F990" s="25" t="s">
        <v>3448</v>
      </c>
      <c r="G990" s="38" t="s">
        <v>30</v>
      </c>
      <c r="H990" s="28" t="s">
        <v>25</v>
      </c>
      <c r="I990" s="25" t="n">
        <v>1</v>
      </c>
      <c r="J990" s="25" t="n">
        <v>1</v>
      </c>
      <c r="K990" s="25" t="n">
        <v>1</v>
      </c>
      <c r="L990" s="29" t="n">
        <v>0.71</v>
      </c>
      <c r="M990" s="30" t="n">
        <v>11.1</v>
      </c>
      <c r="N990" s="29" t="n">
        <v>0.28</v>
      </c>
      <c r="O990" s="25" t="n">
        <v>184</v>
      </c>
      <c r="P990" s="30" t="n">
        <v>1.6</v>
      </c>
      <c r="Q990" s="27" t="s">
        <v>70</v>
      </c>
      <c r="R990" s="27" t="s">
        <v>357</v>
      </c>
    </row>
    <row r="991" customFormat="false" ht="15" hidden="false" customHeight="false" outlineLevel="0" collapsed="false">
      <c r="A991" s="25" t="n">
        <f aca="false">IF(G991="REJECT",COUNTIF($G$2:$G$2277,"&lt;&gt;REJECT")+1+COUNTIFS($G$2:$G$2277,"REJECT",$B$2:$B$2277,"&gt;"&amp;B991),1+COUNTIFS($G$2:$G$2277,"&lt;&gt;REJECT",$B$2:$B$2277,"&gt;"&amp;B991))</f>
        <v>990</v>
      </c>
      <c r="B991" s="26" t="n">
        <f aca="false">ROUND(($U$2*MAX(0,MIN(1,($W$2-I991)/($W$2-$V$2)))+$U$3*MAX(0,MIN(1,($W$3-J991)/($W$3-$V$3)))+$U$4*MAX(0,MIN(1,($W$4-K991)/($W$4-$V$4)))+$U$5*MAX(0,MIN(1,($W$5-L991)/($W$5-$V$5)))+$U$6*MAX(0,MIN(1,($W$6-M991)/($W$6-$V$6)))+$U$7*MAX(0,MIN(1,($W$7-N991)/($W$7-$V$7)))+$U$8*IF(AND(O991&gt;=$V$8,O991&lt;=$W$8),1,0))/$U$9*100,2)</f>
        <v>75.97</v>
      </c>
      <c r="C991" s="27" t="s">
        <v>323</v>
      </c>
      <c r="D991" s="25" t="s">
        <v>134</v>
      </c>
      <c r="E991" s="25" t="s">
        <v>3447</v>
      </c>
      <c r="F991" s="25" t="s">
        <v>3457</v>
      </c>
      <c r="G991" s="38" t="s">
        <v>30</v>
      </c>
      <c r="H991" s="28" t="s">
        <v>25</v>
      </c>
      <c r="I991" s="25" t="n">
        <v>1</v>
      </c>
      <c r="J991" s="25" t="n">
        <v>1</v>
      </c>
      <c r="K991" s="25" t="n">
        <v>1</v>
      </c>
      <c r="L991" s="29" t="n">
        <v>0.72</v>
      </c>
      <c r="M991" s="30" t="n">
        <v>16.69</v>
      </c>
      <c r="N991" s="29" t="n">
        <v>0.12</v>
      </c>
      <c r="O991" s="25" t="n">
        <v>183</v>
      </c>
      <c r="P991" s="30" t="n">
        <v>11.3</v>
      </c>
      <c r="Q991" s="27" t="s">
        <v>69</v>
      </c>
      <c r="R991" s="27" t="s">
        <v>283</v>
      </c>
    </row>
    <row r="992" customFormat="false" ht="15" hidden="false" customHeight="false" outlineLevel="0" collapsed="false">
      <c r="A992" s="25" t="n">
        <f aca="false">IF(G992="REJECT",COUNTIF($G$2:$G$2277,"&lt;&gt;REJECT")+1+COUNTIFS($G$2:$G$2277,"REJECT",$B$2:$B$2277,"&gt;"&amp;B992),1+COUNTIFS($G$2:$G$2277,"&lt;&gt;REJECT",$B$2:$B$2277,"&gt;"&amp;B992))</f>
        <v>991</v>
      </c>
      <c r="B992" s="26" t="n">
        <f aca="false">ROUND(($U$2*MAX(0,MIN(1,($W$2-I992)/($W$2-$V$2)))+$U$3*MAX(0,MIN(1,($W$3-J992)/($W$3-$V$3)))+$U$4*MAX(0,MIN(1,($W$4-K992)/($W$4-$V$4)))+$U$5*MAX(0,MIN(1,($W$5-L992)/($W$5-$V$5)))+$U$6*MAX(0,MIN(1,($W$6-M992)/($W$6-$V$6)))+$U$7*MAX(0,MIN(1,($W$7-N992)/($W$7-$V$7)))+$U$8*IF(AND(O992&gt;=$V$8,O992&lt;=$W$8),1,0))/$U$9*100,2)</f>
        <v>75.96</v>
      </c>
      <c r="C992" s="27" t="s">
        <v>1819</v>
      </c>
      <c r="D992" s="25" t="s">
        <v>134</v>
      </c>
      <c r="E992" s="25" t="s">
        <v>3447</v>
      </c>
      <c r="F992" s="25" t="s">
        <v>3457</v>
      </c>
      <c r="G992" s="38" t="s">
        <v>30</v>
      </c>
      <c r="H992" s="28" t="s">
        <v>25</v>
      </c>
      <c r="I992" s="25" t="n">
        <v>1</v>
      </c>
      <c r="J992" s="25" t="n">
        <v>1</v>
      </c>
      <c r="K992" s="25" t="n">
        <v>1</v>
      </c>
      <c r="L992" s="29" t="n">
        <v>0.73</v>
      </c>
      <c r="M992" s="30" t="n">
        <v>13.54</v>
      </c>
      <c r="N992" s="29" t="n">
        <v>0.8</v>
      </c>
      <c r="O992" s="25" t="n">
        <v>201</v>
      </c>
      <c r="P992" s="30" t="n">
        <v>0.8</v>
      </c>
      <c r="Q992" s="27" t="s">
        <v>69</v>
      </c>
      <c r="R992" s="27" t="s">
        <v>1152</v>
      </c>
    </row>
    <row r="993" customFormat="false" ht="15" hidden="false" customHeight="false" outlineLevel="0" collapsed="false">
      <c r="A993" s="25" t="n">
        <f aca="false">IF(G993="REJECT",COUNTIF($G$2:$G$2277,"&lt;&gt;REJECT")+1+COUNTIFS($G$2:$G$2277,"REJECT",$B$2:$B$2277,"&gt;"&amp;B993),1+COUNTIFS($G$2:$G$2277,"&lt;&gt;REJECT",$B$2:$B$2277,"&gt;"&amp;B993))</f>
        <v>992</v>
      </c>
      <c r="B993" s="26" t="n">
        <f aca="false">ROUND(($U$2*MAX(0,MIN(1,($W$2-I993)/($W$2-$V$2)))+$U$3*MAX(0,MIN(1,($W$3-J993)/($W$3-$V$3)))+$U$4*MAX(0,MIN(1,($W$4-K993)/($W$4-$V$4)))+$U$5*MAX(0,MIN(1,($W$5-L993)/($W$5-$V$5)))+$U$6*MAX(0,MIN(1,($W$6-M993)/($W$6-$V$6)))+$U$7*MAX(0,MIN(1,($W$7-N993)/($W$7-$V$7)))+$U$8*IF(AND(O993&gt;=$V$8,O993&lt;=$W$8),1,0))/$U$9*100,2)</f>
        <v>75.93</v>
      </c>
      <c r="C993" s="27" t="s">
        <v>566</v>
      </c>
      <c r="D993" s="25" t="s">
        <v>134</v>
      </c>
      <c r="E993" s="25" t="s">
        <v>3447</v>
      </c>
      <c r="F993" s="25" t="s">
        <v>3448</v>
      </c>
      <c r="G993" s="38" t="s">
        <v>30</v>
      </c>
      <c r="H993" s="33" t="s">
        <v>24</v>
      </c>
      <c r="I993" s="25" t="n">
        <v>3</v>
      </c>
      <c r="J993" s="25" t="n">
        <v>0</v>
      </c>
      <c r="K993" s="25" t="n">
        <v>3</v>
      </c>
      <c r="L993" s="29" t="n">
        <v>0.74</v>
      </c>
      <c r="M993" s="30" t="n">
        <v>0.71</v>
      </c>
      <c r="N993" s="29" t="n">
        <v>0.96</v>
      </c>
      <c r="O993" s="25" t="n">
        <v>187</v>
      </c>
      <c r="P993" s="30" t="n">
        <v>4.63</v>
      </c>
      <c r="Q993" s="27" t="s">
        <v>3541</v>
      </c>
      <c r="R993" s="27" t="s">
        <v>30</v>
      </c>
    </row>
    <row r="994" customFormat="false" ht="15" hidden="false" customHeight="false" outlineLevel="0" collapsed="false">
      <c r="A994" s="25" t="n">
        <f aca="false">IF(G994="REJECT",COUNTIF($G$2:$G$2277,"&lt;&gt;REJECT")+1+COUNTIFS($G$2:$G$2277,"REJECT",$B$2:$B$2277,"&gt;"&amp;B994),1+COUNTIFS($G$2:$G$2277,"&lt;&gt;REJECT",$B$2:$B$2277,"&gt;"&amp;B994))</f>
        <v>992</v>
      </c>
      <c r="B994" s="26" t="n">
        <f aca="false">ROUND(($U$2*MAX(0,MIN(1,($W$2-I994)/($W$2-$V$2)))+$U$3*MAX(0,MIN(1,($W$3-J994)/($W$3-$V$3)))+$U$4*MAX(0,MIN(1,($W$4-K994)/($W$4-$V$4)))+$U$5*MAX(0,MIN(1,($W$5-L994)/($W$5-$V$5)))+$U$6*MAX(0,MIN(1,($W$6-M994)/($W$6-$V$6)))+$U$7*MAX(0,MIN(1,($W$7-N994)/($W$7-$V$7)))+$U$8*IF(AND(O994&gt;=$V$8,O994&lt;=$W$8),1,0))/$U$9*100,2)</f>
        <v>75.93</v>
      </c>
      <c r="C994" s="27" t="s">
        <v>2580</v>
      </c>
      <c r="D994" s="25" t="s">
        <v>3459</v>
      </c>
      <c r="E994" s="25" t="s">
        <v>3450</v>
      </c>
      <c r="F994" s="25" t="s">
        <v>3448</v>
      </c>
      <c r="G994" s="38" t="s">
        <v>30</v>
      </c>
      <c r="H994" s="28" t="s">
        <v>25</v>
      </c>
      <c r="I994" s="25" t="n">
        <v>1</v>
      </c>
      <c r="J994" s="25" t="n">
        <v>1</v>
      </c>
      <c r="K994" s="25" t="n">
        <v>1</v>
      </c>
      <c r="L994" s="29" t="n">
        <v>0.76</v>
      </c>
      <c r="M994" s="30" t="n">
        <v>24.15</v>
      </c>
      <c r="N994" s="29" t="n">
        <v>0.84</v>
      </c>
      <c r="O994" s="25" t="n">
        <v>187</v>
      </c>
      <c r="P994" s="30" t="n">
        <v>8.84</v>
      </c>
      <c r="Q994" s="27" t="s">
        <v>70</v>
      </c>
      <c r="R994" s="27" t="s">
        <v>157</v>
      </c>
    </row>
    <row r="995" customFormat="false" ht="15" hidden="false" customHeight="false" outlineLevel="0" collapsed="false">
      <c r="A995" s="25" t="n">
        <f aca="false">IF(G995="REJECT",COUNTIF($G$2:$G$2277,"&lt;&gt;REJECT")+1+COUNTIFS($G$2:$G$2277,"REJECT",$B$2:$B$2277,"&gt;"&amp;B995),1+COUNTIFS($G$2:$G$2277,"&lt;&gt;REJECT",$B$2:$B$2277,"&gt;"&amp;B995))</f>
        <v>994</v>
      </c>
      <c r="B995" s="26" t="n">
        <f aca="false">ROUND(($U$2*MAX(0,MIN(1,($W$2-I995)/($W$2-$V$2)))+$U$3*MAX(0,MIN(1,($W$3-J995)/($W$3-$V$3)))+$U$4*MAX(0,MIN(1,($W$4-K995)/($W$4-$V$4)))+$U$5*MAX(0,MIN(1,($W$5-L995)/($W$5-$V$5)))+$U$6*MAX(0,MIN(1,($W$6-M995)/($W$6-$V$6)))+$U$7*MAX(0,MIN(1,($W$7-N995)/($W$7-$V$7)))+$U$8*IF(AND(O995&gt;=$V$8,O995&lt;=$W$8),1,0))/$U$9*100,2)</f>
        <v>75.91</v>
      </c>
      <c r="C995" s="27" t="s">
        <v>455</v>
      </c>
      <c r="D995" s="25" t="s">
        <v>3459</v>
      </c>
      <c r="E995" s="25" t="s">
        <v>3447</v>
      </c>
      <c r="F995" s="25" t="s">
        <v>3448</v>
      </c>
      <c r="G995" s="38" t="s">
        <v>30</v>
      </c>
      <c r="H995" s="28" t="s">
        <v>25</v>
      </c>
      <c r="I995" s="25" t="n">
        <v>3</v>
      </c>
      <c r="J995" s="25" t="n">
        <v>0</v>
      </c>
      <c r="K995" s="25" t="n">
        <v>3</v>
      </c>
      <c r="L995" s="29" t="n">
        <v>0.79</v>
      </c>
      <c r="M995" s="30" t="n">
        <v>26.46</v>
      </c>
      <c r="N995" s="29" t="n">
        <v>0.2</v>
      </c>
      <c r="O995" s="25" t="n">
        <v>210</v>
      </c>
      <c r="P995" s="30" t="n">
        <v>5.07</v>
      </c>
      <c r="Q995" s="27" t="s">
        <v>3539</v>
      </c>
      <c r="R995" s="27" t="s">
        <v>992</v>
      </c>
    </row>
    <row r="996" customFormat="false" ht="15" hidden="false" customHeight="false" outlineLevel="0" collapsed="false">
      <c r="A996" s="25" t="n">
        <f aca="false">IF(G996="REJECT",COUNTIF($G$2:$G$2277,"&lt;&gt;REJECT")+1+COUNTIFS($G$2:$G$2277,"REJECT",$B$2:$B$2277,"&gt;"&amp;B996),1+COUNTIFS($G$2:$G$2277,"&lt;&gt;REJECT",$B$2:$B$2277,"&gt;"&amp;B996))</f>
        <v>995</v>
      </c>
      <c r="B996" s="26" t="n">
        <f aca="false">ROUND(($U$2*MAX(0,MIN(1,($W$2-I996)/($W$2-$V$2)))+$U$3*MAX(0,MIN(1,($W$3-J996)/($W$3-$V$3)))+$U$4*MAX(0,MIN(1,($W$4-K996)/($W$4-$V$4)))+$U$5*MAX(0,MIN(1,($W$5-L996)/($W$5-$V$5)))+$U$6*MAX(0,MIN(1,($W$6-M996)/($W$6-$V$6)))+$U$7*MAX(0,MIN(1,($W$7-N996)/($W$7-$V$7)))+$U$8*IF(AND(O996&gt;=$V$8,O996&lt;=$W$8),1,0))/$U$9*100,2)</f>
        <v>75.9</v>
      </c>
      <c r="C996" s="27" t="s">
        <v>2429</v>
      </c>
      <c r="D996" s="25" t="s">
        <v>134</v>
      </c>
      <c r="E996" s="25" t="s">
        <v>3450</v>
      </c>
      <c r="F996" s="25" t="s">
        <v>3457</v>
      </c>
      <c r="G996" s="38" t="s">
        <v>30</v>
      </c>
      <c r="H996" s="28" t="s">
        <v>25</v>
      </c>
      <c r="I996" s="25" t="n">
        <v>1</v>
      </c>
      <c r="J996" s="25" t="n">
        <v>1</v>
      </c>
      <c r="K996" s="25" t="n">
        <v>1</v>
      </c>
      <c r="L996" s="29" t="n">
        <v>0.71</v>
      </c>
      <c r="M996" s="30" t="n">
        <v>14.72</v>
      </c>
      <c r="N996" s="29" t="n">
        <v>0</v>
      </c>
      <c r="O996" s="25" t="n">
        <v>182</v>
      </c>
      <c r="P996" s="30" t="n">
        <v>6.05</v>
      </c>
      <c r="Q996" s="27" t="s">
        <v>69</v>
      </c>
      <c r="R996" s="27" t="s">
        <v>283</v>
      </c>
    </row>
    <row r="997" customFormat="false" ht="15" hidden="false" customHeight="false" outlineLevel="0" collapsed="false">
      <c r="A997" s="25" t="n">
        <f aca="false">IF(G997="REJECT",COUNTIF($G$2:$G$2277,"&lt;&gt;REJECT")+1+COUNTIFS($G$2:$G$2277,"REJECT",$B$2:$B$2277,"&gt;"&amp;B997),1+COUNTIFS($G$2:$G$2277,"&lt;&gt;REJECT",$B$2:$B$2277,"&gt;"&amp;B997))</f>
        <v>996</v>
      </c>
      <c r="B997" s="26" t="n">
        <f aca="false">ROUND(($U$2*MAX(0,MIN(1,($W$2-I997)/($W$2-$V$2)))+$U$3*MAX(0,MIN(1,($W$3-J997)/($W$3-$V$3)))+$U$4*MAX(0,MIN(1,($W$4-K997)/($W$4-$V$4)))+$U$5*MAX(0,MIN(1,($W$5-L997)/($W$5-$V$5)))+$U$6*MAX(0,MIN(1,($W$6-M997)/($W$6-$V$6)))+$U$7*MAX(0,MIN(1,($W$7-N997)/($W$7-$V$7)))+$U$8*IF(AND(O997&gt;=$V$8,O997&lt;=$W$8),1,0))/$U$9*100,2)</f>
        <v>75.89</v>
      </c>
      <c r="C997" s="27" t="s">
        <v>1787</v>
      </c>
      <c r="D997" s="25" t="s">
        <v>134</v>
      </c>
      <c r="E997" s="25" t="s">
        <v>3450</v>
      </c>
      <c r="F997" s="25" t="s">
        <v>3457</v>
      </c>
      <c r="G997" s="38" t="s">
        <v>30</v>
      </c>
      <c r="H997" s="28" t="s">
        <v>25</v>
      </c>
      <c r="I997" s="25" t="n">
        <v>1</v>
      </c>
      <c r="J997" s="25" t="n">
        <v>1</v>
      </c>
      <c r="K997" s="25" t="n">
        <v>1</v>
      </c>
      <c r="L997" s="29" t="n">
        <v>0.69</v>
      </c>
      <c r="M997" s="30" t="n">
        <v>3.59</v>
      </c>
      <c r="N997" s="29" t="n">
        <v>0.4</v>
      </c>
      <c r="O997" s="25" t="n">
        <v>184</v>
      </c>
      <c r="P997" s="30" t="n">
        <v>10.53</v>
      </c>
      <c r="Q997" s="27" t="s">
        <v>69</v>
      </c>
      <c r="R997" s="27" t="s">
        <v>283</v>
      </c>
    </row>
    <row r="998" customFormat="false" ht="15" hidden="false" customHeight="false" outlineLevel="0" collapsed="false">
      <c r="A998" s="25" t="n">
        <f aca="false">IF(G998="REJECT",COUNTIF($G$2:$G$2277,"&lt;&gt;REJECT")+1+COUNTIFS($G$2:$G$2277,"REJECT",$B$2:$B$2277,"&gt;"&amp;B998),1+COUNTIFS($G$2:$G$2277,"&lt;&gt;REJECT",$B$2:$B$2277,"&gt;"&amp;B998))</f>
        <v>997</v>
      </c>
      <c r="B998" s="26" t="n">
        <f aca="false">ROUND(($U$2*MAX(0,MIN(1,($W$2-I998)/($W$2-$V$2)))+$U$3*MAX(0,MIN(1,($W$3-J998)/($W$3-$V$3)))+$U$4*MAX(0,MIN(1,($W$4-K998)/($W$4-$V$4)))+$U$5*MAX(0,MIN(1,($W$5-L998)/($W$5-$V$5)))+$U$6*MAX(0,MIN(1,($W$6-M998)/($W$6-$V$6)))+$U$7*MAX(0,MIN(1,($W$7-N998)/($W$7-$V$7)))+$U$8*IF(AND(O998&gt;=$V$8,O998&lt;=$W$8),1,0))/$U$9*100,2)</f>
        <v>75.87</v>
      </c>
      <c r="C998" s="27" t="s">
        <v>676</v>
      </c>
      <c r="D998" s="25" t="s">
        <v>3459</v>
      </c>
      <c r="E998" s="25" t="s">
        <v>3450</v>
      </c>
      <c r="F998" s="25" t="s">
        <v>3457</v>
      </c>
      <c r="G998" s="38" t="s">
        <v>30</v>
      </c>
      <c r="H998" s="28" t="s">
        <v>25</v>
      </c>
      <c r="I998" s="25" t="n">
        <v>1</v>
      </c>
      <c r="J998" s="25" t="n">
        <v>1</v>
      </c>
      <c r="K998" s="25" t="n">
        <v>1</v>
      </c>
      <c r="L998" s="29" t="n">
        <v>0.73</v>
      </c>
      <c r="M998" s="30" t="n">
        <v>16.1</v>
      </c>
      <c r="N998" s="29" t="n">
        <v>0.6</v>
      </c>
      <c r="O998" s="25" t="n">
        <v>182</v>
      </c>
      <c r="P998" s="30" t="n">
        <v>2.98</v>
      </c>
      <c r="Q998" s="27" t="s">
        <v>69</v>
      </c>
      <c r="R998" s="27" t="s">
        <v>1230</v>
      </c>
    </row>
    <row r="999" customFormat="false" ht="15" hidden="false" customHeight="false" outlineLevel="0" collapsed="false">
      <c r="A999" s="25" t="n">
        <f aca="false">IF(G999="REJECT",COUNTIF($G$2:$G$2277,"&lt;&gt;REJECT")+1+COUNTIFS($G$2:$G$2277,"REJECT",$B$2:$B$2277,"&gt;"&amp;B999),1+COUNTIFS($G$2:$G$2277,"&lt;&gt;REJECT",$B$2:$B$2277,"&gt;"&amp;B999))</f>
        <v>998</v>
      </c>
      <c r="B999" s="26" t="n">
        <f aca="false">ROUND(($U$2*MAX(0,MIN(1,($W$2-I999)/($W$2-$V$2)))+$U$3*MAX(0,MIN(1,($W$3-J999)/($W$3-$V$3)))+$U$4*MAX(0,MIN(1,($W$4-K999)/($W$4-$V$4)))+$U$5*MAX(0,MIN(1,($W$5-L999)/($W$5-$V$5)))+$U$6*MAX(0,MIN(1,($W$6-M999)/($W$6-$V$6)))+$U$7*MAX(0,MIN(1,($W$7-N999)/($W$7-$V$7)))+$U$8*IF(AND(O999&gt;=$V$8,O999&lt;=$W$8),1,0))/$U$9*100,2)</f>
        <v>75.86</v>
      </c>
      <c r="C999" s="27" t="s">
        <v>2822</v>
      </c>
      <c r="D999" s="25" t="s">
        <v>134</v>
      </c>
      <c r="E999" s="25" t="s">
        <v>3447</v>
      </c>
      <c r="F999" s="25" t="s">
        <v>3448</v>
      </c>
      <c r="G999" s="38" t="s">
        <v>30</v>
      </c>
      <c r="H999" s="33" t="s">
        <v>24</v>
      </c>
      <c r="I999" s="25" t="n">
        <v>3</v>
      </c>
      <c r="J999" s="25" t="n">
        <v>0</v>
      </c>
      <c r="K999" s="25" t="n">
        <v>3</v>
      </c>
      <c r="L999" s="29" t="n">
        <v>0.75</v>
      </c>
      <c r="M999" s="30" t="n">
        <v>9.14</v>
      </c>
      <c r="N999" s="29" t="n">
        <v>0.52</v>
      </c>
      <c r="O999" s="25" t="n">
        <v>193</v>
      </c>
      <c r="P999" s="30" t="n">
        <v>1.38</v>
      </c>
      <c r="Q999" s="27" t="s">
        <v>3570</v>
      </c>
      <c r="R999" s="27" t="s">
        <v>30</v>
      </c>
    </row>
    <row r="1000" customFormat="false" ht="15" hidden="false" customHeight="false" outlineLevel="0" collapsed="false">
      <c r="A1000" s="25" t="n">
        <f aca="false">IF(G1000="REJECT",COUNTIF($G$2:$G$2277,"&lt;&gt;REJECT")+1+COUNTIFS($G$2:$G$2277,"REJECT",$B$2:$B$2277,"&gt;"&amp;B1000),1+COUNTIFS($G$2:$G$2277,"&lt;&gt;REJECT",$B$2:$B$2277,"&gt;"&amp;B1000))</f>
        <v>999</v>
      </c>
      <c r="B1000" s="26" t="n">
        <f aca="false">ROUND(($U$2*MAX(0,MIN(1,($W$2-I1000)/($W$2-$V$2)))+$U$3*MAX(0,MIN(1,($W$3-J1000)/($W$3-$V$3)))+$U$4*MAX(0,MIN(1,($W$4-K1000)/($W$4-$V$4)))+$U$5*MAX(0,MIN(1,($W$5-L1000)/($W$5-$V$5)))+$U$6*MAX(0,MIN(1,($W$6-M1000)/($W$6-$V$6)))+$U$7*MAX(0,MIN(1,($W$7-N1000)/($W$7-$V$7)))+$U$8*IF(AND(O1000&gt;=$V$8,O1000&lt;=$W$8),1,0))/$U$9*100,2)</f>
        <v>75.84</v>
      </c>
      <c r="C1000" s="27" t="s">
        <v>1360</v>
      </c>
      <c r="D1000" s="25" t="s">
        <v>134</v>
      </c>
      <c r="E1000" s="25" t="s">
        <v>3447</v>
      </c>
      <c r="F1000" s="25" t="s">
        <v>3457</v>
      </c>
      <c r="G1000" s="38" t="s">
        <v>30</v>
      </c>
      <c r="H1000" s="28" t="s">
        <v>25</v>
      </c>
      <c r="I1000" s="25" t="n">
        <v>1</v>
      </c>
      <c r="J1000" s="25" t="n">
        <v>1</v>
      </c>
      <c r="K1000" s="25" t="n">
        <v>1</v>
      </c>
      <c r="L1000" s="29" t="n">
        <v>0.69</v>
      </c>
      <c r="M1000" s="30" t="n">
        <v>7.88</v>
      </c>
      <c r="N1000" s="29" t="n">
        <v>0</v>
      </c>
      <c r="O1000" s="25" t="n">
        <v>185</v>
      </c>
      <c r="P1000" s="30" t="n">
        <v>2.86</v>
      </c>
      <c r="Q1000" s="27" t="s">
        <v>69</v>
      </c>
      <c r="R1000" s="27" t="s">
        <v>283</v>
      </c>
    </row>
    <row r="1001" customFormat="false" ht="15" hidden="false" customHeight="false" outlineLevel="0" collapsed="false">
      <c r="A1001" s="25" t="n">
        <f aca="false">IF(G1001="REJECT",COUNTIF($G$2:$G$2277,"&lt;&gt;REJECT")+1+COUNTIFS($G$2:$G$2277,"REJECT",$B$2:$B$2277,"&gt;"&amp;B1001),1+COUNTIFS($G$2:$G$2277,"&lt;&gt;REJECT",$B$2:$B$2277,"&gt;"&amp;B1001))</f>
        <v>999</v>
      </c>
      <c r="B1001" s="26" t="n">
        <f aca="false">ROUND(($U$2*MAX(0,MIN(1,($W$2-I1001)/($W$2-$V$2)))+$U$3*MAX(0,MIN(1,($W$3-J1001)/($W$3-$V$3)))+$U$4*MAX(0,MIN(1,($W$4-K1001)/($W$4-$V$4)))+$U$5*MAX(0,MIN(1,($W$5-L1001)/($W$5-$V$5)))+$U$6*MAX(0,MIN(1,($W$6-M1001)/($W$6-$V$6)))+$U$7*MAX(0,MIN(1,($W$7-N1001)/($W$7-$V$7)))+$U$8*IF(AND(O1001&gt;=$V$8,O1001&lt;=$W$8),1,0))/$U$9*100,2)</f>
        <v>75.84</v>
      </c>
      <c r="C1001" s="27" t="s">
        <v>2204</v>
      </c>
      <c r="D1001" s="25" t="s">
        <v>3459</v>
      </c>
      <c r="E1001" s="25" t="s">
        <v>3450</v>
      </c>
      <c r="F1001" s="25" t="s">
        <v>3448</v>
      </c>
      <c r="G1001" s="38" t="s">
        <v>30</v>
      </c>
      <c r="H1001" s="28" t="s">
        <v>25</v>
      </c>
      <c r="I1001" s="25" t="n">
        <v>1</v>
      </c>
      <c r="J1001" s="25" t="n">
        <v>1</v>
      </c>
      <c r="K1001" s="25" t="n">
        <v>1</v>
      </c>
      <c r="L1001" s="29" t="n">
        <v>0.74</v>
      </c>
      <c r="M1001" s="30" t="n">
        <v>25.84</v>
      </c>
      <c r="N1001" s="29" t="n">
        <v>0</v>
      </c>
      <c r="O1001" s="25" t="n">
        <v>184</v>
      </c>
      <c r="P1001" s="30" t="n">
        <v>5.79</v>
      </c>
      <c r="Q1001" s="27" t="s">
        <v>69</v>
      </c>
      <c r="R1001" s="27" t="s">
        <v>157</v>
      </c>
    </row>
    <row r="1002" customFormat="false" ht="15" hidden="false" customHeight="false" outlineLevel="0" collapsed="false">
      <c r="A1002" s="25" t="n">
        <f aca="false">IF(G1002="REJECT",COUNTIF($G$2:$G$2277,"&lt;&gt;REJECT")+1+COUNTIFS($G$2:$G$2277,"REJECT",$B$2:$B$2277,"&gt;"&amp;B1002),1+COUNTIFS($G$2:$G$2277,"&lt;&gt;REJECT",$B$2:$B$2277,"&gt;"&amp;B1002))</f>
        <v>1001</v>
      </c>
      <c r="B1002" s="26" t="n">
        <f aca="false">ROUND(($U$2*MAX(0,MIN(1,($W$2-I1002)/($W$2-$V$2)))+$U$3*MAX(0,MIN(1,($W$3-J1002)/($W$3-$V$3)))+$U$4*MAX(0,MIN(1,($W$4-K1002)/($W$4-$V$4)))+$U$5*MAX(0,MIN(1,($W$5-L1002)/($W$5-$V$5)))+$U$6*MAX(0,MIN(1,($W$6-M1002)/($W$6-$V$6)))+$U$7*MAX(0,MIN(1,($W$7-N1002)/($W$7-$V$7)))+$U$8*IF(AND(O1002&gt;=$V$8,O1002&lt;=$W$8),1,0))/$U$9*100,2)</f>
        <v>75.8</v>
      </c>
      <c r="C1002" s="27" t="s">
        <v>2325</v>
      </c>
      <c r="D1002" s="25" t="s">
        <v>134</v>
      </c>
      <c r="E1002" s="25" t="s">
        <v>3447</v>
      </c>
      <c r="F1002" s="25" t="s">
        <v>3457</v>
      </c>
      <c r="G1002" s="38" t="s">
        <v>30</v>
      </c>
      <c r="H1002" s="28" t="s">
        <v>25</v>
      </c>
      <c r="I1002" s="25" t="n">
        <v>3</v>
      </c>
      <c r="J1002" s="25" t="n">
        <v>0</v>
      </c>
      <c r="K1002" s="25" t="n">
        <v>3</v>
      </c>
      <c r="L1002" s="29" t="n">
        <v>0.74</v>
      </c>
      <c r="M1002" s="30" t="n">
        <v>1.5</v>
      </c>
      <c r="N1002" s="29" t="n">
        <v>0.96</v>
      </c>
      <c r="O1002" s="25" t="n">
        <v>182</v>
      </c>
      <c r="P1002" s="30" t="n">
        <v>-1.23</v>
      </c>
      <c r="Q1002" s="27" t="s">
        <v>3571</v>
      </c>
      <c r="R1002" s="27" t="s">
        <v>2610</v>
      </c>
    </row>
    <row r="1003" customFormat="false" ht="15" hidden="false" customHeight="false" outlineLevel="0" collapsed="false">
      <c r="A1003" s="25" t="n">
        <f aca="false">IF(G1003="REJECT",COUNTIF($G$2:$G$2277,"&lt;&gt;REJECT")+1+COUNTIFS($G$2:$G$2277,"REJECT",$B$2:$B$2277,"&gt;"&amp;B1003),1+COUNTIFS($G$2:$G$2277,"&lt;&gt;REJECT",$B$2:$B$2277,"&gt;"&amp;B1003))</f>
        <v>1002</v>
      </c>
      <c r="B1003" s="26" t="n">
        <f aca="false">ROUND(($U$2*MAX(0,MIN(1,($W$2-I1003)/($W$2-$V$2)))+$U$3*MAX(0,MIN(1,($W$3-J1003)/($W$3-$V$3)))+$U$4*MAX(0,MIN(1,($W$4-K1003)/($W$4-$V$4)))+$U$5*MAX(0,MIN(1,($W$5-L1003)/($W$5-$V$5)))+$U$6*MAX(0,MIN(1,($W$6-M1003)/($W$6-$V$6)))+$U$7*MAX(0,MIN(1,($W$7-N1003)/($W$7-$V$7)))+$U$8*IF(AND(O1003&gt;=$V$8,O1003&lt;=$W$8),1,0))/$U$9*100,2)</f>
        <v>75.78</v>
      </c>
      <c r="C1003" s="27" t="s">
        <v>2407</v>
      </c>
      <c r="D1003" s="25" t="s">
        <v>134</v>
      </c>
      <c r="E1003" s="25" t="s">
        <v>3450</v>
      </c>
      <c r="F1003" s="25" t="s">
        <v>3457</v>
      </c>
      <c r="G1003" s="38" t="s">
        <v>30</v>
      </c>
      <c r="H1003" s="28" t="s">
        <v>25</v>
      </c>
      <c r="I1003" s="25" t="n">
        <v>1</v>
      </c>
      <c r="J1003" s="25" t="n">
        <v>1</v>
      </c>
      <c r="K1003" s="25" t="n">
        <v>1</v>
      </c>
      <c r="L1003" s="29" t="n">
        <v>0.73</v>
      </c>
      <c r="M1003" s="30" t="n">
        <v>13.03</v>
      </c>
      <c r="N1003" s="29" t="n">
        <v>0.96</v>
      </c>
      <c r="O1003" s="25" t="n">
        <v>215</v>
      </c>
      <c r="P1003" s="30" t="n">
        <v>16.69</v>
      </c>
      <c r="Q1003" s="27" t="s">
        <v>69</v>
      </c>
      <c r="R1003" s="27" t="s">
        <v>283</v>
      </c>
    </row>
    <row r="1004" customFormat="false" ht="15" hidden="false" customHeight="false" outlineLevel="0" collapsed="false">
      <c r="A1004" s="25" t="n">
        <f aca="false">IF(G1004="REJECT",COUNTIF($G$2:$G$2277,"&lt;&gt;REJECT")+1+COUNTIFS($G$2:$G$2277,"REJECT",$B$2:$B$2277,"&gt;"&amp;B1004),1+COUNTIFS($G$2:$G$2277,"&lt;&gt;REJECT",$B$2:$B$2277,"&gt;"&amp;B1004))</f>
        <v>1003</v>
      </c>
      <c r="B1004" s="26" t="n">
        <f aca="false">ROUND(($U$2*MAX(0,MIN(1,($W$2-I1004)/($W$2-$V$2)))+$U$3*MAX(0,MIN(1,($W$3-J1004)/($W$3-$V$3)))+$U$4*MAX(0,MIN(1,($W$4-K1004)/($W$4-$V$4)))+$U$5*MAX(0,MIN(1,($W$5-L1004)/($W$5-$V$5)))+$U$6*MAX(0,MIN(1,($W$6-M1004)/($W$6-$V$6)))+$U$7*MAX(0,MIN(1,($W$7-N1004)/($W$7-$V$7)))+$U$8*IF(AND(O1004&gt;=$V$8,O1004&lt;=$W$8),1,0))/$U$9*100,2)</f>
        <v>75.71</v>
      </c>
      <c r="C1004" s="27" t="s">
        <v>2247</v>
      </c>
      <c r="D1004" s="25" t="s">
        <v>134</v>
      </c>
      <c r="E1004" s="25" t="s">
        <v>3450</v>
      </c>
      <c r="F1004" s="25" t="s">
        <v>3457</v>
      </c>
      <c r="G1004" s="38" t="s">
        <v>30</v>
      </c>
      <c r="H1004" s="28" t="s">
        <v>25</v>
      </c>
      <c r="I1004" s="25" t="n">
        <v>1</v>
      </c>
      <c r="J1004" s="25" t="n">
        <v>1</v>
      </c>
      <c r="K1004" s="25" t="n">
        <v>1</v>
      </c>
      <c r="L1004" s="29" t="n">
        <v>0.7</v>
      </c>
      <c r="M1004" s="30" t="n">
        <v>9.87</v>
      </c>
      <c r="N1004" s="29" t="n">
        <v>0.24</v>
      </c>
      <c r="O1004" s="25" t="n">
        <v>186</v>
      </c>
      <c r="P1004" s="30" t="n">
        <v>21.79</v>
      </c>
      <c r="Q1004" s="27" t="s">
        <v>69</v>
      </c>
      <c r="R1004" s="27" t="s">
        <v>283</v>
      </c>
    </row>
    <row r="1005" customFormat="false" ht="15" hidden="false" customHeight="false" outlineLevel="0" collapsed="false">
      <c r="A1005" s="25" t="n">
        <f aca="false">IF(G1005="REJECT",COUNTIF($G$2:$G$2277,"&lt;&gt;REJECT")+1+COUNTIFS($G$2:$G$2277,"REJECT",$B$2:$B$2277,"&gt;"&amp;B1005),1+COUNTIFS($G$2:$G$2277,"&lt;&gt;REJECT",$B$2:$B$2277,"&gt;"&amp;B1005))</f>
        <v>1004</v>
      </c>
      <c r="B1005" s="26" t="n">
        <f aca="false">ROUND(($U$2*MAX(0,MIN(1,($W$2-I1005)/($W$2-$V$2)))+$U$3*MAX(0,MIN(1,($W$3-J1005)/($W$3-$V$3)))+$U$4*MAX(0,MIN(1,($W$4-K1005)/($W$4-$V$4)))+$U$5*MAX(0,MIN(1,($W$5-L1005)/($W$5-$V$5)))+$U$6*MAX(0,MIN(1,($W$6-M1005)/($W$6-$V$6)))+$U$7*MAX(0,MIN(1,($W$7-N1005)/($W$7-$V$7)))+$U$8*IF(AND(O1005&gt;=$V$8,O1005&lt;=$W$8),1,0))/$U$9*100,2)</f>
        <v>75.68</v>
      </c>
      <c r="C1005" s="27" t="s">
        <v>1594</v>
      </c>
      <c r="D1005" s="25" t="s">
        <v>3459</v>
      </c>
      <c r="E1005" s="25" t="s">
        <v>3450</v>
      </c>
      <c r="F1005" s="25" t="s">
        <v>3457</v>
      </c>
      <c r="G1005" s="38" t="s">
        <v>30</v>
      </c>
      <c r="H1005" s="28" t="s">
        <v>25</v>
      </c>
      <c r="I1005" s="25" t="n">
        <v>1</v>
      </c>
      <c r="J1005" s="25" t="n">
        <v>1</v>
      </c>
      <c r="K1005" s="25" t="n">
        <v>1</v>
      </c>
      <c r="L1005" s="29" t="n">
        <v>0.74</v>
      </c>
      <c r="M1005" s="30" t="n">
        <v>25.63</v>
      </c>
      <c r="N1005" s="29" t="n">
        <v>0.12</v>
      </c>
      <c r="O1005" s="25" t="n">
        <v>211</v>
      </c>
      <c r="P1005" s="30" t="n">
        <v>-0.24</v>
      </c>
      <c r="Q1005" s="27" t="s">
        <v>69</v>
      </c>
      <c r="R1005" s="27" t="s">
        <v>294</v>
      </c>
    </row>
    <row r="1006" customFormat="false" ht="15" hidden="false" customHeight="false" outlineLevel="0" collapsed="false">
      <c r="A1006" s="25" t="n">
        <f aca="false">IF(G1006="REJECT",COUNTIF($G$2:$G$2277,"&lt;&gt;REJECT")+1+COUNTIFS($G$2:$G$2277,"REJECT",$B$2:$B$2277,"&gt;"&amp;B1006),1+COUNTIFS($G$2:$G$2277,"&lt;&gt;REJECT",$B$2:$B$2277,"&gt;"&amp;B1006))</f>
        <v>1005</v>
      </c>
      <c r="B1006" s="26" t="n">
        <f aca="false">ROUND(($U$2*MAX(0,MIN(1,($W$2-I1006)/($W$2-$V$2)))+$U$3*MAX(0,MIN(1,($W$3-J1006)/($W$3-$V$3)))+$U$4*MAX(0,MIN(1,($W$4-K1006)/($W$4-$V$4)))+$U$5*MAX(0,MIN(1,($W$5-L1006)/($W$5-$V$5)))+$U$6*MAX(0,MIN(1,($W$6-M1006)/($W$6-$V$6)))+$U$7*MAX(0,MIN(1,($W$7-N1006)/($W$7-$V$7)))+$U$8*IF(AND(O1006&gt;=$V$8,O1006&lt;=$W$8),1,0))/$U$9*100,2)</f>
        <v>75.67</v>
      </c>
      <c r="C1006" s="27" t="s">
        <v>455</v>
      </c>
      <c r="D1006" s="25" t="s">
        <v>134</v>
      </c>
      <c r="E1006" s="25" t="s">
        <v>3450</v>
      </c>
      <c r="F1006" s="25" t="s">
        <v>3457</v>
      </c>
      <c r="G1006" s="38" t="s">
        <v>30</v>
      </c>
      <c r="H1006" s="28" t="s">
        <v>25</v>
      </c>
      <c r="I1006" s="25" t="n">
        <v>1</v>
      </c>
      <c r="J1006" s="25" t="n">
        <v>1</v>
      </c>
      <c r="K1006" s="25" t="n">
        <v>1</v>
      </c>
      <c r="L1006" s="29" t="n">
        <v>0.74</v>
      </c>
      <c r="M1006" s="30" t="n">
        <v>18.89</v>
      </c>
      <c r="N1006" s="29" t="n">
        <v>0.8</v>
      </c>
      <c r="O1006" s="25" t="n">
        <v>183</v>
      </c>
      <c r="P1006" s="30" t="n">
        <v>13.94</v>
      </c>
      <c r="Q1006" s="27" t="s">
        <v>69</v>
      </c>
      <c r="R1006" s="27" t="s">
        <v>283</v>
      </c>
    </row>
    <row r="1007" customFormat="false" ht="15" hidden="false" customHeight="false" outlineLevel="0" collapsed="false">
      <c r="A1007" s="25" t="n">
        <f aca="false">IF(G1007="REJECT",COUNTIF($G$2:$G$2277,"&lt;&gt;REJECT")+1+COUNTIFS($G$2:$G$2277,"REJECT",$B$2:$B$2277,"&gt;"&amp;B1007),1+COUNTIFS($G$2:$G$2277,"&lt;&gt;REJECT",$B$2:$B$2277,"&gt;"&amp;B1007))</f>
        <v>1006</v>
      </c>
      <c r="B1007" s="26" t="n">
        <f aca="false">ROUND(($U$2*MAX(0,MIN(1,($W$2-I1007)/($W$2-$V$2)))+$U$3*MAX(0,MIN(1,($W$3-J1007)/($W$3-$V$3)))+$U$4*MAX(0,MIN(1,($W$4-K1007)/($W$4-$V$4)))+$U$5*MAX(0,MIN(1,($W$5-L1007)/($W$5-$V$5)))+$U$6*MAX(0,MIN(1,($W$6-M1007)/($W$6-$V$6)))+$U$7*MAX(0,MIN(1,($W$7-N1007)/($W$7-$V$7)))+$U$8*IF(AND(O1007&gt;=$V$8,O1007&lt;=$W$8),1,0))/$U$9*100,2)</f>
        <v>75.64</v>
      </c>
      <c r="C1007" s="27" t="s">
        <v>1600</v>
      </c>
      <c r="D1007" s="25" t="s">
        <v>134</v>
      </c>
      <c r="E1007" s="25" t="s">
        <v>3450</v>
      </c>
      <c r="F1007" s="25" t="s">
        <v>3448</v>
      </c>
      <c r="G1007" s="38" t="s">
        <v>30</v>
      </c>
      <c r="H1007" s="28" t="s">
        <v>25</v>
      </c>
      <c r="I1007" s="25" t="n">
        <v>2</v>
      </c>
      <c r="J1007" s="25" t="n">
        <v>1</v>
      </c>
      <c r="K1007" s="25" t="n">
        <v>2</v>
      </c>
      <c r="L1007" s="29" t="n">
        <v>0.81</v>
      </c>
      <c r="M1007" s="30" t="n">
        <v>8.76</v>
      </c>
      <c r="N1007" s="29" t="n">
        <v>0.24</v>
      </c>
      <c r="O1007" s="25" t="n">
        <v>183</v>
      </c>
      <c r="P1007" s="30" t="n">
        <v>3.46</v>
      </c>
      <c r="Q1007" s="27" t="s">
        <v>3566</v>
      </c>
      <c r="R1007" s="27" t="s">
        <v>1152</v>
      </c>
    </row>
    <row r="1008" customFormat="false" ht="15" hidden="false" customHeight="false" outlineLevel="0" collapsed="false">
      <c r="A1008" s="25" t="n">
        <f aca="false">IF(G1008="REJECT",COUNTIF($G$2:$G$2277,"&lt;&gt;REJECT")+1+COUNTIFS($G$2:$G$2277,"REJECT",$B$2:$B$2277,"&gt;"&amp;B1008),1+COUNTIFS($G$2:$G$2277,"&lt;&gt;REJECT",$B$2:$B$2277,"&gt;"&amp;B1008))</f>
        <v>1007</v>
      </c>
      <c r="B1008" s="26" t="n">
        <f aca="false">ROUND(($U$2*MAX(0,MIN(1,($W$2-I1008)/($W$2-$V$2)))+$U$3*MAX(0,MIN(1,($W$3-J1008)/($W$3-$V$3)))+$U$4*MAX(0,MIN(1,($W$4-K1008)/($W$4-$V$4)))+$U$5*MAX(0,MIN(1,($W$5-L1008)/($W$5-$V$5)))+$U$6*MAX(0,MIN(1,($W$6-M1008)/($W$6-$V$6)))+$U$7*MAX(0,MIN(1,($W$7-N1008)/($W$7-$V$7)))+$U$8*IF(AND(O1008&gt;=$V$8,O1008&lt;=$W$8),1,0))/$U$9*100,2)</f>
        <v>75.59</v>
      </c>
      <c r="C1008" s="27" t="s">
        <v>2198</v>
      </c>
      <c r="D1008" s="25" t="s">
        <v>134</v>
      </c>
      <c r="E1008" s="25" t="s">
        <v>3450</v>
      </c>
      <c r="F1008" s="25" t="s">
        <v>3448</v>
      </c>
      <c r="G1008" s="38" t="s">
        <v>30</v>
      </c>
      <c r="H1008" s="28" t="s">
        <v>25</v>
      </c>
      <c r="I1008" s="25" t="n">
        <v>1</v>
      </c>
      <c r="J1008" s="25" t="n">
        <v>1</v>
      </c>
      <c r="K1008" s="25" t="n">
        <v>1</v>
      </c>
      <c r="L1008" s="29" t="n">
        <v>0.71</v>
      </c>
      <c r="M1008" s="30" t="n">
        <v>13.77</v>
      </c>
      <c r="N1008" s="29" t="n">
        <v>0.28</v>
      </c>
      <c r="O1008" s="25" t="n">
        <v>184</v>
      </c>
      <c r="P1008" s="30" t="n">
        <v>9.69</v>
      </c>
      <c r="Q1008" s="27" t="s">
        <v>69</v>
      </c>
      <c r="R1008" s="27" t="s">
        <v>283</v>
      </c>
    </row>
    <row r="1009" customFormat="false" ht="15" hidden="false" customHeight="false" outlineLevel="0" collapsed="false">
      <c r="A1009" s="25" t="n">
        <f aca="false">IF(G1009="REJECT",COUNTIF($G$2:$G$2277,"&lt;&gt;REJECT")+1+COUNTIFS($G$2:$G$2277,"REJECT",$B$2:$B$2277,"&gt;"&amp;B1009),1+COUNTIFS($G$2:$G$2277,"&lt;&gt;REJECT",$B$2:$B$2277,"&gt;"&amp;B1009))</f>
        <v>1008</v>
      </c>
      <c r="B1009" s="26" t="n">
        <f aca="false">ROUND(($U$2*MAX(0,MIN(1,($W$2-I1009)/($W$2-$V$2)))+$U$3*MAX(0,MIN(1,($W$3-J1009)/($W$3-$V$3)))+$U$4*MAX(0,MIN(1,($W$4-K1009)/($W$4-$V$4)))+$U$5*MAX(0,MIN(1,($W$5-L1009)/($W$5-$V$5)))+$U$6*MAX(0,MIN(1,($W$6-M1009)/($W$6-$V$6)))+$U$7*MAX(0,MIN(1,($W$7-N1009)/($W$7-$V$7)))+$U$8*IF(AND(O1009&gt;=$V$8,O1009&lt;=$W$8),1,0))/$U$9*100,2)</f>
        <v>75.58</v>
      </c>
      <c r="C1009" s="27" t="s">
        <v>2574</v>
      </c>
      <c r="D1009" s="25" t="s">
        <v>134</v>
      </c>
      <c r="E1009" s="25" t="s">
        <v>3450</v>
      </c>
      <c r="F1009" s="25" t="s">
        <v>3448</v>
      </c>
      <c r="G1009" s="38" t="s">
        <v>30</v>
      </c>
      <c r="H1009" s="28" t="s">
        <v>25</v>
      </c>
      <c r="I1009" s="25" t="n">
        <v>1</v>
      </c>
      <c r="J1009" s="25" t="n">
        <v>1</v>
      </c>
      <c r="K1009" s="25" t="n">
        <v>1</v>
      </c>
      <c r="L1009" s="29" t="n">
        <v>0.75</v>
      </c>
      <c r="M1009" s="30" t="n">
        <v>23.45</v>
      </c>
      <c r="N1009" s="29" t="n">
        <v>0.76</v>
      </c>
      <c r="O1009" s="25" t="n">
        <v>183</v>
      </c>
      <c r="P1009" s="30" t="n">
        <v>3.93</v>
      </c>
      <c r="Q1009" s="27" t="s">
        <v>70</v>
      </c>
      <c r="R1009" s="27" t="s">
        <v>157</v>
      </c>
    </row>
    <row r="1010" customFormat="false" ht="15" hidden="false" customHeight="false" outlineLevel="0" collapsed="false">
      <c r="A1010" s="25" t="n">
        <f aca="false">IF(G1010="REJECT",COUNTIF($G$2:$G$2277,"&lt;&gt;REJECT")+1+COUNTIFS($G$2:$G$2277,"REJECT",$B$2:$B$2277,"&gt;"&amp;B1010),1+COUNTIFS($G$2:$G$2277,"&lt;&gt;REJECT",$B$2:$B$2277,"&gt;"&amp;B1010))</f>
        <v>1008</v>
      </c>
      <c r="B1010" s="26" t="n">
        <f aca="false">ROUND(($U$2*MAX(0,MIN(1,($W$2-I1010)/($W$2-$V$2)))+$U$3*MAX(0,MIN(1,($W$3-J1010)/($W$3-$V$3)))+$U$4*MAX(0,MIN(1,($W$4-K1010)/($W$4-$V$4)))+$U$5*MAX(0,MIN(1,($W$5-L1010)/($W$5-$V$5)))+$U$6*MAX(0,MIN(1,($W$6-M1010)/($W$6-$V$6)))+$U$7*MAX(0,MIN(1,($W$7-N1010)/($W$7-$V$7)))+$U$8*IF(AND(O1010&gt;=$V$8,O1010&lt;=$W$8),1,0))/$U$9*100,2)</f>
        <v>75.58</v>
      </c>
      <c r="C1010" s="27" t="s">
        <v>3001</v>
      </c>
      <c r="D1010" s="25" t="s">
        <v>134</v>
      </c>
      <c r="E1010" s="25" t="s">
        <v>3447</v>
      </c>
      <c r="F1010" s="25" t="s">
        <v>3448</v>
      </c>
      <c r="G1010" s="38" t="s">
        <v>30</v>
      </c>
      <c r="H1010" s="28" t="s">
        <v>25</v>
      </c>
      <c r="I1010" s="25" t="n">
        <v>1</v>
      </c>
      <c r="J1010" s="25" t="n">
        <v>1</v>
      </c>
      <c r="K1010" s="25" t="n">
        <v>1</v>
      </c>
      <c r="L1010" s="29" t="n">
        <v>0.72</v>
      </c>
      <c r="M1010" s="30" t="n">
        <v>14.62</v>
      </c>
      <c r="N1010" s="29" t="n">
        <v>0.56</v>
      </c>
      <c r="O1010" s="25" t="n">
        <v>191</v>
      </c>
      <c r="P1010" s="30" t="n">
        <v>4.28</v>
      </c>
      <c r="Q1010" s="27" t="s">
        <v>69</v>
      </c>
      <c r="R1010" s="27" t="s">
        <v>283</v>
      </c>
    </row>
    <row r="1011" customFormat="false" ht="15" hidden="false" customHeight="false" outlineLevel="0" collapsed="false">
      <c r="A1011" s="25" t="n">
        <f aca="false">IF(G1011="REJECT",COUNTIF($G$2:$G$2277,"&lt;&gt;REJECT")+1+COUNTIFS($G$2:$G$2277,"REJECT",$B$2:$B$2277,"&gt;"&amp;B1011),1+COUNTIFS($G$2:$G$2277,"&lt;&gt;REJECT",$B$2:$B$2277,"&gt;"&amp;B1011))</f>
        <v>1010</v>
      </c>
      <c r="B1011" s="26" t="n">
        <f aca="false">ROUND(($U$2*MAX(0,MIN(1,($W$2-I1011)/($W$2-$V$2)))+$U$3*MAX(0,MIN(1,($W$3-J1011)/($W$3-$V$3)))+$U$4*MAX(0,MIN(1,($W$4-K1011)/($W$4-$V$4)))+$U$5*MAX(0,MIN(1,($W$5-L1011)/($W$5-$V$5)))+$U$6*MAX(0,MIN(1,($W$6-M1011)/($W$6-$V$6)))+$U$7*MAX(0,MIN(1,($W$7-N1011)/($W$7-$V$7)))+$U$8*IF(AND(O1011&gt;=$V$8,O1011&lt;=$W$8),1,0))/$U$9*100,2)</f>
        <v>75.51</v>
      </c>
      <c r="C1011" s="27" t="s">
        <v>1813</v>
      </c>
      <c r="D1011" s="25" t="s">
        <v>134</v>
      </c>
      <c r="E1011" s="25" t="s">
        <v>3450</v>
      </c>
      <c r="F1011" s="25" t="s">
        <v>3457</v>
      </c>
      <c r="G1011" s="38" t="s">
        <v>30</v>
      </c>
      <c r="H1011" s="28" t="s">
        <v>25</v>
      </c>
      <c r="I1011" s="25" t="n">
        <v>1</v>
      </c>
      <c r="J1011" s="25" t="n">
        <v>1</v>
      </c>
      <c r="K1011" s="25" t="n">
        <v>1</v>
      </c>
      <c r="L1011" s="29" t="n">
        <v>0.72</v>
      </c>
      <c r="M1011" s="30" t="n">
        <v>20.62</v>
      </c>
      <c r="N1011" s="29" t="n">
        <v>0</v>
      </c>
      <c r="O1011" s="25" t="n">
        <v>183</v>
      </c>
      <c r="P1011" s="30" t="n">
        <v>2.31</v>
      </c>
      <c r="Q1011" s="27" t="s">
        <v>69</v>
      </c>
      <c r="R1011" s="27" t="s">
        <v>1046</v>
      </c>
    </row>
    <row r="1012" customFormat="false" ht="15" hidden="false" customHeight="false" outlineLevel="0" collapsed="false">
      <c r="A1012" s="25" t="n">
        <f aca="false">IF(G1012="REJECT",COUNTIF($G$2:$G$2277,"&lt;&gt;REJECT")+1+COUNTIFS($G$2:$G$2277,"REJECT",$B$2:$B$2277,"&gt;"&amp;B1012),1+COUNTIFS($G$2:$G$2277,"&lt;&gt;REJECT",$B$2:$B$2277,"&gt;"&amp;B1012))</f>
        <v>1011</v>
      </c>
      <c r="B1012" s="26" t="n">
        <f aca="false">ROUND(($U$2*MAX(0,MIN(1,($W$2-I1012)/($W$2-$V$2)))+$U$3*MAX(0,MIN(1,($W$3-J1012)/($W$3-$V$3)))+$U$4*MAX(0,MIN(1,($W$4-K1012)/($W$4-$V$4)))+$U$5*MAX(0,MIN(1,($W$5-L1012)/($W$5-$V$5)))+$U$6*MAX(0,MIN(1,($W$6-M1012)/($W$6-$V$6)))+$U$7*MAX(0,MIN(1,($W$7-N1012)/($W$7-$V$7)))+$U$8*IF(AND(O1012&gt;=$V$8,O1012&lt;=$W$8),1,0))/$U$9*100,2)</f>
        <v>75.48</v>
      </c>
      <c r="C1012" s="27" t="s">
        <v>2274</v>
      </c>
      <c r="D1012" s="25" t="s">
        <v>134</v>
      </c>
      <c r="E1012" s="25" t="s">
        <v>3450</v>
      </c>
      <c r="F1012" s="25" t="s">
        <v>3457</v>
      </c>
      <c r="G1012" s="38" t="s">
        <v>30</v>
      </c>
      <c r="H1012" s="28" t="s">
        <v>25</v>
      </c>
      <c r="I1012" s="25" t="n">
        <v>1</v>
      </c>
      <c r="J1012" s="25" t="n">
        <v>1</v>
      </c>
      <c r="K1012" s="25" t="n">
        <v>1</v>
      </c>
      <c r="L1012" s="29" t="n">
        <v>0.69</v>
      </c>
      <c r="M1012" s="30" t="n">
        <v>10.04</v>
      </c>
      <c r="N1012" s="29" t="n">
        <v>0</v>
      </c>
      <c r="O1012" s="25" t="n">
        <v>182</v>
      </c>
      <c r="P1012" s="30" t="n">
        <v>11.24</v>
      </c>
      <c r="Q1012" s="27" t="s">
        <v>69</v>
      </c>
      <c r="R1012" s="27" t="s">
        <v>283</v>
      </c>
    </row>
    <row r="1013" customFormat="false" ht="15" hidden="false" customHeight="false" outlineLevel="0" collapsed="false">
      <c r="A1013" s="25" t="n">
        <f aca="false">IF(G1013="REJECT",COUNTIF($G$2:$G$2277,"&lt;&gt;REJECT")+1+COUNTIFS($G$2:$G$2277,"REJECT",$B$2:$B$2277,"&gt;"&amp;B1013),1+COUNTIFS($G$2:$G$2277,"&lt;&gt;REJECT",$B$2:$B$2277,"&gt;"&amp;B1013))</f>
        <v>1011</v>
      </c>
      <c r="B1013" s="26" t="n">
        <f aca="false">ROUND(($U$2*MAX(0,MIN(1,($W$2-I1013)/($W$2-$V$2)))+$U$3*MAX(0,MIN(1,($W$3-J1013)/($W$3-$V$3)))+$U$4*MAX(0,MIN(1,($W$4-K1013)/($W$4-$V$4)))+$U$5*MAX(0,MIN(1,($W$5-L1013)/($W$5-$V$5)))+$U$6*MAX(0,MIN(1,($W$6-M1013)/($W$6-$V$6)))+$U$7*MAX(0,MIN(1,($W$7-N1013)/($W$7-$V$7)))+$U$8*IF(AND(O1013&gt;=$V$8,O1013&lt;=$W$8),1,0))/$U$9*100,2)</f>
        <v>75.48</v>
      </c>
      <c r="C1013" s="27" t="s">
        <v>3034</v>
      </c>
      <c r="D1013" s="25" t="s">
        <v>3459</v>
      </c>
      <c r="E1013" s="25" t="s">
        <v>3450</v>
      </c>
      <c r="F1013" s="25" t="s">
        <v>3448</v>
      </c>
      <c r="G1013" s="38" t="s">
        <v>30</v>
      </c>
      <c r="H1013" s="28" t="s">
        <v>25</v>
      </c>
      <c r="I1013" s="25" t="n">
        <v>1</v>
      </c>
      <c r="J1013" s="25" t="n">
        <v>1</v>
      </c>
      <c r="K1013" s="25" t="n">
        <v>1</v>
      </c>
      <c r="L1013" s="29" t="n">
        <v>0.8</v>
      </c>
      <c r="M1013" s="30" t="n">
        <v>17.25</v>
      </c>
      <c r="N1013" s="29" t="n">
        <v>0.24</v>
      </c>
      <c r="O1013" s="25" t="n">
        <v>249</v>
      </c>
      <c r="P1013" s="30" t="n">
        <v>15.58</v>
      </c>
      <c r="Q1013" s="27" t="s">
        <v>69</v>
      </c>
      <c r="R1013" s="27" t="s">
        <v>1343</v>
      </c>
    </row>
    <row r="1014" customFormat="false" ht="15" hidden="false" customHeight="false" outlineLevel="0" collapsed="false">
      <c r="A1014" s="25" t="n">
        <f aca="false">IF(G1014="REJECT",COUNTIF($G$2:$G$2277,"&lt;&gt;REJECT")+1+COUNTIFS($G$2:$G$2277,"REJECT",$B$2:$B$2277,"&gt;"&amp;B1014),1+COUNTIFS($G$2:$G$2277,"&lt;&gt;REJECT",$B$2:$B$2277,"&gt;"&amp;B1014))</f>
        <v>1013</v>
      </c>
      <c r="B1014" s="26" t="n">
        <f aca="false">ROUND(($U$2*MAX(0,MIN(1,($W$2-I1014)/($W$2-$V$2)))+$U$3*MAX(0,MIN(1,($W$3-J1014)/($W$3-$V$3)))+$U$4*MAX(0,MIN(1,($W$4-K1014)/($W$4-$V$4)))+$U$5*MAX(0,MIN(1,($W$5-L1014)/($W$5-$V$5)))+$U$6*MAX(0,MIN(1,($W$6-M1014)/($W$6-$V$6)))+$U$7*MAX(0,MIN(1,($W$7-N1014)/($W$7-$V$7)))+$U$8*IF(AND(O1014&gt;=$V$8,O1014&lt;=$W$8),1,0))/$U$9*100,2)</f>
        <v>75.46</v>
      </c>
      <c r="C1014" s="27" t="s">
        <v>1458</v>
      </c>
      <c r="D1014" s="25" t="s">
        <v>3459</v>
      </c>
      <c r="E1014" s="25" t="s">
        <v>3450</v>
      </c>
      <c r="F1014" s="25" t="s">
        <v>3448</v>
      </c>
      <c r="G1014" s="38" t="s">
        <v>30</v>
      </c>
      <c r="H1014" s="28" t="s">
        <v>25</v>
      </c>
      <c r="I1014" s="25" t="n">
        <v>2</v>
      </c>
      <c r="J1014" s="25" t="n">
        <v>1</v>
      </c>
      <c r="K1014" s="25" t="n">
        <v>2</v>
      </c>
      <c r="L1014" s="29" t="n">
        <v>0.81</v>
      </c>
      <c r="M1014" s="30" t="n">
        <v>12.22</v>
      </c>
      <c r="N1014" s="29" t="n">
        <v>0</v>
      </c>
      <c r="O1014" s="25" t="n">
        <v>212</v>
      </c>
      <c r="P1014" s="30" t="n">
        <v>10.42</v>
      </c>
      <c r="Q1014" s="27" t="s">
        <v>3566</v>
      </c>
      <c r="R1014" s="27" t="s">
        <v>283</v>
      </c>
    </row>
    <row r="1015" customFormat="false" ht="15" hidden="false" customHeight="false" outlineLevel="0" collapsed="false">
      <c r="A1015" s="25" t="n">
        <f aca="false">IF(G1015="REJECT",COUNTIF($G$2:$G$2277,"&lt;&gt;REJECT")+1+COUNTIFS($G$2:$G$2277,"REJECT",$B$2:$B$2277,"&gt;"&amp;B1015),1+COUNTIFS($G$2:$G$2277,"&lt;&gt;REJECT",$B$2:$B$2277,"&gt;"&amp;B1015))</f>
        <v>1014</v>
      </c>
      <c r="B1015" s="26" t="n">
        <f aca="false">ROUND(($U$2*MAX(0,MIN(1,($W$2-I1015)/($W$2-$V$2)))+$U$3*MAX(0,MIN(1,($W$3-J1015)/($W$3-$V$3)))+$U$4*MAX(0,MIN(1,($W$4-K1015)/($W$4-$V$4)))+$U$5*MAX(0,MIN(1,($W$5-L1015)/($W$5-$V$5)))+$U$6*MAX(0,MIN(1,($W$6-M1015)/($W$6-$V$6)))+$U$7*MAX(0,MIN(1,($W$7-N1015)/($W$7-$V$7)))+$U$8*IF(AND(O1015&gt;=$V$8,O1015&lt;=$W$8),1,0))/$U$9*100,2)</f>
        <v>75.43</v>
      </c>
      <c r="C1015" s="27" t="s">
        <v>594</v>
      </c>
      <c r="D1015" s="25" t="s">
        <v>134</v>
      </c>
      <c r="E1015" s="25" t="s">
        <v>3450</v>
      </c>
      <c r="F1015" s="25" t="s">
        <v>3448</v>
      </c>
      <c r="G1015" s="38" t="s">
        <v>30</v>
      </c>
      <c r="H1015" s="28" t="s">
        <v>25</v>
      </c>
      <c r="I1015" s="25" t="n">
        <v>1</v>
      </c>
      <c r="J1015" s="25" t="n">
        <v>1</v>
      </c>
      <c r="K1015" s="25" t="n">
        <v>1</v>
      </c>
      <c r="L1015" s="29" t="n">
        <v>0.73</v>
      </c>
      <c r="M1015" s="30" t="n">
        <v>22.73</v>
      </c>
      <c r="N1015" s="29" t="n">
        <v>0.2</v>
      </c>
      <c r="O1015" s="25" t="n">
        <v>182</v>
      </c>
      <c r="P1015" s="30" t="n">
        <v>13.7</v>
      </c>
      <c r="Q1015" s="27" t="s">
        <v>69</v>
      </c>
      <c r="R1015" s="27" t="s">
        <v>183</v>
      </c>
    </row>
    <row r="1016" customFormat="false" ht="15" hidden="false" customHeight="false" outlineLevel="0" collapsed="false">
      <c r="A1016" s="25" t="n">
        <f aca="false">IF(G1016="REJECT",COUNTIF($G$2:$G$2277,"&lt;&gt;REJECT")+1+COUNTIFS($G$2:$G$2277,"REJECT",$B$2:$B$2277,"&gt;"&amp;B1016),1+COUNTIFS($G$2:$G$2277,"&lt;&gt;REJECT",$B$2:$B$2277,"&gt;"&amp;B1016))</f>
        <v>1015</v>
      </c>
      <c r="B1016" s="26" t="n">
        <f aca="false">ROUND(($U$2*MAX(0,MIN(1,($W$2-I1016)/($W$2-$V$2)))+$U$3*MAX(0,MIN(1,($W$3-J1016)/($W$3-$V$3)))+$U$4*MAX(0,MIN(1,($W$4-K1016)/($W$4-$V$4)))+$U$5*MAX(0,MIN(1,($W$5-L1016)/($W$5-$V$5)))+$U$6*MAX(0,MIN(1,($W$6-M1016)/($W$6-$V$6)))+$U$7*MAX(0,MIN(1,($W$7-N1016)/($W$7-$V$7)))+$U$8*IF(AND(O1016&gt;=$V$8,O1016&lt;=$W$8),1,0))/$U$9*100,2)</f>
        <v>75.36</v>
      </c>
      <c r="C1016" s="27" t="s">
        <v>2067</v>
      </c>
      <c r="D1016" s="25" t="s">
        <v>134</v>
      </c>
      <c r="E1016" s="25" t="s">
        <v>3450</v>
      </c>
      <c r="F1016" s="25" t="s">
        <v>3457</v>
      </c>
      <c r="G1016" s="38" t="s">
        <v>30</v>
      </c>
      <c r="H1016" s="28" t="s">
        <v>25</v>
      </c>
      <c r="I1016" s="25" t="n">
        <v>1</v>
      </c>
      <c r="J1016" s="25" t="n">
        <v>1</v>
      </c>
      <c r="K1016" s="25" t="n">
        <v>1</v>
      </c>
      <c r="L1016" s="29" t="n">
        <v>0.72</v>
      </c>
      <c r="M1016" s="30" t="n">
        <v>15.55</v>
      </c>
      <c r="N1016" s="29" t="n">
        <v>0.6</v>
      </c>
      <c r="O1016" s="25" t="n">
        <v>190</v>
      </c>
      <c r="P1016" s="30" t="n">
        <v>18.56</v>
      </c>
      <c r="Q1016" s="27" t="s">
        <v>73</v>
      </c>
      <c r="R1016" s="27" t="s">
        <v>283</v>
      </c>
    </row>
    <row r="1017" customFormat="false" ht="15" hidden="false" customHeight="false" outlineLevel="0" collapsed="false">
      <c r="A1017" s="25" t="n">
        <f aca="false">IF(G1017="REJECT",COUNTIF($G$2:$G$2277,"&lt;&gt;REJECT")+1+COUNTIFS($G$2:$G$2277,"REJECT",$B$2:$B$2277,"&gt;"&amp;B1017),1+COUNTIFS($G$2:$G$2277,"&lt;&gt;REJECT",$B$2:$B$2277,"&gt;"&amp;B1017))</f>
        <v>1015</v>
      </c>
      <c r="B1017" s="26" t="n">
        <f aca="false">ROUND(($U$2*MAX(0,MIN(1,($W$2-I1017)/($W$2-$V$2)))+$U$3*MAX(0,MIN(1,($W$3-J1017)/($W$3-$V$3)))+$U$4*MAX(0,MIN(1,($W$4-K1017)/($W$4-$V$4)))+$U$5*MAX(0,MIN(1,($W$5-L1017)/($W$5-$V$5)))+$U$6*MAX(0,MIN(1,($W$6-M1017)/($W$6-$V$6)))+$U$7*MAX(0,MIN(1,($W$7-N1017)/($W$7-$V$7)))+$U$8*IF(AND(O1017&gt;=$V$8,O1017&lt;=$W$8),1,0))/$U$9*100,2)</f>
        <v>75.36</v>
      </c>
      <c r="C1017" s="27" t="s">
        <v>2660</v>
      </c>
      <c r="D1017" s="25" t="s">
        <v>134</v>
      </c>
      <c r="E1017" s="25" t="s">
        <v>3450</v>
      </c>
      <c r="F1017" s="25" t="s">
        <v>3448</v>
      </c>
      <c r="G1017" s="38" t="s">
        <v>30</v>
      </c>
      <c r="H1017" s="28" t="s">
        <v>25</v>
      </c>
      <c r="I1017" s="25" t="n">
        <v>2</v>
      </c>
      <c r="J1017" s="25" t="n">
        <v>1</v>
      </c>
      <c r="K1017" s="25" t="n">
        <v>2</v>
      </c>
      <c r="L1017" s="29" t="n">
        <v>0.82</v>
      </c>
      <c r="M1017" s="30" t="n">
        <v>11.24</v>
      </c>
      <c r="N1017" s="29" t="n">
        <v>0.16</v>
      </c>
      <c r="O1017" s="25" t="n">
        <v>186</v>
      </c>
      <c r="P1017" s="30" t="n">
        <v>7.29</v>
      </c>
      <c r="Q1017" s="27" t="s">
        <v>3566</v>
      </c>
      <c r="R1017" s="27" t="s">
        <v>1152</v>
      </c>
    </row>
    <row r="1018" customFormat="false" ht="15" hidden="false" customHeight="false" outlineLevel="0" collapsed="false">
      <c r="A1018" s="25" t="n">
        <f aca="false">IF(G1018="REJECT",COUNTIF($G$2:$G$2277,"&lt;&gt;REJECT")+1+COUNTIFS($G$2:$G$2277,"REJECT",$B$2:$B$2277,"&gt;"&amp;B1018),1+COUNTIFS($G$2:$G$2277,"&lt;&gt;REJECT",$B$2:$B$2277,"&gt;"&amp;B1018))</f>
        <v>1017</v>
      </c>
      <c r="B1018" s="26" t="n">
        <f aca="false">ROUND(($U$2*MAX(0,MIN(1,($W$2-I1018)/($W$2-$V$2)))+$U$3*MAX(0,MIN(1,($W$3-J1018)/($W$3-$V$3)))+$U$4*MAX(0,MIN(1,($W$4-K1018)/($W$4-$V$4)))+$U$5*MAX(0,MIN(1,($W$5-L1018)/($W$5-$V$5)))+$U$6*MAX(0,MIN(1,($W$6-M1018)/($W$6-$V$6)))+$U$7*MAX(0,MIN(1,($W$7-N1018)/($W$7-$V$7)))+$U$8*IF(AND(O1018&gt;=$V$8,O1018&lt;=$W$8),1,0))/$U$9*100,2)</f>
        <v>75.35</v>
      </c>
      <c r="C1018" s="27" t="s">
        <v>2703</v>
      </c>
      <c r="D1018" s="25" t="s">
        <v>3459</v>
      </c>
      <c r="E1018" s="25" t="s">
        <v>3447</v>
      </c>
      <c r="F1018" s="25" t="s">
        <v>3457</v>
      </c>
      <c r="G1018" s="38" t="s">
        <v>30</v>
      </c>
      <c r="H1018" s="28" t="s">
        <v>25</v>
      </c>
      <c r="I1018" s="25" t="n">
        <v>3</v>
      </c>
      <c r="J1018" s="25" t="n">
        <v>0</v>
      </c>
      <c r="K1018" s="25" t="n">
        <v>3</v>
      </c>
      <c r="L1018" s="29" t="n">
        <v>0.83</v>
      </c>
      <c r="M1018" s="30" t="n">
        <v>27.02</v>
      </c>
      <c r="N1018" s="29" t="n">
        <v>0.84</v>
      </c>
      <c r="O1018" s="25" t="n">
        <v>185</v>
      </c>
      <c r="P1018" s="30" t="n">
        <v>0.29</v>
      </c>
      <c r="Q1018" s="27" t="s">
        <v>3572</v>
      </c>
      <c r="R1018" s="27" t="s">
        <v>992</v>
      </c>
    </row>
    <row r="1019" customFormat="false" ht="15" hidden="false" customHeight="false" outlineLevel="0" collapsed="false">
      <c r="A1019" s="25" t="n">
        <f aca="false">IF(G1019="REJECT",COUNTIF($G$2:$G$2277,"&lt;&gt;REJECT")+1+COUNTIFS($G$2:$G$2277,"REJECT",$B$2:$B$2277,"&gt;"&amp;B1019),1+COUNTIFS($G$2:$G$2277,"&lt;&gt;REJECT",$B$2:$B$2277,"&gt;"&amp;B1019))</f>
        <v>1018</v>
      </c>
      <c r="B1019" s="26" t="n">
        <f aca="false">ROUND(($U$2*MAX(0,MIN(1,($W$2-I1019)/($W$2-$V$2)))+$U$3*MAX(0,MIN(1,($W$3-J1019)/($W$3-$V$3)))+$U$4*MAX(0,MIN(1,($W$4-K1019)/($W$4-$V$4)))+$U$5*MAX(0,MIN(1,($W$5-L1019)/($W$5-$V$5)))+$U$6*MAX(0,MIN(1,($W$6-M1019)/($W$6-$V$6)))+$U$7*MAX(0,MIN(1,($W$7-N1019)/($W$7-$V$7)))+$U$8*IF(AND(O1019&gt;=$V$8,O1019&lt;=$W$8),1,0))/$U$9*100,2)</f>
        <v>75.33</v>
      </c>
      <c r="C1019" s="27" t="s">
        <v>2703</v>
      </c>
      <c r="D1019" s="25" t="s">
        <v>134</v>
      </c>
      <c r="E1019" s="25" t="s">
        <v>3447</v>
      </c>
      <c r="F1019" s="25" t="s">
        <v>3448</v>
      </c>
      <c r="G1019" s="38" t="s">
        <v>30</v>
      </c>
      <c r="H1019" s="28" t="s">
        <v>25</v>
      </c>
      <c r="I1019" s="25" t="n">
        <v>3</v>
      </c>
      <c r="J1019" s="25" t="n">
        <v>0</v>
      </c>
      <c r="K1019" s="25" t="n">
        <v>3</v>
      </c>
      <c r="L1019" s="29" t="n">
        <v>0.8</v>
      </c>
      <c r="M1019" s="30" t="n">
        <v>27.5</v>
      </c>
      <c r="N1019" s="29" t="n">
        <v>0.8</v>
      </c>
      <c r="O1019" s="25" t="n">
        <v>185</v>
      </c>
      <c r="P1019" s="30" t="n">
        <v>1.53</v>
      </c>
      <c r="Q1019" s="27" t="s">
        <v>3539</v>
      </c>
      <c r="R1019" s="27" t="s">
        <v>992</v>
      </c>
    </row>
    <row r="1020" customFormat="false" ht="15" hidden="false" customHeight="false" outlineLevel="0" collapsed="false">
      <c r="A1020" s="25" t="n">
        <f aca="false">IF(G1020="REJECT",COUNTIF($G$2:$G$2277,"&lt;&gt;REJECT")+1+COUNTIFS($G$2:$G$2277,"REJECT",$B$2:$B$2277,"&gt;"&amp;B1020),1+COUNTIFS($G$2:$G$2277,"&lt;&gt;REJECT",$B$2:$B$2277,"&gt;"&amp;B1020))</f>
        <v>1019</v>
      </c>
      <c r="B1020" s="26" t="n">
        <f aca="false">ROUND(($U$2*MAX(0,MIN(1,($W$2-I1020)/($W$2-$V$2)))+$U$3*MAX(0,MIN(1,($W$3-J1020)/($W$3-$V$3)))+$U$4*MAX(0,MIN(1,($W$4-K1020)/($W$4-$V$4)))+$U$5*MAX(0,MIN(1,($W$5-L1020)/($W$5-$V$5)))+$U$6*MAX(0,MIN(1,($W$6-M1020)/($W$6-$V$6)))+$U$7*MAX(0,MIN(1,($W$7-N1020)/($W$7-$V$7)))+$U$8*IF(AND(O1020&gt;=$V$8,O1020&lt;=$W$8),1,0))/$U$9*100,2)</f>
        <v>75.29</v>
      </c>
      <c r="C1020" s="27" t="s">
        <v>714</v>
      </c>
      <c r="D1020" s="25" t="s">
        <v>3459</v>
      </c>
      <c r="E1020" s="25" t="s">
        <v>3447</v>
      </c>
      <c r="F1020" s="25" t="s">
        <v>3448</v>
      </c>
      <c r="G1020" s="38" t="s">
        <v>30</v>
      </c>
      <c r="H1020" s="33" t="s">
        <v>24</v>
      </c>
      <c r="I1020" s="25" t="n">
        <v>3</v>
      </c>
      <c r="J1020" s="25" t="n">
        <v>0</v>
      </c>
      <c r="K1020" s="25" t="n">
        <v>3</v>
      </c>
      <c r="L1020" s="29" t="n">
        <v>0.77</v>
      </c>
      <c r="M1020" s="30" t="n">
        <v>18.96</v>
      </c>
      <c r="N1020" s="29" t="n">
        <v>0.6</v>
      </c>
      <c r="O1020" s="25" t="n">
        <v>182</v>
      </c>
      <c r="P1020" s="30" t="n">
        <v>6.92</v>
      </c>
      <c r="Q1020" s="27" t="s">
        <v>3565</v>
      </c>
      <c r="R1020" s="27" t="s">
        <v>30</v>
      </c>
    </row>
    <row r="1021" customFormat="false" ht="15" hidden="false" customHeight="false" outlineLevel="0" collapsed="false">
      <c r="A1021" s="25" t="n">
        <f aca="false">IF(G1021="REJECT",COUNTIF($G$2:$G$2277,"&lt;&gt;REJECT")+1+COUNTIFS($G$2:$G$2277,"REJECT",$B$2:$B$2277,"&gt;"&amp;B1021),1+COUNTIFS($G$2:$G$2277,"&lt;&gt;REJECT",$B$2:$B$2277,"&gt;"&amp;B1021))</f>
        <v>1020</v>
      </c>
      <c r="B1021" s="26" t="n">
        <f aca="false">ROUND(($U$2*MAX(0,MIN(1,($W$2-I1021)/($W$2-$V$2)))+$U$3*MAX(0,MIN(1,($W$3-J1021)/($W$3-$V$3)))+$U$4*MAX(0,MIN(1,($W$4-K1021)/($W$4-$V$4)))+$U$5*MAX(0,MIN(1,($W$5-L1021)/($W$5-$V$5)))+$U$6*MAX(0,MIN(1,($W$6-M1021)/($W$6-$V$6)))+$U$7*MAX(0,MIN(1,($W$7-N1021)/($W$7-$V$7)))+$U$8*IF(AND(O1021&gt;=$V$8,O1021&lt;=$W$8),1,0))/$U$9*100,2)</f>
        <v>75.27</v>
      </c>
      <c r="C1021" s="27" t="s">
        <v>480</v>
      </c>
      <c r="D1021" s="25" t="s">
        <v>3459</v>
      </c>
      <c r="E1021" s="25" t="s">
        <v>3450</v>
      </c>
      <c r="F1021" s="25" t="s">
        <v>3457</v>
      </c>
      <c r="G1021" s="38" t="s">
        <v>30</v>
      </c>
      <c r="H1021" s="28" t="s">
        <v>25</v>
      </c>
      <c r="I1021" s="25" t="n">
        <v>2</v>
      </c>
      <c r="J1021" s="25" t="n">
        <v>0</v>
      </c>
      <c r="K1021" s="25" t="n">
        <v>2</v>
      </c>
      <c r="L1021" s="29" t="n">
        <v>0.66</v>
      </c>
      <c r="M1021" s="30" t="n">
        <v>17.81</v>
      </c>
      <c r="N1021" s="29" t="n">
        <v>0.52</v>
      </c>
      <c r="O1021" s="25" t="n">
        <v>184</v>
      </c>
      <c r="P1021" s="30" t="n">
        <v>3.23</v>
      </c>
      <c r="Q1021" s="27" t="s">
        <v>3573</v>
      </c>
      <c r="R1021" s="27" t="s">
        <v>2133</v>
      </c>
    </row>
    <row r="1022" customFormat="false" ht="15" hidden="false" customHeight="false" outlineLevel="0" collapsed="false">
      <c r="A1022" s="25" t="n">
        <f aca="false">IF(G1022="REJECT",COUNTIF($G$2:$G$2277,"&lt;&gt;REJECT")+1+COUNTIFS($G$2:$G$2277,"REJECT",$B$2:$B$2277,"&gt;"&amp;B1022),1+COUNTIFS($G$2:$G$2277,"&lt;&gt;REJECT",$B$2:$B$2277,"&gt;"&amp;B1022))</f>
        <v>1021</v>
      </c>
      <c r="B1022" s="26" t="n">
        <f aca="false">ROUND(($U$2*MAX(0,MIN(1,($W$2-I1022)/($W$2-$V$2)))+$U$3*MAX(0,MIN(1,($W$3-J1022)/($W$3-$V$3)))+$U$4*MAX(0,MIN(1,($W$4-K1022)/($W$4-$V$4)))+$U$5*MAX(0,MIN(1,($W$5-L1022)/($W$5-$V$5)))+$U$6*MAX(0,MIN(1,($W$6-M1022)/($W$6-$V$6)))+$U$7*MAX(0,MIN(1,($W$7-N1022)/($W$7-$V$7)))+$U$8*IF(AND(O1022&gt;=$V$8,O1022&lt;=$W$8),1,0))/$U$9*100,2)</f>
        <v>75.26</v>
      </c>
      <c r="C1022" s="27" t="s">
        <v>3383</v>
      </c>
      <c r="D1022" s="25" t="s">
        <v>134</v>
      </c>
      <c r="E1022" s="25" t="s">
        <v>3450</v>
      </c>
      <c r="F1022" s="25" t="s">
        <v>3457</v>
      </c>
      <c r="G1022" s="38" t="s">
        <v>30</v>
      </c>
      <c r="H1022" s="28" t="s">
        <v>25</v>
      </c>
      <c r="I1022" s="25" t="n">
        <v>1</v>
      </c>
      <c r="J1022" s="25" t="n">
        <v>1</v>
      </c>
      <c r="K1022" s="25" t="n">
        <v>1</v>
      </c>
      <c r="L1022" s="29" t="n">
        <v>0.73</v>
      </c>
      <c r="M1022" s="30" t="n">
        <v>17.34</v>
      </c>
      <c r="N1022" s="29" t="n">
        <v>0.84</v>
      </c>
      <c r="O1022" s="25" t="n">
        <v>187</v>
      </c>
      <c r="P1022" s="30" t="n">
        <v>14.45</v>
      </c>
      <c r="Q1022" s="27" t="s">
        <v>69</v>
      </c>
      <c r="R1022" s="27" t="s">
        <v>283</v>
      </c>
    </row>
    <row r="1023" customFormat="false" ht="15" hidden="false" customHeight="false" outlineLevel="0" collapsed="false">
      <c r="A1023" s="25" t="n">
        <f aca="false">IF(G1023="REJECT",COUNTIF($G$2:$G$2277,"&lt;&gt;REJECT")+1+COUNTIFS($G$2:$G$2277,"REJECT",$B$2:$B$2277,"&gt;"&amp;B1023),1+COUNTIFS($G$2:$G$2277,"&lt;&gt;REJECT",$B$2:$B$2277,"&gt;"&amp;B1023))</f>
        <v>1022</v>
      </c>
      <c r="B1023" s="26" t="n">
        <f aca="false">ROUND(($U$2*MAX(0,MIN(1,($W$2-I1023)/($W$2-$V$2)))+$U$3*MAX(0,MIN(1,($W$3-J1023)/($W$3-$V$3)))+$U$4*MAX(0,MIN(1,($W$4-K1023)/($W$4-$V$4)))+$U$5*MAX(0,MIN(1,($W$5-L1023)/($W$5-$V$5)))+$U$6*MAX(0,MIN(1,($W$6-M1023)/($W$6-$V$6)))+$U$7*MAX(0,MIN(1,($W$7-N1023)/($W$7-$V$7)))+$U$8*IF(AND(O1023&gt;=$V$8,O1023&lt;=$W$8),1,0))/$U$9*100,2)</f>
        <v>75.23</v>
      </c>
      <c r="C1023" s="27" t="s">
        <v>958</v>
      </c>
      <c r="D1023" s="25" t="s">
        <v>134</v>
      </c>
      <c r="E1023" s="25" t="s">
        <v>3450</v>
      </c>
      <c r="F1023" s="25" t="s">
        <v>3448</v>
      </c>
      <c r="G1023" s="38" t="s">
        <v>30</v>
      </c>
      <c r="H1023" s="28" t="s">
        <v>25</v>
      </c>
      <c r="I1023" s="25" t="n">
        <v>1</v>
      </c>
      <c r="J1023" s="25" t="n">
        <v>1</v>
      </c>
      <c r="K1023" s="25" t="n">
        <v>1</v>
      </c>
      <c r="L1023" s="29" t="n">
        <v>0.73</v>
      </c>
      <c r="M1023" s="30" t="n">
        <v>19.95</v>
      </c>
      <c r="N1023" s="29" t="n">
        <v>0.6</v>
      </c>
      <c r="O1023" s="25" t="n">
        <v>184</v>
      </c>
      <c r="P1023" s="30" t="n">
        <v>5.95</v>
      </c>
      <c r="Q1023" s="27" t="s">
        <v>69</v>
      </c>
      <c r="R1023" s="27" t="s">
        <v>283</v>
      </c>
    </row>
    <row r="1024" customFormat="false" ht="15" hidden="false" customHeight="false" outlineLevel="0" collapsed="false">
      <c r="A1024" s="25" t="n">
        <f aca="false">IF(G1024="REJECT",COUNTIF($G$2:$G$2277,"&lt;&gt;REJECT")+1+COUNTIFS($G$2:$G$2277,"REJECT",$B$2:$B$2277,"&gt;"&amp;B1024),1+COUNTIFS($G$2:$G$2277,"&lt;&gt;REJECT",$B$2:$B$2277,"&gt;"&amp;B1024))</f>
        <v>1023</v>
      </c>
      <c r="B1024" s="26" t="n">
        <f aca="false">ROUND(($U$2*MAX(0,MIN(1,($W$2-I1024)/($W$2-$V$2)))+$U$3*MAX(0,MIN(1,($W$3-J1024)/($W$3-$V$3)))+$U$4*MAX(0,MIN(1,($W$4-K1024)/($W$4-$V$4)))+$U$5*MAX(0,MIN(1,($W$5-L1024)/($W$5-$V$5)))+$U$6*MAX(0,MIN(1,($W$6-M1024)/($W$6-$V$6)))+$U$7*MAX(0,MIN(1,($W$7-N1024)/($W$7-$V$7)))+$U$8*IF(AND(O1024&gt;=$V$8,O1024&lt;=$W$8),1,0))/$U$9*100,2)</f>
        <v>75.22</v>
      </c>
      <c r="C1024" s="27" t="s">
        <v>663</v>
      </c>
      <c r="D1024" s="25" t="s">
        <v>134</v>
      </c>
      <c r="E1024" s="25" t="s">
        <v>3447</v>
      </c>
      <c r="F1024" s="25" t="s">
        <v>3457</v>
      </c>
      <c r="G1024" s="38" t="s">
        <v>30</v>
      </c>
      <c r="H1024" s="28" t="s">
        <v>25</v>
      </c>
      <c r="I1024" s="25" t="n">
        <v>1</v>
      </c>
      <c r="J1024" s="25" t="n">
        <v>1</v>
      </c>
      <c r="K1024" s="25" t="n">
        <v>1</v>
      </c>
      <c r="L1024" s="29" t="n">
        <v>0.71</v>
      </c>
      <c r="M1024" s="30" t="n">
        <v>16.81</v>
      </c>
      <c r="N1024" s="29" t="n">
        <v>0.2</v>
      </c>
      <c r="O1024" s="25" t="n">
        <v>190</v>
      </c>
      <c r="P1024" s="30" t="n">
        <v>4.02</v>
      </c>
      <c r="Q1024" s="27" t="s">
        <v>69</v>
      </c>
      <c r="R1024" s="27" t="s">
        <v>283</v>
      </c>
    </row>
    <row r="1025" customFormat="false" ht="15" hidden="false" customHeight="false" outlineLevel="0" collapsed="false">
      <c r="A1025" s="25" t="n">
        <f aca="false">IF(G1025="REJECT",COUNTIF($G$2:$G$2277,"&lt;&gt;REJECT")+1+COUNTIFS($G$2:$G$2277,"REJECT",$B$2:$B$2277,"&gt;"&amp;B1025),1+COUNTIFS($G$2:$G$2277,"&lt;&gt;REJECT",$B$2:$B$2277,"&gt;"&amp;B1025))</f>
        <v>1023</v>
      </c>
      <c r="B1025" s="26" t="n">
        <f aca="false">ROUND(($U$2*MAX(0,MIN(1,($W$2-I1025)/($W$2-$V$2)))+$U$3*MAX(0,MIN(1,($W$3-J1025)/($W$3-$V$3)))+$U$4*MAX(0,MIN(1,($W$4-K1025)/($W$4-$V$4)))+$U$5*MAX(0,MIN(1,($W$5-L1025)/($W$5-$V$5)))+$U$6*MAX(0,MIN(1,($W$6-M1025)/($W$6-$V$6)))+$U$7*MAX(0,MIN(1,($W$7-N1025)/($W$7-$V$7)))+$U$8*IF(AND(O1025&gt;=$V$8,O1025&lt;=$W$8),1,0))/$U$9*100,2)</f>
        <v>75.22</v>
      </c>
      <c r="C1025" s="27" t="s">
        <v>3279</v>
      </c>
      <c r="D1025" s="25" t="s">
        <v>134</v>
      </c>
      <c r="E1025" s="25" t="s">
        <v>3450</v>
      </c>
      <c r="F1025" s="25" t="s">
        <v>3457</v>
      </c>
      <c r="G1025" s="38" t="s">
        <v>30</v>
      </c>
      <c r="H1025" s="28" t="s">
        <v>25</v>
      </c>
      <c r="I1025" s="25" t="n">
        <v>1</v>
      </c>
      <c r="J1025" s="25" t="n">
        <v>1</v>
      </c>
      <c r="K1025" s="25" t="n">
        <v>1</v>
      </c>
      <c r="L1025" s="29" t="n">
        <v>0.73</v>
      </c>
      <c r="M1025" s="30" t="n">
        <v>21.97</v>
      </c>
      <c r="N1025" s="29" t="n">
        <v>0.4</v>
      </c>
      <c r="O1025" s="25" t="n">
        <v>183</v>
      </c>
      <c r="P1025" s="30" t="n">
        <v>7.08</v>
      </c>
      <c r="Q1025" s="27" t="s">
        <v>69</v>
      </c>
      <c r="R1025" s="27" t="s">
        <v>183</v>
      </c>
    </row>
    <row r="1026" customFormat="false" ht="15" hidden="false" customHeight="false" outlineLevel="0" collapsed="false">
      <c r="A1026" s="25" t="n">
        <f aca="false">IF(G1026="REJECT",COUNTIF($G$2:$G$2277,"&lt;&gt;REJECT")+1+COUNTIFS($G$2:$G$2277,"REJECT",$B$2:$B$2277,"&gt;"&amp;B1026),1+COUNTIFS($G$2:$G$2277,"&lt;&gt;REJECT",$B$2:$B$2277,"&gt;"&amp;B1026))</f>
        <v>1025</v>
      </c>
      <c r="B1026" s="26" t="n">
        <f aca="false">ROUND(($U$2*MAX(0,MIN(1,($W$2-I1026)/($W$2-$V$2)))+$U$3*MAX(0,MIN(1,($W$3-J1026)/($W$3-$V$3)))+$U$4*MAX(0,MIN(1,($W$4-K1026)/($W$4-$V$4)))+$U$5*MAX(0,MIN(1,($W$5-L1026)/($W$5-$V$5)))+$U$6*MAX(0,MIN(1,($W$6-M1026)/($W$6-$V$6)))+$U$7*MAX(0,MIN(1,($W$7-N1026)/($W$7-$V$7)))+$U$8*IF(AND(O1026&gt;=$V$8,O1026&lt;=$W$8),1,0))/$U$9*100,2)</f>
        <v>75.15</v>
      </c>
      <c r="C1026" s="27" t="s">
        <v>409</v>
      </c>
      <c r="D1026" s="25" t="s">
        <v>3459</v>
      </c>
      <c r="E1026" s="25" t="s">
        <v>3450</v>
      </c>
      <c r="F1026" s="25" t="s">
        <v>3448</v>
      </c>
      <c r="G1026" s="38" t="s">
        <v>30</v>
      </c>
      <c r="H1026" s="28" t="s">
        <v>25</v>
      </c>
      <c r="I1026" s="25" t="n">
        <v>1</v>
      </c>
      <c r="J1026" s="25" t="n">
        <v>1</v>
      </c>
      <c r="K1026" s="25" t="n">
        <v>1</v>
      </c>
      <c r="L1026" s="29" t="n">
        <v>0.73</v>
      </c>
      <c r="M1026" s="30" t="n">
        <v>22.81</v>
      </c>
      <c r="N1026" s="29" t="n">
        <v>0.36</v>
      </c>
      <c r="O1026" s="25" t="n">
        <v>183</v>
      </c>
      <c r="P1026" s="30" t="n">
        <v>3.87</v>
      </c>
      <c r="Q1026" s="27" t="s">
        <v>69</v>
      </c>
      <c r="R1026" s="27" t="s">
        <v>157</v>
      </c>
    </row>
    <row r="1027" customFormat="false" ht="15" hidden="false" customHeight="false" outlineLevel="0" collapsed="false">
      <c r="A1027" s="25" t="n">
        <f aca="false">IF(G1027="REJECT",COUNTIF($G$2:$G$2277,"&lt;&gt;REJECT")+1+COUNTIFS($G$2:$G$2277,"REJECT",$B$2:$B$2277,"&gt;"&amp;B1027),1+COUNTIFS($G$2:$G$2277,"&lt;&gt;REJECT",$B$2:$B$2277,"&gt;"&amp;B1027))</f>
        <v>1026</v>
      </c>
      <c r="B1027" s="26" t="n">
        <f aca="false">ROUND(($U$2*MAX(0,MIN(1,($W$2-I1027)/($W$2-$V$2)))+$U$3*MAX(0,MIN(1,($W$3-J1027)/($W$3-$V$3)))+$U$4*MAX(0,MIN(1,($W$4-K1027)/($W$4-$V$4)))+$U$5*MAX(0,MIN(1,($W$5-L1027)/($W$5-$V$5)))+$U$6*MAX(0,MIN(1,($W$6-M1027)/($W$6-$V$6)))+$U$7*MAX(0,MIN(1,($W$7-N1027)/($W$7-$V$7)))+$U$8*IF(AND(O1027&gt;=$V$8,O1027&lt;=$W$8),1,0))/$U$9*100,2)</f>
        <v>75.13</v>
      </c>
      <c r="C1027" s="27" t="s">
        <v>1614</v>
      </c>
      <c r="D1027" s="25" t="s">
        <v>3459</v>
      </c>
      <c r="E1027" s="25" t="s">
        <v>3450</v>
      </c>
      <c r="F1027" s="25" t="s">
        <v>3457</v>
      </c>
      <c r="G1027" s="38" t="s">
        <v>30</v>
      </c>
      <c r="H1027" s="28" t="s">
        <v>25</v>
      </c>
      <c r="I1027" s="25" t="n">
        <v>1</v>
      </c>
      <c r="J1027" s="25" t="n">
        <v>1</v>
      </c>
      <c r="K1027" s="25" t="n">
        <v>1</v>
      </c>
      <c r="L1027" s="29" t="n">
        <v>0.73</v>
      </c>
      <c r="M1027" s="30" t="n">
        <v>24.14</v>
      </c>
      <c r="N1027" s="29" t="n">
        <v>0.24</v>
      </c>
      <c r="O1027" s="25" t="n">
        <v>192</v>
      </c>
      <c r="P1027" s="30" t="n">
        <v>20.93</v>
      </c>
      <c r="Q1027" s="27" t="s">
        <v>69</v>
      </c>
      <c r="R1027" s="27" t="s">
        <v>183</v>
      </c>
    </row>
    <row r="1028" customFormat="false" ht="15" hidden="false" customHeight="false" outlineLevel="0" collapsed="false">
      <c r="A1028" s="25" t="n">
        <f aca="false">IF(G1028="REJECT",COUNTIF($G$2:$G$2277,"&lt;&gt;REJECT")+1+COUNTIFS($G$2:$G$2277,"REJECT",$B$2:$B$2277,"&gt;"&amp;B1028),1+COUNTIFS($G$2:$G$2277,"&lt;&gt;REJECT",$B$2:$B$2277,"&gt;"&amp;B1028))</f>
        <v>1027</v>
      </c>
      <c r="B1028" s="26" t="n">
        <f aca="false">ROUND(($U$2*MAX(0,MIN(1,($W$2-I1028)/($W$2-$V$2)))+$U$3*MAX(0,MIN(1,($W$3-J1028)/($W$3-$V$3)))+$U$4*MAX(0,MIN(1,($W$4-K1028)/($W$4-$V$4)))+$U$5*MAX(0,MIN(1,($W$5-L1028)/($W$5-$V$5)))+$U$6*MAX(0,MIN(1,($W$6-M1028)/($W$6-$V$6)))+$U$7*MAX(0,MIN(1,($W$7-N1028)/($W$7-$V$7)))+$U$8*IF(AND(O1028&gt;=$V$8,O1028&lt;=$W$8),1,0))/$U$9*100,2)</f>
        <v>75.11</v>
      </c>
      <c r="C1028" s="27" t="s">
        <v>1472</v>
      </c>
      <c r="D1028" s="25" t="s">
        <v>134</v>
      </c>
      <c r="E1028" s="25" t="s">
        <v>3450</v>
      </c>
      <c r="F1028" s="25" t="s">
        <v>3448</v>
      </c>
      <c r="G1028" s="38" t="s">
        <v>30</v>
      </c>
      <c r="H1028" s="28" t="s">
        <v>25</v>
      </c>
      <c r="I1028" s="25" t="n">
        <v>1</v>
      </c>
      <c r="J1028" s="25" t="n">
        <v>1</v>
      </c>
      <c r="K1028" s="25" t="n">
        <v>1</v>
      </c>
      <c r="L1028" s="29" t="n">
        <v>0.7</v>
      </c>
      <c r="M1028" s="30" t="n">
        <v>12.63</v>
      </c>
      <c r="N1028" s="29" t="n">
        <v>0.32</v>
      </c>
      <c r="O1028" s="25" t="n">
        <v>189</v>
      </c>
      <c r="P1028" s="30" t="n">
        <v>18.66</v>
      </c>
      <c r="Q1028" s="27" t="s">
        <v>69</v>
      </c>
      <c r="R1028" s="27" t="s">
        <v>283</v>
      </c>
    </row>
    <row r="1029" customFormat="false" ht="15" hidden="false" customHeight="false" outlineLevel="0" collapsed="false">
      <c r="A1029" s="25" t="n">
        <f aca="false">IF(G1029="REJECT",COUNTIF($G$2:$G$2277,"&lt;&gt;REJECT")+1+COUNTIFS($G$2:$G$2277,"REJECT",$B$2:$B$2277,"&gt;"&amp;B1029),1+COUNTIFS($G$2:$G$2277,"&lt;&gt;REJECT",$B$2:$B$2277,"&gt;"&amp;B1029))</f>
        <v>1028</v>
      </c>
      <c r="B1029" s="26" t="n">
        <f aca="false">ROUND(($U$2*MAX(0,MIN(1,($W$2-I1029)/($W$2-$V$2)))+$U$3*MAX(0,MIN(1,($W$3-J1029)/($W$3-$V$3)))+$U$4*MAX(0,MIN(1,($W$4-K1029)/($W$4-$V$4)))+$U$5*MAX(0,MIN(1,($W$5-L1029)/($W$5-$V$5)))+$U$6*MAX(0,MIN(1,($W$6-M1029)/($W$6-$V$6)))+$U$7*MAX(0,MIN(1,($W$7-N1029)/($W$7-$V$7)))+$U$8*IF(AND(O1029&gt;=$V$8,O1029&lt;=$W$8),1,0))/$U$9*100,2)</f>
        <v>75.08</v>
      </c>
      <c r="C1029" s="27" t="s">
        <v>1423</v>
      </c>
      <c r="D1029" s="25" t="s">
        <v>3459</v>
      </c>
      <c r="E1029" s="25" t="s">
        <v>3450</v>
      </c>
      <c r="F1029" s="25" t="s">
        <v>3457</v>
      </c>
      <c r="G1029" s="38" t="s">
        <v>30</v>
      </c>
      <c r="H1029" s="28" t="s">
        <v>25</v>
      </c>
      <c r="I1029" s="25" t="n">
        <v>1</v>
      </c>
      <c r="J1029" s="25" t="n">
        <v>1</v>
      </c>
      <c r="K1029" s="25" t="n">
        <v>1</v>
      </c>
      <c r="L1029" s="29" t="n">
        <v>0.71</v>
      </c>
      <c r="M1029" s="30" t="n">
        <v>19.62</v>
      </c>
      <c r="N1029" s="29" t="n">
        <v>0</v>
      </c>
      <c r="O1029" s="25" t="n">
        <v>182</v>
      </c>
      <c r="P1029" s="30" t="n">
        <v>14.64</v>
      </c>
      <c r="Q1029" s="27" t="s">
        <v>69</v>
      </c>
      <c r="R1029" s="27" t="s">
        <v>283</v>
      </c>
    </row>
    <row r="1030" customFormat="false" ht="15" hidden="false" customHeight="false" outlineLevel="0" collapsed="false">
      <c r="A1030" s="25" t="n">
        <f aca="false">IF(G1030="REJECT",COUNTIF($G$2:$G$2277,"&lt;&gt;REJECT")+1+COUNTIFS($G$2:$G$2277,"REJECT",$B$2:$B$2277,"&gt;"&amp;B1030),1+COUNTIFS($G$2:$G$2277,"&lt;&gt;REJECT",$B$2:$B$2277,"&gt;"&amp;B1030))</f>
        <v>1029</v>
      </c>
      <c r="B1030" s="26" t="n">
        <f aca="false">ROUND(($U$2*MAX(0,MIN(1,($W$2-I1030)/($W$2-$V$2)))+$U$3*MAX(0,MIN(1,($W$3-J1030)/($W$3-$V$3)))+$U$4*MAX(0,MIN(1,($W$4-K1030)/($W$4-$V$4)))+$U$5*MAX(0,MIN(1,($W$5-L1030)/($W$5-$V$5)))+$U$6*MAX(0,MIN(1,($W$6-M1030)/($W$6-$V$6)))+$U$7*MAX(0,MIN(1,($W$7-N1030)/($W$7-$V$7)))+$U$8*IF(AND(O1030&gt;=$V$8,O1030&lt;=$W$8),1,0))/$U$9*100,2)</f>
        <v>75.06</v>
      </c>
      <c r="C1030" s="27" t="s">
        <v>2586</v>
      </c>
      <c r="D1030" s="25" t="s">
        <v>3459</v>
      </c>
      <c r="E1030" s="25" t="s">
        <v>3450</v>
      </c>
      <c r="F1030" s="25" t="s">
        <v>3457</v>
      </c>
      <c r="G1030" s="38" t="s">
        <v>30</v>
      </c>
      <c r="H1030" s="28" t="s">
        <v>25</v>
      </c>
      <c r="I1030" s="25" t="n">
        <v>1</v>
      </c>
      <c r="J1030" s="25" t="n">
        <v>1</v>
      </c>
      <c r="K1030" s="25" t="n">
        <v>1</v>
      </c>
      <c r="L1030" s="29" t="n">
        <v>0.75</v>
      </c>
      <c r="M1030" s="30" t="n">
        <v>28.14</v>
      </c>
      <c r="N1030" s="29" t="n">
        <v>0.6</v>
      </c>
      <c r="O1030" s="25" t="n">
        <v>182</v>
      </c>
      <c r="P1030" s="30" t="n">
        <v>0.55</v>
      </c>
      <c r="Q1030" s="27" t="s">
        <v>69</v>
      </c>
      <c r="R1030" s="27" t="s">
        <v>1046</v>
      </c>
    </row>
    <row r="1031" customFormat="false" ht="15" hidden="false" customHeight="false" outlineLevel="0" collapsed="false">
      <c r="A1031" s="25" t="n">
        <f aca="false">IF(G1031="REJECT",COUNTIF($G$2:$G$2277,"&lt;&gt;REJECT")+1+COUNTIFS($G$2:$G$2277,"REJECT",$B$2:$B$2277,"&gt;"&amp;B1031),1+COUNTIFS($G$2:$G$2277,"&lt;&gt;REJECT",$B$2:$B$2277,"&gt;"&amp;B1031))</f>
        <v>1030</v>
      </c>
      <c r="B1031" s="26" t="n">
        <f aca="false">ROUND(($U$2*MAX(0,MIN(1,($W$2-I1031)/($W$2-$V$2)))+$U$3*MAX(0,MIN(1,($W$3-J1031)/($W$3-$V$3)))+$U$4*MAX(0,MIN(1,($W$4-K1031)/($W$4-$V$4)))+$U$5*MAX(0,MIN(1,($W$5-L1031)/($W$5-$V$5)))+$U$6*MAX(0,MIN(1,($W$6-M1031)/($W$6-$V$6)))+$U$7*MAX(0,MIN(1,($W$7-N1031)/($W$7-$V$7)))+$U$8*IF(AND(O1031&gt;=$V$8,O1031&lt;=$W$8),1,0))/$U$9*100,2)</f>
        <v>75.05</v>
      </c>
      <c r="C1031" s="27" t="s">
        <v>1265</v>
      </c>
      <c r="D1031" s="25" t="s">
        <v>134</v>
      </c>
      <c r="E1031" s="25" t="s">
        <v>3450</v>
      </c>
      <c r="F1031" s="25" t="s">
        <v>3448</v>
      </c>
      <c r="G1031" s="38" t="s">
        <v>30</v>
      </c>
      <c r="H1031" s="28" t="s">
        <v>25</v>
      </c>
      <c r="I1031" s="25" t="n">
        <v>1</v>
      </c>
      <c r="J1031" s="25" t="n">
        <v>1</v>
      </c>
      <c r="K1031" s="25" t="n">
        <v>1</v>
      </c>
      <c r="L1031" s="29" t="n">
        <v>0.7</v>
      </c>
      <c r="M1031" s="30" t="n">
        <v>8.63</v>
      </c>
      <c r="N1031" s="29" t="n">
        <v>0.76</v>
      </c>
      <c r="O1031" s="25" t="n">
        <v>188</v>
      </c>
      <c r="P1031" s="30" t="n">
        <v>-0.6</v>
      </c>
      <c r="Q1031" s="27" t="s">
        <v>69</v>
      </c>
      <c r="R1031" s="27" t="s">
        <v>1230</v>
      </c>
    </row>
    <row r="1032" customFormat="false" ht="15" hidden="false" customHeight="false" outlineLevel="0" collapsed="false">
      <c r="A1032" s="25" t="n">
        <f aca="false">IF(G1032="REJECT",COUNTIF($G$2:$G$2277,"&lt;&gt;REJECT")+1+COUNTIFS($G$2:$G$2277,"REJECT",$B$2:$B$2277,"&gt;"&amp;B1032),1+COUNTIFS($G$2:$G$2277,"&lt;&gt;REJECT",$B$2:$B$2277,"&gt;"&amp;B1032))</f>
        <v>1031</v>
      </c>
      <c r="B1032" s="26" t="n">
        <f aca="false">ROUND(($U$2*MAX(0,MIN(1,($W$2-I1032)/($W$2-$V$2)))+$U$3*MAX(0,MIN(1,($W$3-J1032)/($W$3-$V$3)))+$U$4*MAX(0,MIN(1,($W$4-K1032)/($W$4-$V$4)))+$U$5*MAX(0,MIN(1,($W$5-L1032)/($W$5-$V$5)))+$U$6*MAX(0,MIN(1,($W$6-M1032)/($W$6-$V$6)))+$U$7*MAX(0,MIN(1,($W$7-N1032)/($W$7-$V$7)))+$U$8*IF(AND(O1032&gt;=$V$8,O1032&lt;=$W$8),1,0))/$U$9*100,2)</f>
        <v>75.04</v>
      </c>
      <c r="C1032" s="27" t="s">
        <v>1935</v>
      </c>
      <c r="D1032" s="25" t="s">
        <v>134</v>
      </c>
      <c r="E1032" s="25" t="s">
        <v>3450</v>
      </c>
      <c r="F1032" s="25" t="s">
        <v>3457</v>
      </c>
      <c r="G1032" s="38" t="s">
        <v>30</v>
      </c>
      <c r="H1032" s="28" t="s">
        <v>25</v>
      </c>
      <c r="I1032" s="25" t="n">
        <v>1</v>
      </c>
      <c r="J1032" s="25" t="n">
        <v>1</v>
      </c>
      <c r="K1032" s="25" t="n">
        <v>1</v>
      </c>
      <c r="L1032" s="29" t="n">
        <v>0.72</v>
      </c>
      <c r="M1032" s="30" t="n">
        <v>17.07</v>
      </c>
      <c r="N1032" s="29" t="n">
        <v>0.64</v>
      </c>
      <c r="O1032" s="25" t="n">
        <v>193</v>
      </c>
      <c r="P1032" s="30" t="n">
        <v>3.88</v>
      </c>
      <c r="Q1032" s="27" t="s">
        <v>69</v>
      </c>
      <c r="R1032" s="27" t="s">
        <v>283</v>
      </c>
    </row>
    <row r="1033" customFormat="false" ht="15" hidden="false" customHeight="false" outlineLevel="0" collapsed="false">
      <c r="A1033" s="25" t="n">
        <f aca="false">IF(G1033="REJECT",COUNTIF($G$2:$G$2277,"&lt;&gt;REJECT")+1+COUNTIFS($G$2:$G$2277,"REJECT",$B$2:$B$2277,"&gt;"&amp;B1033),1+COUNTIFS($G$2:$G$2277,"&lt;&gt;REJECT",$B$2:$B$2277,"&gt;"&amp;B1033))</f>
        <v>1032</v>
      </c>
      <c r="B1033" s="26" t="n">
        <f aca="false">ROUND(($U$2*MAX(0,MIN(1,($W$2-I1033)/($W$2-$V$2)))+$U$3*MAX(0,MIN(1,($W$3-J1033)/($W$3-$V$3)))+$U$4*MAX(0,MIN(1,($W$4-K1033)/($W$4-$V$4)))+$U$5*MAX(0,MIN(1,($W$5-L1033)/($W$5-$V$5)))+$U$6*MAX(0,MIN(1,($W$6-M1033)/($W$6-$V$6)))+$U$7*MAX(0,MIN(1,($W$7-N1033)/($W$7-$V$7)))+$U$8*IF(AND(O1033&gt;=$V$8,O1033&lt;=$W$8),1,0))/$U$9*100,2)</f>
        <v>75.03</v>
      </c>
      <c r="C1033" s="27" t="s">
        <v>584</v>
      </c>
      <c r="D1033" s="25" t="s">
        <v>134</v>
      </c>
      <c r="E1033" s="25" t="s">
        <v>3450</v>
      </c>
      <c r="F1033" s="25" t="s">
        <v>3448</v>
      </c>
      <c r="G1033" s="38" t="s">
        <v>30</v>
      </c>
      <c r="H1033" s="33" t="s">
        <v>24</v>
      </c>
      <c r="I1033" s="25" t="n">
        <v>2</v>
      </c>
      <c r="J1033" s="25" t="n">
        <v>0</v>
      </c>
      <c r="K1033" s="25" t="n">
        <v>2</v>
      </c>
      <c r="L1033" s="29" t="n">
        <v>0.63</v>
      </c>
      <c r="M1033" s="30" t="n">
        <v>5.2</v>
      </c>
      <c r="N1033" s="29" t="n">
        <v>0.84</v>
      </c>
      <c r="O1033" s="25" t="n">
        <v>184</v>
      </c>
      <c r="P1033" s="30" t="n">
        <v>11.14</v>
      </c>
      <c r="Q1033" s="27" t="s">
        <v>3532</v>
      </c>
      <c r="R1033" s="27" t="s">
        <v>30</v>
      </c>
    </row>
    <row r="1034" customFormat="false" ht="15" hidden="false" customHeight="false" outlineLevel="0" collapsed="false">
      <c r="A1034" s="25" t="n">
        <f aca="false">IF(G1034="REJECT",COUNTIF($G$2:$G$2277,"&lt;&gt;REJECT")+1+COUNTIFS($G$2:$G$2277,"REJECT",$B$2:$B$2277,"&gt;"&amp;B1034),1+COUNTIFS($G$2:$G$2277,"&lt;&gt;REJECT",$B$2:$B$2277,"&gt;"&amp;B1034))</f>
        <v>1033</v>
      </c>
      <c r="B1034" s="26" t="n">
        <f aca="false">ROUND(($U$2*MAX(0,MIN(1,($W$2-I1034)/($W$2-$V$2)))+$U$3*MAX(0,MIN(1,($W$3-J1034)/($W$3-$V$3)))+$U$4*MAX(0,MIN(1,($W$4-K1034)/($W$4-$V$4)))+$U$5*MAX(0,MIN(1,($W$5-L1034)/($W$5-$V$5)))+$U$6*MAX(0,MIN(1,($W$6-M1034)/($W$6-$V$6)))+$U$7*MAX(0,MIN(1,($W$7-N1034)/($W$7-$V$7)))+$U$8*IF(AND(O1034&gt;=$V$8,O1034&lt;=$W$8),1,0))/$U$9*100,2)</f>
        <v>75.01</v>
      </c>
      <c r="C1034" s="27" t="s">
        <v>2373</v>
      </c>
      <c r="D1034" s="25" t="s">
        <v>134</v>
      </c>
      <c r="E1034" s="25" t="s">
        <v>3447</v>
      </c>
      <c r="F1034" s="25" t="s">
        <v>3448</v>
      </c>
      <c r="G1034" s="38" t="s">
        <v>30</v>
      </c>
      <c r="H1034" s="33" t="s">
        <v>24</v>
      </c>
      <c r="I1034" s="25" t="n">
        <v>3</v>
      </c>
      <c r="J1034" s="25" t="n">
        <v>0</v>
      </c>
      <c r="K1034" s="25" t="n">
        <v>3</v>
      </c>
      <c r="L1034" s="29" t="n">
        <v>0.74</v>
      </c>
      <c r="M1034" s="30" t="n">
        <v>12.26</v>
      </c>
      <c r="N1034" s="29" t="n">
        <v>0.36</v>
      </c>
      <c r="O1034" s="25" t="n">
        <v>183</v>
      </c>
      <c r="P1034" s="30" t="n">
        <v>10.38</v>
      </c>
      <c r="Q1034" s="27" t="s">
        <v>3574</v>
      </c>
      <c r="R1034" s="27" t="s">
        <v>30</v>
      </c>
    </row>
    <row r="1035" customFormat="false" ht="15" hidden="false" customHeight="false" outlineLevel="0" collapsed="false">
      <c r="A1035" s="25" t="n">
        <f aca="false">IF(G1035="REJECT",COUNTIF($G$2:$G$2277,"&lt;&gt;REJECT")+1+COUNTIFS($G$2:$G$2277,"REJECT",$B$2:$B$2277,"&gt;"&amp;B1035),1+COUNTIFS($G$2:$G$2277,"&lt;&gt;REJECT",$B$2:$B$2277,"&gt;"&amp;B1035))</f>
        <v>1034</v>
      </c>
      <c r="B1035" s="26" t="n">
        <f aca="false">ROUND(($U$2*MAX(0,MIN(1,($W$2-I1035)/($W$2-$V$2)))+$U$3*MAX(0,MIN(1,($W$3-J1035)/($W$3-$V$3)))+$U$4*MAX(0,MIN(1,($W$4-K1035)/($W$4-$V$4)))+$U$5*MAX(0,MIN(1,($W$5-L1035)/($W$5-$V$5)))+$U$6*MAX(0,MIN(1,($W$6-M1035)/($W$6-$V$6)))+$U$7*MAX(0,MIN(1,($W$7-N1035)/($W$7-$V$7)))+$U$8*IF(AND(O1035&gt;=$V$8,O1035&lt;=$W$8),1,0))/$U$9*100,2)</f>
        <v>74.98</v>
      </c>
      <c r="C1035" s="27" t="s">
        <v>2816</v>
      </c>
      <c r="D1035" s="25" t="s">
        <v>134</v>
      </c>
      <c r="E1035" s="25" t="s">
        <v>3450</v>
      </c>
      <c r="F1035" s="25" t="s">
        <v>3448</v>
      </c>
      <c r="G1035" s="38" t="s">
        <v>30</v>
      </c>
      <c r="H1035" s="28" t="s">
        <v>25</v>
      </c>
      <c r="I1035" s="25" t="n">
        <v>2</v>
      </c>
      <c r="J1035" s="25" t="n">
        <v>1</v>
      </c>
      <c r="K1035" s="25" t="n">
        <v>2</v>
      </c>
      <c r="L1035" s="29" t="n">
        <v>0.82</v>
      </c>
      <c r="M1035" s="30" t="n">
        <v>6.7</v>
      </c>
      <c r="N1035" s="29" t="n">
        <v>0.84</v>
      </c>
      <c r="O1035" s="25" t="n">
        <v>185</v>
      </c>
      <c r="P1035" s="30" t="n">
        <v>10.96</v>
      </c>
      <c r="Q1035" s="27" t="s">
        <v>3575</v>
      </c>
      <c r="R1035" s="27" t="s">
        <v>283</v>
      </c>
    </row>
    <row r="1036" customFormat="false" ht="15" hidden="false" customHeight="false" outlineLevel="0" collapsed="false">
      <c r="A1036" s="25" t="n">
        <f aca="false">IF(G1036="REJECT",COUNTIF($G$2:$G$2277,"&lt;&gt;REJECT")+1+COUNTIFS($G$2:$G$2277,"REJECT",$B$2:$B$2277,"&gt;"&amp;B1036),1+COUNTIFS($G$2:$G$2277,"&lt;&gt;REJECT",$B$2:$B$2277,"&gt;"&amp;B1036))</f>
        <v>1035</v>
      </c>
      <c r="B1036" s="26" t="n">
        <f aca="false">ROUND(($U$2*MAX(0,MIN(1,($W$2-I1036)/($W$2-$V$2)))+$U$3*MAX(0,MIN(1,($W$3-J1036)/($W$3-$V$3)))+$U$4*MAX(0,MIN(1,($W$4-K1036)/($W$4-$V$4)))+$U$5*MAX(0,MIN(1,($W$5-L1036)/($W$5-$V$5)))+$U$6*MAX(0,MIN(1,($W$6-M1036)/($W$6-$V$6)))+$U$7*MAX(0,MIN(1,($W$7-N1036)/($W$7-$V$7)))+$U$8*IF(AND(O1036&gt;=$V$8,O1036&lt;=$W$8),1,0))/$U$9*100,2)</f>
        <v>74.97</v>
      </c>
      <c r="C1036" s="27" t="s">
        <v>1509</v>
      </c>
      <c r="D1036" s="25" t="s">
        <v>134</v>
      </c>
      <c r="E1036" s="25" t="s">
        <v>3447</v>
      </c>
      <c r="F1036" s="25" t="s">
        <v>3448</v>
      </c>
      <c r="G1036" s="38" t="s">
        <v>30</v>
      </c>
      <c r="H1036" s="28" t="s">
        <v>25</v>
      </c>
      <c r="I1036" s="25" t="n">
        <v>3</v>
      </c>
      <c r="J1036" s="25" t="n">
        <v>0</v>
      </c>
      <c r="K1036" s="25" t="n">
        <v>3</v>
      </c>
      <c r="L1036" s="29" t="n">
        <v>0.72</v>
      </c>
      <c r="M1036" s="30" t="n">
        <v>0.49</v>
      </c>
      <c r="N1036" s="29" t="n">
        <v>0.84</v>
      </c>
      <c r="O1036" s="25" t="n">
        <v>186</v>
      </c>
      <c r="P1036" s="30" t="n">
        <v>-1.25</v>
      </c>
      <c r="Q1036" s="27" t="s">
        <v>3547</v>
      </c>
      <c r="R1036" s="27" t="s">
        <v>2133</v>
      </c>
    </row>
    <row r="1037" customFormat="false" ht="15" hidden="false" customHeight="false" outlineLevel="0" collapsed="false">
      <c r="A1037" s="25" t="n">
        <f aca="false">IF(G1037="REJECT",COUNTIF($G$2:$G$2277,"&lt;&gt;REJECT")+1+COUNTIFS($G$2:$G$2277,"REJECT",$B$2:$B$2277,"&gt;"&amp;B1037),1+COUNTIFS($G$2:$G$2277,"&lt;&gt;REJECT",$B$2:$B$2277,"&gt;"&amp;B1037))</f>
        <v>1035</v>
      </c>
      <c r="B1037" s="26" t="n">
        <f aca="false">ROUND(($U$2*MAX(0,MIN(1,($W$2-I1037)/($W$2-$V$2)))+$U$3*MAX(0,MIN(1,($W$3-J1037)/($W$3-$V$3)))+$U$4*MAX(0,MIN(1,($W$4-K1037)/($W$4-$V$4)))+$U$5*MAX(0,MIN(1,($W$5-L1037)/($W$5-$V$5)))+$U$6*MAX(0,MIN(1,($W$6-M1037)/($W$6-$V$6)))+$U$7*MAX(0,MIN(1,($W$7-N1037)/($W$7-$V$7)))+$U$8*IF(AND(O1037&gt;=$V$8,O1037&lt;=$W$8),1,0))/$U$9*100,2)</f>
        <v>74.97</v>
      </c>
      <c r="C1037" s="27" t="s">
        <v>1961</v>
      </c>
      <c r="D1037" s="25" t="s">
        <v>134</v>
      </c>
      <c r="E1037" s="25" t="s">
        <v>3450</v>
      </c>
      <c r="F1037" s="25" t="s">
        <v>3448</v>
      </c>
      <c r="G1037" s="38" t="s">
        <v>30</v>
      </c>
      <c r="H1037" s="28" t="s">
        <v>25</v>
      </c>
      <c r="I1037" s="25" t="n">
        <v>1</v>
      </c>
      <c r="J1037" s="25" t="n">
        <v>1</v>
      </c>
      <c r="K1037" s="25" t="n">
        <v>1</v>
      </c>
      <c r="L1037" s="29" t="n">
        <v>0.7</v>
      </c>
      <c r="M1037" s="30" t="n">
        <v>14.67</v>
      </c>
      <c r="N1037" s="29" t="n">
        <v>0.2</v>
      </c>
      <c r="O1037" s="25" t="n">
        <v>186</v>
      </c>
      <c r="P1037" s="30" t="n">
        <v>2.13</v>
      </c>
      <c r="Q1037" s="27" t="s">
        <v>69</v>
      </c>
      <c r="R1037" s="27" t="s">
        <v>1230</v>
      </c>
    </row>
    <row r="1038" customFormat="false" ht="15" hidden="false" customHeight="false" outlineLevel="0" collapsed="false">
      <c r="A1038" s="25" t="n">
        <f aca="false">IF(G1038="REJECT",COUNTIF($G$2:$G$2277,"&lt;&gt;REJECT")+1+COUNTIFS($G$2:$G$2277,"REJECT",$B$2:$B$2277,"&gt;"&amp;B1038),1+COUNTIFS($G$2:$G$2277,"&lt;&gt;REJECT",$B$2:$B$2277,"&gt;"&amp;B1038))</f>
        <v>1037</v>
      </c>
      <c r="B1038" s="26" t="n">
        <f aca="false">ROUND(($U$2*MAX(0,MIN(1,($W$2-I1038)/($W$2-$V$2)))+$U$3*MAX(0,MIN(1,($W$3-J1038)/($W$3-$V$3)))+$U$4*MAX(0,MIN(1,($W$4-K1038)/($W$4-$V$4)))+$U$5*MAX(0,MIN(1,($W$5-L1038)/($W$5-$V$5)))+$U$6*MAX(0,MIN(1,($W$6-M1038)/($W$6-$V$6)))+$U$7*MAX(0,MIN(1,($W$7-N1038)/($W$7-$V$7)))+$U$8*IF(AND(O1038&gt;=$V$8,O1038&lt;=$W$8),1,0))/$U$9*100,2)</f>
        <v>74.95</v>
      </c>
      <c r="C1038" s="27" t="s">
        <v>2180</v>
      </c>
      <c r="D1038" s="25" t="s">
        <v>134</v>
      </c>
      <c r="E1038" s="25" t="s">
        <v>3450</v>
      </c>
      <c r="F1038" s="25" t="s">
        <v>3448</v>
      </c>
      <c r="G1038" s="38" t="s">
        <v>30</v>
      </c>
      <c r="H1038" s="28" t="s">
        <v>25</v>
      </c>
      <c r="I1038" s="25" t="n">
        <v>1</v>
      </c>
      <c r="J1038" s="25" t="n">
        <v>1</v>
      </c>
      <c r="K1038" s="25" t="n">
        <v>1</v>
      </c>
      <c r="L1038" s="29" t="n">
        <v>0.74</v>
      </c>
      <c r="M1038" s="30" t="n">
        <v>28.4</v>
      </c>
      <c r="N1038" s="29" t="n">
        <v>0.28</v>
      </c>
      <c r="O1038" s="25" t="n">
        <v>183</v>
      </c>
      <c r="P1038" s="30" t="n">
        <v>16.71</v>
      </c>
      <c r="Q1038" s="27" t="s">
        <v>69</v>
      </c>
      <c r="R1038" s="27" t="s">
        <v>183</v>
      </c>
    </row>
    <row r="1039" customFormat="false" ht="15" hidden="false" customHeight="false" outlineLevel="0" collapsed="false">
      <c r="A1039" s="25" t="n">
        <f aca="false">IF(G1039="REJECT",COUNTIF($G$2:$G$2277,"&lt;&gt;REJECT")+1+COUNTIFS($G$2:$G$2277,"REJECT",$B$2:$B$2277,"&gt;"&amp;B1039),1+COUNTIFS($G$2:$G$2277,"&lt;&gt;REJECT",$B$2:$B$2277,"&gt;"&amp;B1039))</f>
        <v>1038</v>
      </c>
      <c r="B1039" s="26" t="n">
        <f aca="false">ROUND(($U$2*MAX(0,MIN(1,($W$2-I1039)/($W$2-$V$2)))+$U$3*MAX(0,MIN(1,($W$3-J1039)/($W$3-$V$3)))+$U$4*MAX(0,MIN(1,($W$4-K1039)/($W$4-$V$4)))+$U$5*MAX(0,MIN(1,($W$5-L1039)/($W$5-$V$5)))+$U$6*MAX(0,MIN(1,($W$6-M1039)/($W$6-$V$6)))+$U$7*MAX(0,MIN(1,($W$7-N1039)/($W$7-$V$7)))+$U$8*IF(AND(O1039&gt;=$V$8,O1039&lt;=$W$8),1,0))/$U$9*100,2)</f>
        <v>74.94</v>
      </c>
      <c r="C1039" s="27" t="s">
        <v>2816</v>
      </c>
      <c r="D1039" s="25" t="s">
        <v>134</v>
      </c>
      <c r="E1039" s="25" t="s">
        <v>3450</v>
      </c>
      <c r="F1039" s="25" t="s">
        <v>3457</v>
      </c>
      <c r="G1039" s="38" t="s">
        <v>30</v>
      </c>
      <c r="H1039" s="28" t="s">
        <v>25</v>
      </c>
      <c r="I1039" s="25" t="n">
        <v>2</v>
      </c>
      <c r="J1039" s="25" t="n">
        <v>1</v>
      </c>
      <c r="K1039" s="25" t="n">
        <v>2</v>
      </c>
      <c r="L1039" s="29" t="n">
        <v>0.8</v>
      </c>
      <c r="M1039" s="30" t="n">
        <v>5.76</v>
      </c>
      <c r="N1039" s="29" t="n">
        <v>0.96</v>
      </c>
      <c r="O1039" s="25" t="n">
        <v>183</v>
      </c>
      <c r="P1039" s="30" t="n">
        <v>7.95</v>
      </c>
      <c r="Q1039" s="27" t="s">
        <v>3575</v>
      </c>
      <c r="R1039" s="27" t="s">
        <v>1099</v>
      </c>
    </row>
    <row r="1040" customFormat="false" ht="15" hidden="false" customHeight="false" outlineLevel="0" collapsed="false">
      <c r="A1040" s="25" t="n">
        <f aca="false">IF(G1040="REJECT",COUNTIF($G$2:$G$2277,"&lt;&gt;REJECT")+1+COUNTIFS($G$2:$G$2277,"REJECT",$B$2:$B$2277,"&gt;"&amp;B1040),1+COUNTIFS($G$2:$G$2277,"&lt;&gt;REJECT",$B$2:$B$2277,"&gt;"&amp;B1040))</f>
        <v>1039</v>
      </c>
      <c r="B1040" s="26" t="n">
        <f aca="false">ROUND(($U$2*MAX(0,MIN(1,($W$2-I1040)/($W$2-$V$2)))+$U$3*MAX(0,MIN(1,($W$3-J1040)/($W$3-$V$3)))+$U$4*MAX(0,MIN(1,($W$4-K1040)/($W$4-$V$4)))+$U$5*MAX(0,MIN(1,($W$5-L1040)/($W$5-$V$5)))+$U$6*MAX(0,MIN(1,($W$6-M1040)/($W$6-$V$6)))+$U$7*MAX(0,MIN(1,($W$7-N1040)/($W$7-$V$7)))+$U$8*IF(AND(O1040&gt;=$V$8,O1040&lt;=$W$8),1,0))/$U$9*100,2)</f>
        <v>74.93</v>
      </c>
      <c r="C1040" s="27" t="s">
        <v>2703</v>
      </c>
      <c r="D1040" s="25" t="s">
        <v>3459</v>
      </c>
      <c r="E1040" s="25" t="s">
        <v>3447</v>
      </c>
      <c r="F1040" s="25" t="s">
        <v>3448</v>
      </c>
      <c r="G1040" s="38" t="s">
        <v>30</v>
      </c>
      <c r="H1040" s="33" t="s">
        <v>24</v>
      </c>
      <c r="I1040" s="25" t="n">
        <v>3</v>
      </c>
      <c r="J1040" s="25" t="n">
        <v>0</v>
      </c>
      <c r="K1040" s="25" t="n">
        <v>3</v>
      </c>
      <c r="L1040" s="29" t="n">
        <v>0.75</v>
      </c>
      <c r="M1040" s="30" t="n">
        <v>11.12</v>
      </c>
      <c r="N1040" s="29" t="n">
        <v>0.88</v>
      </c>
      <c r="O1040" s="25" t="n">
        <v>185</v>
      </c>
      <c r="P1040" s="30" t="n">
        <v>1.42</v>
      </c>
      <c r="Q1040" s="27" t="s">
        <v>3576</v>
      </c>
      <c r="R1040" s="27" t="s">
        <v>30</v>
      </c>
    </row>
    <row r="1041" customFormat="false" ht="15" hidden="false" customHeight="false" outlineLevel="0" collapsed="false">
      <c r="A1041" s="25" t="n">
        <f aca="false">IF(G1041="REJECT",COUNTIF($G$2:$G$2277,"&lt;&gt;REJECT")+1+COUNTIFS($G$2:$G$2277,"REJECT",$B$2:$B$2277,"&gt;"&amp;B1041),1+COUNTIFS($G$2:$G$2277,"&lt;&gt;REJECT",$B$2:$B$2277,"&gt;"&amp;B1041))</f>
        <v>1040</v>
      </c>
      <c r="B1041" s="26" t="n">
        <f aca="false">ROUND(($U$2*MAX(0,MIN(1,($W$2-I1041)/($W$2-$V$2)))+$U$3*MAX(0,MIN(1,($W$3-J1041)/($W$3-$V$3)))+$U$4*MAX(0,MIN(1,($W$4-K1041)/($W$4-$V$4)))+$U$5*MAX(0,MIN(1,($W$5-L1041)/($W$5-$V$5)))+$U$6*MAX(0,MIN(1,($W$6-M1041)/($W$6-$V$6)))+$U$7*MAX(0,MIN(1,($W$7-N1041)/($W$7-$V$7)))+$U$8*IF(AND(O1041&gt;=$V$8,O1041&lt;=$W$8),1,0))/$U$9*100,2)</f>
        <v>74.89</v>
      </c>
      <c r="C1041" s="27" t="s">
        <v>702</v>
      </c>
      <c r="D1041" s="25" t="s">
        <v>3459</v>
      </c>
      <c r="E1041" s="25" t="s">
        <v>3450</v>
      </c>
      <c r="F1041" s="25" t="s">
        <v>3448</v>
      </c>
      <c r="G1041" s="38" t="s">
        <v>30</v>
      </c>
      <c r="H1041" s="28" t="s">
        <v>25</v>
      </c>
      <c r="I1041" s="25" t="n">
        <v>1</v>
      </c>
      <c r="J1041" s="25" t="n">
        <v>1</v>
      </c>
      <c r="K1041" s="25" t="n">
        <v>1</v>
      </c>
      <c r="L1041" s="29" t="n">
        <v>0.74</v>
      </c>
      <c r="M1041" s="30" t="n">
        <v>22.36</v>
      </c>
      <c r="N1041" s="29" t="n">
        <v>0.92</v>
      </c>
      <c r="O1041" s="25" t="n">
        <v>195</v>
      </c>
      <c r="P1041" s="30" t="n">
        <v>11.35</v>
      </c>
      <c r="Q1041" s="27" t="s">
        <v>69</v>
      </c>
      <c r="R1041" s="27" t="s">
        <v>183</v>
      </c>
    </row>
    <row r="1042" customFormat="false" ht="15" hidden="false" customHeight="false" outlineLevel="0" collapsed="false">
      <c r="A1042" s="25" t="n">
        <f aca="false">IF(G1042="REJECT",COUNTIF($G$2:$G$2277,"&lt;&gt;REJECT")+1+COUNTIFS($G$2:$G$2277,"REJECT",$B$2:$B$2277,"&gt;"&amp;B1042),1+COUNTIFS($G$2:$G$2277,"&lt;&gt;REJECT",$B$2:$B$2277,"&gt;"&amp;B1042))</f>
        <v>1041</v>
      </c>
      <c r="B1042" s="26" t="n">
        <f aca="false">ROUND(($U$2*MAX(0,MIN(1,($W$2-I1042)/($W$2-$V$2)))+$U$3*MAX(0,MIN(1,($W$3-J1042)/($W$3-$V$3)))+$U$4*MAX(0,MIN(1,($W$4-K1042)/($W$4-$V$4)))+$U$5*MAX(0,MIN(1,($W$5-L1042)/($W$5-$V$5)))+$U$6*MAX(0,MIN(1,($W$6-M1042)/($W$6-$V$6)))+$U$7*MAX(0,MIN(1,($W$7-N1042)/($W$7-$V$7)))+$U$8*IF(AND(O1042&gt;=$V$8,O1042&lt;=$W$8),1,0))/$U$9*100,2)</f>
        <v>74.86</v>
      </c>
      <c r="C1042" s="27" t="s">
        <v>2860</v>
      </c>
      <c r="D1042" s="25" t="s">
        <v>3459</v>
      </c>
      <c r="E1042" s="25" t="s">
        <v>3450</v>
      </c>
      <c r="F1042" s="25" t="s">
        <v>3448</v>
      </c>
      <c r="G1042" s="38" t="s">
        <v>30</v>
      </c>
      <c r="H1042" s="28" t="s">
        <v>25</v>
      </c>
      <c r="I1042" s="25" t="n">
        <v>1</v>
      </c>
      <c r="J1042" s="25" t="n">
        <v>1</v>
      </c>
      <c r="K1042" s="25" t="n">
        <v>1</v>
      </c>
      <c r="L1042" s="29" t="n">
        <v>0.73</v>
      </c>
      <c r="M1042" s="30" t="n">
        <v>21.35</v>
      </c>
      <c r="N1042" s="29" t="n">
        <v>0.68</v>
      </c>
      <c r="O1042" s="25" t="n">
        <v>184</v>
      </c>
      <c r="P1042" s="30" t="n">
        <v>2.37</v>
      </c>
      <c r="Q1042" s="27" t="s">
        <v>69</v>
      </c>
      <c r="R1042" s="27" t="s">
        <v>1809</v>
      </c>
    </row>
    <row r="1043" customFormat="false" ht="15" hidden="false" customHeight="false" outlineLevel="0" collapsed="false">
      <c r="A1043" s="25" t="n">
        <f aca="false">IF(G1043="REJECT",COUNTIF($G$2:$G$2277,"&lt;&gt;REJECT")+1+COUNTIFS($G$2:$G$2277,"REJECT",$B$2:$B$2277,"&gt;"&amp;B1043),1+COUNTIFS($G$2:$G$2277,"&lt;&gt;REJECT",$B$2:$B$2277,"&gt;"&amp;B1043))</f>
        <v>1042</v>
      </c>
      <c r="B1043" s="26" t="n">
        <f aca="false">ROUND(($U$2*MAX(0,MIN(1,($W$2-I1043)/($W$2-$V$2)))+$U$3*MAX(0,MIN(1,($W$3-J1043)/($W$3-$V$3)))+$U$4*MAX(0,MIN(1,($W$4-K1043)/($W$4-$V$4)))+$U$5*MAX(0,MIN(1,($W$5-L1043)/($W$5-$V$5)))+$U$6*MAX(0,MIN(1,($W$6-M1043)/($W$6-$V$6)))+$U$7*MAX(0,MIN(1,($W$7-N1043)/($W$7-$V$7)))+$U$8*IF(AND(O1043&gt;=$V$8,O1043&lt;=$W$8),1,0))/$U$9*100,2)</f>
        <v>74.85</v>
      </c>
      <c r="C1043" s="27" t="s">
        <v>1197</v>
      </c>
      <c r="D1043" s="25" t="s">
        <v>134</v>
      </c>
      <c r="E1043" s="25" t="s">
        <v>3447</v>
      </c>
      <c r="F1043" s="25" t="s">
        <v>3448</v>
      </c>
      <c r="G1043" s="38" t="s">
        <v>30</v>
      </c>
      <c r="H1043" s="28" t="s">
        <v>25</v>
      </c>
      <c r="I1043" s="25" t="n">
        <v>3</v>
      </c>
      <c r="J1043" s="25" t="n">
        <v>0</v>
      </c>
      <c r="K1043" s="25" t="n">
        <v>3</v>
      </c>
      <c r="L1043" s="29" t="n">
        <v>0.72</v>
      </c>
      <c r="M1043" s="30" t="n">
        <v>2.02</v>
      </c>
      <c r="N1043" s="29" t="n">
        <v>0.76</v>
      </c>
      <c r="O1043" s="25" t="n">
        <v>202</v>
      </c>
      <c r="P1043" s="30" t="n">
        <v>-1.27</v>
      </c>
      <c r="Q1043" s="27" t="s">
        <v>3538</v>
      </c>
      <c r="R1043" s="27" t="s">
        <v>2610</v>
      </c>
    </row>
    <row r="1044" customFormat="false" ht="15" hidden="false" customHeight="false" outlineLevel="0" collapsed="false">
      <c r="A1044" s="25" t="n">
        <f aca="false">IF(G1044="REJECT",COUNTIF($G$2:$G$2277,"&lt;&gt;REJECT")+1+COUNTIFS($G$2:$G$2277,"REJECT",$B$2:$B$2277,"&gt;"&amp;B1044),1+COUNTIFS($G$2:$G$2277,"&lt;&gt;REJECT",$B$2:$B$2277,"&gt;"&amp;B1044))</f>
        <v>1042</v>
      </c>
      <c r="B1044" s="26" t="n">
        <f aca="false">ROUND(($U$2*MAX(0,MIN(1,($W$2-I1044)/($W$2-$V$2)))+$U$3*MAX(0,MIN(1,($W$3-J1044)/($W$3-$V$3)))+$U$4*MAX(0,MIN(1,($W$4-K1044)/($W$4-$V$4)))+$U$5*MAX(0,MIN(1,($W$5-L1044)/($W$5-$V$5)))+$U$6*MAX(0,MIN(1,($W$6-M1044)/($W$6-$V$6)))+$U$7*MAX(0,MIN(1,($W$7-N1044)/($W$7-$V$7)))+$U$8*IF(AND(O1044&gt;=$V$8,O1044&lt;=$W$8),1,0))/$U$9*100,2)</f>
        <v>74.85</v>
      </c>
      <c r="C1044" s="27" t="s">
        <v>1355</v>
      </c>
      <c r="D1044" s="25" t="s">
        <v>134</v>
      </c>
      <c r="E1044" s="25" t="s">
        <v>3450</v>
      </c>
      <c r="F1044" s="25" t="s">
        <v>3457</v>
      </c>
      <c r="G1044" s="38" t="s">
        <v>30</v>
      </c>
      <c r="H1044" s="28" t="s">
        <v>25</v>
      </c>
      <c r="I1044" s="25" t="n">
        <v>1</v>
      </c>
      <c r="J1044" s="25" t="n">
        <v>1</v>
      </c>
      <c r="K1044" s="25" t="n">
        <v>1</v>
      </c>
      <c r="L1044" s="29" t="n">
        <v>0.7</v>
      </c>
      <c r="M1044" s="30" t="n">
        <v>15.38</v>
      </c>
      <c r="N1044" s="29" t="n">
        <v>0.2</v>
      </c>
      <c r="O1044" s="25" t="n">
        <v>186</v>
      </c>
      <c r="P1044" s="30" t="n">
        <v>9.68</v>
      </c>
      <c r="Q1044" s="27" t="s">
        <v>69</v>
      </c>
      <c r="R1044" s="27" t="s">
        <v>1099</v>
      </c>
    </row>
    <row r="1045" customFormat="false" ht="15" hidden="false" customHeight="false" outlineLevel="0" collapsed="false">
      <c r="A1045" s="25" t="n">
        <f aca="false">IF(G1045="REJECT",COUNTIF($G$2:$G$2277,"&lt;&gt;REJECT")+1+COUNTIFS($G$2:$G$2277,"REJECT",$B$2:$B$2277,"&gt;"&amp;B1045),1+COUNTIFS($G$2:$G$2277,"&lt;&gt;REJECT",$B$2:$B$2277,"&gt;"&amp;B1045))</f>
        <v>1044</v>
      </c>
      <c r="B1045" s="26" t="n">
        <f aca="false">ROUND(($U$2*MAX(0,MIN(1,($W$2-I1045)/($W$2-$V$2)))+$U$3*MAX(0,MIN(1,($W$3-J1045)/($W$3-$V$3)))+$U$4*MAX(0,MIN(1,($W$4-K1045)/($W$4-$V$4)))+$U$5*MAX(0,MIN(1,($W$5-L1045)/($W$5-$V$5)))+$U$6*MAX(0,MIN(1,($W$6-M1045)/($W$6-$V$6)))+$U$7*MAX(0,MIN(1,($W$7-N1045)/($W$7-$V$7)))+$U$8*IF(AND(O1045&gt;=$V$8,O1045&lt;=$W$8),1,0))/$U$9*100,2)</f>
        <v>74.84</v>
      </c>
      <c r="C1045" s="27" t="s">
        <v>1132</v>
      </c>
      <c r="D1045" s="25" t="s">
        <v>134</v>
      </c>
      <c r="E1045" s="25" t="s">
        <v>3447</v>
      </c>
      <c r="F1045" s="25" t="s">
        <v>3448</v>
      </c>
      <c r="G1045" s="38" t="s">
        <v>30</v>
      </c>
      <c r="H1045" s="33" t="s">
        <v>24</v>
      </c>
      <c r="I1045" s="25" t="n">
        <v>2</v>
      </c>
      <c r="J1045" s="25" t="n">
        <v>0</v>
      </c>
      <c r="K1045" s="25" t="n">
        <v>2</v>
      </c>
      <c r="L1045" s="29" t="n">
        <v>0.64</v>
      </c>
      <c r="M1045" s="30" t="n">
        <v>10.77</v>
      </c>
      <c r="N1045" s="29" t="n">
        <v>0.76</v>
      </c>
      <c r="O1045" s="25" t="n">
        <v>195</v>
      </c>
      <c r="P1045" s="30" t="n">
        <v>1.49</v>
      </c>
      <c r="Q1045" s="27" t="s">
        <v>3577</v>
      </c>
      <c r="R1045" s="27" t="s">
        <v>30</v>
      </c>
    </row>
    <row r="1046" customFormat="false" ht="15" hidden="false" customHeight="false" outlineLevel="0" collapsed="false">
      <c r="A1046" s="25" t="n">
        <f aca="false">IF(G1046="REJECT",COUNTIF($G$2:$G$2277,"&lt;&gt;REJECT")+1+COUNTIFS($G$2:$G$2277,"REJECT",$B$2:$B$2277,"&gt;"&amp;B1046),1+COUNTIFS($G$2:$G$2277,"&lt;&gt;REJECT",$B$2:$B$2277,"&gt;"&amp;B1046))</f>
        <v>1044</v>
      </c>
      <c r="B1046" s="26" t="n">
        <f aca="false">ROUND(($U$2*MAX(0,MIN(1,($W$2-I1046)/($W$2-$V$2)))+$U$3*MAX(0,MIN(1,($W$3-J1046)/($W$3-$V$3)))+$U$4*MAX(0,MIN(1,($W$4-K1046)/($W$4-$V$4)))+$U$5*MAX(0,MIN(1,($W$5-L1046)/($W$5-$V$5)))+$U$6*MAX(0,MIN(1,($W$6-M1046)/($W$6-$V$6)))+$U$7*MAX(0,MIN(1,($W$7-N1046)/($W$7-$V$7)))+$U$8*IF(AND(O1046&gt;=$V$8,O1046&lt;=$W$8),1,0))/$U$9*100,2)</f>
        <v>74.84</v>
      </c>
      <c r="C1046" s="27" t="s">
        <v>1234</v>
      </c>
      <c r="D1046" s="25" t="s">
        <v>3459</v>
      </c>
      <c r="E1046" s="25" t="s">
        <v>3450</v>
      </c>
      <c r="F1046" s="25" t="s">
        <v>3448</v>
      </c>
      <c r="G1046" s="38" t="s">
        <v>30</v>
      </c>
      <c r="H1046" s="28" t="s">
        <v>25</v>
      </c>
      <c r="I1046" s="25" t="n">
        <v>1</v>
      </c>
      <c r="J1046" s="25" t="n">
        <v>1</v>
      </c>
      <c r="K1046" s="25" t="n">
        <v>1</v>
      </c>
      <c r="L1046" s="29" t="n">
        <v>0.69</v>
      </c>
      <c r="M1046" s="30" t="n">
        <v>11.46</v>
      </c>
      <c r="N1046" s="29" t="n">
        <v>0.24</v>
      </c>
      <c r="O1046" s="25" t="n">
        <v>183</v>
      </c>
      <c r="P1046" s="30" t="n">
        <v>9.78</v>
      </c>
      <c r="Q1046" s="27" t="s">
        <v>69</v>
      </c>
      <c r="R1046" s="27" t="s">
        <v>283</v>
      </c>
    </row>
    <row r="1047" customFormat="false" ht="15" hidden="false" customHeight="false" outlineLevel="0" collapsed="false">
      <c r="A1047" s="25" t="n">
        <f aca="false">IF(G1047="REJECT",COUNTIF($G$2:$G$2277,"&lt;&gt;REJECT")+1+COUNTIFS($G$2:$G$2277,"REJECT",$B$2:$B$2277,"&gt;"&amp;B1047),1+COUNTIFS($G$2:$G$2277,"&lt;&gt;REJECT",$B$2:$B$2277,"&gt;"&amp;B1047))</f>
        <v>1046</v>
      </c>
      <c r="B1047" s="26" t="n">
        <f aca="false">ROUND(($U$2*MAX(0,MIN(1,($W$2-I1047)/($W$2-$V$2)))+$U$3*MAX(0,MIN(1,($W$3-J1047)/($W$3-$V$3)))+$U$4*MAX(0,MIN(1,($W$4-K1047)/($W$4-$V$4)))+$U$5*MAX(0,MIN(1,($W$5-L1047)/($W$5-$V$5)))+$U$6*MAX(0,MIN(1,($W$6-M1047)/($W$6-$V$6)))+$U$7*MAX(0,MIN(1,($W$7-N1047)/($W$7-$V$7)))+$U$8*IF(AND(O1047&gt;=$V$8,O1047&lt;=$W$8),1,0))/$U$9*100,2)</f>
        <v>74.79</v>
      </c>
      <c r="C1047" s="27" t="s">
        <v>852</v>
      </c>
      <c r="D1047" s="25" t="s">
        <v>3459</v>
      </c>
      <c r="E1047" s="25" t="s">
        <v>3450</v>
      </c>
      <c r="F1047" s="25" t="s">
        <v>3457</v>
      </c>
      <c r="G1047" s="38" t="s">
        <v>30</v>
      </c>
      <c r="H1047" s="28" t="s">
        <v>25</v>
      </c>
      <c r="I1047" s="25" t="n">
        <v>1</v>
      </c>
      <c r="J1047" s="25" t="n">
        <v>1</v>
      </c>
      <c r="K1047" s="25" t="n">
        <v>1</v>
      </c>
      <c r="L1047" s="29" t="n">
        <v>0.73</v>
      </c>
      <c r="M1047" s="30" t="n">
        <v>23.79</v>
      </c>
      <c r="N1047" s="29" t="n">
        <v>0.48</v>
      </c>
      <c r="O1047" s="25" t="n">
        <v>196</v>
      </c>
      <c r="P1047" s="30" t="n">
        <v>0.83</v>
      </c>
      <c r="Q1047" s="27" t="s">
        <v>69</v>
      </c>
      <c r="R1047" s="27" t="s">
        <v>1046</v>
      </c>
    </row>
    <row r="1048" customFormat="false" ht="15" hidden="false" customHeight="false" outlineLevel="0" collapsed="false">
      <c r="A1048" s="25" t="n">
        <f aca="false">IF(G1048="REJECT",COUNTIF($G$2:$G$2277,"&lt;&gt;REJECT")+1+COUNTIFS($G$2:$G$2277,"REJECT",$B$2:$B$2277,"&gt;"&amp;B1048),1+COUNTIFS($G$2:$G$2277,"&lt;&gt;REJECT",$B$2:$B$2277,"&gt;"&amp;B1048))</f>
        <v>1046</v>
      </c>
      <c r="B1048" s="26" t="n">
        <f aca="false">ROUND(($U$2*MAX(0,MIN(1,($W$2-I1048)/($W$2-$V$2)))+$U$3*MAX(0,MIN(1,($W$3-J1048)/($W$3-$V$3)))+$U$4*MAX(0,MIN(1,($W$4-K1048)/($W$4-$V$4)))+$U$5*MAX(0,MIN(1,($W$5-L1048)/($W$5-$V$5)))+$U$6*MAX(0,MIN(1,($W$6-M1048)/($W$6-$V$6)))+$U$7*MAX(0,MIN(1,($W$7-N1048)/($W$7-$V$7)))+$U$8*IF(AND(O1048&gt;=$V$8,O1048&lt;=$W$8),1,0))/$U$9*100,2)</f>
        <v>74.79</v>
      </c>
      <c r="C1048" s="27" t="s">
        <v>911</v>
      </c>
      <c r="D1048" s="25" t="s">
        <v>3459</v>
      </c>
      <c r="E1048" s="25" t="s">
        <v>3447</v>
      </c>
      <c r="F1048" s="25" t="s">
        <v>3457</v>
      </c>
      <c r="G1048" s="38" t="s">
        <v>30</v>
      </c>
      <c r="H1048" s="28" t="s">
        <v>25</v>
      </c>
      <c r="I1048" s="25" t="n">
        <v>1</v>
      </c>
      <c r="J1048" s="25" t="n">
        <v>1</v>
      </c>
      <c r="K1048" s="25" t="n">
        <v>1</v>
      </c>
      <c r="L1048" s="29" t="n">
        <v>0.73</v>
      </c>
      <c r="M1048" s="30" t="n">
        <v>24.17</v>
      </c>
      <c r="N1048" s="29" t="n">
        <v>0.44</v>
      </c>
      <c r="O1048" s="25" t="n">
        <v>185</v>
      </c>
      <c r="P1048" s="30" t="n">
        <v>4.62</v>
      </c>
      <c r="Q1048" s="27" t="s">
        <v>69</v>
      </c>
      <c r="R1048" s="27" t="s">
        <v>183</v>
      </c>
    </row>
    <row r="1049" customFormat="false" ht="15" hidden="false" customHeight="false" outlineLevel="0" collapsed="false">
      <c r="A1049" s="25" t="n">
        <f aca="false">IF(G1049="REJECT",COUNTIF($G$2:$G$2277,"&lt;&gt;REJECT")+1+COUNTIFS($G$2:$G$2277,"REJECT",$B$2:$B$2277,"&gt;"&amp;B1049),1+COUNTIFS($G$2:$G$2277,"&lt;&gt;REJECT",$B$2:$B$2277,"&gt;"&amp;B1049))</f>
        <v>1046</v>
      </c>
      <c r="B1049" s="26" t="n">
        <f aca="false">ROUND(($U$2*MAX(0,MIN(1,($W$2-I1049)/($W$2-$V$2)))+$U$3*MAX(0,MIN(1,($W$3-J1049)/($W$3-$V$3)))+$U$4*MAX(0,MIN(1,($W$4-K1049)/($W$4-$V$4)))+$U$5*MAX(0,MIN(1,($W$5-L1049)/($W$5-$V$5)))+$U$6*MAX(0,MIN(1,($W$6-M1049)/($W$6-$V$6)))+$U$7*MAX(0,MIN(1,($W$7-N1049)/($W$7-$V$7)))+$U$8*IF(AND(O1049&gt;=$V$8,O1049&lt;=$W$8),1,0))/$U$9*100,2)</f>
        <v>74.79</v>
      </c>
      <c r="C1049" s="27" t="s">
        <v>2860</v>
      </c>
      <c r="D1049" s="25" t="s">
        <v>3459</v>
      </c>
      <c r="E1049" s="25" t="s">
        <v>3450</v>
      </c>
      <c r="F1049" s="25" t="s">
        <v>3457</v>
      </c>
      <c r="G1049" s="38" t="s">
        <v>30</v>
      </c>
      <c r="H1049" s="28" t="s">
        <v>25</v>
      </c>
      <c r="I1049" s="25" t="n">
        <v>1</v>
      </c>
      <c r="J1049" s="25" t="n">
        <v>1</v>
      </c>
      <c r="K1049" s="25" t="n">
        <v>1</v>
      </c>
      <c r="L1049" s="29" t="n">
        <v>0.73</v>
      </c>
      <c r="M1049" s="30" t="n">
        <v>25.74</v>
      </c>
      <c r="N1049" s="29" t="n">
        <v>0.28</v>
      </c>
      <c r="O1049" s="25" t="n">
        <v>183</v>
      </c>
      <c r="P1049" s="30" t="n">
        <v>4.21</v>
      </c>
      <c r="Q1049" s="27" t="s">
        <v>69</v>
      </c>
      <c r="R1049" s="27" t="s">
        <v>163</v>
      </c>
    </row>
    <row r="1050" customFormat="false" ht="15" hidden="false" customHeight="false" outlineLevel="0" collapsed="false">
      <c r="A1050" s="25" t="n">
        <f aca="false">IF(G1050="REJECT",COUNTIF($G$2:$G$2277,"&lt;&gt;REJECT")+1+COUNTIFS($G$2:$G$2277,"REJECT",$B$2:$B$2277,"&gt;"&amp;B1050),1+COUNTIFS($G$2:$G$2277,"&lt;&gt;REJECT",$B$2:$B$2277,"&gt;"&amp;B1050))</f>
        <v>1049</v>
      </c>
      <c r="B1050" s="26" t="n">
        <f aca="false">ROUND(($U$2*MAX(0,MIN(1,($W$2-I1050)/($W$2-$V$2)))+$U$3*MAX(0,MIN(1,($W$3-J1050)/($W$3-$V$3)))+$U$4*MAX(0,MIN(1,($W$4-K1050)/($W$4-$V$4)))+$U$5*MAX(0,MIN(1,($W$5-L1050)/($W$5-$V$5)))+$U$6*MAX(0,MIN(1,($W$6-M1050)/($W$6-$V$6)))+$U$7*MAX(0,MIN(1,($W$7-N1050)/($W$7-$V$7)))+$U$8*IF(AND(O1050&gt;=$V$8,O1050&lt;=$W$8),1,0))/$U$9*100,2)</f>
        <v>74.73</v>
      </c>
      <c r="C1050" s="27" t="s">
        <v>2932</v>
      </c>
      <c r="D1050" s="25" t="s">
        <v>134</v>
      </c>
      <c r="E1050" s="25" t="s">
        <v>3447</v>
      </c>
      <c r="F1050" s="25" t="s">
        <v>3448</v>
      </c>
      <c r="G1050" s="38" t="s">
        <v>30</v>
      </c>
      <c r="H1050" s="28" t="s">
        <v>25</v>
      </c>
      <c r="I1050" s="25" t="n">
        <v>2</v>
      </c>
      <c r="J1050" s="25" t="n">
        <v>1</v>
      </c>
      <c r="K1050" s="25" t="n">
        <v>1</v>
      </c>
      <c r="L1050" s="29" t="n">
        <v>0.75</v>
      </c>
      <c r="M1050" s="30" t="n">
        <v>0.29</v>
      </c>
      <c r="N1050" s="29" t="n">
        <v>0.96</v>
      </c>
      <c r="O1050" s="25" t="n">
        <v>186</v>
      </c>
      <c r="P1050" s="30" t="n">
        <v>-1.25</v>
      </c>
      <c r="Q1050" s="27" t="s">
        <v>3578</v>
      </c>
      <c r="R1050" s="27" t="s">
        <v>1152</v>
      </c>
    </row>
    <row r="1051" customFormat="false" ht="15" hidden="false" customHeight="false" outlineLevel="0" collapsed="false">
      <c r="A1051" s="25" t="n">
        <f aca="false">IF(G1051="REJECT",COUNTIF($G$2:$G$2277,"&lt;&gt;REJECT")+1+COUNTIFS($G$2:$G$2277,"REJECT",$B$2:$B$2277,"&gt;"&amp;B1051),1+COUNTIFS($G$2:$G$2277,"&lt;&gt;REJECT",$B$2:$B$2277,"&gt;"&amp;B1051))</f>
        <v>1050</v>
      </c>
      <c r="B1051" s="26" t="n">
        <f aca="false">ROUND(($U$2*MAX(0,MIN(1,($W$2-I1051)/($W$2-$V$2)))+$U$3*MAX(0,MIN(1,($W$3-J1051)/($W$3-$V$3)))+$U$4*MAX(0,MIN(1,($W$4-K1051)/($W$4-$V$4)))+$U$5*MAX(0,MIN(1,($W$5-L1051)/($W$5-$V$5)))+$U$6*MAX(0,MIN(1,($W$6-M1051)/($W$6-$V$6)))+$U$7*MAX(0,MIN(1,($W$7-N1051)/($W$7-$V$7)))+$U$8*IF(AND(O1051&gt;=$V$8,O1051&lt;=$W$8),1,0))/$U$9*100,2)</f>
        <v>74.64</v>
      </c>
      <c r="C1051" s="27" t="s">
        <v>1876</v>
      </c>
      <c r="D1051" s="25" t="s">
        <v>134</v>
      </c>
      <c r="E1051" s="25" t="s">
        <v>3447</v>
      </c>
      <c r="F1051" s="25" t="s">
        <v>3448</v>
      </c>
      <c r="G1051" s="38" t="s">
        <v>30</v>
      </c>
      <c r="H1051" s="28" t="s">
        <v>25</v>
      </c>
      <c r="I1051" s="25" t="n">
        <v>1</v>
      </c>
      <c r="J1051" s="25" t="n">
        <v>1</v>
      </c>
      <c r="K1051" s="25" t="n">
        <v>1</v>
      </c>
      <c r="L1051" s="29" t="n">
        <v>0.67</v>
      </c>
      <c r="M1051" s="30" t="n">
        <v>3.87</v>
      </c>
      <c r="N1051" s="29" t="n">
        <v>0.4</v>
      </c>
      <c r="O1051" s="25" t="n">
        <v>193</v>
      </c>
      <c r="P1051" s="30" t="n">
        <v>8.29</v>
      </c>
      <c r="Q1051" s="27" t="s">
        <v>69</v>
      </c>
      <c r="R1051" s="27" t="s">
        <v>283</v>
      </c>
    </row>
    <row r="1052" customFormat="false" ht="15" hidden="false" customHeight="false" outlineLevel="0" collapsed="false">
      <c r="A1052" s="25" t="n">
        <f aca="false">IF(G1052="REJECT",COUNTIF($G$2:$G$2277,"&lt;&gt;REJECT")+1+COUNTIFS($G$2:$G$2277,"REJECT",$B$2:$B$2277,"&gt;"&amp;B1052),1+COUNTIFS($G$2:$G$2277,"&lt;&gt;REJECT",$B$2:$B$2277,"&gt;"&amp;B1052))</f>
        <v>1051</v>
      </c>
      <c r="B1052" s="26" t="n">
        <f aca="false">ROUND(($U$2*MAX(0,MIN(1,($W$2-I1052)/($W$2-$V$2)))+$U$3*MAX(0,MIN(1,($W$3-J1052)/($W$3-$V$3)))+$U$4*MAX(0,MIN(1,($W$4-K1052)/($W$4-$V$4)))+$U$5*MAX(0,MIN(1,($W$5-L1052)/($W$5-$V$5)))+$U$6*MAX(0,MIN(1,($W$6-M1052)/($W$6-$V$6)))+$U$7*MAX(0,MIN(1,($W$7-N1052)/($W$7-$V$7)))+$U$8*IF(AND(O1052&gt;=$V$8,O1052&lt;=$W$8),1,0))/$U$9*100,2)</f>
        <v>74.61</v>
      </c>
      <c r="C1052" s="27" t="s">
        <v>643</v>
      </c>
      <c r="D1052" s="25" t="s">
        <v>134</v>
      </c>
      <c r="E1052" s="25" t="s">
        <v>3450</v>
      </c>
      <c r="F1052" s="25" t="s">
        <v>3448</v>
      </c>
      <c r="G1052" s="38" t="s">
        <v>30</v>
      </c>
      <c r="H1052" s="28" t="s">
        <v>25</v>
      </c>
      <c r="I1052" s="25" t="n">
        <v>1</v>
      </c>
      <c r="J1052" s="25" t="n">
        <v>1</v>
      </c>
      <c r="K1052" s="25" t="n">
        <v>1</v>
      </c>
      <c r="L1052" s="29" t="n">
        <v>0.68</v>
      </c>
      <c r="M1052" s="30" t="n">
        <v>6.07</v>
      </c>
      <c r="N1052" s="29" t="n">
        <v>0.56</v>
      </c>
      <c r="O1052" s="25" t="n">
        <v>184</v>
      </c>
      <c r="P1052" s="30" t="n">
        <v>-1.14</v>
      </c>
      <c r="Q1052" s="27" t="s">
        <v>69</v>
      </c>
      <c r="R1052" s="27" t="s">
        <v>357</v>
      </c>
    </row>
    <row r="1053" customFormat="false" ht="15" hidden="false" customHeight="false" outlineLevel="0" collapsed="false">
      <c r="A1053" s="25" t="n">
        <f aca="false">IF(G1053="REJECT",COUNTIF($G$2:$G$2277,"&lt;&gt;REJECT")+1+COUNTIFS($G$2:$G$2277,"REJECT",$B$2:$B$2277,"&gt;"&amp;B1053),1+COUNTIFS($G$2:$G$2277,"&lt;&gt;REJECT",$B$2:$B$2277,"&gt;"&amp;B1053))</f>
        <v>1051</v>
      </c>
      <c r="B1053" s="26" t="n">
        <f aca="false">ROUND(($U$2*MAX(0,MIN(1,($W$2-I1053)/($W$2-$V$2)))+$U$3*MAX(0,MIN(1,($W$3-J1053)/($W$3-$V$3)))+$U$4*MAX(0,MIN(1,($W$4-K1053)/($W$4-$V$4)))+$U$5*MAX(0,MIN(1,($W$5-L1053)/($W$5-$V$5)))+$U$6*MAX(0,MIN(1,($W$6-M1053)/($W$6-$V$6)))+$U$7*MAX(0,MIN(1,($W$7-N1053)/($W$7-$V$7)))+$U$8*IF(AND(O1053&gt;=$V$8,O1053&lt;=$W$8),1,0))/$U$9*100,2)</f>
        <v>74.61</v>
      </c>
      <c r="C1053" s="27" t="s">
        <v>2308</v>
      </c>
      <c r="D1053" s="25" t="s">
        <v>134</v>
      </c>
      <c r="E1053" s="25" t="s">
        <v>3447</v>
      </c>
      <c r="F1053" s="25" t="s">
        <v>3448</v>
      </c>
      <c r="G1053" s="38" t="s">
        <v>30</v>
      </c>
      <c r="H1053" s="28" t="s">
        <v>25</v>
      </c>
      <c r="I1053" s="25" t="n">
        <v>3</v>
      </c>
      <c r="J1053" s="25" t="n">
        <v>0</v>
      </c>
      <c r="K1053" s="25" t="n">
        <v>3</v>
      </c>
      <c r="L1053" s="29" t="n">
        <v>0.75</v>
      </c>
      <c r="M1053" s="30" t="n">
        <v>15.06</v>
      </c>
      <c r="N1053" s="29" t="n">
        <v>0.68</v>
      </c>
      <c r="O1053" s="25" t="n">
        <v>183</v>
      </c>
      <c r="P1053" s="30" t="n">
        <v>-0.71</v>
      </c>
      <c r="Q1053" s="27" t="s">
        <v>3579</v>
      </c>
      <c r="R1053" s="27" t="s">
        <v>2133</v>
      </c>
    </row>
    <row r="1054" customFormat="false" ht="15" hidden="false" customHeight="false" outlineLevel="0" collapsed="false">
      <c r="A1054" s="25" t="n">
        <f aca="false">IF(G1054="REJECT",COUNTIF($G$2:$G$2277,"&lt;&gt;REJECT")+1+COUNTIFS($G$2:$G$2277,"REJECT",$B$2:$B$2277,"&gt;"&amp;B1054),1+COUNTIFS($G$2:$G$2277,"&lt;&gt;REJECT",$B$2:$B$2277,"&gt;"&amp;B1054))</f>
        <v>1053</v>
      </c>
      <c r="B1054" s="26" t="n">
        <f aca="false">ROUND(($U$2*MAX(0,MIN(1,($W$2-I1054)/($W$2-$V$2)))+$U$3*MAX(0,MIN(1,($W$3-J1054)/($W$3-$V$3)))+$U$4*MAX(0,MIN(1,($W$4-K1054)/($W$4-$V$4)))+$U$5*MAX(0,MIN(1,($W$5-L1054)/($W$5-$V$5)))+$U$6*MAX(0,MIN(1,($W$6-M1054)/($W$6-$V$6)))+$U$7*MAX(0,MIN(1,($W$7-N1054)/($W$7-$V$7)))+$U$8*IF(AND(O1054&gt;=$V$8,O1054&lt;=$W$8),1,0))/$U$9*100,2)</f>
        <v>74.59</v>
      </c>
      <c r="C1054" s="27" t="s">
        <v>1400</v>
      </c>
      <c r="D1054" s="25" t="s">
        <v>134</v>
      </c>
      <c r="E1054" s="25" t="s">
        <v>3447</v>
      </c>
      <c r="F1054" s="25" t="s">
        <v>3457</v>
      </c>
      <c r="G1054" s="38" t="s">
        <v>30</v>
      </c>
      <c r="H1054" s="28" t="s">
        <v>25</v>
      </c>
      <c r="I1054" s="25" t="n">
        <v>1</v>
      </c>
      <c r="J1054" s="25" t="n">
        <v>1</v>
      </c>
      <c r="K1054" s="25" t="n">
        <v>1</v>
      </c>
      <c r="L1054" s="29" t="n">
        <v>0.69</v>
      </c>
      <c r="M1054" s="30" t="n">
        <v>6.17</v>
      </c>
      <c r="N1054" s="29" t="n">
        <v>0.92</v>
      </c>
      <c r="O1054" s="25" t="n">
        <v>184</v>
      </c>
      <c r="P1054" s="30" t="n">
        <v>-1.06</v>
      </c>
      <c r="Q1054" s="27" t="s">
        <v>69</v>
      </c>
      <c r="R1054" s="27" t="s">
        <v>1152</v>
      </c>
    </row>
    <row r="1055" customFormat="false" ht="15" hidden="false" customHeight="false" outlineLevel="0" collapsed="false">
      <c r="A1055" s="25" t="n">
        <f aca="false">IF(G1055="REJECT",COUNTIF($G$2:$G$2277,"&lt;&gt;REJECT")+1+COUNTIFS($G$2:$G$2277,"REJECT",$B$2:$B$2277,"&gt;"&amp;B1055),1+COUNTIFS($G$2:$G$2277,"&lt;&gt;REJECT",$B$2:$B$2277,"&gt;"&amp;B1055))</f>
        <v>1053</v>
      </c>
      <c r="B1055" s="26" t="n">
        <f aca="false">ROUND(($U$2*MAX(0,MIN(1,($W$2-I1055)/($W$2-$V$2)))+$U$3*MAX(0,MIN(1,($W$3-J1055)/($W$3-$V$3)))+$U$4*MAX(0,MIN(1,($W$4-K1055)/($W$4-$V$4)))+$U$5*MAX(0,MIN(1,($W$5-L1055)/($W$5-$V$5)))+$U$6*MAX(0,MIN(1,($W$6-M1055)/($W$6-$V$6)))+$U$7*MAX(0,MIN(1,($W$7-N1055)/($W$7-$V$7)))+$U$8*IF(AND(O1055&gt;=$V$8,O1055&lt;=$W$8),1,0))/$U$9*100,2)</f>
        <v>74.59</v>
      </c>
      <c r="C1055" s="27" t="s">
        <v>1472</v>
      </c>
      <c r="D1055" s="25" t="s">
        <v>134</v>
      </c>
      <c r="E1055" s="25" t="s">
        <v>3447</v>
      </c>
      <c r="F1055" s="25" t="s">
        <v>3448</v>
      </c>
      <c r="G1055" s="38" t="s">
        <v>30</v>
      </c>
      <c r="H1055" s="28" t="s">
        <v>25</v>
      </c>
      <c r="I1055" s="25" t="n">
        <v>1</v>
      </c>
      <c r="J1055" s="25" t="n">
        <v>1</v>
      </c>
      <c r="K1055" s="25" t="n">
        <v>1</v>
      </c>
      <c r="L1055" s="29" t="n">
        <v>0.69</v>
      </c>
      <c r="M1055" s="30" t="n">
        <v>12.54</v>
      </c>
      <c r="N1055" s="29" t="n">
        <v>0.28</v>
      </c>
      <c r="O1055" s="25" t="n">
        <v>191</v>
      </c>
      <c r="P1055" s="30" t="n">
        <v>9.32</v>
      </c>
      <c r="Q1055" s="27" t="s">
        <v>69</v>
      </c>
      <c r="R1055" s="27" t="s">
        <v>283</v>
      </c>
    </row>
    <row r="1056" customFormat="false" ht="15" hidden="false" customHeight="false" outlineLevel="0" collapsed="false">
      <c r="A1056" s="25" t="n">
        <f aca="false">IF(G1056="REJECT",COUNTIF($G$2:$G$2277,"&lt;&gt;REJECT")+1+COUNTIFS($G$2:$G$2277,"REJECT",$B$2:$B$2277,"&gt;"&amp;B1056),1+COUNTIFS($G$2:$G$2277,"&lt;&gt;REJECT",$B$2:$B$2277,"&gt;"&amp;B1056))</f>
        <v>1055</v>
      </c>
      <c r="B1056" s="26" t="n">
        <f aca="false">ROUND(($U$2*MAX(0,MIN(1,($W$2-I1056)/($W$2-$V$2)))+$U$3*MAX(0,MIN(1,($W$3-J1056)/($W$3-$V$3)))+$U$4*MAX(0,MIN(1,($W$4-K1056)/($W$4-$V$4)))+$U$5*MAX(0,MIN(1,($W$5-L1056)/($W$5-$V$5)))+$U$6*MAX(0,MIN(1,($W$6-M1056)/($W$6-$V$6)))+$U$7*MAX(0,MIN(1,($W$7-N1056)/($W$7-$V$7)))+$U$8*IF(AND(O1056&gt;=$V$8,O1056&lt;=$W$8),1,0))/$U$9*100,2)</f>
        <v>74.58</v>
      </c>
      <c r="C1056" s="27" t="s">
        <v>650</v>
      </c>
      <c r="D1056" s="25" t="s">
        <v>134</v>
      </c>
      <c r="E1056" s="25" t="s">
        <v>3450</v>
      </c>
      <c r="F1056" s="25" t="s">
        <v>3448</v>
      </c>
      <c r="G1056" s="38" t="s">
        <v>30</v>
      </c>
      <c r="H1056" s="28" t="s">
        <v>25</v>
      </c>
      <c r="I1056" s="25" t="n">
        <v>1</v>
      </c>
      <c r="J1056" s="25" t="n">
        <v>1</v>
      </c>
      <c r="K1056" s="25" t="n">
        <v>1</v>
      </c>
      <c r="L1056" s="29" t="n">
        <v>0.69</v>
      </c>
      <c r="M1056" s="30" t="n">
        <v>14.25</v>
      </c>
      <c r="N1056" s="29" t="n">
        <v>0.12</v>
      </c>
      <c r="O1056" s="25" t="n">
        <v>184</v>
      </c>
      <c r="P1056" s="30" t="n">
        <v>13.92</v>
      </c>
      <c r="Q1056" s="27" t="s">
        <v>69</v>
      </c>
      <c r="R1056" s="27" t="s">
        <v>283</v>
      </c>
    </row>
    <row r="1057" customFormat="false" ht="15" hidden="false" customHeight="false" outlineLevel="0" collapsed="false">
      <c r="A1057" s="25" t="n">
        <f aca="false">IF(G1057="REJECT",COUNTIF($G$2:$G$2277,"&lt;&gt;REJECT")+1+COUNTIFS($G$2:$G$2277,"REJECT",$B$2:$B$2277,"&gt;"&amp;B1057),1+COUNTIFS($G$2:$G$2277,"&lt;&gt;REJECT",$B$2:$B$2277,"&gt;"&amp;B1057))</f>
        <v>1056</v>
      </c>
      <c r="B1057" s="26" t="n">
        <f aca="false">ROUND(($U$2*MAX(0,MIN(1,($W$2-I1057)/($W$2-$V$2)))+$U$3*MAX(0,MIN(1,($W$3-J1057)/($W$3-$V$3)))+$U$4*MAX(0,MIN(1,($W$4-K1057)/($W$4-$V$4)))+$U$5*MAX(0,MIN(1,($W$5-L1057)/($W$5-$V$5)))+$U$6*MAX(0,MIN(1,($W$6-M1057)/($W$6-$V$6)))+$U$7*MAX(0,MIN(1,($W$7-N1057)/($W$7-$V$7)))+$U$8*IF(AND(O1057&gt;=$V$8,O1057&lt;=$W$8),1,0))/$U$9*100,2)</f>
        <v>74.56</v>
      </c>
      <c r="C1057" s="27" t="s">
        <v>2550</v>
      </c>
      <c r="D1057" s="25" t="s">
        <v>134</v>
      </c>
      <c r="E1057" s="25" t="s">
        <v>3450</v>
      </c>
      <c r="F1057" s="25" t="s">
        <v>3448</v>
      </c>
      <c r="G1057" s="38" t="s">
        <v>30</v>
      </c>
      <c r="H1057" s="28" t="s">
        <v>25</v>
      </c>
      <c r="I1057" s="25" t="n">
        <v>2</v>
      </c>
      <c r="J1057" s="25" t="n">
        <v>1</v>
      </c>
      <c r="K1057" s="25" t="n">
        <v>2</v>
      </c>
      <c r="L1057" s="29" t="n">
        <v>0.82</v>
      </c>
      <c r="M1057" s="30" t="n">
        <v>11.22</v>
      </c>
      <c r="N1057" s="29" t="n">
        <v>0.64</v>
      </c>
      <c r="O1057" s="25" t="n">
        <v>184</v>
      </c>
      <c r="P1057" s="30" t="n">
        <v>1.48</v>
      </c>
      <c r="Q1057" s="27" t="s">
        <v>3575</v>
      </c>
      <c r="R1057" s="27" t="s">
        <v>1230</v>
      </c>
    </row>
    <row r="1058" customFormat="false" ht="15" hidden="false" customHeight="false" outlineLevel="0" collapsed="false">
      <c r="A1058" s="25" t="n">
        <f aca="false">IF(G1058="REJECT",COUNTIF($G$2:$G$2277,"&lt;&gt;REJECT")+1+COUNTIFS($G$2:$G$2277,"REJECT",$B$2:$B$2277,"&gt;"&amp;B1058),1+COUNTIFS($G$2:$G$2277,"&lt;&gt;REJECT",$B$2:$B$2277,"&gt;"&amp;B1058))</f>
        <v>1057</v>
      </c>
      <c r="B1058" s="26" t="n">
        <f aca="false">ROUND(($U$2*MAX(0,MIN(1,($W$2-I1058)/($W$2-$V$2)))+$U$3*MAX(0,MIN(1,($W$3-J1058)/($W$3-$V$3)))+$U$4*MAX(0,MIN(1,($W$4-K1058)/($W$4-$V$4)))+$U$5*MAX(0,MIN(1,($W$5-L1058)/($W$5-$V$5)))+$U$6*MAX(0,MIN(1,($W$6-M1058)/($W$6-$V$6)))+$U$7*MAX(0,MIN(1,($W$7-N1058)/($W$7-$V$7)))+$U$8*IF(AND(O1058&gt;=$V$8,O1058&lt;=$W$8),1,0))/$U$9*100,2)</f>
        <v>74.55</v>
      </c>
      <c r="C1058" s="27" t="s">
        <v>2854</v>
      </c>
      <c r="D1058" s="25" t="s">
        <v>134</v>
      </c>
      <c r="E1058" s="25" t="s">
        <v>3450</v>
      </c>
      <c r="F1058" s="25" t="s">
        <v>3457</v>
      </c>
      <c r="G1058" s="38" t="s">
        <v>30</v>
      </c>
      <c r="H1058" s="28" t="s">
        <v>25</v>
      </c>
      <c r="I1058" s="25" t="n">
        <v>1</v>
      </c>
      <c r="J1058" s="25" t="n">
        <v>1</v>
      </c>
      <c r="K1058" s="25" t="n">
        <v>1</v>
      </c>
      <c r="L1058" s="29" t="n">
        <v>0.69</v>
      </c>
      <c r="M1058" s="30" t="n">
        <v>10.02</v>
      </c>
      <c r="N1058" s="29" t="n">
        <v>0.56</v>
      </c>
      <c r="O1058" s="25" t="n">
        <v>183</v>
      </c>
      <c r="P1058" s="30" t="n">
        <v>14.49</v>
      </c>
      <c r="Q1058" s="27" t="s">
        <v>69</v>
      </c>
      <c r="R1058" s="27" t="s">
        <v>283</v>
      </c>
    </row>
    <row r="1059" customFormat="false" ht="15" hidden="false" customHeight="false" outlineLevel="0" collapsed="false">
      <c r="A1059" s="25" t="n">
        <f aca="false">IF(G1059="REJECT",COUNTIF($G$2:$G$2277,"&lt;&gt;REJECT")+1+COUNTIFS($G$2:$G$2277,"REJECT",$B$2:$B$2277,"&gt;"&amp;B1059),1+COUNTIFS($G$2:$G$2277,"&lt;&gt;REJECT",$B$2:$B$2277,"&gt;"&amp;B1059))</f>
        <v>1058</v>
      </c>
      <c r="B1059" s="26" t="n">
        <f aca="false">ROUND(($U$2*MAX(0,MIN(1,($W$2-I1059)/($W$2-$V$2)))+$U$3*MAX(0,MIN(1,($W$3-J1059)/($W$3-$V$3)))+$U$4*MAX(0,MIN(1,($W$4-K1059)/($W$4-$V$4)))+$U$5*MAX(0,MIN(1,($W$5-L1059)/($W$5-$V$5)))+$U$6*MAX(0,MIN(1,($W$6-M1059)/($W$6-$V$6)))+$U$7*MAX(0,MIN(1,($W$7-N1059)/($W$7-$V$7)))+$U$8*IF(AND(O1059&gt;=$V$8,O1059&lt;=$W$8),1,0))/$U$9*100,2)</f>
        <v>74.51</v>
      </c>
      <c r="C1059" s="27" t="s">
        <v>3126</v>
      </c>
      <c r="D1059" s="25" t="s">
        <v>134</v>
      </c>
      <c r="E1059" s="25" t="s">
        <v>3447</v>
      </c>
      <c r="F1059" s="25" t="s">
        <v>3448</v>
      </c>
      <c r="G1059" s="38" t="s">
        <v>30</v>
      </c>
      <c r="H1059" s="33" t="s">
        <v>24</v>
      </c>
      <c r="I1059" s="25" t="n">
        <v>3</v>
      </c>
      <c r="J1059" s="25" t="n">
        <v>0</v>
      </c>
      <c r="K1059" s="25" t="n">
        <v>3</v>
      </c>
      <c r="L1059" s="29" t="n">
        <v>0.72</v>
      </c>
      <c r="M1059" s="30" t="n">
        <v>8.07</v>
      </c>
      <c r="N1059" s="29" t="n">
        <v>0.36</v>
      </c>
      <c r="O1059" s="25" t="n">
        <v>183</v>
      </c>
      <c r="P1059" s="30" t="n">
        <v>-1.19</v>
      </c>
      <c r="Q1059" s="27" t="s">
        <v>3580</v>
      </c>
      <c r="R1059" s="27" t="s">
        <v>30</v>
      </c>
    </row>
    <row r="1060" customFormat="false" ht="15" hidden="false" customHeight="false" outlineLevel="0" collapsed="false">
      <c r="A1060" s="25" t="n">
        <f aca="false">IF(G1060="REJECT",COUNTIF($G$2:$G$2277,"&lt;&gt;REJECT")+1+COUNTIFS($G$2:$G$2277,"REJECT",$B$2:$B$2277,"&gt;"&amp;B1060),1+COUNTIFS($G$2:$G$2277,"&lt;&gt;REJECT",$B$2:$B$2277,"&gt;"&amp;B1060))</f>
        <v>1059</v>
      </c>
      <c r="B1060" s="26" t="n">
        <f aca="false">ROUND(($U$2*MAX(0,MIN(1,($W$2-I1060)/($W$2-$V$2)))+$U$3*MAX(0,MIN(1,($W$3-J1060)/($W$3-$V$3)))+$U$4*MAX(0,MIN(1,($W$4-K1060)/($W$4-$V$4)))+$U$5*MAX(0,MIN(1,($W$5-L1060)/($W$5-$V$5)))+$U$6*MAX(0,MIN(1,($W$6-M1060)/($W$6-$V$6)))+$U$7*MAX(0,MIN(1,($W$7-N1060)/($W$7-$V$7)))+$U$8*IF(AND(O1060&gt;=$V$8,O1060&lt;=$W$8),1,0))/$U$9*100,2)</f>
        <v>74.49</v>
      </c>
      <c r="C1060" s="27" t="s">
        <v>1033</v>
      </c>
      <c r="D1060" s="25" t="s">
        <v>134</v>
      </c>
      <c r="E1060" s="25" t="s">
        <v>3450</v>
      </c>
      <c r="F1060" s="25" t="s">
        <v>3448</v>
      </c>
      <c r="G1060" s="38" t="s">
        <v>30</v>
      </c>
      <c r="H1060" s="28" t="s">
        <v>25</v>
      </c>
      <c r="I1060" s="25" t="n">
        <v>1</v>
      </c>
      <c r="J1060" s="25" t="n">
        <v>1</v>
      </c>
      <c r="K1060" s="25" t="n">
        <v>1</v>
      </c>
      <c r="L1060" s="29" t="n">
        <v>0.69</v>
      </c>
      <c r="M1060" s="30" t="n">
        <v>13.15</v>
      </c>
      <c r="N1060" s="29" t="n">
        <v>0.28</v>
      </c>
      <c r="O1060" s="25" t="n">
        <v>183</v>
      </c>
      <c r="P1060" s="30" t="n">
        <v>5.71</v>
      </c>
      <c r="Q1060" s="27" t="s">
        <v>69</v>
      </c>
      <c r="R1060" s="27" t="s">
        <v>283</v>
      </c>
    </row>
    <row r="1061" customFormat="false" ht="15" hidden="false" customHeight="false" outlineLevel="0" collapsed="false">
      <c r="A1061" s="25" t="n">
        <f aca="false">IF(G1061="REJECT",COUNTIF($G$2:$G$2277,"&lt;&gt;REJECT")+1+COUNTIFS($G$2:$G$2277,"REJECT",$B$2:$B$2277,"&gt;"&amp;B1061),1+COUNTIFS($G$2:$G$2277,"&lt;&gt;REJECT",$B$2:$B$2277,"&gt;"&amp;B1061))</f>
        <v>1060</v>
      </c>
      <c r="B1061" s="26" t="n">
        <f aca="false">ROUND(($U$2*MAX(0,MIN(1,($W$2-I1061)/($W$2-$V$2)))+$U$3*MAX(0,MIN(1,($W$3-J1061)/($W$3-$V$3)))+$U$4*MAX(0,MIN(1,($W$4-K1061)/($W$4-$V$4)))+$U$5*MAX(0,MIN(1,($W$5-L1061)/($W$5-$V$5)))+$U$6*MAX(0,MIN(1,($W$6-M1061)/($W$6-$V$6)))+$U$7*MAX(0,MIN(1,($W$7-N1061)/($W$7-$V$7)))+$U$8*IF(AND(O1061&gt;=$V$8,O1061&lt;=$W$8),1,0))/$U$9*100,2)</f>
        <v>74.41</v>
      </c>
      <c r="C1061" s="27" t="s">
        <v>1521</v>
      </c>
      <c r="D1061" s="25" t="s">
        <v>134</v>
      </c>
      <c r="E1061" s="25" t="s">
        <v>3447</v>
      </c>
      <c r="F1061" s="25" t="s">
        <v>3448</v>
      </c>
      <c r="G1061" s="38" t="s">
        <v>30</v>
      </c>
      <c r="H1061" s="28" t="s">
        <v>25</v>
      </c>
      <c r="I1061" s="25" t="n">
        <v>3</v>
      </c>
      <c r="J1061" s="25" t="n">
        <v>0</v>
      </c>
      <c r="K1061" s="25" t="n">
        <v>3</v>
      </c>
      <c r="L1061" s="29" t="n">
        <v>0.78</v>
      </c>
      <c r="M1061" s="30" t="n">
        <v>29.47</v>
      </c>
      <c r="N1061" s="29" t="n">
        <v>0.44</v>
      </c>
      <c r="O1061" s="25" t="n">
        <v>183</v>
      </c>
      <c r="P1061" s="30" t="n">
        <v>0.39</v>
      </c>
      <c r="Q1061" s="27" t="s">
        <v>3581</v>
      </c>
      <c r="R1061" s="27" t="s">
        <v>992</v>
      </c>
    </row>
    <row r="1062" customFormat="false" ht="15" hidden="false" customHeight="false" outlineLevel="0" collapsed="false">
      <c r="A1062" s="25" t="n">
        <f aca="false">IF(G1062="REJECT",COUNTIF($G$2:$G$2277,"&lt;&gt;REJECT")+1+COUNTIFS($G$2:$G$2277,"REJECT",$B$2:$B$2277,"&gt;"&amp;B1062),1+COUNTIFS($G$2:$G$2277,"&lt;&gt;REJECT",$B$2:$B$2277,"&gt;"&amp;B1062))</f>
        <v>1060</v>
      </c>
      <c r="B1062" s="26" t="n">
        <f aca="false">ROUND(($U$2*MAX(0,MIN(1,($W$2-I1062)/($W$2-$V$2)))+$U$3*MAX(0,MIN(1,($W$3-J1062)/($W$3-$V$3)))+$U$4*MAX(0,MIN(1,($W$4-K1062)/($W$4-$V$4)))+$U$5*MAX(0,MIN(1,($W$5-L1062)/($W$5-$V$5)))+$U$6*MAX(0,MIN(1,($W$6-M1062)/($W$6-$V$6)))+$U$7*MAX(0,MIN(1,($W$7-N1062)/($W$7-$V$7)))+$U$8*IF(AND(O1062&gt;=$V$8,O1062&lt;=$W$8),1,0))/$U$9*100,2)</f>
        <v>74.41</v>
      </c>
      <c r="C1062" s="27" t="s">
        <v>2860</v>
      </c>
      <c r="D1062" s="25" t="s">
        <v>3459</v>
      </c>
      <c r="E1062" s="25" t="s">
        <v>3447</v>
      </c>
      <c r="F1062" s="25" t="s">
        <v>3457</v>
      </c>
      <c r="G1062" s="38" t="s">
        <v>30</v>
      </c>
      <c r="H1062" s="28" t="s">
        <v>25</v>
      </c>
      <c r="I1062" s="25" t="n">
        <v>1</v>
      </c>
      <c r="J1062" s="25" t="n">
        <v>1</v>
      </c>
      <c r="K1062" s="25" t="n">
        <v>1</v>
      </c>
      <c r="L1062" s="29" t="n">
        <v>0.72</v>
      </c>
      <c r="M1062" s="30" t="n">
        <v>18.42</v>
      </c>
      <c r="N1062" s="29" t="n">
        <v>0.88</v>
      </c>
      <c r="O1062" s="25" t="n">
        <v>186</v>
      </c>
      <c r="P1062" s="30" t="n">
        <v>-0.65</v>
      </c>
      <c r="Q1062" s="27" t="s">
        <v>69</v>
      </c>
      <c r="R1062" s="27" t="s">
        <v>1152</v>
      </c>
    </row>
    <row r="1063" customFormat="false" ht="15" hidden="false" customHeight="false" outlineLevel="0" collapsed="false">
      <c r="A1063" s="25" t="n">
        <f aca="false">IF(G1063="REJECT",COUNTIF($G$2:$G$2277,"&lt;&gt;REJECT")+1+COUNTIFS($G$2:$G$2277,"REJECT",$B$2:$B$2277,"&gt;"&amp;B1063),1+COUNTIFS($G$2:$G$2277,"&lt;&gt;REJECT",$B$2:$B$2277,"&gt;"&amp;B1063))</f>
        <v>1062</v>
      </c>
      <c r="B1063" s="26" t="n">
        <f aca="false">ROUND(($U$2*MAX(0,MIN(1,($W$2-I1063)/($W$2-$V$2)))+$U$3*MAX(0,MIN(1,($W$3-J1063)/($W$3-$V$3)))+$U$4*MAX(0,MIN(1,($W$4-K1063)/($W$4-$V$4)))+$U$5*MAX(0,MIN(1,($W$5-L1063)/($W$5-$V$5)))+$U$6*MAX(0,MIN(1,($W$6-M1063)/($W$6-$V$6)))+$U$7*MAX(0,MIN(1,($W$7-N1063)/($W$7-$V$7)))+$U$8*IF(AND(O1063&gt;=$V$8,O1063&lt;=$W$8),1,0))/$U$9*100,2)</f>
        <v>74.37</v>
      </c>
      <c r="C1063" s="27" t="s">
        <v>1787</v>
      </c>
      <c r="D1063" s="25" t="s">
        <v>134</v>
      </c>
      <c r="E1063" s="25" t="s">
        <v>3450</v>
      </c>
      <c r="F1063" s="25" t="s">
        <v>3448</v>
      </c>
      <c r="G1063" s="38" t="s">
        <v>30</v>
      </c>
      <c r="H1063" s="28" t="s">
        <v>25</v>
      </c>
      <c r="I1063" s="25" t="n">
        <v>1</v>
      </c>
      <c r="J1063" s="25" t="n">
        <v>1</v>
      </c>
      <c r="K1063" s="25" t="n">
        <v>1</v>
      </c>
      <c r="L1063" s="29" t="n">
        <v>0.68</v>
      </c>
      <c r="M1063" s="30" t="n">
        <v>7.07</v>
      </c>
      <c r="N1063" s="29" t="n">
        <v>0.6</v>
      </c>
      <c r="O1063" s="25" t="n">
        <v>191</v>
      </c>
      <c r="P1063" s="30" t="n">
        <v>13.66</v>
      </c>
      <c r="Q1063" s="27" t="s">
        <v>69</v>
      </c>
      <c r="R1063" s="27" t="s">
        <v>283</v>
      </c>
    </row>
    <row r="1064" customFormat="false" ht="15" hidden="false" customHeight="false" outlineLevel="0" collapsed="false">
      <c r="A1064" s="25" t="n">
        <f aca="false">IF(G1064="REJECT",COUNTIF($G$2:$G$2277,"&lt;&gt;REJECT")+1+COUNTIFS($G$2:$G$2277,"REJECT",$B$2:$B$2277,"&gt;"&amp;B1064),1+COUNTIFS($G$2:$G$2277,"&lt;&gt;REJECT",$B$2:$B$2277,"&gt;"&amp;B1064))</f>
        <v>1062</v>
      </c>
      <c r="B1064" s="26" t="n">
        <f aca="false">ROUND(($U$2*MAX(0,MIN(1,($W$2-I1064)/($W$2-$V$2)))+$U$3*MAX(0,MIN(1,($W$3-J1064)/($W$3-$V$3)))+$U$4*MAX(0,MIN(1,($W$4-K1064)/($W$4-$V$4)))+$U$5*MAX(0,MIN(1,($W$5-L1064)/($W$5-$V$5)))+$U$6*MAX(0,MIN(1,($W$6-M1064)/($W$6-$V$6)))+$U$7*MAX(0,MIN(1,($W$7-N1064)/($W$7-$V$7)))+$U$8*IF(AND(O1064&gt;=$V$8,O1064&lt;=$W$8),1,0))/$U$9*100,2)</f>
        <v>74.37</v>
      </c>
      <c r="C1064" s="27" t="s">
        <v>2055</v>
      </c>
      <c r="D1064" s="25" t="s">
        <v>134</v>
      </c>
      <c r="E1064" s="25" t="s">
        <v>3447</v>
      </c>
      <c r="F1064" s="25" t="s">
        <v>3448</v>
      </c>
      <c r="G1064" s="38" t="s">
        <v>30</v>
      </c>
      <c r="H1064" s="33" t="s">
        <v>24</v>
      </c>
      <c r="I1064" s="25" t="n">
        <v>3</v>
      </c>
      <c r="J1064" s="25" t="n">
        <v>0</v>
      </c>
      <c r="K1064" s="25" t="n">
        <v>3</v>
      </c>
      <c r="L1064" s="29" t="n">
        <v>0.76</v>
      </c>
      <c r="M1064" s="30" t="n">
        <v>19.26</v>
      </c>
      <c r="N1064" s="29" t="n">
        <v>0.76</v>
      </c>
      <c r="O1064" s="25" t="n">
        <v>191</v>
      </c>
      <c r="P1064" s="30" t="n">
        <v>5.69</v>
      </c>
      <c r="Q1064" s="27" t="s">
        <v>3561</v>
      </c>
      <c r="R1064" s="27" t="s">
        <v>30</v>
      </c>
    </row>
    <row r="1065" customFormat="false" ht="15" hidden="false" customHeight="false" outlineLevel="0" collapsed="false">
      <c r="A1065" s="25" t="n">
        <f aca="false">IF(G1065="REJECT",COUNTIF($G$2:$G$2277,"&lt;&gt;REJECT")+1+COUNTIFS($G$2:$G$2277,"REJECT",$B$2:$B$2277,"&gt;"&amp;B1065),1+COUNTIFS($G$2:$G$2277,"&lt;&gt;REJECT",$B$2:$B$2277,"&gt;"&amp;B1065))</f>
        <v>1064</v>
      </c>
      <c r="B1065" s="26" t="n">
        <f aca="false">ROUND(($U$2*MAX(0,MIN(1,($W$2-I1065)/($W$2-$V$2)))+$U$3*MAX(0,MIN(1,($W$3-J1065)/($W$3-$V$3)))+$U$4*MAX(0,MIN(1,($W$4-K1065)/($W$4-$V$4)))+$U$5*MAX(0,MIN(1,($W$5-L1065)/($W$5-$V$5)))+$U$6*MAX(0,MIN(1,($W$6-M1065)/($W$6-$V$6)))+$U$7*MAX(0,MIN(1,($W$7-N1065)/($W$7-$V$7)))+$U$8*IF(AND(O1065&gt;=$V$8,O1065&lt;=$W$8),1,0))/$U$9*100,2)</f>
        <v>74.36</v>
      </c>
      <c r="C1065" s="27" t="s">
        <v>1472</v>
      </c>
      <c r="D1065" s="25" t="s">
        <v>134</v>
      </c>
      <c r="E1065" s="25" t="s">
        <v>3447</v>
      </c>
      <c r="F1065" s="25" t="s">
        <v>3457</v>
      </c>
      <c r="G1065" s="38" t="s">
        <v>30</v>
      </c>
      <c r="H1065" s="28" t="s">
        <v>25</v>
      </c>
      <c r="I1065" s="25" t="n">
        <v>1</v>
      </c>
      <c r="J1065" s="25" t="n">
        <v>1</v>
      </c>
      <c r="K1065" s="25" t="n">
        <v>1</v>
      </c>
      <c r="L1065" s="29" t="n">
        <v>0.71</v>
      </c>
      <c r="M1065" s="30" t="n">
        <v>16.74</v>
      </c>
      <c r="N1065" s="29" t="n">
        <v>0.72</v>
      </c>
      <c r="O1065" s="25" t="n">
        <v>189</v>
      </c>
      <c r="P1065" s="30" t="n">
        <v>1.73</v>
      </c>
      <c r="Q1065" s="27" t="s">
        <v>69</v>
      </c>
      <c r="R1065" s="27" t="s">
        <v>283</v>
      </c>
    </row>
    <row r="1066" customFormat="false" ht="15" hidden="false" customHeight="false" outlineLevel="0" collapsed="false">
      <c r="A1066" s="25" t="n">
        <f aca="false">IF(G1066="REJECT",COUNTIF($G$2:$G$2277,"&lt;&gt;REJECT")+1+COUNTIFS($G$2:$G$2277,"REJECT",$B$2:$B$2277,"&gt;"&amp;B1066),1+COUNTIFS($G$2:$G$2277,"&lt;&gt;REJECT",$B$2:$B$2277,"&gt;"&amp;B1066))</f>
        <v>1065</v>
      </c>
      <c r="B1066" s="26" t="n">
        <f aca="false">ROUND(($U$2*MAX(0,MIN(1,($W$2-I1066)/($W$2-$V$2)))+$U$3*MAX(0,MIN(1,($W$3-J1066)/($W$3-$V$3)))+$U$4*MAX(0,MIN(1,($W$4-K1066)/($W$4-$V$4)))+$U$5*MAX(0,MIN(1,($W$5-L1066)/($W$5-$V$5)))+$U$6*MAX(0,MIN(1,($W$6-M1066)/($W$6-$V$6)))+$U$7*MAX(0,MIN(1,($W$7-N1066)/($W$7-$V$7)))+$U$8*IF(AND(O1066&gt;=$V$8,O1066&lt;=$W$8),1,0))/$U$9*100,2)</f>
        <v>74.34</v>
      </c>
      <c r="C1066" s="27" t="s">
        <v>1968</v>
      </c>
      <c r="D1066" s="25" t="s">
        <v>134</v>
      </c>
      <c r="E1066" s="25" t="s">
        <v>3450</v>
      </c>
      <c r="F1066" s="25" t="s">
        <v>3448</v>
      </c>
      <c r="G1066" s="38" t="s">
        <v>30</v>
      </c>
      <c r="H1066" s="33" t="s">
        <v>24</v>
      </c>
      <c r="I1066" s="25" t="n">
        <v>2</v>
      </c>
      <c r="J1066" s="25" t="n">
        <v>0</v>
      </c>
      <c r="K1066" s="25" t="n">
        <v>2</v>
      </c>
      <c r="L1066" s="29" t="n">
        <v>0.61</v>
      </c>
      <c r="M1066" s="30" t="n">
        <v>10.59</v>
      </c>
      <c r="N1066" s="29" t="n">
        <v>0</v>
      </c>
      <c r="O1066" s="25" t="n">
        <v>193</v>
      </c>
      <c r="P1066" s="30" t="n">
        <v>7.19</v>
      </c>
      <c r="Q1066" s="27" t="s">
        <v>3524</v>
      </c>
      <c r="R1066" s="27" t="s">
        <v>30</v>
      </c>
    </row>
    <row r="1067" customFormat="false" ht="15" hidden="false" customHeight="false" outlineLevel="0" collapsed="false">
      <c r="A1067" s="25" t="n">
        <f aca="false">IF(G1067="REJECT",COUNTIF($G$2:$G$2277,"&lt;&gt;REJECT")+1+COUNTIFS($G$2:$G$2277,"REJECT",$B$2:$B$2277,"&gt;"&amp;B1067),1+COUNTIFS($G$2:$G$2277,"&lt;&gt;REJECT",$B$2:$B$2277,"&gt;"&amp;B1067))</f>
        <v>1066</v>
      </c>
      <c r="B1067" s="26" t="n">
        <f aca="false">ROUND(($U$2*MAX(0,MIN(1,($W$2-I1067)/($W$2-$V$2)))+$U$3*MAX(0,MIN(1,($W$3-J1067)/($W$3-$V$3)))+$U$4*MAX(0,MIN(1,($W$4-K1067)/($W$4-$V$4)))+$U$5*MAX(0,MIN(1,($W$5-L1067)/($W$5-$V$5)))+$U$6*MAX(0,MIN(1,($W$6-M1067)/($W$6-$V$6)))+$U$7*MAX(0,MIN(1,($W$7-N1067)/($W$7-$V$7)))+$U$8*IF(AND(O1067&gt;=$V$8,O1067&lt;=$W$8),1,0))/$U$9*100,2)</f>
        <v>74.33</v>
      </c>
      <c r="C1067" s="27" t="s">
        <v>874</v>
      </c>
      <c r="D1067" s="25" t="s">
        <v>134</v>
      </c>
      <c r="E1067" s="25" t="s">
        <v>3450</v>
      </c>
      <c r="F1067" s="25" t="s">
        <v>3448</v>
      </c>
      <c r="G1067" s="38" t="s">
        <v>30</v>
      </c>
      <c r="H1067" s="28" t="s">
        <v>25</v>
      </c>
      <c r="I1067" s="25" t="n">
        <v>1</v>
      </c>
      <c r="J1067" s="25" t="n">
        <v>1</v>
      </c>
      <c r="K1067" s="25" t="n">
        <v>1</v>
      </c>
      <c r="L1067" s="29" t="n">
        <v>0.73</v>
      </c>
      <c r="M1067" s="30" t="n">
        <v>25.75</v>
      </c>
      <c r="N1067" s="29" t="n">
        <v>0.56</v>
      </c>
      <c r="O1067" s="25" t="n">
        <v>183</v>
      </c>
      <c r="P1067" s="30" t="n">
        <v>7.14</v>
      </c>
      <c r="Q1067" s="27" t="s">
        <v>69</v>
      </c>
      <c r="R1067" s="27" t="s">
        <v>183</v>
      </c>
    </row>
    <row r="1068" customFormat="false" ht="15" hidden="false" customHeight="false" outlineLevel="0" collapsed="false">
      <c r="A1068" s="25" t="n">
        <f aca="false">IF(G1068="REJECT",COUNTIF($G$2:$G$2277,"&lt;&gt;REJECT")+1+COUNTIFS($G$2:$G$2277,"REJECT",$B$2:$B$2277,"&gt;"&amp;B1068),1+COUNTIFS($G$2:$G$2277,"&lt;&gt;REJECT",$B$2:$B$2277,"&gt;"&amp;B1068))</f>
        <v>1067</v>
      </c>
      <c r="B1068" s="26" t="n">
        <f aca="false">ROUND(($U$2*MAX(0,MIN(1,($W$2-I1068)/($W$2-$V$2)))+$U$3*MAX(0,MIN(1,($W$3-J1068)/($W$3-$V$3)))+$U$4*MAX(0,MIN(1,($W$4-K1068)/($W$4-$V$4)))+$U$5*MAX(0,MIN(1,($W$5-L1068)/($W$5-$V$5)))+$U$6*MAX(0,MIN(1,($W$6-M1068)/($W$6-$V$6)))+$U$7*MAX(0,MIN(1,($W$7-N1068)/($W$7-$V$7)))+$U$8*IF(AND(O1068&gt;=$V$8,O1068&lt;=$W$8),1,0))/$U$9*100,2)</f>
        <v>74.31</v>
      </c>
      <c r="C1068" s="27" t="s">
        <v>354</v>
      </c>
      <c r="D1068" s="25" t="s">
        <v>3459</v>
      </c>
      <c r="E1068" s="25" t="s">
        <v>3447</v>
      </c>
      <c r="F1068" s="25" t="s">
        <v>3448</v>
      </c>
      <c r="G1068" s="38" t="s">
        <v>30</v>
      </c>
      <c r="H1068" s="28" t="s">
        <v>25</v>
      </c>
      <c r="I1068" s="25" t="n">
        <v>1</v>
      </c>
      <c r="J1068" s="25" t="n">
        <v>1</v>
      </c>
      <c r="K1068" s="25" t="n">
        <v>1</v>
      </c>
      <c r="L1068" s="29" t="n">
        <v>0.68</v>
      </c>
      <c r="M1068" s="30" t="n">
        <v>10.22</v>
      </c>
      <c r="N1068" s="29" t="n">
        <v>0.32</v>
      </c>
      <c r="O1068" s="25" t="n">
        <v>189</v>
      </c>
      <c r="P1068" s="30" t="n">
        <v>-2.01</v>
      </c>
      <c r="Q1068" s="27" t="s">
        <v>69</v>
      </c>
      <c r="R1068" s="27" t="s">
        <v>1099</v>
      </c>
    </row>
    <row r="1069" customFormat="false" ht="15" hidden="false" customHeight="false" outlineLevel="0" collapsed="false">
      <c r="A1069" s="25" t="n">
        <f aca="false">IF(G1069="REJECT",COUNTIF($G$2:$G$2277,"&lt;&gt;REJECT")+1+COUNTIFS($G$2:$G$2277,"REJECT",$B$2:$B$2277,"&gt;"&amp;B1069),1+COUNTIFS($G$2:$G$2277,"&lt;&gt;REJECT",$B$2:$B$2277,"&gt;"&amp;B1069))</f>
        <v>1067</v>
      </c>
      <c r="B1069" s="26" t="n">
        <f aca="false">ROUND(($U$2*MAX(0,MIN(1,($W$2-I1069)/($W$2-$V$2)))+$U$3*MAX(0,MIN(1,($W$3-J1069)/($W$3-$V$3)))+$U$4*MAX(0,MIN(1,($W$4-K1069)/($W$4-$V$4)))+$U$5*MAX(0,MIN(1,($W$5-L1069)/($W$5-$V$5)))+$U$6*MAX(0,MIN(1,($W$6-M1069)/($W$6-$V$6)))+$U$7*MAX(0,MIN(1,($W$7-N1069)/($W$7-$V$7)))+$U$8*IF(AND(O1069&gt;=$V$8,O1069&lt;=$W$8),1,0))/$U$9*100,2)</f>
        <v>74.31</v>
      </c>
      <c r="C1069" s="27" t="s">
        <v>879</v>
      </c>
      <c r="D1069" s="25" t="s">
        <v>3459</v>
      </c>
      <c r="E1069" s="25" t="s">
        <v>3450</v>
      </c>
      <c r="F1069" s="25" t="s">
        <v>3457</v>
      </c>
      <c r="G1069" s="38" t="s">
        <v>30</v>
      </c>
      <c r="H1069" s="28" t="s">
        <v>25</v>
      </c>
      <c r="I1069" s="25" t="n">
        <v>1</v>
      </c>
      <c r="J1069" s="25" t="n">
        <v>1</v>
      </c>
      <c r="K1069" s="25" t="n">
        <v>1</v>
      </c>
      <c r="L1069" s="29" t="n">
        <v>0.72</v>
      </c>
      <c r="M1069" s="30" t="n">
        <v>21.46</v>
      </c>
      <c r="N1069" s="29" t="n">
        <v>0.64</v>
      </c>
      <c r="O1069" s="25" t="n">
        <v>184</v>
      </c>
      <c r="P1069" s="30" t="n">
        <v>8.62</v>
      </c>
      <c r="Q1069" s="27" t="s">
        <v>69</v>
      </c>
      <c r="R1069" s="27" t="s">
        <v>183</v>
      </c>
    </row>
    <row r="1070" customFormat="false" ht="15" hidden="false" customHeight="false" outlineLevel="0" collapsed="false">
      <c r="A1070" s="25" t="n">
        <f aca="false">IF(G1070="REJECT",COUNTIF($G$2:$G$2277,"&lt;&gt;REJECT")+1+COUNTIFS($G$2:$G$2277,"REJECT",$B$2:$B$2277,"&gt;"&amp;B1070),1+COUNTIFS($G$2:$G$2277,"&lt;&gt;REJECT",$B$2:$B$2277,"&gt;"&amp;B1070))</f>
        <v>1067</v>
      </c>
      <c r="B1070" s="26" t="n">
        <f aca="false">ROUND(($U$2*MAX(0,MIN(1,($W$2-I1070)/($W$2-$V$2)))+$U$3*MAX(0,MIN(1,($W$3-J1070)/($W$3-$V$3)))+$U$4*MAX(0,MIN(1,($W$4-K1070)/($W$4-$V$4)))+$U$5*MAX(0,MIN(1,($W$5-L1070)/($W$5-$V$5)))+$U$6*MAX(0,MIN(1,($W$6-M1070)/($W$6-$V$6)))+$U$7*MAX(0,MIN(1,($W$7-N1070)/($W$7-$V$7)))+$U$8*IF(AND(O1070&gt;=$V$8,O1070&lt;=$W$8),1,0))/$U$9*100,2)</f>
        <v>74.31</v>
      </c>
      <c r="C1070" s="27" t="s">
        <v>2534</v>
      </c>
      <c r="D1070" s="25" t="s">
        <v>134</v>
      </c>
      <c r="E1070" s="25" t="s">
        <v>3450</v>
      </c>
      <c r="F1070" s="25" t="s">
        <v>3457</v>
      </c>
      <c r="G1070" s="38" t="s">
        <v>30</v>
      </c>
      <c r="H1070" s="28" t="s">
        <v>25</v>
      </c>
      <c r="I1070" s="25" t="n">
        <v>1</v>
      </c>
      <c r="J1070" s="25" t="n">
        <v>1</v>
      </c>
      <c r="K1070" s="25" t="n">
        <v>1</v>
      </c>
      <c r="L1070" s="29" t="n">
        <v>0.72</v>
      </c>
      <c r="M1070" s="30" t="n">
        <v>21.03</v>
      </c>
      <c r="N1070" s="29" t="n">
        <v>0.68</v>
      </c>
      <c r="O1070" s="25" t="n">
        <v>187</v>
      </c>
      <c r="P1070" s="30" t="n">
        <v>7.53</v>
      </c>
      <c r="Q1070" s="27" t="s">
        <v>69</v>
      </c>
      <c r="R1070" s="27" t="s">
        <v>183</v>
      </c>
    </row>
    <row r="1071" customFormat="false" ht="15" hidden="false" customHeight="false" outlineLevel="0" collapsed="false">
      <c r="A1071" s="25" t="n">
        <f aca="false">IF(G1071="REJECT",COUNTIF($G$2:$G$2277,"&lt;&gt;REJECT")+1+COUNTIFS($G$2:$G$2277,"REJECT",$B$2:$B$2277,"&gt;"&amp;B1071),1+COUNTIFS($G$2:$G$2277,"&lt;&gt;REJECT",$B$2:$B$2277,"&gt;"&amp;B1071))</f>
        <v>1070</v>
      </c>
      <c r="B1071" s="26" t="n">
        <f aca="false">ROUND(($U$2*MAX(0,MIN(1,($W$2-I1071)/($W$2-$V$2)))+$U$3*MAX(0,MIN(1,($W$3-J1071)/($W$3-$V$3)))+$U$4*MAX(0,MIN(1,($W$4-K1071)/($W$4-$V$4)))+$U$5*MAX(0,MIN(1,($W$5-L1071)/($W$5-$V$5)))+$U$6*MAX(0,MIN(1,($W$6-M1071)/($W$6-$V$6)))+$U$7*MAX(0,MIN(1,($W$7-N1071)/($W$7-$V$7)))+$U$8*IF(AND(O1071&gt;=$V$8,O1071&lt;=$W$8),1,0))/$U$9*100,2)</f>
        <v>74.3</v>
      </c>
      <c r="C1071" s="27" t="s">
        <v>1103</v>
      </c>
      <c r="D1071" s="25" t="s">
        <v>134</v>
      </c>
      <c r="E1071" s="25" t="s">
        <v>3447</v>
      </c>
      <c r="F1071" s="25" t="s">
        <v>3457</v>
      </c>
      <c r="G1071" s="38" t="s">
        <v>30</v>
      </c>
      <c r="H1071" s="28" t="s">
        <v>25</v>
      </c>
      <c r="I1071" s="25" t="n">
        <v>3</v>
      </c>
      <c r="J1071" s="25" t="n">
        <v>0</v>
      </c>
      <c r="K1071" s="25" t="n">
        <v>3</v>
      </c>
      <c r="L1071" s="29" t="n">
        <v>0.73</v>
      </c>
      <c r="M1071" s="30" t="n">
        <v>9.68</v>
      </c>
      <c r="N1071" s="29" t="n">
        <v>0.68</v>
      </c>
      <c r="O1071" s="25" t="n">
        <v>187</v>
      </c>
      <c r="P1071" s="30" t="n">
        <v>0.54</v>
      </c>
      <c r="Q1071" s="27" t="s">
        <v>3582</v>
      </c>
      <c r="R1071" s="27" t="s">
        <v>2133</v>
      </c>
    </row>
    <row r="1072" customFormat="false" ht="15" hidden="false" customHeight="false" outlineLevel="0" collapsed="false">
      <c r="A1072" s="25" t="n">
        <f aca="false">IF(G1072="REJECT",COUNTIF($G$2:$G$2277,"&lt;&gt;REJECT")+1+COUNTIFS($G$2:$G$2277,"REJECT",$B$2:$B$2277,"&gt;"&amp;B1072),1+COUNTIFS($G$2:$G$2277,"&lt;&gt;REJECT",$B$2:$B$2277,"&gt;"&amp;B1072))</f>
        <v>1071</v>
      </c>
      <c r="B1072" s="26" t="n">
        <f aca="false">ROUND(($U$2*MAX(0,MIN(1,($W$2-I1072)/($W$2-$V$2)))+$U$3*MAX(0,MIN(1,($W$3-J1072)/($W$3-$V$3)))+$U$4*MAX(0,MIN(1,($W$4-K1072)/($W$4-$V$4)))+$U$5*MAX(0,MIN(1,($W$5-L1072)/($W$5-$V$5)))+$U$6*MAX(0,MIN(1,($W$6-M1072)/($W$6-$V$6)))+$U$7*MAX(0,MIN(1,($W$7-N1072)/($W$7-$V$7)))+$U$8*IF(AND(O1072&gt;=$V$8,O1072&lt;=$W$8),1,0))/$U$9*100,2)</f>
        <v>74.26</v>
      </c>
      <c r="C1072" s="27" t="s">
        <v>2080</v>
      </c>
      <c r="D1072" s="25" t="s">
        <v>134</v>
      </c>
      <c r="E1072" s="25" t="s">
        <v>3450</v>
      </c>
      <c r="F1072" s="25" t="s">
        <v>3457</v>
      </c>
      <c r="G1072" s="38" t="s">
        <v>30</v>
      </c>
      <c r="H1072" s="28" t="s">
        <v>25</v>
      </c>
      <c r="I1072" s="25" t="n">
        <v>1</v>
      </c>
      <c r="J1072" s="25" t="n">
        <v>1</v>
      </c>
      <c r="K1072" s="25" t="n">
        <v>1</v>
      </c>
      <c r="L1072" s="29" t="n">
        <v>0.71</v>
      </c>
      <c r="M1072" s="30" t="n">
        <v>16.92</v>
      </c>
      <c r="N1072" s="29" t="n">
        <v>0.76</v>
      </c>
      <c r="O1072" s="25" t="n">
        <v>182</v>
      </c>
      <c r="P1072" s="30" t="n">
        <v>9.65</v>
      </c>
      <c r="Q1072" s="27" t="s">
        <v>69</v>
      </c>
      <c r="R1072" s="27" t="s">
        <v>283</v>
      </c>
    </row>
    <row r="1073" customFormat="false" ht="15" hidden="false" customHeight="false" outlineLevel="0" collapsed="false">
      <c r="A1073" s="25" t="n">
        <f aca="false">IF(G1073="REJECT",COUNTIF($G$2:$G$2277,"&lt;&gt;REJECT")+1+COUNTIFS($G$2:$G$2277,"REJECT",$B$2:$B$2277,"&gt;"&amp;B1073),1+COUNTIFS($G$2:$G$2277,"&lt;&gt;REJECT",$B$2:$B$2277,"&gt;"&amp;B1073))</f>
        <v>1072</v>
      </c>
      <c r="B1073" s="26" t="n">
        <f aca="false">ROUND(($U$2*MAX(0,MIN(1,($W$2-I1073)/($W$2-$V$2)))+$U$3*MAX(0,MIN(1,($W$3-J1073)/($W$3-$V$3)))+$U$4*MAX(0,MIN(1,($W$4-K1073)/($W$4-$V$4)))+$U$5*MAX(0,MIN(1,($W$5-L1073)/($W$5-$V$5)))+$U$6*MAX(0,MIN(1,($W$6-M1073)/($W$6-$V$6)))+$U$7*MAX(0,MIN(1,($W$7-N1073)/($W$7-$V$7)))+$U$8*IF(AND(O1073&gt;=$V$8,O1073&lt;=$W$8),1,0))/$U$9*100,2)</f>
        <v>74.25</v>
      </c>
      <c r="C1073" s="27" t="s">
        <v>1836</v>
      </c>
      <c r="D1073" s="25" t="s">
        <v>134</v>
      </c>
      <c r="E1073" s="25" t="s">
        <v>3447</v>
      </c>
      <c r="F1073" s="25" t="s">
        <v>3448</v>
      </c>
      <c r="G1073" s="38" t="s">
        <v>30</v>
      </c>
      <c r="H1073" s="28" t="s">
        <v>25</v>
      </c>
      <c r="I1073" s="25" t="n">
        <v>2</v>
      </c>
      <c r="J1073" s="25" t="n">
        <v>1</v>
      </c>
      <c r="K1073" s="25" t="n">
        <v>2</v>
      </c>
      <c r="L1073" s="29" t="n">
        <v>0.78</v>
      </c>
      <c r="M1073" s="30" t="n">
        <v>10.68</v>
      </c>
      <c r="N1073" s="29" t="n">
        <v>0.16</v>
      </c>
      <c r="O1073" s="25" t="n">
        <v>199</v>
      </c>
      <c r="P1073" s="30" t="n">
        <v>14.25</v>
      </c>
      <c r="Q1073" s="27" t="s">
        <v>3566</v>
      </c>
      <c r="R1073" s="27" t="s">
        <v>1099</v>
      </c>
    </row>
    <row r="1074" customFormat="false" ht="15" hidden="false" customHeight="false" outlineLevel="0" collapsed="false">
      <c r="A1074" s="25" t="n">
        <f aca="false">IF(G1074="REJECT",COUNTIF($G$2:$G$2277,"&lt;&gt;REJECT")+1+COUNTIFS($G$2:$G$2277,"REJECT",$B$2:$B$2277,"&gt;"&amp;B1074),1+COUNTIFS($G$2:$G$2277,"&lt;&gt;REJECT",$B$2:$B$2277,"&gt;"&amp;B1074))</f>
        <v>1073</v>
      </c>
      <c r="B1074" s="26" t="n">
        <f aca="false">ROUND(($U$2*MAX(0,MIN(1,($W$2-I1074)/($W$2-$V$2)))+$U$3*MAX(0,MIN(1,($W$3-J1074)/($W$3-$V$3)))+$U$4*MAX(0,MIN(1,($W$4-K1074)/($W$4-$V$4)))+$U$5*MAX(0,MIN(1,($W$5-L1074)/($W$5-$V$5)))+$U$6*MAX(0,MIN(1,($W$6-M1074)/($W$6-$V$6)))+$U$7*MAX(0,MIN(1,($W$7-N1074)/($W$7-$V$7)))+$U$8*IF(AND(O1074&gt;=$V$8,O1074&lt;=$W$8),1,0))/$U$9*100,2)</f>
        <v>74.22</v>
      </c>
      <c r="C1074" s="27" t="s">
        <v>824</v>
      </c>
      <c r="D1074" s="25" t="s">
        <v>134</v>
      </c>
      <c r="E1074" s="25" t="s">
        <v>3447</v>
      </c>
      <c r="F1074" s="25" t="s">
        <v>3448</v>
      </c>
      <c r="G1074" s="38" t="s">
        <v>30</v>
      </c>
      <c r="H1074" s="33" t="s">
        <v>24</v>
      </c>
      <c r="I1074" s="25" t="n">
        <v>3</v>
      </c>
      <c r="J1074" s="25" t="n">
        <v>0</v>
      </c>
      <c r="K1074" s="25" t="n">
        <v>3</v>
      </c>
      <c r="L1074" s="29" t="n">
        <v>0.74</v>
      </c>
      <c r="M1074" s="30" t="n">
        <v>19.36</v>
      </c>
      <c r="N1074" s="29" t="n">
        <v>0.12</v>
      </c>
      <c r="O1074" s="25" t="n">
        <v>186</v>
      </c>
      <c r="P1074" s="30" t="n">
        <v>10.91</v>
      </c>
      <c r="Q1074" s="27" t="s">
        <v>3583</v>
      </c>
      <c r="R1074" s="27" t="s">
        <v>30</v>
      </c>
    </row>
    <row r="1075" customFormat="false" ht="15" hidden="false" customHeight="false" outlineLevel="0" collapsed="false">
      <c r="A1075" s="25" t="n">
        <f aca="false">IF(G1075="REJECT",COUNTIF($G$2:$G$2277,"&lt;&gt;REJECT")+1+COUNTIFS($G$2:$G$2277,"REJECT",$B$2:$B$2277,"&gt;"&amp;B1075),1+COUNTIFS($G$2:$G$2277,"&lt;&gt;REJECT",$B$2:$B$2277,"&gt;"&amp;B1075))</f>
        <v>1073</v>
      </c>
      <c r="B1075" s="26" t="n">
        <f aca="false">ROUND(($U$2*MAX(0,MIN(1,($W$2-I1075)/($W$2-$V$2)))+$U$3*MAX(0,MIN(1,($W$3-J1075)/($W$3-$V$3)))+$U$4*MAX(0,MIN(1,($W$4-K1075)/($W$4-$V$4)))+$U$5*MAX(0,MIN(1,($W$5-L1075)/($W$5-$V$5)))+$U$6*MAX(0,MIN(1,($W$6-M1075)/($W$6-$V$6)))+$U$7*MAX(0,MIN(1,($W$7-N1075)/($W$7-$V$7)))+$U$8*IF(AND(O1075&gt;=$V$8,O1075&lt;=$W$8),1,0))/$U$9*100,2)</f>
        <v>74.22</v>
      </c>
      <c r="C1075" s="27" t="s">
        <v>3279</v>
      </c>
      <c r="D1075" s="25" t="s">
        <v>134</v>
      </c>
      <c r="E1075" s="25" t="s">
        <v>3450</v>
      </c>
      <c r="F1075" s="25" t="s">
        <v>3448</v>
      </c>
      <c r="G1075" s="38" t="s">
        <v>30</v>
      </c>
      <c r="H1075" s="28" t="s">
        <v>25</v>
      </c>
      <c r="I1075" s="25" t="n">
        <v>1</v>
      </c>
      <c r="J1075" s="25" t="n">
        <v>1</v>
      </c>
      <c r="K1075" s="25" t="n">
        <v>1</v>
      </c>
      <c r="L1075" s="29" t="n">
        <v>0.72</v>
      </c>
      <c r="M1075" s="30" t="n">
        <v>19.61</v>
      </c>
      <c r="N1075" s="29" t="n">
        <v>0.88</v>
      </c>
      <c r="O1075" s="25" t="n">
        <v>221</v>
      </c>
      <c r="P1075" s="30" t="n">
        <v>6.28</v>
      </c>
      <c r="Q1075" s="27" t="s">
        <v>69</v>
      </c>
      <c r="R1075" s="27" t="s">
        <v>283</v>
      </c>
    </row>
    <row r="1076" customFormat="false" ht="15" hidden="false" customHeight="false" outlineLevel="0" collapsed="false">
      <c r="A1076" s="25" t="n">
        <f aca="false">IF(G1076="REJECT",COUNTIF($G$2:$G$2277,"&lt;&gt;REJECT")+1+COUNTIFS($G$2:$G$2277,"REJECT",$B$2:$B$2277,"&gt;"&amp;B1076),1+COUNTIFS($G$2:$G$2277,"&lt;&gt;REJECT",$B$2:$B$2277,"&gt;"&amp;B1076))</f>
        <v>1075</v>
      </c>
      <c r="B1076" s="26" t="n">
        <f aca="false">ROUND(($U$2*MAX(0,MIN(1,($W$2-I1076)/($W$2-$V$2)))+$U$3*MAX(0,MIN(1,($W$3-J1076)/($W$3-$V$3)))+$U$4*MAX(0,MIN(1,($W$4-K1076)/($W$4-$V$4)))+$U$5*MAX(0,MIN(1,($W$5-L1076)/($W$5-$V$5)))+$U$6*MAX(0,MIN(1,($W$6-M1076)/($W$6-$V$6)))+$U$7*MAX(0,MIN(1,($W$7-N1076)/($W$7-$V$7)))+$U$8*IF(AND(O1076&gt;=$V$8,O1076&lt;=$W$8),1,0))/$U$9*100,2)</f>
        <v>74.2</v>
      </c>
      <c r="C1076" s="27" t="s">
        <v>3311</v>
      </c>
      <c r="D1076" s="25" t="s">
        <v>134</v>
      </c>
      <c r="E1076" s="25" t="s">
        <v>3447</v>
      </c>
      <c r="F1076" s="25" t="s">
        <v>3457</v>
      </c>
      <c r="G1076" s="38" t="s">
        <v>30</v>
      </c>
      <c r="H1076" s="33" t="s">
        <v>24</v>
      </c>
      <c r="I1076" s="25" t="n">
        <v>3</v>
      </c>
      <c r="J1076" s="25" t="n">
        <v>0</v>
      </c>
      <c r="K1076" s="25" t="n">
        <v>3</v>
      </c>
      <c r="L1076" s="29" t="n">
        <v>0.71</v>
      </c>
      <c r="M1076" s="30" t="n">
        <v>7.13</v>
      </c>
      <c r="N1076" s="29" t="n">
        <v>0.28</v>
      </c>
      <c r="O1076" s="25" t="n">
        <v>186</v>
      </c>
      <c r="P1076" s="30" t="n">
        <v>2.32</v>
      </c>
      <c r="Q1076" s="27" t="s">
        <v>3580</v>
      </c>
      <c r="R1076" s="27" t="s">
        <v>30</v>
      </c>
    </row>
    <row r="1077" customFormat="false" ht="15" hidden="false" customHeight="false" outlineLevel="0" collapsed="false">
      <c r="A1077" s="25" t="n">
        <f aca="false">IF(G1077="REJECT",COUNTIF($G$2:$G$2277,"&lt;&gt;REJECT")+1+COUNTIFS($G$2:$G$2277,"REJECT",$B$2:$B$2277,"&gt;"&amp;B1077),1+COUNTIFS($G$2:$G$2277,"&lt;&gt;REJECT",$B$2:$B$2277,"&gt;"&amp;B1077))</f>
        <v>1076</v>
      </c>
      <c r="B1077" s="26" t="n">
        <f aca="false">ROUND(($U$2*MAX(0,MIN(1,($W$2-I1077)/($W$2-$V$2)))+$U$3*MAX(0,MIN(1,($W$3-J1077)/($W$3-$V$3)))+$U$4*MAX(0,MIN(1,($W$4-K1077)/($W$4-$V$4)))+$U$5*MAX(0,MIN(1,($W$5-L1077)/($W$5-$V$5)))+$U$6*MAX(0,MIN(1,($W$6-M1077)/($W$6-$V$6)))+$U$7*MAX(0,MIN(1,($W$7-N1077)/($W$7-$V$7)))+$U$8*IF(AND(O1077&gt;=$V$8,O1077&lt;=$W$8),1,0))/$U$9*100,2)</f>
        <v>74.19</v>
      </c>
      <c r="C1077" s="27" t="s">
        <v>1055</v>
      </c>
      <c r="D1077" s="25" t="s">
        <v>134</v>
      </c>
      <c r="E1077" s="25" t="s">
        <v>3447</v>
      </c>
      <c r="F1077" s="25" t="s">
        <v>3457</v>
      </c>
      <c r="G1077" s="38" t="s">
        <v>30</v>
      </c>
      <c r="H1077" s="33" t="s">
        <v>24</v>
      </c>
      <c r="I1077" s="25" t="n">
        <v>3</v>
      </c>
      <c r="J1077" s="25" t="n">
        <v>0</v>
      </c>
      <c r="K1077" s="25" t="n">
        <v>3</v>
      </c>
      <c r="L1077" s="29" t="n">
        <v>0.74</v>
      </c>
      <c r="M1077" s="30" t="n">
        <v>12.37</v>
      </c>
      <c r="N1077" s="29" t="n">
        <v>0.84</v>
      </c>
      <c r="O1077" s="25" t="n">
        <v>183</v>
      </c>
      <c r="P1077" s="30" t="n">
        <v>0.94</v>
      </c>
      <c r="Q1077" s="27" t="s">
        <v>3539</v>
      </c>
      <c r="R1077" s="27" t="s">
        <v>30</v>
      </c>
    </row>
    <row r="1078" customFormat="false" ht="15" hidden="false" customHeight="false" outlineLevel="0" collapsed="false">
      <c r="A1078" s="25" t="n">
        <f aca="false">IF(G1078="REJECT",COUNTIF($G$2:$G$2277,"&lt;&gt;REJECT")+1+COUNTIFS($G$2:$G$2277,"REJECT",$B$2:$B$2277,"&gt;"&amp;B1078),1+COUNTIFS($G$2:$G$2277,"&lt;&gt;REJECT",$B$2:$B$2277,"&gt;"&amp;B1078))</f>
        <v>1076</v>
      </c>
      <c r="B1078" s="26" t="n">
        <f aca="false">ROUND(($U$2*MAX(0,MIN(1,($W$2-I1078)/($W$2-$V$2)))+$U$3*MAX(0,MIN(1,($W$3-J1078)/($W$3-$V$3)))+$U$4*MAX(0,MIN(1,($W$4-K1078)/($W$4-$V$4)))+$U$5*MAX(0,MIN(1,($W$5-L1078)/($W$5-$V$5)))+$U$6*MAX(0,MIN(1,($W$6-M1078)/($W$6-$V$6)))+$U$7*MAX(0,MIN(1,($W$7-N1078)/($W$7-$V$7)))+$U$8*IF(AND(O1078&gt;=$V$8,O1078&lt;=$W$8),1,0))/$U$9*100,2)</f>
        <v>74.19</v>
      </c>
      <c r="C1078" s="27" t="s">
        <v>1458</v>
      </c>
      <c r="D1078" s="25" t="s">
        <v>3459</v>
      </c>
      <c r="E1078" s="25" t="s">
        <v>3450</v>
      </c>
      <c r="F1078" s="25" t="s">
        <v>3457</v>
      </c>
      <c r="G1078" s="38" t="s">
        <v>30</v>
      </c>
      <c r="H1078" s="28" t="s">
        <v>25</v>
      </c>
      <c r="I1078" s="25" t="n">
        <v>2</v>
      </c>
      <c r="J1078" s="25" t="n">
        <v>1</v>
      </c>
      <c r="K1078" s="25" t="n">
        <v>2</v>
      </c>
      <c r="L1078" s="29" t="n">
        <v>0.8</v>
      </c>
      <c r="M1078" s="30" t="n">
        <v>19.84</v>
      </c>
      <c r="N1078" s="29" t="n">
        <v>0</v>
      </c>
      <c r="O1078" s="25" t="n">
        <v>183</v>
      </c>
      <c r="P1078" s="30" t="n">
        <v>16.4</v>
      </c>
      <c r="Q1078" s="27" t="s">
        <v>3566</v>
      </c>
      <c r="R1078" s="27" t="s">
        <v>283</v>
      </c>
    </row>
    <row r="1079" customFormat="false" ht="15" hidden="false" customHeight="false" outlineLevel="0" collapsed="false">
      <c r="A1079" s="25" t="n">
        <f aca="false">IF(G1079="REJECT",COUNTIF($G$2:$G$2277,"&lt;&gt;REJECT")+1+COUNTIFS($G$2:$G$2277,"REJECT",$B$2:$B$2277,"&gt;"&amp;B1079),1+COUNTIFS($G$2:$G$2277,"&lt;&gt;REJECT",$B$2:$B$2277,"&gt;"&amp;B1079))</f>
        <v>1078</v>
      </c>
      <c r="B1079" s="26" t="n">
        <f aca="false">ROUND(($U$2*MAX(0,MIN(1,($W$2-I1079)/($W$2-$V$2)))+$U$3*MAX(0,MIN(1,($W$3-J1079)/($W$3-$V$3)))+$U$4*MAX(0,MIN(1,($W$4-K1079)/($W$4-$V$4)))+$U$5*MAX(0,MIN(1,($W$5-L1079)/($W$5-$V$5)))+$U$6*MAX(0,MIN(1,($W$6-M1079)/($W$6-$V$6)))+$U$7*MAX(0,MIN(1,($W$7-N1079)/($W$7-$V$7)))+$U$8*IF(AND(O1079&gt;=$V$8,O1079&lt;=$W$8),1,0))/$U$9*100,2)</f>
        <v>74.12</v>
      </c>
      <c r="C1079" s="27" t="s">
        <v>3236</v>
      </c>
      <c r="D1079" s="25" t="s">
        <v>134</v>
      </c>
      <c r="E1079" s="25" t="s">
        <v>3450</v>
      </c>
      <c r="F1079" s="25" t="s">
        <v>3448</v>
      </c>
      <c r="G1079" s="38" t="s">
        <v>30</v>
      </c>
      <c r="H1079" s="28" t="s">
        <v>25</v>
      </c>
      <c r="I1079" s="25" t="n">
        <v>2</v>
      </c>
      <c r="J1079" s="25" t="n">
        <v>1</v>
      </c>
      <c r="K1079" s="25" t="n">
        <v>2</v>
      </c>
      <c r="L1079" s="29" t="n">
        <v>0.78</v>
      </c>
      <c r="M1079" s="30" t="n">
        <v>9.5</v>
      </c>
      <c r="N1079" s="29" t="n">
        <v>0.36</v>
      </c>
      <c r="O1079" s="25" t="n">
        <v>224</v>
      </c>
      <c r="P1079" s="30" t="n">
        <v>16.09</v>
      </c>
      <c r="Q1079" s="27" t="s">
        <v>3566</v>
      </c>
      <c r="R1079" s="27" t="s">
        <v>283</v>
      </c>
    </row>
    <row r="1080" customFormat="false" ht="15" hidden="false" customHeight="false" outlineLevel="0" collapsed="false">
      <c r="A1080" s="25" t="n">
        <f aca="false">IF(G1080="REJECT",COUNTIF($G$2:$G$2277,"&lt;&gt;REJECT")+1+COUNTIFS($G$2:$G$2277,"REJECT",$B$2:$B$2277,"&gt;"&amp;B1080),1+COUNTIFS($G$2:$G$2277,"&lt;&gt;REJECT",$B$2:$B$2277,"&gt;"&amp;B1080))</f>
        <v>1079</v>
      </c>
      <c r="B1080" s="26" t="n">
        <f aca="false">ROUND(($U$2*MAX(0,MIN(1,($W$2-I1080)/($W$2-$V$2)))+$U$3*MAX(0,MIN(1,($W$3-J1080)/($W$3-$V$3)))+$U$4*MAX(0,MIN(1,($W$4-K1080)/($W$4-$V$4)))+$U$5*MAX(0,MIN(1,($W$5-L1080)/($W$5-$V$5)))+$U$6*MAX(0,MIN(1,($W$6-M1080)/($W$6-$V$6)))+$U$7*MAX(0,MIN(1,($W$7-N1080)/($W$7-$V$7)))+$U$8*IF(AND(O1080&gt;=$V$8,O1080&lt;=$W$8),1,0))/$U$9*100,2)</f>
        <v>74.11</v>
      </c>
      <c r="C1080" s="27" t="s">
        <v>1023</v>
      </c>
      <c r="D1080" s="25" t="s">
        <v>134</v>
      </c>
      <c r="E1080" s="25" t="s">
        <v>3450</v>
      </c>
      <c r="F1080" s="25" t="s">
        <v>3457</v>
      </c>
      <c r="G1080" s="38" t="s">
        <v>30</v>
      </c>
      <c r="H1080" s="28" t="s">
        <v>25</v>
      </c>
      <c r="I1080" s="25" t="n">
        <v>2</v>
      </c>
      <c r="J1080" s="25" t="n">
        <v>1</v>
      </c>
      <c r="K1080" s="25" t="n">
        <v>1</v>
      </c>
      <c r="L1080" s="29" t="n">
        <v>0.76</v>
      </c>
      <c r="M1080" s="30" t="n">
        <v>11.58</v>
      </c>
      <c r="N1080" s="29" t="n">
        <v>0.56</v>
      </c>
      <c r="O1080" s="25" t="n">
        <v>192</v>
      </c>
      <c r="P1080" s="30" t="n">
        <v>11.85</v>
      </c>
      <c r="Q1080" s="27" t="s">
        <v>3584</v>
      </c>
      <c r="R1080" s="27" t="s">
        <v>283</v>
      </c>
    </row>
    <row r="1081" customFormat="false" ht="15" hidden="false" customHeight="false" outlineLevel="0" collapsed="false">
      <c r="A1081" s="25" t="n">
        <f aca="false">IF(G1081="REJECT",COUNTIF($G$2:$G$2277,"&lt;&gt;REJECT")+1+COUNTIFS($G$2:$G$2277,"REJECT",$B$2:$B$2277,"&gt;"&amp;B1081),1+COUNTIFS($G$2:$G$2277,"&lt;&gt;REJECT",$B$2:$B$2277,"&gt;"&amp;B1081))</f>
        <v>1079</v>
      </c>
      <c r="B1081" s="26" t="n">
        <f aca="false">ROUND(($U$2*MAX(0,MIN(1,($W$2-I1081)/($W$2-$V$2)))+$U$3*MAX(0,MIN(1,($W$3-J1081)/($W$3-$V$3)))+$U$4*MAX(0,MIN(1,($W$4-K1081)/($W$4-$V$4)))+$U$5*MAX(0,MIN(1,($W$5-L1081)/($W$5-$V$5)))+$U$6*MAX(0,MIN(1,($W$6-M1081)/($W$6-$V$6)))+$U$7*MAX(0,MIN(1,($W$7-N1081)/($W$7-$V$7)))+$U$8*IF(AND(O1081&gt;=$V$8,O1081&lt;=$W$8),1,0))/$U$9*100,2)</f>
        <v>74.11</v>
      </c>
      <c r="C1081" s="27" t="s">
        <v>1946</v>
      </c>
      <c r="D1081" s="25" t="s">
        <v>134</v>
      </c>
      <c r="E1081" s="25" t="s">
        <v>3450</v>
      </c>
      <c r="F1081" s="25" t="s">
        <v>3457</v>
      </c>
      <c r="G1081" s="38" t="s">
        <v>30</v>
      </c>
      <c r="H1081" s="28" t="s">
        <v>25</v>
      </c>
      <c r="I1081" s="25" t="n">
        <v>2</v>
      </c>
      <c r="J1081" s="25" t="n">
        <v>1</v>
      </c>
      <c r="K1081" s="25" t="n">
        <v>2</v>
      </c>
      <c r="L1081" s="29" t="n">
        <v>0.83</v>
      </c>
      <c r="M1081" s="30" t="n">
        <v>15.96</v>
      </c>
      <c r="N1081" s="29" t="n">
        <v>0.44</v>
      </c>
      <c r="O1081" s="25" t="n">
        <v>226</v>
      </c>
      <c r="P1081" s="30" t="n">
        <v>19.16</v>
      </c>
      <c r="Q1081" s="27" t="s">
        <v>3566</v>
      </c>
      <c r="R1081" s="27" t="s">
        <v>283</v>
      </c>
    </row>
    <row r="1082" customFormat="false" ht="15" hidden="false" customHeight="false" outlineLevel="0" collapsed="false">
      <c r="A1082" s="25" t="n">
        <f aca="false">IF(G1082="REJECT",COUNTIF($G$2:$G$2277,"&lt;&gt;REJECT")+1+COUNTIFS($G$2:$G$2277,"REJECT",$B$2:$B$2277,"&gt;"&amp;B1082),1+COUNTIFS($G$2:$G$2277,"&lt;&gt;REJECT",$B$2:$B$2277,"&gt;"&amp;B1082))</f>
        <v>1079</v>
      </c>
      <c r="B1082" s="26" t="n">
        <f aca="false">ROUND(($U$2*MAX(0,MIN(1,($W$2-I1082)/($W$2-$V$2)))+$U$3*MAX(0,MIN(1,($W$3-J1082)/($W$3-$V$3)))+$U$4*MAX(0,MIN(1,($W$4-K1082)/($W$4-$V$4)))+$U$5*MAX(0,MIN(1,($W$5-L1082)/($W$5-$V$5)))+$U$6*MAX(0,MIN(1,($W$6-M1082)/($W$6-$V$6)))+$U$7*MAX(0,MIN(1,($W$7-N1082)/($W$7-$V$7)))+$U$8*IF(AND(O1082&gt;=$V$8,O1082&lt;=$W$8),1,0))/$U$9*100,2)</f>
        <v>74.11</v>
      </c>
      <c r="C1082" s="27" t="s">
        <v>3068</v>
      </c>
      <c r="D1082" s="25" t="s">
        <v>3459</v>
      </c>
      <c r="E1082" s="25" t="s">
        <v>3447</v>
      </c>
      <c r="F1082" s="25" t="s">
        <v>3457</v>
      </c>
      <c r="G1082" s="38" t="s">
        <v>30</v>
      </c>
      <c r="H1082" s="28" t="s">
        <v>25</v>
      </c>
      <c r="I1082" s="25" t="n">
        <v>1</v>
      </c>
      <c r="J1082" s="25" t="n">
        <v>1</v>
      </c>
      <c r="K1082" s="25" t="n">
        <v>1</v>
      </c>
      <c r="L1082" s="29" t="n">
        <v>0.71</v>
      </c>
      <c r="M1082" s="30" t="n">
        <v>23.06</v>
      </c>
      <c r="N1082" s="29" t="n">
        <v>0.24</v>
      </c>
      <c r="O1082" s="25" t="n">
        <v>184</v>
      </c>
      <c r="P1082" s="30" t="n">
        <v>-1.35</v>
      </c>
      <c r="Q1082" s="27" t="s">
        <v>69</v>
      </c>
      <c r="R1082" s="27" t="s">
        <v>183</v>
      </c>
    </row>
    <row r="1083" customFormat="false" ht="15" hidden="false" customHeight="false" outlineLevel="0" collapsed="false">
      <c r="A1083" s="25" t="n">
        <f aca="false">IF(G1083="REJECT",COUNTIF($G$2:$G$2277,"&lt;&gt;REJECT")+1+COUNTIFS($G$2:$G$2277,"REJECT",$B$2:$B$2277,"&gt;"&amp;B1083),1+COUNTIFS($G$2:$G$2277,"&lt;&gt;REJECT",$B$2:$B$2277,"&gt;"&amp;B1083))</f>
        <v>1082</v>
      </c>
      <c r="B1083" s="26" t="n">
        <f aca="false">ROUND(($U$2*MAX(0,MIN(1,($W$2-I1083)/($W$2-$V$2)))+$U$3*MAX(0,MIN(1,($W$3-J1083)/($W$3-$V$3)))+$U$4*MAX(0,MIN(1,($W$4-K1083)/($W$4-$V$4)))+$U$5*MAX(0,MIN(1,($W$5-L1083)/($W$5-$V$5)))+$U$6*MAX(0,MIN(1,($W$6-M1083)/($W$6-$V$6)))+$U$7*MAX(0,MIN(1,($W$7-N1083)/($W$7-$V$7)))+$U$8*IF(AND(O1083&gt;=$V$8,O1083&lt;=$W$8),1,0))/$U$9*100,2)</f>
        <v>74.07</v>
      </c>
      <c r="C1083" s="27" t="s">
        <v>1170</v>
      </c>
      <c r="D1083" s="25" t="s">
        <v>134</v>
      </c>
      <c r="E1083" s="25" t="s">
        <v>3450</v>
      </c>
      <c r="F1083" s="25" t="s">
        <v>3448</v>
      </c>
      <c r="G1083" s="38" t="s">
        <v>30</v>
      </c>
      <c r="H1083" s="28" t="s">
        <v>25</v>
      </c>
      <c r="I1083" s="25" t="n">
        <v>1</v>
      </c>
      <c r="J1083" s="25" t="n">
        <v>1</v>
      </c>
      <c r="K1083" s="25" t="n">
        <v>1</v>
      </c>
      <c r="L1083" s="29" t="n">
        <v>0.69</v>
      </c>
      <c r="M1083" s="30" t="n">
        <v>18.48</v>
      </c>
      <c r="N1083" s="29" t="n">
        <v>0</v>
      </c>
      <c r="O1083" s="25" t="n">
        <v>184</v>
      </c>
      <c r="P1083" s="30" t="n">
        <v>10.99</v>
      </c>
      <c r="Q1083" s="27" t="s">
        <v>69</v>
      </c>
      <c r="R1083" s="27" t="s">
        <v>283</v>
      </c>
    </row>
    <row r="1084" customFormat="false" ht="15" hidden="false" customHeight="false" outlineLevel="0" collapsed="false">
      <c r="A1084" s="25" t="n">
        <f aca="false">IF(G1084="REJECT",COUNTIF($G$2:$G$2277,"&lt;&gt;REJECT")+1+COUNTIFS($G$2:$G$2277,"REJECT",$B$2:$B$2277,"&gt;"&amp;B1084),1+COUNTIFS($G$2:$G$2277,"&lt;&gt;REJECT",$B$2:$B$2277,"&gt;"&amp;B1084))</f>
        <v>1083</v>
      </c>
      <c r="B1084" s="26" t="n">
        <f aca="false">ROUND(($U$2*MAX(0,MIN(1,($W$2-I1084)/($W$2-$V$2)))+$U$3*MAX(0,MIN(1,($W$3-J1084)/($W$3-$V$3)))+$U$4*MAX(0,MIN(1,($W$4-K1084)/($W$4-$V$4)))+$U$5*MAX(0,MIN(1,($W$5-L1084)/($W$5-$V$5)))+$U$6*MAX(0,MIN(1,($W$6-M1084)/($W$6-$V$6)))+$U$7*MAX(0,MIN(1,($W$7-N1084)/($W$7-$V$7)))+$U$8*IF(AND(O1084&gt;=$V$8,O1084&lt;=$W$8),1,0))/$U$9*100,2)</f>
        <v>74.06</v>
      </c>
      <c r="C1084" s="27" t="s">
        <v>193</v>
      </c>
      <c r="D1084" s="25" t="s">
        <v>134</v>
      </c>
      <c r="E1084" s="25" t="s">
        <v>3450</v>
      </c>
      <c r="F1084" s="25" t="s">
        <v>3448</v>
      </c>
      <c r="G1084" s="38" t="s">
        <v>30</v>
      </c>
      <c r="H1084" s="28" t="s">
        <v>25</v>
      </c>
      <c r="I1084" s="25" t="n">
        <v>2</v>
      </c>
      <c r="J1084" s="25" t="n">
        <v>1</v>
      </c>
      <c r="K1084" s="25" t="n">
        <v>2</v>
      </c>
      <c r="L1084" s="29" t="n">
        <v>0.8</v>
      </c>
      <c r="M1084" s="30" t="n">
        <v>18.66</v>
      </c>
      <c r="N1084" s="29" t="n">
        <v>0.2</v>
      </c>
      <c r="O1084" s="25" t="n">
        <v>185</v>
      </c>
      <c r="P1084" s="30" t="n">
        <v>0.07</v>
      </c>
      <c r="Q1084" s="27" t="s">
        <v>3566</v>
      </c>
      <c r="R1084" s="27" t="s">
        <v>197</v>
      </c>
    </row>
    <row r="1085" customFormat="false" ht="15" hidden="false" customHeight="false" outlineLevel="0" collapsed="false">
      <c r="A1085" s="25" t="n">
        <f aca="false">IF(G1085="REJECT",COUNTIF($G$2:$G$2277,"&lt;&gt;REJECT")+1+COUNTIFS($G$2:$G$2277,"REJECT",$B$2:$B$2277,"&gt;"&amp;B1085),1+COUNTIFS($G$2:$G$2277,"&lt;&gt;REJECT",$B$2:$B$2277,"&gt;"&amp;B1085))</f>
        <v>1084</v>
      </c>
      <c r="B1085" s="26" t="n">
        <f aca="false">ROUND(($U$2*MAX(0,MIN(1,($W$2-I1085)/($W$2-$V$2)))+$U$3*MAX(0,MIN(1,($W$3-J1085)/($W$3-$V$3)))+$U$4*MAX(0,MIN(1,($W$4-K1085)/($W$4-$V$4)))+$U$5*MAX(0,MIN(1,($W$5-L1085)/($W$5-$V$5)))+$U$6*MAX(0,MIN(1,($W$6-M1085)/($W$6-$V$6)))+$U$7*MAX(0,MIN(1,($W$7-N1085)/($W$7-$V$7)))+$U$8*IF(AND(O1085&gt;=$V$8,O1085&lt;=$W$8),1,0))/$U$9*100,2)</f>
        <v>74.05</v>
      </c>
      <c r="C1085" s="27" t="s">
        <v>487</v>
      </c>
      <c r="D1085" s="25" t="s">
        <v>3459</v>
      </c>
      <c r="E1085" s="25" t="s">
        <v>3450</v>
      </c>
      <c r="F1085" s="25" t="s">
        <v>3457</v>
      </c>
      <c r="G1085" s="38" t="s">
        <v>30</v>
      </c>
      <c r="H1085" s="28" t="s">
        <v>25</v>
      </c>
      <c r="I1085" s="25" t="n">
        <v>1</v>
      </c>
      <c r="J1085" s="25" t="n">
        <v>1</v>
      </c>
      <c r="K1085" s="25" t="n">
        <v>1</v>
      </c>
      <c r="L1085" s="29" t="n">
        <v>0.72</v>
      </c>
      <c r="M1085" s="30" t="n">
        <v>24.23</v>
      </c>
      <c r="N1085" s="29" t="n">
        <v>0.52</v>
      </c>
      <c r="O1085" s="25" t="n">
        <v>191</v>
      </c>
      <c r="P1085" s="30" t="n">
        <v>6.18</v>
      </c>
      <c r="Q1085" s="27" t="s">
        <v>69</v>
      </c>
      <c r="R1085" s="27" t="s">
        <v>183</v>
      </c>
    </row>
    <row r="1086" customFormat="false" ht="15" hidden="false" customHeight="false" outlineLevel="0" collapsed="false">
      <c r="A1086" s="25" t="n">
        <f aca="false">IF(G1086="REJECT",COUNTIF($G$2:$G$2277,"&lt;&gt;REJECT")+1+COUNTIFS($G$2:$G$2277,"REJECT",$B$2:$B$2277,"&gt;"&amp;B1086),1+COUNTIFS($G$2:$G$2277,"&lt;&gt;REJECT",$B$2:$B$2277,"&gt;"&amp;B1086))</f>
        <v>1084</v>
      </c>
      <c r="B1086" s="26" t="n">
        <f aca="false">ROUND(($U$2*MAX(0,MIN(1,($W$2-I1086)/($W$2-$V$2)))+$U$3*MAX(0,MIN(1,($W$3-J1086)/($W$3-$V$3)))+$U$4*MAX(0,MIN(1,($W$4-K1086)/($W$4-$V$4)))+$U$5*MAX(0,MIN(1,($W$5-L1086)/($W$5-$V$5)))+$U$6*MAX(0,MIN(1,($W$6-M1086)/($W$6-$V$6)))+$U$7*MAX(0,MIN(1,($W$7-N1086)/($W$7-$V$7)))+$U$8*IF(AND(O1086&gt;=$V$8,O1086&lt;=$W$8),1,0))/$U$9*100,2)</f>
        <v>74.05</v>
      </c>
      <c r="C1086" s="27" t="s">
        <v>1600</v>
      </c>
      <c r="D1086" s="25" t="s">
        <v>134</v>
      </c>
      <c r="E1086" s="25" t="s">
        <v>3450</v>
      </c>
      <c r="F1086" s="25" t="s">
        <v>3457</v>
      </c>
      <c r="G1086" s="38" t="s">
        <v>30</v>
      </c>
      <c r="H1086" s="28" t="s">
        <v>25</v>
      </c>
      <c r="I1086" s="25" t="n">
        <v>2</v>
      </c>
      <c r="J1086" s="25" t="n">
        <v>1</v>
      </c>
      <c r="K1086" s="25" t="n">
        <v>2</v>
      </c>
      <c r="L1086" s="29" t="n">
        <v>0.8</v>
      </c>
      <c r="M1086" s="30" t="n">
        <v>12.32</v>
      </c>
      <c r="N1086" s="29" t="n">
        <v>0.84</v>
      </c>
      <c r="O1086" s="25" t="n">
        <v>183</v>
      </c>
      <c r="P1086" s="30" t="n">
        <v>5.18</v>
      </c>
      <c r="Q1086" s="27" t="s">
        <v>3566</v>
      </c>
      <c r="R1086" s="27" t="s">
        <v>1152</v>
      </c>
    </row>
    <row r="1087" customFormat="false" ht="15" hidden="false" customHeight="false" outlineLevel="0" collapsed="false">
      <c r="A1087" s="25" t="n">
        <f aca="false">IF(G1087="REJECT",COUNTIF($G$2:$G$2277,"&lt;&gt;REJECT")+1+COUNTIFS($G$2:$G$2277,"REJECT",$B$2:$B$2277,"&gt;"&amp;B1087),1+COUNTIFS($G$2:$G$2277,"&lt;&gt;REJECT",$B$2:$B$2277,"&gt;"&amp;B1087))</f>
        <v>1086</v>
      </c>
      <c r="B1087" s="26" t="n">
        <f aca="false">ROUND(($U$2*MAX(0,MIN(1,($W$2-I1087)/($W$2-$V$2)))+$U$3*MAX(0,MIN(1,($W$3-J1087)/($W$3-$V$3)))+$U$4*MAX(0,MIN(1,($W$4-K1087)/($W$4-$V$4)))+$U$5*MAX(0,MIN(1,($W$5-L1087)/($W$5-$V$5)))+$U$6*MAX(0,MIN(1,($W$6-M1087)/($W$6-$V$6)))+$U$7*MAX(0,MIN(1,($W$7-N1087)/($W$7-$V$7)))+$U$8*IF(AND(O1087&gt;=$V$8,O1087&lt;=$W$8),1,0))/$U$9*100,2)</f>
        <v>74.03</v>
      </c>
      <c r="C1087" s="27" t="s">
        <v>323</v>
      </c>
      <c r="D1087" s="25" t="s">
        <v>3459</v>
      </c>
      <c r="E1087" s="25" t="s">
        <v>3447</v>
      </c>
      <c r="F1087" s="25" t="s">
        <v>3448</v>
      </c>
      <c r="G1087" s="38" t="s">
        <v>30</v>
      </c>
      <c r="H1087" s="33" t="s">
        <v>24</v>
      </c>
      <c r="I1087" s="25" t="n">
        <v>3</v>
      </c>
      <c r="J1087" s="25" t="n">
        <v>0</v>
      </c>
      <c r="K1087" s="25" t="n">
        <v>3</v>
      </c>
      <c r="L1087" s="29" t="n">
        <v>0.74</v>
      </c>
      <c r="M1087" s="30" t="n">
        <v>13.32</v>
      </c>
      <c r="N1087" s="29" t="n">
        <v>0.84</v>
      </c>
      <c r="O1087" s="25" t="n">
        <v>185</v>
      </c>
      <c r="P1087" s="30" t="n">
        <v>8.12</v>
      </c>
      <c r="Q1087" s="27" t="s">
        <v>3553</v>
      </c>
      <c r="R1087" s="27" t="s">
        <v>30</v>
      </c>
    </row>
    <row r="1088" customFormat="false" ht="15" hidden="false" customHeight="false" outlineLevel="0" collapsed="false">
      <c r="A1088" s="25" t="n">
        <f aca="false">IF(G1088="REJECT",COUNTIF($G$2:$G$2277,"&lt;&gt;REJECT")+1+COUNTIFS($G$2:$G$2277,"REJECT",$B$2:$B$2277,"&gt;"&amp;B1088),1+COUNTIFS($G$2:$G$2277,"&lt;&gt;REJECT",$B$2:$B$2277,"&gt;"&amp;B1088))</f>
        <v>1087</v>
      </c>
      <c r="B1088" s="26" t="n">
        <f aca="false">ROUND(($U$2*MAX(0,MIN(1,($W$2-I1088)/($W$2-$V$2)))+$U$3*MAX(0,MIN(1,($W$3-J1088)/($W$3-$V$3)))+$U$4*MAX(0,MIN(1,($W$4-K1088)/($W$4-$V$4)))+$U$5*MAX(0,MIN(1,($W$5-L1088)/($W$5-$V$5)))+$U$6*MAX(0,MIN(1,($W$6-M1088)/($W$6-$V$6)))+$U$7*MAX(0,MIN(1,($W$7-N1088)/($W$7-$V$7)))+$U$8*IF(AND(O1088&gt;=$V$8,O1088&lt;=$W$8),1,0))/$U$9*100,2)</f>
        <v>74.02</v>
      </c>
      <c r="C1088" s="27" t="s">
        <v>2180</v>
      </c>
      <c r="D1088" s="25" t="s">
        <v>134</v>
      </c>
      <c r="E1088" s="25" t="s">
        <v>3447</v>
      </c>
      <c r="F1088" s="25" t="s">
        <v>3448</v>
      </c>
      <c r="G1088" s="38" t="s">
        <v>30</v>
      </c>
      <c r="H1088" s="28" t="s">
        <v>25</v>
      </c>
      <c r="I1088" s="25" t="n">
        <v>1</v>
      </c>
      <c r="J1088" s="25" t="n">
        <v>1</v>
      </c>
      <c r="K1088" s="25" t="n">
        <v>1</v>
      </c>
      <c r="L1088" s="29" t="n">
        <v>0.7</v>
      </c>
      <c r="M1088" s="30" t="n">
        <v>13.59</v>
      </c>
      <c r="N1088" s="29" t="n">
        <v>0.88</v>
      </c>
      <c r="O1088" s="25" t="n">
        <v>186</v>
      </c>
      <c r="P1088" s="30" t="n">
        <v>-1.06</v>
      </c>
      <c r="Q1088" s="27" t="s">
        <v>69</v>
      </c>
      <c r="R1088" s="27" t="s">
        <v>283</v>
      </c>
    </row>
    <row r="1089" customFormat="false" ht="15" hidden="false" customHeight="false" outlineLevel="0" collapsed="false">
      <c r="A1089" s="25" t="n">
        <f aca="false">IF(G1089="REJECT",COUNTIF($G$2:$G$2277,"&lt;&gt;REJECT")+1+COUNTIFS($G$2:$G$2277,"REJECT",$B$2:$B$2277,"&gt;"&amp;B1089),1+COUNTIFS($G$2:$G$2277,"&lt;&gt;REJECT",$B$2:$B$2277,"&gt;"&amp;B1089))</f>
        <v>1088</v>
      </c>
      <c r="B1089" s="26" t="n">
        <f aca="false">ROUND(($U$2*MAX(0,MIN(1,($W$2-I1089)/($W$2-$V$2)))+$U$3*MAX(0,MIN(1,($W$3-J1089)/($W$3-$V$3)))+$U$4*MAX(0,MIN(1,($W$4-K1089)/($W$4-$V$4)))+$U$5*MAX(0,MIN(1,($W$5-L1089)/($W$5-$V$5)))+$U$6*MAX(0,MIN(1,($W$6-M1089)/($W$6-$V$6)))+$U$7*MAX(0,MIN(1,($W$7-N1089)/($W$7-$V$7)))+$U$8*IF(AND(O1089&gt;=$V$8,O1089&lt;=$W$8),1,0))/$U$9*100,2)</f>
        <v>73.99</v>
      </c>
      <c r="C1089" s="27" t="s">
        <v>1761</v>
      </c>
      <c r="D1089" s="25" t="s">
        <v>134</v>
      </c>
      <c r="E1089" s="25" t="s">
        <v>3447</v>
      </c>
      <c r="F1089" s="25" t="s">
        <v>3457</v>
      </c>
      <c r="G1089" s="38" t="s">
        <v>30</v>
      </c>
      <c r="H1089" s="28" t="s">
        <v>25</v>
      </c>
      <c r="I1089" s="25" t="n">
        <v>3</v>
      </c>
      <c r="J1089" s="25" t="n">
        <v>0</v>
      </c>
      <c r="K1089" s="25" t="n">
        <v>3</v>
      </c>
      <c r="L1089" s="29" t="n">
        <v>0.75</v>
      </c>
      <c r="M1089" s="30" t="n">
        <v>25.57</v>
      </c>
      <c r="N1089" s="29" t="n">
        <v>0</v>
      </c>
      <c r="O1089" s="25" t="n">
        <v>184</v>
      </c>
      <c r="P1089" s="30" t="n">
        <v>2.31</v>
      </c>
      <c r="Q1089" s="27" t="s">
        <v>3585</v>
      </c>
      <c r="R1089" s="27" t="s">
        <v>992</v>
      </c>
    </row>
    <row r="1090" customFormat="false" ht="15" hidden="false" customHeight="false" outlineLevel="0" collapsed="false">
      <c r="A1090" s="25" t="n">
        <f aca="false">IF(G1090="REJECT",COUNTIF($G$2:$G$2277,"&lt;&gt;REJECT")+1+COUNTIFS($G$2:$G$2277,"REJECT",$B$2:$B$2277,"&gt;"&amp;B1090),1+COUNTIFS($G$2:$G$2277,"&lt;&gt;REJECT",$B$2:$B$2277,"&gt;"&amp;B1090))</f>
        <v>1089</v>
      </c>
      <c r="B1090" s="26" t="n">
        <f aca="false">ROUND(($U$2*MAX(0,MIN(1,($W$2-I1090)/($W$2-$V$2)))+$U$3*MAX(0,MIN(1,($W$3-J1090)/($W$3-$V$3)))+$U$4*MAX(0,MIN(1,($W$4-K1090)/($W$4-$V$4)))+$U$5*MAX(0,MIN(1,($W$5-L1090)/($W$5-$V$5)))+$U$6*MAX(0,MIN(1,($W$6-M1090)/($W$6-$V$6)))+$U$7*MAX(0,MIN(1,($W$7-N1090)/($W$7-$V$7)))+$U$8*IF(AND(O1090&gt;=$V$8,O1090&lt;=$W$8),1,0))/$U$9*100,2)</f>
        <v>73.98</v>
      </c>
      <c r="C1090" s="27" t="s">
        <v>650</v>
      </c>
      <c r="D1090" s="25" t="s">
        <v>134</v>
      </c>
      <c r="E1090" s="25" t="s">
        <v>3450</v>
      </c>
      <c r="F1090" s="25" t="s">
        <v>3457</v>
      </c>
      <c r="G1090" s="38" t="s">
        <v>30</v>
      </c>
      <c r="H1090" s="28" t="s">
        <v>25</v>
      </c>
      <c r="I1090" s="25" t="n">
        <v>1</v>
      </c>
      <c r="J1090" s="25" t="n">
        <v>1</v>
      </c>
      <c r="K1090" s="25" t="n">
        <v>1</v>
      </c>
      <c r="L1090" s="29" t="n">
        <v>0.7</v>
      </c>
      <c r="M1090" s="30" t="n">
        <v>19.01</v>
      </c>
      <c r="N1090" s="29" t="n">
        <v>0.36</v>
      </c>
      <c r="O1090" s="25" t="n">
        <v>186</v>
      </c>
      <c r="P1090" s="30" t="n">
        <v>14.08</v>
      </c>
      <c r="Q1090" s="27" t="s">
        <v>69</v>
      </c>
      <c r="R1090" s="27" t="s">
        <v>283</v>
      </c>
    </row>
    <row r="1091" customFormat="false" ht="15" hidden="false" customHeight="false" outlineLevel="0" collapsed="false">
      <c r="A1091" s="25" t="n">
        <f aca="false">IF(G1091="REJECT",COUNTIF($G$2:$G$2277,"&lt;&gt;REJECT")+1+COUNTIFS($G$2:$G$2277,"REJECT",$B$2:$B$2277,"&gt;"&amp;B1091),1+COUNTIFS($G$2:$G$2277,"&lt;&gt;REJECT",$B$2:$B$2277,"&gt;"&amp;B1091))</f>
        <v>1090</v>
      </c>
      <c r="B1091" s="26" t="n">
        <f aca="false">ROUND(($U$2*MAX(0,MIN(1,($W$2-I1091)/($W$2-$V$2)))+$U$3*MAX(0,MIN(1,($W$3-J1091)/($W$3-$V$3)))+$U$4*MAX(0,MIN(1,($W$4-K1091)/($W$4-$V$4)))+$U$5*MAX(0,MIN(1,($W$5-L1091)/($W$5-$V$5)))+$U$6*MAX(0,MIN(1,($W$6-M1091)/($W$6-$V$6)))+$U$7*MAX(0,MIN(1,($W$7-N1091)/($W$7-$V$7)))+$U$8*IF(AND(O1091&gt;=$V$8,O1091&lt;=$W$8),1,0))/$U$9*100,2)</f>
        <v>73.97</v>
      </c>
      <c r="C1091" s="27" t="s">
        <v>1314</v>
      </c>
      <c r="D1091" s="25" t="s">
        <v>134</v>
      </c>
      <c r="E1091" s="25" t="s">
        <v>3447</v>
      </c>
      <c r="F1091" s="25" t="s">
        <v>3448</v>
      </c>
      <c r="G1091" s="38" t="s">
        <v>30</v>
      </c>
      <c r="H1091" s="28" t="s">
        <v>25</v>
      </c>
      <c r="I1091" s="25" t="n">
        <v>4</v>
      </c>
      <c r="J1091" s="25" t="n">
        <v>0</v>
      </c>
      <c r="K1091" s="25" t="n">
        <v>4</v>
      </c>
      <c r="L1091" s="29" t="n">
        <v>0.85</v>
      </c>
      <c r="M1091" s="30" t="n">
        <v>3.41</v>
      </c>
      <c r="N1091" s="29" t="n">
        <v>0.28</v>
      </c>
      <c r="O1091" s="25" t="n">
        <v>183</v>
      </c>
      <c r="P1091" s="30" t="n">
        <v>2.37</v>
      </c>
      <c r="Q1091" s="27" t="s">
        <v>3586</v>
      </c>
      <c r="R1091" s="27" t="s">
        <v>2133</v>
      </c>
    </row>
    <row r="1092" customFormat="false" ht="15" hidden="false" customHeight="false" outlineLevel="0" collapsed="false">
      <c r="A1092" s="25" t="n">
        <f aca="false">IF(G1092="REJECT",COUNTIF($G$2:$G$2277,"&lt;&gt;REJECT")+1+COUNTIFS($G$2:$G$2277,"REJECT",$B$2:$B$2277,"&gt;"&amp;B1092),1+COUNTIFS($G$2:$G$2277,"&lt;&gt;REJECT",$B$2:$B$2277,"&gt;"&amp;B1092))</f>
        <v>1091</v>
      </c>
      <c r="B1092" s="26" t="n">
        <f aca="false">ROUND(($U$2*MAX(0,MIN(1,($W$2-I1092)/($W$2-$V$2)))+$U$3*MAX(0,MIN(1,($W$3-J1092)/($W$3-$V$3)))+$U$4*MAX(0,MIN(1,($W$4-K1092)/($W$4-$V$4)))+$U$5*MAX(0,MIN(1,($W$5-L1092)/($W$5-$V$5)))+$U$6*MAX(0,MIN(1,($W$6-M1092)/($W$6-$V$6)))+$U$7*MAX(0,MIN(1,($W$7-N1092)/($W$7-$V$7)))+$U$8*IF(AND(O1092&gt;=$V$8,O1092&lt;=$W$8),1,0))/$U$9*100,2)</f>
        <v>73.92</v>
      </c>
      <c r="C1092" s="27" t="s">
        <v>323</v>
      </c>
      <c r="D1092" s="25" t="s">
        <v>134</v>
      </c>
      <c r="E1092" s="25" t="s">
        <v>3450</v>
      </c>
      <c r="F1092" s="25" t="s">
        <v>3457</v>
      </c>
      <c r="G1092" s="38" t="s">
        <v>30</v>
      </c>
      <c r="H1092" s="28" t="s">
        <v>25</v>
      </c>
      <c r="I1092" s="25" t="n">
        <v>1</v>
      </c>
      <c r="J1092" s="25" t="n">
        <v>1</v>
      </c>
      <c r="K1092" s="25" t="n">
        <v>1</v>
      </c>
      <c r="L1092" s="29" t="n">
        <v>0.7</v>
      </c>
      <c r="M1092" s="30" t="n">
        <v>15.81</v>
      </c>
      <c r="N1092" s="29" t="n">
        <v>0.72</v>
      </c>
      <c r="O1092" s="25" t="n">
        <v>185</v>
      </c>
      <c r="P1092" s="30" t="n">
        <v>22.82</v>
      </c>
      <c r="Q1092" s="27" t="s">
        <v>69</v>
      </c>
      <c r="R1092" s="27" t="s">
        <v>283</v>
      </c>
    </row>
    <row r="1093" customFormat="false" ht="15" hidden="false" customHeight="false" outlineLevel="0" collapsed="false">
      <c r="A1093" s="25" t="n">
        <f aca="false">IF(G1093="REJECT",COUNTIF($G$2:$G$2277,"&lt;&gt;REJECT")+1+COUNTIFS($G$2:$G$2277,"REJECT",$B$2:$B$2277,"&gt;"&amp;B1093),1+COUNTIFS($G$2:$G$2277,"&lt;&gt;REJECT",$B$2:$B$2277,"&gt;"&amp;B1093))</f>
        <v>1092</v>
      </c>
      <c r="B1093" s="26" t="n">
        <f aca="false">ROUND(($U$2*MAX(0,MIN(1,($W$2-I1093)/($W$2-$V$2)))+$U$3*MAX(0,MIN(1,($W$3-J1093)/($W$3-$V$3)))+$U$4*MAX(0,MIN(1,($W$4-K1093)/($W$4-$V$4)))+$U$5*MAX(0,MIN(1,($W$5-L1093)/($W$5-$V$5)))+$U$6*MAX(0,MIN(1,($W$6-M1093)/($W$6-$V$6)))+$U$7*MAX(0,MIN(1,($W$7-N1093)/($W$7-$V$7)))+$U$8*IF(AND(O1093&gt;=$V$8,O1093&lt;=$W$8),1,0))/$U$9*100,2)</f>
        <v>73.89</v>
      </c>
      <c r="C1093" s="27" t="s">
        <v>2186</v>
      </c>
      <c r="D1093" s="25" t="s">
        <v>134</v>
      </c>
      <c r="E1093" s="25" t="s">
        <v>3450</v>
      </c>
      <c r="F1093" s="25" t="s">
        <v>3457</v>
      </c>
      <c r="G1093" s="38" t="s">
        <v>30</v>
      </c>
      <c r="H1093" s="28" t="s">
        <v>25</v>
      </c>
      <c r="I1093" s="25" t="n">
        <v>1</v>
      </c>
      <c r="J1093" s="25" t="n">
        <v>1</v>
      </c>
      <c r="K1093" s="25" t="n">
        <v>1</v>
      </c>
      <c r="L1093" s="29" t="n">
        <v>0.71</v>
      </c>
      <c r="M1093" s="30" t="n">
        <v>20.79</v>
      </c>
      <c r="N1093" s="29" t="n">
        <v>0.6</v>
      </c>
      <c r="O1093" s="25" t="n">
        <v>185</v>
      </c>
      <c r="P1093" s="30" t="n">
        <v>12.09</v>
      </c>
      <c r="Q1093" s="27" t="s">
        <v>69</v>
      </c>
      <c r="R1093" s="27" t="s">
        <v>183</v>
      </c>
    </row>
    <row r="1094" customFormat="false" ht="15" hidden="false" customHeight="false" outlineLevel="0" collapsed="false">
      <c r="A1094" s="25" t="n">
        <f aca="false">IF(G1094="REJECT",COUNTIF($G$2:$G$2277,"&lt;&gt;REJECT")+1+COUNTIFS($G$2:$G$2277,"REJECT",$B$2:$B$2277,"&gt;"&amp;B1094),1+COUNTIFS($G$2:$G$2277,"&lt;&gt;REJECT",$B$2:$B$2277,"&gt;"&amp;B1094))</f>
        <v>1093</v>
      </c>
      <c r="B1094" s="26" t="n">
        <f aca="false">ROUND(($U$2*MAX(0,MIN(1,($W$2-I1094)/($W$2-$V$2)))+$U$3*MAX(0,MIN(1,($W$3-J1094)/($W$3-$V$3)))+$U$4*MAX(0,MIN(1,($W$4-K1094)/($W$4-$V$4)))+$U$5*MAX(0,MIN(1,($W$5-L1094)/($W$5-$V$5)))+$U$6*MAX(0,MIN(1,($W$6-M1094)/($W$6-$V$6)))+$U$7*MAX(0,MIN(1,($W$7-N1094)/($W$7-$V$7)))+$U$8*IF(AND(O1094&gt;=$V$8,O1094&lt;=$W$8),1,0))/$U$9*100,2)</f>
        <v>73.87</v>
      </c>
      <c r="C1094" s="27" t="s">
        <v>1955</v>
      </c>
      <c r="D1094" s="25" t="s">
        <v>3459</v>
      </c>
      <c r="E1094" s="25" t="s">
        <v>3450</v>
      </c>
      <c r="F1094" s="25" t="s">
        <v>3448</v>
      </c>
      <c r="G1094" s="38" t="s">
        <v>30</v>
      </c>
      <c r="H1094" s="28" t="s">
        <v>25</v>
      </c>
      <c r="I1094" s="25" t="n">
        <v>1</v>
      </c>
      <c r="J1094" s="25" t="n">
        <v>1</v>
      </c>
      <c r="K1094" s="25" t="n">
        <v>1</v>
      </c>
      <c r="L1094" s="29" t="n">
        <v>0.71</v>
      </c>
      <c r="M1094" s="30" t="n">
        <v>19.3</v>
      </c>
      <c r="N1094" s="29" t="n">
        <v>0.76</v>
      </c>
      <c r="O1094" s="25" t="n">
        <v>189</v>
      </c>
      <c r="P1094" s="30" t="n">
        <v>12.24</v>
      </c>
      <c r="Q1094" s="27" t="s">
        <v>70</v>
      </c>
      <c r="R1094" s="27" t="s">
        <v>283</v>
      </c>
    </row>
    <row r="1095" customFormat="false" ht="15" hidden="false" customHeight="false" outlineLevel="0" collapsed="false">
      <c r="A1095" s="25" t="n">
        <f aca="false">IF(G1095="REJECT",COUNTIF($G$2:$G$2277,"&lt;&gt;REJECT")+1+COUNTIFS($G$2:$G$2277,"REJECT",$B$2:$B$2277,"&gt;"&amp;B1095),1+COUNTIFS($G$2:$G$2277,"&lt;&gt;REJECT",$B$2:$B$2277,"&gt;"&amp;B1095))</f>
        <v>1094</v>
      </c>
      <c r="B1095" s="26" t="n">
        <f aca="false">ROUND(($U$2*MAX(0,MIN(1,($W$2-I1095)/($W$2-$V$2)))+$U$3*MAX(0,MIN(1,($W$3-J1095)/($W$3-$V$3)))+$U$4*MAX(0,MIN(1,($W$4-K1095)/($W$4-$V$4)))+$U$5*MAX(0,MIN(1,($W$5-L1095)/($W$5-$V$5)))+$U$6*MAX(0,MIN(1,($W$6-M1095)/($W$6-$V$6)))+$U$7*MAX(0,MIN(1,($W$7-N1095)/($W$7-$V$7)))+$U$8*IF(AND(O1095&gt;=$V$8,O1095&lt;=$W$8),1,0))/$U$9*100,2)</f>
        <v>73.84</v>
      </c>
      <c r="C1095" s="27" t="s">
        <v>615</v>
      </c>
      <c r="D1095" s="25" t="s">
        <v>134</v>
      </c>
      <c r="E1095" s="25" t="s">
        <v>3450</v>
      </c>
      <c r="F1095" s="25" t="s">
        <v>3457</v>
      </c>
      <c r="G1095" s="38" t="s">
        <v>30</v>
      </c>
      <c r="H1095" s="28" t="s">
        <v>25</v>
      </c>
      <c r="I1095" s="25" t="n">
        <v>1</v>
      </c>
      <c r="J1095" s="25" t="n">
        <v>1</v>
      </c>
      <c r="K1095" s="25" t="n">
        <v>1</v>
      </c>
      <c r="L1095" s="29" t="n">
        <v>0.7</v>
      </c>
      <c r="M1095" s="30" t="n">
        <v>23.46</v>
      </c>
      <c r="N1095" s="29" t="n">
        <v>0</v>
      </c>
      <c r="O1095" s="25" t="n">
        <v>184</v>
      </c>
      <c r="P1095" s="30" t="n">
        <v>13.33</v>
      </c>
      <c r="Q1095" s="27" t="s">
        <v>69</v>
      </c>
      <c r="R1095" s="27" t="s">
        <v>157</v>
      </c>
    </row>
    <row r="1096" customFormat="false" ht="15" hidden="false" customHeight="false" outlineLevel="0" collapsed="false">
      <c r="A1096" s="25" t="n">
        <f aca="false">IF(G1096="REJECT",COUNTIF($G$2:$G$2277,"&lt;&gt;REJECT")+1+COUNTIFS($G$2:$G$2277,"REJECT",$B$2:$B$2277,"&gt;"&amp;B1096),1+COUNTIFS($G$2:$G$2277,"&lt;&gt;REJECT",$B$2:$B$2277,"&gt;"&amp;B1096))</f>
        <v>1095</v>
      </c>
      <c r="B1096" s="26" t="n">
        <f aca="false">ROUND(($U$2*MAX(0,MIN(1,($W$2-I1096)/($W$2-$V$2)))+$U$3*MAX(0,MIN(1,($W$3-J1096)/($W$3-$V$3)))+$U$4*MAX(0,MIN(1,($W$4-K1096)/($W$4-$V$4)))+$U$5*MAX(0,MIN(1,($W$5-L1096)/($W$5-$V$5)))+$U$6*MAX(0,MIN(1,($W$6-M1096)/($W$6-$V$6)))+$U$7*MAX(0,MIN(1,($W$7-N1096)/($W$7-$V$7)))+$U$8*IF(AND(O1096&gt;=$V$8,O1096&lt;=$W$8),1,0))/$U$9*100,2)</f>
        <v>73.82</v>
      </c>
      <c r="C1096" s="27" t="s">
        <v>1503</v>
      </c>
      <c r="D1096" s="25" t="s">
        <v>134</v>
      </c>
      <c r="E1096" s="25" t="s">
        <v>3447</v>
      </c>
      <c r="F1096" s="25" t="s">
        <v>3448</v>
      </c>
      <c r="G1096" s="38" t="s">
        <v>30</v>
      </c>
      <c r="H1096" s="28" t="s">
        <v>25</v>
      </c>
      <c r="I1096" s="25" t="n">
        <v>3</v>
      </c>
      <c r="J1096" s="25" t="n">
        <v>0</v>
      </c>
      <c r="K1096" s="25" t="n">
        <v>3</v>
      </c>
      <c r="L1096" s="29" t="n">
        <v>0.75</v>
      </c>
      <c r="M1096" s="30" t="n">
        <v>22.17</v>
      </c>
      <c r="N1096" s="29" t="n">
        <v>0.44</v>
      </c>
      <c r="O1096" s="25" t="n">
        <v>185</v>
      </c>
      <c r="P1096" s="30" t="n">
        <v>0.22</v>
      </c>
      <c r="Q1096" s="27" t="s">
        <v>3576</v>
      </c>
      <c r="R1096" s="27" t="s">
        <v>992</v>
      </c>
    </row>
    <row r="1097" customFormat="false" ht="15" hidden="false" customHeight="false" outlineLevel="0" collapsed="false">
      <c r="A1097" s="25" t="n">
        <f aca="false">IF(G1097="REJECT",COUNTIF($G$2:$G$2277,"&lt;&gt;REJECT")+1+COUNTIFS($G$2:$G$2277,"REJECT",$B$2:$B$2277,"&gt;"&amp;B1097),1+COUNTIFS($G$2:$G$2277,"&lt;&gt;REJECT",$B$2:$B$2277,"&gt;"&amp;B1097))</f>
        <v>1096</v>
      </c>
      <c r="B1097" s="26" t="n">
        <f aca="false">ROUND(($U$2*MAX(0,MIN(1,($W$2-I1097)/($W$2-$V$2)))+$U$3*MAX(0,MIN(1,($W$3-J1097)/($W$3-$V$3)))+$U$4*MAX(0,MIN(1,($W$4-K1097)/($W$4-$V$4)))+$U$5*MAX(0,MIN(1,($W$5-L1097)/($W$5-$V$5)))+$U$6*MAX(0,MIN(1,($W$6-M1097)/($W$6-$V$6)))+$U$7*MAX(0,MIN(1,($W$7-N1097)/($W$7-$V$7)))+$U$8*IF(AND(O1097&gt;=$V$8,O1097&lt;=$W$8),1,0))/$U$9*100,2)</f>
        <v>73.8</v>
      </c>
      <c r="C1097" s="27" t="s">
        <v>2435</v>
      </c>
      <c r="D1097" s="25" t="s">
        <v>3459</v>
      </c>
      <c r="E1097" s="25" t="s">
        <v>3447</v>
      </c>
      <c r="F1097" s="25" t="s">
        <v>3457</v>
      </c>
      <c r="G1097" s="38" t="s">
        <v>30</v>
      </c>
      <c r="H1097" s="28" t="s">
        <v>25</v>
      </c>
      <c r="I1097" s="25" t="n">
        <v>1</v>
      </c>
      <c r="J1097" s="25" t="n">
        <v>1</v>
      </c>
      <c r="K1097" s="25" t="n">
        <v>1</v>
      </c>
      <c r="L1097" s="29" t="n">
        <v>0.74</v>
      </c>
      <c r="M1097" s="30" t="n">
        <v>29.33</v>
      </c>
      <c r="N1097" s="29" t="n">
        <v>0.88</v>
      </c>
      <c r="O1097" s="25" t="n">
        <v>183</v>
      </c>
      <c r="P1097" s="30" t="n">
        <v>5.48</v>
      </c>
      <c r="Q1097" s="27" t="s">
        <v>69</v>
      </c>
      <c r="R1097" s="27" t="s">
        <v>183</v>
      </c>
    </row>
    <row r="1098" customFormat="false" ht="15" hidden="false" customHeight="false" outlineLevel="0" collapsed="false">
      <c r="A1098" s="25" t="n">
        <f aca="false">IF(G1098="REJECT",COUNTIF($G$2:$G$2277,"&lt;&gt;REJECT")+1+COUNTIFS($G$2:$G$2277,"REJECT",$B$2:$B$2277,"&gt;"&amp;B1098),1+COUNTIFS($G$2:$G$2277,"&lt;&gt;REJECT",$B$2:$B$2277,"&gt;"&amp;B1098))</f>
        <v>1097</v>
      </c>
      <c r="B1098" s="26" t="n">
        <f aca="false">ROUND(($U$2*MAX(0,MIN(1,($W$2-I1098)/($W$2-$V$2)))+$U$3*MAX(0,MIN(1,($W$3-J1098)/($W$3-$V$3)))+$U$4*MAX(0,MIN(1,($W$4-K1098)/($W$4-$V$4)))+$U$5*MAX(0,MIN(1,($W$5-L1098)/($W$5-$V$5)))+$U$6*MAX(0,MIN(1,($W$6-M1098)/($W$6-$V$6)))+$U$7*MAX(0,MIN(1,($W$7-N1098)/($W$7-$V$7)))+$U$8*IF(AND(O1098&gt;=$V$8,O1098&lt;=$W$8),1,0))/$U$9*100,2)</f>
        <v>73.79</v>
      </c>
      <c r="C1098" s="27" t="s">
        <v>1350</v>
      </c>
      <c r="D1098" s="25" t="s">
        <v>3459</v>
      </c>
      <c r="E1098" s="25" t="s">
        <v>3447</v>
      </c>
      <c r="F1098" s="25" t="s">
        <v>3457</v>
      </c>
      <c r="G1098" s="38" t="s">
        <v>30</v>
      </c>
      <c r="H1098" s="28" t="s">
        <v>25</v>
      </c>
      <c r="I1098" s="25" t="n">
        <v>3</v>
      </c>
      <c r="J1098" s="25" t="n">
        <v>0</v>
      </c>
      <c r="K1098" s="25" t="n">
        <v>3</v>
      </c>
      <c r="L1098" s="29" t="n">
        <v>0.75</v>
      </c>
      <c r="M1098" s="30" t="n">
        <v>17.18</v>
      </c>
      <c r="N1098" s="29" t="n">
        <v>0.96</v>
      </c>
      <c r="O1098" s="25" t="n">
        <v>184</v>
      </c>
      <c r="P1098" s="30" t="n">
        <v>-0.99</v>
      </c>
      <c r="Q1098" s="27" t="s">
        <v>3564</v>
      </c>
      <c r="R1098" s="27" t="s">
        <v>2610</v>
      </c>
    </row>
    <row r="1099" customFormat="false" ht="15" hidden="false" customHeight="false" outlineLevel="0" collapsed="false">
      <c r="A1099" s="25" t="n">
        <f aca="false">IF(G1099="REJECT",COUNTIF($G$2:$G$2277,"&lt;&gt;REJECT")+1+COUNTIFS($G$2:$G$2277,"REJECT",$B$2:$B$2277,"&gt;"&amp;B1099),1+COUNTIFS($G$2:$G$2277,"&lt;&gt;REJECT",$B$2:$B$2277,"&gt;"&amp;B1099))</f>
        <v>1098</v>
      </c>
      <c r="B1099" s="26" t="n">
        <f aca="false">ROUND(($U$2*MAX(0,MIN(1,($W$2-I1099)/($W$2-$V$2)))+$U$3*MAX(0,MIN(1,($W$3-J1099)/($W$3-$V$3)))+$U$4*MAX(0,MIN(1,($W$4-K1099)/($W$4-$V$4)))+$U$5*MAX(0,MIN(1,($W$5-L1099)/($W$5-$V$5)))+$U$6*MAX(0,MIN(1,($W$6-M1099)/($W$6-$V$6)))+$U$7*MAX(0,MIN(1,($W$7-N1099)/($W$7-$V$7)))+$U$8*IF(AND(O1099&gt;=$V$8,O1099&lt;=$W$8),1,0))/$U$9*100,2)</f>
        <v>73.77</v>
      </c>
      <c r="C1099" s="27" t="s">
        <v>1793</v>
      </c>
      <c r="D1099" s="25" t="s">
        <v>3459</v>
      </c>
      <c r="E1099" s="25" t="s">
        <v>3450</v>
      </c>
      <c r="F1099" s="25" t="s">
        <v>3457</v>
      </c>
      <c r="G1099" s="38" t="s">
        <v>30</v>
      </c>
      <c r="H1099" s="28" t="s">
        <v>25</v>
      </c>
      <c r="I1099" s="25" t="n">
        <v>1</v>
      </c>
      <c r="J1099" s="25" t="n">
        <v>1</v>
      </c>
      <c r="K1099" s="25" t="n">
        <v>1</v>
      </c>
      <c r="L1099" s="29" t="n">
        <v>0.71</v>
      </c>
      <c r="M1099" s="30" t="n">
        <v>19.48</v>
      </c>
      <c r="N1099" s="29" t="n">
        <v>0.8</v>
      </c>
      <c r="O1099" s="25" t="n">
        <v>184</v>
      </c>
      <c r="P1099" s="30" t="n">
        <v>-0.72</v>
      </c>
      <c r="Q1099" s="27" t="s">
        <v>69</v>
      </c>
      <c r="R1099" s="27" t="s">
        <v>1230</v>
      </c>
    </row>
    <row r="1100" customFormat="false" ht="15" hidden="false" customHeight="false" outlineLevel="0" collapsed="false">
      <c r="A1100" s="25" t="n">
        <f aca="false">IF(G1100="REJECT",COUNTIF($G$2:$G$2277,"&lt;&gt;REJECT")+1+COUNTIFS($G$2:$G$2277,"REJECT",$B$2:$B$2277,"&gt;"&amp;B1100),1+COUNTIFS($G$2:$G$2277,"&lt;&gt;REJECT",$B$2:$B$2277,"&gt;"&amp;B1100))</f>
        <v>1099</v>
      </c>
      <c r="B1100" s="26" t="n">
        <f aca="false">ROUND(($U$2*MAX(0,MIN(1,($W$2-I1100)/($W$2-$V$2)))+$U$3*MAX(0,MIN(1,($W$3-J1100)/($W$3-$V$3)))+$U$4*MAX(0,MIN(1,($W$4-K1100)/($W$4-$V$4)))+$U$5*MAX(0,MIN(1,($W$5-L1100)/($W$5-$V$5)))+$U$6*MAX(0,MIN(1,($W$6-M1100)/($W$6-$V$6)))+$U$7*MAX(0,MIN(1,($W$7-N1100)/($W$7-$V$7)))+$U$8*IF(AND(O1100&gt;=$V$8,O1100&lt;=$W$8),1,0))/$U$9*100,2)</f>
        <v>73.75</v>
      </c>
      <c r="C1100" s="27" t="s">
        <v>373</v>
      </c>
      <c r="D1100" s="25" t="s">
        <v>3459</v>
      </c>
      <c r="E1100" s="25" t="s">
        <v>3450</v>
      </c>
      <c r="F1100" s="25" t="s">
        <v>3457</v>
      </c>
      <c r="G1100" s="38" t="s">
        <v>30</v>
      </c>
      <c r="H1100" s="28" t="s">
        <v>25</v>
      </c>
      <c r="I1100" s="25" t="n">
        <v>1</v>
      </c>
      <c r="J1100" s="25" t="n">
        <v>1</v>
      </c>
      <c r="K1100" s="25" t="n">
        <v>1</v>
      </c>
      <c r="L1100" s="29" t="n">
        <v>0.71</v>
      </c>
      <c r="M1100" s="30" t="n">
        <v>24.01</v>
      </c>
      <c r="N1100" s="29" t="n">
        <v>0.36</v>
      </c>
      <c r="O1100" s="25" t="n">
        <v>184</v>
      </c>
      <c r="P1100" s="30" t="n">
        <v>11.55</v>
      </c>
      <c r="Q1100" s="27" t="s">
        <v>69</v>
      </c>
      <c r="R1100" s="27" t="s">
        <v>183</v>
      </c>
    </row>
    <row r="1101" customFormat="false" ht="15" hidden="false" customHeight="false" outlineLevel="0" collapsed="false">
      <c r="A1101" s="25" t="n">
        <f aca="false">IF(G1101="REJECT",COUNTIF($G$2:$G$2277,"&lt;&gt;REJECT")+1+COUNTIFS($G$2:$G$2277,"REJECT",$B$2:$B$2277,"&gt;"&amp;B1101),1+COUNTIFS($G$2:$G$2277,"&lt;&gt;REJECT",$B$2:$B$2277,"&gt;"&amp;B1101))</f>
        <v>1100</v>
      </c>
      <c r="B1101" s="26" t="n">
        <f aca="false">ROUND(($U$2*MAX(0,MIN(1,($W$2-I1101)/($W$2-$V$2)))+$U$3*MAX(0,MIN(1,($W$3-J1101)/($W$3-$V$3)))+$U$4*MAX(0,MIN(1,($W$4-K1101)/($W$4-$V$4)))+$U$5*MAX(0,MIN(1,($W$5-L1101)/($W$5-$V$5)))+$U$6*MAX(0,MIN(1,($W$6-M1101)/($W$6-$V$6)))+$U$7*MAX(0,MIN(1,($W$7-N1101)/($W$7-$V$7)))+$U$8*IF(AND(O1101&gt;=$V$8,O1101&lt;=$W$8),1,0))/$U$9*100,2)</f>
        <v>73.74</v>
      </c>
      <c r="C1101" s="27" t="s">
        <v>2965</v>
      </c>
      <c r="D1101" s="25" t="s">
        <v>3459</v>
      </c>
      <c r="E1101" s="25" t="s">
        <v>3447</v>
      </c>
      <c r="F1101" s="25" t="s">
        <v>3448</v>
      </c>
      <c r="G1101" s="38" t="s">
        <v>30</v>
      </c>
      <c r="H1101" s="28" t="s">
        <v>25</v>
      </c>
      <c r="I1101" s="25" t="n">
        <v>2</v>
      </c>
      <c r="J1101" s="25" t="n">
        <v>1</v>
      </c>
      <c r="K1101" s="25" t="n">
        <v>2</v>
      </c>
      <c r="L1101" s="29" t="n">
        <v>0.82</v>
      </c>
      <c r="M1101" s="30" t="n">
        <v>19.78</v>
      </c>
      <c r="N1101" s="29" t="n">
        <v>0.28</v>
      </c>
      <c r="O1101" s="25" t="n">
        <v>184</v>
      </c>
      <c r="P1101" s="30" t="n">
        <v>7.51</v>
      </c>
      <c r="Q1101" s="27" t="s">
        <v>3566</v>
      </c>
      <c r="R1101" s="27" t="s">
        <v>283</v>
      </c>
    </row>
    <row r="1102" customFormat="false" ht="15" hidden="false" customHeight="false" outlineLevel="0" collapsed="false">
      <c r="A1102" s="25" t="n">
        <f aca="false">IF(G1102="REJECT",COUNTIF($G$2:$G$2277,"&lt;&gt;REJECT")+1+COUNTIFS($G$2:$G$2277,"REJECT",$B$2:$B$2277,"&gt;"&amp;B1102),1+COUNTIFS($G$2:$G$2277,"&lt;&gt;REJECT",$B$2:$B$2277,"&gt;"&amp;B1102))</f>
        <v>1101</v>
      </c>
      <c r="B1102" s="26" t="n">
        <f aca="false">ROUND(($U$2*MAX(0,MIN(1,($W$2-I1102)/($W$2-$V$2)))+$U$3*MAX(0,MIN(1,($W$3-J1102)/($W$3-$V$3)))+$U$4*MAX(0,MIN(1,($W$4-K1102)/($W$4-$V$4)))+$U$5*MAX(0,MIN(1,($W$5-L1102)/($W$5-$V$5)))+$U$6*MAX(0,MIN(1,($W$6-M1102)/($W$6-$V$6)))+$U$7*MAX(0,MIN(1,($W$7-N1102)/($W$7-$V$7)))+$U$8*IF(AND(O1102&gt;=$V$8,O1102&lt;=$W$8),1,0))/$U$9*100,2)</f>
        <v>73.71</v>
      </c>
      <c r="C1102" s="27" t="s">
        <v>2541</v>
      </c>
      <c r="D1102" s="25" t="s">
        <v>134</v>
      </c>
      <c r="E1102" s="25" t="s">
        <v>3447</v>
      </c>
      <c r="F1102" s="25" t="s">
        <v>3448</v>
      </c>
      <c r="G1102" s="38" t="s">
        <v>30</v>
      </c>
      <c r="H1102" s="33" t="s">
        <v>24</v>
      </c>
      <c r="I1102" s="25" t="n">
        <v>2</v>
      </c>
      <c r="J1102" s="25" t="n">
        <v>0</v>
      </c>
      <c r="K1102" s="25" t="n">
        <v>2</v>
      </c>
      <c r="L1102" s="29" t="n">
        <v>0.63</v>
      </c>
      <c r="M1102" s="30" t="n">
        <v>16.77</v>
      </c>
      <c r="N1102" s="29" t="n">
        <v>0.48</v>
      </c>
      <c r="O1102" s="25" t="n">
        <v>185</v>
      </c>
      <c r="P1102" s="30" t="n">
        <v>3.99</v>
      </c>
      <c r="Q1102" s="27" t="s">
        <v>3532</v>
      </c>
      <c r="R1102" s="27" t="s">
        <v>30</v>
      </c>
    </row>
    <row r="1103" customFormat="false" ht="15" hidden="false" customHeight="false" outlineLevel="0" collapsed="false">
      <c r="A1103" s="25" t="n">
        <f aca="false">IF(G1103="REJECT",COUNTIF($G$2:$G$2277,"&lt;&gt;REJECT")+1+COUNTIFS($G$2:$G$2277,"REJECT",$B$2:$B$2277,"&gt;"&amp;B1103),1+COUNTIFS($G$2:$G$2277,"&lt;&gt;REJECT",$B$2:$B$2277,"&gt;"&amp;B1103))</f>
        <v>1102</v>
      </c>
      <c r="B1103" s="26" t="n">
        <f aca="false">ROUND(($U$2*MAX(0,MIN(1,($W$2-I1103)/($W$2-$V$2)))+$U$3*MAX(0,MIN(1,($W$3-J1103)/($W$3-$V$3)))+$U$4*MAX(0,MIN(1,($W$4-K1103)/($W$4-$V$4)))+$U$5*MAX(0,MIN(1,($W$5-L1103)/($W$5-$V$5)))+$U$6*MAX(0,MIN(1,($W$6-M1103)/($W$6-$V$6)))+$U$7*MAX(0,MIN(1,($W$7-N1103)/($W$7-$V$7)))+$U$8*IF(AND(O1103&gt;=$V$8,O1103&lt;=$W$8),1,0))/$U$9*100,2)</f>
        <v>73.67</v>
      </c>
      <c r="C1103" s="27" t="s">
        <v>1685</v>
      </c>
      <c r="D1103" s="25" t="s">
        <v>134</v>
      </c>
      <c r="E1103" s="25" t="s">
        <v>3450</v>
      </c>
      <c r="F1103" s="25" t="s">
        <v>3448</v>
      </c>
      <c r="G1103" s="38" t="s">
        <v>30</v>
      </c>
      <c r="H1103" s="28" t="s">
        <v>25</v>
      </c>
      <c r="I1103" s="25" t="n">
        <v>2</v>
      </c>
      <c r="J1103" s="25" t="n">
        <v>1</v>
      </c>
      <c r="K1103" s="25" t="n">
        <v>2</v>
      </c>
      <c r="L1103" s="29" t="n">
        <v>0.79</v>
      </c>
      <c r="M1103" s="30" t="n">
        <v>12.18</v>
      </c>
      <c r="N1103" s="29" t="n">
        <v>0.72</v>
      </c>
      <c r="O1103" s="25" t="n">
        <v>187</v>
      </c>
      <c r="P1103" s="30" t="n">
        <v>17.19</v>
      </c>
      <c r="Q1103" s="27" t="s">
        <v>3566</v>
      </c>
      <c r="R1103" s="27" t="s">
        <v>283</v>
      </c>
    </row>
    <row r="1104" customFormat="false" ht="15" hidden="false" customHeight="false" outlineLevel="0" collapsed="false">
      <c r="A1104" s="25" t="n">
        <f aca="false">IF(G1104="REJECT",COUNTIF($G$2:$G$2277,"&lt;&gt;REJECT")+1+COUNTIFS($G$2:$G$2277,"REJECT",$B$2:$B$2277,"&gt;"&amp;B1104),1+COUNTIFS($G$2:$G$2277,"&lt;&gt;REJECT",$B$2:$B$2277,"&gt;"&amp;B1104))</f>
        <v>1103</v>
      </c>
      <c r="B1104" s="26" t="n">
        <f aca="false">ROUND(($U$2*MAX(0,MIN(1,($W$2-I1104)/($W$2-$V$2)))+$U$3*MAX(0,MIN(1,($W$3-J1104)/($W$3-$V$3)))+$U$4*MAX(0,MIN(1,($W$4-K1104)/($W$4-$V$4)))+$U$5*MAX(0,MIN(1,($W$5-L1104)/($W$5-$V$5)))+$U$6*MAX(0,MIN(1,($W$6-M1104)/($W$6-$V$6)))+$U$7*MAX(0,MIN(1,($W$7-N1104)/($W$7-$V$7)))+$U$8*IF(AND(O1104&gt;=$V$8,O1104&lt;=$W$8),1,0))/$U$9*100,2)</f>
        <v>73.66</v>
      </c>
      <c r="C1104" s="27" t="s">
        <v>1806</v>
      </c>
      <c r="D1104" s="25" t="s">
        <v>134</v>
      </c>
      <c r="E1104" s="25" t="s">
        <v>3450</v>
      </c>
      <c r="F1104" s="25" t="s">
        <v>3457</v>
      </c>
      <c r="G1104" s="38" t="s">
        <v>30</v>
      </c>
      <c r="H1104" s="28" t="s">
        <v>25</v>
      </c>
      <c r="I1104" s="25" t="n">
        <v>1</v>
      </c>
      <c r="J1104" s="25" t="n">
        <v>1</v>
      </c>
      <c r="K1104" s="25" t="n">
        <v>1</v>
      </c>
      <c r="L1104" s="29" t="n">
        <v>0.69</v>
      </c>
      <c r="M1104" s="30" t="n">
        <v>12.93</v>
      </c>
      <c r="N1104" s="29" t="n">
        <v>0.8</v>
      </c>
      <c r="O1104" s="25" t="n">
        <v>182</v>
      </c>
      <c r="P1104" s="30" t="n">
        <v>-0.43</v>
      </c>
      <c r="Q1104" s="27" t="s">
        <v>69</v>
      </c>
      <c r="R1104" s="27" t="s">
        <v>357</v>
      </c>
    </row>
    <row r="1105" customFormat="false" ht="15" hidden="false" customHeight="false" outlineLevel="0" collapsed="false">
      <c r="A1105" s="25" t="n">
        <f aca="false">IF(G1105="REJECT",COUNTIF($G$2:$G$2277,"&lt;&gt;REJECT")+1+COUNTIFS($G$2:$G$2277,"REJECT",$B$2:$B$2277,"&gt;"&amp;B1105),1+COUNTIFS($G$2:$G$2277,"&lt;&gt;REJECT",$B$2:$B$2277,"&gt;"&amp;B1105))</f>
        <v>1104</v>
      </c>
      <c r="B1105" s="26" t="n">
        <f aca="false">ROUND(($U$2*MAX(0,MIN(1,($W$2-I1105)/($W$2-$V$2)))+$U$3*MAX(0,MIN(1,($W$3-J1105)/($W$3-$V$3)))+$U$4*MAX(0,MIN(1,($W$4-K1105)/($W$4-$V$4)))+$U$5*MAX(0,MIN(1,($W$5-L1105)/($W$5-$V$5)))+$U$6*MAX(0,MIN(1,($W$6-M1105)/($W$6-$V$6)))+$U$7*MAX(0,MIN(1,($W$7-N1105)/($W$7-$V$7)))+$U$8*IF(AND(O1105&gt;=$V$8,O1105&lt;=$W$8),1,0))/$U$9*100,2)</f>
        <v>73.65</v>
      </c>
      <c r="C1105" s="27" t="s">
        <v>2027</v>
      </c>
      <c r="D1105" s="25" t="s">
        <v>134</v>
      </c>
      <c r="E1105" s="25" t="s">
        <v>3450</v>
      </c>
      <c r="F1105" s="25" t="s">
        <v>3448</v>
      </c>
      <c r="G1105" s="38" t="s">
        <v>30</v>
      </c>
      <c r="H1105" s="28" t="s">
        <v>25</v>
      </c>
      <c r="I1105" s="25" t="n">
        <v>1</v>
      </c>
      <c r="J1105" s="25" t="n">
        <v>1</v>
      </c>
      <c r="K1105" s="25" t="n">
        <v>1</v>
      </c>
      <c r="L1105" s="29" t="n">
        <v>0.68</v>
      </c>
      <c r="M1105" s="30" t="n">
        <v>14.98</v>
      </c>
      <c r="N1105" s="29" t="n">
        <v>0.24</v>
      </c>
      <c r="O1105" s="25" t="n">
        <v>187</v>
      </c>
      <c r="P1105" s="30" t="n">
        <v>1.93</v>
      </c>
      <c r="Q1105" s="27" t="s">
        <v>69</v>
      </c>
      <c r="R1105" s="27" t="s">
        <v>197</v>
      </c>
    </row>
    <row r="1106" customFormat="false" ht="15" hidden="false" customHeight="false" outlineLevel="0" collapsed="false">
      <c r="A1106" s="25" t="n">
        <f aca="false">IF(G1106="REJECT",COUNTIF($G$2:$G$2277,"&lt;&gt;REJECT")+1+COUNTIFS($G$2:$G$2277,"REJECT",$B$2:$B$2277,"&gt;"&amp;B1106),1+COUNTIFS($G$2:$G$2277,"&lt;&gt;REJECT",$B$2:$B$2277,"&gt;"&amp;B1106))</f>
        <v>1105</v>
      </c>
      <c r="B1106" s="26" t="n">
        <f aca="false">ROUND(($U$2*MAX(0,MIN(1,($W$2-I1106)/($W$2-$V$2)))+$U$3*MAX(0,MIN(1,($W$3-J1106)/($W$3-$V$3)))+$U$4*MAX(0,MIN(1,($W$4-K1106)/($W$4-$V$4)))+$U$5*MAX(0,MIN(1,($W$5-L1106)/($W$5-$V$5)))+$U$6*MAX(0,MIN(1,($W$6-M1106)/($W$6-$V$6)))+$U$7*MAX(0,MIN(1,($W$7-N1106)/($W$7-$V$7)))+$U$8*IF(AND(O1106&gt;=$V$8,O1106&lt;=$W$8),1,0))/$U$9*100,2)</f>
        <v>73.64</v>
      </c>
      <c r="C1106" s="27" t="s">
        <v>756</v>
      </c>
      <c r="D1106" s="25" t="s">
        <v>134</v>
      </c>
      <c r="E1106" s="25" t="s">
        <v>3450</v>
      </c>
      <c r="F1106" s="25" t="s">
        <v>3448</v>
      </c>
      <c r="G1106" s="38" t="s">
        <v>30</v>
      </c>
      <c r="H1106" s="28" t="s">
        <v>25</v>
      </c>
      <c r="I1106" s="25" t="n">
        <v>1</v>
      </c>
      <c r="J1106" s="25" t="n">
        <v>1</v>
      </c>
      <c r="K1106" s="25" t="n">
        <v>1</v>
      </c>
      <c r="L1106" s="29" t="n">
        <v>0.67</v>
      </c>
      <c r="M1106" s="30" t="n">
        <v>13.86</v>
      </c>
      <c r="N1106" s="29" t="n">
        <v>0</v>
      </c>
      <c r="O1106" s="25" t="n">
        <v>187</v>
      </c>
      <c r="P1106" s="30" t="n">
        <v>21.02</v>
      </c>
      <c r="Q1106" s="27" t="s">
        <v>69</v>
      </c>
      <c r="R1106" s="27" t="s">
        <v>283</v>
      </c>
    </row>
    <row r="1107" customFormat="false" ht="15" hidden="false" customHeight="false" outlineLevel="0" collapsed="false">
      <c r="A1107" s="25" t="n">
        <f aca="false">IF(G1107="REJECT",COUNTIF($G$2:$G$2277,"&lt;&gt;REJECT")+1+COUNTIFS($G$2:$G$2277,"REJECT",$B$2:$B$2277,"&gt;"&amp;B1107),1+COUNTIFS($G$2:$G$2277,"&lt;&gt;REJECT",$B$2:$B$2277,"&gt;"&amp;B1107))</f>
        <v>1106</v>
      </c>
      <c r="B1107" s="26" t="n">
        <f aca="false">ROUND(($U$2*MAX(0,MIN(1,($W$2-I1107)/($W$2-$V$2)))+$U$3*MAX(0,MIN(1,($W$3-J1107)/($W$3-$V$3)))+$U$4*MAX(0,MIN(1,($W$4-K1107)/($W$4-$V$4)))+$U$5*MAX(0,MIN(1,($W$5-L1107)/($W$5-$V$5)))+$U$6*MAX(0,MIN(1,($W$6-M1107)/($W$6-$V$6)))+$U$7*MAX(0,MIN(1,($W$7-N1107)/($W$7-$V$7)))+$U$8*IF(AND(O1107&gt;=$V$8,O1107&lt;=$W$8),1,0))/$U$9*100,2)</f>
        <v>73.62</v>
      </c>
      <c r="C1107" s="27" t="s">
        <v>1876</v>
      </c>
      <c r="D1107" s="25" t="s">
        <v>3459</v>
      </c>
      <c r="E1107" s="25" t="s">
        <v>3450</v>
      </c>
      <c r="F1107" s="25" t="s">
        <v>3448</v>
      </c>
      <c r="G1107" s="38" t="s">
        <v>30</v>
      </c>
      <c r="H1107" s="28" t="s">
        <v>25</v>
      </c>
      <c r="I1107" s="25" t="n">
        <v>1</v>
      </c>
      <c r="J1107" s="25" t="n">
        <v>1</v>
      </c>
      <c r="K1107" s="25" t="n">
        <v>1</v>
      </c>
      <c r="L1107" s="29" t="n">
        <v>0.69</v>
      </c>
      <c r="M1107" s="30" t="n">
        <v>16.41</v>
      </c>
      <c r="N1107" s="29" t="n">
        <v>0.48</v>
      </c>
      <c r="O1107" s="25" t="n">
        <v>183</v>
      </c>
      <c r="P1107" s="30" t="n">
        <v>15.33</v>
      </c>
      <c r="Q1107" s="27" t="s">
        <v>69</v>
      </c>
      <c r="R1107" s="27" t="s">
        <v>283</v>
      </c>
    </row>
    <row r="1108" customFormat="false" ht="15" hidden="false" customHeight="false" outlineLevel="0" collapsed="false">
      <c r="A1108" s="25" t="n">
        <f aca="false">IF(G1108="REJECT",COUNTIF($G$2:$G$2277,"&lt;&gt;REJECT")+1+COUNTIFS($G$2:$G$2277,"REJECT",$B$2:$B$2277,"&gt;"&amp;B1108),1+COUNTIFS($G$2:$G$2277,"&lt;&gt;REJECT",$B$2:$B$2277,"&gt;"&amp;B1108))</f>
        <v>1106</v>
      </c>
      <c r="B1108" s="26" t="n">
        <f aca="false">ROUND(($U$2*MAX(0,MIN(1,($W$2-I1108)/($W$2-$V$2)))+$U$3*MAX(0,MIN(1,($W$3-J1108)/($W$3-$V$3)))+$U$4*MAX(0,MIN(1,($W$4-K1108)/($W$4-$V$4)))+$U$5*MAX(0,MIN(1,($W$5-L1108)/($W$5-$V$5)))+$U$6*MAX(0,MIN(1,($W$6-M1108)/($W$6-$V$6)))+$U$7*MAX(0,MIN(1,($W$7-N1108)/($W$7-$V$7)))+$U$8*IF(AND(O1108&gt;=$V$8,O1108&lt;=$W$8),1,0))/$U$9*100,2)</f>
        <v>73.62</v>
      </c>
      <c r="C1108" s="27" t="s">
        <v>2854</v>
      </c>
      <c r="D1108" s="25" t="s">
        <v>134</v>
      </c>
      <c r="E1108" s="25" t="s">
        <v>3447</v>
      </c>
      <c r="F1108" s="25" t="s">
        <v>3448</v>
      </c>
      <c r="G1108" s="38" t="s">
        <v>30</v>
      </c>
      <c r="H1108" s="33" t="s">
        <v>24</v>
      </c>
      <c r="I1108" s="25" t="n">
        <v>4</v>
      </c>
      <c r="J1108" s="25" t="n">
        <v>0</v>
      </c>
      <c r="K1108" s="25" t="n">
        <v>4</v>
      </c>
      <c r="L1108" s="29" t="n">
        <v>0.87</v>
      </c>
      <c r="M1108" s="30" t="n">
        <v>5.48</v>
      </c>
      <c r="N1108" s="29" t="n">
        <v>0.28</v>
      </c>
      <c r="O1108" s="25" t="n">
        <v>191</v>
      </c>
      <c r="P1108" s="30" t="n">
        <v>-2.07</v>
      </c>
      <c r="Q1108" s="27" t="s">
        <v>3587</v>
      </c>
      <c r="R1108" s="27" t="s">
        <v>30</v>
      </c>
    </row>
    <row r="1109" customFormat="false" ht="15" hidden="false" customHeight="false" outlineLevel="0" collapsed="false">
      <c r="A1109" s="25" t="n">
        <f aca="false">IF(G1109="REJECT",COUNTIF($G$2:$G$2277,"&lt;&gt;REJECT")+1+COUNTIFS($G$2:$G$2277,"REJECT",$B$2:$B$2277,"&gt;"&amp;B1109),1+COUNTIFS($G$2:$G$2277,"&lt;&gt;REJECT",$B$2:$B$2277,"&gt;"&amp;B1109))</f>
        <v>1108</v>
      </c>
      <c r="B1109" s="26" t="n">
        <f aca="false">ROUND(($U$2*MAX(0,MIN(1,($W$2-I1109)/($W$2-$V$2)))+$U$3*MAX(0,MIN(1,($W$3-J1109)/($W$3-$V$3)))+$U$4*MAX(0,MIN(1,($W$4-K1109)/($W$4-$V$4)))+$U$5*MAX(0,MIN(1,($W$5-L1109)/($W$5-$V$5)))+$U$6*MAX(0,MIN(1,($W$6-M1109)/($W$6-$V$6)))+$U$7*MAX(0,MIN(1,($W$7-N1109)/($W$7-$V$7)))+$U$8*IF(AND(O1109&gt;=$V$8,O1109&lt;=$W$8),1,0))/$U$9*100,2)</f>
        <v>73.56</v>
      </c>
      <c r="C1109" s="27" t="s">
        <v>1600</v>
      </c>
      <c r="D1109" s="25" t="s">
        <v>134</v>
      </c>
      <c r="E1109" s="25" t="s">
        <v>3447</v>
      </c>
      <c r="F1109" s="25" t="s">
        <v>3457</v>
      </c>
      <c r="G1109" s="38" t="s">
        <v>30</v>
      </c>
      <c r="H1109" s="28" t="s">
        <v>25</v>
      </c>
      <c r="I1109" s="25" t="n">
        <v>4</v>
      </c>
      <c r="J1109" s="25" t="n">
        <v>0</v>
      </c>
      <c r="K1109" s="25" t="n">
        <v>4</v>
      </c>
      <c r="L1109" s="29" t="n">
        <v>0.8</v>
      </c>
      <c r="M1109" s="30" t="n">
        <v>0.63</v>
      </c>
      <c r="N1109" s="29" t="n">
        <v>0.8</v>
      </c>
      <c r="O1109" s="25" t="n">
        <v>182</v>
      </c>
      <c r="P1109" s="30" t="n">
        <v>-0.88</v>
      </c>
      <c r="Q1109" s="27" t="s">
        <v>3588</v>
      </c>
      <c r="R1109" s="27" t="s">
        <v>2610</v>
      </c>
    </row>
    <row r="1110" customFormat="false" ht="15" hidden="false" customHeight="false" outlineLevel="0" collapsed="false">
      <c r="A1110" s="25" t="n">
        <f aca="false">IF(G1110="REJECT",COUNTIF($G$2:$G$2277,"&lt;&gt;REJECT")+1+COUNTIFS($G$2:$G$2277,"REJECT",$B$2:$B$2277,"&gt;"&amp;B1110),1+COUNTIFS($G$2:$G$2277,"&lt;&gt;REJECT",$B$2:$B$2277,"&gt;"&amp;B1110))</f>
        <v>1109</v>
      </c>
      <c r="B1110" s="26" t="n">
        <f aca="false">ROUND(($U$2*MAX(0,MIN(1,($W$2-I1110)/($W$2-$V$2)))+$U$3*MAX(0,MIN(1,($W$3-J1110)/($W$3-$V$3)))+$U$4*MAX(0,MIN(1,($W$4-K1110)/($W$4-$V$4)))+$U$5*MAX(0,MIN(1,($W$5-L1110)/($W$5-$V$5)))+$U$6*MAX(0,MIN(1,($W$6-M1110)/($W$6-$V$6)))+$U$7*MAX(0,MIN(1,($W$7-N1110)/($W$7-$V$7)))+$U$8*IF(AND(O1110&gt;=$V$8,O1110&lt;=$W$8),1,0))/$U$9*100,2)</f>
        <v>73.54</v>
      </c>
      <c r="C1110" s="27" t="s">
        <v>466</v>
      </c>
      <c r="D1110" s="25" t="s">
        <v>134</v>
      </c>
      <c r="E1110" s="25" t="s">
        <v>3447</v>
      </c>
      <c r="F1110" s="25" t="s">
        <v>3448</v>
      </c>
      <c r="G1110" s="38" t="s">
        <v>30</v>
      </c>
      <c r="H1110" s="33" t="s">
        <v>24</v>
      </c>
      <c r="I1110" s="25" t="n">
        <v>4</v>
      </c>
      <c r="J1110" s="25" t="n">
        <v>0</v>
      </c>
      <c r="K1110" s="25" t="n">
        <v>4</v>
      </c>
      <c r="L1110" s="29" t="n">
        <v>0.88</v>
      </c>
      <c r="M1110" s="30" t="n">
        <v>8.74</v>
      </c>
      <c r="N1110" s="29" t="n">
        <v>0</v>
      </c>
      <c r="O1110" s="25" t="n">
        <v>187</v>
      </c>
      <c r="P1110" s="30" t="n">
        <v>-0.65</v>
      </c>
      <c r="Q1110" s="27" t="s">
        <v>3586</v>
      </c>
      <c r="R1110" s="27" t="s">
        <v>30</v>
      </c>
    </row>
    <row r="1111" customFormat="false" ht="15" hidden="false" customHeight="false" outlineLevel="0" collapsed="false">
      <c r="A1111" s="25" t="n">
        <f aca="false">IF(G1111="REJECT",COUNTIF($G$2:$G$2277,"&lt;&gt;REJECT")+1+COUNTIFS($G$2:$G$2277,"REJECT",$B$2:$B$2277,"&gt;"&amp;B1111),1+COUNTIFS($G$2:$G$2277,"&lt;&gt;REJECT",$B$2:$B$2277,"&gt;"&amp;B1111))</f>
        <v>1110</v>
      </c>
      <c r="B1111" s="26" t="n">
        <f aca="false">ROUND(($U$2*MAX(0,MIN(1,($W$2-I1111)/($W$2-$V$2)))+$U$3*MAX(0,MIN(1,($W$3-J1111)/($W$3-$V$3)))+$U$4*MAX(0,MIN(1,($W$4-K1111)/($W$4-$V$4)))+$U$5*MAX(0,MIN(1,($W$5-L1111)/($W$5-$V$5)))+$U$6*MAX(0,MIN(1,($W$6-M1111)/($W$6-$V$6)))+$U$7*MAX(0,MIN(1,($W$7-N1111)/($W$7-$V$7)))+$U$8*IF(AND(O1111&gt;=$V$8,O1111&lt;=$W$8),1,0))/$U$9*100,2)</f>
        <v>73.5</v>
      </c>
      <c r="C1111" s="27" t="s">
        <v>2773</v>
      </c>
      <c r="D1111" s="25" t="s">
        <v>134</v>
      </c>
      <c r="E1111" s="25" t="s">
        <v>3447</v>
      </c>
      <c r="F1111" s="25" t="s">
        <v>3448</v>
      </c>
      <c r="G1111" s="38" t="s">
        <v>30</v>
      </c>
      <c r="H1111" s="28" t="s">
        <v>25</v>
      </c>
      <c r="I1111" s="25" t="n">
        <v>4</v>
      </c>
      <c r="J1111" s="25" t="n">
        <v>0</v>
      </c>
      <c r="K1111" s="25" t="n">
        <v>3</v>
      </c>
      <c r="L1111" s="29" t="n">
        <v>0.77</v>
      </c>
      <c r="M1111" s="30" t="n">
        <v>6.63</v>
      </c>
      <c r="N1111" s="29" t="n">
        <v>0.28</v>
      </c>
      <c r="O1111" s="25" t="n">
        <v>182</v>
      </c>
      <c r="P1111" s="30" t="n">
        <v>-0.14</v>
      </c>
      <c r="Q1111" s="27" t="s">
        <v>3589</v>
      </c>
      <c r="R1111" s="27" t="s">
        <v>2610</v>
      </c>
    </row>
    <row r="1112" customFormat="false" ht="15" hidden="false" customHeight="false" outlineLevel="0" collapsed="false">
      <c r="A1112" s="25" t="n">
        <f aca="false">IF(G1112="REJECT",COUNTIF($G$2:$G$2277,"&lt;&gt;REJECT")+1+COUNTIFS($G$2:$G$2277,"REJECT",$B$2:$B$2277,"&gt;"&amp;B1112),1+COUNTIFS($G$2:$G$2277,"&lt;&gt;REJECT",$B$2:$B$2277,"&gt;"&amp;B1112))</f>
        <v>1111</v>
      </c>
      <c r="B1112" s="26" t="n">
        <f aca="false">ROUND(($U$2*MAX(0,MIN(1,($W$2-I1112)/($W$2-$V$2)))+$U$3*MAX(0,MIN(1,($W$3-J1112)/($W$3-$V$3)))+$U$4*MAX(0,MIN(1,($W$4-K1112)/($W$4-$V$4)))+$U$5*MAX(0,MIN(1,($W$5-L1112)/($W$5-$V$5)))+$U$6*MAX(0,MIN(1,($W$6-M1112)/($W$6-$V$6)))+$U$7*MAX(0,MIN(1,($W$7-N1112)/($W$7-$V$7)))+$U$8*IF(AND(O1112&gt;=$V$8,O1112&lt;=$W$8),1,0))/$U$9*100,2)</f>
        <v>73.47</v>
      </c>
      <c r="C1112" s="27" t="s">
        <v>2941</v>
      </c>
      <c r="D1112" s="25" t="s">
        <v>134</v>
      </c>
      <c r="E1112" s="25" t="s">
        <v>3447</v>
      </c>
      <c r="F1112" s="25" t="s">
        <v>3448</v>
      </c>
      <c r="G1112" s="38" t="s">
        <v>30</v>
      </c>
      <c r="H1112" s="33" t="s">
        <v>24</v>
      </c>
      <c r="I1112" s="25" t="n">
        <v>4</v>
      </c>
      <c r="J1112" s="25" t="n">
        <v>0</v>
      </c>
      <c r="K1112" s="25" t="n">
        <v>4</v>
      </c>
      <c r="L1112" s="29" t="n">
        <v>0.79</v>
      </c>
      <c r="M1112" s="30" t="n">
        <v>5.59</v>
      </c>
      <c r="N1112" s="29" t="n">
        <v>0</v>
      </c>
      <c r="O1112" s="25" t="n">
        <v>188</v>
      </c>
      <c r="P1112" s="30" t="n">
        <v>7.55</v>
      </c>
      <c r="Q1112" s="27" t="s">
        <v>3590</v>
      </c>
      <c r="R1112" s="27" t="s">
        <v>30</v>
      </c>
    </row>
    <row r="1113" customFormat="false" ht="15" hidden="false" customHeight="false" outlineLevel="0" collapsed="false">
      <c r="A1113" s="25" t="n">
        <f aca="false">IF(G1113="REJECT",COUNTIF($G$2:$G$2277,"&lt;&gt;REJECT")+1+COUNTIFS($G$2:$G$2277,"REJECT",$B$2:$B$2277,"&gt;"&amp;B1113),1+COUNTIFS($G$2:$G$2277,"&lt;&gt;REJECT",$B$2:$B$2277,"&gt;"&amp;B1113))</f>
        <v>1112</v>
      </c>
      <c r="B1113" s="26" t="n">
        <f aca="false">ROUND(($U$2*MAX(0,MIN(1,($W$2-I1113)/($W$2-$V$2)))+$U$3*MAX(0,MIN(1,($W$3-J1113)/($W$3-$V$3)))+$U$4*MAX(0,MIN(1,($W$4-K1113)/($W$4-$V$4)))+$U$5*MAX(0,MIN(1,($W$5-L1113)/($W$5-$V$5)))+$U$6*MAX(0,MIN(1,($W$6-M1113)/($W$6-$V$6)))+$U$7*MAX(0,MIN(1,($W$7-N1113)/($W$7-$V$7)))+$U$8*IF(AND(O1113&gt;=$V$8,O1113&lt;=$W$8),1,0))/$U$9*100,2)</f>
        <v>73.44</v>
      </c>
      <c r="C1113" s="27" t="s">
        <v>2715</v>
      </c>
      <c r="D1113" s="25" t="s">
        <v>134</v>
      </c>
      <c r="E1113" s="25" t="s">
        <v>3447</v>
      </c>
      <c r="F1113" s="25" t="s">
        <v>3448</v>
      </c>
      <c r="G1113" s="38" t="s">
        <v>30</v>
      </c>
      <c r="H1113" s="33" t="s">
        <v>24</v>
      </c>
      <c r="I1113" s="25" t="n">
        <v>4</v>
      </c>
      <c r="J1113" s="25" t="n">
        <v>0</v>
      </c>
      <c r="K1113" s="25" t="n">
        <v>4</v>
      </c>
      <c r="L1113" s="29" t="n">
        <v>0.88</v>
      </c>
      <c r="M1113" s="30" t="n">
        <v>4.59</v>
      </c>
      <c r="N1113" s="29" t="n">
        <v>0.48</v>
      </c>
      <c r="O1113" s="25" t="n">
        <v>189</v>
      </c>
      <c r="P1113" s="30" t="n">
        <v>-2.04</v>
      </c>
      <c r="Q1113" s="27" t="s">
        <v>3591</v>
      </c>
      <c r="R1113" s="27" t="s">
        <v>30</v>
      </c>
    </row>
    <row r="1114" customFormat="false" ht="15" hidden="false" customHeight="false" outlineLevel="0" collapsed="false">
      <c r="A1114" s="25" t="n">
        <f aca="false">IF(G1114="REJECT",COUNTIF($G$2:$G$2277,"&lt;&gt;REJECT")+1+COUNTIFS($G$2:$G$2277,"REJECT",$B$2:$B$2277,"&gt;"&amp;B1114),1+COUNTIFS($G$2:$G$2277,"&lt;&gt;REJECT",$B$2:$B$2277,"&gt;"&amp;B1114))</f>
        <v>1113</v>
      </c>
      <c r="B1114" s="26" t="n">
        <f aca="false">ROUND(($U$2*MAX(0,MIN(1,($W$2-I1114)/($W$2-$V$2)))+$U$3*MAX(0,MIN(1,($W$3-J1114)/($W$3-$V$3)))+$U$4*MAX(0,MIN(1,($W$4-K1114)/($W$4-$V$4)))+$U$5*MAX(0,MIN(1,($W$5-L1114)/($W$5-$V$5)))+$U$6*MAX(0,MIN(1,($W$6-M1114)/($W$6-$V$6)))+$U$7*MAX(0,MIN(1,($W$7-N1114)/($W$7-$V$7)))+$U$8*IF(AND(O1114&gt;=$V$8,O1114&lt;=$W$8),1,0))/$U$9*100,2)</f>
        <v>73.41</v>
      </c>
      <c r="C1114" s="27" t="s">
        <v>193</v>
      </c>
      <c r="D1114" s="25" t="s">
        <v>134</v>
      </c>
      <c r="E1114" s="25" t="s">
        <v>3447</v>
      </c>
      <c r="F1114" s="25" t="s">
        <v>3448</v>
      </c>
      <c r="G1114" s="38" t="s">
        <v>30</v>
      </c>
      <c r="H1114" s="28" t="s">
        <v>25</v>
      </c>
      <c r="I1114" s="25" t="n">
        <v>2</v>
      </c>
      <c r="J1114" s="25" t="n">
        <v>1</v>
      </c>
      <c r="K1114" s="25" t="n">
        <v>2</v>
      </c>
      <c r="L1114" s="29" t="n">
        <v>0.8</v>
      </c>
      <c r="M1114" s="30" t="n">
        <v>18.57</v>
      </c>
      <c r="N1114" s="29" t="n">
        <v>0.6</v>
      </c>
      <c r="O1114" s="25" t="n">
        <v>194</v>
      </c>
      <c r="P1114" s="30" t="n">
        <v>-1.47</v>
      </c>
      <c r="Q1114" s="27" t="s">
        <v>3566</v>
      </c>
      <c r="R1114" s="27" t="s">
        <v>1152</v>
      </c>
    </row>
    <row r="1115" customFormat="false" ht="15" hidden="false" customHeight="false" outlineLevel="0" collapsed="false">
      <c r="A1115" s="25" t="n">
        <f aca="false">IF(G1115="REJECT",COUNTIF($G$2:$G$2277,"&lt;&gt;REJECT")+1+COUNTIFS($G$2:$G$2277,"REJECT",$B$2:$B$2277,"&gt;"&amp;B1115),1+COUNTIFS($G$2:$G$2277,"&lt;&gt;REJECT",$B$2:$B$2277,"&gt;"&amp;B1115))</f>
        <v>1114</v>
      </c>
      <c r="B1115" s="26" t="n">
        <f aca="false">ROUND(($U$2*MAX(0,MIN(1,($W$2-I1115)/($W$2-$V$2)))+$U$3*MAX(0,MIN(1,($W$3-J1115)/($W$3-$V$3)))+$U$4*MAX(0,MIN(1,($W$4-K1115)/($W$4-$V$4)))+$U$5*MAX(0,MIN(1,($W$5-L1115)/($W$5-$V$5)))+$U$6*MAX(0,MIN(1,($W$6-M1115)/($W$6-$V$6)))+$U$7*MAX(0,MIN(1,($W$7-N1115)/($W$7-$V$7)))+$U$8*IF(AND(O1115&gt;=$V$8,O1115&lt;=$W$8),1,0))/$U$9*100,2)</f>
        <v>73.4</v>
      </c>
      <c r="C1115" s="27" t="s">
        <v>951</v>
      </c>
      <c r="D1115" s="25" t="s">
        <v>134</v>
      </c>
      <c r="E1115" s="25" t="s">
        <v>3450</v>
      </c>
      <c r="F1115" s="25" t="s">
        <v>3448</v>
      </c>
      <c r="G1115" s="38" t="s">
        <v>30</v>
      </c>
      <c r="H1115" s="28" t="s">
        <v>25</v>
      </c>
      <c r="I1115" s="25" t="n">
        <v>1</v>
      </c>
      <c r="J1115" s="25" t="n">
        <v>1</v>
      </c>
      <c r="K1115" s="25" t="n">
        <v>1</v>
      </c>
      <c r="L1115" s="29" t="n">
        <v>0.7</v>
      </c>
      <c r="M1115" s="30" t="n">
        <v>19.32</v>
      </c>
      <c r="N1115" s="29" t="n">
        <v>0.68</v>
      </c>
      <c r="O1115" s="25" t="n">
        <v>193</v>
      </c>
      <c r="P1115" s="30" t="n">
        <v>15.39</v>
      </c>
      <c r="Q1115" s="27" t="s">
        <v>69</v>
      </c>
      <c r="R1115" s="27" t="s">
        <v>283</v>
      </c>
    </row>
    <row r="1116" customFormat="false" ht="15" hidden="false" customHeight="false" outlineLevel="0" collapsed="false">
      <c r="A1116" s="25" t="n">
        <f aca="false">IF(G1116="REJECT",COUNTIF($G$2:$G$2277,"&lt;&gt;REJECT")+1+COUNTIFS($G$2:$G$2277,"REJECT",$B$2:$B$2277,"&gt;"&amp;B1116),1+COUNTIFS($G$2:$G$2277,"&lt;&gt;REJECT",$B$2:$B$2277,"&gt;"&amp;B1116))</f>
        <v>1115</v>
      </c>
      <c r="B1116" s="26" t="n">
        <f aca="false">ROUND(($U$2*MAX(0,MIN(1,($W$2-I1116)/($W$2-$V$2)))+$U$3*MAX(0,MIN(1,($W$3-J1116)/($W$3-$V$3)))+$U$4*MAX(0,MIN(1,($W$4-K1116)/($W$4-$V$4)))+$U$5*MAX(0,MIN(1,($W$5-L1116)/($W$5-$V$5)))+$U$6*MAX(0,MIN(1,($W$6-M1116)/($W$6-$V$6)))+$U$7*MAX(0,MIN(1,($W$7-N1116)/($W$7-$V$7)))+$U$8*IF(AND(O1116&gt;=$V$8,O1116&lt;=$W$8),1,0))/$U$9*100,2)</f>
        <v>73.29</v>
      </c>
      <c r="C1116" s="27" t="s">
        <v>1854</v>
      </c>
      <c r="D1116" s="25" t="s">
        <v>134</v>
      </c>
      <c r="E1116" s="25" t="s">
        <v>3447</v>
      </c>
      <c r="F1116" s="25" t="s">
        <v>3448</v>
      </c>
      <c r="G1116" s="38" t="s">
        <v>30</v>
      </c>
      <c r="H1116" s="33" t="s">
        <v>24</v>
      </c>
      <c r="I1116" s="25" t="n">
        <v>3</v>
      </c>
      <c r="J1116" s="25" t="n">
        <v>0</v>
      </c>
      <c r="K1116" s="25" t="n">
        <v>3</v>
      </c>
      <c r="L1116" s="29" t="n">
        <v>0.71</v>
      </c>
      <c r="M1116" s="30" t="n">
        <v>10.55</v>
      </c>
      <c r="N1116" s="29" t="n">
        <v>0.48</v>
      </c>
      <c r="O1116" s="25" t="n">
        <v>182</v>
      </c>
      <c r="P1116" s="30" t="n">
        <v>6.16</v>
      </c>
      <c r="Q1116" s="27" t="s">
        <v>3592</v>
      </c>
      <c r="R1116" s="27" t="s">
        <v>30</v>
      </c>
    </row>
    <row r="1117" customFormat="false" ht="15" hidden="false" customHeight="false" outlineLevel="0" collapsed="false">
      <c r="A1117" s="25" t="n">
        <f aca="false">IF(G1117="REJECT",COUNTIF($G$2:$G$2277,"&lt;&gt;REJECT")+1+COUNTIFS($G$2:$G$2277,"REJECT",$B$2:$B$2277,"&gt;"&amp;B1117),1+COUNTIFS($G$2:$G$2277,"&lt;&gt;REJECT",$B$2:$B$2277,"&gt;"&amp;B1117))</f>
        <v>1115</v>
      </c>
      <c r="B1117" s="26" t="n">
        <f aca="false">ROUND(($U$2*MAX(0,MIN(1,($W$2-I1117)/($W$2-$V$2)))+$U$3*MAX(0,MIN(1,($W$3-J1117)/($W$3-$V$3)))+$U$4*MAX(0,MIN(1,($W$4-K1117)/($W$4-$V$4)))+$U$5*MAX(0,MIN(1,($W$5-L1117)/($W$5-$V$5)))+$U$6*MAX(0,MIN(1,($W$6-M1117)/($W$6-$V$6)))+$U$7*MAX(0,MIN(1,($W$7-N1117)/($W$7-$V$7)))+$U$8*IF(AND(O1117&gt;=$V$8,O1117&lt;=$W$8),1,0))/$U$9*100,2)</f>
        <v>73.29</v>
      </c>
      <c r="C1117" s="27" t="s">
        <v>2332</v>
      </c>
      <c r="D1117" s="25" t="s">
        <v>134</v>
      </c>
      <c r="E1117" s="25" t="s">
        <v>3447</v>
      </c>
      <c r="F1117" s="25" t="s">
        <v>3457</v>
      </c>
      <c r="G1117" s="38" t="s">
        <v>30</v>
      </c>
      <c r="H1117" s="28" t="s">
        <v>25</v>
      </c>
      <c r="I1117" s="25" t="n">
        <v>4</v>
      </c>
      <c r="J1117" s="25" t="n">
        <v>0</v>
      </c>
      <c r="K1117" s="25" t="n">
        <v>4</v>
      </c>
      <c r="L1117" s="29" t="n">
        <v>0.81</v>
      </c>
      <c r="M1117" s="30" t="n">
        <v>1.88</v>
      </c>
      <c r="N1117" s="29" t="n">
        <v>0.84</v>
      </c>
      <c r="O1117" s="25" t="n">
        <v>188</v>
      </c>
      <c r="P1117" s="30" t="n">
        <v>-1.02</v>
      </c>
      <c r="Q1117" s="27" t="s">
        <v>3593</v>
      </c>
      <c r="R1117" s="27" t="s">
        <v>2610</v>
      </c>
    </row>
    <row r="1118" customFormat="false" ht="15" hidden="false" customHeight="false" outlineLevel="0" collapsed="false">
      <c r="A1118" s="25" t="n">
        <f aca="false">IF(G1118="REJECT",COUNTIF($G$2:$G$2277,"&lt;&gt;REJECT")+1+COUNTIFS($G$2:$G$2277,"REJECT",$B$2:$B$2277,"&gt;"&amp;B1118),1+COUNTIFS($G$2:$G$2277,"&lt;&gt;REJECT",$B$2:$B$2277,"&gt;"&amp;B1118))</f>
        <v>1117</v>
      </c>
      <c r="B1118" s="26" t="n">
        <f aca="false">ROUND(($U$2*MAX(0,MIN(1,($W$2-I1118)/($W$2-$V$2)))+$U$3*MAX(0,MIN(1,($W$3-J1118)/($W$3-$V$3)))+$U$4*MAX(0,MIN(1,($W$4-K1118)/($W$4-$V$4)))+$U$5*MAX(0,MIN(1,($W$5-L1118)/($W$5-$V$5)))+$U$6*MAX(0,MIN(1,($W$6-M1118)/($W$6-$V$6)))+$U$7*MAX(0,MIN(1,($W$7-N1118)/($W$7-$V$7)))+$U$8*IF(AND(O1118&gt;=$V$8,O1118&lt;=$W$8),1,0))/$U$9*100,2)</f>
        <v>73.25</v>
      </c>
      <c r="C1118" s="27" t="s">
        <v>1400</v>
      </c>
      <c r="D1118" s="25" t="s">
        <v>134</v>
      </c>
      <c r="E1118" s="25" t="s">
        <v>3450</v>
      </c>
      <c r="F1118" s="25" t="s">
        <v>3457</v>
      </c>
      <c r="G1118" s="38" t="s">
        <v>30</v>
      </c>
      <c r="H1118" s="28" t="s">
        <v>25</v>
      </c>
      <c r="I1118" s="25" t="n">
        <v>1</v>
      </c>
      <c r="J1118" s="25" t="n">
        <v>1</v>
      </c>
      <c r="K1118" s="25" t="n">
        <v>1</v>
      </c>
      <c r="L1118" s="29" t="n">
        <v>0.7</v>
      </c>
      <c r="M1118" s="30" t="n">
        <v>17.42</v>
      </c>
      <c r="N1118" s="29" t="n">
        <v>0.96</v>
      </c>
      <c r="O1118" s="25" t="n">
        <v>183</v>
      </c>
      <c r="P1118" s="30" t="n">
        <v>4.45</v>
      </c>
      <c r="Q1118" s="27" t="s">
        <v>69</v>
      </c>
      <c r="R1118" s="27" t="s">
        <v>1152</v>
      </c>
    </row>
    <row r="1119" customFormat="false" ht="15" hidden="false" customHeight="false" outlineLevel="0" collapsed="false">
      <c r="A1119" s="25" t="n">
        <f aca="false">IF(G1119="REJECT",COUNTIF($G$2:$G$2277,"&lt;&gt;REJECT")+1+COUNTIFS($G$2:$G$2277,"REJECT",$B$2:$B$2277,"&gt;"&amp;B1119),1+COUNTIFS($G$2:$G$2277,"&lt;&gt;REJECT",$B$2:$B$2277,"&gt;"&amp;B1119))</f>
        <v>1118</v>
      </c>
      <c r="B1119" s="26" t="n">
        <f aca="false">ROUND(($U$2*MAX(0,MIN(1,($W$2-I1119)/($W$2-$V$2)))+$U$3*MAX(0,MIN(1,($W$3-J1119)/($W$3-$V$3)))+$U$4*MAX(0,MIN(1,($W$4-K1119)/($W$4-$V$4)))+$U$5*MAX(0,MIN(1,($W$5-L1119)/($W$5-$V$5)))+$U$6*MAX(0,MIN(1,($W$6-M1119)/($W$6-$V$6)))+$U$7*MAX(0,MIN(1,($W$7-N1119)/($W$7-$V$7)))+$U$8*IF(AND(O1119&gt;=$V$8,O1119&lt;=$W$8),1,0))/$U$9*100,2)</f>
        <v>73.24</v>
      </c>
      <c r="C1119" s="27" t="s">
        <v>2344</v>
      </c>
      <c r="D1119" s="25" t="s">
        <v>134</v>
      </c>
      <c r="E1119" s="25" t="s">
        <v>3450</v>
      </c>
      <c r="F1119" s="25" t="s">
        <v>3457</v>
      </c>
      <c r="G1119" s="38" t="s">
        <v>30</v>
      </c>
      <c r="H1119" s="28" t="s">
        <v>25</v>
      </c>
      <c r="I1119" s="25" t="n">
        <v>1</v>
      </c>
      <c r="J1119" s="25" t="n">
        <v>1</v>
      </c>
      <c r="K1119" s="25" t="n">
        <v>1</v>
      </c>
      <c r="L1119" s="29" t="n">
        <v>0.69</v>
      </c>
      <c r="M1119" s="30" t="n">
        <v>21.07</v>
      </c>
      <c r="N1119" s="29" t="n">
        <v>0.24</v>
      </c>
      <c r="O1119" s="25" t="n">
        <v>187</v>
      </c>
      <c r="P1119" s="30" t="n">
        <v>6.53</v>
      </c>
      <c r="Q1119" s="27" t="s">
        <v>70</v>
      </c>
      <c r="R1119" s="27" t="s">
        <v>183</v>
      </c>
    </row>
    <row r="1120" customFormat="false" ht="15" hidden="false" customHeight="false" outlineLevel="0" collapsed="false">
      <c r="A1120" s="25" t="n">
        <f aca="false">IF(G1120="REJECT",COUNTIF($G$2:$G$2277,"&lt;&gt;REJECT")+1+COUNTIFS($G$2:$G$2277,"REJECT",$B$2:$B$2277,"&gt;"&amp;B1120),1+COUNTIFS($G$2:$G$2277,"&lt;&gt;REJECT",$B$2:$B$2277,"&gt;"&amp;B1120))</f>
        <v>1119</v>
      </c>
      <c r="B1120" s="26" t="n">
        <f aca="false">ROUND(($U$2*MAX(0,MIN(1,($W$2-I1120)/($W$2-$V$2)))+$U$3*MAX(0,MIN(1,($W$3-J1120)/($W$3-$V$3)))+$U$4*MAX(0,MIN(1,($W$4-K1120)/($W$4-$V$4)))+$U$5*MAX(0,MIN(1,($W$5-L1120)/($W$5-$V$5)))+$U$6*MAX(0,MIN(1,($W$6-M1120)/($W$6-$V$6)))+$U$7*MAX(0,MIN(1,($W$7-N1120)/($W$7-$V$7)))+$U$8*IF(AND(O1120&gt;=$V$8,O1120&lt;=$W$8),1,0))/$U$9*100,2)</f>
        <v>73.21</v>
      </c>
      <c r="C1120" s="27" t="s">
        <v>179</v>
      </c>
      <c r="D1120" s="25" t="s">
        <v>134</v>
      </c>
      <c r="E1120" s="25" t="s">
        <v>3447</v>
      </c>
      <c r="F1120" s="25" t="s">
        <v>3448</v>
      </c>
      <c r="G1120" s="38" t="s">
        <v>30</v>
      </c>
      <c r="H1120" s="28" t="s">
        <v>25</v>
      </c>
      <c r="I1120" s="25" t="n">
        <v>3</v>
      </c>
      <c r="J1120" s="25" t="n">
        <v>0</v>
      </c>
      <c r="K1120" s="25" t="n">
        <v>3</v>
      </c>
      <c r="L1120" s="29" t="n">
        <v>0.74</v>
      </c>
      <c r="M1120" s="30" t="n">
        <v>24.23</v>
      </c>
      <c r="N1120" s="29" t="n">
        <v>0.24</v>
      </c>
      <c r="O1120" s="25" t="n">
        <v>186</v>
      </c>
      <c r="P1120" s="30" t="n">
        <v>16.81</v>
      </c>
      <c r="Q1120" s="27" t="s">
        <v>3594</v>
      </c>
      <c r="R1120" s="27" t="s">
        <v>992</v>
      </c>
    </row>
    <row r="1121" customFormat="false" ht="15" hidden="false" customHeight="false" outlineLevel="0" collapsed="false">
      <c r="A1121" s="25" t="n">
        <f aca="false">IF(G1121="REJECT",COUNTIF($G$2:$G$2277,"&lt;&gt;REJECT")+1+COUNTIFS($G$2:$G$2277,"REJECT",$B$2:$B$2277,"&gt;"&amp;B1121),1+COUNTIFS($G$2:$G$2277,"&lt;&gt;REJECT",$B$2:$B$2277,"&gt;"&amp;B1121))</f>
        <v>1119</v>
      </c>
      <c r="B1121" s="26" t="n">
        <f aca="false">ROUND(($U$2*MAX(0,MIN(1,($W$2-I1121)/($W$2-$V$2)))+$U$3*MAX(0,MIN(1,($W$3-J1121)/($W$3-$V$3)))+$U$4*MAX(0,MIN(1,($W$4-K1121)/($W$4-$V$4)))+$U$5*MAX(0,MIN(1,($W$5-L1121)/($W$5-$V$5)))+$U$6*MAX(0,MIN(1,($W$6-M1121)/($W$6-$V$6)))+$U$7*MAX(0,MIN(1,($W$7-N1121)/($W$7-$V$7)))+$U$8*IF(AND(O1121&gt;=$V$8,O1121&lt;=$W$8),1,0))/$U$9*100,2)</f>
        <v>73.21</v>
      </c>
      <c r="C1121" s="27" t="s">
        <v>2534</v>
      </c>
      <c r="D1121" s="25" t="s">
        <v>3459</v>
      </c>
      <c r="E1121" s="25" t="s">
        <v>3450</v>
      </c>
      <c r="F1121" s="25" t="s">
        <v>3448</v>
      </c>
      <c r="G1121" s="38" t="s">
        <v>30</v>
      </c>
      <c r="H1121" s="28" t="s">
        <v>25</v>
      </c>
      <c r="I1121" s="25" t="n">
        <v>2</v>
      </c>
      <c r="J1121" s="25" t="n">
        <v>1</v>
      </c>
      <c r="K1121" s="25" t="n">
        <v>2</v>
      </c>
      <c r="L1121" s="29" t="n">
        <v>0.81</v>
      </c>
      <c r="M1121" s="30" t="n">
        <v>16.15</v>
      </c>
      <c r="N1121" s="29" t="n">
        <v>0.96</v>
      </c>
      <c r="O1121" s="25" t="n">
        <v>184</v>
      </c>
      <c r="P1121" s="30" t="n">
        <v>-1.3</v>
      </c>
      <c r="Q1121" s="27" t="s">
        <v>3575</v>
      </c>
      <c r="R1121" s="27" t="s">
        <v>1230</v>
      </c>
    </row>
    <row r="1122" customFormat="false" ht="15" hidden="false" customHeight="false" outlineLevel="0" collapsed="false">
      <c r="A1122" s="25" t="n">
        <f aca="false">IF(G1122="REJECT",COUNTIF($G$2:$G$2277,"&lt;&gt;REJECT")+1+COUNTIFS($G$2:$G$2277,"REJECT",$B$2:$B$2277,"&gt;"&amp;B1122),1+COUNTIFS($G$2:$G$2277,"&lt;&gt;REJECT",$B$2:$B$2277,"&gt;"&amp;B1122))</f>
        <v>1121</v>
      </c>
      <c r="B1122" s="26" t="n">
        <f aca="false">ROUND(($U$2*MAX(0,MIN(1,($W$2-I1122)/($W$2-$V$2)))+$U$3*MAX(0,MIN(1,($W$3-J1122)/($W$3-$V$3)))+$U$4*MAX(0,MIN(1,($W$4-K1122)/($W$4-$V$4)))+$U$5*MAX(0,MIN(1,($W$5-L1122)/($W$5-$V$5)))+$U$6*MAX(0,MIN(1,($W$6-M1122)/($W$6-$V$6)))+$U$7*MAX(0,MIN(1,($W$7-N1122)/($W$7-$V$7)))+$U$8*IF(AND(O1122&gt;=$V$8,O1122&lt;=$W$8),1,0))/$U$9*100,2)</f>
        <v>73.18</v>
      </c>
      <c r="C1122" s="27" t="s">
        <v>2453</v>
      </c>
      <c r="D1122" s="25" t="s">
        <v>3459</v>
      </c>
      <c r="E1122" s="25" t="s">
        <v>3450</v>
      </c>
      <c r="F1122" s="25" t="s">
        <v>3457</v>
      </c>
      <c r="G1122" s="38" t="s">
        <v>30</v>
      </c>
      <c r="H1122" s="28" t="s">
        <v>25</v>
      </c>
      <c r="I1122" s="25" t="n">
        <v>1</v>
      </c>
      <c r="J1122" s="25" t="n">
        <v>1</v>
      </c>
      <c r="K1122" s="25" t="n">
        <v>1</v>
      </c>
      <c r="L1122" s="29" t="n">
        <v>0.71</v>
      </c>
      <c r="M1122" s="30" t="n">
        <v>25.81</v>
      </c>
      <c r="N1122" s="29" t="n">
        <v>0.52</v>
      </c>
      <c r="O1122" s="25" t="n">
        <v>184</v>
      </c>
      <c r="P1122" s="30" t="n">
        <v>7.21</v>
      </c>
      <c r="Q1122" s="27" t="s">
        <v>69</v>
      </c>
      <c r="R1122" s="27" t="s">
        <v>183</v>
      </c>
    </row>
    <row r="1123" customFormat="false" ht="15" hidden="false" customHeight="false" outlineLevel="0" collapsed="false">
      <c r="A1123" s="25" t="n">
        <f aca="false">IF(G1123="REJECT",COUNTIF($G$2:$G$2277,"&lt;&gt;REJECT")+1+COUNTIFS($G$2:$G$2277,"REJECT",$B$2:$B$2277,"&gt;"&amp;B1123),1+COUNTIFS($G$2:$G$2277,"&lt;&gt;REJECT",$B$2:$B$2277,"&gt;"&amp;B1123))</f>
        <v>1122</v>
      </c>
      <c r="B1123" s="26" t="n">
        <f aca="false">ROUND(($U$2*MAX(0,MIN(1,($W$2-I1123)/($W$2-$V$2)))+$U$3*MAX(0,MIN(1,($W$3-J1123)/($W$3-$V$3)))+$U$4*MAX(0,MIN(1,($W$4-K1123)/($W$4-$V$4)))+$U$5*MAX(0,MIN(1,($W$5-L1123)/($W$5-$V$5)))+$U$6*MAX(0,MIN(1,($W$6-M1123)/($W$6-$V$6)))+$U$7*MAX(0,MIN(1,($W$7-N1123)/($W$7-$V$7)))+$U$8*IF(AND(O1123&gt;=$V$8,O1123&lt;=$W$8),1,0))/$U$9*100,2)</f>
        <v>73.16</v>
      </c>
      <c r="C1123" s="27" t="s">
        <v>2247</v>
      </c>
      <c r="D1123" s="25" t="s">
        <v>3459</v>
      </c>
      <c r="E1123" s="25" t="s">
        <v>3450</v>
      </c>
      <c r="F1123" s="25" t="s">
        <v>3457</v>
      </c>
      <c r="G1123" s="38" t="s">
        <v>30</v>
      </c>
      <c r="H1123" s="28" t="s">
        <v>25</v>
      </c>
      <c r="I1123" s="25" t="n">
        <v>1</v>
      </c>
      <c r="J1123" s="25" t="n">
        <v>1</v>
      </c>
      <c r="K1123" s="25" t="n">
        <v>1</v>
      </c>
      <c r="L1123" s="29" t="n">
        <v>0.71</v>
      </c>
      <c r="M1123" s="30" t="n">
        <v>22.73</v>
      </c>
      <c r="N1123" s="29" t="n">
        <v>0.84</v>
      </c>
      <c r="O1123" s="25" t="n">
        <v>182</v>
      </c>
      <c r="P1123" s="30" t="n">
        <v>16.12</v>
      </c>
      <c r="Q1123" s="27" t="s">
        <v>69</v>
      </c>
      <c r="R1123" s="27" t="s">
        <v>183</v>
      </c>
    </row>
    <row r="1124" customFormat="false" ht="15" hidden="false" customHeight="false" outlineLevel="0" collapsed="false">
      <c r="A1124" s="25" t="n">
        <f aca="false">IF(G1124="REJECT",COUNTIF($G$2:$G$2277,"&lt;&gt;REJECT")+1+COUNTIFS($G$2:$G$2277,"REJECT",$B$2:$B$2277,"&gt;"&amp;B1124),1+COUNTIFS($G$2:$G$2277,"&lt;&gt;REJECT",$B$2:$B$2277,"&gt;"&amp;B1124))</f>
        <v>1123</v>
      </c>
      <c r="B1124" s="26" t="n">
        <f aca="false">ROUND(($U$2*MAX(0,MIN(1,($W$2-I1124)/($W$2-$V$2)))+$U$3*MAX(0,MIN(1,($W$3-J1124)/($W$3-$V$3)))+$U$4*MAX(0,MIN(1,($W$4-K1124)/($W$4-$V$4)))+$U$5*MAX(0,MIN(1,($W$5-L1124)/($W$5-$V$5)))+$U$6*MAX(0,MIN(1,($W$6-M1124)/($W$6-$V$6)))+$U$7*MAX(0,MIN(1,($W$7-N1124)/($W$7-$V$7)))+$U$8*IF(AND(O1124&gt;=$V$8,O1124&lt;=$W$8),1,0))/$U$9*100,2)</f>
        <v>73.13</v>
      </c>
      <c r="C1124" s="27" t="s">
        <v>917</v>
      </c>
      <c r="D1124" s="25" t="s">
        <v>134</v>
      </c>
      <c r="E1124" s="25" t="s">
        <v>3447</v>
      </c>
      <c r="F1124" s="25" t="s">
        <v>3448</v>
      </c>
      <c r="G1124" s="38" t="s">
        <v>30</v>
      </c>
      <c r="H1124" s="33" t="s">
        <v>24</v>
      </c>
      <c r="I1124" s="25" t="n">
        <v>4</v>
      </c>
      <c r="J1124" s="25" t="n">
        <v>0</v>
      </c>
      <c r="K1124" s="25" t="n">
        <v>3</v>
      </c>
      <c r="L1124" s="29" t="n">
        <v>0.78</v>
      </c>
      <c r="M1124" s="30" t="n">
        <v>11.3</v>
      </c>
      <c r="N1124" s="29" t="n">
        <v>0.4</v>
      </c>
      <c r="O1124" s="25" t="n">
        <v>185</v>
      </c>
      <c r="P1124" s="30" t="n">
        <v>15.29</v>
      </c>
      <c r="Q1124" s="27" t="s">
        <v>3595</v>
      </c>
      <c r="R1124" s="27" t="s">
        <v>30</v>
      </c>
    </row>
    <row r="1125" customFormat="false" ht="15" hidden="false" customHeight="false" outlineLevel="0" collapsed="false">
      <c r="A1125" s="25" t="n">
        <f aca="false">IF(G1125="REJECT",COUNTIF($G$2:$G$2277,"&lt;&gt;REJECT")+1+COUNTIFS($G$2:$G$2277,"REJECT",$B$2:$B$2277,"&gt;"&amp;B1125),1+COUNTIFS($G$2:$G$2277,"&lt;&gt;REJECT",$B$2:$B$2277,"&gt;"&amp;B1125))</f>
        <v>1124</v>
      </c>
      <c r="B1125" s="26" t="n">
        <f aca="false">ROUND(($U$2*MAX(0,MIN(1,($W$2-I1125)/($W$2-$V$2)))+$U$3*MAX(0,MIN(1,($W$3-J1125)/($W$3-$V$3)))+$U$4*MAX(0,MIN(1,($W$4-K1125)/($W$4-$V$4)))+$U$5*MAX(0,MIN(1,($W$5-L1125)/($W$5-$V$5)))+$U$6*MAX(0,MIN(1,($W$6-M1125)/($W$6-$V$6)))+$U$7*MAX(0,MIN(1,($W$7-N1125)/($W$7-$V$7)))+$U$8*IF(AND(O1125&gt;=$V$8,O1125&lt;=$W$8),1,0))/$U$9*100,2)</f>
        <v>73.11</v>
      </c>
      <c r="C1125" s="27" t="s">
        <v>1987</v>
      </c>
      <c r="D1125" s="25" t="s">
        <v>134</v>
      </c>
      <c r="E1125" s="25" t="s">
        <v>3447</v>
      </c>
      <c r="F1125" s="25" t="s">
        <v>3448</v>
      </c>
      <c r="G1125" s="38" t="s">
        <v>30</v>
      </c>
      <c r="H1125" s="28" t="s">
        <v>25</v>
      </c>
      <c r="I1125" s="25" t="n">
        <v>4</v>
      </c>
      <c r="J1125" s="25" t="n">
        <v>0</v>
      </c>
      <c r="K1125" s="25" t="n">
        <v>4</v>
      </c>
      <c r="L1125" s="29" t="n">
        <v>0.81</v>
      </c>
      <c r="M1125" s="30" t="n">
        <v>7.75</v>
      </c>
      <c r="N1125" s="29" t="n">
        <v>0.36</v>
      </c>
      <c r="O1125" s="25" t="n">
        <v>206</v>
      </c>
      <c r="P1125" s="30" t="n">
        <v>2.58</v>
      </c>
      <c r="Q1125" s="27" t="s">
        <v>3596</v>
      </c>
      <c r="R1125" s="27" t="s">
        <v>2610</v>
      </c>
    </row>
    <row r="1126" customFormat="false" ht="15" hidden="false" customHeight="false" outlineLevel="0" collapsed="false">
      <c r="A1126" s="25" t="n">
        <f aca="false">IF(G1126="REJECT",COUNTIF($G$2:$G$2277,"&lt;&gt;REJECT")+1+COUNTIFS($G$2:$G$2277,"REJECT",$B$2:$B$2277,"&gt;"&amp;B1126),1+COUNTIFS($G$2:$G$2277,"&lt;&gt;REJECT",$B$2:$B$2277,"&gt;"&amp;B1126))</f>
        <v>1125</v>
      </c>
      <c r="B1126" s="26" t="n">
        <f aca="false">ROUND(($U$2*MAX(0,MIN(1,($W$2-I1126)/($W$2-$V$2)))+$U$3*MAX(0,MIN(1,($W$3-J1126)/($W$3-$V$3)))+$U$4*MAX(0,MIN(1,($W$4-K1126)/($W$4-$V$4)))+$U$5*MAX(0,MIN(1,($W$5-L1126)/($W$5-$V$5)))+$U$6*MAX(0,MIN(1,($W$6-M1126)/($W$6-$V$6)))+$U$7*MAX(0,MIN(1,($W$7-N1126)/($W$7-$V$7)))+$U$8*IF(AND(O1126&gt;=$V$8,O1126&lt;=$W$8),1,0))/$U$9*100,2)</f>
        <v>73.1</v>
      </c>
      <c r="C1126" s="27" t="s">
        <v>466</v>
      </c>
      <c r="D1126" s="25" t="s">
        <v>134</v>
      </c>
      <c r="E1126" s="25" t="s">
        <v>3450</v>
      </c>
      <c r="F1126" s="25" t="s">
        <v>3448</v>
      </c>
      <c r="G1126" s="38" t="s">
        <v>30</v>
      </c>
      <c r="H1126" s="28" t="s">
        <v>25</v>
      </c>
      <c r="I1126" s="25" t="n">
        <v>4</v>
      </c>
      <c r="J1126" s="25" t="n">
        <v>0</v>
      </c>
      <c r="K1126" s="25" t="n">
        <v>4</v>
      </c>
      <c r="L1126" s="29" t="n">
        <v>0.84</v>
      </c>
      <c r="M1126" s="30" t="n">
        <v>8.18</v>
      </c>
      <c r="N1126" s="29" t="n">
        <v>0.32</v>
      </c>
      <c r="O1126" s="25" t="n">
        <v>184</v>
      </c>
      <c r="P1126" s="30" t="n">
        <v>0.18</v>
      </c>
      <c r="Q1126" s="27" t="s">
        <v>3597</v>
      </c>
      <c r="R1126" s="27" t="s">
        <v>2559</v>
      </c>
    </row>
    <row r="1127" customFormat="false" ht="15" hidden="false" customHeight="false" outlineLevel="0" collapsed="false">
      <c r="A1127" s="25" t="n">
        <f aca="false">IF(G1127="REJECT",COUNTIF($G$2:$G$2277,"&lt;&gt;REJECT")+1+COUNTIFS($G$2:$G$2277,"REJECT",$B$2:$B$2277,"&gt;"&amp;B1127),1+COUNTIFS($G$2:$G$2277,"&lt;&gt;REJECT",$B$2:$B$2277,"&gt;"&amp;B1127))</f>
        <v>1126</v>
      </c>
      <c r="B1127" s="26" t="n">
        <f aca="false">ROUND(($U$2*MAX(0,MIN(1,($W$2-I1127)/($W$2-$V$2)))+$U$3*MAX(0,MIN(1,($W$3-J1127)/($W$3-$V$3)))+$U$4*MAX(0,MIN(1,($W$4-K1127)/($W$4-$V$4)))+$U$5*MAX(0,MIN(1,($W$5-L1127)/($W$5-$V$5)))+$U$6*MAX(0,MIN(1,($W$6-M1127)/($W$6-$V$6)))+$U$7*MAX(0,MIN(1,($W$7-N1127)/($W$7-$V$7)))+$U$8*IF(AND(O1127&gt;=$V$8,O1127&lt;=$W$8),1,0))/$U$9*100,2)</f>
        <v>73.07</v>
      </c>
      <c r="C1127" s="27" t="s">
        <v>1465</v>
      </c>
      <c r="D1127" s="25" t="s">
        <v>3459</v>
      </c>
      <c r="E1127" s="25" t="s">
        <v>3447</v>
      </c>
      <c r="F1127" s="25" t="s">
        <v>3448</v>
      </c>
      <c r="G1127" s="38" t="s">
        <v>30</v>
      </c>
      <c r="H1127" s="28" t="s">
        <v>25</v>
      </c>
      <c r="I1127" s="25" t="n">
        <v>4</v>
      </c>
      <c r="J1127" s="25" t="n">
        <v>0</v>
      </c>
      <c r="K1127" s="25" t="n">
        <v>4</v>
      </c>
      <c r="L1127" s="29" t="n">
        <v>0.79</v>
      </c>
      <c r="M1127" s="30" t="n">
        <v>3.17</v>
      </c>
      <c r="N1127" s="29" t="n">
        <v>0.48</v>
      </c>
      <c r="O1127" s="25" t="n">
        <v>184</v>
      </c>
      <c r="P1127" s="30" t="n">
        <v>-0.78</v>
      </c>
      <c r="Q1127" s="27" t="s">
        <v>3598</v>
      </c>
      <c r="R1127" s="27" t="s">
        <v>2610</v>
      </c>
    </row>
    <row r="1128" customFormat="false" ht="15" hidden="false" customHeight="false" outlineLevel="0" collapsed="false">
      <c r="A1128" s="25" t="n">
        <f aca="false">IF(G1128="REJECT",COUNTIF($G$2:$G$2277,"&lt;&gt;REJECT")+1+COUNTIFS($G$2:$G$2277,"REJECT",$B$2:$B$2277,"&gt;"&amp;B1128),1+COUNTIFS($G$2:$G$2277,"&lt;&gt;REJECT",$B$2:$B$2277,"&gt;"&amp;B1128))</f>
        <v>1127</v>
      </c>
      <c r="B1128" s="26" t="n">
        <f aca="false">ROUND(($U$2*MAX(0,MIN(1,($W$2-I1128)/($W$2-$V$2)))+$U$3*MAX(0,MIN(1,($W$3-J1128)/($W$3-$V$3)))+$U$4*MAX(0,MIN(1,($W$4-K1128)/($W$4-$V$4)))+$U$5*MAX(0,MIN(1,($W$5-L1128)/($W$5-$V$5)))+$U$6*MAX(0,MIN(1,($W$6-M1128)/($W$6-$V$6)))+$U$7*MAX(0,MIN(1,($W$7-N1128)/($W$7-$V$7)))+$U$8*IF(AND(O1128&gt;=$V$8,O1128&lt;=$W$8),1,0))/$U$9*100,2)</f>
        <v>73.04</v>
      </c>
      <c r="C1128" s="27" t="s">
        <v>1608</v>
      </c>
      <c r="D1128" s="25" t="s">
        <v>3459</v>
      </c>
      <c r="E1128" s="25" t="s">
        <v>3450</v>
      </c>
      <c r="F1128" s="25" t="s">
        <v>3457</v>
      </c>
      <c r="G1128" s="38" t="s">
        <v>30</v>
      </c>
      <c r="H1128" s="28" t="s">
        <v>25</v>
      </c>
      <c r="I1128" s="25" t="n">
        <v>2</v>
      </c>
      <c r="J1128" s="25" t="n">
        <v>1</v>
      </c>
      <c r="K1128" s="25" t="n">
        <v>2</v>
      </c>
      <c r="L1128" s="29" t="n">
        <v>0.79</v>
      </c>
      <c r="M1128" s="30" t="n">
        <v>18.37</v>
      </c>
      <c r="N1128" s="29" t="n">
        <v>0.48</v>
      </c>
      <c r="O1128" s="25" t="n">
        <v>188</v>
      </c>
      <c r="P1128" s="30" t="n">
        <v>11.16</v>
      </c>
      <c r="Q1128" s="27" t="s">
        <v>3575</v>
      </c>
      <c r="R1128" s="27" t="s">
        <v>283</v>
      </c>
    </row>
    <row r="1129" customFormat="false" ht="15" hidden="false" customHeight="false" outlineLevel="0" collapsed="false">
      <c r="A1129" s="25" t="n">
        <f aca="false">IF(G1129="REJECT",COUNTIF($G$2:$G$2277,"&lt;&gt;REJECT")+1+COUNTIFS($G$2:$G$2277,"REJECT",$B$2:$B$2277,"&gt;"&amp;B1129),1+COUNTIFS($G$2:$G$2277,"&lt;&gt;REJECT",$B$2:$B$2277,"&gt;"&amp;B1129))</f>
        <v>1127</v>
      </c>
      <c r="B1129" s="26" t="n">
        <f aca="false">ROUND(($U$2*MAX(0,MIN(1,($W$2-I1129)/($W$2-$V$2)))+$U$3*MAX(0,MIN(1,($W$3-J1129)/($W$3-$V$3)))+$U$4*MAX(0,MIN(1,($W$4-K1129)/($W$4-$V$4)))+$U$5*MAX(0,MIN(1,($W$5-L1129)/($W$5-$V$5)))+$U$6*MAX(0,MIN(1,($W$6-M1129)/($W$6-$V$6)))+$U$7*MAX(0,MIN(1,($W$7-N1129)/($W$7-$V$7)))+$U$8*IF(AND(O1129&gt;=$V$8,O1129&lt;=$W$8),1,0))/$U$9*100,2)</f>
        <v>73.04</v>
      </c>
      <c r="C1129" s="27" t="s">
        <v>2186</v>
      </c>
      <c r="D1129" s="25" t="s">
        <v>134</v>
      </c>
      <c r="E1129" s="25" t="s">
        <v>3447</v>
      </c>
      <c r="F1129" s="25" t="s">
        <v>3457</v>
      </c>
      <c r="G1129" s="38" t="s">
        <v>30</v>
      </c>
      <c r="H1129" s="33" t="s">
        <v>24</v>
      </c>
      <c r="I1129" s="25" t="n">
        <v>3</v>
      </c>
      <c r="J1129" s="25" t="n">
        <v>0</v>
      </c>
      <c r="K1129" s="25" t="n">
        <v>3</v>
      </c>
      <c r="L1129" s="29" t="n">
        <v>0.74</v>
      </c>
      <c r="M1129" s="30" t="n">
        <v>19.66</v>
      </c>
      <c r="N1129" s="29" t="n">
        <v>0.8</v>
      </c>
      <c r="O1129" s="25" t="n">
        <v>185</v>
      </c>
      <c r="P1129" s="30" t="n">
        <v>10.82</v>
      </c>
      <c r="Q1129" s="27" t="s">
        <v>3599</v>
      </c>
      <c r="R1129" s="27" t="s">
        <v>30</v>
      </c>
    </row>
    <row r="1130" customFormat="false" ht="15" hidden="false" customHeight="false" outlineLevel="0" collapsed="false">
      <c r="A1130" s="25" t="n">
        <f aca="false">IF(G1130="REJECT",COUNTIF($G$2:$G$2277,"&lt;&gt;REJECT")+1+COUNTIFS($G$2:$G$2277,"REJECT",$B$2:$B$2277,"&gt;"&amp;B1130),1+COUNTIFS($G$2:$G$2277,"&lt;&gt;REJECT",$B$2:$B$2277,"&gt;"&amp;B1130))</f>
        <v>1129</v>
      </c>
      <c r="B1130" s="26" t="n">
        <f aca="false">ROUND(($U$2*MAX(0,MIN(1,($W$2-I1130)/($W$2-$V$2)))+$U$3*MAX(0,MIN(1,($W$3-J1130)/($W$3-$V$3)))+$U$4*MAX(0,MIN(1,($W$4-K1130)/($W$4-$V$4)))+$U$5*MAX(0,MIN(1,($W$5-L1130)/($W$5-$V$5)))+$U$6*MAX(0,MIN(1,($W$6-M1130)/($W$6-$V$6)))+$U$7*MAX(0,MIN(1,($W$7-N1130)/($W$7-$V$7)))+$U$8*IF(AND(O1130&gt;=$V$8,O1130&lt;=$W$8),1,0))/$U$9*100,2)</f>
        <v>73.03</v>
      </c>
      <c r="C1130" s="27" t="s">
        <v>1055</v>
      </c>
      <c r="D1130" s="25" t="s">
        <v>134</v>
      </c>
      <c r="E1130" s="25" t="s">
        <v>3447</v>
      </c>
      <c r="F1130" s="25" t="s">
        <v>3448</v>
      </c>
      <c r="G1130" s="38" t="s">
        <v>30</v>
      </c>
      <c r="H1130" s="33" t="s">
        <v>24</v>
      </c>
      <c r="I1130" s="25" t="n">
        <v>4</v>
      </c>
      <c r="J1130" s="25" t="n">
        <v>0</v>
      </c>
      <c r="K1130" s="25" t="n">
        <v>4</v>
      </c>
      <c r="L1130" s="29" t="n">
        <v>0.82</v>
      </c>
      <c r="M1130" s="30" t="n">
        <v>9.84</v>
      </c>
      <c r="N1130" s="29" t="n">
        <v>0.2</v>
      </c>
      <c r="O1130" s="25" t="n">
        <v>197</v>
      </c>
      <c r="P1130" s="30" t="n">
        <v>2.55</v>
      </c>
      <c r="Q1130" s="27" t="s">
        <v>3600</v>
      </c>
      <c r="R1130" s="27" t="s">
        <v>30</v>
      </c>
    </row>
    <row r="1131" customFormat="false" ht="15" hidden="false" customHeight="false" outlineLevel="0" collapsed="false">
      <c r="A1131" s="25" t="n">
        <f aca="false">IF(G1131="REJECT",COUNTIF($G$2:$G$2277,"&lt;&gt;REJECT")+1+COUNTIFS($G$2:$G$2277,"REJECT",$B$2:$B$2277,"&gt;"&amp;B1131),1+COUNTIFS($G$2:$G$2277,"&lt;&gt;REJECT",$B$2:$B$2277,"&gt;"&amp;B1131))</f>
        <v>1130</v>
      </c>
      <c r="B1131" s="26" t="n">
        <f aca="false">ROUND(($U$2*MAX(0,MIN(1,($W$2-I1131)/($W$2-$V$2)))+$U$3*MAX(0,MIN(1,($W$3-J1131)/($W$3-$V$3)))+$U$4*MAX(0,MIN(1,($W$4-K1131)/($W$4-$V$4)))+$U$5*MAX(0,MIN(1,($W$5-L1131)/($W$5-$V$5)))+$U$6*MAX(0,MIN(1,($W$6-M1131)/($W$6-$V$6)))+$U$7*MAX(0,MIN(1,($W$7-N1131)/($W$7-$V$7)))+$U$8*IF(AND(O1131&gt;=$V$8,O1131&lt;=$W$8),1,0))/$U$9*100,2)</f>
        <v>73.02</v>
      </c>
      <c r="C1131" s="27" t="s">
        <v>702</v>
      </c>
      <c r="D1131" s="25" t="s">
        <v>134</v>
      </c>
      <c r="E1131" s="25" t="s">
        <v>3450</v>
      </c>
      <c r="F1131" s="25" t="s">
        <v>3457</v>
      </c>
      <c r="G1131" s="38" t="s">
        <v>30</v>
      </c>
      <c r="H1131" s="28" t="s">
        <v>25</v>
      </c>
      <c r="I1131" s="25" t="n">
        <v>1</v>
      </c>
      <c r="J1131" s="25" t="n">
        <v>1</v>
      </c>
      <c r="K1131" s="25" t="n">
        <v>1</v>
      </c>
      <c r="L1131" s="29" t="n">
        <v>0.72</v>
      </c>
      <c r="M1131" s="30" t="n">
        <v>25.96</v>
      </c>
      <c r="N1131" s="29" t="n">
        <v>0.96</v>
      </c>
      <c r="O1131" s="25" t="n">
        <v>183</v>
      </c>
      <c r="P1131" s="30" t="n">
        <v>3.47</v>
      </c>
      <c r="Q1131" s="27" t="s">
        <v>69</v>
      </c>
      <c r="R1131" s="27" t="s">
        <v>183</v>
      </c>
    </row>
    <row r="1132" customFormat="false" ht="15" hidden="false" customHeight="false" outlineLevel="0" collapsed="false">
      <c r="A1132" s="25" t="n">
        <f aca="false">IF(G1132="REJECT",COUNTIF($G$2:$G$2277,"&lt;&gt;REJECT")+1+COUNTIFS($G$2:$G$2277,"REJECT",$B$2:$B$2277,"&gt;"&amp;B1132),1+COUNTIFS($G$2:$G$2277,"&lt;&gt;REJECT",$B$2:$B$2277,"&gt;"&amp;B1132))</f>
        <v>1131</v>
      </c>
      <c r="B1132" s="26" t="n">
        <f aca="false">ROUND(($U$2*MAX(0,MIN(1,($W$2-I1132)/($W$2-$V$2)))+$U$3*MAX(0,MIN(1,($W$3-J1132)/($W$3-$V$3)))+$U$4*MAX(0,MIN(1,($W$4-K1132)/($W$4-$V$4)))+$U$5*MAX(0,MIN(1,($W$5-L1132)/($W$5-$V$5)))+$U$6*MAX(0,MIN(1,($W$6-M1132)/($W$6-$V$6)))+$U$7*MAX(0,MIN(1,($W$7-N1132)/($W$7-$V$7)))+$U$8*IF(AND(O1132&gt;=$V$8,O1132&lt;=$W$8),1,0))/$U$9*100,2)</f>
        <v>72.97</v>
      </c>
      <c r="C1132" s="27" t="s">
        <v>1350</v>
      </c>
      <c r="D1132" s="25" t="s">
        <v>3459</v>
      </c>
      <c r="E1132" s="25" t="s">
        <v>3447</v>
      </c>
      <c r="F1132" s="25" t="s">
        <v>3448</v>
      </c>
      <c r="G1132" s="38" t="s">
        <v>30</v>
      </c>
      <c r="H1132" s="28" t="s">
        <v>25</v>
      </c>
      <c r="I1132" s="25" t="n">
        <v>3</v>
      </c>
      <c r="J1132" s="25" t="n">
        <v>0</v>
      </c>
      <c r="K1132" s="25" t="n">
        <v>3</v>
      </c>
      <c r="L1132" s="29" t="n">
        <v>0.72</v>
      </c>
      <c r="M1132" s="30" t="n">
        <v>11.31</v>
      </c>
      <c r="N1132" s="29" t="n">
        <v>0.96</v>
      </c>
      <c r="O1132" s="25" t="n">
        <v>184</v>
      </c>
      <c r="P1132" s="30" t="n">
        <v>-1.03</v>
      </c>
      <c r="Q1132" s="27" t="s">
        <v>3564</v>
      </c>
      <c r="R1132" s="27" t="s">
        <v>2610</v>
      </c>
    </row>
    <row r="1133" customFormat="false" ht="15" hidden="false" customHeight="false" outlineLevel="0" collapsed="false">
      <c r="A1133" s="25" t="n">
        <f aca="false">IF(G1133="REJECT",COUNTIF($G$2:$G$2277,"&lt;&gt;REJECT")+1+COUNTIFS($G$2:$G$2277,"REJECT",$B$2:$B$2277,"&gt;"&amp;B1133),1+COUNTIFS($G$2:$G$2277,"&lt;&gt;REJECT",$B$2:$B$2277,"&gt;"&amp;B1133))</f>
        <v>1132</v>
      </c>
      <c r="B1133" s="26" t="n">
        <f aca="false">ROUND(($U$2*MAX(0,MIN(1,($W$2-I1133)/($W$2-$V$2)))+$U$3*MAX(0,MIN(1,($W$3-J1133)/($W$3-$V$3)))+$U$4*MAX(0,MIN(1,($W$4-K1133)/($W$4-$V$4)))+$U$5*MAX(0,MIN(1,($W$5-L1133)/($W$5-$V$5)))+$U$6*MAX(0,MIN(1,($W$6-M1133)/($W$6-$V$6)))+$U$7*MAX(0,MIN(1,($W$7-N1133)/($W$7-$V$7)))+$U$8*IF(AND(O1133&gt;=$V$8,O1133&lt;=$W$8),1,0))/$U$9*100,2)</f>
        <v>72.96</v>
      </c>
      <c r="C1133" s="27" t="s">
        <v>615</v>
      </c>
      <c r="D1133" s="25" t="s">
        <v>134</v>
      </c>
      <c r="E1133" s="25" t="s">
        <v>3450</v>
      </c>
      <c r="F1133" s="25" t="s">
        <v>3448</v>
      </c>
      <c r="G1133" s="38" t="s">
        <v>30</v>
      </c>
      <c r="H1133" s="28" t="s">
        <v>25</v>
      </c>
      <c r="I1133" s="25" t="n">
        <v>1</v>
      </c>
      <c r="J1133" s="25" t="n">
        <v>1</v>
      </c>
      <c r="K1133" s="25" t="n">
        <v>1</v>
      </c>
      <c r="L1133" s="29" t="n">
        <v>0.69</v>
      </c>
      <c r="M1133" s="30" t="n">
        <v>25.15</v>
      </c>
      <c r="N1133" s="29" t="n">
        <v>0</v>
      </c>
      <c r="O1133" s="25" t="n">
        <v>188</v>
      </c>
      <c r="P1133" s="30" t="n">
        <v>14.89</v>
      </c>
      <c r="Q1133" s="27" t="s">
        <v>69</v>
      </c>
      <c r="R1133" s="27" t="s">
        <v>183</v>
      </c>
    </row>
    <row r="1134" customFormat="false" ht="15" hidden="false" customHeight="false" outlineLevel="0" collapsed="false">
      <c r="A1134" s="25" t="n">
        <f aca="false">IF(G1134="REJECT",COUNTIF($G$2:$G$2277,"&lt;&gt;REJECT")+1+COUNTIFS($G$2:$G$2277,"REJECT",$B$2:$B$2277,"&gt;"&amp;B1134),1+COUNTIFS($G$2:$G$2277,"&lt;&gt;REJECT",$B$2:$B$2277,"&gt;"&amp;B1134))</f>
        <v>1133</v>
      </c>
      <c r="B1134" s="26" t="n">
        <f aca="false">ROUND(($U$2*MAX(0,MIN(1,($W$2-I1134)/($W$2-$V$2)))+$U$3*MAX(0,MIN(1,($W$3-J1134)/($W$3-$V$3)))+$U$4*MAX(0,MIN(1,($W$4-K1134)/($W$4-$V$4)))+$U$5*MAX(0,MIN(1,($W$5-L1134)/($W$5-$V$5)))+$U$6*MAX(0,MIN(1,($W$6-M1134)/($W$6-$V$6)))+$U$7*MAX(0,MIN(1,($W$7-N1134)/($W$7-$V$7)))+$U$8*IF(AND(O1134&gt;=$V$8,O1134&lt;=$W$8),1,0))/$U$9*100,2)</f>
        <v>72.89</v>
      </c>
      <c r="C1134" s="27" t="s">
        <v>879</v>
      </c>
      <c r="D1134" s="25" t="s">
        <v>134</v>
      </c>
      <c r="E1134" s="25" t="s">
        <v>3450</v>
      </c>
      <c r="F1134" s="25" t="s">
        <v>3448</v>
      </c>
      <c r="G1134" s="38" t="s">
        <v>30</v>
      </c>
      <c r="H1134" s="28" t="s">
        <v>25</v>
      </c>
      <c r="I1134" s="25" t="n">
        <v>2</v>
      </c>
      <c r="J1134" s="25" t="n">
        <v>1</v>
      </c>
      <c r="K1134" s="25" t="n">
        <v>2</v>
      </c>
      <c r="L1134" s="29" t="n">
        <v>0.74</v>
      </c>
      <c r="M1134" s="30" t="n">
        <v>2.89</v>
      </c>
      <c r="N1134" s="29" t="n">
        <v>0.32</v>
      </c>
      <c r="O1134" s="25" t="n">
        <v>182</v>
      </c>
      <c r="P1134" s="30" t="n">
        <v>10.54</v>
      </c>
      <c r="Q1134" s="27" t="s">
        <v>3566</v>
      </c>
      <c r="R1134" s="27" t="s">
        <v>283</v>
      </c>
    </row>
    <row r="1135" customFormat="false" ht="15" hidden="false" customHeight="false" outlineLevel="0" collapsed="false">
      <c r="A1135" s="25" t="n">
        <f aca="false">IF(G1135="REJECT",COUNTIF($G$2:$G$2277,"&lt;&gt;REJECT")+1+COUNTIFS($G$2:$G$2277,"REJECT",$B$2:$B$2277,"&gt;"&amp;B1135),1+COUNTIFS($G$2:$G$2277,"&lt;&gt;REJECT",$B$2:$B$2277,"&gt;"&amp;B1135))</f>
        <v>1134</v>
      </c>
      <c r="B1135" s="26" t="n">
        <f aca="false">ROUND(($U$2*MAX(0,MIN(1,($W$2-I1135)/($W$2-$V$2)))+$U$3*MAX(0,MIN(1,($W$3-J1135)/($W$3-$V$3)))+$U$4*MAX(0,MIN(1,($W$4-K1135)/($W$4-$V$4)))+$U$5*MAX(0,MIN(1,($W$5-L1135)/($W$5-$V$5)))+$U$6*MAX(0,MIN(1,($W$6-M1135)/($W$6-$V$6)))+$U$7*MAX(0,MIN(1,($W$7-N1135)/($W$7-$V$7)))+$U$8*IF(AND(O1135&gt;=$V$8,O1135&lt;=$W$8),1,0))/$U$9*100,2)</f>
        <v>72.85</v>
      </c>
      <c r="C1135" s="27" t="s">
        <v>2061</v>
      </c>
      <c r="D1135" s="25" t="s">
        <v>134</v>
      </c>
      <c r="E1135" s="25" t="s">
        <v>3450</v>
      </c>
      <c r="F1135" s="25" t="s">
        <v>3448</v>
      </c>
      <c r="G1135" s="38" t="s">
        <v>30</v>
      </c>
      <c r="H1135" s="28" t="s">
        <v>25</v>
      </c>
      <c r="I1135" s="25" t="n">
        <v>1</v>
      </c>
      <c r="J1135" s="25" t="n">
        <v>1</v>
      </c>
      <c r="K1135" s="25" t="n">
        <v>1</v>
      </c>
      <c r="L1135" s="29" t="n">
        <v>0.7</v>
      </c>
      <c r="M1135" s="30" t="n">
        <v>25.81</v>
      </c>
      <c r="N1135" s="29" t="n">
        <v>0.36</v>
      </c>
      <c r="O1135" s="25" t="n">
        <v>185</v>
      </c>
      <c r="P1135" s="30" t="n">
        <v>7.81</v>
      </c>
      <c r="Q1135" s="27" t="s">
        <v>69</v>
      </c>
      <c r="R1135" s="27" t="s">
        <v>183</v>
      </c>
    </row>
    <row r="1136" customFormat="false" ht="15" hidden="false" customHeight="false" outlineLevel="0" collapsed="false">
      <c r="A1136" s="25" t="n">
        <f aca="false">IF(G1136="REJECT",COUNTIF($G$2:$G$2277,"&lt;&gt;REJECT")+1+COUNTIFS($G$2:$G$2277,"REJECT",$B$2:$B$2277,"&gt;"&amp;B1136),1+COUNTIFS($G$2:$G$2277,"&lt;&gt;REJECT",$B$2:$B$2277,"&gt;"&amp;B1136))</f>
        <v>1135</v>
      </c>
      <c r="B1136" s="26" t="n">
        <f aca="false">ROUND(($U$2*MAX(0,MIN(1,($W$2-I1136)/($W$2-$V$2)))+$U$3*MAX(0,MIN(1,($W$3-J1136)/($W$3-$V$3)))+$U$4*MAX(0,MIN(1,($W$4-K1136)/($W$4-$V$4)))+$U$5*MAX(0,MIN(1,($W$5-L1136)/($W$5-$V$5)))+$U$6*MAX(0,MIN(1,($W$6-M1136)/($W$6-$V$6)))+$U$7*MAX(0,MIN(1,($W$7-N1136)/($W$7-$V$7)))+$U$8*IF(AND(O1136&gt;=$V$8,O1136&lt;=$W$8),1,0))/$U$9*100,2)</f>
        <v>72.82</v>
      </c>
      <c r="C1136" s="27" t="s">
        <v>1253</v>
      </c>
      <c r="D1136" s="25" t="s">
        <v>134</v>
      </c>
      <c r="E1136" s="25" t="s">
        <v>3450</v>
      </c>
      <c r="F1136" s="25" t="s">
        <v>3457</v>
      </c>
      <c r="G1136" s="38" t="s">
        <v>30</v>
      </c>
      <c r="H1136" s="28" t="s">
        <v>25</v>
      </c>
      <c r="I1136" s="25" t="n">
        <v>1</v>
      </c>
      <c r="J1136" s="25" t="n">
        <v>1</v>
      </c>
      <c r="K1136" s="25" t="n">
        <v>1</v>
      </c>
      <c r="L1136" s="29" t="n">
        <v>0.67</v>
      </c>
      <c r="M1136" s="30" t="n">
        <v>18.76</v>
      </c>
      <c r="N1136" s="29" t="n">
        <v>0</v>
      </c>
      <c r="O1136" s="25" t="n">
        <v>183</v>
      </c>
      <c r="P1136" s="30" t="n">
        <v>5.44</v>
      </c>
      <c r="Q1136" s="27" t="s">
        <v>70</v>
      </c>
      <c r="R1136" s="27" t="s">
        <v>283</v>
      </c>
    </row>
    <row r="1137" customFormat="false" ht="15" hidden="false" customHeight="false" outlineLevel="0" collapsed="false">
      <c r="A1137" s="25" t="n">
        <f aca="false">IF(G1137="REJECT",COUNTIF($G$2:$G$2277,"&lt;&gt;REJECT")+1+COUNTIFS($G$2:$G$2277,"REJECT",$B$2:$B$2277,"&gt;"&amp;B1137),1+COUNTIFS($G$2:$G$2277,"&lt;&gt;REJECT",$B$2:$B$2277,"&gt;"&amp;B1137))</f>
        <v>1136</v>
      </c>
      <c r="B1137" s="26" t="n">
        <f aca="false">ROUND(($U$2*MAX(0,MIN(1,($W$2-I1137)/($W$2-$V$2)))+$U$3*MAX(0,MIN(1,($W$3-J1137)/($W$3-$V$3)))+$U$4*MAX(0,MIN(1,($W$4-K1137)/($W$4-$V$4)))+$U$5*MAX(0,MIN(1,($W$5-L1137)/($W$5-$V$5)))+$U$6*MAX(0,MIN(1,($W$6-M1137)/($W$6-$V$6)))+$U$7*MAX(0,MIN(1,($W$7-N1137)/($W$7-$V$7)))+$U$8*IF(AND(O1137&gt;=$V$8,O1137&lt;=$W$8),1,0))/$U$9*100,2)</f>
        <v>72.77</v>
      </c>
      <c r="C1137" s="27" t="s">
        <v>3216</v>
      </c>
      <c r="D1137" s="25" t="s">
        <v>134</v>
      </c>
      <c r="E1137" s="25" t="s">
        <v>3450</v>
      </c>
      <c r="F1137" s="25" t="s">
        <v>3448</v>
      </c>
      <c r="G1137" s="38" t="s">
        <v>30</v>
      </c>
      <c r="H1137" s="28" t="s">
        <v>25</v>
      </c>
      <c r="I1137" s="25" t="n">
        <v>2</v>
      </c>
      <c r="J1137" s="25" t="n">
        <v>1</v>
      </c>
      <c r="K1137" s="25" t="n">
        <v>1</v>
      </c>
      <c r="L1137" s="29" t="n">
        <v>0.75</v>
      </c>
      <c r="M1137" s="30" t="n">
        <v>21.62</v>
      </c>
      <c r="N1137" s="29" t="n">
        <v>0</v>
      </c>
      <c r="O1137" s="25" t="n">
        <v>183</v>
      </c>
      <c r="P1137" s="30" t="n">
        <v>-0.83</v>
      </c>
      <c r="Q1137" s="27" t="s">
        <v>3601</v>
      </c>
      <c r="R1137" s="27" t="s">
        <v>294</v>
      </c>
    </row>
    <row r="1138" customFormat="false" ht="15" hidden="false" customHeight="false" outlineLevel="0" collapsed="false">
      <c r="A1138" s="25" t="n">
        <f aca="false">IF(G1138="REJECT",COUNTIF($G$2:$G$2277,"&lt;&gt;REJECT")+1+COUNTIFS($G$2:$G$2277,"REJECT",$B$2:$B$2277,"&gt;"&amp;B1138),1+COUNTIFS($G$2:$G$2277,"&lt;&gt;REJECT",$B$2:$B$2277,"&gt;"&amp;B1138))</f>
        <v>1137</v>
      </c>
      <c r="B1138" s="26" t="n">
        <f aca="false">ROUND(($U$2*MAX(0,MIN(1,($W$2-I1138)/($W$2-$V$2)))+$U$3*MAX(0,MIN(1,($W$3-J1138)/($W$3-$V$3)))+$U$4*MAX(0,MIN(1,($W$4-K1138)/($W$4-$V$4)))+$U$5*MAX(0,MIN(1,($W$5-L1138)/($W$5-$V$5)))+$U$6*MAX(0,MIN(1,($W$6-M1138)/($W$6-$V$6)))+$U$7*MAX(0,MIN(1,($W$7-N1138)/($W$7-$V$7)))+$U$8*IF(AND(O1138&gt;=$V$8,O1138&lt;=$W$8),1,0))/$U$9*100,2)</f>
        <v>72.75</v>
      </c>
      <c r="C1138" s="27" t="s">
        <v>958</v>
      </c>
      <c r="D1138" s="25" t="s">
        <v>134</v>
      </c>
      <c r="E1138" s="25" t="s">
        <v>3450</v>
      </c>
      <c r="F1138" s="25" t="s">
        <v>3457</v>
      </c>
      <c r="G1138" s="38" t="s">
        <v>30</v>
      </c>
      <c r="H1138" s="28" t="s">
        <v>25</v>
      </c>
      <c r="I1138" s="25" t="n">
        <v>1</v>
      </c>
      <c r="J1138" s="25" t="n">
        <v>1</v>
      </c>
      <c r="K1138" s="25" t="n">
        <v>1</v>
      </c>
      <c r="L1138" s="29" t="n">
        <v>0.7</v>
      </c>
      <c r="M1138" s="30" t="n">
        <v>26.01</v>
      </c>
      <c r="N1138" s="29" t="n">
        <v>0.4</v>
      </c>
      <c r="O1138" s="25" t="n">
        <v>183</v>
      </c>
      <c r="P1138" s="30" t="n">
        <v>5.25</v>
      </c>
      <c r="Q1138" s="27" t="s">
        <v>69</v>
      </c>
      <c r="R1138" s="27" t="s">
        <v>183</v>
      </c>
    </row>
    <row r="1139" customFormat="false" ht="15" hidden="false" customHeight="false" outlineLevel="0" collapsed="false">
      <c r="A1139" s="25" t="n">
        <f aca="false">IF(G1139="REJECT",COUNTIF($G$2:$G$2277,"&lt;&gt;REJECT")+1+COUNTIFS($G$2:$G$2277,"REJECT",$B$2:$B$2277,"&gt;"&amp;B1139),1+COUNTIFS($G$2:$G$2277,"&lt;&gt;REJECT",$B$2:$B$2277,"&gt;"&amp;B1139))</f>
        <v>1137</v>
      </c>
      <c r="B1139" s="26" t="n">
        <f aca="false">ROUND(($U$2*MAX(0,MIN(1,($W$2-I1139)/($W$2-$V$2)))+$U$3*MAX(0,MIN(1,($W$3-J1139)/($W$3-$V$3)))+$U$4*MAX(0,MIN(1,($W$4-K1139)/($W$4-$V$4)))+$U$5*MAX(0,MIN(1,($W$5-L1139)/($W$5-$V$5)))+$U$6*MAX(0,MIN(1,($W$6-M1139)/($W$6-$V$6)))+$U$7*MAX(0,MIN(1,($W$7-N1139)/($W$7-$V$7)))+$U$8*IF(AND(O1139&gt;=$V$8,O1139&lt;=$W$8),1,0))/$U$9*100,2)</f>
        <v>72.75</v>
      </c>
      <c r="C1139" s="27" t="s">
        <v>2854</v>
      </c>
      <c r="D1139" s="25" t="s">
        <v>134</v>
      </c>
      <c r="E1139" s="25" t="s">
        <v>3447</v>
      </c>
      <c r="F1139" s="25" t="s">
        <v>3457</v>
      </c>
      <c r="G1139" s="38" t="s">
        <v>30</v>
      </c>
      <c r="H1139" s="33" t="s">
        <v>24</v>
      </c>
      <c r="I1139" s="25" t="n">
        <v>4</v>
      </c>
      <c r="J1139" s="25" t="n">
        <v>0</v>
      </c>
      <c r="K1139" s="25" t="n">
        <v>4</v>
      </c>
      <c r="L1139" s="29" t="n">
        <v>0.79</v>
      </c>
      <c r="M1139" s="30" t="n">
        <v>5.92</v>
      </c>
      <c r="N1139" s="29" t="n">
        <v>0.4</v>
      </c>
      <c r="O1139" s="25" t="n">
        <v>183</v>
      </c>
      <c r="P1139" s="30" t="n">
        <v>-1.97</v>
      </c>
      <c r="Q1139" s="27" t="s">
        <v>3602</v>
      </c>
      <c r="R1139" s="27" t="s">
        <v>30</v>
      </c>
    </row>
    <row r="1140" customFormat="false" ht="15" hidden="false" customHeight="false" outlineLevel="0" collapsed="false">
      <c r="A1140" s="25" t="n">
        <f aca="false">IF(G1140="REJECT",COUNTIF($G$2:$G$2277,"&lt;&gt;REJECT")+1+COUNTIFS($G$2:$G$2277,"REJECT",$B$2:$B$2277,"&gt;"&amp;B1140),1+COUNTIFS($G$2:$G$2277,"&lt;&gt;REJECT",$B$2:$B$2277,"&gt;"&amp;B1140))</f>
        <v>1139</v>
      </c>
      <c r="B1140" s="26" t="n">
        <f aca="false">ROUND(($U$2*MAX(0,MIN(1,($W$2-I1140)/($W$2-$V$2)))+$U$3*MAX(0,MIN(1,($W$3-J1140)/($W$3-$V$3)))+$U$4*MAX(0,MIN(1,($W$4-K1140)/($W$4-$V$4)))+$U$5*MAX(0,MIN(1,($W$5-L1140)/($W$5-$V$5)))+$U$6*MAX(0,MIN(1,($W$6-M1140)/($W$6-$V$6)))+$U$7*MAX(0,MIN(1,($W$7-N1140)/($W$7-$V$7)))+$U$8*IF(AND(O1140&gt;=$V$8,O1140&lt;=$W$8),1,0))/$U$9*100,2)</f>
        <v>72.73</v>
      </c>
      <c r="C1140" s="27" t="s">
        <v>2822</v>
      </c>
      <c r="D1140" s="25" t="s">
        <v>134</v>
      </c>
      <c r="E1140" s="25" t="s">
        <v>3450</v>
      </c>
      <c r="F1140" s="25" t="s">
        <v>3448</v>
      </c>
      <c r="G1140" s="38" t="s">
        <v>30</v>
      </c>
      <c r="H1140" s="28" t="s">
        <v>25</v>
      </c>
      <c r="I1140" s="25" t="n">
        <v>1</v>
      </c>
      <c r="J1140" s="25" t="n">
        <v>1</v>
      </c>
      <c r="K1140" s="25" t="n">
        <v>1</v>
      </c>
      <c r="L1140" s="29" t="n">
        <v>0.65</v>
      </c>
      <c r="M1140" s="30" t="n">
        <v>12.14</v>
      </c>
      <c r="N1140" s="29" t="n">
        <v>0</v>
      </c>
      <c r="O1140" s="25" t="n">
        <v>198</v>
      </c>
      <c r="P1140" s="30" t="n">
        <v>12.72</v>
      </c>
      <c r="Q1140" s="27" t="s">
        <v>69</v>
      </c>
      <c r="R1140" s="27" t="s">
        <v>283</v>
      </c>
    </row>
    <row r="1141" customFormat="false" ht="15" hidden="false" customHeight="false" outlineLevel="0" collapsed="false">
      <c r="A1141" s="25" t="n">
        <f aca="false">IF(G1141="REJECT",COUNTIF($G$2:$G$2277,"&lt;&gt;REJECT")+1+COUNTIFS($G$2:$G$2277,"REJECT",$B$2:$B$2277,"&gt;"&amp;B1141),1+COUNTIFS($G$2:$G$2277,"&lt;&gt;REJECT",$B$2:$B$2277,"&gt;"&amp;B1141))</f>
        <v>1140</v>
      </c>
      <c r="B1141" s="26" t="n">
        <f aca="false">ROUND(($U$2*MAX(0,MIN(1,($W$2-I1141)/($W$2-$V$2)))+$U$3*MAX(0,MIN(1,($W$3-J1141)/($W$3-$V$3)))+$U$4*MAX(0,MIN(1,($W$4-K1141)/($W$4-$V$4)))+$U$5*MAX(0,MIN(1,($W$5-L1141)/($W$5-$V$5)))+$U$6*MAX(0,MIN(1,($W$6-M1141)/($W$6-$V$6)))+$U$7*MAX(0,MIN(1,($W$7-N1141)/($W$7-$V$7)))+$U$8*IF(AND(O1141&gt;=$V$8,O1141&lt;=$W$8),1,0))/$U$9*100,2)</f>
        <v>72.72</v>
      </c>
      <c r="C1141" s="27" t="s">
        <v>1049</v>
      </c>
      <c r="D1141" s="25" t="s">
        <v>134</v>
      </c>
      <c r="E1141" s="25" t="s">
        <v>3450</v>
      </c>
      <c r="F1141" s="25" t="s">
        <v>3457</v>
      </c>
      <c r="G1141" s="38" t="s">
        <v>30</v>
      </c>
      <c r="H1141" s="28" t="s">
        <v>25</v>
      </c>
      <c r="I1141" s="25" t="n">
        <v>1</v>
      </c>
      <c r="J1141" s="25" t="n">
        <v>1</v>
      </c>
      <c r="K1141" s="25" t="n">
        <v>1</v>
      </c>
      <c r="L1141" s="29" t="n">
        <v>0.66</v>
      </c>
      <c r="M1141" s="30" t="n">
        <v>9.4</v>
      </c>
      <c r="N1141" s="29" t="n">
        <v>0.64</v>
      </c>
      <c r="O1141" s="25" t="n">
        <v>200</v>
      </c>
      <c r="P1141" s="30" t="n">
        <v>6.96</v>
      </c>
      <c r="Q1141" s="27" t="s">
        <v>69</v>
      </c>
      <c r="R1141" s="27" t="s">
        <v>283</v>
      </c>
    </row>
    <row r="1142" customFormat="false" ht="15" hidden="false" customHeight="false" outlineLevel="0" collapsed="false">
      <c r="A1142" s="25" t="n">
        <f aca="false">IF(G1142="REJECT",COUNTIF($G$2:$G$2277,"&lt;&gt;REJECT")+1+COUNTIFS($G$2:$G$2277,"REJECT",$B$2:$B$2277,"&gt;"&amp;B1142),1+COUNTIFS($G$2:$G$2277,"&lt;&gt;REJECT",$B$2:$B$2277,"&gt;"&amp;B1142))</f>
        <v>1140</v>
      </c>
      <c r="B1142" s="26" t="n">
        <f aca="false">ROUND(($U$2*MAX(0,MIN(1,($W$2-I1142)/($W$2-$V$2)))+$U$3*MAX(0,MIN(1,($W$3-J1142)/($W$3-$V$3)))+$U$4*MAX(0,MIN(1,($W$4-K1142)/($W$4-$V$4)))+$U$5*MAX(0,MIN(1,($W$5-L1142)/($W$5-$V$5)))+$U$6*MAX(0,MIN(1,($W$6-M1142)/($W$6-$V$6)))+$U$7*MAX(0,MIN(1,($W$7-N1142)/($W$7-$V$7)))+$U$8*IF(AND(O1142&gt;=$V$8,O1142&lt;=$W$8),1,0))/$U$9*100,2)</f>
        <v>72.72</v>
      </c>
      <c r="C1142" s="27" t="s">
        <v>2595</v>
      </c>
      <c r="D1142" s="25" t="s">
        <v>134</v>
      </c>
      <c r="E1142" s="25" t="s">
        <v>3447</v>
      </c>
      <c r="F1142" s="25" t="s">
        <v>3448</v>
      </c>
      <c r="G1142" s="38" t="s">
        <v>30</v>
      </c>
      <c r="H1142" s="28" t="s">
        <v>25</v>
      </c>
      <c r="I1142" s="25" t="n">
        <v>3</v>
      </c>
      <c r="J1142" s="25" t="n">
        <v>0</v>
      </c>
      <c r="K1142" s="25" t="n">
        <v>3</v>
      </c>
      <c r="L1142" s="29" t="n">
        <v>0.73</v>
      </c>
      <c r="M1142" s="30" t="n">
        <v>21.59</v>
      </c>
      <c r="N1142" s="29" t="n">
        <v>0.44</v>
      </c>
      <c r="O1142" s="25" t="n">
        <v>186</v>
      </c>
      <c r="P1142" s="30" t="n">
        <v>-0.35</v>
      </c>
      <c r="Q1142" s="27" t="s">
        <v>3603</v>
      </c>
      <c r="R1142" s="27" t="s">
        <v>992</v>
      </c>
    </row>
    <row r="1143" customFormat="false" ht="15" hidden="false" customHeight="false" outlineLevel="0" collapsed="false">
      <c r="A1143" s="25" t="n">
        <f aca="false">IF(G1143="REJECT",COUNTIF($G$2:$G$2277,"&lt;&gt;REJECT")+1+COUNTIFS($G$2:$G$2277,"REJECT",$B$2:$B$2277,"&gt;"&amp;B1143),1+COUNTIFS($G$2:$G$2277,"&lt;&gt;REJECT",$B$2:$B$2277,"&gt;"&amp;B1143))</f>
        <v>1142</v>
      </c>
      <c r="B1143" s="26" t="n">
        <f aca="false">ROUND(($U$2*MAX(0,MIN(1,($W$2-I1143)/($W$2-$V$2)))+$U$3*MAX(0,MIN(1,($W$3-J1143)/($W$3-$V$3)))+$U$4*MAX(0,MIN(1,($W$4-K1143)/($W$4-$V$4)))+$U$5*MAX(0,MIN(1,($W$5-L1143)/($W$5-$V$5)))+$U$6*MAX(0,MIN(1,($W$6-M1143)/($W$6-$V$6)))+$U$7*MAX(0,MIN(1,($W$7-N1143)/($W$7-$V$7)))+$U$8*IF(AND(O1143&gt;=$V$8,O1143&lt;=$W$8),1,0))/$U$9*100,2)</f>
        <v>72.71</v>
      </c>
      <c r="C1143" s="27" t="s">
        <v>812</v>
      </c>
      <c r="D1143" s="25" t="s">
        <v>134</v>
      </c>
      <c r="E1143" s="25" t="s">
        <v>3447</v>
      </c>
      <c r="F1143" s="25" t="s">
        <v>3448</v>
      </c>
      <c r="G1143" s="38" t="s">
        <v>30</v>
      </c>
      <c r="H1143" s="33" t="s">
        <v>24</v>
      </c>
      <c r="I1143" s="25" t="n">
        <v>4</v>
      </c>
      <c r="J1143" s="25" t="n">
        <v>0</v>
      </c>
      <c r="K1143" s="25" t="n">
        <v>4</v>
      </c>
      <c r="L1143" s="29" t="n">
        <v>0.81</v>
      </c>
      <c r="M1143" s="30" t="n">
        <v>12.54</v>
      </c>
      <c r="N1143" s="29" t="n">
        <v>0.12</v>
      </c>
      <c r="O1143" s="25" t="n">
        <v>186</v>
      </c>
      <c r="P1143" s="30" t="n">
        <v>1.19</v>
      </c>
      <c r="Q1143" s="27" t="s">
        <v>3604</v>
      </c>
      <c r="R1143" s="27" t="s">
        <v>30</v>
      </c>
    </row>
    <row r="1144" customFormat="false" ht="15" hidden="false" customHeight="false" outlineLevel="0" collapsed="false">
      <c r="A1144" s="25" t="n">
        <f aca="false">IF(G1144="REJECT",COUNTIF($G$2:$G$2277,"&lt;&gt;REJECT")+1+COUNTIFS($G$2:$G$2277,"REJECT",$B$2:$B$2277,"&gt;"&amp;B1144),1+COUNTIFS($G$2:$G$2277,"&lt;&gt;REJECT",$B$2:$B$2277,"&gt;"&amp;B1144))</f>
        <v>1143</v>
      </c>
      <c r="B1144" s="26" t="n">
        <f aca="false">ROUND(($U$2*MAX(0,MIN(1,($W$2-I1144)/($W$2-$V$2)))+$U$3*MAX(0,MIN(1,($W$3-J1144)/($W$3-$V$3)))+$U$4*MAX(0,MIN(1,($W$4-K1144)/($W$4-$V$4)))+$U$5*MAX(0,MIN(1,($W$5-L1144)/($W$5-$V$5)))+$U$6*MAX(0,MIN(1,($W$6-M1144)/($W$6-$V$6)))+$U$7*MAX(0,MIN(1,($W$7-N1144)/($W$7-$V$7)))+$U$8*IF(AND(O1144&gt;=$V$8,O1144&lt;=$W$8),1,0))/$U$9*100,2)</f>
        <v>72.67</v>
      </c>
      <c r="C1144" s="27" t="s">
        <v>1443</v>
      </c>
      <c r="D1144" s="25" t="s">
        <v>134</v>
      </c>
      <c r="E1144" s="25" t="s">
        <v>3447</v>
      </c>
      <c r="F1144" s="25" t="s">
        <v>3448</v>
      </c>
      <c r="G1144" s="38" t="s">
        <v>30</v>
      </c>
      <c r="H1144" s="28" t="s">
        <v>25</v>
      </c>
      <c r="I1144" s="25" t="n">
        <v>2</v>
      </c>
      <c r="J1144" s="25" t="n">
        <v>1</v>
      </c>
      <c r="K1144" s="25" t="n">
        <v>2</v>
      </c>
      <c r="L1144" s="29" t="n">
        <v>0.75</v>
      </c>
      <c r="M1144" s="30" t="n">
        <v>2.2</v>
      </c>
      <c r="N1144" s="29" t="n">
        <v>0.88</v>
      </c>
      <c r="O1144" s="25" t="n">
        <v>184</v>
      </c>
      <c r="P1144" s="30" t="n">
        <v>-1.2</v>
      </c>
      <c r="Q1144" s="27" t="s">
        <v>3566</v>
      </c>
      <c r="R1144" s="27" t="s">
        <v>1152</v>
      </c>
    </row>
    <row r="1145" customFormat="false" ht="15" hidden="false" customHeight="false" outlineLevel="0" collapsed="false">
      <c r="A1145" s="25" t="n">
        <f aca="false">IF(G1145="REJECT",COUNTIF($G$2:$G$2277,"&lt;&gt;REJECT")+1+COUNTIFS($G$2:$G$2277,"REJECT",$B$2:$B$2277,"&gt;"&amp;B1145),1+COUNTIFS($G$2:$G$2277,"&lt;&gt;REJECT",$B$2:$B$2277,"&gt;"&amp;B1145))</f>
        <v>1144</v>
      </c>
      <c r="B1145" s="26" t="n">
        <f aca="false">ROUND(($U$2*MAX(0,MIN(1,($W$2-I1145)/($W$2-$V$2)))+$U$3*MAX(0,MIN(1,($W$3-J1145)/($W$3-$V$3)))+$U$4*MAX(0,MIN(1,($W$4-K1145)/($W$4-$V$4)))+$U$5*MAX(0,MIN(1,($W$5-L1145)/($W$5-$V$5)))+$U$6*MAX(0,MIN(1,($W$6-M1145)/($W$6-$V$6)))+$U$7*MAX(0,MIN(1,($W$7-N1145)/($W$7-$V$7)))+$U$8*IF(AND(O1145&gt;=$V$8,O1145&lt;=$W$8),1,0))/$U$9*100,2)</f>
        <v>72.65</v>
      </c>
      <c r="C1145" s="27" t="s">
        <v>3040</v>
      </c>
      <c r="D1145" s="25" t="s">
        <v>134</v>
      </c>
      <c r="E1145" s="25" t="s">
        <v>3450</v>
      </c>
      <c r="F1145" s="25" t="s">
        <v>3448</v>
      </c>
      <c r="G1145" s="38" t="s">
        <v>30</v>
      </c>
      <c r="H1145" s="28" t="s">
        <v>25</v>
      </c>
      <c r="I1145" s="25" t="n">
        <v>1</v>
      </c>
      <c r="J1145" s="25" t="n">
        <v>1</v>
      </c>
      <c r="K1145" s="25" t="n">
        <v>1</v>
      </c>
      <c r="L1145" s="29" t="n">
        <v>0.71</v>
      </c>
      <c r="M1145" s="30" t="n">
        <v>27.38</v>
      </c>
      <c r="N1145" s="29" t="n">
        <v>0.68</v>
      </c>
      <c r="O1145" s="25" t="n">
        <v>185</v>
      </c>
      <c r="P1145" s="30" t="n">
        <v>4.81</v>
      </c>
      <c r="Q1145" s="27" t="s">
        <v>69</v>
      </c>
      <c r="R1145" s="27" t="s">
        <v>183</v>
      </c>
    </row>
    <row r="1146" customFormat="false" ht="15" hidden="false" customHeight="false" outlineLevel="0" collapsed="false">
      <c r="A1146" s="25" t="n">
        <f aca="false">IF(G1146="REJECT",COUNTIF($G$2:$G$2277,"&lt;&gt;REJECT")+1+COUNTIFS($G$2:$G$2277,"REJECT",$B$2:$B$2277,"&gt;"&amp;B1146),1+COUNTIFS($G$2:$G$2277,"&lt;&gt;REJECT",$B$2:$B$2277,"&gt;"&amp;B1146))</f>
        <v>1145</v>
      </c>
      <c r="B1146" s="26" t="n">
        <f aca="false">ROUND(($U$2*MAX(0,MIN(1,($W$2-I1146)/($W$2-$V$2)))+$U$3*MAX(0,MIN(1,($W$3-J1146)/($W$3-$V$3)))+$U$4*MAX(0,MIN(1,($W$4-K1146)/($W$4-$V$4)))+$U$5*MAX(0,MIN(1,($W$5-L1146)/($W$5-$V$5)))+$U$6*MAX(0,MIN(1,($W$6-M1146)/($W$6-$V$6)))+$U$7*MAX(0,MIN(1,($W$7-N1146)/($W$7-$V$7)))+$U$8*IF(AND(O1146&gt;=$V$8,O1146&lt;=$W$8),1,0))/$U$9*100,2)</f>
        <v>72.64</v>
      </c>
      <c r="C1146" s="27" t="s">
        <v>1286</v>
      </c>
      <c r="D1146" s="25" t="s">
        <v>134</v>
      </c>
      <c r="E1146" s="25" t="s">
        <v>3450</v>
      </c>
      <c r="F1146" s="25" t="s">
        <v>3457</v>
      </c>
      <c r="G1146" s="38" t="s">
        <v>30</v>
      </c>
      <c r="H1146" s="28" t="s">
        <v>25</v>
      </c>
      <c r="I1146" s="25" t="n">
        <v>1</v>
      </c>
      <c r="J1146" s="25" t="n">
        <v>1</v>
      </c>
      <c r="K1146" s="25" t="n">
        <v>1</v>
      </c>
      <c r="L1146" s="29" t="n">
        <v>0.7</v>
      </c>
      <c r="M1146" s="30" t="n">
        <v>24.25</v>
      </c>
      <c r="N1146" s="29" t="n">
        <v>0.64</v>
      </c>
      <c r="O1146" s="25" t="n">
        <v>183</v>
      </c>
      <c r="P1146" s="30" t="n">
        <v>12.03</v>
      </c>
      <c r="Q1146" s="27" t="s">
        <v>69</v>
      </c>
      <c r="R1146" s="27" t="s">
        <v>183</v>
      </c>
    </row>
    <row r="1147" customFormat="false" ht="15" hidden="false" customHeight="false" outlineLevel="0" collapsed="false">
      <c r="A1147" s="25" t="n">
        <f aca="false">IF(G1147="REJECT",COUNTIF($G$2:$G$2277,"&lt;&gt;REJECT")+1+COUNTIFS($G$2:$G$2277,"REJECT",$B$2:$B$2277,"&gt;"&amp;B1147),1+COUNTIFS($G$2:$G$2277,"&lt;&gt;REJECT",$B$2:$B$2277,"&gt;"&amp;B1147))</f>
        <v>1146</v>
      </c>
      <c r="B1147" s="26" t="n">
        <f aca="false">ROUND(($U$2*MAX(0,MIN(1,($W$2-I1147)/($W$2-$V$2)))+$U$3*MAX(0,MIN(1,($W$3-J1147)/($W$3-$V$3)))+$U$4*MAX(0,MIN(1,($W$4-K1147)/($W$4-$V$4)))+$U$5*MAX(0,MIN(1,($W$5-L1147)/($W$5-$V$5)))+$U$6*MAX(0,MIN(1,($W$6-M1147)/($W$6-$V$6)))+$U$7*MAX(0,MIN(1,($W$7-N1147)/($W$7-$V$7)))+$U$8*IF(AND(O1147&gt;=$V$8,O1147&lt;=$W$8),1,0))/$U$9*100,2)</f>
        <v>72.61</v>
      </c>
      <c r="C1147" s="27" t="s">
        <v>3236</v>
      </c>
      <c r="D1147" s="25" t="s">
        <v>134</v>
      </c>
      <c r="E1147" s="25" t="s">
        <v>3450</v>
      </c>
      <c r="F1147" s="25" t="s">
        <v>3457</v>
      </c>
      <c r="G1147" s="38" t="s">
        <v>30</v>
      </c>
      <c r="H1147" s="28" t="s">
        <v>25</v>
      </c>
      <c r="I1147" s="25" t="n">
        <v>2</v>
      </c>
      <c r="J1147" s="25" t="n">
        <v>1</v>
      </c>
      <c r="K1147" s="25" t="n">
        <v>2</v>
      </c>
      <c r="L1147" s="29" t="n">
        <v>0.77</v>
      </c>
      <c r="M1147" s="30" t="n">
        <v>14.52</v>
      </c>
      <c r="N1147" s="29" t="n">
        <v>0.4</v>
      </c>
      <c r="O1147" s="25" t="n">
        <v>186</v>
      </c>
      <c r="P1147" s="30" t="n">
        <v>15.32</v>
      </c>
      <c r="Q1147" s="27" t="s">
        <v>3566</v>
      </c>
      <c r="R1147" s="27" t="s">
        <v>283</v>
      </c>
    </row>
    <row r="1148" customFormat="false" ht="15" hidden="false" customHeight="false" outlineLevel="0" collapsed="false">
      <c r="A1148" s="25" t="n">
        <f aca="false">IF(G1148="REJECT",COUNTIF($G$2:$G$2277,"&lt;&gt;REJECT")+1+COUNTIFS($G$2:$G$2277,"REJECT",$B$2:$B$2277,"&gt;"&amp;B1148),1+COUNTIFS($G$2:$G$2277,"&lt;&gt;REJECT",$B$2:$B$2277,"&gt;"&amp;B1148))</f>
        <v>1147</v>
      </c>
      <c r="B1148" s="26" t="n">
        <f aca="false">ROUND(($U$2*MAX(0,MIN(1,($W$2-I1148)/($W$2-$V$2)))+$U$3*MAX(0,MIN(1,($W$3-J1148)/($W$3-$V$3)))+$U$4*MAX(0,MIN(1,($W$4-K1148)/($W$4-$V$4)))+$U$5*MAX(0,MIN(1,($W$5-L1148)/($W$5-$V$5)))+$U$6*MAX(0,MIN(1,($W$6-M1148)/($W$6-$V$6)))+$U$7*MAX(0,MIN(1,($W$7-N1148)/($W$7-$V$7)))+$U$8*IF(AND(O1148&gt;=$V$8,O1148&lt;=$W$8),1,0))/$U$9*100,2)</f>
        <v>72.59</v>
      </c>
      <c r="C1148" s="27" t="s">
        <v>437</v>
      </c>
      <c r="D1148" s="25" t="s">
        <v>134</v>
      </c>
      <c r="E1148" s="25" t="s">
        <v>3450</v>
      </c>
      <c r="F1148" s="25" t="s">
        <v>3448</v>
      </c>
      <c r="G1148" s="38" t="s">
        <v>30</v>
      </c>
      <c r="H1148" s="28" t="s">
        <v>25</v>
      </c>
      <c r="I1148" s="25" t="n">
        <v>1</v>
      </c>
      <c r="J1148" s="25" t="n">
        <v>1</v>
      </c>
      <c r="K1148" s="25" t="n">
        <v>1</v>
      </c>
      <c r="L1148" s="29" t="n">
        <v>0.67</v>
      </c>
      <c r="M1148" s="30" t="n">
        <v>16.17</v>
      </c>
      <c r="N1148" s="29" t="n">
        <v>0.4</v>
      </c>
      <c r="O1148" s="25" t="n">
        <v>184</v>
      </c>
      <c r="P1148" s="30" t="n">
        <v>13.55</v>
      </c>
      <c r="Q1148" s="27" t="s">
        <v>69</v>
      </c>
      <c r="R1148" s="27" t="s">
        <v>283</v>
      </c>
    </row>
    <row r="1149" customFormat="false" ht="15" hidden="false" customHeight="false" outlineLevel="0" collapsed="false">
      <c r="A1149" s="25" t="n">
        <f aca="false">IF(G1149="REJECT",COUNTIF($G$2:$G$2277,"&lt;&gt;REJECT")+1+COUNTIFS($G$2:$G$2277,"REJECT",$B$2:$B$2277,"&gt;"&amp;B1149),1+COUNTIFS($G$2:$G$2277,"&lt;&gt;REJECT",$B$2:$B$2277,"&gt;"&amp;B1149))</f>
        <v>1148</v>
      </c>
      <c r="B1149" s="26" t="n">
        <f aca="false">ROUND(($U$2*MAX(0,MIN(1,($W$2-I1149)/($W$2-$V$2)))+$U$3*MAX(0,MIN(1,($W$3-J1149)/($W$3-$V$3)))+$U$4*MAX(0,MIN(1,($W$4-K1149)/($W$4-$V$4)))+$U$5*MAX(0,MIN(1,($W$5-L1149)/($W$5-$V$5)))+$U$6*MAX(0,MIN(1,($W$6-M1149)/($W$6-$V$6)))+$U$7*MAX(0,MIN(1,($W$7-N1149)/($W$7-$V$7)))+$U$8*IF(AND(O1149&gt;=$V$8,O1149&lt;=$W$8),1,0))/$U$9*100,2)</f>
        <v>72.58</v>
      </c>
      <c r="C1149" s="27" t="s">
        <v>3162</v>
      </c>
      <c r="D1149" s="25" t="s">
        <v>134</v>
      </c>
      <c r="E1149" s="25" t="s">
        <v>3450</v>
      </c>
      <c r="F1149" s="25" t="s">
        <v>3457</v>
      </c>
      <c r="G1149" s="38" t="s">
        <v>30</v>
      </c>
      <c r="H1149" s="28" t="s">
        <v>25</v>
      </c>
      <c r="I1149" s="25" t="n">
        <v>1</v>
      </c>
      <c r="J1149" s="25" t="n">
        <v>1</v>
      </c>
      <c r="K1149" s="25" t="n">
        <v>1</v>
      </c>
      <c r="L1149" s="29" t="n">
        <v>0.75</v>
      </c>
      <c r="M1149" s="30" t="n">
        <v>15.8</v>
      </c>
      <c r="N1149" s="29" t="n">
        <v>0.32</v>
      </c>
      <c r="O1149" s="25" t="n">
        <v>277</v>
      </c>
      <c r="P1149" s="30" t="n">
        <v>10.22</v>
      </c>
      <c r="Q1149" s="27" t="s">
        <v>69</v>
      </c>
      <c r="R1149" s="27" t="s">
        <v>1343</v>
      </c>
    </row>
    <row r="1150" customFormat="false" ht="15" hidden="false" customHeight="false" outlineLevel="0" collapsed="false">
      <c r="A1150" s="25" t="n">
        <f aca="false">IF(G1150="REJECT",COUNTIF($G$2:$G$2277,"&lt;&gt;REJECT")+1+COUNTIFS($G$2:$G$2277,"REJECT",$B$2:$B$2277,"&gt;"&amp;B1150),1+COUNTIFS($G$2:$G$2277,"&lt;&gt;REJECT",$B$2:$B$2277,"&gt;"&amp;B1150))</f>
        <v>1149</v>
      </c>
      <c r="B1150" s="26" t="n">
        <f aca="false">ROUND(($U$2*MAX(0,MIN(1,($W$2-I1150)/($W$2-$V$2)))+$U$3*MAX(0,MIN(1,($W$3-J1150)/($W$3-$V$3)))+$U$4*MAX(0,MIN(1,($W$4-K1150)/($W$4-$V$4)))+$U$5*MAX(0,MIN(1,($W$5-L1150)/($W$5-$V$5)))+$U$6*MAX(0,MIN(1,($W$6-M1150)/($W$6-$V$6)))+$U$7*MAX(0,MIN(1,($W$7-N1150)/($W$7-$V$7)))+$U$8*IF(AND(O1150&gt;=$V$8,O1150&lt;=$W$8),1,0))/$U$9*100,2)</f>
        <v>72.55</v>
      </c>
      <c r="C1150" s="27" t="s">
        <v>1084</v>
      </c>
      <c r="D1150" s="25" t="s">
        <v>134</v>
      </c>
      <c r="E1150" s="25" t="s">
        <v>3450</v>
      </c>
      <c r="F1150" s="25" t="s">
        <v>3448</v>
      </c>
      <c r="G1150" s="38" t="s">
        <v>30</v>
      </c>
      <c r="H1150" s="28" t="s">
        <v>25</v>
      </c>
      <c r="I1150" s="25" t="n">
        <v>1</v>
      </c>
      <c r="J1150" s="25" t="n">
        <v>1</v>
      </c>
      <c r="K1150" s="25" t="n">
        <v>1</v>
      </c>
      <c r="L1150" s="29" t="n">
        <v>0.68</v>
      </c>
      <c r="M1150" s="30" t="n">
        <v>22.4</v>
      </c>
      <c r="N1150" s="29" t="n">
        <v>0.16</v>
      </c>
      <c r="O1150" s="25" t="n">
        <v>194</v>
      </c>
      <c r="P1150" s="30" t="n">
        <v>10.65</v>
      </c>
      <c r="Q1150" s="27" t="s">
        <v>69</v>
      </c>
      <c r="R1150" s="27" t="s">
        <v>183</v>
      </c>
    </row>
    <row r="1151" customFormat="false" ht="15" hidden="false" customHeight="false" outlineLevel="0" collapsed="false">
      <c r="A1151" s="25" t="n">
        <f aca="false">IF(G1151="REJECT",COUNTIF($G$2:$G$2277,"&lt;&gt;REJECT")+1+COUNTIFS($G$2:$G$2277,"REJECT",$B$2:$B$2277,"&gt;"&amp;B1151),1+COUNTIFS($G$2:$G$2277,"&lt;&gt;REJECT",$B$2:$B$2277,"&gt;"&amp;B1151))</f>
        <v>1150</v>
      </c>
      <c r="B1151" s="26" t="n">
        <f aca="false">ROUND(($U$2*MAX(0,MIN(1,($W$2-I1151)/($W$2-$V$2)))+$U$3*MAX(0,MIN(1,($W$3-J1151)/($W$3-$V$3)))+$U$4*MAX(0,MIN(1,($W$4-K1151)/($W$4-$V$4)))+$U$5*MAX(0,MIN(1,($W$5-L1151)/($W$5-$V$5)))+$U$6*MAX(0,MIN(1,($W$6-M1151)/($W$6-$V$6)))+$U$7*MAX(0,MIN(1,($W$7-N1151)/($W$7-$V$7)))+$U$8*IF(AND(O1151&gt;=$V$8,O1151&lt;=$W$8),1,0))/$U$9*100,2)</f>
        <v>72.53</v>
      </c>
      <c r="C1151" s="27" t="s">
        <v>2810</v>
      </c>
      <c r="D1151" s="25" t="s">
        <v>134</v>
      </c>
      <c r="E1151" s="25" t="s">
        <v>3450</v>
      </c>
      <c r="F1151" s="25" t="s">
        <v>3457</v>
      </c>
      <c r="G1151" s="38" t="s">
        <v>30</v>
      </c>
      <c r="H1151" s="28" t="s">
        <v>25</v>
      </c>
      <c r="I1151" s="25" t="n">
        <v>2</v>
      </c>
      <c r="J1151" s="25" t="n">
        <v>1</v>
      </c>
      <c r="K1151" s="25" t="n">
        <v>2</v>
      </c>
      <c r="L1151" s="29" t="n">
        <v>0.75</v>
      </c>
      <c r="M1151" s="30" t="n">
        <v>7.85</v>
      </c>
      <c r="N1151" s="29" t="n">
        <v>0.4</v>
      </c>
      <c r="O1151" s="25" t="n">
        <v>209</v>
      </c>
      <c r="P1151" s="30" t="n">
        <v>11.07</v>
      </c>
      <c r="Q1151" s="27" t="s">
        <v>3575</v>
      </c>
      <c r="R1151" s="27" t="s">
        <v>283</v>
      </c>
    </row>
    <row r="1152" customFormat="false" ht="15" hidden="false" customHeight="false" outlineLevel="0" collapsed="false">
      <c r="A1152" s="25" t="n">
        <f aca="false">IF(G1152="REJECT",COUNTIF($G$2:$G$2277,"&lt;&gt;REJECT")+1+COUNTIFS($G$2:$G$2277,"REJECT",$B$2:$B$2277,"&gt;"&amp;B1152),1+COUNTIFS($G$2:$G$2277,"&lt;&gt;REJECT",$B$2:$B$2277,"&gt;"&amp;B1152))</f>
        <v>1151</v>
      </c>
      <c r="B1152" s="26" t="n">
        <f aca="false">ROUND(($U$2*MAX(0,MIN(1,($W$2-I1152)/($W$2-$V$2)))+$U$3*MAX(0,MIN(1,($W$3-J1152)/($W$3-$V$3)))+$U$4*MAX(0,MIN(1,($W$4-K1152)/($W$4-$V$4)))+$U$5*MAX(0,MIN(1,($W$5-L1152)/($W$5-$V$5)))+$U$6*MAX(0,MIN(1,($W$6-M1152)/($W$6-$V$6)))+$U$7*MAX(0,MIN(1,($W$7-N1152)/($W$7-$V$7)))+$U$8*IF(AND(O1152&gt;=$V$8,O1152&lt;=$W$8),1,0))/$U$9*100,2)</f>
        <v>72.46</v>
      </c>
      <c r="C1152" s="27" t="s">
        <v>2836</v>
      </c>
      <c r="D1152" s="25" t="s">
        <v>134</v>
      </c>
      <c r="E1152" s="25" t="s">
        <v>3447</v>
      </c>
      <c r="F1152" s="25" t="s">
        <v>3457</v>
      </c>
      <c r="G1152" s="38" t="s">
        <v>30</v>
      </c>
      <c r="H1152" s="28" t="s">
        <v>25</v>
      </c>
      <c r="I1152" s="25" t="n">
        <v>2</v>
      </c>
      <c r="J1152" s="25" t="n">
        <v>1</v>
      </c>
      <c r="K1152" s="25" t="n">
        <v>2</v>
      </c>
      <c r="L1152" s="29" t="n">
        <v>0.83</v>
      </c>
      <c r="M1152" s="30" t="n">
        <v>26.24</v>
      </c>
      <c r="N1152" s="29" t="n">
        <v>0.4</v>
      </c>
      <c r="O1152" s="25" t="n">
        <v>184</v>
      </c>
      <c r="P1152" s="30" t="n">
        <v>7.08</v>
      </c>
      <c r="Q1152" s="27" t="s">
        <v>3575</v>
      </c>
      <c r="R1152" s="27" t="s">
        <v>183</v>
      </c>
    </row>
    <row r="1153" customFormat="false" ht="15" hidden="false" customHeight="false" outlineLevel="0" collapsed="false">
      <c r="A1153" s="25" t="n">
        <f aca="false">IF(G1153="REJECT",COUNTIF($G$2:$G$2277,"&lt;&gt;REJECT")+1+COUNTIFS($G$2:$G$2277,"REJECT",$B$2:$B$2277,"&gt;"&amp;B1153),1+COUNTIFS($G$2:$G$2277,"&lt;&gt;REJECT",$B$2:$B$2277,"&gt;"&amp;B1153))</f>
        <v>1152</v>
      </c>
      <c r="B1153" s="26" t="n">
        <f aca="false">ROUND(($U$2*MAX(0,MIN(1,($W$2-I1153)/($W$2-$V$2)))+$U$3*MAX(0,MIN(1,($W$3-J1153)/($W$3-$V$3)))+$U$4*MAX(0,MIN(1,($W$4-K1153)/($W$4-$V$4)))+$U$5*MAX(0,MIN(1,($W$5-L1153)/($W$5-$V$5)))+$U$6*MAX(0,MIN(1,($W$6-M1153)/($W$6-$V$6)))+$U$7*MAX(0,MIN(1,($W$7-N1153)/($W$7-$V$7)))+$U$8*IF(AND(O1153&gt;=$V$8,O1153&lt;=$W$8),1,0))/$U$9*100,2)</f>
        <v>72.4</v>
      </c>
      <c r="C1153" s="27" t="s">
        <v>1706</v>
      </c>
      <c r="D1153" s="25" t="s">
        <v>134</v>
      </c>
      <c r="E1153" s="25" t="s">
        <v>3447</v>
      </c>
      <c r="F1153" s="25" t="s">
        <v>3448</v>
      </c>
      <c r="G1153" s="38" t="s">
        <v>30</v>
      </c>
      <c r="H1153" s="28" t="s">
        <v>25</v>
      </c>
      <c r="I1153" s="25" t="n">
        <v>2</v>
      </c>
      <c r="J1153" s="25" t="n">
        <v>1</v>
      </c>
      <c r="K1153" s="25" t="n">
        <v>2</v>
      </c>
      <c r="L1153" s="29" t="n">
        <v>0.75</v>
      </c>
      <c r="M1153" s="30" t="n">
        <v>7.42</v>
      </c>
      <c r="N1153" s="29" t="n">
        <v>0.52</v>
      </c>
      <c r="O1153" s="25" t="n">
        <v>185</v>
      </c>
      <c r="P1153" s="30" t="n">
        <v>16.71</v>
      </c>
      <c r="Q1153" s="27" t="s">
        <v>3566</v>
      </c>
      <c r="R1153" s="27" t="s">
        <v>283</v>
      </c>
    </row>
    <row r="1154" customFormat="false" ht="15" hidden="false" customHeight="false" outlineLevel="0" collapsed="false">
      <c r="A1154" s="25" t="n">
        <f aca="false">IF(G1154="REJECT",COUNTIF($G$2:$G$2277,"&lt;&gt;REJECT")+1+COUNTIFS($G$2:$G$2277,"REJECT",$B$2:$B$2277,"&gt;"&amp;B1154),1+COUNTIFS($G$2:$G$2277,"&lt;&gt;REJECT",$B$2:$B$2277,"&gt;"&amp;B1154))</f>
        <v>1153</v>
      </c>
      <c r="B1154" s="26" t="n">
        <f aca="false">ROUND(($U$2*MAX(0,MIN(1,($W$2-I1154)/($W$2-$V$2)))+$U$3*MAX(0,MIN(1,($W$3-J1154)/($W$3-$V$3)))+$U$4*MAX(0,MIN(1,($W$4-K1154)/($W$4-$V$4)))+$U$5*MAX(0,MIN(1,($W$5-L1154)/($W$5-$V$5)))+$U$6*MAX(0,MIN(1,($W$6-M1154)/($W$6-$V$6)))+$U$7*MAX(0,MIN(1,($W$7-N1154)/($W$7-$V$7)))+$U$8*IF(AND(O1154&gt;=$V$8,O1154&lt;=$W$8),1,0))/$U$9*100,2)</f>
        <v>72.35</v>
      </c>
      <c r="C1154" s="27" t="s">
        <v>2721</v>
      </c>
      <c r="D1154" s="25" t="s">
        <v>134</v>
      </c>
      <c r="E1154" s="25" t="s">
        <v>3450</v>
      </c>
      <c r="F1154" s="25" t="s">
        <v>3448</v>
      </c>
      <c r="G1154" s="38" t="s">
        <v>30</v>
      </c>
      <c r="H1154" s="28" t="s">
        <v>25</v>
      </c>
      <c r="I1154" s="25" t="n">
        <v>2</v>
      </c>
      <c r="J1154" s="25" t="n">
        <v>1</v>
      </c>
      <c r="K1154" s="25" t="n">
        <v>2</v>
      </c>
      <c r="L1154" s="29" t="n">
        <v>0.81</v>
      </c>
      <c r="M1154" s="30" t="n">
        <v>22.92</v>
      </c>
      <c r="N1154" s="29" t="n">
        <v>0.8</v>
      </c>
      <c r="O1154" s="25" t="n">
        <v>183</v>
      </c>
      <c r="P1154" s="30" t="n">
        <v>18.1</v>
      </c>
      <c r="Q1154" s="27" t="s">
        <v>3575</v>
      </c>
      <c r="R1154" s="27" t="s">
        <v>183</v>
      </c>
    </row>
    <row r="1155" customFormat="false" ht="15" hidden="false" customHeight="false" outlineLevel="0" collapsed="false">
      <c r="A1155" s="25" t="n">
        <f aca="false">IF(G1155="REJECT",COUNTIF($G$2:$G$2277,"&lt;&gt;REJECT")+1+COUNTIFS($G$2:$G$2277,"REJECT",$B$2:$B$2277,"&gt;"&amp;B1155),1+COUNTIFS($G$2:$G$2277,"&lt;&gt;REJECT",$B$2:$B$2277,"&gt;"&amp;B1155))</f>
        <v>1154</v>
      </c>
      <c r="B1155" s="26" t="n">
        <f aca="false">ROUND(($U$2*MAX(0,MIN(1,($W$2-I1155)/($W$2-$V$2)))+$U$3*MAX(0,MIN(1,($W$3-J1155)/($W$3-$V$3)))+$U$4*MAX(0,MIN(1,($W$4-K1155)/($W$4-$V$4)))+$U$5*MAX(0,MIN(1,($W$5-L1155)/($W$5-$V$5)))+$U$6*MAX(0,MIN(1,($W$6-M1155)/($W$6-$V$6)))+$U$7*MAX(0,MIN(1,($W$7-N1155)/($W$7-$V$7)))+$U$8*IF(AND(O1155&gt;=$V$8,O1155&lt;=$W$8),1,0))/$U$9*100,2)</f>
        <v>72.34</v>
      </c>
      <c r="C1155" s="27" t="s">
        <v>3081</v>
      </c>
      <c r="D1155" s="25" t="s">
        <v>134</v>
      </c>
      <c r="E1155" s="25" t="s">
        <v>3450</v>
      </c>
      <c r="F1155" s="25" t="s">
        <v>3457</v>
      </c>
      <c r="G1155" s="38" t="s">
        <v>30</v>
      </c>
      <c r="H1155" s="28" t="s">
        <v>25</v>
      </c>
      <c r="I1155" s="25" t="n">
        <v>2</v>
      </c>
      <c r="J1155" s="25" t="n">
        <v>1</v>
      </c>
      <c r="K1155" s="25" t="n">
        <v>2</v>
      </c>
      <c r="L1155" s="29" t="n">
        <v>0.78</v>
      </c>
      <c r="M1155" s="30" t="n">
        <v>14.98</v>
      </c>
      <c r="N1155" s="29" t="n">
        <v>0.88</v>
      </c>
      <c r="O1155" s="25" t="n">
        <v>184</v>
      </c>
      <c r="P1155" s="30" t="n">
        <v>1.6</v>
      </c>
      <c r="Q1155" s="27" t="s">
        <v>3605</v>
      </c>
      <c r="R1155" s="27" t="s">
        <v>357</v>
      </c>
    </row>
    <row r="1156" customFormat="false" ht="15" hidden="false" customHeight="false" outlineLevel="0" collapsed="false">
      <c r="A1156" s="25" t="n">
        <f aca="false">IF(G1156="REJECT",COUNTIF($G$2:$G$2277,"&lt;&gt;REJECT")+1+COUNTIFS($G$2:$G$2277,"REJECT",$B$2:$B$2277,"&gt;"&amp;B1156),1+COUNTIFS($G$2:$G$2277,"&lt;&gt;REJECT",$B$2:$B$2277,"&gt;"&amp;B1156))</f>
        <v>1155</v>
      </c>
      <c r="B1156" s="26" t="n">
        <f aca="false">ROUND(($U$2*MAX(0,MIN(1,($W$2-I1156)/($W$2-$V$2)))+$U$3*MAX(0,MIN(1,($W$3-J1156)/($W$3-$V$3)))+$U$4*MAX(0,MIN(1,($W$4-K1156)/($W$4-$V$4)))+$U$5*MAX(0,MIN(1,($W$5-L1156)/($W$5-$V$5)))+$U$6*MAX(0,MIN(1,($W$6-M1156)/($W$6-$V$6)))+$U$7*MAX(0,MIN(1,($W$7-N1156)/($W$7-$V$7)))+$U$8*IF(AND(O1156&gt;=$V$8,O1156&lt;=$W$8),1,0))/$U$9*100,2)</f>
        <v>72.27</v>
      </c>
      <c r="C1156" s="27" t="s">
        <v>1825</v>
      </c>
      <c r="D1156" s="25" t="s">
        <v>134</v>
      </c>
      <c r="E1156" s="25" t="s">
        <v>3450</v>
      </c>
      <c r="F1156" s="25" t="s">
        <v>3457</v>
      </c>
      <c r="G1156" s="38" t="s">
        <v>30</v>
      </c>
      <c r="H1156" s="28" t="s">
        <v>25</v>
      </c>
      <c r="I1156" s="25" t="n">
        <v>1</v>
      </c>
      <c r="J1156" s="25" t="n">
        <v>1</v>
      </c>
      <c r="K1156" s="25" t="n">
        <v>1</v>
      </c>
      <c r="L1156" s="29" t="n">
        <v>0.66</v>
      </c>
      <c r="M1156" s="30" t="n">
        <v>11.28</v>
      </c>
      <c r="N1156" s="29" t="n">
        <v>0.72</v>
      </c>
      <c r="O1156" s="25" t="n">
        <v>183</v>
      </c>
      <c r="P1156" s="30" t="n">
        <v>7.76</v>
      </c>
      <c r="Q1156" s="27" t="s">
        <v>69</v>
      </c>
      <c r="R1156" s="27" t="s">
        <v>283</v>
      </c>
    </row>
    <row r="1157" customFormat="false" ht="15" hidden="false" customHeight="false" outlineLevel="0" collapsed="false">
      <c r="A1157" s="25" t="n">
        <f aca="false">IF(G1157="REJECT",COUNTIF($G$2:$G$2277,"&lt;&gt;REJECT")+1+COUNTIFS($G$2:$G$2277,"REJECT",$B$2:$B$2277,"&gt;"&amp;B1157),1+COUNTIFS($G$2:$G$2277,"&lt;&gt;REJECT",$B$2:$B$2277,"&gt;"&amp;B1157))</f>
        <v>1156</v>
      </c>
      <c r="B1157" s="26" t="n">
        <f aca="false">ROUND(($U$2*MAX(0,MIN(1,($W$2-I1157)/($W$2-$V$2)))+$U$3*MAX(0,MIN(1,($W$3-J1157)/($W$3-$V$3)))+$U$4*MAX(0,MIN(1,($W$4-K1157)/($W$4-$V$4)))+$U$5*MAX(0,MIN(1,($W$5-L1157)/($W$5-$V$5)))+$U$6*MAX(0,MIN(1,($W$6-M1157)/($W$6-$V$6)))+$U$7*MAX(0,MIN(1,($W$7-N1157)/($W$7-$V$7)))+$U$8*IF(AND(O1157&gt;=$V$8,O1157&lt;=$W$8),1,0))/$U$9*100,2)</f>
        <v>72.21</v>
      </c>
      <c r="C1157" s="27" t="s">
        <v>1775</v>
      </c>
      <c r="D1157" s="25" t="s">
        <v>134</v>
      </c>
      <c r="E1157" s="25" t="s">
        <v>3447</v>
      </c>
      <c r="F1157" s="25" t="s">
        <v>3448</v>
      </c>
      <c r="G1157" s="38" t="s">
        <v>30</v>
      </c>
      <c r="H1157" s="28" t="s">
        <v>25</v>
      </c>
      <c r="I1157" s="25" t="n">
        <v>3</v>
      </c>
      <c r="J1157" s="25" t="n">
        <v>0</v>
      </c>
      <c r="K1157" s="25" t="n">
        <v>3</v>
      </c>
      <c r="L1157" s="29" t="n">
        <v>0.75</v>
      </c>
      <c r="M1157" s="30" t="n">
        <v>28.67</v>
      </c>
      <c r="N1157" s="29" t="n">
        <v>0.76</v>
      </c>
      <c r="O1157" s="25" t="n">
        <v>185</v>
      </c>
      <c r="P1157" s="30" t="n">
        <v>-1.46</v>
      </c>
      <c r="Q1157" s="27" t="s">
        <v>3570</v>
      </c>
      <c r="R1157" s="27" t="s">
        <v>992</v>
      </c>
    </row>
    <row r="1158" customFormat="false" ht="15" hidden="false" customHeight="false" outlineLevel="0" collapsed="false">
      <c r="A1158" s="25" t="n">
        <f aca="false">IF(G1158="REJECT",COUNTIF($G$2:$G$2277,"&lt;&gt;REJECT")+1+COUNTIFS($G$2:$G$2277,"REJECT",$B$2:$B$2277,"&gt;"&amp;B1158),1+COUNTIFS($G$2:$G$2277,"&lt;&gt;REJECT",$B$2:$B$2277,"&gt;"&amp;B1158))</f>
        <v>1157</v>
      </c>
      <c r="B1158" s="26" t="n">
        <f aca="false">ROUND(($U$2*MAX(0,MIN(1,($W$2-I1158)/($W$2-$V$2)))+$U$3*MAX(0,MIN(1,($W$3-J1158)/($W$3-$V$3)))+$U$4*MAX(0,MIN(1,($W$4-K1158)/($W$4-$V$4)))+$U$5*MAX(0,MIN(1,($W$5-L1158)/($W$5-$V$5)))+$U$6*MAX(0,MIN(1,($W$6-M1158)/($W$6-$V$6)))+$U$7*MAX(0,MIN(1,($W$7-N1158)/($W$7-$V$7)))+$U$8*IF(AND(O1158&gt;=$V$8,O1158&lt;=$W$8),1,0))/$U$9*100,2)</f>
        <v>72.2</v>
      </c>
      <c r="C1158" s="27" t="s">
        <v>1787</v>
      </c>
      <c r="D1158" s="25" t="s">
        <v>134</v>
      </c>
      <c r="E1158" s="25" t="s">
        <v>3447</v>
      </c>
      <c r="F1158" s="25" t="s">
        <v>3448</v>
      </c>
      <c r="G1158" s="38" t="s">
        <v>30</v>
      </c>
      <c r="H1158" s="33" t="s">
        <v>24</v>
      </c>
      <c r="I1158" s="25" t="n">
        <v>4</v>
      </c>
      <c r="J1158" s="25" t="n">
        <v>0</v>
      </c>
      <c r="K1158" s="25" t="n">
        <v>4</v>
      </c>
      <c r="L1158" s="29" t="n">
        <v>0.83</v>
      </c>
      <c r="M1158" s="30" t="n">
        <v>9.22</v>
      </c>
      <c r="N1158" s="29" t="n">
        <v>0.76</v>
      </c>
      <c r="O1158" s="25" t="n">
        <v>185</v>
      </c>
      <c r="P1158" s="30" t="n">
        <v>2.14</v>
      </c>
      <c r="Q1158" s="27" t="s">
        <v>3606</v>
      </c>
      <c r="R1158" s="27" t="s">
        <v>30</v>
      </c>
    </row>
    <row r="1159" customFormat="false" ht="15" hidden="false" customHeight="false" outlineLevel="0" collapsed="false">
      <c r="A1159" s="25" t="n">
        <f aca="false">IF(G1159="REJECT",COUNTIF($G$2:$G$2277,"&lt;&gt;REJECT")+1+COUNTIFS($G$2:$G$2277,"REJECT",$B$2:$B$2277,"&gt;"&amp;B1159),1+COUNTIFS($G$2:$G$2277,"&lt;&gt;REJECT",$B$2:$B$2277,"&gt;"&amp;B1159))</f>
        <v>1157</v>
      </c>
      <c r="B1159" s="26" t="n">
        <f aca="false">ROUND(($U$2*MAX(0,MIN(1,($W$2-I1159)/($W$2-$V$2)))+$U$3*MAX(0,MIN(1,($W$3-J1159)/($W$3-$V$3)))+$U$4*MAX(0,MIN(1,($W$4-K1159)/($W$4-$V$4)))+$U$5*MAX(0,MIN(1,($W$5-L1159)/($W$5-$V$5)))+$U$6*MAX(0,MIN(1,($W$6-M1159)/($W$6-$V$6)))+$U$7*MAX(0,MIN(1,($W$7-N1159)/($W$7-$V$7)))+$U$8*IF(AND(O1159&gt;=$V$8,O1159&lt;=$W$8),1,0))/$U$9*100,2)</f>
        <v>72.2</v>
      </c>
      <c r="C1159" s="27" t="s">
        <v>3051</v>
      </c>
      <c r="D1159" s="25" t="s">
        <v>134</v>
      </c>
      <c r="E1159" s="25" t="s">
        <v>3447</v>
      </c>
      <c r="F1159" s="25" t="s">
        <v>3457</v>
      </c>
      <c r="G1159" s="38" t="s">
        <v>30</v>
      </c>
      <c r="H1159" s="28" t="s">
        <v>25</v>
      </c>
      <c r="I1159" s="25" t="n">
        <v>4</v>
      </c>
      <c r="J1159" s="25" t="n">
        <v>0</v>
      </c>
      <c r="K1159" s="25" t="n">
        <v>4</v>
      </c>
      <c r="L1159" s="29" t="n">
        <v>0.83</v>
      </c>
      <c r="M1159" s="30" t="n">
        <v>12.41</v>
      </c>
      <c r="N1159" s="29" t="n">
        <v>0.44</v>
      </c>
      <c r="O1159" s="25" t="n">
        <v>186</v>
      </c>
      <c r="P1159" s="30" t="n">
        <v>-1.49</v>
      </c>
      <c r="Q1159" s="27" t="s">
        <v>3607</v>
      </c>
      <c r="R1159" s="27" t="s">
        <v>2133</v>
      </c>
    </row>
    <row r="1160" customFormat="false" ht="15" hidden="false" customHeight="false" outlineLevel="0" collapsed="false">
      <c r="A1160" s="25" t="n">
        <f aca="false">IF(G1160="REJECT",COUNTIF($G$2:$G$2277,"&lt;&gt;REJECT")+1+COUNTIFS($G$2:$G$2277,"REJECT",$B$2:$B$2277,"&gt;"&amp;B1160),1+COUNTIFS($G$2:$G$2277,"&lt;&gt;REJECT",$B$2:$B$2277,"&gt;"&amp;B1160))</f>
        <v>1159</v>
      </c>
      <c r="B1160" s="26" t="n">
        <f aca="false">ROUND(($U$2*MAX(0,MIN(1,($W$2-I1160)/($W$2-$V$2)))+$U$3*MAX(0,MIN(1,($W$3-J1160)/($W$3-$V$3)))+$U$4*MAX(0,MIN(1,($W$4-K1160)/($W$4-$V$4)))+$U$5*MAX(0,MIN(1,($W$5-L1160)/($W$5-$V$5)))+$U$6*MAX(0,MIN(1,($W$6-M1160)/($W$6-$V$6)))+$U$7*MAX(0,MIN(1,($W$7-N1160)/($W$7-$V$7)))+$U$8*IF(AND(O1160&gt;=$V$8,O1160&lt;=$W$8),1,0))/$U$9*100,2)</f>
        <v>72.19</v>
      </c>
      <c r="C1160" s="27" t="s">
        <v>744</v>
      </c>
      <c r="D1160" s="25" t="s">
        <v>134</v>
      </c>
      <c r="E1160" s="25" t="s">
        <v>3450</v>
      </c>
      <c r="F1160" s="25" t="s">
        <v>3448</v>
      </c>
      <c r="G1160" s="38" t="s">
        <v>30</v>
      </c>
      <c r="H1160" s="28" t="s">
        <v>25</v>
      </c>
      <c r="I1160" s="25" t="n">
        <v>2</v>
      </c>
      <c r="J1160" s="25" t="n">
        <v>1</v>
      </c>
      <c r="K1160" s="25" t="n">
        <v>2</v>
      </c>
      <c r="L1160" s="29" t="n">
        <v>0.74</v>
      </c>
      <c r="M1160" s="30" t="n">
        <v>0.64</v>
      </c>
      <c r="N1160" s="29" t="n">
        <v>0.96</v>
      </c>
      <c r="O1160" s="25" t="n">
        <v>208</v>
      </c>
      <c r="P1160" s="30" t="n">
        <v>4.73</v>
      </c>
      <c r="Q1160" s="27" t="s">
        <v>3575</v>
      </c>
      <c r="R1160" s="27" t="s">
        <v>283</v>
      </c>
    </row>
    <row r="1161" customFormat="false" ht="15" hidden="false" customHeight="false" outlineLevel="0" collapsed="false">
      <c r="A1161" s="25" t="n">
        <f aca="false">IF(G1161="REJECT",COUNTIF($G$2:$G$2277,"&lt;&gt;REJECT")+1+COUNTIFS($G$2:$G$2277,"REJECT",$B$2:$B$2277,"&gt;"&amp;B1161),1+COUNTIFS($G$2:$G$2277,"&lt;&gt;REJECT",$B$2:$B$2277,"&gt;"&amp;B1161))</f>
        <v>1160</v>
      </c>
      <c r="B1161" s="26" t="n">
        <f aca="false">ROUND(($U$2*MAX(0,MIN(1,($W$2-I1161)/($W$2-$V$2)))+$U$3*MAX(0,MIN(1,($W$3-J1161)/($W$3-$V$3)))+$U$4*MAX(0,MIN(1,($W$4-K1161)/($W$4-$V$4)))+$U$5*MAX(0,MIN(1,($W$5-L1161)/($W$5-$V$5)))+$U$6*MAX(0,MIN(1,($W$6-M1161)/($W$6-$V$6)))+$U$7*MAX(0,MIN(1,($W$7-N1161)/($W$7-$V$7)))+$U$8*IF(AND(O1161&gt;=$V$8,O1161&lt;=$W$8),1,0))/$U$9*100,2)</f>
        <v>72.15</v>
      </c>
      <c r="C1161" s="27" t="s">
        <v>3285</v>
      </c>
      <c r="D1161" s="25" t="s">
        <v>134</v>
      </c>
      <c r="E1161" s="25" t="s">
        <v>3447</v>
      </c>
      <c r="F1161" s="25" t="s">
        <v>3457</v>
      </c>
      <c r="G1161" s="38" t="s">
        <v>30</v>
      </c>
      <c r="H1161" s="28" t="s">
        <v>25</v>
      </c>
      <c r="I1161" s="25" t="n">
        <v>4</v>
      </c>
      <c r="J1161" s="25" t="n">
        <v>0</v>
      </c>
      <c r="K1161" s="25" t="n">
        <v>4</v>
      </c>
      <c r="L1161" s="29" t="n">
        <v>0.79</v>
      </c>
      <c r="M1161" s="30" t="n">
        <v>3.91</v>
      </c>
      <c r="N1161" s="29" t="n">
        <v>0.96</v>
      </c>
      <c r="O1161" s="25" t="n">
        <v>184</v>
      </c>
      <c r="P1161" s="30" t="n">
        <v>-1.3</v>
      </c>
      <c r="Q1161" s="27" t="s">
        <v>3608</v>
      </c>
      <c r="R1161" s="27" t="s">
        <v>2610</v>
      </c>
    </row>
    <row r="1162" customFormat="false" ht="15" hidden="false" customHeight="false" outlineLevel="0" collapsed="false">
      <c r="A1162" s="25" t="n">
        <f aca="false">IF(G1162="REJECT",COUNTIF($G$2:$G$2277,"&lt;&gt;REJECT")+1+COUNTIFS($G$2:$G$2277,"REJECT",$B$2:$B$2277,"&gt;"&amp;B1162),1+COUNTIFS($G$2:$G$2277,"&lt;&gt;REJECT",$B$2:$B$2277,"&gt;"&amp;B1162))</f>
        <v>1161</v>
      </c>
      <c r="B1162" s="26" t="n">
        <f aca="false">ROUND(($U$2*MAX(0,MIN(1,($W$2-I1162)/($W$2-$V$2)))+$U$3*MAX(0,MIN(1,($W$3-J1162)/($W$3-$V$3)))+$U$4*MAX(0,MIN(1,($W$4-K1162)/($W$4-$V$4)))+$U$5*MAX(0,MIN(1,($W$5-L1162)/($W$5-$V$5)))+$U$6*MAX(0,MIN(1,($W$6-M1162)/($W$6-$V$6)))+$U$7*MAX(0,MIN(1,($W$7-N1162)/($W$7-$V$7)))+$U$8*IF(AND(O1162&gt;=$V$8,O1162&lt;=$W$8),1,0))/$U$9*100,2)</f>
        <v>72.1</v>
      </c>
      <c r="C1162" s="27" t="s">
        <v>3216</v>
      </c>
      <c r="D1162" s="25" t="s">
        <v>134</v>
      </c>
      <c r="E1162" s="25" t="s">
        <v>3447</v>
      </c>
      <c r="F1162" s="25" t="s">
        <v>3457</v>
      </c>
      <c r="G1162" s="38" t="s">
        <v>30</v>
      </c>
      <c r="H1162" s="28" t="s">
        <v>25</v>
      </c>
      <c r="I1162" s="25" t="n">
        <v>2</v>
      </c>
      <c r="J1162" s="25" t="n">
        <v>1</v>
      </c>
      <c r="K1162" s="25" t="n">
        <v>1</v>
      </c>
      <c r="L1162" s="29" t="n">
        <v>0.74</v>
      </c>
      <c r="M1162" s="30" t="n">
        <v>14.84</v>
      </c>
      <c r="N1162" s="29" t="n">
        <v>0.72</v>
      </c>
      <c r="O1162" s="25" t="n">
        <v>207</v>
      </c>
      <c r="P1162" s="30" t="n">
        <v>-1.39</v>
      </c>
      <c r="Q1162" s="27" t="s">
        <v>3601</v>
      </c>
      <c r="R1162" s="27" t="s">
        <v>283</v>
      </c>
    </row>
    <row r="1163" customFormat="false" ht="15" hidden="false" customHeight="false" outlineLevel="0" collapsed="false">
      <c r="A1163" s="25" t="n">
        <f aca="false">IF(G1163="REJECT",COUNTIF($G$2:$G$2277,"&lt;&gt;REJECT")+1+COUNTIFS($G$2:$G$2277,"REJECT",$B$2:$B$2277,"&gt;"&amp;B1163),1+COUNTIFS($G$2:$G$2277,"&lt;&gt;REJECT",$B$2:$B$2277,"&gt;"&amp;B1163))</f>
        <v>1162</v>
      </c>
      <c r="B1163" s="26" t="n">
        <f aca="false">ROUND(($U$2*MAX(0,MIN(1,($W$2-I1163)/($W$2-$V$2)))+$U$3*MAX(0,MIN(1,($W$3-J1163)/($W$3-$V$3)))+$U$4*MAX(0,MIN(1,($W$4-K1163)/($W$4-$V$4)))+$U$5*MAX(0,MIN(1,($W$5-L1163)/($W$5-$V$5)))+$U$6*MAX(0,MIN(1,($W$6-M1163)/($W$6-$V$6)))+$U$7*MAX(0,MIN(1,($W$7-N1163)/($W$7-$V$7)))+$U$8*IF(AND(O1163&gt;=$V$8,O1163&lt;=$W$8),1,0))/$U$9*100,2)</f>
        <v>72.09</v>
      </c>
      <c r="C1163" s="27" t="s">
        <v>1685</v>
      </c>
      <c r="D1163" s="25" t="s">
        <v>3459</v>
      </c>
      <c r="E1163" s="25" t="s">
        <v>3450</v>
      </c>
      <c r="F1163" s="25" t="s">
        <v>3448</v>
      </c>
      <c r="G1163" s="38" t="s">
        <v>30</v>
      </c>
      <c r="H1163" s="28" t="s">
        <v>25</v>
      </c>
      <c r="I1163" s="25" t="n">
        <v>2</v>
      </c>
      <c r="J1163" s="25" t="n">
        <v>1</v>
      </c>
      <c r="K1163" s="25" t="n">
        <v>2</v>
      </c>
      <c r="L1163" s="29" t="n">
        <v>0.79</v>
      </c>
      <c r="M1163" s="30" t="n">
        <v>19.65</v>
      </c>
      <c r="N1163" s="29" t="n">
        <v>0.92</v>
      </c>
      <c r="O1163" s="25" t="n">
        <v>185</v>
      </c>
      <c r="P1163" s="30" t="n">
        <v>15.12</v>
      </c>
      <c r="Q1163" s="27" t="s">
        <v>3575</v>
      </c>
      <c r="R1163" s="27" t="s">
        <v>283</v>
      </c>
    </row>
    <row r="1164" customFormat="false" ht="15" hidden="false" customHeight="false" outlineLevel="0" collapsed="false">
      <c r="A1164" s="25" t="n">
        <f aca="false">IF(G1164="REJECT",COUNTIF($G$2:$G$2277,"&lt;&gt;REJECT")+1+COUNTIFS($G$2:$G$2277,"REJECT",$B$2:$B$2277,"&gt;"&amp;B1164),1+COUNTIFS($G$2:$G$2277,"&lt;&gt;REJECT",$B$2:$B$2277,"&gt;"&amp;B1164))</f>
        <v>1163</v>
      </c>
      <c r="B1164" s="26" t="n">
        <f aca="false">ROUND(($U$2*MAX(0,MIN(1,($W$2-I1164)/($W$2-$V$2)))+$U$3*MAX(0,MIN(1,($W$3-J1164)/($W$3-$V$3)))+$U$4*MAX(0,MIN(1,($W$4-K1164)/($W$4-$V$4)))+$U$5*MAX(0,MIN(1,($W$5-L1164)/($W$5-$V$5)))+$U$6*MAX(0,MIN(1,($W$6-M1164)/($W$6-$V$6)))+$U$7*MAX(0,MIN(1,($W$7-N1164)/($W$7-$V$7)))+$U$8*IF(AND(O1164&gt;=$V$8,O1164&lt;=$W$8),1,0))/$U$9*100,2)</f>
        <v>72.07</v>
      </c>
      <c r="C1164" s="27" t="s">
        <v>248</v>
      </c>
      <c r="D1164" s="25" t="s">
        <v>134</v>
      </c>
      <c r="E1164" s="25" t="s">
        <v>3447</v>
      </c>
      <c r="F1164" s="25" t="s">
        <v>3457</v>
      </c>
      <c r="G1164" s="38" t="s">
        <v>30</v>
      </c>
      <c r="H1164" s="33" t="s">
        <v>24</v>
      </c>
      <c r="I1164" s="25" t="n">
        <v>4</v>
      </c>
      <c r="J1164" s="25" t="n">
        <v>0</v>
      </c>
      <c r="K1164" s="25" t="n">
        <v>4</v>
      </c>
      <c r="L1164" s="29" t="n">
        <v>0.84</v>
      </c>
      <c r="M1164" s="30" t="n">
        <v>9.97</v>
      </c>
      <c r="N1164" s="29" t="n">
        <v>0.76</v>
      </c>
      <c r="O1164" s="25" t="n">
        <v>184</v>
      </c>
      <c r="P1164" s="30" t="n">
        <v>3.02</v>
      </c>
      <c r="Q1164" s="27" t="s">
        <v>3609</v>
      </c>
      <c r="R1164" s="27" t="s">
        <v>30</v>
      </c>
    </row>
    <row r="1165" customFormat="false" ht="15" hidden="false" customHeight="false" outlineLevel="0" collapsed="false">
      <c r="A1165" s="25" t="n">
        <f aca="false">IF(G1165="REJECT",COUNTIF($G$2:$G$2277,"&lt;&gt;REJECT")+1+COUNTIFS($G$2:$G$2277,"REJECT",$B$2:$B$2277,"&gt;"&amp;B1165),1+COUNTIFS($G$2:$G$2277,"&lt;&gt;REJECT",$B$2:$B$2277,"&gt;"&amp;B1165))</f>
        <v>1164</v>
      </c>
      <c r="B1165" s="26" t="n">
        <f aca="false">ROUND(($U$2*MAX(0,MIN(1,($W$2-I1165)/($W$2-$V$2)))+$U$3*MAX(0,MIN(1,($W$3-J1165)/($W$3-$V$3)))+$U$4*MAX(0,MIN(1,($W$4-K1165)/($W$4-$V$4)))+$U$5*MAX(0,MIN(1,($W$5-L1165)/($W$5-$V$5)))+$U$6*MAX(0,MIN(1,($W$6-M1165)/($W$6-$V$6)))+$U$7*MAX(0,MIN(1,($W$7-N1165)/($W$7-$V$7)))+$U$8*IF(AND(O1165&gt;=$V$8,O1165&lt;=$W$8),1,0))/$U$9*100,2)</f>
        <v>72.03</v>
      </c>
      <c r="C1165" s="27" t="s">
        <v>367</v>
      </c>
      <c r="D1165" s="25" t="s">
        <v>134</v>
      </c>
      <c r="E1165" s="25" t="s">
        <v>3450</v>
      </c>
      <c r="F1165" s="25" t="s">
        <v>3448</v>
      </c>
      <c r="G1165" s="38" t="s">
        <v>30</v>
      </c>
      <c r="H1165" s="28" t="s">
        <v>25</v>
      </c>
      <c r="I1165" s="25" t="n">
        <v>2</v>
      </c>
      <c r="J1165" s="25" t="n">
        <v>1</v>
      </c>
      <c r="K1165" s="25" t="n">
        <v>2</v>
      </c>
      <c r="L1165" s="29" t="n">
        <v>0.76</v>
      </c>
      <c r="M1165" s="30" t="n">
        <v>9.25</v>
      </c>
      <c r="N1165" s="29" t="n">
        <v>0.92</v>
      </c>
      <c r="O1165" s="25" t="n">
        <v>184</v>
      </c>
      <c r="P1165" s="30" t="n">
        <v>-1.12</v>
      </c>
      <c r="Q1165" s="27" t="s">
        <v>3575</v>
      </c>
      <c r="R1165" s="27" t="s">
        <v>1230</v>
      </c>
    </row>
    <row r="1166" customFormat="false" ht="15" hidden="false" customHeight="false" outlineLevel="0" collapsed="false">
      <c r="A1166" s="25" t="n">
        <f aca="false">IF(G1166="REJECT",COUNTIF($G$2:$G$2277,"&lt;&gt;REJECT")+1+COUNTIFS($G$2:$G$2277,"REJECT",$B$2:$B$2277,"&gt;"&amp;B1166),1+COUNTIFS($G$2:$G$2277,"&lt;&gt;REJECT",$B$2:$B$2277,"&gt;"&amp;B1166))</f>
        <v>1165</v>
      </c>
      <c r="B1166" s="26" t="n">
        <f aca="false">ROUND(($U$2*MAX(0,MIN(1,($W$2-I1166)/($W$2-$V$2)))+$U$3*MAX(0,MIN(1,($W$3-J1166)/($W$3-$V$3)))+$U$4*MAX(0,MIN(1,($W$4-K1166)/($W$4-$V$4)))+$U$5*MAX(0,MIN(1,($W$5-L1166)/($W$5-$V$5)))+$U$6*MAX(0,MIN(1,($W$6-M1166)/($W$6-$V$6)))+$U$7*MAX(0,MIN(1,($W$7-N1166)/($W$7-$V$7)))+$U$8*IF(AND(O1166&gt;=$V$8,O1166&lt;=$W$8),1,0))/$U$9*100,2)</f>
        <v>72.02</v>
      </c>
      <c r="C1166" s="27" t="s">
        <v>1137</v>
      </c>
      <c r="D1166" s="25" t="s">
        <v>134</v>
      </c>
      <c r="E1166" s="25" t="s">
        <v>3450</v>
      </c>
      <c r="F1166" s="25" t="s">
        <v>3457</v>
      </c>
      <c r="G1166" s="38" t="s">
        <v>30</v>
      </c>
      <c r="H1166" s="28" t="s">
        <v>25</v>
      </c>
      <c r="I1166" s="25" t="n">
        <v>1</v>
      </c>
      <c r="J1166" s="25" t="n">
        <v>1</v>
      </c>
      <c r="K1166" s="25" t="n">
        <v>1</v>
      </c>
      <c r="L1166" s="29" t="n">
        <v>0.7</v>
      </c>
      <c r="M1166" s="30" t="n">
        <v>30.71</v>
      </c>
      <c r="N1166" s="29" t="n">
        <v>0.44</v>
      </c>
      <c r="O1166" s="25" t="n">
        <v>183</v>
      </c>
      <c r="P1166" s="30" t="n">
        <v>5.44</v>
      </c>
      <c r="Q1166" s="27" t="s">
        <v>69</v>
      </c>
      <c r="R1166" s="27" t="s">
        <v>1140</v>
      </c>
    </row>
    <row r="1167" customFormat="false" ht="15" hidden="false" customHeight="false" outlineLevel="0" collapsed="false">
      <c r="A1167" s="25" t="n">
        <f aca="false">IF(G1167="REJECT",COUNTIF($G$2:$G$2277,"&lt;&gt;REJECT")+1+COUNTIFS($G$2:$G$2277,"REJECT",$B$2:$B$2277,"&gt;"&amp;B1167),1+COUNTIFS($G$2:$G$2277,"&lt;&gt;REJECT",$B$2:$B$2277,"&gt;"&amp;B1167))</f>
        <v>1165</v>
      </c>
      <c r="B1167" s="26" t="n">
        <f aca="false">ROUND(($U$2*MAX(0,MIN(1,($W$2-I1167)/($W$2-$V$2)))+$U$3*MAX(0,MIN(1,($W$3-J1167)/($W$3-$V$3)))+$U$4*MAX(0,MIN(1,($W$4-K1167)/($W$4-$V$4)))+$U$5*MAX(0,MIN(1,($W$5-L1167)/($W$5-$V$5)))+$U$6*MAX(0,MIN(1,($W$6-M1167)/($W$6-$V$6)))+$U$7*MAX(0,MIN(1,($W$7-N1167)/($W$7-$V$7)))+$U$8*IF(AND(O1167&gt;=$V$8,O1167&lt;=$W$8),1,0))/$U$9*100,2)</f>
        <v>72.02</v>
      </c>
      <c r="C1167" s="27" t="s">
        <v>2302</v>
      </c>
      <c r="D1167" s="25" t="s">
        <v>3459</v>
      </c>
      <c r="E1167" s="25" t="s">
        <v>3450</v>
      </c>
      <c r="F1167" s="25" t="s">
        <v>3457</v>
      </c>
      <c r="G1167" s="38" t="s">
        <v>30</v>
      </c>
      <c r="H1167" s="28" t="s">
        <v>25</v>
      </c>
      <c r="I1167" s="25" t="n">
        <v>2</v>
      </c>
      <c r="J1167" s="25" t="n">
        <v>1</v>
      </c>
      <c r="K1167" s="25" t="n">
        <v>2</v>
      </c>
      <c r="L1167" s="29" t="n">
        <v>0.78</v>
      </c>
      <c r="M1167" s="30" t="n">
        <v>17.29</v>
      </c>
      <c r="N1167" s="29" t="n">
        <v>0.84</v>
      </c>
      <c r="O1167" s="25" t="n">
        <v>184</v>
      </c>
      <c r="P1167" s="30" t="n">
        <v>5.08</v>
      </c>
      <c r="Q1167" s="27" t="s">
        <v>3610</v>
      </c>
      <c r="R1167" s="27" t="s">
        <v>1099</v>
      </c>
    </row>
    <row r="1168" customFormat="false" ht="15" hidden="false" customHeight="false" outlineLevel="0" collapsed="false">
      <c r="A1168" s="25" t="n">
        <f aca="false">IF(G1168="REJECT",COUNTIF($G$2:$G$2277,"&lt;&gt;REJECT")+1+COUNTIFS($G$2:$G$2277,"REJECT",$B$2:$B$2277,"&gt;"&amp;B1168),1+COUNTIFS($G$2:$G$2277,"&lt;&gt;REJECT",$B$2:$B$2277,"&gt;"&amp;B1168))</f>
        <v>1165</v>
      </c>
      <c r="B1168" s="26" t="n">
        <f aca="false">ROUND(($U$2*MAX(0,MIN(1,($W$2-I1168)/($W$2-$V$2)))+$U$3*MAX(0,MIN(1,($W$3-J1168)/($W$3-$V$3)))+$U$4*MAX(0,MIN(1,($W$4-K1168)/($W$4-$V$4)))+$U$5*MAX(0,MIN(1,($W$5-L1168)/($W$5-$V$5)))+$U$6*MAX(0,MIN(1,($W$6-M1168)/($W$6-$V$6)))+$U$7*MAX(0,MIN(1,($W$7-N1168)/($W$7-$V$7)))+$U$8*IF(AND(O1168&gt;=$V$8,O1168&lt;=$W$8),1,0))/$U$9*100,2)</f>
        <v>72.02</v>
      </c>
      <c r="C1168" s="27" t="s">
        <v>3040</v>
      </c>
      <c r="D1168" s="25" t="s">
        <v>134</v>
      </c>
      <c r="E1168" s="25" t="s">
        <v>3447</v>
      </c>
      <c r="F1168" s="25" t="s">
        <v>3448</v>
      </c>
      <c r="G1168" s="38" t="s">
        <v>30</v>
      </c>
      <c r="H1168" s="28" t="s">
        <v>25</v>
      </c>
      <c r="I1168" s="25" t="n">
        <v>3</v>
      </c>
      <c r="J1168" s="25" t="n">
        <v>0</v>
      </c>
      <c r="K1168" s="25" t="n">
        <v>3</v>
      </c>
      <c r="L1168" s="29" t="n">
        <v>0.72</v>
      </c>
      <c r="M1168" s="30" t="n">
        <v>24.21</v>
      </c>
      <c r="N1168" s="29" t="n">
        <v>0.24</v>
      </c>
      <c r="O1168" s="25" t="n">
        <v>182</v>
      </c>
      <c r="P1168" s="30" t="n">
        <v>0.73</v>
      </c>
      <c r="Q1168" s="27" t="s">
        <v>3611</v>
      </c>
      <c r="R1168" s="27" t="s">
        <v>992</v>
      </c>
    </row>
    <row r="1169" customFormat="false" ht="15" hidden="false" customHeight="false" outlineLevel="0" collapsed="false">
      <c r="A1169" s="25" t="n">
        <f aca="false">IF(G1169="REJECT",COUNTIF($G$2:$G$2277,"&lt;&gt;REJECT")+1+COUNTIFS($G$2:$G$2277,"REJECT",$B$2:$B$2277,"&gt;"&amp;B1169),1+COUNTIFS($G$2:$G$2277,"&lt;&gt;REJECT",$B$2:$B$2277,"&gt;"&amp;B1169))</f>
        <v>1168</v>
      </c>
      <c r="B1169" s="26" t="n">
        <f aca="false">ROUND(($U$2*MAX(0,MIN(1,($W$2-I1169)/($W$2-$V$2)))+$U$3*MAX(0,MIN(1,($W$3-J1169)/($W$3-$V$3)))+$U$4*MAX(0,MIN(1,($W$4-K1169)/($W$4-$V$4)))+$U$5*MAX(0,MIN(1,($W$5-L1169)/($W$5-$V$5)))+$U$6*MAX(0,MIN(1,($W$6-M1169)/($W$6-$V$6)))+$U$7*MAX(0,MIN(1,($W$7-N1169)/($W$7-$V$7)))+$U$8*IF(AND(O1169&gt;=$V$8,O1169&lt;=$W$8),1,0))/$U$9*100,2)</f>
        <v>71.99</v>
      </c>
      <c r="C1169" s="27" t="s">
        <v>830</v>
      </c>
      <c r="D1169" s="25" t="s">
        <v>3459</v>
      </c>
      <c r="E1169" s="25" t="s">
        <v>3450</v>
      </c>
      <c r="F1169" s="25" t="s">
        <v>3448</v>
      </c>
      <c r="G1169" s="38" t="s">
        <v>30</v>
      </c>
      <c r="H1169" s="28" t="s">
        <v>25</v>
      </c>
      <c r="I1169" s="25" t="n">
        <v>1</v>
      </c>
      <c r="J1169" s="25" t="n">
        <v>1</v>
      </c>
      <c r="K1169" s="25" t="n">
        <v>1</v>
      </c>
      <c r="L1169" s="29" t="n">
        <v>0.67</v>
      </c>
      <c r="M1169" s="30" t="n">
        <v>17.74</v>
      </c>
      <c r="N1169" s="29" t="n">
        <v>0.6</v>
      </c>
      <c r="O1169" s="25" t="n">
        <v>183</v>
      </c>
      <c r="P1169" s="30" t="n">
        <v>9.11</v>
      </c>
      <c r="Q1169" s="27" t="s">
        <v>69</v>
      </c>
      <c r="R1169" s="27" t="s">
        <v>283</v>
      </c>
    </row>
    <row r="1170" customFormat="false" ht="15" hidden="false" customHeight="false" outlineLevel="0" collapsed="false">
      <c r="A1170" s="25" t="n">
        <f aca="false">IF(G1170="REJECT",COUNTIF($G$2:$G$2277,"&lt;&gt;REJECT")+1+COUNTIFS($G$2:$G$2277,"REJECT",$B$2:$B$2277,"&gt;"&amp;B1170),1+COUNTIFS($G$2:$G$2277,"&lt;&gt;REJECT",$B$2:$B$2277,"&gt;"&amp;B1170))</f>
        <v>1169</v>
      </c>
      <c r="B1170" s="26" t="n">
        <f aca="false">ROUND(($U$2*MAX(0,MIN(1,($W$2-I1170)/($W$2-$V$2)))+$U$3*MAX(0,MIN(1,($W$3-J1170)/($W$3-$V$3)))+$U$4*MAX(0,MIN(1,($W$4-K1170)/($W$4-$V$4)))+$U$5*MAX(0,MIN(1,($W$5-L1170)/($W$5-$V$5)))+$U$6*MAX(0,MIN(1,($W$6-M1170)/($W$6-$V$6)))+$U$7*MAX(0,MIN(1,($W$7-N1170)/($W$7-$V$7)))+$U$8*IF(AND(O1170&gt;=$V$8,O1170&lt;=$W$8),1,0))/$U$9*100,2)</f>
        <v>71.98</v>
      </c>
      <c r="C1170" s="27" t="s">
        <v>336</v>
      </c>
      <c r="D1170" s="25" t="s">
        <v>134</v>
      </c>
      <c r="E1170" s="25" t="s">
        <v>3447</v>
      </c>
      <c r="F1170" s="25" t="s">
        <v>3448</v>
      </c>
      <c r="G1170" s="38" t="s">
        <v>30</v>
      </c>
      <c r="H1170" s="33" t="s">
        <v>24</v>
      </c>
      <c r="I1170" s="25" t="n">
        <v>4</v>
      </c>
      <c r="J1170" s="25" t="n">
        <v>0</v>
      </c>
      <c r="K1170" s="25" t="n">
        <v>4</v>
      </c>
      <c r="L1170" s="29" t="n">
        <v>0.79</v>
      </c>
      <c r="M1170" s="30" t="n">
        <v>6.5</v>
      </c>
      <c r="N1170" s="29" t="n">
        <v>0.8</v>
      </c>
      <c r="O1170" s="25" t="n">
        <v>188</v>
      </c>
      <c r="P1170" s="30" t="n">
        <v>-0.61</v>
      </c>
      <c r="Q1170" s="27" t="s">
        <v>3612</v>
      </c>
      <c r="R1170" s="27" t="s">
        <v>30</v>
      </c>
    </row>
    <row r="1171" customFormat="false" ht="15" hidden="false" customHeight="false" outlineLevel="0" collapsed="false">
      <c r="A1171" s="25" t="n">
        <f aca="false">IF(G1171="REJECT",COUNTIF($G$2:$G$2277,"&lt;&gt;REJECT")+1+COUNTIFS($G$2:$G$2277,"REJECT",$B$2:$B$2277,"&gt;"&amp;B1171),1+COUNTIFS($G$2:$G$2277,"&lt;&gt;REJECT",$B$2:$B$2277,"&gt;"&amp;B1171))</f>
        <v>1170</v>
      </c>
      <c r="B1171" s="26" t="n">
        <f aca="false">ROUND(($U$2*MAX(0,MIN(1,($W$2-I1171)/($W$2-$V$2)))+$U$3*MAX(0,MIN(1,($W$3-J1171)/($W$3-$V$3)))+$U$4*MAX(0,MIN(1,($W$4-K1171)/($W$4-$V$4)))+$U$5*MAX(0,MIN(1,($W$5-L1171)/($W$5-$V$5)))+$U$6*MAX(0,MIN(1,($W$6-M1171)/($W$6-$V$6)))+$U$7*MAX(0,MIN(1,($W$7-N1171)/($W$7-$V$7)))+$U$8*IF(AND(O1171&gt;=$V$8,O1171&lt;=$W$8),1,0))/$U$9*100,2)</f>
        <v>71.97</v>
      </c>
      <c r="C1171" s="27" t="s">
        <v>1458</v>
      </c>
      <c r="D1171" s="25" t="s">
        <v>3459</v>
      </c>
      <c r="E1171" s="25" t="s">
        <v>3447</v>
      </c>
      <c r="F1171" s="25" t="s">
        <v>3457</v>
      </c>
      <c r="G1171" s="38" t="s">
        <v>30</v>
      </c>
      <c r="H1171" s="28" t="s">
        <v>25</v>
      </c>
      <c r="I1171" s="25" t="n">
        <v>2</v>
      </c>
      <c r="J1171" s="25" t="n">
        <v>1</v>
      </c>
      <c r="K1171" s="25" t="n">
        <v>2</v>
      </c>
      <c r="L1171" s="29" t="n">
        <v>0.76</v>
      </c>
      <c r="M1171" s="30" t="n">
        <v>17.59</v>
      </c>
      <c r="N1171" s="29" t="n">
        <v>0.12</v>
      </c>
      <c r="O1171" s="25" t="n">
        <v>186</v>
      </c>
      <c r="P1171" s="30" t="n">
        <v>1.36</v>
      </c>
      <c r="Q1171" s="27" t="s">
        <v>3566</v>
      </c>
      <c r="R1171" s="27" t="s">
        <v>283</v>
      </c>
    </row>
    <row r="1172" customFormat="false" ht="15" hidden="false" customHeight="false" outlineLevel="0" collapsed="false">
      <c r="A1172" s="25" t="n">
        <f aca="false">IF(G1172="REJECT",COUNTIF($G$2:$G$2277,"&lt;&gt;REJECT")+1+COUNTIFS($G$2:$G$2277,"REJECT",$B$2:$B$2277,"&gt;"&amp;B1172),1+COUNTIFS($G$2:$G$2277,"&lt;&gt;REJECT",$B$2:$B$2277,"&gt;"&amp;B1172))</f>
        <v>1171</v>
      </c>
      <c r="B1172" s="26" t="n">
        <f aca="false">ROUND(($U$2*MAX(0,MIN(1,($W$2-I1172)/($W$2-$V$2)))+$U$3*MAX(0,MIN(1,($W$3-J1172)/($W$3-$V$3)))+$U$4*MAX(0,MIN(1,($W$4-K1172)/($W$4-$V$4)))+$U$5*MAX(0,MIN(1,($W$5-L1172)/($W$5-$V$5)))+$U$6*MAX(0,MIN(1,($W$6-M1172)/($W$6-$V$6)))+$U$7*MAX(0,MIN(1,($W$7-N1172)/($W$7-$V$7)))+$U$8*IF(AND(O1172&gt;=$V$8,O1172&lt;=$W$8),1,0))/$U$9*100,2)</f>
        <v>71.93</v>
      </c>
      <c r="C1172" s="27" t="s">
        <v>248</v>
      </c>
      <c r="D1172" s="25" t="s">
        <v>134</v>
      </c>
      <c r="E1172" s="25" t="s">
        <v>3447</v>
      </c>
      <c r="F1172" s="25" t="s">
        <v>3448</v>
      </c>
      <c r="G1172" s="38" t="s">
        <v>30</v>
      </c>
      <c r="H1172" s="28" t="s">
        <v>25</v>
      </c>
      <c r="I1172" s="25" t="n">
        <v>4</v>
      </c>
      <c r="J1172" s="25" t="n">
        <v>0</v>
      </c>
      <c r="K1172" s="25" t="n">
        <v>4</v>
      </c>
      <c r="L1172" s="29" t="n">
        <v>0.81</v>
      </c>
      <c r="M1172" s="30" t="n">
        <v>18.41</v>
      </c>
      <c r="N1172" s="29" t="n">
        <v>0</v>
      </c>
      <c r="O1172" s="25" t="n">
        <v>185</v>
      </c>
      <c r="P1172" s="30" t="n">
        <v>9.34</v>
      </c>
      <c r="Q1172" s="27" t="s">
        <v>3613</v>
      </c>
      <c r="R1172" s="27" t="s">
        <v>2133</v>
      </c>
    </row>
    <row r="1173" customFormat="false" ht="15" hidden="false" customHeight="false" outlineLevel="0" collapsed="false">
      <c r="A1173" s="25" t="n">
        <f aca="false">IF(G1173="REJECT",COUNTIF($G$2:$G$2277,"&lt;&gt;REJECT")+1+COUNTIFS($G$2:$G$2277,"REJECT",$B$2:$B$2277,"&gt;"&amp;B1173),1+COUNTIFS($G$2:$G$2277,"&lt;&gt;REJECT",$B$2:$B$2277,"&gt;"&amp;B1173))</f>
        <v>1171</v>
      </c>
      <c r="B1173" s="26" t="n">
        <f aca="false">ROUND(($U$2*MAX(0,MIN(1,($W$2-I1173)/($W$2-$V$2)))+$U$3*MAX(0,MIN(1,($W$3-J1173)/($W$3-$V$3)))+$U$4*MAX(0,MIN(1,($W$4-K1173)/($W$4-$V$4)))+$U$5*MAX(0,MIN(1,($W$5-L1173)/($W$5-$V$5)))+$U$6*MAX(0,MIN(1,($W$6-M1173)/($W$6-$V$6)))+$U$7*MAX(0,MIN(1,($W$7-N1173)/($W$7-$V$7)))+$U$8*IF(AND(O1173&gt;=$V$8,O1173&lt;=$W$8),1,0))/$U$9*100,2)</f>
        <v>71.93</v>
      </c>
      <c r="C1173" s="27" t="s">
        <v>768</v>
      </c>
      <c r="D1173" s="25" t="s">
        <v>134</v>
      </c>
      <c r="E1173" s="25" t="s">
        <v>3447</v>
      </c>
      <c r="F1173" s="25" t="s">
        <v>3457</v>
      </c>
      <c r="G1173" s="38" t="s">
        <v>30</v>
      </c>
      <c r="H1173" s="28" t="s">
        <v>25</v>
      </c>
      <c r="I1173" s="25" t="n">
        <v>2</v>
      </c>
      <c r="J1173" s="25" t="n">
        <v>1</v>
      </c>
      <c r="K1173" s="25" t="n">
        <v>2</v>
      </c>
      <c r="L1173" s="29" t="n">
        <v>0.75</v>
      </c>
      <c r="M1173" s="30" t="n">
        <v>8.61</v>
      </c>
      <c r="N1173" s="29" t="n">
        <v>0.68</v>
      </c>
      <c r="O1173" s="25" t="n">
        <v>184</v>
      </c>
      <c r="P1173" s="30" t="n">
        <v>3.53</v>
      </c>
      <c r="Q1173" s="27" t="s">
        <v>3575</v>
      </c>
      <c r="R1173" s="27" t="s">
        <v>283</v>
      </c>
    </row>
    <row r="1174" customFormat="false" ht="15" hidden="false" customHeight="false" outlineLevel="0" collapsed="false">
      <c r="A1174" s="25" t="n">
        <f aca="false">IF(G1174="REJECT",COUNTIF($G$2:$G$2277,"&lt;&gt;REJECT")+1+COUNTIFS($G$2:$G$2277,"REJECT",$B$2:$B$2277,"&gt;"&amp;B1174),1+COUNTIFS($G$2:$G$2277,"&lt;&gt;REJECT",$B$2:$B$2277,"&gt;"&amp;B1174))</f>
        <v>1173</v>
      </c>
      <c r="B1174" s="26" t="n">
        <f aca="false">ROUND(($U$2*MAX(0,MIN(1,($W$2-I1174)/($W$2-$V$2)))+$U$3*MAX(0,MIN(1,($W$3-J1174)/($W$3-$V$3)))+$U$4*MAX(0,MIN(1,($W$4-K1174)/($W$4-$V$4)))+$U$5*MAX(0,MIN(1,($W$5-L1174)/($W$5-$V$5)))+$U$6*MAX(0,MIN(1,($W$6-M1174)/($W$6-$V$6)))+$U$7*MAX(0,MIN(1,($W$7-N1174)/($W$7-$V$7)))+$U$8*IF(AND(O1174&gt;=$V$8,O1174&lt;=$W$8),1,0))/$U$9*100,2)</f>
        <v>71.91</v>
      </c>
      <c r="C1174" s="27" t="s">
        <v>1190</v>
      </c>
      <c r="D1174" s="25" t="s">
        <v>134</v>
      </c>
      <c r="E1174" s="25" t="s">
        <v>3450</v>
      </c>
      <c r="F1174" s="25" t="s">
        <v>3448</v>
      </c>
      <c r="G1174" s="38" t="s">
        <v>30</v>
      </c>
      <c r="H1174" s="28" t="s">
        <v>25</v>
      </c>
      <c r="I1174" s="25" t="n">
        <v>1</v>
      </c>
      <c r="J1174" s="25" t="n">
        <v>1</v>
      </c>
      <c r="K1174" s="25" t="n">
        <v>1</v>
      </c>
      <c r="L1174" s="29" t="n">
        <v>0.65</v>
      </c>
      <c r="M1174" s="30" t="n">
        <v>11.45</v>
      </c>
      <c r="N1174" s="29" t="n">
        <v>0.56</v>
      </c>
      <c r="O1174" s="25" t="n">
        <v>188</v>
      </c>
      <c r="P1174" s="30" t="n">
        <v>8.17</v>
      </c>
      <c r="Q1174" s="27" t="s">
        <v>69</v>
      </c>
      <c r="R1174" s="27" t="s">
        <v>283</v>
      </c>
    </row>
    <row r="1175" customFormat="false" ht="15" hidden="false" customHeight="false" outlineLevel="0" collapsed="false">
      <c r="A1175" s="25" t="n">
        <f aca="false">IF(G1175="REJECT",COUNTIF($G$2:$G$2277,"&lt;&gt;REJECT")+1+COUNTIFS($G$2:$G$2277,"REJECT",$B$2:$B$2277,"&gt;"&amp;B1175),1+COUNTIFS($G$2:$G$2277,"&lt;&gt;REJECT",$B$2:$B$2277,"&gt;"&amp;B1175))</f>
        <v>1174</v>
      </c>
      <c r="B1175" s="26" t="n">
        <f aca="false">ROUND(($U$2*MAX(0,MIN(1,($W$2-I1175)/($W$2-$V$2)))+$U$3*MAX(0,MIN(1,($W$3-J1175)/($W$3-$V$3)))+$U$4*MAX(0,MIN(1,($W$4-K1175)/($W$4-$V$4)))+$U$5*MAX(0,MIN(1,($W$5-L1175)/($W$5-$V$5)))+$U$6*MAX(0,MIN(1,($W$6-M1175)/($W$6-$V$6)))+$U$7*MAX(0,MIN(1,($W$7-N1175)/($W$7-$V$7)))+$U$8*IF(AND(O1175&gt;=$V$8,O1175&lt;=$W$8),1,0))/$U$9*100,2)</f>
        <v>71.9</v>
      </c>
      <c r="C1175" s="27" t="s">
        <v>3338</v>
      </c>
      <c r="D1175" s="25" t="s">
        <v>134</v>
      </c>
      <c r="E1175" s="25" t="s">
        <v>3447</v>
      </c>
      <c r="F1175" s="25" t="s">
        <v>3448</v>
      </c>
      <c r="G1175" s="38" t="s">
        <v>30</v>
      </c>
      <c r="H1175" s="28" t="s">
        <v>25</v>
      </c>
      <c r="I1175" s="25" t="n">
        <v>3</v>
      </c>
      <c r="J1175" s="25" t="n">
        <v>0</v>
      </c>
      <c r="K1175" s="25" t="n">
        <v>3</v>
      </c>
      <c r="L1175" s="29" t="n">
        <v>0.73</v>
      </c>
      <c r="M1175" s="30" t="n">
        <v>25.72</v>
      </c>
      <c r="N1175" s="29" t="n">
        <v>0.52</v>
      </c>
      <c r="O1175" s="25" t="n">
        <v>182</v>
      </c>
      <c r="P1175" s="30" t="n">
        <v>-0.77</v>
      </c>
      <c r="Q1175" s="27" t="s">
        <v>3614</v>
      </c>
      <c r="R1175" s="27" t="s">
        <v>3487</v>
      </c>
    </row>
    <row r="1176" customFormat="false" ht="15" hidden="false" customHeight="false" outlineLevel="0" collapsed="false">
      <c r="A1176" s="25" t="n">
        <f aca="false">IF(G1176="REJECT",COUNTIF($G$2:$G$2277,"&lt;&gt;REJECT")+1+COUNTIFS($G$2:$G$2277,"REJECT",$B$2:$B$2277,"&gt;"&amp;B1176),1+COUNTIFS($G$2:$G$2277,"&lt;&gt;REJECT",$B$2:$B$2277,"&gt;"&amp;B1176))</f>
        <v>1175</v>
      </c>
      <c r="B1176" s="26" t="n">
        <f aca="false">ROUND(($U$2*MAX(0,MIN(1,($W$2-I1176)/($W$2-$V$2)))+$U$3*MAX(0,MIN(1,($W$3-J1176)/($W$3-$V$3)))+$U$4*MAX(0,MIN(1,($W$4-K1176)/($W$4-$V$4)))+$U$5*MAX(0,MIN(1,($W$5-L1176)/($W$5-$V$5)))+$U$6*MAX(0,MIN(1,($W$6-M1176)/($W$6-$V$6)))+$U$7*MAX(0,MIN(1,($W$7-N1176)/($W$7-$V$7)))+$U$8*IF(AND(O1176&gt;=$V$8,O1176&lt;=$W$8),1,0))/$U$9*100,2)</f>
        <v>71.84</v>
      </c>
      <c r="C1176" s="27" t="s">
        <v>2113</v>
      </c>
      <c r="D1176" s="25" t="s">
        <v>134</v>
      </c>
      <c r="E1176" s="25" t="s">
        <v>3447</v>
      </c>
      <c r="F1176" s="25" t="s">
        <v>3457</v>
      </c>
      <c r="G1176" s="38" t="s">
        <v>30</v>
      </c>
      <c r="H1176" s="28" t="s">
        <v>25</v>
      </c>
      <c r="I1176" s="25" t="n">
        <v>2</v>
      </c>
      <c r="J1176" s="25" t="n">
        <v>1</v>
      </c>
      <c r="K1176" s="25" t="n">
        <v>2</v>
      </c>
      <c r="L1176" s="29" t="n">
        <v>0.77</v>
      </c>
      <c r="M1176" s="30" t="n">
        <v>15.16</v>
      </c>
      <c r="N1176" s="29" t="n">
        <v>0.8</v>
      </c>
      <c r="O1176" s="25" t="n">
        <v>185</v>
      </c>
      <c r="P1176" s="30" t="n">
        <v>0.51</v>
      </c>
      <c r="Q1176" s="27" t="s">
        <v>3566</v>
      </c>
      <c r="R1176" s="27" t="s">
        <v>283</v>
      </c>
    </row>
    <row r="1177" customFormat="false" ht="15" hidden="false" customHeight="false" outlineLevel="0" collapsed="false">
      <c r="A1177" s="25" t="n">
        <f aca="false">IF(G1177="REJECT",COUNTIF($G$2:$G$2277,"&lt;&gt;REJECT")+1+COUNTIFS($G$2:$G$2277,"REJECT",$B$2:$B$2277,"&gt;"&amp;B1177),1+COUNTIFS($G$2:$G$2277,"&lt;&gt;REJECT",$B$2:$B$2277,"&gt;"&amp;B1177))</f>
        <v>1176</v>
      </c>
      <c r="B1177" s="26" t="n">
        <f aca="false">ROUND(($U$2*MAX(0,MIN(1,($W$2-I1177)/($W$2-$V$2)))+$U$3*MAX(0,MIN(1,($W$3-J1177)/($W$3-$V$3)))+$U$4*MAX(0,MIN(1,($W$4-K1177)/($W$4-$V$4)))+$U$5*MAX(0,MIN(1,($W$5-L1177)/($W$5-$V$5)))+$U$6*MAX(0,MIN(1,($W$6-M1177)/($W$6-$V$6)))+$U$7*MAX(0,MIN(1,($W$7-N1177)/($W$7-$V$7)))+$U$8*IF(AND(O1177&gt;=$V$8,O1177&lt;=$W$8),1,0))/$U$9*100,2)</f>
        <v>71.83</v>
      </c>
      <c r="C1177" s="27" t="s">
        <v>108</v>
      </c>
      <c r="D1177" s="25" t="s">
        <v>3459</v>
      </c>
      <c r="E1177" s="25" t="s">
        <v>3447</v>
      </c>
      <c r="F1177" s="25" t="s">
        <v>3457</v>
      </c>
      <c r="G1177" s="38" t="s">
        <v>30</v>
      </c>
      <c r="H1177" s="28" t="s">
        <v>25</v>
      </c>
      <c r="I1177" s="25" t="n">
        <v>4</v>
      </c>
      <c r="J1177" s="25" t="n">
        <v>0</v>
      </c>
      <c r="K1177" s="25" t="n">
        <v>4</v>
      </c>
      <c r="L1177" s="29" t="n">
        <v>0.78</v>
      </c>
      <c r="M1177" s="30" t="n">
        <v>3.83</v>
      </c>
      <c r="N1177" s="29" t="n">
        <v>0.8</v>
      </c>
      <c r="O1177" s="25" t="n">
        <v>192</v>
      </c>
      <c r="P1177" s="30" t="n">
        <v>-1.02</v>
      </c>
      <c r="Q1177" s="27" t="s">
        <v>3615</v>
      </c>
      <c r="R1177" s="27" t="s">
        <v>2133</v>
      </c>
    </row>
    <row r="1178" customFormat="false" ht="15" hidden="false" customHeight="false" outlineLevel="0" collapsed="false">
      <c r="A1178" s="25" t="n">
        <f aca="false">IF(G1178="REJECT",COUNTIF($G$2:$G$2277,"&lt;&gt;REJECT")+1+COUNTIFS($G$2:$G$2277,"REJECT",$B$2:$B$2277,"&gt;"&amp;B1178),1+COUNTIFS($G$2:$G$2277,"&lt;&gt;REJECT",$B$2:$B$2277,"&gt;"&amp;B1178))</f>
        <v>1177</v>
      </c>
      <c r="B1178" s="26" t="n">
        <f aca="false">ROUND(($U$2*MAX(0,MIN(1,($W$2-I1178)/($W$2-$V$2)))+$U$3*MAX(0,MIN(1,($W$3-J1178)/($W$3-$V$3)))+$U$4*MAX(0,MIN(1,($W$4-K1178)/($W$4-$V$4)))+$U$5*MAX(0,MIN(1,($W$5-L1178)/($W$5-$V$5)))+$U$6*MAX(0,MIN(1,($W$6-M1178)/($W$6-$V$6)))+$U$7*MAX(0,MIN(1,($W$7-N1178)/($W$7-$V$7)))+$U$8*IF(AND(O1178&gt;=$V$8,O1178&lt;=$W$8),1,0))/$U$9*100,2)</f>
        <v>71.82</v>
      </c>
      <c r="C1178" s="27" t="s">
        <v>1234</v>
      </c>
      <c r="D1178" s="25" t="s">
        <v>3459</v>
      </c>
      <c r="E1178" s="25" t="s">
        <v>3450</v>
      </c>
      <c r="F1178" s="25" t="s">
        <v>3457</v>
      </c>
      <c r="G1178" s="38" t="s">
        <v>30</v>
      </c>
      <c r="H1178" s="28" t="s">
        <v>25</v>
      </c>
      <c r="I1178" s="25" t="n">
        <v>1</v>
      </c>
      <c r="J1178" s="25" t="n">
        <v>1</v>
      </c>
      <c r="K1178" s="25" t="n">
        <v>1</v>
      </c>
      <c r="L1178" s="29" t="n">
        <v>0.66</v>
      </c>
      <c r="M1178" s="30" t="n">
        <v>15.57</v>
      </c>
      <c r="N1178" s="29" t="n">
        <v>0.56</v>
      </c>
      <c r="O1178" s="25" t="n">
        <v>182</v>
      </c>
      <c r="P1178" s="30" t="n">
        <v>11.76</v>
      </c>
      <c r="Q1178" s="27" t="s">
        <v>69</v>
      </c>
      <c r="R1178" s="27" t="s">
        <v>283</v>
      </c>
    </row>
    <row r="1179" customFormat="false" ht="15" hidden="false" customHeight="false" outlineLevel="0" collapsed="false">
      <c r="A1179" s="25" t="n">
        <f aca="false">IF(G1179="REJECT",COUNTIF($G$2:$G$2277,"&lt;&gt;REJECT")+1+COUNTIFS($G$2:$G$2277,"REJECT",$B$2:$B$2277,"&gt;"&amp;B1179),1+COUNTIFS($G$2:$G$2277,"&lt;&gt;REJECT",$B$2:$B$2277,"&gt;"&amp;B1179))</f>
        <v>1178</v>
      </c>
      <c r="B1179" s="26" t="n">
        <f aca="false">ROUND(($U$2*MAX(0,MIN(1,($W$2-I1179)/($W$2-$V$2)))+$U$3*MAX(0,MIN(1,($W$3-J1179)/($W$3-$V$3)))+$U$4*MAX(0,MIN(1,($W$4-K1179)/($W$4-$V$4)))+$U$5*MAX(0,MIN(1,($W$5-L1179)/($W$5-$V$5)))+$U$6*MAX(0,MIN(1,($W$6-M1179)/($W$6-$V$6)))+$U$7*MAX(0,MIN(1,($W$7-N1179)/($W$7-$V$7)))+$U$8*IF(AND(O1179&gt;=$V$8,O1179&lt;=$W$8),1,0))/$U$9*100,2)</f>
        <v>71.81</v>
      </c>
      <c r="C1179" s="27" t="s">
        <v>1429</v>
      </c>
      <c r="D1179" s="25" t="s">
        <v>134</v>
      </c>
      <c r="E1179" s="25" t="s">
        <v>3447</v>
      </c>
      <c r="F1179" s="25" t="s">
        <v>3448</v>
      </c>
      <c r="G1179" s="38" t="s">
        <v>30</v>
      </c>
      <c r="H1179" s="28" t="s">
        <v>25</v>
      </c>
      <c r="I1179" s="25" t="n">
        <v>3</v>
      </c>
      <c r="J1179" s="25" t="n">
        <v>0</v>
      </c>
      <c r="K1179" s="25" t="n">
        <v>3</v>
      </c>
      <c r="L1179" s="29" t="n">
        <v>0.67</v>
      </c>
      <c r="M1179" s="30" t="n">
        <v>0.24</v>
      </c>
      <c r="N1179" s="29" t="n">
        <v>0.96</v>
      </c>
      <c r="O1179" s="25" t="n">
        <v>184</v>
      </c>
      <c r="P1179" s="30" t="n">
        <v>-0.71</v>
      </c>
      <c r="Q1179" s="27" t="s">
        <v>3561</v>
      </c>
      <c r="R1179" s="27" t="s">
        <v>2610</v>
      </c>
    </row>
    <row r="1180" customFormat="false" ht="15" hidden="false" customHeight="false" outlineLevel="0" collapsed="false">
      <c r="A1180" s="25" t="n">
        <f aca="false">IF(G1180="REJECT",COUNTIF($G$2:$G$2277,"&lt;&gt;REJECT")+1+COUNTIFS($G$2:$G$2277,"REJECT",$B$2:$B$2277,"&gt;"&amp;B1180),1+COUNTIFS($G$2:$G$2277,"&lt;&gt;REJECT",$B$2:$B$2277,"&gt;"&amp;B1180))</f>
        <v>1178</v>
      </c>
      <c r="B1180" s="26" t="n">
        <f aca="false">ROUND(($U$2*MAX(0,MIN(1,($W$2-I1180)/($W$2-$V$2)))+$U$3*MAX(0,MIN(1,($W$3-J1180)/($W$3-$V$3)))+$U$4*MAX(0,MIN(1,($W$4-K1180)/($W$4-$V$4)))+$U$5*MAX(0,MIN(1,($W$5-L1180)/($W$5-$V$5)))+$U$6*MAX(0,MIN(1,($W$6-M1180)/($W$6-$V$6)))+$U$7*MAX(0,MIN(1,($W$7-N1180)/($W$7-$V$7)))+$U$8*IF(AND(O1180&gt;=$V$8,O1180&lt;=$W$8),1,0))/$U$9*100,2)</f>
        <v>71.81</v>
      </c>
      <c r="C1180" s="27" t="s">
        <v>3225</v>
      </c>
      <c r="D1180" s="25" t="s">
        <v>3459</v>
      </c>
      <c r="E1180" s="25" t="s">
        <v>3447</v>
      </c>
      <c r="F1180" s="25" t="s">
        <v>3448</v>
      </c>
      <c r="G1180" s="38" t="s">
        <v>30</v>
      </c>
      <c r="H1180" s="28" t="s">
        <v>25</v>
      </c>
      <c r="I1180" s="25" t="n">
        <v>2</v>
      </c>
      <c r="J1180" s="25" t="n">
        <v>1</v>
      </c>
      <c r="K1180" s="25" t="n">
        <v>2</v>
      </c>
      <c r="L1180" s="29" t="n">
        <v>0.74</v>
      </c>
      <c r="M1180" s="30" t="n">
        <v>4.15</v>
      </c>
      <c r="N1180" s="29" t="n">
        <v>0.84</v>
      </c>
      <c r="O1180" s="25" t="n">
        <v>184</v>
      </c>
      <c r="P1180" s="30" t="n">
        <v>-1.08</v>
      </c>
      <c r="Q1180" s="27" t="s">
        <v>3575</v>
      </c>
      <c r="R1180" s="27" t="s">
        <v>1152</v>
      </c>
    </row>
    <row r="1181" customFormat="false" ht="15" hidden="false" customHeight="false" outlineLevel="0" collapsed="false">
      <c r="A1181" s="25" t="n">
        <f aca="false">IF(G1181="REJECT",COUNTIF($G$2:$G$2277,"&lt;&gt;REJECT")+1+COUNTIFS($G$2:$G$2277,"REJECT",$B$2:$B$2277,"&gt;"&amp;B1181),1+COUNTIFS($G$2:$G$2277,"&lt;&gt;REJECT",$B$2:$B$2277,"&gt;"&amp;B1181))</f>
        <v>1180</v>
      </c>
      <c r="B1181" s="26" t="n">
        <f aca="false">ROUND(($U$2*MAX(0,MIN(1,($W$2-I1181)/($W$2-$V$2)))+$U$3*MAX(0,MIN(1,($W$3-J1181)/($W$3-$V$3)))+$U$4*MAX(0,MIN(1,($W$4-K1181)/($W$4-$V$4)))+$U$5*MAX(0,MIN(1,($W$5-L1181)/($W$5-$V$5)))+$U$6*MAX(0,MIN(1,($W$6-M1181)/($W$6-$V$6)))+$U$7*MAX(0,MIN(1,($W$7-N1181)/($W$7-$V$7)))+$U$8*IF(AND(O1181&gt;=$V$8,O1181&lt;=$W$8),1,0))/$U$9*100,2)</f>
        <v>71.79</v>
      </c>
      <c r="C1181" s="27" t="s">
        <v>2149</v>
      </c>
      <c r="D1181" s="25" t="s">
        <v>3459</v>
      </c>
      <c r="E1181" s="25" t="s">
        <v>3450</v>
      </c>
      <c r="F1181" s="25" t="s">
        <v>3457</v>
      </c>
      <c r="G1181" s="38" t="s">
        <v>30</v>
      </c>
      <c r="H1181" s="28" t="s">
        <v>25</v>
      </c>
      <c r="I1181" s="25" t="n">
        <v>1</v>
      </c>
      <c r="J1181" s="25" t="n">
        <v>1</v>
      </c>
      <c r="K1181" s="25" t="n">
        <v>1</v>
      </c>
      <c r="L1181" s="29" t="n">
        <v>0.68</v>
      </c>
      <c r="M1181" s="30" t="n">
        <v>26.99</v>
      </c>
      <c r="N1181" s="29" t="n">
        <v>0.16</v>
      </c>
      <c r="O1181" s="25" t="n">
        <v>184</v>
      </c>
      <c r="P1181" s="30" t="n">
        <v>7.33</v>
      </c>
      <c r="Q1181" s="27" t="s">
        <v>69</v>
      </c>
      <c r="R1181" s="27" t="s">
        <v>183</v>
      </c>
    </row>
    <row r="1182" customFormat="false" ht="15" hidden="false" customHeight="false" outlineLevel="0" collapsed="false">
      <c r="A1182" s="25" t="n">
        <f aca="false">IF(G1182="REJECT",COUNTIF($G$2:$G$2277,"&lt;&gt;REJECT")+1+COUNTIFS($G$2:$G$2277,"REJECT",$B$2:$B$2277,"&gt;"&amp;B1182),1+COUNTIFS($G$2:$G$2277,"&lt;&gt;REJECT",$B$2:$B$2277,"&gt;"&amp;B1182))</f>
        <v>1181</v>
      </c>
      <c r="B1182" s="26" t="n">
        <f aca="false">ROUND(($U$2*MAX(0,MIN(1,($W$2-I1182)/($W$2-$V$2)))+$U$3*MAX(0,MIN(1,($W$3-J1182)/($W$3-$V$3)))+$U$4*MAX(0,MIN(1,($W$4-K1182)/($W$4-$V$4)))+$U$5*MAX(0,MIN(1,($W$5-L1182)/($W$5-$V$5)))+$U$6*MAX(0,MIN(1,($W$6-M1182)/($W$6-$V$6)))+$U$7*MAX(0,MIN(1,($W$7-N1182)/($W$7-$V$7)))+$U$8*IF(AND(O1182&gt;=$V$8,O1182&lt;=$W$8),1,0))/$U$9*100,2)</f>
        <v>71.78</v>
      </c>
      <c r="C1182" s="27" t="s">
        <v>830</v>
      </c>
      <c r="D1182" s="25" t="s">
        <v>134</v>
      </c>
      <c r="E1182" s="25" t="s">
        <v>3447</v>
      </c>
      <c r="F1182" s="25" t="s">
        <v>3457</v>
      </c>
      <c r="G1182" s="38" t="s">
        <v>30</v>
      </c>
      <c r="H1182" s="28" t="s">
        <v>25</v>
      </c>
      <c r="I1182" s="25" t="n">
        <v>3</v>
      </c>
      <c r="J1182" s="25" t="n">
        <v>0</v>
      </c>
      <c r="K1182" s="25" t="n">
        <v>3</v>
      </c>
      <c r="L1182" s="29" t="n">
        <v>0.72</v>
      </c>
      <c r="M1182" s="30" t="n">
        <v>28.05</v>
      </c>
      <c r="N1182" s="29" t="n">
        <v>0</v>
      </c>
      <c r="O1182" s="25" t="n">
        <v>183</v>
      </c>
      <c r="P1182" s="30" t="n">
        <v>6.57</v>
      </c>
      <c r="Q1182" s="27" t="s">
        <v>3616</v>
      </c>
      <c r="R1182" s="27" t="s">
        <v>992</v>
      </c>
    </row>
    <row r="1183" customFormat="false" ht="15" hidden="false" customHeight="false" outlineLevel="0" collapsed="false">
      <c r="A1183" s="25" t="n">
        <f aca="false">IF(G1183="REJECT",COUNTIF($G$2:$G$2277,"&lt;&gt;REJECT")+1+COUNTIFS($G$2:$G$2277,"REJECT",$B$2:$B$2277,"&gt;"&amp;B1183),1+COUNTIFS($G$2:$G$2277,"&lt;&gt;REJECT",$B$2:$B$2277,"&gt;"&amp;B1183))</f>
        <v>1182</v>
      </c>
      <c r="B1183" s="26" t="n">
        <f aca="false">ROUND(($U$2*MAX(0,MIN(1,($W$2-I1183)/($W$2-$V$2)))+$U$3*MAX(0,MIN(1,($W$3-J1183)/($W$3-$V$3)))+$U$4*MAX(0,MIN(1,($W$4-K1183)/($W$4-$V$4)))+$U$5*MAX(0,MIN(1,($W$5-L1183)/($W$5-$V$5)))+$U$6*MAX(0,MIN(1,($W$6-M1183)/($W$6-$V$6)))+$U$7*MAX(0,MIN(1,($W$7-N1183)/($W$7-$V$7)))+$U$8*IF(AND(O1183&gt;=$V$8,O1183&lt;=$W$8),1,0))/$U$9*100,2)</f>
        <v>71.77</v>
      </c>
      <c r="C1183" s="27" t="s">
        <v>3144</v>
      </c>
      <c r="D1183" s="25" t="s">
        <v>134</v>
      </c>
      <c r="E1183" s="25" t="s">
        <v>3447</v>
      </c>
      <c r="F1183" s="25" t="s">
        <v>3448</v>
      </c>
      <c r="G1183" s="38" t="s">
        <v>30</v>
      </c>
      <c r="H1183" s="33" t="s">
        <v>24</v>
      </c>
      <c r="I1183" s="25" t="n">
        <v>4</v>
      </c>
      <c r="J1183" s="25" t="n">
        <v>0</v>
      </c>
      <c r="K1183" s="25" t="n">
        <v>4</v>
      </c>
      <c r="L1183" s="29" t="n">
        <v>0.81</v>
      </c>
      <c r="M1183" s="30" t="n">
        <v>12.98</v>
      </c>
      <c r="N1183" s="29" t="n">
        <v>0.64</v>
      </c>
      <c r="O1183" s="25" t="n">
        <v>187</v>
      </c>
      <c r="P1183" s="30" t="n">
        <v>0.21</v>
      </c>
      <c r="Q1183" s="27" t="s">
        <v>3617</v>
      </c>
      <c r="R1183" s="27" t="s">
        <v>30</v>
      </c>
    </row>
    <row r="1184" customFormat="false" ht="15" hidden="false" customHeight="false" outlineLevel="0" collapsed="false">
      <c r="A1184" s="25" t="n">
        <f aca="false">IF(G1184="REJECT",COUNTIF($G$2:$G$2277,"&lt;&gt;REJECT")+1+COUNTIFS($G$2:$G$2277,"REJECT",$B$2:$B$2277,"&gt;"&amp;B1184),1+COUNTIFS($G$2:$G$2277,"&lt;&gt;REJECT",$B$2:$B$2277,"&gt;"&amp;B1184))</f>
        <v>1183</v>
      </c>
      <c r="B1184" s="26" t="n">
        <f aca="false">ROUND(($U$2*MAX(0,MIN(1,($W$2-I1184)/($W$2-$V$2)))+$U$3*MAX(0,MIN(1,($W$3-J1184)/($W$3-$V$3)))+$U$4*MAX(0,MIN(1,($W$4-K1184)/($W$4-$V$4)))+$U$5*MAX(0,MIN(1,($W$5-L1184)/($W$5-$V$5)))+$U$6*MAX(0,MIN(1,($W$6-M1184)/($W$6-$V$6)))+$U$7*MAX(0,MIN(1,($W$7-N1184)/($W$7-$V$7)))+$U$8*IF(AND(O1184&gt;=$V$8,O1184&lt;=$W$8),1,0))/$U$9*100,2)</f>
        <v>71.75</v>
      </c>
      <c r="C1184" s="27" t="s">
        <v>839</v>
      </c>
      <c r="D1184" s="25" t="s">
        <v>134</v>
      </c>
      <c r="E1184" s="25" t="s">
        <v>3450</v>
      </c>
      <c r="F1184" s="25" t="s">
        <v>3448</v>
      </c>
      <c r="G1184" s="38" t="s">
        <v>30</v>
      </c>
      <c r="H1184" s="28" t="s">
        <v>25</v>
      </c>
      <c r="I1184" s="25" t="n">
        <v>2</v>
      </c>
      <c r="J1184" s="25" t="n">
        <v>1</v>
      </c>
      <c r="K1184" s="25" t="n">
        <v>2</v>
      </c>
      <c r="L1184" s="29" t="n">
        <v>0.74</v>
      </c>
      <c r="M1184" s="30" t="n">
        <v>4.52</v>
      </c>
      <c r="N1184" s="29" t="n">
        <v>0.84</v>
      </c>
      <c r="O1184" s="25" t="n">
        <v>184</v>
      </c>
      <c r="P1184" s="30" t="n">
        <v>5</v>
      </c>
      <c r="Q1184" s="27" t="s">
        <v>3575</v>
      </c>
      <c r="R1184" s="27" t="s">
        <v>283</v>
      </c>
    </row>
    <row r="1185" customFormat="false" ht="15" hidden="false" customHeight="false" outlineLevel="0" collapsed="false">
      <c r="A1185" s="25" t="n">
        <f aca="false">IF(G1185="REJECT",COUNTIF($G$2:$G$2277,"&lt;&gt;REJECT")+1+COUNTIFS($G$2:$G$2277,"REJECT",$B$2:$B$2277,"&gt;"&amp;B1185),1+COUNTIFS($G$2:$G$2277,"&lt;&gt;REJECT",$B$2:$B$2277,"&gt;"&amp;B1185))</f>
        <v>1184</v>
      </c>
      <c r="B1185" s="26" t="n">
        <f aca="false">ROUND(($U$2*MAX(0,MIN(1,($W$2-I1185)/($W$2-$V$2)))+$U$3*MAX(0,MIN(1,($W$3-J1185)/($W$3-$V$3)))+$U$4*MAX(0,MIN(1,($W$4-K1185)/($W$4-$V$4)))+$U$5*MAX(0,MIN(1,($W$5-L1185)/($W$5-$V$5)))+$U$6*MAX(0,MIN(1,($W$6-M1185)/($W$6-$V$6)))+$U$7*MAX(0,MIN(1,($W$7-N1185)/($W$7-$V$7)))+$U$8*IF(AND(O1185&gt;=$V$8,O1185&lt;=$W$8),1,0))/$U$9*100,2)</f>
        <v>71.7</v>
      </c>
      <c r="C1185" s="27" t="s">
        <v>1417</v>
      </c>
      <c r="D1185" s="25" t="s">
        <v>3459</v>
      </c>
      <c r="E1185" s="25" t="s">
        <v>3447</v>
      </c>
      <c r="F1185" s="25" t="s">
        <v>3448</v>
      </c>
      <c r="G1185" s="38" t="s">
        <v>30</v>
      </c>
      <c r="H1185" s="28" t="s">
        <v>25</v>
      </c>
      <c r="I1185" s="25" t="n">
        <v>4</v>
      </c>
      <c r="J1185" s="25" t="n">
        <v>0</v>
      </c>
      <c r="K1185" s="25" t="n">
        <v>4</v>
      </c>
      <c r="L1185" s="29" t="n">
        <v>0.83</v>
      </c>
      <c r="M1185" s="30" t="n">
        <v>11.79</v>
      </c>
      <c r="N1185" s="29" t="n">
        <v>0.8</v>
      </c>
      <c r="O1185" s="25" t="n">
        <v>184</v>
      </c>
      <c r="P1185" s="30" t="n">
        <v>-1.12</v>
      </c>
      <c r="Q1185" s="27" t="s">
        <v>3618</v>
      </c>
      <c r="R1185" s="27" t="s">
        <v>2610</v>
      </c>
    </row>
    <row r="1186" customFormat="false" ht="15" hidden="false" customHeight="false" outlineLevel="0" collapsed="false">
      <c r="A1186" s="25" t="n">
        <f aca="false">IF(G1186="REJECT",COUNTIF($G$2:$G$2277,"&lt;&gt;REJECT")+1+COUNTIFS($G$2:$G$2277,"REJECT",$B$2:$B$2277,"&gt;"&amp;B1186),1+COUNTIFS($G$2:$G$2277,"&lt;&gt;REJECT",$B$2:$B$2277,"&gt;"&amp;B1186))</f>
        <v>1185</v>
      </c>
      <c r="B1186" s="26" t="n">
        <f aca="false">ROUND(($U$2*MAX(0,MIN(1,($W$2-I1186)/($W$2-$V$2)))+$U$3*MAX(0,MIN(1,($W$3-J1186)/($W$3-$V$3)))+$U$4*MAX(0,MIN(1,($W$4-K1186)/($W$4-$V$4)))+$U$5*MAX(0,MIN(1,($W$5-L1186)/($W$5-$V$5)))+$U$6*MAX(0,MIN(1,($W$6-M1186)/($W$6-$V$6)))+$U$7*MAX(0,MIN(1,($W$7-N1186)/($W$7-$V$7)))+$U$8*IF(AND(O1186&gt;=$V$8,O1186&lt;=$W$8),1,0))/$U$9*100,2)</f>
        <v>71.69</v>
      </c>
      <c r="C1186" s="27" t="s">
        <v>2897</v>
      </c>
      <c r="D1186" s="25" t="s">
        <v>134</v>
      </c>
      <c r="E1186" s="25" t="s">
        <v>3447</v>
      </c>
      <c r="F1186" s="25" t="s">
        <v>3448</v>
      </c>
      <c r="G1186" s="38" t="s">
        <v>30</v>
      </c>
      <c r="H1186" s="33" t="s">
        <v>24</v>
      </c>
      <c r="I1186" s="25" t="n">
        <v>3</v>
      </c>
      <c r="J1186" s="25" t="n">
        <v>0</v>
      </c>
      <c r="K1186" s="25" t="n">
        <v>3</v>
      </c>
      <c r="L1186" s="29" t="n">
        <v>0.66</v>
      </c>
      <c r="M1186" s="30" t="n">
        <v>6.96</v>
      </c>
      <c r="N1186" s="29" t="n">
        <v>0</v>
      </c>
      <c r="O1186" s="25" t="n">
        <v>194</v>
      </c>
      <c r="P1186" s="30" t="n">
        <v>-0.82</v>
      </c>
      <c r="Q1186" s="27" t="s">
        <v>3619</v>
      </c>
      <c r="R1186" s="27" t="s">
        <v>30</v>
      </c>
    </row>
    <row r="1187" customFormat="false" ht="15" hidden="false" customHeight="false" outlineLevel="0" collapsed="false">
      <c r="A1187" s="25" t="n">
        <f aca="false">IF(G1187="REJECT",COUNTIF($G$2:$G$2277,"&lt;&gt;REJECT")+1+COUNTIFS($G$2:$G$2277,"REJECT",$B$2:$B$2277,"&gt;"&amp;B1187),1+COUNTIFS($G$2:$G$2277,"&lt;&gt;REJECT",$B$2:$B$2277,"&gt;"&amp;B1187))</f>
        <v>1186</v>
      </c>
      <c r="B1187" s="26" t="n">
        <f aca="false">ROUND(($U$2*MAX(0,MIN(1,($W$2-I1187)/($W$2-$V$2)))+$U$3*MAX(0,MIN(1,($W$3-J1187)/($W$3-$V$3)))+$U$4*MAX(0,MIN(1,($W$4-K1187)/($W$4-$V$4)))+$U$5*MAX(0,MIN(1,($W$5-L1187)/($W$5-$V$5)))+$U$6*MAX(0,MIN(1,($W$6-M1187)/($W$6-$V$6)))+$U$7*MAX(0,MIN(1,($W$7-N1187)/($W$7-$V$7)))+$U$8*IF(AND(O1187&gt;=$V$8,O1187&lt;=$W$8),1,0))/$U$9*100,2)</f>
        <v>71.66</v>
      </c>
      <c r="C1187" s="27" t="s">
        <v>1651</v>
      </c>
      <c r="D1187" s="25" t="s">
        <v>134</v>
      </c>
      <c r="E1187" s="25" t="s">
        <v>3450</v>
      </c>
      <c r="F1187" s="25" t="s">
        <v>3448</v>
      </c>
      <c r="G1187" s="38" t="s">
        <v>30</v>
      </c>
      <c r="H1187" s="28" t="s">
        <v>25</v>
      </c>
      <c r="I1187" s="25" t="n">
        <v>2</v>
      </c>
      <c r="J1187" s="25" t="n">
        <v>1</v>
      </c>
      <c r="K1187" s="25" t="n">
        <v>2</v>
      </c>
      <c r="L1187" s="29" t="n">
        <v>0.75</v>
      </c>
      <c r="M1187" s="30" t="n">
        <v>15.43</v>
      </c>
      <c r="N1187" s="29" t="n">
        <v>0.16</v>
      </c>
      <c r="O1187" s="25" t="n">
        <v>220</v>
      </c>
      <c r="P1187" s="30" t="n">
        <v>4.85</v>
      </c>
      <c r="Q1187" s="27" t="s">
        <v>3566</v>
      </c>
      <c r="R1187" s="27" t="s">
        <v>1152</v>
      </c>
    </row>
    <row r="1188" customFormat="false" ht="15" hidden="false" customHeight="false" outlineLevel="0" collapsed="false">
      <c r="A1188" s="25" t="n">
        <f aca="false">IF(G1188="REJECT",COUNTIF($G$2:$G$2277,"&lt;&gt;REJECT")+1+COUNTIFS($G$2:$G$2277,"REJECT",$B$2:$B$2277,"&gt;"&amp;B1188),1+COUNTIFS($G$2:$G$2277,"&lt;&gt;REJECT",$B$2:$B$2277,"&gt;"&amp;B1188))</f>
        <v>1186</v>
      </c>
      <c r="B1188" s="26" t="n">
        <f aca="false">ROUND(($U$2*MAX(0,MIN(1,($W$2-I1188)/($W$2-$V$2)))+$U$3*MAX(0,MIN(1,($W$3-J1188)/($W$3-$V$3)))+$U$4*MAX(0,MIN(1,($W$4-K1188)/($W$4-$V$4)))+$U$5*MAX(0,MIN(1,($W$5-L1188)/($W$5-$V$5)))+$U$6*MAX(0,MIN(1,($W$6-M1188)/($W$6-$V$6)))+$U$7*MAX(0,MIN(1,($W$7-N1188)/($W$7-$V$7)))+$U$8*IF(AND(O1188&gt;=$V$8,O1188&lt;=$W$8),1,0))/$U$9*100,2)</f>
        <v>71.66</v>
      </c>
      <c r="C1188" s="27" t="s">
        <v>2799</v>
      </c>
      <c r="D1188" s="25" t="s">
        <v>134</v>
      </c>
      <c r="E1188" s="25" t="s">
        <v>3447</v>
      </c>
      <c r="F1188" s="25" t="s">
        <v>3448</v>
      </c>
      <c r="G1188" s="38" t="s">
        <v>30</v>
      </c>
      <c r="H1188" s="33" t="s">
        <v>24</v>
      </c>
      <c r="I1188" s="25" t="n">
        <v>4</v>
      </c>
      <c r="J1188" s="25" t="n">
        <v>0</v>
      </c>
      <c r="K1188" s="25" t="n">
        <v>3</v>
      </c>
      <c r="L1188" s="29" t="n">
        <v>0.72</v>
      </c>
      <c r="M1188" s="30" t="n">
        <v>0.48</v>
      </c>
      <c r="N1188" s="29" t="n">
        <v>0.2</v>
      </c>
      <c r="O1188" s="25" t="n">
        <v>206</v>
      </c>
      <c r="P1188" s="30" t="n">
        <v>2.39</v>
      </c>
      <c r="Q1188" s="27" t="s">
        <v>3620</v>
      </c>
      <c r="R1188" s="27" t="s">
        <v>30</v>
      </c>
    </row>
    <row r="1189" customFormat="false" ht="15" hidden="false" customHeight="false" outlineLevel="0" collapsed="false">
      <c r="A1189" s="25" t="n">
        <f aca="false">IF(G1189="REJECT",COUNTIF($G$2:$G$2277,"&lt;&gt;REJECT")+1+COUNTIFS($G$2:$G$2277,"REJECT",$B$2:$B$2277,"&gt;"&amp;B1189),1+COUNTIFS($G$2:$G$2277,"&lt;&gt;REJECT",$B$2:$B$2277,"&gt;"&amp;B1189))</f>
        <v>1188</v>
      </c>
      <c r="B1189" s="26" t="n">
        <f aca="false">ROUND(($U$2*MAX(0,MIN(1,($W$2-I1189)/($W$2-$V$2)))+$U$3*MAX(0,MIN(1,($W$3-J1189)/($W$3-$V$3)))+$U$4*MAX(0,MIN(1,($W$4-K1189)/($W$4-$V$4)))+$U$5*MAX(0,MIN(1,($W$5-L1189)/($W$5-$V$5)))+$U$6*MAX(0,MIN(1,($W$6-M1189)/($W$6-$V$6)))+$U$7*MAX(0,MIN(1,($W$7-N1189)/($W$7-$V$7)))+$U$8*IF(AND(O1189&gt;=$V$8,O1189&lt;=$W$8),1,0))/$U$9*100,2)</f>
        <v>71.65</v>
      </c>
      <c r="C1189" s="27" t="s">
        <v>3202</v>
      </c>
      <c r="D1189" s="25" t="s">
        <v>3459</v>
      </c>
      <c r="E1189" s="25" t="s">
        <v>3447</v>
      </c>
      <c r="F1189" s="25" t="s">
        <v>3457</v>
      </c>
      <c r="G1189" s="38" t="s">
        <v>30</v>
      </c>
      <c r="H1189" s="33" t="s">
        <v>24</v>
      </c>
      <c r="I1189" s="25" t="n">
        <v>4</v>
      </c>
      <c r="J1189" s="25" t="n">
        <v>0</v>
      </c>
      <c r="K1189" s="25" t="n">
        <v>4</v>
      </c>
      <c r="L1189" s="29" t="n">
        <v>0.79</v>
      </c>
      <c r="M1189" s="30" t="n">
        <v>11.72</v>
      </c>
      <c r="N1189" s="29" t="n">
        <v>0.48</v>
      </c>
      <c r="O1189" s="25" t="n">
        <v>183</v>
      </c>
      <c r="P1189" s="30" t="n">
        <v>-0.6</v>
      </c>
      <c r="Q1189" s="27" t="s">
        <v>3621</v>
      </c>
      <c r="R1189" s="27" t="s">
        <v>30</v>
      </c>
    </row>
    <row r="1190" customFormat="false" ht="15" hidden="false" customHeight="false" outlineLevel="0" collapsed="false">
      <c r="A1190" s="25" t="n">
        <f aca="false">IF(G1190="REJECT",COUNTIF($G$2:$G$2277,"&lt;&gt;REJECT")+1+COUNTIFS($G$2:$G$2277,"REJECT",$B$2:$B$2277,"&gt;"&amp;B1190),1+COUNTIFS($G$2:$G$2277,"&lt;&gt;REJECT",$B$2:$B$2277,"&gt;"&amp;B1190))</f>
        <v>1189</v>
      </c>
      <c r="B1190" s="26" t="n">
        <f aca="false">ROUND(($U$2*MAX(0,MIN(1,($W$2-I1190)/($W$2-$V$2)))+$U$3*MAX(0,MIN(1,($W$3-J1190)/($W$3-$V$3)))+$U$4*MAX(0,MIN(1,($W$4-K1190)/($W$4-$V$4)))+$U$5*MAX(0,MIN(1,($W$5-L1190)/($W$5-$V$5)))+$U$6*MAX(0,MIN(1,($W$6-M1190)/($W$6-$V$6)))+$U$7*MAX(0,MIN(1,($W$7-N1190)/($W$7-$V$7)))+$U$8*IF(AND(O1190&gt;=$V$8,O1190&lt;=$W$8),1,0))/$U$9*100,2)</f>
        <v>71.6</v>
      </c>
      <c r="C1190" s="27" t="s">
        <v>2761</v>
      </c>
      <c r="D1190" s="25" t="s">
        <v>134</v>
      </c>
      <c r="E1190" s="25" t="s">
        <v>3450</v>
      </c>
      <c r="F1190" s="25" t="s">
        <v>3448</v>
      </c>
      <c r="G1190" s="38" t="s">
        <v>30</v>
      </c>
      <c r="H1190" s="28" t="s">
        <v>25</v>
      </c>
      <c r="I1190" s="25" t="n">
        <v>1</v>
      </c>
      <c r="J1190" s="25" t="n">
        <v>1</v>
      </c>
      <c r="K1190" s="25" t="n">
        <v>1</v>
      </c>
      <c r="L1190" s="29" t="n">
        <v>0.67</v>
      </c>
      <c r="M1190" s="30" t="n">
        <v>21.73</v>
      </c>
      <c r="N1190" s="29" t="n">
        <v>0.44</v>
      </c>
      <c r="O1190" s="25" t="n">
        <v>190</v>
      </c>
      <c r="P1190" s="30" t="n">
        <v>13.46</v>
      </c>
      <c r="Q1190" s="27" t="s">
        <v>70</v>
      </c>
      <c r="R1190" s="27" t="s">
        <v>183</v>
      </c>
    </row>
    <row r="1191" customFormat="false" ht="15" hidden="false" customHeight="false" outlineLevel="0" collapsed="false">
      <c r="A1191" s="25" t="n">
        <f aca="false">IF(G1191="REJECT",COUNTIF($G$2:$G$2277,"&lt;&gt;REJECT")+1+COUNTIFS($G$2:$G$2277,"REJECT",$B$2:$B$2277,"&gt;"&amp;B1191),1+COUNTIFS($G$2:$G$2277,"&lt;&gt;REJECT",$B$2:$B$2277,"&gt;"&amp;B1191))</f>
        <v>1190</v>
      </c>
      <c r="B1191" s="26" t="n">
        <f aca="false">ROUND(($U$2*MAX(0,MIN(1,($W$2-I1191)/($W$2-$V$2)))+$U$3*MAX(0,MIN(1,($W$3-J1191)/($W$3-$V$3)))+$U$4*MAX(0,MIN(1,($W$4-K1191)/($W$4-$V$4)))+$U$5*MAX(0,MIN(1,($W$5-L1191)/($W$5-$V$5)))+$U$6*MAX(0,MIN(1,($W$6-M1191)/($W$6-$V$6)))+$U$7*MAX(0,MIN(1,($W$7-N1191)/($W$7-$V$7)))+$U$8*IF(AND(O1191&gt;=$V$8,O1191&lt;=$W$8),1,0))/$U$9*100,2)</f>
        <v>71.58</v>
      </c>
      <c r="C1191" s="27" t="s">
        <v>971</v>
      </c>
      <c r="D1191" s="25" t="s">
        <v>134</v>
      </c>
      <c r="E1191" s="25" t="s">
        <v>3447</v>
      </c>
      <c r="F1191" s="25" t="s">
        <v>3457</v>
      </c>
      <c r="G1191" s="38" t="s">
        <v>30</v>
      </c>
      <c r="H1191" s="33" t="s">
        <v>24</v>
      </c>
      <c r="I1191" s="25" t="n">
        <v>2</v>
      </c>
      <c r="J1191" s="25" t="n">
        <v>0</v>
      </c>
      <c r="K1191" s="25" t="n">
        <v>2</v>
      </c>
      <c r="L1191" s="29" t="n">
        <v>0.56</v>
      </c>
      <c r="M1191" s="30" t="n">
        <v>3.12</v>
      </c>
      <c r="N1191" s="29" t="n">
        <v>0.6</v>
      </c>
      <c r="O1191" s="25" t="n">
        <v>184</v>
      </c>
      <c r="P1191" s="30" t="n">
        <v>-0.68</v>
      </c>
      <c r="Q1191" s="27" t="s">
        <v>3503</v>
      </c>
      <c r="R1191" s="27" t="s">
        <v>30</v>
      </c>
    </row>
    <row r="1192" customFormat="false" ht="15" hidden="false" customHeight="false" outlineLevel="0" collapsed="false">
      <c r="A1192" s="25" t="n">
        <f aca="false">IF(G1192="REJECT",COUNTIF($G$2:$G$2277,"&lt;&gt;REJECT")+1+COUNTIFS($G$2:$G$2277,"REJECT",$B$2:$B$2277,"&gt;"&amp;B1192),1+COUNTIFS($G$2:$G$2277,"&lt;&gt;REJECT",$B$2:$B$2277,"&gt;"&amp;B1192))</f>
        <v>1190</v>
      </c>
      <c r="B1192" s="26" t="n">
        <f aca="false">ROUND(($U$2*MAX(0,MIN(1,($W$2-I1192)/($W$2-$V$2)))+$U$3*MAX(0,MIN(1,($W$3-J1192)/($W$3-$V$3)))+$U$4*MAX(0,MIN(1,($W$4-K1192)/($W$4-$V$4)))+$U$5*MAX(0,MIN(1,($W$5-L1192)/($W$5-$V$5)))+$U$6*MAX(0,MIN(1,($W$6-M1192)/($W$6-$V$6)))+$U$7*MAX(0,MIN(1,($W$7-N1192)/($W$7-$V$7)))+$U$8*IF(AND(O1192&gt;=$V$8,O1192&lt;=$W$8),1,0))/$U$9*100,2)</f>
        <v>71.58</v>
      </c>
      <c r="C1192" s="27" t="s">
        <v>1663</v>
      </c>
      <c r="D1192" s="25" t="s">
        <v>134</v>
      </c>
      <c r="E1192" s="25" t="s">
        <v>3450</v>
      </c>
      <c r="F1192" s="25" t="s">
        <v>3457</v>
      </c>
      <c r="G1192" s="38" t="s">
        <v>30</v>
      </c>
      <c r="H1192" s="28" t="s">
        <v>25</v>
      </c>
      <c r="I1192" s="25" t="n">
        <v>2</v>
      </c>
      <c r="J1192" s="25" t="n">
        <v>1</v>
      </c>
      <c r="K1192" s="25" t="n">
        <v>2</v>
      </c>
      <c r="L1192" s="29" t="n">
        <v>0.75</v>
      </c>
      <c r="M1192" s="30" t="n">
        <v>9.52</v>
      </c>
      <c r="N1192" s="29" t="n">
        <v>0.8</v>
      </c>
      <c r="O1192" s="25" t="n">
        <v>185</v>
      </c>
      <c r="P1192" s="30" t="n">
        <v>14.31</v>
      </c>
      <c r="Q1192" s="27" t="s">
        <v>3566</v>
      </c>
      <c r="R1192" s="27" t="s">
        <v>283</v>
      </c>
    </row>
    <row r="1193" customFormat="false" ht="15" hidden="false" customHeight="false" outlineLevel="0" collapsed="false">
      <c r="A1193" s="25" t="n">
        <f aca="false">IF(G1193="REJECT",COUNTIF($G$2:$G$2277,"&lt;&gt;REJECT")+1+COUNTIFS($G$2:$G$2277,"REJECT",$B$2:$B$2277,"&gt;"&amp;B1193),1+COUNTIFS($G$2:$G$2277,"&lt;&gt;REJECT",$B$2:$B$2277,"&gt;"&amp;B1193))</f>
        <v>1192</v>
      </c>
      <c r="B1193" s="26" t="n">
        <f aca="false">ROUND(($U$2*MAX(0,MIN(1,($W$2-I1193)/($W$2-$V$2)))+$U$3*MAX(0,MIN(1,($W$3-J1193)/($W$3-$V$3)))+$U$4*MAX(0,MIN(1,($W$4-K1193)/($W$4-$V$4)))+$U$5*MAX(0,MIN(1,($W$5-L1193)/($W$5-$V$5)))+$U$6*MAX(0,MIN(1,($W$6-M1193)/($W$6-$V$6)))+$U$7*MAX(0,MIN(1,($W$7-N1193)/($W$7-$V$7)))+$U$8*IF(AND(O1193&gt;=$V$8,O1193&lt;=$W$8),1,0))/$U$9*100,2)</f>
        <v>71.56</v>
      </c>
      <c r="C1193" s="27" t="s">
        <v>615</v>
      </c>
      <c r="D1193" s="25" t="s">
        <v>134</v>
      </c>
      <c r="E1193" s="25" t="s">
        <v>3447</v>
      </c>
      <c r="F1193" s="25" t="s">
        <v>3457</v>
      </c>
      <c r="G1193" s="38" t="s">
        <v>30</v>
      </c>
      <c r="H1193" s="28" t="s">
        <v>25</v>
      </c>
      <c r="I1193" s="25" t="n">
        <v>4</v>
      </c>
      <c r="J1193" s="25" t="n">
        <v>0</v>
      </c>
      <c r="K1193" s="25" t="n">
        <v>4</v>
      </c>
      <c r="L1193" s="29" t="n">
        <v>0.81</v>
      </c>
      <c r="M1193" s="30" t="n">
        <v>11.06</v>
      </c>
      <c r="N1193" s="29" t="n">
        <v>0.96</v>
      </c>
      <c r="O1193" s="25" t="n">
        <v>192</v>
      </c>
      <c r="P1193" s="30" t="n">
        <v>-0.43</v>
      </c>
      <c r="Q1193" s="27" t="s">
        <v>3621</v>
      </c>
      <c r="R1193" s="27" t="s">
        <v>2133</v>
      </c>
    </row>
    <row r="1194" customFormat="false" ht="15" hidden="false" customHeight="false" outlineLevel="0" collapsed="false">
      <c r="A1194" s="25" t="n">
        <f aca="false">IF(G1194="REJECT",COUNTIF($G$2:$G$2277,"&lt;&gt;REJECT")+1+COUNTIFS($G$2:$G$2277,"REJECT",$B$2:$B$2277,"&gt;"&amp;B1194),1+COUNTIFS($G$2:$G$2277,"&lt;&gt;REJECT",$B$2:$B$2277,"&gt;"&amp;B1194))</f>
        <v>1193</v>
      </c>
      <c r="B1194" s="26" t="n">
        <f aca="false">ROUND(($U$2*MAX(0,MIN(1,($W$2-I1194)/($W$2-$V$2)))+$U$3*MAX(0,MIN(1,($W$3-J1194)/($W$3-$V$3)))+$U$4*MAX(0,MIN(1,($W$4-K1194)/($W$4-$V$4)))+$U$5*MAX(0,MIN(1,($W$5-L1194)/($W$5-$V$5)))+$U$6*MAX(0,MIN(1,($W$6-M1194)/($W$6-$V$6)))+$U$7*MAX(0,MIN(1,($W$7-N1194)/($W$7-$V$7)))+$U$8*IF(AND(O1194&gt;=$V$8,O1194&lt;=$W$8),1,0))/$U$9*100,2)</f>
        <v>71.55</v>
      </c>
      <c r="C1194" s="27" t="s">
        <v>2010</v>
      </c>
      <c r="D1194" s="25" t="s">
        <v>134</v>
      </c>
      <c r="E1194" s="25" t="s">
        <v>3447</v>
      </c>
      <c r="F1194" s="25" t="s">
        <v>3448</v>
      </c>
      <c r="G1194" s="38" t="s">
        <v>30</v>
      </c>
      <c r="H1194" s="28" t="s">
        <v>25</v>
      </c>
      <c r="I1194" s="25" t="n">
        <v>4</v>
      </c>
      <c r="J1194" s="25" t="n">
        <v>0</v>
      </c>
      <c r="K1194" s="25" t="n">
        <v>4</v>
      </c>
      <c r="L1194" s="29" t="n">
        <v>0.83</v>
      </c>
      <c r="M1194" s="30" t="n">
        <v>11.53</v>
      </c>
      <c r="N1194" s="29" t="n">
        <v>0.92</v>
      </c>
      <c r="O1194" s="25" t="n">
        <v>184</v>
      </c>
      <c r="P1194" s="30" t="n">
        <v>-1.29</v>
      </c>
      <c r="Q1194" s="27" t="s">
        <v>3597</v>
      </c>
      <c r="R1194" s="27" t="s">
        <v>2610</v>
      </c>
    </row>
    <row r="1195" customFormat="false" ht="15" hidden="false" customHeight="false" outlineLevel="0" collapsed="false">
      <c r="A1195" s="25" t="n">
        <f aca="false">IF(G1195="REJECT",COUNTIF($G$2:$G$2277,"&lt;&gt;REJECT")+1+COUNTIFS($G$2:$G$2277,"REJECT",$B$2:$B$2277,"&gt;"&amp;B1195),1+COUNTIFS($G$2:$G$2277,"&lt;&gt;REJECT",$B$2:$B$2277,"&gt;"&amp;B1195))</f>
        <v>1194</v>
      </c>
      <c r="B1195" s="26" t="n">
        <f aca="false">ROUND(($U$2*MAX(0,MIN(1,($W$2-I1195)/($W$2-$V$2)))+$U$3*MAX(0,MIN(1,($W$3-J1195)/($W$3-$V$3)))+$U$4*MAX(0,MIN(1,($W$4-K1195)/($W$4-$V$4)))+$U$5*MAX(0,MIN(1,($W$5-L1195)/($W$5-$V$5)))+$U$6*MAX(0,MIN(1,($W$6-M1195)/($W$6-$V$6)))+$U$7*MAX(0,MIN(1,($W$7-N1195)/($W$7-$V$7)))+$U$8*IF(AND(O1195&gt;=$V$8,O1195&lt;=$W$8),1,0))/$U$9*100,2)</f>
        <v>71.53</v>
      </c>
      <c r="C1195" s="27" t="s">
        <v>1876</v>
      </c>
      <c r="D1195" s="25" t="s">
        <v>3459</v>
      </c>
      <c r="E1195" s="25" t="s">
        <v>3450</v>
      </c>
      <c r="F1195" s="25" t="s">
        <v>3457</v>
      </c>
      <c r="G1195" s="38" t="s">
        <v>30</v>
      </c>
      <c r="H1195" s="28" t="s">
        <v>25</v>
      </c>
      <c r="I1195" s="25" t="n">
        <v>1</v>
      </c>
      <c r="J1195" s="25" t="n">
        <v>1</v>
      </c>
      <c r="K1195" s="25" t="n">
        <v>1</v>
      </c>
      <c r="L1195" s="29" t="n">
        <v>0.66</v>
      </c>
      <c r="M1195" s="30" t="n">
        <v>14.55</v>
      </c>
      <c r="N1195" s="29" t="n">
        <v>0.84</v>
      </c>
      <c r="O1195" s="25" t="n">
        <v>182</v>
      </c>
      <c r="P1195" s="30" t="n">
        <v>9.94</v>
      </c>
      <c r="Q1195" s="27" t="s">
        <v>69</v>
      </c>
      <c r="R1195" s="27" t="s">
        <v>283</v>
      </c>
    </row>
    <row r="1196" customFormat="false" ht="15" hidden="false" customHeight="false" outlineLevel="0" collapsed="false">
      <c r="A1196" s="25" t="n">
        <f aca="false">IF(G1196="REJECT",COUNTIF($G$2:$G$2277,"&lt;&gt;REJECT")+1+COUNTIFS($G$2:$G$2277,"REJECT",$B$2:$B$2277,"&gt;"&amp;B1196),1+COUNTIFS($G$2:$G$2277,"&lt;&gt;REJECT",$B$2:$B$2277,"&gt;"&amp;B1196))</f>
        <v>1195</v>
      </c>
      <c r="B1196" s="26" t="n">
        <f aca="false">ROUND(($U$2*MAX(0,MIN(1,($W$2-I1196)/($W$2-$V$2)))+$U$3*MAX(0,MIN(1,($W$3-J1196)/($W$3-$V$3)))+$U$4*MAX(0,MIN(1,($W$4-K1196)/($W$4-$V$4)))+$U$5*MAX(0,MIN(1,($W$5-L1196)/($W$5-$V$5)))+$U$6*MAX(0,MIN(1,($W$6-M1196)/($W$6-$V$6)))+$U$7*MAX(0,MIN(1,($W$7-N1196)/($W$7-$V$7)))+$U$8*IF(AND(O1196&gt;=$V$8,O1196&lt;=$W$8),1,0))/$U$9*100,2)</f>
        <v>71.48</v>
      </c>
      <c r="C1196" s="27" t="s">
        <v>2752</v>
      </c>
      <c r="D1196" s="25" t="s">
        <v>3459</v>
      </c>
      <c r="E1196" s="25" t="s">
        <v>3450</v>
      </c>
      <c r="F1196" s="25" t="s">
        <v>3448</v>
      </c>
      <c r="G1196" s="38" t="s">
        <v>30</v>
      </c>
      <c r="H1196" s="28" t="s">
        <v>25</v>
      </c>
      <c r="I1196" s="25" t="n">
        <v>1</v>
      </c>
      <c r="J1196" s="25" t="n">
        <v>1</v>
      </c>
      <c r="K1196" s="25" t="n">
        <v>1</v>
      </c>
      <c r="L1196" s="29" t="n">
        <v>0.67</v>
      </c>
      <c r="M1196" s="30" t="n">
        <v>24.85</v>
      </c>
      <c r="N1196" s="29" t="n">
        <v>0.2</v>
      </c>
      <c r="O1196" s="25" t="n">
        <v>183</v>
      </c>
      <c r="P1196" s="30" t="n">
        <v>8.93</v>
      </c>
      <c r="Q1196" s="27" t="s">
        <v>70</v>
      </c>
      <c r="R1196" s="27" t="s">
        <v>183</v>
      </c>
    </row>
    <row r="1197" customFormat="false" ht="15" hidden="false" customHeight="false" outlineLevel="0" collapsed="false">
      <c r="A1197" s="25" t="n">
        <f aca="false">IF(G1197="REJECT",COUNTIF($G$2:$G$2277,"&lt;&gt;REJECT")+1+COUNTIFS($G$2:$G$2277,"REJECT",$B$2:$B$2277,"&gt;"&amp;B1197),1+COUNTIFS($G$2:$G$2277,"&lt;&gt;REJECT",$B$2:$B$2277,"&gt;"&amp;B1197))</f>
        <v>1196</v>
      </c>
      <c r="B1197" s="26" t="n">
        <f aca="false">ROUND(($U$2*MAX(0,MIN(1,($W$2-I1197)/($W$2-$V$2)))+$U$3*MAX(0,MIN(1,($W$3-J1197)/($W$3-$V$3)))+$U$4*MAX(0,MIN(1,($W$4-K1197)/($W$4-$V$4)))+$U$5*MAX(0,MIN(1,($W$5-L1197)/($W$5-$V$5)))+$U$6*MAX(0,MIN(1,($W$6-M1197)/($W$6-$V$6)))+$U$7*MAX(0,MIN(1,($W$7-N1197)/($W$7-$V$7)))+$U$8*IF(AND(O1197&gt;=$V$8,O1197&lt;=$W$8),1,0))/$U$9*100,2)</f>
        <v>71.46</v>
      </c>
      <c r="C1197" s="27" t="s">
        <v>545</v>
      </c>
      <c r="D1197" s="25" t="s">
        <v>134</v>
      </c>
      <c r="E1197" s="25" t="s">
        <v>3447</v>
      </c>
      <c r="F1197" s="25" t="s">
        <v>3448</v>
      </c>
      <c r="G1197" s="38" t="s">
        <v>30</v>
      </c>
      <c r="H1197" s="28" t="s">
        <v>25</v>
      </c>
      <c r="I1197" s="25" t="n">
        <v>4</v>
      </c>
      <c r="J1197" s="25" t="n">
        <v>0</v>
      </c>
      <c r="K1197" s="25" t="n">
        <v>4</v>
      </c>
      <c r="L1197" s="29" t="n">
        <v>0.78</v>
      </c>
      <c r="M1197" s="30" t="n">
        <v>12.43</v>
      </c>
      <c r="N1197" s="29" t="n">
        <v>0.16</v>
      </c>
      <c r="O1197" s="25" t="n">
        <v>183</v>
      </c>
      <c r="P1197" s="30" t="n">
        <v>-0.43</v>
      </c>
      <c r="Q1197" s="27" t="s">
        <v>3622</v>
      </c>
      <c r="R1197" s="27" t="s">
        <v>2610</v>
      </c>
    </row>
    <row r="1198" customFormat="false" ht="15" hidden="false" customHeight="false" outlineLevel="0" collapsed="false">
      <c r="A1198" s="25" t="n">
        <f aca="false">IF(G1198="REJECT",COUNTIF($G$2:$G$2277,"&lt;&gt;REJECT")+1+COUNTIFS($G$2:$G$2277,"REJECT",$B$2:$B$2277,"&gt;"&amp;B1198),1+COUNTIFS($G$2:$G$2277,"&lt;&gt;REJECT",$B$2:$B$2277,"&gt;"&amp;B1198))</f>
        <v>1196</v>
      </c>
      <c r="B1198" s="26" t="n">
        <f aca="false">ROUND(($U$2*MAX(0,MIN(1,($W$2-I1198)/($W$2-$V$2)))+$U$3*MAX(0,MIN(1,($W$3-J1198)/($W$3-$V$3)))+$U$4*MAX(0,MIN(1,($W$4-K1198)/($W$4-$V$4)))+$U$5*MAX(0,MIN(1,($W$5-L1198)/($W$5-$V$5)))+$U$6*MAX(0,MIN(1,($W$6-M1198)/($W$6-$V$6)))+$U$7*MAX(0,MIN(1,($W$7-N1198)/($W$7-$V$7)))+$U$8*IF(AND(O1198&gt;=$V$8,O1198&lt;=$W$8),1,0))/$U$9*100,2)</f>
        <v>71.46</v>
      </c>
      <c r="C1198" s="27" t="s">
        <v>3087</v>
      </c>
      <c r="D1198" s="25" t="s">
        <v>134</v>
      </c>
      <c r="E1198" s="25" t="s">
        <v>3450</v>
      </c>
      <c r="F1198" s="25" t="s">
        <v>3448</v>
      </c>
      <c r="G1198" s="38" t="s">
        <v>30</v>
      </c>
      <c r="H1198" s="28" t="s">
        <v>25</v>
      </c>
      <c r="I1198" s="25" t="n">
        <v>2</v>
      </c>
      <c r="J1198" s="25" t="n">
        <v>1</v>
      </c>
      <c r="K1198" s="25" t="n">
        <v>2</v>
      </c>
      <c r="L1198" s="29" t="n">
        <v>0.74</v>
      </c>
      <c r="M1198" s="30" t="n">
        <v>11.44</v>
      </c>
      <c r="N1198" s="29" t="n">
        <v>0.32</v>
      </c>
      <c r="O1198" s="25" t="n">
        <v>183</v>
      </c>
      <c r="P1198" s="30" t="n">
        <v>5.39</v>
      </c>
      <c r="Q1198" s="27" t="s">
        <v>3575</v>
      </c>
      <c r="R1198" s="27" t="s">
        <v>283</v>
      </c>
    </row>
    <row r="1199" customFormat="false" ht="15" hidden="false" customHeight="false" outlineLevel="0" collapsed="false">
      <c r="A1199" s="25" t="n">
        <f aca="false">IF(G1199="REJECT",COUNTIF($G$2:$G$2277,"&lt;&gt;REJECT")+1+COUNTIFS($G$2:$G$2277,"REJECT",$B$2:$B$2277,"&gt;"&amp;B1199),1+COUNTIFS($G$2:$G$2277,"&lt;&gt;REJECT",$B$2:$B$2277,"&gt;"&amp;B1199))</f>
        <v>1198</v>
      </c>
      <c r="B1199" s="26" t="n">
        <f aca="false">ROUND(($U$2*MAX(0,MIN(1,($W$2-I1199)/($W$2-$V$2)))+$U$3*MAX(0,MIN(1,($W$3-J1199)/($W$3-$V$3)))+$U$4*MAX(0,MIN(1,($W$4-K1199)/($W$4-$V$4)))+$U$5*MAX(0,MIN(1,($W$5-L1199)/($W$5-$V$5)))+$U$6*MAX(0,MIN(1,($W$6-M1199)/($W$6-$V$6)))+$U$7*MAX(0,MIN(1,($W$7-N1199)/($W$7-$V$7)))+$U$8*IF(AND(O1199&gt;=$V$8,O1199&lt;=$W$8),1,0))/$U$9*100,2)</f>
        <v>71.45</v>
      </c>
      <c r="C1199" s="27" t="s">
        <v>1380</v>
      </c>
      <c r="D1199" s="25" t="s">
        <v>134</v>
      </c>
      <c r="E1199" s="25" t="s">
        <v>3450</v>
      </c>
      <c r="F1199" s="25" t="s">
        <v>3457</v>
      </c>
      <c r="G1199" s="38" t="s">
        <v>30</v>
      </c>
      <c r="H1199" s="28" t="s">
        <v>25</v>
      </c>
      <c r="I1199" s="25" t="n">
        <v>3</v>
      </c>
      <c r="J1199" s="25" t="n">
        <v>0</v>
      </c>
      <c r="K1199" s="25" t="n">
        <v>3</v>
      </c>
      <c r="L1199" s="29" t="n">
        <v>0.72</v>
      </c>
      <c r="M1199" s="30" t="n">
        <v>31.29</v>
      </c>
      <c r="N1199" s="29" t="n">
        <v>0</v>
      </c>
      <c r="O1199" s="25" t="n">
        <v>189</v>
      </c>
      <c r="P1199" s="30" t="n">
        <v>13.24</v>
      </c>
      <c r="Q1199" s="27" t="s">
        <v>3623</v>
      </c>
      <c r="R1199" s="27" t="s">
        <v>3492</v>
      </c>
    </row>
    <row r="1200" customFormat="false" ht="15" hidden="false" customHeight="false" outlineLevel="0" collapsed="false">
      <c r="A1200" s="25" t="n">
        <f aca="false">IF(G1200="REJECT",COUNTIF($G$2:$G$2277,"&lt;&gt;REJECT")+1+COUNTIFS($G$2:$G$2277,"REJECT",$B$2:$B$2277,"&gt;"&amp;B1200),1+COUNTIFS($G$2:$G$2277,"&lt;&gt;REJECT",$B$2:$B$2277,"&gt;"&amp;B1200))</f>
        <v>1199</v>
      </c>
      <c r="B1200" s="26" t="n">
        <f aca="false">ROUND(($U$2*MAX(0,MIN(1,($W$2-I1200)/($W$2-$V$2)))+$U$3*MAX(0,MIN(1,($W$3-J1200)/($W$3-$V$3)))+$U$4*MAX(0,MIN(1,($W$4-K1200)/($W$4-$V$4)))+$U$5*MAX(0,MIN(1,($W$5-L1200)/($W$5-$V$5)))+$U$6*MAX(0,MIN(1,($W$6-M1200)/($W$6-$V$6)))+$U$7*MAX(0,MIN(1,($W$7-N1200)/($W$7-$V$7)))+$U$8*IF(AND(O1200&gt;=$V$8,O1200&lt;=$W$8),1,0))/$U$9*100,2)</f>
        <v>71.42</v>
      </c>
      <c r="C1200" s="27" t="s">
        <v>3311</v>
      </c>
      <c r="D1200" s="25" t="s">
        <v>134</v>
      </c>
      <c r="E1200" s="25" t="s">
        <v>3450</v>
      </c>
      <c r="F1200" s="25" t="s">
        <v>3457</v>
      </c>
      <c r="G1200" s="38" t="s">
        <v>30</v>
      </c>
      <c r="H1200" s="28" t="s">
        <v>25</v>
      </c>
      <c r="I1200" s="25" t="n">
        <v>2</v>
      </c>
      <c r="J1200" s="25" t="n">
        <v>1</v>
      </c>
      <c r="K1200" s="25" t="n">
        <v>2</v>
      </c>
      <c r="L1200" s="29" t="n">
        <v>0.72</v>
      </c>
      <c r="M1200" s="30" t="n">
        <v>7.71</v>
      </c>
      <c r="N1200" s="29" t="n">
        <v>0</v>
      </c>
      <c r="O1200" s="25" t="n">
        <v>184</v>
      </c>
      <c r="P1200" s="30" t="n">
        <v>16.46</v>
      </c>
      <c r="Q1200" s="27" t="s">
        <v>3566</v>
      </c>
      <c r="R1200" s="27" t="s">
        <v>283</v>
      </c>
    </row>
    <row r="1201" customFormat="false" ht="15" hidden="false" customHeight="false" outlineLevel="0" collapsed="false">
      <c r="A1201" s="25" t="n">
        <f aca="false">IF(G1201="REJECT",COUNTIF($G$2:$G$2277,"&lt;&gt;REJECT")+1+COUNTIFS($G$2:$G$2277,"REJECT",$B$2:$B$2277,"&gt;"&amp;B1201),1+COUNTIFS($G$2:$G$2277,"&lt;&gt;REJECT",$B$2:$B$2277,"&gt;"&amp;B1201))</f>
        <v>1200</v>
      </c>
      <c r="B1201" s="26" t="n">
        <f aca="false">ROUND(($U$2*MAX(0,MIN(1,($W$2-I1201)/($W$2-$V$2)))+$U$3*MAX(0,MIN(1,($W$3-J1201)/($W$3-$V$3)))+$U$4*MAX(0,MIN(1,($W$4-K1201)/($W$4-$V$4)))+$U$5*MAX(0,MIN(1,($W$5-L1201)/($W$5-$V$5)))+$U$6*MAX(0,MIN(1,($W$6-M1201)/($W$6-$V$6)))+$U$7*MAX(0,MIN(1,($W$7-N1201)/($W$7-$V$7)))+$U$8*IF(AND(O1201&gt;=$V$8,O1201&lt;=$W$8),1,0))/$U$9*100,2)</f>
        <v>71.41</v>
      </c>
      <c r="C1201" s="27" t="s">
        <v>1876</v>
      </c>
      <c r="D1201" s="25" t="s">
        <v>3459</v>
      </c>
      <c r="E1201" s="25" t="s">
        <v>3447</v>
      </c>
      <c r="F1201" s="25" t="s">
        <v>3457</v>
      </c>
      <c r="G1201" s="38" t="s">
        <v>30</v>
      </c>
      <c r="H1201" s="28" t="s">
        <v>25</v>
      </c>
      <c r="I1201" s="25" t="n">
        <v>1</v>
      </c>
      <c r="J1201" s="25" t="n">
        <v>1</v>
      </c>
      <c r="K1201" s="25" t="n">
        <v>1</v>
      </c>
      <c r="L1201" s="29" t="n">
        <v>0.67</v>
      </c>
      <c r="M1201" s="30" t="n">
        <v>19.27</v>
      </c>
      <c r="N1201" s="29" t="n">
        <v>0.8</v>
      </c>
      <c r="O1201" s="25" t="n">
        <v>183</v>
      </c>
      <c r="P1201" s="30" t="n">
        <v>7.29</v>
      </c>
      <c r="Q1201" s="27" t="s">
        <v>69</v>
      </c>
      <c r="R1201" s="27" t="s">
        <v>283</v>
      </c>
    </row>
    <row r="1202" customFormat="false" ht="15" hidden="false" customHeight="false" outlineLevel="0" collapsed="false">
      <c r="A1202" s="25" t="n">
        <f aca="false">IF(G1202="REJECT",COUNTIF($G$2:$G$2277,"&lt;&gt;REJECT")+1+COUNTIFS($G$2:$G$2277,"REJECT",$B$2:$B$2277,"&gt;"&amp;B1202),1+COUNTIFS($G$2:$G$2277,"&lt;&gt;REJECT",$B$2:$B$2277,"&gt;"&amp;B1202))</f>
        <v>1201</v>
      </c>
      <c r="B1202" s="26" t="n">
        <f aca="false">ROUND(($U$2*MAX(0,MIN(1,($W$2-I1202)/($W$2-$V$2)))+$U$3*MAX(0,MIN(1,($W$3-J1202)/($W$3-$V$3)))+$U$4*MAX(0,MIN(1,($W$4-K1202)/($W$4-$V$4)))+$U$5*MAX(0,MIN(1,($W$5-L1202)/($W$5-$V$5)))+$U$6*MAX(0,MIN(1,($W$6-M1202)/($W$6-$V$6)))+$U$7*MAX(0,MIN(1,($W$7-N1202)/($W$7-$V$7)))+$U$8*IF(AND(O1202&gt;=$V$8,O1202&lt;=$W$8),1,0))/$U$9*100,2)</f>
        <v>71.4</v>
      </c>
      <c r="C1202" s="27" t="s">
        <v>449</v>
      </c>
      <c r="D1202" s="25" t="s">
        <v>3459</v>
      </c>
      <c r="E1202" s="25" t="s">
        <v>3450</v>
      </c>
      <c r="F1202" s="25" t="s">
        <v>3448</v>
      </c>
      <c r="G1202" s="38" t="s">
        <v>30</v>
      </c>
      <c r="H1202" s="28" t="s">
        <v>25</v>
      </c>
      <c r="I1202" s="25" t="n">
        <v>2</v>
      </c>
      <c r="J1202" s="25" t="n">
        <v>1</v>
      </c>
      <c r="K1202" s="25" t="n">
        <v>2</v>
      </c>
      <c r="L1202" s="29" t="n">
        <v>0.73</v>
      </c>
      <c r="M1202" s="30" t="n">
        <v>4.19</v>
      </c>
      <c r="N1202" s="29" t="n">
        <v>0.72</v>
      </c>
      <c r="O1202" s="25" t="n">
        <v>183</v>
      </c>
      <c r="P1202" s="30" t="n">
        <v>9.55</v>
      </c>
      <c r="Q1202" s="27" t="s">
        <v>3575</v>
      </c>
      <c r="R1202" s="27" t="s">
        <v>283</v>
      </c>
    </row>
    <row r="1203" customFormat="false" ht="15" hidden="false" customHeight="false" outlineLevel="0" collapsed="false">
      <c r="A1203" s="25" t="n">
        <f aca="false">IF(G1203="REJECT",COUNTIF($G$2:$G$2277,"&lt;&gt;REJECT")+1+COUNTIFS($G$2:$G$2277,"REJECT",$B$2:$B$2277,"&gt;"&amp;B1203),1+COUNTIFS($G$2:$G$2277,"&lt;&gt;REJECT",$B$2:$B$2277,"&gt;"&amp;B1203))</f>
        <v>1202</v>
      </c>
      <c r="B1203" s="26" t="n">
        <f aca="false">ROUND(($U$2*MAX(0,MIN(1,($W$2-I1203)/($W$2-$V$2)))+$U$3*MAX(0,MIN(1,($W$3-J1203)/($W$3-$V$3)))+$U$4*MAX(0,MIN(1,($W$4-K1203)/($W$4-$V$4)))+$U$5*MAX(0,MIN(1,($W$5-L1203)/($W$5-$V$5)))+$U$6*MAX(0,MIN(1,($W$6-M1203)/($W$6-$V$6)))+$U$7*MAX(0,MIN(1,($W$7-N1203)/($W$7-$V$7)))+$U$8*IF(AND(O1203&gt;=$V$8,O1203&lt;=$W$8),1,0))/$U$9*100,2)</f>
        <v>71.39</v>
      </c>
      <c r="C1203" s="27" t="s">
        <v>1370</v>
      </c>
      <c r="D1203" s="25" t="s">
        <v>134</v>
      </c>
      <c r="E1203" s="25" t="s">
        <v>3447</v>
      </c>
      <c r="F1203" s="25" t="s">
        <v>3448</v>
      </c>
      <c r="G1203" s="38" t="s">
        <v>30</v>
      </c>
      <c r="H1203" s="28" t="s">
        <v>25</v>
      </c>
      <c r="I1203" s="25" t="n">
        <v>4</v>
      </c>
      <c r="J1203" s="25" t="n">
        <v>0</v>
      </c>
      <c r="K1203" s="25" t="n">
        <v>4</v>
      </c>
      <c r="L1203" s="29" t="n">
        <v>0.81</v>
      </c>
      <c r="M1203" s="30" t="n">
        <v>20.49</v>
      </c>
      <c r="N1203" s="29" t="n">
        <v>0.12</v>
      </c>
      <c r="O1203" s="25" t="n">
        <v>184</v>
      </c>
      <c r="P1203" s="30" t="n">
        <v>10.59</v>
      </c>
      <c r="Q1203" s="27" t="s">
        <v>3624</v>
      </c>
      <c r="R1203" s="27" t="s">
        <v>992</v>
      </c>
    </row>
    <row r="1204" customFormat="false" ht="15" hidden="false" customHeight="false" outlineLevel="0" collapsed="false">
      <c r="A1204" s="25" t="n">
        <f aca="false">IF(G1204="REJECT",COUNTIF($G$2:$G$2277,"&lt;&gt;REJECT")+1+COUNTIFS($G$2:$G$2277,"REJECT",$B$2:$B$2277,"&gt;"&amp;B1204),1+COUNTIFS($G$2:$G$2277,"&lt;&gt;REJECT",$B$2:$B$2277,"&gt;"&amp;B1204))</f>
        <v>1203</v>
      </c>
      <c r="B1204" s="26" t="n">
        <f aca="false">ROUND(($U$2*MAX(0,MIN(1,($W$2-I1204)/($W$2-$V$2)))+$U$3*MAX(0,MIN(1,($W$3-J1204)/($W$3-$V$3)))+$U$4*MAX(0,MIN(1,($W$4-K1204)/($W$4-$V$4)))+$U$5*MAX(0,MIN(1,($W$5-L1204)/($W$5-$V$5)))+$U$6*MAX(0,MIN(1,($W$6-M1204)/($W$6-$V$6)))+$U$7*MAX(0,MIN(1,($W$7-N1204)/($W$7-$V$7)))+$U$8*IF(AND(O1204&gt;=$V$8,O1204&lt;=$W$8),1,0))/$U$9*100,2)</f>
        <v>71.36</v>
      </c>
      <c r="C1204" s="27" t="s">
        <v>2953</v>
      </c>
      <c r="D1204" s="25" t="s">
        <v>134</v>
      </c>
      <c r="E1204" s="25" t="s">
        <v>3447</v>
      </c>
      <c r="F1204" s="25" t="s">
        <v>3448</v>
      </c>
      <c r="G1204" s="38" t="s">
        <v>30</v>
      </c>
      <c r="H1204" s="28" t="s">
        <v>25</v>
      </c>
      <c r="I1204" s="25" t="n">
        <v>4</v>
      </c>
      <c r="J1204" s="25" t="n">
        <v>0</v>
      </c>
      <c r="K1204" s="25" t="n">
        <v>4</v>
      </c>
      <c r="L1204" s="29" t="n">
        <v>0.77</v>
      </c>
      <c r="M1204" s="30" t="n">
        <v>2.27</v>
      </c>
      <c r="N1204" s="29" t="n">
        <v>0.88</v>
      </c>
      <c r="O1204" s="25" t="n">
        <v>212</v>
      </c>
      <c r="P1204" s="30" t="n">
        <v>-1.21</v>
      </c>
      <c r="Q1204" s="27" t="s">
        <v>3625</v>
      </c>
      <c r="R1204" s="27" t="s">
        <v>2610</v>
      </c>
    </row>
    <row r="1205" customFormat="false" ht="15" hidden="false" customHeight="false" outlineLevel="0" collapsed="false">
      <c r="A1205" s="25" t="n">
        <f aca="false">IF(G1205="REJECT",COUNTIF($G$2:$G$2277,"&lt;&gt;REJECT")+1+COUNTIFS($G$2:$G$2277,"REJECT",$B$2:$B$2277,"&gt;"&amp;B1205),1+COUNTIFS($G$2:$G$2277,"&lt;&gt;REJECT",$B$2:$B$2277,"&gt;"&amp;B1205))</f>
        <v>1203</v>
      </c>
      <c r="B1205" s="26" t="n">
        <f aca="false">ROUND(($U$2*MAX(0,MIN(1,($W$2-I1205)/($W$2-$V$2)))+$U$3*MAX(0,MIN(1,($W$3-J1205)/($W$3-$V$3)))+$U$4*MAX(0,MIN(1,($W$4-K1205)/($W$4-$V$4)))+$U$5*MAX(0,MIN(1,($W$5-L1205)/($W$5-$V$5)))+$U$6*MAX(0,MIN(1,($W$6-M1205)/($W$6-$V$6)))+$U$7*MAX(0,MIN(1,($W$7-N1205)/($W$7-$V$7)))+$U$8*IF(AND(O1205&gt;=$V$8,O1205&lt;=$W$8),1,0))/$U$9*100,2)</f>
        <v>71.36</v>
      </c>
      <c r="C1205" s="27" t="s">
        <v>3188</v>
      </c>
      <c r="D1205" s="25" t="s">
        <v>134</v>
      </c>
      <c r="E1205" s="25" t="s">
        <v>3447</v>
      </c>
      <c r="F1205" s="25" t="s">
        <v>3448</v>
      </c>
      <c r="G1205" s="38" t="s">
        <v>30</v>
      </c>
      <c r="H1205" s="28" t="s">
        <v>25</v>
      </c>
      <c r="I1205" s="25" t="n">
        <v>2</v>
      </c>
      <c r="J1205" s="25" t="n">
        <v>1</v>
      </c>
      <c r="K1205" s="25" t="n">
        <v>2</v>
      </c>
      <c r="L1205" s="29" t="n">
        <v>0.74</v>
      </c>
      <c r="M1205" s="30" t="n">
        <v>13.64</v>
      </c>
      <c r="N1205" s="29" t="n">
        <v>0.16</v>
      </c>
      <c r="O1205" s="25" t="n">
        <v>183</v>
      </c>
      <c r="P1205" s="30" t="n">
        <v>10.85</v>
      </c>
      <c r="Q1205" s="27" t="s">
        <v>3626</v>
      </c>
      <c r="R1205" s="27" t="s">
        <v>283</v>
      </c>
    </row>
    <row r="1206" customFormat="false" ht="15" hidden="false" customHeight="false" outlineLevel="0" collapsed="false">
      <c r="A1206" s="25" t="n">
        <f aca="false">IF(G1206="REJECT",COUNTIF($G$2:$G$2277,"&lt;&gt;REJECT")+1+COUNTIFS($G$2:$G$2277,"REJECT",$B$2:$B$2277,"&gt;"&amp;B1206),1+COUNTIFS($G$2:$G$2277,"&lt;&gt;REJECT",$B$2:$B$2277,"&gt;"&amp;B1206))</f>
        <v>1205</v>
      </c>
      <c r="B1206" s="26" t="n">
        <f aca="false">ROUND(($U$2*MAX(0,MIN(1,($W$2-I1206)/($W$2-$V$2)))+$U$3*MAX(0,MIN(1,($W$3-J1206)/($W$3-$V$3)))+$U$4*MAX(0,MIN(1,($W$4-K1206)/($W$4-$V$4)))+$U$5*MAX(0,MIN(1,($W$5-L1206)/($W$5-$V$5)))+$U$6*MAX(0,MIN(1,($W$6-M1206)/($W$6-$V$6)))+$U$7*MAX(0,MIN(1,($W$7-N1206)/($W$7-$V$7)))+$U$8*IF(AND(O1206&gt;=$V$8,O1206&lt;=$W$8),1,0))/$U$9*100,2)</f>
        <v>71.3</v>
      </c>
      <c r="C1206" s="27" t="s">
        <v>1149</v>
      </c>
      <c r="D1206" s="25" t="s">
        <v>134</v>
      </c>
      <c r="E1206" s="25" t="s">
        <v>3450</v>
      </c>
      <c r="F1206" s="25" t="s">
        <v>3457</v>
      </c>
      <c r="G1206" s="38" t="s">
        <v>30</v>
      </c>
      <c r="H1206" s="28" t="s">
        <v>25</v>
      </c>
      <c r="I1206" s="25" t="n">
        <v>1</v>
      </c>
      <c r="J1206" s="25" t="n">
        <v>1</v>
      </c>
      <c r="K1206" s="25" t="n">
        <v>1</v>
      </c>
      <c r="L1206" s="29" t="n">
        <v>0.66</v>
      </c>
      <c r="M1206" s="30" t="n">
        <v>17.88</v>
      </c>
      <c r="N1206" s="29" t="n">
        <v>0.64</v>
      </c>
      <c r="O1206" s="25" t="n">
        <v>183</v>
      </c>
      <c r="P1206" s="30" t="n">
        <v>14.33</v>
      </c>
      <c r="Q1206" s="27" t="s">
        <v>69</v>
      </c>
      <c r="R1206" s="27" t="s">
        <v>1152</v>
      </c>
    </row>
    <row r="1207" customFormat="false" ht="15" hidden="false" customHeight="false" outlineLevel="0" collapsed="false">
      <c r="A1207" s="25" t="n">
        <f aca="false">IF(G1207="REJECT",COUNTIF($G$2:$G$2277,"&lt;&gt;REJECT")+1+COUNTIFS($G$2:$G$2277,"REJECT",$B$2:$B$2277,"&gt;"&amp;B1207),1+COUNTIFS($G$2:$G$2277,"&lt;&gt;REJECT",$B$2:$B$2277,"&gt;"&amp;B1207))</f>
        <v>1205</v>
      </c>
      <c r="B1207" s="26" t="n">
        <f aca="false">ROUND(($U$2*MAX(0,MIN(1,($W$2-I1207)/($W$2-$V$2)))+$U$3*MAX(0,MIN(1,($W$3-J1207)/($W$3-$V$3)))+$U$4*MAX(0,MIN(1,($W$4-K1207)/($W$4-$V$4)))+$U$5*MAX(0,MIN(1,($W$5-L1207)/($W$5-$V$5)))+$U$6*MAX(0,MIN(1,($W$6-M1207)/($W$6-$V$6)))+$U$7*MAX(0,MIN(1,($W$7-N1207)/($W$7-$V$7)))+$U$8*IF(AND(O1207&gt;=$V$8,O1207&lt;=$W$8),1,0))/$U$9*100,2)</f>
        <v>71.3</v>
      </c>
      <c r="C1207" s="27" t="s">
        <v>3216</v>
      </c>
      <c r="D1207" s="25" t="s">
        <v>134</v>
      </c>
      <c r="E1207" s="25" t="s">
        <v>3447</v>
      </c>
      <c r="F1207" s="25" t="s">
        <v>3448</v>
      </c>
      <c r="G1207" s="38" t="s">
        <v>30</v>
      </c>
      <c r="H1207" s="28" t="s">
        <v>25</v>
      </c>
      <c r="I1207" s="25" t="n">
        <v>2</v>
      </c>
      <c r="J1207" s="25" t="n">
        <v>1</v>
      </c>
      <c r="K1207" s="25" t="n">
        <v>1</v>
      </c>
      <c r="L1207" s="29" t="n">
        <v>0.73</v>
      </c>
      <c r="M1207" s="30" t="n">
        <v>15.63</v>
      </c>
      <c r="N1207" s="29" t="n">
        <v>0.76</v>
      </c>
      <c r="O1207" s="25" t="n">
        <v>186</v>
      </c>
      <c r="P1207" s="30" t="n">
        <v>-1.35</v>
      </c>
      <c r="Q1207" s="27" t="s">
        <v>3601</v>
      </c>
      <c r="R1207" s="27" t="s">
        <v>1152</v>
      </c>
    </row>
    <row r="1208" customFormat="false" ht="15" hidden="false" customHeight="false" outlineLevel="0" collapsed="false">
      <c r="A1208" s="25" t="n">
        <f aca="false">IF(G1208="REJECT",COUNTIF($G$2:$G$2277,"&lt;&gt;REJECT")+1+COUNTIFS($G$2:$G$2277,"REJECT",$B$2:$B$2277,"&gt;"&amp;B1208),1+COUNTIFS($G$2:$G$2277,"&lt;&gt;REJECT",$B$2:$B$2277,"&gt;"&amp;B1208))</f>
        <v>1207</v>
      </c>
      <c r="B1208" s="26" t="n">
        <f aca="false">ROUND(($U$2*MAX(0,MIN(1,($W$2-I1208)/($W$2-$V$2)))+$U$3*MAX(0,MIN(1,($W$3-J1208)/($W$3-$V$3)))+$U$4*MAX(0,MIN(1,($W$4-K1208)/($W$4-$V$4)))+$U$5*MAX(0,MIN(1,($W$5-L1208)/($W$5-$V$5)))+$U$6*MAX(0,MIN(1,($W$6-M1208)/($W$6-$V$6)))+$U$7*MAX(0,MIN(1,($W$7-N1208)/($W$7-$V$7)))+$U$8*IF(AND(O1208&gt;=$V$8,O1208&lt;=$W$8),1,0))/$U$9*100,2)</f>
        <v>71.26</v>
      </c>
      <c r="C1208" s="27" t="s">
        <v>310</v>
      </c>
      <c r="D1208" s="25" t="s">
        <v>134</v>
      </c>
      <c r="E1208" s="25" t="s">
        <v>3450</v>
      </c>
      <c r="F1208" s="25" t="s">
        <v>3448</v>
      </c>
      <c r="G1208" s="38" t="s">
        <v>30</v>
      </c>
      <c r="H1208" s="28" t="s">
        <v>25</v>
      </c>
      <c r="I1208" s="25" t="n">
        <v>2</v>
      </c>
      <c r="J1208" s="25" t="n">
        <v>1</v>
      </c>
      <c r="K1208" s="25" t="n">
        <v>2</v>
      </c>
      <c r="L1208" s="29" t="n">
        <v>0.77</v>
      </c>
      <c r="M1208" s="30" t="n">
        <v>19.86</v>
      </c>
      <c r="N1208" s="29" t="n">
        <v>0.68</v>
      </c>
      <c r="O1208" s="25" t="n">
        <v>182</v>
      </c>
      <c r="P1208" s="30" t="n">
        <v>10.01</v>
      </c>
      <c r="Q1208" s="27" t="s">
        <v>3566</v>
      </c>
      <c r="R1208" s="27" t="s">
        <v>283</v>
      </c>
    </row>
    <row r="1209" customFormat="false" ht="15" hidden="false" customHeight="false" outlineLevel="0" collapsed="false">
      <c r="A1209" s="25" t="n">
        <f aca="false">IF(G1209="REJECT",COUNTIF($G$2:$G$2277,"&lt;&gt;REJECT")+1+COUNTIFS($G$2:$G$2277,"REJECT",$B$2:$B$2277,"&gt;"&amp;B1209),1+COUNTIFS($G$2:$G$2277,"&lt;&gt;REJECT",$B$2:$B$2277,"&gt;"&amp;B1209))</f>
        <v>1208</v>
      </c>
      <c r="B1209" s="26" t="n">
        <f aca="false">ROUND(($U$2*MAX(0,MIN(1,($W$2-I1209)/($W$2-$V$2)))+$U$3*MAX(0,MIN(1,($W$3-J1209)/($W$3-$V$3)))+$U$4*MAX(0,MIN(1,($W$4-K1209)/($W$4-$V$4)))+$U$5*MAX(0,MIN(1,($W$5-L1209)/($W$5-$V$5)))+$U$6*MAX(0,MIN(1,($W$6-M1209)/($W$6-$V$6)))+$U$7*MAX(0,MIN(1,($W$7-N1209)/($W$7-$V$7)))+$U$8*IF(AND(O1209&gt;=$V$8,O1209&lt;=$W$8),1,0))/$U$9*100,2)</f>
        <v>71.23</v>
      </c>
      <c r="C1209" s="27" t="s">
        <v>267</v>
      </c>
      <c r="D1209" s="25" t="s">
        <v>134</v>
      </c>
      <c r="E1209" s="25" t="s">
        <v>3447</v>
      </c>
      <c r="F1209" s="25" t="s">
        <v>3448</v>
      </c>
      <c r="G1209" s="38" t="s">
        <v>30</v>
      </c>
      <c r="H1209" s="33" t="s">
        <v>24</v>
      </c>
      <c r="I1209" s="25" t="n">
        <v>4</v>
      </c>
      <c r="J1209" s="25" t="n">
        <v>0</v>
      </c>
      <c r="K1209" s="25" t="n">
        <v>4</v>
      </c>
      <c r="L1209" s="29" t="n">
        <v>0.83</v>
      </c>
      <c r="M1209" s="30" t="n">
        <v>13.41</v>
      </c>
      <c r="N1209" s="29" t="n">
        <v>0.92</v>
      </c>
      <c r="O1209" s="25" t="n">
        <v>183</v>
      </c>
      <c r="P1209" s="30" t="n">
        <v>0.9</v>
      </c>
      <c r="Q1209" s="27" t="s">
        <v>3627</v>
      </c>
      <c r="R1209" s="27" t="s">
        <v>30</v>
      </c>
    </row>
    <row r="1210" customFormat="false" ht="15" hidden="false" customHeight="false" outlineLevel="0" collapsed="false">
      <c r="A1210" s="25" t="n">
        <f aca="false">IF(G1210="REJECT",COUNTIF($G$2:$G$2277,"&lt;&gt;REJECT")+1+COUNTIFS($G$2:$G$2277,"REJECT",$B$2:$B$2277,"&gt;"&amp;B1210),1+COUNTIFS($G$2:$G$2277,"&lt;&gt;REJECT",$B$2:$B$2277,"&gt;"&amp;B1210))</f>
        <v>1209</v>
      </c>
      <c r="B1210" s="26" t="n">
        <f aca="false">ROUND(($U$2*MAX(0,MIN(1,($W$2-I1210)/($W$2-$V$2)))+$U$3*MAX(0,MIN(1,($W$3-J1210)/($W$3-$V$3)))+$U$4*MAX(0,MIN(1,($W$4-K1210)/($W$4-$V$4)))+$U$5*MAX(0,MIN(1,($W$5-L1210)/($W$5-$V$5)))+$U$6*MAX(0,MIN(1,($W$6-M1210)/($W$6-$V$6)))+$U$7*MAX(0,MIN(1,($W$7-N1210)/($W$7-$V$7)))+$U$8*IF(AND(O1210&gt;=$V$8,O1210&lt;=$W$8),1,0))/$U$9*100,2)</f>
        <v>71.22</v>
      </c>
      <c r="C1210" s="27" t="s">
        <v>1314</v>
      </c>
      <c r="D1210" s="25" t="s">
        <v>134</v>
      </c>
      <c r="E1210" s="25" t="s">
        <v>3450</v>
      </c>
      <c r="F1210" s="25" t="s">
        <v>3448</v>
      </c>
      <c r="G1210" s="38" t="s">
        <v>30</v>
      </c>
      <c r="H1210" s="28" t="s">
        <v>25</v>
      </c>
      <c r="I1210" s="25" t="n">
        <v>1</v>
      </c>
      <c r="J1210" s="25" t="n">
        <v>1</v>
      </c>
      <c r="K1210" s="25" t="n">
        <v>1</v>
      </c>
      <c r="L1210" s="29" t="n">
        <v>0.63</v>
      </c>
      <c r="M1210" s="30" t="n">
        <v>4.8</v>
      </c>
      <c r="N1210" s="29" t="n">
        <v>0.92</v>
      </c>
      <c r="O1210" s="25" t="n">
        <v>183</v>
      </c>
      <c r="P1210" s="30" t="n">
        <v>5.02</v>
      </c>
      <c r="Q1210" s="27" t="s">
        <v>69</v>
      </c>
      <c r="R1210" s="27" t="s">
        <v>1099</v>
      </c>
    </row>
    <row r="1211" customFormat="false" ht="15" hidden="false" customHeight="false" outlineLevel="0" collapsed="false">
      <c r="A1211" s="25" t="n">
        <f aca="false">IF(G1211="REJECT",COUNTIF($G$2:$G$2277,"&lt;&gt;REJECT")+1+COUNTIFS($G$2:$G$2277,"REJECT",$B$2:$B$2277,"&gt;"&amp;B1211),1+COUNTIFS($G$2:$G$2277,"&lt;&gt;REJECT",$B$2:$B$2277,"&gt;"&amp;B1211))</f>
        <v>1210</v>
      </c>
      <c r="B1211" s="26" t="n">
        <f aca="false">ROUND(($U$2*MAX(0,MIN(1,($W$2-I1211)/($W$2-$V$2)))+$U$3*MAX(0,MIN(1,($W$3-J1211)/($W$3-$V$3)))+$U$4*MAX(0,MIN(1,($W$4-K1211)/($W$4-$V$4)))+$U$5*MAX(0,MIN(1,($W$5-L1211)/($W$5-$V$5)))+$U$6*MAX(0,MIN(1,($W$6-M1211)/($W$6-$V$6)))+$U$7*MAX(0,MIN(1,($W$7-N1211)/($W$7-$V$7)))+$U$8*IF(AND(O1211&gt;=$V$8,O1211&lt;=$W$8),1,0))/$U$9*100,2)</f>
        <v>71.21</v>
      </c>
      <c r="C1211" s="27" t="s">
        <v>1320</v>
      </c>
      <c r="D1211" s="25" t="s">
        <v>134</v>
      </c>
      <c r="E1211" s="25" t="s">
        <v>3447</v>
      </c>
      <c r="F1211" s="25" t="s">
        <v>3448</v>
      </c>
      <c r="G1211" s="38" t="s">
        <v>30</v>
      </c>
      <c r="H1211" s="33" t="s">
        <v>24</v>
      </c>
      <c r="I1211" s="25" t="n">
        <v>4</v>
      </c>
      <c r="J1211" s="25" t="n">
        <v>0</v>
      </c>
      <c r="K1211" s="25" t="n">
        <v>4</v>
      </c>
      <c r="L1211" s="29" t="n">
        <v>0.79</v>
      </c>
      <c r="M1211" s="30" t="n">
        <v>17.93</v>
      </c>
      <c r="N1211" s="29" t="n">
        <v>0.12</v>
      </c>
      <c r="O1211" s="25" t="n">
        <v>183</v>
      </c>
      <c r="P1211" s="30" t="n">
        <v>0.55</v>
      </c>
      <c r="Q1211" s="27" t="s">
        <v>3596</v>
      </c>
      <c r="R1211" s="27" t="s">
        <v>30</v>
      </c>
    </row>
    <row r="1212" customFormat="false" ht="15" hidden="false" customHeight="false" outlineLevel="0" collapsed="false">
      <c r="A1212" s="25" t="n">
        <f aca="false">IF(G1212="REJECT",COUNTIF($G$2:$G$2277,"&lt;&gt;REJECT")+1+COUNTIFS($G$2:$G$2277,"REJECT",$B$2:$B$2277,"&gt;"&amp;B1212),1+COUNTIFS($G$2:$G$2277,"&lt;&gt;REJECT",$B$2:$B$2277,"&gt;"&amp;B1212))</f>
        <v>1210</v>
      </c>
      <c r="B1212" s="26" t="n">
        <f aca="false">ROUND(($U$2*MAX(0,MIN(1,($W$2-I1212)/($W$2-$V$2)))+$U$3*MAX(0,MIN(1,($W$3-J1212)/($W$3-$V$3)))+$U$4*MAX(0,MIN(1,($W$4-K1212)/($W$4-$V$4)))+$U$5*MAX(0,MIN(1,($W$5-L1212)/($W$5-$V$5)))+$U$6*MAX(0,MIN(1,($W$6-M1212)/($W$6-$V$6)))+$U$7*MAX(0,MIN(1,($W$7-N1212)/($W$7-$V$7)))+$U$8*IF(AND(O1212&gt;=$V$8,O1212&lt;=$W$8),1,0))/$U$9*100,2)</f>
        <v>71.21</v>
      </c>
      <c r="C1212" s="27" t="s">
        <v>2761</v>
      </c>
      <c r="D1212" s="25" t="s">
        <v>134</v>
      </c>
      <c r="E1212" s="25" t="s">
        <v>3450</v>
      </c>
      <c r="F1212" s="25" t="s">
        <v>3457</v>
      </c>
      <c r="G1212" s="38" t="s">
        <v>30</v>
      </c>
      <c r="H1212" s="28" t="s">
        <v>25</v>
      </c>
      <c r="I1212" s="25" t="n">
        <v>1</v>
      </c>
      <c r="J1212" s="25" t="n">
        <v>1</v>
      </c>
      <c r="K1212" s="25" t="n">
        <v>1</v>
      </c>
      <c r="L1212" s="29" t="n">
        <v>0.64</v>
      </c>
      <c r="M1212" s="30" t="n">
        <v>17.62</v>
      </c>
      <c r="N1212" s="29" t="n">
        <v>0</v>
      </c>
      <c r="O1212" s="25" t="n">
        <v>183</v>
      </c>
      <c r="P1212" s="30" t="n">
        <v>14.74</v>
      </c>
      <c r="Q1212" s="27" t="s">
        <v>70</v>
      </c>
      <c r="R1212" s="27" t="s">
        <v>283</v>
      </c>
    </row>
    <row r="1213" customFormat="false" ht="15" hidden="false" customHeight="false" outlineLevel="0" collapsed="false">
      <c r="A1213" s="25" t="n">
        <f aca="false">IF(G1213="REJECT",COUNTIF($G$2:$G$2277,"&lt;&gt;REJECT")+1+COUNTIFS($G$2:$G$2277,"REJECT",$B$2:$B$2277,"&gt;"&amp;B1213),1+COUNTIFS($G$2:$G$2277,"&lt;&gt;REJECT",$B$2:$B$2277,"&gt;"&amp;B1213))</f>
        <v>1212</v>
      </c>
      <c r="B1213" s="26" t="n">
        <f aca="false">ROUND(($U$2*MAX(0,MIN(1,($W$2-I1213)/($W$2-$V$2)))+$U$3*MAX(0,MIN(1,($W$3-J1213)/($W$3-$V$3)))+$U$4*MAX(0,MIN(1,($W$4-K1213)/($W$4-$V$4)))+$U$5*MAX(0,MIN(1,($W$5-L1213)/($W$5-$V$5)))+$U$6*MAX(0,MIN(1,($W$6-M1213)/($W$6-$V$6)))+$U$7*MAX(0,MIN(1,($W$7-N1213)/($W$7-$V$7)))+$U$8*IF(AND(O1213&gt;=$V$8,O1213&lt;=$W$8),1,0))/$U$9*100,2)</f>
        <v>71.18</v>
      </c>
      <c r="C1213" s="27" t="s">
        <v>996</v>
      </c>
      <c r="D1213" s="25" t="s">
        <v>134</v>
      </c>
      <c r="E1213" s="25" t="s">
        <v>3447</v>
      </c>
      <c r="F1213" s="25" t="s">
        <v>3448</v>
      </c>
      <c r="G1213" s="38" t="s">
        <v>30</v>
      </c>
      <c r="H1213" s="28" t="s">
        <v>25</v>
      </c>
      <c r="I1213" s="25" t="n">
        <v>4</v>
      </c>
      <c r="J1213" s="25" t="n">
        <v>0</v>
      </c>
      <c r="K1213" s="25" t="n">
        <v>4</v>
      </c>
      <c r="L1213" s="29" t="n">
        <v>0.78</v>
      </c>
      <c r="M1213" s="30" t="n">
        <v>8.15</v>
      </c>
      <c r="N1213" s="29" t="n">
        <v>0.76</v>
      </c>
      <c r="O1213" s="25" t="n">
        <v>183</v>
      </c>
      <c r="P1213" s="30" t="n">
        <v>-2.15</v>
      </c>
      <c r="Q1213" s="27" t="s">
        <v>3628</v>
      </c>
      <c r="R1213" s="27" t="s">
        <v>2133</v>
      </c>
    </row>
    <row r="1214" customFormat="false" ht="15" hidden="false" customHeight="false" outlineLevel="0" collapsed="false">
      <c r="A1214" s="25" t="n">
        <f aca="false">IF(G1214="REJECT",COUNTIF($G$2:$G$2277,"&lt;&gt;REJECT")+1+COUNTIFS($G$2:$G$2277,"REJECT",$B$2:$B$2277,"&gt;"&amp;B1214),1+COUNTIFS($G$2:$G$2277,"&lt;&gt;REJECT",$B$2:$B$2277,"&gt;"&amp;B1214))</f>
        <v>1213</v>
      </c>
      <c r="B1214" s="26" t="n">
        <f aca="false">ROUND(($U$2*MAX(0,MIN(1,($W$2-I1214)/($W$2-$V$2)))+$U$3*MAX(0,MIN(1,($W$3-J1214)/($W$3-$V$3)))+$U$4*MAX(0,MIN(1,($W$4-K1214)/($W$4-$V$4)))+$U$5*MAX(0,MIN(1,($W$5-L1214)/($W$5-$V$5)))+$U$6*MAX(0,MIN(1,($W$6-M1214)/($W$6-$V$6)))+$U$7*MAX(0,MIN(1,($W$7-N1214)/($W$7-$V$7)))+$U$8*IF(AND(O1214&gt;=$V$8,O1214&lt;=$W$8),1,0))/$U$9*100,2)</f>
        <v>71.16</v>
      </c>
      <c r="C1214" s="27" t="s">
        <v>3259</v>
      </c>
      <c r="D1214" s="25" t="s">
        <v>3459</v>
      </c>
      <c r="E1214" s="25" t="s">
        <v>3447</v>
      </c>
      <c r="F1214" s="25" t="s">
        <v>3448</v>
      </c>
      <c r="G1214" s="38" t="s">
        <v>30</v>
      </c>
      <c r="H1214" s="28" t="s">
        <v>25</v>
      </c>
      <c r="I1214" s="25" t="n">
        <v>4</v>
      </c>
      <c r="J1214" s="25" t="n">
        <v>0</v>
      </c>
      <c r="K1214" s="25" t="n">
        <v>4</v>
      </c>
      <c r="L1214" s="29" t="n">
        <v>0.82</v>
      </c>
      <c r="M1214" s="30" t="n">
        <v>20.66</v>
      </c>
      <c r="N1214" s="29" t="n">
        <v>0.24</v>
      </c>
      <c r="O1214" s="25" t="n">
        <v>183</v>
      </c>
      <c r="P1214" s="30" t="n">
        <v>8.21</v>
      </c>
      <c r="Q1214" s="27" t="s">
        <v>3629</v>
      </c>
      <c r="R1214" s="27" t="s">
        <v>992</v>
      </c>
    </row>
    <row r="1215" customFormat="false" ht="15" hidden="false" customHeight="false" outlineLevel="0" collapsed="false">
      <c r="A1215" s="25" t="n">
        <f aca="false">IF(G1215="REJECT",COUNTIF($G$2:$G$2277,"&lt;&gt;REJECT")+1+COUNTIFS($G$2:$G$2277,"REJECT",$B$2:$B$2277,"&gt;"&amp;B1215),1+COUNTIFS($G$2:$G$2277,"&lt;&gt;REJECT",$B$2:$B$2277,"&gt;"&amp;B1215))</f>
        <v>1214</v>
      </c>
      <c r="B1215" s="26" t="n">
        <f aca="false">ROUND(($U$2*MAX(0,MIN(1,($W$2-I1215)/($W$2-$V$2)))+$U$3*MAX(0,MIN(1,($W$3-J1215)/($W$3-$V$3)))+$U$4*MAX(0,MIN(1,($W$4-K1215)/($W$4-$V$4)))+$U$5*MAX(0,MIN(1,($W$5-L1215)/($W$5-$V$5)))+$U$6*MAX(0,MIN(1,($W$6-M1215)/($W$6-$V$6)))+$U$7*MAX(0,MIN(1,($W$7-N1215)/($W$7-$V$7)))+$U$8*IF(AND(O1215&gt;=$V$8,O1215&lt;=$W$8),1,0))/$U$9*100,2)</f>
        <v>71.13</v>
      </c>
      <c r="C1215" s="27" t="s">
        <v>329</v>
      </c>
      <c r="D1215" s="25" t="s">
        <v>134</v>
      </c>
      <c r="E1215" s="25" t="s">
        <v>3450</v>
      </c>
      <c r="F1215" s="25" t="s">
        <v>3448</v>
      </c>
      <c r="G1215" s="38" t="s">
        <v>30</v>
      </c>
      <c r="H1215" s="28" t="s">
        <v>25</v>
      </c>
      <c r="I1215" s="25" t="n">
        <v>2</v>
      </c>
      <c r="J1215" s="25" t="n">
        <v>1</v>
      </c>
      <c r="K1215" s="25" t="n">
        <v>2</v>
      </c>
      <c r="L1215" s="29" t="n">
        <v>0.74</v>
      </c>
      <c r="M1215" s="30" t="n">
        <v>13.04</v>
      </c>
      <c r="N1215" s="29" t="n">
        <v>0.36</v>
      </c>
      <c r="O1215" s="25" t="n">
        <v>185</v>
      </c>
      <c r="P1215" s="30" t="n">
        <v>14.45</v>
      </c>
      <c r="Q1215" s="27" t="s">
        <v>3575</v>
      </c>
      <c r="R1215" s="27" t="s">
        <v>283</v>
      </c>
    </row>
    <row r="1216" customFormat="false" ht="15" hidden="false" customHeight="false" outlineLevel="0" collapsed="false">
      <c r="A1216" s="25" t="n">
        <f aca="false">IF(G1216="REJECT",COUNTIF($G$2:$G$2277,"&lt;&gt;REJECT")+1+COUNTIFS($G$2:$G$2277,"REJECT",$B$2:$B$2277,"&gt;"&amp;B1216),1+COUNTIFS($G$2:$G$2277,"&lt;&gt;REJECT",$B$2:$B$2277,"&gt;"&amp;B1216))</f>
        <v>1214</v>
      </c>
      <c r="B1216" s="26" t="n">
        <f aca="false">ROUND(($U$2*MAX(0,MIN(1,($W$2-I1216)/($W$2-$V$2)))+$U$3*MAX(0,MIN(1,($W$3-J1216)/($W$3-$V$3)))+$U$4*MAX(0,MIN(1,($W$4-K1216)/($W$4-$V$4)))+$U$5*MAX(0,MIN(1,($W$5-L1216)/($W$5-$V$5)))+$U$6*MAX(0,MIN(1,($W$6-M1216)/($W$6-$V$6)))+$U$7*MAX(0,MIN(1,($W$7-N1216)/($W$7-$V$7)))+$U$8*IF(AND(O1216&gt;=$V$8,O1216&lt;=$W$8),1,0))/$U$9*100,2)</f>
        <v>71.13</v>
      </c>
      <c r="C1216" s="27" t="s">
        <v>1122</v>
      </c>
      <c r="D1216" s="25" t="s">
        <v>134</v>
      </c>
      <c r="E1216" s="25" t="s">
        <v>3450</v>
      </c>
      <c r="F1216" s="25" t="s">
        <v>3457</v>
      </c>
      <c r="G1216" s="38" t="s">
        <v>30</v>
      </c>
      <c r="H1216" s="28" t="s">
        <v>25</v>
      </c>
      <c r="I1216" s="25" t="n">
        <v>2</v>
      </c>
      <c r="J1216" s="25" t="n">
        <v>1</v>
      </c>
      <c r="K1216" s="25" t="n">
        <v>2</v>
      </c>
      <c r="L1216" s="29" t="n">
        <v>0.76</v>
      </c>
      <c r="M1216" s="30" t="n">
        <v>22.24</v>
      </c>
      <c r="N1216" s="29" t="n">
        <v>0.16</v>
      </c>
      <c r="O1216" s="25" t="n">
        <v>194</v>
      </c>
      <c r="P1216" s="30" t="n">
        <v>11.74</v>
      </c>
      <c r="Q1216" s="27" t="s">
        <v>3575</v>
      </c>
      <c r="R1216" s="27" t="s">
        <v>157</v>
      </c>
    </row>
    <row r="1217" customFormat="false" ht="15" hidden="false" customHeight="false" outlineLevel="0" collapsed="false">
      <c r="A1217" s="25" t="n">
        <f aca="false">IF(G1217="REJECT",COUNTIF($G$2:$G$2277,"&lt;&gt;REJECT")+1+COUNTIFS($G$2:$G$2277,"REJECT",$B$2:$B$2277,"&gt;"&amp;B1217),1+COUNTIFS($G$2:$G$2277,"&lt;&gt;REJECT",$B$2:$B$2277,"&gt;"&amp;B1217))</f>
        <v>1216</v>
      </c>
      <c r="B1217" s="26" t="n">
        <f aca="false">ROUND(($U$2*MAX(0,MIN(1,($W$2-I1217)/($W$2-$V$2)))+$U$3*MAX(0,MIN(1,($W$3-J1217)/($W$3-$V$3)))+$U$4*MAX(0,MIN(1,($W$4-K1217)/($W$4-$V$4)))+$U$5*MAX(0,MIN(1,($W$5-L1217)/($W$5-$V$5)))+$U$6*MAX(0,MIN(1,($W$6-M1217)/($W$6-$V$6)))+$U$7*MAX(0,MIN(1,($W$7-N1217)/($W$7-$V$7)))+$U$8*IF(AND(O1217&gt;=$V$8,O1217&lt;=$W$8),1,0))/$U$9*100,2)</f>
        <v>71.1</v>
      </c>
      <c r="C1217" s="27" t="s">
        <v>2993</v>
      </c>
      <c r="D1217" s="25" t="s">
        <v>3459</v>
      </c>
      <c r="E1217" s="25" t="s">
        <v>3447</v>
      </c>
      <c r="F1217" s="25" t="s">
        <v>3448</v>
      </c>
      <c r="G1217" s="38" t="s">
        <v>30</v>
      </c>
      <c r="H1217" s="28" t="s">
        <v>25</v>
      </c>
      <c r="I1217" s="25" t="n">
        <v>4</v>
      </c>
      <c r="J1217" s="25" t="n">
        <v>0</v>
      </c>
      <c r="K1217" s="25" t="n">
        <v>4</v>
      </c>
      <c r="L1217" s="29" t="n">
        <v>0.8</v>
      </c>
      <c r="M1217" s="30" t="n">
        <v>23.38</v>
      </c>
      <c r="N1217" s="29" t="n">
        <v>0</v>
      </c>
      <c r="O1217" s="25" t="n">
        <v>188</v>
      </c>
      <c r="P1217" s="30" t="n">
        <v>6.8</v>
      </c>
      <c r="Q1217" s="27" t="s">
        <v>3630</v>
      </c>
      <c r="R1217" s="27" t="s">
        <v>992</v>
      </c>
    </row>
    <row r="1218" customFormat="false" ht="15" hidden="false" customHeight="false" outlineLevel="0" collapsed="false">
      <c r="A1218" s="25" t="n">
        <f aca="false">IF(G1218="REJECT",COUNTIF($G$2:$G$2277,"&lt;&gt;REJECT")+1+COUNTIFS($G$2:$G$2277,"REJECT",$B$2:$B$2277,"&gt;"&amp;B1218),1+COUNTIFS($G$2:$G$2277,"&lt;&gt;REJECT",$B$2:$B$2277,"&gt;"&amp;B1218))</f>
        <v>1217</v>
      </c>
      <c r="B1218" s="26" t="n">
        <f aca="false">ROUND(($U$2*MAX(0,MIN(1,($W$2-I1218)/($W$2-$V$2)))+$U$3*MAX(0,MIN(1,($W$3-J1218)/($W$3-$V$3)))+$U$4*MAX(0,MIN(1,($W$4-K1218)/($W$4-$V$4)))+$U$5*MAX(0,MIN(1,($W$5-L1218)/($W$5-$V$5)))+$U$6*MAX(0,MIN(1,($W$6-M1218)/($W$6-$V$6)))+$U$7*MAX(0,MIN(1,($W$7-N1218)/($W$7-$V$7)))+$U$8*IF(AND(O1218&gt;=$V$8,O1218&lt;=$W$8),1,0))/$U$9*100,2)</f>
        <v>71.09</v>
      </c>
      <c r="C1218" s="27" t="s">
        <v>1116</v>
      </c>
      <c r="D1218" s="25" t="s">
        <v>134</v>
      </c>
      <c r="E1218" s="25" t="s">
        <v>3450</v>
      </c>
      <c r="F1218" s="25" t="s">
        <v>3457</v>
      </c>
      <c r="G1218" s="38" t="s">
        <v>30</v>
      </c>
      <c r="H1218" s="28" t="s">
        <v>25</v>
      </c>
      <c r="I1218" s="25" t="n">
        <v>2</v>
      </c>
      <c r="J1218" s="25" t="n">
        <v>1</v>
      </c>
      <c r="K1218" s="25" t="n">
        <v>2</v>
      </c>
      <c r="L1218" s="29" t="n">
        <v>0.74</v>
      </c>
      <c r="M1218" s="30" t="n">
        <v>8.46</v>
      </c>
      <c r="N1218" s="29" t="n">
        <v>0.84</v>
      </c>
      <c r="O1218" s="25" t="n">
        <v>195</v>
      </c>
      <c r="P1218" s="30" t="n">
        <v>13.59</v>
      </c>
      <c r="Q1218" s="27" t="s">
        <v>3566</v>
      </c>
      <c r="R1218" s="27" t="s">
        <v>283</v>
      </c>
    </row>
    <row r="1219" customFormat="false" ht="15" hidden="false" customHeight="false" outlineLevel="0" collapsed="false">
      <c r="A1219" s="25" t="n">
        <f aca="false">IF(G1219="REJECT",COUNTIF($G$2:$G$2277,"&lt;&gt;REJECT")+1+COUNTIFS($G$2:$G$2277,"REJECT",$B$2:$B$2277,"&gt;"&amp;B1219),1+COUNTIFS($G$2:$G$2277,"&lt;&gt;REJECT",$B$2:$B$2277,"&gt;"&amp;B1219))</f>
        <v>1217</v>
      </c>
      <c r="B1219" s="26" t="n">
        <f aca="false">ROUND(($U$2*MAX(0,MIN(1,($W$2-I1219)/($W$2-$V$2)))+$U$3*MAX(0,MIN(1,($W$3-J1219)/($W$3-$V$3)))+$U$4*MAX(0,MIN(1,($W$4-K1219)/($W$4-$V$4)))+$U$5*MAX(0,MIN(1,($W$5-L1219)/($W$5-$V$5)))+$U$6*MAX(0,MIN(1,($W$6-M1219)/($W$6-$V$6)))+$U$7*MAX(0,MIN(1,($W$7-N1219)/($W$7-$V$7)))+$U$8*IF(AND(O1219&gt;=$V$8,O1219&lt;=$W$8),1,0))/$U$9*100,2)</f>
        <v>71.09</v>
      </c>
      <c r="C1219" s="27" t="s">
        <v>2210</v>
      </c>
      <c r="D1219" s="25" t="s">
        <v>134</v>
      </c>
      <c r="E1219" s="25" t="s">
        <v>3450</v>
      </c>
      <c r="F1219" s="25" t="s">
        <v>3448</v>
      </c>
      <c r="G1219" s="38" t="s">
        <v>30</v>
      </c>
      <c r="H1219" s="28" t="s">
        <v>25</v>
      </c>
      <c r="I1219" s="25" t="n">
        <v>2</v>
      </c>
      <c r="J1219" s="25" t="n">
        <v>1</v>
      </c>
      <c r="K1219" s="25" t="n">
        <v>2</v>
      </c>
      <c r="L1219" s="29" t="n">
        <v>0.75</v>
      </c>
      <c r="M1219" s="30" t="n">
        <v>12.08</v>
      </c>
      <c r="N1219" s="29" t="n">
        <v>0.84</v>
      </c>
      <c r="O1219" s="25" t="n">
        <v>189</v>
      </c>
      <c r="P1219" s="30" t="n">
        <v>15.49</v>
      </c>
      <c r="Q1219" s="27" t="s">
        <v>3631</v>
      </c>
      <c r="R1219" s="27" t="s">
        <v>283</v>
      </c>
    </row>
    <row r="1220" customFormat="false" ht="15" hidden="false" customHeight="false" outlineLevel="0" collapsed="false">
      <c r="A1220" s="25" t="n">
        <f aca="false">IF(G1220="REJECT",COUNTIF($G$2:$G$2277,"&lt;&gt;REJECT")+1+COUNTIFS($G$2:$G$2277,"REJECT",$B$2:$B$2277,"&gt;"&amp;B1220),1+COUNTIFS($G$2:$G$2277,"&lt;&gt;REJECT",$B$2:$B$2277,"&gt;"&amp;B1220))</f>
        <v>1219</v>
      </c>
      <c r="B1220" s="26" t="n">
        <f aca="false">ROUND(($U$2*MAX(0,MIN(1,($W$2-I1220)/($W$2-$V$2)))+$U$3*MAX(0,MIN(1,($W$3-J1220)/($W$3-$V$3)))+$U$4*MAX(0,MIN(1,($W$4-K1220)/($W$4-$V$4)))+$U$5*MAX(0,MIN(1,($W$5-L1220)/($W$5-$V$5)))+$U$6*MAX(0,MIN(1,($W$6-M1220)/($W$6-$V$6)))+$U$7*MAX(0,MIN(1,($W$7-N1220)/($W$7-$V$7)))+$U$8*IF(AND(O1220&gt;=$V$8,O1220&lt;=$W$8),1,0))/$U$9*100,2)</f>
        <v>71.08</v>
      </c>
      <c r="C1220" s="27" t="s">
        <v>323</v>
      </c>
      <c r="D1220" s="25" t="s">
        <v>3459</v>
      </c>
      <c r="E1220" s="25" t="s">
        <v>3450</v>
      </c>
      <c r="F1220" s="25" t="s">
        <v>3457</v>
      </c>
      <c r="G1220" s="38" t="s">
        <v>30</v>
      </c>
      <c r="H1220" s="28" t="s">
        <v>25</v>
      </c>
      <c r="I1220" s="25" t="n">
        <v>2</v>
      </c>
      <c r="J1220" s="25" t="n">
        <v>1</v>
      </c>
      <c r="K1220" s="25" t="n">
        <v>2</v>
      </c>
      <c r="L1220" s="29" t="n">
        <v>0.73</v>
      </c>
      <c r="M1220" s="30" t="n">
        <v>8.54</v>
      </c>
      <c r="N1220" s="29" t="n">
        <v>0.48</v>
      </c>
      <c r="O1220" s="25" t="n">
        <v>185</v>
      </c>
      <c r="P1220" s="30" t="n">
        <v>20.96</v>
      </c>
      <c r="Q1220" s="27" t="s">
        <v>3575</v>
      </c>
      <c r="R1220" s="27" t="s">
        <v>283</v>
      </c>
    </row>
    <row r="1221" customFormat="false" ht="15" hidden="false" customHeight="false" outlineLevel="0" collapsed="false">
      <c r="A1221" s="25" t="n">
        <f aca="false">IF(G1221="REJECT",COUNTIF($G$2:$G$2277,"&lt;&gt;REJECT")+1+COUNTIFS($G$2:$G$2277,"REJECT",$B$2:$B$2277,"&gt;"&amp;B1221),1+COUNTIFS($G$2:$G$2277,"&lt;&gt;REJECT",$B$2:$B$2277,"&gt;"&amp;B1221))</f>
        <v>1219</v>
      </c>
      <c r="B1221" s="26" t="n">
        <f aca="false">ROUND(($U$2*MAX(0,MIN(1,($W$2-I1221)/($W$2-$V$2)))+$U$3*MAX(0,MIN(1,($W$3-J1221)/($W$3-$V$3)))+$U$4*MAX(0,MIN(1,($W$4-K1221)/($W$4-$V$4)))+$U$5*MAX(0,MIN(1,($W$5-L1221)/($W$5-$V$5)))+$U$6*MAX(0,MIN(1,($W$6-M1221)/($W$6-$V$6)))+$U$7*MAX(0,MIN(1,($W$7-N1221)/($W$7-$V$7)))+$U$8*IF(AND(O1221&gt;=$V$8,O1221&lt;=$W$8),1,0))/$U$9*100,2)</f>
        <v>71.08</v>
      </c>
      <c r="C1221" s="27" t="s">
        <v>983</v>
      </c>
      <c r="D1221" s="25" t="s">
        <v>134</v>
      </c>
      <c r="E1221" s="25" t="s">
        <v>3447</v>
      </c>
      <c r="F1221" s="25" t="s">
        <v>3448</v>
      </c>
      <c r="G1221" s="38" t="s">
        <v>30</v>
      </c>
      <c r="H1221" s="33" t="s">
        <v>24</v>
      </c>
      <c r="I1221" s="25" t="n">
        <v>4</v>
      </c>
      <c r="J1221" s="25" t="n">
        <v>0</v>
      </c>
      <c r="K1221" s="25" t="n">
        <v>4</v>
      </c>
      <c r="L1221" s="29" t="n">
        <v>0.79</v>
      </c>
      <c r="M1221" s="30" t="n">
        <v>12.7</v>
      </c>
      <c r="N1221" s="29" t="n">
        <v>0.72</v>
      </c>
      <c r="O1221" s="25" t="n">
        <v>182</v>
      </c>
      <c r="P1221" s="30" t="n">
        <v>8.06</v>
      </c>
      <c r="Q1221" s="27" t="s">
        <v>3632</v>
      </c>
      <c r="R1221" s="27" t="s">
        <v>30</v>
      </c>
    </row>
    <row r="1222" customFormat="false" ht="15" hidden="false" customHeight="false" outlineLevel="0" collapsed="false">
      <c r="A1222" s="25" t="n">
        <f aca="false">IF(G1222="REJECT",COUNTIF($G$2:$G$2277,"&lt;&gt;REJECT")+1+COUNTIFS($G$2:$G$2277,"REJECT",$B$2:$B$2277,"&gt;"&amp;B1222),1+COUNTIFS($G$2:$G$2277,"&lt;&gt;REJECT",$B$2:$B$2277,"&gt;"&amp;B1222))</f>
        <v>1219</v>
      </c>
      <c r="B1222" s="26" t="n">
        <f aca="false">ROUND(($U$2*MAX(0,MIN(1,($W$2-I1222)/($W$2-$V$2)))+$U$3*MAX(0,MIN(1,($W$3-J1222)/($W$3-$V$3)))+$U$4*MAX(0,MIN(1,($W$4-K1222)/($W$4-$V$4)))+$U$5*MAX(0,MIN(1,($W$5-L1222)/($W$5-$V$5)))+$U$6*MAX(0,MIN(1,($W$6-M1222)/($W$6-$V$6)))+$U$7*MAX(0,MIN(1,($W$7-N1222)/($W$7-$V$7)))+$U$8*IF(AND(O1222&gt;=$V$8,O1222&lt;=$W$8),1,0))/$U$9*100,2)</f>
        <v>71.08</v>
      </c>
      <c r="C1222" s="27" t="s">
        <v>1908</v>
      </c>
      <c r="D1222" s="25" t="s">
        <v>134</v>
      </c>
      <c r="E1222" s="25" t="s">
        <v>3447</v>
      </c>
      <c r="F1222" s="25" t="s">
        <v>3448</v>
      </c>
      <c r="G1222" s="38" t="s">
        <v>30</v>
      </c>
      <c r="H1222" s="28" t="s">
        <v>25</v>
      </c>
      <c r="I1222" s="25" t="n">
        <v>4</v>
      </c>
      <c r="J1222" s="25" t="n">
        <v>0</v>
      </c>
      <c r="K1222" s="25" t="n">
        <v>4</v>
      </c>
      <c r="L1222" s="29" t="n">
        <v>0.92</v>
      </c>
      <c r="M1222" s="30" t="n">
        <v>19.5</v>
      </c>
      <c r="N1222" s="29" t="n">
        <v>0.4</v>
      </c>
      <c r="O1222" s="25" t="n">
        <v>188</v>
      </c>
      <c r="P1222" s="30" t="n">
        <v>-1.62</v>
      </c>
      <c r="Q1222" s="27" t="s">
        <v>3622</v>
      </c>
      <c r="R1222" s="27" t="s">
        <v>2610</v>
      </c>
    </row>
    <row r="1223" customFormat="false" ht="15" hidden="false" customHeight="false" outlineLevel="0" collapsed="false">
      <c r="A1223" s="25" t="n">
        <f aca="false">IF(G1223="REJECT",COUNTIF($G$2:$G$2277,"&lt;&gt;REJECT")+1+COUNTIFS($G$2:$G$2277,"REJECT",$B$2:$B$2277,"&gt;"&amp;B1223),1+COUNTIFS($G$2:$G$2277,"&lt;&gt;REJECT",$B$2:$B$2277,"&gt;"&amp;B1223))</f>
        <v>1222</v>
      </c>
      <c r="B1223" s="26" t="n">
        <f aca="false">ROUND(($U$2*MAX(0,MIN(1,($W$2-I1223)/($W$2-$V$2)))+$U$3*MAX(0,MIN(1,($W$3-J1223)/($W$3-$V$3)))+$U$4*MAX(0,MIN(1,($W$4-K1223)/($W$4-$V$4)))+$U$5*MAX(0,MIN(1,($W$5-L1223)/($W$5-$V$5)))+$U$6*MAX(0,MIN(1,($W$6-M1223)/($W$6-$V$6)))+$U$7*MAX(0,MIN(1,($W$7-N1223)/($W$7-$V$7)))+$U$8*IF(AND(O1223&gt;=$V$8,O1223&lt;=$W$8),1,0))/$U$9*100,2)</f>
        <v>71.05</v>
      </c>
      <c r="C1223" s="27" t="s">
        <v>1068</v>
      </c>
      <c r="D1223" s="25" t="s">
        <v>3459</v>
      </c>
      <c r="E1223" s="25" t="s">
        <v>3447</v>
      </c>
      <c r="F1223" s="25" t="s">
        <v>3448</v>
      </c>
      <c r="G1223" s="38" t="s">
        <v>30</v>
      </c>
      <c r="H1223" s="28" t="s">
        <v>25</v>
      </c>
      <c r="I1223" s="25" t="n">
        <v>2</v>
      </c>
      <c r="J1223" s="25" t="n">
        <v>1</v>
      </c>
      <c r="K1223" s="25" t="n">
        <v>2</v>
      </c>
      <c r="L1223" s="29" t="n">
        <v>0.75</v>
      </c>
      <c r="M1223" s="30" t="n">
        <v>20.7</v>
      </c>
      <c r="N1223" s="29" t="n">
        <v>0</v>
      </c>
      <c r="O1223" s="25" t="n">
        <v>183</v>
      </c>
      <c r="P1223" s="30" t="n">
        <v>10.73</v>
      </c>
      <c r="Q1223" s="27" t="s">
        <v>3575</v>
      </c>
      <c r="R1223" s="27" t="s">
        <v>183</v>
      </c>
    </row>
    <row r="1224" customFormat="false" ht="15" hidden="false" customHeight="false" outlineLevel="0" collapsed="false">
      <c r="A1224" s="25" t="n">
        <f aca="false">IF(G1224="REJECT",COUNTIF($G$2:$G$2277,"&lt;&gt;REJECT")+1+COUNTIFS($G$2:$G$2277,"REJECT",$B$2:$B$2277,"&gt;"&amp;B1224),1+COUNTIFS($G$2:$G$2277,"&lt;&gt;REJECT",$B$2:$B$2277,"&gt;"&amp;B1224))</f>
        <v>1222</v>
      </c>
      <c r="B1224" s="26" t="n">
        <f aca="false">ROUND(($U$2*MAX(0,MIN(1,($W$2-I1224)/($W$2-$V$2)))+$U$3*MAX(0,MIN(1,($W$3-J1224)/($W$3-$V$3)))+$U$4*MAX(0,MIN(1,($W$4-K1224)/($W$4-$V$4)))+$U$5*MAX(0,MIN(1,($W$5-L1224)/($W$5-$V$5)))+$U$6*MAX(0,MIN(1,($W$6-M1224)/($W$6-$V$6)))+$U$7*MAX(0,MIN(1,($W$7-N1224)/($W$7-$V$7)))+$U$8*IF(AND(O1224&gt;=$V$8,O1224&lt;=$W$8),1,0))/$U$9*100,2)</f>
        <v>71.05</v>
      </c>
      <c r="C1224" s="27" t="s">
        <v>1350</v>
      </c>
      <c r="D1224" s="25" t="s">
        <v>3459</v>
      </c>
      <c r="E1224" s="25" t="s">
        <v>3450</v>
      </c>
      <c r="F1224" s="25" t="s">
        <v>3448</v>
      </c>
      <c r="G1224" s="38" t="s">
        <v>30</v>
      </c>
      <c r="H1224" s="28" t="s">
        <v>25</v>
      </c>
      <c r="I1224" s="25" t="n">
        <v>2</v>
      </c>
      <c r="J1224" s="25" t="n">
        <v>1</v>
      </c>
      <c r="K1224" s="25" t="n">
        <v>2</v>
      </c>
      <c r="L1224" s="29" t="n">
        <v>0.77</v>
      </c>
      <c r="M1224" s="30" t="n">
        <v>27.89</v>
      </c>
      <c r="N1224" s="29" t="n">
        <v>0</v>
      </c>
      <c r="O1224" s="25" t="n">
        <v>183</v>
      </c>
      <c r="P1224" s="30" t="n">
        <v>8.72</v>
      </c>
      <c r="Q1224" s="27" t="s">
        <v>3575</v>
      </c>
      <c r="R1224" s="27" t="s">
        <v>163</v>
      </c>
    </row>
    <row r="1225" customFormat="false" ht="15" hidden="false" customHeight="false" outlineLevel="0" collapsed="false">
      <c r="A1225" s="25" t="n">
        <f aca="false">IF(G1225="REJECT",COUNTIF($G$2:$G$2277,"&lt;&gt;REJECT")+1+COUNTIFS($G$2:$G$2277,"REJECT",$B$2:$B$2277,"&gt;"&amp;B1225),1+COUNTIFS($G$2:$G$2277,"&lt;&gt;REJECT",$B$2:$B$2277,"&gt;"&amp;B1225))</f>
        <v>1224</v>
      </c>
      <c r="B1225" s="26" t="n">
        <f aca="false">ROUND(($U$2*MAX(0,MIN(1,($W$2-I1225)/($W$2-$V$2)))+$U$3*MAX(0,MIN(1,($W$3-J1225)/($W$3-$V$3)))+$U$4*MAX(0,MIN(1,($W$4-K1225)/($W$4-$V$4)))+$U$5*MAX(0,MIN(1,($W$5-L1225)/($W$5-$V$5)))+$U$6*MAX(0,MIN(1,($W$6-M1225)/($W$6-$V$6)))+$U$7*MAX(0,MIN(1,($W$7-N1225)/($W$7-$V$7)))+$U$8*IF(AND(O1225&gt;=$V$8,O1225&lt;=$W$8),1,0))/$U$9*100,2)</f>
        <v>71.04</v>
      </c>
      <c r="C1225" s="27" t="s">
        <v>1669</v>
      </c>
      <c r="D1225" s="25" t="s">
        <v>134</v>
      </c>
      <c r="E1225" s="25" t="s">
        <v>3447</v>
      </c>
      <c r="F1225" s="25" t="s">
        <v>3448</v>
      </c>
      <c r="G1225" s="38" t="s">
        <v>30</v>
      </c>
      <c r="H1225" s="28" t="s">
        <v>25</v>
      </c>
      <c r="I1225" s="25" t="n">
        <v>2</v>
      </c>
      <c r="J1225" s="25" t="n">
        <v>1</v>
      </c>
      <c r="K1225" s="25" t="n">
        <v>2</v>
      </c>
      <c r="L1225" s="29" t="n">
        <v>0.73</v>
      </c>
      <c r="M1225" s="30" t="n">
        <v>13.54</v>
      </c>
      <c r="N1225" s="29" t="n">
        <v>0</v>
      </c>
      <c r="O1225" s="25" t="n">
        <v>202</v>
      </c>
      <c r="P1225" s="30" t="n">
        <v>1.51</v>
      </c>
      <c r="Q1225" s="27" t="s">
        <v>3566</v>
      </c>
      <c r="R1225" s="27" t="s">
        <v>1099</v>
      </c>
    </row>
    <row r="1226" customFormat="false" ht="15" hidden="false" customHeight="false" outlineLevel="0" collapsed="false">
      <c r="A1226" s="25" t="n">
        <f aca="false">IF(G1226="REJECT",COUNTIF($G$2:$G$2277,"&lt;&gt;REJECT")+1+COUNTIFS($G$2:$G$2277,"REJECT",$B$2:$B$2277,"&gt;"&amp;B1226),1+COUNTIFS($G$2:$G$2277,"&lt;&gt;REJECT",$B$2:$B$2277,"&gt;"&amp;B1226))</f>
        <v>1225</v>
      </c>
      <c r="B1226" s="26" t="n">
        <f aca="false">ROUND(($U$2*MAX(0,MIN(1,($W$2-I1226)/($W$2-$V$2)))+$U$3*MAX(0,MIN(1,($W$3-J1226)/($W$3-$V$3)))+$U$4*MAX(0,MIN(1,($W$4-K1226)/($W$4-$V$4)))+$U$5*MAX(0,MIN(1,($W$5-L1226)/($W$5-$V$5)))+$U$6*MAX(0,MIN(1,($W$6-M1226)/($W$6-$V$6)))+$U$7*MAX(0,MIN(1,($W$7-N1226)/($W$7-$V$7)))+$U$8*IF(AND(O1226&gt;=$V$8,O1226&lt;=$W$8),1,0))/$U$9*100,2)</f>
        <v>71</v>
      </c>
      <c r="C1226" s="27" t="s">
        <v>1417</v>
      </c>
      <c r="D1226" s="25" t="s">
        <v>3459</v>
      </c>
      <c r="E1226" s="25" t="s">
        <v>3447</v>
      </c>
      <c r="F1226" s="25" t="s">
        <v>3457</v>
      </c>
      <c r="G1226" s="38" t="s">
        <v>30</v>
      </c>
      <c r="H1226" s="28" t="s">
        <v>25</v>
      </c>
      <c r="I1226" s="25" t="n">
        <v>4</v>
      </c>
      <c r="J1226" s="25" t="n">
        <v>0</v>
      </c>
      <c r="K1226" s="25" t="n">
        <v>4</v>
      </c>
      <c r="L1226" s="29" t="n">
        <v>0.8</v>
      </c>
      <c r="M1226" s="30" t="n">
        <v>22.42</v>
      </c>
      <c r="N1226" s="29" t="n">
        <v>0.16</v>
      </c>
      <c r="O1226" s="25" t="n">
        <v>185</v>
      </c>
      <c r="P1226" s="30" t="n">
        <v>1.41</v>
      </c>
      <c r="Q1226" s="27" t="s">
        <v>3621</v>
      </c>
      <c r="R1226" s="27" t="s">
        <v>992</v>
      </c>
    </row>
    <row r="1227" customFormat="false" ht="15" hidden="false" customHeight="false" outlineLevel="0" collapsed="false">
      <c r="A1227" s="25" t="n">
        <f aca="false">IF(G1227="REJECT",COUNTIF($G$2:$G$2277,"&lt;&gt;REJECT")+1+COUNTIFS($G$2:$G$2277,"REJECT",$B$2:$B$2277,"&gt;"&amp;B1227),1+COUNTIFS($G$2:$G$2277,"&lt;&gt;REJECT",$B$2:$B$2277,"&gt;"&amp;B1227))</f>
        <v>1225</v>
      </c>
      <c r="B1227" s="26" t="n">
        <f aca="false">ROUND(($U$2*MAX(0,MIN(1,($W$2-I1227)/($W$2-$V$2)))+$U$3*MAX(0,MIN(1,($W$3-J1227)/($W$3-$V$3)))+$U$4*MAX(0,MIN(1,($W$4-K1227)/($W$4-$V$4)))+$U$5*MAX(0,MIN(1,($W$5-L1227)/($W$5-$V$5)))+$U$6*MAX(0,MIN(1,($W$6-M1227)/($W$6-$V$6)))+$U$7*MAX(0,MIN(1,($W$7-N1227)/($W$7-$V$7)))+$U$8*IF(AND(O1227&gt;=$V$8,O1227&lt;=$W$8),1,0))/$U$9*100,2)</f>
        <v>71</v>
      </c>
      <c r="C1227" s="27" t="s">
        <v>2149</v>
      </c>
      <c r="D1227" s="25" t="s">
        <v>3459</v>
      </c>
      <c r="E1227" s="25" t="s">
        <v>3450</v>
      </c>
      <c r="F1227" s="25" t="s">
        <v>3448</v>
      </c>
      <c r="G1227" s="38" t="s">
        <v>30</v>
      </c>
      <c r="H1227" s="28" t="s">
        <v>25</v>
      </c>
      <c r="I1227" s="25" t="n">
        <v>1</v>
      </c>
      <c r="J1227" s="25" t="n">
        <v>1</v>
      </c>
      <c r="K1227" s="25" t="n">
        <v>1</v>
      </c>
      <c r="L1227" s="29" t="n">
        <v>0.68</v>
      </c>
      <c r="M1227" s="30" t="n">
        <v>28.88</v>
      </c>
      <c r="N1227" s="29" t="n">
        <v>0.44</v>
      </c>
      <c r="O1227" s="25" t="n">
        <v>183</v>
      </c>
      <c r="P1227" s="30" t="n">
        <v>8.98</v>
      </c>
      <c r="Q1227" s="27" t="s">
        <v>70</v>
      </c>
      <c r="R1227" s="27" t="s">
        <v>183</v>
      </c>
    </row>
    <row r="1228" customFormat="false" ht="15" hidden="false" customHeight="false" outlineLevel="0" collapsed="false">
      <c r="A1228" s="25" t="n">
        <f aca="false">IF(G1228="REJECT",COUNTIF($G$2:$G$2277,"&lt;&gt;REJECT")+1+COUNTIFS($G$2:$G$2277,"REJECT",$B$2:$B$2277,"&gt;"&amp;B1228),1+COUNTIFS($G$2:$G$2277,"&lt;&gt;REJECT",$B$2:$B$2277,"&gt;"&amp;B1228))</f>
        <v>1227</v>
      </c>
      <c r="B1228" s="26" t="n">
        <f aca="false">ROUND(($U$2*MAX(0,MIN(1,($W$2-I1228)/($W$2-$V$2)))+$U$3*MAX(0,MIN(1,($W$3-J1228)/($W$3-$V$3)))+$U$4*MAX(0,MIN(1,($W$4-K1228)/($W$4-$V$4)))+$U$5*MAX(0,MIN(1,($W$5-L1228)/($W$5-$V$5)))+$U$6*MAX(0,MIN(1,($W$6-M1228)/($W$6-$V$6)))+$U$7*MAX(0,MIN(1,($W$7-N1228)/($W$7-$V$7)))+$U$8*IF(AND(O1228&gt;=$V$8,O1228&lt;=$W$8),1,0))/$U$9*100,2)</f>
        <v>70.99</v>
      </c>
      <c r="C1228" s="27" t="s">
        <v>2247</v>
      </c>
      <c r="D1228" s="25" t="s">
        <v>134</v>
      </c>
      <c r="E1228" s="25" t="s">
        <v>3450</v>
      </c>
      <c r="F1228" s="25" t="s">
        <v>3448</v>
      </c>
      <c r="G1228" s="38" t="s">
        <v>30</v>
      </c>
      <c r="H1228" s="28" t="s">
        <v>25</v>
      </c>
      <c r="I1228" s="25" t="n">
        <v>2</v>
      </c>
      <c r="J1228" s="25" t="n">
        <v>1</v>
      </c>
      <c r="K1228" s="25" t="n">
        <v>2</v>
      </c>
      <c r="L1228" s="29" t="n">
        <v>0.72</v>
      </c>
      <c r="M1228" s="30" t="n">
        <v>10.24</v>
      </c>
      <c r="N1228" s="29" t="n">
        <v>0</v>
      </c>
      <c r="O1228" s="25" t="n">
        <v>185</v>
      </c>
      <c r="P1228" s="30" t="n">
        <v>21.53</v>
      </c>
      <c r="Q1228" s="27" t="s">
        <v>3575</v>
      </c>
      <c r="R1228" s="27" t="s">
        <v>283</v>
      </c>
    </row>
    <row r="1229" customFormat="false" ht="15" hidden="false" customHeight="false" outlineLevel="0" collapsed="false">
      <c r="A1229" s="25" t="n">
        <f aca="false">IF(G1229="REJECT",COUNTIF($G$2:$G$2277,"&lt;&gt;REJECT")+1+COUNTIFS($G$2:$G$2277,"REJECT",$B$2:$B$2277,"&gt;"&amp;B1229),1+COUNTIFS($G$2:$G$2277,"&lt;&gt;REJECT",$B$2:$B$2277,"&gt;"&amp;B1229))</f>
        <v>1228</v>
      </c>
      <c r="B1229" s="26" t="n">
        <f aca="false">ROUND(($U$2*MAX(0,MIN(1,($W$2-I1229)/($W$2-$V$2)))+$U$3*MAX(0,MIN(1,($W$3-J1229)/($W$3-$V$3)))+$U$4*MAX(0,MIN(1,($W$4-K1229)/($W$4-$V$4)))+$U$5*MAX(0,MIN(1,($W$5-L1229)/($W$5-$V$5)))+$U$6*MAX(0,MIN(1,($W$6-M1229)/($W$6-$V$6)))+$U$7*MAX(0,MIN(1,($W$7-N1229)/($W$7-$V$7)))+$U$8*IF(AND(O1229&gt;=$V$8,O1229&lt;=$W$8),1,0))/$U$9*100,2)</f>
        <v>70.98</v>
      </c>
      <c r="C1229" s="27" t="s">
        <v>1320</v>
      </c>
      <c r="D1229" s="25" t="s">
        <v>3459</v>
      </c>
      <c r="E1229" s="25" t="s">
        <v>3447</v>
      </c>
      <c r="F1229" s="25" t="s">
        <v>3448</v>
      </c>
      <c r="G1229" s="38" t="s">
        <v>30</v>
      </c>
      <c r="H1229" s="33" t="s">
        <v>24</v>
      </c>
      <c r="I1229" s="25" t="n">
        <v>3</v>
      </c>
      <c r="J1229" s="25" t="n">
        <v>0</v>
      </c>
      <c r="K1229" s="25" t="n">
        <v>3</v>
      </c>
      <c r="L1229" s="29" t="n">
        <v>0.67</v>
      </c>
      <c r="M1229" s="30" t="n">
        <v>14.83</v>
      </c>
      <c r="N1229" s="29" t="n">
        <v>0</v>
      </c>
      <c r="O1229" s="25" t="n">
        <v>184</v>
      </c>
      <c r="P1229" s="30" t="n">
        <v>2.76</v>
      </c>
      <c r="Q1229" s="27" t="s">
        <v>3633</v>
      </c>
      <c r="R1229" s="27" t="s">
        <v>30</v>
      </c>
    </row>
    <row r="1230" customFormat="false" ht="15" hidden="false" customHeight="false" outlineLevel="0" collapsed="false">
      <c r="A1230" s="25" t="n">
        <f aca="false">IF(G1230="REJECT",COUNTIF($G$2:$G$2277,"&lt;&gt;REJECT")+1+COUNTIFS($G$2:$G$2277,"REJECT",$B$2:$B$2277,"&gt;"&amp;B1230),1+COUNTIFS($G$2:$G$2277,"&lt;&gt;REJECT",$B$2:$B$2277,"&gt;"&amp;B1230))</f>
        <v>1229</v>
      </c>
      <c r="B1230" s="26" t="n">
        <f aca="false">ROUND(($U$2*MAX(0,MIN(1,($W$2-I1230)/($W$2-$V$2)))+$U$3*MAX(0,MIN(1,($W$3-J1230)/($W$3-$V$3)))+$U$4*MAX(0,MIN(1,($W$4-K1230)/($W$4-$V$4)))+$U$5*MAX(0,MIN(1,($W$5-L1230)/($W$5-$V$5)))+$U$6*MAX(0,MIN(1,($W$6-M1230)/($W$6-$V$6)))+$U$7*MAX(0,MIN(1,($W$7-N1230)/($W$7-$V$7)))+$U$8*IF(AND(O1230&gt;=$V$8,O1230&lt;=$W$8),1,0))/$U$9*100,2)</f>
        <v>70.96</v>
      </c>
      <c r="C1230" s="27" t="s">
        <v>2204</v>
      </c>
      <c r="D1230" s="25" t="s">
        <v>3459</v>
      </c>
      <c r="E1230" s="25" t="s">
        <v>3447</v>
      </c>
      <c r="F1230" s="25" t="s">
        <v>3448</v>
      </c>
      <c r="G1230" s="38" t="s">
        <v>30</v>
      </c>
      <c r="H1230" s="28" t="s">
        <v>25</v>
      </c>
      <c r="I1230" s="25" t="n">
        <v>4</v>
      </c>
      <c r="J1230" s="25" t="n">
        <v>0</v>
      </c>
      <c r="K1230" s="25" t="n">
        <v>4</v>
      </c>
      <c r="L1230" s="29" t="n">
        <v>0.84</v>
      </c>
      <c r="M1230" s="30" t="n">
        <v>22.62</v>
      </c>
      <c r="N1230" s="29" t="n">
        <v>0.16</v>
      </c>
      <c r="O1230" s="25" t="n">
        <v>186</v>
      </c>
      <c r="P1230" s="30" t="n">
        <v>0.72</v>
      </c>
      <c r="Q1230" s="27" t="s">
        <v>3593</v>
      </c>
      <c r="R1230" s="27" t="s">
        <v>144</v>
      </c>
    </row>
    <row r="1231" customFormat="false" ht="15" hidden="false" customHeight="false" outlineLevel="0" collapsed="false">
      <c r="A1231" s="25" t="n">
        <f aca="false">IF(G1231="REJECT",COUNTIF($G$2:$G$2277,"&lt;&gt;REJECT")+1+COUNTIFS($G$2:$G$2277,"REJECT",$B$2:$B$2277,"&gt;"&amp;B1231),1+COUNTIFS($G$2:$G$2277,"&lt;&gt;REJECT",$B$2:$B$2277,"&gt;"&amp;B1231))</f>
        <v>1230</v>
      </c>
      <c r="B1231" s="26" t="n">
        <f aca="false">ROUND(($U$2*MAX(0,MIN(1,($W$2-I1231)/($W$2-$V$2)))+$U$3*MAX(0,MIN(1,($W$3-J1231)/($W$3-$V$3)))+$U$4*MAX(0,MIN(1,($W$4-K1231)/($W$4-$V$4)))+$U$5*MAX(0,MIN(1,($W$5-L1231)/($W$5-$V$5)))+$U$6*MAX(0,MIN(1,($W$6-M1231)/($W$6-$V$6)))+$U$7*MAX(0,MIN(1,($W$7-N1231)/($W$7-$V$7)))+$U$8*IF(AND(O1231&gt;=$V$8,O1231&lt;=$W$8),1,0))/$U$9*100,2)</f>
        <v>70.95</v>
      </c>
      <c r="C1231" s="27" t="s">
        <v>3068</v>
      </c>
      <c r="D1231" s="25" t="s">
        <v>134</v>
      </c>
      <c r="E1231" s="25" t="s">
        <v>3450</v>
      </c>
      <c r="F1231" s="25" t="s">
        <v>3448</v>
      </c>
      <c r="G1231" s="38" t="s">
        <v>30</v>
      </c>
      <c r="H1231" s="28" t="s">
        <v>25</v>
      </c>
      <c r="I1231" s="25" t="n">
        <v>1</v>
      </c>
      <c r="J1231" s="25" t="n">
        <v>1</v>
      </c>
      <c r="K1231" s="25" t="n">
        <v>1</v>
      </c>
      <c r="L1231" s="29" t="n">
        <v>0.62</v>
      </c>
      <c r="M1231" s="30" t="n">
        <v>8.8</v>
      </c>
      <c r="N1231" s="29" t="n">
        <v>0.32</v>
      </c>
      <c r="O1231" s="25" t="n">
        <v>184</v>
      </c>
      <c r="P1231" s="30" t="n">
        <v>6.13</v>
      </c>
      <c r="Q1231" s="27" t="s">
        <v>69</v>
      </c>
      <c r="R1231" s="27" t="s">
        <v>283</v>
      </c>
    </row>
    <row r="1232" customFormat="false" ht="15" hidden="false" customHeight="false" outlineLevel="0" collapsed="false">
      <c r="A1232" s="25" t="n">
        <f aca="false">IF(G1232="REJECT",COUNTIF($G$2:$G$2277,"&lt;&gt;REJECT")+1+COUNTIFS($G$2:$G$2277,"REJECT",$B$2:$B$2277,"&gt;"&amp;B1232),1+COUNTIFS($G$2:$G$2277,"&lt;&gt;REJECT",$B$2:$B$2277,"&gt;"&amp;B1232))</f>
        <v>1231</v>
      </c>
      <c r="B1232" s="26" t="n">
        <f aca="false">ROUND(($U$2*MAX(0,MIN(1,($W$2-I1232)/($W$2-$V$2)))+$U$3*MAX(0,MIN(1,($W$3-J1232)/($W$3-$V$3)))+$U$4*MAX(0,MIN(1,($W$4-K1232)/($W$4-$V$4)))+$U$5*MAX(0,MIN(1,($W$5-L1232)/($W$5-$V$5)))+$U$6*MAX(0,MIN(1,($W$6-M1232)/($W$6-$V$6)))+$U$7*MAX(0,MIN(1,($W$7-N1232)/($W$7-$V$7)))+$U$8*IF(AND(O1232&gt;=$V$8,O1232&lt;=$W$8),1,0))/$U$9*100,2)</f>
        <v>70.94</v>
      </c>
      <c r="C1232" s="27" t="s">
        <v>2746</v>
      </c>
      <c r="D1232" s="25" t="s">
        <v>3459</v>
      </c>
      <c r="E1232" s="25" t="s">
        <v>3447</v>
      </c>
      <c r="F1232" s="25" t="s">
        <v>3457</v>
      </c>
      <c r="G1232" s="38" t="s">
        <v>30</v>
      </c>
      <c r="H1232" s="28" t="s">
        <v>25</v>
      </c>
      <c r="I1232" s="25" t="n">
        <v>4</v>
      </c>
      <c r="J1232" s="25" t="n">
        <v>0</v>
      </c>
      <c r="K1232" s="25" t="n">
        <v>4</v>
      </c>
      <c r="L1232" s="29" t="n">
        <v>0.87</v>
      </c>
      <c r="M1232" s="30" t="n">
        <v>24.35</v>
      </c>
      <c r="N1232" s="29" t="n">
        <v>0</v>
      </c>
      <c r="O1232" s="25" t="n">
        <v>183</v>
      </c>
      <c r="P1232" s="30" t="n">
        <v>3.03</v>
      </c>
      <c r="Q1232" s="27" t="s">
        <v>3593</v>
      </c>
      <c r="R1232" s="27" t="s">
        <v>992</v>
      </c>
    </row>
    <row r="1233" customFormat="false" ht="15" hidden="false" customHeight="false" outlineLevel="0" collapsed="false">
      <c r="A1233" s="25" t="n">
        <f aca="false">IF(G1233="REJECT",COUNTIF($G$2:$G$2277,"&lt;&gt;REJECT")+1+COUNTIFS($G$2:$G$2277,"REJECT",$B$2:$B$2277,"&gt;"&amp;B1233),1+COUNTIFS($G$2:$G$2277,"&lt;&gt;REJECT",$B$2:$B$2277,"&gt;"&amp;B1233))</f>
        <v>1232</v>
      </c>
      <c r="B1233" s="26" t="n">
        <f aca="false">ROUND(($U$2*MAX(0,MIN(1,($W$2-I1233)/($W$2-$V$2)))+$U$3*MAX(0,MIN(1,($W$3-J1233)/($W$3-$V$3)))+$U$4*MAX(0,MIN(1,($W$4-K1233)/($W$4-$V$4)))+$U$5*MAX(0,MIN(1,($W$5-L1233)/($W$5-$V$5)))+$U$6*MAX(0,MIN(1,($W$6-M1233)/($W$6-$V$6)))+$U$7*MAX(0,MIN(1,($W$7-N1233)/($W$7-$V$7)))+$U$8*IF(AND(O1233&gt;=$V$8,O1233&lt;=$W$8),1,0))/$U$9*100,2)</f>
        <v>70.91</v>
      </c>
      <c r="C1233" s="27" t="s">
        <v>480</v>
      </c>
      <c r="D1233" s="25" t="s">
        <v>3459</v>
      </c>
      <c r="E1233" s="25" t="s">
        <v>3447</v>
      </c>
      <c r="F1233" s="25" t="s">
        <v>3457</v>
      </c>
      <c r="G1233" s="38" t="s">
        <v>30</v>
      </c>
      <c r="H1233" s="28" t="s">
        <v>25</v>
      </c>
      <c r="I1233" s="25" t="n">
        <v>4</v>
      </c>
      <c r="J1233" s="25" t="n">
        <v>0</v>
      </c>
      <c r="K1233" s="25" t="n">
        <v>4</v>
      </c>
      <c r="L1233" s="29" t="n">
        <v>0.77</v>
      </c>
      <c r="M1233" s="30" t="n">
        <v>13.73</v>
      </c>
      <c r="N1233" s="29" t="n">
        <v>0</v>
      </c>
      <c r="O1233" s="25" t="n">
        <v>182</v>
      </c>
      <c r="P1233" s="30" t="n">
        <v>-0.38</v>
      </c>
      <c r="Q1233" s="27" t="s">
        <v>3634</v>
      </c>
      <c r="R1233" s="27" t="s">
        <v>2133</v>
      </c>
    </row>
    <row r="1234" customFormat="false" ht="15" hidden="false" customHeight="false" outlineLevel="0" collapsed="false">
      <c r="A1234" s="25" t="n">
        <f aca="false">IF(G1234="REJECT",COUNTIF($G$2:$G$2277,"&lt;&gt;REJECT")+1+COUNTIFS($G$2:$G$2277,"REJECT",$B$2:$B$2277,"&gt;"&amp;B1234),1+COUNTIFS($G$2:$G$2277,"&lt;&gt;REJECT",$B$2:$B$2277,"&gt;"&amp;B1234))</f>
        <v>1233</v>
      </c>
      <c r="B1234" s="26" t="n">
        <f aca="false">ROUND(($U$2*MAX(0,MIN(1,($W$2-I1234)/($W$2-$V$2)))+$U$3*MAX(0,MIN(1,($W$3-J1234)/($W$3-$V$3)))+$U$4*MAX(0,MIN(1,($W$4-K1234)/($W$4-$V$4)))+$U$5*MAX(0,MIN(1,($W$5-L1234)/($W$5-$V$5)))+$U$6*MAX(0,MIN(1,($W$6-M1234)/($W$6-$V$6)))+$U$7*MAX(0,MIN(1,($W$7-N1234)/($W$7-$V$7)))+$U$8*IF(AND(O1234&gt;=$V$8,O1234&lt;=$W$8),1,0))/$U$9*100,2)</f>
        <v>70.9</v>
      </c>
      <c r="C1234" s="27" t="s">
        <v>1503</v>
      </c>
      <c r="D1234" s="25" t="s">
        <v>134</v>
      </c>
      <c r="E1234" s="25" t="s">
        <v>3447</v>
      </c>
      <c r="F1234" s="25" t="s">
        <v>3457</v>
      </c>
      <c r="G1234" s="38" t="s">
        <v>30</v>
      </c>
      <c r="H1234" s="33" t="s">
        <v>24</v>
      </c>
      <c r="I1234" s="25" t="n">
        <v>3</v>
      </c>
      <c r="J1234" s="25" t="n">
        <v>0</v>
      </c>
      <c r="K1234" s="25" t="n">
        <v>3</v>
      </c>
      <c r="L1234" s="29" t="n">
        <v>0.7</v>
      </c>
      <c r="M1234" s="30" t="n">
        <v>19.69</v>
      </c>
      <c r="N1234" s="29" t="n">
        <v>0.64</v>
      </c>
      <c r="O1234" s="25" t="n">
        <v>185</v>
      </c>
      <c r="P1234" s="30" t="n">
        <v>1.19</v>
      </c>
      <c r="Q1234" s="27" t="s">
        <v>3583</v>
      </c>
      <c r="R1234" s="27" t="s">
        <v>30</v>
      </c>
    </row>
    <row r="1235" customFormat="false" ht="15" hidden="false" customHeight="false" outlineLevel="0" collapsed="false">
      <c r="A1235" s="25" t="n">
        <f aca="false">IF(G1235="REJECT",COUNTIF($G$2:$G$2277,"&lt;&gt;REJECT")+1+COUNTIFS($G$2:$G$2277,"REJECT",$B$2:$B$2277,"&gt;"&amp;B1235),1+COUNTIFS($G$2:$G$2277,"&lt;&gt;REJECT",$B$2:$B$2277,"&gt;"&amp;B1235))</f>
        <v>1234</v>
      </c>
      <c r="B1235" s="26" t="n">
        <f aca="false">ROUND(($U$2*MAX(0,MIN(1,($W$2-I1235)/($W$2-$V$2)))+$U$3*MAX(0,MIN(1,($W$3-J1235)/($W$3-$V$3)))+$U$4*MAX(0,MIN(1,($W$4-K1235)/($W$4-$V$4)))+$U$5*MAX(0,MIN(1,($W$5-L1235)/($W$5-$V$5)))+$U$6*MAX(0,MIN(1,($W$6-M1235)/($W$6-$V$6)))+$U$7*MAX(0,MIN(1,($W$7-N1235)/($W$7-$V$7)))+$U$8*IF(AND(O1235&gt;=$V$8,O1235&lt;=$W$8),1,0))/$U$9*100,2)</f>
        <v>70.88</v>
      </c>
      <c r="C1235" s="27" t="s">
        <v>336</v>
      </c>
      <c r="D1235" s="25" t="s">
        <v>134</v>
      </c>
      <c r="E1235" s="25" t="s">
        <v>3447</v>
      </c>
      <c r="F1235" s="25" t="s">
        <v>3457</v>
      </c>
      <c r="G1235" s="38" t="s">
        <v>30</v>
      </c>
      <c r="H1235" s="33" t="s">
        <v>24</v>
      </c>
      <c r="I1235" s="25" t="n">
        <v>4</v>
      </c>
      <c r="J1235" s="25" t="n">
        <v>0</v>
      </c>
      <c r="K1235" s="25" t="n">
        <v>4</v>
      </c>
      <c r="L1235" s="29" t="n">
        <v>0.78</v>
      </c>
      <c r="M1235" s="30" t="n">
        <v>13.14</v>
      </c>
      <c r="N1235" s="29" t="n">
        <v>0.44</v>
      </c>
      <c r="O1235" s="25" t="n">
        <v>185</v>
      </c>
      <c r="P1235" s="30" t="n">
        <v>0.21</v>
      </c>
      <c r="Q1235" s="27" t="s">
        <v>3596</v>
      </c>
      <c r="R1235" s="27" t="s">
        <v>30</v>
      </c>
    </row>
    <row r="1236" customFormat="false" ht="15" hidden="false" customHeight="false" outlineLevel="0" collapsed="false">
      <c r="A1236" s="25" t="n">
        <f aca="false">IF(G1236="REJECT",COUNTIF($G$2:$G$2277,"&lt;&gt;REJECT")+1+COUNTIFS($G$2:$G$2277,"REJECT",$B$2:$B$2277,"&gt;"&amp;B1236),1+COUNTIFS($G$2:$G$2277,"&lt;&gt;REJECT",$B$2:$B$2277,"&gt;"&amp;B1236))</f>
        <v>1235</v>
      </c>
      <c r="B1236" s="26" t="n">
        <f aca="false">ROUND(($U$2*MAX(0,MIN(1,($W$2-I1236)/($W$2-$V$2)))+$U$3*MAX(0,MIN(1,($W$3-J1236)/($W$3-$V$3)))+$U$4*MAX(0,MIN(1,($W$4-K1236)/($W$4-$V$4)))+$U$5*MAX(0,MIN(1,($W$5-L1236)/($W$5-$V$5)))+$U$6*MAX(0,MIN(1,($W$6-M1236)/($W$6-$V$6)))+$U$7*MAX(0,MIN(1,($W$7-N1236)/($W$7-$V$7)))+$U$8*IF(AND(O1236&gt;=$V$8,O1236&lt;=$W$8),1,0))/$U$9*100,2)</f>
        <v>70.86</v>
      </c>
      <c r="C1236" s="27" t="s">
        <v>1247</v>
      </c>
      <c r="D1236" s="25" t="s">
        <v>134</v>
      </c>
      <c r="E1236" s="25" t="s">
        <v>3447</v>
      </c>
      <c r="F1236" s="25" t="s">
        <v>3457</v>
      </c>
      <c r="G1236" s="38" t="s">
        <v>30</v>
      </c>
      <c r="H1236" s="28" t="s">
        <v>25</v>
      </c>
      <c r="I1236" s="25" t="n">
        <v>2</v>
      </c>
      <c r="J1236" s="25" t="n">
        <v>1</v>
      </c>
      <c r="K1236" s="25" t="n">
        <v>2</v>
      </c>
      <c r="L1236" s="29" t="n">
        <v>0.72</v>
      </c>
      <c r="M1236" s="30" t="n">
        <v>4.65</v>
      </c>
      <c r="N1236" s="29" t="n">
        <v>0.64</v>
      </c>
      <c r="O1236" s="25" t="n">
        <v>182</v>
      </c>
      <c r="P1236" s="30" t="n">
        <v>-0.27</v>
      </c>
      <c r="Q1236" s="27" t="s">
        <v>3626</v>
      </c>
      <c r="R1236" s="27" t="s">
        <v>1152</v>
      </c>
    </row>
    <row r="1237" customFormat="false" ht="15" hidden="false" customHeight="false" outlineLevel="0" collapsed="false">
      <c r="A1237" s="25" t="n">
        <f aca="false">IF(G1237="REJECT",COUNTIF($G$2:$G$2277,"&lt;&gt;REJECT")+1+COUNTIFS($G$2:$G$2277,"REJECT",$B$2:$B$2277,"&gt;"&amp;B1237),1+COUNTIFS($G$2:$G$2277,"&lt;&gt;REJECT",$B$2:$B$2277,"&gt;"&amp;B1237))</f>
        <v>1236</v>
      </c>
      <c r="B1237" s="26" t="n">
        <f aca="false">ROUND(($U$2*MAX(0,MIN(1,($W$2-I1237)/($W$2-$V$2)))+$U$3*MAX(0,MIN(1,($W$3-J1237)/($W$3-$V$3)))+$U$4*MAX(0,MIN(1,($W$4-K1237)/($W$4-$V$4)))+$U$5*MAX(0,MIN(1,($W$5-L1237)/($W$5-$V$5)))+$U$6*MAX(0,MIN(1,($W$6-M1237)/($W$6-$V$6)))+$U$7*MAX(0,MIN(1,($W$7-N1237)/($W$7-$V$7)))+$U$8*IF(AND(O1237&gt;=$V$8,O1237&lt;=$W$8),1,0))/$U$9*100,2)</f>
        <v>70.85</v>
      </c>
      <c r="C1237" s="27" t="s">
        <v>388</v>
      </c>
      <c r="D1237" s="25" t="s">
        <v>134</v>
      </c>
      <c r="E1237" s="25" t="s">
        <v>3447</v>
      </c>
      <c r="F1237" s="25" t="s">
        <v>3457</v>
      </c>
      <c r="G1237" s="38" t="s">
        <v>30</v>
      </c>
      <c r="H1237" s="33" t="s">
        <v>24</v>
      </c>
      <c r="I1237" s="25" t="n">
        <v>3</v>
      </c>
      <c r="J1237" s="25" t="n">
        <v>0</v>
      </c>
      <c r="K1237" s="25" t="n">
        <v>3</v>
      </c>
      <c r="L1237" s="29" t="n">
        <v>0.68</v>
      </c>
      <c r="M1237" s="30" t="n">
        <v>13.99</v>
      </c>
      <c r="N1237" s="29" t="n">
        <v>0.52</v>
      </c>
      <c r="O1237" s="25" t="n">
        <v>183</v>
      </c>
      <c r="P1237" s="30" t="n">
        <v>0.65</v>
      </c>
      <c r="Q1237" s="27" t="s">
        <v>3545</v>
      </c>
      <c r="R1237" s="27" t="s">
        <v>30</v>
      </c>
    </row>
    <row r="1238" customFormat="false" ht="15" hidden="false" customHeight="false" outlineLevel="0" collapsed="false">
      <c r="A1238" s="25" t="n">
        <f aca="false">IF(G1238="REJECT",COUNTIF($G$2:$G$2277,"&lt;&gt;REJECT")+1+COUNTIFS($G$2:$G$2277,"REJECT",$B$2:$B$2277,"&gt;"&amp;B1238),1+COUNTIFS($G$2:$G$2277,"&lt;&gt;REJECT",$B$2:$B$2277,"&gt;"&amp;B1238))</f>
        <v>1236</v>
      </c>
      <c r="B1238" s="26" t="n">
        <f aca="false">ROUND(($U$2*MAX(0,MIN(1,($W$2-I1238)/($W$2-$V$2)))+$U$3*MAX(0,MIN(1,($W$3-J1238)/($W$3-$V$3)))+$U$4*MAX(0,MIN(1,($W$4-K1238)/($W$4-$V$4)))+$U$5*MAX(0,MIN(1,($W$5-L1238)/($W$5-$V$5)))+$U$6*MAX(0,MIN(1,($W$6-M1238)/($W$6-$V$6)))+$U$7*MAX(0,MIN(1,($W$7-N1238)/($W$7-$V$7)))+$U$8*IF(AND(O1238&gt;=$V$8,O1238&lt;=$W$8),1,0))/$U$9*100,2)</f>
        <v>70.85</v>
      </c>
      <c r="C1238" s="27" t="s">
        <v>2782</v>
      </c>
      <c r="D1238" s="25" t="s">
        <v>134</v>
      </c>
      <c r="E1238" s="25" t="s">
        <v>3450</v>
      </c>
      <c r="F1238" s="25" t="s">
        <v>3457</v>
      </c>
      <c r="G1238" s="38" t="s">
        <v>30</v>
      </c>
      <c r="H1238" s="28" t="s">
        <v>25</v>
      </c>
      <c r="I1238" s="25" t="n">
        <v>2</v>
      </c>
      <c r="J1238" s="25" t="n">
        <v>1</v>
      </c>
      <c r="K1238" s="25" t="n">
        <v>2</v>
      </c>
      <c r="L1238" s="29" t="n">
        <v>0.73</v>
      </c>
      <c r="M1238" s="30" t="n">
        <v>12.69</v>
      </c>
      <c r="N1238" s="29" t="n">
        <v>0.2</v>
      </c>
      <c r="O1238" s="25" t="n">
        <v>182</v>
      </c>
      <c r="P1238" s="30" t="n">
        <v>3.88</v>
      </c>
      <c r="Q1238" s="27" t="s">
        <v>3575</v>
      </c>
      <c r="R1238" s="27" t="s">
        <v>283</v>
      </c>
    </row>
    <row r="1239" customFormat="false" ht="15" hidden="false" customHeight="false" outlineLevel="0" collapsed="false">
      <c r="A1239" s="25" t="n">
        <f aca="false">IF(G1239="REJECT",COUNTIF($G$2:$G$2277,"&lt;&gt;REJECT")+1+COUNTIFS($G$2:$G$2277,"REJECT",$B$2:$B$2277,"&gt;"&amp;B1239),1+COUNTIFS($G$2:$G$2277,"&lt;&gt;REJECT",$B$2:$B$2277,"&gt;"&amp;B1239))</f>
        <v>1238</v>
      </c>
      <c r="B1239" s="26" t="n">
        <f aca="false">ROUND(($U$2*MAX(0,MIN(1,($W$2-I1239)/($W$2-$V$2)))+$U$3*MAX(0,MIN(1,($W$3-J1239)/($W$3-$V$3)))+$U$4*MAX(0,MIN(1,($W$4-K1239)/($W$4-$V$4)))+$U$5*MAX(0,MIN(1,($W$5-L1239)/($W$5-$V$5)))+$U$6*MAX(0,MIN(1,($W$6-M1239)/($W$6-$V$6)))+$U$7*MAX(0,MIN(1,($W$7-N1239)/($W$7-$V$7)))+$U$8*IF(AND(O1239&gt;=$V$8,O1239&lt;=$W$8),1,0))/$U$9*100,2)</f>
        <v>70.82</v>
      </c>
      <c r="C1239" s="27" t="s">
        <v>1876</v>
      </c>
      <c r="D1239" s="25" t="s">
        <v>134</v>
      </c>
      <c r="E1239" s="25" t="s">
        <v>3450</v>
      </c>
      <c r="F1239" s="25" t="s">
        <v>3457</v>
      </c>
      <c r="G1239" s="38" t="s">
        <v>30</v>
      </c>
      <c r="H1239" s="28" t="s">
        <v>25</v>
      </c>
      <c r="I1239" s="25" t="n">
        <v>2</v>
      </c>
      <c r="J1239" s="25" t="n">
        <v>1</v>
      </c>
      <c r="K1239" s="25" t="n">
        <v>2</v>
      </c>
      <c r="L1239" s="29" t="n">
        <v>0.72</v>
      </c>
      <c r="M1239" s="30" t="n">
        <v>6.08</v>
      </c>
      <c r="N1239" s="29" t="n">
        <v>0.52</v>
      </c>
      <c r="O1239" s="25" t="n">
        <v>183</v>
      </c>
      <c r="P1239" s="30" t="n">
        <v>12.95</v>
      </c>
      <c r="Q1239" s="27" t="s">
        <v>3575</v>
      </c>
      <c r="R1239" s="27" t="s">
        <v>283</v>
      </c>
    </row>
    <row r="1240" customFormat="false" ht="15" hidden="false" customHeight="false" outlineLevel="0" collapsed="false">
      <c r="A1240" s="25" t="n">
        <f aca="false">IF(G1240="REJECT",COUNTIF($G$2:$G$2277,"&lt;&gt;REJECT")+1+COUNTIFS($G$2:$G$2277,"REJECT",$B$2:$B$2277,"&gt;"&amp;B1240),1+COUNTIFS($G$2:$G$2277,"&lt;&gt;REJECT",$B$2:$B$2277,"&gt;"&amp;B1240))</f>
        <v>1239</v>
      </c>
      <c r="B1240" s="26" t="n">
        <f aca="false">ROUND(($U$2*MAX(0,MIN(1,($W$2-I1240)/($W$2-$V$2)))+$U$3*MAX(0,MIN(1,($W$3-J1240)/($W$3-$V$3)))+$U$4*MAX(0,MIN(1,($W$4-K1240)/($W$4-$V$4)))+$U$5*MAX(0,MIN(1,($W$5-L1240)/($W$5-$V$5)))+$U$6*MAX(0,MIN(1,($W$6-M1240)/($W$6-$V$6)))+$U$7*MAX(0,MIN(1,($W$7-N1240)/($W$7-$V$7)))+$U$8*IF(AND(O1240&gt;=$V$8,O1240&lt;=$W$8),1,0))/$U$9*100,2)</f>
        <v>70.69</v>
      </c>
      <c r="C1240" s="27" t="s">
        <v>1423</v>
      </c>
      <c r="D1240" s="25" t="s">
        <v>3459</v>
      </c>
      <c r="E1240" s="25" t="s">
        <v>3447</v>
      </c>
      <c r="F1240" s="25" t="s">
        <v>3457</v>
      </c>
      <c r="G1240" s="38" t="s">
        <v>30</v>
      </c>
      <c r="H1240" s="28" t="s">
        <v>25</v>
      </c>
      <c r="I1240" s="25" t="n">
        <v>2</v>
      </c>
      <c r="J1240" s="25" t="n">
        <v>1</v>
      </c>
      <c r="K1240" s="25" t="n">
        <v>2</v>
      </c>
      <c r="L1240" s="29" t="n">
        <v>0.75</v>
      </c>
      <c r="M1240" s="30" t="n">
        <v>14.44</v>
      </c>
      <c r="N1240" s="29" t="n">
        <v>0.84</v>
      </c>
      <c r="O1240" s="25" t="n">
        <v>189</v>
      </c>
      <c r="P1240" s="30" t="n">
        <v>0.54</v>
      </c>
      <c r="Q1240" s="27" t="s">
        <v>3575</v>
      </c>
      <c r="R1240" s="27" t="s">
        <v>283</v>
      </c>
    </row>
    <row r="1241" customFormat="false" ht="15" hidden="false" customHeight="false" outlineLevel="0" collapsed="false">
      <c r="A1241" s="25" t="n">
        <f aca="false">IF(G1241="REJECT",COUNTIF($G$2:$G$2277,"&lt;&gt;REJECT")+1+COUNTIFS($G$2:$G$2277,"REJECT",$B$2:$B$2277,"&gt;"&amp;B1241),1+COUNTIFS($G$2:$G$2277,"&lt;&gt;REJECT",$B$2:$B$2277,"&gt;"&amp;B1241))</f>
        <v>1240</v>
      </c>
      <c r="B1241" s="26" t="n">
        <f aca="false">ROUND(($U$2*MAX(0,MIN(1,($W$2-I1241)/($W$2-$V$2)))+$U$3*MAX(0,MIN(1,($W$3-J1241)/($W$3-$V$3)))+$U$4*MAX(0,MIN(1,($W$4-K1241)/($W$4-$V$4)))+$U$5*MAX(0,MIN(1,($W$5-L1241)/($W$5-$V$5)))+$U$6*MAX(0,MIN(1,($W$6-M1241)/($W$6-$V$6)))+$U$7*MAX(0,MIN(1,($W$7-N1241)/($W$7-$V$7)))+$U$8*IF(AND(O1241&gt;=$V$8,O1241&lt;=$W$8),1,0))/$U$9*100,2)</f>
        <v>70.68</v>
      </c>
      <c r="C1241" s="27" t="s">
        <v>291</v>
      </c>
      <c r="D1241" s="25" t="s">
        <v>3459</v>
      </c>
      <c r="E1241" s="25" t="s">
        <v>3447</v>
      </c>
      <c r="F1241" s="25" t="s">
        <v>3448</v>
      </c>
      <c r="G1241" s="38" t="s">
        <v>30</v>
      </c>
      <c r="H1241" s="28" t="s">
        <v>25</v>
      </c>
      <c r="I1241" s="25" t="n">
        <v>4</v>
      </c>
      <c r="J1241" s="25" t="n">
        <v>0</v>
      </c>
      <c r="K1241" s="25" t="n">
        <v>4</v>
      </c>
      <c r="L1241" s="29" t="n">
        <v>0.82</v>
      </c>
      <c r="M1241" s="30" t="n">
        <v>23.13</v>
      </c>
      <c r="N1241" s="29" t="n">
        <v>0.28</v>
      </c>
      <c r="O1241" s="25" t="n">
        <v>185</v>
      </c>
      <c r="P1241" s="30" t="n">
        <v>0.35</v>
      </c>
      <c r="Q1241" s="27" t="s">
        <v>3635</v>
      </c>
      <c r="R1241" s="27" t="s">
        <v>992</v>
      </c>
    </row>
    <row r="1242" customFormat="false" ht="15" hidden="false" customHeight="false" outlineLevel="0" collapsed="false">
      <c r="A1242" s="25" t="n">
        <f aca="false">IF(G1242="REJECT",COUNTIF($G$2:$G$2277,"&lt;&gt;REJECT")+1+COUNTIFS($G$2:$G$2277,"REJECT",$B$2:$B$2277,"&gt;"&amp;B1242),1+COUNTIFS($G$2:$G$2277,"&lt;&gt;REJECT",$B$2:$B$2277,"&gt;"&amp;B1242))</f>
        <v>1241</v>
      </c>
      <c r="B1242" s="26" t="n">
        <f aca="false">ROUND(($U$2*MAX(0,MIN(1,($W$2-I1242)/($W$2-$V$2)))+$U$3*MAX(0,MIN(1,($W$3-J1242)/($W$3-$V$3)))+$U$4*MAX(0,MIN(1,($W$4-K1242)/($W$4-$V$4)))+$U$5*MAX(0,MIN(1,($W$5-L1242)/($W$5-$V$5)))+$U$6*MAX(0,MIN(1,($W$6-M1242)/($W$6-$V$6)))+$U$7*MAX(0,MIN(1,($W$7-N1242)/($W$7-$V$7)))+$U$8*IF(AND(O1242&gt;=$V$8,O1242&lt;=$W$8),1,0))/$U$9*100,2)</f>
        <v>70.63</v>
      </c>
      <c r="C1242" s="27" t="s">
        <v>1685</v>
      </c>
      <c r="D1242" s="25" t="s">
        <v>3459</v>
      </c>
      <c r="E1242" s="25" t="s">
        <v>3447</v>
      </c>
      <c r="F1242" s="25" t="s">
        <v>3448</v>
      </c>
      <c r="G1242" s="38" t="s">
        <v>30</v>
      </c>
      <c r="H1242" s="28" t="s">
        <v>25</v>
      </c>
      <c r="I1242" s="25" t="n">
        <v>4</v>
      </c>
      <c r="J1242" s="25" t="n">
        <v>0</v>
      </c>
      <c r="K1242" s="25" t="n">
        <v>4</v>
      </c>
      <c r="L1242" s="29" t="n">
        <v>0.79</v>
      </c>
      <c r="M1242" s="30" t="n">
        <v>20.65</v>
      </c>
      <c r="N1242" s="29" t="n">
        <v>0.2</v>
      </c>
      <c r="O1242" s="25" t="n">
        <v>182</v>
      </c>
      <c r="P1242" s="30" t="n">
        <v>8.87</v>
      </c>
      <c r="Q1242" s="27" t="s">
        <v>3636</v>
      </c>
      <c r="R1242" s="27" t="s">
        <v>992</v>
      </c>
    </row>
    <row r="1243" customFormat="false" ht="15" hidden="false" customHeight="false" outlineLevel="0" collapsed="false">
      <c r="A1243" s="25" t="n">
        <f aca="false">IF(G1243="REJECT",COUNTIF($G$2:$G$2277,"&lt;&gt;REJECT")+1+COUNTIFS($G$2:$G$2277,"REJECT",$B$2:$B$2277,"&gt;"&amp;B1243),1+COUNTIFS($G$2:$G$2277,"&lt;&gt;REJECT",$B$2:$B$2277,"&gt;"&amp;B1243))</f>
        <v>1242</v>
      </c>
      <c r="B1243" s="26" t="n">
        <f aca="false">ROUND(($U$2*MAX(0,MIN(1,($W$2-I1243)/($W$2-$V$2)))+$U$3*MAX(0,MIN(1,($W$3-J1243)/($W$3-$V$3)))+$U$4*MAX(0,MIN(1,($W$4-K1243)/($W$4-$V$4)))+$U$5*MAX(0,MIN(1,($W$5-L1243)/($W$5-$V$5)))+$U$6*MAX(0,MIN(1,($W$6-M1243)/($W$6-$V$6)))+$U$7*MAX(0,MIN(1,($W$7-N1243)/($W$7-$V$7)))+$U$8*IF(AND(O1243&gt;=$V$8,O1243&lt;=$W$8),1,0))/$U$9*100,2)</f>
        <v>70.6</v>
      </c>
      <c r="C1243" s="27" t="s">
        <v>779</v>
      </c>
      <c r="D1243" s="25" t="s">
        <v>3459</v>
      </c>
      <c r="E1243" s="25" t="s">
        <v>3447</v>
      </c>
      <c r="F1243" s="25" t="s">
        <v>3448</v>
      </c>
      <c r="G1243" s="38" t="s">
        <v>30</v>
      </c>
      <c r="H1243" s="33" t="s">
        <v>24</v>
      </c>
      <c r="I1243" s="25" t="n">
        <v>4</v>
      </c>
      <c r="J1243" s="25" t="n">
        <v>0</v>
      </c>
      <c r="K1243" s="25" t="n">
        <v>4</v>
      </c>
      <c r="L1243" s="29" t="n">
        <v>0.75</v>
      </c>
      <c r="M1243" s="30" t="n">
        <v>7.22</v>
      </c>
      <c r="N1243" s="29" t="n">
        <v>0.12</v>
      </c>
      <c r="O1243" s="25" t="n">
        <v>183</v>
      </c>
      <c r="P1243" s="30" t="n">
        <v>0.7</v>
      </c>
      <c r="Q1243" s="27" t="s">
        <v>3621</v>
      </c>
      <c r="R1243" s="27" t="s">
        <v>30</v>
      </c>
    </row>
    <row r="1244" customFormat="false" ht="15" hidden="false" customHeight="false" outlineLevel="0" collapsed="false">
      <c r="A1244" s="25" t="n">
        <f aca="false">IF(G1244="REJECT",COUNTIF($G$2:$G$2277,"&lt;&gt;REJECT")+1+COUNTIFS($G$2:$G$2277,"REJECT",$B$2:$B$2277,"&gt;"&amp;B1244),1+COUNTIFS($G$2:$G$2277,"&lt;&gt;REJECT",$B$2:$B$2277,"&gt;"&amp;B1244))</f>
        <v>1243</v>
      </c>
      <c r="B1244" s="26" t="n">
        <f aca="false">ROUND(($U$2*MAX(0,MIN(1,($W$2-I1244)/($W$2-$V$2)))+$U$3*MAX(0,MIN(1,($W$3-J1244)/($W$3-$V$3)))+$U$4*MAX(0,MIN(1,($W$4-K1244)/($W$4-$V$4)))+$U$5*MAX(0,MIN(1,($W$5-L1244)/($W$5-$V$5)))+$U$6*MAX(0,MIN(1,($W$6-M1244)/($W$6-$V$6)))+$U$7*MAX(0,MIN(1,($W$7-N1244)/($W$7-$V$7)))+$U$8*IF(AND(O1244&gt;=$V$8,O1244&lt;=$W$8),1,0))/$U$9*100,2)</f>
        <v>70.56</v>
      </c>
      <c r="C1244" s="27" t="s">
        <v>153</v>
      </c>
      <c r="D1244" s="25" t="s">
        <v>134</v>
      </c>
      <c r="E1244" s="25" t="s">
        <v>3450</v>
      </c>
      <c r="F1244" s="25" t="s">
        <v>3448</v>
      </c>
      <c r="G1244" s="38" t="s">
        <v>30</v>
      </c>
      <c r="H1244" s="28" t="s">
        <v>25</v>
      </c>
      <c r="I1244" s="25" t="n">
        <v>2</v>
      </c>
      <c r="J1244" s="25" t="n">
        <v>1</v>
      </c>
      <c r="K1244" s="25" t="n">
        <v>2</v>
      </c>
      <c r="L1244" s="29" t="n">
        <v>0.76</v>
      </c>
      <c r="M1244" s="30" t="n">
        <v>23.63</v>
      </c>
      <c r="N1244" s="29" t="n">
        <v>0.36</v>
      </c>
      <c r="O1244" s="25" t="n">
        <v>187</v>
      </c>
      <c r="P1244" s="30" t="n">
        <v>7.36</v>
      </c>
      <c r="Q1244" s="27" t="s">
        <v>3566</v>
      </c>
      <c r="R1244" s="27" t="s">
        <v>157</v>
      </c>
    </row>
    <row r="1245" customFormat="false" ht="15" hidden="false" customHeight="false" outlineLevel="0" collapsed="false">
      <c r="A1245" s="25" t="n">
        <f aca="false">IF(G1245="REJECT",COUNTIF($G$2:$G$2277,"&lt;&gt;REJECT")+1+COUNTIFS($G$2:$G$2277,"REJECT",$B$2:$B$2277,"&gt;"&amp;B1245),1+COUNTIFS($G$2:$G$2277,"&lt;&gt;REJECT",$B$2:$B$2277,"&gt;"&amp;B1245))</f>
        <v>1244</v>
      </c>
      <c r="B1245" s="26" t="n">
        <f aca="false">ROUND(($U$2*MAX(0,MIN(1,($W$2-I1245)/($W$2-$V$2)))+$U$3*MAX(0,MIN(1,($W$3-J1245)/($W$3-$V$3)))+$U$4*MAX(0,MIN(1,($W$4-K1245)/($W$4-$V$4)))+$U$5*MAX(0,MIN(1,($W$5-L1245)/($W$5-$V$5)))+$U$6*MAX(0,MIN(1,($W$6-M1245)/($W$6-$V$6)))+$U$7*MAX(0,MIN(1,($W$7-N1245)/($W$7-$V$7)))+$U$8*IF(AND(O1245&gt;=$V$8,O1245&lt;=$W$8),1,0))/$U$9*100,2)</f>
        <v>70.54</v>
      </c>
      <c r="C1245" s="27" t="s">
        <v>744</v>
      </c>
      <c r="D1245" s="25" t="s">
        <v>134</v>
      </c>
      <c r="E1245" s="25" t="s">
        <v>3447</v>
      </c>
      <c r="F1245" s="25" t="s">
        <v>3448</v>
      </c>
      <c r="G1245" s="38" t="s">
        <v>30</v>
      </c>
      <c r="H1245" s="33" t="s">
        <v>24</v>
      </c>
      <c r="I1245" s="25" t="n">
        <v>4</v>
      </c>
      <c r="J1245" s="25" t="n">
        <v>0</v>
      </c>
      <c r="K1245" s="25" t="n">
        <v>4</v>
      </c>
      <c r="L1245" s="29" t="n">
        <v>0.77</v>
      </c>
      <c r="M1245" s="30" t="n">
        <v>7.14</v>
      </c>
      <c r="N1245" s="29" t="n">
        <v>0.88</v>
      </c>
      <c r="O1245" s="25" t="n">
        <v>183</v>
      </c>
      <c r="P1245" s="30" t="n">
        <v>9.93</v>
      </c>
      <c r="Q1245" s="27" t="s">
        <v>3637</v>
      </c>
      <c r="R1245" s="27" t="s">
        <v>30</v>
      </c>
    </row>
    <row r="1246" customFormat="false" ht="15" hidden="false" customHeight="false" outlineLevel="0" collapsed="false">
      <c r="A1246" s="25" t="n">
        <f aca="false">IF(G1246="REJECT",COUNTIF($G$2:$G$2277,"&lt;&gt;REJECT")+1+COUNTIFS($G$2:$G$2277,"REJECT",$B$2:$B$2277,"&gt;"&amp;B1246),1+COUNTIFS($G$2:$G$2277,"&lt;&gt;REJECT",$B$2:$B$2277,"&gt;"&amp;B1246))</f>
        <v>1245</v>
      </c>
      <c r="B1246" s="26" t="n">
        <f aca="false">ROUND(($U$2*MAX(0,MIN(1,($W$2-I1246)/($W$2-$V$2)))+$U$3*MAX(0,MIN(1,($W$3-J1246)/($W$3-$V$3)))+$U$4*MAX(0,MIN(1,($W$4-K1246)/($W$4-$V$4)))+$U$5*MAX(0,MIN(1,($W$5-L1246)/($W$5-$V$5)))+$U$6*MAX(0,MIN(1,($W$6-M1246)/($W$6-$V$6)))+$U$7*MAX(0,MIN(1,($W$7-N1246)/($W$7-$V$7)))+$U$8*IF(AND(O1246&gt;=$V$8,O1246&lt;=$W$8),1,0))/$U$9*100,2)</f>
        <v>70.49</v>
      </c>
      <c r="C1246" s="27" t="s">
        <v>153</v>
      </c>
      <c r="D1246" s="25" t="s">
        <v>134</v>
      </c>
      <c r="E1246" s="25" t="s">
        <v>3447</v>
      </c>
      <c r="F1246" s="25" t="s">
        <v>3457</v>
      </c>
      <c r="G1246" s="38" t="s">
        <v>30</v>
      </c>
      <c r="H1246" s="28" t="s">
        <v>25</v>
      </c>
      <c r="I1246" s="25" t="n">
        <v>4</v>
      </c>
      <c r="J1246" s="25" t="n">
        <v>0</v>
      </c>
      <c r="K1246" s="25" t="n">
        <v>4</v>
      </c>
      <c r="L1246" s="29" t="n">
        <v>0.79</v>
      </c>
      <c r="M1246" s="30" t="n">
        <v>17.06</v>
      </c>
      <c r="N1246" s="29" t="n">
        <v>0.64</v>
      </c>
      <c r="O1246" s="25" t="n">
        <v>184</v>
      </c>
      <c r="P1246" s="30" t="n">
        <v>1.09</v>
      </c>
      <c r="Q1246" s="27" t="s">
        <v>3596</v>
      </c>
      <c r="R1246" s="27" t="s">
        <v>2133</v>
      </c>
    </row>
    <row r="1247" customFormat="false" ht="15" hidden="false" customHeight="false" outlineLevel="0" collapsed="false">
      <c r="A1247" s="25" t="n">
        <f aca="false">IF(G1247="REJECT",COUNTIF($G$2:$G$2277,"&lt;&gt;REJECT")+1+COUNTIFS($G$2:$G$2277,"REJECT",$B$2:$B$2277,"&gt;"&amp;B1247),1+COUNTIFS($G$2:$G$2277,"&lt;&gt;REJECT",$B$2:$B$2277,"&gt;"&amp;B1247))</f>
        <v>1246</v>
      </c>
      <c r="B1247" s="26" t="n">
        <f aca="false">ROUND(($U$2*MAX(0,MIN(1,($W$2-I1247)/($W$2-$V$2)))+$U$3*MAX(0,MIN(1,($W$3-J1247)/($W$3-$V$3)))+$U$4*MAX(0,MIN(1,($W$4-K1247)/($W$4-$V$4)))+$U$5*MAX(0,MIN(1,($W$5-L1247)/($W$5-$V$5)))+$U$6*MAX(0,MIN(1,($W$6-M1247)/($W$6-$V$6)))+$U$7*MAX(0,MIN(1,($W$7-N1247)/($W$7-$V$7)))+$U$8*IF(AND(O1247&gt;=$V$8,O1247&lt;=$W$8),1,0))/$U$9*100,2)</f>
        <v>70.47</v>
      </c>
      <c r="C1247" s="27" t="s">
        <v>1935</v>
      </c>
      <c r="D1247" s="25" t="s">
        <v>134</v>
      </c>
      <c r="E1247" s="25" t="s">
        <v>3447</v>
      </c>
      <c r="F1247" s="25" t="s">
        <v>3448</v>
      </c>
      <c r="G1247" s="38" t="s">
        <v>30</v>
      </c>
      <c r="H1247" s="33" t="s">
        <v>24</v>
      </c>
      <c r="I1247" s="25" t="n">
        <v>4</v>
      </c>
      <c r="J1247" s="25" t="n">
        <v>0</v>
      </c>
      <c r="K1247" s="25" t="n">
        <v>4</v>
      </c>
      <c r="L1247" s="29" t="n">
        <v>0.79</v>
      </c>
      <c r="M1247" s="30" t="n">
        <v>16.38</v>
      </c>
      <c r="N1247" s="29" t="n">
        <v>0.72</v>
      </c>
      <c r="O1247" s="25" t="n">
        <v>193</v>
      </c>
      <c r="P1247" s="30" t="n">
        <v>0.63</v>
      </c>
      <c r="Q1247" s="27" t="s">
        <v>3638</v>
      </c>
      <c r="R1247" s="27" t="s">
        <v>30</v>
      </c>
    </row>
    <row r="1248" customFormat="false" ht="15" hidden="false" customHeight="false" outlineLevel="0" collapsed="false">
      <c r="A1248" s="25" t="n">
        <f aca="false">IF(G1248="REJECT",COUNTIF($G$2:$G$2277,"&lt;&gt;REJECT")+1+COUNTIFS($G$2:$G$2277,"REJECT",$B$2:$B$2277,"&gt;"&amp;B1248),1+COUNTIFS($G$2:$G$2277,"&lt;&gt;REJECT",$B$2:$B$2277,"&gt;"&amp;B1248))</f>
        <v>1247</v>
      </c>
      <c r="B1248" s="26" t="n">
        <f aca="false">ROUND(($U$2*MAX(0,MIN(1,($W$2-I1248)/($W$2-$V$2)))+$U$3*MAX(0,MIN(1,($W$3-J1248)/($W$3-$V$3)))+$U$4*MAX(0,MIN(1,($W$4-K1248)/($W$4-$V$4)))+$U$5*MAX(0,MIN(1,($W$5-L1248)/($W$5-$V$5)))+$U$6*MAX(0,MIN(1,($W$6-M1248)/($W$6-$V$6)))+$U$7*MAX(0,MIN(1,($W$7-N1248)/($W$7-$V$7)))+$U$8*IF(AND(O1248&gt;=$V$8,O1248&lt;=$W$8),1,0))/$U$9*100,2)</f>
        <v>70.45</v>
      </c>
      <c r="C1248" s="27" t="s">
        <v>756</v>
      </c>
      <c r="D1248" s="25" t="s">
        <v>134</v>
      </c>
      <c r="E1248" s="25" t="s">
        <v>3447</v>
      </c>
      <c r="F1248" s="25" t="s">
        <v>3448</v>
      </c>
      <c r="G1248" s="38" t="s">
        <v>30</v>
      </c>
      <c r="H1248" s="28" t="s">
        <v>25</v>
      </c>
      <c r="I1248" s="25" t="n">
        <v>2</v>
      </c>
      <c r="J1248" s="25" t="n">
        <v>1</v>
      </c>
      <c r="K1248" s="25" t="n">
        <v>2</v>
      </c>
      <c r="L1248" s="29" t="n">
        <v>0.72</v>
      </c>
      <c r="M1248" s="30" t="n">
        <v>7.93</v>
      </c>
      <c r="N1248" s="29" t="n">
        <v>0.56</v>
      </c>
      <c r="O1248" s="25" t="n">
        <v>184</v>
      </c>
      <c r="P1248" s="30" t="n">
        <v>12.85</v>
      </c>
      <c r="Q1248" s="27" t="s">
        <v>3575</v>
      </c>
      <c r="R1248" s="27" t="s">
        <v>283</v>
      </c>
    </row>
    <row r="1249" customFormat="false" ht="15" hidden="false" customHeight="false" outlineLevel="0" collapsed="false">
      <c r="A1249" s="25" t="n">
        <f aca="false">IF(G1249="REJECT",COUNTIF($G$2:$G$2277,"&lt;&gt;REJECT")+1+COUNTIFS($G$2:$G$2277,"REJECT",$B$2:$B$2277,"&gt;"&amp;B1249),1+COUNTIFS($G$2:$G$2277,"&lt;&gt;REJECT",$B$2:$B$2277,"&gt;"&amp;B1249))</f>
        <v>1247</v>
      </c>
      <c r="B1249" s="26" t="n">
        <f aca="false">ROUND(($U$2*MAX(0,MIN(1,($W$2-I1249)/($W$2-$V$2)))+$U$3*MAX(0,MIN(1,($W$3-J1249)/($W$3-$V$3)))+$U$4*MAX(0,MIN(1,($W$4-K1249)/($W$4-$V$4)))+$U$5*MAX(0,MIN(1,($W$5-L1249)/($W$5-$V$5)))+$U$6*MAX(0,MIN(1,($W$6-M1249)/($W$6-$V$6)))+$U$7*MAX(0,MIN(1,($W$7-N1249)/($W$7-$V$7)))+$U$8*IF(AND(O1249&gt;=$V$8,O1249&lt;=$W$8),1,0))/$U$9*100,2)</f>
        <v>70.45</v>
      </c>
      <c r="C1249" s="27" t="s">
        <v>879</v>
      </c>
      <c r="D1249" s="25" t="s">
        <v>134</v>
      </c>
      <c r="E1249" s="25" t="s">
        <v>3450</v>
      </c>
      <c r="F1249" s="25" t="s">
        <v>3457</v>
      </c>
      <c r="G1249" s="38" t="s">
        <v>30</v>
      </c>
      <c r="H1249" s="28" t="s">
        <v>25</v>
      </c>
      <c r="I1249" s="25" t="n">
        <v>1</v>
      </c>
      <c r="J1249" s="25" t="n">
        <v>1</v>
      </c>
      <c r="K1249" s="25" t="n">
        <v>1</v>
      </c>
      <c r="L1249" s="29" t="n">
        <v>0.64</v>
      </c>
      <c r="M1249" s="30" t="n">
        <v>12.6</v>
      </c>
      <c r="N1249" s="29" t="n">
        <v>0.96</v>
      </c>
      <c r="O1249" s="25" t="n">
        <v>189</v>
      </c>
      <c r="P1249" s="30" t="n">
        <v>15.63</v>
      </c>
      <c r="Q1249" s="27" t="s">
        <v>69</v>
      </c>
      <c r="R1249" s="27" t="s">
        <v>1152</v>
      </c>
    </row>
    <row r="1250" customFormat="false" ht="15" hidden="false" customHeight="false" outlineLevel="0" collapsed="false">
      <c r="A1250" s="25" t="n">
        <f aca="false">IF(G1250="REJECT",COUNTIF($G$2:$G$2277,"&lt;&gt;REJECT")+1+COUNTIFS($G$2:$G$2277,"REJECT",$B$2:$B$2277,"&gt;"&amp;B1250),1+COUNTIFS($G$2:$G$2277,"&lt;&gt;REJECT",$B$2:$B$2277,"&gt;"&amp;B1250))</f>
        <v>1249</v>
      </c>
      <c r="B1250" s="26" t="n">
        <f aca="false">ROUND(($U$2*MAX(0,MIN(1,($W$2-I1250)/($W$2-$V$2)))+$U$3*MAX(0,MIN(1,($W$3-J1250)/($W$3-$V$3)))+$U$4*MAX(0,MIN(1,($W$4-K1250)/($W$4-$V$4)))+$U$5*MAX(0,MIN(1,($W$5-L1250)/($W$5-$V$5)))+$U$6*MAX(0,MIN(1,($W$6-M1250)/($W$6-$V$6)))+$U$7*MAX(0,MIN(1,($W$7-N1250)/($W$7-$V$7)))+$U$8*IF(AND(O1250&gt;=$V$8,O1250&lt;=$W$8),1,0))/$U$9*100,2)</f>
        <v>70.28</v>
      </c>
      <c r="C1250" s="27" t="s">
        <v>1876</v>
      </c>
      <c r="D1250" s="25" t="s">
        <v>134</v>
      </c>
      <c r="E1250" s="25" t="s">
        <v>3450</v>
      </c>
      <c r="F1250" s="25" t="s">
        <v>3448</v>
      </c>
      <c r="G1250" s="38" t="s">
        <v>30</v>
      </c>
      <c r="H1250" s="28" t="s">
        <v>25</v>
      </c>
      <c r="I1250" s="25" t="n">
        <v>2</v>
      </c>
      <c r="J1250" s="25" t="n">
        <v>1</v>
      </c>
      <c r="K1250" s="25" t="n">
        <v>2</v>
      </c>
      <c r="L1250" s="29" t="n">
        <v>0.73</v>
      </c>
      <c r="M1250" s="30" t="n">
        <v>8.54</v>
      </c>
      <c r="N1250" s="29" t="n">
        <v>0.96</v>
      </c>
      <c r="O1250" s="25" t="n">
        <v>183</v>
      </c>
      <c r="P1250" s="30" t="n">
        <v>12.95</v>
      </c>
      <c r="Q1250" s="27" t="s">
        <v>3575</v>
      </c>
      <c r="R1250" s="27" t="s">
        <v>283</v>
      </c>
    </row>
    <row r="1251" customFormat="false" ht="15" hidden="false" customHeight="false" outlineLevel="0" collapsed="false">
      <c r="A1251" s="25" t="n">
        <f aca="false">IF(G1251="REJECT",COUNTIF($G$2:$G$2277,"&lt;&gt;REJECT")+1+COUNTIFS($G$2:$G$2277,"REJECT",$B$2:$B$2277,"&gt;"&amp;B1251),1+COUNTIFS($G$2:$G$2277,"&lt;&gt;REJECT",$B$2:$B$2277,"&gt;"&amp;B1251))</f>
        <v>1250</v>
      </c>
      <c r="B1251" s="26" t="n">
        <f aca="false">ROUND(($U$2*MAX(0,MIN(1,($W$2-I1251)/($W$2-$V$2)))+$U$3*MAX(0,MIN(1,($W$3-J1251)/($W$3-$V$3)))+$U$4*MAX(0,MIN(1,($W$4-K1251)/($W$4-$V$4)))+$U$5*MAX(0,MIN(1,($W$5-L1251)/($W$5-$V$5)))+$U$6*MAX(0,MIN(1,($W$6-M1251)/($W$6-$V$6)))+$U$7*MAX(0,MIN(1,($W$7-N1251)/($W$7-$V$7)))+$U$8*IF(AND(O1251&gt;=$V$8,O1251&lt;=$W$8),1,0))/$U$9*100,2)</f>
        <v>70.27</v>
      </c>
      <c r="C1251" s="27" t="s">
        <v>1122</v>
      </c>
      <c r="D1251" s="25" t="s">
        <v>134</v>
      </c>
      <c r="E1251" s="25" t="s">
        <v>3450</v>
      </c>
      <c r="F1251" s="25" t="s">
        <v>3448</v>
      </c>
      <c r="G1251" s="38" t="s">
        <v>30</v>
      </c>
      <c r="H1251" s="28" t="s">
        <v>25</v>
      </c>
      <c r="I1251" s="25" t="n">
        <v>2</v>
      </c>
      <c r="J1251" s="25" t="n">
        <v>1</v>
      </c>
      <c r="K1251" s="25" t="n">
        <v>2</v>
      </c>
      <c r="L1251" s="29" t="n">
        <v>0.75</v>
      </c>
      <c r="M1251" s="30" t="n">
        <v>24.16</v>
      </c>
      <c r="N1251" s="29" t="n">
        <v>0.12</v>
      </c>
      <c r="O1251" s="25" t="n">
        <v>183</v>
      </c>
      <c r="P1251" s="30" t="n">
        <v>10.93</v>
      </c>
      <c r="Q1251" s="27" t="s">
        <v>3575</v>
      </c>
      <c r="R1251" s="27" t="s">
        <v>183</v>
      </c>
    </row>
    <row r="1252" customFormat="false" ht="15" hidden="false" customHeight="false" outlineLevel="0" collapsed="false">
      <c r="A1252" s="25" t="n">
        <f aca="false">IF(G1252="REJECT",COUNTIF($G$2:$G$2277,"&lt;&gt;REJECT")+1+COUNTIFS($G$2:$G$2277,"REJECT",$B$2:$B$2277,"&gt;"&amp;B1252),1+COUNTIFS($G$2:$G$2277,"&lt;&gt;REJECT",$B$2:$B$2277,"&gt;"&amp;B1252))</f>
        <v>1250</v>
      </c>
      <c r="B1252" s="26" t="n">
        <f aca="false">ROUND(($U$2*MAX(0,MIN(1,($W$2-I1252)/($W$2-$V$2)))+$U$3*MAX(0,MIN(1,($W$3-J1252)/($W$3-$V$3)))+$U$4*MAX(0,MIN(1,($W$4-K1252)/($W$4-$V$4)))+$U$5*MAX(0,MIN(1,($W$5-L1252)/($W$5-$V$5)))+$U$6*MAX(0,MIN(1,($W$6-M1252)/($W$6-$V$6)))+$U$7*MAX(0,MIN(1,($W$7-N1252)/($W$7-$V$7)))+$U$8*IF(AND(O1252&gt;=$V$8,O1252&lt;=$W$8),1,0))/$U$9*100,2)</f>
        <v>70.27</v>
      </c>
      <c r="C1252" s="27" t="s">
        <v>2810</v>
      </c>
      <c r="D1252" s="25" t="s">
        <v>134</v>
      </c>
      <c r="E1252" s="25" t="s">
        <v>3447</v>
      </c>
      <c r="F1252" s="25" t="s">
        <v>3457</v>
      </c>
      <c r="G1252" s="38" t="s">
        <v>30</v>
      </c>
      <c r="H1252" s="28" t="s">
        <v>25</v>
      </c>
      <c r="I1252" s="25" t="n">
        <v>2</v>
      </c>
      <c r="J1252" s="25" t="n">
        <v>1</v>
      </c>
      <c r="K1252" s="25" t="n">
        <v>2</v>
      </c>
      <c r="L1252" s="29" t="n">
        <v>0.72</v>
      </c>
      <c r="M1252" s="30" t="n">
        <v>6.56</v>
      </c>
      <c r="N1252" s="29" t="n">
        <v>0.8</v>
      </c>
      <c r="O1252" s="25" t="n">
        <v>187</v>
      </c>
      <c r="P1252" s="30" t="n">
        <v>4.45</v>
      </c>
      <c r="Q1252" s="27" t="s">
        <v>3575</v>
      </c>
      <c r="R1252" s="27" t="s">
        <v>283</v>
      </c>
    </row>
    <row r="1253" customFormat="false" ht="15" hidden="false" customHeight="false" outlineLevel="0" collapsed="false">
      <c r="A1253" s="25" t="n">
        <f aca="false">IF(G1253="REJECT",COUNTIF($G$2:$G$2277,"&lt;&gt;REJECT")+1+COUNTIFS($G$2:$G$2277,"REJECT",$B$2:$B$2277,"&gt;"&amp;B1253),1+COUNTIFS($G$2:$G$2277,"&lt;&gt;REJECT",$B$2:$B$2277,"&gt;"&amp;B1253))</f>
        <v>1252</v>
      </c>
      <c r="B1253" s="26" t="n">
        <f aca="false">ROUND(($U$2*MAX(0,MIN(1,($W$2-I1253)/($W$2-$V$2)))+$U$3*MAX(0,MIN(1,($W$3-J1253)/($W$3-$V$3)))+$U$4*MAX(0,MIN(1,($W$4-K1253)/($W$4-$V$4)))+$U$5*MAX(0,MIN(1,($W$5-L1253)/($W$5-$V$5)))+$U$6*MAX(0,MIN(1,($W$6-M1253)/($W$6-$V$6)))+$U$7*MAX(0,MIN(1,($W$7-N1253)/($W$7-$V$7)))+$U$8*IF(AND(O1253&gt;=$V$8,O1253&lt;=$W$8),1,0))/$U$9*100,2)</f>
        <v>70.26</v>
      </c>
      <c r="C1253" s="27" t="s">
        <v>1197</v>
      </c>
      <c r="D1253" s="25" t="s">
        <v>134</v>
      </c>
      <c r="E1253" s="25" t="s">
        <v>3450</v>
      </c>
      <c r="F1253" s="25" t="s">
        <v>3457</v>
      </c>
      <c r="G1253" s="38" t="s">
        <v>30</v>
      </c>
      <c r="H1253" s="28" t="s">
        <v>25</v>
      </c>
      <c r="I1253" s="25" t="n">
        <v>1</v>
      </c>
      <c r="J1253" s="25" t="n">
        <v>1</v>
      </c>
      <c r="K1253" s="25" t="n">
        <v>1</v>
      </c>
      <c r="L1253" s="29" t="n">
        <v>0.64</v>
      </c>
      <c r="M1253" s="30" t="n">
        <v>20.94</v>
      </c>
      <c r="N1253" s="29" t="n">
        <v>0.24</v>
      </c>
      <c r="O1253" s="25" t="n">
        <v>186</v>
      </c>
      <c r="P1253" s="30" t="n">
        <v>7.45</v>
      </c>
      <c r="Q1253" s="27" t="s">
        <v>69</v>
      </c>
      <c r="R1253" s="27" t="s">
        <v>183</v>
      </c>
    </row>
    <row r="1254" customFormat="false" ht="15" hidden="false" customHeight="false" outlineLevel="0" collapsed="false">
      <c r="A1254" s="25" t="n">
        <f aca="false">IF(G1254="REJECT",COUNTIF($G$2:$G$2277,"&lt;&gt;REJECT")+1+COUNTIFS($G$2:$G$2277,"REJECT",$B$2:$B$2277,"&gt;"&amp;B1254),1+COUNTIFS($G$2:$G$2277,"&lt;&gt;REJECT",$B$2:$B$2277,"&gt;"&amp;B1254))</f>
        <v>1253</v>
      </c>
      <c r="B1254" s="26" t="n">
        <f aca="false">ROUND(($U$2*MAX(0,MIN(1,($W$2-I1254)/($W$2-$V$2)))+$U$3*MAX(0,MIN(1,($W$3-J1254)/($W$3-$V$3)))+$U$4*MAX(0,MIN(1,($W$4-K1254)/($W$4-$V$4)))+$U$5*MAX(0,MIN(1,($W$5-L1254)/($W$5-$V$5)))+$U$6*MAX(0,MIN(1,($W$6-M1254)/($W$6-$V$6)))+$U$7*MAX(0,MIN(1,($W$7-N1254)/($W$7-$V$7)))+$U$8*IF(AND(O1254&gt;=$V$8,O1254&lt;=$W$8),1,0))/$U$9*100,2)</f>
        <v>70.25</v>
      </c>
      <c r="C1254" s="27" t="s">
        <v>2435</v>
      </c>
      <c r="D1254" s="25" t="s">
        <v>134</v>
      </c>
      <c r="E1254" s="25" t="s">
        <v>3450</v>
      </c>
      <c r="F1254" s="25" t="s">
        <v>3448</v>
      </c>
      <c r="G1254" s="38" t="s">
        <v>30</v>
      </c>
      <c r="H1254" s="28" t="s">
        <v>25</v>
      </c>
      <c r="I1254" s="25" t="n">
        <v>2</v>
      </c>
      <c r="J1254" s="25" t="n">
        <v>1</v>
      </c>
      <c r="K1254" s="25" t="n">
        <v>2</v>
      </c>
      <c r="L1254" s="29" t="n">
        <v>0.72</v>
      </c>
      <c r="M1254" s="30" t="n">
        <v>8.33</v>
      </c>
      <c r="N1254" s="29" t="n">
        <v>0.64</v>
      </c>
      <c r="O1254" s="25" t="n">
        <v>184</v>
      </c>
      <c r="P1254" s="30" t="n">
        <v>5.43</v>
      </c>
      <c r="Q1254" s="27" t="s">
        <v>3566</v>
      </c>
      <c r="R1254" s="27" t="s">
        <v>1152</v>
      </c>
    </row>
    <row r="1255" customFormat="false" ht="15" hidden="false" customHeight="false" outlineLevel="0" collapsed="false">
      <c r="A1255" s="25" t="n">
        <f aca="false">IF(G1255="REJECT",COUNTIF($G$2:$G$2277,"&lt;&gt;REJECT")+1+COUNTIFS($G$2:$G$2277,"REJECT",$B$2:$B$2277,"&gt;"&amp;B1255),1+COUNTIFS($G$2:$G$2277,"&lt;&gt;REJECT",$B$2:$B$2277,"&gt;"&amp;B1255))</f>
        <v>1254</v>
      </c>
      <c r="B1255" s="26" t="n">
        <f aca="false">ROUND(($U$2*MAX(0,MIN(1,($W$2-I1255)/($W$2-$V$2)))+$U$3*MAX(0,MIN(1,($W$3-J1255)/($W$3-$V$3)))+$U$4*MAX(0,MIN(1,($W$4-K1255)/($W$4-$V$4)))+$U$5*MAX(0,MIN(1,($W$5-L1255)/($W$5-$V$5)))+$U$6*MAX(0,MIN(1,($W$6-M1255)/($W$6-$V$6)))+$U$7*MAX(0,MIN(1,($W$7-N1255)/($W$7-$V$7)))+$U$8*IF(AND(O1255&gt;=$V$8,O1255&lt;=$W$8),1,0))/$U$9*100,2)</f>
        <v>70.24</v>
      </c>
      <c r="C1255" s="27" t="s">
        <v>2866</v>
      </c>
      <c r="D1255" s="25" t="s">
        <v>134</v>
      </c>
      <c r="E1255" s="25" t="s">
        <v>3450</v>
      </c>
      <c r="F1255" s="25" t="s">
        <v>3448</v>
      </c>
      <c r="G1255" s="38" t="s">
        <v>30</v>
      </c>
      <c r="H1255" s="28" t="s">
        <v>25</v>
      </c>
      <c r="I1255" s="25" t="n">
        <v>2</v>
      </c>
      <c r="J1255" s="25" t="n">
        <v>1</v>
      </c>
      <c r="K1255" s="25" t="n">
        <v>2</v>
      </c>
      <c r="L1255" s="29" t="n">
        <v>0.7</v>
      </c>
      <c r="M1255" s="30" t="n">
        <v>0.39</v>
      </c>
      <c r="N1255" s="29" t="n">
        <v>0.72</v>
      </c>
      <c r="O1255" s="25" t="n">
        <v>216</v>
      </c>
      <c r="P1255" s="30" t="n">
        <v>2.03</v>
      </c>
      <c r="Q1255" s="27" t="s">
        <v>3639</v>
      </c>
      <c r="R1255" s="27" t="s">
        <v>1230</v>
      </c>
    </row>
    <row r="1256" customFormat="false" ht="15" hidden="false" customHeight="false" outlineLevel="0" collapsed="false">
      <c r="A1256" s="25" t="n">
        <f aca="false">IF(G1256="REJECT",COUNTIF($G$2:$G$2277,"&lt;&gt;REJECT")+1+COUNTIFS($G$2:$G$2277,"REJECT",$B$2:$B$2277,"&gt;"&amp;B1256),1+COUNTIFS($G$2:$G$2277,"&lt;&gt;REJECT",$B$2:$B$2277,"&gt;"&amp;B1256))</f>
        <v>1255</v>
      </c>
      <c r="B1256" s="26" t="n">
        <f aca="false">ROUND(($U$2*MAX(0,MIN(1,($W$2-I1256)/($W$2-$V$2)))+$U$3*MAX(0,MIN(1,($W$3-J1256)/($W$3-$V$3)))+$U$4*MAX(0,MIN(1,($W$4-K1256)/($W$4-$V$4)))+$U$5*MAX(0,MIN(1,($W$5-L1256)/($W$5-$V$5)))+$U$6*MAX(0,MIN(1,($W$6-M1256)/($W$6-$V$6)))+$U$7*MAX(0,MIN(1,($W$7-N1256)/($W$7-$V$7)))+$U$8*IF(AND(O1256&gt;=$V$8,O1256&lt;=$W$8),1,0))/$U$9*100,2)</f>
        <v>70.2</v>
      </c>
      <c r="C1256" s="27" t="s">
        <v>3029</v>
      </c>
      <c r="D1256" s="25" t="s">
        <v>134</v>
      </c>
      <c r="E1256" s="25" t="s">
        <v>3447</v>
      </c>
      <c r="F1256" s="25" t="s">
        <v>3448</v>
      </c>
      <c r="G1256" s="38" t="s">
        <v>30</v>
      </c>
      <c r="H1256" s="28" t="s">
        <v>25</v>
      </c>
      <c r="I1256" s="25" t="n">
        <v>2</v>
      </c>
      <c r="J1256" s="25" t="n">
        <v>1</v>
      </c>
      <c r="K1256" s="25" t="n">
        <v>2</v>
      </c>
      <c r="L1256" s="29" t="n">
        <v>0.76</v>
      </c>
      <c r="M1256" s="30" t="n">
        <v>23.83</v>
      </c>
      <c r="N1256" s="29" t="n">
        <v>0.56</v>
      </c>
      <c r="O1256" s="25" t="n">
        <v>185</v>
      </c>
      <c r="P1256" s="30" t="n">
        <v>9.37</v>
      </c>
      <c r="Q1256" s="27" t="s">
        <v>3575</v>
      </c>
      <c r="R1256" s="27" t="s">
        <v>183</v>
      </c>
    </row>
    <row r="1257" customFormat="false" ht="15" hidden="false" customHeight="false" outlineLevel="0" collapsed="false">
      <c r="A1257" s="25" t="n">
        <f aca="false">IF(G1257="REJECT",COUNTIF($G$2:$G$2277,"&lt;&gt;REJECT")+1+COUNTIFS($G$2:$G$2277,"REJECT",$B$2:$B$2277,"&gt;"&amp;B1257),1+COUNTIFS($G$2:$G$2277,"&lt;&gt;REJECT",$B$2:$B$2277,"&gt;"&amp;B1257))</f>
        <v>1256</v>
      </c>
      <c r="B1257" s="26" t="n">
        <f aca="false">ROUND(($U$2*MAX(0,MIN(1,($W$2-I1257)/($W$2-$V$2)))+$U$3*MAX(0,MIN(1,($W$3-J1257)/($W$3-$V$3)))+$U$4*MAX(0,MIN(1,($W$4-K1257)/($W$4-$V$4)))+$U$5*MAX(0,MIN(1,($W$5-L1257)/($W$5-$V$5)))+$U$6*MAX(0,MIN(1,($W$6-M1257)/($W$6-$V$6)))+$U$7*MAX(0,MIN(1,($W$7-N1257)/($W$7-$V$7)))+$U$8*IF(AND(O1257&gt;=$V$8,O1257&lt;=$W$8),1,0))/$U$9*100,2)</f>
        <v>70.17</v>
      </c>
      <c r="C1257" s="27" t="s">
        <v>720</v>
      </c>
      <c r="D1257" s="25" t="s">
        <v>134</v>
      </c>
      <c r="E1257" s="25" t="s">
        <v>3447</v>
      </c>
      <c r="F1257" s="25" t="s">
        <v>3448</v>
      </c>
      <c r="G1257" s="38" t="s">
        <v>30</v>
      </c>
      <c r="H1257" s="28" t="s">
        <v>25</v>
      </c>
      <c r="I1257" s="25" t="n">
        <v>2</v>
      </c>
      <c r="J1257" s="25" t="n">
        <v>1</v>
      </c>
      <c r="K1257" s="25" t="n">
        <v>2</v>
      </c>
      <c r="L1257" s="29" t="n">
        <v>0.71</v>
      </c>
      <c r="M1257" s="30" t="n">
        <v>7.56</v>
      </c>
      <c r="N1257" s="29" t="n">
        <v>0.4</v>
      </c>
      <c r="O1257" s="25" t="n">
        <v>182</v>
      </c>
      <c r="P1257" s="30" t="n">
        <v>0.36</v>
      </c>
      <c r="Q1257" s="27" t="s">
        <v>3566</v>
      </c>
      <c r="R1257" s="27" t="s">
        <v>283</v>
      </c>
    </row>
    <row r="1258" customFormat="false" ht="15" hidden="false" customHeight="false" outlineLevel="0" collapsed="false">
      <c r="A1258" s="25" t="n">
        <f aca="false">IF(G1258="REJECT",COUNTIF($G$2:$G$2277,"&lt;&gt;REJECT")+1+COUNTIFS($G$2:$G$2277,"REJECT",$B$2:$B$2277,"&gt;"&amp;B1258),1+COUNTIFS($G$2:$G$2277,"&lt;&gt;REJECT",$B$2:$B$2277,"&gt;"&amp;B1258))</f>
        <v>1257</v>
      </c>
      <c r="B1258" s="26" t="n">
        <f aca="false">ROUND(($U$2*MAX(0,MIN(1,($W$2-I1258)/($W$2-$V$2)))+$U$3*MAX(0,MIN(1,($W$3-J1258)/($W$3-$V$3)))+$U$4*MAX(0,MIN(1,($W$4-K1258)/($W$4-$V$4)))+$U$5*MAX(0,MIN(1,($W$5-L1258)/($W$5-$V$5)))+$U$6*MAX(0,MIN(1,($W$6-M1258)/($W$6-$V$6)))+$U$7*MAX(0,MIN(1,($W$7-N1258)/($W$7-$V$7)))+$U$8*IF(AND(O1258&gt;=$V$8,O1258&lt;=$W$8),1,0))/$U$9*100,2)</f>
        <v>70.16</v>
      </c>
      <c r="C1258" s="27" t="s">
        <v>2453</v>
      </c>
      <c r="D1258" s="25" t="s">
        <v>3459</v>
      </c>
      <c r="E1258" s="25" t="s">
        <v>3447</v>
      </c>
      <c r="F1258" s="25" t="s">
        <v>3457</v>
      </c>
      <c r="G1258" s="38" t="s">
        <v>30</v>
      </c>
      <c r="H1258" s="28" t="s">
        <v>25</v>
      </c>
      <c r="I1258" s="25" t="n">
        <v>4</v>
      </c>
      <c r="J1258" s="25" t="n">
        <v>0</v>
      </c>
      <c r="K1258" s="25" t="n">
        <v>4</v>
      </c>
      <c r="L1258" s="29" t="n">
        <v>0.81</v>
      </c>
      <c r="M1258" s="30" t="n">
        <v>25.06</v>
      </c>
      <c r="N1258" s="29" t="n">
        <v>0.4</v>
      </c>
      <c r="O1258" s="25" t="n">
        <v>183</v>
      </c>
      <c r="P1258" s="30" t="n">
        <v>0.11</v>
      </c>
      <c r="Q1258" s="27" t="s">
        <v>3618</v>
      </c>
      <c r="R1258" s="27" t="s">
        <v>992</v>
      </c>
    </row>
    <row r="1259" customFormat="false" ht="15" hidden="false" customHeight="false" outlineLevel="0" collapsed="false">
      <c r="A1259" s="25" t="n">
        <f aca="false">IF(G1259="REJECT",COUNTIF($G$2:$G$2277,"&lt;&gt;REJECT")+1+COUNTIFS($G$2:$G$2277,"REJECT",$B$2:$B$2277,"&gt;"&amp;B1259),1+COUNTIFS($G$2:$G$2277,"&lt;&gt;REJECT",$B$2:$B$2277,"&gt;"&amp;B1259))</f>
        <v>1257</v>
      </c>
      <c r="B1259" s="26" t="n">
        <f aca="false">ROUND(($U$2*MAX(0,MIN(1,($W$2-I1259)/($W$2-$V$2)))+$U$3*MAX(0,MIN(1,($W$3-J1259)/($W$3-$V$3)))+$U$4*MAX(0,MIN(1,($W$4-K1259)/($W$4-$V$4)))+$U$5*MAX(0,MIN(1,($W$5-L1259)/($W$5-$V$5)))+$U$6*MAX(0,MIN(1,($W$6-M1259)/($W$6-$V$6)))+$U$7*MAX(0,MIN(1,($W$7-N1259)/($W$7-$V$7)))+$U$8*IF(AND(O1259&gt;=$V$8,O1259&lt;=$W$8),1,0))/$U$9*100,2)</f>
        <v>70.16</v>
      </c>
      <c r="C1259" s="27" t="s">
        <v>3216</v>
      </c>
      <c r="D1259" s="25" t="s">
        <v>134</v>
      </c>
      <c r="E1259" s="25" t="s">
        <v>3450</v>
      </c>
      <c r="F1259" s="25" t="s">
        <v>3457</v>
      </c>
      <c r="G1259" s="38" t="s">
        <v>30</v>
      </c>
      <c r="H1259" s="28" t="s">
        <v>25</v>
      </c>
      <c r="I1259" s="25" t="n">
        <v>2</v>
      </c>
      <c r="J1259" s="25" t="n">
        <v>1</v>
      </c>
      <c r="K1259" s="25" t="n">
        <v>2</v>
      </c>
      <c r="L1259" s="29" t="n">
        <v>0.73</v>
      </c>
      <c r="M1259" s="30" t="n">
        <v>10.83</v>
      </c>
      <c r="N1259" s="29" t="n">
        <v>0.8</v>
      </c>
      <c r="O1259" s="25" t="n">
        <v>184</v>
      </c>
      <c r="P1259" s="30" t="n">
        <v>-1.43</v>
      </c>
      <c r="Q1259" s="27" t="s">
        <v>3601</v>
      </c>
      <c r="R1259" s="27" t="s">
        <v>1230</v>
      </c>
    </row>
    <row r="1260" customFormat="false" ht="15" hidden="false" customHeight="false" outlineLevel="0" collapsed="false">
      <c r="A1260" s="25" t="n">
        <f aca="false">IF(G1260="REJECT",COUNTIF($G$2:$G$2277,"&lt;&gt;REJECT")+1+COUNTIFS($G$2:$G$2277,"REJECT",$B$2:$B$2277,"&gt;"&amp;B1260),1+COUNTIFS($G$2:$G$2277,"&lt;&gt;REJECT",$B$2:$B$2277,"&gt;"&amp;B1260))</f>
        <v>1259</v>
      </c>
      <c r="B1260" s="26" t="n">
        <f aca="false">ROUND(($U$2*MAX(0,MIN(1,($W$2-I1260)/($W$2-$V$2)))+$U$3*MAX(0,MIN(1,($W$3-J1260)/($W$3-$V$3)))+$U$4*MAX(0,MIN(1,($W$4-K1260)/($W$4-$V$4)))+$U$5*MAX(0,MIN(1,($W$5-L1260)/($W$5-$V$5)))+$U$6*MAX(0,MIN(1,($W$6-M1260)/($W$6-$V$6)))+$U$7*MAX(0,MIN(1,($W$7-N1260)/($W$7-$V$7)))+$U$8*IF(AND(O1260&gt;=$V$8,O1260&lt;=$W$8),1,0))/$U$9*100,2)</f>
        <v>70.13</v>
      </c>
      <c r="C1260" s="27" t="s">
        <v>2854</v>
      </c>
      <c r="D1260" s="25" t="s">
        <v>3459</v>
      </c>
      <c r="E1260" s="25" t="s">
        <v>3450</v>
      </c>
      <c r="F1260" s="25" t="s">
        <v>3448</v>
      </c>
      <c r="G1260" s="38" t="s">
        <v>30</v>
      </c>
      <c r="H1260" s="28" t="s">
        <v>25</v>
      </c>
      <c r="I1260" s="25" t="n">
        <v>2</v>
      </c>
      <c r="J1260" s="25" t="n">
        <v>1</v>
      </c>
      <c r="K1260" s="25" t="n">
        <v>2</v>
      </c>
      <c r="L1260" s="29" t="n">
        <v>0.76</v>
      </c>
      <c r="M1260" s="30" t="n">
        <v>28.6</v>
      </c>
      <c r="N1260" s="29" t="n">
        <v>0.12</v>
      </c>
      <c r="O1260" s="25" t="n">
        <v>183</v>
      </c>
      <c r="P1260" s="30" t="n">
        <v>17.88</v>
      </c>
      <c r="Q1260" s="27" t="s">
        <v>3566</v>
      </c>
      <c r="R1260" s="27" t="s">
        <v>183</v>
      </c>
    </row>
    <row r="1261" customFormat="false" ht="15" hidden="false" customHeight="false" outlineLevel="0" collapsed="false">
      <c r="A1261" s="25" t="n">
        <f aca="false">IF(G1261="REJECT",COUNTIF($G$2:$G$2277,"&lt;&gt;REJECT")+1+COUNTIFS($G$2:$G$2277,"REJECT",$B$2:$B$2277,"&gt;"&amp;B1261),1+COUNTIFS($G$2:$G$2277,"&lt;&gt;REJECT",$B$2:$B$2277,"&gt;"&amp;B1261))</f>
        <v>1260</v>
      </c>
      <c r="B1261" s="26" t="n">
        <f aca="false">ROUND(($U$2*MAX(0,MIN(1,($W$2-I1261)/($W$2-$V$2)))+$U$3*MAX(0,MIN(1,($W$3-J1261)/($W$3-$V$3)))+$U$4*MAX(0,MIN(1,($W$4-K1261)/($W$4-$V$4)))+$U$5*MAX(0,MIN(1,($W$5-L1261)/($W$5-$V$5)))+$U$6*MAX(0,MIN(1,($W$6-M1261)/($W$6-$V$6)))+$U$7*MAX(0,MIN(1,($W$7-N1261)/($W$7-$V$7)))+$U$8*IF(AND(O1261&gt;=$V$8,O1261&lt;=$W$8),1,0))/$U$9*100,2)</f>
        <v>70.12</v>
      </c>
      <c r="C1261" s="27" t="s">
        <v>2641</v>
      </c>
      <c r="D1261" s="25" t="s">
        <v>134</v>
      </c>
      <c r="E1261" s="25" t="s">
        <v>3447</v>
      </c>
      <c r="F1261" s="25" t="s">
        <v>3457</v>
      </c>
      <c r="G1261" s="38" t="s">
        <v>30</v>
      </c>
      <c r="H1261" s="28" t="s">
        <v>25</v>
      </c>
      <c r="I1261" s="25" t="n">
        <v>2</v>
      </c>
      <c r="J1261" s="25" t="n">
        <v>1</v>
      </c>
      <c r="K1261" s="25" t="n">
        <v>2</v>
      </c>
      <c r="L1261" s="29" t="n">
        <v>0.72</v>
      </c>
      <c r="M1261" s="30" t="n">
        <v>13.09</v>
      </c>
      <c r="N1261" s="29" t="n">
        <v>0.24</v>
      </c>
      <c r="O1261" s="25" t="n">
        <v>184</v>
      </c>
      <c r="P1261" s="30" t="n">
        <v>6.44</v>
      </c>
      <c r="Q1261" s="27" t="s">
        <v>3566</v>
      </c>
      <c r="R1261" s="27" t="s">
        <v>283</v>
      </c>
    </row>
    <row r="1262" customFormat="false" ht="15" hidden="false" customHeight="false" outlineLevel="0" collapsed="false">
      <c r="A1262" s="25" t="n">
        <f aca="false">IF(G1262="REJECT",COUNTIF($G$2:$G$2277,"&lt;&gt;REJECT")+1+COUNTIFS($G$2:$G$2277,"REJECT",$B$2:$B$2277,"&gt;"&amp;B1262),1+COUNTIFS($G$2:$G$2277,"&lt;&gt;REJECT",$B$2:$B$2277,"&gt;"&amp;B1262))</f>
        <v>1260</v>
      </c>
      <c r="B1262" s="26" t="n">
        <f aca="false">ROUND(($U$2*MAX(0,MIN(1,($W$2-I1262)/($W$2-$V$2)))+$U$3*MAX(0,MIN(1,($W$3-J1262)/($W$3-$V$3)))+$U$4*MAX(0,MIN(1,($W$4-K1262)/($W$4-$V$4)))+$U$5*MAX(0,MIN(1,($W$5-L1262)/($W$5-$V$5)))+$U$6*MAX(0,MIN(1,($W$6-M1262)/($W$6-$V$6)))+$U$7*MAX(0,MIN(1,($W$7-N1262)/($W$7-$V$7)))+$U$8*IF(AND(O1262&gt;=$V$8,O1262&lt;=$W$8),1,0))/$U$9*100,2)</f>
        <v>70.12</v>
      </c>
      <c r="C1262" s="27" t="s">
        <v>2799</v>
      </c>
      <c r="D1262" s="25" t="s">
        <v>134</v>
      </c>
      <c r="E1262" s="25" t="s">
        <v>3450</v>
      </c>
      <c r="F1262" s="25" t="s">
        <v>3448</v>
      </c>
      <c r="G1262" s="38" t="s">
        <v>30</v>
      </c>
      <c r="H1262" s="28" t="s">
        <v>25</v>
      </c>
      <c r="I1262" s="25" t="n">
        <v>2</v>
      </c>
      <c r="J1262" s="25" t="n">
        <v>1</v>
      </c>
      <c r="K1262" s="25" t="n">
        <v>1</v>
      </c>
      <c r="L1262" s="29" t="n">
        <v>0.65</v>
      </c>
      <c r="M1262" s="30" t="n">
        <v>1.56</v>
      </c>
      <c r="N1262" s="29" t="n">
        <v>0</v>
      </c>
      <c r="O1262" s="25" t="n">
        <v>192</v>
      </c>
      <c r="P1262" s="30" t="n">
        <v>13.45</v>
      </c>
      <c r="Q1262" s="27" t="s">
        <v>3601</v>
      </c>
      <c r="R1262" s="27" t="s">
        <v>283</v>
      </c>
    </row>
    <row r="1263" customFormat="false" ht="15" hidden="false" customHeight="false" outlineLevel="0" collapsed="false">
      <c r="A1263" s="25" t="n">
        <f aca="false">IF(G1263="REJECT",COUNTIF($G$2:$G$2277,"&lt;&gt;REJECT")+1+COUNTIFS($G$2:$G$2277,"REJECT",$B$2:$B$2277,"&gt;"&amp;B1263),1+COUNTIFS($G$2:$G$2277,"&lt;&gt;REJECT",$B$2:$B$2277,"&gt;"&amp;B1263))</f>
        <v>1262</v>
      </c>
      <c r="B1263" s="26" t="n">
        <f aca="false">ROUND(($U$2*MAX(0,MIN(1,($W$2-I1263)/($W$2-$V$2)))+$U$3*MAX(0,MIN(1,($W$3-J1263)/($W$3-$V$3)))+$U$4*MAX(0,MIN(1,($W$4-K1263)/($W$4-$V$4)))+$U$5*MAX(0,MIN(1,($W$5-L1263)/($W$5-$V$5)))+$U$6*MAX(0,MIN(1,($W$6-M1263)/($W$6-$V$6)))+$U$7*MAX(0,MIN(1,($W$7-N1263)/($W$7-$V$7)))+$U$8*IF(AND(O1263&gt;=$V$8,O1263&lt;=$W$8),1,0))/$U$9*100,2)</f>
        <v>70.1</v>
      </c>
      <c r="C1263" s="27" t="s">
        <v>768</v>
      </c>
      <c r="D1263" s="25" t="s">
        <v>134</v>
      </c>
      <c r="E1263" s="25" t="s">
        <v>3450</v>
      </c>
      <c r="F1263" s="25" t="s">
        <v>3457</v>
      </c>
      <c r="G1263" s="38" t="s">
        <v>30</v>
      </c>
      <c r="H1263" s="28" t="s">
        <v>25</v>
      </c>
      <c r="I1263" s="25" t="n">
        <v>2</v>
      </c>
      <c r="J1263" s="25" t="n">
        <v>1</v>
      </c>
      <c r="K1263" s="25" t="n">
        <v>2</v>
      </c>
      <c r="L1263" s="29" t="n">
        <v>0.72</v>
      </c>
      <c r="M1263" s="30" t="n">
        <v>6.79</v>
      </c>
      <c r="N1263" s="29" t="n">
        <v>0.88</v>
      </c>
      <c r="O1263" s="25" t="n">
        <v>184</v>
      </c>
      <c r="P1263" s="30" t="n">
        <v>1.72</v>
      </c>
      <c r="Q1263" s="27" t="s">
        <v>3575</v>
      </c>
      <c r="R1263" s="27" t="s">
        <v>1230</v>
      </c>
    </row>
    <row r="1264" customFormat="false" ht="15" hidden="false" customHeight="false" outlineLevel="0" collapsed="false">
      <c r="A1264" s="25" t="n">
        <f aca="false">IF(G1264="REJECT",COUNTIF($G$2:$G$2277,"&lt;&gt;REJECT")+1+COUNTIFS($G$2:$G$2277,"REJECT",$B$2:$B$2277,"&gt;"&amp;B1264),1+COUNTIFS($G$2:$G$2277,"&lt;&gt;REJECT",$B$2:$B$2277,"&gt;"&amp;B1264))</f>
        <v>1262</v>
      </c>
      <c r="B1264" s="26" t="n">
        <f aca="false">ROUND(($U$2*MAX(0,MIN(1,($W$2-I1264)/($W$2-$V$2)))+$U$3*MAX(0,MIN(1,($W$3-J1264)/($W$3-$V$3)))+$U$4*MAX(0,MIN(1,($W$4-K1264)/($W$4-$V$4)))+$U$5*MAX(0,MIN(1,($W$5-L1264)/($W$5-$V$5)))+$U$6*MAX(0,MIN(1,($W$6-M1264)/($W$6-$V$6)))+$U$7*MAX(0,MIN(1,($W$7-N1264)/($W$7-$V$7)))+$U$8*IF(AND(O1264&gt;=$V$8,O1264&lt;=$W$8),1,0))/$U$9*100,2)</f>
        <v>70.1</v>
      </c>
      <c r="C1264" s="27" t="s">
        <v>1278</v>
      </c>
      <c r="D1264" s="25" t="s">
        <v>134</v>
      </c>
      <c r="E1264" s="25" t="s">
        <v>3450</v>
      </c>
      <c r="F1264" s="25" t="s">
        <v>3448</v>
      </c>
      <c r="G1264" s="38" t="s">
        <v>30</v>
      </c>
      <c r="H1264" s="28" t="s">
        <v>25</v>
      </c>
      <c r="I1264" s="25" t="n">
        <v>2</v>
      </c>
      <c r="J1264" s="25" t="n">
        <v>1</v>
      </c>
      <c r="K1264" s="25" t="n">
        <v>2</v>
      </c>
      <c r="L1264" s="29" t="n">
        <v>0.71</v>
      </c>
      <c r="M1264" s="30" t="n">
        <v>2.42</v>
      </c>
      <c r="N1264" s="29" t="n">
        <v>0.96</v>
      </c>
      <c r="O1264" s="25" t="n">
        <v>184</v>
      </c>
      <c r="P1264" s="30" t="n">
        <v>8.24</v>
      </c>
      <c r="Q1264" s="27" t="s">
        <v>3575</v>
      </c>
      <c r="R1264" s="27" t="s">
        <v>283</v>
      </c>
    </row>
    <row r="1265" customFormat="false" ht="15" hidden="false" customHeight="false" outlineLevel="0" collapsed="false">
      <c r="A1265" s="25" t="n">
        <f aca="false">IF(G1265="REJECT",COUNTIF($G$2:$G$2277,"&lt;&gt;REJECT")+1+COUNTIFS($G$2:$G$2277,"REJECT",$B$2:$B$2277,"&gt;"&amp;B1265),1+COUNTIFS($G$2:$G$2277,"&lt;&gt;REJECT",$B$2:$B$2277,"&gt;"&amp;B1265))</f>
        <v>1264</v>
      </c>
      <c r="B1265" s="26" t="n">
        <f aca="false">ROUND(($U$2*MAX(0,MIN(1,($W$2-I1265)/($W$2-$V$2)))+$U$3*MAX(0,MIN(1,($W$3-J1265)/($W$3-$V$3)))+$U$4*MAX(0,MIN(1,($W$4-K1265)/($W$4-$V$4)))+$U$5*MAX(0,MIN(1,($W$5-L1265)/($W$5-$V$5)))+$U$6*MAX(0,MIN(1,($W$6-M1265)/($W$6-$V$6)))+$U$7*MAX(0,MIN(1,($W$7-N1265)/($W$7-$V$7)))+$U$8*IF(AND(O1265&gt;=$V$8,O1265&lt;=$W$8),1,0))/$U$9*100,2)</f>
        <v>70.09</v>
      </c>
      <c r="C1265" s="27" t="s">
        <v>480</v>
      </c>
      <c r="D1265" s="25" t="s">
        <v>3459</v>
      </c>
      <c r="E1265" s="25" t="s">
        <v>3447</v>
      </c>
      <c r="F1265" s="25" t="s">
        <v>3448</v>
      </c>
      <c r="G1265" s="38" t="s">
        <v>30</v>
      </c>
      <c r="H1265" s="28" t="s">
        <v>25</v>
      </c>
      <c r="I1265" s="25" t="n">
        <v>4</v>
      </c>
      <c r="J1265" s="25" t="n">
        <v>0</v>
      </c>
      <c r="K1265" s="25" t="n">
        <v>4</v>
      </c>
      <c r="L1265" s="29" t="n">
        <v>0.77</v>
      </c>
      <c r="M1265" s="30" t="n">
        <v>15.07</v>
      </c>
      <c r="N1265" s="29" t="n">
        <v>0.36</v>
      </c>
      <c r="O1265" s="25" t="n">
        <v>184</v>
      </c>
      <c r="P1265" s="30" t="n">
        <v>-0.34</v>
      </c>
      <c r="Q1265" s="27" t="s">
        <v>3640</v>
      </c>
      <c r="R1265" s="27" t="s">
        <v>2133</v>
      </c>
    </row>
    <row r="1266" customFormat="false" ht="15" hidden="false" customHeight="false" outlineLevel="0" collapsed="false">
      <c r="A1266" s="25" t="n">
        <f aca="false">IF(G1266="REJECT",COUNTIF($G$2:$G$2277,"&lt;&gt;REJECT")+1+COUNTIFS($G$2:$G$2277,"REJECT",$B$2:$B$2277,"&gt;"&amp;B1266),1+COUNTIFS($G$2:$G$2277,"&lt;&gt;REJECT",$B$2:$B$2277,"&gt;"&amp;B1266))</f>
        <v>1265</v>
      </c>
      <c r="B1266" s="26" t="n">
        <f aca="false">ROUND(($U$2*MAX(0,MIN(1,($W$2-I1266)/($W$2-$V$2)))+$U$3*MAX(0,MIN(1,($W$3-J1266)/($W$3-$V$3)))+$U$4*MAX(0,MIN(1,($W$4-K1266)/($W$4-$V$4)))+$U$5*MAX(0,MIN(1,($W$5-L1266)/($W$5-$V$5)))+$U$6*MAX(0,MIN(1,($W$6-M1266)/($W$6-$V$6)))+$U$7*MAX(0,MIN(1,($W$7-N1266)/($W$7-$V$7)))+$U$8*IF(AND(O1266&gt;=$V$8,O1266&lt;=$W$8),1,0))/$U$9*100,2)</f>
        <v>70.08</v>
      </c>
      <c r="C1266" s="27" t="s">
        <v>1651</v>
      </c>
      <c r="D1266" s="25" t="s">
        <v>134</v>
      </c>
      <c r="E1266" s="25" t="s">
        <v>3447</v>
      </c>
      <c r="F1266" s="25" t="s">
        <v>3457</v>
      </c>
      <c r="G1266" s="38" t="s">
        <v>30</v>
      </c>
      <c r="H1266" s="28" t="s">
        <v>25</v>
      </c>
      <c r="I1266" s="25" t="n">
        <v>4</v>
      </c>
      <c r="J1266" s="25" t="n">
        <v>0</v>
      </c>
      <c r="K1266" s="25" t="n">
        <v>4</v>
      </c>
      <c r="L1266" s="29" t="n">
        <v>0.76</v>
      </c>
      <c r="M1266" s="30" t="n">
        <v>15.14</v>
      </c>
      <c r="N1266" s="29" t="n">
        <v>0</v>
      </c>
      <c r="O1266" s="25" t="n">
        <v>183</v>
      </c>
      <c r="P1266" s="30" t="n">
        <v>5.91</v>
      </c>
      <c r="Q1266" s="27" t="s">
        <v>3641</v>
      </c>
      <c r="R1266" s="27" t="s">
        <v>2133</v>
      </c>
    </row>
    <row r="1267" customFormat="false" ht="15" hidden="false" customHeight="false" outlineLevel="0" collapsed="false">
      <c r="A1267" s="25" t="n">
        <f aca="false">IF(G1267="REJECT",COUNTIF($G$2:$G$2277,"&lt;&gt;REJECT")+1+COUNTIFS($G$2:$G$2277,"REJECT",$B$2:$B$2277,"&gt;"&amp;B1267),1+COUNTIFS($G$2:$G$2277,"&lt;&gt;REJECT",$B$2:$B$2277,"&gt;"&amp;B1267))</f>
        <v>1266</v>
      </c>
      <c r="B1267" s="26" t="n">
        <f aca="false">ROUND(($U$2*MAX(0,MIN(1,($W$2-I1267)/($W$2-$V$2)))+$U$3*MAX(0,MIN(1,($W$3-J1267)/($W$3-$V$3)))+$U$4*MAX(0,MIN(1,($W$4-K1267)/($W$4-$V$4)))+$U$5*MAX(0,MIN(1,($W$5-L1267)/($W$5-$V$5)))+$U$6*MAX(0,MIN(1,($W$6-M1267)/($W$6-$V$6)))+$U$7*MAX(0,MIN(1,($W$7-N1267)/($W$7-$V$7)))+$U$8*IF(AND(O1267&gt;=$V$8,O1267&lt;=$W$8),1,0))/$U$9*100,2)</f>
        <v>70.05</v>
      </c>
      <c r="C1267" s="27" t="s">
        <v>487</v>
      </c>
      <c r="D1267" s="25" t="s">
        <v>134</v>
      </c>
      <c r="E1267" s="25" t="s">
        <v>3447</v>
      </c>
      <c r="F1267" s="25" t="s">
        <v>3448</v>
      </c>
      <c r="G1267" s="38" t="s">
        <v>30</v>
      </c>
      <c r="H1267" s="33" t="s">
        <v>24</v>
      </c>
      <c r="I1267" s="25" t="n">
        <v>4</v>
      </c>
      <c r="J1267" s="25" t="n">
        <v>0</v>
      </c>
      <c r="K1267" s="25" t="n">
        <v>4</v>
      </c>
      <c r="L1267" s="29" t="n">
        <v>0.74</v>
      </c>
      <c r="M1267" s="30" t="n">
        <v>4.09</v>
      </c>
      <c r="N1267" s="29" t="n">
        <v>0.4</v>
      </c>
      <c r="O1267" s="25" t="n">
        <v>185</v>
      </c>
      <c r="P1267" s="30" t="n">
        <v>1.47</v>
      </c>
      <c r="Q1267" s="27" t="s">
        <v>3642</v>
      </c>
      <c r="R1267" s="27" t="s">
        <v>30</v>
      </c>
    </row>
    <row r="1268" customFormat="false" ht="15" hidden="false" customHeight="false" outlineLevel="0" collapsed="false">
      <c r="A1268" s="25" t="n">
        <f aca="false">IF(G1268="REJECT",COUNTIF($G$2:$G$2277,"&lt;&gt;REJECT")+1+COUNTIFS($G$2:$G$2277,"REJECT",$B$2:$B$2277,"&gt;"&amp;B1268),1+COUNTIFS($G$2:$G$2277,"&lt;&gt;REJECT",$B$2:$B$2277,"&gt;"&amp;B1268))</f>
        <v>1267</v>
      </c>
      <c r="B1268" s="26" t="n">
        <f aca="false">ROUND(($U$2*MAX(0,MIN(1,($W$2-I1268)/($W$2-$V$2)))+$U$3*MAX(0,MIN(1,($W$3-J1268)/($W$3-$V$3)))+$U$4*MAX(0,MIN(1,($W$4-K1268)/($W$4-$V$4)))+$U$5*MAX(0,MIN(1,($W$5-L1268)/($W$5-$V$5)))+$U$6*MAX(0,MIN(1,($W$6-M1268)/($W$6-$V$6)))+$U$7*MAX(0,MIN(1,($W$7-N1268)/($W$7-$V$7)))+$U$8*IF(AND(O1268&gt;=$V$8,O1268&lt;=$W$8),1,0))/$U$9*100,2)</f>
        <v>70.04</v>
      </c>
      <c r="C1268" s="27" t="s">
        <v>1096</v>
      </c>
      <c r="D1268" s="25" t="s">
        <v>134</v>
      </c>
      <c r="E1268" s="25" t="s">
        <v>3447</v>
      </c>
      <c r="F1268" s="25" t="s">
        <v>3457</v>
      </c>
      <c r="G1268" s="38" t="s">
        <v>30</v>
      </c>
      <c r="H1268" s="33" t="s">
        <v>24</v>
      </c>
      <c r="I1268" s="25" t="n">
        <v>4</v>
      </c>
      <c r="J1268" s="25" t="n">
        <v>0</v>
      </c>
      <c r="K1268" s="25" t="n">
        <v>4</v>
      </c>
      <c r="L1268" s="29" t="n">
        <v>0.76</v>
      </c>
      <c r="M1268" s="30" t="n">
        <v>6.17</v>
      </c>
      <c r="N1268" s="29" t="n">
        <v>0.92</v>
      </c>
      <c r="O1268" s="25" t="n">
        <v>184</v>
      </c>
      <c r="P1268" s="30" t="n">
        <v>3.88</v>
      </c>
      <c r="Q1268" s="27" t="s">
        <v>3643</v>
      </c>
      <c r="R1268" s="27" t="s">
        <v>30</v>
      </c>
    </row>
    <row r="1269" customFormat="false" ht="15" hidden="false" customHeight="false" outlineLevel="0" collapsed="false">
      <c r="A1269" s="25" t="n">
        <f aca="false">IF(G1269="REJECT",COUNTIF($G$2:$G$2277,"&lt;&gt;REJECT")+1+COUNTIFS($G$2:$G$2277,"REJECT",$B$2:$B$2277,"&gt;"&amp;B1269),1+COUNTIFS($G$2:$G$2277,"&lt;&gt;REJECT",$B$2:$B$2277,"&gt;"&amp;B1269))</f>
        <v>1268</v>
      </c>
      <c r="B1269" s="26" t="n">
        <f aca="false">ROUND(($U$2*MAX(0,MIN(1,($W$2-I1269)/($W$2-$V$2)))+$U$3*MAX(0,MIN(1,($W$3-J1269)/($W$3-$V$3)))+$U$4*MAX(0,MIN(1,($W$4-K1269)/($W$4-$V$4)))+$U$5*MAX(0,MIN(1,($W$5-L1269)/($W$5-$V$5)))+$U$6*MAX(0,MIN(1,($W$6-M1269)/($W$6-$V$6)))+$U$7*MAX(0,MIN(1,($W$7-N1269)/($W$7-$V$7)))+$U$8*IF(AND(O1269&gt;=$V$8,O1269&lt;=$W$8),1,0))/$U$9*100,2)</f>
        <v>70.03</v>
      </c>
      <c r="C1269" s="27" t="s">
        <v>3068</v>
      </c>
      <c r="D1269" s="25" t="s">
        <v>3459</v>
      </c>
      <c r="E1269" s="25" t="s">
        <v>3447</v>
      </c>
      <c r="F1269" s="25" t="s">
        <v>3448</v>
      </c>
      <c r="G1269" s="38" t="s">
        <v>30</v>
      </c>
      <c r="H1269" s="28" t="s">
        <v>25</v>
      </c>
      <c r="I1269" s="25" t="n">
        <v>1</v>
      </c>
      <c r="J1269" s="25" t="n">
        <v>1</v>
      </c>
      <c r="K1269" s="25" t="n">
        <v>1</v>
      </c>
      <c r="L1269" s="29" t="n">
        <v>0.65</v>
      </c>
      <c r="M1269" s="30" t="n">
        <v>21.94</v>
      </c>
      <c r="N1269" s="29" t="n">
        <v>0.64</v>
      </c>
      <c r="O1269" s="25" t="n">
        <v>193</v>
      </c>
      <c r="P1269" s="30" t="n">
        <v>-0.66</v>
      </c>
      <c r="Q1269" s="27" t="s">
        <v>69</v>
      </c>
      <c r="R1269" s="27" t="s">
        <v>183</v>
      </c>
    </row>
    <row r="1270" customFormat="false" ht="15" hidden="false" customHeight="false" outlineLevel="0" collapsed="false">
      <c r="A1270" s="25" t="n">
        <f aca="false">IF(G1270="REJECT",COUNTIF($G$2:$G$2277,"&lt;&gt;REJECT")+1+COUNTIFS($G$2:$G$2277,"REJECT",$B$2:$B$2277,"&gt;"&amp;B1270),1+COUNTIFS($G$2:$G$2277,"&lt;&gt;REJECT",$B$2:$B$2277,"&gt;"&amp;B1270))</f>
        <v>1269</v>
      </c>
      <c r="B1270" s="26" t="n">
        <f aca="false">ROUND(($U$2*MAX(0,MIN(1,($W$2-I1270)/($W$2-$V$2)))+$U$3*MAX(0,MIN(1,($W$3-J1270)/($W$3-$V$3)))+$U$4*MAX(0,MIN(1,($W$4-K1270)/($W$4-$V$4)))+$U$5*MAX(0,MIN(1,($W$5-L1270)/($W$5-$V$5)))+$U$6*MAX(0,MIN(1,($W$6-M1270)/($W$6-$V$6)))+$U$7*MAX(0,MIN(1,($W$7-N1270)/($W$7-$V$7)))+$U$8*IF(AND(O1270&gt;=$V$8,O1270&lt;=$W$8),1,0))/$U$9*100,2)</f>
        <v>69.9</v>
      </c>
      <c r="C1270" s="27" t="s">
        <v>1084</v>
      </c>
      <c r="D1270" s="25" t="s">
        <v>134</v>
      </c>
      <c r="E1270" s="25" t="s">
        <v>3450</v>
      </c>
      <c r="F1270" s="25" t="s">
        <v>3457</v>
      </c>
      <c r="G1270" s="38" t="s">
        <v>30</v>
      </c>
      <c r="H1270" s="28" t="s">
        <v>25</v>
      </c>
      <c r="I1270" s="25" t="n">
        <v>1</v>
      </c>
      <c r="J1270" s="25" t="n">
        <v>1</v>
      </c>
      <c r="K1270" s="25" t="n">
        <v>1</v>
      </c>
      <c r="L1270" s="29" t="n">
        <v>0.63</v>
      </c>
      <c r="M1270" s="30" t="n">
        <v>18.73</v>
      </c>
      <c r="N1270" s="29" t="n">
        <v>0.32</v>
      </c>
      <c r="O1270" s="25" t="n">
        <v>182</v>
      </c>
      <c r="P1270" s="30" t="n">
        <v>10.14</v>
      </c>
      <c r="Q1270" s="27" t="s">
        <v>69</v>
      </c>
      <c r="R1270" s="27" t="s">
        <v>283</v>
      </c>
    </row>
    <row r="1271" customFormat="false" ht="15" hidden="false" customHeight="false" outlineLevel="0" collapsed="false">
      <c r="A1271" s="25" t="n">
        <f aca="false">IF(G1271="REJECT",COUNTIF($G$2:$G$2277,"&lt;&gt;REJECT")+1+COUNTIFS($G$2:$G$2277,"REJECT",$B$2:$B$2277,"&gt;"&amp;B1271),1+COUNTIFS($G$2:$G$2277,"&lt;&gt;REJECT",$B$2:$B$2277,"&gt;"&amp;B1271))</f>
        <v>1270</v>
      </c>
      <c r="B1271" s="26" t="n">
        <f aca="false">ROUND(($U$2*MAX(0,MIN(1,($W$2-I1271)/($W$2-$V$2)))+$U$3*MAX(0,MIN(1,($W$3-J1271)/($W$3-$V$3)))+$U$4*MAX(0,MIN(1,($W$4-K1271)/($W$4-$V$4)))+$U$5*MAX(0,MIN(1,($W$5-L1271)/($W$5-$V$5)))+$U$6*MAX(0,MIN(1,($W$6-M1271)/($W$6-$V$6)))+$U$7*MAX(0,MIN(1,($W$7-N1271)/($W$7-$V$7)))+$U$8*IF(AND(O1271&gt;=$V$8,O1271&lt;=$W$8),1,0))/$U$9*100,2)</f>
        <v>69.88</v>
      </c>
      <c r="C1271" s="27" t="s">
        <v>599</v>
      </c>
      <c r="D1271" s="25" t="s">
        <v>134</v>
      </c>
      <c r="E1271" s="25" t="s">
        <v>3447</v>
      </c>
      <c r="F1271" s="25" t="s">
        <v>3457</v>
      </c>
      <c r="G1271" s="38" t="s">
        <v>30</v>
      </c>
      <c r="H1271" s="28" t="s">
        <v>25</v>
      </c>
      <c r="I1271" s="25" t="n">
        <v>2</v>
      </c>
      <c r="J1271" s="25" t="n">
        <v>1</v>
      </c>
      <c r="K1271" s="25" t="n">
        <v>2</v>
      </c>
      <c r="L1271" s="29" t="n">
        <v>0.71</v>
      </c>
      <c r="M1271" s="30" t="n">
        <v>12.11</v>
      </c>
      <c r="N1271" s="29" t="n">
        <v>0.12</v>
      </c>
      <c r="O1271" s="25" t="n">
        <v>183</v>
      </c>
      <c r="P1271" s="30" t="n">
        <v>2.85</v>
      </c>
      <c r="Q1271" s="27" t="s">
        <v>3644</v>
      </c>
      <c r="R1271" s="27" t="s">
        <v>1099</v>
      </c>
    </row>
    <row r="1272" customFormat="false" ht="15" hidden="false" customHeight="false" outlineLevel="0" collapsed="false">
      <c r="A1272" s="25" t="n">
        <f aca="false">IF(G1272="REJECT",COUNTIF($G$2:$G$2277,"&lt;&gt;REJECT")+1+COUNTIFS($G$2:$G$2277,"REJECT",$B$2:$B$2277,"&gt;"&amp;B1272),1+COUNTIFS($G$2:$G$2277,"&lt;&gt;REJECT",$B$2:$B$2277,"&gt;"&amp;B1272))</f>
        <v>1270</v>
      </c>
      <c r="B1272" s="26" t="n">
        <f aca="false">ROUND(($U$2*MAX(0,MIN(1,($W$2-I1272)/($W$2-$V$2)))+$U$3*MAX(0,MIN(1,($W$3-J1272)/($W$3-$V$3)))+$U$4*MAX(0,MIN(1,($W$4-K1272)/($W$4-$V$4)))+$U$5*MAX(0,MIN(1,($W$5-L1272)/($W$5-$V$5)))+$U$6*MAX(0,MIN(1,($W$6-M1272)/($W$6-$V$6)))+$U$7*MAX(0,MIN(1,($W$7-N1272)/($W$7-$V$7)))+$U$8*IF(AND(O1272&gt;=$V$8,O1272&lt;=$W$8),1,0))/$U$9*100,2)</f>
        <v>69.88</v>
      </c>
      <c r="C1272" s="27" t="s">
        <v>1423</v>
      </c>
      <c r="D1272" s="25" t="s">
        <v>3459</v>
      </c>
      <c r="E1272" s="25" t="s">
        <v>3450</v>
      </c>
      <c r="F1272" s="25" t="s">
        <v>3448</v>
      </c>
      <c r="G1272" s="38" t="s">
        <v>30</v>
      </c>
      <c r="H1272" s="28" t="s">
        <v>25</v>
      </c>
      <c r="I1272" s="25" t="n">
        <v>2</v>
      </c>
      <c r="J1272" s="25" t="n">
        <v>1</v>
      </c>
      <c r="K1272" s="25" t="n">
        <v>2</v>
      </c>
      <c r="L1272" s="29" t="n">
        <v>0.71</v>
      </c>
      <c r="M1272" s="30" t="n">
        <v>4.11</v>
      </c>
      <c r="N1272" s="29" t="n">
        <v>0.92</v>
      </c>
      <c r="O1272" s="25" t="n">
        <v>184</v>
      </c>
      <c r="P1272" s="30" t="n">
        <v>-0.9</v>
      </c>
      <c r="Q1272" s="27" t="s">
        <v>3566</v>
      </c>
      <c r="R1272" s="27" t="s">
        <v>1230</v>
      </c>
    </row>
    <row r="1273" customFormat="false" ht="15" hidden="false" customHeight="false" outlineLevel="0" collapsed="false">
      <c r="A1273" s="25" t="n">
        <f aca="false">IF(G1273="REJECT",COUNTIF($G$2:$G$2277,"&lt;&gt;REJECT")+1+COUNTIFS($G$2:$G$2277,"REJECT",$B$2:$B$2277,"&gt;"&amp;B1273),1+COUNTIFS($G$2:$G$2277,"&lt;&gt;REJECT",$B$2:$B$2277,"&gt;"&amp;B1273))</f>
        <v>1272</v>
      </c>
      <c r="B1273" s="26" t="n">
        <f aca="false">ROUND(($U$2*MAX(0,MIN(1,($W$2-I1273)/($W$2-$V$2)))+$U$3*MAX(0,MIN(1,($W$3-J1273)/($W$3-$V$3)))+$U$4*MAX(0,MIN(1,($W$4-K1273)/($W$4-$V$4)))+$U$5*MAX(0,MIN(1,($W$5-L1273)/($W$5-$V$5)))+$U$6*MAX(0,MIN(1,($W$6-M1273)/($W$6-$V$6)))+$U$7*MAX(0,MIN(1,($W$7-N1273)/($W$7-$V$7)))+$U$8*IF(AND(O1273&gt;=$V$8,O1273&lt;=$W$8),1,0))/$U$9*100,2)</f>
        <v>69.86</v>
      </c>
      <c r="C1273" s="27" t="s">
        <v>904</v>
      </c>
      <c r="D1273" s="25" t="s">
        <v>134</v>
      </c>
      <c r="E1273" s="25" t="s">
        <v>3447</v>
      </c>
      <c r="F1273" s="25" t="s">
        <v>3448</v>
      </c>
      <c r="G1273" s="38" t="s">
        <v>30</v>
      </c>
      <c r="H1273" s="33" t="s">
        <v>24</v>
      </c>
      <c r="I1273" s="25" t="n">
        <v>4</v>
      </c>
      <c r="J1273" s="25" t="n">
        <v>0</v>
      </c>
      <c r="K1273" s="25" t="n">
        <v>4</v>
      </c>
      <c r="L1273" s="29" t="n">
        <v>0.73</v>
      </c>
      <c r="M1273" s="30" t="n">
        <v>2.86</v>
      </c>
      <c r="N1273" s="29" t="n">
        <v>0.28</v>
      </c>
      <c r="O1273" s="25" t="n">
        <v>187</v>
      </c>
      <c r="P1273" s="30" t="n">
        <v>6.31</v>
      </c>
      <c r="Q1273" s="27" t="s">
        <v>3645</v>
      </c>
      <c r="R1273" s="27" t="s">
        <v>30</v>
      </c>
    </row>
    <row r="1274" customFormat="false" ht="15" hidden="false" customHeight="false" outlineLevel="0" collapsed="false">
      <c r="A1274" s="25" t="n">
        <f aca="false">IF(G1274="REJECT",COUNTIF($G$2:$G$2277,"&lt;&gt;REJECT")+1+COUNTIFS($G$2:$G$2277,"REJECT",$B$2:$B$2277,"&gt;"&amp;B1274),1+COUNTIFS($G$2:$G$2277,"&lt;&gt;REJECT",$B$2:$B$2277,"&gt;"&amp;B1274))</f>
        <v>1273</v>
      </c>
      <c r="B1274" s="26" t="n">
        <f aca="false">ROUND(($U$2*MAX(0,MIN(1,($W$2-I1274)/($W$2-$V$2)))+$U$3*MAX(0,MIN(1,($W$3-J1274)/($W$3-$V$3)))+$U$4*MAX(0,MIN(1,($W$4-K1274)/($W$4-$V$4)))+$U$5*MAX(0,MIN(1,($W$5-L1274)/($W$5-$V$5)))+$U$6*MAX(0,MIN(1,($W$6-M1274)/($W$6-$V$6)))+$U$7*MAX(0,MIN(1,($W$7-N1274)/($W$7-$V$7)))+$U$8*IF(AND(O1274&gt;=$V$8,O1274&lt;=$W$8),1,0))/$U$9*100,2)</f>
        <v>69.85</v>
      </c>
      <c r="C1274" s="27" t="s">
        <v>2332</v>
      </c>
      <c r="D1274" s="25" t="s">
        <v>134</v>
      </c>
      <c r="E1274" s="25" t="s">
        <v>3450</v>
      </c>
      <c r="F1274" s="25" t="s">
        <v>3448</v>
      </c>
      <c r="G1274" s="38" t="s">
        <v>30</v>
      </c>
      <c r="H1274" s="28" t="s">
        <v>25</v>
      </c>
      <c r="I1274" s="25" t="n">
        <v>2</v>
      </c>
      <c r="J1274" s="25" t="n">
        <v>1</v>
      </c>
      <c r="K1274" s="25" t="n">
        <v>2</v>
      </c>
      <c r="L1274" s="29" t="n">
        <v>0.72</v>
      </c>
      <c r="M1274" s="30" t="n">
        <v>10.29</v>
      </c>
      <c r="N1274" s="29" t="n">
        <v>0.68</v>
      </c>
      <c r="O1274" s="25" t="n">
        <v>185</v>
      </c>
      <c r="P1274" s="30" t="n">
        <v>16.61</v>
      </c>
      <c r="Q1274" s="27" t="s">
        <v>3646</v>
      </c>
      <c r="R1274" s="27" t="s">
        <v>1099</v>
      </c>
    </row>
    <row r="1275" customFormat="false" ht="15" hidden="false" customHeight="false" outlineLevel="0" collapsed="false">
      <c r="A1275" s="25" t="n">
        <f aca="false">IF(G1275="REJECT",COUNTIF($G$2:$G$2277,"&lt;&gt;REJECT")+1+COUNTIFS($G$2:$G$2277,"REJECT",$B$2:$B$2277,"&gt;"&amp;B1275),1+COUNTIFS($G$2:$G$2277,"&lt;&gt;REJECT",$B$2:$B$2277,"&gt;"&amp;B1275))</f>
        <v>1274</v>
      </c>
      <c r="B1275" s="26" t="n">
        <f aca="false">ROUND(($U$2*MAX(0,MIN(1,($W$2-I1275)/($W$2-$V$2)))+$U$3*MAX(0,MIN(1,($W$3-J1275)/($W$3-$V$3)))+$U$4*MAX(0,MIN(1,($W$4-K1275)/($W$4-$V$4)))+$U$5*MAX(0,MIN(1,($W$5-L1275)/($W$5-$V$5)))+$U$6*MAX(0,MIN(1,($W$6-M1275)/($W$6-$V$6)))+$U$7*MAX(0,MIN(1,($W$7-N1275)/($W$7-$V$7)))+$U$8*IF(AND(O1275&gt;=$V$8,O1275&lt;=$W$8),1,0))/$U$9*100,2)</f>
        <v>69.83</v>
      </c>
      <c r="C1275" s="27" t="s">
        <v>2155</v>
      </c>
      <c r="D1275" s="25" t="s">
        <v>134</v>
      </c>
      <c r="E1275" s="25" t="s">
        <v>3450</v>
      </c>
      <c r="F1275" s="25" t="s">
        <v>3457</v>
      </c>
      <c r="G1275" s="38" t="s">
        <v>30</v>
      </c>
      <c r="H1275" s="28" t="s">
        <v>25</v>
      </c>
      <c r="I1275" s="25" t="n">
        <v>2</v>
      </c>
      <c r="J1275" s="25" t="n">
        <v>1</v>
      </c>
      <c r="K1275" s="25" t="n">
        <v>2</v>
      </c>
      <c r="L1275" s="29" t="n">
        <v>0.76</v>
      </c>
      <c r="M1275" s="30" t="n">
        <v>26.01</v>
      </c>
      <c r="N1275" s="29" t="n">
        <v>0.56</v>
      </c>
      <c r="O1275" s="25" t="n">
        <v>183</v>
      </c>
      <c r="P1275" s="30" t="n">
        <v>0.29</v>
      </c>
      <c r="Q1275" s="27" t="s">
        <v>3575</v>
      </c>
      <c r="R1275" s="27" t="s">
        <v>294</v>
      </c>
    </row>
    <row r="1276" customFormat="false" ht="15" hidden="false" customHeight="false" outlineLevel="0" collapsed="false">
      <c r="A1276" s="25" t="n">
        <f aca="false">IF(G1276="REJECT",COUNTIF($G$2:$G$2277,"&lt;&gt;REJECT")+1+COUNTIFS($G$2:$G$2277,"REJECT",$B$2:$B$2277,"&gt;"&amp;B1276),1+COUNTIFS($G$2:$G$2277,"&lt;&gt;REJECT",$B$2:$B$2277,"&gt;"&amp;B1276))</f>
        <v>1275</v>
      </c>
      <c r="B1276" s="26" t="n">
        <f aca="false">ROUND(($U$2*MAX(0,MIN(1,($W$2-I1276)/($W$2-$V$2)))+$U$3*MAX(0,MIN(1,($W$3-J1276)/($W$3-$V$3)))+$U$4*MAX(0,MIN(1,($W$4-K1276)/($W$4-$V$4)))+$U$5*MAX(0,MIN(1,($W$5-L1276)/($W$5-$V$5)))+$U$6*MAX(0,MIN(1,($W$6-M1276)/($W$6-$V$6)))+$U$7*MAX(0,MIN(1,($W$7-N1276)/($W$7-$V$7)))+$U$8*IF(AND(O1276&gt;=$V$8,O1276&lt;=$W$8),1,0))/$U$9*100,2)</f>
        <v>69.81</v>
      </c>
      <c r="C1276" s="27" t="s">
        <v>1825</v>
      </c>
      <c r="D1276" s="25" t="s">
        <v>134</v>
      </c>
      <c r="E1276" s="25" t="s">
        <v>3447</v>
      </c>
      <c r="F1276" s="25" t="s">
        <v>3448</v>
      </c>
      <c r="G1276" s="38" t="s">
        <v>30</v>
      </c>
      <c r="H1276" s="28" t="s">
        <v>25</v>
      </c>
      <c r="I1276" s="25" t="n">
        <v>4</v>
      </c>
      <c r="J1276" s="25" t="n">
        <v>0</v>
      </c>
      <c r="K1276" s="25" t="n">
        <v>4</v>
      </c>
      <c r="L1276" s="29" t="n">
        <v>0.75</v>
      </c>
      <c r="M1276" s="30" t="n">
        <v>9.13</v>
      </c>
      <c r="N1276" s="29" t="n">
        <v>0.4</v>
      </c>
      <c r="O1276" s="25" t="n">
        <v>190</v>
      </c>
      <c r="P1276" s="30" t="n">
        <v>-0.53</v>
      </c>
      <c r="Q1276" s="27" t="s">
        <v>3586</v>
      </c>
      <c r="R1276" s="27" t="s">
        <v>2610</v>
      </c>
    </row>
    <row r="1277" customFormat="false" ht="15" hidden="false" customHeight="false" outlineLevel="0" collapsed="false">
      <c r="A1277" s="25" t="n">
        <f aca="false">IF(G1277="REJECT",COUNTIF($G$2:$G$2277,"&lt;&gt;REJECT")+1+COUNTIFS($G$2:$G$2277,"REJECT",$B$2:$B$2277,"&gt;"&amp;B1277),1+COUNTIFS($G$2:$G$2277,"&lt;&gt;REJECT",$B$2:$B$2277,"&gt;"&amp;B1277))</f>
        <v>1276</v>
      </c>
      <c r="B1277" s="26" t="n">
        <f aca="false">ROUND(($U$2*MAX(0,MIN(1,($W$2-I1277)/($W$2-$V$2)))+$U$3*MAX(0,MIN(1,($W$3-J1277)/($W$3-$V$3)))+$U$4*MAX(0,MIN(1,($W$4-K1277)/($W$4-$V$4)))+$U$5*MAX(0,MIN(1,($W$5-L1277)/($W$5-$V$5)))+$U$6*MAX(0,MIN(1,($W$6-M1277)/($W$6-$V$6)))+$U$7*MAX(0,MIN(1,($W$7-N1277)/($W$7-$V$7)))+$U$8*IF(AND(O1277&gt;=$V$8,O1277&lt;=$W$8),1,0))/$U$9*100,2)</f>
        <v>69.77</v>
      </c>
      <c r="C1277" s="27" t="s">
        <v>1170</v>
      </c>
      <c r="D1277" s="25" t="s">
        <v>3459</v>
      </c>
      <c r="E1277" s="25" t="s">
        <v>3447</v>
      </c>
      <c r="F1277" s="25" t="s">
        <v>3457</v>
      </c>
      <c r="G1277" s="38" t="s">
        <v>30</v>
      </c>
      <c r="H1277" s="28" t="s">
        <v>25</v>
      </c>
      <c r="I1277" s="25" t="n">
        <v>2</v>
      </c>
      <c r="J1277" s="25" t="n">
        <v>1</v>
      </c>
      <c r="K1277" s="25" t="n">
        <v>2</v>
      </c>
      <c r="L1277" s="29" t="n">
        <v>0.75</v>
      </c>
      <c r="M1277" s="30" t="n">
        <v>25.17</v>
      </c>
      <c r="N1277" s="29" t="n">
        <v>0.32</v>
      </c>
      <c r="O1277" s="25" t="n">
        <v>183</v>
      </c>
      <c r="P1277" s="30" t="n">
        <v>6.24</v>
      </c>
      <c r="Q1277" s="27" t="s">
        <v>3575</v>
      </c>
      <c r="R1277" s="27" t="s">
        <v>157</v>
      </c>
    </row>
    <row r="1278" customFormat="false" ht="15" hidden="false" customHeight="false" outlineLevel="0" collapsed="false">
      <c r="A1278" s="25" t="n">
        <f aca="false">IF(G1278="REJECT",COUNTIF($G$2:$G$2277,"&lt;&gt;REJECT")+1+COUNTIFS($G$2:$G$2277,"REJECT",$B$2:$B$2277,"&gt;"&amp;B1278),1+COUNTIFS($G$2:$G$2277,"&lt;&gt;REJECT",$B$2:$B$2277,"&gt;"&amp;B1278))</f>
        <v>1277</v>
      </c>
      <c r="B1278" s="26" t="n">
        <f aca="false">ROUND(($U$2*MAX(0,MIN(1,($W$2-I1278)/($W$2-$V$2)))+$U$3*MAX(0,MIN(1,($W$3-J1278)/($W$3-$V$3)))+$U$4*MAX(0,MIN(1,($W$4-K1278)/($W$4-$V$4)))+$U$5*MAX(0,MIN(1,($W$5-L1278)/($W$5-$V$5)))+$U$6*MAX(0,MIN(1,($W$6-M1278)/($W$6-$V$6)))+$U$7*MAX(0,MIN(1,($W$7-N1278)/($W$7-$V$7)))+$U$8*IF(AND(O1278&gt;=$V$8,O1278&lt;=$W$8),1,0))/$U$9*100,2)</f>
        <v>69.76</v>
      </c>
      <c r="C1278" s="27" t="s">
        <v>2586</v>
      </c>
      <c r="D1278" s="25" t="s">
        <v>3459</v>
      </c>
      <c r="E1278" s="25" t="s">
        <v>3447</v>
      </c>
      <c r="F1278" s="25" t="s">
        <v>3448</v>
      </c>
      <c r="G1278" s="38" t="s">
        <v>30</v>
      </c>
      <c r="H1278" s="28" t="s">
        <v>25</v>
      </c>
      <c r="I1278" s="25" t="n">
        <v>4</v>
      </c>
      <c r="J1278" s="25" t="n">
        <v>0</v>
      </c>
      <c r="K1278" s="25" t="n">
        <v>4</v>
      </c>
      <c r="L1278" s="29" t="n">
        <v>0.85</v>
      </c>
      <c r="M1278" s="30" t="n">
        <v>25.42</v>
      </c>
      <c r="N1278" s="29" t="n">
        <v>0.6</v>
      </c>
      <c r="O1278" s="25" t="n">
        <v>185</v>
      </c>
      <c r="P1278" s="30" t="n">
        <v>-0.53</v>
      </c>
      <c r="Q1278" s="27" t="s">
        <v>3600</v>
      </c>
      <c r="R1278" s="27" t="s">
        <v>992</v>
      </c>
    </row>
    <row r="1279" customFormat="false" ht="15" hidden="false" customHeight="false" outlineLevel="0" collapsed="false">
      <c r="A1279" s="25" t="n">
        <f aca="false">IF(G1279="REJECT",COUNTIF($G$2:$G$2277,"&lt;&gt;REJECT")+1+COUNTIFS($G$2:$G$2277,"REJECT",$B$2:$B$2277,"&gt;"&amp;B1279),1+COUNTIFS($G$2:$G$2277,"&lt;&gt;REJECT",$B$2:$B$2277,"&gt;"&amp;B1279))</f>
        <v>1278</v>
      </c>
      <c r="B1279" s="26" t="n">
        <f aca="false">ROUND(($U$2*MAX(0,MIN(1,($W$2-I1279)/($W$2-$V$2)))+$U$3*MAX(0,MIN(1,($W$3-J1279)/($W$3-$V$3)))+$U$4*MAX(0,MIN(1,($W$4-K1279)/($W$4-$V$4)))+$U$5*MAX(0,MIN(1,($W$5-L1279)/($W$5-$V$5)))+$U$6*MAX(0,MIN(1,($W$6-M1279)/($W$6-$V$6)))+$U$7*MAX(0,MIN(1,($W$7-N1279)/($W$7-$V$7)))+$U$8*IF(AND(O1279&gt;=$V$8,O1279&lt;=$W$8),1,0))/$U$9*100,2)</f>
        <v>69.74</v>
      </c>
      <c r="C1279" s="27" t="s">
        <v>1084</v>
      </c>
      <c r="D1279" s="25" t="s">
        <v>134</v>
      </c>
      <c r="E1279" s="25" t="s">
        <v>3447</v>
      </c>
      <c r="F1279" s="25" t="s">
        <v>3448</v>
      </c>
      <c r="G1279" s="38" t="s">
        <v>30</v>
      </c>
      <c r="H1279" s="28" t="s">
        <v>25</v>
      </c>
      <c r="I1279" s="25" t="n">
        <v>4</v>
      </c>
      <c r="J1279" s="25" t="n">
        <v>0</v>
      </c>
      <c r="K1279" s="25" t="n">
        <v>4</v>
      </c>
      <c r="L1279" s="29" t="n">
        <v>0.78</v>
      </c>
      <c r="M1279" s="30" t="n">
        <v>22.38</v>
      </c>
      <c r="N1279" s="29" t="n">
        <v>0.2</v>
      </c>
      <c r="O1279" s="25" t="n">
        <v>186</v>
      </c>
      <c r="P1279" s="30" t="n">
        <v>0.81</v>
      </c>
      <c r="Q1279" s="27" t="s">
        <v>3647</v>
      </c>
      <c r="R1279" s="27" t="s">
        <v>992</v>
      </c>
    </row>
    <row r="1280" customFormat="false" ht="15" hidden="false" customHeight="false" outlineLevel="0" collapsed="false">
      <c r="A1280" s="25" t="n">
        <f aca="false">IF(G1280="REJECT",COUNTIF($G$2:$G$2277,"&lt;&gt;REJECT")+1+COUNTIFS($G$2:$G$2277,"REJECT",$B$2:$B$2277,"&gt;"&amp;B1280),1+COUNTIFS($G$2:$G$2277,"&lt;&gt;REJECT",$B$2:$B$2277,"&gt;"&amp;B1280))</f>
        <v>1278</v>
      </c>
      <c r="B1280" s="26" t="n">
        <f aca="false">ROUND(($U$2*MAX(0,MIN(1,($W$2-I1280)/($W$2-$V$2)))+$U$3*MAX(0,MIN(1,($W$3-J1280)/($W$3-$V$3)))+$U$4*MAX(0,MIN(1,($W$4-K1280)/($W$4-$V$4)))+$U$5*MAX(0,MIN(1,($W$5-L1280)/($W$5-$V$5)))+$U$6*MAX(0,MIN(1,($W$6-M1280)/($W$6-$V$6)))+$U$7*MAX(0,MIN(1,($W$7-N1280)/($W$7-$V$7)))+$U$8*IF(AND(O1280&gt;=$V$8,O1280&lt;=$W$8),1,0))/$U$9*100,2)</f>
        <v>69.74</v>
      </c>
      <c r="C1280" s="27" t="s">
        <v>2746</v>
      </c>
      <c r="D1280" s="25" t="s">
        <v>3459</v>
      </c>
      <c r="E1280" s="25" t="s">
        <v>3447</v>
      </c>
      <c r="F1280" s="25" t="s">
        <v>3448</v>
      </c>
      <c r="G1280" s="38" t="s">
        <v>30</v>
      </c>
      <c r="H1280" s="28" t="s">
        <v>25</v>
      </c>
      <c r="I1280" s="25" t="n">
        <v>4</v>
      </c>
      <c r="J1280" s="25" t="n">
        <v>0</v>
      </c>
      <c r="K1280" s="25" t="n">
        <v>4</v>
      </c>
      <c r="L1280" s="29" t="n">
        <v>0.88</v>
      </c>
      <c r="M1280" s="30" t="n">
        <v>21.97</v>
      </c>
      <c r="N1280" s="29" t="n">
        <v>0.96</v>
      </c>
      <c r="O1280" s="25" t="n">
        <v>189</v>
      </c>
      <c r="P1280" s="30" t="n">
        <v>5.29</v>
      </c>
      <c r="Q1280" s="27" t="s">
        <v>3593</v>
      </c>
      <c r="R1280" s="27" t="s">
        <v>992</v>
      </c>
    </row>
    <row r="1281" customFormat="false" ht="15" hidden="false" customHeight="false" outlineLevel="0" collapsed="false">
      <c r="A1281" s="25" t="n">
        <f aca="false">IF(G1281="REJECT",COUNTIF($G$2:$G$2277,"&lt;&gt;REJECT")+1+COUNTIFS($G$2:$G$2277,"REJECT",$B$2:$B$2277,"&gt;"&amp;B1281),1+COUNTIFS($G$2:$G$2277,"&lt;&gt;REJECT",$B$2:$B$2277,"&gt;"&amp;B1281))</f>
        <v>1280</v>
      </c>
      <c r="B1281" s="26" t="n">
        <f aca="false">ROUND(($U$2*MAX(0,MIN(1,($W$2-I1281)/($W$2-$V$2)))+$U$3*MAX(0,MIN(1,($W$3-J1281)/($W$3-$V$3)))+$U$4*MAX(0,MIN(1,($W$4-K1281)/($W$4-$V$4)))+$U$5*MAX(0,MIN(1,($W$5-L1281)/($W$5-$V$5)))+$U$6*MAX(0,MIN(1,($W$6-M1281)/($W$6-$V$6)))+$U$7*MAX(0,MIN(1,($W$7-N1281)/($W$7-$V$7)))+$U$8*IF(AND(O1281&gt;=$V$8,O1281&lt;=$W$8),1,0))/$U$9*100,2)</f>
        <v>69.7</v>
      </c>
      <c r="C1281" s="27" t="s">
        <v>584</v>
      </c>
      <c r="D1281" s="25" t="s">
        <v>3459</v>
      </c>
      <c r="E1281" s="25" t="s">
        <v>3447</v>
      </c>
      <c r="F1281" s="25" t="s">
        <v>3448</v>
      </c>
      <c r="G1281" s="38" t="s">
        <v>30</v>
      </c>
      <c r="H1281" s="28" t="s">
        <v>25</v>
      </c>
      <c r="I1281" s="25" t="n">
        <v>4</v>
      </c>
      <c r="J1281" s="25" t="n">
        <v>0</v>
      </c>
      <c r="K1281" s="25" t="n">
        <v>4</v>
      </c>
      <c r="L1281" s="29" t="n">
        <v>0.83</v>
      </c>
      <c r="M1281" s="30" t="n">
        <v>24.61</v>
      </c>
      <c r="N1281" s="29" t="n">
        <v>0.72</v>
      </c>
      <c r="O1281" s="25" t="n">
        <v>187</v>
      </c>
      <c r="P1281" s="30" t="n">
        <v>1.29</v>
      </c>
      <c r="Q1281" s="27" t="s">
        <v>3591</v>
      </c>
      <c r="R1281" s="27" t="s">
        <v>992</v>
      </c>
    </row>
    <row r="1282" customFormat="false" ht="15" hidden="false" customHeight="false" outlineLevel="0" collapsed="false">
      <c r="A1282" s="25" t="n">
        <f aca="false">IF(G1282="REJECT",COUNTIF($G$2:$G$2277,"&lt;&gt;REJECT")+1+COUNTIFS($G$2:$G$2277,"REJECT",$B$2:$B$2277,"&gt;"&amp;B1282),1+COUNTIFS($G$2:$G$2277,"&lt;&gt;REJECT",$B$2:$B$2277,"&gt;"&amp;B1282))</f>
        <v>1281</v>
      </c>
      <c r="B1282" s="26" t="n">
        <f aca="false">ROUND(($U$2*MAX(0,MIN(1,($W$2-I1282)/($W$2-$V$2)))+$U$3*MAX(0,MIN(1,($W$3-J1282)/($W$3-$V$3)))+$U$4*MAX(0,MIN(1,($W$4-K1282)/($W$4-$V$4)))+$U$5*MAX(0,MIN(1,($W$5-L1282)/($W$5-$V$5)))+$U$6*MAX(0,MIN(1,($W$6-M1282)/($W$6-$V$6)))+$U$7*MAX(0,MIN(1,($W$7-N1282)/($W$7-$V$7)))+$U$8*IF(AND(O1282&gt;=$V$8,O1282&lt;=$W$8),1,0))/$U$9*100,2)</f>
        <v>69.69</v>
      </c>
      <c r="C1282" s="27" t="s">
        <v>2149</v>
      </c>
      <c r="D1282" s="25" t="s">
        <v>134</v>
      </c>
      <c r="E1282" s="25" t="s">
        <v>3450</v>
      </c>
      <c r="F1282" s="25" t="s">
        <v>3457</v>
      </c>
      <c r="G1282" s="38" t="s">
        <v>30</v>
      </c>
      <c r="H1282" s="28" t="s">
        <v>25</v>
      </c>
      <c r="I1282" s="25" t="n">
        <v>1</v>
      </c>
      <c r="J1282" s="25" t="n">
        <v>1</v>
      </c>
      <c r="K1282" s="25" t="n">
        <v>1</v>
      </c>
      <c r="L1282" s="29" t="n">
        <v>0.64</v>
      </c>
      <c r="M1282" s="30" t="n">
        <v>20.34</v>
      </c>
      <c r="N1282" s="29" t="n">
        <v>0.64</v>
      </c>
      <c r="O1282" s="25" t="n">
        <v>183</v>
      </c>
      <c r="P1282" s="30" t="n">
        <v>7.16</v>
      </c>
      <c r="Q1282" s="27" t="s">
        <v>70</v>
      </c>
      <c r="R1282" s="27" t="s">
        <v>183</v>
      </c>
    </row>
    <row r="1283" customFormat="false" ht="15" hidden="false" customHeight="false" outlineLevel="0" collapsed="false">
      <c r="A1283" s="25" t="n">
        <f aca="false">IF(G1283="REJECT",COUNTIF($G$2:$G$2277,"&lt;&gt;REJECT")+1+COUNTIFS($G$2:$G$2277,"REJECT",$B$2:$B$2277,"&gt;"&amp;B1283),1+COUNTIFS($G$2:$G$2277,"&lt;&gt;REJECT",$B$2:$B$2277,"&gt;"&amp;B1283))</f>
        <v>1282</v>
      </c>
      <c r="B1283" s="26" t="n">
        <f aca="false">ROUND(($U$2*MAX(0,MIN(1,($W$2-I1283)/($W$2-$V$2)))+$U$3*MAX(0,MIN(1,($W$3-J1283)/($W$3-$V$3)))+$U$4*MAX(0,MIN(1,($W$4-K1283)/($W$4-$V$4)))+$U$5*MAX(0,MIN(1,($W$5-L1283)/($W$5-$V$5)))+$U$6*MAX(0,MIN(1,($W$6-M1283)/($W$6-$V$6)))+$U$7*MAX(0,MIN(1,($W$7-N1283)/($W$7-$V$7)))+$U$8*IF(AND(O1283&gt;=$V$8,O1283&lt;=$W$8),1,0))/$U$9*100,2)</f>
        <v>69.68</v>
      </c>
      <c r="C1283" s="27" t="s">
        <v>2607</v>
      </c>
      <c r="D1283" s="25" t="s">
        <v>134</v>
      </c>
      <c r="E1283" s="25" t="s">
        <v>3450</v>
      </c>
      <c r="F1283" s="25" t="s">
        <v>3448</v>
      </c>
      <c r="G1283" s="38" t="s">
        <v>30</v>
      </c>
      <c r="H1283" s="33" t="s">
        <v>24</v>
      </c>
      <c r="I1283" s="25" t="n">
        <v>4</v>
      </c>
      <c r="J1283" s="25" t="n">
        <v>0</v>
      </c>
      <c r="K1283" s="25" t="n">
        <v>4</v>
      </c>
      <c r="L1283" s="29" t="n">
        <v>0.76</v>
      </c>
      <c r="M1283" s="30" t="n">
        <v>16.31</v>
      </c>
      <c r="N1283" s="29" t="n">
        <v>0.12</v>
      </c>
      <c r="O1283" s="25" t="n">
        <v>186</v>
      </c>
      <c r="P1283" s="30" t="n">
        <v>7.36</v>
      </c>
      <c r="Q1283" s="27" t="s">
        <v>3624</v>
      </c>
      <c r="R1283" s="27" t="s">
        <v>30</v>
      </c>
    </row>
    <row r="1284" customFormat="false" ht="15" hidden="false" customHeight="false" outlineLevel="0" collapsed="false">
      <c r="A1284" s="25" t="n">
        <f aca="false">IF(G1284="REJECT",COUNTIF($G$2:$G$2277,"&lt;&gt;REJECT")+1+COUNTIFS($G$2:$G$2277,"REJECT",$B$2:$B$2277,"&gt;"&amp;B1284),1+COUNTIFS($G$2:$G$2277,"&lt;&gt;REJECT",$B$2:$B$2277,"&gt;"&amp;B1284))</f>
        <v>1283</v>
      </c>
      <c r="B1284" s="26" t="n">
        <f aca="false">ROUND(($U$2*MAX(0,MIN(1,($W$2-I1284)/($W$2-$V$2)))+$U$3*MAX(0,MIN(1,($W$3-J1284)/($W$3-$V$3)))+$U$4*MAX(0,MIN(1,($W$4-K1284)/($W$4-$V$4)))+$U$5*MAX(0,MIN(1,($W$5-L1284)/($W$5-$V$5)))+$U$6*MAX(0,MIN(1,($W$6-M1284)/($W$6-$V$6)))+$U$7*MAX(0,MIN(1,($W$7-N1284)/($W$7-$V$7)))+$U$8*IF(AND(O1284&gt;=$V$8,O1284&lt;=$W$8),1,0))/$U$9*100,2)</f>
        <v>69.65</v>
      </c>
      <c r="C1284" s="27" t="s">
        <v>1594</v>
      </c>
      <c r="D1284" s="25" t="s">
        <v>3459</v>
      </c>
      <c r="E1284" s="25" t="s">
        <v>3447</v>
      </c>
      <c r="F1284" s="25" t="s">
        <v>3448</v>
      </c>
      <c r="G1284" s="38" t="s">
        <v>30</v>
      </c>
      <c r="H1284" s="28" t="s">
        <v>25</v>
      </c>
      <c r="I1284" s="25" t="n">
        <v>2</v>
      </c>
      <c r="J1284" s="25" t="n">
        <v>1</v>
      </c>
      <c r="K1284" s="25" t="n">
        <v>2</v>
      </c>
      <c r="L1284" s="29" t="n">
        <v>0.77</v>
      </c>
      <c r="M1284" s="30" t="n">
        <v>28.71</v>
      </c>
      <c r="N1284" s="29" t="n">
        <v>0.76</v>
      </c>
      <c r="O1284" s="25" t="n">
        <v>181</v>
      </c>
      <c r="P1284" s="30" t="n">
        <v>-0.16</v>
      </c>
      <c r="Q1284" s="27" t="s">
        <v>3575</v>
      </c>
      <c r="R1284" s="27" t="s">
        <v>183</v>
      </c>
    </row>
    <row r="1285" customFormat="false" ht="15" hidden="false" customHeight="false" outlineLevel="0" collapsed="false">
      <c r="A1285" s="25" t="n">
        <f aca="false">IF(G1285="REJECT",COUNTIF($G$2:$G$2277,"&lt;&gt;REJECT")+1+COUNTIFS($G$2:$G$2277,"REJECT",$B$2:$B$2277,"&gt;"&amp;B1285),1+COUNTIFS($G$2:$G$2277,"&lt;&gt;REJECT",$B$2:$B$2277,"&gt;"&amp;B1285))</f>
        <v>1283</v>
      </c>
      <c r="B1285" s="26" t="n">
        <f aca="false">ROUND(($U$2*MAX(0,MIN(1,($W$2-I1285)/($W$2-$V$2)))+$U$3*MAX(0,MIN(1,($W$3-J1285)/($W$3-$V$3)))+$U$4*MAX(0,MIN(1,($W$4-K1285)/($W$4-$V$4)))+$U$5*MAX(0,MIN(1,($W$5-L1285)/($W$5-$V$5)))+$U$6*MAX(0,MIN(1,($W$6-M1285)/($W$6-$V$6)))+$U$7*MAX(0,MIN(1,($W$7-N1285)/($W$7-$V$7)))+$U$8*IF(AND(O1285&gt;=$V$8,O1285&lt;=$W$8),1,0))/$U$9*100,2)</f>
        <v>69.65</v>
      </c>
      <c r="C1285" s="27" t="s">
        <v>1691</v>
      </c>
      <c r="D1285" s="25" t="s">
        <v>134</v>
      </c>
      <c r="E1285" s="25" t="s">
        <v>3450</v>
      </c>
      <c r="F1285" s="25" t="s">
        <v>3457</v>
      </c>
      <c r="G1285" s="38" t="s">
        <v>30</v>
      </c>
      <c r="H1285" s="28" t="s">
        <v>25</v>
      </c>
      <c r="I1285" s="25" t="n">
        <v>2</v>
      </c>
      <c r="J1285" s="25" t="n">
        <v>1</v>
      </c>
      <c r="K1285" s="25" t="n">
        <v>2</v>
      </c>
      <c r="L1285" s="29" t="n">
        <v>0.74</v>
      </c>
      <c r="M1285" s="30" t="n">
        <v>18.28</v>
      </c>
      <c r="N1285" s="29" t="n">
        <v>0.72</v>
      </c>
      <c r="O1285" s="25" t="n">
        <v>187</v>
      </c>
      <c r="P1285" s="30" t="n">
        <v>15.93</v>
      </c>
      <c r="Q1285" s="27" t="s">
        <v>3566</v>
      </c>
      <c r="R1285" s="27" t="s">
        <v>283</v>
      </c>
    </row>
    <row r="1286" customFormat="false" ht="15" hidden="false" customHeight="false" outlineLevel="0" collapsed="false">
      <c r="A1286" s="25" t="n">
        <f aca="false">IF(G1286="REJECT",COUNTIF($G$2:$G$2277,"&lt;&gt;REJECT")+1+COUNTIFS($G$2:$G$2277,"REJECT",$B$2:$B$2277,"&gt;"&amp;B1286),1+COUNTIFS($G$2:$G$2277,"&lt;&gt;REJECT",$B$2:$B$2277,"&gt;"&amp;B1286))</f>
        <v>1285</v>
      </c>
      <c r="B1286" s="26" t="n">
        <f aca="false">ROUND(($U$2*MAX(0,MIN(1,($W$2-I1286)/($W$2-$V$2)))+$U$3*MAX(0,MIN(1,($W$3-J1286)/($W$3-$V$3)))+$U$4*MAX(0,MIN(1,($W$4-K1286)/($W$4-$V$4)))+$U$5*MAX(0,MIN(1,($W$5-L1286)/($W$5-$V$5)))+$U$6*MAX(0,MIN(1,($W$6-M1286)/($W$6-$V$6)))+$U$7*MAX(0,MIN(1,($W$7-N1286)/($W$7-$V$7)))+$U$8*IF(AND(O1286&gt;=$V$8,O1286&lt;=$W$8),1,0))/$U$9*100,2)</f>
        <v>69.64</v>
      </c>
      <c r="C1286" s="27" t="s">
        <v>533</v>
      </c>
      <c r="D1286" s="25" t="s">
        <v>134</v>
      </c>
      <c r="E1286" s="25" t="s">
        <v>3450</v>
      </c>
      <c r="F1286" s="25" t="s">
        <v>3457</v>
      </c>
      <c r="G1286" s="38" t="s">
        <v>30</v>
      </c>
      <c r="H1286" s="28" t="s">
        <v>25</v>
      </c>
      <c r="I1286" s="25" t="n">
        <v>2</v>
      </c>
      <c r="J1286" s="25" t="n">
        <v>1</v>
      </c>
      <c r="K1286" s="25" t="n">
        <v>2</v>
      </c>
      <c r="L1286" s="29" t="n">
        <v>0.73</v>
      </c>
      <c r="M1286" s="30" t="n">
        <v>18.78</v>
      </c>
      <c r="N1286" s="29" t="n">
        <v>0.32</v>
      </c>
      <c r="O1286" s="25" t="n">
        <v>184</v>
      </c>
      <c r="P1286" s="30" t="n">
        <v>10.72</v>
      </c>
      <c r="Q1286" s="27" t="s">
        <v>3575</v>
      </c>
      <c r="R1286" s="27" t="s">
        <v>283</v>
      </c>
    </row>
    <row r="1287" customFormat="false" ht="15" hidden="false" customHeight="false" outlineLevel="0" collapsed="false">
      <c r="A1287" s="25" t="n">
        <f aca="false">IF(G1287="REJECT",COUNTIF($G$2:$G$2277,"&lt;&gt;REJECT")+1+COUNTIFS($G$2:$G$2277,"REJECT",$B$2:$B$2277,"&gt;"&amp;B1287),1+COUNTIFS($G$2:$G$2277,"&lt;&gt;REJECT",$B$2:$B$2277,"&gt;"&amp;B1287))</f>
        <v>1286</v>
      </c>
      <c r="B1287" s="26" t="n">
        <f aca="false">ROUND(($U$2*MAX(0,MIN(1,($W$2-I1287)/($W$2-$V$2)))+$U$3*MAX(0,MIN(1,($W$3-J1287)/($W$3-$V$3)))+$U$4*MAX(0,MIN(1,($W$4-K1287)/($W$4-$V$4)))+$U$5*MAX(0,MIN(1,($W$5-L1287)/($W$5-$V$5)))+$U$6*MAX(0,MIN(1,($W$6-M1287)/($W$6-$V$6)))+$U$7*MAX(0,MIN(1,($W$7-N1287)/($W$7-$V$7)))+$U$8*IF(AND(O1287&gt;=$V$8,O1287&lt;=$W$8),1,0))/$U$9*100,2)</f>
        <v>69.62</v>
      </c>
      <c r="C1287" s="27" t="s">
        <v>2033</v>
      </c>
      <c r="D1287" s="25" t="s">
        <v>3459</v>
      </c>
      <c r="E1287" s="25" t="s">
        <v>3450</v>
      </c>
      <c r="F1287" s="25" t="s">
        <v>3448</v>
      </c>
      <c r="G1287" s="38" t="s">
        <v>30</v>
      </c>
      <c r="H1287" s="28" t="s">
        <v>25</v>
      </c>
      <c r="I1287" s="25" t="n">
        <v>2</v>
      </c>
      <c r="J1287" s="25" t="n">
        <v>1</v>
      </c>
      <c r="K1287" s="25" t="n">
        <v>2</v>
      </c>
      <c r="L1287" s="29" t="n">
        <v>0.74</v>
      </c>
      <c r="M1287" s="30" t="n">
        <v>25.68</v>
      </c>
      <c r="N1287" s="29" t="n">
        <v>0</v>
      </c>
      <c r="O1287" s="25" t="n">
        <v>183</v>
      </c>
      <c r="P1287" s="30" t="n">
        <v>11.75</v>
      </c>
      <c r="Q1287" s="27" t="s">
        <v>3566</v>
      </c>
      <c r="R1287" s="27" t="s">
        <v>163</v>
      </c>
    </row>
    <row r="1288" customFormat="false" ht="15" hidden="false" customHeight="false" outlineLevel="0" collapsed="false">
      <c r="A1288" s="25" t="n">
        <f aca="false">IF(G1288="REJECT",COUNTIF($G$2:$G$2277,"&lt;&gt;REJECT")+1+COUNTIFS($G$2:$G$2277,"REJECT",$B$2:$B$2277,"&gt;"&amp;B1288),1+COUNTIFS($G$2:$G$2277,"&lt;&gt;REJECT",$B$2:$B$2277,"&gt;"&amp;B1288))</f>
        <v>1287</v>
      </c>
      <c r="B1288" s="26" t="n">
        <f aca="false">ROUND(($U$2*MAX(0,MIN(1,($W$2-I1288)/($W$2-$V$2)))+$U$3*MAX(0,MIN(1,($W$3-J1288)/($W$3-$V$3)))+$U$4*MAX(0,MIN(1,($W$4-K1288)/($W$4-$V$4)))+$U$5*MAX(0,MIN(1,($W$5-L1288)/($W$5-$V$5)))+$U$6*MAX(0,MIN(1,($W$6-M1288)/($W$6-$V$6)))+$U$7*MAX(0,MIN(1,($W$7-N1288)/($W$7-$V$7)))+$U$8*IF(AND(O1288&gt;=$V$8,O1288&lt;=$W$8),1,0))/$U$9*100,2)</f>
        <v>69.55</v>
      </c>
      <c r="C1288" s="27" t="s">
        <v>2049</v>
      </c>
      <c r="D1288" s="25" t="s">
        <v>134</v>
      </c>
      <c r="E1288" s="25" t="s">
        <v>3450</v>
      </c>
      <c r="F1288" s="25" t="s">
        <v>3448</v>
      </c>
      <c r="G1288" s="38" t="s">
        <v>30</v>
      </c>
      <c r="H1288" s="28" t="s">
        <v>25</v>
      </c>
      <c r="I1288" s="25" t="n">
        <v>2</v>
      </c>
      <c r="J1288" s="25" t="n">
        <v>1</v>
      </c>
      <c r="K1288" s="25" t="n">
        <v>2</v>
      </c>
      <c r="L1288" s="29" t="n">
        <v>0.75</v>
      </c>
      <c r="M1288" s="30" t="n">
        <v>20.12</v>
      </c>
      <c r="N1288" s="29" t="n">
        <v>0.96</v>
      </c>
      <c r="O1288" s="25" t="n">
        <v>187</v>
      </c>
      <c r="P1288" s="30" t="n">
        <v>7.8</v>
      </c>
      <c r="Q1288" s="27" t="s">
        <v>3566</v>
      </c>
      <c r="R1288" s="27" t="s">
        <v>157</v>
      </c>
    </row>
    <row r="1289" customFormat="false" ht="15" hidden="false" customHeight="false" outlineLevel="0" collapsed="false">
      <c r="A1289" s="25" t="n">
        <f aca="false">IF(G1289="REJECT",COUNTIF($G$2:$G$2277,"&lt;&gt;REJECT")+1+COUNTIFS($G$2:$G$2277,"REJECT",$B$2:$B$2277,"&gt;"&amp;B1289),1+COUNTIFS($G$2:$G$2277,"&lt;&gt;REJECT",$B$2:$B$2277,"&gt;"&amp;B1289))</f>
        <v>1288</v>
      </c>
      <c r="B1289" s="26" t="n">
        <f aca="false">ROUND(($U$2*MAX(0,MIN(1,($W$2-I1289)/($W$2-$V$2)))+$U$3*MAX(0,MIN(1,($W$3-J1289)/($W$3-$V$3)))+$U$4*MAX(0,MIN(1,($W$4-K1289)/($W$4-$V$4)))+$U$5*MAX(0,MIN(1,($W$5-L1289)/($W$5-$V$5)))+$U$6*MAX(0,MIN(1,($W$6-M1289)/($W$6-$V$6)))+$U$7*MAX(0,MIN(1,($W$7-N1289)/($W$7-$V$7)))+$U$8*IF(AND(O1289&gt;=$V$8,O1289&lt;=$W$8),1,0))/$U$9*100,2)</f>
        <v>69.54</v>
      </c>
      <c r="C1289" s="27" t="s">
        <v>2061</v>
      </c>
      <c r="D1289" s="25" t="s">
        <v>134</v>
      </c>
      <c r="E1289" s="25" t="s">
        <v>3450</v>
      </c>
      <c r="F1289" s="25" t="s">
        <v>3457</v>
      </c>
      <c r="G1289" s="38" t="s">
        <v>30</v>
      </c>
      <c r="H1289" s="28" t="s">
        <v>25</v>
      </c>
      <c r="I1289" s="25" t="n">
        <v>1</v>
      </c>
      <c r="J1289" s="25" t="n">
        <v>1</v>
      </c>
      <c r="K1289" s="25" t="n">
        <v>1</v>
      </c>
      <c r="L1289" s="29" t="n">
        <v>0.66</v>
      </c>
      <c r="M1289" s="30" t="n">
        <v>26.88</v>
      </c>
      <c r="N1289" s="29" t="n">
        <v>0.8</v>
      </c>
      <c r="O1289" s="25" t="n">
        <v>183</v>
      </c>
      <c r="P1289" s="30" t="n">
        <v>6.17</v>
      </c>
      <c r="Q1289" s="27" t="s">
        <v>69</v>
      </c>
      <c r="R1289" s="27" t="s">
        <v>183</v>
      </c>
    </row>
    <row r="1290" customFormat="false" ht="15" hidden="false" customHeight="false" outlineLevel="0" collapsed="false">
      <c r="A1290" s="25" t="n">
        <f aca="false">IF(G1290="REJECT",COUNTIF($G$2:$G$2277,"&lt;&gt;REJECT")+1+COUNTIFS($G$2:$G$2277,"REJECT",$B$2:$B$2277,"&gt;"&amp;B1290),1+COUNTIFS($G$2:$G$2277,"&lt;&gt;REJECT",$B$2:$B$2277,"&gt;"&amp;B1290))</f>
        <v>1289</v>
      </c>
      <c r="B1290" s="26" t="n">
        <f aca="false">ROUND(($U$2*MAX(0,MIN(1,($W$2-I1290)/($W$2-$V$2)))+$U$3*MAX(0,MIN(1,($W$3-J1290)/($W$3-$V$3)))+$U$4*MAX(0,MIN(1,($W$4-K1290)/($W$4-$V$4)))+$U$5*MAX(0,MIN(1,($W$5-L1290)/($W$5-$V$5)))+$U$6*MAX(0,MIN(1,($W$6-M1290)/($W$6-$V$6)))+$U$7*MAX(0,MIN(1,($W$7-N1290)/($W$7-$V$7)))+$U$8*IF(AND(O1290&gt;=$V$8,O1290&lt;=$W$8),1,0))/$U$9*100,2)</f>
        <v>69.53</v>
      </c>
      <c r="C1290" s="27" t="s">
        <v>3338</v>
      </c>
      <c r="D1290" s="25" t="s">
        <v>3459</v>
      </c>
      <c r="E1290" s="25" t="s">
        <v>3447</v>
      </c>
      <c r="F1290" s="25" t="s">
        <v>3448</v>
      </c>
      <c r="G1290" s="38" t="s">
        <v>30</v>
      </c>
      <c r="H1290" s="28" t="s">
        <v>25</v>
      </c>
      <c r="I1290" s="25" t="n">
        <v>4</v>
      </c>
      <c r="J1290" s="25" t="n">
        <v>0</v>
      </c>
      <c r="K1290" s="25" t="n">
        <v>4</v>
      </c>
      <c r="L1290" s="29" t="n">
        <v>0.84</v>
      </c>
      <c r="M1290" s="30" t="n">
        <v>23.22</v>
      </c>
      <c r="N1290" s="29" t="n">
        <v>0.96</v>
      </c>
      <c r="O1290" s="25" t="n">
        <v>185</v>
      </c>
      <c r="P1290" s="30" t="n">
        <v>-1.17</v>
      </c>
      <c r="Q1290" s="27" t="s">
        <v>3641</v>
      </c>
      <c r="R1290" s="27" t="s">
        <v>992</v>
      </c>
    </row>
    <row r="1291" customFormat="false" ht="15" hidden="false" customHeight="false" outlineLevel="0" collapsed="false">
      <c r="A1291" s="25" t="n">
        <f aca="false">IF(G1291="REJECT",COUNTIF($G$2:$G$2277,"&lt;&gt;REJECT")+1+COUNTIFS($G$2:$G$2277,"REJECT",$B$2:$B$2277,"&gt;"&amp;B1291),1+COUNTIFS($G$2:$G$2277,"&lt;&gt;REJECT",$B$2:$B$2277,"&gt;"&amp;B1291))</f>
        <v>1290</v>
      </c>
      <c r="B1291" s="26" t="n">
        <f aca="false">ROUND(($U$2*MAX(0,MIN(1,($W$2-I1291)/($W$2-$V$2)))+$U$3*MAX(0,MIN(1,($W$3-J1291)/($W$3-$V$3)))+$U$4*MAX(0,MIN(1,($W$4-K1291)/($W$4-$V$4)))+$U$5*MAX(0,MIN(1,($W$5-L1291)/($W$5-$V$5)))+$U$6*MAX(0,MIN(1,($W$6-M1291)/($W$6-$V$6)))+$U$7*MAX(0,MIN(1,($W$7-N1291)/($W$7-$V$7)))+$U$8*IF(AND(O1291&gt;=$V$8,O1291&lt;=$W$8),1,0))/$U$9*100,2)</f>
        <v>69.5</v>
      </c>
      <c r="C1291" s="27" t="s">
        <v>310</v>
      </c>
      <c r="D1291" s="25" t="s">
        <v>134</v>
      </c>
      <c r="E1291" s="25" t="s">
        <v>3450</v>
      </c>
      <c r="F1291" s="25" t="s">
        <v>3457</v>
      </c>
      <c r="G1291" s="38" t="s">
        <v>30</v>
      </c>
      <c r="H1291" s="28" t="s">
        <v>25</v>
      </c>
      <c r="I1291" s="25" t="n">
        <v>2</v>
      </c>
      <c r="J1291" s="25" t="n">
        <v>1</v>
      </c>
      <c r="K1291" s="25" t="n">
        <v>2</v>
      </c>
      <c r="L1291" s="29" t="n">
        <v>0.71</v>
      </c>
      <c r="M1291" s="30" t="n">
        <v>8.83</v>
      </c>
      <c r="N1291" s="29" t="n">
        <v>0.68</v>
      </c>
      <c r="O1291" s="25" t="n">
        <v>182</v>
      </c>
      <c r="P1291" s="30" t="n">
        <v>11.83</v>
      </c>
      <c r="Q1291" s="27" t="s">
        <v>3575</v>
      </c>
      <c r="R1291" s="27" t="s">
        <v>283</v>
      </c>
    </row>
    <row r="1292" customFormat="false" ht="15" hidden="false" customHeight="false" outlineLevel="0" collapsed="false">
      <c r="A1292" s="25" t="n">
        <f aca="false">IF(G1292="REJECT",COUNTIF($G$2:$G$2277,"&lt;&gt;REJECT")+1+COUNTIFS($G$2:$G$2277,"REJECT",$B$2:$B$2277,"&gt;"&amp;B1292),1+COUNTIFS($G$2:$G$2277,"&lt;&gt;REJECT",$B$2:$B$2277,"&gt;"&amp;B1292))</f>
        <v>1291</v>
      </c>
      <c r="B1292" s="26" t="n">
        <f aca="false">ROUND(($U$2*MAX(0,MIN(1,($W$2-I1292)/($W$2-$V$2)))+$U$3*MAX(0,MIN(1,($W$3-J1292)/($W$3-$V$3)))+$U$4*MAX(0,MIN(1,($W$4-K1292)/($W$4-$V$4)))+$U$5*MAX(0,MIN(1,($W$5-L1292)/($W$5-$V$5)))+$U$6*MAX(0,MIN(1,($W$6-M1292)/($W$6-$V$6)))+$U$7*MAX(0,MIN(1,($W$7-N1292)/($W$7-$V$7)))+$U$8*IF(AND(O1292&gt;=$V$8,O1292&lt;=$W$8),1,0))/$U$9*100,2)</f>
        <v>69.45</v>
      </c>
      <c r="C1292" s="27" t="s">
        <v>1360</v>
      </c>
      <c r="D1292" s="25" t="s">
        <v>134</v>
      </c>
      <c r="E1292" s="25" t="s">
        <v>3450</v>
      </c>
      <c r="F1292" s="25" t="s">
        <v>3457</v>
      </c>
      <c r="G1292" s="38" t="s">
        <v>30</v>
      </c>
      <c r="H1292" s="28" t="s">
        <v>25</v>
      </c>
      <c r="I1292" s="25" t="n">
        <v>2</v>
      </c>
      <c r="J1292" s="25" t="n">
        <v>1</v>
      </c>
      <c r="K1292" s="25" t="n">
        <v>2</v>
      </c>
      <c r="L1292" s="29" t="n">
        <v>0.7</v>
      </c>
      <c r="M1292" s="30" t="n">
        <v>5.13</v>
      </c>
      <c r="N1292" s="29" t="n">
        <v>0.72</v>
      </c>
      <c r="O1292" s="25" t="n">
        <v>183</v>
      </c>
      <c r="P1292" s="30" t="n">
        <v>11.41</v>
      </c>
      <c r="Q1292" s="27" t="s">
        <v>3575</v>
      </c>
      <c r="R1292" s="27" t="s">
        <v>283</v>
      </c>
    </row>
    <row r="1293" customFormat="false" ht="15" hidden="false" customHeight="false" outlineLevel="0" collapsed="false">
      <c r="A1293" s="25" t="n">
        <f aca="false">IF(G1293="REJECT",COUNTIF($G$2:$G$2277,"&lt;&gt;REJECT")+1+COUNTIFS($G$2:$G$2277,"REJECT",$B$2:$B$2277,"&gt;"&amp;B1293),1+COUNTIFS($G$2:$G$2277,"&lt;&gt;REJECT",$B$2:$B$2277,"&gt;"&amp;B1293))</f>
        <v>1292</v>
      </c>
      <c r="B1293" s="26" t="n">
        <f aca="false">ROUND(($U$2*MAX(0,MIN(1,($W$2-I1293)/($W$2-$V$2)))+$U$3*MAX(0,MIN(1,($W$3-J1293)/($W$3-$V$3)))+$U$4*MAX(0,MIN(1,($W$4-K1293)/($W$4-$V$4)))+$U$5*MAX(0,MIN(1,($W$5-L1293)/($W$5-$V$5)))+$U$6*MAX(0,MIN(1,($W$6-M1293)/($W$6-$V$6)))+$U$7*MAX(0,MIN(1,($W$7-N1293)/($W$7-$V$7)))+$U$8*IF(AND(O1293&gt;=$V$8,O1293&lt;=$W$8),1,0))/$U$9*100,2)</f>
        <v>69.4</v>
      </c>
      <c r="C1293" s="27" t="s">
        <v>259</v>
      </c>
      <c r="D1293" s="25" t="s">
        <v>134</v>
      </c>
      <c r="E1293" s="25" t="s">
        <v>3447</v>
      </c>
      <c r="F1293" s="25" t="s">
        <v>3457</v>
      </c>
      <c r="G1293" s="38" t="s">
        <v>30</v>
      </c>
      <c r="H1293" s="28" t="s">
        <v>25</v>
      </c>
      <c r="I1293" s="25" t="n">
        <v>4</v>
      </c>
      <c r="J1293" s="25" t="n">
        <v>0</v>
      </c>
      <c r="K1293" s="25" t="n">
        <v>4</v>
      </c>
      <c r="L1293" s="29" t="n">
        <v>0.79</v>
      </c>
      <c r="M1293" s="30" t="n">
        <v>34.75</v>
      </c>
      <c r="N1293" s="29" t="n">
        <v>0</v>
      </c>
      <c r="O1293" s="25" t="n">
        <v>186</v>
      </c>
      <c r="P1293" s="30" t="n">
        <v>-0.08</v>
      </c>
      <c r="Q1293" s="27" t="s">
        <v>3593</v>
      </c>
      <c r="R1293" s="27" t="s">
        <v>3492</v>
      </c>
    </row>
    <row r="1294" customFormat="false" ht="15" hidden="false" customHeight="false" outlineLevel="0" collapsed="false">
      <c r="A1294" s="25" t="n">
        <f aca="false">IF(G1294="REJECT",COUNTIF($G$2:$G$2277,"&lt;&gt;REJECT")+1+COUNTIFS($G$2:$G$2277,"REJECT",$B$2:$B$2277,"&gt;"&amp;B1294),1+COUNTIFS($G$2:$G$2277,"&lt;&gt;REJECT",$B$2:$B$2277,"&gt;"&amp;B1294))</f>
        <v>1293</v>
      </c>
      <c r="B1294" s="26" t="n">
        <f aca="false">ROUND(($U$2*MAX(0,MIN(1,($W$2-I1294)/($W$2-$V$2)))+$U$3*MAX(0,MIN(1,($W$3-J1294)/($W$3-$V$3)))+$U$4*MAX(0,MIN(1,($W$4-K1294)/($W$4-$V$4)))+$U$5*MAX(0,MIN(1,($W$5-L1294)/($W$5-$V$5)))+$U$6*MAX(0,MIN(1,($W$6-M1294)/($W$6-$V$6)))+$U$7*MAX(0,MIN(1,($W$7-N1294)/($W$7-$V$7)))+$U$8*IF(AND(O1294&gt;=$V$8,O1294&lt;=$W$8),1,0))/$U$9*100,2)</f>
        <v>69.33</v>
      </c>
      <c r="C1294" s="27" t="s">
        <v>267</v>
      </c>
      <c r="D1294" s="25" t="s">
        <v>134</v>
      </c>
      <c r="E1294" s="25" t="s">
        <v>3447</v>
      </c>
      <c r="F1294" s="25" t="s">
        <v>3457</v>
      </c>
      <c r="G1294" s="38" t="s">
        <v>30</v>
      </c>
      <c r="H1294" s="33" t="s">
        <v>24</v>
      </c>
      <c r="I1294" s="25" t="n">
        <v>4</v>
      </c>
      <c r="J1294" s="25" t="n">
        <v>0</v>
      </c>
      <c r="K1294" s="25" t="n">
        <v>4</v>
      </c>
      <c r="L1294" s="29" t="n">
        <v>0.75</v>
      </c>
      <c r="M1294" s="30" t="n">
        <v>14.8</v>
      </c>
      <c r="N1294" s="29" t="n">
        <v>0.12</v>
      </c>
      <c r="O1294" s="25" t="n">
        <v>183</v>
      </c>
      <c r="P1294" s="30" t="n">
        <v>1.16</v>
      </c>
      <c r="Q1294" s="27" t="s">
        <v>3648</v>
      </c>
      <c r="R1294" s="27" t="s">
        <v>30</v>
      </c>
    </row>
    <row r="1295" customFormat="false" ht="15" hidden="false" customHeight="false" outlineLevel="0" collapsed="false">
      <c r="A1295" s="25" t="n">
        <f aca="false">IF(G1295="REJECT",COUNTIF($G$2:$G$2277,"&lt;&gt;REJECT")+1+COUNTIFS($G$2:$G$2277,"REJECT",$B$2:$B$2277,"&gt;"&amp;B1295),1+COUNTIFS($G$2:$G$2277,"&lt;&gt;REJECT",$B$2:$B$2277,"&gt;"&amp;B1295))</f>
        <v>1294</v>
      </c>
      <c r="B1295" s="26" t="n">
        <f aca="false">ROUND(($U$2*MAX(0,MIN(1,($W$2-I1295)/($W$2-$V$2)))+$U$3*MAX(0,MIN(1,($W$3-J1295)/($W$3-$V$3)))+$U$4*MAX(0,MIN(1,($W$4-K1295)/($W$4-$V$4)))+$U$5*MAX(0,MIN(1,($W$5-L1295)/($W$5-$V$5)))+$U$6*MAX(0,MIN(1,($W$6-M1295)/($W$6-$V$6)))+$U$7*MAX(0,MIN(1,($W$7-N1295)/($W$7-$V$7)))+$U$8*IF(AND(O1295&gt;=$V$8,O1295&lt;=$W$8),1,0))/$U$9*100,2)</f>
        <v>69.29</v>
      </c>
      <c r="C1295" s="27" t="s">
        <v>2816</v>
      </c>
      <c r="D1295" s="25" t="s">
        <v>134</v>
      </c>
      <c r="E1295" s="25" t="s">
        <v>3447</v>
      </c>
      <c r="F1295" s="25" t="s">
        <v>3457</v>
      </c>
      <c r="G1295" s="38" t="s">
        <v>30</v>
      </c>
      <c r="H1295" s="28" t="s">
        <v>25</v>
      </c>
      <c r="I1295" s="25" t="n">
        <v>3</v>
      </c>
      <c r="J1295" s="25" t="n">
        <v>1</v>
      </c>
      <c r="K1295" s="25" t="n">
        <v>3</v>
      </c>
      <c r="L1295" s="29" t="n">
        <v>0.78</v>
      </c>
      <c r="M1295" s="30" t="n">
        <v>4.58</v>
      </c>
      <c r="N1295" s="29" t="n">
        <v>0</v>
      </c>
      <c r="O1295" s="25" t="n">
        <v>183</v>
      </c>
      <c r="P1295" s="30" t="n">
        <v>7.76</v>
      </c>
      <c r="Q1295" s="27" t="s">
        <v>3649</v>
      </c>
      <c r="R1295" s="27" t="s">
        <v>1099</v>
      </c>
    </row>
    <row r="1296" customFormat="false" ht="15" hidden="false" customHeight="false" outlineLevel="0" collapsed="false">
      <c r="A1296" s="25" t="n">
        <f aca="false">IF(G1296="REJECT",COUNTIF($G$2:$G$2277,"&lt;&gt;REJECT")+1+COUNTIFS($G$2:$G$2277,"REJECT",$B$2:$B$2277,"&gt;"&amp;B1296),1+COUNTIFS($G$2:$G$2277,"&lt;&gt;REJECT",$B$2:$B$2277,"&gt;"&amp;B1296))</f>
        <v>1295</v>
      </c>
      <c r="B1296" s="26" t="n">
        <f aca="false">ROUND(($U$2*MAX(0,MIN(1,($W$2-I1296)/($W$2-$V$2)))+$U$3*MAX(0,MIN(1,($W$3-J1296)/($W$3-$V$3)))+$U$4*MAX(0,MIN(1,($W$4-K1296)/($W$4-$V$4)))+$U$5*MAX(0,MIN(1,($W$5-L1296)/($W$5-$V$5)))+$U$6*MAX(0,MIN(1,($W$6-M1296)/($W$6-$V$6)))+$U$7*MAX(0,MIN(1,($W$7-N1296)/($W$7-$V$7)))+$U$8*IF(AND(O1296&gt;=$V$8,O1296&lt;=$W$8),1,0))/$U$9*100,2)</f>
        <v>69.28</v>
      </c>
      <c r="C1296" s="27" t="s">
        <v>1594</v>
      </c>
      <c r="D1296" s="25" t="s">
        <v>3459</v>
      </c>
      <c r="E1296" s="25" t="s">
        <v>3450</v>
      </c>
      <c r="F1296" s="25" t="s">
        <v>3448</v>
      </c>
      <c r="G1296" s="38" t="s">
        <v>30</v>
      </c>
      <c r="H1296" s="28" t="s">
        <v>25</v>
      </c>
      <c r="I1296" s="25" t="n">
        <v>2</v>
      </c>
      <c r="J1296" s="25" t="n">
        <v>1</v>
      </c>
      <c r="K1296" s="25" t="n">
        <v>2</v>
      </c>
      <c r="L1296" s="29" t="n">
        <v>0.75</v>
      </c>
      <c r="M1296" s="30" t="n">
        <v>22.91</v>
      </c>
      <c r="N1296" s="29" t="n">
        <v>0.84</v>
      </c>
      <c r="O1296" s="25" t="n">
        <v>184</v>
      </c>
      <c r="P1296" s="30" t="n">
        <v>-0.91</v>
      </c>
      <c r="Q1296" s="27" t="s">
        <v>3575</v>
      </c>
      <c r="R1296" s="27" t="s">
        <v>1046</v>
      </c>
    </row>
    <row r="1297" customFormat="false" ht="15" hidden="false" customHeight="false" outlineLevel="0" collapsed="false">
      <c r="A1297" s="25" t="n">
        <f aca="false">IF(G1297="REJECT",COUNTIF($G$2:$G$2277,"&lt;&gt;REJECT")+1+COUNTIFS($G$2:$G$2277,"REJECT",$B$2:$B$2277,"&gt;"&amp;B1297),1+COUNTIFS($G$2:$G$2277,"&lt;&gt;REJECT",$B$2:$B$2277,"&gt;"&amp;B1297))</f>
        <v>1296</v>
      </c>
      <c r="B1297" s="26" t="n">
        <f aca="false">ROUND(($U$2*MAX(0,MIN(1,($W$2-I1297)/($W$2-$V$2)))+$U$3*MAX(0,MIN(1,($W$3-J1297)/($W$3-$V$3)))+$U$4*MAX(0,MIN(1,($W$4-K1297)/($W$4-$V$4)))+$U$5*MAX(0,MIN(1,($W$5-L1297)/($W$5-$V$5)))+$U$6*MAX(0,MIN(1,($W$6-M1297)/($W$6-$V$6)))+$U$7*MAX(0,MIN(1,($W$7-N1297)/($W$7-$V$7)))+$U$8*IF(AND(O1297&gt;=$V$8,O1297&lt;=$W$8),1,0))/$U$9*100,2)</f>
        <v>69.24</v>
      </c>
      <c r="C1297" s="27" t="s">
        <v>2494</v>
      </c>
      <c r="D1297" s="25" t="s">
        <v>134</v>
      </c>
      <c r="E1297" s="25" t="s">
        <v>3447</v>
      </c>
      <c r="F1297" s="25" t="s">
        <v>3448</v>
      </c>
      <c r="G1297" s="38" t="s">
        <v>30</v>
      </c>
      <c r="H1297" s="28" t="s">
        <v>25</v>
      </c>
      <c r="I1297" s="25" t="n">
        <v>4</v>
      </c>
      <c r="J1297" s="25" t="n">
        <v>0</v>
      </c>
      <c r="K1297" s="25" t="n">
        <v>4</v>
      </c>
      <c r="L1297" s="29" t="n">
        <v>0.81</v>
      </c>
      <c r="M1297" s="30" t="n">
        <v>26.14</v>
      </c>
      <c r="N1297" s="29" t="n">
        <v>0.84</v>
      </c>
      <c r="O1297" s="25" t="n">
        <v>183</v>
      </c>
      <c r="P1297" s="30" t="n">
        <v>2.63</v>
      </c>
      <c r="Q1297" s="27" t="s">
        <v>3650</v>
      </c>
      <c r="R1297" s="27" t="s">
        <v>992</v>
      </c>
    </row>
    <row r="1298" customFormat="false" ht="15" hidden="false" customHeight="false" outlineLevel="0" collapsed="false">
      <c r="A1298" s="25" t="n">
        <f aca="false">IF(G1298="REJECT",COUNTIF($G$2:$G$2277,"&lt;&gt;REJECT")+1+COUNTIFS($G$2:$G$2277,"REJECT",$B$2:$B$2277,"&gt;"&amp;B1298),1+COUNTIFS($G$2:$G$2277,"&lt;&gt;REJECT",$B$2:$B$2277,"&gt;"&amp;B1298))</f>
        <v>1297</v>
      </c>
      <c r="B1298" s="26" t="n">
        <f aca="false">ROUND(($U$2*MAX(0,MIN(1,($W$2-I1298)/($W$2-$V$2)))+$U$3*MAX(0,MIN(1,($W$3-J1298)/($W$3-$V$3)))+$U$4*MAX(0,MIN(1,($W$4-K1298)/($W$4-$V$4)))+$U$5*MAX(0,MIN(1,($W$5-L1298)/($W$5-$V$5)))+$U$6*MAX(0,MIN(1,($W$6-M1298)/($W$6-$V$6)))+$U$7*MAX(0,MIN(1,($W$7-N1298)/($W$7-$V$7)))+$U$8*IF(AND(O1298&gt;=$V$8,O1298&lt;=$W$8),1,0))/$U$9*100,2)</f>
        <v>69.23</v>
      </c>
      <c r="C1298" s="27" t="s">
        <v>2788</v>
      </c>
      <c r="D1298" s="25" t="s">
        <v>134</v>
      </c>
      <c r="E1298" s="25" t="s">
        <v>3450</v>
      </c>
      <c r="F1298" s="25" t="s">
        <v>3448</v>
      </c>
      <c r="G1298" s="38" t="s">
        <v>30</v>
      </c>
      <c r="H1298" s="28" t="s">
        <v>25</v>
      </c>
      <c r="I1298" s="25" t="n">
        <v>2</v>
      </c>
      <c r="J1298" s="25" t="n">
        <v>1</v>
      </c>
      <c r="K1298" s="25" t="n">
        <v>2</v>
      </c>
      <c r="L1298" s="29" t="n">
        <v>0.71</v>
      </c>
      <c r="M1298" s="30" t="n">
        <v>8.05</v>
      </c>
      <c r="N1298" s="29" t="n">
        <v>0.92</v>
      </c>
      <c r="O1298" s="25" t="n">
        <v>184</v>
      </c>
      <c r="P1298" s="30" t="n">
        <v>6.99</v>
      </c>
      <c r="Q1298" s="27" t="s">
        <v>3566</v>
      </c>
      <c r="R1298" s="27" t="s">
        <v>283</v>
      </c>
    </row>
    <row r="1299" customFormat="false" ht="15" hidden="false" customHeight="false" outlineLevel="0" collapsed="false">
      <c r="A1299" s="25" t="n">
        <f aca="false">IF(G1299="REJECT",COUNTIF($G$2:$G$2277,"&lt;&gt;REJECT")+1+COUNTIFS($G$2:$G$2277,"REJECT",$B$2:$B$2277,"&gt;"&amp;B1299),1+COUNTIFS($G$2:$G$2277,"&lt;&gt;REJECT",$B$2:$B$2277,"&gt;"&amp;B1299))</f>
        <v>1298</v>
      </c>
      <c r="B1299" s="26" t="n">
        <f aca="false">ROUND(($U$2*MAX(0,MIN(1,($W$2-I1299)/($W$2-$V$2)))+$U$3*MAX(0,MIN(1,($W$3-J1299)/($W$3-$V$3)))+$U$4*MAX(0,MIN(1,($W$4-K1299)/($W$4-$V$4)))+$U$5*MAX(0,MIN(1,($W$5-L1299)/($W$5-$V$5)))+$U$6*MAX(0,MIN(1,($W$6-M1299)/($W$6-$V$6)))+$U$7*MAX(0,MIN(1,($W$7-N1299)/($W$7-$V$7)))+$U$8*IF(AND(O1299&gt;=$V$8,O1299&lt;=$W$8),1,0))/$U$9*100,2)</f>
        <v>69.15</v>
      </c>
      <c r="C1299" s="27" t="s">
        <v>2061</v>
      </c>
      <c r="D1299" s="25" t="s">
        <v>134</v>
      </c>
      <c r="E1299" s="25" t="s">
        <v>3447</v>
      </c>
      <c r="F1299" s="25" t="s">
        <v>3448</v>
      </c>
      <c r="G1299" s="38" t="s">
        <v>30</v>
      </c>
      <c r="H1299" s="28" t="s">
        <v>25</v>
      </c>
      <c r="I1299" s="25" t="n">
        <v>2</v>
      </c>
      <c r="J1299" s="25" t="n">
        <v>1</v>
      </c>
      <c r="K1299" s="25" t="n">
        <v>2</v>
      </c>
      <c r="L1299" s="29" t="n">
        <v>0.73</v>
      </c>
      <c r="M1299" s="30" t="n">
        <v>24.93</v>
      </c>
      <c r="N1299" s="29" t="n">
        <v>0</v>
      </c>
      <c r="O1299" s="25" t="n">
        <v>186</v>
      </c>
      <c r="P1299" s="30" t="n">
        <v>9.29</v>
      </c>
      <c r="Q1299" s="27" t="s">
        <v>3566</v>
      </c>
      <c r="R1299" s="27" t="s">
        <v>183</v>
      </c>
    </row>
    <row r="1300" customFormat="false" ht="15" hidden="false" customHeight="false" outlineLevel="0" collapsed="false">
      <c r="A1300" s="25" t="n">
        <f aca="false">IF(G1300="REJECT",COUNTIF($G$2:$G$2277,"&lt;&gt;REJECT")+1+COUNTIFS($G$2:$G$2277,"REJECT",$B$2:$B$2277,"&gt;"&amp;B1300),1+COUNTIFS($G$2:$G$2277,"&lt;&gt;REJECT",$B$2:$B$2277,"&gt;"&amp;B1300))</f>
        <v>1299</v>
      </c>
      <c r="B1300" s="26" t="n">
        <f aca="false">ROUND(($U$2*MAX(0,MIN(1,($W$2-I1300)/($W$2-$V$2)))+$U$3*MAX(0,MIN(1,($W$3-J1300)/($W$3-$V$3)))+$U$4*MAX(0,MIN(1,($W$4-K1300)/($W$4-$V$4)))+$U$5*MAX(0,MIN(1,($W$5-L1300)/($W$5-$V$5)))+$U$6*MAX(0,MIN(1,($W$6-M1300)/($W$6-$V$6)))+$U$7*MAX(0,MIN(1,($W$7-N1300)/($W$7-$V$7)))+$U$8*IF(AND(O1300&gt;=$V$8,O1300&lt;=$W$8),1,0))/$U$9*100,2)</f>
        <v>69.09</v>
      </c>
      <c r="C1300" s="27" t="s">
        <v>1340</v>
      </c>
      <c r="D1300" s="25" t="s">
        <v>134</v>
      </c>
      <c r="E1300" s="25" t="s">
        <v>3447</v>
      </c>
      <c r="F1300" s="25" t="s">
        <v>3448</v>
      </c>
      <c r="G1300" s="38" t="s">
        <v>30</v>
      </c>
      <c r="H1300" s="33" t="s">
        <v>24</v>
      </c>
      <c r="I1300" s="25" t="n">
        <v>4</v>
      </c>
      <c r="J1300" s="25" t="n">
        <v>0</v>
      </c>
      <c r="K1300" s="25" t="n">
        <v>4</v>
      </c>
      <c r="L1300" s="29" t="n">
        <v>0.74</v>
      </c>
      <c r="M1300" s="30" t="n">
        <v>13.86</v>
      </c>
      <c r="N1300" s="29" t="n">
        <v>0</v>
      </c>
      <c r="O1300" s="25" t="n">
        <v>182</v>
      </c>
      <c r="P1300" s="30" t="n">
        <v>1.47</v>
      </c>
      <c r="Q1300" s="27" t="s">
        <v>3651</v>
      </c>
      <c r="R1300" s="27" t="s">
        <v>30</v>
      </c>
    </row>
    <row r="1301" customFormat="false" ht="15" hidden="false" customHeight="false" outlineLevel="0" collapsed="false">
      <c r="A1301" s="25" t="n">
        <f aca="false">IF(G1301="REJECT",COUNTIF($G$2:$G$2277,"&lt;&gt;REJECT")+1+COUNTIFS($G$2:$G$2277,"REJECT",$B$2:$B$2277,"&gt;"&amp;B1301),1+COUNTIFS($G$2:$G$2277,"&lt;&gt;REJECT",$B$2:$B$2277,"&gt;"&amp;B1301))</f>
        <v>1300</v>
      </c>
      <c r="B1301" s="26" t="n">
        <f aca="false">ROUND(($U$2*MAX(0,MIN(1,($W$2-I1301)/($W$2-$V$2)))+$U$3*MAX(0,MIN(1,($W$3-J1301)/($W$3-$V$3)))+$U$4*MAX(0,MIN(1,($W$4-K1301)/($W$4-$V$4)))+$U$5*MAX(0,MIN(1,($W$5-L1301)/($W$5-$V$5)))+$U$6*MAX(0,MIN(1,($W$6-M1301)/($W$6-$V$6)))+$U$7*MAX(0,MIN(1,($W$7-N1301)/($W$7-$V$7)))+$U$8*IF(AND(O1301&gt;=$V$8,O1301&lt;=$W$8),1,0))/$U$9*100,2)</f>
        <v>69.07</v>
      </c>
      <c r="C1301" s="27" t="s">
        <v>663</v>
      </c>
      <c r="D1301" s="25" t="s">
        <v>134</v>
      </c>
      <c r="E1301" s="25" t="s">
        <v>3447</v>
      </c>
      <c r="F1301" s="25" t="s">
        <v>3448</v>
      </c>
      <c r="G1301" s="38" t="s">
        <v>30</v>
      </c>
      <c r="H1301" s="28" t="s">
        <v>25</v>
      </c>
      <c r="I1301" s="25" t="n">
        <v>2</v>
      </c>
      <c r="J1301" s="25" t="n">
        <v>1</v>
      </c>
      <c r="K1301" s="25" t="n">
        <v>2</v>
      </c>
      <c r="L1301" s="29" t="n">
        <v>0.69</v>
      </c>
      <c r="M1301" s="30" t="n">
        <v>11</v>
      </c>
      <c r="N1301" s="29" t="n">
        <v>0</v>
      </c>
      <c r="O1301" s="25" t="n">
        <v>186</v>
      </c>
      <c r="P1301" s="30" t="n">
        <v>5.9</v>
      </c>
      <c r="Q1301" s="27" t="s">
        <v>3566</v>
      </c>
      <c r="R1301" s="27" t="s">
        <v>283</v>
      </c>
    </row>
    <row r="1302" customFormat="false" ht="15" hidden="false" customHeight="false" outlineLevel="0" collapsed="false">
      <c r="A1302" s="25" t="n">
        <f aca="false">IF(G1302="REJECT",COUNTIF($G$2:$G$2277,"&lt;&gt;REJECT")+1+COUNTIFS($G$2:$G$2277,"REJECT",$B$2:$B$2277,"&gt;"&amp;B1302),1+COUNTIFS($G$2:$G$2277,"&lt;&gt;REJECT",$B$2:$B$2277,"&gt;"&amp;B1302))</f>
        <v>1301</v>
      </c>
      <c r="B1302" s="26" t="n">
        <f aca="false">ROUND(($U$2*MAX(0,MIN(1,($W$2-I1302)/($W$2-$V$2)))+$U$3*MAX(0,MIN(1,($W$3-J1302)/($W$3-$V$3)))+$U$4*MAX(0,MIN(1,($W$4-K1302)/($W$4-$V$4)))+$U$5*MAX(0,MIN(1,($W$5-L1302)/($W$5-$V$5)))+$U$6*MAX(0,MIN(1,($W$6-M1302)/($W$6-$V$6)))+$U$7*MAX(0,MIN(1,($W$7-N1302)/($W$7-$V$7)))+$U$8*IF(AND(O1302&gt;=$V$8,O1302&lt;=$W$8),1,0))/$U$9*100,2)</f>
        <v>69.05</v>
      </c>
      <c r="C1302" s="27" t="s">
        <v>818</v>
      </c>
      <c r="D1302" s="25" t="s">
        <v>134</v>
      </c>
      <c r="E1302" s="25" t="s">
        <v>3450</v>
      </c>
      <c r="F1302" s="25" t="s">
        <v>3457</v>
      </c>
      <c r="G1302" s="38" t="s">
        <v>30</v>
      </c>
      <c r="H1302" s="28" t="s">
        <v>25</v>
      </c>
      <c r="I1302" s="25" t="n">
        <v>2</v>
      </c>
      <c r="J1302" s="25" t="n">
        <v>1</v>
      </c>
      <c r="K1302" s="25" t="n">
        <v>2</v>
      </c>
      <c r="L1302" s="29" t="n">
        <v>0.72</v>
      </c>
      <c r="M1302" s="30" t="n">
        <v>15.88</v>
      </c>
      <c r="N1302" s="29" t="n">
        <v>0.6</v>
      </c>
      <c r="O1302" s="25" t="n">
        <v>201</v>
      </c>
      <c r="P1302" s="30" t="n">
        <v>0.39</v>
      </c>
      <c r="Q1302" s="27" t="s">
        <v>3575</v>
      </c>
      <c r="R1302" s="27" t="s">
        <v>197</v>
      </c>
    </row>
    <row r="1303" customFormat="false" ht="15" hidden="false" customHeight="false" outlineLevel="0" collapsed="false">
      <c r="A1303" s="25" t="n">
        <f aca="false">IF(G1303="REJECT",COUNTIF($G$2:$G$2277,"&lt;&gt;REJECT")+1+COUNTIFS($G$2:$G$2277,"REJECT",$B$2:$B$2277,"&gt;"&amp;B1303),1+COUNTIFS($G$2:$G$2277,"&lt;&gt;REJECT",$B$2:$B$2277,"&gt;"&amp;B1303))</f>
        <v>1301</v>
      </c>
      <c r="B1303" s="26" t="n">
        <f aca="false">ROUND(($U$2*MAX(0,MIN(1,($W$2-I1303)/($W$2-$V$2)))+$U$3*MAX(0,MIN(1,($W$3-J1303)/($W$3-$V$3)))+$U$4*MAX(0,MIN(1,($W$4-K1303)/($W$4-$V$4)))+$U$5*MAX(0,MIN(1,($W$5-L1303)/($W$5-$V$5)))+$U$6*MAX(0,MIN(1,($W$6-M1303)/($W$6-$V$6)))+$U$7*MAX(0,MIN(1,($W$7-N1303)/($W$7-$V$7)))+$U$8*IF(AND(O1303&gt;=$V$8,O1303&lt;=$W$8),1,0))/$U$9*100,2)</f>
        <v>69.05</v>
      </c>
      <c r="C1303" s="27" t="s">
        <v>1190</v>
      </c>
      <c r="D1303" s="25" t="s">
        <v>3459</v>
      </c>
      <c r="E1303" s="25" t="s">
        <v>3447</v>
      </c>
      <c r="F1303" s="25" t="s">
        <v>3448</v>
      </c>
      <c r="G1303" s="38" t="s">
        <v>30</v>
      </c>
      <c r="H1303" s="33" t="s">
        <v>24</v>
      </c>
      <c r="I1303" s="25" t="n">
        <v>3</v>
      </c>
      <c r="J1303" s="25" t="n">
        <v>0</v>
      </c>
      <c r="K1303" s="25" t="n">
        <v>3</v>
      </c>
      <c r="L1303" s="29" t="n">
        <v>0.64</v>
      </c>
      <c r="M1303" s="30" t="n">
        <v>13.98</v>
      </c>
      <c r="N1303" s="29" t="n">
        <v>0.16</v>
      </c>
      <c r="O1303" s="25" t="n">
        <v>183</v>
      </c>
      <c r="P1303" s="30" t="n">
        <v>-0.93</v>
      </c>
      <c r="Q1303" s="27" t="s">
        <v>3652</v>
      </c>
      <c r="R1303" s="27" t="s">
        <v>30</v>
      </c>
    </row>
    <row r="1304" customFormat="false" ht="15" hidden="false" customHeight="false" outlineLevel="0" collapsed="false">
      <c r="A1304" s="25" t="n">
        <f aca="false">IF(G1304="REJECT",COUNTIF($G$2:$G$2277,"&lt;&gt;REJECT")+1+COUNTIFS($G$2:$G$2277,"REJECT",$B$2:$B$2277,"&gt;"&amp;B1304),1+COUNTIFS($G$2:$G$2277,"&lt;&gt;REJECT",$B$2:$B$2277,"&gt;"&amp;B1304))</f>
        <v>1303</v>
      </c>
      <c r="B1304" s="26" t="n">
        <f aca="false">ROUND(($U$2*MAX(0,MIN(1,($W$2-I1304)/($W$2-$V$2)))+$U$3*MAX(0,MIN(1,($W$3-J1304)/($W$3-$V$3)))+$U$4*MAX(0,MIN(1,($W$4-K1304)/($W$4-$V$4)))+$U$5*MAX(0,MIN(1,($W$5-L1304)/($W$5-$V$5)))+$U$6*MAX(0,MIN(1,($W$6-M1304)/($W$6-$V$6)))+$U$7*MAX(0,MIN(1,($W$7-N1304)/($W$7-$V$7)))+$U$8*IF(AND(O1304&gt;=$V$8,O1304&lt;=$W$8),1,0))/$U$9*100,2)</f>
        <v>69.03</v>
      </c>
      <c r="C1304" s="27" t="s">
        <v>720</v>
      </c>
      <c r="D1304" s="25" t="s">
        <v>134</v>
      </c>
      <c r="E1304" s="25" t="s">
        <v>3447</v>
      </c>
      <c r="F1304" s="25" t="s">
        <v>3457</v>
      </c>
      <c r="G1304" s="38" t="s">
        <v>30</v>
      </c>
      <c r="H1304" s="28" t="s">
        <v>25</v>
      </c>
      <c r="I1304" s="25" t="n">
        <v>2</v>
      </c>
      <c r="J1304" s="25" t="n">
        <v>1</v>
      </c>
      <c r="K1304" s="25" t="n">
        <v>2</v>
      </c>
      <c r="L1304" s="29" t="n">
        <v>0.73</v>
      </c>
      <c r="M1304" s="30" t="n">
        <v>16.05</v>
      </c>
      <c r="N1304" s="29" t="n">
        <v>0.96</v>
      </c>
      <c r="O1304" s="25" t="n">
        <v>184</v>
      </c>
      <c r="P1304" s="30" t="n">
        <v>-1.11</v>
      </c>
      <c r="Q1304" s="27" t="s">
        <v>3566</v>
      </c>
      <c r="R1304" s="27" t="s">
        <v>1152</v>
      </c>
    </row>
    <row r="1305" customFormat="false" ht="15" hidden="false" customHeight="false" outlineLevel="0" collapsed="false">
      <c r="A1305" s="25" t="n">
        <f aca="false">IF(G1305="REJECT",COUNTIF($G$2:$G$2277,"&lt;&gt;REJECT")+1+COUNTIFS($G$2:$G$2277,"REJECT",$B$2:$B$2277,"&gt;"&amp;B1305),1+COUNTIFS($G$2:$G$2277,"&lt;&gt;REJECT",$B$2:$B$2277,"&gt;"&amp;B1305))</f>
        <v>1304</v>
      </c>
      <c r="B1305" s="26" t="n">
        <f aca="false">ROUND(($U$2*MAX(0,MIN(1,($W$2-I1305)/($W$2-$V$2)))+$U$3*MAX(0,MIN(1,($W$3-J1305)/($W$3-$V$3)))+$U$4*MAX(0,MIN(1,($W$4-K1305)/($W$4-$V$4)))+$U$5*MAX(0,MIN(1,($W$5-L1305)/($W$5-$V$5)))+$U$6*MAX(0,MIN(1,($W$6-M1305)/($W$6-$V$6)))+$U$7*MAX(0,MIN(1,($W$7-N1305)/($W$7-$V$7)))+$U$8*IF(AND(O1305&gt;=$V$8,O1305&lt;=$W$8),1,0))/$U$9*100,2)</f>
        <v>69.02</v>
      </c>
      <c r="C1305" s="27" t="s">
        <v>852</v>
      </c>
      <c r="D1305" s="25" t="s">
        <v>3459</v>
      </c>
      <c r="E1305" s="25" t="s">
        <v>3450</v>
      </c>
      <c r="F1305" s="25" t="s">
        <v>3448</v>
      </c>
      <c r="G1305" s="38" t="s">
        <v>30</v>
      </c>
      <c r="H1305" s="28" t="s">
        <v>25</v>
      </c>
      <c r="I1305" s="25" t="n">
        <v>2</v>
      </c>
      <c r="J1305" s="25" t="n">
        <v>1</v>
      </c>
      <c r="K1305" s="25" t="n">
        <v>2</v>
      </c>
      <c r="L1305" s="29" t="n">
        <v>0.75</v>
      </c>
      <c r="M1305" s="30" t="n">
        <v>27.68</v>
      </c>
      <c r="N1305" s="29" t="n">
        <v>0.52</v>
      </c>
      <c r="O1305" s="25" t="n">
        <v>186</v>
      </c>
      <c r="P1305" s="30" t="n">
        <v>5.29</v>
      </c>
      <c r="Q1305" s="27" t="s">
        <v>3575</v>
      </c>
      <c r="R1305" s="27" t="s">
        <v>183</v>
      </c>
    </row>
    <row r="1306" customFormat="false" ht="15" hidden="false" customHeight="false" outlineLevel="0" collapsed="false">
      <c r="A1306" s="25" t="n">
        <f aca="false">IF(G1306="REJECT",COUNTIF($G$2:$G$2277,"&lt;&gt;REJECT")+1+COUNTIFS($G$2:$G$2277,"REJECT",$B$2:$B$2277,"&gt;"&amp;B1306),1+COUNTIFS($G$2:$G$2277,"&lt;&gt;REJECT",$B$2:$B$2277,"&gt;"&amp;B1306))</f>
        <v>1305</v>
      </c>
      <c r="B1306" s="26" t="n">
        <f aca="false">ROUND(($U$2*MAX(0,MIN(1,($W$2-I1306)/($W$2-$V$2)))+$U$3*MAX(0,MIN(1,($W$3-J1306)/($W$3-$V$3)))+$U$4*MAX(0,MIN(1,($W$4-K1306)/($W$4-$V$4)))+$U$5*MAX(0,MIN(1,($W$5-L1306)/($W$5-$V$5)))+$U$6*MAX(0,MIN(1,($W$6-M1306)/($W$6-$V$6)))+$U$7*MAX(0,MIN(1,($W$7-N1306)/($W$7-$V$7)))+$U$8*IF(AND(O1306&gt;=$V$8,O1306&lt;=$W$8),1,0))/$U$9*100,2)</f>
        <v>68.89</v>
      </c>
      <c r="C1306" s="27" t="s">
        <v>3045</v>
      </c>
      <c r="D1306" s="25" t="s">
        <v>134</v>
      </c>
      <c r="E1306" s="25" t="s">
        <v>3450</v>
      </c>
      <c r="F1306" s="25" t="s">
        <v>3448</v>
      </c>
      <c r="G1306" s="38" t="s">
        <v>30</v>
      </c>
      <c r="H1306" s="28" t="s">
        <v>25</v>
      </c>
      <c r="I1306" s="25" t="n">
        <v>2</v>
      </c>
      <c r="J1306" s="25" t="n">
        <v>1</v>
      </c>
      <c r="K1306" s="25" t="n">
        <v>2</v>
      </c>
      <c r="L1306" s="29" t="n">
        <v>0.7</v>
      </c>
      <c r="M1306" s="30" t="n">
        <v>10.46</v>
      </c>
      <c r="N1306" s="29" t="n">
        <v>0.52</v>
      </c>
      <c r="O1306" s="25" t="n">
        <v>183</v>
      </c>
      <c r="P1306" s="30" t="n">
        <v>10.32</v>
      </c>
      <c r="Q1306" s="27" t="s">
        <v>3566</v>
      </c>
      <c r="R1306" s="27" t="s">
        <v>1152</v>
      </c>
    </row>
    <row r="1307" customFormat="false" ht="15" hidden="false" customHeight="false" outlineLevel="0" collapsed="false">
      <c r="A1307" s="25" t="n">
        <f aca="false">IF(G1307="REJECT",COUNTIF($G$2:$G$2277,"&lt;&gt;REJECT")+1+COUNTIFS($G$2:$G$2277,"REJECT",$B$2:$B$2277,"&gt;"&amp;B1307),1+COUNTIFS($G$2:$G$2277,"&lt;&gt;REJECT",$B$2:$B$2277,"&gt;"&amp;B1307))</f>
        <v>1306</v>
      </c>
      <c r="B1307" s="26" t="n">
        <f aca="false">ROUND(($U$2*MAX(0,MIN(1,($W$2-I1307)/($W$2-$V$2)))+$U$3*MAX(0,MIN(1,($W$3-J1307)/($W$3-$V$3)))+$U$4*MAX(0,MIN(1,($W$4-K1307)/($W$4-$V$4)))+$U$5*MAX(0,MIN(1,($W$5-L1307)/($W$5-$V$5)))+$U$6*MAX(0,MIN(1,($W$6-M1307)/($W$6-$V$6)))+$U$7*MAX(0,MIN(1,($W$7-N1307)/($W$7-$V$7)))+$U$8*IF(AND(O1307&gt;=$V$8,O1307&lt;=$W$8),1,0))/$U$9*100,2)</f>
        <v>68.79</v>
      </c>
      <c r="C1307" s="27" t="s">
        <v>1961</v>
      </c>
      <c r="D1307" s="25" t="s">
        <v>134</v>
      </c>
      <c r="E1307" s="25" t="s">
        <v>3447</v>
      </c>
      <c r="F1307" s="25" t="s">
        <v>3457</v>
      </c>
      <c r="G1307" s="38" t="s">
        <v>30</v>
      </c>
      <c r="H1307" s="33" t="s">
        <v>24</v>
      </c>
      <c r="I1307" s="25" t="n">
        <v>4</v>
      </c>
      <c r="J1307" s="25" t="n">
        <v>0</v>
      </c>
      <c r="K1307" s="25" t="n">
        <v>4</v>
      </c>
      <c r="L1307" s="29" t="n">
        <v>0.73</v>
      </c>
      <c r="M1307" s="30" t="n">
        <v>10.07</v>
      </c>
      <c r="N1307" s="29" t="n">
        <v>0.2</v>
      </c>
      <c r="O1307" s="25" t="n">
        <v>182</v>
      </c>
      <c r="P1307" s="30" t="n">
        <v>-1.16</v>
      </c>
      <c r="Q1307" s="27" t="s">
        <v>3648</v>
      </c>
      <c r="R1307" s="27" t="s">
        <v>30</v>
      </c>
    </row>
    <row r="1308" customFormat="false" ht="15" hidden="false" customHeight="false" outlineLevel="0" collapsed="false">
      <c r="A1308" s="25" t="n">
        <f aca="false">IF(G1308="REJECT",COUNTIF($G$2:$G$2277,"&lt;&gt;REJECT")+1+COUNTIFS($G$2:$G$2277,"REJECT",$B$2:$B$2277,"&gt;"&amp;B1308),1+COUNTIFS($G$2:$G$2277,"&lt;&gt;REJECT",$B$2:$B$2277,"&gt;"&amp;B1308))</f>
        <v>1307</v>
      </c>
      <c r="B1308" s="26" t="n">
        <f aca="false">ROUND(($U$2*MAX(0,MIN(1,($W$2-I1308)/($W$2-$V$2)))+$U$3*MAX(0,MIN(1,($W$3-J1308)/($W$3-$V$3)))+$U$4*MAX(0,MIN(1,($W$4-K1308)/($W$4-$V$4)))+$U$5*MAX(0,MIN(1,($W$5-L1308)/($W$5-$V$5)))+$U$6*MAX(0,MIN(1,($W$6-M1308)/($W$6-$V$6)))+$U$7*MAX(0,MIN(1,($W$7-N1308)/($W$7-$V$7)))+$U$8*IF(AND(O1308&gt;=$V$8,O1308&lt;=$W$8),1,0))/$U$9*100,2)</f>
        <v>68.77</v>
      </c>
      <c r="C1308" s="27" t="s">
        <v>1423</v>
      </c>
      <c r="D1308" s="25" t="s">
        <v>134</v>
      </c>
      <c r="E1308" s="25" t="s">
        <v>3450</v>
      </c>
      <c r="F1308" s="25" t="s">
        <v>3448</v>
      </c>
      <c r="G1308" s="38" t="s">
        <v>30</v>
      </c>
      <c r="H1308" s="28" t="s">
        <v>25</v>
      </c>
      <c r="I1308" s="25" t="n">
        <v>2</v>
      </c>
      <c r="J1308" s="25" t="n">
        <v>1</v>
      </c>
      <c r="K1308" s="25" t="n">
        <v>2</v>
      </c>
      <c r="L1308" s="29" t="n">
        <v>0.71</v>
      </c>
      <c r="M1308" s="30" t="n">
        <v>12.38</v>
      </c>
      <c r="N1308" s="29" t="n">
        <v>0.76</v>
      </c>
      <c r="O1308" s="25" t="n">
        <v>183</v>
      </c>
      <c r="P1308" s="30" t="n">
        <v>14.55</v>
      </c>
      <c r="Q1308" s="27" t="s">
        <v>3575</v>
      </c>
      <c r="R1308" s="27" t="s">
        <v>283</v>
      </c>
    </row>
    <row r="1309" customFormat="false" ht="15" hidden="false" customHeight="false" outlineLevel="0" collapsed="false">
      <c r="A1309" s="25" t="n">
        <f aca="false">IF(G1309="REJECT",COUNTIF($G$2:$G$2277,"&lt;&gt;REJECT")+1+COUNTIFS($G$2:$G$2277,"REJECT",$B$2:$B$2277,"&gt;"&amp;B1309),1+COUNTIFS($G$2:$G$2277,"&lt;&gt;REJECT",$B$2:$B$2277,"&gt;"&amp;B1309))</f>
        <v>1308</v>
      </c>
      <c r="B1309" s="26" t="n">
        <f aca="false">ROUND(($U$2*MAX(0,MIN(1,($W$2-I1309)/($W$2-$V$2)))+$U$3*MAX(0,MIN(1,($W$3-J1309)/($W$3-$V$3)))+$U$4*MAX(0,MIN(1,($W$4-K1309)/($W$4-$V$4)))+$U$5*MAX(0,MIN(1,($W$5-L1309)/($W$5-$V$5)))+$U$6*MAX(0,MIN(1,($W$6-M1309)/($W$6-$V$6)))+$U$7*MAX(0,MIN(1,($W$7-N1309)/($W$7-$V$7)))+$U$8*IF(AND(O1309&gt;=$V$8,O1309&lt;=$W$8),1,0))/$U$9*100,2)</f>
        <v>68.76</v>
      </c>
      <c r="C1309" s="27" t="s">
        <v>720</v>
      </c>
      <c r="D1309" s="25" t="s">
        <v>134</v>
      </c>
      <c r="E1309" s="25" t="s">
        <v>3450</v>
      </c>
      <c r="F1309" s="25" t="s">
        <v>3457</v>
      </c>
      <c r="G1309" s="38" t="s">
        <v>30</v>
      </c>
      <c r="H1309" s="28" t="s">
        <v>25</v>
      </c>
      <c r="I1309" s="25" t="n">
        <v>2</v>
      </c>
      <c r="J1309" s="25" t="n">
        <v>1</v>
      </c>
      <c r="K1309" s="25" t="n">
        <v>2</v>
      </c>
      <c r="L1309" s="29" t="n">
        <v>0.71</v>
      </c>
      <c r="M1309" s="30" t="n">
        <v>18.82</v>
      </c>
      <c r="N1309" s="29" t="n">
        <v>0.12</v>
      </c>
      <c r="O1309" s="25" t="n">
        <v>183</v>
      </c>
      <c r="P1309" s="30" t="n">
        <v>5.8</v>
      </c>
      <c r="Q1309" s="27" t="s">
        <v>3566</v>
      </c>
      <c r="R1309" s="27" t="s">
        <v>1152</v>
      </c>
    </row>
    <row r="1310" customFormat="false" ht="15" hidden="false" customHeight="false" outlineLevel="0" collapsed="false">
      <c r="A1310" s="25" t="n">
        <f aca="false">IF(G1310="REJECT",COUNTIF($G$2:$G$2277,"&lt;&gt;REJECT")+1+COUNTIFS($G$2:$G$2277,"REJECT",$B$2:$B$2277,"&gt;"&amp;B1310),1+COUNTIFS($G$2:$G$2277,"&lt;&gt;REJECT",$B$2:$B$2277,"&gt;"&amp;B1310))</f>
        <v>1309</v>
      </c>
      <c r="B1310" s="26" t="n">
        <f aca="false">ROUND(($U$2*MAX(0,MIN(1,($W$2-I1310)/($W$2-$V$2)))+$U$3*MAX(0,MIN(1,($W$3-J1310)/($W$3-$V$3)))+$U$4*MAX(0,MIN(1,($W$4-K1310)/($W$4-$V$4)))+$U$5*MAX(0,MIN(1,($W$5-L1310)/($W$5-$V$5)))+$U$6*MAX(0,MIN(1,($W$6-M1310)/($W$6-$V$6)))+$U$7*MAX(0,MIN(1,($W$7-N1310)/($W$7-$V$7)))+$U$8*IF(AND(O1310&gt;=$V$8,O1310&lt;=$W$8),1,0))/$U$9*100,2)</f>
        <v>68.74</v>
      </c>
      <c r="C1310" s="27" t="s">
        <v>2586</v>
      </c>
      <c r="D1310" s="25" t="s">
        <v>3459</v>
      </c>
      <c r="E1310" s="25" t="s">
        <v>3450</v>
      </c>
      <c r="F1310" s="25" t="s">
        <v>3448</v>
      </c>
      <c r="G1310" s="38" t="s">
        <v>30</v>
      </c>
      <c r="H1310" s="28" t="s">
        <v>25</v>
      </c>
      <c r="I1310" s="25" t="n">
        <v>2</v>
      </c>
      <c r="J1310" s="25" t="n">
        <v>1</v>
      </c>
      <c r="K1310" s="25" t="n">
        <v>2</v>
      </c>
      <c r="L1310" s="29" t="n">
        <v>0.74</v>
      </c>
      <c r="M1310" s="30" t="n">
        <v>26.57</v>
      </c>
      <c r="N1310" s="29" t="n">
        <v>0.44</v>
      </c>
      <c r="O1310" s="25" t="n">
        <v>187</v>
      </c>
      <c r="P1310" s="30" t="n">
        <v>7.06</v>
      </c>
      <c r="Q1310" s="27" t="s">
        <v>3575</v>
      </c>
      <c r="R1310" s="27" t="s">
        <v>183</v>
      </c>
    </row>
    <row r="1311" customFormat="false" ht="15" hidden="false" customHeight="false" outlineLevel="0" collapsed="false">
      <c r="A1311" s="25" t="n">
        <f aca="false">IF(G1311="REJECT",COUNTIF($G$2:$G$2277,"&lt;&gt;REJECT")+1+COUNTIFS($G$2:$G$2277,"REJECT",$B$2:$B$2277,"&gt;"&amp;B1311),1+COUNTIFS($G$2:$G$2277,"&lt;&gt;REJECT",$B$2:$B$2277,"&gt;"&amp;B1311))</f>
        <v>1310</v>
      </c>
      <c r="B1311" s="26" t="n">
        <f aca="false">ROUND(($U$2*MAX(0,MIN(1,($W$2-I1311)/($W$2-$V$2)))+$U$3*MAX(0,MIN(1,($W$3-J1311)/($W$3-$V$3)))+$U$4*MAX(0,MIN(1,($W$4-K1311)/($W$4-$V$4)))+$U$5*MAX(0,MIN(1,($W$5-L1311)/($W$5-$V$5)))+$U$6*MAX(0,MIN(1,($W$6-M1311)/($W$6-$V$6)))+$U$7*MAX(0,MIN(1,($W$7-N1311)/($W$7-$V$7)))+$U$8*IF(AND(O1311&gt;=$V$8,O1311&lt;=$W$8),1,0))/$U$9*100,2)</f>
        <v>68.7</v>
      </c>
      <c r="C1311" s="27" t="s">
        <v>1380</v>
      </c>
      <c r="D1311" s="25" t="s">
        <v>134</v>
      </c>
      <c r="E1311" s="25" t="s">
        <v>3450</v>
      </c>
      <c r="F1311" s="25" t="s">
        <v>3448</v>
      </c>
      <c r="G1311" s="38" t="s">
        <v>30</v>
      </c>
      <c r="H1311" s="28" t="s">
        <v>25</v>
      </c>
      <c r="I1311" s="25" t="n">
        <v>2</v>
      </c>
      <c r="J1311" s="25" t="n">
        <v>1</v>
      </c>
      <c r="K1311" s="25" t="n">
        <v>2</v>
      </c>
      <c r="L1311" s="29" t="n">
        <v>0.74</v>
      </c>
      <c r="M1311" s="30" t="n">
        <v>33.94</v>
      </c>
      <c r="N1311" s="29" t="n">
        <v>0.12</v>
      </c>
      <c r="O1311" s="25" t="n">
        <v>240</v>
      </c>
      <c r="P1311" s="30" t="n">
        <v>13.46</v>
      </c>
      <c r="Q1311" s="27" t="s">
        <v>3575</v>
      </c>
      <c r="R1311" s="27" t="s">
        <v>1140</v>
      </c>
    </row>
    <row r="1312" customFormat="false" ht="15" hidden="false" customHeight="false" outlineLevel="0" collapsed="false">
      <c r="A1312" s="25" t="n">
        <f aca="false">IF(G1312="REJECT",COUNTIF($G$2:$G$2277,"&lt;&gt;REJECT")+1+COUNTIFS($G$2:$G$2277,"REJECT",$B$2:$B$2277,"&gt;"&amp;B1312),1+COUNTIFS($G$2:$G$2277,"&lt;&gt;REJECT",$B$2:$B$2277,"&gt;"&amp;B1312))</f>
        <v>1310</v>
      </c>
      <c r="B1312" s="26" t="n">
        <f aca="false">ROUND(($U$2*MAX(0,MIN(1,($W$2-I1312)/($W$2-$V$2)))+$U$3*MAX(0,MIN(1,($W$3-J1312)/($W$3-$V$3)))+$U$4*MAX(0,MIN(1,($W$4-K1312)/($W$4-$V$4)))+$U$5*MAX(0,MIN(1,($W$5-L1312)/($W$5-$V$5)))+$U$6*MAX(0,MIN(1,($W$6-M1312)/($W$6-$V$6)))+$U$7*MAX(0,MIN(1,($W$7-N1312)/($W$7-$V$7)))+$U$8*IF(AND(O1312&gt;=$V$8,O1312&lt;=$W$8),1,0))/$U$9*100,2)</f>
        <v>68.7</v>
      </c>
      <c r="C1312" s="27" t="s">
        <v>1572</v>
      </c>
      <c r="D1312" s="25" t="s">
        <v>134</v>
      </c>
      <c r="E1312" s="25" t="s">
        <v>3447</v>
      </c>
      <c r="F1312" s="25" t="s">
        <v>3457</v>
      </c>
      <c r="G1312" s="38" t="s">
        <v>30</v>
      </c>
      <c r="H1312" s="33" t="s">
        <v>24</v>
      </c>
      <c r="I1312" s="25" t="n">
        <v>4</v>
      </c>
      <c r="J1312" s="25" t="n">
        <v>0</v>
      </c>
      <c r="K1312" s="25" t="n">
        <v>4</v>
      </c>
      <c r="L1312" s="29" t="n">
        <v>0.74</v>
      </c>
      <c r="M1312" s="30" t="n">
        <v>14.21</v>
      </c>
      <c r="N1312" s="29" t="n">
        <v>0.2</v>
      </c>
      <c r="O1312" s="25" t="n">
        <v>183</v>
      </c>
      <c r="P1312" s="30" t="n">
        <v>8.19</v>
      </c>
      <c r="Q1312" s="27" t="s">
        <v>3618</v>
      </c>
      <c r="R1312" s="27" t="s">
        <v>30</v>
      </c>
    </row>
    <row r="1313" customFormat="false" ht="15" hidden="false" customHeight="false" outlineLevel="0" collapsed="false">
      <c r="A1313" s="25" t="n">
        <f aca="false">IF(G1313="REJECT",COUNTIF($G$2:$G$2277,"&lt;&gt;REJECT")+1+COUNTIFS($G$2:$G$2277,"REJECT",$B$2:$B$2277,"&gt;"&amp;B1313),1+COUNTIFS($G$2:$G$2277,"&lt;&gt;REJECT",$B$2:$B$2277,"&gt;"&amp;B1313))</f>
        <v>1312</v>
      </c>
      <c r="B1313" s="26" t="n">
        <f aca="false">ROUND(($U$2*MAX(0,MIN(1,($W$2-I1313)/($W$2-$V$2)))+$U$3*MAX(0,MIN(1,($W$3-J1313)/($W$3-$V$3)))+$U$4*MAX(0,MIN(1,($W$4-K1313)/($W$4-$V$4)))+$U$5*MAX(0,MIN(1,($W$5-L1313)/($W$5-$V$5)))+$U$6*MAX(0,MIN(1,($W$6-M1313)/($W$6-$V$6)))+$U$7*MAX(0,MIN(1,($W$7-N1313)/($W$7-$V$7)))+$U$8*IF(AND(O1313&gt;=$V$8,O1313&lt;=$W$8),1,0))/$U$9*100,2)</f>
        <v>68.67</v>
      </c>
      <c r="C1313" s="27" t="s">
        <v>1149</v>
      </c>
      <c r="D1313" s="25" t="s">
        <v>134</v>
      </c>
      <c r="E1313" s="25" t="s">
        <v>3450</v>
      </c>
      <c r="F1313" s="25" t="s">
        <v>3448</v>
      </c>
      <c r="G1313" s="38" t="s">
        <v>30</v>
      </c>
      <c r="H1313" s="28" t="s">
        <v>25</v>
      </c>
      <c r="I1313" s="25" t="n">
        <v>2</v>
      </c>
      <c r="J1313" s="25" t="n">
        <v>1</v>
      </c>
      <c r="K1313" s="25" t="n">
        <v>2</v>
      </c>
      <c r="L1313" s="29" t="n">
        <v>0.7</v>
      </c>
      <c r="M1313" s="30" t="n">
        <v>16.98</v>
      </c>
      <c r="N1313" s="29" t="n">
        <v>0</v>
      </c>
      <c r="O1313" s="25" t="n">
        <v>187</v>
      </c>
      <c r="P1313" s="30" t="n">
        <v>14.82</v>
      </c>
      <c r="Q1313" s="27" t="s">
        <v>3653</v>
      </c>
      <c r="R1313" s="27" t="s">
        <v>283</v>
      </c>
    </row>
    <row r="1314" customFormat="false" ht="15" hidden="false" customHeight="false" outlineLevel="0" collapsed="false">
      <c r="A1314" s="25" t="n">
        <f aca="false">IF(G1314="REJECT",COUNTIF($G$2:$G$2277,"&lt;&gt;REJECT")+1+COUNTIFS($G$2:$G$2277,"REJECT",$B$2:$B$2277,"&gt;"&amp;B1314),1+COUNTIFS($G$2:$G$2277,"&lt;&gt;REJECT",$B$2:$B$2277,"&gt;"&amp;B1314))</f>
        <v>1313</v>
      </c>
      <c r="B1314" s="26" t="n">
        <f aca="false">ROUND(($U$2*MAX(0,MIN(1,($W$2-I1314)/($W$2-$V$2)))+$U$3*MAX(0,MIN(1,($W$3-J1314)/($W$3-$V$3)))+$U$4*MAX(0,MIN(1,($W$4-K1314)/($W$4-$V$4)))+$U$5*MAX(0,MIN(1,($W$5-L1314)/($W$5-$V$5)))+$U$6*MAX(0,MIN(1,($W$6-M1314)/($W$6-$V$6)))+$U$7*MAX(0,MIN(1,($W$7-N1314)/($W$7-$V$7)))+$U$8*IF(AND(O1314&gt;=$V$8,O1314&lt;=$W$8),1,0))/$U$9*100,2)</f>
        <v>68.65</v>
      </c>
      <c r="C1314" s="27" t="s">
        <v>2067</v>
      </c>
      <c r="D1314" s="25" t="s">
        <v>134</v>
      </c>
      <c r="E1314" s="25" t="s">
        <v>3447</v>
      </c>
      <c r="F1314" s="25" t="s">
        <v>3448</v>
      </c>
      <c r="G1314" s="38" t="s">
        <v>30</v>
      </c>
      <c r="H1314" s="28" t="s">
        <v>25</v>
      </c>
      <c r="I1314" s="25" t="n">
        <v>3</v>
      </c>
      <c r="J1314" s="25" t="n">
        <v>1</v>
      </c>
      <c r="K1314" s="25" t="n">
        <v>2</v>
      </c>
      <c r="L1314" s="29" t="n">
        <v>0.75</v>
      </c>
      <c r="M1314" s="30" t="n">
        <v>5.67</v>
      </c>
      <c r="N1314" s="29" t="n">
        <v>0.32</v>
      </c>
      <c r="O1314" s="25" t="n">
        <v>184</v>
      </c>
      <c r="P1314" s="30" t="n">
        <v>17.81</v>
      </c>
      <c r="Q1314" s="27" t="s">
        <v>3654</v>
      </c>
      <c r="R1314" s="27" t="s">
        <v>283</v>
      </c>
    </row>
    <row r="1315" customFormat="false" ht="15" hidden="false" customHeight="false" outlineLevel="0" collapsed="false">
      <c r="A1315" s="25" t="n">
        <f aca="false">IF(G1315="REJECT",COUNTIF($G$2:$G$2277,"&lt;&gt;REJECT")+1+COUNTIFS($G$2:$G$2277,"REJECT",$B$2:$B$2277,"&gt;"&amp;B1315),1+COUNTIFS($G$2:$G$2277,"&lt;&gt;REJECT",$B$2:$B$2277,"&gt;"&amp;B1315))</f>
        <v>1313</v>
      </c>
      <c r="B1315" s="26" t="n">
        <f aca="false">ROUND(($U$2*MAX(0,MIN(1,($W$2-I1315)/($W$2-$V$2)))+$U$3*MAX(0,MIN(1,($W$3-J1315)/($W$3-$V$3)))+$U$4*MAX(0,MIN(1,($W$4-K1315)/($W$4-$V$4)))+$U$5*MAX(0,MIN(1,($W$5-L1315)/($W$5-$V$5)))+$U$6*MAX(0,MIN(1,($W$6-M1315)/($W$6-$V$6)))+$U$7*MAX(0,MIN(1,($W$7-N1315)/($W$7-$V$7)))+$U$8*IF(AND(O1315&gt;=$V$8,O1315&lt;=$W$8),1,0))/$U$9*100,2)</f>
        <v>68.65</v>
      </c>
      <c r="C1315" s="27" t="s">
        <v>3100</v>
      </c>
      <c r="D1315" s="25" t="s">
        <v>134</v>
      </c>
      <c r="E1315" s="25" t="s">
        <v>3450</v>
      </c>
      <c r="F1315" s="25" t="s">
        <v>3457</v>
      </c>
      <c r="G1315" s="38" t="s">
        <v>30</v>
      </c>
      <c r="H1315" s="28" t="s">
        <v>25</v>
      </c>
      <c r="I1315" s="25" t="n">
        <v>2</v>
      </c>
      <c r="J1315" s="25" t="n">
        <v>1</v>
      </c>
      <c r="K1315" s="25" t="n">
        <v>2</v>
      </c>
      <c r="L1315" s="29" t="n">
        <v>0.71</v>
      </c>
      <c r="M1315" s="30" t="n">
        <v>11.52</v>
      </c>
      <c r="N1315" s="29" t="n">
        <v>0.92</v>
      </c>
      <c r="O1315" s="25" t="n">
        <v>186</v>
      </c>
      <c r="P1315" s="30" t="n">
        <v>5.77</v>
      </c>
      <c r="Q1315" s="27" t="s">
        <v>3566</v>
      </c>
      <c r="R1315" s="27" t="s">
        <v>283</v>
      </c>
    </row>
    <row r="1316" customFormat="false" ht="15" hidden="false" customHeight="false" outlineLevel="0" collapsed="false">
      <c r="A1316" s="25" t="n">
        <f aca="false">IF(G1316="REJECT",COUNTIF($G$2:$G$2277,"&lt;&gt;REJECT")+1+COUNTIFS($G$2:$G$2277,"REJECT",$B$2:$B$2277,"&gt;"&amp;B1316),1+COUNTIFS($G$2:$G$2277,"&lt;&gt;REJECT",$B$2:$B$2277,"&gt;"&amp;B1316))</f>
        <v>1315</v>
      </c>
      <c r="B1316" s="26" t="n">
        <f aca="false">ROUND(($U$2*MAX(0,MIN(1,($W$2-I1316)/($W$2-$V$2)))+$U$3*MAX(0,MIN(1,($W$3-J1316)/($W$3-$V$3)))+$U$4*MAX(0,MIN(1,($W$4-K1316)/($W$4-$V$4)))+$U$5*MAX(0,MIN(1,($W$5-L1316)/($W$5-$V$5)))+$U$6*MAX(0,MIN(1,($W$6-M1316)/($W$6-$V$6)))+$U$7*MAX(0,MIN(1,($W$7-N1316)/($W$7-$V$7)))+$U$8*IF(AND(O1316&gt;=$V$8,O1316&lt;=$W$8),1,0))/$U$9*100,2)</f>
        <v>68.61</v>
      </c>
      <c r="C1316" s="27" t="s">
        <v>812</v>
      </c>
      <c r="D1316" s="25" t="s">
        <v>134</v>
      </c>
      <c r="E1316" s="25" t="s">
        <v>3447</v>
      </c>
      <c r="F1316" s="25" t="s">
        <v>3457</v>
      </c>
      <c r="G1316" s="38" t="s">
        <v>30</v>
      </c>
      <c r="H1316" s="33" t="s">
        <v>24</v>
      </c>
      <c r="I1316" s="25" t="n">
        <v>4</v>
      </c>
      <c r="J1316" s="25" t="n">
        <v>0</v>
      </c>
      <c r="K1316" s="25" t="n">
        <v>4</v>
      </c>
      <c r="L1316" s="29" t="n">
        <v>0.75</v>
      </c>
      <c r="M1316" s="30" t="n">
        <v>14.35</v>
      </c>
      <c r="N1316" s="29" t="n">
        <v>0.6</v>
      </c>
      <c r="O1316" s="25" t="n">
        <v>183</v>
      </c>
      <c r="P1316" s="30" t="n">
        <v>1.09</v>
      </c>
      <c r="Q1316" s="27" t="s">
        <v>3655</v>
      </c>
      <c r="R1316" s="27" t="s">
        <v>30</v>
      </c>
    </row>
    <row r="1317" customFormat="false" ht="15" hidden="false" customHeight="false" outlineLevel="0" collapsed="false">
      <c r="A1317" s="25" t="n">
        <f aca="false">IF(G1317="REJECT",COUNTIF($G$2:$G$2277,"&lt;&gt;REJECT")+1+COUNTIFS($G$2:$G$2277,"REJECT",$B$2:$B$2277,"&gt;"&amp;B1317),1+COUNTIFS($G$2:$G$2277,"&lt;&gt;REJECT",$B$2:$B$2277,"&gt;"&amp;B1317))</f>
        <v>1315</v>
      </c>
      <c r="B1317" s="26" t="n">
        <f aca="false">ROUND(($U$2*MAX(0,MIN(1,($W$2-I1317)/($W$2-$V$2)))+$U$3*MAX(0,MIN(1,($W$3-J1317)/($W$3-$V$3)))+$U$4*MAX(0,MIN(1,($W$4-K1317)/($W$4-$V$4)))+$U$5*MAX(0,MIN(1,($W$5-L1317)/($W$5-$V$5)))+$U$6*MAX(0,MIN(1,($W$6-M1317)/($W$6-$V$6)))+$U$7*MAX(0,MIN(1,($W$7-N1317)/($W$7-$V$7)))+$U$8*IF(AND(O1317&gt;=$V$8,O1317&lt;=$W$8),1,0))/$U$9*100,2)</f>
        <v>68.61</v>
      </c>
      <c r="C1317" s="27" t="s">
        <v>2192</v>
      </c>
      <c r="D1317" s="25" t="s">
        <v>134</v>
      </c>
      <c r="E1317" s="25" t="s">
        <v>3447</v>
      </c>
      <c r="F1317" s="25" t="s">
        <v>3448</v>
      </c>
      <c r="G1317" s="38" t="s">
        <v>30</v>
      </c>
      <c r="H1317" s="28" t="s">
        <v>25</v>
      </c>
      <c r="I1317" s="25" t="n">
        <v>4</v>
      </c>
      <c r="J1317" s="25" t="n">
        <v>0</v>
      </c>
      <c r="K1317" s="25" t="n">
        <v>4</v>
      </c>
      <c r="L1317" s="29" t="n">
        <v>0.72</v>
      </c>
      <c r="M1317" s="30" t="n">
        <v>1.53</v>
      </c>
      <c r="N1317" s="29" t="n">
        <v>0.8</v>
      </c>
      <c r="O1317" s="25" t="n">
        <v>188</v>
      </c>
      <c r="P1317" s="30" t="n">
        <v>-1.09</v>
      </c>
      <c r="Q1317" s="27" t="s">
        <v>3656</v>
      </c>
      <c r="R1317" s="27" t="s">
        <v>2610</v>
      </c>
    </row>
    <row r="1318" customFormat="false" ht="15" hidden="false" customHeight="false" outlineLevel="0" collapsed="false">
      <c r="A1318" s="25" t="n">
        <f aca="false">IF(G1318="REJECT",COUNTIF($G$2:$G$2277,"&lt;&gt;REJECT")+1+COUNTIFS($G$2:$G$2277,"REJECT",$B$2:$B$2277,"&gt;"&amp;B1318),1+COUNTIFS($G$2:$G$2277,"&lt;&gt;REJECT",$B$2:$B$2277,"&gt;"&amp;B1318))</f>
        <v>1317</v>
      </c>
      <c r="B1318" s="26" t="n">
        <f aca="false">ROUND(($U$2*MAX(0,MIN(1,($W$2-I1318)/($W$2-$V$2)))+$U$3*MAX(0,MIN(1,($W$3-J1318)/($W$3-$V$3)))+$U$4*MAX(0,MIN(1,($W$4-K1318)/($W$4-$V$4)))+$U$5*MAX(0,MIN(1,($W$5-L1318)/($W$5-$V$5)))+$U$6*MAX(0,MIN(1,($W$6-M1318)/($W$6-$V$6)))+$U$7*MAX(0,MIN(1,($W$7-N1318)/($W$7-$V$7)))+$U$8*IF(AND(O1318&gt;=$V$8,O1318&lt;=$W$8),1,0))/$U$9*100,2)</f>
        <v>68.6</v>
      </c>
      <c r="C1318" s="27" t="s">
        <v>2947</v>
      </c>
      <c r="D1318" s="25" t="s">
        <v>134</v>
      </c>
      <c r="E1318" s="25" t="s">
        <v>3447</v>
      </c>
      <c r="F1318" s="25" t="s">
        <v>3457</v>
      </c>
      <c r="G1318" s="38" t="s">
        <v>30</v>
      </c>
      <c r="H1318" s="28" t="s">
        <v>25</v>
      </c>
      <c r="I1318" s="25" t="n">
        <v>4</v>
      </c>
      <c r="J1318" s="25" t="n">
        <v>0</v>
      </c>
      <c r="K1318" s="25" t="n">
        <v>4</v>
      </c>
      <c r="L1318" s="29" t="n">
        <v>0.78</v>
      </c>
      <c r="M1318" s="30" t="n">
        <v>25.21</v>
      </c>
      <c r="N1318" s="29" t="n">
        <v>0.6</v>
      </c>
      <c r="O1318" s="25" t="n">
        <v>184</v>
      </c>
      <c r="P1318" s="30" t="n">
        <v>-0.63</v>
      </c>
      <c r="Q1318" s="27" t="s">
        <v>3657</v>
      </c>
      <c r="R1318" s="27" t="s">
        <v>992</v>
      </c>
    </row>
    <row r="1319" customFormat="false" ht="15" hidden="false" customHeight="false" outlineLevel="0" collapsed="false">
      <c r="A1319" s="25" t="n">
        <f aca="false">IF(G1319="REJECT",COUNTIF($G$2:$G$2277,"&lt;&gt;REJECT")+1+COUNTIFS($G$2:$G$2277,"REJECT",$B$2:$B$2277,"&gt;"&amp;B1319),1+COUNTIFS($G$2:$G$2277,"&lt;&gt;REJECT",$B$2:$B$2277,"&gt;"&amp;B1319))</f>
        <v>1318</v>
      </c>
      <c r="B1319" s="26" t="n">
        <f aca="false">ROUND(($U$2*MAX(0,MIN(1,($W$2-I1319)/($W$2-$V$2)))+$U$3*MAX(0,MIN(1,($W$3-J1319)/($W$3-$V$3)))+$U$4*MAX(0,MIN(1,($W$4-K1319)/($W$4-$V$4)))+$U$5*MAX(0,MIN(1,($W$5-L1319)/($W$5-$V$5)))+$U$6*MAX(0,MIN(1,($W$6-M1319)/($W$6-$V$6)))+$U$7*MAX(0,MIN(1,($W$7-N1319)/($W$7-$V$7)))+$U$8*IF(AND(O1319&gt;=$V$8,O1319&lt;=$W$8),1,0))/$U$9*100,2)</f>
        <v>68.56</v>
      </c>
      <c r="C1319" s="27" t="s">
        <v>1481</v>
      </c>
      <c r="D1319" s="25" t="s">
        <v>134</v>
      </c>
      <c r="E1319" s="25" t="s">
        <v>3447</v>
      </c>
      <c r="F1319" s="25" t="s">
        <v>3457</v>
      </c>
      <c r="G1319" s="38" t="s">
        <v>30</v>
      </c>
      <c r="H1319" s="28" t="s">
        <v>25</v>
      </c>
      <c r="I1319" s="25" t="n">
        <v>1</v>
      </c>
      <c r="J1319" s="25" t="n">
        <v>1</v>
      </c>
      <c r="K1319" s="25" t="n">
        <v>1</v>
      </c>
      <c r="L1319" s="29" t="n">
        <v>0.58</v>
      </c>
      <c r="M1319" s="30" t="n">
        <v>9.52</v>
      </c>
      <c r="N1319" s="29" t="n">
        <v>0.24</v>
      </c>
      <c r="O1319" s="25" t="n">
        <v>189</v>
      </c>
      <c r="P1319" s="30" t="n">
        <v>10.96</v>
      </c>
      <c r="Q1319" s="27" t="s">
        <v>69</v>
      </c>
      <c r="R1319" s="27" t="s">
        <v>283</v>
      </c>
    </row>
    <row r="1320" customFormat="false" ht="15" hidden="false" customHeight="false" outlineLevel="0" collapsed="false">
      <c r="A1320" s="25" t="n">
        <f aca="false">IF(G1320="REJECT",COUNTIF($G$2:$G$2277,"&lt;&gt;REJECT")+1+COUNTIFS($G$2:$G$2277,"REJECT",$B$2:$B$2277,"&gt;"&amp;B1320),1+COUNTIFS($G$2:$G$2277,"&lt;&gt;REJECT",$B$2:$B$2277,"&gt;"&amp;B1320))</f>
        <v>1319</v>
      </c>
      <c r="B1320" s="26" t="n">
        <f aca="false">ROUND(($U$2*MAX(0,MIN(1,($W$2-I1320)/($W$2-$V$2)))+$U$3*MAX(0,MIN(1,($W$3-J1320)/($W$3-$V$3)))+$U$4*MAX(0,MIN(1,($W$4-K1320)/($W$4-$V$4)))+$U$5*MAX(0,MIN(1,($W$5-L1320)/($W$5-$V$5)))+$U$6*MAX(0,MIN(1,($W$6-M1320)/($W$6-$V$6)))+$U$7*MAX(0,MIN(1,($W$7-N1320)/($W$7-$V$7)))+$U$8*IF(AND(O1320&gt;=$V$8,O1320&lt;=$W$8),1,0))/$U$9*100,2)</f>
        <v>68.51</v>
      </c>
      <c r="C1320" s="27" t="s">
        <v>2055</v>
      </c>
      <c r="D1320" s="25" t="s">
        <v>134</v>
      </c>
      <c r="E1320" s="25" t="s">
        <v>3447</v>
      </c>
      <c r="F1320" s="25" t="s">
        <v>3457</v>
      </c>
      <c r="G1320" s="38" t="s">
        <v>30</v>
      </c>
      <c r="H1320" s="28" t="s">
        <v>25</v>
      </c>
      <c r="I1320" s="25" t="n">
        <v>1</v>
      </c>
      <c r="J1320" s="25" t="n">
        <v>1</v>
      </c>
      <c r="K1320" s="25" t="n">
        <v>1</v>
      </c>
      <c r="L1320" s="29" t="n">
        <v>0.61</v>
      </c>
      <c r="M1320" s="30" t="n">
        <v>23.07</v>
      </c>
      <c r="N1320" s="29" t="n">
        <v>0</v>
      </c>
      <c r="O1320" s="25" t="n">
        <v>185</v>
      </c>
      <c r="P1320" s="30" t="n">
        <v>5.58</v>
      </c>
      <c r="Q1320" s="27" t="s">
        <v>69</v>
      </c>
      <c r="R1320" s="27" t="s">
        <v>183</v>
      </c>
    </row>
    <row r="1321" customFormat="false" ht="15" hidden="false" customHeight="false" outlineLevel="0" collapsed="false">
      <c r="A1321" s="25" t="n">
        <f aca="false">IF(G1321="REJECT",COUNTIF($G$2:$G$2277,"&lt;&gt;REJECT")+1+COUNTIFS($G$2:$G$2277,"REJECT",$B$2:$B$2277,"&gt;"&amp;B1321),1+COUNTIFS($G$2:$G$2277,"&lt;&gt;REJECT",$B$2:$B$2277,"&gt;"&amp;B1321))</f>
        <v>1320</v>
      </c>
      <c r="B1321" s="26" t="n">
        <f aca="false">ROUND(($U$2*MAX(0,MIN(1,($W$2-I1321)/($W$2-$V$2)))+$U$3*MAX(0,MIN(1,($W$3-J1321)/($W$3-$V$3)))+$U$4*MAX(0,MIN(1,($W$4-K1321)/($W$4-$V$4)))+$U$5*MAX(0,MIN(1,($W$5-L1321)/($W$5-$V$5)))+$U$6*MAX(0,MIN(1,($W$6-M1321)/($W$6-$V$6)))+$U$7*MAX(0,MIN(1,($W$7-N1321)/($W$7-$V$7)))+$U$8*IF(AND(O1321&gt;=$V$8,O1321&lt;=$W$8),1,0))/$U$9*100,2)</f>
        <v>68.5</v>
      </c>
      <c r="C1321" s="27" t="s">
        <v>669</v>
      </c>
      <c r="D1321" s="25" t="s">
        <v>3459</v>
      </c>
      <c r="E1321" s="25" t="s">
        <v>3450</v>
      </c>
      <c r="F1321" s="25" t="s">
        <v>3457</v>
      </c>
      <c r="G1321" s="38" t="s">
        <v>30</v>
      </c>
      <c r="H1321" s="28" t="s">
        <v>25</v>
      </c>
      <c r="I1321" s="25" t="n">
        <v>2</v>
      </c>
      <c r="J1321" s="25" t="n">
        <v>1</v>
      </c>
      <c r="K1321" s="25" t="n">
        <v>2</v>
      </c>
      <c r="L1321" s="29" t="n">
        <v>0.68</v>
      </c>
      <c r="M1321" s="30" t="n">
        <v>5.62</v>
      </c>
      <c r="N1321" s="29" t="n">
        <v>0.52</v>
      </c>
      <c r="O1321" s="25" t="n">
        <v>183</v>
      </c>
      <c r="P1321" s="30" t="n">
        <v>15.57</v>
      </c>
      <c r="Q1321" s="27" t="s">
        <v>3575</v>
      </c>
      <c r="R1321" s="27" t="s">
        <v>283</v>
      </c>
    </row>
    <row r="1322" customFormat="false" ht="15" hidden="false" customHeight="false" outlineLevel="0" collapsed="false">
      <c r="A1322" s="25" t="n">
        <f aca="false">IF(G1322="REJECT",COUNTIF($G$2:$G$2277,"&lt;&gt;REJECT")+1+COUNTIFS($G$2:$G$2277,"REJECT",$B$2:$B$2277,"&gt;"&amp;B1322),1+COUNTIFS($G$2:$G$2277,"&lt;&gt;REJECT",$B$2:$B$2277,"&gt;"&amp;B1322))</f>
        <v>1320</v>
      </c>
      <c r="B1322" s="26" t="n">
        <f aca="false">ROUND(($U$2*MAX(0,MIN(1,($W$2-I1322)/($W$2-$V$2)))+$U$3*MAX(0,MIN(1,($W$3-J1322)/($W$3-$V$3)))+$U$4*MAX(0,MIN(1,($W$4-K1322)/($W$4-$V$4)))+$U$5*MAX(0,MIN(1,($W$5-L1322)/($W$5-$V$5)))+$U$6*MAX(0,MIN(1,($W$6-M1322)/($W$6-$V$6)))+$U$7*MAX(0,MIN(1,($W$7-N1322)/($W$7-$V$7)))+$U$8*IF(AND(O1322&gt;=$V$8,O1322&lt;=$W$8),1,0))/$U$9*100,2)</f>
        <v>68.5</v>
      </c>
      <c r="C1322" s="27" t="s">
        <v>885</v>
      </c>
      <c r="D1322" s="25" t="s">
        <v>134</v>
      </c>
      <c r="E1322" s="25" t="s">
        <v>3450</v>
      </c>
      <c r="F1322" s="25" t="s">
        <v>3448</v>
      </c>
      <c r="G1322" s="38" t="s">
        <v>30</v>
      </c>
      <c r="H1322" s="28" t="s">
        <v>25</v>
      </c>
      <c r="I1322" s="25" t="n">
        <v>2</v>
      </c>
      <c r="J1322" s="25" t="n">
        <v>1</v>
      </c>
      <c r="K1322" s="25" t="n">
        <v>2</v>
      </c>
      <c r="L1322" s="29" t="n">
        <v>0.69</v>
      </c>
      <c r="M1322" s="30" t="n">
        <v>12</v>
      </c>
      <c r="N1322" s="29" t="n">
        <v>0.24</v>
      </c>
      <c r="O1322" s="25" t="n">
        <v>182</v>
      </c>
      <c r="P1322" s="30" t="n">
        <v>13.24</v>
      </c>
      <c r="Q1322" s="27" t="s">
        <v>3575</v>
      </c>
      <c r="R1322" s="27" t="s">
        <v>283</v>
      </c>
    </row>
    <row r="1323" customFormat="false" ht="15" hidden="false" customHeight="false" outlineLevel="0" collapsed="false">
      <c r="A1323" s="25" t="n">
        <f aca="false">IF(G1323="REJECT",COUNTIF($G$2:$G$2277,"&lt;&gt;REJECT")+1+COUNTIFS($G$2:$G$2277,"REJECT",$B$2:$B$2277,"&gt;"&amp;B1323),1+COUNTIFS($G$2:$G$2277,"&lt;&gt;REJECT",$B$2:$B$2277,"&gt;"&amp;B1323))</f>
        <v>1322</v>
      </c>
      <c r="B1323" s="26" t="n">
        <f aca="false">ROUND(($U$2*MAX(0,MIN(1,($W$2-I1323)/($W$2-$V$2)))+$U$3*MAX(0,MIN(1,($W$3-J1323)/($W$3-$V$3)))+$U$4*MAX(0,MIN(1,($W$4-K1323)/($W$4-$V$4)))+$U$5*MAX(0,MIN(1,($W$5-L1323)/($W$5-$V$5)))+$U$6*MAX(0,MIN(1,($W$6-M1323)/($W$6-$V$6)))+$U$7*MAX(0,MIN(1,($W$7-N1323)/($W$7-$V$7)))+$U$8*IF(AND(O1323&gt;=$V$8,O1323&lt;=$W$8),1,0))/$U$9*100,2)</f>
        <v>68.49</v>
      </c>
      <c r="C1323" s="27" t="s">
        <v>911</v>
      </c>
      <c r="D1323" s="25" t="s">
        <v>3459</v>
      </c>
      <c r="E1323" s="25" t="s">
        <v>3450</v>
      </c>
      <c r="F1323" s="25" t="s">
        <v>3448</v>
      </c>
      <c r="G1323" s="38" t="s">
        <v>30</v>
      </c>
      <c r="H1323" s="28" t="s">
        <v>25</v>
      </c>
      <c r="I1323" s="25" t="n">
        <v>2</v>
      </c>
      <c r="J1323" s="25" t="n">
        <v>1</v>
      </c>
      <c r="K1323" s="25" t="n">
        <v>2</v>
      </c>
      <c r="L1323" s="29" t="n">
        <v>0.72</v>
      </c>
      <c r="M1323" s="30" t="n">
        <v>19.67</v>
      </c>
      <c r="N1323" s="29" t="n">
        <v>0.56</v>
      </c>
      <c r="O1323" s="25" t="n">
        <v>184</v>
      </c>
      <c r="P1323" s="30" t="n">
        <v>3.21</v>
      </c>
      <c r="Q1323" s="27" t="s">
        <v>3575</v>
      </c>
      <c r="R1323" s="27" t="s">
        <v>1152</v>
      </c>
    </row>
    <row r="1324" customFormat="false" ht="15" hidden="false" customHeight="false" outlineLevel="0" collapsed="false">
      <c r="A1324" s="25" t="n">
        <f aca="false">IF(G1324="REJECT",COUNTIF($G$2:$G$2277,"&lt;&gt;REJECT")+1+COUNTIFS($G$2:$G$2277,"REJECT",$B$2:$B$2277,"&gt;"&amp;B1324),1+COUNTIFS($G$2:$G$2277,"&lt;&gt;REJECT",$B$2:$B$2277,"&gt;"&amp;B1324))</f>
        <v>1322</v>
      </c>
      <c r="B1324" s="26" t="n">
        <f aca="false">ROUND(($U$2*MAX(0,MIN(1,($W$2-I1324)/($W$2-$V$2)))+$U$3*MAX(0,MIN(1,($W$3-J1324)/($W$3-$V$3)))+$U$4*MAX(0,MIN(1,($W$4-K1324)/($W$4-$V$4)))+$U$5*MAX(0,MIN(1,($W$5-L1324)/($W$5-$V$5)))+$U$6*MAX(0,MIN(1,($W$6-M1324)/($W$6-$V$6)))+$U$7*MAX(0,MIN(1,($W$7-N1324)/($W$7-$V$7)))+$U$8*IF(AND(O1324&gt;=$V$8,O1324&lt;=$W$8),1,0))/$U$9*100,2)</f>
        <v>68.49</v>
      </c>
      <c r="C1324" s="27" t="s">
        <v>1265</v>
      </c>
      <c r="D1324" s="25" t="s">
        <v>134</v>
      </c>
      <c r="E1324" s="25" t="s">
        <v>3450</v>
      </c>
      <c r="F1324" s="25" t="s">
        <v>3457</v>
      </c>
      <c r="G1324" s="38" t="s">
        <v>30</v>
      </c>
      <c r="H1324" s="28" t="s">
        <v>25</v>
      </c>
      <c r="I1324" s="25" t="n">
        <v>2</v>
      </c>
      <c r="J1324" s="25" t="n">
        <v>1</v>
      </c>
      <c r="K1324" s="25" t="n">
        <v>2</v>
      </c>
      <c r="L1324" s="29" t="n">
        <v>0.68</v>
      </c>
      <c r="M1324" s="30" t="n">
        <v>8.45</v>
      </c>
      <c r="N1324" s="29" t="n">
        <v>0.24</v>
      </c>
      <c r="O1324" s="25" t="n">
        <v>184</v>
      </c>
      <c r="P1324" s="30" t="n">
        <v>6.21</v>
      </c>
      <c r="Q1324" s="27" t="s">
        <v>3658</v>
      </c>
      <c r="R1324" s="27" t="s">
        <v>1152</v>
      </c>
    </row>
    <row r="1325" customFormat="false" ht="15" hidden="false" customHeight="false" outlineLevel="0" collapsed="false">
      <c r="A1325" s="25" t="n">
        <f aca="false">IF(G1325="REJECT",COUNTIF($G$2:$G$2277,"&lt;&gt;REJECT")+1+COUNTIFS($G$2:$G$2277,"REJECT",$B$2:$B$2277,"&gt;"&amp;B1325),1+COUNTIFS($G$2:$G$2277,"&lt;&gt;REJECT",$B$2:$B$2277,"&gt;"&amp;B1325))</f>
        <v>1322</v>
      </c>
      <c r="B1325" s="26" t="n">
        <f aca="false">ROUND(($U$2*MAX(0,MIN(1,($W$2-I1325)/($W$2-$V$2)))+$U$3*MAX(0,MIN(1,($W$3-J1325)/($W$3-$V$3)))+$U$4*MAX(0,MIN(1,($W$4-K1325)/($W$4-$V$4)))+$U$5*MAX(0,MIN(1,($W$5-L1325)/($W$5-$V$5)))+$U$6*MAX(0,MIN(1,($W$6-M1325)/($W$6-$V$6)))+$U$7*MAX(0,MIN(1,($W$7-N1325)/($W$7-$V$7)))+$U$8*IF(AND(O1325&gt;=$V$8,O1325&lt;=$W$8),1,0))/$U$9*100,2)</f>
        <v>68.49</v>
      </c>
      <c r="C1325" s="27" t="s">
        <v>2523</v>
      </c>
      <c r="D1325" s="25" t="s">
        <v>134</v>
      </c>
      <c r="E1325" s="25" t="s">
        <v>3450</v>
      </c>
      <c r="F1325" s="25" t="s">
        <v>3448</v>
      </c>
      <c r="G1325" s="38" t="s">
        <v>30</v>
      </c>
      <c r="H1325" s="28" t="s">
        <v>25</v>
      </c>
      <c r="I1325" s="25" t="n">
        <v>2</v>
      </c>
      <c r="J1325" s="25" t="n">
        <v>1</v>
      </c>
      <c r="K1325" s="25" t="n">
        <v>2</v>
      </c>
      <c r="L1325" s="29" t="n">
        <v>0.73</v>
      </c>
      <c r="M1325" s="30" t="n">
        <v>20.45</v>
      </c>
      <c r="N1325" s="29" t="n">
        <v>0.84</v>
      </c>
      <c r="O1325" s="25" t="n">
        <v>217</v>
      </c>
      <c r="P1325" s="30" t="n">
        <v>7.31</v>
      </c>
      <c r="Q1325" s="27" t="s">
        <v>3575</v>
      </c>
      <c r="R1325" s="27" t="s">
        <v>163</v>
      </c>
    </row>
    <row r="1326" customFormat="false" ht="15" hidden="false" customHeight="false" outlineLevel="0" collapsed="false">
      <c r="A1326" s="25" t="n">
        <f aca="false">IF(G1326="REJECT",COUNTIF($G$2:$G$2277,"&lt;&gt;REJECT")+1+COUNTIFS($G$2:$G$2277,"REJECT",$B$2:$B$2277,"&gt;"&amp;B1326),1+COUNTIFS($G$2:$G$2277,"&lt;&gt;REJECT",$B$2:$B$2277,"&gt;"&amp;B1326))</f>
        <v>1325</v>
      </c>
      <c r="B1326" s="26" t="n">
        <f aca="false">ROUND(($U$2*MAX(0,MIN(1,($W$2-I1326)/($W$2-$V$2)))+$U$3*MAX(0,MIN(1,($W$3-J1326)/($W$3-$V$3)))+$U$4*MAX(0,MIN(1,($W$4-K1326)/($W$4-$V$4)))+$U$5*MAX(0,MIN(1,($W$5-L1326)/($W$5-$V$5)))+$U$6*MAX(0,MIN(1,($W$6-M1326)/($W$6-$V$6)))+$U$7*MAX(0,MIN(1,($W$7-N1326)/($W$7-$V$7)))+$U$8*IF(AND(O1326&gt;=$V$8,O1326&lt;=$W$8),1,0))/$U$9*100,2)</f>
        <v>68.44</v>
      </c>
      <c r="C1326" s="27" t="s">
        <v>1669</v>
      </c>
      <c r="D1326" s="25" t="s">
        <v>134</v>
      </c>
      <c r="E1326" s="25" t="s">
        <v>3450</v>
      </c>
      <c r="F1326" s="25" t="s">
        <v>3457</v>
      </c>
      <c r="G1326" s="38" t="s">
        <v>30</v>
      </c>
      <c r="H1326" s="28" t="s">
        <v>25</v>
      </c>
      <c r="I1326" s="25" t="n">
        <v>2</v>
      </c>
      <c r="J1326" s="25" t="n">
        <v>1</v>
      </c>
      <c r="K1326" s="25" t="n">
        <v>2</v>
      </c>
      <c r="L1326" s="29" t="n">
        <v>0.7</v>
      </c>
      <c r="M1326" s="30" t="n">
        <v>17.19</v>
      </c>
      <c r="N1326" s="29" t="n">
        <v>0.12</v>
      </c>
      <c r="O1326" s="25" t="n">
        <v>182</v>
      </c>
      <c r="P1326" s="30" t="n">
        <v>1.25</v>
      </c>
      <c r="Q1326" s="27" t="s">
        <v>3566</v>
      </c>
      <c r="R1326" s="27" t="s">
        <v>197</v>
      </c>
    </row>
    <row r="1327" customFormat="false" ht="15" hidden="false" customHeight="false" outlineLevel="0" collapsed="false">
      <c r="A1327" s="25" t="n">
        <f aca="false">IF(G1327="REJECT",COUNTIF($G$2:$G$2277,"&lt;&gt;REJECT")+1+COUNTIFS($G$2:$G$2277,"REJECT",$B$2:$B$2277,"&gt;"&amp;B1327),1+COUNTIFS($G$2:$G$2277,"&lt;&gt;REJECT",$B$2:$B$2277,"&gt;"&amp;B1327))</f>
        <v>1326</v>
      </c>
      <c r="B1327" s="26" t="n">
        <f aca="false">ROUND(($U$2*MAX(0,MIN(1,($W$2-I1327)/($W$2-$V$2)))+$U$3*MAX(0,MIN(1,($W$3-J1327)/($W$3-$V$3)))+$U$4*MAX(0,MIN(1,($W$4-K1327)/($W$4-$V$4)))+$U$5*MAX(0,MIN(1,($W$5-L1327)/($W$5-$V$5)))+$U$6*MAX(0,MIN(1,($W$6-M1327)/($W$6-$V$6)))+$U$7*MAX(0,MIN(1,($W$7-N1327)/($W$7-$V$7)))+$U$8*IF(AND(O1327&gt;=$V$8,O1327&lt;=$W$8),1,0))/$U$9*100,2)</f>
        <v>68.43</v>
      </c>
      <c r="C1327" s="27" t="s">
        <v>1253</v>
      </c>
      <c r="D1327" s="25" t="s">
        <v>134</v>
      </c>
      <c r="E1327" s="25" t="s">
        <v>3447</v>
      </c>
      <c r="F1327" s="25" t="s">
        <v>3457</v>
      </c>
      <c r="G1327" s="38" t="s">
        <v>30</v>
      </c>
      <c r="H1327" s="33" t="s">
        <v>24</v>
      </c>
      <c r="I1327" s="25" t="n">
        <v>5</v>
      </c>
      <c r="J1327" s="25" t="n">
        <v>0</v>
      </c>
      <c r="K1327" s="25" t="n">
        <v>3</v>
      </c>
      <c r="L1327" s="29" t="n">
        <v>0.85</v>
      </c>
      <c r="M1327" s="30" t="n">
        <v>16.8</v>
      </c>
      <c r="N1327" s="29" t="n">
        <v>0.76</v>
      </c>
      <c r="O1327" s="25" t="n">
        <v>185</v>
      </c>
      <c r="P1327" s="30" t="n">
        <v>-1.36</v>
      </c>
      <c r="Q1327" s="27" t="s">
        <v>3659</v>
      </c>
      <c r="R1327" s="27" t="s">
        <v>30</v>
      </c>
    </row>
    <row r="1328" customFormat="false" ht="15" hidden="false" customHeight="false" outlineLevel="0" collapsed="false">
      <c r="A1328" s="25" t="n">
        <f aca="false">IF(G1328="REJECT",COUNTIF($G$2:$G$2277,"&lt;&gt;REJECT")+1+COUNTIFS($G$2:$G$2277,"REJECT",$B$2:$B$2277,"&gt;"&amp;B1328),1+COUNTIFS($G$2:$G$2277,"&lt;&gt;REJECT",$B$2:$B$2277,"&gt;"&amp;B1328))</f>
        <v>1326</v>
      </c>
      <c r="B1328" s="26" t="n">
        <f aca="false">ROUND(($U$2*MAX(0,MIN(1,($W$2-I1328)/($W$2-$V$2)))+$U$3*MAX(0,MIN(1,($W$3-J1328)/($W$3-$V$3)))+$U$4*MAX(0,MIN(1,($W$4-K1328)/($W$4-$V$4)))+$U$5*MAX(0,MIN(1,($W$5-L1328)/($W$5-$V$5)))+$U$6*MAX(0,MIN(1,($W$6-M1328)/($W$6-$V$6)))+$U$7*MAX(0,MIN(1,($W$7-N1328)/($W$7-$V$7)))+$U$8*IF(AND(O1328&gt;=$V$8,O1328&lt;=$W$8),1,0))/$U$9*100,2)</f>
        <v>68.43</v>
      </c>
      <c r="C1328" s="27" t="s">
        <v>2435</v>
      </c>
      <c r="D1328" s="25" t="s">
        <v>3459</v>
      </c>
      <c r="E1328" s="25" t="s">
        <v>3450</v>
      </c>
      <c r="F1328" s="25" t="s">
        <v>3457</v>
      </c>
      <c r="G1328" s="38" t="s">
        <v>30</v>
      </c>
      <c r="H1328" s="28" t="s">
        <v>25</v>
      </c>
      <c r="I1328" s="25" t="n">
        <v>2</v>
      </c>
      <c r="J1328" s="25" t="n">
        <v>1</v>
      </c>
      <c r="K1328" s="25" t="n">
        <v>2</v>
      </c>
      <c r="L1328" s="29" t="n">
        <v>0.74</v>
      </c>
      <c r="M1328" s="30" t="n">
        <v>29.63</v>
      </c>
      <c r="N1328" s="29" t="n">
        <v>0.32</v>
      </c>
      <c r="O1328" s="25" t="n">
        <v>191</v>
      </c>
      <c r="P1328" s="30" t="n">
        <v>11.15</v>
      </c>
      <c r="Q1328" s="27" t="s">
        <v>3660</v>
      </c>
      <c r="R1328" s="27" t="s">
        <v>183</v>
      </c>
    </row>
    <row r="1329" customFormat="false" ht="15" hidden="false" customHeight="false" outlineLevel="0" collapsed="false">
      <c r="A1329" s="25" t="n">
        <f aca="false">IF(G1329="REJECT",COUNTIF($G$2:$G$2277,"&lt;&gt;REJECT")+1+COUNTIFS($G$2:$G$2277,"REJECT",$B$2:$B$2277,"&gt;"&amp;B1329),1+COUNTIFS($G$2:$G$2277,"&lt;&gt;REJECT",$B$2:$B$2277,"&gt;"&amp;B1329))</f>
        <v>1328</v>
      </c>
      <c r="B1329" s="26" t="n">
        <f aca="false">ROUND(($U$2*MAX(0,MIN(1,($W$2-I1329)/($W$2-$V$2)))+$U$3*MAX(0,MIN(1,($W$3-J1329)/($W$3-$V$3)))+$U$4*MAX(0,MIN(1,($W$4-K1329)/($W$4-$V$4)))+$U$5*MAX(0,MIN(1,($W$5-L1329)/($W$5-$V$5)))+$U$6*MAX(0,MIN(1,($W$6-M1329)/($W$6-$V$6)))+$U$7*MAX(0,MIN(1,($W$7-N1329)/($W$7-$V$7)))+$U$8*IF(AND(O1329&gt;=$V$8,O1329&lt;=$W$8),1,0))/$U$9*100,2)</f>
        <v>68.36</v>
      </c>
      <c r="C1329" s="27" t="s">
        <v>768</v>
      </c>
      <c r="D1329" s="25" t="s">
        <v>134</v>
      </c>
      <c r="E1329" s="25" t="s">
        <v>3450</v>
      </c>
      <c r="F1329" s="25" t="s">
        <v>3448</v>
      </c>
      <c r="G1329" s="38" t="s">
        <v>30</v>
      </c>
      <c r="H1329" s="28" t="s">
        <v>25</v>
      </c>
      <c r="I1329" s="25" t="n">
        <v>2</v>
      </c>
      <c r="J1329" s="25" t="n">
        <v>1</v>
      </c>
      <c r="K1329" s="25" t="n">
        <v>2</v>
      </c>
      <c r="L1329" s="29" t="n">
        <v>0.69</v>
      </c>
      <c r="M1329" s="30" t="n">
        <v>12.07</v>
      </c>
      <c r="N1329" s="29" t="n">
        <v>0.32</v>
      </c>
      <c r="O1329" s="25" t="n">
        <v>184</v>
      </c>
      <c r="P1329" s="30" t="n">
        <v>10.31</v>
      </c>
      <c r="Q1329" s="27" t="s">
        <v>3575</v>
      </c>
      <c r="R1329" s="27" t="s">
        <v>1099</v>
      </c>
    </row>
    <row r="1330" customFormat="false" ht="15" hidden="false" customHeight="false" outlineLevel="0" collapsed="false">
      <c r="A1330" s="25" t="n">
        <f aca="false">IF(G1330="REJECT",COUNTIF($G$2:$G$2277,"&lt;&gt;REJECT")+1+COUNTIFS($G$2:$G$2277,"REJECT",$B$2:$B$2277,"&gt;"&amp;B1330),1+COUNTIFS($G$2:$G$2277,"&lt;&gt;REJECT",$B$2:$B$2277,"&gt;"&amp;B1330))</f>
        <v>1328</v>
      </c>
      <c r="B1330" s="26" t="n">
        <f aca="false">ROUND(($U$2*MAX(0,MIN(1,($W$2-I1330)/($W$2-$V$2)))+$U$3*MAX(0,MIN(1,($W$3-J1330)/($W$3-$V$3)))+$U$4*MAX(0,MIN(1,($W$4-K1330)/($W$4-$V$4)))+$U$5*MAX(0,MIN(1,($W$5-L1330)/($W$5-$V$5)))+$U$6*MAX(0,MIN(1,($W$6-M1330)/($W$6-$V$6)))+$U$7*MAX(0,MIN(1,($W$7-N1330)/($W$7-$V$7)))+$U$8*IF(AND(O1330&gt;=$V$8,O1330&lt;=$W$8),1,0))/$U$9*100,2)</f>
        <v>68.36</v>
      </c>
      <c r="C1330" s="27" t="s">
        <v>2332</v>
      </c>
      <c r="D1330" s="25" t="s">
        <v>134</v>
      </c>
      <c r="E1330" s="25" t="s">
        <v>3450</v>
      </c>
      <c r="F1330" s="25" t="s">
        <v>3457</v>
      </c>
      <c r="G1330" s="38" t="s">
        <v>30</v>
      </c>
      <c r="H1330" s="28" t="s">
        <v>25</v>
      </c>
      <c r="I1330" s="25" t="n">
        <v>2</v>
      </c>
      <c r="J1330" s="25" t="n">
        <v>1</v>
      </c>
      <c r="K1330" s="25" t="n">
        <v>2</v>
      </c>
      <c r="L1330" s="29" t="n">
        <v>0.69</v>
      </c>
      <c r="M1330" s="30" t="n">
        <v>12.02</v>
      </c>
      <c r="N1330" s="29" t="n">
        <v>0.32</v>
      </c>
      <c r="O1330" s="25" t="n">
        <v>186</v>
      </c>
      <c r="P1330" s="30" t="n">
        <v>10.76</v>
      </c>
      <c r="Q1330" s="27" t="s">
        <v>3646</v>
      </c>
      <c r="R1330" s="27" t="s">
        <v>1152</v>
      </c>
    </row>
    <row r="1331" customFormat="false" ht="15" hidden="false" customHeight="false" outlineLevel="0" collapsed="false">
      <c r="A1331" s="25" t="n">
        <f aca="false">IF(G1331="REJECT",COUNTIF($G$2:$G$2277,"&lt;&gt;REJECT")+1+COUNTIFS($G$2:$G$2277,"REJECT",$B$2:$B$2277,"&gt;"&amp;B1331),1+COUNTIFS($G$2:$G$2277,"&lt;&gt;REJECT",$B$2:$B$2277,"&gt;"&amp;B1331))</f>
        <v>1330</v>
      </c>
      <c r="B1331" s="26" t="n">
        <f aca="false">ROUND(($U$2*MAX(0,MIN(1,($W$2-I1331)/($W$2-$V$2)))+$U$3*MAX(0,MIN(1,($W$3-J1331)/($W$3-$V$3)))+$U$4*MAX(0,MIN(1,($W$4-K1331)/($W$4-$V$4)))+$U$5*MAX(0,MIN(1,($W$5-L1331)/($W$5-$V$5)))+$U$6*MAX(0,MIN(1,($W$6-M1331)/($W$6-$V$6)))+$U$7*MAX(0,MIN(1,($W$7-N1331)/($W$7-$V$7)))+$U$8*IF(AND(O1331&gt;=$V$8,O1331&lt;=$W$8),1,0))/$U$9*100,2)</f>
        <v>68.31</v>
      </c>
      <c r="C1331" s="27" t="s">
        <v>2338</v>
      </c>
      <c r="D1331" s="25" t="s">
        <v>134</v>
      </c>
      <c r="E1331" s="25" t="s">
        <v>3450</v>
      </c>
      <c r="F1331" s="25" t="s">
        <v>3448</v>
      </c>
      <c r="G1331" s="38" t="s">
        <v>30</v>
      </c>
      <c r="H1331" s="28" t="s">
        <v>25</v>
      </c>
      <c r="I1331" s="25" t="n">
        <v>3</v>
      </c>
      <c r="J1331" s="25" t="n">
        <v>1</v>
      </c>
      <c r="K1331" s="25" t="n">
        <v>3</v>
      </c>
      <c r="L1331" s="29" t="n">
        <v>0.79</v>
      </c>
      <c r="M1331" s="30" t="n">
        <v>12.46</v>
      </c>
      <c r="N1331" s="29" t="n">
        <v>0.16</v>
      </c>
      <c r="O1331" s="25" t="n">
        <v>189</v>
      </c>
      <c r="P1331" s="30" t="n">
        <v>5.66</v>
      </c>
      <c r="Q1331" s="27" t="s">
        <v>3649</v>
      </c>
      <c r="R1331" s="27" t="s">
        <v>1099</v>
      </c>
    </row>
    <row r="1332" customFormat="false" ht="15" hidden="false" customHeight="false" outlineLevel="0" collapsed="false">
      <c r="A1332" s="25" t="n">
        <f aca="false">IF(G1332="REJECT",COUNTIF($G$2:$G$2277,"&lt;&gt;REJECT")+1+COUNTIFS($G$2:$G$2277,"REJECT",$B$2:$B$2277,"&gt;"&amp;B1332),1+COUNTIFS($G$2:$G$2277,"&lt;&gt;REJECT",$B$2:$B$2277,"&gt;"&amp;B1332))</f>
        <v>1331</v>
      </c>
      <c r="B1332" s="26" t="n">
        <f aca="false">ROUND(($U$2*MAX(0,MIN(1,($W$2-I1332)/($W$2-$V$2)))+$U$3*MAX(0,MIN(1,($W$3-J1332)/($W$3-$V$3)))+$U$4*MAX(0,MIN(1,($W$4-K1332)/($W$4-$V$4)))+$U$5*MAX(0,MIN(1,($W$5-L1332)/($W$5-$V$5)))+$U$6*MAX(0,MIN(1,($W$6-M1332)/($W$6-$V$6)))+$U$7*MAX(0,MIN(1,($W$7-N1332)/($W$7-$V$7)))+$U$8*IF(AND(O1332&gt;=$V$8,O1332&lt;=$W$8),1,0))/$U$9*100,2)</f>
        <v>68.3</v>
      </c>
      <c r="C1332" s="27" t="s">
        <v>566</v>
      </c>
      <c r="D1332" s="25" t="s">
        <v>3459</v>
      </c>
      <c r="E1332" s="25" t="s">
        <v>3447</v>
      </c>
      <c r="F1332" s="25" t="s">
        <v>3457</v>
      </c>
      <c r="G1332" s="38" t="s">
        <v>30</v>
      </c>
      <c r="H1332" s="28" t="s">
        <v>25</v>
      </c>
      <c r="I1332" s="25" t="n">
        <v>4</v>
      </c>
      <c r="J1332" s="25" t="n">
        <v>0</v>
      </c>
      <c r="K1332" s="25" t="n">
        <v>4</v>
      </c>
      <c r="L1332" s="29" t="n">
        <v>0.76</v>
      </c>
      <c r="M1332" s="30" t="n">
        <v>17.01</v>
      </c>
      <c r="N1332" s="29" t="n">
        <v>0.88</v>
      </c>
      <c r="O1332" s="25" t="n">
        <v>188</v>
      </c>
      <c r="P1332" s="30" t="n">
        <v>-0.86</v>
      </c>
      <c r="Q1332" s="27" t="s">
        <v>3591</v>
      </c>
      <c r="R1332" s="27" t="s">
        <v>2133</v>
      </c>
    </row>
    <row r="1333" customFormat="false" ht="15" hidden="false" customHeight="false" outlineLevel="0" collapsed="false">
      <c r="A1333" s="25" t="n">
        <f aca="false">IF(G1333="REJECT",COUNTIF($G$2:$G$2277,"&lt;&gt;REJECT")+1+COUNTIFS($G$2:$G$2277,"REJECT",$B$2:$B$2277,"&gt;"&amp;B1333),1+COUNTIFS($G$2:$G$2277,"&lt;&gt;REJECT",$B$2:$B$2277,"&gt;"&amp;B1333))</f>
        <v>1332</v>
      </c>
      <c r="B1333" s="26" t="n">
        <f aca="false">ROUND(($U$2*MAX(0,MIN(1,($W$2-I1333)/($W$2-$V$2)))+$U$3*MAX(0,MIN(1,($W$3-J1333)/($W$3-$V$3)))+$U$4*MAX(0,MIN(1,($W$4-K1333)/($W$4-$V$4)))+$U$5*MAX(0,MIN(1,($W$5-L1333)/($W$5-$V$5)))+$U$6*MAX(0,MIN(1,($W$6-M1333)/($W$6-$V$6)))+$U$7*MAX(0,MIN(1,($W$7-N1333)/($W$7-$V$7)))+$U$8*IF(AND(O1333&gt;=$V$8,O1333&lt;=$W$8),1,0))/$U$9*100,2)</f>
        <v>68.29</v>
      </c>
      <c r="C1333" s="27" t="s">
        <v>2061</v>
      </c>
      <c r="D1333" s="25" t="s">
        <v>134</v>
      </c>
      <c r="E1333" s="25" t="s">
        <v>3447</v>
      </c>
      <c r="F1333" s="25" t="s">
        <v>3457</v>
      </c>
      <c r="G1333" s="38" t="s">
        <v>30</v>
      </c>
      <c r="H1333" s="28" t="s">
        <v>25</v>
      </c>
      <c r="I1333" s="25" t="n">
        <v>2</v>
      </c>
      <c r="J1333" s="25" t="n">
        <v>1</v>
      </c>
      <c r="K1333" s="25" t="n">
        <v>2</v>
      </c>
      <c r="L1333" s="29" t="n">
        <v>0.72</v>
      </c>
      <c r="M1333" s="30" t="n">
        <v>26.47</v>
      </c>
      <c r="N1333" s="29" t="n">
        <v>0</v>
      </c>
      <c r="O1333" s="25" t="n">
        <v>183</v>
      </c>
      <c r="P1333" s="30" t="n">
        <v>7.34</v>
      </c>
      <c r="Q1333" s="27" t="s">
        <v>3566</v>
      </c>
      <c r="R1333" s="27" t="s">
        <v>183</v>
      </c>
    </row>
    <row r="1334" customFormat="false" ht="15" hidden="false" customHeight="false" outlineLevel="0" collapsed="false">
      <c r="A1334" s="25" t="n">
        <f aca="false">IF(G1334="REJECT",COUNTIF($G$2:$G$2277,"&lt;&gt;REJECT")+1+COUNTIFS($G$2:$G$2277,"REJECT",$B$2:$B$2277,"&gt;"&amp;B1334),1+COUNTIFS($G$2:$G$2277,"&lt;&gt;REJECT",$B$2:$B$2277,"&gt;"&amp;B1334))</f>
        <v>1333</v>
      </c>
      <c r="B1334" s="26" t="n">
        <f aca="false">ROUND(($U$2*MAX(0,MIN(1,($W$2-I1334)/($W$2-$V$2)))+$U$3*MAX(0,MIN(1,($W$3-J1334)/($W$3-$V$3)))+$U$4*MAX(0,MIN(1,($W$4-K1334)/($W$4-$V$4)))+$U$5*MAX(0,MIN(1,($W$5-L1334)/($W$5-$V$5)))+$U$6*MAX(0,MIN(1,($W$6-M1334)/($W$6-$V$6)))+$U$7*MAX(0,MIN(1,($W$7-N1334)/($W$7-$V$7)))+$U$8*IF(AND(O1334&gt;=$V$8,O1334&lt;=$W$8),1,0))/$U$9*100,2)</f>
        <v>68.19</v>
      </c>
      <c r="C1334" s="27" t="s">
        <v>2332</v>
      </c>
      <c r="D1334" s="25" t="s">
        <v>3459</v>
      </c>
      <c r="E1334" s="25" t="s">
        <v>3450</v>
      </c>
      <c r="F1334" s="25" t="s">
        <v>3448</v>
      </c>
      <c r="G1334" s="38" t="s">
        <v>30</v>
      </c>
      <c r="H1334" s="28" t="s">
        <v>25</v>
      </c>
      <c r="I1334" s="25" t="n">
        <v>2</v>
      </c>
      <c r="J1334" s="25" t="n">
        <v>1</v>
      </c>
      <c r="K1334" s="25" t="n">
        <v>2</v>
      </c>
      <c r="L1334" s="29" t="n">
        <v>0.69</v>
      </c>
      <c r="M1334" s="30" t="n">
        <v>12.64</v>
      </c>
      <c r="N1334" s="29" t="n">
        <v>0.36</v>
      </c>
      <c r="O1334" s="25" t="n">
        <v>182</v>
      </c>
      <c r="P1334" s="30" t="n">
        <v>8.81</v>
      </c>
      <c r="Q1334" s="27" t="s">
        <v>3575</v>
      </c>
      <c r="R1334" s="27" t="s">
        <v>1152</v>
      </c>
    </row>
    <row r="1335" customFormat="false" ht="15" hidden="false" customHeight="false" outlineLevel="0" collapsed="false">
      <c r="A1335" s="25" t="n">
        <f aca="false">IF(G1335="REJECT",COUNTIF($G$2:$G$2277,"&lt;&gt;REJECT")+1+COUNTIFS($G$2:$G$2277,"REJECT",$B$2:$B$2277,"&gt;"&amp;B1335),1+COUNTIFS($G$2:$G$2277,"&lt;&gt;REJECT",$B$2:$B$2277,"&gt;"&amp;B1335))</f>
        <v>1333</v>
      </c>
      <c r="B1335" s="26" t="n">
        <f aca="false">ROUND(($U$2*MAX(0,MIN(1,($W$2-I1335)/($W$2-$V$2)))+$U$3*MAX(0,MIN(1,($W$3-J1335)/($W$3-$V$3)))+$U$4*MAX(0,MIN(1,($W$4-K1335)/($W$4-$V$4)))+$U$5*MAX(0,MIN(1,($W$5-L1335)/($W$5-$V$5)))+$U$6*MAX(0,MIN(1,($W$6-M1335)/($W$6-$V$6)))+$U$7*MAX(0,MIN(1,($W$7-N1335)/($W$7-$V$7)))+$U$8*IF(AND(O1335&gt;=$V$8,O1335&lt;=$W$8),1,0))/$U$9*100,2)</f>
        <v>68.19</v>
      </c>
      <c r="C1335" s="27" t="s">
        <v>2435</v>
      </c>
      <c r="D1335" s="25" t="s">
        <v>3459</v>
      </c>
      <c r="E1335" s="25" t="s">
        <v>3447</v>
      </c>
      <c r="F1335" s="25" t="s">
        <v>3448</v>
      </c>
      <c r="G1335" s="38" t="s">
        <v>30</v>
      </c>
      <c r="H1335" s="28" t="s">
        <v>25</v>
      </c>
      <c r="I1335" s="25" t="n">
        <v>2</v>
      </c>
      <c r="J1335" s="25" t="n">
        <v>1</v>
      </c>
      <c r="K1335" s="25" t="n">
        <v>2</v>
      </c>
      <c r="L1335" s="29" t="n">
        <v>0.73</v>
      </c>
      <c r="M1335" s="30" t="n">
        <v>21.44</v>
      </c>
      <c r="N1335" s="29" t="n">
        <v>0.92</v>
      </c>
      <c r="O1335" s="25" t="n">
        <v>184</v>
      </c>
      <c r="P1335" s="30" t="n">
        <v>2.59</v>
      </c>
      <c r="Q1335" s="27" t="s">
        <v>3626</v>
      </c>
      <c r="R1335" s="27" t="s">
        <v>157</v>
      </c>
    </row>
    <row r="1336" customFormat="false" ht="15" hidden="false" customHeight="false" outlineLevel="0" collapsed="false">
      <c r="A1336" s="25" t="n">
        <f aca="false">IF(G1336="REJECT",COUNTIF($G$2:$G$2277,"&lt;&gt;REJECT")+1+COUNTIFS($G$2:$G$2277,"REJECT",$B$2:$B$2277,"&gt;"&amp;B1336),1+COUNTIFS($G$2:$G$2277,"&lt;&gt;REJECT",$B$2:$B$2277,"&gt;"&amp;B1336))</f>
        <v>1335</v>
      </c>
      <c r="B1336" s="26" t="n">
        <f aca="false">ROUND(($U$2*MAX(0,MIN(1,($W$2-I1336)/($W$2-$V$2)))+$U$3*MAX(0,MIN(1,($W$3-J1336)/($W$3-$V$3)))+$U$4*MAX(0,MIN(1,($W$4-K1336)/($W$4-$V$4)))+$U$5*MAX(0,MIN(1,($W$5-L1336)/($W$5-$V$5)))+$U$6*MAX(0,MIN(1,($W$6-M1336)/($W$6-$V$6)))+$U$7*MAX(0,MIN(1,($W$7-N1336)/($W$7-$V$7)))+$U$8*IF(AND(O1336&gt;=$V$8,O1336&lt;=$W$8),1,0))/$U$9*100,2)</f>
        <v>68.17</v>
      </c>
      <c r="C1336" s="27" t="s">
        <v>1156</v>
      </c>
      <c r="D1336" s="25" t="s">
        <v>134</v>
      </c>
      <c r="E1336" s="25" t="s">
        <v>3450</v>
      </c>
      <c r="F1336" s="25" t="s">
        <v>3457</v>
      </c>
      <c r="G1336" s="38" t="s">
        <v>30</v>
      </c>
      <c r="H1336" s="28" t="s">
        <v>25</v>
      </c>
      <c r="I1336" s="25" t="n">
        <v>2</v>
      </c>
      <c r="J1336" s="25" t="n">
        <v>1</v>
      </c>
      <c r="K1336" s="25" t="n">
        <v>2</v>
      </c>
      <c r="L1336" s="29" t="n">
        <v>0.72</v>
      </c>
      <c r="M1336" s="30" t="n">
        <v>25.18</v>
      </c>
      <c r="N1336" s="29" t="n">
        <v>0.2</v>
      </c>
      <c r="O1336" s="25" t="n">
        <v>187</v>
      </c>
      <c r="P1336" s="30" t="n">
        <v>14.65</v>
      </c>
      <c r="Q1336" s="27" t="s">
        <v>3575</v>
      </c>
      <c r="R1336" s="27" t="s">
        <v>163</v>
      </c>
    </row>
    <row r="1337" customFormat="false" ht="15" hidden="false" customHeight="false" outlineLevel="0" collapsed="false">
      <c r="A1337" s="25" t="n">
        <f aca="false">IF(G1337="REJECT",COUNTIF($G$2:$G$2277,"&lt;&gt;REJECT")+1+COUNTIFS($G$2:$G$2277,"REJECT",$B$2:$B$2277,"&gt;"&amp;B1337),1+COUNTIFS($G$2:$G$2277,"&lt;&gt;REJECT",$B$2:$B$2277,"&gt;"&amp;B1337))</f>
        <v>1336</v>
      </c>
      <c r="B1337" s="26" t="n">
        <f aca="false">ROUND(($U$2*MAX(0,MIN(1,($W$2-I1337)/($W$2-$V$2)))+$U$3*MAX(0,MIN(1,($W$3-J1337)/($W$3-$V$3)))+$U$4*MAX(0,MIN(1,($W$4-K1337)/($W$4-$V$4)))+$U$5*MAX(0,MIN(1,($W$5-L1337)/($W$5-$V$5)))+$U$6*MAX(0,MIN(1,($W$6-M1337)/($W$6-$V$6)))+$U$7*MAX(0,MIN(1,($W$7-N1337)/($W$7-$V$7)))+$U$8*IF(AND(O1337&gt;=$V$8,O1337&lt;=$W$8),1,0))/$U$9*100,2)</f>
        <v>68.13</v>
      </c>
      <c r="C1337" s="27" t="s">
        <v>911</v>
      </c>
      <c r="D1337" s="25" t="s">
        <v>134</v>
      </c>
      <c r="E1337" s="25" t="s">
        <v>3450</v>
      </c>
      <c r="F1337" s="25" t="s">
        <v>3448</v>
      </c>
      <c r="G1337" s="38" t="s">
        <v>30</v>
      </c>
      <c r="H1337" s="28" t="s">
        <v>25</v>
      </c>
      <c r="I1337" s="25" t="n">
        <v>2</v>
      </c>
      <c r="J1337" s="25" t="n">
        <v>1</v>
      </c>
      <c r="K1337" s="25" t="n">
        <v>2</v>
      </c>
      <c r="L1337" s="29" t="n">
        <v>0.71</v>
      </c>
      <c r="M1337" s="30" t="n">
        <v>22.65</v>
      </c>
      <c r="N1337" s="29" t="n">
        <v>0.12</v>
      </c>
      <c r="O1337" s="25" t="n">
        <v>190</v>
      </c>
      <c r="P1337" s="30" t="n">
        <v>9.61</v>
      </c>
      <c r="Q1337" s="27" t="s">
        <v>3575</v>
      </c>
      <c r="R1337" s="27" t="s">
        <v>183</v>
      </c>
    </row>
    <row r="1338" customFormat="false" ht="15" hidden="false" customHeight="false" outlineLevel="0" collapsed="false">
      <c r="A1338" s="25" t="n">
        <f aca="false">IF(G1338="REJECT",COUNTIF($G$2:$G$2277,"&lt;&gt;REJECT")+1+COUNTIFS($G$2:$G$2277,"REJECT",$B$2:$B$2277,"&gt;"&amp;B1338),1+COUNTIFS($G$2:$G$2277,"&lt;&gt;REJECT",$B$2:$B$2277,"&gt;"&amp;B1338))</f>
        <v>1337</v>
      </c>
      <c r="B1338" s="26" t="n">
        <f aca="false">ROUND(($U$2*MAX(0,MIN(1,($W$2-I1338)/($W$2-$V$2)))+$U$3*MAX(0,MIN(1,($W$3-J1338)/($W$3-$V$3)))+$U$4*MAX(0,MIN(1,($W$4-K1338)/($W$4-$V$4)))+$U$5*MAX(0,MIN(1,($W$5-L1338)/($W$5-$V$5)))+$U$6*MAX(0,MIN(1,($W$6-M1338)/($W$6-$V$6)))+$U$7*MAX(0,MIN(1,($W$7-N1338)/($W$7-$V$7)))+$U$8*IF(AND(O1338&gt;=$V$8,O1338&lt;=$W$8),1,0))/$U$9*100,2)</f>
        <v>68.12</v>
      </c>
      <c r="C1338" s="27" t="s">
        <v>354</v>
      </c>
      <c r="D1338" s="25" t="s">
        <v>134</v>
      </c>
      <c r="E1338" s="25" t="s">
        <v>3447</v>
      </c>
      <c r="F1338" s="25" t="s">
        <v>3448</v>
      </c>
      <c r="G1338" s="38" t="s">
        <v>30</v>
      </c>
      <c r="H1338" s="28" t="s">
        <v>25</v>
      </c>
      <c r="I1338" s="25" t="n">
        <v>4</v>
      </c>
      <c r="J1338" s="25" t="n">
        <v>0</v>
      </c>
      <c r="K1338" s="25" t="n">
        <v>4</v>
      </c>
      <c r="L1338" s="29" t="n">
        <v>0.71</v>
      </c>
      <c r="M1338" s="30" t="n">
        <v>4.88</v>
      </c>
      <c r="N1338" s="29" t="n">
        <v>0.4</v>
      </c>
      <c r="O1338" s="25" t="n">
        <v>183</v>
      </c>
      <c r="P1338" s="30" t="n">
        <v>-0.44</v>
      </c>
      <c r="Q1338" s="27" t="s">
        <v>3607</v>
      </c>
      <c r="R1338" s="27" t="s">
        <v>2133</v>
      </c>
    </row>
    <row r="1339" customFormat="false" ht="15" hidden="false" customHeight="false" outlineLevel="0" collapsed="false">
      <c r="A1339" s="25" t="n">
        <f aca="false">IF(G1339="REJECT",COUNTIF($G$2:$G$2277,"&lt;&gt;REJECT")+1+COUNTIFS($G$2:$G$2277,"REJECT",$B$2:$B$2277,"&gt;"&amp;B1339),1+COUNTIFS($G$2:$G$2277,"&lt;&gt;REJECT",$B$2:$B$2277,"&gt;"&amp;B1339))</f>
        <v>1338</v>
      </c>
      <c r="B1339" s="26" t="n">
        <f aca="false">ROUND(($U$2*MAX(0,MIN(1,($W$2-I1339)/($W$2-$V$2)))+$U$3*MAX(0,MIN(1,($W$3-J1339)/($W$3-$V$3)))+$U$4*MAX(0,MIN(1,($W$4-K1339)/($W$4-$V$4)))+$U$5*MAX(0,MIN(1,($W$5-L1339)/($W$5-$V$5)))+$U$6*MAX(0,MIN(1,($W$6-M1339)/($W$6-$V$6)))+$U$7*MAX(0,MIN(1,($W$7-N1339)/($W$7-$V$7)))+$U$8*IF(AND(O1339&gt;=$V$8,O1339&lt;=$W$8),1,0))/$U$9*100,2)</f>
        <v>68.11</v>
      </c>
      <c r="C1339" s="27" t="s">
        <v>702</v>
      </c>
      <c r="D1339" s="25" t="s">
        <v>3459</v>
      </c>
      <c r="E1339" s="25" t="s">
        <v>3447</v>
      </c>
      <c r="F1339" s="25" t="s">
        <v>3448</v>
      </c>
      <c r="G1339" s="38" t="s">
        <v>30</v>
      </c>
      <c r="H1339" s="28" t="s">
        <v>25</v>
      </c>
      <c r="I1339" s="25" t="n">
        <v>4</v>
      </c>
      <c r="J1339" s="25" t="n">
        <v>0</v>
      </c>
      <c r="K1339" s="25" t="n">
        <v>4</v>
      </c>
      <c r="L1339" s="29" t="n">
        <v>0.75</v>
      </c>
      <c r="M1339" s="30" t="n">
        <v>21.76</v>
      </c>
      <c r="N1339" s="29" t="n">
        <v>0.16</v>
      </c>
      <c r="O1339" s="25" t="n">
        <v>184</v>
      </c>
      <c r="P1339" s="30" t="n">
        <v>0.99</v>
      </c>
      <c r="Q1339" s="27" t="s">
        <v>3661</v>
      </c>
      <c r="R1339" s="27" t="s">
        <v>992</v>
      </c>
    </row>
    <row r="1340" customFormat="false" ht="15" hidden="false" customHeight="false" outlineLevel="0" collapsed="false">
      <c r="A1340" s="25" t="n">
        <f aca="false">IF(G1340="REJECT",COUNTIF($G$2:$G$2277,"&lt;&gt;REJECT")+1+COUNTIFS($G$2:$G$2277,"REJECT",$B$2:$B$2277,"&gt;"&amp;B1340),1+COUNTIFS($G$2:$G$2277,"&lt;&gt;REJECT",$B$2:$B$2277,"&gt;"&amp;B1340))</f>
        <v>1339</v>
      </c>
      <c r="B1340" s="26" t="n">
        <f aca="false">ROUND(($U$2*MAX(0,MIN(1,($W$2-I1340)/($W$2-$V$2)))+$U$3*MAX(0,MIN(1,($W$3-J1340)/($W$3-$V$3)))+$U$4*MAX(0,MIN(1,($W$4-K1340)/($W$4-$V$4)))+$U$5*MAX(0,MIN(1,($W$5-L1340)/($W$5-$V$5)))+$U$6*MAX(0,MIN(1,($W$6-M1340)/($W$6-$V$6)))+$U$7*MAX(0,MIN(1,($W$7-N1340)/($W$7-$V$7)))+$U$8*IF(AND(O1340&gt;=$V$8,O1340&lt;=$W$8),1,0))/$U$9*100,2)</f>
        <v>68.09</v>
      </c>
      <c r="C1340" s="27" t="s">
        <v>1400</v>
      </c>
      <c r="D1340" s="25" t="s">
        <v>134</v>
      </c>
      <c r="E1340" s="25" t="s">
        <v>3450</v>
      </c>
      <c r="F1340" s="25" t="s">
        <v>3448</v>
      </c>
      <c r="G1340" s="38" t="s">
        <v>30</v>
      </c>
      <c r="H1340" s="28" t="s">
        <v>25</v>
      </c>
      <c r="I1340" s="25" t="n">
        <v>2</v>
      </c>
      <c r="J1340" s="25" t="n">
        <v>1</v>
      </c>
      <c r="K1340" s="25" t="n">
        <v>2</v>
      </c>
      <c r="L1340" s="29" t="n">
        <v>0.72</v>
      </c>
      <c r="M1340" s="30" t="n">
        <v>18.45</v>
      </c>
      <c r="N1340" s="29" t="n">
        <v>0.92</v>
      </c>
      <c r="O1340" s="25" t="n">
        <v>183</v>
      </c>
      <c r="P1340" s="30" t="n">
        <v>4.7</v>
      </c>
      <c r="Q1340" s="27" t="s">
        <v>3575</v>
      </c>
      <c r="R1340" s="27" t="s">
        <v>1152</v>
      </c>
    </row>
    <row r="1341" customFormat="false" ht="15" hidden="false" customHeight="false" outlineLevel="0" collapsed="false">
      <c r="A1341" s="25" t="n">
        <f aca="false">IF(G1341="REJECT",COUNTIF($G$2:$G$2277,"&lt;&gt;REJECT")+1+COUNTIFS($G$2:$G$2277,"REJECT",$B$2:$B$2277,"&gt;"&amp;B1341),1+COUNTIFS($G$2:$G$2277,"&lt;&gt;REJECT",$B$2:$B$2277,"&gt;"&amp;B1341))</f>
        <v>1340</v>
      </c>
      <c r="B1341" s="26" t="n">
        <f aca="false">ROUND(($U$2*MAX(0,MIN(1,($W$2-I1341)/($W$2-$V$2)))+$U$3*MAX(0,MIN(1,($W$3-J1341)/($W$3-$V$3)))+$U$4*MAX(0,MIN(1,($W$4-K1341)/($W$4-$V$4)))+$U$5*MAX(0,MIN(1,($W$5-L1341)/($W$5-$V$5)))+$U$6*MAX(0,MIN(1,($W$6-M1341)/($W$6-$V$6)))+$U$7*MAX(0,MIN(1,($W$7-N1341)/($W$7-$V$7)))+$U$8*IF(AND(O1341&gt;=$V$8,O1341&lt;=$W$8),1,0))/$U$9*100,2)</f>
        <v>68.08</v>
      </c>
      <c r="C1341" s="27" t="s">
        <v>756</v>
      </c>
      <c r="D1341" s="25" t="s">
        <v>134</v>
      </c>
      <c r="E1341" s="25" t="s">
        <v>3447</v>
      </c>
      <c r="F1341" s="25" t="s">
        <v>3457</v>
      </c>
      <c r="G1341" s="38" t="s">
        <v>30</v>
      </c>
      <c r="H1341" s="28" t="s">
        <v>25</v>
      </c>
      <c r="I1341" s="25" t="n">
        <v>2</v>
      </c>
      <c r="J1341" s="25" t="n">
        <v>1</v>
      </c>
      <c r="K1341" s="25" t="n">
        <v>2</v>
      </c>
      <c r="L1341" s="29" t="n">
        <v>0.71</v>
      </c>
      <c r="M1341" s="30" t="n">
        <v>15.35</v>
      </c>
      <c r="N1341" s="29" t="n">
        <v>0.88</v>
      </c>
      <c r="O1341" s="25" t="n">
        <v>185</v>
      </c>
      <c r="P1341" s="30" t="n">
        <v>15.8</v>
      </c>
      <c r="Q1341" s="27" t="s">
        <v>3575</v>
      </c>
      <c r="R1341" s="27" t="s">
        <v>283</v>
      </c>
    </row>
    <row r="1342" customFormat="false" ht="15" hidden="false" customHeight="false" outlineLevel="0" collapsed="false">
      <c r="A1342" s="25" t="n">
        <f aca="false">IF(G1342="REJECT",COUNTIF($G$2:$G$2277,"&lt;&gt;REJECT")+1+COUNTIFS($G$2:$G$2277,"REJECT",$B$2:$B$2277,"&gt;"&amp;B1342),1+COUNTIFS($G$2:$G$2277,"&lt;&gt;REJECT",$B$2:$B$2277,"&gt;"&amp;B1342))</f>
        <v>1341</v>
      </c>
      <c r="B1342" s="26" t="n">
        <f aca="false">ROUND(($U$2*MAX(0,MIN(1,($W$2-I1342)/($W$2-$V$2)))+$U$3*MAX(0,MIN(1,($W$3-J1342)/($W$3-$V$3)))+$U$4*MAX(0,MIN(1,($W$4-K1342)/($W$4-$V$4)))+$U$5*MAX(0,MIN(1,($W$5-L1342)/($W$5-$V$5)))+$U$6*MAX(0,MIN(1,($W$6-M1342)/($W$6-$V$6)))+$U$7*MAX(0,MIN(1,($W$7-N1342)/($W$7-$V$7)))+$U$8*IF(AND(O1342&gt;=$V$8,O1342&lt;=$W$8),1,0))/$U$9*100,2)</f>
        <v>68.05</v>
      </c>
      <c r="C1342" s="27" t="s">
        <v>839</v>
      </c>
      <c r="D1342" s="25" t="s">
        <v>134</v>
      </c>
      <c r="E1342" s="25" t="s">
        <v>3447</v>
      </c>
      <c r="F1342" s="25" t="s">
        <v>3457</v>
      </c>
      <c r="G1342" s="38" t="s">
        <v>30</v>
      </c>
      <c r="H1342" s="28" t="s">
        <v>25</v>
      </c>
      <c r="I1342" s="25" t="n">
        <v>3</v>
      </c>
      <c r="J1342" s="25" t="n">
        <v>1</v>
      </c>
      <c r="K1342" s="25" t="n">
        <v>3</v>
      </c>
      <c r="L1342" s="29" t="n">
        <v>0.78</v>
      </c>
      <c r="M1342" s="30" t="n">
        <v>2.82</v>
      </c>
      <c r="N1342" s="29" t="n">
        <v>0.92</v>
      </c>
      <c r="O1342" s="25" t="n">
        <v>186</v>
      </c>
      <c r="P1342" s="30" t="n">
        <v>-1.05</v>
      </c>
      <c r="Q1342" s="27" t="s">
        <v>3662</v>
      </c>
      <c r="R1342" s="27" t="s">
        <v>283</v>
      </c>
    </row>
    <row r="1343" customFormat="false" ht="15" hidden="false" customHeight="false" outlineLevel="0" collapsed="false">
      <c r="A1343" s="25" t="n">
        <f aca="false">IF(G1343="REJECT",COUNTIF($G$2:$G$2277,"&lt;&gt;REJECT")+1+COUNTIFS($G$2:$G$2277,"REJECT",$B$2:$B$2277,"&gt;"&amp;B1343),1+COUNTIFS($G$2:$G$2277,"&lt;&gt;REJECT",$B$2:$B$2277,"&gt;"&amp;B1343))</f>
        <v>1342</v>
      </c>
      <c r="B1343" s="26" t="n">
        <f aca="false">ROUND(($U$2*MAX(0,MIN(1,($W$2-I1343)/($W$2-$V$2)))+$U$3*MAX(0,MIN(1,($W$3-J1343)/($W$3-$V$3)))+$U$4*MAX(0,MIN(1,($W$4-K1343)/($W$4-$V$4)))+$U$5*MAX(0,MIN(1,($W$5-L1343)/($W$5-$V$5)))+$U$6*MAX(0,MIN(1,($W$6-M1343)/($W$6-$V$6)))+$U$7*MAX(0,MIN(1,($W$7-N1343)/($W$7-$V$7)))+$U$8*IF(AND(O1343&gt;=$V$8,O1343&lt;=$W$8),1,0))/$U$9*100,2)</f>
        <v>68.04</v>
      </c>
      <c r="C1343" s="27" t="s">
        <v>2595</v>
      </c>
      <c r="D1343" s="25" t="s">
        <v>134</v>
      </c>
      <c r="E1343" s="25" t="s">
        <v>3447</v>
      </c>
      <c r="F1343" s="25" t="s">
        <v>3457</v>
      </c>
      <c r="G1343" s="38" t="s">
        <v>30</v>
      </c>
      <c r="H1343" s="28" t="s">
        <v>25</v>
      </c>
      <c r="I1343" s="25" t="n">
        <v>4</v>
      </c>
      <c r="J1343" s="25" t="n">
        <v>0</v>
      </c>
      <c r="K1343" s="25" t="n">
        <v>4</v>
      </c>
      <c r="L1343" s="29" t="n">
        <v>0.78</v>
      </c>
      <c r="M1343" s="30" t="n">
        <v>26.95</v>
      </c>
      <c r="N1343" s="29" t="n">
        <v>0.76</v>
      </c>
      <c r="O1343" s="25" t="n">
        <v>185</v>
      </c>
      <c r="P1343" s="30" t="n">
        <v>0.17</v>
      </c>
      <c r="Q1343" s="27" t="s">
        <v>3612</v>
      </c>
      <c r="R1343" s="27" t="s">
        <v>992</v>
      </c>
    </row>
    <row r="1344" customFormat="false" ht="15" hidden="false" customHeight="false" outlineLevel="0" collapsed="false">
      <c r="A1344" s="25" t="n">
        <f aca="false">IF(G1344="REJECT",COUNTIF($G$2:$G$2277,"&lt;&gt;REJECT")+1+COUNTIFS($G$2:$G$2277,"REJECT",$B$2:$B$2277,"&gt;"&amp;B1344),1+COUNTIFS($G$2:$G$2277,"&lt;&gt;REJECT",$B$2:$B$2277,"&gt;"&amp;B1344))</f>
        <v>1343</v>
      </c>
      <c r="B1344" s="26" t="n">
        <f aca="false">ROUND(($U$2*MAX(0,MIN(1,($W$2-I1344)/($W$2-$V$2)))+$U$3*MAX(0,MIN(1,($W$3-J1344)/($W$3-$V$3)))+$U$4*MAX(0,MIN(1,($W$4-K1344)/($W$4-$V$4)))+$U$5*MAX(0,MIN(1,($W$5-L1344)/($W$5-$V$5)))+$U$6*MAX(0,MIN(1,($W$6-M1344)/($W$6-$V$6)))+$U$7*MAX(0,MIN(1,($W$7-N1344)/($W$7-$V$7)))+$U$8*IF(AND(O1344&gt;=$V$8,O1344&lt;=$W$8),1,0))/$U$9*100,2)</f>
        <v>68</v>
      </c>
      <c r="C1344" s="27" t="s">
        <v>2973</v>
      </c>
      <c r="D1344" s="25" t="s">
        <v>134</v>
      </c>
      <c r="E1344" s="25" t="s">
        <v>3450</v>
      </c>
      <c r="F1344" s="25" t="s">
        <v>3457</v>
      </c>
      <c r="G1344" s="38" t="s">
        <v>30</v>
      </c>
      <c r="H1344" s="28" t="s">
        <v>25</v>
      </c>
      <c r="I1344" s="25" t="n">
        <v>2</v>
      </c>
      <c r="J1344" s="25" t="n">
        <v>1</v>
      </c>
      <c r="K1344" s="25" t="n">
        <v>2</v>
      </c>
      <c r="L1344" s="29" t="n">
        <v>0.73</v>
      </c>
      <c r="M1344" s="30" t="n">
        <v>23.41</v>
      </c>
      <c r="N1344" s="29" t="n">
        <v>0.84</v>
      </c>
      <c r="O1344" s="25" t="n">
        <v>205</v>
      </c>
      <c r="P1344" s="30" t="n">
        <v>13.8</v>
      </c>
      <c r="Q1344" s="27" t="s">
        <v>3575</v>
      </c>
      <c r="R1344" s="27" t="s">
        <v>183</v>
      </c>
    </row>
    <row r="1345" customFormat="false" ht="15" hidden="false" customHeight="false" outlineLevel="0" collapsed="false">
      <c r="A1345" s="25" t="n">
        <f aca="false">IF(G1345="REJECT",COUNTIF($G$2:$G$2277,"&lt;&gt;REJECT")+1+COUNTIFS($G$2:$G$2277,"REJECT",$B$2:$B$2277,"&gt;"&amp;B1345),1+COUNTIFS($G$2:$G$2277,"&lt;&gt;REJECT",$B$2:$B$2277,"&gt;"&amp;B1345))</f>
        <v>1344</v>
      </c>
      <c r="B1345" s="26" t="n">
        <f aca="false">ROUND(($U$2*MAX(0,MIN(1,($W$2-I1345)/($W$2-$V$2)))+$U$3*MAX(0,MIN(1,($W$3-J1345)/($W$3-$V$3)))+$U$4*MAX(0,MIN(1,($W$4-K1345)/($W$4-$V$4)))+$U$5*MAX(0,MIN(1,($W$5-L1345)/($W$5-$V$5)))+$U$6*MAX(0,MIN(1,($W$6-M1345)/($W$6-$V$6)))+$U$7*MAX(0,MIN(1,($W$7-N1345)/($W$7-$V$7)))+$U$8*IF(AND(O1345&gt;=$V$8,O1345&lt;=$W$8),1,0))/$U$9*100,2)</f>
        <v>67.98</v>
      </c>
      <c r="C1345" s="27" t="s">
        <v>1583</v>
      </c>
      <c r="D1345" s="25" t="s">
        <v>134</v>
      </c>
      <c r="E1345" s="25" t="s">
        <v>3447</v>
      </c>
      <c r="F1345" s="25" t="s">
        <v>3457</v>
      </c>
      <c r="G1345" s="38" t="s">
        <v>30</v>
      </c>
      <c r="H1345" s="28" t="s">
        <v>25</v>
      </c>
      <c r="I1345" s="25" t="n">
        <v>4</v>
      </c>
      <c r="J1345" s="25" t="n">
        <v>0</v>
      </c>
      <c r="K1345" s="25" t="n">
        <v>4</v>
      </c>
      <c r="L1345" s="29" t="n">
        <v>0.76</v>
      </c>
      <c r="M1345" s="30" t="n">
        <v>20.11</v>
      </c>
      <c r="N1345" s="29" t="n">
        <v>0.76</v>
      </c>
      <c r="O1345" s="25" t="n">
        <v>189</v>
      </c>
      <c r="P1345" s="30" t="n">
        <v>10.96</v>
      </c>
      <c r="Q1345" s="27" t="s">
        <v>3621</v>
      </c>
      <c r="R1345" s="27" t="s">
        <v>992</v>
      </c>
    </row>
    <row r="1346" customFormat="false" ht="15" hidden="false" customHeight="false" outlineLevel="0" collapsed="false">
      <c r="A1346" s="25" t="n">
        <f aca="false">IF(G1346="REJECT",COUNTIF($G$2:$G$2277,"&lt;&gt;REJECT")+1+COUNTIFS($G$2:$G$2277,"REJECT",$B$2:$B$2277,"&gt;"&amp;B1346),1+COUNTIFS($G$2:$G$2277,"&lt;&gt;REJECT",$B$2:$B$2277,"&gt;"&amp;B1346))</f>
        <v>1345</v>
      </c>
      <c r="B1346" s="26" t="n">
        <f aca="false">ROUND(($U$2*MAX(0,MIN(1,($W$2-I1346)/($W$2-$V$2)))+$U$3*MAX(0,MIN(1,($W$3-J1346)/($W$3-$V$3)))+$U$4*MAX(0,MIN(1,($W$4-K1346)/($W$4-$V$4)))+$U$5*MAX(0,MIN(1,($W$5-L1346)/($W$5-$V$5)))+$U$6*MAX(0,MIN(1,($W$6-M1346)/($W$6-$V$6)))+$U$7*MAX(0,MIN(1,($W$7-N1346)/($W$7-$V$7)))+$U$8*IF(AND(O1346&gt;=$V$8,O1346&lt;=$W$8),1,0))/$U$9*100,2)</f>
        <v>67.97</v>
      </c>
      <c r="C1346" s="27" t="s">
        <v>637</v>
      </c>
      <c r="D1346" s="25" t="s">
        <v>3459</v>
      </c>
      <c r="E1346" s="25" t="s">
        <v>3450</v>
      </c>
      <c r="F1346" s="25" t="s">
        <v>3448</v>
      </c>
      <c r="G1346" s="38" t="s">
        <v>30</v>
      </c>
      <c r="H1346" s="28" t="s">
        <v>25</v>
      </c>
      <c r="I1346" s="25" t="n">
        <v>2</v>
      </c>
      <c r="J1346" s="25" t="n">
        <v>1</v>
      </c>
      <c r="K1346" s="25" t="n">
        <v>2</v>
      </c>
      <c r="L1346" s="29" t="n">
        <v>0.7</v>
      </c>
      <c r="M1346" s="30" t="n">
        <v>13.96</v>
      </c>
      <c r="N1346" s="29" t="n">
        <v>0.72</v>
      </c>
      <c r="O1346" s="25" t="n">
        <v>158</v>
      </c>
      <c r="P1346" s="30" t="n">
        <v>-1.05</v>
      </c>
      <c r="Q1346" s="27" t="s">
        <v>3575</v>
      </c>
      <c r="R1346" s="27" t="s">
        <v>1230</v>
      </c>
    </row>
    <row r="1347" customFormat="false" ht="15" hidden="false" customHeight="false" outlineLevel="0" collapsed="false">
      <c r="A1347" s="25" t="n">
        <f aca="false">IF(G1347="REJECT",COUNTIF($G$2:$G$2277,"&lt;&gt;REJECT")+1+COUNTIFS($G$2:$G$2277,"REJECT",$B$2:$B$2277,"&gt;"&amp;B1347),1+COUNTIFS($G$2:$G$2277,"&lt;&gt;REJECT",$B$2:$B$2277,"&gt;"&amp;B1347))</f>
        <v>1346</v>
      </c>
      <c r="B1347" s="26" t="n">
        <f aca="false">ROUND(($U$2*MAX(0,MIN(1,($W$2-I1347)/($W$2-$V$2)))+$U$3*MAX(0,MIN(1,($W$3-J1347)/($W$3-$V$3)))+$U$4*MAX(0,MIN(1,($W$4-K1347)/($W$4-$V$4)))+$U$5*MAX(0,MIN(1,($W$5-L1347)/($W$5-$V$5)))+$U$6*MAX(0,MIN(1,($W$6-M1347)/($W$6-$V$6)))+$U$7*MAX(0,MIN(1,($W$7-N1347)/($W$7-$V$7)))+$U$8*IF(AND(O1347&gt;=$V$8,O1347&lt;=$W$8),1,0))/$U$9*100,2)</f>
        <v>67.96</v>
      </c>
      <c r="C1347" s="27" t="s">
        <v>1400</v>
      </c>
      <c r="D1347" s="25" t="s">
        <v>134</v>
      </c>
      <c r="E1347" s="25" t="s">
        <v>3447</v>
      </c>
      <c r="F1347" s="25" t="s">
        <v>3448</v>
      </c>
      <c r="G1347" s="38" t="s">
        <v>30</v>
      </c>
      <c r="H1347" s="28" t="s">
        <v>25</v>
      </c>
      <c r="I1347" s="25" t="n">
        <v>2</v>
      </c>
      <c r="J1347" s="25" t="n">
        <v>1</v>
      </c>
      <c r="K1347" s="25" t="n">
        <v>2</v>
      </c>
      <c r="L1347" s="29" t="n">
        <v>0.69</v>
      </c>
      <c r="M1347" s="30" t="n">
        <v>15.22</v>
      </c>
      <c r="N1347" s="29" t="n">
        <v>0.24</v>
      </c>
      <c r="O1347" s="25" t="n">
        <v>182</v>
      </c>
      <c r="P1347" s="30" t="n">
        <v>1.26</v>
      </c>
      <c r="Q1347" s="27" t="s">
        <v>3575</v>
      </c>
      <c r="R1347" s="27" t="s">
        <v>1152</v>
      </c>
    </row>
    <row r="1348" customFormat="false" ht="15" hidden="false" customHeight="false" outlineLevel="0" collapsed="false">
      <c r="A1348" s="25" t="n">
        <f aca="false">IF(G1348="REJECT",COUNTIF($G$2:$G$2277,"&lt;&gt;REJECT")+1+COUNTIFS($G$2:$G$2277,"REJECT",$B$2:$B$2277,"&gt;"&amp;B1348),1+COUNTIFS($G$2:$G$2277,"&lt;&gt;REJECT",$B$2:$B$2277,"&gt;"&amp;B1348))</f>
        <v>1347</v>
      </c>
      <c r="B1348" s="26" t="n">
        <f aca="false">ROUND(($U$2*MAX(0,MIN(1,($W$2-I1348)/($W$2-$V$2)))+$U$3*MAX(0,MIN(1,($W$3-J1348)/($W$3-$V$3)))+$U$4*MAX(0,MIN(1,($W$4-K1348)/($W$4-$V$4)))+$U$5*MAX(0,MIN(1,($W$5-L1348)/($W$5-$V$5)))+$U$6*MAX(0,MIN(1,($W$6-M1348)/($W$6-$V$6)))+$U$7*MAX(0,MIN(1,($W$7-N1348)/($W$7-$V$7)))+$U$8*IF(AND(O1348&gt;=$V$8,O1348&lt;=$W$8),1,0))/$U$9*100,2)</f>
        <v>67.95</v>
      </c>
      <c r="C1348" s="27" t="s">
        <v>1423</v>
      </c>
      <c r="D1348" s="25" t="s">
        <v>3459</v>
      </c>
      <c r="E1348" s="25" t="s">
        <v>3447</v>
      </c>
      <c r="F1348" s="25" t="s">
        <v>3448</v>
      </c>
      <c r="G1348" s="38" t="s">
        <v>30</v>
      </c>
      <c r="H1348" s="28" t="s">
        <v>25</v>
      </c>
      <c r="I1348" s="25" t="n">
        <v>3</v>
      </c>
      <c r="J1348" s="25" t="n">
        <v>1</v>
      </c>
      <c r="K1348" s="25" t="n">
        <v>3</v>
      </c>
      <c r="L1348" s="29" t="n">
        <v>0.79</v>
      </c>
      <c r="M1348" s="30" t="n">
        <v>11.8</v>
      </c>
      <c r="N1348" s="29" t="n">
        <v>0.44</v>
      </c>
      <c r="O1348" s="25" t="n">
        <v>184</v>
      </c>
      <c r="P1348" s="30" t="n">
        <v>-0.49</v>
      </c>
      <c r="Q1348" s="27" t="s">
        <v>3649</v>
      </c>
      <c r="R1348" s="27" t="s">
        <v>283</v>
      </c>
    </row>
    <row r="1349" customFormat="false" ht="15" hidden="false" customHeight="false" outlineLevel="0" collapsed="false">
      <c r="A1349" s="25" t="n">
        <f aca="false">IF(G1349="REJECT",COUNTIF($G$2:$G$2277,"&lt;&gt;REJECT")+1+COUNTIFS($G$2:$G$2277,"REJECT",$B$2:$B$2277,"&gt;"&amp;B1349),1+COUNTIFS($G$2:$G$2277,"&lt;&gt;REJECT",$B$2:$B$2277,"&gt;"&amp;B1349))</f>
        <v>1347</v>
      </c>
      <c r="B1349" s="26" t="n">
        <f aca="false">ROUND(($U$2*MAX(0,MIN(1,($W$2-I1349)/($W$2-$V$2)))+$U$3*MAX(0,MIN(1,($W$3-J1349)/($W$3-$V$3)))+$U$4*MAX(0,MIN(1,($W$4-K1349)/($W$4-$V$4)))+$U$5*MAX(0,MIN(1,($W$5-L1349)/($W$5-$V$5)))+$U$6*MAX(0,MIN(1,($W$6-M1349)/($W$6-$V$6)))+$U$7*MAX(0,MIN(1,($W$7-N1349)/($W$7-$V$7)))+$U$8*IF(AND(O1349&gt;=$V$8,O1349&lt;=$W$8),1,0))/$U$9*100,2)</f>
        <v>67.95</v>
      </c>
      <c r="C1349" s="27" t="s">
        <v>3225</v>
      </c>
      <c r="D1349" s="25" t="s">
        <v>134</v>
      </c>
      <c r="E1349" s="25" t="s">
        <v>3447</v>
      </c>
      <c r="F1349" s="25" t="s">
        <v>3457</v>
      </c>
      <c r="G1349" s="38" t="s">
        <v>30</v>
      </c>
      <c r="H1349" s="28" t="s">
        <v>25</v>
      </c>
      <c r="I1349" s="25" t="n">
        <v>2</v>
      </c>
      <c r="J1349" s="25" t="n">
        <v>1</v>
      </c>
      <c r="K1349" s="25" t="n">
        <v>2</v>
      </c>
      <c r="L1349" s="29" t="n">
        <v>0.67</v>
      </c>
      <c r="M1349" s="30" t="n">
        <v>5.31</v>
      </c>
      <c r="N1349" s="29" t="n">
        <v>0.52</v>
      </c>
      <c r="O1349" s="25" t="n">
        <v>183</v>
      </c>
      <c r="P1349" s="30" t="n">
        <v>-1.11</v>
      </c>
      <c r="Q1349" s="27" t="s">
        <v>3639</v>
      </c>
      <c r="R1349" s="27" t="s">
        <v>283</v>
      </c>
    </row>
    <row r="1350" customFormat="false" ht="15" hidden="false" customHeight="false" outlineLevel="0" collapsed="false">
      <c r="A1350" s="25" t="n">
        <f aca="false">IF(G1350="REJECT",COUNTIF($G$2:$G$2277,"&lt;&gt;REJECT")+1+COUNTIFS($G$2:$G$2277,"REJECT",$B$2:$B$2277,"&gt;"&amp;B1350),1+COUNTIFS($G$2:$G$2277,"&lt;&gt;REJECT",$B$2:$B$2277,"&gt;"&amp;B1350))</f>
        <v>1349</v>
      </c>
      <c r="B1350" s="26" t="n">
        <f aca="false">ROUND(($U$2*MAX(0,MIN(1,($W$2-I1350)/($W$2-$V$2)))+$U$3*MAX(0,MIN(1,($W$3-J1350)/($W$3-$V$3)))+$U$4*MAX(0,MIN(1,($W$4-K1350)/($W$4-$V$4)))+$U$5*MAX(0,MIN(1,($W$5-L1350)/($W$5-$V$5)))+$U$6*MAX(0,MIN(1,($W$6-M1350)/($W$6-$V$6)))+$U$7*MAX(0,MIN(1,($W$7-N1350)/($W$7-$V$7)))+$U$8*IF(AND(O1350&gt;=$V$8,O1350&lt;=$W$8),1,0))/$U$9*100,2)</f>
        <v>67.94</v>
      </c>
      <c r="C1350" s="27" t="s">
        <v>989</v>
      </c>
      <c r="D1350" s="25" t="s">
        <v>134</v>
      </c>
      <c r="E1350" s="25" t="s">
        <v>3447</v>
      </c>
      <c r="F1350" s="25" t="s">
        <v>3448</v>
      </c>
      <c r="G1350" s="38" t="s">
        <v>30</v>
      </c>
      <c r="H1350" s="33" t="s">
        <v>24</v>
      </c>
      <c r="I1350" s="25" t="n">
        <v>5</v>
      </c>
      <c r="J1350" s="25" t="n">
        <v>0</v>
      </c>
      <c r="K1350" s="25" t="n">
        <v>3</v>
      </c>
      <c r="L1350" s="29" t="n">
        <v>0.78</v>
      </c>
      <c r="M1350" s="30" t="n">
        <v>15.37</v>
      </c>
      <c r="N1350" s="29" t="n">
        <v>0.48</v>
      </c>
      <c r="O1350" s="25" t="n">
        <v>179</v>
      </c>
      <c r="P1350" s="30" t="n">
        <v>2.85</v>
      </c>
      <c r="Q1350" s="27" t="s">
        <v>3663</v>
      </c>
      <c r="R1350" s="27" t="s">
        <v>30</v>
      </c>
    </row>
    <row r="1351" customFormat="false" ht="15" hidden="false" customHeight="false" outlineLevel="0" collapsed="false">
      <c r="A1351" s="25" t="n">
        <f aca="false">IF(G1351="REJECT",COUNTIF($G$2:$G$2277,"&lt;&gt;REJECT")+1+COUNTIFS($G$2:$G$2277,"REJECT",$B$2:$B$2277,"&gt;"&amp;B1351),1+COUNTIFS($G$2:$G$2277,"&lt;&gt;REJECT",$B$2:$B$2277,"&gt;"&amp;B1351))</f>
        <v>1349</v>
      </c>
      <c r="B1351" s="26" t="n">
        <f aca="false">ROUND(($U$2*MAX(0,MIN(1,($W$2-I1351)/($W$2-$V$2)))+$U$3*MAX(0,MIN(1,($W$3-J1351)/($W$3-$V$3)))+$U$4*MAX(0,MIN(1,($W$4-K1351)/($W$4-$V$4)))+$U$5*MAX(0,MIN(1,($W$5-L1351)/($W$5-$V$5)))+$U$6*MAX(0,MIN(1,($W$6-M1351)/($W$6-$V$6)))+$U$7*MAX(0,MIN(1,($W$7-N1351)/($W$7-$V$7)))+$U$8*IF(AND(O1351&gt;=$V$8,O1351&lt;=$W$8),1,0))/$U$9*100,2)</f>
        <v>67.94</v>
      </c>
      <c r="C1351" s="27" t="s">
        <v>3418</v>
      </c>
      <c r="D1351" s="25" t="s">
        <v>3459</v>
      </c>
      <c r="E1351" s="25" t="s">
        <v>3447</v>
      </c>
      <c r="F1351" s="25" t="s">
        <v>3457</v>
      </c>
      <c r="G1351" s="38" t="s">
        <v>30</v>
      </c>
      <c r="H1351" s="28" t="s">
        <v>25</v>
      </c>
      <c r="I1351" s="25" t="n">
        <v>4</v>
      </c>
      <c r="J1351" s="25" t="n">
        <v>0</v>
      </c>
      <c r="K1351" s="25" t="n">
        <v>4</v>
      </c>
      <c r="L1351" s="29" t="n">
        <v>0.74</v>
      </c>
      <c r="M1351" s="30" t="n">
        <v>20.76</v>
      </c>
      <c r="N1351" s="29" t="n">
        <v>0</v>
      </c>
      <c r="O1351" s="25" t="n">
        <v>184</v>
      </c>
      <c r="P1351" s="30" t="n">
        <v>2.66</v>
      </c>
      <c r="Q1351" s="27" t="s">
        <v>3609</v>
      </c>
      <c r="R1351" s="27" t="s">
        <v>992</v>
      </c>
    </row>
    <row r="1352" customFormat="false" ht="15" hidden="false" customHeight="false" outlineLevel="0" collapsed="false">
      <c r="A1352" s="25" t="n">
        <f aca="false">IF(G1352="REJECT",COUNTIF($G$2:$G$2277,"&lt;&gt;REJECT")+1+COUNTIFS($G$2:$G$2277,"REJECT",$B$2:$B$2277,"&gt;"&amp;B1352),1+COUNTIFS($G$2:$G$2277,"&lt;&gt;REJECT",$B$2:$B$2277,"&gt;"&amp;B1352))</f>
        <v>1351</v>
      </c>
      <c r="B1352" s="26" t="n">
        <f aca="false">ROUND(($U$2*MAX(0,MIN(1,($W$2-I1352)/($W$2-$V$2)))+$U$3*MAX(0,MIN(1,($W$3-J1352)/($W$3-$V$3)))+$U$4*MAX(0,MIN(1,($W$4-K1352)/($W$4-$V$4)))+$U$5*MAX(0,MIN(1,($W$5-L1352)/($W$5-$V$5)))+$U$6*MAX(0,MIN(1,($W$6-M1352)/($W$6-$V$6)))+$U$7*MAX(0,MIN(1,($W$7-N1352)/($W$7-$V$7)))+$U$8*IF(AND(O1352&gt;=$V$8,O1352&lt;=$W$8),1,0))/$U$9*100,2)</f>
        <v>67.89</v>
      </c>
      <c r="C1352" s="27" t="s">
        <v>1946</v>
      </c>
      <c r="D1352" s="25" t="s">
        <v>134</v>
      </c>
      <c r="E1352" s="25" t="s">
        <v>3450</v>
      </c>
      <c r="F1352" s="25" t="s">
        <v>3448</v>
      </c>
      <c r="G1352" s="38" t="s">
        <v>30</v>
      </c>
      <c r="H1352" s="28" t="s">
        <v>25</v>
      </c>
      <c r="I1352" s="25" t="n">
        <v>3</v>
      </c>
      <c r="J1352" s="25" t="n">
        <v>1</v>
      </c>
      <c r="K1352" s="25" t="n">
        <v>3</v>
      </c>
      <c r="L1352" s="29" t="n">
        <v>0.83</v>
      </c>
      <c r="M1352" s="30" t="n">
        <v>18.55</v>
      </c>
      <c r="N1352" s="29" t="n">
        <v>0.16</v>
      </c>
      <c r="O1352" s="25" t="n">
        <v>187</v>
      </c>
      <c r="P1352" s="30" t="n">
        <v>20.3</v>
      </c>
      <c r="Q1352" s="27" t="s">
        <v>3649</v>
      </c>
      <c r="R1352" s="27" t="s">
        <v>283</v>
      </c>
    </row>
    <row r="1353" customFormat="false" ht="15" hidden="false" customHeight="false" outlineLevel="0" collapsed="false">
      <c r="A1353" s="25" t="n">
        <f aca="false">IF(G1353="REJECT",COUNTIF($G$2:$G$2277,"&lt;&gt;REJECT")+1+COUNTIFS($G$2:$G$2277,"REJECT",$B$2:$B$2277,"&gt;"&amp;B1353),1+COUNTIFS($G$2:$G$2277,"&lt;&gt;REJECT",$B$2:$B$2277,"&gt;"&amp;B1353))</f>
        <v>1352</v>
      </c>
      <c r="B1353" s="26" t="n">
        <f aca="false">ROUND(($U$2*MAX(0,MIN(1,($W$2-I1353)/($W$2-$V$2)))+$U$3*MAX(0,MIN(1,($W$3-J1353)/($W$3-$V$3)))+$U$4*MAX(0,MIN(1,($W$4-K1353)/($W$4-$V$4)))+$U$5*MAX(0,MIN(1,($W$5-L1353)/($W$5-$V$5)))+$U$6*MAX(0,MIN(1,($W$6-M1353)/($W$6-$V$6)))+$U$7*MAX(0,MIN(1,($W$7-N1353)/($W$7-$V$7)))+$U$8*IF(AND(O1353&gt;=$V$8,O1353&lt;=$W$8),1,0))/$U$9*100,2)</f>
        <v>67.86</v>
      </c>
      <c r="C1353" s="27" t="s">
        <v>108</v>
      </c>
      <c r="D1353" s="25" t="s">
        <v>3459</v>
      </c>
      <c r="E1353" s="25" t="s">
        <v>3450</v>
      </c>
      <c r="F1353" s="25" t="s">
        <v>3448</v>
      </c>
      <c r="G1353" s="38" t="s">
        <v>30</v>
      </c>
      <c r="H1353" s="28" t="s">
        <v>25</v>
      </c>
      <c r="I1353" s="25" t="n">
        <v>2</v>
      </c>
      <c r="J1353" s="25" t="n">
        <v>1</v>
      </c>
      <c r="K1353" s="25" t="n">
        <v>2</v>
      </c>
      <c r="L1353" s="29" t="n">
        <v>0.66</v>
      </c>
      <c r="M1353" s="30" t="n">
        <v>3.84</v>
      </c>
      <c r="N1353" s="29" t="n">
        <v>0.36</v>
      </c>
      <c r="O1353" s="25" t="n">
        <v>184</v>
      </c>
      <c r="P1353" s="30" t="n">
        <v>12.76</v>
      </c>
      <c r="Q1353" s="27" t="s">
        <v>3639</v>
      </c>
      <c r="R1353" s="27" t="s">
        <v>283</v>
      </c>
    </row>
    <row r="1354" customFormat="false" ht="15" hidden="false" customHeight="false" outlineLevel="0" collapsed="false">
      <c r="A1354" s="25" t="n">
        <f aca="false">IF(G1354="REJECT",COUNTIF($G$2:$G$2277,"&lt;&gt;REJECT")+1+COUNTIFS($G$2:$G$2277,"REJECT",$B$2:$B$2277,"&gt;"&amp;B1354),1+COUNTIFS($G$2:$G$2277,"&lt;&gt;REJECT",$B$2:$B$2277,"&gt;"&amp;B1354))</f>
        <v>1353</v>
      </c>
      <c r="B1354" s="26" t="n">
        <f aca="false">ROUND(($U$2*MAX(0,MIN(1,($W$2-I1354)/($W$2-$V$2)))+$U$3*MAX(0,MIN(1,($W$3-J1354)/($W$3-$V$3)))+$U$4*MAX(0,MIN(1,($W$4-K1354)/($W$4-$V$4)))+$U$5*MAX(0,MIN(1,($W$5-L1354)/($W$5-$V$5)))+$U$6*MAX(0,MIN(1,($W$6-M1354)/($W$6-$V$6)))+$U$7*MAX(0,MIN(1,($W$7-N1354)/($W$7-$V$7)))+$U$8*IF(AND(O1354&gt;=$V$8,O1354&lt;=$W$8),1,0))/$U$9*100,2)</f>
        <v>67.84</v>
      </c>
      <c r="C1354" s="27" t="s">
        <v>1221</v>
      </c>
      <c r="D1354" s="25" t="s">
        <v>134</v>
      </c>
      <c r="E1354" s="25" t="s">
        <v>3447</v>
      </c>
      <c r="F1354" s="25" t="s">
        <v>3457</v>
      </c>
      <c r="G1354" s="38" t="s">
        <v>30</v>
      </c>
      <c r="H1354" s="28" t="s">
        <v>25</v>
      </c>
      <c r="I1354" s="25" t="n">
        <v>3</v>
      </c>
      <c r="J1354" s="25" t="n">
        <v>1</v>
      </c>
      <c r="K1354" s="25" t="n">
        <v>3</v>
      </c>
      <c r="L1354" s="29" t="n">
        <v>0.84</v>
      </c>
      <c r="M1354" s="30" t="n">
        <v>15.67</v>
      </c>
      <c r="N1354" s="29" t="n">
        <v>0.48</v>
      </c>
      <c r="O1354" s="25" t="n">
        <v>182</v>
      </c>
      <c r="P1354" s="30" t="n">
        <v>3.13</v>
      </c>
      <c r="Q1354" s="27" t="s">
        <v>3664</v>
      </c>
      <c r="R1354" s="27" t="s">
        <v>283</v>
      </c>
    </row>
    <row r="1355" customFormat="false" ht="15" hidden="false" customHeight="false" outlineLevel="0" collapsed="false">
      <c r="A1355" s="25" t="n">
        <f aca="false">IF(G1355="REJECT",COUNTIF($G$2:$G$2277,"&lt;&gt;REJECT")+1+COUNTIFS($G$2:$G$2277,"REJECT",$B$2:$B$2277,"&gt;"&amp;B1355),1+COUNTIFS($G$2:$G$2277,"&lt;&gt;REJECT",$B$2:$B$2277,"&gt;"&amp;B1355))</f>
        <v>1353</v>
      </c>
      <c r="B1355" s="26" t="n">
        <f aca="false">ROUND(($U$2*MAX(0,MIN(1,($W$2-I1355)/($W$2-$V$2)))+$U$3*MAX(0,MIN(1,($W$3-J1355)/($W$3-$V$3)))+$U$4*MAX(0,MIN(1,($W$4-K1355)/($W$4-$V$4)))+$U$5*MAX(0,MIN(1,($W$5-L1355)/($W$5-$V$5)))+$U$6*MAX(0,MIN(1,($W$6-M1355)/($W$6-$V$6)))+$U$7*MAX(0,MIN(1,($W$7-N1355)/($W$7-$V$7)))+$U$8*IF(AND(O1355&gt;=$V$8,O1355&lt;=$W$8),1,0))/$U$9*100,2)</f>
        <v>67.84</v>
      </c>
      <c r="C1355" s="27" t="s">
        <v>1360</v>
      </c>
      <c r="D1355" s="25" t="s">
        <v>134</v>
      </c>
      <c r="E1355" s="25" t="s">
        <v>3447</v>
      </c>
      <c r="F1355" s="25" t="s">
        <v>3448</v>
      </c>
      <c r="G1355" s="38" t="s">
        <v>30</v>
      </c>
      <c r="H1355" s="28" t="s">
        <v>25</v>
      </c>
      <c r="I1355" s="25" t="n">
        <v>3</v>
      </c>
      <c r="J1355" s="25" t="n">
        <v>1</v>
      </c>
      <c r="K1355" s="25" t="n">
        <v>3</v>
      </c>
      <c r="L1355" s="29" t="n">
        <v>0.76</v>
      </c>
      <c r="M1355" s="30" t="n">
        <v>2.04</v>
      </c>
      <c r="N1355" s="29" t="n">
        <v>0.4</v>
      </c>
      <c r="O1355" s="25" t="n">
        <v>191</v>
      </c>
      <c r="P1355" s="30" t="n">
        <v>4.33</v>
      </c>
      <c r="Q1355" s="27" t="s">
        <v>3649</v>
      </c>
      <c r="R1355" s="27" t="s">
        <v>283</v>
      </c>
    </row>
    <row r="1356" customFormat="false" ht="15" hidden="false" customHeight="false" outlineLevel="0" collapsed="false">
      <c r="A1356" s="25" t="n">
        <f aca="false">IF(G1356="REJECT",COUNTIF($G$2:$G$2277,"&lt;&gt;REJECT")+1+COUNTIFS($G$2:$G$2277,"REJECT",$B$2:$B$2277,"&gt;"&amp;B1356),1+COUNTIFS($G$2:$G$2277,"&lt;&gt;REJECT",$B$2:$B$2277,"&gt;"&amp;B1356))</f>
        <v>1355</v>
      </c>
      <c r="B1356" s="26" t="n">
        <f aca="false">ROUND(($U$2*MAX(0,MIN(1,($W$2-I1356)/($W$2-$V$2)))+$U$3*MAX(0,MIN(1,($W$3-J1356)/($W$3-$V$3)))+$U$4*MAX(0,MIN(1,($W$4-K1356)/($W$4-$V$4)))+$U$5*MAX(0,MIN(1,($W$5-L1356)/($W$5-$V$5)))+$U$6*MAX(0,MIN(1,($W$6-M1356)/($W$6-$V$6)))+$U$7*MAX(0,MIN(1,($W$7-N1356)/($W$7-$V$7)))+$U$8*IF(AND(O1356&gt;=$V$8,O1356&lt;=$W$8),1,0))/$U$9*100,2)</f>
        <v>67.83</v>
      </c>
      <c r="C1356" s="27" t="s">
        <v>259</v>
      </c>
      <c r="D1356" s="25" t="s">
        <v>134</v>
      </c>
      <c r="E1356" s="25" t="s">
        <v>3450</v>
      </c>
      <c r="F1356" s="25" t="s">
        <v>3448</v>
      </c>
      <c r="G1356" s="38" t="s">
        <v>30</v>
      </c>
      <c r="H1356" s="28" t="s">
        <v>25</v>
      </c>
      <c r="I1356" s="25" t="n">
        <v>2</v>
      </c>
      <c r="J1356" s="25" t="n">
        <v>1</v>
      </c>
      <c r="K1356" s="25" t="n">
        <v>2</v>
      </c>
      <c r="L1356" s="29" t="n">
        <v>0.69</v>
      </c>
      <c r="M1356" s="30" t="n">
        <v>16.85</v>
      </c>
      <c r="N1356" s="29" t="n">
        <v>0.16</v>
      </c>
      <c r="O1356" s="25" t="n">
        <v>183</v>
      </c>
      <c r="P1356" s="30" t="n">
        <v>7.43</v>
      </c>
      <c r="Q1356" s="27" t="s">
        <v>3575</v>
      </c>
      <c r="R1356" s="27" t="s">
        <v>283</v>
      </c>
    </row>
    <row r="1357" customFormat="false" ht="15" hidden="false" customHeight="false" outlineLevel="0" collapsed="false">
      <c r="A1357" s="25" t="n">
        <f aca="false">IF(G1357="REJECT",COUNTIF($G$2:$G$2277,"&lt;&gt;REJECT")+1+COUNTIFS($G$2:$G$2277,"REJECT",$B$2:$B$2277,"&gt;"&amp;B1357),1+COUNTIFS($G$2:$G$2277,"&lt;&gt;REJECT",$B$2:$B$2277,"&gt;"&amp;B1357))</f>
        <v>1355</v>
      </c>
      <c r="B1357" s="26" t="n">
        <f aca="false">ROUND(($U$2*MAX(0,MIN(1,($W$2-I1357)/($W$2-$V$2)))+$U$3*MAX(0,MIN(1,($W$3-J1357)/($W$3-$V$3)))+$U$4*MAX(0,MIN(1,($W$4-K1357)/($W$4-$V$4)))+$U$5*MAX(0,MIN(1,($W$5-L1357)/($W$5-$V$5)))+$U$6*MAX(0,MIN(1,($W$6-M1357)/($W$6-$V$6)))+$U$7*MAX(0,MIN(1,($W$7-N1357)/($W$7-$V$7)))+$U$8*IF(AND(O1357&gt;=$V$8,O1357&lt;=$W$8),1,0))/$U$9*100,2)</f>
        <v>67.83</v>
      </c>
      <c r="C1357" s="27" t="s">
        <v>2788</v>
      </c>
      <c r="D1357" s="25" t="s">
        <v>134</v>
      </c>
      <c r="E1357" s="25" t="s">
        <v>3450</v>
      </c>
      <c r="F1357" s="25" t="s">
        <v>3457</v>
      </c>
      <c r="G1357" s="38" t="s">
        <v>30</v>
      </c>
      <c r="H1357" s="28" t="s">
        <v>25</v>
      </c>
      <c r="I1357" s="25" t="n">
        <v>2</v>
      </c>
      <c r="J1357" s="25" t="n">
        <v>1</v>
      </c>
      <c r="K1357" s="25" t="n">
        <v>2</v>
      </c>
      <c r="L1357" s="29" t="n">
        <v>0.7</v>
      </c>
      <c r="M1357" s="30" t="n">
        <v>19.21</v>
      </c>
      <c r="N1357" s="29" t="n">
        <v>0.28</v>
      </c>
      <c r="O1357" s="25" t="n">
        <v>183</v>
      </c>
      <c r="P1357" s="30" t="n">
        <v>17.9</v>
      </c>
      <c r="Q1357" s="27" t="s">
        <v>3665</v>
      </c>
      <c r="R1357" s="27" t="s">
        <v>283</v>
      </c>
    </row>
    <row r="1358" customFormat="false" ht="15" hidden="false" customHeight="false" outlineLevel="0" collapsed="false">
      <c r="A1358" s="25" t="n">
        <f aca="false">IF(G1358="REJECT",COUNTIF($G$2:$G$2277,"&lt;&gt;REJECT")+1+COUNTIFS($G$2:$G$2277,"REJECT",$B$2:$B$2277,"&gt;"&amp;B1358),1+COUNTIFS($G$2:$G$2277,"&lt;&gt;REJECT",$B$2:$B$2277,"&gt;"&amp;B1358))</f>
        <v>1357</v>
      </c>
      <c r="B1358" s="26" t="n">
        <f aca="false">ROUND(($U$2*MAX(0,MIN(1,($W$2-I1358)/($W$2-$V$2)))+$U$3*MAX(0,MIN(1,($W$3-J1358)/($W$3-$V$3)))+$U$4*MAX(0,MIN(1,($W$4-K1358)/($W$4-$V$4)))+$U$5*MAX(0,MIN(1,($W$5-L1358)/($W$5-$V$5)))+$U$6*MAX(0,MIN(1,($W$6-M1358)/($W$6-$V$6)))+$U$7*MAX(0,MIN(1,($W$7-N1358)/($W$7-$V$7)))+$U$8*IF(AND(O1358&gt;=$V$8,O1358&lt;=$W$8),1,0))/$U$9*100,2)</f>
        <v>67.79</v>
      </c>
      <c r="C1358" s="27" t="s">
        <v>676</v>
      </c>
      <c r="D1358" s="25" t="s">
        <v>3459</v>
      </c>
      <c r="E1358" s="25" t="s">
        <v>3447</v>
      </c>
      <c r="F1358" s="25" t="s">
        <v>3457</v>
      </c>
      <c r="G1358" s="38" t="s">
        <v>30</v>
      </c>
      <c r="H1358" s="28" t="s">
        <v>25</v>
      </c>
      <c r="I1358" s="25" t="n">
        <v>4</v>
      </c>
      <c r="J1358" s="25" t="n">
        <v>0</v>
      </c>
      <c r="K1358" s="25" t="n">
        <v>4</v>
      </c>
      <c r="L1358" s="29" t="n">
        <v>0.77</v>
      </c>
      <c r="M1358" s="30" t="n">
        <v>27.27</v>
      </c>
      <c r="N1358" s="29" t="n">
        <v>0.52</v>
      </c>
      <c r="O1358" s="25" t="n">
        <v>183</v>
      </c>
      <c r="P1358" s="30" t="n">
        <v>3.87</v>
      </c>
      <c r="Q1358" s="27" t="s">
        <v>3648</v>
      </c>
      <c r="R1358" s="27" t="s">
        <v>992</v>
      </c>
    </row>
    <row r="1359" customFormat="false" ht="15" hidden="false" customHeight="false" outlineLevel="0" collapsed="false">
      <c r="A1359" s="25" t="n">
        <f aca="false">IF(G1359="REJECT",COUNTIF($G$2:$G$2277,"&lt;&gt;REJECT")+1+COUNTIFS($G$2:$G$2277,"REJECT",$B$2:$B$2277,"&gt;"&amp;B1359),1+COUNTIFS($G$2:$G$2277,"&lt;&gt;REJECT",$B$2:$B$2277,"&gt;"&amp;B1359))</f>
        <v>1358</v>
      </c>
      <c r="B1359" s="26" t="n">
        <f aca="false">ROUND(($U$2*MAX(0,MIN(1,($W$2-I1359)/($W$2-$V$2)))+$U$3*MAX(0,MIN(1,($W$3-J1359)/($W$3-$V$3)))+$U$4*MAX(0,MIN(1,($W$4-K1359)/($W$4-$V$4)))+$U$5*MAX(0,MIN(1,($W$5-L1359)/($W$5-$V$5)))+$U$6*MAX(0,MIN(1,($W$6-M1359)/($W$6-$V$6)))+$U$7*MAX(0,MIN(1,($W$7-N1359)/($W$7-$V$7)))+$U$8*IF(AND(O1359&gt;=$V$8,O1359&lt;=$W$8),1,0))/$U$9*100,2)</f>
        <v>67.74</v>
      </c>
      <c r="C1359" s="27" t="s">
        <v>3126</v>
      </c>
      <c r="D1359" s="25" t="s">
        <v>134</v>
      </c>
      <c r="E1359" s="25" t="s">
        <v>3447</v>
      </c>
      <c r="F1359" s="25" t="s">
        <v>3457</v>
      </c>
      <c r="G1359" s="38" t="s">
        <v>30</v>
      </c>
      <c r="H1359" s="33" t="s">
        <v>24</v>
      </c>
      <c r="I1359" s="25" t="n">
        <v>4</v>
      </c>
      <c r="J1359" s="25" t="n">
        <v>0</v>
      </c>
      <c r="K1359" s="25" t="n">
        <v>4</v>
      </c>
      <c r="L1359" s="29" t="n">
        <v>0.72</v>
      </c>
      <c r="M1359" s="30" t="n">
        <v>6.78</v>
      </c>
      <c r="N1359" s="29" t="n">
        <v>0.8</v>
      </c>
      <c r="O1359" s="25" t="n">
        <v>187</v>
      </c>
      <c r="P1359" s="30" t="n">
        <v>-0.91</v>
      </c>
      <c r="Q1359" s="27" t="s">
        <v>3666</v>
      </c>
      <c r="R1359" s="27" t="s">
        <v>30</v>
      </c>
    </row>
    <row r="1360" customFormat="false" ht="15" hidden="false" customHeight="false" outlineLevel="0" collapsed="false">
      <c r="A1360" s="25" t="n">
        <f aca="false">IF(G1360="REJECT",COUNTIF($G$2:$G$2277,"&lt;&gt;REJECT")+1+COUNTIFS($G$2:$G$2277,"REJECT",$B$2:$B$2277,"&gt;"&amp;B1360),1+COUNTIFS($G$2:$G$2277,"&lt;&gt;REJECT",$B$2:$B$2277,"&gt;"&amp;B1360))</f>
        <v>1359</v>
      </c>
      <c r="B1360" s="26" t="n">
        <f aca="false">ROUND(($U$2*MAX(0,MIN(1,($W$2-I1360)/($W$2-$V$2)))+$U$3*MAX(0,MIN(1,($W$3-J1360)/($W$3-$V$3)))+$U$4*MAX(0,MIN(1,($W$4-K1360)/($W$4-$V$4)))+$U$5*MAX(0,MIN(1,($W$5-L1360)/($W$5-$V$5)))+$U$6*MAX(0,MIN(1,($W$6-M1360)/($W$6-$V$6)))+$U$7*MAX(0,MIN(1,($W$7-N1360)/($W$7-$V$7)))+$U$8*IF(AND(O1360&gt;=$V$8,O1360&lt;=$W$8),1,0))/$U$9*100,2)</f>
        <v>67.72</v>
      </c>
      <c r="C1360" s="27" t="s">
        <v>637</v>
      </c>
      <c r="D1360" s="25" t="s">
        <v>134</v>
      </c>
      <c r="E1360" s="25" t="s">
        <v>3450</v>
      </c>
      <c r="F1360" s="25" t="s">
        <v>3448</v>
      </c>
      <c r="G1360" s="38" t="s">
        <v>30</v>
      </c>
      <c r="H1360" s="28" t="s">
        <v>25</v>
      </c>
      <c r="I1360" s="25" t="n">
        <v>2</v>
      </c>
      <c r="J1360" s="25" t="n">
        <v>1</v>
      </c>
      <c r="K1360" s="25" t="n">
        <v>2</v>
      </c>
      <c r="L1360" s="29" t="n">
        <v>0.65</v>
      </c>
      <c r="M1360" s="30" t="n">
        <v>0.71</v>
      </c>
      <c r="N1360" s="29" t="n">
        <v>0.4</v>
      </c>
      <c r="O1360" s="25" t="n">
        <v>182</v>
      </c>
      <c r="P1360" s="30" t="n">
        <v>3.62</v>
      </c>
      <c r="Q1360" s="27" t="s">
        <v>3575</v>
      </c>
      <c r="R1360" s="27" t="s">
        <v>283</v>
      </c>
    </row>
    <row r="1361" customFormat="false" ht="15" hidden="false" customHeight="false" outlineLevel="0" collapsed="false">
      <c r="A1361" s="25" t="n">
        <f aca="false">IF(G1361="REJECT",COUNTIF($G$2:$G$2277,"&lt;&gt;REJECT")+1+COUNTIFS($G$2:$G$2277,"REJECT",$B$2:$B$2277,"&gt;"&amp;B1361),1+COUNTIFS($G$2:$G$2277,"&lt;&gt;REJECT",$B$2:$B$2277,"&gt;"&amp;B1361))</f>
        <v>1359</v>
      </c>
      <c r="B1361" s="26" t="n">
        <f aca="false">ROUND(($U$2*MAX(0,MIN(1,($W$2-I1361)/($W$2-$V$2)))+$U$3*MAX(0,MIN(1,($W$3-J1361)/($W$3-$V$3)))+$U$4*MAX(0,MIN(1,($W$4-K1361)/($W$4-$V$4)))+$U$5*MAX(0,MIN(1,($W$5-L1361)/($W$5-$V$5)))+$U$6*MAX(0,MIN(1,($W$6-M1361)/($W$6-$V$6)))+$U$7*MAX(0,MIN(1,($W$7-N1361)/($W$7-$V$7)))+$U$8*IF(AND(O1361&gt;=$V$8,O1361&lt;=$W$8),1,0))/$U$9*100,2)</f>
        <v>67.72</v>
      </c>
      <c r="C1361" s="27" t="s">
        <v>1697</v>
      </c>
      <c r="D1361" s="25" t="s">
        <v>134</v>
      </c>
      <c r="E1361" s="25" t="s">
        <v>3450</v>
      </c>
      <c r="F1361" s="25" t="s">
        <v>3457</v>
      </c>
      <c r="G1361" s="38" t="s">
        <v>30</v>
      </c>
      <c r="H1361" s="28" t="s">
        <v>25</v>
      </c>
      <c r="I1361" s="25" t="n">
        <v>2</v>
      </c>
      <c r="J1361" s="25" t="n">
        <v>1</v>
      </c>
      <c r="K1361" s="25" t="n">
        <v>2</v>
      </c>
      <c r="L1361" s="29" t="n">
        <v>0.72</v>
      </c>
      <c r="M1361" s="30" t="n">
        <v>28.71</v>
      </c>
      <c r="N1361" s="29" t="n">
        <v>0.12</v>
      </c>
      <c r="O1361" s="25" t="n">
        <v>184</v>
      </c>
      <c r="P1361" s="30" t="n">
        <v>9.85</v>
      </c>
      <c r="Q1361" s="27" t="s">
        <v>3566</v>
      </c>
      <c r="R1361" s="27" t="s">
        <v>163</v>
      </c>
    </row>
    <row r="1362" customFormat="false" ht="15" hidden="false" customHeight="false" outlineLevel="0" collapsed="false">
      <c r="A1362" s="25" t="n">
        <f aca="false">IF(G1362="REJECT",COUNTIF($G$2:$G$2277,"&lt;&gt;REJECT")+1+COUNTIFS($G$2:$G$2277,"REJECT",$B$2:$B$2277,"&gt;"&amp;B1362),1+COUNTIFS($G$2:$G$2277,"&lt;&gt;REJECT",$B$2:$B$2277,"&gt;"&amp;B1362))</f>
        <v>1361</v>
      </c>
      <c r="B1362" s="26" t="n">
        <f aca="false">ROUND(($U$2*MAX(0,MIN(1,($W$2-I1362)/($W$2-$V$2)))+$U$3*MAX(0,MIN(1,($W$3-J1362)/($W$3-$V$3)))+$U$4*MAX(0,MIN(1,($W$4-K1362)/($W$4-$V$4)))+$U$5*MAX(0,MIN(1,($W$5-L1362)/($W$5-$V$5)))+$U$6*MAX(0,MIN(1,($W$6-M1362)/($W$6-$V$6)))+$U$7*MAX(0,MIN(1,($W$7-N1362)/($W$7-$V$7)))+$U$8*IF(AND(O1362&gt;=$V$8,O1362&lt;=$W$8),1,0))/$U$9*100,2)</f>
        <v>67.64</v>
      </c>
      <c r="C1362" s="27" t="s">
        <v>1697</v>
      </c>
      <c r="D1362" s="25" t="s">
        <v>134</v>
      </c>
      <c r="E1362" s="25" t="s">
        <v>3450</v>
      </c>
      <c r="F1362" s="25" t="s">
        <v>3448</v>
      </c>
      <c r="G1362" s="38" t="s">
        <v>30</v>
      </c>
      <c r="H1362" s="28" t="s">
        <v>25</v>
      </c>
      <c r="I1362" s="25" t="n">
        <v>2</v>
      </c>
      <c r="J1362" s="25" t="n">
        <v>1</v>
      </c>
      <c r="K1362" s="25" t="n">
        <v>2</v>
      </c>
      <c r="L1362" s="29" t="n">
        <v>0.67</v>
      </c>
      <c r="M1362" s="30" t="n">
        <v>12.34</v>
      </c>
      <c r="N1362" s="29" t="n">
        <v>0</v>
      </c>
      <c r="O1362" s="25" t="n">
        <v>184</v>
      </c>
      <c r="P1362" s="30" t="n">
        <v>13.12</v>
      </c>
      <c r="Q1362" s="27" t="s">
        <v>3566</v>
      </c>
      <c r="R1362" s="27" t="s">
        <v>283</v>
      </c>
    </row>
    <row r="1363" customFormat="false" ht="15" hidden="false" customHeight="false" outlineLevel="0" collapsed="false">
      <c r="A1363" s="25" t="n">
        <f aca="false">IF(G1363="REJECT",COUNTIF($G$2:$G$2277,"&lt;&gt;REJECT")+1+COUNTIFS($G$2:$G$2277,"REJECT",$B$2:$B$2277,"&gt;"&amp;B1363),1+COUNTIFS($G$2:$G$2277,"&lt;&gt;REJECT",$B$2:$B$2277,"&gt;"&amp;B1363))</f>
        <v>1362</v>
      </c>
      <c r="B1363" s="26" t="n">
        <f aca="false">ROUND(($U$2*MAX(0,MIN(1,($W$2-I1363)/($W$2-$V$2)))+$U$3*MAX(0,MIN(1,($W$3-J1363)/($W$3-$V$3)))+$U$4*MAX(0,MIN(1,($W$4-K1363)/($W$4-$V$4)))+$U$5*MAX(0,MIN(1,($W$5-L1363)/($W$5-$V$5)))+$U$6*MAX(0,MIN(1,($W$6-M1363)/($W$6-$V$6)))+$U$7*MAX(0,MIN(1,($W$7-N1363)/($W$7-$V$7)))+$U$8*IF(AND(O1363&gt;=$V$8,O1363&lt;=$W$8),1,0))/$U$9*100,2)</f>
        <v>67.61</v>
      </c>
      <c r="C1363" s="27" t="s">
        <v>2236</v>
      </c>
      <c r="D1363" s="25" t="s">
        <v>134</v>
      </c>
      <c r="E1363" s="25" t="s">
        <v>3447</v>
      </c>
      <c r="F1363" s="25" t="s">
        <v>3457</v>
      </c>
      <c r="G1363" s="38" t="s">
        <v>30</v>
      </c>
      <c r="H1363" s="28" t="s">
        <v>25</v>
      </c>
      <c r="I1363" s="25" t="n">
        <v>4</v>
      </c>
      <c r="J1363" s="25" t="n">
        <v>0</v>
      </c>
      <c r="K1363" s="25" t="n">
        <v>4</v>
      </c>
      <c r="L1363" s="29" t="n">
        <v>0.73</v>
      </c>
      <c r="M1363" s="30" t="n">
        <v>10.72</v>
      </c>
      <c r="N1363" s="29" t="n">
        <v>0.84</v>
      </c>
      <c r="O1363" s="25" t="n">
        <v>184</v>
      </c>
      <c r="P1363" s="30" t="n">
        <v>-1.2</v>
      </c>
      <c r="Q1363" s="27" t="s">
        <v>3667</v>
      </c>
      <c r="R1363" s="27" t="s">
        <v>2610</v>
      </c>
    </row>
    <row r="1364" customFormat="false" ht="15" hidden="false" customHeight="false" outlineLevel="0" collapsed="false">
      <c r="A1364" s="25" t="n">
        <f aca="false">IF(G1364="REJECT",COUNTIF($G$2:$G$2277,"&lt;&gt;REJECT")+1+COUNTIFS($G$2:$G$2277,"REJECT",$B$2:$B$2277,"&gt;"&amp;B1364),1+COUNTIFS($G$2:$G$2277,"&lt;&gt;REJECT",$B$2:$B$2277,"&gt;"&amp;B1364))</f>
        <v>1363</v>
      </c>
      <c r="B1364" s="26" t="n">
        <f aca="false">ROUND(($U$2*MAX(0,MIN(1,($W$2-I1364)/($W$2-$V$2)))+$U$3*MAX(0,MIN(1,($W$3-J1364)/($W$3-$V$3)))+$U$4*MAX(0,MIN(1,($W$4-K1364)/($W$4-$V$4)))+$U$5*MAX(0,MIN(1,($W$5-L1364)/($W$5-$V$5)))+$U$6*MAX(0,MIN(1,($W$6-M1364)/($W$6-$V$6)))+$U$7*MAX(0,MIN(1,($W$7-N1364)/($W$7-$V$7)))+$U$8*IF(AND(O1364&gt;=$V$8,O1364&lt;=$W$8),1,0))/$U$9*100,2)</f>
        <v>67.59</v>
      </c>
      <c r="C1364" s="27" t="s">
        <v>2947</v>
      </c>
      <c r="D1364" s="25" t="s">
        <v>134</v>
      </c>
      <c r="E1364" s="25" t="s">
        <v>3447</v>
      </c>
      <c r="F1364" s="25" t="s">
        <v>3448</v>
      </c>
      <c r="G1364" s="38" t="s">
        <v>30</v>
      </c>
      <c r="H1364" s="28" t="s">
        <v>25</v>
      </c>
      <c r="I1364" s="25" t="n">
        <v>4</v>
      </c>
      <c r="J1364" s="25" t="n">
        <v>0</v>
      </c>
      <c r="K1364" s="25" t="n">
        <v>4</v>
      </c>
      <c r="L1364" s="29" t="n">
        <v>0.76</v>
      </c>
      <c r="M1364" s="30" t="n">
        <v>28.49</v>
      </c>
      <c r="N1364" s="29" t="n">
        <v>0.16</v>
      </c>
      <c r="O1364" s="25" t="n">
        <v>186</v>
      </c>
      <c r="P1364" s="30" t="n">
        <v>1.31</v>
      </c>
      <c r="Q1364" s="27" t="s">
        <v>3600</v>
      </c>
      <c r="R1364" s="27" t="s">
        <v>992</v>
      </c>
    </row>
    <row r="1365" customFormat="false" ht="15" hidden="false" customHeight="false" outlineLevel="0" collapsed="false">
      <c r="A1365" s="25" t="n">
        <f aca="false">IF(G1365="REJECT",COUNTIF($G$2:$G$2277,"&lt;&gt;REJECT")+1+COUNTIFS($G$2:$G$2277,"REJECT",$B$2:$B$2277,"&gt;"&amp;B1365),1+COUNTIFS($G$2:$G$2277,"&lt;&gt;REJECT",$B$2:$B$2277,"&gt;"&amp;B1365))</f>
        <v>1364</v>
      </c>
      <c r="B1365" s="26" t="n">
        <f aca="false">ROUND(($U$2*MAX(0,MIN(1,($W$2-I1365)/($W$2-$V$2)))+$U$3*MAX(0,MIN(1,($W$3-J1365)/($W$3-$V$3)))+$U$4*MAX(0,MIN(1,($W$4-K1365)/($W$4-$V$4)))+$U$5*MAX(0,MIN(1,($W$5-L1365)/($W$5-$V$5)))+$U$6*MAX(0,MIN(1,($W$6-M1365)/($W$6-$V$6)))+$U$7*MAX(0,MIN(1,($W$7-N1365)/($W$7-$V$7)))+$U$8*IF(AND(O1365&gt;=$V$8,O1365&lt;=$W$8),1,0))/$U$9*100,2)</f>
        <v>67.52</v>
      </c>
      <c r="C1365" s="27" t="s">
        <v>2959</v>
      </c>
      <c r="D1365" s="25" t="s">
        <v>134</v>
      </c>
      <c r="E1365" s="25" t="s">
        <v>3450</v>
      </c>
      <c r="F1365" s="25" t="s">
        <v>3448</v>
      </c>
      <c r="G1365" s="38" t="s">
        <v>30</v>
      </c>
      <c r="H1365" s="28" t="s">
        <v>25</v>
      </c>
      <c r="I1365" s="25" t="n">
        <v>2</v>
      </c>
      <c r="J1365" s="25" t="n">
        <v>1</v>
      </c>
      <c r="K1365" s="25" t="n">
        <v>2</v>
      </c>
      <c r="L1365" s="29" t="n">
        <v>0.71</v>
      </c>
      <c r="M1365" s="30" t="n">
        <v>20.26</v>
      </c>
      <c r="N1365" s="29" t="n">
        <v>0.72</v>
      </c>
      <c r="O1365" s="25" t="n">
        <v>183</v>
      </c>
      <c r="P1365" s="30" t="n">
        <v>16.33</v>
      </c>
      <c r="Q1365" s="27" t="s">
        <v>3575</v>
      </c>
      <c r="R1365" s="27" t="s">
        <v>183</v>
      </c>
    </row>
    <row r="1366" customFormat="false" ht="15" hidden="false" customHeight="false" outlineLevel="0" collapsed="false">
      <c r="A1366" s="25" t="n">
        <f aca="false">IF(G1366="REJECT",COUNTIF($G$2:$G$2277,"&lt;&gt;REJECT")+1+COUNTIFS($G$2:$G$2277,"REJECT",$B$2:$B$2277,"&gt;"&amp;B1366),1+COUNTIFS($G$2:$G$2277,"&lt;&gt;REJECT",$B$2:$B$2277,"&gt;"&amp;B1366))</f>
        <v>1364</v>
      </c>
      <c r="B1366" s="26" t="n">
        <f aca="false">ROUND(($U$2*MAX(0,MIN(1,($W$2-I1366)/($W$2-$V$2)))+$U$3*MAX(0,MIN(1,($W$3-J1366)/($W$3-$V$3)))+$U$4*MAX(0,MIN(1,($W$4-K1366)/($W$4-$V$4)))+$U$5*MAX(0,MIN(1,($W$5-L1366)/($W$5-$V$5)))+$U$6*MAX(0,MIN(1,($W$6-M1366)/($W$6-$V$6)))+$U$7*MAX(0,MIN(1,($W$7-N1366)/($W$7-$V$7)))+$U$8*IF(AND(O1366&gt;=$V$8,O1366&lt;=$W$8),1,0))/$U$9*100,2)</f>
        <v>67.52</v>
      </c>
      <c r="C1366" s="27" t="s">
        <v>3369</v>
      </c>
      <c r="D1366" s="25" t="s">
        <v>134</v>
      </c>
      <c r="E1366" s="25" t="s">
        <v>3450</v>
      </c>
      <c r="F1366" s="25" t="s">
        <v>3448</v>
      </c>
      <c r="G1366" s="38" t="s">
        <v>30</v>
      </c>
      <c r="H1366" s="28" t="s">
        <v>25</v>
      </c>
      <c r="I1366" s="25" t="n">
        <v>2</v>
      </c>
      <c r="J1366" s="25" t="n">
        <v>1</v>
      </c>
      <c r="K1366" s="25" t="n">
        <v>2</v>
      </c>
      <c r="L1366" s="29" t="n">
        <v>0.73</v>
      </c>
      <c r="M1366" s="30" t="n">
        <v>25.1</v>
      </c>
      <c r="N1366" s="29" t="n">
        <v>0.96</v>
      </c>
      <c r="O1366" s="25" t="n">
        <v>185</v>
      </c>
      <c r="P1366" s="30" t="n">
        <v>7.66</v>
      </c>
      <c r="Q1366" s="27" t="s">
        <v>3575</v>
      </c>
      <c r="R1366" s="27" t="s">
        <v>183</v>
      </c>
    </row>
    <row r="1367" customFormat="false" ht="15" hidden="false" customHeight="false" outlineLevel="0" collapsed="false">
      <c r="A1367" s="25" t="n">
        <f aca="false">IF(G1367="REJECT",COUNTIF($G$2:$G$2277,"&lt;&gt;REJECT")+1+COUNTIFS($G$2:$G$2277,"REJECT",$B$2:$B$2277,"&gt;"&amp;B1367),1+COUNTIFS($G$2:$G$2277,"&lt;&gt;REJECT",$B$2:$B$2277,"&gt;"&amp;B1367))</f>
        <v>1366</v>
      </c>
      <c r="B1367" s="26" t="n">
        <f aca="false">ROUND(($U$2*MAX(0,MIN(1,($W$2-I1367)/($W$2-$V$2)))+$U$3*MAX(0,MIN(1,($W$3-J1367)/($W$3-$V$3)))+$U$4*MAX(0,MIN(1,($W$4-K1367)/($W$4-$V$4)))+$U$5*MAX(0,MIN(1,($W$5-L1367)/($W$5-$V$5)))+$U$6*MAX(0,MIN(1,($W$6-M1367)/($W$6-$V$6)))+$U$7*MAX(0,MIN(1,($W$7-N1367)/($W$7-$V$7)))+$U$8*IF(AND(O1367&gt;=$V$8,O1367&lt;=$W$8),1,0))/$U$9*100,2)</f>
        <v>67.45</v>
      </c>
      <c r="C1367" s="27" t="s">
        <v>676</v>
      </c>
      <c r="D1367" s="25" t="s">
        <v>3459</v>
      </c>
      <c r="E1367" s="25" t="s">
        <v>3450</v>
      </c>
      <c r="F1367" s="25" t="s">
        <v>3448</v>
      </c>
      <c r="G1367" s="38" t="s">
        <v>30</v>
      </c>
      <c r="H1367" s="28" t="s">
        <v>25</v>
      </c>
      <c r="I1367" s="25" t="n">
        <v>2</v>
      </c>
      <c r="J1367" s="25" t="n">
        <v>1</v>
      </c>
      <c r="K1367" s="25" t="n">
        <v>2</v>
      </c>
      <c r="L1367" s="29" t="n">
        <v>0.72</v>
      </c>
      <c r="M1367" s="30" t="n">
        <v>29.92</v>
      </c>
      <c r="N1367" s="29" t="n">
        <v>0.16</v>
      </c>
      <c r="O1367" s="25" t="n">
        <v>184</v>
      </c>
      <c r="P1367" s="30" t="n">
        <v>10.81</v>
      </c>
      <c r="Q1367" s="27" t="s">
        <v>3566</v>
      </c>
      <c r="R1367" s="27" t="s">
        <v>163</v>
      </c>
    </row>
    <row r="1368" customFormat="false" ht="15" hidden="false" customHeight="false" outlineLevel="0" collapsed="false">
      <c r="A1368" s="25" t="n">
        <f aca="false">IF(G1368="REJECT",COUNTIF($G$2:$G$2277,"&lt;&gt;REJECT")+1+COUNTIFS($G$2:$G$2277,"REJECT",$B$2:$B$2277,"&gt;"&amp;B1368),1+COUNTIFS($G$2:$G$2277,"&lt;&gt;REJECT",$B$2:$B$2277,"&gt;"&amp;B1368))</f>
        <v>1367</v>
      </c>
      <c r="B1368" s="26" t="n">
        <f aca="false">ROUND(($U$2*MAX(0,MIN(1,($W$2-I1368)/($W$2-$V$2)))+$U$3*MAX(0,MIN(1,($W$3-J1368)/($W$3-$V$3)))+$U$4*MAX(0,MIN(1,($W$4-K1368)/($W$4-$V$4)))+$U$5*MAX(0,MIN(1,($W$5-L1368)/($W$5-$V$5)))+$U$6*MAX(0,MIN(1,($W$6-M1368)/($W$6-$V$6)))+$U$7*MAX(0,MIN(1,($W$7-N1368)/($W$7-$V$7)))+$U$8*IF(AND(O1368&gt;=$V$8,O1368&lt;=$W$8),1,0))/$U$9*100,2)</f>
        <v>67.44</v>
      </c>
      <c r="C1368" s="27" t="s">
        <v>1813</v>
      </c>
      <c r="D1368" s="25" t="s">
        <v>134</v>
      </c>
      <c r="E1368" s="25" t="s">
        <v>3447</v>
      </c>
      <c r="F1368" s="25" t="s">
        <v>3448</v>
      </c>
      <c r="G1368" s="38" t="s">
        <v>30</v>
      </c>
      <c r="H1368" s="33" t="s">
        <v>24</v>
      </c>
      <c r="I1368" s="25" t="n">
        <v>4</v>
      </c>
      <c r="J1368" s="25" t="n">
        <v>0</v>
      </c>
      <c r="K1368" s="25" t="n">
        <v>4</v>
      </c>
      <c r="L1368" s="29" t="n">
        <v>0.75</v>
      </c>
      <c r="M1368" s="30" t="n">
        <v>18.19</v>
      </c>
      <c r="N1368" s="29" t="n">
        <v>0.92</v>
      </c>
      <c r="O1368" s="25" t="n">
        <v>199</v>
      </c>
      <c r="P1368" s="30" t="n">
        <v>-0.05</v>
      </c>
      <c r="Q1368" s="27" t="s">
        <v>3607</v>
      </c>
      <c r="R1368" s="27" t="s">
        <v>30</v>
      </c>
    </row>
    <row r="1369" customFormat="false" ht="15" hidden="false" customHeight="false" outlineLevel="0" collapsed="false">
      <c r="A1369" s="25" t="n">
        <f aca="false">IF(G1369="REJECT",COUNTIF($G$2:$G$2277,"&lt;&gt;REJECT")+1+COUNTIFS($G$2:$G$2277,"REJECT",$B$2:$B$2277,"&gt;"&amp;B1369),1+COUNTIFS($G$2:$G$2277,"&lt;&gt;REJECT",$B$2:$B$2277,"&gt;"&amp;B1369))</f>
        <v>1368</v>
      </c>
      <c r="B1369" s="26" t="n">
        <f aca="false">ROUND(($U$2*MAX(0,MIN(1,($W$2-I1369)/($W$2-$V$2)))+$U$3*MAX(0,MIN(1,($W$3-J1369)/($W$3-$V$3)))+$U$4*MAX(0,MIN(1,($W$4-K1369)/($W$4-$V$4)))+$U$5*MAX(0,MIN(1,($W$5-L1369)/($W$5-$V$5)))+$U$6*MAX(0,MIN(1,($W$6-M1369)/($W$6-$V$6)))+$U$7*MAX(0,MIN(1,($W$7-N1369)/($W$7-$V$7)))+$U$8*IF(AND(O1369&gt;=$V$8,O1369&lt;=$W$8),1,0))/$U$9*100,2)</f>
        <v>67.43</v>
      </c>
      <c r="C1369" s="27" t="s">
        <v>160</v>
      </c>
      <c r="D1369" s="25" t="s">
        <v>134</v>
      </c>
      <c r="E1369" s="25" t="s">
        <v>3447</v>
      </c>
      <c r="F1369" s="25" t="s">
        <v>3457</v>
      </c>
      <c r="G1369" s="38" t="s">
        <v>30</v>
      </c>
      <c r="H1369" s="28" t="s">
        <v>25</v>
      </c>
      <c r="I1369" s="25" t="n">
        <v>3</v>
      </c>
      <c r="J1369" s="25" t="n">
        <v>1</v>
      </c>
      <c r="K1369" s="25" t="n">
        <v>3</v>
      </c>
      <c r="L1369" s="29" t="n">
        <v>0.8</v>
      </c>
      <c r="M1369" s="30" t="n">
        <v>20.92</v>
      </c>
      <c r="N1369" s="29" t="n">
        <v>0.2</v>
      </c>
      <c r="O1369" s="25" t="n">
        <v>184</v>
      </c>
      <c r="P1369" s="30" t="n">
        <v>-0.96</v>
      </c>
      <c r="Q1369" s="27" t="s">
        <v>3668</v>
      </c>
      <c r="R1369" s="27" t="s">
        <v>183</v>
      </c>
    </row>
    <row r="1370" customFormat="false" ht="15" hidden="false" customHeight="false" outlineLevel="0" collapsed="false">
      <c r="A1370" s="25" t="n">
        <f aca="false">IF(G1370="REJECT",COUNTIF($G$2:$G$2277,"&lt;&gt;REJECT")+1+COUNTIFS($G$2:$G$2277,"REJECT",$B$2:$B$2277,"&gt;"&amp;B1370),1+COUNTIFS($G$2:$G$2277,"&lt;&gt;REJECT",$B$2:$B$2277,"&gt;"&amp;B1370))</f>
        <v>1369</v>
      </c>
      <c r="B1370" s="26" t="n">
        <f aca="false">ROUND(($U$2*MAX(0,MIN(1,($W$2-I1370)/($W$2-$V$2)))+$U$3*MAX(0,MIN(1,($W$3-J1370)/($W$3-$V$3)))+$U$4*MAX(0,MIN(1,($W$4-K1370)/($W$4-$V$4)))+$U$5*MAX(0,MIN(1,($W$5-L1370)/($W$5-$V$5)))+$U$6*MAX(0,MIN(1,($W$6-M1370)/($W$6-$V$6)))+$U$7*MAX(0,MIN(1,($W$7-N1370)/($W$7-$V$7)))+$U$8*IF(AND(O1370&gt;=$V$8,O1370&lt;=$W$8),1,0))/$U$9*100,2)</f>
        <v>67.41</v>
      </c>
      <c r="C1370" s="27" t="s">
        <v>3007</v>
      </c>
      <c r="D1370" s="25" t="s">
        <v>134</v>
      </c>
      <c r="E1370" s="25" t="s">
        <v>3450</v>
      </c>
      <c r="F1370" s="25" t="s">
        <v>3448</v>
      </c>
      <c r="G1370" s="38" t="s">
        <v>30</v>
      </c>
      <c r="H1370" s="28" t="s">
        <v>25</v>
      </c>
      <c r="I1370" s="25" t="n">
        <v>3</v>
      </c>
      <c r="J1370" s="25" t="n">
        <v>1</v>
      </c>
      <c r="K1370" s="25" t="n">
        <v>3</v>
      </c>
      <c r="L1370" s="29" t="n">
        <v>0.77</v>
      </c>
      <c r="M1370" s="30" t="n">
        <v>10.24</v>
      </c>
      <c r="N1370" s="29" t="n">
        <v>0.2</v>
      </c>
      <c r="O1370" s="25" t="n">
        <v>187</v>
      </c>
      <c r="P1370" s="30" t="n">
        <v>13.48</v>
      </c>
      <c r="Q1370" s="27" t="s">
        <v>3669</v>
      </c>
      <c r="R1370" s="27" t="s">
        <v>1099</v>
      </c>
    </row>
    <row r="1371" customFormat="false" ht="15" hidden="false" customHeight="false" outlineLevel="0" collapsed="false">
      <c r="A1371" s="25" t="n">
        <f aca="false">IF(G1371="REJECT",COUNTIF($G$2:$G$2277,"&lt;&gt;REJECT")+1+COUNTIFS($G$2:$G$2277,"REJECT",$B$2:$B$2277,"&gt;"&amp;B1371),1+COUNTIFS($G$2:$G$2277,"&lt;&gt;REJECT",$B$2:$B$2277,"&gt;"&amp;B1371))</f>
        <v>1370</v>
      </c>
      <c r="B1371" s="26" t="n">
        <f aca="false">ROUND(($U$2*MAX(0,MIN(1,($W$2-I1371)/($W$2-$V$2)))+$U$3*MAX(0,MIN(1,($W$3-J1371)/($W$3-$V$3)))+$U$4*MAX(0,MIN(1,($W$4-K1371)/($W$4-$V$4)))+$U$5*MAX(0,MIN(1,($W$5-L1371)/($W$5-$V$5)))+$U$6*MAX(0,MIN(1,($W$6-M1371)/($W$6-$V$6)))+$U$7*MAX(0,MIN(1,($W$7-N1371)/($W$7-$V$7)))+$U$8*IF(AND(O1371&gt;=$V$8,O1371&lt;=$W$8),1,0))/$U$9*100,2)</f>
        <v>67.37</v>
      </c>
      <c r="C1371" s="27" t="s">
        <v>2660</v>
      </c>
      <c r="D1371" s="25" t="s">
        <v>134</v>
      </c>
      <c r="E1371" s="25" t="s">
        <v>3450</v>
      </c>
      <c r="F1371" s="25" t="s">
        <v>3457</v>
      </c>
      <c r="G1371" s="38" t="s">
        <v>30</v>
      </c>
      <c r="H1371" s="28" t="s">
        <v>25</v>
      </c>
      <c r="I1371" s="25" t="n">
        <v>3</v>
      </c>
      <c r="J1371" s="25" t="n">
        <v>1</v>
      </c>
      <c r="K1371" s="25" t="n">
        <v>3</v>
      </c>
      <c r="L1371" s="29" t="n">
        <v>0.83</v>
      </c>
      <c r="M1371" s="30" t="n">
        <v>14.47</v>
      </c>
      <c r="N1371" s="29" t="n">
        <v>0.88</v>
      </c>
      <c r="O1371" s="25" t="n">
        <v>192</v>
      </c>
      <c r="P1371" s="30" t="n">
        <v>3.16</v>
      </c>
      <c r="Q1371" s="27" t="s">
        <v>3649</v>
      </c>
      <c r="R1371" s="27" t="s">
        <v>283</v>
      </c>
    </row>
    <row r="1372" customFormat="false" ht="15" hidden="false" customHeight="false" outlineLevel="0" collapsed="false">
      <c r="A1372" s="25" t="n">
        <f aca="false">IF(G1372="REJECT",COUNTIF($G$2:$G$2277,"&lt;&gt;REJECT")+1+COUNTIFS($G$2:$G$2277,"REJECT",$B$2:$B$2277,"&gt;"&amp;B1372),1+COUNTIFS($G$2:$G$2277,"&lt;&gt;REJECT",$B$2:$B$2277,"&gt;"&amp;B1372))</f>
        <v>1371</v>
      </c>
      <c r="B1372" s="26" t="n">
        <f aca="false">ROUND(($U$2*MAX(0,MIN(1,($W$2-I1372)/($W$2-$V$2)))+$U$3*MAX(0,MIN(1,($W$3-J1372)/($W$3-$V$3)))+$U$4*MAX(0,MIN(1,($W$4-K1372)/($W$4-$V$4)))+$U$5*MAX(0,MIN(1,($W$5-L1372)/($W$5-$V$5)))+$U$6*MAX(0,MIN(1,($W$6-M1372)/($W$6-$V$6)))+$U$7*MAX(0,MIN(1,($W$7-N1372)/($W$7-$V$7)))+$U$8*IF(AND(O1372&gt;=$V$8,O1372&lt;=$W$8),1,0))/$U$9*100,2)</f>
        <v>67.33</v>
      </c>
      <c r="C1372" s="27" t="s">
        <v>3016</v>
      </c>
      <c r="D1372" s="25" t="s">
        <v>134</v>
      </c>
      <c r="E1372" s="25" t="s">
        <v>3450</v>
      </c>
      <c r="F1372" s="25" t="s">
        <v>3448</v>
      </c>
      <c r="G1372" s="38" t="s">
        <v>30</v>
      </c>
      <c r="H1372" s="28" t="s">
        <v>25</v>
      </c>
      <c r="I1372" s="25" t="n">
        <v>2</v>
      </c>
      <c r="J1372" s="25" t="n">
        <v>1</v>
      </c>
      <c r="K1372" s="25" t="n">
        <v>2</v>
      </c>
      <c r="L1372" s="29" t="n">
        <v>0.66</v>
      </c>
      <c r="M1372" s="30" t="n">
        <v>3.05</v>
      </c>
      <c r="N1372" s="29" t="n">
        <v>0.76</v>
      </c>
      <c r="O1372" s="25" t="n">
        <v>184</v>
      </c>
      <c r="P1372" s="30" t="n">
        <v>0.4</v>
      </c>
      <c r="Q1372" s="27" t="s">
        <v>3566</v>
      </c>
      <c r="R1372" s="27" t="s">
        <v>1230</v>
      </c>
    </row>
    <row r="1373" customFormat="false" ht="15" hidden="false" customHeight="false" outlineLevel="0" collapsed="false">
      <c r="A1373" s="25" t="n">
        <f aca="false">IF(G1373="REJECT",COUNTIF($G$2:$G$2277,"&lt;&gt;REJECT")+1+COUNTIFS($G$2:$G$2277,"REJECT",$B$2:$B$2277,"&gt;"&amp;B1373),1+COUNTIFS($G$2:$G$2277,"&lt;&gt;REJECT",$B$2:$B$2277,"&gt;"&amp;B1373))</f>
        <v>1372</v>
      </c>
      <c r="B1373" s="26" t="n">
        <f aca="false">ROUND(($U$2*MAX(0,MIN(1,($W$2-I1373)/($W$2-$V$2)))+$U$3*MAX(0,MIN(1,($W$3-J1373)/($W$3-$V$3)))+$U$4*MAX(0,MIN(1,($W$4-K1373)/($W$4-$V$4)))+$U$5*MAX(0,MIN(1,($W$5-L1373)/($W$5-$V$5)))+$U$6*MAX(0,MIN(1,($W$6-M1373)/($W$6-$V$6)))+$U$7*MAX(0,MIN(1,($W$7-N1373)/($W$7-$V$7)))+$U$8*IF(AND(O1373&gt;=$V$8,O1373&lt;=$W$8),1,0))/$U$9*100,2)</f>
        <v>67.31</v>
      </c>
      <c r="C1373" s="27" t="s">
        <v>1572</v>
      </c>
      <c r="D1373" s="25" t="s">
        <v>134</v>
      </c>
      <c r="E1373" s="25" t="s">
        <v>3447</v>
      </c>
      <c r="F1373" s="25" t="s">
        <v>3448</v>
      </c>
      <c r="G1373" s="38" t="s">
        <v>30</v>
      </c>
      <c r="H1373" s="33" t="s">
        <v>24</v>
      </c>
      <c r="I1373" s="25" t="n">
        <v>4</v>
      </c>
      <c r="J1373" s="25" t="n">
        <v>0</v>
      </c>
      <c r="K1373" s="25" t="n">
        <v>4</v>
      </c>
      <c r="L1373" s="29" t="n">
        <v>0.71</v>
      </c>
      <c r="M1373" s="30" t="n">
        <v>11.37</v>
      </c>
      <c r="N1373" s="29" t="n">
        <v>0.24</v>
      </c>
      <c r="O1373" s="25" t="n">
        <v>183</v>
      </c>
      <c r="P1373" s="30" t="n">
        <v>9.66</v>
      </c>
      <c r="Q1373" s="27" t="s">
        <v>3618</v>
      </c>
      <c r="R1373" s="27" t="s">
        <v>30</v>
      </c>
    </row>
    <row r="1374" customFormat="false" ht="15" hidden="false" customHeight="false" outlineLevel="0" collapsed="false">
      <c r="A1374" s="25" t="n">
        <f aca="false">IF(G1374="REJECT",COUNTIF($G$2:$G$2277,"&lt;&gt;REJECT")+1+COUNTIFS($G$2:$G$2277,"REJECT",$B$2:$B$2277,"&gt;"&amp;B1374),1+COUNTIFS($G$2:$G$2277,"&lt;&gt;REJECT",$B$2:$B$2277,"&gt;"&amp;B1374))</f>
        <v>1373</v>
      </c>
      <c r="B1374" s="26" t="n">
        <f aca="false">ROUND(($U$2*MAX(0,MIN(1,($W$2-I1374)/($W$2-$V$2)))+$U$3*MAX(0,MIN(1,($W$3-J1374)/($W$3-$V$3)))+$U$4*MAX(0,MIN(1,($W$4-K1374)/($W$4-$V$4)))+$U$5*MAX(0,MIN(1,($W$5-L1374)/($W$5-$V$5)))+$U$6*MAX(0,MIN(1,($W$6-M1374)/($W$6-$V$6)))+$U$7*MAX(0,MIN(1,($W$7-N1374)/($W$7-$V$7)))+$U$8*IF(AND(O1374&gt;=$V$8,O1374&lt;=$W$8),1,0))/$U$9*100,2)</f>
        <v>67.3</v>
      </c>
      <c r="C1374" s="27" t="s">
        <v>2494</v>
      </c>
      <c r="D1374" s="25" t="s">
        <v>134</v>
      </c>
      <c r="E1374" s="25" t="s">
        <v>3450</v>
      </c>
      <c r="F1374" s="25" t="s">
        <v>3457</v>
      </c>
      <c r="G1374" s="38" t="s">
        <v>30</v>
      </c>
      <c r="H1374" s="28" t="s">
        <v>25</v>
      </c>
      <c r="I1374" s="25" t="n">
        <v>3</v>
      </c>
      <c r="J1374" s="25" t="n">
        <v>1</v>
      </c>
      <c r="K1374" s="25" t="n">
        <v>3</v>
      </c>
      <c r="L1374" s="29" t="n">
        <v>0.77</v>
      </c>
      <c r="M1374" s="30" t="n">
        <v>10.48</v>
      </c>
      <c r="N1374" s="29" t="n">
        <v>0.24</v>
      </c>
      <c r="O1374" s="25" t="n">
        <v>192</v>
      </c>
      <c r="P1374" s="30" t="n">
        <v>3.32</v>
      </c>
      <c r="Q1374" s="27" t="s">
        <v>3649</v>
      </c>
      <c r="R1374" s="27" t="s">
        <v>1099</v>
      </c>
    </row>
    <row r="1375" customFormat="false" ht="15" hidden="false" customHeight="false" outlineLevel="0" collapsed="false">
      <c r="A1375" s="25" t="n">
        <f aca="false">IF(G1375="REJECT",COUNTIF($G$2:$G$2277,"&lt;&gt;REJECT")+1+COUNTIFS($G$2:$G$2277,"REJECT",$B$2:$B$2277,"&gt;"&amp;B1375),1+COUNTIFS($G$2:$G$2277,"&lt;&gt;REJECT",$B$2:$B$2277,"&gt;"&amp;B1375))</f>
        <v>1374</v>
      </c>
      <c r="B1375" s="26" t="n">
        <f aca="false">ROUND(($U$2*MAX(0,MIN(1,($W$2-I1375)/($W$2-$V$2)))+$U$3*MAX(0,MIN(1,($W$3-J1375)/($W$3-$V$3)))+$U$4*MAX(0,MIN(1,($W$4-K1375)/($W$4-$V$4)))+$U$5*MAX(0,MIN(1,($W$5-L1375)/($W$5-$V$5)))+$U$6*MAX(0,MIN(1,($W$6-M1375)/($W$6-$V$6)))+$U$7*MAX(0,MIN(1,($W$7-N1375)/($W$7-$V$7)))+$U$8*IF(AND(O1375&gt;=$V$8,O1375&lt;=$W$8),1,0))/$U$9*100,2)</f>
        <v>67.28</v>
      </c>
      <c r="C1375" s="27" t="s">
        <v>2247</v>
      </c>
      <c r="D1375" s="25" t="s">
        <v>3459</v>
      </c>
      <c r="E1375" s="25" t="s">
        <v>3450</v>
      </c>
      <c r="F1375" s="25" t="s">
        <v>3448</v>
      </c>
      <c r="G1375" s="38" t="s">
        <v>30</v>
      </c>
      <c r="H1375" s="28" t="s">
        <v>25</v>
      </c>
      <c r="I1375" s="25" t="n">
        <v>2</v>
      </c>
      <c r="J1375" s="25" t="n">
        <v>1</v>
      </c>
      <c r="K1375" s="25" t="n">
        <v>2</v>
      </c>
      <c r="L1375" s="29" t="n">
        <v>0.7</v>
      </c>
      <c r="M1375" s="30" t="n">
        <v>24.15</v>
      </c>
      <c r="N1375" s="29" t="n">
        <v>0.12</v>
      </c>
      <c r="O1375" s="25" t="n">
        <v>183</v>
      </c>
      <c r="P1375" s="30" t="n">
        <v>21.58</v>
      </c>
      <c r="Q1375" s="27" t="s">
        <v>3575</v>
      </c>
      <c r="R1375" s="27" t="s">
        <v>183</v>
      </c>
    </row>
    <row r="1376" customFormat="false" ht="15" hidden="false" customHeight="false" outlineLevel="0" collapsed="false">
      <c r="A1376" s="25" t="n">
        <f aca="false">IF(G1376="REJECT",COUNTIF($G$2:$G$2277,"&lt;&gt;REJECT")+1+COUNTIFS($G$2:$G$2277,"REJECT",$B$2:$B$2277,"&gt;"&amp;B1376),1+COUNTIFS($G$2:$G$2277,"&lt;&gt;REJECT",$B$2:$B$2277,"&gt;"&amp;B1376))</f>
        <v>1375</v>
      </c>
      <c r="B1376" s="26" t="n">
        <f aca="false">ROUND(($U$2*MAX(0,MIN(1,($W$2-I1376)/($W$2-$V$2)))+$U$3*MAX(0,MIN(1,($W$3-J1376)/($W$3-$V$3)))+$U$4*MAX(0,MIN(1,($W$4-K1376)/($W$4-$V$4)))+$U$5*MAX(0,MIN(1,($W$5-L1376)/($W$5-$V$5)))+$U$6*MAX(0,MIN(1,($W$6-M1376)/($W$6-$V$6)))+$U$7*MAX(0,MIN(1,($W$7-N1376)/($W$7-$V$7)))+$U$8*IF(AND(O1376&gt;=$V$8,O1376&lt;=$W$8),1,0))/$U$9*100,2)</f>
        <v>67.18</v>
      </c>
      <c r="C1376" s="27" t="s">
        <v>2130</v>
      </c>
      <c r="D1376" s="25" t="s">
        <v>134</v>
      </c>
      <c r="E1376" s="25" t="s">
        <v>3447</v>
      </c>
      <c r="F1376" s="25" t="s">
        <v>3457</v>
      </c>
      <c r="G1376" s="38" t="s">
        <v>30</v>
      </c>
      <c r="H1376" s="28" t="s">
        <v>25</v>
      </c>
      <c r="I1376" s="25" t="n">
        <v>4</v>
      </c>
      <c r="J1376" s="25" t="n">
        <v>0</v>
      </c>
      <c r="K1376" s="25" t="n">
        <v>4</v>
      </c>
      <c r="L1376" s="29" t="n">
        <v>0.74</v>
      </c>
      <c r="M1376" s="30" t="n">
        <v>16.14</v>
      </c>
      <c r="N1376" s="29" t="n">
        <v>0.92</v>
      </c>
      <c r="O1376" s="25" t="n">
        <v>188</v>
      </c>
      <c r="P1376" s="30" t="n">
        <v>-1.29</v>
      </c>
      <c r="Q1376" s="27" t="s">
        <v>3670</v>
      </c>
      <c r="R1376" s="27" t="s">
        <v>2133</v>
      </c>
    </row>
    <row r="1377" customFormat="false" ht="15" hidden="false" customHeight="false" outlineLevel="0" collapsed="false">
      <c r="A1377" s="25" t="n">
        <f aca="false">IF(G1377="REJECT",COUNTIF($G$2:$G$2277,"&lt;&gt;REJECT")+1+COUNTIFS($G$2:$G$2277,"REJECT",$B$2:$B$2277,"&gt;"&amp;B1377),1+COUNTIFS($G$2:$G$2277,"&lt;&gt;REJECT",$B$2:$B$2277,"&gt;"&amp;B1377))</f>
        <v>1375</v>
      </c>
      <c r="B1377" s="26" t="n">
        <f aca="false">ROUND(($U$2*MAX(0,MIN(1,($W$2-I1377)/($W$2-$V$2)))+$U$3*MAX(0,MIN(1,($W$3-J1377)/($W$3-$V$3)))+$U$4*MAX(0,MIN(1,($W$4-K1377)/($W$4-$V$4)))+$U$5*MAX(0,MIN(1,($W$5-L1377)/($W$5-$V$5)))+$U$6*MAX(0,MIN(1,($W$6-M1377)/($W$6-$V$6)))+$U$7*MAX(0,MIN(1,($W$7-N1377)/($W$7-$V$7)))+$U$8*IF(AND(O1377&gt;=$V$8,O1377&lt;=$W$8),1,0))/$U$9*100,2)</f>
        <v>67.18</v>
      </c>
      <c r="C1377" s="27" t="s">
        <v>2192</v>
      </c>
      <c r="D1377" s="25" t="s">
        <v>134</v>
      </c>
      <c r="E1377" s="25" t="s">
        <v>3450</v>
      </c>
      <c r="F1377" s="25" t="s">
        <v>3457</v>
      </c>
      <c r="G1377" s="38" t="s">
        <v>30</v>
      </c>
      <c r="H1377" s="28" t="s">
        <v>25</v>
      </c>
      <c r="I1377" s="25" t="n">
        <v>2</v>
      </c>
      <c r="J1377" s="25" t="n">
        <v>1</v>
      </c>
      <c r="K1377" s="25" t="n">
        <v>2</v>
      </c>
      <c r="L1377" s="29" t="n">
        <v>0.67</v>
      </c>
      <c r="M1377" s="30" t="n">
        <v>11.14</v>
      </c>
      <c r="N1377" s="29" t="n">
        <v>0.4</v>
      </c>
      <c r="O1377" s="25" t="n">
        <v>185</v>
      </c>
      <c r="P1377" s="30" t="n">
        <v>12.01</v>
      </c>
      <c r="Q1377" s="27" t="s">
        <v>3575</v>
      </c>
      <c r="R1377" s="27" t="s">
        <v>283</v>
      </c>
    </row>
    <row r="1378" customFormat="false" ht="15" hidden="false" customHeight="false" outlineLevel="0" collapsed="false">
      <c r="A1378" s="25" t="n">
        <f aca="false">IF(G1378="REJECT",COUNTIF($G$2:$G$2277,"&lt;&gt;REJECT")+1+COUNTIFS($G$2:$G$2277,"REJECT",$B$2:$B$2277,"&gt;"&amp;B1378),1+COUNTIFS($G$2:$G$2277,"&lt;&gt;REJECT",$B$2:$B$2277,"&gt;"&amp;B1378))</f>
        <v>1377</v>
      </c>
      <c r="B1378" s="26" t="n">
        <f aca="false">ROUND(($U$2*MAX(0,MIN(1,($W$2-I1378)/($W$2-$V$2)))+$U$3*MAX(0,MIN(1,($W$3-J1378)/($W$3-$V$3)))+$U$4*MAX(0,MIN(1,($W$4-K1378)/($W$4-$V$4)))+$U$5*MAX(0,MIN(1,($W$5-L1378)/($W$5-$V$5)))+$U$6*MAX(0,MIN(1,($W$6-M1378)/($W$6-$V$6)))+$U$7*MAX(0,MIN(1,($W$7-N1378)/($W$7-$V$7)))+$U$8*IF(AND(O1378&gt;=$V$8,O1378&lt;=$W$8),1,0))/$U$9*100,2)</f>
        <v>67.16</v>
      </c>
      <c r="C1378" s="27" t="s">
        <v>2482</v>
      </c>
      <c r="D1378" s="25" t="s">
        <v>3459</v>
      </c>
      <c r="E1378" s="25" t="s">
        <v>3450</v>
      </c>
      <c r="F1378" s="25" t="s">
        <v>3448</v>
      </c>
      <c r="G1378" s="38" t="s">
        <v>30</v>
      </c>
      <c r="H1378" s="28" t="s">
        <v>25</v>
      </c>
      <c r="I1378" s="25" t="n">
        <v>2</v>
      </c>
      <c r="J1378" s="25" t="n">
        <v>1</v>
      </c>
      <c r="K1378" s="25" t="n">
        <v>2</v>
      </c>
      <c r="L1378" s="29" t="n">
        <v>0.7</v>
      </c>
      <c r="M1378" s="30" t="n">
        <v>22.43</v>
      </c>
      <c r="N1378" s="29" t="n">
        <v>0.36</v>
      </c>
      <c r="O1378" s="25" t="n">
        <v>184</v>
      </c>
      <c r="P1378" s="30" t="n">
        <v>0.8</v>
      </c>
      <c r="Q1378" s="27" t="s">
        <v>3575</v>
      </c>
      <c r="R1378" s="27" t="s">
        <v>294</v>
      </c>
    </row>
    <row r="1379" customFormat="false" ht="15" hidden="false" customHeight="false" outlineLevel="0" collapsed="false">
      <c r="A1379" s="25" t="n">
        <f aca="false">IF(G1379="REJECT",COUNTIF($G$2:$G$2277,"&lt;&gt;REJECT")+1+COUNTIFS($G$2:$G$2277,"REJECT",$B$2:$B$2277,"&gt;"&amp;B1379),1+COUNTIFS($G$2:$G$2277,"&lt;&gt;REJECT",$B$2:$B$2277,"&gt;"&amp;B1379))</f>
        <v>1378</v>
      </c>
      <c r="B1379" s="26" t="n">
        <f aca="false">ROUND(($U$2*MAX(0,MIN(1,($W$2-I1379)/($W$2-$V$2)))+$U$3*MAX(0,MIN(1,($W$3-J1379)/($W$3-$V$3)))+$U$4*MAX(0,MIN(1,($W$4-K1379)/($W$4-$V$4)))+$U$5*MAX(0,MIN(1,($W$5-L1379)/($W$5-$V$5)))+$U$6*MAX(0,MIN(1,($W$6-M1379)/($W$6-$V$6)))+$U$7*MAX(0,MIN(1,($W$7-N1379)/($W$7-$V$7)))+$U$8*IF(AND(O1379&gt;=$V$8,O1379&lt;=$W$8),1,0))/$U$9*100,2)</f>
        <v>67.12</v>
      </c>
      <c r="C1379" s="27" t="s">
        <v>584</v>
      </c>
      <c r="D1379" s="25" t="s">
        <v>3459</v>
      </c>
      <c r="E1379" s="25" t="s">
        <v>3450</v>
      </c>
      <c r="F1379" s="25" t="s">
        <v>3448</v>
      </c>
      <c r="G1379" s="38" t="s">
        <v>30</v>
      </c>
      <c r="H1379" s="28" t="s">
        <v>25</v>
      </c>
      <c r="I1379" s="25" t="n">
        <v>2</v>
      </c>
      <c r="J1379" s="25" t="n">
        <v>1</v>
      </c>
      <c r="K1379" s="25" t="n">
        <v>2</v>
      </c>
      <c r="L1379" s="29" t="n">
        <v>0.71</v>
      </c>
      <c r="M1379" s="30" t="n">
        <v>25.87</v>
      </c>
      <c r="N1379" s="29" t="n">
        <v>0.4</v>
      </c>
      <c r="O1379" s="25" t="n">
        <v>183</v>
      </c>
      <c r="P1379" s="30" t="n">
        <v>6.18</v>
      </c>
      <c r="Q1379" s="27" t="s">
        <v>3646</v>
      </c>
      <c r="R1379" s="27" t="s">
        <v>183</v>
      </c>
    </row>
    <row r="1380" customFormat="false" ht="15" hidden="false" customHeight="false" outlineLevel="0" collapsed="false">
      <c r="A1380" s="25" t="n">
        <f aca="false">IF(G1380="REJECT",COUNTIF($G$2:$G$2277,"&lt;&gt;REJECT")+1+COUNTIFS($G$2:$G$2277,"REJECT",$B$2:$B$2277,"&gt;"&amp;B1380),1+COUNTIFS($G$2:$G$2277,"&lt;&gt;REJECT",$B$2:$B$2277,"&gt;"&amp;B1380))</f>
        <v>1379</v>
      </c>
      <c r="B1380" s="26" t="n">
        <f aca="false">ROUND(($U$2*MAX(0,MIN(1,($W$2-I1380)/($W$2-$V$2)))+$U$3*MAX(0,MIN(1,($W$3-J1380)/($W$3-$V$3)))+$U$4*MAX(0,MIN(1,($W$4-K1380)/($W$4-$V$4)))+$U$5*MAX(0,MIN(1,($W$5-L1380)/($W$5-$V$5)))+$U$6*MAX(0,MIN(1,($W$6-M1380)/($W$6-$V$6)))+$U$7*MAX(0,MIN(1,($W$7-N1380)/($W$7-$V$7)))+$U$8*IF(AND(O1380&gt;=$V$8,O1380&lt;=$W$8),1,0))/$U$9*100,2)</f>
        <v>67.08</v>
      </c>
      <c r="C1380" s="27" t="s">
        <v>584</v>
      </c>
      <c r="D1380" s="25" t="s">
        <v>134</v>
      </c>
      <c r="E1380" s="25" t="s">
        <v>3447</v>
      </c>
      <c r="F1380" s="25" t="s">
        <v>3448</v>
      </c>
      <c r="G1380" s="38" t="s">
        <v>30</v>
      </c>
      <c r="H1380" s="33" t="s">
        <v>24</v>
      </c>
      <c r="I1380" s="25" t="n">
        <v>5</v>
      </c>
      <c r="J1380" s="25" t="n">
        <v>0</v>
      </c>
      <c r="K1380" s="25" t="n">
        <v>5</v>
      </c>
      <c r="L1380" s="29" t="n">
        <v>0.81</v>
      </c>
      <c r="M1380" s="30" t="n">
        <v>7.23</v>
      </c>
      <c r="N1380" s="29" t="n">
        <v>0.28</v>
      </c>
      <c r="O1380" s="25" t="n">
        <v>187</v>
      </c>
      <c r="P1380" s="30" t="n">
        <v>-2.03</v>
      </c>
      <c r="Q1380" s="27" t="s">
        <v>3671</v>
      </c>
      <c r="R1380" s="27" t="s">
        <v>30</v>
      </c>
    </row>
    <row r="1381" customFormat="false" ht="15" hidden="false" customHeight="false" outlineLevel="0" collapsed="false">
      <c r="A1381" s="25" t="n">
        <f aca="false">IF(G1381="REJECT",COUNTIF($G$2:$G$2277,"&lt;&gt;REJECT")+1+COUNTIFS($G$2:$G$2277,"REJECT",$B$2:$B$2277,"&gt;"&amp;B1381),1+COUNTIFS($G$2:$G$2277,"&lt;&gt;REJECT",$B$2:$B$2277,"&gt;"&amp;B1381))</f>
        <v>1380</v>
      </c>
      <c r="B1381" s="26" t="n">
        <f aca="false">ROUND(($U$2*MAX(0,MIN(1,($W$2-I1381)/($W$2-$V$2)))+$U$3*MAX(0,MIN(1,($W$3-J1381)/($W$3-$V$3)))+$U$4*MAX(0,MIN(1,($W$4-K1381)/($W$4-$V$4)))+$U$5*MAX(0,MIN(1,($W$5-L1381)/($W$5-$V$5)))+$U$6*MAX(0,MIN(1,($W$6-M1381)/($W$6-$V$6)))+$U$7*MAX(0,MIN(1,($W$7-N1381)/($W$7-$V$7)))+$U$8*IF(AND(O1381&gt;=$V$8,O1381&lt;=$W$8),1,0))/$U$9*100,2)</f>
        <v>67.07</v>
      </c>
      <c r="C1381" s="27" t="s">
        <v>839</v>
      </c>
      <c r="D1381" s="25" t="s">
        <v>134</v>
      </c>
      <c r="E1381" s="25" t="s">
        <v>3447</v>
      </c>
      <c r="F1381" s="25" t="s">
        <v>3448</v>
      </c>
      <c r="G1381" s="38" t="s">
        <v>30</v>
      </c>
      <c r="H1381" s="28" t="s">
        <v>25</v>
      </c>
      <c r="I1381" s="25" t="n">
        <v>3</v>
      </c>
      <c r="J1381" s="25" t="n">
        <v>1</v>
      </c>
      <c r="K1381" s="25" t="n">
        <v>3</v>
      </c>
      <c r="L1381" s="29" t="n">
        <v>0.77</v>
      </c>
      <c r="M1381" s="30" t="n">
        <v>8.3</v>
      </c>
      <c r="N1381" s="29" t="n">
        <v>0.6</v>
      </c>
      <c r="O1381" s="25" t="n">
        <v>185</v>
      </c>
      <c r="P1381" s="30" t="n">
        <v>10.75</v>
      </c>
      <c r="Q1381" s="27" t="s">
        <v>3662</v>
      </c>
      <c r="R1381" s="27" t="s">
        <v>283</v>
      </c>
    </row>
    <row r="1382" customFormat="false" ht="15" hidden="false" customHeight="false" outlineLevel="0" collapsed="false">
      <c r="A1382" s="25" t="n">
        <f aca="false">IF(G1382="REJECT",COUNTIF($G$2:$G$2277,"&lt;&gt;REJECT")+1+COUNTIFS($G$2:$G$2277,"REJECT",$B$2:$B$2277,"&gt;"&amp;B1382),1+COUNTIFS($G$2:$G$2277,"&lt;&gt;REJECT",$B$2:$B$2277,"&gt;"&amp;B1382))</f>
        <v>1380</v>
      </c>
      <c r="B1382" s="26" t="n">
        <f aca="false">ROUND(($U$2*MAX(0,MIN(1,($W$2-I1382)/($W$2-$V$2)))+$U$3*MAX(0,MIN(1,($W$3-J1382)/($W$3-$V$3)))+$U$4*MAX(0,MIN(1,($W$4-K1382)/($W$4-$V$4)))+$U$5*MAX(0,MIN(1,($W$5-L1382)/($W$5-$V$5)))+$U$6*MAX(0,MIN(1,($W$6-M1382)/($W$6-$V$6)))+$U$7*MAX(0,MIN(1,($W$7-N1382)/($W$7-$V$7)))+$U$8*IF(AND(O1382&gt;=$V$8,O1382&lt;=$W$8),1,0))/$U$9*100,2)</f>
        <v>67.07</v>
      </c>
      <c r="C1382" s="27" t="s">
        <v>2885</v>
      </c>
      <c r="D1382" s="25" t="s">
        <v>134</v>
      </c>
      <c r="E1382" s="25" t="s">
        <v>3450</v>
      </c>
      <c r="F1382" s="25" t="s">
        <v>3457</v>
      </c>
      <c r="G1382" s="38" t="s">
        <v>30</v>
      </c>
      <c r="H1382" s="28" t="s">
        <v>25</v>
      </c>
      <c r="I1382" s="25" t="n">
        <v>3</v>
      </c>
      <c r="J1382" s="25" t="n">
        <v>1</v>
      </c>
      <c r="K1382" s="25" t="n">
        <v>3</v>
      </c>
      <c r="L1382" s="29" t="n">
        <v>0.78</v>
      </c>
      <c r="M1382" s="30" t="n">
        <v>11.48</v>
      </c>
      <c r="N1382" s="29" t="n">
        <v>0.64</v>
      </c>
      <c r="O1382" s="25" t="n">
        <v>182</v>
      </c>
      <c r="P1382" s="30" t="n">
        <v>-0.76</v>
      </c>
      <c r="Q1382" s="27" t="s">
        <v>3649</v>
      </c>
      <c r="R1382" s="27" t="s">
        <v>1230</v>
      </c>
    </row>
    <row r="1383" customFormat="false" ht="15" hidden="false" customHeight="false" outlineLevel="0" collapsed="false">
      <c r="A1383" s="25" t="n">
        <f aca="false">IF(G1383="REJECT",COUNTIF($G$2:$G$2277,"&lt;&gt;REJECT")+1+COUNTIFS($G$2:$G$2277,"REJECT",$B$2:$B$2277,"&gt;"&amp;B1383),1+COUNTIFS($G$2:$G$2277,"&lt;&gt;REJECT",$B$2:$B$2277,"&gt;"&amp;B1383))</f>
        <v>1382</v>
      </c>
      <c r="B1383" s="26" t="n">
        <f aca="false">ROUND(($U$2*MAX(0,MIN(1,($W$2-I1383)/($W$2-$V$2)))+$U$3*MAX(0,MIN(1,($W$3-J1383)/($W$3-$V$3)))+$U$4*MAX(0,MIN(1,($W$4-K1383)/($W$4-$V$4)))+$U$5*MAX(0,MIN(1,($W$5-L1383)/($W$5-$V$5)))+$U$6*MAX(0,MIN(1,($W$6-M1383)/($W$6-$V$6)))+$U$7*MAX(0,MIN(1,($W$7-N1383)/($W$7-$V$7)))+$U$8*IF(AND(O1383&gt;=$V$8,O1383&lt;=$W$8),1,0))/$U$9*100,2)</f>
        <v>67.04</v>
      </c>
      <c r="C1383" s="27" t="s">
        <v>3279</v>
      </c>
      <c r="D1383" s="25" t="s">
        <v>134</v>
      </c>
      <c r="E1383" s="25" t="s">
        <v>3447</v>
      </c>
      <c r="F1383" s="25" t="s">
        <v>3457</v>
      </c>
      <c r="G1383" s="38" t="s">
        <v>30</v>
      </c>
      <c r="H1383" s="28" t="s">
        <v>25</v>
      </c>
      <c r="I1383" s="25" t="n">
        <v>4</v>
      </c>
      <c r="J1383" s="25" t="n">
        <v>0</v>
      </c>
      <c r="K1383" s="25" t="n">
        <v>4</v>
      </c>
      <c r="L1383" s="29" t="n">
        <v>0.74</v>
      </c>
      <c r="M1383" s="30" t="n">
        <v>21.75</v>
      </c>
      <c r="N1383" s="29" t="n">
        <v>0.44</v>
      </c>
      <c r="O1383" s="25" t="n">
        <v>183</v>
      </c>
      <c r="P1383" s="30" t="n">
        <v>-1.49</v>
      </c>
      <c r="Q1383" s="27" t="s">
        <v>3672</v>
      </c>
      <c r="R1383" s="27" t="s">
        <v>992</v>
      </c>
    </row>
    <row r="1384" customFormat="false" ht="15" hidden="false" customHeight="false" outlineLevel="0" collapsed="false">
      <c r="A1384" s="25" t="n">
        <f aca="false">IF(G1384="REJECT",COUNTIF($G$2:$G$2277,"&lt;&gt;REJECT")+1+COUNTIFS($G$2:$G$2277,"REJECT",$B$2:$B$2277,"&gt;"&amp;B1384),1+COUNTIFS($G$2:$G$2277,"&lt;&gt;REJECT",$B$2:$B$2277,"&gt;"&amp;B1384))</f>
        <v>1383</v>
      </c>
      <c r="B1384" s="26" t="n">
        <f aca="false">ROUND(($U$2*MAX(0,MIN(1,($W$2-I1384)/($W$2-$V$2)))+$U$3*MAX(0,MIN(1,($W$3-J1384)/($W$3-$V$3)))+$U$4*MAX(0,MIN(1,($W$4-K1384)/($W$4-$V$4)))+$U$5*MAX(0,MIN(1,($W$5-L1384)/($W$5-$V$5)))+$U$6*MAX(0,MIN(1,($W$6-M1384)/($W$6-$V$6)))+$U$7*MAX(0,MIN(1,($W$7-N1384)/($W$7-$V$7)))+$U$8*IF(AND(O1384&gt;=$V$8,O1384&lt;=$W$8),1,0))/$U$9*100,2)</f>
        <v>67</v>
      </c>
      <c r="C1384" s="27" t="s">
        <v>2027</v>
      </c>
      <c r="D1384" s="25" t="s">
        <v>134</v>
      </c>
      <c r="E1384" s="25" t="s">
        <v>3450</v>
      </c>
      <c r="F1384" s="25" t="s">
        <v>3457</v>
      </c>
      <c r="G1384" s="38" t="s">
        <v>30</v>
      </c>
      <c r="H1384" s="28" t="s">
        <v>25</v>
      </c>
      <c r="I1384" s="25" t="n">
        <v>2</v>
      </c>
      <c r="J1384" s="25" t="n">
        <v>1</v>
      </c>
      <c r="K1384" s="25" t="n">
        <v>2</v>
      </c>
      <c r="L1384" s="29" t="n">
        <v>0.68</v>
      </c>
      <c r="M1384" s="30" t="n">
        <v>18.18</v>
      </c>
      <c r="N1384" s="29" t="n">
        <v>0.16</v>
      </c>
      <c r="O1384" s="25" t="n">
        <v>182</v>
      </c>
      <c r="P1384" s="30" t="n">
        <v>3.08</v>
      </c>
      <c r="Q1384" s="27" t="s">
        <v>3673</v>
      </c>
      <c r="R1384" s="27" t="s">
        <v>1099</v>
      </c>
    </row>
    <row r="1385" customFormat="false" ht="15" hidden="false" customHeight="false" outlineLevel="0" collapsed="false">
      <c r="A1385" s="25" t="n">
        <f aca="false">IF(G1385="REJECT",COUNTIF($G$2:$G$2277,"&lt;&gt;REJECT")+1+COUNTIFS($G$2:$G$2277,"REJECT",$B$2:$B$2277,"&gt;"&amp;B1385),1+COUNTIFS($G$2:$G$2277,"&lt;&gt;REJECT",$B$2:$B$2277,"&gt;"&amp;B1385))</f>
        <v>1383</v>
      </c>
      <c r="B1385" s="26" t="n">
        <f aca="false">ROUND(($U$2*MAX(0,MIN(1,($W$2-I1385)/($W$2-$V$2)))+$U$3*MAX(0,MIN(1,($W$3-J1385)/($W$3-$V$3)))+$U$4*MAX(0,MIN(1,($W$4-K1385)/($W$4-$V$4)))+$U$5*MAX(0,MIN(1,($W$5-L1385)/($W$5-$V$5)))+$U$6*MAX(0,MIN(1,($W$6-M1385)/($W$6-$V$6)))+$U$7*MAX(0,MIN(1,($W$7-N1385)/($W$7-$V$7)))+$U$8*IF(AND(O1385&gt;=$V$8,O1385&lt;=$W$8),1,0))/$U$9*100,2)</f>
        <v>67</v>
      </c>
      <c r="C1385" s="27" t="s">
        <v>2453</v>
      </c>
      <c r="D1385" s="25" t="s">
        <v>134</v>
      </c>
      <c r="E1385" s="25" t="s">
        <v>3450</v>
      </c>
      <c r="F1385" s="25" t="s">
        <v>3448</v>
      </c>
      <c r="G1385" s="38" t="s">
        <v>30</v>
      </c>
      <c r="H1385" s="28" t="s">
        <v>25</v>
      </c>
      <c r="I1385" s="25" t="n">
        <v>2</v>
      </c>
      <c r="J1385" s="25" t="n">
        <v>1</v>
      </c>
      <c r="K1385" s="25" t="n">
        <v>2</v>
      </c>
      <c r="L1385" s="29" t="n">
        <v>0.67</v>
      </c>
      <c r="M1385" s="30" t="n">
        <v>14.99</v>
      </c>
      <c r="N1385" s="29" t="n">
        <v>0.12</v>
      </c>
      <c r="O1385" s="25" t="n">
        <v>185</v>
      </c>
      <c r="P1385" s="30" t="n">
        <v>14.03</v>
      </c>
      <c r="Q1385" s="27" t="s">
        <v>3566</v>
      </c>
      <c r="R1385" s="27" t="s">
        <v>283</v>
      </c>
    </row>
    <row r="1386" customFormat="false" ht="15" hidden="false" customHeight="false" outlineLevel="0" collapsed="false">
      <c r="A1386" s="25" t="n">
        <f aca="false">IF(G1386="REJECT",COUNTIF($G$2:$G$2277,"&lt;&gt;REJECT")+1+COUNTIFS($G$2:$G$2277,"REJECT",$B$2:$B$2277,"&gt;"&amp;B1386),1+COUNTIFS($G$2:$G$2277,"&lt;&gt;REJECT",$B$2:$B$2277,"&gt;"&amp;B1386))</f>
        <v>1385</v>
      </c>
      <c r="B1386" s="26" t="n">
        <f aca="false">ROUND(($U$2*MAX(0,MIN(1,($W$2-I1386)/($W$2-$V$2)))+$U$3*MAX(0,MIN(1,($W$3-J1386)/($W$3-$V$3)))+$U$4*MAX(0,MIN(1,($W$4-K1386)/($W$4-$V$4)))+$U$5*MAX(0,MIN(1,($W$5-L1386)/($W$5-$V$5)))+$U$6*MAX(0,MIN(1,($W$6-M1386)/($W$6-$V$6)))+$U$7*MAX(0,MIN(1,($W$7-N1386)/($W$7-$V$7)))+$U$8*IF(AND(O1386&gt;=$V$8,O1386&lt;=$W$8),1,0))/$U$9*100,2)</f>
        <v>66.96</v>
      </c>
      <c r="C1386" s="27" t="s">
        <v>1472</v>
      </c>
      <c r="D1386" s="25" t="s">
        <v>134</v>
      </c>
      <c r="E1386" s="25" t="s">
        <v>3450</v>
      </c>
      <c r="F1386" s="25" t="s">
        <v>3457</v>
      </c>
      <c r="G1386" s="38" t="s">
        <v>30</v>
      </c>
      <c r="H1386" s="28" t="s">
        <v>25</v>
      </c>
      <c r="I1386" s="25" t="n">
        <v>2</v>
      </c>
      <c r="J1386" s="25" t="n">
        <v>1</v>
      </c>
      <c r="K1386" s="25" t="n">
        <v>2</v>
      </c>
      <c r="L1386" s="29" t="n">
        <v>0.68</v>
      </c>
      <c r="M1386" s="30" t="n">
        <v>12.03</v>
      </c>
      <c r="N1386" s="29" t="n">
        <v>0.8</v>
      </c>
      <c r="O1386" s="25" t="n">
        <v>184</v>
      </c>
      <c r="P1386" s="30" t="n">
        <v>9.03</v>
      </c>
      <c r="Q1386" s="27" t="s">
        <v>3566</v>
      </c>
      <c r="R1386" s="27" t="s">
        <v>283</v>
      </c>
    </row>
    <row r="1387" customFormat="false" ht="15" hidden="false" customHeight="false" outlineLevel="0" collapsed="false">
      <c r="A1387" s="25" t="n">
        <f aca="false">IF(G1387="REJECT",COUNTIF($G$2:$G$2277,"&lt;&gt;REJECT")+1+COUNTIFS($G$2:$G$2277,"REJECT",$B$2:$B$2277,"&gt;"&amp;B1387),1+COUNTIFS($G$2:$G$2277,"&lt;&gt;REJECT",$B$2:$B$2277,"&gt;"&amp;B1387))</f>
        <v>1385</v>
      </c>
      <c r="B1387" s="26" t="n">
        <f aca="false">ROUND(($U$2*MAX(0,MIN(1,($W$2-I1387)/($W$2-$V$2)))+$U$3*MAX(0,MIN(1,($W$3-J1387)/($W$3-$V$3)))+$U$4*MAX(0,MIN(1,($W$4-K1387)/($W$4-$V$4)))+$U$5*MAX(0,MIN(1,($W$5-L1387)/($W$5-$V$5)))+$U$6*MAX(0,MIN(1,($W$6-M1387)/($W$6-$V$6)))+$U$7*MAX(0,MIN(1,($W$7-N1387)/($W$7-$V$7)))+$U$8*IF(AND(O1387&gt;=$V$8,O1387&lt;=$W$8),1,0))/$U$9*100,2)</f>
        <v>66.96</v>
      </c>
      <c r="C1387" s="27" t="s">
        <v>1614</v>
      </c>
      <c r="D1387" s="25" t="s">
        <v>134</v>
      </c>
      <c r="E1387" s="25" t="s">
        <v>3447</v>
      </c>
      <c r="F1387" s="25" t="s">
        <v>3457</v>
      </c>
      <c r="G1387" s="38" t="s">
        <v>30</v>
      </c>
      <c r="H1387" s="33" t="s">
        <v>24</v>
      </c>
      <c r="I1387" s="25" t="n">
        <v>4</v>
      </c>
      <c r="J1387" s="25" t="n">
        <v>0</v>
      </c>
      <c r="K1387" s="25" t="n">
        <v>4</v>
      </c>
      <c r="L1387" s="29" t="n">
        <v>0.69</v>
      </c>
      <c r="M1387" s="30" t="n">
        <v>7.44</v>
      </c>
      <c r="N1387" s="29" t="n">
        <v>0.12</v>
      </c>
      <c r="O1387" s="25" t="n">
        <v>191</v>
      </c>
      <c r="P1387" s="30" t="n">
        <v>0.31</v>
      </c>
      <c r="Q1387" s="27" t="s">
        <v>3674</v>
      </c>
      <c r="R1387" s="27" t="s">
        <v>30</v>
      </c>
    </row>
    <row r="1388" customFormat="false" ht="15" hidden="false" customHeight="false" outlineLevel="0" collapsed="false">
      <c r="A1388" s="25" t="n">
        <f aca="false">IF(G1388="REJECT",COUNTIF($G$2:$G$2277,"&lt;&gt;REJECT")+1+COUNTIFS($G$2:$G$2277,"REJECT",$B$2:$B$2277,"&gt;"&amp;B1388),1+COUNTIFS($G$2:$G$2277,"&lt;&gt;REJECT",$B$2:$B$2277,"&gt;"&amp;B1388))</f>
        <v>1387</v>
      </c>
      <c r="B1388" s="26" t="n">
        <f aca="false">ROUND(($U$2*MAX(0,MIN(1,($W$2-I1388)/($W$2-$V$2)))+$U$3*MAX(0,MIN(1,($W$3-J1388)/($W$3-$V$3)))+$U$4*MAX(0,MIN(1,($W$4-K1388)/($W$4-$V$4)))+$U$5*MAX(0,MIN(1,($W$5-L1388)/($W$5-$V$5)))+$U$6*MAX(0,MIN(1,($W$6-M1388)/($W$6-$V$6)))+$U$7*MAX(0,MIN(1,($W$7-N1388)/($W$7-$V$7)))+$U$8*IF(AND(O1388&gt;=$V$8,O1388&lt;=$W$8),1,0))/$U$9*100,2)</f>
        <v>66.95</v>
      </c>
      <c r="C1388" s="27" t="s">
        <v>317</v>
      </c>
      <c r="D1388" s="25" t="s">
        <v>134</v>
      </c>
      <c r="E1388" s="25" t="s">
        <v>3450</v>
      </c>
      <c r="F1388" s="25" t="s">
        <v>3448</v>
      </c>
      <c r="G1388" s="38" t="s">
        <v>30</v>
      </c>
      <c r="H1388" s="28" t="s">
        <v>25</v>
      </c>
      <c r="I1388" s="25" t="n">
        <v>2</v>
      </c>
      <c r="J1388" s="25" t="n">
        <v>1</v>
      </c>
      <c r="K1388" s="25" t="n">
        <v>2</v>
      </c>
      <c r="L1388" s="29" t="n">
        <v>0.66</v>
      </c>
      <c r="M1388" s="30" t="n">
        <v>4.48</v>
      </c>
      <c r="N1388" s="29" t="n">
        <v>0.84</v>
      </c>
      <c r="O1388" s="25" t="n">
        <v>184</v>
      </c>
      <c r="P1388" s="30" t="n">
        <v>1.76</v>
      </c>
      <c r="Q1388" s="27" t="s">
        <v>3575</v>
      </c>
      <c r="R1388" s="27" t="s">
        <v>1230</v>
      </c>
    </row>
    <row r="1389" customFormat="false" ht="15" hidden="false" customHeight="false" outlineLevel="0" collapsed="false">
      <c r="A1389" s="25" t="n">
        <f aca="false">IF(G1389="REJECT",COUNTIF($G$2:$G$2277,"&lt;&gt;REJECT")+1+COUNTIFS($G$2:$G$2277,"REJECT",$B$2:$B$2277,"&gt;"&amp;B1389),1+COUNTIFS($G$2:$G$2277,"&lt;&gt;REJECT",$B$2:$B$2277,"&gt;"&amp;B1389))</f>
        <v>1388</v>
      </c>
      <c r="B1389" s="26" t="n">
        <f aca="false">ROUND(($U$2*MAX(0,MIN(1,($W$2-I1389)/($W$2-$V$2)))+$U$3*MAX(0,MIN(1,($W$3-J1389)/($W$3-$V$3)))+$U$4*MAX(0,MIN(1,($W$4-K1389)/($W$4-$V$4)))+$U$5*MAX(0,MIN(1,($W$5-L1389)/($W$5-$V$5)))+$U$6*MAX(0,MIN(1,($W$6-M1389)/($W$6-$V$6)))+$U$7*MAX(0,MIN(1,($W$7-N1389)/($W$7-$V$7)))+$U$8*IF(AND(O1389&gt;=$V$8,O1389&lt;=$W$8),1,0))/$U$9*100,2)</f>
        <v>66.94</v>
      </c>
      <c r="C1389" s="27" t="s">
        <v>1712</v>
      </c>
      <c r="D1389" s="25" t="s">
        <v>134</v>
      </c>
      <c r="E1389" s="25" t="s">
        <v>3447</v>
      </c>
      <c r="F1389" s="25" t="s">
        <v>3448</v>
      </c>
      <c r="G1389" s="38" t="s">
        <v>30</v>
      </c>
      <c r="H1389" s="28" t="s">
        <v>25</v>
      </c>
      <c r="I1389" s="25" t="n">
        <v>4</v>
      </c>
      <c r="J1389" s="25" t="n">
        <v>0</v>
      </c>
      <c r="K1389" s="25" t="n">
        <v>4</v>
      </c>
      <c r="L1389" s="29" t="n">
        <v>0.69</v>
      </c>
      <c r="M1389" s="30" t="n">
        <v>1.55</v>
      </c>
      <c r="N1389" s="29" t="n">
        <v>0.72</v>
      </c>
      <c r="O1389" s="25" t="n">
        <v>236</v>
      </c>
      <c r="P1389" s="30" t="n">
        <v>-1.24</v>
      </c>
      <c r="Q1389" s="27" t="s">
        <v>3675</v>
      </c>
      <c r="R1389" s="27" t="s">
        <v>2610</v>
      </c>
    </row>
    <row r="1390" customFormat="false" ht="15" hidden="false" customHeight="false" outlineLevel="0" collapsed="false">
      <c r="A1390" s="25" t="n">
        <f aca="false">IF(G1390="REJECT",COUNTIF($G$2:$G$2277,"&lt;&gt;REJECT")+1+COUNTIFS($G$2:$G$2277,"REJECT",$B$2:$B$2277,"&gt;"&amp;B1390),1+COUNTIFS($G$2:$G$2277,"&lt;&gt;REJECT",$B$2:$B$2277,"&gt;"&amp;B1390))</f>
        <v>1388</v>
      </c>
      <c r="B1390" s="26" t="n">
        <f aca="false">ROUND(($U$2*MAX(0,MIN(1,($W$2-I1390)/($W$2-$V$2)))+$U$3*MAX(0,MIN(1,($W$3-J1390)/($W$3-$V$3)))+$U$4*MAX(0,MIN(1,($W$4-K1390)/($W$4-$V$4)))+$U$5*MAX(0,MIN(1,($W$5-L1390)/($W$5-$V$5)))+$U$6*MAX(0,MIN(1,($W$6-M1390)/($W$6-$V$6)))+$U$7*MAX(0,MIN(1,($W$7-N1390)/($W$7-$V$7)))+$U$8*IF(AND(O1390&gt;=$V$8,O1390&lt;=$W$8),1,0))/$U$9*100,2)</f>
        <v>66.94</v>
      </c>
      <c r="C1390" s="27" t="s">
        <v>2435</v>
      </c>
      <c r="D1390" s="25" t="s">
        <v>134</v>
      </c>
      <c r="E1390" s="25" t="s">
        <v>3450</v>
      </c>
      <c r="F1390" s="25" t="s">
        <v>3457</v>
      </c>
      <c r="G1390" s="38" t="s">
        <v>30</v>
      </c>
      <c r="H1390" s="28" t="s">
        <v>25</v>
      </c>
      <c r="I1390" s="25" t="n">
        <v>2</v>
      </c>
      <c r="J1390" s="25" t="n">
        <v>1</v>
      </c>
      <c r="K1390" s="25" t="n">
        <v>2</v>
      </c>
      <c r="L1390" s="29" t="n">
        <v>0.7</v>
      </c>
      <c r="M1390" s="30" t="n">
        <v>20.55</v>
      </c>
      <c r="N1390" s="29" t="n">
        <v>0.68</v>
      </c>
      <c r="O1390" s="25" t="n">
        <v>184</v>
      </c>
      <c r="P1390" s="30" t="n">
        <v>10.69</v>
      </c>
      <c r="Q1390" s="27" t="s">
        <v>3566</v>
      </c>
      <c r="R1390" s="27" t="s">
        <v>183</v>
      </c>
    </row>
    <row r="1391" customFormat="false" ht="15" hidden="false" customHeight="false" outlineLevel="0" collapsed="false">
      <c r="A1391" s="25" t="n">
        <f aca="false">IF(G1391="REJECT",COUNTIF($G$2:$G$2277,"&lt;&gt;REJECT")+1+COUNTIFS($G$2:$G$2277,"REJECT",$B$2:$B$2277,"&gt;"&amp;B1391),1+COUNTIFS($G$2:$G$2277,"&lt;&gt;REJECT",$B$2:$B$2277,"&gt;"&amp;B1391))</f>
        <v>1390</v>
      </c>
      <c r="B1391" s="26" t="n">
        <f aca="false">ROUND(($U$2*MAX(0,MIN(1,($W$2-I1391)/($W$2-$V$2)))+$U$3*MAX(0,MIN(1,($W$3-J1391)/($W$3-$V$3)))+$U$4*MAX(0,MIN(1,($W$4-K1391)/($W$4-$V$4)))+$U$5*MAX(0,MIN(1,($W$5-L1391)/($W$5-$V$5)))+$U$6*MAX(0,MIN(1,($W$6-M1391)/($W$6-$V$6)))+$U$7*MAX(0,MIN(1,($W$7-N1391)/($W$7-$V$7)))+$U$8*IF(AND(O1391&gt;=$V$8,O1391&lt;=$W$8),1,0))/$U$9*100,2)</f>
        <v>66.86</v>
      </c>
      <c r="C1391" s="27" t="s">
        <v>1908</v>
      </c>
      <c r="D1391" s="25" t="s">
        <v>3459</v>
      </c>
      <c r="E1391" s="25" t="s">
        <v>3450</v>
      </c>
      <c r="F1391" s="25" t="s">
        <v>3448</v>
      </c>
      <c r="G1391" s="38" t="s">
        <v>30</v>
      </c>
      <c r="H1391" s="28" t="s">
        <v>25</v>
      </c>
      <c r="I1391" s="25" t="n">
        <v>2</v>
      </c>
      <c r="J1391" s="25" t="n">
        <v>1</v>
      </c>
      <c r="K1391" s="25" t="n">
        <v>2</v>
      </c>
      <c r="L1391" s="29" t="n">
        <v>0.68</v>
      </c>
      <c r="M1391" s="30" t="n">
        <v>13.87</v>
      </c>
      <c r="N1391" s="29" t="n">
        <v>0.68</v>
      </c>
      <c r="O1391" s="25" t="n">
        <v>201</v>
      </c>
      <c r="P1391" s="30" t="n">
        <v>1.34</v>
      </c>
      <c r="Q1391" s="27" t="s">
        <v>3575</v>
      </c>
      <c r="R1391" s="27" t="s">
        <v>197</v>
      </c>
    </row>
    <row r="1392" customFormat="false" ht="15" hidden="false" customHeight="false" outlineLevel="0" collapsed="false">
      <c r="A1392" s="25" t="n">
        <f aca="false">IF(G1392="REJECT",COUNTIF($G$2:$G$2277,"&lt;&gt;REJECT")+1+COUNTIFS($G$2:$G$2277,"REJECT",$B$2:$B$2277,"&gt;"&amp;B1392),1+COUNTIFS($G$2:$G$2277,"&lt;&gt;REJECT",$B$2:$B$2277,"&gt;"&amp;B1392))</f>
        <v>1391</v>
      </c>
      <c r="B1392" s="26" t="n">
        <f aca="false">ROUND(($U$2*MAX(0,MIN(1,($W$2-I1392)/($W$2-$V$2)))+$U$3*MAX(0,MIN(1,($W$3-J1392)/($W$3-$V$3)))+$U$4*MAX(0,MIN(1,($W$4-K1392)/($W$4-$V$4)))+$U$5*MAX(0,MIN(1,($W$5-L1392)/($W$5-$V$5)))+$U$6*MAX(0,MIN(1,($W$6-M1392)/($W$6-$V$6)))+$U$7*MAX(0,MIN(1,($W$7-N1392)/($W$7-$V$7)))+$U$8*IF(AND(O1392&gt;=$V$8,O1392&lt;=$W$8),1,0))/$U$9*100,2)</f>
        <v>66.85</v>
      </c>
      <c r="C1392" s="27" t="s">
        <v>1527</v>
      </c>
      <c r="D1392" s="25" t="s">
        <v>134</v>
      </c>
      <c r="E1392" s="25" t="s">
        <v>3450</v>
      </c>
      <c r="F1392" s="25" t="s">
        <v>3448</v>
      </c>
      <c r="G1392" s="38" t="s">
        <v>30</v>
      </c>
      <c r="H1392" s="28" t="s">
        <v>25</v>
      </c>
      <c r="I1392" s="25" t="n">
        <v>2</v>
      </c>
      <c r="J1392" s="25" t="n">
        <v>1</v>
      </c>
      <c r="K1392" s="25" t="n">
        <v>2</v>
      </c>
      <c r="L1392" s="29" t="n">
        <v>0.68</v>
      </c>
      <c r="M1392" s="30" t="n">
        <v>14.3</v>
      </c>
      <c r="N1392" s="29" t="n">
        <v>0.64</v>
      </c>
      <c r="O1392" s="25" t="n">
        <v>183</v>
      </c>
      <c r="P1392" s="30" t="n">
        <v>5.55</v>
      </c>
      <c r="Q1392" s="27" t="s">
        <v>3575</v>
      </c>
      <c r="R1392" s="27" t="s">
        <v>1099</v>
      </c>
    </row>
    <row r="1393" customFormat="false" ht="15" hidden="false" customHeight="false" outlineLevel="0" collapsed="false">
      <c r="A1393" s="25" t="n">
        <f aca="false">IF(G1393="REJECT",COUNTIF($G$2:$G$2277,"&lt;&gt;REJECT")+1+COUNTIFS($G$2:$G$2277,"REJECT",$B$2:$B$2277,"&gt;"&amp;B1393),1+COUNTIFS($G$2:$G$2277,"&lt;&gt;REJECT",$B$2:$B$2277,"&gt;"&amp;B1393))</f>
        <v>1392</v>
      </c>
      <c r="B1393" s="26" t="n">
        <f aca="false">ROUND(($U$2*MAX(0,MIN(1,($W$2-I1393)/($W$2-$V$2)))+$U$3*MAX(0,MIN(1,($W$3-J1393)/($W$3-$V$3)))+$U$4*MAX(0,MIN(1,($W$4-K1393)/($W$4-$V$4)))+$U$5*MAX(0,MIN(1,($W$5-L1393)/($W$5-$V$5)))+$U$6*MAX(0,MIN(1,($W$6-M1393)/($W$6-$V$6)))+$U$7*MAX(0,MIN(1,($W$7-N1393)/($W$7-$V$7)))+$U$8*IF(AND(O1393&gt;=$V$8,O1393&lt;=$W$8),1,0))/$U$9*100,2)</f>
        <v>66.81</v>
      </c>
      <c r="C1393" s="27" t="s">
        <v>1350</v>
      </c>
      <c r="D1393" s="25" t="s">
        <v>134</v>
      </c>
      <c r="E1393" s="25" t="s">
        <v>3450</v>
      </c>
      <c r="F1393" s="25" t="s">
        <v>3457</v>
      </c>
      <c r="G1393" s="38" t="s">
        <v>30</v>
      </c>
      <c r="H1393" s="28" t="s">
        <v>25</v>
      </c>
      <c r="I1393" s="25" t="n">
        <v>2</v>
      </c>
      <c r="J1393" s="25" t="n">
        <v>1</v>
      </c>
      <c r="K1393" s="25" t="n">
        <v>2</v>
      </c>
      <c r="L1393" s="29" t="n">
        <v>0.68</v>
      </c>
      <c r="M1393" s="30" t="n">
        <v>11.32</v>
      </c>
      <c r="N1393" s="29" t="n">
        <v>0.96</v>
      </c>
      <c r="O1393" s="25" t="n">
        <v>184</v>
      </c>
      <c r="P1393" s="30" t="n">
        <v>0.44</v>
      </c>
      <c r="Q1393" s="27" t="s">
        <v>3575</v>
      </c>
      <c r="R1393" s="27" t="s">
        <v>1230</v>
      </c>
    </row>
    <row r="1394" customFormat="false" ht="15" hidden="false" customHeight="false" outlineLevel="0" collapsed="false">
      <c r="A1394" s="25" t="n">
        <f aca="false">IF(G1394="REJECT",COUNTIF($G$2:$G$2277,"&lt;&gt;REJECT")+1+COUNTIFS($G$2:$G$2277,"REJECT",$B$2:$B$2277,"&gt;"&amp;B1394),1+COUNTIFS($G$2:$G$2277,"&lt;&gt;REJECT",$B$2:$B$2277,"&gt;"&amp;B1394))</f>
        <v>1393</v>
      </c>
      <c r="B1394" s="26" t="n">
        <f aca="false">ROUND(($U$2*MAX(0,MIN(1,($W$2-I1394)/($W$2-$V$2)))+$U$3*MAX(0,MIN(1,($W$3-J1394)/($W$3-$V$3)))+$U$4*MAX(0,MIN(1,($W$4-K1394)/($W$4-$V$4)))+$U$5*MAX(0,MIN(1,($W$5-L1394)/($W$5-$V$5)))+$U$6*MAX(0,MIN(1,($W$6-M1394)/($W$6-$V$6)))+$U$7*MAX(0,MIN(1,($W$7-N1394)/($W$7-$V$7)))+$U$8*IF(AND(O1394&gt;=$V$8,O1394&lt;=$W$8),1,0))/$U$9*100,2)</f>
        <v>66.8</v>
      </c>
      <c r="C1394" s="27" t="s">
        <v>1806</v>
      </c>
      <c r="D1394" s="25" t="s">
        <v>134</v>
      </c>
      <c r="E1394" s="25" t="s">
        <v>3447</v>
      </c>
      <c r="F1394" s="25" t="s">
        <v>3457</v>
      </c>
      <c r="G1394" s="38" t="s">
        <v>30</v>
      </c>
      <c r="H1394" s="28" t="s">
        <v>25</v>
      </c>
      <c r="I1394" s="25" t="n">
        <v>2</v>
      </c>
      <c r="J1394" s="25" t="n">
        <v>1</v>
      </c>
      <c r="K1394" s="25" t="n">
        <v>2</v>
      </c>
      <c r="L1394" s="29" t="n">
        <v>0.67</v>
      </c>
      <c r="M1394" s="30" t="n">
        <v>8.22</v>
      </c>
      <c r="N1394" s="29" t="n">
        <v>0.92</v>
      </c>
      <c r="O1394" s="25" t="n">
        <v>182</v>
      </c>
      <c r="P1394" s="30" t="n">
        <v>-0.72</v>
      </c>
      <c r="Q1394" s="27" t="s">
        <v>3575</v>
      </c>
      <c r="R1394" s="27" t="s">
        <v>1099</v>
      </c>
    </row>
    <row r="1395" customFormat="false" ht="15" hidden="false" customHeight="false" outlineLevel="0" collapsed="false">
      <c r="A1395" s="25" t="n">
        <f aca="false">IF(G1395="REJECT",COUNTIF($G$2:$G$2277,"&lt;&gt;REJECT")+1+COUNTIFS($G$2:$G$2277,"REJECT",$B$2:$B$2277,"&gt;"&amp;B1395),1+COUNTIFS($G$2:$G$2277,"&lt;&gt;REJECT",$B$2:$B$2277,"&gt;"&amp;B1395))</f>
        <v>1394</v>
      </c>
      <c r="B1395" s="26" t="n">
        <f aca="false">ROUND(($U$2*MAX(0,MIN(1,($W$2-I1395)/($W$2-$V$2)))+$U$3*MAX(0,MIN(1,($W$3-J1395)/($W$3-$V$3)))+$U$4*MAX(0,MIN(1,($W$4-K1395)/($W$4-$V$4)))+$U$5*MAX(0,MIN(1,($W$5-L1395)/($W$5-$V$5)))+$U$6*MAX(0,MIN(1,($W$6-M1395)/($W$6-$V$6)))+$U$7*MAX(0,MIN(1,($W$7-N1395)/($W$7-$V$7)))+$U$8*IF(AND(O1395&gt;=$V$8,O1395&lt;=$W$8),1,0))/$U$9*100,2)</f>
        <v>66.78</v>
      </c>
      <c r="C1395" s="27" t="s">
        <v>2897</v>
      </c>
      <c r="D1395" s="25" t="s">
        <v>3459</v>
      </c>
      <c r="E1395" s="25" t="s">
        <v>3450</v>
      </c>
      <c r="F1395" s="25" t="s">
        <v>3457</v>
      </c>
      <c r="G1395" s="38" t="s">
        <v>30</v>
      </c>
      <c r="H1395" s="28" t="s">
        <v>25</v>
      </c>
      <c r="I1395" s="25" t="n">
        <v>1</v>
      </c>
      <c r="J1395" s="25" t="n">
        <v>1</v>
      </c>
      <c r="K1395" s="25" t="n">
        <v>1</v>
      </c>
      <c r="L1395" s="29" t="n">
        <v>0.6</v>
      </c>
      <c r="M1395" s="30" t="n">
        <v>21.43</v>
      </c>
      <c r="N1395" s="29" t="n">
        <v>0.84</v>
      </c>
      <c r="O1395" s="25" t="n">
        <v>183</v>
      </c>
      <c r="P1395" s="30" t="n">
        <v>2.86</v>
      </c>
      <c r="Q1395" s="27" t="s">
        <v>69</v>
      </c>
      <c r="R1395" s="27" t="s">
        <v>1046</v>
      </c>
    </row>
    <row r="1396" customFormat="false" ht="15" hidden="false" customHeight="false" outlineLevel="0" collapsed="false">
      <c r="A1396" s="25" t="n">
        <f aca="false">IF(G1396="REJECT",COUNTIF($G$2:$G$2277,"&lt;&gt;REJECT")+1+COUNTIFS($G$2:$G$2277,"REJECT",$B$2:$B$2277,"&gt;"&amp;B1396),1+COUNTIFS($G$2:$G$2277,"&lt;&gt;REJECT",$B$2:$B$2277,"&gt;"&amp;B1396))</f>
        <v>1395</v>
      </c>
      <c r="B1396" s="26" t="n">
        <f aca="false">ROUND(($U$2*MAX(0,MIN(1,($W$2-I1396)/($W$2-$V$2)))+$U$3*MAX(0,MIN(1,($W$3-J1396)/($W$3-$V$3)))+$U$4*MAX(0,MIN(1,($W$4-K1396)/($W$4-$V$4)))+$U$5*MAX(0,MIN(1,($W$5-L1396)/($W$5-$V$5)))+$U$6*MAX(0,MIN(1,($W$6-M1396)/($W$6-$V$6)))+$U$7*MAX(0,MIN(1,($W$7-N1396)/($W$7-$V$7)))+$U$8*IF(AND(O1396&gt;=$V$8,O1396&lt;=$W$8),1,0))/$U$9*100,2)</f>
        <v>66.75</v>
      </c>
      <c r="C1396" s="27" t="s">
        <v>2810</v>
      </c>
      <c r="D1396" s="25" t="s">
        <v>134</v>
      </c>
      <c r="E1396" s="25" t="s">
        <v>3447</v>
      </c>
      <c r="F1396" s="25" t="s">
        <v>3448</v>
      </c>
      <c r="G1396" s="38" t="s">
        <v>30</v>
      </c>
      <c r="H1396" s="28" t="s">
        <v>25</v>
      </c>
      <c r="I1396" s="25" t="n">
        <v>3</v>
      </c>
      <c r="J1396" s="25" t="n">
        <v>1</v>
      </c>
      <c r="K1396" s="25" t="n">
        <v>3</v>
      </c>
      <c r="L1396" s="29" t="n">
        <v>0.75</v>
      </c>
      <c r="M1396" s="30" t="n">
        <v>8.98</v>
      </c>
      <c r="N1396" s="29" t="n">
        <v>0</v>
      </c>
      <c r="O1396" s="25" t="n">
        <v>184</v>
      </c>
      <c r="P1396" s="30" t="n">
        <v>3.23</v>
      </c>
      <c r="Q1396" s="27" t="s">
        <v>3649</v>
      </c>
      <c r="R1396" s="27" t="s">
        <v>283</v>
      </c>
    </row>
    <row r="1397" customFormat="false" ht="15" hidden="false" customHeight="false" outlineLevel="0" collapsed="false">
      <c r="A1397" s="25" t="n">
        <f aca="false">IF(G1397="REJECT",COUNTIF($G$2:$G$2277,"&lt;&gt;REJECT")+1+COUNTIFS($G$2:$G$2277,"REJECT",$B$2:$B$2277,"&gt;"&amp;B1397),1+COUNTIFS($G$2:$G$2277,"&lt;&gt;REJECT",$B$2:$B$2277,"&gt;"&amp;B1397))</f>
        <v>1396</v>
      </c>
      <c r="B1397" s="26" t="n">
        <f aca="false">ROUND(($U$2*MAX(0,MIN(1,($W$2-I1397)/($W$2-$V$2)))+$U$3*MAX(0,MIN(1,($W$3-J1397)/($W$3-$V$3)))+$U$4*MAX(0,MIN(1,($W$4-K1397)/($W$4-$V$4)))+$U$5*MAX(0,MIN(1,($W$5-L1397)/($W$5-$V$5)))+$U$6*MAX(0,MIN(1,($W$6-M1397)/($W$6-$V$6)))+$U$7*MAX(0,MIN(1,($W$7-N1397)/($W$7-$V$7)))+$U$8*IF(AND(O1397&gt;=$V$8,O1397&lt;=$W$8),1,0))/$U$9*100,2)</f>
        <v>66.72</v>
      </c>
      <c r="C1397" s="27" t="s">
        <v>2782</v>
      </c>
      <c r="D1397" s="25" t="s">
        <v>134</v>
      </c>
      <c r="E1397" s="25" t="s">
        <v>3450</v>
      </c>
      <c r="F1397" s="25" t="s">
        <v>3448</v>
      </c>
      <c r="G1397" s="38" t="s">
        <v>30</v>
      </c>
      <c r="H1397" s="28" t="s">
        <v>25</v>
      </c>
      <c r="I1397" s="25" t="n">
        <v>3</v>
      </c>
      <c r="J1397" s="25" t="n">
        <v>1</v>
      </c>
      <c r="K1397" s="25" t="n">
        <v>3</v>
      </c>
      <c r="L1397" s="29" t="n">
        <v>0.75</v>
      </c>
      <c r="M1397" s="30" t="n">
        <v>9.16</v>
      </c>
      <c r="N1397" s="29" t="n">
        <v>0</v>
      </c>
      <c r="O1397" s="25" t="n">
        <v>183</v>
      </c>
      <c r="P1397" s="30" t="n">
        <v>2.55</v>
      </c>
      <c r="Q1397" s="27" t="s">
        <v>3649</v>
      </c>
      <c r="R1397" s="27" t="s">
        <v>357</v>
      </c>
    </row>
    <row r="1398" customFormat="false" ht="15" hidden="false" customHeight="false" outlineLevel="0" collapsed="false">
      <c r="A1398" s="25" t="n">
        <f aca="false">IF(G1398="REJECT",COUNTIF($G$2:$G$2277,"&lt;&gt;REJECT")+1+COUNTIFS($G$2:$G$2277,"REJECT",$B$2:$B$2277,"&gt;"&amp;B1398),1+COUNTIFS($G$2:$G$2277,"&lt;&gt;REJECT",$B$2:$B$2277,"&gt;"&amp;B1398))</f>
        <v>1397</v>
      </c>
      <c r="B1398" s="26" t="n">
        <f aca="false">ROUND(($U$2*MAX(0,MIN(1,($W$2-I1398)/($W$2-$V$2)))+$U$3*MAX(0,MIN(1,($W$3-J1398)/($W$3-$V$3)))+$U$4*MAX(0,MIN(1,($W$4-K1398)/($W$4-$V$4)))+$U$5*MAX(0,MIN(1,($W$5-L1398)/($W$5-$V$5)))+$U$6*MAX(0,MIN(1,($W$6-M1398)/($W$6-$V$6)))+$U$7*MAX(0,MIN(1,($W$7-N1398)/($W$7-$V$7)))+$U$8*IF(AND(O1398&gt;=$V$8,O1398&lt;=$W$8),1,0))/$U$9*100,2)</f>
        <v>66.65</v>
      </c>
      <c r="C1398" s="27" t="s">
        <v>1240</v>
      </c>
      <c r="D1398" s="25" t="s">
        <v>134</v>
      </c>
      <c r="E1398" s="25" t="s">
        <v>3450</v>
      </c>
      <c r="F1398" s="25" t="s">
        <v>3448</v>
      </c>
      <c r="G1398" s="38" t="s">
        <v>30</v>
      </c>
      <c r="H1398" s="28" t="s">
        <v>25</v>
      </c>
      <c r="I1398" s="25" t="n">
        <v>2</v>
      </c>
      <c r="J1398" s="25" t="n">
        <v>1</v>
      </c>
      <c r="K1398" s="25" t="n">
        <v>2</v>
      </c>
      <c r="L1398" s="29" t="n">
        <v>0.71</v>
      </c>
      <c r="M1398" s="30" t="n">
        <v>23.89</v>
      </c>
      <c r="N1398" s="29" t="n">
        <v>0.88</v>
      </c>
      <c r="O1398" s="25" t="n">
        <v>183</v>
      </c>
      <c r="P1398" s="30" t="n">
        <v>21.75</v>
      </c>
      <c r="Q1398" s="27" t="s">
        <v>3646</v>
      </c>
      <c r="R1398" s="27" t="s">
        <v>183</v>
      </c>
    </row>
    <row r="1399" customFormat="false" ht="15" hidden="false" customHeight="false" outlineLevel="0" collapsed="false">
      <c r="A1399" s="25" t="n">
        <f aca="false">IF(G1399="REJECT",COUNTIF($G$2:$G$2277,"&lt;&gt;REJECT")+1+COUNTIFS($G$2:$G$2277,"REJECT",$B$2:$B$2277,"&gt;"&amp;B1399),1+COUNTIFS($G$2:$G$2277,"&lt;&gt;REJECT",$B$2:$B$2277,"&gt;"&amp;B1399))</f>
        <v>1398</v>
      </c>
      <c r="B1399" s="26" t="n">
        <f aca="false">ROUND(($U$2*MAX(0,MIN(1,($W$2-I1399)/($W$2-$V$2)))+$U$3*MAX(0,MIN(1,($W$3-J1399)/($W$3-$V$3)))+$U$4*MAX(0,MIN(1,($W$4-K1399)/($W$4-$V$4)))+$U$5*MAX(0,MIN(1,($W$5-L1399)/($W$5-$V$5)))+$U$6*MAX(0,MIN(1,($W$6-M1399)/($W$6-$V$6)))+$U$7*MAX(0,MIN(1,($W$7-N1399)/($W$7-$V$7)))+$U$8*IF(AND(O1399&gt;=$V$8,O1399&lt;=$W$8),1,0))/$U$9*100,2)</f>
        <v>66.62</v>
      </c>
      <c r="C1399" s="27" t="s">
        <v>487</v>
      </c>
      <c r="D1399" s="25" t="s">
        <v>134</v>
      </c>
      <c r="E1399" s="25" t="s">
        <v>3450</v>
      </c>
      <c r="F1399" s="25" t="s">
        <v>3457</v>
      </c>
      <c r="G1399" s="38" t="s">
        <v>30</v>
      </c>
      <c r="H1399" s="28" t="s">
        <v>25</v>
      </c>
      <c r="I1399" s="25" t="n">
        <v>3</v>
      </c>
      <c r="J1399" s="25" t="n">
        <v>1</v>
      </c>
      <c r="K1399" s="25" t="n">
        <v>3</v>
      </c>
      <c r="L1399" s="29" t="n">
        <v>0.76</v>
      </c>
      <c r="M1399" s="30" t="n">
        <v>9.37</v>
      </c>
      <c r="N1399" s="29" t="n">
        <v>0.4</v>
      </c>
      <c r="O1399" s="25" t="n">
        <v>184</v>
      </c>
      <c r="P1399" s="30" t="n">
        <v>3.7</v>
      </c>
      <c r="Q1399" s="27" t="s">
        <v>3649</v>
      </c>
      <c r="R1399" s="27" t="s">
        <v>283</v>
      </c>
    </row>
    <row r="1400" customFormat="false" ht="15" hidden="false" customHeight="false" outlineLevel="0" collapsed="false">
      <c r="A1400" s="25" t="n">
        <f aca="false">IF(G1400="REJECT",COUNTIF($G$2:$G$2277,"&lt;&gt;REJECT")+1+COUNTIFS($G$2:$G$2277,"REJECT",$B$2:$B$2277,"&gt;"&amp;B1400),1+COUNTIFS($G$2:$G$2277,"&lt;&gt;REJECT",$B$2:$B$2277,"&gt;"&amp;B1400))</f>
        <v>1398</v>
      </c>
      <c r="B1400" s="26" t="n">
        <f aca="false">ROUND(($U$2*MAX(0,MIN(1,($W$2-I1400)/($W$2-$V$2)))+$U$3*MAX(0,MIN(1,($W$3-J1400)/($W$3-$V$3)))+$U$4*MAX(0,MIN(1,($W$4-K1400)/($W$4-$V$4)))+$U$5*MAX(0,MIN(1,($W$5-L1400)/($W$5-$V$5)))+$U$6*MAX(0,MIN(1,($W$6-M1400)/($W$6-$V$6)))+$U$7*MAX(0,MIN(1,($W$7-N1400)/($W$7-$V$7)))+$U$8*IF(AND(O1400&gt;=$V$8,O1400&lt;=$W$8),1,0))/$U$9*100,2)</f>
        <v>66.62</v>
      </c>
      <c r="C1400" s="27" t="s">
        <v>539</v>
      </c>
      <c r="D1400" s="25" t="s">
        <v>134</v>
      </c>
      <c r="E1400" s="25" t="s">
        <v>3447</v>
      </c>
      <c r="F1400" s="25" t="s">
        <v>3448</v>
      </c>
      <c r="G1400" s="38" t="s">
        <v>30</v>
      </c>
      <c r="H1400" s="33" t="s">
        <v>24</v>
      </c>
      <c r="I1400" s="25" t="n">
        <v>4</v>
      </c>
      <c r="J1400" s="25" t="n">
        <v>0</v>
      </c>
      <c r="K1400" s="25" t="n">
        <v>4</v>
      </c>
      <c r="L1400" s="29" t="n">
        <v>0.72</v>
      </c>
      <c r="M1400" s="30" t="n">
        <v>12.29</v>
      </c>
      <c r="N1400" s="29" t="n">
        <v>0.92</v>
      </c>
      <c r="O1400" s="25" t="n">
        <v>185</v>
      </c>
      <c r="P1400" s="30" t="n">
        <v>14.44</v>
      </c>
      <c r="Q1400" s="27" t="s">
        <v>3640</v>
      </c>
      <c r="R1400" s="27" t="s">
        <v>30</v>
      </c>
    </row>
    <row r="1401" customFormat="false" ht="15" hidden="false" customHeight="false" outlineLevel="0" collapsed="false">
      <c r="A1401" s="25" t="n">
        <f aca="false">IF(G1401="REJECT",COUNTIF($G$2:$G$2277,"&lt;&gt;REJECT")+1+COUNTIFS($G$2:$G$2277,"REJECT",$B$2:$B$2277,"&gt;"&amp;B1401),1+COUNTIFS($G$2:$G$2277,"&lt;&gt;REJECT",$B$2:$B$2277,"&gt;"&amp;B1401))</f>
        <v>1400</v>
      </c>
      <c r="B1401" s="26" t="n">
        <f aca="false">ROUND(($U$2*MAX(0,MIN(1,($W$2-I1401)/($W$2-$V$2)))+$U$3*MAX(0,MIN(1,($W$3-J1401)/($W$3-$V$3)))+$U$4*MAX(0,MIN(1,($W$4-K1401)/($W$4-$V$4)))+$U$5*MAX(0,MIN(1,($W$5-L1401)/($W$5-$V$5)))+$U$6*MAX(0,MIN(1,($W$6-M1401)/($W$6-$V$6)))+$U$7*MAX(0,MIN(1,($W$7-N1401)/($W$7-$V$7)))+$U$8*IF(AND(O1401&gt;=$V$8,O1401&lt;=$W$8),1,0))/$U$9*100,2)</f>
        <v>66.5</v>
      </c>
      <c r="C1401" s="27" t="s">
        <v>1350</v>
      </c>
      <c r="D1401" s="25" t="s">
        <v>134</v>
      </c>
      <c r="E1401" s="25" t="s">
        <v>3447</v>
      </c>
      <c r="F1401" s="25" t="s">
        <v>3448</v>
      </c>
      <c r="G1401" s="38" t="s">
        <v>30</v>
      </c>
      <c r="H1401" s="33" t="s">
        <v>24</v>
      </c>
      <c r="I1401" s="25" t="n">
        <v>4</v>
      </c>
      <c r="J1401" s="25" t="n">
        <v>0</v>
      </c>
      <c r="K1401" s="25" t="n">
        <v>4</v>
      </c>
      <c r="L1401" s="29" t="n">
        <v>0.71</v>
      </c>
      <c r="M1401" s="30" t="n">
        <v>12.59</v>
      </c>
      <c r="N1401" s="29" t="n">
        <v>0.6</v>
      </c>
      <c r="O1401" s="25" t="n">
        <v>191</v>
      </c>
      <c r="P1401" s="30" t="n">
        <v>1.87</v>
      </c>
      <c r="Q1401" s="27" t="s">
        <v>3676</v>
      </c>
      <c r="R1401" s="27" t="s">
        <v>30</v>
      </c>
    </row>
    <row r="1402" customFormat="false" ht="15" hidden="false" customHeight="false" outlineLevel="0" collapsed="false">
      <c r="A1402" s="25" t="n">
        <f aca="false">IF(G1402="REJECT",COUNTIF($G$2:$G$2277,"&lt;&gt;REJECT")+1+COUNTIFS($G$2:$G$2277,"REJECT",$B$2:$B$2277,"&gt;"&amp;B1402),1+COUNTIFS($G$2:$G$2277,"&lt;&gt;REJECT",$B$2:$B$2277,"&gt;"&amp;B1402))</f>
        <v>1401</v>
      </c>
      <c r="B1402" s="26" t="n">
        <f aca="false">ROUND(($U$2*MAX(0,MIN(1,($W$2-I1402)/($W$2-$V$2)))+$U$3*MAX(0,MIN(1,($W$3-J1402)/($W$3-$V$3)))+$U$4*MAX(0,MIN(1,($W$4-K1402)/($W$4-$V$4)))+$U$5*MAX(0,MIN(1,($W$5-L1402)/($W$5-$V$5)))+$U$6*MAX(0,MIN(1,($W$6-M1402)/($W$6-$V$6)))+$U$7*MAX(0,MIN(1,($W$7-N1402)/($W$7-$V$7)))+$U$8*IF(AND(O1402&gt;=$V$8,O1402&lt;=$W$8),1,0))/$U$9*100,2)</f>
        <v>66.48</v>
      </c>
      <c r="C1402" s="27" t="s">
        <v>1787</v>
      </c>
      <c r="D1402" s="25" t="s">
        <v>134</v>
      </c>
      <c r="E1402" s="25" t="s">
        <v>3447</v>
      </c>
      <c r="F1402" s="25" t="s">
        <v>3457</v>
      </c>
      <c r="G1402" s="38" t="s">
        <v>30</v>
      </c>
      <c r="H1402" s="33" t="s">
        <v>24</v>
      </c>
      <c r="I1402" s="25" t="n">
        <v>5</v>
      </c>
      <c r="J1402" s="25" t="n">
        <v>0</v>
      </c>
      <c r="K1402" s="25" t="n">
        <v>5</v>
      </c>
      <c r="L1402" s="29" t="n">
        <v>0.82</v>
      </c>
      <c r="M1402" s="30" t="n">
        <v>6.45</v>
      </c>
      <c r="N1402" s="29" t="n">
        <v>0.72</v>
      </c>
      <c r="O1402" s="25" t="n">
        <v>186</v>
      </c>
      <c r="P1402" s="30" t="n">
        <v>-1.43</v>
      </c>
      <c r="Q1402" s="27" t="s">
        <v>3677</v>
      </c>
      <c r="R1402" s="27" t="s">
        <v>30</v>
      </c>
    </row>
    <row r="1403" customFormat="false" ht="15" hidden="false" customHeight="false" outlineLevel="0" collapsed="false">
      <c r="A1403" s="25" t="n">
        <f aca="false">IF(G1403="REJECT",COUNTIF($G$2:$G$2277,"&lt;&gt;REJECT")+1+COUNTIFS($G$2:$G$2277,"REJECT",$B$2:$B$2277,"&gt;"&amp;B1403),1+COUNTIFS($G$2:$G$2277,"&lt;&gt;REJECT",$B$2:$B$2277,"&gt;"&amp;B1403))</f>
        <v>1402</v>
      </c>
      <c r="B1403" s="26" t="n">
        <f aca="false">ROUND(($U$2*MAX(0,MIN(1,($W$2-I1403)/($W$2-$V$2)))+$U$3*MAX(0,MIN(1,($W$3-J1403)/($W$3-$V$3)))+$U$4*MAX(0,MIN(1,($W$4-K1403)/($W$4-$V$4)))+$U$5*MAX(0,MIN(1,($W$5-L1403)/($W$5-$V$5)))+$U$6*MAX(0,MIN(1,($W$6-M1403)/($W$6-$V$6)))+$U$7*MAX(0,MIN(1,($W$7-N1403)/($W$7-$V$7)))+$U$8*IF(AND(O1403&gt;=$V$8,O1403&lt;=$W$8),1,0))/$U$9*100,2)</f>
        <v>66.42</v>
      </c>
      <c r="C1403" s="27" t="s">
        <v>1968</v>
      </c>
      <c r="D1403" s="25" t="s">
        <v>3459</v>
      </c>
      <c r="E1403" s="25" t="s">
        <v>3447</v>
      </c>
      <c r="F1403" s="25" t="s">
        <v>3457</v>
      </c>
      <c r="G1403" s="38" t="s">
        <v>30</v>
      </c>
      <c r="H1403" s="28" t="s">
        <v>25</v>
      </c>
      <c r="I1403" s="25" t="n">
        <v>2</v>
      </c>
      <c r="J1403" s="25" t="n">
        <v>1</v>
      </c>
      <c r="K1403" s="25" t="n">
        <v>2</v>
      </c>
      <c r="L1403" s="29" t="n">
        <v>0.68</v>
      </c>
      <c r="M1403" s="30" t="n">
        <v>16.09</v>
      </c>
      <c r="N1403" s="29" t="n">
        <v>0.72</v>
      </c>
      <c r="O1403" s="25" t="n">
        <v>188</v>
      </c>
      <c r="P1403" s="30" t="n">
        <v>-1.16</v>
      </c>
      <c r="Q1403" s="27" t="s">
        <v>3626</v>
      </c>
      <c r="R1403" s="27" t="s">
        <v>1152</v>
      </c>
    </row>
    <row r="1404" customFormat="false" ht="15" hidden="false" customHeight="false" outlineLevel="0" collapsed="false">
      <c r="A1404" s="25" t="n">
        <f aca="false">IF(G1404="REJECT",COUNTIF($G$2:$G$2277,"&lt;&gt;REJECT")+1+COUNTIFS($G$2:$G$2277,"REJECT",$B$2:$B$2277,"&gt;"&amp;B1404),1+COUNTIFS($G$2:$G$2277,"&lt;&gt;REJECT",$B$2:$B$2277,"&gt;"&amp;B1404))</f>
        <v>1402</v>
      </c>
      <c r="B1404" s="26" t="n">
        <f aca="false">ROUND(($U$2*MAX(0,MIN(1,($W$2-I1404)/($W$2-$V$2)))+$U$3*MAX(0,MIN(1,($W$3-J1404)/($W$3-$V$3)))+$U$4*MAX(0,MIN(1,($W$4-K1404)/($W$4-$V$4)))+$U$5*MAX(0,MIN(1,($W$5-L1404)/($W$5-$V$5)))+$U$6*MAX(0,MIN(1,($W$6-M1404)/($W$6-$V$6)))+$U$7*MAX(0,MIN(1,($W$7-N1404)/($W$7-$V$7)))+$U$8*IF(AND(O1404&gt;=$V$8,O1404&lt;=$W$8),1,0))/$U$9*100,2)</f>
        <v>66.42</v>
      </c>
      <c r="C1404" s="27" t="s">
        <v>2355</v>
      </c>
      <c r="D1404" s="25" t="s">
        <v>3459</v>
      </c>
      <c r="E1404" s="25" t="s">
        <v>3450</v>
      </c>
      <c r="F1404" s="25" t="s">
        <v>3448</v>
      </c>
      <c r="G1404" s="38" t="s">
        <v>30</v>
      </c>
      <c r="H1404" s="28" t="s">
        <v>25</v>
      </c>
      <c r="I1404" s="25" t="n">
        <v>2</v>
      </c>
      <c r="J1404" s="25" t="n">
        <v>1</v>
      </c>
      <c r="K1404" s="25" t="n">
        <v>2</v>
      </c>
      <c r="L1404" s="29" t="n">
        <v>0.7</v>
      </c>
      <c r="M1404" s="30" t="n">
        <v>22.49</v>
      </c>
      <c r="N1404" s="29" t="n">
        <v>0.8</v>
      </c>
      <c r="O1404" s="25" t="n">
        <v>193</v>
      </c>
      <c r="P1404" s="30" t="n">
        <v>12.99</v>
      </c>
      <c r="Q1404" s="27" t="s">
        <v>3575</v>
      </c>
      <c r="R1404" s="27" t="s">
        <v>157</v>
      </c>
    </row>
    <row r="1405" customFormat="false" ht="15" hidden="false" customHeight="false" outlineLevel="0" collapsed="false">
      <c r="A1405" s="25" t="n">
        <f aca="false">IF(G1405="REJECT",COUNTIF($G$2:$G$2277,"&lt;&gt;REJECT")+1+COUNTIFS($G$2:$G$2277,"REJECT",$B$2:$B$2277,"&gt;"&amp;B1405),1+COUNTIFS($G$2:$G$2277,"&lt;&gt;REJECT",$B$2:$B$2277,"&gt;"&amp;B1405))</f>
        <v>1404</v>
      </c>
      <c r="B1405" s="26" t="n">
        <f aca="false">ROUND(($U$2*MAX(0,MIN(1,($W$2-I1405)/($W$2-$V$2)))+$U$3*MAX(0,MIN(1,($W$3-J1405)/($W$3-$V$3)))+$U$4*MAX(0,MIN(1,($W$4-K1405)/($W$4-$V$4)))+$U$5*MAX(0,MIN(1,($W$5-L1405)/($W$5-$V$5)))+$U$6*MAX(0,MIN(1,($W$6-M1405)/($W$6-$V$6)))+$U$7*MAX(0,MIN(1,($W$7-N1405)/($W$7-$V$7)))+$U$8*IF(AND(O1405&gt;=$V$8,O1405&lt;=$W$8),1,0))/$U$9*100,2)</f>
        <v>66.4</v>
      </c>
      <c r="C1405" s="27" t="s">
        <v>2941</v>
      </c>
      <c r="D1405" s="25" t="s">
        <v>134</v>
      </c>
      <c r="E1405" s="25" t="s">
        <v>3447</v>
      </c>
      <c r="F1405" s="25" t="s">
        <v>3457</v>
      </c>
      <c r="G1405" s="38" t="s">
        <v>30</v>
      </c>
      <c r="H1405" s="33" t="s">
        <v>24</v>
      </c>
      <c r="I1405" s="25" t="n">
        <v>5</v>
      </c>
      <c r="J1405" s="25" t="n">
        <v>0</v>
      </c>
      <c r="K1405" s="25" t="n">
        <v>5</v>
      </c>
      <c r="L1405" s="29" t="n">
        <v>0.79</v>
      </c>
      <c r="M1405" s="30" t="n">
        <v>3.32</v>
      </c>
      <c r="N1405" s="29" t="n">
        <v>0.72</v>
      </c>
      <c r="O1405" s="25" t="n">
        <v>190</v>
      </c>
      <c r="P1405" s="30" t="n">
        <v>2.02</v>
      </c>
      <c r="Q1405" s="27" t="s">
        <v>3678</v>
      </c>
      <c r="R1405" s="27" t="s">
        <v>30</v>
      </c>
    </row>
    <row r="1406" customFormat="false" ht="15" hidden="false" customHeight="false" outlineLevel="0" collapsed="false">
      <c r="A1406" s="25" t="n">
        <f aca="false">IF(G1406="REJECT",COUNTIF($G$2:$G$2277,"&lt;&gt;REJECT")+1+COUNTIFS($G$2:$G$2277,"REJECT",$B$2:$B$2277,"&gt;"&amp;B1406),1+COUNTIFS($G$2:$G$2277,"&lt;&gt;REJECT",$B$2:$B$2277,"&gt;"&amp;B1406))</f>
        <v>1405</v>
      </c>
      <c r="B1406" s="26" t="n">
        <f aca="false">ROUND(($U$2*MAX(0,MIN(1,($W$2-I1406)/($W$2-$V$2)))+$U$3*MAX(0,MIN(1,($W$3-J1406)/($W$3-$V$3)))+$U$4*MAX(0,MIN(1,($W$4-K1406)/($W$4-$V$4)))+$U$5*MAX(0,MIN(1,($W$5-L1406)/($W$5-$V$5)))+$U$6*MAX(0,MIN(1,($W$6-M1406)/($W$6-$V$6)))+$U$7*MAX(0,MIN(1,($W$7-N1406)/($W$7-$V$7)))+$U$8*IF(AND(O1406&gt;=$V$8,O1406&lt;=$W$8),1,0))/$U$9*100,2)</f>
        <v>66.39</v>
      </c>
      <c r="C1406" s="27" t="s">
        <v>3126</v>
      </c>
      <c r="D1406" s="25" t="s">
        <v>134</v>
      </c>
      <c r="E1406" s="25" t="s">
        <v>3450</v>
      </c>
      <c r="F1406" s="25" t="s">
        <v>3448</v>
      </c>
      <c r="G1406" s="38" t="s">
        <v>30</v>
      </c>
      <c r="H1406" s="28" t="s">
        <v>25</v>
      </c>
      <c r="I1406" s="25" t="n">
        <v>3</v>
      </c>
      <c r="J1406" s="25" t="n">
        <v>1</v>
      </c>
      <c r="K1406" s="25" t="n">
        <v>3</v>
      </c>
      <c r="L1406" s="29" t="n">
        <v>0.75</v>
      </c>
      <c r="M1406" s="30" t="n">
        <v>5.56</v>
      </c>
      <c r="N1406" s="29" t="n">
        <v>0.56</v>
      </c>
      <c r="O1406" s="25" t="n">
        <v>182</v>
      </c>
      <c r="P1406" s="30" t="n">
        <v>5.48</v>
      </c>
      <c r="Q1406" s="27" t="s">
        <v>3649</v>
      </c>
      <c r="R1406" s="27" t="s">
        <v>283</v>
      </c>
    </row>
    <row r="1407" customFormat="false" ht="15" hidden="false" customHeight="false" outlineLevel="0" collapsed="false">
      <c r="A1407" s="25" t="n">
        <f aca="false">IF(G1407="REJECT",COUNTIF($G$2:$G$2277,"&lt;&gt;REJECT")+1+COUNTIFS($G$2:$G$2277,"REJECT",$B$2:$B$2277,"&gt;"&amp;B1407),1+COUNTIFS($G$2:$G$2277,"&lt;&gt;REJECT",$B$2:$B$2277,"&gt;"&amp;B1407))</f>
        <v>1406</v>
      </c>
      <c r="B1407" s="26" t="n">
        <f aca="false">ROUND(($U$2*MAX(0,MIN(1,($W$2-I1407)/($W$2-$V$2)))+$U$3*MAX(0,MIN(1,($W$3-J1407)/($W$3-$V$3)))+$U$4*MAX(0,MIN(1,($W$4-K1407)/($W$4-$V$4)))+$U$5*MAX(0,MIN(1,($W$5-L1407)/($W$5-$V$5)))+$U$6*MAX(0,MIN(1,($W$6-M1407)/($W$6-$V$6)))+$U$7*MAX(0,MIN(1,($W$7-N1407)/($W$7-$V$7)))+$U$8*IF(AND(O1407&gt;=$V$8,O1407&lt;=$W$8),1,0))/$U$9*100,2)</f>
        <v>66.38</v>
      </c>
      <c r="C1407" s="27" t="s">
        <v>1221</v>
      </c>
      <c r="D1407" s="25" t="s">
        <v>134</v>
      </c>
      <c r="E1407" s="25" t="s">
        <v>3450</v>
      </c>
      <c r="F1407" s="25" t="s">
        <v>3457</v>
      </c>
      <c r="G1407" s="38" t="s">
        <v>30</v>
      </c>
      <c r="H1407" s="33" t="s">
        <v>24</v>
      </c>
      <c r="I1407" s="25" t="n">
        <v>4</v>
      </c>
      <c r="J1407" s="25" t="n">
        <v>0</v>
      </c>
      <c r="K1407" s="25" t="n">
        <v>4</v>
      </c>
      <c r="L1407" s="29" t="n">
        <v>0.73</v>
      </c>
      <c r="M1407" s="30" t="n">
        <v>18.11</v>
      </c>
      <c r="N1407" s="29" t="n">
        <v>0.84</v>
      </c>
      <c r="O1407" s="25" t="n">
        <v>183</v>
      </c>
      <c r="P1407" s="30" t="n">
        <v>12.69</v>
      </c>
      <c r="Q1407" s="27" t="s">
        <v>3643</v>
      </c>
      <c r="R1407" s="27" t="s">
        <v>30</v>
      </c>
    </row>
    <row r="1408" customFormat="false" ht="15" hidden="false" customHeight="false" outlineLevel="0" collapsed="false">
      <c r="A1408" s="25" t="n">
        <f aca="false">IF(G1408="REJECT",COUNTIF($G$2:$G$2277,"&lt;&gt;REJECT")+1+COUNTIFS($G$2:$G$2277,"REJECT",$B$2:$B$2277,"&gt;"&amp;B1408),1+COUNTIFS($G$2:$G$2277,"&lt;&gt;REJECT",$B$2:$B$2277,"&gt;"&amp;B1408))</f>
        <v>1407</v>
      </c>
      <c r="B1408" s="26" t="n">
        <f aca="false">ROUND(($U$2*MAX(0,MIN(1,($W$2-I1408)/($W$2-$V$2)))+$U$3*MAX(0,MIN(1,($W$3-J1408)/($W$3-$V$3)))+$U$4*MAX(0,MIN(1,($W$4-K1408)/($W$4-$V$4)))+$U$5*MAX(0,MIN(1,($W$5-L1408)/($W$5-$V$5)))+$U$6*MAX(0,MIN(1,($W$6-M1408)/($W$6-$V$6)))+$U$7*MAX(0,MIN(1,($W$7-N1408)/($W$7-$V$7)))+$U$8*IF(AND(O1408&gt;=$V$8,O1408&lt;=$W$8),1,0))/$U$9*100,2)</f>
        <v>66.37</v>
      </c>
      <c r="C1408" s="27" t="s">
        <v>2033</v>
      </c>
      <c r="D1408" s="25" t="s">
        <v>134</v>
      </c>
      <c r="E1408" s="25" t="s">
        <v>3450</v>
      </c>
      <c r="F1408" s="25" t="s">
        <v>3448</v>
      </c>
      <c r="G1408" s="38" t="s">
        <v>30</v>
      </c>
      <c r="H1408" s="28" t="s">
        <v>25</v>
      </c>
      <c r="I1408" s="25" t="n">
        <v>3</v>
      </c>
      <c r="J1408" s="25" t="n">
        <v>1</v>
      </c>
      <c r="K1408" s="25" t="n">
        <v>3</v>
      </c>
      <c r="L1408" s="29" t="n">
        <v>0.74</v>
      </c>
      <c r="M1408" s="30" t="n">
        <v>0.07</v>
      </c>
      <c r="N1408" s="29" t="n">
        <v>0.76</v>
      </c>
      <c r="O1408" s="25" t="n">
        <v>194</v>
      </c>
      <c r="P1408" s="30" t="n">
        <v>-1.18</v>
      </c>
      <c r="Q1408" s="27" t="s">
        <v>3649</v>
      </c>
      <c r="R1408" s="27" t="s">
        <v>1230</v>
      </c>
    </row>
    <row r="1409" customFormat="false" ht="15" hidden="false" customHeight="false" outlineLevel="0" collapsed="false">
      <c r="A1409" s="25" t="n">
        <f aca="false">IF(G1409="REJECT",COUNTIF($G$2:$G$2277,"&lt;&gt;REJECT")+1+COUNTIFS($G$2:$G$2277,"REJECT",$B$2:$B$2277,"&gt;"&amp;B1409),1+COUNTIFS($G$2:$G$2277,"&lt;&gt;REJECT",$B$2:$B$2277,"&gt;"&amp;B1409))</f>
        <v>1408</v>
      </c>
      <c r="B1409" s="26" t="n">
        <f aca="false">ROUND(($U$2*MAX(0,MIN(1,($W$2-I1409)/($W$2-$V$2)))+$U$3*MAX(0,MIN(1,($W$3-J1409)/($W$3-$V$3)))+$U$4*MAX(0,MIN(1,($W$4-K1409)/($W$4-$V$4)))+$U$5*MAX(0,MIN(1,($W$5-L1409)/($W$5-$V$5)))+$U$6*MAX(0,MIN(1,($W$6-M1409)/($W$6-$V$6)))+$U$7*MAX(0,MIN(1,($W$7-N1409)/($W$7-$V$7)))+$U$8*IF(AND(O1409&gt;=$V$8,O1409&lt;=$W$8),1,0))/$U$9*100,2)</f>
        <v>66.36</v>
      </c>
      <c r="C1409" s="27" t="s">
        <v>360</v>
      </c>
      <c r="D1409" s="25" t="s">
        <v>134</v>
      </c>
      <c r="E1409" s="25" t="s">
        <v>3447</v>
      </c>
      <c r="F1409" s="25" t="s">
        <v>3448</v>
      </c>
      <c r="G1409" s="38" t="s">
        <v>30</v>
      </c>
      <c r="H1409" s="28" t="s">
        <v>25</v>
      </c>
      <c r="I1409" s="25" t="n">
        <v>4</v>
      </c>
      <c r="J1409" s="25" t="n">
        <v>0</v>
      </c>
      <c r="K1409" s="25" t="n">
        <v>4</v>
      </c>
      <c r="L1409" s="29" t="n">
        <v>0.71</v>
      </c>
      <c r="M1409" s="30" t="n">
        <v>11.45</v>
      </c>
      <c r="N1409" s="29" t="n">
        <v>0.8</v>
      </c>
      <c r="O1409" s="25" t="n">
        <v>184</v>
      </c>
      <c r="P1409" s="30" t="n">
        <v>-1.12</v>
      </c>
      <c r="Q1409" s="27" t="s">
        <v>3606</v>
      </c>
      <c r="R1409" s="27" t="s">
        <v>2610</v>
      </c>
    </row>
    <row r="1410" customFormat="false" ht="15" hidden="false" customHeight="false" outlineLevel="0" collapsed="false">
      <c r="A1410" s="25" t="n">
        <f aca="false">IF(G1410="REJECT",COUNTIF($G$2:$G$2277,"&lt;&gt;REJECT")+1+COUNTIFS($G$2:$G$2277,"REJECT",$B$2:$B$2277,"&gt;"&amp;B1410),1+COUNTIFS($G$2:$G$2277,"&lt;&gt;REJECT",$B$2:$B$2277,"&gt;"&amp;B1410))</f>
        <v>1409</v>
      </c>
      <c r="B1410" s="26" t="n">
        <f aca="false">ROUND(($U$2*MAX(0,MIN(1,($W$2-I1410)/($W$2-$V$2)))+$U$3*MAX(0,MIN(1,($W$3-J1410)/($W$3-$V$3)))+$U$4*MAX(0,MIN(1,($W$4-K1410)/($W$4-$V$4)))+$U$5*MAX(0,MIN(1,($W$5-L1410)/($W$5-$V$5)))+$U$6*MAX(0,MIN(1,($W$6-M1410)/($W$6-$V$6)))+$U$7*MAX(0,MIN(1,($W$7-N1410)/($W$7-$V$7)))+$U$8*IF(AND(O1410&gt;=$V$8,O1410&lt;=$W$8),1,0))/$U$9*100,2)</f>
        <v>66.32</v>
      </c>
      <c r="C1410" s="27" t="s">
        <v>3144</v>
      </c>
      <c r="D1410" s="25" t="s">
        <v>3459</v>
      </c>
      <c r="E1410" s="25" t="s">
        <v>3450</v>
      </c>
      <c r="F1410" s="25" t="s">
        <v>3448</v>
      </c>
      <c r="G1410" s="38" t="s">
        <v>30</v>
      </c>
      <c r="H1410" s="28" t="s">
        <v>25</v>
      </c>
      <c r="I1410" s="25" t="n">
        <v>3</v>
      </c>
      <c r="J1410" s="25" t="n">
        <v>1</v>
      </c>
      <c r="K1410" s="25" t="n">
        <v>3</v>
      </c>
      <c r="L1410" s="29" t="n">
        <v>0.79</v>
      </c>
      <c r="M1410" s="30" t="n">
        <v>21.21</v>
      </c>
      <c r="N1410" s="29" t="n">
        <v>0.48</v>
      </c>
      <c r="O1410" s="25" t="n">
        <v>182</v>
      </c>
      <c r="P1410" s="30" t="n">
        <v>7.88</v>
      </c>
      <c r="Q1410" s="27" t="s">
        <v>3649</v>
      </c>
      <c r="R1410" s="27" t="s">
        <v>183</v>
      </c>
    </row>
    <row r="1411" customFormat="false" ht="15" hidden="false" customHeight="false" outlineLevel="0" collapsed="false">
      <c r="A1411" s="25" t="n">
        <f aca="false">IF(G1411="REJECT",COUNTIF($G$2:$G$2277,"&lt;&gt;REJECT")+1+COUNTIFS($G$2:$G$2277,"REJECT",$B$2:$B$2277,"&gt;"&amp;B1411),1+COUNTIFS($G$2:$G$2277,"&lt;&gt;REJECT",$B$2:$B$2277,"&gt;"&amp;B1411))</f>
        <v>1410</v>
      </c>
      <c r="B1411" s="26" t="n">
        <f aca="false">ROUND(($U$2*MAX(0,MIN(1,($W$2-I1411)/($W$2-$V$2)))+$U$3*MAX(0,MIN(1,($W$3-J1411)/($W$3-$V$3)))+$U$4*MAX(0,MIN(1,($W$4-K1411)/($W$4-$V$4)))+$U$5*MAX(0,MIN(1,($W$5-L1411)/($W$5-$V$5)))+$U$6*MAX(0,MIN(1,($W$6-M1411)/($W$6-$V$6)))+$U$7*MAX(0,MIN(1,($W$7-N1411)/($W$7-$V$7)))+$U$8*IF(AND(O1411&gt;=$V$8,O1411&lt;=$W$8),1,0))/$U$9*100,2)</f>
        <v>66.29</v>
      </c>
      <c r="C1411" s="27" t="s">
        <v>1240</v>
      </c>
      <c r="D1411" s="25" t="s">
        <v>134</v>
      </c>
      <c r="E1411" s="25" t="s">
        <v>3447</v>
      </c>
      <c r="F1411" s="25" t="s">
        <v>3448</v>
      </c>
      <c r="G1411" s="38" t="s">
        <v>30</v>
      </c>
      <c r="H1411" s="33" t="s">
        <v>24</v>
      </c>
      <c r="I1411" s="25" t="n">
        <v>4</v>
      </c>
      <c r="J1411" s="25" t="n">
        <v>0</v>
      </c>
      <c r="K1411" s="25" t="n">
        <v>4</v>
      </c>
      <c r="L1411" s="29" t="n">
        <v>0.71</v>
      </c>
      <c r="M1411" s="30" t="n">
        <v>18.65</v>
      </c>
      <c r="N1411" s="29" t="n">
        <v>0.12</v>
      </c>
      <c r="O1411" s="25" t="n">
        <v>192</v>
      </c>
      <c r="P1411" s="30" t="n">
        <v>-1.04</v>
      </c>
      <c r="Q1411" s="27" t="s">
        <v>3627</v>
      </c>
      <c r="R1411" s="27" t="s">
        <v>30</v>
      </c>
    </row>
    <row r="1412" customFormat="false" ht="15" hidden="false" customHeight="false" outlineLevel="0" collapsed="false">
      <c r="A1412" s="25" t="n">
        <f aca="false">IF(G1412="REJECT",COUNTIF($G$2:$G$2277,"&lt;&gt;REJECT")+1+COUNTIFS($G$2:$G$2277,"REJECT",$B$2:$B$2277,"&gt;"&amp;B1412),1+COUNTIFS($G$2:$G$2277,"&lt;&gt;REJECT",$B$2:$B$2277,"&gt;"&amp;B1412))</f>
        <v>1411</v>
      </c>
      <c r="B1412" s="26" t="n">
        <f aca="false">ROUND(($U$2*MAX(0,MIN(1,($W$2-I1412)/($W$2-$V$2)))+$U$3*MAX(0,MIN(1,($W$3-J1412)/($W$3-$V$3)))+$U$4*MAX(0,MIN(1,($W$4-K1412)/($W$4-$V$4)))+$U$5*MAX(0,MIN(1,($W$5-L1412)/($W$5-$V$5)))+$U$6*MAX(0,MIN(1,($W$6-M1412)/($W$6-$V$6)))+$U$7*MAX(0,MIN(1,($W$7-N1412)/($W$7-$V$7)))+$U$8*IF(AND(O1412&gt;=$V$8,O1412&lt;=$W$8),1,0))/$U$9*100,2)</f>
        <v>66.27</v>
      </c>
      <c r="C1412" s="27" t="s">
        <v>291</v>
      </c>
      <c r="D1412" s="25" t="s">
        <v>134</v>
      </c>
      <c r="E1412" s="25" t="s">
        <v>3447</v>
      </c>
      <c r="F1412" s="25" t="s">
        <v>3448</v>
      </c>
      <c r="G1412" s="38" t="s">
        <v>30</v>
      </c>
      <c r="H1412" s="33" t="s">
        <v>24</v>
      </c>
      <c r="I1412" s="25" t="n">
        <v>5</v>
      </c>
      <c r="J1412" s="25" t="n">
        <v>0</v>
      </c>
      <c r="K1412" s="25" t="n">
        <v>5</v>
      </c>
      <c r="L1412" s="29" t="n">
        <v>0.79</v>
      </c>
      <c r="M1412" s="30" t="n">
        <v>2.1</v>
      </c>
      <c r="N1412" s="29" t="n">
        <v>0.92</v>
      </c>
      <c r="O1412" s="25" t="n">
        <v>189</v>
      </c>
      <c r="P1412" s="30" t="n">
        <v>0.8</v>
      </c>
      <c r="Q1412" s="27" t="s">
        <v>3679</v>
      </c>
      <c r="R1412" s="27" t="s">
        <v>30</v>
      </c>
    </row>
    <row r="1413" customFormat="false" ht="15" hidden="false" customHeight="false" outlineLevel="0" collapsed="false">
      <c r="A1413" s="25" t="n">
        <f aca="false">IF(G1413="REJECT",COUNTIF($G$2:$G$2277,"&lt;&gt;REJECT")+1+COUNTIFS($G$2:$G$2277,"REJECT",$B$2:$B$2277,"&gt;"&amp;B1413),1+COUNTIFS($G$2:$G$2277,"&lt;&gt;REJECT",$B$2:$B$2277,"&gt;"&amp;B1413))</f>
        <v>1412</v>
      </c>
      <c r="B1413" s="26" t="n">
        <f aca="false">ROUND(($U$2*MAX(0,MIN(1,($W$2-I1413)/($W$2-$V$2)))+$U$3*MAX(0,MIN(1,($W$3-J1413)/($W$3-$V$3)))+$U$4*MAX(0,MIN(1,($W$4-K1413)/($W$4-$V$4)))+$U$5*MAX(0,MIN(1,($W$5-L1413)/($W$5-$V$5)))+$U$6*MAX(0,MIN(1,($W$6-M1413)/($W$6-$V$6)))+$U$7*MAX(0,MIN(1,($W$7-N1413)/($W$7-$V$7)))+$U$8*IF(AND(O1413&gt;=$V$8,O1413&lt;=$W$8),1,0))/$U$9*100,2)</f>
        <v>66.23</v>
      </c>
      <c r="C1413" s="27" t="s">
        <v>2355</v>
      </c>
      <c r="D1413" s="25" t="s">
        <v>3459</v>
      </c>
      <c r="E1413" s="25" t="s">
        <v>3450</v>
      </c>
      <c r="F1413" s="25" t="s">
        <v>3457</v>
      </c>
      <c r="G1413" s="38" t="s">
        <v>30</v>
      </c>
      <c r="H1413" s="28" t="s">
        <v>25</v>
      </c>
      <c r="I1413" s="25" t="n">
        <v>2</v>
      </c>
      <c r="J1413" s="25" t="n">
        <v>1</v>
      </c>
      <c r="K1413" s="25" t="n">
        <v>2</v>
      </c>
      <c r="L1413" s="29" t="n">
        <v>0.7</v>
      </c>
      <c r="M1413" s="30" t="n">
        <v>25.23</v>
      </c>
      <c r="N1413" s="29" t="n">
        <v>0.64</v>
      </c>
      <c r="O1413" s="25" t="n">
        <v>183</v>
      </c>
      <c r="P1413" s="30" t="n">
        <v>13.06</v>
      </c>
      <c r="Q1413" s="27" t="s">
        <v>3575</v>
      </c>
      <c r="R1413" s="27" t="s">
        <v>183</v>
      </c>
    </row>
    <row r="1414" customFormat="false" ht="15" hidden="false" customHeight="false" outlineLevel="0" collapsed="false">
      <c r="A1414" s="25" t="n">
        <f aca="false">IF(G1414="REJECT",COUNTIF($G$2:$G$2277,"&lt;&gt;REJECT")+1+COUNTIFS($G$2:$G$2277,"REJECT",$B$2:$B$2277,"&gt;"&amp;B1414),1+COUNTIFS($G$2:$G$2277,"&lt;&gt;REJECT",$B$2:$B$2277,"&gt;"&amp;B1414))</f>
        <v>1413</v>
      </c>
      <c r="B1414" s="26" t="n">
        <f aca="false">ROUND(($U$2*MAX(0,MIN(1,($W$2-I1414)/($W$2-$V$2)))+$U$3*MAX(0,MIN(1,($W$3-J1414)/($W$3-$V$3)))+$U$4*MAX(0,MIN(1,($W$4-K1414)/($W$4-$V$4)))+$U$5*MAX(0,MIN(1,($W$5-L1414)/($W$5-$V$5)))+$U$6*MAX(0,MIN(1,($W$6-M1414)/($W$6-$V$6)))+$U$7*MAX(0,MIN(1,($W$7-N1414)/($W$7-$V$7)))+$U$8*IF(AND(O1414&gt;=$V$8,O1414&lt;=$W$8),1,0))/$U$9*100,2)</f>
        <v>66.2</v>
      </c>
      <c r="C1414" s="27" t="s">
        <v>2227</v>
      </c>
      <c r="D1414" s="25" t="s">
        <v>134</v>
      </c>
      <c r="E1414" s="25" t="s">
        <v>3450</v>
      </c>
      <c r="F1414" s="25" t="s">
        <v>3448</v>
      </c>
      <c r="G1414" s="38" t="s">
        <v>30</v>
      </c>
      <c r="H1414" s="28" t="s">
        <v>25</v>
      </c>
      <c r="I1414" s="25" t="n">
        <v>3</v>
      </c>
      <c r="J1414" s="25" t="n">
        <v>1</v>
      </c>
      <c r="K1414" s="25" t="n">
        <v>3</v>
      </c>
      <c r="L1414" s="29" t="n">
        <v>0.76</v>
      </c>
      <c r="M1414" s="30" t="n">
        <v>10.73</v>
      </c>
      <c r="N1414" s="29" t="n">
        <v>0.52</v>
      </c>
      <c r="O1414" s="25" t="n">
        <v>199</v>
      </c>
      <c r="P1414" s="30" t="n">
        <v>14.45</v>
      </c>
      <c r="Q1414" s="27" t="s">
        <v>3649</v>
      </c>
      <c r="R1414" s="27" t="s">
        <v>1099</v>
      </c>
    </row>
    <row r="1415" customFormat="false" ht="15" hidden="false" customHeight="false" outlineLevel="0" collapsed="false">
      <c r="A1415" s="25" t="n">
        <f aca="false">IF(G1415="REJECT",COUNTIF($G$2:$G$2277,"&lt;&gt;REJECT")+1+COUNTIFS($G$2:$G$2277,"REJECT",$B$2:$B$2277,"&gt;"&amp;B1415),1+COUNTIFS($G$2:$G$2277,"&lt;&gt;REJECT",$B$2:$B$2277,"&gt;"&amp;B1415))</f>
        <v>1414</v>
      </c>
      <c r="B1415" s="26" t="n">
        <f aca="false">ROUND(($U$2*MAX(0,MIN(1,($W$2-I1415)/($W$2-$V$2)))+$U$3*MAX(0,MIN(1,($W$3-J1415)/($W$3-$V$3)))+$U$4*MAX(0,MIN(1,($W$4-K1415)/($W$4-$V$4)))+$U$5*MAX(0,MIN(1,($W$5-L1415)/($W$5-$V$5)))+$U$6*MAX(0,MIN(1,($W$6-M1415)/($W$6-$V$6)))+$U$7*MAX(0,MIN(1,($W$7-N1415)/($W$7-$V$7)))+$U$8*IF(AND(O1415&gt;=$V$8,O1415&lt;=$W$8),1,0))/$U$9*100,2)</f>
        <v>66.17</v>
      </c>
      <c r="C1415" s="27" t="s">
        <v>1350</v>
      </c>
      <c r="D1415" s="25" t="s">
        <v>134</v>
      </c>
      <c r="E1415" s="25" t="s">
        <v>3450</v>
      </c>
      <c r="F1415" s="25" t="s">
        <v>3448</v>
      </c>
      <c r="G1415" s="38" t="s">
        <v>30</v>
      </c>
      <c r="H1415" s="28" t="s">
        <v>25</v>
      </c>
      <c r="I1415" s="25" t="n">
        <v>2</v>
      </c>
      <c r="J1415" s="25" t="n">
        <v>1</v>
      </c>
      <c r="K1415" s="25" t="n">
        <v>2</v>
      </c>
      <c r="L1415" s="29" t="n">
        <v>0.67</v>
      </c>
      <c r="M1415" s="30" t="n">
        <v>14.01</v>
      </c>
      <c r="N1415" s="29" t="n">
        <v>0.72</v>
      </c>
      <c r="O1415" s="25" t="n">
        <v>185</v>
      </c>
      <c r="P1415" s="30" t="n">
        <v>9.89</v>
      </c>
      <c r="Q1415" s="27" t="s">
        <v>3575</v>
      </c>
      <c r="R1415" s="27" t="s">
        <v>283</v>
      </c>
    </row>
    <row r="1416" customFormat="false" ht="15" hidden="false" customHeight="false" outlineLevel="0" collapsed="false">
      <c r="A1416" s="25" t="n">
        <f aca="false">IF(G1416="REJECT",COUNTIF($G$2:$G$2277,"&lt;&gt;REJECT")+1+COUNTIFS($G$2:$G$2277,"REJECT",$B$2:$B$2277,"&gt;"&amp;B1416),1+COUNTIFS($G$2:$G$2277,"&lt;&gt;REJECT",$B$2:$B$2277,"&gt;"&amp;B1416))</f>
        <v>1415</v>
      </c>
      <c r="B1416" s="26" t="n">
        <f aca="false">ROUND(($U$2*MAX(0,MIN(1,($W$2-I1416)/($W$2-$V$2)))+$U$3*MAX(0,MIN(1,($W$3-J1416)/($W$3-$V$3)))+$U$4*MAX(0,MIN(1,($W$4-K1416)/($W$4-$V$4)))+$U$5*MAX(0,MIN(1,($W$5-L1416)/($W$5-$V$5)))+$U$6*MAX(0,MIN(1,($W$6-M1416)/($W$6-$V$6)))+$U$7*MAX(0,MIN(1,($W$7-N1416)/($W$7-$V$7)))+$U$8*IF(AND(O1416&gt;=$V$8,O1416&lt;=$W$8),1,0))/$U$9*100,2)</f>
        <v>66.12</v>
      </c>
      <c r="C1416" s="27" t="s">
        <v>3369</v>
      </c>
      <c r="D1416" s="25" t="s">
        <v>134</v>
      </c>
      <c r="E1416" s="25" t="s">
        <v>3450</v>
      </c>
      <c r="F1416" s="25" t="s">
        <v>3457</v>
      </c>
      <c r="G1416" s="38" t="s">
        <v>30</v>
      </c>
      <c r="H1416" s="28" t="s">
        <v>25</v>
      </c>
      <c r="I1416" s="25" t="n">
        <v>2</v>
      </c>
      <c r="J1416" s="25" t="n">
        <v>1</v>
      </c>
      <c r="K1416" s="25" t="n">
        <v>2</v>
      </c>
      <c r="L1416" s="29" t="n">
        <v>0.69</v>
      </c>
      <c r="M1416" s="30" t="n">
        <v>19.87</v>
      </c>
      <c r="N1416" s="29" t="n">
        <v>0.88</v>
      </c>
      <c r="O1416" s="25" t="n">
        <v>183</v>
      </c>
      <c r="P1416" s="30" t="n">
        <v>7.57</v>
      </c>
      <c r="Q1416" s="27" t="s">
        <v>3575</v>
      </c>
      <c r="R1416" s="27" t="s">
        <v>1099</v>
      </c>
    </row>
    <row r="1417" customFormat="false" ht="15" hidden="false" customHeight="false" outlineLevel="0" collapsed="false">
      <c r="A1417" s="25" t="n">
        <f aca="false">IF(G1417="REJECT",COUNTIF($G$2:$G$2277,"&lt;&gt;REJECT")+1+COUNTIFS($G$2:$G$2277,"REJECT",$B$2:$B$2277,"&gt;"&amp;B1417),1+COUNTIFS($G$2:$G$2277,"&lt;&gt;REJECT",$B$2:$B$2277,"&gt;"&amp;B1417))</f>
        <v>1416</v>
      </c>
      <c r="B1417" s="26" t="n">
        <f aca="false">ROUND(($U$2*MAX(0,MIN(1,($W$2-I1417)/($W$2-$V$2)))+$U$3*MAX(0,MIN(1,($W$3-J1417)/($W$3-$V$3)))+$U$4*MAX(0,MIN(1,($W$4-K1417)/($W$4-$V$4)))+$U$5*MAX(0,MIN(1,($W$5-L1417)/($W$5-$V$5)))+$U$6*MAX(0,MIN(1,($W$6-M1417)/($W$6-$V$6)))+$U$7*MAX(0,MIN(1,($W$7-N1417)/($W$7-$V$7)))+$U$8*IF(AND(O1417&gt;=$V$8,O1417&lt;=$W$8),1,0))/$U$9*100,2)</f>
        <v>66.08</v>
      </c>
      <c r="C1417" s="27" t="s">
        <v>539</v>
      </c>
      <c r="D1417" s="25" t="s">
        <v>134</v>
      </c>
      <c r="E1417" s="25" t="s">
        <v>3450</v>
      </c>
      <c r="F1417" s="25" t="s">
        <v>3448</v>
      </c>
      <c r="G1417" s="38" t="s">
        <v>30</v>
      </c>
      <c r="H1417" s="28" t="s">
        <v>25</v>
      </c>
      <c r="I1417" s="25" t="n">
        <v>2</v>
      </c>
      <c r="J1417" s="25" t="n">
        <v>1</v>
      </c>
      <c r="K1417" s="25" t="n">
        <v>2</v>
      </c>
      <c r="L1417" s="29" t="n">
        <v>0.67</v>
      </c>
      <c r="M1417" s="30" t="n">
        <v>12.9</v>
      </c>
      <c r="N1417" s="29" t="n">
        <v>0.88</v>
      </c>
      <c r="O1417" s="25" t="n">
        <v>187</v>
      </c>
      <c r="P1417" s="30" t="n">
        <v>20.48</v>
      </c>
      <c r="Q1417" s="27" t="s">
        <v>3566</v>
      </c>
      <c r="R1417" s="27" t="s">
        <v>283</v>
      </c>
    </row>
    <row r="1418" customFormat="false" ht="15" hidden="false" customHeight="false" outlineLevel="0" collapsed="false">
      <c r="A1418" s="25" t="n">
        <f aca="false">IF(G1418="REJECT",COUNTIF($G$2:$G$2277,"&lt;&gt;REJECT")+1+COUNTIFS($G$2:$G$2277,"REJECT",$B$2:$B$2277,"&gt;"&amp;B1418),1+COUNTIFS($G$2:$G$2277,"&lt;&gt;REJECT",$B$2:$B$2277,"&gt;"&amp;B1418))</f>
        <v>1417</v>
      </c>
      <c r="B1418" s="26" t="n">
        <f aca="false">ROUND(($U$2*MAX(0,MIN(1,($W$2-I1418)/($W$2-$V$2)))+$U$3*MAX(0,MIN(1,($W$3-J1418)/($W$3-$V$3)))+$U$4*MAX(0,MIN(1,($W$4-K1418)/($W$4-$V$4)))+$U$5*MAX(0,MIN(1,($W$5-L1418)/($W$5-$V$5)))+$U$6*MAX(0,MIN(1,($W$6-M1418)/($W$6-$V$6)))+$U$7*MAX(0,MIN(1,($W$7-N1418)/($W$7-$V$7)))+$U$8*IF(AND(O1418&gt;=$V$8,O1418&lt;=$W$8),1,0))/$U$9*100,2)</f>
        <v>66.06</v>
      </c>
      <c r="C1418" s="27" t="s">
        <v>3418</v>
      </c>
      <c r="D1418" s="25" t="s">
        <v>3459</v>
      </c>
      <c r="E1418" s="25" t="s">
        <v>3450</v>
      </c>
      <c r="F1418" s="25" t="s">
        <v>3448</v>
      </c>
      <c r="G1418" s="38" t="s">
        <v>30</v>
      </c>
      <c r="H1418" s="28" t="s">
        <v>25</v>
      </c>
      <c r="I1418" s="25" t="n">
        <v>2</v>
      </c>
      <c r="J1418" s="25" t="n">
        <v>1</v>
      </c>
      <c r="K1418" s="25" t="n">
        <v>2</v>
      </c>
      <c r="L1418" s="29" t="n">
        <v>0.67</v>
      </c>
      <c r="M1418" s="30" t="n">
        <v>14.23</v>
      </c>
      <c r="N1418" s="29" t="n">
        <v>0.76</v>
      </c>
      <c r="O1418" s="25" t="n">
        <v>186</v>
      </c>
      <c r="P1418" s="30" t="n">
        <v>1.01</v>
      </c>
      <c r="Q1418" s="27" t="s">
        <v>3575</v>
      </c>
      <c r="R1418" s="27" t="s">
        <v>1230</v>
      </c>
    </row>
    <row r="1419" customFormat="false" ht="15" hidden="false" customHeight="false" outlineLevel="0" collapsed="false">
      <c r="A1419" s="25" t="n">
        <f aca="false">IF(G1419="REJECT",COUNTIF($G$2:$G$2277,"&lt;&gt;REJECT")+1+COUNTIFS($G$2:$G$2277,"REJECT",$B$2:$B$2277,"&gt;"&amp;B1419),1+COUNTIFS($G$2:$G$2277,"&lt;&gt;REJECT",$B$2:$B$2277,"&gt;"&amp;B1419))</f>
        <v>1418</v>
      </c>
      <c r="B1419" s="26" t="n">
        <f aca="false">ROUND(($U$2*MAX(0,MIN(1,($W$2-I1419)/($W$2-$V$2)))+$U$3*MAX(0,MIN(1,($W$3-J1419)/($W$3-$V$3)))+$U$4*MAX(0,MIN(1,($W$4-K1419)/($W$4-$V$4)))+$U$5*MAX(0,MIN(1,($W$5-L1419)/($W$5-$V$5)))+$U$6*MAX(0,MIN(1,($W$6-M1419)/($W$6-$V$6)))+$U$7*MAX(0,MIN(1,($W$7-N1419)/($W$7-$V$7)))+$U$8*IF(AND(O1419&gt;=$V$8,O1419&lt;=$W$8),1,0))/$U$9*100,2)</f>
        <v>65.99</v>
      </c>
      <c r="C1419" s="27" t="s">
        <v>1761</v>
      </c>
      <c r="D1419" s="25" t="s">
        <v>3459</v>
      </c>
      <c r="E1419" s="25" t="s">
        <v>3447</v>
      </c>
      <c r="F1419" s="25" t="s">
        <v>3457</v>
      </c>
      <c r="G1419" s="38" t="s">
        <v>30</v>
      </c>
      <c r="H1419" s="33" t="s">
        <v>24</v>
      </c>
      <c r="I1419" s="25" t="n">
        <v>4</v>
      </c>
      <c r="J1419" s="25" t="n">
        <v>0</v>
      </c>
      <c r="K1419" s="25" t="n">
        <v>4</v>
      </c>
      <c r="L1419" s="29" t="n">
        <v>0.72</v>
      </c>
      <c r="M1419" s="30" t="n">
        <v>18.46</v>
      </c>
      <c r="N1419" s="29" t="n">
        <v>0.68</v>
      </c>
      <c r="O1419" s="25" t="n">
        <v>183</v>
      </c>
      <c r="P1419" s="30" t="n">
        <v>4.95</v>
      </c>
      <c r="Q1419" s="27" t="s">
        <v>3618</v>
      </c>
      <c r="R1419" s="27" t="s">
        <v>30</v>
      </c>
    </row>
    <row r="1420" customFormat="false" ht="15" hidden="false" customHeight="false" outlineLevel="0" collapsed="false">
      <c r="A1420" s="25" t="n">
        <f aca="false">IF(G1420="REJECT",COUNTIF($G$2:$G$2277,"&lt;&gt;REJECT")+1+COUNTIFS($G$2:$G$2277,"REJECT",$B$2:$B$2277,"&gt;"&amp;B1420),1+COUNTIFS($G$2:$G$2277,"&lt;&gt;REJECT",$B$2:$B$2277,"&gt;"&amp;B1420))</f>
        <v>1419</v>
      </c>
      <c r="B1420" s="26" t="n">
        <f aca="false">ROUND(($U$2*MAX(0,MIN(1,($W$2-I1420)/($W$2-$V$2)))+$U$3*MAX(0,MIN(1,($W$3-J1420)/($W$3-$V$3)))+$U$4*MAX(0,MIN(1,($W$4-K1420)/($W$4-$V$4)))+$U$5*MAX(0,MIN(1,($W$5-L1420)/($W$5-$V$5)))+$U$6*MAX(0,MIN(1,($W$6-M1420)/($W$6-$V$6)))+$U$7*MAX(0,MIN(1,($W$7-N1420)/($W$7-$V$7)))+$U$8*IF(AND(O1420&gt;=$V$8,O1420&lt;=$W$8),1,0))/$U$9*100,2)</f>
        <v>65.98</v>
      </c>
      <c r="C1420" s="27" t="s">
        <v>599</v>
      </c>
      <c r="D1420" s="25" t="s">
        <v>134</v>
      </c>
      <c r="E1420" s="25" t="s">
        <v>3447</v>
      </c>
      <c r="F1420" s="25" t="s">
        <v>3448</v>
      </c>
      <c r="G1420" s="38" t="s">
        <v>30</v>
      </c>
      <c r="H1420" s="28" t="s">
        <v>25</v>
      </c>
      <c r="I1420" s="25" t="n">
        <v>3</v>
      </c>
      <c r="J1420" s="25" t="n">
        <v>1</v>
      </c>
      <c r="K1420" s="25" t="n">
        <v>3</v>
      </c>
      <c r="L1420" s="29" t="n">
        <v>0.74</v>
      </c>
      <c r="M1420" s="30" t="n">
        <v>2.01</v>
      </c>
      <c r="N1420" s="29" t="n">
        <v>0.8</v>
      </c>
      <c r="O1420" s="25" t="n">
        <v>184</v>
      </c>
      <c r="P1420" s="30" t="n">
        <v>-1.08</v>
      </c>
      <c r="Q1420" s="27" t="s">
        <v>3649</v>
      </c>
      <c r="R1420" s="27" t="s">
        <v>1152</v>
      </c>
    </row>
    <row r="1421" customFormat="false" ht="15" hidden="false" customHeight="false" outlineLevel="0" collapsed="false">
      <c r="A1421" s="25" t="n">
        <f aca="false">IF(G1421="REJECT",COUNTIF($G$2:$G$2277,"&lt;&gt;REJECT")+1+COUNTIFS($G$2:$G$2277,"REJECT",$B$2:$B$2277,"&gt;"&amp;B1421),1+COUNTIFS($G$2:$G$2277,"&lt;&gt;REJECT",$B$2:$B$2277,"&gt;"&amp;B1421))</f>
        <v>1420</v>
      </c>
      <c r="B1421" s="26" t="n">
        <f aca="false">ROUND(($U$2*MAX(0,MIN(1,($W$2-I1421)/($W$2-$V$2)))+$U$3*MAX(0,MIN(1,($W$3-J1421)/($W$3-$V$3)))+$U$4*MAX(0,MIN(1,($W$4-K1421)/($W$4-$V$4)))+$U$5*MAX(0,MIN(1,($W$5-L1421)/($W$5-$V$5)))+$U$6*MAX(0,MIN(1,($W$6-M1421)/($W$6-$V$6)))+$U$7*MAX(0,MIN(1,($W$7-N1421)/($W$7-$V$7)))+$U$8*IF(AND(O1421&gt;=$V$8,O1421&lt;=$W$8),1,0))/$U$9*100,2)</f>
        <v>65.96</v>
      </c>
      <c r="C1421" s="27" t="s">
        <v>2061</v>
      </c>
      <c r="D1421" s="25" t="s">
        <v>3459</v>
      </c>
      <c r="E1421" s="25" t="s">
        <v>3447</v>
      </c>
      <c r="F1421" s="25" t="s">
        <v>3448</v>
      </c>
      <c r="G1421" s="38" t="s">
        <v>30</v>
      </c>
      <c r="H1421" s="28" t="s">
        <v>25</v>
      </c>
      <c r="I1421" s="25" t="n">
        <v>3</v>
      </c>
      <c r="J1421" s="25" t="n">
        <v>1</v>
      </c>
      <c r="K1421" s="25" t="n">
        <v>3</v>
      </c>
      <c r="L1421" s="29" t="n">
        <v>0.76</v>
      </c>
      <c r="M1421" s="30" t="n">
        <v>17.34</v>
      </c>
      <c r="N1421" s="29" t="n">
        <v>0</v>
      </c>
      <c r="O1421" s="25" t="n">
        <v>186</v>
      </c>
      <c r="P1421" s="30" t="n">
        <v>4.1</v>
      </c>
      <c r="Q1421" s="27" t="s">
        <v>3649</v>
      </c>
      <c r="R1421" s="27" t="s">
        <v>283</v>
      </c>
    </row>
    <row r="1422" customFormat="false" ht="15" hidden="false" customHeight="false" outlineLevel="0" collapsed="false">
      <c r="A1422" s="25" t="n">
        <f aca="false">IF(G1422="REJECT",COUNTIF($G$2:$G$2277,"&lt;&gt;REJECT")+1+COUNTIFS($G$2:$G$2277,"REJECT",$B$2:$B$2277,"&gt;"&amp;B1422),1+COUNTIFS($G$2:$G$2277,"&lt;&gt;REJECT",$B$2:$B$2277,"&gt;"&amp;B1422))</f>
        <v>1421</v>
      </c>
      <c r="B1422" s="26" t="n">
        <f aca="false">ROUND(($U$2*MAX(0,MIN(1,($W$2-I1422)/($W$2-$V$2)))+$U$3*MAX(0,MIN(1,($W$3-J1422)/($W$3-$V$3)))+$U$4*MAX(0,MIN(1,($W$4-K1422)/($W$4-$V$4)))+$U$5*MAX(0,MIN(1,($W$5-L1422)/($W$5-$V$5)))+$U$6*MAX(0,MIN(1,($W$6-M1422)/($W$6-$V$6)))+$U$7*MAX(0,MIN(1,($W$7-N1422)/($W$7-$V$7)))+$U$8*IF(AND(O1422&gt;=$V$8,O1422&lt;=$W$8),1,0))/$U$9*100,2)</f>
        <v>65.95</v>
      </c>
      <c r="C1422" s="27" t="s">
        <v>2810</v>
      </c>
      <c r="D1422" s="25" t="s">
        <v>3459</v>
      </c>
      <c r="E1422" s="25" t="s">
        <v>3450</v>
      </c>
      <c r="F1422" s="25" t="s">
        <v>3448</v>
      </c>
      <c r="G1422" s="38" t="s">
        <v>30</v>
      </c>
      <c r="H1422" s="28" t="s">
        <v>25</v>
      </c>
      <c r="I1422" s="25" t="n">
        <v>3</v>
      </c>
      <c r="J1422" s="25" t="n">
        <v>1</v>
      </c>
      <c r="K1422" s="25" t="n">
        <v>3</v>
      </c>
      <c r="L1422" s="29" t="n">
        <v>0.76</v>
      </c>
      <c r="M1422" s="30" t="n">
        <v>17.39</v>
      </c>
      <c r="N1422" s="29" t="n">
        <v>0</v>
      </c>
      <c r="O1422" s="25" t="n">
        <v>183</v>
      </c>
      <c r="P1422" s="30" t="n">
        <v>7.27</v>
      </c>
      <c r="Q1422" s="27" t="s">
        <v>3649</v>
      </c>
      <c r="R1422" s="27" t="s">
        <v>1099</v>
      </c>
    </row>
    <row r="1423" customFormat="false" ht="15" hidden="false" customHeight="false" outlineLevel="0" collapsed="false">
      <c r="A1423" s="25" t="n">
        <f aca="false">IF(G1423="REJECT",COUNTIF($G$2:$G$2277,"&lt;&gt;REJECT")+1+COUNTIFS($G$2:$G$2277,"REJECT",$B$2:$B$2277,"&gt;"&amp;B1423),1+COUNTIFS($G$2:$G$2277,"&lt;&gt;REJECT",$B$2:$B$2277,"&gt;"&amp;B1423))</f>
        <v>1422</v>
      </c>
      <c r="B1423" s="26" t="n">
        <f aca="false">ROUND(($U$2*MAX(0,MIN(1,($W$2-I1423)/($W$2-$V$2)))+$U$3*MAX(0,MIN(1,($W$3-J1423)/($W$3-$V$3)))+$U$4*MAX(0,MIN(1,($W$4-K1423)/($W$4-$V$4)))+$U$5*MAX(0,MIN(1,($W$5-L1423)/($W$5-$V$5)))+$U$6*MAX(0,MIN(1,($W$6-M1423)/($W$6-$V$6)))+$U$7*MAX(0,MIN(1,($W$7-N1423)/($W$7-$V$7)))+$U$8*IF(AND(O1423&gt;=$V$8,O1423&lt;=$W$8),1,0))/$U$9*100,2)</f>
        <v>65.92</v>
      </c>
      <c r="C1423" s="27" t="s">
        <v>2494</v>
      </c>
      <c r="D1423" s="25" t="s">
        <v>134</v>
      </c>
      <c r="E1423" s="25" t="s">
        <v>3447</v>
      </c>
      <c r="F1423" s="25" t="s">
        <v>3457</v>
      </c>
      <c r="G1423" s="38" t="s">
        <v>30</v>
      </c>
      <c r="H1423" s="28" t="s">
        <v>25</v>
      </c>
      <c r="I1423" s="25" t="n">
        <v>5</v>
      </c>
      <c r="J1423" s="25" t="n">
        <v>0</v>
      </c>
      <c r="K1423" s="25" t="n">
        <v>5</v>
      </c>
      <c r="L1423" s="29" t="n">
        <v>0.79</v>
      </c>
      <c r="M1423" s="30" t="n">
        <v>11.81</v>
      </c>
      <c r="N1423" s="29" t="n">
        <v>0.16</v>
      </c>
      <c r="O1423" s="25" t="n">
        <v>184</v>
      </c>
      <c r="P1423" s="30" t="n">
        <v>0.44</v>
      </c>
      <c r="Q1423" s="27" t="s">
        <v>3679</v>
      </c>
      <c r="R1423" s="27" t="s">
        <v>2133</v>
      </c>
    </row>
    <row r="1424" customFormat="false" ht="15" hidden="false" customHeight="false" outlineLevel="0" collapsed="false">
      <c r="A1424" s="25" t="n">
        <f aca="false">IF(G1424="REJECT",COUNTIF($G$2:$G$2277,"&lt;&gt;REJECT")+1+COUNTIFS($G$2:$G$2277,"REJECT",$B$2:$B$2277,"&gt;"&amp;B1424),1+COUNTIFS($G$2:$G$2277,"&lt;&gt;REJECT",$B$2:$B$2277,"&gt;"&amp;B1424))</f>
        <v>1423</v>
      </c>
      <c r="B1424" s="26" t="n">
        <f aca="false">ROUND(($U$2*MAX(0,MIN(1,($W$2-I1424)/($W$2-$V$2)))+$U$3*MAX(0,MIN(1,($W$3-J1424)/($W$3-$V$3)))+$U$4*MAX(0,MIN(1,($W$4-K1424)/($W$4-$V$4)))+$U$5*MAX(0,MIN(1,($W$5-L1424)/($W$5-$V$5)))+$U$6*MAX(0,MIN(1,($W$6-M1424)/($W$6-$V$6)))+$U$7*MAX(0,MIN(1,($W$7-N1424)/($W$7-$V$7)))+$U$8*IF(AND(O1424&gt;=$V$8,O1424&lt;=$W$8),1,0))/$U$9*100,2)</f>
        <v>65.91</v>
      </c>
      <c r="C1424" s="27" t="s">
        <v>1600</v>
      </c>
      <c r="D1424" s="25" t="s">
        <v>134</v>
      </c>
      <c r="E1424" s="25" t="s">
        <v>3447</v>
      </c>
      <c r="F1424" s="25" t="s">
        <v>3448</v>
      </c>
      <c r="G1424" s="38" t="s">
        <v>30</v>
      </c>
      <c r="H1424" s="28" t="s">
        <v>25</v>
      </c>
      <c r="I1424" s="25" t="n">
        <v>5</v>
      </c>
      <c r="J1424" s="25" t="n">
        <v>0</v>
      </c>
      <c r="K1424" s="25" t="n">
        <v>5</v>
      </c>
      <c r="L1424" s="29" t="n">
        <v>0.77</v>
      </c>
      <c r="M1424" s="30" t="n">
        <v>6.26</v>
      </c>
      <c r="N1424" s="29" t="n">
        <v>0</v>
      </c>
      <c r="O1424" s="25" t="n">
        <v>182</v>
      </c>
      <c r="P1424" s="30" t="n">
        <v>4.35</v>
      </c>
      <c r="Q1424" s="27" t="s">
        <v>3680</v>
      </c>
      <c r="R1424" s="27" t="s">
        <v>2610</v>
      </c>
    </row>
    <row r="1425" customFormat="false" ht="15" hidden="false" customHeight="false" outlineLevel="0" collapsed="false">
      <c r="A1425" s="25" t="n">
        <f aca="false">IF(G1425="REJECT",COUNTIF($G$2:$G$2277,"&lt;&gt;REJECT")+1+COUNTIFS($G$2:$G$2277,"REJECT",$B$2:$B$2277,"&gt;"&amp;B1425),1+COUNTIFS($G$2:$G$2277,"&lt;&gt;REJECT",$B$2:$B$2277,"&gt;"&amp;B1425))</f>
        <v>1424</v>
      </c>
      <c r="B1425" s="26" t="n">
        <f aca="false">ROUND(($U$2*MAX(0,MIN(1,($W$2-I1425)/($W$2-$V$2)))+$U$3*MAX(0,MIN(1,($W$3-J1425)/($W$3-$V$3)))+$U$4*MAX(0,MIN(1,($W$4-K1425)/($W$4-$V$4)))+$U$5*MAX(0,MIN(1,($W$5-L1425)/($W$5-$V$5)))+$U$6*MAX(0,MIN(1,($W$6-M1425)/($W$6-$V$6)))+$U$7*MAX(0,MIN(1,($W$7-N1425)/($W$7-$V$7)))+$U$8*IF(AND(O1425&gt;=$V$8,O1425&lt;=$W$8),1,0))/$U$9*100,2)</f>
        <v>65.9</v>
      </c>
      <c r="C1425" s="27" t="s">
        <v>539</v>
      </c>
      <c r="D1425" s="25" t="s">
        <v>134</v>
      </c>
      <c r="E1425" s="25" t="s">
        <v>3450</v>
      </c>
      <c r="F1425" s="25" t="s">
        <v>3457</v>
      </c>
      <c r="G1425" s="38" t="s">
        <v>30</v>
      </c>
      <c r="H1425" s="28" t="s">
        <v>25</v>
      </c>
      <c r="I1425" s="25" t="n">
        <v>2</v>
      </c>
      <c r="J1425" s="25" t="n">
        <v>1</v>
      </c>
      <c r="K1425" s="25" t="n">
        <v>2</v>
      </c>
      <c r="L1425" s="29" t="n">
        <v>0.66</v>
      </c>
      <c r="M1425" s="30" t="n">
        <v>17.19</v>
      </c>
      <c r="N1425" s="29" t="n">
        <v>0.2</v>
      </c>
      <c r="O1425" s="25" t="n">
        <v>185</v>
      </c>
      <c r="P1425" s="30" t="n">
        <v>21.8</v>
      </c>
      <c r="Q1425" s="27" t="s">
        <v>3566</v>
      </c>
      <c r="R1425" s="27" t="s">
        <v>283</v>
      </c>
    </row>
    <row r="1426" customFormat="false" ht="15" hidden="false" customHeight="false" outlineLevel="0" collapsed="false">
      <c r="A1426" s="25" t="n">
        <f aca="false">IF(G1426="REJECT",COUNTIF($G$2:$G$2277,"&lt;&gt;REJECT")+1+COUNTIFS($G$2:$G$2277,"REJECT",$B$2:$B$2277,"&gt;"&amp;B1426),1+COUNTIFS($G$2:$G$2277,"&lt;&gt;REJECT",$B$2:$B$2277,"&gt;"&amp;B1426))</f>
        <v>1424</v>
      </c>
      <c r="B1426" s="26" t="n">
        <f aca="false">ROUND(($U$2*MAX(0,MIN(1,($W$2-I1426)/($W$2-$V$2)))+$U$3*MAX(0,MIN(1,($W$3-J1426)/($W$3-$V$3)))+$U$4*MAX(0,MIN(1,($W$4-K1426)/($W$4-$V$4)))+$U$5*MAX(0,MIN(1,($W$5-L1426)/($W$5-$V$5)))+$U$6*MAX(0,MIN(1,($W$6-M1426)/($W$6-$V$6)))+$U$7*MAX(0,MIN(1,($W$7-N1426)/($W$7-$V$7)))+$U$8*IF(AND(O1426&gt;=$V$8,O1426&lt;=$W$8),1,0))/$U$9*100,2)</f>
        <v>65.9</v>
      </c>
      <c r="C1426" s="27" t="s">
        <v>2709</v>
      </c>
      <c r="D1426" s="25" t="s">
        <v>134</v>
      </c>
      <c r="E1426" s="25" t="s">
        <v>3450</v>
      </c>
      <c r="F1426" s="25" t="s">
        <v>3457</v>
      </c>
      <c r="G1426" s="38" t="s">
        <v>30</v>
      </c>
      <c r="H1426" s="28" t="s">
        <v>25</v>
      </c>
      <c r="I1426" s="25" t="n">
        <v>2</v>
      </c>
      <c r="J1426" s="25" t="n">
        <v>1</v>
      </c>
      <c r="K1426" s="25" t="n">
        <v>2</v>
      </c>
      <c r="L1426" s="29" t="n">
        <v>0.65</v>
      </c>
      <c r="M1426" s="30" t="n">
        <v>9.62</v>
      </c>
      <c r="N1426" s="29" t="n">
        <v>0.6</v>
      </c>
      <c r="O1426" s="25" t="n">
        <v>192</v>
      </c>
      <c r="P1426" s="30" t="n">
        <v>12.96</v>
      </c>
      <c r="Q1426" s="27" t="s">
        <v>3566</v>
      </c>
      <c r="R1426" s="27" t="s">
        <v>283</v>
      </c>
    </row>
    <row r="1427" customFormat="false" ht="15" hidden="false" customHeight="false" outlineLevel="0" collapsed="false">
      <c r="A1427" s="25" t="n">
        <f aca="false">IF(G1427="REJECT",COUNTIF($G$2:$G$2277,"&lt;&gt;REJECT")+1+COUNTIFS($G$2:$G$2277,"REJECT",$B$2:$B$2277,"&gt;"&amp;B1427),1+COUNTIFS($G$2:$G$2277,"&lt;&gt;REJECT",$B$2:$B$2277,"&gt;"&amp;B1427))</f>
        <v>1426</v>
      </c>
      <c r="B1427" s="26" t="n">
        <f aca="false">ROUND(($U$2*MAX(0,MIN(1,($W$2-I1427)/($W$2-$V$2)))+$U$3*MAX(0,MIN(1,($W$3-J1427)/($W$3-$V$3)))+$U$4*MAX(0,MIN(1,($W$4-K1427)/($W$4-$V$4)))+$U$5*MAX(0,MIN(1,($W$5-L1427)/($W$5-$V$5)))+$U$6*MAX(0,MIN(1,($W$6-M1427)/($W$6-$V$6)))+$U$7*MAX(0,MIN(1,($W$7-N1427)/($W$7-$V$7)))+$U$8*IF(AND(O1427&gt;=$V$8,O1427&lt;=$W$8),1,0))/$U$9*100,2)</f>
        <v>65.87</v>
      </c>
      <c r="C1427" s="27" t="s">
        <v>539</v>
      </c>
      <c r="D1427" s="25" t="s">
        <v>134</v>
      </c>
      <c r="E1427" s="25" t="s">
        <v>3447</v>
      </c>
      <c r="F1427" s="25" t="s">
        <v>3457</v>
      </c>
      <c r="G1427" s="38" t="s">
        <v>30</v>
      </c>
      <c r="H1427" s="28" t="s">
        <v>25</v>
      </c>
      <c r="I1427" s="25" t="n">
        <v>2</v>
      </c>
      <c r="J1427" s="25" t="n">
        <v>1</v>
      </c>
      <c r="K1427" s="25" t="n">
        <v>2</v>
      </c>
      <c r="L1427" s="29" t="n">
        <v>0.67</v>
      </c>
      <c r="M1427" s="30" t="n">
        <v>16.6</v>
      </c>
      <c r="N1427" s="29" t="n">
        <v>0.64</v>
      </c>
      <c r="O1427" s="25" t="n">
        <v>185</v>
      </c>
      <c r="P1427" s="30" t="n">
        <v>9.58</v>
      </c>
      <c r="Q1427" s="27" t="s">
        <v>3566</v>
      </c>
      <c r="R1427" s="27" t="s">
        <v>283</v>
      </c>
    </row>
    <row r="1428" customFormat="false" ht="15" hidden="false" customHeight="false" outlineLevel="0" collapsed="false">
      <c r="A1428" s="25" t="n">
        <f aca="false">IF(G1428="REJECT",COUNTIF($G$2:$G$2277,"&lt;&gt;REJECT")+1+COUNTIFS($G$2:$G$2277,"REJECT",$B$2:$B$2277,"&gt;"&amp;B1428),1+COUNTIFS($G$2:$G$2277,"&lt;&gt;REJECT",$B$2:$B$2277,"&gt;"&amp;B1428))</f>
        <v>1427</v>
      </c>
      <c r="B1428" s="26" t="n">
        <f aca="false">ROUND(($U$2*MAX(0,MIN(1,($W$2-I1428)/($W$2-$V$2)))+$U$3*MAX(0,MIN(1,($W$3-J1428)/($W$3-$V$3)))+$U$4*MAX(0,MIN(1,($W$4-K1428)/($W$4-$V$4)))+$U$5*MAX(0,MIN(1,($W$5-L1428)/($W$5-$V$5)))+$U$6*MAX(0,MIN(1,($W$6-M1428)/($W$6-$V$6)))+$U$7*MAX(0,MIN(1,($W$7-N1428)/($W$7-$V$7)))+$U$8*IF(AND(O1428&gt;=$V$8,O1428&lt;=$W$8),1,0))/$U$9*100,2)</f>
        <v>65.86</v>
      </c>
      <c r="C1428" s="27" t="s">
        <v>2039</v>
      </c>
      <c r="D1428" s="25" t="s">
        <v>3459</v>
      </c>
      <c r="E1428" s="25" t="s">
        <v>3447</v>
      </c>
      <c r="F1428" s="25" t="s">
        <v>3457</v>
      </c>
      <c r="G1428" s="38" t="s">
        <v>30</v>
      </c>
      <c r="H1428" s="28" t="s">
        <v>25</v>
      </c>
      <c r="I1428" s="25" t="n">
        <v>4</v>
      </c>
      <c r="J1428" s="25" t="n">
        <v>0</v>
      </c>
      <c r="K1428" s="25" t="n">
        <v>4</v>
      </c>
      <c r="L1428" s="29" t="n">
        <v>0.72</v>
      </c>
      <c r="M1428" s="30" t="n">
        <v>20.84</v>
      </c>
      <c r="N1428" s="29" t="n">
        <v>0.52</v>
      </c>
      <c r="O1428" s="25" t="n">
        <v>185</v>
      </c>
      <c r="P1428" s="30" t="n">
        <v>0.91</v>
      </c>
      <c r="Q1428" s="27" t="s">
        <v>3624</v>
      </c>
      <c r="R1428" s="27" t="s">
        <v>144</v>
      </c>
    </row>
    <row r="1429" customFormat="false" ht="15" hidden="false" customHeight="false" outlineLevel="0" collapsed="false">
      <c r="A1429" s="25" t="n">
        <f aca="false">IF(G1429="REJECT",COUNTIF($G$2:$G$2277,"&lt;&gt;REJECT")+1+COUNTIFS($G$2:$G$2277,"REJECT",$B$2:$B$2277,"&gt;"&amp;B1429),1+COUNTIFS($G$2:$G$2277,"&lt;&gt;REJECT",$B$2:$B$2277,"&gt;"&amp;B1429))</f>
        <v>1427</v>
      </c>
      <c r="B1429" s="26" t="n">
        <f aca="false">ROUND(($U$2*MAX(0,MIN(1,($W$2-I1429)/($W$2-$V$2)))+$U$3*MAX(0,MIN(1,($W$3-J1429)/($W$3-$V$3)))+$U$4*MAX(0,MIN(1,($W$4-K1429)/($W$4-$V$4)))+$U$5*MAX(0,MIN(1,($W$5-L1429)/($W$5-$V$5)))+$U$6*MAX(0,MIN(1,($W$6-M1429)/($W$6-$V$6)))+$U$7*MAX(0,MIN(1,($W$7-N1429)/($W$7-$V$7)))+$U$8*IF(AND(O1429&gt;=$V$8,O1429&lt;=$W$8),1,0))/$U$9*100,2)</f>
        <v>65.86</v>
      </c>
      <c r="C1429" s="27" t="s">
        <v>2227</v>
      </c>
      <c r="D1429" s="25" t="s">
        <v>134</v>
      </c>
      <c r="E1429" s="25" t="s">
        <v>3447</v>
      </c>
      <c r="F1429" s="25" t="s">
        <v>3448</v>
      </c>
      <c r="G1429" s="38" t="s">
        <v>30</v>
      </c>
      <c r="H1429" s="28" t="s">
        <v>25</v>
      </c>
      <c r="I1429" s="25" t="n">
        <v>3</v>
      </c>
      <c r="J1429" s="25" t="n">
        <v>1</v>
      </c>
      <c r="K1429" s="25" t="n">
        <v>3</v>
      </c>
      <c r="L1429" s="29" t="n">
        <v>0.74</v>
      </c>
      <c r="M1429" s="30" t="n">
        <v>3.94</v>
      </c>
      <c r="N1429" s="29" t="n">
        <v>0.68</v>
      </c>
      <c r="O1429" s="25" t="n">
        <v>186</v>
      </c>
      <c r="P1429" s="30" t="n">
        <v>1.5</v>
      </c>
      <c r="Q1429" s="27" t="s">
        <v>3649</v>
      </c>
      <c r="R1429" s="27" t="s">
        <v>1099</v>
      </c>
    </row>
    <row r="1430" customFormat="false" ht="15" hidden="false" customHeight="false" outlineLevel="0" collapsed="false">
      <c r="A1430" s="25" t="n">
        <f aca="false">IF(G1430="REJECT",COUNTIF($G$2:$G$2277,"&lt;&gt;REJECT")+1+COUNTIFS($G$2:$G$2277,"REJECT",$B$2:$B$2277,"&gt;"&amp;B1430),1+COUNTIFS($G$2:$G$2277,"&lt;&gt;REJECT",$B$2:$B$2277,"&gt;"&amp;B1430))</f>
        <v>1429</v>
      </c>
      <c r="B1430" s="26" t="n">
        <f aca="false">ROUND(($U$2*MAX(0,MIN(1,($W$2-I1430)/($W$2-$V$2)))+$U$3*MAX(0,MIN(1,($W$3-J1430)/($W$3-$V$3)))+$U$4*MAX(0,MIN(1,($W$4-K1430)/($W$4-$V$4)))+$U$5*MAX(0,MIN(1,($W$5-L1430)/($W$5-$V$5)))+$U$6*MAX(0,MIN(1,($W$6-M1430)/($W$6-$V$6)))+$U$7*MAX(0,MIN(1,($W$7-N1430)/($W$7-$V$7)))+$U$8*IF(AND(O1430&gt;=$V$8,O1430&lt;=$W$8),1,0))/$U$9*100,2)</f>
        <v>65.77</v>
      </c>
      <c r="C1430" s="27" t="s">
        <v>259</v>
      </c>
      <c r="D1430" s="25" t="s">
        <v>134</v>
      </c>
      <c r="E1430" s="25" t="s">
        <v>3450</v>
      </c>
      <c r="F1430" s="25" t="s">
        <v>3457</v>
      </c>
      <c r="G1430" s="38" t="s">
        <v>30</v>
      </c>
      <c r="H1430" s="28" t="s">
        <v>25</v>
      </c>
      <c r="I1430" s="25" t="n">
        <v>2</v>
      </c>
      <c r="J1430" s="25" t="n">
        <v>1</v>
      </c>
      <c r="K1430" s="25" t="n">
        <v>2</v>
      </c>
      <c r="L1430" s="29" t="n">
        <v>0.71</v>
      </c>
      <c r="M1430" s="30" t="n">
        <v>34.32</v>
      </c>
      <c r="N1430" s="29" t="n">
        <v>0.8</v>
      </c>
      <c r="O1430" s="25" t="n">
        <v>191</v>
      </c>
      <c r="P1430" s="30" t="n">
        <v>9.17</v>
      </c>
      <c r="Q1430" s="27" t="s">
        <v>3575</v>
      </c>
      <c r="R1430" s="27" t="s">
        <v>1140</v>
      </c>
    </row>
    <row r="1431" customFormat="false" ht="15" hidden="false" customHeight="false" outlineLevel="0" collapsed="false">
      <c r="A1431" s="25" t="n">
        <f aca="false">IF(G1431="REJECT",COUNTIF($G$2:$G$2277,"&lt;&gt;REJECT")+1+COUNTIFS($G$2:$G$2277,"REJECT",$B$2:$B$2277,"&gt;"&amp;B1431),1+COUNTIFS($G$2:$G$2277,"&lt;&gt;REJECT",$B$2:$B$2277,"&gt;"&amp;B1431))</f>
        <v>1430</v>
      </c>
      <c r="B1431" s="26" t="n">
        <f aca="false">ROUND(($U$2*MAX(0,MIN(1,($W$2-I1431)/($W$2-$V$2)))+$U$3*MAX(0,MIN(1,($W$3-J1431)/($W$3-$V$3)))+$U$4*MAX(0,MIN(1,($W$4-K1431)/($W$4-$V$4)))+$U$5*MAX(0,MIN(1,($W$5-L1431)/($W$5-$V$5)))+$U$6*MAX(0,MIN(1,($W$6-M1431)/($W$6-$V$6)))+$U$7*MAX(0,MIN(1,($W$7-N1431)/($W$7-$V$7)))+$U$8*IF(AND(O1431&gt;=$V$8,O1431&lt;=$W$8),1,0))/$U$9*100,2)</f>
        <v>65.76</v>
      </c>
      <c r="C1431" s="27" t="s">
        <v>2027</v>
      </c>
      <c r="D1431" s="25" t="s">
        <v>134</v>
      </c>
      <c r="E1431" s="25" t="s">
        <v>3447</v>
      </c>
      <c r="F1431" s="25" t="s">
        <v>3448</v>
      </c>
      <c r="G1431" s="38" t="s">
        <v>30</v>
      </c>
      <c r="H1431" s="28" t="s">
        <v>25</v>
      </c>
      <c r="I1431" s="25" t="n">
        <v>5</v>
      </c>
      <c r="J1431" s="25" t="n">
        <v>0</v>
      </c>
      <c r="K1431" s="25" t="n">
        <v>5</v>
      </c>
      <c r="L1431" s="29" t="n">
        <v>0.86</v>
      </c>
      <c r="M1431" s="30" t="n">
        <v>11.92</v>
      </c>
      <c r="N1431" s="29" t="n">
        <v>0.6</v>
      </c>
      <c r="O1431" s="25" t="n">
        <v>186</v>
      </c>
      <c r="P1431" s="30" t="n">
        <v>-1.6</v>
      </c>
      <c r="Q1431" s="27" t="s">
        <v>3681</v>
      </c>
      <c r="R1431" s="27" t="s">
        <v>2610</v>
      </c>
    </row>
    <row r="1432" customFormat="false" ht="15" hidden="false" customHeight="false" outlineLevel="0" collapsed="false">
      <c r="A1432" s="25" t="n">
        <f aca="false">IF(G1432="REJECT",COUNTIF($G$2:$G$2277,"&lt;&gt;REJECT")+1+COUNTIFS($G$2:$G$2277,"REJECT",$B$2:$B$2277,"&gt;"&amp;B1432),1+COUNTIFS($G$2:$G$2277,"&lt;&gt;REJECT",$B$2:$B$2277,"&gt;"&amp;B1432))</f>
        <v>1431</v>
      </c>
      <c r="B1432" s="26" t="n">
        <f aca="false">ROUND(($U$2*MAX(0,MIN(1,($W$2-I1432)/($W$2-$V$2)))+$U$3*MAX(0,MIN(1,($W$3-J1432)/($W$3-$V$3)))+$U$4*MAX(0,MIN(1,($W$4-K1432)/($W$4-$V$4)))+$U$5*MAX(0,MIN(1,($W$5-L1432)/($W$5-$V$5)))+$U$6*MAX(0,MIN(1,($W$6-M1432)/($W$6-$V$6)))+$U$7*MAX(0,MIN(1,($W$7-N1432)/($W$7-$V$7)))+$U$8*IF(AND(O1432&gt;=$V$8,O1432&lt;=$W$8),1,0))/$U$9*100,2)</f>
        <v>65.75</v>
      </c>
      <c r="C1432" s="27" t="s">
        <v>3285</v>
      </c>
      <c r="D1432" s="25" t="s">
        <v>134</v>
      </c>
      <c r="E1432" s="25" t="s">
        <v>3450</v>
      </c>
      <c r="F1432" s="25" t="s">
        <v>3448</v>
      </c>
      <c r="G1432" s="38" t="s">
        <v>30</v>
      </c>
      <c r="H1432" s="28" t="s">
        <v>25</v>
      </c>
      <c r="I1432" s="25" t="n">
        <v>3</v>
      </c>
      <c r="J1432" s="25" t="n">
        <v>1</v>
      </c>
      <c r="K1432" s="25" t="n">
        <v>3</v>
      </c>
      <c r="L1432" s="29" t="n">
        <v>0.76</v>
      </c>
      <c r="M1432" s="30" t="n">
        <v>9.01</v>
      </c>
      <c r="N1432" s="29" t="n">
        <v>0.96</v>
      </c>
      <c r="O1432" s="25" t="n">
        <v>184</v>
      </c>
      <c r="P1432" s="30" t="n">
        <v>5.94</v>
      </c>
      <c r="Q1432" s="27" t="s">
        <v>3649</v>
      </c>
      <c r="R1432" s="27" t="s">
        <v>283</v>
      </c>
    </row>
    <row r="1433" customFormat="false" ht="15" hidden="false" customHeight="false" outlineLevel="0" collapsed="false">
      <c r="A1433" s="25" t="n">
        <f aca="false">IF(G1433="REJECT",COUNTIF($G$2:$G$2277,"&lt;&gt;REJECT")+1+COUNTIFS($G$2:$G$2277,"REJECT",$B$2:$B$2277,"&gt;"&amp;B1433),1+COUNTIFS($G$2:$G$2277,"&lt;&gt;REJECT",$B$2:$B$2277,"&gt;"&amp;B1433))</f>
        <v>1432</v>
      </c>
      <c r="B1433" s="26" t="n">
        <f aca="false">ROUND(($U$2*MAX(0,MIN(1,($W$2-I1433)/($W$2-$V$2)))+$U$3*MAX(0,MIN(1,($W$3-J1433)/($W$3-$V$3)))+$U$4*MAX(0,MIN(1,($W$4-K1433)/($W$4-$V$4)))+$U$5*MAX(0,MIN(1,($W$5-L1433)/($W$5-$V$5)))+$U$6*MAX(0,MIN(1,($W$6-M1433)/($W$6-$V$6)))+$U$7*MAX(0,MIN(1,($W$7-N1433)/($W$7-$V$7)))+$U$8*IF(AND(O1433&gt;=$V$8,O1433&lt;=$W$8),1,0))/$U$9*100,2)</f>
        <v>65.74</v>
      </c>
      <c r="C1433" s="27" t="s">
        <v>1314</v>
      </c>
      <c r="D1433" s="25" t="s">
        <v>3459</v>
      </c>
      <c r="E1433" s="25" t="s">
        <v>3450</v>
      </c>
      <c r="F1433" s="25" t="s">
        <v>3448</v>
      </c>
      <c r="G1433" s="38" t="s">
        <v>30</v>
      </c>
      <c r="H1433" s="28" t="s">
        <v>25</v>
      </c>
      <c r="I1433" s="25" t="n">
        <v>1</v>
      </c>
      <c r="J1433" s="25" t="n">
        <v>1</v>
      </c>
      <c r="K1433" s="25" t="n">
        <v>1</v>
      </c>
      <c r="L1433" s="29" t="n">
        <v>0.57</v>
      </c>
      <c r="M1433" s="30" t="n">
        <v>18.04</v>
      </c>
      <c r="N1433" s="29" t="n">
        <v>0.72</v>
      </c>
      <c r="O1433" s="25" t="n">
        <v>185</v>
      </c>
      <c r="P1433" s="30" t="n">
        <v>7.04</v>
      </c>
      <c r="Q1433" s="27" t="s">
        <v>69</v>
      </c>
      <c r="R1433" s="27" t="s">
        <v>1099</v>
      </c>
    </row>
    <row r="1434" customFormat="false" ht="15" hidden="false" customHeight="false" outlineLevel="0" collapsed="false">
      <c r="A1434" s="25" t="n">
        <f aca="false">IF(G1434="REJECT",COUNTIF($G$2:$G$2277,"&lt;&gt;REJECT")+1+COUNTIFS($G$2:$G$2277,"REJECT",$B$2:$B$2277,"&gt;"&amp;B1434),1+COUNTIFS($G$2:$G$2277,"&lt;&gt;REJECT",$B$2:$B$2277,"&gt;"&amp;B1434))</f>
        <v>1432</v>
      </c>
      <c r="B1434" s="26" t="n">
        <f aca="false">ROUND(($U$2*MAX(0,MIN(1,($W$2-I1434)/($W$2-$V$2)))+$U$3*MAX(0,MIN(1,($W$3-J1434)/($W$3-$V$3)))+$U$4*MAX(0,MIN(1,($W$4-K1434)/($W$4-$V$4)))+$U$5*MAX(0,MIN(1,($W$5-L1434)/($W$5-$V$5)))+$U$6*MAX(0,MIN(1,($W$6-M1434)/($W$6-$V$6)))+$U$7*MAX(0,MIN(1,($W$7-N1434)/($W$7-$V$7)))+$U$8*IF(AND(O1434&gt;=$V$8,O1434&lt;=$W$8),1,0))/$U$9*100,2)</f>
        <v>65.74</v>
      </c>
      <c r="C1434" s="27" t="s">
        <v>1726</v>
      </c>
      <c r="D1434" s="25" t="s">
        <v>3459</v>
      </c>
      <c r="E1434" s="25" t="s">
        <v>3450</v>
      </c>
      <c r="F1434" s="25" t="s">
        <v>3457</v>
      </c>
      <c r="G1434" s="38" t="s">
        <v>30</v>
      </c>
      <c r="H1434" s="28" t="s">
        <v>25</v>
      </c>
      <c r="I1434" s="25" t="n">
        <v>2</v>
      </c>
      <c r="J1434" s="25" t="n">
        <v>1</v>
      </c>
      <c r="K1434" s="25" t="n">
        <v>2</v>
      </c>
      <c r="L1434" s="29" t="n">
        <v>0.67</v>
      </c>
      <c r="M1434" s="30" t="n">
        <v>23.79</v>
      </c>
      <c r="N1434" s="29" t="n">
        <v>0</v>
      </c>
      <c r="O1434" s="25" t="n">
        <v>183</v>
      </c>
      <c r="P1434" s="30" t="n">
        <v>5.15</v>
      </c>
      <c r="Q1434" s="27" t="s">
        <v>3646</v>
      </c>
      <c r="R1434" s="27" t="s">
        <v>183</v>
      </c>
    </row>
    <row r="1435" customFormat="false" ht="15" hidden="false" customHeight="false" outlineLevel="0" collapsed="false">
      <c r="A1435" s="25" t="n">
        <f aca="false">IF(G1435="REJECT",COUNTIF($G$2:$G$2277,"&lt;&gt;REJECT")+1+COUNTIFS($G$2:$G$2277,"REJECT",$B$2:$B$2277,"&gt;"&amp;B1435),1+COUNTIFS($G$2:$G$2277,"&lt;&gt;REJECT",$B$2:$B$2277,"&gt;"&amp;B1435))</f>
        <v>1434</v>
      </c>
      <c r="B1435" s="26" t="n">
        <f aca="false">ROUND(($U$2*MAX(0,MIN(1,($W$2-I1435)/($W$2-$V$2)))+$U$3*MAX(0,MIN(1,($W$3-J1435)/($W$3-$V$3)))+$U$4*MAX(0,MIN(1,($W$4-K1435)/($W$4-$V$4)))+$U$5*MAX(0,MIN(1,($W$5-L1435)/($W$5-$V$5)))+$U$6*MAX(0,MIN(1,($W$6-M1435)/($W$6-$V$6)))+$U$7*MAX(0,MIN(1,($W$7-N1435)/($W$7-$V$7)))+$U$8*IF(AND(O1435&gt;=$V$8,O1435&lt;=$W$8),1,0))/$U$9*100,2)</f>
        <v>65.73</v>
      </c>
      <c r="C1435" s="27" t="s">
        <v>1006</v>
      </c>
      <c r="D1435" s="25" t="s">
        <v>134</v>
      </c>
      <c r="E1435" s="25" t="s">
        <v>3447</v>
      </c>
      <c r="F1435" s="25" t="s">
        <v>3448</v>
      </c>
      <c r="G1435" s="38" t="s">
        <v>30</v>
      </c>
      <c r="H1435" s="28" t="s">
        <v>25</v>
      </c>
      <c r="I1435" s="25" t="n">
        <v>4</v>
      </c>
      <c r="J1435" s="25" t="n">
        <v>0</v>
      </c>
      <c r="K1435" s="25" t="n">
        <v>4</v>
      </c>
      <c r="L1435" s="29" t="n">
        <v>0.69</v>
      </c>
      <c r="M1435" s="30" t="n">
        <v>14.82</v>
      </c>
      <c r="N1435" s="29" t="n">
        <v>0.12</v>
      </c>
      <c r="O1435" s="25" t="n">
        <v>184</v>
      </c>
      <c r="P1435" s="30" t="n">
        <v>-0.22</v>
      </c>
      <c r="Q1435" s="27" t="s">
        <v>3682</v>
      </c>
      <c r="R1435" s="27" t="s">
        <v>2610</v>
      </c>
    </row>
    <row r="1436" customFormat="false" ht="15" hidden="false" customHeight="false" outlineLevel="0" collapsed="false">
      <c r="A1436" s="25" t="n">
        <f aca="false">IF(G1436="REJECT",COUNTIF($G$2:$G$2277,"&lt;&gt;REJECT")+1+COUNTIFS($G$2:$G$2277,"REJECT",$B$2:$B$2277,"&gt;"&amp;B1436),1+COUNTIFS($G$2:$G$2277,"&lt;&gt;REJECT",$B$2:$B$2277,"&gt;"&amp;B1436))</f>
        <v>1435</v>
      </c>
      <c r="B1436" s="26" t="n">
        <f aca="false">ROUND(($U$2*MAX(0,MIN(1,($W$2-I1436)/($W$2-$V$2)))+$U$3*MAX(0,MIN(1,($W$3-J1436)/($W$3-$V$3)))+$U$4*MAX(0,MIN(1,($W$4-K1436)/($W$4-$V$4)))+$U$5*MAX(0,MIN(1,($W$5-L1436)/($W$5-$V$5)))+$U$6*MAX(0,MIN(1,($W$6-M1436)/($W$6-$V$6)))+$U$7*MAX(0,MIN(1,($W$7-N1436)/($W$7-$V$7)))+$U$8*IF(AND(O1436&gt;=$V$8,O1436&lt;=$W$8),1,0))/$U$9*100,2)</f>
        <v>65.69</v>
      </c>
      <c r="C1436" s="27" t="s">
        <v>513</v>
      </c>
      <c r="D1436" s="25" t="s">
        <v>134</v>
      </c>
      <c r="E1436" s="25" t="s">
        <v>3447</v>
      </c>
      <c r="F1436" s="25" t="s">
        <v>3448</v>
      </c>
      <c r="G1436" s="38" t="s">
        <v>30</v>
      </c>
      <c r="H1436" s="28" t="s">
        <v>25</v>
      </c>
      <c r="I1436" s="25" t="n">
        <v>3</v>
      </c>
      <c r="J1436" s="25" t="n">
        <v>1</v>
      </c>
      <c r="K1436" s="25" t="n">
        <v>3</v>
      </c>
      <c r="L1436" s="29" t="n">
        <v>0.73</v>
      </c>
      <c r="M1436" s="30" t="n">
        <v>8.14</v>
      </c>
      <c r="N1436" s="29" t="n">
        <v>0</v>
      </c>
      <c r="O1436" s="25" t="n">
        <v>185</v>
      </c>
      <c r="P1436" s="30" t="n">
        <v>4.22</v>
      </c>
      <c r="Q1436" s="27" t="s">
        <v>3649</v>
      </c>
      <c r="R1436" s="27" t="s">
        <v>283</v>
      </c>
    </row>
    <row r="1437" customFormat="false" ht="15" hidden="false" customHeight="false" outlineLevel="0" collapsed="false">
      <c r="A1437" s="25" t="n">
        <f aca="false">IF(G1437="REJECT",COUNTIF($G$2:$G$2277,"&lt;&gt;REJECT")+1+COUNTIFS($G$2:$G$2277,"REJECT",$B$2:$B$2277,"&gt;"&amp;B1437),1+COUNTIFS($G$2:$G$2277,"&lt;&gt;REJECT",$B$2:$B$2277,"&gt;"&amp;B1437))</f>
        <v>1436</v>
      </c>
      <c r="B1437" s="26" t="n">
        <f aca="false">ROUND(($U$2*MAX(0,MIN(1,($W$2-I1437)/($W$2-$V$2)))+$U$3*MAX(0,MIN(1,($W$3-J1437)/($W$3-$V$3)))+$U$4*MAX(0,MIN(1,($W$4-K1437)/($W$4-$V$4)))+$U$5*MAX(0,MIN(1,($W$5-L1437)/($W$5-$V$5)))+$U$6*MAX(0,MIN(1,($W$6-M1437)/($W$6-$V$6)))+$U$7*MAX(0,MIN(1,($W$7-N1437)/($W$7-$V$7)))+$U$8*IF(AND(O1437&gt;=$V$8,O1437&lt;=$W$8),1,0))/$U$9*100,2)</f>
        <v>65.63</v>
      </c>
      <c r="C1437" s="27" t="s">
        <v>3051</v>
      </c>
      <c r="D1437" s="25" t="s">
        <v>3459</v>
      </c>
      <c r="E1437" s="25" t="s">
        <v>3447</v>
      </c>
      <c r="F1437" s="25" t="s">
        <v>3448</v>
      </c>
      <c r="G1437" s="38" t="s">
        <v>30</v>
      </c>
      <c r="H1437" s="28" t="s">
        <v>25</v>
      </c>
      <c r="I1437" s="25" t="n">
        <v>5</v>
      </c>
      <c r="J1437" s="25" t="n">
        <v>0</v>
      </c>
      <c r="K1437" s="25" t="n">
        <v>5</v>
      </c>
      <c r="L1437" s="29" t="n">
        <v>0.81</v>
      </c>
      <c r="M1437" s="30" t="n">
        <v>13.94</v>
      </c>
      <c r="N1437" s="29" t="n">
        <v>0.48</v>
      </c>
      <c r="O1437" s="25" t="n">
        <v>182</v>
      </c>
      <c r="P1437" s="30" t="n">
        <v>-1.21</v>
      </c>
      <c r="Q1437" s="27" t="s">
        <v>3683</v>
      </c>
      <c r="R1437" s="27" t="s">
        <v>2610</v>
      </c>
    </row>
    <row r="1438" customFormat="false" ht="15" hidden="false" customHeight="false" outlineLevel="0" collapsed="false">
      <c r="A1438" s="25" t="n">
        <f aca="false">IF(G1438="REJECT",COUNTIF($G$2:$G$2277,"&lt;&gt;REJECT")+1+COUNTIFS($G$2:$G$2277,"REJECT",$B$2:$B$2277,"&gt;"&amp;B1438),1+COUNTIFS($G$2:$G$2277,"&lt;&gt;REJECT",$B$2:$B$2277,"&gt;"&amp;B1438))</f>
        <v>1437</v>
      </c>
      <c r="B1438" s="26" t="n">
        <f aca="false">ROUND(($U$2*MAX(0,MIN(1,($W$2-I1438)/($W$2-$V$2)))+$U$3*MAX(0,MIN(1,($W$3-J1438)/($W$3-$V$3)))+$U$4*MAX(0,MIN(1,($W$4-K1438)/($W$4-$V$4)))+$U$5*MAX(0,MIN(1,($W$5-L1438)/($W$5-$V$5)))+$U$6*MAX(0,MIN(1,($W$6-M1438)/($W$6-$V$6)))+$U$7*MAX(0,MIN(1,($W$7-N1438)/($W$7-$V$7)))+$U$8*IF(AND(O1438&gt;=$V$8,O1438&lt;=$W$8),1,0))/$U$9*100,2)</f>
        <v>65.61</v>
      </c>
      <c r="C1438" s="27" t="s">
        <v>785</v>
      </c>
      <c r="D1438" s="25" t="s">
        <v>3459</v>
      </c>
      <c r="E1438" s="25" t="s">
        <v>3447</v>
      </c>
      <c r="F1438" s="25" t="s">
        <v>3448</v>
      </c>
      <c r="G1438" s="38" t="s">
        <v>30</v>
      </c>
      <c r="H1438" s="33" t="s">
        <v>24</v>
      </c>
      <c r="I1438" s="25" t="n">
        <v>4</v>
      </c>
      <c r="J1438" s="25" t="n">
        <v>0</v>
      </c>
      <c r="K1438" s="25" t="n">
        <v>4</v>
      </c>
      <c r="L1438" s="29" t="n">
        <v>0.69</v>
      </c>
      <c r="M1438" s="30" t="n">
        <v>13.56</v>
      </c>
      <c r="N1438" s="29" t="n">
        <v>0.32</v>
      </c>
      <c r="O1438" s="25" t="n">
        <v>184</v>
      </c>
      <c r="P1438" s="30" t="n">
        <v>2.27</v>
      </c>
      <c r="Q1438" s="27" t="s">
        <v>3684</v>
      </c>
      <c r="R1438" s="27" t="s">
        <v>30</v>
      </c>
    </row>
    <row r="1439" customFormat="false" ht="15" hidden="false" customHeight="false" outlineLevel="0" collapsed="false">
      <c r="A1439" s="25" t="n">
        <f aca="false">IF(G1439="REJECT",COUNTIF($G$2:$G$2277,"&lt;&gt;REJECT")+1+COUNTIFS($G$2:$G$2277,"REJECT",$B$2:$B$2277,"&gt;"&amp;B1439),1+COUNTIFS($G$2:$G$2277,"&lt;&gt;REJECT",$B$2:$B$2277,"&gt;"&amp;B1439))</f>
        <v>1438</v>
      </c>
      <c r="B1439" s="26" t="n">
        <f aca="false">ROUND(($U$2*MAX(0,MIN(1,($W$2-I1439)/($W$2-$V$2)))+$U$3*MAX(0,MIN(1,($W$3-J1439)/($W$3-$V$3)))+$U$4*MAX(0,MIN(1,($W$4-K1439)/($W$4-$V$4)))+$U$5*MAX(0,MIN(1,($W$5-L1439)/($W$5-$V$5)))+$U$6*MAX(0,MIN(1,($W$6-M1439)/($W$6-$V$6)))+$U$7*MAX(0,MIN(1,($W$7-N1439)/($W$7-$V$7)))+$U$8*IF(AND(O1439&gt;=$V$8,O1439&lt;=$W$8),1,0))/$U$9*100,2)</f>
        <v>65.57</v>
      </c>
      <c r="C1439" s="27" t="s">
        <v>1185</v>
      </c>
      <c r="D1439" s="25" t="s">
        <v>134</v>
      </c>
      <c r="E1439" s="25" t="s">
        <v>3447</v>
      </c>
      <c r="F1439" s="25" t="s">
        <v>3448</v>
      </c>
      <c r="G1439" s="38" t="s">
        <v>30</v>
      </c>
      <c r="H1439" s="28" t="s">
        <v>25</v>
      </c>
      <c r="I1439" s="25" t="n">
        <v>3</v>
      </c>
      <c r="J1439" s="25" t="n">
        <v>1</v>
      </c>
      <c r="K1439" s="25" t="n">
        <v>3</v>
      </c>
      <c r="L1439" s="29" t="n">
        <v>0.74</v>
      </c>
      <c r="M1439" s="30" t="n">
        <v>3.26</v>
      </c>
      <c r="N1439" s="29" t="n">
        <v>0.92</v>
      </c>
      <c r="O1439" s="25" t="n">
        <v>183</v>
      </c>
      <c r="P1439" s="30" t="n">
        <v>9.06</v>
      </c>
      <c r="Q1439" s="27" t="s">
        <v>3685</v>
      </c>
      <c r="R1439" s="27" t="s">
        <v>283</v>
      </c>
    </row>
    <row r="1440" customFormat="false" ht="15" hidden="false" customHeight="false" outlineLevel="0" collapsed="false">
      <c r="A1440" s="25" t="n">
        <f aca="false">IF(G1440="REJECT",COUNTIF($G$2:$G$2277,"&lt;&gt;REJECT")+1+COUNTIFS($G$2:$G$2277,"REJECT",$B$2:$B$2277,"&gt;"&amp;B1440),1+COUNTIFS($G$2:$G$2277,"&lt;&gt;REJECT",$B$2:$B$2277,"&gt;"&amp;B1440))</f>
        <v>1439</v>
      </c>
      <c r="B1440" s="26" t="n">
        <f aca="false">ROUND(($U$2*MAX(0,MIN(1,($W$2-I1440)/($W$2-$V$2)))+$U$3*MAX(0,MIN(1,($W$3-J1440)/($W$3-$V$3)))+$U$4*MAX(0,MIN(1,($W$4-K1440)/($W$4-$V$4)))+$U$5*MAX(0,MIN(1,($W$5-L1440)/($W$5-$V$5)))+$U$6*MAX(0,MIN(1,($W$6-M1440)/($W$6-$V$6)))+$U$7*MAX(0,MIN(1,($W$7-N1440)/($W$7-$V$7)))+$U$8*IF(AND(O1440&gt;=$V$8,O1440&lt;=$W$8),1,0))/$U$9*100,2)</f>
        <v>65.54</v>
      </c>
      <c r="C1440" s="27" t="s">
        <v>354</v>
      </c>
      <c r="D1440" s="25" t="s">
        <v>134</v>
      </c>
      <c r="E1440" s="25" t="s">
        <v>3447</v>
      </c>
      <c r="F1440" s="25" t="s">
        <v>3457</v>
      </c>
      <c r="G1440" s="38" t="s">
        <v>30</v>
      </c>
      <c r="H1440" s="33" t="s">
        <v>24</v>
      </c>
      <c r="I1440" s="25" t="n">
        <v>4</v>
      </c>
      <c r="J1440" s="25" t="n">
        <v>0</v>
      </c>
      <c r="K1440" s="25" t="n">
        <v>4</v>
      </c>
      <c r="L1440" s="29" t="n">
        <v>0.67</v>
      </c>
      <c r="M1440" s="30" t="n">
        <v>7.16</v>
      </c>
      <c r="N1440" s="29" t="n">
        <v>0.28</v>
      </c>
      <c r="O1440" s="25" t="n">
        <v>182</v>
      </c>
      <c r="P1440" s="30" t="n">
        <v>-1.54</v>
      </c>
      <c r="Q1440" s="27" t="s">
        <v>3622</v>
      </c>
      <c r="R1440" s="27" t="s">
        <v>30</v>
      </c>
    </row>
    <row r="1441" customFormat="false" ht="15" hidden="false" customHeight="false" outlineLevel="0" collapsed="false">
      <c r="A1441" s="25" t="n">
        <f aca="false">IF(G1441="REJECT",COUNTIF($G$2:$G$2277,"&lt;&gt;REJECT")+1+COUNTIFS($G$2:$G$2277,"REJECT",$B$2:$B$2277,"&gt;"&amp;B1441),1+COUNTIFS($G$2:$G$2277,"&lt;&gt;REJECT",$B$2:$B$2277,"&gt;"&amp;B1441))</f>
        <v>1440</v>
      </c>
      <c r="B1441" s="26" t="n">
        <f aca="false">ROUND(($U$2*MAX(0,MIN(1,($W$2-I1441)/($W$2-$V$2)))+$U$3*MAX(0,MIN(1,($W$3-J1441)/($W$3-$V$3)))+$U$4*MAX(0,MIN(1,($W$4-K1441)/($W$4-$V$4)))+$U$5*MAX(0,MIN(1,($W$5-L1441)/($W$5-$V$5)))+$U$6*MAX(0,MIN(1,($W$6-M1441)/($W$6-$V$6)))+$U$7*MAX(0,MIN(1,($W$7-N1441)/($W$7-$V$7)))+$U$8*IF(AND(O1441&gt;=$V$8,O1441&lt;=$W$8),1,0))/$U$9*100,2)</f>
        <v>65.5</v>
      </c>
      <c r="C1441" s="27" t="s">
        <v>1697</v>
      </c>
      <c r="D1441" s="25" t="s">
        <v>3459</v>
      </c>
      <c r="E1441" s="25" t="s">
        <v>3450</v>
      </c>
      <c r="F1441" s="25" t="s">
        <v>3457</v>
      </c>
      <c r="G1441" s="38" t="s">
        <v>30</v>
      </c>
      <c r="H1441" s="28" t="s">
        <v>25</v>
      </c>
      <c r="I1441" s="25" t="n">
        <v>2</v>
      </c>
      <c r="J1441" s="25" t="n">
        <v>1</v>
      </c>
      <c r="K1441" s="25" t="n">
        <v>2</v>
      </c>
      <c r="L1441" s="29" t="n">
        <v>0.68</v>
      </c>
      <c r="M1441" s="30" t="n">
        <v>20.43</v>
      </c>
      <c r="N1441" s="29" t="n">
        <v>0.84</v>
      </c>
      <c r="O1441" s="25" t="n">
        <v>183</v>
      </c>
      <c r="P1441" s="30" t="n">
        <v>2.15</v>
      </c>
      <c r="Q1441" s="27" t="s">
        <v>3575</v>
      </c>
      <c r="R1441" s="27" t="s">
        <v>294</v>
      </c>
    </row>
    <row r="1442" customFormat="false" ht="15" hidden="false" customHeight="false" outlineLevel="0" collapsed="false">
      <c r="A1442" s="25" t="n">
        <f aca="false">IF(G1442="REJECT",COUNTIF($G$2:$G$2277,"&lt;&gt;REJECT")+1+COUNTIFS($G$2:$G$2277,"REJECT",$B$2:$B$2277,"&gt;"&amp;B1442),1+COUNTIFS($G$2:$G$2277,"&lt;&gt;REJECT",$B$2:$B$2277,"&gt;"&amp;B1442))</f>
        <v>1441</v>
      </c>
      <c r="B1442" s="26" t="n">
        <f aca="false">ROUND(($U$2*MAX(0,MIN(1,($W$2-I1442)/($W$2-$V$2)))+$U$3*MAX(0,MIN(1,($W$3-J1442)/($W$3-$V$3)))+$U$4*MAX(0,MIN(1,($W$4-K1442)/($W$4-$V$4)))+$U$5*MAX(0,MIN(1,($W$5-L1442)/($W$5-$V$5)))+$U$6*MAX(0,MIN(1,($W$6-M1442)/($W$6-$V$6)))+$U$7*MAX(0,MIN(1,($W$7-N1442)/($W$7-$V$7)))+$U$8*IF(AND(O1442&gt;=$V$8,O1442&lt;=$W$8),1,0))/$U$9*100,2)</f>
        <v>65.48</v>
      </c>
      <c r="C1442" s="27" t="s">
        <v>1859</v>
      </c>
      <c r="D1442" s="25" t="s">
        <v>134</v>
      </c>
      <c r="E1442" s="25" t="s">
        <v>3447</v>
      </c>
      <c r="F1442" s="25" t="s">
        <v>3457</v>
      </c>
      <c r="G1442" s="38" t="s">
        <v>30</v>
      </c>
      <c r="H1442" s="28" t="s">
        <v>25</v>
      </c>
      <c r="I1442" s="25" t="n">
        <v>5</v>
      </c>
      <c r="J1442" s="25" t="n">
        <v>0</v>
      </c>
      <c r="K1442" s="25" t="n">
        <v>5</v>
      </c>
      <c r="L1442" s="29" t="n">
        <v>0.79</v>
      </c>
      <c r="M1442" s="30" t="n">
        <v>13.22</v>
      </c>
      <c r="N1442" s="29" t="n">
        <v>0.28</v>
      </c>
      <c r="O1442" s="25" t="n">
        <v>184</v>
      </c>
      <c r="P1442" s="30" t="n">
        <v>0.07</v>
      </c>
      <c r="Q1442" s="27" t="s">
        <v>3686</v>
      </c>
      <c r="R1442" s="27" t="s">
        <v>2610</v>
      </c>
    </row>
    <row r="1443" customFormat="false" ht="15" hidden="false" customHeight="false" outlineLevel="0" collapsed="false">
      <c r="A1443" s="25" t="n">
        <f aca="false">IF(G1443="REJECT",COUNTIF($G$2:$G$2277,"&lt;&gt;REJECT")+1+COUNTIFS($G$2:$G$2277,"REJECT",$B$2:$B$2277,"&gt;"&amp;B1443),1+COUNTIFS($G$2:$G$2277,"&lt;&gt;REJECT",$B$2:$B$2277,"&gt;"&amp;B1443))</f>
        <v>1442</v>
      </c>
      <c r="B1443" s="26" t="n">
        <f aca="false">ROUND(($U$2*MAX(0,MIN(1,($W$2-I1443)/($W$2-$V$2)))+$U$3*MAX(0,MIN(1,($W$3-J1443)/($W$3-$V$3)))+$U$4*MAX(0,MIN(1,($W$4-K1443)/($W$4-$V$4)))+$U$5*MAX(0,MIN(1,($W$5-L1443)/($W$5-$V$5)))+$U$6*MAX(0,MIN(1,($W$6-M1443)/($W$6-$V$6)))+$U$7*MAX(0,MIN(1,($W$7-N1443)/($W$7-$V$7)))+$U$8*IF(AND(O1443&gt;=$V$8,O1443&lt;=$W$8),1,0))/$U$9*100,2)</f>
        <v>65.47</v>
      </c>
      <c r="C1443" s="27" t="s">
        <v>430</v>
      </c>
      <c r="D1443" s="25" t="s">
        <v>134</v>
      </c>
      <c r="E1443" s="25" t="s">
        <v>3450</v>
      </c>
      <c r="F1443" s="25" t="s">
        <v>3448</v>
      </c>
      <c r="G1443" s="38" t="s">
        <v>30</v>
      </c>
      <c r="H1443" s="28" t="s">
        <v>25</v>
      </c>
      <c r="I1443" s="25" t="n">
        <v>3</v>
      </c>
      <c r="J1443" s="25" t="n">
        <v>1</v>
      </c>
      <c r="K1443" s="25" t="n">
        <v>3</v>
      </c>
      <c r="L1443" s="29" t="n">
        <v>0.74</v>
      </c>
      <c r="M1443" s="30" t="n">
        <v>9.9</v>
      </c>
      <c r="N1443" s="29" t="n">
        <v>0.32</v>
      </c>
      <c r="O1443" s="25" t="n">
        <v>184</v>
      </c>
      <c r="P1443" s="30" t="n">
        <v>2.67</v>
      </c>
      <c r="Q1443" s="27" t="s">
        <v>3649</v>
      </c>
      <c r="R1443" s="27" t="s">
        <v>357</v>
      </c>
    </row>
    <row r="1444" customFormat="false" ht="15" hidden="false" customHeight="false" outlineLevel="0" collapsed="false">
      <c r="A1444" s="25" t="n">
        <f aca="false">IF(G1444="REJECT",COUNTIF($G$2:$G$2277,"&lt;&gt;REJECT")+1+COUNTIFS($G$2:$G$2277,"REJECT",$B$2:$B$2277,"&gt;"&amp;B1444),1+COUNTIFS($G$2:$G$2277,"&lt;&gt;REJECT",$B$2:$B$2277,"&gt;"&amp;B1444))</f>
        <v>1443</v>
      </c>
      <c r="B1444" s="26" t="n">
        <f aca="false">ROUND(($U$2*MAX(0,MIN(1,($W$2-I1444)/($W$2-$V$2)))+$U$3*MAX(0,MIN(1,($W$3-J1444)/($W$3-$V$3)))+$U$4*MAX(0,MIN(1,($W$4-K1444)/($W$4-$V$4)))+$U$5*MAX(0,MIN(1,($W$5-L1444)/($W$5-$V$5)))+$U$6*MAX(0,MIN(1,($W$6-M1444)/($W$6-$V$6)))+$U$7*MAX(0,MIN(1,($W$7-N1444)/($W$7-$V$7)))+$U$8*IF(AND(O1444&gt;=$V$8,O1444&lt;=$W$8),1,0))/$U$9*100,2)</f>
        <v>65.42</v>
      </c>
      <c r="C1444" s="27" t="s">
        <v>449</v>
      </c>
      <c r="D1444" s="25" t="s">
        <v>3459</v>
      </c>
      <c r="E1444" s="25" t="s">
        <v>3450</v>
      </c>
      <c r="F1444" s="25" t="s">
        <v>3457</v>
      </c>
      <c r="G1444" s="38" t="s">
        <v>30</v>
      </c>
      <c r="H1444" s="28" t="s">
        <v>25</v>
      </c>
      <c r="I1444" s="25" t="n">
        <v>3</v>
      </c>
      <c r="J1444" s="25" t="n">
        <v>1</v>
      </c>
      <c r="K1444" s="25" t="n">
        <v>3</v>
      </c>
      <c r="L1444" s="29" t="n">
        <v>0.72</v>
      </c>
      <c r="M1444" s="30" t="n">
        <v>2.18</v>
      </c>
      <c r="N1444" s="29" t="n">
        <v>0.4</v>
      </c>
      <c r="O1444" s="25" t="n">
        <v>196</v>
      </c>
      <c r="P1444" s="30" t="n">
        <v>9.07</v>
      </c>
      <c r="Q1444" s="27" t="s">
        <v>3649</v>
      </c>
      <c r="R1444" s="27" t="s">
        <v>283</v>
      </c>
    </row>
    <row r="1445" customFormat="false" ht="15" hidden="false" customHeight="false" outlineLevel="0" collapsed="false">
      <c r="A1445" s="25" t="n">
        <f aca="false">IF(G1445="REJECT",COUNTIF($G$2:$G$2277,"&lt;&gt;REJECT")+1+COUNTIFS($G$2:$G$2277,"REJECT",$B$2:$B$2277,"&gt;"&amp;B1445),1+COUNTIFS($G$2:$G$2277,"&lt;&gt;REJECT",$B$2:$B$2277,"&gt;"&amp;B1445))</f>
        <v>1444</v>
      </c>
      <c r="B1445" s="26" t="n">
        <f aca="false">ROUND(($U$2*MAX(0,MIN(1,($W$2-I1445)/($W$2-$V$2)))+$U$3*MAX(0,MIN(1,($W$3-J1445)/($W$3-$V$3)))+$U$4*MAX(0,MIN(1,($W$4-K1445)/($W$4-$V$4)))+$U$5*MAX(0,MIN(1,($W$5-L1445)/($W$5-$V$5)))+$U$6*MAX(0,MIN(1,($W$6-M1445)/($W$6-$V$6)))+$U$7*MAX(0,MIN(1,($W$7-N1445)/($W$7-$V$7)))+$U$8*IF(AND(O1445&gt;=$V$8,O1445&lt;=$W$8),1,0))/$U$9*100,2)</f>
        <v>65.34</v>
      </c>
      <c r="C1445" s="27" t="s">
        <v>3007</v>
      </c>
      <c r="D1445" s="25" t="s">
        <v>134</v>
      </c>
      <c r="E1445" s="25" t="s">
        <v>3447</v>
      </c>
      <c r="F1445" s="25" t="s">
        <v>3448</v>
      </c>
      <c r="G1445" s="38" t="s">
        <v>30</v>
      </c>
      <c r="H1445" s="28" t="s">
        <v>25</v>
      </c>
      <c r="I1445" s="25" t="n">
        <v>5</v>
      </c>
      <c r="J1445" s="25" t="n">
        <v>0</v>
      </c>
      <c r="K1445" s="25" t="n">
        <v>5</v>
      </c>
      <c r="L1445" s="29" t="n">
        <v>0.78</v>
      </c>
      <c r="M1445" s="30" t="n">
        <v>6.47</v>
      </c>
      <c r="N1445" s="29" t="n">
        <v>0.68</v>
      </c>
      <c r="O1445" s="25" t="n">
        <v>212</v>
      </c>
      <c r="P1445" s="30" t="n">
        <v>-1.08</v>
      </c>
      <c r="Q1445" s="27" t="s">
        <v>3687</v>
      </c>
      <c r="R1445" s="27" t="s">
        <v>2133</v>
      </c>
    </row>
    <row r="1446" customFormat="false" ht="15" hidden="false" customHeight="false" outlineLevel="0" collapsed="false">
      <c r="A1446" s="25" t="n">
        <f aca="false">IF(G1446="REJECT",COUNTIF($G$2:$G$2277,"&lt;&gt;REJECT")+1+COUNTIFS($G$2:$G$2277,"REJECT",$B$2:$B$2277,"&gt;"&amp;B1446),1+COUNTIFS($G$2:$G$2277,"&lt;&gt;REJECT",$B$2:$B$2277,"&gt;"&amp;B1446))</f>
        <v>1445</v>
      </c>
      <c r="B1446" s="26" t="n">
        <f aca="false">ROUND(($U$2*MAX(0,MIN(1,($W$2-I1446)/($W$2-$V$2)))+$U$3*MAX(0,MIN(1,($W$3-J1446)/($W$3-$V$3)))+$U$4*MAX(0,MIN(1,($W$4-K1446)/($W$4-$V$4)))+$U$5*MAX(0,MIN(1,($W$5-L1446)/($W$5-$V$5)))+$U$6*MAX(0,MIN(1,($W$6-M1446)/($W$6-$V$6)))+$U$7*MAX(0,MIN(1,($W$7-N1446)/($W$7-$V$7)))+$U$8*IF(AND(O1446&gt;=$V$8,O1446&lt;=$W$8),1,0))/$U$9*100,2)</f>
        <v>65.31</v>
      </c>
      <c r="C1446" s="27" t="s">
        <v>1614</v>
      </c>
      <c r="D1446" s="25" t="s">
        <v>3459</v>
      </c>
      <c r="E1446" s="25" t="s">
        <v>3447</v>
      </c>
      <c r="F1446" s="25" t="s">
        <v>3457</v>
      </c>
      <c r="G1446" s="38" t="s">
        <v>30</v>
      </c>
      <c r="H1446" s="33" t="s">
        <v>24</v>
      </c>
      <c r="I1446" s="25" t="n">
        <v>4</v>
      </c>
      <c r="J1446" s="25" t="n">
        <v>0</v>
      </c>
      <c r="K1446" s="25" t="n">
        <v>4</v>
      </c>
      <c r="L1446" s="29" t="n">
        <v>0.7</v>
      </c>
      <c r="M1446" s="30" t="n">
        <v>15.74</v>
      </c>
      <c r="N1446" s="29" t="n">
        <v>0.64</v>
      </c>
      <c r="O1446" s="25" t="n">
        <v>188</v>
      </c>
      <c r="P1446" s="30" t="n">
        <v>-0.01</v>
      </c>
      <c r="Q1446" s="27" t="s">
        <v>3688</v>
      </c>
      <c r="R1446" s="27" t="s">
        <v>30</v>
      </c>
    </row>
    <row r="1447" customFormat="false" ht="15" hidden="false" customHeight="false" outlineLevel="0" collapsed="false">
      <c r="A1447" s="25" t="n">
        <f aca="false">IF(G1447="REJECT",COUNTIF($G$2:$G$2277,"&lt;&gt;REJECT")+1+COUNTIFS($G$2:$G$2277,"REJECT",$B$2:$B$2277,"&gt;"&amp;B1447),1+COUNTIFS($G$2:$G$2277,"&lt;&gt;REJECT",$B$2:$B$2277,"&gt;"&amp;B1447))</f>
        <v>1446</v>
      </c>
      <c r="B1447" s="26" t="n">
        <f aca="false">ROUND(($U$2*MAX(0,MIN(1,($W$2-I1447)/($W$2-$V$2)))+$U$3*MAX(0,MIN(1,($W$3-J1447)/($W$3-$V$3)))+$U$4*MAX(0,MIN(1,($W$4-K1447)/($W$4-$V$4)))+$U$5*MAX(0,MIN(1,($W$5-L1447)/($W$5-$V$5)))+$U$6*MAX(0,MIN(1,($W$6-M1447)/($W$6-$V$6)))+$U$7*MAX(0,MIN(1,($W$7-N1447)/($W$7-$V$7)))+$U$8*IF(AND(O1447&gt;=$V$8,O1447&lt;=$W$8),1,0))/$U$9*100,2)</f>
        <v>65.25</v>
      </c>
      <c r="C1447" s="27" t="s">
        <v>2978</v>
      </c>
      <c r="D1447" s="25" t="s">
        <v>134</v>
      </c>
      <c r="E1447" s="25" t="s">
        <v>3450</v>
      </c>
      <c r="F1447" s="25" t="s">
        <v>3448</v>
      </c>
      <c r="G1447" s="38" t="s">
        <v>30</v>
      </c>
      <c r="H1447" s="28" t="s">
        <v>25</v>
      </c>
      <c r="I1447" s="25" t="n">
        <v>3</v>
      </c>
      <c r="J1447" s="25" t="n">
        <v>1</v>
      </c>
      <c r="K1447" s="25" t="n">
        <v>3</v>
      </c>
      <c r="L1447" s="29" t="n">
        <v>0.77</v>
      </c>
      <c r="M1447" s="30" t="n">
        <v>16.01</v>
      </c>
      <c r="N1447" s="29" t="n">
        <v>0.92</v>
      </c>
      <c r="O1447" s="25" t="n">
        <v>191</v>
      </c>
      <c r="P1447" s="30" t="n">
        <v>-3.36</v>
      </c>
      <c r="Q1447" s="27" t="s">
        <v>3689</v>
      </c>
      <c r="R1447" s="27" t="s">
        <v>357</v>
      </c>
    </row>
    <row r="1448" customFormat="false" ht="15" hidden="false" customHeight="false" outlineLevel="0" collapsed="false">
      <c r="A1448" s="25" t="n">
        <f aca="false">IF(G1448="REJECT",COUNTIF($G$2:$G$2277,"&lt;&gt;REJECT")+1+COUNTIFS($G$2:$G$2277,"REJECT",$B$2:$B$2277,"&gt;"&amp;B1448),1+COUNTIFS($G$2:$G$2277,"&lt;&gt;REJECT",$B$2:$B$2277,"&gt;"&amp;B1448))</f>
        <v>1447</v>
      </c>
      <c r="B1448" s="26" t="n">
        <f aca="false">ROUND(($U$2*MAX(0,MIN(1,($W$2-I1448)/($W$2-$V$2)))+$U$3*MAX(0,MIN(1,($W$3-J1448)/($W$3-$V$3)))+$U$4*MAX(0,MIN(1,($W$4-K1448)/($W$4-$V$4)))+$U$5*MAX(0,MIN(1,($W$5-L1448)/($W$5-$V$5)))+$U$6*MAX(0,MIN(1,($W$6-M1448)/($W$6-$V$6)))+$U$7*MAX(0,MIN(1,($W$7-N1448)/($W$7-$V$7)))+$U$8*IF(AND(O1448&gt;=$V$8,O1448&lt;=$W$8),1,0))/$U$9*100,2)</f>
        <v>65.19</v>
      </c>
      <c r="C1448" s="27" t="s">
        <v>2435</v>
      </c>
      <c r="D1448" s="25" t="s">
        <v>134</v>
      </c>
      <c r="E1448" s="25" t="s">
        <v>3447</v>
      </c>
      <c r="F1448" s="25" t="s">
        <v>3448</v>
      </c>
      <c r="G1448" s="38" t="s">
        <v>30</v>
      </c>
      <c r="H1448" s="28" t="s">
        <v>25</v>
      </c>
      <c r="I1448" s="25" t="n">
        <v>5</v>
      </c>
      <c r="J1448" s="25" t="n">
        <v>0</v>
      </c>
      <c r="K1448" s="25" t="n">
        <v>5</v>
      </c>
      <c r="L1448" s="29" t="n">
        <v>0.78</v>
      </c>
      <c r="M1448" s="30" t="n">
        <v>4.95</v>
      </c>
      <c r="N1448" s="29" t="n">
        <v>0.92</v>
      </c>
      <c r="O1448" s="25" t="n">
        <v>186</v>
      </c>
      <c r="P1448" s="30" t="n">
        <v>-0.21</v>
      </c>
      <c r="Q1448" s="27" t="s">
        <v>3690</v>
      </c>
      <c r="R1448" s="27" t="s">
        <v>2610</v>
      </c>
    </row>
    <row r="1449" customFormat="false" ht="15" hidden="false" customHeight="false" outlineLevel="0" collapsed="false">
      <c r="A1449" s="25" t="n">
        <f aca="false">IF(G1449="REJECT",COUNTIF($G$2:$G$2277,"&lt;&gt;REJECT")+1+COUNTIFS($G$2:$G$2277,"REJECT",$B$2:$B$2277,"&gt;"&amp;B1449),1+COUNTIFS($G$2:$G$2277,"&lt;&gt;REJECT",$B$2:$B$2277,"&gt;"&amp;B1449))</f>
        <v>1448</v>
      </c>
      <c r="B1449" s="26" t="n">
        <f aca="false">ROUND(($U$2*MAX(0,MIN(1,($W$2-I1449)/($W$2-$V$2)))+$U$3*MAX(0,MIN(1,($W$3-J1449)/($W$3-$V$3)))+$U$4*MAX(0,MIN(1,($W$4-K1449)/($W$4-$V$4)))+$U$5*MAX(0,MIN(1,($W$5-L1449)/($W$5-$V$5)))+$U$6*MAX(0,MIN(1,($W$6-M1449)/($W$6-$V$6)))+$U$7*MAX(0,MIN(1,($W$7-N1449)/($W$7-$V$7)))+$U$8*IF(AND(O1449&gt;=$V$8,O1449&lt;=$W$8),1,0))/$U$9*100,2)</f>
        <v>65.07</v>
      </c>
      <c r="C1449" s="27" t="s">
        <v>193</v>
      </c>
      <c r="D1449" s="25" t="s">
        <v>134</v>
      </c>
      <c r="E1449" s="25" t="s">
        <v>3450</v>
      </c>
      <c r="F1449" s="25" t="s">
        <v>3457</v>
      </c>
      <c r="G1449" s="38" t="s">
        <v>30</v>
      </c>
      <c r="H1449" s="28" t="s">
        <v>25</v>
      </c>
      <c r="I1449" s="25" t="n">
        <v>3</v>
      </c>
      <c r="J1449" s="25" t="n">
        <v>1</v>
      </c>
      <c r="K1449" s="25" t="n">
        <v>3</v>
      </c>
      <c r="L1449" s="29" t="n">
        <v>0.75</v>
      </c>
      <c r="M1449" s="30" t="n">
        <v>11.86</v>
      </c>
      <c r="N1449" s="29" t="n">
        <v>0.72</v>
      </c>
      <c r="O1449" s="25" t="n">
        <v>188</v>
      </c>
      <c r="P1449" s="30" t="n">
        <v>-1.16</v>
      </c>
      <c r="Q1449" s="27" t="s">
        <v>3649</v>
      </c>
      <c r="R1449" s="27" t="s">
        <v>1230</v>
      </c>
    </row>
    <row r="1450" customFormat="false" ht="15" hidden="false" customHeight="false" outlineLevel="0" collapsed="false">
      <c r="A1450" s="25" t="n">
        <f aca="false">IF(G1450="REJECT",COUNTIF($G$2:$G$2277,"&lt;&gt;REJECT")+1+COUNTIFS($G$2:$G$2277,"REJECT",$B$2:$B$2277,"&gt;"&amp;B1450),1+COUNTIFS($G$2:$G$2277,"&lt;&gt;REJECT",$B$2:$B$2277,"&gt;"&amp;B1450))</f>
        <v>1449</v>
      </c>
      <c r="B1450" s="26" t="n">
        <f aca="false">ROUND(($U$2*MAX(0,MIN(1,($W$2-I1450)/($W$2-$V$2)))+$U$3*MAX(0,MIN(1,($W$3-J1450)/($W$3-$V$3)))+$U$4*MAX(0,MIN(1,($W$4-K1450)/($W$4-$V$4)))+$U$5*MAX(0,MIN(1,($W$5-L1450)/($W$5-$V$5)))+$U$6*MAX(0,MIN(1,($W$6-M1450)/($W$6-$V$6)))+$U$7*MAX(0,MIN(1,($W$7-N1450)/($W$7-$V$7)))+$U$8*IF(AND(O1450&gt;=$V$8,O1450&lt;=$W$8),1,0))/$U$9*100,2)</f>
        <v>65.05</v>
      </c>
      <c r="C1450" s="27" t="s">
        <v>2302</v>
      </c>
      <c r="D1450" s="25" t="s">
        <v>3459</v>
      </c>
      <c r="E1450" s="25" t="s">
        <v>3450</v>
      </c>
      <c r="F1450" s="25" t="s">
        <v>3448</v>
      </c>
      <c r="G1450" s="38" t="s">
        <v>30</v>
      </c>
      <c r="H1450" s="28" t="s">
        <v>25</v>
      </c>
      <c r="I1450" s="25" t="n">
        <v>3</v>
      </c>
      <c r="J1450" s="25" t="n">
        <v>1</v>
      </c>
      <c r="K1450" s="25" t="n">
        <v>2</v>
      </c>
      <c r="L1450" s="29" t="n">
        <v>0.73</v>
      </c>
      <c r="M1450" s="30" t="n">
        <v>17.23</v>
      </c>
      <c r="N1450" s="29" t="n">
        <v>0.6</v>
      </c>
      <c r="O1450" s="25" t="n">
        <v>192</v>
      </c>
      <c r="P1450" s="30" t="n">
        <v>0.6</v>
      </c>
      <c r="Q1450" s="27" t="s">
        <v>3691</v>
      </c>
      <c r="R1450" s="27" t="s">
        <v>1230</v>
      </c>
    </row>
    <row r="1451" customFormat="false" ht="15" hidden="false" customHeight="false" outlineLevel="0" collapsed="false">
      <c r="A1451" s="25" t="n">
        <f aca="false">IF(G1451="REJECT",COUNTIF($G$2:$G$2277,"&lt;&gt;REJECT")+1+COUNTIFS($G$2:$G$2277,"REJECT",$B$2:$B$2277,"&gt;"&amp;B1451),1+COUNTIFS($G$2:$G$2277,"&lt;&gt;REJECT",$B$2:$B$2277,"&gt;"&amp;B1451))</f>
        <v>1450</v>
      </c>
      <c r="B1451" s="26" t="n">
        <f aca="false">ROUND(($U$2*MAX(0,MIN(1,($W$2-I1451)/($W$2-$V$2)))+$U$3*MAX(0,MIN(1,($W$3-J1451)/($W$3-$V$3)))+$U$4*MAX(0,MIN(1,($W$4-K1451)/($W$4-$V$4)))+$U$5*MAX(0,MIN(1,($W$5-L1451)/($W$5-$V$5)))+$U$6*MAX(0,MIN(1,($W$6-M1451)/($W$6-$V$6)))+$U$7*MAX(0,MIN(1,($W$7-N1451)/($W$7-$V$7)))+$U$8*IF(AND(O1451&gt;=$V$8,O1451&lt;=$W$8),1,0))/$U$9*100,2)</f>
        <v>65.01</v>
      </c>
      <c r="C1451" s="27" t="s">
        <v>732</v>
      </c>
      <c r="D1451" s="25" t="s">
        <v>134</v>
      </c>
      <c r="E1451" s="25" t="s">
        <v>3447</v>
      </c>
      <c r="F1451" s="25" t="s">
        <v>3448</v>
      </c>
      <c r="G1451" s="38" t="s">
        <v>30</v>
      </c>
      <c r="H1451" s="28" t="s">
        <v>25</v>
      </c>
      <c r="I1451" s="25" t="n">
        <v>5</v>
      </c>
      <c r="J1451" s="25" t="n">
        <v>0</v>
      </c>
      <c r="K1451" s="25" t="n">
        <v>5</v>
      </c>
      <c r="L1451" s="29" t="n">
        <v>0.84</v>
      </c>
      <c r="M1451" s="30" t="n">
        <v>20.87</v>
      </c>
      <c r="N1451" s="29" t="n">
        <v>0.16</v>
      </c>
      <c r="O1451" s="25" t="n">
        <v>184</v>
      </c>
      <c r="P1451" s="30" t="n">
        <v>7.14</v>
      </c>
      <c r="Q1451" s="27" t="s">
        <v>3692</v>
      </c>
      <c r="R1451" s="27" t="s">
        <v>144</v>
      </c>
    </row>
    <row r="1452" customFormat="false" ht="15" hidden="false" customHeight="false" outlineLevel="0" collapsed="false">
      <c r="A1452" s="25" t="n">
        <f aca="false">IF(G1452="REJECT",COUNTIF($G$2:$G$2277,"&lt;&gt;REJECT")+1+COUNTIFS($G$2:$G$2277,"REJECT",$B$2:$B$2277,"&gt;"&amp;B1452),1+COUNTIFS($G$2:$G$2277,"&lt;&gt;REJECT",$B$2:$B$2277,"&gt;"&amp;B1452))</f>
        <v>1451</v>
      </c>
      <c r="B1452" s="26" t="n">
        <f aca="false">ROUND(($U$2*MAX(0,MIN(1,($W$2-I1452)/($W$2-$V$2)))+$U$3*MAX(0,MIN(1,($W$3-J1452)/($W$3-$V$3)))+$U$4*MAX(0,MIN(1,($W$4-K1452)/($W$4-$V$4)))+$U$5*MAX(0,MIN(1,($W$5-L1452)/($W$5-$V$5)))+$U$6*MAX(0,MIN(1,($W$6-M1452)/($W$6-$V$6)))+$U$7*MAX(0,MIN(1,($W$7-N1452)/($W$7-$V$7)))+$U$8*IF(AND(O1452&gt;=$V$8,O1452&lt;=$W$8),1,0))/$U$9*100,2)</f>
        <v>65</v>
      </c>
      <c r="C1452" s="27" t="s">
        <v>1006</v>
      </c>
      <c r="D1452" s="25" t="s">
        <v>134</v>
      </c>
      <c r="E1452" s="25" t="s">
        <v>3450</v>
      </c>
      <c r="F1452" s="25" t="s">
        <v>3448</v>
      </c>
      <c r="G1452" s="38" t="s">
        <v>30</v>
      </c>
      <c r="H1452" s="28" t="s">
        <v>25</v>
      </c>
      <c r="I1452" s="25" t="n">
        <v>2</v>
      </c>
      <c r="J1452" s="25" t="n">
        <v>1</v>
      </c>
      <c r="K1452" s="25" t="n">
        <v>2</v>
      </c>
      <c r="L1452" s="29" t="n">
        <v>0.66</v>
      </c>
      <c r="M1452" s="30" t="n">
        <v>21.82</v>
      </c>
      <c r="N1452" s="29" t="n">
        <v>0.28</v>
      </c>
      <c r="O1452" s="25" t="n">
        <v>185</v>
      </c>
      <c r="P1452" s="30" t="n">
        <v>0.62</v>
      </c>
      <c r="Q1452" s="27" t="s">
        <v>3575</v>
      </c>
      <c r="R1452" s="27" t="s">
        <v>294</v>
      </c>
    </row>
    <row r="1453" customFormat="false" ht="15" hidden="false" customHeight="false" outlineLevel="0" collapsed="false">
      <c r="A1453" s="25" t="n">
        <f aca="false">IF(G1453="REJECT",COUNTIF($G$2:$G$2277,"&lt;&gt;REJECT")+1+COUNTIFS($G$2:$G$2277,"REJECT",$B$2:$B$2277,"&gt;"&amp;B1453),1+COUNTIFS($G$2:$G$2277,"&lt;&gt;REJECT",$B$2:$B$2277,"&gt;"&amp;B1453))</f>
        <v>1452</v>
      </c>
      <c r="B1453" s="26" t="n">
        <f aca="false">ROUND(($U$2*MAX(0,MIN(1,($W$2-I1453)/($W$2-$V$2)))+$U$3*MAX(0,MIN(1,($W$3-J1453)/($W$3-$V$3)))+$U$4*MAX(0,MIN(1,($W$4-K1453)/($W$4-$V$4)))+$U$5*MAX(0,MIN(1,($W$5-L1453)/($W$5-$V$5)))+$U$6*MAX(0,MIN(1,($W$6-M1453)/($W$6-$V$6)))+$U$7*MAX(0,MIN(1,($W$7-N1453)/($W$7-$V$7)))+$U$8*IF(AND(O1453&gt;=$V$8,O1453&lt;=$W$8),1,0))/$U$9*100,2)</f>
        <v>64.95</v>
      </c>
      <c r="C1453" s="27" t="s">
        <v>2265</v>
      </c>
      <c r="D1453" s="25" t="s">
        <v>134</v>
      </c>
      <c r="E1453" s="25" t="s">
        <v>3447</v>
      </c>
      <c r="F1453" s="25" t="s">
        <v>3457</v>
      </c>
      <c r="G1453" s="38" t="s">
        <v>30</v>
      </c>
      <c r="H1453" s="28" t="s">
        <v>25</v>
      </c>
      <c r="I1453" s="25" t="n">
        <v>5</v>
      </c>
      <c r="J1453" s="25" t="n">
        <v>0</v>
      </c>
      <c r="K1453" s="25" t="n">
        <v>4</v>
      </c>
      <c r="L1453" s="29" t="n">
        <v>0.79</v>
      </c>
      <c r="M1453" s="30" t="n">
        <v>20.86</v>
      </c>
      <c r="N1453" s="29" t="n">
        <v>0.96</v>
      </c>
      <c r="O1453" s="25" t="n">
        <v>183</v>
      </c>
      <c r="P1453" s="30" t="n">
        <v>-1</v>
      </c>
      <c r="Q1453" s="27" t="s">
        <v>3693</v>
      </c>
      <c r="R1453" s="27" t="s">
        <v>992</v>
      </c>
    </row>
    <row r="1454" customFormat="false" ht="15" hidden="false" customHeight="false" outlineLevel="0" collapsed="false">
      <c r="A1454" s="25" t="n">
        <f aca="false">IF(G1454="REJECT",COUNTIF($G$2:$G$2277,"&lt;&gt;REJECT")+1+COUNTIFS($G$2:$G$2277,"REJECT",$B$2:$B$2277,"&gt;"&amp;B1454),1+COUNTIFS($G$2:$G$2277,"&lt;&gt;REJECT",$B$2:$B$2277,"&gt;"&amp;B1454))</f>
        <v>1453</v>
      </c>
      <c r="B1454" s="26" t="n">
        <f aca="false">ROUND(($U$2*MAX(0,MIN(1,($W$2-I1454)/($W$2-$V$2)))+$U$3*MAX(0,MIN(1,($W$3-J1454)/($W$3-$V$3)))+$U$4*MAX(0,MIN(1,($W$4-K1454)/($W$4-$V$4)))+$U$5*MAX(0,MIN(1,($W$5-L1454)/($W$5-$V$5)))+$U$6*MAX(0,MIN(1,($W$6-M1454)/($W$6-$V$6)))+$U$7*MAX(0,MIN(1,($W$7-N1454)/($W$7-$V$7)))+$U$8*IF(AND(O1454&gt;=$V$8,O1454&lt;=$W$8),1,0))/$U$9*100,2)</f>
        <v>64.94</v>
      </c>
      <c r="C1454" s="27" t="s">
        <v>1712</v>
      </c>
      <c r="D1454" s="25" t="s">
        <v>134</v>
      </c>
      <c r="E1454" s="25" t="s">
        <v>3450</v>
      </c>
      <c r="F1454" s="25" t="s">
        <v>3448</v>
      </c>
      <c r="G1454" s="38" t="s">
        <v>30</v>
      </c>
      <c r="H1454" s="28" t="s">
        <v>25</v>
      </c>
      <c r="I1454" s="25" t="n">
        <v>3</v>
      </c>
      <c r="J1454" s="25" t="n">
        <v>1</v>
      </c>
      <c r="K1454" s="25" t="n">
        <v>3</v>
      </c>
      <c r="L1454" s="29" t="n">
        <v>0.72</v>
      </c>
      <c r="M1454" s="30" t="n">
        <v>2.65</v>
      </c>
      <c r="N1454" s="29" t="n">
        <v>0.64</v>
      </c>
      <c r="O1454" s="25" t="n">
        <v>216</v>
      </c>
      <c r="P1454" s="30" t="n">
        <v>-0.9</v>
      </c>
      <c r="Q1454" s="27" t="s">
        <v>3694</v>
      </c>
      <c r="R1454" s="27" t="s">
        <v>197</v>
      </c>
    </row>
    <row r="1455" customFormat="false" ht="15" hidden="false" customHeight="false" outlineLevel="0" collapsed="false">
      <c r="A1455" s="25" t="n">
        <f aca="false">IF(G1455="REJECT",COUNTIF($G$2:$G$2277,"&lt;&gt;REJECT")+1+COUNTIFS($G$2:$G$2277,"REJECT",$B$2:$B$2277,"&gt;"&amp;B1455),1+COUNTIFS($G$2:$G$2277,"&lt;&gt;REJECT",$B$2:$B$2277,"&gt;"&amp;B1455))</f>
        <v>1453</v>
      </c>
      <c r="B1455" s="26" t="n">
        <f aca="false">ROUND(($U$2*MAX(0,MIN(1,($W$2-I1455)/($W$2-$V$2)))+$U$3*MAX(0,MIN(1,($W$3-J1455)/($W$3-$V$3)))+$U$4*MAX(0,MIN(1,($W$4-K1455)/($W$4-$V$4)))+$U$5*MAX(0,MIN(1,($W$5-L1455)/($W$5-$V$5)))+$U$6*MAX(0,MIN(1,($W$6-M1455)/($W$6-$V$6)))+$U$7*MAX(0,MIN(1,($W$7-N1455)/($W$7-$V$7)))+$U$8*IF(AND(O1455&gt;=$V$8,O1455&lt;=$W$8),1,0))/$U$9*100,2)</f>
        <v>64.94</v>
      </c>
      <c r="C1455" s="27" t="s">
        <v>3202</v>
      </c>
      <c r="D1455" s="25" t="s">
        <v>3459</v>
      </c>
      <c r="E1455" s="25" t="s">
        <v>3450</v>
      </c>
      <c r="F1455" s="25" t="s">
        <v>3448</v>
      </c>
      <c r="G1455" s="38" t="s">
        <v>30</v>
      </c>
      <c r="H1455" s="28" t="s">
        <v>25</v>
      </c>
      <c r="I1455" s="25" t="n">
        <v>3</v>
      </c>
      <c r="J1455" s="25" t="n">
        <v>1</v>
      </c>
      <c r="K1455" s="25" t="n">
        <v>3</v>
      </c>
      <c r="L1455" s="29" t="n">
        <v>0.75</v>
      </c>
      <c r="M1455" s="30" t="n">
        <v>11.09</v>
      </c>
      <c r="N1455" s="29" t="n">
        <v>0.88</v>
      </c>
      <c r="O1455" s="25" t="n">
        <v>184</v>
      </c>
      <c r="P1455" s="30" t="n">
        <v>1.39</v>
      </c>
      <c r="Q1455" s="27" t="s">
        <v>3649</v>
      </c>
      <c r="R1455" s="27" t="s">
        <v>1230</v>
      </c>
    </row>
    <row r="1456" customFormat="false" ht="15" hidden="false" customHeight="false" outlineLevel="0" collapsed="false">
      <c r="A1456" s="25" t="n">
        <f aca="false">IF(G1456="REJECT",COUNTIF($G$2:$G$2277,"&lt;&gt;REJECT")+1+COUNTIFS($G$2:$G$2277,"REJECT",$B$2:$B$2277,"&gt;"&amp;B1456),1+COUNTIFS($G$2:$G$2277,"&lt;&gt;REJECT",$B$2:$B$2277,"&gt;"&amp;B1456))</f>
        <v>1455</v>
      </c>
      <c r="B1456" s="26" t="n">
        <f aca="false">ROUND(($U$2*MAX(0,MIN(1,($W$2-I1456)/($W$2-$V$2)))+$U$3*MAX(0,MIN(1,($W$3-J1456)/($W$3-$V$3)))+$U$4*MAX(0,MIN(1,($W$4-K1456)/($W$4-$V$4)))+$U$5*MAX(0,MIN(1,($W$5-L1456)/($W$5-$V$5)))+$U$6*MAX(0,MIN(1,($W$6-M1456)/($W$6-$V$6)))+$U$7*MAX(0,MIN(1,($W$7-N1456)/($W$7-$V$7)))+$U$8*IF(AND(O1456&gt;=$V$8,O1456&lt;=$W$8),1,0))/$U$9*100,2)</f>
        <v>64.87</v>
      </c>
      <c r="C1456" s="27" t="s">
        <v>1028</v>
      </c>
      <c r="D1456" s="25" t="s">
        <v>134</v>
      </c>
      <c r="E1456" s="25" t="s">
        <v>3450</v>
      </c>
      <c r="F1456" s="25" t="s">
        <v>3448</v>
      </c>
      <c r="G1456" s="38" t="s">
        <v>30</v>
      </c>
      <c r="H1456" s="28" t="s">
        <v>25</v>
      </c>
      <c r="I1456" s="25" t="n">
        <v>3</v>
      </c>
      <c r="J1456" s="25" t="n">
        <v>1</v>
      </c>
      <c r="K1456" s="25" t="n">
        <v>3</v>
      </c>
      <c r="L1456" s="29" t="n">
        <v>0.74</v>
      </c>
      <c r="M1456" s="30" t="n">
        <v>13.51</v>
      </c>
      <c r="N1456" s="29" t="n">
        <v>0.32</v>
      </c>
      <c r="O1456" s="25" t="n">
        <v>182</v>
      </c>
      <c r="P1456" s="30" t="n">
        <v>7.53</v>
      </c>
      <c r="Q1456" s="27" t="s">
        <v>3695</v>
      </c>
      <c r="R1456" s="27" t="s">
        <v>283</v>
      </c>
    </row>
    <row r="1457" customFormat="false" ht="15" hidden="false" customHeight="false" outlineLevel="0" collapsed="false">
      <c r="A1457" s="25" t="n">
        <f aca="false">IF(G1457="REJECT",COUNTIF($G$2:$G$2277,"&lt;&gt;REJECT")+1+COUNTIFS($G$2:$G$2277,"REJECT",$B$2:$B$2277,"&gt;"&amp;B1457),1+COUNTIFS($G$2:$G$2277,"&lt;&gt;REJECT",$B$2:$B$2277,"&gt;"&amp;B1457))</f>
        <v>1456</v>
      </c>
      <c r="B1457" s="26" t="n">
        <f aca="false">ROUND(($U$2*MAX(0,MIN(1,($W$2-I1457)/($W$2-$V$2)))+$U$3*MAX(0,MIN(1,($W$3-J1457)/($W$3-$V$3)))+$U$4*MAX(0,MIN(1,($W$4-K1457)/($W$4-$V$4)))+$U$5*MAX(0,MIN(1,($W$5-L1457)/($W$5-$V$5)))+$U$6*MAX(0,MIN(1,($W$6-M1457)/($W$6-$V$6)))+$U$7*MAX(0,MIN(1,($W$7-N1457)/($W$7-$V$7)))+$U$8*IF(AND(O1457&gt;=$V$8,O1457&lt;=$W$8),1,0))/$U$9*100,2)</f>
        <v>64.86</v>
      </c>
      <c r="C1457" s="27" t="s">
        <v>253</v>
      </c>
      <c r="D1457" s="25" t="s">
        <v>134</v>
      </c>
      <c r="E1457" s="25" t="s">
        <v>3447</v>
      </c>
      <c r="F1457" s="25" t="s">
        <v>3457</v>
      </c>
      <c r="G1457" s="38" t="s">
        <v>30</v>
      </c>
      <c r="H1457" s="28" t="s">
        <v>25</v>
      </c>
      <c r="I1457" s="25" t="n">
        <v>3</v>
      </c>
      <c r="J1457" s="25" t="n">
        <v>1</v>
      </c>
      <c r="K1457" s="25" t="n">
        <v>3</v>
      </c>
      <c r="L1457" s="29" t="n">
        <v>0.74</v>
      </c>
      <c r="M1457" s="30" t="n">
        <v>9.15</v>
      </c>
      <c r="N1457" s="29" t="n">
        <v>0.76</v>
      </c>
      <c r="O1457" s="25" t="n">
        <v>184</v>
      </c>
      <c r="P1457" s="30" t="n">
        <v>1.57</v>
      </c>
      <c r="Q1457" s="27" t="s">
        <v>3649</v>
      </c>
      <c r="R1457" s="27" t="s">
        <v>283</v>
      </c>
    </row>
    <row r="1458" customFormat="false" ht="15" hidden="false" customHeight="false" outlineLevel="0" collapsed="false">
      <c r="A1458" s="25" t="n">
        <f aca="false">IF(G1458="REJECT",COUNTIF($G$2:$G$2277,"&lt;&gt;REJECT")+1+COUNTIFS($G$2:$G$2277,"REJECT",$B$2:$B$2277,"&gt;"&amp;B1458),1+COUNTIFS($G$2:$G$2277,"&lt;&gt;REJECT",$B$2:$B$2277,"&gt;"&amp;B1458))</f>
        <v>1457</v>
      </c>
      <c r="B1458" s="26" t="n">
        <f aca="false">ROUND(($U$2*MAX(0,MIN(1,($W$2-I1458)/($W$2-$V$2)))+$U$3*MAX(0,MIN(1,($W$3-J1458)/($W$3-$V$3)))+$U$4*MAX(0,MIN(1,($W$4-K1458)/($W$4-$V$4)))+$U$5*MAX(0,MIN(1,($W$5-L1458)/($W$5-$V$5)))+$U$6*MAX(0,MIN(1,($W$6-M1458)/($W$6-$V$6)))+$U$7*MAX(0,MIN(1,($W$7-N1458)/($W$7-$V$7)))+$U$8*IF(AND(O1458&gt;=$V$8,O1458&lt;=$W$8),1,0))/$U$9*100,2)</f>
        <v>64.84</v>
      </c>
      <c r="C1458" s="27" t="s">
        <v>1761</v>
      </c>
      <c r="D1458" s="25" t="s">
        <v>3459</v>
      </c>
      <c r="E1458" s="25" t="s">
        <v>3447</v>
      </c>
      <c r="F1458" s="25" t="s">
        <v>3448</v>
      </c>
      <c r="G1458" s="38" t="s">
        <v>30</v>
      </c>
      <c r="H1458" s="28" t="s">
        <v>25</v>
      </c>
      <c r="I1458" s="25" t="n">
        <v>4</v>
      </c>
      <c r="J1458" s="25" t="n">
        <v>0</v>
      </c>
      <c r="K1458" s="25" t="n">
        <v>4</v>
      </c>
      <c r="L1458" s="29" t="n">
        <v>0.72</v>
      </c>
      <c r="M1458" s="30" t="n">
        <v>23.37</v>
      </c>
      <c r="N1458" s="29" t="n">
        <v>0.88</v>
      </c>
      <c r="O1458" s="25" t="n">
        <v>183</v>
      </c>
      <c r="P1458" s="30" t="n">
        <v>9.8</v>
      </c>
      <c r="Q1458" s="27" t="s">
        <v>3624</v>
      </c>
      <c r="R1458" s="27" t="s">
        <v>992</v>
      </c>
    </row>
    <row r="1459" customFormat="false" ht="15" hidden="false" customHeight="false" outlineLevel="0" collapsed="false">
      <c r="A1459" s="25" t="n">
        <f aca="false">IF(G1459="REJECT",COUNTIF($G$2:$G$2277,"&lt;&gt;REJECT")+1+COUNTIFS($G$2:$G$2277,"REJECT",$B$2:$B$2277,"&gt;"&amp;B1459),1+COUNTIFS($G$2:$G$2277,"&lt;&gt;REJECT",$B$2:$B$2277,"&gt;"&amp;B1459))</f>
        <v>1458</v>
      </c>
      <c r="B1459" s="26" t="n">
        <f aca="false">ROUND(($U$2*MAX(0,MIN(1,($W$2-I1459)/($W$2-$V$2)))+$U$3*MAX(0,MIN(1,($W$3-J1459)/($W$3-$V$3)))+$U$4*MAX(0,MIN(1,($W$4-K1459)/($W$4-$V$4)))+$U$5*MAX(0,MIN(1,($W$5-L1459)/($W$5-$V$5)))+$U$6*MAX(0,MIN(1,($W$6-M1459)/($W$6-$V$6)))+$U$7*MAX(0,MIN(1,($W$7-N1459)/($W$7-$V$7)))+$U$8*IF(AND(O1459&gt;=$V$8,O1459&lt;=$W$8),1,0))/$U$9*100,2)</f>
        <v>64.8</v>
      </c>
      <c r="C1459" s="27" t="s">
        <v>2039</v>
      </c>
      <c r="D1459" s="25" t="s">
        <v>3459</v>
      </c>
      <c r="E1459" s="25" t="s">
        <v>3450</v>
      </c>
      <c r="F1459" s="25" t="s">
        <v>3457</v>
      </c>
      <c r="G1459" s="38" t="s">
        <v>30</v>
      </c>
      <c r="H1459" s="28" t="s">
        <v>25</v>
      </c>
      <c r="I1459" s="25" t="n">
        <v>2</v>
      </c>
      <c r="J1459" s="25" t="n">
        <v>1</v>
      </c>
      <c r="K1459" s="25" t="n">
        <v>2</v>
      </c>
      <c r="L1459" s="29" t="n">
        <v>0.66</v>
      </c>
      <c r="M1459" s="30" t="n">
        <v>20.61</v>
      </c>
      <c r="N1459" s="29" t="n">
        <v>0.52</v>
      </c>
      <c r="O1459" s="25" t="n">
        <v>183</v>
      </c>
      <c r="P1459" s="30" t="n">
        <v>3.01</v>
      </c>
      <c r="Q1459" s="27" t="s">
        <v>3566</v>
      </c>
      <c r="R1459" s="27" t="s">
        <v>157</v>
      </c>
    </row>
    <row r="1460" customFormat="false" ht="15" hidden="false" customHeight="false" outlineLevel="0" collapsed="false">
      <c r="A1460" s="25" t="n">
        <f aca="false">IF(G1460="REJECT",COUNTIF($G$2:$G$2277,"&lt;&gt;REJECT")+1+COUNTIFS($G$2:$G$2277,"REJECT",$B$2:$B$2277,"&gt;"&amp;B1460),1+COUNTIFS($G$2:$G$2277,"&lt;&gt;REJECT",$B$2:$B$2277,"&gt;"&amp;B1460))</f>
        <v>1459</v>
      </c>
      <c r="B1460" s="26" t="n">
        <f aca="false">ROUND(($U$2*MAX(0,MIN(1,($W$2-I1460)/($W$2-$V$2)))+$U$3*MAX(0,MIN(1,($W$3-J1460)/($W$3-$V$3)))+$U$4*MAX(0,MIN(1,($W$4-K1460)/($W$4-$V$4)))+$U$5*MAX(0,MIN(1,($W$5-L1460)/($W$5-$V$5)))+$U$6*MAX(0,MIN(1,($W$6-M1460)/($W$6-$V$6)))+$U$7*MAX(0,MIN(1,($W$7-N1460)/($W$7-$V$7)))+$U$8*IF(AND(O1460&gt;=$V$8,O1460&lt;=$W$8),1,0))/$U$9*100,2)</f>
        <v>64.76</v>
      </c>
      <c r="C1460" s="27" t="s">
        <v>1481</v>
      </c>
      <c r="D1460" s="25" t="s">
        <v>134</v>
      </c>
      <c r="E1460" s="25" t="s">
        <v>3447</v>
      </c>
      <c r="F1460" s="25" t="s">
        <v>3448</v>
      </c>
      <c r="G1460" s="38" t="s">
        <v>30</v>
      </c>
      <c r="H1460" s="28" t="s">
        <v>25</v>
      </c>
      <c r="I1460" s="25" t="n">
        <v>4</v>
      </c>
      <c r="J1460" s="25" t="n">
        <v>0</v>
      </c>
      <c r="K1460" s="25" t="n">
        <v>4</v>
      </c>
      <c r="L1460" s="29" t="n">
        <v>0.64</v>
      </c>
      <c r="M1460" s="30" t="n">
        <v>3.83</v>
      </c>
      <c r="N1460" s="29" t="n">
        <v>0</v>
      </c>
      <c r="O1460" s="25" t="n">
        <v>191</v>
      </c>
      <c r="P1460" s="30" t="n">
        <v>16.41</v>
      </c>
      <c r="Q1460" s="27" t="s">
        <v>3696</v>
      </c>
      <c r="R1460" s="27" t="s">
        <v>2133</v>
      </c>
    </row>
    <row r="1461" customFormat="false" ht="15" hidden="false" customHeight="false" outlineLevel="0" collapsed="false">
      <c r="A1461" s="25" t="n">
        <f aca="false">IF(G1461="REJECT",COUNTIF($G$2:$G$2277,"&lt;&gt;REJECT")+1+COUNTIFS($G$2:$G$2277,"REJECT",$B$2:$B$2277,"&gt;"&amp;B1461),1+COUNTIFS($G$2:$G$2277,"&lt;&gt;REJECT",$B$2:$B$2277,"&gt;"&amp;B1461))</f>
        <v>1460</v>
      </c>
      <c r="B1461" s="26" t="n">
        <f aca="false">ROUND(($U$2*MAX(0,MIN(1,($W$2-I1461)/($W$2-$V$2)))+$U$3*MAX(0,MIN(1,($W$3-J1461)/($W$3-$V$3)))+$U$4*MAX(0,MIN(1,($W$4-K1461)/($W$4-$V$4)))+$U$5*MAX(0,MIN(1,($W$5-L1461)/($W$5-$V$5)))+$U$6*MAX(0,MIN(1,($W$6-M1461)/($W$6-$V$6)))+$U$7*MAX(0,MIN(1,($W$7-N1461)/($W$7-$V$7)))+$U$8*IF(AND(O1461&gt;=$V$8,O1461&lt;=$W$8),1,0))/$U$9*100,2)</f>
        <v>64.75</v>
      </c>
      <c r="C1461" s="27" t="s">
        <v>1503</v>
      </c>
      <c r="D1461" s="25" t="s">
        <v>134</v>
      </c>
      <c r="E1461" s="25" t="s">
        <v>3450</v>
      </c>
      <c r="F1461" s="25" t="s">
        <v>3457</v>
      </c>
      <c r="G1461" s="38" t="s">
        <v>30</v>
      </c>
      <c r="H1461" s="28" t="s">
        <v>25</v>
      </c>
      <c r="I1461" s="25" t="n">
        <v>3</v>
      </c>
      <c r="J1461" s="25" t="n">
        <v>1</v>
      </c>
      <c r="K1461" s="25" t="n">
        <v>3</v>
      </c>
      <c r="L1461" s="29" t="n">
        <v>0.76</v>
      </c>
      <c r="M1461" s="30" t="n">
        <v>21.78</v>
      </c>
      <c r="N1461" s="29" t="n">
        <v>0.28</v>
      </c>
      <c r="O1461" s="25" t="n">
        <v>183</v>
      </c>
      <c r="P1461" s="30" t="n">
        <v>18.87</v>
      </c>
      <c r="Q1461" s="27" t="s">
        <v>3649</v>
      </c>
      <c r="R1461" s="27" t="s">
        <v>183</v>
      </c>
    </row>
    <row r="1462" customFormat="false" ht="15" hidden="false" customHeight="false" outlineLevel="0" collapsed="false">
      <c r="A1462" s="25" t="n">
        <f aca="false">IF(G1462="REJECT",COUNTIF($G$2:$G$2277,"&lt;&gt;REJECT")+1+COUNTIFS($G$2:$G$2277,"REJECT",$B$2:$B$2277,"&gt;"&amp;B1462),1+COUNTIFS($G$2:$G$2277,"&lt;&gt;REJECT",$B$2:$B$2277,"&gt;"&amp;B1462))</f>
        <v>1460</v>
      </c>
      <c r="B1462" s="26" t="n">
        <f aca="false">ROUND(($U$2*MAX(0,MIN(1,($W$2-I1462)/($W$2-$V$2)))+$U$3*MAX(0,MIN(1,($W$3-J1462)/($W$3-$V$3)))+$U$4*MAX(0,MIN(1,($W$4-K1462)/($W$4-$V$4)))+$U$5*MAX(0,MIN(1,($W$5-L1462)/($W$5-$V$5)))+$U$6*MAX(0,MIN(1,($W$6-M1462)/($W$6-$V$6)))+$U$7*MAX(0,MIN(1,($W$7-N1462)/($W$7-$V$7)))+$U$8*IF(AND(O1462&gt;=$V$8,O1462&lt;=$W$8),1,0))/$U$9*100,2)</f>
        <v>64.75</v>
      </c>
      <c r="C1462" s="27" t="s">
        <v>2848</v>
      </c>
      <c r="D1462" s="25" t="s">
        <v>134</v>
      </c>
      <c r="E1462" s="25" t="s">
        <v>3450</v>
      </c>
      <c r="F1462" s="25" t="s">
        <v>3457</v>
      </c>
      <c r="G1462" s="38" t="s">
        <v>30</v>
      </c>
      <c r="H1462" s="28" t="s">
        <v>25</v>
      </c>
      <c r="I1462" s="25" t="n">
        <v>3</v>
      </c>
      <c r="J1462" s="25" t="n">
        <v>1</v>
      </c>
      <c r="K1462" s="25" t="n">
        <v>3</v>
      </c>
      <c r="L1462" s="29" t="n">
        <v>0.74</v>
      </c>
      <c r="M1462" s="30" t="n">
        <v>13</v>
      </c>
      <c r="N1462" s="29" t="n">
        <v>0.44</v>
      </c>
      <c r="O1462" s="25" t="n">
        <v>184</v>
      </c>
      <c r="P1462" s="30" t="n">
        <v>14.17</v>
      </c>
      <c r="Q1462" s="27" t="s">
        <v>3697</v>
      </c>
      <c r="R1462" s="27" t="s">
        <v>283</v>
      </c>
    </row>
    <row r="1463" customFormat="false" ht="15" hidden="false" customHeight="false" outlineLevel="0" collapsed="false">
      <c r="A1463" s="25" t="n">
        <f aca="false">IF(G1463="REJECT",COUNTIF($G$2:$G$2277,"&lt;&gt;REJECT")+1+COUNTIFS($G$2:$G$2277,"REJECT",$B$2:$B$2277,"&gt;"&amp;B1463),1+COUNTIFS($G$2:$G$2277,"&lt;&gt;REJECT",$B$2:$B$2277,"&gt;"&amp;B1463))</f>
        <v>1462</v>
      </c>
      <c r="B1463" s="26" t="n">
        <f aca="false">ROUND(($U$2*MAX(0,MIN(1,($W$2-I1463)/($W$2-$V$2)))+$U$3*MAX(0,MIN(1,($W$3-J1463)/($W$3-$V$3)))+$U$4*MAX(0,MIN(1,($W$4-K1463)/($W$4-$V$4)))+$U$5*MAX(0,MIN(1,($W$5-L1463)/($W$5-$V$5)))+$U$6*MAX(0,MIN(1,($W$6-M1463)/($W$6-$V$6)))+$U$7*MAX(0,MIN(1,($W$7-N1463)/($W$7-$V$7)))+$U$8*IF(AND(O1463&gt;=$V$8,O1463&lt;=$W$8),1,0))/$U$9*100,2)</f>
        <v>64.73</v>
      </c>
      <c r="C1463" s="27" t="s">
        <v>2500</v>
      </c>
      <c r="D1463" s="25" t="s">
        <v>134</v>
      </c>
      <c r="E1463" s="25" t="s">
        <v>3450</v>
      </c>
      <c r="F1463" s="25" t="s">
        <v>3448</v>
      </c>
      <c r="G1463" s="38" t="s">
        <v>30</v>
      </c>
      <c r="H1463" s="28" t="s">
        <v>25</v>
      </c>
      <c r="I1463" s="25" t="n">
        <v>3</v>
      </c>
      <c r="J1463" s="25" t="n">
        <v>1</v>
      </c>
      <c r="K1463" s="25" t="n">
        <v>3</v>
      </c>
      <c r="L1463" s="29" t="n">
        <v>0.76</v>
      </c>
      <c r="M1463" s="30" t="n">
        <v>19.51</v>
      </c>
      <c r="N1463" s="29" t="n">
        <v>0.52</v>
      </c>
      <c r="O1463" s="25" t="n">
        <v>184</v>
      </c>
      <c r="P1463" s="30" t="n">
        <v>6.77</v>
      </c>
      <c r="Q1463" s="27" t="s">
        <v>3649</v>
      </c>
      <c r="R1463" s="27" t="s">
        <v>283</v>
      </c>
    </row>
    <row r="1464" customFormat="false" ht="15" hidden="false" customHeight="false" outlineLevel="0" collapsed="false">
      <c r="A1464" s="25" t="n">
        <f aca="false">IF(G1464="REJECT",COUNTIF($G$2:$G$2277,"&lt;&gt;REJECT")+1+COUNTIFS($G$2:$G$2277,"REJECT",$B$2:$B$2277,"&gt;"&amp;B1464),1+COUNTIFS($G$2:$G$2277,"&lt;&gt;REJECT",$B$2:$B$2277,"&gt;"&amp;B1464))</f>
        <v>1463</v>
      </c>
      <c r="B1464" s="26" t="n">
        <f aca="false">ROUND(($U$2*MAX(0,MIN(1,($W$2-I1464)/($W$2-$V$2)))+$U$3*MAX(0,MIN(1,($W$3-J1464)/($W$3-$V$3)))+$U$4*MAX(0,MIN(1,($W$4-K1464)/($W$4-$V$4)))+$U$5*MAX(0,MIN(1,($W$5-L1464)/($W$5-$V$5)))+$U$6*MAX(0,MIN(1,($W$6-M1464)/($W$6-$V$6)))+$U$7*MAX(0,MIN(1,($W$7-N1464)/($W$7-$V$7)))+$U$8*IF(AND(O1464&gt;=$V$8,O1464&lt;=$W$8),1,0))/$U$9*100,2)</f>
        <v>64.72</v>
      </c>
      <c r="C1464" s="27" t="s">
        <v>2691</v>
      </c>
      <c r="D1464" s="25" t="s">
        <v>134</v>
      </c>
      <c r="E1464" s="25" t="s">
        <v>3447</v>
      </c>
      <c r="F1464" s="25" t="s">
        <v>3448</v>
      </c>
      <c r="G1464" s="38" t="s">
        <v>30</v>
      </c>
      <c r="H1464" s="33" t="s">
        <v>24</v>
      </c>
      <c r="I1464" s="25" t="n">
        <v>5</v>
      </c>
      <c r="J1464" s="25" t="n">
        <v>0</v>
      </c>
      <c r="K1464" s="25" t="n">
        <v>5</v>
      </c>
      <c r="L1464" s="29" t="n">
        <v>0.75</v>
      </c>
      <c r="M1464" s="30" t="n">
        <v>6.2</v>
      </c>
      <c r="N1464" s="29" t="n">
        <v>0</v>
      </c>
      <c r="O1464" s="25" t="n">
        <v>212</v>
      </c>
      <c r="P1464" s="30" t="n">
        <v>-1.83</v>
      </c>
      <c r="Q1464" s="27" t="s">
        <v>3698</v>
      </c>
      <c r="R1464" s="27" t="s">
        <v>30</v>
      </c>
    </row>
    <row r="1465" customFormat="false" ht="15" hidden="false" customHeight="false" outlineLevel="0" collapsed="false">
      <c r="A1465" s="25" t="n">
        <f aca="false">IF(G1465="REJECT",COUNTIF($G$2:$G$2277,"&lt;&gt;REJECT")+1+COUNTIFS($G$2:$G$2277,"REJECT",$B$2:$B$2277,"&gt;"&amp;B1465),1+COUNTIFS($G$2:$G$2277,"&lt;&gt;REJECT",$B$2:$B$2277,"&gt;"&amp;B1465))</f>
        <v>1464</v>
      </c>
      <c r="B1465" s="26" t="n">
        <f aca="false">ROUND(($U$2*MAX(0,MIN(1,($W$2-I1465)/($W$2-$V$2)))+$U$3*MAX(0,MIN(1,($W$3-J1465)/($W$3-$V$3)))+$U$4*MAX(0,MIN(1,($W$4-K1465)/($W$4-$V$4)))+$U$5*MAX(0,MIN(1,($W$5-L1465)/($W$5-$V$5)))+$U$6*MAX(0,MIN(1,($W$6-M1465)/($W$6-$V$6)))+$U$7*MAX(0,MIN(1,($W$7-N1465)/($W$7-$V$7)))+$U$8*IF(AND(O1465&gt;=$V$8,O1465&lt;=$W$8),1,0))/$U$9*100,2)</f>
        <v>64.69</v>
      </c>
      <c r="C1465" s="27" t="s">
        <v>193</v>
      </c>
      <c r="D1465" s="25" t="s">
        <v>134</v>
      </c>
      <c r="E1465" s="25" t="s">
        <v>3447</v>
      </c>
      <c r="F1465" s="25" t="s">
        <v>3457</v>
      </c>
      <c r="G1465" s="38" t="s">
        <v>30</v>
      </c>
      <c r="H1465" s="28" t="s">
        <v>25</v>
      </c>
      <c r="I1465" s="25" t="n">
        <v>3</v>
      </c>
      <c r="J1465" s="25" t="n">
        <v>1</v>
      </c>
      <c r="K1465" s="25" t="n">
        <v>3</v>
      </c>
      <c r="L1465" s="29" t="n">
        <v>0.74</v>
      </c>
      <c r="M1465" s="30" t="n">
        <v>17.79</v>
      </c>
      <c r="N1465" s="29" t="n">
        <v>0</v>
      </c>
      <c r="O1465" s="25" t="n">
        <v>184</v>
      </c>
      <c r="P1465" s="30" t="n">
        <v>-0.47</v>
      </c>
      <c r="Q1465" s="27" t="s">
        <v>3649</v>
      </c>
      <c r="R1465" s="27" t="s">
        <v>283</v>
      </c>
    </row>
    <row r="1466" customFormat="false" ht="15" hidden="false" customHeight="false" outlineLevel="0" collapsed="false">
      <c r="A1466" s="25" t="n">
        <f aca="false">IF(G1466="REJECT",COUNTIF($G$2:$G$2277,"&lt;&gt;REJECT")+1+COUNTIFS($G$2:$G$2277,"REJECT",$B$2:$B$2277,"&gt;"&amp;B1466),1+COUNTIFS($G$2:$G$2277,"&lt;&gt;REJECT",$B$2:$B$2277,"&gt;"&amp;B1466))</f>
        <v>1464</v>
      </c>
      <c r="B1466" s="26" t="n">
        <f aca="false">ROUND(($U$2*MAX(0,MIN(1,($W$2-I1466)/($W$2-$V$2)))+$U$3*MAX(0,MIN(1,($W$3-J1466)/($W$3-$V$3)))+$U$4*MAX(0,MIN(1,($W$4-K1466)/($W$4-$V$4)))+$U$5*MAX(0,MIN(1,($W$5-L1466)/($W$5-$V$5)))+$U$6*MAX(0,MIN(1,($W$6-M1466)/($W$6-$V$6)))+$U$7*MAX(0,MIN(1,($W$7-N1466)/($W$7-$V$7)))+$U$8*IF(AND(O1466&gt;=$V$8,O1466&lt;=$W$8),1,0))/$U$9*100,2)</f>
        <v>64.69</v>
      </c>
      <c r="C1466" s="27" t="s">
        <v>2039</v>
      </c>
      <c r="D1466" s="25" t="s">
        <v>3459</v>
      </c>
      <c r="E1466" s="25" t="s">
        <v>3450</v>
      </c>
      <c r="F1466" s="25" t="s">
        <v>3448</v>
      </c>
      <c r="G1466" s="38" t="s">
        <v>30</v>
      </c>
      <c r="H1466" s="28" t="s">
        <v>25</v>
      </c>
      <c r="I1466" s="25" t="n">
        <v>3</v>
      </c>
      <c r="J1466" s="25" t="n">
        <v>1</v>
      </c>
      <c r="K1466" s="25" t="n">
        <v>3</v>
      </c>
      <c r="L1466" s="29" t="n">
        <v>0.76</v>
      </c>
      <c r="M1466" s="30" t="n">
        <v>24.99</v>
      </c>
      <c r="N1466" s="29" t="n">
        <v>0</v>
      </c>
      <c r="O1466" s="25" t="n">
        <v>181</v>
      </c>
      <c r="P1466" s="30" t="n">
        <v>5.85</v>
      </c>
      <c r="Q1466" s="27" t="s">
        <v>3649</v>
      </c>
      <c r="R1466" s="27" t="s">
        <v>183</v>
      </c>
    </row>
    <row r="1467" customFormat="false" ht="15" hidden="false" customHeight="false" outlineLevel="0" collapsed="false">
      <c r="A1467" s="25" t="n">
        <f aca="false">IF(G1467="REJECT",COUNTIF($G$2:$G$2277,"&lt;&gt;REJECT")+1+COUNTIFS($G$2:$G$2277,"REJECT",$B$2:$B$2277,"&gt;"&amp;B1467),1+COUNTIFS($G$2:$G$2277,"&lt;&gt;REJECT",$B$2:$B$2277,"&gt;"&amp;B1467))</f>
        <v>1466</v>
      </c>
      <c r="B1467" s="26" t="n">
        <f aca="false">ROUND(($U$2*MAX(0,MIN(1,($W$2-I1467)/($W$2-$V$2)))+$U$3*MAX(0,MIN(1,($W$3-J1467)/($W$3-$V$3)))+$U$4*MAX(0,MIN(1,($W$4-K1467)/($W$4-$V$4)))+$U$5*MAX(0,MIN(1,($W$5-L1467)/($W$5-$V$5)))+$U$6*MAX(0,MIN(1,($W$6-M1467)/($W$6-$V$6)))+$U$7*MAX(0,MIN(1,($W$7-N1467)/($W$7-$V$7)))+$U$8*IF(AND(O1467&gt;=$V$8,O1467&lt;=$W$8),1,0))/$U$9*100,2)</f>
        <v>64.68</v>
      </c>
      <c r="C1467" s="27" t="s">
        <v>1084</v>
      </c>
      <c r="D1467" s="25" t="s">
        <v>3459</v>
      </c>
      <c r="E1467" s="25" t="s">
        <v>3450</v>
      </c>
      <c r="F1467" s="25" t="s">
        <v>3448</v>
      </c>
      <c r="G1467" s="38" t="s">
        <v>30</v>
      </c>
      <c r="H1467" s="28" t="s">
        <v>25</v>
      </c>
      <c r="I1467" s="25" t="n">
        <v>2</v>
      </c>
      <c r="J1467" s="25" t="n">
        <v>1</v>
      </c>
      <c r="K1467" s="25" t="n">
        <v>2</v>
      </c>
      <c r="L1467" s="29" t="n">
        <v>0.67</v>
      </c>
      <c r="M1467" s="30" t="n">
        <v>28.92</v>
      </c>
      <c r="N1467" s="29" t="n">
        <v>0.12</v>
      </c>
      <c r="O1467" s="25" t="n">
        <v>186</v>
      </c>
      <c r="P1467" s="30" t="n">
        <v>13.17</v>
      </c>
      <c r="Q1467" s="27" t="s">
        <v>3575</v>
      </c>
      <c r="R1467" s="27" t="s">
        <v>163</v>
      </c>
    </row>
    <row r="1468" customFormat="false" ht="15" hidden="false" customHeight="false" outlineLevel="0" collapsed="false">
      <c r="A1468" s="25" t="n">
        <f aca="false">IF(G1468="REJECT",COUNTIF($G$2:$G$2277,"&lt;&gt;REJECT")+1+COUNTIFS($G$2:$G$2277,"REJECT",$B$2:$B$2277,"&gt;"&amp;B1468),1+COUNTIFS($G$2:$G$2277,"&lt;&gt;REJECT",$B$2:$B$2277,"&gt;"&amp;B1468))</f>
        <v>1467</v>
      </c>
      <c r="B1468" s="26" t="n">
        <f aca="false">ROUND(($U$2*MAX(0,MIN(1,($W$2-I1468)/($W$2-$V$2)))+$U$3*MAX(0,MIN(1,($W$3-J1468)/($W$3-$V$3)))+$U$4*MAX(0,MIN(1,($W$4-K1468)/($W$4-$V$4)))+$U$5*MAX(0,MIN(1,($W$5-L1468)/($W$5-$V$5)))+$U$6*MAX(0,MIN(1,($W$6-M1468)/($W$6-$V$6)))+$U$7*MAX(0,MIN(1,($W$7-N1468)/($W$7-$V$7)))+$U$8*IF(AND(O1468&gt;=$V$8,O1468&lt;=$W$8),1,0))/$U$9*100,2)</f>
        <v>64.67</v>
      </c>
      <c r="C1468" s="27" t="s">
        <v>1190</v>
      </c>
      <c r="D1468" s="25" t="s">
        <v>134</v>
      </c>
      <c r="E1468" s="25" t="s">
        <v>3447</v>
      </c>
      <c r="F1468" s="25" t="s">
        <v>3448</v>
      </c>
      <c r="G1468" s="38" t="s">
        <v>30</v>
      </c>
      <c r="H1468" s="33" t="s">
        <v>24</v>
      </c>
      <c r="I1468" s="25" t="n">
        <v>4</v>
      </c>
      <c r="J1468" s="25" t="n">
        <v>0</v>
      </c>
      <c r="K1468" s="25" t="n">
        <v>4</v>
      </c>
      <c r="L1468" s="29" t="n">
        <v>0.68</v>
      </c>
      <c r="M1468" s="30" t="n">
        <v>10.4</v>
      </c>
      <c r="N1468" s="29" t="n">
        <v>0.84</v>
      </c>
      <c r="O1468" s="25" t="n">
        <v>189</v>
      </c>
      <c r="P1468" s="30" t="n">
        <v>0.07</v>
      </c>
      <c r="Q1468" s="27" t="s">
        <v>3699</v>
      </c>
      <c r="R1468" s="27" t="s">
        <v>30</v>
      </c>
    </row>
    <row r="1469" customFormat="false" ht="15" hidden="false" customHeight="false" outlineLevel="0" collapsed="false">
      <c r="A1469" s="25" t="n">
        <f aca="false">IF(G1469="REJECT",COUNTIF($G$2:$G$2277,"&lt;&gt;REJECT")+1+COUNTIFS($G$2:$G$2277,"REJECT",$B$2:$B$2277,"&gt;"&amp;B1469),1+COUNTIFS($G$2:$G$2277,"&lt;&gt;REJECT",$B$2:$B$2277,"&gt;"&amp;B1469))</f>
        <v>1468</v>
      </c>
      <c r="B1469" s="26" t="n">
        <f aca="false">ROUND(($U$2*MAX(0,MIN(1,($W$2-I1469)/($W$2-$V$2)))+$U$3*MAX(0,MIN(1,($W$3-J1469)/($W$3-$V$3)))+$U$4*MAX(0,MIN(1,($W$4-K1469)/($W$4-$V$4)))+$U$5*MAX(0,MIN(1,($W$5-L1469)/($W$5-$V$5)))+$U$6*MAX(0,MIN(1,($W$6-M1469)/($W$6-$V$6)))+$U$7*MAX(0,MIN(1,($W$7-N1469)/($W$7-$V$7)))+$U$8*IF(AND(O1469&gt;=$V$8,O1469&lt;=$W$8),1,0))/$U$9*100,2)</f>
        <v>64.65</v>
      </c>
      <c r="C1469" s="27" t="s">
        <v>885</v>
      </c>
      <c r="D1469" s="25" t="s">
        <v>134</v>
      </c>
      <c r="E1469" s="25" t="s">
        <v>3447</v>
      </c>
      <c r="F1469" s="25" t="s">
        <v>3448</v>
      </c>
      <c r="G1469" s="38" t="s">
        <v>30</v>
      </c>
      <c r="H1469" s="33" t="s">
        <v>24</v>
      </c>
      <c r="I1469" s="25" t="n">
        <v>5</v>
      </c>
      <c r="J1469" s="25" t="n">
        <v>0</v>
      </c>
      <c r="K1469" s="25" t="n">
        <v>5</v>
      </c>
      <c r="L1469" s="29" t="n">
        <v>0.75</v>
      </c>
      <c r="M1469" s="30" t="n">
        <v>6.6</v>
      </c>
      <c r="N1469" s="29" t="n">
        <v>0</v>
      </c>
      <c r="O1469" s="25" t="n">
        <v>182</v>
      </c>
      <c r="P1469" s="30" t="n">
        <v>7.78</v>
      </c>
      <c r="Q1469" s="27" t="s">
        <v>3700</v>
      </c>
      <c r="R1469" s="27" t="s">
        <v>30</v>
      </c>
    </row>
    <row r="1470" customFormat="false" ht="15" hidden="false" customHeight="false" outlineLevel="0" collapsed="false">
      <c r="A1470" s="25" t="n">
        <f aca="false">IF(G1470="REJECT",COUNTIF($G$2:$G$2277,"&lt;&gt;REJECT")+1+COUNTIFS($G$2:$G$2277,"REJECT",$B$2:$B$2277,"&gt;"&amp;B1470),1+COUNTIFS($G$2:$G$2277,"&lt;&gt;REJECT",$B$2:$B$2277,"&gt;"&amp;B1470))</f>
        <v>1469</v>
      </c>
      <c r="B1470" s="26" t="n">
        <f aca="false">ROUND(($U$2*MAX(0,MIN(1,($W$2-I1470)/($W$2-$V$2)))+$U$3*MAX(0,MIN(1,($W$3-J1470)/($W$3-$V$3)))+$U$4*MAX(0,MIN(1,($W$4-K1470)/($W$4-$V$4)))+$U$5*MAX(0,MIN(1,($W$5-L1470)/($W$5-$V$5)))+$U$6*MAX(0,MIN(1,($W$6-M1470)/($W$6-$V$6)))+$U$7*MAX(0,MIN(1,($W$7-N1470)/($W$7-$V$7)))+$U$8*IF(AND(O1470&gt;=$V$8,O1470&lt;=$W$8),1,0))/$U$9*100,2)</f>
        <v>64.59</v>
      </c>
      <c r="C1470" s="27" t="s">
        <v>3051</v>
      </c>
      <c r="D1470" s="25" t="s">
        <v>134</v>
      </c>
      <c r="E1470" s="25" t="s">
        <v>3450</v>
      </c>
      <c r="F1470" s="25" t="s">
        <v>3448</v>
      </c>
      <c r="G1470" s="38" t="s">
        <v>30</v>
      </c>
      <c r="H1470" s="28" t="s">
        <v>25</v>
      </c>
      <c r="I1470" s="25" t="n">
        <v>3</v>
      </c>
      <c r="J1470" s="25" t="n">
        <v>1</v>
      </c>
      <c r="K1470" s="25" t="n">
        <v>3</v>
      </c>
      <c r="L1470" s="29" t="n">
        <v>0.74</v>
      </c>
      <c r="M1470" s="30" t="n">
        <v>18.38</v>
      </c>
      <c r="N1470" s="29" t="n">
        <v>0</v>
      </c>
      <c r="O1470" s="25" t="n">
        <v>187</v>
      </c>
      <c r="P1470" s="30" t="n">
        <v>2.66</v>
      </c>
      <c r="Q1470" s="27" t="s">
        <v>3649</v>
      </c>
      <c r="R1470" s="27" t="s">
        <v>357</v>
      </c>
    </row>
    <row r="1471" customFormat="false" ht="15" hidden="false" customHeight="false" outlineLevel="0" collapsed="false">
      <c r="A1471" s="25" t="n">
        <f aca="false">IF(G1471="REJECT",COUNTIF($G$2:$G$2277,"&lt;&gt;REJECT")+1+COUNTIFS($G$2:$G$2277,"REJECT",$B$2:$B$2277,"&gt;"&amp;B1471),1+COUNTIFS($G$2:$G$2277,"&lt;&gt;REJECT",$B$2:$B$2277,"&gt;"&amp;B1471))</f>
        <v>1470</v>
      </c>
      <c r="B1471" s="26" t="n">
        <f aca="false">ROUND(($U$2*MAX(0,MIN(1,($W$2-I1471)/($W$2-$V$2)))+$U$3*MAX(0,MIN(1,($W$3-J1471)/($W$3-$V$3)))+$U$4*MAX(0,MIN(1,($W$4-K1471)/($W$4-$V$4)))+$U$5*MAX(0,MIN(1,($W$5-L1471)/($W$5-$V$5)))+$U$6*MAX(0,MIN(1,($W$6-M1471)/($W$6-$V$6)))+$U$7*MAX(0,MIN(1,($W$7-N1471)/($W$7-$V$7)))+$U$8*IF(AND(O1471&gt;=$V$8,O1471&lt;=$W$8),1,0))/$U$9*100,2)</f>
        <v>64.57</v>
      </c>
      <c r="C1471" s="27" t="s">
        <v>3162</v>
      </c>
      <c r="D1471" s="25" t="s">
        <v>134</v>
      </c>
      <c r="E1471" s="25" t="s">
        <v>3447</v>
      </c>
      <c r="F1471" s="25" t="s">
        <v>3448</v>
      </c>
      <c r="G1471" s="38" t="s">
        <v>30</v>
      </c>
      <c r="H1471" s="28" t="s">
        <v>25</v>
      </c>
      <c r="I1471" s="25" t="n">
        <v>3</v>
      </c>
      <c r="J1471" s="25" t="n">
        <v>1</v>
      </c>
      <c r="K1471" s="25" t="n">
        <v>3</v>
      </c>
      <c r="L1471" s="29" t="n">
        <v>0.73</v>
      </c>
      <c r="M1471" s="30" t="n">
        <v>12.48</v>
      </c>
      <c r="N1471" s="29" t="n">
        <v>0.24</v>
      </c>
      <c r="O1471" s="25" t="n">
        <v>183</v>
      </c>
      <c r="P1471" s="30" t="n">
        <v>7.28</v>
      </c>
      <c r="Q1471" s="27" t="s">
        <v>3649</v>
      </c>
      <c r="R1471" s="27" t="s">
        <v>283</v>
      </c>
    </row>
    <row r="1472" customFormat="false" ht="15" hidden="false" customHeight="false" outlineLevel="0" collapsed="false">
      <c r="A1472" s="25" t="n">
        <f aca="false">IF(G1472="REJECT",COUNTIF($G$2:$G$2277,"&lt;&gt;REJECT")+1+COUNTIFS($G$2:$G$2277,"REJECT",$B$2:$B$2277,"&gt;"&amp;B1472),1+COUNTIFS($G$2:$G$2277,"&lt;&gt;REJECT",$B$2:$B$2277,"&gt;"&amp;B1472))</f>
        <v>1471</v>
      </c>
      <c r="B1472" s="26" t="n">
        <f aca="false">ROUND(($U$2*MAX(0,MIN(1,($W$2-I1472)/($W$2-$V$2)))+$U$3*MAX(0,MIN(1,($W$3-J1472)/($W$3-$V$3)))+$U$4*MAX(0,MIN(1,($W$4-K1472)/($W$4-$V$4)))+$U$5*MAX(0,MIN(1,($W$5-L1472)/($W$5-$V$5)))+$U$6*MAX(0,MIN(1,($W$6-M1472)/($W$6-$V$6)))+$U$7*MAX(0,MIN(1,($W$7-N1472)/($W$7-$V$7)))+$U$8*IF(AND(O1472&gt;=$V$8,O1472&lt;=$W$8),1,0))/$U$9*100,2)</f>
        <v>64.56</v>
      </c>
      <c r="C1472" s="27" t="s">
        <v>2810</v>
      </c>
      <c r="D1472" s="25" t="s">
        <v>134</v>
      </c>
      <c r="E1472" s="25" t="s">
        <v>3450</v>
      </c>
      <c r="F1472" s="25" t="s">
        <v>3448</v>
      </c>
      <c r="G1472" s="38" t="s">
        <v>30</v>
      </c>
      <c r="H1472" s="28" t="s">
        <v>25</v>
      </c>
      <c r="I1472" s="25" t="n">
        <v>3</v>
      </c>
      <c r="J1472" s="25" t="n">
        <v>1</v>
      </c>
      <c r="K1472" s="25" t="n">
        <v>3</v>
      </c>
      <c r="L1472" s="29" t="n">
        <v>0.73</v>
      </c>
      <c r="M1472" s="30" t="n">
        <v>8.94</v>
      </c>
      <c r="N1472" s="29" t="n">
        <v>0.6</v>
      </c>
      <c r="O1472" s="25" t="n">
        <v>183</v>
      </c>
      <c r="P1472" s="30" t="n">
        <v>11.72</v>
      </c>
      <c r="Q1472" s="27" t="s">
        <v>3649</v>
      </c>
      <c r="R1472" s="27" t="s">
        <v>283</v>
      </c>
    </row>
    <row r="1473" customFormat="false" ht="15" hidden="false" customHeight="false" outlineLevel="0" collapsed="false">
      <c r="A1473" s="25" t="n">
        <f aca="false">IF(G1473="REJECT",COUNTIF($G$2:$G$2277,"&lt;&gt;REJECT")+1+COUNTIFS($G$2:$G$2277,"REJECT",$B$2:$B$2277,"&gt;"&amp;B1473),1+COUNTIFS($G$2:$G$2277,"&lt;&gt;REJECT",$B$2:$B$2277,"&gt;"&amp;B1473))</f>
        <v>1472</v>
      </c>
      <c r="B1473" s="26" t="n">
        <f aca="false">ROUND(($U$2*MAX(0,MIN(1,($W$2-I1473)/($W$2-$V$2)))+$U$3*MAX(0,MIN(1,($W$3-J1473)/($W$3-$V$3)))+$U$4*MAX(0,MIN(1,($W$4-K1473)/($W$4-$V$4)))+$U$5*MAX(0,MIN(1,($W$5-L1473)/($W$5-$V$5)))+$U$6*MAX(0,MIN(1,($W$6-M1473)/($W$6-$V$6)))+$U$7*MAX(0,MIN(1,($W$7-N1473)/($W$7-$V$7)))+$U$8*IF(AND(O1473&gt;=$V$8,O1473&lt;=$W$8),1,0))/$U$9*100,2)</f>
        <v>64.49</v>
      </c>
      <c r="C1473" s="27" t="s">
        <v>291</v>
      </c>
      <c r="D1473" s="25" t="s">
        <v>3459</v>
      </c>
      <c r="E1473" s="25" t="s">
        <v>3447</v>
      </c>
      <c r="F1473" s="25" t="s">
        <v>3457</v>
      </c>
      <c r="G1473" s="38" t="s">
        <v>30</v>
      </c>
      <c r="H1473" s="28" t="s">
        <v>25</v>
      </c>
      <c r="I1473" s="25" t="n">
        <v>5</v>
      </c>
      <c r="J1473" s="25" t="n">
        <v>0</v>
      </c>
      <c r="K1473" s="25" t="n">
        <v>5</v>
      </c>
      <c r="L1473" s="29" t="n">
        <v>0.8</v>
      </c>
      <c r="M1473" s="30" t="n">
        <v>20.78</v>
      </c>
      <c r="N1473" s="29" t="n">
        <v>0.48</v>
      </c>
      <c r="O1473" s="25" t="n">
        <v>184</v>
      </c>
      <c r="P1473" s="30" t="n">
        <v>-0.97</v>
      </c>
      <c r="Q1473" s="27" t="s">
        <v>3701</v>
      </c>
      <c r="R1473" s="27" t="s">
        <v>3487</v>
      </c>
    </row>
    <row r="1474" customFormat="false" ht="15" hidden="false" customHeight="false" outlineLevel="0" collapsed="false">
      <c r="A1474" s="25" t="n">
        <f aca="false">IF(G1474="REJECT",COUNTIF($G$2:$G$2277,"&lt;&gt;REJECT")+1+COUNTIFS($G$2:$G$2277,"REJECT",$B$2:$B$2277,"&gt;"&amp;B1474),1+COUNTIFS($G$2:$G$2277,"&lt;&gt;REJECT",$B$2:$B$2277,"&gt;"&amp;B1474))</f>
        <v>1472</v>
      </c>
      <c r="B1474" s="26" t="n">
        <f aca="false">ROUND(($U$2*MAX(0,MIN(1,($W$2-I1474)/($W$2-$V$2)))+$U$3*MAX(0,MIN(1,($W$3-J1474)/($W$3-$V$3)))+$U$4*MAX(0,MIN(1,($W$4-K1474)/($W$4-$V$4)))+$U$5*MAX(0,MIN(1,($W$5-L1474)/($W$5-$V$5)))+$U$6*MAX(0,MIN(1,($W$6-M1474)/($W$6-$V$6)))+$U$7*MAX(0,MIN(1,($W$7-N1474)/($W$7-$V$7)))+$U$8*IF(AND(O1474&gt;=$V$8,O1474&lt;=$W$8),1,0))/$U$9*100,2)</f>
        <v>64.49</v>
      </c>
      <c r="C1474" s="27" t="s">
        <v>669</v>
      </c>
      <c r="D1474" s="25" t="s">
        <v>134</v>
      </c>
      <c r="E1474" s="25" t="s">
        <v>3447</v>
      </c>
      <c r="F1474" s="25" t="s">
        <v>3448</v>
      </c>
      <c r="G1474" s="38" t="s">
        <v>30</v>
      </c>
      <c r="H1474" s="33" t="s">
        <v>24</v>
      </c>
      <c r="I1474" s="25" t="n">
        <v>5</v>
      </c>
      <c r="J1474" s="25" t="n">
        <v>0</v>
      </c>
      <c r="K1474" s="25" t="n">
        <v>5</v>
      </c>
      <c r="L1474" s="29" t="n">
        <v>0.78</v>
      </c>
      <c r="M1474" s="30" t="n">
        <v>10.79</v>
      </c>
      <c r="N1474" s="29" t="n">
        <v>0.76</v>
      </c>
      <c r="O1474" s="25" t="n">
        <v>185</v>
      </c>
      <c r="P1474" s="30" t="n">
        <v>5.99</v>
      </c>
      <c r="Q1474" s="27" t="s">
        <v>3702</v>
      </c>
      <c r="R1474" s="27" t="s">
        <v>30</v>
      </c>
    </row>
    <row r="1475" customFormat="false" ht="15" hidden="false" customHeight="false" outlineLevel="0" collapsed="false">
      <c r="A1475" s="25" t="n">
        <f aca="false">IF(G1475="REJECT",COUNTIF($G$2:$G$2277,"&lt;&gt;REJECT")+1+COUNTIFS($G$2:$G$2277,"REJECT",$B$2:$B$2277,"&gt;"&amp;B1475),1+COUNTIFS($G$2:$G$2277,"&lt;&gt;REJECT",$B$2:$B$2277,"&gt;"&amp;B1475))</f>
        <v>1474</v>
      </c>
      <c r="B1475" s="26" t="n">
        <f aca="false">ROUND(($U$2*MAX(0,MIN(1,($W$2-I1475)/($W$2-$V$2)))+$U$3*MAX(0,MIN(1,($W$3-J1475)/($W$3-$V$3)))+$U$4*MAX(0,MIN(1,($W$4-K1475)/($W$4-$V$4)))+$U$5*MAX(0,MIN(1,($W$5-L1475)/($W$5-$V$5)))+$U$6*MAX(0,MIN(1,($W$6-M1475)/($W$6-$V$6)))+$U$7*MAX(0,MIN(1,($W$7-N1475)/($W$7-$V$7)))+$U$8*IF(AND(O1475&gt;=$V$8,O1475&lt;=$W$8),1,0))/$U$9*100,2)</f>
        <v>64.43</v>
      </c>
      <c r="C1475" s="27" t="s">
        <v>480</v>
      </c>
      <c r="D1475" s="25" t="s">
        <v>3459</v>
      </c>
      <c r="E1475" s="25" t="s">
        <v>3450</v>
      </c>
      <c r="F1475" s="25" t="s">
        <v>3448</v>
      </c>
      <c r="G1475" s="38" t="s">
        <v>30</v>
      </c>
      <c r="H1475" s="28" t="s">
        <v>25</v>
      </c>
      <c r="I1475" s="25" t="n">
        <v>3</v>
      </c>
      <c r="J1475" s="25" t="n">
        <v>1</v>
      </c>
      <c r="K1475" s="25" t="n">
        <v>3</v>
      </c>
      <c r="L1475" s="29" t="n">
        <v>0.74</v>
      </c>
      <c r="M1475" s="30" t="n">
        <v>17.71</v>
      </c>
      <c r="N1475" s="29" t="n">
        <v>0.16</v>
      </c>
      <c r="O1475" s="25" t="n">
        <v>185</v>
      </c>
      <c r="P1475" s="30" t="n">
        <v>11.03</v>
      </c>
      <c r="Q1475" s="27" t="s">
        <v>3703</v>
      </c>
      <c r="R1475" s="27" t="s">
        <v>1099</v>
      </c>
    </row>
    <row r="1476" customFormat="false" ht="15" hidden="false" customHeight="false" outlineLevel="0" collapsed="false">
      <c r="A1476" s="25" t="n">
        <f aca="false">IF(G1476="REJECT",COUNTIF($G$2:$G$2277,"&lt;&gt;REJECT")+1+COUNTIFS($G$2:$G$2277,"REJECT",$B$2:$B$2277,"&gt;"&amp;B1476),1+COUNTIFS($G$2:$G$2277,"&lt;&gt;REJECT",$B$2:$B$2277,"&gt;"&amp;B1476))</f>
        <v>1474</v>
      </c>
      <c r="B1476" s="26" t="n">
        <f aca="false">ROUND(($U$2*MAX(0,MIN(1,($W$2-I1476)/($W$2-$V$2)))+$U$3*MAX(0,MIN(1,($W$3-J1476)/($W$3-$V$3)))+$U$4*MAX(0,MIN(1,($W$4-K1476)/($W$4-$V$4)))+$U$5*MAX(0,MIN(1,($W$5-L1476)/($W$5-$V$5)))+$U$6*MAX(0,MIN(1,($W$6-M1476)/($W$6-$V$6)))+$U$7*MAX(0,MIN(1,($W$7-N1476)/($W$7-$V$7)))+$U$8*IF(AND(O1476&gt;=$V$8,O1476&lt;=$W$8),1,0))/$U$9*100,2)</f>
        <v>64.43</v>
      </c>
      <c r="C1476" s="27" t="s">
        <v>3105</v>
      </c>
      <c r="D1476" s="25" t="s">
        <v>134</v>
      </c>
      <c r="E1476" s="25" t="s">
        <v>3450</v>
      </c>
      <c r="F1476" s="25" t="s">
        <v>3448</v>
      </c>
      <c r="G1476" s="38" t="s">
        <v>30</v>
      </c>
      <c r="H1476" s="28" t="s">
        <v>25</v>
      </c>
      <c r="I1476" s="25" t="n">
        <v>3</v>
      </c>
      <c r="J1476" s="25" t="n">
        <v>1</v>
      </c>
      <c r="K1476" s="25" t="n">
        <v>3</v>
      </c>
      <c r="L1476" s="29" t="n">
        <v>0.76</v>
      </c>
      <c r="M1476" s="30" t="n">
        <v>23.7</v>
      </c>
      <c r="N1476" s="29" t="n">
        <v>0.28</v>
      </c>
      <c r="O1476" s="25" t="n">
        <v>184</v>
      </c>
      <c r="P1476" s="30" t="n">
        <v>3.79</v>
      </c>
      <c r="Q1476" s="27" t="s">
        <v>3649</v>
      </c>
      <c r="R1476" s="27" t="s">
        <v>183</v>
      </c>
    </row>
    <row r="1477" customFormat="false" ht="15" hidden="false" customHeight="false" outlineLevel="0" collapsed="false">
      <c r="A1477" s="25" t="n">
        <f aca="false">IF(G1477="REJECT",COUNTIF($G$2:$G$2277,"&lt;&gt;REJECT")+1+COUNTIFS($G$2:$G$2277,"REJECT",$B$2:$B$2277,"&gt;"&amp;B1477),1+COUNTIFS($G$2:$G$2277,"&lt;&gt;REJECT",$B$2:$B$2277,"&gt;"&amp;B1477))</f>
        <v>1476</v>
      </c>
      <c r="B1477" s="26" t="n">
        <f aca="false">ROUND(($U$2*MAX(0,MIN(1,($W$2-I1477)/($W$2-$V$2)))+$U$3*MAX(0,MIN(1,($W$3-J1477)/($W$3-$V$3)))+$U$4*MAX(0,MIN(1,($W$4-K1477)/($W$4-$V$4)))+$U$5*MAX(0,MIN(1,($W$5-L1477)/($W$5-$V$5)))+$U$6*MAX(0,MIN(1,($W$6-M1477)/($W$6-$V$6)))+$U$7*MAX(0,MIN(1,($W$7-N1477)/($W$7-$V$7)))+$U$8*IF(AND(O1477&gt;=$V$8,O1477&lt;=$W$8),1,0))/$U$9*100,2)</f>
        <v>64.39</v>
      </c>
      <c r="C1477" s="27" t="s">
        <v>3051</v>
      </c>
      <c r="D1477" s="25" t="s">
        <v>3459</v>
      </c>
      <c r="E1477" s="25" t="s">
        <v>3447</v>
      </c>
      <c r="F1477" s="25" t="s">
        <v>3457</v>
      </c>
      <c r="G1477" s="38" t="s">
        <v>30</v>
      </c>
      <c r="H1477" s="28" t="s">
        <v>25</v>
      </c>
      <c r="I1477" s="25" t="n">
        <v>5</v>
      </c>
      <c r="J1477" s="25" t="n">
        <v>0</v>
      </c>
      <c r="K1477" s="25" t="n">
        <v>5</v>
      </c>
      <c r="L1477" s="29" t="n">
        <v>0.8</v>
      </c>
      <c r="M1477" s="30" t="n">
        <v>26.19</v>
      </c>
      <c r="N1477" s="29" t="n">
        <v>0</v>
      </c>
      <c r="O1477" s="25" t="n">
        <v>185</v>
      </c>
      <c r="P1477" s="30" t="n">
        <v>-1.35</v>
      </c>
      <c r="Q1477" s="27" t="s">
        <v>3704</v>
      </c>
      <c r="R1477" s="27" t="s">
        <v>144</v>
      </c>
    </row>
    <row r="1478" customFormat="false" ht="15" hidden="false" customHeight="false" outlineLevel="0" collapsed="false">
      <c r="A1478" s="25" t="n">
        <f aca="false">IF(G1478="REJECT",COUNTIF($G$2:$G$2277,"&lt;&gt;REJECT")+1+COUNTIFS($G$2:$G$2277,"REJECT",$B$2:$B$2277,"&gt;"&amp;B1478),1+COUNTIFS($G$2:$G$2277,"&lt;&gt;REJECT",$B$2:$B$2277,"&gt;"&amp;B1478))</f>
        <v>1476</v>
      </c>
      <c r="B1478" s="26" t="n">
        <f aca="false">ROUND(($U$2*MAX(0,MIN(1,($W$2-I1478)/($W$2-$V$2)))+$U$3*MAX(0,MIN(1,($W$3-J1478)/($W$3-$V$3)))+$U$4*MAX(0,MIN(1,($W$4-K1478)/($W$4-$V$4)))+$U$5*MAX(0,MIN(1,($W$5-L1478)/($W$5-$V$5)))+$U$6*MAX(0,MIN(1,($W$6-M1478)/($W$6-$V$6)))+$U$7*MAX(0,MIN(1,($W$7-N1478)/($W$7-$V$7)))+$U$8*IF(AND(O1478&gt;=$V$8,O1478&lt;=$W$8),1,0))/$U$9*100,2)</f>
        <v>64.39</v>
      </c>
      <c r="C1478" s="27" t="s">
        <v>3087</v>
      </c>
      <c r="D1478" s="25" t="s">
        <v>134</v>
      </c>
      <c r="E1478" s="25" t="s">
        <v>3447</v>
      </c>
      <c r="F1478" s="25" t="s">
        <v>3457</v>
      </c>
      <c r="G1478" s="38" t="s">
        <v>30</v>
      </c>
      <c r="H1478" s="33" t="s">
        <v>24</v>
      </c>
      <c r="I1478" s="25" t="n">
        <v>5</v>
      </c>
      <c r="J1478" s="25" t="n">
        <v>0</v>
      </c>
      <c r="K1478" s="25" t="n">
        <v>5</v>
      </c>
      <c r="L1478" s="29" t="n">
        <v>0.77</v>
      </c>
      <c r="M1478" s="30" t="n">
        <v>11.77</v>
      </c>
      <c r="N1478" s="29" t="n">
        <v>0.36</v>
      </c>
      <c r="O1478" s="25" t="n">
        <v>183</v>
      </c>
      <c r="P1478" s="30" t="n">
        <v>-1.03</v>
      </c>
      <c r="Q1478" s="27" t="s">
        <v>3705</v>
      </c>
      <c r="R1478" s="27" t="s">
        <v>30</v>
      </c>
    </row>
    <row r="1479" customFormat="false" ht="15" hidden="false" customHeight="false" outlineLevel="0" collapsed="false">
      <c r="A1479" s="25" t="n">
        <f aca="false">IF(G1479="REJECT",COUNTIF($G$2:$G$2277,"&lt;&gt;REJECT")+1+COUNTIFS($G$2:$G$2277,"REJECT",$B$2:$B$2277,"&gt;"&amp;B1479),1+COUNTIFS($G$2:$G$2277,"&lt;&gt;REJECT",$B$2:$B$2277,"&gt;"&amp;B1479))</f>
        <v>1478</v>
      </c>
      <c r="B1479" s="26" t="n">
        <f aca="false">ROUND(($U$2*MAX(0,MIN(1,($W$2-I1479)/($W$2-$V$2)))+$U$3*MAX(0,MIN(1,($W$3-J1479)/($W$3-$V$3)))+$U$4*MAX(0,MIN(1,($W$4-K1479)/($W$4-$V$4)))+$U$5*MAX(0,MIN(1,($W$5-L1479)/($W$5-$V$5)))+$U$6*MAX(0,MIN(1,($W$6-M1479)/($W$6-$V$6)))+$U$7*MAX(0,MIN(1,($W$7-N1479)/($W$7-$V$7)))+$U$8*IF(AND(O1479&gt;=$V$8,O1479&lt;=$W$8),1,0))/$U$9*100,2)</f>
        <v>64.38</v>
      </c>
      <c r="C1479" s="27" t="s">
        <v>2810</v>
      </c>
      <c r="D1479" s="25" t="s">
        <v>3459</v>
      </c>
      <c r="E1479" s="25" t="s">
        <v>3447</v>
      </c>
      <c r="F1479" s="25" t="s">
        <v>3448</v>
      </c>
      <c r="G1479" s="38" t="s">
        <v>30</v>
      </c>
      <c r="H1479" s="28" t="s">
        <v>25</v>
      </c>
      <c r="I1479" s="25" t="n">
        <v>5</v>
      </c>
      <c r="J1479" s="25" t="n">
        <v>0</v>
      </c>
      <c r="K1479" s="25" t="n">
        <v>5</v>
      </c>
      <c r="L1479" s="29" t="n">
        <v>0.81</v>
      </c>
      <c r="M1479" s="30" t="n">
        <v>16.6</v>
      </c>
      <c r="N1479" s="29" t="n">
        <v>0.96</v>
      </c>
      <c r="O1479" s="25" t="n">
        <v>183</v>
      </c>
      <c r="P1479" s="30" t="n">
        <v>5.55</v>
      </c>
      <c r="Q1479" s="27" t="s">
        <v>3706</v>
      </c>
      <c r="R1479" s="27" t="s">
        <v>2133</v>
      </c>
    </row>
    <row r="1480" customFormat="false" ht="15" hidden="false" customHeight="false" outlineLevel="0" collapsed="false">
      <c r="A1480" s="25" t="n">
        <f aca="false">IF(G1480="REJECT",COUNTIF($G$2:$G$2277,"&lt;&gt;REJECT")+1+COUNTIFS($G$2:$G$2277,"REJECT",$B$2:$B$2277,"&gt;"&amp;B1480),1+COUNTIFS($G$2:$G$2277,"&lt;&gt;REJECT",$B$2:$B$2277,"&gt;"&amp;B1480))</f>
        <v>1479</v>
      </c>
      <c r="B1480" s="26" t="n">
        <f aca="false">ROUND(($U$2*MAX(0,MIN(1,($W$2-I1480)/($W$2-$V$2)))+$U$3*MAX(0,MIN(1,($W$3-J1480)/($W$3-$V$3)))+$U$4*MAX(0,MIN(1,($W$4-K1480)/($W$4-$V$4)))+$U$5*MAX(0,MIN(1,($W$5-L1480)/($W$5-$V$5)))+$U$6*MAX(0,MIN(1,($W$6-M1480)/($W$6-$V$6)))+$U$7*MAX(0,MIN(1,($W$7-N1480)/($W$7-$V$7)))+$U$8*IF(AND(O1480&gt;=$V$8,O1480&lt;=$W$8),1,0))/$U$9*100,2)</f>
        <v>64.37</v>
      </c>
      <c r="C1480" s="27" t="s">
        <v>2620</v>
      </c>
      <c r="D1480" s="25" t="s">
        <v>134</v>
      </c>
      <c r="E1480" s="25" t="s">
        <v>3447</v>
      </c>
      <c r="F1480" s="25" t="s">
        <v>3448</v>
      </c>
      <c r="G1480" s="38" t="s">
        <v>30</v>
      </c>
      <c r="H1480" s="33" t="s">
        <v>24</v>
      </c>
      <c r="I1480" s="25" t="n">
        <v>5</v>
      </c>
      <c r="J1480" s="25" t="n">
        <v>0</v>
      </c>
      <c r="K1480" s="25" t="n">
        <v>5</v>
      </c>
      <c r="L1480" s="29" t="n">
        <v>0.79</v>
      </c>
      <c r="M1480" s="30" t="n">
        <v>14.67</v>
      </c>
      <c r="N1480" s="29" t="n">
        <v>0.8</v>
      </c>
      <c r="O1480" s="25" t="n">
        <v>183</v>
      </c>
      <c r="P1480" s="30" t="n">
        <v>2.77</v>
      </c>
      <c r="Q1480" s="27" t="s">
        <v>3707</v>
      </c>
      <c r="R1480" s="27" t="s">
        <v>30</v>
      </c>
    </row>
    <row r="1481" customFormat="false" ht="15" hidden="false" customHeight="false" outlineLevel="0" collapsed="false">
      <c r="A1481" s="25" t="n">
        <f aca="false">IF(G1481="REJECT",COUNTIF($G$2:$G$2277,"&lt;&gt;REJECT")+1+COUNTIFS($G$2:$G$2277,"REJECT",$B$2:$B$2277,"&gt;"&amp;B1481),1+COUNTIFS($G$2:$G$2277,"&lt;&gt;REJECT",$B$2:$B$2277,"&gt;"&amp;B1481))</f>
        <v>1480</v>
      </c>
      <c r="B1481" s="26" t="n">
        <f aca="false">ROUND(($U$2*MAX(0,MIN(1,($W$2-I1481)/($W$2-$V$2)))+$U$3*MAX(0,MIN(1,($W$3-J1481)/($W$3-$V$3)))+$U$4*MAX(0,MIN(1,($W$4-K1481)/($W$4-$V$4)))+$U$5*MAX(0,MIN(1,($W$5-L1481)/($W$5-$V$5)))+$U$6*MAX(0,MIN(1,($W$6-M1481)/($W$6-$V$6)))+$U$7*MAX(0,MIN(1,($W$7-N1481)/($W$7-$V$7)))+$U$8*IF(AND(O1481&gt;=$V$8,O1481&lt;=$W$8),1,0))/$U$9*100,2)</f>
        <v>64.35</v>
      </c>
      <c r="C1481" s="27" t="s">
        <v>656</v>
      </c>
      <c r="D1481" s="25" t="s">
        <v>134</v>
      </c>
      <c r="E1481" s="25" t="s">
        <v>3450</v>
      </c>
      <c r="F1481" s="25" t="s">
        <v>3457</v>
      </c>
      <c r="G1481" s="38" t="s">
        <v>30</v>
      </c>
      <c r="H1481" s="28" t="s">
        <v>25</v>
      </c>
      <c r="I1481" s="25" t="n">
        <v>3</v>
      </c>
      <c r="J1481" s="25" t="n">
        <v>1</v>
      </c>
      <c r="K1481" s="25" t="n">
        <v>3</v>
      </c>
      <c r="L1481" s="29" t="n">
        <v>0.72</v>
      </c>
      <c r="M1481" s="30" t="n">
        <v>6.62</v>
      </c>
      <c r="N1481" s="29" t="n">
        <v>0.6</v>
      </c>
      <c r="O1481" s="25" t="n">
        <v>186</v>
      </c>
      <c r="P1481" s="30" t="n">
        <v>8.04</v>
      </c>
      <c r="Q1481" s="27" t="s">
        <v>3649</v>
      </c>
      <c r="R1481" s="27" t="s">
        <v>283</v>
      </c>
    </row>
    <row r="1482" customFormat="false" ht="15" hidden="false" customHeight="false" outlineLevel="0" collapsed="false">
      <c r="A1482" s="25" t="n">
        <f aca="false">IF(G1482="REJECT",COUNTIF($G$2:$G$2277,"&lt;&gt;REJECT")+1+COUNTIFS($G$2:$G$2277,"REJECT",$B$2:$B$2277,"&gt;"&amp;B1482),1+COUNTIFS($G$2:$G$2277,"&lt;&gt;REJECT",$B$2:$B$2277,"&gt;"&amp;B1482))</f>
        <v>1481</v>
      </c>
      <c r="B1482" s="26" t="n">
        <f aca="false">ROUND(($U$2*MAX(0,MIN(1,($W$2-I1482)/($W$2-$V$2)))+$U$3*MAX(0,MIN(1,($W$3-J1482)/($W$3-$V$3)))+$U$4*MAX(0,MIN(1,($W$4-K1482)/($W$4-$V$4)))+$U$5*MAX(0,MIN(1,($W$5-L1482)/($W$5-$V$5)))+$U$6*MAX(0,MIN(1,($W$6-M1482)/($W$6-$V$6)))+$U$7*MAX(0,MIN(1,($W$7-N1482)/($W$7-$V$7)))+$U$8*IF(AND(O1482&gt;=$V$8,O1482&lt;=$W$8),1,0))/$U$9*100,2)</f>
        <v>64.17</v>
      </c>
      <c r="C1482" s="27" t="s">
        <v>2113</v>
      </c>
      <c r="D1482" s="25" t="s">
        <v>134</v>
      </c>
      <c r="E1482" s="25" t="s">
        <v>3450</v>
      </c>
      <c r="F1482" s="25" t="s">
        <v>3457</v>
      </c>
      <c r="G1482" s="38" t="s">
        <v>30</v>
      </c>
      <c r="H1482" s="28" t="s">
        <v>25</v>
      </c>
      <c r="I1482" s="25" t="n">
        <v>3</v>
      </c>
      <c r="J1482" s="25" t="n">
        <v>1</v>
      </c>
      <c r="K1482" s="25" t="n">
        <v>3</v>
      </c>
      <c r="L1482" s="29" t="n">
        <v>0.74</v>
      </c>
      <c r="M1482" s="30" t="n">
        <v>16.09</v>
      </c>
      <c r="N1482" s="29" t="n">
        <v>0.48</v>
      </c>
      <c r="O1482" s="25" t="n">
        <v>187</v>
      </c>
      <c r="P1482" s="30" t="n">
        <v>13.01</v>
      </c>
      <c r="Q1482" s="27" t="s">
        <v>3649</v>
      </c>
      <c r="R1482" s="27" t="s">
        <v>283</v>
      </c>
    </row>
    <row r="1483" customFormat="false" ht="15" hidden="false" customHeight="false" outlineLevel="0" collapsed="false">
      <c r="A1483" s="25" t="n">
        <f aca="false">IF(G1483="REJECT",COUNTIF($G$2:$G$2277,"&lt;&gt;REJECT")+1+COUNTIFS($G$2:$G$2277,"REJECT",$B$2:$B$2277,"&gt;"&amp;B1483),1+COUNTIFS($G$2:$G$2277,"&lt;&gt;REJECT",$B$2:$B$2277,"&gt;"&amp;B1483))</f>
        <v>1482</v>
      </c>
      <c r="B1483" s="26" t="n">
        <f aca="false">ROUND(($U$2*MAX(0,MIN(1,($W$2-I1483)/($W$2-$V$2)))+$U$3*MAX(0,MIN(1,($W$3-J1483)/($W$3-$V$3)))+$U$4*MAX(0,MIN(1,($W$4-K1483)/($W$4-$V$4)))+$U$5*MAX(0,MIN(1,($W$5-L1483)/($W$5-$V$5)))+$U$6*MAX(0,MIN(1,($W$6-M1483)/($W$6-$V$6)))+$U$7*MAX(0,MIN(1,($W$7-N1483)/($W$7-$V$7)))+$U$8*IF(AND(O1483&gt;=$V$8,O1483&lt;=$W$8),1,0))/$U$9*100,2)</f>
        <v>64.15</v>
      </c>
      <c r="C1483" s="27" t="s">
        <v>1503</v>
      </c>
      <c r="D1483" s="25" t="s">
        <v>134</v>
      </c>
      <c r="E1483" s="25" t="s">
        <v>3450</v>
      </c>
      <c r="F1483" s="25" t="s">
        <v>3448</v>
      </c>
      <c r="G1483" s="38" t="s">
        <v>30</v>
      </c>
      <c r="H1483" s="28" t="s">
        <v>25</v>
      </c>
      <c r="I1483" s="25" t="n">
        <v>3</v>
      </c>
      <c r="J1483" s="25" t="n">
        <v>1</v>
      </c>
      <c r="K1483" s="25" t="n">
        <v>3</v>
      </c>
      <c r="L1483" s="29" t="n">
        <v>0.75</v>
      </c>
      <c r="M1483" s="30" t="n">
        <v>15.02</v>
      </c>
      <c r="N1483" s="29" t="n">
        <v>0.96</v>
      </c>
      <c r="O1483" s="25" t="n">
        <v>226</v>
      </c>
      <c r="P1483" s="30" t="n">
        <v>3.92</v>
      </c>
      <c r="Q1483" s="27" t="s">
        <v>3649</v>
      </c>
      <c r="R1483" s="27" t="s">
        <v>283</v>
      </c>
    </row>
    <row r="1484" customFormat="false" ht="15" hidden="false" customHeight="false" outlineLevel="0" collapsed="false">
      <c r="A1484" s="25" t="n">
        <f aca="false">IF(G1484="REJECT",COUNTIF($G$2:$G$2277,"&lt;&gt;REJECT")+1+COUNTIFS($G$2:$G$2277,"REJECT",$B$2:$B$2277,"&gt;"&amp;B1484),1+COUNTIFS($G$2:$G$2277,"&lt;&gt;REJECT",$B$2:$B$2277,"&gt;"&amp;B1484))</f>
        <v>1482</v>
      </c>
      <c r="B1484" s="26" t="n">
        <f aca="false">ROUND(($U$2*MAX(0,MIN(1,($W$2-I1484)/($W$2-$V$2)))+$U$3*MAX(0,MIN(1,($W$3-J1484)/($W$3-$V$3)))+$U$4*MAX(0,MIN(1,($W$4-K1484)/($W$4-$V$4)))+$U$5*MAX(0,MIN(1,($W$5-L1484)/($W$5-$V$5)))+$U$6*MAX(0,MIN(1,($W$6-M1484)/($W$6-$V$6)))+$U$7*MAX(0,MIN(1,($W$7-N1484)/($W$7-$V$7)))+$U$8*IF(AND(O1484&gt;=$V$8,O1484&lt;=$W$8),1,0))/$U$9*100,2)</f>
        <v>64.15</v>
      </c>
      <c r="C1484" s="27" t="s">
        <v>2620</v>
      </c>
      <c r="D1484" s="25" t="s">
        <v>134</v>
      </c>
      <c r="E1484" s="25" t="s">
        <v>3450</v>
      </c>
      <c r="F1484" s="25" t="s">
        <v>3457</v>
      </c>
      <c r="G1484" s="38" t="s">
        <v>30</v>
      </c>
      <c r="H1484" s="28" t="s">
        <v>25</v>
      </c>
      <c r="I1484" s="25" t="n">
        <v>3</v>
      </c>
      <c r="J1484" s="25" t="n">
        <v>1</v>
      </c>
      <c r="K1484" s="25" t="n">
        <v>3</v>
      </c>
      <c r="L1484" s="29" t="n">
        <v>0.72</v>
      </c>
      <c r="M1484" s="30" t="n">
        <v>7</v>
      </c>
      <c r="N1484" s="29" t="n">
        <v>0.68</v>
      </c>
      <c r="O1484" s="25" t="n">
        <v>198</v>
      </c>
      <c r="P1484" s="30" t="n">
        <v>0.55</v>
      </c>
      <c r="Q1484" s="27" t="s">
        <v>3649</v>
      </c>
      <c r="R1484" s="27" t="s">
        <v>1230</v>
      </c>
    </row>
    <row r="1485" customFormat="false" ht="15" hidden="false" customHeight="false" outlineLevel="0" collapsed="false">
      <c r="A1485" s="25" t="n">
        <f aca="false">IF(G1485="REJECT",COUNTIF($G$2:$G$2277,"&lt;&gt;REJECT")+1+COUNTIFS($G$2:$G$2277,"REJECT",$B$2:$B$2277,"&gt;"&amp;B1485),1+COUNTIFS($G$2:$G$2277,"&lt;&gt;REJECT",$B$2:$B$2277,"&gt;"&amp;B1485))</f>
        <v>1484</v>
      </c>
      <c r="B1485" s="26" t="n">
        <f aca="false">ROUND(($U$2*MAX(0,MIN(1,($W$2-I1485)/($W$2-$V$2)))+$U$3*MAX(0,MIN(1,($W$3-J1485)/($W$3-$V$3)))+$U$4*MAX(0,MIN(1,($W$4-K1485)/($W$4-$V$4)))+$U$5*MAX(0,MIN(1,($W$5-L1485)/($W$5-$V$5)))+$U$6*MAX(0,MIN(1,($W$6-M1485)/($W$6-$V$6)))+$U$7*MAX(0,MIN(1,($W$7-N1485)/($W$7-$V$7)))+$U$8*IF(AND(O1485&gt;=$V$8,O1485&lt;=$W$8),1,0))/$U$9*100,2)</f>
        <v>64.11</v>
      </c>
      <c r="C1485" s="27" t="s">
        <v>1657</v>
      </c>
      <c r="D1485" s="25" t="s">
        <v>134</v>
      </c>
      <c r="E1485" s="25" t="s">
        <v>3447</v>
      </c>
      <c r="F1485" s="25" t="s">
        <v>3457</v>
      </c>
      <c r="G1485" s="38" t="s">
        <v>30</v>
      </c>
      <c r="H1485" s="28" t="s">
        <v>25</v>
      </c>
      <c r="I1485" s="25" t="n">
        <v>3</v>
      </c>
      <c r="J1485" s="25" t="n">
        <v>1</v>
      </c>
      <c r="K1485" s="25" t="n">
        <v>3</v>
      </c>
      <c r="L1485" s="29" t="n">
        <v>0.75</v>
      </c>
      <c r="M1485" s="30" t="n">
        <v>24.85</v>
      </c>
      <c r="N1485" s="29" t="n">
        <v>0</v>
      </c>
      <c r="O1485" s="25" t="n">
        <v>185</v>
      </c>
      <c r="P1485" s="30" t="n">
        <v>-2.25</v>
      </c>
      <c r="Q1485" s="27" t="s">
        <v>3649</v>
      </c>
      <c r="R1485" s="27" t="s">
        <v>183</v>
      </c>
    </row>
    <row r="1486" customFormat="false" ht="15" hidden="false" customHeight="false" outlineLevel="0" collapsed="false">
      <c r="A1486" s="25" t="n">
        <f aca="false">IF(G1486="REJECT",COUNTIF($G$2:$G$2277,"&lt;&gt;REJECT")+1+COUNTIFS($G$2:$G$2277,"REJECT",$B$2:$B$2277,"&gt;"&amp;B1486),1+COUNTIFS($G$2:$G$2277,"&lt;&gt;REJECT",$B$2:$B$2277,"&gt;"&amp;B1486))</f>
        <v>1485</v>
      </c>
      <c r="B1486" s="26" t="n">
        <f aca="false">ROUND(($U$2*MAX(0,MIN(1,($W$2-I1486)/($W$2-$V$2)))+$U$3*MAX(0,MIN(1,($W$3-J1486)/($W$3-$V$3)))+$U$4*MAX(0,MIN(1,($W$4-K1486)/($W$4-$V$4)))+$U$5*MAX(0,MIN(1,($W$5-L1486)/($W$5-$V$5)))+$U$6*MAX(0,MIN(1,($W$6-M1486)/($W$6-$V$6)))+$U$7*MAX(0,MIN(1,($W$7-N1486)/($W$7-$V$7)))+$U$8*IF(AND(O1486&gt;=$V$8,O1486&lt;=$W$8),1,0))/$U$9*100,2)</f>
        <v>64.1</v>
      </c>
      <c r="C1486" s="27" t="s">
        <v>2441</v>
      </c>
      <c r="D1486" s="25" t="s">
        <v>134</v>
      </c>
      <c r="E1486" s="25" t="s">
        <v>3450</v>
      </c>
      <c r="F1486" s="25" t="s">
        <v>3457</v>
      </c>
      <c r="G1486" s="38" t="s">
        <v>30</v>
      </c>
      <c r="H1486" s="28" t="s">
        <v>25</v>
      </c>
      <c r="I1486" s="25" t="n">
        <v>2</v>
      </c>
      <c r="J1486" s="25" t="n">
        <v>1</v>
      </c>
      <c r="K1486" s="25" t="n">
        <v>2</v>
      </c>
      <c r="L1486" s="29" t="n">
        <v>0.66</v>
      </c>
      <c r="M1486" s="30" t="n">
        <v>34.47</v>
      </c>
      <c r="N1486" s="29" t="n">
        <v>0</v>
      </c>
      <c r="O1486" s="25" t="n">
        <v>190</v>
      </c>
      <c r="P1486" s="30" t="n">
        <v>17.42</v>
      </c>
      <c r="Q1486" s="27" t="s">
        <v>3566</v>
      </c>
      <c r="R1486" s="27" t="s">
        <v>1140</v>
      </c>
    </row>
    <row r="1487" customFormat="false" ht="15" hidden="false" customHeight="false" outlineLevel="0" collapsed="false">
      <c r="A1487" s="25" t="n">
        <f aca="false">IF(G1487="REJECT",COUNTIF($G$2:$G$2277,"&lt;&gt;REJECT")+1+COUNTIFS($G$2:$G$2277,"REJECT",$B$2:$B$2277,"&gt;"&amp;B1487),1+COUNTIFS($G$2:$G$2277,"&lt;&gt;REJECT",$B$2:$B$2277,"&gt;"&amp;B1487))</f>
        <v>1486</v>
      </c>
      <c r="B1487" s="26" t="n">
        <f aca="false">ROUND(($U$2*MAX(0,MIN(1,($W$2-I1487)/($W$2-$V$2)))+$U$3*MAX(0,MIN(1,($W$3-J1487)/($W$3-$V$3)))+$U$4*MAX(0,MIN(1,($W$4-K1487)/($W$4-$V$4)))+$U$5*MAX(0,MIN(1,($W$5-L1487)/($W$5-$V$5)))+$U$6*MAX(0,MIN(1,($W$6-M1487)/($W$6-$V$6)))+$U$7*MAX(0,MIN(1,($W$7-N1487)/($W$7-$V$7)))+$U$8*IF(AND(O1487&gt;=$V$8,O1487&lt;=$W$8),1,0))/$U$9*100,2)</f>
        <v>64.05</v>
      </c>
      <c r="C1487" s="27" t="s">
        <v>2697</v>
      </c>
      <c r="D1487" s="25" t="s">
        <v>134</v>
      </c>
      <c r="E1487" s="25" t="s">
        <v>3450</v>
      </c>
      <c r="F1487" s="25" t="s">
        <v>3448</v>
      </c>
      <c r="G1487" s="38" t="s">
        <v>30</v>
      </c>
      <c r="H1487" s="28" t="s">
        <v>25</v>
      </c>
      <c r="I1487" s="25" t="n">
        <v>3</v>
      </c>
      <c r="J1487" s="25" t="n">
        <v>1</v>
      </c>
      <c r="K1487" s="25" t="n">
        <v>3</v>
      </c>
      <c r="L1487" s="29" t="n">
        <v>0.71</v>
      </c>
      <c r="M1487" s="30" t="n">
        <v>1.6</v>
      </c>
      <c r="N1487" s="29" t="n">
        <v>0.92</v>
      </c>
      <c r="O1487" s="25" t="n">
        <v>200</v>
      </c>
      <c r="P1487" s="30" t="n">
        <v>-1.14</v>
      </c>
      <c r="Q1487" s="27" t="s">
        <v>3708</v>
      </c>
      <c r="R1487" s="27" t="s">
        <v>1230</v>
      </c>
    </row>
    <row r="1488" customFormat="false" ht="15" hidden="false" customHeight="false" outlineLevel="0" collapsed="false">
      <c r="A1488" s="25" t="n">
        <f aca="false">IF(G1488="REJECT",COUNTIF($G$2:$G$2277,"&lt;&gt;REJECT")+1+COUNTIFS($G$2:$G$2277,"REJECT",$B$2:$B$2277,"&gt;"&amp;B1488),1+COUNTIFS($G$2:$G$2277,"&lt;&gt;REJECT",$B$2:$B$2277,"&gt;"&amp;B1488))</f>
        <v>1487</v>
      </c>
      <c r="B1488" s="26" t="n">
        <f aca="false">ROUND(($U$2*MAX(0,MIN(1,($W$2-I1488)/($W$2-$V$2)))+$U$3*MAX(0,MIN(1,($W$3-J1488)/($W$3-$V$3)))+$U$4*MAX(0,MIN(1,($W$4-K1488)/($W$4-$V$4)))+$U$5*MAX(0,MIN(1,($W$5-L1488)/($W$5-$V$5)))+$U$6*MAX(0,MIN(1,($W$6-M1488)/($W$6-$V$6)))+$U$7*MAX(0,MIN(1,($W$7-N1488)/($W$7-$V$7)))+$U$8*IF(AND(O1488&gt;=$V$8,O1488&lt;=$W$8),1,0))/$U$9*100,2)</f>
        <v>64</v>
      </c>
      <c r="C1488" s="27" t="s">
        <v>3202</v>
      </c>
      <c r="D1488" s="25" t="s">
        <v>134</v>
      </c>
      <c r="E1488" s="25" t="s">
        <v>3447</v>
      </c>
      <c r="F1488" s="25" t="s">
        <v>3457</v>
      </c>
      <c r="G1488" s="38" t="s">
        <v>30</v>
      </c>
      <c r="H1488" s="28" t="s">
        <v>25</v>
      </c>
      <c r="I1488" s="25" t="n">
        <v>5</v>
      </c>
      <c r="J1488" s="25" t="n">
        <v>0</v>
      </c>
      <c r="K1488" s="25" t="n">
        <v>5</v>
      </c>
      <c r="L1488" s="29" t="n">
        <v>0.78</v>
      </c>
      <c r="M1488" s="30" t="n">
        <v>14.88</v>
      </c>
      <c r="N1488" s="29" t="n">
        <v>0.64</v>
      </c>
      <c r="O1488" s="25" t="n">
        <v>186</v>
      </c>
      <c r="P1488" s="30" t="n">
        <v>-0.87</v>
      </c>
      <c r="Q1488" s="27" t="s">
        <v>3709</v>
      </c>
      <c r="R1488" s="27" t="s">
        <v>2610</v>
      </c>
    </row>
    <row r="1489" customFormat="false" ht="15" hidden="false" customHeight="false" outlineLevel="0" collapsed="false">
      <c r="A1489" s="25" t="n">
        <f aca="false">IF(G1489="REJECT",COUNTIF($G$2:$G$2277,"&lt;&gt;REJECT")+1+COUNTIFS($G$2:$G$2277,"REJECT",$B$2:$B$2277,"&gt;"&amp;B1489),1+COUNTIFS($G$2:$G$2277,"&lt;&gt;REJECT",$B$2:$B$2277,"&gt;"&amp;B1489))</f>
        <v>1488</v>
      </c>
      <c r="B1489" s="26" t="n">
        <f aca="false">ROUND(($U$2*MAX(0,MIN(1,($W$2-I1489)/($W$2-$V$2)))+$U$3*MAX(0,MIN(1,($W$3-J1489)/($W$3-$V$3)))+$U$4*MAX(0,MIN(1,($W$4-K1489)/($W$4-$V$4)))+$U$5*MAX(0,MIN(1,($W$5-L1489)/($W$5-$V$5)))+$U$6*MAX(0,MIN(1,($W$6-M1489)/($W$6-$V$6)))+$U$7*MAX(0,MIN(1,($W$7-N1489)/($W$7-$V$7)))+$U$8*IF(AND(O1489&gt;=$V$8,O1489&lt;=$W$8),1,0))/$U$9*100,2)</f>
        <v>63.96</v>
      </c>
      <c r="C1489" s="27" t="s">
        <v>1996</v>
      </c>
      <c r="D1489" s="25" t="s">
        <v>134</v>
      </c>
      <c r="E1489" s="25" t="s">
        <v>3447</v>
      </c>
      <c r="F1489" s="25" t="s">
        <v>3448</v>
      </c>
      <c r="G1489" s="38" t="s">
        <v>30</v>
      </c>
      <c r="H1489" s="28" t="s">
        <v>25</v>
      </c>
      <c r="I1489" s="25" t="n">
        <v>5</v>
      </c>
      <c r="J1489" s="25" t="n">
        <v>0</v>
      </c>
      <c r="K1489" s="25" t="n">
        <v>5</v>
      </c>
      <c r="L1489" s="29" t="n">
        <v>0.76</v>
      </c>
      <c r="M1489" s="30" t="n">
        <v>4.76</v>
      </c>
      <c r="N1489" s="29" t="n">
        <v>0.96</v>
      </c>
      <c r="O1489" s="25" t="n">
        <v>192</v>
      </c>
      <c r="P1489" s="30" t="n">
        <v>-1.17</v>
      </c>
      <c r="Q1489" s="27" t="s">
        <v>3710</v>
      </c>
      <c r="R1489" s="27" t="s">
        <v>2610</v>
      </c>
    </row>
    <row r="1490" customFormat="false" ht="15" hidden="false" customHeight="false" outlineLevel="0" collapsed="false">
      <c r="A1490" s="25" t="n">
        <f aca="false">IF(G1490="REJECT",COUNTIF($G$2:$G$2277,"&lt;&gt;REJECT")+1+COUNTIFS($G$2:$G$2277,"REJECT",$B$2:$B$2277,"&gt;"&amp;B1490),1+COUNTIFS($G$2:$G$2277,"&lt;&gt;REJECT",$B$2:$B$2277,"&gt;"&amp;B1490))</f>
        <v>1489</v>
      </c>
      <c r="B1490" s="26" t="n">
        <f aca="false">ROUND(($U$2*MAX(0,MIN(1,($W$2-I1490)/($W$2-$V$2)))+$U$3*MAX(0,MIN(1,($W$3-J1490)/($W$3-$V$3)))+$U$4*MAX(0,MIN(1,($W$4-K1490)/($W$4-$V$4)))+$U$5*MAX(0,MIN(1,($W$5-L1490)/($W$5-$V$5)))+$U$6*MAX(0,MIN(1,($W$6-M1490)/($W$6-$V$6)))+$U$7*MAX(0,MIN(1,($W$7-N1490)/($W$7-$V$7)))+$U$8*IF(AND(O1490&gt;=$V$8,O1490&lt;=$W$8),1,0))/$U$9*100,2)</f>
        <v>63.95</v>
      </c>
      <c r="C1490" s="27" t="s">
        <v>824</v>
      </c>
      <c r="D1490" s="25" t="s">
        <v>134</v>
      </c>
      <c r="E1490" s="25" t="s">
        <v>3450</v>
      </c>
      <c r="F1490" s="25" t="s">
        <v>3457</v>
      </c>
      <c r="G1490" s="38" t="s">
        <v>30</v>
      </c>
      <c r="H1490" s="28" t="s">
        <v>25</v>
      </c>
      <c r="I1490" s="25" t="n">
        <v>3</v>
      </c>
      <c r="J1490" s="25" t="n">
        <v>1</v>
      </c>
      <c r="K1490" s="25" t="n">
        <v>3</v>
      </c>
      <c r="L1490" s="29" t="n">
        <v>0.73</v>
      </c>
      <c r="M1490" s="30" t="n">
        <v>14.18</v>
      </c>
      <c r="N1490" s="29" t="n">
        <v>0.44</v>
      </c>
      <c r="O1490" s="25" t="n">
        <v>185</v>
      </c>
      <c r="P1490" s="30" t="n">
        <v>13.52</v>
      </c>
      <c r="Q1490" s="27" t="s">
        <v>3649</v>
      </c>
      <c r="R1490" s="27" t="s">
        <v>283</v>
      </c>
    </row>
    <row r="1491" customFormat="false" ht="15" hidden="false" customHeight="false" outlineLevel="0" collapsed="false">
      <c r="A1491" s="25" t="n">
        <f aca="false">IF(G1491="REJECT",COUNTIF($G$2:$G$2277,"&lt;&gt;REJECT")+1+COUNTIFS($G$2:$G$2277,"REJECT",$B$2:$B$2277,"&gt;"&amp;B1491),1+COUNTIFS($G$2:$G$2277,"&lt;&gt;REJECT",$B$2:$B$2277,"&gt;"&amp;B1491))</f>
        <v>1489</v>
      </c>
      <c r="B1491" s="26" t="n">
        <f aca="false">ROUND(($U$2*MAX(0,MIN(1,($W$2-I1491)/($W$2-$V$2)))+$U$3*MAX(0,MIN(1,($W$3-J1491)/($W$3-$V$3)))+$U$4*MAX(0,MIN(1,($W$4-K1491)/($W$4-$V$4)))+$U$5*MAX(0,MIN(1,($W$5-L1491)/($W$5-$V$5)))+$U$6*MAX(0,MIN(1,($W$6-M1491)/($W$6-$V$6)))+$U$7*MAX(0,MIN(1,($W$7-N1491)/($W$7-$V$7)))+$U$8*IF(AND(O1491&gt;=$V$8,O1491&lt;=$W$8),1,0))/$U$9*100,2)</f>
        <v>63.95</v>
      </c>
      <c r="C1491" s="27" t="s">
        <v>2941</v>
      </c>
      <c r="D1491" s="25" t="s">
        <v>3459</v>
      </c>
      <c r="E1491" s="25" t="s">
        <v>3447</v>
      </c>
      <c r="F1491" s="25" t="s">
        <v>3457</v>
      </c>
      <c r="G1491" s="38" t="s">
        <v>30</v>
      </c>
      <c r="H1491" s="28" t="s">
        <v>25</v>
      </c>
      <c r="I1491" s="25" t="n">
        <v>5</v>
      </c>
      <c r="J1491" s="25" t="n">
        <v>0</v>
      </c>
      <c r="K1491" s="25" t="n">
        <v>5</v>
      </c>
      <c r="L1491" s="29" t="n">
        <v>0.83</v>
      </c>
      <c r="M1491" s="30" t="n">
        <v>21.63</v>
      </c>
      <c r="N1491" s="29" t="n">
        <v>0.72</v>
      </c>
      <c r="O1491" s="25" t="n">
        <v>185</v>
      </c>
      <c r="P1491" s="30" t="n">
        <v>9.67</v>
      </c>
      <c r="Q1491" s="27" t="s">
        <v>3711</v>
      </c>
      <c r="R1491" s="27" t="s">
        <v>992</v>
      </c>
    </row>
    <row r="1492" customFormat="false" ht="15" hidden="false" customHeight="false" outlineLevel="0" collapsed="false">
      <c r="A1492" s="25" t="n">
        <f aca="false">IF(G1492="REJECT",COUNTIF($G$2:$G$2277,"&lt;&gt;REJECT")+1+COUNTIFS($G$2:$G$2277,"REJECT",$B$2:$B$2277,"&gt;"&amp;B1492),1+COUNTIFS($G$2:$G$2277,"&lt;&gt;REJECT",$B$2:$B$2277,"&gt;"&amp;B1492))</f>
        <v>1489</v>
      </c>
      <c r="B1492" s="26" t="n">
        <f aca="false">ROUND(($U$2*MAX(0,MIN(1,($W$2-I1492)/($W$2-$V$2)))+$U$3*MAX(0,MIN(1,($W$3-J1492)/($W$3-$V$3)))+$U$4*MAX(0,MIN(1,($W$4-K1492)/($W$4-$V$4)))+$U$5*MAX(0,MIN(1,($W$5-L1492)/($W$5-$V$5)))+$U$6*MAX(0,MIN(1,($W$6-M1492)/($W$6-$V$6)))+$U$7*MAX(0,MIN(1,($W$7-N1492)/($W$7-$V$7)))+$U$8*IF(AND(O1492&gt;=$V$8,O1492&lt;=$W$8),1,0))/$U$9*100,2)</f>
        <v>63.95</v>
      </c>
      <c r="C1492" s="27" t="s">
        <v>3225</v>
      </c>
      <c r="D1492" s="25" t="s">
        <v>134</v>
      </c>
      <c r="E1492" s="25" t="s">
        <v>3450</v>
      </c>
      <c r="F1492" s="25" t="s">
        <v>3448</v>
      </c>
      <c r="G1492" s="38" t="s">
        <v>30</v>
      </c>
      <c r="H1492" s="28" t="s">
        <v>25</v>
      </c>
      <c r="I1492" s="25" t="n">
        <v>3</v>
      </c>
      <c r="J1492" s="25" t="n">
        <v>1</v>
      </c>
      <c r="K1492" s="25" t="n">
        <v>3</v>
      </c>
      <c r="L1492" s="29" t="n">
        <v>0.7</v>
      </c>
      <c r="M1492" s="30" t="n">
        <v>2.6</v>
      </c>
      <c r="N1492" s="29" t="n">
        <v>0.52</v>
      </c>
      <c r="O1492" s="25" t="n">
        <v>198</v>
      </c>
      <c r="P1492" s="30" t="n">
        <v>-1.31</v>
      </c>
      <c r="Q1492" s="27" t="s">
        <v>3649</v>
      </c>
      <c r="R1492" s="27" t="s">
        <v>197</v>
      </c>
    </row>
    <row r="1493" customFormat="false" ht="15" hidden="false" customHeight="false" outlineLevel="0" collapsed="false">
      <c r="A1493" s="25" t="n">
        <f aca="false">IF(G1493="REJECT",COUNTIF($G$2:$G$2277,"&lt;&gt;REJECT")+1+COUNTIFS($G$2:$G$2277,"REJECT",$B$2:$B$2277,"&gt;"&amp;B1493),1+COUNTIFS($G$2:$G$2277,"&lt;&gt;REJECT",$B$2:$B$2277,"&gt;"&amp;B1493))</f>
        <v>1492</v>
      </c>
      <c r="B1493" s="26" t="n">
        <f aca="false">ROUND(($U$2*MAX(0,MIN(1,($W$2-I1493)/($W$2-$V$2)))+$U$3*MAX(0,MIN(1,($W$3-J1493)/($W$3-$V$3)))+$U$4*MAX(0,MIN(1,($W$4-K1493)/($W$4-$V$4)))+$U$5*MAX(0,MIN(1,($W$5-L1493)/($W$5-$V$5)))+$U$6*MAX(0,MIN(1,($W$6-M1493)/($W$6-$V$6)))+$U$7*MAX(0,MIN(1,($W$7-N1493)/($W$7-$V$7)))+$U$8*IF(AND(O1493&gt;=$V$8,O1493&lt;=$W$8),1,0))/$U$9*100,2)</f>
        <v>63.92</v>
      </c>
      <c r="C1493" s="27" t="s">
        <v>1657</v>
      </c>
      <c r="D1493" s="25" t="s">
        <v>134</v>
      </c>
      <c r="E1493" s="25" t="s">
        <v>3450</v>
      </c>
      <c r="F1493" s="25" t="s">
        <v>3457</v>
      </c>
      <c r="G1493" s="38" t="s">
        <v>30</v>
      </c>
      <c r="H1493" s="28" t="s">
        <v>25</v>
      </c>
      <c r="I1493" s="25" t="n">
        <v>3</v>
      </c>
      <c r="J1493" s="25" t="n">
        <v>1</v>
      </c>
      <c r="K1493" s="25" t="n">
        <v>3</v>
      </c>
      <c r="L1493" s="29" t="n">
        <v>0.75</v>
      </c>
      <c r="M1493" s="30" t="n">
        <v>19.16</v>
      </c>
      <c r="N1493" s="29" t="n">
        <v>0.68</v>
      </c>
      <c r="O1493" s="25" t="n">
        <v>182</v>
      </c>
      <c r="P1493" s="30" t="n">
        <v>-1.44</v>
      </c>
      <c r="Q1493" s="27" t="s">
        <v>3649</v>
      </c>
      <c r="R1493" s="27" t="s">
        <v>1230</v>
      </c>
    </row>
    <row r="1494" customFormat="false" ht="15" hidden="false" customHeight="false" outlineLevel="0" collapsed="false">
      <c r="A1494" s="25" t="n">
        <f aca="false">IF(G1494="REJECT",COUNTIF($G$2:$G$2277,"&lt;&gt;REJECT")+1+COUNTIFS($G$2:$G$2277,"REJECT",$B$2:$B$2277,"&gt;"&amp;B1494),1+COUNTIFS($G$2:$G$2277,"&lt;&gt;REJECT",$B$2:$B$2277,"&gt;"&amp;B1494))</f>
        <v>1492</v>
      </c>
      <c r="B1494" s="26" t="n">
        <f aca="false">ROUND(($U$2*MAX(0,MIN(1,($W$2-I1494)/($W$2-$V$2)))+$U$3*MAX(0,MIN(1,($W$3-J1494)/($W$3-$V$3)))+$U$4*MAX(0,MIN(1,($W$4-K1494)/($W$4-$V$4)))+$U$5*MAX(0,MIN(1,($W$5-L1494)/($W$5-$V$5)))+$U$6*MAX(0,MIN(1,($W$6-M1494)/($W$6-$V$6)))+$U$7*MAX(0,MIN(1,($W$7-N1494)/($W$7-$V$7)))+$U$8*IF(AND(O1494&gt;=$V$8,O1494&lt;=$W$8),1,0))/$U$9*100,2)</f>
        <v>63.92</v>
      </c>
      <c r="C1494" s="27" t="s">
        <v>3100</v>
      </c>
      <c r="D1494" s="25" t="s">
        <v>134</v>
      </c>
      <c r="E1494" s="25" t="s">
        <v>3450</v>
      </c>
      <c r="F1494" s="25" t="s">
        <v>3448</v>
      </c>
      <c r="G1494" s="38" t="s">
        <v>30</v>
      </c>
      <c r="H1494" s="28" t="s">
        <v>25</v>
      </c>
      <c r="I1494" s="25" t="n">
        <v>3</v>
      </c>
      <c r="J1494" s="25" t="n">
        <v>1</v>
      </c>
      <c r="K1494" s="25" t="n">
        <v>3</v>
      </c>
      <c r="L1494" s="29" t="n">
        <v>0.74</v>
      </c>
      <c r="M1494" s="30" t="n">
        <v>17.56</v>
      </c>
      <c r="N1494" s="29" t="n">
        <v>0.48</v>
      </c>
      <c r="O1494" s="25" t="n">
        <v>183</v>
      </c>
      <c r="P1494" s="30" t="n">
        <v>9.82</v>
      </c>
      <c r="Q1494" s="27" t="s">
        <v>3649</v>
      </c>
      <c r="R1494" s="27" t="s">
        <v>283</v>
      </c>
    </row>
    <row r="1495" customFormat="false" ht="15" hidden="false" customHeight="false" outlineLevel="0" collapsed="false">
      <c r="A1495" s="25" t="n">
        <f aca="false">IF(G1495="REJECT",COUNTIF($G$2:$G$2277,"&lt;&gt;REJECT")+1+COUNTIFS($G$2:$G$2277,"REJECT",$B$2:$B$2277,"&gt;"&amp;B1495),1+COUNTIFS($G$2:$G$2277,"&lt;&gt;REJECT",$B$2:$B$2277,"&gt;"&amp;B1495))</f>
        <v>1494</v>
      </c>
      <c r="B1495" s="26" t="n">
        <f aca="false">ROUND(($U$2*MAX(0,MIN(1,($W$2-I1495)/($W$2-$V$2)))+$U$3*MAX(0,MIN(1,($W$3-J1495)/($W$3-$V$3)))+$U$4*MAX(0,MIN(1,($W$4-K1495)/($W$4-$V$4)))+$U$5*MAX(0,MIN(1,($W$5-L1495)/($W$5-$V$5)))+$U$6*MAX(0,MIN(1,($W$6-M1495)/($W$6-$V$6)))+$U$7*MAX(0,MIN(1,($W$7-N1495)/($W$7-$V$7)))+$U$8*IF(AND(O1495&gt;=$V$8,O1495&lt;=$W$8),1,0))/$U$9*100,2)</f>
        <v>63.87</v>
      </c>
      <c r="C1495" s="27" t="s">
        <v>599</v>
      </c>
      <c r="D1495" s="25" t="s">
        <v>134</v>
      </c>
      <c r="E1495" s="25" t="s">
        <v>3450</v>
      </c>
      <c r="F1495" s="25" t="s">
        <v>3448</v>
      </c>
      <c r="G1495" s="38" t="s">
        <v>30</v>
      </c>
      <c r="H1495" s="28" t="s">
        <v>25</v>
      </c>
      <c r="I1495" s="25" t="n">
        <v>3</v>
      </c>
      <c r="J1495" s="25" t="n">
        <v>1</v>
      </c>
      <c r="K1495" s="25" t="n">
        <v>3</v>
      </c>
      <c r="L1495" s="29" t="n">
        <v>0.71</v>
      </c>
      <c r="M1495" s="30" t="n">
        <v>4.29</v>
      </c>
      <c r="N1495" s="29" t="n">
        <v>0.76</v>
      </c>
      <c r="O1495" s="25" t="n">
        <v>187</v>
      </c>
      <c r="P1495" s="30" t="n">
        <v>7.13</v>
      </c>
      <c r="Q1495" s="27" t="s">
        <v>3649</v>
      </c>
      <c r="R1495" s="27" t="s">
        <v>1152</v>
      </c>
    </row>
    <row r="1496" customFormat="false" ht="15" hidden="false" customHeight="false" outlineLevel="0" collapsed="false">
      <c r="A1496" s="25" t="n">
        <f aca="false">IF(G1496="REJECT",COUNTIF($G$2:$G$2277,"&lt;&gt;REJECT")+1+COUNTIFS($G$2:$G$2277,"REJECT",$B$2:$B$2277,"&gt;"&amp;B1496),1+COUNTIFS($G$2:$G$2277,"&lt;&gt;REJECT",$B$2:$B$2277,"&gt;"&amp;B1496))</f>
        <v>1495</v>
      </c>
      <c r="B1496" s="26" t="n">
        <f aca="false">ROUND(($U$2*MAX(0,MIN(1,($W$2-I1496)/($W$2-$V$2)))+$U$3*MAX(0,MIN(1,($W$3-J1496)/($W$3-$V$3)))+$U$4*MAX(0,MIN(1,($W$4-K1496)/($W$4-$V$4)))+$U$5*MAX(0,MIN(1,($W$5-L1496)/($W$5-$V$5)))+$U$6*MAX(0,MIN(1,($W$6-M1496)/($W$6-$V$6)))+$U$7*MAX(0,MIN(1,($W$7-N1496)/($W$7-$V$7)))+$U$8*IF(AND(O1496&gt;=$V$8,O1496&lt;=$W$8),1,0))/$U$9*100,2)</f>
        <v>63.82</v>
      </c>
      <c r="C1496" s="27" t="s">
        <v>1987</v>
      </c>
      <c r="D1496" s="25" t="s">
        <v>134</v>
      </c>
      <c r="E1496" s="25" t="s">
        <v>3447</v>
      </c>
      <c r="F1496" s="25" t="s">
        <v>3457</v>
      </c>
      <c r="G1496" s="38" t="s">
        <v>30</v>
      </c>
      <c r="H1496" s="28" t="s">
        <v>25</v>
      </c>
      <c r="I1496" s="25" t="n">
        <v>5</v>
      </c>
      <c r="J1496" s="25" t="n">
        <v>0</v>
      </c>
      <c r="K1496" s="25" t="n">
        <v>5</v>
      </c>
      <c r="L1496" s="29" t="n">
        <v>0.77</v>
      </c>
      <c r="M1496" s="30" t="n">
        <v>12.76</v>
      </c>
      <c r="N1496" s="29" t="n">
        <v>0.6</v>
      </c>
      <c r="O1496" s="25" t="n">
        <v>192</v>
      </c>
      <c r="P1496" s="30" t="n">
        <v>-1.06</v>
      </c>
      <c r="Q1496" s="27" t="s">
        <v>3712</v>
      </c>
      <c r="R1496" s="27" t="s">
        <v>2610</v>
      </c>
    </row>
    <row r="1497" customFormat="false" ht="15" hidden="false" customHeight="false" outlineLevel="0" collapsed="false">
      <c r="A1497" s="25" t="n">
        <f aca="false">IF(G1497="REJECT",COUNTIF($G$2:$G$2277,"&lt;&gt;REJECT")+1+COUNTIFS($G$2:$G$2277,"REJECT",$B$2:$B$2277,"&gt;"&amp;B1497),1+COUNTIFS($G$2:$G$2277,"&lt;&gt;REJECT",$B$2:$B$2277,"&gt;"&amp;B1497))</f>
        <v>1496</v>
      </c>
      <c r="B1497" s="26" t="n">
        <f aca="false">ROUND(($U$2*MAX(0,MIN(1,($W$2-I1497)/($W$2-$V$2)))+$U$3*MAX(0,MIN(1,($W$3-J1497)/($W$3-$V$3)))+$U$4*MAX(0,MIN(1,($W$4-K1497)/($W$4-$V$4)))+$U$5*MAX(0,MIN(1,($W$5-L1497)/($W$5-$V$5)))+$U$6*MAX(0,MIN(1,($W$6-M1497)/($W$6-$V$6)))+$U$7*MAX(0,MIN(1,($W$7-N1497)/($W$7-$V$7)))+$U$8*IF(AND(O1497&gt;=$V$8,O1497&lt;=$W$8),1,0))/$U$9*100,2)</f>
        <v>63.76</v>
      </c>
      <c r="C1497" s="27" t="s">
        <v>2192</v>
      </c>
      <c r="D1497" s="25" t="s">
        <v>134</v>
      </c>
      <c r="E1497" s="25" t="s">
        <v>3447</v>
      </c>
      <c r="F1497" s="25" t="s">
        <v>3457</v>
      </c>
      <c r="G1497" s="38" t="s">
        <v>30</v>
      </c>
      <c r="H1497" s="33" t="s">
        <v>24</v>
      </c>
      <c r="I1497" s="25" t="n">
        <v>5</v>
      </c>
      <c r="J1497" s="25" t="n">
        <v>0</v>
      </c>
      <c r="K1497" s="25" t="n">
        <v>5</v>
      </c>
      <c r="L1497" s="29" t="n">
        <v>0.75</v>
      </c>
      <c r="M1497" s="30" t="n">
        <v>7.53</v>
      </c>
      <c r="N1497" s="29" t="n">
        <v>0.44</v>
      </c>
      <c r="O1497" s="25" t="n">
        <v>183</v>
      </c>
      <c r="P1497" s="30" t="n">
        <v>1.09</v>
      </c>
      <c r="Q1497" s="27" t="s">
        <v>3713</v>
      </c>
      <c r="R1497" s="27" t="s">
        <v>30</v>
      </c>
    </row>
    <row r="1498" customFormat="false" ht="15" hidden="false" customHeight="false" outlineLevel="0" collapsed="false">
      <c r="A1498" s="25" t="n">
        <f aca="false">IF(G1498="REJECT",COUNTIF($G$2:$G$2277,"&lt;&gt;REJECT")+1+COUNTIFS($G$2:$G$2277,"REJECT",$B$2:$B$2277,"&gt;"&amp;B1498),1+COUNTIFS($G$2:$G$2277,"&lt;&gt;REJECT",$B$2:$B$2277,"&gt;"&amp;B1498))</f>
        <v>1497</v>
      </c>
      <c r="B1498" s="26" t="n">
        <f aca="false">ROUND(($U$2*MAX(0,MIN(1,($W$2-I1498)/($W$2-$V$2)))+$U$3*MAX(0,MIN(1,($W$3-J1498)/($W$3-$V$3)))+$U$4*MAX(0,MIN(1,($W$4-K1498)/($W$4-$V$4)))+$U$5*MAX(0,MIN(1,($W$5-L1498)/($W$5-$V$5)))+$U$6*MAX(0,MIN(1,($W$6-M1498)/($W$6-$V$6)))+$U$7*MAX(0,MIN(1,($W$7-N1498)/($W$7-$V$7)))+$U$8*IF(AND(O1498&gt;=$V$8,O1498&lt;=$W$8),1,0))/$U$9*100,2)</f>
        <v>63.74</v>
      </c>
      <c r="C1498" s="27" t="s">
        <v>3400</v>
      </c>
      <c r="D1498" s="25" t="s">
        <v>134</v>
      </c>
      <c r="E1498" s="25" t="s">
        <v>3450</v>
      </c>
      <c r="F1498" s="25" t="s">
        <v>3448</v>
      </c>
      <c r="G1498" s="38" t="s">
        <v>30</v>
      </c>
      <c r="H1498" s="28" t="s">
        <v>25</v>
      </c>
      <c r="I1498" s="25" t="n">
        <v>3</v>
      </c>
      <c r="J1498" s="25" t="n">
        <v>1</v>
      </c>
      <c r="K1498" s="25" t="n">
        <v>3</v>
      </c>
      <c r="L1498" s="29" t="n">
        <v>0.73</v>
      </c>
      <c r="M1498" s="30" t="n">
        <v>11.48</v>
      </c>
      <c r="N1498" s="29" t="n">
        <v>0.84</v>
      </c>
      <c r="O1498" s="25" t="n">
        <v>183</v>
      </c>
      <c r="P1498" s="30" t="n">
        <v>6.43</v>
      </c>
      <c r="Q1498" s="27" t="s">
        <v>3649</v>
      </c>
      <c r="R1498" s="27" t="s">
        <v>283</v>
      </c>
    </row>
    <row r="1499" customFormat="false" ht="15" hidden="false" customHeight="false" outlineLevel="0" collapsed="false">
      <c r="A1499" s="25" t="n">
        <f aca="false">IF(G1499="REJECT",COUNTIF($G$2:$G$2277,"&lt;&gt;REJECT")+1+COUNTIFS($G$2:$G$2277,"REJECT",$B$2:$B$2277,"&gt;"&amp;B1499),1+COUNTIFS($G$2:$G$2277,"&lt;&gt;REJECT",$B$2:$B$2277,"&gt;"&amp;B1499))</f>
        <v>1498</v>
      </c>
      <c r="B1499" s="26" t="n">
        <f aca="false">ROUND(($U$2*MAX(0,MIN(1,($W$2-I1499)/($W$2-$V$2)))+$U$3*MAX(0,MIN(1,($W$3-J1499)/($W$3-$V$3)))+$U$4*MAX(0,MIN(1,($W$4-K1499)/($W$4-$V$4)))+$U$5*MAX(0,MIN(1,($W$5-L1499)/($W$5-$V$5)))+$U$6*MAX(0,MIN(1,($W$6-M1499)/($W$6-$V$6)))+$U$7*MAX(0,MIN(1,($W$7-N1499)/($W$7-$V$7)))+$U$8*IF(AND(O1499&gt;=$V$8,O1499&lt;=$W$8),1,0))/$U$9*100,2)</f>
        <v>63.72</v>
      </c>
      <c r="C1499" s="27" t="s">
        <v>2253</v>
      </c>
      <c r="D1499" s="25" t="s">
        <v>134</v>
      </c>
      <c r="E1499" s="25" t="s">
        <v>3450</v>
      </c>
      <c r="F1499" s="25" t="s">
        <v>3448</v>
      </c>
      <c r="G1499" s="38" t="s">
        <v>30</v>
      </c>
      <c r="H1499" s="28" t="s">
        <v>25</v>
      </c>
      <c r="I1499" s="25" t="n">
        <v>3</v>
      </c>
      <c r="J1499" s="25" t="n">
        <v>1</v>
      </c>
      <c r="K1499" s="25" t="n">
        <v>3</v>
      </c>
      <c r="L1499" s="29" t="n">
        <v>0.7</v>
      </c>
      <c r="M1499" s="30" t="n">
        <v>1.59</v>
      </c>
      <c r="N1499" s="29" t="n">
        <v>0.76</v>
      </c>
      <c r="O1499" s="25" t="n">
        <v>182</v>
      </c>
      <c r="P1499" s="30" t="n">
        <v>-0.55</v>
      </c>
      <c r="Q1499" s="27" t="s">
        <v>3649</v>
      </c>
      <c r="R1499" s="27" t="s">
        <v>1230</v>
      </c>
    </row>
    <row r="1500" customFormat="false" ht="15" hidden="false" customHeight="false" outlineLevel="0" collapsed="false">
      <c r="A1500" s="25" t="n">
        <f aca="false">IF(G1500="REJECT",COUNTIF($G$2:$G$2277,"&lt;&gt;REJECT")+1+COUNTIFS($G$2:$G$2277,"REJECT",$B$2:$B$2277,"&gt;"&amp;B1500),1+COUNTIFS($G$2:$G$2277,"&lt;&gt;REJECT",$B$2:$B$2277,"&gt;"&amp;B1500))</f>
        <v>1499</v>
      </c>
      <c r="B1500" s="26" t="n">
        <f aca="false">ROUND(($U$2*MAX(0,MIN(1,($W$2-I1500)/($W$2-$V$2)))+$U$3*MAX(0,MIN(1,($W$3-J1500)/($W$3-$V$3)))+$U$4*MAX(0,MIN(1,($W$4-K1500)/($W$4-$V$4)))+$U$5*MAX(0,MIN(1,($W$5-L1500)/($W$5-$V$5)))+$U$6*MAX(0,MIN(1,($W$6-M1500)/($W$6-$V$6)))+$U$7*MAX(0,MIN(1,($W$7-N1500)/($W$7-$V$7)))+$U$8*IF(AND(O1500&gt;=$V$8,O1500&lt;=$W$8),1,0))/$U$9*100,2)</f>
        <v>63.68</v>
      </c>
      <c r="C1500" s="27" t="s">
        <v>179</v>
      </c>
      <c r="D1500" s="25" t="s">
        <v>134</v>
      </c>
      <c r="E1500" s="25" t="s">
        <v>3450</v>
      </c>
      <c r="F1500" s="25" t="s">
        <v>3448</v>
      </c>
      <c r="G1500" s="38" t="s">
        <v>30</v>
      </c>
      <c r="H1500" s="28" t="s">
        <v>25</v>
      </c>
      <c r="I1500" s="25" t="n">
        <v>3</v>
      </c>
      <c r="J1500" s="25" t="n">
        <v>1</v>
      </c>
      <c r="K1500" s="25" t="n">
        <v>3</v>
      </c>
      <c r="L1500" s="29" t="n">
        <v>0.75</v>
      </c>
      <c r="M1500" s="30" t="n">
        <v>23.05</v>
      </c>
      <c r="N1500" s="29" t="n">
        <v>0.44</v>
      </c>
      <c r="O1500" s="25" t="n">
        <v>185</v>
      </c>
      <c r="P1500" s="30" t="n">
        <v>19.58</v>
      </c>
      <c r="Q1500" s="27" t="s">
        <v>3649</v>
      </c>
      <c r="R1500" s="27" t="s">
        <v>183</v>
      </c>
    </row>
    <row r="1501" customFormat="false" ht="15" hidden="false" customHeight="false" outlineLevel="0" collapsed="false">
      <c r="A1501" s="25" t="n">
        <f aca="false">IF(G1501="REJECT",COUNTIF($G$2:$G$2277,"&lt;&gt;REJECT")+1+COUNTIFS($G$2:$G$2277,"REJECT",$B$2:$B$2277,"&gt;"&amp;B1501),1+COUNTIFS($G$2:$G$2277,"&lt;&gt;REJECT",$B$2:$B$2277,"&gt;"&amp;B1501))</f>
        <v>1499</v>
      </c>
      <c r="B1501" s="26" t="n">
        <f aca="false">ROUND(($U$2*MAX(0,MIN(1,($W$2-I1501)/($W$2-$V$2)))+$U$3*MAX(0,MIN(1,($W$3-J1501)/($W$3-$V$3)))+$U$4*MAX(0,MIN(1,($W$4-K1501)/($W$4-$V$4)))+$U$5*MAX(0,MIN(1,($W$5-L1501)/($W$5-$V$5)))+$U$6*MAX(0,MIN(1,($W$6-M1501)/($W$6-$V$6)))+$U$7*MAX(0,MIN(1,($W$7-N1501)/($W$7-$V$7)))+$U$8*IF(AND(O1501&gt;=$V$8,O1501&lt;=$W$8),1,0))/$U$9*100,2)</f>
        <v>63.68</v>
      </c>
      <c r="C1501" s="27" t="s">
        <v>637</v>
      </c>
      <c r="D1501" s="25" t="s">
        <v>3459</v>
      </c>
      <c r="E1501" s="25" t="s">
        <v>3450</v>
      </c>
      <c r="F1501" s="25" t="s">
        <v>3457</v>
      </c>
      <c r="G1501" s="38" t="s">
        <v>30</v>
      </c>
      <c r="H1501" s="28" t="s">
        <v>25</v>
      </c>
      <c r="I1501" s="25" t="n">
        <v>2</v>
      </c>
      <c r="J1501" s="25" t="n">
        <v>1</v>
      </c>
      <c r="K1501" s="25" t="n">
        <v>2</v>
      </c>
      <c r="L1501" s="29" t="n">
        <v>0.66</v>
      </c>
      <c r="M1501" s="30" t="n">
        <v>23.34</v>
      </c>
      <c r="N1501" s="29" t="n">
        <v>0.92</v>
      </c>
      <c r="O1501" s="25" t="n">
        <v>183</v>
      </c>
      <c r="P1501" s="30" t="n">
        <v>11.84</v>
      </c>
      <c r="Q1501" s="27" t="s">
        <v>3575</v>
      </c>
      <c r="R1501" s="27" t="s">
        <v>183</v>
      </c>
    </row>
    <row r="1502" customFormat="false" ht="15" hidden="false" customHeight="false" outlineLevel="0" collapsed="false">
      <c r="A1502" s="25" t="n">
        <f aca="false">IF(G1502="REJECT",COUNTIF($G$2:$G$2277,"&lt;&gt;REJECT")+1+COUNTIFS($G$2:$G$2277,"REJECT",$B$2:$B$2277,"&gt;"&amp;B1502),1+COUNTIFS($G$2:$G$2277,"&lt;&gt;REJECT",$B$2:$B$2277,"&gt;"&amp;B1502))</f>
        <v>1501</v>
      </c>
      <c r="B1502" s="26" t="n">
        <f aca="false">ROUND(($U$2*MAX(0,MIN(1,($W$2-I1502)/($W$2-$V$2)))+$U$3*MAX(0,MIN(1,($W$3-J1502)/($W$3-$V$3)))+$U$4*MAX(0,MIN(1,($W$4-K1502)/($W$4-$V$4)))+$U$5*MAX(0,MIN(1,($W$5-L1502)/($W$5-$V$5)))+$U$6*MAX(0,MIN(1,($W$6-M1502)/($W$6-$V$6)))+$U$7*MAX(0,MIN(1,($W$7-N1502)/($W$7-$V$7)))+$U$8*IF(AND(O1502&gt;=$V$8,O1502&lt;=$W$8),1,0))/$U$9*100,2)</f>
        <v>63.62</v>
      </c>
      <c r="C1502" s="27" t="s">
        <v>1987</v>
      </c>
      <c r="D1502" s="25" t="s">
        <v>134</v>
      </c>
      <c r="E1502" s="25" t="s">
        <v>3450</v>
      </c>
      <c r="F1502" s="25" t="s">
        <v>3448</v>
      </c>
      <c r="G1502" s="38" t="s">
        <v>30</v>
      </c>
      <c r="H1502" s="28" t="s">
        <v>25</v>
      </c>
      <c r="I1502" s="25" t="n">
        <v>3</v>
      </c>
      <c r="J1502" s="25" t="n">
        <v>1</v>
      </c>
      <c r="K1502" s="25" t="n">
        <v>3</v>
      </c>
      <c r="L1502" s="29" t="n">
        <v>0.71</v>
      </c>
      <c r="M1502" s="30" t="n">
        <v>8.17</v>
      </c>
      <c r="N1502" s="29" t="n">
        <v>0.52</v>
      </c>
      <c r="O1502" s="25" t="n">
        <v>187</v>
      </c>
      <c r="P1502" s="30" t="n">
        <v>5.68</v>
      </c>
      <c r="Q1502" s="27" t="s">
        <v>3649</v>
      </c>
      <c r="R1502" s="27" t="s">
        <v>1152</v>
      </c>
    </row>
    <row r="1503" customFormat="false" ht="15" hidden="false" customHeight="false" outlineLevel="0" collapsed="false">
      <c r="A1503" s="25" t="n">
        <f aca="false">IF(G1503="REJECT",COUNTIF($G$2:$G$2277,"&lt;&gt;REJECT")+1+COUNTIFS($G$2:$G$2277,"REJECT",$B$2:$B$2277,"&gt;"&amp;B1503),1+COUNTIFS($G$2:$G$2277,"&lt;&gt;REJECT",$B$2:$B$2277,"&gt;"&amp;B1503))</f>
        <v>1502</v>
      </c>
      <c r="B1503" s="26" t="n">
        <f aca="false">ROUND(($U$2*MAX(0,MIN(1,($W$2-I1503)/($W$2-$V$2)))+$U$3*MAX(0,MIN(1,($W$3-J1503)/($W$3-$V$3)))+$U$4*MAX(0,MIN(1,($W$4-K1503)/($W$4-$V$4)))+$U$5*MAX(0,MIN(1,($W$5-L1503)/($W$5-$V$5)))+$U$6*MAX(0,MIN(1,($W$6-M1503)/($W$6-$V$6)))+$U$7*MAX(0,MIN(1,($W$7-N1503)/($W$7-$V$7)))+$U$8*IF(AND(O1503&gt;=$V$8,O1503&lt;=$W$8),1,0))/$U$9*100,2)</f>
        <v>63.61</v>
      </c>
      <c r="C1503" s="27" t="s">
        <v>336</v>
      </c>
      <c r="D1503" s="25" t="s">
        <v>134</v>
      </c>
      <c r="E1503" s="25" t="s">
        <v>3450</v>
      </c>
      <c r="F1503" s="25" t="s">
        <v>3448</v>
      </c>
      <c r="G1503" s="38" t="s">
        <v>30</v>
      </c>
      <c r="H1503" s="28" t="s">
        <v>25</v>
      </c>
      <c r="I1503" s="25" t="n">
        <v>3</v>
      </c>
      <c r="J1503" s="25" t="n">
        <v>1</v>
      </c>
      <c r="K1503" s="25" t="n">
        <v>3</v>
      </c>
      <c r="L1503" s="29" t="n">
        <v>0.7</v>
      </c>
      <c r="M1503" s="30" t="n">
        <v>5.04</v>
      </c>
      <c r="N1503" s="29" t="n">
        <v>0.48</v>
      </c>
      <c r="O1503" s="25" t="n">
        <v>183</v>
      </c>
      <c r="P1503" s="30" t="n">
        <v>9.55</v>
      </c>
      <c r="Q1503" s="27" t="s">
        <v>3695</v>
      </c>
      <c r="R1503" s="27" t="s">
        <v>283</v>
      </c>
    </row>
    <row r="1504" customFormat="false" ht="15" hidden="false" customHeight="false" outlineLevel="0" collapsed="false">
      <c r="A1504" s="25" t="n">
        <f aca="false">IF(G1504="REJECT",COUNTIF($G$2:$G$2277,"&lt;&gt;REJECT")+1+COUNTIFS($G$2:$G$2277,"REJECT",$B$2:$B$2277,"&gt;"&amp;B1504),1+COUNTIFS($G$2:$G$2277,"&lt;&gt;REJECT",$B$2:$B$2277,"&gt;"&amp;B1504))</f>
        <v>1503</v>
      </c>
      <c r="B1504" s="26" t="n">
        <f aca="false">ROUND(($U$2*MAX(0,MIN(1,($W$2-I1504)/($W$2-$V$2)))+$U$3*MAX(0,MIN(1,($W$3-J1504)/($W$3-$V$3)))+$U$4*MAX(0,MIN(1,($W$4-K1504)/($W$4-$V$4)))+$U$5*MAX(0,MIN(1,($W$5-L1504)/($W$5-$V$5)))+$U$6*MAX(0,MIN(1,($W$6-M1504)/($W$6-$V$6)))+$U$7*MAX(0,MIN(1,($W$7-N1504)/($W$7-$V$7)))+$U$8*IF(AND(O1504&gt;=$V$8,O1504&lt;=$W$8),1,0))/$U$9*100,2)</f>
        <v>63.59</v>
      </c>
      <c r="C1504" s="27" t="s">
        <v>2192</v>
      </c>
      <c r="D1504" s="25" t="s">
        <v>134</v>
      </c>
      <c r="E1504" s="25" t="s">
        <v>3450</v>
      </c>
      <c r="F1504" s="25" t="s">
        <v>3448</v>
      </c>
      <c r="G1504" s="38" t="s">
        <v>30</v>
      </c>
      <c r="H1504" s="28" t="s">
        <v>25</v>
      </c>
      <c r="I1504" s="25" t="n">
        <v>3</v>
      </c>
      <c r="J1504" s="25" t="n">
        <v>1</v>
      </c>
      <c r="K1504" s="25" t="n">
        <v>3</v>
      </c>
      <c r="L1504" s="29" t="n">
        <v>0.7</v>
      </c>
      <c r="M1504" s="30" t="n">
        <v>6.75</v>
      </c>
      <c r="N1504" s="29" t="n">
        <v>0.32</v>
      </c>
      <c r="O1504" s="25" t="n">
        <v>183</v>
      </c>
      <c r="P1504" s="30" t="n">
        <v>12.2</v>
      </c>
      <c r="Q1504" s="27" t="s">
        <v>3649</v>
      </c>
      <c r="R1504" s="27" t="s">
        <v>1152</v>
      </c>
    </row>
    <row r="1505" customFormat="false" ht="15" hidden="false" customHeight="false" outlineLevel="0" collapsed="false">
      <c r="A1505" s="25" t="n">
        <f aca="false">IF(G1505="REJECT",COUNTIF($G$2:$G$2277,"&lt;&gt;REJECT")+1+COUNTIFS($G$2:$G$2277,"REJECT",$B$2:$B$2277,"&gt;"&amp;B1505),1+COUNTIFS($G$2:$G$2277,"&lt;&gt;REJECT",$B$2:$B$2277,"&gt;"&amp;B1505))</f>
        <v>1504</v>
      </c>
      <c r="B1505" s="26" t="n">
        <f aca="false">ROUND(($U$2*MAX(0,MIN(1,($W$2-I1505)/($W$2-$V$2)))+$U$3*MAX(0,MIN(1,($W$3-J1505)/($W$3-$V$3)))+$U$4*MAX(0,MIN(1,($W$4-K1505)/($W$4-$V$4)))+$U$5*MAX(0,MIN(1,($W$5-L1505)/($W$5-$V$5)))+$U$6*MAX(0,MIN(1,($W$6-M1505)/($W$6-$V$6)))+$U$7*MAX(0,MIN(1,($W$7-N1505)/($W$7-$V$7)))+$U$8*IF(AND(O1505&gt;=$V$8,O1505&lt;=$W$8),1,0))/$U$9*100,2)</f>
        <v>63.52</v>
      </c>
      <c r="C1505" s="27" t="s">
        <v>3151</v>
      </c>
      <c r="D1505" s="25" t="s">
        <v>134</v>
      </c>
      <c r="E1505" s="25" t="s">
        <v>3450</v>
      </c>
      <c r="F1505" s="25" t="s">
        <v>3448</v>
      </c>
      <c r="G1505" s="38" t="s">
        <v>30</v>
      </c>
      <c r="H1505" s="28" t="s">
        <v>25</v>
      </c>
      <c r="I1505" s="25" t="n">
        <v>3</v>
      </c>
      <c r="J1505" s="25" t="n">
        <v>1</v>
      </c>
      <c r="K1505" s="25" t="n">
        <v>3</v>
      </c>
      <c r="L1505" s="29" t="n">
        <v>0.77</v>
      </c>
      <c r="M1505" s="30" t="n">
        <v>31.02</v>
      </c>
      <c r="N1505" s="29" t="n">
        <v>0.56</v>
      </c>
      <c r="O1505" s="25" t="n">
        <v>183</v>
      </c>
      <c r="P1505" s="30" t="n">
        <v>5.21</v>
      </c>
      <c r="Q1505" s="27" t="s">
        <v>3649</v>
      </c>
      <c r="R1505" s="27" t="s">
        <v>3714</v>
      </c>
    </row>
    <row r="1506" customFormat="false" ht="15" hidden="false" customHeight="false" outlineLevel="0" collapsed="false">
      <c r="A1506" s="25" t="n">
        <f aca="false">IF(G1506="REJECT",COUNTIF($G$2:$G$2277,"&lt;&gt;REJECT")+1+COUNTIFS($G$2:$G$2277,"REJECT",$B$2:$B$2277,"&gt;"&amp;B1506),1+COUNTIFS($G$2:$G$2277,"&lt;&gt;REJECT",$B$2:$B$2277,"&gt;"&amp;B1506))</f>
        <v>1505</v>
      </c>
      <c r="B1506" s="26" t="n">
        <f aca="false">ROUND(($U$2*MAX(0,MIN(1,($W$2-I1506)/($W$2-$V$2)))+$U$3*MAX(0,MIN(1,($W$3-J1506)/($W$3-$V$3)))+$U$4*MAX(0,MIN(1,($W$4-K1506)/($W$4-$V$4)))+$U$5*MAX(0,MIN(1,($W$5-L1506)/($W$5-$V$5)))+$U$6*MAX(0,MIN(1,($W$6-M1506)/($W$6-$V$6)))+$U$7*MAX(0,MIN(1,($W$7-N1506)/($W$7-$V$7)))+$U$8*IF(AND(O1506&gt;=$V$8,O1506&lt;=$W$8),1,0))/$U$9*100,2)</f>
        <v>63.46</v>
      </c>
      <c r="C1506" s="27" t="s">
        <v>235</v>
      </c>
      <c r="D1506" s="25" t="s">
        <v>134</v>
      </c>
      <c r="E1506" s="25" t="s">
        <v>3447</v>
      </c>
      <c r="F1506" s="25" t="s">
        <v>3457</v>
      </c>
      <c r="G1506" s="38" t="s">
        <v>30</v>
      </c>
      <c r="H1506" s="28" t="s">
        <v>25</v>
      </c>
      <c r="I1506" s="25" t="n">
        <v>5</v>
      </c>
      <c r="J1506" s="25" t="n">
        <v>0</v>
      </c>
      <c r="K1506" s="25" t="n">
        <v>4</v>
      </c>
      <c r="L1506" s="29" t="n">
        <v>0.72</v>
      </c>
      <c r="M1506" s="30" t="n">
        <v>7.41</v>
      </c>
      <c r="N1506" s="29" t="n">
        <v>0.68</v>
      </c>
      <c r="O1506" s="25" t="n">
        <v>206</v>
      </c>
      <c r="P1506" s="30" t="n">
        <v>-0.57</v>
      </c>
      <c r="Q1506" s="27" t="s">
        <v>3715</v>
      </c>
      <c r="R1506" s="27" t="s">
        <v>2610</v>
      </c>
    </row>
    <row r="1507" customFormat="false" ht="15" hidden="false" customHeight="false" outlineLevel="0" collapsed="false">
      <c r="A1507" s="25" t="n">
        <f aca="false">IF(G1507="REJECT",COUNTIF($G$2:$G$2277,"&lt;&gt;REJECT")+1+COUNTIFS($G$2:$G$2277,"REJECT",$B$2:$B$2277,"&gt;"&amp;B1507),1+COUNTIFS($G$2:$G$2277,"&lt;&gt;REJECT",$B$2:$B$2277,"&gt;"&amp;B1507))</f>
        <v>1506</v>
      </c>
      <c r="B1507" s="26" t="n">
        <f aca="false">ROUND(($U$2*MAX(0,MIN(1,($W$2-I1507)/($W$2-$V$2)))+$U$3*MAX(0,MIN(1,($W$3-J1507)/($W$3-$V$3)))+$U$4*MAX(0,MIN(1,($W$4-K1507)/($W$4-$V$4)))+$U$5*MAX(0,MIN(1,($W$5-L1507)/($W$5-$V$5)))+$U$6*MAX(0,MIN(1,($W$6-M1507)/($W$6-$V$6)))+$U$7*MAX(0,MIN(1,($W$7-N1507)/($W$7-$V$7)))+$U$8*IF(AND(O1507&gt;=$V$8,O1507&lt;=$W$8),1,0))/$U$9*100,2)</f>
        <v>63.43</v>
      </c>
      <c r="C1507" s="27" t="s">
        <v>744</v>
      </c>
      <c r="D1507" s="25" t="s">
        <v>134</v>
      </c>
      <c r="E1507" s="25" t="s">
        <v>3450</v>
      </c>
      <c r="F1507" s="25" t="s">
        <v>3457</v>
      </c>
      <c r="G1507" s="38" t="s">
        <v>30</v>
      </c>
      <c r="H1507" s="28" t="s">
        <v>25</v>
      </c>
      <c r="I1507" s="25" t="n">
        <v>3</v>
      </c>
      <c r="J1507" s="25" t="n">
        <v>1</v>
      </c>
      <c r="K1507" s="25" t="n">
        <v>3</v>
      </c>
      <c r="L1507" s="29" t="n">
        <v>0.7</v>
      </c>
      <c r="M1507" s="30" t="n">
        <v>8.95</v>
      </c>
      <c r="N1507" s="29" t="n">
        <v>0.2</v>
      </c>
      <c r="O1507" s="25" t="n">
        <v>185</v>
      </c>
      <c r="P1507" s="30" t="n">
        <v>14.33</v>
      </c>
      <c r="Q1507" s="27" t="s">
        <v>3649</v>
      </c>
      <c r="R1507" s="27" t="s">
        <v>283</v>
      </c>
    </row>
    <row r="1508" customFormat="false" ht="15" hidden="false" customHeight="false" outlineLevel="0" collapsed="false">
      <c r="A1508" s="25" t="n">
        <f aca="false">IF(G1508="REJECT",COUNTIF($G$2:$G$2277,"&lt;&gt;REJECT")+1+COUNTIFS($G$2:$G$2277,"REJECT",$B$2:$B$2277,"&gt;"&amp;B1508),1+COUNTIFS($G$2:$G$2277,"&lt;&gt;REJECT",$B$2:$B$2277,"&gt;"&amp;B1508))</f>
        <v>1507</v>
      </c>
      <c r="B1508" s="26" t="n">
        <f aca="false">ROUND(($U$2*MAX(0,MIN(1,($W$2-I1508)/($W$2-$V$2)))+$U$3*MAX(0,MIN(1,($W$3-J1508)/($W$3-$V$3)))+$U$4*MAX(0,MIN(1,($W$4-K1508)/($W$4-$V$4)))+$U$5*MAX(0,MIN(1,($W$5-L1508)/($W$5-$V$5)))+$U$6*MAX(0,MIN(1,($W$6-M1508)/($W$6-$V$6)))+$U$7*MAX(0,MIN(1,($W$7-N1508)/($W$7-$V$7)))+$U$8*IF(AND(O1508&gt;=$V$8,O1508&lt;=$W$8),1,0))/$U$9*100,2)</f>
        <v>63.41</v>
      </c>
      <c r="C1508" s="27" t="s">
        <v>2678</v>
      </c>
      <c r="D1508" s="25" t="s">
        <v>134</v>
      </c>
      <c r="E1508" s="25" t="s">
        <v>3447</v>
      </c>
      <c r="F1508" s="25" t="s">
        <v>3448</v>
      </c>
      <c r="G1508" s="38" t="s">
        <v>30</v>
      </c>
      <c r="H1508" s="33" t="s">
        <v>24</v>
      </c>
      <c r="I1508" s="25" t="n">
        <v>4</v>
      </c>
      <c r="J1508" s="25" t="n">
        <v>0</v>
      </c>
      <c r="K1508" s="25" t="n">
        <v>4</v>
      </c>
      <c r="L1508" s="29" t="n">
        <v>0.66</v>
      </c>
      <c r="M1508" s="30" t="n">
        <v>9.93</v>
      </c>
      <c r="N1508" s="29" t="n">
        <v>0.92</v>
      </c>
      <c r="O1508" s="25" t="n">
        <v>189</v>
      </c>
      <c r="P1508" s="30" t="n">
        <v>0.75</v>
      </c>
      <c r="Q1508" s="27" t="s">
        <v>3593</v>
      </c>
      <c r="R1508" s="27" t="s">
        <v>30</v>
      </c>
    </row>
    <row r="1509" customFormat="false" ht="15" hidden="false" customHeight="false" outlineLevel="0" collapsed="false">
      <c r="A1509" s="25" t="n">
        <f aca="false">IF(G1509="REJECT",COUNTIF($G$2:$G$2277,"&lt;&gt;REJECT")+1+COUNTIFS($G$2:$G$2277,"REJECT",$B$2:$B$2277,"&gt;"&amp;B1509),1+COUNTIFS($G$2:$G$2277,"&lt;&gt;REJECT",$B$2:$B$2277,"&gt;"&amp;B1509))</f>
        <v>1508</v>
      </c>
      <c r="B1509" s="26" t="n">
        <f aca="false">ROUND(($U$2*MAX(0,MIN(1,($W$2-I1509)/($W$2-$V$2)))+$U$3*MAX(0,MIN(1,($W$3-J1509)/($W$3-$V$3)))+$U$4*MAX(0,MIN(1,($W$4-K1509)/($W$4-$V$4)))+$U$5*MAX(0,MIN(1,($W$5-L1509)/($W$5-$V$5)))+$U$6*MAX(0,MIN(1,($W$6-M1509)/($W$6-$V$6)))+$U$7*MAX(0,MIN(1,($W$7-N1509)/($W$7-$V$7)))+$U$8*IF(AND(O1509&gt;=$V$8,O1509&lt;=$W$8),1,0))/$U$9*100,2)</f>
        <v>63.35</v>
      </c>
      <c r="C1509" s="27" t="s">
        <v>3338</v>
      </c>
      <c r="D1509" s="25" t="s">
        <v>3459</v>
      </c>
      <c r="E1509" s="25" t="s">
        <v>3450</v>
      </c>
      <c r="F1509" s="25" t="s">
        <v>3457</v>
      </c>
      <c r="G1509" s="38" t="s">
        <v>30</v>
      </c>
      <c r="H1509" s="28" t="s">
        <v>25</v>
      </c>
      <c r="I1509" s="25" t="n">
        <v>5</v>
      </c>
      <c r="J1509" s="25" t="n">
        <v>0</v>
      </c>
      <c r="K1509" s="25" t="n">
        <v>5</v>
      </c>
      <c r="L1509" s="29" t="n">
        <v>0.77</v>
      </c>
      <c r="M1509" s="30" t="n">
        <v>21.62</v>
      </c>
      <c r="N1509" s="29" t="n">
        <v>0</v>
      </c>
      <c r="O1509" s="25" t="n">
        <v>185</v>
      </c>
      <c r="P1509" s="30" t="n">
        <v>1.83</v>
      </c>
      <c r="Q1509" s="27" t="s">
        <v>3679</v>
      </c>
      <c r="R1509" s="27" t="s">
        <v>1468</v>
      </c>
    </row>
    <row r="1510" customFormat="false" ht="15" hidden="false" customHeight="false" outlineLevel="0" collapsed="false">
      <c r="A1510" s="25" t="n">
        <f aca="false">IF(G1510="REJECT",COUNTIF($G$2:$G$2277,"&lt;&gt;REJECT")+1+COUNTIFS($G$2:$G$2277,"REJECT",$B$2:$B$2277,"&gt;"&amp;B1510),1+COUNTIFS($G$2:$G$2277,"&lt;&gt;REJECT",$B$2:$B$2277,"&gt;"&amp;B1510))</f>
        <v>1509</v>
      </c>
      <c r="B1510" s="26" t="n">
        <f aca="false">ROUND(($U$2*MAX(0,MIN(1,($W$2-I1510)/($W$2-$V$2)))+$U$3*MAX(0,MIN(1,($W$3-J1510)/($W$3-$V$3)))+$U$4*MAX(0,MIN(1,($W$4-K1510)/($W$4-$V$4)))+$U$5*MAX(0,MIN(1,($W$5-L1510)/($W$5-$V$5)))+$U$6*MAX(0,MIN(1,($W$6-M1510)/($W$6-$V$6)))+$U$7*MAX(0,MIN(1,($W$7-N1510)/($W$7-$V$7)))+$U$8*IF(AND(O1510&gt;=$V$8,O1510&lt;=$W$8),1,0))/$U$9*100,2)</f>
        <v>63.33</v>
      </c>
      <c r="C1510" s="27" t="s">
        <v>2703</v>
      </c>
      <c r="D1510" s="25" t="s">
        <v>134</v>
      </c>
      <c r="E1510" s="25" t="s">
        <v>3447</v>
      </c>
      <c r="F1510" s="25" t="s">
        <v>3457</v>
      </c>
      <c r="G1510" s="38" t="s">
        <v>30</v>
      </c>
      <c r="H1510" s="28" t="s">
        <v>25</v>
      </c>
      <c r="I1510" s="25" t="n">
        <v>3</v>
      </c>
      <c r="J1510" s="25" t="n">
        <v>1</v>
      </c>
      <c r="K1510" s="25" t="n">
        <v>3</v>
      </c>
      <c r="L1510" s="29" t="n">
        <v>0.74</v>
      </c>
      <c r="M1510" s="30" t="n">
        <v>20.75</v>
      </c>
      <c r="N1510" s="29" t="n">
        <v>0.52</v>
      </c>
      <c r="O1510" s="25" t="n">
        <v>185</v>
      </c>
      <c r="P1510" s="30" t="n">
        <v>1.95</v>
      </c>
      <c r="Q1510" s="27" t="s">
        <v>3649</v>
      </c>
      <c r="R1510" s="27" t="s">
        <v>183</v>
      </c>
    </row>
    <row r="1511" customFormat="false" ht="15" hidden="false" customHeight="false" outlineLevel="0" collapsed="false">
      <c r="A1511" s="25" t="n">
        <f aca="false">IF(G1511="REJECT",COUNTIF($G$2:$G$2277,"&lt;&gt;REJECT")+1+COUNTIFS($G$2:$G$2277,"REJECT",$B$2:$B$2277,"&gt;"&amp;B1511),1+COUNTIFS($G$2:$G$2277,"&lt;&gt;REJECT",$B$2:$B$2277,"&gt;"&amp;B1511))</f>
        <v>1509</v>
      </c>
      <c r="B1511" s="26" t="n">
        <f aca="false">ROUND(($U$2*MAX(0,MIN(1,($W$2-I1511)/($W$2-$V$2)))+$U$3*MAX(0,MIN(1,($W$3-J1511)/($W$3-$V$3)))+$U$4*MAX(0,MIN(1,($W$4-K1511)/($W$4-$V$4)))+$U$5*MAX(0,MIN(1,($W$5-L1511)/($W$5-$V$5)))+$U$6*MAX(0,MIN(1,($W$6-M1511)/($W$6-$V$6)))+$U$7*MAX(0,MIN(1,($W$7-N1511)/($W$7-$V$7)))+$U$8*IF(AND(O1511&gt;=$V$8,O1511&lt;=$W$8),1,0))/$U$9*100,2)</f>
        <v>63.33</v>
      </c>
      <c r="C1511" s="27" t="s">
        <v>3051</v>
      </c>
      <c r="D1511" s="25" t="s">
        <v>3459</v>
      </c>
      <c r="E1511" s="25" t="s">
        <v>3450</v>
      </c>
      <c r="F1511" s="25" t="s">
        <v>3448</v>
      </c>
      <c r="G1511" s="38" t="s">
        <v>30</v>
      </c>
      <c r="H1511" s="28" t="s">
        <v>25</v>
      </c>
      <c r="I1511" s="25" t="n">
        <v>3</v>
      </c>
      <c r="J1511" s="25" t="n">
        <v>1</v>
      </c>
      <c r="K1511" s="25" t="n">
        <v>3</v>
      </c>
      <c r="L1511" s="29" t="n">
        <v>0.75</v>
      </c>
      <c r="M1511" s="30" t="n">
        <v>25.95</v>
      </c>
      <c r="N1511" s="29" t="n">
        <v>0.36</v>
      </c>
      <c r="O1511" s="25" t="n">
        <v>185</v>
      </c>
      <c r="P1511" s="30" t="n">
        <v>3.61</v>
      </c>
      <c r="Q1511" s="27" t="s">
        <v>3649</v>
      </c>
      <c r="R1511" s="27" t="s">
        <v>163</v>
      </c>
    </row>
    <row r="1512" customFormat="false" ht="15" hidden="false" customHeight="false" outlineLevel="0" collapsed="false">
      <c r="A1512" s="25" t="n">
        <f aca="false">IF(G1512="REJECT",COUNTIF($G$2:$G$2277,"&lt;&gt;REJECT")+1+COUNTIFS($G$2:$G$2277,"REJECT",$B$2:$B$2277,"&gt;"&amp;B1512),1+COUNTIFS($G$2:$G$2277,"&lt;&gt;REJECT",$B$2:$B$2277,"&gt;"&amp;B1512))</f>
        <v>1511</v>
      </c>
      <c r="B1512" s="26" t="n">
        <f aca="false">ROUND(($U$2*MAX(0,MIN(1,($W$2-I1512)/($W$2-$V$2)))+$U$3*MAX(0,MIN(1,($W$3-J1512)/($W$3-$V$3)))+$U$4*MAX(0,MIN(1,($W$4-K1512)/($W$4-$V$4)))+$U$5*MAX(0,MIN(1,($W$5-L1512)/($W$5-$V$5)))+$U$6*MAX(0,MIN(1,($W$6-M1512)/($W$6-$V$6)))+$U$7*MAX(0,MIN(1,($W$7-N1512)/($W$7-$V$7)))+$U$8*IF(AND(O1512&gt;=$V$8,O1512&lt;=$W$8),1,0))/$U$9*100,2)</f>
        <v>63.26</v>
      </c>
      <c r="C1512" s="27" t="s">
        <v>1038</v>
      </c>
      <c r="D1512" s="25" t="s">
        <v>134</v>
      </c>
      <c r="E1512" s="25" t="s">
        <v>3450</v>
      </c>
      <c r="F1512" s="25" t="s">
        <v>3448</v>
      </c>
      <c r="G1512" s="38" t="s">
        <v>30</v>
      </c>
      <c r="H1512" s="28" t="s">
        <v>25</v>
      </c>
      <c r="I1512" s="25" t="n">
        <v>3</v>
      </c>
      <c r="J1512" s="25" t="n">
        <v>1</v>
      </c>
      <c r="K1512" s="25" t="n">
        <v>2</v>
      </c>
      <c r="L1512" s="29" t="n">
        <v>0.71</v>
      </c>
      <c r="M1512" s="30" t="n">
        <v>19.2</v>
      </c>
      <c r="N1512" s="29" t="n">
        <v>0.76</v>
      </c>
      <c r="O1512" s="25" t="n">
        <v>192</v>
      </c>
      <c r="P1512" s="30" t="n">
        <v>9.26</v>
      </c>
      <c r="Q1512" s="27" t="s">
        <v>3716</v>
      </c>
      <c r="R1512" s="27" t="s">
        <v>283</v>
      </c>
    </row>
    <row r="1513" customFormat="false" ht="15" hidden="false" customHeight="false" outlineLevel="0" collapsed="false">
      <c r="A1513" s="25" t="n">
        <f aca="false">IF(G1513="REJECT",COUNTIF($G$2:$G$2277,"&lt;&gt;REJECT")+1+COUNTIFS($G$2:$G$2277,"REJECT",$B$2:$B$2277,"&gt;"&amp;B1513),1+COUNTIFS($G$2:$G$2277,"&lt;&gt;REJECT",$B$2:$B$2277,"&gt;"&amp;B1513))</f>
        <v>1512</v>
      </c>
      <c r="B1513" s="26" t="n">
        <f aca="false">ROUND(($U$2*MAX(0,MIN(1,($W$2-I1513)/($W$2-$V$2)))+$U$3*MAX(0,MIN(1,($W$3-J1513)/($W$3-$V$3)))+$U$4*MAX(0,MIN(1,($W$4-K1513)/($W$4-$V$4)))+$U$5*MAX(0,MIN(1,($W$5-L1513)/($W$5-$V$5)))+$U$6*MAX(0,MIN(1,($W$6-M1513)/($W$6-$V$6)))+$U$7*MAX(0,MIN(1,($W$7-N1513)/($W$7-$V$7)))+$U$8*IF(AND(O1513&gt;=$V$8,O1513&lt;=$W$8),1,0))/$U$9*100,2)</f>
        <v>63.21</v>
      </c>
      <c r="C1513" s="27" t="s">
        <v>2541</v>
      </c>
      <c r="D1513" s="25" t="s">
        <v>134</v>
      </c>
      <c r="E1513" s="25" t="s">
        <v>3450</v>
      </c>
      <c r="F1513" s="25" t="s">
        <v>3448</v>
      </c>
      <c r="G1513" s="38" t="s">
        <v>30</v>
      </c>
      <c r="H1513" s="28" t="s">
        <v>25</v>
      </c>
      <c r="I1513" s="25" t="n">
        <v>3</v>
      </c>
      <c r="J1513" s="25" t="n">
        <v>1</v>
      </c>
      <c r="K1513" s="25" t="n">
        <v>3</v>
      </c>
      <c r="L1513" s="29" t="n">
        <v>0.72</v>
      </c>
      <c r="M1513" s="30" t="n">
        <v>19.42</v>
      </c>
      <c r="N1513" s="29" t="n">
        <v>0</v>
      </c>
      <c r="O1513" s="25" t="n">
        <v>183</v>
      </c>
      <c r="P1513" s="30" t="n">
        <v>11.8</v>
      </c>
      <c r="Q1513" s="27" t="s">
        <v>3649</v>
      </c>
      <c r="R1513" s="27" t="s">
        <v>283</v>
      </c>
    </row>
    <row r="1514" customFormat="false" ht="15" hidden="false" customHeight="false" outlineLevel="0" collapsed="false">
      <c r="A1514" s="25" t="n">
        <f aca="false">IF(G1514="REJECT",COUNTIF($G$2:$G$2277,"&lt;&gt;REJECT")+1+COUNTIFS($G$2:$G$2277,"REJECT",$B$2:$B$2277,"&gt;"&amp;B1514),1+COUNTIFS($G$2:$G$2277,"&lt;&gt;REJECT",$B$2:$B$2277,"&gt;"&amp;B1514))</f>
        <v>1513</v>
      </c>
      <c r="B1514" s="26" t="n">
        <f aca="false">ROUND(($U$2*MAX(0,MIN(1,($W$2-I1514)/($W$2-$V$2)))+$U$3*MAX(0,MIN(1,($W$3-J1514)/($W$3-$V$3)))+$U$4*MAX(0,MIN(1,($W$4-K1514)/($W$4-$V$4)))+$U$5*MAX(0,MIN(1,($W$5-L1514)/($W$5-$V$5)))+$U$6*MAX(0,MIN(1,($W$6-M1514)/($W$6-$V$6)))+$U$7*MAX(0,MIN(1,($W$7-N1514)/($W$7-$V$7)))+$U$8*IF(AND(O1514&gt;=$V$8,O1514&lt;=$W$8),1,0))/$U$9*100,2)</f>
        <v>63.18</v>
      </c>
      <c r="C1514" s="27" t="s">
        <v>1122</v>
      </c>
      <c r="D1514" s="25" t="s">
        <v>134</v>
      </c>
      <c r="E1514" s="25" t="s">
        <v>3447</v>
      </c>
      <c r="F1514" s="25" t="s">
        <v>3457</v>
      </c>
      <c r="G1514" s="38" t="s">
        <v>30</v>
      </c>
      <c r="H1514" s="28" t="s">
        <v>25</v>
      </c>
      <c r="I1514" s="25" t="n">
        <v>5</v>
      </c>
      <c r="J1514" s="25" t="n">
        <v>0</v>
      </c>
      <c r="K1514" s="25" t="n">
        <v>5</v>
      </c>
      <c r="L1514" s="29" t="n">
        <v>0.79</v>
      </c>
      <c r="M1514" s="30" t="n">
        <v>21</v>
      </c>
      <c r="N1514" s="29" t="n">
        <v>0.88</v>
      </c>
      <c r="O1514" s="25" t="n">
        <v>184</v>
      </c>
      <c r="P1514" s="30" t="n">
        <v>7.58</v>
      </c>
      <c r="Q1514" s="27" t="s">
        <v>3717</v>
      </c>
      <c r="R1514" s="27" t="s">
        <v>144</v>
      </c>
    </row>
    <row r="1515" customFormat="false" ht="15" hidden="false" customHeight="false" outlineLevel="0" collapsed="false">
      <c r="A1515" s="25" t="n">
        <f aca="false">IF(G1515="REJECT",COUNTIF($G$2:$G$2277,"&lt;&gt;REJECT")+1+COUNTIFS($G$2:$G$2277,"REJECT",$B$2:$B$2277,"&gt;"&amp;B1515),1+COUNTIFS($G$2:$G$2277,"&lt;&gt;REJECT",$B$2:$B$2277,"&gt;"&amp;B1515))</f>
        <v>1514</v>
      </c>
      <c r="B1515" s="26" t="n">
        <f aca="false">ROUND(($U$2*MAX(0,MIN(1,($W$2-I1515)/($W$2-$V$2)))+$U$3*MAX(0,MIN(1,($W$3-J1515)/($W$3-$V$3)))+$U$4*MAX(0,MIN(1,($W$4-K1515)/($W$4-$V$4)))+$U$5*MAX(0,MIN(1,($W$5-L1515)/($W$5-$V$5)))+$U$6*MAX(0,MIN(1,($W$6-M1515)/($W$6-$V$6)))+$U$7*MAX(0,MIN(1,($W$7-N1515)/($W$7-$V$7)))+$U$8*IF(AND(O1515&gt;=$V$8,O1515&lt;=$W$8),1,0))/$U$9*100,2)</f>
        <v>63.17</v>
      </c>
      <c r="C1515" s="27" t="s">
        <v>1639</v>
      </c>
      <c r="D1515" s="25" t="s">
        <v>3459</v>
      </c>
      <c r="E1515" s="25" t="s">
        <v>3450</v>
      </c>
      <c r="F1515" s="25" t="s">
        <v>3448</v>
      </c>
      <c r="G1515" s="38" t="s">
        <v>30</v>
      </c>
      <c r="H1515" s="28" t="s">
        <v>25</v>
      </c>
      <c r="I1515" s="25" t="n">
        <v>3</v>
      </c>
      <c r="J1515" s="25" t="n">
        <v>1</v>
      </c>
      <c r="K1515" s="25" t="n">
        <v>3</v>
      </c>
      <c r="L1515" s="29" t="n">
        <v>0.71</v>
      </c>
      <c r="M1515" s="30" t="n">
        <v>8.47</v>
      </c>
      <c r="N1515" s="29" t="n">
        <v>0.76</v>
      </c>
      <c r="O1515" s="25" t="n">
        <v>184</v>
      </c>
      <c r="P1515" s="30" t="n">
        <v>4.06</v>
      </c>
      <c r="Q1515" s="27" t="s">
        <v>3664</v>
      </c>
      <c r="R1515" s="27" t="s">
        <v>283</v>
      </c>
    </row>
    <row r="1516" customFormat="false" ht="15" hidden="false" customHeight="false" outlineLevel="0" collapsed="false">
      <c r="A1516" s="25" t="n">
        <f aca="false">IF(G1516="REJECT",COUNTIF($G$2:$G$2277,"&lt;&gt;REJECT")+1+COUNTIFS($G$2:$G$2277,"REJECT",$B$2:$B$2277,"&gt;"&amp;B1516),1+COUNTIFS($G$2:$G$2277,"&lt;&gt;REJECT",$B$2:$B$2277,"&gt;"&amp;B1516))</f>
        <v>1515</v>
      </c>
      <c r="B1516" s="26" t="n">
        <f aca="false">ROUND(($U$2*MAX(0,MIN(1,($W$2-I1516)/($W$2-$V$2)))+$U$3*MAX(0,MIN(1,($W$3-J1516)/($W$3-$V$3)))+$U$4*MAX(0,MIN(1,($W$4-K1516)/($W$4-$V$4)))+$U$5*MAX(0,MIN(1,($W$5-L1516)/($W$5-$V$5)))+$U$6*MAX(0,MIN(1,($W$6-M1516)/($W$6-$V$6)))+$U$7*MAX(0,MIN(1,($W$7-N1516)/($W$7-$V$7)))+$U$8*IF(AND(O1516&gt;=$V$8,O1516&lt;=$W$8),1,0))/$U$9*100,2)</f>
        <v>63.16</v>
      </c>
      <c r="C1516" s="27" t="s">
        <v>3182</v>
      </c>
      <c r="D1516" s="25" t="s">
        <v>134</v>
      </c>
      <c r="E1516" s="25" t="s">
        <v>3450</v>
      </c>
      <c r="F1516" s="25" t="s">
        <v>3448</v>
      </c>
      <c r="G1516" s="38" t="s">
        <v>30</v>
      </c>
      <c r="H1516" s="28" t="s">
        <v>25</v>
      </c>
      <c r="I1516" s="25" t="n">
        <v>3</v>
      </c>
      <c r="J1516" s="25" t="n">
        <v>1</v>
      </c>
      <c r="K1516" s="25" t="n">
        <v>3</v>
      </c>
      <c r="L1516" s="29" t="n">
        <v>0.71</v>
      </c>
      <c r="M1516" s="30" t="n">
        <v>12.96</v>
      </c>
      <c r="N1516" s="29" t="n">
        <v>0.32</v>
      </c>
      <c r="O1516" s="25" t="n">
        <v>183</v>
      </c>
      <c r="P1516" s="30" t="n">
        <v>5.89</v>
      </c>
      <c r="Q1516" s="27" t="s">
        <v>3649</v>
      </c>
      <c r="R1516" s="27" t="s">
        <v>283</v>
      </c>
    </row>
    <row r="1517" customFormat="false" ht="15" hidden="false" customHeight="false" outlineLevel="0" collapsed="false">
      <c r="A1517" s="25" t="n">
        <f aca="false">IF(G1517="REJECT",COUNTIF($G$2:$G$2277,"&lt;&gt;REJECT")+1+COUNTIFS($G$2:$G$2277,"REJECT",$B$2:$B$2277,"&gt;"&amp;B1517),1+COUNTIFS($G$2:$G$2277,"&lt;&gt;REJECT",$B$2:$B$2277,"&gt;"&amp;B1517))</f>
        <v>1516</v>
      </c>
      <c r="B1517" s="26" t="n">
        <f aca="false">ROUND(($U$2*MAX(0,MIN(1,($W$2-I1517)/($W$2-$V$2)))+$U$3*MAX(0,MIN(1,($W$3-J1517)/($W$3-$V$3)))+$U$4*MAX(0,MIN(1,($W$4-K1517)/($W$4-$V$4)))+$U$5*MAX(0,MIN(1,($W$5-L1517)/($W$5-$V$5)))+$U$6*MAX(0,MIN(1,($W$6-M1517)/($W$6-$V$6)))+$U$7*MAX(0,MIN(1,($W$7-N1517)/($W$7-$V$7)))+$U$8*IF(AND(O1517&gt;=$V$8,O1517&lt;=$W$8),1,0))/$U$9*100,2)</f>
        <v>63.15</v>
      </c>
      <c r="C1517" s="27" t="s">
        <v>879</v>
      </c>
      <c r="D1517" s="25" t="s">
        <v>134</v>
      </c>
      <c r="E1517" s="25" t="s">
        <v>3447</v>
      </c>
      <c r="F1517" s="25" t="s">
        <v>3457</v>
      </c>
      <c r="G1517" s="38" t="s">
        <v>30</v>
      </c>
      <c r="H1517" s="28" t="s">
        <v>25</v>
      </c>
      <c r="I1517" s="25" t="n">
        <v>5</v>
      </c>
      <c r="J1517" s="25" t="n">
        <v>0</v>
      </c>
      <c r="K1517" s="25" t="n">
        <v>5</v>
      </c>
      <c r="L1517" s="29" t="n">
        <v>0.74</v>
      </c>
      <c r="M1517" s="30" t="n">
        <v>3.21</v>
      </c>
      <c r="N1517" s="29" t="n">
        <v>0.88</v>
      </c>
      <c r="O1517" s="25" t="n">
        <v>184</v>
      </c>
      <c r="P1517" s="30" t="n">
        <v>-1.16</v>
      </c>
      <c r="Q1517" s="27" t="s">
        <v>3718</v>
      </c>
      <c r="R1517" s="27" t="s">
        <v>2610</v>
      </c>
    </row>
    <row r="1518" customFormat="false" ht="15" hidden="false" customHeight="false" outlineLevel="0" collapsed="false">
      <c r="A1518" s="25" t="n">
        <f aca="false">IF(G1518="REJECT",COUNTIF($G$2:$G$2277,"&lt;&gt;REJECT")+1+COUNTIFS($G$2:$G$2277,"REJECT",$B$2:$B$2277,"&gt;"&amp;B1518),1+COUNTIFS($G$2:$G$2277,"&lt;&gt;REJECT",$B$2:$B$2277,"&gt;"&amp;B1518))</f>
        <v>1517</v>
      </c>
      <c r="B1518" s="26" t="n">
        <f aca="false">ROUND(($U$2*MAX(0,MIN(1,($W$2-I1518)/($W$2-$V$2)))+$U$3*MAX(0,MIN(1,($W$3-J1518)/($W$3-$V$3)))+$U$4*MAX(0,MIN(1,($W$4-K1518)/($W$4-$V$4)))+$U$5*MAX(0,MIN(1,($W$5-L1518)/($W$5-$V$5)))+$U$6*MAX(0,MIN(1,($W$6-M1518)/($W$6-$V$6)))+$U$7*MAX(0,MIN(1,($W$7-N1518)/($W$7-$V$7)))+$U$8*IF(AND(O1518&gt;=$V$8,O1518&lt;=$W$8),1,0))/$U$9*100,2)</f>
        <v>63.14</v>
      </c>
      <c r="C1518" s="27" t="s">
        <v>3259</v>
      </c>
      <c r="D1518" s="25" t="s">
        <v>3459</v>
      </c>
      <c r="E1518" s="25" t="s">
        <v>3450</v>
      </c>
      <c r="F1518" s="25" t="s">
        <v>3448</v>
      </c>
      <c r="G1518" s="38" t="s">
        <v>30</v>
      </c>
      <c r="H1518" s="28" t="s">
        <v>25</v>
      </c>
      <c r="I1518" s="25" t="n">
        <v>3</v>
      </c>
      <c r="J1518" s="25" t="n">
        <v>1</v>
      </c>
      <c r="K1518" s="25" t="n">
        <v>3</v>
      </c>
      <c r="L1518" s="29" t="n">
        <v>0.73</v>
      </c>
      <c r="M1518" s="30" t="n">
        <v>21.44</v>
      </c>
      <c r="N1518" s="29" t="n">
        <v>0.2</v>
      </c>
      <c r="O1518" s="25" t="n">
        <v>182</v>
      </c>
      <c r="P1518" s="30" t="n">
        <v>18.43</v>
      </c>
      <c r="Q1518" s="27" t="s">
        <v>3664</v>
      </c>
      <c r="R1518" s="27" t="s">
        <v>183</v>
      </c>
    </row>
    <row r="1519" customFormat="false" ht="15" hidden="false" customHeight="false" outlineLevel="0" collapsed="false">
      <c r="A1519" s="25" t="n">
        <f aca="false">IF(G1519="REJECT",COUNTIF($G$2:$G$2277,"&lt;&gt;REJECT")+1+COUNTIFS($G$2:$G$2277,"REJECT",$B$2:$B$2277,"&gt;"&amp;B1519),1+COUNTIFS($G$2:$G$2277,"&lt;&gt;REJECT",$B$2:$B$2277,"&gt;"&amp;B1519))</f>
        <v>1518</v>
      </c>
      <c r="B1519" s="26" t="n">
        <f aca="false">ROUND(($U$2*MAX(0,MIN(1,($W$2-I1519)/($W$2-$V$2)))+$U$3*MAX(0,MIN(1,($W$3-J1519)/($W$3-$V$3)))+$U$4*MAX(0,MIN(1,($W$4-K1519)/($W$4-$V$4)))+$U$5*MAX(0,MIN(1,($W$5-L1519)/($W$5-$V$5)))+$U$6*MAX(0,MIN(1,($W$6-M1519)/($W$6-$V$6)))+$U$7*MAX(0,MIN(1,($W$7-N1519)/($W$7-$V$7)))+$U$8*IF(AND(O1519&gt;=$V$8,O1519&lt;=$W$8),1,0))/$U$9*100,2)</f>
        <v>62.99</v>
      </c>
      <c r="C1519" s="27" t="s">
        <v>656</v>
      </c>
      <c r="D1519" s="25" t="s">
        <v>134</v>
      </c>
      <c r="E1519" s="25" t="s">
        <v>3450</v>
      </c>
      <c r="F1519" s="25" t="s">
        <v>3448</v>
      </c>
      <c r="G1519" s="38" t="s">
        <v>30</v>
      </c>
      <c r="H1519" s="28" t="s">
        <v>25</v>
      </c>
      <c r="I1519" s="25" t="n">
        <v>3</v>
      </c>
      <c r="J1519" s="25" t="n">
        <v>1</v>
      </c>
      <c r="K1519" s="25" t="n">
        <v>3</v>
      </c>
      <c r="L1519" s="29" t="n">
        <v>0.78</v>
      </c>
      <c r="M1519" s="30" t="n">
        <v>7.16</v>
      </c>
      <c r="N1519" s="29" t="n">
        <v>0.52</v>
      </c>
      <c r="O1519" s="25" t="n">
        <v>244</v>
      </c>
      <c r="P1519" s="30" t="n">
        <v>7.22</v>
      </c>
      <c r="Q1519" s="27" t="s">
        <v>3719</v>
      </c>
      <c r="R1519" s="27" t="s">
        <v>659</v>
      </c>
    </row>
    <row r="1520" customFormat="false" ht="15" hidden="false" customHeight="false" outlineLevel="0" collapsed="false">
      <c r="A1520" s="25" t="n">
        <f aca="false">IF(G1520="REJECT",COUNTIF($G$2:$G$2277,"&lt;&gt;REJECT")+1+COUNTIFS($G$2:$G$2277,"REJECT",$B$2:$B$2277,"&gt;"&amp;B1520),1+COUNTIFS($G$2:$G$2277,"&lt;&gt;REJECT",$B$2:$B$2277,"&gt;"&amp;B1520))</f>
        <v>1519</v>
      </c>
      <c r="B1520" s="26" t="n">
        <f aca="false">ROUND(($U$2*MAX(0,MIN(1,($W$2-I1520)/($W$2-$V$2)))+$U$3*MAX(0,MIN(1,($W$3-J1520)/($W$3-$V$3)))+$U$4*MAX(0,MIN(1,($W$4-K1520)/($W$4-$V$4)))+$U$5*MAX(0,MIN(1,($W$5-L1520)/($W$5-$V$5)))+$U$6*MAX(0,MIN(1,($W$6-M1520)/($W$6-$V$6)))+$U$7*MAX(0,MIN(1,($W$7-N1520)/($W$7-$V$7)))+$U$8*IF(AND(O1520&gt;=$V$8,O1520&lt;=$W$8),1,0))/$U$9*100,2)</f>
        <v>62.95</v>
      </c>
      <c r="C1520" s="27" t="s">
        <v>1247</v>
      </c>
      <c r="D1520" s="25" t="s">
        <v>134</v>
      </c>
      <c r="E1520" s="25" t="s">
        <v>3450</v>
      </c>
      <c r="F1520" s="25" t="s">
        <v>3457</v>
      </c>
      <c r="G1520" s="38" t="s">
        <v>30</v>
      </c>
      <c r="H1520" s="28" t="s">
        <v>25</v>
      </c>
      <c r="I1520" s="25" t="n">
        <v>3</v>
      </c>
      <c r="J1520" s="25" t="n">
        <v>1</v>
      </c>
      <c r="K1520" s="25" t="n">
        <v>3</v>
      </c>
      <c r="L1520" s="29" t="n">
        <v>0.71</v>
      </c>
      <c r="M1520" s="30" t="n">
        <v>9.42</v>
      </c>
      <c r="N1520" s="29" t="n">
        <v>0.8</v>
      </c>
      <c r="O1520" s="25" t="n">
        <v>189</v>
      </c>
      <c r="P1520" s="30" t="n">
        <v>4.07</v>
      </c>
      <c r="Q1520" s="27" t="s">
        <v>3695</v>
      </c>
      <c r="R1520" s="27" t="s">
        <v>1152</v>
      </c>
    </row>
    <row r="1521" customFormat="false" ht="15" hidden="false" customHeight="false" outlineLevel="0" collapsed="false">
      <c r="A1521" s="25" t="n">
        <f aca="false">IF(G1521="REJECT",COUNTIF($G$2:$G$2277,"&lt;&gt;REJECT")+1+COUNTIFS($G$2:$G$2277,"REJECT",$B$2:$B$2277,"&gt;"&amp;B1521),1+COUNTIFS($G$2:$G$2277,"&lt;&gt;REJECT",$B$2:$B$2277,"&gt;"&amp;B1521))</f>
        <v>1520</v>
      </c>
      <c r="B1521" s="26" t="n">
        <f aca="false">ROUND(($U$2*MAX(0,MIN(1,($W$2-I1521)/($W$2-$V$2)))+$U$3*MAX(0,MIN(1,($W$3-J1521)/($W$3-$V$3)))+$U$4*MAX(0,MIN(1,($W$4-K1521)/($W$4-$V$4)))+$U$5*MAX(0,MIN(1,($W$5-L1521)/($W$5-$V$5)))+$U$6*MAX(0,MIN(1,($W$6-M1521)/($W$6-$V$6)))+$U$7*MAX(0,MIN(1,($W$7-N1521)/($W$7-$V$7)))+$U$8*IF(AND(O1521&gt;=$V$8,O1521&lt;=$W$8),1,0))/$U$9*100,2)</f>
        <v>62.88</v>
      </c>
      <c r="C1521" s="27" t="s">
        <v>2338</v>
      </c>
      <c r="D1521" s="25" t="s">
        <v>134</v>
      </c>
      <c r="E1521" s="25" t="s">
        <v>3447</v>
      </c>
      <c r="F1521" s="25" t="s">
        <v>3457</v>
      </c>
      <c r="G1521" s="38" t="s">
        <v>30</v>
      </c>
      <c r="H1521" s="28" t="s">
        <v>25</v>
      </c>
      <c r="I1521" s="25" t="n">
        <v>3</v>
      </c>
      <c r="J1521" s="25" t="n">
        <v>1</v>
      </c>
      <c r="K1521" s="25" t="n">
        <v>3</v>
      </c>
      <c r="L1521" s="29" t="n">
        <v>0.74</v>
      </c>
      <c r="M1521" s="30" t="n">
        <v>21.82</v>
      </c>
      <c r="N1521" s="29" t="n">
        <v>0.68</v>
      </c>
      <c r="O1521" s="25" t="n">
        <v>185</v>
      </c>
      <c r="P1521" s="30" t="n">
        <v>2.78</v>
      </c>
      <c r="Q1521" s="27" t="s">
        <v>3695</v>
      </c>
      <c r="R1521" s="27" t="s">
        <v>157</v>
      </c>
    </row>
    <row r="1522" customFormat="false" ht="15" hidden="false" customHeight="false" outlineLevel="0" collapsed="false">
      <c r="A1522" s="25" t="n">
        <f aca="false">IF(G1522="REJECT",COUNTIF($G$2:$G$2277,"&lt;&gt;REJECT")+1+COUNTIFS($G$2:$G$2277,"REJECT",$B$2:$B$2277,"&gt;"&amp;B1522),1+COUNTIFS($G$2:$G$2277,"&lt;&gt;REJECT",$B$2:$B$2277,"&gt;"&amp;B1522))</f>
        <v>1521</v>
      </c>
      <c r="B1522" s="26" t="n">
        <f aca="false">ROUND(($U$2*MAX(0,MIN(1,($W$2-I1522)/($W$2-$V$2)))+$U$3*MAX(0,MIN(1,($W$3-J1522)/($W$3-$V$3)))+$U$4*MAX(0,MIN(1,($W$4-K1522)/($W$4-$V$4)))+$U$5*MAX(0,MIN(1,($W$5-L1522)/($W$5-$V$5)))+$U$6*MAX(0,MIN(1,($W$6-M1522)/($W$6-$V$6)))+$U$7*MAX(0,MIN(1,($W$7-N1522)/($W$7-$V$7)))+$U$8*IF(AND(O1522&gt;=$V$8,O1522&lt;=$W$8),1,0))/$U$9*100,2)</f>
        <v>62.87</v>
      </c>
      <c r="C1522" s="27" t="s">
        <v>2860</v>
      </c>
      <c r="D1522" s="25" t="s">
        <v>3459</v>
      </c>
      <c r="E1522" s="25" t="s">
        <v>3447</v>
      </c>
      <c r="F1522" s="25" t="s">
        <v>3448</v>
      </c>
      <c r="G1522" s="38" t="s">
        <v>30</v>
      </c>
      <c r="H1522" s="28" t="s">
        <v>25</v>
      </c>
      <c r="I1522" s="25" t="n">
        <v>3</v>
      </c>
      <c r="J1522" s="25" t="n">
        <v>1</v>
      </c>
      <c r="K1522" s="25" t="n">
        <v>3</v>
      </c>
      <c r="L1522" s="29" t="n">
        <v>0.74</v>
      </c>
      <c r="M1522" s="30" t="n">
        <v>24.31</v>
      </c>
      <c r="N1522" s="29" t="n">
        <v>0.44</v>
      </c>
      <c r="O1522" s="25" t="n">
        <v>183</v>
      </c>
      <c r="P1522" s="30" t="n">
        <v>6.28</v>
      </c>
      <c r="Q1522" s="27" t="s">
        <v>3649</v>
      </c>
      <c r="R1522" s="27" t="s">
        <v>157</v>
      </c>
    </row>
    <row r="1523" customFormat="false" ht="15" hidden="false" customHeight="false" outlineLevel="0" collapsed="false">
      <c r="A1523" s="25" t="n">
        <f aca="false">IF(G1523="REJECT",COUNTIF($G$2:$G$2277,"&lt;&gt;REJECT")+1+COUNTIFS($G$2:$G$2277,"REJECT",$B$2:$B$2277,"&gt;"&amp;B1523),1+COUNTIFS($G$2:$G$2277,"&lt;&gt;REJECT",$B$2:$B$2277,"&gt;"&amp;B1523))</f>
        <v>1522</v>
      </c>
      <c r="B1523" s="26" t="n">
        <f aca="false">ROUND(($U$2*MAX(0,MIN(1,($W$2-I1523)/($W$2-$V$2)))+$U$3*MAX(0,MIN(1,($W$3-J1523)/($W$3-$V$3)))+$U$4*MAX(0,MIN(1,($W$4-K1523)/($W$4-$V$4)))+$U$5*MAX(0,MIN(1,($W$5-L1523)/($W$5-$V$5)))+$U$6*MAX(0,MIN(1,($W$6-M1523)/($W$6-$V$6)))+$U$7*MAX(0,MIN(1,($W$7-N1523)/($W$7-$V$7)))+$U$8*IF(AND(O1523&gt;=$V$8,O1523&lt;=$W$8),1,0))/$U$9*100,2)</f>
        <v>62.86</v>
      </c>
      <c r="C1523" s="27" t="s">
        <v>785</v>
      </c>
      <c r="D1523" s="25" t="s">
        <v>134</v>
      </c>
      <c r="E1523" s="25" t="s">
        <v>3450</v>
      </c>
      <c r="F1523" s="25" t="s">
        <v>3448</v>
      </c>
      <c r="G1523" s="38" t="s">
        <v>30</v>
      </c>
      <c r="H1523" s="28" t="s">
        <v>25</v>
      </c>
      <c r="I1523" s="25" t="n">
        <v>3</v>
      </c>
      <c r="J1523" s="25" t="n">
        <v>1</v>
      </c>
      <c r="K1523" s="25" t="n">
        <v>3</v>
      </c>
      <c r="L1523" s="29" t="n">
        <v>0.7</v>
      </c>
      <c r="M1523" s="30" t="n">
        <v>14.32</v>
      </c>
      <c r="N1523" s="29" t="n">
        <v>0</v>
      </c>
      <c r="O1523" s="25" t="n">
        <v>193</v>
      </c>
      <c r="P1523" s="30" t="n">
        <v>18.53</v>
      </c>
      <c r="Q1523" s="27" t="s">
        <v>3649</v>
      </c>
      <c r="R1523" s="27" t="s">
        <v>283</v>
      </c>
    </row>
    <row r="1524" customFormat="false" ht="15" hidden="false" customHeight="false" outlineLevel="0" collapsed="false">
      <c r="A1524" s="25" t="n">
        <f aca="false">IF(G1524="REJECT",COUNTIF($G$2:$G$2277,"&lt;&gt;REJECT")+1+COUNTIFS($G$2:$G$2277,"REJECT",$B$2:$B$2277,"&gt;"&amp;B1524),1+COUNTIFS($G$2:$G$2277,"&lt;&gt;REJECT",$B$2:$B$2277,"&gt;"&amp;B1524))</f>
        <v>1523</v>
      </c>
      <c r="B1524" s="26" t="n">
        <f aca="false">ROUND(($U$2*MAX(0,MIN(1,($W$2-I1524)/($W$2-$V$2)))+$U$3*MAX(0,MIN(1,($W$3-J1524)/($W$3-$V$3)))+$U$4*MAX(0,MIN(1,($W$4-K1524)/($W$4-$V$4)))+$U$5*MAX(0,MIN(1,($W$5-L1524)/($W$5-$V$5)))+$U$6*MAX(0,MIN(1,($W$6-M1524)/($W$6-$V$6)))+$U$7*MAX(0,MIN(1,($W$7-N1524)/($W$7-$V$7)))+$U$8*IF(AND(O1524&gt;=$V$8,O1524&lt;=$W$8),1,0))/$U$9*100,2)</f>
        <v>62.75</v>
      </c>
      <c r="C1524" s="27" t="s">
        <v>2897</v>
      </c>
      <c r="D1524" s="25" t="s">
        <v>3459</v>
      </c>
      <c r="E1524" s="25" t="s">
        <v>3447</v>
      </c>
      <c r="F1524" s="25" t="s">
        <v>3448</v>
      </c>
      <c r="G1524" s="38" t="s">
        <v>30</v>
      </c>
      <c r="H1524" s="28" t="s">
        <v>25</v>
      </c>
      <c r="I1524" s="25" t="n">
        <v>2</v>
      </c>
      <c r="J1524" s="25" t="n">
        <v>1</v>
      </c>
      <c r="K1524" s="25" t="n">
        <v>2</v>
      </c>
      <c r="L1524" s="29" t="n">
        <v>0.62</v>
      </c>
      <c r="M1524" s="30" t="n">
        <v>18.5</v>
      </c>
      <c r="N1524" s="29" t="n">
        <v>0.52</v>
      </c>
      <c r="O1524" s="25" t="n">
        <v>185</v>
      </c>
      <c r="P1524" s="30" t="n">
        <v>2.44</v>
      </c>
      <c r="Q1524" s="27" t="s">
        <v>3566</v>
      </c>
      <c r="R1524" s="27" t="s">
        <v>283</v>
      </c>
    </row>
    <row r="1525" customFormat="false" ht="15" hidden="false" customHeight="false" outlineLevel="0" collapsed="false">
      <c r="A1525" s="25" t="n">
        <f aca="false">IF(G1525="REJECT",COUNTIF($G$2:$G$2277,"&lt;&gt;REJECT")+1+COUNTIFS($G$2:$G$2277,"REJECT",$B$2:$B$2277,"&gt;"&amp;B1525),1+COUNTIFS($G$2:$G$2277,"&lt;&gt;REJECT",$B$2:$B$2277,"&gt;"&amp;B1525))</f>
        <v>1524</v>
      </c>
      <c r="B1525" s="26" t="n">
        <f aca="false">ROUND(($U$2*MAX(0,MIN(1,($W$2-I1525)/($W$2-$V$2)))+$U$3*MAX(0,MIN(1,($W$3-J1525)/($W$3-$V$3)))+$U$4*MAX(0,MIN(1,($W$4-K1525)/($W$4-$V$4)))+$U$5*MAX(0,MIN(1,($W$5-L1525)/($W$5-$V$5)))+$U$6*MAX(0,MIN(1,($W$6-M1525)/($W$6-$V$6)))+$U$7*MAX(0,MIN(1,($W$7-N1525)/($W$7-$V$7)))+$U$8*IF(AND(O1525&gt;=$V$8,O1525&lt;=$W$8),1,0))/$U$9*100,2)</f>
        <v>62.74</v>
      </c>
      <c r="C1525" s="27" t="s">
        <v>824</v>
      </c>
      <c r="D1525" s="25" t="s">
        <v>134</v>
      </c>
      <c r="E1525" s="25" t="s">
        <v>3447</v>
      </c>
      <c r="F1525" s="25" t="s">
        <v>3457</v>
      </c>
      <c r="G1525" s="38" t="s">
        <v>30</v>
      </c>
      <c r="H1525" s="28" t="s">
        <v>25</v>
      </c>
      <c r="I1525" s="25" t="n">
        <v>3</v>
      </c>
      <c r="J1525" s="25" t="n">
        <v>1</v>
      </c>
      <c r="K1525" s="25" t="n">
        <v>3</v>
      </c>
      <c r="L1525" s="29" t="n">
        <v>0.72</v>
      </c>
      <c r="M1525" s="30" t="n">
        <v>12.64</v>
      </c>
      <c r="N1525" s="29" t="n">
        <v>0.96</v>
      </c>
      <c r="O1525" s="25" t="n">
        <v>189</v>
      </c>
      <c r="P1525" s="30" t="n">
        <v>12.8</v>
      </c>
      <c r="Q1525" s="27" t="s">
        <v>3649</v>
      </c>
      <c r="R1525" s="27" t="s">
        <v>283</v>
      </c>
    </row>
    <row r="1526" customFormat="false" ht="15" hidden="false" customHeight="false" outlineLevel="0" collapsed="false">
      <c r="A1526" s="25" t="n">
        <f aca="false">IF(G1526="REJECT",COUNTIF($G$2:$G$2277,"&lt;&gt;REJECT")+1+COUNTIFS($G$2:$G$2277,"REJECT",$B$2:$B$2277,"&gt;"&amp;B1526),1+COUNTIFS($G$2:$G$2277,"&lt;&gt;REJECT",$B$2:$B$2277,"&gt;"&amp;B1526))</f>
        <v>1525</v>
      </c>
      <c r="B1526" s="26" t="n">
        <f aca="false">ROUND(($U$2*MAX(0,MIN(1,($W$2-I1526)/($W$2-$V$2)))+$U$3*MAX(0,MIN(1,($W$3-J1526)/($W$3-$V$3)))+$U$4*MAX(0,MIN(1,($W$4-K1526)/($W$4-$V$4)))+$U$5*MAX(0,MIN(1,($W$5-L1526)/($W$5-$V$5)))+$U$6*MAX(0,MIN(1,($W$6-M1526)/($W$6-$V$6)))+$U$7*MAX(0,MIN(1,($W$7-N1526)/($W$7-$V$7)))+$U$8*IF(AND(O1526&gt;=$V$8,O1526&lt;=$W$8),1,0))/$U$9*100,2)</f>
        <v>62.72</v>
      </c>
      <c r="C1526" s="27" t="s">
        <v>279</v>
      </c>
      <c r="D1526" s="25" t="s">
        <v>134</v>
      </c>
      <c r="E1526" s="25" t="s">
        <v>3450</v>
      </c>
      <c r="F1526" s="25" t="s">
        <v>3448</v>
      </c>
      <c r="G1526" s="38" t="s">
        <v>30</v>
      </c>
      <c r="H1526" s="28" t="s">
        <v>25</v>
      </c>
      <c r="I1526" s="25" t="n">
        <v>3</v>
      </c>
      <c r="J1526" s="25" t="n">
        <v>1</v>
      </c>
      <c r="K1526" s="25" t="n">
        <v>3</v>
      </c>
      <c r="L1526" s="29" t="n">
        <v>0.71</v>
      </c>
      <c r="M1526" s="30" t="n">
        <v>9.21</v>
      </c>
      <c r="N1526" s="29" t="n">
        <v>0.96</v>
      </c>
      <c r="O1526" s="25" t="n">
        <v>189</v>
      </c>
      <c r="P1526" s="30" t="n">
        <v>15.27</v>
      </c>
      <c r="Q1526" s="27" t="s">
        <v>3720</v>
      </c>
      <c r="R1526" s="27" t="s">
        <v>283</v>
      </c>
    </row>
    <row r="1527" customFormat="false" ht="15" hidden="false" customHeight="false" outlineLevel="0" collapsed="false">
      <c r="A1527" s="25" t="n">
        <f aca="false">IF(G1527="REJECT",COUNTIF($G$2:$G$2277,"&lt;&gt;REJECT")+1+COUNTIFS($G$2:$G$2277,"REJECT",$B$2:$B$2277,"&gt;"&amp;B1527),1+COUNTIFS($G$2:$G$2277,"&lt;&gt;REJECT",$B$2:$B$2277,"&gt;"&amp;B1527))</f>
        <v>1525</v>
      </c>
      <c r="B1527" s="26" t="n">
        <f aca="false">ROUND(($U$2*MAX(0,MIN(1,($W$2-I1527)/($W$2-$V$2)))+$U$3*MAX(0,MIN(1,($W$3-J1527)/($W$3-$V$3)))+$U$4*MAX(0,MIN(1,($W$4-K1527)/($W$4-$V$4)))+$U$5*MAX(0,MIN(1,($W$5-L1527)/($W$5-$V$5)))+$U$6*MAX(0,MIN(1,($W$6-M1527)/($W$6-$V$6)))+$U$7*MAX(0,MIN(1,($W$7-N1527)/($W$7-$V$7)))+$U$8*IF(AND(O1527&gt;=$V$8,O1527&lt;=$W$8),1,0))/$U$9*100,2)</f>
        <v>62.72</v>
      </c>
      <c r="C1527" s="27" t="s">
        <v>2509</v>
      </c>
      <c r="D1527" s="25" t="s">
        <v>134</v>
      </c>
      <c r="E1527" s="25" t="s">
        <v>3450</v>
      </c>
      <c r="F1527" s="25" t="s">
        <v>3448</v>
      </c>
      <c r="G1527" s="38" t="s">
        <v>30</v>
      </c>
      <c r="H1527" s="28" t="s">
        <v>25</v>
      </c>
      <c r="I1527" s="25" t="n">
        <v>3</v>
      </c>
      <c r="J1527" s="25" t="n">
        <v>1</v>
      </c>
      <c r="K1527" s="25" t="n">
        <v>3</v>
      </c>
      <c r="L1527" s="29" t="n">
        <v>0.72</v>
      </c>
      <c r="M1527" s="30" t="n">
        <v>19.58</v>
      </c>
      <c r="N1527" s="29" t="n">
        <v>0.28</v>
      </c>
      <c r="O1527" s="25" t="n">
        <v>183</v>
      </c>
      <c r="P1527" s="30" t="n">
        <v>8.45</v>
      </c>
      <c r="Q1527" s="27" t="s">
        <v>3649</v>
      </c>
      <c r="R1527" s="27" t="s">
        <v>1099</v>
      </c>
    </row>
    <row r="1528" customFormat="false" ht="15" hidden="false" customHeight="false" outlineLevel="0" collapsed="false">
      <c r="A1528" s="25" t="n">
        <f aca="false">IF(G1528="REJECT",COUNTIF($G$2:$G$2277,"&lt;&gt;REJECT")+1+COUNTIFS($G$2:$G$2277,"REJECT",$B$2:$B$2277,"&gt;"&amp;B1528),1+COUNTIFS($G$2:$G$2277,"&lt;&gt;REJECT",$B$2:$B$2277,"&gt;"&amp;B1528))</f>
        <v>1527</v>
      </c>
      <c r="B1528" s="26" t="n">
        <f aca="false">ROUND(($U$2*MAX(0,MIN(1,($W$2-I1528)/($W$2-$V$2)))+$U$3*MAX(0,MIN(1,($W$3-J1528)/($W$3-$V$3)))+$U$4*MAX(0,MIN(1,($W$4-K1528)/($W$4-$V$4)))+$U$5*MAX(0,MIN(1,($W$5-L1528)/($W$5-$V$5)))+$U$6*MAX(0,MIN(1,($W$6-M1528)/($W$6-$V$6)))+$U$7*MAX(0,MIN(1,($W$7-N1528)/($W$7-$V$7)))+$U$8*IF(AND(O1528&gt;=$V$8,O1528&lt;=$W$8),1,0))/$U$9*100,2)</f>
        <v>62.68</v>
      </c>
      <c r="C1528" s="27" t="s">
        <v>2873</v>
      </c>
      <c r="D1528" s="25" t="s">
        <v>134</v>
      </c>
      <c r="E1528" s="25" t="s">
        <v>3450</v>
      </c>
      <c r="F1528" s="25" t="s">
        <v>3448</v>
      </c>
      <c r="G1528" s="38" t="s">
        <v>30</v>
      </c>
      <c r="H1528" s="28" t="s">
        <v>25</v>
      </c>
      <c r="I1528" s="25" t="n">
        <v>2</v>
      </c>
      <c r="J1528" s="25" t="n">
        <v>1</v>
      </c>
      <c r="K1528" s="25" t="n">
        <v>2</v>
      </c>
      <c r="L1528" s="29" t="n">
        <v>0.59</v>
      </c>
      <c r="M1528" s="30" t="n">
        <v>6.94</v>
      </c>
      <c r="N1528" s="29" t="n">
        <v>0.64</v>
      </c>
      <c r="O1528" s="25" t="n">
        <v>187</v>
      </c>
      <c r="P1528" s="30" t="n">
        <v>13.85</v>
      </c>
      <c r="Q1528" s="27" t="s">
        <v>3721</v>
      </c>
      <c r="R1528" s="27" t="s">
        <v>283</v>
      </c>
    </row>
    <row r="1529" customFormat="false" ht="15" hidden="false" customHeight="false" outlineLevel="0" collapsed="false">
      <c r="A1529" s="25" t="n">
        <f aca="false">IF(G1529="REJECT",COUNTIF($G$2:$G$2277,"&lt;&gt;REJECT")+1+COUNTIFS($G$2:$G$2277,"REJECT",$B$2:$B$2277,"&gt;"&amp;B1529),1+COUNTIFS($G$2:$G$2277,"&lt;&gt;REJECT",$B$2:$B$2277,"&gt;"&amp;B1529))</f>
        <v>1528</v>
      </c>
      <c r="B1529" s="26" t="n">
        <f aca="false">ROUND(($U$2*MAX(0,MIN(1,($W$2-I1529)/($W$2-$V$2)))+$U$3*MAX(0,MIN(1,($W$3-J1529)/($W$3-$V$3)))+$U$4*MAX(0,MIN(1,($W$4-K1529)/($W$4-$V$4)))+$U$5*MAX(0,MIN(1,($W$5-L1529)/($W$5-$V$5)))+$U$6*MAX(0,MIN(1,($W$6-M1529)/($W$6-$V$6)))+$U$7*MAX(0,MIN(1,($W$7-N1529)/($W$7-$V$7)))+$U$8*IF(AND(O1529&gt;=$V$8,O1529&lt;=$W$8),1,0))/$U$9*100,2)</f>
        <v>62.67</v>
      </c>
      <c r="C1529" s="27" t="s">
        <v>971</v>
      </c>
      <c r="D1529" s="25" t="s">
        <v>134</v>
      </c>
      <c r="E1529" s="25" t="s">
        <v>3450</v>
      </c>
      <c r="F1529" s="25" t="s">
        <v>3448</v>
      </c>
      <c r="G1529" s="38" t="s">
        <v>30</v>
      </c>
      <c r="H1529" s="28" t="s">
        <v>25</v>
      </c>
      <c r="I1529" s="25" t="n">
        <v>3</v>
      </c>
      <c r="J1529" s="25" t="n">
        <v>1</v>
      </c>
      <c r="K1529" s="25" t="n">
        <v>3</v>
      </c>
      <c r="L1529" s="29" t="n">
        <v>0.71</v>
      </c>
      <c r="M1529" s="30" t="n">
        <v>10.3</v>
      </c>
      <c r="N1529" s="29" t="n">
        <v>0.88</v>
      </c>
      <c r="O1529" s="25" t="n">
        <v>187</v>
      </c>
      <c r="P1529" s="30" t="n">
        <v>16.21</v>
      </c>
      <c r="Q1529" s="27" t="s">
        <v>3649</v>
      </c>
      <c r="R1529" s="27" t="s">
        <v>283</v>
      </c>
    </row>
    <row r="1530" customFormat="false" ht="15" hidden="false" customHeight="false" outlineLevel="0" collapsed="false">
      <c r="A1530" s="25" t="n">
        <f aca="false">IF(G1530="REJECT",COUNTIF($G$2:$G$2277,"&lt;&gt;REJECT")+1+COUNTIFS($G$2:$G$2277,"REJECT",$B$2:$B$2277,"&gt;"&amp;B1530),1+COUNTIFS($G$2:$G$2277,"&lt;&gt;REJECT",$B$2:$B$2277,"&gt;"&amp;B1530))</f>
        <v>1529</v>
      </c>
      <c r="B1530" s="26" t="n">
        <f aca="false">ROUND(($U$2*MAX(0,MIN(1,($W$2-I1530)/($W$2-$V$2)))+$U$3*MAX(0,MIN(1,($W$3-J1530)/($W$3-$V$3)))+$U$4*MAX(0,MIN(1,($W$4-K1530)/($W$4-$V$4)))+$U$5*MAX(0,MIN(1,($W$5-L1530)/($W$5-$V$5)))+$U$6*MAX(0,MIN(1,($W$6-M1530)/($W$6-$V$6)))+$U$7*MAX(0,MIN(1,($W$7-N1530)/($W$7-$V$7)))+$U$8*IF(AND(O1530&gt;=$V$8,O1530&lt;=$W$8),1,0))/$U$9*100,2)</f>
        <v>62.57</v>
      </c>
      <c r="C1530" s="27" t="s">
        <v>3248</v>
      </c>
      <c r="D1530" s="25" t="s">
        <v>134</v>
      </c>
      <c r="E1530" s="25" t="s">
        <v>3450</v>
      </c>
      <c r="F1530" s="25" t="s">
        <v>3457</v>
      </c>
      <c r="G1530" s="38" t="s">
        <v>30</v>
      </c>
      <c r="H1530" s="28" t="s">
        <v>25</v>
      </c>
      <c r="I1530" s="25" t="n">
        <v>3</v>
      </c>
      <c r="J1530" s="25" t="n">
        <v>1</v>
      </c>
      <c r="K1530" s="25" t="n">
        <v>3</v>
      </c>
      <c r="L1530" s="29" t="n">
        <v>0.68</v>
      </c>
      <c r="M1530" s="30" t="n">
        <v>8.9</v>
      </c>
      <c r="N1530" s="29" t="n">
        <v>0</v>
      </c>
      <c r="O1530" s="25" t="n">
        <v>184</v>
      </c>
      <c r="P1530" s="30" t="n">
        <v>13.49</v>
      </c>
      <c r="Q1530" s="27" t="s">
        <v>3649</v>
      </c>
      <c r="R1530" s="27" t="s">
        <v>283</v>
      </c>
    </row>
    <row r="1531" customFormat="false" ht="15" hidden="false" customHeight="false" outlineLevel="0" collapsed="false">
      <c r="A1531" s="25" t="n">
        <f aca="false">IF(G1531="REJECT",COUNTIF($G$2:$G$2277,"&lt;&gt;REJECT")+1+COUNTIFS($G$2:$G$2277,"REJECT",$B$2:$B$2277,"&gt;"&amp;B1531),1+COUNTIFS($G$2:$G$2277,"&lt;&gt;REJECT",$B$2:$B$2277,"&gt;"&amp;B1531))</f>
        <v>1530</v>
      </c>
      <c r="B1531" s="26" t="n">
        <f aca="false">ROUND(($U$2*MAX(0,MIN(1,($W$2-I1531)/($W$2-$V$2)))+$U$3*MAX(0,MIN(1,($W$3-J1531)/($W$3-$V$3)))+$U$4*MAX(0,MIN(1,($W$4-K1531)/($W$4-$V$4)))+$U$5*MAX(0,MIN(1,($W$5-L1531)/($W$5-$V$5)))+$U$6*MAX(0,MIN(1,($W$6-M1531)/($W$6-$V$6)))+$U$7*MAX(0,MIN(1,($W$7-N1531)/($W$7-$V$7)))+$U$8*IF(AND(O1531&gt;=$V$8,O1531&lt;=$W$8),1,0))/$U$9*100,2)</f>
        <v>62.52</v>
      </c>
      <c r="C1531" s="27" t="s">
        <v>487</v>
      </c>
      <c r="D1531" s="25" t="s">
        <v>3459</v>
      </c>
      <c r="E1531" s="25" t="s">
        <v>3450</v>
      </c>
      <c r="F1531" s="25" t="s">
        <v>3448</v>
      </c>
      <c r="G1531" s="38" t="s">
        <v>30</v>
      </c>
      <c r="H1531" s="28" t="s">
        <v>25</v>
      </c>
      <c r="I1531" s="25" t="n">
        <v>3</v>
      </c>
      <c r="J1531" s="25" t="n">
        <v>1</v>
      </c>
      <c r="K1531" s="25" t="n">
        <v>3</v>
      </c>
      <c r="L1531" s="29" t="n">
        <v>0.71</v>
      </c>
      <c r="M1531" s="30" t="n">
        <v>19.96</v>
      </c>
      <c r="N1531" s="29" t="n">
        <v>0</v>
      </c>
      <c r="O1531" s="25" t="n">
        <v>184</v>
      </c>
      <c r="P1531" s="30" t="n">
        <v>6.27</v>
      </c>
      <c r="Q1531" s="27" t="s">
        <v>3649</v>
      </c>
      <c r="R1531" s="27" t="s">
        <v>1099</v>
      </c>
    </row>
    <row r="1532" customFormat="false" ht="15" hidden="false" customHeight="false" outlineLevel="0" collapsed="false">
      <c r="A1532" s="25" t="n">
        <f aca="false">IF(G1532="REJECT",COUNTIF($G$2:$G$2277,"&lt;&gt;REJECT")+1+COUNTIFS($G$2:$G$2277,"REJECT",$B$2:$B$2277,"&gt;"&amp;B1532),1+COUNTIFS($G$2:$G$2277,"&lt;&gt;REJECT",$B$2:$B$2277,"&gt;"&amp;B1532))</f>
        <v>1531</v>
      </c>
      <c r="B1532" s="26" t="n">
        <f aca="false">ROUND(($U$2*MAX(0,MIN(1,($W$2-I1532)/($W$2-$V$2)))+$U$3*MAX(0,MIN(1,($W$3-J1532)/($W$3-$V$3)))+$U$4*MAX(0,MIN(1,($W$4-K1532)/($W$4-$V$4)))+$U$5*MAX(0,MIN(1,($W$5-L1532)/($W$5-$V$5)))+$U$6*MAX(0,MIN(1,($W$6-M1532)/($W$6-$V$6)))+$U$7*MAX(0,MIN(1,($W$7-N1532)/($W$7-$V$7)))+$U$8*IF(AND(O1532&gt;=$V$8,O1532&lt;=$W$8),1,0))/$U$9*100,2)</f>
        <v>62.47</v>
      </c>
      <c r="C1532" s="27" t="s">
        <v>1340</v>
      </c>
      <c r="D1532" s="25" t="s">
        <v>134</v>
      </c>
      <c r="E1532" s="25" t="s">
        <v>3450</v>
      </c>
      <c r="F1532" s="25" t="s">
        <v>3448</v>
      </c>
      <c r="G1532" s="38" t="s">
        <v>30</v>
      </c>
      <c r="H1532" s="28" t="s">
        <v>25</v>
      </c>
      <c r="I1532" s="25" t="n">
        <v>2</v>
      </c>
      <c r="J1532" s="25" t="n">
        <v>1</v>
      </c>
      <c r="K1532" s="25" t="n">
        <v>2</v>
      </c>
      <c r="L1532" s="29" t="n">
        <v>0.7</v>
      </c>
      <c r="M1532" s="30" t="n">
        <v>15.8</v>
      </c>
      <c r="N1532" s="29" t="n">
        <v>0.84</v>
      </c>
      <c r="O1532" s="25" t="n">
        <v>275</v>
      </c>
      <c r="P1532" s="30" t="n">
        <v>20.79</v>
      </c>
      <c r="Q1532" s="27" t="s">
        <v>3566</v>
      </c>
      <c r="R1532" s="27" t="s">
        <v>1343</v>
      </c>
    </row>
    <row r="1533" customFormat="false" ht="15" hidden="false" customHeight="false" outlineLevel="0" collapsed="false">
      <c r="A1533" s="25" t="n">
        <f aca="false">IF(G1533="REJECT",COUNTIF($G$2:$G$2277,"&lt;&gt;REJECT")+1+COUNTIFS($G$2:$G$2277,"REJECT",$B$2:$B$2277,"&gt;"&amp;B1533),1+COUNTIFS($G$2:$G$2277,"&lt;&gt;REJECT",$B$2:$B$2277,"&gt;"&amp;B1533))</f>
        <v>1532</v>
      </c>
      <c r="B1533" s="26" t="n">
        <f aca="false">ROUND(($U$2*MAX(0,MIN(1,($W$2-I1533)/($W$2-$V$2)))+$U$3*MAX(0,MIN(1,($W$3-J1533)/($W$3-$V$3)))+$U$4*MAX(0,MIN(1,($W$4-K1533)/($W$4-$V$4)))+$U$5*MAX(0,MIN(1,($W$5-L1533)/($W$5-$V$5)))+$U$6*MAX(0,MIN(1,($W$6-M1533)/($W$6-$V$6)))+$U$7*MAX(0,MIN(1,($W$7-N1533)/($W$7-$V$7)))+$U$8*IF(AND(O1533&gt;=$V$8,O1533&lt;=$W$8),1,0))/$U$9*100,2)</f>
        <v>62.45</v>
      </c>
      <c r="C1533" s="27" t="s">
        <v>560</v>
      </c>
      <c r="D1533" s="25" t="s">
        <v>134</v>
      </c>
      <c r="E1533" s="25" t="s">
        <v>3450</v>
      </c>
      <c r="F1533" s="25" t="s">
        <v>3457</v>
      </c>
      <c r="G1533" s="38" t="s">
        <v>30</v>
      </c>
      <c r="H1533" s="28" t="s">
        <v>25</v>
      </c>
      <c r="I1533" s="25" t="n">
        <v>3</v>
      </c>
      <c r="J1533" s="25" t="n">
        <v>1</v>
      </c>
      <c r="K1533" s="25" t="n">
        <v>3</v>
      </c>
      <c r="L1533" s="29" t="n">
        <v>0.7</v>
      </c>
      <c r="M1533" s="30" t="n">
        <v>16.83</v>
      </c>
      <c r="N1533" s="29" t="n">
        <v>0</v>
      </c>
      <c r="O1533" s="25" t="n">
        <v>181</v>
      </c>
      <c r="P1533" s="30" t="n">
        <v>10.52</v>
      </c>
      <c r="Q1533" s="27" t="s">
        <v>3664</v>
      </c>
      <c r="R1533" s="27" t="s">
        <v>283</v>
      </c>
    </row>
    <row r="1534" customFormat="false" ht="15" hidden="false" customHeight="false" outlineLevel="0" collapsed="false">
      <c r="A1534" s="25" t="n">
        <f aca="false">IF(G1534="REJECT",COUNTIF($G$2:$G$2277,"&lt;&gt;REJECT")+1+COUNTIFS($G$2:$G$2277,"REJECT",$B$2:$B$2277,"&gt;"&amp;B1534),1+COUNTIFS($G$2:$G$2277,"&lt;&gt;REJECT",$B$2:$B$2277,"&gt;"&amp;B1534))</f>
        <v>1533</v>
      </c>
      <c r="B1534" s="26" t="n">
        <f aca="false">ROUND(($U$2*MAX(0,MIN(1,($W$2-I1534)/($W$2-$V$2)))+$U$3*MAX(0,MIN(1,($W$3-J1534)/($W$3-$V$3)))+$U$4*MAX(0,MIN(1,($W$4-K1534)/($W$4-$V$4)))+$U$5*MAX(0,MIN(1,($W$5-L1534)/($W$5-$V$5)))+$U$6*MAX(0,MIN(1,($W$6-M1534)/($W$6-$V$6)))+$U$7*MAX(0,MIN(1,($W$7-N1534)/($W$7-$V$7)))+$U$8*IF(AND(O1534&gt;=$V$8,O1534&lt;=$W$8),1,0))/$U$9*100,2)</f>
        <v>62.33</v>
      </c>
      <c r="C1534" s="27" t="s">
        <v>2423</v>
      </c>
      <c r="D1534" s="25" t="s">
        <v>134</v>
      </c>
      <c r="E1534" s="25" t="s">
        <v>3447</v>
      </c>
      <c r="F1534" s="25" t="s">
        <v>3457</v>
      </c>
      <c r="G1534" s="38" t="s">
        <v>30</v>
      </c>
      <c r="H1534" s="28" t="s">
        <v>25</v>
      </c>
      <c r="I1534" s="25" t="n">
        <v>4</v>
      </c>
      <c r="J1534" s="25" t="n">
        <v>1</v>
      </c>
      <c r="K1534" s="25" t="n">
        <v>4</v>
      </c>
      <c r="L1534" s="29" t="n">
        <v>0.78</v>
      </c>
      <c r="M1534" s="30" t="n">
        <v>6.4</v>
      </c>
      <c r="N1534" s="29" t="n">
        <v>0.24</v>
      </c>
      <c r="O1534" s="25" t="n">
        <v>195</v>
      </c>
      <c r="P1534" s="30" t="n">
        <v>9.93</v>
      </c>
      <c r="Q1534" s="27" t="s">
        <v>3722</v>
      </c>
      <c r="R1534" s="27" t="s">
        <v>283</v>
      </c>
    </row>
    <row r="1535" customFormat="false" ht="15" hidden="false" customHeight="false" outlineLevel="0" collapsed="false">
      <c r="A1535" s="25" t="n">
        <f aca="false">IF(G1535="REJECT",COUNTIF($G$2:$G$2277,"&lt;&gt;REJECT")+1+COUNTIFS($G$2:$G$2277,"REJECT",$B$2:$B$2277,"&gt;"&amp;B1535),1+COUNTIFS($G$2:$G$2277,"&lt;&gt;REJECT",$B$2:$B$2277,"&gt;"&amp;B1535))</f>
        <v>1534</v>
      </c>
      <c r="B1535" s="26" t="n">
        <f aca="false">ROUND(($U$2*MAX(0,MIN(1,($W$2-I1535)/($W$2-$V$2)))+$U$3*MAX(0,MIN(1,($W$3-J1535)/($W$3-$V$3)))+$U$4*MAX(0,MIN(1,($W$4-K1535)/($W$4-$V$4)))+$U$5*MAX(0,MIN(1,($W$5-L1535)/($W$5-$V$5)))+$U$6*MAX(0,MIN(1,($W$6-M1535)/($W$6-$V$6)))+$U$7*MAX(0,MIN(1,($W$7-N1535)/($W$7-$V$7)))+$U$8*IF(AND(O1535&gt;=$V$8,O1535&lt;=$W$8),1,0))/$U$9*100,2)</f>
        <v>62.31</v>
      </c>
      <c r="C1535" s="27" t="s">
        <v>964</v>
      </c>
      <c r="D1535" s="25" t="s">
        <v>3459</v>
      </c>
      <c r="E1535" s="25" t="s">
        <v>3450</v>
      </c>
      <c r="F1535" s="25" t="s">
        <v>3448</v>
      </c>
      <c r="G1535" s="38" t="s">
        <v>30</v>
      </c>
      <c r="H1535" s="28" t="s">
        <v>25</v>
      </c>
      <c r="I1535" s="25" t="n">
        <v>2</v>
      </c>
      <c r="J1535" s="25" t="n">
        <v>1</v>
      </c>
      <c r="K1535" s="25" t="n">
        <v>2</v>
      </c>
      <c r="L1535" s="29" t="n">
        <v>0.66</v>
      </c>
      <c r="M1535" s="30" t="n">
        <v>5.55</v>
      </c>
      <c r="N1535" s="29" t="n">
        <v>0.52</v>
      </c>
      <c r="O1535" s="25" t="n">
        <v>262</v>
      </c>
      <c r="P1535" s="30" t="n">
        <v>0.45</v>
      </c>
      <c r="Q1535" s="27" t="s">
        <v>3575</v>
      </c>
      <c r="R1535" s="27" t="s">
        <v>3723</v>
      </c>
    </row>
    <row r="1536" customFormat="false" ht="15" hidden="false" customHeight="false" outlineLevel="0" collapsed="false">
      <c r="A1536" s="25" t="n">
        <f aca="false">IF(G1536="REJECT",COUNTIF($G$2:$G$2277,"&lt;&gt;REJECT")+1+COUNTIFS($G$2:$G$2277,"REJECT",$B$2:$B$2277,"&gt;"&amp;B1536),1+COUNTIFS($G$2:$G$2277,"&lt;&gt;REJECT",$B$2:$B$2277,"&gt;"&amp;B1536))</f>
        <v>1535</v>
      </c>
      <c r="B1536" s="26" t="n">
        <f aca="false">ROUND(($U$2*MAX(0,MIN(1,($W$2-I1536)/($W$2-$V$2)))+$U$3*MAX(0,MIN(1,($W$3-J1536)/($W$3-$V$3)))+$U$4*MAX(0,MIN(1,($W$4-K1536)/($W$4-$V$4)))+$U$5*MAX(0,MIN(1,($W$5-L1536)/($W$5-$V$5)))+$U$6*MAX(0,MIN(1,($W$6-M1536)/($W$6-$V$6)))+$U$7*MAX(0,MIN(1,($W$7-N1536)/($W$7-$V$7)))+$U$8*IF(AND(O1536&gt;=$V$8,O1536&lt;=$W$8),1,0))/$U$9*100,2)</f>
        <v>62.18</v>
      </c>
      <c r="C1536" s="27" t="s">
        <v>566</v>
      </c>
      <c r="D1536" s="25" t="s">
        <v>3459</v>
      </c>
      <c r="E1536" s="25" t="s">
        <v>3447</v>
      </c>
      <c r="F1536" s="25" t="s">
        <v>3448</v>
      </c>
      <c r="G1536" s="38" t="s">
        <v>30</v>
      </c>
      <c r="H1536" s="33" t="s">
        <v>24</v>
      </c>
      <c r="I1536" s="25" t="n">
        <v>5</v>
      </c>
      <c r="J1536" s="25" t="n">
        <v>0</v>
      </c>
      <c r="K1536" s="25" t="n">
        <v>5</v>
      </c>
      <c r="L1536" s="29" t="n">
        <v>0.75</v>
      </c>
      <c r="M1536" s="30" t="n">
        <v>17.45</v>
      </c>
      <c r="N1536" s="29" t="n">
        <v>0.4</v>
      </c>
      <c r="O1536" s="25" t="n">
        <v>190</v>
      </c>
      <c r="P1536" s="30" t="n">
        <v>-0.32</v>
      </c>
      <c r="Q1536" s="27" t="s">
        <v>3724</v>
      </c>
      <c r="R1536" s="27" t="s">
        <v>30</v>
      </c>
    </row>
    <row r="1537" customFormat="false" ht="15" hidden="false" customHeight="false" outlineLevel="0" collapsed="false">
      <c r="A1537" s="25" t="n">
        <f aca="false">IF(G1537="REJECT",COUNTIF($G$2:$G$2277,"&lt;&gt;REJECT")+1+COUNTIFS($G$2:$G$2277,"REJECT",$B$2:$B$2277,"&gt;"&amp;B1537),1+COUNTIFS($G$2:$G$2277,"&lt;&gt;REJECT",$B$2:$B$2277,"&gt;"&amp;B1537))</f>
        <v>1536</v>
      </c>
      <c r="B1537" s="26" t="n">
        <f aca="false">ROUND(($U$2*MAX(0,MIN(1,($W$2-I1537)/($W$2-$V$2)))+$U$3*MAX(0,MIN(1,($W$3-J1537)/($W$3-$V$3)))+$U$4*MAX(0,MIN(1,($W$4-K1537)/($W$4-$V$4)))+$U$5*MAX(0,MIN(1,($W$5-L1537)/($W$5-$V$5)))+$U$6*MAX(0,MIN(1,($W$6-M1537)/($W$6-$V$6)))+$U$7*MAX(0,MIN(1,($W$7-N1537)/($W$7-$V$7)))+$U$8*IF(AND(O1537&gt;=$V$8,O1537&lt;=$W$8),1,0))/$U$9*100,2)</f>
        <v>62.16</v>
      </c>
      <c r="C1537" s="27" t="s">
        <v>1320</v>
      </c>
      <c r="D1537" s="25" t="s">
        <v>3459</v>
      </c>
      <c r="E1537" s="25" t="s">
        <v>3450</v>
      </c>
      <c r="F1537" s="25" t="s">
        <v>3457</v>
      </c>
      <c r="G1537" s="38" t="s">
        <v>30</v>
      </c>
      <c r="H1537" s="28" t="s">
        <v>25</v>
      </c>
      <c r="I1537" s="25" t="n">
        <v>2</v>
      </c>
      <c r="J1537" s="25" t="n">
        <v>1</v>
      </c>
      <c r="K1537" s="25" t="n">
        <v>2</v>
      </c>
      <c r="L1537" s="29" t="n">
        <v>0.6</v>
      </c>
      <c r="M1537" s="30" t="n">
        <v>12.87</v>
      </c>
      <c r="N1537" s="29" t="n">
        <v>0.72</v>
      </c>
      <c r="O1537" s="25" t="n">
        <v>184</v>
      </c>
      <c r="P1537" s="30" t="n">
        <v>6.42</v>
      </c>
      <c r="Q1537" s="27" t="s">
        <v>3646</v>
      </c>
      <c r="R1537" s="27" t="s">
        <v>283</v>
      </c>
    </row>
    <row r="1538" customFormat="false" ht="15" hidden="false" customHeight="false" outlineLevel="0" collapsed="false">
      <c r="A1538" s="25" t="n">
        <f aca="false">IF(G1538="REJECT",COUNTIF($G$2:$G$2277,"&lt;&gt;REJECT")+1+COUNTIFS($G$2:$G$2277,"REJECT",$B$2:$B$2277,"&gt;"&amp;B1538),1+COUNTIFS($G$2:$G$2277,"&lt;&gt;REJECT",$B$2:$B$2277,"&gt;"&amp;B1538))</f>
        <v>1537</v>
      </c>
      <c r="B1538" s="26" t="n">
        <f aca="false">ROUND(($U$2*MAX(0,MIN(1,($W$2-I1538)/($W$2-$V$2)))+$U$3*MAX(0,MIN(1,($W$3-J1538)/($W$3-$V$3)))+$U$4*MAX(0,MIN(1,($W$4-K1538)/($W$4-$V$4)))+$U$5*MAX(0,MIN(1,($W$5-L1538)/($W$5-$V$5)))+$U$6*MAX(0,MIN(1,($W$6-M1538)/($W$6-$V$6)))+$U$7*MAX(0,MIN(1,($W$7-N1538)/($W$7-$V$7)))+$U$8*IF(AND(O1538&gt;=$V$8,O1538&lt;=$W$8),1,0))/$U$9*100,2)</f>
        <v>62.12</v>
      </c>
      <c r="C1538" s="27" t="s">
        <v>3225</v>
      </c>
      <c r="D1538" s="25" t="s">
        <v>3459</v>
      </c>
      <c r="E1538" s="25" t="s">
        <v>3450</v>
      </c>
      <c r="F1538" s="25" t="s">
        <v>3448</v>
      </c>
      <c r="G1538" s="38" t="s">
        <v>30</v>
      </c>
      <c r="H1538" s="28" t="s">
        <v>25</v>
      </c>
      <c r="I1538" s="25" t="n">
        <v>3</v>
      </c>
      <c r="J1538" s="25" t="n">
        <v>1</v>
      </c>
      <c r="K1538" s="25" t="n">
        <v>3</v>
      </c>
      <c r="L1538" s="29" t="n">
        <v>0.71</v>
      </c>
      <c r="M1538" s="30" t="n">
        <v>15.57</v>
      </c>
      <c r="N1538" s="29" t="n">
        <v>0.68</v>
      </c>
      <c r="O1538" s="25" t="n">
        <v>185</v>
      </c>
      <c r="P1538" s="30" t="n">
        <v>4.9</v>
      </c>
      <c r="Q1538" s="27" t="s">
        <v>3649</v>
      </c>
      <c r="R1538" s="27" t="s">
        <v>1152</v>
      </c>
    </row>
    <row r="1539" customFormat="false" ht="15" hidden="false" customHeight="false" outlineLevel="0" collapsed="false">
      <c r="A1539" s="25" t="n">
        <f aca="false">IF(G1539="REJECT",COUNTIF($G$2:$G$2277,"&lt;&gt;REJECT")+1+COUNTIFS($G$2:$G$2277,"REJECT",$B$2:$B$2277,"&gt;"&amp;B1539),1+COUNTIFS($G$2:$G$2277,"&lt;&gt;REJECT",$B$2:$B$2277,"&gt;"&amp;B1539))</f>
        <v>1538</v>
      </c>
      <c r="B1539" s="26" t="n">
        <f aca="false">ROUND(($U$2*MAX(0,MIN(1,($W$2-I1539)/($W$2-$V$2)))+$U$3*MAX(0,MIN(1,($W$3-J1539)/($W$3-$V$3)))+$U$4*MAX(0,MIN(1,($W$4-K1539)/($W$4-$V$4)))+$U$5*MAX(0,MIN(1,($W$5-L1539)/($W$5-$V$5)))+$U$6*MAX(0,MIN(1,($W$6-M1539)/($W$6-$V$6)))+$U$7*MAX(0,MIN(1,($W$7-N1539)/($W$7-$V$7)))+$U$8*IF(AND(O1539&gt;=$V$8,O1539&lt;=$W$8),1,0))/$U$9*100,2)</f>
        <v>62.03</v>
      </c>
      <c r="C1539" s="27" t="s">
        <v>2854</v>
      </c>
      <c r="D1539" s="25" t="s">
        <v>3459</v>
      </c>
      <c r="E1539" s="25" t="s">
        <v>3450</v>
      </c>
      <c r="F1539" s="25" t="s">
        <v>3457</v>
      </c>
      <c r="G1539" s="38" t="s">
        <v>30</v>
      </c>
      <c r="H1539" s="28" t="s">
        <v>25</v>
      </c>
      <c r="I1539" s="25" t="n">
        <v>3</v>
      </c>
      <c r="J1539" s="25" t="n">
        <v>1</v>
      </c>
      <c r="K1539" s="25" t="n">
        <v>3</v>
      </c>
      <c r="L1539" s="29" t="n">
        <v>0.72</v>
      </c>
      <c r="M1539" s="30" t="n">
        <v>21.3</v>
      </c>
      <c r="N1539" s="29" t="n">
        <v>0.52</v>
      </c>
      <c r="O1539" s="25" t="n">
        <v>183</v>
      </c>
      <c r="P1539" s="30" t="n">
        <v>14.39</v>
      </c>
      <c r="Q1539" s="27" t="s">
        <v>3649</v>
      </c>
      <c r="R1539" s="27" t="s">
        <v>183</v>
      </c>
    </row>
    <row r="1540" customFormat="false" ht="15" hidden="false" customHeight="false" outlineLevel="0" collapsed="false">
      <c r="A1540" s="25" t="n">
        <f aca="false">IF(G1540="REJECT",COUNTIF($G$2:$G$2277,"&lt;&gt;REJECT")+1+COUNTIFS($G$2:$G$2277,"REJECT",$B$2:$B$2277,"&gt;"&amp;B1540),1+COUNTIFS($G$2:$G$2277,"&lt;&gt;REJECT",$B$2:$B$2277,"&gt;"&amp;B1540))</f>
        <v>1538</v>
      </c>
      <c r="B1540" s="26" t="n">
        <f aca="false">ROUND(($U$2*MAX(0,MIN(1,($W$2-I1540)/($W$2-$V$2)))+$U$3*MAX(0,MIN(1,($W$3-J1540)/($W$3-$V$3)))+$U$4*MAX(0,MIN(1,($W$4-K1540)/($W$4-$V$4)))+$U$5*MAX(0,MIN(1,($W$5-L1540)/($W$5-$V$5)))+$U$6*MAX(0,MIN(1,($W$6-M1540)/($W$6-$V$6)))+$U$7*MAX(0,MIN(1,($W$7-N1540)/($W$7-$V$7)))+$U$8*IF(AND(O1540&gt;=$V$8,O1540&lt;=$W$8),1,0))/$U$9*100,2)</f>
        <v>62.03</v>
      </c>
      <c r="C1540" s="27" t="s">
        <v>2965</v>
      </c>
      <c r="D1540" s="25" t="s">
        <v>134</v>
      </c>
      <c r="E1540" s="25" t="s">
        <v>3447</v>
      </c>
      <c r="F1540" s="25" t="s">
        <v>3448</v>
      </c>
      <c r="G1540" s="38" t="s">
        <v>30</v>
      </c>
      <c r="H1540" s="28" t="s">
        <v>25</v>
      </c>
      <c r="I1540" s="25" t="n">
        <v>4</v>
      </c>
      <c r="J1540" s="25" t="n">
        <v>1</v>
      </c>
      <c r="K1540" s="25" t="n">
        <v>4</v>
      </c>
      <c r="L1540" s="29" t="n">
        <v>0.84</v>
      </c>
      <c r="M1540" s="30" t="n">
        <v>11.8</v>
      </c>
      <c r="N1540" s="29" t="n">
        <v>0.6</v>
      </c>
      <c r="O1540" s="25" t="n">
        <v>185</v>
      </c>
      <c r="P1540" s="30" t="n">
        <v>-0.99</v>
      </c>
      <c r="Q1540" s="27" t="s">
        <v>3725</v>
      </c>
      <c r="R1540" s="27" t="s">
        <v>283</v>
      </c>
    </row>
    <row r="1541" customFormat="false" ht="15" hidden="false" customHeight="false" outlineLevel="0" collapsed="false">
      <c r="A1541" s="25" t="n">
        <f aca="false">IF(G1541="REJECT",COUNTIF($G$2:$G$2277,"&lt;&gt;REJECT")+1+COUNTIFS($G$2:$G$2277,"REJECT",$B$2:$B$2277,"&gt;"&amp;B1541),1+COUNTIFS($G$2:$G$2277,"&lt;&gt;REJECT",$B$2:$B$2277,"&gt;"&amp;B1541))</f>
        <v>1540</v>
      </c>
      <c r="B1541" s="26" t="n">
        <f aca="false">ROUND(($U$2*MAX(0,MIN(1,($W$2-I1541)/($W$2-$V$2)))+$U$3*MAX(0,MIN(1,($W$3-J1541)/($W$3-$V$3)))+$U$4*MAX(0,MIN(1,($W$4-K1541)/($W$4-$V$4)))+$U$5*MAX(0,MIN(1,($W$5-L1541)/($W$5-$V$5)))+$U$6*MAX(0,MIN(1,($W$6-M1541)/($W$6-$V$6)))+$U$7*MAX(0,MIN(1,($W$7-N1541)/($W$7-$V$7)))+$U$8*IF(AND(O1541&gt;=$V$8,O1541&lt;=$W$8),1,0))/$U$9*100,2)</f>
        <v>62.01</v>
      </c>
      <c r="C1541" s="27" t="s">
        <v>2296</v>
      </c>
      <c r="D1541" s="25" t="s">
        <v>134</v>
      </c>
      <c r="E1541" s="25" t="s">
        <v>3450</v>
      </c>
      <c r="F1541" s="25" t="s">
        <v>3457</v>
      </c>
      <c r="G1541" s="38" t="s">
        <v>30</v>
      </c>
      <c r="H1541" s="28" t="s">
        <v>25</v>
      </c>
      <c r="I1541" s="25" t="n">
        <v>3</v>
      </c>
      <c r="J1541" s="25" t="n">
        <v>1</v>
      </c>
      <c r="K1541" s="25" t="n">
        <v>3</v>
      </c>
      <c r="L1541" s="29" t="n">
        <v>0.68</v>
      </c>
      <c r="M1541" s="30" t="n">
        <v>4.27</v>
      </c>
      <c r="N1541" s="29" t="n">
        <v>0.8</v>
      </c>
      <c r="O1541" s="25" t="n">
        <v>184</v>
      </c>
      <c r="P1541" s="30" t="n">
        <v>5.28</v>
      </c>
      <c r="Q1541" s="27" t="s">
        <v>3649</v>
      </c>
      <c r="R1541" s="27" t="s">
        <v>283</v>
      </c>
    </row>
    <row r="1542" customFormat="false" ht="15" hidden="false" customHeight="false" outlineLevel="0" collapsed="false">
      <c r="A1542" s="25" t="n">
        <f aca="false">IF(G1542="REJECT",COUNTIF($G$2:$G$2277,"&lt;&gt;REJECT")+1+COUNTIFS($G$2:$G$2277,"REJECT",$B$2:$B$2277,"&gt;"&amp;B1542),1+COUNTIFS($G$2:$G$2277,"&lt;&gt;REJECT",$B$2:$B$2277,"&gt;"&amp;B1542))</f>
        <v>1540</v>
      </c>
      <c r="B1542" s="26" t="n">
        <f aca="false">ROUND(($U$2*MAX(0,MIN(1,($W$2-I1542)/($W$2-$V$2)))+$U$3*MAX(0,MIN(1,($W$3-J1542)/($W$3-$V$3)))+$U$4*MAX(0,MIN(1,($W$4-K1542)/($W$4-$V$4)))+$U$5*MAX(0,MIN(1,($W$5-L1542)/($W$5-$V$5)))+$U$6*MAX(0,MIN(1,($W$6-M1542)/($W$6-$V$6)))+$U$7*MAX(0,MIN(1,($W$7-N1542)/($W$7-$V$7)))+$U$8*IF(AND(O1542&gt;=$V$8,O1542&lt;=$W$8),1,0))/$U$9*100,2)</f>
        <v>62.01</v>
      </c>
      <c r="C1542" s="27" t="s">
        <v>2697</v>
      </c>
      <c r="D1542" s="25" t="s">
        <v>134</v>
      </c>
      <c r="E1542" s="25" t="s">
        <v>3447</v>
      </c>
      <c r="F1542" s="25" t="s">
        <v>3457</v>
      </c>
      <c r="G1542" s="38" t="s">
        <v>30</v>
      </c>
      <c r="H1542" s="28" t="s">
        <v>25</v>
      </c>
      <c r="I1542" s="25" t="n">
        <v>4</v>
      </c>
      <c r="J1542" s="25" t="n">
        <v>0</v>
      </c>
      <c r="K1542" s="25" t="n">
        <v>4</v>
      </c>
      <c r="L1542" s="29" t="n">
        <v>0.62</v>
      </c>
      <c r="M1542" s="30" t="n">
        <v>5.14</v>
      </c>
      <c r="N1542" s="29" t="n">
        <v>0.8</v>
      </c>
      <c r="O1542" s="25" t="n">
        <v>190</v>
      </c>
      <c r="P1542" s="30" t="n">
        <v>-1.2</v>
      </c>
      <c r="Q1542" s="27" t="s">
        <v>3726</v>
      </c>
      <c r="R1542" s="27" t="s">
        <v>2610</v>
      </c>
    </row>
    <row r="1543" customFormat="false" ht="15" hidden="false" customHeight="false" outlineLevel="0" collapsed="false">
      <c r="A1543" s="25" t="n">
        <f aca="false">IF(G1543="REJECT",COUNTIF($G$2:$G$2277,"&lt;&gt;REJECT")+1+COUNTIFS($G$2:$G$2277,"REJECT",$B$2:$B$2277,"&gt;"&amp;B1543),1+COUNTIFS($G$2:$G$2277,"&lt;&gt;REJECT",$B$2:$B$2277,"&gt;"&amp;B1543))</f>
        <v>1540</v>
      </c>
      <c r="B1543" s="26" t="n">
        <f aca="false">ROUND(($U$2*MAX(0,MIN(1,($W$2-I1543)/($W$2-$V$2)))+$U$3*MAX(0,MIN(1,($W$3-J1543)/($W$3-$V$3)))+$U$4*MAX(0,MIN(1,($W$4-K1543)/($W$4-$V$4)))+$U$5*MAX(0,MIN(1,($W$5-L1543)/($W$5-$V$5)))+$U$6*MAX(0,MIN(1,($W$6-M1543)/($W$6-$V$6)))+$U$7*MAX(0,MIN(1,($W$7-N1543)/($W$7-$V$7)))+$U$8*IF(AND(O1543&gt;=$V$8,O1543&lt;=$W$8),1,0))/$U$9*100,2)</f>
        <v>62.01</v>
      </c>
      <c r="C1543" s="27" t="s">
        <v>2788</v>
      </c>
      <c r="D1543" s="25" t="s">
        <v>134</v>
      </c>
      <c r="E1543" s="25" t="s">
        <v>3447</v>
      </c>
      <c r="F1543" s="25" t="s">
        <v>3448</v>
      </c>
      <c r="G1543" s="38" t="s">
        <v>30</v>
      </c>
      <c r="H1543" s="33" t="s">
        <v>24</v>
      </c>
      <c r="I1543" s="25" t="n">
        <v>5</v>
      </c>
      <c r="J1543" s="25" t="n">
        <v>0</v>
      </c>
      <c r="K1543" s="25" t="n">
        <v>5</v>
      </c>
      <c r="L1543" s="29" t="n">
        <v>0.74</v>
      </c>
      <c r="M1543" s="30" t="n">
        <v>12.07</v>
      </c>
      <c r="N1543" s="29" t="n">
        <v>0.68</v>
      </c>
      <c r="O1543" s="25" t="n">
        <v>184</v>
      </c>
      <c r="P1543" s="30" t="n">
        <v>6.13</v>
      </c>
      <c r="Q1543" s="27" t="s">
        <v>3679</v>
      </c>
      <c r="R1543" s="27" t="s">
        <v>30</v>
      </c>
    </row>
    <row r="1544" customFormat="false" ht="15" hidden="false" customHeight="false" outlineLevel="0" collapsed="false">
      <c r="A1544" s="25" t="n">
        <f aca="false">IF(G1544="REJECT",COUNTIF($G$2:$G$2277,"&lt;&gt;REJECT")+1+COUNTIFS($G$2:$G$2277,"REJECT",$B$2:$B$2277,"&gt;"&amp;B1544),1+COUNTIFS($G$2:$G$2277,"&lt;&gt;REJECT",$B$2:$B$2277,"&gt;"&amp;B1544))</f>
        <v>1543</v>
      </c>
      <c r="B1544" s="26" t="n">
        <f aca="false">ROUND(($U$2*MAX(0,MIN(1,($W$2-I1544)/($W$2-$V$2)))+$U$3*MAX(0,MIN(1,($W$3-J1544)/($W$3-$V$3)))+$U$4*MAX(0,MIN(1,($W$4-K1544)/($W$4-$V$4)))+$U$5*MAX(0,MIN(1,($W$5-L1544)/($W$5-$V$5)))+$U$6*MAX(0,MIN(1,($W$6-M1544)/($W$6-$V$6)))+$U$7*MAX(0,MIN(1,($W$7-N1544)/($W$7-$V$7)))+$U$8*IF(AND(O1544&gt;=$V$8,O1544&lt;=$W$8),1,0))/$U$9*100,2)</f>
        <v>61.95</v>
      </c>
      <c r="C1544" s="27" t="s">
        <v>1876</v>
      </c>
      <c r="D1544" s="25" t="s">
        <v>134</v>
      </c>
      <c r="E1544" s="25" t="s">
        <v>3447</v>
      </c>
      <c r="F1544" s="25" t="s">
        <v>3457</v>
      </c>
      <c r="G1544" s="38" t="s">
        <v>30</v>
      </c>
      <c r="H1544" s="28" t="s">
        <v>25</v>
      </c>
      <c r="I1544" s="25" t="n">
        <v>3</v>
      </c>
      <c r="J1544" s="25" t="n">
        <v>1</v>
      </c>
      <c r="K1544" s="25" t="n">
        <v>3</v>
      </c>
      <c r="L1544" s="29" t="n">
        <v>0.69</v>
      </c>
      <c r="M1544" s="30" t="n">
        <v>9.42</v>
      </c>
      <c r="N1544" s="29" t="n">
        <v>0.68</v>
      </c>
      <c r="O1544" s="25" t="n">
        <v>185</v>
      </c>
      <c r="P1544" s="30" t="n">
        <v>8.65</v>
      </c>
      <c r="Q1544" s="27" t="s">
        <v>3649</v>
      </c>
      <c r="R1544" s="27" t="s">
        <v>283</v>
      </c>
    </row>
    <row r="1545" customFormat="false" ht="15" hidden="false" customHeight="false" outlineLevel="0" collapsed="false">
      <c r="A1545" s="25" t="n">
        <f aca="false">IF(G1545="REJECT",COUNTIF($G$2:$G$2277,"&lt;&gt;REJECT")+1+COUNTIFS($G$2:$G$2277,"REJECT",$B$2:$B$2277,"&gt;"&amp;B1545),1+COUNTIFS($G$2:$G$2277,"&lt;&gt;REJECT",$B$2:$B$2277,"&gt;"&amp;B1545))</f>
        <v>1544</v>
      </c>
      <c r="B1545" s="26" t="n">
        <f aca="false">ROUND(($U$2*MAX(0,MIN(1,($W$2-I1545)/($W$2-$V$2)))+$U$3*MAX(0,MIN(1,($W$3-J1545)/($W$3-$V$3)))+$U$4*MAX(0,MIN(1,($W$4-K1545)/($W$4-$V$4)))+$U$5*MAX(0,MIN(1,($W$5-L1545)/($W$5-$V$5)))+$U$6*MAX(0,MIN(1,($W$6-M1545)/($W$6-$V$6)))+$U$7*MAX(0,MIN(1,($W$7-N1545)/($W$7-$V$7)))+$U$8*IF(AND(O1545&gt;=$V$8,O1545&lt;=$W$8),1,0))/$U$9*100,2)</f>
        <v>61.89</v>
      </c>
      <c r="C1545" s="27" t="s">
        <v>996</v>
      </c>
      <c r="D1545" s="25" t="s">
        <v>134</v>
      </c>
      <c r="E1545" s="25" t="s">
        <v>3450</v>
      </c>
      <c r="F1545" s="25" t="s">
        <v>3448</v>
      </c>
      <c r="G1545" s="38" t="s">
        <v>30</v>
      </c>
      <c r="H1545" s="28" t="s">
        <v>25</v>
      </c>
      <c r="I1545" s="25" t="n">
        <v>3</v>
      </c>
      <c r="J1545" s="25" t="n">
        <v>1</v>
      </c>
      <c r="K1545" s="25" t="n">
        <v>3</v>
      </c>
      <c r="L1545" s="29" t="n">
        <v>0.7</v>
      </c>
      <c r="M1545" s="30" t="n">
        <v>11.37</v>
      </c>
      <c r="N1545" s="29" t="n">
        <v>0.88</v>
      </c>
      <c r="O1545" s="25" t="n">
        <v>185</v>
      </c>
      <c r="P1545" s="30" t="n">
        <v>1.72</v>
      </c>
      <c r="Q1545" s="27" t="s">
        <v>3649</v>
      </c>
      <c r="R1545" s="27" t="s">
        <v>357</v>
      </c>
    </row>
    <row r="1546" customFormat="false" ht="15" hidden="false" customHeight="false" outlineLevel="0" collapsed="false">
      <c r="A1546" s="25" t="n">
        <f aca="false">IF(G1546="REJECT",COUNTIF($G$2:$G$2277,"&lt;&gt;REJECT")+1+COUNTIFS($G$2:$G$2277,"REJECT",$B$2:$B$2277,"&gt;"&amp;B1546),1+COUNTIFS($G$2:$G$2277,"&lt;&gt;REJECT",$B$2:$B$2277,"&gt;"&amp;B1546))</f>
        <v>1545</v>
      </c>
      <c r="B1546" s="26" t="n">
        <f aca="false">ROUND(($U$2*MAX(0,MIN(1,($W$2-I1546)/($W$2-$V$2)))+$U$3*MAX(0,MIN(1,($W$3-J1546)/($W$3-$V$3)))+$U$4*MAX(0,MIN(1,($W$4-K1546)/($W$4-$V$4)))+$U$5*MAX(0,MIN(1,($W$5-L1546)/($W$5-$V$5)))+$U$6*MAX(0,MIN(1,($W$6-M1546)/($W$6-$V$6)))+$U$7*MAX(0,MIN(1,($W$7-N1546)/($W$7-$V$7)))+$U$8*IF(AND(O1546&gt;=$V$8,O1546&lt;=$W$8),1,0))/$U$9*100,2)</f>
        <v>61.88</v>
      </c>
      <c r="C1546" s="27" t="s">
        <v>911</v>
      </c>
      <c r="D1546" s="25" t="s">
        <v>134</v>
      </c>
      <c r="E1546" s="25" t="s">
        <v>3450</v>
      </c>
      <c r="F1546" s="25" t="s">
        <v>3457</v>
      </c>
      <c r="G1546" s="38" t="s">
        <v>30</v>
      </c>
      <c r="H1546" s="28" t="s">
        <v>25</v>
      </c>
      <c r="I1546" s="25" t="n">
        <v>3</v>
      </c>
      <c r="J1546" s="25" t="n">
        <v>1</v>
      </c>
      <c r="K1546" s="25" t="n">
        <v>3</v>
      </c>
      <c r="L1546" s="29" t="n">
        <v>0.72</v>
      </c>
      <c r="M1546" s="30" t="n">
        <v>23.4</v>
      </c>
      <c r="N1546" s="29" t="n">
        <v>0.4</v>
      </c>
      <c r="O1546" s="25" t="n">
        <v>183</v>
      </c>
      <c r="P1546" s="30" t="n">
        <v>10.75</v>
      </c>
      <c r="Q1546" s="27" t="s">
        <v>3649</v>
      </c>
      <c r="R1546" s="27" t="s">
        <v>183</v>
      </c>
    </row>
    <row r="1547" customFormat="false" ht="15" hidden="false" customHeight="false" outlineLevel="0" collapsed="false">
      <c r="A1547" s="25" t="n">
        <f aca="false">IF(G1547="REJECT",COUNTIF($G$2:$G$2277,"&lt;&gt;REJECT")+1+COUNTIFS($G$2:$G$2277,"REJECT",$B$2:$B$2277,"&gt;"&amp;B1547),1+COUNTIFS($G$2:$G$2277,"&lt;&gt;REJECT",$B$2:$B$2277,"&gt;"&amp;B1547))</f>
        <v>1546</v>
      </c>
      <c r="B1547" s="26" t="n">
        <f aca="false">ROUND(($U$2*MAX(0,MIN(1,($W$2-I1547)/($W$2-$V$2)))+$U$3*MAX(0,MIN(1,($W$3-J1547)/($W$3-$V$3)))+$U$4*MAX(0,MIN(1,($W$4-K1547)/($W$4-$V$4)))+$U$5*MAX(0,MIN(1,($W$5-L1547)/($W$5-$V$5)))+$U$6*MAX(0,MIN(1,($W$6-M1547)/($W$6-$V$6)))+$U$7*MAX(0,MIN(1,($W$7-N1547)/($W$7-$V$7)))+$U$8*IF(AND(O1547&gt;=$V$8,O1547&lt;=$W$8),1,0))/$U$9*100,2)</f>
        <v>61.87</v>
      </c>
      <c r="C1547" s="27" t="s">
        <v>964</v>
      </c>
      <c r="D1547" s="25" t="s">
        <v>3459</v>
      </c>
      <c r="E1547" s="25" t="s">
        <v>3447</v>
      </c>
      <c r="F1547" s="25" t="s">
        <v>3448</v>
      </c>
      <c r="G1547" s="38" t="s">
        <v>30</v>
      </c>
      <c r="H1547" s="28" t="s">
        <v>25</v>
      </c>
      <c r="I1547" s="25" t="n">
        <v>3</v>
      </c>
      <c r="J1547" s="25" t="n">
        <v>1</v>
      </c>
      <c r="K1547" s="25" t="n">
        <v>3</v>
      </c>
      <c r="L1547" s="29" t="n">
        <v>0.67</v>
      </c>
      <c r="M1547" s="30" t="n">
        <v>5.9</v>
      </c>
      <c r="N1547" s="29" t="n">
        <v>0.36</v>
      </c>
      <c r="O1547" s="25" t="n">
        <v>185</v>
      </c>
      <c r="P1547" s="30" t="n">
        <v>-1.23</v>
      </c>
      <c r="Q1547" s="27" t="s">
        <v>3649</v>
      </c>
      <c r="R1547" s="27" t="s">
        <v>283</v>
      </c>
    </row>
    <row r="1548" customFormat="false" ht="15" hidden="false" customHeight="false" outlineLevel="0" collapsed="false">
      <c r="A1548" s="25" t="n">
        <f aca="false">IF(G1548="REJECT",COUNTIF($G$2:$G$2277,"&lt;&gt;REJECT")+1+COUNTIFS($G$2:$G$2277,"REJECT",$B$2:$B$2277,"&gt;"&amp;B1548),1+COUNTIFS($G$2:$G$2277,"&lt;&gt;REJECT",$B$2:$B$2277,"&gt;"&amp;B1548))</f>
        <v>1547</v>
      </c>
      <c r="B1548" s="26" t="n">
        <f aca="false">ROUND(($U$2*MAX(0,MIN(1,($W$2-I1548)/($W$2-$V$2)))+$U$3*MAX(0,MIN(1,($W$3-J1548)/($W$3-$V$3)))+$U$4*MAX(0,MIN(1,($W$4-K1548)/($W$4-$V$4)))+$U$5*MAX(0,MIN(1,($W$5-L1548)/($W$5-$V$5)))+$U$6*MAX(0,MIN(1,($W$6-M1548)/($W$6-$V$6)))+$U$7*MAX(0,MIN(1,($W$7-N1548)/($W$7-$V$7)))+$U$8*IF(AND(O1548&gt;=$V$8,O1548&lt;=$W$8),1,0))/$U$9*100,2)</f>
        <v>61.82</v>
      </c>
      <c r="C1548" s="27" t="s">
        <v>1055</v>
      </c>
      <c r="D1548" s="25" t="s">
        <v>134</v>
      </c>
      <c r="E1548" s="25" t="s">
        <v>3450</v>
      </c>
      <c r="F1548" s="25" t="s">
        <v>3448</v>
      </c>
      <c r="G1548" s="38" t="s">
        <v>30</v>
      </c>
      <c r="H1548" s="28" t="s">
        <v>25</v>
      </c>
      <c r="I1548" s="25" t="n">
        <v>3</v>
      </c>
      <c r="J1548" s="25" t="n">
        <v>1</v>
      </c>
      <c r="K1548" s="25" t="n">
        <v>3</v>
      </c>
      <c r="L1548" s="29" t="n">
        <v>0.68</v>
      </c>
      <c r="M1548" s="30" t="n">
        <v>4.21</v>
      </c>
      <c r="N1548" s="29" t="n">
        <v>0.92</v>
      </c>
      <c r="O1548" s="25" t="n">
        <v>200</v>
      </c>
      <c r="P1548" s="30" t="n">
        <v>0.91</v>
      </c>
      <c r="Q1548" s="27" t="s">
        <v>3649</v>
      </c>
      <c r="R1548" s="27" t="s">
        <v>1230</v>
      </c>
    </row>
    <row r="1549" customFormat="false" ht="15" hidden="false" customHeight="false" outlineLevel="0" collapsed="false">
      <c r="A1549" s="25" t="n">
        <f aca="false">IF(G1549="REJECT",COUNTIF($G$2:$G$2277,"&lt;&gt;REJECT")+1+COUNTIFS($G$2:$G$2277,"REJECT",$B$2:$B$2277,"&gt;"&amp;B1549),1+COUNTIFS($G$2:$G$2277,"&lt;&gt;REJECT",$B$2:$B$2277,"&gt;"&amp;B1549))</f>
        <v>1548</v>
      </c>
      <c r="B1549" s="26" t="n">
        <f aca="false">ROUND(($U$2*MAX(0,MIN(1,($W$2-I1549)/($W$2-$V$2)))+$U$3*MAX(0,MIN(1,($W$3-J1549)/($W$3-$V$3)))+$U$4*MAX(0,MIN(1,($W$4-K1549)/($W$4-$V$4)))+$U$5*MAX(0,MIN(1,($W$5-L1549)/($W$5-$V$5)))+$U$6*MAX(0,MIN(1,($W$6-M1549)/($W$6-$V$6)))+$U$7*MAX(0,MIN(1,($W$7-N1549)/($W$7-$V$7)))+$U$8*IF(AND(O1549&gt;=$V$8,O1549&lt;=$W$8),1,0))/$U$9*100,2)</f>
        <v>61.8</v>
      </c>
      <c r="C1549" s="27" t="s">
        <v>3001</v>
      </c>
      <c r="D1549" s="25" t="s">
        <v>134</v>
      </c>
      <c r="E1549" s="25" t="s">
        <v>3450</v>
      </c>
      <c r="F1549" s="25" t="s">
        <v>3448</v>
      </c>
      <c r="G1549" s="38" t="s">
        <v>30</v>
      </c>
      <c r="H1549" s="28" t="s">
        <v>25</v>
      </c>
      <c r="I1549" s="25" t="n">
        <v>3</v>
      </c>
      <c r="J1549" s="25" t="n">
        <v>1</v>
      </c>
      <c r="K1549" s="25" t="n">
        <v>3</v>
      </c>
      <c r="L1549" s="29" t="n">
        <v>0.69</v>
      </c>
      <c r="M1549" s="30" t="n">
        <v>11.49</v>
      </c>
      <c r="N1549" s="29" t="n">
        <v>0.56</v>
      </c>
      <c r="O1549" s="25" t="n">
        <v>195</v>
      </c>
      <c r="P1549" s="30" t="n">
        <v>9.22</v>
      </c>
      <c r="Q1549" s="27" t="s">
        <v>3649</v>
      </c>
      <c r="R1549" s="27" t="s">
        <v>283</v>
      </c>
    </row>
    <row r="1550" customFormat="false" ht="15" hidden="false" customHeight="false" outlineLevel="0" collapsed="false">
      <c r="A1550" s="25" t="n">
        <f aca="false">IF(G1550="REJECT",COUNTIF($G$2:$G$2277,"&lt;&gt;REJECT")+1+COUNTIFS($G$2:$G$2277,"REJECT",$B$2:$B$2277,"&gt;"&amp;B1550),1+COUNTIFS($G$2:$G$2277,"&lt;&gt;REJECT",$B$2:$B$2277,"&gt;"&amp;B1550))</f>
        <v>1549</v>
      </c>
      <c r="B1550" s="26" t="n">
        <f aca="false">ROUND(($U$2*MAX(0,MIN(1,($W$2-I1550)/($W$2-$V$2)))+$U$3*MAX(0,MIN(1,($W$3-J1550)/($W$3-$V$3)))+$U$4*MAX(0,MIN(1,($W$4-K1550)/($W$4-$V$4)))+$U$5*MAX(0,MIN(1,($W$5-L1550)/($W$5-$V$5)))+$U$6*MAX(0,MIN(1,($W$6-M1550)/($W$6-$V$6)))+$U$7*MAX(0,MIN(1,($W$7-N1550)/($W$7-$V$7)))+$U$8*IF(AND(O1550&gt;=$V$8,O1550&lt;=$W$8),1,0))/$U$9*100,2)</f>
        <v>61.77</v>
      </c>
      <c r="C1550" s="27" t="s">
        <v>1712</v>
      </c>
      <c r="D1550" s="25" t="s">
        <v>134</v>
      </c>
      <c r="E1550" s="25" t="s">
        <v>3450</v>
      </c>
      <c r="F1550" s="25" t="s">
        <v>3457</v>
      </c>
      <c r="G1550" s="38" t="s">
        <v>30</v>
      </c>
      <c r="H1550" s="28" t="s">
        <v>25</v>
      </c>
      <c r="I1550" s="25" t="n">
        <v>3</v>
      </c>
      <c r="J1550" s="25" t="n">
        <v>1</v>
      </c>
      <c r="K1550" s="25" t="n">
        <v>3</v>
      </c>
      <c r="L1550" s="29" t="n">
        <v>0.71</v>
      </c>
      <c r="M1550" s="30" t="n">
        <v>18.49</v>
      </c>
      <c r="N1550" s="29" t="n">
        <v>0.6</v>
      </c>
      <c r="O1550" s="25" t="n">
        <v>185</v>
      </c>
      <c r="P1550" s="30" t="n">
        <v>6.8</v>
      </c>
      <c r="Q1550" s="27" t="s">
        <v>3649</v>
      </c>
      <c r="R1550" s="27" t="s">
        <v>1099</v>
      </c>
    </row>
    <row r="1551" customFormat="false" ht="15" hidden="false" customHeight="false" outlineLevel="0" collapsed="false">
      <c r="A1551" s="25" t="n">
        <f aca="false">IF(G1551="REJECT",COUNTIF($G$2:$G$2277,"&lt;&gt;REJECT")+1+COUNTIFS($G$2:$G$2277,"REJECT",$B$2:$B$2277,"&gt;"&amp;B1551),1+COUNTIFS($G$2:$G$2277,"&lt;&gt;REJECT",$B$2:$B$2277,"&gt;"&amp;B1551))</f>
        <v>1550</v>
      </c>
      <c r="B1551" s="26" t="n">
        <f aca="false">ROUND(($U$2*MAX(0,MIN(1,($W$2-I1551)/($W$2-$V$2)))+$U$3*MAX(0,MIN(1,($W$3-J1551)/($W$3-$V$3)))+$U$4*MAX(0,MIN(1,($W$4-K1551)/($W$4-$V$4)))+$U$5*MAX(0,MIN(1,($W$5-L1551)/($W$5-$V$5)))+$U$6*MAX(0,MIN(1,($W$6-M1551)/($W$6-$V$6)))+$U$7*MAX(0,MIN(1,($W$7-N1551)/($W$7-$V$7)))+$U$8*IF(AND(O1551&gt;=$V$8,O1551&lt;=$W$8),1,0))/$U$9*100,2)</f>
        <v>61.68</v>
      </c>
      <c r="C1551" s="27" t="s">
        <v>1412</v>
      </c>
      <c r="D1551" s="25" t="s">
        <v>134</v>
      </c>
      <c r="E1551" s="25" t="s">
        <v>3450</v>
      </c>
      <c r="F1551" s="25" t="s">
        <v>3457</v>
      </c>
      <c r="G1551" s="38" t="s">
        <v>30</v>
      </c>
      <c r="H1551" s="33" t="s">
        <v>24</v>
      </c>
      <c r="I1551" s="25" t="n">
        <v>5</v>
      </c>
      <c r="J1551" s="25" t="n">
        <v>0</v>
      </c>
      <c r="K1551" s="25" t="n">
        <v>5</v>
      </c>
      <c r="L1551" s="29" t="n">
        <v>0.74</v>
      </c>
      <c r="M1551" s="30" t="n">
        <v>12.03</v>
      </c>
      <c r="N1551" s="29" t="n">
        <v>0.88</v>
      </c>
      <c r="O1551" s="25" t="n">
        <v>192</v>
      </c>
      <c r="P1551" s="30" t="n">
        <v>3.75</v>
      </c>
      <c r="Q1551" s="27" t="s">
        <v>3727</v>
      </c>
      <c r="R1551" s="27" t="s">
        <v>30</v>
      </c>
    </row>
    <row r="1552" customFormat="false" ht="15" hidden="false" customHeight="false" outlineLevel="0" collapsed="false">
      <c r="A1552" s="25" t="n">
        <f aca="false">IF(G1552="REJECT",COUNTIF($G$2:$G$2277,"&lt;&gt;REJECT")+1+COUNTIFS($G$2:$G$2277,"REJECT",$B$2:$B$2277,"&gt;"&amp;B1552),1+COUNTIFS($G$2:$G$2277,"&lt;&gt;REJECT",$B$2:$B$2277,"&gt;"&amp;B1552))</f>
        <v>1551</v>
      </c>
      <c r="B1552" s="26" t="n">
        <f aca="false">ROUND(($U$2*MAX(0,MIN(1,($W$2-I1552)/($W$2-$V$2)))+$U$3*MAX(0,MIN(1,($W$3-J1552)/($W$3-$V$3)))+$U$4*MAX(0,MIN(1,($W$4-K1552)/($W$4-$V$4)))+$U$5*MAX(0,MIN(1,($W$5-L1552)/($W$5-$V$5)))+$U$6*MAX(0,MIN(1,($W$6-M1552)/($W$6-$V$6)))+$U$7*MAX(0,MIN(1,($W$7-N1552)/($W$7-$V$7)))+$U$8*IF(AND(O1552&gt;=$V$8,O1552&lt;=$W$8),1,0))/$U$9*100,2)</f>
        <v>61.65</v>
      </c>
      <c r="C1552" s="27" t="s">
        <v>1302</v>
      </c>
      <c r="D1552" s="25" t="s">
        <v>134</v>
      </c>
      <c r="E1552" s="25" t="s">
        <v>3447</v>
      </c>
      <c r="F1552" s="25" t="s">
        <v>3457</v>
      </c>
      <c r="G1552" s="38" t="s">
        <v>30</v>
      </c>
      <c r="H1552" s="33" t="s">
        <v>24</v>
      </c>
      <c r="I1552" s="25" t="n">
        <v>5</v>
      </c>
      <c r="J1552" s="25" t="n">
        <v>0</v>
      </c>
      <c r="K1552" s="25" t="n">
        <v>5</v>
      </c>
      <c r="L1552" s="29" t="n">
        <v>0.71</v>
      </c>
      <c r="M1552" s="30" t="n">
        <v>10.2</v>
      </c>
      <c r="N1552" s="29" t="n">
        <v>0</v>
      </c>
      <c r="O1552" s="25" t="n">
        <v>184</v>
      </c>
      <c r="P1552" s="30" t="n">
        <v>15.31</v>
      </c>
      <c r="Q1552" s="27" t="s">
        <v>3728</v>
      </c>
      <c r="R1552" s="27" t="s">
        <v>30</v>
      </c>
    </row>
    <row r="1553" customFormat="false" ht="15" hidden="false" customHeight="false" outlineLevel="0" collapsed="false">
      <c r="A1553" s="25" t="n">
        <f aca="false">IF(G1553="REJECT",COUNTIF($G$2:$G$2277,"&lt;&gt;REJECT")+1+COUNTIFS($G$2:$G$2277,"REJECT",$B$2:$B$2277,"&gt;"&amp;B1553),1+COUNTIFS($G$2:$G$2277,"&lt;&gt;REJECT",$B$2:$B$2277,"&gt;"&amp;B1553))</f>
        <v>1552</v>
      </c>
      <c r="B1553" s="26" t="n">
        <f aca="false">ROUND(($U$2*MAX(0,MIN(1,($W$2-I1553)/($W$2-$V$2)))+$U$3*MAX(0,MIN(1,($W$3-J1553)/($W$3-$V$3)))+$U$4*MAX(0,MIN(1,($W$4-K1553)/($W$4-$V$4)))+$U$5*MAX(0,MIN(1,($W$5-L1553)/($W$5-$V$5)))+$U$6*MAX(0,MIN(1,($W$6-M1553)/($W$6-$V$6)))+$U$7*MAX(0,MIN(1,($W$7-N1553)/($W$7-$V$7)))+$U$8*IF(AND(O1553&gt;=$V$8,O1553&lt;=$W$8),1,0))/$U$9*100,2)</f>
        <v>61.62</v>
      </c>
      <c r="C1553" s="27" t="s">
        <v>2074</v>
      </c>
      <c r="D1553" s="25" t="s">
        <v>134</v>
      </c>
      <c r="E1553" s="25" t="s">
        <v>3447</v>
      </c>
      <c r="F1553" s="25" t="s">
        <v>3448</v>
      </c>
      <c r="G1553" s="38" t="s">
        <v>30</v>
      </c>
      <c r="H1553" s="28" t="s">
        <v>25</v>
      </c>
      <c r="I1553" s="25" t="n">
        <v>5</v>
      </c>
      <c r="J1553" s="25" t="n">
        <v>0</v>
      </c>
      <c r="K1553" s="25" t="n">
        <v>5</v>
      </c>
      <c r="L1553" s="29" t="n">
        <v>0.71</v>
      </c>
      <c r="M1553" s="30" t="n">
        <v>1.98</v>
      </c>
      <c r="N1553" s="29" t="n">
        <v>0.84</v>
      </c>
      <c r="O1553" s="25" t="n">
        <v>230</v>
      </c>
      <c r="P1553" s="30" t="n">
        <v>-1.28</v>
      </c>
      <c r="Q1553" s="27" t="s">
        <v>3729</v>
      </c>
      <c r="R1553" s="27" t="s">
        <v>2610</v>
      </c>
    </row>
    <row r="1554" customFormat="false" ht="15" hidden="false" customHeight="false" outlineLevel="0" collapsed="false">
      <c r="A1554" s="25" t="n">
        <f aca="false">IF(G1554="REJECT",COUNTIF($G$2:$G$2277,"&lt;&gt;REJECT")+1+COUNTIFS($G$2:$G$2277,"REJECT",$B$2:$B$2277,"&gt;"&amp;B1554),1+COUNTIFS($G$2:$G$2277,"&lt;&gt;REJECT",$B$2:$B$2277,"&gt;"&amp;B1554))</f>
        <v>1553</v>
      </c>
      <c r="B1554" s="26" t="n">
        <f aca="false">ROUND(($U$2*MAX(0,MIN(1,($W$2-I1554)/($W$2-$V$2)))+$U$3*MAX(0,MIN(1,($W$3-J1554)/($W$3-$V$3)))+$U$4*MAX(0,MIN(1,($W$4-K1554)/($W$4-$V$4)))+$U$5*MAX(0,MIN(1,($W$5-L1554)/($W$5-$V$5)))+$U$6*MAX(0,MIN(1,($W$6-M1554)/($W$6-$V$6)))+$U$7*MAX(0,MIN(1,($W$7-N1554)/($W$7-$V$7)))+$U$8*IF(AND(O1554&gt;=$V$8,O1554&lt;=$W$8),1,0))/$U$9*100,2)</f>
        <v>61.55</v>
      </c>
      <c r="C1554" s="27" t="s">
        <v>2891</v>
      </c>
      <c r="D1554" s="25" t="s">
        <v>3459</v>
      </c>
      <c r="E1554" s="25" t="s">
        <v>3450</v>
      </c>
      <c r="F1554" s="25" t="s">
        <v>3448</v>
      </c>
      <c r="G1554" s="38" t="s">
        <v>30</v>
      </c>
      <c r="H1554" s="28" t="s">
        <v>25</v>
      </c>
      <c r="I1554" s="25" t="n">
        <v>3</v>
      </c>
      <c r="J1554" s="25" t="n">
        <v>1</v>
      </c>
      <c r="K1554" s="25" t="n">
        <v>3</v>
      </c>
      <c r="L1554" s="29" t="n">
        <v>0.72</v>
      </c>
      <c r="M1554" s="30" t="n">
        <v>24.23</v>
      </c>
      <c r="N1554" s="29" t="n">
        <v>0.52</v>
      </c>
      <c r="O1554" s="25" t="n">
        <v>183</v>
      </c>
      <c r="P1554" s="30" t="n">
        <v>10.56</v>
      </c>
      <c r="Q1554" s="27" t="s">
        <v>3649</v>
      </c>
      <c r="R1554" s="27" t="s">
        <v>183</v>
      </c>
    </row>
    <row r="1555" customFormat="false" ht="15" hidden="false" customHeight="false" outlineLevel="0" collapsed="false">
      <c r="A1555" s="25" t="n">
        <f aca="false">IF(G1555="REJECT",COUNTIF($G$2:$G$2277,"&lt;&gt;REJECT")+1+COUNTIFS($G$2:$G$2277,"REJECT",$B$2:$B$2277,"&gt;"&amp;B1555),1+COUNTIFS($G$2:$G$2277,"&lt;&gt;REJECT",$B$2:$B$2277,"&gt;"&amp;B1555))</f>
        <v>1554</v>
      </c>
      <c r="B1555" s="26" t="n">
        <f aca="false">ROUND(($U$2*MAX(0,MIN(1,($W$2-I1555)/($W$2-$V$2)))+$U$3*MAX(0,MIN(1,($W$3-J1555)/($W$3-$V$3)))+$U$4*MAX(0,MIN(1,($W$4-K1555)/($W$4-$V$4)))+$U$5*MAX(0,MIN(1,($W$5-L1555)/($W$5-$V$5)))+$U$6*MAX(0,MIN(1,($W$6-M1555)/($W$6-$V$6)))+$U$7*MAX(0,MIN(1,($W$7-N1555)/($W$7-$V$7)))+$U$8*IF(AND(O1555&gt;=$V$8,O1555&lt;=$W$8),1,0))/$U$9*100,2)</f>
        <v>61.51</v>
      </c>
      <c r="C1555" s="27" t="s">
        <v>2715</v>
      </c>
      <c r="D1555" s="25" t="s">
        <v>134</v>
      </c>
      <c r="E1555" s="25" t="s">
        <v>3450</v>
      </c>
      <c r="F1555" s="25" t="s">
        <v>3448</v>
      </c>
      <c r="G1555" s="38" t="s">
        <v>30</v>
      </c>
      <c r="H1555" s="28" t="s">
        <v>25</v>
      </c>
      <c r="I1555" s="25" t="n">
        <v>2</v>
      </c>
      <c r="J1555" s="25" t="n">
        <v>1</v>
      </c>
      <c r="K1555" s="25" t="n">
        <v>2</v>
      </c>
      <c r="L1555" s="29" t="n">
        <v>0.56</v>
      </c>
      <c r="M1555" s="30" t="n">
        <v>1.92</v>
      </c>
      <c r="N1555" s="29" t="n">
        <v>0.76</v>
      </c>
      <c r="O1555" s="25" t="n">
        <v>190</v>
      </c>
      <c r="P1555" s="30" t="n">
        <v>-1.13</v>
      </c>
      <c r="Q1555" s="27" t="s">
        <v>3566</v>
      </c>
      <c r="R1555" s="27" t="s">
        <v>1230</v>
      </c>
    </row>
    <row r="1556" customFormat="false" ht="15" hidden="false" customHeight="false" outlineLevel="0" collapsed="false">
      <c r="A1556" s="25" t="n">
        <f aca="false">IF(G1556="REJECT",COUNTIF($G$2:$G$2277,"&lt;&gt;REJECT")+1+COUNTIFS($G$2:$G$2277,"REJECT",$B$2:$B$2277,"&gt;"&amp;B1556),1+COUNTIFS($G$2:$G$2277,"&lt;&gt;REJECT",$B$2:$B$2277,"&gt;"&amp;B1556))</f>
        <v>1555</v>
      </c>
      <c r="B1556" s="26" t="n">
        <f aca="false">ROUND(($U$2*MAX(0,MIN(1,($W$2-I1556)/($W$2-$V$2)))+$U$3*MAX(0,MIN(1,($W$3-J1556)/($W$3-$V$3)))+$U$4*MAX(0,MIN(1,($W$4-K1556)/($W$4-$V$4)))+$U$5*MAX(0,MIN(1,($W$5-L1556)/($W$5-$V$5)))+$U$6*MAX(0,MIN(1,($W$6-M1556)/($W$6-$V$6)))+$U$7*MAX(0,MIN(1,($W$7-N1556)/($W$7-$V$7)))+$U$8*IF(AND(O1556&gt;=$V$8,O1556&lt;=$W$8),1,0))/$U$9*100,2)</f>
        <v>61.47</v>
      </c>
      <c r="C1556" s="27" t="s">
        <v>1663</v>
      </c>
      <c r="D1556" s="25" t="s">
        <v>134</v>
      </c>
      <c r="E1556" s="25" t="s">
        <v>3447</v>
      </c>
      <c r="F1556" s="25" t="s">
        <v>3457</v>
      </c>
      <c r="G1556" s="38" t="s">
        <v>30</v>
      </c>
      <c r="H1556" s="33" t="s">
        <v>24</v>
      </c>
      <c r="I1556" s="25" t="n">
        <v>5</v>
      </c>
      <c r="J1556" s="25" t="n">
        <v>0</v>
      </c>
      <c r="K1556" s="25" t="n">
        <v>5</v>
      </c>
      <c r="L1556" s="29" t="n">
        <v>0.73</v>
      </c>
      <c r="M1556" s="30" t="n">
        <v>8.88</v>
      </c>
      <c r="N1556" s="29" t="n">
        <v>0.96</v>
      </c>
      <c r="O1556" s="25" t="n">
        <v>190</v>
      </c>
      <c r="P1556" s="30" t="n">
        <v>5.19</v>
      </c>
      <c r="Q1556" s="27" t="s">
        <v>3679</v>
      </c>
      <c r="R1556" s="27" t="s">
        <v>30</v>
      </c>
    </row>
    <row r="1557" customFormat="false" ht="15" hidden="false" customHeight="false" outlineLevel="0" collapsed="false">
      <c r="A1557" s="25" t="n">
        <f aca="false">IF(G1557="REJECT",COUNTIF($G$2:$G$2277,"&lt;&gt;REJECT")+1+COUNTIFS($G$2:$G$2277,"REJECT",$B$2:$B$2277,"&gt;"&amp;B1557),1+COUNTIFS($G$2:$G$2277,"&lt;&gt;REJECT",$B$2:$B$2277,"&gt;"&amp;B1557))</f>
        <v>1556</v>
      </c>
      <c r="B1557" s="26" t="n">
        <f aca="false">ROUND(($U$2*MAX(0,MIN(1,($W$2-I1557)/($W$2-$V$2)))+$U$3*MAX(0,MIN(1,($W$3-J1557)/($W$3-$V$3)))+$U$4*MAX(0,MIN(1,($W$4-K1557)/($W$4-$V$4)))+$U$5*MAX(0,MIN(1,($W$5-L1557)/($W$5-$V$5)))+$U$6*MAX(0,MIN(1,($W$6-M1557)/($W$6-$V$6)))+$U$7*MAX(0,MIN(1,($W$7-N1557)/($W$7-$V$7)))+$U$8*IF(AND(O1557&gt;=$V$8,O1557&lt;=$W$8),1,0))/$U$9*100,2)</f>
        <v>61.44</v>
      </c>
      <c r="C1557" s="27" t="s">
        <v>179</v>
      </c>
      <c r="D1557" s="25" t="s">
        <v>134</v>
      </c>
      <c r="E1557" s="25" t="s">
        <v>3450</v>
      </c>
      <c r="F1557" s="25" t="s">
        <v>3457</v>
      </c>
      <c r="G1557" s="38" t="s">
        <v>30</v>
      </c>
      <c r="H1557" s="28" t="s">
        <v>25</v>
      </c>
      <c r="I1557" s="25" t="n">
        <v>3</v>
      </c>
      <c r="J1557" s="25" t="n">
        <v>1</v>
      </c>
      <c r="K1557" s="25" t="n">
        <v>3</v>
      </c>
      <c r="L1557" s="29" t="n">
        <v>0.73</v>
      </c>
      <c r="M1557" s="30" t="n">
        <v>24.07</v>
      </c>
      <c r="N1557" s="29" t="n">
        <v>0.96</v>
      </c>
      <c r="O1557" s="25" t="n">
        <v>185</v>
      </c>
      <c r="P1557" s="30" t="n">
        <v>18.73</v>
      </c>
      <c r="Q1557" s="27" t="s">
        <v>3649</v>
      </c>
      <c r="R1557" s="27" t="s">
        <v>183</v>
      </c>
    </row>
    <row r="1558" customFormat="false" ht="15" hidden="false" customHeight="false" outlineLevel="0" collapsed="false">
      <c r="A1558" s="25" t="n">
        <f aca="false">IF(G1558="REJECT",COUNTIF($G$2:$G$2277,"&lt;&gt;REJECT")+1+COUNTIFS($G$2:$G$2277,"REJECT",$B$2:$B$2277,"&gt;"&amp;B1558),1+COUNTIFS($G$2:$G$2277,"&lt;&gt;REJECT",$B$2:$B$2277,"&gt;"&amp;B1558))</f>
        <v>1557</v>
      </c>
      <c r="B1558" s="26" t="n">
        <f aca="false">ROUND(($U$2*MAX(0,MIN(1,($W$2-I1558)/($W$2-$V$2)))+$U$3*MAX(0,MIN(1,($W$3-J1558)/($W$3-$V$3)))+$U$4*MAX(0,MIN(1,($W$4-K1558)/($W$4-$V$4)))+$U$5*MAX(0,MIN(1,($W$5-L1558)/($W$5-$V$5)))+$U$6*MAX(0,MIN(1,($W$6-M1558)/($W$6-$V$6)))+$U$7*MAX(0,MIN(1,($W$7-N1558)/($W$7-$V$7)))+$U$8*IF(AND(O1558&gt;=$V$8,O1558&lt;=$W$8),1,0))/$U$9*100,2)</f>
        <v>61.37</v>
      </c>
      <c r="C1558" s="27" t="s">
        <v>1787</v>
      </c>
      <c r="D1558" s="25" t="s">
        <v>3459</v>
      </c>
      <c r="E1558" s="25" t="s">
        <v>3450</v>
      </c>
      <c r="F1558" s="25" t="s">
        <v>3448</v>
      </c>
      <c r="G1558" s="38" t="s">
        <v>30</v>
      </c>
      <c r="H1558" s="28" t="s">
        <v>25</v>
      </c>
      <c r="I1558" s="25" t="n">
        <v>3</v>
      </c>
      <c r="J1558" s="25" t="n">
        <v>1</v>
      </c>
      <c r="K1558" s="25" t="n">
        <v>3</v>
      </c>
      <c r="L1558" s="29" t="n">
        <v>0.7</v>
      </c>
      <c r="M1558" s="30" t="n">
        <v>17.31</v>
      </c>
      <c r="N1558" s="29" t="n">
        <v>0.6</v>
      </c>
      <c r="O1558" s="25" t="n">
        <v>182</v>
      </c>
      <c r="P1558" s="30" t="n">
        <v>5.17</v>
      </c>
      <c r="Q1558" s="27" t="s">
        <v>3649</v>
      </c>
      <c r="R1558" s="27" t="s">
        <v>1099</v>
      </c>
    </row>
    <row r="1559" customFormat="false" ht="15" hidden="false" customHeight="false" outlineLevel="0" collapsed="false">
      <c r="A1559" s="25" t="n">
        <f aca="false">IF(G1559="REJECT",COUNTIF($G$2:$G$2277,"&lt;&gt;REJECT")+1+COUNTIFS($G$2:$G$2277,"REJECT",$B$2:$B$2277,"&gt;"&amp;B1559),1+COUNTIFS($G$2:$G$2277,"&lt;&gt;REJECT",$B$2:$B$2277,"&gt;"&amp;B1559))</f>
        <v>1558</v>
      </c>
      <c r="B1559" s="26" t="n">
        <f aca="false">ROUND(($U$2*MAX(0,MIN(1,($W$2-I1559)/($W$2-$V$2)))+$U$3*MAX(0,MIN(1,($W$3-J1559)/($W$3-$V$3)))+$U$4*MAX(0,MIN(1,($W$4-K1559)/($W$4-$V$4)))+$U$5*MAX(0,MIN(1,($W$5-L1559)/($W$5-$V$5)))+$U$6*MAX(0,MIN(1,($W$6-M1559)/($W$6-$V$6)))+$U$7*MAX(0,MIN(1,($W$7-N1559)/($W$7-$V$7)))+$U$8*IF(AND(O1559&gt;=$V$8,O1559&lt;=$W$8),1,0))/$U$9*100,2)</f>
        <v>61.22</v>
      </c>
      <c r="C1559" s="27" t="s">
        <v>1744</v>
      </c>
      <c r="D1559" s="25" t="s">
        <v>134</v>
      </c>
      <c r="E1559" s="25" t="s">
        <v>3450</v>
      </c>
      <c r="F1559" s="25" t="s">
        <v>3448</v>
      </c>
      <c r="G1559" s="38" t="s">
        <v>30</v>
      </c>
      <c r="H1559" s="28" t="s">
        <v>25</v>
      </c>
      <c r="I1559" s="25" t="n">
        <v>3</v>
      </c>
      <c r="J1559" s="25" t="n">
        <v>1</v>
      </c>
      <c r="K1559" s="25" t="n">
        <v>3</v>
      </c>
      <c r="L1559" s="29" t="n">
        <v>0.69</v>
      </c>
      <c r="M1559" s="30" t="n">
        <v>13.8</v>
      </c>
      <c r="N1559" s="29" t="n">
        <v>0.68</v>
      </c>
      <c r="O1559" s="25" t="n">
        <v>185</v>
      </c>
      <c r="P1559" s="30" t="n">
        <v>6.83</v>
      </c>
      <c r="Q1559" s="27" t="s">
        <v>3649</v>
      </c>
      <c r="R1559" s="27" t="s">
        <v>283</v>
      </c>
    </row>
    <row r="1560" customFormat="false" ht="15" hidden="false" customHeight="false" outlineLevel="0" collapsed="false">
      <c r="A1560" s="25" t="n">
        <f aca="false">IF(G1560="REJECT",COUNTIF($G$2:$G$2277,"&lt;&gt;REJECT")+1+COUNTIFS($G$2:$G$2277,"REJECT",$B$2:$B$2277,"&gt;"&amp;B1560),1+COUNTIFS($G$2:$G$2277,"&lt;&gt;REJECT",$B$2:$B$2277,"&gt;"&amp;B1560))</f>
        <v>1559</v>
      </c>
      <c r="B1560" s="26" t="n">
        <f aca="false">ROUND(($U$2*MAX(0,MIN(1,($W$2-I1560)/($W$2-$V$2)))+$U$3*MAX(0,MIN(1,($W$3-J1560)/($W$3-$V$3)))+$U$4*MAX(0,MIN(1,($W$4-K1560)/($W$4-$V$4)))+$U$5*MAX(0,MIN(1,($W$5-L1560)/($W$5-$V$5)))+$U$6*MAX(0,MIN(1,($W$6-M1560)/($W$6-$V$6)))+$U$7*MAX(0,MIN(1,($W$7-N1560)/($W$7-$V$7)))+$U$8*IF(AND(O1560&gt;=$V$8,O1560&lt;=$W$8),1,0))/$U$9*100,2)</f>
        <v>61.2</v>
      </c>
      <c r="C1560" s="27" t="s">
        <v>2672</v>
      </c>
      <c r="D1560" s="25" t="s">
        <v>134</v>
      </c>
      <c r="E1560" s="25" t="s">
        <v>3447</v>
      </c>
      <c r="F1560" s="25" t="s">
        <v>3457</v>
      </c>
      <c r="G1560" s="38" t="s">
        <v>30</v>
      </c>
      <c r="H1560" s="28" t="s">
        <v>25</v>
      </c>
      <c r="I1560" s="25" t="n">
        <v>5</v>
      </c>
      <c r="J1560" s="25" t="n">
        <v>0</v>
      </c>
      <c r="K1560" s="25" t="n">
        <v>5</v>
      </c>
      <c r="L1560" s="29" t="n">
        <v>0.75</v>
      </c>
      <c r="M1560" s="30" t="n">
        <v>21.33</v>
      </c>
      <c r="N1560" s="29" t="n">
        <v>0.6</v>
      </c>
      <c r="O1560" s="25" t="n">
        <v>187</v>
      </c>
      <c r="P1560" s="30" t="n">
        <v>7.98</v>
      </c>
      <c r="Q1560" s="27" t="s">
        <v>3730</v>
      </c>
      <c r="R1560" s="27" t="s">
        <v>992</v>
      </c>
    </row>
    <row r="1561" customFormat="false" ht="15" hidden="false" customHeight="false" outlineLevel="0" collapsed="false">
      <c r="A1561" s="25" t="n">
        <f aca="false">IF(G1561="REJECT",COUNTIF($G$2:$G$2277,"&lt;&gt;REJECT")+1+COUNTIFS($G$2:$G$2277,"REJECT",$B$2:$B$2277,"&gt;"&amp;B1561),1+COUNTIFS($G$2:$G$2277,"&lt;&gt;REJECT",$B$2:$B$2277,"&gt;"&amp;B1561))</f>
        <v>1560</v>
      </c>
      <c r="B1561" s="26" t="n">
        <f aca="false">ROUND(($U$2*MAX(0,MIN(1,($W$2-I1561)/($W$2-$V$2)))+$U$3*MAX(0,MIN(1,($W$3-J1561)/($W$3-$V$3)))+$U$4*MAX(0,MIN(1,($W$4-K1561)/($W$4-$V$4)))+$U$5*MAX(0,MIN(1,($W$5-L1561)/($W$5-$V$5)))+$U$6*MAX(0,MIN(1,($W$6-M1561)/($W$6-$V$6)))+$U$7*MAX(0,MIN(1,($W$7-N1561)/($W$7-$V$7)))+$U$8*IF(AND(O1561&gt;=$V$8,O1561&lt;=$W$8),1,0))/$U$9*100,2)</f>
        <v>61.15</v>
      </c>
      <c r="C1561" s="27" t="s">
        <v>2253</v>
      </c>
      <c r="D1561" s="25" t="s">
        <v>134</v>
      </c>
      <c r="E1561" s="25" t="s">
        <v>3447</v>
      </c>
      <c r="F1561" s="25" t="s">
        <v>3457</v>
      </c>
      <c r="G1561" s="38" t="s">
        <v>30</v>
      </c>
      <c r="H1561" s="33" t="s">
        <v>24</v>
      </c>
      <c r="I1561" s="25" t="n">
        <v>5</v>
      </c>
      <c r="J1561" s="25" t="n">
        <v>0</v>
      </c>
      <c r="K1561" s="25" t="n">
        <v>5</v>
      </c>
      <c r="L1561" s="29" t="n">
        <v>0.73</v>
      </c>
      <c r="M1561" s="30" t="n">
        <v>10.79</v>
      </c>
      <c r="N1561" s="29" t="n">
        <v>0.96</v>
      </c>
      <c r="O1561" s="25" t="n">
        <v>183</v>
      </c>
      <c r="P1561" s="30" t="n">
        <v>1.91</v>
      </c>
      <c r="Q1561" s="27" t="s">
        <v>3731</v>
      </c>
      <c r="R1561" s="27" t="s">
        <v>30</v>
      </c>
    </row>
    <row r="1562" customFormat="false" ht="15" hidden="false" customHeight="false" outlineLevel="0" collapsed="false">
      <c r="A1562" s="25" t="n">
        <f aca="false">IF(G1562="REJECT",COUNTIF($G$2:$G$2277,"&lt;&gt;REJECT")+1+COUNTIFS($G$2:$G$2277,"REJECT",$B$2:$B$2277,"&gt;"&amp;B1562),1+COUNTIFS($G$2:$G$2277,"&lt;&gt;REJECT",$B$2:$B$2277,"&gt;"&amp;B1562))</f>
        <v>1561</v>
      </c>
      <c r="B1562" s="26" t="n">
        <f aca="false">ROUND(($U$2*MAX(0,MIN(1,($W$2-I1562)/($W$2-$V$2)))+$U$3*MAX(0,MIN(1,($W$3-J1562)/($W$3-$V$3)))+$U$4*MAX(0,MIN(1,($W$4-K1562)/($W$4-$V$4)))+$U$5*MAX(0,MIN(1,($W$5-L1562)/($W$5-$V$5)))+$U$6*MAX(0,MIN(1,($W$6-M1562)/($W$6-$V$6)))+$U$7*MAX(0,MIN(1,($W$7-N1562)/($W$7-$V$7)))+$U$8*IF(AND(O1562&gt;=$V$8,O1562&lt;=$W$8),1,0))/$U$9*100,2)</f>
        <v>61.13</v>
      </c>
      <c r="C1562" s="27" t="s">
        <v>2879</v>
      </c>
      <c r="D1562" s="25" t="s">
        <v>134</v>
      </c>
      <c r="E1562" s="25" t="s">
        <v>3450</v>
      </c>
      <c r="F1562" s="25" t="s">
        <v>3448</v>
      </c>
      <c r="G1562" s="38" t="s">
        <v>30</v>
      </c>
      <c r="H1562" s="28" t="s">
        <v>25</v>
      </c>
      <c r="I1562" s="25" t="n">
        <v>3</v>
      </c>
      <c r="J1562" s="25" t="n">
        <v>1</v>
      </c>
      <c r="K1562" s="25" t="n">
        <v>3</v>
      </c>
      <c r="L1562" s="29" t="n">
        <v>0.71</v>
      </c>
      <c r="M1562" s="30" t="n">
        <v>22.3</v>
      </c>
      <c r="N1562" s="29" t="n">
        <v>0.6</v>
      </c>
      <c r="O1562" s="25" t="n">
        <v>182</v>
      </c>
      <c r="P1562" s="30" t="n">
        <v>5.34</v>
      </c>
      <c r="Q1562" s="27" t="s">
        <v>3649</v>
      </c>
      <c r="R1562" s="27" t="s">
        <v>163</v>
      </c>
    </row>
    <row r="1563" customFormat="false" ht="15" hidden="false" customHeight="false" outlineLevel="0" collapsed="false">
      <c r="A1563" s="25" t="n">
        <f aca="false">IF(G1563="REJECT",COUNTIF($G$2:$G$2277,"&lt;&gt;REJECT")+1+COUNTIFS($G$2:$G$2277,"REJECT",$B$2:$B$2277,"&gt;"&amp;B1563),1+COUNTIFS($G$2:$G$2277,"&lt;&gt;REJECT",$B$2:$B$2277,"&gt;"&amp;B1563))</f>
        <v>1562</v>
      </c>
      <c r="B1563" s="26" t="n">
        <f aca="false">ROUND(($U$2*MAX(0,MIN(1,($W$2-I1563)/($W$2-$V$2)))+$U$3*MAX(0,MIN(1,($W$3-J1563)/($W$3-$V$3)))+$U$4*MAX(0,MIN(1,($W$4-K1563)/($W$4-$V$4)))+$U$5*MAX(0,MIN(1,($W$5-L1563)/($W$5-$V$5)))+$U$6*MAX(0,MIN(1,($W$6-M1563)/($W$6-$V$6)))+$U$7*MAX(0,MIN(1,($W$7-N1563)/($W$7-$V$7)))+$U$8*IF(AND(O1563&gt;=$V$8,O1563&lt;=$W$8),1,0))/$U$9*100,2)</f>
        <v>61.11</v>
      </c>
      <c r="C1563" s="27" t="s">
        <v>1302</v>
      </c>
      <c r="D1563" s="25" t="s">
        <v>134</v>
      </c>
      <c r="E1563" s="25" t="s">
        <v>3450</v>
      </c>
      <c r="F1563" s="25" t="s">
        <v>3457</v>
      </c>
      <c r="G1563" s="38" t="s">
        <v>30</v>
      </c>
      <c r="H1563" s="28" t="s">
        <v>25</v>
      </c>
      <c r="I1563" s="25" t="n">
        <v>3</v>
      </c>
      <c r="J1563" s="25" t="n">
        <v>1</v>
      </c>
      <c r="K1563" s="25" t="n">
        <v>3</v>
      </c>
      <c r="L1563" s="29" t="n">
        <v>0.68</v>
      </c>
      <c r="M1563" s="30" t="n">
        <v>12.82</v>
      </c>
      <c r="N1563" s="29" t="n">
        <v>0.48</v>
      </c>
      <c r="O1563" s="25" t="n">
        <v>187</v>
      </c>
      <c r="P1563" s="30" t="n">
        <v>16.74</v>
      </c>
      <c r="Q1563" s="27" t="s">
        <v>3649</v>
      </c>
      <c r="R1563" s="27" t="s">
        <v>283</v>
      </c>
    </row>
    <row r="1564" customFormat="false" ht="15" hidden="false" customHeight="false" outlineLevel="0" collapsed="false">
      <c r="A1564" s="25" t="n">
        <f aca="false">IF(G1564="REJECT",COUNTIF($G$2:$G$2277,"&lt;&gt;REJECT")+1+COUNTIFS($G$2:$G$2277,"REJECT",$B$2:$B$2277,"&gt;"&amp;B1564),1+COUNTIFS($G$2:$G$2277,"&lt;&gt;REJECT",$B$2:$B$2277,"&gt;"&amp;B1564))</f>
        <v>1563</v>
      </c>
      <c r="B1564" s="26" t="n">
        <f aca="false">ROUND(($U$2*MAX(0,MIN(1,($W$2-I1564)/($W$2-$V$2)))+$U$3*MAX(0,MIN(1,($W$3-J1564)/($W$3-$V$3)))+$U$4*MAX(0,MIN(1,($W$4-K1564)/($W$4-$V$4)))+$U$5*MAX(0,MIN(1,($W$5-L1564)/($W$5-$V$5)))+$U$6*MAX(0,MIN(1,($W$6-M1564)/($W$6-$V$6)))+$U$7*MAX(0,MIN(1,($W$7-N1564)/($W$7-$V$7)))+$U$8*IF(AND(O1564&gt;=$V$8,O1564&lt;=$W$8),1,0))/$U$9*100,2)</f>
        <v>61.07</v>
      </c>
      <c r="C1564" s="27" t="s">
        <v>3248</v>
      </c>
      <c r="D1564" s="25" t="s">
        <v>134</v>
      </c>
      <c r="E1564" s="25" t="s">
        <v>3450</v>
      </c>
      <c r="F1564" s="25" t="s">
        <v>3448</v>
      </c>
      <c r="G1564" s="38" t="s">
        <v>30</v>
      </c>
      <c r="H1564" s="28" t="s">
        <v>25</v>
      </c>
      <c r="I1564" s="25" t="n">
        <v>3</v>
      </c>
      <c r="J1564" s="25" t="n">
        <v>1</v>
      </c>
      <c r="K1564" s="25" t="n">
        <v>3</v>
      </c>
      <c r="L1564" s="29" t="n">
        <v>0.68</v>
      </c>
      <c r="M1564" s="30" t="n">
        <v>9.47</v>
      </c>
      <c r="N1564" s="29" t="n">
        <v>0.84</v>
      </c>
      <c r="O1564" s="25" t="n">
        <v>183</v>
      </c>
      <c r="P1564" s="30" t="n">
        <v>10.85</v>
      </c>
      <c r="Q1564" s="27" t="s">
        <v>3649</v>
      </c>
      <c r="R1564" s="27" t="s">
        <v>1152</v>
      </c>
    </row>
    <row r="1565" customFormat="false" ht="15" hidden="false" customHeight="false" outlineLevel="0" collapsed="false">
      <c r="A1565" s="25" t="n">
        <f aca="false">IF(G1565="REJECT",COUNTIF($G$2:$G$2277,"&lt;&gt;REJECT")+1+COUNTIFS($G$2:$G$2277,"REJECT",$B$2:$B$2277,"&gt;"&amp;B1565),1+COUNTIFS($G$2:$G$2277,"&lt;&gt;REJECT",$B$2:$B$2277,"&gt;"&amp;B1565))</f>
        <v>1564</v>
      </c>
      <c r="B1565" s="26" t="n">
        <f aca="false">ROUND(($U$2*MAX(0,MIN(1,($W$2-I1565)/($W$2-$V$2)))+$U$3*MAX(0,MIN(1,($W$3-J1565)/($W$3-$V$3)))+$U$4*MAX(0,MIN(1,($W$4-K1565)/($W$4-$V$4)))+$U$5*MAX(0,MIN(1,($W$5-L1565)/($W$5-$V$5)))+$U$6*MAX(0,MIN(1,($W$6-M1565)/($W$6-$V$6)))+$U$7*MAX(0,MIN(1,($W$7-N1565)/($W$7-$V$7)))+$U$8*IF(AND(O1565&gt;=$V$8,O1565&lt;=$W$8),1,0))/$U$9*100,2)</f>
        <v>61.06</v>
      </c>
      <c r="C1565" s="27" t="s">
        <v>341</v>
      </c>
      <c r="D1565" s="25" t="s">
        <v>134</v>
      </c>
      <c r="E1565" s="25" t="s">
        <v>3450</v>
      </c>
      <c r="F1565" s="25" t="s">
        <v>3448</v>
      </c>
      <c r="G1565" s="38" t="s">
        <v>30</v>
      </c>
      <c r="H1565" s="28" t="s">
        <v>25</v>
      </c>
      <c r="I1565" s="25" t="n">
        <v>3</v>
      </c>
      <c r="J1565" s="25" t="n">
        <v>1</v>
      </c>
      <c r="K1565" s="25" t="n">
        <v>3</v>
      </c>
      <c r="L1565" s="29" t="n">
        <v>0.65</v>
      </c>
      <c r="M1565" s="30" t="n">
        <v>3.53</v>
      </c>
      <c r="N1565" s="29" t="n">
        <v>0.36</v>
      </c>
      <c r="O1565" s="25" t="n">
        <v>182</v>
      </c>
      <c r="P1565" s="30" t="n">
        <v>0.5</v>
      </c>
      <c r="Q1565" s="27" t="s">
        <v>3649</v>
      </c>
      <c r="R1565" s="27" t="s">
        <v>1230</v>
      </c>
    </row>
    <row r="1566" customFormat="false" ht="15" hidden="false" customHeight="false" outlineLevel="0" collapsed="false">
      <c r="A1566" s="25" t="n">
        <f aca="false">IF(G1566="REJECT",COUNTIF($G$2:$G$2277,"&lt;&gt;REJECT")+1+COUNTIFS($G$2:$G$2277,"REJECT",$B$2:$B$2277,"&gt;"&amp;B1566),1+COUNTIFS($G$2:$G$2277,"&lt;&gt;REJECT",$B$2:$B$2277,"&gt;"&amp;B1566))</f>
        <v>1564</v>
      </c>
      <c r="B1566" s="26" t="n">
        <f aca="false">ROUND(($U$2*MAX(0,MIN(1,($W$2-I1566)/($W$2-$V$2)))+$U$3*MAX(0,MIN(1,($W$3-J1566)/($W$3-$V$3)))+$U$4*MAX(0,MIN(1,($W$4-K1566)/($W$4-$V$4)))+$U$5*MAX(0,MIN(1,($W$5-L1566)/($W$5-$V$5)))+$U$6*MAX(0,MIN(1,($W$6-M1566)/($W$6-$V$6)))+$U$7*MAX(0,MIN(1,($W$7-N1566)/($W$7-$V$7)))+$U$8*IF(AND(O1566&gt;=$V$8,O1566&lt;=$W$8),1,0))/$U$9*100,2)</f>
        <v>61.06</v>
      </c>
      <c r="C1566" s="27" t="s">
        <v>507</v>
      </c>
      <c r="D1566" s="25" t="s">
        <v>134</v>
      </c>
      <c r="E1566" s="25" t="s">
        <v>3450</v>
      </c>
      <c r="F1566" s="25" t="s">
        <v>3457</v>
      </c>
      <c r="G1566" s="38" t="s">
        <v>30</v>
      </c>
      <c r="H1566" s="28" t="s">
        <v>25</v>
      </c>
      <c r="I1566" s="25" t="n">
        <v>3</v>
      </c>
      <c r="J1566" s="25" t="n">
        <v>1</v>
      </c>
      <c r="K1566" s="25" t="n">
        <v>3</v>
      </c>
      <c r="L1566" s="29" t="n">
        <v>0.7</v>
      </c>
      <c r="M1566" s="30" t="n">
        <v>22.34</v>
      </c>
      <c r="N1566" s="29" t="n">
        <v>0.28</v>
      </c>
      <c r="O1566" s="25" t="n">
        <v>183</v>
      </c>
      <c r="P1566" s="30" t="n">
        <v>16.11</v>
      </c>
      <c r="Q1566" s="27" t="s">
        <v>3695</v>
      </c>
      <c r="R1566" s="27" t="s">
        <v>183</v>
      </c>
    </row>
    <row r="1567" customFormat="false" ht="15" hidden="false" customHeight="false" outlineLevel="0" collapsed="false">
      <c r="A1567" s="25" t="n">
        <f aca="false">IF(G1567="REJECT",COUNTIF($G$2:$G$2277,"&lt;&gt;REJECT")+1+COUNTIFS($G$2:$G$2277,"REJECT",$B$2:$B$2277,"&gt;"&amp;B1567),1+COUNTIFS($G$2:$G$2277,"&lt;&gt;REJECT",$B$2:$B$2277,"&gt;"&amp;B1567))</f>
        <v>1566</v>
      </c>
      <c r="B1567" s="26" t="n">
        <f aca="false">ROUND(($U$2*MAX(0,MIN(1,($W$2-I1567)/($W$2-$V$2)))+$U$3*MAX(0,MIN(1,($W$3-J1567)/($W$3-$V$3)))+$U$4*MAX(0,MIN(1,($W$4-K1567)/($W$4-$V$4)))+$U$5*MAX(0,MIN(1,($W$5-L1567)/($W$5-$V$5)))+$U$6*MAX(0,MIN(1,($W$6-M1567)/($W$6-$V$6)))+$U$7*MAX(0,MIN(1,($W$7-N1567)/($W$7-$V$7)))+$U$8*IF(AND(O1567&gt;=$V$8,O1567&lt;=$W$8),1,0))/$U$9*100,2)</f>
        <v>61.03</v>
      </c>
      <c r="C1567" s="27" t="s">
        <v>2903</v>
      </c>
      <c r="D1567" s="25" t="s">
        <v>134</v>
      </c>
      <c r="E1567" s="25" t="s">
        <v>3450</v>
      </c>
      <c r="F1567" s="25" t="s">
        <v>3448</v>
      </c>
      <c r="G1567" s="38" t="s">
        <v>30</v>
      </c>
      <c r="H1567" s="28" t="s">
        <v>25</v>
      </c>
      <c r="I1567" s="25" t="n">
        <v>3</v>
      </c>
      <c r="J1567" s="25" t="n">
        <v>1</v>
      </c>
      <c r="K1567" s="25" t="n">
        <v>3</v>
      </c>
      <c r="L1567" s="29" t="n">
        <v>0.69</v>
      </c>
      <c r="M1567" s="30" t="n">
        <v>20.51</v>
      </c>
      <c r="N1567" s="29" t="n">
        <v>0.12</v>
      </c>
      <c r="O1567" s="25" t="n">
        <v>183</v>
      </c>
      <c r="P1567" s="30" t="n">
        <v>9.6</v>
      </c>
      <c r="Q1567" s="27" t="s">
        <v>3664</v>
      </c>
      <c r="R1567" s="27" t="s">
        <v>183</v>
      </c>
    </row>
    <row r="1568" customFormat="false" ht="15" hidden="false" customHeight="false" outlineLevel="0" collapsed="false">
      <c r="A1568" s="25" t="n">
        <f aca="false">IF(G1568="REJECT",COUNTIF($G$2:$G$2277,"&lt;&gt;REJECT")+1+COUNTIFS($G$2:$G$2277,"REJECT",$B$2:$B$2277,"&gt;"&amp;B1568),1+COUNTIFS($G$2:$G$2277,"&lt;&gt;REJECT",$B$2:$B$2277,"&gt;"&amp;B1568))</f>
        <v>1567</v>
      </c>
      <c r="B1568" s="26" t="n">
        <f aca="false">ROUND(($U$2*MAX(0,MIN(1,($W$2-I1568)/($W$2-$V$2)))+$U$3*MAX(0,MIN(1,($W$3-J1568)/($W$3-$V$3)))+$U$4*MAX(0,MIN(1,($W$4-K1568)/($W$4-$V$4)))+$U$5*MAX(0,MIN(1,($W$5-L1568)/($W$5-$V$5)))+$U$6*MAX(0,MIN(1,($W$6-M1568)/($W$6-$V$6)))+$U$7*MAX(0,MIN(1,($W$7-N1568)/($W$7-$V$7)))+$U$8*IF(AND(O1568&gt;=$V$8,O1568&lt;=$W$8),1,0))/$U$9*100,2)</f>
        <v>61.02</v>
      </c>
      <c r="C1568" s="27" t="s">
        <v>1521</v>
      </c>
      <c r="D1568" s="25" t="s">
        <v>134</v>
      </c>
      <c r="E1568" s="25" t="s">
        <v>3447</v>
      </c>
      <c r="F1568" s="25" t="s">
        <v>3457</v>
      </c>
      <c r="G1568" s="38" t="s">
        <v>30</v>
      </c>
      <c r="H1568" s="28" t="s">
        <v>25</v>
      </c>
      <c r="I1568" s="25" t="n">
        <v>5</v>
      </c>
      <c r="J1568" s="25" t="n">
        <v>0</v>
      </c>
      <c r="K1568" s="25" t="n">
        <v>5</v>
      </c>
      <c r="L1568" s="29" t="n">
        <v>0.76</v>
      </c>
      <c r="M1568" s="30" t="n">
        <v>30.63</v>
      </c>
      <c r="N1568" s="29" t="n">
        <v>0.2</v>
      </c>
      <c r="O1568" s="25" t="n">
        <v>185</v>
      </c>
      <c r="P1568" s="30" t="n">
        <v>1.3</v>
      </c>
      <c r="Q1568" s="27" t="s">
        <v>3732</v>
      </c>
      <c r="R1568" s="27" t="s">
        <v>3492</v>
      </c>
    </row>
    <row r="1569" customFormat="false" ht="15" hidden="false" customHeight="false" outlineLevel="0" collapsed="false">
      <c r="A1569" s="25" t="n">
        <f aca="false">IF(G1569="REJECT",COUNTIF($G$2:$G$2277,"&lt;&gt;REJECT")+1+COUNTIFS($G$2:$G$2277,"REJECT",$B$2:$B$2277,"&gt;"&amp;B1569),1+COUNTIFS($G$2:$G$2277,"&lt;&gt;REJECT",$B$2:$B$2277,"&gt;"&amp;B1569))</f>
        <v>1568</v>
      </c>
      <c r="B1569" s="26" t="n">
        <f aca="false">ROUND(($U$2*MAX(0,MIN(1,($W$2-I1569)/($W$2-$V$2)))+$U$3*MAX(0,MIN(1,($W$3-J1569)/($W$3-$V$3)))+$U$4*MAX(0,MIN(1,($W$4-K1569)/($W$4-$V$4)))+$U$5*MAX(0,MIN(1,($W$5-L1569)/($W$5-$V$5)))+$U$6*MAX(0,MIN(1,($W$6-M1569)/($W$6-$V$6)))+$U$7*MAX(0,MIN(1,($W$7-N1569)/($W$7-$V$7)))+$U$8*IF(AND(O1569&gt;=$V$8,O1569&lt;=$W$8),1,0))/$U$9*100,2)</f>
        <v>61</v>
      </c>
      <c r="C1569" s="27" t="s">
        <v>2788</v>
      </c>
      <c r="D1569" s="25" t="s">
        <v>134</v>
      </c>
      <c r="E1569" s="25" t="s">
        <v>3447</v>
      </c>
      <c r="F1569" s="25" t="s">
        <v>3457</v>
      </c>
      <c r="G1569" s="38" t="s">
        <v>30</v>
      </c>
      <c r="H1569" s="28" t="s">
        <v>25</v>
      </c>
      <c r="I1569" s="25" t="n">
        <v>3</v>
      </c>
      <c r="J1569" s="25" t="n">
        <v>1</v>
      </c>
      <c r="K1569" s="25" t="n">
        <v>3</v>
      </c>
      <c r="L1569" s="29" t="n">
        <v>0.69</v>
      </c>
      <c r="M1569" s="30" t="n">
        <v>20.7</v>
      </c>
      <c r="N1569" s="29" t="n">
        <v>0.12</v>
      </c>
      <c r="O1569" s="25" t="n">
        <v>183</v>
      </c>
      <c r="P1569" s="30" t="n">
        <v>13.05</v>
      </c>
      <c r="Q1569" s="27" t="s">
        <v>3733</v>
      </c>
      <c r="R1569" s="27" t="s">
        <v>183</v>
      </c>
    </row>
    <row r="1570" customFormat="false" ht="15" hidden="false" customHeight="false" outlineLevel="0" collapsed="false">
      <c r="A1570" s="25" t="n">
        <f aca="false">IF(G1570="REJECT",COUNTIF($G$2:$G$2277,"&lt;&gt;REJECT")+1+COUNTIFS($G$2:$G$2277,"REJECT",$B$2:$B$2277,"&gt;"&amp;B1570),1+COUNTIFS($G$2:$G$2277,"&lt;&gt;REJECT",$B$2:$B$2277,"&gt;"&amp;B1570))</f>
        <v>1569</v>
      </c>
      <c r="B1570" s="26" t="n">
        <f aca="false">ROUND(($U$2*MAX(0,MIN(1,($W$2-I1570)/($W$2-$V$2)))+$U$3*MAX(0,MIN(1,($W$3-J1570)/($W$3-$V$3)))+$U$4*MAX(0,MIN(1,($W$4-K1570)/($W$4-$V$4)))+$U$5*MAX(0,MIN(1,($W$5-L1570)/($W$5-$V$5)))+$U$6*MAX(0,MIN(1,($W$6-M1570)/($W$6-$V$6)))+$U$7*MAX(0,MIN(1,($W$7-N1570)/($W$7-$V$7)))+$U$8*IF(AND(O1570&gt;=$V$8,O1570&lt;=$W$8),1,0))/$U$9*100,2)</f>
        <v>60.97</v>
      </c>
      <c r="C1570" s="27" t="s">
        <v>1908</v>
      </c>
      <c r="D1570" s="25" t="s">
        <v>134</v>
      </c>
      <c r="E1570" s="25" t="s">
        <v>3450</v>
      </c>
      <c r="F1570" s="25" t="s">
        <v>3448</v>
      </c>
      <c r="G1570" s="38" t="s">
        <v>30</v>
      </c>
      <c r="H1570" s="28" t="s">
        <v>25</v>
      </c>
      <c r="I1570" s="25" t="n">
        <v>3</v>
      </c>
      <c r="J1570" s="25" t="n">
        <v>1</v>
      </c>
      <c r="K1570" s="25" t="n">
        <v>3</v>
      </c>
      <c r="L1570" s="29" t="n">
        <v>0.71</v>
      </c>
      <c r="M1570" s="30" t="n">
        <v>29.3</v>
      </c>
      <c r="N1570" s="29" t="n">
        <v>0</v>
      </c>
      <c r="O1570" s="25" t="n">
        <v>191</v>
      </c>
      <c r="P1570" s="30" t="n">
        <v>1.75</v>
      </c>
      <c r="Q1570" s="27" t="s">
        <v>3649</v>
      </c>
      <c r="R1570" s="27" t="s">
        <v>294</v>
      </c>
    </row>
    <row r="1571" customFormat="false" ht="15" hidden="false" customHeight="false" outlineLevel="0" collapsed="false">
      <c r="A1571" s="25" t="n">
        <f aca="false">IF(G1571="REJECT",COUNTIF($G$2:$G$2277,"&lt;&gt;REJECT")+1+COUNTIFS($G$2:$G$2277,"REJECT",$B$2:$B$2277,"&gt;"&amp;B1571),1+COUNTIFS($G$2:$G$2277,"&lt;&gt;REJECT",$B$2:$B$2277,"&gt;"&amp;B1571))</f>
        <v>1570</v>
      </c>
      <c r="B1571" s="26" t="n">
        <f aca="false">ROUND(($U$2*MAX(0,MIN(1,($W$2-I1571)/($W$2-$V$2)))+$U$3*MAX(0,MIN(1,($W$3-J1571)/($W$3-$V$3)))+$U$4*MAX(0,MIN(1,($W$4-K1571)/($W$4-$V$4)))+$U$5*MAX(0,MIN(1,($W$5-L1571)/($W$5-$V$5)))+$U$6*MAX(0,MIN(1,($W$6-M1571)/($W$6-$V$6)))+$U$7*MAX(0,MIN(1,($W$7-N1571)/($W$7-$V$7)))+$U$8*IF(AND(O1571&gt;=$V$8,O1571&lt;=$W$8),1,0))/$U$9*100,2)</f>
        <v>60.92</v>
      </c>
      <c r="C1571" s="27" t="s">
        <v>2903</v>
      </c>
      <c r="D1571" s="25" t="s">
        <v>134</v>
      </c>
      <c r="E1571" s="25" t="s">
        <v>3450</v>
      </c>
      <c r="F1571" s="25" t="s">
        <v>3457</v>
      </c>
      <c r="G1571" s="38" t="s">
        <v>30</v>
      </c>
      <c r="H1571" s="28" t="s">
        <v>25</v>
      </c>
      <c r="I1571" s="25" t="n">
        <v>3</v>
      </c>
      <c r="J1571" s="25" t="n">
        <v>1</v>
      </c>
      <c r="K1571" s="25" t="n">
        <v>3</v>
      </c>
      <c r="L1571" s="29" t="n">
        <v>0.71</v>
      </c>
      <c r="M1571" s="30" t="n">
        <v>21.98</v>
      </c>
      <c r="N1571" s="29" t="n">
        <v>0.76</v>
      </c>
      <c r="O1571" s="25" t="n">
        <v>185</v>
      </c>
      <c r="P1571" s="30" t="n">
        <v>7.54</v>
      </c>
      <c r="Q1571" s="27" t="s">
        <v>3664</v>
      </c>
      <c r="R1571" s="27" t="s">
        <v>183</v>
      </c>
    </row>
    <row r="1572" customFormat="false" ht="15" hidden="false" customHeight="false" outlineLevel="0" collapsed="false">
      <c r="A1572" s="25" t="n">
        <f aca="false">IF(G1572="REJECT",COUNTIF($G$2:$G$2277,"&lt;&gt;REJECT")+1+COUNTIFS($G$2:$G$2277,"REJECT",$B$2:$B$2277,"&gt;"&amp;B1572),1+COUNTIFS($G$2:$G$2277,"&lt;&gt;REJECT",$B$2:$B$2277,"&gt;"&amp;B1572))</f>
        <v>1571</v>
      </c>
      <c r="B1572" s="26" t="n">
        <f aca="false">ROUND(($U$2*MAX(0,MIN(1,($W$2-I1572)/($W$2-$V$2)))+$U$3*MAX(0,MIN(1,($W$3-J1572)/($W$3-$V$3)))+$U$4*MAX(0,MIN(1,($W$4-K1572)/($W$4-$V$4)))+$U$5*MAX(0,MIN(1,($W$5-L1572)/($W$5-$V$5)))+$U$6*MAX(0,MIN(1,($W$6-M1572)/($W$6-$V$6)))+$U$7*MAX(0,MIN(1,($W$7-N1572)/($W$7-$V$7)))+$U$8*IF(AND(O1572&gt;=$V$8,O1572&lt;=$W$8),1,0))/$U$9*100,2)</f>
        <v>60.91</v>
      </c>
      <c r="C1572" s="27" t="s">
        <v>2691</v>
      </c>
      <c r="D1572" s="25" t="s">
        <v>134</v>
      </c>
      <c r="E1572" s="25" t="s">
        <v>3447</v>
      </c>
      <c r="F1572" s="25" t="s">
        <v>3457</v>
      </c>
      <c r="G1572" s="38" t="s">
        <v>30</v>
      </c>
      <c r="H1572" s="33" t="s">
        <v>24</v>
      </c>
      <c r="I1572" s="25" t="n">
        <v>5</v>
      </c>
      <c r="J1572" s="25" t="n">
        <v>0</v>
      </c>
      <c r="K1572" s="25" t="n">
        <v>5</v>
      </c>
      <c r="L1572" s="29" t="n">
        <v>0.71</v>
      </c>
      <c r="M1572" s="30" t="n">
        <v>7.83</v>
      </c>
      <c r="N1572" s="29" t="n">
        <v>0.68</v>
      </c>
      <c r="O1572" s="25" t="n">
        <v>186</v>
      </c>
      <c r="P1572" s="30" t="n">
        <v>-1.44</v>
      </c>
      <c r="Q1572" s="27" t="s">
        <v>3698</v>
      </c>
      <c r="R1572" s="27" t="s">
        <v>30</v>
      </c>
    </row>
    <row r="1573" customFormat="false" ht="15" hidden="false" customHeight="false" outlineLevel="0" collapsed="false">
      <c r="A1573" s="25" t="n">
        <f aca="false">IF(G1573="REJECT",COUNTIF($G$2:$G$2277,"&lt;&gt;REJECT")+1+COUNTIFS($G$2:$G$2277,"REJECT",$B$2:$B$2277,"&gt;"&amp;B1573),1+COUNTIFS($G$2:$G$2277,"&lt;&gt;REJECT",$B$2:$B$2277,"&gt;"&amp;B1573))</f>
        <v>1572</v>
      </c>
      <c r="B1573" s="26" t="n">
        <f aca="false">ROUND(($U$2*MAX(0,MIN(1,($W$2-I1573)/($W$2-$V$2)))+$U$3*MAX(0,MIN(1,($W$3-J1573)/($W$3-$V$3)))+$U$4*MAX(0,MIN(1,($W$4-K1573)/($W$4-$V$4)))+$U$5*MAX(0,MIN(1,($W$5-L1573)/($W$5-$V$5)))+$U$6*MAX(0,MIN(1,($W$6-M1573)/($W$6-$V$6)))+$U$7*MAX(0,MIN(1,($W$7-N1573)/($W$7-$V$7)))+$U$8*IF(AND(O1573&gt;=$V$8,O1573&lt;=$W$8),1,0))/$U$9*100,2)</f>
        <v>60.86</v>
      </c>
      <c r="C1573" s="27" t="s">
        <v>341</v>
      </c>
      <c r="D1573" s="25" t="s">
        <v>134</v>
      </c>
      <c r="E1573" s="25" t="s">
        <v>3447</v>
      </c>
      <c r="F1573" s="25" t="s">
        <v>3457</v>
      </c>
      <c r="G1573" s="38" t="s">
        <v>30</v>
      </c>
      <c r="H1573" s="28" t="s">
        <v>25</v>
      </c>
      <c r="I1573" s="25" t="n">
        <v>3</v>
      </c>
      <c r="J1573" s="25" t="n">
        <v>1</v>
      </c>
      <c r="K1573" s="25" t="n">
        <v>3</v>
      </c>
      <c r="L1573" s="29" t="n">
        <v>0.68</v>
      </c>
      <c r="M1573" s="30" t="n">
        <v>16.33</v>
      </c>
      <c r="N1573" s="29" t="n">
        <v>0.28</v>
      </c>
      <c r="O1573" s="25" t="n">
        <v>183</v>
      </c>
      <c r="P1573" s="30" t="n">
        <v>-0.36</v>
      </c>
      <c r="Q1573" s="27" t="s">
        <v>3649</v>
      </c>
      <c r="R1573" s="27" t="s">
        <v>283</v>
      </c>
    </row>
    <row r="1574" customFormat="false" ht="15" hidden="false" customHeight="false" outlineLevel="0" collapsed="false">
      <c r="A1574" s="25" t="n">
        <f aca="false">IF(G1574="REJECT",COUNTIF($G$2:$G$2277,"&lt;&gt;REJECT")+1+COUNTIFS($G$2:$G$2277,"REJECT",$B$2:$B$2277,"&gt;"&amp;B1574),1+COUNTIFS($G$2:$G$2277,"&lt;&gt;REJECT",$B$2:$B$2277,"&gt;"&amp;B1574))</f>
        <v>1573</v>
      </c>
      <c r="B1574" s="26" t="n">
        <f aca="false">ROUND(($U$2*MAX(0,MIN(1,($W$2-I1574)/($W$2-$V$2)))+$U$3*MAX(0,MIN(1,($W$3-J1574)/($W$3-$V$3)))+$U$4*MAX(0,MIN(1,($W$4-K1574)/($W$4-$V$4)))+$U$5*MAX(0,MIN(1,($W$5-L1574)/($W$5-$V$5)))+$U$6*MAX(0,MIN(1,($W$6-M1574)/($W$6-$V$6)))+$U$7*MAX(0,MIN(1,($W$7-N1574)/($W$7-$V$7)))+$U$8*IF(AND(O1574&gt;=$V$8,O1574&lt;=$W$8),1,0))/$U$9*100,2)</f>
        <v>60.83</v>
      </c>
      <c r="C1574" s="27" t="s">
        <v>1737</v>
      </c>
      <c r="D1574" s="25" t="s">
        <v>134</v>
      </c>
      <c r="E1574" s="25" t="s">
        <v>3450</v>
      </c>
      <c r="F1574" s="25" t="s">
        <v>3457</v>
      </c>
      <c r="G1574" s="38" t="s">
        <v>30</v>
      </c>
      <c r="H1574" s="28" t="s">
        <v>25</v>
      </c>
      <c r="I1574" s="25" t="n">
        <v>3</v>
      </c>
      <c r="J1574" s="25" t="n">
        <v>1</v>
      </c>
      <c r="K1574" s="25" t="n">
        <v>3</v>
      </c>
      <c r="L1574" s="29" t="n">
        <v>0.7</v>
      </c>
      <c r="M1574" s="30" t="n">
        <v>26.55</v>
      </c>
      <c r="N1574" s="29" t="n">
        <v>0</v>
      </c>
      <c r="O1574" s="25" t="n">
        <v>182</v>
      </c>
      <c r="P1574" s="30" t="n">
        <v>11.55</v>
      </c>
      <c r="Q1574" s="27" t="s">
        <v>3649</v>
      </c>
      <c r="R1574" s="27" t="s">
        <v>183</v>
      </c>
    </row>
    <row r="1575" customFormat="false" ht="15" hidden="false" customHeight="false" outlineLevel="0" collapsed="false">
      <c r="A1575" s="25" t="n">
        <f aca="false">IF(G1575="REJECT",COUNTIF($G$2:$G$2277,"&lt;&gt;REJECT")+1+COUNTIFS($G$2:$G$2277,"REJECT",$B$2:$B$2277,"&gt;"&amp;B1575),1+COUNTIFS($G$2:$G$2277,"&lt;&gt;REJECT",$B$2:$B$2277,"&gt;"&amp;B1575))</f>
        <v>1574</v>
      </c>
      <c r="B1575" s="26" t="n">
        <f aca="false">ROUND(($U$2*MAX(0,MIN(1,($W$2-I1575)/($W$2-$V$2)))+$U$3*MAX(0,MIN(1,($W$3-J1575)/($W$3-$V$3)))+$U$4*MAX(0,MIN(1,($W$4-K1575)/($W$4-$V$4)))+$U$5*MAX(0,MIN(1,($W$5-L1575)/($W$5-$V$5)))+$U$6*MAX(0,MIN(1,($W$6-M1575)/($W$6-$V$6)))+$U$7*MAX(0,MIN(1,($W$7-N1575)/($W$7-$V$7)))+$U$8*IF(AND(O1575&gt;=$V$8,O1575&lt;=$W$8),1,0))/$U$9*100,2)</f>
        <v>60.75</v>
      </c>
      <c r="C1575" s="27" t="s">
        <v>2355</v>
      </c>
      <c r="D1575" s="25" t="s">
        <v>3459</v>
      </c>
      <c r="E1575" s="25" t="s">
        <v>3447</v>
      </c>
      <c r="F1575" s="25" t="s">
        <v>3448</v>
      </c>
      <c r="G1575" s="38" t="s">
        <v>30</v>
      </c>
      <c r="H1575" s="28" t="s">
        <v>25</v>
      </c>
      <c r="I1575" s="25" t="n">
        <v>4</v>
      </c>
      <c r="J1575" s="25" t="n">
        <v>1</v>
      </c>
      <c r="K1575" s="25" t="n">
        <v>4</v>
      </c>
      <c r="L1575" s="29" t="n">
        <v>0.79</v>
      </c>
      <c r="M1575" s="30" t="n">
        <v>14.32</v>
      </c>
      <c r="N1575" s="29" t="n">
        <v>0.76</v>
      </c>
      <c r="O1575" s="25" t="n">
        <v>184</v>
      </c>
      <c r="P1575" s="30" t="n">
        <v>-1.19</v>
      </c>
      <c r="Q1575" s="27" t="s">
        <v>3734</v>
      </c>
      <c r="R1575" s="27" t="s">
        <v>1099</v>
      </c>
    </row>
    <row r="1576" customFormat="false" ht="15" hidden="false" customHeight="false" outlineLevel="0" collapsed="false">
      <c r="A1576" s="25" t="n">
        <f aca="false">IF(G1576="REJECT",COUNTIF($G$2:$G$2277,"&lt;&gt;REJECT")+1+COUNTIFS($G$2:$G$2277,"REJECT",$B$2:$B$2277,"&gt;"&amp;B1576),1+COUNTIFS($G$2:$G$2277,"&lt;&gt;REJECT",$B$2:$B$2277,"&gt;"&amp;B1576))</f>
        <v>1575</v>
      </c>
      <c r="B1576" s="26" t="n">
        <f aca="false">ROUND(($U$2*MAX(0,MIN(1,($W$2-I1576)/($W$2-$V$2)))+$U$3*MAX(0,MIN(1,($W$3-J1576)/($W$3-$V$3)))+$U$4*MAX(0,MIN(1,($W$4-K1576)/($W$4-$V$4)))+$U$5*MAX(0,MIN(1,($W$5-L1576)/($W$5-$V$5)))+$U$6*MAX(0,MIN(1,($W$6-M1576)/($W$6-$V$6)))+$U$7*MAX(0,MIN(1,($W$7-N1576)/($W$7-$V$7)))+$U$8*IF(AND(O1576&gt;=$V$8,O1576&lt;=$W$8),1,0))/$U$9*100,2)</f>
        <v>60.67</v>
      </c>
      <c r="C1576" s="27" t="s">
        <v>1350</v>
      </c>
      <c r="D1576" s="25" t="s">
        <v>3459</v>
      </c>
      <c r="E1576" s="25" t="s">
        <v>3450</v>
      </c>
      <c r="F1576" s="25" t="s">
        <v>3457</v>
      </c>
      <c r="G1576" s="38" t="s">
        <v>30</v>
      </c>
      <c r="H1576" s="28" t="s">
        <v>25</v>
      </c>
      <c r="I1576" s="25" t="n">
        <v>3</v>
      </c>
      <c r="J1576" s="25" t="n">
        <v>1</v>
      </c>
      <c r="K1576" s="25" t="n">
        <v>3</v>
      </c>
      <c r="L1576" s="29" t="n">
        <v>0.72</v>
      </c>
      <c r="M1576" s="30" t="n">
        <v>27.48</v>
      </c>
      <c r="N1576" s="29" t="n">
        <v>0.72</v>
      </c>
      <c r="O1576" s="25" t="n">
        <v>183</v>
      </c>
      <c r="P1576" s="30" t="n">
        <v>6.88</v>
      </c>
      <c r="Q1576" s="27" t="s">
        <v>3649</v>
      </c>
      <c r="R1576" s="27" t="s">
        <v>163</v>
      </c>
    </row>
    <row r="1577" customFormat="false" ht="15" hidden="false" customHeight="false" outlineLevel="0" collapsed="false">
      <c r="A1577" s="25" t="n">
        <f aca="false">IF(G1577="REJECT",COUNTIF($G$2:$G$2277,"&lt;&gt;REJECT")+1+COUNTIFS($G$2:$G$2277,"REJECT",$B$2:$B$2277,"&gt;"&amp;B1577),1+COUNTIFS($G$2:$G$2277,"&lt;&gt;REJECT",$B$2:$B$2277,"&gt;"&amp;B1577))</f>
        <v>1576</v>
      </c>
      <c r="B1577" s="26" t="n">
        <f aca="false">ROUND(($U$2*MAX(0,MIN(1,($W$2-I1577)/($W$2-$V$2)))+$U$3*MAX(0,MIN(1,($W$3-J1577)/($W$3-$V$3)))+$U$4*MAX(0,MIN(1,($W$4-K1577)/($W$4-$V$4)))+$U$5*MAX(0,MIN(1,($W$5-L1577)/($W$5-$V$5)))+$U$6*MAX(0,MIN(1,($W$6-M1577)/($W$6-$V$6)))+$U$7*MAX(0,MIN(1,($W$7-N1577)/($W$7-$V$7)))+$U$8*IF(AND(O1577&gt;=$V$8,O1577&lt;=$W$8),1,0))/$U$9*100,2)</f>
        <v>60.66</v>
      </c>
      <c r="C1577" s="27" t="s">
        <v>1842</v>
      </c>
      <c r="D1577" s="25" t="s">
        <v>3459</v>
      </c>
      <c r="E1577" s="25" t="s">
        <v>3447</v>
      </c>
      <c r="F1577" s="25" t="s">
        <v>3448</v>
      </c>
      <c r="G1577" s="38" t="s">
        <v>30</v>
      </c>
      <c r="H1577" s="33" t="s">
        <v>24</v>
      </c>
      <c r="I1577" s="25" t="n">
        <v>6</v>
      </c>
      <c r="J1577" s="25" t="n">
        <v>0</v>
      </c>
      <c r="K1577" s="25" t="n">
        <v>6</v>
      </c>
      <c r="L1577" s="29" t="n">
        <v>0.8</v>
      </c>
      <c r="M1577" s="30" t="n">
        <v>11.02</v>
      </c>
      <c r="N1577" s="29" t="n">
        <v>0</v>
      </c>
      <c r="O1577" s="25" t="n">
        <v>184</v>
      </c>
      <c r="P1577" s="30" t="n">
        <v>5.99</v>
      </c>
      <c r="Q1577" s="27" t="s">
        <v>3735</v>
      </c>
      <c r="R1577" s="27" t="s">
        <v>30</v>
      </c>
    </row>
    <row r="1578" customFormat="false" ht="15" hidden="false" customHeight="false" outlineLevel="0" collapsed="false">
      <c r="A1578" s="25" t="n">
        <f aca="false">IF(G1578="REJECT",COUNTIF($G$2:$G$2277,"&lt;&gt;REJECT")+1+COUNTIFS($G$2:$G$2277,"REJECT",$B$2:$B$2277,"&gt;"&amp;B1578),1+COUNTIFS($G$2:$G$2277,"&lt;&gt;REJECT",$B$2:$B$2277,"&gt;"&amp;B1578))</f>
        <v>1576</v>
      </c>
      <c r="B1578" s="26" t="n">
        <f aca="false">ROUND(($U$2*MAX(0,MIN(1,($W$2-I1578)/($W$2-$V$2)))+$U$3*MAX(0,MIN(1,($W$3-J1578)/($W$3-$V$3)))+$U$4*MAX(0,MIN(1,($W$4-K1578)/($W$4-$V$4)))+$U$5*MAX(0,MIN(1,($W$5-L1578)/($W$5-$V$5)))+$U$6*MAX(0,MIN(1,($W$6-M1578)/($W$6-$V$6)))+$U$7*MAX(0,MIN(1,($W$7-N1578)/($W$7-$V$7)))+$U$8*IF(AND(O1578&gt;=$V$8,O1578&lt;=$W$8),1,0))/$U$9*100,2)</f>
        <v>60.66</v>
      </c>
      <c r="C1578" s="27" t="s">
        <v>2586</v>
      </c>
      <c r="D1578" s="25" t="s">
        <v>3459</v>
      </c>
      <c r="E1578" s="25" t="s">
        <v>3447</v>
      </c>
      <c r="F1578" s="25" t="s">
        <v>3457</v>
      </c>
      <c r="G1578" s="38" t="s">
        <v>30</v>
      </c>
      <c r="H1578" s="28" t="s">
        <v>25</v>
      </c>
      <c r="I1578" s="25" t="n">
        <v>5</v>
      </c>
      <c r="J1578" s="25" t="n">
        <v>0</v>
      </c>
      <c r="K1578" s="25" t="n">
        <v>5</v>
      </c>
      <c r="L1578" s="29" t="n">
        <v>0.76</v>
      </c>
      <c r="M1578" s="30" t="n">
        <v>29.76</v>
      </c>
      <c r="N1578" s="29" t="n">
        <v>0.44</v>
      </c>
      <c r="O1578" s="25" t="n">
        <v>187</v>
      </c>
      <c r="P1578" s="30" t="n">
        <v>-0.74</v>
      </c>
      <c r="Q1578" s="27" t="s">
        <v>3736</v>
      </c>
      <c r="R1578" s="27" t="s">
        <v>992</v>
      </c>
    </row>
    <row r="1579" customFormat="false" ht="15" hidden="false" customHeight="false" outlineLevel="0" collapsed="false">
      <c r="A1579" s="25" t="n">
        <f aca="false">IF(G1579="REJECT",COUNTIF($G$2:$G$2277,"&lt;&gt;REJECT")+1+COUNTIFS($G$2:$G$2277,"REJECT",$B$2:$B$2277,"&gt;"&amp;B1579),1+COUNTIFS($G$2:$G$2277,"&lt;&gt;REJECT",$B$2:$B$2277,"&gt;"&amp;B1579))</f>
        <v>1578</v>
      </c>
      <c r="B1579" s="26" t="n">
        <f aca="false">ROUND(($U$2*MAX(0,MIN(1,($W$2-I1579)/($W$2-$V$2)))+$U$3*MAX(0,MIN(1,($W$3-J1579)/($W$3-$V$3)))+$U$4*MAX(0,MIN(1,($W$4-K1579)/($W$4-$V$4)))+$U$5*MAX(0,MIN(1,($W$5-L1579)/($W$5-$V$5)))+$U$6*MAX(0,MIN(1,($W$6-M1579)/($W$6-$V$6)))+$U$7*MAX(0,MIN(1,($W$7-N1579)/($W$7-$V$7)))+$U$8*IF(AND(O1579&gt;=$V$8,O1579&lt;=$W$8),1,0))/$U$9*100,2)</f>
        <v>60.65</v>
      </c>
      <c r="C1579" s="27" t="s">
        <v>1215</v>
      </c>
      <c r="D1579" s="25" t="s">
        <v>134</v>
      </c>
      <c r="E1579" s="25" t="s">
        <v>3450</v>
      </c>
      <c r="F1579" s="25" t="s">
        <v>3448</v>
      </c>
      <c r="G1579" s="38" t="s">
        <v>30</v>
      </c>
      <c r="H1579" s="28" t="s">
        <v>25</v>
      </c>
      <c r="I1579" s="25" t="n">
        <v>4</v>
      </c>
      <c r="J1579" s="25" t="n">
        <v>1</v>
      </c>
      <c r="K1579" s="25" t="n">
        <v>4</v>
      </c>
      <c r="L1579" s="29" t="n">
        <v>0.74</v>
      </c>
      <c r="M1579" s="30" t="n">
        <v>4.5</v>
      </c>
      <c r="N1579" s="29" t="n">
        <v>0</v>
      </c>
      <c r="O1579" s="25" t="n">
        <v>207</v>
      </c>
      <c r="P1579" s="30" t="n">
        <v>18.51</v>
      </c>
      <c r="Q1579" s="27" t="s">
        <v>3737</v>
      </c>
      <c r="R1579" s="27" t="s">
        <v>283</v>
      </c>
    </row>
    <row r="1580" customFormat="false" ht="15" hidden="false" customHeight="false" outlineLevel="0" collapsed="false">
      <c r="A1580" s="25" t="n">
        <f aca="false">IF(G1580="REJECT",COUNTIF($G$2:$G$2277,"&lt;&gt;REJECT")+1+COUNTIFS($G$2:$G$2277,"REJECT",$B$2:$B$2277,"&gt;"&amp;B1580),1+COUNTIFS($G$2:$G$2277,"&lt;&gt;REJECT",$B$2:$B$2277,"&gt;"&amp;B1580))</f>
        <v>1579</v>
      </c>
      <c r="B1580" s="26" t="n">
        <f aca="false">ROUND(($U$2*MAX(0,MIN(1,($W$2-I1580)/($W$2-$V$2)))+$U$3*MAX(0,MIN(1,($W$3-J1580)/($W$3-$V$3)))+$U$4*MAX(0,MIN(1,($W$4-K1580)/($W$4-$V$4)))+$U$5*MAX(0,MIN(1,($W$5-L1580)/($W$5-$V$5)))+$U$6*MAX(0,MIN(1,($W$6-M1580)/($W$6-$V$6)))+$U$7*MAX(0,MIN(1,($W$7-N1580)/($W$7-$V$7)))+$U$8*IF(AND(O1580&gt;=$V$8,O1580&lt;=$W$8),1,0))/$U$9*100,2)</f>
        <v>60.58</v>
      </c>
      <c r="C1580" s="27" t="s">
        <v>2523</v>
      </c>
      <c r="D1580" s="25" t="s">
        <v>134</v>
      </c>
      <c r="E1580" s="25" t="s">
        <v>3450</v>
      </c>
      <c r="F1580" s="25" t="s">
        <v>3457</v>
      </c>
      <c r="G1580" s="38" t="s">
        <v>30</v>
      </c>
      <c r="H1580" s="28" t="s">
        <v>25</v>
      </c>
      <c r="I1580" s="25" t="n">
        <v>3</v>
      </c>
      <c r="J1580" s="25" t="n">
        <v>1</v>
      </c>
      <c r="K1580" s="25" t="n">
        <v>3</v>
      </c>
      <c r="L1580" s="29" t="n">
        <v>0.69</v>
      </c>
      <c r="M1580" s="30" t="n">
        <v>16.85</v>
      </c>
      <c r="N1580" s="29" t="n">
        <v>0.76</v>
      </c>
      <c r="O1580" s="25" t="n">
        <v>208</v>
      </c>
      <c r="P1580" s="30" t="n">
        <v>11.14</v>
      </c>
      <c r="Q1580" s="27" t="s">
        <v>3649</v>
      </c>
      <c r="R1580" s="27" t="s">
        <v>283</v>
      </c>
    </row>
    <row r="1581" customFormat="false" ht="15" hidden="false" customHeight="false" outlineLevel="0" collapsed="false">
      <c r="A1581" s="25" t="n">
        <f aca="false">IF(G1581="REJECT",COUNTIF($G$2:$G$2277,"&lt;&gt;REJECT")+1+COUNTIFS($G$2:$G$2277,"REJECT",$B$2:$B$2277,"&gt;"&amp;B1581),1+COUNTIFS($G$2:$G$2277,"&lt;&gt;REJECT",$B$2:$B$2277,"&gt;"&amp;B1581))</f>
        <v>1580</v>
      </c>
      <c r="B1581" s="26" t="n">
        <f aca="false">ROUND(($U$2*MAX(0,MIN(1,($W$2-I1581)/($W$2-$V$2)))+$U$3*MAX(0,MIN(1,($W$3-J1581)/($W$3-$V$3)))+$U$4*MAX(0,MIN(1,($W$4-K1581)/($W$4-$V$4)))+$U$5*MAX(0,MIN(1,($W$5-L1581)/($W$5-$V$5)))+$U$6*MAX(0,MIN(1,($W$6-M1581)/($W$6-$V$6)))+$U$7*MAX(0,MIN(1,($W$7-N1581)/($W$7-$V$7)))+$U$8*IF(AND(O1581&gt;=$V$8,O1581&lt;=$W$8),1,0))/$U$9*100,2)</f>
        <v>60.56</v>
      </c>
      <c r="C1581" s="27" t="s">
        <v>1320</v>
      </c>
      <c r="D1581" s="25" t="s">
        <v>3459</v>
      </c>
      <c r="E1581" s="25" t="s">
        <v>3447</v>
      </c>
      <c r="F1581" s="25" t="s">
        <v>3457</v>
      </c>
      <c r="G1581" s="38" t="s">
        <v>30</v>
      </c>
      <c r="H1581" s="33" t="s">
        <v>24</v>
      </c>
      <c r="I1581" s="25" t="n">
        <v>5</v>
      </c>
      <c r="J1581" s="25" t="n">
        <v>0</v>
      </c>
      <c r="K1581" s="25" t="n">
        <v>5</v>
      </c>
      <c r="L1581" s="29" t="n">
        <v>0.72</v>
      </c>
      <c r="M1581" s="30" t="n">
        <v>17.16</v>
      </c>
      <c r="N1581" s="29" t="n">
        <v>0.32</v>
      </c>
      <c r="O1581" s="25" t="n">
        <v>227</v>
      </c>
      <c r="P1581" s="30" t="n">
        <v>2.26</v>
      </c>
      <c r="Q1581" s="27" t="s">
        <v>3738</v>
      </c>
      <c r="R1581" s="27" t="s">
        <v>30</v>
      </c>
    </row>
    <row r="1582" customFormat="false" ht="15" hidden="false" customHeight="false" outlineLevel="0" collapsed="false">
      <c r="A1582" s="25" t="n">
        <f aca="false">IF(G1582="REJECT",COUNTIF($G$2:$G$2277,"&lt;&gt;REJECT")+1+COUNTIFS($G$2:$G$2277,"REJECT",$B$2:$B$2277,"&gt;"&amp;B1582),1+COUNTIFS($G$2:$G$2277,"&lt;&gt;REJECT",$B$2:$B$2277,"&gt;"&amp;B1582))</f>
        <v>1580</v>
      </c>
      <c r="B1582" s="26" t="n">
        <f aca="false">ROUND(($U$2*MAX(0,MIN(1,($W$2-I1582)/($W$2-$V$2)))+$U$3*MAX(0,MIN(1,($W$3-J1582)/($W$3-$V$3)))+$U$4*MAX(0,MIN(1,($W$4-K1582)/($W$4-$V$4)))+$U$5*MAX(0,MIN(1,($W$5-L1582)/($W$5-$V$5)))+$U$6*MAX(0,MIN(1,($W$6-M1582)/($W$6-$V$6)))+$U$7*MAX(0,MIN(1,($W$7-N1582)/($W$7-$V$7)))+$U$8*IF(AND(O1582&gt;=$V$8,O1582&lt;=$W$8),1,0))/$U$9*100,2)</f>
        <v>60.56</v>
      </c>
      <c r="C1582" s="27" t="s">
        <v>3299</v>
      </c>
      <c r="D1582" s="25" t="s">
        <v>134</v>
      </c>
      <c r="E1582" s="25" t="s">
        <v>3447</v>
      </c>
      <c r="F1582" s="25" t="s">
        <v>3457</v>
      </c>
      <c r="G1582" s="38" t="s">
        <v>30</v>
      </c>
      <c r="H1582" s="28" t="s">
        <v>25</v>
      </c>
      <c r="I1582" s="25" t="n">
        <v>6</v>
      </c>
      <c r="J1582" s="25" t="n">
        <v>0</v>
      </c>
      <c r="K1582" s="25" t="n">
        <v>6</v>
      </c>
      <c r="L1582" s="29" t="n">
        <v>0.84</v>
      </c>
      <c r="M1582" s="30" t="n">
        <v>10.44</v>
      </c>
      <c r="N1582" s="29" t="n">
        <v>0.12</v>
      </c>
      <c r="O1582" s="25" t="n">
        <v>184</v>
      </c>
      <c r="P1582" s="30" t="n">
        <v>-2.31</v>
      </c>
      <c r="Q1582" s="27" t="s">
        <v>3739</v>
      </c>
      <c r="R1582" s="27" t="s">
        <v>2133</v>
      </c>
    </row>
    <row r="1583" customFormat="false" ht="15" hidden="false" customHeight="false" outlineLevel="0" collapsed="false">
      <c r="A1583" s="25" t="n">
        <f aca="false">IF(G1583="REJECT",COUNTIF($G$2:$G$2277,"&lt;&gt;REJECT")+1+COUNTIFS($G$2:$G$2277,"REJECT",$B$2:$B$2277,"&gt;"&amp;B1583),1+COUNTIFS($G$2:$G$2277,"&lt;&gt;REJECT",$B$2:$B$2277,"&gt;"&amp;B1583))</f>
        <v>1582</v>
      </c>
      <c r="B1583" s="26" t="n">
        <f aca="false">ROUND(($U$2*MAX(0,MIN(1,($W$2-I1583)/($W$2-$V$2)))+$U$3*MAX(0,MIN(1,($W$3-J1583)/($W$3-$V$3)))+$U$4*MAX(0,MIN(1,($W$4-K1583)/($W$4-$V$4)))+$U$5*MAX(0,MIN(1,($W$5-L1583)/($W$5-$V$5)))+$U$6*MAX(0,MIN(1,($W$6-M1583)/($W$6-$V$6)))+$U$7*MAX(0,MIN(1,($W$7-N1583)/($W$7-$V$7)))+$U$8*IF(AND(O1583&gt;=$V$8,O1583&lt;=$W$8),1,0))/$U$9*100,2)</f>
        <v>60.53</v>
      </c>
      <c r="C1583" s="27" t="s">
        <v>179</v>
      </c>
      <c r="D1583" s="25" t="s">
        <v>134</v>
      </c>
      <c r="E1583" s="25" t="s">
        <v>3447</v>
      </c>
      <c r="F1583" s="25" t="s">
        <v>3457</v>
      </c>
      <c r="G1583" s="38" t="s">
        <v>30</v>
      </c>
      <c r="H1583" s="28" t="s">
        <v>25</v>
      </c>
      <c r="I1583" s="25" t="n">
        <v>5</v>
      </c>
      <c r="J1583" s="25" t="n">
        <v>0</v>
      </c>
      <c r="K1583" s="25" t="n">
        <v>5</v>
      </c>
      <c r="L1583" s="29" t="n">
        <v>0.74</v>
      </c>
      <c r="M1583" s="30" t="n">
        <v>22.92</v>
      </c>
      <c r="N1583" s="29" t="n">
        <v>0.48</v>
      </c>
      <c r="O1583" s="25" t="n">
        <v>184</v>
      </c>
      <c r="P1583" s="30" t="n">
        <v>14.32</v>
      </c>
      <c r="Q1583" s="27" t="s">
        <v>3740</v>
      </c>
      <c r="R1583" s="27" t="s">
        <v>992</v>
      </c>
    </row>
    <row r="1584" customFormat="false" ht="15" hidden="false" customHeight="false" outlineLevel="0" collapsed="false">
      <c r="A1584" s="25" t="n">
        <f aca="false">IF(G1584="REJECT",COUNTIF($G$2:$G$2277,"&lt;&gt;REJECT")+1+COUNTIFS($G$2:$G$2277,"REJECT",$B$2:$B$2277,"&gt;"&amp;B1584),1+COUNTIFS($G$2:$G$2277,"&lt;&gt;REJECT",$B$2:$B$2277,"&gt;"&amp;B1584))</f>
        <v>1583</v>
      </c>
      <c r="B1584" s="26" t="n">
        <f aca="false">ROUND(($U$2*MAX(0,MIN(1,($W$2-I1584)/($W$2-$V$2)))+$U$3*MAX(0,MIN(1,($W$3-J1584)/($W$3-$V$3)))+$U$4*MAX(0,MIN(1,($W$4-K1584)/($W$4-$V$4)))+$U$5*MAX(0,MIN(1,($W$5-L1584)/($W$5-$V$5)))+$U$6*MAX(0,MIN(1,($W$6-M1584)/($W$6-$V$6)))+$U$7*MAX(0,MIN(1,($W$7-N1584)/($W$7-$V$7)))+$U$8*IF(AND(O1584&gt;=$V$8,O1584&lt;=$W$8),1,0))/$U$9*100,2)</f>
        <v>60.47</v>
      </c>
      <c r="C1584" s="27" t="s">
        <v>2965</v>
      </c>
      <c r="D1584" s="25" t="s">
        <v>134</v>
      </c>
      <c r="E1584" s="25" t="s">
        <v>3447</v>
      </c>
      <c r="F1584" s="25" t="s">
        <v>3457</v>
      </c>
      <c r="G1584" s="38" t="s">
        <v>30</v>
      </c>
      <c r="H1584" s="33" t="s">
        <v>24</v>
      </c>
      <c r="I1584" s="25" t="n">
        <v>6</v>
      </c>
      <c r="J1584" s="25" t="n">
        <v>0</v>
      </c>
      <c r="K1584" s="25" t="n">
        <v>6</v>
      </c>
      <c r="L1584" s="29" t="n">
        <v>0.81</v>
      </c>
      <c r="M1584" s="30" t="n">
        <v>10.96</v>
      </c>
      <c r="N1584" s="29" t="n">
        <v>0.12</v>
      </c>
      <c r="O1584" s="25" t="n">
        <v>183</v>
      </c>
      <c r="P1584" s="30" t="n">
        <v>1.54</v>
      </c>
      <c r="Q1584" s="27" t="s">
        <v>3741</v>
      </c>
      <c r="R1584" s="27" t="s">
        <v>30</v>
      </c>
    </row>
    <row r="1585" customFormat="false" ht="15" hidden="false" customHeight="false" outlineLevel="0" collapsed="false">
      <c r="A1585" s="25" t="n">
        <f aca="false">IF(G1585="REJECT",COUNTIF($G$2:$G$2277,"&lt;&gt;REJECT")+1+COUNTIFS($G$2:$G$2277,"REJECT",$B$2:$B$2277,"&gt;"&amp;B1585),1+COUNTIFS($G$2:$G$2277,"&lt;&gt;REJECT",$B$2:$B$2277,"&gt;"&amp;B1585))</f>
        <v>1584</v>
      </c>
      <c r="B1585" s="26" t="n">
        <f aca="false">ROUND(($U$2*MAX(0,MIN(1,($W$2-I1585)/($W$2-$V$2)))+$U$3*MAX(0,MIN(1,($W$3-J1585)/($W$3-$V$3)))+$U$4*MAX(0,MIN(1,($W$4-K1585)/($W$4-$V$4)))+$U$5*MAX(0,MIN(1,($W$5-L1585)/($W$5-$V$5)))+$U$6*MAX(0,MIN(1,($W$6-M1585)/($W$6-$V$6)))+$U$7*MAX(0,MIN(1,($W$7-N1585)/($W$7-$V$7)))+$U$8*IF(AND(O1585&gt;=$V$8,O1585&lt;=$W$8),1,0))/$U$9*100,2)</f>
        <v>60.43</v>
      </c>
      <c r="C1585" s="27" t="s">
        <v>3007</v>
      </c>
      <c r="D1585" s="25" t="s">
        <v>134</v>
      </c>
      <c r="E1585" s="25" t="s">
        <v>3447</v>
      </c>
      <c r="F1585" s="25" t="s">
        <v>3457</v>
      </c>
      <c r="G1585" s="38" t="s">
        <v>30</v>
      </c>
      <c r="H1585" s="33" t="s">
        <v>24</v>
      </c>
      <c r="I1585" s="25" t="n">
        <v>6</v>
      </c>
      <c r="J1585" s="25" t="n">
        <v>0</v>
      </c>
      <c r="K1585" s="25" t="n">
        <v>6</v>
      </c>
      <c r="L1585" s="29" t="n">
        <v>0.82</v>
      </c>
      <c r="M1585" s="30" t="n">
        <v>6.43</v>
      </c>
      <c r="N1585" s="29" t="n">
        <v>0.6</v>
      </c>
      <c r="O1585" s="25" t="n">
        <v>183</v>
      </c>
      <c r="P1585" s="30" t="n">
        <v>-1.38</v>
      </c>
      <c r="Q1585" s="27" t="s">
        <v>3742</v>
      </c>
      <c r="R1585" s="27" t="s">
        <v>30</v>
      </c>
    </row>
    <row r="1586" customFormat="false" ht="15" hidden="false" customHeight="false" outlineLevel="0" collapsed="false">
      <c r="A1586" s="25" t="n">
        <f aca="false">IF(G1586="REJECT",COUNTIF($G$2:$G$2277,"&lt;&gt;REJECT")+1+COUNTIFS($G$2:$G$2277,"REJECT",$B$2:$B$2277,"&gt;"&amp;B1586),1+COUNTIFS($G$2:$G$2277,"&lt;&gt;REJECT",$B$2:$B$2277,"&gt;"&amp;B1586))</f>
        <v>1585</v>
      </c>
      <c r="B1586" s="26" t="n">
        <f aca="false">ROUND(($U$2*MAX(0,MIN(1,($W$2-I1586)/($W$2-$V$2)))+$U$3*MAX(0,MIN(1,($W$3-J1586)/($W$3-$V$3)))+$U$4*MAX(0,MIN(1,($W$4-K1586)/($W$4-$V$4)))+$U$5*MAX(0,MIN(1,($W$5-L1586)/($W$5-$V$5)))+$U$6*MAX(0,MIN(1,($W$6-M1586)/($W$6-$V$6)))+$U$7*MAX(0,MIN(1,($W$7-N1586)/($W$7-$V$7)))+$U$8*IF(AND(O1586&gt;=$V$8,O1586&lt;=$W$8),1,0))/$U$9*100,2)</f>
        <v>60.41</v>
      </c>
      <c r="C1586" s="27" t="s">
        <v>2186</v>
      </c>
      <c r="D1586" s="25" t="s">
        <v>134</v>
      </c>
      <c r="E1586" s="25" t="s">
        <v>3447</v>
      </c>
      <c r="F1586" s="25" t="s">
        <v>3448</v>
      </c>
      <c r="G1586" s="38" t="s">
        <v>30</v>
      </c>
      <c r="H1586" s="28" t="s">
        <v>25</v>
      </c>
      <c r="I1586" s="25" t="n">
        <v>4</v>
      </c>
      <c r="J1586" s="25" t="n">
        <v>1</v>
      </c>
      <c r="K1586" s="25" t="n">
        <v>4</v>
      </c>
      <c r="L1586" s="29" t="n">
        <v>0.78</v>
      </c>
      <c r="M1586" s="30" t="n">
        <v>16.72</v>
      </c>
      <c r="N1586" s="29" t="n">
        <v>0.36</v>
      </c>
      <c r="O1586" s="25" t="n">
        <v>184</v>
      </c>
      <c r="P1586" s="30" t="n">
        <v>9.01</v>
      </c>
      <c r="Q1586" s="27" t="s">
        <v>3743</v>
      </c>
      <c r="R1586" s="27" t="s">
        <v>283</v>
      </c>
    </row>
    <row r="1587" customFormat="false" ht="15" hidden="false" customHeight="false" outlineLevel="0" collapsed="false">
      <c r="A1587" s="25" t="n">
        <f aca="false">IF(G1587="REJECT",COUNTIF($G$2:$G$2277,"&lt;&gt;REJECT")+1+COUNTIFS($G$2:$G$2277,"REJECT",$B$2:$B$2277,"&gt;"&amp;B1587),1+COUNTIFS($G$2:$G$2277,"&lt;&gt;REJECT",$B$2:$B$2277,"&gt;"&amp;B1587))</f>
        <v>1586</v>
      </c>
      <c r="B1587" s="26" t="n">
        <f aca="false">ROUND(($U$2*MAX(0,MIN(1,($W$2-I1587)/($W$2-$V$2)))+$U$3*MAX(0,MIN(1,($W$3-J1587)/($W$3-$V$3)))+$U$4*MAX(0,MIN(1,($W$4-K1587)/($W$4-$V$4)))+$U$5*MAX(0,MIN(1,($W$5-L1587)/($W$5-$V$5)))+$U$6*MAX(0,MIN(1,($W$6-M1587)/($W$6-$V$6)))+$U$7*MAX(0,MIN(1,($W$7-N1587)/($W$7-$V$7)))+$U$8*IF(AND(O1587&gt;=$V$8,O1587&lt;=$W$8),1,0))/$U$9*100,2)</f>
        <v>60.4</v>
      </c>
      <c r="C1587" s="27" t="s">
        <v>1390</v>
      </c>
      <c r="D1587" s="25" t="s">
        <v>3459</v>
      </c>
      <c r="E1587" s="25" t="s">
        <v>3450</v>
      </c>
      <c r="F1587" s="25" t="s">
        <v>3448</v>
      </c>
      <c r="G1587" s="38" t="s">
        <v>30</v>
      </c>
      <c r="H1587" s="28" t="s">
        <v>25</v>
      </c>
      <c r="I1587" s="25" t="n">
        <v>3</v>
      </c>
      <c r="J1587" s="25" t="n">
        <v>1</v>
      </c>
      <c r="K1587" s="25" t="n">
        <v>3</v>
      </c>
      <c r="L1587" s="29" t="n">
        <v>0.7</v>
      </c>
      <c r="M1587" s="30" t="n">
        <v>27.51</v>
      </c>
      <c r="N1587" s="29" t="n">
        <v>0.16</v>
      </c>
      <c r="O1587" s="25" t="n">
        <v>184</v>
      </c>
      <c r="P1587" s="30" t="n">
        <v>14.29</v>
      </c>
      <c r="Q1587" s="27" t="s">
        <v>3649</v>
      </c>
      <c r="R1587" s="27" t="s">
        <v>183</v>
      </c>
    </row>
    <row r="1588" customFormat="false" ht="15" hidden="false" customHeight="false" outlineLevel="0" collapsed="false">
      <c r="A1588" s="25" t="n">
        <f aca="false">IF(G1588="REJECT",COUNTIF($G$2:$G$2277,"&lt;&gt;REJECT")+1+COUNTIFS($G$2:$G$2277,"REJECT",$B$2:$B$2277,"&gt;"&amp;B1588),1+COUNTIFS($G$2:$G$2277,"&lt;&gt;REJECT",$B$2:$B$2277,"&gt;"&amp;B1588))</f>
        <v>1587</v>
      </c>
      <c r="B1588" s="26" t="n">
        <f aca="false">ROUND(($U$2*MAX(0,MIN(1,($W$2-I1588)/($W$2-$V$2)))+$U$3*MAX(0,MIN(1,($W$3-J1588)/($W$3-$V$3)))+$U$4*MAX(0,MIN(1,($W$4-K1588)/($W$4-$V$4)))+$U$5*MAX(0,MIN(1,($W$5-L1588)/($W$5-$V$5)))+$U$6*MAX(0,MIN(1,($W$6-M1588)/($W$6-$V$6)))+$U$7*MAX(0,MIN(1,($W$7-N1588)/($W$7-$V$7)))+$U$8*IF(AND(O1588&gt;=$V$8,O1588&lt;=$W$8),1,0))/$U$9*100,2)</f>
        <v>60.38</v>
      </c>
      <c r="C1588" s="27" t="s">
        <v>1639</v>
      </c>
      <c r="D1588" s="25" t="s">
        <v>3459</v>
      </c>
      <c r="E1588" s="25" t="s">
        <v>3447</v>
      </c>
      <c r="F1588" s="25" t="s">
        <v>3448</v>
      </c>
      <c r="G1588" s="38" t="s">
        <v>30</v>
      </c>
      <c r="H1588" s="28" t="s">
        <v>25</v>
      </c>
      <c r="I1588" s="25" t="n">
        <v>3</v>
      </c>
      <c r="J1588" s="25" t="n">
        <v>1</v>
      </c>
      <c r="K1588" s="25" t="n">
        <v>3</v>
      </c>
      <c r="L1588" s="29" t="n">
        <v>0.69</v>
      </c>
      <c r="M1588" s="30" t="n">
        <v>18.04</v>
      </c>
      <c r="N1588" s="29" t="n">
        <v>0.76</v>
      </c>
      <c r="O1588" s="25" t="n">
        <v>183</v>
      </c>
      <c r="P1588" s="30" t="n">
        <v>5.77</v>
      </c>
      <c r="Q1588" s="27" t="s">
        <v>3649</v>
      </c>
      <c r="R1588" s="27" t="s">
        <v>283</v>
      </c>
    </row>
    <row r="1589" customFormat="false" ht="15" hidden="false" customHeight="false" outlineLevel="0" collapsed="false">
      <c r="A1589" s="25" t="n">
        <f aca="false">IF(G1589="REJECT",COUNTIF($G$2:$G$2277,"&lt;&gt;REJECT")+1+COUNTIFS($G$2:$G$2277,"REJECT",$B$2:$B$2277,"&gt;"&amp;B1589),1+COUNTIFS($G$2:$G$2277,"&lt;&gt;REJECT",$B$2:$B$2277,"&gt;"&amp;B1589))</f>
        <v>1588</v>
      </c>
      <c r="B1589" s="26" t="n">
        <f aca="false">ROUND(($U$2*MAX(0,MIN(1,($W$2-I1589)/($W$2-$V$2)))+$U$3*MAX(0,MIN(1,($W$3-J1589)/($W$3-$V$3)))+$U$4*MAX(0,MIN(1,($W$4-K1589)/($W$4-$V$4)))+$U$5*MAX(0,MIN(1,($W$5-L1589)/($W$5-$V$5)))+$U$6*MAX(0,MIN(1,($W$6-M1589)/($W$6-$V$6)))+$U$7*MAX(0,MIN(1,($W$7-N1589)/($W$7-$V$7)))+$U$8*IF(AND(O1589&gt;=$V$8,O1589&lt;=$W$8),1,0))/$U$9*100,2)</f>
        <v>60.36</v>
      </c>
      <c r="C1589" s="27" t="s">
        <v>1750</v>
      </c>
      <c r="D1589" s="25" t="s">
        <v>134</v>
      </c>
      <c r="E1589" s="25" t="s">
        <v>3447</v>
      </c>
      <c r="F1589" s="25" t="s">
        <v>3457</v>
      </c>
      <c r="G1589" s="38" t="s">
        <v>30</v>
      </c>
      <c r="H1589" s="33" t="s">
        <v>24</v>
      </c>
      <c r="I1589" s="25" t="n">
        <v>5</v>
      </c>
      <c r="J1589" s="25" t="n">
        <v>0</v>
      </c>
      <c r="K1589" s="25" t="n">
        <v>5</v>
      </c>
      <c r="L1589" s="29" t="n">
        <v>0.7</v>
      </c>
      <c r="M1589" s="30" t="n">
        <v>12.76</v>
      </c>
      <c r="N1589" s="29" t="n">
        <v>0.16</v>
      </c>
      <c r="O1589" s="25" t="n">
        <v>183</v>
      </c>
      <c r="P1589" s="30" t="n">
        <v>5.01</v>
      </c>
      <c r="Q1589" s="27" t="s">
        <v>3744</v>
      </c>
      <c r="R1589" s="27" t="s">
        <v>30</v>
      </c>
    </row>
    <row r="1590" customFormat="false" ht="15" hidden="false" customHeight="false" outlineLevel="0" collapsed="false">
      <c r="A1590" s="25" t="n">
        <f aca="false">IF(G1590="REJECT",COUNTIF($G$2:$G$2277,"&lt;&gt;REJECT")+1+COUNTIFS($G$2:$G$2277,"REJECT",$B$2:$B$2277,"&gt;"&amp;B1590),1+COUNTIFS($G$2:$G$2277,"&lt;&gt;REJECT",$B$2:$B$2277,"&gt;"&amp;B1590))</f>
        <v>1589</v>
      </c>
      <c r="B1590" s="26" t="n">
        <f aca="false">ROUND(($U$2*MAX(0,MIN(1,($W$2-I1590)/($W$2-$V$2)))+$U$3*MAX(0,MIN(1,($W$3-J1590)/($W$3-$V$3)))+$U$4*MAX(0,MIN(1,($W$4-K1590)/($W$4-$V$4)))+$U$5*MAX(0,MIN(1,($W$5-L1590)/($W$5-$V$5)))+$U$6*MAX(0,MIN(1,($W$6-M1590)/($W$6-$V$6)))+$U$7*MAX(0,MIN(1,($W$7-N1590)/($W$7-$V$7)))+$U$8*IF(AND(O1590&gt;=$V$8,O1590&lt;=$W$8),1,0))/$U$9*100,2)</f>
        <v>60.32</v>
      </c>
      <c r="C1590" s="27" t="s">
        <v>1996</v>
      </c>
      <c r="D1590" s="25" t="s">
        <v>3459</v>
      </c>
      <c r="E1590" s="25" t="s">
        <v>3447</v>
      </c>
      <c r="F1590" s="25" t="s">
        <v>3448</v>
      </c>
      <c r="G1590" s="38" t="s">
        <v>30</v>
      </c>
      <c r="H1590" s="28" t="s">
        <v>25</v>
      </c>
      <c r="I1590" s="25" t="n">
        <v>5</v>
      </c>
      <c r="J1590" s="25" t="n">
        <v>0</v>
      </c>
      <c r="K1590" s="25" t="n">
        <v>5</v>
      </c>
      <c r="L1590" s="29" t="n">
        <v>0.72</v>
      </c>
      <c r="M1590" s="30" t="n">
        <v>18.16</v>
      </c>
      <c r="N1590" s="29" t="n">
        <v>0.36</v>
      </c>
      <c r="O1590" s="25" t="n">
        <v>182</v>
      </c>
      <c r="P1590" s="30" t="n">
        <v>0.34</v>
      </c>
      <c r="Q1590" s="27" t="s">
        <v>3745</v>
      </c>
      <c r="R1590" s="27" t="s">
        <v>2610</v>
      </c>
    </row>
    <row r="1591" customFormat="false" ht="15" hidden="false" customHeight="false" outlineLevel="0" collapsed="false">
      <c r="A1591" s="25" t="n">
        <f aca="false">IF(G1591="REJECT",COUNTIF($G$2:$G$2277,"&lt;&gt;REJECT")+1+COUNTIFS($G$2:$G$2277,"REJECT",$B$2:$B$2277,"&gt;"&amp;B1591),1+COUNTIFS($G$2:$G$2277,"&lt;&gt;REJECT",$B$2:$B$2277,"&gt;"&amp;B1591))</f>
        <v>1589</v>
      </c>
      <c r="B1591" s="26" t="n">
        <f aca="false">ROUND(($U$2*MAX(0,MIN(1,($W$2-I1591)/($W$2-$V$2)))+$U$3*MAX(0,MIN(1,($W$3-J1591)/($W$3-$V$3)))+$U$4*MAX(0,MIN(1,($W$4-K1591)/($W$4-$V$4)))+$U$5*MAX(0,MIN(1,($W$5-L1591)/($W$5-$V$5)))+$U$6*MAX(0,MIN(1,($W$6-M1591)/($W$6-$V$6)))+$U$7*MAX(0,MIN(1,($W$7-N1591)/($W$7-$V$7)))+$U$8*IF(AND(O1591&gt;=$V$8,O1591&lt;=$W$8),1,0))/$U$9*100,2)</f>
        <v>60.32</v>
      </c>
      <c r="C1591" s="27" t="s">
        <v>3034</v>
      </c>
      <c r="D1591" s="25" t="s">
        <v>3459</v>
      </c>
      <c r="E1591" s="25" t="s">
        <v>3447</v>
      </c>
      <c r="F1591" s="25" t="s">
        <v>3457</v>
      </c>
      <c r="G1591" s="38" t="s">
        <v>30</v>
      </c>
      <c r="H1591" s="28" t="s">
        <v>25</v>
      </c>
      <c r="I1591" s="25" t="n">
        <v>4</v>
      </c>
      <c r="J1591" s="25" t="n">
        <v>1</v>
      </c>
      <c r="K1591" s="25" t="n">
        <v>4</v>
      </c>
      <c r="L1591" s="29" t="n">
        <v>0.78</v>
      </c>
      <c r="M1591" s="30" t="n">
        <v>11.66</v>
      </c>
      <c r="N1591" s="29" t="n">
        <v>0.92</v>
      </c>
      <c r="O1591" s="25" t="n">
        <v>194</v>
      </c>
      <c r="P1591" s="30" t="n">
        <v>0.88</v>
      </c>
      <c r="Q1591" s="27" t="s">
        <v>3743</v>
      </c>
      <c r="R1591" s="27" t="s">
        <v>283</v>
      </c>
    </row>
    <row r="1592" customFormat="false" ht="15" hidden="false" customHeight="false" outlineLevel="0" collapsed="false">
      <c r="A1592" s="25" t="n">
        <f aca="false">IF(G1592="REJECT",COUNTIF($G$2:$G$2277,"&lt;&gt;REJECT")+1+COUNTIFS($G$2:$G$2277,"REJECT",$B$2:$B$2277,"&gt;"&amp;B1592),1+COUNTIFS($G$2:$G$2277,"&lt;&gt;REJECT",$B$2:$B$2277,"&gt;"&amp;B1592))</f>
        <v>1591</v>
      </c>
      <c r="B1592" s="26" t="n">
        <f aca="false">ROUND(($U$2*MAX(0,MIN(1,($W$2-I1592)/($W$2-$V$2)))+$U$3*MAX(0,MIN(1,($W$3-J1592)/($W$3-$V$3)))+$U$4*MAX(0,MIN(1,($W$4-K1592)/($W$4-$V$4)))+$U$5*MAX(0,MIN(1,($W$5-L1592)/($W$5-$V$5)))+$U$6*MAX(0,MIN(1,($W$6-M1592)/($W$6-$V$6)))+$U$7*MAX(0,MIN(1,($W$7-N1592)/($W$7-$V$7)))+$U$8*IF(AND(O1592&gt;=$V$8,O1592&lt;=$W$8),1,0))/$U$9*100,2)</f>
        <v>60.26</v>
      </c>
      <c r="C1592" s="27" t="s">
        <v>1968</v>
      </c>
      <c r="D1592" s="25" t="s">
        <v>134</v>
      </c>
      <c r="E1592" s="25" t="s">
        <v>3450</v>
      </c>
      <c r="F1592" s="25" t="s">
        <v>3457</v>
      </c>
      <c r="G1592" s="38" t="s">
        <v>30</v>
      </c>
      <c r="H1592" s="28" t="s">
        <v>25</v>
      </c>
      <c r="I1592" s="25" t="n">
        <v>2</v>
      </c>
      <c r="J1592" s="25" t="n">
        <v>1</v>
      </c>
      <c r="K1592" s="25" t="n">
        <v>2</v>
      </c>
      <c r="L1592" s="29" t="n">
        <v>0.57</v>
      </c>
      <c r="M1592" s="30" t="n">
        <v>17.44</v>
      </c>
      <c r="N1592" s="29" t="n">
        <v>0.32</v>
      </c>
      <c r="O1592" s="25" t="n">
        <v>184</v>
      </c>
      <c r="P1592" s="30" t="n">
        <v>9.76</v>
      </c>
      <c r="Q1592" s="27" t="s">
        <v>3639</v>
      </c>
      <c r="R1592" s="27" t="s">
        <v>283</v>
      </c>
    </row>
    <row r="1593" customFormat="false" ht="15" hidden="false" customHeight="false" outlineLevel="0" collapsed="false">
      <c r="A1593" s="25" t="n">
        <f aca="false">IF(G1593="REJECT",COUNTIF($G$2:$G$2277,"&lt;&gt;REJECT")+1+COUNTIFS($G$2:$G$2277,"REJECT",$B$2:$B$2277,"&gt;"&amp;B1593),1+COUNTIFS($G$2:$G$2277,"&lt;&gt;REJECT",$B$2:$B$2277,"&gt;"&amp;B1593))</f>
        <v>1591</v>
      </c>
      <c r="B1593" s="26" t="n">
        <f aca="false">ROUND(($U$2*MAX(0,MIN(1,($W$2-I1593)/($W$2-$V$2)))+$U$3*MAX(0,MIN(1,($W$3-J1593)/($W$3-$V$3)))+$U$4*MAX(0,MIN(1,($W$4-K1593)/($W$4-$V$4)))+$U$5*MAX(0,MIN(1,($W$5-L1593)/($W$5-$V$5)))+$U$6*MAX(0,MIN(1,($W$6-M1593)/($W$6-$V$6)))+$U$7*MAX(0,MIN(1,($W$7-N1593)/($W$7-$V$7)))+$U$8*IF(AND(O1593&gt;=$V$8,O1593&lt;=$W$8),1,0))/$U$9*100,2)</f>
        <v>60.26</v>
      </c>
      <c r="C1593" s="27" t="s">
        <v>2773</v>
      </c>
      <c r="D1593" s="25" t="s">
        <v>3459</v>
      </c>
      <c r="E1593" s="25" t="s">
        <v>3450</v>
      </c>
      <c r="F1593" s="25" t="s">
        <v>3448</v>
      </c>
      <c r="G1593" s="38" t="s">
        <v>30</v>
      </c>
      <c r="H1593" s="28" t="s">
        <v>25</v>
      </c>
      <c r="I1593" s="25" t="n">
        <v>3</v>
      </c>
      <c r="J1593" s="25" t="n">
        <v>1</v>
      </c>
      <c r="K1593" s="25" t="n">
        <v>3</v>
      </c>
      <c r="L1593" s="29" t="n">
        <v>0.71</v>
      </c>
      <c r="M1593" s="30" t="n">
        <v>25.17</v>
      </c>
      <c r="N1593" s="29" t="n">
        <v>0.84</v>
      </c>
      <c r="O1593" s="25" t="n">
        <v>195</v>
      </c>
      <c r="P1593" s="30" t="n">
        <v>0.17</v>
      </c>
      <c r="Q1593" s="27" t="s">
        <v>3664</v>
      </c>
      <c r="R1593" s="27" t="s">
        <v>1809</v>
      </c>
    </row>
    <row r="1594" customFormat="false" ht="15" hidden="false" customHeight="false" outlineLevel="0" collapsed="false">
      <c r="A1594" s="25" t="n">
        <f aca="false">IF(G1594="REJECT",COUNTIF($G$2:$G$2277,"&lt;&gt;REJECT")+1+COUNTIFS($G$2:$G$2277,"REJECT",$B$2:$B$2277,"&gt;"&amp;B1594),1+COUNTIFS($G$2:$G$2277,"&lt;&gt;REJECT",$B$2:$B$2277,"&gt;"&amp;B1594))</f>
        <v>1593</v>
      </c>
      <c r="B1594" s="26" t="n">
        <f aca="false">ROUND(($U$2*MAX(0,MIN(1,($W$2-I1594)/($W$2-$V$2)))+$U$3*MAX(0,MIN(1,($W$3-J1594)/($W$3-$V$3)))+$U$4*MAX(0,MIN(1,($W$4-K1594)/($W$4-$V$4)))+$U$5*MAX(0,MIN(1,($W$5-L1594)/($W$5-$V$5)))+$U$6*MAX(0,MIN(1,($W$6-M1594)/($W$6-$V$6)))+$U$7*MAX(0,MIN(1,($W$7-N1594)/($W$7-$V$7)))+$U$8*IF(AND(O1594&gt;=$V$8,O1594&lt;=$W$8),1,0))/$U$9*100,2)</f>
        <v>60.22</v>
      </c>
      <c r="C1594" s="27" t="s">
        <v>3182</v>
      </c>
      <c r="D1594" s="25" t="s">
        <v>134</v>
      </c>
      <c r="E1594" s="25" t="s">
        <v>3447</v>
      </c>
      <c r="F1594" s="25" t="s">
        <v>3448</v>
      </c>
      <c r="G1594" s="38" t="s">
        <v>30</v>
      </c>
      <c r="H1594" s="33" t="s">
        <v>24</v>
      </c>
      <c r="I1594" s="25" t="n">
        <v>6</v>
      </c>
      <c r="J1594" s="25" t="n">
        <v>0</v>
      </c>
      <c r="K1594" s="25" t="n">
        <v>6</v>
      </c>
      <c r="L1594" s="29" t="n">
        <v>0.8</v>
      </c>
      <c r="M1594" s="30" t="n">
        <v>12.49</v>
      </c>
      <c r="N1594" s="29" t="n">
        <v>0.12</v>
      </c>
      <c r="O1594" s="25" t="n">
        <v>184</v>
      </c>
      <c r="P1594" s="30" t="n">
        <v>-0.47</v>
      </c>
      <c r="Q1594" s="27" t="s">
        <v>3746</v>
      </c>
      <c r="R1594" s="27" t="s">
        <v>30</v>
      </c>
    </row>
    <row r="1595" customFormat="false" ht="15" hidden="false" customHeight="false" outlineLevel="0" collapsed="false">
      <c r="A1595" s="25" t="n">
        <f aca="false">IF(G1595="REJECT",COUNTIF($G$2:$G$2277,"&lt;&gt;REJECT")+1+COUNTIFS($G$2:$G$2277,"REJECT",$B$2:$B$2277,"&gt;"&amp;B1595),1+COUNTIFS($G$2:$G$2277,"&lt;&gt;REJECT",$B$2:$B$2277,"&gt;"&amp;B1595))</f>
        <v>1594</v>
      </c>
      <c r="B1595" s="26" t="n">
        <f aca="false">ROUND(($U$2*MAX(0,MIN(1,($W$2-I1595)/($W$2-$V$2)))+$U$3*MAX(0,MIN(1,($W$3-J1595)/($W$3-$V$3)))+$U$4*MAX(0,MIN(1,($W$4-K1595)/($W$4-$V$4)))+$U$5*MAX(0,MIN(1,($W$5-L1595)/($W$5-$V$5)))+$U$6*MAX(0,MIN(1,($W$6-M1595)/($W$6-$V$6)))+$U$7*MAX(0,MIN(1,($W$7-N1595)/($W$7-$V$7)))+$U$8*IF(AND(O1595&gt;=$V$8,O1595&lt;=$W$8),1,0))/$U$9*100,2)</f>
        <v>60.2</v>
      </c>
      <c r="C1595" s="27" t="s">
        <v>3394</v>
      </c>
      <c r="D1595" s="25" t="s">
        <v>134</v>
      </c>
      <c r="E1595" s="25" t="s">
        <v>3450</v>
      </c>
      <c r="F1595" s="25" t="s">
        <v>3457</v>
      </c>
      <c r="G1595" s="38" t="s">
        <v>30</v>
      </c>
      <c r="H1595" s="28" t="s">
        <v>25</v>
      </c>
      <c r="I1595" s="25" t="n">
        <v>3</v>
      </c>
      <c r="J1595" s="25" t="n">
        <v>1</v>
      </c>
      <c r="K1595" s="25" t="n">
        <v>3</v>
      </c>
      <c r="L1595" s="29" t="n">
        <v>0.66</v>
      </c>
      <c r="M1595" s="30" t="n">
        <v>9.09</v>
      </c>
      <c r="N1595" s="29" t="n">
        <v>0.68</v>
      </c>
      <c r="O1595" s="25" t="n">
        <v>186</v>
      </c>
      <c r="P1595" s="30" t="n">
        <v>17.49</v>
      </c>
      <c r="Q1595" s="27" t="s">
        <v>3695</v>
      </c>
      <c r="R1595" s="27" t="s">
        <v>283</v>
      </c>
    </row>
    <row r="1596" customFormat="false" ht="15" hidden="false" customHeight="false" outlineLevel="0" collapsed="false">
      <c r="A1596" s="25" t="n">
        <f aca="false">IF(G1596="REJECT",COUNTIF($G$2:$G$2277,"&lt;&gt;REJECT")+1+COUNTIFS($G$2:$G$2277,"REJECT",$B$2:$B$2277,"&gt;"&amp;B1596),1+COUNTIFS($G$2:$G$2277,"&lt;&gt;REJECT",$B$2:$B$2277,"&gt;"&amp;B1596))</f>
        <v>1595</v>
      </c>
      <c r="B1596" s="26" t="n">
        <f aca="false">ROUND(($U$2*MAX(0,MIN(1,($W$2-I1596)/($W$2-$V$2)))+$U$3*MAX(0,MIN(1,($W$3-J1596)/($W$3-$V$3)))+$U$4*MAX(0,MIN(1,($W$4-K1596)/($W$4-$V$4)))+$U$5*MAX(0,MIN(1,($W$5-L1596)/($W$5-$V$5)))+$U$6*MAX(0,MIN(1,($W$6-M1596)/($W$6-$V$6)))+$U$7*MAX(0,MIN(1,($W$7-N1596)/($W$7-$V$7)))+$U$8*IF(AND(O1596&gt;=$V$8,O1596&lt;=$W$8),1,0))/$U$9*100,2)</f>
        <v>60.19</v>
      </c>
      <c r="C1596" s="27" t="s">
        <v>1340</v>
      </c>
      <c r="D1596" s="25" t="s">
        <v>134</v>
      </c>
      <c r="E1596" s="25" t="s">
        <v>3450</v>
      </c>
      <c r="F1596" s="25" t="s">
        <v>3457</v>
      </c>
      <c r="G1596" s="38" t="s">
        <v>30</v>
      </c>
      <c r="H1596" s="28" t="s">
        <v>25</v>
      </c>
      <c r="I1596" s="25" t="n">
        <v>3</v>
      </c>
      <c r="J1596" s="25" t="n">
        <v>1</v>
      </c>
      <c r="K1596" s="25" t="n">
        <v>3</v>
      </c>
      <c r="L1596" s="29" t="n">
        <v>0.67</v>
      </c>
      <c r="M1596" s="30" t="n">
        <v>18.37</v>
      </c>
      <c r="N1596" s="29" t="n">
        <v>0.12</v>
      </c>
      <c r="O1596" s="25" t="n">
        <v>184</v>
      </c>
      <c r="P1596" s="30" t="n">
        <v>18.21</v>
      </c>
      <c r="Q1596" s="27" t="s">
        <v>3695</v>
      </c>
      <c r="R1596" s="27" t="s">
        <v>283</v>
      </c>
    </row>
    <row r="1597" customFormat="false" ht="15" hidden="false" customHeight="false" outlineLevel="0" collapsed="false">
      <c r="A1597" s="25" t="n">
        <f aca="false">IF(G1597="REJECT",COUNTIF($G$2:$G$2277,"&lt;&gt;REJECT")+1+COUNTIFS($G$2:$G$2277,"REJECT",$B$2:$B$2277,"&gt;"&amp;B1597),1+COUNTIFS($G$2:$G$2277,"&lt;&gt;REJECT",$B$2:$B$2277,"&gt;"&amp;B1597))</f>
        <v>1596</v>
      </c>
      <c r="B1597" s="26" t="n">
        <f aca="false">ROUND(($U$2*MAX(0,MIN(1,($W$2-I1597)/($W$2-$V$2)))+$U$3*MAX(0,MIN(1,($W$3-J1597)/($W$3-$V$3)))+$U$4*MAX(0,MIN(1,($W$4-K1597)/($W$4-$V$4)))+$U$5*MAX(0,MIN(1,($W$5-L1597)/($W$5-$V$5)))+$U$6*MAX(0,MIN(1,($W$6-M1597)/($W$6-$V$6)))+$U$7*MAX(0,MIN(1,($W$7-N1597)/($W$7-$V$7)))+$U$8*IF(AND(O1597&gt;=$V$8,O1597&lt;=$W$8),1,0))/$U$9*100,2)</f>
        <v>60.18</v>
      </c>
      <c r="C1597" s="27" t="s">
        <v>2500</v>
      </c>
      <c r="D1597" s="25" t="s">
        <v>134</v>
      </c>
      <c r="E1597" s="25" t="s">
        <v>3447</v>
      </c>
      <c r="F1597" s="25" t="s">
        <v>3457</v>
      </c>
      <c r="G1597" s="38" t="s">
        <v>30</v>
      </c>
      <c r="H1597" s="28" t="s">
        <v>25</v>
      </c>
      <c r="I1597" s="25" t="n">
        <v>3</v>
      </c>
      <c r="J1597" s="25" t="n">
        <v>1</v>
      </c>
      <c r="K1597" s="25" t="n">
        <v>3</v>
      </c>
      <c r="L1597" s="29" t="n">
        <v>0.69</v>
      </c>
      <c r="M1597" s="30" t="n">
        <v>26.8</v>
      </c>
      <c r="N1597" s="29" t="n">
        <v>0</v>
      </c>
      <c r="O1597" s="25" t="n">
        <v>186</v>
      </c>
      <c r="P1597" s="30" t="n">
        <v>6.86</v>
      </c>
      <c r="Q1597" s="27" t="s">
        <v>3649</v>
      </c>
      <c r="R1597" s="27" t="s">
        <v>183</v>
      </c>
    </row>
    <row r="1598" customFormat="false" ht="15" hidden="false" customHeight="false" outlineLevel="0" collapsed="false">
      <c r="A1598" s="25" t="n">
        <f aca="false">IF(G1598="REJECT",COUNTIF($G$2:$G$2277,"&lt;&gt;REJECT")+1+COUNTIFS($G$2:$G$2277,"REJECT",$B$2:$B$2277,"&gt;"&amp;B1598),1+COUNTIFS($G$2:$G$2277,"&lt;&gt;REJECT",$B$2:$B$2277,"&gt;"&amp;B1598))</f>
        <v>1597</v>
      </c>
      <c r="B1598" s="26" t="n">
        <f aca="false">ROUND(($U$2*MAX(0,MIN(1,($W$2-I1598)/($W$2-$V$2)))+$U$3*MAX(0,MIN(1,($W$3-J1598)/($W$3-$V$3)))+$U$4*MAX(0,MIN(1,($W$4-K1598)/($W$4-$V$4)))+$U$5*MAX(0,MIN(1,($W$5-L1598)/($W$5-$V$5)))+$U$6*MAX(0,MIN(1,($W$6-M1598)/($W$6-$V$6)))+$U$7*MAX(0,MIN(1,($W$7-N1598)/($W$7-$V$7)))+$U$8*IF(AND(O1598&gt;=$V$8,O1598&lt;=$W$8),1,0))/$U$9*100,2)</f>
        <v>60.17</v>
      </c>
      <c r="C1598" s="27" t="s">
        <v>584</v>
      </c>
      <c r="D1598" s="25" t="s">
        <v>134</v>
      </c>
      <c r="E1598" s="25" t="s">
        <v>3450</v>
      </c>
      <c r="F1598" s="25" t="s">
        <v>3457</v>
      </c>
      <c r="G1598" s="38" t="s">
        <v>30</v>
      </c>
      <c r="H1598" s="28" t="s">
        <v>25</v>
      </c>
      <c r="I1598" s="25" t="n">
        <v>2</v>
      </c>
      <c r="J1598" s="25" t="n">
        <v>1</v>
      </c>
      <c r="K1598" s="25" t="n">
        <v>2</v>
      </c>
      <c r="L1598" s="29" t="n">
        <v>0.6</v>
      </c>
      <c r="M1598" s="30" t="n">
        <v>30.59</v>
      </c>
      <c r="N1598" s="29" t="n">
        <v>0.2</v>
      </c>
      <c r="O1598" s="25" t="n">
        <v>184</v>
      </c>
      <c r="P1598" s="30" t="n">
        <v>14.49</v>
      </c>
      <c r="Q1598" s="27" t="s">
        <v>3575</v>
      </c>
      <c r="R1598" s="27" t="s">
        <v>1140</v>
      </c>
    </row>
    <row r="1599" customFormat="false" ht="15" hidden="false" customHeight="false" outlineLevel="0" collapsed="false">
      <c r="A1599" s="25" t="n">
        <f aca="false">IF(G1599="REJECT",COUNTIF($G$2:$G$2277,"&lt;&gt;REJECT")+1+COUNTIFS($G$2:$G$2277,"REJECT",$B$2:$B$2277,"&gt;"&amp;B1599),1+COUNTIFS($G$2:$G$2277,"&lt;&gt;REJECT",$B$2:$B$2277,"&gt;"&amp;B1599))</f>
        <v>1598</v>
      </c>
      <c r="B1599" s="26" t="n">
        <f aca="false">ROUND(($U$2*MAX(0,MIN(1,($W$2-I1599)/($W$2-$V$2)))+$U$3*MAX(0,MIN(1,($W$3-J1599)/($W$3-$V$3)))+$U$4*MAX(0,MIN(1,($W$4-K1599)/($W$4-$V$4)))+$U$5*MAX(0,MIN(1,($W$5-L1599)/($W$5-$V$5)))+$U$6*MAX(0,MIN(1,($W$6-M1599)/($W$6-$V$6)))+$U$7*MAX(0,MIN(1,($W$7-N1599)/($W$7-$V$7)))+$U$8*IF(AND(O1599&gt;=$V$8,O1599&lt;=$W$8),1,0))/$U$9*100,2)</f>
        <v>60.03</v>
      </c>
      <c r="C1599" s="27" t="s">
        <v>1533</v>
      </c>
      <c r="D1599" s="25" t="s">
        <v>134</v>
      </c>
      <c r="E1599" s="25" t="s">
        <v>3447</v>
      </c>
      <c r="F1599" s="25" t="s">
        <v>3448</v>
      </c>
      <c r="G1599" s="38" t="s">
        <v>30</v>
      </c>
      <c r="H1599" s="33" t="s">
        <v>24</v>
      </c>
      <c r="I1599" s="25" t="n">
        <v>5</v>
      </c>
      <c r="J1599" s="25" t="n">
        <v>0</v>
      </c>
      <c r="K1599" s="25" t="n">
        <v>5</v>
      </c>
      <c r="L1599" s="29" t="n">
        <v>0.7</v>
      </c>
      <c r="M1599" s="30" t="n">
        <v>14.31</v>
      </c>
      <c r="N1599" s="29" t="n">
        <v>0.2</v>
      </c>
      <c r="O1599" s="25" t="n">
        <v>188</v>
      </c>
      <c r="P1599" s="30" t="n">
        <v>8.19</v>
      </c>
      <c r="Q1599" s="27" t="s">
        <v>3747</v>
      </c>
      <c r="R1599" s="27" t="s">
        <v>30</v>
      </c>
    </row>
    <row r="1600" customFormat="false" ht="15" hidden="false" customHeight="false" outlineLevel="0" collapsed="false">
      <c r="A1600" s="25" t="n">
        <f aca="false">IF(G1600="REJECT",COUNTIF($G$2:$G$2277,"&lt;&gt;REJECT")+1+COUNTIFS($G$2:$G$2277,"REJECT",$B$2:$B$2277,"&gt;"&amp;B1600),1+COUNTIFS($G$2:$G$2277,"&lt;&gt;REJECT",$B$2:$B$2277,"&gt;"&amp;B1600))</f>
        <v>1599</v>
      </c>
      <c r="B1600" s="26" t="n">
        <f aca="false">ROUND(($U$2*MAX(0,MIN(1,($W$2-I1600)/($W$2-$V$2)))+$U$3*MAX(0,MIN(1,($W$3-J1600)/($W$3-$V$3)))+$U$4*MAX(0,MIN(1,($W$4-K1600)/($W$4-$V$4)))+$U$5*MAX(0,MIN(1,($W$5-L1600)/($W$5-$V$5)))+$U$6*MAX(0,MIN(1,($W$6-M1600)/($W$6-$V$6)))+$U$7*MAX(0,MIN(1,($W$7-N1600)/($W$7-$V$7)))+$U$8*IF(AND(O1600&gt;=$V$8,O1600&lt;=$W$8),1,0))/$U$9*100,2)</f>
        <v>60.02</v>
      </c>
      <c r="C1600" s="27" t="s">
        <v>1481</v>
      </c>
      <c r="D1600" s="25" t="s">
        <v>3459</v>
      </c>
      <c r="E1600" s="25" t="s">
        <v>3447</v>
      </c>
      <c r="F1600" s="25" t="s">
        <v>3448</v>
      </c>
      <c r="G1600" s="38" t="s">
        <v>30</v>
      </c>
      <c r="H1600" s="28" t="s">
        <v>25</v>
      </c>
      <c r="I1600" s="25" t="n">
        <v>4</v>
      </c>
      <c r="J1600" s="25" t="n">
        <v>0</v>
      </c>
      <c r="K1600" s="25" t="n">
        <v>4</v>
      </c>
      <c r="L1600" s="29" t="n">
        <v>0.58</v>
      </c>
      <c r="M1600" s="30" t="n">
        <v>4.26</v>
      </c>
      <c r="N1600" s="29" t="n">
        <v>0.64</v>
      </c>
      <c r="O1600" s="25" t="n">
        <v>200</v>
      </c>
      <c r="P1600" s="30" t="n">
        <v>0.78</v>
      </c>
      <c r="Q1600" s="27" t="s">
        <v>3748</v>
      </c>
      <c r="R1600" s="27" t="s">
        <v>2610</v>
      </c>
    </row>
    <row r="1601" customFormat="false" ht="15" hidden="false" customHeight="false" outlineLevel="0" collapsed="false">
      <c r="A1601" s="25" t="n">
        <f aca="false">IF(G1601="REJECT",COUNTIF($G$2:$G$2277,"&lt;&gt;REJECT")+1+COUNTIFS($G$2:$G$2277,"REJECT",$B$2:$B$2277,"&gt;"&amp;B1601),1+COUNTIFS($G$2:$G$2277,"&lt;&gt;REJECT",$B$2:$B$2277,"&gt;"&amp;B1601))</f>
        <v>1600</v>
      </c>
      <c r="B1601" s="26" t="n">
        <f aca="false">ROUND(($U$2*MAX(0,MIN(1,($W$2-I1601)/($W$2-$V$2)))+$U$3*MAX(0,MIN(1,($W$3-J1601)/($W$3-$V$3)))+$U$4*MAX(0,MIN(1,($W$4-K1601)/($W$4-$V$4)))+$U$5*MAX(0,MIN(1,($W$5-L1601)/($W$5-$V$5)))+$U$6*MAX(0,MIN(1,($W$6-M1601)/($W$6-$V$6)))+$U$7*MAX(0,MIN(1,($W$7-N1601)/($W$7-$V$7)))+$U$8*IF(AND(O1601&gt;=$V$8,O1601&lt;=$W$8),1,0))/$U$9*100,2)</f>
        <v>59.98</v>
      </c>
      <c r="C1601" s="27" t="s">
        <v>812</v>
      </c>
      <c r="D1601" s="25" t="s">
        <v>134</v>
      </c>
      <c r="E1601" s="25" t="s">
        <v>3450</v>
      </c>
      <c r="F1601" s="25" t="s">
        <v>3448</v>
      </c>
      <c r="G1601" s="38" t="s">
        <v>30</v>
      </c>
      <c r="H1601" s="28" t="s">
        <v>25</v>
      </c>
      <c r="I1601" s="25" t="n">
        <v>3</v>
      </c>
      <c r="J1601" s="25" t="n">
        <v>1</v>
      </c>
      <c r="K1601" s="25" t="n">
        <v>3</v>
      </c>
      <c r="L1601" s="29" t="n">
        <v>0.67</v>
      </c>
      <c r="M1601" s="30" t="n">
        <v>16.84</v>
      </c>
      <c r="N1601" s="29" t="n">
        <v>0.4</v>
      </c>
      <c r="O1601" s="25" t="n">
        <v>193</v>
      </c>
      <c r="P1601" s="30" t="n">
        <v>13.35</v>
      </c>
      <c r="Q1601" s="27" t="s">
        <v>3649</v>
      </c>
      <c r="R1601" s="27" t="s">
        <v>283</v>
      </c>
    </row>
    <row r="1602" customFormat="false" ht="15" hidden="false" customHeight="false" outlineLevel="0" collapsed="false">
      <c r="A1602" s="25" t="n">
        <f aca="false">IF(G1602="REJECT",COUNTIF($G$2:$G$2277,"&lt;&gt;REJECT")+1+COUNTIFS($G$2:$G$2277,"REJECT",$B$2:$B$2277,"&gt;"&amp;B1602),1+COUNTIFS($G$2:$G$2277,"&lt;&gt;REJECT",$B$2:$B$2277,"&gt;"&amp;B1602))</f>
        <v>1600</v>
      </c>
      <c r="B1602" s="26" t="n">
        <f aca="false">ROUND(($U$2*MAX(0,MIN(1,($W$2-I1602)/($W$2-$V$2)))+$U$3*MAX(0,MIN(1,($W$3-J1602)/($W$3-$V$3)))+$U$4*MAX(0,MIN(1,($W$4-K1602)/($W$4-$V$4)))+$U$5*MAX(0,MIN(1,($W$5-L1602)/($W$5-$V$5)))+$U$6*MAX(0,MIN(1,($W$6-M1602)/($W$6-$V$6)))+$U$7*MAX(0,MIN(1,($W$7-N1602)/($W$7-$V$7)))+$U$8*IF(AND(O1602&gt;=$V$8,O1602&lt;=$W$8),1,0))/$U$9*100,2)</f>
        <v>59.98</v>
      </c>
      <c r="C1602" s="27" t="s">
        <v>2941</v>
      </c>
      <c r="D1602" s="25" t="s">
        <v>3459</v>
      </c>
      <c r="E1602" s="25" t="s">
        <v>3450</v>
      </c>
      <c r="F1602" s="25" t="s">
        <v>3448</v>
      </c>
      <c r="G1602" s="38" t="s">
        <v>30</v>
      </c>
      <c r="H1602" s="28" t="s">
        <v>25</v>
      </c>
      <c r="I1602" s="25" t="n">
        <v>4</v>
      </c>
      <c r="J1602" s="25" t="n">
        <v>1</v>
      </c>
      <c r="K1602" s="25" t="n">
        <v>4</v>
      </c>
      <c r="L1602" s="29" t="n">
        <v>0.78</v>
      </c>
      <c r="M1602" s="30" t="n">
        <v>13.7</v>
      </c>
      <c r="N1602" s="29" t="n">
        <v>0.92</v>
      </c>
      <c r="O1602" s="25" t="n">
        <v>186</v>
      </c>
      <c r="P1602" s="30" t="n">
        <v>3.7</v>
      </c>
      <c r="Q1602" s="27" t="s">
        <v>3749</v>
      </c>
      <c r="R1602" s="27" t="s">
        <v>283</v>
      </c>
    </row>
    <row r="1603" customFormat="false" ht="15" hidden="false" customHeight="false" outlineLevel="0" collapsed="false">
      <c r="A1603" s="25" t="n">
        <f aca="false">IF(G1603="REJECT",COUNTIF($G$2:$G$2277,"&lt;&gt;REJECT")+1+COUNTIFS($G$2:$G$2277,"REJECT",$B$2:$B$2277,"&gt;"&amp;B1603),1+COUNTIFS($G$2:$G$2277,"&lt;&gt;REJECT",$B$2:$B$2277,"&gt;"&amp;B1603))</f>
        <v>1602</v>
      </c>
      <c r="B1603" s="26" t="n">
        <f aca="false">ROUND(($U$2*MAX(0,MIN(1,($W$2-I1603)/($W$2-$V$2)))+$U$3*MAX(0,MIN(1,($W$3-J1603)/($W$3-$V$3)))+$U$4*MAX(0,MIN(1,($W$4-K1603)/($W$4-$V$4)))+$U$5*MAX(0,MIN(1,($W$5-L1603)/($W$5-$V$5)))+$U$6*MAX(0,MIN(1,($W$6-M1603)/($W$6-$V$6)))+$U$7*MAX(0,MIN(1,($W$7-N1603)/($W$7-$V$7)))+$U$8*IF(AND(O1603&gt;=$V$8,O1603&lt;=$W$8),1,0))/$U$9*100,2)</f>
        <v>59.91</v>
      </c>
      <c r="C1603" s="27" t="s">
        <v>1481</v>
      </c>
      <c r="D1603" s="25" t="s">
        <v>134</v>
      </c>
      <c r="E1603" s="25" t="s">
        <v>3450</v>
      </c>
      <c r="F1603" s="25" t="s">
        <v>3448</v>
      </c>
      <c r="G1603" s="38" t="s">
        <v>30</v>
      </c>
      <c r="H1603" s="28" t="s">
        <v>25</v>
      </c>
      <c r="I1603" s="25" t="n">
        <v>3</v>
      </c>
      <c r="J1603" s="25" t="n">
        <v>1</v>
      </c>
      <c r="K1603" s="25" t="n">
        <v>3</v>
      </c>
      <c r="L1603" s="29" t="n">
        <v>0.65</v>
      </c>
      <c r="M1603" s="30" t="n">
        <v>4.44</v>
      </c>
      <c r="N1603" s="29" t="n">
        <v>0.96</v>
      </c>
      <c r="O1603" s="25" t="n">
        <v>185</v>
      </c>
      <c r="P1603" s="30" t="n">
        <v>14.84</v>
      </c>
      <c r="Q1603" s="27" t="s">
        <v>3649</v>
      </c>
      <c r="R1603" s="27" t="s">
        <v>1099</v>
      </c>
    </row>
    <row r="1604" customFormat="false" ht="15" hidden="false" customHeight="false" outlineLevel="0" collapsed="false">
      <c r="A1604" s="25" t="n">
        <f aca="false">IF(G1604="REJECT",COUNTIF($G$2:$G$2277,"&lt;&gt;REJECT")+1+COUNTIFS($G$2:$G$2277,"REJECT",$B$2:$B$2277,"&gt;"&amp;B1604),1+COUNTIFS($G$2:$G$2277,"&lt;&gt;REJECT",$B$2:$B$2277,"&gt;"&amp;B1604))</f>
        <v>1603</v>
      </c>
      <c r="B1604" s="26" t="n">
        <f aca="false">ROUND(($U$2*MAX(0,MIN(1,($W$2-I1604)/($W$2-$V$2)))+$U$3*MAX(0,MIN(1,($W$3-J1604)/($W$3-$V$3)))+$U$4*MAX(0,MIN(1,($W$4-K1604)/($W$4-$V$4)))+$U$5*MAX(0,MIN(1,($W$5-L1604)/($W$5-$V$5)))+$U$6*MAX(0,MIN(1,($W$6-M1604)/($W$6-$V$6)))+$U$7*MAX(0,MIN(1,($W$7-N1604)/($W$7-$V$7)))+$U$8*IF(AND(O1604&gt;=$V$8,O1604&lt;=$W$8),1,0))/$U$9*100,2)</f>
        <v>59.87</v>
      </c>
      <c r="C1604" s="27" t="s">
        <v>1110</v>
      </c>
      <c r="D1604" s="25" t="s">
        <v>134</v>
      </c>
      <c r="E1604" s="25" t="s">
        <v>3447</v>
      </c>
      <c r="F1604" s="25" t="s">
        <v>3448</v>
      </c>
      <c r="G1604" s="38" t="s">
        <v>30</v>
      </c>
      <c r="H1604" s="33" t="s">
        <v>24</v>
      </c>
      <c r="I1604" s="25" t="n">
        <v>6</v>
      </c>
      <c r="J1604" s="25" t="n">
        <v>0</v>
      </c>
      <c r="K1604" s="25" t="n">
        <v>6</v>
      </c>
      <c r="L1604" s="29" t="n">
        <v>0.84</v>
      </c>
      <c r="M1604" s="30" t="n">
        <v>11.76</v>
      </c>
      <c r="N1604" s="29" t="n">
        <v>0.4</v>
      </c>
      <c r="O1604" s="25" t="n">
        <v>195</v>
      </c>
      <c r="P1604" s="30" t="n">
        <v>-2.47</v>
      </c>
      <c r="Q1604" s="27" t="s">
        <v>3750</v>
      </c>
      <c r="R1604" s="27" t="s">
        <v>30</v>
      </c>
    </row>
    <row r="1605" customFormat="false" ht="15" hidden="false" customHeight="false" outlineLevel="0" collapsed="false">
      <c r="A1605" s="25" t="n">
        <f aca="false">IF(G1605="REJECT",COUNTIF($G$2:$G$2277,"&lt;&gt;REJECT")+1+COUNTIFS($G$2:$G$2277,"REJECT",$B$2:$B$2277,"&gt;"&amp;B1605),1+COUNTIFS($G$2:$G$2277,"&lt;&gt;REJECT",$B$2:$B$2277,"&gt;"&amp;B1605))</f>
        <v>1604</v>
      </c>
      <c r="B1605" s="26" t="n">
        <f aca="false">ROUND(($U$2*MAX(0,MIN(1,($W$2-I1605)/($W$2-$V$2)))+$U$3*MAX(0,MIN(1,($W$3-J1605)/($W$3-$V$3)))+$U$4*MAX(0,MIN(1,($W$4-K1605)/($W$4-$V$4)))+$U$5*MAX(0,MIN(1,($W$5-L1605)/($W$5-$V$5)))+$U$6*MAX(0,MIN(1,($W$6-M1605)/($W$6-$V$6)))+$U$7*MAX(0,MIN(1,($W$7-N1605)/($W$7-$V$7)))+$U$8*IF(AND(O1605&gt;=$V$8,O1605&lt;=$W$8),1,0))/$U$9*100,2)</f>
        <v>59.67</v>
      </c>
      <c r="C1605" s="27" t="s">
        <v>1038</v>
      </c>
      <c r="D1605" s="25" t="s">
        <v>134</v>
      </c>
      <c r="E1605" s="25" t="s">
        <v>3450</v>
      </c>
      <c r="F1605" s="25" t="s">
        <v>3457</v>
      </c>
      <c r="G1605" s="38" t="s">
        <v>30</v>
      </c>
      <c r="H1605" s="28" t="s">
        <v>25</v>
      </c>
      <c r="I1605" s="25" t="n">
        <v>3</v>
      </c>
      <c r="J1605" s="25" t="n">
        <v>1</v>
      </c>
      <c r="K1605" s="25" t="n">
        <v>3</v>
      </c>
      <c r="L1605" s="29" t="n">
        <v>0.67</v>
      </c>
      <c r="M1605" s="30" t="n">
        <v>13.48</v>
      </c>
      <c r="N1605" s="29" t="n">
        <v>0.92</v>
      </c>
      <c r="O1605" s="25" t="n">
        <v>183</v>
      </c>
      <c r="P1605" s="30" t="n">
        <v>12.18</v>
      </c>
      <c r="Q1605" s="27" t="s">
        <v>3716</v>
      </c>
      <c r="R1605" s="27" t="s">
        <v>283</v>
      </c>
    </row>
    <row r="1606" customFormat="false" ht="15" hidden="false" customHeight="false" outlineLevel="0" collapsed="false">
      <c r="A1606" s="25" t="n">
        <f aca="false">IF(G1606="REJECT",COUNTIF($G$2:$G$2277,"&lt;&gt;REJECT")+1+COUNTIFS($G$2:$G$2277,"REJECT",$B$2:$B$2277,"&gt;"&amp;B1606),1+COUNTIFS($G$2:$G$2277,"&lt;&gt;REJECT",$B$2:$B$2277,"&gt;"&amp;B1606))</f>
        <v>1605</v>
      </c>
      <c r="B1606" s="26" t="n">
        <f aca="false">ROUND(($U$2*MAX(0,MIN(1,($W$2-I1606)/($W$2-$V$2)))+$U$3*MAX(0,MIN(1,($W$3-J1606)/($W$3-$V$3)))+$U$4*MAX(0,MIN(1,($W$4-K1606)/($W$4-$V$4)))+$U$5*MAX(0,MIN(1,($W$5-L1606)/($W$5-$V$5)))+$U$6*MAX(0,MIN(1,($W$6-M1606)/($W$6-$V$6)))+$U$7*MAX(0,MIN(1,($W$7-N1606)/($W$7-$V$7)))+$U$8*IF(AND(O1606&gt;=$V$8,O1606&lt;=$W$8),1,0))/$U$9*100,2)</f>
        <v>59.63</v>
      </c>
      <c r="C1606" s="27" t="s">
        <v>964</v>
      </c>
      <c r="D1606" s="25" t="s">
        <v>3459</v>
      </c>
      <c r="E1606" s="25" t="s">
        <v>3450</v>
      </c>
      <c r="F1606" s="25" t="s">
        <v>3457</v>
      </c>
      <c r="G1606" s="38" t="s">
        <v>30</v>
      </c>
      <c r="H1606" s="28" t="s">
        <v>25</v>
      </c>
      <c r="I1606" s="25" t="n">
        <v>3</v>
      </c>
      <c r="J1606" s="25" t="n">
        <v>1</v>
      </c>
      <c r="K1606" s="25" t="n">
        <v>3</v>
      </c>
      <c r="L1606" s="29" t="n">
        <v>0.62</v>
      </c>
      <c r="M1606" s="30" t="n">
        <v>2.53</v>
      </c>
      <c r="N1606" s="29" t="n">
        <v>0.24</v>
      </c>
      <c r="O1606" s="25" t="n">
        <v>195</v>
      </c>
      <c r="P1606" s="30" t="n">
        <v>-0.97</v>
      </c>
      <c r="Q1606" s="27" t="s">
        <v>3664</v>
      </c>
      <c r="R1606" s="27" t="s">
        <v>1230</v>
      </c>
    </row>
    <row r="1607" customFormat="false" ht="15" hidden="false" customHeight="false" outlineLevel="0" collapsed="false">
      <c r="A1607" s="25" t="n">
        <f aca="false">IF(G1607="REJECT",COUNTIF($G$2:$G$2277,"&lt;&gt;REJECT")+1+COUNTIFS($G$2:$G$2277,"REJECT",$B$2:$B$2277,"&gt;"&amp;B1607),1+COUNTIFS($G$2:$G$2277,"&lt;&gt;REJECT",$B$2:$B$2277,"&gt;"&amp;B1607))</f>
        <v>1606</v>
      </c>
      <c r="B1607" s="26" t="n">
        <f aca="false">ROUND(($U$2*MAX(0,MIN(1,($W$2-I1607)/($W$2-$V$2)))+$U$3*MAX(0,MIN(1,($W$3-J1607)/($W$3-$V$3)))+$U$4*MAX(0,MIN(1,($W$4-K1607)/($W$4-$V$4)))+$U$5*MAX(0,MIN(1,($W$5-L1607)/($W$5-$V$5)))+$U$6*MAX(0,MIN(1,($W$6-M1607)/($W$6-$V$6)))+$U$7*MAX(0,MIN(1,($W$7-N1607)/($W$7-$V$7)))+$U$8*IF(AND(O1607&gt;=$V$8,O1607&lt;=$W$8),1,0))/$U$9*100,2)</f>
        <v>59.58</v>
      </c>
      <c r="C1607" s="27" t="s">
        <v>2216</v>
      </c>
      <c r="D1607" s="25" t="s">
        <v>134</v>
      </c>
      <c r="E1607" s="25" t="s">
        <v>3447</v>
      </c>
      <c r="F1607" s="25" t="s">
        <v>3457</v>
      </c>
      <c r="G1607" s="38" t="s">
        <v>30</v>
      </c>
      <c r="H1607" s="28" t="s">
        <v>25</v>
      </c>
      <c r="I1607" s="25" t="n">
        <v>4</v>
      </c>
      <c r="J1607" s="25" t="n">
        <v>1</v>
      </c>
      <c r="K1607" s="25" t="n">
        <v>4</v>
      </c>
      <c r="L1607" s="29" t="n">
        <v>0.76</v>
      </c>
      <c r="M1607" s="30" t="n">
        <v>14.93</v>
      </c>
      <c r="N1607" s="29" t="n">
        <v>0.32</v>
      </c>
      <c r="O1607" s="25" t="n">
        <v>183</v>
      </c>
      <c r="P1607" s="30" t="n">
        <v>7.37</v>
      </c>
      <c r="Q1607" s="27" t="s">
        <v>3737</v>
      </c>
      <c r="R1607" s="27" t="s">
        <v>283</v>
      </c>
    </row>
    <row r="1608" customFormat="false" ht="15" hidden="false" customHeight="false" outlineLevel="0" collapsed="false">
      <c r="A1608" s="25" t="n">
        <f aca="false">IF(G1608="REJECT",COUNTIF($G$2:$G$2277,"&lt;&gt;REJECT")+1+COUNTIFS($G$2:$G$2277,"REJECT",$B$2:$B$2277,"&gt;"&amp;B1608),1+COUNTIFS($G$2:$G$2277,"&lt;&gt;REJECT",$B$2:$B$2277,"&gt;"&amp;B1608))</f>
        <v>1607</v>
      </c>
      <c r="B1608" s="26" t="n">
        <f aca="false">ROUND(($U$2*MAX(0,MIN(1,($W$2-I1608)/($W$2-$V$2)))+$U$3*MAX(0,MIN(1,($W$3-J1608)/($W$3-$V$3)))+$U$4*MAX(0,MIN(1,($W$4-K1608)/($W$4-$V$4)))+$U$5*MAX(0,MIN(1,($W$5-L1608)/($W$5-$V$5)))+$U$6*MAX(0,MIN(1,($W$6-M1608)/($W$6-$V$6)))+$U$7*MAX(0,MIN(1,($W$7-N1608)/($W$7-$V$7)))+$U$8*IF(AND(O1608&gt;=$V$8,O1608&lt;=$W$8),1,0))/$U$9*100,2)</f>
        <v>59.56</v>
      </c>
      <c r="C1608" s="27" t="s">
        <v>3117</v>
      </c>
      <c r="D1608" s="25" t="s">
        <v>3459</v>
      </c>
      <c r="E1608" s="25" t="s">
        <v>3450</v>
      </c>
      <c r="F1608" s="25" t="s">
        <v>3448</v>
      </c>
      <c r="G1608" s="38" t="s">
        <v>30</v>
      </c>
      <c r="H1608" s="28" t="s">
        <v>25</v>
      </c>
      <c r="I1608" s="25" t="n">
        <v>4</v>
      </c>
      <c r="J1608" s="25" t="n">
        <v>1</v>
      </c>
      <c r="K1608" s="25" t="n">
        <v>4</v>
      </c>
      <c r="L1608" s="29" t="n">
        <v>0.77</v>
      </c>
      <c r="M1608" s="30" t="n">
        <v>19.04</v>
      </c>
      <c r="N1608" s="29" t="n">
        <v>0.28</v>
      </c>
      <c r="O1608" s="25" t="n">
        <v>220</v>
      </c>
      <c r="P1608" s="30" t="n">
        <v>4.92</v>
      </c>
      <c r="Q1608" s="27" t="s">
        <v>3734</v>
      </c>
      <c r="R1608" s="27" t="s">
        <v>283</v>
      </c>
    </row>
    <row r="1609" customFormat="false" ht="15" hidden="false" customHeight="false" outlineLevel="0" collapsed="false">
      <c r="A1609" s="25" t="n">
        <f aca="false">IF(G1609="REJECT",COUNTIF($G$2:$G$2277,"&lt;&gt;REJECT")+1+COUNTIFS($G$2:$G$2277,"REJECT",$B$2:$B$2277,"&gt;"&amp;B1609),1+COUNTIFS($G$2:$G$2277,"&lt;&gt;REJECT",$B$2:$B$2277,"&gt;"&amp;B1609))</f>
        <v>1608</v>
      </c>
      <c r="B1609" s="26" t="n">
        <f aca="false">ROUND(($U$2*MAX(0,MIN(1,($W$2-I1609)/($W$2-$V$2)))+$U$3*MAX(0,MIN(1,($W$3-J1609)/($W$3-$V$3)))+$U$4*MAX(0,MIN(1,($W$4-K1609)/($W$4-$V$4)))+$U$5*MAX(0,MIN(1,($W$5-L1609)/($W$5-$V$5)))+$U$6*MAX(0,MIN(1,($W$6-M1609)/($W$6-$V$6)))+$U$7*MAX(0,MIN(1,($W$7-N1609)/($W$7-$V$7)))+$U$8*IF(AND(O1609&gt;=$V$8,O1609&lt;=$W$8),1,0))/$U$9*100,2)</f>
        <v>59.54</v>
      </c>
      <c r="C1609" s="27" t="s">
        <v>1096</v>
      </c>
      <c r="D1609" s="25" t="s">
        <v>3459</v>
      </c>
      <c r="E1609" s="25" t="s">
        <v>3447</v>
      </c>
      <c r="F1609" s="25" t="s">
        <v>3457</v>
      </c>
      <c r="G1609" s="38" t="s">
        <v>30</v>
      </c>
      <c r="H1609" s="28" t="s">
        <v>25</v>
      </c>
      <c r="I1609" s="25" t="n">
        <v>4</v>
      </c>
      <c r="J1609" s="25" t="n">
        <v>1</v>
      </c>
      <c r="K1609" s="25" t="n">
        <v>4</v>
      </c>
      <c r="L1609" s="29" t="n">
        <v>0.76</v>
      </c>
      <c r="M1609" s="30" t="n">
        <v>11.99</v>
      </c>
      <c r="N1609" s="29" t="n">
        <v>0.64</v>
      </c>
      <c r="O1609" s="25" t="n">
        <v>185</v>
      </c>
      <c r="P1609" s="30" t="n">
        <v>3.3</v>
      </c>
      <c r="Q1609" s="27" t="s">
        <v>3751</v>
      </c>
      <c r="R1609" s="27" t="s">
        <v>283</v>
      </c>
    </row>
    <row r="1610" customFormat="false" ht="15" hidden="false" customHeight="false" outlineLevel="0" collapsed="false">
      <c r="A1610" s="25" t="n">
        <f aca="false">IF(G1610="REJECT",COUNTIF($G$2:$G$2277,"&lt;&gt;REJECT")+1+COUNTIFS($G$2:$G$2277,"REJECT",$B$2:$B$2277,"&gt;"&amp;B1610),1+COUNTIFS($G$2:$G$2277,"&lt;&gt;REJECT",$B$2:$B$2277,"&gt;"&amp;B1610))</f>
        <v>1609</v>
      </c>
      <c r="B1610" s="26" t="n">
        <f aca="false">ROUND(($U$2*MAX(0,MIN(1,($W$2-I1610)/($W$2-$V$2)))+$U$3*MAX(0,MIN(1,($W$3-J1610)/($W$3-$V$3)))+$U$4*MAX(0,MIN(1,($W$4-K1610)/($W$4-$V$4)))+$U$5*MAX(0,MIN(1,($W$5-L1610)/($W$5-$V$5)))+$U$6*MAX(0,MIN(1,($W$6-M1610)/($W$6-$V$6)))+$U$7*MAX(0,MIN(1,($W$7-N1610)/($W$7-$V$7)))+$U$8*IF(AND(O1610&gt;=$V$8,O1610&lt;=$W$8),1,0))/$U$9*100,2)</f>
        <v>59.48</v>
      </c>
      <c r="C1610" s="27" t="s">
        <v>1006</v>
      </c>
      <c r="D1610" s="25" t="s">
        <v>134</v>
      </c>
      <c r="E1610" s="25" t="s">
        <v>3447</v>
      </c>
      <c r="F1610" s="25" t="s">
        <v>3457</v>
      </c>
      <c r="G1610" s="38" t="s">
        <v>30</v>
      </c>
      <c r="H1610" s="28" t="s">
        <v>25</v>
      </c>
      <c r="I1610" s="25" t="n">
        <v>4</v>
      </c>
      <c r="J1610" s="25" t="n">
        <v>0</v>
      </c>
      <c r="K1610" s="25" t="n">
        <v>4</v>
      </c>
      <c r="L1610" s="29" t="n">
        <v>0.51</v>
      </c>
      <c r="M1610" s="30" t="n">
        <v>3.14</v>
      </c>
      <c r="N1610" s="29" t="n">
        <v>0</v>
      </c>
      <c r="O1610" s="25" t="n">
        <v>183</v>
      </c>
      <c r="P1610" s="30" t="n">
        <v>2.7</v>
      </c>
      <c r="Q1610" s="27" t="s">
        <v>3752</v>
      </c>
      <c r="R1610" s="27" t="s">
        <v>2610</v>
      </c>
    </row>
    <row r="1611" customFormat="false" ht="15" hidden="false" customHeight="false" outlineLevel="0" collapsed="false">
      <c r="A1611" s="25" t="n">
        <f aca="false">IF(G1611="REJECT",COUNTIF($G$2:$G$2277,"&lt;&gt;REJECT")+1+COUNTIFS($G$2:$G$2277,"REJECT",$B$2:$B$2277,"&gt;"&amp;B1611),1+COUNTIFS($G$2:$G$2277,"&lt;&gt;REJECT",$B$2:$B$2277,"&gt;"&amp;B1611))</f>
        <v>1610</v>
      </c>
      <c r="B1611" s="26" t="n">
        <f aca="false">ROUND(($U$2*MAX(0,MIN(1,($W$2-I1611)/($W$2-$V$2)))+$U$3*MAX(0,MIN(1,($W$3-J1611)/($W$3-$V$3)))+$U$4*MAX(0,MIN(1,($W$4-K1611)/($W$4-$V$4)))+$U$5*MAX(0,MIN(1,($W$5-L1611)/($W$5-$V$5)))+$U$6*MAX(0,MIN(1,($W$6-M1611)/($W$6-$V$6)))+$U$7*MAX(0,MIN(1,($W$7-N1611)/($W$7-$V$7)))+$U$8*IF(AND(O1611&gt;=$V$8,O1611&lt;=$W$8),1,0))/$U$9*100,2)</f>
        <v>59.47</v>
      </c>
      <c r="C1611" s="27" t="s">
        <v>1006</v>
      </c>
      <c r="D1611" s="25" t="s">
        <v>134</v>
      </c>
      <c r="E1611" s="25" t="s">
        <v>3450</v>
      </c>
      <c r="F1611" s="25" t="s">
        <v>3457</v>
      </c>
      <c r="G1611" s="38" t="s">
        <v>30</v>
      </c>
      <c r="H1611" s="28" t="s">
        <v>25</v>
      </c>
      <c r="I1611" s="25" t="n">
        <v>4</v>
      </c>
      <c r="J1611" s="25" t="n">
        <v>0</v>
      </c>
      <c r="K1611" s="25" t="n">
        <v>4</v>
      </c>
      <c r="L1611" s="29" t="n">
        <v>0.45</v>
      </c>
      <c r="M1611" s="30" t="n">
        <v>3.19</v>
      </c>
      <c r="N1611" s="29" t="n">
        <v>0</v>
      </c>
      <c r="O1611" s="25" t="n">
        <v>186</v>
      </c>
      <c r="P1611" s="30" t="n">
        <v>2.98</v>
      </c>
      <c r="Q1611" s="27" t="s">
        <v>3753</v>
      </c>
      <c r="R1611" s="27" t="s">
        <v>2328</v>
      </c>
    </row>
    <row r="1612" customFormat="false" ht="15" hidden="false" customHeight="false" outlineLevel="0" collapsed="false">
      <c r="A1612" s="25" t="n">
        <f aca="false">IF(G1612="REJECT",COUNTIF($G$2:$G$2277,"&lt;&gt;REJECT")+1+COUNTIFS($G$2:$G$2277,"REJECT",$B$2:$B$2277,"&gt;"&amp;B1612),1+COUNTIFS($G$2:$G$2277,"&lt;&gt;REJECT",$B$2:$B$2277,"&gt;"&amp;B1612))</f>
        <v>1611</v>
      </c>
      <c r="B1612" s="26" t="n">
        <f aca="false">ROUND(($U$2*MAX(0,MIN(1,($W$2-I1612)/($W$2-$V$2)))+$U$3*MAX(0,MIN(1,($W$3-J1612)/($W$3-$V$3)))+$U$4*MAX(0,MIN(1,($W$4-K1612)/($W$4-$V$4)))+$U$5*MAX(0,MIN(1,($W$5-L1612)/($W$5-$V$5)))+$U$6*MAX(0,MIN(1,($W$6-M1612)/($W$6-$V$6)))+$U$7*MAX(0,MIN(1,($W$7-N1612)/($W$7-$V$7)))+$U$8*IF(AND(O1612&gt;=$V$8,O1612&lt;=$W$8),1,0))/$U$9*100,2)</f>
        <v>59.41</v>
      </c>
      <c r="C1612" s="27" t="s">
        <v>3132</v>
      </c>
      <c r="D1612" s="25" t="s">
        <v>134</v>
      </c>
      <c r="E1612" s="25" t="s">
        <v>3450</v>
      </c>
      <c r="F1612" s="25" t="s">
        <v>3448</v>
      </c>
      <c r="G1612" s="38" t="s">
        <v>30</v>
      </c>
      <c r="H1612" s="28" t="s">
        <v>25</v>
      </c>
      <c r="I1612" s="25" t="n">
        <v>3</v>
      </c>
      <c r="J1612" s="25" t="n">
        <v>1</v>
      </c>
      <c r="K1612" s="25" t="n">
        <v>3</v>
      </c>
      <c r="L1612" s="29" t="n">
        <v>0.65</v>
      </c>
      <c r="M1612" s="30" t="n">
        <v>15.87</v>
      </c>
      <c r="N1612" s="29" t="n">
        <v>0.12</v>
      </c>
      <c r="O1612" s="25" t="n">
        <v>183</v>
      </c>
      <c r="P1612" s="30" t="n">
        <v>2.31</v>
      </c>
      <c r="Q1612" s="27" t="s">
        <v>3649</v>
      </c>
      <c r="R1612" s="27" t="s">
        <v>357</v>
      </c>
    </row>
    <row r="1613" customFormat="false" ht="15" hidden="false" customHeight="false" outlineLevel="0" collapsed="false">
      <c r="A1613" s="25" t="n">
        <f aca="false">IF(G1613="REJECT",COUNTIF($G$2:$G$2277,"&lt;&gt;REJECT")+1+COUNTIFS($G$2:$G$2277,"REJECT",$B$2:$B$2277,"&gt;"&amp;B1613),1+COUNTIFS($G$2:$G$2277,"&lt;&gt;REJECT",$B$2:$B$2277,"&gt;"&amp;B1613))</f>
        <v>1612</v>
      </c>
      <c r="B1613" s="26" t="n">
        <f aca="false">ROUND(($U$2*MAX(0,MIN(1,($W$2-I1613)/($W$2-$V$2)))+$U$3*MAX(0,MIN(1,($W$3-J1613)/($W$3-$V$3)))+$U$4*MAX(0,MIN(1,($W$4-K1613)/($W$4-$V$4)))+$U$5*MAX(0,MIN(1,($W$5-L1613)/($W$5-$V$5)))+$U$6*MAX(0,MIN(1,($W$6-M1613)/($W$6-$V$6)))+$U$7*MAX(0,MIN(1,($W$7-N1613)/($W$7-$V$7)))+$U$8*IF(AND(O1613&gt;=$V$8,O1613&lt;=$W$8),1,0))/$U$9*100,2)</f>
        <v>59.37</v>
      </c>
      <c r="C1613" s="27" t="s">
        <v>3117</v>
      </c>
      <c r="D1613" s="25" t="s">
        <v>3459</v>
      </c>
      <c r="E1613" s="25" t="s">
        <v>3447</v>
      </c>
      <c r="F1613" s="25" t="s">
        <v>3448</v>
      </c>
      <c r="G1613" s="38" t="s">
        <v>30</v>
      </c>
      <c r="H1613" s="33" t="s">
        <v>24</v>
      </c>
      <c r="I1613" s="25" t="n">
        <v>6</v>
      </c>
      <c r="J1613" s="25" t="n">
        <v>0</v>
      </c>
      <c r="K1613" s="25" t="n">
        <v>6</v>
      </c>
      <c r="L1613" s="29" t="n">
        <v>0.82</v>
      </c>
      <c r="M1613" s="30" t="n">
        <v>14.38</v>
      </c>
      <c r="N1613" s="29" t="n">
        <v>0.44</v>
      </c>
      <c r="O1613" s="25" t="n">
        <v>183</v>
      </c>
      <c r="P1613" s="30" t="n">
        <v>2.36</v>
      </c>
      <c r="Q1613" s="27" t="s">
        <v>3754</v>
      </c>
      <c r="R1613" s="27" t="s">
        <v>30</v>
      </c>
    </row>
    <row r="1614" customFormat="false" ht="15" hidden="false" customHeight="false" outlineLevel="0" collapsed="false">
      <c r="A1614" s="25" t="n">
        <f aca="false">IF(G1614="REJECT",COUNTIF($G$2:$G$2277,"&lt;&gt;REJECT")+1+COUNTIFS($G$2:$G$2277,"REJECT",$B$2:$B$2277,"&gt;"&amp;B1614),1+COUNTIFS($G$2:$G$2277,"&lt;&gt;REJECT",$B$2:$B$2277,"&gt;"&amp;B1614))</f>
        <v>1613</v>
      </c>
      <c r="B1614" s="26" t="n">
        <f aca="false">ROUND(($U$2*MAX(0,MIN(1,($W$2-I1614)/($W$2-$V$2)))+$U$3*MAX(0,MIN(1,($W$3-J1614)/($W$3-$V$3)))+$U$4*MAX(0,MIN(1,($W$4-K1614)/($W$4-$V$4)))+$U$5*MAX(0,MIN(1,($W$5-L1614)/($W$5-$V$5)))+$U$6*MAX(0,MIN(1,($W$6-M1614)/($W$6-$V$6)))+$U$7*MAX(0,MIN(1,($W$7-N1614)/($W$7-$V$7)))+$U$8*IF(AND(O1614&gt;=$V$8,O1614&lt;=$W$8),1,0))/$U$9*100,2)</f>
        <v>59.33</v>
      </c>
      <c r="C1614" s="27" t="s">
        <v>1197</v>
      </c>
      <c r="D1614" s="25" t="s">
        <v>3459</v>
      </c>
      <c r="E1614" s="25" t="s">
        <v>3447</v>
      </c>
      <c r="F1614" s="25" t="s">
        <v>3457</v>
      </c>
      <c r="G1614" s="38" t="s">
        <v>30</v>
      </c>
      <c r="H1614" s="28" t="s">
        <v>25</v>
      </c>
      <c r="I1614" s="25" t="n">
        <v>4</v>
      </c>
      <c r="J1614" s="25" t="n">
        <v>1</v>
      </c>
      <c r="K1614" s="25" t="n">
        <v>4</v>
      </c>
      <c r="L1614" s="29" t="n">
        <v>0.75</v>
      </c>
      <c r="M1614" s="30" t="n">
        <v>14.42</v>
      </c>
      <c r="N1614" s="29" t="n">
        <v>0.16</v>
      </c>
      <c r="O1614" s="25" t="n">
        <v>183</v>
      </c>
      <c r="P1614" s="30" t="n">
        <v>0.72</v>
      </c>
      <c r="Q1614" s="27" t="s">
        <v>3743</v>
      </c>
      <c r="R1614" s="27" t="s">
        <v>283</v>
      </c>
    </row>
    <row r="1615" customFormat="false" ht="15" hidden="false" customHeight="false" outlineLevel="0" collapsed="false">
      <c r="A1615" s="25" t="n">
        <f aca="false">IF(G1615="REJECT",COUNTIF($G$2:$G$2277,"&lt;&gt;REJECT")+1+COUNTIFS($G$2:$G$2277,"REJECT",$B$2:$B$2277,"&gt;"&amp;B1615),1+COUNTIFS($G$2:$G$2277,"&lt;&gt;REJECT",$B$2:$B$2277,"&gt;"&amp;B1615))</f>
        <v>1614</v>
      </c>
      <c r="B1615" s="26" t="n">
        <f aca="false">ROUND(($U$2*MAX(0,MIN(1,($W$2-I1615)/($W$2-$V$2)))+$U$3*MAX(0,MIN(1,($W$3-J1615)/($W$3-$V$3)))+$U$4*MAX(0,MIN(1,($W$4-K1615)/($W$4-$V$4)))+$U$5*MAX(0,MIN(1,($W$5-L1615)/($W$5-$V$5)))+$U$6*MAX(0,MIN(1,($W$6-M1615)/($W$6-$V$6)))+$U$7*MAX(0,MIN(1,($W$7-N1615)/($W$7-$V$7)))+$U$8*IF(AND(O1615&gt;=$V$8,O1615&lt;=$W$8),1,0))/$U$9*100,2)</f>
        <v>59.21</v>
      </c>
      <c r="C1615" s="27" t="s">
        <v>3188</v>
      </c>
      <c r="D1615" s="25" t="s">
        <v>134</v>
      </c>
      <c r="E1615" s="25" t="s">
        <v>3447</v>
      </c>
      <c r="F1615" s="25" t="s">
        <v>3457</v>
      </c>
      <c r="G1615" s="38" t="s">
        <v>30</v>
      </c>
      <c r="H1615" s="28" t="s">
        <v>25</v>
      </c>
      <c r="I1615" s="25" t="n">
        <v>4</v>
      </c>
      <c r="J1615" s="25" t="n">
        <v>1</v>
      </c>
      <c r="K1615" s="25" t="n">
        <v>4</v>
      </c>
      <c r="L1615" s="29" t="n">
        <v>0.74</v>
      </c>
      <c r="M1615" s="30" t="n">
        <v>3.97</v>
      </c>
      <c r="N1615" s="29" t="n">
        <v>0.92</v>
      </c>
      <c r="O1615" s="25" t="n">
        <v>186</v>
      </c>
      <c r="P1615" s="30" t="n">
        <v>-1.02</v>
      </c>
      <c r="Q1615" s="27" t="s">
        <v>3734</v>
      </c>
      <c r="R1615" s="27" t="s">
        <v>1152</v>
      </c>
    </row>
    <row r="1616" customFormat="false" ht="15" hidden="false" customHeight="false" outlineLevel="0" collapsed="false">
      <c r="A1616" s="25" t="n">
        <f aca="false">IF(G1616="REJECT",COUNTIF($G$2:$G$2277,"&lt;&gt;REJECT")+1+COUNTIFS($G$2:$G$2277,"REJECT",$B$2:$B$2277,"&gt;"&amp;B1616),1+COUNTIFS($G$2:$G$2277,"&lt;&gt;REJECT",$B$2:$B$2277,"&gt;"&amp;B1616))</f>
        <v>1615</v>
      </c>
      <c r="B1616" s="26" t="n">
        <f aca="false">ROUND(($U$2*MAX(0,MIN(1,($W$2-I1616)/($W$2-$V$2)))+$U$3*MAX(0,MIN(1,($W$3-J1616)/($W$3-$V$3)))+$U$4*MAX(0,MIN(1,($W$4-K1616)/($W$4-$V$4)))+$U$5*MAX(0,MIN(1,($W$5-L1616)/($W$5-$V$5)))+$U$6*MAX(0,MIN(1,($W$6-M1616)/($W$6-$V$6)))+$U$7*MAX(0,MIN(1,($W$7-N1616)/($W$7-$V$7)))+$U$8*IF(AND(O1616&gt;=$V$8,O1616&lt;=$W$8),1,0))/$U$9*100,2)</f>
        <v>59.15</v>
      </c>
      <c r="C1616" s="27" t="s">
        <v>1355</v>
      </c>
      <c r="D1616" s="25" t="s">
        <v>134</v>
      </c>
      <c r="E1616" s="25" t="s">
        <v>3450</v>
      </c>
      <c r="F1616" s="25" t="s">
        <v>3448</v>
      </c>
      <c r="G1616" s="38" t="s">
        <v>30</v>
      </c>
      <c r="H1616" s="28" t="s">
        <v>25</v>
      </c>
      <c r="I1616" s="25" t="n">
        <v>3</v>
      </c>
      <c r="J1616" s="25" t="n">
        <v>1</v>
      </c>
      <c r="K1616" s="25" t="n">
        <v>3</v>
      </c>
      <c r="L1616" s="29" t="n">
        <v>0.64</v>
      </c>
      <c r="M1616" s="30" t="n">
        <v>6.6</v>
      </c>
      <c r="N1616" s="29" t="n">
        <v>0.84</v>
      </c>
      <c r="O1616" s="25" t="n">
        <v>186</v>
      </c>
      <c r="P1616" s="30" t="n">
        <v>4.32</v>
      </c>
      <c r="Q1616" s="27" t="s">
        <v>3695</v>
      </c>
      <c r="R1616" s="27" t="s">
        <v>283</v>
      </c>
    </row>
    <row r="1617" customFormat="false" ht="15" hidden="false" customHeight="false" outlineLevel="0" collapsed="false">
      <c r="A1617" s="25" t="n">
        <f aca="false">IF(G1617="REJECT",COUNTIF($G$2:$G$2277,"&lt;&gt;REJECT")+1+COUNTIFS($G$2:$G$2277,"REJECT",$B$2:$B$2277,"&gt;"&amp;B1617),1+COUNTIFS($G$2:$G$2277,"&lt;&gt;REJECT",$B$2:$B$2277,"&gt;"&amp;B1617))</f>
        <v>1616</v>
      </c>
      <c r="B1617" s="26" t="n">
        <f aca="false">ROUND(($U$2*MAX(0,MIN(1,($W$2-I1617)/($W$2-$V$2)))+$U$3*MAX(0,MIN(1,($W$3-J1617)/($W$3-$V$3)))+$U$4*MAX(0,MIN(1,($W$4-K1617)/($W$4-$V$4)))+$U$5*MAX(0,MIN(1,($W$5-L1617)/($W$5-$V$5)))+$U$6*MAX(0,MIN(1,($W$6-M1617)/($W$6-$V$6)))+$U$7*MAX(0,MIN(1,($W$7-N1617)/($W$7-$V$7)))+$U$8*IF(AND(O1617&gt;=$V$8,O1617&lt;=$W$8),1,0))/$U$9*100,2)</f>
        <v>59.13</v>
      </c>
      <c r="C1617" s="27" t="s">
        <v>1761</v>
      </c>
      <c r="D1617" s="25" t="s">
        <v>3459</v>
      </c>
      <c r="E1617" s="25" t="s">
        <v>3450</v>
      </c>
      <c r="F1617" s="25" t="s">
        <v>3448</v>
      </c>
      <c r="G1617" s="38" t="s">
        <v>30</v>
      </c>
      <c r="H1617" s="28" t="s">
        <v>25</v>
      </c>
      <c r="I1617" s="25" t="n">
        <v>3</v>
      </c>
      <c r="J1617" s="25" t="n">
        <v>1</v>
      </c>
      <c r="K1617" s="25" t="n">
        <v>3</v>
      </c>
      <c r="L1617" s="29" t="n">
        <v>0.68</v>
      </c>
      <c r="M1617" s="30" t="n">
        <v>21.91</v>
      </c>
      <c r="N1617" s="29" t="n">
        <v>0.76</v>
      </c>
      <c r="O1617" s="25" t="n">
        <v>183</v>
      </c>
      <c r="P1617" s="30" t="n">
        <v>11.06</v>
      </c>
      <c r="Q1617" s="27" t="s">
        <v>3649</v>
      </c>
      <c r="R1617" s="27" t="s">
        <v>183</v>
      </c>
    </row>
    <row r="1618" customFormat="false" ht="15" hidden="false" customHeight="false" outlineLevel="0" collapsed="false">
      <c r="A1618" s="25" t="n">
        <f aca="false">IF(G1618="REJECT",COUNTIF($G$2:$G$2277,"&lt;&gt;REJECT")+1+COUNTIFS($G$2:$G$2277,"REJECT",$B$2:$B$2277,"&gt;"&amp;B1618),1+COUNTIFS($G$2:$G$2277,"&lt;&gt;REJECT",$B$2:$B$2277,"&gt;"&amp;B1618))</f>
        <v>1617</v>
      </c>
      <c r="B1618" s="26" t="n">
        <f aca="false">ROUND(($U$2*MAX(0,MIN(1,($W$2-I1618)/($W$2-$V$2)))+$U$3*MAX(0,MIN(1,($W$3-J1618)/($W$3-$V$3)))+$U$4*MAX(0,MIN(1,($W$4-K1618)/($W$4-$V$4)))+$U$5*MAX(0,MIN(1,($W$5-L1618)/($W$5-$V$5)))+$U$6*MAX(0,MIN(1,($W$6-M1618)/($W$6-$V$6)))+$U$7*MAX(0,MIN(1,($W$7-N1618)/($W$7-$V$7)))+$U$8*IF(AND(O1618&gt;=$V$8,O1618&lt;=$W$8),1,0))/$U$9*100,2)</f>
        <v>59.1</v>
      </c>
      <c r="C1618" s="27" t="s">
        <v>1509</v>
      </c>
      <c r="D1618" s="25" t="s">
        <v>134</v>
      </c>
      <c r="E1618" s="25" t="s">
        <v>3447</v>
      </c>
      <c r="F1618" s="25" t="s">
        <v>3457</v>
      </c>
      <c r="G1618" s="38" t="s">
        <v>30</v>
      </c>
      <c r="H1618" s="33" t="s">
        <v>24</v>
      </c>
      <c r="I1618" s="25" t="n">
        <v>6</v>
      </c>
      <c r="J1618" s="25" t="n">
        <v>0</v>
      </c>
      <c r="K1618" s="25" t="n">
        <v>6</v>
      </c>
      <c r="L1618" s="29" t="n">
        <v>0.77</v>
      </c>
      <c r="M1618" s="30" t="n">
        <v>-0.83</v>
      </c>
      <c r="N1618" s="29" t="n">
        <v>0.96</v>
      </c>
      <c r="O1618" s="25" t="n">
        <v>184</v>
      </c>
      <c r="P1618" s="30" t="n">
        <v>1.08</v>
      </c>
      <c r="Q1618" s="27" t="s">
        <v>3755</v>
      </c>
      <c r="R1618" s="27" t="s">
        <v>30</v>
      </c>
    </row>
    <row r="1619" customFormat="false" ht="15" hidden="false" customHeight="false" outlineLevel="0" collapsed="false">
      <c r="A1619" s="25" t="n">
        <f aca="false">IF(G1619="REJECT",COUNTIF($G$2:$G$2277,"&lt;&gt;REJECT")+1+COUNTIFS($G$2:$G$2277,"REJECT",$B$2:$B$2277,"&gt;"&amp;B1619),1+COUNTIFS($G$2:$G$2277,"&lt;&gt;REJECT",$B$2:$B$2277,"&gt;"&amp;B1619))</f>
        <v>1618</v>
      </c>
      <c r="B1619" s="26" t="n">
        <f aca="false">ROUND(($U$2*MAX(0,MIN(1,($W$2-I1619)/($W$2-$V$2)))+$U$3*MAX(0,MIN(1,($W$3-J1619)/($W$3-$V$3)))+$U$4*MAX(0,MIN(1,($W$4-K1619)/($W$4-$V$4)))+$U$5*MAX(0,MIN(1,($W$5-L1619)/($W$5-$V$5)))+$U$6*MAX(0,MIN(1,($W$6-M1619)/($W$6-$V$6)))+$U$7*MAX(0,MIN(1,($W$7-N1619)/($W$7-$V$7)))+$U$8*IF(AND(O1619&gt;=$V$8,O1619&lt;=$W$8),1,0))/$U$9*100,2)</f>
        <v>59.09</v>
      </c>
      <c r="C1619" s="27" t="s">
        <v>3259</v>
      </c>
      <c r="D1619" s="25" t="s">
        <v>3459</v>
      </c>
      <c r="E1619" s="25" t="s">
        <v>3450</v>
      </c>
      <c r="F1619" s="25" t="s">
        <v>3457</v>
      </c>
      <c r="G1619" s="38" t="s">
        <v>30</v>
      </c>
      <c r="H1619" s="28" t="s">
        <v>25</v>
      </c>
      <c r="I1619" s="25" t="n">
        <v>4</v>
      </c>
      <c r="J1619" s="25" t="n">
        <v>0</v>
      </c>
      <c r="K1619" s="25" t="n">
        <v>4</v>
      </c>
      <c r="L1619" s="29" t="n">
        <v>0.62</v>
      </c>
      <c r="M1619" s="30" t="n">
        <v>23.09</v>
      </c>
      <c r="N1619" s="29" t="n">
        <v>0.76</v>
      </c>
      <c r="O1619" s="25" t="n">
        <v>183</v>
      </c>
      <c r="P1619" s="30" t="n">
        <v>17.51</v>
      </c>
      <c r="Q1619" s="27" t="s">
        <v>3756</v>
      </c>
      <c r="R1619" s="27" t="s">
        <v>992</v>
      </c>
    </row>
    <row r="1620" customFormat="false" ht="15" hidden="false" customHeight="false" outlineLevel="0" collapsed="false">
      <c r="A1620" s="25" t="n">
        <f aca="false">IF(G1620="REJECT",COUNTIF($G$2:$G$2277,"&lt;&gt;REJECT")+1+COUNTIFS($G$2:$G$2277,"REJECT",$B$2:$B$2277,"&gt;"&amp;B1620),1+COUNTIFS($G$2:$G$2277,"&lt;&gt;REJECT",$B$2:$B$2277,"&gt;"&amp;B1620))</f>
        <v>1619</v>
      </c>
      <c r="B1620" s="26" t="n">
        <f aca="false">ROUND(($U$2*MAX(0,MIN(1,($W$2-I1620)/($W$2-$V$2)))+$U$3*MAX(0,MIN(1,($W$3-J1620)/($W$3-$V$3)))+$U$4*MAX(0,MIN(1,($W$4-K1620)/($W$4-$V$4)))+$U$5*MAX(0,MIN(1,($W$5-L1620)/($W$5-$V$5)))+$U$6*MAX(0,MIN(1,($W$6-M1620)/($W$6-$V$6)))+$U$7*MAX(0,MIN(1,($W$7-N1620)/($W$7-$V$7)))+$U$8*IF(AND(O1620&gt;=$V$8,O1620&lt;=$W$8),1,0))/$U$9*100,2)</f>
        <v>59.08</v>
      </c>
      <c r="C1620" s="27" t="s">
        <v>2447</v>
      </c>
      <c r="D1620" s="25" t="s">
        <v>134</v>
      </c>
      <c r="E1620" s="25" t="s">
        <v>3450</v>
      </c>
      <c r="F1620" s="25" t="s">
        <v>3448</v>
      </c>
      <c r="G1620" s="38" t="s">
        <v>30</v>
      </c>
      <c r="H1620" s="28" t="s">
        <v>25</v>
      </c>
      <c r="I1620" s="25" t="n">
        <v>5</v>
      </c>
      <c r="J1620" s="25" t="n">
        <v>0</v>
      </c>
      <c r="K1620" s="25" t="n">
        <v>5</v>
      </c>
      <c r="L1620" s="29" t="n">
        <v>0.67</v>
      </c>
      <c r="M1620" s="30" t="n">
        <v>7.21</v>
      </c>
      <c r="N1620" s="29" t="n">
        <v>0.4</v>
      </c>
      <c r="O1620" s="25" t="n">
        <v>184</v>
      </c>
      <c r="P1620" s="30" t="n">
        <v>-1.06</v>
      </c>
      <c r="Q1620" s="27" t="s">
        <v>3757</v>
      </c>
      <c r="R1620" s="27" t="s">
        <v>2559</v>
      </c>
    </row>
    <row r="1621" customFormat="false" ht="15" hidden="false" customHeight="false" outlineLevel="0" collapsed="false">
      <c r="A1621" s="25" t="n">
        <f aca="false">IF(G1621="REJECT",COUNTIF($G$2:$G$2277,"&lt;&gt;REJECT")+1+COUNTIFS($G$2:$G$2277,"REJECT",$B$2:$B$2277,"&gt;"&amp;B1621),1+COUNTIFS($G$2:$G$2277,"&lt;&gt;REJECT",$B$2:$B$2277,"&gt;"&amp;B1621))</f>
        <v>1620</v>
      </c>
      <c r="B1621" s="26" t="n">
        <f aca="false">ROUND(($U$2*MAX(0,MIN(1,($W$2-I1621)/($W$2-$V$2)))+$U$3*MAX(0,MIN(1,($W$3-J1621)/($W$3-$V$3)))+$U$4*MAX(0,MIN(1,($W$4-K1621)/($W$4-$V$4)))+$U$5*MAX(0,MIN(1,($W$5-L1621)/($W$5-$V$5)))+$U$6*MAX(0,MIN(1,($W$6-M1621)/($W$6-$V$6)))+$U$7*MAX(0,MIN(1,($W$7-N1621)/($W$7-$V$7)))+$U$8*IF(AND(O1621&gt;=$V$8,O1621&lt;=$W$8),1,0))/$U$9*100,2)</f>
        <v>59.04</v>
      </c>
      <c r="C1621" s="27" t="s">
        <v>437</v>
      </c>
      <c r="D1621" s="25" t="s">
        <v>3459</v>
      </c>
      <c r="E1621" s="25" t="s">
        <v>3450</v>
      </c>
      <c r="F1621" s="25" t="s">
        <v>3457</v>
      </c>
      <c r="G1621" s="38" t="s">
        <v>30</v>
      </c>
      <c r="H1621" s="28" t="s">
        <v>25</v>
      </c>
      <c r="I1621" s="25" t="n">
        <v>3</v>
      </c>
      <c r="J1621" s="25" t="n">
        <v>1</v>
      </c>
      <c r="K1621" s="25" t="n">
        <v>3</v>
      </c>
      <c r="L1621" s="29" t="n">
        <v>0.64</v>
      </c>
      <c r="M1621" s="30" t="n">
        <v>13.68</v>
      </c>
      <c r="N1621" s="29" t="n">
        <v>0.2</v>
      </c>
      <c r="O1621" s="25" t="n">
        <v>183</v>
      </c>
      <c r="P1621" s="30" t="n">
        <v>16.7</v>
      </c>
      <c r="Q1621" s="27" t="s">
        <v>3664</v>
      </c>
      <c r="R1621" s="27" t="s">
        <v>283</v>
      </c>
    </row>
    <row r="1622" customFormat="false" ht="15" hidden="false" customHeight="false" outlineLevel="0" collapsed="false">
      <c r="A1622" s="25" t="n">
        <f aca="false">IF(G1622="REJECT",COUNTIF($G$2:$G$2277,"&lt;&gt;REJECT")+1+COUNTIFS($G$2:$G$2277,"REJECT",$B$2:$B$2277,"&gt;"&amp;B1622),1+COUNTIFS($G$2:$G$2277,"&lt;&gt;REJECT",$B$2:$B$2277,"&gt;"&amp;B1622))</f>
        <v>1621</v>
      </c>
      <c r="B1622" s="26" t="n">
        <f aca="false">ROUND(($U$2*MAX(0,MIN(1,($W$2-I1622)/($W$2-$V$2)))+$U$3*MAX(0,MIN(1,($W$3-J1622)/($W$3-$V$3)))+$U$4*MAX(0,MIN(1,($W$4-K1622)/($W$4-$V$4)))+$U$5*MAX(0,MIN(1,($W$5-L1622)/($W$5-$V$5)))+$U$6*MAX(0,MIN(1,($W$6-M1622)/($W$6-$V$6)))+$U$7*MAX(0,MIN(1,($W$7-N1622)/($W$7-$V$7)))+$U$8*IF(AND(O1622&gt;=$V$8,O1622&lt;=$W$8),1,0))/$U$9*100,2)</f>
        <v>59.03</v>
      </c>
      <c r="C1622" s="27" t="s">
        <v>2595</v>
      </c>
      <c r="D1622" s="25" t="s">
        <v>134</v>
      </c>
      <c r="E1622" s="25" t="s">
        <v>3450</v>
      </c>
      <c r="F1622" s="25" t="s">
        <v>3448</v>
      </c>
      <c r="G1622" s="38" t="s">
        <v>30</v>
      </c>
      <c r="H1622" s="28" t="s">
        <v>25</v>
      </c>
      <c r="I1622" s="25" t="n">
        <v>3</v>
      </c>
      <c r="J1622" s="25" t="n">
        <v>1</v>
      </c>
      <c r="K1622" s="25" t="n">
        <v>3</v>
      </c>
      <c r="L1622" s="29" t="n">
        <v>0.67</v>
      </c>
      <c r="M1622" s="30" t="n">
        <v>18.51</v>
      </c>
      <c r="N1622" s="29" t="n">
        <v>0.8</v>
      </c>
      <c r="O1622" s="25" t="n">
        <v>182</v>
      </c>
      <c r="P1622" s="30" t="n">
        <v>1.54</v>
      </c>
      <c r="Q1622" s="27" t="s">
        <v>3695</v>
      </c>
      <c r="R1622" s="27" t="s">
        <v>1230</v>
      </c>
    </row>
    <row r="1623" customFormat="false" ht="15" hidden="false" customHeight="false" outlineLevel="0" collapsed="false">
      <c r="A1623" s="25" t="n">
        <f aca="false">IF(G1623="REJECT",COUNTIF($G$2:$G$2277,"&lt;&gt;REJECT")+1+COUNTIFS($G$2:$G$2277,"REJECT",$B$2:$B$2277,"&gt;"&amp;B1623),1+COUNTIFS($G$2:$G$2277,"&lt;&gt;REJECT",$B$2:$B$2277,"&gt;"&amp;B1623))</f>
        <v>1622</v>
      </c>
      <c r="B1623" s="26" t="n">
        <f aca="false">ROUND(($U$2*MAX(0,MIN(1,($W$2-I1623)/($W$2-$V$2)))+$U$3*MAX(0,MIN(1,($W$3-J1623)/($W$3-$V$3)))+$U$4*MAX(0,MIN(1,($W$4-K1623)/($W$4-$V$4)))+$U$5*MAX(0,MIN(1,($W$5-L1623)/($W$5-$V$5)))+$U$6*MAX(0,MIN(1,($W$6-M1623)/($W$6-$V$6)))+$U$7*MAX(0,MIN(1,($W$7-N1623)/($W$7-$V$7)))+$U$8*IF(AND(O1623&gt;=$V$8,O1623&lt;=$W$8),1,0))/$U$9*100,2)</f>
        <v>58.94</v>
      </c>
      <c r="C1623" s="27" t="s">
        <v>2799</v>
      </c>
      <c r="D1623" s="25" t="s">
        <v>134</v>
      </c>
      <c r="E1623" s="25" t="s">
        <v>3447</v>
      </c>
      <c r="F1623" s="25" t="s">
        <v>3457</v>
      </c>
      <c r="G1623" s="38" t="s">
        <v>30</v>
      </c>
      <c r="H1623" s="28" t="s">
        <v>25</v>
      </c>
      <c r="I1623" s="25" t="n">
        <v>6</v>
      </c>
      <c r="J1623" s="25" t="n">
        <v>0</v>
      </c>
      <c r="K1623" s="25" t="n">
        <v>6</v>
      </c>
      <c r="L1623" s="29" t="n">
        <v>0.78</v>
      </c>
      <c r="M1623" s="30" t="n">
        <v>5.79</v>
      </c>
      <c r="N1623" s="29" t="n">
        <v>0.84</v>
      </c>
      <c r="O1623" s="25" t="n">
        <v>186</v>
      </c>
      <c r="P1623" s="30" t="n">
        <v>-1.18</v>
      </c>
      <c r="Q1623" s="27" t="s">
        <v>3758</v>
      </c>
      <c r="R1623" s="27" t="s">
        <v>2133</v>
      </c>
    </row>
    <row r="1624" customFormat="false" ht="15" hidden="false" customHeight="false" outlineLevel="0" collapsed="false">
      <c r="A1624" s="25" t="n">
        <f aca="false">IF(G1624="REJECT",COUNTIF($G$2:$G$2277,"&lt;&gt;REJECT")+1+COUNTIFS($G$2:$G$2277,"REJECT",$B$2:$B$2277,"&gt;"&amp;B1624),1+COUNTIFS($G$2:$G$2277,"&lt;&gt;REJECT",$B$2:$B$2277,"&gt;"&amp;B1624))</f>
        <v>1623</v>
      </c>
      <c r="B1624" s="26" t="n">
        <f aca="false">ROUND(($U$2*MAX(0,MIN(1,($W$2-I1624)/($W$2-$V$2)))+$U$3*MAX(0,MIN(1,($W$3-J1624)/($W$3-$V$3)))+$U$4*MAX(0,MIN(1,($W$4-K1624)/($W$4-$V$4)))+$U$5*MAX(0,MIN(1,($W$5-L1624)/($W$5-$V$5)))+$U$6*MAX(0,MIN(1,($W$6-M1624)/($W$6-$V$6)))+$U$7*MAX(0,MIN(1,($W$7-N1624)/($W$7-$V$7)))+$U$8*IF(AND(O1624&gt;=$V$8,O1624&lt;=$W$8),1,0))/$U$9*100,2)</f>
        <v>58.93</v>
      </c>
      <c r="C1624" s="27" t="s">
        <v>1799</v>
      </c>
      <c r="D1624" s="25" t="s">
        <v>134</v>
      </c>
      <c r="E1624" s="25" t="s">
        <v>3450</v>
      </c>
      <c r="F1624" s="25" t="s">
        <v>3448</v>
      </c>
      <c r="G1624" s="38" t="s">
        <v>30</v>
      </c>
      <c r="H1624" s="28" t="s">
        <v>25</v>
      </c>
      <c r="I1624" s="25" t="n">
        <v>4</v>
      </c>
      <c r="J1624" s="25" t="n">
        <v>1</v>
      </c>
      <c r="K1624" s="25" t="n">
        <v>4</v>
      </c>
      <c r="L1624" s="29" t="n">
        <v>0.72</v>
      </c>
      <c r="M1624" s="30" t="n">
        <v>0.41</v>
      </c>
      <c r="N1624" s="29" t="n">
        <v>0.72</v>
      </c>
      <c r="O1624" s="25" t="n">
        <v>184</v>
      </c>
      <c r="P1624" s="30" t="n">
        <v>4.41</v>
      </c>
      <c r="Q1624" s="27" t="s">
        <v>3759</v>
      </c>
      <c r="R1624" s="27" t="s">
        <v>1152</v>
      </c>
    </row>
    <row r="1625" customFormat="false" ht="15" hidden="false" customHeight="false" outlineLevel="0" collapsed="false">
      <c r="A1625" s="25" t="n">
        <f aca="false">IF(G1625="REJECT",COUNTIF($G$2:$G$2277,"&lt;&gt;REJECT")+1+COUNTIFS($G$2:$G$2277,"REJECT",$B$2:$B$2277,"&gt;"&amp;B1625),1+COUNTIFS($G$2:$G$2277,"&lt;&gt;REJECT",$B$2:$B$2277,"&gt;"&amp;B1625))</f>
        <v>1624</v>
      </c>
      <c r="B1625" s="26" t="n">
        <f aca="false">ROUND(($U$2*MAX(0,MIN(1,($W$2-I1625)/($W$2-$V$2)))+$U$3*MAX(0,MIN(1,($W$3-J1625)/($W$3-$V$3)))+$U$4*MAX(0,MIN(1,($W$4-K1625)/($W$4-$V$4)))+$U$5*MAX(0,MIN(1,($W$5-L1625)/($W$5-$V$5)))+$U$6*MAX(0,MIN(1,($W$6-M1625)/($W$6-$V$6)))+$U$7*MAX(0,MIN(1,($W$7-N1625)/($W$7-$V$7)))+$U$8*IF(AND(O1625&gt;=$V$8,O1625&lt;=$W$8),1,0))/$U$9*100,2)</f>
        <v>58.83</v>
      </c>
      <c r="C1625" s="27" t="s">
        <v>437</v>
      </c>
      <c r="D1625" s="25" t="s">
        <v>3459</v>
      </c>
      <c r="E1625" s="25" t="s">
        <v>3447</v>
      </c>
      <c r="F1625" s="25" t="s">
        <v>3448</v>
      </c>
      <c r="G1625" s="38" t="s">
        <v>30</v>
      </c>
      <c r="H1625" s="33" t="s">
        <v>24</v>
      </c>
      <c r="I1625" s="25" t="n">
        <v>5</v>
      </c>
      <c r="J1625" s="25" t="n">
        <v>0</v>
      </c>
      <c r="K1625" s="25" t="n">
        <v>5</v>
      </c>
      <c r="L1625" s="29" t="n">
        <v>0.69</v>
      </c>
      <c r="M1625" s="30" t="n">
        <v>11.54</v>
      </c>
      <c r="N1625" s="29" t="n">
        <v>0.84</v>
      </c>
      <c r="O1625" s="25" t="n">
        <v>183</v>
      </c>
      <c r="P1625" s="30" t="n">
        <v>4.98</v>
      </c>
      <c r="Q1625" s="27" t="s">
        <v>3760</v>
      </c>
      <c r="R1625" s="27" t="s">
        <v>30</v>
      </c>
    </row>
    <row r="1626" customFormat="false" ht="15" hidden="false" customHeight="false" outlineLevel="0" collapsed="false">
      <c r="A1626" s="25" t="n">
        <f aca="false">IF(G1626="REJECT",COUNTIF($G$2:$G$2277,"&lt;&gt;REJECT")+1+COUNTIFS($G$2:$G$2277,"REJECT",$B$2:$B$2277,"&gt;"&amp;B1626),1+COUNTIFS($G$2:$G$2277,"&lt;&gt;REJECT",$B$2:$B$2277,"&gt;"&amp;B1626))</f>
        <v>1625</v>
      </c>
      <c r="B1626" s="26" t="n">
        <f aca="false">ROUND(($U$2*MAX(0,MIN(1,($W$2-I1626)/($W$2-$V$2)))+$U$3*MAX(0,MIN(1,($W$3-J1626)/($W$3-$V$3)))+$U$4*MAX(0,MIN(1,($W$4-K1626)/($W$4-$V$4)))+$U$5*MAX(0,MIN(1,($W$5-L1626)/($W$5-$V$5)))+$U$6*MAX(0,MIN(1,($W$6-M1626)/($W$6-$V$6)))+$U$7*MAX(0,MIN(1,($W$7-N1626)/($W$7-$V$7)))+$U$8*IF(AND(O1626&gt;=$V$8,O1626&lt;=$W$8),1,0))/$U$9*100,2)</f>
        <v>58.8</v>
      </c>
      <c r="C1626" s="27" t="s">
        <v>1227</v>
      </c>
      <c r="D1626" s="25" t="s">
        <v>134</v>
      </c>
      <c r="E1626" s="25" t="s">
        <v>3447</v>
      </c>
      <c r="F1626" s="25" t="s">
        <v>3448</v>
      </c>
      <c r="G1626" s="38" t="s">
        <v>30</v>
      </c>
      <c r="H1626" s="28" t="s">
        <v>25</v>
      </c>
      <c r="I1626" s="25" t="n">
        <v>4</v>
      </c>
      <c r="J1626" s="25" t="n">
        <v>1</v>
      </c>
      <c r="K1626" s="25" t="n">
        <v>4</v>
      </c>
      <c r="L1626" s="29" t="n">
        <v>0.76</v>
      </c>
      <c r="M1626" s="30" t="n">
        <v>14.81</v>
      </c>
      <c r="N1626" s="29" t="n">
        <v>0.8</v>
      </c>
      <c r="O1626" s="25" t="n">
        <v>209</v>
      </c>
      <c r="P1626" s="30" t="n">
        <v>1.23</v>
      </c>
      <c r="Q1626" s="27" t="s">
        <v>3737</v>
      </c>
      <c r="R1626" s="27" t="s">
        <v>283</v>
      </c>
    </row>
    <row r="1627" customFormat="false" ht="15" hidden="false" customHeight="false" outlineLevel="0" collapsed="false">
      <c r="A1627" s="25" t="n">
        <f aca="false">IF(G1627="REJECT",COUNTIF($G$2:$G$2277,"&lt;&gt;REJECT")+1+COUNTIFS($G$2:$G$2277,"REJECT",$B$2:$B$2277,"&gt;"&amp;B1627),1+COUNTIFS($G$2:$G$2277,"&lt;&gt;REJECT",$B$2:$B$2277,"&gt;"&amp;B1627))</f>
        <v>1626</v>
      </c>
      <c r="B1627" s="26" t="n">
        <f aca="false">ROUND(($U$2*MAX(0,MIN(1,($W$2-I1627)/($W$2-$V$2)))+$U$3*MAX(0,MIN(1,($W$3-J1627)/($W$3-$V$3)))+$U$4*MAX(0,MIN(1,($W$4-K1627)/($W$4-$V$4)))+$U$5*MAX(0,MIN(1,($W$5-L1627)/($W$5-$V$5)))+$U$6*MAX(0,MIN(1,($W$6-M1627)/($W$6-$V$6)))+$U$7*MAX(0,MIN(1,($W$7-N1627)/($W$7-$V$7)))+$U$8*IF(AND(O1627&gt;=$V$8,O1627&lt;=$W$8),1,0))/$U$9*100,2)</f>
        <v>58.78</v>
      </c>
      <c r="C1627" s="27" t="s">
        <v>911</v>
      </c>
      <c r="D1627" s="25" t="s">
        <v>134</v>
      </c>
      <c r="E1627" s="25" t="s">
        <v>3447</v>
      </c>
      <c r="F1627" s="25" t="s">
        <v>3448</v>
      </c>
      <c r="G1627" s="38" t="s">
        <v>30</v>
      </c>
      <c r="H1627" s="28" t="s">
        <v>25</v>
      </c>
      <c r="I1627" s="25" t="n">
        <v>3</v>
      </c>
      <c r="J1627" s="25" t="n">
        <v>1</v>
      </c>
      <c r="K1627" s="25" t="n">
        <v>3</v>
      </c>
      <c r="L1627" s="29" t="n">
        <v>0.65</v>
      </c>
      <c r="M1627" s="30" t="n">
        <v>12.05</v>
      </c>
      <c r="N1627" s="29" t="n">
        <v>0.88</v>
      </c>
      <c r="O1627" s="25" t="n">
        <v>185</v>
      </c>
      <c r="P1627" s="30" t="n">
        <v>4.59</v>
      </c>
      <c r="Q1627" s="27" t="s">
        <v>3649</v>
      </c>
      <c r="R1627" s="27" t="s">
        <v>283</v>
      </c>
    </row>
    <row r="1628" customFormat="false" ht="15" hidden="false" customHeight="false" outlineLevel="0" collapsed="false">
      <c r="A1628" s="25" t="n">
        <f aca="false">IF(G1628="REJECT",COUNTIF($G$2:$G$2277,"&lt;&gt;REJECT")+1+COUNTIFS($G$2:$G$2277,"REJECT",$B$2:$B$2277,"&gt;"&amp;B1628),1+COUNTIFS($G$2:$G$2277,"&lt;&gt;REJECT",$B$2:$B$2277,"&gt;"&amp;B1628))</f>
        <v>1627</v>
      </c>
      <c r="B1628" s="26" t="n">
        <f aca="false">ROUND(($U$2*MAX(0,MIN(1,($W$2-I1628)/($W$2-$V$2)))+$U$3*MAX(0,MIN(1,($W$3-J1628)/($W$3-$V$3)))+$U$4*MAX(0,MIN(1,($W$4-K1628)/($W$4-$V$4)))+$U$5*MAX(0,MIN(1,($W$5-L1628)/($W$5-$V$5)))+$U$6*MAX(0,MIN(1,($W$6-M1628)/($W$6-$V$6)))+$U$7*MAX(0,MIN(1,($W$7-N1628)/($W$7-$V$7)))+$U$8*IF(AND(O1628&gt;=$V$8,O1628&lt;=$W$8),1,0))/$U$9*100,2)</f>
        <v>58.55</v>
      </c>
      <c r="C1628" s="27" t="s">
        <v>1787</v>
      </c>
      <c r="D1628" s="25" t="s">
        <v>3459</v>
      </c>
      <c r="E1628" s="25" t="s">
        <v>3450</v>
      </c>
      <c r="F1628" s="25" t="s">
        <v>3457</v>
      </c>
      <c r="G1628" s="38" t="s">
        <v>30</v>
      </c>
      <c r="H1628" s="28" t="s">
        <v>25</v>
      </c>
      <c r="I1628" s="25" t="n">
        <v>3</v>
      </c>
      <c r="J1628" s="25" t="n">
        <v>1</v>
      </c>
      <c r="K1628" s="25" t="n">
        <v>3</v>
      </c>
      <c r="L1628" s="29" t="n">
        <v>0.65</v>
      </c>
      <c r="M1628" s="30" t="n">
        <v>17.4</v>
      </c>
      <c r="N1628" s="29" t="n">
        <v>0.48</v>
      </c>
      <c r="O1628" s="25" t="n">
        <v>184</v>
      </c>
      <c r="P1628" s="30" t="n">
        <v>12.27</v>
      </c>
      <c r="Q1628" s="27" t="s">
        <v>3649</v>
      </c>
      <c r="R1628" s="27" t="s">
        <v>283</v>
      </c>
    </row>
    <row r="1629" customFormat="false" ht="15" hidden="false" customHeight="false" outlineLevel="0" collapsed="false">
      <c r="A1629" s="25" t="n">
        <f aca="false">IF(G1629="REJECT",COUNTIF($G$2:$G$2277,"&lt;&gt;REJECT")+1+COUNTIFS($G$2:$G$2277,"REJECT",$B$2:$B$2277,"&gt;"&amp;B1629),1+COUNTIFS($G$2:$G$2277,"&lt;&gt;REJECT",$B$2:$B$2277,"&gt;"&amp;B1629))</f>
        <v>1628</v>
      </c>
      <c r="B1629" s="26" t="n">
        <f aca="false">ROUND(($U$2*MAX(0,MIN(1,($W$2-I1629)/($W$2-$V$2)))+$U$3*MAX(0,MIN(1,($W$3-J1629)/($W$3-$V$3)))+$U$4*MAX(0,MIN(1,($W$4-K1629)/($W$4-$V$4)))+$U$5*MAX(0,MIN(1,($W$5-L1629)/($W$5-$V$5)))+$U$6*MAX(0,MIN(1,($W$6-M1629)/($W$6-$V$6)))+$U$7*MAX(0,MIN(1,($W$7-N1629)/($W$7-$V$7)))+$U$8*IF(AND(O1629&gt;=$V$8,O1629&lt;=$W$8),1,0))/$U$9*100,2)</f>
        <v>58.54</v>
      </c>
      <c r="C1629" s="27" t="s">
        <v>1750</v>
      </c>
      <c r="D1629" s="25" t="s">
        <v>134</v>
      </c>
      <c r="E1629" s="25" t="s">
        <v>3450</v>
      </c>
      <c r="F1629" s="25" t="s">
        <v>3457</v>
      </c>
      <c r="G1629" s="38" t="s">
        <v>30</v>
      </c>
      <c r="H1629" s="28" t="s">
        <v>25</v>
      </c>
      <c r="I1629" s="25" t="n">
        <v>4</v>
      </c>
      <c r="J1629" s="25" t="n">
        <v>1</v>
      </c>
      <c r="K1629" s="25" t="n">
        <v>4</v>
      </c>
      <c r="L1629" s="29" t="n">
        <v>0.73</v>
      </c>
      <c r="M1629" s="30" t="n">
        <v>10.74</v>
      </c>
      <c r="N1629" s="29" t="n">
        <v>0.28</v>
      </c>
      <c r="O1629" s="25" t="n">
        <v>183</v>
      </c>
      <c r="P1629" s="30" t="n">
        <v>15.69</v>
      </c>
      <c r="Q1629" s="27" t="s">
        <v>3734</v>
      </c>
      <c r="R1629" s="27" t="s">
        <v>283</v>
      </c>
    </row>
    <row r="1630" customFormat="false" ht="15" hidden="false" customHeight="false" outlineLevel="0" collapsed="false">
      <c r="A1630" s="25" t="n">
        <f aca="false">IF(G1630="REJECT",COUNTIF($G$2:$G$2277,"&lt;&gt;REJECT")+1+COUNTIFS($G$2:$G$2277,"REJECT",$B$2:$B$2277,"&gt;"&amp;B1630),1+COUNTIFS($G$2:$G$2277,"&lt;&gt;REJECT",$B$2:$B$2277,"&gt;"&amp;B1630))</f>
        <v>1629</v>
      </c>
      <c r="B1630" s="26" t="n">
        <f aca="false">ROUND(($U$2*MAX(0,MIN(1,($W$2-I1630)/($W$2-$V$2)))+$U$3*MAX(0,MIN(1,($W$3-J1630)/($W$3-$V$3)))+$U$4*MAX(0,MIN(1,($W$4-K1630)/($W$4-$V$4)))+$U$5*MAX(0,MIN(1,($W$5-L1630)/($W$5-$V$5)))+$U$6*MAX(0,MIN(1,($W$6-M1630)/($W$6-$V$6)))+$U$7*MAX(0,MIN(1,($W$7-N1630)/($W$7-$V$7)))+$U$8*IF(AND(O1630&gt;=$V$8,O1630&lt;=$W$8),1,0))/$U$9*100,2)</f>
        <v>58.51</v>
      </c>
      <c r="C1630" s="27" t="s">
        <v>3068</v>
      </c>
      <c r="D1630" s="25" t="s">
        <v>134</v>
      </c>
      <c r="E1630" s="25" t="s">
        <v>3447</v>
      </c>
      <c r="F1630" s="25" t="s">
        <v>3448</v>
      </c>
      <c r="G1630" s="38" t="s">
        <v>30</v>
      </c>
      <c r="H1630" s="33" t="s">
        <v>24</v>
      </c>
      <c r="I1630" s="25" t="n">
        <v>5</v>
      </c>
      <c r="J1630" s="25" t="n">
        <v>0</v>
      </c>
      <c r="K1630" s="25" t="n">
        <v>5</v>
      </c>
      <c r="L1630" s="29" t="n">
        <v>0.65</v>
      </c>
      <c r="M1630" s="30" t="n">
        <v>3.85</v>
      </c>
      <c r="N1630" s="29" t="n">
        <v>0.36</v>
      </c>
      <c r="O1630" s="25" t="n">
        <v>184</v>
      </c>
      <c r="P1630" s="30" t="n">
        <v>-0.38</v>
      </c>
      <c r="Q1630" s="27" t="s">
        <v>3761</v>
      </c>
      <c r="R1630" s="27" t="s">
        <v>30</v>
      </c>
    </row>
    <row r="1631" customFormat="false" ht="15" hidden="false" customHeight="false" outlineLevel="0" collapsed="false">
      <c r="A1631" s="25" t="n">
        <f aca="false">IF(G1631="REJECT",COUNTIF($G$2:$G$2277,"&lt;&gt;REJECT")+1+COUNTIFS($G$2:$G$2277,"REJECT",$B$2:$B$2277,"&gt;"&amp;B1631),1+COUNTIFS($G$2:$G$2277,"&lt;&gt;REJECT",$B$2:$B$2277,"&gt;"&amp;B1631))</f>
        <v>1630</v>
      </c>
      <c r="B1631" s="26" t="n">
        <f aca="false">ROUND(($U$2*MAX(0,MIN(1,($W$2-I1631)/($W$2-$V$2)))+$U$3*MAX(0,MIN(1,($W$3-J1631)/($W$3-$V$3)))+$U$4*MAX(0,MIN(1,($W$4-K1631)/($W$4-$V$4)))+$U$5*MAX(0,MIN(1,($W$5-L1631)/($W$5-$V$5)))+$U$6*MAX(0,MIN(1,($W$6-M1631)/($W$6-$V$6)))+$U$7*MAX(0,MIN(1,($W$7-N1631)/($W$7-$V$7)))+$U$8*IF(AND(O1631&gt;=$V$8,O1631&lt;=$W$8),1,0))/$U$9*100,2)</f>
        <v>58.49</v>
      </c>
      <c r="C1631" s="27" t="s">
        <v>1663</v>
      </c>
      <c r="D1631" s="25" t="s">
        <v>134</v>
      </c>
      <c r="E1631" s="25" t="s">
        <v>3447</v>
      </c>
      <c r="F1631" s="25" t="s">
        <v>3448</v>
      </c>
      <c r="G1631" s="38" t="s">
        <v>30</v>
      </c>
      <c r="H1631" s="28" t="s">
        <v>25</v>
      </c>
      <c r="I1631" s="25" t="n">
        <v>4</v>
      </c>
      <c r="J1631" s="25" t="n">
        <v>1</v>
      </c>
      <c r="K1631" s="25" t="n">
        <v>4</v>
      </c>
      <c r="L1631" s="29" t="n">
        <v>0.73</v>
      </c>
      <c r="M1631" s="30" t="n">
        <v>6.25</v>
      </c>
      <c r="N1631" s="29" t="n">
        <v>0.76</v>
      </c>
      <c r="O1631" s="25" t="n">
        <v>187</v>
      </c>
      <c r="P1631" s="30" t="n">
        <v>13.41</v>
      </c>
      <c r="Q1631" s="27" t="s">
        <v>3737</v>
      </c>
      <c r="R1631" s="27" t="s">
        <v>283</v>
      </c>
    </row>
    <row r="1632" customFormat="false" ht="15" hidden="false" customHeight="false" outlineLevel="0" collapsed="false">
      <c r="A1632" s="25" t="n">
        <f aca="false">IF(G1632="REJECT",COUNTIF($G$2:$G$2277,"&lt;&gt;REJECT")+1+COUNTIFS($G$2:$G$2277,"REJECT",$B$2:$B$2277,"&gt;"&amp;B1632),1+COUNTIFS($G$2:$G$2277,"&lt;&gt;REJECT",$B$2:$B$2277,"&gt;"&amp;B1632))</f>
        <v>1631</v>
      </c>
      <c r="B1632" s="26" t="n">
        <f aca="false">ROUND(($U$2*MAX(0,MIN(1,($W$2-I1632)/($W$2-$V$2)))+$U$3*MAX(0,MIN(1,($W$3-J1632)/($W$3-$V$3)))+$U$4*MAX(0,MIN(1,($W$4-K1632)/($W$4-$V$4)))+$U$5*MAX(0,MIN(1,($W$5-L1632)/($W$5-$V$5)))+$U$6*MAX(0,MIN(1,($W$6-M1632)/($W$6-$V$6)))+$U$7*MAX(0,MIN(1,($W$7-N1632)/($W$7-$V$7)))+$U$8*IF(AND(O1632&gt;=$V$8,O1632&lt;=$W$8),1,0))/$U$9*100,2)</f>
        <v>58.47</v>
      </c>
      <c r="C1632" s="27" t="s">
        <v>2848</v>
      </c>
      <c r="D1632" s="25" t="s">
        <v>134</v>
      </c>
      <c r="E1632" s="25" t="s">
        <v>3450</v>
      </c>
      <c r="F1632" s="25" t="s">
        <v>3448</v>
      </c>
      <c r="G1632" s="38" t="s">
        <v>30</v>
      </c>
      <c r="H1632" s="28" t="s">
        <v>25</v>
      </c>
      <c r="I1632" s="25" t="n">
        <v>4</v>
      </c>
      <c r="J1632" s="25" t="n">
        <v>1</v>
      </c>
      <c r="K1632" s="25" t="n">
        <v>4</v>
      </c>
      <c r="L1632" s="29" t="n">
        <v>0.73</v>
      </c>
      <c r="M1632" s="30" t="n">
        <v>10.36</v>
      </c>
      <c r="N1632" s="29" t="n">
        <v>0.36</v>
      </c>
      <c r="O1632" s="25" t="n">
        <v>184</v>
      </c>
      <c r="P1632" s="30" t="n">
        <v>13.39</v>
      </c>
      <c r="Q1632" s="27" t="s">
        <v>3762</v>
      </c>
      <c r="R1632" s="27" t="s">
        <v>283</v>
      </c>
    </row>
    <row r="1633" customFormat="false" ht="15" hidden="false" customHeight="false" outlineLevel="0" collapsed="false">
      <c r="A1633" s="25" t="n">
        <f aca="false">IF(G1633="REJECT",COUNTIF($G$2:$G$2277,"&lt;&gt;REJECT")+1+COUNTIFS($G$2:$G$2277,"REJECT",$B$2:$B$2277,"&gt;"&amp;B1633),1+COUNTIFS($G$2:$G$2277,"&lt;&gt;REJECT",$B$2:$B$2277,"&gt;"&amp;B1633))</f>
        <v>1632</v>
      </c>
      <c r="B1633" s="26" t="n">
        <f aca="false">ROUND(($U$2*MAX(0,MIN(1,($W$2-I1633)/($W$2-$V$2)))+$U$3*MAX(0,MIN(1,($W$3-J1633)/($W$3-$V$3)))+$U$4*MAX(0,MIN(1,($W$4-K1633)/($W$4-$V$4)))+$U$5*MAX(0,MIN(1,($W$5-L1633)/($W$5-$V$5)))+$U$6*MAX(0,MIN(1,($W$6-M1633)/($W$6-$V$6)))+$U$7*MAX(0,MIN(1,($W$7-N1633)/($W$7-$V$7)))+$U$8*IF(AND(O1633&gt;=$V$8,O1633&lt;=$W$8),1,0))/$U$9*100,2)</f>
        <v>58.46</v>
      </c>
      <c r="C1633" s="27" t="s">
        <v>2941</v>
      </c>
      <c r="D1633" s="25" t="s">
        <v>3459</v>
      </c>
      <c r="E1633" s="25" t="s">
        <v>3447</v>
      </c>
      <c r="F1633" s="25" t="s">
        <v>3448</v>
      </c>
      <c r="G1633" s="38" t="s">
        <v>30</v>
      </c>
      <c r="H1633" s="28" t="s">
        <v>25</v>
      </c>
      <c r="I1633" s="25" t="n">
        <v>6</v>
      </c>
      <c r="J1633" s="25" t="n">
        <v>0</v>
      </c>
      <c r="K1633" s="25" t="n">
        <v>6</v>
      </c>
      <c r="L1633" s="29" t="n">
        <v>0.86</v>
      </c>
      <c r="M1633" s="30" t="n">
        <v>21.05</v>
      </c>
      <c r="N1633" s="29" t="n">
        <v>0.32</v>
      </c>
      <c r="O1633" s="25" t="n">
        <v>184</v>
      </c>
      <c r="P1633" s="30" t="n">
        <v>2.56</v>
      </c>
      <c r="Q1633" s="27" t="s">
        <v>3763</v>
      </c>
      <c r="R1633" s="27" t="s">
        <v>992</v>
      </c>
    </row>
    <row r="1634" customFormat="false" ht="15" hidden="false" customHeight="false" outlineLevel="0" collapsed="false">
      <c r="A1634" s="25" t="n">
        <f aca="false">IF(G1634="REJECT",COUNTIF($G$2:$G$2277,"&lt;&gt;REJECT")+1+COUNTIFS($G$2:$G$2277,"REJECT",$B$2:$B$2277,"&gt;"&amp;B1634),1+COUNTIFS($G$2:$G$2277,"&lt;&gt;REJECT",$B$2:$B$2277,"&gt;"&amp;B1634))</f>
        <v>1633</v>
      </c>
      <c r="B1634" s="26" t="n">
        <f aca="false">ROUND(($U$2*MAX(0,MIN(1,($W$2-I1634)/($W$2-$V$2)))+$U$3*MAX(0,MIN(1,($W$3-J1634)/($W$3-$V$3)))+$U$4*MAX(0,MIN(1,($W$4-K1634)/($W$4-$V$4)))+$U$5*MAX(0,MIN(1,($W$5-L1634)/($W$5-$V$5)))+$U$6*MAX(0,MIN(1,($W$6-M1634)/($W$6-$V$6)))+$U$7*MAX(0,MIN(1,($W$7-N1634)/($W$7-$V$7)))+$U$8*IF(AND(O1634&gt;=$V$8,O1634&lt;=$W$8),1,0))/$U$9*100,2)</f>
        <v>58.44</v>
      </c>
      <c r="C1634" s="27" t="s">
        <v>867</v>
      </c>
      <c r="D1634" s="25" t="s">
        <v>134</v>
      </c>
      <c r="E1634" s="25" t="s">
        <v>3450</v>
      </c>
      <c r="F1634" s="25" t="s">
        <v>3457</v>
      </c>
      <c r="G1634" s="38" t="s">
        <v>30</v>
      </c>
      <c r="H1634" s="28" t="s">
        <v>25</v>
      </c>
      <c r="I1634" s="25" t="n">
        <v>3</v>
      </c>
      <c r="J1634" s="25" t="n">
        <v>1</v>
      </c>
      <c r="K1634" s="25" t="n">
        <v>3</v>
      </c>
      <c r="L1634" s="29" t="n">
        <v>0.64</v>
      </c>
      <c r="M1634" s="30" t="n">
        <v>10.05</v>
      </c>
      <c r="N1634" s="29" t="n">
        <v>0.92</v>
      </c>
      <c r="O1634" s="25" t="n">
        <v>190</v>
      </c>
      <c r="P1634" s="30" t="n">
        <v>-0.85</v>
      </c>
      <c r="Q1634" s="27" t="s">
        <v>3694</v>
      </c>
      <c r="R1634" s="27" t="s">
        <v>1230</v>
      </c>
    </row>
    <row r="1635" customFormat="false" ht="15" hidden="false" customHeight="false" outlineLevel="0" collapsed="false">
      <c r="A1635" s="25" t="n">
        <f aca="false">IF(G1635="REJECT",COUNTIF($G$2:$G$2277,"&lt;&gt;REJECT")+1+COUNTIFS($G$2:$G$2277,"REJECT",$B$2:$B$2277,"&gt;"&amp;B1635),1+COUNTIFS($G$2:$G$2277,"&lt;&gt;REJECT",$B$2:$B$2277,"&gt;"&amp;B1635))</f>
        <v>1634</v>
      </c>
      <c r="B1635" s="26" t="n">
        <f aca="false">ROUND(($U$2*MAX(0,MIN(1,($W$2-I1635)/($W$2-$V$2)))+$U$3*MAX(0,MIN(1,($W$3-J1635)/($W$3-$V$3)))+$U$4*MAX(0,MIN(1,($W$4-K1635)/($W$4-$V$4)))+$U$5*MAX(0,MIN(1,($W$5-L1635)/($W$5-$V$5)))+$U$6*MAX(0,MIN(1,($W$6-M1635)/($W$6-$V$6)))+$U$7*MAX(0,MIN(1,($W$7-N1635)/($W$7-$V$7)))+$U$8*IF(AND(O1635&gt;=$V$8,O1635&lt;=$W$8),1,0))/$U$9*100,2)</f>
        <v>58.35</v>
      </c>
      <c r="C1635" s="27" t="s">
        <v>2822</v>
      </c>
      <c r="D1635" s="25" t="s">
        <v>3459</v>
      </c>
      <c r="E1635" s="25" t="s">
        <v>3447</v>
      </c>
      <c r="F1635" s="25" t="s">
        <v>3457</v>
      </c>
      <c r="G1635" s="38" t="s">
        <v>30</v>
      </c>
      <c r="H1635" s="33" t="s">
        <v>24</v>
      </c>
      <c r="I1635" s="25" t="n">
        <v>6</v>
      </c>
      <c r="J1635" s="25" t="n">
        <v>0</v>
      </c>
      <c r="K1635" s="25" t="n">
        <v>6</v>
      </c>
      <c r="L1635" s="29" t="n">
        <v>0.82</v>
      </c>
      <c r="M1635" s="30" t="n">
        <v>16.9</v>
      </c>
      <c r="N1635" s="29" t="n">
        <v>0.8</v>
      </c>
      <c r="O1635" s="25" t="n">
        <v>184</v>
      </c>
      <c r="P1635" s="30" t="n">
        <v>-0.11</v>
      </c>
      <c r="Q1635" s="27" t="s">
        <v>3764</v>
      </c>
      <c r="R1635" s="27" t="s">
        <v>30</v>
      </c>
    </row>
    <row r="1636" customFormat="false" ht="15" hidden="false" customHeight="false" outlineLevel="0" collapsed="false">
      <c r="A1636" s="25" t="n">
        <f aca="false">IF(G1636="REJECT",COUNTIF($G$2:$G$2277,"&lt;&gt;REJECT")+1+COUNTIFS($G$2:$G$2277,"REJECT",$B$2:$B$2277,"&gt;"&amp;B1636),1+COUNTIFS($G$2:$G$2277,"&lt;&gt;REJECT",$B$2:$B$2277,"&gt;"&amp;B1636))</f>
        <v>1635</v>
      </c>
      <c r="B1636" s="26" t="n">
        <f aca="false">ROUND(($U$2*MAX(0,MIN(1,($W$2-I1636)/($W$2-$V$2)))+$U$3*MAX(0,MIN(1,($W$3-J1636)/($W$3-$V$3)))+$U$4*MAX(0,MIN(1,($W$4-K1636)/($W$4-$V$4)))+$U$5*MAX(0,MIN(1,($W$5-L1636)/($W$5-$V$5)))+$U$6*MAX(0,MIN(1,($W$6-M1636)/($W$6-$V$6)))+$U$7*MAX(0,MIN(1,($W$7-N1636)/($W$7-$V$7)))+$U$8*IF(AND(O1636&gt;=$V$8,O1636&lt;=$W$8),1,0))/$U$9*100,2)</f>
        <v>58.32</v>
      </c>
      <c r="C1636" s="27" t="s">
        <v>2039</v>
      </c>
      <c r="D1636" s="25" t="s">
        <v>134</v>
      </c>
      <c r="E1636" s="25" t="s">
        <v>3450</v>
      </c>
      <c r="F1636" s="25" t="s">
        <v>3457</v>
      </c>
      <c r="G1636" s="38" t="s">
        <v>30</v>
      </c>
      <c r="H1636" s="28" t="s">
        <v>25</v>
      </c>
      <c r="I1636" s="25" t="n">
        <v>3</v>
      </c>
      <c r="J1636" s="25" t="n">
        <v>1</v>
      </c>
      <c r="K1636" s="25" t="n">
        <v>3</v>
      </c>
      <c r="L1636" s="29" t="n">
        <v>0.64</v>
      </c>
      <c r="M1636" s="30" t="n">
        <v>18.01</v>
      </c>
      <c r="N1636" s="29" t="n">
        <v>0.2</v>
      </c>
      <c r="O1636" s="25" t="n">
        <v>229</v>
      </c>
      <c r="P1636" s="30" t="n">
        <v>4.14</v>
      </c>
      <c r="Q1636" s="27" t="s">
        <v>3765</v>
      </c>
      <c r="R1636" s="27" t="s">
        <v>1099</v>
      </c>
    </row>
    <row r="1637" customFormat="false" ht="15" hidden="false" customHeight="false" outlineLevel="0" collapsed="false">
      <c r="A1637" s="25" t="n">
        <f aca="false">IF(G1637="REJECT",COUNTIF($G$2:$G$2277,"&lt;&gt;REJECT")+1+COUNTIFS($G$2:$G$2277,"REJECT",$B$2:$B$2277,"&gt;"&amp;B1637),1+COUNTIFS($G$2:$G$2277,"&lt;&gt;REJECT",$B$2:$B$2277,"&gt;"&amp;B1637))</f>
        <v>1636</v>
      </c>
      <c r="B1637" s="26" t="n">
        <f aca="false">ROUND(($U$2*MAX(0,MIN(1,($W$2-I1637)/($W$2-$V$2)))+$U$3*MAX(0,MIN(1,($W$3-J1637)/($W$3-$V$3)))+$U$4*MAX(0,MIN(1,($W$4-K1637)/($W$4-$V$4)))+$U$5*MAX(0,MIN(1,($W$5-L1637)/($W$5-$V$5)))+$U$6*MAX(0,MIN(1,($W$6-M1637)/($W$6-$V$6)))+$U$7*MAX(0,MIN(1,($W$7-N1637)/($W$7-$V$7)))+$U$8*IF(AND(O1637&gt;=$V$8,O1637&lt;=$W$8),1,0))/$U$9*100,2)</f>
        <v>58.23</v>
      </c>
      <c r="C1637" s="27" t="s">
        <v>3100</v>
      </c>
      <c r="D1637" s="25" t="s">
        <v>3459</v>
      </c>
      <c r="E1637" s="25" t="s">
        <v>3447</v>
      </c>
      <c r="F1637" s="25" t="s">
        <v>3457</v>
      </c>
      <c r="G1637" s="38" t="s">
        <v>30</v>
      </c>
      <c r="H1637" s="28" t="s">
        <v>25</v>
      </c>
      <c r="I1637" s="25" t="n">
        <v>4</v>
      </c>
      <c r="J1637" s="25" t="n">
        <v>1</v>
      </c>
      <c r="K1637" s="25" t="n">
        <v>4</v>
      </c>
      <c r="L1637" s="29" t="n">
        <v>0.73</v>
      </c>
      <c r="M1637" s="30" t="n">
        <v>9.02</v>
      </c>
      <c r="N1637" s="29" t="n">
        <v>0.64</v>
      </c>
      <c r="O1637" s="25" t="n">
        <v>184</v>
      </c>
      <c r="P1637" s="30" t="n">
        <v>4.6</v>
      </c>
      <c r="Q1637" s="27" t="s">
        <v>3766</v>
      </c>
      <c r="R1637" s="27" t="s">
        <v>283</v>
      </c>
    </row>
    <row r="1638" customFormat="false" ht="15" hidden="false" customHeight="false" outlineLevel="0" collapsed="false">
      <c r="A1638" s="25" t="n">
        <f aca="false">IF(G1638="REJECT",COUNTIF($G$2:$G$2277,"&lt;&gt;REJECT")+1+COUNTIFS($G$2:$G$2277,"REJECT",$B$2:$B$2277,"&gt;"&amp;B1638),1+COUNTIFS($G$2:$G$2277,"&lt;&gt;REJECT",$B$2:$B$2277,"&gt;"&amp;B1638))</f>
        <v>1637</v>
      </c>
      <c r="B1638" s="26" t="n">
        <f aca="false">ROUND(($U$2*MAX(0,MIN(1,($W$2-I1638)/($W$2-$V$2)))+$U$3*MAX(0,MIN(1,($W$3-J1638)/($W$3-$V$3)))+$U$4*MAX(0,MIN(1,($W$4-K1638)/($W$4-$V$4)))+$U$5*MAX(0,MIN(1,($W$5-L1638)/($W$5-$V$5)))+$U$6*MAX(0,MIN(1,($W$6-M1638)/($W$6-$V$6)))+$U$7*MAX(0,MIN(1,($W$7-N1638)/($W$7-$V$7)))+$U$8*IF(AND(O1638&gt;=$V$8,O1638&lt;=$W$8),1,0))/$U$9*100,2)</f>
        <v>58.17</v>
      </c>
      <c r="C1638" s="27" t="s">
        <v>2355</v>
      </c>
      <c r="D1638" s="25" t="s">
        <v>3459</v>
      </c>
      <c r="E1638" s="25" t="s">
        <v>3447</v>
      </c>
      <c r="F1638" s="25" t="s">
        <v>3457</v>
      </c>
      <c r="G1638" s="38" t="s">
        <v>30</v>
      </c>
      <c r="H1638" s="28" t="s">
        <v>25</v>
      </c>
      <c r="I1638" s="25" t="n">
        <v>4</v>
      </c>
      <c r="J1638" s="25" t="n">
        <v>1</v>
      </c>
      <c r="K1638" s="25" t="n">
        <v>4</v>
      </c>
      <c r="L1638" s="29" t="n">
        <v>0.78</v>
      </c>
      <c r="M1638" s="30" t="n">
        <v>27.4</v>
      </c>
      <c r="N1638" s="29" t="n">
        <v>0.64</v>
      </c>
      <c r="O1638" s="25" t="n">
        <v>198</v>
      </c>
      <c r="P1638" s="30" t="n">
        <v>0.87</v>
      </c>
      <c r="Q1638" s="27" t="s">
        <v>3734</v>
      </c>
      <c r="R1638" s="27" t="s">
        <v>183</v>
      </c>
    </row>
    <row r="1639" customFormat="false" ht="15" hidden="false" customHeight="false" outlineLevel="0" collapsed="false">
      <c r="A1639" s="25" t="n">
        <f aca="false">IF(G1639="REJECT",COUNTIF($G$2:$G$2277,"&lt;&gt;REJECT")+1+COUNTIFS($G$2:$G$2277,"REJECT",$B$2:$B$2277,"&gt;"&amp;B1639),1+COUNTIFS($G$2:$G$2277,"&lt;&gt;REJECT",$B$2:$B$2277,"&gt;"&amp;B1639))</f>
        <v>1638</v>
      </c>
      <c r="B1639" s="26" t="n">
        <f aca="false">ROUND(($U$2*MAX(0,MIN(1,($W$2-I1639)/($W$2-$V$2)))+$U$3*MAX(0,MIN(1,($W$3-J1639)/($W$3-$V$3)))+$U$4*MAX(0,MIN(1,($W$4-K1639)/($W$4-$V$4)))+$U$5*MAX(0,MIN(1,($W$5-L1639)/($W$5-$V$5)))+$U$6*MAX(0,MIN(1,($W$6-M1639)/($W$6-$V$6)))+$U$7*MAX(0,MIN(1,($W$7-N1639)/($W$7-$V$7)))+$U$8*IF(AND(O1639&gt;=$V$8,O1639&lt;=$W$8),1,0))/$U$9*100,2)</f>
        <v>58.09</v>
      </c>
      <c r="C1639" s="27" t="s">
        <v>186</v>
      </c>
      <c r="D1639" s="25" t="s">
        <v>134</v>
      </c>
      <c r="E1639" s="25" t="s">
        <v>3450</v>
      </c>
      <c r="F1639" s="25" t="s">
        <v>3448</v>
      </c>
      <c r="G1639" s="38" t="s">
        <v>30</v>
      </c>
      <c r="H1639" s="28" t="s">
        <v>25</v>
      </c>
      <c r="I1639" s="25" t="n">
        <v>3</v>
      </c>
      <c r="J1639" s="25" t="n">
        <v>1</v>
      </c>
      <c r="K1639" s="25" t="n">
        <v>3</v>
      </c>
      <c r="L1639" s="29" t="n">
        <v>0.66</v>
      </c>
      <c r="M1639" s="30" t="n">
        <v>22.55</v>
      </c>
      <c r="N1639" s="29" t="n">
        <v>0.6</v>
      </c>
      <c r="O1639" s="25" t="n">
        <v>184</v>
      </c>
      <c r="P1639" s="30" t="n">
        <v>10.15</v>
      </c>
      <c r="Q1639" s="27" t="s">
        <v>3767</v>
      </c>
      <c r="R1639" s="27" t="s">
        <v>183</v>
      </c>
    </row>
    <row r="1640" customFormat="false" ht="15" hidden="false" customHeight="false" outlineLevel="0" collapsed="false">
      <c r="A1640" s="25" t="n">
        <f aca="false">IF(G1640="REJECT",COUNTIF($G$2:$G$2277,"&lt;&gt;REJECT")+1+COUNTIFS($G$2:$G$2277,"REJECT",$B$2:$B$2277,"&gt;"&amp;B1640),1+COUNTIFS($G$2:$G$2277,"&lt;&gt;REJECT",$B$2:$B$2277,"&gt;"&amp;B1640))</f>
        <v>1639</v>
      </c>
      <c r="B1640" s="26" t="n">
        <f aca="false">ROUND(($U$2*MAX(0,MIN(1,($W$2-I1640)/($W$2-$V$2)))+$U$3*MAX(0,MIN(1,($W$3-J1640)/($W$3-$V$3)))+$U$4*MAX(0,MIN(1,($W$4-K1640)/($W$4-$V$4)))+$U$5*MAX(0,MIN(1,($W$5-L1640)/($W$5-$V$5)))+$U$6*MAX(0,MIN(1,($W$6-M1640)/($W$6-$V$6)))+$U$7*MAX(0,MIN(1,($W$7-N1640)/($W$7-$V$7)))+$U$8*IF(AND(O1640&gt;=$V$8,O1640&lt;=$W$8),1,0))/$U$9*100,2)</f>
        <v>57.9</v>
      </c>
      <c r="C1640" s="27" t="s">
        <v>1657</v>
      </c>
      <c r="D1640" s="25" t="s">
        <v>134</v>
      </c>
      <c r="E1640" s="25" t="s">
        <v>3447</v>
      </c>
      <c r="F1640" s="25" t="s">
        <v>3448</v>
      </c>
      <c r="G1640" s="38" t="s">
        <v>30</v>
      </c>
      <c r="H1640" s="33" t="s">
        <v>24</v>
      </c>
      <c r="I1640" s="25" t="n">
        <v>6</v>
      </c>
      <c r="J1640" s="25" t="n">
        <v>0</v>
      </c>
      <c r="K1640" s="25" t="n">
        <v>6</v>
      </c>
      <c r="L1640" s="29" t="n">
        <v>0.78</v>
      </c>
      <c r="M1640" s="30" t="n">
        <v>19.2</v>
      </c>
      <c r="N1640" s="29" t="n">
        <v>0.12</v>
      </c>
      <c r="O1640" s="25" t="n">
        <v>182</v>
      </c>
      <c r="P1640" s="30" t="n">
        <v>-1.84</v>
      </c>
      <c r="Q1640" s="27" t="s">
        <v>3768</v>
      </c>
      <c r="R1640" s="27" t="s">
        <v>30</v>
      </c>
    </row>
    <row r="1641" customFormat="false" ht="15" hidden="false" customHeight="false" outlineLevel="0" collapsed="false">
      <c r="A1641" s="25" t="n">
        <f aca="false">IF(G1641="REJECT",COUNTIF($G$2:$G$2277,"&lt;&gt;REJECT")+1+COUNTIFS($G$2:$G$2277,"REJECT",$B$2:$B$2277,"&gt;"&amp;B1641),1+COUNTIFS($G$2:$G$2277,"&lt;&gt;REJECT",$B$2:$B$2277,"&gt;"&amp;B1641))</f>
        <v>1640</v>
      </c>
      <c r="B1641" s="26" t="n">
        <f aca="false">ROUND(($U$2*MAX(0,MIN(1,($W$2-I1641)/($W$2-$V$2)))+$U$3*MAX(0,MIN(1,($W$3-J1641)/($W$3-$V$3)))+$U$4*MAX(0,MIN(1,($W$4-K1641)/($W$4-$V$4)))+$U$5*MAX(0,MIN(1,($W$5-L1641)/($W$5-$V$5)))+$U$6*MAX(0,MIN(1,($W$6-M1641)/($W$6-$V$6)))+$U$7*MAX(0,MIN(1,($W$7-N1641)/($W$7-$V$7)))+$U$8*IF(AND(O1641&gt;=$V$8,O1641&lt;=$W$8),1,0))/$U$9*100,2)</f>
        <v>57.89</v>
      </c>
      <c r="C1641" s="27" t="s">
        <v>1265</v>
      </c>
      <c r="D1641" s="25" t="s">
        <v>134</v>
      </c>
      <c r="E1641" s="25" t="s">
        <v>3447</v>
      </c>
      <c r="F1641" s="25" t="s">
        <v>3457</v>
      </c>
      <c r="G1641" s="38" t="s">
        <v>30</v>
      </c>
      <c r="H1641" s="28" t="s">
        <v>25</v>
      </c>
      <c r="I1641" s="25" t="n">
        <v>4</v>
      </c>
      <c r="J1641" s="25" t="n">
        <v>1</v>
      </c>
      <c r="K1641" s="25" t="n">
        <v>4</v>
      </c>
      <c r="L1641" s="29" t="n">
        <v>0.71</v>
      </c>
      <c r="M1641" s="30" t="n">
        <v>5.49</v>
      </c>
      <c r="N1641" s="29" t="n">
        <v>0.48</v>
      </c>
      <c r="O1641" s="25" t="n">
        <v>186</v>
      </c>
      <c r="P1641" s="30" t="n">
        <v>3.16</v>
      </c>
      <c r="Q1641" s="27" t="s">
        <v>3769</v>
      </c>
      <c r="R1641" s="27" t="s">
        <v>1152</v>
      </c>
    </row>
    <row r="1642" customFormat="false" ht="15" hidden="false" customHeight="false" outlineLevel="0" collapsed="false">
      <c r="A1642" s="25" t="n">
        <f aca="false">IF(G1642="REJECT",COUNTIF($G$2:$G$2277,"&lt;&gt;REJECT")+1+COUNTIFS($G$2:$G$2277,"REJECT",$B$2:$B$2277,"&gt;"&amp;B1642),1+COUNTIFS($G$2:$G$2277,"&lt;&gt;REJECT",$B$2:$B$2277,"&gt;"&amp;B1642))</f>
        <v>1641</v>
      </c>
      <c r="B1642" s="26" t="n">
        <f aca="false">ROUND(($U$2*MAX(0,MIN(1,($W$2-I1642)/($W$2-$V$2)))+$U$3*MAX(0,MIN(1,($W$3-J1642)/($W$3-$V$3)))+$U$4*MAX(0,MIN(1,($W$4-K1642)/($W$4-$V$4)))+$U$5*MAX(0,MIN(1,($W$5-L1642)/($W$5-$V$5)))+$U$6*MAX(0,MIN(1,($W$6-M1642)/($W$6-$V$6)))+$U$7*MAX(0,MIN(1,($W$7-N1642)/($W$7-$V$7)))+$U$8*IF(AND(O1642&gt;=$V$8,O1642&lt;=$W$8),1,0))/$U$9*100,2)</f>
        <v>57.86</v>
      </c>
      <c r="C1642" s="27" t="s">
        <v>545</v>
      </c>
      <c r="D1642" s="25" t="s">
        <v>134</v>
      </c>
      <c r="E1642" s="25" t="s">
        <v>3450</v>
      </c>
      <c r="F1642" s="25" t="s">
        <v>3448</v>
      </c>
      <c r="G1642" s="38" t="s">
        <v>30</v>
      </c>
      <c r="H1642" s="28" t="s">
        <v>25</v>
      </c>
      <c r="I1642" s="25" t="n">
        <v>3</v>
      </c>
      <c r="J1642" s="25" t="n">
        <v>1</v>
      </c>
      <c r="K1642" s="25" t="n">
        <v>3</v>
      </c>
      <c r="L1642" s="29" t="n">
        <v>0.61</v>
      </c>
      <c r="M1642" s="30" t="n">
        <v>11.96</v>
      </c>
      <c r="N1642" s="29" t="n">
        <v>0</v>
      </c>
      <c r="O1642" s="25" t="n">
        <v>193</v>
      </c>
      <c r="P1642" s="30" t="n">
        <v>0.45</v>
      </c>
      <c r="Q1642" s="27" t="s">
        <v>3767</v>
      </c>
      <c r="R1642" s="27" t="s">
        <v>197</v>
      </c>
    </row>
    <row r="1643" customFormat="false" ht="15" hidden="false" customHeight="false" outlineLevel="0" collapsed="false">
      <c r="A1643" s="25" t="n">
        <f aca="false">IF(G1643="REJECT",COUNTIF($G$2:$G$2277,"&lt;&gt;REJECT")+1+COUNTIFS($G$2:$G$2277,"REJECT",$B$2:$B$2277,"&gt;"&amp;B1643),1+COUNTIFS($G$2:$G$2277,"&lt;&gt;REJECT",$B$2:$B$2277,"&gt;"&amp;B1643))</f>
        <v>1642</v>
      </c>
      <c r="B1643" s="26" t="n">
        <f aca="false">ROUND(($U$2*MAX(0,MIN(1,($W$2-I1643)/($W$2-$V$2)))+$U$3*MAX(0,MIN(1,($W$3-J1643)/($W$3-$V$3)))+$U$4*MAX(0,MIN(1,($W$4-K1643)/($W$4-$V$4)))+$U$5*MAX(0,MIN(1,($W$5-L1643)/($W$5-$V$5)))+$U$6*MAX(0,MIN(1,($W$6-M1643)/($W$6-$V$6)))+$U$7*MAX(0,MIN(1,($W$7-N1643)/($W$7-$V$7)))+$U$8*IF(AND(O1643&gt;=$V$8,O1643&lt;=$W$8),1,0))/$U$9*100,2)</f>
        <v>57.85</v>
      </c>
      <c r="C1643" s="27" t="s">
        <v>2709</v>
      </c>
      <c r="D1643" s="25" t="s">
        <v>3459</v>
      </c>
      <c r="E1643" s="25" t="s">
        <v>3450</v>
      </c>
      <c r="F1643" s="25" t="s">
        <v>3448</v>
      </c>
      <c r="G1643" s="38" t="s">
        <v>30</v>
      </c>
      <c r="H1643" s="28" t="s">
        <v>25</v>
      </c>
      <c r="I1643" s="25" t="n">
        <v>4</v>
      </c>
      <c r="J1643" s="25" t="n">
        <v>1</v>
      </c>
      <c r="K1643" s="25" t="n">
        <v>4</v>
      </c>
      <c r="L1643" s="29" t="n">
        <v>0.73</v>
      </c>
      <c r="M1643" s="30" t="n">
        <v>17.69</v>
      </c>
      <c r="N1643" s="29" t="n">
        <v>0</v>
      </c>
      <c r="O1643" s="25" t="n">
        <v>185</v>
      </c>
      <c r="P1643" s="30" t="n">
        <v>16.33</v>
      </c>
      <c r="Q1643" s="27" t="s">
        <v>3737</v>
      </c>
      <c r="R1643" s="27" t="s">
        <v>283</v>
      </c>
    </row>
    <row r="1644" customFormat="false" ht="15" hidden="false" customHeight="false" outlineLevel="0" collapsed="false">
      <c r="A1644" s="25" t="n">
        <f aca="false">IF(G1644="REJECT",COUNTIF($G$2:$G$2277,"&lt;&gt;REJECT")+1+COUNTIFS($G$2:$G$2277,"REJECT",$B$2:$B$2277,"&gt;"&amp;B1644),1+COUNTIFS($G$2:$G$2277,"&lt;&gt;REJECT",$B$2:$B$2277,"&gt;"&amp;B1644))</f>
        <v>1643</v>
      </c>
      <c r="B1644" s="26" t="n">
        <f aca="false">ROUND(($U$2*MAX(0,MIN(1,($W$2-I1644)/($W$2-$V$2)))+$U$3*MAX(0,MIN(1,($W$3-J1644)/($W$3-$V$3)))+$U$4*MAX(0,MIN(1,($W$4-K1644)/($W$4-$V$4)))+$U$5*MAX(0,MIN(1,($W$5-L1644)/($W$5-$V$5)))+$U$6*MAX(0,MIN(1,($W$6-M1644)/($W$6-$V$6)))+$U$7*MAX(0,MIN(1,($W$7-N1644)/($W$7-$V$7)))+$U$8*IF(AND(O1644&gt;=$V$8,O1644&lt;=$W$8),1,0))/$U$9*100,2)</f>
        <v>57.81</v>
      </c>
      <c r="C1644" s="27" t="s">
        <v>1996</v>
      </c>
      <c r="D1644" s="25" t="s">
        <v>3459</v>
      </c>
      <c r="E1644" s="25" t="s">
        <v>3450</v>
      </c>
      <c r="F1644" s="25" t="s">
        <v>3457</v>
      </c>
      <c r="G1644" s="38" t="s">
        <v>30</v>
      </c>
      <c r="H1644" s="28" t="s">
        <v>25</v>
      </c>
      <c r="I1644" s="25" t="n">
        <v>3</v>
      </c>
      <c r="J1644" s="25" t="n">
        <v>1</v>
      </c>
      <c r="K1644" s="25" t="n">
        <v>3</v>
      </c>
      <c r="L1644" s="29" t="n">
        <v>0.67</v>
      </c>
      <c r="M1644" s="30" t="n">
        <v>25.07</v>
      </c>
      <c r="N1644" s="29" t="n">
        <v>0.88</v>
      </c>
      <c r="O1644" s="25" t="n">
        <v>183</v>
      </c>
      <c r="P1644" s="30" t="n">
        <v>8.04</v>
      </c>
      <c r="Q1644" s="27" t="s">
        <v>3649</v>
      </c>
      <c r="R1644" s="27" t="s">
        <v>183</v>
      </c>
    </row>
    <row r="1645" customFormat="false" ht="15" hidden="false" customHeight="false" outlineLevel="0" collapsed="false">
      <c r="A1645" s="25" t="n">
        <f aca="false">IF(G1645="REJECT",COUNTIF($G$2:$G$2277,"&lt;&gt;REJECT")+1+COUNTIFS($G$2:$G$2277,"REJECT",$B$2:$B$2277,"&gt;"&amp;B1645),1+COUNTIFS($G$2:$G$2277,"&lt;&gt;REJECT",$B$2:$B$2277,"&gt;"&amp;B1645))</f>
        <v>1644</v>
      </c>
      <c r="B1645" s="26" t="n">
        <f aca="false">ROUND(($U$2*MAX(0,MIN(1,($W$2-I1645)/($W$2-$V$2)))+$U$3*MAX(0,MIN(1,($W$3-J1645)/($W$3-$V$3)))+$U$4*MAX(0,MIN(1,($W$4-K1645)/($W$4-$V$4)))+$U$5*MAX(0,MIN(1,($W$5-L1645)/($W$5-$V$5)))+$U$6*MAX(0,MIN(1,($W$6-M1645)/($W$6-$V$6)))+$U$7*MAX(0,MIN(1,($W$7-N1645)/($W$7-$V$7)))+$U$8*IF(AND(O1645&gt;=$V$8,O1645&lt;=$W$8),1,0))/$U$9*100,2)</f>
        <v>57.77</v>
      </c>
      <c r="C1645" s="27" t="s">
        <v>1215</v>
      </c>
      <c r="D1645" s="25" t="s">
        <v>134</v>
      </c>
      <c r="E1645" s="25" t="s">
        <v>3447</v>
      </c>
      <c r="F1645" s="25" t="s">
        <v>3448</v>
      </c>
      <c r="G1645" s="38" t="s">
        <v>30</v>
      </c>
      <c r="H1645" s="28" t="s">
        <v>25</v>
      </c>
      <c r="I1645" s="25" t="n">
        <v>4</v>
      </c>
      <c r="J1645" s="25" t="n">
        <v>1</v>
      </c>
      <c r="K1645" s="25" t="n">
        <v>4</v>
      </c>
      <c r="L1645" s="29" t="n">
        <v>0.71</v>
      </c>
      <c r="M1645" s="30" t="n">
        <v>9.81</v>
      </c>
      <c r="N1645" s="29" t="n">
        <v>0.12</v>
      </c>
      <c r="O1645" s="25" t="n">
        <v>182</v>
      </c>
      <c r="P1645" s="30" t="n">
        <v>11</v>
      </c>
      <c r="Q1645" s="27" t="s">
        <v>3770</v>
      </c>
      <c r="R1645" s="27" t="s">
        <v>283</v>
      </c>
    </row>
    <row r="1646" customFormat="false" ht="15" hidden="false" customHeight="false" outlineLevel="0" collapsed="false">
      <c r="A1646" s="25" t="n">
        <f aca="false">IF(G1646="REJECT",COUNTIF($G$2:$G$2277,"&lt;&gt;REJECT")+1+COUNTIFS($G$2:$G$2277,"REJECT",$B$2:$B$2277,"&gt;"&amp;B1646),1+COUNTIFS($G$2:$G$2277,"&lt;&gt;REJECT",$B$2:$B$2277,"&gt;"&amp;B1646))</f>
        <v>1645</v>
      </c>
      <c r="B1646" s="26" t="n">
        <f aca="false">ROUND(($U$2*MAX(0,MIN(1,($W$2-I1646)/($W$2-$V$2)))+$U$3*MAX(0,MIN(1,($W$3-J1646)/($W$3-$V$3)))+$U$4*MAX(0,MIN(1,($W$4-K1646)/($W$4-$V$4)))+$U$5*MAX(0,MIN(1,($W$5-L1646)/($W$5-$V$5)))+$U$6*MAX(0,MIN(1,($W$6-M1646)/($W$6-$V$6)))+$U$7*MAX(0,MIN(1,($W$7-N1646)/($W$7-$V$7)))+$U$8*IF(AND(O1646&gt;=$V$8,O1646&lt;=$W$8),1,0))/$U$9*100,2)</f>
        <v>57.72</v>
      </c>
      <c r="C1646" s="27" t="s">
        <v>3075</v>
      </c>
      <c r="D1646" s="25" t="s">
        <v>134</v>
      </c>
      <c r="E1646" s="25" t="s">
        <v>3447</v>
      </c>
      <c r="F1646" s="25" t="s">
        <v>3448</v>
      </c>
      <c r="G1646" s="38" t="s">
        <v>30</v>
      </c>
      <c r="H1646" s="33" t="s">
        <v>24</v>
      </c>
      <c r="I1646" s="25" t="n">
        <v>6</v>
      </c>
      <c r="J1646" s="25" t="n">
        <v>0</v>
      </c>
      <c r="K1646" s="25" t="n">
        <v>6</v>
      </c>
      <c r="L1646" s="29" t="n">
        <v>0.75</v>
      </c>
      <c r="M1646" s="30" t="n">
        <v>9.46</v>
      </c>
      <c r="N1646" s="29" t="n">
        <v>0.12</v>
      </c>
      <c r="O1646" s="25" t="n">
        <v>181</v>
      </c>
      <c r="P1646" s="30" t="n">
        <v>2.82</v>
      </c>
      <c r="Q1646" s="27" t="s">
        <v>3771</v>
      </c>
      <c r="R1646" s="27" t="s">
        <v>30</v>
      </c>
    </row>
    <row r="1647" customFormat="false" ht="15" hidden="false" customHeight="false" outlineLevel="0" collapsed="false">
      <c r="A1647" s="25" t="n">
        <f aca="false">IF(G1647="REJECT",COUNTIF($G$2:$G$2277,"&lt;&gt;REJECT")+1+COUNTIFS($G$2:$G$2277,"REJECT",$B$2:$B$2277,"&gt;"&amp;B1647),1+COUNTIFS($G$2:$G$2277,"&lt;&gt;REJECT",$B$2:$B$2277,"&gt;"&amp;B1647))</f>
        <v>1646</v>
      </c>
      <c r="B1647" s="26" t="n">
        <f aca="false">ROUND(($U$2*MAX(0,MIN(1,($W$2-I1647)/($W$2-$V$2)))+$U$3*MAX(0,MIN(1,($W$3-J1647)/($W$3-$V$3)))+$U$4*MAX(0,MIN(1,($W$4-K1647)/($W$4-$V$4)))+$U$5*MAX(0,MIN(1,($W$5-L1647)/($W$5-$V$5)))+$U$6*MAX(0,MIN(1,($W$6-M1647)/($W$6-$V$6)))+$U$7*MAX(0,MIN(1,($W$7-N1647)/($W$7-$V$7)))+$U$8*IF(AND(O1647&gt;=$V$8,O1647&lt;=$W$8),1,0))/$U$9*100,2)</f>
        <v>57.65</v>
      </c>
      <c r="C1647" s="27" t="s">
        <v>852</v>
      </c>
      <c r="D1647" s="25" t="s">
        <v>134</v>
      </c>
      <c r="E1647" s="25" t="s">
        <v>3447</v>
      </c>
      <c r="F1647" s="25" t="s">
        <v>3457</v>
      </c>
      <c r="G1647" s="38" t="s">
        <v>30</v>
      </c>
      <c r="H1647" s="28" t="s">
        <v>25</v>
      </c>
      <c r="I1647" s="25" t="n">
        <v>6</v>
      </c>
      <c r="J1647" s="25" t="n">
        <v>0</v>
      </c>
      <c r="K1647" s="25" t="n">
        <v>6</v>
      </c>
      <c r="L1647" s="29" t="n">
        <v>0.79</v>
      </c>
      <c r="M1647" s="30" t="n">
        <v>21.08</v>
      </c>
      <c r="N1647" s="29" t="n">
        <v>0.44</v>
      </c>
      <c r="O1647" s="25" t="n">
        <v>191</v>
      </c>
      <c r="P1647" s="30" t="n">
        <v>-0.24</v>
      </c>
      <c r="Q1647" s="27" t="s">
        <v>3772</v>
      </c>
      <c r="R1647" s="27" t="s">
        <v>992</v>
      </c>
    </row>
    <row r="1648" customFormat="false" ht="15" hidden="false" customHeight="false" outlineLevel="0" collapsed="false">
      <c r="A1648" s="25" t="n">
        <f aca="false">IF(G1648="REJECT",COUNTIF($G$2:$G$2277,"&lt;&gt;REJECT")+1+COUNTIFS($G$2:$G$2277,"REJECT",$B$2:$B$2277,"&gt;"&amp;B1648),1+COUNTIFS($G$2:$G$2277,"&lt;&gt;REJECT",$B$2:$B$2277,"&gt;"&amp;B1648))</f>
        <v>1647</v>
      </c>
      <c r="B1648" s="26" t="n">
        <f aca="false">ROUND(($U$2*MAX(0,MIN(1,($W$2-I1648)/($W$2-$V$2)))+$U$3*MAX(0,MIN(1,($W$3-J1648)/($W$3-$V$3)))+$U$4*MAX(0,MIN(1,($W$4-K1648)/($W$4-$V$4)))+$U$5*MAX(0,MIN(1,($W$5-L1648)/($W$5-$V$5)))+$U$6*MAX(0,MIN(1,($W$6-M1648)/($W$6-$V$6)))+$U$7*MAX(0,MIN(1,($W$7-N1648)/($W$7-$V$7)))+$U$8*IF(AND(O1648&gt;=$V$8,O1648&lt;=$W$8),1,0))/$U$9*100,2)</f>
        <v>57.61</v>
      </c>
      <c r="C1648" s="27" t="s">
        <v>2367</v>
      </c>
      <c r="D1648" s="25" t="s">
        <v>134</v>
      </c>
      <c r="E1648" s="25" t="s">
        <v>3447</v>
      </c>
      <c r="F1648" s="25" t="s">
        <v>3448</v>
      </c>
      <c r="G1648" s="38" t="s">
        <v>30</v>
      </c>
      <c r="H1648" s="28" t="s">
        <v>25</v>
      </c>
      <c r="I1648" s="25" t="n">
        <v>3</v>
      </c>
      <c r="J1648" s="25" t="n">
        <v>1</v>
      </c>
      <c r="K1648" s="25" t="n">
        <v>3</v>
      </c>
      <c r="L1648" s="29" t="n">
        <v>0.6</v>
      </c>
      <c r="M1648" s="30" t="n">
        <v>9.83</v>
      </c>
      <c r="N1648" s="29" t="n">
        <v>0</v>
      </c>
      <c r="O1648" s="25" t="n">
        <v>184</v>
      </c>
      <c r="P1648" s="30" t="n">
        <v>5.14</v>
      </c>
      <c r="Q1648" s="27" t="s">
        <v>3649</v>
      </c>
      <c r="R1648" s="27" t="s">
        <v>283</v>
      </c>
    </row>
    <row r="1649" customFormat="false" ht="15" hidden="false" customHeight="false" outlineLevel="0" collapsed="false">
      <c r="A1649" s="25" t="n">
        <f aca="false">IF(G1649="REJECT",COUNTIF($G$2:$G$2277,"&lt;&gt;REJECT")+1+COUNTIFS($G$2:$G$2277,"REJECT",$B$2:$B$2277,"&gt;"&amp;B1649),1+COUNTIFS($G$2:$G$2277,"&lt;&gt;REJECT",$B$2:$B$2277,"&gt;"&amp;B1649))</f>
        <v>1648</v>
      </c>
      <c r="B1649" s="26" t="n">
        <f aca="false">ROUND(($U$2*MAX(0,MIN(1,($W$2-I1649)/($W$2-$V$2)))+$U$3*MAX(0,MIN(1,($W$3-J1649)/($W$3-$V$3)))+$U$4*MAX(0,MIN(1,($W$4-K1649)/($W$4-$V$4)))+$U$5*MAX(0,MIN(1,($W$5-L1649)/($W$5-$V$5)))+$U$6*MAX(0,MIN(1,($W$6-M1649)/($W$6-$V$6)))+$U$7*MAX(0,MIN(1,($W$7-N1649)/($W$7-$V$7)))+$U$8*IF(AND(O1649&gt;=$V$8,O1649&lt;=$W$8),1,0))/$U$9*100,2)</f>
        <v>57.57</v>
      </c>
      <c r="C1649" s="27" t="s">
        <v>2253</v>
      </c>
      <c r="D1649" s="25" t="s">
        <v>134</v>
      </c>
      <c r="E1649" s="25" t="s">
        <v>3450</v>
      </c>
      <c r="F1649" s="25" t="s">
        <v>3457</v>
      </c>
      <c r="G1649" s="38" t="s">
        <v>30</v>
      </c>
      <c r="H1649" s="28" t="s">
        <v>25</v>
      </c>
      <c r="I1649" s="25" t="n">
        <v>4</v>
      </c>
      <c r="J1649" s="25" t="n">
        <v>1</v>
      </c>
      <c r="K1649" s="25" t="n">
        <v>4</v>
      </c>
      <c r="L1649" s="29" t="n">
        <v>0.71</v>
      </c>
      <c r="M1649" s="30" t="n">
        <v>3.81</v>
      </c>
      <c r="N1649" s="29" t="n">
        <v>0.84</v>
      </c>
      <c r="O1649" s="25" t="n">
        <v>182</v>
      </c>
      <c r="P1649" s="30" t="n">
        <v>0.89</v>
      </c>
      <c r="Q1649" s="27" t="s">
        <v>3773</v>
      </c>
      <c r="R1649" s="27" t="s">
        <v>1230</v>
      </c>
    </row>
    <row r="1650" customFormat="false" ht="15" hidden="false" customHeight="false" outlineLevel="0" collapsed="false">
      <c r="A1650" s="25" t="n">
        <f aca="false">IF(G1650="REJECT",COUNTIF($G$2:$G$2277,"&lt;&gt;REJECT")+1+COUNTIFS($G$2:$G$2277,"REJECT",$B$2:$B$2277,"&gt;"&amp;B1650),1+COUNTIFS($G$2:$G$2277,"&lt;&gt;REJECT",$B$2:$B$2277,"&gt;"&amp;B1650))</f>
        <v>1649</v>
      </c>
      <c r="B1650" s="26" t="n">
        <f aca="false">ROUND(($U$2*MAX(0,MIN(1,($W$2-I1650)/($W$2-$V$2)))+$U$3*MAX(0,MIN(1,($W$3-J1650)/($W$3-$V$3)))+$U$4*MAX(0,MIN(1,($W$4-K1650)/($W$4-$V$4)))+$U$5*MAX(0,MIN(1,($W$5-L1650)/($W$5-$V$5)))+$U$6*MAX(0,MIN(1,($W$6-M1650)/($W$6-$V$6)))+$U$7*MAX(0,MIN(1,($W$7-N1650)/($W$7-$V$7)))+$U$8*IF(AND(O1650&gt;=$V$8,O1650&lt;=$W$8),1,0))/$U$9*100,2)</f>
        <v>57.52</v>
      </c>
      <c r="C1650" s="27" t="s">
        <v>2465</v>
      </c>
      <c r="D1650" s="25" t="s">
        <v>3459</v>
      </c>
      <c r="E1650" s="25" t="s">
        <v>3450</v>
      </c>
      <c r="F1650" s="25" t="s">
        <v>3448</v>
      </c>
      <c r="G1650" s="38" t="s">
        <v>30</v>
      </c>
      <c r="H1650" s="28" t="s">
        <v>25</v>
      </c>
      <c r="I1650" s="25" t="n">
        <v>3</v>
      </c>
      <c r="J1650" s="25" t="n">
        <v>1</v>
      </c>
      <c r="K1650" s="25" t="n">
        <v>3</v>
      </c>
      <c r="L1650" s="29" t="n">
        <v>0.65</v>
      </c>
      <c r="M1650" s="30" t="n">
        <v>19.21</v>
      </c>
      <c r="N1650" s="29" t="n">
        <v>0.92</v>
      </c>
      <c r="O1650" s="25" t="n">
        <v>185</v>
      </c>
      <c r="P1650" s="30" t="n">
        <v>16.75</v>
      </c>
      <c r="Q1650" s="27" t="s">
        <v>3649</v>
      </c>
      <c r="R1650" s="27" t="s">
        <v>283</v>
      </c>
    </row>
    <row r="1651" customFormat="false" ht="15" hidden="false" customHeight="false" outlineLevel="0" collapsed="false">
      <c r="A1651" s="25" t="n">
        <f aca="false">IF(G1651="REJECT",COUNTIF($G$2:$G$2277,"&lt;&gt;REJECT")+1+COUNTIFS($G$2:$G$2277,"REJECT",$B$2:$B$2277,"&gt;"&amp;B1651),1+COUNTIFS($G$2:$G$2277,"&lt;&gt;REJECT",$B$2:$B$2277,"&gt;"&amp;B1651))</f>
        <v>1650</v>
      </c>
      <c r="B1651" s="26" t="n">
        <f aca="false">ROUND(($U$2*MAX(0,MIN(1,($W$2-I1651)/($W$2-$V$2)))+$U$3*MAX(0,MIN(1,($W$3-J1651)/($W$3-$V$3)))+$U$4*MAX(0,MIN(1,($W$4-K1651)/($W$4-$V$4)))+$U$5*MAX(0,MIN(1,($W$5-L1651)/($W$5-$V$5)))+$U$6*MAX(0,MIN(1,($W$6-M1651)/($W$6-$V$6)))+$U$7*MAX(0,MIN(1,($W$7-N1651)/($W$7-$V$7)))+$U$8*IF(AND(O1651&gt;=$V$8,O1651&lt;=$W$8),1,0))/$U$9*100,2)</f>
        <v>57.51</v>
      </c>
      <c r="C1651" s="27" t="s">
        <v>1781</v>
      </c>
      <c r="D1651" s="25" t="s">
        <v>134</v>
      </c>
      <c r="E1651" s="25" t="s">
        <v>3447</v>
      </c>
      <c r="F1651" s="25" t="s">
        <v>3448</v>
      </c>
      <c r="G1651" s="38" t="s">
        <v>30</v>
      </c>
      <c r="H1651" s="33" t="s">
        <v>24</v>
      </c>
      <c r="I1651" s="25" t="n">
        <v>6</v>
      </c>
      <c r="J1651" s="25" t="n">
        <v>0</v>
      </c>
      <c r="K1651" s="25" t="n">
        <v>6</v>
      </c>
      <c r="L1651" s="29" t="n">
        <v>0.73</v>
      </c>
      <c r="M1651" s="30" t="n">
        <v>1.17</v>
      </c>
      <c r="N1651" s="29" t="n">
        <v>0.36</v>
      </c>
      <c r="O1651" s="25" t="n">
        <v>195</v>
      </c>
      <c r="P1651" s="30" t="n">
        <v>0.24</v>
      </c>
      <c r="Q1651" s="27" t="s">
        <v>3774</v>
      </c>
      <c r="R1651" s="27" t="s">
        <v>30</v>
      </c>
    </row>
    <row r="1652" customFormat="false" ht="15" hidden="false" customHeight="false" outlineLevel="0" collapsed="false">
      <c r="A1652" s="25" t="n">
        <f aca="false">IF(G1652="REJECT",COUNTIF($G$2:$G$2277,"&lt;&gt;REJECT")+1+COUNTIFS($G$2:$G$2277,"REJECT",$B$2:$B$2277,"&gt;"&amp;B1652),1+COUNTIFS($G$2:$G$2277,"&lt;&gt;REJECT",$B$2:$B$2277,"&gt;"&amp;B1652))</f>
        <v>1651</v>
      </c>
      <c r="B1652" s="26" t="n">
        <f aca="false">ROUND(($U$2*MAX(0,MIN(1,($W$2-I1652)/($W$2-$V$2)))+$U$3*MAX(0,MIN(1,($W$3-J1652)/($W$3-$V$3)))+$U$4*MAX(0,MIN(1,($W$4-K1652)/($W$4-$V$4)))+$U$5*MAX(0,MIN(1,($W$5-L1652)/($W$5-$V$5)))+$U$6*MAX(0,MIN(1,($W$6-M1652)/($W$6-$V$6)))+$U$7*MAX(0,MIN(1,($W$7-N1652)/($W$7-$V$7)))+$U$8*IF(AND(O1652&gt;=$V$8,O1652&lt;=$W$8),1,0))/$U$9*100,2)</f>
        <v>57.5</v>
      </c>
      <c r="C1652" s="27" t="s">
        <v>2987</v>
      </c>
      <c r="D1652" s="25" t="s">
        <v>134</v>
      </c>
      <c r="E1652" s="25" t="s">
        <v>3450</v>
      </c>
      <c r="F1652" s="25" t="s">
        <v>3448</v>
      </c>
      <c r="G1652" s="38" t="s">
        <v>30</v>
      </c>
      <c r="H1652" s="28" t="s">
        <v>25</v>
      </c>
      <c r="I1652" s="25" t="n">
        <v>4</v>
      </c>
      <c r="J1652" s="25" t="n">
        <v>1</v>
      </c>
      <c r="K1652" s="25" t="n">
        <v>4</v>
      </c>
      <c r="L1652" s="29" t="n">
        <v>0.72</v>
      </c>
      <c r="M1652" s="30" t="n">
        <v>7.38</v>
      </c>
      <c r="N1652" s="29" t="n">
        <v>0.88</v>
      </c>
      <c r="O1652" s="25" t="n">
        <v>183</v>
      </c>
      <c r="P1652" s="30" t="n">
        <v>3.16</v>
      </c>
      <c r="Q1652" s="27" t="s">
        <v>3734</v>
      </c>
      <c r="R1652" s="27" t="s">
        <v>283</v>
      </c>
    </row>
    <row r="1653" customFormat="false" ht="15" hidden="false" customHeight="false" outlineLevel="0" collapsed="false">
      <c r="A1653" s="25" t="n">
        <f aca="false">IF(G1653="REJECT",COUNTIF($G$2:$G$2277,"&lt;&gt;REJECT")+1+COUNTIFS($G$2:$G$2277,"REJECT",$B$2:$B$2277,"&gt;"&amp;B1653),1+COUNTIFS($G$2:$G$2277,"&lt;&gt;REJECT",$B$2:$B$2277,"&gt;"&amp;B1653))</f>
        <v>1652</v>
      </c>
      <c r="B1653" s="26" t="n">
        <f aca="false">ROUND(($U$2*MAX(0,MIN(1,($W$2-I1653)/($W$2-$V$2)))+$U$3*MAX(0,MIN(1,($W$3-J1653)/($W$3-$V$3)))+$U$4*MAX(0,MIN(1,($W$4-K1653)/($W$4-$V$4)))+$U$5*MAX(0,MIN(1,($W$5-L1653)/($W$5-$V$5)))+$U$6*MAX(0,MIN(1,($W$6-M1653)/($W$6-$V$6)))+$U$7*MAX(0,MIN(1,($W$7-N1653)/($W$7-$V$7)))+$U$8*IF(AND(O1653&gt;=$V$8,O1653&lt;=$W$8),1,0))/$U$9*100,2)</f>
        <v>57.3</v>
      </c>
      <c r="C1653" s="27" t="s">
        <v>779</v>
      </c>
      <c r="D1653" s="25" t="s">
        <v>3459</v>
      </c>
      <c r="E1653" s="25" t="s">
        <v>3450</v>
      </c>
      <c r="F1653" s="25" t="s">
        <v>3457</v>
      </c>
      <c r="G1653" s="38" t="s">
        <v>30</v>
      </c>
      <c r="H1653" s="28" t="s">
        <v>25</v>
      </c>
      <c r="I1653" s="25" t="n">
        <v>5</v>
      </c>
      <c r="J1653" s="25" t="n">
        <v>0</v>
      </c>
      <c r="K1653" s="25" t="n">
        <v>5</v>
      </c>
      <c r="L1653" s="29" t="n">
        <v>0.65</v>
      </c>
      <c r="M1653" s="30" t="n">
        <v>5.93</v>
      </c>
      <c r="N1653" s="29" t="n">
        <v>0.88</v>
      </c>
      <c r="O1653" s="25" t="n">
        <v>188</v>
      </c>
      <c r="P1653" s="30" t="n">
        <v>-1.03</v>
      </c>
      <c r="Q1653" s="27" t="s">
        <v>3775</v>
      </c>
      <c r="R1653" s="27" t="s">
        <v>2559</v>
      </c>
    </row>
    <row r="1654" customFormat="false" ht="15" hidden="false" customHeight="false" outlineLevel="0" collapsed="false">
      <c r="A1654" s="25" t="n">
        <f aca="false">IF(G1654="REJECT",COUNTIF($G$2:$G$2277,"&lt;&gt;REJECT")+1+COUNTIFS($G$2:$G$2277,"REJECT",$B$2:$B$2277,"&gt;"&amp;B1654),1+COUNTIFS($G$2:$G$2277,"&lt;&gt;REJECT",$B$2:$B$2277,"&gt;"&amp;B1654))</f>
        <v>1653</v>
      </c>
      <c r="B1654" s="26" t="n">
        <f aca="false">ROUND(($U$2*MAX(0,MIN(1,($W$2-I1654)/($W$2-$V$2)))+$U$3*MAX(0,MIN(1,($W$3-J1654)/($W$3-$V$3)))+$U$4*MAX(0,MIN(1,($W$4-K1654)/($W$4-$V$4)))+$U$5*MAX(0,MIN(1,($W$5-L1654)/($W$5-$V$5)))+$U$6*MAX(0,MIN(1,($W$6-M1654)/($W$6-$V$6)))+$U$7*MAX(0,MIN(1,($W$7-N1654)/($W$7-$V$7)))+$U$8*IF(AND(O1654&gt;=$V$8,O1654&lt;=$W$8),1,0))/$U$9*100,2)</f>
        <v>57.24</v>
      </c>
      <c r="C1654" s="27" t="s">
        <v>2848</v>
      </c>
      <c r="D1654" s="25" t="s">
        <v>134</v>
      </c>
      <c r="E1654" s="25" t="s">
        <v>3447</v>
      </c>
      <c r="F1654" s="25" t="s">
        <v>3448</v>
      </c>
      <c r="G1654" s="38" t="s">
        <v>30</v>
      </c>
      <c r="H1654" s="33" t="s">
        <v>24</v>
      </c>
      <c r="I1654" s="25" t="n">
        <v>6</v>
      </c>
      <c r="J1654" s="25" t="n">
        <v>0</v>
      </c>
      <c r="K1654" s="25" t="n">
        <v>6</v>
      </c>
      <c r="L1654" s="29" t="n">
        <v>0.75</v>
      </c>
      <c r="M1654" s="30" t="n">
        <v>11.59</v>
      </c>
      <c r="N1654" s="29" t="n">
        <v>0.2</v>
      </c>
      <c r="O1654" s="25" t="n">
        <v>184</v>
      </c>
      <c r="P1654" s="30" t="n">
        <v>4.72</v>
      </c>
      <c r="Q1654" s="27" t="s">
        <v>3776</v>
      </c>
      <c r="R1654" s="27" t="s">
        <v>30</v>
      </c>
    </row>
    <row r="1655" customFormat="false" ht="15" hidden="false" customHeight="false" outlineLevel="0" collapsed="false">
      <c r="A1655" s="25" t="n">
        <f aca="false">IF(G1655="REJECT",COUNTIF($G$2:$G$2277,"&lt;&gt;REJECT")+1+COUNTIFS($G$2:$G$2277,"REJECT",$B$2:$B$2277,"&gt;"&amp;B1655),1+COUNTIFS($G$2:$G$2277,"&lt;&gt;REJECT",$B$2:$B$2277,"&gt;"&amp;B1655))</f>
        <v>1654</v>
      </c>
      <c r="B1655" s="26" t="n">
        <f aca="false">ROUND(($U$2*MAX(0,MIN(1,($W$2-I1655)/($W$2-$V$2)))+$U$3*MAX(0,MIN(1,($W$3-J1655)/($W$3-$V$3)))+$U$4*MAX(0,MIN(1,($W$4-K1655)/($W$4-$V$4)))+$U$5*MAX(0,MIN(1,($W$5-L1655)/($W$5-$V$5)))+$U$6*MAX(0,MIN(1,($W$6-M1655)/($W$6-$V$6)))+$U$7*MAX(0,MIN(1,($W$7-N1655)/($W$7-$V$7)))+$U$8*IF(AND(O1655&gt;=$V$8,O1655&lt;=$W$8),1,0))/$U$9*100,2)</f>
        <v>57.13</v>
      </c>
      <c r="C1655" s="27" t="s">
        <v>3126</v>
      </c>
      <c r="D1655" s="25" t="s">
        <v>134</v>
      </c>
      <c r="E1655" s="25" t="s">
        <v>3450</v>
      </c>
      <c r="F1655" s="25" t="s">
        <v>3457</v>
      </c>
      <c r="G1655" s="38" t="s">
        <v>30</v>
      </c>
      <c r="H1655" s="28" t="s">
        <v>25</v>
      </c>
      <c r="I1655" s="25" t="n">
        <v>4</v>
      </c>
      <c r="J1655" s="25" t="n">
        <v>1</v>
      </c>
      <c r="K1655" s="25" t="n">
        <v>4</v>
      </c>
      <c r="L1655" s="29" t="n">
        <v>0.69</v>
      </c>
      <c r="M1655" s="30" t="n">
        <v>5.63</v>
      </c>
      <c r="N1655" s="29" t="n">
        <v>0.2</v>
      </c>
      <c r="O1655" s="25" t="n">
        <v>182</v>
      </c>
      <c r="P1655" s="30" t="n">
        <v>13.32</v>
      </c>
      <c r="Q1655" s="27" t="s">
        <v>3734</v>
      </c>
      <c r="R1655" s="27" t="s">
        <v>283</v>
      </c>
    </row>
    <row r="1656" customFormat="false" ht="15" hidden="false" customHeight="false" outlineLevel="0" collapsed="false">
      <c r="A1656" s="25" t="n">
        <f aca="false">IF(G1656="REJECT",COUNTIF($G$2:$G$2277,"&lt;&gt;REJECT")+1+COUNTIFS($G$2:$G$2277,"REJECT",$B$2:$B$2277,"&gt;"&amp;B1656),1+COUNTIFS($G$2:$G$2277,"&lt;&gt;REJECT",$B$2:$B$2277,"&gt;"&amp;B1656))</f>
        <v>1655</v>
      </c>
      <c r="B1656" s="26" t="n">
        <f aca="false">ROUND(($U$2*MAX(0,MIN(1,($W$2-I1656)/($W$2-$V$2)))+$U$3*MAX(0,MIN(1,($W$3-J1656)/($W$3-$V$3)))+$U$4*MAX(0,MIN(1,($W$4-K1656)/($W$4-$V$4)))+$U$5*MAX(0,MIN(1,($W$5-L1656)/($W$5-$V$5)))+$U$6*MAX(0,MIN(1,($W$6-M1656)/($W$6-$V$6)))+$U$7*MAX(0,MIN(1,($W$7-N1656)/($W$7-$V$7)))+$U$8*IF(AND(O1656&gt;=$V$8,O1656&lt;=$W$8),1,0))/$U$9*100,2)</f>
        <v>57.12</v>
      </c>
      <c r="C1656" s="27" t="s">
        <v>2773</v>
      </c>
      <c r="D1656" s="25" t="s">
        <v>3459</v>
      </c>
      <c r="E1656" s="25" t="s">
        <v>3447</v>
      </c>
      <c r="F1656" s="25" t="s">
        <v>3448</v>
      </c>
      <c r="G1656" s="38" t="s">
        <v>30</v>
      </c>
      <c r="H1656" s="28" t="s">
        <v>25</v>
      </c>
      <c r="I1656" s="25" t="n">
        <v>6</v>
      </c>
      <c r="J1656" s="25" t="n">
        <v>0</v>
      </c>
      <c r="K1656" s="25" t="n">
        <v>6</v>
      </c>
      <c r="L1656" s="29" t="n">
        <v>0.78</v>
      </c>
      <c r="M1656" s="30" t="n">
        <v>22.71</v>
      </c>
      <c r="N1656" s="29" t="n">
        <v>0.24</v>
      </c>
      <c r="O1656" s="25" t="n">
        <v>184</v>
      </c>
      <c r="P1656" s="30" t="n">
        <v>-0.72</v>
      </c>
      <c r="Q1656" s="27" t="s">
        <v>3777</v>
      </c>
      <c r="R1656" s="27" t="s">
        <v>144</v>
      </c>
    </row>
    <row r="1657" customFormat="false" ht="15" hidden="false" customHeight="false" outlineLevel="0" collapsed="false">
      <c r="A1657" s="25" t="n">
        <f aca="false">IF(G1657="REJECT",COUNTIF($G$2:$G$2277,"&lt;&gt;REJECT")+1+COUNTIFS($G$2:$G$2277,"REJECT",$B$2:$B$2277,"&gt;"&amp;B1657),1+COUNTIFS($G$2:$G$2277,"&lt;&gt;REJECT",$B$2:$B$2277,"&gt;"&amp;B1657))</f>
        <v>1655</v>
      </c>
      <c r="B1657" s="26" t="n">
        <f aca="false">ROUND(($U$2*MAX(0,MIN(1,($W$2-I1657)/($W$2-$V$2)))+$U$3*MAX(0,MIN(1,($W$3-J1657)/($W$3-$V$3)))+$U$4*MAX(0,MIN(1,($W$4-K1657)/($W$4-$V$4)))+$U$5*MAX(0,MIN(1,($W$5-L1657)/($W$5-$V$5)))+$U$6*MAX(0,MIN(1,($W$6-M1657)/($W$6-$V$6)))+$U$7*MAX(0,MIN(1,($W$7-N1657)/($W$7-$V$7)))+$U$8*IF(AND(O1657&gt;=$V$8,O1657&lt;=$W$8),1,0))/$U$9*100,2)</f>
        <v>57.12</v>
      </c>
      <c r="C1657" s="27" t="s">
        <v>3177</v>
      </c>
      <c r="D1657" s="25" t="s">
        <v>134</v>
      </c>
      <c r="E1657" s="25" t="s">
        <v>3450</v>
      </c>
      <c r="F1657" s="25" t="s">
        <v>3457</v>
      </c>
      <c r="G1657" s="38" t="s">
        <v>30</v>
      </c>
      <c r="H1657" s="28" t="s">
        <v>25</v>
      </c>
      <c r="I1657" s="25" t="n">
        <v>4</v>
      </c>
      <c r="J1657" s="25" t="n">
        <v>1</v>
      </c>
      <c r="K1657" s="25" t="n">
        <v>4</v>
      </c>
      <c r="L1657" s="29" t="n">
        <v>0.74</v>
      </c>
      <c r="M1657" s="30" t="n">
        <v>21.71</v>
      </c>
      <c r="N1657" s="29" t="n">
        <v>0.4</v>
      </c>
      <c r="O1657" s="25" t="n">
        <v>184</v>
      </c>
      <c r="P1657" s="30" t="n">
        <v>17.82</v>
      </c>
      <c r="Q1657" s="27" t="s">
        <v>3778</v>
      </c>
      <c r="R1657" s="27" t="s">
        <v>183</v>
      </c>
    </row>
    <row r="1658" customFormat="false" ht="15" hidden="false" customHeight="false" outlineLevel="0" collapsed="false">
      <c r="A1658" s="25" t="n">
        <f aca="false">IF(G1658="REJECT",COUNTIF($G$2:$G$2277,"&lt;&gt;REJECT")+1+COUNTIFS($G$2:$G$2277,"REJECT",$B$2:$B$2277,"&gt;"&amp;B1658),1+COUNTIFS($G$2:$G$2277,"&lt;&gt;REJECT",$B$2:$B$2277,"&gt;"&amp;B1658))</f>
        <v>1657</v>
      </c>
      <c r="B1658" s="26" t="n">
        <f aca="false">ROUND(($U$2*MAX(0,MIN(1,($W$2-I1658)/($W$2-$V$2)))+$U$3*MAX(0,MIN(1,($W$3-J1658)/($W$3-$V$3)))+$U$4*MAX(0,MIN(1,($W$4-K1658)/($W$4-$V$4)))+$U$5*MAX(0,MIN(1,($W$5-L1658)/($W$5-$V$5)))+$U$6*MAX(0,MIN(1,($W$6-M1658)/($W$6-$V$6)))+$U$7*MAX(0,MIN(1,($W$7-N1658)/($W$7-$V$7)))+$U$8*IF(AND(O1658&gt;=$V$8,O1658&lt;=$W$8),1,0))/$U$9*100,2)</f>
        <v>57.01</v>
      </c>
      <c r="C1658" s="27" t="s">
        <v>3394</v>
      </c>
      <c r="D1658" s="25" t="s">
        <v>134</v>
      </c>
      <c r="E1658" s="25" t="s">
        <v>3447</v>
      </c>
      <c r="F1658" s="25" t="s">
        <v>3457</v>
      </c>
      <c r="G1658" s="38" t="s">
        <v>30</v>
      </c>
      <c r="H1658" s="28" t="s">
        <v>25</v>
      </c>
      <c r="I1658" s="25" t="n">
        <v>4</v>
      </c>
      <c r="J1658" s="25" t="n">
        <v>1</v>
      </c>
      <c r="K1658" s="25" t="n">
        <v>4</v>
      </c>
      <c r="L1658" s="29" t="n">
        <v>0.71</v>
      </c>
      <c r="M1658" s="30" t="n">
        <v>10.75</v>
      </c>
      <c r="N1658" s="29" t="n">
        <v>0.48</v>
      </c>
      <c r="O1658" s="25" t="n">
        <v>213</v>
      </c>
      <c r="P1658" s="30" t="n">
        <v>5.27</v>
      </c>
      <c r="Q1658" s="27" t="s">
        <v>3734</v>
      </c>
      <c r="R1658" s="27" t="s">
        <v>283</v>
      </c>
    </row>
    <row r="1659" customFormat="false" ht="15" hidden="false" customHeight="false" outlineLevel="0" collapsed="false">
      <c r="A1659" s="25" t="n">
        <f aca="false">IF(G1659="REJECT",COUNTIF($G$2:$G$2277,"&lt;&gt;REJECT")+1+COUNTIFS($G$2:$G$2277,"REJECT",$B$2:$B$2277,"&gt;"&amp;B1659),1+COUNTIFS($G$2:$G$2277,"&lt;&gt;REJECT",$B$2:$B$2277,"&gt;"&amp;B1659))</f>
        <v>1658</v>
      </c>
      <c r="B1659" s="26" t="n">
        <f aca="false">ROUND(($U$2*MAX(0,MIN(1,($W$2-I1659)/($W$2-$V$2)))+$U$3*MAX(0,MIN(1,($W$3-J1659)/($W$3-$V$3)))+$U$4*MAX(0,MIN(1,($W$4-K1659)/($W$4-$V$4)))+$U$5*MAX(0,MIN(1,($W$5-L1659)/($W$5-$V$5)))+$U$6*MAX(0,MIN(1,($W$6-M1659)/($W$6-$V$6)))+$U$7*MAX(0,MIN(1,($W$7-N1659)/($W$7-$V$7)))+$U$8*IF(AND(O1659&gt;=$V$8,O1659&lt;=$W$8),1,0))/$U$9*100,2)</f>
        <v>56.98</v>
      </c>
      <c r="C1659" s="27" t="s">
        <v>3338</v>
      </c>
      <c r="D1659" s="25" t="s">
        <v>134</v>
      </c>
      <c r="E1659" s="25" t="s">
        <v>3450</v>
      </c>
      <c r="F1659" s="25" t="s">
        <v>3457</v>
      </c>
      <c r="G1659" s="38" t="s">
        <v>30</v>
      </c>
      <c r="H1659" s="28" t="s">
        <v>25</v>
      </c>
      <c r="I1659" s="25" t="n">
        <v>5</v>
      </c>
      <c r="J1659" s="25" t="n">
        <v>0</v>
      </c>
      <c r="K1659" s="25" t="n">
        <v>5</v>
      </c>
      <c r="L1659" s="29" t="n">
        <v>0.69</v>
      </c>
      <c r="M1659" s="30" t="n">
        <v>22.24</v>
      </c>
      <c r="N1659" s="29" t="n">
        <v>0.88</v>
      </c>
      <c r="O1659" s="25" t="n">
        <v>186</v>
      </c>
      <c r="P1659" s="30" t="n">
        <v>-0.88</v>
      </c>
      <c r="Q1659" s="27" t="s">
        <v>3779</v>
      </c>
      <c r="R1659" s="27" t="s">
        <v>1468</v>
      </c>
    </row>
    <row r="1660" customFormat="false" ht="15" hidden="false" customHeight="false" outlineLevel="0" collapsed="false">
      <c r="A1660" s="25" t="n">
        <f aca="false">IF(G1660="REJECT",COUNTIF($G$2:$G$2277,"&lt;&gt;REJECT")+1+COUNTIFS($G$2:$G$2277,"REJECT",$B$2:$B$2277,"&gt;"&amp;B1660),1+COUNTIFS($G$2:$G$2277,"&lt;&gt;REJECT",$B$2:$B$2277,"&gt;"&amp;B1660))</f>
        <v>1659</v>
      </c>
      <c r="B1660" s="26" t="n">
        <f aca="false">ROUND(($U$2*MAX(0,MIN(1,($W$2-I1660)/($W$2-$V$2)))+$U$3*MAX(0,MIN(1,($W$3-J1660)/($W$3-$V$3)))+$U$4*MAX(0,MIN(1,($W$4-K1660)/($W$4-$V$4)))+$U$5*MAX(0,MIN(1,($W$5-L1660)/($W$5-$V$5)))+$U$6*MAX(0,MIN(1,($W$6-M1660)/($W$6-$V$6)))+$U$7*MAX(0,MIN(1,($W$7-N1660)/($W$7-$V$7)))+$U$8*IF(AND(O1660&gt;=$V$8,O1660&lt;=$W$8),1,0))/$U$9*100,2)</f>
        <v>56.94</v>
      </c>
      <c r="C1660" s="27" t="s">
        <v>2620</v>
      </c>
      <c r="D1660" s="25" t="s">
        <v>134</v>
      </c>
      <c r="E1660" s="25" t="s">
        <v>3450</v>
      </c>
      <c r="F1660" s="25" t="s">
        <v>3448</v>
      </c>
      <c r="G1660" s="38" t="s">
        <v>30</v>
      </c>
      <c r="H1660" s="28" t="s">
        <v>25</v>
      </c>
      <c r="I1660" s="25" t="n">
        <v>4</v>
      </c>
      <c r="J1660" s="25" t="n">
        <v>1</v>
      </c>
      <c r="K1660" s="25" t="n">
        <v>4</v>
      </c>
      <c r="L1660" s="29" t="n">
        <v>0.71</v>
      </c>
      <c r="M1660" s="30" t="n">
        <v>15.94</v>
      </c>
      <c r="N1660" s="29" t="n">
        <v>0</v>
      </c>
      <c r="O1660" s="25" t="n">
        <v>182</v>
      </c>
      <c r="P1660" s="30" t="n">
        <v>10.96</v>
      </c>
      <c r="Q1660" s="27" t="s">
        <v>3734</v>
      </c>
      <c r="R1660" s="27" t="s">
        <v>283</v>
      </c>
    </row>
    <row r="1661" customFormat="false" ht="15" hidden="false" customHeight="false" outlineLevel="0" collapsed="false">
      <c r="A1661" s="25" t="n">
        <f aca="false">IF(G1661="REJECT",COUNTIF($G$2:$G$2277,"&lt;&gt;REJECT")+1+COUNTIFS($G$2:$G$2277,"REJECT",$B$2:$B$2277,"&gt;"&amp;B1661),1+COUNTIFS($G$2:$G$2277,"&lt;&gt;REJECT",$B$2:$B$2277,"&gt;"&amp;B1661))</f>
        <v>1660</v>
      </c>
      <c r="B1661" s="26" t="n">
        <f aca="false">ROUND(($U$2*MAX(0,MIN(1,($W$2-I1661)/($W$2-$V$2)))+$U$3*MAX(0,MIN(1,($W$3-J1661)/($W$3-$V$3)))+$U$4*MAX(0,MIN(1,($W$4-K1661)/($W$4-$V$4)))+$U$5*MAX(0,MIN(1,($W$5-L1661)/($W$5-$V$5)))+$U$6*MAX(0,MIN(1,($W$6-M1661)/($W$6-$V$6)))+$U$7*MAX(0,MIN(1,($W$7-N1661)/($W$7-$V$7)))+$U$8*IF(AND(O1661&gt;=$V$8,O1661&lt;=$W$8),1,0))/$U$9*100,2)</f>
        <v>56.92</v>
      </c>
      <c r="C1661" s="27" t="s">
        <v>1744</v>
      </c>
      <c r="D1661" s="25" t="s">
        <v>134</v>
      </c>
      <c r="E1661" s="25" t="s">
        <v>3447</v>
      </c>
      <c r="F1661" s="25" t="s">
        <v>3457</v>
      </c>
      <c r="G1661" s="38" t="s">
        <v>30</v>
      </c>
      <c r="H1661" s="33" t="s">
        <v>24</v>
      </c>
      <c r="I1661" s="25" t="n">
        <v>6</v>
      </c>
      <c r="J1661" s="25" t="n">
        <v>0</v>
      </c>
      <c r="K1661" s="25" t="n">
        <v>6</v>
      </c>
      <c r="L1661" s="29" t="n">
        <v>0.78</v>
      </c>
      <c r="M1661" s="30" t="n">
        <v>17.51</v>
      </c>
      <c r="N1661" s="29" t="n">
        <v>0.88</v>
      </c>
      <c r="O1661" s="25" t="n">
        <v>187</v>
      </c>
      <c r="P1661" s="30" t="n">
        <v>-1.59</v>
      </c>
      <c r="Q1661" s="27" t="s">
        <v>3780</v>
      </c>
      <c r="R1661" s="27" t="s">
        <v>30</v>
      </c>
    </row>
    <row r="1662" customFormat="false" ht="15" hidden="false" customHeight="false" outlineLevel="0" collapsed="false">
      <c r="A1662" s="25" t="n">
        <f aca="false">IF(G1662="REJECT",COUNTIF($G$2:$G$2277,"&lt;&gt;REJECT")+1+COUNTIFS($G$2:$G$2277,"REJECT",$B$2:$B$2277,"&gt;"&amp;B1662),1+COUNTIFS($G$2:$G$2277,"&lt;&gt;REJECT",$B$2:$B$2277,"&gt;"&amp;B1662))</f>
        <v>1661</v>
      </c>
      <c r="B1662" s="26" t="n">
        <f aca="false">ROUND(($U$2*MAX(0,MIN(1,($W$2-I1662)/($W$2-$V$2)))+$U$3*MAX(0,MIN(1,($W$3-J1662)/($W$3-$V$3)))+$U$4*MAX(0,MIN(1,($W$4-K1662)/($W$4-$V$4)))+$U$5*MAX(0,MIN(1,($W$5-L1662)/($W$5-$V$5)))+$U$6*MAX(0,MIN(1,($W$6-M1662)/($W$6-$V$6)))+$U$7*MAX(0,MIN(1,($W$7-N1662)/($W$7-$V$7)))+$U$8*IF(AND(O1662&gt;=$V$8,O1662&lt;=$W$8),1,0))/$U$9*100,2)</f>
        <v>56.87</v>
      </c>
      <c r="C1662" s="27" t="s">
        <v>1744</v>
      </c>
      <c r="D1662" s="25" t="s">
        <v>134</v>
      </c>
      <c r="E1662" s="25" t="s">
        <v>3447</v>
      </c>
      <c r="F1662" s="25" t="s">
        <v>3448</v>
      </c>
      <c r="G1662" s="38" t="s">
        <v>30</v>
      </c>
      <c r="H1662" s="33" t="s">
        <v>24</v>
      </c>
      <c r="I1662" s="25" t="n">
        <v>6</v>
      </c>
      <c r="J1662" s="25" t="n">
        <v>0</v>
      </c>
      <c r="K1662" s="25" t="n">
        <v>6</v>
      </c>
      <c r="L1662" s="29" t="n">
        <v>0.74</v>
      </c>
      <c r="M1662" s="30" t="n">
        <v>9</v>
      </c>
      <c r="N1662" s="29" t="n">
        <v>0.32</v>
      </c>
      <c r="O1662" s="25" t="n">
        <v>186</v>
      </c>
      <c r="P1662" s="30" t="n">
        <v>-1.66</v>
      </c>
      <c r="Q1662" s="27" t="s">
        <v>3781</v>
      </c>
      <c r="R1662" s="27" t="s">
        <v>30</v>
      </c>
    </row>
    <row r="1663" customFormat="false" ht="15" hidden="false" customHeight="false" outlineLevel="0" collapsed="false">
      <c r="A1663" s="25" t="n">
        <f aca="false">IF(G1663="REJECT",COUNTIF($G$2:$G$2277,"&lt;&gt;REJECT")+1+COUNTIFS($G$2:$G$2277,"REJECT",$B$2:$B$2277,"&gt;"&amp;B1663),1+COUNTIFS($G$2:$G$2277,"&lt;&gt;REJECT",$B$2:$B$2277,"&gt;"&amp;B1663))</f>
        <v>1662</v>
      </c>
      <c r="B1663" s="26" t="n">
        <f aca="false">ROUND(($U$2*MAX(0,MIN(1,($W$2-I1663)/($W$2-$V$2)))+$U$3*MAX(0,MIN(1,($W$3-J1663)/($W$3-$V$3)))+$U$4*MAX(0,MIN(1,($W$4-K1663)/($W$4-$V$4)))+$U$5*MAX(0,MIN(1,($W$5-L1663)/($W$5-$V$5)))+$U$6*MAX(0,MIN(1,($W$6-M1663)/($W$6-$V$6)))+$U$7*MAX(0,MIN(1,($W$7-N1663)/($W$7-$V$7)))+$U$8*IF(AND(O1663&gt;=$V$8,O1663&lt;=$W$8),1,0))/$U$9*100,2)</f>
        <v>56.75</v>
      </c>
      <c r="C1663" s="27" t="s">
        <v>1559</v>
      </c>
      <c r="D1663" s="25" t="s">
        <v>134</v>
      </c>
      <c r="E1663" s="25" t="s">
        <v>3450</v>
      </c>
      <c r="F1663" s="25" t="s">
        <v>3457</v>
      </c>
      <c r="G1663" s="38" t="s">
        <v>30</v>
      </c>
      <c r="H1663" s="28" t="s">
        <v>25</v>
      </c>
      <c r="I1663" s="25" t="n">
        <v>3</v>
      </c>
      <c r="J1663" s="25" t="n">
        <v>1</v>
      </c>
      <c r="K1663" s="25" t="n">
        <v>3</v>
      </c>
      <c r="L1663" s="29" t="n">
        <v>0.65</v>
      </c>
      <c r="M1663" s="30" t="n">
        <v>29.42</v>
      </c>
      <c r="N1663" s="29" t="n">
        <v>0.36</v>
      </c>
      <c r="O1663" s="25" t="n">
        <v>185</v>
      </c>
      <c r="P1663" s="30" t="n">
        <v>-0.29</v>
      </c>
      <c r="Q1663" s="27" t="s">
        <v>3782</v>
      </c>
      <c r="R1663" s="27" t="s">
        <v>294</v>
      </c>
    </row>
    <row r="1664" customFormat="false" ht="15" hidden="false" customHeight="false" outlineLevel="0" collapsed="false">
      <c r="A1664" s="25" t="n">
        <f aca="false">IF(G1664="REJECT",COUNTIF($G$2:$G$2277,"&lt;&gt;REJECT")+1+COUNTIFS($G$2:$G$2277,"REJECT",$B$2:$B$2277,"&gt;"&amp;B1664),1+COUNTIFS($G$2:$G$2277,"&lt;&gt;REJECT",$B$2:$B$2277,"&gt;"&amp;B1664))</f>
        <v>1663</v>
      </c>
      <c r="B1664" s="26" t="n">
        <f aca="false">ROUND(($U$2*MAX(0,MIN(1,($W$2-I1664)/($W$2-$V$2)))+$U$3*MAX(0,MIN(1,($W$3-J1664)/($W$3-$V$3)))+$U$4*MAX(0,MIN(1,($W$4-K1664)/($W$4-$V$4)))+$U$5*MAX(0,MIN(1,($W$5-L1664)/($W$5-$V$5)))+$U$6*MAX(0,MIN(1,($W$6-M1664)/($W$6-$V$6)))+$U$7*MAX(0,MIN(1,($W$7-N1664)/($W$7-$V$7)))+$U$8*IF(AND(O1664&gt;=$V$8,O1664&lt;=$W$8),1,0))/$U$9*100,2)</f>
        <v>56.73</v>
      </c>
      <c r="C1664" s="27" t="s">
        <v>317</v>
      </c>
      <c r="D1664" s="25" t="s">
        <v>134</v>
      </c>
      <c r="E1664" s="25" t="s">
        <v>3450</v>
      </c>
      <c r="F1664" s="25" t="s">
        <v>3457</v>
      </c>
      <c r="G1664" s="38" t="s">
        <v>30</v>
      </c>
      <c r="H1664" s="28" t="s">
        <v>25</v>
      </c>
      <c r="I1664" s="25" t="n">
        <v>3</v>
      </c>
      <c r="J1664" s="25" t="n">
        <v>1</v>
      </c>
      <c r="K1664" s="25" t="n">
        <v>3</v>
      </c>
      <c r="L1664" s="29" t="n">
        <v>0.64</v>
      </c>
      <c r="M1664" s="30" t="n">
        <v>20.31</v>
      </c>
      <c r="N1664" s="29" t="n">
        <v>0.92</v>
      </c>
      <c r="O1664" s="25" t="n">
        <v>184</v>
      </c>
      <c r="P1664" s="30" t="n">
        <v>8.94</v>
      </c>
      <c r="Q1664" s="27" t="s">
        <v>3649</v>
      </c>
      <c r="R1664" s="27" t="s">
        <v>183</v>
      </c>
    </row>
    <row r="1665" customFormat="false" ht="15" hidden="false" customHeight="false" outlineLevel="0" collapsed="false">
      <c r="A1665" s="25" t="n">
        <f aca="false">IF(G1665="REJECT",COUNTIF($G$2:$G$2277,"&lt;&gt;REJECT")+1+COUNTIFS($G$2:$G$2277,"REJECT",$B$2:$B$2277,"&gt;"&amp;B1665),1+COUNTIFS($G$2:$G$2277,"&lt;&gt;REJECT",$B$2:$B$2277,"&gt;"&amp;B1665))</f>
        <v>1664</v>
      </c>
      <c r="B1665" s="26" t="n">
        <f aca="false">ROUND(($U$2*MAX(0,MIN(1,($W$2-I1665)/($W$2-$V$2)))+$U$3*MAX(0,MIN(1,($W$3-J1665)/($W$3-$V$3)))+$U$4*MAX(0,MIN(1,($W$4-K1665)/($W$4-$V$4)))+$U$5*MAX(0,MIN(1,($W$5-L1665)/($W$5-$V$5)))+$U$6*MAX(0,MIN(1,($W$6-M1665)/($W$6-$V$6)))+$U$7*MAX(0,MIN(1,($W$7-N1665)/($W$7-$V$7)))+$U$8*IF(AND(O1665&gt;=$V$8,O1665&lt;=$W$8),1,0))/$U$9*100,2)</f>
        <v>56.59</v>
      </c>
      <c r="C1665" s="27" t="s">
        <v>560</v>
      </c>
      <c r="D1665" s="25" t="s">
        <v>134</v>
      </c>
      <c r="E1665" s="25" t="s">
        <v>3450</v>
      </c>
      <c r="F1665" s="25" t="s">
        <v>3448</v>
      </c>
      <c r="G1665" s="38" t="s">
        <v>30</v>
      </c>
      <c r="H1665" s="28" t="s">
        <v>25</v>
      </c>
      <c r="I1665" s="25" t="n">
        <v>4</v>
      </c>
      <c r="J1665" s="25" t="n">
        <v>1</v>
      </c>
      <c r="K1665" s="25" t="n">
        <v>4</v>
      </c>
      <c r="L1665" s="29" t="n">
        <v>0.69</v>
      </c>
      <c r="M1665" s="30" t="n">
        <v>9.29</v>
      </c>
      <c r="N1665" s="29" t="n">
        <v>0.16</v>
      </c>
      <c r="O1665" s="25" t="n">
        <v>182</v>
      </c>
      <c r="P1665" s="30" t="n">
        <v>7.51</v>
      </c>
      <c r="Q1665" s="27" t="s">
        <v>3773</v>
      </c>
      <c r="R1665" s="27" t="s">
        <v>283</v>
      </c>
    </row>
    <row r="1666" customFormat="false" ht="15" hidden="false" customHeight="false" outlineLevel="0" collapsed="false">
      <c r="A1666" s="25" t="n">
        <f aca="false">IF(G1666="REJECT",COUNTIF($G$2:$G$2277,"&lt;&gt;REJECT")+1+COUNTIFS($G$2:$G$2277,"REJECT",$B$2:$B$2277,"&gt;"&amp;B1666),1+COUNTIFS($G$2:$G$2277,"&lt;&gt;REJECT",$B$2:$B$2277,"&gt;"&amp;B1666))</f>
        <v>1665</v>
      </c>
      <c r="B1666" s="26" t="n">
        <f aca="false">ROUND(($U$2*MAX(0,MIN(1,($W$2-I1666)/($W$2-$V$2)))+$U$3*MAX(0,MIN(1,($W$3-J1666)/($W$3-$V$3)))+$U$4*MAX(0,MIN(1,($W$4-K1666)/($W$4-$V$4)))+$U$5*MAX(0,MIN(1,($W$5-L1666)/($W$5-$V$5)))+$U$6*MAX(0,MIN(1,($W$6-M1666)/($W$6-$V$6)))+$U$7*MAX(0,MIN(1,($W$7-N1666)/($W$7-$V$7)))+$U$8*IF(AND(O1666&gt;=$V$8,O1666&lt;=$W$8),1,0))/$U$9*100,2)</f>
        <v>56.58</v>
      </c>
      <c r="C1666" s="27" t="s">
        <v>3117</v>
      </c>
      <c r="D1666" s="25" t="s">
        <v>3459</v>
      </c>
      <c r="E1666" s="25" t="s">
        <v>3450</v>
      </c>
      <c r="F1666" s="25" t="s">
        <v>3457</v>
      </c>
      <c r="G1666" s="38" t="s">
        <v>30</v>
      </c>
      <c r="H1666" s="28" t="s">
        <v>25</v>
      </c>
      <c r="I1666" s="25" t="n">
        <v>4</v>
      </c>
      <c r="J1666" s="25" t="n">
        <v>1</v>
      </c>
      <c r="K1666" s="25" t="n">
        <v>4</v>
      </c>
      <c r="L1666" s="29" t="n">
        <v>0.75</v>
      </c>
      <c r="M1666" s="30" t="n">
        <v>23.31</v>
      </c>
      <c r="N1666" s="29" t="n">
        <v>0.92</v>
      </c>
      <c r="O1666" s="25" t="n">
        <v>184</v>
      </c>
      <c r="P1666" s="30" t="n">
        <v>1</v>
      </c>
      <c r="Q1666" s="27" t="s">
        <v>3734</v>
      </c>
      <c r="R1666" s="27" t="s">
        <v>294</v>
      </c>
    </row>
    <row r="1667" customFormat="false" ht="15" hidden="false" customHeight="false" outlineLevel="0" collapsed="false">
      <c r="A1667" s="25" t="n">
        <f aca="false">IF(G1667="REJECT",COUNTIF($G$2:$G$2277,"&lt;&gt;REJECT")+1+COUNTIFS($G$2:$G$2277,"REJECT",$B$2:$B$2277,"&gt;"&amp;B1667),1+COUNTIFS($G$2:$G$2277,"&lt;&gt;REJECT",$B$2:$B$2277,"&gt;"&amp;B1667))</f>
        <v>1666</v>
      </c>
      <c r="B1667" s="26" t="n">
        <f aca="false">ROUND(($U$2*MAX(0,MIN(1,($W$2-I1667)/($W$2-$V$2)))+$U$3*MAX(0,MIN(1,($W$3-J1667)/($W$3-$V$3)))+$U$4*MAX(0,MIN(1,($W$4-K1667)/($W$4-$V$4)))+$U$5*MAX(0,MIN(1,($W$5-L1667)/($W$5-$V$5)))+$U$6*MAX(0,MIN(1,($W$6-M1667)/($W$6-$V$6)))+$U$7*MAX(0,MIN(1,($W$7-N1667)/($W$7-$V$7)))+$U$8*IF(AND(O1667&gt;=$V$8,O1667&lt;=$W$8),1,0))/$U$9*100,2)</f>
        <v>56.41</v>
      </c>
      <c r="C1667" s="27" t="s">
        <v>1669</v>
      </c>
      <c r="D1667" s="25" t="s">
        <v>134</v>
      </c>
      <c r="E1667" s="25" t="s">
        <v>3450</v>
      </c>
      <c r="F1667" s="25" t="s">
        <v>3448</v>
      </c>
      <c r="G1667" s="38" t="s">
        <v>30</v>
      </c>
      <c r="H1667" s="28" t="s">
        <v>25</v>
      </c>
      <c r="I1667" s="25" t="n">
        <v>4</v>
      </c>
      <c r="J1667" s="25" t="n">
        <v>1</v>
      </c>
      <c r="K1667" s="25" t="n">
        <v>4</v>
      </c>
      <c r="L1667" s="29" t="n">
        <v>0.72</v>
      </c>
      <c r="M1667" s="30" t="n">
        <v>14.77</v>
      </c>
      <c r="N1667" s="29" t="n">
        <v>0.8</v>
      </c>
      <c r="O1667" s="25" t="n">
        <v>183</v>
      </c>
      <c r="P1667" s="30" t="n">
        <v>1.47</v>
      </c>
      <c r="Q1667" s="27" t="s">
        <v>3778</v>
      </c>
      <c r="R1667" s="27" t="s">
        <v>357</v>
      </c>
    </row>
    <row r="1668" customFormat="false" ht="15" hidden="false" customHeight="false" outlineLevel="0" collapsed="false">
      <c r="A1668" s="25" t="n">
        <f aca="false">IF(G1668="REJECT",COUNTIF($G$2:$G$2277,"&lt;&gt;REJECT")+1+COUNTIFS($G$2:$G$2277,"REJECT",$B$2:$B$2277,"&gt;"&amp;B1668),1+COUNTIFS($G$2:$G$2277,"&lt;&gt;REJECT",$B$2:$B$2277,"&gt;"&amp;B1668))</f>
        <v>1667</v>
      </c>
      <c r="B1668" s="26" t="n">
        <f aca="false">ROUND(($U$2*MAX(0,MIN(1,($W$2-I1668)/($W$2-$V$2)))+$U$3*MAX(0,MIN(1,($W$3-J1668)/($W$3-$V$3)))+$U$4*MAX(0,MIN(1,($W$4-K1668)/($W$4-$V$4)))+$U$5*MAX(0,MIN(1,($W$5-L1668)/($W$5-$V$5)))+$U$6*MAX(0,MIN(1,($W$6-M1668)/($W$6-$V$6)))+$U$7*MAX(0,MIN(1,($W$7-N1668)/($W$7-$V$7)))+$U$8*IF(AND(O1668&gt;=$V$8,O1668&lt;=$W$8),1,0))/$U$9*100,2)</f>
        <v>56.2</v>
      </c>
      <c r="C1668" s="27" t="s">
        <v>2253</v>
      </c>
      <c r="D1668" s="25" t="s">
        <v>134</v>
      </c>
      <c r="E1668" s="25" t="s">
        <v>3447</v>
      </c>
      <c r="F1668" s="25" t="s">
        <v>3448</v>
      </c>
      <c r="G1668" s="38" t="s">
        <v>30</v>
      </c>
      <c r="H1668" s="33" t="s">
        <v>24</v>
      </c>
      <c r="I1668" s="25" t="n">
        <v>6</v>
      </c>
      <c r="J1668" s="25" t="n">
        <v>0</v>
      </c>
      <c r="K1668" s="25" t="n">
        <v>6</v>
      </c>
      <c r="L1668" s="29" t="n">
        <v>0.72</v>
      </c>
      <c r="M1668" s="30" t="n">
        <v>6.59</v>
      </c>
      <c r="N1668" s="29" t="n">
        <v>0.24</v>
      </c>
      <c r="O1668" s="25" t="n">
        <v>182</v>
      </c>
      <c r="P1668" s="30" t="n">
        <v>2.06</v>
      </c>
      <c r="Q1668" s="27" t="s">
        <v>3783</v>
      </c>
      <c r="R1668" s="27" t="s">
        <v>30</v>
      </c>
    </row>
    <row r="1669" customFormat="false" ht="15" hidden="false" customHeight="false" outlineLevel="0" collapsed="false">
      <c r="A1669" s="25" t="n">
        <f aca="false">IF(G1669="REJECT",COUNTIF($G$2:$G$2277,"&lt;&gt;REJECT")+1+COUNTIFS($G$2:$G$2277,"REJECT",$B$2:$B$2277,"&gt;"&amp;B1669),1+COUNTIFS($G$2:$G$2277,"&lt;&gt;REJECT",$B$2:$B$2277,"&gt;"&amp;B1669))</f>
        <v>1668</v>
      </c>
      <c r="B1669" s="26" t="n">
        <f aca="false">ROUND(($U$2*MAX(0,MIN(1,($W$2-I1669)/($W$2-$V$2)))+$U$3*MAX(0,MIN(1,($W$3-J1669)/($W$3-$V$3)))+$U$4*MAX(0,MIN(1,($W$4-K1669)/($W$4-$V$4)))+$U$5*MAX(0,MIN(1,($W$5-L1669)/($W$5-$V$5)))+$U$6*MAX(0,MIN(1,($W$6-M1669)/($W$6-$V$6)))+$U$7*MAX(0,MIN(1,($W$7-N1669)/($W$7-$V$7)))+$U$8*IF(AND(O1669&gt;=$V$8,O1669&lt;=$W$8),1,0))/$U$9*100,2)</f>
        <v>56.13</v>
      </c>
      <c r="C1669" s="27" t="s">
        <v>1651</v>
      </c>
      <c r="D1669" s="25" t="s">
        <v>134</v>
      </c>
      <c r="E1669" s="25" t="s">
        <v>3450</v>
      </c>
      <c r="F1669" s="25" t="s">
        <v>3457</v>
      </c>
      <c r="G1669" s="38" t="s">
        <v>30</v>
      </c>
      <c r="H1669" s="28" t="s">
        <v>25</v>
      </c>
      <c r="I1669" s="25" t="n">
        <v>3</v>
      </c>
      <c r="J1669" s="25" t="n">
        <v>1</v>
      </c>
      <c r="K1669" s="25" t="n">
        <v>3</v>
      </c>
      <c r="L1669" s="29" t="n">
        <v>0.61</v>
      </c>
      <c r="M1669" s="30" t="n">
        <v>15.53</v>
      </c>
      <c r="N1669" s="29" t="n">
        <v>0.68</v>
      </c>
      <c r="O1669" s="25" t="n">
        <v>183</v>
      </c>
      <c r="P1669" s="30" t="n">
        <v>8.04</v>
      </c>
      <c r="Q1669" s="27" t="s">
        <v>3669</v>
      </c>
      <c r="R1669" s="27" t="s">
        <v>1099</v>
      </c>
    </row>
    <row r="1670" customFormat="false" ht="15" hidden="false" customHeight="false" outlineLevel="0" collapsed="false">
      <c r="A1670" s="25" t="n">
        <f aca="false">IF(G1670="REJECT",COUNTIF($G$2:$G$2277,"&lt;&gt;REJECT")+1+COUNTIFS($G$2:$G$2277,"REJECT",$B$2:$B$2277,"&gt;"&amp;B1670),1+COUNTIFS($G$2:$G$2277,"&lt;&gt;REJECT",$B$2:$B$2277,"&gt;"&amp;B1670))</f>
        <v>1669</v>
      </c>
      <c r="B1670" s="26" t="n">
        <f aca="false">ROUND(($U$2*MAX(0,MIN(1,($W$2-I1670)/($W$2-$V$2)))+$U$3*MAX(0,MIN(1,($W$3-J1670)/($W$3-$V$3)))+$U$4*MAX(0,MIN(1,($W$4-K1670)/($W$4-$V$4)))+$U$5*MAX(0,MIN(1,($W$5-L1670)/($W$5-$V$5)))+$U$6*MAX(0,MIN(1,($W$6-M1670)/($W$6-$V$6)))+$U$7*MAX(0,MIN(1,($W$7-N1670)/($W$7-$V$7)))+$U$8*IF(AND(O1670&gt;=$V$8,O1670&lt;=$W$8),1,0))/$U$9*100,2)</f>
        <v>56.12</v>
      </c>
      <c r="C1670" s="27" t="s">
        <v>1314</v>
      </c>
      <c r="D1670" s="25" t="s">
        <v>3459</v>
      </c>
      <c r="E1670" s="25" t="s">
        <v>3450</v>
      </c>
      <c r="F1670" s="25" t="s">
        <v>3457</v>
      </c>
      <c r="G1670" s="38" t="s">
        <v>30</v>
      </c>
      <c r="H1670" s="28" t="s">
        <v>25</v>
      </c>
      <c r="I1670" s="25" t="n">
        <v>3</v>
      </c>
      <c r="J1670" s="25" t="n">
        <v>1</v>
      </c>
      <c r="K1670" s="25" t="n">
        <v>3</v>
      </c>
      <c r="L1670" s="29" t="n">
        <v>0.61</v>
      </c>
      <c r="M1670" s="30" t="n">
        <v>20.01</v>
      </c>
      <c r="N1670" s="29" t="n">
        <v>0.24</v>
      </c>
      <c r="O1670" s="25" t="n">
        <v>183</v>
      </c>
      <c r="P1670" s="30" t="n">
        <v>8.34</v>
      </c>
      <c r="Q1670" s="27" t="s">
        <v>3649</v>
      </c>
      <c r="R1670" s="27" t="s">
        <v>163</v>
      </c>
    </row>
    <row r="1671" customFormat="false" ht="15" hidden="false" customHeight="false" outlineLevel="0" collapsed="false">
      <c r="A1671" s="25" t="n">
        <f aca="false">IF(G1671="REJECT",COUNTIF($G$2:$G$2277,"&lt;&gt;REJECT")+1+COUNTIFS($G$2:$G$2277,"REJECT",$B$2:$B$2277,"&gt;"&amp;B1671),1+COUNTIFS($G$2:$G$2277,"&lt;&gt;REJECT",$B$2:$B$2277,"&gt;"&amp;B1671))</f>
        <v>1670</v>
      </c>
      <c r="B1671" s="26" t="n">
        <f aca="false">ROUND(($U$2*MAX(0,MIN(1,($W$2-I1671)/($W$2-$V$2)))+$U$3*MAX(0,MIN(1,($W$3-J1671)/($W$3-$V$3)))+$U$4*MAX(0,MIN(1,($W$4-K1671)/($W$4-$V$4)))+$U$5*MAX(0,MIN(1,($W$5-L1671)/($W$5-$V$5)))+$U$6*MAX(0,MIN(1,($W$6-M1671)/($W$6-$V$6)))+$U$7*MAX(0,MIN(1,($W$7-N1671)/($W$7-$V$7)))+$U$8*IF(AND(O1671&gt;=$V$8,O1671&lt;=$W$8),1,0))/$U$9*100,2)</f>
        <v>56.09</v>
      </c>
      <c r="C1671" s="27" t="s">
        <v>2055</v>
      </c>
      <c r="D1671" s="25" t="s">
        <v>3459</v>
      </c>
      <c r="E1671" s="25" t="s">
        <v>3447</v>
      </c>
      <c r="F1671" s="25" t="s">
        <v>3457</v>
      </c>
      <c r="G1671" s="38" t="s">
        <v>30</v>
      </c>
      <c r="H1671" s="28" t="s">
        <v>25</v>
      </c>
      <c r="I1671" s="25" t="n">
        <v>5</v>
      </c>
      <c r="J1671" s="25" t="n">
        <v>0</v>
      </c>
      <c r="K1671" s="25" t="n">
        <v>5</v>
      </c>
      <c r="L1671" s="29" t="n">
        <v>0.68</v>
      </c>
      <c r="M1671" s="30" t="n">
        <v>25.59</v>
      </c>
      <c r="N1671" s="29" t="n">
        <v>0.72</v>
      </c>
      <c r="O1671" s="25" t="n">
        <v>183</v>
      </c>
      <c r="P1671" s="30" t="n">
        <v>4</v>
      </c>
      <c r="Q1671" s="27" t="s">
        <v>3705</v>
      </c>
      <c r="R1671" s="27" t="s">
        <v>992</v>
      </c>
    </row>
    <row r="1672" customFormat="false" ht="15" hidden="false" customHeight="false" outlineLevel="0" collapsed="false">
      <c r="A1672" s="25" t="n">
        <f aca="false">IF(G1672="REJECT",COUNTIF($G$2:$G$2277,"&lt;&gt;REJECT")+1+COUNTIFS($G$2:$G$2277,"REJECT",$B$2:$B$2277,"&gt;"&amp;B1672),1+COUNTIFS($G$2:$G$2277,"&lt;&gt;REJECT",$B$2:$B$2277,"&gt;"&amp;B1672))</f>
        <v>1671</v>
      </c>
      <c r="B1672" s="26" t="n">
        <f aca="false">ROUND(($U$2*MAX(0,MIN(1,($W$2-I1672)/($W$2-$V$2)))+$U$3*MAX(0,MIN(1,($W$3-J1672)/($W$3-$V$3)))+$U$4*MAX(0,MIN(1,($W$4-K1672)/($W$4-$V$4)))+$U$5*MAX(0,MIN(1,($W$5-L1672)/($W$5-$V$5)))+$U$6*MAX(0,MIN(1,($W$6-M1672)/($W$6-$V$6)))+$U$7*MAX(0,MIN(1,($W$7-N1672)/($W$7-$V$7)))+$U$8*IF(AND(O1672&gt;=$V$8,O1672&lt;=$W$8),1,0))/$U$9*100,2)</f>
        <v>56.07</v>
      </c>
      <c r="C1672" s="27" t="s">
        <v>702</v>
      </c>
      <c r="D1672" s="25" t="s">
        <v>3459</v>
      </c>
      <c r="E1672" s="25" t="s">
        <v>3447</v>
      </c>
      <c r="F1672" s="25" t="s">
        <v>3457</v>
      </c>
      <c r="G1672" s="38" t="s">
        <v>30</v>
      </c>
      <c r="H1672" s="28" t="s">
        <v>25</v>
      </c>
      <c r="I1672" s="25" t="n">
        <v>4</v>
      </c>
      <c r="J1672" s="25" t="n">
        <v>1</v>
      </c>
      <c r="K1672" s="25" t="n">
        <v>4</v>
      </c>
      <c r="L1672" s="29" t="n">
        <v>0.75</v>
      </c>
      <c r="M1672" s="30" t="n">
        <v>26.36</v>
      </c>
      <c r="N1672" s="29" t="n">
        <v>0.92</v>
      </c>
      <c r="O1672" s="25" t="n">
        <v>188</v>
      </c>
      <c r="P1672" s="30" t="n">
        <v>-0.76</v>
      </c>
      <c r="Q1672" s="27" t="s">
        <v>3784</v>
      </c>
      <c r="R1672" s="27" t="s">
        <v>163</v>
      </c>
    </row>
    <row r="1673" customFormat="false" ht="15" hidden="false" customHeight="false" outlineLevel="0" collapsed="false">
      <c r="A1673" s="25" t="n">
        <f aca="false">IF(G1673="REJECT",COUNTIF($G$2:$G$2277,"&lt;&gt;REJECT")+1+COUNTIFS($G$2:$G$2277,"REJECT",$B$2:$B$2277,"&gt;"&amp;B1673),1+COUNTIFS($G$2:$G$2277,"&lt;&gt;REJECT",$B$2:$B$2277,"&gt;"&amp;B1673))</f>
        <v>1672</v>
      </c>
      <c r="B1673" s="26" t="n">
        <f aca="false">ROUND(($U$2*MAX(0,MIN(1,($W$2-I1673)/($W$2-$V$2)))+$U$3*MAX(0,MIN(1,($W$3-J1673)/($W$3-$V$3)))+$U$4*MAX(0,MIN(1,($W$4-K1673)/($W$4-$V$4)))+$U$5*MAX(0,MIN(1,($W$5-L1673)/($W$5-$V$5)))+$U$6*MAX(0,MIN(1,($W$6-M1673)/($W$6-$V$6)))+$U$7*MAX(0,MIN(1,($W$7-N1673)/($W$7-$V$7)))+$U$8*IF(AND(O1673&gt;=$V$8,O1673&lt;=$W$8),1,0))/$U$9*100,2)</f>
        <v>56.03</v>
      </c>
      <c r="C1673" s="27" t="s">
        <v>2666</v>
      </c>
      <c r="D1673" s="25" t="s">
        <v>134</v>
      </c>
      <c r="E1673" s="25" t="s">
        <v>3447</v>
      </c>
      <c r="F1673" s="25" t="s">
        <v>3448</v>
      </c>
      <c r="G1673" s="38" t="s">
        <v>30</v>
      </c>
      <c r="H1673" s="28" t="s">
        <v>25</v>
      </c>
      <c r="I1673" s="25" t="n">
        <v>6</v>
      </c>
      <c r="J1673" s="25" t="n">
        <v>0</v>
      </c>
      <c r="K1673" s="25" t="n">
        <v>6</v>
      </c>
      <c r="L1673" s="29" t="n">
        <v>0.75</v>
      </c>
      <c r="M1673" s="30" t="n">
        <v>20.81</v>
      </c>
      <c r="N1673" s="29" t="n">
        <v>0</v>
      </c>
      <c r="O1673" s="25" t="n">
        <v>185</v>
      </c>
      <c r="P1673" s="30" t="n">
        <v>8.14</v>
      </c>
      <c r="Q1673" s="27" t="s">
        <v>3776</v>
      </c>
      <c r="R1673" s="27" t="s">
        <v>992</v>
      </c>
    </row>
    <row r="1674" customFormat="false" ht="15" hidden="false" customHeight="false" outlineLevel="0" collapsed="false">
      <c r="A1674" s="25" t="n">
        <f aca="false">IF(G1674="REJECT",COUNTIF($G$2:$G$2277,"&lt;&gt;REJECT")+1+COUNTIFS($G$2:$G$2277,"REJECT",$B$2:$B$2277,"&gt;"&amp;B1674),1+COUNTIFS($G$2:$G$2277,"&lt;&gt;REJECT",$B$2:$B$2277,"&gt;"&amp;B1674))</f>
        <v>1673</v>
      </c>
      <c r="B1674" s="26" t="n">
        <f aca="false">ROUND(($U$2*MAX(0,MIN(1,($W$2-I1674)/($W$2-$V$2)))+$U$3*MAX(0,MIN(1,($W$3-J1674)/($W$3-$V$3)))+$U$4*MAX(0,MIN(1,($W$4-K1674)/($W$4-$V$4)))+$U$5*MAX(0,MIN(1,($W$5-L1674)/($W$5-$V$5)))+$U$6*MAX(0,MIN(1,($W$6-M1674)/($W$6-$V$6)))+$U$7*MAX(0,MIN(1,($W$7-N1674)/($W$7-$V$7)))+$U$8*IF(AND(O1674&gt;=$V$8,O1674&lt;=$W$8),1,0))/$U$9*100,2)</f>
        <v>55.91</v>
      </c>
      <c r="C1674" s="27" t="s">
        <v>1481</v>
      </c>
      <c r="D1674" s="25" t="s">
        <v>3459</v>
      </c>
      <c r="E1674" s="25" t="s">
        <v>3450</v>
      </c>
      <c r="F1674" s="25" t="s">
        <v>3457</v>
      </c>
      <c r="G1674" s="38" t="s">
        <v>30</v>
      </c>
      <c r="H1674" s="28" t="s">
        <v>25</v>
      </c>
      <c r="I1674" s="25" t="n">
        <v>4</v>
      </c>
      <c r="J1674" s="25" t="n">
        <v>1</v>
      </c>
      <c r="K1674" s="25" t="n">
        <v>4</v>
      </c>
      <c r="L1674" s="29" t="n">
        <v>0.69</v>
      </c>
      <c r="M1674" s="30" t="n">
        <v>7.77</v>
      </c>
      <c r="N1674" s="29" t="n">
        <v>0.72</v>
      </c>
      <c r="O1674" s="25" t="n">
        <v>184</v>
      </c>
      <c r="P1674" s="30" t="n">
        <v>10.59</v>
      </c>
      <c r="Q1674" s="27" t="s">
        <v>3785</v>
      </c>
      <c r="R1674" s="27" t="s">
        <v>283</v>
      </c>
    </row>
    <row r="1675" customFormat="false" ht="15" hidden="false" customHeight="false" outlineLevel="0" collapsed="false">
      <c r="A1675" s="25" t="n">
        <f aca="false">IF(G1675="REJECT",COUNTIF($G$2:$G$2277,"&lt;&gt;REJECT")+1+COUNTIFS($G$2:$G$2277,"REJECT",$B$2:$B$2277,"&gt;"&amp;B1675),1+COUNTIFS($G$2:$G$2277,"&lt;&gt;REJECT",$B$2:$B$2277,"&gt;"&amp;B1675))</f>
        <v>1674</v>
      </c>
      <c r="B1675" s="26" t="n">
        <f aca="false">ROUND(($U$2*MAX(0,MIN(1,($W$2-I1675)/($W$2-$V$2)))+$U$3*MAX(0,MIN(1,($W$3-J1675)/($W$3-$V$3)))+$U$4*MAX(0,MIN(1,($W$4-K1675)/($W$4-$V$4)))+$U$5*MAX(0,MIN(1,($W$5-L1675)/($W$5-$V$5)))+$U$6*MAX(0,MIN(1,($W$6-M1675)/($W$6-$V$6)))+$U$7*MAX(0,MIN(1,($W$7-N1675)/($W$7-$V$7)))+$U$8*IF(AND(O1675&gt;=$V$8,O1675&lt;=$W$8),1,0))/$U$9*100,2)</f>
        <v>55.88</v>
      </c>
      <c r="C1675" s="27" t="s">
        <v>2332</v>
      </c>
      <c r="D1675" s="25" t="s">
        <v>3459</v>
      </c>
      <c r="E1675" s="25" t="s">
        <v>3450</v>
      </c>
      <c r="F1675" s="25" t="s">
        <v>3457</v>
      </c>
      <c r="G1675" s="38" t="s">
        <v>30</v>
      </c>
      <c r="H1675" s="28" t="s">
        <v>25</v>
      </c>
      <c r="I1675" s="25" t="n">
        <v>4</v>
      </c>
      <c r="J1675" s="25" t="n">
        <v>1</v>
      </c>
      <c r="K1675" s="25" t="n">
        <v>4</v>
      </c>
      <c r="L1675" s="29" t="n">
        <v>0.71</v>
      </c>
      <c r="M1675" s="30" t="n">
        <v>17.52</v>
      </c>
      <c r="N1675" s="29" t="n">
        <v>0.48</v>
      </c>
      <c r="O1675" s="25" t="n">
        <v>183</v>
      </c>
      <c r="P1675" s="30" t="n">
        <v>13.28</v>
      </c>
      <c r="Q1675" s="27" t="s">
        <v>3766</v>
      </c>
      <c r="R1675" s="27" t="s">
        <v>283</v>
      </c>
    </row>
    <row r="1676" customFormat="false" ht="15" hidden="false" customHeight="false" outlineLevel="0" collapsed="false">
      <c r="A1676" s="25" t="n">
        <f aca="false">IF(G1676="REJECT",COUNTIF($G$2:$G$2277,"&lt;&gt;REJECT")+1+COUNTIFS($G$2:$G$2277,"REJECT",$B$2:$B$2277,"&gt;"&amp;B1676),1+COUNTIFS($G$2:$G$2277,"&lt;&gt;REJECT",$B$2:$B$2277,"&gt;"&amp;B1676))</f>
        <v>1675</v>
      </c>
      <c r="B1676" s="26" t="n">
        <f aca="false">ROUND(($U$2*MAX(0,MIN(1,($W$2-I1676)/($W$2-$V$2)))+$U$3*MAX(0,MIN(1,($W$3-J1676)/($W$3-$V$3)))+$U$4*MAX(0,MIN(1,($W$4-K1676)/($W$4-$V$4)))+$U$5*MAX(0,MIN(1,($W$5-L1676)/($W$5-$V$5)))+$U$6*MAX(0,MIN(1,($W$6-M1676)/($W$6-$V$6)))+$U$7*MAX(0,MIN(1,($W$7-N1676)/($W$7-$V$7)))+$U$8*IF(AND(O1676&gt;=$V$8,O1676&lt;=$W$8),1,0))/$U$9*100,2)</f>
        <v>55.77</v>
      </c>
      <c r="C1676" s="27" t="s">
        <v>2055</v>
      </c>
      <c r="D1676" s="25" t="s">
        <v>134</v>
      </c>
      <c r="E1676" s="25" t="s">
        <v>3450</v>
      </c>
      <c r="F1676" s="25" t="s">
        <v>3448</v>
      </c>
      <c r="G1676" s="38" t="s">
        <v>30</v>
      </c>
      <c r="H1676" s="28" t="s">
        <v>25</v>
      </c>
      <c r="I1676" s="25" t="n">
        <v>3</v>
      </c>
      <c r="J1676" s="25" t="n">
        <v>1</v>
      </c>
      <c r="K1676" s="25" t="n">
        <v>3</v>
      </c>
      <c r="L1676" s="29" t="n">
        <v>0.61</v>
      </c>
      <c r="M1676" s="30" t="n">
        <v>18.49</v>
      </c>
      <c r="N1676" s="29" t="n">
        <v>0.6</v>
      </c>
      <c r="O1676" s="25" t="n">
        <v>187</v>
      </c>
      <c r="P1676" s="30" t="n">
        <v>12.99</v>
      </c>
      <c r="Q1676" s="27" t="s">
        <v>3695</v>
      </c>
      <c r="R1676" s="27" t="s">
        <v>283</v>
      </c>
    </row>
    <row r="1677" customFormat="false" ht="15" hidden="false" customHeight="false" outlineLevel="0" collapsed="false">
      <c r="A1677" s="25" t="n">
        <f aca="false">IF(G1677="REJECT",COUNTIF($G$2:$G$2277,"&lt;&gt;REJECT")+1+COUNTIFS($G$2:$G$2277,"REJECT",$B$2:$B$2277,"&gt;"&amp;B1677),1+COUNTIFS($G$2:$G$2277,"&lt;&gt;REJECT",$B$2:$B$2277,"&gt;"&amp;B1677))</f>
        <v>1676</v>
      </c>
      <c r="B1677" s="26" t="n">
        <f aca="false">ROUND(($U$2*MAX(0,MIN(1,($W$2-I1677)/($W$2-$V$2)))+$U$3*MAX(0,MIN(1,($W$3-J1677)/($W$3-$V$3)))+$U$4*MAX(0,MIN(1,($W$4-K1677)/($W$4-$V$4)))+$U$5*MAX(0,MIN(1,($W$5-L1677)/($W$5-$V$5)))+$U$6*MAX(0,MIN(1,($W$6-M1677)/($W$6-$V$6)))+$U$7*MAX(0,MIN(1,($W$7-N1677)/($W$7-$V$7)))+$U$8*IF(AND(O1677&gt;=$V$8,O1677&lt;=$W$8),1,0))/$U$9*100,2)</f>
        <v>55.74</v>
      </c>
      <c r="C1677" s="27" t="s">
        <v>2666</v>
      </c>
      <c r="D1677" s="25" t="s">
        <v>134</v>
      </c>
      <c r="E1677" s="25" t="s">
        <v>3450</v>
      </c>
      <c r="F1677" s="25" t="s">
        <v>3448</v>
      </c>
      <c r="G1677" s="38" t="s">
        <v>30</v>
      </c>
      <c r="H1677" s="28" t="s">
        <v>25</v>
      </c>
      <c r="I1677" s="25" t="n">
        <v>3</v>
      </c>
      <c r="J1677" s="25" t="n">
        <v>1</v>
      </c>
      <c r="K1677" s="25" t="n">
        <v>3</v>
      </c>
      <c r="L1677" s="29" t="n">
        <v>0.61</v>
      </c>
      <c r="M1677" s="30" t="n">
        <v>19.89</v>
      </c>
      <c r="N1677" s="29" t="n">
        <v>0.48</v>
      </c>
      <c r="O1677" s="25" t="n">
        <v>187</v>
      </c>
      <c r="P1677" s="30" t="n">
        <v>17.82</v>
      </c>
      <c r="Q1677" s="27" t="s">
        <v>3786</v>
      </c>
      <c r="R1677" s="27" t="s">
        <v>283</v>
      </c>
    </row>
    <row r="1678" customFormat="false" ht="15" hidden="false" customHeight="false" outlineLevel="0" collapsed="false">
      <c r="A1678" s="25" t="n">
        <f aca="false">IF(G1678="REJECT",COUNTIF($G$2:$G$2277,"&lt;&gt;REJECT")+1+COUNTIFS($G$2:$G$2277,"REJECT",$B$2:$B$2277,"&gt;"&amp;B1678),1+COUNTIFS($G$2:$G$2277,"&lt;&gt;REJECT",$B$2:$B$2277,"&gt;"&amp;B1678))</f>
        <v>1677</v>
      </c>
      <c r="B1678" s="26" t="n">
        <f aca="false">ROUND(($U$2*MAX(0,MIN(1,($W$2-I1678)/($W$2-$V$2)))+$U$3*MAX(0,MIN(1,($W$3-J1678)/($W$3-$V$3)))+$U$4*MAX(0,MIN(1,($W$4-K1678)/($W$4-$V$4)))+$U$5*MAX(0,MIN(1,($W$5-L1678)/($W$5-$V$5)))+$U$6*MAX(0,MIN(1,($W$6-M1678)/($W$6-$V$6)))+$U$7*MAX(0,MIN(1,($W$7-N1678)/($W$7-$V$7)))+$U$8*IF(AND(O1678&gt;=$V$8,O1678&lt;=$W$8),1,0))/$U$9*100,2)</f>
        <v>55.6</v>
      </c>
      <c r="C1678" s="27" t="s">
        <v>2149</v>
      </c>
      <c r="D1678" s="25" t="s">
        <v>3459</v>
      </c>
      <c r="E1678" s="25" t="s">
        <v>3447</v>
      </c>
      <c r="F1678" s="25" t="s">
        <v>3448</v>
      </c>
      <c r="G1678" s="38" t="s">
        <v>30</v>
      </c>
      <c r="H1678" s="28" t="s">
        <v>25</v>
      </c>
      <c r="I1678" s="25" t="n">
        <v>4</v>
      </c>
      <c r="J1678" s="25" t="n">
        <v>1</v>
      </c>
      <c r="K1678" s="25" t="n">
        <v>4</v>
      </c>
      <c r="L1678" s="29" t="n">
        <v>0.72</v>
      </c>
      <c r="M1678" s="30" t="n">
        <v>22.41</v>
      </c>
      <c r="N1678" s="29" t="n">
        <v>0.52</v>
      </c>
      <c r="O1678" s="25" t="n">
        <v>192</v>
      </c>
      <c r="P1678" s="30" t="n">
        <v>4.93</v>
      </c>
      <c r="Q1678" s="27" t="s">
        <v>3778</v>
      </c>
      <c r="R1678" s="27" t="s">
        <v>183</v>
      </c>
    </row>
    <row r="1679" customFormat="false" ht="15" hidden="false" customHeight="false" outlineLevel="0" collapsed="false">
      <c r="A1679" s="25" t="n">
        <f aca="false">IF(G1679="REJECT",COUNTIF($G$2:$G$2277,"&lt;&gt;REJECT")+1+COUNTIFS($G$2:$G$2277,"REJECT",$B$2:$B$2277,"&gt;"&amp;B1679),1+COUNTIFS($G$2:$G$2277,"&lt;&gt;REJECT",$B$2:$B$2277,"&gt;"&amp;B1679))</f>
        <v>1678</v>
      </c>
      <c r="B1679" s="26" t="n">
        <f aca="false">ROUND(($U$2*MAX(0,MIN(1,($W$2-I1679)/($W$2-$V$2)))+$U$3*MAX(0,MIN(1,($W$3-J1679)/($W$3-$V$3)))+$U$4*MAX(0,MIN(1,($W$4-K1679)/($W$4-$V$4)))+$U$5*MAX(0,MIN(1,($W$5-L1679)/($W$5-$V$5)))+$U$6*MAX(0,MIN(1,($W$6-M1679)/($W$6-$V$6)))+$U$7*MAX(0,MIN(1,($W$7-N1679)/($W$7-$V$7)))+$U$8*IF(AND(O1679&gt;=$V$8,O1679&lt;=$W$8),1,0))/$U$9*100,2)</f>
        <v>55.59</v>
      </c>
      <c r="C1679" s="27" t="s">
        <v>493</v>
      </c>
      <c r="D1679" s="25" t="s">
        <v>134</v>
      </c>
      <c r="E1679" s="25" t="s">
        <v>3447</v>
      </c>
      <c r="F1679" s="25" t="s">
        <v>3457</v>
      </c>
      <c r="G1679" s="38" t="s">
        <v>30</v>
      </c>
      <c r="H1679" s="28" t="s">
        <v>25</v>
      </c>
      <c r="I1679" s="25" t="n">
        <v>4</v>
      </c>
      <c r="J1679" s="25" t="n">
        <v>1</v>
      </c>
      <c r="K1679" s="25" t="n">
        <v>4</v>
      </c>
      <c r="L1679" s="29" t="n">
        <v>0.72</v>
      </c>
      <c r="M1679" s="30" t="n">
        <v>18.45</v>
      </c>
      <c r="N1679" s="29" t="n">
        <v>0.92</v>
      </c>
      <c r="O1679" s="25" t="n">
        <v>185</v>
      </c>
      <c r="P1679" s="30" t="n">
        <v>3.36</v>
      </c>
      <c r="Q1679" s="27" t="s">
        <v>3785</v>
      </c>
      <c r="R1679" s="27" t="s">
        <v>283</v>
      </c>
    </row>
    <row r="1680" customFormat="false" ht="15" hidden="false" customHeight="false" outlineLevel="0" collapsed="false">
      <c r="A1680" s="25" t="n">
        <f aca="false">IF(G1680="REJECT",COUNTIF($G$2:$G$2277,"&lt;&gt;REJECT")+1+COUNTIFS($G$2:$G$2277,"REJECT",$B$2:$B$2277,"&gt;"&amp;B1680),1+COUNTIFS($G$2:$G$2277,"&lt;&gt;REJECT",$B$2:$B$2277,"&gt;"&amp;B1680))</f>
        <v>1679</v>
      </c>
      <c r="B1680" s="26" t="n">
        <f aca="false">ROUND(($U$2*MAX(0,MIN(1,($W$2-I1680)/($W$2-$V$2)))+$U$3*MAX(0,MIN(1,($W$3-J1680)/($W$3-$V$3)))+$U$4*MAX(0,MIN(1,($W$4-K1680)/($W$4-$V$4)))+$U$5*MAX(0,MIN(1,($W$5-L1680)/($W$5-$V$5)))+$U$6*MAX(0,MIN(1,($W$6-M1680)/($W$6-$V$6)))+$U$7*MAX(0,MIN(1,($W$7-N1680)/($W$7-$V$7)))+$U$8*IF(AND(O1680&gt;=$V$8,O1680&lt;=$W$8),1,0))/$U$9*100,2)</f>
        <v>55.49</v>
      </c>
      <c r="C1680" s="27" t="s">
        <v>779</v>
      </c>
      <c r="D1680" s="25" t="s">
        <v>3459</v>
      </c>
      <c r="E1680" s="25" t="s">
        <v>3447</v>
      </c>
      <c r="F1680" s="25" t="s">
        <v>3457</v>
      </c>
      <c r="G1680" s="38" t="s">
        <v>30</v>
      </c>
      <c r="H1680" s="33" t="s">
        <v>24</v>
      </c>
      <c r="I1680" s="25" t="n">
        <v>5</v>
      </c>
      <c r="J1680" s="25" t="n">
        <v>0</v>
      </c>
      <c r="K1680" s="25" t="n">
        <v>5</v>
      </c>
      <c r="L1680" s="29" t="n">
        <v>0.62</v>
      </c>
      <c r="M1680" s="30" t="n">
        <v>9.56</v>
      </c>
      <c r="N1680" s="29" t="n">
        <v>0.52</v>
      </c>
      <c r="O1680" s="25" t="n">
        <v>219</v>
      </c>
      <c r="P1680" s="30" t="n">
        <v>1.49</v>
      </c>
      <c r="Q1680" s="27" t="s">
        <v>3787</v>
      </c>
      <c r="R1680" s="27" t="s">
        <v>30</v>
      </c>
    </row>
    <row r="1681" customFormat="false" ht="15" hidden="false" customHeight="false" outlineLevel="0" collapsed="false">
      <c r="A1681" s="25" t="n">
        <f aca="false">IF(G1681="REJECT",COUNTIF($G$2:$G$2277,"&lt;&gt;REJECT")+1+COUNTIFS($G$2:$G$2277,"REJECT",$B$2:$B$2277,"&gt;"&amp;B1681),1+COUNTIFS($G$2:$G$2277,"&lt;&gt;REJECT",$B$2:$B$2277,"&gt;"&amp;B1681))</f>
        <v>1680</v>
      </c>
      <c r="B1681" s="26" t="n">
        <f aca="false">ROUND(($U$2*MAX(0,MIN(1,($W$2-I1681)/($W$2-$V$2)))+$U$3*MAX(0,MIN(1,($W$3-J1681)/($W$3-$V$3)))+$U$4*MAX(0,MIN(1,($W$4-K1681)/($W$4-$V$4)))+$U$5*MAX(0,MIN(1,($W$5-L1681)/($W$5-$V$5)))+$U$6*MAX(0,MIN(1,($W$6-M1681)/($W$6-$V$6)))+$U$7*MAX(0,MIN(1,($W$7-N1681)/($W$7-$V$7)))+$U$8*IF(AND(O1681&gt;=$V$8,O1681&lt;=$W$8),1,0))/$U$9*100,2)</f>
        <v>55.44</v>
      </c>
      <c r="C1681" s="27" t="s">
        <v>3394</v>
      </c>
      <c r="D1681" s="25" t="s">
        <v>134</v>
      </c>
      <c r="E1681" s="25" t="s">
        <v>3450</v>
      </c>
      <c r="F1681" s="25" t="s">
        <v>3448</v>
      </c>
      <c r="G1681" s="38" t="s">
        <v>30</v>
      </c>
      <c r="H1681" s="28" t="s">
        <v>25</v>
      </c>
      <c r="I1681" s="25" t="n">
        <v>4</v>
      </c>
      <c r="J1681" s="25" t="n">
        <v>1</v>
      </c>
      <c r="K1681" s="25" t="n">
        <v>4</v>
      </c>
      <c r="L1681" s="29" t="n">
        <v>0.69</v>
      </c>
      <c r="M1681" s="30" t="n">
        <v>10.17</v>
      </c>
      <c r="N1681" s="29" t="n">
        <v>0.76</v>
      </c>
      <c r="O1681" s="25" t="n">
        <v>196</v>
      </c>
      <c r="P1681" s="30" t="n">
        <v>14.8</v>
      </c>
      <c r="Q1681" s="27" t="s">
        <v>3734</v>
      </c>
      <c r="R1681" s="27" t="s">
        <v>283</v>
      </c>
    </row>
    <row r="1682" customFormat="false" ht="15" hidden="false" customHeight="false" outlineLevel="0" collapsed="false">
      <c r="A1682" s="25" t="n">
        <f aca="false">IF(G1682="REJECT",COUNTIF($G$2:$G$2277,"&lt;&gt;REJECT")+1+COUNTIFS($G$2:$G$2277,"REJECT",$B$2:$B$2277,"&gt;"&amp;B1682),1+COUNTIFS($G$2:$G$2277,"&lt;&gt;REJECT",$B$2:$B$2277,"&gt;"&amp;B1682))</f>
        <v>1681</v>
      </c>
      <c r="B1682" s="26" t="n">
        <f aca="false">ROUND(($U$2*MAX(0,MIN(1,($W$2-I1682)/($W$2-$V$2)))+$U$3*MAX(0,MIN(1,($W$3-J1682)/($W$3-$V$3)))+$U$4*MAX(0,MIN(1,($W$4-K1682)/($W$4-$V$4)))+$U$5*MAX(0,MIN(1,($W$5-L1682)/($W$5-$V$5)))+$U$6*MAX(0,MIN(1,($W$6-M1682)/($W$6-$V$6)))+$U$7*MAX(0,MIN(1,($W$7-N1682)/($W$7-$V$7)))+$U$8*IF(AND(O1682&gt;=$V$8,O1682&lt;=$W$8),1,0))/$U$9*100,2)</f>
        <v>55.42</v>
      </c>
      <c r="C1682" s="27" t="s">
        <v>430</v>
      </c>
      <c r="D1682" s="25" t="s">
        <v>3459</v>
      </c>
      <c r="E1682" s="25" t="s">
        <v>3450</v>
      </c>
      <c r="F1682" s="25" t="s">
        <v>3457</v>
      </c>
      <c r="G1682" s="38" t="s">
        <v>30</v>
      </c>
      <c r="H1682" s="28" t="s">
        <v>25</v>
      </c>
      <c r="I1682" s="25" t="n">
        <v>4</v>
      </c>
      <c r="J1682" s="25" t="n">
        <v>1</v>
      </c>
      <c r="K1682" s="25" t="n">
        <v>4</v>
      </c>
      <c r="L1682" s="29" t="n">
        <v>0.7</v>
      </c>
      <c r="M1682" s="30" t="n">
        <v>20.26</v>
      </c>
      <c r="N1682" s="29" t="n">
        <v>0.12</v>
      </c>
      <c r="O1682" s="25" t="n">
        <v>185</v>
      </c>
      <c r="P1682" s="30" t="n">
        <v>3.19</v>
      </c>
      <c r="Q1682" s="27" t="s">
        <v>3734</v>
      </c>
      <c r="R1682" s="27" t="s">
        <v>163</v>
      </c>
    </row>
    <row r="1683" customFormat="false" ht="15" hidden="false" customHeight="false" outlineLevel="0" collapsed="false">
      <c r="A1683" s="25" t="n">
        <f aca="false">IF(G1683="REJECT",COUNTIF($G$2:$G$2277,"&lt;&gt;REJECT")+1+COUNTIFS($G$2:$G$2277,"REJECT",$B$2:$B$2277,"&gt;"&amp;B1683),1+COUNTIFS($G$2:$G$2277,"&lt;&gt;REJECT",$B$2:$B$2277,"&gt;"&amp;B1683))</f>
        <v>1682</v>
      </c>
      <c r="B1683" s="26" t="n">
        <f aca="false">ROUND(($U$2*MAX(0,MIN(1,($W$2-I1683)/($W$2-$V$2)))+$U$3*MAX(0,MIN(1,($W$3-J1683)/($W$3-$V$3)))+$U$4*MAX(0,MIN(1,($W$4-K1683)/($W$4-$V$4)))+$U$5*MAX(0,MIN(1,($W$5-L1683)/($W$5-$V$5)))+$U$6*MAX(0,MIN(1,($W$6-M1683)/($W$6-$V$6)))+$U$7*MAX(0,MIN(1,($W$7-N1683)/($W$7-$V$7)))+$U$8*IF(AND(O1683&gt;=$V$8,O1683&lt;=$W$8),1,0))/$U$9*100,2)</f>
        <v>55.41</v>
      </c>
      <c r="C1683" s="27" t="s">
        <v>2155</v>
      </c>
      <c r="D1683" s="25" t="s">
        <v>134</v>
      </c>
      <c r="E1683" s="25" t="s">
        <v>3447</v>
      </c>
      <c r="F1683" s="25" t="s">
        <v>3457</v>
      </c>
      <c r="G1683" s="38" t="s">
        <v>30</v>
      </c>
      <c r="H1683" s="28" t="s">
        <v>25</v>
      </c>
      <c r="I1683" s="25" t="n">
        <v>6</v>
      </c>
      <c r="J1683" s="25" t="n">
        <v>0</v>
      </c>
      <c r="K1683" s="25" t="n">
        <v>6</v>
      </c>
      <c r="L1683" s="29" t="n">
        <v>0.76</v>
      </c>
      <c r="M1683" s="30" t="n">
        <v>25.34</v>
      </c>
      <c r="N1683" s="29" t="n">
        <v>0.28</v>
      </c>
      <c r="O1683" s="25" t="n">
        <v>189</v>
      </c>
      <c r="P1683" s="30" t="n">
        <v>-0.15</v>
      </c>
      <c r="Q1683" s="27" t="s">
        <v>3788</v>
      </c>
      <c r="R1683" s="27" t="s">
        <v>3487</v>
      </c>
    </row>
    <row r="1684" customFormat="false" ht="15" hidden="false" customHeight="false" outlineLevel="0" collapsed="false">
      <c r="A1684" s="25" t="n">
        <f aca="false">IF(G1684="REJECT",COUNTIF($G$2:$G$2277,"&lt;&gt;REJECT")+1+COUNTIFS($G$2:$G$2277,"REJECT",$B$2:$B$2277,"&gt;"&amp;B1684),1+COUNTIFS($G$2:$G$2277,"&lt;&gt;REJECT",$B$2:$B$2277,"&gt;"&amp;B1684))</f>
        <v>1683</v>
      </c>
      <c r="B1684" s="26" t="n">
        <f aca="false">ROUND(($U$2*MAX(0,MIN(1,($W$2-I1684)/($W$2-$V$2)))+$U$3*MAX(0,MIN(1,($W$3-J1684)/($W$3-$V$3)))+$U$4*MAX(0,MIN(1,($W$4-K1684)/($W$4-$V$4)))+$U$5*MAX(0,MIN(1,($W$5-L1684)/($W$5-$V$5)))+$U$6*MAX(0,MIN(1,($W$6-M1684)/($W$6-$V$6)))+$U$7*MAX(0,MIN(1,($W$7-N1684)/($W$7-$V$7)))+$U$8*IF(AND(O1684&gt;=$V$8,O1684&lt;=$W$8),1,0))/$U$9*100,2)</f>
        <v>55.36</v>
      </c>
      <c r="C1684" s="27" t="s">
        <v>2509</v>
      </c>
      <c r="D1684" s="25" t="s">
        <v>134</v>
      </c>
      <c r="E1684" s="25" t="s">
        <v>3450</v>
      </c>
      <c r="F1684" s="25" t="s">
        <v>3457</v>
      </c>
      <c r="G1684" s="38" t="s">
        <v>30</v>
      </c>
      <c r="H1684" s="28" t="s">
        <v>25</v>
      </c>
      <c r="I1684" s="25" t="n">
        <v>4</v>
      </c>
      <c r="J1684" s="25" t="n">
        <v>1</v>
      </c>
      <c r="K1684" s="25" t="n">
        <v>4</v>
      </c>
      <c r="L1684" s="29" t="n">
        <v>0.69</v>
      </c>
      <c r="M1684" s="30" t="n">
        <v>18.26</v>
      </c>
      <c r="N1684" s="29" t="n">
        <v>0</v>
      </c>
      <c r="O1684" s="25" t="n">
        <v>182</v>
      </c>
      <c r="P1684" s="30" t="n">
        <v>9.69</v>
      </c>
      <c r="Q1684" s="27" t="s">
        <v>3789</v>
      </c>
      <c r="R1684" s="27" t="s">
        <v>1152</v>
      </c>
    </row>
    <row r="1685" customFormat="false" ht="15" hidden="false" customHeight="false" outlineLevel="0" collapsed="false">
      <c r="A1685" s="25" t="n">
        <f aca="false">IF(G1685="REJECT",COUNTIF($G$2:$G$2277,"&lt;&gt;REJECT")+1+COUNTIFS($G$2:$G$2277,"REJECT",$B$2:$B$2277,"&gt;"&amp;B1685),1+COUNTIFS($G$2:$G$2277,"&lt;&gt;REJECT",$B$2:$B$2277,"&gt;"&amp;B1685))</f>
        <v>1684</v>
      </c>
      <c r="B1685" s="26" t="n">
        <f aca="false">ROUND(($U$2*MAX(0,MIN(1,($W$2-I1685)/($W$2-$V$2)))+$U$3*MAX(0,MIN(1,($W$3-J1685)/($W$3-$V$3)))+$U$4*MAX(0,MIN(1,($W$4-K1685)/($W$4-$V$4)))+$U$5*MAX(0,MIN(1,($W$5-L1685)/($W$5-$V$5)))+$U$6*MAX(0,MIN(1,($W$6-M1685)/($W$6-$V$6)))+$U$7*MAX(0,MIN(1,($W$7-N1685)/($W$7-$V$7)))+$U$8*IF(AND(O1685&gt;=$V$8,O1685&lt;=$W$8),1,0))/$U$9*100,2)</f>
        <v>55.35</v>
      </c>
      <c r="C1685" s="27" t="s">
        <v>2987</v>
      </c>
      <c r="D1685" s="25" t="s">
        <v>134</v>
      </c>
      <c r="E1685" s="25" t="s">
        <v>3447</v>
      </c>
      <c r="F1685" s="25" t="s">
        <v>3457</v>
      </c>
      <c r="G1685" s="38" t="s">
        <v>30</v>
      </c>
      <c r="H1685" s="28" t="s">
        <v>25</v>
      </c>
      <c r="I1685" s="25" t="n">
        <v>4</v>
      </c>
      <c r="J1685" s="25" t="n">
        <v>1</v>
      </c>
      <c r="K1685" s="25" t="n">
        <v>4</v>
      </c>
      <c r="L1685" s="29" t="n">
        <v>0.69</v>
      </c>
      <c r="M1685" s="30" t="n">
        <v>15.89</v>
      </c>
      <c r="N1685" s="29" t="n">
        <v>0.24</v>
      </c>
      <c r="O1685" s="25" t="n">
        <v>185</v>
      </c>
      <c r="P1685" s="30" t="n">
        <v>-0.67</v>
      </c>
      <c r="Q1685" s="27" t="s">
        <v>3734</v>
      </c>
      <c r="R1685" s="27" t="s">
        <v>283</v>
      </c>
    </row>
    <row r="1686" customFormat="false" ht="15" hidden="false" customHeight="false" outlineLevel="0" collapsed="false">
      <c r="A1686" s="25" t="n">
        <f aca="false">IF(G1686="REJECT",COUNTIF($G$2:$G$2277,"&lt;&gt;REJECT")+1+COUNTIFS($G$2:$G$2277,"REJECT",$B$2:$B$2277,"&gt;"&amp;B1686),1+COUNTIFS($G$2:$G$2277,"&lt;&gt;REJECT",$B$2:$B$2277,"&gt;"&amp;B1686))</f>
        <v>1685</v>
      </c>
      <c r="B1686" s="26" t="n">
        <f aca="false">ROUND(($U$2*MAX(0,MIN(1,($W$2-I1686)/($W$2-$V$2)))+$U$3*MAX(0,MIN(1,($W$3-J1686)/($W$3-$V$3)))+$U$4*MAX(0,MIN(1,($W$4-K1686)/($W$4-$V$4)))+$U$5*MAX(0,MIN(1,($W$5-L1686)/($W$5-$V$5)))+$U$6*MAX(0,MIN(1,($W$6-M1686)/($W$6-$V$6)))+$U$7*MAX(0,MIN(1,($W$7-N1686)/($W$7-$V$7)))+$U$8*IF(AND(O1686&gt;=$V$8,O1686&lt;=$W$8),1,0))/$U$9*100,2)</f>
        <v>55.33</v>
      </c>
      <c r="C1686" s="27" t="s">
        <v>3268</v>
      </c>
      <c r="D1686" s="25" t="s">
        <v>134</v>
      </c>
      <c r="E1686" s="25" t="s">
        <v>3450</v>
      </c>
      <c r="F1686" s="25" t="s">
        <v>3457</v>
      </c>
      <c r="G1686" s="38" t="s">
        <v>30</v>
      </c>
      <c r="H1686" s="28" t="s">
        <v>25</v>
      </c>
      <c r="I1686" s="25" t="n">
        <v>4</v>
      </c>
      <c r="J1686" s="25" t="n">
        <v>1</v>
      </c>
      <c r="K1686" s="25" t="n">
        <v>4</v>
      </c>
      <c r="L1686" s="29" t="n">
        <v>0.73</v>
      </c>
      <c r="M1686" s="30" t="n">
        <v>30.66</v>
      </c>
      <c r="N1686" s="29" t="n">
        <v>0.28</v>
      </c>
      <c r="O1686" s="25" t="n">
        <v>189</v>
      </c>
      <c r="P1686" s="30" t="n">
        <v>15.06</v>
      </c>
      <c r="Q1686" s="27" t="s">
        <v>3790</v>
      </c>
      <c r="R1686" s="27" t="s">
        <v>1140</v>
      </c>
    </row>
    <row r="1687" customFormat="false" ht="15" hidden="false" customHeight="false" outlineLevel="0" collapsed="false">
      <c r="A1687" s="25" t="n">
        <f aca="false">IF(G1687="REJECT",COUNTIF($G$2:$G$2277,"&lt;&gt;REJECT")+1+COUNTIFS($G$2:$G$2277,"REJECT",$B$2:$B$2277,"&gt;"&amp;B1687),1+COUNTIFS($G$2:$G$2277,"&lt;&gt;REJECT",$B$2:$B$2277,"&gt;"&amp;B1687))</f>
        <v>1686</v>
      </c>
      <c r="B1687" s="26" t="n">
        <f aca="false">ROUND(($U$2*MAX(0,MIN(1,($W$2-I1687)/($W$2-$V$2)))+$U$3*MAX(0,MIN(1,($W$3-J1687)/($W$3-$V$3)))+$U$4*MAX(0,MIN(1,($W$4-K1687)/($W$4-$V$4)))+$U$5*MAX(0,MIN(1,($W$5-L1687)/($W$5-$V$5)))+$U$6*MAX(0,MIN(1,($W$6-M1687)/($W$6-$V$6)))+$U$7*MAX(0,MIN(1,($W$7-N1687)/($W$7-$V$7)))+$U$8*IF(AND(O1687&gt;=$V$8,O1687&lt;=$W$8),1,0))/$U$9*100,2)</f>
        <v>55.32</v>
      </c>
      <c r="C1687" s="27" t="s">
        <v>2866</v>
      </c>
      <c r="D1687" s="25" t="s">
        <v>134</v>
      </c>
      <c r="E1687" s="25" t="s">
        <v>3447</v>
      </c>
      <c r="F1687" s="25" t="s">
        <v>3457</v>
      </c>
      <c r="G1687" s="38" t="s">
        <v>30</v>
      </c>
      <c r="H1687" s="33" t="s">
        <v>24</v>
      </c>
      <c r="I1687" s="25" t="n">
        <v>6</v>
      </c>
      <c r="J1687" s="25" t="n">
        <v>0</v>
      </c>
      <c r="K1687" s="25" t="n">
        <v>6</v>
      </c>
      <c r="L1687" s="29" t="n">
        <v>0.71</v>
      </c>
      <c r="M1687" s="30" t="n">
        <v>4.69</v>
      </c>
      <c r="N1687" s="29" t="n">
        <v>0.6</v>
      </c>
      <c r="O1687" s="25" t="n">
        <v>187</v>
      </c>
      <c r="P1687" s="30" t="n">
        <v>1.92</v>
      </c>
      <c r="Q1687" s="27" t="s">
        <v>3791</v>
      </c>
      <c r="R1687" s="27" t="s">
        <v>30</v>
      </c>
    </row>
    <row r="1688" customFormat="false" ht="15" hidden="false" customHeight="false" outlineLevel="0" collapsed="false">
      <c r="A1688" s="25" t="n">
        <f aca="false">IF(G1688="REJECT",COUNTIF($G$2:$G$2277,"&lt;&gt;REJECT")+1+COUNTIFS($G$2:$G$2277,"REJECT",$B$2:$B$2277,"&gt;"&amp;B1688),1+COUNTIFS($G$2:$G$2277,"&lt;&gt;REJECT",$B$2:$B$2277,"&gt;"&amp;B1688))</f>
        <v>1687</v>
      </c>
      <c r="B1688" s="26" t="n">
        <f aca="false">ROUND(($U$2*MAX(0,MIN(1,($W$2-I1688)/($W$2-$V$2)))+$U$3*MAX(0,MIN(1,($W$3-J1688)/($W$3-$V$3)))+$U$4*MAX(0,MIN(1,($W$4-K1688)/($W$4-$V$4)))+$U$5*MAX(0,MIN(1,($W$5-L1688)/($W$5-$V$5)))+$U$6*MAX(0,MIN(1,($W$6-M1688)/($W$6-$V$6)))+$U$7*MAX(0,MIN(1,($W$7-N1688)/($W$7-$V$7)))+$U$8*IF(AND(O1688&gt;=$V$8,O1688&lt;=$W$8),1,0))/$U$9*100,2)</f>
        <v>55.28</v>
      </c>
      <c r="C1688" s="27" t="s">
        <v>1385</v>
      </c>
      <c r="D1688" s="25" t="s">
        <v>134</v>
      </c>
      <c r="E1688" s="25" t="s">
        <v>3450</v>
      </c>
      <c r="F1688" s="25" t="s">
        <v>3457</v>
      </c>
      <c r="G1688" s="38" t="s">
        <v>30</v>
      </c>
      <c r="H1688" s="28" t="s">
        <v>25</v>
      </c>
      <c r="I1688" s="25" t="n">
        <v>6</v>
      </c>
      <c r="J1688" s="25" t="n">
        <v>0</v>
      </c>
      <c r="K1688" s="25" t="n">
        <v>6</v>
      </c>
      <c r="L1688" s="29" t="n">
        <v>0.74</v>
      </c>
      <c r="M1688" s="30" t="n">
        <v>21.72</v>
      </c>
      <c r="N1688" s="29" t="n">
        <v>0</v>
      </c>
      <c r="O1688" s="25" t="n">
        <v>185</v>
      </c>
      <c r="P1688" s="30" t="n">
        <v>12.08</v>
      </c>
      <c r="Q1688" s="27" t="s">
        <v>3772</v>
      </c>
      <c r="R1688" s="27" t="s">
        <v>992</v>
      </c>
    </row>
    <row r="1689" customFormat="false" ht="15" hidden="false" customHeight="false" outlineLevel="0" collapsed="false">
      <c r="A1689" s="25" t="n">
        <f aca="false">IF(G1689="REJECT",COUNTIF($G$2:$G$2277,"&lt;&gt;REJECT")+1+COUNTIFS($G$2:$G$2277,"REJECT",$B$2:$B$2277,"&gt;"&amp;B1689),1+COUNTIFS($G$2:$G$2277,"&lt;&gt;REJECT",$B$2:$B$2277,"&gt;"&amp;B1689))</f>
        <v>1688</v>
      </c>
      <c r="B1689" s="26" t="n">
        <f aca="false">ROUND(($U$2*MAX(0,MIN(1,($W$2-I1689)/($W$2-$V$2)))+$U$3*MAX(0,MIN(1,($W$3-J1689)/($W$3-$V$3)))+$U$4*MAX(0,MIN(1,($W$4-K1689)/($W$4-$V$4)))+$U$5*MAX(0,MIN(1,($W$5-L1689)/($W$5-$V$5)))+$U$6*MAX(0,MIN(1,($W$6-M1689)/($W$6-$V$6)))+$U$7*MAX(0,MIN(1,($W$7-N1689)/($W$7-$V$7)))+$U$8*IF(AND(O1689&gt;=$V$8,O1689&lt;=$W$8),1,0))/$U$9*100,2)</f>
        <v>55.24</v>
      </c>
      <c r="C1689" s="27" t="s">
        <v>1203</v>
      </c>
      <c r="D1689" s="25" t="s">
        <v>134</v>
      </c>
      <c r="E1689" s="25" t="s">
        <v>3447</v>
      </c>
      <c r="F1689" s="25" t="s">
        <v>3448</v>
      </c>
      <c r="G1689" s="38" t="s">
        <v>30</v>
      </c>
      <c r="H1689" s="28" t="s">
        <v>25</v>
      </c>
      <c r="I1689" s="25" t="n">
        <v>4</v>
      </c>
      <c r="J1689" s="25" t="n">
        <v>1</v>
      </c>
      <c r="K1689" s="25" t="n">
        <v>4</v>
      </c>
      <c r="L1689" s="29" t="n">
        <v>0.69</v>
      </c>
      <c r="M1689" s="30" t="n">
        <v>11.74</v>
      </c>
      <c r="N1689" s="29" t="n">
        <v>0.72</v>
      </c>
      <c r="O1689" s="25" t="n">
        <v>185</v>
      </c>
      <c r="P1689" s="30" t="n">
        <v>1.57</v>
      </c>
      <c r="Q1689" s="27" t="s">
        <v>3722</v>
      </c>
      <c r="R1689" s="27" t="s">
        <v>283</v>
      </c>
    </row>
    <row r="1690" customFormat="false" ht="15" hidden="false" customHeight="false" outlineLevel="0" collapsed="false">
      <c r="A1690" s="25" t="n">
        <f aca="false">IF(G1690="REJECT",COUNTIF($G$2:$G$2277,"&lt;&gt;REJECT")+1+COUNTIFS($G$2:$G$2277,"REJECT",$B$2:$B$2277,"&gt;"&amp;B1690),1+COUNTIFS($G$2:$G$2277,"&lt;&gt;REJECT",$B$2:$B$2277,"&gt;"&amp;B1690))</f>
        <v>1689</v>
      </c>
      <c r="B1690" s="26" t="n">
        <f aca="false">ROUND(($U$2*MAX(0,MIN(1,($W$2-I1690)/($W$2-$V$2)))+$U$3*MAX(0,MIN(1,($W$3-J1690)/($W$3-$V$3)))+$U$4*MAX(0,MIN(1,($W$4-K1690)/($W$4-$V$4)))+$U$5*MAX(0,MIN(1,($W$5-L1690)/($W$5-$V$5)))+$U$6*MAX(0,MIN(1,($W$6-M1690)/($W$6-$V$6)))+$U$7*MAX(0,MIN(1,($W$7-N1690)/($W$7-$V$7)))+$U$8*IF(AND(O1690&gt;=$V$8,O1690&lt;=$W$8),1,0))/$U$9*100,2)</f>
        <v>55.19</v>
      </c>
      <c r="C1690" s="27" t="s">
        <v>1253</v>
      </c>
      <c r="D1690" s="25" t="s">
        <v>3459</v>
      </c>
      <c r="E1690" s="25" t="s">
        <v>3447</v>
      </c>
      <c r="F1690" s="25" t="s">
        <v>3457</v>
      </c>
      <c r="G1690" s="38" t="s">
        <v>30</v>
      </c>
      <c r="H1690" s="33" t="s">
        <v>24</v>
      </c>
      <c r="I1690" s="25" t="n">
        <v>6</v>
      </c>
      <c r="J1690" s="25" t="n">
        <v>0</v>
      </c>
      <c r="K1690" s="25" t="n">
        <v>6</v>
      </c>
      <c r="L1690" s="29" t="n">
        <v>0.74</v>
      </c>
      <c r="M1690" s="30" t="n">
        <v>13.46</v>
      </c>
      <c r="N1690" s="29" t="n">
        <v>0.88</v>
      </c>
      <c r="O1690" s="25" t="n">
        <v>183</v>
      </c>
      <c r="P1690" s="30" t="n">
        <v>-0.15</v>
      </c>
      <c r="Q1690" s="27" t="s">
        <v>3792</v>
      </c>
      <c r="R1690" s="27" t="s">
        <v>30</v>
      </c>
    </row>
    <row r="1691" customFormat="false" ht="15" hidden="false" customHeight="false" outlineLevel="0" collapsed="false">
      <c r="A1691" s="25" t="n">
        <f aca="false">IF(G1691="REJECT",COUNTIF($G$2:$G$2277,"&lt;&gt;REJECT")+1+COUNTIFS($G$2:$G$2277,"REJECT",$B$2:$B$2277,"&gt;"&amp;B1691),1+COUNTIFS($G$2:$G$2277,"&lt;&gt;REJECT",$B$2:$B$2277,"&gt;"&amp;B1691))</f>
        <v>1690</v>
      </c>
      <c r="B1691" s="26" t="n">
        <f aca="false">ROUND(($U$2*MAX(0,MIN(1,($W$2-I1691)/($W$2-$V$2)))+$U$3*MAX(0,MIN(1,($W$3-J1691)/($W$3-$V$3)))+$U$4*MAX(0,MIN(1,($W$4-K1691)/($W$4-$V$4)))+$U$5*MAX(0,MIN(1,($W$5-L1691)/($W$5-$V$5)))+$U$6*MAX(0,MIN(1,($W$6-M1691)/($W$6-$V$6)))+$U$7*MAX(0,MIN(1,($W$7-N1691)/($W$7-$V$7)))+$U$8*IF(AND(O1691&gt;=$V$8,O1691&lt;=$W$8),1,0))/$U$9*100,2)</f>
        <v>55.05</v>
      </c>
      <c r="C1691" s="27" t="s">
        <v>1697</v>
      </c>
      <c r="D1691" s="25" t="s">
        <v>3459</v>
      </c>
      <c r="E1691" s="25" t="s">
        <v>3450</v>
      </c>
      <c r="F1691" s="25" t="s">
        <v>3448</v>
      </c>
      <c r="G1691" s="38" t="s">
        <v>30</v>
      </c>
      <c r="H1691" s="28" t="s">
        <v>25</v>
      </c>
      <c r="I1691" s="25" t="n">
        <v>4</v>
      </c>
      <c r="J1691" s="25" t="n">
        <v>1</v>
      </c>
      <c r="K1691" s="25" t="n">
        <v>4</v>
      </c>
      <c r="L1691" s="29" t="n">
        <v>0.7</v>
      </c>
      <c r="M1691" s="30" t="n">
        <v>18.11</v>
      </c>
      <c r="N1691" s="29" t="n">
        <v>0.56</v>
      </c>
      <c r="O1691" s="25" t="n">
        <v>184</v>
      </c>
      <c r="P1691" s="30" t="n">
        <v>3.05</v>
      </c>
      <c r="Q1691" s="27" t="s">
        <v>3773</v>
      </c>
      <c r="R1691" s="27" t="s">
        <v>283</v>
      </c>
    </row>
    <row r="1692" customFormat="false" ht="15" hidden="false" customHeight="false" outlineLevel="0" collapsed="false">
      <c r="A1692" s="25" t="n">
        <f aca="false">IF(G1692="REJECT",COUNTIF($G$2:$G$2277,"&lt;&gt;REJECT")+1+COUNTIFS($G$2:$G$2277,"REJECT",$B$2:$B$2277,"&gt;"&amp;B1692),1+COUNTIFS($G$2:$G$2277,"&lt;&gt;REJECT",$B$2:$B$2277,"&gt;"&amp;B1692))</f>
        <v>1691</v>
      </c>
      <c r="B1692" s="26" t="n">
        <f aca="false">ROUND(($U$2*MAX(0,MIN(1,($W$2-I1692)/($W$2-$V$2)))+$U$3*MAX(0,MIN(1,($W$3-J1692)/($W$3-$V$3)))+$U$4*MAX(0,MIN(1,($W$4-K1692)/($W$4-$V$4)))+$U$5*MAX(0,MIN(1,($W$5-L1692)/($W$5-$V$5)))+$U$6*MAX(0,MIN(1,($W$6-M1692)/($W$6-$V$6)))+$U$7*MAX(0,MIN(1,($W$7-N1692)/($W$7-$V$7)))+$U$8*IF(AND(O1692&gt;=$V$8,O1692&lt;=$W$8),1,0))/$U$9*100,2)</f>
        <v>55.04</v>
      </c>
      <c r="C1692" s="27" t="s">
        <v>1079</v>
      </c>
      <c r="D1692" s="25" t="s">
        <v>134</v>
      </c>
      <c r="E1692" s="25" t="s">
        <v>3450</v>
      </c>
      <c r="F1692" s="25" t="s">
        <v>3448</v>
      </c>
      <c r="G1692" s="38" t="s">
        <v>30</v>
      </c>
      <c r="H1692" s="28" t="s">
        <v>25</v>
      </c>
      <c r="I1692" s="25" t="n">
        <v>4</v>
      </c>
      <c r="J1692" s="25" t="n">
        <v>1</v>
      </c>
      <c r="K1692" s="25" t="n">
        <v>4</v>
      </c>
      <c r="L1692" s="29" t="n">
        <v>0.69</v>
      </c>
      <c r="M1692" s="30" t="n">
        <v>16.94</v>
      </c>
      <c r="N1692" s="29" t="n">
        <v>0.32</v>
      </c>
      <c r="O1692" s="25" t="n">
        <v>188</v>
      </c>
      <c r="P1692" s="30" t="n">
        <v>15.4</v>
      </c>
      <c r="Q1692" s="27" t="s">
        <v>3749</v>
      </c>
      <c r="R1692" s="27" t="s">
        <v>283</v>
      </c>
    </row>
    <row r="1693" customFormat="false" ht="15" hidden="false" customHeight="false" outlineLevel="0" collapsed="false">
      <c r="A1693" s="25" t="n">
        <f aca="false">IF(G1693="REJECT",COUNTIF($G$2:$G$2277,"&lt;&gt;REJECT")+1+COUNTIFS($G$2:$G$2277,"REJECT",$B$2:$B$2277,"&gt;"&amp;B1693),1+COUNTIFS($G$2:$G$2277,"&lt;&gt;REJECT",$B$2:$B$2277,"&gt;"&amp;B1693))</f>
        <v>1692</v>
      </c>
      <c r="B1693" s="26" t="n">
        <f aca="false">ROUND(($U$2*MAX(0,MIN(1,($W$2-I1693)/($W$2-$V$2)))+$U$3*MAX(0,MIN(1,($W$3-J1693)/($W$3-$V$3)))+$U$4*MAX(0,MIN(1,($W$4-K1693)/($W$4-$V$4)))+$U$5*MAX(0,MIN(1,($W$5-L1693)/($W$5-$V$5)))+$U$6*MAX(0,MIN(1,($W$6-M1693)/($W$6-$V$6)))+$U$7*MAX(0,MIN(1,($W$7-N1693)/($W$7-$V$7)))+$U$8*IF(AND(O1693&gt;=$V$8,O1693&lt;=$W$8),1,0))/$U$9*100,2)</f>
        <v>55.03</v>
      </c>
      <c r="C1693" s="27" t="s">
        <v>1533</v>
      </c>
      <c r="D1693" s="25" t="s">
        <v>3459</v>
      </c>
      <c r="E1693" s="25" t="s">
        <v>3447</v>
      </c>
      <c r="F1693" s="25" t="s">
        <v>3448</v>
      </c>
      <c r="G1693" s="38" t="s">
        <v>30</v>
      </c>
      <c r="H1693" s="28" t="s">
        <v>25</v>
      </c>
      <c r="I1693" s="25" t="n">
        <v>4</v>
      </c>
      <c r="J1693" s="25" t="n">
        <v>1</v>
      </c>
      <c r="K1693" s="25" t="n">
        <v>4</v>
      </c>
      <c r="L1693" s="29" t="n">
        <v>0.72</v>
      </c>
      <c r="M1693" s="30" t="n">
        <v>23.05</v>
      </c>
      <c r="N1693" s="29" t="n">
        <v>0.8</v>
      </c>
      <c r="O1693" s="25" t="n">
        <v>183</v>
      </c>
      <c r="P1693" s="30" t="n">
        <v>8.58</v>
      </c>
      <c r="Q1693" s="27" t="s">
        <v>3790</v>
      </c>
      <c r="R1693" s="27" t="s">
        <v>183</v>
      </c>
    </row>
    <row r="1694" customFormat="false" ht="15" hidden="false" customHeight="false" outlineLevel="0" collapsed="false">
      <c r="A1694" s="25" t="n">
        <f aca="false">IF(G1694="REJECT",COUNTIF($G$2:$G$2277,"&lt;&gt;REJECT")+1+COUNTIFS($G$2:$G$2277,"REJECT",$B$2:$B$2277,"&gt;"&amp;B1694),1+COUNTIFS($G$2:$G$2277,"&lt;&gt;REJECT",$B$2:$B$2277,"&gt;"&amp;B1694))</f>
        <v>1693</v>
      </c>
      <c r="B1694" s="26" t="n">
        <f aca="false">ROUND(($U$2*MAX(0,MIN(1,($W$2-I1694)/($W$2-$V$2)))+$U$3*MAX(0,MIN(1,($W$3-J1694)/($W$3-$V$3)))+$U$4*MAX(0,MIN(1,($W$4-K1694)/($W$4-$V$4)))+$U$5*MAX(0,MIN(1,($W$5-L1694)/($W$5-$V$5)))+$U$6*MAX(0,MIN(1,($W$6-M1694)/($W$6-$V$6)))+$U$7*MAX(0,MIN(1,($W$7-N1694)/($W$7-$V$7)))+$U$8*IF(AND(O1694&gt;=$V$8,O1694&lt;=$W$8),1,0))/$U$9*100,2)</f>
        <v>54.95</v>
      </c>
      <c r="C1694" s="27" t="s">
        <v>812</v>
      </c>
      <c r="D1694" s="25" t="s">
        <v>134</v>
      </c>
      <c r="E1694" s="25" t="s">
        <v>3450</v>
      </c>
      <c r="F1694" s="25" t="s">
        <v>3457</v>
      </c>
      <c r="G1694" s="38" t="s">
        <v>30</v>
      </c>
      <c r="H1694" s="28" t="s">
        <v>25</v>
      </c>
      <c r="I1694" s="25" t="n">
        <v>4</v>
      </c>
      <c r="J1694" s="25" t="n">
        <v>1</v>
      </c>
      <c r="K1694" s="25" t="n">
        <v>4</v>
      </c>
      <c r="L1694" s="29" t="n">
        <v>0.68</v>
      </c>
      <c r="M1694" s="30" t="n">
        <v>15.93</v>
      </c>
      <c r="N1694" s="29" t="n">
        <v>0.12</v>
      </c>
      <c r="O1694" s="25" t="n">
        <v>192</v>
      </c>
      <c r="P1694" s="30" t="n">
        <v>8.68</v>
      </c>
      <c r="Q1694" s="27" t="s">
        <v>3790</v>
      </c>
      <c r="R1694" s="27" t="s">
        <v>283</v>
      </c>
    </row>
    <row r="1695" customFormat="false" ht="15" hidden="false" customHeight="false" outlineLevel="0" collapsed="false">
      <c r="A1695" s="25" t="n">
        <f aca="false">IF(G1695="REJECT",COUNTIF($G$2:$G$2277,"&lt;&gt;REJECT")+1+COUNTIFS($G$2:$G$2277,"REJECT",$B$2:$B$2277,"&gt;"&amp;B1695),1+COUNTIFS($G$2:$G$2277,"&lt;&gt;REJECT",$B$2:$B$2277,"&gt;"&amp;B1695))</f>
        <v>1694</v>
      </c>
      <c r="B1695" s="26" t="n">
        <f aca="false">ROUND(($U$2*MAX(0,MIN(1,($W$2-I1695)/($W$2-$V$2)))+$U$3*MAX(0,MIN(1,($W$3-J1695)/($W$3-$V$3)))+$U$4*MAX(0,MIN(1,($W$4-K1695)/($W$4-$V$4)))+$U$5*MAX(0,MIN(1,($W$5-L1695)/($W$5-$V$5)))+$U$6*MAX(0,MIN(1,($W$6-M1695)/($W$6-$V$6)))+$U$7*MAX(0,MIN(1,($W$7-N1695)/($W$7-$V$7)))+$U$8*IF(AND(O1695&gt;=$V$8,O1695&lt;=$W$8),1,0))/$U$9*100,2)</f>
        <v>54.94</v>
      </c>
      <c r="C1695" s="27" t="s">
        <v>2204</v>
      </c>
      <c r="D1695" s="25" t="s">
        <v>134</v>
      </c>
      <c r="E1695" s="25" t="s">
        <v>3450</v>
      </c>
      <c r="F1695" s="25" t="s">
        <v>3448</v>
      </c>
      <c r="G1695" s="38" t="s">
        <v>30</v>
      </c>
      <c r="H1695" s="28" t="s">
        <v>25</v>
      </c>
      <c r="I1695" s="25" t="n">
        <v>4</v>
      </c>
      <c r="J1695" s="25" t="n">
        <v>1</v>
      </c>
      <c r="K1695" s="25" t="n">
        <v>4</v>
      </c>
      <c r="L1695" s="29" t="n">
        <v>0.69</v>
      </c>
      <c r="M1695" s="30" t="n">
        <v>19.55</v>
      </c>
      <c r="N1695" s="29" t="n">
        <v>0.12</v>
      </c>
      <c r="O1695" s="25" t="n">
        <v>191</v>
      </c>
      <c r="P1695" s="30" t="n">
        <v>6.74</v>
      </c>
      <c r="Q1695" s="27" t="s">
        <v>3793</v>
      </c>
      <c r="R1695" s="27" t="s">
        <v>283</v>
      </c>
    </row>
    <row r="1696" customFormat="false" ht="15" hidden="false" customHeight="false" outlineLevel="0" collapsed="false">
      <c r="A1696" s="25" t="n">
        <f aca="false">IF(G1696="REJECT",COUNTIF($G$2:$G$2277,"&lt;&gt;REJECT")+1+COUNTIFS($G$2:$G$2277,"REJECT",$B$2:$B$2277,"&gt;"&amp;B1696),1+COUNTIFS($G$2:$G$2277,"&lt;&gt;REJECT",$B$2:$B$2277,"&gt;"&amp;B1696))</f>
        <v>1695</v>
      </c>
      <c r="B1696" s="26" t="n">
        <f aca="false">ROUND(($U$2*MAX(0,MIN(1,($W$2-I1696)/($W$2-$V$2)))+$U$3*MAX(0,MIN(1,($W$3-J1696)/($W$3-$V$3)))+$U$4*MAX(0,MIN(1,($W$4-K1696)/($W$4-$V$4)))+$U$5*MAX(0,MIN(1,($W$5-L1696)/($W$5-$V$5)))+$U$6*MAX(0,MIN(1,($W$6-M1696)/($W$6-$V$6)))+$U$7*MAX(0,MIN(1,($W$7-N1696)/($W$7-$V$7)))+$U$8*IF(AND(O1696&gt;=$V$8,O1696&lt;=$W$8),1,0))/$U$9*100,2)</f>
        <v>54.9</v>
      </c>
      <c r="C1696" s="27" t="s">
        <v>3068</v>
      </c>
      <c r="D1696" s="25" t="s">
        <v>134</v>
      </c>
      <c r="E1696" s="25" t="s">
        <v>3447</v>
      </c>
      <c r="F1696" s="25" t="s">
        <v>3457</v>
      </c>
      <c r="G1696" s="38" t="s">
        <v>30</v>
      </c>
      <c r="H1696" s="28" t="s">
        <v>25</v>
      </c>
      <c r="I1696" s="25" t="n">
        <v>5</v>
      </c>
      <c r="J1696" s="25" t="n">
        <v>0</v>
      </c>
      <c r="K1696" s="25" t="n">
        <v>5</v>
      </c>
      <c r="L1696" s="29" t="n">
        <v>0.65</v>
      </c>
      <c r="M1696" s="30" t="n">
        <v>21.13</v>
      </c>
      <c r="N1696" s="29" t="n">
        <v>0.8</v>
      </c>
      <c r="O1696" s="25" t="n">
        <v>185</v>
      </c>
      <c r="P1696" s="30" t="n">
        <v>1.07</v>
      </c>
      <c r="Q1696" s="27" t="s">
        <v>3761</v>
      </c>
      <c r="R1696" s="27" t="s">
        <v>992</v>
      </c>
    </row>
    <row r="1697" customFormat="false" ht="15" hidden="false" customHeight="false" outlineLevel="0" collapsed="false">
      <c r="A1697" s="25" t="n">
        <f aca="false">IF(G1697="REJECT",COUNTIF($G$2:$G$2277,"&lt;&gt;REJECT")+1+COUNTIFS($G$2:$G$2277,"REJECT",$B$2:$B$2277,"&gt;"&amp;B1697),1+COUNTIFS($G$2:$G$2277,"&lt;&gt;REJECT",$B$2:$B$2277,"&gt;"&amp;B1697))</f>
        <v>1696</v>
      </c>
      <c r="B1697" s="26" t="n">
        <f aca="false">ROUND(($U$2*MAX(0,MIN(1,($W$2-I1697)/($W$2-$V$2)))+$U$3*MAX(0,MIN(1,($W$3-J1697)/($W$3-$V$3)))+$U$4*MAX(0,MIN(1,($W$4-K1697)/($W$4-$V$4)))+$U$5*MAX(0,MIN(1,($W$5-L1697)/($W$5-$V$5)))+$U$6*MAX(0,MIN(1,($W$6-M1697)/($W$6-$V$6)))+$U$7*MAX(0,MIN(1,($W$7-N1697)/($W$7-$V$7)))+$U$8*IF(AND(O1697&gt;=$V$8,O1697&lt;=$W$8),1,0))/$U$9*100,2)</f>
        <v>54.87</v>
      </c>
      <c r="C1697" s="27" t="s">
        <v>2746</v>
      </c>
      <c r="D1697" s="25" t="s">
        <v>3459</v>
      </c>
      <c r="E1697" s="25" t="s">
        <v>3450</v>
      </c>
      <c r="F1697" s="25" t="s">
        <v>3457</v>
      </c>
      <c r="G1697" s="38" t="s">
        <v>30</v>
      </c>
      <c r="H1697" s="28" t="s">
        <v>25</v>
      </c>
      <c r="I1697" s="25" t="n">
        <v>4</v>
      </c>
      <c r="J1697" s="25" t="n">
        <v>1</v>
      </c>
      <c r="K1697" s="25" t="n">
        <v>4</v>
      </c>
      <c r="L1697" s="29" t="n">
        <v>0.71</v>
      </c>
      <c r="M1697" s="30" t="n">
        <v>23.16</v>
      </c>
      <c r="N1697" s="29" t="n">
        <v>0.52</v>
      </c>
      <c r="O1697" s="25" t="n">
        <v>184</v>
      </c>
      <c r="P1697" s="30" t="n">
        <v>13.98</v>
      </c>
      <c r="Q1697" s="27" t="s">
        <v>3734</v>
      </c>
      <c r="R1697" s="27" t="s">
        <v>183</v>
      </c>
    </row>
    <row r="1698" customFormat="false" ht="15" hidden="false" customHeight="false" outlineLevel="0" collapsed="false">
      <c r="A1698" s="25" t="n">
        <f aca="false">IF(G1698="REJECT",COUNTIF($G$2:$G$2277,"&lt;&gt;REJECT")+1+COUNTIFS($G$2:$G$2277,"REJECT",$B$2:$B$2277,"&gt;"&amp;B1698),1+COUNTIFS($G$2:$G$2277,"&lt;&gt;REJECT",$B$2:$B$2277,"&gt;"&amp;B1698))</f>
        <v>1697</v>
      </c>
      <c r="B1698" s="26" t="n">
        <f aca="false">ROUND(($U$2*MAX(0,MIN(1,($W$2-I1698)/($W$2-$V$2)))+$U$3*MAX(0,MIN(1,($W$3-J1698)/($W$3-$V$3)))+$U$4*MAX(0,MIN(1,($W$4-K1698)/($W$4-$V$4)))+$U$5*MAX(0,MIN(1,($W$5-L1698)/($W$5-$V$5)))+$U$6*MAX(0,MIN(1,($W$6-M1698)/($W$6-$V$6)))+$U$7*MAX(0,MIN(1,($W$7-N1698)/($W$7-$V$7)))+$U$8*IF(AND(O1698&gt;=$V$8,O1698&lt;=$W$8),1,0))/$U$9*100,2)</f>
        <v>54.86</v>
      </c>
      <c r="C1698" s="27" t="s">
        <v>2873</v>
      </c>
      <c r="D1698" s="25" t="s">
        <v>134</v>
      </c>
      <c r="E1698" s="25" t="s">
        <v>3450</v>
      </c>
      <c r="F1698" s="25" t="s">
        <v>3457</v>
      </c>
      <c r="G1698" s="38" t="s">
        <v>30</v>
      </c>
      <c r="H1698" s="28" t="s">
        <v>25</v>
      </c>
      <c r="I1698" s="25" t="n">
        <v>3</v>
      </c>
      <c r="J1698" s="25" t="n">
        <v>1</v>
      </c>
      <c r="K1698" s="25" t="n">
        <v>3</v>
      </c>
      <c r="L1698" s="29" t="n">
        <v>0.57</v>
      </c>
      <c r="M1698" s="30" t="n">
        <v>7.12</v>
      </c>
      <c r="N1698" s="29" t="n">
        <v>0.84</v>
      </c>
      <c r="O1698" s="25" t="n">
        <v>186</v>
      </c>
      <c r="P1698" s="30" t="n">
        <v>4.46</v>
      </c>
      <c r="Q1698" s="27" t="s">
        <v>3689</v>
      </c>
      <c r="R1698" s="27" t="s">
        <v>283</v>
      </c>
    </row>
    <row r="1699" customFormat="false" ht="15" hidden="false" customHeight="false" outlineLevel="0" collapsed="false">
      <c r="A1699" s="25" t="n">
        <f aca="false">IF(G1699="REJECT",COUNTIF($G$2:$G$2277,"&lt;&gt;REJECT")+1+COUNTIFS($G$2:$G$2277,"REJECT",$B$2:$B$2277,"&gt;"&amp;B1699),1+COUNTIFS($G$2:$G$2277,"&lt;&gt;REJECT",$B$2:$B$2277,"&gt;"&amp;B1699))</f>
        <v>1698</v>
      </c>
      <c r="B1699" s="26" t="n">
        <f aca="false">ROUND(($U$2*MAX(0,MIN(1,($W$2-I1699)/($W$2-$V$2)))+$U$3*MAX(0,MIN(1,($W$3-J1699)/($W$3-$V$3)))+$U$4*MAX(0,MIN(1,($W$4-K1699)/($W$4-$V$4)))+$U$5*MAX(0,MIN(1,($W$5-L1699)/($W$5-$V$5)))+$U$6*MAX(0,MIN(1,($W$6-M1699)/($W$6-$V$6)))+$U$7*MAX(0,MIN(1,($W$7-N1699)/($W$7-$V$7)))+$U$8*IF(AND(O1699&gt;=$V$8,O1699&lt;=$W$8),1,0))/$U$9*100,2)</f>
        <v>54.81</v>
      </c>
      <c r="C1699" s="27" t="s">
        <v>2124</v>
      </c>
      <c r="D1699" s="25" t="s">
        <v>134</v>
      </c>
      <c r="E1699" s="25" t="s">
        <v>3447</v>
      </c>
      <c r="F1699" s="25" t="s">
        <v>3448</v>
      </c>
      <c r="G1699" s="38" t="s">
        <v>30</v>
      </c>
      <c r="H1699" s="28" t="s">
        <v>25</v>
      </c>
      <c r="I1699" s="25" t="n">
        <v>6</v>
      </c>
      <c r="J1699" s="25" t="n">
        <v>0</v>
      </c>
      <c r="K1699" s="25" t="n">
        <v>6</v>
      </c>
      <c r="L1699" s="29" t="n">
        <v>0.71</v>
      </c>
      <c r="M1699" s="30" t="n">
        <v>13.77</v>
      </c>
      <c r="N1699" s="29" t="n">
        <v>0</v>
      </c>
      <c r="O1699" s="25" t="n">
        <v>188</v>
      </c>
      <c r="P1699" s="30" t="n">
        <v>-0.61</v>
      </c>
      <c r="Q1699" s="27" t="s">
        <v>3794</v>
      </c>
      <c r="R1699" s="27" t="s">
        <v>2133</v>
      </c>
    </row>
    <row r="1700" customFormat="false" ht="15" hidden="false" customHeight="false" outlineLevel="0" collapsed="false">
      <c r="A1700" s="25" t="n">
        <f aca="false">IF(G1700="REJECT",COUNTIF($G$2:$G$2277,"&lt;&gt;REJECT")+1+COUNTIFS($G$2:$G$2277,"REJECT",$B$2:$B$2277,"&gt;"&amp;B1700),1+COUNTIFS($G$2:$G$2277,"&lt;&gt;REJECT",$B$2:$B$2277,"&gt;"&amp;B1700))</f>
        <v>1699</v>
      </c>
      <c r="B1700" s="26" t="n">
        <f aca="false">ROUND(($U$2*MAX(0,MIN(1,($W$2-I1700)/($W$2-$V$2)))+$U$3*MAX(0,MIN(1,($W$3-J1700)/($W$3-$V$3)))+$U$4*MAX(0,MIN(1,($W$4-K1700)/($W$4-$V$4)))+$U$5*MAX(0,MIN(1,($W$5-L1700)/($W$5-$V$5)))+$U$6*MAX(0,MIN(1,($W$6-M1700)/($W$6-$V$6)))+$U$7*MAX(0,MIN(1,($W$7-N1700)/($W$7-$V$7)))+$U$8*IF(AND(O1700&gt;=$V$8,O1700&lt;=$W$8),1,0))/$U$9*100,2)</f>
        <v>54.76</v>
      </c>
      <c r="C1700" s="27" t="s">
        <v>2678</v>
      </c>
      <c r="D1700" s="25" t="s">
        <v>134</v>
      </c>
      <c r="E1700" s="25" t="s">
        <v>3450</v>
      </c>
      <c r="F1700" s="25" t="s">
        <v>3457</v>
      </c>
      <c r="G1700" s="38" t="s">
        <v>30</v>
      </c>
      <c r="H1700" s="28" t="s">
        <v>25</v>
      </c>
      <c r="I1700" s="25" t="n">
        <v>6</v>
      </c>
      <c r="J1700" s="25" t="n">
        <v>0</v>
      </c>
      <c r="K1700" s="25" t="n">
        <v>6</v>
      </c>
      <c r="L1700" s="29" t="n">
        <v>0.77</v>
      </c>
      <c r="M1700" s="30" t="n">
        <v>27.62</v>
      </c>
      <c r="N1700" s="29" t="n">
        <v>0.8</v>
      </c>
      <c r="O1700" s="25" t="n">
        <v>183</v>
      </c>
      <c r="P1700" s="30" t="n">
        <v>0.18</v>
      </c>
      <c r="Q1700" s="27" t="s">
        <v>3795</v>
      </c>
      <c r="R1700" s="27" t="s">
        <v>1106</v>
      </c>
    </row>
    <row r="1701" customFormat="false" ht="15" hidden="false" customHeight="false" outlineLevel="0" collapsed="false">
      <c r="A1701" s="25" t="n">
        <f aca="false">IF(G1701="REJECT",COUNTIF($G$2:$G$2277,"&lt;&gt;REJECT")+1+COUNTIFS($G$2:$G$2277,"REJECT",$B$2:$B$2277,"&gt;"&amp;B1701),1+COUNTIFS($G$2:$G$2277,"&lt;&gt;REJECT",$B$2:$B$2277,"&gt;"&amp;B1701))</f>
        <v>1700</v>
      </c>
      <c r="B1701" s="26" t="n">
        <f aca="false">ROUND(($U$2*MAX(0,MIN(1,($W$2-I1701)/($W$2-$V$2)))+$U$3*MAX(0,MIN(1,($W$3-J1701)/($W$3-$V$3)))+$U$4*MAX(0,MIN(1,($W$4-K1701)/($W$4-$V$4)))+$U$5*MAX(0,MIN(1,($W$5-L1701)/($W$5-$V$5)))+$U$6*MAX(0,MIN(1,($W$6-M1701)/($W$6-$V$6)))+$U$7*MAX(0,MIN(1,($W$7-N1701)/($W$7-$V$7)))+$U$8*IF(AND(O1701&gt;=$V$8,O1701&lt;=$W$8),1,0))/$U$9*100,2)</f>
        <v>54.7</v>
      </c>
      <c r="C1701" s="27" t="s">
        <v>1060</v>
      </c>
      <c r="D1701" s="25" t="s">
        <v>134</v>
      </c>
      <c r="E1701" s="25" t="s">
        <v>3447</v>
      </c>
      <c r="F1701" s="25" t="s">
        <v>3448</v>
      </c>
      <c r="G1701" s="38" t="s">
        <v>30</v>
      </c>
      <c r="H1701" s="28" t="s">
        <v>25</v>
      </c>
      <c r="I1701" s="25" t="n">
        <v>5</v>
      </c>
      <c r="J1701" s="25" t="n">
        <v>1</v>
      </c>
      <c r="K1701" s="25" t="n">
        <v>5</v>
      </c>
      <c r="L1701" s="29" t="n">
        <v>0.79</v>
      </c>
      <c r="M1701" s="30" t="n">
        <v>14.7</v>
      </c>
      <c r="N1701" s="29" t="n">
        <v>0.6</v>
      </c>
      <c r="O1701" s="25" t="n">
        <v>183</v>
      </c>
      <c r="P1701" s="30" t="n">
        <v>6.8</v>
      </c>
      <c r="Q1701" s="27" t="s">
        <v>3796</v>
      </c>
      <c r="R1701" s="27" t="s">
        <v>1099</v>
      </c>
    </row>
    <row r="1702" customFormat="false" ht="15" hidden="false" customHeight="false" outlineLevel="0" collapsed="false">
      <c r="A1702" s="25" t="n">
        <f aca="false">IF(G1702="REJECT",COUNTIF($G$2:$G$2277,"&lt;&gt;REJECT")+1+COUNTIFS($G$2:$G$2277,"REJECT",$B$2:$B$2277,"&gt;"&amp;B1702),1+COUNTIFS($G$2:$G$2277,"&lt;&gt;REJECT",$B$2:$B$2277,"&gt;"&amp;B1702))</f>
        <v>1701</v>
      </c>
      <c r="B1702" s="26" t="n">
        <f aca="false">ROUND(($U$2*MAX(0,MIN(1,($W$2-I1702)/($W$2-$V$2)))+$U$3*MAX(0,MIN(1,($W$3-J1702)/($W$3-$V$3)))+$U$4*MAX(0,MIN(1,($W$4-K1702)/($W$4-$V$4)))+$U$5*MAX(0,MIN(1,($W$5-L1702)/($W$5-$V$5)))+$U$6*MAX(0,MIN(1,($W$6-M1702)/($W$6-$V$6)))+$U$7*MAX(0,MIN(1,($W$7-N1702)/($W$7-$V$7)))+$U$8*IF(AND(O1702&gt;=$V$8,O1702&lt;=$W$8),1,0))/$U$9*100,2)</f>
        <v>54.63</v>
      </c>
      <c r="C1702" s="27" t="s">
        <v>2367</v>
      </c>
      <c r="D1702" s="25" t="s">
        <v>134</v>
      </c>
      <c r="E1702" s="25" t="s">
        <v>3447</v>
      </c>
      <c r="F1702" s="25" t="s">
        <v>3457</v>
      </c>
      <c r="G1702" s="38" t="s">
        <v>30</v>
      </c>
      <c r="H1702" s="28" t="s">
        <v>25</v>
      </c>
      <c r="I1702" s="25" t="n">
        <v>4</v>
      </c>
      <c r="J1702" s="25" t="n">
        <v>1</v>
      </c>
      <c r="K1702" s="25" t="n">
        <v>4</v>
      </c>
      <c r="L1702" s="29" t="n">
        <v>0.67</v>
      </c>
      <c r="M1702" s="30" t="n">
        <v>11.05</v>
      </c>
      <c r="N1702" s="29" t="n">
        <v>0.44</v>
      </c>
      <c r="O1702" s="25" t="n">
        <v>185</v>
      </c>
      <c r="P1702" s="30" t="n">
        <v>4.6</v>
      </c>
      <c r="Q1702" s="27" t="s">
        <v>3737</v>
      </c>
      <c r="R1702" s="27" t="s">
        <v>283</v>
      </c>
    </row>
    <row r="1703" customFormat="false" ht="15" hidden="false" customHeight="false" outlineLevel="0" collapsed="false">
      <c r="A1703" s="25" t="n">
        <f aca="false">IF(G1703="REJECT",COUNTIF($G$2:$G$2277,"&lt;&gt;REJECT")+1+COUNTIFS($G$2:$G$2277,"REJECT",$B$2:$B$2277,"&gt;"&amp;B1703),1+COUNTIFS($G$2:$G$2277,"&lt;&gt;REJECT",$B$2:$B$2277,"&gt;"&amp;B1703))</f>
        <v>1702</v>
      </c>
      <c r="B1703" s="26" t="n">
        <f aca="false">ROUND(($U$2*MAX(0,MIN(1,($W$2-I1703)/($W$2-$V$2)))+$U$3*MAX(0,MIN(1,($W$3-J1703)/($W$3-$V$3)))+$U$4*MAX(0,MIN(1,($W$4-K1703)/($W$4-$V$4)))+$U$5*MAX(0,MIN(1,($W$5-L1703)/($W$5-$V$5)))+$U$6*MAX(0,MIN(1,($W$6-M1703)/($W$6-$V$6)))+$U$7*MAX(0,MIN(1,($W$7-N1703)/($W$7-$V$7)))+$U$8*IF(AND(O1703&gt;=$V$8,O1703&lt;=$W$8),1,0))/$U$9*100,2)</f>
        <v>54.59</v>
      </c>
      <c r="C1703" s="27" t="s">
        <v>1533</v>
      </c>
      <c r="D1703" s="25" t="s">
        <v>3459</v>
      </c>
      <c r="E1703" s="25" t="s">
        <v>3447</v>
      </c>
      <c r="F1703" s="25" t="s">
        <v>3457</v>
      </c>
      <c r="G1703" s="38" t="s">
        <v>30</v>
      </c>
      <c r="H1703" s="28" t="s">
        <v>25</v>
      </c>
      <c r="I1703" s="25" t="n">
        <v>4</v>
      </c>
      <c r="J1703" s="25" t="n">
        <v>1</v>
      </c>
      <c r="K1703" s="25" t="n">
        <v>4</v>
      </c>
      <c r="L1703" s="29" t="n">
        <v>0.71</v>
      </c>
      <c r="M1703" s="30" t="n">
        <v>24.46</v>
      </c>
      <c r="N1703" s="29" t="n">
        <v>0.56</v>
      </c>
      <c r="O1703" s="25" t="n">
        <v>183</v>
      </c>
      <c r="P1703" s="30" t="n">
        <v>6.22</v>
      </c>
      <c r="Q1703" s="27" t="s">
        <v>3790</v>
      </c>
      <c r="R1703" s="27" t="s">
        <v>183</v>
      </c>
    </row>
    <row r="1704" customFormat="false" ht="15" hidden="false" customHeight="false" outlineLevel="0" collapsed="false">
      <c r="A1704" s="25" t="n">
        <f aca="false">IF(G1704="REJECT",COUNTIF($G$2:$G$2277,"&lt;&gt;REJECT")+1+COUNTIFS($G$2:$G$2277,"REJECT",$B$2:$B$2277,"&gt;"&amp;B1704),1+COUNTIFS($G$2:$G$2277,"&lt;&gt;REJECT",$B$2:$B$2277,"&gt;"&amp;B1704))</f>
        <v>1703</v>
      </c>
      <c r="B1704" s="26" t="n">
        <f aca="false">ROUND(($U$2*MAX(0,MIN(1,($W$2-I1704)/($W$2-$V$2)))+$U$3*MAX(0,MIN(1,($W$3-J1704)/($W$3-$V$3)))+$U$4*MAX(0,MIN(1,($W$4-K1704)/($W$4-$V$4)))+$U$5*MAX(0,MIN(1,($W$5-L1704)/($W$5-$V$5)))+$U$6*MAX(0,MIN(1,($W$6-M1704)/($W$6-$V$6)))+$U$7*MAX(0,MIN(1,($W$7-N1704)/($W$7-$V$7)))+$U$8*IF(AND(O1704&gt;=$V$8,O1704&lt;=$W$8),1,0))/$U$9*100,2)</f>
        <v>54.53</v>
      </c>
      <c r="C1704" s="27" t="s">
        <v>2921</v>
      </c>
      <c r="D1704" s="25" t="s">
        <v>134</v>
      </c>
      <c r="E1704" s="25" t="s">
        <v>3450</v>
      </c>
      <c r="F1704" s="25" t="s">
        <v>3448</v>
      </c>
      <c r="G1704" s="38" t="s">
        <v>30</v>
      </c>
      <c r="H1704" s="28" t="s">
        <v>25</v>
      </c>
      <c r="I1704" s="25" t="n">
        <v>4</v>
      </c>
      <c r="J1704" s="25" t="n">
        <v>1</v>
      </c>
      <c r="K1704" s="25" t="n">
        <v>4</v>
      </c>
      <c r="L1704" s="29" t="n">
        <v>0.7</v>
      </c>
      <c r="M1704" s="30" t="n">
        <v>17.63</v>
      </c>
      <c r="N1704" s="29" t="n">
        <v>0.92</v>
      </c>
      <c r="O1704" s="25" t="n">
        <v>183</v>
      </c>
      <c r="P1704" s="30" t="n">
        <v>14.44</v>
      </c>
      <c r="Q1704" s="27" t="s">
        <v>3785</v>
      </c>
      <c r="R1704" s="27" t="s">
        <v>283</v>
      </c>
    </row>
    <row r="1705" customFormat="false" ht="15" hidden="false" customHeight="false" outlineLevel="0" collapsed="false">
      <c r="A1705" s="25" t="n">
        <f aca="false">IF(G1705="REJECT",COUNTIF($G$2:$G$2277,"&lt;&gt;REJECT")+1+COUNTIFS($G$2:$G$2277,"REJECT",$B$2:$B$2277,"&gt;"&amp;B1705),1+COUNTIFS($G$2:$G$2277,"&lt;&gt;REJECT",$B$2:$B$2277,"&gt;"&amp;B1705))</f>
        <v>1704</v>
      </c>
      <c r="B1705" s="26" t="n">
        <f aca="false">ROUND(($U$2*MAX(0,MIN(1,($W$2-I1705)/($W$2-$V$2)))+$U$3*MAX(0,MIN(1,($W$3-J1705)/($W$3-$V$3)))+$U$4*MAX(0,MIN(1,($W$4-K1705)/($W$4-$V$4)))+$U$5*MAX(0,MIN(1,($W$5-L1705)/($W$5-$V$5)))+$U$6*MAX(0,MIN(1,($W$6-M1705)/($W$6-$V$6)))+$U$7*MAX(0,MIN(1,($W$7-N1705)/($W$7-$V$7)))+$U$8*IF(AND(O1705&gt;=$V$8,O1705&lt;=$W$8),1,0))/$U$9*100,2)</f>
        <v>54.48</v>
      </c>
      <c r="C1705" s="27" t="s">
        <v>2296</v>
      </c>
      <c r="D1705" s="25" t="s">
        <v>134</v>
      </c>
      <c r="E1705" s="25" t="s">
        <v>3447</v>
      </c>
      <c r="F1705" s="25" t="s">
        <v>3448</v>
      </c>
      <c r="G1705" s="38" t="s">
        <v>30</v>
      </c>
      <c r="H1705" s="28" t="s">
        <v>25</v>
      </c>
      <c r="I1705" s="25" t="n">
        <v>4</v>
      </c>
      <c r="J1705" s="25" t="n">
        <v>1</v>
      </c>
      <c r="K1705" s="25" t="n">
        <v>4</v>
      </c>
      <c r="L1705" s="29" t="n">
        <v>0.65</v>
      </c>
      <c r="M1705" s="30" t="n">
        <v>5.13</v>
      </c>
      <c r="N1705" s="29" t="n">
        <v>0.4</v>
      </c>
      <c r="O1705" s="25" t="n">
        <v>182</v>
      </c>
      <c r="P1705" s="30" t="n">
        <v>4.47</v>
      </c>
      <c r="Q1705" s="27" t="s">
        <v>3737</v>
      </c>
      <c r="R1705" s="27" t="s">
        <v>283</v>
      </c>
    </row>
    <row r="1706" customFormat="false" ht="15" hidden="false" customHeight="false" outlineLevel="0" collapsed="false">
      <c r="A1706" s="25" t="n">
        <f aca="false">IF(G1706="REJECT",COUNTIF($G$2:$G$2277,"&lt;&gt;REJECT")+1+COUNTIFS($G$2:$G$2277,"REJECT",$B$2:$B$2277,"&gt;"&amp;B1706),1+COUNTIFS($G$2:$G$2277,"&lt;&gt;REJECT",$B$2:$B$2277,"&gt;"&amp;B1706))</f>
        <v>1705</v>
      </c>
      <c r="B1706" s="26" t="n">
        <f aca="false">ROUND(($U$2*MAX(0,MIN(1,($W$2-I1706)/($W$2-$V$2)))+$U$3*MAX(0,MIN(1,($W$3-J1706)/($W$3-$V$3)))+$U$4*MAX(0,MIN(1,($W$4-K1706)/($W$4-$V$4)))+$U$5*MAX(0,MIN(1,($W$5-L1706)/($W$5-$V$5)))+$U$6*MAX(0,MIN(1,($W$6-M1706)/($W$6-$V$6)))+$U$7*MAX(0,MIN(1,($W$7-N1706)/($W$7-$V$7)))+$U$8*IF(AND(O1706&gt;=$V$8,O1706&lt;=$W$8),1,0))/$U$9*100,2)</f>
        <v>54.47</v>
      </c>
      <c r="C1706" s="27" t="s">
        <v>695</v>
      </c>
      <c r="D1706" s="25" t="s">
        <v>134</v>
      </c>
      <c r="E1706" s="25" t="s">
        <v>3447</v>
      </c>
      <c r="F1706" s="25" t="s">
        <v>3457</v>
      </c>
      <c r="G1706" s="38" t="s">
        <v>30</v>
      </c>
      <c r="H1706" s="28" t="s">
        <v>25</v>
      </c>
      <c r="I1706" s="25" t="n">
        <v>6</v>
      </c>
      <c r="J1706" s="25" t="n">
        <v>0</v>
      </c>
      <c r="K1706" s="25" t="n">
        <v>6</v>
      </c>
      <c r="L1706" s="29" t="n">
        <v>0.72</v>
      </c>
      <c r="M1706" s="30" t="n">
        <v>13.77</v>
      </c>
      <c r="N1706" s="29" t="n">
        <v>0.56</v>
      </c>
      <c r="O1706" s="25" t="n">
        <v>193</v>
      </c>
      <c r="P1706" s="30" t="n">
        <v>4.37</v>
      </c>
      <c r="Q1706" s="27" t="s">
        <v>3772</v>
      </c>
      <c r="R1706" s="27" t="s">
        <v>2133</v>
      </c>
    </row>
    <row r="1707" customFormat="false" ht="15" hidden="false" customHeight="false" outlineLevel="0" collapsed="false">
      <c r="A1707" s="25" t="n">
        <f aca="false">IF(G1707="REJECT",COUNTIF($G$2:$G$2277,"&lt;&gt;REJECT")+1+COUNTIFS($G$2:$G$2277,"REJECT",$B$2:$B$2277,"&gt;"&amp;B1707),1+COUNTIFS($G$2:$G$2277,"&lt;&gt;REJECT",$B$2:$B$2277,"&gt;"&amp;B1707))</f>
        <v>1705</v>
      </c>
      <c r="B1707" s="26" t="n">
        <f aca="false">ROUND(($U$2*MAX(0,MIN(1,($W$2-I1707)/($W$2-$V$2)))+$U$3*MAX(0,MIN(1,($W$3-J1707)/($W$3-$V$3)))+$U$4*MAX(0,MIN(1,($W$4-K1707)/($W$4-$V$4)))+$U$5*MAX(0,MIN(1,($W$5-L1707)/($W$5-$V$5)))+$U$6*MAX(0,MIN(1,($W$6-M1707)/($W$6-$V$6)))+$U$7*MAX(0,MIN(1,($W$7-N1707)/($W$7-$V$7)))+$U$8*IF(AND(O1707&gt;=$V$8,O1707&lt;=$W$8),1,0))/$U$9*100,2)</f>
        <v>54.47</v>
      </c>
      <c r="C1707" s="27" t="s">
        <v>1049</v>
      </c>
      <c r="D1707" s="25" t="s">
        <v>134</v>
      </c>
      <c r="E1707" s="25" t="s">
        <v>3447</v>
      </c>
      <c r="F1707" s="25" t="s">
        <v>3457</v>
      </c>
      <c r="G1707" s="38" t="s">
        <v>30</v>
      </c>
      <c r="H1707" s="28" t="s">
        <v>25</v>
      </c>
      <c r="I1707" s="25" t="n">
        <v>4</v>
      </c>
      <c r="J1707" s="25" t="n">
        <v>1</v>
      </c>
      <c r="K1707" s="25" t="n">
        <v>4</v>
      </c>
      <c r="L1707" s="29" t="n">
        <v>0.67</v>
      </c>
      <c r="M1707" s="30" t="n">
        <v>9.58</v>
      </c>
      <c r="N1707" s="29" t="n">
        <v>0.68</v>
      </c>
      <c r="O1707" s="25" t="n">
        <v>193</v>
      </c>
      <c r="P1707" s="30" t="n">
        <v>1.34</v>
      </c>
      <c r="Q1707" s="27" t="s">
        <v>3784</v>
      </c>
      <c r="R1707" s="27" t="s">
        <v>283</v>
      </c>
    </row>
    <row r="1708" customFormat="false" ht="15" hidden="false" customHeight="false" outlineLevel="0" collapsed="false">
      <c r="A1708" s="25" t="n">
        <f aca="false">IF(G1708="REJECT",COUNTIF($G$2:$G$2277,"&lt;&gt;REJECT")+1+COUNTIFS($G$2:$G$2277,"REJECT",$B$2:$B$2277,"&gt;"&amp;B1708),1+COUNTIFS($G$2:$G$2277,"&lt;&gt;REJECT",$B$2:$B$2277,"&gt;"&amp;B1708))</f>
        <v>1707</v>
      </c>
      <c r="B1708" s="26" t="n">
        <f aca="false">ROUND(($U$2*MAX(0,MIN(1,($W$2-I1708)/($W$2-$V$2)))+$U$3*MAX(0,MIN(1,($W$3-J1708)/($W$3-$V$3)))+$U$4*MAX(0,MIN(1,($W$4-K1708)/($W$4-$V$4)))+$U$5*MAX(0,MIN(1,($W$5-L1708)/($W$5-$V$5)))+$U$6*MAX(0,MIN(1,($W$6-M1708)/($W$6-$V$6)))+$U$7*MAX(0,MIN(1,($W$7-N1708)/($W$7-$V$7)))+$U$8*IF(AND(O1708&gt;=$V$8,O1708&lt;=$W$8),1,0))/$U$9*100,2)</f>
        <v>54.24</v>
      </c>
      <c r="C1708" s="27" t="s">
        <v>360</v>
      </c>
      <c r="D1708" s="25" t="s">
        <v>134</v>
      </c>
      <c r="E1708" s="25" t="s">
        <v>3447</v>
      </c>
      <c r="F1708" s="25" t="s">
        <v>3457</v>
      </c>
      <c r="G1708" s="38" t="s">
        <v>30</v>
      </c>
      <c r="H1708" s="28" t="s">
        <v>25</v>
      </c>
      <c r="I1708" s="25" t="n">
        <v>4</v>
      </c>
      <c r="J1708" s="25" t="n">
        <v>1</v>
      </c>
      <c r="K1708" s="25" t="n">
        <v>4</v>
      </c>
      <c r="L1708" s="29" t="n">
        <v>0.68</v>
      </c>
      <c r="M1708" s="30" t="n">
        <v>16.57</v>
      </c>
      <c r="N1708" s="29" t="n">
        <v>0.48</v>
      </c>
      <c r="O1708" s="25" t="n">
        <v>182</v>
      </c>
      <c r="P1708" s="30" t="n">
        <v>-0.63</v>
      </c>
      <c r="Q1708" s="27" t="s">
        <v>3797</v>
      </c>
      <c r="R1708" s="27" t="s">
        <v>1099</v>
      </c>
    </row>
    <row r="1709" customFormat="false" ht="15" hidden="false" customHeight="false" outlineLevel="0" collapsed="false">
      <c r="A1709" s="25" t="n">
        <f aca="false">IF(G1709="REJECT",COUNTIF($G$2:$G$2277,"&lt;&gt;REJECT")+1+COUNTIFS($G$2:$G$2277,"REJECT",$B$2:$B$2277,"&gt;"&amp;B1709),1+COUNTIFS($G$2:$G$2277,"&lt;&gt;REJECT",$B$2:$B$2277,"&gt;"&amp;B1709))</f>
        <v>1708</v>
      </c>
      <c r="B1709" s="26" t="n">
        <f aca="false">ROUND(($U$2*MAX(0,MIN(1,($W$2-I1709)/($W$2-$V$2)))+$U$3*MAX(0,MIN(1,($W$3-J1709)/($W$3-$V$3)))+$U$4*MAX(0,MIN(1,($W$4-K1709)/($W$4-$V$4)))+$U$5*MAX(0,MIN(1,($W$5-L1709)/($W$5-$V$5)))+$U$6*MAX(0,MIN(1,($W$6-M1709)/($W$6-$V$6)))+$U$7*MAX(0,MIN(1,($W$7-N1709)/($W$7-$V$7)))+$U$8*IF(AND(O1709&gt;=$V$8,O1709&lt;=$W$8),1,0))/$U$9*100,2)</f>
        <v>54.06</v>
      </c>
      <c r="C1709" s="27" t="s">
        <v>1443</v>
      </c>
      <c r="D1709" s="25" t="s">
        <v>3459</v>
      </c>
      <c r="E1709" s="25" t="s">
        <v>3450</v>
      </c>
      <c r="F1709" s="25" t="s">
        <v>3448</v>
      </c>
      <c r="G1709" s="38" t="s">
        <v>30</v>
      </c>
      <c r="H1709" s="28" t="s">
        <v>25</v>
      </c>
      <c r="I1709" s="25" t="n">
        <v>5</v>
      </c>
      <c r="J1709" s="25" t="n">
        <v>1</v>
      </c>
      <c r="K1709" s="25" t="n">
        <v>5</v>
      </c>
      <c r="L1709" s="29" t="n">
        <v>0.79</v>
      </c>
      <c r="M1709" s="30" t="n">
        <v>24.53</v>
      </c>
      <c r="N1709" s="29" t="n">
        <v>0</v>
      </c>
      <c r="O1709" s="25" t="n">
        <v>209</v>
      </c>
      <c r="P1709" s="30" t="n">
        <v>13.97</v>
      </c>
      <c r="Q1709" s="27" t="s">
        <v>3798</v>
      </c>
      <c r="R1709" s="27" t="s">
        <v>183</v>
      </c>
    </row>
    <row r="1710" customFormat="false" ht="15" hidden="false" customHeight="false" outlineLevel="0" collapsed="false">
      <c r="A1710" s="25" t="n">
        <f aca="false">IF(G1710="REJECT",COUNTIF($G$2:$G$2277,"&lt;&gt;REJECT")+1+COUNTIFS($G$2:$G$2277,"REJECT",$B$2:$B$2277,"&gt;"&amp;B1710),1+COUNTIFS($G$2:$G$2277,"&lt;&gt;REJECT",$B$2:$B$2277,"&gt;"&amp;B1710))</f>
        <v>1709</v>
      </c>
      <c r="B1710" s="26" t="n">
        <f aca="false">ROUND(($U$2*MAX(0,MIN(1,($W$2-I1710)/($W$2-$V$2)))+$U$3*MAX(0,MIN(1,($W$3-J1710)/($W$3-$V$3)))+$U$4*MAX(0,MIN(1,($W$4-K1710)/($W$4-$V$4)))+$U$5*MAX(0,MIN(1,($W$5-L1710)/($W$5-$V$5)))+$U$6*MAX(0,MIN(1,($W$6-M1710)/($W$6-$V$6)))+$U$7*MAX(0,MIN(1,($W$7-N1710)/($W$7-$V$7)))+$U$8*IF(AND(O1710&gt;=$V$8,O1710&lt;=$W$8),1,0))/$U$9*100,2)</f>
        <v>53.82</v>
      </c>
      <c r="C1710" s="27" t="s">
        <v>1170</v>
      </c>
      <c r="D1710" s="25" t="s">
        <v>134</v>
      </c>
      <c r="E1710" s="25" t="s">
        <v>3450</v>
      </c>
      <c r="F1710" s="25" t="s">
        <v>3457</v>
      </c>
      <c r="G1710" s="38" t="s">
        <v>30</v>
      </c>
      <c r="H1710" s="28" t="s">
        <v>25</v>
      </c>
      <c r="I1710" s="25" t="n">
        <v>4</v>
      </c>
      <c r="J1710" s="25" t="n">
        <v>1</v>
      </c>
      <c r="K1710" s="25" t="n">
        <v>4</v>
      </c>
      <c r="L1710" s="29" t="n">
        <v>0.7</v>
      </c>
      <c r="M1710" s="30" t="n">
        <v>22.31</v>
      </c>
      <c r="N1710" s="29" t="n">
        <v>0.88</v>
      </c>
      <c r="O1710" s="25" t="n">
        <v>197</v>
      </c>
      <c r="P1710" s="30" t="n">
        <v>11.95</v>
      </c>
      <c r="Q1710" s="27" t="s">
        <v>3799</v>
      </c>
      <c r="R1710" s="27" t="s">
        <v>183</v>
      </c>
    </row>
    <row r="1711" customFormat="false" ht="15" hidden="false" customHeight="false" outlineLevel="0" collapsed="false">
      <c r="A1711" s="25" t="n">
        <f aca="false">IF(G1711="REJECT",COUNTIF($G$2:$G$2277,"&lt;&gt;REJECT")+1+COUNTIFS($G$2:$G$2277,"REJECT",$B$2:$B$2277,"&gt;"&amp;B1711),1+COUNTIFS($G$2:$G$2277,"&lt;&gt;REJECT",$B$2:$B$2277,"&gt;"&amp;B1711))</f>
        <v>1709</v>
      </c>
      <c r="B1711" s="26" t="n">
        <f aca="false">ROUND(($U$2*MAX(0,MIN(1,($W$2-I1711)/($W$2-$V$2)))+$U$3*MAX(0,MIN(1,($W$3-J1711)/($W$3-$V$3)))+$U$4*MAX(0,MIN(1,($W$4-K1711)/($W$4-$V$4)))+$U$5*MAX(0,MIN(1,($W$5-L1711)/($W$5-$V$5)))+$U$6*MAX(0,MIN(1,($W$6-M1711)/($W$6-$V$6)))+$U$7*MAX(0,MIN(1,($W$7-N1711)/($W$7-$V$7)))+$U$8*IF(AND(O1711&gt;=$V$8,O1711&lt;=$W$8),1,0))/$U$9*100,2)</f>
        <v>53.82</v>
      </c>
      <c r="C1711" s="27" t="s">
        <v>2822</v>
      </c>
      <c r="D1711" s="25" t="s">
        <v>134</v>
      </c>
      <c r="E1711" s="25" t="s">
        <v>3447</v>
      </c>
      <c r="F1711" s="25" t="s">
        <v>3457</v>
      </c>
      <c r="G1711" s="38" t="s">
        <v>30</v>
      </c>
      <c r="H1711" s="33" t="s">
        <v>24</v>
      </c>
      <c r="I1711" s="25" t="n">
        <v>6</v>
      </c>
      <c r="J1711" s="25" t="n">
        <v>0</v>
      </c>
      <c r="K1711" s="25" t="n">
        <v>6</v>
      </c>
      <c r="L1711" s="29" t="n">
        <v>0.71</v>
      </c>
      <c r="M1711" s="30" t="n">
        <v>16.48</v>
      </c>
      <c r="N1711" s="29" t="n">
        <v>0.32</v>
      </c>
      <c r="O1711" s="25" t="n">
        <v>188</v>
      </c>
      <c r="P1711" s="30" t="n">
        <v>1.15</v>
      </c>
      <c r="Q1711" s="27" t="s">
        <v>3800</v>
      </c>
      <c r="R1711" s="27" t="s">
        <v>30</v>
      </c>
    </row>
    <row r="1712" customFormat="false" ht="15" hidden="false" customHeight="false" outlineLevel="0" collapsed="false">
      <c r="A1712" s="25" t="n">
        <f aca="false">IF(G1712="REJECT",COUNTIF($G$2:$G$2277,"&lt;&gt;REJECT")+1+COUNTIFS($G$2:$G$2277,"REJECT",$B$2:$B$2277,"&gt;"&amp;B1712),1+COUNTIFS($G$2:$G$2277,"&lt;&gt;REJECT",$B$2:$B$2277,"&gt;"&amp;B1712))</f>
        <v>1711</v>
      </c>
      <c r="B1712" s="26" t="n">
        <f aca="false">ROUND(($U$2*MAX(0,MIN(1,($W$2-I1712)/($W$2-$V$2)))+$U$3*MAX(0,MIN(1,($W$3-J1712)/($W$3-$V$3)))+$U$4*MAX(0,MIN(1,($W$4-K1712)/($W$4-$V$4)))+$U$5*MAX(0,MIN(1,($W$5-L1712)/($W$5-$V$5)))+$U$6*MAX(0,MIN(1,($W$6-M1712)/($W$6-$V$6)))+$U$7*MAX(0,MIN(1,($W$7-N1712)/($W$7-$V$7)))+$U$8*IF(AND(O1712&gt;=$V$8,O1712&lt;=$W$8),1,0))/$U$9*100,2)</f>
        <v>53.63</v>
      </c>
      <c r="C1712" s="27" t="s">
        <v>846</v>
      </c>
      <c r="D1712" s="25" t="s">
        <v>134</v>
      </c>
      <c r="E1712" s="25" t="s">
        <v>3450</v>
      </c>
      <c r="F1712" s="25" t="s">
        <v>3457</v>
      </c>
      <c r="G1712" s="38" t="s">
        <v>30</v>
      </c>
      <c r="H1712" s="28" t="s">
        <v>25</v>
      </c>
      <c r="I1712" s="25" t="n">
        <v>4</v>
      </c>
      <c r="J1712" s="25" t="n">
        <v>1</v>
      </c>
      <c r="K1712" s="25" t="n">
        <v>4</v>
      </c>
      <c r="L1712" s="29" t="n">
        <v>0.66</v>
      </c>
      <c r="M1712" s="30" t="n">
        <v>8.22</v>
      </c>
      <c r="N1712" s="29" t="n">
        <v>0.96</v>
      </c>
      <c r="O1712" s="25" t="n">
        <v>183</v>
      </c>
      <c r="P1712" s="30" t="n">
        <v>-1.75</v>
      </c>
      <c r="Q1712" s="27" t="s">
        <v>3801</v>
      </c>
      <c r="R1712" s="27" t="s">
        <v>197</v>
      </c>
    </row>
    <row r="1713" customFormat="false" ht="15" hidden="false" customHeight="false" outlineLevel="0" collapsed="false">
      <c r="A1713" s="25" t="n">
        <f aca="false">IF(G1713="REJECT",COUNTIF($G$2:$G$2277,"&lt;&gt;REJECT")+1+COUNTIFS($G$2:$G$2277,"REJECT",$B$2:$B$2277,"&gt;"&amp;B1713),1+COUNTIFS($G$2:$G$2277,"&lt;&gt;REJECT",$B$2:$B$2277,"&gt;"&amp;B1713))</f>
        <v>1712</v>
      </c>
      <c r="B1713" s="26" t="n">
        <f aca="false">ROUND(($U$2*MAX(0,MIN(1,($W$2-I1713)/($W$2-$V$2)))+$U$3*MAX(0,MIN(1,($W$3-J1713)/($W$3-$V$3)))+$U$4*MAX(0,MIN(1,($W$4-K1713)/($W$4-$V$4)))+$U$5*MAX(0,MIN(1,($W$5-L1713)/($W$5-$V$5)))+$U$6*MAX(0,MIN(1,($W$6-M1713)/($W$6-$V$6)))+$U$7*MAX(0,MIN(1,($W$7-N1713)/($W$7-$V$7)))+$U$8*IF(AND(O1713&gt;=$V$8,O1713&lt;=$W$8),1,0))/$U$9*100,2)</f>
        <v>53.58</v>
      </c>
      <c r="C1713" s="27" t="s">
        <v>1657</v>
      </c>
      <c r="D1713" s="25" t="s">
        <v>134</v>
      </c>
      <c r="E1713" s="25" t="s">
        <v>3450</v>
      </c>
      <c r="F1713" s="25" t="s">
        <v>3448</v>
      </c>
      <c r="G1713" s="38" t="s">
        <v>30</v>
      </c>
      <c r="H1713" s="28" t="s">
        <v>25</v>
      </c>
      <c r="I1713" s="25" t="n">
        <v>5</v>
      </c>
      <c r="J1713" s="25" t="n">
        <v>1</v>
      </c>
      <c r="K1713" s="25" t="n">
        <v>5</v>
      </c>
      <c r="L1713" s="29" t="n">
        <v>0.78</v>
      </c>
      <c r="M1713" s="30" t="n">
        <v>20.65</v>
      </c>
      <c r="N1713" s="29" t="n">
        <v>0.32</v>
      </c>
      <c r="O1713" s="25" t="n">
        <v>182</v>
      </c>
      <c r="P1713" s="30" t="n">
        <v>-1.73</v>
      </c>
      <c r="Q1713" s="27" t="s">
        <v>3802</v>
      </c>
      <c r="R1713" s="27" t="s">
        <v>1046</v>
      </c>
    </row>
    <row r="1714" customFormat="false" ht="15" hidden="false" customHeight="false" outlineLevel="0" collapsed="false">
      <c r="A1714" s="25" t="n">
        <f aca="false">IF(G1714="REJECT",COUNTIF($G$2:$G$2277,"&lt;&gt;REJECT")+1+COUNTIFS($G$2:$G$2277,"REJECT",$B$2:$B$2277,"&gt;"&amp;B1714),1+COUNTIFS($G$2:$G$2277,"&lt;&gt;REJECT",$B$2:$B$2277,"&gt;"&amp;B1714))</f>
        <v>1713</v>
      </c>
      <c r="B1714" s="26" t="n">
        <f aca="false">ROUND(($U$2*MAX(0,MIN(1,($W$2-I1714)/($W$2-$V$2)))+$U$3*MAX(0,MIN(1,($W$3-J1714)/($W$3-$V$3)))+$U$4*MAX(0,MIN(1,($W$4-K1714)/($W$4-$V$4)))+$U$5*MAX(0,MIN(1,($W$5-L1714)/($W$5-$V$5)))+$U$6*MAX(0,MIN(1,($W$6-M1714)/($W$6-$V$6)))+$U$7*MAX(0,MIN(1,($W$7-N1714)/($W$7-$V$7)))+$U$8*IF(AND(O1714&gt;=$V$8,O1714&lt;=$W$8),1,0))/$U$9*100,2)</f>
        <v>53.56</v>
      </c>
      <c r="C1714" s="27" t="s">
        <v>3225</v>
      </c>
      <c r="D1714" s="25" t="s">
        <v>134</v>
      </c>
      <c r="E1714" s="25" t="s">
        <v>3450</v>
      </c>
      <c r="F1714" s="25" t="s">
        <v>3457</v>
      </c>
      <c r="G1714" s="38" t="s">
        <v>30</v>
      </c>
      <c r="H1714" s="28" t="s">
        <v>25</v>
      </c>
      <c r="I1714" s="25" t="n">
        <v>6</v>
      </c>
      <c r="J1714" s="25" t="n">
        <v>0</v>
      </c>
      <c r="K1714" s="25" t="n">
        <v>6</v>
      </c>
      <c r="L1714" s="29" t="n">
        <v>0.68</v>
      </c>
      <c r="M1714" s="30" t="n">
        <v>6.06</v>
      </c>
      <c r="N1714" s="29" t="n">
        <v>0.44</v>
      </c>
      <c r="O1714" s="25" t="n">
        <v>182</v>
      </c>
      <c r="P1714" s="30" t="n">
        <v>2.82</v>
      </c>
      <c r="Q1714" s="27" t="s">
        <v>3771</v>
      </c>
      <c r="R1714" s="27" t="s">
        <v>2559</v>
      </c>
    </row>
    <row r="1715" customFormat="false" ht="15" hidden="false" customHeight="false" outlineLevel="0" collapsed="false">
      <c r="A1715" s="25" t="n">
        <f aca="false">IF(G1715="REJECT",COUNTIF($G$2:$G$2277,"&lt;&gt;REJECT")+1+COUNTIFS($G$2:$G$2277,"REJECT",$B$2:$B$2277,"&gt;"&amp;B1715),1+COUNTIFS($G$2:$G$2277,"&lt;&gt;REJECT",$B$2:$B$2277,"&gt;"&amp;B1715))</f>
        <v>1714</v>
      </c>
      <c r="B1715" s="26" t="n">
        <f aca="false">ROUND(($U$2*MAX(0,MIN(1,($W$2-I1715)/($W$2-$V$2)))+$U$3*MAX(0,MIN(1,($W$3-J1715)/($W$3-$V$3)))+$U$4*MAX(0,MIN(1,($W$4-K1715)/($W$4-$V$4)))+$U$5*MAX(0,MIN(1,($W$5-L1715)/($W$5-$V$5)))+$U$6*MAX(0,MIN(1,($W$6-M1715)/($W$6-$V$6)))+$U$7*MAX(0,MIN(1,($W$7-N1715)/($W$7-$V$7)))+$U$8*IF(AND(O1715&gt;=$V$8,O1715&lt;=$W$8),1,0))/$U$9*100,2)</f>
        <v>53.47</v>
      </c>
      <c r="C1715" s="27" t="s">
        <v>1533</v>
      </c>
      <c r="D1715" s="25" t="s">
        <v>134</v>
      </c>
      <c r="E1715" s="25" t="s">
        <v>3450</v>
      </c>
      <c r="F1715" s="25" t="s">
        <v>3457</v>
      </c>
      <c r="G1715" s="38" t="s">
        <v>30</v>
      </c>
      <c r="H1715" s="28" t="s">
        <v>25</v>
      </c>
      <c r="I1715" s="25" t="n">
        <v>4</v>
      </c>
      <c r="J1715" s="25" t="n">
        <v>1</v>
      </c>
      <c r="K1715" s="25" t="n">
        <v>4</v>
      </c>
      <c r="L1715" s="29" t="n">
        <v>0.67</v>
      </c>
      <c r="M1715" s="30" t="n">
        <v>20.36</v>
      </c>
      <c r="N1715" s="29" t="n">
        <v>0.2</v>
      </c>
      <c r="O1715" s="25" t="n">
        <v>191</v>
      </c>
      <c r="P1715" s="30" t="n">
        <v>12.18</v>
      </c>
      <c r="Q1715" s="27" t="s">
        <v>3734</v>
      </c>
      <c r="R1715" s="27" t="s">
        <v>157</v>
      </c>
    </row>
    <row r="1716" customFormat="false" ht="15" hidden="false" customHeight="false" outlineLevel="0" collapsed="false">
      <c r="A1716" s="25" t="n">
        <f aca="false">IF(G1716="REJECT",COUNTIF($G$2:$G$2277,"&lt;&gt;REJECT")+1+COUNTIFS($G$2:$G$2277,"REJECT",$B$2:$B$2277,"&gt;"&amp;B1716),1+COUNTIFS($G$2:$G$2277,"&lt;&gt;REJECT",$B$2:$B$2277,"&gt;"&amp;B1716))</f>
        <v>1715</v>
      </c>
      <c r="B1716" s="26" t="n">
        <f aca="false">ROUND(($U$2*MAX(0,MIN(1,($W$2-I1716)/($W$2-$V$2)))+$U$3*MAX(0,MIN(1,($W$3-J1716)/($W$3-$V$3)))+$U$4*MAX(0,MIN(1,($W$4-K1716)/($W$4-$V$4)))+$U$5*MAX(0,MIN(1,($W$5-L1716)/($W$5-$V$5)))+$U$6*MAX(0,MIN(1,($W$6-M1716)/($W$6-$V$6)))+$U$7*MAX(0,MIN(1,($W$7-N1716)/($W$7-$V$7)))+$U$8*IF(AND(O1716&gt;=$V$8,O1716&lt;=$W$8),1,0))/$U$9*100,2)</f>
        <v>53.45</v>
      </c>
      <c r="C1716" s="27" t="s">
        <v>2885</v>
      </c>
      <c r="D1716" s="25" t="s">
        <v>134</v>
      </c>
      <c r="E1716" s="25" t="s">
        <v>3450</v>
      </c>
      <c r="F1716" s="25" t="s">
        <v>3448</v>
      </c>
      <c r="G1716" s="38" t="s">
        <v>30</v>
      </c>
      <c r="H1716" s="28" t="s">
        <v>25</v>
      </c>
      <c r="I1716" s="25" t="n">
        <v>5</v>
      </c>
      <c r="J1716" s="25" t="n">
        <v>1</v>
      </c>
      <c r="K1716" s="25" t="n">
        <v>5</v>
      </c>
      <c r="L1716" s="29" t="n">
        <v>0.78</v>
      </c>
      <c r="M1716" s="30" t="n">
        <v>20.21</v>
      </c>
      <c r="N1716" s="29" t="n">
        <v>0.44</v>
      </c>
      <c r="O1716" s="25" t="n">
        <v>184</v>
      </c>
      <c r="P1716" s="30" t="n">
        <v>4.56</v>
      </c>
      <c r="Q1716" s="27" t="s">
        <v>3803</v>
      </c>
      <c r="R1716" s="27" t="s">
        <v>157</v>
      </c>
    </row>
    <row r="1717" customFormat="false" ht="15" hidden="false" customHeight="false" outlineLevel="0" collapsed="false">
      <c r="A1717" s="25" t="n">
        <f aca="false">IF(G1717="REJECT",COUNTIF($G$2:$G$2277,"&lt;&gt;REJECT")+1+COUNTIFS($G$2:$G$2277,"REJECT",$B$2:$B$2277,"&gt;"&amp;B1717),1+COUNTIFS($G$2:$G$2277,"&lt;&gt;REJECT",$B$2:$B$2277,"&gt;"&amp;B1717))</f>
        <v>1716</v>
      </c>
      <c r="B1717" s="26" t="n">
        <f aca="false">ROUND(($U$2*MAX(0,MIN(1,($W$2-I1717)/($W$2-$V$2)))+$U$3*MAX(0,MIN(1,($W$3-J1717)/($W$3-$V$3)))+$U$4*MAX(0,MIN(1,($W$4-K1717)/($W$4-$V$4)))+$U$5*MAX(0,MIN(1,($W$5-L1717)/($W$5-$V$5)))+$U$6*MAX(0,MIN(1,($W$6-M1717)/($W$6-$V$6)))+$U$7*MAX(0,MIN(1,($W$7-N1717)/($W$7-$V$7)))+$U$8*IF(AND(O1717&gt;=$V$8,O1717&lt;=$W$8),1,0))/$U$9*100,2)</f>
        <v>53.4</v>
      </c>
      <c r="C1717" s="27" t="s">
        <v>2666</v>
      </c>
      <c r="D1717" s="25" t="s">
        <v>134</v>
      </c>
      <c r="E1717" s="25" t="s">
        <v>3447</v>
      </c>
      <c r="F1717" s="25" t="s">
        <v>3457</v>
      </c>
      <c r="G1717" s="38" t="s">
        <v>30</v>
      </c>
      <c r="H1717" s="28" t="s">
        <v>25</v>
      </c>
      <c r="I1717" s="25" t="n">
        <v>6</v>
      </c>
      <c r="J1717" s="25" t="n">
        <v>0</v>
      </c>
      <c r="K1717" s="25" t="n">
        <v>6</v>
      </c>
      <c r="L1717" s="29" t="n">
        <v>0.71</v>
      </c>
      <c r="M1717" s="30" t="n">
        <v>20.98</v>
      </c>
      <c r="N1717" s="29" t="n">
        <v>0.12</v>
      </c>
      <c r="O1717" s="25" t="n">
        <v>184</v>
      </c>
      <c r="P1717" s="30" t="n">
        <v>0.38</v>
      </c>
      <c r="Q1717" s="27" t="s">
        <v>3776</v>
      </c>
      <c r="R1717" s="27" t="s">
        <v>992</v>
      </c>
    </row>
    <row r="1718" customFormat="false" ht="15" hidden="false" customHeight="false" outlineLevel="0" collapsed="false">
      <c r="A1718" s="25" t="n">
        <f aca="false">IF(G1718="REJECT",COUNTIF($G$2:$G$2277,"&lt;&gt;REJECT")+1+COUNTIFS($G$2:$G$2277,"REJECT",$B$2:$B$2277,"&gt;"&amp;B1718),1+COUNTIFS($G$2:$G$2277,"&lt;&gt;REJECT",$B$2:$B$2277,"&gt;"&amp;B1718))</f>
        <v>1717</v>
      </c>
      <c r="B1718" s="26" t="n">
        <f aca="false">ROUND(($U$2*MAX(0,MIN(1,($W$2-I1718)/($W$2-$V$2)))+$U$3*MAX(0,MIN(1,($W$3-J1718)/($W$3-$V$3)))+$U$4*MAX(0,MIN(1,($W$4-K1718)/($W$4-$V$4)))+$U$5*MAX(0,MIN(1,($W$5-L1718)/($W$5-$V$5)))+$U$6*MAX(0,MIN(1,($W$6-M1718)/($W$6-$V$6)))+$U$7*MAX(0,MIN(1,($W$7-N1718)/($W$7-$V$7)))+$U$8*IF(AND(O1718&gt;=$V$8,O1718&lt;=$W$8),1,0))/$U$9*100,2)</f>
        <v>53.27</v>
      </c>
      <c r="C1718" s="27" t="s">
        <v>3242</v>
      </c>
      <c r="D1718" s="25" t="s">
        <v>134</v>
      </c>
      <c r="E1718" s="25" t="s">
        <v>3447</v>
      </c>
      <c r="F1718" s="25" t="s">
        <v>3457</v>
      </c>
      <c r="G1718" s="38" t="s">
        <v>30</v>
      </c>
      <c r="H1718" s="28" t="s">
        <v>25</v>
      </c>
      <c r="I1718" s="25" t="n">
        <v>4</v>
      </c>
      <c r="J1718" s="25" t="n">
        <v>1</v>
      </c>
      <c r="K1718" s="25" t="n">
        <v>4</v>
      </c>
      <c r="L1718" s="29" t="n">
        <v>0.66</v>
      </c>
      <c r="M1718" s="30" t="n">
        <v>18.39</v>
      </c>
      <c r="N1718" s="29" t="n">
        <v>0.16</v>
      </c>
      <c r="O1718" s="25" t="n">
        <v>201</v>
      </c>
      <c r="P1718" s="30" t="n">
        <v>5.15</v>
      </c>
      <c r="Q1718" s="27" t="s">
        <v>3737</v>
      </c>
      <c r="R1718" s="27" t="s">
        <v>283</v>
      </c>
    </row>
    <row r="1719" customFormat="false" ht="15" hidden="false" customHeight="false" outlineLevel="0" collapsed="false">
      <c r="A1719" s="25" t="n">
        <f aca="false">IF(G1719="REJECT",COUNTIF($G$2:$G$2277,"&lt;&gt;REJECT")+1+COUNTIFS($G$2:$G$2277,"REJECT",$B$2:$B$2277,"&gt;"&amp;B1719),1+COUNTIFS($G$2:$G$2277,"&lt;&gt;REJECT",$B$2:$B$2277,"&gt;"&amp;B1719))</f>
        <v>1718</v>
      </c>
      <c r="B1719" s="26" t="n">
        <f aca="false">ROUND(($U$2*MAX(0,MIN(1,($W$2-I1719)/($W$2-$V$2)))+$U$3*MAX(0,MIN(1,($W$3-J1719)/($W$3-$V$3)))+$U$4*MAX(0,MIN(1,($W$4-K1719)/($W$4-$V$4)))+$U$5*MAX(0,MIN(1,($W$5-L1719)/($W$5-$V$5)))+$U$6*MAX(0,MIN(1,($W$6-M1719)/($W$6-$V$6)))+$U$7*MAX(0,MIN(1,($W$7-N1719)/($W$7-$V$7)))+$U$8*IF(AND(O1719&gt;=$V$8,O1719&lt;=$W$8),1,0))/$U$9*100,2)</f>
        <v>53.02</v>
      </c>
      <c r="C1719" s="27" t="s">
        <v>2534</v>
      </c>
      <c r="D1719" s="25" t="s">
        <v>3459</v>
      </c>
      <c r="E1719" s="25" t="s">
        <v>3447</v>
      </c>
      <c r="F1719" s="25" t="s">
        <v>3448</v>
      </c>
      <c r="G1719" s="38" t="s">
        <v>30</v>
      </c>
      <c r="H1719" s="28" t="s">
        <v>25</v>
      </c>
      <c r="I1719" s="25" t="n">
        <v>5</v>
      </c>
      <c r="J1719" s="25" t="n">
        <v>1</v>
      </c>
      <c r="K1719" s="25" t="n">
        <v>5</v>
      </c>
      <c r="L1719" s="29" t="n">
        <v>0.81</v>
      </c>
      <c r="M1719" s="30" t="n">
        <v>30.79</v>
      </c>
      <c r="N1719" s="29" t="n">
        <v>0.44</v>
      </c>
      <c r="O1719" s="25" t="n">
        <v>183</v>
      </c>
      <c r="P1719" s="30" t="n">
        <v>1.67</v>
      </c>
      <c r="Q1719" s="27" t="s">
        <v>3804</v>
      </c>
      <c r="R1719" s="27" t="s">
        <v>1140</v>
      </c>
    </row>
    <row r="1720" customFormat="false" ht="15" hidden="false" customHeight="false" outlineLevel="0" collapsed="false">
      <c r="A1720" s="25" t="n">
        <f aca="false">IF(G1720="REJECT",COUNTIF($G$2:$G$2277,"&lt;&gt;REJECT")+1+COUNTIFS($G$2:$G$2277,"REJECT",$B$2:$B$2277,"&gt;"&amp;B1720),1+COUNTIFS($G$2:$G$2277,"&lt;&gt;REJECT",$B$2:$B$2277,"&gt;"&amp;B1720))</f>
        <v>1719</v>
      </c>
      <c r="B1720" s="26" t="n">
        <f aca="false">ROUND(($U$2*MAX(0,MIN(1,($W$2-I1720)/($W$2-$V$2)))+$U$3*MAX(0,MIN(1,($W$3-J1720)/($W$3-$V$3)))+$U$4*MAX(0,MIN(1,($W$4-K1720)/($W$4-$V$4)))+$U$5*MAX(0,MIN(1,($W$5-L1720)/($W$5-$V$5)))+$U$6*MAX(0,MIN(1,($W$6-M1720)/($W$6-$V$6)))+$U$7*MAX(0,MIN(1,($W$7-N1720)/($W$7-$V$7)))+$U$8*IF(AND(O1720&gt;=$V$8,O1720&lt;=$W$8),1,0))/$U$9*100,2)</f>
        <v>52.82</v>
      </c>
      <c r="C1720" s="27" t="s">
        <v>2367</v>
      </c>
      <c r="D1720" s="25" t="s">
        <v>134</v>
      </c>
      <c r="E1720" s="25" t="s">
        <v>3450</v>
      </c>
      <c r="F1720" s="25" t="s">
        <v>3448</v>
      </c>
      <c r="G1720" s="38" t="s">
        <v>30</v>
      </c>
      <c r="H1720" s="28" t="s">
        <v>25</v>
      </c>
      <c r="I1720" s="25" t="n">
        <v>4</v>
      </c>
      <c r="J1720" s="25" t="n">
        <v>1</v>
      </c>
      <c r="K1720" s="25" t="n">
        <v>4</v>
      </c>
      <c r="L1720" s="29" t="n">
        <v>0.65</v>
      </c>
      <c r="M1720" s="30" t="n">
        <v>12.29</v>
      </c>
      <c r="N1720" s="29" t="n">
        <v>0.68</v>
      </c>
      <c r="O1720" s="25" t="n">
        <v>183</v>
      </c>
      <c r="P1720" s="30" t="n">
        <v>6.84</v>
      </c>
      <c r="Q1720" s="27" t="s">
        <v>3790</v>
      </c>
      <c r="R1720" s="27" t="s">
        <v>283</v>
      </c>
    </row>
    <row r="1721" customFormat="false" ht="15" hidden="false" customHeight="false" outlineLevel="0" collapsed="false">
      <c r="A1721" s="25" t="n">
        <f aca="false">IF(G1721="REJECT",COUNTIF($G$2:$G$2277,"&lt;&gt;REJECT")+1+COUNTIFS($G$2:$G$2277,"REJECT",$B$2:$B$2277,"&gt;"&amp;B1721),1+COUNTIFS($G$2:$G$2277,"&lt;&gt;REJECT",$B$2:$B$2277,"&gt;"&amp;B1721))</f>
        <v>1720</v>
      </c>
      <c r="B1721" s="26" t="n">
        <f aca="false">ROUND(($U$2*MAX(0,MIN(1,($W$2-I1721)/($W$2-$V$2)))+$U$3*MAX(0,MIN(1,($W$3-J1721)/($W$3-$V$3)))+$U$4*MAX(0,MIN(1,($W$4-K1721)/($W$4-$V$4)))+$U$5*MAX(0,MIN(1,($W$5-L1721)/($W$5-$V$5)))+$U$6*MAX(0,MIN(1,($W$6-M1721)/($W$6-$V$6)))+$U$7*MAX(0,MIN(1,($W$7-N1721)/($W$7-$V$7)))+$U$8*IF(AND(O1721&gt;=$V$8,O1721&lt;=$W$8),1,0))/$U$9*100,2)</f>
        <v>52.59</v>
      </c>
      <c r="C1721" s="27" t="s">
        <v>2296</v>
      </c>
      <c r="D1721" s="25" t="s">
        <v>3459</v>
      </c>
      <c r="E1721" s="25" t="s">
        <v>3447</v>
      </c>
      <c r="F1721" s="25" t="s">
        <v>3457</v>
      </c>
      <c r="G1721" s="38" t="s">
        <v>30</v>
      </c>
      <c r="H1721" s="28" t="s">
        <v>25</v>
      </c>
      <c r="I1721" s="25" t="n">
        <v>4</v>
      </c>
      <c r="J1721" s="25" t="n">
        <v>1</v>
      </c>
      <c r="K1721" s="25" t="n">
        <v>4</v>
      </c>
      <c r="L1721" s="29" t="n">
        <v>0.68</v>
      </c>
      <c r="M1721" s="30" t="n">
        <v>23.68</v>
      </c>
      <c r="N1721" s="29" t="n">
        <v>0.76</v>
      </c>
      <c r="O1721" s="25" t="n">
        <v>183</v>
      </c>
      <c r="P1721" s="30" t="n">
        <v>8.26</v>
      </c>
      <c r="Q1721" s="27" t="s">
        <v>3773</v>
      </c>
      <c r="R1721" s="27" t="s">
        <v>183</v>
      </c>
    </row>
    <row r="1722" customFormat="false" ht="15" hidden="false" customHeight="false" outlineLevel="0" collapsed="false">
      <c r="A1722" s="25" t="n">
        <f aca="false">IF(G1722="REJECT",COUNTIF($G$2:$G$2277,"&lt;&gt;REJECT")+1+COUNTIFS($G$2:$G$2277,"REJECT",$B$2:$B$2277,"&gt;"&amp;B1722),1+COUNTIFS($G$2:$G$2277,"&lt;&gt;REJECT",$B$2:$B$2277,"&gt;"&amp;B1722))</f>
        <v>1721</v>
      </c>
      <c r="B1722" s="26" t="n">
        <f aca="false">ROUND(($U$2*MAX(0,MIN(1,($W$2-I1722)/($W$2-$V$2)))+$U$3*MAX(0,MIN(1,($W$3-J1722)/($W$3-$V$3)))+$U$4*MAX(0,MIN(1,($W$4-K1722)/($W$4-$V$4)))+$U$5*MAX(0,MIN(1,($W$5-L1722)/($W$5-$V$5)))+$U$6*MAX(0,MIN(1,($W$6-M1722)/($W$6-$V$6)))+$U$7*MAX(0,MIN(1,($W$7-N1722)/($W$7-$V$7)))+$U$8*IF(AND(O1722&gt;=$V$8,O1722&lt;=$W$8),1,0))/$U$9*100,2)</f>
        <v>52.55</v>
      </c>
      <c r="C1722" s="27" t="s">
        <v>2885</v>
      </c>
      <c r="D1722" s="25" t="s">
        <v>134</v>
      </c>
      <c r="E1722" s="25" t="s">
        <v>3447</v>
      </c>
      <c r="F1722" s="25" t="s">
        <v>3448</v>
      </c>
      <c r="G1722" s="38" t="s">
        <v>30</v>
      </c>
      <c r="H1722" s="28" t="s">
        <v>25</v>
      </c>
      <c r="I1722" s="25" t="n">
        <v>5</v>
      </c>
      <c r="J1722" s="25" t="n">
        <v>1</v>
      </c>
      <c r="K1722" s="25" t="n">
        <v>5</v>
      </c>
      <c r="L1722" s="29" t="n">
        <v>0.77</v>
      </c>
      <c r="M1722" s="30" t="n">
        <v>21.23</v>
      </c>
      <c r="N1722" s="29" t="n">
        <v>0.52</v>
      </c>
      <c r="O1722" s="25" t="n">
        <v>182</v>
      </c>
      <c r="P1722" s="30" t="n">
        <v>-0.71</v>
      </c>
      <c r="Q1722" s="27" t="s">
        <v>3803</v>
      </c>
      <c r="R1722" s="27" t="s">
        <v>157</v>
      </c>
    </row>
    <row r="1723" customFormat="false" ht="15" hidden="false" customHeight="false" outlineLevel="0" collapsed="false">
      <c r="A1723" s="25" t="n">
        <f aca="false">IF(G1723="REJECT",COUNTIF($G$2:$G$2277,"&lt;&gt;REJECT")+1+COUNTIFS($G$2:$G$2277,"REJECT",$B$2:$B$2277,"&gt;"&amp;B1723),1+COUNTIFS($G$2:$G$2277,"&lt;&gt;REJECT",$B$2:$B$2277,"&gt;"&amp;B1723))</f>
        <v>1722</v>
      </c>
      <c r="B1723" s="26" t="n">
        <f aca="false">ROUND(($U$2*MAX(0,MIN(1,($W$2-I1723)/($W$2-$V$2)))+$U$3*MAX(0,MIN(1,($W$3-J1723)/($W$3-$V$3)))+$U$4*MAX(0,MIN(1,($W$4-K1723)/($W$4-$V$4)))+$U$5*MAX(0,MIN(1,($W$5-L1723)/($W$5-$V$5)))+$U$6*MAX(0,MIN(1,($W$6-M1723)/($W$6-$V$6)))+$U$7*MAX(0,MIN(1,($W$7-N1723)/($W$7-$V$7)))+$U$8*IF(AND(O1723&gt;=$V$8,O1723&lt;=$W$8),1,0))/$U$9*100,2)</f>
        <v>52.28</v>
      </c>
      <c r="C1723" s="27" t="s">
        <v>1533</v>
      </c>
      <c r="D1723" s="25" t="s">
        <v>134</v>
      </c>
      <c r="E1723" s="25" t="s">
        <v>3447</v>
      </c>
      <c r="F1723" s="25" t="s">
        <v>3457</v>
      </c>
      <c r="G1723" s="38" t="s">
        <v>30</v>
      </c>
      <c r="H1723" s="28" t="s">
        <v>25</v>
      </c>
      <c r="I1723" s="25" t="n">
        <v>6</v>
      </c>
      <c r="J1723" s="25" t="n">
        <v>0</v>
      </c>
      <c r="K1723" s="25" t="n">
        <v>6</v>
      </c>
      <c r="L1723" s="29" t="n">
        <v>0.68</v>
      </c>
      <c r="M1723" s="30" t="n">
        <v>12.14</v>
      </c>
      <c r="N1723" s="29" t="n">
        <v>0.6</v>
      </c>
      <c r="O1723" s="25" t="n">
        <v>188</v>
      </c>
      <c r="P1723" s="30" t="n">
        <v>-0.02</v>
      </c>
      <c r="Q1723" s="27" t="s">
        <v>3805</v>
      </c>
      <c r="R1723" s="27" t="s">
        <v>2133</v>
      </c>
    </row>
    <row r="1724" customFormat="false" ht="15" hidden="false" customHeight="false" outlineLevel="0" collapsed="false">
      <c r="A1724" s="25" t="n">
        <f aca="false">IF(G1724="REJECT",COUNTIF($G$2:$G$2277,"&lt;&gt;REJECT")+1+COUNTIFS($G$2:$G$2277,"REJECT",$B$2:$B$2277,"&gt;"&amp;B1724),1+COUNTIFS($G$2:$G$2277,"&lt;&gt;REJECT",$B$2:$B$2277,"&gt;"&amp;B1724))</f>
        <v>1723</v>
      </c>
      <c r="B1724" s="26" t="n">
        <f aca="false">ROUND(($U$2*MAX(0,MIN(1,($W$2-I1724)/($W$2-$V$2)))+$U$3*MAX(0,MIN(1,($W$3-J1724)/($W$3-$V$3)))+$U$4*MAX(0,MIN(1,($W$4-K1724)/($W$4-$V$4)))+$U$5*MAX(0,MIN(1,($W$5-L1724)/($W$5-$V$5)))+$U$6*MAX(0,MIN(1,($W$6-M1724)/($W$6-$V$6)))+$U$7*MAX(0,MIN(1,($W$7-N1724)/($W$7-$V$7)))+$U$8*IF(AND(O1724&gt;=$V$8,O1724&lt;=$W$8),1,0))/$U$9*100,2)</f>
        <v>52.24</v>
      </c>
      <c r="C1724" s="27" t="s">
        <v>964</v>
      </c>
      <c r="D1724" s="25" t="s">
        <v>134</v>
      </c>
      <c r="E1724" s="25" t="s">
        <v>3450</v>
      </c>
      <c r="F1724" s="25" t="s">
        <v>3448</v>
      </c>
      <c r="G1724" s="38" t="s">
        <v>30</v>
      </c>
      <c r="H1724" s="28" t="s">
        <v>25</v>
      </c>
      <c r="I1724" s="25" t="n">
        <v>4</v>
      </c>
      <c r="J1724" s="25" t="n">
        <v>1</v>
      </c>
      <c r="K1724" s="25" t="n">
        <v>4</v>
      </c>
      <c r="L1724" s="29" t="n">
        <v>0.63</v>
      </c>
      <c r="M1724" s="30" t="n">
        <v>10.59</v>
      </c>
      <c r="N1724" s="29" t="n">
        <v>0.48</v>
      </c>
      <c r="O1724" s="25" t="n">
        <v>188</v>
      </c>
      <c r="P1724" s="30" t="n">
        <v>1.26</v>
      </c>
      <c r="Q1724" s="27" t="s">
        <v>3773</v>
      </c>
      <c r="R1724" s="27" t="s">
        <v>1230</v>
      </c>
    </row>
    <row r="1725" customFormat="false" ht="15" hidden="false" customHeight="false" outlineLevel="0" collapsed="false">
      <c r="A1725" s="25" t="n">
        <f aca="false">IF(G1725="REJECT",COUNTIF($G$2:$G$2277,"&lt;&gt;REJECT")+1+COUNTIFS($G$2:$G$2277,"REJECT",$B$2:$B$2277,"&gt;"&amp;B1725),1+COUNTIFS($G$2:$G$2277,"&lt;&gt;REJECT",$B$2:$B$2277,"&gt;"&amp;B1725))</f>
        <v>1724</v>
      </c>
      <c r="B1725" s="26" t="n">
        <f aca="false">ROUND(($U$2*MAX(0,MIN(1,($W$2-I1725)/($W$2-$V$2)))+$U$3*MAX(0,MIN(1,($W$3-J1725)/($W$3-$V$3)))+$U$4*MAX(0,MIN(1,($W$4-K1725)/($W$4-$V$4)))+$U$5*MAX(0,MIN(1,($W$5-L1725)/($W$5-$V$5)))+$U$6*MAX(0,MIN(1,($W$6-M1725)/($W$6-$V$6)))+$U$7*MAX(0,MIN(1,($W$7-N1725)/($W$7-$V$7)))+$U$8*IF(AND(O1725&gt;=$V$8,O1725&lt;=$W$8),1,0))/$U$9*100,2)</f>
        <v>52.22</v>
      </c>
      <c r="C1725" s="27" t="s">
        <v>689</v>
      </c>
      <c r="D1725" s="25" t="s">
        <v>134</v>
      </c>
      <c r="E1725" s="25" t="s">
        <v>3447</v>
      </c>
      <c r="F1725" s="25" t="s">
        <v>3457</v>
      </c>
      <c r="G1725" s="38" t="s">
        <v>30</v>
      </c>
      <c r="H1725" s="28" t="s">
        <v>25</v>
      </c>
      <c r="I1725" s="25" t="n">
        <v>5</v>
      </c>
      <c r="J1725" s="25" t="n">
        <v>1</v>
      </c>
      <c r="K1725" s="25" t="n">
        <v>5</v>
      </c>
      <c r="L1725" s="29" t="n">
        <v>0.74</v>
      </c>
      <c r="M1725" s="30" t="n">
        <v>13.2</v>
      </c>
      <c r="N1725" s="29" t="n">
        <v>0.44</v>
      </c>
      <c r="O1725" s="25" t="n">
        <v>218</v>
      </c>
      <c r="P1725" s="30" t="n">
        <v>7.55</v>
      </c>
      <c r="Q1725" s="27" t="s">
        <v>3806</v>
      </c>
      <c r="R1725" s="27" t="s">
        <v>283</v>
      </c>
    </row>
    <row r="1726" customFormat="false" ht="15" hidden="false" customHeight="false" outlineLevel="0" collapsed="false">
      <c r="A1726" s="25" t="n">
        <f aca="false">IF(G1726="REJECT",COUNTIF($G$2:$G$2277,"&lt;&gt;REJECT")+1+COUNTIFS($G$2:$G$2277,"REJECT",$B$2:$B$2277,"&gt;"&amp;B1726),1+COUNTIFS($G$2:$G$2277,"&lt;&gt;REJECT",$B$2:$B$2277,"&gt;"&amp;B1726))</f>
        <v>1725</v>
      </c>
      <c r="B1726" s="26" t="n">
        <f aca="false">ROUND(($U$2*MAX(0,MIN(1,($W$2-I1726)/($W$2-$V$2)))+$U$3*MAX(0,MIN(1,($W$3-J1726)/($W$3-$V$3)))+$U$4*MAX(0,MIN(1,($W$4-K1726)/($W$4-$V$4)))+$U$5*MAX(0,MIN(1,($W$5-L1726)/($W$5-$V$5)))+$U$6*MAX(0,MIN(1,($W$6-M1726)/($W$6-$V$6)))+$U$7*MAX(0,MIN(1,($W$7-N1726)/($W$7-$V$7)))+$U$8*IF(AND(O1726&gt;=$V$8,O1726&lt;=$W$8),1,0))/$U$9*100,2)</f>
        <v>52.15</v>
      </c>
      <c r="C1726" s="27" t="s">
        <v>1737</v>
      </c>
      <c r="D1726" s="25" t="s">
        <v>134</v>
      </c>
      <c r="E1726" s="25" t="s">
        <v>3447</v>
      </c>
      <c r="F1726" s="25" t="s">
        <v>3457</v>
      </c>
      <c r="G1726" s="38" t="s">
        <v>30</v>
      </c>
      <c r="H1726" s="28" t="s">
        <v>25</v>
      </c>
      <c r="I1726" s="25" t="n">
        <v>6</v>
      </c>
      <c r="J1726" s="25" t="n">
        <v>0</v>
      </c>
      <c r="K1726" s="25" t="n">
        <v>6</v>
      </c>
      <c r="L1726" s="29" t="n">
        <v>0.71</v>
      </c>
      <c r="M1726" s="30" t="n">
        <v>23.28</v>
      </c>
      <c r="N1726" s="29" t="n">
        <v>0.64</v>
      </c>
      <c r="O1726" s="25" t="n">
        <v>183</v>
      </c>
      <c r="P1726" s="30" t="n">
        <v>2.45</v>
      </c>
      <c r="Q1726" s="27" t="s">
        <v>3807</v>
      </c>
      <c r="R1726" s="27" t="s">
        <v>992</v>
      </c>
    </row>
    <row r="1727" customFormat="false" ht="15" hidden="false" customHeight="false" outlineLevel="0" collapsed="false">
      <c r="A1727" s="25" t="n">
        <f aca="false">IF(G1727="REJECT",COUNTIF($G$2:$G$2277,"&lt;&gt;REJECT")+1+COUNTIFS($G$2:$G$2277,"REJECT",$B$2:$B$2277,"&gt;"&amp;B1727),1+COUNTIFS($G$2:$G$2277,"&lt;&gt;REJECT",$B$2:$B$2277,"&gt;"&amp;B1727))</f>
        <v>1726</v>
      </c>
      <c r="B1727" s="26" t="n">
        <f aca="false">ROUND(($U$2*MAX(0,MIN(1,($W$2-I1727)/($W$2-$V$2)))+$U$3*MAX(0,MIN(1,($W$3-J1727)/($W$3-$V$3)))+$U$4*MAX(0,MIN(1,($W$4-K1727)/($W$4-$V$4)))+$U$5*MAX(0,MIN(1,($W$5-L1727)/($W$5-$V$5)))+$U$6*MAX(0,MIN(1,($W$6-M1727)/($W$6-$V$6)))+$U$7*MAX(0,MIN(1,($W$7-N1727)/($W$7-$V$7)))+$U$8*IF(AND(O1727&gt;=$V$8,O1727&lt;=$W$8),1,0))/$U$9*100,2)</f>
        <v>52.13</v>
      </c>
      <c r="C1727" s="27" t="s">
        <v>3211</v>
      </c>
      <c r="D1727" s="25" t="s">
        <v>134</v>
      </c>
      <c r="E1727" s="25" t="s">
        <v>3450</v>
      </c>
      <c r="F1727" s="25" t="s">
        <v>3457</v>
      </c>
      <c r="G1727" s="38" t="s">
        <v>30</v>
      </c>
      <c r="H1727" s="28" t="s">
        <v>25</v>
      </c>
      <c r="I1727" s="25" t="n">
        <v>5</v>
      </c>
      <c r="J1727" s="25" t="n">
        <v>1</v>
      </c>
      <c r="K1727" s="25" t="n">
        <v>5</v>
      </c>
      <c r="L1727" s="29" t="n">
        <v>0.74</v>
      </c>
      <c r="M1727" s="30" t="n">
        <v>15.35</v>
      </c>
      <c r="N1727" s="29" t="n">
        <v>0.28</v>
      </c>
      <c r="O1727" s="25" t="n">
        <v>183</v>
      </c>
      <c r="P1727" s="30" t="n">
        <v>4.39</v>
      </c>
      <c r="Q1727" s="27" t="s">
        <v>3808</v>
      </c>
      <c r="R1727" s="27" t="s">
        <v>1099</v>
      </c>
    </row>
    <row r="1728" customFormat="false" ht="15" hidden="false" customHeight="false" outlineLevel="0" collapsed="false">
      <c r="A1728" s="25" t="n">
        <f aca="false">IF(G1728="REJECT",COUNTIF($G$2:$G$2277,"&lt;&gt;REJECT")+1+COUNTIFS($G$2:$G$2277,"REJECT",$B$2:$B$2277,"&gt;"&amp;B1728),1+COUNTIFS($G$2:$G$2277,"&lt;&gt;REJECT",$B$2:$B$2277,"&gt;"&amp;B1728))</f>
        <v>1727</v>
      </c>
      <c r="B1728" s="26" t="n">
        <f aca="false">ROUND(($U$2*MAX(0,MIN(1,($W$2-I1728)/($W$2-$V$2)))+$U$3*MAX(0,MIN(1,($W$3-J1728)/($W$3-$V$3)))+$U$4*MAX(0,MIN(1,($W$4-K1728)/($W$4-$V$4)))+$U$5*MAX(0,MIN(1,($W$5-L1728)/($W$5-$V$5)))+$U$6*MAX(0,MIN(1,($W$6-M1728)/($W$6-$V$6)))+$U$7*MAX(0,MIN(1,($W$7-N1728)/($W$7-$V$7)))+$U$8*IF(AND(O1728&gt;=$V$8,O1728&lt;=$W$8),1,0))/$U$9*100,2)</f>
        <v>51.97</v>
      </c>
      <c r="C1728" s="27" t="s">
        <v>395</v>
      </c>
      <c r="D1728" s="25" t="s">
        <v>3459</v>
      </c>
      <c r="E1728" s="25" t="s">
        <v>3450</v>
      </c>
      <c r="F1728" s="25" t="s">
        <v>3448</v>
      </c>
      <c r="G1728" s="38" t="s">
        <v>30</v>
      </c>
      <c r="H1728" s="28" t="s">
        <v>25</v>
      </c>
      <c r="I1728" s="25" t="n">
        <v>5</v>
      </c>
      <c r="J1728" s="25" t="n">
        <v>1</v>
      </c>
      <c r="K1728" s="25" t="n">
        <v>5</v>
      </c>
      <c r="L1728" s="29" t="n">
        <v>0.75</v>
      </c>
      <c r="M1728" s="30" t="n">
        <v>17.89</v>
      </c>
      <c r="N1728" s="29" t="n">
        <v>0.48</v>
      </c>
      <c r="O1728" s="25" t="n">
        <v>182</v>
      </c>
      <c r="P1728" s="30" t="n">
        <v>4.06</v>
      </c>
      <c r="Q1728" s="27" t="s">
        <v>3809</v>
      </c>
      <c r="R1728" s="27" t="s">
        <v>283</v>
      </c>
    </row>
    <row r="1729" customFormat="false" ht="15" hidden="false" customHeight="false" outlineLevel="0" collapsed="false">
      <c r="A1729" s="25" t="n">
        <f aca="false">IF(G1729="REJECT",COUNTIF($G$2:$G$2277,"&lt;&gt;REJECT")+1+COUNTIFS($G$2:$G$2277,"REJECT",$B$2:$B$2277,"&gt;"&amp;B1729),1+COUNTIFS($G$2:$G$2277,"&lt;&gt;REJECT",$B$2:$B$2277,"&gt;"&amp;B1729))</f>
        <v>1728</v>
      </c>
      <c r="B1729" s="26" t="n">
        <f aca="false">ROUND(($U$2*MAX(0,MIN(1,($W$2-I1729)/($W$2-$V$2)))+$U$3*MAX(0,MIN(1,($W$3-J1729)/($W$3-$V$3)))+$U$4*MAX(0,MIN(1,($W$4-K1729)/($W$4-$V$4)))+$U$5*MAX(0,MIN(1,($W$5-L1729)/($W$5-$V$5)))+$U$6*MAX(0,MIN(1,($W$6-M1729)/($W$6-$V$6)))+$U$7*MAX(0,MIN(1,($W$7-N1729)/($W$7-$V$7)))+$U$8*IF(AND(O1729&gt;=$V$8,O1729&lt;=$W$8),1,0))/$U$9*100,2)</f>
        <v>51.94</v>
      </c>
      <c r="C1729" s="27" t="s">
        <v>1481</v>
      </c>
      <c r="D1729" s="25" t="s">
        <v>3459</v>
      </c>
      <c r="E1729" s="25" t="s">
        <v>3447</v>
      </c>
      <c r="F1729" s="25" t="s">
        <v>3457</v>
      </c>
      <c r="G1729" s="38" t="s">
        <v>30</v>
      </c>
      <c r="H1729" s="33" t="s">
        <v>24</v>
      </c>
      <c r="I1729" s="25" t="n">
        <v>6</v>
      </c>
      <c r="J1729" s="25" t="n">
        <v>0</v>
      </c>
      <c r="K1729" s="25" t="n">
        <v>6</v>
      </c>
      <c r="L1729" s="29" t="n">
        <v>0.66</v>
      </c>
      <c r="M1729" s="30" t="n">
        <v>5.76</v>
      </c>
      <c r="N1729" s="29" t="n">
        <v>0.72</v>
      </c>
      <c r="O1729" s="25" t="n">
        <v>183</v>
      </c>
      <c r="P1729" s="30" t="n">
        <v>6.3</v>
      </c>
      <c r="Q1729" s="27" t="s">
        <v>3783</v>
      </c>
      <c r="R1729" s="27" t="s">
        <v>30</v>
      </c>
    </row>
    <row r="1730" customFormat="false" ht="15" hidden="false" customHeight="false" outlineLevel="0" collapsed="false">
      <c r="A1730" s="25" t="n">
        <f aca="false">IF(G1730="REJECT",COUNTIF($G$2:$G$2277,"&lt;&gt;REJECT")+1+COUNTIFS($G$2:$G$2277,"REJECT",$B$2:$B$2277,"&gt;"&amp;B1730),1+COUNTIFS($G$2:$G$2277,"&lt;&gt;REJECT",$B$2:$B$2277,"&gt;"&amp;B1730))</f>
        <v>1729</v>
      </c>
      <c r="B1730" s="26" t="n">
        <f aca="false">ROUND(($U$2*MAX(0,MIN(1,($W$2-I1730)/($W$2-$V$2)))+$U$3*MAX(0,MIN(1,($W$3-J1730)/($W$3-$V$3)))+$U$4*MAX(0,MIN(1,($W$4-K1730)/($W$4-$V$4)))+$U$5*MAX(0,MIN(1,($W$5-L1730)/($W$5-$V$5)))+$U$6*MAX(0,MIN(1,($W$6-M1730)/($W$6-$V$6)))+$U$7*MAX(0,MIN(1,($W$7-N1730)/($W$7-$V$7)))+$U$8*IF(AND(O1730&gt;=$V$8,O1730&lt;=$W$8),1,0))/$U$9*100,2)</f>
        <v>51.71</v>
      </c>
      <c r="C1730" s="27" t="s">
        <v>1645</v>
      </c>
      <c r="D1730" s="25" t="s">
        <v>134</v>
      </c>
      <c r="E1730" s="25" t="s">
        <v>3447</v>
      </c>
      <c r="F1730" s="25" t="s">
        <v>3457</v>
      </c>
      <c r="G1730" s="38" t="s">
        <v>30</v>
      </c>
      <c r="H1730" s="28" t="s">
        <v>25</v>
      </c>
      <c r="I1730" s="25" t="n">
        <v>5</v>
      </c>
      <c r="J1730" s="25" t="n">
        <v>1</v>
      </c>
      <c r="K1730" s="25" t="n">
        <v>5</v>
      </c>
      <c r="L1730" s="29" t="n">
        <v>0.76</v>
      </c>
      <c r="M1730" s="30" t="n">
        <v>19.44</v>
      </c>
      <c r="N1730" s="29" t="n">
        <v>0.84</v>
      </c>
      <c r="O1730" s="25" t="n">
        <v>188</v>
      </c>
      <c r="P1730" s="30" t="n">
        <v>5.87</v>
      </c>
      <c r="Q1730" s="27" t="s">
        <v>3810</v>
      </c>
      <c r="R1730" s="27" t="s">
        <v>283</v>
      </c>
    </row>
    <row r="1731" customFormat="false" ht="15" hidden="false" customHeight="false" outlineLevel="0" collapsed="false">
      <c r="A1731" s="25" t="n">
        <f aca="false">IF(G1731="REJECT",COUNTIF($G$2:$G$2277,"&lt;&gt;REJECT")+1+COUNTIFS($G$2:$G$2277,"REJECT",$B$2:$B$2277,"&gt;"&amp;B1731),1+COUNTIFS($G$2:$G$2277,"&lt;&gt;REJECT",$B$2:$B$2277,"&gt;"&amp;B1731))</f>
        <v>1730</v>
      </c>
      <c r="B1731" s="26" t="n">
        <f aca="false">ROUND(($U$2*MAX(0,MIN(1,($W$2-I1731)/($W$2-$V$2)))+$U$3*MAX(0,MIN(1,($W$3-J1731)/($W$3-$V$3)))+$U$4*MAX(0,MIN(1,($W$4-K1731)/($W$4-$V$4)))+$U$5*MAX(0,MIN(1,($W$5-L1731)/($W$5-$V$5)))+$U$6*MAX(0,MIN(1,($W$6-M1731)/($W$6-$V$6)))+$U$7*MAX(0,MIN(1,($W$7-N1731)/($W$7-$V$7)))+$U$8*IF(AND(O1731&gt;=$V$8,O1731&lt;=$W$8),1,0))/$U$9*100,2)</f>
        <v>51.59</v>
      </c>
      <c r="C1731" s="27" t="s">
        <v>1726</v>
      </c>
      <c r="D1731" s="25" t="s">
        <v>134</v>
      </c>
      <c r="E1731" s="25" t="s">
        <v>3447</v>
      </c>
      <c r="F1731" s="25" t="s">
        <v>3457</v>
      </c>
      <c r="G1731" s="38" t="s">
        <v>30</v>
      </c>
      <c r="H1731" s="33" t="s">
        <v>24</v>
      </c>
      <c r="I1731" s="25" t="n">
        <v>6</v>
      </c>
      <c r="J1731" s="25" t="n">
        <v>0</v>
      </c>
      <c r="K1731" s="25" t="n">
        <v>6</v>
      </c>
      <c r="L1731" s="29" t="n">
        <v>0.68</v>
      </c>
      <c r="M1731" s="30" t="n">
        <v>15.05</v>
      </c>
      <c r="N1731" s="29" t="n">
        <v>0.72</v>
      </c>
      <c r="O1731" s="25" t="n">
        <v>189</v>
      </c>
      <c r="P1731" s="30" t="n">
        <v>1.45</v>
      </c>
      <c r="Q1731" s="27" t="s">
        <v>3811</v>
      </c>
      <c r="R1731" s="27" t="s">
        <v>30</v>
      </c>
    </row>
    <row r="1732" customFormat="false" ht="15" hidden="false" customHeight="false" outlineLevel="0" collapsed="false">
      <c r="A1732" s="25" t="n">
        <f aca="false">IF(G1732="REJECT",COUNTIF($G$2:$G$2277,"&lt;&gt;REJECT")+1+COUNTIFS($G$2:$G$2277,"REJECT",$B$2:$B$2277,"&gt;"&amp;B1732),1+COUNTIFS($G$2:$G$2277,"&lt;&gt;REJECT",$B$2:$B$2277,"&gt;"&amp;B1732))</f>
        <v>1731</v>
      </c>
      <c r="B1732" s="26" t="n">
        <f aca="false">ROUND(($U$2*MAX(0,MIN(1,($W$2-I1732)/($W$2-$V$2)))+$U$3*MAX(0,MIN(1,($W$3-J1732)/($W$3-$V$3)))+$U$4*MAX(0,MIN(1,($W$4-K1732)/($W$4-$V$4)))+$U$5*MAX(0,MIN(1,($W$5-L1732)/($W$5-$V$5)))+$U$6*MAX(0,MIN(1,($W$6-M1732)/($W$6-$V$6)))+$U$7*MAX(0,MIN(1,($W$7-N1732)/($W$7-$V$7)))+$U$8*IF(AND(O1732&gt;=$V$8,O1732&lt;=$W$8),1,0))/$U$9*100,2)</f>
        <v>51.54</v>
      </c>
      <c r="C1732" s="27" t="s">
        <v>430</v>
      </c>
      <c r="D1732" s="25" t="s">
        <v>134</v>
      </c>
      <c r="E1732" s="25" t="s">
        <v>3450</v>
      </c>
      <c r="F1732" s="25" t="s">
        <v>3457</v>
      </c>
      <c r="G1732" s="38" t="s">
        <v>30</v>
      </c>
      <c r="H1732" s="28" t="s">
        <v>25</v>
      </c>
      <c r="I1732" s="25" t="n">
        <v>5</v>
      </c>
      <c r="J1732" s="25" t="n">
        <v>1</v>
      </c>
      <c r="K1732" s="25" t="n">
        <v>5</v>
      </c>
      <c r="L1732" s="29" t="n">
        <v>0.75</v>
      </c>
      <c r="M1732" s="30" t="n">
        <v>22.07</v>
      </c>
      <c r="N1732" s="29" t="n">
        <v>0.32</v>
      </c>
      <c r="O1732" s="25" t="n">
        <v>201</v>
      </c>
      <c r="P1732" s="30" t="n">
        <v>4.03</v>
      </c>
      <c r="Q1732" s="27" t="s">
        <v>3812</v>
      </c>
      <c r="R1732" s="27" t="s">
        <v>157</v>
      </c>
    </row>
    <row r="1733" customFormat="false" ht="15" hidden="false" customHeight="false" outlineLevel="0" collapsed="false">
      <c r="A1733" s="25" t="n">
        <f aca="false">IF(G1733="REJECT",COUNTIF($G$2:$G$2277,"&lt;&gt;REJECT")+1+COUNTIFS($G$2:$G$2277,"REJECT",$B$2:$B$2277,"&gt;"&amp;B1733),1+COUNTIFS($G$2:$G$2277,"&lt;&gt;REJECT",$B$2:$B$2277,"&gt;"&amp;B1733))</f>
        <v>1731</v>
      </c>
      <c r="B1733" s="26" t="n">
        <f aca="false">ROUND(($U$2*MAX(0,MIN(1,($W$2-I1733)/($W$2-$V$2)))+$U$3*MAX(0,MIN(1,($W$3-J1733)/($W$3-$V$3)))+$U$4*MAX(0,MIN(1,($W$4-K1733)/($W$4-$V$4)))+$U$5*MAX(0,MIN(1,($W$5-L1733)/($W$5-$V$5)))+$U$6*MAX(0,MIN(1,($W$6-M1733)/($W$6-$V$6)))+$U$7*MAX(0,MIN(1,($W$7-N1733)/($W$7-$V$7)))+$U$8*IF(AND(O1733&gt;=$V$8,O1733&lt;=$W$8),1,0))/$U$9*100,2)</f>
        <v>51.54</v>
      </c>
      <c r="C1733" s="27" t="s">
        <v>1487</v>
      </c>
      <c r="D1733" s="25" t="s">
        <v>134</v>
      </c>
      <c r="E1733" s="25" t="s">
        <v>3447</v>
      </c>
      <c r="F1733" s="25" t="s">
        <v>3457</v>
      </c>
      <c r="G1733" s="38" t="s">
        <v>30</v>
      </c>
      <c r="H1733" s="28" t="s">
        <v>25</v>
      </c>
      <c r="I1733" s="25" t="n">
        <v>5</v>
      </c>
      <c r="J1733" s="25" t="n">
        <v>1</v>
      </c>
      <c r="K1733" s="25" t="n">
        <v>4</v>
      </c>
      <c r="L1733" s="29" t="n">
        <v>0.7</v>
      </c>
      <c r="M1733" s="30" t="n">
        <v>16.51</v>
      </c>
      <c r="N1733" s="29" t="n">
        <v>0.2</v>
      </c>
      <c r="O1733" s="25" t="n">
        <v>184</v>
      </c>
      <c r="P1733" s="30" t="n">
        <v>2.36</v>
      </c>
      <c r="Q1733" s="27" t="s">
        <v>3813</v>
      </c>
      <c r="R1733" s="27" t="s">
        <v>1152</v>
      </c>
    </row>
    <row r="1734" customFormat="false" ht="15" hidden="false" customHeight="false" outlineLevel="0" collapsed="false">
      <c r="A1734" s="25" t="n">
        <f aca="false">IF(G1734="REJECT",COUNTIF($G$2:$G$2277,"&lt;&gt;REJECT")+1+COUNTIFS($G$2:$G$2277,"REJECT",$B$2:$B$2277,"&gt;"&amp;B1734),1+COUNTIFS($G$2:$G$2277,"&lt;&gt;REJECT",$B$2:$B$2277,"&gt;"&amp;B1734))</f>
        <v>1733</v>
      </c>
      <c r="B1734" s="26" t="n">
        <f aca="false">ROUND(($U$2*MAX(0,MIN(1,($W$2-I1734)/($W$2-$V$2)))+$U$3*MAX(0,MIN(1,($W$3-J1734)/($W$3-$V$3)))+$U$4*MAX(0,MIN(1,($W$4-K1734)/($W$4-$V$4)))+$U$5*MAX(0,MIN(1,($W$5-L1734)/($W$5-$V$5)))+$U$6*MAX(0,MIN(1,($W$6-M1734)/($W$6-$V$6)))+$U$7*MAX(0,MIN(1,($W$7-N1734)/($W$7-$V$7)))+$U$8*IF(AND(O1734&gt;=$V$8,O1734&lt;=$W$8),1,0))/$U$9*100,2)</f>
        <v>51.51</v>
      </c>
      <c r="C1734" s="27" t="s">
        <v>2373</v>
      </c>
      <c r="D1734" s="25" t="s">
        <v>134</v>
      </c>
      <c r="E1734" s="25" t="s">
        <v>3447</v>
      </c>
      <c r="F1734" s="25" t="s">
        <v>3457</v>
      </c>
      <c r="G1734" s="38" t="s">
        <v>30</v>
      </c>
      <c r="H1734" s="28" t="s">
        <v>25</v>
      </c>
      <c r="I1734" s="25" t="n">
        <v>5</v>
      </c>
      <c r="J1734" s="25" t="n">
        <v>1</v>
      </c>
      <c r="K1734" s="25" t="n">
        <v>5</v>
      </c>
      <c r="L1734" s="29" t="n">
        <v>0.72</v>
      </c>
      <c r="M1734" s="30" t="n">
        <v>10.22</v>
      </c>
      <c r="N1734" s="29" t="n">
        <v>0.44</v>
      </c>
      <c r="O1734" s="25" t="n">
        <v>184</v>
      </c>
      <c r="P1734" s="30" t="n">
        <v>3.64</v>
      </c>
      <c r="Q1734" s="27" t="s">
        <v>3814</v>
      </c>
      <c r="R1734" s="27" t="s">
        <v>283</v>
      </c>
    </row>
    <row r="1735" customFormat="false" ht="15" hidden="false" customHeight="false" outlineLevel="0" collapsed="false">
      <c r="A1735" s="25" t="n">
        <f aca="false">IF(G1735="REJECT",COUNTIF($G$2:$G$2277,"&lt;&gt;REJECT")+1+COUNTIFS($G$2:$G$2277,"REJECT",$B$2:$B$2277,"&gt;"&amp;B1735),1+COUNTIFS($G$2:$G$2277,"&lt;&gt;REJECT",$B$2:$B$2277,"&gt;"&amp;B1735))</f>
        <v>1734</v>
      </c>
      <c r="B1735" s="26" t="n">
        <f aca="false">ROUND(($U$2*MAX(0,MIN(1,($W$2-I1735)/($W$2-$V$2)))+$U$3*MAX(0,MIN(1,($W$3-J1735)/($W$3-$V$3)))+$U$4*MAX(0,MIN(1,($W$4-K1735)/($W$4-$V$4)))+$U$5*MAX(0,MIN(1,($W$5-L1735)/($W$5-$V$5)))+$U$6*MAX(0,MIN(1,($W$6-M1735)/($W$6-$V$6)))+$U$7*MAX(0,MIN(1,($W$7-N1735)/($W$7-$V$7)))+$U$8*IF(AND(O1735&gt;=$V$8,O1735&lt;=$W$8),1,0))/$U$9*100,2)</f>
        <v>51.45</v>
      </c>
      <c r="C1735" s="27" t="s">
        <v>2709</v>
      </c>
      <c r="D1735" s="25" t="s">
        <v>134</v>
      </c>
      <c r="E1735" s="25" t="s">
        <v>3450</v>
      </c>
      <c r="F1735" s="25" t="s">
        <v>3448</v>
      </c>
      <c r="G1735" s="38" t="s">
        <v>30</v>
      </c>
      <c r="H1735" s="28" t="s">
        <v>25</v>
      </c>
      <c r="I1735" s="25" t="n">
        <v>5</v>
      </c>
      <c r="J1735" s="25" t="n">
        <v>1</v>
      </c>
      <c r="K1735" s="25" t="n">
        <v>5</v>
      </c>
      <c r="L1735" s="29" t="n">
        <v>0.69</v>
      </c>
      <c r="M1735" s="30" t="n">
        <v>4.19</v>
      </c>
      <c r="N1735" s="29" t="n">
        <v>0</v>
      </c>
      <c r="O1735" s="25" t="n">
        <v>183</v>
      </c>
      <c r="P1735" s="30" t="n">
        <v>15.8</v>
      </c>
      <c r="Q1735" s="27" t="s">
        <v>3815</v>
      </c>
      <c r="R1735" s="27" t="s">
        <v>283</v>
      </c>
    </row>
    <row r="1736" customFormat="false" ht="15" hidden="false" customHeight="false" outlineLevel="0" collapsed="false">
      <c r="A1736" s="25" t="n">
        <f aca="false">IF(G1736="REJECT",COUNTIF($G$2:$G$2277,"&lt;&gt;REJECT")+1+COUNTIFS($G$2:$G$2277,"REJECT",$B$2:$B$2277,"&gt;"&amp;B1736),1+COUNTIFS($G$2:$G$2277,"&lt;&gt;REJECT",$B$2:$B$2277,"&gt;"&amp;B1736))</f>
        <v>1735</v>
      </c>
      <c r="B1736" s="26" t="n">
        <f aca="false">ROUND(($U$2*MAX(0,MIN(1,($W$2-I1736)/($W$2-$V$2)))+$U$3*MAX(0,MIN(1,($W$3-J1736)/($W$3-$V$3)))+$U$4*MAX(0,MIN(1,($W$4-K1736)/($W$4-$V$4)))+$U$5*MAX(0,MIN(1,($W$5-L1736)/($W$5-$V$5)))+$U$6*MAX(0,MIN(1,($W$6-M1736)/($W$6-$V$6)))+$U$7*MAX(0,MIN(1,($W$7-N1736)/($W$7-$V$7)))+$U$8*IF(AND(O1736&gt;=$V$8,O1736&lt;=$W$8),1,0))/$U$9*100,2)</f>
        <v>51.36</v>
      </c>
      <c r="C1736" s="27" t="s">
        <v>430</v>
      </c>
      <c r="D1736" s="25" t="s">
        <v>3459</v>
      </c>
      <c r="E1736" s="25" t="s">
        <v>3450</v>
      </c>
      <c r="F1736" s="25" t="s">
        <v>3448</v>
      </c>
      <c r="G1736" s="38" t="s">
        <v>30</v>
      </c>
      <c r="H1736" s="28" t="s">
        <v>25</v>
      </c>
      <c r="I1736" s="25" t="n">
        <v>5</v>
      </c>
      <c r="J1736" s="25" t="n">
        <v>1</v>
      </c>
      <c r="K1736" s="25" t="n">
        <v>5</v>
      </c>
      <c r="L1736" s="29" t="n">
        <v>0.74</v>
      </c>
      <c r="M1736" s="30" t="n">
        <v>18.35</v>
      </c>
      <c r="N1736" s="29" t="n">
        <v>0.44</v>
      </c>
      <c r="O1736" s="25" t="n">
        <v>184</v>
      </c>
      <c r="P1736" s="30" t="n">
        <v>0.1</v>
      </c>
      <c r="Q1736" s="27" t="s">
        <v>3816</v>
      </c>
      <c r="R1736" s="27" t="s">
        <v>197</v>
      </c>
    </row>
    <row r="1737" customFormat="false" ht="15" hidden="false" customHeight="false" outlineLevel="0" collapsed="false">
      <c r="A1737" s="25" t="n">
        <f aca="false">IF(G1737="REJECT",COUNTIF($G$2:$G$2277,"&lt;&gt;REJECT")+1+COUNTIFS($G$2:$G$2277,"REJECT",$B$2:$B$2277,"&gt;"&amp;B1737),1+COUNTIFS($G$2:$G$2277,"&lt;&gt;REJECT",$B$2:$B$2277,"&gt;"&amp;B1737))</f>
        <v>1736</v>
      </c>
      <c r="B1737" s="26" t="n">
        <f aca="false">ROUND(($U$2*MAX(0,MIN(1,($W$2-I1737)/($W$2-$V$2)))+$U$3*MAX(0,MIN(1,($W$3-J1737)/($W$3-$V$3)))+$U$4*MAX(0,MIN(1,($W$4-K1737)/($W$4-$V$4)))+$U$5*MAX(0,MIN(1,($W$5-L1737)/($W$5-$V$5)))+$U$6*MAX(0,MIN(1,($W$6-M1737)/($W$6-$V$6)))+$U$7*MAX(0,MIN(1,($W$7-N1737)/($W$7-$V$7)))+$U$8*IF(AND(O1737&gt;=$V$8,O1737&lt;=$W$8),1,0))/$U$9*100,2)</f>
        <v>51.32</v>
      </c>
      <c r="C1737" s="27" t="s">
        <v>1417</v>
      </c>
      <c r="D1737" s="25" t="s">
        <v>3459</v>
      </c>
      <c r="E1737" s="25" t="s">
        <v>3450</v>
      </c>
      <c r="F1737" s="25" t="s">
        <v>3448</v>
      </c>
      <c r="G1737" s="38" t="s">
        <v>30</v>
      </c>
      <c r="H1737" s="28" t="s">
        <v>25</v>
      </c>
      <c r="I1737" s="25" t="n">
        <v>5</v>
      </c>
      <c r="J1737" s="25" t="n">
        <v>1</v>
      </c>
      <c r="K1737" s="25" t="n">
        <v>5</v>
      </c>
      <c r="L1737" s="29" t="n">
        <v>0.76</v>
      </c>
      <c r="M1737" s="30" t="n">
        <v>25.4</v>
      </c>
      <c r="N1737" s="29" t="n">
        <v>0.48</v>
      </c>
      <c r="O1737" s="25" t="n">
        <v>183</v>
      </c>
      <c r="P1737" s="30" t="n">
        <v>7.63</v>
      </c>
      <c r="Q1737" s="27" t="s">
        <v>3817</v>
      </c>
      <c r="R1737" s="27" t="s">
        <v>163</v>
      </c>
    </row>
    <row r="1738" customFormat="false" ht="15" hidden="false" customHeight="false" outlineLevel="0" collapsed="false">
      <c r="A1738" s="25" t="n">
        <f aca="false">IF(G1738="REJECT",COUNTIF($G$2:$G$2277,"&lt;&gt;REJECT")+1+COUNTIFS($G$2:$G$2277,"REJECT",$B$2:$B$2277,"&gt;"&amp;B1738),1+COUNTIFS($G$2:$G$2277,"&lt;&gt;REJECT",$B$2:$B$2277,"&gt;"&amp;B1738))</f>
        <v>1737</v>
      </c>
      <c r="B1738" s="26" t="n">
        <f aca="false">ROUND(($U$2*MAX(0,MIN(1,($W$2-I1738)/($W$2-$V$2)))+$U$3*MAX(0,MIN(1,($W$3-J1738)/($W$3-$V$3)))+$U$4*MAX(0,MIN(1,($W$4-K1738)/($W$4-$V$4)))+$U$5*MAX(0,MIN(1,($W$5-L1738)/($W$5-$V$5)))+$U$6*MAX(0,MIN(1,($W$6-M1738)/($W$6-$V$6)))+$U$7*MAX(0,MIN(1,($W$7-N1738)/($W$7-$V$7)))+$U$8*IF(AND(O1738&gt;=$V$8,O1738&lt;=$W$8),1,0))/$U$9*100,2)</f>
        <v>51.23</v>
      </c>
      <c r="C1738" s="27" t="s">
        <v>3132</v>
      </c>
      <c r="D1738" s="25" t="s">
        <v>134</v>
      </c>
      <c r="E1738" s="25" t="s">
        <v>3447</v>
      </c>
      <c r="F1738" s="25" t="s">
        <v>3457</v>
      </c>
      <c r="G1738" s="38" t="s">
        <v>30</v>
      </c>
      <c r="H1738" s="28" t="s">
        <v>25</v>
      </c>
      <c r="I1738" s="25" t="n">
        <v>3</v>
      </c>
      <c r="J1738" s="25" t="n">
        <v>1</v>
      </c>
      <c r="K1738" s="25" t="n">
        <v>3</v>
      </c>
      <c r="L1738" s="29" t="n">
        <v>0.55</v>
      </c>
      <c r="M1738" s="30" t="n">
        <v>21.75</v>
      </c>
      <c r="N1738" s="29" t="n">
        <v>0.84</v>
      </c>
      <c r="O1738" s="25" t="n">
        <v>187</v>
      </c>
      <c r="P1738" s="30" t="n">
        <v>1.55</v>
      </c>
      <c r="Q1738" s="27" t="s">
        <v>3818</v>
      </c>
      <c r="R1738" s="27" t="s">
        <v>183</v>
      </c>
    </row>
    <row r="1739" customFormat="false" ht="15" hidden="false" customHeight="false" outlineLevel="0" collapsed="false">
      <c r="A1739" s="25" t="n">
        <f aca="false">IF(G1739="REJECT",COUNTIF($G$2:$G$2277,"&lt;&gt;REJECT")+1+COUNTIFS($G$2:$G$2277,"REJECT",$B$2:$B$2277,"&gt;"&amp;B1739),1+COUNTIFS($G$2:$G$2277,"&lt;&gt;REJECT",$B$2:$B$2277,"&gt;"&amp;B1739))</f>
        <v>1738</v>
      </c>
      <c r="B1739" s="26" t="n">
        <f aca="false">ROUND(($U$2*MAX(0,MIN(1,($W$2-I1739)/($W$2-$V$2)))+$U$3*MAX(0,MIN(1,($W$3-J1739)/($W$3-$V$3)))+$U$4*MAX(0,MIN(1,($W$4-K1739)/($W$4-$V$4)))+$U$5*MAX(0,MIN(1,($W$5-L1739)/($W$5-$V$5)))+$U$6*MAX(0,MIN(1,($W$6-M1739)/($W$6-$V$6)))+$U$7*MAX(0,MIN(1,($W$7-N1739)/($W$7-$V$7)))+$U$8*IF(AND(O1739&gt;=$V$8,O1739&lt;=$W$8),1,0))/$U$9*100,2)</f>
        <v>51.18</v>
      </c>
      <c r="C1739" s="27" t="s">
        <v>3051</v>
      </c>
      <c r="D1739" s="25" t="s">
        <v>134</v>
      </c>
      <c r="E1739" s="25" t="s">
        <v>3450</v>
      </c>
      <c r="F1739" s="25" t="s">
        <v>3457</v>
      </c>
      <c r="G1739" s="38" t="s">
        <v>30</v>
      </c>
      <c r="H1739" s="28" t="s">
        <v>25</v>
      </c>
      <c r="I1739" s="25" t="n">
        <v>5</v>
      </c>
      <c r="J1739" s="25" t="n">
        <v>1</v>
      </c>
      <c r="K1739" s="25" t="n">
        <v>5</v>
      </c>
      <c r="L1739" s="29" t="n">
        <v>0.72</v>
      </c>
      <c r="M1739" s="30" t="n">
        <v>12.65</v>
      </c>
      <c r="N1739" s="29" t="n">
        <v>0.4</v>
      </c>
      <c r="O1739" s="25" t="n">
        <v>184</v>
      </c>
      <c r="P1739" s="30" t="n">
        <v>-1.12</v>
      </c>
      <c r="Q1739" s="27" t="s">
        <v>3798</v>
      </c>
      <c r="R1739" s="27" t="s">
        <v>357</v>
      </c>
    </row>
    <row r="1740" customFormat="false" ht="15" hidden="false" customHeight="false" outlineLevel="0" collapsed="false">
      <c r="A1740" s="25" t="n">
        <f aca="false">IF(G1740="REJECT",COUNTIF($G$2:$G$2277,"&lt;&gt;REJECT")+1+COUNTIFS($G$2:$G$2277,"REJECT",$B$2:$B$2277,"&gt;"&amp;B1740),1+COUNTIFS($G$2:$G$2277,"&lt;&gt;REJECT",$B$2:$B$2277,"&gt;"&amp;B1740))</f>
        <v>1739</v>
      </c>
      <c r="B1740" s="26" t="n">
        <f aca="false">ROUND(($U$2*MAX(0,MIN(1,($W$2-I1740)/($W$2-$V$2)))+$U$3*MAX(0,MIN(1,($W$3-J1740)/($W$3-$V$3)))+$U$4*MAX(0,MIN(1,($W$4-K1740)/($W$4-$V$4)))+$U$5*MAX(0,MIN(1,($W$5-L1740)/($W$5-$V$5)))+$U$6*MAX(0,MIN(1,($W$6-M1740)/($W$6-$V$6)))+$U$7*MAX(0,MIN(1,($W$7-N1740)/($W$7-$V$7)))+$U$8*IF(AND(O1740&gt;=$V$8,O1740&lt;=$W$8),1,0))/$U$9*100,2)</f>
        <v>51.12</v>
      </c>
      <c r="C1740" s="27" t="s">
        <v>2453</v>
      </c>
      <c r="D1740" s="25" t="s">
        <v>134</v>
      </c>
      <c r="E1740" s="25" t="s">
        <v>3450</v>
      </c>
      <c r="F1740" s="25" t="s">
        <v>3457</v>
      </c>
      <c r="G1740" s="38" t="s">
        <v>30</v>
      </c>
      <c r="H1740" s="28" t="s">
        <v>25</v>
      </c>
      <c r="I1740" s="25" t="n">
        <v>4</v>
      </c>
      <c r="J1740" s="25" t="n">
        <v>1</v>
      </c>
      <c r="K1740" s="25" t="n">
        <v>4</v>
      </c>
      <c r="L1740" s="29" t="n">
        <v>0.63</v>
      </c>
      <c r="M1740" s="30" t="n">
        <v>16.5</v>
      </c>
      <c r="N1740" s="29" t="n">
        <v>0.56</v>
      </c>
      <c r="O1740" s="25" t="n">
        <v>189</v>
      </c>
      <c r="P1740" s="30" t="n">
        <v>15.78</v>
      </c>
      <c r="Q1740" s="27" t="s">
        <v>3819</v>
      </c>
      <c r="R1740" s="27" t="s">
        <v>283</v>
      </c>
    </row>
    <row r="1741" customFormat="false" ht="15" hidden="false" customHeight="false" outlineLevel="0" collapsed="false">
      <c r="A1741" s="25" t="n">
        <f aca="false">IF(G1741="REJECT",COUNTIF($G$2:$G$2277,"&lt;&gt;REJECT")+1+COUNTIFS($G$2:$G$2277,"REJECT",$B$2:$B$2277,"&gt;"&amp;B1741),1+COUNTIFS($G$2:$G$2277,"&lt;&gt;REJECT",$B$2:$B$2277,"&gt;"&amp;B1741))</f>
        <v>1740</v>
      </c>
      <c r="B1741" s="26" t="n">
        <f aca="false">ROUND(($U$2*MAX(0,MIN(1,($W$2-I1741)/($W$2-$V$2)))+$U$3*MAX(0,MIN(1,($W$3-J1741)/($W$3-$V$3)))+$U$4*MAX(0,MIN(1,($W$4-K1741)/($W$4-$V$4)))+$U$5*MAX(0,MIN(1,($W$5-L1741)/($W$5-$V$5)))+$U$6*MAX(0,MIN(1,($W$6-M1741)/($W$6-$V$6)))+$U$7*MAX(0,MIN(1,($W$7-N1741)/($W$7-$V$7)))+$U$8*IF(AND(O1741&gt;=$V$8,O1741&lt;=$W$8),1,0))/$U$9*100,2)</f>
        <v>50.86</v>
      </c>
      <c r="C1741" s="27" t="s">
        <v>2941</v>
      </c>
      <c r="D1741" s="25" t="s">
        <v>3459</v>
      </c>
      <c r="E1741" s="25" t="s">
        <v>3450</v>
      </c>
      <c r="F1741" s="25" t="s">
        <v>3457</v>
      </c>
      <c r="G1741" s="38" t="s">
        <v>30</v>
      </c>
      <c r="H1741" s="28" t="s">
        <v>25</v>
      </c>
      <c r="I1741" s="25" t="n">
        <v>5</v>
      </c>
      <c r="J1741" s="25" t="n">
        <v>1</v>
      </c>
      <c r="K1741" s="25" t="n">
        <v>5</v>
      </c>
      <c r="L1741" s="29" t="n">
        <v>0.75</v>
      </c>
      <c r="M1741" s="30" t="n">
        <v>23.75</v>
      </c>
      <c r="N1741" s="29" t="n">
        <v>0.56</v>
      </c>
      <c r="O1741" s="25" t="n">
        <v>184</v>
      </c>
      <c r="P1741" s="30" t="n">
        <v>20.15</v>
      </c>
      <c r="Q1741" s="27" t="s">
        <v>3808</v>
      </c>
      <c r="R1741" s="27" t="s">
        <v>183</v>
      </c>
    </row>
    <row r="1742" customFormat="false" ht="15" hidden="false" customHeight="false" outlineLevel="0" collapsed="false">
      <c r="A1742" s="25" t="n">
        <f aca="false">IF(G1742="REJECT",COUNTIF($G$2:$G$2277,"&lt;&gt;REJECT")+1+COUNTIFS($G$2:$G$2277,"REJECT",$B$2:$B$2277,"&gt;"&amp;B1742),1+COUNTIFS($G$2:$G$2277,"&lt;&gt;REJECT",$B$2:$B$2277,"&gt;"&amp;B1742))</f>
        <v>1741</v>
      </c>
      <c r="B1742" s="26" t="n">
        <f aca="false">ROUND(($U$2*MAX(0,MIN(1,($W$2-I1742)/($W$2-$V$2)))+$U$3*MAX(0,MIN(1,($W$3-J1742)/($W$3-$V$3)))+$U$4*MAX(0,MIN(1,($W$4-K1742)/($W$4-$V$4)))+$U$5*MAX(0,MIN(1,($W$5-L1742)/($W$5-$V$5)))+$U$6*MAX(0,MIN(1,($W$6-M1742)/($W$6-$V$6)))+$U$7*MAX(0,MIN(1,($W$7-N1742)/($W$7-$V$7)))+$U$8*IF(AND(O1742&gt;=$V$8,O1742&lt;=$W$8),1,0))/$U$9*100,2)</f>
        <v>50.75</v>
      </c>
      <c r="C1742" s="27" t="s">
        <v>2055</v>
      </c>
      <c r="D1742" s="25" t="s">
        <v>3459</v>
      </c>
      <c r="E1742" s="25" t="s">
        <v>3450</v>
      </c>
      <c r="F1742" s="25" t="s">
        <v>3448</v>
      </c>
      <c r="G1742" s="38" t="s">
        <v>30</v>
      </c>
      <c r="H1742" s="28" t="s">
        <v>25</v>
      </c>
      <c r="I1742" s="25" t="n">
        <v>4</v>
      </c>
      <c r="J1742" s="25" t="n">
        <v>1</v>
      </c>
      <c r="K1742" s="25" t="n">
        <v>4</v>
      </c>
      <c r="L1742" s="29" t="n">
        <v>0.64</v>
      </c>
      <c r="M1742" s="30" t="n">
        <v>20.33</v>
      </c>
      <c r="N1742" s="29" t="n">
        <v>0.76</v>
      </c>
      <c r="O1742" s="25" t="n">
        <v>187</v>
      </c>
      <c r="P1742" s="30" t="n">
        <v>10.16</v>
      </c>
      <c r="Q1742" s="27" t="s">
        <v>3785</v>
      </c>
      <c r="R1742" s="27" t="s">
        <v>183</v>
      </c>
    </row>
    <row r="1743" customFormat="false" ht="15" hidden="false" customHeight="false" outlineLevel="0" collapsed="false">
      <c r="A1743" s="25" t="n">
        <f aca="false">IF(G1743="REJECT",COUNTIF($G$2:$G$2277,"&lt;&gt;REJECT")+1+COUNTIFS($G$2:$G$2277,"REJECT",$B$2:$B$2277,"&gt;"&amp;B1743),1+COUNTIFS($G$2:$G$2277,"&lt;&gt;REJECT",$B$2:$B$2277,"&gt;"&amp;B1743))</f>
        <v>1742</v>
      </c>
      <c r="B1743" s="26" t="n">
        <f aca="false">ROUND(($U$2*MAX(0,MIN(1,($W$2-I1743)/($W$2-$V$2)))+$U$3*MAX(0,MIN(1,($W$3-J1743)/($W$3-$V$3)))+$U$4*MAX(0,MIN(1,($W$4-K1743)/($W$4-$V$4)))+$U$5*MAX(0,MIN(1,($W$5-L1743)/($W$5-$V$5)))+$U$6*MAX(0,MIN(1,($W$6-M1743)/($W$6-$V$6)))+$U$7*MAX(0,MIN(1,($W$7-N1743)/($W$7-$V$7)))+$U$8*IF(AND(O1743&gt;=$V$8,O1743&lt;=$W$8),1,0))/$U$9*100,2)</f>
        <v>50.72</v>
      </c>
      <c r="C1743" s="27" t="s">
        <v>2921</v>
      </c>
      <c r="D1743" s="25" t="s">
        <v>134</v>
      </c>
      <c r="E1743" s="25" t="s">
        <v>3450</v>
      </c>
      <c r="F1743" s="25" t="s">
        <v>3457</v>
      </c>
      <c r="G1743" s="38" t="s">
        <v>30</v>
      </c>
      <c r="H1743" s="28" t="s">
        <v>25</v>
      </c>
      <c r="I1743" s="25" t="n">
        <v>5</v>
      </c>
      <c r="J1743" s="25" t="n">
        <v>1</v>
      </c>
      <c r="K1743" s="25" t="n">
        <v>5</v>
      </c>
      <c r="L1743" s="29" t="n">
        <v>0.68</v>
      </c>
      <c r="M1743" s="30" t="n">
        <v>3.81</v>
      </c>
      <c r="N1743" s="29" t="n">
        <v>0.12</v>
      </c>
      <c r="O1743" s="25" t="n">
        <v>188</v>
      </c>
      <c r="P1743" s="30" t="n">
        <v>10.97</v>
      </c>
      <c r="Q1743" s="27" t="s">
        <v>3802</v>
      </c>
      <c r="R1743" s="27" t="s">
        <v>283</v>
      </c>
    </row>
    <row r="1744" customFormat="false" ht="15" hidden="false" customHeight="false" outlineLevel="0" collapsed="false">
      <c r="A1744" s="25" t="n">
        <f aca="false">IF(G1744="REJECT",COUNTIF($G$2:$G$2277,"&lt;&gt;REJECT")+1+COUNTIFS($G$2:$G$2277,"REJECT",$B$2:$B$2277,"&gt;"&amp;B1744),1+COUNTIFS($G$2:$G$2277,"&lt;&gt;REJECT",$B$2:$B$2277,"&gt;"&amp;B1744))</f>
        <v>1743</v>
      </c>
      <c r="B1744" s="26" t="n">
        <f aca="false">ROUND(($U$2*MAX(0,MIN(1,($W$2-I1744)/($W$2-$V$2)))+$U$3*MAX(0,MIN(1,($W$3-J1744)/($W$3-$V$3)))+$U$4*MAX(0,MIN(1,($W$4-K1744)/($W$4-$V$4)))+$U$5*MAX(0,MIN(1,($W$5-L1744)/($W$5-$V$5)))+$U$6*MAX(0,MIN(1,($W$6-M1744)/($W$6-$V$6)))+$U$7*MAX(0,MIN(1,($W$7-N1744)/($W$7-$V$7)))+$U$8*IF(AND(O1744&gt;=$V$8,O1744&lt;=$W$8),1,0))/$U$9*100,2)</f>
        <v>50.64</v>
      </c>
      <c r="C1744" s="27" t="s">
        <v>2746</v>
      </c>
      <c r="D1744" s="25" t="s">
        <v>3459</v>
      </c>
      <c r="E1744" s="25" t="s">
        <v>3450</v>
      </c>
      <c r="F1744" s="25" t="s">
        <v>3448</v>
      </c>
      <c r="G1744" s="38" t="s">
        <v>30</v>
      </c>
      <c r="H1744" s="28" t="s">
        <v>25</v>
      </c>
      <c r="I1744" s="25" t="n">
        <v>5</v>
      </c>
      <c r="J1744" s="25" t="n">
        <v>1</v>
      </c>
      <c r="K1744" s="25" t="n">
        <v>5</v>
      </c>
      <c r="L1744" s="29" t="n">
        <v>0.74</v>
      </c>
      <c r="M1744" s="30" t="n">
        <v>24.68</v>
      </c>
      <c r="N1744" s="29" t="n">
        <v>0.24</v>
      </c>
      <c r="O1744" s="25" t="n">
        <v>183</v>
      </c>
      <c r="P1744" s="30" t="n">
        <v>13.47</v>
      </c>
      <c r="Q1744" s="27" t="s">
        <v>3816</v>
      </c>
      <c r="R1744" s="27" t="s">
        <v>183</v>
      </c>
    </row>
    <row r="1745" customFormat="false" ht="15" hidden="false" customHeight="false" outlineLevel="0" collapsed="false">
      <c r="A1745" s="25" t="n">
        <f aca="false">IF(G1745="REJECT",COUNTIF($G$2:$G$2277,"&lt;&gt;REJECT")+1+COUNTIFS($G$2:$G$2277,"REJECT",$B$2:$B$2277,"&gt;"&amp;B1745),1+COUNTIFS($G$2:$G$2277,"&lt;&gt;REJECT",$B$2:$B$2277,"&gt;"&amp;B1745))</f>
        <v>1744</v>
      </c>
      <c r="B1745" s="26" t="n">
        <f aca="false">ROUND(($U$2*MAX(0,MIN(1,($W$2-I1745)/($W$2-$V$2)))+$U$3*MAX(0,MIN(1,($W$3-J1745)/($W$3-$V$3)))+$U$4*MAX(0,MIN(1,($W$4-K1745)/($W$4-$V$4)))+$U$5*MAX(0,MIN(1,($W$5-L1745)/($W$5-$V$5)))+$U$6*MAX(0,MIN(1,($W$6-M1745)/($W$6-$V$6)))+$U$7*MAX(0,MIN(1,($W$7-N1745)/($W$7-$V$7)))+$U$8*IF(AND(O1745&gt;=$V$8,O1745&lt;=$W$8),1,0))/$U$9*100,2)</f>
        <v>50.37</v>
      </c>
      <c r="C1745" s="27" t="s">
        <v>3394</v>
      </c>
      <c r="D1745" s="25" t="s">
        <v>134</v>
      </c>
      <c r="E1745" s="25" t="s">
        <v>3447</v>
      </c>
      <c r="F1745" s="25" t="s">
        <v>3448</v>
      </c>
      <c r="G1745" s="38" t="s">
        <v>30</v>
      </c>
      <c r="H1745" s="28" t="s">
        <v>25</v>
      </c>
      <c r="I1745" s="25" t="n">
        <v>5</v>
      </c>
      <c r="J1745" s="25" t="n">
        <v>1</v>
      </c>
      <c r="K1745" s="25" t="n">
        <v>5</v>
      </c>
      <c r="L1745" s="29" t="n">
        <v>0.69</v>
      </c>
      <c r="M1745" s="30" t="n">
        <v>10.66</v>
      </c>
      <c r="N1745" s="29" t="n">
        <v>0</v>
      </c>
      <c r="O1745" s="25" t="n">
        <v>195</v>
      </c>
      <c r="P1745" s="30" t="n">
        <v>9.88</v>
      </c>
      <c r="Q1745" s="27" t="s">
        <v>3820</v>
      </c>
      <c r="R1745" s="27" t="s">
        <v>283</v>
      </c>
    </row>
    <row r="1746" customFormat="false" ht="15" hidden="false" customHeight="false" outlineLevel="0" collapsed="false">
      <c r="A1746" s="25" t="n">
        <f aca="false">IF(G1746="REJECT",COUNTIF($G$2:$G$2277,"&lt;&gt;REJECT")+1+COUNTIFS($G$2:$G$2277,"REJECT",$B$2:$B$2277,"&gt;"&amp;B1746),1+COUNTIFS($G$2:$G$2277,"&lt;&gt;REJECT",$B$2:$B$2277,"&gt;"&amp;B1746))</f>
        <v>1745</v>
      </c>
      <c r="B1746" s="26" t="n">
        <f aca="false">ROUND(($U$2*MAX(0,MIN(1,($W$2-I1746)/($W$2-$V$2)))+$U$3*MAX(0,MIN(1,($W$3-J1746)/($W$3-$V$3)))+$U$4*MAX(0,MIN(1,($W$4-K1746)/($W$4-$V$4)))+$U$5*MAX(0,MIN(1,($W$5-L1746)/($W$5-$V$5)))+$U$6*MAX(0,MIN(1,($W$6-M1746)/($W$6-$V$6)))+$U$7*MAX(0,MIN(1,($W$7-N1746)/($W$7-$V$7)))+$U$8*IF(AND(O1746&gt;=$V$8,O1746&lt;=$W$8),1,0))/$U$9*100,2)</f>
        <v>50.35</v>
      </c>
      <c r="C1746" s="27" t="s">
        <v>153</v>
      </c>
      <c r="D1746" s="25" t="s">
        <v>134</v>
      </c>
      <c r="E1746" s="25" t="s">
        <v>3450</v>
      </c>
      <c r="F1746" s="25" t="s">
        <v>3457</v>
      </c>
      <c r="G1746" s="38" t="s">
        <v>30</v>
      </c>
      <c r="H1746" s="28" t="s">
        <v>25</v>
      </c>
      <c r="I1746" s="25" t="n">
        <v>5</v>
      </c>
      <c r="J1746" s="25" t="n">
        <v>1</v>
      </c>
      <c r="K1746" s="25" t="n">
        <v>5</v>
      </c>
      <c r="L1746" s="29" t="n">
        <v>0.73</v>
      </c>
      <c r="M1746" s="30" t="n">
        <v>21.59</v>
      </c>
      <c r="N1746" s="29" t="n">
        <v>0.36</v>
      </c>
      <c r="O1746" s="25" t="n">
        <v>183</v>
      </c>
      <c r="P1746" s="30" t="n">
        <v>11.32</v>
      </c>
      <c r="Q1746" s="27" t="s">
        <v>3821</v>
      </c>
      <c r="R1746" s="27" t="s">
        <v>157</v>
      </c>
    </row>
    <row r="1747" customFormat="false" ht="15" hidden="false" customHeight="false" outlineLevel="0" collapsed="false">
      <c r="A1747" s="25" t="n">
        <f aca="false">IF(G1747="REJECT",COUNTIF($G$2:$G$2277,"&lt;&gt;REJECT")+1+COUNTIFS($G$2:$G$2277,"REJECT",$B$2:$B$2277,"&gt;"&amp;B1747),1+COUNTIFS($G$2:$G$2277,"&lt;&gt;REJECT",$B$2:$B$2277,"&gt;"&amp;B1747))</f>
        <v>1746</v>
      </c>
      <c r="B1747" s="26" t="n">
        <f aca="false">ROUND(($U$2*MAX(0,MIN(1,($W$2-I1747)/($W$2-$V$2)))+$U$3*MAX(0,MIN(1,($W$3-J1747)/($W$3-$V$3)))+$U$4*MAX(0,MIN(1,($W$4-K1747)/($W$4-$V$4)))+$U$5*MAX(0,MIN(1,($W$5-L1747)/($W$5-$V$5)))+$U$6*MAX(0,MIN(1,($W$6-M1747)/($W$6-$V$6)))+$U$7*MAX(0,MIN(1,($W$7-N1747)/($W$7-$V$7)))+$U$8*IF(AND(O1747&gt;=$V$8,O1747&lt;=$W$8),1,0))/$U$9*100,2)</f>
        <v>50.3</v>
      </c>
      <c r="C1747" s="27" t="s">
        <v>2987</v>
      </c>
      <c r="D1747" s="25" t="s">
        <v>134</v>
      </c>
      <c r="E1747" s="25" t="s">
        <v>3450</v>
      </c>
      <c r="F1747" s="25" t="s">
        <v>3457</v>
      </c>
      <c r="G1747" s="38" t="s">
        <v>30</v>
      </c>
      <c r="H1747" s="28" t="s">
        <v>25</v>
      </c>
      <c r="I1747" s="25" t="n">
        <v>5</v>
      </c>
      <c r="J1747" s="25" t="n">
        <v>1</v>
      </c>
      <c r="K1747" s="25" t="n">
        <v>5</v>
      </c>
      <c r="L1747" s="29" t="n">
        <v>0.71</v>
      </c>
      <c r="M1747" s="30" t="n">
        <v>10.72</v>
      </c>
      <c r="N1747" s="29" t="n">
        <v>0.76</v>
      </c>
      <c r="O1747" s="25" t="n">
        <v>184</v>
      </c>
      <c r="P1747" s="30" t="n">
        <v>-0.93</v>
      </c>
      <c r="Q1747" s="27" t="s">
        <v>3822</v>
      </c>
      <c r="R1747" s="27" t="s">
        <v>1230</v>
      </c>
    </row>
    <row r="1748" customFormat="false" ht="15" hidden="false" customHeight="false" outlineLevel="0" collapsed="false">
      <c r="A1748" s="25" t="n">
        <f aca="false">IF(G1748="REJECT",COUNTIF($G$2:$G$2277,"&lt;&gt;REJECT")+1+COUNTIFS($G$2:$G$2277,"REJECT",$B$2:$B$2277,"&gt;"&amp;B1748),1+COUNTIFS($G$2:$G$2277,"&lt;&gt;REJECT",$B$2:$B$2277,"&gt;"&amp;B1748))</f>
        <v>1747</v>
      </c>
      <c r="B1748" s="26" t="n">
        <f aca="false">ROUND(($U$2*MAX(0,MIN(1,($W$2-I1748)/($W$2-$V$2)))+$U$3*MAX(0,MIN(1,($W$3-J1748)/($W$3-$V$3)))+$U$4*MAX(0,MIN(1,($W$4-K1748)/($W$4-$V$4)))+$U$5*MAX(0,MIN(1,($W$5-L1748)/($W$5-$V$5)))+$U$6*MAX(0,MIN(1,($W$6-M1748)/($W$6-$V$6)))+$U$7*MAX(0,MIN(1,($W$7-N1748)/($W$7-$V$7)))+$U$8*IF(AND(O1748&gt;=$V$8,O1748&lt;=$W$8),1,0))/$U$9*100,2)</f>
        <v>50.29</v>
      </c>
      <c r="C1748" s="27" t="s">
        <v>2429</v>
      </c>
      <c r="D1748" s="25" t="s">
        <v>134</v>
      </c>
      <c r="E1748" s="25" t="s">
        <v>3447</v>
      </c>
      <c r="F1748" s="25" t="s">
        <v>3448</v>
      </c>
      <c r="G1748" s="38" t="s">
        <v>30</v>
      </c>
      <c r="H1748" s="28" t="s">
        <v>25</v>
      </c>
      <c r="I1748" s="25" t="n">
        <v>6</v>
      </c>
      <c r="J1748" s="25" t="n">
        <v>1</v>
      </c>
      <c r="K1748" s="25" t="n">
        <v>6</v>
      </c>
      <c r="L1748" s="29" t="n">
        <v>0.8</v>
      </c>
      <c r="M1748" s="30" t="n">
        <v>8.45</v>
      </c>
      <c r="N1748" s="29" t="n">
        <v>0.48</v>
      </c>
      <c r="O1748" s="25" t="n">
        <v>188</v>
      </c>
      <c r="P1748" s="30" t="n">
        <v>2.94</v>
      </c>
      <c r="Q1748" s="27" t="s">
        <v>3823</v>
      </c>
      <c r="R1748" s="27" t="s">
        <v>283</v>
      </c>
    </row>
    <row r="1749" customFormat="false" ht="15" hidden="false" customHeight="false" outlineLevel="0" collapsed="false">
      <c r="A1749" s="25" t="n">
        <f aca="false">IF(G1749="REJECT",COUNTIF($G$2:$G$2277,"&lt;&gt;REJECT")+1+COUNTIFS($G$2:$G$2277,"REJECT",$B$2:$B$2277,"&gt;"&amp;B1749),1+COUNTIFS($G$2:$G$2277,"&lt;&gt;REJECT",$B$2:$B$2277,"&gt;"&amp;B1749))</f>
        <v>1748</v>
      </c>
      <c r="B1749" s="26" t="n">
        <f aca="false">ROUND(($U$2*MAX(0,MIN(1,($W$2-I1749)/($W$2-$V$2)))+$U$3*MAX(0,MIN(1,($W$3-J1749)/($W$3-$V$3)))+$U$4*MAX(0,MIN(1,($W$4-K1749)/($W$4-$V$4)))+$U$5*MAX(0,MIN(1,($W$5-L1749)/($W$5-$V$5)))+$U$6*MAX(0,MIN(1,($W$6-M1749)/($W$6-$V$6)))+$U$7*MAX(0,MIN(1,($W$7-N1749)/($W$7-$V$7)))+$U$8*IF(AND(O1749&gt;=$V$8,O1749&lt;=$W$8),1,0))/$U$9*100,2)</f>
        <v>50.15</v>
      </c>
      <c r="C1749" s="27" t="s">
        <v>1390</v>
      </c>
      <c r="D1749" s="25" t="s">
        <v>134</v>
      </c>
      <c r="E1749" s="25" t="s">
        <v>3450</v>
      </c>
      <c r="F1749" s="25" t="s">
        <v>3448</v>
      </c>
      <c r="G1749" s="38" t="s">
        <v>30</v>
      </c>
      <c r="H1749" s="28" t="s">
        <v>25</v>
      </c>
      <c r="I1749" s="25" t="n">
        <v>5</v>
      </c>
      <c r="J1749" s="25" t="n">
        <v>1</v>
      </c>
      <c r="K1749" s="25" t="n">
        <v>5</v>
      </c>
      <c r="L1749" s="29" t="n">
        <v>0.74</v>
      </c>
      <c r="M1749" s="30" t="n">
        <v>31.76</v>
      </c>
      <c r="N1749" s="29" t="n">
        <v>0</v>
      </c>
      <c r="O1749" s="25" t="n">
        <v>184</v>
      </c>
      <c r="P1749" s="30" t="n">
        <v>14.87</v>
      </c>
      <c r="Q1749" s="27" t="s">
        <v>3824</v>
      </c>
      <c r="R1749" s="27" t="s">
        <v>1140</v>
      </c>
    </row>
    <row r="1750" customFormat="false" ht="15" hidden="false" customHeight="false" outlineLevel="0" collapsed="false">
      <c r="A1750" s="25" t="n">
        <f aca="false">IF(G1750="REJECT",COUNTIF($G$2:$G$2277,"&lt;&gt;REJECT")+1+COUNTIFS($G$2:$G$2277,"REJECT",$B$2:$B$2277,"&gt;"&amp;B1750),1+COUNTIFS($G$2:$G$2277,"&lt;&gt;REJECT",$B$2:$B$2277,"&gt;"&amp;B1750))</f>
        <v>1748</v>
      </c>
      <c r="B1750" s="26" t="n">
        <f aca="false">ROUND(($U$2*MAX(0,MIN(1,($W$2-I1750)/($W$2-$V$2)))+$U$3*MAX(0,MIN(1,($W$3-J1750)/($W$3-$V$3)))+$U$4*MAX(0,MIN(1,($W$4-K1750)/($W$4-$V$4)))+$U$5*MAX(0,MIN(1,($W$5-L1750)/($W$5-$V$5)))+$U$6*MAX(0,MIN(1,($W$6-M1750)/($W$6-$V$6)))+$U$7*MAX(0,MIN(1,($W$7-N1750)/($W$7-$V$7)))+$U$8*IF(AND(O1750&gt;=$V$8,O1750&lt;=$W$8),1,0))/$U$9*100,2)</f>
        <v>50.15</v>
      </c>
      <c r="C1750" s="27" t="s">
        <v>3144</v>
      </c>
      <c r="D1750" s="25" t="s">
        <v>134</v>
      </c>
      <c r="E1750" s="25" t="s">
        <v>3447</v>
      </c>
      <c r="F1750" s="25" t="s">
        <v>3457</v>
      </c>
      <c r="G1750" s="38" t="s">
        <v>30</v>
      </c>
      <c r="H1750" s="28" t="s">
        <v>25</v>
      </c>
      <c r="I1750" s="25" t="n">
        <v>6</v>
      </c>
      <c r="J1750" s="25" t="n">
        <v>1</v>
      </c>
      <c r="K1750" s="25" t="n">
        <v>6</v>
      </c>
      <c r="L1750" s="29" t="n">
        <v>0.81</v>
      </c>
      <c r="M1750" s="30" t="n">
        <v>8.91</v>
      </c>
      <c r="N1750" s="29" t="n">
        <v>0.52</v>
      </c>
      <c r="O1750" s="25" t="n">
        <v>184</v>
      </c>
      <c r="P1750" s="30" t="n">
        <v>-1.14</v>
      </c>
      <c r="Q1750" s="27" t="s">
        <v>3825</v>
      </c>
      <c r="R1750" s="27" t="s">
        <v>1152</v>
      </c>
    </row>
    <row r="1751" customFormat="false" ht="15" hidden="false" customHeight="false" outlineLevel="0" collapsed="false">
      <c r="A1751" s="25" t="n">
        <f aca="false">IF(G1751="REJECT",COUNTIF($G$2:$G$2277,"&lt;&gt;REJECT")+1+COUNTIFS($G$2:$G$2277,"REJECT",$B$2:$B$2277,"&gt;"&amp;B1751),1+COUNTIFS($G$2:$G$2277,"&lt;&gt;REJECT",$B$2:$B$2277,"&gt;"&amp;B1751))</f>
        <v>1750</v>
      </c>
      <c r="B1751" s="26" t="n">
        <f aca="false">ROUND(($U$2*MAX(0,MIN(1,($W$2-I1751)/($W$2-$V$2)))+$U$3*MAX(0,MIN(1,($W$3-J1751)/($W$3-$V$3)))+$U$4*MAX(0,MIN(1,($W$4-K1751)/($W$4-$V$4)))+$U$5*MAX(0,MIN(1,($W$5-L1751)/($W$5-$V$5)))+$U$6*MAX(0,MIN(1,($W$6-M1751)/($W$6-$V$6)))+$U$7*MAX(0,MIN(1,($W$7-N1751)/($W$7-$V$7)))+$U$8*IF(AND(O1751&gt;=$V$8,O1751&lt;=$W$8),1,0))/$U$9*100,2)</f>
        <v>50.02</v>
      </c>
      <c r="C1751" s="27" t="s">
        <v>2397</v>
      </c>
      <c r="D1751" s="25" t="s">
        <v>3459</v>
      </c>
      <c r="E1751" s="25" t="s">
        <v>3450</v>
      </c>
      <c r="F1751" s="25" t="s">
        <v>3457</v>
      </c>
      <c r="G1751" s="38" t="s">
        <v>30</v>
      </c>
      <c r="H1751" s="28" t="s">
        <v>25</v>
      </c>
      <c r="I1751" s="25" t="n">
        <v>4</v>
      </c>
      <c r="J1751" s="25" t="n">
        <v>1</v>
      </c>
      <c r="K1751" s="25" t="n">
        <v>4</v>
      </c>
      <c r="L1751" s="29" t="n">
        <v>0.6</v>
      </c>
      <c r="M1751" s="30" t="n">
        <v>13.06</v>
      </c>
      <c r="N1751" s="29" t="n">
        <v>0.48</v>
      </c>
      <c r="O1751" s="25" t="n">
        <v>184</v>
      </c>
      <c r="P1751" s="30" t="n">
        <v>16.13</v>
      </c>
      <c r="Q1751" s="27" t="s">
        <v>3773</v>
      </c>
      <c r="R1751" s="27" t="s">
        <v>283</v>
      </c>
    </row>
    <row r="1752" customFormat="false" ht="15" hidden="false" customHeight="false" outlineLevel="0" collapsed="false">
      <c r="A1752" s="25" t="n">
        <f aca="false">IF(G1752="REJECT",COUNTIF($G$2:$G$2277,"&lt;&gt;REJECT")+1+COUNTIFS($G$2:$G$2277,"REJECT",$B$2:$B$2277,"&gt;"&amp;B1752),1+COUNTIFS($G$2:$G$2277,"&lt;&gt;REJECT",$B$2:$B$2277,"&gt;"&amp;B1752))</f>
        <v>1751</v>
      </c>
      <c r="B1752" s="26" t="n">
        <f aca="false">ROUND(($U$2*MAX(0,MIN(1,($W$2-I1752)/($W$2-$V$2)))+$U$3*MAX(0,MIN(1,($W$3-J1752)/($W$3-$V$3)))+$U$4*MAX(0,MIN(1,($W$4-K1752)/($W$4-$V$4)))+$U$5*MAX(0,MIN(1,($W$5-L1752)/($W$5-$V$5)))+$U$6*MAX(0,MIN(1,($W$6-M1752)/($W$6-$V$6)))+$U$7*MAX(0,MIN(1,($W$7-N1752)/($W$7-$V$7)))+$U$8*IF(AND(O1752&gt;=$V$8,O1752&lt;=$W$8),1,0))/$U$9*100,2)</f>
        <v>49.95</v>
      </c>
      <c r="C1752" s="27" t="s">
        <v>2672</v>
      </c>
      <c r="D1752" s="25" t="s">
        <v>134</v>
      </c>
      <c r="E1752" s="25" t="s">
        <v>3450</v>
      </c>
      <c r="F1752" s="25" t="s">
        <v>3448</v>
      </c>
      <c r="G1752" s="38" t="s">
        <v>30</v>
      </c>
      <c r="H1752" s="28" t="s">
        <v>25</v>
      </c>
      <c r="I1752" s="25" t="n">
        <v>4</v>
      </c>
      <c r="J1752" s="25" t="n">
        <v>1</v>
      </c>
      <c r="K1752" s="25" t="n">
        <v>4</v>
      </c>
      <c r="L1752" s="29" t="n">
        <v>0.63</v>
      </c>
      <c r="M1752" s="30" t="n">
        <v>21.52</v>
      </c>
      <c r="N1752" s="29" t="n">
        <v>0.76</v>
      </c>
      <c r="O1752" s="25" t="n">
        <v>189</v>
      </c>
      <c r="P1752" s="30" t="n">
        <v>17.77</v>
      </c>
      <c r="Q1752" s="27" t="s">
        <v>3737</v>
      </c>
      <c r="R1752" s="27" t="s">
        <v>163</v>
      </c>
    </row>
    <row r="1753" customFormat="false" ht="15" hidden="false" customHeight="false" outlineLevel="0" collapsed="false">
      <c r="A1753" s="25" t="n">
        <f aca="false">IF(G1753="REJECT",COUNTIF($G$2:$G$2277,"&lt;&gt;REJECT")+1+COUNTIFS($G$2:$G$2277,"REJECT",$B$2:$B$2277,"&gt;"&amp;B1753),1+COUNTIFS($G$2:$G$2277,"&lt;&gt;REJECT",$B$2:$B$2277,"&gt;"&amp;B1753))</f>
        <v>1752</v>
      </c>
      <c r="B1753" s="26" t="n">
        <f aca="false">ROUND(($U$2*MAX(0,MIN(1,($W$2-I1753)/($W$2-$V$2)))+$U$3*MAX(0,MIN(1,($W$3-J1753)/($W$3-$V$3)))+$U$4*MAX(0,MIN(1,($W$4-K1753)/($W$4-$V$4)))+$U$5*MAX(0,MIN(1,($W$5-L1753)/($W$5-$V$5)))+$U$6*MAX(0,MIN(1,($W$6-M1753)/($W$6-$V$6)))+$U$7*MAX(0,MIN(1,($W$7-N1753)/($W$7-$V$7)))+$U$8*IF(AND(O1753&gt;=$V$8,O1753&lt;=$W$8),1,0))/$U$9*100,2)</f>
        <v>49.91</v>
      </c>
      <c r="C1753" s="27" t="s">
        <v>388</v>
      </c>
      <c r="D1753" s="25" t="s">
        <v>134</v>
      </c>
      <c r="E1753" s="25" t="s">
        <v>3450</v>
      </c>
      <c r="F1753" s="25" t="s">
        <v>3448</v>
      </c>
      <c r="G1753" s="38" t="s">
        <v>30</v>
      </c>
      <c r="H1753" s="28" t="s">
        <v>25</v>
      </c>
      <c r="I1753" s="25" t="n">
        <v>5</v>
      </c>
      <c r="J1753" s="25" t="n">
        <v>1</v>
      </c>
      <c r="K1753" s="25" t="n">
        <v>5</v>
      </c>
      <c r="L1753" s="29" t="n">
        <v>0.7</v>
      </c>
      <c r="M1753" s="30" t="n">
        <v>11.05</v>
      </c>
      <c r="N1753" s="29" t="n">
        <v>0.6</v>
      </c>
      <c r="O1753" s="25" t="n">
        <v>182</v>
      </c>
      <c r="P1753" s="30" t="n">
        <v>-0.95</v>
      </c>
      <c r="Q1753" s="27" t="s">
        <v>3826</v>
      </c>
      <c r="R1753" s="27" t="s">
        <v>1230</v>
      </c>
    </row>
    <row r="1754" customFormat="false" ht="15" hidden="false" customHeight="false" outlineLevel="0" collapsed="false">
      <c r="A1754" s="25" t="n">
        <f aca="false">IF(G1754="REJECT",COUNTIF($G$2:$G$2277,"&lt;&gt;REJECT")+1+COUNTIFS($G$2:$G$2277,"REJECT",$B$2:$B$2277,"&gt;"&amp;B1754),1+COUNTIFS($G$2:$G$2277,"&lt;&gt;REJECT",$B$2:$B$2277,"&gt;"&amp;B1754))</f>
        <v>1753</v>
      </c>
      <c r="B1754" s="26" t="n">
        <f aca="false">ROUND(($U$2*MAX(0,MIN(1,($W$2-I1754)/($W$2-$V$2)))+$U$3*MAX(0,MIN(1,($W$3-J1754)/($W$3-$V$3)))+$U$4*MAX(0,MIN(1,($W$4-K1754)/($W$4-$V$4)))+$U$5*MAX(0,MIN(1,($W$5-L1754)/($W$5-$V$5)))+$U$6*MAX(0,MIN(1,($W$6-M1754)/($W$6-$V$6)))+$U$7*MAX(0,MIN(1,($W$7-N1754)/($W$7-$V$7)))+$U$8*IF(AND(O1754&gt;=$V$8,O1754&lt;=$W$8),1,0))/$U$9*100,2)</f>
        <v>49.86</v>
      </c>
      <c r="C1754" s="27" t="s">
        <v>1068</v>
      </c>
      <c r="D1754" s="25" t="s">
        <v>3459</v>
      </c>
      <c r="E1754" s="25" t="s">
        <v>3447</v>
      </c>
      <c r="F1754" s="25" t="s">
        <v>3457</v>
      </c>
      <c r="G1754" s="38" t="s">
        <v>30</v>
      </c>
      <c r="H1754" s="28" t="s">
        <v>25</v>
      </c>
      <c r="I1754" s="25" t="n">
        <v>5</v>
      </c>
      <c r="J1754" s="25" t="n">
        <v>1</v>
      </c>
      <c r="K1754" s="25" t="n">
        <v>5</v>
      </c>
      <c r="L1754" s="29" t="n">
        <v>0.74</v>
      </c>
      <c r="M1754" s="30" t="n">
        <v>26.52</v>
      </c>
      <c r="N1754" s="29" t="n">
        <v>0.52</v>
      </c>
      <c r="O1754" s="25" t="n">
        <v>183</v>
      </c>
      <c r="P1754" s="30" t="n">
        <v>2.88</v>
      </c>
      <c r="Q1754" s="27" t="s">
        <v>3827</v>
      </c>
      <c r="R1754" s="27" t="s">
        <v>183</v>
      </c>
    </row>
    <row r="1755" customFormat="false" ht="15" hidden="false" customHeight="false" outlineLevel="0" collapsed="false">
      <c r="A1755" s="25" t="n">
        <f aca="false">IF(G1755="REJECT",COUNTIF($G$2:$G$2277,"&lt;&gt;REJECT")+1+COUNTIFS($G$2:$G$2277,"REJECT",$B$2:$B$2277,"&gt;"&amp;B1755),1+COUNTIFS($G$2:$G$2277,"&lt;&gt;REJECT",$B$2:$B$2277,"&gt;"&amp;B1755))</f>
        <v>1754</v>
      </c>
      <c r="B1755" s="26" t="n">
        <f aca="false">ROUND(($U$2*MAX(0,MIN(1,($W$2-I1755)/($W$2-$V$2)))+$U$3*MAX(0,MIN(1,($W$3-J1755)/($W$3-$V$3)))+$U$4*MAX(0,MIN(1,($W$4-K1755)/($W$4-$V$4)))+$U$5*MAX(0,MIN(1,($W$5-L1755)/($W$5-$V$5)))+$U$6*MAX(0,MIN(1,($W$6-M1755)/($W$6-$V$6)))+$U$7*MAX(0,MIN(1,($W$7-N1755)/($W$7-$V$7)))+$U$8*IF(AND(O1755&gt;=$V$8,O1755&lt;=$W$8),1,0))/$U$9*100,2)</f>
        <v>49.81</v>
      </c>
      <c r="C1755" s="27" t="s">
        <v>1608</v>
      </c>
      <c r="D1755" s="25" t="s">
        <v>3459</v>
      </c>
      <c r="E1755" s="25" t="s">
        <v>3447</v>
      </c>
      <c r="F1755" s="25" t="s">
        <v>3448</v>
      </c>
      <c r="G1755" s="38" t="s">
        <v>30</v>
      </c>
      <c r="H1755" s="28" t="s">
        <v>25</v>
      </c>
      <c r="I1755" s="25" t="n">
        <v>6</v>
      </c>
      <c r="J1755" s="25" t="n">
        <v>1</v>
      </c>
      <c r="K1755" s="25" t="n">
        <v>6</v>
      </c>
      <c r="L1755" s="29" t="n">
        <v>0.83</v>
      </c>
      <c r="M1755" s="30" t="n">
        <v>10.96</v>
      </c>
      <c r="N1755" s="29" t="n">
        <v>0.52</v>
      </c>
      <c r="O1755" s="25" t="n">
        <v>190</v>
      </c>
      <c r="P1755" s="30" t="n">
        <v>-0.86</v>
      </c>
      <c r="Q1755" s="27" t="s">
        <v>3828</v>
      </c>
      <c r="R1755" s="27" t="s">
        <v>1099</v>
      </c>
    </row>
    <row r="1756" customFormat="false" ht="15" hidden="false" customHeight="false" outlineLevel="0" collapsed="false">
      <c r="A1756" s="25" t="n">
        <f aca="false">IF(G1756="REJECT",COUNTIF($G$2:$G$2277,"&lt;&gt;REJECT")+1+COUNTIFS($G$2:$G$2277,"REJECT",$B$2:$B$2277,"&gt;"&amp;B1756),1+COUNTIFS($G$2:$G$2277,"&lt;&gt;REJECT",$B$2:$B$2277,"&gt;"&amp;B1756))</f>
        <v>1755</v>
      </c>
      <c r="B1756" s="26" t="n">
        <f aca="false">ROUND(($U$2*MAX(0,MIN(1,($W$2-I1756)/($W$2-$V$2)))+$U$3*MAX(0,MIN(1,($W$3-J1756)/($W$3-$V$3)))+$U$4*MAX(0,MIN(1,($W$4-K1756)/($W$4-$V$4)))+$U$5*MAX(0,MIN(1,($W$5-L1756)/($W$5-$V$5)))+$U$6*MAX(0,MIN(1,($W$6-M1756)/($W$6-$V$6)))+$U$7*MAX(0,MIN(1,($W$7-N1756)/($W$7-$V$7)))+$U$8*IF(AND(O1756&gt;=$V$8,O1756&lt;=$W$8),1,0))/$U$9*100,2)</f>
        <v>49.57</v>
      </c>
      <c r="C1756" s="27" t="s">
        <v>1799</v>
      </c>
      <c r="D1756" s="25" t="s">
        <v>134</v>
      </c>
      <c r="E1756" s="25" t="s">
        <v>3450</v>
      </c>
      <c r="F1756" s="25" t="s">
        <v>3457</v>
      </c>
      <c r="G1756" s="38" t="s">
        <v>30</v>
      </c>
      <c r="H1756" s="28" t="s">
        <v>25</v>
      </c>
      <c r="I1756" s="25" t="n">
        <v>5</v>
      </c>
      <c r="J1756" s="25" t="n">
        <v>1</v>
      </c>
      <c r="K1756" s="25" t="n">
        <v>5</v>
      </c>
      <c r="L1756" s="29" t="n">
        <v>0.65</v>
      </c>
      <c r="M1756" s="30" t="n">
        <v>1.08</v>
      </c>
      <c r="N1756" s="29" t="n">
        <v>0</v>
      </c>
      <c r="O1756" s="25" t="n">
        <v>192</v>
      </c>
      <c r="P1756" s="30" t="n">
        <v>16.13</v>
      </c>
      <c r="Q1756" s="27" t="s">
        <v>3829</v>
      </c>
      <c r="R1756" s="27" t="s">
        <v>283</v>
      </c>
    </row>
    <row r="1757" customFormat="false" ht="15" hidden="false" customHeight="false" outlineLevel="0" collapsed="false">
      <c r="A1757" s="25" t="n">
        <f aca="false">IF(G1757="REJECT",COUNTIF($G$2:$G$2277,"&lt;&gt;REJECT")+1+COUNTIFS($G$2:$G$2277,"REJECT",$B$2:$B$2277,"&gt;"&amp;B1757),1+COUNTIFS($G$2:$G$2277,"&lt;&gt;REJECT",$B$2:$B$2277,"&gt;"&amp;B1757))</f>
        <v>1756</v>
      </c>
      <c r="B1757" s="26" t="n">
        <f aca="false">ROUND(($U$2*MAX(0,MIN(1,($W$2-I1757)/($W$2-$V$2)))+$U$3*MAX(0,MIN(1,($W$3-J1757)/($W$3-$V$3)))+$U$4*MAX(0,MIN(1,($W$4-K1757)/($W$4-$V$4)))+$U$5*MAX(0,MIN(1,($W$5-L1757)/($W$5-$V$5)))+$U$6*MAX(0,MIN(1,($W$6-M1757)/($W$6-$V$6)))+$U$7*MAX(0,MIN(1,($W$7-N1757)/($W$7-$V$7)))+$U$8*IF(AND(O1757&gt;=$V$8,O1757&lt;=$W$8),1,0))/$U$9*100,2)</f>
        <v>49.27</v>
      </c>
      <c r="C1757" s="27" t="s">
        <v>449</v>
      </c>
      <c r="D1757" s="25" t="s">
        <v>134</v>
      </c>
      <c r="E1757" s="25" t="s">
        <v>3450</v>
      </c>
      <c r="F1757" s="25" t="s">
        <v>3457</v>
      </c>
      <c r="G1757" s="38" t="s">
        <v>30</v>
      </c>
      <c r="H1757" s="28" t="s">
        <v>25</v>
      </c>
      <c r="I1757" s="25" t="n">
        <v>5</v>
      </c>
      <c r="J1757" s="25" t="n">
        <v>1</v>
      </c>
      <c r="K1757" s="25" t="n">
        <v>5</v>
      </c>
      <c r="L1757" s="29" t="n">
        <v>0.66</v>
      </c>
      <c r="M1757" s="30" t="n">
        <v>6.49</v>
      </c>
      <c r="N1757" s="29" t="n">
        <v>0</v>
      </c>
      <c r="O1757" s="25" t="n">
        <v>186</v>
      </c>
      <c r="P1757" s="30" t="n">
        <v>8.28</v>
      </c>
      <c r="Q1757" s="27" t="s">
        <v>3808</v>
      </c>
      <c r="R1757" s="27" t="s">
        <v>283</v>
      </c>
    </row>
    <row r="1758" customFormat="false" ht="15" hidden="false" customHeight="false" outlineLevel="0" collapsed="false">
      <c r="A1758" s="25" t="n">
        <f aca="false">IF(G1758="REJECT",COUNTIF($G$2:$G$2277,"&lt;&gt;REJECT")+1+COUNTIFS($G$2:$G$2277,"REJECT",$B$2:$B$2277,"&gt;"&amp;B1758),1+COUNTIFS($G$2:$G$2277,"&lt;&gt;REJECT",$B$2:$B$2277,"&gt;"&amp;B1758))</f>
        <v>1757</v>
      </c>
      <c r="B1758" s="26" t="n">
        <f aca="false">ROUND(($U$2*MAX(0,MIN(1,($W$2-I1758)/($W$2-$V$2)))+$U$3*MAX(0,MIN(1,($W$3-J1758)/($W$3-$V$3)))+$U$4*MAX(0,MIN(1,($W$4-K1758)/($W$4-$V$4)))+$U$5*MAX(0,MIN(1,($W$5-L1758)/($W$5-$V$5)))+$U$6*MAX(0,MIN(1,($W$6-M1758)/($W$6-$V$6)))+$U$7*MAX(0,MIN(1,($W$7-N1758)/($W$7-$V$7)))+$U$8*IF(AND(O1758&gt;=$V$8,O1758&lt;=$W$8),1,0))/$U$9*100,2)</f>
        <v>49.14</v>
      </c>
      <c r="C1758" s="27" t="s">
        <v>3400</v>
      </c>
      <c r="D1758" s="25" t="s">
        <v>134</v>
      </c>
      <c r="E1758" s="25" t="s">
        <v>3450</v>
      </c>
      <c r="F1758" s="25" t="s">
        <v>3457</v>
      </c>
      <c r="G1758" s="38" t="s">
        <v>30</v>
      </c>
      <c r="H1758" s="28" t="s">
        <v>25</v>
      </c>
      <c r="I1758" s="25" t="n">
        <v>5</v>
      </c>
      <c r="J1758" s="25" t="n">
        <v>1</v>
      </c>
      <c r="K1758" s="25" t="n">
        <v>5</v>
      </c>
      <c r="L1758" s="29" t="n">
        <v>0.69</v>
      </c>
      <c r="M1758" s="30" t="n">
        <v>10.87</v>
      </c>
      <c r="N1758" s="29" t="n">
        <v>0.72</v>
      </c>
      <c r="O1758" s="25" t="n">
        <v>184</v>
      </c>
      <c r="P1758" s="30" t="n">
        <v>-0.24</v>
      </c>
      <c r="Q1758" s="27" t="s">
        <v>3802</v>
      </c>
      <c r="R1758" s="27" t="s">
        <v>1230</v>
      </c>
    </row>
    <row r="1759" customFormat="false" ht="15" hidden="false" customHeight="false" outlineLevel="0" collapsed="false">
      <c r="A1759" s="25" t="n">
        <f aca="false">IF(G1759="REJECT",COUNTIF($G$2:$G$2277,"&lt;&gt;REJECT")+1+COUNTIFS($G$2:$G$2277,"REJECT",$B$2:$B$2277,"&gt;"&amp;B1759),1+COUNTIFS($G$2:$G$2277,"&lt;&gt;REJECT",$B$2:$B$2277,"&gt;"&amp;B1759))</f>
        <v>1758</v>
      </c>
      <c r="B1759" s="26" t="n">
        <f aca="false">ROUND(($U$2*MAX(0,MIN(1,($W$2-I1759)/($W$2-$V$2)))+$U$3*MAX(0,MIN(1,($W$3-J1759)/($W$3-$V$3)))+$U$4*MAX(0,MIN(1,($W$4-K1759)/($W$4-$V$4)))+$U$5*MAX(0,MIN(1,($W$5-L1759)/($W$5-$V$5)))+$U$6*MAX(0,MIN(1,($W$6-M1759)/($W$6-$V$6)))+$U$7*MAX(0,MIN(1,($W$7-N1759)/($W$7-$V$7)))+$U$8*IF(AND(O1759&gt;=$V$8,O1759&lt;=$W$8),1,0))/$U$9*100,2)</f>
        <v>49.04</v>
      </c>
      <c r="C1759" s="27" t="s">
        <v>885</v>
      </c>
      <c r="D1759" s="25" t="s">
        <v>134</v>
      </c>
      <c r="E1759" s="25" t="s">
        <v>3447</v>
      </c>
      <c r="F1759" s="25" t="s">
        <v>3457</v>
      </c>
      <c r="G1759" s="38" t="s">
        <v>30</v>
      </c>
      <c r="H1759" s="28" t="s">
        <v>25</v>
      </c>
      <c r="I1759" s="25" t="n">
        <v>5</v>
      </c>
      <c r="J1759" s="25" t="n">
        <v>1</v>
      </c>
      <c r="K1759" s="25" t="n">
        <v>5</v>
      </c>
      <c r="L1759" s="29" t="n">
        <v>0.7</v>
      </c>
      <c r="M1759" s="30" t="n">
        <v>19.06</v>
      </c>
      <c r="N1759" s="29" t="n">
        <v>0.32</v>
      </c>
      <c r="O1759" s="25" t="n">
        <v>183</v>
      </c>
      <c r="P1759" s="30" t="n">
        <v>7.36</v>
      </c>
      <c r="Q1759" s="27" t="s">
        <v>3830</v>
      </c>
      <c r="R1759" s="27" t="s">
        <v>283</v>
      </c>
    </row>
    <row r="1760" customFormat="false" ht="15" hidden="false" customHeight="false" outlineLevel="0" collapsed="false">
      <c r="A1760" s="25" t="n">
        <f aca="false">IF(G1760="REJECT",COUNTIF($G$2:$G$2277,"&lt;&gt;REJECT")+1+COUNTIFS($G$2:$G$2277,"REJECT",$B$2:$B$2277,"&gt;"&amp;B1760),1+COUNTIFS($G$2:$G$2277,"&lt;&gt;REJECT",$B$2:$B$2277,"&gt;"&amp;B1760))</f>
        <v>1758</v>
      </c>
      <c r="B1760" s="26" t="n">
        <f aca="false">ROUND(($U$2*MAX(0,MIN(1,($W$2-I1760)/($W$2-$V$2)))+$U$3*MAX(0,MIN(1,($W$3-J1760)/($W$3-$V$3)))+$U$4*MAX(0,MIN(1,($W$4-K1760)/($W$4-$V$4)))+$U$5*MAX(0,MIN(1,($W$5-L1760)/($W$5-$V$5)))+$U$6*MAX(0,MIN(1,($W$6-M1760)/($W$6-$V$6)))+$U$7*MAX(0,MIN(1,($W$7-N1760)/($W$7-$V$7)))+$U$8*IF(AND(O1760&gt;=$V$8,O1760&lt;=$W$8),1,0))/$U$9*100,2)</f>
        <v>49.04</v>
      </c>
      <c r="C1760" s="27" t="s">
        <v>3182</v>
      </c>
      <c r="D1760" s="25" t="s">
        <v>134</v>
      </c>
      <c r="E1760" s="25" t="s">
        <v>3450</v>
      </c>
      <c r="F1760" s="25" t="s">
        <v>3457</v>
      </c>
      <c r="G1760" s="38" t="s">
        <v>30</v>
      </c>
      <c r="H1760" s="28" t="s">
        <v>25</v>
      </c>
      <c r="I1760" s="25" t="n">
        <v>5</v>
      </c>
      <c r="J1760" s="25" t="n">
        <v>1</v>
      </c>
      <c r="K1760" s="25" t="n">
        <v>5</v>
      </c>
      <c r="L1760" s="29" t="n">
        <v>0.69</v>
      </c>
      <c r="M1760" s="30" t="n">
        <v>18.68</v>
      </c>
      <c r="N1760" s="29" t="n">
        <v>0</v>
      </c>
      <c r="O1760" s="25" t="n">
        <v>184</v>
      </c>
      <c r="P1760" s="30" t="n">
        <v>5.23</v>
      </c>
      <c r="Q1760" s="27" t="s">
        <v>3808</v>
      </c>
      <c r="R1760" s="27" t="s">
        <v>283</v>
      </c>
    </row>
    <row r="1761" customFormat="false" ht="15" hidden="false" customHeight="false" outlineLevel="0" collapsed="false">
      <c r="A1761" s="25" t="n">
        <f aca="false">IF(G1761="REJECT",COUNTIF($G$2:$G$2277,"&lt;&gt;REJECT")+1+COUNTIFS($G$2:$G$2277,"REJECT",$B$2:$B$2277,"&gt;"&amp;B1761),1+COUNTIFS($G$2:$G$2277,"&lt;&gt;REJECT",$B$2:$B$2277,"&gt;"&amp;B1761))</f>
        <v>1760</v>
      </c>
      <c r="B1761" s="26" t="n">
        <f aca="false">ROUND(($U$2*MAX(0,MIN(1,($W$2-I1761)/($W$2-$V$2)))+$U$3*MAX(0,MIN(1,($W$3-J1761)/($W$3-$V$3)))+$U$4*MAX(0,MIN(1,($W$4-K1761)/($W$4-$V$4)))+$U$5*MAX(0,MIN(1,($W$5-L1761)/($W$5-$V$5)))+$U$6*MAX(0,MIN(1,($W$6-M1761)/($W$6-$V$6)))+$U$7*MAX(0,MIN(1,($W$7-N1761)/($W$7-$V$7)))+$U$8*IF(AND(O1761&gt;=$V$8,O1761&lt;=$W$8),1,0))/$U$9*100,2)</f>
        <v>49.03</v>
      </c>
      <c r="C1761" s="27" t="s">
        <v>1876</v>
      </c>
      <c r="D1761" s="25" t="s">
        <v>3459</v>
      </c>
      <c r="E1761" s="25" t="s">
        <v>3447</v>
      </c>
      <c r="F1761" s="25" t="s">
        <v>3448</v>
      </c>
      <c r="G1761" s="38" t="s">
        <v>30</v>
      </c>
      <c r="H1761" s="28" t="s">
        <v>25</v>
      </c>
      <c r="I1761" s="25" t="n">
        <v>5</v>
      </c>
      <c r="J1761" s="25" t="n">
        <v>1</v>
      </c>
      <c r="K1761" s="25" t="n">
        <v>5</v>
      </c>
      <c r="L1761" s="29" t="n">
        <v>0.7</v>
      </c>
      <c r="M1761" s="30" t="n">
        <v>21.12</v>
      </c>
      <c r="N1761" s="29" t="n">
        <v>0.12</v>
      </c>
      <c r="O1761" s="25" t="n">
        <v>182</v>
      </c>
      <c r="P1761" s="30" t="n">
        <v>8.58</v>
      </c>
      <c r="Q1761" s="27" t="s">
        <v>3831</v>
      </c>
      <c r="R1761" s="27" t="s">
        <v>183</v>
      </c>
    </row>
    <row r="1762" customFormat="false" ht="15" hidden="false" customHeight="false" outlineLevel="0" collapsed="false">
      <c r="A1762" s="25" t="n">
        <f aca="false">IF(G1762="REJECT",COUNTIF($G$2:$G$2277,"&lt;&gt;REJECT")+1+COUNTIFS($G$2:$G$2277,"REJECT",$B$2:$B$2277,"&gt;"&amp;B1762),1+COUNTIFS($G$2:$G$2277,"&lt;&gt;REJECT",$B$2:$B$2277,"&gt;"&amp;B1762))</f>
        <v>1761</v>
      </c>
      <c r="B1762" s="26" t="n">
        <f aca="false">ROUND(($U$2*MAX(0,MIN(1,($W$2-I1762)/($W$2-$V$2)))+$U$3*MAX(0,MIN(1,($W$3-J1762)/($W$3-$V$3)))+$U$4*MAX(0,MIN(1,($W$4-K1762)/($W$4-$V$4)))+$U$5*MAX(0,MIN(1,($W$5-L1762)/($W$5-$V$5)))+$U$6*MAX(0,MIN(1,($W$6-M1762)/($W$6-$V$6)))+$U$7*MAX(0,MIN(1,($W$7-N1762)/($W$7-$V$7)))+$U$8*IF(AND(O1762&gt;=$V$8,O1762&lt;=$W$8),1,0))/$U$9*100,2)</f>
        <v>49</v>
      </c>
      <c r="C1762" s="27" t="s">
        <v>2947</v>
      </c>
      <c r="D1762" s="25" t="s">
        <v>134</v>
      </c>
      <c r="E1762" s="25" t="s">
        <v>3450</v>
      </c>
      <c r="F1762" s="25" t="s">
        <v>3448</v>
      </c>
      <c r="G1762" s="38" t="s">
        <v>30</v>
      </c>
      <c r="H1762" s="28" t="s">
        <v>25</v>
      </c>
      <c r="I1762" s="25" t="n">
        <v>5</v>
      </c>
      <c r="J1762" s="25" t="n">
        <v>1</v>
      </c>
      <c r="K1762" s="25" t="n">
        <v>5</v>
      </c>
      <c r="L1762" s="29" t="n">
        <v>0.7</v>
      </c>
      <c r="M1762" s="30" t="n">
        <v>20.13</v>
      </c>
      <c r="N1762" s="29" t="n">
        <v>0.24</v>
      </c>
      <c r="O1762" s="25" t="n">
        <v>188</v>
      </c>
      <c r="P1762" s="30" t="n">
        <v>9.36</v>
      </c>
      <c r="Q1762" s="27" t="s">
        <v>3816</v>
      </c>
      <c r="R1762" s="27" t="s">
        <v>183</v>
      </c>
    </row>
    <row r="1763" customFormat="false" ht="15" hidden="false" customHeight="false" outlineLevel="0" collapsed="false">
      <c r="A1763" s="25" t="n">
        <f aca="false">IF(G1763="REJECT",COUNTIF($G$2:$G$2277,"&lt;&gt;REJECT")+1+COUNTIFS($G$2:$G$2277,"REJECT",$B$2:$B$2277,"&gt;"&amp;B1763),1+COUNTIFS($G$2:$G$2277,"&lt;&gt;REJECT",$B$2:$B$2277,"&gt;"&amp;B1763))</f>
        <v>1762</v>
      </c>
      <c r="B1763" s="26" t="n">
        <f aca="false">ROUND(($U$2*MAX(0,MIN(1,($W$2-I1763)/($W$2-$V$2)))+$U$3*MAX(0,MIN(1,($W$3-J1763)/($W$3-$V$3)))+$U$4*MAX(0,MIN(1,($W$4-K1763)/($W$4-$V$4)))+$U$5*MAX(0,MIN(1,($W$5-L1763)/($W$5-$V$5)))+$U$6*MAX(0,MIN(1,($W$6-M1763)/($W$6-$V$6)))+$U$7*MAX(0,MIN(1,($W$7-N1763)/($W$7-$V$7)))+$U$8*IF(AND(O1763&gt;=$V$8,O1763&lt;=$W$8),1,0))/$U$9*100,2)</f>
        <v>48.77</v>
      </c>
      <c r="C1763" s="27" t="s">
        <v>2055</v>
      </c>
      <c r="D1763" s="25" t="s">
        <v>3459</v>
      </c>
      <c r="E1763" s="25" t="s">
        <v>3450</v>
      </c>
      <c r="F1763" s="25" t="s">
        <v>3457</v>
      </c>
      <c r="G1763" s="38" t="s">
        <v>30</v>
      </c>
      <c r="H1763" s="28" t="s">
        <v>25</v>
      </c>
      <c r="I1763" s="25" t="n">
        <v>4</v>
      </c>
      <c r="J1763" s="25" t="n">
        <v>1</v>
      </c>
      <c r="K1763" s="25" t="n">
        <v>4</v>
      </c>
      <c r="L1763" s="29" t="n">
        <v>0.6</v>
      </c>
      <c r="M1763" s="30" t="n">
        <v>25.38</v>
      </c>
      <c r="N1763" s="29" t="n">
        <v>0</v>
      </c>
      <c r="O1763" s="25" t="n">
        <v>183</v>
      </c>
      <c r="P1763" s="30" t="n">
        <v>10.16</v>
      </c>
      <c r="Q1763" s="27" t="s">
        <v>3773</v>
      </c>
      <c r="R1763" s="27" t="s">
        <v>183</v>
      </c>
    </row>
    <row r="1764" customFormat="false" ht="15" hidden="false" customHeight="false" outlineLevel="0" collapsed="false">
      <c r="A1764" s="25" t="n">
        <f aca="false">IF(G1764="REJECT",COUNTIF($G$2:$G$2277,"&lt;&gt;REJECT")+1+COUNTIFS($G$2:$G$2277,"REJECT",$B$2:$B$2277,"&gt;"&amp;B1764),1+COUNTIFS($G$2:$G$2277,"&lt;&gt;REJECT",$B$2:$B$2277,"&gt;"&amp;B1764))</f>
        <v>1763</v>
      </c>
      <c r="B1764" s="26" t="n">
        <f aca="false">ROUND(($U$2*MAX(0,MIN(1,($W$2-I1764)/($W$2-$V$2)))+$U$3*MAX(0,MIN(1,($W$3-J1764)/($W$3-$V$3)))+$U$4*MAX(0,MIN(1,($W$4-K1764)/($W$4-$V$4)))+$U$5*MAX(0,MIN(1,($W$5-L1764)/($W$5-$V$5)))+$U$6*MAX(0,MIN(1,($W$6-M1764)/($W$6-$V$6)))+$U$7*MAX(0,MIN(1,($W$7-N1764)/($W$7-$V$7)))+$U$8*IF(AND(O1764&gt;=$V$8,O1764&lt;=$W$8),1,0))/$U$9*100,2)</f>
        <v>48.72</v>
      </c>
      <c r="C1764" s="27" t="s">
        <v>2216</v>
      </c>
      <c r="D1764" s="25" t="s">
        <v>134</v>
      </c>
      <c r="E1764" s="25" t="s">
        <v>3450</v>
      </c>
      <c r="F1764" s="25" t="s">
        <v>3457</v>
      </c>
      <c r="G1764" s="38" t="s">
        <v>30</v>
      </c>
      <c r="H1764" s="28" t="s">
        <v>25</v>
      </c>
      <c r="I1764" s="25" t="n">
        <v>6</v>
      </c>
      <c r="J1764" s="25" t="n">
        <v>1</v>
      </c>
      <c r="K1764" s="25" t="n">
        <v>6</v>
      </c>
      <c r="L1764" s="29" t="n">
        <v>0.78</v>
      </c>
      <c r="M1764" s="30" t="n">
        <v>8.67</v>
      </c>
      <c r="N1764" s="29" t="n">
        <v>0.68</v>
      </c>
      <c r="O1764" s="25" t="n">
        <v>184</v>
      </c>
      <c r="P1764" s="30" t="n">
        <v>12.43</v>
      </c>
      <c r="Q1764" s="27" t="s">
        <v>3832</v>
      </c>
      <c r="R1764" s="27" t="s">
        <v>283</v>
      </c>
    </row>
    <row r="1765" customFormat="false" ht="15" hidden="false" customHeight="false" outlineLevel="0" collapsed="false">
      <c r="A1765" s="25" t="n">
        <f aca="false">IF(G1765="REJECT",COUNTIF($G$2:$G$2277,"&lt;&gt;REJECT")+1+COUNTIFS($G$2:$G$2277,"REJECT",$B$2:$B$2277,"&gt;"&amp;B1765),1+COUNTIFS($G$2:$G$2277,"&lt;&gt;REJECT",$B$2:$B$2277,"&gt;"&amp;B1765))</f>
        <v>1764</v>
      </c>
      <c r="B1765" s="26" t="n">
        <f aca="false">ROUND(($U$2*MAX(0,MIN(1,($W$2-I1765)/($W$2-$V$2)))+$U$3*MAX(0,MIN(1,($W$3-J1765)/($W$3-$V$3)))+$U$4*MAX(0,MIN(1,($W$4-K1765)/($W$4-$V$4)))+$U$5*MAX(0,MIN(1,($W$5-L1765)/($W$5-$V$5)))+$U$6*MAX(0,MIN(1,($W$6-M1765)/($W$6-$V$6)))+$U$7*MAX(0,MIN(1,($W$7-N1765)/($W$7-$V$7)))+$U$8*IF(AND(O1765&gt;=$V$8,O1765&lt;=$W$8),1,0))/$U$9*100,2)</f>
        <v>48.66</v>
      </c>
      <c r="C1765" s="27" t="s">
        <v>1825</v>
      </c>
      <c r="D1765" s="25" t="s">
        <v>134</v>
      </c>
      <c r="E1765" s="25" t="s">
        <v>3450</v>
      </c>
      <c r="F1765" s="25" t="s">
        <v>3448</v>
      </c>
      <c r="G1765" s="38" t="s">
        <v>30</v>
      </c>
      <c r="H1765" s="28" t="s">
        <v>25</v>
      </c>
      <c r="I1765" s="25" t="n">
        <v>5</v>
      </c>
      <c r="J1765" s="25" t="n">
        <v>1</v>
      </c>
      <c r="K1765" s="25" t="n">
        <v>5</v>
      </c>
      <c r="L1765" s="29" t="n">
        <v>0.66</v>
      </c>
      <c r="M1765" s="30" t="n">
        <v>10.14</v>
      </c>
      <c r="N1765" s="29" t="n">
        <v>0</v>
      </c>
      <c r="O1765" s="25" t="n">
        <v>183</v>
      </c>
      <c r="P1765" s="30" t="n">
        <v>6.21</v>
      </c>
      <c r="Q1765" s="27" t="s">
        <v>3816</v>
      </c>
      <c r="R1765" s="27" t="s">
        <v>1152</v>
      </c>
    </row>
    <row r="1766" customFormat="false" ht="15" hidden="false" customHeight="false" outlineLevel="0" collapsed="false">
      <c r="A1766" s="25" t="n">
        <f aca="false">IF(G1766="REJECT",COUNTIF($G$2:$G$2277,"&lt;&gt;REJECT")+1+COUNTIFS($G$2:$G$2277,"REJECT",$B$2:$B$2277,"&gt;"&amp;B1766),1+COUNTIFS($G$2:$G$2277,"&lt;&gt;REJECT",$B$2:$B$2277,"&gt;"&amp;B1766))</f>
        <v>1765</v>
      </c>
      <c r="B1766" s="26" t="n">
        <f aca="false">ROUND(($U$2*MAX(0,MIN(1,($W$2-I1766)/($W$2-$V$2)))+$U$3*MAX(0,MIN(1,($W$3-J1766)/($W$3-$V$3)))+$U$4*MAX(0,MIN(1,($W$4-K1766)/($W$4-$V$4)))+$U$5*MAX(0,MIN(1,($W$5-L1766)/($W$5-$V$5)))+$U$6*MAX(0,MIN(1,($W$6-M1766)/($W$6-$V$6)))+$U$7*MAX(0,MIN(1,($W$7-N1766)/($W$7-$V$7)))+$U$8*IF(AND(O1766&gt;=$V$8,O1766&lt;=$W$8),1,0))/$U$9*100,2)</f>
        <v>48.6</v>
      </c>
      <c r="C1766" s="27" t="s">
        <v>1527</v>
      </c>
      <c r="D1766" s="25" t="s">
        <v>134</v>
      </c>
      <c r="E1766" s="25" t="s">
        <v>3447</v>
      </c>
      <c r="F1766" s="25" t="s">
        <v>3448</v>
      </c>
      <c r="G1766" s="38" t="s">
        <v>30</v>
      </c>
      <c r="H1766" s="28" t="s">
        <v>25</v>
      </c>
      <c r="I1766" s="25" t="n">
        <v>5</v>
      </c>
      <c r="J1766" s="25" t="n">
        <v>1</v>
      </c>
      <c r="K1766" s="25" t="n">
        <v>5</v>
      </c>
      <c r="L1766" s="29" t="n">
        <v>0.69</v>
      </c>
      <c r="M1766" s="30" t="n">
        <v>14.09</v>
      </c>
      <c r="N1766" s="29" t="n">
        <v>0.72</v>
      </c>
      <c r="O1766" s="25" t="n">
        <v>187</v>
      </c>
      <c r="P1766" s="30" t="n">
        <v>5.61</v>
      </c>
      <c r="Q1766" s="27" t="s">
        <v>3833</v>
      </c>
      <c r="R1766" s="27" t="s">
        <v>1099</v>
      </c>
    </row>
    <row r="1767" customFormat="false" ht="15" hidden="false" customHeight="false" outlineLevel="0" collapsed="false">
      <c r="A1767" s="25" t="n">
        <f aca="false">IF(G1767="REJECT",COUNTIF($G$2:$G$2277,"&lt;&gt;REJECT")+1+COUNTIFS($G$2:$G$2277,"REJECT",$B$2:$B$2277,"&gt;"&amp;B1767),1+COUNTIFS($G$2:$G$2277,"&lt;&gt;REJECT",$B$2:$B$2277,"&gt;"&amp;B1767))</f>
        <v>1766</v>
      </c>
      <c r="B1767" s="26" t="n">
        <f aca="false">ROUND(($U$2*MAX(0,MIN(1,($W$2-I1767)/($W$2-$V$2)))+$U$3*MAX(0,MIN(1,($W$3-J1767)/($W$3-$V$3)))+$U$4*MAX(0,MIN(1,($W$4-K1767)/($W$4-$V$4)))+$U$5*MAX(0,MIN(1,($W$5-L1767)/($W$5-$V$5)))+$U$6*MAX(0,MIN(1,($W$6-M1767)/($W$6-$V$6)))+$U$7*MAX(0,MIN(1,($W$7-N1767)/($W$7-$V$7)))+$U$8*IF(AND(O1767&gt;=$V$8,O1767&lt;=$W$8),1,0))/$U$9*100,2)</f>
        <v>48.57</v>
      </c>
      <c r="C1767" s="27" t="s">
        <v>3418</v>
      </c>
      <c r="D1767" s="25" t="s">
        <v>134</v>
      </c>
      <c r="E1767" s="25" t="s">
        <v>3450</v>
      </c>
      <c r="F1767" s="25" t="s">
        <v>3457</v>
      </c>
      <c r="G1767" s="38" t="s">
        <v>30</v>
      </c>
      <c r="H1767" s="28" t="s">
        <v>25</v>
      </c>
      <c r="I1767" s="25" t="n">
        <v>5</v>
      </c>
      <c r="J1767" s="25" t="n">
        <v>1</v>
      </c>
      <c r="K1767" s="25" t="n">
        <v>5</v>
      </c>
      <c r="L1767" s="29" t="n">
        <v>0.69</v>
      </c>
      <c r="M1767" s="30" t="n">
        <v>21.49</v>
      </c>
      <c r="N1767" s="29" t="n">
        <v>0</v>
      </c>
      <c r="O1767" s="25" t="n">
        <v>183</v>
      </c>
      <c r="P1767" s="30" t="n">
        <v>7.75</v>
      </c>
      <c r="Q1767" s="27" t="s">
        <v>3834</v>
      </c>
      <c r="R1767" s="27" t="s">
        <v>183</v>
      </c>
    </row>
    <row r="1768" customFormat="false" ht="15" hidden="false" customHeight="false" outlineLevel="0" collapsed="false">
      <c r="A1768" s="25" t="n">
        <f aca="false">IF(G1768="REJECT",COUNTIF($G$2:$G$2277,"&lt;&gt;REJECT")+1+COUNTIFS($G$2:$G$2277,"REJECT",$B$2:$B$2277,"&gt;"&amp;B1768),1+COUNTIFS($G$2:$G$2277,"&lt;&gt;REJECT",$B$2:$B$2277,"&gt;"&amp;B1768))</f>
        <v>1767</v>
      </c>
      <c r="B1768" s="26" t="n">
        <f aca="false">ROUND(($U$2*MAX(0,MIN(1,($W$2-I1768)/($W$2-$V$2)))+$U$3*MAX(0,MIN(1,($W$3-J1768)/($W$3-$V$3)))+$U$4*MAX(0,MIN(1,($W$4-K1768)/($W$4-$V$4)))+$U$5*MAX(0,MIN(1,($W$5-L1768)/($W$5-$V$5)))+$U$6*MAX(0,MIN(1,($W$6-M1768)/($W$6-$V$6)))+$U$7*MAX(0,MIN(1,($W$7-N1768)/($W$7-$V$7)))+$U$8*IF(AND(O1768&gt;=$V$8,O1768&lt;=$W$8),1,0))/$U$9*100,2)</f>
        <v>48.13</v>
      </c>
      <c r="C1768" s="27" t="s">
        <v>1825</v>
      </c>
      <c r="D1768" s="25" t="s">
        <v>3459</v>
      </c>
      <c r="E1768" s="25" t="s">
        <v>3450</v>
      </c>
      <c r="F1768" s="25" t="s">
        <v>3448</v>
      </c>
      <c r="G1768" s="38" t="s">
        <v>30</v>
      </c>
      <c r="H1768" s="28" t="s">
        <v>25</v>
      </c>
      <c r="I1768" s="25" t="n">
        <v>4</v>
      </c>
      <c r="J1768" s="25" t="n">
        <v>1</v>
      </c>
      <c r="K1768" s="25" t="n">
        <v>4</v>
      </c>
      <c r="L1768" s="29" t="n">
        <v>0.5</v>
      </c>
      <c r="M1768" s="30" t="n">
        <v>9.6</v>
      </c>
      <c r="N1768" s="29" t="n">
        <v>0.16</v>
      </c>
      <c r="O1768" s="25" t="n">
        <v>187</v>
      </c>
      <c r="P1768" s="30" t="n">
        <v>3.74</v>
      </c>
      <c r="Q1768" s="27" t="s">
        <v>3734</v>
      </c>
      <c r="R1768" s="27" t="s">
        <v>1152</v>
      </c>
    </row>
    <row r="1769" customFormat="false" ht="15" hidden="false" customHeight="false" outlineLevel="0" collapsed="false">
      <c r="A1769" s="25" t="n">
        <f aca="false">IF(G1769="REJECT",COUNTIF($G$2:$G$2277,"&lt;&gt;REJECT")+1+COUNTIFS($G$2:$G$2277,"REJECT",$B$2:$B$2277,"&gt;"&amp;B1769),1+COUNTIFS($G$2:$G$2277,"&lt;&gt;REJECT",$B$2:$B$2277,"&gt;"&amp;B1769))</f>
        <v>1768</v>
      </c>
      <c r="B1769" s="26" t="n">
        <f aca="false">ROUND(($U$2*MAX(0,MIN(1,($W$2-I1769)/($W$2-$V$2)))+$U$3*MAX(0,MIN(1,($W$3-J1769)/($W$3-$V$3)))+$U$4*MAX(0,MIN(1,($W$4-K1769)/($W$4-$V$4)))+$U$5*MAX(0,MIN(1,($W$5-L1769)/($W$5-$V$5)))+$U$6*MAX(0,MIN(1,($W$6-M1769)/($W$6-$V$6)))+$U$7*MAX(0,MIN(1,($W$7-N1769)/($W$7-$V$7)))+$U$8*IF(AND(O1769&gt;=$V$8,O1769&lt;=$W$8),1,0))/$U$9*100,2)</f>
        <v>48.12</v>
      </c>
      <c r="C1769" s="27" t="s">
        <v>1429</v>
      </c>
      <c r="D1769" s="25" t="s">
        <v>134</v>
      </c>
      <c r="E1769" s="25" t="s">
        <v>3450</v>
      </c>
      <c r="F1769" s="25" t="s">
        <v>3457</v>
      </c>
      <c r="G1769" s="38" t="s">
        <v>30</v>
      </c>
      <c r="H1769" s="28" t="s">
        <v>25</v>
      </c>
      <c r="I1769" s="25" t="n">
        <v>6</v>
      </c>
      <c r="J1769" s="25" t="n">
        <v>1</v>
      </c>
      <c r="K1769" s="25" t="n">
        <v>6</v>
      </c>
      <c r="L1769" s="29" t="n">
        <v>0.78</v>
      </c>
      <c r="M1769" s="30" t="n">
        <v>17.89</v>
      </c>
      <c r="N1769" s="29" t="n">
        <v>0.12</v>
      </c>
      <c r="O1769" s="25" t="n">
        <v>184</v>
      </c>
      <c r="P1769" s="30" t="n">
        <v>22.96</v>
      </c>
      <c r="Q1769" s="27" t="s">
        <v>3835</v>
      </c>
      <c r="R1769" s="27" t="s">
        <v>283</v>
      </c>
    </row>
    <row r="1770" customFormat="false" ht="15" hidden="false" customHeight="false" outlineLevel="0" collapsed="false">
      <c r="A1770" s="25" t="n">
        <f aca="false">IF(G1770="REJECT",COUNTIF($G$2:$G$2277,"&lt;&gt;REJECT")+1+COUNTIFS($G$2:$G$2277,"REJECT",$B$2:$B$2277,"&gt;"&amp;B1770),1+COUNTIFS($G$2:$G$2277,"&lt;&gt;REJECT",$B$2:$B$2277,"&gt;"&amp;B1770))</f>
        <v>1769</v>
      </c>
      <c r="B1770" s="26" t="n">
        <f aca="false">ROUND(($U$2*MAX(0,MIN(1,($W$2-I1770)/($W$2-$V$2)))+$U$3*MAX(0,MIN(1,($W$3-J1770)/($W$3-$V$3)))+$U$4*MAX(0,MIN(1,($W$4-K1770)/($W$4-$V$4)))+$U$5*MAX(0,MIN(1,($W$5-L1770)/($W$5-$V$5)))+$U$6*MAX(0,MIN(1,($W$6-M1770)/($W$6-$V$6)))+$U$7*MAX(0,MIN(1,($W$7-N1770)/($W$7-$V$7)))+$U$8*IF(AND(O1770&gt;=$V$8,O1770&lt;=$W$8),1,0))/$U$9*100,2)</f>
        <v>47.99</v>
      </c>
      <c r="C1770" s="27" t="s">
        <v>2595</v>
      </c>
      <c r="D1770" s="25" t="s">
        <v>134</v>
      </c>
      <c r="E1770" s="25" t="s">
        <v>3450</v>
      </c>
      <c r="F1770" s="25" t="s">
        <v>3457</v>
      </c>
      <c r="G1770" s="38" t="s">
        <v>30</v>
      </c>
      <c r="H1770" s="28" t="s">
        <v>25</v>
      </c>
      <c r="I1770" s="25" t="n">
        <v>5</v>
      </c>
      <c r="J1770" s="25" t="n">
        <v>1</v>
      </c>
      <c r="K1770" s="25" t="n">
        <v>5</v>
      </c>
      <c r="L1770" s="29" t="n">
        <v>0.7</v>
      </c>
      <c r="M1770" s="30" t="n">
        <v>27.39</v>
      </c>
      <c r="N1770" s="29" t="n">
        <v>0.12</v>
      </c>
      <c r="O1770" s="25" t="n">
        <v>187</v>
      </c>
      <c r="P1770" s="30" t="n">
        <v>5.37</v>
      </c>
      <c r="Q1770" s="27" t="s">
        <v>3820</v>
      </c>
      <c r="R1770" s="27" t="s">
        <v>183</v>
      </c>
    </row>
    <row r="1771" customFormat="false" ht="15" hidden="false" customHeight="false" outlineLevel="0" collapsed="false">
      <c r="A1771" s="25" t="n">
        <f aca="false">IF(G1771="REJECT",COUNTIF($G$2:$G$2277,"&lt;&gt;REJECT")+1+COUNTIFS($G$2:$G$2277,"REJECT",$B$2:$B$2277,"&gt;"&amp;B1771),1+COUNTIFS($G$2:$G$2277,"&lt;&gt;REJECT",$B$2:$B$2277,"&gt;"&amp;B1771))</f>
        <v>1770</v>
      </c>
      <c r="B1771" s="26" t="n">
        <f aca="false">ROUND(($U$2*MAX(0,MIN(1,($W$2-I1771)/($W$2-$V$2)))+$U$3*MAX(0,MIN(1,($W$3-J1771)/($W$3-$V$3)))+$U$4*MAX(0,MIN(1,($W$4-K1771)/($W$4-$V$4)))+$U$5*MAX(0,MIN(1,($W$5-L1771)/($W$5-$V$5)))+$U$6*MAX(0,MIN(1,($W$6-M1771)/($W$6-$V$6)))+$U$7*MAX(0,MIN(1,($W$7-N1771)/($W$7-$V$7)))+$U$8*IF(AND(O1771&gt;=$V$8,O1771&lt;=$W$8),1,0))/$U$9*100,2)</f>
        <v>47.92</v>
      </c>
      <c r="C1771" s="27" t="s">
        <v>3242</v>
      </c>
      <c r="D1771" s="25" t="s">
        <v>134</v>
      </c>
      <c r="E1771" s="25" t="s">
        <v>3450</v>
      </c>
      <c r="F1771" s="25" t="s">
        <v>3448</v>
      </c>
      <c r="G1771" s="38" t="s">
        <v>30</v>
      </c>
      <c r="H1771" s="28" t="s">
        <v>25</v>
      </c>
      <c r="I1771" s="25" t="n">
        <v>5</v>
      </c>
      <c r="J1771" s="25" t="n">
        <v>1</v>
      </c>
      <c r="K1771" s="25" t="n">
        <v>5</v>
      </c>
      <c r="L1771" s="29" t="n">
        <v>0.71</v>
      </c>
      <c r="M1771" s="30" t="n">
        <v>28.58</v>
      </c>
      <c r="N1771" s="29" t="n">
        <v>0.4</v>
      </c>
      <c r="O1771" s="25" t="n">
        <v>187</v>
      </c>
      <c r="P1771" s="30" t="n">
        <v>17.66</v>
      </c>
      <c r="Q1771" s="27" t="s">
        <v>3808</v>
      </c>
      <c r="R1771" s="27" t="s">
        <v>183</v>
      </c>
    </row>
    <row r="1772" customFormat="false" ht="15" hidden="false" customHeight="false" outlineLevel="0" collapsed="false">
      <c r="A1772" s="25" t="n">
        <f aca="false">IF(G1772="REJECT",COUNTIF($G$2:$G$2277,"&lt;&gt;REJECT")+1+COUNTIFS($G$2:$G$2277,"REJECT",$B$2:$B$2277,"&gt;"&amp;B1772),1+COUNTIFS($G$2:$G$2277,"&lt;&gt;REJECT",$B$2:$B$2277,"&gt;"&amp;B1772))</f>
        <v>1771</v>
      </c>
      <c r="B1772" s="26" t="n">
        <f aca="false">ROUND(($U$2*MAX(0,MIN(1,($W$2-I1772)/($W$2-$V$2)))+$U$3*MAX(0,MIN(1,($W$3-J1772)/($W$3-$V$3)))+$U$4*MAX(0,MIN(1,($W$4-K1772)/($W$4-$V$4)))+$U$5*MAX(0,MIN(1,($W$5-L1772)/($W$5-$V$5)))+$U$6*MAX(0,MIN(1,($W$6-M1772)/($W$6-$V$6)))+$U$7*MAX(0,MIN(1,($W$7-N1772)/($W$7-$V$7)))+$U$8*IF(AND(O1772&gt;=$V$8,O1772&lt;=$W$8),1,0))/$U$9*100,2)</f>
        <v>47.68</v>
      </c>
      <c r="C1772" s="27" t="s">
        <v>3151</v>
      </c>
      <c r="D1772" s="25" t="s">
        <v>134</v>
      </c>
      <c r="E1772" s="25" t="s">
        <v>3450</v>
      </c>
      <c r="F1772" s="25" t="s">
        <v>3457</v>
      </c>
      <c r="G1772" s="38" t="s">
        <v>30</v>
      </c>
      <c r="H1772" s="28" t="s">
        <v>25</v>
      </c>
      <c r="I1772" s="25" t="n">
        <v>5</v>
      </c>
      <c r="J1772" s="25" t="n">
        <v>1</v>
      </c>
      <c r="K1772" s="25" t="n">
        <v>5</v>
      </c>
      <c r="L1772" s="29" t="n">
        <v>0.71</v>
      </c>
      <c r="M1772" s="30" t="n">
        <v>30.03</v>
      </c>
      <c r="N1772" s="29" t="n">
        <v>0.4</v>
      </c>
      <c r="O1772" s="25" t="n">
        <v>182</v>
      </c>
      <c r="P1772" s="30" t="n">
        <v>5.17</v>
      </c>
      <c r="Q1772" s="27" t="s">
        <v>3824</v>
      </c>
      <c r="R1772" s="27" t="s">
        <v>1140</v>
      </c>
    </row>
    <row r="1773" customFormat="false" ht="15" hidden="false" customHeight="false" outlineLevel="0" collapsed="false">
      <c r="A1773" s="25" t="n">
        <f aca="false">IF(G1773="REJECT",COUNTIF($G$2:$G$2277,"&lt;&gt;REJECT")+1+COUNTIFS($G$2:$G$2277,"REJECT",$B$2:$B$2277,"&gt;"&amp;B1773),1+COUNTIFS($G$2:$G$2277,"&lt;&gt;REJECT",$B$2:$B$2277,"&gt;"&amp;B1773))</f>
        <v>1772</v>
      </c>
      <c r="B1773" s="26" t="n">
        <f aca="false">ROUND(($U$2*MAX(0,MIN(1,($W$2-I1773)/($W$2-$V$2)))+$U$3*MAX(0,MIN(1,($W$3-J1773)/($W$3-$V$3)))+$U$4*MAX(0,MIN(1,($W$4-K1773)/($W$4-$V$4)))+$U$5*MAX(0,MIN(1,($W$5-L1773)/($W$5-$V$5)))+$U$6*MAX(0,MIN(1,($W$6-M1773)/($W$6-$V$6)))+$U$7*MAX(0,MIN(1,($W$7-N1773)/($W$7-$V$7)))+$U$8*IF(AND(O1773&gt;=$V$8,O1773&lt;=$W$8),1,0))/$U$9*100,2)</f>
        <v>47.64</v>
      </c>
      <c r="C1773" s="27" t="s">
        <v>1614</v>
      </c>
      <c r="D1773" s="25" t="s">
        <v>134</v>
      </c>
      <c r="E1773" s="25" t="s">
        <v>3447</v>
      </c>
      <c r="F1773" s="25" t="s">
        <v>3448</v>
      </c>
      <c r="G1773" s="38" t="s">
        <v>30</v>
      </c>
      <c r="H1773" s="28" t="s">
        <v>25</v>
      </c>
      <c r="I1773" s="25" t="n">
        <v>6</v>
      </c>
      <c r="J1773" s="25" t="n">
        <v>1</v>
      </c>
      <c r="K1773" s="25" t="n">
        <v>6</v>
      </c>
      <c r="L1773" s="29" t="n">
        <v>0.78</v>
      </c>
      <c r="M1773" s="30" t="n">
        <v>21.94</v>
      </c>
      <c r="N1773" s="29" t="n">
        <v>0</v>
      </c>
      <c r="O1773" s="25" t="n">
        <v>182</v>
      </c>
      <c r="P1773" s="30" t="n">
        <v>4.61</v>
      </c>
      <c r="Q1773" s="27" t="s">
        <v>3836</v>
      </c>
      <c r="R1773" s="27" t="s">
        <v>183</v>
      </c>
    </row>
    <row r="1774" customFormat="false" ht="15" hidden="false" customHeight="false" outlineLevel="0" collapsed="false">
      <c r="A1774" s="25" t="n">
        <f aca="false">IF(G1774="REJECT",COUNTIF($G$2:$G$2277,"&lt;&gt;REJECT")+1+COUNTIFS($G$2:$G$2277,"REJECT",$B$2:$B$2277,"&gt;"&amp;B1774),1+COUNTIFS($G$2:$G$2277,"&lt;&gt;REJECT",$B$2:$B$2277,"&gt;"&amp;B1774))</f>
        <v>1773</v>
      </c>
      <c r="B1774" s="26" t="n">
        <f aca="false">ROUND(($U$2*MAX(0,MIN(1,($W$2-I1774)/($W$2-$V$2)))+$U$3*MAX(0,MIN(1,($W$3-J1774)/($W$3-$V$3)))+$U$4*MAX(0,MIN(1,($W$4-K1774)/($W$4-$V$4)))+$U$5*MAX(0,MIN(1,($W$5-L1774)/($W$5-$V$5)))+$U$6*MAX(0,MIN(1,($W$6-M1774)/($W$6-$V$6)))+$U$7*MAX(0,MIN(1,($W$7-N1774)/($W$7-$V$7)))+$U$8*IF(AND(O1774&gt;=$V$8,O1774&lt;=$W$8),1,0))/$U$9*100,2)</f>
        <v>47.55</v>
      </c>
      <c r="C1774" s="27" t="s">
        <v>2227</v>
      </c>
      <c r="D1774" s="25" t="s">
        <v>134</v>
      </c>
      <c r="E1774" s="25" t="s">
        <v>3447</v>
      </c>
      <c r="F1774" s="25" t="s">
        <v>3457</v>
      </c>
      <c r="G1774" s="38" t="s">
        <v>30</v>
      </c>
      <c r="H1774" s="28" t="s">
        <v>25</v>
      </c>
      <c r="I1774" s="25" t="n">
        <v>5</v>
      </c>
      <c r="J1774" s="25" t="n">
        <v>1</v>
      </c>
      <c r="K1774" s="25" t="n">
        <v>5</v>
      </c>
      <c r="L1774" s="29" t="n">
        <v>0.65</v>
      </c>
      <c r="M1774" s="30" t="n">
        <v>13.19</v>
      </c>
      <c r="N1774" s="29" t="n">
        <v>0</v>
      </c>
      <c r="O1774" s="25" t="n">
        <v>186</v>
      </c>
      <c r="P1774" s="30" t="n">
        <v>5.81</v>
      </c>
      <c r="Q1774" s="27" t="s">
        <v>3837</v>
      </c>
      <c r="R1774" s="27" t="s">
        <v>283</v>
      </c>
    </row>
    <row r="1775" customFormat="false" ht="15" hidden="false" customHeight="false" outlineLevel="0" collapsed="false">
      <c r="A1775" s="25" t="n">
        <f aca="false">IF(G1775="REJECT",COUNTIF($G$2:$G$2277,"&lt;&gt;REJECT")+1+COUNTIFS($G$2:$G$2277,"REJECT",$B$2:$B$2277,"&gt;"&amp;B1775),1+COUNTIFS($G$2:$G$2277,"&lt;&gt;REJECT",$B$2:$B$2277,"&gt;"&amp;B1775))</f>
        <v>1774</v>
      </c>
      <c r="B1775" s="26" t="n">
        <f aca="false">ROUND(($U$2*MAX(0,MIN(1,($W$2-I1775)/($W$2-$V$2)))+$U$3*MAX(0,MIN(1,($W$3-J1775)/($W$3-$V$3)))+$U$4*MAX(0,MIN(1,($W$4-K1775)/($W$4-$V$4)))+$U$5*MAX(0,MIN(1,($W$5-L1775)/($W$5-$V$5)))+$U$6*MAX(0,MIN(1,($W$6-M1775)/($W$6-$V$6)))+$U$7*MAX(0,MIN(1,($W$7-N1775)/($W$7-$V$7)))+$U$8*IF(AND(O1775&gt;=$V$8,O1775&lt;=$W$8),1,0))/$U$9*100,2)</f>
        <v>47.52</v>
      </c>
      <c r="C1775" s="27" t="s">
        <v>2500</v>
      </c>
      <c r="D1775" s="25" t="s">
        <v>134</v>
      </c>
      <c r="E1775" s="25" t="s">
        <v>3450</v>
      </c>
      <c r="F1775" s="25" t="s">
        <v>3457</v>
      </c>
      <c r="G1775" s="38" t="s">
        <v>30</v>
      </c>
      <c r="H1775" s="28" t="s">
        <v>25</v>
      </c>
      <c r="I1775" s="25" t="n">
        <v>5</v>
      </c>
      <c r="J1775" s="25" t="n">
        <v>1</v>
      </c>
      <c r="K1775" s="25" t="n">
        <v>5</v>
      </c>
      <c r="L1775" s="29" t="n">
        <v>0.69</v>
      </c>
      <c r="M1775" s="30" t="n">
        <v>19.41</v>
      </c>
      <c r="N1775" s="29" t="n">
        <v>0.84</v>
      </c>
      <c r="O1775" s="25" t="n">
        <v>185</v>
      </c>
      <c r="P1775" s="30" t="n">
        <v>9.53</v>
      </c>
      <c r="Q1775" s="27" t="s">
        <v>3802</v>
      </c>
      <c r="R1775" s="27" t="s">
        <v>283</v>
      </c>
    </row>
    <row r="1776" customFormat="false" ht="15" hidden="false" customHeight="false" outlineLevel="0" collapsed="false">
      <c r="A1776" s="25" t="n">
        <f aca="false">IF(G1776="REJECT",COUNTIF($G$2:$G$2277,"&lt;&gt;REJECT")+1+COUNTIFS($G$2:$G$2277,"REJECT",$B$2:$B$2277,"&gt;"&amp;B1776),1+COUNTIFS($G$2:$G$2277,"&lt;&gt;REJECT",$B$2:$B$2277,"&gt;"&amp;B1776))</f>
        <v>1775</v>
      </c>
      <c r="B1776" s="26" t="n">
        <f aca="false">ROUND(($U$2*MAX(0,MIN(1,($W$2-I1776)/($W$2-$V$2)))+$U$3*MAX(0,MIN(1,($W$3-J1776)/($W$3-$V$3)))+$U$4*MAX(0,MIN(1,($W$4-K1776)/($W$4-$V$4)))+$U$5*MAX(0,MIN(1,($W$5-L1776)/($W$5-$V$5)))+$U$6*MAX(0,MIN(1,($W$6-M1776)/($W$6-$V$6)))+$U$7*MAX(0,MIN(1,($W$7-N1776)/($W$7-$V$7)))+$U$8*IF(AND(O1776&gt;=$V$8,O1776&lt;=$W$8),1,0))/$U$9*100,2)</f>
        <v>47.48</v>
      </c>
      <c r="C1776" s="27" t="s">
        <v>341</v>
      </c>
      <c r="D1776" s="25" t="s">
        <v>134</v>
      </c>
      <c r="E1776" s="25" t="s">
        <v>3450</v>
      </c>
      <c r="F1776" s="25" t="s">
        <v>3457</v>
      </c>
      <c r="G1776" s="38" t="s">
        <v>30</v>
      </c>
      <c r="H1776" s="28" t="s">
        <v>25</v>
      </c>
      <c r="I1776" s="25" t="n">
        <v>5</v>
      </c>
      <c r="J1776" s="25" t="n">
        <v>1</v>
      </c>
      <c r="K1776" s="25" t="n">
        <v>5</v>
      </c>
      <c r="L1776" s="29" t="n">
        <v>0.66</v>
      </c>
      <c r="M1776" s="30" t="n">
        <v>9.25</v>
      </c>
      <c r="N1776" s="29" t="n">
        <v>0.8</v>
      </c>
      <c r="O1776" s="25" t="n">
        <v>182</v>
      </c>
      <c r="P1776" s="30" t="n">
        <v>-0.75</v>
      </c>
      <c r="Q1776" s="27" t="s">
        <v>3829</v>
      </c>
      <c r="R1776" s="27" t="s">
        <v>1230</v>
      </c>
    </row>
    <row r="1777" customFormat="false" ht="15" hidden="false" customHeight="false" outlineLevel="0" collapsed="false">
      <c r="A1777" s="25" t="n">
        <f aca="false">IF(G1777="REJECT",COUNTIF($G$2:$G$2277,"&lt;&gt;REJECT")+1+COUNTIFS($G$2:$G$2277,"REJECT",$B$2:$B$2277,"&gt;"&amp;B1777),1+COUNTIFS($G$2:$G$2277,"&lt;&gt;REJECT",$B$2:$B$2277,"&gt;"&amp;B1777))</f>
        <v>1776</v>
      </c>
      <c r="B1777" s="26" t="n">
        <f aca="false">ROUND(($U$2*MAX(0,MIN(1,($W$2-I1777)/($W$2-$V$2)))+$U$3*MAX(0,MIN(1,($W$3-J1777)/($W$3-$V$3)))+$U$4*MAX(0,MIN(1,($W$4-K1777)/($W$4-$V$4)))+$U$5*MAX(0,MIN(1,($W$5-L1777)/($W$5-$V$5)))+$U$6*MAX(0,MIN(1,($W$6-M1777)/($W$6-$V$6)))+$U$7*MAX(0,MIN(1,($W$7-N1777)/($W$7-$V$7)))+$U$8*IF(AND(O1777&gt;=$V$8,O1777&lt;=$W$8),1,0))/$U$9*100,2)</f>
        <v>47.15</v>
      </c>
      <c r="C1777" s="27" t="s">
        <v>2186</v>
      </c>
      <c r="D1777" s="25" t="s">
        <v>3459</v>
      </c>
      <c r="E1777" s="25" t="s">
        <v>3450</v>
      </c>
      <c r="F1777" s="25" t="s">
        <v>3457</v>
      </c>
      <c r="G1777" s="38" t="s">
        <v>30</v>
      </c>
      <c r="H1777" s="28" t="s">
        <v>25</v>
      </c>
      <c r="I1777" s="25" t="n">
        <v>5</v>
      </c>
      <c r="J1777" s="25" t="n">
        <v>1</v>
      </c>
      <c r="K1777" s="25" t="n">
        <v>5</v>
      </c>
      <c r="L1777" s="29" t="n">
        <v>0.68</v>
      </c>
      <c r="M1777" s="30" t="n">
        <v>20.02</v>
      </c>
      <c r="N1777" s="29" t="n">
        <v>0.64</v>
      </c>
      <c r="O1777" s="25" t="n">
        <v>183</v>
      </c>
      <c r="P1777" s="30" t="n">
        <v>12.66</v>
      </c>
      <c r="Q1777" s="27" t="s">
        <v>3824</v>
      </c>
      <c r="R1777" s="27" t="s">
        <v>183</v>
      </c>
    </row>
    <row r="1778" customFormat="false" ht="15" hidden="false" customHeight="false" outlineLevel="0" collapsed="false">
      <c r="A1778" s="25" t="n">
        <f aca="false">IF(G1778="REJECT",COUNTIF($G$2:$G$2277,"&lt;&gt;REJECT")+1+COUNTIFS($G$2:$G$2277,"REJECT",$B$2:$B$2277,"&gt;"&amp;B1778),1+COUNTIFS($G$2:$G$2277,"&lt;&gt;REJECT",$B$2:$B$2277,"&gt;"&amp;B1778))</f>
        <v>1777</v>
      </c>
      <c r="B1778" s="26" t="n">
        <f aca="false">ROUND(($U$2*MAX(0,MIN(1,($W$2-I1778)/($W$2-$V$2)))+$U$3*MAX(0,MIN(1,($W$3-J1778)/($W$3-$V$3)))+$U$4*MAX(0,MIN(1,($W$4-K1778)/($W$4-$V$4)))+$U$5*MAX(0,MIN(1,($W$5-L1778)/($W$5-$V$5)))+$U$6*MAX(0,MIN(1,($W$6-M1778)/($W$6-$V$6)))+$U$7*MAX(0,MIN(1,($W$7-N1778)/($W$7-$V$7)))+$U$8*IF(AND(O1778&gt;=$V$8,O1778&lt;=$W$8),1,0))/$U$9*100,2)</f>
        <v>47.13</v>
      </c>
      <c r="C1778" s="27" t="s">
        <v>1533</v>
      </c>
      <c r="D1778" s="25" t="s">
        <v>3459</v>
      </c>
      <c r="E1778" s="25" t="s">
        <v>3450</v>
      </c>
      <c r="F1778" s="25" t="s">
        <v>3448</v>
      </c>
      <c r="G1778" s="38" t="s">
        <v>30</v>
      </c>
      <c r="H1778" s="28" t="s">
        <v>25</v>
      </c>
      <c r="I1778" s="25" t="n">
        <v>5</v>
      </c>
      <c r="J1778" s="25" t="n">
        <v>1</v>
      </c>
      <c r="K1778" s="25" t="n">
        <v>5</v>
      </c>
      <c r="L1778" s="29" t="n">
        <v>0.68</v>
      </c>
      <c r="M1778" s="30" t="n">
        <v>17.33</v>
      </c>
      <c r="N1778" s="29" t="n">
        <v>0.92</v>
      </c>
      <c r="O1778" s="25" t="n">
        <v>184</v>
      </c>
      <c r="P1778" s="30" t="n">
        <v>3.78</v>
      </c>
      <c r="Q1778" s="27" t="s">
        <v>3837</v>
      </c>
      <c r="R1778" s="27" t="s">
        <v>283</v>
      </c>
    </row>
    <row r="1779" customFormat="false" ht="15" hidden="false" customHeight="false" outlineLevel="0" collapsed="false">
      <c r="A1779" s="25" t="n">
        <f aca="false">IF(G1779="REJECT",COUNTIF($G$2:$G$2277,"&lt;&gt;REJECT")+1+COUNTIFS($G$2:$G$2277,"REJECT",$B$2:$B$2277,"&gt;"&amp;B1779),1+COUNTIFS($G$2:$G$2277,"&lt;&gt;REJECT",$B$2:$B$2277,"&gt;"&amp;B1779))</f>
        <v>1778</v>
      </c>
      <c r="B1779" s="26" t="n">
        <f aca="false">ROUND(($U$2*MAX(0,MIN(1,($W$2-I1779)/($W$2-$V$2)))+$U$3*MAX(0,MIN(1,($W$3-J1779)/($W$3-$V$3)))+$U$4*MAX(0,MIN(1,($W$4-K1779)/($W$4-$V$4)))+$U$5*MAX(0,MIN(1,($W$5-L1779)/($W$5-$V$5)))+$U$6*MAX(0,MIN(1,($W$6-M1779)/($W$6-$V$6)))+$U$7*MAX(0,MIN(1,($W$7-N1779)/($W$7-$V$7)))+$U$8*IF(AND(O1779&gt;=$V$8,O1779&lt;=$W$8),1,0))/$U$9*100,2)</f>
        <v>47.04</v>
      </c>
      <c r="C1779" s="27" t="s">
        <v>977</v>
      </c>
      <c r="D1779" s="25" t="s">
        <v>134</v>
      </c>
      <c r="E1779" s="25" t="s">
        <v>3447</v>
      </c>
      <c r="F1779" s="25" t="s">
        <v>3457</v>
      </c>
      <c r="G1779" s="38" t="s">
        <v>30</v>
      </c>
      <c r="H1779" s="28" t="s">
        <v>25</v>
      </c>
      <c r="I1779" s="25" t="n">
        <v>6</v>
      </c>
      <c r="J1779" s="25" t="n">
        <v>1</v>
      </c>
      <c r="K1779" s="25" t="n">
        <v>6</v>
      </c>
      <c r="L1779" s="29" t="n">
        <v>0.77</v>
      </c>
      <c r="M1779" s="30" t="n">
        <v>17.55</v>
      </c>
      <c r="N1779" s="29" t="n">
        <v>0.44</v>
      </c>
      <c r="O1779" s="25" t="n">
        <v>183</v>
      </c>
      <c r="P1779" s="30" t="n">
        <v>1.32</v>
      </c>
      <c r="Q1779" s="27" t="s">
        <v>3838</v>
      </c>
      <c r="R1779" s="27" t="s">
        <v>283</v>
      </c>
    </row>
    <row r="1780" customFormat="false" ht="15" hidden="false" customHeight="false" outlineLevel="0" collapsed="false">
      <c r="A1780" s="25" t="n">
        <f aca="false">IF(G1780="REJECT",COUNTIF($G$2:$G$2277,"&lt;&gt;REJECT")+1+COUNTIFS($G$2:$G$2277,"REJECT",$B$2:$B$2277,"&gt;"&amp;B1780),1+COUNTIFS($G$2:$G$2277,"&lt;&gt;REJECT",$B$2:$B$2277,"&gt;"&amp;B1780))</f>
        <v>1779</v>
      </c>
      <c r="B1780" s="26" t="n">
        <f aca="false">ROUND(($U$2*MAX(0,MIN(1,($W$2-I1780)/($W$2-$V$2)))+$U$3*MAX(0,MIN(1,($W$3-J1780)/($W$3-$V$3)))+$U$4*MAX(0,MIN(1,($W$4-K1780)/($W$4-$V$4)))+$U$5*MAX(0,MIN(1,($W$5-L1780)/($W$5-$V$5)))+$U$6*MAX(0,MIN(1,($W$6-M1780)/($W$6-$V$6)))+$U$7*MAX(0,MIN(1,($W$7-N1780)/($W$7-$V$7)))+$U$8*IF(AND(O1780&gt;=$V$8,O1780&lt;=$W$8),1,0))/$U$9*100,2)</f>
        <v>46.99</v>
      </c>
      <c r="C1780" s="27" t="s">
        <v>297</v>
      </c>
      <c r="D1780" s="25" t="s">
        <v>134</v>
      </c>
      <c r="E1780" s="25" t="s">
        <v>3450</v>
      </c>
      <c r="F1780" s="25" t="s">
        <v>3448</v>
      </c>
      <c r="G1780" s="38" t="s">
        <v>30</v>
      </c>
      <c r="H1780" s="28" t="s">
        <v>25</v>
      </c>
      <c r="I1780" s="25" t="n">
        <v>6</v>
      </c>
      <c r="J1780" s="25" t="n">
        <v>1</v>
      </c>
      <c r="K1780" s="25" t="n">
        <v>6</v>
      </c>
      <c r="L1780" s="29" t="n">
        <v>0.76</v>
      </c>
      <c r="M1780" s="30" t="n">
        <v>17.48</v>
      </c>
      <c r="N1780" s="29" t="n">
        <v>0.12</v>
      </c>
      <c r="O1780" s="25" t="n">
        <v>183</v>
      </c>
      <c r="P1780" s="30" t="n">
        <v>5.91</v>
      </c>
      <c r="Q1780" s="27" t="s">
        <v>3839</v>
      </c>
      <c r="R1780" s="27" t="s">
        <v>283</v>
      </c>
    </row>
    <row r="1781" customFormat="false" ht="15" hidden="false" customHeight="false" outlineLevel="0" collapsed="false">
      <c r="A1781" s="25" t="n">
        <f aca="false">IF(G1781="REJECT",COUNTIF($G$2:$G$2277,"&lt;&gt;REJECT")+1+COUNTIFS($G$2:$G$2277,"REJECT",$B$2:$B$2277,"&gt;"&amp;B1781),1+COUNTIFS($G$2:$G$2277,"&lt;&gt;REJECT",$B$2:$B$2277,"&gt;"&amp;B1781))</f>
        <v>1780</v>
      </c>
      <c r="B1781" s="26" t="n">
        <f aca="false">ROUND(($U$2*MAX(0,MIN(1,($W$2-I1781)/($W$2-$V$2)))+$U$3*MAX(0,MIN(1,($W$3-J1781)/($W$3-$V$3)))+$U$4*MAX(0,MIN(1,($W$4-K1781)/($W$4-$V$4)))+$U$5*MAX(0,MIN(1,($W$5-L1781)/($W$5-$V$5)))+$U$6*MAX(0,MIN(1,($W$6-M1781)/($W$6-$V$6)))+$U$7*MAX(0,MIN(1,($W$7-N1781)/($W$7-$V$7)))+$U$8*IF(AND(O1781&gt;=$V$8,O1781&lt;=$W$8),1,0))/$U$9*100,2)</f>
        <v>46.92</v>
      </c>
      <c r="C1781" s="27" t="s">
        <v>2866</v>
      </c>
      <c r="D1781" s="25" t="s">
        <v>3459</v>
      </c>
      <c r="E1781" s="25" t="s">
        <v>3447</v>
      </c>
      <c r="F1781" s="25" t="s">
        <v>3457</v>
      </c>
      <c r="G1781" s="38" t="s">
        <v>30</v>
      </c>
      <c r="H1781" s="28" t="s">
        <v>25</v>
      </c>
      <c r="I1781" s="25" t="n">
        <v>5</v>
      </c>
      <c r="J1781" s="25" t="n">
        <v>1</v>
      </c>
      <c r="K1781" s="25" t="n">
        <v>5</v>
      </c>
      <c r="L1781" s="29" t="n">
        <v>0.62</v>
      </c>
      <c r="M1781" s="30" t="n">
        <v>4.18</v>
      </c>
      <c r="N1781" s="29" t="n">
        <v>0.2</v>
      </c>
      <c r="O1781" s="25" t="n">
        <v>215</v>
      </c>
      <c r="P1781" s="30" t="n">
        <v>4.76</v>
      </c>
      <c r="Q1781" s="27" t="s">
        <v>3840</v>
      </c>
      <c r="R1781" s="27" t="s">
        <v>283</v>
      </c>
    </row>
    <row r="1782" customFormat="false" ht="15" hidden="false" customHeight="false" outlineLevel="0" collapsed="false">
      <c r="A1782" s="25" t="n">
        <f aca="false">IF(G1782="REJECT",COUNTIF($G$2:$G$2277,"&lt;&gt;REJECT")+1+COUNTIFS($G$2:$G$2277,"REJECT",$B$2:$B$2277,"&gt;"&amp;B1782),1+COUNTIFS($G$2:$G$2277,"&lt;&gt;REJECT",$B$2:$B$2277,"&gt;"&amp;B1782))</f>
        <v>1781</v>
      </c>
      <c r="B1782" s="26" t="n">
        <f aca="false">ROUND(($U$2*MAX(0,MIN(1,($W$2-I1782)/($W$2-$V$2)))+$U$3*MAX(0,MIN(1,($W$3-J1782)/($W$3-$V$3)))+$U$4*MAX(0,MIN(1,($W$4-K1782)/($W$4-$V$4)))+$U$5*MAX(0,MIN(1,($W$5-L1782)/($W$5-$V$5)))+$U$6*MAX(0,MIN(1,($W$6-M1782)/($W$6-$V$6)))+$U$7*MAX(0,MIN(1,($W$7-N1782)/($W$7-$V$7)))+$U$8*IF(AND(O1782&gt;=$V$8,O1782&lt;=$W$8),1,0))/$U$9*100,2)</f>
        <v>46.78</v>
      </c>
      <c r="C1782" s="27" t="s">
        <v>951</v>
      </c>
      <c r="D1782" s="25" t="s">
        <v>134</v>
      </c>
      <c r="E1782" s="25" t="s">
        <v>3447</v>
      </c>
      <c r="F1782" s="25" t="s">
        <v>3457</v>
      </c>
      <c r="G1782" s="38" t="s">
        <v>30</v>
      </c>
      <c r="H1782" s="28" t="s">
        <v>25</v>
      </c>
      <c r="I1782" s="25" t="n">
        <v>6</v>
      </c>
      <c r="J1782" s="25" t="n">
        <v>1</v>
      </c>
      <c r="K1782" s="25" t="n">
        <v>6</v>
      </c>
      <c r="L1782" s="29" t="n">
        <v>0.77</v>
      </c>
      <c r="M1782" s="30" t="n">
        <v>21.92</v>
      </c>
      <c r="N1782" s="29" t="n">
        <v>0.16</v>
      </c>
      <c r="O1782" s="25" t="n">
        <v>184</v>
      </c>
      <c r="P1782" s="30" t="n">
        <v>8.97</v>
      </c>
      <c r="Q1782" s="27" t="s">
        <v>3841</v>
      </c>
      <c r="R1782" s="27" t="s">
        <v>183</v>
      </c>
    </row>
    <row r="1783" customFormat="false" ht="15" hidden="false" customHeight="false" outlineLevel="0" collapsed="false">
      <c r="A1783" s="25" t="n">
        <f aca="false">IF(G1783="REJECT",COUNTIF($G$2:$G$2277,"&lt;&gt;REJECT")+1+COUNTIFS($G$2:$G$2277,"REJECT",$B$2:$B$2277,"&gt;"&amp;B1783),1+COUNTIFS($G$2:$G$2277,"&lt;&gt;REJECT",$B$2:$B$2277,"&gt;"&amp;B1783))</f>
        <v>1782</v>
      </c>
      <c r="B1783" s="26" t="n">
        <f aca="false">ROUND(($U$2*MAX(0,MIN(1,($W$2-I1783)/($W$2-$V$2)))+$U$3*MAX(0,MIN(1,($W$3-J1783)/($W$3-$V$3)))+$U$4*MAX(0,MIN(1,($W$4-K1783)/($W$4-$V$4)))+$U$5*MAX(0,MIN(1,($W$5-L1783)/($W$5-$V$5)))+$U$6*MAX(0,MIN(1,($W$6-M1783)/($W$6-$V$6)))+$U$7*MAX(0,MIN(1,($W$7-N1783)/($W$7-$V$7)))+$U$8*IF(AND(O1783&gt;=$V$8,O1783&lt;=$W$8),1,0))/$U$9*100,2)</f>
        <v>46.65</v>
      </c>
      <c r="C1783" s="27" t="s">
        <v>3132</v>
      </c>
      <c r="D1783" s="25" t="s">
        <v>134</v>
      </c>
      <c r="E1783" s="25" t="s">
        <v>3450</v>
      </c>
      <c r="F1783" s="25" t="s">
        <v>3457</v>
      </c>
      <c r="G1783" s="38" t="s">
        <v>30</v>
      </c>
      <c r="H1783" s="28" t="s">
        <v>25</v>
      </c>
      <c r="I1783" s="25" t="n">
        <v>4</v>
      </c>
      <c r="J1783" s="25" t="n">
        <v>1</v>
      </c>
      <c r="K1783" s="25" t="n">
        <v>4</v>
      </c>
      <c r="L1783" s="29" t="n">
        <v>0.56</v>
      </c>
      <c r="M1783" s="30" t="n">
        <v>22.1</v>
      </c>
      <c r="N1783" s="29" t="n">
        <v>0.16</v>
      </c>
      <c r="O1783" s="25" t="n">
        <v>184</v>
      </c>
      <c r="P1783" s="30" t="n">
        <v>2.02</v>
      </c>
      <c r="Q1783" s="27" t="s">
        <v>3842</v>
      </c>
      <c r="R1783" s="27" t="s">
        <v>1046</v>
      </c>
    </row>
    <row r="1784" customFormat="false" ht="15" hidden="false" customHeight="false" outlineLevel="0" collapsed="false">
      <c r="A1784" s="25" t="n">
        <f aca="false">IF(G1784="REJECT",COUNTIF($G$2:$G$2277,"&lt;&gt;REJECT")+1+COUNTIFS($G$2:$G$2277,"REJECT",$B$2:$B$2277,"&gt;"&amp;B1784),1+COUNTIFS($G$2:$G$2277,"&lt;&gt;REJECT",$B$2:$B$2277,"&gt;"&amp;B1784))</f>
        <v>1783</v>
      </c>
      <c r="B1784" s="26" t="n">
        <f aca="false">ROUND(($U$2*MAX(0,MIN(1,($W$2-I1784)/($W$2-$V$2)))+$U$3*MAX(0,MIN(1,($W$3-J1784)/($W$3-$V$3)))+$U$4*MAX(0,MIN(1,($W$4-K1784)/($W$4-$V$4)))+$U$5*MAX(0,MIN(1,($W$5-L1784)/($W$5-$V$5)))+$U$6*MAX(0,MIN(1,($W$6-M1784)/($W$6-$V$6)))+$U$7*MAX(0,MIN(1,($W$7-N1784)/($W$7-$V$7)))+$U$8*IF(AND(O1784&gt;=$V$8,O1784&lt;=$W$8),1,0))/$U$9*100,2)</f>
        <v>46.62</v>
      </c>
      <c r="C1784" s="27" t="s">
        <v>937</v>
      </c>
      <c r="D1784" s="25" t="s">
        <v>134</v>
      </c>
      <c r="E1784" s="25" t="s">
        <v>3450</v>
      </c>
      <c r="F1784" s="25" t="s">
        <v>3448</v>
      </c>
      <c r="G1784" s="38" t="s">
        <v>30</v>
      </c>
      <c r="H1784" s="28" t="s">
        <v>25</v>
      </c>
      <c r="I1784" s="25" t="n">
        <v>6</v>
      </c>
      <c r="J1784" s="25" t="n">
        <v>1</v>
      </c>
      <c r="K1784" s="25" t="n">
        <v>6</v>
      </c>
      <c r="L1784" s="29" t="n">
        <v>0.77</v>
      </c>
      <c r="M1784" s="30" t="n">
        <v>14.86</v>
      </c>
      <c r="N1784" s="29" t="n">
        <v>0.96</v>
      </c>
      <c r="O1784" s="25" t="n">
        <v>183</v>
      </c>
      <c r="P1784" s="30" t="n">
        <v>0.8</v>
      </c>
      <c r="Q1784" s="27" t="s">
        <v>3843</v>
      </c>
      <c r="R1784" s="27" t="s">
        <v>197</v>
      </c>
    </row>
    <row r="1785" customFormat="false" ht="15" hidden="false" customHeight="false" outlineLevel="0" collapsed="false">
      <c r="A1785" s="25" t="n">
        <f aca="false">IF(G1785="REJECT",COUNTIF($G$2:$G$2277,"&lt;&gt;REJECT")+1+COUNTIFS($G$2:$G$2277,"REJECT",$B$2:$B$2277,"&gt;"&amp;B1785),1+COUNTIFS($G$2:$G$2277,"&lt;&gt;REJECT",$B$2:$B$2277,"&gt;"&amp;B1785))</f>
        <v>1784</v>
      </c>
      <c r="B1785" s="26" t="n">
        <f aca="false">ROUND(($U$2*MAX(0,MIN(1,($W$2-I1785)/($W$2-$V$2)))+$U$3*MAX(0,MIN(1,($W$3-J1785)/($W$3-$V$3)))+$U$4*MAX(0,MIN(1,($W$4-K1785)/($W$4-$V$4)))+$U$5*MAX(0,MIN(1,($W$5-L1785)/($W$5-$V$5)))+$U$6*MAX(0,MIN(1,($W$6-M1785)/($W$6-$V$6)))+$U$7*MAX(0,MIN(1,($W$7-N1785)/($W$7-$V$7)))+$U$8*IF(AND(O1785&gt;=$V$8,O1785&lt;=$W$8),1,0))/$U$9*100,2)</f>
        <v>46.58</v>
      </c>
      <c r="C1785" s="27" t="s">
        <v>1726</v>
      </c>
      <c r="D1785" s="25" t="s">
        <v>3459</v>
      </c>
      <c r="E1785" s="25" t="s">
        <v>3447</v>
      </c>
      <c r="F1785" s="25" t="s">
        <v>3457</v>
      </c>
      <c r="G1785" s="38" t="s">
        <v>30</v>
      </c>
      <c r="H1785" s="28" t="s">
        <v>25</v>
      </c>
      <c r="I1785" s="25" t="n">
        <v>5</v>
      </c>
      <c r="J1785" s="25" t="n">
        <v>1</v>
      </c>
      <c r="K1785" s="25" t="n">
        <v>5</v>
      </c>
      <c r="L1785" s="29" t="n">
        <v>0.67</v>
      </c>
      <c r="M1785" s="30" t="n">
        <v>20.6</v>
      </c>
      <c r="N1785" s="29" t="n">
        <v>0.56</v>
      </c>
      <c r="O1785" s="25" t="n">
        <v>213</v>
      </c>
      <c r="P1785" s="30" t="n">
        <v>1.13</v>
      </c>
      <c r="Q1785" s="27" t="s">
        <v>3844</v>
      </c>
      <c r="R1785" s="27" t="s">
        <v>183</v>
      </c>
    </row>
    <row r="1786" customFormat="false" ht="15" hidden="false" customHeight="false" outlineLevel="0" collapsed="false">
      <c r="A1786" s="25" t="n">
        <f aca="false">IF(G1786="REJECT",COUNTIF($G$2:$G$2277,"&lt;&gt;REJECT")+1+COUNTIFS($G$2:$G$2277,"REJECT",$B$2:$B$2277,"&gt;"&amp;B1786),1+COUNTIFS($G$2:$G$2277,"&lt;&gt;REJECT",$B$2:$B$2277,"&gt;"&amp;B1786))</f>
        <v>1785</v>
      </c>
      <c r="B1786" s="26" t="n">
        <f aca="false">ROUND(($U$2*MAX(0,MIN(1,($W$2-I1786)/($W$2-$V$2)))+$U$3*MAX(0,MIN(1,($W$3-J1786)/($W$3-$V$3)))+$U$4*MAX(0,MIN(1,($W$4-K1786)/($W$4-$V$4)))+$U$5*MAX(0,MIN(1,($W$5-L1786)/($W$5-$V$5)))+$U$6*MAX(0,MIN(1,($W$6-M1786)/($W$6-$V$6)))+$U$7*MAX(0,MIN(1,($W$7-N1786)/($W$7-$V$7)))+$U$8*IF(AND(O1786&gt;=$V$8,O1786&lt;=$W$8),1,0))/$U$9*100,2)</f>
        <v>46.48</v>
      </c>
      <c r="C1786" s="27" t="s">
        <v>1825</v>
      </c>
      <c r="D1786" s="25" t="s">
        <v>3459</v>
      </c>
      <c r="E1786" s="25" t="s">
        <v>3447</v>
      </c>
      <c r="F1786" s="25" t="s">
        <v>3448</v>
      </c>
      <c r="G1786" s="38" t="s">
        <v>30</v>
      </c>
      <c r="H1786" s="28" t="s">
        <v>25</v>
      </c>
      <c r="I1786" s="25" t="n">
        <v>6</v>
      </c>
      <c r="J1786" s="25" t="n">
        <v>0</v>
      </c>
      <c r="K1786" s="25" t="n">
        <v>6</v>
      </c>
      <c r="L1786" s="29" t="n">
        <v>0.57</v>
      </c>
      <c r="M1786" s="30" t="n">
        <v>6.5</v>
      </c>
      <c r="N1786" s="29" t="n">
        <v>0.68</v>
      </c>
      <c r="O1786" s="25" t="n">
        <v>184</v>
      </c>
      <c r="P1786" s="30" t="n">
        <v>-1.17</v>
      </c>
      <c r="Q1786" s="27" t="s">
        <v>3776</v>
      </c>
      <c r="R1786" s="27" t="s">
        <v>2610</v>
      </c>
    </row>
    <row r="1787" customFormat="false" ht="15" hidden="false" customHeight="false" outlineLevel="0" collapsed="false">
      <c r="A1787" s="25" t="n">
        <f aca="false">IF(G1787="REJECT",COUNTIF($G$2:$G$2277,"&lt;&gt;REJECT")+1+COUNTIFS($G$2:$G$2277,"REJECT",$B$2:$B$2277,"&gt;"&amp;B1787),1+COUNTIFS($G$2:$G$2277,"&lt;&gt;REJECT",$B$2:$B$2277,"&gt;"&amp;B1787))</f>
        <v>1786</v>
      </c>
      <c r="B1787" s="26" t="n">
        <f aca="false">ROUND(($U$2*MAX(0,MIN(1,($W$2-I1787)/($W$2-$V$2)))+$U$3*MAX(0,MIN(1,($W$3-J1787)/($W$3-$V$3)))+$U$4*MAX(0,MIN(1,($W$4-K1787)/($W$4-$V$4)))+$U$5*MAX(0,MIN(1,($W$5-L1787)/($W$5-$V$5)))+$U$6*MAX(0,MIN(1,($W$6-M1787)/($W$6-$V$6)))+$U$7*MAX(0,MIN(1,($W$7-N1787)/($W$7-$V$7)))+$U$8*IF(AND(O1787&gt;=$V$8,O1787&lt;=$W$8),1,0))/$U$9*100,2)</f>
        <v>46.44</v>
      </c>
      <c r="C1787" s="27" t="s">
        <v>1533</v>
      </c>
      <c r="D1787" s="25" t="s">
        <v>134</v>
      </c>
      <c r="E1787" s="25" t="s">
        <v>3450</v>
      </c>
      <c r="F1787" s="25" t="s">
        <v>3448</v>
      </c>
      <c r="G1787" s="38" t="s">
        <v>30</v>
      </c>
      <c r="H1787" s="28" t="s">
        <v>25</v>
      </c>
      <c r="I1787" s="25" t="n">
        <v>5</v>
      </c>
      <c r="J1787" s="25" t="n">
        <v>1</v>
      </c>
      <c r="K1787" s="25" t="n">
        <v>5</v>
      </c>
      <c r="L1787" s="29" t="n">
        <v>0.65</v>
      </c>
      <c r="M1787" s="30" t="n">
        <v>16.69</v>
      </c>
      <c r="N1787" s="29" t="n">
        <v>0.32</v>
      </c>
      <c r="O1787" s="25" t="n">
        <v>184</v>
      </c>
      <c r="P1787" s="30" t="n">
        <v>8.75</v>
      </c>
      <c r="Q1787" s="27" t="s">
        <v>3816</v>
      </c>
      <c r="R1787" s="27" t="s">
        <v>283</v>
      </c>
    </row>
    <row r="1788" customFormat="false" ht="15" hidden="false" customHeight="false" outlineLevel="0" collapsed="false">
      <c r="A1788" s="25" t="n">
        <f aca="false">IF(G1788="REJECT",COUNTIF($G$2:$G$2277,"&lt;&gt;REJECT")+1+COUNTIFS($G$2:$G$2277,"REJECT",$B$2:$B$2277,"&gt;"&amp;B1788),1+COUNTIFS($G$2:$G$2277,"&lt;&gt;REJECT",$B$2:$B$2277,"&gt;"&amp;B1788))</f>
        <v>1787</v>
      </c>
      <c r="B1788" s="26" t="n">
        <f aca="false">ROUND(($U$2*MAX(0,MIN(1,($W$2-I1788)/($W$2-$V$2)))+$U$3*MAX(0,MIN(1,($W$3-J1788)/($W$3-$V$3)))+$U$4*MAX(0,MIN(1,($W$4-K1788)/($W$4-$V$4)))+$U$5*MAX(0,MIN(1,($W$5-L1788)/($W$5-$V$5)))+$U$6*MAX(0,MIN(1,($W$6-M1788)/($W$6-$V$6)))+$U$7*MAX(0,MIN(1,($W$7-N1788)/($W$7-$V$7)))+$U$8*IF(AND(O1788&gt;=$V$8,O1788&lt;=$W$8),1,0))/$U$9*100,2)</f>
        <v>46.41</v>
      </c>
      <c r="C1788" s="27" t="s">
        <v>2879</v>
      </c>
      <c r="D1788" s="25" t="s">
        <v>134</v>
      </c>
      <c r="E1788" s="25" t="s">
        <v>3450</v>
      </c>
      <c r="F1788" s="25" t="s">
        <v>3457</v>
      </c>
      <c r="G1788" s="38" t="s">
        <v>30</v>
      </c>
      <c r="H1788" s="28" t="s">
        <v>25</v>
      </c>
      <c r="I1788" s="25" t="n">
        <v>5</v>
      </c>
      <c r="J1788" s="25" t="n">
        <v>1</v>
      </c>
      <c r="K1788" s="25" t="n">
        <v>5</v>
      </c>
      <c r="L1788" s="29" t="n">
        <v>0.67</v>
      </c>
      <c r="M1788" s="30" t="n">
        <v>21.62</v>
      </c>
      <c r="N1788" s="29" t="n">
        <v>0.56</v>
      </c>
      <c r="O1788" s="25" t="n">
        <v>183</v>
      </c>
      <c r="P1788" s="30" t="n">
        <v>15.73</v>
      </c>
      <c r="Q1788" s="27" t="s">
        <v>3802</v>
      </c>
      <c r="R1788" s="27" t="s">
        <v>183</v>
      </c>
    </row>
    <row r="1789" customFormat="false" ht="15" hidden="false" customHeight="false" outlineLevel="0" collapsed="false">
      <c r="A1789" s="25" t="n">
        <f aca="false">IF(G1789="REJECT",COUNTIF($G$2:$G$2277,"&lt;&gt;REJECT")+1+COUNTIFS($G$2:$G$2277,"REJECT",$B$2:$B$2277,"&gt;"&amp;B1789),1+COUNTIFS($G$2:$G$2277,"&lt;&gt;REJECT",$B$2:$B$2277,"&gt;"&amp;B1789))</f>
        <v>1788</v>
      </c>
      <c r="B1789" s="26" t="n">
        <f aca="false">ROUND(($U$2*MAX(0,MIN(1,($W$2-I1789)/($W$2-$V$2)))+$U$3*MAX(0,MIN(1,($W$3-J1789)/($W$3-$V$3)))+$U$4*MAX(0,MIN(1,($W$4-K1789)/($W$4-$V$4)))+$U$5*MAX(0,MIN(1,($W$5-L1789)/($W$5-$V$5)))+$U$6*MAX(0,MIN(1,($W$6-M1789)/($W$6-$V$6)))+$U$7*MAX(0,MIN(1,($W$7-N1789)/($W$7-$V$7)))+$U$8*IF(AND(O1789&gt;=$V$8,O1789&lt;=$W$8),1,0))/$U$9*100,2)</f>
        <v>46.14</v>
      </c>
      <c r="C1789" s="27" t="s">
        <v>253</v>
      </c>
      <c r="D1789" s="25" t="s">
        <v>134</v>
      </c>
      <c r="E1789" s="25" t="s">
        <v>3450</v>
      </c>
      <c r="F1789" s="25" t="s">
        <v>3457</v>
      </c>
      <c r="G1789" s="38" t="s">
        <v>30</v>
      </c>
      <c r="H1789" s="28" t="s">
        <v>25</v>
      </c>
      <c r="I1789" s="25" t="n">
        <v>6</v>
      </c>
      <c r="J1789" s="25" t="n">
        <v>1</v>
      </c>
      <c r="K1789" s="25" t="n">
        <v>6</v>
      </c>
      <c r="L1789" s="29" t="n">
        <v>0.74</v>
      </c>
      <c r="M1789" s="30" t="n">
        <v>9.38</v>
      </c>
      <c r="N1789" s="29" t="n">
        <v>0.72</v>
      </c>
      <c r="O1789" s="25" t="n">
        <v>182</v>
      </c>
      <c r="P1789" s="30" t="n">
        <v>11.41</v>
      </c>
      <c r="Q1789" s="27" t="s">
        <v>3845</v>
      </c>
      <c r="R1789" s="27" t="s">
        <v>283</v>
      </c>
    </row>
    <row r="1790" customFormat="false" ht="15" hidden="false" customHeight="false" outlineLevel="0" collapsed="false">
      <c r="A1790" s="25" t="n">
        <f aca="false">IF(G1790="REJECT",COUNTIF($G$2:$G$2277,"&lt;&gt;REJECT")+1+COUNTIFS($G$2:$G$2277,"REJECT",$B$2:$B$2277,"&gt;"&amp;B1790),1+COUNTIFS($G$2:$G$2277,"&lt;&gt;REJECT",$B$2:$B$2277,"&gt;"&amp;B1790))</f>
        <v>1789</v>
      </c>
      <c r="B1790" s="26" t="n">
        <f aca="false">ROUND(($U$2*MAX(0,MIN(1,($W$2-I1790)/($W$2-$V$2)))+$U$3*MAX(0,MIN(1,($W$3-J1790)/($W$3-$V$3)))+$U$4*MAX(0,MIN(1,($W$4-K1790)/($W$4-$V$4)))+$U$5*MAX(0,MIN(1,($W$5-L1790)/($W$5-$V$5)))+$U$6*MAX(0,MIN(1,($W$6-M1790)/($W$6-$V$6)))+$U$7*MAX(0,MIN(1,($W$7-N1790)/($W$7-$V$7)))+$U$8*IF(AND(O1790&gt;=$V$8,O1790&lt;=$W$8),1,0))/$U$9*100,2)</f>
        <v>46.03</v>
      </c>
      <c r="C1790" s="27" t="s">
        <v>437</v>
      </c>
      <c r="D1790" s="25" t="s">
        <v>3459</v>
      </c>
      <c r="E1790" s="25" t="s">
        <v>3450</v>
      </c>
      <c r="F1790" s="25" t="s">
        <v>3448</v>
      </c>
      <c r="G1790" s="38" t="s">
        <v>30</v>
      </c>
      <c r="H1790" s="28" t="s">
        <v>25</v>
      </c>
      <c r="I1790" s="25" t="n">
        <v>5</v>
      </c>
      <c r="J1790" s="25" t="n">
        <v>1</v>
      </c>
      <c r="K1790" s="25" t="n">
        <v>5</v>
      </c>
      <c r="L1790" s="29" t="n">
        <v>0.63</v>
      </c>
      <c r="M1790" s="30" t="n">
        <v>15.14</v>
      </c>
      <c r="N1790" s="29" t="n">
        <v>0</v>
      </c>
      <c r="O1790" s="25" t="n">
        <v>183</v>
      </c>
      <c r="P1790" s="30" t="n">
        <v>15.64</v>
      </c>
      <c r="Q1790" s="27" t="s">
        <v>3846</v>
      </c>
      <c r="R1790" s="27" t="s">
        <v>283</v>
      </c>
    </row>
    <row r="1791" customFormat="false" ht="15" hidden="false" customHeight="false" outlineLevel="0" collapsed="false">
      <c r="A1791" s="25" t="n">
        <f aca="false">IF(G1791="REJECT",COUNTIF($G$2:$G$2277,"&lt;&gt;REJECT")+1+COUNTIFS($G$2:$G$2277,"REJECT",$B$2:$B$2277,"&gt;"&amp;B1791),1+COUNTIFS($G$2:$G$2277,"&lt;&gt;REJECT",$B$2:$B$2277,"&gt;"&amp;B1791))</f>
        <v>1790</v>
      </c>
      <c r="B1791" s="26" t="n">
        <f aca="false">ROUND(($U$2*MAX(0,MIN(1,($W$2-I1791)/($W$2-$V$2)))+$U$3*MAX(0,MIN(1,($W$3-J1791)/($W$3-$V$3)))+$U$4*MAX(0,MIN(1,($W$4-K1791)/($W$4-$V$4)))+$U$5*MAX(0,MIN(1,($W$5-L1791)/($W$5-$V$5)))+$U$6*MAX(0,MIN(1,($W$6-M1791)/($W$6-$V$6)))+$U$7*MAX(0,MIN(1,($W$7-N1791)/($W$7-$V$7)))+$U$8*IF(AND(O1791&gt;=$V$8,O1791&lt;=$W$8),1,0))/$U$9*100,2)</f>
        <v>45.88</v>
      </c>
      <c r="C1791" s="27" t="s">
        <v>2879</v>
      </c>
      <c r="D1791" s="25" t="s">
        <v>134</v>
      </c>
      <c r="E1791" s="25" t="s">
        <v>3447</v>
      </c>
      <c r="F1791" s="25" t="s">
        <v>3457</v>
      </c>
      <c r="G1791" s="38" t="s">
        <v>30</v>
      </c>
      <c r="H1791" s="28" t="s">
        <v>25</v>
      </c>
      <c r="I1791" s="25" t="n">
        <v>5</v>
      </c>
      <c r="J1791" s="25" t="n">
        <v>1</v>
      </c>
      <c r="K1791" s="25" t="n">
        <v>5</v>
      </c>
      <c r="L1791" s="29" t="n">
        <v>0.65</v>
      </c>
      <c r="M1791" s="30" t="n">
        <v>19.62</v>
      </c>
      <c r="N1791" s="29" t="n">
        <v>0.36</v>
      </c>
      <c r="O1791" s="25" t="n">
        <v>182</v>
      </c>
      <c r="P1791" s="30" t="n">
        <v>5.88</v>
      </c>
      <c r="Q1791" s="27" t="s">
        <v>3798</v>
      </c>
      <c r="R1791" s="27" t="s">
        <v>283</v>
      </c>
    </row>
    <row r="1792" customFormat="false" ht="15" hidden="false" customHeight="false" outlineLevel="0" collapsed="false">
      <c r="A1792" s="25" t="n">
        <f aca="false">IF(G1792="REJECT",COUNTIF($G$2:$G$2277,"&lt;&gt;REJECT")+1+COUNTIFS($G$2:$G$2277,"REJECT",$B$2:$B$2277,"&gt;"&amp;B1792),1+COUNTIFS($G$2:$G$2277,"&lt;&gt;REJECT",$B$2:$B$2277,"&gt;"&amp;B1792))</f>
        <v>1791</v>
      </c>
      <c r="B1792" s="26" t="n">
        <f aca="false">ROUND(($U$2*MAX(0,MIN(1,($W$2-I1792)/($W$2-$V$2)))+$U$3*MAX(0,MIN(1,($W$3-J1792)/($W$3-$V$3)))+$U$4*MAX(0,MIN(1,($W$4-K1792)/($W$4-$V$4)))+$U$5*MAX(0,MIN(1,($W$5-L1792)/($W$5-$V$5)))+$U$6*MAX(0,MIN(1,($W$6-M1792)/($W$6-$V$6)))+$U$7*MAX(0,MIN(1,($W$7-N1792)/($W$7-$V$7)))+$U$8*IF(AND(O1792&gt;=$V$8,O1792&lt;=$W$8),1,0))/$U$9*100,2)</f>
        <v>45.84</v>
      </c>
      <c r="C1792" s="27" t="s">
        <v>2873</v>
      </c>
      <c r="D1792" s="25" t="s">
        <v>134</v>
      </c>
      <c r="E1792" s="25" t="s">
        <v>3447</v>
      </c>
      <c r="F1792" s="25" t="s">
        <v>3457</v>
      </c>
      <c r="G1792" s="38" t="s">
        <v>30</v>
      </c>
      <c r="H1792" s="28" t="s">
        <v>25</v>
      </c>
      <c r="I1792" s="25" t="n">
        <v>5</v>
      </c>
      <c r="J1792" s="25" t="n">
        <v>1</v>
      </c>
      <c r="K1792" s="25" t="n">
        <v>5</v>
      </c>
      <c r="L1792" s="29" t="n">
        <v>0.64</v>
      </c>
      <c r="M1792" s="30" t="n">
        <v>14.24</v>
      </c>
      <c r="N1792" s="29" t="n">
        <v>0.56</v>
      </c>
      <c r="O1792" s="25" t="n">
        <v>187</v>
      </c>
      <c r="P1792" s="30" t="n">
        <v>6.07</v>
      </c>
      <c r="Q1792" s="27" t="s">
        <v>3847</v>
      </c>
      <c r="R1792" s="27" t="s">
        <v>283</v>
      </c>
    </row>
    <row r="1793" customFormat="false" ht="15" hidden="false" customHeight="false" outlineLevel="0" collapsed="false">
      <c r="A1793" s="25" t="n">
        <f aca="false">IF(G1793="REJECT",COUNTIF($G$2:$G$2277,"&lt;&gt;REJECT")+1+COUNTIFS($G$2:$G$2277,"REJECT",$B$2:$B$2277,"&gt;"&amp;B1793),1+COUNTIFS($G$2:$G$2277,"&lt;&gt;REJECT",$B$2:$B$2277,"&gt;"&amp;B1793))</f>
        <v>1792</v>
      </c>
      <c r="B1793" s="26" t="n">
        <f aca="false">ROUND(($U$2*MAX(0,MIN(1,($W$2-I1793)/($W$2-$V$2)))+$U$3*MAX(0,MIN(1,($W$3-J1793)/($W$3-$V$3)))+$U$4*MAX(0,MIN(1,($W$4-K1793)/($W$4-$V$4)))+$U$5*MAX(0,MIN(1,($W$5-L1793)/($W$5-$V$5)))+$U$6*MAX(0,MIN(1,($W$6-M1793)/($W$6-$V$6)))+$U$7*MAX(0,MIN(1,($W$7-N1793)/($W$7-$V$7)))+$U$8*IF(AND(O1793&gt;=$V$8,O1793&lt;=$W$8),1,0))/$U$9*100,2)</f>
        <v>45.79</v>
      </c>
      <c r="C1793" s="27" t="s">
        <v>2067</v>
      </c>
      <c r="D1793" s="25" t="s">
        <v>3459</v>
      </c>
      <c r="E1793" s="25" t="s">
        <v>3447</v>
      </c>
      <c r="F1793" s="25" t="s">
        <v>3448</v>
      </c>
      <c r="G1793" s="38" t="s">
        <v>30</v>
      </c>
      <c r="H1793" s="28" t="s">
        <v>25</v>
      </c>
      <c r="I1793" s="25" t="n">
        <v>6</v>
      </c>
      <c r="J1793" s="25" t="n">
        <v>1</v>
      </c>
      <c r="K1793" s="25" t="n">
        <v>6</v>
      </c>
      <c r="L1793" s="29" t="n">
        <v>0.78</v>
      </c>
      <c r="M1793" s="30" t="n">
        <v>29.89</v>
      </c>
      <c r="N1793" s="29" t="n">
        <v>0.32</v>
      </c>
      <c r="O1793" s="25" t="n">
        <v>186</v>
      </c>
      <c r="P1793" s="30" t="n">
        <v>16.36</v>
      </c>
      <c r="Q1793" s="27" t="s">
        <v>3848</v>
      </c>
      <c r="R1793" s="27" t="s">
        <v>183</v>
      </c>
    </row>
    <row r="1794" customFormat="false" ht="15" hidden="false" customHeight="false" outlineLevel="0" collapsed="false">
      <c r="A1794" s="25" t="n">
        <f aca="false">IF(G1794="REJECT",COUNTIF($G$2:$G$2277,"&lt;&gt;REJECT")+1+COUNTIFS($G$2:$G$2277,"REJECT",$B$2:$B$2277,"&gt;"&amp;B1794),1+COUNTIFS($G$2:$G$2277,"&lt;&gt;REJECT",$B$2:$B$2277,"&gt;"&amp;B1794))</f>
        <v>1793</v>
      </c>
      <c r="B1794" s="26" t="n">
        <f aca="false">ROUND(($U$2*MAX(0,MIN(1,($W$2-I1794)/($W$2-$V$2)))+$U$3*MAX(0,MIN(1,($W$3-J1794)/($W$3-$V$3)))+$U$4*MAX(0,MIN(1,($W$4-K1794)/($W$4-$V$4)))+$U$5*MAX(0,MIN(1,($W$5-L1794)/($W$5-$V$5)))+$U$6*MAX(0,MIN(1,($W$6-M1794)/($W$6-$V$6)))+$U$7*MAX(0,MIN(1,($W$7-N1794)/($W$7-$V$7)))+$U$8*IF(AND(O1794&gt;=$V$8,O1794&lt;=$W$8),1,0))/$U$9*100,2)</f>
        <v>45.72</v>
      </c>
      <c r="C1794" s="27" t="s">
        <v>1084</v>
      </c>
      <c r="D1794" s="25" t="s">
        <v>3459</v>
      </c>
      <c r="E1794" s="25" t="s">
        <v>3447</v>
      </c>
      <c r="F1794" s="25" t="s">
        <v>3448</v>
      </c>
      <c r="G1794" s="38" t="s">
        <v>30</v>
      </c>
      <c r="H1794" s="28" t="s">
        <v>25</v>
      </c>
      <c r="I1794" s="25" t="n">
        <v>6</v>
      </c>
      <c r="J1794" s="25" t="n">
        <v>1</v>
      </c>
      <c r="K1794" s="25" t="n">
        <v>6</v>
      </c>
      <c r="L1794" s="29" t="n">
        <v>0.74</v>
      </c>
      <c r="M1794" s="30" t="n">
        <v>12.69</v>
      </c>
      <c r="N1794" s="29" t="n">
        <v>0.64</v>
      </c>
      <c r="O1794" s="25" t="n">
        <v>188</v>
      </c>
      <c r="P1794" s="30" t="n">
        <v>-1.18</v>
      </c>
      <c r="Q1794" s="27" t="s">
        <v>3849</v>
      </c>
      <c r="R1794" s="27" t="s">
        <v>1152</v>
      </c>
    </row>
    <row r="1795" customFormat="false" ht="15" hidden="false" customHeight="false" outlineLevel="0" collapsed="false">
      <c r="A1795" s="25" t="n">
        <f aca="false">IF(G1795="REJECT",COUNTIF($G$2:$G$2277,"&lt;&gt;REJECT")+1+COUNTIFS($G$2:$G$2277,"REJECT",$B$2:$B$2277,"&gt;"&amp;B1795),1+COUNTIFS($G$2:$G$2277,"&lt;&gt;REJECT",$B$2:$B$2277,"&gt;"&amp;B1795))</f>
        <v>1794</v>
      </c>
      <c r="B1795" s="26" t="n">
        <f aca="false">ROUND(($U$2*MAX(0,MIN(1,($W$2-I1795)/($W$2-$V$2)))+$U$3*MAX(0,MIN(1,($W$3-J1795)/($W$3-$V$3)))+$U$4*MAX(0,MIN(1,($W$4-K1795)/($W$4-$V$4)))+$U$5*MAX(0,MIN(1,($W$5-L1795)/($W$5-$V$5)))+$U$6*MAX(0,MIN(1,($W$6-M1795)/($W$6-$V$6)))+$U$7*MAX(0,MIN(1,($W$7-N1795)/($W$7-$V$7)))+$U$8*IF(AND(O1795&gt;=$V$8,O1795&lt;=$W$8),1,0))/$U$9*100,2)</f>
        <v>45.58</v>
      </c>
      <c r="C1795" s="27" t="s">
        <v>2361</v>
      </c>
      <c r="D1795" s="25" t="s">
        <v>134</v>
      </c>
      <c r="E1795" s="25" t="s">
        <v>3450</v>
      </c>
      <c r="F1795" s="25" t="s">
        <v>3448</v>
      </c>
      <c r="G1795" s="38" t="s">
        <v>30</v>
      </c>
      <c r="H1795" s="28" t="s">
        <v>25</v>
      </c>
      <c r="I1795" s="25" t="n">
        <v>6</v>
      </c>
      <c r="J1795" s="25" t="n">
        <v>1</v>
      </c>
      <c r="K1795" s="25" t="n">
        <v>6</v>
      </c>
      <c r="L1795" s="29" t="n">
        <v>0.72</v>
      </c>
      <c r="M1795" s="30" t="n">
        <v>3.52</v>
      </c>
      <c r="N1795" s="29" t="n">
        <v>0.92</v>
      </c>
      <c r="O1795" s="25" t="n">
        <v>188</v>
      </c>
      <c r="P1795" s="30" t="n">
        <v>0.36</v>
      </c>
      <c r="Q1795" s="27" t="s">
        <v>3850</v>
      </c>
      <c r="R1795" s="27" t="s">
        <v>1230</v>
      </c>
    </row>
    <row r="1796" customFormat="false" ht="15" hidden="false" customHeight="false" outlineLevel="0" collapsed="false">
      <c r="A1796" s="25" t="n">
        <f aca="false">IF(G1796="REJECT",COUNTIF($G$2:$G$2277,"&lt;&gt;REJECT")+1+COUNTIFS($G$2:$G$2277,"REJECT",$B$2:$B$2277,"&gt;"&amp;B1796),1+COUNTIFS($G$2:$G$2277,"&lt;&gt;REJECT",$B$2:$B$2277,"&gt;"&amp;B1796))</f>
        <v>1795</v>
      </c>
      <c r="B1796" s="26" t="n">
        <f aca="false">ROUND(($U$2*MAX(0,MIN(1,($W$2-I1796)/($W$2-$V$2)))+$U$3*MAX(0,MIN(1,($W$3-J1796)/($W$3-$V$3)))+$U$4*MAX(0,MIN(1,($W$4-K1796)/($W$4-$V$4)))+$U$5*MAX(0,MIN(1,($W$5-L1796)/($W$5-$V$5)))+$U$6*MAX(0,MIN(1,($W$6-M1796)/($W$6-$V$6)))+$U$7*MAX(0,MIN(1,($W$7-N1796)/($W$7-$V$7)))+$U$8*IF(AND(O1796&gt;=$V$8,O1796&lt;=$W$8),1,0))/$U$9*100,2)</f>
        <v>45.47</v>
      </c>
      <c r="C1796" s="27" t="s">
        <v>2993</v>
      </c>
      <c r="D1796" s="25" t="s">
        <v>134</v>
      </c>
      <c r="E1796" s="25" t="s">
        <v>3447</v>
      </c>
      <c r="F1796" s="25" t="s">
        <v>3457</v>
      </c>
      <c r="G1796" s="38" t="s">
        <v>30</v>
      </c>
      <c r="H1796" s="28" t="s">
        <v>25</v>
      </c>
      <c r="I1796" s="25" t="n">
        <v>6</v>
      </c>
      <c r="J1796" s="25" t="n">
        <v>1</v>
      </c>
      <c r="K1796" s="25" t="n">
        <v>6</v>
      </c>
      <c r="L1796" s="29" t="n">
        <v>0.77</v>
      </c>
      <c r="M1796" s="30" t="n">
        <v>22.16</v>
      </c>
      <c r="N1796" s="29" t="n">
        <v>0.92</v>
      </c>
      <c r="O1796" s="25" t="n">
        <v>185</v>
      </c>
      <c r="P1796" s="30" t="n">
        <v>3.07</v>
      </c>
      <c r="Q1796" s="27" t="s">
        <v>3851</v>
      </c>
      <c r="R1796" s="27" t="s">
        <v>183</v>
      </c>
    </row>
    <row r="1797" customFormat="false" ht="15" hidden="false" customHeight="false" outlineLevel="0" collapsed="false">
      <c r="A1797" s="25" t="n">
        <f aca="false">IF(G1797="REJECT",COUNTIF($G$2:$G$2277,"&lt;&gt;REJECT")+1+COUNTIFS($G$2:$G$2277,"REJECT",$B$2:$B$2277,"&gt;"&amp;B1797),1+COUNTIFS($G$2:$G$2277,"&lt;&gt;REJECT",$B$2:$B$2277,"&gt;"&amp;B1797))</f>
        <v>1796</v>
      </c>
      <c r="B1797" s="26" t="n">
        <f aca="false">ROUND(($U$2*MAX(0,MIN(1,($W$2-I1797)/($W$2-$V$2)))+$U$3*MAX(0,MIN(1,($W$3-J1797)/($W$3-$V$3)))+$U$4*MAX(0,MIN(1,($W$4-K1797)/($W$4-$V$4)))+$U$5*MAX(0,MIN(1,($W$5-L1797)/($W$5-$V$5)))+$U$6*MAX(0,MIN(1,($W$6-M1797)/($W$6-$V$6)))+$U$7*MAX(0,MIN(1,($W$7-N1797)/($W$7-$V$7)))+$U$8*IF(AND(O1797&gt;=$V$8,O1797&lt;=$W$8),1,0))/$U$9*100,2)</f>
        <v>44.83</v>
      </c>
      <c r="C1797" s="27" t="s">
        <v>2441</v>
      </c>
      <c r="D1797" s="25" t="s">
        <v>134</v>
      </c>
      <c r="E1797" s="25" t="s">
        <v>3450</v>
      </c>
      <c r="F1797" s="25" t="s">
        <v>3448</v>
      </c>
      <c r="G1797" s="38" t="s">
        <v>30</v>
      </c>
      <c r="H1797" s="28" t="s">
        <v>25</v>
      </c>
      <c r="I1797" s="25" t="n">
        <v>5</v>
      </c>
      <c r="J1797" s="25" t="n">
        <v>1</v>
      </c>
      <c r="K1797" s="25" t="n">
        <v>5</v>
      </c>
      <c r="L1797" s="29" t="n">
        <v>0.65</v>
      </c>
      <c r="M1797" s="30" t="n">
        <v>23.55</v>
      </c>
      <c r="N1797" s="29" t="n">
        <v>0.6</v>
      </c>
      <c r="O1797" s="25" t="n">
        <v>213</v>
      </c>
      <c r="P1797" s="30" t="n">
        <v>17.3</v>
      </c>
      <c r="Q1797" s="27" t="s">
        <v>3852</v>
      </c>
      <c r="R1797" s="27" t="s">
        <v>183</v>
      </c>
    </row>
    <row r="1798" customFormat="false" ht="15" hidden="false" customHeight="false" outlineLevel="0" collapsed="false">
      <c r="A1798" s="25" t="n">
        <f aca="false">IF(G1798="REJECT",COUNTIF($G$2:$G$2277,"&lt;&gt;REJECT")+1+COUNTIFS($G$2:$G$2277,"REJECT",$B$2:$B$2277,"&gt;"&amp;B1798),1+COUNTIFS($G$2:$G$2277,"&lt;&gt;REJECT",$B$2:$B$2277,"&gt;"&amp;B1798))</f>
        <v>1797</v>
      </c>
      <c r="B1798" s="26" t="n">
        <f aca="false">ROUND(($U$2*MAX(0,MIN(1,($W$2-I1798)/($W$2-$V$2)))+$U$3*MAX(0,MIN(1,($W$3-J1798)/($W$3-$V$3)))+$U$4*MAX(0,MIN(1,($W$4-K1798)/($W$4-$V$4)))+$U$5*MAX(0,MIN(1,($W$5-L1798)/($W$5-$V$5)))+$U$6*MAX(0,MIN(1,($W$6-M1798)/($W$6-$V$6)))+$U$7*MAX(0,MIN(1,($W$7-N1798)/($W$7-$V$7)))+$U$8*IF(AND(O1798&gt;=$V$8,O1798&lt;=$W$8),1,0))/$U$9*100,2)</f>
        <v>44.71</v>
      </c>
      <c r="C1798" s="27" t="s">
        <v>996</v>
      </c>
      <c r="D1798" s="25" t="s">
        <v>134</v>
      </c>
      <c r="E1798" s="25" t="s">
        <v>3450</v>
      </c>
      <c r="F1798" s="25" t="s">
        <v>3457</v>
      </c>
      <c r="G1798" s="38" t="s">
        <v>30</v>
      </c>
      <c r="H1798" s="28" t="s">
        <v>25</v>
      </c>
      <c r="I1798" s="25" t="n">
        <v>6</v>
      </c>
      <c r="J1798" s="25" t="n">
        <v>1</v>
      </c>
      <c r="K1798" s="25" t="n">
        <v>6</v>
      </c>
      <c r="L1798" s="29" t="n">
        <v>0.71</v>
      </c>
      <c r="M1798" s="30" t="n">
        <v>5.96</v>
      </c>
      <c r="N1798" s="29" t="n">
        <v>0.84</v>
      </c>
      <c r="O1798" s="25" t="n">
        <v>184</v>
      </c>
      <c r="P1798" s="30" t="n">
        <v>-0.98</v>
      </c>
      <c r="Q1798" s="27" t="s">
        <v>3853</v>
      </c>
      <c r="R1798" s="27" t="s">
        <v>1230</v>
      </c>
    </row>
    <row r="1799" customFormat="false" ht="15" hidden="false" customHeight="false" outlineLevel="0" collapsed="false">
      <c r="A1799" s="25" t="n">
        <f aca="false">IF(G1799="REJECT",COUNTIF($G$2:$G$2277,"&lt;&gt;REJECT")+1+COUNTIFS($G$2:$G$2277,"REJECT",$B$2:$B$2277,"&gt;"&amp;B1799),1+COUNTIFS($G$2:$G$2277,"&lt;&gt;REJECT",$B$2:$B$2277,"&gt;"&amp;B1799))</f>
        <v>1798</v>
      </c>
      <c r="B1799" s="26" t="n">
        <f aca="false">ROUND(($U$2*MAX(0,MIN(1,($W$2-I1799)/($W$2-$V$2)))+$U$3*MAX(0,MIN(1,($W$3-J1799)/($W$3-$V$3)))+$U$4*MAX(0,MIN(1,($W$4-K1799)/($W$4-$V$4)))+$U$5*MAX(0,MIN(1,($W$5-L1799)/($W$5-$V$5)))+$U$6*MAX(0,MIN(1,($W$6-M1799)/($W$6-$V$6)))+$U$7*MAX(0,MIN(1,($W$7-N1799)/($W$7-$V$7)))+$U$8*IF(AND(O1799&gt;=$V$8,O1799&lt;=$W$8),1,0))/$U$9*100,2)</f>
        <v>44.37</v>
      </c>
      <c r="C1799" s="27" t="s">
        <v>367</v>
      </c>
      <c r="D1799" s="25" t="s">
        <v>134</v>
      </c>
      <c r="E1799" s="25" t="s">
        <v>3450</v>
      </c>
      <c r="F1799" s="25" t="s">
        <v>3457</v>
      </c>
      <c r="G1799" s="38" t="s">
        <v>30</v>
      </c>
      <c r="H1799" s="28" t="s">
        <v>25</v>
      </c>
      <c r="I1799" s="25" t="n">
        <v>6</v>
      </c>
      <c r="J1799" s="25" t="n">
        <v>1</v>
      </c>
      <c r="K1799" s="25" t="n">
        <v>6</v>
      </c>
      <c r="L1799" s="29" t="n">
        <v>0.73</v>
      </c>
      <c r="M1799" s="30" t="n">
        <v>18.78</v>
      </c>
      <c r="N1799" s="29" t="n">
        <v>0.48</v>
      </c>
      <c r="O1799" s="25" t="n">
        <v>196</v>
      </c>
      <c r="P1799" s="30" t="n">
        <v>1.48</v>
      </c>
      <c r="Q1799" s="27" t="s">
        <v>3854</v>
      </c>
      <c r="R1799" s="27" t="s">
        <v>197</v>
      </c>
    </row>
    <row r="1800" customFormat="false" ht="15" hidden="false" customHeight="false" outlineLevel="0" collapsed="false">
      <c r="A1800" s="25" t="n">
        <f aca="false">IF(G1800="REJECT",COUNTIF($G$2:$G$2277,"&lt;&gt;REJECT")+1+COUNTIFS($G$2:$G$2277,"REJECT",$B$2:$B$2277,"&gt;"&amp;B1800),1+COUNTIFS($G$2:$G$2277,"&lt;&gt;REJECT",$B$2:$B$2277,"&gt;"&amp;B1800))</f>
        <v>1799</v>
      </c>
      <c r="B1800" s="26" t="n">
        <f aca="false">ROUND(($U$2*MAX(0,MIN(1,($W$2-I1800)/($W$2-$V$2)))+$U$3*MAX(0,MIN(1,($W$3-J1800)/($W$3-$V$3)))+$U$4*MAX(0,MIN(1,($W$4-K1800)/($W$4-$V$4)))+$U$5*MAX(0,MIN(1,($W$5-L1800)/($W$5-$V$5)))+$U$6*MAX(0,MIN(1,($W$6-M1800)/($W$6-$V$6)))+$U$7*MAX(0,MIN(1,($W$7-N1800)/($W$7-$V$7)))+$U$8*IF(AND(O1800&gt;=$V$8,O1800&lt;=$W$8),1,0))/$U$9*100,2)</f>
        <v>43.59</v>
      </c>
      <c r="C1800" s="27" t="s">
        <v>3268</v>
      </c>
      <c r="D1800" s="25" t="s">
        <v>134</v>
      </c>
      <c r="E1800" s="25" t="s">
        <v>3447</v>
      </c>
      <c r="F1800" s="25" t="s">
        <v>3448</v>
      </c>
      <c r="G1800" s="38" t="s">
        <v>30</v>
      </c>
      <c r="H1800" s="28" t="s">
        <v>25</v>
      </c>
      <c r="I1800" s="25" t="n">
        <v>6</v>
      </c>
      <c r="J1800" s="25" t="n">
        <v>1</v>
      </c>
      <c r="K1800" s="25" t="n">
        <v>6</v>
      </c>
      <c r="L1800" s="29" t="n">
        <v>0.75</v>
      </c>
      <c r="M1800" s="30" t="n">
        <v>28.24</v>
      </c>
      <c r="N1800" s="29" t="n">
        <v>0.72</v>
      </c>
      <c r="O1800" s="25" t="n">
        <v>189</v>
      </c>
      <c r="P1800" s="30" t="n">
        <v>-0.16</v>
      </c>
      <c r="Q1800" s="27" t="s">
        <v>3854</v>
      </c>
      <c r="R1800" s="27" t="s">
        <v>183</v>
      </c>
    </row>
    <row r="1801" customFormat="false" ht="15" hidden="false" customHeight="false" outlineLevel="0" collapsed="false">
      <c r="A1801" s="25" t="n">
        <f aca="false">IF(G1801="REJECT",COUNTIF($G$2:$G$2277,"&lt;&gt;REJECT")+1+COUNTIFS($G$2:$G$2277,"REJECT",$B$2:$B$2277,"&gt;"&amp;B1801),1+COUNTIFS($G$2:$G$2277,"&lt;&gt;REJECT",$B$2:$B$2277,"&gt;"&amp;B1801))</f>
        <v>1800</v>
      </c>
      <c r="B1801" s="26" t="n">
        <f aca="false">ROUND(($U$2*MAX(0,MIN(1,($W$2-I1801)/($W$2-$V$2)))+$U$3*MAX(0,MIN(1,($W$3-J1801)/($W$3-$V$3)))+$U$4*MAX(0,MIN(1,($W$4-K1801)/($W$4-$V$4)))+$U$5*MAX(0,MIN(1,($W$5-L1801)/($W$5-$V$5)))+$U$6*MAX(0,MIN(1,($W$6-M1801)/($W$6-$V$6)))+$U$7*MAX(0,MIN(1,($W$7-N1801)/($W$7-$V$7)))+$U$8*IF(AND(O1801&gt;=$V$8,O1801&lt;=$W$8),1,0))/$U$9*100,2)</f>
        <v>43.35</v>
      </c>
      <c r="C1801" s="27" t="s">
        <v>1412</v>
      </c>
      <c r="D1801" s="25" t="s">
        <v>134</v>
      </c>
      <c r="E1801" s="25" t="s">
        <v>3450</v>
      </c>
      <c r="F1801" s="25" t="s">
        <v>3448</v>
      </c>
      <c r="G1801" s="38" t="s">
        <v>30</v>
      </c>
      <c r="H1801" s="28" t="s">
        <v>25</v>
      </c>
      <c r="I1801" s="25" t="n">
        <v>6</v>
      </c>
      <c r="J1801" s="25" t="n">
        <v>1</v>
      </c>
      <c r="K1801" s="25" t="n">
        <v>6</v>
      </c>
      <c r="L1801" s="29" t="n">
        <v>0.67</v>
      </c>
      <c r="M1801" s="30" t="n">
        <v>3.71</v>
      </c>
      <c r="N1801" s="29" t="n">
        <v>0.44</v>
      </c>
      <c r="O1801" s="25" t="n">
        <v>200</v>
      </c>
      <c r="P1801" s="30" t="n">
        <v>3.55</v>
      </c>
      <c r="Q1801" s="27" t="s">
        <v>3855</v>
      </c>
      <c r="R1801" s="27" t="s">
        <v>283</v>
      </c>
    </row>
    <row r="1802" customFormat="false" ht="15" hidden="false" customHeight="false" outlineLevel="0" collapsed="false">
      <c r="A1802" s="25" t="n">
        <f aca="false">IF(G1802="REJECT",COUNTIF($G$2:$G$2277,"&lt;&gt;REJECT")+1+COUNTIFS($G$2:$G$2277,"REJECT",$B$2:$B$2277,"&gt;"&amp;B1802),1+COUNTIFS($G$2:$G$2277,"&lt;&gt;REJECT",$B$2:$B$2277,"&gt;"&amp;B1802))</f>
        <v>1800</v>
      </c>
      <c r="B1802" s="26" t="n">
        <f aca="false">ROUND(($U$2*MAX(0,MIN(1,($W$2-I1802)/($W$2-$V$2)))+$U$3*MAX(0,MIN(1,($W$3-J1802)/($W$3-$V$3)))+$U$4*MAX(0,MIN(1,($W$4-K1802)/($W$4-$V$4)))+$U$5*MAX(0,MIN(1,($W$5-L1802)/($W$5-$V$5)))+$U$6*MAX(0,MIN(1,($W$6-M1802)/($W$6-$V$6)))+$U$7*MAX(0,MIN(1,($W$7-N1802)/($W$7-$V$7)))+$U$8*IF(AND(O1802&gt;=$V$8,O1802&lt;=$W$8),1,0))/$U$9*100,2)</f>
        <v>43.35</v>
      </c>
      <c r="C1802" s="27" t="s">
        <v>1429</v>
      </c>
      <c r="D1802" s="25" t="s">
        <v>134</v>
      </c>
      <c r="E1802" s="25" t="s">
        <v>3450</v>
      </c>
      <c r="F1802" s="25" t="s">
        <v>3448</v>
      </c>
      <c r="G1802" s="38" t="s">
        <v>30</v>
      </c>
      <c r="H1802" s="28" t="s">
        <v>25</v>
      </c>
      <c r="I1802" s="25" t="n">
        <v>6</v>
      </c>
      <c r="J1802" s="25" t="n">
        <v>1</v>
      </c>
      <c r="K1802" s="25" t="n">
        <v>6</v>
      </c>
      <c r="L1802" s="29" t="n">
        <v>0.7</v>
      </c>
      <c r="M1802" s="30" t="n">
        <v>10.51</v>
      </c>
      <c r="N1802" s="29" t="n">
        <v>0.84</v>
      </c>
      <c r="O1802" s="25" t="n">
        <v>183</v>
      </c>
      <c r="P1802" s="30" t="n">
        <v>19.88</v>
      </c>
      <c r="Q1802" s="27" t="s">
        <v>3856</v>
      </c>
      <c r="R1802" s="27" t="s">
        <v>1152</v>
      </c>
    </row>
    <row r="1803" customFormat="false" ht="15" hidden="false" customHeight="false" outlineLevel="0" collapsed="false">
      <c r="A1803" s="25" t="n">
        <f aca="false">IF(G1803="REJECT",COUNTIF($G$2:$G$2277,"&lt;&gt;REJECT")+1+COUNTIFS($G$2:$G$2277,"REJECT",$B$2:$B$2277,"&gt;"&amp;B1803),1+COUNTIFS($G$2:$G$2277,"&lt;&gt;REJECT",$B$2:$B$2277,"&gt;"&amp;B1803))</f>
        <v>1802</v>
      </c>
      <c r="B1803" s="26" t="n">
        <f aca="false">ROUND(($U$2*MAX(0,MIN(1,($W$2-I1803)/($W$2-$V$2)))+$U$3*MAX(0,MIN(1,($W$3-J1803)/($W$3-$V$3)))+$U$4*MAX(0,MIN(1,($W$4-K1803)/($W$4-$V$4)))+$U$5*MAX(0,MIN(1,($W$5-L1803)/($W$5-$V$5)))+$U$6*MAX(0,MIN(1,($W$6-M1803)/($W$6-$V$6)))+$U$7*MAX(0,MIN(1,($W$7-N1803)/($W$7-$V$7)))+$U$8*IF(AND(O1803&gt;=$V$8,O1803&lt;=$W$8),1,0))/$U$9*100,2)</f>
        <v>42.77</v>
      </c>
      <c r="C1803" s="27" t="s">
        <v>2296</v>
      </c>
      <c r="D1803" s="25" t="s">
        <v>134</v>
      </c>
      <c r="E1803" s="25" t="s">
        <v>3450</v>
      </c>
      <c r="F1803" s="25" t="s">
        <v>3448</v>
      </c>
      <c r="G1803" s="38" t="s">
        <v>30</v>
      </c>
      <c r="H1803" s="28" t="s">
        <v>25</v>
      </c>
      <c r="I1803" s="25" t="n">
        <v>6</v>
      </c>
      <c r="J1803" s="25" t="n">
        <v>1</v>
      </c>
      <c r="K1803" s="25" t="n">
        <v>6</v>
      </c>
      <c r="L1803" s="29" t="n">
        <v>0.68</v>
      </c>
      <c r="M1803" s="30" t="n">
        <v>10.78</v>
      </c>
      <c r="N1803" s="29" t="n">
        <v>0.44</v>
      </c>
      <c r="O1803" s="25" t="n">
        <v>183</v>
      </c>
      <c r="P1803" s="30" t="n">
        <v>15.8</v>
      </c>
      <c r="Q1803" s="27" t="s">
        <v>3845</v>
      </c>
      <c r="R1803" s="27" t="s">
        <v>283</v>
      </c>
    </row>
    <row r="1804" customFormat="false" ht="15" hidden="false" customHeight="false" outlineLevel="0" collapsed="false">
      <c r="A1804" s="25" t="n">
        <f aca="false">IF(G1804="REJECT",COUNTIF($G$2:$G$2277,"&lt;&gt;REJECT")+1+COUNTIFS($G$2:$G$2277,"REJECT",$B$2:$B$2277,"&gt;"&amp;B1804),1+COUNTIFS($G$2:$G$2277,"&lt;&gt;REJECT",$B$2:$B$2277,"&gt;"&amp;B1804))</f>
        <v>1803</v>
      </c>
      <c r="B1804" s="26" t="n">
        <f aca="false">ROUND(($U$2*MAX(0,MIN(1,($W$2-I1804)/($W$2-$V$2)))+$U$3*MAX(0,MIN(1,($W$3-J1804)/($W$3-$V$3)))+$U$4*MAX(0,MIN(1,($W$4-K1804)/($W$4-$V$4)))+$U$5*MAX(0,MIN(1,($W$5-L1804)/($W$5-$V$5)))+$U$6*MAX(0,MIN(1,($W$6-M1804)/($W$6-$V$6)))+$U$7*MAX(0,MIN(1,($W$7-N1804)/($W$7-$V$7)))+$U$8*IF(AND(O1804&gt;=$V$8,O1804&lt;=$W$8),1,0))/$U$9*100,2)</f>
        <v>42.38</v>
      </c>
      <c r="C1804" s="27" t="s">
        <v>3418</v>
      </c>
      <c r="D1804" s="25" t="s">
        <v>3459</v>
      </c>
      <c r="E1804" s="25" t="s">
        <v>3450</v>
      </c>
      <c r="F1804" s="25" t="s">
        <v>3457</v>
      </c>
      <c r="G1804" s="38" t="s">
        <v>30</v>
      </c>
      <c r="H1804" s="28" t="s">
        <v>25</v>
      </c>
      <c r="I1804" s="25" t="n">
        <v>6</v>
      </c>
      <c r="J1804" s="25" t="n">
        <v>1</v>
      </c>
      <c r="K1804" s="25" t="n">
        <v>6</v>
      </c>
      <c r="L1804" s="29" t="n">
        <v>0.7</v>
      </c>
      <c r="M1804" s="30" t="n">
        <v>18.34</v>
      </c>
      <c r="N1804" s="29" t="n">
        <v>0.64</v>
      </c>
      <c r="O1804" s="25" t="n">
        <v>186</v>
      </c>
      <c r="P1804" s="30" t="n">
        <v>4.94</v>
      </c>
      <c r="Q1804" s="27" t="s">
        <v>3857</v>
      </c>
      <c r="R1804" s="27" t="s">
        <v>283</v>
      </c>
    </row>
    <row r="1805" customFormat="false" ht="15" hidden="false" customHeight="false" outlineLevel="0" collapsed="false">
      <c r="A1805" s="25" t="n">
        <f aca="false">IF(G1805="REJECT",COUNTIF($G$2:$G$2277,"&lt;&gt;REJECT")+1+COUNTIFS($G$2:$G$2277,"REJECT",$B$2:$B$2277,"&gt;"&amp;B1805),1+COUNTIFS($G$2:$G$2277,"&lt;&gt;REJECT",$B$2:$B$2277,"&gt;"&amp;B1805))</f>
        <v>1804</v>
      </c>
      <c r="B1805" s="26" t="n">
        <f aca="false">ROUND(($U$2*MAX(0,MIN(1,($W$2-I1805)/($W$2-$V$2)))+$U$3*MAX(0,MIN(1,($W$3-J1805)/($W$3-$V$3)))+$U$4*MAX(0,MIN(1,($W$4-K1805)/($W$4-$V$4)))+$U$5*MAX(0,MIN(1,($W$5-L1805)/($W$5-$V$5)))+$U$6*MAX(0,MIN(1,($W$6-M1805)/($W$6-$V$6)))+$U$7*MAX(0,MIN(1,($W$7-N1805)/($W$7-$V$7)))+$U$8*IF(AND(O1805&gt;=$V$8,O1805&lt;=$W$8),1,0))/$U$9*100,2)</f>
        <v>42.18</v>
      </c>
      <c r="C1805" s="27" t="s">
        <v>1265</v>
      </c>
      <c r="D1805" s="25" t="s">
        <v>134</v>
      </c>
      <c r="E1805" s="25" t="s">
        <v>3447</v>
      </c>
      <c r="F1805" s="25" t="s">
        <v>3448</v>
      </c>
      <c r="G1805" s="38" t="s">
        <v>30</v>
      </c>
      <c r="H1805" s="28" t="s">
        <v>25</v>
      </c>
      <c r="I1805" s="25" t="n">
        <v>6</v>
      </c>
      <c r="J1805" s="25" t="n">
        <v>1</v>
      </c>
      <c r="K1805" s="25" t="n">
        <v>6</v>
      </c>
      <c r="L1805" s="29" t="n">
        <v>0.69</v>
      </c>
      <c r="M1805" s="30" t="n">
        <v>19.95</v>
      </c>
      <c r="N1805" s="29" t="n">
        <v>0.24</v>
      </c>
      <c r="O1805" s="25" t="n">
        <v>200</v>
      </c>
      <c r="P1805" s="30" t="n">
        <v>7.11</v>
      </c>
      <c r="Q1805" s="27" t="s">
        <v>3858</v>
      </c>
      <c r="R1805" s="27" t="s">
        <v>283</v>
      </c>
    </row>
    <row r="1806" customFormat="false" ht="15" hidden="false" customHeight="false" outlineLevel="0" collapsed="false">
      <c r="A1806" s="25" t="n">
        <f aca="false">IF(G1806="REJECT",COUNTIF($G$2:$G$2277,"&lt;&gt;REJECT")+1+COUNTIFS($G$2:$G$2277,"REJECT",$B$2:$B$2277,"&gt;"&amp;B1806),1+COUNTIFS($G$2:$G$2277,"&lt;&gt;REJECT",$B$2:$B$2277,"&gt;"&amp;B1806))</f>
        <v>1805</v>
      </c>
      <c r="B1806" s="26" t="n">
        <f aca="false">ROUND(($U$2*MAX(0,MIN(1,($W$2-I1806)/($W$2-$V$2)))+$U$3*MAX(0,MIN(1,($W$3-J1806)/($W$3-$V$3)))+$U$4*MAX(0,MIN(1,($W$4-K1806)/($W$4-$V$4)))+$U$5*MAX(0,MIN(1,($W$5-L1806)/($W$5-$V$5)))+$U$6*MAX(0,MIN(1,($W$6-M1806)/($W$6-$V$6)))+$U$7*MAX(0,MIN(1,($W$7-N1806)/($W$7-$V$7)))+$U$8*IF(AND(O1806&gt;=$V$8,O1806&lt;=$W$8),1,0))/$U$9*100,2)</f>
        <v>42.16</v>
      </c>
      <c r="C1806" s="27" t="s">
        <v>702</v>
      </c>
      <c r="D1806" s="25" t="s">
        <v>134</v>
      </c>
      <c r="E1806" s="25" t="s">
        <v>3447</v>
      </c>
      <c r="F1806" s="25" t="s">
        <v>3457</v>
      </c>
      <c r="G1806" s="38" t="s">
        <v>30</v>
      </c>
      <c r="H1806" s="28" t="s">
        <v>25</v>
      </c>
      <c r="I1806" s="25" t="n">
        <v>6</v>
      </c>
      <c r="J1806" s="25" t="n">
        <v>1</v>
      </c>
      <c r="K1806" s="25" t="n">
        <v>6</v>
      </c>
      <c r="L1806" s="29" t="n">
        <v>0.71</v>
      </c>
      <c r="M1806" s="30" t="n">
        <v>22.87</v>
      </c>
      <c r="N1806" s="29" t="n">
        <v>0.68</v>
      </c>
      <c r="O1806" s="25" t="n">
        <v>183</v>
      </c>
      <c r="P1806" s="30" t="n">
        <v>-0.36</v>
      </c>
      <c r="Q1806" s="27" t="s">
        <v>3859</v>
      </c>
      <c r="R1806" s="27" t="s">
        <v>183</v>
      </c>
    </row>
    <row r="1807" customFormat="false" ht="15" hidden="false" customHeight="false" outlineLevel="0" collapsed="false">
      <c r="A1807" s="25" t="n">
        <f aca="false">IF(G1807="REJECT",COUNTIF($G$2:$G$2277,"&lt;&gt;REJECT")+1+COUNTIFS($G$2:$G$2277,"REJECT",$B$2:$B$2277,"&gt;"&amp;B1807),1+COUNTIFS($G$2:$G$2277,"&lt;&gt;REJECT",$B$2:$B$2277,"&gt;"&amp;B1807))</f>
        <v>1806</v>
      </c>
      <c r="B1807" s="26" t="n">
        <f aca="false">ROUND(($U$2*MAX(0,MIN(1,($W$2-I1807)/($W$2-$V$2)))+$U$3*MAX(0,MIN(1,($W$3-J1807)/($W$3-$V$3)))+$U$4*MAX(0,MIN(1,($W$4-K1807)/($W$4-$V$4)))+$U$5*MAX(0,MIN(1,($W$5-L1807)/($W$5-$V$5)))+$U$6*MAX(0,MIN(1,($W$6-M1807)/($W$6-$V$6)))+$U$7*MAX(0,MIN(1,($W$7-N1807)/($W$7-$V$7)))+$U$8*IF(AND(O1807&gt;=$V$8,O1807&lt;=$W$8),1,0))/$U$9*100,2)</f>
        <v>42.14</v>
      </c>
      <c r="C1807" s="27" t="s">
        <v>779</v>
      </c>
      <c r="D1807" s="25" t="s">
        <v>134</v>
      </c>
      <c r="E1807" s="25" t="s">
        <v>3450</v>
      </c>
      <c r="F1807" s="25" t="s">
        <v>3457</v>
      </c>
      <c r="G1807" s="38" t="s">
        <v>30</v>
      </c>
      <c r="H1807" s="28" t="s">
        <v>25</v>
      </c>
      <c r="I1807" s="25" t="n">
        <v>6</v>
      </c>
      <c r="J1807" s="25" t="n">
        <v>1</v>
      </c>
      <c r="K1807" s="25" t="n">
        <v>6</v>
      </c>
      <c r="L1807" s="29" t="n">
        <v>0.7</v>
      </c>
      <c r="M1807" s="30" t="n">
        <v>22.98</v>
      </c>
      <c r="N1807" s="29" t="n">
        <v>0.32</v>
      </c>
      <c r="O1807" s="25" t="n">
        <v>184</v>
      </c>
      <c r="P1807" s="30" t="n">
        <v>-0.94</v>
      </c>
      <c r="Q1807" s="27" t="s">
        <v>3860</v>
      </c>
      <c r="R1807" s="27" t="s">
        <v>294</v>
      </c>
    </row>
    <row r="1808" customFormat="false" ht="15" hidden="false" customHeight="false" outlineLevel="0" collapsed="false">
      <c r="A1808" s="25" t="n">
        <f aca="false">IF(G1808="REJECT",COUNTIF($G$2:$G$2277,"&lt;&gt;REJECT")+1+COUNTIFS($G$2:$G$2277,"REJECT",$B$2:$B$2277,"&gt;"&amp;B1808),1+COUNTIFS($G$2:$G$2277,"&lt;&gt;REJECT",$B$2:$B$2277,"&gt;"&amp;B1808))</f>
        <v>1807</v>
      </c>
      <c r="B1808" s="26" t="n">
        <f aca="false">ROUND(($U$2*MAX(0,MIN(1,($W$2-I1808)/($W$2-$V$2)))+$U$3*MAX(0,MIN(1,($W$3-J1808)/($W$3-$V$3)))+$U$4*MAX(0,MIN(1,($W$4-K1808)/($W$4-$V$4)))+$U$5*MAX(0,MIN(1,($W$5-L1808)/($W$5-$V$5)))+$U$6*MAX(0,MIN(1,($W$6-M1808)/($W$6-$V$6)))+$U$7*MAX(0,MIN(1,($W$7-N1808)/($W$7-$V$7)))+$U$8*IF(AND(O1808&gt;=$V$8,O1808&lt;=$W$8),1,0))/$U$9*100,2)</f>
        <v>41.97</v>
      </c>
      <c r="C1808" s="27" t="s">
        <v>3268</v>
      </c>
      <c r="D1808" s="25" t="s">
        <v>134</v>
      </c>
      <c r="E1808" s="25" t="s">
        <v>3450</v>
      </c>
      <c r="F1808" s="25" t="s">
        <v>3448</v>
      </c>
      <c r="G1808" s="38" t="s">
        <v>30</v>
      </c>
      <c r="H1808" s="28" t="s">
        <v>25</v>
      </c>
      <c r="I1808" s="25" t="n">
        <v>6</v>
      </c>
      <c r="J1808" s="25" t="n">
        <v>1</v>
      </c>
      <c r="K1808" s="25" t="n">
        <v>6</v>
      </c>
      <c r="L1808" s="29" t="n">
        <v>0.71</v>
      </c>
      <c r="M1808" s="30" t="n">
        <v>23.59</v>
      </c>
      <c r="N1808" s="29" t="n">
        <v>0.72</v>
      </c>
      <c r="O1808" s="25" t="n">
        <v>186</v>
      </c>
      <c r="P1808" s="30" t="n">
        <v>14.83</v>
      </c>
      <c r="Q1808" s="27" t="s">
        <v>3861</v>
      </c>
      <c r="R1808" s="27" t="s">
        <v>183</v>
      </c>
    </row>
    <row r="1809" customFormat="false" ht="15" hidden="false" customHeight="false" outlineLevel="0" collapsed="false">
      <c r="A1809" s="25" t="n">
        <f aca="false">IF(G1809="REJECT",COUNTIF($G$2:$G$2277,"&lt;&gt;REJECT")+1+COUNTIFS($G$2:$G$2277,"REJECT",$B$2:$B$2277,"&gt;"&amp;B1809),1+COUNTIFS($G$2:$G$2277,"&lt;&gt;REJECT",$B$2:$B$2277,"&gt;"&amp;B1809))</f>
        <v>1808</v>
      </c>
      <c r="B1809" s="26" t="n">
        <f aca="false">ROUND(($U$2*MAX(0,MIN(1,($W$2-I1809)/($W$2-$V$2)))+$U$3*MAX(0,MIN(1,($W$3-J1809)/($W$3-$V$3)))+$U$4*MAX(0,MIN(1,($W$4-K1809)/($W$4-$V$4)))+$U$5*MAX(0,MIN(1,($W$5-L1809)/($W$5-$V$5)))+$U$6*MAX(0,MIN(1,($W$6-M1809)/($W$6-$V$6)))+$U$7*MAX(0,MIN(1,($W$7-N1809)/($W$7-$V$7)))+$U$8*IF(AND(O1809&gt;=$V$8,O1809&lt;=$W$8),1,0))/$U$9*100,2)</f>
        <v>41.87</v>
      </c>
      <c r="C1809" s="27" t="s">
        <v>3045</v>
      </c>
      <c r="D1809" s="25" t="s">
        <v>134</v>
      </c>
      <c r="E1809" s="25" t="s">
        <v>3450</v>
      </c>
      <c r="F1809" s="25" t="s">
        <v>3457</v>
      </c>
      <c r="G1809" s="38" t="s">
        <v>30</v>
      </c>
      <c r="H1809" s="28" t="s">
        <v>25</v>
      </c>
      <c r="I1809" s="25" t="n">
        <v>6</v>
      </c>
      <c r="J1809" s="25" t="n">
        <v>1</v>
      </c>
      <c r="K1809" s="25" t="n">
        <v>5</v>
      </c>
      <c r="L1809" s="29" t="n">
        <v>0.66</v>
      </c>
      <c r="M1809" s="30" t="n">
        <v>24.65</v>
      </c>
      <c r="N1809" s="29" t="n">
        <v>0</v>
      </c>
      <c r="O1809" s="25" t="n">
        <v>183</v>
      </c>
      <c r="P1809" s="30" t="n">
        <v>7.46</v>
      </c>
      <c r="Q1809" s="27" t="s">
        <v>3862</v>
      </c>
      <c r="R1809" s="27" t="s">
        <v>157</v>
      </c>
    </row>
    <row r="1810" customFormat="false" ht="15" hidden="false" customHeight="false" outlineLevel="0" collapsed="false">
      <c r="A1810" s="25" t="n">
        <f aca="false">IF(G1810="REJECT",COUNTIF($G$2:$G$2277,"&lt;&gt;REJECT")+1+COUNTIFS($G$2:$G$2277,"REJECT",$B$2:$B$2277,"&gt;"&amp;B1810),1+COUNTIFS($G$2:$G$2277,"&lt;&gt;REJECT",$B$2:$B$2277,"&gt;"&amp;B1810))</f>
        <v>1809</v>
      </c>
      <c r="B1810" s="26" t="n">
        <f aca="false">ROUND(($U$2*MAX(0,MIN(1,($W$2-I1810)/($W$2-$V$2)))+$U$3*MAX(0,MIN(1,($W$3-J1810)/($W$3-$V$3)))+$U$4*MAX(0,MIN(1,($W$4-K1810)/($W$4-$V$4)))+$U$5*MAX(0,MIN(1,($W$5-L1810)/($W$5-$V$5)))+$U$6*MAX(0,MIN(1,($W$6-M1810)/($W$6-$V$6)))+$U$7*MAX(0,MIN(1,($W$7-N1810)/($W$7-$V$7)))+$U$8*IF(AND(O1810&gt;=$V$8,O1810&lt;=$W$8),1,0))/$U$9*100,2)</f>
        <v>41.21</v>
      </c>
      <c r="C1810" s="27" t="s">
        <v>1825</v>
      </c>
      <c r="D1810" s="25" t="s">
        <v>3459</v>
      </c>
      <c r="E1810" s="25" t="s">
        <v>3450</v>
      </c>
      <c r="F1810" s="25" t="s">
        <v>3457</v>
      </c>
      <c r="G1810" s="38" t="s">
        <v>30</v>
      </c>
      <c r="H1810" s="28" t="s">
        <v>25</v>
      </c>
      <c r="I1810" s="25" t="n">
        <v>5</v>
      </c>
      <c r="J1810" s="25" t="n">
        <v>1</v>
      </c>
      <c r="K1810" s="25" t="n">
        <v>5</v>
      </c>
      <c r="L1810" s="29" t="n">
        <v>0.49</v>
      </c>
      <c r="M1810" s="30" t="n">
        <v>8.82</v>
      </c>
      <c r="N1810" s="29" t="n">
        <v>0.64</v>
      </c>
      <c r="O1810" s="25" t="n">
        <v>211</v>
      </c>
      <c r="P1810" s="30" t="n">
        <v>6.26</v>
      </c>
      <c r="Q1810" s="27" t="s">
        <v>3812</v>
      </c>
      <c r="R1810" s="27" t="s">
        <v>283</v>
      </c>
    </row>
    <row r="1811" customFormat="false" ht="15" hidden="false" customHeight="false" outlineLevel="0" collapsed="false">
      <c r="A1811" s="25" t="n">
        <f aca="false">IF(G1811="REJECT",COUNTIF($G$2:$G$2277,"&lt;&gt;REJECT")+1+COUNTIFS($G$2:$G$2277,"REJECT",$B$2:$B$2277,"&gt;"&amp;B1811),1+COUNTIFS($G$2:$G$2277,"&lt;&gt;REJECT",$B$2:$B$2277,"&gt;"&amp;B1811))</f>
        <v>1810</v>
      </c>
      <c r="B1811" s="26" t="n">
        <f aca="false">ROUND(($U$2*MAX(0,MIN(1,($W$2-I1811)/($W$2-$V$2)))+$U$3*MAX(0,MIN(1,($W$3-J1811)/($W$3-$V$3)))+$U$4*MAX(0,MIN(1,($W$4-K1811)/($W$4-$V$4)))+$U$5*MAX(0,MIN(1,($W$5-L1811)/($W$5-$V$5)))+$U$6*MAX(0,MIN(1,($W$6-M1811)/($W$6-$V$6)))+$U$7*MAX(0,MIN(1,($W$7-N1811)/($W$7-$V$7)))+$U$8*IF(AND(O1811&gt;=$V$8,O1811&lt;=$W$8),1,0))/$U$9*100,2)</f>
        <v>41.09</v>
      </c>
      <c r="C1811" s="27" t="s">
        <v>964</v>
      </c>
      <c r="D1811" s="25" t="s">
        <v>3459</v>
      </c>
      <c r="E1811" s="25" t="s">
        <v>3447</v>
      </c>
      <c r="F1811" s="25" t="s">
        <v>3457</v>
      </c>
      <c r="G1811" s="38" t="s">
        <v>30</v>
      </c>
      <c r="H1811" s="28" t="s">
        <v>25</v>
      </c>
      <c r="I1811" s="25" t="n">
        <v>6</v>
      </c>
      <c r="J1811" s="25" t="n">
        <v>1</v>
      </c>
      <c r="K1811" s="25" t="n">
        <v>6</v>
      </c>
      <c r="L1811" s="29" t="n">
        <v>0.63</v>
      </c>
      <c r="M1811" s="30" t="n">
        <v>2.85</v>
      </c>
      <c r="N1811" s="29" t="n">
        <v>0.44</v>
      </c>
      <c r="O1811" s="25" t="n">
        <v>186</v>
      </c>
      <c r="P1811" s="30" t="n">
        <v>-0.52</v>
      </c>
      <c r="Q1811" s="27" t="s">
        <v>3863</v>
      </c>
      <c r="R1811" s="27" t="s">
        <v>283</v>
      </c>
    </row>
    <row r="1812" customFormat="false" ht="15" hidden="false" customHeight="false" outlineLevel="0" collapsed="false">
      <c r="A1812" s="25" t="n">
        <f aca="false">IF(G1812="REJECT",COUNTIF($G$2:$G$2277,"&lt;&gt;REJECT")+1+COUNTIFS($G$2:$G$2277,"REJECT",$B$2:$B$2277,"&gt;"&amp;B1812),1+COUNTIFS($G$2:$G$2277,"&lt;&gt;REJECT",$B$2:$B$2277,"&gt;"&amp;B1812))</f>
        <v>1811</v>
      </c>
      <c r="B1812" s="26" t="n">
        <f aca="false">ROUND(($U$2*MAX(0,MIN(1,($W$2-I1812)/($W$2-$V$2)))+$U$3*MAX(0,MIN(1,($W$3-J1812)/($W$3-$V$3)))+$U$4*MAX(0,MIN(1,($W$4-K1812)/($W$4-$V$4)))+$U$5*MAX(0,MIN(1,($W$5-L1812)/($W$5-$V$5)))+$U$6*MAX(0,MIN(1,($W$6-M1812)/($W$6-$V$6)))+$U$7*MAX(0,MIN(1,($W$7-N1812)/($W$7-$V$7)))+$U$8*IF(AND(O1812&gt;=$V$8,O1812&lt;=$W$8),1,0))/$U$9*100,2)</f>
        <v>41.08</v>
      </c>
      <c r="C1812" s="27" t="s">
        <v>3132</v>
      </c>
      <c r="D1812" s="25" t="s">
        <v>134</v>
      </c>
      <c r="E1812" s="25" t="s">
        <v>3447</v>
      </c>
      <c r="F1812" s="25" t="s">
        <v>3448</v>
      </c>
      <c r="G1812" s="38" t="s">
        <v>30</v>
      </c>
      <c r="H1812" s="28" t="s">
        <v>25</v>
      </c>
      <c r="I1812" s="25" t="n">
        <v>5</v>
      </c>
      <c r="J1812" s="25" t="n">
        <v>1</v>
      </c>
      <c r="K1812" s="25" t="n">
        <v>5</v>
      </c>
      <c r="L1812" s="29" t="n">
        <v>0.54</v>
      </c>
      <c r="M1812" s="30" t="n">
        <v>12.4</v>
      </c>
      <c r="N1812" s="29" t="n">
        <v>0.36</v>
      </c>
      <c r="O1812" s="25" t="n">
        <v>186</v>
      </c>
      <c r="P1812" s="30" t="n">
        <v>-0.29</v>
      </c>
      <c r="Q1812" s="27" t="s">
        <v>3864</v>
      </c>
      <c r="R1812" s="27" t="s">
        <v>1099</v>
      </c>
    </row>
    <row r="1813" customFormat="false" ht="15" hidden="false" customHeight="false" outlineLevel="0" collapsed="false">
      <c r="A1813" s="25" t="n">
        <f aca="false">IF(G1813="REJECT",COUNTIF($G$2:$G$2277,"&lt;&gt;REJECT")+1+COUNTIFS($G$2:$G$2277,"REJECT",$B$2:$B$2277,"&gt;"&amp;B1813),1+COUNTIFS($G$2:$G$2277,"&lt;&gt;REJECT",$B$2:$B$2277,"&gt;"&amp;B1813))</f>
        <v>1812</v>
      </c>
      <c r="B1813" s="26" t="n">
        <f aca="false">ROUND(($U$2*MAX(0,MIN(1,($W$2-I1813)/($W$2-$V$2)))+$U$3*MAX(0,MIN(1,($W$3-J1813)/($W$3-$V$3)))+$U$4*MAX(0,MIN(1,($W$4-K1813)/($W$4-$V$4)))+$U$5*MAX(0,MIN(1,($W$5-L1813)/($W$5-$V$5)))+$U$6*MAX(0,MIN(1,($W$6-M1813)/($W$6-$V$6)))+$U$7*MAX(0,MIN(1,($W$7-N1813)/($W$7-$V$7)))+$U$8*IF(AND(O1813&gt;=$V$8,O1813&lt;=$W$8),1,0))/$U$9*100,2)</f>
        <v>40.39</v>
      </c>
      <c r="C1813" s="27" t="s">
        <v>1908</v>
      </c>
      <c r="D1813" s="25" t="s">
        <v>3459</v>
      </c>
      <c r="E1813" s="25" t="s">
        <v>3450</v>
      </c>
      <c r="F1813" s="25" t="s">
        <v>3457</v>
      </c>
      <c r="G1813" s="38" t="s">
        <v>30</v>
      </c>
      <c r="H1813" s="28" t="s">
        <v>25</v>
      </c>
      <c r="I1813" s="25" t="n">
        <v>6</v>
      </c>
      <c r="J1813" s="25" t="n">
        <v>1</v>
      </c>
      <c r="K1813" s="25" t="n">
        <v>6</v>
      </c>
      <c r="L1813" s="29" t="n">
        <v>0.65</v>
      </c>
      <c r="M1813" s="30" t="n">
        <v>11.45</v>
      </c>
      <c r="N1813" s="29" t="n">
        <v>0.72</v>
      </c>
      <c r="O1813" s="25" t="n">
        <v>182</v>
      </c>
      <c r="P1813" s="30" t="n">
        <v>-0.92</v>
      </c>
      <c r="Q1813" s="27" t="s">
        <v>3860</v>
      </c>
      <c r="R1813" s="27" t="s">
        <v>357</v>
      </c>
    </row>
    <row r="1814" customFormat="false" ht="15" hidden="false" customHeight="false" outlineLevel="0" collapsed="false">
      <c r="A1814" s="25" t="n">
        <f aca="false">IF(G1814="REJECT",COUNTIF($G$2:$G$2277,"&lt;&gt;REJECT")+1+COUNTIFS($G$2:$G$2277,"REJECT",$B$2:$B$2277,"&gt;"&amp;B1814),1+COUNTIFS($G$2:$G$2277,"&lt;&gt;REJECT",$B$2:$B$2277,"&gt;"&amp;B1814))</f>
        <v>1813</v>
      </c>
      <c r="B1814" s="26" t="n">
        <f aca="false">ROUND(($U$2*MAX(0,MIN(1,($W$2-I1814)/($W$2-$V$2)))+$U$3*MAX(0,MIN(1,($W$3-J1814)/($W$3-$V$3)))+$U$4*MAX(0,MIN(1,($W$4-K1814)/($W$4-$V$4)))+$U$5*MAX(0,MIN(1,($W$5-L1814)/($W$5-$V$5)))+$U$6*MAX(0,MIN(1,($W$6-M1814)/($W$6-$V$6)))+$U$7*MAX(0,MIN(1,($W$7-N1814)/($W$7-$V$7)))+$U$8*IF(AND(O1814&gt;=$V$8,O1814&lt;=$W$8),1,0))/$U$9*100,2)</f>
        <v>40.32</v>
      </c>
      <c r="C1814" s="27" t="s">
        <v>235</v>
      </c>
      <c r="D1814" s="25" t="s">
        <v>134</v>
      </c>
      <c r="E1814" s="25" t="s">
        <v>3450</v>
      </c>
      <c r="F1814" s="25" t="s">
        <v>3448</v>
      </c>
      <c r="G1814" s="38" t="s">
        <v>30</v>
      </c>
      <c r="H1814" s="28" t="s">
        <v>25</v>
      </c>
      <c r="I1814" s="25" t="n">
        <v>6</v>
      </c>
      <c r="J1814" s="25" t="n">
        <v>1</v>
      </c>
      <c r="K1814" s="25" t="n">
        <v>6</v>
      </c>
      <c r="L1814" s="29" t="n">
        <v>0.65</v>
      </c>
      <c r="M1814" s="30" t="n">
        <v>9.86</v>
      </c>
      <c r="N1814" s="29" t="n">
        <v>0.92</v>
      </c>
      <c r="O1814" s="25" t="n">
        <v>185</v>
      </c>
      <c r="P1814" s="30" t="n">
        <v>5.88</v>
      </c>
      <c r="Q1814" s="27" t="s">
        <v>3865</v>
      </c>
      <c r="R1814" s="27" t="s">
        <v>1152</v>
      </c>
    </row>
    <row r="1815" customFormat="false" ht="15" hidden="false" customHeight="false" outlineLevel="0" collapsed="false">
      <c r="A1815" s="25" t="n">
        <f aca="false">IF(G1815="REJECT",COUNTIF($G$2:$G$2277,"&lt;&gt;REJECT")+1+COUNTIFS($G$2:$G$2277,"REJECT",$B$2:$B$2277,"&gt;"&amp;B1815),1+COUNTIFS($G$2:$G$2277,"&lt;&gt;REJECT",$B$2:$B$2277,"&gt;"&amp;B1815))</f>
        <v>1814</v>
      </c>
      <c r="B1815" s="26" t="n">
        <f aca="false">ROUND(($U$2*MAX(0,MIN(1,($W$2-I1815)/($W$2-$V$2)))+$U$3*MAX(0,MIN(1,($W$3-J1815)/($W$3-$V$3)))+$U$4*MAX(0,MIN(1,($W$4-K1815)/($W$4-$V$4)))+$U$5*MAX(0,MIN(1,($W$5-L1815)/($W$5-$V$5)))+$U$6*MAX(0,MIN(1,($W$6-M1815)/($W$6-$V$6)))+$U$7*MAX(0,MIN(1,($W$7-N1815)/($W$7-$V$7)))+$U$8*IF(AND(O1815&gt;=$V$8,O1815&lt;=$W$8),1,0))/$U$9*100,2)</f>
        <v>40.16</v>
      </c>
      <c r="C1815" s="27" t="s">
        <v>846</v>
      </c>
      <c r="D1815" s="25" t="s">
        <v>134</v>
      </c>
      <c r="E1815" s="25" t="s">
        <v>3447</v>
      </c>
      <c r="F1815" s="25" t="s">
        <v>3457</v>
      </c>
      <c r="G1815" s="38" t="s">
        <v>30</v>
      </c>
      <c r="H1815" s="28" t="s">
        <v>25</v>
      </c>
      <c r="I1815" s="25" t="n">
        <v>6</v>
      </c>
      <c r="J1815" s="25" t="n">
        <v>1</v>
      </c>
      <c r="K1815" s="25" t="n">
        <v>6</v>
      </c>
      <c r="L1815" s="29" t="n">
        <v>0.63</v>
      </c>
      <c r="M1815" s="30" t="n">
        <v>5.66</v>
      </c>
      <c r="N1815" s="29" t="n">
        <v>0.72</v>
      </c>
      <c r="O1815" s="25" t="n">
        <v>183</v>
      </c>
      <c r="P1815" s="30" t="n">
        <v>-2.41</v>
      </c>
      <c r="Q1815" s="27" t="s">
        <v>3866</v>
      </c>
      <c r="R1815" s="27" t="s">
        <v>1152</v>
      </c>
    </row>
    <row r="1816" customFormat="false" ht="15" hidden="false" customHeight="false" outlineLevel="0" collapsed="false">
      <c r="A1816" s="25" t="n">
        <f aca="false">IF(G1816="REJECT",COUNTIF($G$2:$G$2277,"&lt;&gt;REJECT")+1+COUNTIFS($G$2:$G$2277,"REJECT",$B$2:$B$2277,"&gt;"&amp;B1816),1+COUNTIFS($G$2:$G$2277,"&lt;&gt;REJECT",$B$2:$B$2277,"&gt;"&amp;B1816))</f>
        <v>1815</v>
      </c>
      <c r="B1816" s="26" t="n">
        <f aca="false">ROUND(($U$2*MAX(0,MIN(1,($W$2-I1816)/($W$2-$V$2)))+$U$3*MAX(0,MIN(1,($W$3-J1816)/($W$3-$V$3)))+$U$4*MAX(0,MIN(1,($W$4-K1816)/($W$4-$V$4)))+$U$5*MAX(0,MIN(1,($W$5-L1816)/($W$5-$V$5)))+$U$6*MAX(0,MIN(1,($W$6-M1816)/($W$6-$V$6)))+$U$7*MAX(0,MIN(1,($W$7-N1816)/($W$7-$V$7)))+$U$8*IF(AND(O1816&gt;=$V$8,O1816&lt;=$W$8),1,0))/$U$9*100,2)</f>
        <v>39.35</v>
      </c>
      <c r="C1816" s="27" t="s">
        <v>2697</v>
      </c>
      <c r="D1816" s="25" t="s">
        <v>3459</v>
      </c>
      <c r="E1816" s="25" t="s">
        <v>3450</v>
      </c>
      <c r="F1816" s="25" t="s">
        <v>3457</v>
      </c>
      <c r="G1816" s="38" t="s">
        <v>30</v>
      </c>
      <c r="H1816" s="28" t="s">
        <v>25</v>
      </c>
      <c r="I1816" s="25" t="n">
        <v>6</v>
      </c>
      <c r="J1816" s="25" t="n">
        <v>1</v>
      </c>
      <c r="K1816" s="25" t="n">
        <v>5</v>
      </c>
      <c r="L1816" s="29" t="n">
        <v>0.71</v>
      </c>
      <c r="M1816" s="30" t="n">
        <v>21.38</v>
      </c>
      <c r="N1816" s="29" t="n">
        <v>0.64</v>
      </c>
      <c r="O1816" s="25" t="n">
        <v>252</v>
      </c>
      <c r="P1816" s="30" t="n">
        <v>-0.69</v>
      </c>
      <c r="Q1816" s="27" t="s">
        <v>3867</v>
      </c>
      <c r="R1816" s="27" t="s">
        <v>3868</v>
      </c>
    </row>
    <row r="1817" customFormat="false" ht="15" hidden="false" customHeight="false" outlineLevel="0" collapsed="false">
      <c r="A1817" s="25" t="n">
        <f aca="false">IF(G1817="REJECT",COUNTIF($G$2:$G$2277,"&lt;&gt;REJECT")+1+COUNTIFS($G$2:$G$2277,"REJECT",$B$2:$B$2277,"&gt;"&amp;B1817),1+COUNTIFS($G$2:$G$2277,"&lt;&gt;REJECT",$B$2:$B$2277,"&gt;"&amp;B1817))</f>
        <v>1816</v>
      </c>
      <c r="B1817" s="26" t="n">
        <f aca="false">ROUND(($U$2*MAX(0,MIN(1,($W$2-I1817)/($W$2-$V$2)))+$U$3*MAX(0,MIN(1,($W$3-J1817)/($W$3-$V$3)))+$U$4*MAX(0,MIN(1,($W$4-K1817)/($W$4-$V$4)))+$U$5*MAX(0,MIN(1,($W$5-L1817)/($W$5-$V$5)))+$U$6*MAX(0,MIN(1,($W$6-M1817)/($W$6-$V$6)))+$U$7*MAX(0,MIN(1,($W$7-N1817)/($W$7-$V$7)))+$U$8*IF(AND(O1817&gt;=$V$8,O1817&lt;=$W$8),1,0))/$U$9*100,2)</f>
        <v>39.2</v>
      </c>
      <c r="C1817" s="27" t="s">
        <v>2296</v>
      </c>
      <c r="D1817" s="25" t="s">
        <v>3459</v>
      </c>
      <c r="E1817" s="25" t="s">
        <v>3447</v>
      </c>
      <c r="F1817" s="25" t="s">
        <v>3448</v>
      </c>
      <c r="G1817" s="38" t="s">
        <v>30</v>
      </c>
      <c r="H1817" s="28" t="s">
        <v>25</v>
      </c>
      <c r="I1817" s="25" t="n">
        <v>6</v>
      </c>
      <c r="J1817" s="25" t="n">
        <v>1</v>
      </c>
      <c r="K1817" s="25" t="n">
        <v>6</v>
      </c>
      <c r="L1817" s="29" t="n">
        <v>0.64</v>
      </c>
      <c r="M1817" s="30" t="n">
        <v>18.98</v>
      </c>
      <c r="N1817" s="29" t="n">
        <v>0.32</v>
      </c>
      <c r="O1817" s="25" t="n">
        <v>183</v>
      </c>
      <c r="P1817" s="30" t="n">
        <v>11.34</v>
      </c>
      <c r="Q1817" s="27" t="s">
        <v>3869</v>
      </c>
      <c r="R1817" s="27" t="s">
        <v>283</v>
      </c>
    </row>
    <row r="1818" customFormat="false" ht="15" hidden="false" customHeight="false" outlineLevel="0" collapsed="false">
      <c r="A1818" s="25" t="n">
        <f aca="false">IF(G1818="REJECT",COUNTIF($G$2:$G$2277,"&lt;&gt;REJECT")+1+COUNTIFS($G$2:$G$2277,"REJECT",$B$2:$B$2277,"&gt;"&amp;B1818),1+COUNTIFS($G$2:$G$2277,"&lt;&gt;REJECT",$B$2:$B$2277,"&gt;"&amp;B1818))</f>
        <v>1817</v>
      </c>
      <c r="B1818" s="26" t="n">
        <f aca="false">ROUND(($U$2*MAX(0,MIN(1,($W$2-I1818)/($W$2-$V$2)))+$U$3*MAX(0,MIN(1,($W$3-J1818)/($W$3-$V$3)))+$U$4*MAX(0,MIN(1,($W$4-K1818)/($W$4-$V$4)))+$U$5*MAX(0,MIN(1,($W$5-L1818)/($W$5-$V$5)))+$U$6*MAX(0,MIN(1,($W$6-M1818)/($W$6-$V$6)))+$U$7*MAX(0,MIN(1,($W$7-N1818)/($W$7-$V$7)))+$U$8*IF(AND(O1818&gt;=$V$8,O1818&lt;=$W$8),1,0))/$U$9*100,2)</f>
        <v>38.87</v>
      </c>
      <c r="C1818" s="27" t="s">
        <v>2296</v>
      </c>
      <c r="D1818" s="25" t="s">
        <v>3459</v>
      </c>
      <c r="E1818" s="25" t="s">
        <v>3450</v>
      </c>
      <c r="F1818" s="25" t="s">
        <v>3457</v>
      </c>
      <c r="G1818" s="38" t="s">
        <v>30</v>
      </c>
      <c r="H1818" s="28" t="s">
        <v>25</v>
      </c>
      <c r="I1818" s="25" t="n">
        <v>6</v>
      </c>
      <c r="J1818" s="25" t="n">
        <v>1</v>
      </c>
      <c r="K1818" s="25" t="n">
        <v>6</v>
      </c>
      <c r="L1818" s="29" t="n">
        <v>0.65</v>
      </c>
      <c r="M1818" s="30" t="n">
        <v>19.77</v>
      </c>
      <c r="N1818" s="29" t="n">
        <v>0.8</v>
      </c>
      <c r="O1818" s="25" t="n">
        <v>183</v>
      </c>
      <c r="P1818" s="30" t="n">
        <v>13.93</v>
      </c>
      <c r="Q1818" s="27" t="s">
        <v>3869</v>
      </c>
      <c r="R1818" s="27" t="s">
        <v>283</v>
      </c>
    </row>
    <row r="1819" customFormat="false" ht="15" hidden="false" customHeight="false" outlineLevel="0" collapsed="false">
      <c r="A1819" s="25" t="n">
        <f aca="false">IF(G1819="REJECT",COUNTIF($G$2:$G$2277,"&lt;&gt;REJECT")+1+COUNTIFS($G$2:$G$2277,"REJECT",$B$2:$B$2277,"&gt;"&amp;B1819),1+COUNTIFS($G$2:$G$2277,"&lt;&gt;REJECT",$B$2:$B$2277,"&gt;"&amp;B1819))</f>
        <v>1818</v>
      </c>
      <c r="B1819" s="26" t="n">
        <f aca="false">ROUND(($U$2*MAX(0,MIN(1,($W$2-I1819)/($W$2-$V$2)))+$U$3*MAX(0,MIN(1,($W$3-J1819)/($W$3-$V$3)))+$U$4*MAX(0,MIN(1,($W$4-K1819)/($W$4-$V$4)))+$U$5*MAX(0,MIN(1,($W$5-L1819)/($W$5-$V$5)))+$U$6*MAX(0,MIN(1,($W$6-M1819)/($W$6-$V$6)))+$U$7*MAX(0,MIN(1,($W$7-N1819)/($W$7-$V$7)))+$U$8*IF(AND(O1819&gt;=$V$8,O1819&lt;=$W$8),1,0))/$U$9*100,2)</f>
        <v>38.7</v>
      </c>
      <c r="C1819" s="27" t="s">
        <v>2296</v>
      </c>
      <c r="D1819" s="25" t="s">
        <v>3459</v>
      </c>
      <c r="E1819" s="25" t="s">
        <v>3450</v>
      </c>
      <c r="F1819" s="25" t="s">
        <v>3448</v>
      </c>
      <c r="G1819" s="38" t="s">
        <v>30</v>
      </c>
      <c r="H1819" s="28" t="s">
        <v>25</v>
      </c>
      <c r="I1819" s="25" t="n">
        <v>6</v>
      </c>
      <c r="J1819" s="25" t="n">
        <v>1</v>
      </c>
      <c r="K1819" s="25" t="n">
        <v>6</v>
      </c>
      <c r="L1819" s="29" t="n">
        <v>0.65</v>
      </c>
      <c r="M1819" s="30" t="n">
        <v>21.6</v>
      </c>
      <c r="N1819" s="29" t="n">
        <v>0.72</v>
      </c>
      <c r="O1819" s="25" t="n">
        <v>183</v>
      </c>
      <c r="P1819" s="30" t="n">
        <v>13.24</v>
      </c>
      <c r="Q1819" s="27" t="s">
        <v>3869</v>
      </c>
      <c r="R1819" s="27" t="s">
        <v>183</v>
      </c>
    </row>
    <row r="1820" customFormat="false" ht="15" hidden="false" customHeight="false" outlineLevel="0" collapsed="false">
      <c r="A1820" s="25" t="n">
        <f aca="false">IF(G1820="REJECT",COUNTIF($G$2:$G$2277,"&lt;&gt;REJECT")+1+COUNTIFS($G$2:$G$2277,"REJECT",$B$2:$B$2277,"&gt;"&amp;B1820),1+COUNTIFS($G$2:$G$2277,"&lt;&gt;REJECT",$B$2:$B$2277,"&gt;"&amp;B1820))</f>
        <v>1819</v>
      </c>
      <c r="B1820" s="26" t="n">
        <f aca="false">ROUND(($U$2*MAX(0,MIN(1,($W$2-I1820)/($W$2-$V$2)))+$U$3*MAX(0,MIN(1,($W$3-J1820)/($W$3-$V$3)))+$U$4*MAX(0,MIN(1,($W$4-K1820)/($W$4-$V$4)))+$U$5*MAX(0,MIN(1,($W$5-L1820)/($W$5-$V$5)))+$U$6*MAX(0,MIN(1,($W$6-M1820)/($W$6-$V$6)))+$U$7*MAX(0,MIN(1,($W$7-N1820)/($W$7-$V$7)))+$U$8*IF(AND(O1820&gt;=$V$8,O1820&lt;=$W$8),1,0))/$U$9*100,2)</f>
        <v>37.36</v>
      </c>
      <c r="C1820" s="27" t="s">
        <v>3117</v>
      </c>
      <c r="D1820" s="25" t="s">
        <v>134</v>
      </c>
      <c r="E1820" s="25" t="s">
        <v>3450</v>
      </c>
      <c r="F1820" s="25" t="s">
        <v>3448</v>
      </c>
      <c r="G1820" s="38" t="s">
        <v>30</v>
      </c>
      <c r="H1820" s="28" t="s">
        <v>25</v>
      </c>
      <c r="I1820" s="25" t="n">
        <v>6</v>
      </c>
      <c r="J1820" s="25" t="n">
        <v>1</v>
      </c>
      <c r="K1820" s="25" t="n">
        <v>6</v>
      </c>
      <c r="L1820" s="29" t="n">
        <v>0.57</v>
      </c>
      <c r="M1820" s="30" t="n">
        <v>2.46</v>
      </c>
      <c r="N1820" s="29" t="n">
        <v>0.56</v>
      </c>
      <c r="O1820" s="25" t="n">
        <v>196</v>
      </c>
      <c r="P1820" s="30" t="n">
        <v>-0.84</v>
      </c>
      <c r="Q1820" s="27" t="s">
        <v>3869</v>
      </c>
      <c r="R1820" s="27" t="s">
        <v>1230</v>
      </c>
    </row>
    <row r="1821" customFormat="false" ht="15" hidden="false" customHeight="false" outlineLevel="0" collapsed="false">
      <c r="A1821" s="25" t="n">
        <f aca="false">IF(G1821="REJECT",COUNTIF($G$2:$G$2277,"&lt;&gt;REJECT")+1+COUNTIFS($G$2:$G$2277,"REJECT",$B$2:$B$2277,"&gt;"&amp;B1821),1+COUNTIFS($G$2:$G$2277,"&lt;&gt;REJECT",$B$2:$B$2277,"&gt;"&amp;B1821))</f>
        <v>1820</v>
      </c>
      <c r="B1821" s="26" t="n">
        <f aca="false">ROUND(($U$2*MAX(0,MIN(1,($W$2-I1821)/($W$2-$V$2)))+$U$3*MAX(0,MIN(1,($W$3-J1821)/($W$3-$V$3)))+$U$4*MAX(0,MIN(1,($W$4-K1821)/($W$4-$V$4)))+$U$5*MAX(0,MIN(1,($W$5-L1821)/($W$5-$V$5)))+$U$6*MAX(0,MIN(1,($W$6-M1821)/($W$6-$V$6)))+$U$7*MAX(0,MIN(1,($W$7-N1821)/($W$7-$V$7)))+$U$8*IF(AND(O1821&gt;=$V$8,O1821&lt;=$W$8),1,0))/$U$9*100,2)</f>
        <v>37.19</v>
      </c>
      <c r="C1821" s="27" t="s">
        <v>2482</v>
      </c>
      <c r="D1821" s="25" t="s">
        <v>3459</v>
      </c>
      <c r="E1821" s="25" t="s">
        <v>3447</v>
      </c>
      <c r="F1821" s="25" t="s">
        <v>3448</v>
      </c>
      <c r="G1821" s="38" t="s">
        <v>30</v>
      </c>
      <c r="H1821" s="28" t="s">
        <v>25</v>
      </c>
      <c r="I1821" s="25" t="n">
        <v>6</v>
      </c>
      <c r="J1821" s="25" t="n">
        <v>1</v>
      </c>
      <c r="K1821" s="25" t="n">
        <v>6</v>
      </c>
      <c r="L1821" s="29" t="n">
        <v>0.61</v>
      </c>
      <c r="M1821" s="30" t="n">
        <v>18.67</v>
      </c>
      <c r="N1821" s="29" t="n">
        <v>0.48</v>
      </c>
      <c r="O1821" s="25" t="n">
        <v>184</v>
      </c>
      <c r="P1821" s="30" t="n">
        <v>-0.96</v>
      </c>
      <c r="Q1821" s="27" t="s">
        <v>3870</v>
      </c>
      <c r="R1821" s="27" t="s">
        <v>1152</v>
      </c>
    </row>
    <row r="1822" customFormat="false" ht="15" hidden="false" customHeight="false" outlineLevel="0" collapsed="false">
      <c r="A1822" s="25" t="n">
        <f aca="false">IF(G1822="REJECT",COUNTIF($G$2:$G$2277,"&lt;&gt;REJECT")+1+COUNTIFS($G$2:$G$2277,"REJECT",$B$2:$B$2277,"&gt;"&amp;B1822),1+COUNTIFS($G$2:$G$2277,"&lt;&gt;REJECT",$B$2:$B$2277,"&gt;"&amp;B1822))</f>
        <v>1821</v>
      </c>
      <c r="B1822" s="26" t="n">
        <f aca="false">ROUND(($U$2*MAX(0,MIN(1,($W$2-I1822)/($W$2-$V$2)))+$U$3*MAX(0,MIN(1,($W$3-J1822)/($W$3-$V$3)))+$U$4*MAX(0,MIN(1,($W$4-K1822)/($W$4-$V$4)))+$U$5*MAX(0,MIN(1,($W$5-L1822)/($W$5-$V$5)))+$U$6*MAX(0,MIN(1,($W$6-M1822)/($W$6-$V$6)))+$U$7*MAX(0,MIN(1,($W$7-N1822)/($W$7-$V$7)))+$U$8*IF(AND(O1822&gt;=$V$8,O1822&lt;=$W$8),1,0))/$U$9*100,2)</f>
        <v>64.02</v>
      </c>
      <c r="C1822" s="27" t="s">
        <v>904</v>
      </c>
      <c r="D1822" s="25" t="s">
        <v>134</v>
      </c>
      <c r="E1822" s="25" t="s">
        <v>3447</v>
      </c>
      <c r="F1822" s="25" t="s">
        <v>3457</v>
      </c>
      <c r="G1822" s="39" t="s">
        <v>32</v>
      </c>
      <c r="H1822" s="39" t="s">
        <v>26</v>
      </c>
      <c r="I1822" s="25" t="n">
        <v>2</v>
      </c>
      <c r="J1822" s="25" t="n">
        <v>2</v>
      </c>
      <c r="K1822" s="25" t="n">
        <v>2</v>
      </c>
      <c r="L1822" s="29" t="n">
        <v>0.75</v>
      </c>
      <c r="M1822" s="30" t="n">
        <v>1.71</v>
      </c>
      <c r="N1822" s="29" t="n">
        <v>0.12</v>
      </c>
      <c r="O1822" s="25" t="n">
        <v>189</v>
      </c>
      <c r="P1822" s="30" t="n">
        <v>5.07</v>
      </c>
      <c r="Q1822" s="27" t="s">
        <v>3871</v>
      </c>
      <c r="R1822" s="27" t="s">
        <v>65</v>
      </c>
    </row>
    <row r="1823" customFormat="false" ht="15" hidden="false" customHeight="false" outlineLevel="0" collapsed="false">
      <c r="A1823" s="25" t="n">
        <f aca="false">IF(G1823="REJECT",COUNTIF($G$2:$G$2277,"&lt;&gt;REJECT")+1+COUNTIFS($G$2:$G$2277,"REJECT",$B$2:$B$2277,"&gt;"&amp;B1823),1+COUNTIFS($G$2:$G$2277,"&lt;&gt;REJECT",$B$2:$B$2277,"&gt;"&amp;B1823))</f>
        <v>1822</v>
      </c>
      <c r="B1823" s="26" t="n">
        <f aca="false">ROUND(($U$2*MAX(0,MIN(1,($W$2-I1823)/($W$2-$V$2)))+$U$3*MAX(0,MIN(1,($W$3-J1823)/($W$3-$V$3)))+$U$4*MAX(0,MIN(1,($W$4-K1823)/($W$4-$V$4)))+$U$5*MAX(0,MIN(1,($W$5-L1823)/($W$5-$V$5)))+$U$6*MAX(0,MIN(1,($W$6-M1823)/($W$6-$V$6)))+$U$7*MAX(0,MIN(1,($W$7-N1823)/($W$7-$V$7)))+$U$8*IF(AND(O1823&gt;=$V$8,O1823&lt;=$W$8),1,0))/$U$9*100,2)</f>
        <v>59.71</v>
      </c>
      <c r="C1823" s="27" t="s">
        <v>2641</v>
      </c>
      <c r="D1823" s="25" t="s">
        <v>134</v>
      </c>
      <c r="E1823" s="25" t="s">
        <v>3447</v>
      </c>
      <c r="F1823" s="25" t="s">
        <v>3448</v>
      </c>
      <c r="G1823" s="39" t="s">
        <v>32</v>
      </c>
      <c r="H1823" s="39" t="s">
        <v>26</v>
      </c>
      <c r="I1823" s="25" t="n">
        <v>2</v>
      </c>
      <c r="J1823" s="25" t="n">
        <v>2</v>
      </c>
      <c r="K1823" s="25" t="n">
        <v>2</v>
      </c>
      <c r="L1823" s="29" t="n">
        <v>0.7</v>
      </c>
      <c r="M1823" s="30" t="n">
        <v>8.34</v>
      </c>
      <c r="N1823" s="29" t="n">
        <v>0.24</v>
      </c>
      <c r="O1823" s="25" t="n">
        <v>188</v>
      </c>
      <c r="P1823" s="30" t="n">
        <v>7.4</v>
      </c>
      <c r="Q1823" s="27" t="s">
        <v>3871</v>
      </c>
      <c r="R1823" s="27" t="s">
        <v>65</v>
      </c>
    </row>
    <row r="1824" customFormat="false" ht="15" hidden="false" customHeight="false" outlineLevel="0" collapsed="false">
      <c r="A1824" s="25" t="n">
        <f aca="false">IF(G1824="REJECT",COUNTIF($G$2:$G$2277,"&lt;&gt;REJECT")+1+COUNTIFS($G$2:$G$2277,"REJECT",$B$2:$B$2277,"&gt;"&amp;B1824),1+COUNTIFS($G$2:$G$2277,"&lt;&gt;REJECT",$B$2:$B$2277,"&gt;"&amp;B1824))</f>
        <v>1823</v>
      </c>
      <c r="B1824" s="26" t="n">
        <f aca="false">ROUND(($U$2*MAX(0,MIN(1,($W$2-I1824)/($W$2-$V$2)))+$U$3*MAX(0,MIN(1,($W$3-J1824)/($W$3-$V$3)))+$U$4*MAX(0,MIN(1,($W$4-K1824)/($W$4-$V$4)))+$U$5*MAX(0,MIN(1,($W$5-L1824)/($W$5-$V$5)))+$U$6*MAX(0,MIN(1,($W$6-M1824)/($W$6-$V$6)))+$U$7*MAX(0,MIN(1,($W$7-N1824)/($W$7-$V$7)))+$U$8*IF(AND(O1824&gt;=$V$8,O1824&lt;=$W$8),1,0))/$U$9*100,2)</f>
        <v>58.84</v>
      </c>
      <c r="C1824" s="27" t="s">
        <v>2488</v>
      </c>
      <c r="D1824" s="25" t="s">
        <v>134</v>
      </c>
      <c r="E1824" s="25" t="s">
        <v>3447</v>
      </c>
      <c r="F1824" s="25" t="s">
        <v>3457</v>
      </c>
      <c r="G1824" s="39" t="s">
        <v>32</v>
      </c>
      <c r="H1824" s="39" t="s">
        <v>26</v>
      </c>
      <c r="I1824" s="25" t="n">
        <v>7</v>
      </c>
      <c r="J1824" s="25" t="n">
        <v>0</v>
      </c>
      <c r="K1824" s="25" t="n">
        <v>4</v>
      </c>
      <c r="L1824" s="29" t="n">
        <v>0.86</v>
      </c>
      <c r="M1824" s="30" t="n">
        <v>13.8</v>
      </c>
      <c r="N1824" s="29" t="n">
        <v>0.44</v>
      </c>
      <c r="O1824" s="25" t="n">
        <v>185</v>
      </c>
      <c r="P1824" s="30" t="n">
        <v>-2.95</v>
      </c>
      <c r="Q1824" s="27" t="s">
        <v>3872</v>
      </c>
      <c r="R1824" s="27" t="s">
        <v>60</v>
      </c>
    </row>
    <row r="1825" customFormat="false" ht="15" hidden="false" customHeight="false" outlineLevel="0" collapsed="false">
      <c r="A1825" s="25" t="n">
        <f aca="false">IF(G1825="REJECT",COUNTIF($G$2:$G$2277,"&lt;&gt;REJECT")+1+COUNTIFS($G$2:$G$2277,"REJECT",$B$2:$B$2277,"&gt;"&amp;B1825),1+COUNTIFS($G$2:$G$2277,"&lt;&gt;REJECT",$B$2:$B$2277,"&gt;"&amp;B1825))</f>
        <v>1824</v>
      </c>
      <c r="B1825" s="26" t="n">
        <f aca="false">ROUND(($U$2*MAX(0,MIN(1,($W$2-I1825)/($W$2-$V$2)))+$U$3*MAX(0,MIN(1,($W$3-J1825)/($W$3-$V$3)))+$U$4*MAX(0,MIN(1,($W$4-K1825)/($W$4-$V$4)))+$U$5*MAX(0,MIN(1,($W$5-L1825)/($W$5-$V$5)))+$U$6*MAX(0,MIN(1,($W$6-M1825)/($W$6-$V$6)))+$U$7*MAX(0,MIN(1,($W$7-N1825)/($W$7-$V$7)))+$U$8*IF(AND(O1825&gt;=$V$8,O1825&lt;=$W$8),1,0))/$U$9*100,2)</f>
        <v>56.59</v>
      </c>
      <c r="C1825" s="27" t="s">
        <v>1859</v>
      </c>
      <c r="D1825" s="25" t="s">
        <v>134</v>
      </c>
      <c r="E1825" s="25" t="s">
        <v>3447</v>
      </c>
      <c r="F1825" s="25" t="s">
        <v>3448</v>
      </c>
      <c r="G1825" s="39" t="s">
        <v>32</v>
      </c>
      <c r="H1825" s="39" t="s">
        <v>26</v>
      </c>
      <c r="I1825" s="25" t="n">
        <v>7</v>
      </c>
      <c r="J1825" s="25" t="n">
        <v>0</v>
      </c>
      <c r="K1825" s="25" t="n">
        <v>5</v>
      </c>
      <c r="L1825" s="29" t="n">
        <v>0.8</v>
      </c>
      <c r="M1825" s="30" t="n">
        <v>10.87</v>
      </c>
      <c r="N1825" s="29" t="n">
        <v>0.96</v>
      </c>
      <c r="O1825" s="25" t="n">
        <v>189</v>
      </c>
      <c r="P1825" s="30" t="n">
        <v>1.04</v>
      </c>
      <c r="Q1825" s="27" t="s">
        <v>3873</v>
      </c>
      <c r="R1825" s="27" t="s">
        <v>60</v>
      </c>
    </row>
    <row r="1826" customFormat="false" ht="15" hidden="false" customHeight="false" outlineLevel="0" collapsed="false">
      <c r="A1826" s="25" t="n">
        <f aca="false">IF(G1826="REJECT",COUNTIF($G$2:$G$2277,"&lt;&gt;REJECT")+1+COUNTIFS($G$2:$G$2277,"REJECT",$B$2:$B$2277,"&gt;"&amp;B1826),1+COUNTIFS($G$2:$G$2277,"&lt;&gt;REJECT",$B$2:$B$2277,"&gt;"&amp;B1826))</f>
        <v>1825</v>
      </c>
      <c r="B1826" s="26" t="n">
        <f aca="false">ROUND(($U$2*MAX(0,MIN(1,($W$2-I1826)/($W$2-$V$2)))+$U$3*MAX(0,MIN(1,($W$3-J1826)/($W$3-$V$3)))+$U$4*MAX(0,MIN(1,($W$4-K1826)/($W$4-$V$4)))+$U$5*MAX(0,MIN(1,($W$5-L1826)/($W$5-$V$5)))+$U$6*MAX(0,MIN(1,($W$6-M1826)/($W$6-$V$6)))+$U$7*MAX(0,MIN(1,($W$7-N1826)/($W$7-$V$7)))+$U$8*IF(AND(O1826&gt;=$V$8,O1826&lt;=$W$8),1,0))/$U$9*100,2)</f>
        <v>56.18</v>
      </c>
      <c r="C1826" s="27" t="s">
        <v>2397</v>
      </c>
      <c r="D1826" s="25" t="s">
        <v>3459</v>
      </c>
      <c r="E1826" s="25" t="s">
        <v>3450</v>
      </c>
      <c r="F1826" s="25" t="s">
        <v>3448</v>
      </c>
      <c r="G1826" s="39" t="s">
        <v>32</v>
      </c>
      <c r="H1826" s="39" t="s">
        <v>26</v>
      </c>
      <c r="I1826" s="25" t="n">
        <v>3</v>
      </c>
      <c r="J1826" s="25" t="n">
        <v>2</v>
      </c>
      <c r="K1826" s="25" t="n">
        <v>3</v>
      </c>
      <c r="L1826" s="29" t="n">
        <v>0.77</v>
      </c>
      <c r="M1826" s="30" t="n">
        <v>12.03</v>
      </c>
      <c r="N1826" s="29" t="n">
        <v>0.76</v>
      </c>
      <c r="O1826" s="25" t="n">
        <v>183</v>
      </c>
      <c r="P1826" s="30" t="n">
        <v>9.64</v>
      </c>
      <c r="Q1826" s="27" t="s">
        <v>3874</v>
      </c>
      <c r="R1826" s="27" t="s">
        <v>65</v>
      </c>
    </row>
    <row r="1827" customFormat="false" ht="15" hidden="false" customHeight="false" outlineLevel="0" collapsed="false">
      <c r="A1827" s="25" t="n">
        <f aca="false">IF(G1827="REJECT",COUNTIF($G$2:$G$2277,"&lt;&gt;REJECT")+1+COUNTIFS($G$2:$G$2277,"REJECT",$B$2:$B$2277,"&gt;"&amp;B1827),1+COUNTIFS($G$2:$G$2277,"&lt;&gt;REJECT",$B$2:$B$2277,"&gt;"&amp;B1827))</f>
        <v>1826</v>
      </c>
      <c r="B1827" s="26" t="n">
        <f aca="false">ROUND(($U$2*MAX(0,MIN(1,($W$2-I1827)/($W$2-$V$2)))+$U$3*MAX(0,MIN(1,($W$3-J1827)/($W$3-$V$3)))+$U$4*MAX(0,MIN(1,($W$4-K1827)/($W$4-$V$4)))+$U$5*MAX(0,MIN(1,($W$5-L1827)/($W$5-$V$5)))+$U$6*MAX(0,MIN(1,($W$6-M1827)/($W$6-$V$6)))+$U$7*MAX(0,MIN(1,($W$7-N1827)/($W$7-$V$7)))+$U$8*IF(AND(O1827&gt;=$V$8,O1827&lt;=$W$8),1,0))/$U$9*100,2)</f>
        <v>55.97</v>
      </c>
      <c r="C1827" s="27" t="s">
        <v>2149</v>
      </c>
      <c r="D1827" s="25" t="s">
        <v>134</v>
      </c>
      <c r="E1827" s="25" t="s">
        <v>3450</v>
      </c>
      <c r="F1827" s="25" t="s">
        <v>3448</v>
      </c>
      <c r="G1827" s="39" t="s">
        <v>32</v>
      </c>
      <c r="H1827" s="39" t="s">
        <v>26</v>
      </c>
      <c r="I1827" s="25" t="n">
        <v>2</v>
      </c>
      <c r="J1827" s="25" t="n">
        <v>2</v>
      </c>
      <c r="K1827" s="25" t="n">
        <v>2</v>
      </c>
      <c r="L1827" s="29" t="n">
        <v>0.66</v>
      </c>
      <c r="M1827" s="30" t="n">
        <v>18.8</v>
      </c>
      <c r="N1827" s="29" t="n">
        <v>0</v>
      </c>
      <c r="O1827" s="25" t="n">
        <v>182</v>
      </c>
      <c r="P1827" s="30" t="n">
        <v>9.31</v>
      </c>
      <c r="Q1827" s="27" t="s">
        <v>3871</v>
      </c>
      <c r="R1827" s="27" t="s">
        <v>65</v>
      </c>
    </row>
    <row r="1828" customFormat="false" ht="15" hidden="false" customHeight="false" outlineLevel="0" collapsed="false">
      <c r="A1828" s="25" t="n">
        <f aca="false">IF(G1828="REJECT",COUNTIF($G$2:$G$2277,"&lt;&gt;REJECT")+1+COUNTIFS($G$2:$G$2277,"REJECT",$B$2:$B$2277,"&gt;"&amp;B1828),1+COUNTIFS($G$2:$G$2277,"&lt;&gt;REJECT",$B$2:$B$2277,"&gt;"&amp;B1828))</f>
        <v>1827</v>
      </c>
      <c r="B1828" s="26" t="n">
        <f aca="false">ROUND(($U$2*MAX(0,MIN(1,($W$2-I1828)/($W$2-$V$2)))+$U$3*MAX(0,MIN(1,($W$3-J1828)/($W$3-$V$3)))+$U$4*MAX(0,MIN(1,($W$4-K1828)/($W$4-$V$4)))+$U$5*MAX(0,MIN(1,($W$5-L1828)/($W$5-$V$5)))+$U$6*MAX(0,MIN(1,($W$6-M1828)/($W$6-$V$6)))+$U$7*MAX(0,MIN(1,($W$7-N1828)/($W$7-$V$7)))+$U$8*IF(AND(O1828&gt;=$V$8,O1828&lt;=$W$8),1,0))/$U$9*100,2)</f>
        <v>55.95</v>
      </c>
      <c r="C1828" s="27" t="s">
        <v>186</v>
      </c>
      <c r="D1828" s="25" t="s">
        <v>134</v>
      </c>
      <c r="E1828" s="25" t="s">
        <v>3450</v>
      </c>
      <c r="F1828" s="25" t="s">
        <v>3457</v>
      </c>
      <c r="G1828" s="39" t="s">
        <v>32</v>
      </c>
      <c r="H1828" s="39" t="s">
        <v>26</v>
      </c>
      <c r="I1828" s="25" t="n">
        <v>2</v>
      </c>
      <c r="J1828" s="25" t="n">
        <v>2</v>
      </c>
      <c r="K1828" s="25" t="n">
        <v>2</v>
      </c>
      <c r="L1828" s="29" t="n">
        <v>0.69</v>
      </c>
      <c r="M1828" s="30" t="n">
        <v>26.9</v>
      </c>
      <c r="N1828" s="29" t="n">
        <v>0.28</v>
      </c>
      <c r="O1828" s="25" t="n">
        <v>182</v>
      </c>
      <c r="P1828" s="30" t="n">
        <v>11.01</v>
      </c>
      <c r="Q1828" s="27" t="s">
        <v>3871</v>
      </c>
      <c r="R1828" s="27" t="s">
        <v>3875</v>
      </c>
    </row>
    <row r="1829" customFormat="false" ht="15" hidden="false" customHeight="false" outlineLevel="0" collapsed="false">
      <c r="A1829" s="25" t="n">
        <f aca="false">IF(G1829="REJECT",COUNTIF($G$2:$G$2277,"&lt;&gt;REJECT")+1+COUNTIFS($G$2:$G$2277,"REJECT",$B$2:$B$2277,"&gt;"&amp;B1829),1+COUNTIFS($G$2:$G$2277,"&lt;&gt;REJECT",$B$2:$B$2277,"&gt;"&amp;B1829))</f>
        <v>1828</v>
      </c>
      <c r="B1829" s="26" t="n">
        <f aca="false">ROUND(($U$2*MAX(0,MIN(1,($W$2-I1829)/($W$2-$V$2)))+$U$3*MAX(0,MIN(1,($W$3-J1829)/($W$3-$V$3)))+$U$4*MAX(0,MIN(1,($W$4-K1829)/($W$4-$V$4)))+$U$5*MAX(0,MIN(1,($W$5-L1829)/($W$5-$V$5)))+$U$6*MAX(0,MIN(1,($W$6-M1829)/($W$6-$V$6)))+$U$7*MAX(0,MIN(1,($W$7-N1829)/($W$7-$V$7)))+$U$8*IF(AND(O1829&gt;=$V$8,O1829&lt;=$W$8),1,0))/$U$9*100,2)</f>
        <v>55.13</v>
      </c>
      <c r="C1829" s="27" t="s">
        <v>2816</v>
      </c>
      <c r="D1829" s="25" t="s">
        <v>134</v>
      </c>
      <c r="E1829" s="25" t="s">
        <v>3447</v>
      </c>
      <c r="F1829" s="25" t="s">
        <v>3448</v>
      </c>
      <c r="G1829" s="39" t="s">
        <v>32</v>
      </c>
      <c r="H1829" s="39" t="s">
        <v>26</v>
      </c>
      <c r="I1829" s="25" t="n">
        <v>7</v>
      </c>
      <c r="J1829" s="25" t="n">
        <v>0</v>
      </c>
      <c r="K1829" s="25" t="n">
        <v>7</v>
      </c>
      <c r="L1829" s="29" t="n">
        <v>0.82</v>
      </c>
      <c r="M1829" s="30" t="n">
        <v>6.75</v>
      </c>
      <c r="N1829" s="29" t="n">
        <v>0</v>
      </c>
      <c r="O1829" s="25" t="n">
        <v>182</v>
      </c>
      <c r="P1829" s="30" t="n">
        <v>5.2</v>
      </c>
      <c r="Q1829" s="27" t="s">
        <v>3876</v>
      </c>
      <c r="R1829" s="27" t="s">
        <v>60</v>
      </c>
    </row>
    <row r="1830" customFormat="false" ht="15" hidden="false" customHeight="false" outlineLevel="0" collapsed="false">
      <c r="A1830" s="25" t="n">
        <f aca="false">IF(G1830="REJECT",COUNTIF($G$2:$G$2277,"&lt;&gt;REJECT")+1+COUNTIFS($G$2:$G$2277,"REJECT",$B$2:$B$2277,"&gt;"&amp;B1830),1+COUNTIFS($G$2:$G$2277,"&lt;&gt;REJECT",$B$2:$B$2277,"&gt;"&amp;B1830))</f>
        <v>1829</v>
      </c>
      <c r="B1830" s="26" t="n">
        <f aca="false">ROUND(($U$2*MAX(0,MIN(1,($W$2-I1830)/($W$2-$V$2)))+$U$3*MAX(0,MIN(1,($W$3-J1830)/($W$3-$V$3)))+$U$4*MAX(0,MIN(1,($W$4-K1830)/($W$4-$V$4)))+$U$5*MAX(0,MIN(1,($W$5-L1830)/($W$5-$V$5)))+$U$6*MAX(0,MIN(1,($W$6-M1830)/($W$6-$V$6)))+$U$7*MAX(0,MIN(1,($W$7-N1830)/($W$7-$V$7)))+$U$8*IF(AND(O1830&gt;=$V$8,O1830&lt;=$W$8),1,0))/$U$9*100,2)</f>
        <v>55.1</v>
      </c>
      <c r="C1830" s="27" t="s">
        <v>1961</v>
      </c>
      <c r="D1830" s="25" t="s">
        <v>134</v>
      </c>
      <c r="E1830" s="25" t="s">
        <v>3450</v>
      </c>
      <c r="F1830" s="25" t="s">
        <v>3457</v>
      </c>
      <c r="G1830" s="39" t="s">
        <v>32</v>
      </c>
      <c r="H1830" s="39" t="s">
        <v>26</v>
      </c>
      <c r="I1830" s="25" t="n">
        <v>2</v>
      </c>
      <c r="J1830" s="25" t="n">
        <v>2</v>
      </c>
      <c r="K1830" s="25" t="n">
        <v>2</v>
      </c>
      <c r="L1830" s="29" t="n">
        <v>0.64</v>
      </c>
      <c r="M1830" s="30" t="n">
        <v>14.82</v>
      </c>
      <c r="N1830" s="29" t="n">
        <v>0.2</v>
      </c>
      <c r="O1830" s="25" t="n">
        <v>182</v>
      </c>
      <c r="P1830" s="30" t="n">
        <v>7.65</v>
      </c>
      <c r="Q1830" s="27" t="s">
        <v>3871</v>
      </c>
      <c r="R1830" s="27" t="s">
        <v>65</v>
      </c>
    </row>
    <row r="1831" customFormat="false" ht="15" hidden="false" customHeight="false" outlineLevel="0" collapsed="false">
      <c r="A1831" s="25" t="n">
        <f aca="false">IF(G1831="REJECT",COUNTIF($G$2:$G$2277,"&lt;&gt;REJECT")+1+COUNTIFS($G$2:$G$2277,"REJECT",$B$2:$B$2277,"&gt;"&amp;B1831),1+COUNTIFS($G$2:$G$2277,"&lt;&gt;REJECT",$B$2:$B$2277,"&gt;"&amp;B1831))</f>
        <v>1830</v>
      </c>
      <c r="B1831" s="26" t="n">
        <f aca="false">ROUND(($U$2*MAX(0,MIN(1,($W$2-I1831)/($W$2-$V$2)))+$U$3*MAX(0,MIN(1,($W$3-J1831)/($W$3-$V$3)))+$U$4*MAX(0,MIN(1,($W$4-K1831)/($W$4-$V$4)))+$U$5*MAX(0,MIN(1,($W$5-L1831)/($W$5-$V$5)))+$U$6*MAX(0,MIN(1,($W$6-M1831)/($W$6-$V$6)))+$U$7*MAX(0,MIN(1,($W$7-N1831)/($W$7-$V$7)))+$U$8*IF(AND(O1831&gt;=$V$8,O1831&lt;=$W$8),1,0))/$U$9*100,2)</f>
        <v>55.09</v>
      </c>
      <c r="C1831" s="27" t="s">
        <v>449</v>
      </c>
      <c r="D1831" s="25" t="s">
        <v>134</v>
      </c>
      <c r="E1831" s="25" t="s">
        <v>3447</v>
      </c>
      <c r="F1831" s="25" t="s">
        <v>3457</v>
      </c>
      <c r="G1831" s="39" t="s">
        <v>32</v>
      </c>
      <c r="H1831" s="39" t="s">
        <v>26</v>
      </c>
      <c r="I1831" s="25" t="n">
        <v>7</v>
      </c>
      <c r="J1831" s="25" t="n">
        <v>0</v>
      </c>
      <c r="K1831" s="25" t="n">
        <v>7</v>
      </c>
      <c r="L1831" s="29" t="n">
        <v>0.84</v>
      </c>
      <c r="M1831" s="30" t="n">
        <v>6.96</v>
      </c>
      <c r="N1831" s="29" t="n">
        <v>0</v>
      </c>
      <c r="O1831" s="25" t="n">
        <v>186</v>
      </c>
      <c r="P1831" s="30" t="n">
        <v>-0.45</v>
      </c>
      <c r="Q1831" s="27" t="s">
        <v>3877</v>
      </c>
      <c r="R1831" s="27" t="s">
        <v>60</v>
      </c>
    </row>
    <row r="1832" customFormat="false" ht="15" hidden="false" customHeight="false" outlineLevel="0" collapsed="false">
      <c r="A1832" s="25" t="n">
        <f aca="false">IF(G1832="REJECT",COUNTIF($G$2:$G$2277,"&lt;&gt;REJECT")+1+COUNTIFS($G$2:$G$2277,"REJECT",$B$2:$B$2277,"&gt;"&amp;B1832),1+COUNTIFS($G$2:$G$2277,"&lt;&gt;REJECT",$B$2:$B$2277,"&gt;"&amp;B1832))</f>
        <v>1831</v>
      </c>
      <c r="B1832" s="26" t="n">
        <f aca="false">ROUND(($U$2*MAX(0,MIN(1,($W$2-I1832)/($W$2-$V$2)))+$U$3*MAX(0,MIN(1,($W$3-J1832)/($W$3-$V$3)))+$U$4*MAX(0,MIN(1,($W$4-K1832)/($W$4-$V$4)))+$U$5*MAX(0,MIN(1,($W$5-L1832)/($W$5-$V$5)))+$U$6*MAX(0,MIN(1,($W$6-M1832)/($W$6-$V$6)))+$U$7*MAX(0,MIN(1,($W$7-N1832)/($W$7-$V$7)))+$U$8*IF(AND(O1832&gt;=$V$8,O1832&lt;=$W$8),1,0))/$U$9*100,2)</f>
        <v>54.33</v>
      </c>
      <c r="C1832" s="27" t="s">
        <v>1867</v>
      </c>
      <c r="D1832" s="25" t="s">
        <v>134</v>
      </c>
      <c r="E1832" s="25" t="s">
        <v>3447</v>
      </c>
      <c r="F1832" s="25" t="s">
        <v>3457</v>
      </c>
      <c r="G1832" s="39" t="s">
        <v>32</v>
      </c>
      <c r="H1832" s="39" t="s">
        <v>26</v>
      </c>
      <c r="I1832" s="25" t="n">
        <v>7</v>
      </c>
      <c r="J1832" s="25" t="n">
        <v>0</v>
      </c>
      <c r="K1832" s="25" t="n">
        <v>7</v>
      </c>
      <c r="L1832" s="29" t="n">
        <v>0.8</v>
      </c>
      <c r="M1832" s="30" t="n">
        <v>2.3</v>
      </c>
      <c r="N1832" s="29" t="n">
        <v>0.92</v>
      </c>
      <c r="O1832" s="25" t="n">
        <v>188</v>
      </c>
      <c r="P1832" s="30" t="n">
        <v>-1.29</v>
      </c>
      <c r="Q1832" s="27" t="s">
        <v>3878</v>
      </c>
      <c r="R1832" s="27" t="s">
        <v>3879</v>
      </c>
    </row>
    <row r="1833" customFormat="false" ht="15" hidden="false" customHeight="false" outlineLevel="0" collapsed="false">
      <c r="A1833" s="25" t="n">
        <f aca="false">IF(G1833="REJECT",COUNTIF($G$2:$G$2277,"&lt;&gt;REJECT")+1+COUNTIFS($G$2:$G$2277,"REJECT",$B$2:$B$2277,"&gt;"&amp;B1833),1+COUNTIFS($G$2:$G$2277,"&lt;&gt;REJECT",$B$2:$B$2277,"&gt;"&amp;B1833))</f>
        <v>1832</v>
      </c>
      <c r="B1833" s="26" t="n">
        <f aca="false">ROUND(($U$2*MAX(0,MIN(1,($W$2-I1833)/($W$2-$V$2)))+$U$3*MAX(0,MIN(1,($W$3-J1833)/($W$3-$V$3)))+$U$4*MAX(0,MIN(1,($W$4-K1833)/($W$4-$V$4)))+$U$5*MAX(0,MIN(1,($W$5-L1833)/($W$5-$V$5)))+$U$6*MAX(0,MIN(1,($W$6-M1833)/($W$6-$V$6)))+$U$7*MAX(0,MIN(1,($W$7-N1833)/($W$7-$V$7)))+$U$8*IF(AND(O1833&gt;=$V$8,O1833&lt;=$W$8),1,0))/$U$9*100,2)</f>
        <v>54.01</v>
      </c>
      <c r="C1833" s="27" t="s">
        <v>3117</v>
      </c>
      <c r="D1833" s="25" t="s">
        <v>134</v>
      </c>
      <c r="E1833" s="25" t="s">
        <v>3447</v>
      </c>
      <c r="F1833" s="25" t="s">
        <v>3448</v>
      </c>
      <c r="G1833" s="39" t="s">
        <v>32</v>
      </c>
      <c r="H1833" s="39" t="s">
        <v>26</v>
      </c>
      <c r="I1833" s="25" t="n">
        <v>7</v>
      </c>
      <c r="J1833" s="25" t="n">
        <v>0</v>
      </c>
      <c r="K1833" s="25" t="n">
        <v>7</v>
      </c>
      <c r="L1833" s="29" t="n">
        <v>0.83</v>
      </c>
      <c r="M1833" s="30" t="n">
        <v>4.63</v>
      </c>
      <c r="N1833" s="29" t="n">
        <v>0.88</v>
      </c>
      <c r="O1833" s="25" t="n">
        <v>183</v>
      </c>
      <c r="P1833" s="30" t="n">
        <v>1.19</v>
      </c>
      <c r="Q1833" s="27" t="s">
        <v>3880</v>
      </c>
      <c r="R1833" s="27" t="s">
        <v>60</v>
      </c>
    </row>
    <row r="1834" customFormat="false" ht="15" hidden="false" customHeight="false" outlineLevel="0" collapsed="false">
      <c r="A1834" s="25" t="n">
        <f aca="false">IF(G1834="REJECT",COUNTIF($G$2:$G$2277,"&lt;&gt;REJECT")+1+COUNTIFS($G$2:$G$2277,"REJECT",$B$2:$B$2277,"&gt;"&amp;B1834),1+COUNTIFS($G$2:$G$2277,"&lt;&gt;REJECT",$B$2:$B$2277,"&gt;"&amp;B1834))</f>
        <v>1833</v>
      </c>
      <c r="B1834" s="26" t="n">
        <f aca="false">ROUND(($U$2*MAX(0,MIN(1,($W$2-I1834)/($W$2-$V$2)))+$U$3*MAX(0,MIN(1,($W$3-J1834)/($W$3-$V$3)))+$U$4*MAX(0,MIN(1,($W$4-K1834)/($W$4-$V$4)))+$U$5*MAX(0,MIN(1,($W$5-L1834)/($W$5-$V$5)))+$U$6*MAX(0,MIN(1,($W$6-M1834)/($W$6-$V$6)))+$U$7*MAX(0,MIN(1,($W$7-N1834)/($W$7-$V$7)))+$U$8*IF(AND(O1834&gt;=$V$8,O1834&lt;=$W$8),1,0))/$U$9*100,2)</f>
        <v>53.81</v>
      </c>
      <c r="C1834" s="27" t="s">
        <v>3117</v>
      </c>
      <c r="D1834" s="25" t="s">
        <v>134</v>
      </c>
      <c r="E1834" s="25" t="s">
        <v>3447</v>
      </c>
      <c r="F1834" s="25" t="s">
        <v>3457</v>
      </c>
      <c r="G1834" s="39" t="s">
        <v>32</v>
      </c>
      <c r="H1834" s="39" t="s">
        <v>26</v>
      </c>
      <c r="I1834" s="25" t="n">
        <v>7</v>
      </c>
      <c r="J1834" s="25" t="n">
        <v>0</v>
      </c>
      <c r="K1834" s="25" t="n">
        <v>7</v>
      </c>
      <c r="L1834" s="29" t="n">
        <v>0.86</v>
      </c>
      <c r="M1834" s="30" t="n">
        <v>7.03</v>
      </c>
      <c r="N1834" s="29" t="n">
        <v>0.76</v>
      </c>
      <c r="O1834" s="25" t="n">
        <v>183</v>
      </c>
      <c r="P1834" s="30" t="n">
        <v>0.22</v>
      </c>
      <c r="Q1834" s="27" t="s">
        <v>3877</v>
      </c>
      <c r="R1834" s="27" t="s">
        <v>3879</v>
      </c>
    </row>
    <row r="1835" customFormat="false" ht="15" hidden="false" customHeight="false" outlineLevel="0" collapsed="false">
      <c r="A1835" s="25" t="n">
        <f aca="false">IF(G1835="REJECT",COUNTIF($G$2:$G$2277,"&lt;&gt;REJECT")+1+COUNTIFS($G$2:$G$2277,"REJECT",$B$2:$B$2277,"&gt;"&amp;B1835),1+COUNTIFS($G$2:$G$2277,"&lt;&gt;REJECT",$B$2:$B$2277,"&gt;"&amp;B1835))</f>
        <v>1834</v>
      </c>
      <c r="B1835" s="26" t="n">
        <f aca="false">ROUND(($U$2*MAX(0,MIN(1,($W$2-I1835)/($W$2-$V$2)))+$U$3*MAX(0,MIN(1,($W$3-J1835)/($W$3-$V$3)))+$U$4*MAX(0,MIN(1,($W$4-K1835)/($W$4-$V$4)))+$U$5*MAX(0,MIN(1,($W$5-L1835)/($W$5-$V$5)))+$U$6*MAX(0,MIN(1,($W$6-M1835)/($W$6-$V$6)))+$U$7*MAX(0,MIN(1,($W$7-N1835)/($W$7-$V$7)))+$U$8*IF(AND(O1835&gt;=$V$8,O1835&lt;=$W$8),1,0))/$U$9*100,2)</f>
        <v>53.59</v>
      </c>
      <c r="C1835" s="27" t="s">
        <v>904</v>
      </c>
      <c r="D1835" s="25" t="s">
        <v>134</v>
      </c>
      <c r="E1835" s="25" t="s">
        <v>3450</v>
      </c>
      <c r="F1835" s="25" t="s">
        <v>3457</v>
      </c>
      <c r="G1835" s="39" t="s">
        <v>32</v>
      </c>
      <c r="H1835" s="39" t="s">
        <v>26</v>
      </c>
      <c r="I1835" s="25" t="n">
        <v>3</v>
      </c>
      <c r="J1835" s="25" t="n">
        <v>2</v>
      </c>
      <c r="K1835" s="25" t="n">
        <v>3</v>
      </c>
      <c r="L1835" s="29" t="n">
        <v>0.7</v>
      </c>
      <c r="M1835" s="30" t="n">
        <v>0.39</v>
      </c>
      <c r="N1835" s="29" t="n">
        <v>0.96</v>
      </c>
      <c r="O1835" s="25" t="n">
        <v>184</v>
      </c>
      <c r="P1835" s="30" t="n">
        <v>2.51</v>
      </c>
      <c r="Q1835" s="27" t="s">
        <v>3881</v>
      </c>
      <c r="R1835" s="27" t="s">
        <v>3882</v>
      </c>
    </row>
    <row r="1836" customFormat="false" ht="15" hidden="false" customHeight="false" outlineLevel="0" collapsed="false">
      <c r="A1836" s="25" t="n">
        <f aca="false">IF(G1836="REJECT",COUNTIF($G$2:$G$2277,"&lt;&gt;REJECT")+1+COUNTIFS($G$2:$G$2277,"REJECT",$B$2:$B$2277,"&gt;"&amp;B1836),1+COUNTIFS($G$2:$G$2277,"&lt;&gt;REJECT",$B$2:$B$2277,"&gt;"&amp;B1836))</f>
        <v>1835</v>
      </c>
      <c r="B1836" s="26" t="n">
        <f aca="false">ROUND(($U$2*MAX(0,MIN(1,($W$2-I1836)/($W$2-$V$2)))+$U$3*MAX(0,MIN(1,($W$3-J1836)/($W$3-$V$3)))+$U$4*MAX(0,MIN(1,($W$4-K1836)/($W$4-$V$4)))+$U$5*MAX(0,MIN(1,($W$5-L1836)/($W$5-$V$5)))+$U$6*MAX(0,MIN(1,($W$6-M1836)/($W$6-$V$6)))+$U$7*MAX(0,MIN(1,($W$7-N1836)/($W$7-$V$7)))+$U$8*IF(AND(O1836&gt;=$V$8,O1836&lt;=$W$8),1,0))/$U$9*100,2)</f>
        <v>52.75</v>
      </c>
      <c r="C1836" s="27" t="s">
        <v>487</v>
      </c>
      <c r="D1836" s="25" t="s">
        <v>134</v>
      </c>
      <c r="E1836" s="25" t="s">
        <v>3447</v>
      </c>
      <c r="F1836" s="25" t="s">
        <v>3457</v>
      </c>
      <c r="G1836" s="39" t="s">
        <v>32</v>
      </c>
      <c r="H1836" s="39" t="s">
        <v>26</v>
      </c>
      <c r="I1836" s="25" t="n">
        <v>7</v>
      </c>
      <c r="J1836" s="25" t="n">
        <v>0</v>
      </c>
      <c r="K1836" s="25" t="n">
        <v>7</v>
      </c>
      <c r="L1836" s="29" t="n">
        <v>0.77</v>
      </c>
      <c r="M1836" s="30" t="n">
        <v>10.23</v>
      </c>
      <c r="N1836" s="29" t="n">
        <v>0</v>
      </c>
      <c r="O1836" s="25" t="n">
        <v>183</v>
      </c>
      <c r="P1836" s="30" t="n">
        <v>1.2</v>
      </c>
      <c r="Q1836" s="27" t="s">
        <v>3883</v>
      </c>
      <c r="R1836" s="27" t="s">
        <v>60</v>
      </c>
    </row>
    <row r="1837" customFormat="false" ht="15" hidden="false" customHeight="false" outlineLevel="0" collapsed="false">
      <c r="A1837" s="25" t="n">
        <f aca="false">IF(G1837="REJECT",COUNTIF($G$2:$G$2277,"&lt;&gt;REJECT")+1+COUNTIFS($G$2:$G$2277,"REJECT",$B$2:$B$2277,"&gt;"&amp;B1837),1+COUNTIFS($G$2:$G$2277,"&lt;&gt;REJECT",$B$2:$B$2277,"&gt;"&amp;B1837))</f>
        <v>1836</v>
      </c>
      <c r="B1837" s="26" t="n">
        <f aca="false">ROUND(($U$2*MAX(0,MIN(1,($W$2-I1837)/($W$2-$V$2)))+$U$3*MAX(0,MIN(1,($W$3-J1837)/($W$3-$V$3)))+$U$4*MAX(0,MIN(1,($W$4-K1837)/($W$4-$V$4)))+$U$5*MAX(0,MIN(1,($W$5-L1837)/($W$5-$V$5)))+$U$6*MAX(0,MIN(1,($W$6-M1837)/($W$6-$V$6)))+$U$7*MAX(0,MIN(1,($W$7-N1837)/($W$7-$V$7)))+$U$8*IF(AND(O1837&gt;=$V$8,O1837&lt;=$W$8),1,0))/$U$9*100,2)</f>
        <v>52.66</v>
      </c>
      <c r="C1837" s="27" t="s">
        <v>487</v>
      </c>
      <c r="D1837" s="25" t="s">
        <v>3459</v>
      </c>
      <c r="E1837" s="25" t="s">
        <v>3447</v>
      </c>
      <c r="F1837" s="25" t="s">
        <v>3448</v>
      </c>
      <c r="G1837" s="39" t="s">
        <v>32</v>
      </c>
      <c r="H1837" s="39" t="s">
        <v>26</v>
      </c>
      <c r="I1837" s="25" t="n">
        <v>7</v>
      </c>
      <c r="J1837" s="25" t="n">
        <v>0</v>
      </c>
      <c r="K1837" s="25" t="n">
        <v>7</v>
      </c>
      <c r="L1837" s="29" t="n">
        <v>0.8</v>
      </c>
      <c r="M1837" s="30" t="n">
        <v>12.74</v>
      </c>
      <c r="N1837" s="29" t="n">
        <v>0.88</v>
      </c>
      <c r="O1837" s="25" t="n">
        <v>184</v>
      </c>
      <c r="P1837" s="30" t="n">
        <v>0.26</v>
      </c>
      <c r="Q1837" s="27" t="s">
        <v>3884</v>
      </c>
      <c r="R1837" s="27" t="s">
        <v>3885</v>
      </c>
    </row>
    <row r="1838" customFormat="false" ht="15" hidden="false" customHeight="false" outlineLevel="0" collapsed="false">
      <c r="A1838" s="25" t="n">
        <f aca="false">IF(G1838="REJECT",COUNTIF($G$2:$G$2277,"&lt;&gt;REJECT")+1+COUNTIFS($G$2:$G$2277,"REJECT",$B$2:$B$2277,"&gt;"&amp;B1838),1+COUNTIFS($G$2:$G$2277,"&lt;&gt;REJECT",$B$2:$B$2277,"&gt;"&amp;B1838))</f>
        <v>1837</v>
      </c>
      <c r="B1838" s="26" t="n">
        <f aca="false">ROUND(($U$2*MAX(0,MIN(1,($W$2-I1838)/($W$2-$V$2)))+$U$3*MAX(0,MIN(1,($W$3-J1838)/($W$3-$V$3)))+$U$4*MAX(0,MIN(1,($W$4-K1838)/($W$4-$V$4)))+$U$5*MAX(0,MIN(1,($W$5-L1838)/($W$5-$V$5)))+$U$6*MAX(0,MIN(1,($W$6-M1838)/($W$6-$V$6)))+$U$7*MAX(0,MIN(1,($W$7-N1838)/($W$7-$V$7)))+$U$8*IF(AND(O1838&gt;=$V$8,O1838&lt;=$W$8),1,0))/$U$9*100,2)</f>
        <v>52.62</v>
      </c>
      <c r="C1838" s="27" t="s">
        <v>2216</v>
      </c>
      <c r="D1838" s="25" t="s">
        <v>134</v>
      </c>
      <c r="E1838" s="25" t="s">
        <v>3450</v>
      </c>
      <c r="F1838" s="25" t="s">
        <v>3448</v>
      </c>
      <c r="G1838" s="39" t="s">
        <v>32</v>
      </c>
      <c r="H1838" s="39" t="s">
        <v>26</v>
      </c>
      <c r="I1838" s="25" t="n">
        <v>7</v>
      </c>
      <c r="J1838" s="25" t="n">
        <v>0</v>
      </c>
      <c r="K1838" s="25" t="n">
        <v>7</v>
      </c>
      <c r="L1838" s="29" t="n">
        <v>0.78</v>
      </c>
      <c r="M1838" s="30" t="n">
        <v>14.58</v>
      </c>
      <c r="N1838" s="29" t="n">
        <v>0</v>
      </c>
      <c r="O1838" s="25" t="n">
        <v>185</v>
      </c>
      <c r="P1838" s="30" t="n">
        <v>19.65</v>
      </c>
      <c r="Q1838" s="27" t="s">
        <v>3886</v>
      </c>
      <c r="R1838" s="27" t="s">
        <v>60</v>
      </c>
    </row>
    <row r="1839" customFormat="false" ht="15" hidden="false" customHeight="false" outlineLevel="0" collapsed="false">
      <c r="A1839" s="25" t="n">
        <f aca="false">IF(G1839="REJECT",COUNTIF($G$2:$G$2277,"&lt;&gt;REJECT")+1+COUNTIFS($G$2:$G$2277,"REJECT",$B$2:$B$2277,"&gt;"&amp;B1839),1+COUNTIFS($G$2:$G$2277,"&lt;&gt;REJECT",$B$2:$B$2277,"&gt;"&amp;B1839))</f>
        <v>1838</v>
      </c>
      <c r="B1839" s="26" t="n">
        <f aca="false">ROUND(($U$2*MAX(0,MIN(1,($W$2-I1839)/($W$2-$V$2)))+$U$3*MAX(0,MIN(1,($W$3-J1839)/($W$3-$V$3)))+$U$4*MAX(0,MIN(1,($W$4-K1839)/($W$4-$V$4)))+$U$5*MAX(0,MIN(1,($W$5-L1839)/($W$5-$V$5)))+$U$6*MAX(0,MIN(1,($W$6-M1839)/($W$6-$V$6)))+$U$7*MAX(0,MIN(1,($W$7-N1839)/($W$7-$V$7)))+$U$8*IF(AND(O1839&gt;=$V$8,O1839&lt;=$W$8),1,0))/$U$9*100,2)</f>
        <v>52.54</v>
      </c>
      <c r="C1839" s="27" t="s">
        <v>409</v>
      </c>
      <c r="D1839" s="25" t="s">
        <v>3459</v>
      </c>
      <c r="E1839" s="25" t="s">
        <v>3447</v>
      </c>
      <c r="F1839" s="25" t="s">
        <v>3457</v>
      </c>
      <c r="G1839" s="39" t="s">
        <v>32</v>
      </c>
      <c r="H1839" s="39" t="s">
        <v>26</v>
      </c>
      <c r="I1839" s="25" t="n">
        <v>7</v>
      </c>
      <c r="J1839" s="25" t="n">
        <v>0</v>
      </c>
      <c r="K1839" s="25" t="n">
        <v>7</v>
      </c>
      <c r="L1839" s="29" t="n">
        <v>0.8</v>
      </c>
      <c r="M1839" s="30" t="n">
        <v>17.46</v>
      </c>
      <c r="N1839" s="29" t="n">
        <v>0.48</v>
      </c>
      <c r="O1839" s="25" t="n">
        <v>184</v>
      </c>
      <c r="P1839" s="30" t="n">
        <v>-1.18</v>
      </c>
      <c r="Q1839" s="27" t="s">
        <v>3887</v>
      </c>
      <c r="R1839" s="27" t="s">
        <v>3879</v>
      </c>
    </row>
    <row r="1840" customFormat="false" ht="15" hidden="false" customHeight="false" outlineLevel="0" collapsed="false">
      <c r="A1840" s="25" t="n">
        <f aca="false">IF(G1840="REJECT",COUNTIF($G$2:$G$2277,"&lt;&gt;REJECT")+1+COUNTIFS($G$2:$G$2277,"REJECT",$B$2:$B$2277,"&gt;"&amp;B1840),1+COUNTIFS($G$2:$G$2277,"&lt;&gt;REJECT",$B$2:$B$2277,"&gt;"&amp;B1840))</f>
        <v>1839</v>
      </c>
      <c r="B1840" s="26" t="n">
        <f aca="false">ROUND(($U$2*MAX(0,MIN(1,($W$2-I1840)/($W$2-$V$2)))+$U$3*MAX(0,MIN(1,($W$3-J1840)/($W$3-$V$3)))+$U$4*MAX(0,MIN(1,($W$4-K1840)/($W$4-$V$4)))+$U$5*MAX(0,MIN(1,($W$5-L1840)/($W$5-$V$5)))+$U$6*MAX(0,MIN(1,($W$6-M1840)/($W$6-$V$6)))+$U$7*MAX(0,MIN(1,($W$7-N1840)/($W$7-$V$7)))+$U$8*IF(AND(O1840&gt;=$V$8,O1840&lt;=$W$8),1,0))/$U$9*100,2)</f>
        <v>51.99</v>
      </c>
      <c r="C1840" s="27" t="s">
        <v>519</v>
      </c>
      <c r="D1840" s="25" t="s">
        <v>134</v>
      </c>
      <c r="E1840" s="25" t="s">
        <v>3447</v>
      </c>
      <c r="F1840" s="25" t="s">
        <v>3448</v>
      </c>
      <c r="G1840" s="39" t="s">
        <v>32</v>
      </c>
      <c r="H1840" s="39" t="s">
        <v>26</v>
      </c>
      <c r="I1840" s="25" t="n">
        <v>7</v>
      </c>
      <c r="J1840" s="25" t="n">
        <v>0</v>
      </c>
      <c r="K1840" s="25" t="n">
        <v>7</v>
      </c>
      <c r="L1840" s="29" t="n">
        <v>0.75</v>
      </c>
      <c r="M1840" s="30" t="n">
        <v>3.17</v>
      </c>
      <c r="N1840" s="29" t="n">
        <v>0.44</v>
      </c>
      <c r="O1840" s="25" t="n">
        <v>185</v>
      </c>
      <c r="P1840" s="30" t="n">
        <v>4.37</v>
      </c>
      <c r="Q1840" s="27" t="s">
        <v>3888</v>
      </c>
      <c r="R1840" s="27" t="s">
        <v>60</v>
      </c>
    </row>
    <row r="1841" customFormat="false" ht="15" hidden="false" customHeight="false" outlineLevel="0" collapsed="false">
      <c r="A1841" s="25" t="n">
        <f aca="false">IF(G1841="REJECT",COUNTIF($G$2:$G$2277,"&lt;&gt;REJECT")+1+COUNTIFS($G$2:$G$2277,"REJECT",$B$2:$B$2277,"&gt;"&amp;B1841),1+COUNTIFS($G$2:$G$2277,"&lt;&gt;REJECT",$B$2:$B$2277,"&gt;"&amp;B1841))</f>
        <v>1840</v>
      </c>
      <c r="B1841" s="26" t="n">
        <f aca="false">ROUND(($U$2*MAX(0,MIN(1,($W$2-I1841)/($W$2-$V$2)))+$U$3*MAX(0,MIN(1,($W$3-J1841)/($W$3-$V$3)))+$U$4*MAX(0,MIN(1,($W$4-K1841)/($W$4-$V$4)))+$U$5*MAX(0,MIN(1,($W$5-L1841)/($W$5-$V$5)))+$U$6*MAX(0,MIN(1,($W$6-M1841)/($W$6-$V$6)))+$U$7*MAX(0,MIN(1,($W$7-N1841)/($W$7-$V$7)))+$U$8*IF(AND(O1841&gt;=$V$8,O1841&lt;=$W$8),1,0))/$U$9*100,2)</f>
        <v>51.83</v>
      </c>
      <c r="C1841" s="27" t="s">
        <v>1458</v>
      </c>
      <c r="D1841" s="25" t="s">
        <v>134</v>
      </c>
      <c r="E1841" s="25" t="s">
        <v>3450</v>
      </c>
      <c r="F1841" s="25" t="s">
        <v>3448</v>
      </c>
      <c r="G1841" s="39" t="s">
        <v>32</v>
      </c>
      <c r="H1841" s="39" t="s">
        <v>26</v>
      </c>
      <c r="I1841" s="25" t="n">
        <v>4</v>
      </c>
      <c r="J1841" s="25" t="n">
        <v>2</v>
      </c>
      <c r="K1841" s="25" t="n">
        <v>4</v>
      </c>
      <c r="L1841" s="29" t="n">
        <v>0.81</v>
      </c>
      <c r="M1841" s="30" t="n">
        <v>19.03</v>
      </c>
      <c r="N1841" s="29" t="n">
        <v>0</v>
      </c>
      <c r="O1841" s="25" t="n">
        <v>186</v>
      </c>
      <c r="P1841" s="30" t="n">
        <v>11.41</v>
      </c>
      <c r="Q1841" s="27" t="s">
        <v>3889</v>
      </c>
      <c r="R1841" s="27" t="s">
        <v>65</v>
      </c>
    </row>
    <row r="1842" customFormat="false" ht="15" hidden="false" customHeight="false" outlineLevel="0" collapsed="false">
      <c r="A1842" s="25" t="n">
        <f aca="false">IF(G1842="REJECT",COUNTIF($G$2:$G$2277,"&lt;&gt;REJECT")+1+COUNTIFS($G$2:$G$2277,"REJECT",$B$2:$B$2277,"&gt;"&amp;B1842),1+COUNTIFS($G$2:$G$2277,"&lt;&gt;REJECT",$B$2:$B$2277,"&gt;"&amp;B1842))</f>
        <v>1841</v>
      </c>
      <c r="B1842" s="26" t="n">
        <f aca="false">ROUND(($U$2*MAX(0,MIN(1,($W$2-I1842)/($W$2-$V$2)))+$U$3*MAX(0,MIN(1,($W$3-J1842)/($W$3-$V$3)))+$U$4*MAX(0,MIN(1,($W$4-K1842)/($W$4-$V$4)))+$U$5*MAX(0,MIN(1,($W$5-L1842)/($W$5-$V$5)))+$U$6*MAX(0,MIN(1,($W$6-M1842)/($W$6-$V$6)))+$U$7*MAX(0,MIN(1,($W$7-N1842)/($W$7-$V$7)))+$U$8*IF(AND(O1842&gt;=$V$8,O1842&lt;=$W$8),1,0))/$U$9*100,2)</f>
        <v>51.79</v>
      </c>
      <c r="C1842" s="27" t="s">
        <v>449</v>
      </c>
      <c r="D1842" s="25" t="s">
        <v>3459</v>
      </c>
      <c r="E1842" s="25" t="s">
        <v>3447</v>
      </c>
      <c r="F1842" s="25" t="s">
        <v>3448</v>
      </c>
      <c r="G1842" s="39" t="s">
        <v>32</v>
      </c>
      <c r="H1842" s="39" t="s">
        <v>26</v>
      </c>
      <c r="I1842" s="25" t="n">
        <v>7</v>
      </c>
      <c r="J1842" s="25" t="n">
        <v>0</v>
      </c>
      <c r="K1842" s="25" t="n">
        <v>5</v>
      </c>
      <c r="L1842" s="29" t="n">
        <v>0.68</v>
      </c>
      <c r="M1842" s="30" t="n">
        <v>3.68</v>
      </c>
      <c r="N1842" s="29" t="n">
        <v>0.24</v>
      </c>
      <c r="O1842" s="25" t="n">
        <v>184</v>
      </c>
      <c r="P1842" s="30" t="n">
        <v>4.51</v>
      </c>
      <c r="Q1842" s="27" t="s">
        <v>3890</v>
      </c>
      <c r="R1842" s="27" t="s">
        <v>60</v>
      </c>
    </row>
    <row r="1843" customFormat="false" ht="15" hidden="false" customHeight="false" outlineLevel="0" collapsed="false">
      <c r="A1843" s="25" t="n">
        <f aca="false">IF(G1843="REJECT",COUNTIF($G$2:$G$2277,"&lt;&gt;REJECT")+1+COUNTIFS($G$2:$G$2277,"REJECT",$B$2:$B$2277,"&gt;"&amp;B1843),1+COUNTIFS($G$2:$G$2277,"&lt;&gt;REJECT",$B$2:$B$2277,"&gt;"&amp;B1843))</f>
        <v>1842</v>
      </c>
      <c r="B1843" s="26" t="n">
        <f aca="false">ROUND(($U$2*MAX(0,MIN(1,($W$2-I1843)/($W$2-$V$2)))+$U$3*MAX(0,MIN(1,($W$3-J1843)/($W$3-$V$3)))+$U$4*MAX(0,MIN(1,($W$4-K1843)/($W$4-$V$4)))+$U$5*MAX(0,MIN(1,($W$5-L1843)/($W$5-$V$5)))+$U$6*MAX(0,MIN(1,($W$6-M1843)/($W$6-$V$6)))+$U$7*MAX(0,MIN(1,($W$7-N1843)/($W$7-$V$7)))+$U$8*IF(AND(O1843&gt;=$V$8,O1843&lt;=$W$8),1,0))/$U$9*100,2)</f>
        <v>51.76</v>
      </c>
      <c r="C1843" s="27" t="s">
        <v>3117</v>
      </c>
      <c r="D1843" s="25" t="s">
        <v>3459</v>
      </c>
      <c r="E1843" s="25" t="s">
        <v>3447</v>
      </c>
      <c r="F1843" s="25" t="s">
        <v>3457</v>
      </c>
      <c r="G1843" s="39" t="s">
        <v>32</v>
      </c>
      <c r="H1843" s="39" t="s">
        <v>26</v>
      </c>
      <c r="I1843" s="25" t="n">
        <v>7</v>
      </c>
      <c r="J1843" s="25" t="n">
        <v>0</v>
      </c>
      <c r="K1843" s="25" t="n">
        <v>7</v>
      </c>
      <c r="L1843" s="29" t="n">
        <v>0.84</v>
      </c>
      <c r="M1843" s="30" t="n">
        <v>19.35</v>
      </c>
      <c r="N1843" s="29" t="n">
        <v>0.76</v>
      </c>
      <c r="O1843" s="25" t="n">
        <v>184</v>
      </c>
      <c r="P1843" s="30" t="n">
        <v>0.76</v>
      </c>
      <c r="Q1843" s="27" t="s">
        <v>3891</v>
      </c>
      <c r="R1843" s="27" t="s">
        <v>3879</v>
      </c>
    </row>
    <row r="1844" customFormat="false" ht="15" hidden="false" customHeight="false" outlineLevel="0" collapsed="false">
      <c r="A1844" s="25" t="n">
        <f aca="false">IF(G1844="REJECT",COUNTIF($G$2:$G$2277,"&lt;&gt;REJECT")+1+COUNTIFS($G$2:$G$2277,"REJECT",$B$2:$B$2277,"&gt;"&amp;B1844),1+COUNTIFS($G$2:$G$2277,"&lt;&gt;REJECT",$B$2:$B$2277,"&gt;"&amp;B1844))</f>
        <v>1843</v>
      </c>
      <c r="B1844" s="26" t="n">
        <f aca="false">ROUND(($U$2*MAX(0,MIN(1,($W$2-I1844)/($W$2-$V$2)))+$U$3*MAX(0,MIN(1,($W$3-J1844)/($W$3-$V$3)))+$U$4*MAX(0,MIN(1,($W$4-K1844)/($W$4-$V$4)))+$U$5*MAX(0,MIN(1,($W$5-L1844)/($W$5-$V$5)))+$U$6*MAX(0,MIN(1,($W$6-M1844)/($W$6-$V$6)))+$U$7*MAX(0,MIN(1,($W$7-N1844)/($W$7-$V$7)))+$U$8*IF(AND(O1844&gt;=$V$8,O1844&lt;=$W$8),1,0))/$U$9*100,2)</f>
        <v>51.64</v>
      </c>
      <c r="C1844" s="27" t="s">
        <v>2534</v>
      </c>
      <c r="D1844" s="25" t="s">
        <v>134</v>
      </c>
      <c r="E1844" s="25" t="s">
        <v>3447</v>
      </c>
      <c r="F1844" s="25" t="s">
        <v>3457</v>
      </c>
      <c r="G1844" s="39" t="s">
        <v>32</v>
      </c>
      <c r="H1844" s="39" t="s">
        <v>26</v>
      </c>
      <c r="I1844" s="25" t="n">
        <v>7</v>
      </c>
      <c r="J1844" s="25" t="n">
        <v>0</v>
      </c>
      <c r="K1844" s="25" t="n">
        <v>7</v>
      </c>
      <c r="L1844" s="29" t="n">
        <v>0.78</v>
      </c>
      <c r="M1844" s="30" t="n">
        <v>18.48</v>
      </c>
      <c r="N1844" s="29" t="n">
        <v>0.2</v>
      </c>
      <c r="O1844" s="25" t="n">
        <v>187</v>
      </c>
      <c r="P1844" s="30" t="n">
        <v>2.01</v>
      </c>
      <c r="Q1844" s="27" t="s">
        <v>3892</v>
      </c>
      <c r="R1844" s="27" t="s">
        <v>60</v>
      </c>
    </row>
    <row r="1845" customFormat="false" ht="15" hidden="false" customHeight="false" outlineLevel="0" collapsed="false">
      <c r="A1845" s="25" t="n">
        <f aca="false">IF(G1845="REJECT",COUNTIF($G$2:$G$2277,"&lt;&gt;REJECT")+1+COUNTIFS($G$2:$G$2277,"REJECT",$B$2:$B$2277,"&gt;"&amp;B1845),1+COUNTIFS($G$2:$G$2277,"&lt;&gt;REJECT",$B$2:$B$2277,"&gt;"&amp;B1845))</f>
        <v>1844</v>
      </c>
      <c r="B1845" s="26" t="n">
        <f aca="false">ROUND(($U$2*MAX(0,MIN(1,($W$2-I1845)/($W$2-$V$2)))+$U$3*MAX(0,MIN(1,($W$3-J1845)/($W$3-$V$3)))+$U$4*MAX(0,MIN(1,($W$4-K1845)/($W$4-$V$4)))+$U$5*MAX(0,MIN(1,($W$5-L1845)/($W$5-$V$5)))+$U$6*MAX(0,MIN(1,($W$6-M1845)/($W$6-$V$6)))+$U$7*MAX(0,MIN(1,($W$7-N1845)/($W$7-$V$7)))+$U$8*IF(AND(O1845&gt;=$V$8,O1845&lt;=$W$8),1,0))/$U$9*100,2)</f>
        <v>51.52</v>
      </c>
      <c r="C1845" s="27" t="s">
        <v>1458</v>
      </c>
      <c r="D1845" s="25" t="s">
        <v>134</v>
      </c>
      <c r="E1845" s="25" t="s">
        <v>3450</v>
      </c>
      <c r="F1845" s="25" t="s">
        <v>3457</v>
      </c>
      <c r="G1845" s="39" t="s">
        <v>32</v>
      </c>
      <c r="H1845" s="39" t="s">
        <v>26</v>
      </c>
      <c r="I1845" s="25" t="n">
        <v>4</v>
      </c>
      <c r="J1845" s="25" t="n">
        <v>2</v>
      </c>
      <c r="K1845" s="25" t="n">
        <v>4</v>
      </c>
      <c r="L1845" s="29" t="n">
        <v>0.8</v>
      </c>
      <c r="M1845" s="30" t="n">
        <v>20.91</v>
      </c>
      <c r="N1845" s="29" t="n">
        <v>0</v>
      </c>
      <c r="O1845" s="25" t="n">
        <v>184</v>
      </c>
      <c r="P1845" s="30" t="n">
        <v>14.23</v>
      </c>
      <c r="Q1845" s="27" t="s">
        <v>3893</v>
      </c>
      <c r="R1845" s="27" t="s">
        <v>3894</v>
      </c>
    </row>
    <row r="1846" customFormat="false" ht="15" hidden="false" customHeight="false" outlineLevel="0" collapsed="false">
      <c r="A1846" s="25" t="n">
        <f aca="false">IF(G1846="REJECT",COUNTIF($G$2:$G$2277,"&lt;&gt;REJECT")+1+COUNTIFS($G$2:$G$2277,"REJECT",$B$2:$B$2277,"&gt;"&amp;B1846),1+COUNTIFS($G$2:$G$2277,"&lt;&gt;REJECT",$B$2:$B$2277,"&gt;"&amp;B1846))</f>
        <v>1844</v>
      </c>
      <c r="B1846" s="26" t="n">
        <f aca="false">ROUND(($U$2*MAX(0,MIN(1,($W$2-I1846)/($W$2-$V$2)))+$U$3*MAX(0,MIN(1,($W$3-J1846)/($W$3-$V$3)))+$U$4*MAX(0,MIN(1,($W$4-K1846)/($W$4-$V$4)))+$U$5*MAX(0,MIN(1,($W$5-L1846)/($W$5-$V$5)))+$U$6*MAX(0,MIN(1,($W$6-M1846)/($W$6-$V$6)))+$U$7*MAX(0,MIN(1,($W$7-N1846)/($W$7-$V$7)))+$U$8*IF(AND(O1846&gt;=$V$8,O1846&lt;=$W$8),1,0))/$U$9*100,2)</f>
        <v>51.52</v>
      </c>
      <c r="C1846" s="27" t="s">
        <v>3022</v>
      </c>
      <c r="D1846" s="25" t="s">
        <v>134</v>
      </c>
      <c r="E1846" s="25" t="s">
        <v>3447</v>
      </c>
      <c r="F1846" s="25" t="s">
        <v>3457</v>
      </c>
      <c r="G1846" s="39" t="s">
        <v>32</v>
      </c>
      <c r="H1846" s="39" t="s">
        <v>26</v>
      </c>
      <c r="I1846" s="25" t="n">
        <v>7</v>
      </c>
      <c r="J1846" s="25" t="n">
        <v>0</v>
      </c>
      <c r="K1846" s="25" t="n">
        <v>7</v>
      </c>
      <c r="L1846" s="29" t="n">
        <v>0.8</v>
      </c>
      <c r="M1846" s="30" t="n">
        <v>21.16</v>
      </c>
      <c r="N1846" s="29" t="n">
        <v>0.72</v>
      </c>
      <c r="O1846" s="25" t="n">
        <v>185</v>
      </c>
      <c r="P1846" s="30" t="n">
        <v>3.15</v>
      </c>
      <c r="Q1846" s="27" t="s">
        <v>3895</v>
      </c>
      <c r="R1846" s="27" t="s">
        <v>3896</v>
      </c>
    </row>
    <row r="1847" customFormat="false" ht="15" hidden="false" customHeight="false" outlineLevel="0" collapsed="false">
      <c r="A1847" s="25" t="n">
        <f aca="false">IF(G1847="REJECT",COUNTIF($G$2:$G$2277,"&lt;&gt;REJECT")+1+COUNTIFS($G$2:$G$2277,"REJECT",$B$2:$B$2277,"&gt;"&amp;B1847),1+COUNTIFS($G$2:$G$2277,"&lt;&gt;REJECT",$B$2:$B$2277,"&gt;"&amp;B1847))</f>
        <v>1846</v>
      </c>
      <c r="B1847" s="26" t="n">
        <f aca="false">ROUND(($U$2*MAX(0,MIN(1,($W$2-I1847)/($W$2-$V$2)))+$U$3*MAX(0,MIN(1,($W$3-J1847)/($W$3-$V$3)))+$U$4*MAX(0,MIN(1,($W$4-K1847)/($W$4-$V$4)))+$U$5*MAX(0,MIN(1,($W$5-L1847)/($W$5-$V$5)))+$U$6*MAX(0,MIN(1,($W$6-M1847)/($W$6-$V$6)))+$U$7*MAX(0,MIN(1,($W$7-N1847)/($W$7-$V$7)))+$U$8*IF(AND(O1847&gt;=$V$8,O1847&lt;=$W$8),1,0))/$U$9*100,2)</f>
        <v>51.29</v>
      </c>
      <c r="C1847" s="27" t="s">
        <v>1996</v>
      </c>
      <c r="D1847" s="25" t="s">
        <v>134</v>
      </c>
      <c r="E1847" s="25" t="s">
        <v>3450</v>
      </c>
      <c r="F1847" s="25" t="s">
        <v>3457</v>
      </c>
      <c r="G1847" s="39" t="s">
        <v>32</v>
      </c>
      <c r="H1847" s="39" t="s">
        <v>26</v>
      </c>
      <c r="I1847" s="25" t="n">
        <v>7</v>
      </c>
      <c r="J1847" s="25" t="n">
        <v>0</v>
      </c>
      <c r="K1847" s="25" t="n">
        <v>7</v>
      </c>
      <c r="L1847" s="29" t="n">
        <v>0.77</v>
      </c>
      <c r="M1847" s="30" t="n">
        <v>18.94</v>
      </c>
      <c r="N1847" s="29" t="n">
        <v>0</v>
      </c>
      <c r="O1847" s="25" t="n">
        <v>184</v>
      </c>
      <c r="P1847" s="30" t="n">
        <v>4.88</v>
      </c>
      <c r="Q1847" s="27" t="s">
        <v>3897</v>
      </c>
      <c r="R1847" s="27" t="s">
        <v>60</v>
      </c>
    </row>
    <row r="1848" customFormat="false" ht="15" hidden="false" customHeight="false" outlineLevel="0" collapsed="false">
      <c r="A1848" s="25" t="n">
        <f aca="false">IF(G1848="REJECT",COUNTIF($G$2:$G$2277,"&lt;&gt;REJECT")+1+COUNTIFS($G$2:$G$2277,"REJECT",$B$2:$B$2277,"&gt;"&amp;B1848),1+COUNTIFS($G$2:$G$2277,"&lt;&gt;REJECT",$B$2:$B$2277,"&gt;"&amp;B1848))</f>
        <v>1847</v>
      </c>
      <c r="B1848" s="26" t="n">
        <f aca="false">ROUND(($U$2*MAX(0,MIN(1,($W$2-I1848)/($W$2-$V$2)))+$U$3*MAX(0,MIN(1,($W$3-J1848)/($W$3-$V$3)))+$U$4*MAX(0,MIN(1,($W$4-K1848)/($W$4-$V$4)))+$U$5*MAX(0,MIN(1,($W$5-L1848)/($W$5-$V$5)))+$U$6*MAX(0,MIN(1,($W$6-M1848)/($W$6-$V$6)))+$U$7*MAX(0,MIN(1,($W$7-N1848)/($W$7-$V$7)))+$U$8*IF(AND(O1848&gt;=$V$8,O1848&lt;=$W$8),1,0))/$U$9*100,2)</f>
        <v>51.1</v>
      </c>
      <c r="C1848" s="27" t="s">
        <v>1726</v>
      </c>
      <c r="D1848" s="25" t="s">
        <v>134</v>
      </c>
      <c r="E1848" s="25" t="s">
        <v>3447</v>
      </c>
      <c r="F1848" s="25" t="s">
        <v>3448</v>
      </c>
      <c r="G1848" s="39" t="s">
        <v>32</v>
      </c>
      <c r="H1848" s="39" t="s">
        <v>26</v>
      </c>
      <c r="I1848" s="25" t="n">
        <v>7</v>
      </c>
      <c r="J1848" s="25" t="n">
        <v>0</v>
      </c>
      <c r="K1848" s="25" t="n">
        <v>6</v>
      </c>
      <c r="L1848" s="29" t="n">
        <v>0.74</v>
      </c>
      <c r="M1848" s="30" t="n">
        <v>17.77</v>
      </c>
      <c r="N1848" s="29" t="n">
        <v>0.28</v>
      </c>
      <c r="O1848" s="25" t="n">
        <v>188</v>
      </c>
      <c r="P1848" s="30" t="n">
        <v>1.93</v>
      </c>
      <c r="Q1848" s="27" t="s">
        <v>3898</v>
      </c>
      <c r="R1848" s="27" t="s">
        <v>60</v>
      </c>
    </row>
    <row r="1849" customFormat="false" ht="15" hidden="false" customHeight="false" outlineLevel="0" collapsed="false">
      <c r="A1849" s="25" t="n">
        <f aca="false">IF(G1849="REJECT",COUNTIF($G$2:$G$2277,"&lt;&gt;REJECT")+1+COUNTIFS($G$2:$G$2277,"REJECT",$B$2:$B$2277,"&gt;"&amp;B1849),1+COUNTIFS($G$2:$G$2277,"&lt;&gt;REJECT",$B$2:$B$2277,"&gt;"&amp;B1849))</f>
        <v>1848</v>
      </c>
      <c r="B1849" s="26" t="n">
        <f aca="false">ROUND(($U$2*MAX(0,MIN(1,($W$2-I1849)/($W$2-$V$2)))+$U$3*MAX(0,MIN(1,($W$3-J1849)/($W$3-$V$3)))+$U$4*MAX(0,MIN(1,($W$4-K1849)/($W$4-$V$4)))+$U$5*MAX(0,MIN(1,($W$5-L1849)/($W$5-$V$5)))+$U$6*MAX(0,MIN(1,($W$6-M1849)/($W$6-$V$6)))+$U$7*MAX(0,MIN(1,($W$7-N1849)/($W$7-$V$7)))+$U$8*IF(AND(O1849&gt;=$V$8,O1849&lt;=$W$8),1,0))/$U$9*100,2)</f>
        <v>50.96</v>
      </c>
      <c r="C1849" s="27" t="s">
        <v>2993</v>
      </c>
      <c r="D1849" s="25" t="s">
        <v>3459</v>
      </c>
      <c r="E1849" s="25" t="s">
        <v>3447</v>
      </c>
      <c r="F1849" s="25" t="s">
        <v>3457</v>
      </c>
      <c r="G1849" s="39" t="s">
        <v>32</v>
      </c>
      <c r="H1849" s="39" t="s">
        <v>26</v>
      </c>
      <c r="I1849" s="25" t="n">
        <v>7</v>
      </c>
      <c r="J1849" s="25" t="n">
        <v>0</v>
      </c>
      <c r="K1849" s="25" t="n">
        <v>7</v>
      </c>
      <c r="L1849" s="29" t="n">
        <v>0.8</v>
      </c>
      <c r="M1849" s="30" t="n">
        <v>22.53</v>
      </c>
      <c r="N1849" s="29" t="n">
        <v>0.92</v>
      </c>
      <c r="O1849" s="25" t="n">
        <v>185</v>
      </c>
      <c r="P1849" s="30" t="n">
        <v>0.84</v>
      </c>
      <c r="Q1849" s="27" t="s">
        <v>3899</v>
      </c>
      <c r="R1849" s="27" t="s">
        <v>3896</v>
      </c>
    </row>
    <row r="1850" customFormat="false" ht="15" hidden="false" customHeight="false" outlineLevel="0" collapsed="false">
      <c r="A1850" s="25" t="n">
        <f aca="false">IF(G1850="REJECT",COUNTIF($G$2:$G$2277,"&lt;&gt;REJECT")+1+COUNTIFS($G$2:$G$2277,"REJECT",$B$2:$B$2277,"&gt;"&amp;B1850),1+COUNTIFS($G$2:$G$2277,"&lt;&gt;REJECT",$B$2:$B$2277,"&gt;"&amp;B1850))</f>
        <v>1849</v>
      </c>
      <c r="B1850" s="26" t="n">
        <f aca="false">ROUND(($U$2*MAX(0,MIN(1,($W$2-I1850)/($W$2-$V$2)))+$U$3*MAX(0,MIN(1,($W$3-J1850)/($W$3-$V$3)))+$U$4*MAX(0,MIN(1,($W$4-K1850)/($W$4-$V$4)))+$U$5*MAX(0,MIN(1,($W$5-L1850)/($W$5-$V$5)))+$U$6*MAX(0,MIN(1,($W$6-M1850)/($W$6-$V$6)))+$U$7*MAX(0,MIN(1,($W$7-N1850)/($W$7-$V$7)))+$U$8*IF(AND(O1850&gt;=$V$8,O1850&lt;=$W$8),1,0))/$U$9*100,2)</f>
        <v>50.62</v>
      </c>
      <c r="C1850" s="27" t="s">
        <v>2021</v>
      </c>
      <c r="D1850" s="25" t="s">
        <v>134</v>
      </c>
      <c r="E1850" s="25" t="s">
        <v>3447</v>
      </c>
      <c r="F1850" s="25" t="s">
        <v>3457</v>
      </c>
      <c r="G1850" s="39" t="s">
        <v>32</v>
      </c>
      <c r="H1850" s="39" t="s">
        <v>26</v>
      </c>
      <c r="I1850" s="25" t="n">
        <v>7</v>
      </c>
      <c r="J1850" s="25" t="n">
        <v>0</v>
      </c>
      <c r="K1850" s="25" t="n">
        <v>7</v>
      </c>
      <c r="L1850" s="29" t="n">
        <v>0.74</v>
      </c>
      <c r="M1850" s="30" t="n">
        <v>8.57</v>
      </c>
      <c r="N1850" s="29" t="n">
        <v>0.36</v>
      </c>
      <c r="O1850" s="25" t="n">
        <v>182</v>
      </c>
      <c r="P1850" s="30" t="n">
        <v>-0.2</v>
      </c>
      <c r="Q1850" s="27" t="s">
        <v>3900</v>
      </c>
      <c r="R1850" s="27" t="s">
        <v>3885</v>
      </c>
    </row>
    <row r="1851" customFormat="false" ht="15" hidden="false" customHeight="false" outlineLevel="0" collapsed="false">
      <c r="A1851" s="25" t="n">
        <f aca="false">IF(G1851="REJECT",COUNTIF($G$2:$G$2277,"&lt;&gt;REJECT")+1+COUNTIFS($G$2:$G$2277,"REJECT",$B$2:$B$2277,"&gt;"&amp;B1851),1+COUNTIFS($G$2:$G$2277,"&lt;&gt;REJECT",$B$2:$B$2277,"&gt;"&amp;B1851))</f>
        <v>1850</v>
      </c>
      <c r="B1851" s="26" t="n">
        <f aca="false">ROUND(($U$2*MAX(0,MIN(1,($W$2-I1851)/($W$2-$V$2)))+$U$3*MAX(0,MIN(1,($W$3-J1851)/($W$3-$V$3)))+$U$4*MAX(0,MIN(1,($W$4-K1851)/($W$4-$V$4)))+$U$5*MAX(0,MIN(1,($W$5-L1851)/($W$5-$V$5)))+$U$6*MAX(0,MIN(1,($W$6-M1851)/($W$6-$V$6)))+$U$7*MAX(0,MIN(1,($W$7-N1851)/($W$7-$V$7)))+$U$8*IF(AND(O1851&gt;=$V$8,O1851&lt;=$W$8),1,0))/$U$9*100,2)</f>
        <v>50.53</v>
      </c>
      <c r="C1851" s="27" t="s">
        <v>2471</v>
      </c>
      <c r="D1851" s="25" t="s">
        <v>134</v>
      </c>
      <c r="E1851" s="25" t="s">
        <v>3447</v>
      </c>
      <c r="F1851" s="25" t="s">
        <v>3448</v>
      </c>
      <c r="G1851" s="39" t="s">
        <v>32</v>
      </c>
      <c r="H1851" s="39" t="s">
        <v>26</v>
      </c>
      <c r="I1851" s="25" t="n">
        <v>7</v>
      </c>
      <c r="J1851" s="25" t="n">
        <v>0</v>
      </c>
      <c r="K1851" s="25" t="n">
        <v>7</v>
      </c>
      <c r="L1851" s="29" t="n">
        <v>0.78</v>
      </c>
      <c r="M1851" s="30" t="n">
        <v>21.55</v>
      </c>
      <c r="N1851" s="29" t="n">
        <v>0.56</v>
      </c>
      <c r="O1851" s="25" t="n">
        <v>183</v>
      </c>
      <c r="P1851" s="30" t="n">
        <v>10.01</v>
      </c>
      <c r="Q1851" s="27" t="s">
        <v>3901</v>
      </c>
      <c r="R1851" s="27" t="s">
        <v>3896</v>
      </c>
    </row>
    <row r="1852" customFormat="false" ht="15" hidden="false" customHeight="false" outlineLevel="0" collapsed="false">
      <c r="A1852" s="25" t="n">
        <f aca="false">IF(G1852="REJECT",COUNTIF($G$2:$G$2277,"&lt;&gt;REJECT")+1+COUNTIFS($G$2:$G$2277,"REJECT",$B$2:$B$2277,"&gt;"&amp;B1852),1+COUNTIFS($G$2:$G$2277,"&lt;&gt;REJECT",$B$2:$B$2277,"&gt;"&amp;B1852))</f>
        <v>1851</v>
      </c>
      <c r="B1852" s="26" t="n">
        <f aca="false">ROUND(($U$2*MAX(0,MIN(1,($W$2-I1852)/($W$2-$V$2)))+$U$3*MAX(0,MIN(1,($W$3-J1852)/($W$3-$V$3)))+$U$4*MAX(0,MIN(1,($W$4-K1852)/($W$4-$V$4)))+$U$5*MAX(0,MIN(1,($W$5-L1852)/($W$5-$V$5)))+$U$6*MAX(0,MIN(1,($W$6-M1852)/($W$6-$V$6)))+$U$7*MAX(0,MIN(1,($W$7-N1852)/($W$7-$V$7)))+$U$8*IF(AND(O1852&gt;=$V$8,O1852&lt;=$W$8),1,0))/$U$9*100,2)</f>
        <v>50.23</v>
      </c>
      <c r="C1852" s="27" t="s">
        <v>2953</v>
      </c>
      <c r="D1852" s="25" t="s">
        <v>134</v>
      </c>
      <c r="E1852" s="25" t="s">
        <v>3447</v>
      </c>
      <c r="F1852" s="25" t="s">
        <v>3457</v>
      </c>
      <c r="G1852" s="39" t="s">
        <v>32</v>
      </c>
      <c r="H1852" s="39" t="s">
        <v>26</v>
      </c>
      <c r="I1852" s="25" t="n">
        <v>7</v>
      </c>
      <c r="J1852" s="25" t="n">
        <v>0</v>
      </c>
      <c r="K1852" s="25" t="n">
        <v>7</v>
      </c>
      <c r="L1852" s="29" t="n">
        <v>0.75</v>
      </c>
      <c r="M1852" s="30" t="n">
        <v>16.5</v>
      </c>
      <c r="N1852" s="29" t="n">
        <v>0.16</v>
      </c>
      <c r="O1852" s="25" t="n">
        <v>190</v>
      </c>
      <c r="P1852" s="30" t="n">
        <v>1.36</v>
      </c>
      <c r="Q1852" s="27" t="s">
        <v>3902</v>
      </c>
      <c r="R1852" s="27" t="s">
        <v>60</v>
      </c>
    </row>
    <row r="1853" customFormat="false" ht="15" hidden="false" customHeight="false" outlineLevel="0" collapsed="false">
      <c r="A1853" s="25" t="n">
        <f aca="false">IF(G1853="REJECT",COUNTIF($G$2:$G$2277,"&lt;&gt;REJECT")+1+COUNTIFS($G$2:$G$2277,"REJECT",$B$2:$B$2277,"&gt;"&amp;B1853),1+COUNTIFS($G$2:$G$2277,"&lt;&gt;REJECT",$B$2:$B$2277,"&gt;"&amp;B1853))</f>
        <v>1852</v>
      </c>
      <c r="B1853" s="26" t="n">
        <f aca="false">ROUND(($U$2*MAX(0,MIN(1,($W$2-I1853)/($W$2-$V$2)))+$U$3*MAX(0,MIN(1,($W$3-J1853)/($W$3-$V$3)))+$U$4*MAX(0,MIN(1,($W$4-K1853)/($W$4-$V$4)))+$U$5*MAX(0,MIN(1,($W$5-L1853)/($W$5-$V$5)))+$U$6*MAX(0,MIN(1,($W$6-M1853)/($W$6-$V$6)))+$U$7*MAX(0,MIN(1,($W$7-N1853)/($W$7-$V$7)))+$U$8*IF(AND(O1853&gt;=$V$8,O1853&lt;=$W$8),1,0))/$U$9*100,2)</f>
        <v>49.94</v>
      </c>
      <c r="C1853" s="27" t="s">
        <v>2435</v>
      </c>
      <c r="D1853" s="25" t="s">
        <v>134</v>
      </c>
      <c r="E1853" s="25" t="s">
        <v>3447</v>
      </c>
      <c r="F1853" s="25" t="s">
        <v>3457</v>
      </c>
      <c r="G1853" s="39" t="s">
        <v>32</v>
      </c>
      <c r="H1853" s="39" t="s">
        <v>26</v>
      </c>
      <c r="I1853" s="25" t="n">
        <v>7</v>
      </c>
      <c r="J1853" s="25" t="n">
        <v>0</v>
      </c>
      <c r="K1853" s="25" t="n">
        <v>7</v>
      </c>
      <c r="L1853" s="29" t="n">
        <v>0.77</v>
      </c>
      <c r="M1853" s="30" t="n">
        <v>25.89</v>
      </c>
      <c r="N1853" s="29" t="n">
        <v>0.12</v>
      </c>
      <c r="O1853" s="25" t="n">
        <v>183</v>
      </c>
      <c r="P1853" s="30" t="n">
        <v>5.08</v>
      </c>
      <c r="Q1853" s="27" t="s">
        <v>3903</v>
      </c>
      <c r="R1853" s="27" t="s">
        <v>3896</v>
      </c>
    </row>
    <row r="1854" customFormat="false" ht="15" hidden="false" customHeight="false" outlineLevel="0" collapsed="false">
      <c r="A1854" s="25" t="n">
        <f aca="false">IF(G1854="REJECT",COUNTIF($G$2:$G$2277,"&lt;&gt;REJECT")+1+COUNTIFS($G$2:$G$2277,"REJECT",$B$2:$B$2277,"&gt;"&amp;B1854),1+COUNTIFS($G$2:$G$2277,"&lt;&gt;REJECT",$B$2:$B$2277,"&gt;"&amp;B1854))</f>
        <v>1853</v>
      </c>
      <c r="B1854" s="26" t="n">
        <f aca="false">ROUND(($U$2*MAX(0,MIN(1,($W$2-I1854)/($W$2-$V$2)))+$U$3*MAX(0,MIN(1,($W$3-J1854)/($W$3-$V$3)))+$U$4*MAX(0,MIN(1,($W$4-K1854)/($W$4-$V$4)))+$U$5*MAX(0,MIN(1,($W$5-L1854)/($W$5-$V$5)))+$U$6*MAX(0,MIN(1,($W$6-M1854)/($W$6-$V$6)))+$U$7*MAX(0,MIN(1,($W$7-N1854)/($W$7-$V$7)))+$U$8*IF(AND(O1854&gt;=$V$8,O1854&lt;=$W$8),1,0))/$U$9*100,2)</f>
        <v>49.86</v>
      </c>
      <c r="C1854" s="27" t="s">
        <v>756</v>
      </c>
      <c r="D1854" s="25" t="s">
        <v>3459</v>
      </c>
      <c r="E1854" s="25" t="s">
        <v>3447</v>
      </c>
      <c r="F1854" s="25" t="s">
        <v>3457</v>
      </c>
      <c r="G1854" s="39" t="s">
        <v>32</v>
      </c>
      <c r="H1854" s="39" t="s">
        <v>26</v>
      </c>
      <c r="I1854" s="25" t="n">
        <v>7</v>
      </c>
      <c r="J1854" s="25" t="n">
        <v>0</v>
      </c>
      <c r="K1854" s="25" t="n">
        <v>7</v>
      </c>
      <c r="L1854" s="29" t="n">
        <v>0.77</v>
      </c>
      <c r="M1854" s="30" t="n">
        <v>18.77</v>
      </c>
      <c r="N1854" s="29" t="n">
        <v>0.88</v>
      </c>
      <c r="O1854" s="25" t="n">
        <v>185</v>
      </c>
      <c r="P1854" s="30" t="n">
        <v>0.89</v>
      </c>
      <c r="Q1854" s="27" t="s">
        <v>3904</v>
      </c>
      <c r="R1854" s="27" t="s">
        <v>60</v>
      </c>
    </row>
    <row r="1855" customFormat="false" ht="15" hidden="false" customHeight="false" outlineLevel="0" collapsed="false">
      <c r="A1855" s="25" t="n">
        <f aca="false">IF(G1855="REJECT",COUNTIF($G$2:$G$2277,"&lt;&gt;REJECT")+1+COUNTIFS($G$2:$G$2277,"REJECT",$B$2:$B$2277,"&gt;"&amp;B1855),1+COUNTIFS($G$2:$G$2277,"&lt;&gt;REJECT",$B$2:$B$2277,"&gt;"&amp;B1855))</f>
        <v>1854</v>
      </c>
      <c r="B1855" s="26" t="n">
        <f aca="false">ROUND(($U$2*MAX(0,MIN(1,($W$2-I1855)/($W$2-$V$2)))+$U$3*MAX(0,MIN(1,($W$3-J1855)/($W$3-$V$3)))+$U$4*MAX(0,MIN(1,($W$4-K1855)/($W$4-$V$4)))+$U$5*MAX(0,MIN(1,($W$5-L1855)/($W$5-$V$5)))+$U$6*MAX(0,MIN(1,($W$6-M1855)/($W$6-$V$6)))+$U$7*MAX(0,MIN(1,($W$7-N1855)/($W$7-$V$7)))+$U$8*IF(AND(O1855&gt;=$V$8,O1855&lt;=$W$8),1,0))/$U$9*100,2)</f>
        <v>49.77</v>
      </c>
      <c r="C1855" s="27" t="s">
        <v>609</v>
      </c>
      <c r="D1855" s="25" t="s">
        <v>134</v>
      </c>
      <c r="E1855" s="25" t="s">
        <v>3447</v>
      </c>
      <c r="F1855" s="25" t="s">
        <v>3448</v>
      </c>
      <c r="G1855" s="39" t="s">
        <v>32</v>
      </c>
      <c r="H1855" s="39" t="s">
        <v>26</v>
      </c>
      <c r="I1855" s="25" t="n">
        <v>7</v>
      </c>
      <c r="J1855" s="25" t="n">
        <v>0</v>
      </c>
      <c r="K1855" s="25" t="n">
        <v>7</v>
      </c>
      <c r="L1855" s="29" t="n">
        <v>0.73</v>
      </c>
      <c r="M1855" s="30" t="n">
        <v>8.89</v>
      </c>
      <c r="N1855" s="29" t="n">
        <v>0.48</v>
      </c>
      <c r="O1855" s="25" t="n">
        <v>187</v>
      </c>
      <c r="P1855" s="30" t="n">
        <v>7.54</v>
      </c>
      <c r="Q1855" s="27" t="s">
        <v>3905</v>
      </c>
      <c r="R1855" s="27" t="s">
        <v>60</v>
      </c>
    </row>
    <row r="1856" customFormat="false" ht="15" hidden="false" customHeight="false" outlineLevel="0" collapsed="false">
      <c r="A1856" s="25" t="n">
        <f aca="false">IF(G1856="REJECT",COUNTIF($G$2:$G$2277,"&lt;&gt;REJECT")+1+COUNTIFS($G$2:$G$2277,"REJECT",$B$2:$B$2277,"&gt;"&amp;B1856),1+COUNTIFS($G$2:$G$2277,"&lt;&gt;REJECT",$B$2:$B$2277,"&gt;"&amp;B1856))</f>
        <v>1855</v>
      </c>
      <c r="B1856" s="26" t="n">
        <f aca="false">ROUND(($U$2*MAX(0,MIN(1,($W$2-I1856)/($W$2-$V$2)))+$U$3*MAX(0,MIN(1,($W$3-J1856)/($W$3-$V$3)))+$U$4*MAX(0,MIN(1,($W$4-K1856)/($W$4-$V$4)))+$U$5*MAX(0,MIN(1,($W$5-L1856)/($W$5-$V$5)))+$U$6*MAX(0,MIN(1,($W$6-M1856)/($W$6-$V$6)))+$U$7*MAX(0,MIN(1,($W$7-N1856)/($W$7-$V$7)))+$U$8*IF(AND(O1856&gt;=$V$8,O1856&lt;=$W$8),1,0))/$U$9*100,2)</f>
        <v>49.61</v>
      </c>
      <c r="C1856" s="27" t="s">
        <v>253</v>
      </c>
      <c r="D1856" s="25" t="s">
        <v>134</v>
      </c>
      <c r="E1856" s="25" t="s">
        <v>3450</v>
      </c>
      <c r="F1856" s="25" t="s">
        <v>3448</v>
      </c>
      <c r="G1856" s="39" t="s">
        <v>32</v>
      </c>
      <c r="H1856" s="39" t="s">
        <v>26</v>
      </c>
      <c r="I1856" s="25" t="n">
        <v>7</v>
      </c>
      <c r="J1856" s="25" t="n">
        <v>0</v>
      </c>
      <c r="K1856" s="25" t="n">
        <v>7</v>
      </c>
      <c r="L1856" s="29" t="n">
        <v>0.74</v>
      </c>
      <c r="M1856" s="30" t="n">
        <v>17.05</v>
      </c>
      <c r="N1856" s="29" t="n">
        <v>0.12</v>
      </c>
      <c r="O1856" s="25" t="n">
        <v>184</v>
      </c>
      <c r="P1856" s="30" t="n">
        <v>8.7</v>
      </c>
      <c r="Q1856" s="27" t="s">
        <v>3906</v>
      </c>
      <c r="R1856" s="27" t="s">
        <v>60</v>
      </c>
    </row>
    <row r="1857" customFormat="false" ht="15" hidden="false" customHeight="false" outlineLevel="0" collapsed="false">
      <c r="A1857" s="25" t="n">
        <f aca="false">IF(G1857="REJECT",COUNTIF($G$2:$G$2277,"&lt;&gt;REJECT")+1+COUNTIFS($G$2:$G$2277,"REJECT",$B$2:$B$2277,"&gt;"&amp;B1857),1+COUNTIFS($G$2:$G$2277,"&lt;&gt;REJECT",$B$2:$B$2277,"&gt;"&amp;B1857))</f>
        <v>1856</v>
      </c>
      <c r="B1857" s="26" t="n">
        <f aca="false">ROUND(($U$2*MAX(0,MIN(1,($W$2-I1857)/($W$2-$V$2)))+$U$3*MAX(0,MIN(1,($W$3-J1857)/($W$3-$V$3)))+$U$4*MAX(0,MIN(1,($W$4-K1857)/($W$4-$V$4)))+$U$5*MAX(0,MIN(1,($W$5-L1857)/($W$5-$V$5)))+$U$6*MAX(0,MIN(1,($W$6-M1857)/($W$6-$V$6)))+$U$7*MAX(0,MIN(1,($W$7-N1857)/($W$7-$V$7)))+$U$8*IF(AND(O1857&gt;=$V$8,O1857&lt;=$W$8),1,0))/$U$9*100,2)</f>
        <v>48.28</v>
      </c>
      <c r="C1857" s="27" t="s">
        <v>449</v>
      </c>
      <c r="D1857" s="25" t="s">
        <v>134</v>
      </c>
      <c r="E1857" s="25" t="s">
        <v>3447</v>
      </c>
      <c r="F1857" s="25" t="s">
        <v>3448</v>
      </c>
      <c r="G1857" s="39" t="s">
        <v>32</v>
      </c>
      <c r="H1857" s="39" t="s">
        <v>26</v>
      </c>
      <c r="I1857" s="25" t="n">
        <v>7</v>
      </c>
      <c r="J1857" s="25" t="n">
        <v>0</v>
      </c>
      <c r="K1857" s="25" t="n">
        <v>7</v>
      </c>
      <c r="L1857" s="29" t="n">
        <v>0.69</v>
      </c>
      <c r="M1857" s="30" t="n">
        <v>8.21</v>
      </c>
      <c r="N1857" s="29" t="n">
        <v>0</v>
      </c>
      <c r="O1857" s="25" t="n">
        <v>187</v>
      </c>
      <c r="P1857" s="30" t="n">
        <v>2.33</v>
      </c>
      <c r="Q1857" s="27" t="s">
        <v>3907</v>
      </c>
      <c r="R1857" s="27" t="s">
        <v>60</v>
      </c>
    </row>
    <row r="1858" customFormat="false" ht="15" hidden="false" customHeight="false" outlineLevel="0" collapsed="false">
      <c r="A1858" s="25" t="n">
        <f aca="false">IF(G1858="REJECT",COUNTIF($G$2:$G$2277,"&lt;&gt;REJECT")+1+COUNTIFS($G$2:$G$2277,"REJECT",$B$2:$B$2277,"&gt;"&amp;B1858),1+COUNTIFS($G$2:$G$2277,"&lt;&gt;REJECT",$B$2:$B$2277,"&gt;"&amp;B1858))</f>
        <v>1857</v>
      </c>
      <c r="B1858" s="26" t="n">
        <f aca="false">ROUND(($U$2*MAX(0,MIN(1,($W$2-I1858)/($W$2-$V$2)))+$U$3*MAX(0,MIN(1,($W$3-J1858)/($W$3-$V$3)))+$U$4*MAX(0,MIN(1,($W$4-K1858)/($W$4-$V$4)))+$U$5*MAX(0,MIN(1,($W$5-L1858)/($W$5-$V$5)))+$U$6*MAX(0,MIN(1,($W$6-M1858)/($W$6-$V$6)))+$U$7*MAX(0,MIN(1,($W$7-N1858)/($W$7-$V$7)))+$U$8*IF(AND(O1858&gt;=$V$8,O1858&lt;=$W$8),1,0))/$U$9*100,2)</f>
        <v>48.21</v>
      </c>
      <c r="C1858" s="27" t="s">
        <v>2067</v>
      </c>
      <c r="D1858" s="25" t="s">
        <v>134</v>
      </c>
      <c r="E1858" s="25" t="s">
        <v>3447</v>
      </c>
      <c r="F1858" s="25" t="s">
        <v>3457</v>
      </c>
      <c r="G1858" s="39" t="s">
        <v>32</v>
      </c>
      <c r="H1858" s="39" t="s">
        <v>26</v>
      </c>
      <c r="I1858" s="25" t="n">
        <v>4</v>
      </c>
      <c r="J1858" s="25" t="n">
        <v>2</v>
      </c>
      <c r="K1858" s="25" t="n">
        <v>4</v>
      </c>
      <c r="L1858" s="29" t="n">
        <v>0.74</v>
      </c>
      <c r="M1858" s="30" t="n">
        <v>16.35</v>
      </c>
      <c r="N1858" s="29" t="n">
        <v>0.28</v>
      </c>
      <c r="O1858" s="25" t="n">
        <v>182</v>
      </c>
      <c r="P1858" s="30" t="n">
        <v>11.58</v>
      </c>
      <c r="Q1858" s="27" t="s">
        <v>3908</v>
      </c>
      <c r="R1858" s="27" t="s">
        <v>65</v>
      </c>
    </row>
    <row r="1859" customFormat="false" ht="15" hidden="false" customHeight="false" outlineLevel="0" collapsed="false">
      <c r="A1859" s="25" t="n">
        <f aca="false">IF(G1859="REJECT",COUNTIF($G$2:$G$2277,"&lt;&gt;REJECT")+1+COUNTIFS($G$2:$G$2277,"REJECT",$B$2:$B$2277,"&gt;"&amp;B1859),1+COUNTIFS($G$2:$G$2277,"&lt;&gt;REJECT",$B$2:$B$2277,"&gt;"&amp;B1859))</f>
        <v>1858</v>
      </c>
      <c r="B1859" s="26" t="n">
        <f aca="false">ROUND(($U$2*MAX(0,MIN(1,($W$2-I1859)/($W$2-$V$2)))+$U$3*MAX(0,MIN(1,($W$3-J1859)/($W$3-$V$3)))+$U$4*MAX(0,MIN(1,($W$4-K1859)/($W$4-$V$4)))+$U$5*MAX(0,MIN(1,($W$5-L1859)/($W$5-$V$5)))+$U$6*MAX(0,MIN(1,($W$6-M1859)/($W$6-$V$6)))+$U$7*MAX(0,MIN(1,($W$7-N1859)/($W$7-$V$7)))+$U$8*IF(AND(O1859&gt;=$V$8,O1859&lt;=$W$8),1,0))/$U$9*100,2)</f>
        <v>48.16</v>
      </c>
      <c r="C1859" s="27" t="s">
        <v>852</v>
      </c>
      <c r="D1859" s="25" t="s">
        <v>3459</v>
      </c>
      <c r="E1859" s="25" t="s">
        <v>3447</v>
      </c>
      <c r="F1859" s="25" t="s">
        <v>3448</v>
      </c>
      <c r="G1859" s="39" t="s">
        <v>32</v>
      </c>
      <c r="H1859" s="39" t="s">
        <v>26</v>
      </c>
      <c r="I1859" s="25" t="n">
        <v>7</v>
      </c>
      <c r="J1859" s="25" t="n">
        <v>0</v>
      </c>
      <c r="K1859" s="25" t="n">
        <v>7</v>
      </c>
      <c r="L1859" s="29" t="n">
        <v>0.75</v>
      </c>
      <c r="M1859" s="30" t="n">
        <v>24.96</v>
      </c>
      <c r="N1859" s="29" t="n">
        <v>0.56</v>
      </c>
      <c r="O1859" s="25" t="n">
        <v>183</v>
      </c>
      <c r="P1859" s="30" t="n">
        <v>-0.03</v>
      </c>
      <c r="Q1859" s="27" t="s">
        <v>3909</v>
      </c>
      <c r="R1859" s="27" t="s">
        <v>3896</v>
      </c>
    </row>
    <row r="1860" customFormat="false" ht="15" hidden="false" customHeight="false" outlineLevel="0" collapsed="false">
      <c r="A1860" s="25" t="n">
        <f aca="false">IF(G1860="REJECT",COUNTIF($G$2:$G$2277,"&lt;&gt;REJECT")+1+COUNTIFS($G$2:$G$2277,"REJECT",$B$2:$B$2277,"&gt;"&amp;B1860),1+COUNTIFS($G$2:$G$2277,"&lt;&gt;REJECT",$B$2:$B$2277,"&gt;"&amp;B1860))</f>
        <v>1859</v>
      </c>
      <c r="B1860" s="26" t="n">
        <f aca="false">ROUND(($U$2*MAX(0,MIN(1,($W$2-I1860)/($W$2-$V$2)))+$U$3*MAX(0,MIN(1,($W$3-J1860)/($W$3-$V$3)))+$U$4*MAX(0,MIN(1,($W$4-K1860)/($W$4-$V$4)))+$U$5*MAX(0,MIN(1,($W$5-L1860)/($W$5-$V$5)))+$U$6*MAX(0,MIN(1,($W$6-M1860)/($W$6-$V$6)))+$U$7*MAX(0,MIN(1,($W$7-N1860)/($W$7-$V$7)))+$U$8*IF(AND(O1860&gt;=$V$8,O1860&lt;=$W$8),1,0))/$U$9*100,2)</f>
        <v>48.07</v>
      </c>
      <c r="C1860" s="27" t="s">
        <v>1132</v>
      </c>
      <c r="D1860" s="25" t="s">
        <v>134</v>
      </c>
      <c r="E1860" s="25" t="s">
        <v>3450</v>
      </c>
      <c r="F1860" s="25" t="s">
        <v>3448</v>
      </c>
      <c r="G1860" s="39" t="s">
        <v>32</v>
      </c>
      <c r="H1860" s="39" t="s">
        <v>26</v>
      </c>
      <c r="I1860" s="25" t="n">
        <v>8</v>
      </c>
      <c r="J1860" s="25" t="n">
        <v>0</v>
      </c>
      <c r="K1860" s="25" t="n">
        <v>8</v>
      </c>
      <c r="L1860" s="29" t="n">
        <v>0.8</v>
      </c>
      <c r="M1860" s="30" t="n">
        <v>7.99</v>
      </c>
      <c r="N1860" s="29" t="n">
        <v>0.36</v>
      </c>
      <c r="O1860" s="25" t="n">
        <v>186</v>
      </c>
      <c r="P1860" s="30" t="n">
        <v>15.21</v>
      </c>
      <c r="Q1860" s="27" t="s">
        <v>3910</v>
      </c>
      <c r="R1860" s="27" t="s">
        <v>60</v>
      </c>
    </row>
    <row r="1861" customFormat="false" ht="15" hidden="false" customHeight="false" outlineLevel="0" collapsed="false">
      <c r="A1861" s="25" t="n">
        <f aca="false">IF(G1861="REJECT",COUNTIF($G$2:$G$2277,"&lt;&gt;REJECT")+1+COUNTIFS($G$2:$G$2277,"REJECT",$B$2:$B$2277,"&gt;"&amp;B1861),1+COUNTIFS($G$2:$G$2277,"&lt;&gt;REJECT",$B$2:$B$2277,"&gt;"&amp;B1861))</f>
        <v>1860</v>
      </c>
      <c r="B1861" s="26" t="n">
        <f aca="false">ROUND(($U$2*MAX(0,MIN(1,($W$2-I1861)/($W$2-$V$2)))+$U$3*MAX(0,MIN(1,($W$3-J1861)/($W$3-$V$3)))+$U$4*MAX(0,MIN(1,($W$4-K1861)/($W$4-$V$4)))+$U$5*MAX(0,MIN(1,($W$5-L1861)/($W$5-$V$5)))+$U$6*MAX(0,MIN(1,($W$6-M1861)/($W$6-$V$6)))+$U$7*MAX(0,MIN(1,($W$7-N1861)/($W$7-$V$7)))+$U$8*IF(AND(O1861&gt;=$V$8,O1861&lt;=$W$8),1,0))/$U$9*100,2)</f>
        <v>47.87</v>
      </c>
      <c r="C1861" s="27" t="s">
        <v>1023</v>
      </c>
      <c r="D1861" s="25" t="s">
        <v>134</v>
      </c>
      <c r="E1861" s="25" t="s">
        <v>3447</v>
      </c>
      <c r="F1861" s="25" t="s">
        <v>3457</v>
      </c>
      <c r="G1861" s="39" t="s">
        <v>32</v>
      </c>
      <c r="H1861" s="39" t="s">
        <v>26</v>
      </c>
      <c r="I1861" s="25" t="n">
        <v>7</v>
      </c>
      <c r="J1861" s="25" t="n">
        <v>0</v>
      </c>
      <c r="K1861" s="25" t="n">
        <v>7</v>
      </c>
      <c r="L1861" s="29" t="n">
        <v>0.69</v>
      </c>
      <c r="M1861" s="30" t="n">
        <v>10.68</v>
      </c>
      <c r="N1861" s="29" t="n">
        <v>0</v>
      </c>
      <c r="O1861" s="25" t="n">
        <v>187</v>
      </c>
      <c r="P1861" s="30" t="n">
        <v>9.29</v>
      </c>
      <c r="Q1861" s="27" t="s">
        <v>3887</v>
      </c>
      <c r="R1861" s="27" t="s">
        <v>60</v>
      </c>
    </row>
    <row r="1862" customFormat="false" ht="15" hidden="false" customHeight="false" outlineLevel="0" collapsed="false">
      <c r="A1862" s="25" t="n">
        <f aca="false">IF(G1862="REJECT",COUNTIF($G$2:$G$2277,"&lt;&gt;REJECT")+1+COUNTIFS($G$2:$G$2277,"REJECT",$B$2:$B$2277,"&gt;"&amp;B1862),1+COUNTIFS($G$2:$G$2277,"&lt;&gt;REJECT",$B$2:$B$2277,"&gt;"&amp;B1862))</f>
        <v>1861</v>
      </c>
      <c r="B1862" s="26" t="n">
        <f aca="false">ROUND(($U$2*MAX(0,MIN(1,($W$2-I1862)/($W$2-$V$2)))+$U$3*MAX(0,MIN(1,($W$3-J1862)/($W$3-$V$3)))+$U$4*MAX(0,MIN(1,($W$4-K1862)/($W$4-$V$4)))+$U$5*MAX(0,MIN(1,($W$5-L1862)/($W$5-$V$5)))+$U$6*MAX(0,MIN(1,($W$6-M1862)/($W$6-$V$6)))+$U$7*MAX(0,MIN(1,($W$7-N1862)/($W$7-$V$7)))+$U$8*IF(AND(O1862&gt;=$V$8,O1862&lt;=$W$8),1,0))/$U$9*100,2)</f>
        <v>47.85</v>
      </c>
      <c r="C1862" s="27" t="s">
        <v>1867</v>
      </c>
      <c r="D1862" s="25" t="s">
        <v>134</v>
      </c>
      <c r="E1862" s="25" t="s">
        <v>3450</v>
      </c>
      <c r="F1862" s="25" t="s">
        <v>3448</v>
      </c>
      <c r="G1862" s="39" t="s">
        <v>32</v>
      </c>
      <c r="H1862" s="39" t="s">
        <v>26</v>
      </c>
      <c r="I1862" s="25" t="n">
        <v>12</v>
      </c>
      <c r="J1862" s="25" t="n">
        <v>0</v>
      </c>
      <c r="K1862" s="25" t="n">
        <v>12</v>
      </c>
      <c r="L1862" s="29" t="n">
        <v>0.79</v>
      </c>
      <c r="M1862" s="30" t="n">
        <v>6.48</v>
      </c>
      <c r="N1862" s="29" t="n">
        <v>0.28</v>
      </c>
      <c r="O1862" s="25" t="n">
        <v>184</v>
      </c>
      <c r="P1862" s="30" t="n">
        <v>2.56</v>
      </c>
      <c r="Q1862" s="27" t="s">
        <v>3911</v>
      </c>
      <c r="R1862" s="27" t="s">
        <v>3912</v>
      </c>
    </row>
    <row r="1863" customFormat="false" ht="15" hidden="false" customHeight="false" outlineLevel="0" collapsed="false">
      <c r="A1863" s="25" t="n">
        <f aca="false">IF(G1863="REJECT",COUNTIF($G$2:$G$2277,"&lt;&gt;REJECT")+1+COUNTIFS($G$2:$G$2277,"REJECT",$B$2:$B$2277,"&gt;"&amp;B1863),1+COUNTIFS($G$2:$G$2277,"&lt;&gt;REJECT",$B$2:$B$2277,"&gt;"&amp;B1863))</f>
        <v>1862</v>
      </c>
      <c r="B1863" s="26" t="n">
        <f aca="false">ROUND(($U$2*MAX(0,MIN(1,($W$2-I1863)/($W$2-$V$2)))+$U$3*MAX(0,MIN(1,($W$3-J1863)/($W$3-$V$3)))+$U$4*MAX(0,MIN(1,($W$4-K1863)/($W$4-$V$4)))+$U$5*MAX(0,MIN(1,($W$5-L1863)/($W$5-$V$5)))+$U$6*MAX(0,MIN(1,($W$6-M1863)/($W$6-$V$6)))+$U$7*MAX(0,MIN(1,($W$7-N1863)/($W$7-$V$7)))+$U$8*IF(AND(O1863&gt;=$V$8,O1863&lt;=$W$8),1,0))/$U$9*100,2)</f>
        <v>47.82</v>
      </c>
      <c r="C1863" s="27" t="s">
        <v>797</v>
      </c>
      <c r="D1863" s="25" t="s">
        <v>134</v>
      </c>
      <c r="E1863" s="25" t="s">
        <v>3450</v>
      </c>
      <c r="F1863" s="25" t="s">
        <v>3448</v>
      </c>
      <c r="G1863" s="39" t="s">
        <v>32</v>
      </c>
      <c r="H1863" s="39" t="s">
        <v>26</v>
      </c>
      <c r="I1863" s="25" t="n">
        <v>9</v>
      </c>
      <c r="J1863" s="25" t="n">
        <v>0</v>
      </c>
      <c r="K1863" s="25" t="n">
        <v>9</v>
      </c>
      <c r="L1863" s="29" t="n">
        <v>0.8</v>
      </c>
      <c r="M1863" s="30" t="n">
        <v>9.91</v>
      </c>
      <c r="N1863" s="29" t="n">
        <v>0.32</v>
      </c>
      <c r="O1863" s="25" t="n">
        <v>186</v>
      </c>
      <c r="P1863" s="30" t="n">
        <v>12.51</v>
      </c>
      <c r="Q1863" s="27" t="s">
        <v>3913</v>
      </c>
      <c r="R1863" s="27" t="s">
        <v>60</v>
      </c>
    </row>
    <row r="1864" customFormat="false" ht="15" hidden="false" customHeight="false" outlineLevel="0" collapsed="false">
      <c r="A1864" s="25" t="n">
        <f aca="false">IF(G1864="REJECT",COUNTIF($G$2:$G$2277,"&lt;&gt;REJECT")+1+COUNTIFS($G$2:$G$2277,"REJECT",$B$2:$B$2277,"&gt;"&amp;B1864),1+COUNTIFS($G$2:$G$2277,"&lt;&gt;REJECT",$B$2:$B$2277,"&gt;"&amp;B1864))</f>
        <v>1863</v>
      </c>
      <c r="B1864" s="26" t="n">
        <f aca="false">ROUND(($U$2*MAX(0,MIN(1,($W$2-I1864)/($W$2-$V$2)))+$U$3*MAX(0,MIN(1,($W$3-J1864)/($W$3-$V$3)))+$U$4*MAX(0,MIN(1,($W$4-K1864)/($W$4-$V$4)))+$U$5*MAX(0,MIN(1,($W$5-L1864)/($W$5-$V$5)))+$U$6*MAX(0,MIN(1,($W$6-M1864)/($W$6-$V$6)))+$U$7*MAX(0,MIN(1,($W$7-N1864)/($W$7-$V$7)))+$U$8*IF(AND(O1864&gt;=$V$8,O1864&lt;=$W$8),1,0))/$U$9*100,2)</f>
        <v>47.66</v>
      </c>
      <c r="C1864" s="27" t="s">
        <v>3406</v>
      </c>
      <c r="D1864" s="25" t="s">
        <v>134</v>
      </c>
      <c r="E1864" s="25" t="s">
        <v>3447</v>
      </c>
      <c r="F1864" s="25" t="s">
        <v>3448</v>
      </c>
      <c r="G1864" s="39" t="s">
        <v>32</v>
      </c>
      <c r="H1864" s="39" t="s">
        <v>26</v>
      </c>
      <c r="I1864" s="25" t="n">
        <v>11</v>
      </c>
      <c r="J1864" s="25" t="n">
        <v>0</v>
      </c>
      <c r="K1864" s="25" t="n">
        <v>11</v>
      </c>
      <c r="L1864" s="29" t="n">
        <v>0.77</v>
      </c>
      <c r="M1864" s="30" t="n">
        <v>1.67</v>
      </c>
      <c r="N1864" s="29" t="n">
        <v>0.16</v>
      </c>
      <c r="O1864" s="25" t="n">
        <v>182</v>
      </c>
      <c r="P1864" s="30" t="n">
        <v>8.68</v>
      </c>
      <c r="Q1864" s="27" t="s">
        <v>3914</v>
      </c>
      <c r="R1864" s="27" t="s">
        <v>60</v>
      </c>
    </row>
    <row r="1865" customFormat="false" ht="15" hidden="false" customHeight="false" outlineLevel="0" collapsed="false">
      <c r="A1865" s="25" t="n">
        <f aca="false">IF(G1865="REJECT",COUNTIF($G$2:$G$2277,"&lt;&gt;REJECT")+1+COUNTIFS($G$2:$G$2277,"REJECT",$B$2:$B$2277,"&gt;"&amp;B1865),1+COUNTIFS($G$2:$G$2277,"&lt;&gt;REJECT",$B$2:$B$2277,"&gt;"&amp;B1865))</f>
        <v>1864</v>
      </c>
      <c r="B1865" s="26" t="n">
        <f aca="false">ROUND(($U$2*MAX(0,MIN(1,($W$2-I1865)/($W$2-$V$2)))+$U$3*MAX(0,MIN(1,($W$3-J1865)/($W$3-$V$3)))+$U$4*MAX(0,MIN(1,($W$4-K1865)/($W$4-$V$4)))+$U$5*MAX(0,MIN(1,($W$5-L1865)/($W$5-$V$5)))+$U$6*MAX(0,MIN(1,($W$6-M1865)/($W$6-$V$6)))+$U$7*MAX(0,MIN(1,($W$7-N1865)/($W$7-$V$7)))+$U$8*IF(AND(O1865&gt;=$V$8,O1865&lt;=$W$8),1,0))/$U$9*100,2)</f>
        <v>47.37</v>
      </c>
      <c r="C1865" s="27" t="s">
        <v>2822</v>
      </c>
      <c r="D1865" s="25" t="s">
        <v>3459</v>
      </c>
      <c r="E1865" s="25" t="s">
        <v>3447</v>
      </c>
      <c r="F1865" s="25" t="s">
        <v>3448</v>
      </c>
      <c r="G1865" s="39" t="s">
        <v>32</v>
      </c>
      <c r="H1865" s="39" t="s">
        <v>26</v>
      </c>
      <c r="I1865" s="25" t="n">
        <v>9</v>
      </c>
      <c r="J1865" s="25" t="n">
        <v>0</v>
      </c>
      <c r="K1865" s="25" t="n">
        <v>7</v>
      </c>
      <c r="L1865" s="29" t="n">
        <v>0.82</v>
      </c>
      <c r="M1865" s="30" t="n">
        <v>17.86</v>
      </c>
      <c r="N1865" s="29" t="n">
        <v>0.92</v>
      </c>
      <c r="O1865" s="25" t="n">
        <v>187</v>
      </c>
      <c r="P1865" s="30" t="n">
        <v>1.94</v>
      </c>
      <c r="Q1865" s="27" t="s">
        <v>3915</v>
      </c>
      <c r="R1865" s="27" t="s">
        <v>60</v>
      </c>
    </row>
    <row r="1866" customFormat="false" ht="15" hidden="false" customHeight="false" outlineLevel="0" collapsed="false">
      <c r="A1866" s="25" t="n">
        <f aca="false">IF(G1866="REJECT",COUNTIF($G$2:$G$2277,"&lt;&gt;REJECT")+1+COUNTIFS($G$2:$G$2277,"REJECT",$B$2:$B$2277,"&gt;"&amp;B1866),1+COUNTIFS($G$2:$G$2277,"&lt;&gt;REJECT",$B$2:$B$2277,"&gt;"&amp;B1866))</f>
        <v>1865</v>
      </c>
      <c r="B1866" s="26" t="n">
        <f aca="false">ROUND(($U$2*MAX(0,MIN(1,($W$2-I1866)/($W$2-$V$2)))+$U$3*MAX(0,MIN(1,($W$3-J1866)/($W$3-$V$3)))+$U$4*MAX(0,MIN(1,($W$4-K1866)/($W$4-$V$4)))+$U$5*MAX(0,MIN(1,($W$5-L1866)/($W$5-$V$5)))+$U$6*MAX(0,MIN(1,($W$6-M1866)/($W$6-$V$6)))+$U$7*MAX(0,MIN(1,($W$7-N1866)/($W$7-$V$7)))+$U$8*IF(AND(O1866&gt;=$V$8,O1866&lt;=$W$8),1,0))/$U$9*100,2)</f>
        <v>47.29</v>
      </c>
      <c r="C1866" s="27" t="s">
        <v>797</v>
      </c>
      <c r="D1866" s="25" t="s">
        <v>134</v>
      </c>
      <c r="E1866" s="25" t="s">
        <v>3450</v>
      </c>
      <c r="F1866" s="25" t="s">
        <v>3457</v>
      </c>
      <c r="G1866" s="39" t="s">
        <v>32</v>
      </c>
      <c r="H1866" s="39" t="s">
        <v>26</v>
      </c>
      <c r="I1866" s="25" t="n">
        <v>8</v>
      </c>
      <c r="J1866" s="25" t="n">
        <v>0</v>
      </c>
      <c r="K1866" s="25" t="n">
        <v>8</v>
      </c>
      <c r="L1866" s="29" t="n">
        <v>0.8</v>
      </c>
      <c r="M1866" s="30" t="n">
        <v>11.08</v>
      </c>
      <c r="N1866" s="29" t="n">
        <v>0.52</v>
      </c>
      <c r="O1866" s="25" t="n">
        <v>187</v>
      </c>
      <c r="P1866" s="30" t="n">
        <v>15.32</v>
      </c>
      <c r="Q1866" s="27" t="s">
        <v>3916</v>
      </c>
      <c r="R1866" s="27" t="s">
        <v>60</v>
      </c>
    </row>
    <row r="1867" customFormat="false" ht="15" hidden="false" customHeight="false" outlineLevel="0" collapsed="false">
      <c r="A1867" s="25" t="n">
        <f aca="false">IF(G1867="REJECT",COUNTIF($G$2:$G$2277,"&lt;&gt;REJECT")+1+COUNTIFS($G$2:$G$2277,"REJECT",$B$2:$B$2277,"&gt;"&amp;B1867),1+COUNTIFS($G$2:$G$2277,"&lt;&gt;REJECT",$B$2:$B$2277,"&gt;"&amp;B1867))</f>
        <v>1866</v>
      </c>
      <c r="B1867" s="26" t="n">
        <f aca="false">ROUND(($U$2*MAX(0,MIN(1,($W$2-I1867)/($W$2-$V$2)))+$U$3*MAX(0,MIN(1,($W$3-J1867)/($W$3-$V$3)))+$U$4*MAX(0,MIN(1,($W$4-K1867)/($W$4-$V$4)))+$U$5*MAX(0,MIN(1,($W$5-L1867)/($W$5-$V$5)))+$U$6*MAX(0,MIN(1,($W$6-M1867)/($W$6-$V$6)))+$U$7*MAX(0,MIN(1,($W$7-N1867)/($W$7-$V$7)))+$U$8*IF(AND(O1867&gt;=$V$8,O1867&lt;=$W$8),1,0))/$U$9*100,2)</f>
        <v>47.2</v>
      </c>
      <c r="C1867" s="27" t="s">
        <v>983</v>
      </c>
      <c r="D1867" s="25" t="s">
        <v>134</v>
      </c>
      <c r="E1867" s="25" t="s">
        <v>3450</v>
      </c>
      <c r="F1867" s="25" t="s">
        <v>3457</v>
      </c>
      <c r="G1867" s="39" t="s">
        <v>32</v>
      </c>
      <c r="H1867" s="39" t="s">
        <v>26</v>
      </c>
      <c r="I1867" s="25" t="n">
        <v>11</v>
      </c>
      <c r="J1867" s="25" t="n">
        <v>0</v>
      </c>
      <c r="K1867" s="25" t="n">
        <v>11</v>
      </c>
      <c r="L1867" s="29" t="n">
        <v>0.81</v>
      </c>
      <c r="M1867" s="30" t="n">
        <v>15.61</v>
      </c>
      <c r="N1867" s="29" t="n">
        <v>0.12</v>
      </c>
      <c r="O1867" s="25" t="n">
        <v>185</v>
      </c>
      <c r="P1867" s="30" t="n">
        <v>23.55</v>
      </c>
      <c r="Q1867" s="27" t="s">
        <v>3917</v>
      </c>
      <c r="R1867" s="27" t="s">
        <v>60</v>
      </c>
    </row>
    <row r="1868" customFormat="false" ht="15" hidden="false" customHeight="false" outlineLevel="0" collapsed="false">
      <c r="A1868" s="25" t="n">
        <f aca="false">IF(G1868="REJECT",COUNTIF($G$2:$G$2277,"&lt;&gt;REJECT")+1+COUNTIFS($G$2:$G$2277,"REJECT",$B$2:$B$2277,"&gt;"&amp;B1868),1+COUNTIFS($G$2:$G$2277,"&lt;&gt;REJECT",$B$2:$B$2277,"&gt;"&amp;B1868))</f>
        <v>1867</v>
      </c>
      <c r="B1868" s="26" t="n">
        <f aca="false">ROUND(($U$2*MAX(0,MIN(1,($W$2-I1868)/($W$2-$V$2)))+$U$3*MAX(0,MIN(1,($W$3-J1868)/($W$3-$V$3)))+$U$4*MAX(0,MIN(1,($W$4-K1868)/($W$4-$V$4)))+$U$5*MAX(0,MIN(1,($W$5-L1868)/($W$5-$V$5)))+$U$6*MAX(0,MIN(1,($W$6-M1868)/($W$6-$V$6)))+$U$7*MAX(0,MIN(1,($W$7-N1868)/($W$7-$V$7)))+$U$8*IF(AND(O1868&gt;=$V$8,O1868&lt;=$W$8),1,0))/$U$9*100,2)</f>
        <v>47</v>
      </c>
      <c r="C1868" s="27" t="s">
        <v>3045</v>
      </c>
      <c r="D1868" s="25" t="s">
        <v>134</v>
      </c>
      <c r="E1868" s="25" t="s">
        <v>3447</v>
      </c>
      <c r="F1868" s="25" t="s">
        <v>3457</v>
      </c>
      <c r="G1868" s="39" t="s">
        <v>32</v>
      </c>
      <c r="H1868" s="39" t="s">
        <v>26</v>
      </c>
      <c r="I1868" s="25" t="n">
        <v>7</v>
      </c>
      <c r="J1868" s="25" t="n">
        <v>0</v>
      </c>
      <c r="K1868" s="25" t="n">
        <v>6</v>
      </c>
      <c r="L1868" s="29" t="n">
        <v>0.7</v>
      </c>
      <c r="M1868" s="30" t="n">
        <v>21.97</v>
      </c>
      <c r="N1868" s="29" t="n">
        <v>0.88</v>
      </c>
      <c r="O1868" s="25" t="n">
        <v>186</v>
      </c>
      <c r="P1868" s="30" t="n">
        <v>-0.64</v>
      </c>
      <c r="Q1868" s="27" t="s">
        <v>3918</v>
      </c>
      <c r="R1868" s="27" t="s">
        <v>3919</v>
      </c>
    </row>
    <row r="1869" customFormat="false" ht="15" hidden="false" customHeight="false" outlineLevel="0" collapsed="false">
      <c r="A1869" s="25" t="n">
        <f aca="false">IF(G1869="REJECT",COUNTIF($G$2:$G$2277,"&lt;&gt;REJECT")+1+COUNTIFS($G$2:$G$2277,"REJECT",$B$2:$B$2277,"&gt;"&amp;B1869),1+COUNTIFS($G$2:$G$2277,"&lt;&gt;REJECT",$B$2:$B$2277,"&gt;"&amp;B1869))</f>
        <v>1868</v>
      </c>
      <c r="B1869" s="26" t="n">
        <f aca="false">ROUND(($U$2*MAX(0,MIN(1,($W$2-I1869)/($W$2-$V$2)))+$U$3*MAX(0,MIN(1,($W$3-J1869)/($W$3-$V$3)))+$U$4*MAX(0,MIN(1,($W$4-K1869)/($W$4-$V$4)))+$U$5*MAX(0,MIN(1,($W$5-L1869)/($W$5-$V$5)))+$U$6*MAX(0,MIN(1,($W$6-M1869)/($W$6-$V$6)))+$U$7*MAX(0,MIN(1,($W$7-N1869)/($W$7-$V$7)))+$U$8*IF(AND(O1869&gt;=$V$8,O1869&lt;=$W$8),1,0))/$U$9*100,2)</f>
        <v>46.8</v>
      </c>
      <c r="C1869" s="27" t="s">
        <v>779</v>
      </c>
      <c r="D1869" s="25" t="s">
        <v>134</v>
      </c>
      <c r="E1869" s="25" t="s">
        <v>3447</v>
      </c>
      <c r="F1869" s="25" t="s">
        <v>3448</v>
      </c>
      <c r="G1869" s="39" t="s">
        <v>32</v>
      </c>
      <c r="H1869" s="39" t="s">
        <v>26</v>
      </c>
      <c r="I1869" s="25" t="n">
        <v>7</v>
      </c>
      <c r="J1869" s="25" t="n">
        <v>0</v>
      </c>
      <c r="K1869" s="25" t="n">
        <v>7</v>
      </c>
      <c r="L1869" s="29" t="n">
        <v>0.72</v>
      </c>
      <c r="M1869" s="30" t="n">
        <v>27.91</v>
      </c>
      <c r="N1869" s="29" t="n">
        <v>0</v>
      </c>
      <c r="O1869" s="25" t="n">
        <v>183</v>
      </c>
      <c r="P1869" s="30" t="n">
        <v>1.03</v>
      </c>
      <c r="Q1869" s="27" t="s">
        <v>3920</v>
      </c>
      <c r="R1869" s="27" t="s">
        <v>3919</v>
      </c>
    </row>
    <row r="1870" customFormat="false" ht="15" hidden="false" customHeight="false" outlineLevel="0" collapsed="false">
      <c r="A1870" s="25" t="n">
        <f aca="false">IF(G1870="REJECT",COUNTIF($G$2:$G$2277,"&lt;&gt;REJECT")+1+COUNTIFS($G$2:$G$2277,"REJECT",$B$2:$B$2277,"&gt;"&amp;B1870),1+COUNTIFS($G$2:$G$2277,"&lt;&gt;REJECT",$B$2:$B$2277,"&gt;"&amp;B1870))</f>
        <v>1868</v>
      </c>
      <c r="B1870" s="26" t="n">
        <f aca="false">ROUND(($U$2*MAX(0,MIN(1,($W$2-I1870)/($W$2-$V$2)))+$U$3*MAX(0,MIN(1,($W$3-J1870)/($W$3-$V$3)))+$U$4*MAX(0,MIN(1,($W$4-K1870)/($W$4-$V$4)))+$U$5*MAX(0,MIN(1,($W$5-L1870)/($W$5-$V$5)))+$U$6*MAX(0,MIN(1,($W$6-M1870)/($W$6-$V$6)))+$U$7*MAX(0,MIN(1,($W$7-N1870)/($W$7-$V$7)))+$U$8*IF(AND(O1870&gt;=$V$8,O1870&lt;=$W$8),1,0))/$U$9*100,2)</f>
        <v>46.8</v>
      </c>
      <c r="C1870" s="27" t="s">
        <v>1899</v>
      </c>
      <c r="D1870" s="25" t="s">
        <v>134</v>
      </c>
      <c r="E1870" s="25" t="s">
        <v>3447</v>
      </c>
      <c r="F1870" s="25" t="s">
        <v>3448</v>
      </c>
      <c r="G1870" s="39" t="s">
        <v>32</v>
      </c>
      <c r="H1870" s="39" t="s">
        <v>26</v>
      </c>
      <c r="I1870" s="25" t="n">
        <v>11</v>
      </c>
      <c r="J1870" s="25" t="n">
        <v>0</v>
      </c>
      <c r="K1870" s="25" t="n">
        <v>11</v>
      </c>
      <c r="L1870" s="29" t="n">
        <v>0.8</v>
      </c>
      <c r="M1870" s="30" t="n">
        <v>10.78</v>
      </c>
      <c r="N1870" s="29" t="n">
        <v>0.84</v>
      </c>
      <c r="O1870" s="25" t="n">
        <v>189</v>
      </c>
      <c r="P1870" s="30" t="n">
        <v>9.87</v>
      </c>
      <c r="Q1870" s="27" t="s">
        <v>3921</v>
      </c>
      <c r="R1870" s="27" t="s">
        <v>60</v>
      </c>
    </row>
    <row r="1871" customFormat="false" ht="15" hidden="false" customHeight="false" outlineLevel="0" collapsed="false">
      <c r="A1871" s="25" t="n">
        <f aca="false">IF(G1871="REJECT",COUNTIF($G$2:$G$2277,"&lt;&gt;REJECT")+1+COUNTIFS($G$2:$G$2277,"REJECT",$B$2:$B$2277,"&gt;"&amp;B1871),1+COUNTIFS($G$2:$G$2277,"&lt;&gt;REJECT",$B$2:$B$2277,"&gt;"&amp;B1871))</f>
        <v>1870</v>
      </c>
      <c r="B1871" s="26" t="n">
        <f aca="false">ROUND(($U$2*MAX(0,MIN(1,($W$2-I1871)/($W$2-$V$2)))+$U$3*MAX(0,MIN(1,($W$3-J1871)/($W$3-$V$3)))+$U$4*MAX(0,MIN(1,($W$4-K1871)/($W$4-$V$4)))+$U$5*MAX(0,MIN(1,($W$5-L1871)/($W$5-$V$5)))+$U$6*MAX(0,MIN(1,($W$6-M1871)/($W$6-$V$6)))+$U$7*MAX(0,MIN(1,($W$7-N1871)/($W$7-$V$7)))+$U$8*IF(AND(O1871&gt;=$V$8,O1871&lt;=$W$8),1,0))/$U$9*100,2)</f>
        <v>46.71</v>
      </c>
      <c r="C1871" s="27" t="s">
        <v>1842</v>
      </c>
      <c r="D1871" s="25" t="s">
        <v>134</v>
      </c>
      <c r="E1871" s="25" t="s">
        <v>3447</v>
      </c>
      <c r="F1871" s="25" t="s">
        <v>3457</v>
      </c>
      <c r="G1871" s="39" t="s">
        <v>32</v>
      </c>
      <c r="H1871" s="39" t="s">
        <v>26</v>
      </c>
      <c r="I1871" s="25" t="n">
        <v>8</v>
      </c>
      <c r="J1871" s="25" t="n">
        <v>0</v>
      </c>
      <c r="K1871" s="25" t="n">
        <v>8</v>
      </c>
      <c r="L1871" s="29" t="n">
        <v>0.77</v>
      </c>
      <c r="M1871" s="30" t="n">
        <v>4.15</v>
      </c>
      <c r="N1871" s="29" t="n">
        <v>0.48</v>
      </c>
      <c r="O1871" s="25" t="n">
        <v>210</v>
      </c>
      <c r="P1871" s="30" t="n">
        <v>5.63</v>
      </c>
      <c r="Q1871" s="27" t="s">
        <v>3922</v>
      </c>
      <c r="R1871" s="27" t="s">
        <v>60</v>
      </c>
    </row>
    <row r="1872" customFormat="false" ht="15" hidden="false" customHeight="false" outlineLevel="0" collapsed="false">
      <c r="A1872" s="25" t="n">
        <f aca="false">IF(G1872="REJECT",COUNTIF($G$2:$G$2277,"&lt;&gt;REJECT")+1+COUNTIFS($G$2:$G$2277,"REJECT",$B$2:$B$2277,"&gt;"&amp;B1872),1+COUNTIFS($G$2:$G$2277,"&lt;&gt;REJECT",$B$2:$B$2277,"&gt;"&amp;B1872))</f>
        <v>1871</v>
      </c>
      <c r="B1872" s="26" t="n">
        <f aca="false">ROUND(($U$2*MAX(0,MIN(1,($W$2-I1872)/($W$2-$V$2)))+$U$3*MAX(0,MIN(1,($W$3-J1872)/($W$3-$V$3)))+$U$4*MAX(0,MIN(1,($W$4-K1872)/($W$4-$V$4)))+$U$5*MAX(0,MIN(1,($W$5-L1872)/($W$5-$V$5)))+$U$6*MAX(0,MIN(1,($W$6-M1872)/($W$6-$V$6)))+$U$7*MAX(0,MIN(1,($W$7-N1872)/($W$7-$V$7)))+$U$8*IF(AND(O1872&gt;=$V$8,O1872&lt;=$W$8),1,0))/$U$9*100,2)</f>
        <v>46.54</v>
      </c>
      <c r="C1872" s="27" t="s">
        <v>1417</v>
      </c>
      <c r="D1872" s="25" t="s">
        <v>134</v>
      </c>
      <c r="E1872" s="25" t="s">
        <v>3447</v>
      </c>
      <c r="F1872" s="25" t="s">
        <v>3448</v>
      </c>
      <c r="G1872" s="39" t="s">
        <v>32</v>
      </c>
      <c r="H1872" s="39" t="s">
        <v>26</v>
      </c>
      <c r="I1872" s="25" t="n">
        <v>8</v>
      </c>
      <c r="J1872" s="25" t="n">
        <v>0</v>
      </c>
      <c r="K1872" s="25" t="n">
        <v>8</v>
      </c>
      <c r="L1872" s="29" t="n">
        <v>0.81</v>
      </c>
      <c r="M1872" s="30" t="n">
        <v>14.38</v>
      </c>
      <c r="N1872" s="29" t="n">
        <v>0.64</v>
      </c>
      <c r="O1872" s="25" t="n">
        <v>187</v>
      </c>
      <c r="P1872" s="30" t="n">
        <v>3.5</v>
      </c>
      <c r="Q1872" s="27" t="s">
        <v>3923</v>
      </c>
      <c r="R1872" s="27" t="s">
        <v>60</v>
      </c>
    </row>
    <row r="1873" customFormat="false" ht="15" hidden="false" customHeight="false" outlineLevel="0" collapsed="false">
      <c r="A1873" s="25" t="n">
        <f aca="false">IF(G1873="REJECT",COUNTIF($G$2:$G$2277,"&lt;&gt;REJECT")+1+COUNTIFS($G$2:$G$2277,"REJECT",$B$2:$B$2277,"&gt;"&amp;B1873),1+COUNTIFS($G$2:$G$2277,"&lt;&gt;REJECT",$B$2:$B$2277,"&gt;"&amp;B1873))</f>
        <v>1872</v>
      </c>
      <c r="B1873" s="26" t="n">
        <f aca="false">ROUND(($U$2*MAX(0,MIN(1,($W$2-I1873)/($W$2-$V$2)))+$U$3*MAX(0,MIN(1,($W$3-J1873)/($W$3-$V$3)))+$U$4*MAX(0,MIN(1,($W$4-K1873)/($W$4-$V$4)))+$U$5*MAX(0,MIN(1,($W$5-L1873)/($W$5-$V$5)))+$U$6*MAX(0,MIN(1,($W$6-M1873)/($W$6-$V$6)))+$U$7*MAX(0,MIN(1,($W$7-N1873)/($W$7-$V$7)))+$U$8*IF(AND(O1873&gt;=$V$8,O1873&lt;=$W$8),1,0))/$U$9*100,2)</f>
        <v>46.51</v>
      </c>
      <c r="C1873" s="27" t="s">
        <v>1614</v>
      </c>
      <c r="D1873" s="25" t="s">
        <v>3459</v>
      </c>
      <c r="E1873" s="25" t="s">
        <v>3447</v>
      </c>
      <c r="F1873" s="25" t="s">
        <v>3448</v>
      </c>
      <c r="G1873" s="39" t="s">
        <v>32</v>
      </c>
      <c r="H1873" s="39" t="s">
        <v>26</v>
      </c>
      <c r="I1873" s="25" t="n">
        <v>9</v>
      </c>
      <c r="J1873" s="25" t="n">
        <v>0</v>
      </c>
      <c r="K1873" s="25" t="n">
        <v>9</v>
      </c>
      <c r="L1873" s="29" t="n">
        <v>0.79</v>
      </c>
      <c r="M1873" s="30" t="n">
        <v>9.75</v>
      </c>
      <c r="N1873" s="29" t="n">
        <v>0.76</v>
      </c>
      <c r="O1873" s="25" t="n">
        <v>184</v>
      </c>
      <c r="P1873" s="30" t="n">
        <v>-1.16</v>
      </c>
      <c r="Q1873" s="27" t="s">
        <v>3924</v>
      </c>
      <c r="R1873" s="27" t="s">
        <v>60</v>
      </c>
    </row>
    <row r="1874" customFormat="false" ht="15" hidden="false" customHeight="false" outlineLevel="0" collapsed="false">
      <c r="A1874" s="25" t="n">
        <f aca="false">IF(G1874="REJECT",COUNTIF($G$2:$G$2277,"&lt;&gt;REJECT")+1+COUNTIFS($G$2:$G$2277,"REJECT",$B$2:$B$2277,"&gt;"&amp;B1874),1+COUNTIFS($G$2:$G$2277,"&lt;&gt;REJECT",$B$2:$B$2277,"&gt;"&amp;B1874))</f>
        <v>1873</v>
      </c>
      <c r="B1874" s="26" t="n">
        <f aca="false">ROUND(($U$2*MAX(0,MIN(1,($W$2-I1874)/($W$2-$V$2)))+$U$3*MAX(0,MIN(1,($W$3-J1874)/($W$3-$V$3)))+$U$4*MAX(0,MIN(1,($W$4-K1874)/($W$4-$V$4)))+$U$5*MAX(0,MIN(1,($W$5-L1874)/($W$5-$V$5)))+$U$6*MAX(0,MIN(1,($W$6-M1874)/($W$6-$V$6)))+$U$7*MAX(0,MIN(1,($W$7-N1874)/($W$7-$V$7)))+$U$8*IF(AND(O1874&gt;=$V$8,O1874&lt;=$W$8),1,0))/$U$9*100,2)</f>
        <v>46.46</v>
      </c>
      <c r="C1874" s="27" t="s">
        <v>1011</v>
      </c>
      <c r="D1874" s="25" t="s">
        <v>134</v>
      </c>
      <c r="E1874" s="25" t="s">
        <v>3447</v>
      </c>
      <c r="F1874" s="25" t="s">
        <v>3448</v>
      </c>
      <c r="G1874" s="39" t="s">
        <v>32</v>
      </c>
      <c r="H1874" s="39" t="s">
        <v>26</v>
      </c>
      <c r="I1874" s="25" t="n">
        <v>11</v>
      </c>
      <c r="J1874" s="25" t="n">
        <v>0</v>
      </c>
      <c r="K1874" s="25" t="n">
        <v>11</v>
      </c>
      <c r="L1874" s="29" t="n">
        <v>0.79</v>
      </c>
      <c r="M1874" s="30" t="n">
        <v>14.45</v>
      </c>
      <c r="N1874" s="29" t="n">
        <v>0.32</v>
      </c>
      <c r="O1874" s="25" t="n">
        <v>185</v>
      </c>
      <c r="P1874" s="30" t="n">
        <v>5.81</v>
      </c>
      <c r="Q1874" s="27" t="s">
        <v>3925</v>
      </c>
      <c r="R1874" s="27" t="s">
        <v>3885</v>
      </c>
    </row>
    <row r="1875" customFormat="false" ht="15" hidden="false" customHeight="false" outlineLevel="0" collapsed="false">
      <c r="A1875" s="25" t="n">
        <f aca="false">IF(G1875="REJECT",COUNTIF($G$2:$G$2277,"&lt;&gt;REJECT")+1+COUNTIFS($G$2:$G$2277,"REJECT",$B$2:$B$2277,"&gt;"&amp;B1875),1+COUNTIFS($G$2:$G$2277,"&lt;&gt;REJECT",$B$2:$B$2277,"&gt;"&amp;B1875))</f>
        <v>1874</v>
      </c>
      <c r="B1875" s="26" t="n">
        <f aca="false">ROUND(($U$2*MAX(0,MIN(1,($W$2-I1875)/($W$2-$V$2)))+$U$3*MAX(0,MIN(1,($W$3-J1875)/($W$3-$V$3)))+$U$4*MAX(0,MIN(1,($W$4-K1875)/($W$4-$V$4)))+$U$5*MAX(0,MIN(1,($W$5-L1875)/($W$5-$V$5)))+$U$6*MAX(0,MIN(1,($W$6-M1875)/($W$6-$V$6)))+$U$7*MAX(0,MIN(1,($W$7-N1875)/($W$7-$V$7)))+$U$8*IF(AND(O1875&gt;=$V$8,O1875&lt;=$W$8),1,0))/$U$9*100,2)</f>
        <v>46.42</v>
      </c>
      <c r="C1875" s="27" t="s">
        <v>2660</v>
      </c>
      <c r="D1875" s="25" t="s">
        <v>134</v>
      </c>
      <c r="E1875" s="25" t="s">
        <v>3447</v>
      </c>
      <c r="F1875" s="25" t="s">
        <v>3457</v>
      </c>
      <c r="G1875" s="39" t="s">
        <v>32</v>
      </c>
      <c r="H1875" s="39" t="s">
        <v>26</v>
      </c>
      <c r="I1875" s="25" t="n">
        <v>10</v>
      </c>
      <c r="J1875" s="25" t="n">
        <v>0</v>
      </c>
      <c r="K1875" s="25" t="n">
        <v>10</v>
      </c>
      <c r="L1875" s="29" t="n">
        <v>0.86</v>
      </c>
      <c r="M1875" s="30" t="n">
        <v>14.66</v>
      </c>
      <c r="N1875" s="29" t="n">
        <v>0.68</v>
      </c>
      <c r="O1875" s="25" t="n">
        <v>184</v>
      </c>
      <c r="P1875" s="30" t="n">
        <v>-0.87</v>
      </c>
      <c r="Q1875" s="27" t="s">
        <v>3926</v>
      </c>
      <c r="R1875" s="27" t="s">
        <v>60</v>
      </c>
    </row>
    <row r="1876" customFormat="false" ht="15" hidden="false" customHeight="false" outlineLevel="0" collapsed="false">
      <c r="A1876" s="25" t="n">
        <f aca="false">IF(G1876="REJECT",COUNTIF($G$2:$G$2277,"&lt;&gt;REJECT")+1+COUNTIFS($G$2:$G$2277,"REJECT",$B$2:$B$2277,"&gt;"&amp;B1876),1+COUNTIFS($G$2:$G$2277,"&lt;&gt;REJECT",$B$2:$B$2277,"&gt;"&amp;B1876))</f>
        <v>1875</v>
      </c>
      <c r="B1876" s="26" t="n">
        <f aca="false">ROUND(($U$2*MAX(0,MIN(1,($W$2-I1876)/($W$2-$V$2)))+$U$3*MAX(0,MIN(1,($W$3-J1876)/($W$3-$V$3)))+$U$4*MAX(0,MIN(1,($W$4-K1876)/($W$4-$V$4)))+$U$5*MAX(0,MIN(1,($W$5-L1876)/($W$5-$V$5)))+$U$6*MAX(0,MIN(1,($W$6-M1876)/($W$6-$V$6)))+$U$7*MAX(0,MIN(1,($W$7-N1876)/($W$7-$V$7)))+$U$8*IF(AND(O1876&gt;=$V$8,O1876&lt;=$W$8),1,0))/$U$9*100,2)</f>
        <v>46.4</v>
      </c>
      <c r="C1876" s="27" t="s">
        <v>785</v>
      </c>
      <c r="D1876" s="25" t="s">
        <v>134</v>
      </c>
      <c r="E1876" s="25" t="s">
        <v>3447</v>
      </c>
      <c r="F1876" s="25" t="s">
        <v>3457</v>
      </c>
      <c r="G1876" s="39" t="s">
        <v>32</v>
      </c>
      <c r="H1876" s="39" t="s">
        <v>26</v>
      </c>
      <c r="I1876" s="25" t="n">
        <v>7</v>
      </c>
      <c r="J1876" s="25" t="n">
        <v>0</v>
      </c>
      <c r="K1876" s="25" t="n">
        <v>7</v>
      </c>
      <c r="L1876" s="29" t="n">
        <v>0.68</v>
      </c>
      <c r="M1876" s="30" t="n">
        <v>11.12</v>
      </c>
      <c r="N1876" s="29" t="n">
        <v>0.48</v>
      </c>
      <c r="O1876" s="25" t="n">
        <v>189</v>
      </c>
      <c r="P1876" s="30" t="n">
        <v>3.37</v>
      </c>
      <c r="Q1876" s="27" t="s">
        <v>3927</v>
      </c>
      <c r="R1876" s="27" t="s">
        <v>60</v>
      </c>
    </row>
    <row r="1877" customFormat="false" ht="15" hidden="false" customHeight="false" outlineLevel="0" collapsed="false">
      <c r="A1877" s="25" t="n">
        <f aca="false">IF(G1877="REJECT",COUNTIF($G$2:$G$2277,"&lt;&gt;REJECT")+1+COUNTIFS($G$2:$G$2277,"REJECT",$B$2:$B$2277,"&gt;"&amp;B1877),1+COUNTIFS($G$2:$G$2277,"&lt;&gt;REJECT",$B$2:$B$2277,"&gt;"&amp;B1877))</f>
        <v>1876</v>
      </c>
      <c r="B1877" s="26" t="n">
        <f aca="false">ROUND(($U$2*MAX(0,MIN(1,($W$2-I1877)/($W$2-$V$2)))+$U$3*MAX(0,MIN(1,($W$3-J1877)/($W$3-$V$3)))+$U$4*MAX(0,MIN(1,($W$4-K1877)/($W$4-$V$4)))+$U$5*MAX(0,MIN(1,($W$5-L1877)/($W$5-$V$5)))+$U$6*MAX(0,MIN(1,($W$6-M1877)/($W$6-$V$6)))+$U$7*MAX(0,MIN(1,($W$7-N1877)/($W$7-$V$7)))+$U$8*IF(AND(O1877&gt;=$V$8,O1877&lt;=$W$8),1,0))/$U$9*100,2)</f>
        <v>46.38</v>
      </c>
      <c r="C1877" s="27" t="s">
        <v>409</v>
      </c>
      <c r="D1877" s="25" t="s">
        <v>134</v>
      </c>
      <c r="E1877" s="25" t="s">
        <v>3447</v>
      </c>
      <c r="F1877" s="25" t="s">
        <v>3448</v>
      </c>
      <c r="G1877" s="39" t="s">
        <v>32</v>
      </c>
      <c r="H1877" s="39" t="s">
        <v>26</v>
      </c>
      <c r="I1877" s="25" t="n">
        <v>8</v>
      </c>
      <c r="J1877" s="25" t="n">
        <v>0</v>
      </c>
      <c r="K1877" s="25" t="n">
        <v>8</v>
      </c>
      <c r="L1877" s="29" t="n">
        <v>0.78</v>
      </c>
      <c r="M1877" s="30" t="n">
        <v>10.95</v>
      </c>
      <c r="N1877" s="29" t="n">
        <v>0.36</v>
      </c>
      <c r="O1877" s="25" t="n">
        <v>188</v>
      </c>
      <c r="P1877" s="30" t="n">
        <v>-0.99</v>
      </c>
      <c r="Q1877" s="27" t="s">
        <v>3928</v>
      </c>
      <c r="R1877" s="27" t="s">
        <v>3879</v>
      </c>
    </row>
    <row r="1878" customFormat="false" ht="15" hidden="false" customHeight="false" outlineLevel="0" collapsed="false">
      <c r="A1878" s="25" t="n">
        <f aca="false">IF(G1878="REJECT",COUNTIF($G$2:$G$2277,"&lt;&gt;REJECT")+1+COUNTIFS($G$2:$G$2277,"REJECT",$B$2:$B$2277,"&gt;"&amp;B1878),1+COUNTIFS($G$2:$G$2277,"&lt;&gt;REJECT",$B$2:$B$2277,"&gt;"&amp;B1878))</f>
        <v>1877</v>
      </c>
      <c r="B1878" s="26" t="n">
        <f aca="false">ROUND(($U$2*MAX(0,MIN(1,($W$2-I1878)/($W$2-$V$2)))+$U$3*MAX(0,MIN(1,($W$3-J1878)/($W$3-$V$3)))+$U$4*MAX(0,MIN(1,($W$4-K1878)/($W$4-$V$4)))+$U$5*MAX(0,MIN(1,($W$5-L1878)/($W$5-$V$5)))+$U$6*MAX(0,MIN(1,($W$6-M1878)/($W$6-$V$6)))+$U$7*MAX(0,MIN(1,($W$7-N1878)/($W$7-$V$7)))+$U$8*IF(AND(O1878&gt;=$V$8,O1878&lt;=$W$8),1,0))/$U$9*100,2)</f>
        <v>46.33</v>
      </c>
      <c r="C1878" s="27" t="s">
        <v>2678</v>
      </c>
      <c r="D1878" s="25" t="s">
        <v>134</v>
      </c>
      <c r="E1878" s="25" t="s">
        <v>3450</v>
      </c>
      <c r="F1878" s="25" t="s">
        <v>3448</v>
      </c>
      <c r="G1878" s="39" t="s">
        <v>32</v>
      </c>
      <c r="H1878" s="39" t="s">
        <v>26</v>
      </c>
      <c r="I1878" s="25" t="n">
        <v>12</v>
      </c>
      <c r="J1878" s="25" t="n">
        <v>0</v>
      </c>
      <c r="K1878" s="25" t="n">
        <v>12</v>
      </c>
      <c r="L1878" s="29" t="n">
        <v>0.78</v>
      </c>
      <c r="M1878" s="30" t="n">
        <v>11.21</v>
      </c>
      <c r="N1878" s="29" t="n">
        <v>0.36</v>
      </c>
      <c r="O1878" s="25" t="n">
        <v>184</v>
      </c>
      <c r="P1878" s="30" t="n">
        <v>2.12</v>
      </c>
      <c r="Q1878" s="27" t="s">
        <v>3929</v>
      </c>
      <c r="R1878" s="27" t="s">
        <v>3912</v>
      </c>
    </row>
    <row r="1879" customFormat="false" ht="15" hidden="false" customHeight="false" outlineLevel="0" collapsed="false">
      <c r="A1879" s="25" t="n">
        <f aca="false">IF(G1879="REJECT",COUNTIF($G$2:$G$2277,"&lt;&gt;REJECT")+1+COUNTIFS($G$2:$G$2277,"REJECT",$B$2:$B$2277,"&gt;"&amp;B1879),1+COUNTIFS($G$2:$G$2277,"&lt;&gt;REJECT",$B$2:$B$2277,"&gt;"&amp;B1879))</f>
        <v>1878</v>
      </c>
      <c r="B1879" s="26" t="n">
        <f aca="false">ROUND(($U$2*MAX(0,MIN(1,($W$2-I1879)/($W$2-$V$2)))+$U$3*MAX(0,MIN(1,($W$3-J1879)/($W$3-$V$3)))+$U$4*MAX(0,MIN(1,($W$4-K1879)/($W$4-$V$4)))+$U$5*MAX(0,MIN(1,($W$5-L1879)/($W$5-$V$5)))+$U$6*MAX(0,MIN(1,($W$6-M1879)/($W$6-$V$6)))+$U$7*MAX(0,MIN(1,($W$7-N1879)/($W$7-$V$7)))+$U$8*IF(AND(O1879&gt;=$V$8,O1879&lt;=$W$8),1,0))/$U$9*100,2)</f>
        <v>46.27</v>
      </c>
      <c r="C1879" s="27" t="s">
        <v>977</v>
      </c>
      <c r="D1879" s="25" t="s">
        <v>3459</v>
      </c>
      <c r="E1879" s="25" t="s">
        <v>3447</v>
      </c>
      <c r="F1879" s="25" t="s">
        <v>3448</v>
      </c>
      <c r="G1879" s="39" t="s">
        <v>32</v>
      </c>
      <c r="H1879" s="39" t="s">
        <v>26</v>
      </c>
      <c r="I1879" s="25" t="n">
        <v>9</v>
      </c>
      <c r="J1879" s="25" t="n">
        <v>0</v>
      </c>
      <c r="K1879" s="25" t="n">
        <v>9</v>
      </c>
      <c r="L1879" s="29" t="n">
        <v>0.78</v>
      </c>
      <c r="M1879" s="30" t="n">
        <v>12.76</v>
      </c>
      <c r="N1879" s="29" t="n">
        <v>0.24</v>
      </c>
      <c r="O1879" s="25" t="n">
        <v>183</v>
      </c>
      <c r="P1879" s="30" t="n">
        <v>3.85</v>
      </c>
      <c r="Q1879" s="27" t="s">
        <v>3930</v>
      </c>
      <c r="R1879" s="27" t="s">
        <v>60</v>
      </c>
    </row>
    <row r="1880" customFormat="false" ht="15" hidden="false" customHeight="false" outlineLevel="0" collapsed="false">
      <c r="A1880" s="25" t="n">
        <f aca="false">IF(G1880="REJECT",COUNTIF($G$2:$G$2277,"&lt;&gt;REJECT")+1+COUNTIFS($G$2:$G$2277,"REJECT",$B$2:$B$2277,"&gt;"&amp;B1880),1+COUNTIFS($G$2:$G$2277,"&lt;&gt;REJECT",$B$2:$B$2277,"&gt;"&amp;B1880))</f>
        <v>1879</v>
      </c>
      <c r="B1880" s="26" t="n">
        <f aca="false">ROUND(($U$2*MAX(0,MIN(1,($W$2-I1880)/($W$2-$V$2)))+$U$3*MAX(0,MIN(1,($W$3-J1880)/($W$3-$V$3)))+$U$4*MAX(0,MIN(1,($W$4-K1880)/($W$4-$V$4)))+$U$5*MAX(0,MIN(1,($W$5-L1880)/($W$5-$V$5)))+$U$6*MAX(0,MIN(1,($W$6-M1880)/($W$6-$V$6)))+$U$7*MAX(0,MIN(1,($W$7-N1880)/($W$7-$V$7)))+$U$8*IF(AND(O1880&gt;=$V$8,O1880&lt;=$W$8),1,0))/$U$9*100,2)</f>
        <v>46.21</v>
      </c>
      <c r="C1880" s="27" t="s">
        <v>227</v>
      </c>
      <c r="D1880" s="25" t="s">
        <v>134</v>
      </c>
      <c r="E1880" s="25" t="s">
        <v>3447</v>
      </c>
      <c r="F1880" s="25" t="s">
        <v>3448</v>
      </c>
      <c r="G1880" s="39" t="s">
        <v>32</v>
      </c>
      <c r="H1880" s="39" t="s">
        <v>26</v>
      </c>
      <c r="I1880" s="25" t="n">
        <v>11</v>
      </c>
      <c r="J1880" s="25" t="n">
        <v>0</v>
      </c>
      <c r="K1880" s="25" t="n">
        <v>11</v>
      </c>
      <c r="L1880" s="29" t="n">
        <v>0.79</v>
      </c>
      <c r="M1880" s="30" t="n">
        <v>13.17</v>
      </c>
      <c r="N1880" s="29" t="n">
        <v>0.6</v>
      </c>
      <c r="O1880" s="25" t="n">
        <v>183</v>
      </c>
      <c r="P1880" s="30" t="n">
        <v>6.02</v>
      </c>
      <c r="Q1880" s="27" t="s">
        <v>3925</v>
      </c>
      <c r="R1880" s="27" t="s">
        <v>3885</v>
      </c>
    </row>
    <row r="1881" customFormat="false" ht="15" hidden="false" customHeight="false" outlineLevel="0" collapsed="false">
      <c r="A1881" s="25" t="n">
        <f aca="false">IF(G1881="REJECT",COUNTIF($G$2:$G$2277,"&lt;&gt;REJECT")+1+COUNTIFS($G$2:$G$2277,"REJECT",$B$2:$B$2277,"&gt;"&amp;B1881),1+COUNTIFS($G$2:$G$2277,"&lt;&gt;REJECT",$B$2:$B$2277,"&gt;"&amp;B1881))</f>
        <v>1880</v>
      </c>
      <c r="B1881" s="26" t="n">
        <f aca="false">ROUND(($U$2*MAX(0,MIN(1,($W$2-I1881)/($W$2-$V$2)))+$U$3*MAX(0,MIN(1,($W$3-J1881)/($W$3-$V$3)))+$U$4*MAX(0,MIN(1,($W$4-K1881)/($W$4-$V$4)))+$U$5*MAX(0,MIN(1,($W$5-L1881)/($W$5-$V$5)))+$U$6*MAX(0,MIN(1,($W$6-M1881)/($W$6-$V$6)))+$U$7*MAX(0,MIN(1,($W$7-N1881)/($W$7-$V$7)))+$U$8*IF(AND(O1881&gt;=$V$8,O1881&lt;=$W$8),1,0))/$U$9*100,2)</f>
        <v>46.15</v>
      </c>
      <c r="C1881" s="27" t="s">
        <v>1079</v>
      </c>
      <c r="D1881" s="25" t="s">
        <v>134</v>
      </c>
      <c r="E1881" s="25" t="s">
        <v>3447</v>
      </c>
      <c r="F1881" s="25" t="s">
        <v>3448</v>
      </c>
      <c r="G1881" s="39" t="s">
        <v>32</v>
      </c>
      <c r="H1881" s="39" t="s">
        <v>26</v>
      </c>
      <c r="I1881" s="25" t="n">
        <v>10</v>
      </c>
      <c r="J1881" s="25" t="n">
        <v>0</v>
      </c>
      <c r="K1881" s="25" t="n">
        <v>8</v>
      </c>
      <c r="L1881" s="29" t="n">
        <v>0.77</v>
      </c>
      <c r="M1881" s="30" t="n">
        <v>8.71</v>
      </c>
      <c r="N1881" s="29" t="n">
        <v>0.36</v>
      </c>
      <c r="O1881" s="25" t="n">
        <v>195</v>
      </c>
      <c r="P1881" s="30" t="n">
        <v>1.89</v>
      </c>
      <c r="Q1881" s="27" t="s">
        <v>3931</v>
      </c>
      <c r="R1881" s="27" t="s">
        <v>60</v>
      </c>
    </row>
    <row r="1882" customFormat="false" ht="15" hidden="false" customHeight="false" outlineLevel="0" collapsed="false">
      <c r="A1882" s="25" t="n">
        <f aca="false">IF(G1882="REJECT",COUNTIF($G$2:$G$2277,"&lt;&gt;REJECT")+1+COUNTIFS($G$2:$G$2277,"REJECT",$B$2:$B$2277,"&gt;"&amp;B1882),1+COUNTIFS($G$2:$G$2277,"&lt;&gt;REJECT",$B$2:$B$2277,"&gt;"&amp;B1882))</f>
        <v>1881</v>
      </c>
      <c r="B1882" s="26" t="n">
        <f aca="false">ROUND(($U$2*MAX(0,MIN(1,($W$2-I1882)/($W$2-$V$2)))+$U$3*MAX(0,MIN(1,($W$3-J1882)/($W$3-$V$3)))+$U$4*MAX(0,MIN(1,($W$4-K1882)/($W$4-$V$4)))+$U$5*MAX(0,MIN(1,($W$5-L1882)/($W$5-$V$5)))+$U$6*MAX(0,MIN(1,($W$6-M1882)/($W$6-$V$6)))+$U$7*MAX(0,MIN(1,($W$7-N1882)/($W$7-$V$7)))+$U$8*IF(AND(O1882&gt;=$V$8,O1882&lt;=$W$8),1,0))/$U$9*100,2)</f>
        <v>46.12</v>
      </c>
      <c r="C1882" s="27" t="s">
        <v>2049</v>
      </c>
      <c r="D1882" s="25" t="s">
        <v>134</v>
      </c>
      <c r="E1882" s="25" t="s">
        <v>3447</v>
      </c>
      <c r="F1882" s="25" t="s">
        <v>3448</v>
      </c>
      <c r="G1882" s="39" t="s">
        <v>32</v>
      </c>
      <c r="H1882" s="39" t="s">
        <v>26</v>
      </c>
      <c r="I1882" s="25" t="n">
        <v>9</v>
      </c>
      <c r="J1882" s="25" t="n">
        <v>0</v>
      </c>
      <c r="K1882" s="25" t="n">
        <v>9</v>
      </c>
      <c r="L1882" s="29" t="n">
        <v>0.78</v>
      </c>
      <c r="M1882" s="30" t="n">
        <v>12.5</v>
      </c>
      <c r="N1882" s="29" t="n">
        <v>0.36</v>
      </c>
      <c r="O1882" s="25" t="n">
        <v>186</v>
      </c>
      <c r="P1882" s="30" t="n">
        <v>1.5</v>
      </c>
      <c r="Q1882" s="27" t="s">
        <v>3932</v>
      </c>
      <c r="R1882" s="27" t="s">
        <v>3885</v>
      </c>
    </row>
    <row r="1883" customFormat="false" ht="15" hidden="false" customHeight="false" outlineLevel="0" collapsed="false">
      <c r="A1883" s="25" t="n">
        <f aca="false">IF(G1883="REJECT",COUNTIF($G$2:$G$2277,"&lt;&gt;REJECT")+1+COUNTIFS($G$2:$G$2277,"REJECT",$B$2:$B$2277,"&gt;"&amp;B1883),1+COUNTIFS($G$2:$G$2277,"&lt;&gt;REJECT",$B$2:$B$2277,"&gt;"&amp;B1883))</f>
        <v>1882</v>
      </c>
      <c r="B1883" s="26" t="n">
        <f aca="false">ROUND(($U$2*MAX(0,MIN(1,($W$2-I1883)/($W$2-$V$2)))+$U$3*MAX(0,MIN(1,($W$3-J1883)/($W$3-$V$3)))+$U$4*MAX(0,MIN(1,($W$4-K1883)/($W$4-$V$4)))+$U$5*MAX(0,MIN(1,($W$5-L1883)/($W$5-$V$5)))+$U$6*MAX(0,MIN(1,($W$6-M1883)/($W$6-$V$6)))+$U$7*MAX(0,MIN(1,($W$7-N1883)/($W$7-$V$7)))+$U$8*IF(AND(O1883&gt;=$V$8,O1883&lt;=$W$8),1,0))/$U$9*100,2)</f>
        <v>45.95</v>
      </c>
      <c r="C1883" s="27" t="s">
        <v>2903</v>
      </c>
      <c r="D1883" s="25" t="s">
        <v>134</v>
      </c>
      <c r="E1883" s="25" t="s">
        <v>3447</v>
      </c>
      <c r="F1883" s="25" t="s">
        <v>3448</v>
      </c>
      <c r="G1883" s="39" t="s">
        <v>32</v>
      </c>
      <c r="H1883" s="39" t="s">
        <v>26</v>
      </c>
      <c r="I1883" s="25" t="n">
        <v>7</v>
      </c>
      <c r="J1883" s="25" t="n">
        <v>0</v>
      </c>
      <c r="K1883" s="25" t="n">
        <v>7</v>
      </c>
      <c r="L1883" s="29" t="n">
        <v>0.68</v>
      </c>
      <c r="M1883" s="30" t="n">
        <v>16.19</v>
      </c>
      <c r="N1883" s="29" t="n">
        <v>0.24</v>
      </c>
      <c r="O1883" s="25" t="n">
        <v>183</v>
      </c>
      <c r="P1883" s="30" t="n">
        <v>1.69</v>
      </c>
      <c r="Q1883" s="27" t="s">
        <v>3933</v>
      </c>
      <c r="R1883" s="27" t="s">
        <v>60</v>
      </c>
    </row>
    <row r="1884" customFormat="false" ht="15" hidden="false" customHeight="false" outlineLevel="0" collapsed="false">
      <c r="A1884" s="25" t="n">
        <f aca="false">IF(G1884="REJECT",COUNTIF($G$2:$G$2277,"&lt;&gt;REJECT")+1+COUNTIFS($G$2:$G$2277,"REJECT",$B$2:$B$2277,"&gt;"&amp;B1884),1+COUNTIFS($G$2:$G$2277,"&lt;&gt;REJECT",$B$2:$B$2277,"&gt;"&amp;B1884))</f>
        <v>1883</v>
      </c>
      <c r="B1884" s="26" t="n">
        <f aca="false">ROUND(($U$2*MAX(0,MIN(1,($W$2-I1884)/($W$2-$V$2)))+$U$3*MAX(0,MIN(1,($W$3-J1884)/($W$3-$V$3)))+$U$4*MAX(0,MIN(1,($W$4-K1884)/($W$4-$V$4)))+$U$5*MAX(0,MIN(1,($W$5-L1884)/($W$5-$V$5)))+$U$6*MAX(0,MIN(1,($W$6-M1884)/($W$6-$V$6)))+$U$7*MAX(0,MIN(1,($W$7-N1884)/($W$7-$V$7)))+$U$8*IF(AND(O1884&gt;=$V$8,O1884&lt;=$W$8),1,0))/$U$9*100,2)</f>
        <v>45.77</v>
      </c>
      <c r="C1884" s="27" t="s">
        <v>1016</v>
      </c>
      <c r="D1884" s="25" t="s">
        <v>134</v>
      </c>
      <c r="E1884" s="25" t="s">
        <v>3447</v>
      </c>
      <c r="F1884" s="25" t="s">
        <v>3448</v>
      </c>
      <c r="G1884" s="39" t="s">
        <v>32</v>
      </c>
      <c r="H1884" s="39" t="s">
        <v>26</v>
      </c>
      <c r="I1884" s="25" t="n">
        <v>8</v>
      </c>
      <c r="J1884" s="25" t="n">
        <v>0</v>
      </c>
      <c r="K1884" s="25" t="n">
        <v>8</v>
      </c>
      <c r="L1884" s="29" t="n">
        <v>0.77</v>
      </c>
      <c r="M1884" s="30" t="n">
        <v>14.56</v>
      </c>
      <c r="N1884" s="29" t="n">
        <v>0</v>
      </c>
      <c r="O1884" s="25" t="n">
        <v>185</v>
      </c>
      <c r="P1884" s="30" t="n">
        <v>0.43</v>
      </c>
      <c r="Q1884" s="27" t="s">
        <v>3934</v>
      </c>
      <c r="R1884" s="27" t="s">
        <v>60</v>
      </c>
    </row>
    <row r="1885" customFormat="false" ht="15" hidden="false" customHeight="false" outlineLevel="0" collapsed="false">
      <c r="A1885" s="25" t="n">
        <f aca="false">IF(G1885="REJECT",COUNTIF($G$2:$G$2277,"&lt;&gt;REJECT")+1+COUNTIFS($G$2:$G$2277,"REJECT",$B$2:$B$2277,"&gt;"&amp;B1885),1+COUNTIFS($G$2:$G$2277,"&lt;&gt;REJECT",$B$2:$B$2277,"&gt;"&amp;B1885))</f>
        <v>1884</v>
      </c>
      <c r="B1885" s="26" t="n">
        <f aca="false">ROUND(($U$2*MAX(0,MIN(1,($W$2-I1885)/($W$2-$V$2)))+$U$3*MAX(0,MIN(1,($W$3-J1885)/($W$3-$V$3)))+$U$4*MAX(0,MIN(1,($W$4-K1885)/($W$4-$V$4)))+$U$5*MAX(0,MIN(1,($W$5-L1885)/($W$5-$V$5)))+$U$6*MAX(0,MIN(1,($W$6-M1885)/($W$6-$V$6)))+$U$7*MAX(0,MIN(1,($W$7-N1885)/($W$7-$V$7)))+$U$8*IF(AND(O1885&gt;=$V$8,O1885&lt;=$W$8),1,0))/$U$9*100,2)</f>
        <v>45.74</v>
      </c>
      <c r="C1885" s="27" t="s">
        <v>3338</v>
      </c>
      <c r="D1885" s="25" t="s">
        <v>134</v>
      </c>
      <c r="E1885" s="25" t="s">
        <v>3450</v>
      </c>
      <c r="F1885" s="25" t="s">
        <v>3448</v>
      </c>
      <c r="G1885" s="39" t="s">
        <v>32</v>
      </c>
      <c r="H1885" s="39" t="s">
        <v>26</v>
      </c>
      <c r="I1885" s="25" t="n">
        <v>7</v>
      </c>
      <c r="J1885" s="25" t="n">
        <v>0</v>
      </c>
      <c r="K1885" s="25" t="n">
        <v>7</v>
      </c>
      <c r="L1885" s="29" t="n">
        <v>0.72</v>
      </c>
      <c r="M1885" s="30" t="n">
        <v>29.07</v>
      </c>
      <c r="N1885" s="29" t="n">
        <v>0.52</v>
      </c>
      <c r="O1885" s="25" t="n">
        <v>185</v>
      </c>
      <c r="P1885" s="30" t="n">
        <v>2.42</v>
      </c>
      <c r="Q1885" s="27" t="s">
        <v>3935</v>
      </c>
      <c r="R1885" s="27" t="s">
        <v>3936</v>
      </c>
    </row>
    <row r="1886" customFormat="false" ht="15" hidden="false" customHeight="false" outlineLevel="0" collapsed="false">
      <c r="A1886" s="25" t="n">
        <f aca="false">IF(G1886="REJECT",COUNTIF($G$2:$G$2277,"&lt;&gt;REJECT")+1+COUNTIFS($G$2:$G$2277,"REJECT",$B$2:$B$2277,"&gt;"&amp;B1886),1+COUNTIFS($G$2:$G$2277,"&lt;&gt;REJECT",$B$2:$B$2277,"&gt;"&amp;B1886))</f>
        <v>1885</v>
      </c>
      <c r="B1886" s="26" t="n">
        <f aca="false">ROUND(($U$2*MAX(0,MIN(1,($W$2-I1886)/($W$2-$V$2)))+$U$3*MAX(0,MIN(1,($W$3-J1886)/($W$3-$V$3)))+$U$4*MAX(0,MIN(1,($W$4-K1886)/($W$4-$V$4)))+$U$5*MAX(0,MIN(1,($W$5-L1886)/($W$5-$V$5)))+$U$6*MAX(0,MIN(1,($W$6-M1886)/($W$6-$V$6)))+$U$7*MAX(0,MIN(1,($W$7-N1886)/($W$7-$V$7)))+$U$8*IF(AND(O1886&gt;=$V$8,O1886&lt;=$W$8),1,0))/$U$9*100,2)</f>
        <v>45.66</v>
      </c>
      <c r="C1886" s="27" t="s">
        <v>983</v>
      </c>
      <c r="D1886" s="25" t="s">
        <v>134</v>
      </c>
      <c r="E1886" s="25" t="s">
        <v>3450</v>
      </c>
      <c r="F1886" s="25" t="s">
        <v>3448</v>
      </c>
      <c r="G1886" s="39" t="s">
        <v>32</v>
      </c>
      <c r="H1886" s="39" t="s">
        <v>26</v>
      </c>
      <c r="I1886" s="25" t="n">
        <v>12</v>
      </c>
      <c r="J1886" s="25" t="n">
        <v>0</v>
      </c>
      <c r="K1886" s="25" t="n">
        <v>12</v>
      </c>
      <c r="L1886" s="29" t="n">
        <v>0.81</v>
      </c>
      <c r="M1886" s="30" t="n">
        <v>18.04</v>
      </c>
      <c r="N1886" s="29" t="n">
        <v>0.8</v>
      </c>
      <c r="O1886" s="25" t="n">
        <v>185</v>
      </c>
      <c r="P1886" s="30" t="n">
        <v>23.9</v>
      </c>
      <c r="Q1886" s="27" t="s">
        <v>3937</v>
      </c>
      <c r="R1886" s="27" t="s">
        <v>60</v>
      </c>
    </row>
    <row r="1887" customFormat="false" ht="15" hidden="false" customHeight="false" outlineLevel="0" collapsed="false">
      <c r="A1887" s="25" t="n">
        <f aca="false">IF(G1887="REJECT",COUNTIF($G$2:$G$2277,"&lt;&gt;REJECT")+1+COUNTIFS($G$2:$G$2277,"REJECT",$B$2:$B$2277,"&gt;"&amp;B1887),1+COUNTIFS($G$2:$G$2277,"&lt;&gt;REJECT",$B$2:$B$2277,"&gt;"&amp;B1887))</f>
        <v>1886</v>
      </c>
      <c r="B1887" s="26" t="n">
        <f aca="false">ROUND(($U$2*MAX(0,MIN(1,($W$2-I1887)/($W$2-$V$2)))+$U$3*MAX(0,MIN(1,($W$3-J1887)/($W$3-$V$3)))+$U$4*MAX(0,MIN(1,($W$4-K1887)/($W$4-$V$4)))+$U$5*MAX(0,MIN(1,($W$5-L1887)/($W$5-$V$5)))+$U$6*MAX(0,MIN(1,($W$6-M1887)/($W$6-$V$6)))+$U$7*MAX(0,MIN(1,($W$7-N1887)/($W$7-$V$7)))+$U$8*IF(AND(O1887&gt;=$V$8,O1887&lt;=$W$8),1,0))/$U$9*100,2)</f>
        <v>45.51</v>
      </c>
      <c r="C1887" s="27" t="s">
        <v>1458</v>
      </c>
      <c r="D1887" s="25" t="s">
        <v>134</v>
      </c>
      <c r="E1887" s="25" t="s">
        <v>3447</v>
      </c>
      <c r="F1887" s="25" t="s">
        <v>3448</v>
      </c>
      <c r="G1887" s="39" t="s">
        <v>32</v>
      </c>
      <c r="H1887" s="39" t="s">
        <v>26</v>
      </c>
      <c r="I1887" s="25" t="n">
        <v>5</v>
      </c>
      <c r="J1887" s="25" t="n">
        <v>2</v>
      </c>
      <c r="K1887" s="25" t="n">
        <v>5</v>
      </c>
      <c r="L1887" s="29" t="n">
        <v>0.8</v>
      </c>
      <c r="M1887" s="30" t="n">
        <v>19.44</v>
      </c>
      <c r="N1887" s="29" t="n">
        <v>0</v>
      </c>
      <c r="O1887" s="25" t="n">
        <v>184</v>
      </c>
      <c r="P1887" s="30" t="n">
        <v>5.81</v>
      </c>
      <c r="Q1887" s="27" t="s">
        <v>3938</v>
      </c>
      <c r="R1887" s="27" t="s">
        <v>65</v>
      </c>
    </row>
    <row r="1888" customFormat="false" ht="15" hidden="false" customHeight="false" outlineLevel="0" collapsed="false">
      <c r="A1888" s="25" t="n">
        <f aca="false">IF(G1888="REJECT",COUNTIF($G$2:$G$2277,"&lt;&gt;REJECT")+1+COUNTIFS($G$2:$G$2277,"REJECT",$B$2:$B$2277,"&gt;"&amp;B1888),1+COUNTIFS($G$2:$G$2277,"&lt;&gt;REJECT",$B$2:$B$2277,"&gt;"&amp;B1888))</f>
        <v>1887</v>
      </c>
      <c r="B1888" s="26" t="n">
        <f aca="false">ROUND(($U$2*MAX(0,MIN(1,($W$2-I1888)/($W$2-$V$2)))+$U$3*MAX(0,MIN(1,($W$3-J1888)/($W$3-$V$3)))+$U$4*MAX(0,MIN(1,($W$4-K1888)/($W$4-$V$4)))+$U$5*MAX(0,MIN(1,($W$5-L1888)/($W$5-$V$5)))+$U$6*MAX(0,MIN(1,($W$6-M1888)/($W$6-$V$6)))+$U$7*MAX(0,MIN(1,($W$7-N1888)/($W$7-$V$7)))+$U$8*IF(AND(O1888&gt;=$V$8,O1888&lt;=$W$8),1,0))/$U$9*100,2)</f>
        <v>45.33</v>
      </c>
      <c r="C1888" s="27" t="s">
        <v>1842</v>
      </c>
      <c r="D1888" s="25" t="s">
        <v>134</v>
      </c>
      <c r="E1888" s="25" t="s">
        <v>3447</v>
      </c>
      <c r="F1888" s="25" t="s">
        <v>3448</v>
      </c>
      <c r="G1888" s="39" t="s">
        <v>32</v>
      </c>
      <c r="H1888" s="39" t="s">
        <v>26</v>
      </c>
      <c r="I1888" s="25" t="n">
        <v>8</v>
      </c>
      <c r="J1888" s="25" t="n">
        <v>0</v>
      </c>
      <c r="K1888" s="25" t="n">
        <v>8</v>
      </c>
      <c r="L1888" s="29" t="n">
        <v>0.78</v>
      </c>
      <c r="M1888" s="30" t="n">
        <v>12.82</v>
      </c>
      <c r="N1888" s="29" t="n">
        <v>0.8</v>
      </c>
      <c r="O1888" s="25" t="n">
        <v>184</v>
      </c>
      <c r="P1888" s="30" t="n">
        <v>-0.65</v>
      </c>
      <c r="Q1888" s="27" t="s">
        <v>3939</v>
      </c>
      <c r="R1888" s="27" t="s">
        <v>60</v>
      </c>
    </row>
    <row r="1889" customFormat="false" ht="15" hidden="false" customHeight="false" outlineLevel="0" collapsed="false">
      <c r="A1889" s="25" t="n">
        <f aca="false">IF(G1889="REJECT",COUNTIF($G$2:$G$2277,"&lt;&gt;REJECT")+1+COUNTIFS($G$2:$G$2277,"REJECT",$B$2:$B$2277,"&gt;"&amp;B1889),1+COUNTIFS($G$2:$G$2277,"&lt;&gt;REJECT",$B$2:$B$2277,"&gt;"&amp;B1889))</f>
        <v>1888</v>
      </c>
      <c r="B1889" s="26" t="n">
        <f aca="false">ROUND(($U$2*MAX(0,MIN(1,($W$2-I1889)/($W$2-$V$2)))+$U$3*MAX(0,MIN(1,($W$3-J1889)/($W$3-$V$3)))+$U$4*MAX(0,MIN(1,($W$4-K1889)/($W$4-$V$4)))+$U$5*MAX(0,MIN(1,($W$5-L1889)/($W$5-$V$5)))+$U$6*MAX(0,MIN(1,($W$6-M1889)/($W$6-$V$6)))+$U$7*MAX(0,MIN(1,($W$7-N1889)/($W$7-$V$7)))+$U$8*IF(AND(O1889&gt;=$V$8,O1889&lt;=$W$8),1,0))/$U$9*100,2)</f>
        <v>45.16</v>
      </c>
      <c r="C1889" s="27" t="s">
        <v>2049</v>
      </c>
      <c r="D1889" s="25" t="s">
        <v>134</v>
      </c>
      <c r="E1889" s="25" t="s">
        <v>3447</v>
      </c>
      <c r="F1889" s="25" t="s">
        <v>3457</v>
      </c>
      <c r="G1889" s="39" t="s">
        <v>32</v>
      </c>
      <c r="H1889" s="39" t="s">
        <v>26</v>
      </c>
      <c r="I1889" s="25" t="n">
        <v>9</v>
      </c>
      <c r="J1889" s="25" t="n">
        <v>0</v>
      </c>
      <c r="K1889" s="25" t="n">
        <v>9</v>
      </c>
      <c r="L1889" s="29" t="n">
        <v>0.78</v>
      </c>
      <c r="M1889" s="30" t="n">
        <v>20.26</v>
      </c>
      <c r="N1889" s="29" t="n">
        <v>0.16</v>
      </c>
      <c r="O1889" s="25" t="n">
        <v>185</v>
      </c>
      <c r="P1889" s="30" t="n">
        <v>3.31</v>
      </c>
      <c r="Q1889" s="27" t="s">
        <v>3940</v>
      </c>
      <c r="R1889" s="27" t="s">
        <v>3896</v>
      </c>
    </row>
    <row r="1890" customFormat="false" ht="15" hidden="false" customHeight="false" outlineLevel="0" collapsed="false">
      <c r="A1890" s="25" t="n">
        <f aca="false">IF(G1890="REJECT",COUNTIF($G$2:$G$2277,"&lt;&gt;REJECT")+1+COUNTIFS($G$2:$G$2277,"REJECT",$B$2:$B$2277,"&gt;"&amp;B1890),1+COUNTIFS($G$2:$G$2277,"&lt;&gt;REJECT",$B$2:$B$2277,"&gt;"&amp;B1890))</f>
        <v>1889</v>
      </c>
      <c r="B1890" s="26" t="n">
        <f aca="false">ROUND(($U$2*MAX(0,MIN(1,($W$2-I1890)/($W$2-$V$2)))+$U$3*MAX(0,MIN(1,($W$3-J1890)/($W$3-$V$3)))+$U$4*MAX(0,MIN(1,($W$4-K1890)/($W$4-$V$4)))+$U$5*MAX(0,MIN(1,($W$5-L1890)/($W$5-$V$5)))+$U$6*MAX(0,MIN(1,($W$6-M1890)/($W$6-$V$6)))+$U$7*MAX(0,MIN(1,($W$7-N1890)/($W$7-$V$7)))+$U$8*IF(AND(O1890&gt;=$V$8,O1890&lt;=$W$8),1,0))/$U$9*100,2)</f>
        <v>45.15</v>
      </c>
      <c r="C1890" s="27" t="s">
        <v>2848</v>
      </c>
      <c r="D1890" s="25" t="s">
        <v>134</v>
      </c>
      <c r="E1890" s="25" t="s">
        <v>3447</v>
      </c>
      <c r="F1890" s="25" t="s">
        <v>3457</v>
      </c>
      <c r="G1890" s="39" t="s">
        <v>32</v>
      </c>
      <c r="H1890" s="39" t="s">
        <v>26</v>
      </c>
      <c r="I1890" s="25" t="n">
        <v>8</v>
      </c>
      <c r="J1890" s="25" t="n">
        <v>0</v>
      </c>
      <c r="K1890" s="25" t="n">
        <v>8</v>
      </c>
      <c r="L1890" s="29" t="n">
        <v>0.76</v>
      </c>
      <c r="M1890" s="30" t="n">
        <v>7.52</v>
      </c>
      <c r="N1890" s="29" t="n">
        <v>0.72</v>
      </c>
      <c r="O1890" s="25" t="n">
        <v>188</v>
      </c>
      <c r="P1890" s="30" t="n">
        <v>-0.92</v>
      </c>
      <c r="Q1890" s="27" t="s">
        <v>3941</v>
      </c>
      <c r="R1890" s="27" t="s">
        <v>60</v>
      </c>
    </row>
    <row r="1891" customFormat="false" ht="15" hidden="false" customHeight="false" outlineLevel="0" collapsed="false">
      <c r="A1891" s="25" t="n">
        <f aca="false">IF(G1891="REJECT",COUNTIF($G$2:$G$2277,"&lt;&gt;REJECT")+1+COUNTIFS($G$2:$G$2277,"REJECT",$B$2:$B$2277,"&gt;"&amp;B1891),1+COUNTIFS($G$2:$G$2277,"&lt;&gt;REJECT",$B$2:$B$2277,"&gt;"&amp;B1891))</f>
        <v>1890</v>
      </c>
      <c r="B1891" s="26" t="n">
        <f aca="false">ROUND(($U$2*MAX(0,MIN(1,($W$2-I1891)/($W$2-$V$2)))+$U$3*MAX(0,MIN(1,($W$3-J1891)/($W$3-$V$3)))+$U$4*MAX(0,MIN(1,($W$4-K1891)/($W$4-$V$4)))+$U$5*MAX(0,MIN(1,($W$5-L1891)/($W$5-$V$5)))+$U$6*MAX(0,MIN(1,($W$6-M1891)/($W$6-$V$6)))+$U$7*MAX(0,MIN(1,($W$7-N1891)/($W$7-$V$7)))+$U$8*IF(AND(O1891&gt;=$V$8,O1891&lt;=$W$8),1,0))/$U$9*100,2)</f>
        <v>45.12</v>
      </c>
      <c r="C1891" s="27" t="s">
        <v>1685</v>
      </c>
      <c r="D1891" s="25" t="s">
        <v>134</v>
      </c>
      <c r="E1891" s="25" t="s">
        <v>3447</v>
      </c>
      <c r="F1891" s="25" t="s">
        <v>3457</v>
      </c>
      <c r="G1891" s="39" t="s">
        <v>32</v>
      </c>
      <c r="H1891" s="39" t="s">
        <v>26</v>
      </c>
      <c r="I1891" s="25" t="n">
        <v>7</v>
      </c>
      <c r="J1891" s="25" t="n">
        <v>0</v>
      </c>
      <c r="K1891" s="25" t="n">
        <v>7</v>
      </c>
      <c r="L1891" s="29" t="n">
        <v>0.65</v>
      </c>
      <c r="M1891" s="30" t="n">
        <v>8.76</v>
      </c>
      <c r="N1891" s="29" t="n">
        <v>0.4</v>
      </c>
      <c r="O1891" s="25" t="n">
        <v>186</v>
      </c>
      <c r="P1891" s="30" t="n">
        <v>0.24</v>
      </c>
      <c r="Q1891" s="27" t="s">
        <v>3942</v>
      </c>
      <c r="R1891" s="27" t="s">
        <v>60</v>
      </c>
    </row>
    <row r="1892" customFormat="false" ht="15" hidden="false" customHeight="false" outlineLevel="0" collapsed="false">
      <c r="A1892" s="25" t="n">
        <f aca="false">IF(G1892="REJECT",COUNTIF($G$2:$G$2277,"&lt;&gt;REJECT")+1+COUNTIFS($G$2:$G$2277,"REJECT",$B$2:$B$2277,"&gt;"&amp;B1892),1+COUNTIFS($G$2:$G$2277,"&lt;&gt;REJECT",$B$2:$B$2277,"&gt;"&amp;B1892))</f>
        <v>1891</v>
      </c>
      <c r="B1892" s="26" t="n">
        <f aca="false">ROUND(($U$2*MAX(0,MIN(1,($W$2-I1892)/($W$2-$V$2)))+$U$3*MAX(0,MIN(1,($W$3-J1892)/($W$3-$V$3)))+$U$4*MAX(0,MIN(1,($W$4-K1892)/($W$4-$V$4)))+$U$5*MAX(0,MIN(1,($W$5-L1892)/($W$5-$V$5)))+$U$6*MAX(0,MIN(1,($W$6-M1892)/($W$6-$V$6)))+$U$7*MAX(0,MIN(1,($W$7-N1892)/($W$7-$V$7)))+$U$8*IF(AND(O1892&gt;=$V$8,O1892&lt;=$W$8),1,0))/$U$9*100,2)</f>
        <v>45.09</v>
      </c>
      <c r="C1892" s="27" t="s">
        <v>2397</v>
      </c>
      <c r="D1892" s="25" t="s">
        <v>3459</v>
      </c>
      <c r="E1892" s="25" t="s">
        <v>3447</v>
      </c>
      <c r="F1892" s="25" t="s">
        <v>3448</v>
      </c>
      <c r="G1892" s="39" t="s">
        <v>32</v>
      </c>
      <c r="H1892" s="39" t="s">
        <v>26</v>
      </c>
      <c r="I1892" s="25" t="n">
        <v>5</v>
      </c>
      <c r="J1892" s="25" t="n">
        <v>2</v>
      </c>
      <c r="K1892" s="25" t="n">
        <v>5</v>
      </c>
      <c r="L1892" s="29" t="n">
        <v>0.78</v>
      </c>
      <c r="M1892" s="30" t="n">
        <v>14.79</v>
      </c>
      <c r="N1892" s="29" t="n">
        <v>0</v>
      </c>
      <c r="O1892" s="25" t="n">
        <v>184</v>
      </c>
      <c r="P1892" s="30" t="n">
        <v>7.25</v>
      </c>
      <c r="Q1892" s="27" t="s">
        <v>3943</v>
      </c>
      <c r="R1892" s="27" t="s">
        <v>65</v>
      </c>
    </row>
    <row r="1893" customFormat="false" ht="15" hidden="false" customHeight="false" outlineLevel="0" collapsed="false">
      <c r="A1893" s="25" t="n">
        <f aca="false">IF(G1893="REJECT",COUNTIF($G$2:$G$2277,"&lt;&gt;REJECT")+1+COUNTIFS($G$2:$G$2277,"REJECT",$B$2:$B$2277,"&gt;"&amp;B1893),1+COUNTIFS($G$2:$G$2277,"&lt;&gt;REJECT",$B$2:$B$2277,"&gt;"&amp;B1893))</f>
        <v>1892</v>
      </c>
      <c r="B1893" s="26" t="n">
        <f aca="false">ROUND(($U$2*MAX(0,MIN(1,($W$2-I1893)/($W$2-$V$2)))+$U$3*MAX(0,MIN(1,($W$3-J1893)/($W$3-$V$3)))+$U$4*MAX(0,MIN(1,($W$4-K1893)/($W$4-$V$4)))+$U$5*MAX(0,MIN(1,($W$5-L1893)/($W$5-$V$5)))+$U$6*MAX(0,MIN(1,($W$6-M1893)/($W$6-$V$6)))+$U$7*MAX(0,MIN(1,($W$7-N1893)/($W$7-$V$7)))+$U$8*IF(AND(O1893&gt;=$V$8,O1893&lt;=$W$8),1,0))/$U$9*100,2)</f>
        <v>44.96</v>
      </c>
      <c r="C1893" s="27" t="s">
        <v>1271</v>
      </c>
      <c r="D1893" s="25" t="s">
        <v>134</v>
      </c>
      <c r="E1893" s="25" t="s">
        <v>3450</v>
      </c>
      <c r="F1893" s="25" t="s">
        <v>3448</v>
      </c>
      <c r="G1893" s="39" t="s">
        <v>32</v>
      </c>
      <c r="H1893" s="39" t="s">
        <v>26</v>
      </c>
      <c r="I1893" s="25" t="n">
        <v>9</v>
      </c>
      <c r="J1893" s="25" t="n">
        <v>0</v>
      </c>
      <c r="K1893" s="25" t="n">
        <v>9</v>
      </c>
      <c r="L1893" s="29" t="n">
        <v>0.74</v>
      </c>
      <c r="M1893" s="30" t="n">
        <v>5.43</v>
      </c>
      <c r="N1893" s="29" t="n">
        <v>0.32</v>
      </c>
      <c r="O1893" s="25" t="n">
        <v>182</v>
      </c>
      <c r="P1893" s="30" t="n">
        <v>4.42</v>
      </c>
      <c r="Q1893" s="27" t="s">
        <v>3944</v>
      </c>
      <c r="R1893" s="27" t="s">
        <v>3885</v>
      </c>
    </row>
    <row r="1894" customFormat="false" ht="15" hidden="false" customHeight="false" outlineLevel="0" collapsed="false">
      <c r="A1894" s="25" t="n">
        <f aca="false">IF(G1894="REJECT",COUNTIF($G$2:$G$2277,"&lt;&gt;REJECT")+1+COUNTIFS($G$2:$G$2277,"REJECT",$B$2:$B$2277,"&gt;"&amp;B1894),1+COUNTIFS($G$2:$G$2277,"&lt;&gt;REJECT",$B$2:$B$2277,"&gt;"&amp;B1894))</f>
        <v>1893</v>
      </c>
      <c r="B1894" s="26" t="n">
        <f aca="false">ROUND(($U$2*MAX(0,MIN(1,($W$2-I1894)/($W$2-$V$2)))+$U$3*MAX(0,MIN(1,($W$3-J1894)/($W$3-$V$3)))+$U$4*MAX(0,MIN(1,($W$4-K1894)/($W$4-$V$4)))+$U$5*MAX(0,MIN(1,($W$5-L1894)/($W$5-$V$5)))+$U$6*MAX(0,MIN(1,($W$6-M1894)/($W$6-$V$6)))+$U$7*MAX(0,MIN(1,($W$7-N1894)/($W$7-$V$7)))+$U$8*IF(AND(O1894&gt;=$V$8,O1894&lt;=$W$8),1,0))/$U$9*100,2)</f>
        <v>44.92</v>
      </c>
      <c r="C1894" s="27" t="s">
        <v>2866</v>
      </c>
      <c r="D1894" s="25" t="s">
        <v>134</v>
      </c>
      <c r="E1894" s="25" t="s">
        <v>3447</v>
      </c>
      <c r="F1894" s="25" t="s">
        <v>3448</v>
      </c>
      <c r="G1894" s="39" t="s">
        <v>32</v>
      </c>
      <c r="H1894" s="39" t="s">
        <v>26</v>
      </c>
      <c r="I1894" s="25" t="n">
        <v>7</v>
      </c>
      <c r="J1894" s="25" t="n">
        <v>0</v>
      </c>
      <c r="K1894" s="25" t="n">
        <v>7</v>
      </c>
      <c r="L1894" s="29" t="n">
        <v>0.7</v>
      </c>
      <c r="M1894" s="30" t="n">
        <v>0.76</v>
      </c>
      <c r="N1894" s="29" t="n">
        <v>0.12</v>
      </c>
      <c r="O1894" s="25" t="n">
        <v>261</v>
      </c>
      <c r="P1894" s="30" t="n">
        <v>5.61</v>
      </c>
      <c r="Q1894" s="27" t="s">
        <v>3945</v>
      </c>
      <c r="R1894" s="27" t="s">
        <v>3946</v>
      </c>
    </row>
    <row r="1895" customFormat="false" ht="15" hidden="false" customHeight="false" outlineLevel="0" collapsed="false">
      <c r="A1895" s="25" t="n">
        <f aca="false">IF(G1895="REJECT",COUNTIF($G$2:$G$2277,"&lt;&gt;REJECT")+1+COUNTIFS($G$2:$G$2277,"REJECT",$B$2:$B$2277,"&gt;"&amp;B1895),1+COUNTIFS($G$2:$G$2277,"&lt;&gt;REJECT",$B$2:$B$2277,"&gt;"&amp;B1895))</f>
        <v>1894</v>
      </c>
      <c r="B1895" s="26" t="n">
        <f aca="false">ROUND(($U$2*MAX(0,MIN(1,($W$2-I1895)/($W$2-$V$2)))+$U$3*MAX(0,MIN(1,($W$3-J1895)/($W$3-$V$3)))+$U$4*MAX(0,MIN(1,($W$4-K1895)/($W$4-$V$4)))+$U$5*MAX(0,MIN(1,($W$5-L1895)/($W$5-$V$5)))+$U$6*MAX(0,MIN(1,($W$6-M1895)/($W$6-$V$6)))+$U$7*MAX(0,MIN(1,($W$7-N1895)/($W$7-$V$7)))+$U$8*IF(AND(O1895&gt;=$V$8,O1895&lt;=$W$8),1,0))/$U$9*100,2)</f>
        <v>44.77</v>
      </c>
      <c r="C1895" s="27" t="s">
        <v>714</v>
      </c>
      <c r="D1895" s="25" t="s">
        <v>134</v>
      </c>
      <c r="E1895" s="25" t="s">
        <v>3450</v>
      </c>
      <c r="F1895" s="25" t="s">
        <v>3448</v>
      </c>
      <c r="G1895" s="39" t="s">
        <v>32</v>
      </c>
      <c r="H1895" s="39" t="s">
        <v>26</v>
      </c>
      <c r="I1895" s="25" t="n">
        <v>9</v>
      </c>
      <c r="J1895" s="25" t="n">
        <v>0</v>
      </c>
      <c r="K1895" s="25" t="n">
        <v>9</v>
      </c>
      <c r="L1895" s="29" t="n">
        <v>0.74</v>
      </c>
      <c r="M1895" s="30" t="n">
        <v>1</v>
      </c>
      <c r="N1895" s="29" t="n">
        <v>0.88</v>
      </c>
      <c r="O1895" s="25" t="n">
        <v>184</v>
      </c>
      <c r="P1895" s="30" t="n">
        <v>2.5</v>
      </c>
      <c r="Q1895" s="27" t="s">
        <v>3947</v>
      </c>
      <c r="R1895" s="27" t="s">
        <v>3912</v>
      </c>
    </row>
    <row r="1896" customFormat="false" ht="15" hidden="false" customHeight="false" outlineLevel="0" collapsed="false">
      <c r="A1896" s="25" t="n">
        <f aca="false">IF(G1896="REJECT",COUNTIF($G$2:$G$2277,"&lt;&gt;REJECT")+1+COUNTIFS($G$2:$G$2277,"REJECT",$B$2:$B$2277,"&gt;"&amp;B1896),1+COUNTIFS($G$2:$G$2277,"&lt;&gt;REJECT",$B$2:$B$2277,"&gt;"&amp;B1896))</f>
        <v>1895</v>
      </c>
      <c r="B1896" s="26" t="n">
        <f aca="false">ROUND(($U$2*MAX(0,MIN(1,($W$2-I1896)/($W$2-$V$2)))+$U$3*MAX(0,MIN(1,($W$3-J1896)/($W$3-$V$3)))+$U$4*MAX(0,MIN(1,($W$4-K1896)/($W$4-$V$4)))+$U$5*MAX(0,MIN(1,($W$5-L1896)/($W$5-$V$5)))+$U$6*MAX(0,MIN(1,($W$6-M1896)/($W$6-$V$6)))+$U$7*MAX(0,MIN(1,($W$7-N1896)/($W$7-$V$7)))+$U$8*IF(AND(O1896&gt;=$V$8,O1896&lt;=$W$8),1,0))/$U$9*100,2)</f>
        <v>44.72</v>
      </c>
      <c r="C1896" s="27" t="s">
        <v>3351</v>
      </c>
      <c r="D1896" s="25" t="s">
        <v>134</v>
      </c>
      <c r="E1896" s="25" t="s">
        <v>3447</v>
      </c>
      <c r="F1896" s="25" t="s">
        <v>3448</v>
      </c>
      <c r="G1896" s="39" t="s">
        <v>32</v>
      </c>
      <c r="H1896" s="39" t="s">
        <v>26</v>
      </c>
      <c r="I1896" s="25" t="n">
        <v>9</v>
      </c>
      <c r="J1896" s="25" t="n">
        <v>0</v>
      </c>
      <c r="K1896" s="25" t="n">
        <v>9</v>
      </c>
      <c r="L1896" s="29" t="n">
        <v>0.76</v>
      </c>
      <c r="M1896" s="30" t="n">
        <v>13.68</v>
      </c>
      <c r="N1896" s="29" t="n">
        <v>0.36</v>
      </c>
      <c r="O1896" s="25" t="n">
        <v>182</v>
      </c>
      <c r="P1896" s="30" t="n">
        <v>0.88</v>
      </c>
      <c r="Q1896" s="27" t="s">
        <v>3948</v>
      </c>
      <c r="R1896" s="27" t="s">
        <v>60</v>
      </c>
    </row>
    <row r="1897" customFormat="false" ht="15" hidden="false" customHeight="false" outlineLevel="0" collapsed="false">
      <c r="A1897" s="25" t="n">
        <f aca="false">IF(G1897="REJECT",COUNTIF($G$2:$G$2277,"&lt;&gt;REJECT")+1+COUNTIFS($G$2:$G$2277,"REJECT",$B$2:$B$2277,"&gt;"&amp;B1897),1+COUNTIFS($G$2:$G$2277,"&lt;&gt;REJECT",$B$2:$B$2277,"&gt;"&amp;B1897))</f>
        <v>1896</v>
      </c>
      <c r="B1897" s="26" t="n">
        <f aca="false">ROUND(($U$2*MAX(0,MIN(1,($W$2-I1897)/($W$2-$V$2)))+$U$3*MAX(0,MIN(1,($W$3-J1897)/($W$3-$V$3)))+$U$4*MAX(0,MIN(1,($W$4-K1897)/($W$4-$V$4)))+$U$5*MAX(0,MIN(1,($W$5-L1897)/($W$5-$V$5)))+$U$6*MAX(0,MIN(1,($W$6-M1897)/($W$6-$V$6)))+$U$7*MAX(0,MIN(1,($W$7-N1897)/($W$7-$V$7)))+$U$8*IF(AND(O1897&gt;=$V$8,O1897&lt;=$W$8),1,0))/$U$9*100,2)</f>
        <v>44.65</v>
      </c>
      <c r="C1897" s="27" t="s">
        <v>3211</v>
      </c>
      <c r="D1897" s="25" t="s">
        <v>134</v>
      </c>
      <c r="E1897" s="25" t="s">
        <v>3447</v>
      </c>
      <c r="F1897" s="25" t="s">
        <v>3457</v>
      </c>
      <c r="G1897" s="39" t="s">
        <v>32</v>
      </c>
      <c r="H1897" s="39" t="s">
        <v>26</v>
      </c>
      <c r="I1897" s="25" t="n">
        <v>11</v>
      </c>
      <c r="J1897" s="25" t="n">
        <v>0</v>
      </c>
      <c r="K1897" s="25" t="n">
        <v>11</v>
      </c>
      <c r="L1897" s="29" t="n">
        <v>0.76</v>
      </c>
      <c r="M1897" s="30" t="n">
        <v>14.92</v>
      </c>
      <c r="N1897" s="29" t="n">
        <v>0.28</v>
      </c>
      <c r="O1897" s="25" t="n">
        <v>183</v>
      </c>
      <c r="P1897" s="30" t="n">
        <v>4.13</v>
      </c>
      <c r="Q1897" s="27" t="s">
        <v>3949</v>
      </c>
      <c r="R1897" s="27" t="s">
        <v>3885</v>
      </c>
    </row>
    <row r="1898" customFormat="false" ht="15" hidden="false" customHeight="false" outlineLevel="0" collapsed="false">
      <c r="A1898" s="25" t="n">
        <f aca="false">IF(G1898="REJECT",COUNTIF($G$2:$G$2277,"&lt;&gt;REJECT")+1+COUNTIFS($G$2:$G$2277,"REJECT",$B$2:$B$2277,"&gt;"&amp;B1898),1+COUNTIFS($G$2:$G$2277,"&lt;&gt;REJECT",$B$2:$B$2277,"&gt;"&amp;B1898))</f>
        <v>1897</v>
      </c>
      <c r="B1898" s="26" t="n">
        <f aca="false">ROUND(($U$2*MAX(0,MIN(1,($W$2-I1898)/($W$2-$V$2)))+$U$3*MAX(0,MIN(1,($W$3-J1898)/($W$3-$V$3)))+$U$4*MAX(0,MIN(1,($W$4-K1898)/($W$4-$V$4)))+$U$5*MAX(0,MIN(1,($W$5-L1898)/($W$5-$V$5)))+$U$6*MAX(0,MIN(1,($W$6-M1898)/($W$6-$V$6)))+$U$7*MAX(0,MIN(1,($W$7-N1898)/($W$7-$V$7)))+$U$8*IF(AND(O1898&gt;=$V$8,O1898&lt;=$W$8),1,0))/$U$9*100,2)</f>
        <v>44.63</v>
      </c>
      <c r="C1898" s="27" t="s">
        <v>2186</v>
      </c>
      <c r="D1898" s="25" t="s">
        <v>3459</v>
      </c>
      <c r="E1898" s="25" t="s">
        <v>3447</v>
      </c>
      <c r="F1898" s="25" t="s">
        <v>3448</v>
      </c>
      <c r="G1898" s="39" t="s">
        <v>32</v>
      </c>
      <c r="H1898" s="39" t="s">
        <v>26</v>
      </c>
      <c r="I1898" s="25" t="n">
        <v>12</v>
      </c>
      <c r="J1898" s="25" t="n">
        <v>0</v>
      </c>
      <c r="K1898" s="25" t="n">
        <v>12</v>
      </c>
      <c r="L1898" s="29" t="n">
        <v>0.76</v>
      </c>
      <c r="M1898" s="30" t="n">
        <v>13.83</v>
      </c>
      <c r="N1898" s="29" t="n">
        <v>0.4</v>
      </c>
      <c r="O1898" s="25" t="n">
        <v>183</v>
      </c>
      <c r="P1898" s="30" t="n">
        <v>11.37</v>
      </c>
      <c r="Q1898" s="27" t="s">
        <v>3950</v>
      </c>
      <c r="R1898" s="27" t="s">
        <v>3885</v>
      </c>
    </row>
    <row r="1899" customFormat="false" ht="15" hidden="false" customHeight="false" outlineLevel="0" collapsed="false">
      <c r="A1899" s="25" t="n">
        <f aca="false">IF(G1899="REJECT",COUNTIF($G$2:$G$2277,"&lt;&gt;REJECT")+1+COUNTIFS($G$2:$G$2277,"REJECT",$B$2:$B$2277,"&gt;"&amp;B1899),1+COUNTIFS($G$2:$G$2277,"&lt;&gt;REJECT",$B$2:$B$2277,"&gt;"&amp;B1899))</f>
        <v>1898</v>
      </c>
      <c r="B1899" s="26" t="n">
        <f aca="false">ROUND(($U$2*MAX(0,MIN(1,($W$2-I1899)/($W$2-$V$2)))+$U$3*MAX(0,MIN(1,($W$3-J1899)/($W$3-$V$3)))+$U$4*MAX(0,MIN(1,($W$4-K1899)/($W$4-$V$4)))+$U$5*MAX(0,MIN(1,($W$5-L1899)/($W$5-$V$5)))+$U$6*MAX(0,MIN(1,($W$6-M1899)/($W$6-$V$6)))+$U$7*MAX(0,MIN(1,($W$7-N1899)/($W$7-$V$7)))+$U$8*IF(AND(O1899&gt;=$V$8,O1899&lt;=$W$8),1,0))/$U$9*100,2)</f>
        <v>44.56</v>
      </c>
      <c r="C1899" s="27" t="s">
        <v>1639</v>
      </c>
      <c r="D1899" s="25" t="s">
        <v>134</v>
      </c>
      <c r="E1899" s="25" t="s">
        <v>3450</v>
      </c>
      <c r="F1899" s="25" t="s">
        <v>3448</v>
      </c>
      <c r="G1899" s="39" t="s">
        <v>32</v>
      </c>
      <c r="H1899" s="39" t="s">
        <v>26</v>
      </c>
      <c r="I1899" s="25" t="n">
        <v>4</v>
      </c>
      <c r="J1899" s="25" t="n">
        <v>2</v>
      </c>
      <c r="K1899" s="25" t="n">
        <v>4</v>
      </c>
      <c r="L1899" s="29" t="n">
        <v>0.68</v>
      </c>
      <c r="M1899" s="30" t="n">
        <v>14.24</v>
      </c>
      <c r="N1899" s="29" t="n">
        <v>0.52</v>
      </c>
      <c r="O1899" s="25" t="n">
        <v>213</v>
      </c>
      <c r="P1899" s="30" t="n">
        <v>16.73</v>
      </c>
      <c r="Q1899" s="27" t="s">
        <v>3951</v>
      </c>
      <c r="R1899" s="27" t="s">
        <v>65</v>
      </c>
    </row>
    <row r="1900" customFormat="false" ht="15" hidden="false" customHeight="false" outlineLevel="0" collapsed="false">
      <c r="A1900" s="25" t="n">
        <f aca="false">IF(G1900="REJECT",COUNTIF($G$2:$G$2277,"&lt;&gt;REJECT")+1+COUNTIFS($G$2:$G$2277,"REJECT",$B$2:$B$2277,"&gt;"&amp;B1900),1+COUNTIFS($G$2:$G$2277,"&lt;&gt;REJECT",$B$2:$B$2277,"&gt;"&amp;B1900))</f>
        <v>1899</v>
      </c>
      <c r="B1900" s="26" t="n">
        <f aca="false">ROUND(($U$2*MAX(0,MIN(1,($W$2-I1900)/($W$2-$V$2)))+$U$3*MAX(0,MIN(1,($W$3-J1900)/($W$3-$V$3)))+$U$4*MAX(0,MIN(1,($W$4-K1900)/($W$4-$V$4)))+$U$5*MAX(0,MIN(1,($W$5-L1900)/($W$5-$V$5)))+$U$6*MAX(0,MIN(1,($W$6-M1900)/($W$6-$V$6)))+$U$7*MAX(0,MIN(1,($W$7-N1900)/($W$7-$V$7)))+$U$8*IF(AND(O1900&gt;=$V$8,O1900&lt;=$W$8),1,0))/$U$9*100,2)</f>
        <v>44.5</v>
      </c>
      <c r="C1900" s="27" t="s">
        <v>2620</v>
      </c>
      <c r="D1900" s="25" t="s">
        <v>134</v>
      </c>
      <c r="E1900" s="25" t="s">
        <v>3447</v>
      </c>
      <c r="F1900" s="25" t="s">
        <v>3457</v>
      </c>
      <c r="G1900" s="39" t="s">
        <v>32</v>
      </c>
      <c r="H1900" s="39" t="s">
        <v>26</v>
      </c>
      <c r="I1900" s="25" t="n">
        <v>8</v>
      </c>
      <c r="J1900" s="25" t="n">
        <v>0</v>
      </c>
      <c r="K1900" s="25" t="n">
        <v>8</v>
      </c>
      <c r="L1900" s="29" t="n">
        <v>0.76</v>
      </c>
      <c r="M1900" s="30" t="n">
        <v>16.19</v>
      </c>
      <c r="N1900" s="29" t="n">
        <v>0.24</v>
      </c>
      <c r="O1900" s="25" t="n">
        <v>182</v>
      </c>
      <c r="P1900" s="30" t="n">
        <v>-0.21</v>
      </c>
      <c r="Q1900" s="27" t="s">
        <v>3952</v>
      </c>
      <c r="R1900" s="27" t="s">
        <v>60</v>
      </c>
    </row>
    <row r="1901" customFormat="false" ht="15" hidden="false" customHeight="false" outlineLevel="0" collapsed="false">
      <c r="A1901" s="25" t="n">
        <f aca="false">IF(G1901="REJECT",COUNTIF($G$2:$G$2277,"&lt;&gt;REJECT")+1+COUNTIFS($G$2:$G$2277,"REJECT",$B$2:$B$2277,"&gt;"&amp;B1901),1+COUNTIFS($G$2:$G$2277,"&lt;&gt;REJECT",$B$2:$B$2277,"&gt;"&amp;B1901))</f>
        <v>1899</v>
      </c>
      <c r="B1901" s="26" t="n">
        <f aca="false">ROUND(($U$2*MAX(0,MIN(1,($W$2-I1901)/($W$2-$V$2)))+$U$3*MAX(0,MIN(1,($W$3-J1901)/($W$3-$V$3)))+$U$4*MAX(0,MIN(1,($W$4-K1901)/($W$4-$V$4)))+$U$5*MAX(0,MIN(1,($W$5-L1901)/($W$5-$V$5)))+$U$6*MAX(0,MIN(1,($W$6-M1901)/($W$6-$V$6)))+$U$7*MAX(0,MIN(1,($W$7-N1901)/($W$7-$V$7)))+$U$8*IF(AND(O1901&gt;=$V$8,O1901&lt;=$W$8),1,0))/$U$9*100,2)</f>
        <v>44.5</v>
      </c>
      <c r="C1901" s="27" t="s">
        <v>3351</v>
      </c>
      <c r="D1901" s="25" t="s">
        <v>134</v>
      </c>
      <c r="E1901" s="25" t="s">
        <v>3447</v>
      </c>
      <c r="F1901" s="25" t="s">
        <v>3457</v>
      </c>
      <c r="G1901" s="39" t="s">
        <v>32</v>
      </c>
      <c r="H1901" s="39" t="s">
        <v>26</v>
      </c>
      <c r="I1901" s="25" t="n">
        <v>9</v>
      </c>
      <c r="J1901" s="25" t="n">
        <v>0</v>
      </c>
      <c r="K1901" s="25" t="n">
        <v>9</v>
      </c>
      <c r="L1901" s="29" t="n">
        <v>0.74</v>
      </c>
      <c r="M1901" s="30" t="n">
        <v>3.78</v>
      </c>
      <c r="N1901" s="29" t="n">
        <v>0.76</v>
      </c>
      <c r="O1901" s="25" t="n">
        <v>182</v>
      </c>
      <c r="P1901" s="30" t="n">
        <v>-1.25</v>
      </c>
      <c r="Q1901" s="27" t="s">
        <v>3948</v>
      </c>
      <c r="R1901" s="27" t="s">
        <v>3879</v>
      </c>
    </row>
    <row r="1902" customFormat="false" ht="15" hidden="false" customHeight="false" outlineLevel="0" collapsed="false">
      <c r="A1902" s="25" t="n">
        <f aca="false">IF(G1902="REJECT",COUNTIF($G$2:$G$2277,"&lt;&gt;REJECT")+1+COUNTIFS($G$2:$G$2277,"REJECT",$B$2:$B$2277,"&gt;"&amp;B1902),1+COUNTIFS($G$2:$G$2277,"&lt;&gt;REJECT",$B$2:$B$2277,"&gt;"&amp;B1902))</f>
        <v>1901</v>
      </c>
      <c r="B1902" s="26" t="n">
        <f aca="false">ROUND(($U$2*MAX(0,MIN(1,($W$2-I1902)/($W$2-$V$2)))+$U$3*MAX(0,MIN(1,($W$3-J1902)/($W$3-$V$3)))+$U$4*MAX(0,MIN(1,($W$4-K1902)/($W$4-$V$4)))+$U$5*MAX(0,MIN(1,($W$5-L1902)/($W$5-$V$5)))+$U$6*MAX(0,MIN(1,($W$6-M1902)/($W$6-$V$6)))+$U$7*MAX(0,MIN(1,($W$7-N1902)/($W$7-$V$7)))+$U$8*IF(AND(O1902&gt;=$V$8,O1902&lt;=$W$8),1,0))/$U$9*100,2)</f>
        <v>44.41</v>
      </c>
      <c r="C1902" s="27" t="s">
        <v>409</v>
      </c>
      <c r="D1902" s="25" t="s">
        <v>134</v>
      </c>
      <c r="E1902" s="25" t="s">
        <v>3447</v>
      </c>
      <c r="F1902" s="25" t="s">
        <v>3457</v>
      </c>
      <c r="G1902" s="39" t="s">
        <v>32</v>
      </c>
      <c r="H1902" s="39" t="s">
        <v>26</v>
      </c>
      <c r="I1902" s="25" t="n">
        <v>8</v>
      </c>
      <c r="J1902" s="25" t="n">
        <v>0</v>
      </c>
      <c r="K1902" s="25" t="n">
        <v>8</v>
      </c>
      <c r="L1902" s="29" t="n">
        <v>0.76</v>
      </c>
      <c r="M1902" s="30" t="n">
        <v>15.92</v>
      </c>
      <c r="N1902" s="29" t="n">
        <v>0.32</v>
      </c>
      <c r="O1902" s="25" t="n">
        <v>228</v>
      </c>
      <c r="P1902" s="30" t="n">
        <v>-0.64</v>
      </c>
      <c r="Q1902" s="27" t="s">
        <v>3953</v>
      </c>
      <c r="R1902" s="27" t="s">
        <v>60</v>
      </c>
    </row>
    <row r="1903" customFormat="false" ht="15" hidden="false" customHeight="false" outlineLevel="0" collapsed="false">
      <c r="A1903" s="25" t="n">
        <f aca="false">IF(G1903="REJECT",COUNTIF($G$2:$G$2277,"&lt;&gt;REJECT")+1+COUNTIFS($G$2:$G$2277,"REJECT",$B$2:$B$2277,"&gt;"&amp;B1903),1+COUNTIFS($G$2:$G$2277,"&lt;&gt;REJECT",$B$2:$B$2277,"&gt;"&amp;B1903))</f>
        <v>1902</v>
      </c>
      <c r="B1903" s="26" t="n">
        <f aca="false">ROUND(($U$2*MAX(0,MIN(1,($W$2-I1903)/($W$2-$V$2)))+$U$3*MAX(0,MIN(1,($W$3-J1903)/($W$3-$V$3)))+$U$4*MAX(0,MIN(1,($W$4-K1903)/($W$4-$V$4)))+$U$5*MAX(0,MIN(1,($W$5-L1903)/($W$5-$V$5)))+$U$6*MAX(0,MIN(1,($W$6-M1903)/($W$6-$V$6)))+$U$7*MAX(0,MIN(1,($W$7-N1903)/($W$7-$V$7)))+$U$8*IF(AND(O1903&gt;=$V$8,O1903&lt;=$W$8),1,0))/$U$9*100,2)</f>
        <v>44.36</v>
      </c>
      <c r="C1903" s="27" t="s">
        <v>2080</v>
      </c>
      <c r="D1903" s="25" t="s">
        <v>134</v>
      </c>
      <c r="E1903" s="25" t="s">
        <v>3447</v>
      </c>
      <c r="F1903" s="25" t="s">
        <v>3448</v>
      </c>
      <c r="G1903" s="39" t="s">
        <v>32</v>
      </c>
      <c r="H1903" s="39" t="s">
        <v>26</v>
      </c>
      <c r="I1903" s="25" t="n">
        <v>10</v>
      </c>
      <c r="J1903" s="25" t="n">
        <v>0</v>
      </c>
      <c r="K1903" s="25" t="n">
        <v>10</v>
      </c>
      <c r="L1903" s="29" t="n">
        <v>0.76</v>
      </c>
      <c r="M1903" s="30" t="n">
        <v>18.26</v>
      </c>
      <c r="N1903" s="29" t="n">
        <v>0.12</v>
      </c>
      <c r="O1903" s="25" t="n">
        <v>183</v>
      </c>
      <c r="P1903" s="30" t="n">
        <v>3.35</v>
      </c>
      <c r="Q1903" s="27" t="s">
        <v>3954</v>
      </c>
      <c r="R1903" s="27" t="s">
        <v>60</v>
      </c>
    </row>
    <row r="1904" customFormat="false" ht="15" hidden="false" customHeight="false" outlineLevel="0" collapsed="false">
      <c r="A1904" s="25" t="n">
        <f aca="false">IF(G1904="REJECT",COUNTIF($G$2:$G$2277,"&lt;&gt;REJECT")+1+COUNTIFS($G$2:$G$2277,"REJECT",$B$2:$B$2277,"&gt;"&amp;B1904),1+COUNTIFS($G$2:$G$2277,"&lt;&gt;REJECT",$B$2:$B$2277,"&gt;"&amp;B1904))</f>
        <v>1903</v>
      </c>
      <c r="B1904" s="26" t="n">
        <f aca="false">ROUND(($U$2*MAX(0,MIN(1,($W$2-I1904)/($W$2-$V$2)))+$U$3*MAX(0,MIN(1,($W$3-J1904)/($W$3-$V$3)))+$U$4*MAX(0,MIN(1,($W$4-K1904)/($W$4-$V$4)))+$U$5*MAX(0,MIN(1,($W$5-L1904)/($W$5-$V$5)))+$U$6*MAX(0,MIN(1,($W$6-M1904)/($W$6-$V$6)))+$U$7*MAX(0,MIN(1,($W$7-N1904)/($W$7-$V$7)))+$U$8*IF(AND(O1904&gt;=$V$8,O1904&lt;=$W$8),1,0))/$U$9*100,2)</f>
        <v>44.31</v>
      </c>
      <c r="C1904" s="27" t="s">
        <v>1799</v>
      </c>
      <c r="D1904" s="25" t="s">
        <v>134</v>
      </c>
      <c r="E1904" s="25" t="s">
        <v>3447</v>
      </c>
      <c r="F1904" s="25" t="s">
        <v>3448</v>
      </c>
      <c r="G1904" s="39" t="s">
        <v>32</v>
      </c>
      <c r="H1904" s="39" t="s">
        <v>26</v>
      </c>
      <c r="I1904" s="25" t="n">
        <v>7</v>
      </c>
      <c r="J1904" s="25" t="n">
        <v>0</v>
      </c>
      <c r="K1904" s="25" t="n">
        <v>7</v>
      </c>
      <c r="L1904" s="29" t="n">
        <v>0.63</v>
      </c>
      <c r="M1904" s="30" t="n">
        <v>0.85</v>
      </c>
      <c r="N1904" s="29" t="n">
        <v>0.96</v>
      </c>
      <c r="O1904" s="25" t="n">
        <v>186</v>
      </c>
      <c r="P1904" s="30" t="n">
        <v>-0.03</v>
      </c>
      <c r="Q1904" s="27" t="s">
        <v>3955</v>
      </c>
      <c r="R1904" s="27" t="s">
        <v>3879</v>
      </c>
    </row>
    <row r="1905" customFormat="false" ht="15" hidden="false" customHeight="false" outlineLevel="0" collapsed="false">
      <c r="A1905" s="25" t="n">
        <f aca="false">IF(G1905="REJECT",COUNTIF($G$2:$G$2277,"&lt;&gt;REJECT")+1+COUNTIFS($G$2:$G$2277,"REJECT",$B$2:$B$2277,"&gt;"&amp;B1905),1+COUNTIFS($G$2:$G$2277,"&lt;&gt;REJECT",$B$2:$B$2277,"&gt;"&amp;B1905))</f>
        <v>1904</v>
      </c>
      <c r="B1905" s="26" t="n">
        <f aca="false">ROUND(($U$2*MAX(0,MIN(1,($W$2-I1905)/($W$2-$V$2)))+$U$3*MAX(0,MIN(1,($W$3-J1905)/($W$3-$V$3)))+$U$4*MAX(0,MIN(1,($W$4-K1905)/($W$4-$V$4)))+$U$5*MAX(0,MIN(1,($W$5-L1905)/($W$5-$V$5)))+$U$6*MAX(0,MIN(1,($W$6-M1905)/($W$6-$V$6)))+$U$7*MAX(0,MIN(1,($W$7-N1905)/($W$7-$V$7)))+$U$8*IF(AND(O1905&gt;=$V$8,O1905&lt;=$W$8),1,0))/$U$9*100,2)</f>
        <v>44.16</v>
      </c>
      <c r="C1905" s="27" t="s">
        <v>2216</v>
      </c>
      <c r="D1905" s="25" t="s">
        <v>134</v>
      </c>
      <c r="E1905" s="25" t="s">
        <v>3447</v>
      </c>
      <c r="F1905" s="25" t="s">
        <v>3448</v>
      </c>
      <c r="G1905" s="39" t="s">
        <v>32</v>
      </c>
      <c r="H1905" s="39" t="s">
        <v>26</v>
      </c>
      <c r="I1905" s="25" t="n">
        <v>10</v>
      </c>
      <c r="J1905" s="25" t="n">
        <v>0</v>
      </c>
      <c r="K1905" s="25" t="n">
        <v>10</v>
      </c>
      <c r="L1905" s="29" t="n">
        <v>0.76</v>
      </c>
      <c r="M1905" s="30" t="n">
        <v>13.84</v>
      </c>
      <c r="N1905" s="29" t="n">
        <v>0.68</v>
      </c>
      <c r="O1905" s="25" t="n">
        <v>185</v>
      </c>
      <c r="P1905" s="30" t="n">
        <v>17.39</v>
      </c>
      <c r="Q1905" s="27" t="s">
        <v>3956</v>
      </c>
      <c r="R1905" s="27" t="s">
        <v>60</v>
      </c>
    </row>
    <row r="1906" customFormat="false" ht="15" hidden="false" customHeight="false" outlineLevel="0" collapsed="false">
      <c r="A1906" s="25" t="n">
        <f aca="false">IF(G1906="REJECT",COUNTIF($G$2:$G$2277,"&lt;&gt;REJECT")+1+COUNTIFS($G$2:$G$2277,"REJECT",$B$2:$B$2277,"&gt;"&amp;B1906),1+COUNTIFS($G$2:$G$2277,"&lt;&gt;REJECT",$B$2:$B$2277,"&gt;"&amp;B1906))</f>
        <v>1905</v>
      </c>
      <c r="B1906" s="26" t="n">
        <f aca="false">ROUND(($U$2*MAX(0,MIN(1,($W$2-I1906)/($W$2-$V$2)))+$U$3*MAX(0,MIN(1,($W$3-J1906)/($W$3-$V$3)))+$U$4*MAX(0,MIN(1,($W$4-K1906)/($W$4-$V$4)))+$U$5*MAX(0,MIN(1,($W$5-L1906)/($W$5-$V$5)))+$U$6*MAX(0,MIN(1,($W$6-M1906)/($W$6-$V$6)))+$U$7*MAX(0,MIN(1,($W$7-N1906)/($W$7-$V$7)))+$U$8*IF(AND(O1906&gt;=$V$8,O1906&lt;=$W$8),1,0))/$U$9*100,2)</f>
        <v>44.14</v>
      </c>
      <c r="C1906" s="27" t="s">
        <v>2280</v>
      </c>
      <c r="D1906" s="25" t="s">
        <v>134</v>
      </c>
      <c r="E1906" s="25" t="s">
        <v>3447</v>
      </c>
      <c r="F1906" s="25" t="s">
        <v>3448</v>
      </c>
      <c r="G1906" s="39" t="s">
        <v>32</v>
      </c>
      <c r="H1906" s="39" t="s">
        <v>26</v>
      </c>
      <c r="I1906" s="25" t="n">
        <v>7</v>
      </c>
      <c r="J1906" s="25" t="n">
        <v>0</v>
      </c>
      <c r="K1906" s="25" t="n">
        <v>7</v>
      </c>
      <c r="L1906" s="29" t="n">
        <v>0.64</v>
      </c>
      <c r="M1906" s="30" t="n">
        <v>15.05</v>
      </c>
      <c r="N1906" s="29" t="n">
        <v>0</v>
      </c>
      <c r="O1906" s="25" t="n">
        <v>184</v>
      </c>
      <c r="P1906" s="30" t="n">
        <v>2.27</v>
      </c>
      <c r="Q1906" s="27" t="s">
        <v>3957</v>
      </c>
      <c r="R1906" s="27" t="s">
        <v>60</v>
      </c>
    </row>
    <row r="1907" customFormat="false" ht="15" hidden="false" customHeight="false" outlineLevel="0" collapsed="false">
      <c r="A1907" s="25" t="n">
        <f aca="false">IF(G1907="REJECT",COUNTIF($G$2:$G$2277,"&lt;&gt;REJECT")+1+COUNTIFS($G$2:$G$2277,"REJECT",$B$2:$B$2277,"&gt;"&amp;B1907),1+COUNTIFS($G$2:$G$2277,"&lt;&gt;REJECT",$B$2:$B$2277,"&gt;"&amp;B1907))</f>
        <v>1906</v>
      </c>
      <c r="B1907" s="26" t="n">
        <f aca="false">ROUND(($U$2*MAX(0,MIN(1,($W$2-I1907)/($W$2-$V$2)))+$U$3*MAX(0,MIN(1,($W$3-J1907)/($W$3-$V$3)))+$U$4*MAX(0,MIN(1,($W$4-K1907)/($W$4-$V$4)))+$U$5*MAX(0,MIN(1,($W$5-L1907)/($W$5-$V$5)))+$U$6*MAX(0,MIN(1,($W$6-M1907)/($W$6-$V$6)))+$U$7*MAX(0,MIN(1,($W$7-N1907)/($W$7-$V$7)))+$U$8*IF(AND(O1907&gt;=$V$8,O1907&lt;=$W$8),1,0))/$U$9*100,2)</f>
        <v>44.05</v>
      </c>
      <c r="C1907" s="27" t="s">
        <v>768</v>
      </c>
      <c r="D1907" s="25" t="s">
        <v>134</v>
      </c>
      <c r="E1907" s="25" t="s">
        <v>3447</v>
      </c>
      <c r="F1907" s="25" t="s">
        <v>3448</v>
      </c>
      <c r="G1907" s="39" t="s">
        <v>32</v>
      </c>
      <c r="H1907" s="39" t="s">
        <v>26</v>
      </c>
      <c r="I1907" s="25" t="n">
        <v>10</v>
      </c>
      <c r="J1907" s="25" t="n">
        <v>0</v>
      </c>
      <c r="K1907" s="25" t="n">
        <v>10</v>
      </c>
      <c r="L1907" s="29" t="n">
        <v>0.74</v>
      </c>
      <c r="M1907" s="30" t="n">
        <v>10.51</v>
      </c>
      <c r="N1907" s="29" t="n">
        <v>0.36</v>
      </c>
      <c r="O1907" s="25" t="n">
        <v>186</v>
      </c>
      <c r="P1907" s="30" t="n">
        <v>6.25</v>
      </c>
      <c r="Q1907" s="27" t="s">
        <v>3958</v>
      </c>
      <c r="R1907" s="27" t="s">
        <v>3885</v>
      </c>
    </row>
    <row r="1908" customFormat="false" ht="15" hidden="false" customHeight="false" outlineLevel="0" collapsed="false">
      <c r="A1908" s="25" t="n">
        <f aca="false">IF(G1908="REJECT",COUNTIF($G$2:$G$2277,"&lt;&gt;REJECT")+1+COUNTIFS($G$2:$G$2277,"REJECT",$B$2:$B$2277,"&gt;"&amp;B1908),1+COUNTIFS($G$2:$G$2277,"&lt;&gt;REJECT",$B$2:$B$2277,"&gt;"&amp;B1908))</f>
        <v>1907</v>
      </c>
      <c r="B1908" s="26" t="n">
        <f aca="false">ROUND(($U$2*MAX(0,MIN(1,($W$2-I1908)/($W$2-$V$2)))+$U$3*MAX(0,MIN(1,($W$3-J1908)/($W$3-$V$3)))+$U$4*MAX(0,MIN(1,($W$4-K1908)/($W$4-$V$4)))+$U$5*MAX(0,MIN(1,($W$5-L1908)/($W$5-$V$5)))+$U$6*MAX(0,MIN(1,($W$6-M1908)/($W$6-$V$6)))+$U$7*MAX(0,MIN(1,($W$7-N1908)/($W$7-$V$7)))+$U$8*IF(AND(O1908&gt;=$V$8,O1908&lt;=$W$8),1,0))/$U$9*100,2)</f>
        <v>43.97</v>
      </c>
      <c r="C1908" s="27" t="s">
        <v>310</v>
      </c>
      <c r="D1908" s="25" t="s">
        <v>134</v>
      </c>
      <c r="E1908" s="25" t="s">
        <v>3447</v>
      </c>
      <c r="F1908" s="25" t="s">
        <v>3448</v>
      </c>
      <c r="G1908" s="39" t="s">
        <v>32</v>
      </c>
      <c r="H1908" s="39" t="s">
        <v>26</v>
      </c>
      <c r="I1908" s="25" t="n">
        <v>9</v>
      </c>
      <c r="J1908" s="25" t="n">
        <v>0</v>
      </c>
      <c r="K1908" s="25" t="n">
        <v>9</v>
      </c>
      <c r="L1908" s="29" t="n">
        <v>0.78</v>
      </c>
      <c r="M1908" s="30" t="n">
        <v>26.97</v>
      </c>
      <c r="N1908" s="29" t="n">
        <v>0.2</v>
      </c>
      <c r="O1908" s="25" t="n">
        <v>182</v>
      </c>
      <c r="P1908" s="30" t="n">
        <v>9.82</v>
      </c>
      <c r="Q1908" s="27" t="s">
        <v>3930</v>
      </c>
      <c r="R1908" s="27" t="s">
        <v>3896</v>
      </c>
    </row>
    <row r="1909" customFormat="false" ht="15" hidden="false" customHeight="false" outlineLevel="0" collapsed="false">
      <c r="A1909" s="25" t="n">
        <f aca="false">IF(G1909="REJECT",COUNTIF($G$2:$G$2277,"&lt;&gt;REJECT")+1+COUNTIFS($G$2:$G$2277,"REJECT",$B$2:$B$2277,"&gt;"&amp;B1909),1+COUNTIFS($G$2:$G$2277,"&lt;&gt;REJECT",$B$2:$B$2277,"&gt;"&amp;B1909))</f>
        <v>1908</v>
      </c>
      <c r="B1909" s="26" t="n">
        <f aca="false">ROUND(($U$2*MAX(0,MIN(1,($W$2-I1909)/($W$2-$V$2)))+$U$3*MAX(0,MIN(1,($W$3-J1909)/($W$3-$V$3)))+$U$4*MAX(0,MIN(1,($W$4-K1909)/($W$4-$V$4)))+$U$5*MAX(0,MIN(1,($W$5-L1909)/($W$5-$V$5)))+$U$6*MAX(0,MIN(1,($W$6-M1909)/($W$6-$V$6)))+$U$7*MAX(0,MIN(1,($W$7-N1909)/($W$7-$V$7)))+$U$8*IF(AND(O1909&gt;=$V$8,O1909&lt;=$W$8),1,0))/$U$9*100,2)</f>
        <v>43.89</v>
      </c>
      <c r="C1909" s="27" t="s">
        <v>430</v>
      </c>
      <c r="D1909" s="25" t="s">
        <v>134</v>
      </c>
      <c r="E1909" s="25" t="s">
        <v>3447</v>
      </c>
      <c r="F1909" s="25" t="s">
        <v>3448</v>
      </c>
      <c r="G1909" s="39" t="s">
        <v>32</v>
      </c>
      <c r="H1909" s="39" t="s">
        <v>26</v>
      </c>
      <c r="I1909" s="25" t="n">
        <v>14</v>
      </c>
      <c r="J1909" s="25" t="n">
        <v>0</v>
      </c>
      <c r="K1909" s="25" t="n">
        <v>14</v>
      </c>
      <c r="L1909" s="29" t="n">
        <v>0.74</v>
      </c>
      <c r="M1909" s="30" t="n">
        <v>7.05</v>
      </c>
      <c r="N1909" s="29" t="n">
        <v>0.8</v>
      </c>
      <c r="O1909" s="25" t="n">
        <v>185</v>
      </c>
      <c r="P1909" s="30" t="n">
        <v>2.44</v>
      </c>
      <c r="Q1909" s="27" t="s">
        <v>3959</v>
      </c>
      <c r="R1909" s="27" t="s">
        <v>3885</v>
      </c>
    </row>
    <row r="1910" customFormat="false" ht="15" hidden="false" customHeight="false" outlineLevel="0" collapsed="false">
      <c r="A1910" s="25" t="n">
        <f aca="false">IF(G1910="REJECT",COUNTIF($G$2:$G$2277,"&lt;&gt;REJECT")+1+COUNTIFS($G$2:$G$2277,"REJECT",$B$2:$B$2277,"&gt;"&amp;B1910),1+COUNTIFS($G$2:$G$2277,"&lt;&gt;REJECT",$B$2:$B$2277,"&gt;"&amp;B1910))</f>
        <v>1909</v>
      </c>
      <c r="B1910" s="26" t="n">
        <f aca="false">ROUND(($U$2*MAX(0,MIN(1,($W$2-I1910)/($W$2-$V$2)))+$U$3*MAX(0,MIN(1,($W$3-J1910)/($W$3-$V$3)))+$U$4*MAX(0,MIN(1,($W$4-K1910)/($W$4-$V$4)))+$U$5*MAX(0,MIN(1,($W$5-L1910)/($W$5-$V$5)))+$U$6*MAX(0,MIN(1,($W$6-M1910)/($W$6-$V$6)))+$U$7*MAX(0,MIN(1,($W$7-N1910)/($W$7-$V$7)))+$U$8*IF(AND(O1910&gt;=$V$8,O1910&lt;=$W$8),1,0))/$U$9*100,2)</f>
        <v>43.87</v>
      </c>
      <c r="C1910" s="27" t="s">
        <v>1639</v>
      </c>
      <c r="D1910" s="25" t="s">
        <v>134</v>
      </c>
      <c r="E1910" s="25" t="s">
        <v>3450</v>
      </c>
      <c r="F1910" s="25" t="s">
        <v>3457</v>
      </c>
      <c r="G1910" s="39" t="s">
        <v>32</v>
      </c>
      <c r="H1910" s="39" t="s">
        <v>26</v>
      </c>
      <c r="I1910" s="25" t="n">
        <v>4</v>
      </c>
      <c r="J1910" s="25" t="n">
        <v>2</v>
      </c>
      <c r="K1910" s="25" t="n">
        <v>4</v>
      </c>
      <c r="L1910" s="29" t="n">
        <v>0.66</v>
      </c>
      <c r="M1910" s="30" t="n">
        <v>8.76</v>
      </c>
      <c r="N1910" s="29" t="n">
        <v>0.76</v>
      </c>
      <c r="O1910" s="25" t="n">
        <v>193</v>
      </c>
      <c r="P1910" s="30" t="n">
        <v>15.5</v>
      </c>
      <c r="Q1910" s="27" t="s">
        <v>3951</v>
      </c>
      <c r="R1910" s="27" t="s">
        <v>65</v>
      </c>
    </row>
    <row r="1911" customFormat="false" ht="15" hidden="false" customHeight="false" outlineLevel="0" collapsed="false">
      <c r="A1911" s="25" t="n">
        <f aca="false">IF(G1911="REJECT",COUNTIF($G$2:$G$2277,"&lt;&gt;REJECT")+1+COUNTIFS($G$2:$G$2277,"REJECT",$B$2:$B$2277,"&gt;"&amp;B1911),1+COUNTIFS($G$2:$G$2277,"&lt;&gt;REJECT",$B$2:$B$2277,"&gt;"&amp;B1911))</f>
        <v>1910</v>
      </c>
      <c r="B1911" s="26" t="n">
        <f aca="false">ROUND(($U$2*MAX(0,MIN(1,($W$2-I1911)/($W$2-$V$2)))+$U$3*MAX(0,MIN(1,($W$3-J1911)/($W$3-$V$3)))+$U$4*MAX(0,MIN(1,($W$4-K1911)/($W$4-$V$4)))+$U$5*MAX(0,MIN(1,($W$5-L1911)/($W$5-$V$5)))+$U$6*MAX(0,MIN(1,($W$6-M1911)/($W$6-$V$6)))+$U$7*MAX(0,MIN(1,($W$7-N1911)/($W$7-$V$7)))+$U$8*IF(AND(O1911&gt;=$V$8,O1911&lt;=$W$8),1,0))/$U$9*100,2)</f>
        <v>43.76</v>
      </c>
      <c r="C1911" s="27" t="s">
        <v>1750</v>
      </c>
      <c r="D1911" s="25" t="s">
        <v>134</v>
      </c>
      <c r="E1911" s="25" t="s">
        <v>3447</v>
      </c>
      <c r="F1911" s="25" t="s">
        <v>3448</v>
      </c>
      <c r="G1911" s="39" t="s">
        <v>32</v>
      </c>
      <c r="H1911" s="39" t="s">
        <v>26</v>
      </c>
      <c r="I1911" s="25" t="n">
        <v>9</v>
      </c>
      <c r="J1911" s="25" t="n">
        <v>0</v>
      </c>
      <c r="K1911" s="25" t="n">
        <v>9</v>
      </c>
      <c r="L1911" s="29" t="n">
        <v>0.74</v>
      </c>
      <c r="M1911" s="30" t="n">
        <v>11.07</v>
      </c>
      <c r="N1911" s="29" t="n">
        <v>0.48</v>
      </c>
      <c r="O1911" s="25" t="n">
        <v>183</v>
      </c>
      <c r="P1911" s="30" t="n">
        <v>6.08</v>
      </c>
      <c r="Q1911" s="27" t="s">
        <v>3960</v>
      </c>
      <c r="R1911" s="27" t="s">
        <v>60</v>
      </c>
    </row>
    <row r="1912" customFormat="false" ht="15" hidden="false" customHeight="false" outlineLevel="0" collapsed="false">
      <c r="A1912" s="25" t="n">
        <f aca="false">IF(G1912="REJECT",COUNTIF($G$2:$G$2277,"&lt;&gt;REJECT")+1+COUNTIFS($G$2:$G$2277,"REJECT",$B$2:$B$2277,"&gt;"&amp;B1912),1+COUNTIFS($G$2:$G$2277,"&lt;&gt;REJECT",$B$2:$B$2277,"&gt;"&amp;B1912))</f>
        <v>1911</v>
      </c>
      <c r="B1912" s="26" t="n">
        <f aca="false">ROUND(($U$2*MAX(0,MIN(1,($W$2-I1912)/($W$2-$V$2)))+$U$3*MAX(0,MIN(1,($W$3-J1912)/($W$3-$V$3)))+$U$4*MAX(0,MIN(1,($W$4-K1912)/($W$4-$V$4)))+$U$5*MAX(0,MIN(1,($W$5-L1912)/($W$5-$V$5)))+$U$6*MAX(0,MIN(1,($W$6-M1912)/($W$6-$V$6)))+$U$7*MAX(0,MIN(1,($W$7-N1912)/($W$7-$V$7)))+$U$8*IF(AND(O1912&gt;=$V$8,O1912&lt;=$W$8),1,0))/$U$9*100,2)</f>
        <v>43.6</v>
      </c>
      <c r="C1912" s="27" t="s">
        <v>2247</v>
      </c>
      <c r="D1912" s="25" t="s">
        <v>3459</v>
      </c>
      <c r="E1912" s="25" t="s">
        <v>3447</v>
      </c>
      <c r="F1912" s="25" t="s">
        <v>3448</v>
      </c>
      <c r="G1912" s="39" t="s">
        <v>32</v>
      </c>
      <c r="H1912" s="39" t="s">
        <v>26</v>
      </c>
      <c r="I1912" s="25" t="n">
        <v>9</v>
      </c>
      <c r="J1912" s="25" t="n">
        <v>0</v>
      </c>
      <c r="K1912" s="25" t="n">
        <v>9</v>
      </c>
      <c r="L1912" s="29" t="n">
        <v>0.77</v>
      </c>
      <c r="M1912" s="30" t="n">
        <v>19.63</v>
      </c>
      <c r="N1912" s="29" t="n">
        <v>0.8</v>
      </c>
      <c r="O1912" s="25" t="n">
        <v>185</v>
      </c>
      <c r="P1912" s="30" t="n">
        <v>13.93</v>
      </c>
      <c r="Q1912" s="27" t="s">
        <v>3961</v>
      </c>
      <c r="R1912" s="27" t="s">
        <v>60</v>
      </c>
    </row>
    <row r="1913" customFormat="false" ht="15" hidden="false" customHeight="false" outlineLevel="0" collapsed="false">
      <c r="A1913" s="25" t="n">
        <f aca="false">IF(G1913="REJECT",COUNTIF($G$2:$G$2277,"&lt;&gt;REJECT")+1+COUNTIFS($G$2:$G$2277,"REJECT",$B$2:$B$2277,"&gt;"&amp;B1913),1+COUNTIFS($G$2:$G$2277,"&lt;&gt;REJECT",$B$2:$B$2277,"&gt;"&amp;B1913))</f>
        <v>1912</v>
      </c>
      <c r="B1913" s="26" t="n">
        <f aca="false">ROUND(($U$2*MAX(0,MIN(1,($W$2-I1913)/($W$2-$V$2)))+$U$3*MAX(0,MIN(1,($W$3-J1913)/($W$3-$V$3)))+$U$4*MAX(0,MIN(1,($W$4-K1913)/($W$4-$V$4)))+$U$5*MAX(0,MIN(1,($W$5-L1913)/($W$5-$V$5)))+$U$6*MAX(0,MIN(1,($W$6-M1913)/($W$6-$V$6)))+$U$7*MAX(0,MIN(1,($W$7-N1913)/($W$7-$V$7)))+$U$8*IF(AND(O1913&gt;=$V$8,O1913&lt;=$W$8),1,0))/$U$9*100,2)</f>
        <v>43.48</v>
      </c>
      <c r="C1913" s="27" t="s">
        <v>253</v>
      </c>
      <c r="D1913" s="25" t="s">
        <v>134</v>
      </c>
      <c r="E1913" s="25" t="s">
        <v>3447</v>
      </c>
      <c r="F1913" s="25" t="s">
        <v>3448</v>
      </c>
      <c r="G1913" s="39" t="s">
        <v>32</v>
      </c>
      <c r="H1913" s="39" t="s">
        <v>26</v>
      </c>
      <c r="I1913" s="25" t="n">
        <v>10</v>
      </c>
      <c r="J1913" s="25" t="n">
        <v>0</v>
      </c>
      <c r="K1913" s="25" t="n">
        <v>10</v>
      </c>
      <c r="L1913" s="29" t="n">
        <v>0.73</v>
      </c>
      <c r="M1913" s="30" t="n">
        <v>13.95</v>
      </c>
      <c r="N1913" s="29" t="n">
        <v>0</v>
      </c>
      <c r="O1913" s="25" t="n">
        <v>184</v>
      </c>
      <c r="P1913" s="30" t="n">
        <v>6.72</v>
      </c>
      <c r="Q1913" s="27" t="s">
        <v>3962</v>
      </c>
      <c r="R1913" s="27" t="s">
        <v>60</v>
      </c>
    </row>
    <row r="1914" customFormat="false" ht="15" hidden="false" customHeight="false" outlineLevel="0" collapsed="false">
      <c r="A1914" s="25" t="n">
        <f aca="false">IF(G1914="REJECT",COUNTIF($G$2:$G$2277,"&lt;&gt;REJECT")+1+COUNTIFS($G$2:$G$2277,"REJECT",$B$2:$B$2277,"&gt;"&amp;B1914),1+COUNTIFS($G$2:$G$2277,"&lt;&gt;REJECT",$B$2:$B$2277,"&gt;"&amp;B1914))</f>
        <v>1913</v>
      </c>
      <c r="B1914" s="26" t="n">
        <f aca="false">ROUND(($U$2*MAX(0,MIN(1,($W$2-I1914)/($W$2-$V$2)))+$U$3*MAX(0,MIN(1,($W$3-J1914)/($W$3-$V$3)))+$U$4*MAX(0,MIN(1,($W$4-K1914)/($W$4-$V$4)))+$U$5*MAX(0,MIN(1,($W$5-L1914)/($W$5-$V$5)))+$U$6*MAX(0,MIN(1,($W$6-M1914)/($W$6-$V$6)))+$U$7*MAX(0,MIN(1,($W$7-N1914)/($W$7-$V$7)))+$U$8*IF(AND(O1914&gt;=$V$8,O1914&lt;=$W$8),1,0))/$U$9*100,2)</f>
        <v>43.39</v>
      </c>
      <c r="C1914" s="27" t="s">
        <v>2574</v>
      </c>
      <c r="D1914" s="25" t="s">
        <v>134</v>
      </c>
      <c r="E1914" s="25" t="s">
        <v>3447</v>
      </c>
      <c r="F1914" s="25" t="s">
        <v>3457</v>
      </c>
      <c r="G1914" s="39" t="s">
        <v>32</v>
      </c>
      <c r="H1914" s="39" t="s">
        <v>26</v>
      </c>
      <c r="I1914" s="25" t="n">
        <v>8</v>
      </c>
      <c r="J1914" s="25" t="n">
        <v>0</v>
      </c>
      <c r="K1914" s="25" t="n">
        <v>8</v>
      </c>
      <c r="L1914" s="29" t="n">
        <v>0.73</v>
      </c>
      <c r="M1914" s="30" t="n">
        <v>12.09</v>
      </c>
      <c r="N1914" s="29" t="n">
        <v>0.24</v>
      </c>
      <c r="O1914" s="25" t="n">
        <v>183</v>
      </c>
      <c r="P1914" s="30" t="n">
        <v>4.81</v>
      </c>
      <c r="Q1914" s="27" t="s">
        <v>3963</v>
      </c>
      <c r="R1914" s="27" t="s">
        <v>60</v>
      </c>
    </row>
    <row r="1915" customFormat="false" ht="15" hidden="false" customHeight="false" outlineLevel="0" collapsed="false">
      <c r="A1915" s="25" t="n">
        <f aca="false">IF(G1915="REJECT",COUNTIF($G$2:$G$2277,"&lt;&gt;REJECT")+1+COUNTIFS($G$2:$G$2277,"REJECT",$B$2:$B$2277,"&gt;"&amp;B1915),1+COUNTIFS($G$2:$G$2277,"&lt;&gt;REJECT",$B$2:$B$2277,"&gt;"&amp;B1915))</f>
        <v>1914</v>
      </c>
      <c r="B1915" s="26" t="n">
        <f aca="false">ROUND(($U$2*MAX(0,MIN(1,($W$2-I1915)/($W$2-$V$2)))+$U$3*MAX(0,MIN(1,($W$3-J1915)/($W$3-$V$3)))+$U$4*MAX(0,MIN(1,($W$4-K1915)/($W$4-$V$4)))+$U$5*MAX(0,MIN(1,($W$5-L1915)/($W$5-$V$5)))+$U$6*MAX(0,MIN(1,($W$6-M1915)/($W$6-$V$6)))+$U$7*MAX(0,MIN(1,($W$7-N1915)/($W$7-$V$7)))+$U$8*IF(AND(O1915&gt;=$V$8,O1915&lt;=$W$8),1,0))/$U$9*100,2)</f>
        <v>43.32</v>
      </c>
      <c r="C1915" s="27" t="s">
        <v>714</v>
      </c>
      <c r="D1915" s="25" t="s">
        <v>134</v>
      </c>
      <c r="E1915" s="25" t="s">
        <v>3450</v>
      </c>
      <c r="F1915" s="25" t="s">
        <v>3457</v>
      </c>
      <c r="G1915" s="39" t="s">
        <v>32</v>
      </c>
      <c r="H1915" s="39" t="s">
        <v>26</v>
      </c>
      <c r="I1915" s="25" t="n">
        <v>10</v>
      </c>
      <c r="J1915" s="25" t="n">
        <v>0</v>
      </c>
      <c r="K1915" s="25" t="n">
        <v>10</v>
      </c>
      <c r="L1915" s="29" t="n">
        <v>0.74</v>
      </c>
      <c r="M1915" s="30" t="n">
        <v>9.71</v>
      </c>
      <c r="N1915" s="29" t="n">
        <v>0.88</v>
      </c>
      <c r="O1915" s="25" t="n">
        <v>187</v>
      </c>
      <c r="P1915" s="30" t="n">
        <v>17.68</v>
      </c>
      <c r="Q1915" s="27" t="s">
        <v>3956</v>
      </c>
      <c r="R1915" s="27" t="s">
        <v>60</v>
      </c>
    </row>
    <row r="1916" customFormat="false" ht="15" hidden="false" customHeight="false" outlineLevel="0" collapsed="false">
      <c r="A1916" s="25" t="n">
        <f aca="false">IF(G1916="REJECT",COUNTIF($G$2:$G$2277,"&lt;&gt;REJECT")+1+COUNTIFS($G$2:$G$2277,"REJECT",$B$2:$B$2277,"&gt;"&amp;B1916),1+COUNTIFS($G$2:$G$2277,"&lt;&gt;REJECT",$B$2:$B$2277,"&gt;"&amp;B1916))</f>
        <v>1915</v>
      </c>
      <c r="B1916" s="26" t="n">
        <f aca="false">ROUND(($U$2*MAX(0,MIN(1,($W$2-I1916)/($W$2-$V$2)))+$U$3*MAX(0,MIN(1,($W$3-J1916)/($W$3-$V$3)))+$U$4*MAX(0,MIN(1,($W$4-K1916)/($W$4-$V$4)))+$U$5*MAX(0,MIN(1,($W$5-L1916)/($W$5-$V$5)))+$U$6*MAX(0,MIN(1,($W$6-M1916)/($W$6-$V$6)))+$U$7*MAX(0,MIN(1,($W$7-N1916)/($W$7-$V$7)))+$U$8*IF(AND(O1916&gt;=$V$8,O1916&lt;=$W$8),1,0))/$U$9*100,2)</f>
        <v>43.29</v>
      </c>
      <c r="C1916" s="27" t="s">
        <v>2407</v>
      </c>
      <c r="D1916" s="25" t="s">
        <v>134</v>
      </c>
      <c r="E1916" s="25" t="s">
        <v>3447</v>
      </c>
      <c r="F1916" s="25" t="s">
        <v>3448</v>
      </c>
      <c r="G1916" s="39" t="s">
        <v>32</v>
      </c>
      <c r="H1916" s="39" t="s">
        <v>26</v>
      </c>
      <c r="I1916" s="25" t="n">
        <v>8</v>
      </c>
      <c r="J1916" s="25" t="n">
        <v>0</v>
      </c>
      <c r="K1916" s="25" t="n">
        <v>8</v>
      </c>
      <c r="L1916" s="29" t="n">
        <v>0.7</v>
      </c>
      <c r="M1916" s="30" t="n">
        <v>1.87</v>
      </c>
      <c r="N1916" s="29" t="n">
        <v>0.24</v>
      </c>
      <c r="O1916" s="25" t="n">
        <v>194</v>
      </c>
      <c r="P1916" s="30" t="n">
        <v>7.86</v>
      </c>
      <c r="Q1916" s="27" t="s">
        <v>3964</v>
      </c>
      <c r="R1916" s="27" t="s">
        <v>60</v>
      </c>
    </row>
    <row r="1917" customFormat="false" ht="15" hidden="false" customHeight="false" outlineLevel="0" collapsed="false">
      <c r="A1917" s="25" t="n">
        <f aca="false">IF(G1917="REJECT",COUNTIF($G$2:$G$2277,"&lt;&gt;REJECT")+1+COUNTIFS($G$2:$G$2277,"REJECT",$B$2:$B$2277,"&gt;"&amp;B1917),1+COUNTIFS($G$2:$G$2277,"&lt;&gt;REJECT",$B$2:$B$2277,"&gt;"&amp;B1917))</f>
        <v>1916</v>
      </c>
      <c r="B1917" s="26" t="n">
        <f aca="false">ROUND(($U$2*MAX(0,MIN(1,($W$2-I1917)/($W$2-$V$2)))+$U$3*MAX(0,MIN(1,($W$3-J1917)/($W$3-$V$3)))+$U$4*MAX(0,MIN(1,($W$4-K1917)/($W$4-$V$4)))+$U$5*MAX(0,MIN(1,($W$5-L1917)/($W$5-$V$5)))+$U$6*MAX(0,MIN(1,($W$6-M1917)/($W$6-$V$6)))+$U$7*MAX(0,MIN(1,($W$7-N1917)/($W$7-$V$7)))+$U$8*IF(AND(O1917&gt;=$V$8,O1917&lt;=$W$8),1,0))/$U$9*100,2)</f>
        <v>43.19</v>
      </c>
      <c r="C1917" s="27" t="s">
        <v>1566</v>
      </c>
      <c r="D1917" s="25" t="s">
        <v>134</v>
      </c>
      <c r="E1917" s="25" t="s">
        <v>3447</v>
      </c>
      <c r="F1917" s="25" t="s">
        <v>3448</v>
      </c>
      <c r="G1917" s="39" t="s">
        <v>32</v>
      </c>
      <c r="H1917" s="39" t="s">
        <v>26</v>
      </c>
      <c r="I1917" s="25" t="n">
        <v>7</v>
      </c>
      <c r="J1917" s="25" t="n">
        <v>1</v>
      </c>
      <c r="K1917" s="25" t="n">
        <v>7</v>
      </c>
      <c r="L1917" s="29" t="n">
        <v>0.81</v>
      </c>
      <c r="M1917" s="30" t="n">
        <v>9.19</v>
      </c>
      <c r="N1917" s="29" t="n">
        <v>0.92</v>
      </c>
      <c r="O1917" s="25" t="n">
        <v>183</v>
      </c>
      <c r="P1917" s="30" t="n">
        <v>3.24</v>
      </c>
      <c r="Q1917" s="27" t="s">
        <v>3965</v>
      </c>
      <c r="R1917" s="27" t="s">
        <v>529</v>
      </c>
    </row>
    <row r="1918" customFormat="false" ht="15" hidden="false" customHeight="false" outlineLevel="0" collapsed="false">
      <c r="A1918" s="25" t="n">
        <f aca="false">IF(G1918="REJECT",COUNTIF($G$2:$G$2277,"&lt;&gt;REJECT")+1+COUNTIFS($G$2:$G$2277,"REJECT",$B$2:$B$2277,"&gt;"&amp;B1918),1+COUNTIFS($G$2:$G$2277,"&lt;&gt;REJECT",$B$2:$B$2277,"&gt;"&amp;B1918))</f>
        <v>1917</v>
      </c>
      <c r="B1918" s="26" t="n">
        <f aca="false">ROUND(($U$2*MAX(0,MIN(1,($W$2-I1918)/($W$2-$V$2)))+$U$3*MAX(0,MIN(1,($W$3-J1918)/($W$3-$V$3)))+$U$4*MAX(0,MIN(1,($W$4-K1918)/($W$4-$V$4)))+$U$5*MAX(0,MIN(1,($W$5-L1918)/($W$5-$V$5)))+$U$6*MAX(0,MIN(1,($W$6-M1918)/($W$6-$V$6)))+$U$7*MAX(0,MIN(1,($W$7-N1918)/($W$7-$V$7)))+$U$8*IF(AND(O1918&gt;=$V$8,O1918&lt;=$W$8),1,0))/$U$9*100,2)</f>
        <v>43.15</v>
      </c>
      <c r="C1918" s="27" t="s">
        <v>2903</v>
      </c>
      <c r="D1918" s="25" t="s">
        <v>134</v>
      </c>
      <c r="E1918" s="25" t="s">
        <v>3447</v>
      </c>
      <c r="F1918" s="25" t="s">
        <v>3457</v>
      </c>
      <c r="G1918" s="39" t="s">
        <v>32</v>
      </c>
      <c r="H1918" s="39" t="s">
        <v>26</v>
      </c>
      <c r="I1918" s="25" t="n">
        <v>8</v>
      </c>
      <c r="J1918" s="25" t="n">
        <v>0</v>
      </c>
      <c r="K1918" s="25" t="n">
        <v>8</v>
      </c>
      <c r="L1918" s="29" t="n">
        <v>0.75</v>
      </c>
      <c r="M1918" s="30" t="n">
        <v>20.32</v>
      </c>
      <c r="N1918" s="29" t="n">
        <v>0.28</v>
      </c>
      <c r="O1918" s="25" t="n">
        <v>192</v>
      </c>
      <c r="P1918" s="30" t="n">
        <v>0.87</v>
      </c>
      <c r="Q1918" s="27" t="s">
        <v>3966</v>
      </c>
      <c r="R1918" s="27" t="s">
        <v>3896</v>
      </c>
    </row>
    <row r="1919" customFormat="false" ht="15" hidden="false" customHeight="false" outlineLevel="0" collapsed="false">
      <c r="A1919" s="25" t="n">
        <f aca="false">IF(G1919="REJECT",COUNTIF($G$2:$G$2277,"&lt;&gt;REJECT")+1+COUNTIFS($G$2:$G$2277,"REJECT",$B$2:$B$2277,"&gt;"&amp;B1919),1+COUNTIFS($G$2:$G$2277,"&lt;&gt;REJECT",$B$2:$B$2277,"&gt;"&amp;B1919))</f>
        <v>1918</v>
      </c>
      <c r="B1919" s="26" t="n">
        <f aca="false">ROUND(($U$2*MAX(0,MIN(1,($W$2-I1919)/($W$2-$V$2)))+$U$3*MAX(0,MIN(1,($W$3-J1919)/($W$3-$V$3)))+$U$4*MAX(0,MIN(1,($W$4-K1919)/($W$4-$V$4)))+$U$5*MAX(0,MIN(1,($W$5-L1919)/($W$5-$V$5)))+$U$6*MAX(0,MIN(1,($W$6-M1919)/($W$6-$V$6)))+$U$7*MAX(0,MIN(1,($W$7-N1919)/($W$7-$V$7)))+$U$8*IF(AND(O1919&gt;=$V$8,O1919&lt;=$W$8),1,0))/$U$9*100,2)</f>
        <v>42.98</v>
      </c>
      <c r="C1919" s="27" t="s">
        <v>1302</v>
      </c>
      <c r="D1919" s="25" t="s">
        <v>134</v>
      </c>
      <c r="E1919" s="25" t="s">
        <v>3447</v>
      </c>
      <c r="F1919" s="25" t="s">
        <v>3448</v>
      </c>
      <c r="G1919" s="39" t="s">
        <v>32</v>
      </c>
      <c r="H1919" s="39" t="s">
        <v>26</v>
      </c>
      <c r="I1919" s="25" t="n">
        <v>8</v>
      </c>
      <c r="J1919" s="25" t="n">
        <v>0</v>
      </c>
      <c r="K1919" s="25" t="n">
        <v>8</v>
      </c>
      <c r="L1919" s="29" t="n">
        <v>0.71</v>
      </c>
      <c r="M1919" s="30" t="n">
        <v>0.5</v>
      </c>
      <c r="N1919" s="29" t="n">
        <v>0.92</v>
      </c>
      <c r="O1919" s="25" t="n">
        <v>184</v>
      </c>
      <c r="P1919" s="30" t="n">
        <v>1.62</v>
      </c>
      <c r="Q1919" s="27" t="s">
        <v>3967</v>
      </c>
      <c r="R1919" s="27" t="s">
        <v>3879</v>
      </c>
    </row>
    <row r="1920" customFormat="false" ht="15" hidden="false" customHeight="false" outlineLevel="0" collapsed="false">
      <c r="A1920" s="25" t="n">
        <f aca="false">IF(G1920="REJECT",COUNTIF($G$2:$G$2277,"&lt;&gt;REJECT")+1+COUNTIFS($G$2:$G$2277,"REJECT",$B$2:$B$2277,"&gt;"&amp;B1920),1+COUNTIFS($G$2:$G$2277,"&lt;&gt;REJECT",$B$2:$B$2277,"&gt;"&amp;B1920))</f>
        <v>1919</v>
      </c>
      <c r="B1920" s="26" t="n">
        <f aca="false">ROUND(($U$2*MAX(0,MIN(1,($W$2-I1920)/($W$2-$V$2)))+$U$3*MAX(0,MIN(1,($W$3-J1920)/($W$3-$V$3)))+$U$4*MAX(0,MIN(1,($W$4-K1920)/($W$4-$V$4)))+$U$5*MAX(0,MIN(1,($W$5-L1920)/($W$5-$V$5)))+$U$6*MAX(0,MIN(1,($W$6-M1920)/($W$6-$V$6)))+$U$7*MAX(0,MIN(1,($W$7-N1920)/($W$7-$V$7)))+$U$8*IF(AND(O1920&gt;=$V$8,O1920&lt;=$W$8),1,0))/$U$9*100,2)</f>
        <v>42.95</v>
      </c>
      <c r="C1920" s="27" t="s">
        <v>2685</v>
      </c>
      <c r="D1920" s="25" t="s">
        <v>3459</v>
      </c>
      <c r="E1920" s="25" t="s">
        <v>3450</v>
      </c>
      <c r="F1920" s="25" t="s">
        <v>3448</v>
      </c>
      <c r="G1920" s="39" t="s">
        <v>32</v>
      </c>
      <c r="H1920" s="39" t="s">
        <v>26</v>
      </c>
      <c r="I1920" s="25" t="n">
        <v>8</v>
      </c>
      <c r="J1920" s="25" t="n">
        <v>0</v>
      </c>
      <c r="K1920" s="25" t="n">
        <v>8</v>
      </c>
      <c r="L1920" s="29" t="n">
        <v>0.78</v>
      </c>
      <c r="M1920" s="30" t="n">
        <v>25.93</v>
      </c>
      <c r="N1920" s="29" t="n">
        <v>0.92</v>
      </c>
      <c r="O1920" s="25" t="n">
        <v>185</v>
      </c>
      <c r="P1920" s="30" t="n">
        <v>10.04</v>
      </c>
      <c r="Q1920" s="27" t="s">
        <v>3968</v>
      </c>
      <c r="R1920" s="27" t="s">
        <v>3969</v>
      </c>
    </row>
    <row r="1921" customFormat="false" ht="15" hidden="false" customHeight="false" outlineLevel="0" collapsed="false">
      <c r="A1921" s="25" t="n">
        <f aca="false">IF(G1921="REJECT",COUNTIF($G$2:$G$2277,"&lt;&gt;REJECT")+1+COUNTIFS($G$2:$G$2277,"REJECT",$B$2:$B$2277,"&gt;"&amp;B1921),1+COUNTIFS($G$2:$G$2277,"&lt;&gt;REJECT",$B$2:$B$2277,"&gt;"&amp;B1921))</f>
        <v>1920</v>
      </c>
      <c r="B1921" s="26" t="n">
        <f aca="false">ROUND(($U$2*MAX(0,MIN(1,($W$2-I1921)/($W$2-$V$2)))+$U$3*MAX(0,MIN(1,($W$3-J1921)/($W$3-$V$3)))+$U$4*MAX(0,MIN(1,($W$4-K1921)/($W$4-$V$4)))+$U$5*MAX(0,MIN(1,($W$5-L1921)/($W$5-$V$5)))+$U$6*MAX(0,MIN(1,($W$6-M1921)/($W$6-$V$6)))+$U$7*MAX(0,MIN(1,($W$7-N1921)/($W$7-$V$7)))+$U$8*IF(AND(O1921&gt;=$V$8,O1921&lt;=$W$8),1,0))/$U$9*100,2)</f>
        <v>42.91</v>
      </c>
      <c r="C1921" s="27" t="s">
        <v>2124</v>
      </c>
      <c r="D1921" s="25" t="s">
        <v>134</v>
      </c>
      <c r="E1921" s="25" t="s">
        <v>3447</v>
      </c>
      <c r="F1921" s="25" t="s">
        <v>3457</v>
      </c>
      <c r="G1921" s="39" t="s">
        <v>32</v>
      </c>
      <c r="H1921" s="39" t="s">
        <v>26</v>
      </c>
      <c r="I1921" s="25" t="n">
        <v>9</v>
      </c>
      <c r="J1921" s="25" t="n">
        <v>0</v>
      </c>
      <c r="K1921" s="25" t="n">
        <v>9</v>
      </c>
      <c r="L1921" s="29" t="n">
        <v>0.73</v>
      </c>
      <c r="M1921" s="30" t="n">
        <v>14.12</v>
      </c>
      <c r="N1921" s="29" t="n">
        <v>0.32</v>
      </c>
      <c r="O1921" s="25" t="n">
        <v>190</v>
      </c>
      <c r="P1921" s="30" t="n">
        <v>-1.27</v>
      </c>
      <c r="Q1921" s="27" t="s">
        <v>3970</v>
      </c>
      <c r="R1921" s="27" t="s">
        <v>3885</v>
      </c>
    </row>
    <row r="1922" customFormat="false" ht="15" hidden="false" customHeight="false" outlineLevel="0" collapsed="false">
      <c r="A1922" s="25" t="n">
        <f aca="false">IF(G1922="REJECT",COUNTIF($G$2:$G$2277,"&lt;&gt;REJECT")+1+COUNTIFS($G$2:$G$2277,"REJECT",$B$2:$B$2277,"&gt;"&amp;B1922),1+COUNTIFS($G$2:$G$2277,"&lt;&gt;REJECT",$B$2:$B$2277,"&gt;"&amp;B1922))</f>
        <v>1921</v>
      </c>
      <c r="B1922" s="26" t="n">
        <f aca="false">ROUND(($U$2*MAX(0,MIN(1,($W$2-I1922)/($W$2-$V$2)))+$U$3*MAX(0,MIN(1,($W$3-J1922)/($W$3-$V$3)))+$U$4*MAX(0,MIN(1,($W$4-K1922)/($W$4-$V$4)))+$U$5*MAX(0,MIN(1,($W$5-L1922)/($W$5-$V$5)))+$U$6*MAX(0,MIN(1,($W$6-M1922)/($W$6-$V$6)))+$U$7*MAX(0,MIN(1,($W$7-N1922)/($W$7-$V$7)))+$U$8*IF(AND(O1922&gt;=$V$8,O1922&lt;=$W$8),1,0))/$U$9*100,2)</f>
        <v>42.85</v>
      </c>
      <c r="C1922" s="27" t="s">
        <v>2039</v>
      </c>
      <c r="D1922" s="25" t="s">
        <v>134</v>
      </c>
      <c r="E1922" s="25" t="s">
        <v>3447</v>
      </c>
      <c r="F1922" s="25" t="s">
        <v>3457</v>
      </c>
      <c r="G1922" s="39" t="s">
        <v>32</v>
      </c>
      <c r="H1922" s="39" t="s">
        <v>26</v>
      </c>
      <c r="I1922" s="25" t="n">
        <v>15</v>
      </c>
      <c r="J1922" s="25" t="n">
        <v>0</v>
      </c>
      <c r="K1922" s="25" t="n">
        <v>15</v>
      </c>
      <c r="L1922" s="29" t="n">
        <v>0.73</v>
      </c>
      <c r="M1922" s="30" t="n">
        <v>16.5</v>
      </c>
      <c r="N1922" s="29" t="n">
        <v>0.12</v>
      </c>
      <c r="O1922" s="25" t="n">
        <v>193</v>
      </c>
      <c r="P1922" s="30" t="n">
        <v>0.88</v>
      </c>
      <c r="Q1922" s="27" t="s">
        <v>3971</v>
      </c>
      <c r="R1922" s="27" t="s">
        <v>3885</v>
      </c>
    </row>
    <row r="1923" customFormat="false" ht="15" hidden="false" customHeight="false" outlineLevel="0" collapsed="false">
      <c r="A1923" s="25" t="n">
        <f aca="false">IF(G1923="REJECT",COUNTIF($G$2:$G$2277,"&lt;&gt;REJECT")+1+COUNTIFS($G$2:$G$2277,"REJECT",$B$2:$B$2277,"&gt;"&amp;B1923),1+COUNTIFS($G$2:$G$2277,"&lt;&gt;REJECT",$B$2:$B$2277,"&gt;"&amp;B1923))</f>
        <v>1921</v>
      </c>
      <c r="B1923" s="26" t="n">
        <f aca="false">ROUND(($U$2*MAX(0,MIN(1,($W$2-I1923)/($W$2-$V$2)))+$U$3*MAX(0,MIN(1,($W$3-J1923)/($W$3-$V$3)))+$U$4*MAX(0,MIN(1,($W$4-K1923)/($W$4-$V$4)))+$U$5*MAX(0,MIN(1,($W$5-L1923)/($W$5-$V$5)))+$U$6*MAX(0,MIN(1,($W$6-M1923)/($W$6-$V$6)))+$U$7*MAX(0,MIN(1,($W$7-N1923)/($W$7-$V$7)))+$U$8*IF(AND(O1923&gt;=$V$8,O1923&lt;=$W$8),1,0))/$U$9*100,2)</f>
        <v>42.85</v>
      </c>
      <c r="C1923" s="27" t="s">
        <v>2379</v>
      </c>
      <c r="D1923" s="25" t="s">
        <v>134</v>
      </c>
      <c r="E1923" s="25" t="s">
        <v>3447</v>
      </c>
      <c r="F1923" s="25" t="s">
        <v>3448</v>
      </c>
      <c r="G1923" s="39" t="s">
        <v>32</v>
      </c>
      <c r="H1923" s="39" t="s">
        <v>26</v>
      </c>
      <c r="I1923" s="25" t="n">
        <v>10</v>
      </c>
      <c r="J1923" s="25" t="n">
        <v>0</v>
      </c>
      <c r="K1923" s="25" t="n">
        <v>10</v>
      </c>
      <c r="L1923" s="29" t="n">
        <v>0.71</v>
      </c>
      <c r="M1923" s="30" t="n">
        <v>8.9</v>
      </c>
      <c r="N1923" s="29" t="n">
        <v>0.16</v>
      </c>
      <c r="O1923" s="25" t="n">
        <v>187</v>
      </c>
      <c r="P1923" s="30" t="n">
        <v>3.04</v>
      </c>
      <c r="Q1923" s="27" t="s">
        <v>3972</v>
      </c>
      <c r="R1923" s="27" t="s">
        <v>60</v>
      </c>
    </row>
    <row r="1924" customFormat="false" ht="15" hidden="false" customHeight="false" outlineLevel="0" collapsed="false">
      <c r="A1924" s="25" t="n">
        <f aca="false">IF(G1924="REJECT",COUNTIF($G$2:$G$2277,"&lt;&gt;REJECT")+1+COUNTIFS($G$2:$G$2277,"REJECT",$B$2:$B$2277,"&gt;"&amp;B1924),1+COUNTIFS($G$2:$G$2277,"&lt;&gt;REJECT",$B$2:$B$2277,"&gt;"&amp;B1924))</f>
        <v>1923</v>
      </c>
      <c r="B1924" s="26" t="n">
        <f aca="false">ROUND(($U$2*MAX(0,MIN(1,($W$2-I1924)/($W$2-$V$2)))+$U$3*MAX(0,MIN(1,($W$3-J1924)/($W$3-$V$3)))+$U$4*MAX(0,MIN(1,($W$4-K1924)/($W$4-$V$4)))+$U$5*MAX(0,MIN(1,($W$5-L1924)/($W$5-$V$5)))+$U$6*MAX(0,MIN(1,($W$6-M1924)/($W$6-$V$6)))+$U$7*MAX(0,MIN(1,($W$7-N1924)/($W$7-$V$7)))+$U$8*IF(AND(O1924&gt;=$V$8,O1924&lt;=$W$8),1,0))/$U$9*100,2)</f>
        <v>42.82</v>
      </c>
      <c r="C1924" s="27" t="s">
        <v>2247</v>
      </c>
      <c r="D1924" s="25" t="s">
        <v>3459</v>
      </c>
      <c r="E1924" s="25" t="s">
        <v>3447</v>
      </c>
      <c r="F1924" s="25" t="s">
        <v>3457</v>
      </c>
      <c r="G1924" s="39" t="s">
        <v>32</v>
      </c>
      <c r="H1924" s="39" t="s">
        <v>26</v>
      </c>
      <c r="I1924" s="25" t="n">
        <v>9</v>
      </c>
      <c r="J1924" s="25" t="n">
        <v>0</v>
      </c>
      <c r="K1924" s="25" t="n">
        <v>9</v>
      </c>
      <c r="L1924" s="29" t="n">
        <v>0.76</v>
      </c>
      <c r="M1924" s="30" t="n">
        <v>23.49</v>
      </c>
      <c r="N1924" s="29" t="n">
        <v>0.52</v>
      </c>
      <c r="O1924" s="25" t="n">
        <v>183</v>
      </c>
      <c r="P1924" s="30" t="n">
        <v>8.73</v>
      </c>
      <c r="Q1924" s="27" t="s">
        <v>3973</v>
      </c>
      <c r="R1924" s="27" t="s">
        <v>3896</v>
      </c>
    </row>
    <row r="1925" customFormat="false" ht="15" hidden="false" customHeight="false" outlineLevel="0" collapsed="false">
      <c r="A1925" s="25" t="n">
        <f aca="false">IF(G1925="REJECT",COUNTIF($G$2:$G$2277,"&lt;&gt;REJECT")+1+COUNTIFS($G$2:$G$2277,"REJECT",$B$2:$B$2277,"&gt;"&amp;B1925),1+COUNTIFS($G$2:$G$2277,"&lt;&gt;REJECT",$B$2:$B$2277,"&gt;"&amp;B1925))</f>
        <v>1924</v>
      </c>
      <c r="B1925" s="26" t="n">
        <f aca="false">ROUND(($U$2*MAX(0,MIN(1,($W$2-I1925)/($W$2-$V$2)))+$U$3*MAX(0,MIN(1,($W$3-J1925)/($W$3-$V$3)))+$U$4*MAX(0,MIN(1,($W$4-K1925)/($W$4-$V$4)))+$U$5*MAX(0,MIN(1,($W$5-L1925)/($W$5-$V$5)))+$U$6*MAX(0,MIN(1,($W$6-M1925)/($W$6-$V$6)))+$U$7*MAX(0,MIN(1,($W$7-N1925)/($W$7-$V$7)))+$U$8*IF(AND(O1925&gt;=$V$8,O1925&lt;=$W$8),1,0))/$U$9*100,2)</f>
        <v>42.66</v>
      </c>
      <c r="C1925" s="27" t="s">
        <v>2523</v>
      </c>
      <c r="D1925" s="25" t="s">
        <v>134</v>
      </c>
      <c r="E1925" s="25" t="s">
        <v>3447</v>
      </c>
      <c r="F1925" s="25" t="s">
        <v>3457</v>
      </c>
      <c r="G1925" s="39" t="s">
        <v>32</v>
      </c>
      <c r="H1925" s="39" t="s">
        <v>26</v>
      </c>
      <c r="I1925" s="25" t="n">
        <v>9</v>
      </c>
      <c r="J1925" s="25" t="n">
        <v>0</v>
      </c>
      <c r="K1925" s="25" t="n">
        <v>9</v>
      </c>
      <c r="L1925" s="29" t="n">
        <v>0.75</v>
      </c>
      <c r="M1925" s="30" t="n">
        <v>19.27</v>
      </c>
      <c r="N1925" s="29" t="n">
        <v>0.68</v>
      </c>
      <c r="O1925" s="25" t="n">
        <v>197</v>
      </c>
      <c r="P1925" s="30" t="n">
        <v>8.03</v>
      </c>
      <c r="Q1925" s="27" t="s">
        <v>3974</v>
      </c>
      <c r="R1925" s="27" t="s">
        <v>60</v>
      </c>
    </row>
    <row r="1926" customFormat="false" ht="15" hidden="false" customHeight="false" outlineLevel="0" collapsed="false">
      <c r="A1926" s="25" t="n">
        <f aca="false">IF(G1926="REJECT",COUNTIF($G$2:$G$2277,"&lt;&gt;REJECT")+1+COUNTIFS($G$2:$G$2277,"REJECT",$B$2:$B$2277,"&gt;"&amp;B1926),1+COUNTIFS($G$2:$G$2277,"&lt;&gt;REJECT",$B$2:$B$2277,"&gt;"&amp;B1926))</f>
        <v>1925</v>
      </c>
      <c r="B1926" s="26" t="n">
        <f aca="false">ROUND(($U$2*MAX(0,MIN(1,($W$2-I1926)/($W$2-$V$2)))+$U$3*MAX(0,MIN(1,($W$3-J1926)/($W$3-$V$3)))+$U$4*MAX(0,MIN(1,($W$4-K1926)/($W$4-$V$4)))+$U$5*MAX(0,MIN(1,($W$5-L1926)/($W$5-$V$5)))+$U$6*MAX(0,MIN(1,($W$6-M1926)/($W$6-$V$6)))+$U$7*MAX(0,MIN(1,($W$7-N1926)/($W$7-$V$7)))+$U$8*IF(AND(O1926&gt;=$V$8,O1926&lt;=$W$8),1,0))/$U$9*100,2)</f>
        <v>42.65</v>
      </c>
      <c r="C1926" s="27" t="s">
        <v>1799</v>
      </c>
      <c r="D1926" s="25" t="s">
        <v>134</v>
      </c>
      <c r="E1926" s="25" t="s">
        <v>3447</v>
      </c>
      <c r="F1926" s="25" t="s">
        <v>3457</v>
      </c>
      <c r="G1926" s="39" t="s">
        <v>32</v>
      </c>
      <c r="H1926" s="39" t="s">
        <v>26</v>
      </c>
      <c r="I1926" s="25" t="n">
        <v>7</v>
      </c>
      <c r="J1926" s="25" t="n">
        <v>0</v>
      </c>
      <c r="K1926" s="25" t="n">
        <v>7</v>
      </c>
      <c r="L1926" s="29" t="n">
        <v>0.6</v>
      </c>
      <c r="M1926" s="30" t="n">
        <v>0.79</v>
      </c>
      <c r="N1926" s="29" t="n">
        <v>0.88</v>
      </c>
      <c r="O1926" s="25" t="n">
        <v>185</v>
      </c>
      <c r="P1926" s="30" t="n">
        <v>9.89</v>
      </c>
      <c r="Q1926" s="27" t="s">
        <v>3975</v>
      </c>
      <c r="R1926" s="27" t="s">
        <v>60</v>
      </c>
    </row>
    <row r="1927" customFormat="false" ht="15" hidden="false" customHeight="false" outlineLevel="0" collapsed="false">
      <c r="A1927" s="25" t="n">
        <f aca="false">IF(G1927="REJECT",COUNTIF($G$2:$G$2277,"&lt;&gt;REJECT")+1+COUNTIFS($G$2:$G$2277,"REJECT",$B$2:$B$2277,"&gt;"&amp;B1927),1+COUNTIFS($G$2:$G$2277,"&lt;&gt;REJECT",$B$2:$B$2277,"&gt;"&amp;B1927))</f>
        <v>1926</v>
      </c>
      <c r="B1927" s="26" t="n">
        <f aca="false">ROUND(($U$2*MAX(0,MIN(1,($W$2-I1927)/($W$2-$V$2)))+$U$3*MAX(0,MIN(1,($W$3-J1927)/($W$3-$V$3)))+$U$4*MAX(0,MIN(1,($W$4-K1927)/($W$4-$V$4)))+$U$5*MAX(0,MIN(1,($W$5-L1927)/($W$5-$V$5)))+$U$6*MAX(0,MIN(1,($W$6-M1927)/($W$6-$V$6)))+$U$7*MAX(0,MIN(1,($W$7-N1927)/($W$7-$V$7)))+$U$8*IF(AND(O1927&gt;=$V$8,O1927&lt;=$W$8),1,0))/$U$9*100,2)</f>
        <v>42.53</v>
      </c>
      <c r="C1927" s="27" t="s">
        <v>689</v>
      </c>
      <c r="D1927" s="25" t="s">
        <v>134</v>
      </c>
      <c r="E1927" s="25" t="s">
        <v>3447</v>
      </c>
      <c r="F1927" s="25" t="s">
        <v>3448</v>
      </c>
      <c r="G1927" s="39" t="s">
        <v>32</v>
      </c>
      <c r="H1927" s="39" t="s">
        <v>26</v>
      </c>
      <c r="I1927" s="25" t="n">
        <v>10</v>
      </c>
      <c r="J1927" s="25" t="n">
        <v>0</v>
      </c>
      <c r="K1927" s="25" t="n">
        <v>10</v>
      </c>
      <c r="L1927" s="29" t="n">
        <v>0.72</v>
      </c>
      <c r="M1927" s="30" t="n">
        <v>11.63</v>
      </c>
      <c r="N1927" s="29" t="n">
        <v>0.44</v>
      </c>
      <c r="O1927" s="25" t="n">
        <v>188</v>
      </c>
      <c r="P1927" s="30" t="n">
        <v>8.33</v>
      </c>
      <c r="Q1927" s="27" t="s">
        <v>3976</v>
      </c>
      <c r="R1927" s="27" t="s">
        <v>60</v>
      </c>
    </row>
    <row r="1928" customFormat="false" ht="15" hidden="false" customHeight="false" outlineLevel="0" collapsed="false">
      <c r="A1928" s="25" t="n">
        <f aca="false">IF(G1928="REJECT",COUNTIF($G$2:$G$2277,"&lt;&gt;REJECT")+1+COUNTIFS($G$2:$G$2277,"REJECT",$B$2:$B$2277,"&gt;"&amp;B1928),1+COUNTIFS($G$2:$G$2277,"&lt;&gt;REJECT",$B$2:$B$2277,"&gt;"&amp;B1928))</f>
        <v>1927</v>
      </c>
      <c r="B1928" s="26" t="n">
        <f aca="false">ROUND(($U$2*MAX(0,MIN(1,($W$2-I1928)/($W$2-$V$2)))+$U$3*MAX(0,MIN(1,($W$3-J1928)/($W$3-$V$3)))+$U$4*MAX(0,MIN(1,($W$4-K1928)/($W$4-$V$4)))+$U$5*MAX(0,MIN(1,($W$5-L1928)/($W$5-$V$5)))+$U$6*MAX(0,MIN(1,($W$6-M1928)/($W$6-$V$6)))+$U$7*MAX(0,MIN(1,($W$7-N1928)/($W$7-$V$7)))+$U$8*IF(AND(O1928&gt;=$V$8,O1928&lt;=$W$8),1,0))/$U$9*100,2)</f>
        <v>42.51</v>
      </c>
      <c r="C1928" s="27" t="s">
        <v>533</v>
      </c>
      <c r="D1928" s="25" t="s">
        <v>134</v>
      </c>
      <c r="E1928" s="25" t="s">
        <v>3447</v>
      </c>
      <c r="F1928" s="25" t="s">
        <v>3448</v>
      </c>
      <c r="G1928" s="39" t="s">
        <v>32</v>
      </c>
      <c r="H1928" s="39" t="s">
        <v>26</v>
      </c>
      <c r="I1928" s="25" t="n">
        <v>10</v>
      </c>
      <c r="J1928" s="25" t="n">
        <v>0</v>
      </c>
      <c r="K1928" s="25" t="n">
        <v>10</v>
      </c>
      <c r="L1928" s="29" t="n">
        <v>0.73</v>
      </c>
      <c r="M1928" s="30" t="n">
        <v>16.16</v>
      </c>
      <c r="N1928" s="29" t="n">
        <v>0.36</v>
      </c>
      <c r="O1928" s="25" t="n">
        <v>182</v>
      </c>
      <c r="P1928" s="30" t="n">
        <v>1.94</v>
      </c>
      <c r="Q1928" s="27" t="s">
        <v>3977</v>
      </c>
      <c r="R1928" s="27" t="s">
        <v>60</v>
      </c>
    </row>
    <row r="1929" customFormat="false" ht="15" hidden="false" customHeight="false" outlineLevel="0" collapsed="false">
      <c r="A1929" s="25" t="n">
        <f aca="false">IF(G1929="REJECT",COUNTIF($G$2:$G$2277,"&lt;&gt;REJECT")+1+COUNTIFS($G$2:$G$2277,"REJECT",$B$2:$B$2277,"&gt;"&amp;B1929),1+COUNTIFS($G$2:$G$2277,"&lt;&gt;REJECT",$B$2:$B$2277,"&gt;"&amp;B1929))</f>
        <v>1928</v>
      </c>
      <c r="B1929" s="26" t="n">
        <f aca="false">ROUND(($U$2*MAX(0,MIN(1,($W$2-I1929)/($W$2-$V$2)))+$U$3*MAX(0,MIN(1,($W$3-J1929)/($W$3-$V$3)))+$U$4*MAX(0,MIN(1,($W$4-K1929)/($W$4-$V$4)))+$U$5*MAX(0,MIN(1,($W$5-L1929)/($W$5-$V$5)))+$U$6*MAX(0,MIN(1,($W$6-M1929)/($W$6-$V$6)))+$U$7*MAX(0,MIN(1,($W$7-N1929)/($W$7-$V$7)))+$U$8*IF(AND(O1929&gt;=$V$8,O1929&lt;=$W$8),1,0))/$U$9*100,2)</f>
        <v>42.45</v>
      </c>
      <c r="C1929" s="27" t="s">
        <v>1793</v>
      </c>
      <c r="D1929" s="25" t="s">
        <v>3459</v>
      </c>
      <c r="E1929" s="25" t="s">
        <v>3447</v>
      </c>
      <c r="F1929" s="25" t="s">
        <v>3448</v>
      </c>
      <c r="G1929" s="39" t="s">
        <v>32</v>
      </c>
      <c r="H1929" s="39" t="s">
        <v>26</v>
      </c>
      <c r="I1929" s="25" t="n">
        <v>12</v>
      </c>
      <c r="J1929" s="25" t="n">
        <v>0</v>
      </c>
      <c r="K1929" s="25" t="n">
        <v>12</v>
      </c>
      <c r="L1929" s="29" t="n">
        <v>0.73</v>
      </c>
      <c r="M1929" s="30" t="n">
        <v>12.53</v>
      </c>
      <c r="N1929" s="29" t="n">
        <v>0.76</v>
      </c>
      <c r="O1929" s="25" t="n">
        <v>184</v>
      </c>
      <c r="P1929" s="30" t="n">
        <v>-1.16</v>
      </c>
      <c r="Q1929" s="27" t="s">
        <v>3978</v>
      </c>
      <c r="R1929" s="27" t="s">
        <v>3879</v>
      </c>
    </row>
    <row r="1930" customFormat="false" ht="15" hidden="false" customHeight="false" outlineLevel="0" collapsed="false">
      <c r="A1930" s="25" t="n">
        <f aca="false">IF(G1930="REJECT",COUNTIF($G$2:$G$2277,"&lt;&gt;REJECT")+1+COUNTIFS($G$2:$G$2277,"REJECT",$B$2:$B$2277,"&gt;"&amp;B1930),1+COUNTIFS($G$2:$G$2277,"&lt;&gt;REJECT",$B$2:$B$2277,"&gt;"&amp;B1930))</f>
        <v>1929</v>
      </c>
      <c r="B1930" s="26" t="n">
        <f aca="false">ROUND(($U$2*MAX(0,MIN(1,($W$2-I1930)/($W$2-$V$2)))+$U$3*MAX(0,MIN(1,($W$3-J1930)/($W$3-$V$3)))+$U$4*MAX(0,MIN(1,($W$4-K1930)/($W$4-$V$4)))+$U$5*MAX(0,MIN(1,($W$5-L1930)/($W$5-$V$5)))+$U$6*MAX(0,MIN(1,($W$6-M1930)/($W$6-$V$6)))+$U$7*MAX(0,MIN(1,($W$7-N1930)/($W$7-$V$7)))+$U$8*IF(AND(O1930&gt;=$V$8,O1930&lt;=$W$8),1,0))/$U$9*100,2)</f>
        <v>42.11</v>
      </c>
      <c r="C1930" s="27" t="s">
        <v>2709</v>
      </c>
      <c r="D1930" s="25" t="s">
        <v>134</v>
      </c>
      <c r="E1930" s="25" t="s">
        <v>3447</v>
      </c>
      <c r="F1930" s="25" t="s">
        <v>3448</v>
      </c>
      <c r="G1930" s="39" t="s">
        <v>32</v>
      </c>
      <c r="H1930" s="39" t="s">
        <v>26</v>
      </c>
      <c r="I1930" s="25" t="n">
        <v>9</v>
      </c>
      <c r="J1930" s="25" t="n">
        <v>0</v>
      </c>
      <c r="K1930" s="25" t="n">
        <v>9</v>
      </c>
      <c r="L1930" s="29" t="n">
        <v>0.69</v>
      </c>
      <c r="M1930" s="30" t="n">
        <v>1.75</v>
      </c>
      <c r="N1930" s="29" t="n">
        <v>0.6</v>
      </c>
      <c r="O1930" s="25" t="n">
        <v>185</v>
      </c>
      <c r="P1930" s="30" t="n">
        <v>9.16</v>
      </c>
      <c r="Q1930" s="27" t="s">
        <v>3979</v>
      </c>
      <c r="R1930" s="27" t="s">
        <v>60</v>
      </c>
    </row>
    <row r="1931" customFormat="false" ht="15" hidden="false" customHeight="false" outlineLevel="0" collapsed="false">
      <c r="A1931" s="25" t="n">
        <f aca="false">IF(G1931="REJECT",COUNTIF($G$2:$G$2277,"&lt;&gt;REJECT")+1+COUNTIFS($G$2:$G$2277,"REJECT",$B$2:$B$2277,"&gt;"&amp;B1931),1+COUNTIFS($G$2:$G$2277,"&lt;&gt;REJECT",$B$2:$B$2277,"&gt;"&amp;B1931))</f>
        <v>1930</v>
      </c>
      <c r="B1931" s="26" t="n">
        <f aca="false">ROUND(($U$2*MAX(0,MIN(1,($W$2-I1931)/($W$2-$V$2)))+$U$3*MAX(0,MIN(1,($W$3-J1931)/($W$3-$V$3)))+$U$4*MAX(0,MIN(1,($W$4-K1931)/($W$4-$V$4)))+$U$5*MAX(0,MIN(1,($W$5-L1931)/($W$5-$V$5)))+$U$6*MAX(0,MIN(1,($W$6-M1931)/($W$6-$V$6)))+$U$7*MAX(0,MIN(1,($W$7-N1931)/($W$7-$V$7)))+$U$8*IF(AND(O1931&gt;=$V$8,O1931&lt;=$W$8),1,0))/$U$9*100,2)</f>
        <v>41.95</v>
      </c>
      <c r="C1931" s="27" t="s">
        <v>259</v>
      </c>
      <c r="D1931" s="25" t="s">
        <v>134</v>
      </c>
      <c r="E1931" s="25" t="s">
        <v>3447</v>
      </c>
      <c r="F1931" s="25" t="s">
        <v>3448</v>
      </c>
      <c r="G1931" s="39" t="s">
        <v>32</v>
      </c>
      <c r="H1931" s="39" t="s">
        <v>26</v>
      </c>
      <c r="I1931" s="25" t="n">
        <v>8</v>
      </c>
      <c r="J1931" s="25" t="n">
        <v>0</v>
      </c>
      <c r="K1931" s="25" t="n">
        <v>8</v>
      </c>
      <c r="L1931" s="29" t="n">
        <v>0.72</v>
      </c>
      <c r="M1931" s="30" t="n">
        <v>13.91</v>
      </c>
      <c r="N1931" s="29" t="n">
        <v>0.56</v>
      </c>
      <c r="O1931" s="25" t="n">
        <v>183</v>
      </c>
      <c r="P1931" s="30" t="n">
        <v>-0.43</v>
      </c>
      <c r="Q1931" s="27" t="s">
        <v>3980</v>
      </c>
      <c r="R1931" s="27" t="s">
        <v>60</v>
      </c>
    </row>
    <row r="1932" customFormat="false" ht="15" hidden="false" customHeight="false" outlineLevel="0" collapsed="false">
      <c r="A1932" s="25" t="n">
        <f aca="false">IF(G1932="REJECT",COUNTIF($G$2:$G$2277,"&lt;&gt;REJECT")+1+COUNTIFS($G$2:$G$2277,"REJECT",$B$2:$B$2277,"&gt;"&amp;B1932),1+COUNTIFS($G$2:$G$2277,"&lt;&gt;REJECT",$B$2:$B$2277,"&gt;"&amp;B1932))</f>
        <v>1930</v>
      </c>
      <c r="B1932" s="26" t="n">
        <f aca="false">ROUND(($U$2*MAX(0,MIN(1,($W$2-I1932)/($W$2-$V$2)))+$U$3*MAX(0,MIN(1,($W$3-J1932)/($W$3-$V$3)))+$U$4*MAX(0,MIN(1,($W$4-K1932)/($W$4-$V$4)))+$U$5*MAX(0,MIN(1,($W$5-L1932)/($W$5-$V$5)))+$U$6*MAX(0,MIN(1,($W$6-M1932)/($W$6-$V$6)))+$U$7*MAX(0,MIN(1,($W$7-N1932)/($W$7-$V$7)))+$U$8*IF(AND(O1932&gt;=$V$8,O1932&lt;=$W$8),1,0))/$U$9*100,2)</f>
        <v>41.95</v>
      </c>
      <c r="C1932" s="27" t="s">
        <v>1079</v>
      </c>
      <c r="D1932" s="25" t="s">
        <v>134</v>
      </c>
      <c r="E1932" s="25" t="s">
        <v>3447</v>
      </c>
      <c r="F1932" s="25" t="s">
        <v>3457</v>
      </c>
      <c r="G1932" s="39" t="s">
        <v>32</v>
      </c>
      <c r="H1932" s="39" t="s">
        <v>26</v>
      </c>
      <c r="I1932" s="25" t="n">
        <v>10</v>
      </c>
      <c r="J1932" s="25" t="n">
        <v>0</v>
      </c>
      <c r="K1932" s="25" t="n">
        <v>9</v>
      </c>
      <c r="L1932" s="29" t="n">
        <v>0.69</v>
      </c>
      <c r="M1932" s="30" t="n">
        <v>5.88</v>
      </c>
      <c r="N1932" s="29" t="n">
        <v>0.28</v>
      </c>
      <c r="O1932" s="25" t="n">
        <v>182</v>
      </c>
      <c r="P1932" s="30" t="n">
        <v>1.11</v>
      </c>
      <c r="Q1932" s="27" t="s">
        <v>3981</v>
      </c>
      <c r="R1932" s="27" t="s">
        <v>60</v>
      </c>
    </row>
    <row r="1933" customFormat="false" ht="15" hidden="false" customHeight="false" outlineLevel="0" collapsed="false">
      <c r="A1933" s="25" t="n">
        <f aca="false">IF(G1933="REJECT",COUNTIF($G$2:$G$2277,"&lt;&gt;REJECT")+1+COUNTIFS($G$2:$G$2277,"REJECT",$B$2:$B$2277,"&gt;"&amp;B1933),1+COUNTIFS($G$2:$G$2277,"&lt;&gt;REJECT",$B$2:$B$2277,"&gt;"&amp;B1933))</f>
        <v>1932</v>
      </c>
      <c r="B1933" s="26" t="n">
        <f aca="false">ROUND(($U$2*MAX(0,MIN(1,($W$2-I1933)/($W$2-$V$2)))+$U$3*MAX(0,MIN(1,($W$3-J1933)/($W$3-$V$3)))+$U$4*MAX(0,MIN(1,($W$4-K1933)/($W$4-$V$4)))+$U$5*MAX(0,MIN(1,($W$5-L1933)/($W$5-$V$5)))+$U$6*MAX(0,MIN(1,($W$6-M1933)/($W$6-$V$6)))+$U$7*MAX(0,MIN(1,($W$7-N1933)/($W$7-$V$7)))+$U$8*IF(AND(O1933&gt;=$V$8,O1933&lt;=$W$8),1,0))/$U$9*100,2)</f>
        <v>41.87</v>
      </c>
      <c r="C1933" s="27" t="s">
        <v>430</v>
      </c>
      <c r="D1933" s="25" t="s">
        <v>134</v>
      </c>
      <c r="E1933" s="25" t="s">
        <v>3447</v>
      </c>
      <c r="F1933" s="25" t="s">
        <v>3457</v>
      </c>
      <c r="G1933" s="39" t="s">
        <v>32</v>
      </c>
      <c r="H1933" s="39" t="s">
        <v>26</v>
      </c>
      <c r="I1933" s="25" t="n">
        <v>8</v>
      </c>
      <c r="J1933" s="25" t="n">
        <v>0</v>
      </c>
      <c r="K1933" s="25" t="n">
        <v>8</v>
      </c>
      <c r="L1933" s="29" t="n">
        <v>0.73</v>
      </c>
      <c r="M1933" s="30" t="n">
        <v>19.58</v>
      </c>
      <c r="N1933" s="29" t="n">
        <v>0.4</v>
      </c>
      <c r="O1933" s="25" t="n">
        <v>187</v>
      </c>
      <c r="P1933" s="30" t="n">
        <v>2.86</v>
      </c>
      <c r="Q1933" s="27" t="s">
        <v>3982</v>
      </c>
      <c r="R1933" s="27" t="s">
        <v>3885</v>
      </c>
    </row>
    <row r="1934" customFormat="false" ht="15" hidden="false" customHeight="false" outlineLevel="0" collapsed="false">
      <c r="A1934" s="25" t="n">
        <f aca="false">IF(G1934="REJECT",COUNTIF($G$2:$G$2277,"&lt;&gt;REJECT")+1+COUNTIFS($G$2:$G$2277,"REJECT",$B$2:$B$2277,"&gt;"&amp;B1934),1+COUNTIFS($G$2:$G$2277,"&lt;&gt;REJECT",$B$2:$B$2277,"&gt;"&amp;B1934))</f>
        <v>1933</v>
      </c>
      <c r="B1934" s="26" t="n">
        <f aca="false">ROUND(($U$2*MAX(0,MIN(1,($W$2-I1934)/($W$2-$V$2)))+$U$3*MAX(0,MIN(1,($W$3-J1934)/($W$3-$V$3)))+$U$4*MAX(0,MIN(1,($W$4-K1934)/($W$4-$V$4)))+$U$5*MAX(0,MIN(1,($W$5-L1934)/($W$5-$V$5)))+$U$6*MAX(0,MIN(1,($W$6-M1934)/($W$6-$V$6)))+$U$7*MAX(0,MIN(1,($W$7-N1934)/($W$7-$V$7)))+$U$8*IF(AND(O1934&gt;=$V$8,O1934&lt;=$W$8),1,0))/$U$9*100,2)</f>
        <v>41.84</v>
      </c>
      <c r="C1934" s="27" t="s">
        <v>3383</v>
      </c>
      <c r="D1934" s="25" t="s">
        <v>134</v>
      </c>
      <c r="E1934" s="25" t="s">
        <v>3447</v>
      </c>
      <c r="F1934" s="25" t="s">
        <v>3448</v>
      </c>
      <c r="G1934" s="39" t="s">
        <v>32</v>
      </c>
      <c r="H1934" s="39" t="s">
        <v>26</v>
      </c>
      <c r="I1934" s="25" t="n">
        <v>7</v>
      </c>
      <c r="J1934" s="25" t="n">
        <v>1</v>
      </c>
      <c r="K1934" s="25" t="n">
        <v>7</v>
      </c>
      <c r="L1934" s="29" t="n">
        <v>0.79</v>
      </c>
      <c r="M1934" s="30" t="n">
        <v>20.07</v>
      </c>
      <c r="N1934" s="29" t="n">
        <v>0.28</v>
      </c>
      <c r="O1934" s="25" t="n">
        <v>184</v>
      </c>
      <c r="P1934" s="30" t="n">
        <v>10.15</v>
      </c>
      <c r="Q1934" s="27" t="s">
        <v>3983</v>
      </c>
      <c r="R1934" s="27" t="s">
        <v>1926</v>
      </c>
    </row>
    <row r="1935" customFormat="false" ht="15" hidden="false" customHeight="false" outlineLevel="0" collapsed="false">
      <c r="A1935" s="25" t="n">
        <f aca="false">IF(G1935="REJECT",COUNTIF($G$2:$G$2277,"&lt;&gt;REJECT")+1+COUNTIFS($G$2:$G$2277,"REJECT",$B$2:$B$2277,"&gt;"&amp;B1935),1+COUNTIFS($G$2:$G$2277,"&lt;&gt;REJECT",$B$2:$B$2277,"&gt;"&amp;B1935))</f>
        <v>1934</v>
      </c>
      <c r="B1935" s="26" t="n">
        <f aca="false">ROUND(($U$2*MAX(0,MIN(1,($W$2-I1935)/($W$2-$V$2)))+$U$3*MAX(0,MIN(1,($W$3-J1935)/($W$3-$V$3)))+$U$4*MAX(0,MIN(1,($W$4-K1935)/($W$4-$V$4)))+$U$5*MAX(0,MIN(1,($W$5-L1935)/($W$5-$V$5)))+$U$6*MAX(0,MIN(1,($W$6-M1935)/($W$6-$V$6)))+$U$7*MAX(0,MIN(1,($W$7-N1935)/($W$7-$V$7)))+$U$8*IF(AND(O1935&gt;=$V$8,O1935&lt;=$W$8),1,0))/$U$9*100,2)</f>
        <v>41.73</v>
      </c>
      <c r="C1935" s="27" t="s">
        <v>3100</v>
      </c>
      <c r="D1935" s="25" t="s">
        <v>134</v>
      </c>
      <c r="E1935" s="25" t="s">
        <v>3447</v>
      </c>
      <c r="F1935" s="25" t="s">
        <v>3448</v>
      </c>
      <c r="G1935" s="39" t="s">
        <v>32</v>
      </c>
      <c r="H1935" s="39" t="s">
        <v>26</v>
      </c>
      <c r="I1935" s="25" t="n">
        <v>13</v>
      </c>
      <c r="J1935" s="25" t="n">
        <v>0</v>
      </c>
      <c r="K1935" s="25" t="n">
        <v>13</v>
      </c>
      <c r="L1935" s="29" t="n">
        <v>0.72</v>
      </c>
      <c r="M1935" s="30" t="n">
        <v>15.6</v>
      </c>
      <c r="N1935" s="29" t="n">
        <v>0.52</v>
      </c>
      <c r="O1935" s="25" t="n">
        <v>186</v>
      </c>
      <c r="P1935" s="30" t="n">
        <v>3.91</v>
      </c>
      <c r="Q1935" s="27" t="s">
        <v>3984</v>
      </c>
      <c r="R1935" s="27" t="s">
        <v>60</v>
      </c>
    </row>
    <row r="1936" customFormat="false" ht="15" hidden="false" customHeight="false" outlineLevel="0" collapsed="false">
      <c r="A1936" s="25" t="n">
        <f aca="false">IF(G1936="REJECT",COUNTIF($G$2:$G$2277,"&lt;&gt;REJECT")+1+COUNTIFS($G$2:$G$2277,"REJECT",$B$2:$B$2277,"&gt;"&amp;B1936),1+COUNTIFS($G$2:$G$2277,"&lt;&gt;REJECT",$B$2:$B$2277,"&gt;"&amp;B1936))</f>
        <v>1935</v>
      </c>
      <c r="B1936" s="26" t="n">
        <f aca="false">ROUND(($U$2*MAX(0,MIN(1,($W$2-I1936)/($W$2-$V$2)))+$U$3*MAX(0,MIN(1,($W$3-J1936)/($W$3-$V$3)))+$U$4*MAX(0,MIN(1,($W$4-K1936)/($W$4-$V$4)))+$U$5*MAX(0,MIN(1,($W$5-L1936)/($W$5-$V$5)))+$U$6*MAX(0,MIN(1,($W$6-M1936)/($W$6-$V$6)))+$U$7*MAX(0,MIN(1,($W$7-N1936)/($W$7-$V$7)))+$U$8*IF(AND(O1936&gt;=$V$8,O1936&lt;=$W$8),1,0))/$U$9*100,2)</f>
        <v>41.69</v>
      </c>
      <c r="C1936" s="27" t="s">
        <v>1854</v>
      </c>
      <c r="D1936" s="25" t="s">
        <v>134</v>
      </c>
      <c r="E1936" s="25" t="s">
        <v>3450</v>
      </c>
      <c r="F1936" s="25" t="s">
        <v>3457</v>
      </c>
      <c r="G1936" s="39" t="s">
        <v>32</v>
      </c>
      <c r="H1936" s="39" t="s">
        <v>26</v>
      </c>
      <c r="I1936" s="25" t="n">
        <v>12</v>
      </c>
      <c r="J1936" s="25" t="n">
        <v>0</v>
      </c>
      <c r="K1936" s="25" t="n">
        <v>12</v>
      </c>
      <c r="L1936" s="29" t="n">
        <v>0.69</v>
      </c>
      <c r="M1936" s="30" t="n">
        <v>0.68</v>
      </c>
      <c r="N1936" s="29" t="n">
        <v>0.96</v>
      </c>
      <c r="O1936" s="25" t="n">
        <v>184</v>
      </c>
      <c r="P1936" s="30" t="n">
        <v>4.75</v>
      </c>
      <c r="Q1936" s="27" t="s">
        <v>3937</v>
      </c>
      <c r="R1936" s="27" t="s">
        <v>60</v>
      </c>
    </row>
    <row r="1937" customFormat="false" ht="15" hidden="false" customHeight="false" outlineLevel="0" collapsed="false">
      <c r="A1937" s="25" t="n">
        <f aca="false">IF(G1937="REJECT",COUNTIF($G$2:$G$2277,"&lt;&gt;REJECT")+1+COUNTIFS($G$2:$G$2277,"REJECT",$B$2:$B$2277,"&gt;"&amp;B1937),1+COUNTIFS($G$2:$G$2277,"&lt;&gt;REJECT",$B$2:$B$2277,"&gt;"&amp;B1937))</f>
        <v>1935</v>
      </c>
      <c r="B1937" s="26" t="n">
        <f aca="false">ROUND(($U$2*MAX(0,MIN(1,($W$2-I1937)/($W$2-$V$2)))+$U$3*MAX(0,MIN(1,($W$3-J1937)/($W$3-$V$3)))+$U$4*MAX(0,MIN(1,($W$4-K1937)/($W$4-$V$4)))+$U$5*MAX(0,MIN(1,($W$5-L1937)/($W$5-$V$5)))+$U$6*MAX(0,MIN(1,($W$6-M1937)/($W$6-$V$6)))+$U$7*MAX(0,MIN(1,($W$7-N1937)/($W$7-$V$7)))+$U$8*IF(AND(O1937&gt;=$V$8,O1937&lt;=$W$8),1,0))/$U$9*100,2)</f>
        <v>41.69</v>
      </c>
      <c r="C1937" s="27" t="s">
        <v>3211</v>
      </c>
      <c r="D1937" s="25" t="s">
        <v>134</v>
      </c>
      <c r="E1937" s="25" t="s">
        <v>3447</v>
      </c>
      <c r="F1937" s="25" t="s">
        <v>3448</v>
      </c>
      <c r="G1937" s="39" t="s">
        <v>32</v>
      </c>
      <c r="H1937" s="39" t="s">
        <v>26</v>
      </c>
      <c r="I1937" s="25" t="n">
        <v>11</v>
      </c>
      <c r="J1937" s="25" t="n">
        <v>0</v>
      </c>
      <c r="K1937" s="25" t="n">
        <v>11</v>
      </c>
      <c r="L1937" s="29" t="n">
        <v>0.73</v>
      </c>
      <c r="M1937" s="30" t="n">
        <v>15.06</v>
      </c>
      <c r="N1937" s="29" t="n">
        <v>0.96</v>
      </c>
      <c r="O1937" s="25" t="n">
        <v>189</v>
      </c>
      <c r="P1937" s="30" t="n">
        <v>5.33</v>
      </c>
      <c r="Q1937" s="27" t="s">
        <v>3949</v>
      </c>
      <c r="R1937" s="27" t="s">
        <v>3885</v>
      </c>
    </row>
    <row r="1938" customFormat="false" ht="15" hidden="false" customHeight="false" outlineLevel="0" collapsed="false">
      <c r="A1938" s="25" t="n">
        <f aca="false">IF(G1938="REJECT",COUNTIF($G$2:$G$2277,"&lt;&gt;REJECT")+1+COUNTIFS($G$2:$G$2277,"REJECT",$B$2:$B$2277,"&gt;"&amp;B1938),1+COUNTIFS($G$2:$G$2277,"&lt;&gt;REJECT",$B$2:$B$2277,"&gt;"&amp;B1938))</f>
        <v>1935</v>
      </c>
      <c r="B1938" s="26" t="n">
        <f aca="false">ROUND(($U$2*MAX(0,MIN(1,($W$2-I1938)/($W$2-$V$2)))+$U$3*MAX(0,MIN(1,($W$3-J1938)/($W$3-$V$3)))+$U$4*MAX(0,MIN(1,($W$4-K1938)/($W$4-$V$4)))+$U$5*MAX(0,MIN(1,($W$5-L1938)/($W$5-$V$5)))+$U$6*MAX(0,MIN(1,($W$6-M1938)/($W$6-$V$6)))+$U$7*MAX(0,MIN(1,($W$7-N1938)/($W$7-$V$7)))+$U$8*IF(AND(O1938&gt;=$V$8,O1938&lt;=$W$8),1,0))/$U$9*100,2)</f>
        <v>41.69</v>
      </c>
      <c r="C1938" s="27" t="s">
        <v>3369</v>
      </c>
      <c r="D1938" s="25" t="s">
        <v>134</v>
      </c>
      <c r="E1938" s="25" t="s">
        <v>3447</v>
      </c>
      <c r="F1938" s="25" t="s">
        <v>3457</v>
      </c>
      <c r="G1938" s="39" t="s">
        <v>32</v>
      </c>
      <c r="H1938" s="39" t="s">
        <v>26</v>
      </c>
      <c r="I1938" s="25" t="n">
        <v>12</v>
      </c>
      <c r="J1938" s="25" t="n">
        <v>0</v>
      </c>
      <c r="K1938" s="25" t="n">
        <v>12</v>
      </c>
      <c r="L1938" s="29" t="n">
        <v>0.72</v>
      </c>
      <c r="M1938" s="30" t="n">
        <v>15.89</v>
      </c>
      <c r="N1938" s="29" t="n">
        <v>0.52</v>
      </c>
      <c r="O1938" s="25" t="n">
        <v>183</v>
      </c>
      <c r="P1938" s="30" t="n">
        <v>3.18</v>
      </c>
      <c r="Q1938" s="27" t="s">
        <v>3985</v>
      </c>
      <c r="R1938" s="27" t="s">
        <v>3885</v>
      </c>
    </row>
    <row r="1939" customFormat="false" ht="15" hidden="false" customHeight="false" outlineLevel="0" collapsed="false">
      <c r="A1939" s="25" t="n">
        <f aca="false">IF(G1939="REJECT",COUNTIF($G$2:$G$2277,"&lt;&gt;REJECT")+1+COUNTIFS($G$2:$G$2277,"REJECT",$B$2:$B$2277,"&gt;"&amp;B1939),1+COUNTIFS($G$2:$G$2277,"&lt;&gt;REJECT",$B$2:$B$2277,"&gt;"&amp;B1939))</f>
        <v>1938</v>
      </c>
      <c r="B1939" s="26" t="n">
        <f aca="false">ROUND(($U$2*MAX(0,MIN(1,($W$2-I1939)/($W$2-$V$2)))+$U$3*MAX(0,MIN(1,($W$3-J1939)/($W$3-$V$3)))+$U$4*MAX(0,MIN(1,($W$4-K1939)/($W$4-$V$4)))+$U$5*MAX(0,MIN(1,($W$5-L1939)/($W$5-$V$5)))+$U$6*MAX(0,MIN(1,($W$6-M1939)/($W$6-$V$6)))+$U$7*MAX(0,MIN(1,($W$7-N1939)/($W$7-$V$7)))+$U$8*IF(AND(O1939&gt;=$V$8,O1939&lt;=$W$8),1,0))/$U$9*100,2)</f>
        <v>41.66</v>
      </c>
      <c r="C1939" s="27" t="s">
        <v>1448</v>
      </c>
      <c r="D1939" s="25" t="s">
        <v>134</v>
      </c>
      <c r="E1939" s="25" t="s">
        <v>3447</v>
      </c>
      <c r="F1939" s="25" t="s">
        <v>3448</v>
      </c>
      <c r="G1939" s="39" t="s">
        <v>32</v>
      </c>
      <c r="H1939" s="39" t="s">
        <v>26</v>
      </c>
      <c r="I1939" s="25" t="n">
        <v>7</v>
      </c>
      <c r="J1939" s="25" t="n">
        <v>1</v>
      </c>
      <c r="K1939" s="25" t="n">
        <v>7</v>
      </c>
      <c r="L1939" s="29" t="n">
        <v>0.74</v>
      </c>
      <c r="M1939" s="30" t="n">
        <v>1.16</v>
      </c>
      <c r="N1939" s="29" t="n">
        <v>0.48</v>
      </c>
      <c r="O1939" s="25" t="n">
        <v>182</v>
      </c>
      <c r="P1939" s="30" t="n">
        <v>-0.41</v>
      </c>
      <c r="Q1939" s="27" t="s">
        <v>3986</v>
      </c>
      <c r="R1939" s="27" t="s">
        <v>1451</v>
      </c>
    </row>
    <row r="1940" customFormat="false" ht="15" hidden="false" customHeight="false" outlineLevel="0" collapsed="false">
      <c r="A1940" s="25" t="n">
        <f aca="false">IF(G1940="REJECT",COUNTIF($G$2:$G$2277,"&lt;&gt;REJECT")+1+COUNTIFS($G$2:$G$2277,"REJECT",$B$2:$B$2277,"&gt;"&amp;B1940),1+COUNTIFS($G$2:$G$2277,"&lt;&gt;REJECT",$B$2:$B$2277,"&gt;"&amp;B1940))</f>
        <v>1938</v>
      </c>
      <c r="B1940" s="26" t="n">
        <f aca="false">ROUND(($U$2*MAX(0,MIN(1,($W$2-I1940)/($W$2-$V$2)))+$U$3*MAX(0,MIN(1,($W$3-J1940)/($W$3-$V$3)))+$U$4*MAX(0,MIN(1,($W$4-K1940)/($W$4-$V$4)))+$U$5*MAX(0,MIN(1,($W$5-L1940)/($W$5-$V$5)))+$U$6*MAX(0,MIN(1,($W$6-M1940)/($W$6-$V$6)))+$U$7*MAX(0,MIN(1,($W$7-N1940)/($W$7-$V$7)))+$U$8*IF(AND(O1940&gt;=$V$8,O1940&lt;=$W$8),1,0))/$U$9*100,2)</f>
        <v>41.66</v>
      </c>
      <c r="C1940" s="27" t="s">
        <v>2860</v>
      </c>
      <c r="D1940" s="25" t="s">
        <v>134</v>
      </c>
      <c r="E1940" s="25" t="s">
        <v>3447</v>
      </c>
      <c r="F1940" s="25" t="s">
        <v>3457</v>
      </c>
      <c r="G1940" s="39" t="s">
        <v>32</v>
      </c>
      <c r="H1940" s="39" t="s">
        <v>26</v>
      </c>
      <c r="I1940" s="25" t="n">
        <v>7</v>
      </c>
      <c r="J1940" s="25" t="n">
        <v>1</v>
      </c>
      <c r="K1940" s="25" t="n">
        <v>6</v>
      </c>
      <c r="L1940" s="29" t="n">
        <v>0.73</v>
      </c>
      <c r="M1940" s="30" t="n">
        <v>11.57</v>
      </c>
      <c r="N1940" s="29" t="n">
        <v>0.2</v>
      </c>
      <c r="O1940" s="25" t="n">
        <v>187</v>
      </c>
      <c r="P1940" s="30" t="n">
        <v>2.94</v>
      </c>
      <c r="Q1940" s="27" t="s">
        <v>3987</v>
      </c>
      <c r="R1940" s="27" t="s">
        <v>529</v>
      </c>
    </row>
    <row r="1941" customFormat="false" ht="15" hidden="false" customHeight="false" outlineLevel="0" collapsed="false">
      <c r="A1941" s="25" t="n">
        <f aca="false">IF(G1941="REJECT",COUNTIF($G$2:$G$2277,"&lt;&gt;REJECT")+1+COUNTIFS($G$2:$G$2277,"REJECT",$B$2:$B$2277,"&gt;"&amp;B1941),1+COUNTIFS($G$2:$G$2277,"&lt;&gt;REJECT",$B$2:$B$2277,"&gt;"&amp;B1941))</f>
        <v>1940</v>
      </c>
      <c r="B1941" s="26" t="n">
        <f aca="false">ROUND(($U$2*MAX(0,MIN(1,($W$2-I1941)/($W$2-$V$2)))+$U$3*MAX(0,MIN(1,($W$3-J1941)/($W$3-$V$3)))+$U$4*MAX(0,MIN(1,($W$4-K1941)/($W$4-$V$4)))+$U$5*MAX(0,MIN(1,($W$5-L1941)/($W$5-$V$5)))+$U$6*MAX(0,MIN(1,($W$6-M1941)/($W$6-$V$6)))+$U$7*MAX(0,MIN(1,($W$7-N1941)/($W$7-$V$7)))+$U$8*IF(AND(O1941&gt;=$V$8,O1941&lt;=$W$8),1,0))/$U$9*100,2)</f>
        <v>41.62</v>
      </c>
      <c r="C1941" s="27" t="s">
        <v>2703</v>
      </c>
      <c r="D1941" s="25" t="s">
        <v>3459</v>
      </c>
      <c r="E1941" s="25" t="s">
        <v>3450</v>
      </c>
      <c r="F1941" s="25" t="s">
        <v>3448</v>
      </c>
      <c r="G1941" s="39" t="s">
        <v>32</v>
      </c>
      <c r="H1941" s="39" t="s">
        <v>26</v>
      </c>
      <c r="I1941" s="25" t="n">
        <v>8</v>
      </c>
      <c r="J1941" s="25" t="n">
        <v>0</v>
      </c>
      <c r="K1941" s="25" t="n">
        <v>8</v>
      </c>
      <c r="L1941" s="29" t="n">
        <v>0.69</v>
      </c>
      <c r="M1941" s="30" t="n">
        <v>10.68</v>
      </c>
      <c r="N1941" s="29" t="n">
        <v>0</v>
      </c>
      <c r="O1941" s="25" t="n">
        <v>183</v>
      </c>
      <c r="P1941" s="30" t="n">
        <v>8.93</v>
      </c>
      <c r="Q1941" s="27" t="s">
        <v>3988</v>
      </c>
      <c r="R1941" s="27" t="s">
        <v>60</v>
      </c>
    </row>
    <row r="1942" customFormat="false" ht="15" hidden="false" customHeight="false" outlineLevel="0" collapsed="false">
      <c r="A1942" s="25" t="n">
        <f aca="false">IF(G1942="REJECT",COUNTIF($G$2:$G$2277,"&lt;&gt;REJECT")+1+COUNTIFS($G$2:$G$2277,"REJECT",$B$2:$B$2277,"&gt;"&amp;B1942),1+COUNTIFS($G$2:$G$2277,"&lt;&gt;REJECT",$B$2:$B$2277,"&gt;"&amp;B1942))</f>
        <v>1941</v>
      </c>
      <c r="B1942" s="26" t="n">
        <f aca="false">ROUND(($U$2*MAX(0,MIN(1,($W$2-I1942)/($W$2-$V$2)))+$U$3*MAX(0,MIN(1,($W$3-J1942)/($W$3-$V$3)))+$U$4*MAX(0,MIN(1,($W$4-K1942)/($W$4-$V$4)))+$U$5*MAX(0,MIN(1,($W$5-L1942)/($W$5-$V$5)))+$U$6*MAX(0,MIN(1,($W$6-M1942)/($W$6-$V$6)))+$U$7*MAX(0,MIN(1,($W$7-N1942)/($W$7-$V$7)))+$U$8*IF(AND(O1942&gt;=$V$8,O1942&lt;=$W$8),1,0))/$U$9*100,2)</f>
        <v>41.44</v>
      </c>
      <c r="C1942" s="27" t="s">
        <v>2280</v>
      </c>
      <c r="D1942" s="25" t="s">
        <v>3459</v>
      </c>
      <c r="E1942" s="25" t="s">
        <v>3447</v>
      </c>
      <c r="F1942" s="25" t="s">
        <v>3448</v>
      </c>
      <c r="G1942" s="39" t="s">
        <v>32</v>
      </c>
      <c r="H1942" s="39" t="s">
        <v>26</v>
      </c>
      <c r="I1942" s="25" t="n">
        <v>13</v>
      </c>
      <c r="J1942" s="25" t="n">
        <v>0</v>
      </c>
      <c r="K1942" s="25" t="n">
        <v>13</v>
      </c>
      <c r="L1942" s="29" t="n">
        <v>0.71</v>
      </c>
      <c r="M1942" s="30" t="n">
        <v>14.95</v>
      </c>
      <c r="N1942" s="29" t="n">
        <v>0.4</v>
      </c>
      <c r="O1942" s="25" t="n">
        <v>183</v>
      </c>
      <c r="P1942" s="30" t="n">
        <v>4.18</v>
      </c>
      <c r="Q1942" s="27" t="s">
        <v>3989</v>
      </c>
      <c r="R1942" s="27" t="s">
        <v>60</v>
      </c>
    </row>
    <row r="1943" customFormat="false" ht="15" hidden="false" customHeight="false" outlineLevel="0" collapsed="false">
      <c r="A1943" s="25" t="n">
        <f aca="false">IF(G1943="REJECT",COUNTIF($G$2:$G$2277,"&lt;&gt;REJECT")+1+COUNTIFS($G$2:$G$2277,"REJECT",$B$2:$B$2277,"&gt;"&amp;B1943),1+COUNTIFS($G$2:$G$2277,"&lt;&gt;REJECT",$B$2:$B$2277,"&gt;"&amp;B1943))</f>
        <v>1942</v>
      </c>
      <c r="B1943" s="26" t="n">
        <f aca="false">ROUND(($U$2*MAX(0,MIN(1,($W$2-I1943)/($W$2-$V$2)))+$U$3*MAX(0,MIN(1,($W$3-J1943)/($W$3-$V$3)))+$U$4*MAX(0,MIN(1,($W$4-K1943)/($W$4-$V$4)))+$U$5*MAX(0,MIN(1,($W$5-L1943)/($W$5-$V$5)))+$U$6*MAX(0,MIN(1,($W$6-M1943)/($W$6-$V$6)))+$U$7*MAX(0,MIN(1,($W$7-N1943)/($W$7-$V$7)))+$U$8*IF(AND(O1943&gt;=$V$8,O1943&lt;=$W$8),1,0))/$U$9*100,2)</f>
        <v>41.41</v>
      </c>
      <c r="C1943" s="27" t="s">
        <v>1448</v>
      </c>
      <c r="D1943" s="25" t="s">
        <v>134</v>
      </c>
      <c r="E1943" s="25" t="s">
        <v>3447</v>
      </c>
      <c r="F1943" s="25" t="s">
        <v>3457</v>
      </c>
      <c r="G1943" s="39" t="s">
        <v>32</v>
      </c>
      <c r="H1943" s="39" t="s">
        <v>26</v>
      </c>
      <c r="I1943" s="25" t="n">
        <v>7</v>
      </c>
      <c r="J1943" s="25" t="n">
        <v>1</v>
      </c>
      <c r="K1943" s="25" t="n">
        <v>7</v>
      </c>
      <c r="L1943" s="29" t="n">
        <v>0.74</v>
      </c>
      <c r="M1943" s="30" t="n">
        <v>0.26</v>
      </c>
      <c r="N1943" s="29" t="n">
        <v>0.72</v>
      </c>
      <c r="O1943" s="25" t="n">
        <v>182</v>
      </c>
      <c r="P1943" s="30" t="n">
        <v>-0.96</v>
      </c>
      <c r="Q1943" s="27" t="s">
        <v>3986</v>
      </c>
      <c r="R1943" s="27" t="s">
        <v>529</v>
      </c>
    </row>
    <row r="1944" customFormat="false" ht="15" hidden="false" customHeight="false" outlineLevel="0" collapsed="false">
      <c r="A1944" s="25" t="n">
        <f aca="false">IF(G1944="REJECT",COUNTIF($G$2:$G$2277,"&lt;&gt;REJECT")+1+COUNTIFS($G$2:$G$2277,"REJECT",$B$2:$B$2277,"&gt;"&amp;B1944),1+COUNTIFS($G$2:$G$2277,"&lt;&gt;REJECT",$B$2:$B$2277,"&gt;"&amp;B1944))</f>
        <v>1943</v>
      </c>
      <c r="B1944" s="26" t="n">
        <f aca="false">ROUND(($U$2*MAX(0,MIN(1,($W$2-I1944)/($W$2-$V$2)))+$U$3*MAX(0,MIN(1,($W$3-J1944)/($W$3-$V$3)))+$U$4*MAX(0,MIN(1,($W$4-K1944)/($W$4-$V$4)))+$U$5*MAX(0,MIN(1,($W$5-L1944)/($W$5-$V$5)))+$U$6*MAX(0,MIN(1,($W$6-M1944)/($W$6-$V$6)))+$U$7*MAX(0,MIN(1,($W$7-N1944)/($W$7-$V$7)))+$U$8*IF(AND(O1944&gt;=$V$8,O1944&lt;=$W$8),1,0))/$U$9*100,2)</f>
        <v>41.36</v>
      </c>
      <c r="C1944" s="27" t="s">
        <v>3305</v>
      </c>
      <c r="D1944" s="25" t="s">
        <v>134</v>
      </c>
      <c r="E1944" s="25" t="s">
        <v>3450</v>
      </c>
      <c r="F1944" s="25" t="s">
        <v>3448</v>
      </c>
      <c r="G1944" s="39" t="s">
        <v>32</v>
      </c>
      <c r="H1944" s="39" t="s">
        <v>26</v>
      </c>
      <c r="I1944" s="25" t="n">
        <v>10</v>
      </c>
      <c r="J1944" s="25" t="n">
        <v>0</v>
      </c>
      <c r="K1944" s="25" t="n">
        <v>10</v>
      </c>
      <c r="L1944" s="29" t="n">
        <v>0.68</v>
      </c>
      <c r="M1944" s="30" t="n">
        <v>5.03</v>
      </c>
      <c r="N1944" s="29" t="n">
        <v>0.36</v>
      </c>
      <c r="O1944" s="25" t="n">
        <v>183</v>
      </c>
      <c r="P1944" s="30" t="n">
        <v>12.75</v>
      </c>
      <c r="Q1944" s="27" t="s">
        <v>3990</v>
      </c>
      <c r="R1944" s="27" t="s">
        <v>60</v>
      </c>
    </row>
    <row r="1945" customFormat="false" ht="15" hidden="false" customHeight="false" outlineLevel="0" collapsed="false">
      <c r="A1945" s="25" t="n">
        <f aca="false">IF(G1945="REJECT",COUNTIF($G$2:$G$2277,"&lt;&gt;REJECT")+1+COUNTIFS($G$2:$G$2277,"REJECT",$B$2:$B$2277,"&gt;"&amp;B1945),1+COUNTIFS($G$2:$G$2277,"&lt;&gt;REJECT",$B$2:$B$2277,"&gt;"&amp;B1945))</f>
        <v>1944</v>
      </c>
      <c r="B1945" s="26" t="n">
        <f aca="false">ROUND(($U$2*MAX(0,MIN(1,($W$2-I1945)/($W$2-$V$2)))+$U$3*MAX(0,MIN(1,($W$3-J1945)/($W$3-$V$3)))+$U$4*MAX(0,MIN(1,($W$4-K1945)/($W$4-$V$4)))+$U$5*MAX(0,MIN(1,($W$5-L1945)/($W$5-$V$5)))+$U$6*MAX(0,MIN(1,($W$6-M1945)/($W$6-$V$6)))+$U$7*MAX(0,MIN(1,($W$7-N1945)/($W$7-$V$7)))+$U$8*IF(AND(O1945&gt;=$V$8,O1945&lt;=$W$8),1,0))/$U$9*100,2)</f>
        <v>41.3</v>
      </c>
      <c r="C1945" s="27" t="s">
        <v>317</v>
      </c>
      <c r="D1945" s="25" t="s">
        <v>134</v>
      </c>
      <c r="E1945" s="25" t="s">
        <v>3447</v>
      </c>
      <c r="F1945" s="25" t="s">
        <v>3448</v>
      </c>
      <c r="G1945" s="39" t="s">
        <v>32</v>
      </c>
      <c r="H1945" s="39" t="s">
        <v>26</v>
      </c>
      <c r="I1945" s="25" t="n">
        <v>9</v>
      </c>
      <c r="J1945" s="25" t="n">
        <v>0</v>
      </c>
      <c r="K1945" s="25" t="n">
        <v>9</v>
      </c>
      <c r="L1945" s="29" t="n">
        <v>0.7</v>
      </c>
      <c r="M1945" s="30" t="n">
        <v>9.03</v>
      </c>
      <c r="N1945" s="29" t="n">
        <v>0.72</v>
      </c>
      <c r="O1945" s="25" t="n">
        <v>185</v>
      </c>
      <c r="P1945" s="30" t="n">
        <v>8.89</v>
      </c>
      <c r="Q1945" s="27" t="s">
        <v>3991</v>
      </c>
      <c r="R1945" s="27" t="s">
        <v>60</v>
      </c>
    </row>
    <row r="1946" customFormat="false" ht="15" hidden="false" customHeight="false" outlineLevel="0" collapsed="false">
      <c r="A1946" s="25" t="n">
        <f aca="false">IF(G1946="REJECT",COUNTIF($G$2:$G$2277,"&lt;&gt;REJECT")+1+COUNTIFS($G$2:$G$2277,"REJECT",$B$2:$B$2277,"&gt;"&amp;B1946),1+COUNTIFS($G$2:$G$2277,"&lt;&gt;REJECT",$B$2:$B$2277,"&gt;"&amp;B1946))</f>
        <v>1945</v>
      </c>
      <c r="B1946" s="26" t="n">
        <f aca="false">ROUND(($U$2*MAX(0,MIN(1,($W$2-I1946)/($W$2-$V$2)))+$U$3*MAX(0,MIN(1,($W$3-J1946)/($W$3-$V$3)))+$U$4*MAX(0,MIN(1,($W$4-K1946)/($W$4-$V$4)))+$U$5*MAX(0,MIN(1,($W$5-L1946)/($W$5-$V$5)))+$U$6*MAX(0,MIN(1,($W$6-M1946)/($W$6-$V$6)))+$U$7*MAX(0,MIN(1,($W$7-N1946)/($W$7-$V$7)))+$U$8*IF(AND(O1946&gt;=$V$8,O1946&lt;=$W$8),1,0))/$U$9*100,2)</f>
        <v>41.24</v>
      </c>
      <c r="C1946" s="27" t="s">
        <v>1190</v>
      </c>
      <c r="D1946" s="25" t="s">
        <v>134</v>
      </c>
      <c r="E1946" s="25" t="s">
        <v>3447</v>
      </c>
      <c r="F1946" s="25" t="s">
        <v>3457</v>
      </c>
      <c r="G1946" s="39" t="s">
        <v>32</v>
      </c>
      <c r="H1946" s="39" t="s">
        <v>26</v>
      </c>
      <c r="I1946" s="25" t="n">
        <v>8</v>
      </c>
      <c r="J1946" s="25" t="n">
        <v>0</v>
      </c>
      <c r="K1946" s="25" t="n">
        <v>8</v>
      </c>
      <c r="L1946" s="29" t="n">
        <v>0.71</v>
      </c>
      <c r="M1946" s="30" t="n">
        <v>12.58</v>
      </c>
      <c r="N1946" s="29" t="n">
        <v>0.76</v>
      </c>
      <c r="O1946" s="25" t="n">
        <v>184</v>
      </c>
      <c r="P1946" s="30" t="n">
        <v>-0.51</v>
      </c>
      <c r="Q1946" s="27" t="s">
        <v>3992</v>
      </c>
      <c r="R1946" s="27" t="s">
        <v>60</v>
      </c>
    </row>
    <row r="1947" customFormat="false" ht="15" hidden="false" customHeight="false" outlineLevel="0" collapsed="false">
      <c r="A1947" s="25" t="n">
        <f aca="false">IF(G1947="REJECT",COUNTIF($G$2:$G$2277,"&lt;&gt;REJECT")+1+COUNTIFS($G$2:$G$2277,"REJECT",$B$2:$B$2277,"&gt;"&amp;B1947),1+COUNTIFS($G$2:$G$2277,"&lt;&gt;REJECT",$B$2:$B$2277,"&gt;"&amp;B1947))</f>
        <v>1946</v>
      </c>
      <c r="B1947" s="26" t="n">
        <f aca="false">ROUND(($U$2*MAX(0,MIN(1,($W$2-I1947)/($W$2-$V$2)))+$U$3*MAX(0,MIN(1,($W$3-J1947)/($W$3-$V$3)))+$U$4*MAX(0,MIN(1,($W$4-K1947)/($W$4-$V$4)))+$U$5*MAX(0,MIN(1,($W$5-L1947)/($W$5-$V$5)))+$U$6*MAX(0,MIN(1,($W$6-M1947)/($W$6-$V$6)))+$U$7*MAX(0,MIN(1,($W$7-N1947)/($W$7-$V$7)))+$U$8*IF(AND(O1947&gt;=$V$8,O1947&lt;=$W$8),1,0))/$U$9*100,2)</f>
        <v>41.15</v>
      </c>
      <c r="C1947" s="27" t="s">
        <v>526</v>
      </c>
      <c r="D1947" s="25" t="s">
        <v>134</v>
      </c>
      <c r="E1947" s="25" t="s">
        <v>3447</v>
      </c>
      <c r="F1947" s="25" t="s">
        <v>3448</v>
      </c>
      <c r="G1947" s="39" t="s">
        <v>32</v>
      </c>
      <c r="H1947" s="39" t="s">
        <v>26</v>
      </c>
      <c r="I1947" s="25" t="n">
        <v>11</v>
      </c>
      <c r="J1947" s="25" t="n">
        <v>0</v>
      </c>
      <c r="K1947" s="25" t="n">
        <v>11</v>
      </c>
      <c r="L1947" s="29" t="n">
        <v>0.69</v>
      </c>
      <c r="M1947" s="30" t="n">
        <v>5.51</v>
      </c>
      <c r="N1947" s="29" t="n">
        <v>0.8</v>
      </c>
      <c r="O1947" s="25" t="n">
        <v>182</v>
      </c>
      <c r="P1947" s="30" t="n">
        <v>13.04</v>
      </c>
      <c r="Q1947" s="27" t="s">
        <v>3993</v>
      </c>
      <c r="R1947" s="27" t="s">
        <v>60</v>
      </c>
    </row>
    <row r="1948" customFormat="false" ht="15" hidden="false" customHeight="false" outlineLevel="0" collapsed="false">
      <c r="A1948" s="25" t="n">
        <f aca="false">IF(G1948="REJECT",COUNTIF($G$2:$G$2277,"&lt;&gt;REJECT")+1+COUNTIFS($G$2:$G$2277,"REJECT",$B$2:$B$2277,"&gt;"&amp;B1948),1+COUNTIFS($G$2:$G$2277,"&lt;&gt;REJECT",$B$2:$B$2277,"&gt;"&amp;B1948))</f>
        <v>1946</v>
      </c>
      <c r="B1948" s="26" t="n">
        <f aca="false">ROUND(($U$2*MAX(0,MIN(1,($W$2-I1948)/($W$2-$V$2)))+$U$3*MAX(0,MIN(1,($W$3-J1948)/($W$3-$V$3)))+$U$4*MAX(0,MIN(1,($W$4-K1948)/($W$4-$V$4)))+$U$5*MAX(0,MIN(1,($W$5-L1948)/($W$5-$V$5)))+$U$6*MAX(0,MIN(1,($W$6-M1948)/($W$6-$V$6)))+$U$7*MAX(0,MIN(1,($W$7-N1948)/($W$7-$V$7)))+$U$8*IF(AND(O1948&gt;=$V$8,O1948&lt;=$W$8),1,0))/$U$9*100,2)</f>
        <v>41.15</v>
      </c>
      <c r="C1948" s="27" t="s">
        <v>714</v>
      </c>
      <c r="D1948" s="25" t="s">
        <v>3459</v>
      </c>
      <c r="E1948" s="25" t="s">
        <v>3450</v>
      </c>
      <c r="F1948" s="25" t="s">
        <v>3457</v>
      </c>
      <c r="G1948" s="39" t="s">
        <v>32</v>
      </c>
      <c r="H1948" s="39" t="s">
        <v>26</v>
      </c>
      <c r="I1948" s="25" t="n">
        <v>11</v>
      </c>
      <c r="J1948" s="25" t="n">
        <v>0</v>
      </c>
      <c r="K1948" s="25" t="n">
        <v>11</v>
      </c>
      <c r="L1948" s="29" t="n">
        <v>0.74</v>
      </c>
      <c r="M1948" s="30" t="n">
        <v>24.71</v>
      </c>
      <c r="N1948" s="29" t="n">
        <v>0.68</v>
      </c>
      <c r="O1948" s="25" t="n">
        <v>183</v>
      </c>
      <c r="P1948" s="30" t="n">
        <v>17.72</v>
      </c>
      <c r="Q1948" s="27" t="s">
        <v>3994</v>
      </c>
      <c r="R1948" s="27" t="s">
        <v>3896</v>
      </c>
    </row>
    <row r="1949" customFormat="false" ht="15" hidden="false" customHeight="false" outlineLevel="0" collapsed="false">
      <c r="A1949" s="25" t="n">
        <f aca="false">IF(G1949="REJECT",COUNTIF($G$2:$G$2277,"&lt;&gt;REJECT")+1+COUNTIFS($G$2:$G$2277,"REJECT",$B$2:$B$2277,"&gt;"&amp;B1949),1+COUNTIFS($G$2:$G$2277,"&lt;&gt;REJECT",$B$2:$B$2277,"&gt;"&amp;B1949))</f>
        <v>1948</v>
      </c>
      <c r="B1949" s="26" t="n">
        <f aca="false">ROUND(($U$2*MAX(0,MIN(1,($W$2-I1949)/($W$2-$V$2)))+$U$3*MAX(0,MIN(1,($W$3-J1949)/($W$3-$V$3)))+$U$4*MAX(0,MIN(1,($W$4-K1949)/($W$4-$V$4)))+$U$5*MAX(0,MIN(1,($W$5-L1949)/($W$5-$V$5)))+$U$6*MAX(0,MIN(1,($W$6-M1949)/($W$6-$V$6)))+$U$7*MAX(0,MIN(1,($W$7-N1949)/($W$7-$V$7)))+$U$8*IF(AND(O1949&gt;=$V$8,O1949&lt;=$W$8),1,0))/$U$9*100,2)</f>
        <v>41.08</v>
      </c>
      <c r="C1949" s="27" t="s">
        <v>1355</v>
      </c>
      <c r="D1949" s="25" t="s">
        <v>134</v>
      </c>
      <c r="E1949" s="25" t="s">
        <v>3447</v>
      </c>
      <c r="F1949" s="25" t="s">
        <v>3448</v>
      </c>
      <c r="G1949" s="39" t="s">
        <v>32</v>
      </c>
      <c r="H1949" s="39" t="s">
        <v>26</v>
      </c>
      <c r="I1949" s="25" t="n">
        <v>14</v>
      </c>
      <c r="J1949" s="25" t="n">
        <v>0</v>
      </c>
      <c r="K1949" s="25" t="n">
        <v>14</v>
      </c>
      <c r="L1949" s="29" t="n">
        <v>0.7</v>
      </c>
      <c r="M1949" s="30" t="n">
        <v>13.1</v>
      </c>
      <c r="N1949" s="29" t="n">
        <v>0.44</v>
      </c>
      <c r="O1949" s="25" t="n">
        <v>186</v>
      </c>
      <c r="P1949" s="30" t="n">
        <v>0.05</v>
      </c>
      <c r="Q1949" s="27" t="s">
        <v>3995</v>
      </c>
      <c r="R1949" s="27" t="s">
        <v>60</v>
      </c>
    </row>
    <row r="1950" customFormat="false" ht="15" hidden="false" customHeight="false" outlineLevel="0" collapsed="false">
      <c r="A1950" s="25" t="n">
        <f aca="false">IF(G1950="REJECT",COUNTIF($G$2:$G$2277,"&lt;&gt;REJECT")+1+COUNTIFS($G$2:$G$2277,"REJECT",$B$2:$B$2277,"&gt;"&amp;B1950),1+COUNTIFS($G$2:$G$2277,"&lt;&gt;REJECT",$B$2:$B$2277,"&gt;"&amp;B1950))</f>
        <v>1949</v>
      </c>
      <c r="B1950" s="26" t="n">
        <f aca="false">ROUND(($U$2*MAX(0,MIN(1,($W$2-I1950)/($W$2-$V$2)))+$U$3*MAX(0,MIN(1,($W$3-J1950)/($W$3-$V$3)))+$U$4*MAX(0,MIN(1,($W$4-K1950)/($W$4-$V$4)))+$U$5*MAX(0,MIN(1,($W$5-L1950)/($W$5-$V$5)))+$U$6*MAX(0,MIN(1,($W$6-M1950)/($W$6-$V$6)))+$U$7*MAX(0,MIN(1,($W$7-N1950)/($W$7-$V$7)))+$U$8*IF(AND(O1950&gt;=$V$8,O1950&lt;=$W$8),1,0))/$U$9*100,2)</f>
        <v>41.02</v>
      </c>
      <c r="C1950" s="27" t="s">
        <v>1346</v>
      </c>
      <c r="D1950" s="25" t="s">
        <v>3459</v>
      </c>
      <c r="E1950" s="25" t="s">
        <v>3447</v>
      </c>
      <c r="F1950" s="25" t="s">
        <v>3457</v>
      </c>
      <c r="G1950" s="39" t="s">
        <v>32</v>
      </c>
      <c r="H1950" s="39" t="s">
        <v>26</v>
      </c>
      <c r="I1950" s="25" t="n">
        <v>7</v>
      </c>
      <c r="J1950" s="25" t="n">
        <v>1</v>
      </c>
      <c r="K1950" s="25" t="n">
        <v>7</v>
      </c>
      <c r="L1950" s="29" t="n">
        <v>0.86</v>
      </c>
      <c r="M1950" s="30" t="n">
        <v>23.8</v>
      </c>
      <c r="N1950" s="29" t="n">
        <v>0.76</v>
      </c>
      <c r="O1950" s="25" t="n">
        <v>183</v>
      </c>
      <c r="P1950" s="30" t="n">
        <v>5.06</v>
      </c>
      <c r="Q1950" s="27" t="s">
        <v>3996</v>
      </c>
      <c r="R1950" s="27" t="s">
        <v>1926</v>
      </c>
    </row>
    <row r="1951" customFormat="false" ht="15" hidden="false" customHeight="false" outlineLevel="0" collapsed="false">
      <c r="A1951" s="25" t="n">
        <f aca="false">IF(G1951="REJECT",COUNTIF($G$2:$G$2277,"&lt;&gt;REJECT")+1+COUNTIFS($G$2:$G$2277,"REJECT",$B$2:$B$2277,"&gt;"&amp;B1951),1+COUNTIFS($G$2:$G$2277,"&lt;&gt;REJECT",$B$2:$B$2277,"&gt;"&amp;B1951))</f>
        <v>1950</v>
      </c>
      <c r="B1951" s="26" t="n">
        <f aca="false">ROUND(($U$2*MAX(0,MIN(1,($W$2-I1951)/($W$2-$V$2)))+$U$3*MAX(0,MIN(1,($W$3-J1951)/($W$3-$V$3)))+$U$4*MAX(0,MIN(1,($W$4-K1951)/($W$4-$V$4)))+$U$5*MAX(0,MIN(1,($W$5-L1951)/($W$5-$V$5)))+$U$6*MAX(0,MIN(1,($W$6-M1951)/($W$6-$V$6)))+$U$7*MAX(0,MIN(1,($W$7-N1951)/($W$7-$V$7)))+$U$8*IF(AND(O1951&gt;=$V$8,O1951&lt;=$W$8),1,0))/$U$9*100,2)</f>
        <v>40.93</v>
      </c>
      <c r="C1951" s="27" t="s">
        <v>2407</v>
      </c>
      <c r="D1951" s="25" t="s">
        <v>134</v>
      </c>
      <c r="E1951" s="25" t="s">
        <v>3447</v>
      </c>
      <c r="F1951" s="25" t="s">
        <v>3457</v>
      </c>
      <c r="G1951" s="39" t="s">
        <v>32</v>
      </c>
      <c r="H1951" s="39" t="s">
        <v>26</v>
      </c>
      <c r="I1951" s="25" t="n">
        <v>12</v>
      </c>
      <c r="J1951" s="25" t="n">
        <v>0</v>
      </c>
      <c r="K1951" s="25" t="n">
        <v>12</v>
      </c>
      <c r="L1951" s="29" t="n">
        <v>0.71</v>
      </c>
      <c r="M1951" s="30" t="n">
        <v>13.24</v>
      </c>
      <c r="N1951" s="29" t="n">
        <v>0.88</v>
      </c>
      <c r="O1951" s="25" t="n">
        <v>191</v>
      </c>
      <c r="P1951" s="30" t="n">
        <v>2.84</v>
      </c>
      <c r="Q1951" s="27" t="s">
        <v>3997</v>
      </c>
      <c r="R1951" s="27" t="s">
        <v>60</v>
      </c>
    </row>
    <row r="1952" customFormat="false" ht="15" hidden="false" customHeight="false" outlineLevel="0" collapsed="false">
      <c r="A1952" s="25" t="n">
        <f aca="false">IF(G1952="REJECT",COUNTIF($G$2:$G$2277,"&lt;&gt;REJECT")+1+COUNTIFS($G$2:$G$2277,"REJECT",$B$2:$B$2277,"&gt;"&amp;B1952),1+COUNTIFS($G$2:$G$2277,"&lt;&gt;REJECT",$B$2:$B$2277,"&gt;"&amp;B1952))</f>
        <v>1951</v>
      </c>
      <c r="B1952" s="26" t="n">
        <f aca="false">ROUND(($U$2*MAX(0,MIN(1,($W$2-I1952)/($W$2-$V$2)))+$U$3*MAX(0,MIN(1,($W$3-J1952)/($W$3-$V$3)))+$U$4*MAX(0,MIN(1,($W$4-K1952)/($W$4-$V$4)))+$U$5*MAX(0,MIN(1,($W$5-L1952)/($W$5-$V$5)))+$U$6*MAX(0,MIN(1,($W$6-M1952)/($W$6-$V$6)))+$U$7*MAX(0,MIN(1,($W$7-N1952)/($W$7-$V$7)))+$U$8*IF(AND(O1952&gt;=$V$8,O1952&lt;=$W$8),1,0))/$U$9*100,2)</f>
        <v>40.8</v>
      </c>
      <c r="C1952" s="27" t="s">
        <v>3369</v>
      </c>
      <c r="D1952" s="25" t="s">
        <v>134</v>
      </c>
      <c r="E1952" s="25" t="s">
        <v>3447</v>
      </c>
      <c r="F1952" s="25" t="s">
        <v>3448</v>
      </c>
      <c r="G1952" s="39" t="s">
        <v>32</v>
      </c>
      <c r="H1952" s="39" t="s">
        <v>26</v>
      </c>
      <c r="I1952" s="25" t="n">
        <v>10</v>
      </c>
      <c r="J1952" s="25" t="n">
        <v>0</v>
      </c>
      <c r="K1952" s="25" t="n">
        <v>10</v>
      </c>
      <c r="L1952" s="29" t="n">
        <v>0.7</v>
      </c>
      <c r="M1952" s="30" t="n">
        <v>19.18</v>
      </c>
      <c r="N1952" s="29" t="n">
        <v>0</v>
      </c>
      <c r="O1952" s="25" t="n">
        <v>188</v>
      </c>
      <c r="P1952" s="30" t="n">
        <v>4.23</v>
      </c>
      <c r="Q1952" s="27" t="s">
        <v>3998</v>
      </c>
      <c r="R1952" s="27" t="s">
        <v>60</v>
      </c>
    </row>
    <row r="1953" customFormat="false" ht="15" hidden="false" customHeight="false" outlineLevel="0" collapsed="false">
      <c r="A1953" s="25" t="n">
        <f aca="false">IF(G1953="REJECT",COUNTIF($G$2:$G$2277,"&lt;&gt;REJECT")+1+COUNTIFS($G$2:$G$2277,"REJECT",$B$2:$B$2277,"&gt;"&amp;B1953),1+COUNTIFS($G$2:$G$2277,"&lt;&gt;REJECT",$B$2:$B$2277,"&gt;"&amp;B1953))</f>
        <v>1952</v>
      </c>
      <c r="B1953" s="26" t="n">
        <f aca="false">ROUND(($U$2*MAX(0,MIN(1,($W$2-I1953)/($W$2-$V$2)))+$U$3*MAX(0,MIN(1,($W$3-J1953)/($W$3-$V$3)))+$U$4*MAX(0,MIN(1,($W$4-K1953)/($W$4-$V$4)))+$U$5*MAX(0,MIN(1,($W$5-L1953)/($W$5-$V$5)))+$U$6*MAX(0,MIN(1,($W$6-M1953)/($W$6-$V$6)))+$U$7*MAX(0,MIN(1,($W$7-N1953)/($W$7-$V$7)))+$U$8*IF(AND(O1953&gt;=$V$8,O1953&lt;=$W$8),1,0))/$U$9*100,2)</f>
        <v>40.73</v>
      </c>
      <c r="C1953" s="27" t="s">
        <v>1572</v>
      </c>
      <c r="D1953" s="25" t="s">
        <v>134</v>
      </c>
      <c r="E1953" s="25" t="s">
        <v>3450</v>
      </c>
      <c r="F1953" s="25" t="s">
        <v>3448</v>
      </c>
      <c r="G1953" s="39" t="s">
        <v>32</v>
      </c>
      <c r="H1953" s="39" t="s">
        <v>26</v>
      </c>
      <c r="I1953" s="25" t="n">
        <v>9</v>
      </c>
      <c r="J1953" s="25" t="n">
        <v>0</v>
      </c>
      <c r="K1953" s="25" t="n">
        <v>9</v>
      </c>
      <c r="L1953" s="29" t="n">
        <v>0.69</v>
      </c>
      <c r="M1953" s="30" t="n">
        <v>10.42</v>
      </c>
      <c r="N1953" s="29" t="n">
        <v>0.56</v>
      </c>
      <c r="O1953" s="25" t="n">
        <v>187</v>
      </c>
      <c r="P1953" s="30" t="n">
        <v>14.3</v>
      </c>
      <c r="Q1953" s="27" t="s">
        <v>3999</v>
      </c>
      <c r="R1953" s="27" t="s">
        <v>60</v>
      </c>
    </row>
    <row r="1954" customFormat="false" ht="15" hidden="false" customHeight="false" outlineLevel="0" collapsed="false">
      <c r="A1954" s="25" t="n">
        <f aca="false">IF(G1954="REJECT",COUNTIF($G$2:$G$2277,"&lt;&gt;REJECT")+1+COUNTIFS($G$2:$G$2277,"REJECT",$B$2:$B$2277,"&gt;"&amp;B1954),1+COUNTIFS($G$2:$G$2277,"&lt;&gt;REJECT",$B$2:$B$2277,"&gt;"&amp;B1954))</f>
        <v>1953</v>
      </c>
      <c r="B1954" s="26" t="n">
        <f aca="false">ROUND(($U$2*MAX(0,MIN(1,($W$2-I1954)/($W$2-$V$2)))+$U$3*MAX(0,MIN(1,($W$3-J1954)/($W$3-$V$3)))+$U$4*MAX(0,MIN(1,($W$4-K1954)/($W$4-$V$4)))+$U$5*MAX(0,MIN(1,($W$5-L1954)/($W$5-$V$5)))+$U$6*MAX(0,MIN(1,($W$6-M1954)/($W$6-$V$6)))+$U$7*MAX(0,MIN(1,($W$7-N1954)/($W$7-$V$7)))+$U$8*IF(AND(O1954&gt;=$V$8,O1954&lt;=$W$8),1,0))/$U$9*100,2)</f>
        <v>40.58</v>
      </c>
      <c r="C1954" s="27" t="s">
        <v>3279</v>
      </c>
      <c r="D1954" s="25" t="s">
        <v>134</v>
      </c>
      <c r="E1954" s="25" t="s">
        <v>3447</v>
      </c>
      <c r="F1954" s="25" t="s">
        <v>3448</v>
      </c>
      <c r="G1954" s="39" t="s">
        <v>32</v>
      </c>
      <c r="H1954" s="39" t="s">
        <v>26</v>
      </c>
      <c r="I1954" s="25" t="n">
        <v>9</v>
      </c>
      <c r="J1954" s="25" t="n">
        <v>0</v>
      </c>
      <c r="K1954" s="25" t="n">
        <v>9</v>
      </c>
      <c r="L1954" s="29" t="n">
        <v>0.69</v>
      </c>
      <c r="M1954" s="30" t="n">
        <v>14.54</v>
      </c>
      <c r="N1954" s="29" t="n">
        <v>0.24</v>
      </c>
      <c r="O1954" s="25" t="n">
        <v>184</v>
      </c>
      <c r="P1954" s="30" t="n">
        <v>2.57</v>
      </c>
      <c r="Q1954" s="27" t="s">
        <v>4000</v>
      </c>
      <c r="R1954" s="27" t="s">
        <v>60</v>
      </c>
    </row>
    <row r="1955" customFormat="false" ht="15" hidden="false" customHeight="false" outlineLevel="0" collapsed="false">
      <c r="A1955" s="25" t="n">
        <f aca="false">IF(G1955="REJECT",COUNTIF($G$2:$G$2277,"&lt;&gt;REJECT")+1+COUNTIFS($G$2:$G$2277,"REJECT",$B$2:$B$2277,"&gt;"&amp;B1955),1+COUNTIFS($G$2:$G$2277,"&lt;&gt;REJECT",$B$2:$B$2277,"&gt;"&amp;B1955))</f>
        <v>1954</v>
      </c>
      <c r="B1955" s="26" t="n">
        <f aca="false">ROUND(($U$2*MAX(0,MIN(1,($W$2-I1955)/($W$2-$V$2)))+$U$3*MAX(0,MIN(1,($W$3-J1955)/($W$3-$V$3)))+$U$4*MAX(0,MIN(1,($W$4-K1955)/($W$4-$V$4)))+$U$5*MAX(0,MIN(1,($W$5-L1955)/($W$5-$V$5)))+$U$6*MAX(0,MIN(1,($W$6-M1955)/($W$6-$V$6)))+$U$7*MAX(0,MIN(1,($W$7-N1955)/($W$7-$V$7)))+$U$8*IF(AND(O1955&gt;=$V$8,O1955&lt;=$W$8),1,0))/$U$9*100,2)</f>
        <v>40.53</v>
      </c>
      <c r="C1955" s="27" t="s">
        <v>2447</v>
      </c>
      <c r="D1955" s="25" t="s">
        <v>134</v>
      </c>
      <c r="E1955" s="25" t="s">
        <v>3447</v>
      </c>
      <c r="F1955" s="25" t="s">
        <v>3457</v>
      </c>
      <c r="G1955" s="39" t="s">
        <v>32</v>
      </c>
      <c r="H1955" s="39" t="s">
        <v>26</v>
      </c>
      <c r="I1955" s="25" t="n">
        <v>10</v>
      </c>
      <c r="J1955" s="25" t="n">
        <v>0</v>
      </c>
      <c r="K1955" s="25" t="n">
        <v>10</v>
      </c>
      <c r="L1955" s="29" t="n">
        <v>0.68</v>
      </c>
      <c r="M1955" s="30" t="n">
        <v>12.43</v>
      </c>
      <c r="N1955" s="29" t="n">
        <v>0.12</v>
      </c>
      <c r="O1955" s="25" t="n">
        <v>188</v>
      </c>
      <c r="P1955" s="30" t="n">
        <v>0.17</v>
      </c>
      <c r="Q1955" s="27" t="s">
        <v>4001</v>
      </c>
      <c r="R1955" s="27" t="s">
        <v>3879</v>
      </c>
    </row>
    <row r="1956" customFormat="false" ht="15" hidden="false" customHeight="false" outlineLevel="0" collapsed="false">
      <c r="A1956" s="25" t="n">
        <f aca="false">IF(G1956="REJECT",COUNTIF($G$2:$G$2277,"&lt;&gt;REJECT")+1+COUNTIFS($G$2:$G$2277,"REJECT",$B$2:$B$2277,"&gt;"&amp;B1956),1+COUNTIFS($G$2:$G$2277,"&lt;&gt;REJECT",$B$2:$B$2277,"&gt;"&amp;B1956))</f>
        <v>1955</v>
      </c>
      <c r="B1956" s="26" t="n">
        <f aca="false">ROUND(($U$2*MAX(0,MIN(1,($W$2-I1956)/($W$2-$V$2)))+$U$3*MAX(0,MIN(1,($W$3-J1956)/($W$3-$V$3)))+$U$4*MAX(0,MIN(1,($W$4-K1956)/($W$4-$V$4)))+$U$5*MAX(0,MIN(1,($W$5-L1956)/($W$5-$V$5)))+$U$6*MAX(0,MIN(1,($W$6-M1956)/($W$6-$V$6)))+$U$7*MAX(0,MIN(1,($W$7-N1956)/($W$7-$V$7)))+$U$8*IF(AND(O1956&gt;=$V$8,O1956&lt;=$W$8),1,0))/$U$9*100,2)</f>
        <v>40.43</v>
      </c>
      <c r="C1956" s="27" t="s">
        <v>2709</v>
      </c>
      <c r="D1956" s="25" t="s">
        <v>3459</v>
      </c>
      <c r="E1956" s="25" t="s">
        <v>3447</v>
      </c>
      <c r="F1956" s="25" t="s">
        <v>3448</v>
      </c>
      <c r="G1956" s="39" t="s">
        <v>32</v>
      </c>
      <c r="H1956" s="39" t="s">
        <v>26</v>
      </c>
      <c r="I1956" s="25" t="n">
        <v>13</v>
      </c>
      <c r="J1956" s="25" t="n">
        <v>0</v>
      </c>
      <c r="K1956" s="25" t="n">
        <v>13</v>
      </c>
      <c r="L1956" s="29" t="n">
        <v>0.71</v>
      </c>
      <c r="M1956" s="30" t="n">
        <v>20.62</v>
      </c>
      <c r="N1956" s="29" t="n">
        <v>0.44</v>
      </c>
      <c r="O1956" s="25" t="n">
        <v>183</v>
      </c>
      <c r="P1956" s="30" t="n">
        <v>13.53</v>
      </c>
      <c r="Q1956" s="27" t="s">
        <v>4002</v>
      </c>
      <c r="R1956" s="27" t="s">
        <v>3896</v>
      </c>
    </row>
    <row r="1957" customFormat="false" ht="15" hidden="false" customHeight="false" outlineLevel="0" collapsed="false">
      <c r="A1957" s="25" t="n">
        <f aca="false">IF(G1957="REJECT",COUNTIF($G$2:$G$2277,"&lt;&gt;REJECT")+1+COUNTIFS($G$2:$G$2277,"REJECT",$B$2:$B$2277,"&gt;"&amp;B1957),1+COUNTIFS($G$2:$G$2277,"&lt;&gt;REJECT",$B$2:$B$2277,"&gt;"&amp;B1957))</f>
        <v>1956</v>
      </c>
      <c r="B1957" s="26" t="n">
        <f aca="false">ROUND(($U$2*MAX(0,MIN(1,($W$2-I1957)/($W$2-$V$2)))+$U$3*MAX(0,MIN(1,($W$3-J1957)/($W$3-$V$3)))+$U$4*MAX(0,MIN(1,($W$4-K1957)/($W$4-$V$4)))+$U$5*MAX(0,MIN(1,($W$5-L1957)/($W$5-$V$5)))+$U$6*MAX(0,MIN(1,($W$6-M1957)/($W$6-$V$6)))+$U$7*MAX(0,MIN(1,($W$7-N1957)/($W$7-$V$7)))+$U$8*IF(AND(O1957&gt;=$V$8,O1957&lt;=$W$8),1,0))/$U$9*100,2)</f>
        <v>40.42</v>
      </c>
      <c r="C1957" s="27" t="s">
        <v>3338</v>
      </c>
      <c r="D1957" s="25" t="s">
        <v>3459</v>
      </c>
      <c r="E1957" s="25" t="s">
        <v>3450</v>
      </c>
      <c r="F1957" s="25" t="s">
        <v>3448</v>
      </c>
      <c r="G1957" s="39" t="s">
        <v>32</v>
      </c>
      <c r="H1957" s="39" t="s">
        <v>26</v>
      </c>
      <c r="I1957" s="25" t="n">
        <v>10</v>
      </c>
      <c r="J1957" s="25" t="n">
        <v>0</v>
      </c>
      <c r="K1957" s="25" t="n">
        <v>10</v>
      </c>
      <c r="L1957" s="29" t="n">
        <v>0.72</v>
      </c>
      <c r="M1957" s="30" t="n">
        <v>24.26</v>
      </c>
      <c r="N1957" s="29" t="n">
        <v>0.44</v>
      </c>
      <c r="O1957" s="25" t="n">
        <v>184</v>
      </c>
      <c r="P1957" s="30" t="n">
        <v>-1.03</v>
      </c>
      <c r="Q1957" s="27" t="s">
        <v>4003</v>
      </c>
      <c r="R1957" s="27" t="s">
        <v>4004</v>
      </c>
    </row>
    <row r="1958" customFormat="false" ht="15" hidden="false" customHeight="false" outlineLevel="0" collapsed="false">
      <c r="A1958" s="25" t="n">
        <f aca="false">IF(G1958="REJECT",COUNTIF($G$2:$G$2277,"&lt;&gt;REJECT")+1+COUNTIFS($G$2:$G$2277,"REJECT",$B$2:$B$2277,"&gt;"&amp;B1958),1+COUNTIFS($G$2:$G$2277,"&lt;&gt;REJECT",$B$2:$B$2277,"&gt;"&amp;B1958))</f>
        <v>1957</v>
      </c>
      <c r="B1958" s="26" t="n">
        <f aca="false">ROUND(($U$2*MAX(0,MIN(1,($W$2-I1958)/($W$2-$V$2)))+$U$3*MAX(0,MIN(1,($W$3-J1958)/($W$3-$V$3)))+$U$4*MAX(0,MIN(1,($W$4-K1958)/($W$4-$V$4)))+$U$5*MAX(0,MIN(1,($W$5-L1958)/($W$5-$V$5)))+$U$6*MAX(0,MIN(1,($W$6-M1958)/($W$6-$V$6)))+$U$7*MAX(0,MIN(1,($W$7-N1958)/($W$7-$V$7)))+$U$8*IF(AND(O1958&gt;=$V$8,O1958&lt;=$W$8),1,0))/$U$9*100,2)</f>
        <v>40.3</v>
      </c>
      <c r="C1958" s="27" t="s">
        <v>3144</v>
      </c>
      <c r="D1958" s="25" t="s">
        <v>3459</v>
      </c>
      <c r="E1958" s="25" t="s">
        <v>3450</v>
      </c>
      <c r="F1958" s="25" t="s">
        <v>3457</v>
      </c>
      <c r="G1958" s="39" t="s">
        <v>32</v>
      </c>
      <c r="H1958" s="39" t="s">
        <v>26</v>
      </c>
      <c r="I1958" s="25" t="n">
        <v>7</v>
      </c>
      <c r="J1958" s="25" t="n">
        <v>1</v>
      </c>
      <c r="K1958" s="25" t="n">
        <v>7</v>
      </c>
      <c r="L1958" s="29" t="n">
        <v>0.77</v>
      </c>
      <c r="M1958" s="30" t="n">
        <v>24.91</v>
      </c>
      <c r="N1958" s="29" t="n">
        <v>0</v>
      </c>
      <c r="O1958" s="25" t="n">
        <v>182</v>
      </c>
      <c r="P1958" s="30" t="n">
        <v>11.08</v>
      </c>
      <c r="Q1958" s="27" t="s">
        <v>3986</v>
      </c>
      <c r="R1958" s="27" t="s">
        <v>4005</v>
      </c>
    </row>
    <row r="1959" customFormat="false" ht="15" hidden="false" customHeight="false" outlineLevel="0" collapsed="false">
      <c r="A1959" s="25" t="n">
        <f aca="false">IF(G1959="REJECT",COUNTIF($G$2:$G$2277,"&lt;&gt;REJECT")+1+COUNTIFS($G$2:$G$2277,"REJECT",$B$2:$B$2277,"&gt;"&amp;B1959),1+COUNTIFS($G$2:$G$2277,"&lt;&gt;REJECT",$B$2:$B$2277,"&gt;"&amp;B1959))</f>
        <v>1958</v>
      </c>
      <c r="B1959" s="26" t="n">
        <f aca="false">ROUND(($U$2*MAX(0,MIN(1,($W$2-I1959)/($W$2-$V$2)))+$U$3*MAX(0,MIN(1,($W$3-J1959)/($W$3-$V$3)))+$U$4*MAX(0,MIN(1,($W$4-K1959)/($W$4-$V$4)))+$U$5*MAX(0,MIN(1,($W$5-L1959)/($W$5-$V$5)))+$U$6*MAX(0,MIN(1,($W$6-M1959)/($W$6-$V$6)))+$U$7*MAX(0,MIN(1,($W$7-N1959)/($W$7-$V$7)))+$U$8*IF(AND(O1959&gt;=$V$8,O1959&lt;=$W$8),1,0))/$U$9*100,2)</f>
        <v>40.2</v>
      </c>
      <c r="C1959" s="27" t="s">
        <v>3144</v>
      </c>
      <c r="D1959" s="25" t="s">
        <v>134</v>
      </c>
      <c r="E1959" s="25" t="s">
        <v>3450</v>
      </c>
      <c r="F1959" s="25" t="s">
        <v>3448</v>
      </c>
      <c r="G1959" s="39" t="s">
        <v>32</v>
      </c>
      <c r="H1959" s="39" t="s">
        <v>26</v>
      </c>
      <c r="I1959" s="25" t="n">
        <v>5</v>
      </c>
      <c r="J1959" s="25" t="n">
        <v>2</v>
      </c>
      <c r="K1959" s="25" t="n">
        <v>5</v>
      </c>
      <c r="L1959" s="29" t="n">
        <v>0.7</v>
      </c>
      <c r="M1959" s="30" t="n">
        <v>15.31</v>
      </c>
      <c r="N1959" s="29" t="n">
        <v>0</v>
      </c>
      <c r="O1959" s="25" t="n">
        <v>183</v>
      </c>
      <c r="P1959" s="30" t="n">
        <v>14.44</v>
      </c>
      <c r="Q1959" s="27" t="s">
        <v>4006</v>
      </c>
      <c r="R1959" s="27" t="s">
        <v>65</v>
      </c>
    </row>
    <row r="1960" customFormat="false" ht="15" hidden="false" customHeight="false" outlineLevel="0" collapsed="false">
      <c r="A1960" s="25" t="n">
        <f aca="false">IF(G1960="REJECT",COUNTIF($G$2:$G$2277,"&lt;&gt;REJECT")+1+COUNTIFS($G$2:$G$2277,"REJECT",$B$2:$B$2277,"&gt;"&amp;B1960),1+COUNTIFS($G$2:$G$2277,"&lt;&gt;REJECT",$B$2:$B$2277,"&gt;"&amp;B1960))</f>
        <v>1959</v>
      </c>
      <c r="B1960" s="26" t="n">
        <f aca="false">ROUND(($U$2*MAX(0,MIN(1,($W$2-I1960)/($W$2-$V$2)))+$U$3*MAX(0,MIN(1,($W$3-J1960)/($W$3-$V$3)))+$U$4*MAX(0,MIN(1,($W$4-K1960)/($W$4-$V$4)))+$U$5*MAX(0,MIN(1,($W$5-L1960)/($W$5-$V$5)))+$U$6*MAX(0,MIN(1,($W$6-M1960)/($W$6-$V$6)))+$U$7*MAX(0,MIN(1,($W$7-N1960)/($W$7-$V$7)))+$U$8*IF(AND(O1960&gt;=$V$8,O1960&lt;=$W$8),1,0))/$U$9*100,2)</f>
        <v>40.13</v>
      </c>
      <c r="C1960" s="27" t="s">
        <v>1572</v>
      </c>
      <c r="D1960" s="25" t="s">
        <v>134</v>
      </c>
      <c r="E1960" s="25" t="s">
        <v>3450</v>
      </c>
      <c r="F1960" s="25" t="s">
        <v>3457</v>
      </c>
      <c r="G1960" s="39" t="s">
        <v>32</v>
      </c>
      <c r="H1960" s="39" t="s">
        <v>26</v>
      </c>
      <c r="I1960" s="25" t="n">
        <v>10</v>
      </c>
      <c r="J1960" s="25" t="n">
        <v>0</v>
      </c>
      <c r="K1960" s="25" t="n">
        <v>10</v>
      </c>
      <c r="L1960" s="29" t="n">
        <v>0.68</v>
      </c>
      <c r="M1960" s="30" t="n">
        <v>12.4</v>
      </c>
      <c r="N1960" s="29" t="n">
        <v>0.36</v>
      </c>
      <c r="O1960" s="25" t="n">
        <v>182</v>
      </c>
      <c r="P1960" s="30" t="n">
        <v>14.28</v>
      </c>
      <c r="Q1960" s="27" t="s">
        <v>3958</v>
      </c>
      <c r="R1960" s="27" t="s">
        <v>60</v>
      </c>
    </row>
    <row r="1961" customFormat="false" ht="15" hidden="false" customHeight="false" outlineLevel="0" collapsed="false">
      <c r="A1961" s="25" t="n">
        <f aca="false">IF(G1961="REJECT",COUNTIF($G$2:$G$2277,"&lt;&gt;REJECT")+1+COUNTIFS($G$2:$G$2277,"REJECT",$B$2:$B$2277,"&gt;"&amp;B1961),1+COUNTIFS($G$2:$G$2277,"&lt;&gt;REJECT",$B$2:$B$2277,"&gt;"&amp;B1961))</f>
        <v>1960</v>
      </c>
      <c r="B1961" s="26" t="n">
        <f aca="false">ROUND(($U$2*MAX(0,MIN(1,($W$2-I1961)/($W$2-$V$2)))+$U$3*MAX(0,MIN(1,($W$3-J1961)/($W$3-$V$3)))+$U$4*MAX(0,MIN(1,($W$4-K1961)/($W$4-$V$4)))+$U$5*MAX(0,MIN(1,($W$5-L1961)/($W$5-$V$5)))+$U$6*MAX(0,MIN(1,($W$6-M1961)/($W$6-$V$6)))+$U$7*MAX(0,MIN(1,($W$7-N1961)/($W$7-$V$7)))+$U$8*IF(AND(O1961&gt;=$V$8,O1961&lt;=$W$8),1,0))/$U$9*100,2)</f>
        <v>39.68</v>
      </c>
      <c r="C1961" s="27" t="s">
        <v>1509</v>
      </c>
      <c r="D1961" s="25" t="s">
        <v>3459</v>
      </c>
      <c r="E1961" s="25" t="s">
        <v>3450</v>
      </c>
      <c r="F1961" s="25" t="s">
        <v>3457</v>
      </c>
      <c r="G1961" s="39" t="s">
        <v>32</v>
      </c>
      <c r="H1961" s="39" t="s">
        <v>26</v>
      </c>
      <c r="I1961" s="25" t="n">
        <v>10</v>
      </c>
      <c r="J1961" s="25" t="n">
        <v>0</v>
      </c>
      <c r="K1961" s="25" t="n">
        <v>10</v>
      </c>
      <c r="L1961" s="29" t="n">
        <v>0.71</v>
      </c>
      <c r="M1961" s="30" t="n">
        <v>23.5</v>
      </c>
      <c r="N1961" s="29" t="n">
        <v>0.6</v>
      </c>
      <c r="O1961" s="25" t="n">
        <v>183</v>
      </c>
      <c r="P1961" s="30" t="n">
        <v>15.82</v>
      </c>
      <c r="Q1961" s="27" t="s">
        <v>4007</v>
      </c>
      <c r="R1961" s="27" t="s">
        <v>3896</v>
      </c>
    </row>
    <row r="1962" customFormat="false" ht="15" hidden="false" customHeight="false" outlineLevel="0" collapsed="false">
      <c r="A1962" s="25" t="n">
        <f aca="false">IF(G1962="REJECT",COUNTIF($G$2:$G$2277,"&lt;&gt;REJECT")+1+COUNTIFS($G$2:$G$2277,"REJECT",$B$2:$B$2277,"&gt;"&amp;B1962),1+COUNTIFS($G$2:$G$2277,"&lt;&gt;REJECT",$B$2:$B$2277,"&gt;"&amp;B1962))</f>
        <v>1960</v>
      </c>
      <c r="B1962" s="26" t="n">
        <f aca="false">ROUND(($U$2*MAX(0,MIN(1,($W$2-I1962)/($W$2-$V$2)))+$U$3*MAX(0,MIN(1,($W$3-J1962)/($W$3-$V$3)))+$U$4*MAX(0,MIN(1,($W$4-K1962)/($W$4-$V$4)))+$U$5*MAX(0,MIN(1,($W$5-L1962)/($W$5-$V$5)))+$U$6*MAX(0,MIN(1,($W$6-M1962)/($W$6-$V$6)))+$U$7*MAX(0,MIN(1,($W$7-N1962)/($W$7-$V$7)))+$U$8*IF(AND(O1962&gt;=$V$8,O1962&lt;=$W$8),1,0))/$U$9*100,2)</f>
        <v>39.68</v>
      </c>
      <c r="C1962" s="27" t="s">
        <v>1697</v>
      </c>
      <c r="D1962" s="25" t="s">
        <v>134</v>
      </c>
      <c r="E1962" s="25" t="s">
        <v>3447</v>
      </c>
      <c r="F1962" s="25" t="s">
        <v>3457</v>
      </c>
      <c r="G1962" s="39" t="s">
        <v>32</v>
      </c>
      <c r="H1962" s="39" t="s">
        <v>26</v>
      </c>
      <c r="I1962" s="25" t="n">
        <v>11</v>
      </c>
      <c r="J1962" s="25" t="n">
        <v>0</v>
      </c>
      <c r="K1962" s="25" t="n">
        <v>11</v>
      </c>
      <c r="L1962" s="29" t="n">
        <v>0.7</v>
      </c>
      <c r="M1962" s="30" t="n">
        <v>20.72</v>
      </c>
      <c r="N1962" s="29" t="n">
        <v>0.52</v>
      </c>
      <c r="O1962" s="25" t="n">
        <v>186</v>
      </c>
      <c r="P1962" s="30" t="n">
        <v>-0.86</v>
      </c>
      <c r="Q1962" s="27" t="s">
        <v>4008</v>
      </c>
      <c r="R1962" s="27" t="s">
        <v>3969</v>
      </c>
    </row>
    <row r="1963" customFormat="false" ht="15" hidden="false" customHeight="false" outlineLevel="0" collapsed="false">
      <c r="A1963" s="25" t="n">
        <f aca="false">IF(G1963="REJECT",COUNTIF($G$2:$G$2277,"&lt;&gt;REJECT")+1+COUNTIFS($G$2:$G$2277,"REJECT",$B$2:$B$2277,"&gt;"&amp;B1963),1+COUNTIFS($G$2:$G$2277,"&lt;&gt;REJECT",$B$2:$B$2277,"&gt;"&amp;B1963))</f>
        <v>1962</v>
      </c>
      <c r="B1963" s="26" t="n">
        <f aca="false">ROUND(($U$2*MAX(0,MIN(1,($W$2-I1963)/($W$2-$V$2)))+$U$3*MAX(0,MIN(1,($W$3-J1963)/($W$3-$V$3)))+$U$4*MAX(0,MIN(1,($W$4-K1963)/($W$4-$V$4)))+$U$5*MAX(0,MIN(1,($W$5-L1963)/($W$5-$V$5)))+$U$6*MAX(0,MIN(1,($W$6-M1963)/($W$6-$V$6)))+$U$7*MAX(0,MIN(1,($W$7-N1963)/($W$7-$V$7)))+$U$8*IF(AND(O1963&gt;=$V$8,O1963&lt;=$W$8),1,0))/$U$9*100,2)</f>
        <v>39.45</v>
      </c>
      <c r="C1963" s="27" t="s">
        <v>2265</v>
      </c>
      <c r="D1963" s="25" t="s">
        <v>134</v>
      </c>
      <c r="E1963" s="25" t="s">
        <v>3450</v>
      </c>
      <c r="F1963" s="25" t="s">
        <v>3457</v>
      </c>
      <c r="G1963" s="39" t="s">
        <v>32</v>
      </c>
      <c r="H1963" s="39" t="s">
        <v>26</v>
      </c>
      <c r="I1963" s="25" t="n">
        <v>7</v>
      </c>
      <c r="J1963" s="25" t="n">
        <v>1</v>
      </c>
      <c r="K1963" s="25" t="n">
        <v>7</v>
      </c>
      <c r="L1963" s="29" t="n">
        <v>0.77</v>
      </c>
      <c r="M1963" s="30" t="n">
        <v>23.21</v>
      </c>
      <c r="N1963" s="29" t="n">
        <v>0.68</v>
      </c>
      <c r="O1963" s="25" t="n">
        <v>183</v>
      </c>
      <c r="P1963" s="30" t="n">
        <v>5.2</v>
      </c>
      <c r="Q1963" s="27" t="s">
        <v>4009</v>
      </c>
      <c r="R1963" s="27" t="s">
        <v>1926</v>
      </c>
    </row>
    <row r="1964" customFormat="false" ht="15" hidden="false" customHeight="false" outlineLevel="0" collapsed="false">
      <c r="A1964" s="25" t="n">
        <f aca="false">IF(G1964="REJECT",COUNTIF($G$2:$G$2277,"&lt;&gt;REJECT")+1+COUNTIFS($G$2:$G$2277,"REJECT",$B$2:$B$2277,"&gt;"&amp;B1964),1+COUNTIFS($G$2:$G$2277,"&lt;&gt;REJECT",$B$2:$B$2277,"&gt;"&amp;B1964))</f>
        <v>1963</v>
      </c>
      <c r="B1964" s="26" t="n">
        <f aca="false">ROUND(($U$2*MAX(0,MIN(1,($W$2-I1964)/($W$2-$V$2)))+$U$3*MAX(0,MIN(1,($W$3-J1964)/($W$3-$V$3)))+$U$4*MAX(0,MIN(1,($W$4-K1964)/($W$4-$V$4)))+$U$5*MAX(0,MIN(1,($W$5-L1964)/($W$5-$V$5)))+$U$6*MAX(0,MIN(1,($W$6-M1964)/($W$6-$V$6)))+$U$7*MAX(0,MIN(1,($W$7-N1964)/($W$7-$V$7)))+$U$8*IF(AND(O1964&gt;=$V$8,O1964&lt;=$W$8),1,0))/$U$9*100,2)</f>
        <v>39.39</v>
      </c>
      <c r="C1964" s="27" t="s">
        <v>714</v>
      </c>
      <c r="D1964" s="25" t="s">
        <v>134</v>
      </c>
      <c r="E1964" s="25" t="s">
        <v>3447</v>
      </c>
      <c r="F1964" s="25" t="s">
        <v>3457</v>
      </c>
      <c r="G1964" s="39" t="s">
        <v>32</v>
      </c>
      <c r="H1964" s="39" t="s">
        <v>26</v>
      </c>
      <c r="I1964" s="25" t="n">
        <v>7</v>
      </c>
      <c r="J1964" s="25" t="n">
        <v>1</v>
      </c>
      <c r="K1964" s="25" t="n">
        <v>7</v>
      </c>
      <c r="L1964" s="29" t="n">
        <v>0.72</v>
      </c>
      <c r="M1964" s="30" t="n">
        <v>12.39</v>
      </c>
      <c r="N1964" s="29" t="n">
        <v>0</v>
      </c>
      <c r="O1964" s="25" t="n">
        <v>182</v>
      </c>
      <c r="P1964" s="30" t="n">
        <v>8.16</v>
      </c>
      <c r="Q1964" s="27" t="s">
        <v>3996</v>
      </c>
      <c r="R1964" s="27" t="s">
        <v>529</v>
      </c>
    </row>
    <row r="1965" customFormat="false" ht="15" hidden="false" customHeight="false" outlineLevel="0" collapsed="false">
      <c r="A1965" s="25" t="n">
        <f aca="false">IF(G1965="REJECT",COUNTIF($G$2:$G$2277,"&lt;&gt;REJECT")+1+COUNTIFS($G$2:$G$2277,"REJECT",$B$2:$B$2277,"&gt;"&amp;B1965),1+COUNTIFS($G$2:$G$2277,"&lt;&gt;REJECT",$B$2:$B$2277,"&gt;"&amp;B1965))</f>
        <v>1964</v>
      </c>
      <c r="B1965" s="26" t="n">
        <f aca="false">ROUND(($U$2*MAX(0,MIN(1,($W$2-I1965)/($W$2-$V$2)))+$U$3*MAX(0,MIN(1,($W$3-J1965)/($W$3-$V$3)))+$U$4*MAX(0,MIN(1,($W$4-K1965)/($W$4-$V$4)))+$U$5*MAX(0,MIN(1,($W$5-L1965)/($W$5-$V$5)))+$U$6*MAX(0,MIN(1,($W$6-M1965)/($W$6-$V$6)))+$U$7*MAX(0,MIN(1,($W$7-N1965)/($W$7-$V$7)))+$U$8*IF(AND(O1965&gt;=$V$8,O1965&lt;=$W$8),1,0))/$U$9*100,2)</f>
        <v>39.36</v>
      </c>
      <c r="C1965" s="27" t="s">
        <v>1038</v>
      </c>
      <c r="D1965" s="25" t="s">
        <v>134</v>
      </c>
      <c r="E1965" s="25" t="s">
        <v>3447</v>
      </c>
      <c r="F1965" s="25" t="s">
        <v>3448</v>
      </c>
      <c r="G1965" s="39" t="s">
        <v>32</v>
      </c>
      <c r="H1965" s="39" t="s">
        <v>26</v>
      </c>
      <c r="I1965" s="25" t="n">
        <v>7</v>
      </c>
      <c r="J1965" s="25" t="n">
        <v>1</v>
      </c>
      <c r="K1965" s="25" t="n">
        <v>6</v>
      </c>
      <c r="L1965" s="29" t="n">
        <v>0.74</v>
      </c>
      <c r="M1965" s="30" t="n">
        <v>22.97</v>
      </c>
      <c r="N1965" s="29" t="n">
        <v>0.8</v>
      </c>
      <c r="O1965" s="25" t="n">
        <v>187</v>
      </c>
      <c r="P1965" s="30" t="n">
        <v>10.24</v>
      </c>
      <c r="Q1965" s="27" t="s">
        <v>3983</v>
      </c>
      <c r="R1965" s="27" t="s">
        <v>1926</v>
      </c>
    </row>
    <row r="1966" customFormat="false" ht="15" hidden="false" customHeight="false" outlineLevel="0" collapsed="false">
      <c r="A1966" s="25" t="n">
        <f aca="false">IF(G1966="REJECT",COUNTIF($G$2:$G$2277,"&lt;&gt;REJECT")+1+COUNTIFS($G$2:$G$2277,"REJECT",$B$2:$B$2277,"&gt;"&amp;B1966),1+COUNTIFS($G$2:$G$2277,"&lt;&gt;REJECT",$B$2:$B$2277,"&gt;"&amp;B1966))</f>
        <v>1965</v>
      </c>
      <c r="B1966" s="26" t="n">
        <f aca="false">ROUND(($U$2*MAX(0,MIN(1,($W$2-I1966)/($W$2-$V$2)))+$U$3*MAX(0,MIN(1,($W$3-J1966)/($W$3-$V$3)))+$U$4*MAX(0,MIN(1,($W$4-K1966)/($W$4-$V$4)))+$U$5*MAX(0,MIN(1,($W$5-L1966)/($W$5-$V$5)))+$U$6*MAX(0,MIN(1,($W$6-M1966)/($W$6-$V$6)))+$U$7*MAX(0,MIN(1,($W$7-N1966)/($W$7-$V$7)))+$U$8*IF(AND(O1966&gt;=$V$8,O1966&lt;=$W$8),1,0))/$U$9*100,2)</f>
        <v>39.34</v>
      </c>
      <c r="C1966" s="27" t="s">
        <v>951</v>
      </c>
      <c r="D1966" s="25" t="s">
        <v>3459</v>
      </c>
      <c r="E1966" s="25" t="s">
        <v>3447</v>
      </c>
      <c r="F1966" s="25" t="s">
        <v>3457</v>
      </c>
      <c r="G1966" s="39" t="s">
        <v>32</v>
      </c>
      <c r="H1966" s="39" t="s">
        <v>26</v>
      </c>
      <c r="I1966" s="25" t="n">
        <v>11</v>
      </c>
      <c r="J1966" s="25" t="n">
        <v>0</v>
      </c>
      <c r="K1966" s="25" t="n">
        <v>11</v>
      </c>
      <c r="L1966" s="29" t="n">
        <v>0.68</v>
      </c>
      <c r="M1966" s="30" t="n">
        <v>20.75</v>
      </c>
      <c r="N1966" s="29" t="n">
        <v>0</v>
      </c>
      <c r="O1966" s="25" t="n">
        <v>182</v>
      </c>
      <c r="P1966" s="30" t="n">
        <v>9.03</v>
      </c>
      <c r="Q1966" s="27" t="s">
        <v>4010</v>
      </c>
      <c r="R1966" s="27" t="s">
        <v>3896</v>
      </c>
    </row>
    <row r="1967" customFormat="false" ht="15" hidden="false" customHeight="false" outlineLevel="0" collapsed="false">
      <c r="A1967" s="25" t="n">
        <f aca="false">IF(G1967="REJECT",COUNTIF($G$2:$G$2277,"&lt;&gt;REJECT")+1+COUNTIFS($G$2:$G$2277,"REJECT",$B$2:$B$2277,"&gt;"&amp;B1967),1+COUNTIFS($G$2:$G$2277,"&lt;&gt;REJECT",$B$2:$B$2277,"&gt;"&amp;B1967))</f>
        <v>1965</v>
      </c>
      <c r="B1967" s="26" t="n">
        <f aca="false">ROUND(($U$2*MAX(0,MIN(1,($W$2-I1967)/($W$2-$V$2)))+$U$3*MAX(0,MIN(1,($W$3-J1967)/($W$3-$V$3)))+$U$4*MAX(0,MIN(1,($W$4-K1967)/($W$4-$V$4)))+$U$5*MAX(0,MIN(1,($W$5-L1967)/($W$5-$V$5)))+$U$6*MAX(0,MIN(1,($W$6-M1967)/($W$6-$V$6)))+$U$7*MAX(0,MIN(1,($W$7-N1967)/($W$7-$V$7)))+$U$8*IF(AND(O1967&gt;=$V$8,O1967&lt;=$W$8),1,0))/$U$9*100,2)</f>
        <v>39.34</v>
      </c>
      <c r="C1967" s="27" t="s">
        <v>1608</v>
      </c>
      <c r="D1967" s="25" t="s">
        <v>134</v>
      </c>
      <c r="E1967" s="25" t="s">
        <v>3447</v>
      </c>
      <c r="F1967" s="25" t="s">
        <v>3457</v>
      </c>
      <c r="G1967" s="39" t="s">
        <v>32</v>
      </c>
      <c r="H1967" s="39" t="s">
        <v>26</v>
      </c>
      <c r="I1967" s="25" t="n">
        <v>10</v>
      </c>
      <c r="J1967" s="25" t="n">
        <v>1</v>
      </c>
      <c r="K1967" s="25" t="n">
        <v>10</v>
      </c>
      <c r="L1967" s="29" t="n">
        <v>0.84</v>
      </c>
      <c r="M1967" s="30" t="n">
        <v>3.99</v>
      </c>
      <c r="N1967" s="29" t="n">
        <v>0</v>
      </c>
      <c r="O1967" s="25" t="n">
        <v>187</v>
      </c>
      <c r="P1967" s="30" t="n">
        <v>3.84</v>
      </c>
      <c r="Q1967" s="27" t="s">
        <v>4011</v>
      </c>
      <c r="R1967" s="27" t="s">
        <v>529</v>
      </c>
    </row>
    <row r="1968" customFormat="false" ht="15" hidden="false" customHeight="false" outlineLevel="0" collapsed="false">
      <c r="A1968" s="25" t="n">
        <f aca="false">IF(G1968="REJECT",COUNTIF($G$2:$G$2277,"&lt;&gt;REJECT")+1+COUNTIFS($G$2:$G$2277,"REJECT",$B$2:$B$2277,"&gt;"&amp;B1968),1+COUNTIFS($G$2:$G$2277,"&lt;&gt;REJECT",$B$2:$B$2277,"&gt;"&amp;B1968))</f>
        <v>1967</v>
      </c>
      <c r="B1968" s="26" t="n">
        <f aca="false">ROUND(($U$2*MAX(0,MIN(1,($W$2-I1968)/($W$2-$V$2)))+$U$3*MAX(0,MIN(1,($W$3-J1968)/($W$3-$V$3)))+$U$4*MAX(0,MIN(1,($W$4-K1968)/($W$4-$V$4)))+$U$5*MAX(0,MIN(1,($W$5-L1968)/($W$5-$V$5)))+$U$6*MAX(0,MIN(1,($W$6-M1968)/($W$6-$V$6)))+$U$7*MAX(0,MIN(1,($W$7-N1968)/($W$7-$V$7)))+$U$8*IF(AND(O1968&gt;=$V$8,O1968&lt;=$W$8),1,0))/$U$9*100,2)</f>
        <v>39.32</v>
      </c>
      <c r="C1968" s="27" t="s">
        <v>1793</v>
      </c>
      <c r="D1968" s="25" t="s">
        <v>134</v>
      </c>
      <c r="E1968" s="25" t="s">
        <v>3447</v>
      </c>
      <c r="F1968" s="25" t="s">
        <v>3448</v>
      </c>
      <c r="G1968" s="39" t="s">
        <v>32</v>
      </c>
      <c r="H1968" s="39" t="s">
        <v>26</v>
      </c>
      <c r="I1968" s="25" t="n">
        <v>9</v>
      </c>
      <c r="J1968" s="25" t="n">
        <v>0</v>
      </c>
      <c r="K1968" s="25" t="n">
        <v>9</v>
      </c>
      <c r="L1968" s="29" t="n">
        <v>0.65</v>
      </c>
      <c r="M1968" s="30" t="n">
        <v>4.06</v>
      </c>
      <c r="N1968" s="29" t="n">
        <v>0.6</v>
      </c>
      <c r="O1968" s="25" t="n">
        <v>183</v>
      </c>
      <c r="P1968" s="30" t="n">
        <v>-0.38</v>
      </c>
      <c r="Q1968" s="27" t="s">
        <v>4012</v>
      </c>
      <c r="R1968" s="27" t="s">
        <v>60</v>
      </c>
    </row>
    <row r="1969" customFormat="false" ht="15" hidden="false" customHeight="false" outlineLevel="0" collapsed="false">
      <c r="A1969" s="25" t="n">
        <f aca="false">IF(G1969="REJECT",COUNTIF($G$2:$G$2277,"&lt;&gt;REJECT")+1+COUNTIFS($G$2:$G$2277,"REJECT",$B$2:$B$2277,"&gt;"&amp;B1969),1+COUNTIFS($G$2:$G$2277,"&lt;&gt;REJECT",$B$2:$B$2277,"&gt;"&amp;B1969))</f>
        <v>1968</v>
      </c>
      <c r="B1969" s="26" t="n">
        <f aca="false">ROUND(($U$2*MAX(0,MIN(1,($W$2-I1969)/($W$2-$V$2)))+$U$3*MAX(0,MIN(1,($W$3-J1969)/($W$3-$V$3)))+$U$4*MAX(0,MIN(1,($W$4-K1969)/($W$4-$V$4)))+$U$5*MAX(0,MIN(1,($W$5-L1969)/($W$5-$V$5)))+$U$6*MAX(0,MIN(1,($W$6-M1969)/($W$6-$V$6)))+$U$7*MAX(0,MIN(1,($W$7-N1969)/($W$7-$V$7)))+$U$8*IF(AND(O1969&gt;=$V$8,O1969&lt;=$W$8),1,0))/$U$9*100,2)</f>
        <v>39.21</v>
      </c>
      <c r="C1969" s="27" t="s">
        <v>2703</v>
      </c>
      <c r="D1969" s="25" t="s">
        <v>3459</v>
      </c>
      <c r="E1969" s="25" t="s">
        <v>3450</v>
      </c>
      <c r="F1969" s="25" t="s">
        <v>3457</v>
      </c>
      <c r="G1969" s="39" t="s">
        <v>32</v>
      </c>
      <c r="H1969" s="39" t="s">
        <v>26</v>
      </c>
      <c r="I1969" s="25" t="n">
        <v>12</v>
      </c>
      <c r="J1969" s="25" t="n">
        <v>0</v>
      </c>
      <c r="K1969" s="25" t="n">
        <v>12</v>
      </c>
      <c r="L1969" s="29" t="n">
        <v>0.72</v>
      </c>
      <c r="M1969" s="30" t="n">
        <v>27.93</v>
      </c>
      <c r="N1969" s="29" t="n">
        <v>0.8</v>
      </c>
      <c r="O1969" s="25" t="n">
        <v>183</v>
      </c>
      <c r="P1969" s="30" t="n">
        <v>11.48</v>
      </c>
      <c r="Q1969" s="27" t="s">
        <v>4013</v>
      </c>
      <c r="R1969" s="27" t="s">
        <v>3896</v>
      </c>
    </row>
    <row r="1970" customFormat="false" ht="15" hidden="false" customHeight="false" outlineLevel="0" collapsed="false">
      <c r="A1970" s="25" t="n">
        <f aca="false">IF(G1970="REJECT",COUNTIF($G$2:$G$2277,"&lt;&gt;REJECT")+1+COUNTIFS($G$2:$G$2277,"REJECT",$B$2:$B$2277,"&gt;"&amp;B1970),1+COUNTIFS($G$2:$G$2277,"&lt;&gt;REJECT",$B$2:$B$2277,"&gt;"&amp;B1970))</f>
        <v>1969</v>
      </c>
      <c r="B1970" s="26" t="n">
        <f aca="false">ROUND(($U$2*MAX(0,MIN(1,($W$2-I1970)/($W$2-$V$2)))+$U$3*MAX(0,MIN(1,($W$3-J1970)/($W$3-$V$3)))+$U$4*MAX(0,MIN(1,($W$4-K1970)/($W$4-$V$4)))+$U$5*MAX(0,MIN(1,($W$5-L1970)/($W$5-$V$5)))+$U$6*MAX(0,MIN(1,($W$6-M1970)/($W$6-$V$6)))+$U$7*MAX(0,MIN(1,($W$7-N1970)/($W$7-$V$7)))+$U$8*IF(AND(O1970&gt;=$V$8,O1970&lt;=$W$8),1,0))/$U$9*100,2)</f>
        <v>39.07</v>
      </c>
      <c r="C1970" s="27" t="s">
        <v>1443</v>
      </c>
      <c r="D1970" s="25" t="s">
        <v>3459</v>
      </c>
      <c r="E1970" s="25" t="s">
        <v>3450</v>
      </c>
      <c r="F1970" s="25" t="s">
        <v>3457</v>
      </c>
      <c r="G1970" s="39" t="s">
        <v>32</v>
      </c>
      <c r="H1970" s="39" t="s">
        <v>26</v>
      </c>
      <c r="I1970" s="25" t="n">
        <v>7</v>
      </c>
      <c r="J1970" s="25" t="n">
        <v>1</v>
      </c>
      <c r="K1970" s="25" t="n">
        <v>7</v>
      </c>
      <c r="L1970" s="29" t="n">
        <v>0.75</v>
      </c>
      <c r="M1970" s="30" t="n">
        <v>17.09</v>
      </c>
      <c r="N1970" s="29" t="n">
        <v>0.8</v>
      </c>
      <c r="O1970" s="25" t="n">
        <v>182</v>
      </c>
      <c r="P1970" s="30" t="n">
        <v>8.16</v>
      </c>
      <c r="Q1970" s="27" t="s">
        <v>3986</v>
      </c>
      <c r="R1970" s="27" t="s">
        <v>529</v>
      </c>
    </row>
    <row r="1971" customFormat="false" ht="15" hidden="false" customHeight="false" outlineLevel="0" collapsed="false">
      <c r="A1971" s="25" t="n">
        <f aca="false">IF(G1971="REJECT",COUNTIF($G$2:$G$2277,"&lt;&gt;REJECT")+1+COUNTIFS($G$2:$G$2277,"REJECT",$B$2:$B$2277,"&gt;"&amp;B1971),1+COUNTIFS($G$2:$G$2277,"&lt;&gt;REJECT",$B$2:$B$2277,"&gt;"&amp;B1971))</f>
        <v>1969</v>
      </c>
      <c r="B1971" s="26" t="n">
        <f aca="false">ROUND(($U$2*MAX(0,MIN(1,($W$2-I1971)/($W$2-$V$2)))+$U$3*MAX(0,MIN(1,($W$3-J1971)/($W$3-$V$3)))+$U$4*MAX(0,MIN(1,($W$4-K1971)/($W$4-$V$4)))+$U$5*MAX(0,MIN(1,($W$5-L1971)/($W$5-$V$5)))+$U$6*MAX(0,MIN(1,($W$6-M1971)/($W$6-$V$6)))+$U$7*MAX(0,MIN(1,($W$7-N1971)/($W$7-$V$7)))+$U$8*IF(AND(O1971&gt;=$V$8,O1971&lt;=$W$8),1,0))/$U$9*100,2)</f>
        <v>39.07</v>
      </c>
      <c r="C1971" s="27" t="s">
        <v>1620</v>
      </c>
      <c r="D1971" s="25" t="s">
        <v>134</v>
      </c>
      <c r="E1971" s="25" t="s">
        <v>3447</v>
      </c>
      <c r="F1971" s="25" t="s">
        <v>3457</v>
      </c>
      <c r="G1971" s="39" t="s">
        <v>32</v>
      </c>
      <c r="H1971" s="39" t="s">
        <v>26</v>
      </c>
      <c r="I1971" s="25" t="n">
        <v>5</v>
      </c>
      <c r="J1971" s="25" t="n">
        <v>2</v>
      </c>
      <c r="K1971" s="25" t="n">
        <v>5</v>
      </c>
      <c r="L1971" s="29" t="n">
        <v>0.72</v>
      </c>
      <c r="M1971" s="30" t="n">
        <v>23.31</v>
      </c>
      <c r="N1971" s="29" t="n">
        <v>0.6</v>
      </c>
      <c r="O1971" s="25" t="n">
        <v>186</v>
      </c>
      <c r="P1971" s="30" t="n">
        <v>-0.54</v>
      </c>
      <c r="Q1971" s="27" t="s">
        <v>4014</v>
      </c>
      <c r="R1971" s="27" t="s">
        <v>3875</v>
      </c>
    </row>
    <row r="1972" customFormat="false" ht="15" hidden="false" customHeight="false" outlineLevel="0" collapsed="false">
      <c r="A1972" s="25" t="n">
        <f aca="false">IF(G1972="REJECT",COUNTIF($G$2:$G$2277,"&lt;&gt;REJECT")+1+COUNTIFS($G$2:$G$2277,"REJECT",$B$2:$B$2277,"&gt;"&amp;B1972),1+COUNTIFS($G$2:$G$2277,"&lt;&gt;REJECT",$B$2:$B$2277,"&gt;"&amp;B1972))</f>
        <v>1971</v>
      </c>
      <c r="B1972" s="26" t="n">
        <f aca="false">ROUND(($U$2*MAX(0,MIN(1,($W$2-I1972)/($W$2-$V$2)))+$U$3*MAX(0,MIN(1,($W$3-J1972)/($W$3-$V$3)))+$U$4*MAX(0,MIN(1,($W$4-K1972)/($W$4-$V$4)))+$U$5*MAX(0,MIN(1,($W$5-L1972)/($W$5-$V$5)))+$U$6*MAX(0,MIN(1,($W$6-M1972)/($W$6-$V$6)))+$U$7*MAX(0,MIN(1,($W$7-N1972)/($W$7-$V$7)))+$U$8*IF(AND(O1972&gt;=$V$8,O1972&lt;=$W$8),1,0))/$U$9*100,2)</f>
        <v>39</v>
      </c>
      <c r="C1972" s="27" t="s">
        <v>1132</v>
      </c>
      <c r="D1972" s="25" t="s">
        <v>134</v>
      </c>
      <c r="E1972" s="25" t="s">
        <v>3450</v>
      </c>
      <c r="F1972" s="25" t="s">
        <v>3457</v>
      </c>
      <c r="G1972" s="39" t="s">
        <v>32</v>
      </c>
      <c r="H1972" s="39" t="s">
        <v>26</v>
      </c>
      <c r="I1972" s="25" t="n">
        <v>7</v>
      </c>
      <c r="J1972" s="25" t="n">
        <v>1</v>
      </c>
      <c r="K1972" s="25" t="n">
        <v>7</v>
      </c>
      <c r="L1972" s="29" t="n">
        <v>0.72</v>
      </c>
      <c r="M1972" s="30" t="n">
        <v>6.32</v>
      </c>
      <c r="N1972" s="29" t="n">
        <v>0.84</v>
      </c>
      <c r="O1972" s="25" t="n">
        <v>187</v>
      </c>
      <c r="P1972" s="30" t="n">
        <v>17.72</v>
      </c>
      <c r="Q1972" s="27" t="s">
        <v>4015</v>
      </c>
      <c r="R1972" s="27" t="s">
        <v>529</v>
      </c>
    </row>
    <row r="1973" customFormat="false" ht="15" hidden="false" customHeight="false" outlineLevel="0" collapsed="false">
      <c r="A1973" s="25" t="n">
        <f aca="false">IF(G1973="REJECT",COUNTIF($G$2:$G$2277,"&lt;&gt;REJECT")+1+COUNTIFS($G$2:$G$2277,"REJECT",$B$2:$B$2277,"&gt;"&amp;B1973),1+COUNTIFS($G$2:$G$2277,"&lt;&gt;REJECT",$B$2:$B$2277,"&gt;"&amp;B1973))</f>
        <v>1972</v>
      </c>
      <c r="B1973" s="26" t="n">
        <f aca="false">ROUND(($U$2*MAX(0,MIN(1,($W$2-I1973)/($W$2-$V$2)))+$U$3*MAX(0,MIN(1,($W$3-J1973)/($W$3-$V$3)))+$U$4*MAX(0,MIN(1,($W$4-K1973)/($W$4-$V$4)))+$U$5*MAX(0,MIN(1,($W$5-L1973)/($W$5-$V$5)))+$U$6*MAX(0,MIN(1,($W$6-M1973)/($W$6-$V$6)))+$U$7*MAX(0,MIN(1,($W$7-N1973)/($W$7-$V$7)))+$U$8*IF(AND(O1973&gt;=$V$8,O1973&lt;=$W$8),1,0))/$U$9*100,2)</f>
        <v>38.86</v>
      </c>
      <c r="C1973" s="27" t="s">
        <v>2265</v>
      </c>
      <c r="D1973" s="25" t="s">
        <v>134</v>
      </c>
      <c r="E1973" s="25" t="s">
        <v>3447</v>
      </c>
      <c r="F1973" s="25" t="s">
        <v>3448</v>
      </c>
      <c r="G1973" s="39" t="s">
        <v>32</v>
      </c>
      <c r="H1973" s="39" t="s">
        <v>26</v>
      </c>
      <c r="I1973" s="25" t="n">
        <v>9</v>
      </c>
      <c r="J1973" s="25" t="n">
        <v>0</v>
      </c>
      <c r="K1973" s="25" t="n">
        <v>8</v>
      </c>
      <c r="L1973" s="29" t="n">
        <v>0.71</v>
      </c>
      <c r="M1973" s="30" t="n">
        <v>27.62</v>
      </c>
      <c r="N1973" s="29" t="n">
        <v>0.68</v>
      </c>
      <c r="O1973" s="25" t="n">
        <v>183</v>
      </c>
      <c r="P1973" s="30" t="n">
        <v>0.8</v>
      </c>
      <c r="Q1973" s="27" t="s">
        <v>4016</v>
      </c>
      <c r="R1973" s="27" t="s">
        <v>3896</v>
      </c>
    </row>
    <row r="1974" customFormat="false" ht="15" hidden="false" customHeight="false" outlineLevel="0" collapsed="false">
      <c r="A1974" s="25" t="n">
        <f aca="false">IF(G1974="REJECT",COUNTIF($G$2:$G$2277,"&lt;&gt;REJECT")+1+COUNTIFS($G$2:$G$2277,"REJECT",$B$2:$B$2277,"&gt;"&amp;B1974),1+COUNTIFS($G$2:$G$2277,"&lt;&gt;REJECT",$B$2:$B$2277,"&gt;"&amp;B1974))</f>
        <v>1973</v>
      </c>
      <c r="B1974" s="26" t="n">
        <f aca="false">ROUND(($U$2*MAX(0,MIN(1,($W$2-I1974)/($W$2-$V$2)))+$U$3*MAX(0,MIN(1,($W$3-J1974)/($W$3-$V$3)))+$U$4*MAX(0,MIN(1,($W$4-K1974)/($W$4-$V$4)))+$U$5*MAX(0,MIN(1,($W$5-L1974)/($W$5-$V$5)))+$U$6*MAX(0,MIN(1,($W$6-M1974)/($W$6-$V$6)))+$U$7*MAX(0,MIN(1,($W$7-N1974)/($W$7-$V$7)))+$U$8*IF(AND(O1974&gt;=$V$8,O1974&lt;=$W$8),1,0))/$U$9*100,2)</f>
        <v>38.84</v>
      </c>
      <c r="C1974" s="27" t="s">
        <v>2465</v>
      </c>
      <c r="D1974" s="25" t="s">
        <v>134</v>
      </c>
      <c r="E1974" s="25" t="s">
        <v>3450</v>
      </c>
      <c r="F1974" s="25" t="s">
        <v>3457</v>
      </c>
      <c r="G1974" s="39" t="s">
        <v>32</v>
      </c>
      <c r="H1974" s="39" t="s">
        <v>26</v>
      </c>
      <c r="I1974" s="25" t="n">
        <v>10</v>
      </c>
      <c r="J1974" s="25" t="n">
        <v>0</v>
      </c>
      <c r="K1974" s="25" t="n">
        <v>10</v>
      </c>
      <c r="L1974" s="29" t="n">
        <v>0.66</v>
      </c>
      <c r="M1974" s="30" t="n">
        <v>12.96</v>
      </c>
      <c r="N1974" s="29" t="n">
        <v>0.36</v>
      </c>
      <c r="O1974" s="25" t="n">
        <v>183</v>
      </c>
      <c r="P1974" s="30" t="n">
        <v>19.98</v>
      </c>
      <c r="Q1974" s="27" t="s">
        <v>4003</v>
      </c>
      <c r="R1974" s="27" t="s">
        <v>60</v>
      </c>
    </row>
    <row r="1975" customFormat="false" ht="15" hidden="false" customHeight="false" outlineLevel="0" collapsed="false">
      <c r="A1975" s="25" t="n">
        <f aca="false">IF(G1975="REJECT",COUNTIF($G$2:$G$2277,"&lt;&gt;REJECT")+1+COUNTIFS($G$2:$G$2277,"REJECT",$B$2:$B$2277,"&gt;"&amp;B1975),1+COUNTIFS($G$2:$G$2277,"&lt;&gt;REJECT",$B$2:$B$2277,"&gt;"&amp;B1975))</f>
        <v>1974</v>
      </c>
      <c r="B1975" s="26" t="n">
        <f aca="false">ROUND(($U$2*MAX(0,MIN(1,($W$2-I1975)/($W$2-$V$2)))+$U$3*MAX(0,MIN(1,($W$3-J1975)/($W$3-$V$3)))+$U$4*MAX(0,MIN(1,($W$4-K1975)/($W$4-$V$4)))+$U$5*MAX(0,MIN(1,($W$5-L1975)/($W$5-$V$5)))+$U$6*MAX(0,MIN(1,($W$6-M1975)/($W$6-$V$6)))+$U$7*MAX(0,MIN(1,($W$7-N1975)/($W$7-$V$7)))+$U$8*IF(AND(O1975&gt;=$V$8,O1975&lt;=$W$8),1,0))/$U$9*100,2)</f>
        <v>38.79</v>
      </c>
      <c r="C1975" s="27" t="s">
        <v>1608</v>
      </c>
      <c r="D1975" s="25" t="s">
        <v>134</v>
      </c>
      <c r="E1975" s="25" t="s">
        <v>3447</v>
      </c>
      <c r="F1975" s="25" t="s">
        <v>3448</v>
      </c>
      <c r="G1975" s="39" t="s">
        <v>32</v>
      </c>
      <c r="H1975" s="39" t="s">
        <v>26</v>
      </c>
      <c r="I1975" s="25" t="n">
        <v>12</v>
      </c>
      <c r="J1975" s="25" t="n">
        <v>1</v>
      </c>
      <c r="K1975" s="25" t="n">
        <v>12</v>
      </c>
      <c r="L1975" s="29" t="n">
        <v>0.84</v>
      </c>
      <c r="M1975" s="30" t="n">
        <v>5.24</v>
      </c>
      <c r="N1975" s="29" t="n">
        <v>0.2</v>
      </c>
      <c r="O1975" s="25" t="n">
        <v>184</v>
      </c>
      <c r="P1975" s="30" t="n">
        <v>3.56</v>
      </c>
      <c r="Q1975" s="27" t="s">
        <v>4017</v>
      </c>
      <c r="R1975" s="27" t="s">
        <v>529</v>
      </c>
    </row>
    <row r="1976" customFormat="false" ht="15" hidden="false" customHeight="false" outlineLevel="0" collapsed="false">
      <c r="A1976" s="25" t="n">
        <f aca="false">IF(G1976="REJECT",COUNTIF($G$2:$G$2277,"&lt;&gt;REJECT")+1+COUNTIFS($G$2:$G$2277,"REJECT",$B$2:$B$2277,"&gt;"&amp;B1976),1+COUNTIFS($G$2:$G$2277,"&lt;&gt;REJECT",$B$2:$B$2277,"&gt;"&amp;B1976))</f>
        <v>1975</v>
      </c>
      <c r="B1976" s="26" t="n">
        <f aca="false">ROUND(($U$2*MAX(0,MIN(1,($W$2-I1976)/($W$2-$V$2)))+$U$3*MAX(0,MIN(1,($W$3-J1976)/($W$3-$V$3)))+$U$4*MAX(0,MIN(1,($W$4-K1976)/($W$4-$V$4)))+$U$5*MAX(0,MIN(1,($W$5-L1976)/($W$5-$V$5)))+$U$6*MAX(0,MIN(1,($W$6-M1976)/($W$6-$V$6)))+$U$7*MAX(0,MIN(1,($W$7-N1976)/($W$7-$V$7)))+$U$8*IF(AND(O1976&gt;=$V$8,O1976&lt;=$W$8),1,0))/$U$9*100,2)</f>
        <v>38.77</v>
      </c>
      <c r="C1976" s="27" t="s">
        <v>341</v>
      </c>
      <c r="D1976" s="25" t="s">
        <v>134</v>
      </c>
      <c r="E1976" s="25" t="s">
        <v>3447</v>
      </c>
      <c r="F1976" s="25" t="s">
        <v>3448</v>
      </c>
      <c r="G1976" s="39" t="s">
        <v>32</v>
      </c>
      <c r="H1976" s="39" t="s">
        <v>26</v>
      </c>
      <c r="I1976" s="25" t="n">
        <v>14</v>
      </c>
      <c r="J1976" s="25" t="n">
        <v>0</v>
      </c>
      <c r="K1976" s="25" t="n">
        <v>14</v>
      </c>
      <c r="L1976" s="29" t="n">
        <v>0.63</v>
      </c>
      <c r="M1976" s="30" t="n">
        <v>4.58</v>
      </c>
      <c r="N1976" s="29" t="n">
        <v>0.16</v>
      </c>
      <c r="O1976" s="25" t="n">
        <v>182</v>
      </c>
      <c r="P1976" s="30" t="n">
        <v>-0.1</v>
      </c>
      <c r="Q1976" s="27" t="s">
        <v>4018</v>
      </c>
      <c r="R1976" s="27" t="s">
        <v>60</v>
      </c>
    </row>
    <row r="1977" customFormat="false" ht="15" hidden="false" customHeight="false" outlineLevel="0" collapsed="false">
      <c r="A1977" s="25" t="n">
        <f aca="false">IF(G1977="REJECT",COUNTIF($G$2:$G$2277,"&lt;&gt;REJECT")+1+COUNTIFS($G$2:$G$2277,"REJECT",$B$2:$B$2277,"&gt;"&amp;B1977),1+COUNTIFS($G$2:$G$2277,"&lt;&gt;REJECT",$B$2:$B$2277,"&gt;"&amp;B1977))</f>
        <v>1976</v>
      </c>
      <c r="B1977" s="26" t="n">
        <f aca="false">ROUND(($U$2*MAX(0,MIN(1,($W$2-I1977)/($W$2-$V$2)))+$U$3*MAX(0,MIN(1,($W$3-J1977)/($W$3-$V$3)))+$U$4*MAX(0,MIN(1,($W$4-K1977)/($W$4-$V$4)))+$U$5*MAX(0,MIN(1,($W$5-L1977)/($W$5-$V$5)))+$U$6*MAX(0,MIN(1,($W$6-M1977)/($W$6-$V$6)))+$U$7*MAX(0,MIN(1,($W$7-N1977)/($W$7-$V$7)))+$U$8*IF(AND(O1977&gt;=$V$8,O1977&lt;=$W$8),1,0))/$U$9*100,2)</f>
        <v>38.59</v>
      </c>
      <c r="C1977" s="27" t="s">
        <v>1726</v>
      </c>
      <c r="D1977" s="25" t="s">
        <v>3459</v>
      </c>
      <c r="E1977" s="25" t="s">
        <v>3447</v>
      </c>
      <c r="F1977" s="25" t="s">
        <v>3448</v>
      </c>
      <c r="G1977" s="39" t="s">
        <v>32</v>
      </c>
      <c r="H1977" s="39" t="s">
        <v>26</v>
      </c>
      <c r="I1977" s="25" t="n">
        <v>7</v>
      </c>
      <c r="J1977" s="25" t="n">
        <v>1</v>
      </c>
      <c r="K1977" s="25" t="n">
        <v>6</v>
      </c>
      <c r="L1977" s="29" t="n">
        <v>0.72</v>
      </c>
      <c r="M1977" s="30" t="n">
        <v>20.42</v>
      </c>
      <c r="N1977" s="29" t="n">
        <v>0.8</v>
      </c>
      <c r="O1977" s="25" t="n">
        <v>184</v>
      </c>
      <c r="P1977" s="30" t="n">
        <v>0.42</v>
      </c>
      <c r="Q1977" s="27" t="s">
        <v>4019</v>
      </c>
      <c r="R1977" s="27" t="s">
        <v>1926</v>
      </c>
    </row>
    <row r="1978" customFormat="false" ht="15" hidden="false" customHeight="false" outlineLevel="0" collapsed="false">
      <c r="A1978" s="25" t="n">
        <f aca="false">IF(G1978="REJECT",COUNTIF($G$2:$G$2277,"&lt;&gt;REJECT")+1+COUNTIFS($G$2:$G$2277,"REJECT",$B$2:$B$2277,"&gt;"&amp;B1978),1+COUNTIFS($G$2:$G$2277,"&lt;&gt;REJECT",$B$2:$B$2277,"&gt;"&amp;B1978))</f>
        <v>1977</v>
      </c>
      <c r="B1978" s="26" t="n">
        <f aca="false">ROUND(($U$2*MAX(0,MIN(1,($W$2-I1978)/($W$2-$V$2)))+$U$3*MAX(0,MIN(1,($W$3-J1978)/($W$3-$V$3)))+$U$4*MAX(0,MIN(1,($W$4-K1978)/($W$4-$V$4)))+$U$5*MAX(0,MIN(1,($W$5-L1978)/($W$5-$V$5)))+$U$6*MAX(0,MIN(1,($W$6-M1978)/($W$6-$V$6)))+$U$7*MAX(0,MIN(1,($W$7-N1978)/($W$7-$V$7)))+$U$8*IF(AND(O1978&gt;=$V$8,O1978&lt;=$W$8),1,0))/$U$9*100,2)</f>
        <v>38.51</v>
      </c>
      <c r="C1978" s="27" t="s">
        <v>3406</v>
      </c>
      <c r="D1978" s="25" t="s">
        <v>134</v>
      </c>
      <c r="E1978" s="25" t="s">
        <v>3447</v>
      </c>
      <c r="F1978" s="25" t="s">
        <v>3457</v>
      </c>
      <c r="G1978" s="39" t="s">
        <v>32</v>
      </c>
      <c r="H1978" s="39" t="s">
        <v>26</v>
      </c>
      <c r="I1978" s="25" t="n">
        <v>12</v>
      </c>
      <c r="J1978" s="25" t="n">
        <v>1</v>
      </c>
      <c r="K1978" s="25" t="n">
        <v>12</v>
      </c>
      <c r="L1978" s="29" t="n">
        <v>0.82</v>
      </c>
      <c r="M1978" s="30" t="n">
        <v>4.15</v>
      </c>
      <c r="N1978" s="29" t="n">
        <v>0.48</v>
      </c>
      <c r="O1978" s="25" t="n">
        <v>183</v>
      </c>
      <c r="P1978" s="30" t="n">
        <v>6.66</v>
      </c>
      <c r="Q1978" s="27" t="s">
        <v>4017</v>
      </c>
      <c r="R1978" s="27" t="s">
        <v>529</v>
      </c>
    </row>
    <row r="1979" customFormat="false" ht="15" hidden="false" customHeight="false" outlineLevel="0" collapsed="false">
      <c r="A1979" s="25" t="n">
        <f aca="false">IF(G1979="REJECT",COUNTIF($G$2:$G$2277,"&lt;&gt;REJECT")+1+COUNTIFS($G$2:$G$2277,"REJECT",$B$2:$B$2277,"&gt;"&amp;B1979),1+COUNTIFS($G$2:$G$2277,"&lt;&gt;REJECT",$B$2:$B$2277,"&gt;"&amp;B1979))</f>
        <v>1978</v>
      </c>
      <c r="B1979" s="26" t="n">
        <f aca="false">ROUND(($U$2*MAX(0,MIN(1,($W$2-I1979)/($W$2-$V$2)))+$U$3*MAX(0,MIN(1,($W$3-J1979)/($W$3-$V$3)))+$U$4*MAX(0,MIN(1,($W$4-K1979)/($W$4-$V$4)))+$U$5*MAX(0,MIN(1,($W$5-L1979)/($W$5-$V$5)))+$U$6*MAX(0,MIN(1,($W$6-M1979)/($W$6-$V$6)))+$U$7*MAX(0,MIN(1,($W$7-N1979)/($W$7-$V$7)))+$U$8*IF(AND(O1979&gt;=$V$8,O1979&lt;=$W$8),1,0))/$U$9*100,2)</f>
        <v>38.46</v>
      </c>
      <c r="C1979" s="27" t="s">
        <v>2039</v>
      </c>
      <c r="D1979" s="25" t="s">
        <v>3459</v>
      </c>
      <c r="E1979" s="25" t="s">
        <v>3447</v>
      </c>
      <c r="F1979" s="25" t="s">
        <v>3448</v>
      </c>
      <c r="G1979" s="39" t="s">
        <v>32</v>
      </c>
      <c r="H1979" s="39" t="s">
        <v>26</v>
      </c>
      <c r="I1979" s="25" t="n">
        <v>7</v>
      </c>
      <c r="J1979" s="25" t="n">
        <v>1</v>
      </c>
      <c r="K1979" s="25" t="n">
        <v>7</v>
      </c>
      <c r="L1979" s="29" t="n">
        <v>0.73</v>
      </c>
      <c r="M1979" s="30" t="n">
        <v>19.13</v>
      </c>
      <c r="N1979" s="29" t="n">
        <v>0.24</v>
      </c>
      <c r="O1979" s="25" t="n">
        <v>183</v>
      </c>
      <c r="P1979" s="30" t="n">
        <v>2.13</v>
      </c>
      <c r="Q1979" s="27" t="s">
        <v>4020</v>
      </c>
      <c r="R1979" s="27" t="s">
        <v>529</v>
      </c>
    </row>
    <row r="1980" customFormat="false" ht="15" hidden="false" customHeight="false" outlineLevel="0" collapsed="false">
      <c r="A1980" s="25" t="n">
        <f aca="false">IF(G1980="REJECT",COUNTIF($G$2:$G$2277,"&lt;&gt;REJECT")+1+COUNTIFS($G$2:$G$2277,"REJECT",$B$2:$B$2277,"&gt;"&amp;B1980),1+COUNTIFS($G$2:$G$2277,"&lt;&gt;REJECT",$B$2:$B$2277,"&gt;"&amp;B1980))</f>
        <v>1979</v>
      </c>
      <c r="B1980" s="26" t="n">
        <f aca="false">ROUND(($U$2*MAX(0,MIN(1,($W$2-I1980)/($W$2-$V$2)))+$U$3*MAX(0,MIN(1,($W$3-J1980)/($W$3-$V$3)))+$U$4*MAX(0,MIN(1,($W$4-K1980)/($W$4-$V$4)))+$U$5*MAX(0,MIN(1,($W$5-L1980)/($W$5-$V$5)))+$U$6*MAX(0,MIN(1,($W$6-M1980)/($W$6-$V$6)))+$U$7*MAX(0,MIN(1,($W$7-N1980)/($W$7-$V$7)))+$U$8*IF(AND(O1980&gt;=$V$8,O1980&lt;=$W$8),1,0))/$U$9*100,2)</f>
        <v>38.4</v>
      </c>
      <c r="C1980" s="27" t="s">
        <v>895</v>
      </c>
      <c r="D1980" s="25" t="s">
        <v>134</v>
      </c>
      <c r="E1980" s="25" t="s">
        <v>3447</v>
      </c>
      <c r="F1980" s="25" t="s">
        <v>3457</v>
      </c>
      <c r="G1980" s="39" t="s">
        <v>32</v>
      </c>
      <c r="H1980" s="39" t="s">
        <v>26</v>
      </c>
      <c r="I1980" s="25" t="n">
        <v>7</v>
      </c>
      <c r="J1980" s="25" t="n">
        <v>1</v>
      </c>
      <c r="K1980" s="25" t="n">
        <v>7</v>
      </c>
      <c r="L1980" s="29" t="n">
        <v>0.7</v>
      </c>
      <c r="M1980" s="30" t="n">
        <v>11.11</v>
      </c>
      <c r="N1980" s="29" t="n">
        <v>0</v>
      </c>
      <c r="O1980" s="25" t="n">
        <v>182</v>
      </c>
      <c r="P1980" s="30" t="n">
        <v>10.6</v>
      </c>
      <c r="Q1980" s="27" t="s">
        <v>4021</v>
      </c>
      <c r="R1980" s="27" t="s">
        <v>529</v>
      </c>
    </row>
    <row r="1981" customFormat="false" ht="15" hidden="false" customHeight="false" outlineLevel="0" collapsed="false">
      <c r="A1981" s="25" t="n">
        <f aca="false">IF(G1981="REJECT",COUNTIF($G$2:$G$2277,"&lt;&gt;REJECT")+1+COUNTIFS($G$2:$G$2277,"REJECT",$B$2:$B$2277,"&gt;"&amp;B1981),1+COUNTIFS($G$2:$G$2277,"&lt;&gt;REJECT",$B$2:$B$2277,"&gt;"&amp;B1981))</f>
        <v>1980</v>
      </c>
      <c r="B1981" s="26" t="n">
        <f aca="false">ROUND(($U$2*MAX(0,MIN(1,($W$2-I1981)/($W$2-$V$2)))+$U$3*MAX(0,MIN(1,($W$3-J1981)/($W$3-$V$3)))+$U$4*MAX(0,MIN(1,($W$4-K1981)/($W$4-$V$4)))+$U$5*MAX(0,MIN(1,($W$5-L1981)/($W$5-$V$5)))+$U$6*MAX(0,MIN(1,($W$6-M1981)/($W$6-$V$6)))+$U$7*MAX(0,MIN(1,($W$7-N1981)/($W$7-$V$7)))+$U$8*IF(AND(O1981&gt;=$V$8,O1981&lt;=$W$8),1,0))/$U$9*100,2)</f>
        <v>38.13</v>
      </c>
      <c r="C1981" s="27" t="s">
        <v>1697</v>
      </c>
      <c r="D1981" s="25" t="s">
        <v>134</v>
      </c>
      <c r="E1981" s="25" t="s">
        <v>3447</v>
      </c>
      <c r="F1981" s="25" t="s">
        <v>3448</v>
      </c>
      <c r="G1981" s="39" t="s">
        <v>32</v>
      </c>
      <c r="H1981" s="39" t="s">
        <v>26</v>
      </c>
      <c r="I1981" s="25" t="n">
        <v>18</v>
      </c>
      <c r="J1981" s="25" t="n">
        <v>0</v>
      </c>
      <c r="K1981" s="25" t="n">
        <v>18</v>
      </c>
      <c r="L1981" s="29" t="n">
        <v>0.65</v>
      </c>
      <c r="M1981" s="30" t="n">
        <v>12</v>
      </c>
      <c r="N1981" s="29" t="n">
        <v>0.52</v>
      </c>
      <c r="O1981" s="25" t="n">
        <v>187</v>
      </c>
      <c r="P1981" s="30" t="n">
        <v>2.49</v>
      </c>
      <c r="Q1981" s="27" t="s">
        <v>4022</v>
      </c>
      <c r="R1981" s="27" t="s">
        <v>60</v>
      </c>
    </row>
    <row r="1982" customFormat="false" ht="15" hidden="false" customHeight="false" outlineLevel="0" collapsed="false">
      <c r="A1982" s="25" t="n">
        <f aca="false">IF(G1982="REJECT",COUNTIF($G$2:$G$2277,"&lt;&gt;REJECT")+1+COUNTIFS($G$2:$G$2277,"REJECT",$B$2:$B$2277,"&gt;"&amp;B1982),1+COUNTIFS($G$2:$G$2277,"&lt;&gt;REJECT",$B$2:$B$2277,"&gt;"&amp;B1982))</f>
        <v>1981</v>
      </c>
      <c r="B1982" s="26" t="n">
        <f aca="false">ROUND(($U$2*MAX(0,MIN(1,($W$2-I1982)/($W$2-$V$2)))+$U$3*MAX(0,MIN(1,($W$3-J1982)/($W$3-$V$3)))+$U$4*MAX(0,MIN(1,($W$4-K1982)/($W$4-$V$4)))+$U$5*MAX(0,MIN(1,($W$5-L1982)/($W$5-$V$5)))+$U$6*MAX(0,MIN(1,($W$6-M1982)/($W$6-$V$6)))+$U$7*MAX(0,MIN(1,($W$7-N1982)/($W$7-$V$7)))+$U$8*IF(AND(O1982&gt;=$V$8,O1982&lt;=$W$8),1,0))/$U$9*100,2)</f>
        <v>38.12</v>
      </c>
      <c r="C1982" s="27" t="s">
        <v>3034</v>
      </c>
      <c r="D1982" s="25" t="s">
        <v>134</v>
      </c>
      <c r="E1982" s="25" t="s">
        <v>3447</v>
      </c>
      <c r="F1982" s="25" t="s">
        <v>3448</v>
      </c>
      <c r="G1982" s="39" t="s">
        <v>32</v>
      </c>
      <c r="H1982" s="39" t="s">
        <v>26</v>
      </c>
      <c r="I1982" s="25" t="n">
        <v>13</v>
      </c>
      <c r="J1982" s="25" t="n">
        <v>1</v>
      </c>
      <c r="K1982" s="25" t="n">
        <v>13</v>
      </c>
      <c r="L1982" s="29" t="n">
        <v>0.81</v>
      </c>
      <c r="M1982" s="30" t="n">
        <v>11.3</v>
      </c>
      <c r="N1982" s="29" t="n">
        <v>0</v>
      </c>
      <c r="O1982" s="25" t="n">
        <v>182</v>
      </c>
      <c r="P1982" s="30" t="n">
        <v>13.78</v>
      </c>
      <c r="Q1982" s="27" t="s">
        <v>4023</v>
      </c>
      <c r="R1982" s="27" t="s">
        <v>529</v>
      </c>
    </row>
    <row r="1983" customFormat="false" ht="15" hidden="false" customHeight="false" outlineLevel="0" collapsed="false">
      <c r="A1983" s="25" t="n">
        <f aca="false">IF(G1983="REJECT",COUNTIF($G$2:$G$2277,"&lt;&gt;REJECT")+1+COUNTIFS($G$2:$G$2277,"REJECT",$B$2:$B$2277,"&gt;"&amp;B1983),1+COUNTIFS($G$2:$G$2277,"&lt;&gt;REJECT",$B$2:$B$2277,"&gt;"&amp;B1983))</f>
        <v>1982</v>
      </c>
      <c r="B1983" s="26" t="n">
        <f aca="false">ROUND(($U$2*MAX(0,MIN(1,($W$2-I1983)/($W$2-$V$2)))+$U$3*MAX(0,MIN(1,($W$3-J1983)/($W$3-$V$3)))+$U$4*MAX(0,MIN(1,($W$4-K1983)/($W$4-$V$4)))+$U$5*MAX(0,MIN(1,($W$5-L1983)/($W$5-$V$5)))+$U$6*MAX(0,MIN(1,($W$6-M1983)/($W$6-$V$6)))+$U$7*MAX(0,MIN(1,($W$7-N1983)/($W$7-$V$7)))+$U$8*IF(AND(O1983&gt;=$V$8,O1983&lt;=$W$8),1,0))/$U$9*100,2)</f>
        <v>38.01</v>
      </c>
      <c r="C1983" s="27" t="s">
        <v>2500</v>
      </c>
      <c r="D1983" s="25" t="s">
        <v>134</v>
      </c>
      <c r="E1983" s="25" t="s">
        <v>3447</v>
      </c>
      <c r="F1983" s="25" t="s">
        <v>3448</v>
      </c>
      <c r="G1983" s="39" t="s">
        <v>32</v>
      </c>
      <c r="H1983" s="39" t="s">
        <v>26</v>
      </c>
      <c r="I1983" s="25" t="n">
        <v>7</v>
      </c>
      <c r="J1983" s="25" t="n">
        <v>1</v>
      </c>
      <c r="K1983" s="25" t="n">
        <v>7</v>
      </c>
      <c r="L1983" s="29" t="n">
        <v>0.74</v>
      </c>
      <c r="M1983" s="30" t="n">
        <v>23.82</v>
      </c>
      <c r="N1983" s="29" t="n">
        <v>0.4</v>
      </c>
      <c r="O1983" s="25" t="n">
        <v>186</v>
      </c>
      <c r="P1983" s="30" t="n">
        <v>5.26</v>
      </c>
      <c r="Q1983" s="27" t="s">
        <v>4024</v>
      </c>
      <c r="R1983" s="27" t="s">
        <v>1926</v>
      </c>
    </row>
    <row r="1984" customFormat="false" ht="15" hidden="false" customHeight="false" outlineLevel="0" collapsed="false">
      <c r="A1984" s="25" t="n">
        <f aca="false">IF(G1984="REJECT",COUNTIF($G$2:$G$2277,"&lt;&gt;REJECT")+1+COUNTIFS($G$2:$G$2277,"REJECT",$B$2:$B$2277,"&gt;"&amp;B1984),1+COUNTIFS($G$2:$G$2277,"&lt;&gt;REJECT",$B$2:$B$2277,"&gt;"&amp;B1984))</f>
        <v>1983</v>
      </c>
      <c r="B1984" s="26" t="n">
        <f aca="false">ROUND(($U$2*MAX(0,MIN(1,($W$2-I1984)/($W$2-$V$2)))+$U$3*MAX(0,MIN(1,($W$3-J1984)/($W$3-$V$3)))+$U$4*MAX(0,MIN(1,($W$4-K1984)/($W$4-$V$4)))+$U$5*MAX(0,MIN(1,($W$5-L1984)/($W$5-$V$5)))+$U$6*MAX(0,MIN(1,($W$6-M1984)/($W$6-$V$6)))+$U$7*MAX(0,MIN(1,($W$7-N1984)/($W$7-$V$7)))+$U$8*IF(AND(O1984&gt;=$V$8,O1984&lt;=$W$8),1,0))/$U$9*100,2)</f>
        <v>37.85</v>
      </c>
      <c r="C1984" s="27" t="s">
        <v>911</v>
      </c>
      <c r="D1984" s="25" t="s">
        <v>3459</v>
      </c>
      <c r="E1984" s="25" t="s">
        <v>3447</v>
      </c>
      <c r="F1984" s="25" t="s">
        <v>3448</v>
      </c>
      <c r="G1984" s="39" t="s">
        <v>32</v>
      </c>
      <c r="H1984" s="39" t="s">
        <v>26</v>
      </c>
      <c r="I1984" s="25" t="n">
        <v>7</v>
      </c>
      <c r="J1984" s="25" t="n">
        <v>1</v>
      </c>
      <c r="K1984" s="25" t="n">
        <v>7</v>
      </c>
      <c r="L1984" s="29" t="n">
        <v>0.72</v>
      </c>
      <c r="M1984" s="30" t="n">
        <v>12.38</v>
      </c>
      <c r="N1984" s="29" t="n">
        <v>0.92</v>
      </c>
      <c r="O1984" s="25" t="n">
        <v>202</v>
      </c>
      <c r="P1984" s="30" t="n">
        <v>-0.83</v>
      </c>
      <c r="Q1984" s="27" t="s">
        <v>4025</v>
      </c>
      <c r="R1984" s="27" t="s">
        <v>1311</v>
      </c>
    </row>
    <row r="1985" customFormat="false" ht="15" hidden="false" customHeight="false" outlineLevel="0" collapsed="false">
      <c r="A1985" s="25" t="n">
        <f aca="false">IF(G1985="REJECT",COUNTIF($G$2:$G$2277,"&lt;&gt;REJECT")+1+COUNTIFS($G$2:$G$2277,"REJECT",$B$2:$B$2277,"&gt;"&amp;B1985),1+COUNTIFS($G$2:$G$2277,"&lt;&gt;REJECT",$B$2:$B$2277,"&gt;"&amp;B1985))</f>
        <v>1983</v>
      </c>
      <c r="B1985" s="26" t="n">
        <f aca="false">ROUND(($U$2*MAX(0,MIN(1,($W$2-I1985)/($W$2-$V$2)))+$U$3*MAX(0,MIN(1,($W$3-J1985)/($W$3-$V$3)))+$U$4*MAX(0,MIN(1,($W$4-K1985)/($W$4-$V$4)))+$U$5*MAX(0,MIN(1,($W$5-L1985)/($W$5-$V$5)))+$U$6*MAX(0,MIN(1,($W$6-M1985)/($W$6-$V$6)))+$U$7*MAX(0,MIN(1,($W$7-N1985)/($W$7-$V$7)))+$U$8*IF(AND(O1985&gt;=$V$8,O1985&lt;=$W$8),1,0))/$U$9*100,2)</f>
        <v>37.85</v>
      </c>
      <c r="C1985" s="27" t="s">
        <v>1334</v>
      </c>
      <c r="D1985" s="25" t="s">
        <v>134</v>
      </c>
      <c r="E1985" s="25" t="s">
        <v>3447</v>
      </c>
      <c r="F1985" s="25" t="s">
        <v>3457</v>
      </c>
      <c r="G1985" s="39" t="s">
        <v>32</v>
      </c>
      <c r="H1985" s="39" t="s">
        <v>26</v>
      </c>
      <c r="I1985" s="25" t="n">
        <v>10</v>
      </c>
      <c r="J1985" s="25" t="n">
        <v>1</v>
      </c>
      <c r="K1985" s="25" t="n">
        <v>10</v>
      </c>
      <c r="L1985" s="29" t="n">
        <v>0.79</v>
      </c>
      <c r="M1985" s="30" t="n">
        <v>4.48</v>
      </c>
      <c r="N1985" s="29" t="n">
        <v>0.48</v>
      </c>
      <c r="O1985" s="25" t="n">
        <v>183</v>
      </c>
      <c r="P1985" s="30" t="n">
        <v>2.62</v>
      </c>
      <c r="Q1985" s="27" t="s">
        <v>4011</v>
      </c>
      <c r="R1985" s="27" t="s">
        <v>1451</v>
      </c>
    </row>
    <row r="1986" customFormat="false" ht="15" hidden="false" customHeight="false" outlineLevel="0" collapsed="false">
      <c r="A1986" s="25" t="n">
        <f aca="false">IF(G1986="REJECT",COUNTIF($G$2:$G$2277,"&lt;&gt;REJECT")+1+COUNTIFS($G$2:$G$2277,"REJECT",$B$2:$B$2277,"&gt;"&amp;B1986),1+COUNTIFS($G$2:$G$2277,"&lt;&gt;REJECT",$B$2:$B$2277,"&gt;"&amp;B1986))</f>
        <v>1985</v>
      </c>
      <c r="B1986" s="26" t="n">
        <f aca="false">ROUND(($U$2*MAX(0,MIN(1,($W$2-I1986)/($W$2-$V$2)))+$U$3*MAX(0,MIN(1,($W$3-J1986)/($W$3-$V$3)))+$U$4*MAX(0,MIN(1,($W$4-K1986)/($W$4-$V$4)))+$U$5*MAX(0,MIN(1,($W$5-L1986)/($W$5-$V$5)))+$U$6*MAX(0,MIN(1,($W$6-M1986)/($W$6-$V$6)))+$U$7*MAX(0,MIN(1,($W$7-N1986)/($W$7-$V$7)))+$U$8*IF(AND(O1986&gt;=$V$8,O1986&lt;=$W$8),1,0))/$U$9*100,2)</f>
        <v>37.8</v>
      </c>
      <c r="C1986" s="27" t="s">
        <v>1481</v>
      </c>
      <c r="D1986" s="25" t="s">
        <v>3459</v>
      </c>
      <c r="E1986" s="25" t="s">
        <v>3450</v>
      </c>
      <c r="F1986" s="25" t="s">
        <v>3448</v>
      </c>
      <c r="G1986" s="39" t="s">
        <v>32</v>
      </c>
      <c r="H1986" s="39" t="s">
        <v>26</v>
      </c>
      <c r="I1986" s="25" t="n">
        <v>9</v>
      </c>
      <c r="J1986" s="25" t="n">
        <v>0</v>
      </c>
      <c r="K1986" s="25" t="n">
        <v>9</v>
      </c>
      <c r="L1986" s="29" t="n">
        <v>0.62</v>
      </c>
      <c r="M1986" s="30" t="n">
        <v>8.43</v>
      </c>
      <c r="N1986" s="29" t="n">
        <v>0</v>
      </c>
      <c r="O1986" s="25" t="n">
        <v>183</v>
      </c>
      <c r="P1986" s="30" t="n">
        <v>16.8</v>
      </c>
      <c r="Q1986" s="27" t="s">
        <v>4026</v>
      </c>
      <c r="R1986" s="27" t="s">
        <v>3879</v>
      </c>
    </row>
    <row r="1987" customFormat="false" ht="15" hidden="false" customHeight="false" outlineLevel="0" collapsed="false">
      <c r="A1987" s="25" t="n">
        <f aca="false">IF(G1987="REJECT",COUNTIF($G$2:$G$2277,"&lt;&gt;REJECT")+1+COUNTIFS($G$2:$G$2277,"REJECT",$B$2:$B$2277,"&gt;"&amp;B1987),1+COUNTIFS($G$2:$G$2277,"&lt;&gt;REJECT",$B$2:$B$2277,"&gt;"&amp;B1987))</f>
        <v>1986</v>
      </c>
      <c r="B1987" s="26" t="n">
        <f aca="false">ROUND(($U$2*MAX(0,MIN(1,($W$2-I1987)/($W$2-$V$2)))+$U$3*MAX(0,MIN(1,($W$3-J1987)/($W$3-$V$3)))+$U$4*MAX(0,MIN(1,($W$4-K1987)/($W$4-$V$4)))+$U$5*MAX(0,MIN(1,($W$5-L1987)/($W$5-$V$5)))+$U$6*MAX(0,MIN(1,($W$6-M1987)/($W$6-$V$6)))+$U$7*MAX(0,MIN(1,($W$7-N1987)/($W$7-$V$7)))+$U$8*IF(AND(O1987&gt;=$V$8,O1987&lt;=$W$8),1,0))/$U$9*100,2)</f>
        <v>37.68</v>
      </c>
      <c r="C1987" s="27" t="s">
        <v>2204</v>
      </c>
      <c r="D1987" s="25" t="s">
        <v>134</v>
      </c>
      <c r="E1987" s="25" t="s">
        <v>3450</v>
      </c>
      <c r="F1987" s="25" t="s">
        <v>3457</v>
      </c>
      <c r="G1987" s="39" t="s">
        <v>32</v>
      </c>
      <c r="H1987" s="39" t="s">
        <v>26</v>
      </c>
      <c r="I1987" s="25" t="n">
        <v>12</v>
      </c>
      <c r="J1987" s="25" t="n">
        <v>0</v>
      </c>
      <c r="K1987" s="25" t="n">
        <v>12</v>
      </c>
      <c r="L1987" s="29" t="n">
        <v>0.67</v>
      </c>
      <c r="M1987" s="30" t="n">
        <v>19.12</v>
      </c>
      <c r="N1987" s="29" t="n">
        <v>0.8</v>
      </c>
      <c r="O1987" s="25" t="n">
        <v>184</v>
      </c>
      <c r="P1987" s="30" t="n">
        <v>1.29</v>
      </c>
      <c r="Q1987" s="27" t="s">
        <v>4027</v>
      </c>
      <c r="R1987" s="27" t="s">
        <v>3912</v>
      </c>
    </row>
    <row r="1988" customFormat="false" ht="15" hidden="false" customHeight="false" outlineLevel="0" collapsed="false">
      <c r="A1988" s="25" t="n">
        <f aca="false">IF(G1988="REJECT",COUNTIF($G$2:$G$2277,"&lt;&gt;REJECT")+1+COUNTIFS($G$2:$G$2277,"REJECT",$B$2:$B$2277,"&gt;"&amp;B1988),1+COUNTIFS($G$2:$G$2277,"&lt;&gt;REJECT",$B$2:$B$2277,"&gt;"&amp;B1988))</f>
        <v>1987</v>
      </c>
      <c r="B1988" s="26" t="n">
        <f aca="false">ROUND(($U$2*MAX(0,MIN(1,($W$2-I1988)/($W$2-$V$2)))+$U$3*MAX(0,MIN(1,($W$3-J1988)/($W$3-$V$3)))+$U$4*MAX(0,MIN(1,($W$4-K1988)/($W$4-$V$4)))+$U$5*MAX(0,MIN(1,($W$5-L1988)/($W$5-$V$5)))+$U$6*MAX(0,MIN(1,($W$6-M1988)/($W$6-$V$6)))+$U$7*MAX(0,MIN(1,($W$7-N1988)/($W$7-$V$7)))+$U$8*IF(AND(O1988&gt;=$V$8,O1988&lt;=$W$8),1,0))/$U$9*100,2)</f>
        <v>37.67</v>
      </c>
      <c r="C1988" s="27" t="s">
        <v>1515</v>
      </c>
      <c r="D1988" s="25" t="s">
        <v>134</v>
      </c>
      <c r="E1988" s="25" t="s">
        <v>3447</v>
      </c>
      <c r="F1988" s="25" t="s">
        <v>3457</v>
      </c>
      <c r="G1988" s="39" t="s">
        <v>32</v>
      </c>
      <c r="H1988" s="39" t="s">
        <v>26</v>
      </c>
      <c r="I1988" s="25" t="n">
        <v>8</v>
      </c>
      <c r="J1988" s="25" t="n">
        <v>1</v>
      </c>
      <c r="K1988" s="25" t="n">
        <v>8</v>
      </c>
      <c r="L1988" s="29" t="n">
        <v>0.78</v>
      </c>
      <c r="M1988" s="30" t="n">
        <v>6.76</v>
      </c>
      <c r="N1988" s="29" t="n">
        <v>0</v>
      </c>
      <c r="O1988" s="25" t="n">
        <v>183</v>
      </c>
      <c r="P1988" s="30" t="n">
        <v>4.51</v>
      </c>
      <c r="Q1988" s="27" t="s">
        <v>4028</v>
      </c>
      <c r="R1988" s="27" t="s">
        <v>529</v>
      </c>
    </row>
    <row r="1989" customFormat="false" ht="15" hidden="false" customHeight="false" outlineLevel="0" collapsed="false">
      <c r="A1989" s="25" t="n">
        <f aca="false">IF(G1989="REJECT",COUNTIF($G$2:$G$2277,"&lt;&gt;REJECT")+1+COUNTIFS($G$2:$G$2277,"REJECT",$B$2:$B$2277,"&gt;"&amp;B1989),1+COUNTIFS($G$2:$G$2277,"&lt;&gt;REJECT",$B$2:$B$2277,"&gt;"&amp;B1989))</f>
        <v>1988</v>
      </c>
      <c r="B1989" s="26" t="n">
        <f aca="false">ROUND(($U$2*MAX(0,MIN(1,($W$2-I1989)/($W$2-$V$2)))+$U$3*MAX(0,MIN(1,($W$3-J1989)/($W$3-$V$3)))+$U$4*MAX(0,MIN(1,($W$4-K1989)/($W$4-$V$4)))+$U$5*MAX(0,MIN(1,($W$5-L1989)/($W$5-$V$5)))+$U$6*MAX(0,MIN(1,($W$6-M1989)/($W$6-$V$6)))+$U$7*MAX(0,MIN(1,($W$7-N1989)/($W$7-$V$7)))+$U$8*IF(AND(O1989&gt;=$V$8,O1989&lt;=$W$8),1,0))/$U$9*100,2)</f>
        <v>37.57</v>
      </c>
      <c r="C1989" s="27" t="s">
        <v>2314</v>
      </c>
      <c r="D1989" s="25" t="s">
        <v>134</v>
      </c>
      <c r="E1989" s="25" t="s">
        <v>3447</v>
      </c>
      <c r="F1989" s="25" t="s">
        <v>3448</v>
      </c>
      <c r="G1989" s="39" t="s">
        <v>32</v>
      </c>
      <c r="H1989" s="39" t="s">
        <v>26</v>
      </c>
      <c r="I1989" s="25" t="n">
        <v>10</v>
      </c>
      <c r="J1989" s="25" t="n">
        <v>1</v>
      </c>
      <c r="K1989" s="25" t="n">
        <v>10</v>
      </c>
      <c r="L1989" s="29" t="n">
        <v>0.78</v>
      </c>
      <c r="M1989" s="30" t="n">
        <v>5.41</v>
      </c>
      <c r="N1989" s="29" t="n">
        <v>0.2</v>
      </c>
      <c r="O1989" s="25" t="n">
        <v>183</v>
      </c>
      <c r="P1989" s="30" t="n">
        <v>1.55</v>
      </c>
      <c r="Q1989" s="27" t="s">
        <v>4029</v>
      </c>
      <c r="R1989" s="27" t="s">
        <v>529</v>
      </c>
    </row>
    <row r="1990" customFormat="false" ht="15" hidden="false" customHeight="false" outlineLevel="0" collapsed="false">
      <c r="A1990" s="25" t="n">
        <f aca="false">IF(G1990="REJECT",COUNTIF($G$2:$G$2277,"&lt;&gt;REJECT")+1+COUNTIFS($G$2:$G$2277,"REJECT",$B$2:$B$2277,"&gt;"&amp;B1990),1+COUNTIFS($G$2:$G$2277,"&lt;&gt;REJECT",$B$2:$B$2277,"&gt;"&amp;B1990))</f>
        <v>1989</v>
      </c>
      <c r="B1990" s="26" t="n">
        <f aca="false">ROUND(($U$2*MAX(0,MIN(1,($W$2-I1990)/($W$2-$V$2)))+$U$3*MAX(0,MIN(1,($W$3-J1990)/($W$3-$V$3)))+$U$4*MAX(0,MIN(1,($W$4-K1990)/($W$4-$V$4)))+$U$5*MAX(0,MIN(1,($W$5-L1990)/($W$5-$V$5)))+$U$6*MAX(0,MIN(1,($W$6-M1990)/($W$6-$V$6)))+$U$7*MAX(0,MIN(1,($W$7-N1990)/($W$7-$V$7)))+$U$8*IF(AND(O1990&gt;=$V$8,O1990&lt;=$W$8),1,0))/$U$9*100,2)</f>
        <v>37.44</v>
      </c>
      <c r="C1990" s="27" t="s">
        <v>2259</v>
      </c>
      <c r="D1990" s="25" t="s">
        <v>134</v>
      </c>
      <c r="E1990" s="25" t="s">
        <v>3447</v>
      </c>
      <c r="F1990" s="25" t="s">
        <v>3448</v>
      </c>
      <c r="G1990" s="39" t="s">
        <v>32</v>
      </c>
      <c r="H1990" s="39" t="s">
        <v>26</v>
      </c>
      <c r="I1990" s="25" t="n">
        <v>9</v>
      </c>
      <c r="J1990" s="25" t="n">
        <v>1</v>
      </c>
      <c r="K1990" s="25" t="n">
        <v>9</v>
      </c>
      <c r="L1990" s="29" t="n">
        <v>0.84</v>
      </c>
      <c r="M1990" s="30" t="n">
        <v>11.37</v>
      </c>
      <c r="N1990" s="29" t="n">
        <v>0.4</v>
      </c>
      <c r="O1990" s="25" t="n">
        <v>190</v>
      </c>
      <c r="P1990" s="30" t="n">
        <v>3.01</v>
      </c>
      <c r="Q1990" s="27" t="s">
        <v>4030</v>
      </c>
      <c r="R1990" s="27" t="s">
        <v>529</v>
      </c>
    </row>
    <row r="1991" customFormat="false" ht="15" hidden="false" customHeight="false" outlineLevel="0" collapsed="false">
      <c r="A1991" s="25" t="n">
        <f aca="false">IF(G1991="REJECT",COUNTIF($G$2:$G$2277,"&lt;&gt;REJECT")+1+COUNTIFS($G$2:$G$2277,"REJECT",$B$2:$B$2277,"&gt;"&amp;B1991),1+COUNTIFS($G$2:$G$2277,"&lt;&gt;REJECT",$B$2:$B$2277,"&gt;"&amp;B1991))</f>
        <v>1989</v>
      </c>
      <c r="B1991" s="26" t="n">
        <f aca="false">ROUND(($U$2*MAX(0,MIN(1,($W$2-I1991)/($W$2-$V$2)))+$U$3*MAX(0,MIN(1,($W$3-J1991)/($W$3-$V$3)))+$U$4*MAX(0,MIN(1,($W$4-K1991)/($W$4-$V$4)))+$U$5*MAX(0,MIN(1,($W$5-L1991)/($W$5-$V$5)))+$U$6*MAX(0,MIN(1,($W$6-M1991)/($W$6-$V$6)))+$U$7*MAX(0,MIN(1,($W$7-N1991)/($W$7-$V$7)))+$U$8*IF(AND(O1991&gt;=$V$8,O1991&lt;=$W$8),1,0))/$U$9*100,2)</f>
        <v>37.44</v>
      </c>
      <c r="C1991" s="27" t="s">
        <v>2836</v>
      </c>
      <c r="D1991" s="25" t="s">
        <v>134</v>
      </c>
      <c r="E1991" s="25" t="s">
        <v>3447</v>
      </c>
      <c r="F1991" s="25" t="s">
        <v>3448</v>
      </c>
      <c r="G1991" s="39" t="s">
        <v>32</v>
      </c>
      <c r="H1991" s="39" t="s">
        <v>26</v>
      </c>
      <c r="I1991" s="25" t="n">
        <v>8</v>
      </c>
      <c r="J1991" s="25" t="n">
        <v>1</v>
      </c>
      <c r="K1991" s="25" t="n">
        <v>8</v>
      </c>
      <c r="L1991" s="29" t="n">
        <v>0.8</v>
      </c>
      <c r="M1991" s="30" t="n">
        <v>5.74</v>
      </c>
      <c r="N1991" s="29" t="n">
        <v>0.96</v>
      </c>
      <c r="O1991" s="25" t="n">
        <v>188</v>
      </c>
      <c r="P1991" s="30" t="n">
        <v>5.49</v>
      </c>
      <c r="Q1991" s="27" t="s">
        <v>4028</v>
      </c>
      <c r="R1991" s="27" t="s">
        <v>529</v>
      </c>
    </row>
    <row r="1992" customFormat="false" ht="15" hidden="false" customHeight="false" outlineLevel="0" collapsed="false">
      <c r="A1992" s="25" t="n">
        <f aca="false">IF(G1992="REJECT",COUNTIF($G$2:$G$2277,"&lt;&gt;REJECT")+1+COUNTIFS($G$2:$G$2277,"REJECT",$B$2:$B$2277,"&gt;"&amp;B1992),1+COUNTIFS($G$2:$G$2277,"&lt;&gt;REJECT",$B$2:$B$2277,"&gt;"&amp;B1992))</f>
        <v>1991</v>
      </c>
      <c r="B1992" s="26" t="n">
        <f aca="false">ROUND(($U$2*MAX(0,MIN(1,($W$2-I1992)/($W$2-$V$2)))+$U$3*MAX(0,MIN(1,($W$3-J1992)/($W$3-$V$3)))+$U$4*MAX(0,MIN(1,($W$4-K1992)/($W$4-$V$4)))+$U$5*MAX(0,MIN(1,($W$5-L1992)/($W$5-$V$5)))+$U$6*MAX(0,MIN(1,($W$6-M1992)/($W$6-$V$6)))+$U$7*MAX(0,MIN(1,($W$7-N1992)/($W$7-$V$7)))+$U$8*IF(AND(O1992&gt;=$V$8,O1992&lt;=$W$8),1,0))/$U$9*100,2)</f>
        <v>37.43</v>
      </c>
      <c r="C1992" s="27" t="s">
        <v>395</v>
      </c>
      <c r="D1992" s="25" t="s">
        <v>3459</v>
      </c>
      <c r="E1992" s="25" t="s">
        <v>3450</v>
      </c>
      <c r="F1992" s="25" t="s">
        <v>3457</v>
      </c>
      <c r="G1992" s="39" t="s">
        <v>32</v>
      </c>
      <c r="H1992" s="39" t="s">
        <v>26</v>
      </c>
      <c r="I1992" s="25" t="n">
        <v>7</v>
      </c>
      <c r="J1992" s="25" t="n">
        <v>1</v>
      </c>
      <c r="K1992" s="25" t="n">
        <v>7</v>
      </c>
      <c r="L1992" s="29" t="n">
        <v>0.72</v>
      </c>
      <c r="M1992" s="30" t="n">
        <v>19.71</v>
      </c>
      <c r="N1992" s="29" t="n">
        <v>0.44</v>
      </c>
      <c r="O1992" s="25" t="n">
        <v>183</v>
      </c>
      <c r="P1992" s="30" t="n">
        <v>9.32</v>
      </c>
      <c r="Q1992" s="27" t="s">
        <v>4015</v>
      </c>
      <c r="R1992" s="27" t="s">
        <v>1311</v>
      </c>
    </row>
    <row r="1993" customFormat="false" ht="15" hidden="false" customHeight="false" outlineLevel="0" collapsed="false">
      <c r="A1993" s="25" t="n">
        <f aca="false">IF(G1993="REJECT",COUNTIF($G$2:$G$2277,"&lt;&gt;REJECT")+1+COUNTIFS($G$2:$G$2277,"REJECT",$B$2:$B$2277,"&gt;"&amp;B1993),1+COUNTIFS($G$2:$G$2277,"&lt;&gt;REJECT",$B$2:$B$2277,"&gt;"&amp;B1993))</f>
        <v>1991</v>
      </c>
      <c r="B1993" s="26" t="n">
        <f aca="false">ROUND(($U$2*MAX(0,MIN(1,($W$2-I1993)/($W$2-$V$2)))+$U$3*MAX(0,MIN(1,($W$3-J1993)/($W$3-$V$3)))+$U$4*MAX(0,MIN(1,($W$4-K1993)/($W$4-$V$4)))+$U$5*MAX(0,MIN(1,($W$5-L1993)/($W$5-$V$5)))+$U$6*MAX(0,MIN(1,($W$6-M1993)/($W$6-$V$6)))+$U$7*MAX(0,MIN(1,($W$7-N1993)/($W$7-$V$7)))+$U$8*IF(AND(O1993&gt;=$V$8,O1993&lt;=$W$8),1,0))/$U$9*100,2)</f>
        <v>37.43</v>
      </c>
      <c r="C1993" s="27" t="s">
        <v>1594</v>
      </c>
      <c r="D1993" s="25" t="s">
        <v>134</v>
      </c>
      <c r="E1993" s="25" t="s">
        <v>3447</v>
      </c>
      <c r="F1993" s="25" t="s">
        <v>3448</v>
      </c>
      <c r="G1993" s="39" t="s">
        <v>32</v>
      </c>
      <c r="H1993" s="39" t="s">
        <v>26</v>
      </c>
      <c r="I1993" s="25" t="n">
        <v>9</v>
      </c>
      <c r="J1993" s="25" t="n">
        <v>1</v>
      </c>
      <c r="K1993" s="25" t="n">
        <v>9</v>
      </c>
      <c r="L1993" s="29" t="n">
        <v>0.79</v>
      </c>
      <c r="M1993" s="30" t="n">
        <v>10.23</v>
      </c>
      <c r="N1993" s="29" t="n">
        <v>0.16</v>
      </c>
      <c r="O1993" s="25" t="n">
        <v>188</v>
      </c>
      <c r="P1993" s="30" t="n">
        <v>1.75</v>
      </c>
      <c r="Q1993" s="27" t="s">
        <v>4031</v>
      </c>
      <c r="R1993" s="27" t="s">
        <v>1311</v>
      </c>
    </row>
    <row r="1994" customFormat="false" ht="15" hidden="false" customHeight="false" outlineLevel="0" collapsed="false">
      <c r="A1994" s="25" t="n">
        <f aca="false">IF(G1994="REJECT",COUNTIF($G$2:$G$2277,"&lt;&gt;REJECT")+1+COUNTIFS($G$2:$G$2277,"REJECT",$B$2:$B$2277,"&gt;"&amp;B1994),1+COUNTIFS($G$2:$G$2277,"&lt;&gt;REJECT",$B$2:$B$2277,"&gt;"&amp;B1994))</f>
        <v>1993</v>
      </c>
      <c r="B1994" s="26" t="n">
        <f aca="false">ROUND(($U$2*MAX(0,MIN(1,($W$2-I1994)/($W$2-$V$2)))+$U$3*MAX(0,MIN(1,($W$3-J1994)/($W$3-$V$3)))+$U$4*MAX(0,MIN(1,($W$4-K1994)/($W$4-$V$4)))+$U$5*MAX(0,MIN(1,($W$5-L1994)/($W$5-$V$5)))+$U$6*MAX(0,MIN(1,($W$6-M1994)/($W$6-$V$6)))+$U$7*MAX(0,MIN(1,($W$7-N1994)/($W$7-$V$7)))+$U$8*IF(AND(O1994&gt;=$V$8,O1994&lt;=$W$8),1,0))/$U$9*100,2)</f>
        <v>37.41</v>
      </c>
      <c r="C1994" s="27" t="s">
        <v>977</v>
      </c>
      <c r="D1994" s="25" t="s">
        <v>134</v>
      </c>
      <c r="E1994" s="25" t="s">
        <v>3447</v>
      </c>
      <c r="F1994" s="25" t="s">
        <v>3448</v>
      </c>
      <c r="G1994" s="39" t="s">
        <v>32</v>
      </c>
      <c r="H1994" s="39" t="s">
        <v>26</v>
      </c>
      <c r="I1994" s="25" t="n">
        <v>9</v>
      </c>
      <c r="J1994" s="25" t="n">
        <v>1</v>
      </c>
      <c r="K1994" s="25" t="n">
        <v>9</v>
      </c>
      <c r="L1994" s="29" t="n">
        <v>0.82</v>
      </c>
      <c r="M1994" s="30" t="n">
        <v>13.55</v>
      </c>
      <c r="N1994" s="29" t="n">
        <v>0.2</v>
      </c>
      <c r="O1994" s="25" t="n">
        <v>183</v>
      </c>
      <c r="P1994" s="30" t="n">
        <v>2.96</v>
      </c>
      <c r="Q1994" s="27" t="s">
        <v>4032</v>
      </c>
      <c r="R1994" s="27" t="s">
        <v>529</v>
      </c>
    </row>
    <row r="1995" customFormat="false" ht="15" hidden="false" customHeight="false" outlineLevel="0" collapsed="false">
      <c r="A1995" s="25" t="n">
        <f aca="false">IF(G1995="REJECT",COUNTIF($G$2:$G$2277,"&lt;&gt;REJECT")+1+COUNTIFS($G$2:$G$2277,"REJECT",$B$2:$B$2277,"&gt;"&amp;B1995),1+COUNTIFS($G$2:$G$2277,"&lt;&gt;REJECT",$B$2:$B$2277,"&gt;"&amp;B1995))</f>
        <v>1994</v>
      </c>
      <c r="B1995" s="26" t="n">
        <f aca="false">ROUND(($U$2*MAX(0,MIN(1,($W$2-I1995)/($W$2-$V$2)))+$U$3*MAX(0,MIN(1,($W$3-J1995)/($W$3-$V$3)))+$U$4*MAX(0,MIN(1,($W$4-K1995)/($W$4-$V$4)))+$U$5*MAX(0,MIN(1,($W$5-L1995)/($W$5-$V$5)))+$U$6*MAX(0,MIN(1,($W$6-M1995)/($W$6-$V$6)))+$U$7*MAX(0,MIN(1,($W$7-N1995)/($W$7-$V$7)))+$U$8*IF(AND(O1995&gt;=$V$8,O1995&lt;=$W$8),1,0))/$U$9*100,2)</f>
        <v>37.39</v>
      </c>
      <c r="C1995" s="27" t="s">
        <v>2149</v>
      </c>
      <c r="D1995" s="25" t="s">
        <v>134</v>
      </c>
      <c r="E1995" s="25" t="s">
        <v>3447</v>
      </c>
      <c r="F1995" s="25" t="s">
        <v>3448</v>
      </c>
      <c r="G1995" s="39" t="s">
        <v>32</v>
      </c>
      <c r="H1995" s="39" t="s">
        <v>26</v>
      </c>
      <c r="I1995" s="25" t="n">
        <v>12</v>
      </c>
      <c r="J1995" s="25" t="n">
        <v>0</v>
      </c>
      <c r="K1995" s="25" t="n">
        <v>12</v>
      </c>
      <c r="L1995" s="29" t="n">
        <v>0.64</v>
      </c>
      <c r="M1995" s="30" t="n">
        <v>16.89</v>
      </c>
      <c r="N1995" s="29" t="n">
        <v>0.12</v>
      </c>
      <c r="O1995" s="25" t="n">
        <v>183</v>
      </c>
      <c r="P1995" s="30" t="n">
        <v>5.47</v>
      </c>
      <c r="Q1995" s="27" t="s">
        <v>4033</v>
      </c>
      <c r="R1995" s="27" t="s">
        <v>60</v>
      </c>
    </row>
    <row r="1996" customFormat="false" ht="15" hidden="false" customHeight="false" outlineLevel="0" collapsed="false">
      <c r="A1996" s="25" t="n">
        <f aca="false">IF(G1996="REJECT",COUNTIF($G$2:$G$2277,"&lt;&gt;REJECT")+1+COUNTIFS($G$2:$G$2277,"REJECT",$B$2:$B$2277,"&gt;"&amp;B1996),1+COUNTIFS($G$2:$G$2277,"&lt;&gt;REJECT",$B$2:$B$2277,"&gt;"&amp;B1996))</f>
        <v>1994</v>
      </c>
      <c r="B1996" s="26" t="n">
        <f aca="false">ROUND(($U$2*MAX(0,MIN(1,($W$2-I1996)/($W$2-$V$2)))+$U$3*MAX(0,MIN(1,($W$3-J1996)/($W$3-$V$3)))+$U$4*MAX(0,MIN(1,($W$4-K1996)/($W$4-$V$4)))+$U$5*MAX(0,MIN(1,($W$5-L1996)/($W$5-$V$5)))+$U$6*MAX(0,MIN(1,($W$6-M1996)/($W$6-$V$6)))+$U$7*MAX(0,MIN(1,($W$7-N1996)/($W$7-$V$7)))+$U$8*IF(AND(O1996&gt;=$V$8,O1996&lt;=$W$8),1,0))/$U$9*100,2)</f>
        <v>37.39</v>
      </c>
      <c r="C1996" s="27" t="s">
        <v>2550</v>
      </c>
      <c r="D1996" s="25" t="s">
        <v>134</v>
      </c>
      <c r="E1996" s="25" t="s">
        <v>3447</v>
      </c>
      <c r="F1996" s="25" t="s">
        <v>3448</v>
      </c>
      <c r="G1996" s="39" t="s">
        <v>32</v>
      </c>
      <c r="H1996" s="39" t="s">
        <v>26</v>
      </c>
      <c r="I1996" s="25" t="n">
        <v>11</v>
      </c>
      <c r="J1996" s="25" t="n">
        <v>1</v>
      </c>
      <c r="K1996" s="25" t="n">
        <v>11</v>
      </c>
      <c r="L1996" s="29" t="n">
        <v>0.81</v>
      </c>
      <c r="M1996" s="30" t="n">
        <v>12.45</v>
      </c>
      <c r="N1996" s="29" t="n">
        <v>0.32</v>
      </c>
      <c r="O1996" s="25" t="n">
        <v>187</v>
      </c>
      <c r="P1996" s="30" t="n">
        <v>7.26</v>
      </c>
      <c r="Q1996" s="27" t="s">
        <v>4034</v>
      </c>
      <c r="R1996" s="27" t="s">
        <v>529</v>
      </c>
    </row>
    <row r="1997" customFormat="false" ht="15" hidden="false" customHeight="false" outlineLevel="0" collapsed="false">
      <c r="A1997" s="25" t="n">
        <f aca="false">IF(G1997="REJECT",COUNTIF($G$2:$G$2277,"&lt;&gt;REJECT")+1+COUNTIFS($G$2:$G$2277,"REJECT",$B$2:$B$2277,"&gt;"&amp;B1997),1+COUNTIFS($G$2:$G$2277,"&lt;&gt;REJECT",$B$2:$B$2277,"&gt;"&amp;B1997))</f>
        <v>1996</v>
      </c>
      <c r="B1997" s="26" t="n">
        <f aca="false">ROUND(($U$2*MAX(0,MIN(1,($W$2-I1997)/($W$2-$V$2)))+$U$3*MAX(0,MIN(1,($W$3-J1997)/($W$3-$V$3)))+$U$4*MAX(0,MIN(1,($W$4-K1997)/($W$4-$V$4)))+$U$5*MAX(0,MIN(1,($W$5-L1997)/($W$5-$V$5)))+$U$6*MAX(0,MIN(1,($W$6-M1997)/($W$6-$V$6)))+$U$7*MAX(0,MIN(1,($W$7-N1997)/($W$7-$V$7)))+$U$8*IF(AND(O1997&gt;=$V$8,O1997&lt;=$W$8),1,0))/$U$9*100,2)</f>
        <v>37.36</v>
      </c>
      <c r="C1997" s="27" t="s">
        <v>1060</v>
      </c>
      <c r="D1997" s="25" t="s">
        <v>134</v>
      </c>
      <c r="E1997" s="25" t="s">
        <v>3447</v>
      </c>
      <c r="F1997" s="25" t="s">
        <v>3457</v>
      </c>
      <c r="G1997" s="39" t="s">
        <v>32</v>
      </c>
      <c r="H1997" s="39" t="s">
        <v>26</v>
      </c>
      <c r="I1997" s="25" t="n">
        <v>9</v>
      </c>
      <c r="J1997" s="25" t="n">
        <v>1</v>
      </c>
      <c r="K1997" s="25" t="n">
        <v>9</v>
      </c>
      <c r="L1997" s="29" t="n">
        <v>0.8</v>
      </c>
      <c r="M1997" s="30" t="n">
        <v>15.83</v>
      </c>
      <c r="N1997" s="29" t="n">
        <v>0</v>
      </c>
      <c r="O1997" s="25" t="n">
        <v>182</v>
      </c>
      <c r="P1997" s="30" t="n">
        <v>7.06</v>
      </c>
      <c r="Q1997" s="27" t="s">
        <v>4030</v>
      </c>
      <c r="R1997" s="27" t="s">
        <v>529</v>
      </c>
    </row>
    <row r="1998" customFormat="false" ht="15" hidden="false" customHeight="false" outlineLevel="0" collapsed="false">
      <c r="A1998" s="25" t="n">
        <f aca="false">IF(G1998="REJECT",COUNTIF($G$2:$G$2277,"&lt;&gt;REJECT")+1+COUNTIFS($G$2:$G$2277,"REJECT",$B$2:$B$2277,"&gt;"&amp;B1998),1+COUNTIFS($G$2:$G$2277,"&lt;&gt;REJECT",$B$2:$B$2277,"&gt;"&amp;B1998))</f>
        <v>1996</v>
      </c>
      <c r="B1998" s="26" t="n">
        <f aca="false">ROUND(($U$2*MAX(0,MIN(1,($W$2-I1998)/($W$2-$V$2)))+$U$3*MAX(0,MIN(1,($W$3-J1998)/($W$3-$V$3)))+$U$4*MAX(0,MIN(1,($W$4-K1998)/($W$4-$V$4)))+$U$5*MAX(0,MIN(1,($W$5-L1998)/($W$5-$V$5)))+$U$6*MAX(0,MIN(1,($W$6-M1998)/($W$6-$V$6)))+$U$7*MAX(0,MIN(1,($W$7-N1998)/($W$7-$V$7)))+$U$8*IF(AND(O1998&gt;=$V$8,O1998&lt;=$W$8),1,0))/$U$9*100,2)</f>
        <v>37.36</v>
      </c>
      <c r="C1998" s="27" t="s">
        <v>2746</v>
      </c>
      <c r="D1998" s="25" t="s">
        <v>134</v>
      </c>
      <c r="E1998" s="25" t="s">
        <v>3450</v>
      </c>
      <c r="F1998" s="25" t="s">
        <v>3448</v>
      </c>
      <c r="G1998" s="39" t="s">
        <v>32</v>
      </c>
      <c r="H1998" s="39" t="s">
        <v>26</v>
      </c>
      <c r="I1998" s="25" t="n">
        <v>7</v>
      </c>
      <c r="J1998" s="25" t="n">
        <v>1</v>
      </c>
      <c r="K1998" s="25" t="n">
        <v>7</v>
      </c>
      <c r="L1998" s="29" t="n">
        <v>0.7</v>
      </c>
      <c r="M1998" s="30" t="n">
        <v>8.13</v>
      </c>
      <c r="N1998" s="29" t="n">
        <v>0.92</v>
      </c>
      <c r="O1998" s="25" t="n">
        <v>188</v>
      </c>
      <c r="P1998" s="30" t="n">
        <v>2.76</v>
      </c>
      <c r="Q1998" s="27" t="s">
        <v>4035</v>
      </c>
      <c r="R1998" s="27" t="s">
        <v>1076</v>
      </c>
    </row>
    <row r="1999" customFormat="false" ht="15" hidden="false" customHeight="false" outlineLevel="0" collapsed="false">
      <c r="A1999" s="25" t="n">
        <f aca="false">IF(G1999="REJECT",COUNTIF($G$2:$G$2277,"&lt;&gt;REJECT")+1+COUNTIFS($G$2:$G$2277,"REJECT",$B$2:$B$2277,"&gt;"&amp;B1999),1+COUNTIFS($G$2:$G$2277,"&lt;&gt;REJECT",$B$2:$B$2277,"&gt;"&amp;B1999))</f>
        <v>1998</v>
      </c>
      <c r="B1999" s="26" t="n">
        <f aca="false">ROUND(($U$2*MAX(0,MIN(1,($W$2-I1999)/($W$2-$V$2)))+$U$3*MAX(0,MIN(1,($W$3-J1999)/($W$3-$V$3)))+$U$4*MAX(0,MIN(1,($W$4-K1999)/($W$4-$V$4)))+$U$5*MAX(0,MIN(1,($W$5-L1999)/($W$5-$V$5)))+$U$6*MAX(0,MIN(1,($W$6-M1999)/($W$6-$V$6)))+$U$7*MAX(0,MIN(1,($W$7-N1999)/($W$7-$V$7)))+$U$8*IF(AND(O1999&gt;=$V$8,O1999&lt;=$W$8),1,0))/$U$9*100,2)</f>
        <v>37.33</v>
      </c>
      <c r="C1999" s="27" t="s">
        <v>852</v>
      </c>
      <c r="D1999" s="25" t="s">
        <v>134</v>
      </c>
      <c r="E1999" s="25" t="s">
        <v>3447</v>
      </c>
      <c r="F1999" s="25" t="s">
        <v>3448</v>
      </c>
      <c r="G1999" s="39" t="s">
        <v>32</v>
      </c>
      <c r="H1999" s="39" t="s">
        <v>26</v>
      </c>
      <c r="I1999" s="25" t="n">
        <v>8</v>
      </c>
      <c r="J1999" s="25" t="n">
        <v>1</v>
      </c>
      <c r="K1999" s="25" t="n">
        <v>8</v>
      </c>
      <c r="L1999" s="29" t="n">
        <v>0.8</v>
      </c>
      <c r="M1999" s="30" t="n">
        <v>14.85</v>
      </c>
      <c r="N1999" s="29" t="n">
        <v>0.12</v>
      </c>
      <c r="O1999" s="25" t="n">
        <v>189</v>
      </c>
      <c r="P1999" s="30" t="n">
        <v>-0.57</v>
      </c>
      <c r="Q1999" s="27" t="s">
        <v>4036</v>
      </c>
      <c r="R1999" s="27" t="s">
        <v>529</v>
      </c>
    </row>
    <row r="2000" customFormat="false" ht="15" hidden="false" customHeight="false" outlineLevel="0" collapsed="false">
      <c r="A2000" s="25" t="n">
        <f aca="false">IF(G2000="REJECT",COUNTIF($G$2:$G$2277,"&lt;&gt;REJECT")+1+COUNTIFS($G$2:$G$2277,"REJECT",$B$2:$B$2277,"&gt;"&amp;B2000),1+COUNTIFS($G$2:$G$2277,"&lt;&gt;REJECT",$B$2:$B$2277,"&gt;"&amp;B2000))</f>
        <v>1999</v>
      </c>
      <c r="B2000" s="26" t="n">
        <f aca="false">ROUND(($U$2*MAX(0,MIN(1,($W$2-I2000)/($W$2-$V$2)))+$U$3*MAX(0,MIN(1,($W$3-J2000)/($W$3-$V$3)))+$U$4*MAX(0,MIN(1,($W$4-K2000)/($W$4-$V$4)))+$U$5*MAX(0,MIN(1,($W$5-L2000)/($W$5-$V$5)))+$U$6*MAX(0,MIN(1,($W$6-M2000)/($W$6-$V$6)))+$U$7*MAX(0,MIN(1,($W$7-N2000)/($W$7-$V$7)))+$U$8*IF(AND(O2000&gt;=$V$8,O2000&lt;=$W$8),1,0))/$U$9*100,2)</f>
        <v>37.3</v>
      </c>
      <c r="C2000" s="27" t="s">
        <v>1170</v>
      </c>
      <c r="D2000" s="25" t="s">
        <v>3459</v>
      </c>
      <c r="E2000" s="25" t="s">
        <v>3450</v>
      </c>
      <c r="F2000" s="25" t="s">
        <v>3448</v>
      </c>
      <c r="G2000" s="39" t="s">
        <v>32</v>
      </c>
      <c r="H2000" s="39" t="s">
        <v>26</v>
      </c>
      <c r="I2000" s="25" t="n">
        <v>7</v>
      </c>
      <c r="J2000" s="25" t="n">
        <v>1</v>
      </c>
      <c r="K2000" s="25" t="n">
        <v>7</v>
      </c>
      <c r="L2000" s="29" t="n">
        <v>0.73</v>
      </c>
      <c r="M2000" s="30" t="n">
        <v>24.51</v>
      </c>
      <c r="N2000" s="29" t="n">
        <v>0.4</v>
      </c>
      <c r="O2000" s="25" t="n">
        <v>183</v>
      </c>
      <c r="P2000" s="30" t="n">
        <v>9.07</v>
      </c>
      <c r="Q2000" s="27" t="s">
        <v>4037</v>
      </c>
      <c r="R2000" s="27" t="s">
        <v>4005</v>
      </c>
    </row>
    <row r="2001" customFormat="false" ht="15" hidden="false" customHeight="false" outlineLevel="0" collapsed="false">
      <c r="A2001" s="25" t="n">
        <f aca="false">IF(G2001="REJECT",COUNTIF($G$2:$G$2277,"&lt;&gt;REJECT")+1+COUNTIFS($G$2:$G$2277,"REJECT",$B$2:$B$2277,"&gt;"&amp;B2001),1+COUNTIFS($G$2:$G$2277,"&lt;&gt;REJECT",$B$2:$B$2277,"&gt;"&amp;B2001))</f>
        <v>2000</v>
      </c>
      <c r="B2001" s="26" t="n">
        <f aca="false">ROUND(($U$2*MAX(0,MIN(1,($W$2-I2001)/($W$2-$V$2)))+$U$3*MAX(0,MIN(1,($W$3-J2001)/($W$3-$V$3)))+$U$4*MAX(0,MIN(1,($W$4-K2001)/($W$4-$V$4)))+$U$5*MAX(0,MIN(1,($W$5-L2001)/($W$5-$V$5)))+$U$6*MAX(0,MIN(1,($W$6-M2001)/($W$6-$V$6)))+$U$7*MAX(0,MIN(1,($W$7-N2001)/($W$7-$V$7)))+$U$8*IF(AND(O2001&gt;=$V$8,O2001&lt;=$W$8),1,0))/$U$9*100,2)</f>
        <v>37.29</v>
      </c>
      <c r="C2001" s="27" t="s">
        <v>2010</v>
      </c>
      <c r="D2001" s="25" t="s">
        <v>134</v>
      </c>
      <c r="E2001" s="25" t="s">
        <v>3447</v>
      </c>
      <c r="F2001" s="25" t="s">
        <v>3457</v>
      </c>
      <c r="G2001" s="39" t="s">
        <v>32</v>
      </c>
      <c r="H2001" s="39" t="s">
        <v>26</v>
      </c>
      <c r="I2001" s="25" t="n">
        <v>13</v>
      </c>
      <c r="J2001" s="25" t="n">
        <v>1</v>
      </c>
      <c r="K2001" s="25" t="n">
        <v>13</v>
      </c>
      <c r="L2001" s="29" t="n">
        <v>0.81</v>
      </c>
      <c r="M2001" s="30" t="n">
        <v>11.05</v>
      </c>
      <c r="N2001" s="29" t="n">
        <v>0.52</v>
      </c>
      <c r="O2001" s="25" t="n">
        <v>183</v>
      </c>
      <c r="P2001" s="30" t="n">
        <v>2.49</v>
      </c>
      <c r="Q2001" s="27" t="s">
        <v>4023</v>
      </c>
      <c r="R2001" s="27" t="s">
        <v>529</v>
      </c>
    </row>
    <row r="2002" customFormat="false" ht="15" hidden="false" customHeight="false" outlineLevel="0" collapsed="false">
      <c r="A2002" s="25" t="n">
        <f aca="false">IF(G2002="REJECT",COUNTIF($G$2:$G$2277,"&lt;&gt;REJECT")+1+COUNTIFS($G$2:$G$2277,"REJECT",$B$2:$B$2277,"&gt;"&amp;B2002),1+COUNTIFS($G$2:$G$2277,"&lt;&gt;REJECT",$B$2:$B$2277,"&gt;"&amp;B2002))</f>
        <v>2001</v>
      </c>
      <c r="B2002" s="26" t="n">
        <f aca="false">ROUND(($U$2*MAX(0,MIN(1,($W$2-I2002)/($W$2-$V$2)))+$U$3*MAX(0,MIN(1,($W$3-J2002)/($W$3-$V$3)))+$U$4*MAX(0,MIN(1,($W$4-K2002)/($W$4-$V$4)))+$U$5*MAX(0,MIN(1,($W$5-L2002)/($W$5-$V$5)))+$U$6*MAX(0,MIN(1,($W$6-M2002)/($W$6-$V$6)))+$U$7*MAX(0,MIN(1,($W$7-N2002)/($W$7-$V$7)))+$U$8*IF(AND(O2002&gt;=$V$8,O2002&lt;=$W$8),1,0))/$U$9*100,2)</f>
        <v>37.23</v>
      </c>
      <c r="C2002" s="27" t="s">
        <v>2488</v>
      </c>
      <c r="D2002" s="25" t="s">
        <v>134</v>
      </c>
      <c r="E2002" s="25" t="s">
        <v>3450</v>
      </c>
      <c r="F2002" s="25" t="s">
        <v>3457</v>
      </c>
      <c r="G2002" s="39" t="s">
        <v>32</v>
      </c>
      <c r="H2002" s="39" t="s">
        <v>26</v>
      </c>
      <c r="I2002" s="25" t="n">
        <v>9</v>
      </c>
      <c r="J2002" s="25" t="n">
        <v>1</v>
      </c>
      <c r="K2002" s="25" t="n">
        <v>9</v>
      </c>
      <c r="L2002" s="29" t="n">
        <v>0.8</v>
      </c>
      <c r="M2002" s="30" t="n">
        <v>8.2</v>
      </c>
      <c r="N2002" s="29" t="n">
        <v>0.84</v>
      </c>
      <c r="O2002" s="25" t="n">
        <v>184</v>
      </c>
      <c r="P2002" s="30" t="n">
        <v>-1.22</v>
      </c>
      <c r="Q2002" s="27" t="s">
        <v>4038</v>
      </c>
      <c r="R2002" s="27" t="s">
        <v>1076</v>
      </c>
    </row>
    <row r="2003" customFormat="false" ht="15" hidden="false" customHeight="false" outlineLevel="0" collapsed="false">
      <c r="A2003" s="25" t="n">
        <f aca="false">IF(G2003="REJECT",COUNTIF($G$2:$G$2277,"&lt;&gt;REJECT")+1+COUNTIFS($G$2:$G$2277,"REJECT",$B$2:$B$2277,"&gt;"&amp;B2003),1+COUNTIFS($G$2:$G$2277,"&lt;&gt;REJECT",$B$2:$B$2277,"&gt;"&amp;B2003))</f>
        <v>2002</v>
      </c>
      <c r="B2003" s="26" t="n">
        <f aca="false">ROUND(($U$2*MAX(0,MIN(1,($W$2-I2003)/($W$2-$V$2)))+$U$3*MAX(0,MIN(1,($W$3-J2003)/($W$3-$V$3)))+$U$4*MAX(0,MIN(1,($W$4-K2003)/($W$4-$V$4)))+$U$5*MAX(0,MIN(1,($W$5-L2003)/($W$5-$V$5)))+$U$6*MAX(0,MIN(1,($W$6-M2003)/($W$6-$V$6)))+$U$7*MAX(0,MIN(1,($W$7-N2003)/($W$7-$V$7)))+$U$8*IF(AND(O2003&gt;=$V$8,O2003&lt;=$W$8),1,0))/$U$9*100,2)</f>
        <v>37.05</v>
      </c>
      <c r="C2003" s="27" t="s">
        <v>3211</v>
      </c>
      <c r="D2003" s="25" t="s">
        <v>134</v>
      </c>
      <c r="E2003" s="25" t="s">
        <v>3450</v>
      </c>
      <c r="F2003" s="25" t="s">
        <v>3448</v>
      </c>
      <c r="G2003" s="39" t="s">
        <v>32</v>
      </c>
      <c r="H2003" s="39" t="s">
        <v>26</v>
      </c>
      <c r="I2003" s="25" t="n">
        <v>7</v>
      </c>
      <c r="J2003" s="25" t="n">
        <v>1</v>
      </c>
      <c r="K2003" s="25" t="n">
        <v>7</v>
      </c>
      <c r="L2003" s="29" t="n">
        <v>0.71</v>
      </c>
      <c r="M2003" s="30" t="n">
        <v>14.02</v>
      </c>
      <c r="N2003" s="29" t="n">
        <v>0.88</v>
      </c>
      <c r="O2003" s="25" t="n">
        <v>199</v>
      </c>
      <c r="P2003" s="30" t="n">
        <v>5.85</v>
      </c>
      <c r="Q2003" s="27" t="s">
        <v>4039</v>
      </c>
      <c r="R2003" s="27" t="s">
        <v>1451</v>
      </c>
    </row>
    <row r="2004" customFormat="false" ht="15" hidden="false" customHeight="false" outlineLevel="0" collapsed="false">
      <c r="A2004" s="25" t="n">
        <f aca="false">IF(G2004="REJECT",COUNTIF($G$2:$G$2277,"&lt;&gt;REJECT")+1+COUNTIFS($G$2:$G$2277,"REJECT",$B$2:$B$2277,"&gt;"&amp;B2004),1+COUNTIFS($G$2:$G$2277,"&lt;&gt;REJECT",$B$2:$B$2277,"&gt;"&amp;B2004))</f>
        <v>2003</v>
      </c>
      <c r="B2004" s="26" t="n">
        <f aca="false">ROUND(($U$2*MAX(0,MIN(1,($W$2-I2004)/($W$2-$V$2)))+$U$3*MAX(0,MIN(1,($W$3-J2004)/($W$3-$V$3)))+$U$4*MAX(0,MIN(1,($W$4-K2004)/($W$4-$V$4)))+$U$5*MAX(0,MIN(1,($W$5-L2004)/($W$5-$V$5)))+$U$6*MAX(0,MIN(1,($W$6-M2004)/($W$6-$V$6)))+$U$7*MAX(0,MIN(1,($W$7-N2004)/($W$7-$V$7)))+$U$8*IF(AND(O2004&gt;=$V$8,O2004&lt;=$W$8),1,0))/$U$9*100,2)</f>
        <v>36.97</v>
      </c>
      <c r="C2004" s="27" t="s">
        <v>1547</v>
      </c>
      <c r="D2004" s="25" t="s">
        <v>134</v>
      </c>
      <c r="E2004" s="25" t="s">
        <v>3447</v>
      </c>
      <c r="F2004" s="25" t="s">
        <v>3448</v>
      </c>
      <c r="G2004" s="39" t="s">
        <v>32</v>
      </c>
      <c r="H2004" s="39" t="s">
        <v>26</v>
      </c>
      <c r="I2004" s="25" t="n">
        <v>8</v>
      </c>
      <c r="J2004" s="25" t="n">
        <v>1</v>
      </c>
      <c r="K2004" s="25" t="n">
        <v>8</v>
      </c>
      <c r="L2004" s="29" t="n">
        <v>0.8</v>
      </c>
      <c r="M2004" s="30" t="n">
        <v>18.2</v>
      </c>
      <c r="N2004" s="29" t="n">
        <v>0</v>
      </c>
      <c r="O2004" s="25" t="n">
        <v>181</v>
      </c>
      <c r="P2004" s="30" t="n">
        <v>7.02</v>
      </c>
      <c r="Q2004" s="27" t="s">
        <v>4040</v>
      </c>
      <c r="R2004" s="27" t="s">
        <v>529</v>
      </c>
    </row>
    <row r="2005" customFormat="false" ht="15" hidden="false" customHeight="false" outlineLevel="0" collapsed="false">
      <c r="A2005" s="25" t="n">
        <f aca="false">IF(G2005="REJECT",COUNTIF($G$2:$G$2277,"&lt;&gt;REJECT")+1+COUNTIFS($G$2:$G$2277,"REJECT",$B$2:$B$2277,"&gt;"&amp;B2005),1+COUNTIFS($G$2:$G$2277,"&lt;&gt;REJECT",$B$2:$B$2277,"&gt;"&amp;B2005))</f>
        <v>2004</v>
      </c>
      <c r="B2005" s="26" t="n">
        <f aca="false">ROUND(($U$2*MAX(0,MIN(1,($W$2-I2005)/($W$2-$V$2)))+$U$3*MAX(0,MIN(1,($W$3-J2005)/($W$3-$V$3)))+$U$4*MAX(0,MIN(1,($W$4-K2005)/($W$4-$V$4)))+$U$5*MAX(0,MIN(1,($W$5-L2005)/($W$5-$V$5)))+$U$6*MAX(0,MIN(1,($W$6-M2005)/($W$6-$V$6)))+$U$7*MAX(0,MIN(1,($W$7-N2005)/($W$7-$V$7)))+$U$8*IF(AND(O2005&gt;=$V$8,O2005&lt;=$W$8),1,0))/$U$9*100,2)</f>
        <v>36.95</v>
      </c>
      <c r="C2005" s="27" t="s">
        <v>3034</v>
      </c>
      <c r="D2005" s="25" t="s">
        <v>134</v>
      </c>
      <c r="E2005" s="25" t="s">
        <v>3447</v>
      </c>
      <c r="F2005" s="25" t="s">
        <v>3457</v>
      </c>
      <c r="G2005" s="39" t="s">
        <v>32</v>
      </c>
      <c r="H2005" s="39" t="s">
        <v>26</v>
      </c>
      <c r="I2005" s="25" t="n">
        <v>11</v>
      </c>
      <c r="J2005" s="25" t="n">
        <v>1</v>
      </c>
      <c r="K2005" s="25" t="n">
        <v>11</v>
      </c>
      <c r="L2005" s="29" t="n">
        <v>0.79</v>
      </c>
      <c r="M2005" s="30" t="n">
        <v>14.7</v>
      </c>
      <c r="N2005" s="29" t="n">
        <v>0</v>
      </c>
      <c r="O2005" s="25" t="n">
        <v>184</v>
      </c>
      <c r="P2005" s="30" t="n">
        <v>7.38</v>
      </c>
      <c r="Q2005" s="27" t="s">
        <v>4041</v>
      </c>
      <c r="R2005" s="27" t="s">
        <v>529</v>
      </c>
    </row>
    <row r="2006" customFormat="false" ht="15" hidden="false" customHeight="false" outlineLevel="0" collapsed="false">
      <c r="A2006" s="25" t="n">
        <f aca="false">IF(G2006="REJECT",COUNTIF($G$2:$G$2277,"&lt;&gt;REJECT")+1+COUNTIFS($G$2:$G$2277,"REJECT",$B$2:$B$2277,"&gt;"&amp;B2006),1+COUNTIFS($G$2:$G$2277,"&lt;&gt;REJECT",$B$2:$B$2277,"&gt;"&amp;B2006))</f>
        <v>2005</v>
      </c>
      <c r="B2006" s="26" t="n">
        <f aca="false">ROUND(($U$2*MAX(0,MIN(1,($W$2-I2006)/($W$2-$V$2)))+$U$3*MAX(0,MIN(1,($W$3-J2006)/($W$3-$V$3)))+$U$4*MAX(0,MIN(1,($W$4-K2006)/($W$4-$V$4)))+$U$5*MAX(0,MIN(1,($W$5-L2006)/($W$5-$V$5)))+$U$6*MAX(0,MIN(1,($W$6-M2006)/($W$6-$V$6)))+$U$7*MAX(0,MIN(1,($W$7-N2006)/($W$7-$V$7)))+$U$8*IF(AND(O2006&gt;=$V$8,O2006&lt;=$W$8),1,0))/$U$9*100,2)</f>
        <v>36.69</v>
      </c>
      <c r="C2006" s="27" t="s">
        <v>1842</v>
      </c>
      <c r="D2006" s="25" t="s">
        <v>3459</v>
      </c>
      <c r="E2006" s="25" t="s">
        <v>3447</v>
      </c>
      <c r="F2006" s="25" t="s">
        <v>3457</v>
      </c>
      <c r="G2006" s="39" t="s">
        <v>32</v>
      </c>
      <c r="H2006" s="39" t="s">
        <v>26</v>
      </c>
      <c r="I2006" s="25" t="n">
        <v>9</v>
      </c>
      <c r="J2006" s="25" t="n">
        <v>1</v>
      </c>
      <c r="K2006" s="25" t="n">
        <v>9</v>
      </c>
      <c r="L2006" s="29" t="n">
        <v>0.78</v>
      </c>
      <c r="M2006" s="30" t="n">
        <v>11.45</v>
      </c>
      <c r="N2006" s="29" t="n">
        <v>0.12</v>
      </c>
      <c r="O2006" s="25" t="n">
        <v>188</v>
      </c>
      <c r="P2006" s="30" t="n">
        <v>7.32</v>
      </c>
      <c r="Q2006" s="27" t="s">
        <v>4042</v>
      </c>
      <c r="R2006" s="27" t="s">
        <v>1451</v>
      </c>
    </row>
    <row r="2007" customFormat="false" ht="15" hidden="false" customHeight="false" outlineLevel="0" collapsed="false">
      <c r="A2007" s="25" t="n">
        <f aca="false">IF(G2007="REJECT",COUNTIF($G$2:$G$2277,"&lt;&gt;REJECT")+1+COUNTIFS($G$2:$G$2277,"REJECT",$B$2:$B$2277,"&gt;"&amp;B2007),1+COUNTIFS($G$2:$G$2277,"&lt;&gt;REJECT",$B$2:$B$2277,"&gt;"&amp;B2007))</f>
        <v>2006</v>
      </c>
      <c r="B2007" s="26" t="n">
        <f aca="false">ROUND(($U$2*MAX(0,MIN(1,($W$2-I2007)/($W$2-$V$2)))+$U$3*MAX(0,MIN(1,($W$3-J2007)/($W$3-$V$3)))+$U$4*MAX(0,MIN(1,($W$4-K2007)/($W$4-$V$4)))+$U$5*MAX(0,MIN(1,($W$5-L2007)/($W$5-$V$5)))+$U$6*MAX(0,MIN(1,($W$6-M2007)/($W$6-$V$6)))+$U$7*MAX(0,MIN(1,($W$7-N2007)/($W$7-$V$7)))+$U$8*IF(AND(O2007&gt;=$V$8,O2007&lt;=$W$8),1,0))/$U$9*100,2)</f>
        <v>36.65</v>
      </c>
      <c r="C2007" s="27" t="s">
        <v>3383</v>
      </c>
      <c r="D2007" s="25" t="s">
        <v>134</v>
      </c>
      <c r="E2007" s="25" t="s">
        <v>3447</v>
      </c>
      <c r="F2007" s="25" t="s">
        <v>3457</v>
      </c>
      <c r="G2007" s="39" t="s">
        <v>32</v>
      </c>
      <c r="H2007" s="39" t="s">
        <v>26</v>
      </c>
      <c r="I2007" s="25" t="n">
        <v>8</v>
      </c>
      <c r="J2007" s="25" t="n">
        <v>1</v>
      </c>
      <c r="K2007" s="25" t="n">
        <v>8</v>
      </c>
      <c r="L2007" s="29" t="n">
        <v>0.8</v>
      </c>
      <c r="M2007" s="30" t="n">
        <v>20.12</v>
      </c>
      <c r="N2007" s="29" t="n">
        <v>0</v>
      </c>
      <c r="O2007" s="25" t="n">
        <v>187</v>
      </c>
      <c r="P2007" s="30" t="n">
        <v>8.91</v>
      </c>
      <c r="Q2007" s="27" t="s">
        <v>4043</v>
      </c>
      <c r="R2007" s="27" t="s">
        <v>1926</v>
      </c>
    </row>
    <row r="2008" customFormat="false" ht="15" hidden="false" customHeight="false" outlineLevel="0" collapsed="false">
      <c r="A2008" s="25" t="n">
        <f aca="false">IF(G2008="REJECT",COUNTIF($G$2:$G$2277,"&lt;&gt;REJECT")+1+COUNTIFS($G$2:$G$2277,"REJECT",$B$2:$B$2277,"&gt;"&amp;B2008),1+COUNTIFS($G$2:$G$2277,"&lt;&gt;REJECT",$B$2:$B$2277,"&gt;"&amp;B2008))</f>
        <v>2007</v>
      </c>
      <c r="B2008" s="26" t="n">
        <f aca="false">ROUND(($U$2*MAX(0,MIN(1,($W$2-I2008)/($W$2-$V$2)))+$U$3*MAX(0,MIN(1,($W$3-J2008)/($W$3-$V$3)))+$U$4*MAX(0,MIN(1,($W$4-K2008)/($W$4-$V$4)))+$U$5*MAX(0,MIN(1,($W$5-L2008)/($W$5-$V$5)))+$U$6*MAX(0,MIN(1,($W$6-M2008)/($W$6-$V$6)))+$U$7*MAX(0,MIN(1,($W$7-N2008)/($W$7-$V$7)))+$U$8*IF(AND(O2008&gt;=$V$8,O2008&lt;=$W$8),1,0))/$U$9*100,2)</f>
        <v>36.62</v>
      </c>
      <c r="C2008" s="27" t="s">
        <v>3236</v>
      </c>
      <c r="D2008" s="25" t="s">
        <v>134</v>
      </c>
      <c r="E2008" s="25" t="s">
        <v>3447</v>
      </c>
      <c r="F2008" s="25" t="s">
        <v>3448</v>
      </c>
      <c r="G2008" s="39" t="s">
        <v>32</v>
      </c>
      <c r="H2008" s="39" t="s">
        <v>26</v>
      </c>
      <c r="I2008" s="25" t="n">
        <v>12</v>
      </c>
      <c r="J2008" s="25" t="n">
        <v>1</v>
      </c>
      <c r="K2008" s="25" t="n">
        <v>12</v>
      </c>
      <c r="L2008" s="29" t="n">
        <v>0.79</v>
      </c>
      <c r="M2008" s="30" t="n">
        <v>7.89</v>
      </c>
      <c r="N2008" s="29" t="n">
        <v>0.88</v>
      </c>
      <c r="O2008" s="25" t="n">
        <v>187</v>
      </c>
      <c r="P2008" s="30" t="n">
        <v>13.86</v>
      </c>
      <c r="Q2008" s="27" t="s">
        <v>4044</v>
      </c>
      <c r="R2008" s="27" t="s">
        <v>529</v>
      </c>
    </row>
    <row r="2009" customFormat="false" ht="15" hidden="false" customHeight="false" outlineLevel="0" collapsed="false">
      <c r="A2009" s="25" t="n">
        <f aca="false">IF(G2009="REJECT",COUNTIF($G$2:$G$2277,"&lt;&gt;REJECT")+1+COUNTIFS($G$2:$G$2277,"REJECT",$B$2:$B$2277,"&gt;"&amp;B2009),1+COUNTIFS($G$2:$G$2277,"&lt;&gt;REJECT",$B$2:$B$2277,"&gt;"&amp;B2009))</f>
        <v>2008</v>
      </c>
      <c r="B2009" s="26" t="n">
        <f aca="false">ROUND(($U$2*MAX(0,MIN(1,($W$2-I2009)/($W$2-$V$2)))+$U$3*MAX(0,MIN(1,($W$3-J2009)/($W$3-$V$3)))+$U$4*MAX(0,MIN(1,($W$4-K2009)/($W$4-$V$4)))+$U$5*MAX(0,MIN(1,($W$5-L2009)/($W$5-$V$5)))+$U$6*MAX(0,MIN(1,($W$6-M2009)/($W$6-$V$6)))+$U$7*MAX(0,MIN(1,($W$7-N2009)/($W$7-$V$7)))+$U$8*IF(AND(O2009&gt;=$V$8,O2009&lt;=$W$8),1,0))/$U$9*100,2)</f>
        <v>36.57</v>
      </c>
      <c r="C2009" s="27" t="s">
        <v>917</v>
      </c>
      <c r="D2009" s="25" t="s">
        <v>134</v>
      </c>
      <c r="E2009" s="25" t="s">
        <v>3447</v>
      </c>
      <c r="F2009" s="25" t="s">
        <v>3457</v>
      </c>
      <c r="G2009" s="39" t="s">
        <v>32</v>
      </c>
      <c r="H2009" s="39" t="s">
        <v>26</v>
      </c>
      <c r="I2009" s="25" t="n">
        <v>11</v>
      </c>
      <c r="J2009" s="25" t="n">
        <v>1</v>
      </c>
      <c r="K2009" s="25" t="n">
        <v>11</v>
      </c>
      <c r="L2009" s="29" t="n">
        <v>0.77</v>
      </c>
      <c r="M2009" s="30" t="n">
        <v>6.58</v>
      </c>
      <c r="N2009" s="29" t="n">
        <v>0.32</v>
      </c>
      <c r="O2009" s="25" t="n">
        <v>186</v>
      </c>
      <c r="P2009" s="30" t="n">
        <v>10.79</v>
      </c>
      <c r="Q2009" s="27" t="s">
        <v>4041</v>
      </c>
      <c r="R2009" s="27" t="s">
        <v>529</v>
      </c>
    </row>
    <row r="2010" customFormat="false" ht="15" hidden="false" customHeight="false" outlineLevel="0" collapsed="false">
      <c r="A2010" s="25" t="n">
        <f aca="false">IF(G2010="REJECT",COUNTIF($G$2:$G$2277,"&lt;&gt;REJECT")+1+COUNTIFS($G$2:$G$2277,"REJECT",$B$2:$B$2277,"&gt;"&amp;B2010),1+COUNTIFS($G$2:$G$2277,"&lt;&gt;REJECT",$B$2:$B$2277,"&gt;"&amp;B2010))</f>
        <v>2009</v>
      </c>
      <c r="B2010" s="26" t="n">
        <f aca="false">ROUND(($U$2*MAX(0,MIN(1,($W$2-I2010)/($W$2-$V$2)))+$U$3*MAX(0,MIN(1,($W$3-J2010)/($W$3-$V$3)))+$U$4*MAX(0,MIN(1,($W$4-K2010)/($W$4-$V$4)))+$U$5*MAX(0,MIN(1,($W$5-L2010)/($W$5-$V$5)))+$U$6*MAX(0,MIN(1,($W$6-M2010)/($W$6-$V$6)))+$U$7*MAX(0,MIN(1,($W$7-N2010)/($W$7-$V$7)))+$U$8*IF(AND(O2010&gt;=$V$8,O2010&lt;=$W$8),1,0))/$U$9*100,2)</f>
        <v>36.46</v>
      </c>
      <c r="C2010" s="27" t="s">
        <v>3081</v>
      </c>
      <c r="D2010" s="25" t="s">
        <v>134</v>
      </c>
      <c r="E2010" s="25" t="s">
        <v>3447</v>
      </c>
      <c r="F2010" s="25" t="s">
        <v>3457</v>
      </c>
      <c r="G2010" s="39" t="s">
        <v>32</v>
      </c>
      <c r="H2010" s="39" t="s">
        <v>26</v>
      </c>
      <c r="I2010" s="25" t="n">
        <v>8</v>
      </c>
      <c r="J2010" s="25" t="n">
        <v>1</v>
      </c>
      <c r="K2010" s="25" t="n">
        <v>8</v>
      </c>
      <c r="L2010" s="29" t="n">
        <v>0.83</v>
      </c>
      <c r="M2010" s="30" t="n">
        <v>13.64</v>
      </c>
      <c r="N2010" s="29" t="n">
        <v>0.76</v>
      </c>
      <c r="O2010" s="25" t="n">
        <v>184</v>
      </c>
      <c r="P2010" s="30" t="n">
        <v>2.28</v>
      </c>
      <c r="Q2010" s="27" t="s">
        <v>4045</v>
      </c>
      <c r="R2010" s="27" t="s">
        <v>1451</v>
      </c>
    </row>
    <row r="2011" customFormat="false" ht="15" hidden="false" customHeight="false" outlineLevel="0" collapsed="false">
      <c r="A2011" s="25" t="n">
        <f aca="false">IF(G2011="REJECT",COUNTIF($G$2:$G$2277,"&lt;&gt;REJECT")+1+COUNTIFS($G$2:$G$2277,"REJECT",$B$2:$B$2277,"&gt;"&amp;B2011),1+COUNTIFS($G$2:$G$2277,"&lt;&gt;REJECT",$B$2:$B$2277,"&gt;"&amp;B2011))</f>
        <v>2010</v>
      </c>
      <c r="B2011" s="26" t="n">
        <f aca="false">ROUND(($U$2*MAX(0,MIN(1,($W$2-I2011)/($W$2-$V$2)))+$U$3*MAX(0,MIN(1,($W$3-J2011)/($W$3-$V$3)))+$U$4*MAX(0,MIN(1,($W$4-K2011)/($W$4-$V$4)))+$U$5*MAX(0,MIN(1,($W$5-L2011)/($W$5-$V$5)))+$U$6*MAX(0,MIN(1,($W$6-M2011)/($W$6-$V$6)))+$U$7*MAX(0,MIN(1,($W$7-N2011)/($W$7-$V$7)))+$U$8*IF(AND(O2011&gt;=$V$8,O2011&lt;=$W$8),1,0))/$U$9*100,2)</f>
        <v>36.39</v>
      </c>
      <c r="C2011" s="27" t="s">
        <v>1055</v>
      </c>
      <c r="D2011" s="25" t="s">
        <v>134</v>
      </c>
      <c r="E2011" s="25" t="s">
        <v>3450</v>
      </c>
      <c r="F2011" s="25" t="s">
        <v>3457</v>
      </c>
      <c r="G2011" s="39" t="s">
        <v>32</v>
      </c>
      <c r="H2011" s="39" t="s">
        <v>26</v>
      </c>
      <c r="I2011" s="25" t="n">
        <v>7</v>
      </c>
      <c r="J2011" s="25" t="n">
        <v>1</v>
      </c>
      <c r="K2011" s="25" t="n">
        <v>7</v>
      </c>
      <c r="L2011" s="29" t="n">
        <v>0.67</v>
      </c>
      <c r="M2011" s="30" t="n">
        <v>12.39</v>
      </c>
      <c r="N2011" s="29" t="n">
        <v>0</v>
      </c>
      <c r="O2011" s="25" t="n">
        <v>193</v>
      </c>
      <c r="P2011" s="30" t="n">
        <v>12.16</v>
      </c>
      <c r="Q2011" s="27" t="s">
        <v>4035</v>
      </c>
      <c r="R2011" s="27" t="s">
        <v>529</v>
      </c>
    </row>
    <row r="2012" customFormat="false" ht="15" hidden="false" customHeight="false" outlineLevel="0" collapsed="false">
      <c r="A2012" s="25" t="n">
        <f aca="false">IF(G2012="REJECT",COUNTIF($G$2:$G$2277,"&lt;&gt;REJECT")+1+COUNTIFS($G$2:$G$2277,"REJECT",$B$2:$B$2277,"&gt;"&amp;B2012),1+COUNTIFS($G$2:$G$2277,"&lt;&gt;REJECT",$B$2:$B$2277,"&gt;"&amp;B2012))</f>
        <v>2011</v>
      </c>
      <c r="B2012" s="26" t="n">
        <f aca="false">ROUND(($U$2*MAX(0,MIN(1,($W$2-I2012)/($W$2-$V$2)))+$U$3*MAX(0,MIN(1,($W$3-J2012)/($W$3-$V$3)))+$U$4*MAX(0,MIN(1,($W$4-K2012)/($W$4-$V$4)))+$U$5*MAX(0,MIN(1,($W$5-L2012)/($W$5-$V$5)))+$U$6*MAX(0,MIN(1,($W$6-M2012)/($W$6-$V$6)))+$U$7*MAX(0,MIN(1,($W$7-N2012)/($W$7-$V$7)))+$U$8*IF(AND(O2012&gt;=$V$8,O2012&lt;=$W$8),1,0))/$U$9*100,2)</f>
        <v>36.13</v>
      </c>
      <c r="C2012" s="27" t="s">
        <v>1515</v>
      </c>
      <c r="D2012" s="25" t="s">
        <v>134</v>
      </c>
      <c r="E2012" s="25" t="s">
        <v>3447</v>
      </c>
      <c r="F2012" s="25" t="s">
        <v>3448</v>
      </c>
      <c r="G2012" s="39" t="s">
        <v>32</v>
      </c>
      <c r="H2012" s="39" t="s">
        <v>26</v>
      </c>
      <c r="I2012" s="25" t="n">
        <v>11</v>
      </c>
      <c r="J2012" s="25" t="n">
        <v>1</v>
      </c>
      <c r="K2012" s="25" t="n">
        <v>11</v>
      </c>
      <c r="L2012" s="29" t="n">
        <v>0.76</v>
      </c>
      <c r="M2012" s="30" t="n">
        <v>6.81</v>
      </c>
      <c r="N2012" s="29" t="n">
        <v>0.2</v>
      </c>
      <c r="O2012" s="25" t="n">
        <v>181</v>
      </c>
      <c r="P2012" s="30" t="n">
        <v>4.18</v>
      </c>
      <c r="Q2012" s="27" t="s">
        <v>4034</v>
      </c>
      <c r="R2012" s="27" t="s">
        <v>529</v>
      </c>
    </row>
    <row r="2013" customFormat="false" ht="15" hidden="false" customHeight="false" outlineLevel="0" collapsed="false">
      <c r="A2013" s="25" t="n">
        <f aca="false">IF(G2013="REJECT",COUNTIF($G$2:$G$2277,"&lt;&gt;REJECT")+1+COUNTIFS($G$2:$G$2277,"REJECT",$B$2:$B$2277,"&gt;"&amp;B2013),1+COUNTIFS($G$2:$G$2277,"&lt;&gt;REJECT",$B$2:$B$2277,"&gt;"&amp;B2013))</f>
        <v>2012</v>
      </c>
      <c r="B2013" s="26" t="n">
        <f aca="false">ROUND(($U$2*MAX(0,MIN(1,($W$2-I2013)/($W$2-$V$2)))+$U$3*MAX(0,MIN(1,($W$3-J2013)/($W$3-$V$3)))+$U$4*MAX(0,MIN(1,($W$4-K2013)/($W$4-$V$4)))+$U$5*MAX(0,MIN(1,($W$5-L2013)/($W$5-$V$5)))+$U$6*MAX(0,MIN(1,($W$6-M2013)/($W$6-$V$6)))+$U$7*MAX(0,MIN(1,($W$7-N2013)/($W$7-$V$7)))+$U$8*IF(AND(O2013&gt;=$V$8,O2013&lt;=$W$8),1,0))/$U$9*100,2)</f>
        <v>36.08</v>
      </c>
      <c r="C2013" s="27" t="s">
        <v>977</v>
      </c>
      <c r="D2013" s="25" t="s">
        <v>3459</v>
      </c>
      <c r="E2013" s="25" t="s">
        <v>3447</v>
      </c>
      <c r="F2013" s="25" t="s">
        <v>3457</v>
      </c>
      <c r="G2013" s="39" t="s">
        <v>32</v>
      </c>
      <c r="H2013" s="39" t="s">
        <v>26</v>
      </c>
      <c r="I2013" s="25" t="n">
        <v>8</v>
      </c>
      <c r="J2013" s="25" t="n">
        <v>1</v>
      </c>
      <c r="K2013" s="25" t="n">
        <v>8</v>
      </c>
      <c r="L2013" s="29" t="n">
        <v>0.79</v>
      </c>
      <c r="M2013" s="30" t="n">
        <v>19.91</v>
      </c>
      <c r="N2013" s="29" t="n">
        <v>0</v>
      </c>
      <c r="O2013" s="25" t="n">
        <v>185</v>
      </c>
      <c r="P2013" s="30" t="n">
        <v>5.81</v>
      </c>
      <c r="Q2013" s="27" t="s">
        <v>4028</v>
      </c>
      <c r="R2013" s="27" t="s">
        <v>529</v>
      </c>
    </row>
    <row r="2014" customFormat="false" ht="15" hidden="false" customHeight="false" outlineLevel="0" collapsed="false">
      <c r="A2014" s="25" t="n">
        <f aca="false">IF(G2014="REJECT",COUNTIF($G$2:$G$2277,"&lt;&gt;REJECT")+1+COUNTIFS($G$2:$G$2277,"REJECT",$B$2:$B$2277,"&gt;"&amp;B2014),1+COUNTIFS($G$2:$G$2277,"&lt;&gt;REJECT",$B$2:$B$2277,"&gt;"&amp;B2014))</f>
        <v>2013</v>
      </c>
      <c r="B2014" s="26" t="n">
        <f aca="false">ROUND(($U$2*MAX(0,MIN(1,($W$2-I2014)/($W$2-$V$2)))+$U$3*MAX(0,MIN(1,($W$3-J2014)/($W$3-$V$3)))+$U$4*MAX(0,MIN(1,($W$4-K2014)/($W$4-$V$4)))+$U$5*MAX(0,MIN(1,($W$5-L2014)/($W$5-$V$5)))+$U$6*MAX(0,MIN(1,($W$6-M2014)/($W$6-$V$6)))+$U$7*MAX(0,MIN(1,($W$7-N2014)/($W$7-$V$7)))+$U$8*IF(AND(O2014&gt;=$V$8,O2014&lt;=$W$8),1,0))/$U$9*100,2)</f>
        <v>36.06</v>
      </c>
      <c r="C2014" s="27" t="s">
        <v>1370</v>
      </c>
      <c r="D2014" s="25" t="s">
        <v>134</v>
      </c>
      <c r="E2014" s="25" t="s">
        <v>3447</v>
      </c>
      <c r="F2014" s="25" t="s">
        <v>3457</v>
      </c>
      <c r="G2014" s="39" t="s">
        <v>32</v>
      </c>
      <c r="H2014" s="39" t="s">
        <v>26</v>
      </c>
      <c r="I2014" s="25" t="n">
        <v>10</v>
      </c>
      <c r="J2014" s="25" t="n">
        <v>1</v>
      </c>
      <c r="K2014" s="25" t="n">
        <v>10</v>
      </c>
      <c r="L2014" s="29" t="n">
        <v>0.79</v>
      </c>
      <c r="M2014" s="30" t="n">
        <v>11.26</v>
      </c>
      <c r="N2014" s="29" t="n">
        <v>0.88</v>
      </c>
      <c r="O2014" s="25" t="n">
        <v>186</v>
      </c>
      <c r="P2014" s="30" t="n">
        <v>-0.52</v>
      </c>
      <c r="Q2014" s="27" t="s">
        <v>4011</v>
      </c>
      <c r="R2014" s="27" t="s">
        <v>1451</v>
      </c>
    </row>
    <row r="2015" customFormat="false" ht="15" hidden="false" customHeight="false" outlineLevel="0" collapsed="false">
      <c r="A2015" s="25" t="n">
        <f aca="false">IF(G2015="REJECT",COUNTIF($G$2:$G$2277,"&lt;&gt;REJECT")+1+COUNTIFS($G$2:$G$2277,"REJECT",$B$2:$B$2277,"&gt;"&amp;B2015),1+COUNTIFS($G$2:$G$2277,"&lt;&gt;REJECT",$B$2:$B$2277,"&gt;"&amp;B2015))</f>
        <v>2013</v>
      </c>
      <c r="B2015" s="26" t="n">
        <f aca="false">ROUND(($U$2*MAX(0,MIN(1,($W$2-I2015)/($W$2-$V$2)))+$U$3*MAX(0,MIN(1,($W$3-J2015)/($W$3-$V$3)))+$U$4*MAX(0,MIN(1,($W$4-K2015)/($W$4-$V$4)))+$U$5*MAX(0,MIN(1,($W$5-L2015)/($W$5-$V$5)))+$U$6*MAX(0,MIN(1,($W$6-M2015)/($W$6-$V$6)))+$U$7*MAX(0,MIN(1,($W$7-N2015)/($W$7-$V$7)))+$U$8*IF(AND(O2015&gt;=$V$8,O2015&lt;=$W$8),1,0))/$U$9*100,2)</f>
        <v>36.06</v>
      </c>
      <c r="C2015" s="27" t="s">
        <v>2033</v>
      </c>
      <c r="D2015" s="25" t="s">
        <v>134</v>
      </c>
      <c r="E2015" s="25" t="s">
        <v>3450</v>
      </c>
      <c r="F2015" s="25" t="s">
        <v>3457</v>
      </c>
      <c r="G2015" s="39" t="s">
        <v>32</v>
      </c>
      <c r="H2015" s="39" t="s">
        <v>26</v>
      </c>
      <c r="I2015" s="25" t="n">
        <v>7</v>
      </c>
      <c r="J2015" s="25" t="n">
        <v>1</v>
      </c>
      <c r="K2015" s="25" t="n">
        <v>7</v>
      </c>
      <c r="L2015" s="29" t="n">
        <v>0.66</v>
      </c>
      <c r="M2015" s="30" t="n">
        <v>9.17</v>
      </c>
      <c r="N2015" s="29" t="n">
        <v>0.16</v>
      </c>
      <c r="O2015" s="25" t="n">
        <v>187</v>
      </c>
      <c r="P2015" s="30" t="n">
        <v>6.92</v>
      </c>
      <c r="Q2015" s="27" t="s">
        <v>4046</v>
      </c>
      <c r="R2015" s="27" t="s">
        <v>529</v>
      </c>
    </row>
    <row r="2016" customFormat="false" ht="15" hidden="false" customHeight="false" outlineLevel="0" collapsed="false">
      <c r="A2016" s="25" t="n">
        <f aca="false">IF(G2016="REJECT",COUNTIF($G$2:$G$2277,"&lt;&gt;REJECT")+1+COUNTIFS($G$2:$G$2277,"REJECT",$B$2:$B$2277,"&gt;"&amp;B2016),1+COUNTIFS($G$2:$G$2277,"&lt;&gt;REJECT",$B$2:$B$2277,"&gt;"&amp;B2016))</f>
        <v>2015</v>
      </c>
      <c r="B2016" s="26" t="n">
        <f aca="false">ROUND(($U$2*MAX(0,MIN(1,($W$2-I2016)/($W$2-$V$2)))+$U$3*MAX(0,MIN(1,($W$3-J2016)/($W$3-$V$3)))+$U$4*MAX(0,MIN(1,($W$4-K2016)/($W$4-$V$4)))+$U$5*MAX(0,MIN(1,($W$5-L2016)/($W$5-$V$5)))+$U$6*MAX(0,MIN(1,($W$6-M2016)/($W$6-$V$6)))+$U$7*MAX(0,MIN(1,($W$7-N2016)/($W$7-$V$7)))+$U$8*IF(AND(O2016&gt;=$V$8,O2016&lt;=$W$8),1,0))/$U$9*100,2)</f>
        <v>35.97</v>
      </c>
      <c r="C2016" s="27" t="s">
        <v>227</v>
      </c>
      <c r="D2016" s="25" t="s">
        <v>134</v>
      </c>
      <c r="E2016" s="25" t="s">
        <v>3447</v>
      </c>
      <c r="F2016" s="25" t="s">
        <v>3457</v>
      </c>
      <c r="G2016" s="39" t="s">
        <v>32</v>
      </c>
      <c r="H2016" s="39" t="s">
        <v>26</v>
      </c>
      <c r="I2016" s="25" t="n">
        <v>11</v>
      </c>
      <c r="J2016" s="25" t="n">
        <v>1</v>
      </c>
      <c r="K2016" s="25" t="n">
        <v>11</v>
      </c>
      <c r="L2016" s="29" t="n">
        <v>0.78</v>
      </c>
      <c r="M2016" s="30" t="n">
        <v>10.99</v>
      </c>
      <c r="N2016" s="29" t="n">
        <v>0.6</v>
      </c>
      <c r="O2016" s="25" t="n">
        <v>184</v>
      </c>
      <c r="P2016" s="30" t="n">
        <v>0.03</v>
      </c>
      <c r="Q2016" s="27" t="s">
        <v>4034</v>
      </c>
      <c r="R2016" s="27" t="s">
        <v>529</v>
      </c>
    </row>
    <row r="2017" customFormat="false" ht="15" hidden="false" customHeight="false" outlineLevel="0" collapsed="false">
      <c r="A2017" s="25" t="n">
        <f aca="false">IF(G2017="REJECT",COUNTIF($G$2:$G$2277,"&lt;&gt;REJECT")+1+COUNTIFS($G$2:$G$2277,"REJECT",$B$2:$B$2277,"&gt;"&amp;B2017),1+COUNTIFS($G$2:$G$2277,"&lt;&gt;REJECT",$B$2:$B$2277,"&gt;"&amp;B2017))</f>
        <v>2016</v>
      </c>
      <c r="B2017" s="26" t="n">
        <f aca="false">ROUND(($U$2*MAX(0,MIN(1,($W$2-I2017)/($W$2-$V$2)))+$U$3*MAX(0,MIN(1,($W$3-J2017)/($W$3-$V$3)))+$U$4*MAX(0,MIN(1,($W$4-K2017)/($W$4-$V$4)))+$U$5*MAX(0,MIN(1,($W$5-L2017)/($W$5-$V$5)))+$U$6*MAX(0,MIN(1,($W$6-M2017)/($W$6-$V$6)))+$U$7*MAX(0,MIN(1,($W$7-N2017)/($W$7-$V$7)))+$U$8*IF(AND(O2017&gt;=$V$8,O2017&lt;=$W$8),1,0))/$U$9*100,2)</f>
        <v>35.94</v>
      </c>
      <c r="C2017" s="27" t="s">
        <v>2314</v>
      </c>
      <c r="D2017" s="25" t="s">
        <v>134</v>
      </c>
      <c r="E2017" s="25" t="s">
        <v>3447</v>
      </c>
      <c r="F2017" s="25" t="s">
        <v>3457</v>
      </c>
      <c r="G2017" s="39" t="s">
        <v>32</v>
      </c>
      <c r="H2017" s="39" t="s">
        <v>26</v>
      </c>
      <c r="I2017" s="25" t="n">
        <v>9</v>
      </c>
      <c r="J2017" s="25" t="n">
        <v>1</v>
      </c>
      <c r="K2017" s="25" t="n">
        <v>9</v>
      </c>
      <c r="L2017" s="29" t="n">
        <v>0.79</v>
      </c>
      <c r="M2017" s="30" t="n">
        <v>11.14</v>
      </c>
      <c r="N2017" s="29" t="n">
        <v>0.96</v>
      </c>
      <c r="O2017" s="25" t="n">
        <v>183</v>
      </c>
      <c r="P2017" s="30" t="n">
        <v>0.51</v>
      </c>
      <c r="Q2017" s="27" t="s">
        <v>4030</v>
      </c>
      <c r="R2017" s="27" t="s">
        <v>529</v>
      </c>
    </row>
    <row r="2018" customFormat="false" ht="15" hidden="false" customHeight="false" outlineLevel="0" collapsed="false">
      <c r="A2018" s="25" t="n">
        <f aca="false">IF(G2018="REJECT",COUNTIF($G$2:$G$2277,"&lt;&gt;REJECT")+1+COUNTIFS($G$2:$G$2277,"REJECT",$B$2:$B$2277,"&gt;"&amp;B2018),1+COUNTIFS($G$2:$G$2277,"&lt;&gt;REJECT",$B$2:$B$2277,"&gt;"&amp;B2018))</f>
        <v>2017</v>
      </c>
      <c r="B2018" s="26" t="n">
        <f aca="false">ROUND(($U$2*MAX(0,MIN(1,($W$2-I2018)/($W$2-$V$2)))+$U$3*MAX(0,MIN(1,($W$3-J2018)/($W$3-$V$3)))+$U$4*MAX(0,MIN(1,($W$4-K2018)/($W$4-$V$4)))+$U$5*MAX(0,MIN(1,($W$5-L2018)/($W$5-$V$5)))+$U$6*MAX(0,MIN(1,($W$6-M2018)/($W$6-$V$6)))+$U$7*MAX(0,MIN(1,($W$7-N2018)/($W$7-$V$7)))+$U$8*IF(AND(O2018&gt;=$V$8,O2018&lt;=$W$8),1,0))/$U$9*100,2)</f>
        <v>35.91</v>
      </c>
      <c r="C2018" s="27" t="s">
        <v>951</v>
      </c>
      <c r="D2018" s="25" t="s">
        <v>3459</v>
      </c>
      <c r="E2018" s="25" t="s">
        <v>3450</v>
      </c>
      <c r="F2018" s="25" t="s">
        <v>3448</v>
      </c>
      <c r="G2018" s="39" t="s">
        <v>32</v>
      </c>
      <c r="H2018" s="39" t="s">
        <v>26</v>
      </c>
      <c r="I2018" s="25" t="n">
        <v>7</v>
      </c>
      <c r="J2018" s="25" t="n">
        <v>1</v>
      </c>
      <c r="K2018" s="25" t="n">
        <v>7</v>
      </c>
      <c r="L2018" s="29" t="n">
        <v>0.65</v>
      </c>
      <c r="M2018" s="30" t="n">
        <v>4.02</v>
      </c>
      <c r="N2018" s="29" t="n">
        <v>0.4</v>
      </c>
      <c r="O2018" s="25" t="n">
        <v>184</v>
      </c>
      <c r="P2018" s="30" t="n">
        <v>4.78</v>
      </c>
      <c r="Q2018" s="27" t="s">
        <v>4047</v>
      </c>
      <c r="R2018" s="27" t="s">
        <v>529</v>
      </c>
    </row>
    <row r="2019" customFormat="false" ht="15" hidden="false" customHeight="false" outlineLevel="0" collapsed="false">
      <c r="A2019" s="25" t="n">
        <f aca="false">IF(G2019="REJECT",COUNTIF($G$2:$G$2277,"&lt;&gt;REJECT")+1+COUNTIFS($G$2:$G$2277,"REJECT",$B$2:$B$2277,"&gt;"&amp;B2019),1+COUNTIFS($G$2:$G$2277,"&lt;&gt;REJECT",$B$2:$B$2277,"&gt;"&amp;B2019))</f>
        <v>2018</v>
      </c>
      <c r="B2019" s="26" t="n">
        <f aca="false">ROUND(($U$2*MAX(0,MIN(1,($W$2-I2019)/($W$2-$V$2)))+$U$3*MAX(0,MIN(1,($W$3-J2019)/($W$3-$V$3)))+$U$4*MAX(0,MIN(1,($W$4-K2019)/($W$4-$V$4)))+$U$5*MAX(0,MIN(1,($W$5-L2019)/($W$5-$V$5)))+$U$6*MAX(0,MIN(1,($W$6-M2019)/($W$6-$V$6)))+$U$7*MAX(0,MIN(1,($W$7-N2019)/($W$7-$V$7)))+$U$8*IF(AND(O2019&gt;=$V$8,O2019&lt;=$W$8),1,0))/$U$9*100,2)</f>
        <v>35.9</v>
      </c>
      <c r="C2019" s="27" t="s">
        <v>1068</v>
      </c>
      <c r="D2019" s="25" t="s">
        <v>134</v>
      </c>
      <c r="E2019" s="25" t="s">
        <v>3447</v>
      </c>
      <c r="F2019" s="25" t="s">
        <v>3448</v>
      </c>
      <c r="G2019" s="39" t="s">
        <v>32</v>
      </c>
      <c r="H2019" s="39" t="s">
        <v>26</v>
      </c>
      <c r="I2019" s="25" t="n">
        <v>12</v>
      </c>
      <c r="J2019" s="25" t="n">
        <v>1</v>
      </c>
      <c r="K2019" s="25" t="n">
        <v>12</v>
      </c>
      <c r="L2019" s="29" t="n">
        <v>0.76</v>
      </c>
      <c r="M2019" s="30" t="n">
        <v>7.02</v>
      </c>
      <c r="N2019" s="29" t="n">
        <v>0.32</v>
      </c>
      <c r="O2019" s="25" t="n">
        <v>188</v>
      </c>
      <c r="P2019" s="30" t="n">
        <v>2.08</v>
      </c>
      <c r="Q2019" s="27" t="s">
        <v>4048</v>
      </c>
      <c r="R2019" s="27" t="s">
        <v>529</v>
      </c>
    </row>
    <row r="2020" customFormat="false" ht="15" hidden="false" customHeight="false" outlineLevel="0" collapsed="false">
      <c r="A2020" s="25" t="n">
        <f aca="false">IF(G2020="REJECT",COUNTIF($G$2:$G$2277,"&lt;&gt;REJECT")+1+COUNTIFS($G$2:$G$2277,"REJECT",$B$2:$B$2277,"&gt;"&amp;B2020),1+COUNTIFS($G$2:$G$2277,"&lt;&gt;REJECT",$B$2:$B$2277,"&gt;"&amp;B2020))</f>
        <v>2019</v>
      </c>
      <c r="B2020" s="26" t="n">
        <f aca="false">ROUND(($U$2*MAX(0,MIN(1,($W$2-I2020)/($W$2-$V$2)))+$U$3*MAX(0,MIN(1,($W$3-J2020)/($W$3-$V$3)))+$U$4*MAX(0,MIN(1,($W$4-K2020)/($W$4-$V$4)))+$U$5*MAX(0,MIN(1,($W$5-L2020)/($W$5-$V$5)))+$U$6*MAX(0,MIN(1,($W$6-M2020)/($W$6-$V$6)))+$U$7*MAX(0,MIN(1,($W$7-N2020)/($W$7-$V$7)))+$U$8*IF(AND(O2020&gt;=$V$8,O2020&lt;=$W$8),1,0))/$U$9*100,2)</f>
        <v>35.86</v>
      </c>
      <c r="C2020" s="27" t="s">
        <v>2459</v>
      </c>
      <c r="D2020" s="25" t="s">
        <v>134</v>
      </c>
      <c r="E2020" s="25" t="s">
        <v>3447</v>
      </c>
      <c r="F2020" s="25" t="s">
        <v>3448</v>
      </c>
      <c r="G2020" s="39" t="s">
        <v>32</v>
      </c>
      <c r="H2020" s="39" t="s">
        <v>26</v>
      </c>
      <c r="I2020" s="25" t="n">
        <v>8</v>
      </c>
      <c r="J2020" s="25" t="n">
        <v>1</v>
      </c>
      <c r="K2020" s="25" t="n">
        <v>8</v>
      </c>
      <c r="L2020" s="29" t="n">
        <v>0.82</v>
      </c>
      <c r="M2020" s="30" t="n">
        <v>20.02</v>
      </c>
      <c r="N2020" s="29" t="n">
        <v>0.48</v>
      </c>
      <c r="O2020" s="25" t="n">
        <v>193</v>
      </c>
      <c r="P2020" s="30" t="n">
        <v>2.19</v>
      </c>
      <c r="Q2020" s="27" t="s">
        <v>4049</v>
      </c>
      <c r="R2020" s="27" t="s">
        <v>1178</v>
      </c>
    </row>
    <row r="2021" customFormat="false" ht="15" hidden="false" customHeight="false" outlineLevel="0" collapsed="false">
      <c r="A2021" s="25" t="n">
        <f aca="false">IF(G2021="REJECT",COUNTIF($G$2:$G$2277,"&lt;&gt;REJECT")+1+COUNTIFS($G$2:$G$2277,"REJECT",$B$2:$B$2277,"&gt;"&amp;B2021),1+COUNTIFS($G$2:$G$2277,"&lt;&gt;REJECT",$B$2:$B$2277,"&gt;"&amp;B2021))</f>
        <v>2020</v>
      </c>
      <c r="B2021" s="26" t="n">
        <f aca="false">ROUND(($U$2*MAX(0,MIN(1,($W$2-I2021)/($W$2-$V$2)))+$U$3*MAX(0,MIN(1,($W$3-J2021)/($W$3-$V$3)))+$U$4*MAX(0,MIN(1,($W$4-K2021)/($W$4-$V$4)))+$U$5*MAX(0,MIN(1,($W$5-L2021)/($W$5-$V$5)))+$U$6*MAX(0,MIN(1,($W$6-M2021)/($W$6-$V$6)))+$U$7*MAX(0,MIN(1,($W$7-N2021)/($W$7-$V$7)))+$U$8*IF(AND(O2021&gt;=$V$8,O2021&lt;=$W$8),1,0))/$U$9*100,2)</f>
        <v>35.82</v>
      </c>
      <c r="C2021" s="27" t="s">
        <v>702</v>
      </c>
      <c r="D2021" s="25" t="s">
        <v>134</v>
      </c>
      <c r="E2021" s="25" t="s">
        <v>3447</v>
      </c>
      <c r="F2021" s="25" t="s">
        <v>3448</v>
      </c>
      <c r="G2021" s="39" t="s">
        <v>32</v>
      </c>
      <c r="H2021" s="39" t="s">
        <v>26</v>
      </c>
      <c r="I2021" s="25" t="n">
        <v>10</v>
      </c>
      <c r="J2021" s="25" t="n">
        <v>1</v>
      </c>
      <c r="K2021" s="25" t="n">
        <v>10</v>
      </c>
      <c r="L2021" s="29" t="n">
        <v>0.8</v>
      </c>
      <c r="M2021" s="30" t="n">
        <v>22.26</v>
      </c>
      <c r="N2021" s="29" t="n">
        <v>0.28</v>
      </c>
      <c r="O2021" s="25" t="n">
        <v>182</v>
      </c>
      <c r="P2021" s="30" t="n">
        <v>-0.62</v>
      </c>
      <c r="Q2021" s="27" t="s">
        <v>4011</v>
      </c>
      <c r="R2021" s="27" t="s">
        <v>1926</v>
      </c>
    </row>
    <row r="2022" customFormat="false" ht="15" hidden="false" customHeight="false" outlineLevel="0" collapsed="false">
      <c r="A2022" s="25" t="n">
        <f aca="false">IF(G2022="REJECT",COUNTIF($G$2:$G$2277,"&lt;&gt;REJECT")+1+COUNTIFS($G$2:$G$2277,"REJECT",$B$2:$B$2277,"&gt;"&amp;B2022),1+COUNTIFS($G$2:$G$2277,"&lt;&gt;REJECT",$B$2:$B$2277,"&gt;"&amp;B2022))</f>
        <v>2021</v>
      </c>
      <c r="B2022" s="26" t="n">
        <f aca="false">ROUND(($U$2*MAX(0,MIN(1,($W$2-I2022)/($W$2-$V$2)))+$U$3*MAX(0,MIN(1,($W$3-J2022)/($W$3-$V$3)))+$U$4*MAX(0,MIN(1,($W$4-K2022)/($W$4-$V$4)))+$U$5*MAX(0,MIN(1,($W$5-L2022)/($W$5-$V$5)))+$U$6*MAX(0,MIN(1,($W$6-M2022)/($W$6-$V$6)))+$U$7*MAX(0,MIN(1,($W$7-N2022)/($W$7-$V$7)))+$U$8*IF(AND(O2022&gt;=$V$8,O2022&lt;=$W$8),1,0))/$U$9*100,2)</f>
        <v>35.68</v>
      </c>
      <c r="C2022" s="27" t="s">
        <v>418</v>
      </c>
      <c r="D2022" s="25" t="s">
        <v>134</v>
      </c>
      <c r="E2022" s="25" t="s">
        <v>3447</v>
      </c>
      <c r="F2022" s="25" t="s">
        <v>3457</v>
      </c>
      <c r="G2022" s="39" t="s">
        <v>32</v>
      </c>
      <c r="H2022" s="39" t="s">
        <v>26</v>
      </c>
      <c r="I2022" s="25" t="n">
        <v>11</v>
      </c>
      <c r="J2022" s="25" t="n">
        <v>1</v>
      </c>
      <c r="K2022" s="25" t="n">
        <v>11</v>
      </c>
      <c r="L2022" s="29" t="n">
        <v>0.76</v>
      </c>
      <c r="M2022" s="30" t="n">
        <v>1.94</v>
      </c>
      <c r="N2022" s="29" t="n">
        <v>0.96</v>
      </c>
      <c r="O2022" s="25" t="n">
        <v>184</v>
      </c>
      <c r="P2022" s="30" t="n">
        <v>-1.21</v>
      </c>
      <c r="Q2022" s="27" t="s">
        <v>4050</v>
      </c>
      <c r="R2022" s="27" t="s">
        <v>1311</v>
      </c>
    </row>
    <row r="2023" customFormat="false" ht="15" hidden="false" customHeight="false" outlineLevel="0" collapsed="false">
      <c r="A2023" s="25" t="n">
        <f aca="false">IF(G2023="REJECT",COUNTIF($G$2:$G$2277,"&lt;&gt;REJECT")+1+COUNTIFS($G$2:$G$2277,"REJECT",$B$2:$B$2277,"&gt;"&amp;B2023),1+COUNTIFS($G$2:$G$2277,"&lt;&gt;REJECT",$B$2:$B$2277,"&gt;"&amp;B2023))</f>
        <v>2022</v>
      </c>
      <c r="B2023" s="26" t="n">
        <f aca="false">ROUND(($U$2*MAX(0,MIN(1,($W$2-I2023)/($W$2-$V$2)))+$U$3*MAX(0,MIN(1,($W$3-J2023)/($W$3-$V$3)))+$U$4*MAX(0,MIN(1,($W$4-K2023)/($W$4-$V$4)))+$U$5*MAX(0,MIN(1,($W$5-L2023)/($W$5-$V$5)))+$U$6*MAX(0,MIN(1,($W$6-M2023)/($W$6-$V$6)))+$U$7*MAX(0,MIN(1,($W$7-N2023)/($W$7-$V$7)))+$U$8*IF(AND(O2023&gt;=$V$8,O2023&lt;=$W$8),1,0))/$U$9*100,2)</f>
        <v>35.64</v>
      </c>
      <c r="C2023" s="27" t="s">
        <v>1553</v>
      </c>
      <c r="D2023" s="25" t="s">
        <v>3459</v>
      </c>
      <c r="E2023" s="25" t="s">
        <v>3447</v>
      </c>
      <c r="F2023" s="25" t="s">
        <v>3448</v>
      </c>
      <c r="G2023" s="39" t="s">
        <v>32</v>
      </c>
      <c r="H2023" s="39" t="s">
        <v>26</v>
      </c>
      <c r="I2023" s="25" t="n">
        <v>11</v>
      </c>
      <c r="J2023" s="25" t="n">
        <v>1</v>
      </c>
      <c r="K2023" s="25" t="n">
        <v>11</v>
      </c>
      <c r="L2023" s="29" t="n">
        <v>0.81</v>
      </c>
      <c r="M2023" s="30" t="n">
        <v>16.54</v>
      </c>
      <c r="N2023" s="29" t="n">
        <v>0.96</v>
      </c>
      <c r="O2023" s="25" t="n">
        <v>183</v>
      </c>
      <c r="P2023" s="30" t="n">
        <v>3.88</v>
      </c>
      <c r="Q2023" s="27" t="s">
        <v>4034</v>
      </c>
      <c r="R2023" s="27" t="s">
        <v>529</v>
      </c>
    </row>
    <row r="2024" customFormat="false" ht="15" hidden="false" customHeight="false" outlineLevel="0" collapsed="false">
      <c r="A2024" s="25" t="n">
        <f aca="false">IF(G2024="REJECT",COUNTIF($G$2:$G$2277,"&lt;&gt;REJECT")+1+COUNTIFS($G$2:$G$2277,"REJECT",$B$2:$B$2277,"&gt;"&amp;B2024),1+COUNTIFS($G$2:$G$2277,"&lt;&gt;REJECT",$B$2:$B$2277,"&gt;"&amp;B2024))</f>
        <v>2023</v>
      </c>
      <c r="B2024" s="26" t="n">
        <f aca="false">ROUND(($U$2*MAX(0,MIN(1,($W$2-I2024)/($W$2-$V$2)))+$U$3*MAX(0,MIN(1,($W$3-J2024)/($W$3-$V$3)))+$U$4*MAX(0,MIN(1,($W$4-K2024)/($W$4-$V$4)))+$U$5*MAX(0,MIN(1,($W$5-L2024)/($W$5-$V$5)))+$U$6*MAX(0,MIN(1,($W$6-M2024)/($W$6-$V$6)))+$U$7*MAX(0,MIN(1,($W$7-N2024)/($W$7-$V$7)))+$U$8*IF(AND(O2024&gt;=$V$8,O2024&lt;=$W$8),1,0))/$U$9*100,2)</f>
        <v>35.6</v>
      </c>
      <c r="C2024" s="27" t="s">
        <v>380</v>
      </c>
      <c r="D2024" s="25" t="s">
        <v>134</v>
      </c>
      <c r="E2024" s="25" t="s">
        <v>3447</v>
      </c>
      <c r="F2024" s="25" t="s">
        <v>3448</v>
      </c>
      <c r="G2024" s="39" t="s">
        <v>32</v>
      </c>
      <c r="H2024" s="39" t="s">
        <v>26</v>
      </c>
      <c r="I2024" s="25" t="n">
        <v>8</v>
      </c>
      <c r="J2024" s="25" t="n">
        <v>1</v>
      </c>
      <c r="K2024" s="25" t="n">
        <v>8</v>
      </c>
      <c r="L2024" s="29" t="n">
        <v>0.76</v>
      </c>
      <c r="M2024" s="30" t="n">
        <v>7.2</v>
      </c>
      <c r="N2024" s="29" t="n">
        <v>0.48</v>
      </c>
      <c r="O2024" s="25" t="n">
        <v>183</v>
      </c>
      <c r="P2024" s="30" t="n">
        <v>8.82</v>
      </c>
      <c r="Q2024" s="27" t="s">
        <v>4051</v>
      </c>
      <c r="R2024" s="27" t="s">
        <v>1451</v>
      </c>
    </row>
    <row r="2025" customFormat="false" ht="15" hidden="false" customHeight="false" outlineLevel="0" collapsed="false">
      <c r="A2025" s="25" t="n">
        <f aca="false">IF(G2025="REJECT",COUNTIF($G$2:$G$2277,"&lt;&gt;REJECT")+1+COUNTIFS($G$2:$G$2277,"REJECT",$B$2:$B$2277,"&gt;"&amp;B2025),1+COUNTIFS($G$2:$G$2277,"&lt;&gt;REJECT",$B$2:$B$2277,"&gt;"&amp;B2025))</f>
        <v>2024</v>
      </c>
      <c r="B2025" s="26" t="n">
        <f aca="false">ROUND(($U$2*MAX(0,MIN(1,($W$2-I2025)/($W$2-$V$2)))+$U$3*MAX(0,MIN(1,($W$3-J2025)/($W$3-$V$3)))+$U$4*MAX(0,MIN(1,($W$4-K2025)/($W$4-$V$4)))+$U$5*MAX(0,MIN(1,($W$5-L2025)/($W$5-$V$5)))+$U$6*MAX(0,MIN(1,($W$6-M2025)/($W$6-$V$6)))+$U$7*MAX(0,MIN(1,($W$7-N2025)/($W$7-$V$7)))+$U$8*IF(AND(O2025&gt;=$V$8,O2025&lt;=$W$8),1,0))/$U$9*100,2)</f>
        <v>35.58</v>
      </c>
      <c r="C2025" s="27" t="s">
        <v>2471</v>
      </c>
      <c r="D2025" s="25" t="s">
        <v>134</v>
      </c>
      <c r="E2025" s="25" t="s">
        <v>3447</v>
      </c>
      <c r="F2025" s="25" t="s">
        <v>3457</v>
      </c>
      <c r="G2025" s="39" t="s">
        <v>32</v>
      </c>
      <c r="H2025" s="39" t="s">
        <v>26</v>
      </c>
      <c r="I2025" s="25" t="n">
        <v>8</v>
      </c>
      <c r="J2025" s="25" t="n">
        <v>1</v>
      </c>
      <c r="K2025" s="25" t="n">
        <v>8</v>
      </c>
      <c r="L2025" s="29" t="n">
        <v>0.78</v>
      </c>
      <c r="M2025" s="30" t="n">
        <v>14.54</v>
      </c>
      <c r="N2025" s="29" t="n">
        <v>0.48</v>
      </c>
      <c r="O2025" s="25" t="n">
        <v>183</v>
      </c>
      <c r="P2025" s="30" t="n">
        <v>10.28</v>
      </c>
      <c r="Q2025" s="27" t="s">
        <v>4052</v>
      </c>
      <c r="R2025" s="27" t="s">
        <v>529</v>
      </c>
    </row>
    <row r="2026" customFormat="false" ht="15" hidden="false" customHeight="false" outlineLevel="0" collapsed="false">
      <c r="A2026" s="25" t="n">
        <f aca="false">IF(G2026="REJECT",COUNTIF($G$2:$G$2277,"&lt;&gt;REJECT")+1+COUNTIFS($G$2:$G$2277,"REJECT",$B$2:$B$2277,"&gt;"&amp;B2026),1+COUNTIFS($G$2:$G$2277,"&lt;&gt;REJECT",$B$2:$B$2277,"&gt;"&amp;B2026))</f>
        <v>2025</v>
      </c>
      <c r="B2026" s="26" t="n">
        <f aca="false">ROUND(($U$2*MAX(0,MIN(1,($W$2-I2026)/($W$2-$V$2)))+$U$3*MAX(0,MIN(1,($W$3-J2026)/($W$3-$V$3)))+$U$4*MAX(0,MIN(1,($W$4-K2026)/($W$4-$V$4)))+$U$5*MAX(0,MIN(1,($W$5-L2026)/($W$5-$V$5)))+$U$6*MAX(0,MIN(1,($W$6-M2026)/($W$6-$V$6)))+$U$7*MAX(0,MIN(1,($W$7-N2026)/($W$7-$V$7)))+$U$8*IF(AND(O2026&gt;=$V$8,O2026&lt;=$W$8),1,0))/$U$9*100,2)</f>
        <v>35.57</v>
      </c>
      <c r="C2026" s="27" t="s">
        <v>2488</v>
      </c>
      <c r="D2026" s="25" t="s">
        <v>134</v>
      </c>
      <c r="E2026" s="25" t="s">
        <v>3450</v>
      </c>
      <c r="F2026" s="25" t="s">
        <v>3448</v>
      </c>
      <c r="G2026" s="39" t="s">
        <v>32</v>
      </c>
      <c r="H2026" s="39" t="s">
        <v>26</v>
      </c>
      <c r="I2026" s="25" t="n">
        <v>9</v>
      </c>
      <c r="J2026" s="25" t="n">
        <v>1</v>
      </c>
      <c r="K2026" s="25" t="n">
        <v>9</v>
      </c>
      <c r="L2026" s="29" t="n">
        <v>0.78</v>
      </c>
      <c r="M2026" s="30" t="n">
        <v>16.2</v>
      </c>
      <c r="N2026" s="29" t="n">
        <v>0.32</v>
      </c>
      <c r="O2026" s="25" t="n">
        <v>186</v>
      </c>
      <c r="P2026" s="30" t="n">
        <v>4.09</v>
      </c>
      <c r="Q2026" s="27" t="s">
        <v>4030</v>
      </c>
      <c r="R2026" s="27" t="s">
        <v>529</v>
      </c>
    </row>
    <row r="2027" customFormat="false" ht="15" hidden="false" customHeight="false" outlineLevel="0" collapsed="false">
      <c r="A2027" s="25" t="n">
        <f aca="false">IF(G2027="REJECT",COUNTIF($G$2:$G$2277,"&lt;&gt;REJECT")+1+COUNTIFS($G$2:$G$2277,"REJECT",$B$2:$B$2277,"&gt;"&amp;B2027),1+COUNTIFS($G$2:$G$2277,"&lt;&gt;REJECT",$B$2:$B$2277,"&gt;"&amp;B2027))</f>
        <v>2026</v>
      </c>
      <c r="B2027" s="26" t="n">
        <f aca="false">ROUND(($U$2*MAX(0,MIN(1,($W$2-I2027)/($W$2-$V$2)))+$U$3*MAX(0,MIN(1,($W$3-J2027)/($W$3-$V$3)))+$U$4*MAX(0,MIN(1,($W$4-K2027)/($W$4-$V$4)))+$U$5*MAX(0,MIN(1,($W$5-L2027)/($W$5-$V$5)))+$U$6*MAX(0,MIN(1,($W$6-M2027)/($W$6-$V$6)))+$U$7*MAX(0,MIN(1,($W$7-N2027)/($W$7-$V$7)))+$U$8*IF(AND(O2027&gt;=$V$8,O2027&lt;=$W$8),1,0))/$U$9*100,2)</f>
        <v>35.51</v>
      </c>
      <c r="C2027" s="27" t="s">
        <v>1955</v>
      </c>
      <c r="D2027" s="25" t="s">
        <v>3459</v>
      </c>
      <c r="E2027" s="25" t="s">
        <v>3447</v>
      </c>
      <c r="F2027" s="25" t="s">
        <v>3448</v>
      </c>
      <c r="G2027" s="39" t="s">
        <v>32</v>
      </c>
      <c r="H2027" s="39" t="s">
        <v>26</v>
      </c>
      <c r="I2027" s="25" t="n">
        <v>8</v>
      </c>
      <c r="J2027" s="25" t="n">
        <v>1</v>
      </c>
      <c r="K2027" s="25" t="n">
        <v>8</v>
      </c>
      <c r="L2027" s="29" t="n">
        <v>0.78</v>
      </c>
      <c r="M2027" s="30" t="n">
        <v>17.75</v>
      </c>
      <c r="N2027" s="29" t="n">
        <v>0.2</v>
      </c>
      <c r="O2027" s="25" t="n">
        <v>183</v>
      </c>
      <c r="P2027" s="30" t="n">
        <v>8.52</v>
      </c>
      <c r="Q2027" s="27" t="s">
        <v>4053</v>
      </c>
      <c r="R2027" s="27" t="s">
        <v>529</v>
      </c>
    </row>
    <row r="2028" customFormat="false" ht="15" hidden="false" customHeight="false" outlineLevel="0" collapsed="false">
      <c r="A2028" s="25" t="n">
        <f aca="false">IF(G2028="REJECT",COUNTIF($G$2:$G$2277,"&lt;&gt;REJECT")+1+COUNTIFS($G$2:$G$2277,"REJECT",$B$2:$B$2277,"&gt;"&amp;B2028),1+COUNTIFS($G$2:$G$2277,"&lt;&gt;REJECT",$B$2:$B$2277,"&gt;"&amp;B2028))</f>
        <v>2027</v>
      </c>
      <c r="B2028" s="26" t="n">
        <f aca="false">ROUND(($U$2*MAX(0,MIN(1,($W$2-I2028)/($W$2-$V$2)))+$U$3*MAX(0,MIN(1,($W$3-J2028)/($W$3-$V$3)))+$U$4*MAX(0,MIN(1,($W$4-K2028)/($W$4-$V$4)))+$U$5*MAX(0,MIN(1,($W$5-L2028)/($W$5-$V$5)))+$U$6*MAX(0,MIN(1,($W$6-M2028)/($W$6-$V$6)))+$U$7*MAX(0,MIN(1,($W$7-N2028)/($W$7-$V$7)))+$U$8*IF(AND(O2028&gt;=$V$8,O2028&lt;=$W$8),1,0))/$U$9*100,2)</f>
        <v>35.41</v>
      </c>
      <c r="C2028" s="27" t="s">
        <v>1509</v>
      </c>
      <c r="D2028" s="25" t="s">
        <v>3459</v>
      </c>
      <c r="E2028" s="25" t="s">
        <v>3450</v>
      </c>
      <c r="F2028" s="25" t="s">
        <v>3448</v>
      </c>
      <c r="G2028" s="39" t="s">
        <v>32</v>
      </c>
      <c r="H2028" s="39" t="s">
        <v>26</v>
      </c>
      <c r="I2028" s="25" t="n">
        <v>10</v>
      </c>
      <c r="J2028" s="25" t="n">
        <v>0</v>
      </c>
      <c r="K2028" s="25" t="n">
        <v>10</v>
      </c>
      <c r="L2028" s="29" t="n">
        <v>0.71</v>
      </c>
      <c r="M2028" s="30" t="n">
        <v>20.32</v>
      </c>
      <c r="N2028" s="29" t="n">
        <v>0.48</v>
      </c>
      <c r="O2028" s="25" t="n">
        <v>264</v>
      </c>
      <c r="P2028" s="30" t="n">
        <v>18.15</v>
      </c>
      <c r="Q2028" s="27" t="s">
        <v>4003</v>
      </c>
      <c r="R2028" s="27" t="s">
        <v>4054</v>
      </c>
    </row>
    <row r="2029" customFormat="false" ht="15" hidden="false" customHeight="false" outlineLevel="0" collapsed="false">
      <c r="A2029" s="25" t="n">
        <f aca="false">IF(G2029="REJECT",COUNTIF($G$2:$G$2277,"&lt;&gt;REJECT")+1+COUNTIFS($G$2:$G$2277,"REJECT",$B$2:$B$2277,"&gt;"&amp;B2029),1+COUNTIFS($G$2:$G$2277,"&lt;&gt;REJECT",$B$2:$B$2277,"&gt;"&amp;B2029))</f>
        <v>2028</v>
      </c>
      <c r="B2029" s="26" t="n">
        <f aca="false">ROUND(($U$2*MAX(0,MIN(1,($W$2-I2029)/($W$2-$V$2)))+$U$3*MAX(0,MIN(1,($W$3-J2029)/($W$3-$V$3)))+$U$4*MAX(0,MIN(1,($W$4-K2029)/($W$4-$V$4)))+$U$5*MAX(0,MIN(1,($W$5-L2029)/($W$5-$V$5)))+$U$6*MAX(0,MIN(1,($W$6-M2029)/($W$6-$V$6)))+$U$7*MAX(0,MIN(1,($W$7-N2029)/($W$7-$V$7)))+$U$8*IF(AND(O2029&gt;=$V$8,O2029&lt;=$W$8),1,0))/$U$9*100,2)</f>
        <v>35.36</v>
      </c>
      <c r="C2029" s="27" t="s">
        <v>669</v>
      </c>
      <c r="D2029" s="25" t="s">
        <v>3459</v>
      </c>
      <c r="E2029" s="25" t="s">
        <v>3447</v>
      </c>
      <c r="F2029" s="25" t="s">
        <v>3457</v>
      </c>
      <c r="G2029" s="39" t="s">
        <v>32</v>
      </c>
      <c r="H2029" s="39" t="s">
        <v>26</v>
      </c>
      <c r="I2029" s="25" t="n">
        <v>11</v>
      </c>
      <c r="J2029" s="25" t="n">
        <v>1</v>
      </c>
      <c r="K2029" s="25" t="n">
        <v>11</v>
      </c>
      <c r="L2029" s="29" t="n">
        <v>0.76</v>
      </c>
      <c r="M2029" s="30" t="n">
        <v>7.43</v>
      </c>
      <c r="N2029" s="29" t="n">
        <v>0.6</v>
      </c>
      <c r="O2029" s="25" t="n">
        <v>183</v>
      </c>
      <c r="P2029" s="30" t="n">
        <v>-0.17</v>
      </c>
      <c r="Q2029" s="27" t="s">
        <v>4055</v>
      </c>
      <c r="R2029" s="27" t="s">
        <v>529</v>
      </c>
    </row>
    <row r="2030" customFormat="false" ht="15" hidden="false" customHeight="false" outlineLevel="0" collapsed="false">
      <c r="A2030" s="25" t="n">
        <f aca="false">IF(G2030="REJECT",COUNTIF($G$2:$G$2277,"&lt;&gt;REJECT")+1+COUNTIFS($G$2:$G$2277,"REJECT",$B$2:$B$2277,"&gt;"&amp;B2030),1+COUNTIFS($G$2:$G$2277,"&lt;&gt;REJECT",$B$2:$B$2277,"&gt;"&amp;B2030))</f>
        <v>2029</v>
      </c>
      <c r="B2030" s="26" t="n">
        <f aca="false">ROUND(($U$2*MAX(0,MIN(1,($W$2-I2030)/($W$2-$V$2)))+$U$3*MAX(0,MIN(1,($W$3-J2030)/($W$3-$V$3)))+$U$4*MAX(0,MIN(1,($W$4-K2030)/($W$4-$V$4)))+$U$5*MAX(0,MIN(1,($W$5-L2030)/($W$5-$V$5)))+$U$6*MAX(0,MIN(1,($W$6-M2030)/($W$6-$V$6)))+$U$7*MAX(0,MIN(1,($W$7-N2030)/($W$7-$V$7)))+$U$8*IF(AND(O2030&gt;=$V$8,O2030&lt;=$W$8),1,0))/$U$9*100,2)</f>
        <v>35.32</v>
      </c>
      <c r="C2030" s="27" t="s">
        <v>1737</v>
      </c>
      <c r="D2030" s="25" t="s">
        <v>134</v>
      </c>
      <c r="E2030" s="25" t="s">
        <v>3450</v>
      </c>
      <c r="F2030" s="25" t="s">
        <v>3448</v>
      </c>
      <c r="G2030" s="39" t="s">
        <v>32</v>
      </c>
      <c r="H2030" s="39" t="s">
        <v>26</v>
      </c>
      <c r="I2030" s="25" t="n">
        <v>7</v>
      </c>
      <c r="J2030" s="25" t="n">
        <v>1</v>
      </c>
      <c r="K2030" s="25" t="n">
        <v>7</v>
      </c>
      <c r="L2030" s="29" t="n">
        <v>0.67</v>
      </c>
      <c r="M2030" s="30" t="n">
        <v>10.39</v>
      </c>
      <c r="N2030" s="29" t="n">
        <v>0.84</v>
      </c>
      <c r="O2030" s="25" t="n">
        <v>184</v>
      </c>
      <c r="P2030" s="30" t="n">
        <v>1.16</v>
      </c>
      <c r="Q2030" s="27" t="s">
        <v>3986</v>
      </c>
      <c r="R2030" s="27" t="s">
        <v>231</v>
      </c>
    </row>
    <row r="2031" customFormat="false" ht="15" hidden="false" customHeight="false" outlineLevel="0" collapsed="false">
      <c r="A2031" s="25" t="n">
        <f aca="false">IF(G2031="REJECT",COUNTIF($G$2:$G$2277,"&lt;&gt;REJECT")+1+COUNTIFS($G$2:$G$2277,"REJECT",$B$2:$B$2277,"&gt;"&amp;B2031),1+COUNTIFS($G$2:$G$2277,"&lt;&gt;REJECT",$B$2:$B$2277,"&gt;"&amp;B2031))</f>
        <v>2030</v>
      </c>
      <c r="B2031" s="26" t="n">
        <f aca="false">ROUND(($U$2*MAX(0,MIN(1,($W$2-I2031)/($W$2-$V$2)))+$U$3*MAX(0,MIN(1,($W$3-J2031)/($W$3-$V$3)))+$U$4*MAX(0,MIN(1,($W$4-K2031)/($W$4-$V$4)))+$U$5*MAX(0,MIN(1,($W$5-L2031)/($W$5-$V$5)))+$U$6*MAX(0,MIN(1,($W$6-M2031)/($W$6-$V$6)))+$U$7*MAX(0,MIN(1,($W$7-N2031)/($W$7-$V$7)))+$U$8*IF(AND(O2031&gt;=$V$8,O2031&lt;=$W$8),1,0))/$U$9*100,2)</f>
        <v>35.3</v>
      </c>
      <c r="C2031" s="27" t="s">
        <v>3320</v>
      </c>
      <c r="D2031" s="25" t="s">
        <v>134</v>
      </c>
      <c r="E2031" s="25" t="s">
        <v>3447</v>
      </c>
      <c r="F2031" s="25" t="s">
        <v>3457</v>
      </c>
      <c r="G2031" s="39" t="s">
        <v>32</v>
      </c>
      <c r="H2031" s="39" t="s">
        <v>26</v>
      </c>
      <c r="I2031" s="25" t="n">
        <v>11</v>
      </c>
      <c r="J2031" s="25" t="n">
        <v>1</v>
      </c>
      <c r="K2031" s="25" t="n">
        <v>11</v>
      </c>
      <c r="L2031" s="29" t="n">
        <v>0.75</v>
      </c>
      <c r="M2031" s="30" t="n">
        <v>10.21</v>
      </c>
      <c r="N2031" s="29" t="n">
        <v>0</v>
      </c>
      <c r="O2031" s="25" t="n">
        <v>183</v>
      </c>
      <c r="P2031" s="30" t="n">
        <v>10.93</v>
      </c>
      <c r="Q2031" s="27" t="s">
        <v>4034</v>
      </c>
      <c r="R2031" s="27" t="s">
        <v>529</v>
      </c>
    </row>
    <row r="2032" customFormat="false" ht="15" hidden="false" customHeight="false" outlineLevel="0" collapsed="false">
      <c r="A2032" s="25" t="n">
        <f aca="false">IF(G2032="REJECT",COUNTIF($G$2:$G$2277,"&lt;&gt;REJECT")+1+COUNTIFS($G$2:$G$2277,"REJECT",$B$2:$B$2277,"&gt;"&amp;B2032),1+COUNTIFS($G$2:$G$2277,"&lt;&gt;REJECT",$B$2:$B$2277,"&gt;"&amp;B2032))</f>
        <v>2031</v>
      </c>
      <c r="B2032" s="26" t="n">
        <f aca="false">ROUND(($U$2*MAX(0,MIN(1,($W$2-I2032)/($W$2-$V$2)))+$U$3*MAX(0,MIN(1,($W$3-J2032)/($W$3-$V$3)))+$U$4*MAX(0,MIN(1,($W$4-K2032)/($W$4-$V$4)))+$U$5*MAX(0,MIN(1,($W$5-L2032)/($W$5-$V$5)))+$U$6*MAX(0,MIN(1,($W$6-M2032)/($W$6-$V$6)))+$U$7*MAX(0,MIN(1,($W$7-N2032)/($W$7-$V$7)))+$U$8*IF(AND(O2032&gt;=$V$8,O2032&lt;=$W$8),1,0))/$U$9*100,2)</f>
        <v>35.25</v>
      </c>
      <c r="C2032" s="27" t="s">
        <v>937</v>
      </c>
      <c r="D2032" s="25" t="s">
        <v>134</v>
      </c>
      <c r="E2032" s="25" t="s">
        <v>3450</v>
      </c>
      <c r="F2032" s="25" t="s">
        <v>3457</v>
      </c>
      <c r="G2032" s="39" t="s">
        <v>32</v>
      </c>
      <c r="H2032" s="39" t="s">
        <v>26</v>
      </c>
      <c r="I2032" s="25" t="n">
        <v>10</v>
      </c>
      <c r="J2032" s="25" t="n">
        <v>1</v>
      </c>
      <c r="K2032" s="25" t="n">
        <v>10</v>
      </c>
      <c r="L2032" s="29" t="n">
        <v>0.76</v>
      </c>
      <c r="M2032" s="30" t="n">
        <v>4.92</v>
      </c>
      <c r="N2032" s="29" t="n">
        <v>0.92</v>
      </c>
      <c r="O2032" s="25" t="n">
        <v>187</v>
      </c>
      <c r="P2032" s="30" t="n">
        <v>-0.28</v>
      </c>
      <c r="Q2032" s="27" t="s">
        <v>4056</v>
      </c>
      <c r="R2032" s="27" t="s">
        <v>1409</v>
      </c>
    </row>
    <row r="2033" customFormat="false" ht="15" hidden="false" customHeight="false" outlineLevel="0" collapsed="false">
      <c r="A2033" s="25" t="n">
        <f aca="false">IF(G2033="REJECT",COUNTIF($G$2:$G$2277,"&lt;&gt;REJECT")+1+COUNTIFS($G$2:$G$2277,"REJECT",$B$2:$B$2277,"&gt;"&amp;B2033),1+COUNTIFS($G$2:$G$2277,"&lt;&gt;REJECT",$B$2:$B$2277,"&gt;"&amp;B2033))</f>
        <v>2032</v>
      </c>
      <c r="B2033" s="26" t="n">
        <f aca="false">ROUND(($U$2*MAX(0,MIN(1,($W$2-I2033)/($W$2-$V$2)))+$U$3*MAX(0,MIN(1,($W$3-J2033)/($W$3-$V$3)))+$U$4*MAX(0,MIN(1,($W$4-K2033)/($W$4-$V$4)))+$U$5*MAX(0,MIN(1,($W$5-L2033)/($W$5-$V$5)))+$U$6*MAX(0,MIN(1,($W$6-M2033)/($W$6-$V$6)))+$U$7*MAX(0,MIN(1,($W$7-N2033)/($W$7-$V$7)))+$U$8*IF(AND(O2033&gt;=$V$8,O2033&lt;=$W$8),1,0))/$U$9*100,2)</f>
        <v>35.06</v>
      </c>
      <c r="C2033" s="27" t="s">
        <v>1553</v>
      </c>
      <c r="D2033" s="25" t="s">
        <v>3459</v>
      </c>
      <c r="E2033" s="25" t="s">
        <v>3447</v>
      </c>
      <c r="F2033" s="25" t="s">
        <v>3457</v>
      </c>
      <c r="G2033" s="39" t="s">
        <v>32</v>
      </c>
      <c r="H2033" s="39" t="s">
        <v>26</v>
      </c>
      <c r="I2033" s="25" t="n">
        <v>13</v>
      </c>
      <c r="J2033" s="25" t="n">
        <v>1</v>
      </c>
      <c r="K2033" s="25" t="n">
        <v>13</v>
      </c>
      <c r="L2033" s="29" t="n">
        <v>0.78</v>
      </c>
      <c r="M2033" s="30" t="n">
        <v>20.06</v>
      </c>
      <c r="N2033" s="29" t="n">
        <v>0.24</v>
      </c>
      <c r="O2033" s="25" t="n">
        <v>185</v>
      </c>
      <c r="P2033" s="30" t="n">
        <v>4.04</v>
      </c>
      <c r="Q2033" s="27" t="s">
        <v>4057</v>
      </c>
      <c r="R2033" s="27" t="s">
        <v>1926</v>
      </c>
    </row>
    <row r="2034" customFormat="false" ht="15" hidden="false" customHeight="false" outlineLevel="0" collapsed="false">
      <c r="A2034" s="25" t="n">
        <f aca="false">IF(G2034="REJECT",COUNTIF($G$2:$G$2277,"&lt;&gt;REJECT")+1+COUNTIFS($G$2:$G$2277,"REJECT",$B$2:$B$2277,"&gt;"&amp;B2034),1+COUNTIFS($G$2:$G$2277,"&lt;&gt;REJECT",$B$2:$B$2277,"&gt;"&amp;B2034))</f>
        <v>2032</v>
      </c>
      <c r="B2034" s="26" t="n">
        <f aca="false">ROUND(($U$2*MAX(0,MIN(1,($W$2-I2034)/($W$2-$V$2)))+$U$3*MAX(0,MIN(1,($W$3-J2034)/($W$3-$V$3)))+$U$4*MAX(0,MIN(1,($W$4-K2034)/($W$4-$V$4)))+$U$5*MAX(0,MIN(1,($W$5-L2034)/($W$5-$V$5)))+$U$6*MAX(0,MIN(1,($W$6-M2034)/($W$6-$V$6)))+$U$7*MAX(0,MIN(1,($W$7-N2034)/($W$7-$V$7)))+$U$8*IF(AND(O2034&gt;=$V$8,O2034&lt;=$W$8),1,0))/$U$9*100,2)</f>
        <v>35.06</v>
      </c>
      <c r="C2034" s="27" t="s">
        <v>2586</v>
      </c>
      <c r="D2034" s="25" t="s">
        <v>134</v>
      </c>
      <c r="E2034" s="25" t="s">
        <v>3447</v>
      </c>
      <c r="F2034" s="25" t="s">
        <v>3448</v>
      </c>
      <c r="G2034" s="39" t="s">
        <v>32</v>
      </c>
      <c r="H2034" s="39" t="s">
        <v>26</v>
      </c>
      <c r="I2034" s="25" t="n">
        <v>14</v>
      </c>
      <c r="J2034" s="25" t="n">
        <v>1</v>
      </c>
      <c r="K2034" s="25" t="n">
        <v>14</v>
      </c>
      <c r="L2034" s="29" t="n">
        <v>0.77</v>
      </c>
      <c r="M2034" s="30" t="n">
        <v>11.27</v>
      </c>
      <c r="N2034" s="29" t="n">
        <v>0.76</v>
      </c>
      <c r="O2034" s="25" t="n">
        <v>185</v>
      </c>
      <c r="P2034" s="30" t="n">
        <v>-0.5</v>
      </c>
      <c r="Q2034" s="27" t="s">
        <v>4058</v>
      </c>
      <c r="R2034" s="27" t="s">
        <v>529</v>
      </c>
    </row>
    <row r="2035" customFormat="false" ht="15" hidden="false" customHeight="false" outlineLevel="0" collapsed="false">
      <c r="A2035" s="25" t="n">
        <f aca="false">IF(G2035="REJECT",COUNTIF($G$2:$G$2277,"&lt;&gt;REJECT")+1+COUNTIFS($G$2:$G$2277,"REJECT",$B$2:$B$2277,"&gt;"&amp;B2035),1+COUNTIFS($G$2:$G$2277,"&lt;&gt;REJECT",$B$2:$B$2277,"&gt;"&amp;B2035))</f>
        <v>2034</v>
      </c>
      <c r="B2035" s="26" t="n">
        <f aca="false">ROUND(($U$2*MAX(0,MIN(1,($W$2-I2035)/($W$2-$V$2)))+$U$3*MAX(0,MIN(1,($W$3-J2035)/($W$3-$V$3)))+$U$4*MAX(0,MIN(1,($W$4-K2035)/($W$4-$V$4)))+$U$5*MAX(0,MIN(1,($W$5-L2035)/($W$5-$V$5)))+$U$6*MAX(0,MIN(1,($W$6-M2035)/($W$6-$V$6)))+$U$7*MAX(0,MIN(1,($W$7-N2035)/($W$7-$V$7)))+$U$8*IF(AND(O2035&gt;=$V$8,O2035&lt;=$W$8),1,0))/$U$9*100,2)</f>
        <v>35.05</v>
      </c>
      <c r="C2035" s="27" t="s">
        <v>1923</v>
      </c>
      <c r="D2035" s="25" t="s">
        <v>3459</v>
      </c>
      <c r="E2035" s="25" t="s">
        <v>3447</v>
      </c>
      <c r="F2035" s="25" t="s">
        <v>3448</v>
      </c>
      <c r="G2035" s="39" t="s">
        <v>32</v>
      </c>
      <c r="H2035" s="39" t="s">
        <v>26</v>
      </c>
      <c r="I2035" s="25" t="n">
        <v>11</v>
      </c>
      <c r="J2035" s="25" t="n">
        <v>1</v>
      </c>
      <c r="K2035" s="25" t="n">
        <v>11</v>
      </c>
      <c r="L2035" s="29" t="n">
        <v>0.76</v>
      </c>
      <c r="M2035" s="30" t="n">
        <v>15.32</v>
      </c>
      <c r="N2035" s="29" t="n">
        <v>0</v>
      </c>
      <c r="O2035" s="25" t="n">
        <v>182</v>
      </c>
      <c r="P2035" s="30" t="n">
        <v>7.97</v>
      </c>
      <c r="Q2035" s="27" t="s">
        <v>4034</v>
      </c>
      <c r="R2035" s="27" t="s">
        <v>529</v>
      </c>
    </row>
    <row r="2036" customFormat="false" ht="15" hidden="false" customHeight="false" outlineLevel="0" collapsed="false">
      <c r="A2036" s="25" t="n">
        <f aca="false">IF(G2036="REJECT",COUNTIF($G$2:$G$2277,"&lt;&gt;REJECT")+1+COUNTIFS($G$2:$G$2277,"REJECT",$B$2:$B$2277,"&gt;"&amp;B2036),1+COUNTIFS($G$2:$G$2277,"&lt;&gt;REJECT",$B$2:$B$2277,"&gt;"&amp;B2036))</f>
        <v>2035</v>
      </c>
      <c r="B2036" s="26" t="n">
        <f aca="false">ROUND(($U$2*MAX(0,MIN(1,($W$2-I2036)/($W$2-$V$2)))+$U$3*MAX(0,MIN(1,($W$3-J2036)/($W$3-$V$3)))+$U$4*MAX(0,MIN(1,($W$4-K2036)/($W$4-$V$4)))+$U$5*MAX(0,MIN(1,($W$5-L2036)/($W$5-$V$5)))+$U$6*MAX(0,MIN(1,($W$6-M2036)/($W$6-$V$6)))+$U$7*MAX(0,MIN(1,($W$7-N2036)/($W$7-$V$7)))+$U$8*IF(AND(O2036&gt;=$V$8,O2036&lt;=$W$8),1,0))/$U$9*100,2)</f>
        <v>34.98</v>
      </c>
      <c r="C2036" s="27" t="s">
        <v>1185</v>
      </c>
      <c r="D2036" s="25" t="s">
        <v>134</v>
      </c>
      <c r="E2036" s="25" t="s">
        <v>3447</v>
      </c>
      <c r="F2036" s="25" t="s">
        <v>3457</v>
      </c>
      <c r="G2036" s="39" t="s">
        <v>32</v>
      </c>
      <c r="H2036" s="39" t="s">
        <v>26</v>
      </c>
      <c r="I2036" s="25" t="n">
        <v>11</v>
      </c>
      <c r="J2036" s="25" t="n">
        <v>1</v>
      </c>
      <c r="K2036" s="25" t="n">
        <v>11</v>
      </c>
      <c r="L2036" s="29" t="n">
        <v>0.74</v>
      </c>
      <c r="M2036" s="30" t="n">
        <v>0.91</v>
      </c>
      <c r="N2036" s="29" t="n">
        <v>0.76</v>
      </c>
      <c r="O2036" s="25" t="n">
        <v>182</v>
      </c>
      <c r="P2036" s="30" t="n">
        <v>-1.12</v>
      </c>
      <c r="Q2036" s="27" t="s">
        <v>4041</v>
      </c>
      <c r="R2036" s="27" t="s">
        <v>1451</v>
      </c>
    </row>
    <row r="2037" customFormat="false" ht="15" hidden="false" customHeight="false" outlineLevel="0" collapsed="false">
      <c r="A2037" s="25" t="n">
        <f aca="false">IF(G2037="REJECT",COUNTIF($G$2:$G$2277,"&lt;&gt;REJECT")+1+COUNTIFS($G$2:$G$2277,"REJECT",$B$2:$B$2277,"&gt;"&amp;B2037),1+COUNTIFS($G$2:$G$2277,"&lt;&gt;REJECT",$B$2:$B$2277,"&gt;"&amp;B2037))</f>
        <v>2036</v>
      </c>
      <c r="B2037" s="26" t="n">
        <f aca="false">ROUND(($U$2*MAX(0,MIN(1,($W$2-I2037)/($W$2-$V$2)))+$U$3*MAX(0,MIN(1,($W$3-J2037)/($W$3-$V$3)))+$U$4*MAX(0,MIN(1,($W$4-K2037)/($W$4-$V$4)))+$U$5*MAX(0,MIN(1,($W$5-L2037)/($W$5-$V$5)))+$U$6*MAX(0,MIN(1,($W$6-M2037)/($W$6-$V$6)))+$U$7*MAX(0,MIN(1,($W$7-N2037)/($W$7-$V$7)))+$U$8*IF(AND(O2037&gt;=$V$8,O2037&lt;=$W$8),1,0))/$U$9*100,2)</f>
        <v>34.92</v>
      </c>
      <c r="C2037" s="27" t="s">
        <v>395</v>
      </c>
      <c r="D2037" s="25" t="s">
        <v>134</v>
      </c>
      <c r="E2037" s="25" t="s">
        <v>3447</v>
      </c>
      <c r="F2037" s="25" t="s">
        <v>3448</v>
      </c>
      <c r="G2037" s="39" t="s">
        <v>32</v>
      </c>
      <c r="H2037" s="39" t="s">
        <v>26</v>
      </c>
      <c r="I2037" s="25" t="n">
        <v>12</v>
      </c>
      <c r="J2037" s="25" t="n">
        <v>1</v>
      </c>
      <c r="K2037" s="25" t="n">
        <v>12</v>
      </c>
      <c r="L2037" s="29" t="n">
        <v>0.72</v>
      </c>
      <c r="M2037" s="30" t="n">
        <v>0.49</v>
      </c>
      <c r="N2037" s="29" t="n">
        <v>0.12</v>
      </c>
      <c r="O2037" s="25" t="n">
        <v>186</v>
      </c>
      <c r="P2037" s="30" t="n">
        <v>4.23</v>
      </c>
      <c r="Q2037" s="27" t="s">
        <v>4044</v>
      </c>
      <c r="R2037" s="27" t="s">
        <v>529</v>
      </c>
    </row>
    <row r="2038" customFormat="false" ht="15" hidden="false" customHeight="false" outlineLevel="0" collapsed="false">
      <c r="A2038" s="25" t="n">
        <f aca="false">IF(G2038="REJECT",COUNTIF($G$2:$G$2277,"&lt;&gt;REJECT")+1+COUNTIFS($G$2:$G$2277,"REJECT",$B$2:$B$2277,"&gt;"&amp;B2038),1+COUNTIFS($G$2:$G$2277,"&lt;&gt;REJECT",$B$2:$B$2277,"&gt;"&amp;B2038))</f>
        <v>2037</v>
      </c>
      <c r="B2038" s="26" t="n">
        <f aca="false">ROUND(($U$2*MAX(0,MIN(1,($W$2-I2038)/($W$2-$V$2)))+$U$3*MAX(0,MIN(1,($W$3-J2038)/($W$3-$V$3)))+$U$4*MAX(0,MIN(1,($W$4-K2038)/($W$4-$V$4)))+$U$5*MAX(0,MIN(1,($W$5-L2038)/($W$5-$V$5)))+$U$6*MAX(0,MIN(1,($W$6-M2038)/($W$6-$V$6)))+$U$7*MAX(0,MIN(1,($W$7-N2038)/($W$7-$V$7)))+$U$8*IF(AND(O2038&gt;=$V$8,O2038&lt;=$W$8),1,0))/$U$9*100,2)</f>
        <v>34.9</v>
      </c>
      <c r="C2038" s="27" t="s">
        <v>2614</v>
      </c>
      <c r="D2038" s="25" t="s">
        <v>134</v>
      </c>
      <c r="E2038" s="25" t="s">
        <v>3447</v>
      </c>
      <c r="F2038" s="25" t="s">
        <v>3448</v>
      </c>
      <c r="G2038" s="39" t="s">
        <v>32</v>
      </c>
      <c r="H2038" s="39" t="s">
        <v>26</v>
      </c>
      <c r="I2038" s="25" t="n">
        <v>9</v>
      </c>
      <c r="J2038" s="25" t="n">
        <v>1</v>
      </c>
      <c r="K2038" s="25" t="n">
        <v>9</v>
      </c>
      <c r="L2038" s="29" t="n">
        <v>0.86</v>
      </c>
      <c r="M2038" s="30" t="n">
        <v>25.4</v>
      </c>
      <c r="N2038" s="29" t="n">
        <v>0.52</v>
      </c>
      <c r="O2038" s="25" t="n">
        <v>189</v>
      </c>
      <c r="P2038" s="30" t="n">
        <v>2.88</v>
      </c>
      <c r="Q2038" s="27" t="s">
        <v>4030</v>
      </c>
      <c r="R2038" s="27" t="s">
        <v>1926</v>
      </c>
    </row>
    <row r="2039" customFormat="false" ht="15" hidden="false" customHeight="false" outlineLevel="0" collapsed="false">
      <c r="A2039" s="25" t="n">
        <f aca="false">IF(G2039="REJECT",COUNTIF($G$2:$G$2277,"&lt;&gt;REJECT")+1+COUNTIFS($G$2:$G$2277,"REJECT",$B$2:$B$2277,"&gt;"&amp;B2039),1+COUNTIFS($G$2:$G$2277,"&lt;&gt;REJECT",$B$2:$B$2277,"&gt;"&amp;B2039))</f>
        <v>2037</v>
      </c>
      <c r="B2039" s="26" t="n">
        <f aca="false">ROUND(($U$2*MAX(0,MIN(1,($W$2-I2039)/($W$2-$V$2)))+$U$3*MAX(0,MIN(1,($W$3-J2039)/($W$3-$V$3)))+$U$4*MAX(0,MIN(1,($W$4-K2039)/($W$4-$V$4)))+$U$5*MAX(0,MIN(1,($W$5-L2039)/($W$5-$V$5)))+$U$6*MAX(0,MIN(1,($W$6-M2039)/($W$6-$V$6)))+$U$7*MAX(0,MIN(1,($W$7-N2039)/($W$7-$V$7)))+$U$8*IF(AND(O2039&gt;=$V$8,O2039&lt;=$W$8),1,0))/$U$9*100,2)</f>
        <v>34.9</v>
      </c>
      <c r="C2039" s="27" t="s">
        <v>3034</v>
      </c>
      <c r="D2039" s="25" t="s">
        <v>3459</v>
      </c>
      <c r="E2039" s="25" t="s">
        <v>3447</v>
      </c>
      <c r="F2039" s="25" t="s">
        <v>3448</v>
      </c>
      <c r="G2039" s="39" t="s">
        <v>32</v>
      </c>
      <c r="H2039" s="39" t="s">
        <v>26</v>
      </c>
      <c r="I2039" s="25" t="n">
        <v>9</v>
      </c>
      <c r="J2039" s="25" t="n">
        <v>1</v>
      </c>
      <c r="K2039" s="25" t="n">
        <v>9</v>
      </c>
      <c r="L2039" s="29" t="n">
        <v>0.78</v>
      </c>
      <c r="M2039" s="30" t="n">
        <v>15.81</v>
      </c>
      <c r="N2039" s="29" t="n">
        <v>0.76</v>
      </c>
      <c r="O2039" s="25" t="n">
        <v>187</v>
      </c>
      <c r="P2039" s="30" t="n">
        <v>11.68</v>
      </c>
      <c r="Q2039" s="27" t="s">
        <v>4042</v>
      </c>
      <c r="R2039" s="27" t="s">
        <v>529</v>
      </c>
    </row>
    <row r="2040" customFormat="false" ht="15" hidden="false" customHeight="false" outlineLevel="0" collapsed="false">
      <c r="A2040" s="25" t="n">
        <f aca="false">IF(G2040="REJECT",COUNTIF($G$2:$G$2277,"&lt;&gt;REJECT")+1+COUNTIFS($G$2:$G$2277,"REJECT",$B$2:$B$2277,"&gt;"&amp;B2040),1+COUNTIFS($G$2:$G$2277,"&lt;&gt;REJECT",$B$2:$B$2277,"&gt;"&amp;B2040))</f>
        <v>2039</v>
      </c>
      <c r="B2040" s="26" t="n">
        <f aca="false">ROUND(($U$2*MAX(0,MIN(1,($W$2-I2040)/($W$2-$V$2)))+$U$3*MAX(0,MIN(1,($W$3-J2040)/($W$3-$V$3)))+$U$4*MAX(0,MIN(1,($W$4-K2040)/($W$4-$V$4)))+$U$5*MAX(0,MIN(1,($W$5-L2040)/($W$5-$V$5)))+$U$6*MAX(0,MIN(1,($W$6-M2040)/($W$6-$V$6)))+$U$7*MAX(0,MIN(1,($W$7-N2040)/($W$7-$V$7)))+$U$8*IF(AND(O2040&gt;=$V$8,O2040&lt;=$W$8),1,0))/$U$9*100,2)</f>
        <v>34.88</v>
      </c>
      <c r="C2040" s="27" t="s">
        <v>2259</v>
      </c>
      <c r="D2040" s="25" t="s">
        <v>134</v>
      </c>
      <c r="E2040" s="25" t="s">
        <v>3447</v>
      </c>
      <c r="F2040" s="25" t="s">
        <v>3457</v>
      </c>
      <c r="G2040" s="39" t="s">
        <v>32</v>
      </c>
      <c r="H2040" s="39" t="s">
        <v>26</v>
      </c>
      <c r="I2040" s="25" t="n">
        <v>9</v>
      </c>
      <c r="J2040" s="25" t="n">
        <v>1</v>
      </c>
      <c r="K2040" s="25" t="n">
        <v>9</v>
      </c>
      <c r="L2040" s="29" t="n">
        <v>0.78</v>
      </c>
      <c r="M2040" s="30" t="n">
        <v>21.12</v>
      </c>
      <c r="N2040" s="29" t="n">
        <v>0.24</v>
      </c>
      <c r="O2040" s="25" t="n">
        <v>188</v>
      </c>
      <c r="P2040" s="30" t="n">
        <v>1.73</v>
      </c>
      <c r="Q2040" s="27" t="s">
        <v>4030</v>
      </c>
      <c r="R2040" s="27" t="s">
        <v>1178</v>
      </c>
    </row>
    <row r="2041" customFormat="false" ht="15" hidden="false" customHeight="false" outlineLevel="0" collapsed="false">
      <c r="A2041" s="25" t="n">
        <f aca="false">IF(G2041="REJECT",COUNTIF($G$2:$G$2277,"&lt;&gt;REJECT")+1+COUNTIFS($G$2:$G$2277,"REJECT",$B$2:$B$2277,"&gt;"&amp;B2041),1+COUNTIFS($G$2:$G$2277,"&lt;&gt;REJECT",$B$2:$B$2277,"&gt;"&amp;B2041))</f>
        <v>2040</v>
      </c>
      <c r="B2041" s="26" t="n">
        <f aca="false">ROUND(($U$2*MAX(0,MIN(1,($W$2-I2041)/($W$2-$V$2)))+$U$3*MAX(0,MIN(1,($W$3-J2041)/($W$3-$V$3)))+$U$4*MAX(0,MIN(1,($W$4-K2041)/($W$4-$V$4)))+$U$5*MAX(0,MIN(1,($W$5-L2041)/($W$5-$V$5)))+$U$6*MAX(0,MIN(1,($W$6-M2041)/($W$6-$V$6)))+$U$7*MAX(0,MIN(1,($W$7-N2041)/($W$7-$V$7)))+$U$8*IF(AND(O2041&gt;=$V$8,O2041&lt;=$W$8),1,0))/$U$9*100,2)</f>
        <v>34.86</v>
      </c>
      <c r="C2041" s="27" t="s">
        <v>2685</v>
      </c>
      <c r="D2041" s="25" t="s">
        <v>3459</v>
      </c>
      <c r="E2041" s="25" t="s">
        <v>3450</v>
      </c>
      <c r="F2041" s="25" t="s">
        <v>3457</v>
      </c>
      <c r="G2041" s="39" t="s">
        <v>32</v>
      </c>
      <c r="H2041" s="39" t="s">
        <v>26</v>
      </c>
      <c r="I2041" s="25" t="n">
        <v>9</v>
      </c>
      <c r="J2041" s="25" t="n">
        <v>1</v>
      </c>
      <c r="K2041" s="25" t="n">
        <v>9</v>
      </c>
      <c r="L2041" s="29" t="n">
        <v>0.79</v>
      </c>
      <c r="M2041" s="30" t="n">
        <v>25.62</v>
      </c>
      <c r="N2041" s="29" t="n">
        <v>0.16</v>
      </c>
      <c r="O2041" s="25" t="n">
        <v>184</v>
      </c>
      <c r="P2041" s="30" t="n">
        <v>4.36</v>
      </c>
      <c r="Q2041" s="27" t="s">
        <v>4030</v>
      </c>
      <c r="R2041" s="27" t="s">
        <v>1178</v>
      </c>
    </row>
    <row r="2042" customFormat="false" ht="15" hidden="false" customHeight="false" outlineLevel="0" collapsed="false">
      <c r="A2042" s="25" t="n">
        <f aca="false">IF(G2042="REJECT",COUNTIF($G$2:$G$2277,"&lt;&gt;REJECT")+1+COUNTIFS($G$2:$G$2277,"REJECT",$B$2:$B$2277,"&gt;"&amp;B2042),1+COUNTIFS($G$2:$G$2277,"&lt;&gt;REJECT",$B$2:$B$2277,"&gt;"&amp;B2042))</f>
        <v>2041</v>
      </c>
      <c r="B2042" s="26" t="n">
        <f aca="false">ROUND(($U$2*MAX(0,MIN(1,($W$2-I2042)/($W$2-$V$2)))+$U$3*MAX(0,MIN(1,($W$3-J2042)/($W$3-$V$3)))+$U$4*MAX(0,MIN(1,($W$4-K2042)/($W$4-$V$4)))+$U$5*MAX(0,MIN(1,($W$5-L2042)/($W$5-$V$5)))+$U$6*MAX(0,MIN(1,($W$6-M2042)/($W$6-$V$6)))+$U$7*MAX(0,MIN(1,($W$7-N2042)/($W$7-$V$7)))+$U$8*IF(AND(O2042&gt;=$V$8,O2042&lt;=$W$8),1,0))/$U$9*100,2)</f>
        <v>34.84</v>
      </c>
      <c r="C2042" s="27" t="s">
        <v>108</v>
      </c>
      <c r="D2042" s="25" t="s">
        <v>3459</v>
      </c>
      <c r="E2042" s="25" t="s">
        <v>3447</v>
      </c>
      <c r="F2042" s="25" t="s">
        <v>3448</v>
      </c>
      <c r="G2042" s="39" t="s">
        <v>32</v>
      </c>
      <c r="H2042" s="39" t="s">
        <v>26</v>
      </c>
      <c r="I2042" s="25" t="n">
        <v>12</v>
      </c>
      <c r="J2042" s="25" t="n">
        <v>1</v>
      </c>
      <c r="K2042" s="25" t="n">
        <v>12</v>
      </c>
      <c r="L2042" s="29" t="n">
        <v>0.73</v>
      </c>
      <c r="M2042" s="30" t="n">
        <v>5.79</v>
      </c>
      <c r="N2042" s="29" t="n">
        <v>0</v>
      </c>
      <c r="O2042" s="25" t="n">
        <v>184</v>
      </c>
      <c r="P2042" s="30" t="n">
        <v>7.35</v>
      </c>
      <c r="Q2042" s="27" t="s">
        <v>4059</v>
      </c>
      <c r="R2042" s="27" t="s">
        <v>529</v>
      </c>
    </row>
    <row r="2043" customFormat="false" ht="15" hidden="false" customHeight="false" outlineLevel="0" collapsed="false">
      <c r="A2043" s="25" t="n">
        <f aca="false">IF(G2043="REJECT",COUNTIF($G$2:$G$2277,"&lt;&gt;REJECT")+1+COUNTIFS($G$2:$G$2277,"REJECT",$B$2:$B$2277,"&gt;"&amp;B2043),1+COUNTIFS($G$2:$G$2277,"&lt;&gt;REJECT",$B$2:$B$2277,"&gt;"&amp;B2043))</f>
        <v>2041</v>
      </c>
      <c r="B2043" s="26" t="n">
        <f aca="false">ROUND(($U$2*MAX(0,MIN(1,($W$2-I2043)/($W$2-$V$2)))+$U$3*MAX(0,MIN(1,($W$3-J2043)/($W$3-$V$3)))+$U$4*MAX(0,MIN(1,($W$4-K2043)/($W$4-$V$4)))+$U$5*MAX(0,MIN(1,($W$5-L2043)/($W$5-$V$5)))+$U$6*MAX(0,MIN(1,($W$6-M2043)/($W$6-$V$6)))+$U$7*MAX(0,MIN(1,($W$7-N2043)/($W$7-$V$7)))+$U$8*IF(AND(O2043&gt;=$V$8,O2043&lt;=$W$8),1,0))/$U$9*100,2)</f>
        <v>34.84</v>
      </c>
      <c r="C2043" s="27" t="s">
        <v>310</v>
      </c>
      <c r="D2043" s="25" t="s">
        <v>134</v>
      </c>
      <c r="E2043" s="25" t="s">
        <v>3447</v>
      </c>
      <c r="F2043" s="25" t="s">
        <v>3457</v>
      </c>
      <c r="G2043" s="39" t="s">
        <v>32</v>
      </c>
      <c r="H2043" s="39" t="s">
        <v>26</v>
      </c>
      <c r="I2043" s="25" t="n">
        <v>10</v>
      </c>
      <c r="J2043" s="25" t="n">
        <v>1</v>
      </c>
      <c r="K2043" s="25" t="n">
        <v>10</v>
      </c>
      <c r="L2043" s="29" t="n">
        <v>0.76</v>
      </c>
      <c r="M2043" s="30" t="n">
        <v>12.99</v>
      </c>
      <c r="N2043" s="29" t="n">
        <v>0.36</v>
      </c>
      <c r="O2043" s="25" t="n">
        <v>182</v>
      </c>
      <c r="P2043" s="30" t="n">
        <v>6.26</v>
      </c>
      <c r="Q2043" s="27" t="s">
        <v>4060</v>
      </c>
      <c r="R2043" s="27" t="s">
        <v>529</v>
      </c>
    </row>
    <row r="2044" customFormat="false" ht="15" hidden="false" customHeight="false" outlineLevel="0" collapsed="false">
      <c r="A2044" s="25" t="n">
        <f aca="false">IF(G2044="REJECT",COUNTIF($G$2:$G$2277,"&lt;&gt;REJECT")+1+COUNTIFS($G$2:$G$2277,"REJECT",$B$2:$B$2277,"&gt;"&amp;B2044),1+COUNTIFS($G$2:$G$2277,"&lt;&gt;REJECT",$B$2:$B$2277,"&gt;"&amp;B2044))</f>
        <v>2043</v>
      </c>
      <c r="B2044" s="26" t="n">
        <f aca="false">ROUND(($U$2*MAX(0,MIN(1,($W$2-I2044)/($W$2-$V$2)))+$U$3*MAX(0,MIN(1,($W$3-J2044)/($W$3-$V$3)))+$U$4*MAX(0,MIN(1,($W$4-K2044)/($W$4-$V$4)))+$U$5*MAX(0,MIN(1,($W$5-L2044)/($W$5-$V$5)))+$U$6*MAX(0,MIN(1,($W$6-M2044)/($W$6-$V$6)))+$U$7*MAX(0,MIN(1,($W$7-N2044)/($W$7-$V$7)))+$U$8*IF(AND(O2044&gt;=$V$8,O2044&lt;=$W$8),1,0))/$U$9*100,2)</f>
        <v>34.83</v>
      </c>
      <c r="C2044" s="27" t="s">
        <v>519</v>
      </c>
      <c r="D2044" s="25" t="s">
        <v>134</v>
      </c>
      <c r="E2044" s="25" t="s">
        <v>3447</v>
      </c>
      <c r="F2044" s="25" t="s">
        <v>3457</v>
      </c>
      <c r="G2044" s="39" t="s">
        <v>32</v>
      </c>
      <c r="H2044" s="39" t="s">
        <v>26</v>
      </c>
      <c r="I2044" s="25" t="n">
        <v>12</v>
      </c>
      <c r="J2044" s="25" t="n">
        <v>1</v>
      </c>
      <c r="K2044" s="25" t="n">
        <v>12</v>
      </c>
      <c r="L2044" s="29" t="n">
        <v>0.73</v>
      </c>
      <c r="M2044" s="30" t="n">
        <v>3.4</v>
      </c>
      <c r="N2044" s="29" t="n">
        <v>0.24</v>
      </c>
      <c r="O2044" s="25" t="n">
        <v>183</v>
      </c>
      <c r="P2044" s="30" t="n">
        <v>3.67</v>
      </c>
      <c r="Q2044" s="27" t="s">
        <v>4061</v>
      </c>
      <c r="R2044" s="27" t="s">
        <v>529</v>
      </c>
    </row>
    <row r="2045" customFormat="false" ht="15" hidden="false" customHeight="false" outlineLevel="0" collapsed="false">
      <c r="A2045" s="25" t="n">
        <f aca="false">IF(G2045="REJECT",COUNTIF($G$2:$G$2277,"&lt;&gt;REJECT")+1+COUNTIFS($G$2:$G$2277,"REJECT",$B$2:$B$2277,"&gt;"&amp;B2045),1+COUNTIFS($G$2:$G$2277,"&lt;&gt;REJECT",$B$2:$B$2277,"&gt;"&amp;B2045))</f>
        <v>2043</v>
      </c>
      <c r="B2045" s="26" t="n">
        <f aca="false">ROUND(($U$2*MAX(0,MIN(1,($W$2-I2045)/($W$2-$V$2)))+$U$3*MAX(0,MIN(1,($W$3-J2045)/($W$3-$V$3)))+$U$4*MAX(0,MIN(1,($W$4-K2045)/($W$4-$V$4)))+$U$5*MAX(0,MIN(1,($W$5-L2045)/($W$5-$V$5)))+$U$6*MAX(0,MIN(1,($W$6-M2045)/($W$6-$V$6)))+$U$7*MAX(0,MIN(1,($W$7-N2045)/($W$7-$V$7)))+$U$8*IF(AND(O2045&gt;=$V$8,O2045&lt;=$W$8),1,0))/$U$9*100,2)</f>
        <v>34.83</v>
      </c>
      <c r="C2045" s="27" t="s">
        <v>1669</v>
      </c>
      <c r="D2045" s="25" t="s">
        <v>3459</v>
      </c>
      <c r="E2045" s="25" t="s">
        <v>3450</v>
      </c>
      <c r="F2045" s="25" t="s">
        <v>3448</v>
      </c>
      <c r="G2045" s="39" t="s">
        <v>32</v>
      </c>
      <c r="H2045" s="39" t="s">
        <v>26</v>
      </c>
      <c r="I2045" s="25" t="n">
        <v>9</v>
      </c>
      <c r="J2045" s="25" t="n">
        <v>1</v>
      </c>
      <c r="K2045" s="25" t="n">
        <v>9</v>
      </c>
      <c r="L2045" s="29" t="n">
        <v>0.76</v>
      </c>
      <c r="M2045" s="30" t="n">
        <v>11.83</v>
      </c>
      <c r="N2045" s="29" t="n">
        <v>0.48</v>
      </c>
      <c r="O2045" s="25" t="n">
        <v>184</v>
      </c>
      <c r="P2045" s="30" t="n">
        <v>-1.11</v>
      </c>
      <c r="Q2045" s="27" t="s">
        <v>4062</v>
      </c>
      <c r="R2045" s="27" t="s">
        <v>1409</v>
      </c>
    </row>
    <row r="2046" customFormat="false" ht="15" hidden="false" customHeight="false" outlineLevel="0" collapsed="false">
      <c r="A2046" s="25" t="n">
        <f aca="false">IF(G2046="REJECT",COUNTIF($G$2:$G$2277,"&lt;&gt;REJECT")+1+COUNTIFS($G$2:$G$2277,"REJECT",$B$2:$B$2277,"&gt;"&amp;B2046),1+COUNTIFS($G$2:$G$2277,"&lt;&gt;REJECT",$B$2:$B$2277,"&gt;"&amp;B2046))</f>
        <v>2045</v>
      </c>
      <c r="B2046" s="26" t="n">
        <f aca="false">ROUND(($U$2*MAX(0,MIN(1,($W$2-I2046)/($W$2-$V$2)))+$U$3*MAX(0,MIN(1,($W$3-J2046)/($W$3-$V$3)))+$U$4*MAX(0,MIN(1,($W$4-K2046)/($W$4-$V$4)))+$U$5*MAX(0,MIN(1,($W$5-L2046)/($W$5-$V$5)))+$U$6*MAX(0,MIN(1,($W$6-M2046)/($W$6-$V$6)))+$U$7*MAX(0,MIN(1,($W$7-N2046)/($W$7-$V$7)))+$U$8*IF(AND(O2046&gt;=$V$8,O2046&lt;=$W$8),1,0))/$U$9*100,2)</f>
        <v>34.75</v>
      </c>
      <c r="C2046" s="27" t="s">
        <v>395</v>
      </c>
      <c r="D2046" s="25" t="s">
        <v>134</v>
      </c>
      <c r="E2046" s="25" t="s">
        <v>3450</v>
      </c>
      <c r="F2046" s="25" t="s">
        <v>3448</v>
      </c>
      <c r="G2046" s="39" t="s">
        <v>32</v>
      </c>
      <c r="H2046" s="39" t="s">
        <v>26</v>
      </c>
      <c r="I2046" s="25" t="n">
        <v>8</v>
      </c>
      <c r="J2046" s="25" t="n">
        <v>1</v>
      </c>
      <c r="K2046" s="25" t="n">
        <v>8</v>
      </c>
      <c r="L2046" s="29" t="n">
        <v>0.74</v>
      </c>
      <c r="M2046" s="30" t="n">
        <v>0.68</v>
      </c>
      <c r="N2046" s="29" t="n">
        <v>0.92</v>
      </c>
      <c r="O2046" s="25" t="n">
        <v>185</v>
      </c>
      <c r="P2046" s="30" t="n">
        <v>9.36</v>
      </c>
      <c r="Q2046" s="27" t="s">
        <v>4063</v>
      </c>
      <c r="R2046" s="27" t="s">
        <v>529</v>
      </c>
    </row>
    <row r="2047" customFormat="false" ht="15" hidden="false" customHeight="false" outlineLevel="0" collapsed="false">
      <c r="A2047" s="25" t="n">
        <f aca="false">IF(G2047="REJECT",COUNTIF($G$2:$G$2277,"&lt;&gt;REJECT")+1+COUNTIFS($G$2:$G$2277,"REJECT",$B$2:$B$2277,"&gt;"&amp;B2047),1+COUNTIFS($G$2:$G$2277,"&lt;&gt;REJECT",$B$2:$B$2277,"&gt;"&amp;B2047))</f>
        <v>2046</v>
      </c>
      <c r="B2047" s="26" t="n">
        <f aca="false">ROUND(($U$2*MAX(0,MIN(1,($W$2-I2047)/($W$2-$V$2)))+$U$3*MAX(0,MIN(1,($W$3-J2047)/($W$3-$V$3)))+$U$4*MAX(0,MIN(1,($W$4-K2047)/($W$4-$V$4)))+$U$5*MAX(0,MIN(1,($W$5-L2047)/($W$5-$V$5)))+$U$6*MAX(0,MIN(1,($W$6-M2047)/($W$6-$V$6)))+$U$7*MAX(0,MIN(1,($W$7-N2047)/($W$7-$V$7)))+$U$8*IF(AND(O2047&gt;=$V$8,O2047&lt;=$W$8),1,0))/$U$9*100,2)</f>
        <v>34.74</v>
      </c>
      <c r="C2047" s="27" t="s">
        <v>1899</v>
      </c>
      <c r="D2047" s="25" t="s">
        <v>134</v>
      </c>
      <c r="E2047" s="25" t="s">
        <v>3447</v>
      </c>
      <c r="F2047" s="25" t="s">
        <v>3457</v>
      </c>
      <c r="G2047" s="39" t="s">
        <v>32</v>
      </c>
      <c r="H2047" s="39" t="s">
        <v>26</v>
      </c>
      <c r="I2047" s="25" t="n">
        <v>10</v>
      </c>
      <c r="J2047" s="25" t="n">
        <v>1</v>
      </c>
      <c r="K2047" s="25" t="n">
        <v>10</v>
      </c>
      <c r="L2047" s="29" t="n">
        <v>0.76</v>
      </c>
      <c r="M2047" s="30" t="n">
        <v>12.74</v>
      </c>
      <c r="N2047" s="29" t="n">
        <v>0.44</v>
      </c>
      <c r="O2047" s="25" t="n">
        <v>189</v>
      </c>
      <c r="P2047" s="30" t="n">
        <v>13.33</v>
      </c>
      <c r="Q2047" s="27" t="s">
        <v>4064</v>
      </c>
      <c r="R2047" s="27" t="s">
        <v>529</v>
      </c>
    </row>
    <row r="2048" customFormat="false" ht="15" hidden="false" customHeight="false" outlineLevel="0" collapsed="false">
      <c r="A2048" s="25" t="n">
        <f aca="false">IF(G2048="REJECT",COUNTIF($G$2:$G$2277,"&lt;&gt;REJECT")+1+COUNTIFS($G$2:$G$2277,"REJECT",$B$2:$B$2277,"&gt;"&amp;B2048),1+COUNTIFS($G$2:$G$2277,"&lt;&gt;REJECT",$B$2:$B$2277,"&gt;"&amp;B2048))</f>
        <v>2047</v>
      </c>
      <c r="B2048" s="26" t="n">
        <f aca="false">ROUND(($U$2*MAX(0,MIN(1,($W$2-I2048)/($W$2-$V$2)))+$U$3*MAX(0,MIN(1,($W$3-J2048)/($W$3-$V$3)))+$U$4*MAX(0,MIN(1,($W$4-K2048)/($W$4-$V$4)))+$U$5*MAX(0,MIN(1,($W$5-L2048)/($W$5-$V$5)))+$U$6*MAX(0,MIN(1,($W$6-M2048)/($W$6-$V$6)))+$U$7*MAX(0,MIN(1,($W$7-N2048)/($W$7-$V$7)))+$U$8*IF(AND(O2048&gt;=$V$8,O2048&lt;=$W$8),1,0))/$U$9*100,2)</f>
        <v>34.73</v>
      </c>
      <c r="C2048" s="27" t="s">
        <v>3236</v>
      </c>
      <c r="D2048" s="25" t="s">
        <v>134</v>
      </c>
      <c r="E2048" s="25" t="s">
        <v>3447</v>
      </c>
      <c r="F2048" s="25" t="s">
        <v>3457</v>
      </c>
      <c r="G2048" s="39" t="s">
        <v>32</v>
      </c>
      <c r="H2048" s="39" t="s">
        <v>26</v>
      </c>
      <c r="I2048" s="25" t="n">
        <v>8</v>
      </c>
      <c r="J2048" s="25" t="n">
        <v>1</v>
      </c>
      <c r="K2048" s="25" t="n">
        <v>8</v>
      </c>
      <c r="L2048" s="29" t="n">
        <v>0.78</v>
      </c>
      <c r="M2048" s="30" t="n">
        <v>15.24</v>
      </c>
      <c r="N2048" s="29" t="n">
        <v>0.92</v>
      </c>
      <c r="O2048" s="25" t="n">
        <v>187</v>
      </c>
      <c r="P2048" s="30" t="n">
        <v>10.98</v>
      </c>
      <c r="Q2048" s="27" t="s">
        <v>4028</v>
      </c>
      <c r="R2048" s="27" t="s">
        <v>529</v>
      </c>
    </row>
    <row r="2049" customFormat="false" ht="15" hidden="false" customHeight="false" outlineLevel="0" collapsed="false">
      <c r="A2049" s="25" t="n">
        <f aca="false">IF(G2049="REJECT",COUNTIF($G$2:$G$2277,"&lt;&gt;REJECT")+1+COUNTIFS($G$2:$G$2277,"REJECT",$B$2:$B$2277,"&gt;"&amp;B2049),1+COUNTIFS($G$2:$G$2277,"&lt;&gt;REJECT",$B$2:$B$2277,"&gt;"&amp;B2049))</f>
        <v>2048</v>
      </c>
      <c r="B2049" s="26" t="n">
        <f aca="false">ROUND(($U$2*MAX(0,MIN(1,($W$2-I2049)/($W$2-$V$2)))+$U$3*MAX(0,MIN(1,($W$3-J2049)/($W$3-$V$3)))+$U$4*MAX(0,MIN(1,($W$4-K2049)/($W$4-$V$4)))+$U$5*MAX(0,MIN(1,($W$5-L2049)/($W$5-$V$5)))+$U$6*MAX(0,MIN(1,($W$6-M2049)/($W$6-$V$6)))+$U$7*MAX(0,MIN(1,($W$7-N2049)/($W$7-$V$7)))+$U$8*IF(AND(O2049&gt;=$V$8,O2049&lt;=$W$8),1,0))/$U$9*100,2)</f>
        <v>34.72</v>
      </c>
      <c r="C2049" s="27" t="s">
        <v>533</v>
      </c>
      <c r="D2049" s="25" t="s">
        <v>134</v>
      </c>
      <c r="E2049" s="25" t="s">
        <v>3447</v>
      </c>
      <c r="F2049" s="25" t="s">
        <v>3457</v>
      </c>
      <c r="G2049" s="39" t="s">
        <v>32</v>
      </c>
      <c r="H2049" s="39" t="s">
        <v>26</v>
      </c>
      <c r="I2049" s="25" t="n">
        <v>7</v>
      </c>
      <c r="J2049" s="25" t="n">
        <v>1</v>
      </c>
      <c r="K2049" s="25" t="n">
        <v>7</v>
      </c>
      <c r="L2049" s="29" t="n">
        <v>0.68</v>
      </c>
      <c r="M2049" s="30" t="n">
        <v>17.56</v>
      </c>
      <c r="N2049" s="29" t="n">
        <v>0.84</v>
      </c>
      <c r="O2049" s="25" t="n">
        <v>183</v>
      </c>
      <c r="P2049" s="30" t="n">
        <v>4.76</v>
      </c>
      <c r="Q2049" s="27" t="s">
        <v>4065</v>
      </c>
      <c r="R2049" s="27" t="s">
        <v>529</v>
      </c>
    </row>
    <row r="2050" customFormat="false" ht="15" hidden="false" customHeight="false" outlineLevel="0" collapsed="false">
      <c r="A2050" s="25" t="n">
        <f aca="false">IF(G2050="REJECT",COUNTIF($G$2:$G$2277,"&lt;&gt;REJECT")+1+COUNTIFS($G$2:$G$2277,"REJECT",$B$2:$B$2277,"&gt;"&amp;B2050),1+COUNTIFS($G$2:$G$2277,"&lt;&gt;REJECT",$B$2:$B$2277,"&gt;"&amp;B2050))</f>
        <v>2049</v>
      </c>
      <c r="B2050" s="26" t="n">
        <f aca="false">ROUND(($U$2*MAX(0,MIN(1,($W$2-I2050)/($W$2-$V$2)))+$U$3*MAX(0,MIN(1,($W$3-J2050)/($W$3-$V$3)))+$U$4*MAX(0,MIN(1,($W$4-K2050)/($W$4-$V$4)))+$U$5*MAX(0,MIN(1,($W$5-L2050)/($W$5-$V$5)))+$U$6*MAX(0,MIN(1,($W$6-M2050)/($W$6-$V$6)))+$U$7*MAX(0,MIN(1,($W$7-N2050)/($W$7-$V$7)))+$U$8*IF(AND(O2050&gt;=$V$8,O2050&lt;=$W$8),1,0))/$U$9*100,2)</f>
        <v>34.69</v>
      </c>
      <c r="C2050" s="27" t="s">
        <v>1417</v>
      </c>
      <c r="D2050" s="25" t="s">
        <v>134</v>
      </c>
      <c r="E2050" s="25" t="s">
        <v>3447</v>
      </c>
      <c r="F2050" s="25" t="s">
        <v>3457</v>
      </c>
      <c r="G2050" s="39" t="s">
        <v>32</v>
      </c>
      <c r="H2050" s="39" t="s">
        <v>26</v>
      </c>
      <c r="I2050" s="25" t="n">
        <v>10</v>
      </c>
      <c r="J2050" s="25" t="n">
        <v>1</v>
      </c>
      <c r="K2050" s="25" t="n">
        <v>10</v>
      </c>
      <c r="L2050" s="29" t="n">
        <v>0.77</v>
      </c>
      <c r="M2050" s="30" t="n">
        <v>18.69</v>
      </c>
      <c r="N2050" s="29" t="n">
        <v>0.24</v>
      </c>
      <c r="O2050" s="25" t="n">
        <v>183</v>
      </c>
      <c r="P2050" s="30" t="n">
        <v>1.08</v>
      </c>
      <c r="Q2050" s="27" t="s">
        <v>4066</v>
      </c>
      <c r="R2050" s="27" t="s">
        <v>529</v>
      </c>
    </row>
    <row r="2051" customFormat="false" ht="15" hidden="false" customHeight="false" outlineLevel="0" collapsed="false">
      <c r="A2051" s="25" t="n">
        <f aca="false">IF(G2051="REJECT",COUNTIF($G$2:$G$2277,"&lt;&gt;REJECT")+1+COUNTIFS($G$2:$G$2277,"REJECT",$B$2:$B$2277,"&gt;"&amp;B2051),1+COUNTIFS($G$2:$G$2277,"&lt;&gt;REJECT",$B$2:$B$2277,"&gt;"&amp;B2051))</f>
        <v>2050</v>
      </c>
      <c r="B2051" s="26" t="n">
        <f aca="false">ROUND(($U$2*MAX(0,MIN(1,($W$2-I2051)/($W$2-$V$2)))+$U$3*MAX(0,MIN(1,($W$3-J2051)/($W$3-$V$3)))+$U$4*MAX(0,MIN(1,($W$4-K2051)/($W$4-$V$4)))+$U$5*MAX(0,MIN(1,($W$5-L2051)/($W$5-$V$5)))+$U$6*MAX(0,MIN(1,($W$6-M2051)/($W$6-$V$6)))+$U$7*MAX(0,MIN(1,($W$7-N2051)/($W$7-$V$7)))+$U$8*IF(AND(O2051&gt;=$V$8,O2051&lt;=$W$8),1,0))/$U$9*100,2)</f>
        <v>34.64</v>
      </c>
      <c r="C2051" s="27" t="s">
        <v>1197</v>
      </c>
      <c r="D2051" s="25" t="s">
        <v>3459</v>
      </c>
      <c r="E2051" s="25" t="s">
        <v>3447</v>
      </c>
      <c r="F2051" s="25" t="s">
        <v>3448</v>
      </c>
      <c r="G2051" s="39" t="s">
        <v>32</v>
      </c>
      <c r="H2051" s="39" t="s">
        <v>26</v>
      </c>
      <c r="I2051" s="25" t="n">
        <v>8</v>
      </c>
      <c r="J2051" s="25" t="n">
        <v>1</v>
      </c>
      <c r="K2051" s="25" t="n">
        <v>8</v>
      </c>
      <c r="L2051" s="29" t="n">
        <v>0.76</v>
      </c>
      <c r="M2051" s="30" t="n">
        <v>12.98</v>
      </c>
      <c r="N2051" s="29" t="n">
        <v>0.48</v>
      </c>
      <c r="O2051" s="25" t="n">
        <v>184</v>
      </c>
      <c r="P2051" s="30" t="n">
        <v>-0.42</v>
      </c>
      <c r="Q2051" s="27" t="s">
        <v>4067</v>
      </c>
      <c r="R2051" s="27" t="s">
        <v>1311</v>
      </c>
    </row>
    <row r="2052" customFormat="false" ht="15" hidden="false" customHeight="false" outlineLevel="0" collapsed="false">
      <c r="A2052" s="25" t="n">
        <f aca="false">IF(G2052="REJECT",COUNTIF($G$2:$G$2277,"&lt;&gt;REJECT")+1+COUNTIFS($G$2:$G$2277,"REJECT",$B$2:$B$2277,"&gt;"&amp;B2052),1+COUNTIFS($G$2:$G$2277,"&lt;&gt;REJECT",$B$2:$B$2277,"&gt;"&amp;B2052))</f>
        <v>2051</v>
      </c>
      <c r="B2052" s="26" t="n">
        <f aca="false">ROUND(($U$2*MAX(0,MIN(1,($W$2-I2052)/($W$2-$V$2)))+$U$3*MAX(0,MIN(1,($W$3-J2052)/($W$3-$V$3)))+$U$4*MAX(0,MIN(1,($W$4-K2052)/($W$4-$V$4)))+$U$5*MAX(0,MIN(1,($W$5-L2052)/($W$5-$V$5)))+$U$6*MAX(0,MIN(1,($W$6-M2052)/($W$6-$V$6)))+$U$7*MAX(0,MIN(1,($W$7-N2052)/($W$7-$V$7)))+$U$8*IF(AND(O2052&gt;=$V$8,O2052&lt;=$W$8),1,0))/$U$9*100,2)</f>
        <v>34.61</v>
      </c>
      <c r="C2052" s="27" t="s">
        <v>2429</v>
      </c>
      <c r="D2052" s="25" t="s">
        <v>3459</v>
      </c>
      <c r="E2052" s="25" t="s">
        <v>3447</v>
      </c>
      <c r="F2052" s="25" t="s">
        <v>3448</v>
      </c>
      <c r="G2052" s="39" t="s">
        <v>32</v>
      </c>
      <c r="H2052" s="39" t="s">
        <v>26</v>
      </c>
      <c r="I2052" s="25" t="n">
        <v>13</v>
      </c>
      <c r="J2052" s="25" t="n">
        <v>1</v>
      </c>
      <c r="K2052" s="25" t="n">
        <v>13</v>
      </c>
      <c r="L2052" s="29" t="n">
        <v>0.76</v>
      </c>
      <c r="M2052" s="30" t="n">
        <v>13.95</v>
      </c>
      <c r="N2052" s="29" t="n">
        <v>0.4</v>
      </c>
      <c r="O2052" s="25" t="n">
        <v>183</v>
      </c>
      <c r="P2052" s="30" t="n">
        <v>6.02</v>
      </c>
      <c r="Q2052" s="27" t="s">
        <v>4068</v>
      </c>
      <c r="R2052" s="27" t="s">
        <v>1451</v>
      </c>
    </row>
    <row r="2053" customFormat="false" ht="15" hidden="false" customHeight="false" outlineLevel="0" collapsed="false">
      <c r="A2053" s="25" t="n">
        <f aca="false">IF(G2053="REJECT",COUNTIF($G$2:$G$2277,"&lt;&gt;REJECT")+1+COUNTIFS($G$2:$G$2277,"REJECT",$B$2:$B$2277,"&gt;"&amp;B2053),1+COUNTIFS($G$2:$G$2277,"&lt;&gt;REJECT",$B$2:$B$2277,"&gt;"&amp;B2053))</f>
        <v>2051</v>
      </c>
      <c r="B2053" s="26" t="n">
        <f aca="false">ROUND(($U$2*MAX(0,MIN(1,($W$2-I2053)/($W$2-$V$2)))+$U$3*MAX(0,MIN(1,($W$3-J2053)/($W$3-$V$3)))+$U$4*MAX(0,MIN(1,($W$4-K2053)/($W$4-$V$4)))+$U$5*MAX(0,MIN(1,($W$5-L2053)/($W$5-$V$5)))+$U$6*MAX(0,MIN(1,($W$6-M2053)/($W$6-$V$6)))+$U$7*MAX(0,MIN(1,($W$7-N2053)/($W$7-$V$7)))+$U$8*IF(AND(O2053&gt;=$V$8,O2053&lt;=$W$8),1,0))/$U$9*100,2)</f>
        <v>34.61</v>
      </c>
      <c r="C2053" s="27" t="s">
        <v>2534</v>
      </c>
      <c r="D2053" s="25" t="s">
        <v>3459</v>
      </c>
      <c r="E2053" s="25" t="s">
        <v>3447</v>
      </c>
      <c r="F2053" s="25" t="s">
        <v>3457</v>
      </c>
      <c r="G2053" s="39" t="s">
        <v>32</v>
      </c>
      <c r="H2053" s="39" t="s">
        <v>26</v>
      </c>
      <c r="I2053" s="25" t="n">
        <v>8</v>
      </c>
      <c r="J2053" s="25" t="n">
        <v>1</v>
      </c>
      <c r="K2053" s="25" t="n">
        <v>8</v>
      </c>
      <c r="L2053" s="29" t="n">
        <v>0.79</v>
      </c>
      <c r="M2053" s="30" t="n">
        <v>26.37</v>
      </c>
      <c r="N2053" s="29" t="n">
        <v>0.24</v>
      </c>
      <c r="O2053" s="25" t="n">
        <v>182</v>
      </c>
      <c r="P2053" s="30" t="n">
        <v>1.44</v>
      </c>
      <c r="Q2053" s="27" t="s">
        <v>4069</v>
      </c>
      <c r="R2053" s="27" t="s">
        <v>1926</v>
      </c>
    </row>
    <row r="2054" customFormat="false" ht="15" hidden="false" customHeight="false" outlineLevel="0" collapsed="false">
      <c r="A2054" s="25" t="n">
        <f aca="false">IF(G2054="REJECT",COUNTIF($G$2:$G$2277,"&lt;&gt;REJECT")+1+COUNTIFS($G$2:$G$2277,"REJECT",$B$2:$B$2277,"&gt;"&amp;B2054),1+COUNTIFS($G$2:$G$2277,"&lt;&gt;REJECT",$B$2:$B$2277,"&gt;"&amp;B2054))</f>
        <v>2051</v>
      </c>
      <c r="B2054" s="26" t="n">
        <f aca="false">ROUND(($U$2*MAX(0,MIN(1,($W$2-I2054)/($W$2-$V$2)))+$U$3*MAX(0,MIN(1,($W$3-J2054)/($W$3-$V$3)))+$U$4*MAX(0,MIN(1,($W$4-K2054)/($W$4-$V$4)))+$U$5*MAX(0,MIN(1,($W$5-L2054)/($W$5-$V$5)))+$U$6*MAX(0,MIN(1,($W$6-M2054)/($W$6-$V$6)))+$U$7*MAX(0,MIN(1,($W$7-N2054)/($W$7-$V$7)))+$U$8*IF(AND(O2054&gt;=$V$8,O2054&lt;=$W$8),1,0))/$U$9*100,2)</f>
        <v>34.61</v>
      </c>
      <c r="C2054" s="27" t="s">
        <v>3202</v>
      </c>
      <c r="D2054" s="25" t="s">
        <v>3459</v>
      </c>
      <c r="E2054" s="25" t="s">
        <v>3450</v>
      </c>
      <c r="F2054" s="25" t="s">
        <v>3457</v>
      </c>
      <c r="G2054" s="39" t="s">
        <v>32</v>
      </c>
      <c r="H2054" s="39" t="s">
        <v>26</v>
      </c>
      <c r="I2054" s="25" t="n">
        <v>8</v>
      </c>
      <c r="J2054" s="25" t="n">
        <v>1</v>
      </c>
      <c r="K2054" s="25" t="n">
        <v>8</v>
      </c>
      <c r="L2054" s="29" t="n">
        <v>0.75</v>
      </c>
      <c r="M2054" s="30" t="n">
        <v>11.56</v>
      </c>
      <c r="N2054" s="29" t="n">
        <v>0.28</v>
      </c>
      <c r="O2054" s="25" t="n">
        <v>183</v>
      </c>
      <c r="P2054" s="30" t="n">
        <v>1.2</v>
      </c>
      <c r="Q2054" s="27" t="s">
        <v>4070</v>
      </c>
      <c r="R2054" s="27" t="s">
        <v>1076</v>
      </c>
    </row>
    <row r="2055" customFormat="false" ht="15" hidden="false" customHeight="false" outlineLevel="0" collapsed="false">
      <c r="A2055" s="25" t="n">
        <f aca="false">IF(G2055="REJECT",COUNTIF($G$2:$G$2277,"&lt;&gt;REJECT")+1+COUNTIFS($G$2:$G$2277,"REJECT",$B$2:$B$2277,"&gt;"&amp;B2055),1+COUNTIFS($G$2:$G$2277,"&lt;&gt;REJECT",$B$2:$B$2277,"&gt;"&amp;B2055))</f>
        <v>2054</v>
      </c>
      <c r="B2055" s="26" t="n">
        <f aca="false">ROUND(($U$2*MAX(0,MIN(1,($W$2-I2055)/($W$2-$V$2)))+$U$3*MAX(0,MIN(1,($W$3-J2055)/($W$3-$V$3)))+$U$4*MAX(0,MIN(1,($W$4-K2055)/($W$4-$V$4)))+$U$5*MAX(0,MIN(1,($W$5-L2055)/($W$5-$V$5)))+$U$6*MAX(0,MIN(1,($W$6-M2055)/($W$6-$V$6)))+$U$7*MAX(0,MIN(1,($W$7-N2055)/($W$7-$V$7)))+$U$8*IF(AND(O2055&gt;=$V$8,O2055&lt;=$W$8),1,0))/$U$9*100,2)</f>
        <v>34.6</v>
      </c>
      <c r="C2055" s="27" t="s">
        <v>2648</v>
      </c>
      <c r="D2055" s="25" t="s">
        <v>134</v>
      </c>
      <c r="E2055" s="25" t="s">
        <v>3447</v>
      </c>
      <c r="F2055" s="25" t="s">
        <v>3457</v>
      </c>
      <c r="G2055" s="39" t="s">
        <v>32</v>
      </c>
      <c r="H2055" s="39" t="s">
        <v>26</v>
      </c>
      <c r="I2055" s="25" t="n">
        <v>10</v>
      </c>
      <c r="J2055" s="25" t="n">
        <v>1</v>
      </c>
      <c r="K2055" s="25" t="n">
        <v>10</v>
      </c>
      <c r="L2055" s="29" t="n">
        <v>0.76</v>
      </c>
      <c r="M2055" s="30" t="n">
        <v>12.4</v>
      </c>
      <c r="N2055" s="29" t="n">
        <v>0.56</v>
      </c>
      <c r="O2055" s="25" t="n">
        <v>186</v>
      </c>
      <c r="P2055" s="30" t="n">
        <v>-0.63</v>
      </c>
      <c r="Q2055" s="27" t="s">
        <v>4071</v>
      </c>
      <c r="R2055" s="27" t="s">
        <v>529</v>
      </c>
    </row>
    <row r="2056" customFormat="false" ht="15" hidden="false" customHeight="false" outlineLevel="0" collapsed="false">
      <c r="A2056" s="25" t="n">
        <f aca="false">IF(G2056="REJECT",COUNTIF($G$2:$G$2277,"&lt;&gt;REJECT")+1+COUNTIFS($G$2:$G$2277,"REJECT",$B$2:$B$2277,"&gt;"&amp;B2056),1+COUNTIFS($G$2:$G$2277,"&lt;&gt;REJECT",$B$2:$B$2277,"&gt;"&amp;B2056))</f>
        <v>2055</v>
      </c>
      <c r="B2056" s="26" t="n">
        <f aca="false">ROUND(($U$2*MAX(0,MIN(1,($W$2-I2056)/($W$2-$V$2)))+$U$3*MAX(0,MIN(1,($W$3-J2056)/($W$3-$V$3)))+$U$4*MAX(0,MIN(1,($W$4-K2056)/($W$4-$V$4)))+$U$5*MAX(0,MIN(1,($W$5-L2056)/($W$5-$V$5)))+$U$6*MAX(0,MIN(1,($W$6-M2056)/($W$6-$V$6)))+$U$7*MAX(0,MIN(1,($W$7-N2056)/($W$7-$V$7)))+$U$8*IF(AND(O2056&gt;=$V$8,O2056&lt;=$W$8),1,0))/$U$9*100,2)</f>
        <v>34.5</v>
      </c>
      <c r="C2056" s="27" t="s">
        <v>2685</v>
      </c>
      <c r="D2056" s="25" t="s">
        <v>134</v>
      </c>
      <c r="E2056" s="25" t="s">
        <v>3450</v>
      </c>
      <c r="F2056" s="25" t="s">
        <v>3457</v>
      </c>
      <c r="G2056" s="39" t="s">
        <v>32</v>
      </c>
      <c r="H2056" s="39" t="s">
        <v>26</v>
      </c>
      <c r="I2056" s="25" t="n">
        <v>9</v>
      </c>
      <c r="J2056" s="25" t="n">
        <v>1</v>
      </c>
      <c r="K2056" s="25" t="n">
        <v>9</v>
      </c>
      <c r="L2056" s="29" t="n">
        <v>0.74</v>
      </c>
      <c r="M2056" s="30" t="n">
        <v>11.42</v>
      </c>
      <c r="N2056" s="29" t="n">
        <v>0</v>
      </c>
      <c r="O2056" s="25" t="n">
        <v>186</v>
      </c>
      <c r="P2056" s="30" t="n">
        <v>4.97</v>
      </c>
      <c r="Q2056" s="27" t="s">
        <v>4072</v>
      </c>
      <c r="R2056" s="27" t="s">
        <v>1451</v>
      </c>
    </row>
    <row r="2057" customFormat="false" ht="15" hidden="false" customHeight="false" outlineLevel="0" collapsed="false">
      <c r="A2057" s="25" t="n">
        <f aca="false">IF(G2057="REJECT",COUNTIF($G$2:$G$2277,"&lt;&gt;REJECT")+1+COUNTIFS($G$2:$G$2277,"REJECT",$B$2:$B$2277,"&gt;"&amp;B2057),1+COUNTIFS($G$2:$G$2277,"&lt;&gt;REJECT",$B$2:$B$2277,"&gt;"&amp;B2057))</f>
        <v>2056</v>
      </c>
      <c r="B2057" s="26" t="n">
        <f aca="false">ROUND(($U$2*MAX(0,MIN(1,($W$2-I2057)/($W$2-$V$2)))+$U$3*MAX(0,MIN(1,($W$3-J2057)/($W$3-$V$3)))+$U$4*MAX(0,MIN(1,($W$4-K2057)/($W$4-$V$4)))+$U$5*MAX(0,MIN(1,($W$5-L2057)/($W$5-$V$5)))+$U$6*MAX(0,MIN(1,($W$6-M2057)/($W$6-$V$6)))+$U$7*MAX(0,MIN(1,($W$7-N2057)/($W$7-$V$7)))+$U$8*IF(AND(O2057&gt;=$V$8,O2057&lt;=$W$8),1,0))/$U$9*100,2)</f>
        <v>34.49</v>
      </c>
      <c r="C2057" s="27" t="s">
        <v>2709</v>
      </c>
      <c r="D2057" s="25" t="s">
        <v>3459</v>
      </c>
      <c r="E2057" s="25" t="s">
        <v>3447</v>
      </c>
      <c r="F2057" s="25" t="s">
        <v>3457</v>
      </c>
      <c r="G2057" s="39" t="s">
        <v>32</v>
      </c>
      <c r="H2057" s="39" t="s">
        <v>26</v>
      </c>
      <c r="I2057" s="25" t="n">
        <v>7</v>
      </c>
      <c r="J2057" s="25" t="n">
        <v>1</v>
      </c>
      <c r="K2057" s="25" t="n">
        <v>7</v>
      </c>
      <c r="L2057" s="29" t="n">
        <v>0.65</v>
      </c>
      <c r="M2057" s="30" t="n">
        <v>15.37</v>
      </c>
      <c r="N2057" s="29" t="n">
        <v>0.12</v>
      </c>
      <c r="O2057" s="25" t="n">
        <v>183</v>
      </c>
      <c r="P2057" s="30" t="n">
        <v>9</v>
      </c>
      <c r="Q2057" s="27" t="s">
        <v>4073</v>
      </c>
      <c r="R2057" s="27" t="s">
        <v>529</v>
      </c>
    </row>
    <row r="2058" customFormat="false" ht="15" hidden="false" customHeight="false" outlineLevel="0" collapsed="false">
      <c r="A2058" s="25" t="n">
        <f aca="false">IF(G2058="REJECT",COUNTIF($G$2:$G$2277,"&lt;&gt;REJECT")+1+COUNTIFS($G$2:$G$2277,"REJECT",$B$2:$B$2277,"&gt;"&amp;B2058),1+COUNTIFS($G$2:$G$2277,"&lt;&gt;REJECT",$B$2:$B$2277,"&gt;"&amp;B2058))</f>
        <v>2057</v>
      </c>
      <c r="B2058" s="26" t="n">
        <f aca="false">ROUND(($U$2*MAX(0,MIN(1,($W$2-I2058)/($W$2-$V$2)))+$U$3*MAX(0,MIN(1,($W$3-J2058)/($W$3-$V$3)))+$U$4*MAX(0,MIN(1,($W$4-K2058)/($W$4-$V$4)))+$U$5*MAX(0,MIN(1,($W$5-L2058)/($W$5-$V$5)))+$U$6*MAX(0,MIN(1,($W$6-M2058)/($W$6-$V$6)))+$U$7*MAX(0,MIN(1,($W$7-N2058)/($W$7-$V$7)))+$U$8*IF(AND(O2058&gt;=$V$8,O2058&lt;=$W$8),1,0))/$U$9*100,2)</f>
        <v>34.38</v>
      </c>
      <c r="C2058" s="27" t="s">
        <v>487</v>
      </c>
      <c r="D2058" s="25" t="s">
        <v>3459</v>
      </c>
      <c r="E2058" s="25" t="s">
        <v>3447</v>
      </c>
      <c r="F2058" s="25" t="s">
        <v>3457</v>
      </c>
      <c r="G2058" s="39" t="s">
        <v>32</v>
      </c>
      <c r="H2058" s="39" t="s">
        <v>26</v>
      </c>
      <c r="I2058" s="25" t="n">
        <v>11</v>
      </c>
      <c r="J2058" s="25" t="n">
        <v>1</v>
      </c>
      <c r="K2058" s="25" t="n">
        <v>11</v>
      </c>
      <c r="L2058" s="29" t="n">
        <v>0.77</v>
      </c>
      <c r="M2058" s="30" t="n">
        <v>19.75</v>
      </c>
      <c r="N2058" s="29" t="n">
        <v>0.32</v>
      </c>
      <c r="O2058" s="25" t="n">
        <v>183</v>
      </c>
      <c r="P2058" s="30" t="n">
        <v>1.62</v>
      </c>
      <c r="Q2058" s="27" t="s">
        <v>4034</v>
      </c>
      <c r="R2058" s="27" t="s">
        <v>529</v>
      </c>
    </row>
    <row r="2059" customFormat="false" ht="15" hidden="false" customHeight="false" outlineLevel="0" collapsed="false">
      <c r="A2059" s="25" t="n">
        <f aca="false">IF(G2059="REJECT",COUNTIF($G$2:$G$2277,"&lt;&gt;REJECT")+1+COUNTIFS($G$2:$G$2277,"REJECT",$B$2:$B$2277,"&gt;"&amp;B2059),1+COUNTIFS($G$2:$G$2277,"&lt;&gt;REJECT",$B$2:$B$2277,"&gt;"&amp;B2059))</f>
        <v>2058</v>
      </c>
      <c r="B2059" s="26" t="n">
        <f aca="false">ROUND(($U$2*MAX(0,MIN(1,($W$2-I2059)/($W$2-$V$2)))+$U$3*MAX(0,MIN(1,($W$3-J2059)/($W$3-$V$3)))+$U$4*MAX(0,MIN(1,($W$4-K2059)/($W$4-$V$4)))+$U$5*MAX(0,MIN(1,($W$5-L2059)/($W$5-$V$5)))+$U$6*MAX(0,MIN(1,($W$6-M2059)/($W$6-$V$6)))+$U$7*MAX(0,MIN(1,($W$7-N2059)/($W$7-$V$7)))+$U$8*IF(AND(O2059&gt;=$V$8,O2059&lt;=$W$8),1,0))/$U$9*100,2)</f>
        <v>34.36</v>
      </c>
      <c r="C2059" s="27" t="s">
        <v>689</v>
      </c>
      <c r="D2059" s="25" t="s">
        <v>134</v>
      </c>
      <c r="E2059" s="25" t="s">
        <v>3450</v>
      </c>
      <c r="F2059" s="25" t="s">
        <v>3448</v>
      </c>
      <c r="G2059" s="39" t="s">
        <v>32</v>
      </c>
      <c r="H2059" s="39" t="s">
        <v>26</v>
      </c>
      <c r="I2059" s="25" t="n">
        <v>7</v>
      </c>
      <c r="J2059" s="25" t="n">
        <v>1</v>
      </c>
      <c r="K2059" s="25" t="n">
        <v>7</v>
      </c>
      <c r="L2059" s="29" t="n">
        <v>0.65</v>
      </c>
      <c r="M2059" s="30" t="n">
        <v>7.74</v>
      </c>
      <c r="N2059" s="29" t="n">
        <v>0.96</v>
      </c>
      <c r="O2059" s="25" t="n">
        <v>184</v>
      </c>
      <c r="P2059" s="30" t="n">
        <v>3.91</v>
      </c>
      <c r="Q2059" s="27" t="s">
        <v>4015</v>
      </c>
      <c r="R2059" s="27" t="s">
        <v>529</v>
      </c>
    </row>
    <row r="2060" customFormat="false" ht="15" hidden="false" customHeight="false" outlineLevel="0" collapsed="false">
      <c r="A2060" s="25" t="n">
        <f aca="false">IF(G2060="REJECT",COUNTIF($G$2:$G$2277,"&lt;&gt;REJECT")+1+COUNTIFS($G$2:$G$2277,"REJECT",$B$2:$B$2277,"&gt;"&amp;B2060),1+COUNTIFS($G$2:$G$2277,"&lt;&gt;REJECT",$B$2:$B$2277,"&gt;"&amp;B2060))</f>
        <v>2059</v>
      </c>
      <c r="B2060" s="26" t="n">
        <f aca="false">ROUND(($U$2*MAX(0,MIN(1,($W$2-I2060)/($W$2-$V$2)))+$U$3*MAX(0,MIN(1,($W$3-J2060)/($W$3-$V$3)))+$U$4*MAX(0,MIN(1,($W$4-K2060)/($W$4-$V$4)))+$U$5*MAX(0,MIN(1,($W$5-L2060)/($W$5-$V$5)))+$U$6*MAX(0,MIN(1,($W$6-M2060)/($W$6-$V$6)))+$U$7*MAX(0,MIN(1,($W$7-N2060)/($W$7-$V$7)))+$U$8*IF(AND(O2060&gt;=$V$8,O2060&lt;=$W$8),1,0))/$U$9*100,2)</f>
        <v>34.33</v>
      </c>
      <c r="C2060" s="27" t="s">
        <v>409</v>
      </c>
      <c r="D2060" s="25" t="s">
        <v>3459</v>
      </c>
      <c r="E2060" s="25" t="s">
        <v>3447</v>
      </c>
      <c r="F2060" s="25" t="s">
        <v>3448</v>
      </c>
      <c r="G2060" s="39" t="s">
        <v>32</v>
      </c>
      <c r="H2060" s="39" t="s">
        <v>26</v>
      </c>
      <c r="I2060" s="25" t="n">
        <v>9</v>
      </c>
      <c r="J2060" s="25" t="n">
        <v>1</v>
      </c>
      <c r="K2060" s="25" t="n">
        <v>9</v>
      </c>
      <c r="L2060" s="29" t="n">
        <v>0.77</v>
      </c>
      <c r="M2060" s="30" t="n">
        <v>23.21</v>
      </c>
      <c r="N2060" s="29" t="n">
        <v>0</v>
      </c>
      <c r="O2060" s="25" t="n">
        <v>188</v>
      </c>
      <c r="P2060" s="30" t="n">
        <v>2.37</v>
      </c>
      <c r="Q2060" s="27" t="s">
        <v>4074</v>
      </c>
      <c r="R2060" s="27" t="s">
        <v>1178</v>
      </c>
    </row>
    <row r="2061" customFormat="false" ht="15" hidden="false" customHeight="false" outlineLevel="0" collapsed="false">
      <c r="A2061" s="25" t="n">
        <f aca="false">IF(G2061="REJECT",COUNTIF($G$2:$G$2277,"&lt;&gt;REJECT")+1+COUNTIFS($G$2:$G$2277,"REJECT",$B$2:$B$2277,"&gt;"&amp;B2061),1+COUNTIFS($G$2:$G$2277,"&lt;&gt;REJECT",$B$2:$B$2277,"&gt;"&amp;B2061))</f>
        <v>2060</v>
      </c>
      <c r="B2061" s="26" t="n">
        <f aca="false">ROUND(($U$2*MAX(0,MIN(1,($W$2-I2061)/($W$2-$V$2)))+$U$3*MAX(0,MIN(1,($W$3-J2061)/($W$3-$V$3)))+$U$4*MAX(0,MIN(1,($W$4-K2061)/($W$4-$V$4)))+$U$5*MAX(0,MIN(1,($W$5-L2061)/($W$5-$V$5)))+$U$6*MAX(0,MIN(1,($W$6-M2061)/($W$6-$V$6)))+$U$7*MAX(0,MIN(1,($W$7-N2061)/($W$7-$V$7)))+$U$8*IF(AND(O2061&gt;=$V$8,O2061&lt;=$W$8),1,0))/$U$9*100,2)</f>
        <v>34.32</v>
      </c>
      <c r="C2061" s="27" t="s">
        <v>2407</v>
      </c>
      <c r="D2061" s="25" t="s">
        <v>3459</v>
      </c>
      <c r="E2061" s="25" t="s">
        <v>3447</v>
      </c>
      <c r="F2061" s="25" t="s">
        <v>3457</v>
      </c>
      <c r="G2061" s="39" t="s">
        <v>32</v>
      </c>
      <c r="H2061" s="39" t="s">
        <v>26</v>
      </c>
      <c r="I2061" s="25" t="n">
        <v>11</v>
      </c>
      <c r="J2061" s="25" t="n">
        <v>1</v>
      </c>
      <c r="K2061" s="25" t="n">
        <v>11</v>
      </c>
      <c r="L2061" s="29" t="n">
        <v>0.76</v>
      </c>
      <c r="M2061" s="30" t="n">
        <v>11.27</v>
      </c>
      <c r="N2061" s="29" t="n">
        <v>0.84</v>
      </c>
      <c r="O2061" s="25" t="n">
        <v>184</v>
      </c>
      <c r="P2061" s="30" t="n">
        <v>5.1</v>
      </c>
      <c r="Q2061" s="27" t="s">
        <v>4034</v>
      </c>
      <c r="R2061" s="27" t="s">
        <v>529</v>
      </c>
    </row>
    <row r="2062" customFormat="false" ht="15" hidden="false" customHeight="false" outlineLevel="0" collapsed="false">
      <c r="A2062" s="25" t="n">
        <f aca="false">IF(G2062="REJECT",COUNTIF($G$2:$G$2277,"&lt;&gt;REJECT")+1+COUNTIFS($G$2:$G$2277,"REJECT",$B$2:$B$2277,"&gt;"&amp;B2062),1+COUNTIFS($G$2:$G$2277,"&lt;&gt;REJECT",$B$2:$B$2277,"&gt;"&amp;B2062))</f>
        <v>2061</v>
      </c>
      <c r="B2062" s="26" t="n">
        <f aca="false">ROUND(($U$2*MAX(0,MIN(1,($W$2-I2062)/($W$2-$V$2)))+$U$3*MAX(0,MIN(1,($W$3-J2062)/($W$3-$V$3)))+$U$4*MAX(0,MIN(1,($W$4-K2062)/($W$4-$V$4)))+$U$5*MAX(0,MIN(1,($W$5-L2062)/($W$5-$V$5)))+$U$6*MAX(0,MIN(1,($W$6-M2062)/($W$6-$V$6)))+$U$7*MAX(0,MIN(1,($W$7-N2062)/($W$7-$V$7)))+$U$8*IF(AND(O2062&gt;=$V$8,O2062&lt;=$W$8),1,0))/$U$9*100,2)</f>
        <v>34.09</v>
      </c>
      <c r="C2062" s="27" t="s">
        <v>1308</v>
      </c>
      <c r="D2062" s="25" t="s">
        <v>134</v>
      </c>
      <c r="E2062" s="25" t="s">
        <v>3447</v>
      </c>
      <c r="F2062" s="25" t="s">
        <v>3457</v>
      </c>
      <c r="G2062" s="39" t="s">
        <v>32</v>
      </c>
      <c r="H2062" s="39" t="s">
        <v>26</v>
      </c>
      <c r="I2062" s="25" t="n">
        <v>8</v>
      </c>
      <c r="J2062" s="25" t="n">
        <v>1</v>
      </c>
      <c r="K2062" s="25" t="n">
        <v>8</v>
      </c>
      <c r="L2062" s="29" t="n">
        <v>0.74</v>
      </c>
      <c r="M2062" s="30" t="n">
        <v>8.65</v>
      </c>
      <c r="N2062" s="29" t="n">
        <v>0.52</v>
      </c>
      <c r="O2062" s="25" t="n">
        <v>186</v>
      </c>
      <c r="P2062" s="30" t="n">
        <v>0.63</v>
      </c>
      <c r="Q2062" s="27" t="s">
        <v>4028</v>
      </c>
      <c r="R2062" s="27" t="s">
        <v>1311</v>
      </c>
    </row>
    <row r="2063" customFormat="false" ht="15" hidden="false" customHeight="false" outlineLevel="0" collapsed="false">
      <c r="A2063" s="25" t="n">
        <f aca="false">IF(G2063="REJECT",COUNTIF($G$2:$G$2277,"&lt;&gt;REJECT")+1+COUNTIFS($G$2:$G$2277,"REJECT",$B$2:$B$2277,"&gt;"&amp;B2063),1+COUNTIFS($G$2:$G$2277,"&lt;&gt;REJECT",$B$2:$B$2277,"&gt;"&amp;B2063))</f>
        <v>2062</v>
      </c>
      <c r="B2063" s="26" t="n">
        <f aca="false">ROUND(($U$2*MAX(0,MIN(1,($W$2-I2063)/($W$2-$V$2)))+$U$3*MAX(0,MIN(1,($W$3-J2063)/($W$3-$V$3)))+$U$4*MAX(0,MIN(1,($W$4-K2063)/($W$4-$V$4)))+$U$5*MAX(0,MIN(1,($W$5-L2063)/($W$5-$V$5)))+$U$6*MAX(0,MIN(1,($W$6-M2063)/($W$6-$V$6)))+$U$7*MAX(0,MIN(1,($W$7-N2063)/($W$7-$V$7)))+$U$8*IF(AND(O2063&gt;=$V$8,O2063&lt;=$W$8),1,0))/$U$9*100,2)</f>
        <v>34.04</v>
      </c>
      <c r="C2063" s="27" t="s">
        <v>1669</v>
      </c>
      <c r="D2063" s="25" t="s">
        <v>3459</v>
      </c>
      <c r="E2063" s="25" t="s">
        <v>3450</v>
      </c>
      <c r="F2063" s="25" t="s">
        <v>3457</v>
      </c>
      <c r="G2063" s="39" t="s">
        <v>32</v>
      </c>
      <c r="H2063" s="39" t="s">
        <v>26</v>
      </c>
      <c r="I2063" s="25" t="n">
        <v>10</v>
      </c>
      <c r="J2063" s="25" t="n">
        <v>1</v>
      </c>
      <c r="K2063" s="25" t="n">
        <v>10</v>
      </c>
      <c r="L2063" s="29" t="n">
        <v>0.76</v>
      </c>
      <c r="M2063" s="30" t="n">
        <v>15.74</v>
      </c>
      <c r="N2063" s="29" t="n">
        <v>0.56</v>
      </c>
      <c r="O2063" s="25" t="n">
        <v>184</v>
      </c>
      <c r="P2063" s="30" t="n">
        <v>-0.83</v>
      </c>
      <c r="Q2063" s="27" t="s">
        <v>4060</v>
      </c>
      <c r="R2063" s="27" t="s">
        <v>1076</v>
      </c>
    </row>
    <row r="2064" customFormat="false" ht="15" hidden="false" customHeight="false" outlineLevel="0" collapsed="false">
      <c r="A2064" s="25" t="n">
        <f aca="false">IF(G2064="REJECT",COUNTIF($G$2:$G$2277,"&lt;&gt;REJECT")+1+COUNTIFS($G$2:$G$2277,"REJECT",$B$2:$B$2277,"&gt;"&amp;B2064),1+COUNTIFS($G$2:$G$2277,"&lt;&gt;REJECT",$B$2:$B$2277,"&gt;"&amp;B2064))</f>
        <v>2063</v>
      </c>
      <c r="B2064" s="26" t="n">
        <f aca="false">ROUND(($U$2*MAX(0,MIN(1,($W$2-I2064)/($W$2-$V$2)))+$U$3*MAX(0,MIN(1,($W$3-J2064)/($W$3-$V$3)))+$U$4*MAX(0,MIN(1,($W$4-K2064)/($W$4-$V$4)))+$U$5*MAX(0,MIN(1,($W$5-L2064)/($W$5-$V$5)))+$U$6*MAX(0,MIN(1,($W$6-M2064)/($W$6-$V$6)))+$U$7*MAX(0,MIN(1,($W$7-N2064)/($W$7-$V$7)))+$U$8*IF(AND(O2064&gt;=$V$8,O2064&lt;=$W$8),1,0))/$U$9*100,2)</f>
        <v>34.02</v>
      </c>
      <c r="C2064" s="27" t="s">
        <v>1011</v>
      </c>
      <c r="D2064" s="25" t="s">
        <v>134</v>
      </c>
      <c r="E2064" s="25" t="s">
        <v>3447</v>
      </c>
      <c r="F2064" s="25" t="s">
        <v>3457</v>
      </c>
      <c r="G2064" s="39" t="s">
        <v>32</v>
      </c>
      <c r="H2064" s="39" t="s">
        <v>26</v>
      </c>
      <c r="I2064" s="25" t="n">
        <v>12</v>
      </c>
      <c r="J2064" s="25" t="n">
        <v>1</v>
      </c>
      <c r="K2064" s="25" t="n">
        <v>12</v>
      </c>
      <c r="L2064" s="29" t="n">
        <v>0.73</v>
      </c>
      <c r="M2064" s="30" t="n">
        <v>8.28</v>
      </c>
      <c r="N2064" s="29" t="n">
        <v>0.24</v>
      </c>
      <c r="O2064" s="25" t="n">
        <v>183</v>
      </c>
      <c r="P2064" s="30" t="n">
        <v>5.11</v>
      </c>
      <c r="Q2064" s="27" t="s">
        <v>4044</v>
      </c>
      <c r="R2064" s="27" t="s">
        <v>529</v>
      </c>
    </row>
    <row r="2065" customFormat="false" ht="15" hidden="false" customHeight="false" outlineLevel="0" collapsed="false">
      <c r="A2065" s="25" t="n">
        <f aca="false">IF(G2065="REJECT",COUNTIF($G$2:$G$2277,"&lt;&gt;REJECT")+1+COUNTIFS($G$2:$G$2277,"REJECT",$B$2:$B$2277,"&gt;"&amp;B2065),1+COUNTIFS($G$2:$G$2277,"&lt;&gt;REJECT",$B$2:$B$2277,"&gt;"&amp;B2065))</f>
        <v>2064</v>
      </c>
      <c r="B2065" s="26" t="n">
        <f aca="false">ROUND(($U$2*MAX(0,MIN(1,($W$2-I2065)/($W$2-$V$2)))+$U$3*MAX(0,MIN(1,($W$3-J2065)/($W$3-$V$3)))+$U$4*MAX(0,MIN(1,($W$4-K2065)/($W$4-$V$4)))+$U$5*MAX(0,MIN(1,($W$5-L2065)/($W$5-$V$5)))+$U$6*MAX(0,MIN(1,($W$6-M2065)/($W$6-$V$6)))+$U$7*MAX(0,MIN(1,($W$7-N2065)/($W$7-$V$7)))+$U$8*IF(AND(O2065&gt;=$V$8,O2065&lt;=$W$8),1,0))/$U$9*100,2)</f>
        <v>33.98</v>
      </c>
      <c r="C2065" s="27" t="s">
        <v>2096</v>
      </c>
      <c r="D2065" s="25" t="s">
        <v>134</v>
      </c>
      <c r="E2065" s="25" t="s">
        <v>3447</v>
      </c>
      <c r="F2065" s="25" t="s">
        <v>3448</v>
      </c>
      <c r="G2065" s="39" t="s">
        <v>32</v>
      </c>
      <c r="H2065" s="39" t="s">
        <v>26</v>
      </c>
      <c r="I2065" s="25" t="n">
        <v>12</v>
      </c>
      <c r="J2065" s="25" t="n">
        <v>1</v>
      </c>
      <c r="K2065" s="25" t="n">
        <v>12</v>
      </c>
      <c r="L2065" s="29" t="n">
        <v>0.78</v>
      </c>
      <c r="M2065" s="30" t="n">
        <v>24.92</v>
      </c>
      <c r="N2065" s="29" t="n">
        <v>0.4</v>
      </c>
      <c r="O2065" s="25" t="n">
        <v>184</v>
      </c>
      <c r="P2065" s="30" t="n">
        <v>4.08</v>
      </c>
      <c r="Q2065" s="27" t="s">
        <v>4044</v>
      </c>
      <c r="R2065" s="27" t="s">
        <v>1926</v>
      </c>
    </row>
    <row r="2066" customFormat="false" ht="15" hidden="false" customHeight="false" outlineLevel="0" collapsed="false">
      <c r="A2066" s="25" t="n">
        <f aca="false">IF(G2066="REJECT",COUNTIF($G$2:$G$2277,"&lt;&gt;REJECT")+1+COUNTIFS($G$2:$G$2277,"REJECT",$B$2:$B$2277,"&gt;"&amp;B2066),1+COUNTIFS($G$2:$G$2277,"&lt;&gt;REJECT",$B$2:$B$2277,"&gt;"&amp;B2066))</f>
        <v>2065</v>
      </c>
      <c r="B2066" s="26" t="n">
        <f aca="false">ROUND(($U$2*MAX(0,MIN(1,($W$2-I2066)/($W$2-$V$2)))+$U$3*MAX(0,MIN(1,($W$3-J2066)/($W$3-$V$3)))+$U$4*MAX(0,MIN(1,($W$4-K2066)/($W$4-$V$4)))+$U$5*MAX(0,MIN(1,($W$5-L2066)/($W$5-$V$5)))+$U$6*MAX(0,MIN(1,($W$6-M2066)/($W$6-$V$6)))+$U$7*MAX(0,MIN(1,($W$7-N2066)/($W$7-$V$7)))+$U$8*IF(AND(O2066&gt;=$V$8,O2066&lt;=$W$8),1,0))/$U$9*100,2)</f>
        <v>33.97</v>
      </c>
      <c r="C2066" s="27" t="s">
        <v>3378</v>
      </c>
      <c r="D2066" s="25" t="s">
        <v>134</v>
      </c>
      <c r="E2066" s="25" t="s">
        <v>3447</v>
      </c>
      <c r="F2066" s="25" t="s">
        <v>3457</v>
      </c>
      <c r="G2066" s="39" t="s">
        <v>32</v>
      </c>
      <c r="H2066" s="39" t="s">
        <v>26</v>
      </c>
      <c r="I2066" s="25" t="n">
        <v>10</v>
      </c>
      <c r="J2066" s="25" t="n">
        <v>1</v>
      </c>
      <c r="K2066" s="25" t="n">
        <v>10</v>
      </c>
      <c r="L2066" s="29" t="n">
        <v>0.75</v>
      </c>
      <c r="M2066" s="30" t="n">
        <v>14.16</v>
      </c>
      <c r="N2066" s="29" t="n">
        <v>0.4</v>
      </c>
      <c r="O2066" s="25" t="n">
        <v>192</v>
      </c>
      <c r="P2066" s="30" t="n">
        <v>7.29</v>
      </c>
      <c r="Q2066" s="27" t="s">
        <v>4029</v>
      </c>
      <c r="R2066" s="27" t="s">
        <v>529</v>
      </c>
    </row>
    <row r="2067" customFormat="false" ht="15" hidden="false" customHeight="false" outlineLevel="0" collapsed="false">
      <c r="A2067" s="25" t="n">
        <f aca="false">IF(G2067="REJECT",COUNTIF($G$2:$G$2277,"&lt;&gt;REJECT")+1+COUNTIFS($G$2:$G$2277,"REJECT",$B$2:$B$2277,"&gt;"&amp;B2067),1+COUNTIFS($G$2:$G$2277,"&lt;&gt;REJECT",$B$2:$B$2277,"&gt;"&amp;B2067))</f>
        <v>2066</v>
      </c>
      <c r="B2067" s="26" t="n">
        <f aca="false">ROUND(($U$2*MAX(0,MIN(1,($W$2-I2067)/($W$2-$V$2)))+$U$3*MAX(0,MIN(1,($W$3-J2067)/($W$3-$V$3)))+$U$4*MAX(0,MIN(1,($W$4-K2067)/($W$4-$V$4)))+$U$5*MAX(0,MIN(1,($W$5-L2067)/($W$5-$V$5)))+$U$6*MAX(0,MIN(1,($W$6-M2067)/($W$6-$V$6)))+$U$7*MAX(0,MIN(1,($W$7-N2067)/($W$7-$V$7)))+$U$8*IF(AND(O2067&gt;=$V$8,O2067&lt;=$W$8),1,0))/$U$9*100,2)</f>
        <v>33.91</v>
      </c>
      <c r="C2067" s="27" t="s">
        <v>3363</v>
      </c>
      <c r="D2067" s="25" t="s">
        <v>134</v>
      </c>
      <c r="E2067" s="25" t="s">
        <v>3447</v>
      </c>
      <c r="F2067" s="25" t="s">
        <v>3457</v>
      </c>
      <c r="G2067" s="39" t="s">
        <v>32</v>
      </c>
      <c r="H2067" s="39" t="s">
        <v>26</v>
      </c>
      <c r="I2067" s="25" t="n">
        <v>12</v>
      </c>
      <c r="J2067" s="25" t="n">
        <v>1</v>
      </c>
      <c r="K2067" s="25" t="n">
        <v>12</v>
      </c>
      <c r="L2067" s="29" t="n">
        <v>0.74</v>
      </c>
      <c r="M2067" s="30" t="n">
        <v>13.36</v>
      </c>
      <c r="N2067" s="29" t="n">
        <v>0.16</v>
      </c>
      <c r="O2067" s="25" t="n">
        <v>188</v>
      </c>
      <c r="P2067" s="30" t="n">
        <v>3.29</v>
      </c>
      <c r="Q2067" s="27" t="s">
        <v>4044</v>
      </c>
      <c r="R2067" s="27" t="s">
        <v>529</v>
      </c>
    </row>
    <row r="2068" customFormat="false" ht="15" hidden="false" customHeight="false" outlineLevel="0" collapsed="false">
      <c r="A2068" s="25" t="n">
        <f aca="false">IF(G2068="REJECT",COUNTIF($G$2:$G$2277,"&lt;&gt;REJECT")+1+COUNTIFS($G$2:$G$2277,"REJECT",$B$2:$B$2277,"&gt;"&amp;B2068),1+COUNTIFS($G$2:$G$2277,"&lt;&gt;REJECT",$B$2:$B$2277,"&gt;"&amp;B2068))</f>
        <v>2067</v>
      </c>
      <c r="B2068" s="26" t="n">
        <f aca="false">ROUND(($U$2*MAX(0,MIN(1,($W$2-I2068)/($W$2-$V$2)))+$U$3*MAX(0,MIN(1,($W$3-J2068)/($W$3-$V$3)))+$U$4*MAX(0,MIN(1,($W$4-K2068)/($W$4-$V$4)))+$U$5*MAX(0,MIN(1,($W$5-L2068)/($W$5-$V$5)))+$U$6*MAX(0,MIN(1,($W$6-M2068)/($W$6-$V$6)))+$U$7*MAX(0,MIN(1,($W$7-N2068)/($W$7-$V$7)))+$U$8*IF(AND(O2068&gt;=$V$8,O2068&lt;=$W$8),1,0))/$U$9*100,2)</f>
        <v>33.88</v>
      </c>
      <c r="C2068" s="27" t="s">
        <v>108</v>
      </c>
      <c r="D2068" s="25" t="s">
        <v>134</v>
      </c>
      <c r="E2068" s="25" t="s">
        <v>3447</v>
      </c>
      <c r="F2068" s="25" t="s">
        <v>3457</v>
      </c>
      <c r="G2068" s="39" t="s">
        <v>32</v>
      </c>
      <c r="H2068" s="39" t="s">
        <v>26</v>
      </c>
      <c r="I2068" s="25" t="n">
        <v>13</v>
      </c>
      <c r="J2068" s="25" t="n">
        <v>1</v>
      </c>
      <c r="K2068" s="25" t="n">
        <v>13</v>
      </c>
      <c r="L2068" s="29" t="n">
        <v>0.78</v>
      </c>
      <c r="M2068" s="30" t="n">
        <v>23.15</v>
      </c>
      <c r="N2068" s="29" t="n">
        <v>0.64</v>
      </c>
      <c r="O2068" s="25" t="n">
        <v>184</v>
      </c>
      <c r="P2068" s="30" t="n">
        <v>-0.65</v>
      </c>
      <c r="Q2068" s="27" t="s">
        <v>4023</v>
      </c>
      <c r="R2068" s="27" t="s">
        <v>1926</v>
      </c>
    </row>
    <row r="2069" customFormat="false" ht="15" hidden="false" customHeight="false" outlineLevel="0" collapsed="false">
      <c r="A2069" s="25" t="n">
        <f aca="false">IF(G2069="REJECT",COUNTIF($G$2:$G$2277,"&lt;&gt;REJECT")+1+COUNTIFS($G$2:$G$2277,"REJECT",$B$2:$B$2277,"&gt;"&amp;B2069),1+COUNTIFS($G$2:$G$2277,"&lt;&gt;REJECT",$B$2:$B$2277,"&gt;"&amp;B2069))</f>
        <v>2068</v>
      </c>
      <c r="B2069" s="26" t="n">
        <f aca="false">ROUND(($U$2*MAX(0,MIN(1,($W$2-I2069)/($W$2-$V$2)))+$U$3*MAX(0,MIN(1,($W$3-J2069)/($W$3-$V$3)))+$U$4*MAX(0,MIN(1,($W$4-K2069)/($W$4-$V$4)))+$U$5*MAX(0,MIN(1,($W$5-L2069)/($W$5-$V$5)))+$U$6*MAX(0,MIN(1,($W$6-M2069)/($W$6-$V$6)))+$U$7*MAX(0,MIN(1,($W$7-N2069)/($W$7-$V$7)))+$U$8*IF(AND(O2069&gt;=$V$8,O2069&lt;=$W$8),1,0))/$U$9*100,2)</f>
        <v>33.84</v>
      </c>
      <c r="C2069" s="27" t="s">
        <v>1781</v>
      </c>
      <c r="D2069" s="25" t="s">
        <v>134</v>
      </c>
      <c r="E2069" s="25" t="s">
        <v>3447</v>
      </c>
      <c r="F2069" s="25" t="s">
        <v>3457</v>
      </c>
      <c r="G2069" s="39" t="s">
        <v>32</v>
      </c>
      <c r="H2069" s="39" t="s">
        <v>26</v>
      </c>
      <c r="I2069" s="25" t="n">
        <v>10</v>
      </c>
      <c r="J2069" s="25" t="n">
        <v>1</v>
      </c>
      <c r="K2069" s="25" t="n">
        <v>10</v>
      </c>
      <c r="L2069" s="29" t="n">
        <v>0.74</v>
      </c>
      <c r="M2069" s="30" t="n">
        <v>9.39</v>
      </c>
      <c r="N2069" s="29" t="n">
        <v>0.6</v>
      </c>
      <c r="O2069" s="25" t="n">
        <v>184</v>
      </c>
      <c r="P2069" s="30" t="n">
        <v>-1.23</v>
      </c>
      <c r="Q2069" s="27" t="s">
        <v>4060</v>
      </c>
      <c r="R2069" s="27" t="s">
        <v>1451</v>
      </c>
    </row>
    <row r="2070" customFormat="false" ht="15" hidden="false" customHeight="false" outlineLevel="0" collapsed="false">
      <c r="A2070" s="25" t="n">
        <f aca="false">IF(G2070="REJECT",COUNTIF($G$2:$G$2277,"&lt;&gt;REJECT")+1+COUNTIFS($G$2:$G$2277,"REJECT",$B$2:$B$2277,"&gt;"&amp;B2070),1+COUNTIFS($G$2:$G$2277,"&lt;&gt;REJECT",$B$2:$B$2277,"&gt;"&amp;B2070))</f>
        <v>2069</v>
      </c>
      <c r="B2070" s="26" t="n">
        <f aca="false">ROUND(($U$2*MAX(0,MIN(1,($W$2-I2070)/($W$2-$V$2)))+$U$3*MAX(0,MIN(1,($W$3-J2070)/($W$3-$V$3)))+$U$4*MAX(0,MIN(1,($W$4-K2070)/($W$4-$V$4)))+$U$5*MAX(0,MIN(1,($W$5-L2070)/($W$5-$V$5)))+$U$6*MAX(0,MIN(1,($W$6-M2070)/($W$6-$V$6)))+$U$7*MAX(0,MIN(1,($W$7-N2070)/($W$7-$V$7)))+$U$8*IF(AND(O2070&gt;=$V$8,O2070&lt;=$W$8),1,0))/$U$9*100,2)</f>
        <v>33.8</v>
      </c>
      <c r="C2070" s="27" t="s">
        <v>1793</v>
      </c>
      <c r="D2070" s="25" t="s">
        <v>3459</v>
      </c>
      <c r="E2070" s="25" t="s">
        <v>3447</v>
      </c>
      <c r="F2070" s="25" t="s">
        <v>3457</v>
      </c>
      <c r="G2070" s="39" t="s">
        <v>32</v>
      </c>
      <c r="H2070" s="39" t="s">
        <v>26</v>
      </c>
      <c r="I2070" s="25" t="n">
        <v>7</v>
      </c>
      <c r="J2070" s="25" t="n">
        <v>1</v>
      </c>
      <c r="K2070" s="25" t="n">
        <v>7</v>
      </c>
      <c r="L2070" s="29" t="n">
        <v>0.65</v>
      </c>
      <c r="M2070" s="30" t="n">
        <v>16.73</v>
      </c>
      <c r="N2070" s="29" t="n">
        <v>0.4</v>
      </c>
      <c r="O2070" s="25" t="n">
        <v>184</v>
      </c>
      <c r="P2070" s="30" t="n">
        <v>-0.35</v>
      </c>
      <c r="Q2070" s="27" t="s">
        <v>4075</v>
      </c>
      <c r="R2070" s="27" t="s">
        <v>529</v>
      </c>
    </row>
    <row r="2071" customFormat="false" ht="15" hidden="false" customHeight="false" outlineLevel="0" collapsed="false">
      <c r="A2071" s="25" t="n">
        <f aca="false">IF(G2071="REJECT",COUNTIF($G$2:$G$2277,"&lt;&gt;REJECT")+1+COUNTIFS($G$2:$G$2277,"REJECT",$B$2:$B$2277,"&gt;"&amp;B2071),1+COUNTIFS($G$2:$G$2277,"&lt;&gt;REJECT",$B$2:$B$2277,"&gt;"&amp;B2071))</f>
        <v>2070</v>
      </c>
      <c r="B2071" s="26" t="n">
        <f aca="false">ROUND(($U$2*MAX(0,MIN(1,($W$2-I2071)/($W$2-$V$2)))+$U$3*MAX(0,MIN(1,($W$3-J2071)/($W$3-$V$3)))+$U$4*MAX(0,MIN(1,($W$4-K2071)/($W$4-$V$4)))+$U$5*MAX(0,MIN(1,($W$5-L2071)/($W$5-$V$5)))+$U$6*MAX(0,MIN(1,($W$6-M2071)/($W$6-$V$6)))+$U$7*MAX(0,MIN(1,($W$7-N2071)/($W$7-$V$7)))+$U$8*IF(AND(O2071&gt;=$V$8,O2071&lt;=$W$8),1,0))/$U$9*100,2)</f>
        <v>33.57</v>
      </c>
      <c r="C2071" s="27" t="s">
        <v>2080</v>
      </c>
      <c r="D2071" s="25" t="s">
        <v>134</v>
      </c>
      <c r="E2071" s="25" t="s">
        <v>3447</v>
      </c>
      <c r="F2071" s="25" t="s">
        <v>3457</v>
      </c>
      <c r="G2071" s="39" t="s">
        <v>32</v>
      </c>
      <c r="H2071" s="39" t="s">
        <v>26</v>
      </c>
      <c r="I2071" s="25" t="n">
        <v>9</v>
      </c>
      <c r="J2071" s="25" t="n">
        <v>1</v>
      </c>
      <c r="K2071" s="25" t="n">
        <v>9</v>
      </c>
      <c r="L2071" s="29" t="n">
        <v>0.77</v>
      </c>
      <c r="M2071" s="30" t="n">
        <v>23.36</v>
      </c>
      <c r="N2071" s="29" t="n">
        <v>0.44</v>
      </c>
      <c r="O2071" s="25" t="n">
        <v>183</v>
      </c>
      <c r="P2071" s="30" t="n">
        <v>3.22</v>
      </c>
      <c r="Q2071" s="27" t="s">
        <v>4030</v>
      </c>
      <c r="R2071" s="27" t="s">
        <v>1926</v>
      </c>
    </row>
    <row r="2072" customFormat="false" ht="15" hidden="false" customHeight="false" outlineLevel="0" collapsed="false">
      <c r="A2072" s="25" t="n">
        <f aca="false">IF(G2072="REJECT",COUNTIF($G$2:$G$2277,"&lt;&gt;REJECT")+1+COUNTIFS($G$2:$G$2277,"REJECT",$B$2:$B$2277,"&gt;"&amp;B2072),1+COUNTIFS($G$2:$G$2277,"&lt;&gt;REJECT",$B$2:$B$2277,"&gt;"&amp;B2072))</f>
        <v>2071</v>
      </c>
      <c r="B2072" s="26" t="n">
        <f aca="false">ROUND(($U$2*MAX(0,MIN(1,($W$2-I2072)/($W$2-$V$2)))+$U$3*MAX(0,MIN(1,($W$3-J2072)/($W$3-$V$3)))+$U$4*MAX(0,MIN(1,($W$4-K2072)/($W$4-$V$4)))+$U$5*MAX(0,MIN(1,($W$5-L2072)/($W$5-$V$5)))+$U$6*MAX(0,MIN(1,($W$6-M2072)/($W$6-$V$6)))+$U$7*MAX(0,MIN(1,($W$7-N2072)/($W$7-$V$7)))+$U$8*IF(AND(O2072&gt;=$V$8,O2072&lt;=$W$8),1,0))/$U$9*100,2)</f>
        <v>33.56</v>
      </c>
      <c r="C2072" s="27" t="s">
        <v>2033</v>
      </c>
      <c r="D2072" s="25" t="s">
        <v>3459</v>
      </c>
      <c r="E2072" s="25" t="s">
        <v>3447</v>
      </c>
      <c r="F2072" s="25" t="s">
        <v>3457</v>
      </c>
      <c r="G2072" s="39" t="s">
        <v>32</v>
      </c>
      <c r="H2072" s="39" t="s">
        <v>26</v>
      </c>
      <c r="I2072" s="25" t="n">
        <v>8</v>
      </c>
      <c r="J2072" s="25" t="n">
        <v>1</v>
      </c>
      <c r="K2072" s="25" t="n">
        <v>8</v>
      </c>
      <c r="L2072" s="29" t="n">
        <v>0.77</v>
      </c>
      <c r="M2072" s="30" t="n">
        <v>20.25</v>
      </c>
      <c r="N2072" s="29" t="n">
        <v>0.76</v>
      </c>
      <c r="O2072" s="25" t="n">
        <v>188</v>
      </c>
      <c r="P2072" s="30" t="n">
        <v>-0.38</v>
      </c>
      <c r="Q2072" s="27" t="s">
        <v>4076</v>
      </c>
      <c r="R2072" s="27" t="s">
        <v>1926</v>
      </c>
    </row>
    <row r="2073" customFormat="false" ht="15" hidden="false" customHeight="false" outlineLevel="0" collapsed="false">
      <c r="A2073" s="25" t="n">
        <f aca="false">IF(G2073="REJECT",COUNTIF($G$2:$G$2277,"&lt;&gt;REJECT")+1+COUNTIFS($G$2:$G$2277,"REJECT",$B$2:$B$2277,"&gt;"&amp;B2073),1+COUNTIFS($G$2:$G$2277,"&lt;&gt;REJECT",$B$2:$B$2277,"&gt;"&amp;B2073))</f>
        <v>2072</v>
      </c>
      <c r="B2073" s="26" t="n">
        <f aca="false">ROUND(($U$2*MAX(0,MIN(1,($W$2-I2073)/($W$2-$V$2)))+$U$3*MAX(0,MIN(1,($W$3-J2073)/($W$3-$V$3)))+$U$4*MAX(0,MIN(1,($W$4-K2073)/($W$4-$V$4)))+$U$5*MAX(0,MIN(1,($W$5-L2073)/($W$5-$V$5)))+$U$6*MAX(0,MIN(1,($W$6-M2073)/($W$6-$V$6)))+$U$7*MAX(0,MIN(1,($W$7-N2073)/($W$7-$V$7)))+$U$8*IF(AND(O2073&gt;=$V$8,O2073&lt;=$W$8),1,0))/$U$9*100,2)</f>
        <v>33.55</v>
      </c>
      <c r="C2073" s="27" t="s">
        <v>437</v>
      </c>
      <c r="D2073" s="25" t="s">
        <v>134</v>
      </c>
      <c r="E2073" s="25" t="s">
        <v>3447</v>
      </c>
      <c r="F2073" s="25" t="s">
        <v>3457</v>
      </c>
      <c r="G2073" s="39" t="s">
        <v>32</v>
      </c>
      <c r="H2073" s="39" t="s">
        <v>26</v>
      </c>
      <c r="I2073" s="25" t="n">
        <v>9</v>
      </c>
      <c r="J2073" s="25" t="n">
        <v>1</v>
      </c>
      <c r="K2073" s="25" t="n">
        <v>9</v>
      </c>
      <c r="L2073" s="29" t="n">
        <v>0.74</v>
      </c>
      <c r="M2073" s="30" t="n">
        <v>9.48</v>
      </c>
      <c r="N2073" s="29" t="n">
        <v>0.76</v>
      </c>
      <c r="O2073" s="25" t="n">
        <v>188</v>
      </c>
      <c r="P2073" s="30" t="n">
        <v>-1.29</v>
      </c>
      <c r="Q2073" s="27" t="s">
        <v>4030</v>
      </c>
      <c r="R2073" s="27" t="s">
        <v>529</v>
      </c>
    </row>
    <row r="2074" customFormat="false" ht="15" hidden="false" customHeight="false" outlineLevel="0" collapsed="false">
      <c r="A2074" s="25" t="n">
        <f aca="false">IF(G2074="REJECT",COUNTIF($G$2:$G$2277,"&lt;&gt;REJECT")+1+COUNTIFS($G$2:$G$2277,"REJECT",$B$2:$B$2277,"&gt;"&amp;B2074),1+COUNTIFS($G$2:$G$2277,"&lt;&gt;REJECT",$B$2:$B$2277,"&gt;"&amp;B2074))</f>
        <v>2072</v>
      </c>
      <c r="B2074" s="26" t="n">
        <f aca="false">ROUND(($U$2*MAX(0,MIN(1,($W$2-I2074)/($W$2-$V$2)))+$U$3*MAX(0,MIN(1,($W$3-J2074)/($W$3-$V$3)))+$U$4*MAX(0,MIN(1,($W$4-K2074)/($W$4-$V$4)))+$U$5*MAX(0,MIN(1,($W$5-L2074)/($W$5-$V$5)))+$U$6*MAX(0,MIN(1,($W$6-M2074)/($W$6-$V$6)))+$U$7*MAX(0,MIN(1,($W$7-N2074)/($W$7-$V$7)))+$U$8*IF(AND(O2074&gt;=$V$8,O2074&lt;=$W$8),1,0))/$U$9*100,2)</f>
        <v>33.55</v>
      </c>
      <c r="C2074" s="27" t="s">
        <v>2379</v>
      </c>
      <c r="D2074" s="25" t="s">
        <v>134</v>
      </c>
      <c r="E2074" s="25" t="s">
        <v>3447</v>
      </c>
      <c r="F2074" s="25" t="s">
        <v>3457</v>
      </c>
      <c r="G2074" s="39" t="s">
        <v>32</v>
      </c>
      <c r="H2074" s="39" t="s">
        <v>26</v>
      </c>
      <c r="I2074" s="25" t="n">
        <v>10</v>
      </c>
      <c r="J2074" s="25" t="n">
        <v>1</v>
      </c>
      <c r="K2074" s="25" t="n">
        <v>10</v>
      </c>
      <c r="L2074" s="29" t="n">
        <v>0.71</v>
      </c>
      <c r="M2074" s="30" t="n">
        <v>1.48</v>
      </c>
      <c r="N2074" s="29" t="n">
        <v>0.48</v>
      </c>
      <c r="O2074" s="25" t="n">
        <v>184</v>
      </c>
      <c r="P2074" s="30" t="n">
        <v>2.53</v>
      </c>
      <c r="Q2074" s="27" t="s">
        <v>4077</v>
      </c>
      <c r="R2074" s="27" t="s">
        <v>529</v>
      </c>
    </row>
    <row r="2075" customFormat="false" ht="15" hidden="false" customHeight="false" outlineLevel="0" collapsed="false">
      <c r="A2075" s="25" t="n">
        <f aca="false">IF(G2075="REJECT",COUNTIF($G$2:$G$2277,"&lt;&gt;REJECT")+1+COUNTIFS($G$2:$G$2277,"REJECT",$B$2:$B$2277,"&gt;"&amp;B2075),1+COUNTIFS($G$2:$G$2277,"&lt;&gt;REJECT",$B$2:$B$2277,"&gt;"&amp;B2075))</f>
        <v>2074</v>
      </c>
      <c r="B2075" s="26" t="n">
        <f aca="false">ROUND(($U$2*MAX(0,MIN(1,($W$2-I2075)/($W$2-$V$2)))+$U$3*MAX(0,MIN(1,($W$3-J2075)/($W$3-$V$3)))+$U$4*MAX(0,MIN(1,($W$4-K2075)/($W$4-$V$4)))+$U$5*MAX(0,MIN(1,($W$5-L2075)/($W$5-$V$5)))+$U$6*MAX(0,MIN(1,($W$6-M2075)/($W$6-$V$6)))+$U$7*MAX(0,MIN(1,($W$7-N2075)/($W$7-$V$7)))+$U$8*IF(AND(O2075&gt;=$V$8,O2075&lt;=$W$8),1,0))/$U$9*100,2)</f>
        <v>33.52</v>
      </c>
      <c r="C2075" s="27" t="s">
        <v>1308</v>
      </c>
      <c r="D2075" s="25" t="s">
        <v>134</v>
      </c>
      <c r="E2075" s="25" t="s">
        <v>3447</v>
      </c>
      <c r="F2075" s="25" t="s">
        <v>3448</v>
      </c>
      <c r="G2075" s="39" t="s">
        <v>32</v>
      </c>
      <c r="H2075" s="39" t="s">
        <v>26</v>
      </c>
      <c r="I2075" s="25" t="n">
        <v>10</v>
      </c>
      <c r="J2075" s="25" t="n">
        <v>1</v>
      </c>
      <c r="K2075" s="25" t="n">
        <v>10</v>
      </c>
      <c r="L2075" s="29" t="n">
        <v>0.73</v>
      </c>
      <c r="M2075" s="30" t="n">
        <v>10.91</v>
      </c>
      <c r="N2075" s="29" t="n">
        <v>0.28</v>
      </c>
      <c r="O2075" s="25" t="n">
        <v>183</v>
      </c>
      <c r="P2075" s="30" t="n">
        <v>2.64</v>
      </c>
      <c r="Q2075" s="27" t="s">
        <v>4060</v>
      </c>
      <c r="R2075" s="27" t="s">
        <v>529</v>
      </c>
    </row>
    <row r="2076" customFormat="false" ht="15" hidden="false" customHeight="false" outlineLevel="0" collapsed="false">
      <c r="A2076" s="25" t="n">
        <f aca="false">IF(G2076="REJECT",COUNTIF($G$2:$G$2277,"&lt;&gt;REJECT")+1+COUNTIFS($G$2:$G$2277,"REJECT",$B$2:$B$2277,"&gt;"&amp;B2076),1+COUNTIFS($G$2:$G$2277,"&lt;&gt;REJECT",$B$2:$B$2277,"&gt;"&amp;B2076))</f>
        <v>2075</v>
      </c>
      <c r="B2076" s="26" t="n">
        <f aca="false">ROUND(($U$2*MAX(0,MIN(1,($W$2-I2076)/($W$2-$V$2)))+$U$3*MAX(0,MIN(1,($W$3-J2076)/($W$3-$V$3)))+$U$4*MAX(0,MIN(1,($W$4-K2076)/($W$4-$V$4)))+$U$5*MAX(0,MIN(1,($W$5-L2076)/($W$5-$V$5)))+$U$6*MAX(0,MIN(1,($W$6-M2076)/($W$6-$V$6)))+$U$7*MAX(0,MIN(1,($W$7-N2076)/($W$7-$V$7)))+$U$8*IF(AND(O2076&gt;=$V$8,O2076&lt;=$W$8),1,0))/$U$9*100,2)</f>
        <v>33.51</v>
      </c>
      <c r="C2076" s="27" t="s">
        <v>3075</v>
      </c>
      <c r="D2076" s="25" t="s">
        <v>134</v>
      </c>
      <c r="E2076" s="25" t="s">
        <v>3450</v>
      </c>
      <c r="F2076" s="25" t="s">
        <v>3457</v>
      </c>
      <c r="G2076" s="39" t="s">
        <v>32</v>
      </c>
      <c r="H2076" s="39" t="s">
        <v>26</v>
      </c>
      <c r="I2076" s="25" t="n">
        <v>8</v>
      </c>
      <c r="J2076" s="25" t="n">
        <v>1</v>
      </c>
      <c r="K2076" s="25" t="n">
        <v>8</v>
      </c>
      <c r="L2076" s="29" t="n">
        <v>0.74</v>
      </c>
      <c r="M2076" s="30" t="n">
        <v>15.37</v>
      </c>
      <c r="N2076" s="29" t="n">
        <v>0.2</v>
      </c>
      <c r="O2076" s="25" t="n">
        <v>182</v>
      </c>
      <c r="P2076" s="30" t="n">
        <v>2.93</v>
      </c>
      <c r="Q2076" s="27" t="s">
        <v>4028</v>
      </c>
      <c r="R2076" s="27" t="s">
        <v>231</v>
      </c>
    </row>
    <row r="2077" customFormat="false" ht="15" hidden="false" customHeight="false" outlineLevel="0" collapsed="false">
      <c r="A2077" s="25" t="n">
        <f aca="false">IF(G2077="REJECT",COUNTIF($G$2:$G$2277,"&lt;&gt;REJECT")+1+COUNTIFS($G$2:$G$2277,"REJECT",$B$2:$B$2277,"&gt;"&amp;B2077),1+COUNTIFS($G$2:$G$2277,"&lt;&gt;REJECT",$B$2:$B$2277,"&gt;"&amp;B2077))</f>
        <v>2076</v>
      </c>
      <c r="B2077" s="26" t="n">
        <f aca="false">ROUND(($U$2*MAX(0,MIN(1,($W$2-I2077)/($W$2-$V$2)))+$U$3*MAX(0,MIN(1,($W$3-J2077)/($W$3-$V$3)))+$U$4*MAX(0,MIN(1,($W$4-K2077)/($W$4-$V$4)))+$U$5*MAX(0,MIN(1,($W$5-L2077)/($W$5-$V$5)))+$U$6*MAX(0,MIN(1,($W$6-M2077)/($W$6-$V$6)))+$U$7*MAX(0,MIN(1,($W$7-N2077)/($W$7-$V$7)))+$U$8*IF(AND(O2077&gt;=$V$8,O2077&lt;=$W$8),1,0))/$U$9*100,2)</f>
        <v>33.5</v>
      </c>
      <c r="C2077" s="27" t="s">
        <v>1955</v>
      </c>
      <c r="D2077" s="25" t="s">
        <v>134</v>
      </c>
      <c r="E2077" s="25" t="s">
        <v>3447</v>
      </c>
      <c r="F2077" s="25" t="s">
        <v>3457</v>
      </c>
      <c r="G2077" s="39" t="s">
        <v>32</v>
      </c>
      <c r="H2077" s="39" t="s">
        <v>26</v>
      </c>
      <c r="I2077" s="25" t="n">
        <v>11</v>
      </c>
      <c r="J2077" s="25" t="n">
        <v>1</v>
      </c>
      <c r="K2077" s="25" t="n">
        <v>11</v>
      </c>
      <c r="L2077" s="29" t="n">
        <v>0.72</v>
      </c>
      <c r="M2077" s="30" t="n">
        <v>5.4</v>
      </c>
      <c r="N2077" s="29" t="n">
        <v>0.48</v>
      </c>
      <c r="O2077" s="25" t="n">
        <v>184</v>
      </c>
      <c r="P2077" s="30" t="n">
        <v>2.79</v>
      </c>
      <c r="Q2077" s="27" t="s">
        <v>4078</v>
      </c>
      <c r="R2077" s="27" t="s">
        <v>529</v>
      </c>
    </row>
    <row r="2078" customFormat="false" ht="15" hidden="false" customHeight="false" outlineLevel="0" collapsed="false">
      <c r="A2078" s="25" t="n">
        <f aca="false">IF(G2078="REJECT",COUNTIF($G$2:$G$2277,"&lt;&gt;REJECT")+1+COUNTIFS($G$2:$G$2277,"REJECT",$B$2:$B$2277,"&gt;"&amp;B2078),1+COUNTIFS($G$2:$G$2277,"&lt;&gt;REJECT",$B$2:$B$2277,"&gt;"&amp;B2078))</f>
        <v>2077</v>
      </c>
      <c r="B2078" s="26" t="n">
        <f aca="false">ROUND(($U$2*MAX(0,MIN(1,($W$2-I2078)/($W$2-$V$2)))+$U$3*MAX(0,MIN(1,($W$3-J2078)/($W$3-$V$3)))+$U$4*MAX(0,MIN(1,($W$4-K2078)/($W$4-$V$4)))+$U$5*MAX(0,MIN(1,($W$5-L2078)/($W$5-$V$5)))+$U$6*MAX(0,MIN(1,($W$6-M2078)/($W$6-$V$6)))+$U$7*MAX(0,MIN(1,($W$7-N2078)/($W$7-$V$7)))+$U$8*IF(AND(O2078&gt;=$V$8,O2078&lt;=$W$8),1,0))/$U$9*100,2)</f>
        <v>33.41</v>
      </c>
      <c r="C2078" s="27" t="s">
        <v>3100</v>
      </c>
      <c r="D2078" s="25" t="s">
        <v>134</v>
      </c>
      <c r="E2078" s="25" t="s">
        <v>3447</v>
      </c>
      <c r="F2078" s="25" t="s">
        <v>3457</v>
      </c>
      <c r="G2078" s="39" t="s">
        <v>32</v>
      </c>
      <c r="H2078" s="39" t="s">
        <v>26</v>
      </c>
      <c r="I2078" s="25" t="n">
        <v>9</v>
      </c>
      <c r="J2078" s="25" t="n">
        <v>1</v>
      </c>
      <c r="K2078" s="25" t="n">
        <v>9</v>
      </c>
      <c r="L2078" s="29" t="n">
        <v>0.76</v>
      </c>
      <c r="M2078" s="30" t="n">
        <v>16.35</v>
      </c>
      <c r="N2078" s="29" t="n">
        <v>0.88</v>
      </c>
      <c r="O2078" s="25" t="n">
        <v>185</v>
      </c>
      <c r="P2078" s="30" t="n">
        <v>11.7</v>
      </c>
      <c r="Q2078" s="27" t="s">
        <v>4042</v>
      </c>
      <c r="R2078" s="27" t="s">
        <v>529</v>
      </c>
    </row>
    <row r="2079" customFormat="false" ht="15" hidden="false" customHeight="false" outlineLevel="0" collapsed="false">
      <c r="A2079" s="25" t="n">
        <f aca="false">IF(G2079="REJECT",COUNTIF($G$2:$G$2277,"&lt;&gt;REJECT")+1+COUNTIFS($G$2:$G$2277,"REJECT",$B$2:$B$2277,"&gt;"&amp;B2079),1+COUNTIFS($G$2:$G$2277,"&lt;&gt;REJECT",$B$2:$B$2277,"&gt;"&amp;B2079))</f>
        <v>2078</v>
      </c>
      <c r="B2079" s="26" t="n">
        <f aca="false">ROUND(($U$2*MAX(0,MIN(1,($W$2-I2079)/($W$2-$V$2)))+$U$3*MAX(0,MIN(1,($W$3-J2079)/($W$3-$V$3)))+$U$4*MAX(0,MIN(1,($W$4-K2079)/($W$4-$V$4)))+$U$5*MAX(0,MIN(1,($W$5-L2079)/($W$5-$V$5)))+$U$6*MAX(0,MIN(1,($W$6-M2079)/($W$6-$V$6)))+$U$7*MAX(0,MIN(1,($W$7-N2079)/($W$7-$V$7)))+$U$8*IF(AND(O2079&gt;=$V$8,O2079&lt;=$W$8),1,0))/$U$9*100,2)</f>
        <v>33.34</v>
      </c>
      <c r="C2079" s="27" t="s">
        <v>1533</v>
      </c>
      <c r="D2079" s="25" t="s">
        <v>3459</v>
      </c>
      <c r="E2079" s="25" t="s">
        <v>3450</v>
      </c>
      <c r="F2079" s="25" t="s">
        <v>3457</v>
      </c>
      <c r="G2079" s="39" t="s">
        <v>32</v>
      </c>
      <c r="H2079" s="39" t="s">
        <v>26</v>
      </c>
      <c r="I2079" s="25" t="n">
        <v>7</v>
      </c>
      <c r="J2079" s="25" t="n">
        <v>1</v>
      </c>
      <c r="K2079" s="25" t="n">
        <v>7</v>
      </c>
      <c r="L2079" s="29" t="n">
        <v>0.65</v>
      </c>
      <c r="M2079" s="30" t="n">
        <v>20.67</v>
      </c>
      <c r="N2079" s="29" t="n">
        <v>0.28</v>
      </c>
      <c r="O2079" s="25" t="n">
        <v>184</v>
      </c>
      <c r="P2079" s="30" t="n">
        <v>6.7</v>
      </c>
      <c r="Q2079" s="27" t="s">
        <v>4079</v>
      </c>
      <c r="R2079" s="27" t="s">
        <v>1926</v>
      </c>
    </row>
    <row r="2080" customFormat="false" ht="15" hidden="false" customHeight="false" outlineLevel="0" collapsed="false">
      <c r="A2080" s="25" t="n">
        <f aca="false">IF(G2080="REJECT",COUNTIF($G$2:$G$2277,"&lt;&gt;REJECT")+1+COUNTIFS($G$2:$G$2277,"REJECT",$B$2:$B$2277,"&gt;"&amp;B2080),1+COUNTIFS($G$2:$G$2277,"&lt;&gt;REJECT",$B$2:$B$2277,"&gt;"&amp;B2080))</f>
        <v>2079</v>
      </c>
      <c r="B2080" s="26" t="n">
        <f aca="false">ROUND(($U$2*MAX(0,MIN(1,($W$2-I2080)/($W$2-$V$2)))+$U$3*MAX(0,MIN(1,($W$3-J2080)/($W$3-$V$3)))+$U$4*MAX(0,MIN(1,($W$4-K2080)/($W$4-$V$4)))+$U$5*MAX(0,MIN(1,($W$5-L2080)/($W$5-$V$5)))+$U$6*MAX(0,MIN(1,($W$6-M2080)/($W$6-$V$6)))+$U$7*MAX(0,MIN(1,($W$7-N2080)/($W$7-$V$7)))+$U$8*IF(AND(O2080&gt;=$V$8,O2080&lt;=$W$8),1,0))/$U$9*100,2)</f>
        <v>33.32</v>
      </c>
      <c r="C2080" s="27" t="s">
        <v>1278</v>
      </c>
      <c r="D2080" s="25" t="s">
        <v>134</v>
      </c>
      <c r="E2080" s="25" t="s">
        <v>3450</v>
      </c>
      <c r="F2080" s="25" t="s">
        <v>3457</v>
      </c>
      <c r="G2080" s="39" t="s">
        <v>32</v>
      </c>
      <c r="H2080" s="39" t="s">
        <v>26</v>
      </c>
      <c r="I2080" s="25" t="n">
        <v>9</v>
      </c>
      <c r="J2080" s="25" t="n">
        <v>1</v>
      </c>
      <c r="K2080" s="25" t="n">
        <v>9</v>
      </c>
      <c r="L2080" s="29" t="n">
        <v>0.72</v>
      </c>
      <c r="M2080" s="30" t="n">
        <v>6.47</v>
      </c>
      <c r="N2080" s="29" t="n">
        <v>0.48</v>
      </c>
      <c r="O2080" s="25" t="n">
        <v>183</v>
      </c>
      <c r="P2080" s="30" t="n">
        <v>10.21</v>
      </c>
      <c r="Q2080" s="27" t="s">
        <v>4080</v>
      </c>
      <c r="R2080" s="27" t="s">
        <v>529</v>
      </c>
    </row>
    <row r="2081" customFormat="false" ht="15" hidden="false" customHeight="false" outlineLevel="0" collapsed="false">
      <c r="A2081" s="25" t="n">
        <f aca="false">IF(G2081="REJECT",COUNTIF($G$2:$G$2277,"&lt;&gt;REJECT")+1+COUNTIFS($G$2:$G$2277,"REJECT",$B$2:$B$2277,"&gt;"&amp;B2081),1+COUNTIFS($G$2:$G$2277,"&lt;&gt;REJECT",$B$2:$B$2277,"&gt;"&amp;B2081))</f>
        <v>2080</v>
      </c>
      <c r="B2081" s="26" t="n">
        <f aca="false">ROUND(($U$2*MAX(0,MIN(1,($W$2-I2081)/($W$2-$V$2)))+$U$3*MAX(0,MIN(1,($W$3-J2081)/($W$3-$V$3)))+$U$4*MAX(0,MIN(1,($W$4-K2081)/($W$4-$V$4)))+$U$5*MAX(0,MIN(1,($W$5-L2081)/($W$5-$V$5)))+$U$6*MAX(0,MIN(1,($W$6-M2081)/($W$6-$V$6)))+$U$7*MAX(0,MIN(1,($W$7-N2081)/($W$7-$V$7)))+$U$8*IF(AND(O2081&gt;=$V$8,O2081&lt;=$W$8),1,0))/$U$9*100,2)</f>
        <v>33.3</v>
      </c>
      <c r="C2081" s="27" t="s">
        <v>2247</v>
      </c>
      <c r="D2081" s="25" t="s">
        <v>134</v>
      </c>
      <c r="E2081" s="25" t="s">
        <v>3447</v>
      </c>
      <c r="F2081" s="25" t="s">
        <v>3457</v>
      </c>
      <c r="G2081" s="39" t="s">
        <v>32</v>
      </c>
      <c r="H2081" s="39" t="s">
        <v>26</v>
      </c>
      <c r="I2081" s="25" t="n">
        <v>11</v>
      </c>
      <c r="J2081" s="25" t="n">
        <v>1</v>
      </c>
      <c r="K2081" s="25" t="n">
        <v>11</v>
      </c>
      <c r="L2081" s="29" t="n">
        <v>0.74</v>
      </c>
      <c r="M2081" s="30" t="n">
        <v>11</v>
      </c>
      <c r="N2081" s="29" t="n">
        <v>0.76</v>
      </c>
      <c r="O2081" s="25" t="n">
        <v>184</v>
      </c>
      <c r="P2081" s="30" t="n">
        <v>8.36</v>
      </c>
      <c r="Q2081" s="27" t="s">
        <v>4041</v>
      </c>
      <c r="R2081" s="27" t="s">
        <v>529</v>
      </c>
    </row>
    <row r="2082" customFormat="false" ht="15" hidden="false" customHeight="false" outlineLevel="0" collapsed="false">
      <c r="A2082" s="25" t="n">
        <f aca="false">IF(G2082="REJECT",COUNTIF($G$2:$G$2277,"&lt;&gt;REJECT")+1+COUNTIFS($G$2:$G$2277,"REJECT",$B$2:$B$2277,"&gt;"&amp;B2082),1+COUNTIFS($G$2:$G$2277,"&lt;&gt;REJECT",$B$2:$B$2277,"&gt;"&amp;B2082))</f>
        <v>2081</v>
      </c>
      <c r="B2082" s="26" t="n">
        <f aca="false">ROUND(($U$2*MAX(0,MIN(1,($W$2-I2082)/($W$2-$V$2)))+$U$3*MAX(0,MIN(1,($W$3-J2082)/($W$3-$V$3)))+$U$4*MAX(0,MIN(1,($W$4-K2082)/($W$4-$V$4)))+$U$5*MAX(0,MIN(1,($W$5-L2082)/($W$5-$V$5)))+$U$6*MAX(0,MIN(1,($W$6-M2082)/($W$6-$V$6)))+$U$7*MAX(0,MIN(1,($W$7-N2082)/($W$7-$V$7)))+$U$8*IF(AND(O2082&gt;=$V$8,O2082&lt;=$W$8),1,0))/$U$9*100,2)</f>
        <v>33.13</v>
      </c>
      <c r="C2082" s="27" t="s">
        <v>1509</v>
      </c>
      <c r="D2082" s="25" t="s">
        <v>134</v>
      </c>
      <c r="E2082" s="25" t="s">
        <v>3450</v>
      </c>
      <c r="F2082" s="25" t="s">
        <v>3448</v>
      </c>
      <c r="G2082" s="39" t="s">
        <v>32</v>
      </c>
      <c r="H2082" s="39" t="s">
        <v>26</v>
      </c>
      <c r="I2082" s="25" t="n">
        <v>10</v>
      </c>
      <c r="J2082" s="25" t="n">
        <v>1</v>
      </c>
      <c r="K2082" s="25" t="n">
        <v>10</v>
      </c>
      <c r="L2082" s="29" t="n">
        <v>0.7</v>
      </c>
      <c r="M2082" s="30" t="n">
        <v>2</v>
      </c>
      <c r="N2082" s="29" t="n">
        <v>0.32</v>
      </c>
      <c r="O2082" s="25" t="n">
        <v>196</v>
      </c>
      <c r="P2082" s="30" t="n">
        <v>15.16</v>
      </c>
      <c r="Q2082" s="27" t="s">
        <v>4081</v>
      </c>
      <c r="R2082" s="27" t="s">
        <v>1451</v>
      </c>
    </row>
    <row r="2083" customFormat="false" ht="15" hidden="false" customHeight="false" outlineLevel="0" collapsed="false">
      <c r="A2083" s="25" t="n">
        <f aca="false">IF(G2083="REJECT",COUNTIF($G$2:$G$2277,"&lt;&gt;REJECT")+1+COUNTIFS($G$2:$G$2277,"REJECT",$B$2:$B$2277,"&gt;"&amp;B2083),1+COUNTIFS($G$2:$G$2277,"&lt;&gt;REJECT",$B$2:$B$2277,"&gt;"&amp;B2083))</f>
        <v>2082</v>
      </c>
      <c r="B2083" s="26" t="n">
        <f aca="false">ROUND(($U$2*MAX(0,MIN(1,($W$2-I2083)/($W$2-$V$2)))+$U$3*MAX(0,MIN(1,($W$3-J2083)/($W$3-$V$3)))+$U$4*MAX(0,MIN(1,($W$4-K2083)/($W$4-$V$4)))+$U$5*MAX(0,MIN(1,($W$5-L2083)/($W$5-$V$5)))+$U$6*MAX(0,MIN(1,($W$6-M2083)/($W$6-$V$6)))+$U$7*MAX(0,MIN(1,($W$7-N2083)/($W$7-$V$7)))+$U$8*IF(AND(O2083&gt;=$V$8,O2083&lt;=$W$8),1,0))/$U$9*100,2)</f>
        <v>33.12</v>
      </c>
      <c r="C2083" s="27" t="s">
        <v>2367</v>
      </c>
      <c r="D2083" s="25" t="s">
        <v>134</v>
      </c>
      <c r="E2083" s="25" t="s">
        <v>3450</v>
      </c>
      <c r="F2083" s="25" t="s">
        <v>3457</v>
      </c>
      <c r="G2083" s="39" t="s">
        <v>32</v>
      </c>
      <c r="H2083" s="39" t="s">
        <v>26</v>
      </c>
      <c r="I2083" s="25" t="n">
        <v>10</v>
      </c>
      <c r="J2083" s="25" t="n">
        <v>1</v>
      </c>
      <c r="K2083" s="25" t="n">
        <v>10</v>
      </c>
      <c r="L2083" s="29" t="n">
        <v>0.72</v>
      </c>
      <c r="M2083" s="30" t="n">
        <v>11.31</v>
      </c>
      <c r="N2083" s="29" t="n">
        <v>0.12</v>
      </c>
      <c r="O2083" s="25" t="n">
        <v>190</v>
      </c>
      <c r="P2083" s="30" t="n">
        <v>6.34</v>
      </c>
      <c r="Q2083" s="27" t="s">
        <v>4060</v>
      </c>
      <c r="R2083" s="27" t="s">
        <v>529</v>
      </c>
    </row>
    <row r="2084" customFormat="false" ht="15" hidden="false" customHeight="false" outlineLevel="0" collapsed="false">
      <c r="A2084" s="25" t="n">
        <f aca="false">IF(G2084="REJECT",COUNTIF($G$2:$G$2277,"&lt;&gt;REJECT")+1+COUNTIFS($G$2:$G$2277,"REJECT",$B$2:$B$2277,"&gt;"&amp;B2084),1+COUNTIFS($G$2:$G$2277,"&lt;&gt;REJECT",$B$2:$B$2277,"&gt;"&amp;B2084))</f>
        <v>2083</v>
      </c>
      <c r="B2084" s="26" t="n">
        <f aca="false">ROUND(($U$2*MAX(0,MIN(1,($W$2-I2084)/($W$2-$V$2)))+$U$3*MAX(0,MIN(1,($W$3-J2084)/($W$3-$V$3)))+$U$4*MAX(0,MIN(1,($W$4-K2084)/($W$4-$V$4)))+$U$5*MAX(0,MIN(1,($W$5-L2084)/($W$5-$V$5)))+$U$6*MAX(0,MIN(1,($W$6-M2084)/($W$6-$V$6)))+$U$7*MAX(0,MIN(1,($W$7-N2084)/($W$7-$V$7)))+$U$8*IF(AND(O2084&gt;=$V$8,O2084&lt;=$W$8),1,0))/$U$9*100,2)</f>
        <v>33.08</v>
      </c>
      <c r="C2084" s="27" t="s">
        <v>2873</v>
      </c>
      <c r="D2084" s="25" t="s">
        <v>134</v>
      </c>
      <c r="E2084" s="25" t="s">
        <v>3447</v>
      </c>
      <c r="F2084" s="25" t="s">
        <v>3448</v>
      </c>
      <c r="G2084" s="39" t="s">
        <v>32</v>
      </c>
      <c r="H2084" s="39" t="s">
        <v>26</v>
      </c>
      <c r="I2084" s="25" t="n">
        <v>7</v>
      </c>
      <c r="J2084" s="25" t="n">
        <v>1</v>
      </c>
      <c r="K2084" s="25" t="n">
        <v>7</v>
      </c>
      <c r="L2084" s="29" t="n">
        <v>0.61</v>
      </c>
      <c r="M2084" s="30" t="n">
        <v>5.42</v>
      </c>
      <c r="N2084" s="29" t="n">
        <v>0.52</v>
      </c>
      <c r="O2084" s="25" t="n">
        <v>183</v>
      </c>
      <c r="P2084" s="30" t="n">
        <v>3.29</v>
      </c>
      <c r="Q2084" s="27" t="s">
        <v>4082</v>
      </c>
      <c r="R2084" s="27" t="s">
        <v>529</v>
      </c>
    </row>
    <row r="2085" customFormat="false" ht="15" hidden="false" customHeight="false" outlineLevel="0" collapsed="false">
      <c r="A2085" s="25" t="n">
        <f aca="false">IF(G2085="REJECT",COUNTIF($G$2:$G$2277,"&lt;&gt;REJECT")+1+COUNTIFS($G$2:$G$2277,"REJECT",$B$2:$B$2277,"&gt;"&amp;B2085),1+COUNTIFS($G$2:$G$2277,"&lt;&gt;REJECT",$B$2:$B$2277,"&gt;"&amp;B2085))</f>
        <v>2084</v>
      </c>
      <c r="B2085" s="26" t="n">
        <f aca="false">ROUND(($U$2*MAX(0,MIN(1,($W$2-I2085)/($W$2-$V$2)))+$U$3*MAX(0,MIN(1,($W$3-J2085)/($W$3-$V$3)))+$U$4*MAX(0,MIN(1,($W$4-K2085)/($W$4-$V$4)))+$U$5*MAX(0,MIN(1,($W$5-L2085)/($W$5-$V$5)))+$U$6*MAX(0,MIN(1,($W$6-M2085)/($W$6-$V$6)))+$U$7*MAX(0,MIN(1,($W$7-N2085)/($W$7-$V$7)))+$U$8*IF(AND(O2085&gt;=$V$8,O2085&lt;=$W$8),1,0))/$U$9*100,2)</f>
        <v>33.01</v>
      </c>
      <c r="C2085" s="27" t="s">
        <v>329</v>
      </c>
      <c r="D2085" s="25" t="s">
        <v>134</v>
      </c>
      <c r="E2085" s="25" t="s">
        <v>3450</v>
      </c>
      <c r="F2085" s="25" t="s">
        <v>3457</v>
      </c>
      <c r="G2085" s="39" t="s">
        <v>32</v>
      </c>
      <c r="H2085" s="39" t="s">
        <v>26</v>
      </c>
      <c r="I2085" s="25" t="n">
        <v>9</v>
      </c>
      <c r="J2085" s="25" t="n">
        <v>1</v>
      </c>
      <c r="K2085" s="25" t="n">
        <v>9</v>
      </c>
      <c r="L2085" s="29" t="n">
        <v>0.74</v>
      </c>
      <c r="M2085" s="30" t="n">
        <v>15.15</v>
      </c>
      <c r="N2085" s="29" t="n">
        <v>0.52</v>
      </c>
      <c r="O2085" s="25" t="n">
        <v>183</v>
      </c>
      <c r="P2085" s="30" t="n">
        <v>13.91</v>
      </c>
      <c r="Q2085" s="27" t="s">
        <v>4030</v>
      </c>
      <c r="R2085" s="27" t="s">
        <v>529</v>
      </c>
    </row>
    <row r="2086" customFormat="false" ht="15" hidden="false" customHeight="false" outlineLevel="0" collapsed="false">
      <c r="A2086" s="25" t="n">
        <f aca="false">IF(G2086="REJECT",COUNTIF($G$2:$G$2277,"&lt;&gt;REJECT")+1+COUNTIFS($G$2:$G$2277,"REJECT",$B$2:$B$2277,"&gt;"&amp;B2086),1+COUNTIFS($G$2:$G$2277,"&lt;&gt;REJECT",$B$2:$B$2277,"&gt;"&amp;B2086))</f>
        <v>2085</v>
      </c>
      <c r="B2086" s="26" t="n">
        <f aca="false">ROUND(($U$2*MAX(0,MIN(1,($W$2-I2086)/($W$2-$V$2)))+$U$3*MAX(0,MIN(1,($W$3-J2086)/($W$3-$V$3)))+$U$4*MAX(0,MIN(1,($W$4-K2086)/($W$4-$V$4)))+$U$5*MAX(0,MIN(1,($W$5-L2086)/($W$5-$V$5)))+$U$6*MAX(0,MIN(1,($W$6-M2086)/($W$6-$V$6)))+$U$7*MAX(0,MIN(1,($W$7-N2086)/($W$7-$V$7)))+$U$8*IF(AND(O2086&gt;=$V$8,O2086&lt;=$W$8),1,0))/$U$9*100,2)</f>
        <v>32.98</v>
      </c>
      <c r="C2086" s="27" t="s">
        <v>395</v>
      </c>
      <c r="D2086" s="25" t="s">
        <v>3459</v>
      </c>
      <c r="E2086" s="25" t="s">
        <v>3447</v>
      </c>
      <c r="F2086" s="25" t="s">
        <v>3448</v>
      </c>
      <c r="G2086" s="39" t="s">
        <v>32</v>
      </c>
      <c r="H2086" s="39" t="s">
        <v>26</v>
      </c>
      <c r="I2086" s="25" t="n">
        <v>10</v>
      </c>
      <c r="J2086" s="25" t="n">
        <v>1</v>
      </c>
      <c r="K2086" s="25" t="n">
        <v>10</v>
      </c>
      <c r="L2086" s="29" t="n">
        <v>0.74</v>
      </c>
      <c r="M2086" s="30" t="n">
        <v>20.54</v>
      </c>
      <c r="N2086" s="29" t="n">
        <v>0</v>
      </c>
      <c r="O2086" s="25" t="n">
        <v>183</v>
      </c>
      <c r="P2086" s="30" t="n">
        <v>5.47</v>
      </c>
      <c r="Q2086" s="27" t="s">
        <v>4083</v>
      </c>
      <c r="R2086" s="27" t="s">
        <v>1926</v>
      </c>
    </row>
    <row r="2087" customFormat="false" ht="15" hidden="false" customHeight="false" outlineLevel="0" collapsed="false">
      <c r="A2087" s="25" t="n">
        <f aca="false">IF(G2087="REJECT",COUNTIF($G$2:$G$2277,"&lt;&gt;REJECT")+1+COUNTIFS($G$2:$G$2277,"REJECT",$B$2:$B$2277,"&gt;"&amp;B2087),1+COUNTIFS($G$2:$G$2277,"&lt;&gt;REJECT",$B$2:$B$2277,"&gt;"&amp;B2087))</f>
        <v>2085</v>
      </c>
      <c r="B2087" s="26" t="n">
        <f aca="false">ROUND(($U$2*MAX(0,MIN(1,($W$2-I2087)/($W$2-$V$2)))+$U$3*MAX(0,MIN(1,($W$3-J2087)/($W$3-$V$3)))+$U$4*MAX(0,MIN(1,($W$4-K2087)/($W$4-$V$4)))+$U$5*MAX(0,MIN(1,($W$5-L2087)/($W$5-$V$5)))+$U$6*MAX(0,MIN(1,($W$6-M2087)/($W$6-$V$6)))+$U$7*MAX(0,MIN(1,($W$7-N2087)/($W$7-$V$7)))+$U$8*IF(AND(O2087&gt;=$V$8,O2087&lt;=$W$8),1,0))/$U$9*100,2)</f>
        <v>32.98</v>
      </c>
      <c r="C2087" s="27" t="s">
        <v>2721</v>
      </c>
      <c r="D2087" s="25" t="s">
        <v>134</v>
      </c>
      <c r="E2087" s="25" t="s">
        <v>3447</v>
      </c>
      <c r="F2087" s="25" t="s">
        <v>3448</v>
      </c>
      <c r="G2087" s="39" t="s">
        <v>32</v>
      </c>
      <c r="H2087" s="39" t="s">
        <v>26</v>
      </c>
      <c r="I2087" s="25" t="n">
        <v>10</v>
      </c>
      <c r="J2087" s="25" t="n">
        <v>1</v>
      </c>
      <c r="K2087" s="25" t="n">
        <v>10</v>
      </c>
      <c r="L2087" s="29" t="n">
        <v>0.76</v>
      </c>
      <c r="M2087" s="30" t="n">
        <v>23.35</v>
      </c>
      <c r="N2087" s="29" t="n">
        <v>0.44</v>
      </c>
      <c r="O2087" s="25" t="n">
        <v>183</v>
      </c>
      <c r="P2087" s="30" t="n">
        <v>11.3</v>
      </c>
      <c r="Q2087" s="27" t="s">
        <v>4060</v>
      </c>
      <c r="R2087" s="27" t="s">
        <v>1926</v>
      </c>
    </row>
    <row r="2088" customFormat="false" ht="15" hidden="false" customHeight="false" outlineLevel="0" collapsed="false">
      <c r="A2088" s="25" t="n">
        <f aca="false">IF(G2088="REJECT",COUNTIF($G$2:$G$2277,"&lt;&gt;REJECT")+1+COUNTIFS($G$2:$G$2277,"REJECT",$B$2:$B$2277,"&gt;"&amp;B2088),1+COUNTIFS($G$2:$G$2277,"&lt;&gt;REJECT",$B$2:$B$2277,"&gt;"&amp;B2088))</f>
        <v>2087</v>
      </c>
      <c r="B2088" s="26" t="n">
        <f aca="false">ROUND(($U$2*MAX(0,MIN(1,($W$2-I2088)/($W$2-$V$2)))+$U$3*MAX(0,MIN(1,($W$3-J2088)/($W$3-$V$3)))+$U$4*MAX(0,MIN(1,($W$4-K2088)/($W$4-$V$4)))+$U$5*MAX(0,MIN(1,($W$5-L2088)/($W$5-$V$5)))+$U$6*MAX(0,MIN(1,($W$6-M2088)/($W$6-$V$6)))+$U$7*MAX(0,MIN(1,($W$7-N2088)/($W$7-$V$7)))+$U$8*IF(AND(O2088&gt;=$V$8,O2088&lt;=$W$8),1,0))/$U$9*100,2)</f>
        <v>32.97</v>
      </c>
      <c r="C2088" s="27" t="s">
        <v>3057</v>
      </c>
      <c r="D2088" s="25" t="s">
        <v>3459</v>
      </c>
      <c r="E2088" s="25" t="s">
        <v>3447</v>
      </c>
      <c r="F2088" s="25" t="s">
        <v>3457</v>
      </c>
      <c r="G2088" s="39" t="s">
        <v>32</v>
      </c>
      <c r="H2088" s="39" t="s">
        <v>26</v>
      </c>
      <c r="I2088" s="25" t="n">
        <v>9</v>
      </c>
      <c r="J2088" s="25" t="n">
        <v>1</v>
      </c>
      <c r="K2088" s="25" t="n">
        <v>9</v>
      </c>
      <c r="L2088" s="29" t="n">
        <v>0.76</v>
      </c>
      <c r="M2088" s="30" t="n">
        <v>23.4</v>
      </c>
      <c r="N2088" s="29" t="n">
        <v>0.44</v>
      </c>
      <c r="O2088" s="25" t="n">
        <v>183</v>
      </c>
      <c r="P2088" s="30" t="n">
        <v>-0.36</v>
      </c>
      <c r="Q2088" s="27" t="s">
        <v>4084</v>
      </c>
      <c r="R2088" s="27" t="s">
        <v>1926</v>
      </c>
    </row>
    <row r="2089" customFormat="false" ht="15" hidden="false" customHeight="false" outlineLevel="0" collapsed="false">
      <c r="A2089" s="25" t="n">
        <f aca="false">IF(G2089="REJECT",COUNTIF($G$2:$G$2277,"&lt;&gt;REJECT")+1+COUNTIFS($G$2:$G$2277,"REJECT",$B$2:$B$2277,"&gt;"&amp;B2089),1+COUNTIFS($G$2:$G$2277,"&lt;&gt;REJECT",$B$2:$B$2277,"&gt;"&amp;B2089))</f>
        <v>2088</v>
      </c>
      <c r="B2089" s="26" t="n">
        <f aca="false">ROUND(($U$2*MAX(0,MIN(1,($W$2-I2089)/($W$2-$V$2)))+$U$3*MAX(0,MIN(1,($W$3-J2089)/($W$3-$V$3)))+$U$4*MAX(0,MIN(1,($W$4-K2089)/($W$4-$V$4)))+$U$5*MAX(0,MIN(1,($W$5-L2089)/($W$5-$V$5)))+$U$6*MAX(0,MIN(1,($W$6-M2089)/($W$6-$V$6)))+$U$7*MAX(0,MIN(1,($W$7-N2089)/($W$7-$V$7)))+$U$8*IF(AND(O2089&gt;=$V$8,O2089&lt;=$W$8),1,0))/$U$9*100,2)</f>
        <v>32.95</v>
      </c>
      <c r="C2089" s="27" t="s">
        <v>2897</v>
      </c>
      <c r="D2089" s="25" t="s">
        <v>3459</v>
      </c>
      <c r="E2089" s="25" t="s">
        <v>3447</v>
      </c>
      <c r="F2089" s="25" t="s">
        <v>3457</v>
      </c>
      <c r="G2089" s="39" t="s">
        <v>32</v>
      </c>
      <c r="H2089" s="39" t="s">
        <v>26</v>
      </c>
      <c r="I2089" s="25" t="n">
        <v>7</v>
      </c>
      <c r="J2089" s="25" t="n">
        <v>1</v>
      </c>
      <c r="K2089" s="25" t="n">
        <v>7</v>
      </c>
      <c r="L2089" s="29" t="n">
        <v>0.66</v>
      </c>
      <c r="M2089" s="30" t="n">
        <v>21.8</v>
      </c>
      <c r="N2089" s="29" t="n">
        <v>0.76</v>
      </c>
      <c r="O2089" s="25" t="n">
        <v>185</v>
      </c>
      <c r="P2089" s="30" t="n">
        <v>0.48</v>
      </c>
      <c r="Q2089" s="27" t="s">
        <v>3986</v>
      </c>
      <c r="R2089" s="27" t="s">
        <v>1926</v>
      </c>
    </row>
    <row r="2090" customFormat="false" ht="15" hidden="false" customHeight="false" outlineLevel="0" collapsed="false">
      <c r="A2090" s="25" t="n">
        <f aca="false">IF(G2090="REJECT",COUNTIF($G$2:$G$2277,"&lt;&gt;REJECT")+1+COUNTIFS($G$2:$G$2277,"REJECT",$B$2:$B$2277,"&gt;"&amp;B2090),1+COUNTIFS($G$2:$G$2277,"&lt;&gt;REJECT",$B$2:$B$2277,"&gt;"&amp;B2090))</f>
        <v>2089</v>
      </c>
      <c r="B2090" s="26" t="n">
        <f aca="false">ROUND(($U$2*MAX(0,MIN(1,($W$2-I2090)/($W$2-$V$2)))+$U$3*MAX(0,MIN(1,($W$3-J2090)/($W$3-$V$3)))+$U$4*MAX(0,MIN(1,($W$4-K2090)/($W$4-$V$4)))+$U$5*MAX(0,MIN(1,($W$5-L2090)/($W$5-$V$5)))+$U$6*MAX(0,MIN(1,($W$6-M2090)/($W$6-$V$6)))+$U$7*MAX(0,MIN(1,($W$7-N2090)/($W$7-$V$7)))+$U$8*IF(AND(O2090&gt;=$V$8,O2090&lt;=$W$8),1,0))/$U$9*100,2)</f>
        <v>32.88</v>
      </c>
      <c r="C2090" s="27" t="s">
        <v>669</v>
      </c>
      <c r="D2090" s="25" t="s">
        <v>3459</v>
      </c>
      <c r="E2090" s="25" t="s">
        <v>3447</v>
      </c>
      <c r="F2090" s="25" t="s">
        <v>3448</v>
      </c>
      <c r="G2090" s="39" t="s">
        <v>32</v>
      </c>
      <c r="H2090" s="39" t="s">
        <v>26</v>
      </c>
      <c r="I2090" s="25" t="n">
        <v>8</v>
      </c>
      <c r="J2090" s="25" t="n">
        <v>1</v>
      </c>
      <c r="K2090" s="25" t="n">
        <v>8</v>
      </c>
      <c r="L2090" s="29" t="n">
        <v>0.71</v>
      </c>
      <c r="M2090" s="30" t="n">
        <v>1.53</v>
      </c>
      <c r="N2090" s="29" t="n">
        <v>0.88</v>
      </c>
      <c r="O2090" s="25" t="n">
        <v>186</v>
      </c>
      <c r="P2090" s="30" t="n">
        <v>-0.87</v>
      </c>
      <c r="Q2090" s="27" t="s">
        <v>4028</v>
      </c>
      <c r="R2090" s="27" t="s">
        <v>1451</v>
      </c>
    </row>
    <row r="2091" customFormat="false" ht="15" hidden="false" customHeight="false" outlineLevel="0" collapsed="false">
      <c r="A2091" s="25" t="n">
        <f aca="false">IF(G2091="REJECT",COUNTIF($G$2:$G$2277,"&lt;&gt;REJECT")+1+COUNTIFS($G$2:$G$2277,"REJECT",$B$2:$B$2277,"&gt;"&amp;B2091),1+COUNTIFS($G$2:$G$2277,"&lt;&gt;REJECT",$B$2:$B$2277,"&gt;"&amp;B2091))</f>
        <v>2089</v>
      </c>
      <c r="B2091" s="26" t="n">
        <f aca="false">ROUND(($U$2*MAX(0,MIN(1,($W$2-I2091)/($W$2-$V$2)))+$U$3*MAX(0,MIN(1,($W$3-J2091)/($W$3-$V$3)))+$U$4*MAX(0,MIN(1,($W$4-K2091)/($W$4-$V$4)))+$U$5*MAX(0,MIN(1,($W$5-L2091)/($W$5-$V$5)))+$U$6*MAX(0,MIN(1,($W$6-M2091)/($W$6-$V$6)))+$U$7*MAX(0,MIN(1,($W$7-N2091)/($W$7-$V$7)))+$U$8*IF(AND(O2091&gt;=$V$8,O2091&lt;=$W$8),1,0))/$U$9*100,2)</f>
        <v>32.88</v>
      </c>
      <c r="C2091" s="27" t="s">
        <v>3378</v>
      </c>
      <c r="D2091" s="25" t="s">
        <v>134</v>
      </c>
      <c r="E2091" s="25" t="s">
        <v>3447</v>
      </c>
      <c r="F2091" s="25" t="s">
        <v>3448</v>
      </c>
      <c r="G2091" s="39" t="s">
        <v>32</v>
      </c>
      <c r="H2091" s="39" t="s">
        <v>26</v>
      </c>
      <c r="I2091" s="25" t="n">
        <v>12</v>
      </c>
      <c r="J2091" s="25" t="n">
        <v>1</v>
      </c>
      <c r="K2091" s="25" t="n">
        <v>12</v>
      </c>
      <c r="L2091" s="29" t="n">
        <v>0.73</v>
      </c>
      <c r="M2091" s="30" t="n">
        <v>14.7</v>
      </c>
      <c r="N2091" s="29" t="n">
        <v>0.28</v>
      </c>
      <c r="O2091" s="25" t="n">
        <v>183</v>
      </c>
      <c r="P2091" s="30" t="n">
        <v>15.87</v>
      </c>
      <c r="Q2091" s="27" t="s">
        <v>4044</v>
      </c>
      <c r="R2091" s="27" t="s">
        <v>529</v>
      </c>
    </row>
    <row r="2092" customFormat="false" ht="15" hidden="false" customHeight="false" outlineLevel="0" collapsed="false">
      <c r="A2092" s="25" t="n">
        <f aca="false">IF(G2092="REJECT",COUNTIF($G$2:$G$2277,"&lt;&gt;REJECT")+1+COUNTIFS($G$2:$G$2277,"REJECT",$B$2:$B$2277,"&gt;"&amp;B2092),1+COUNTIFS($G$2:$G$2277,"&lt;&gt;REJECT",$B$2:$B$2277,"&gt;"&amp;B2092))</f>
        <v>2091</v>
      </c>
      <c r="B2092" s="26" t="n">
        <f aca="false">ROUND(($U$2*MAX(0,MIN(1,($W$2-I2092)/($W$2-$V$2)))+$U$3*MAX(0,MIN(1,($W$3-J2092)/($W$3-$V$3)))+$U$4*MAX(0,MIN(1,($W$4-K2092)/($W$4-$V$4)))+$U$5*MAX(0,MIN(1,($W$5-L2092)/($W$5-$V$5)))+$U$6*MAX(0,MIN(1,($W$6-M2092)/($W$6-$V$6)))+$U$7*MAX(0,MIN(1,($W$7-N2092)/($W$7-$V$7)))+$U$8*IF(AND(O2092&gt;=$V$8,O2092&lt;=$W$8),1,0))/$U$9*100,2)</f>
        <v>32.82</v>
      </c>
      <c r="C2092" s="27" t="s">
        <v>1923</v>
      </c>
      <c r="D2092" s="25" t="s">
        <v>134</v>
      </c>
      <c r="E2092" s="25" t="s">
        <v>3447</v>
      </c>
      <c r="F2092" s="25" t="s">
        <v>3457</v>
      </c>
      <c r="G2092" s="39" t="s">
        <v>32</v>
      </c>
      <c r="H2092" s="39" t="s">
        <v>26</v>
      </c>
      <c r="I2092" s="25" t="n">
        <v>10</v>
      </c>
      <c r="J2092" s="25" t="n">
        <v>1</v>
      </c>
      <c r="K2092" s="25" t="n">
        <v>10</v>
      </c>
      <c r="L2092" s="29" t="n">
        <v>0.75</v>
      </c>
      <c r="M2092" s="30" t="n">
        <v>22.29</v>
      </c>
      <c r="N2092" s="29" t="n">
        <v>0.28</v>
      </c>
      <c r="O2092" s="25" t="n">
        <v>197</v>
      </c>
      <c r="P2092" s="30" t="n">
        <v>7.11</v>
      </c>
      <c r="Q2092" s="27" t="s">
        <v>4011</v>
      </c>
      <c r="R2092" s="27" t="s">
        <v>1926</v>
      </c>
    </row>
    <row r="2093" customFormat="false" ht="15" hidden="false" customHeight="false" outlineLevel="0" collapsed="false">
      <c r="A2093" s="25" t="n">
        <f aca="false">IF(G2093="REJECT",COUNTIF($G$2:$G$2277,"&lt;&gt;REJECT")+1+COUNTIFS($G$2:$G$2277,"REJECT",$B$2:$B$2277,"&gt;"&amp;B2093),1+COUNTIFS($G$2:$G$2277,"&lt;&gt;REJECT",$B$2:$B$2277,"&gt;"&amp;B2093))</f>
        <v>2092</v>
      </c>
      <c r="B2093" s="26" t="n">
        <f aca="false">ROUND(($U$2*MAX(0,MIN(1,($W$2-I2093)/($W$2-$V$2)))+$U$3*MAX(0,MIN(1,($W$3-J2093)/($W$3-$V$3)))+$U$4*MAX(0,MIN(1,($W$4-K2093)/($W$4-$V$4)))+$U$5*MAX(0,MIN(1,($W$5-L2093)/($W$5-$V$5)))+$U$6*MAX(0,MIN(1,($W$6-M2093)/($W$6-$V$6)))+$U$7*MAX(0,MIN(1,($W$7-N2093)/($W$7-$V$7)))+$U$8*IF(AND(O2093&gt;=$V$8,O2093&lt;=$W$8),1,0))/$U$9*100,2)</f>
        <v>32.79</v>
      </c>
      <c r="C2093" s="27" t="s">
        <v>2685</v>
      </c>
      <c r="D2093" s="25" t="s">
        <v>134</v>
      </c>
      <c r="E2093" s="25" t="s">
        <v>3450</v>
      </c>
      <c r="F2093" s="25" t="s">
        <v>3448</v>
      </c>
      <c r="G2093" s="39" t="s">
        <v>32</v>
      </c>
      <c r="H2093" s="39" t="s">
        <v>26</v>
      </c>
      <c r="I2093" s="25" t="n">
        <v>9</v>
      </c>
      <c r="J2093" s="25" t="n">
        <v>1</v>
      </c>
      <c r="K2093" s="25" t="n">
        <v>9</v>
      </c>
      <c r="L2093" s="29" t="n">
        <v>0.73</v>
      </c>
      <c r="M2093" s="30" t="n">
        <v>13.26</v>
      </c>
      <c r="N2093" s="29" t="n">
        <v>0.48</v>
      </c>
      <c r="O2093" s="25" t="n">
        <v>184</v>
      </c>
      <c r="P2093" s="30" t="n">
        <v>2.54</v>
      </c>
      <c r="Q2093" s="27" t="s">
        <v>4030</v>
      </c>
      <c r="R2093" s="27" t="s">
        <v>1076</v>
      </c>
    </row>
    <row r="2094" customFormat="false" ht="15" hidden="false" customHeight="false" outlineLevel="0" collapsed="false">
      <c r="A2094" s="25" t="n">
        <f aca="false">IF(G2094="REJECT",COUNTIF($G$2:$G$2277,"&lt;&gt;REJECT")+1+COUNTIFS($G$2:$G$2277,"REJECT",$B$2:$B$2277,"&gt;"&amp;B2094),1+COUNTIFS($G$2:$G$2277,"&lt;&gt;REJECT",$B$2:$B$2277,"&gt;"&amp;B2094))</f>
        <v>2093</v>
      </c>
      <c r="B2094" s="26" t="n">
        <f aca="false">ROUND(($U$2*MAX(0,MIN(1,($W$2-I2094)/($W$2-$V$2)))+$U$3*MAX(0,MIN(1,($W$3-J2094)/($W$3-$V$3)))+$U$4*MAX(0,MIN(1,($W$4-K2094)/($W$4-$V$4)))+$U$5*MAX(0,MIN(1,($W$5-L2094)/($W$5-$V$5)))+$U$6*MAX(0,MIN(1,($W$6-M2094)/($W$6-$V$6)))+$U$7*MAX(0,MIN(1,($W$7-N2094)/($W$7-$V$7)))+$U$8*IF(AND(O2094&gt;=$V$8,O2094&lt;=$W$8),1,0))/$U$9*100,2)</f>
        <v>32.78</v>
      </c>
      <c r="C2094" s="27" t="s">
        <v>2280</v>
      </c>
      <c r="D2094" s="25" t="s">
        <v>3459</v>
      </c>
      <c r="E2094" s="25" t="s">
        <v>3447</v>
      </c>
      <c r="F2094" s="25" t="s">
        <v>3457</v>
      </c>
      <c r="G2094" s="39" t="s">
        <v>32</v>
      </c>
      <c r="H2094" s="39" t="s">
        <v>26</v>
      </c>
      <c r="I2094" s="25" t="n">
        <v>12</v>
      </c>
      <c r="J2094" s="25" t="n">
        <v>1</v>
      </c>
      <c r="K2094" s="25" t="n">
        <v>12</v>
      </c>
      <c r="L2094" s="29" t="n">
        <v>0.75</v>
      </c>
      <c r="M2094" s="30" t="n">
        <v>17.72</v>
      </c>
      <c r="N2094" s="29" t="n">
        <v>0.76</v>
      </c>
      <c r="O2094" s="25" t="n">
        <v>190</v>
      </c>
      <c r="P2094" s="30" t="n">
        <v>1.13</v>
      </c>
      <c r="Q2094" s="27" t="s">
        <v>4085</v>
      </c>
      <c r="R2094" s="27" t="s">
        <v>529</v>
      </c>
    </row>
    <row r="2095" customFormat="false" ht="15" hidden="false" customHeight="false" outlineLevel="0" collapsed="false">
      <c r="A2095" s="25" t="n">
        <f aca="false">IF(G2095="REJECT",COUNTIF($G$2:$G$2277,"&lt;&gt;REJECT")+1+COUNTIFS($G$2:$G$2277,"REJECT",$B$2:$B$2277,"&gt;"&amp;B2095),1+COUNTIFS($G$2:$G$2277,"&lt;&gt;REJECT",$B$2:$B$2277,"&gt;"&amp;B2095))</f>
        <v>2094</v>
      </c>
      <c r="B2095" s="26" t="n">
        <f aca="false">ROUND(($U$2*MAX(0,MIN(1,($W$2-I2095)/($W$2-$V$2)))+$U$3*MAX(0,MIN(1,($W$3-J2095)/($W$3-$V$3)))+$U$4*MAX(0,MIN(1,($W$4-K2095)/($W$4-$V$4)))+$U$5*MAX(0,MIN(1,($W$5-L2095)/($W$5-$V$5)))+$U$6*MAX(0,MIN(1,($W$6-M2095)/($W$6-$V$6)))+$U$7*MAX(0,MIN(1,($W$7-N2095)/($W$7-$V$7)))+$U$8*IF(AND(O2095&gt;=$V$8,O2095&lt;=$W$8),1,0))/$U$9*100,2)</f>
        <v>32.76</v>
      </c>
      <c r="C2095" s="27" t="s">
        <v>1706</v>
      </c>
      <c r="D2095" s="25" t="s">
        <v>134</v>
      </c>
      <c r="E2095" s="25" t="s">
        <v>3447</v>
      </c>
      <c r="F2095" s="25" t="s">
        <v>3457</v>
      </c>
      <c r="G2095" s="39" t="s">
        <v>32</v>
      </c>
      <c r="H2095" s="39" t="s">
        <v>26</v>
      </c>
      <c r="I2095" s="25" t="n">
        <v>10</v>
      </c>
      <c r="J2095" s="25" t="n">
        <v>1</v>
      </c>
      <c r="K2095" s="25" t="n">
        <v>10</v>
      </c>
      <c r="L2095" s="29" t="n">
        <v>0.73</v>
      </c>
      <c r="M2095" s="30" t="n">
        <v>10.24</v>
      </c>
      <c r="N2095" s="29" t="n">
        <v>0.8</v>
      </c>
      <c r="O2095" s="25" t="n">
        <v>183</v>
      </c>
      <c r="P2095" s="30" t="n">
        <v>13.63</v>
      </c>
      <c r="Q2095" s="27" t="s">
        <v>4011</v>
      </c>
      <c r="R2095" s="27" t="s">
        <v>529</v>
      </c>
    </row>
    <row r="2096" customFormat="false" ht="15" hidden="false" customHeight="false" outlineLevel="0" collapsed="false">
      <c r="A2096" s="25" t="n">
        <f aca="false">IF(G2096="REJECT",COUNTIF($G$2:$G$2277,"&lt;&gt;REJECT")+1+COUNTIFS($G$2:$G$2277,"REJECT",$B$2:$B$2277,"&gt;"&amp;B2096),1+COUNTIFS($G$2:$G$2277,"&lt;&gt;REJECT",$B$2:$B$2277,"&gt;"&amp;B2096))</f>
        <v>2095</v>
      </c>
      <c r="B2096" s="26" t="n">
        <f aca="false">ROUND(($U$2*MAX(0,MIN(1,($W$2-I2096)/($W$2-$V$2)))+$U$3*MAX(0,MIN(1,($W$3-J2096)/($W$3-$V$3)))+$U$4*MAX(0,MIN(1,($W$4-K2096)/($W$4-$V$4)))+$U$5*MAX(0,MIN(1,($W$5-L2096)/($W$5-$V$5)))+$U$6*MAX(0,MIN(1,($W$6-M2096)/($W$6-$V$6)))+$U$7*MAX(0,MIN(1,($W$7-N2096)/($W$7-$V$7)))+$U$8*IF(AND(O2096&gt;=$V$8,O2096&lt;=$W$8),1,0))/$U$9*100,2)</f>
        <v>32.72</v>
      </c>
      <c r="C2096" s="27" t="s">
        <v>1038</v>
      </c>
      <c r="D2096" s="25" t="s">
        <v>134</v>
      </c>
      <c r="E2096" s="25" t="s">
        <v>3447</v>
      </c>
      <c r="F2096" s="25" t="s">
        <v>3457</v>
      </c>
      <c r="G2096" s="39" t="s">
        <v>32</v>
      </c>
      <c r="H2096" s="39" t="s">
        <v>26</v>
      </c>
      <c r="I2096" s="25" t="n">
        <v>8</v>
      </c>
      <c r="J2096" s="25" t="n">
        <v>1</v>
      </c>
      <c r="K2096" s="25" t="n">
        <v>7</v>
      </c>
      <c r="L2096" s="29" t="n">
        <v>0.71</v>
      </c>
      <c r="M2096" s="30" t="n">
        <v>14.16</v>
      </c>
      <c r="N2096" s="29" t="n">
        <v>0.84</v>
      </c>
      <c r="O2096" s="25" t="n">
        <v>189</v>
      </c>
      <c r="P2096" s="30" t="n">
        <v>9.9</v>
      </c>
      <c r="Q2096" s="27" t="s">
        <v>4028</v>
      </c>
      <c r="R2096" s="27" t="s">
        <v>529</v>
      </c>
    </row>
    <row r="2097" customFormat="false" ht="15" hidden="false" customHeight="false" outlineLevel="0" collapsed="false">
      <c r="A2097" s="25" t="n">
        <f aca="false">IF(G2097="REJECT",COUNTIF($G$2:$G$2277,"&lt;&gt;REJECT")+1+COUNTIFS($G$2:$G$2277,"REJECT",$B$2:$B$2277,"&gt;"&amp;B2097),1+COUNTIFS($G$2:$G$2277,"&lt;&gt;REJECT",$B$2:$B$2277,"&gt;"&amp;B2097))</f>
        <v>2096</v>
      </c>
      <c r="B2097" s="26" t="n">
        <f aca="false">ROUND(($U$2*MAX(0,MIN(1,($W$2-I2097)/($W$2-$V$2)))+$U$3*MAX(0,MIN(1,($W$3-J2097)/($W$3-$V$3)))+$U$4*MAX(0,MIN(1,($W$4-K2097)/($W$4-$V$4)))+$U$5*MAX(0,MIN(1,($W$5-L2097)/($W$5-$V$5)))+$U$6*MAX(0,MIN(1,($W$6-M2097)/($W$6-$V$6)))+$U$7*MAX(0,MIN(1,($W$7-N2097)/($W$7-$V$7)))+$U$8*IF(AND(O2097&gt;=$V$8,O2097&lt;=$W$8),1,0))/$U$9*100,2)</f>
        <v>32.71</v>
      </c>
      <c r="C2097" s="27" t="s">
        <v>2666</v>
      </c>
      <c r="D2097" s="25" t="s">
        <v>134</v>
      </c>
      <c r="E2097" s="25" t="s">
        <v>3450</v>
      </c>
      <c r="F2097" s="25" t="s">
        <v>3457</v>
      </c>
      <c r="G2097" s="39" t="s">
        <v>32</v>
      </c>
      <c r="H2097" s="39" t="s">
        <v>26</v>
      </c>
      <c r="I2097" s="25" t="n">
        <v>15</v>
      </c>
      <c r="J2097" s="25" t="n">
        <v>0</v>
      </c>
      <c r="K2097" s="25" t="n">
        <v>15</v>
      </c>
      <c r="L2097" s="29" t="n">
        <v>0.58</v>
      </c>
      <c r="M2097" s="30" t="n">
        <v>22.12</v>
      </c>
      <c r="N2097" s="29" t="n">
        <v>0.24</v>
      </c>
      <c r="O2097" s="25" t="n">
        <v>182</v>
      </c>
      <c r="P2097" s="30" t="n">
        <v>15.66</v>
      </c>
      <c r="Q2097" s="27" t="s">
        <v>4086</v>
      </c>
      <c r="R2097" s="27" t="s">
        <v>3896</v>
      </c>
    </row>
    <row r="2098" customFormat="false" ht="15" hidden="false" customHeight="false" outlineLevel="0" collapsed="false">
      <c r="A2098" s="25" t="n">
        <f aca="false">IF(G2098="REJECT",COUNTIF($G$2:$G$2277,"&lt;&gt;REJECT")+1+COUNTIFS($G$2:$G$2277,"REJECT",$B$2:$B$2277,"&gt;"&amp;B2098),1+COUNTIFS($G$2:$G$2277,"&lt;&gt;REJECT",$B$2:$B$2277,"&gt;"&amp;B2098))</f>
        <v>2097</v>
      </c>
      <c r="B2098" s="26" t="n">
        <f aca="false">ROUND(($U$2*MAX(0,MIN(1,($W$2-I2098)/($W$2-$V$2)))+$U$3*MAX(0,MIN(1,($W$3-J2098)/($W$3-$V$3)))+$U$4*MAX(0,MIN(1,($W$4-K2098)/($W$4-$V$4)))+$U$5*MAX(0,MIN(1,($W$5-L2098)/($W$5-$V$5)))+$U$6*MAX(0,MIN(1,($W$6-M2098)/($W$6-$V$6)))+$U$7*MAX(0,MIN(1,($W$7-N2098)/($W$7-$V$7)))+$U$8*IF(AND(O2098&gt;=$V$8,O2098&lt;=$W$8),1,0))/$U$9*100,2)</f>
        <v>32.7</v>
      </c>
      <c r="C2098" s="27" t="s">
        <v>738</v>
      </c>
      <c r="D2098" s="25" t="s">
        <v>134</v>
      </c>
      <c r="E2098" s="25" t="s">
        <v>3447</v>
      </c>
      <c r="F2098" s="25" t="s">
        <v>3457</v>
      </c>
      <c r="G2098" s="39" t="s">
        <v>32</v>
      </c>
      <c r="H2098" s="39" t="s">
        <v>26</v>
      </c>
      <c r="I2098" s="25" t="n">
        <v>12</v>
      </c>
      <c r="J2098" s="25" t="n">
        <v>1</v>
      </c>
      <c r="K2098" s="25" t="n">
        <v>12</v>
      </c>
      <c r="L2098" s="29" t="n">
        <v>0.73</v>
      </c>
      <c r="M2098" s="30" t="n">
        <v>14.98</v>
      </c>
      <c r="N2098" s="29" t="n">
        <v>0.36</v>
      </c>
      <c r="O2098" s="25" t="n">
        <v>193</v>
      </c>
      <c r="P2098" s="30" t="n">
        <v>-0.77</v>
      </c>
      <c r="Q2098" s="27" t="s">
        <v>4017</v>
      </c>
      <c r="R2098" s="27" t="s">
        <v>529</v>
      </c>
    </row>
    <row r="2099" customFormat="false" ht="15" hidden="false" customHeight="false" outlineLevel="0" collapsed="false">
      <c r="A2099" s="25" t="n">
        <f aca="false">IF(G2099="REJECT",COUNTIF($G$2:$G$2277,"&lt;&gt;REJECT")+1+COUNTIFS($G$2:$G$2277,"REJECT",$B$2:$B$2277,"&gt;"&amp;B2099),1+COUNTIFS($G$2:$G$2277,"&lt;&gt;REJECT",$B$2:$B$2277,"&gt;"&amp;B2099))</f>
        <v>2098</v>
      </c>
      <c r="B2099" s="26" t="n">
        <f aca="false">ROUND(($U$2*MAX(0,MIN(1,($W$2-I2099)/($W$2-$V$2)))+$U$3*MAX(0,MIN(1,($W$3-J2099)/($W$3-$V$3)))+$U$4*MAX(0,MIN(1,($W$4-K2099)/($W$4-$V$4)))+$U$5*MAX(0,MIN(1,($W$5-L2099)/($W$5-$V$5)))+$U$6*MAX(0,MIN(1,($W$6-M2099)/($W$6-$V$6)))+$U$7*MAX(0,MIN(1,($W$7-N2099)/($W$7-$V$7)))+$U$8*IF(AND(O2099&gt;=$V$8,O2099&lt;=$W$8),1,0))/$U$9*100,2)</f>
        <v>32.69</v>
      </c>
      <c r="C2099" s="27" t="s">
        <v>388</v>
      </c>
      <c r="D2099" s="25" t="s">
        <v>134</v>
      </c>
      <c r="E2099" s="25" t="s">
        <v>3450</v>
      </c>
      <c r="F2099" s="25" t="s">
        <v>3457</v>
      </c>
      <c r="G2099" s="39" t="s">
        <v>32</v>
      </c>
      <c r="H2099" s="39" t="s">
        <v>26</v>
      </c>
      <c r="I2099" s="25" t="n">
        <v>7</v>
      </c>
      <c r="J2099" s="25" t="n">
        <v>1</v>
      </c>
      <c r="K2099" s="25" t="n">
        <v>7</v>
      </c>
      <c r="L2099" s="29" t="n">
        <v>0.63</v>
      </c>
      <c r="M2099" s="30" t="n">
        <v>14.17</v>
      </c>
      <c r="N2099" s="29" t="n">
        <v>0.6</v>
      </c>
      <c r="O2099" s="25" t="n">
        <v>182</v>
      </c>
      <c r="P2099" s="30" t="n">
        <v>5.85</v>
      </c>
      <c r="Q2099" s="27" t="s">
        <v>4079</v>
      </c>
      <c r="R2099" s="27" t="s">
        <v>529</v>
      </c>
    </row>
    <row r="2100" customFormat="false" ht="15" hidden="false" customHeight="false" outlineLevel="0" collapsed="false">
      <c r="A2100" s="25" t="n">
        <f aca="false">IF(G2100="REJECT",COUNTIF($G$2:$G$2277,"&lt;&gt;REJECT")+1+COUNTIFS($G$2:$G$2277,"REJECT",$B$2:$B$2277,"&gt;"&amp;B2100),1+COUNTIFS($G$2:$G$2277,"&lt;&gt;REJECT",$B$2:$B$2277,"&gt;"&amp;B2100))</f>
        <v>2099</v>
      </c>
      <c r="B2100" s="26" t="n">
        <f aca="false">ROUND(($U$2*MAX(0,MIN(1,($W$2-I2100)/($W$2-$V$2)))+$U$3*MAX(0,MIN(1,($W$3-J2100)/($W$3-$V$3)))+$U$4*MAX(0,MIN(1,($W$4-K2100)/($W$4-$V$4)))+$U$5*MAX(0,MIN(1,($W$5-L2100)/($W$5-$V$5)))+$U$6*MAX(0,MIN(1,($W$6-M2100)/($W$6-$V$6)))+$U$7*MAX(0,MIN(1,($W$7-N2100)/($W$7-$V$7)))+$U$8*IF(AND(O2100&gt;=$V$8,O2100&lt;=$W$8),1,0))/$U$9*100,2)</f>
        <v>32.67</v>
      </c>
      <c r="C2100" s="27" t="s">
        <v>744</v>
      </c>
      <c r="D2100" s="25" t="s">
        <v>134</v>
      </c>
      <c r="E2100" s="25" t="s">
        <v>3447</v>
      </c>
      <c r="F2100" s="25" t="s">
        <v>3457</v>
      </c>
      <c r="G2100" s="39" t="s">
        <v>32</v>
      </c>
      <c r="H2100" s="39" t="s">
        <v>26</v>
      </c>
      <c r="I2100" s="25" t="n">
        <v>12</v>
      </c>
      <c r="J2100" s="25" t="n">
        <v>1</v>
      </c>
      <c r="K2100" s="25" t="n">
        <v>12</v>
      </c>
      <c r="L2100" s="29" t="n">
        <v>0.72</v>
      </c>
      <c r="M2100" s="30" t="n">
        <v>7.19</v>
      </c>
      <c r="N2100" s="29" t="n">
        <v>0.8</v>
      </c>
      <c r="O2100" s="25" t="n">
        <v>186</v>
      </c>
      <c r="P2100" s="30" t="n">
        <v>6.69</v>
      </c>
      <c r="Q2100" s="27" t="s">
        <v>4044</v>
      </c>
      <c r="R2100" s="27" t="s">
        <v>529</v>
      </c>
    </row>
    <row r="2101" customFormat="false" ht="15" hidden="false" customHeight="false" outlineLevel="0" collapsed="false">
      <c r="A2101" s="25" t="n">
        <f aca="false">IF(G2101="REJECT",COUNTIF($G$2:$G$2277,"&lt;&gt;REJECT")+1+COUNTIFS($G$2:$G$2277,"REJECT",$B$2:$B$2277,"&gt;"&amp;B2101),1+COUNTIFS($G$2:$G$2277,"&lt;&gt;REJECT",$B$2:$B$2277,"&gt;"&amp;B2101))</f>
        <v>2100</v>
      </c>
      <c r="B2101" s="26" t="n">
        <f aca="false">ROUND(($U$2*MAX(0,MIN(1,($W$2-I2101)/($W$2-$V$2)))+$U$3*MAX(0,MIN(1,($W$3-J2101)/($W$3-$V$3)))+$U$4*MAX(0,MIN(1,($W$4-K2101)/($W$4-$V$4)))+$U$5*MAX(0,MIN(1,($W$5-L2101)/($W$5-$V$5)))+$U$6*MAX(0,MIN(1,($W$6-M2101)/($W$6-$V$6)))+$U$7*MAX(0,MIN(1,($W$7-N2101)/($W$7-$V$7)))+$U$8*IF(AND(O2101&gt;=$V$8,O2101&lt;=$W$8),1,0))/$U$9*100,2)</f>
        <v>32.65</v>
      </c>
      <c r="C2101" s="27" t="s">
        <v>395</v>
      </c>
      <c r="D2101" s="25" t="s">
        <v>134</v>
      </c>
      <c r="E2101" s="25" t="s">
        <v>3450</v>
      </c>
      <c r="F2101" s="25" t="s">
        <v>3457</v>
      </c>
      <c r="G2101" s="39" t="s">
        <v>32</v>
      </c>
      <c r="H2101" s="39" t="s">
        <v>26</v>
      </c>
      <c r="I2101" s="25" t="n">
        <v>9</v>
      </c>
      <c r="J2101" s="25" t="n">
        <v>1</v>
      </c>
      <c r="K2101" s="25" t="n">
        <v>9</v>
      </c>
      <c r="L2101" s="29" t="n">
        <v>0.71</v>
      </c>
      <c r="M2101" s="30" t="n">
        <v>9.28</v>
      </c>
      <c r="N2101" s="29" t="n">
        <v>0.24</v>
      </c>
      <c r="O2101" s="25" t="n">
        <v>186</v>
      </c>
      <c r="P2101" s="30" t="n">
        <v>6.86</v>
      </c>
      <c r="Q2101" s="27" t="s">
        <v>4087</v>
      </c>
      <c r="R2101" s="27" t="s">
        <v>529</v>
      </c>
    </row>
    <row r="2102" customFormat="false" ht="15" hidden="false" customHeight="false" outlineLevel="0" collapsed="false">
      <c r="A2102" s="25" t="n">
        <f aca="false">IF(G2102="REJECT",COUNTIF($G$2:$G$2277,"&lt;&gt;REJECT")+1+COUNTIFS($G$2:$G$2277,"REJECT",$B$2:$B$2277,"&gt;"&amp;B2102),1+COUNTIFS($G$2:$G$2277,"&lt;&gt;REJECT",$B$2:$B$2277,"&gt;"&amp;B2102))</f>
        <v>2101</v>
      </c>
      <c r="B2102" s="26" t="n">
        <f aca="false">ROUND(($U$2*MAX(0,MIN(1,($W$2-I2102)/($W$2-$V$2)))+$U$3*MAX(0,MIN(1,($W$3-J2102)/($W$3-$V$3)))+$U$4*MAX(0,MIN(1,($W$4-K2102)/($W$4-$V$4)))+$U$5*MAX(0,MIN(1,($W$5-L2102)/($W$5-$V$5)))+$U$6*MAX(0,MIN(1,($W$6-M2102)/($W$6-$V$6)))+$U$7*MAX(0,MIN(1,($W$7-N2102)/($W$7-$V$7)))+$U$8*IF(AND(O2102&gt;=$V$8,O2102&lt;=$W$8),1,0))/$U$9*100,2)</f>
        <v>32.64</v>
      </c>
      <c r="C2102" s="27" t="s">
        <v>2096</v>
      </c>
      <c r="D2102" s="25" t="s">
        <v>134</v>
      </c>
      <c r="E2102" s="25" t="s">
        <v>3447</v>
      </c>
      <c r="F2102" s="25" t="s">
        <v>3457</v>
      </c>
      <c r="G2102" s="39" t="s">
        <v>32</v>
      </c>
      <c r="H2102" s="39" t="s">
        <v>26</v>
      </c>
      <c r="I2102" s="25" t="n">
        <v>13</v>
      </c>
      <c r="J2102" s="25" t="n">
        <v>1</v>
      </c>
      <c r="K2102" s="25" t="n">
        <v>13</v>
      </c>
      <c r="L2102" s="29" t="n">
        <v>0.75</v>
      </c>
      <c r="M2102" s="30" t="n">
        <v>22.99</v>
      </c>
      <c r="N2102" s="29" t="n">
        <v>0.32</v>
      </c>
      <c r="O2102" s="25" t="n">
        <v>186</v>
      </c>
      <c r="P2102" s="30" t="n">
        <v>9.84</v>
      </c>
      <c r="Q2102" s="27" t="s">
        <v>4023</v>
      </c>
      <c r="R2102" s="27" t="s">
        <v>1926</v>
      </c>
    </row>
    <row r="2103" customFormat="false" ht="15" hidden="false" customHeight="false" outlineLevel="0" collapsed="false">
      <c r="A2103" s="25" t="n">
        <f aca="false">IF(G2103="REJECT",COUNTIF($G$2:$G$2277,"&lt;&gt;REJECT")+1+COUNTIFS($G$2:$G$2277,"REJECT",$B$2:$B$2277,"&gt;"&amp;B2103),1+COUNTIFS($G$2:$G$2277,"&lt;&gt;REJECT",$B$2:$B$2277,"&gt;"&amp;B2103))</f>
        <v>2101</v>
      </c>
      <c r="B2103" s="26" t="n">
        <f aca="false">ROUND(($U$2*MAX(0,MIN(1,($W$2-I2103)/($W$2-$V$2)))+$U$3*MAX(0,MIN(1,($W$3-J2103)/($W$3-$V$3)))+$U$4*MAX(0,MIN(1,($W$4-K2103)/($W$4-$V$4)))+$U$5*MAX(0,MIN(1,($W$5-L2103)/($W$5-$V$5)))+$U$6*MAX(0,MIN(1,($W$6-M2103)/($W$6-$V$6)))+$U$7*MAX(0,MIN(1,($W$7-N2103)/($W$7-$V$7)))+$U$8*IF(AND(O2103&gt;=$V$8,O2103&lt;=$W$8),1,0))/$U$9*100,2)</f>
        <v>32.64</v>
      </c>
      <c r="C2103" s="27" t="s">
        <v>2773</v>
      </c>
      <c r="D2103" s="25" t="s">
        <v>134</v>
      </c>
      <c r="E2103" s="25" t="s">
        <v>3450</v>
      </c>
      <c r="F2103" s="25" t="s">
        <v>3448</v>
      </c>
      <c r="G2103" s="39" t="s">
        <v>32</v>
      </c>
      <c r="H2103" s="39" t="s">
        <v>26</v>
      </c>
      <c r="I2103" s="25" t="n">
        <v>11</v>
      </c>
      <c r="J2103" s="25" t="n">
        <v>1</v>
      </c>
      <c r="K2103" s="25" t="n">
        <v>11</v>
      </c>
      <c r="L2103" s="29" t="n">
        <v>0.71</v>
      </c>
      <c r="M2103" s="30" t="n">
        <v>9.37</v>
      </c>
      <c r="N2103" s="29" t="n">
        <v>0.24</v>
      </c>
      <c r="O2103" s="25" t="n">
        <v>183</v>
      </c>
      <c r="P2103" s="30" t="n">
        <v>0.75</v>
      </c>
      <c r="Q2103" s="27" t="s">
        <v>4088</v>
      </c>
      <c r="R2103" s="27" t="s">
        <v>1409</v>
      </c>
    </row>
    <row r="2104" customFormat="false" ht="15" hidden="false" customHeight="false" outlineLevel="0" collapsed="false">
      <c r="A2104" s="25" t="n">
        <f aca="false">IF(G2104="REJECT",COUNTIF($G$2:$G$2277,"&lt;&gt;REJECT")+1+COUNTIFS($G$2:$G$2277,"REJECT",$B$2:$B$2277,"&gt;"&amp;B2104),1+COUNTIFS($G$2:$G$2277,"&lt;&gt;REJECT",$B$2:$B$2277,"&gt;"&amp;B2104))</f>
        <v>2101</v>
      </c>
      <c r="B2104" s="26" t="n">
        <f aca="false">ROUND(($U$2*MAX(0,MIN(1,($W$2-I2104)/($W$2-$V$2)))+$U$3*MAX(0,MIN(1,($W$3-J2104)/($W$3-$V$3)))+$U$4*MAX(0,MIN(1,($W$4-K2104)/($W$4-$V$4)))+$U$5*MAX(0,MIN(1,($W$5-L2104)/($W$5-$V$5)))+$U$6*MAX(0,MIN(1,($W$6-M2104)/($W$6-$V$6)))+$U$7*MAX(0,MIN(1,($W$7-N2104)/($W$7-$V$7)))+$U$8*IF(AND(O2104&gt;=$V$8,O2104&lt;=$W$8),1,0))/$U$9*100,2)</f>
        <v>32.64</v>
      </c>
      <c r="C2104" s="27" t="s">
        <v>3363</v>
      </c>
      <c r="D2104" s="25" t="s">
        <v>134</v>
      </c>
      <c r="E2104" s="25" t="s">
        <v>3447</v>
      </c>
      <c r="F2104" s="25" t="s">
        <v>3448</v>
      </c>
      <c r="G2104" s="39" t="s">
        <v>32</v>
      </c>
      <c r="H2104" s="39" t="s">
        <v>26</v>
      </c>
      <c r="I2104" s="25" t="n">
        <v>9</v>
      </c>
      <c r="J2104" s="25" t="n">
        <v>1</v>
      </c>
      <c r="K2104" s="25" t="n">
        <v>9</v>
      </c>
      <c r="L2104" s="29" t="n">
        <v>0.71</v>
      </c>
      <c r="M2104" s="30" t="n">
        <v>8.99</v>
      </c>
      <c r="N2104" s="29" t="n">
        <v>0.28</v>
      </c>
      <c r="O2104" s="25" t="n">
        <v>185</v>
      </c>
      <c r="P2104" s="30" t="n">
        <v>3.42</v>
      </c>
      <c r="Q2104" s="27" t="s">
        <v>4042</v>
      </c>
      <c r="R2104" s="27" t="s">
        <v>529</v>
      </c>
    </row>
    <row r="2105" customFormat="false" ht="15" hidden="false" customHeight="false" outlineLevel="0" collapsed="false">
      <c r="A2105" s="25" t="n">
        <f aca="false">IF(G2105="REJECT",COUNTIF($G$2:$G$2277,"&lt;&gt;REJECT")+1+COUNTIFS($G$2:$G$2277,"REJECT",$B$2:$B$2277,"&gt;"&amp;B2105),1+COUNTIFS($G$2:$G$2277,"&lt;&gt;REJECT",$B$2:$B$2277,"&gt;"&amp;B2105))</f>
        <v>2104</v>
      </c>
      <c r="B2105" s="26" t="n">
        <f aca="false">ROUND(($U$2*MAX(0,MIN(1,($W$2-I2105)/($W$2-$V$2)))+$U$3*MAX(0,MIN(1,($W$3-J2105)/($W$3-$V$3)))+$U$4*MAX(0,MIN(1,($W$4-K2105)/($W$4-$V$4)))+$U$5*MAX(0,MIN(1,($W$5-L2105)/($W$5-$V$5)))+$U$6*MAX(0,MIN(1,($W$6-M2105)/($W$6-$V$6)))+$U$7*MAX(0,MIN(1,($W$7-N2105)/($W$7-$V$7)))+$U$8*IF(AND(O2105&gt;=$V$8,O2105&lt;=$W$8),1,0))/$U$9*100,2)</f>
        <v>32.59</v>
      </c>
      <c r="C2105" s="27" t="s">
        <v>1923</v>
      </c>
      <c r="D2105" s="25" t="s">
        <v>3459</v>
      </c>
      <c r="E2105" s="25" t="s">
        <v>3450</v>
      </c>
      <c r="F2105" s="25" t="s">
        <v>3448</v>
      </c>
      <c r="G2105" s="39" t="s">
        <v>32</v>
      </c>
      <c r="H2105" s="39" t="s">
        <v>26</v>
      </c>
      <c r="I2105" s="25" t="n">
        <v>11</v>
      </c>
      <c r="J2105" s="25" t="n">
        <v>1</v>
      </c>
      <c r="K2105" s="25" t="n">
        <v>11</v>
      </c>
      <c r="L2105" s="29" t="n">
        <v>0.72</v>
      </c>
      <c r="M2105" s="30" t="n">
        <v>11.24</v>
      </c>
      <c r="N2105" s="29" t="n">
        <v>0.44</v>
      </c>
      <c r="O2105" s="25" t="n">
        <v>182</v>
      </c>
      <c r="P2105" s="30" t="n">
        <v>8.85</v>
      </c>
      <c r="Q2105" s="27" t="s">
        <v>4034</v>
      </c>
      <c r="R2105" s="27" t="s">
        <v>529</v>
      </c>
    </row>
    <row r="2106" customFormat="false" ht="15" hidden="false" customHeight="false" outlineLevel="0" collapsed="false">
      <c r="A2106" s="25" t="n">
        <f aca="false">IF(G2106="REJECT",COUNTIF($G$2:$G$2277,"&lt;&gt;REJECT")+1+COUNTIFS($G$2:$G$2277,"REJECT",$B$2:$B$2277,"&gt;"&amp;B2106),1+COUNTIFS($G$2:$G$2277,"&lt;&gt;REJECT",$B$2:$B$2277,"&gt;"&amp;B2106))</f>
        <v>2104</v>
      </c>
      <c r="B2106" s="26" t="n">
        <f aca="false">ROUND(($U$2*MAX(0,MIN(1,($W$2-I2106)/($W$2-$V$2)))+$U$3*MAX(0,MIN(1,($W$3-J2106)/($W$3-$V$3)))+$U$4*MAX(0,MIN(1,($W$4-K2106)/($W$4-$V$4)))+$U$5*MAX(0,MIN(1,($W$5-L2106)/($W$5-$V$5)))+$U$6*MAX(0,MIN(1,($W$6-M2106)/($W$6-$V$6)))+$U$7*MAX(0,MIN(1,($W$7-N2106)/($W$7-$V$7)))+$U$8*IF(AND(O2106&gt;=$V$8,O2106&lt;=$W$8),1,0))/$U$9*100,2)</f>
        <v>32.59</v>
      </c>
      <c r="C2106" s="27" t="s">
        <v>2074</v>
      </c>
      <c r="D2106" s="25" t="s">
        <v>134</v>
      </c>
      <c r="E2106" s="25" t="s">
        <v>3447</v>
      </c>
      <c r="F2106" s="25" t="s">
        <v>3457</v>
      </c>
      <c r="G2106" s="39" t="s">
        <v>32</v>
      </c>
      <c r="H2106" s="39" t="s">
        <v>26</v>
      </c>
      <c r="I2106" s="25" t="n">
        <v>9</v>
      </c>
      <c r="J2106" s="25" t="n">
        <v>1</v>
      </c>
      <c r="K2106" s="25" t="n">
        <v>9</v>
      </c>
      <c r="L2106" s="29" t="n">
        <v>0.71</v>
      </c>
      <c r="M2106" s="30" t="n">
        <v>12.08</v>
      </c>
      <c r="N2106" s="29" t="n">
        <v>0</v>
      </c>
      <c r="O2106" s="25" t="n">
        <v>190</v>
      </c>
      <c r="P2106" s="30" t="n">
        <v>0.54</v>
      </c>
      <c r="Q2106" s="27" t="s">
        <v>4062</v>
      </c>
      <c r="R2106" s="27" t="s">
        <v>529</v>
      </c>
    </row>
    <row r="2107" customFormat="false" ht="15" hidden="false" customHeight="false" outlineLevel="0" collapsed="false">
      <c r="A2107" s="25" t="n">
        <f aca="false">IF(G2107="REJECT",COUNTIF($G$2:$G$2277,"&lt;&gt;REJECT")+1+COUNTIFS($G$2:$G$2277,"REJECT",$B$2:$B$2277,"&gt;"&amp;B2107),1+COUNTIFS($G$2:$G$2277,"&lt;&gt;REJECT",$B$2:$B$2277,"&gt;"&amp;B2107))</f>
        <v>2106</v>
      </c>
      <c r="B2107" s="26" t="n">
        <f aca="false">ROUND(($U$2*MAX(0,MIN(1,($W$2-I2107)/($W$2-$V$2)))+$U$3*MAX(0,MIN(1,($W$3-J2107)/($W$3-$V$3)))+$U$4*MAX(0,MIN(1,($W$4-K2107)/($W$4-$V$4)))+$U$5*MAX(0,MIN(1,($W$5-L2107)/($W$5-$V$5)))+$U$6*MAX(0,MIN(1,($W$6-M2107)/($W$6-$V$6)))+$U$7*MAX(0,MIN(1,($W$7-N2107)/($W$7-$V$7)))+$U$8*IF(AND(O2107&gt;=$V$8,O2107&lt;=$W$8),1,0))/$U$9*100,2)</f>
        <v>32.55</v>
      </c>
      <c r="C2107" s="27" t="s">
        <v>1016</v>
      </c>
      <c r="D2107" s="25" t="s">
        <v>134</v>
      </c>
      <c r="E2107" s="25" t="s">
        <v>3447</v>
      </c>
      <c r="F2107" s="25" t="s">
        <v>3457</v>
      </c>
      <c r="G2107" s="39" t="s">
        <v>32</v>
      </c>
      <c r="H2107" s="39" t="s">
        <v>26</v>
      </c>
      <c r="I2107" s="25" t="n">
        <v>11</v>
      </c>
      <c r="J2107" s="25" t="n">
        <v>1</v>
      </c>
      <c r="K2107" s="25" t="n">
        <v>11</v>
      </c>
      <c r="L2107" s="29" t="n">
        <v>0.74</v>
      </c>
      <c r="M2107" s="30" t="n">
        <v>15.93</v>
      </c>
      <c r="N2107" s="29" t="n">
        <v>0.72</v>
      </c>
      <c r="O2107" s="25" t="n">
        <v>189</v>
      </c>
      <c r="P2107" s="30" t="n">
        <v>0.84</v>
      </c>
      <c r="Q2107" s="27" t="s">
        <v>4034</v>
      </c>
      <c r="R2107" s="27" t="s">
        <v>529</v>
      </c>
    </row>
    <row r="2108" customFormat="false" ht="15" hidden="false" customHeight="false" outlineLevel="0" collapsed="false">
      <c r="A2108" s="25" t="n">
        <f aca="false">IF(G2108="REJECT",COUNTIF($G$2:$G$2277,"&lt;&gt;REJECT")+1+COUNTIFS($G$2:$G$2277,"REJECT",$B$2:$B$2277,"&gt;"&amp;B2108),1+COUNTIFS($G$2:$G$2277,"&lt;&gt;REJECT",$B$2:$B$2277,"&gt;"&amp;B2108))</f>
        <v>2107</v>
      </c>
      <c r="B2108" s="26" t="n">
        <f aca="false">ROUND(($U$2*MAX(0,MIN(1,($W$2-I2108)/($W$2-$V$2)))+$U$3*MAX(0,MIN(1,($W$3-J2108)/($W$3-$V$3)))+$U$4*MAX(0,MIN(1,($W$4-K2108)/($W$4-$V$4)))+$U$5*MAX(0,MIN(1,($W$5-L2108)/($W$5-$V$5)))+$U$6*MAX(0,MIN(1,($W$6-M2108)/($W$6-$V$6)))+$U$7*MAX(0,MIN(1,($W$7-N2108)/($W$7-$V$7)))+$U$8*IF(AND(O2108&gt;=$V$8,O2108&lt;=$W$8),1,0))/$U$9*100,2)</f>
        <v>32.5</v>
      </c>
      <c r="C2108" s="27" t="s">
        <v>395</v>
      </c>
      <c r="D2108" s="25" t="s">
        <v>134</v>
      </c>
      <c r="E2108" s="25" t="s">
        <v>3447</v>
      </c>
      <c r="F2108" s="25" t="s">
        <v>3457</v>
      </c>
      <c r="G2108" s="39" t="s">
        <v>32</v>
      </c>
      <c r="H2108" s="39" t="s">
        <v>26</v>
      </c>
      <c r="I2108" s="25" t="n">
        <v>12</v>
      </c>
      <c r="J2108" s="25" t="n">
        <v>1</v>
      </c>
      <c r="K2108" s="25" t="n">
        <v>12</v>
      </c>
      <c r="L2108" s="29" t="n">
        <v>0.7</v>
      </c>
      <c r="M2108" s="30" t="n">
        <v>7.78</v>
      </c>
      <c r="N2108" s="29" t="n">
        <v>0.12</v>
      </c>
      <c r="O2108" s="25" t="n">
        <v>188</v>
      </c>
      <c r="P2108" s="30" t="n">
        <v>4.52</v>
      </c>
      <c r="Q2108" s="27" t="s">
        <v>4044</v>
      </c>
      <c r="R2108" s="27" t="s">
        <v>529</v>
      </c>
    </row>
    <row r="2109" customFormat="false" ht="15" hidden="false" customHeight="false" outlineLevel="0" collapsed="false">
      <c r="A2109" s="25" t="n">
        <f aca="false">IF(G2109="REJECT",COUNTIF($G$2:$G$2277,"&lt;&gt;REJECT")+1+COUNTIFS($G$2:$G$2277,"REJECT",$B$2:$B$2277,"&gt;"&amp;B2109),1+COUNTIFS($G$2:$G$2277,"&lt;&gt;REJECT",$B$2:$B$2277,"&gt;"&amp;B2109))</f>
        <v>2107</v>
      </c>
      <c r="B2109" s="26" t="n">
        <f aca="false">ROUND(($U$2*MAX(0,MIN(1,($W$2-I2109)/($W$2-$V$2)))+$U$3*MAX(0,MIN(1,($W$3-J2109)/($W$3-$V$3)))+$U$4*MAX(0,MIN(1,($W$4-K2109)/($W$4-$V$4)))+$U$5*MAX(0,MIN(1,($W$5-L2109)/($W$5-$V$5)))+$U$6*MAX(0,MIN(1,($W$6-M2109)/($W$6-$V$6)))+$U$7*MAX(0,MIN(1,($W$7-N2109)/($W$7-$V$7)))+$U$8*IF(AND(O2109&gt;=$V$8,O2109&lt;=$W$8),1,0))/$U$9*100,2)</f>
        <v>32.5</v>
      </c>
      <c r="C2109" s="27" t="s">
        <v>609</v>
      </c>
      <c r="D2109" s="25" t="s">
        <v>134</v>
      </c>
      <c r="E2109" s="25" t="s">
        <v>3447</v>
      </c>
      <c r="F2109" s="25" t="s">
        <v>3457</v>
      </c>
      <c r="G2109" s="39" t="s">
        <v>32</v>
      </c>
      <c r="H2109" s="39" t="s">
        <v>26</v>
      </c>
      <c r="I2109" s="25" t="n">
        <v>13</v>
      </c>
      <c r="J2109" s="25" t="n">
        <v>1</v>
      </c>
      <c r="K2109" s="25" t="n">
        <v>13</v>
      </c>
      <c r="L2109" s="29" t="n">
        <v>0.72</v>
      </c>
      <c r="M2109" s="30" t="n">
        <v>13.4</v>
      </c>
      <c r="N2109" s="29" t="n">
        <v>0.28</v>
      </c>
      <c r="O2109" s="25" t="n">
        <v>183</v>
      </c>
      <c r="P2109" s="30" t="n">
        <v>4.5</v>
      </c>
      <c r="Q2109" s="27" t="s">
        <v>4057</v>
      </c>
      <c r="R2109" s="27" t="s">
        <v>529</v>
      </c>
    </row>
    <row r="2110" customFormat="false" ht="15" hidden="false" customHeight="false" outlineLevel="0" collapsed="false">
      <c r="A2110" s="25" t="n">
        <f aca="false">IF(G2110="REJECT",COUNTIF($G$2:$G$2277,"&lt;&gt;REJECT")+1+COUNTIFS($G$2:$G$2277,"REJECT",$B$2:$B$2277,"&gt;"&amp;B2110),1+COUNTIFS($G$2:$G$2277,"&lt;&gt;REJECT",$B$2:$B$2277,"&gt;"&amp;B2110))</f>
        <v>2107</v>
      </c>
      <c r="B2110" s="26" t="n">
        <f aca="false">ROUND(($U$2*MAX(0,MIN(1,($W$2-I2110)/($W$2-$V$2)))+$U$3*MAX(0,MIN(1,($W$3-J2110)/($W$3-$V$3)))+$U$4*MAX(0,MIN(1,($W$4-K2110)/($W$4-$V$4)))+$U$5*MAX(0,MIN(1,($W$5-L2110)/($W$5-$V$5)))+$U$6*MAX(0,MIN(1,($W$6-M2110)/($W$6-$V$6)))+$U$7*MAX(0,MIN(1,($W$7-N2110)/($W$7-$V$7)))+$U$8*IF(AND(O2110&gt;=$V$8,O2110&lt;=$W$8),1,0))/$U$9*100,2)</f>
        <v>32.5</v>
      </c>
      <c r="C2110" s="27" t="s">
        <v>1685</v>
      </c>
      <c r="D2110" s="25" t="s">
        <v>3459</v>
      </c>
      <c r="E2110" s="25" t="s">
        <v>3447</v>
      </c>
      <c r="F2110" s="25" t="s">
        <v>3457</v>
      </c>
      <c r="G2110" s="39" t="s">
        <v>32</v>
      </c>
      <c r="H2110" s="39" t="s">
        <v>26</v>
      </c>
      <c r="I2110" s="25" t="n">
        <v>10</v>
      </c>
      <c r="J2110" s="25" t="n">
        <v>1</v>
      </c>
      <c r="K2110" s="25" t="n">
        <v>10</v>
      </c>
      <c r="L2110" s="29" t="n">
        <v>0.74</v>
      </c>
      <c r="M2110" s="30" t="n">
        <v>22.18</v>
      </c>
      <c r="N2110" s="29" t="n">
        <v>0.12</v>
      </c>
      <c r="O2110" s="25" t="n">
        <v>183</v>
      </c>
      <c r="P2110" s="30" t="n">
        <v>3.37</v>
      </c>
      <c r="Q2110" s="27" t="s">
        <v>4089</v>
      </c>
      <c r="R2110" s="27" t="s">
        <v>1926</v>
      </c>
    </row>
    <row r="2111" customFormat="false" ht="15" hidden="false" customHeight="false" outlineLevel="0" collapsed="false">
      <c r="A2111" s="25" t="n">
        <f aca="false">IF(G2111="REJECT",COUNTIF($G$2:$G$2277,"&lt;&gt;REJECT")+1+COUNTIFS($G$2:$G$2277,"REJECT",$B$2:$B$2277,"&gt;"&amp;B2111),1+COUNTIFS($G$2:$G$2277,"&lt;&gt;REJECT",$B$2:$B$2277,"&gt;"&amp;B2111))</f>
        <v>2107</v>
      </c>
      <c r="B2111" s="26" t="n">
        <f aca="false">ROUND(($U$2*MAX(0,MIN(1,($W$2-I2111)/($W$2-$V$2)))+$U$3*MAX(0,MIN(1,($W$3-J2111)/($W$3-$V$3)))+$U$4*MAX(0,MIN(1,($W$4-K2111)/($W$4-$V$4)))+$U$5*MAX(0,MIN(1,($W$5-L2111)/($W$5-$V$5)))+$U$6*MAX(0,MIN(1,($W$6-M2111)/($W$6-$V$6)))+$U$7*MAX(0,MIN(1,($W$7-N2111)/($W$7-$V$7)))+$U$8*IF(AND(O2111&gt;=$V$8,O2111&lt;=$W$8),1,0))/$U$9*100,2)</f>
        <v>32.5</v>
      </c>
      <c r="C2111" s="27" t="s">
        <v>1761</v>
      </c>
      <c r="D2111" s="25" t="s">
        <v>3459</v>
      </c>
      <c r="E2111" s="25" t="s">
        <v>3450</v>
      </c>
      <c r="F2111" s="25" t="s">
        <v>3457</v>
      </c>
      <c r="G2111" s="39" t="s">
        <v>32</v>
      </c>
      <c r="H2111" s="39" t="s">
        <v>26</v>
      </c>
      <c r="I2111" s="25" t="n">
        <v>7</v>
      </c>
      <c r="J2111" s="25" t="n">
        <v>1</v>
      </c>
      <c r="K2111" s="25" t="n">
        <v>7</v>
      </c>
      <c r="L2111" s="29" t="n">
        <v>0.64</v>
      </c>
      <c r="M2111" s="30" t="n">
        <v>19.33</v>
      </c>
      <c r="N2111" s="29" t="n">
        <v>0.56</v>
      </c>
      <c r="O2111" s="25" t="n">
        <v>182</v>
      </c>
      <c r="P2111" s="30" t="n">
        <v>14.33</v>
      </c>
      <c r="Q2111" s="27" t="s">
        <v>4035</v>
      </c>
      <c r="R2111" s="27" t="s">
        <v>529</v>
      </c>
    </row>
    <row r="2112" customFormat="false" ht="15" hidden="false" customHeight="false" outlineLevel="0" collapsed="false">
      <c r="A2112" s="25" t="n">
        <f aca="false">IF(G2112="REJECT",COUNTIF($G$2:$G$2277,"&lt;&gt;REJECT")+1+COUNTIFS($G$2:$G$2277,"REJECT",$B$2:$B$2277,"&gt;"&amp;B2112),1+COUNTIFS($G$2:$G$2277,"&lt;&gt;REJECT",$B$2:$B$2277,"&gt;"&amp;B2112))</f>
        <v>2111</v>
      </c>
      <c r="B2112" s="26" t="n">
        <f aca="false">ROUND(($U$2*MAX(0,MIN(1,($W$2-I2112)/($W$2-$V$2)))+$U$3*MAX(0,MIN(1,($W$3-J2112)/($W$3-$V$3)))+$U$4*MAX(0,MIN(1,($W$4-K2112)/($W$4-$V$4)))+$U$5*MAX(0,MIN(1,($W$5-L2112)/($W$5-$V$5)))+$U$6*MAX(0,MIN(1,($W$6-M2112)/($W$6-$V$6)))+$U$7*MAX(0,MIN(1,($W$7-N2112)/($W$7-$V$7)))+$U$8*IF(AND(O2112&gt;=$V$8,O2112&lt;=$W$8),1,0))/$U$9*100,2)</f>
        <v>32.49</v>
      </c>
      <c r="C2112" s="27" t="s">
        <v>911</v>
      </c>
      <c r="D2112" s="25" t="s">
        <v>3459</v>
      </c>
      <c r="E2112" s="25" t="s">
        <v>3450</v>
      </c>
      <c r="F2112" s="25" t="s">
        <v>3457</v>
      </c>
      <c r="G2112" s="39" t="s">
        <v>32</v>
      </c>
      <c r="H2112" s="39" t="s">
        <v>26</v>
      </c>
      <c r="I2112" s="25" t="n">
        <v>12</v>
      </c>
      <c r="J2112" s="25" t="n">
        <v>1</v>
      </c>
      <c r="K2112" s="25" t="n">
        <v>12</v>
      </c>
      <c r="L2112" s="29" t="n">
        <v>0.75</v>
      </c>
      <c r="M2112" s="30" t="n">
        <v>25.49</v>
      </c>
      <c r="N2112" s="29" t="n">
        <v>0.16</v>
      </c>
      <c r="O2112" s="25" t="n">
        <v>183</v>
      </c>
      <c r="P2112" s="30" t="n">
        <v>11.86</v>
      </c>
      <c r="Q2112" s="27" t="s">
        <v>4044</v>
      </c>
      <c r="R2112" s="27" t="s">
        <v>1926</v>
      </c>
    </row>
    <row r="2113" customFormat="false" ht="15" hidden="false" customHeight="false" outlineLevel="0" collapsed="false">
      <c r="A2113" s="25" t="n">
        <f aca="false">IF(G2113="REJECT",COUNTIF($G$2:$G$2277,"&lt;&gt;REJECT")+1+COUNTIFS($G$2:$G$2277,"REJECT",$B$2:$B$2277,"&gt;"&amp;B2113),1+COUNTIFS($G$2:$G$2277,"&lt;&gt;REJECT",$B$2:$B$2277,"&gt;"&amp;B2113))</f>
        <v>2111</v>
      </c>
      <c r="B2113" s="26" t="n">
        <f aca="false">ROUND(($U$2*MAX(0,MIN(1,($W$2-I2113)/($W$2-$V$2)))+$U$3*MAX(0,MIN(1,($W$3-J2113)/($W$3-$V$3)))+$U$4*MAX(0,MIN(1,($W$4-K2113)/($W$4-$V$4)))+$U$5*MAX(0,MIN(1,($W$5-L2113)/($W$5-$V$5)))+$U$6*MAX(0,MIN(1,($W$6-M2113)/($W$6-$V$6)))+$U$7*MAX(0,MIN(1,($W$7-N2113)/($W$7-$V$7)))+$U$8*IF(AND(O2113&gt;=$V$8,O2113&lt;=$W$8),1,0))/$U$9*100,2)</f>
        <v>32.49</v>
      </c>
      <c r="C2113" s="27" t="s">
        <v>3305</v>
      </c>
      <c r="D2113" s="25" t="s">
        <v>134</v>
      </c>
      <c r="E2113" s="25" t="s">
        <v>3450</v>
      </c>
      <c r="F2113" s="25" t="s">
        <v>3457</v>
      </c>
      <c r="G2113" s="39" t="s">
        <v>32</v>
      </c>
      <c r="H2113" s="39" t="s">
        <v>26</v>
      </c>
      <c r="I2113" s="25" t="n">
        <v>14</v>
      </c>
      <c r="J2113" s="25" t="n">
        <v>1</v>
      </c>
      <c r="K2113" s="25" t="n">
        <v>14</v>
      </c>
      <c r="L2113" s="29" t="n">
        <v>0.71</v>
      </c>
      <c r="M2113" s="30" t="n">
        <v>10.25</v>
      </c>
      <c r="N2113" s="29" t="n">
        <v>0.24</v>
      </c>
      <c r="O2113" s="25" t="n">
        <v>186</v>
      </c>
      <c r="P2113" s="30" t="n">
        <v>12.59</v>
      </c>
      <c r="Q2113" s="27" t="s">
        <v>4090</v>
      </c>
      <c r="R2113" s="27" t="s">
        <v>529</v>
      </c>
    </row>
    <row r="2114" customFormat="false" ht="15" hidden="false" customHeight="false" outlineLevel="0" collapsed="false">
      <c r="A2114" s="25" t="n">
        <f aca="false">IF(G2114="REJECT",COUNTIF($G$2:$G$2277,"&lt;&gt;REJECT")+1+COUNTIFS($G$2:$G$2277,"REJECT",$B$2:$B$2277,"&gt;"&amp;B2114),1+COUNTIFS($G$2:$G$2277,"&lt;&gt;REJECT",$B$2:$B$2277,"&gt;"&amp;B2114))</f>
        <v>2113</v>
      </c>
      <c r="B2114" s="26" t="n">
        <f aca="false">ROUND(($U$2*MAX(0,MIN(1,($W$2-I2114)/($W$2-$V$2)))+$U$3*MAX(0,MIN(1,($W$3-J2114)/($W$3-$V$3)))+$U$4*MAX(0,MIN(1,($W$4-K2114)/($W$4-$V$4)))+$U$5*MAX(0,MIN(1,($W$5-L2114)/($W$5-$V$5)))+$U$6*MAX(0,MIN(1,($W$6-M2114)/($W$6-$V$6)))+$U$7*MAX(0,MIN(1,($W$7-N2114)/($W$7-$V$7)))+$U$8*IF(AND(O2114&gt;=$V$8,O2114&lt;=$W$8),1,0))/$U$9*100,2)</f>
        <v>32.45</v>
      </c>
      <c r="C2114" s="27" t="s">
        <v>297</v>
      </c>
      <c r="D2114" s="25" t="s">
        <v>134</v>
      </c>
      <c r="E2114" s="25" t="s">
        <v>3450</v>
      </c>
      <c r="F2114" s="25" t="s">
        <v>3457</v>
      </c>
      <c r="G2114" s="39" t="s">
        <v>32</v>
      </c>
      <c r="H2114" s="39" t="s">
        <v>26</v>
      </c>
      <c r="I2114" s="25" t="n">
        <v>12</v>
      </c>
      <c r="J2114" s="25" t="n">
        <v>1</v>
      </c>
      <c r="K2114" s="25" t="n">
        <v>12</v>
      </c>
      <c r="L2114" s="29" t="n">
        <v>0.75</v>
      </c>
      <c r="M2114" s="30" t="n">
        <v>23.31</v>
      </c>
      <c r="N2114" s="29" t="n">
        <v>0.4</v>
      </c>
      <c r="O2114" s="25" t="n">
        <v>183</v>
      </c>
      <c r="P2114" s="30" t="n">
        <v>6.76</v>
      </c>
      <c r="Q2114" s="27" t="s">
        <v>4044</v>
      </c>
      <c r="R2114" s="27" t="s">
        <v>4005</v>
      </c>
    </row>
    <row r="2115" customFormat="false" ht="15" hidden="false" customHeight="false" outlineLevel="0" collapsed="false">
      <c r="A2115" s="25" t="n">
        <f aca="false">IF(G2115="REJECT",COUNTIF($G$2:$G$2277,"&lt;&gt;REJECT")+1+COUNTIFS($G$2:$G$2277,"REJECT",$B$2:$B$2277,"&gt;"&amp;B2115),1+COUNTIFS($G$2:$G$2277,"&lt;&gt;REJECT",$B$2:$B$2277,"&gt;"&amp;B2115))</f>
        <v>2113</v>
      </c>
      <c r="B2115" s="26" t="n">
        <f aca="false">ROUND(($U$2*MAX(0,MIN(1,($W$2-I2115)/($W$2-$V$2)))+$U$3*MAX(0,MIN(1,($W$3-J2115)/($W$3-$V$3)))+$U$4*MAX(0,MIN(1,($W$4-K2115)/($W$4-$V$4)))+$U$5*MAX(0,MIN(1,($W$5-L2115)/($W$5-$V$5)))+$U$6*MAX(0,MIN(1,($W$6-M2115)/($W$6-$V$6)))+$U$7*MAX(0,MIN(1,($W$7-N2115)/($W$7-$V$7)))+$U$8*IF(AND(O2115&gt;=$V$8,O2115&lt;=$W$8),1,0))/$U$9*100,2)</f>
        <v>32.45</v>
      </c>
      <c r="C2115" s="27" t="s">
        <v>3242</v>
      </c>
      <c r="D2115" s="25" t="s">
        <v>134</v>
      </c>
      <c r="E2115" s="25" t="s">
        <v>3450</v>
      </c>
      <c r="F2115" s="25" t="s">
        <v>3457</v>
      </c>
      <c r="G2115" s="39" t="s">
        <v>32</v>
      </c>
      <c r="H2115" s="39" t="s">
        <v>26</v>
      </c>
      <c r="I2115" s="25" t="n">
        <v>9</v>
      </c>
      <c r="J2115" s="25" t="n">
        <v>1</v>
      </c>
      <c r="K2115" s="25" t="n">
        <v>9</v>
      </c>
      <c r="L2115" s="29" t="n">
        <v>0.74</v>
      </c>
      <c r="M2115" s="30" t="n">
        <v>18.12</v>
      </c>
      <c r="N2115" s="29" t="n">
        <v>0.56</v>
      </c>
      <c r="O2115" s="25" t="n">
        <v>183</v>
      </c>
      <c r="P2115" s="30" t="n">
        <v>18.02</v>
      </c>
      <c r="Q2115" s="27" t="s">
        <v>4062</v>
      </c>
      <c r="R2115" s="27" t="s">
        <v>529</v>
      </c>
    </row>
    <row r="2116" customFormat="false" ht="15" hidden="false" customHeight="false" outlineLevel="0" collapsed="false">
      <c r="A2116" s="25" t="n">
        <f aca="false">IF(G2116="REJECT",COUNTIF($G$2:$G$2277,"&lt;&gt;REJECT")+1+COUNTIFS($G$2:$G$2277,"REJECT",$B$2:$B$2277,"&gt;"&amp;B2116),1+COUNTIFS($G$2:$G$2277,"&lt;&gt;REJECT",$B$2:$B$2277,"&gt;"&amp;B2116))</f>
        <v>2115</v>
      </c>
      <c r="B2116" s="26" t="n">
        <f aca="false">ROUND(($U$2*MAX(0,MIN(1,($W$2-I2116)/($W$2-$V$2)))+$U$3*MAX(0,MIN(1,($W$3-J2116)/($W$3-$V$3)))+$U$4*MAX(0,MIN(1,($W$4-K2116)/($W$4-$V$4)))+$U$5*MAX(0,MIN(1,($W$5-L2116)/($W$5-$V$5)))+$U$6*MAX(0,MIN(1,($W$6-M2116)/($W$6-$V$6)))+$U$7*MAX(0,MIN(1,($W$7-N2116)/($W$7-$V$7)))+$U$8*IF(AND(O2116&gt;=$V$8,O2116&lt;=$W$8),1,0))/$U$9*100,2)</f>
        <v>32.43</v>
      </c>
      <c r="C2116" s="27" t="s">
        <v>714</v>
      </c>
      <c r="D2116" s="25" t="s">
        <v>3459</v>
      </c>
      <c r="E2116" s="25" t="s">
        <v>3450</v>
      </c>
      <c r="F2116" s="25" t="s">
        <v>3448</v>
      </c>
      <c r="G2116" s="39" t="s">
        <v>32</v>
      </c>
      <c r="H2116" s="39" t="s">
        <v>26</v>
      </c>
      <c r="I2116" s="25" t="n">
        <v>10</v>
      </c>
      <c r="J2116" s="25" t="n">
        <v>1</v>
      </c>
      <c r="K2116" s="25" t="n">
        <v>10</v>
      </c>
      <c r="L2116" s="29" t="n">
        <v>0.73</v>
      </c>
      <c r="M2116" s="30" t="n">
        <v>20.21</v>
      </c>
      <c r="N2116" s="29" t="n">
        <v>0</v>
      </c>
      <c r="O2116" s="25" t="n">
        <v>181</v>
      </c>
      <c r="P2116" s="30" t="n">
        <v>17.54</v>
      </c>
      <c r="Q2116" s="27" t="s">
        <v>4091</v>
      </c>
      <c r="R2116" s="27" t="s">
        <v>1926</v>
      </c>
    </row>
    <row r="2117" customFormat="false" ht="15" hidden="false" customHeight="false" outlineLevel="0" collapsed="false">
      <c r="A2117" s="25" t="n">
        <f aca="false">IF(G2117="REJECT",COUNTIF($G$2:$G$2277,"&lt;&gt;REJECT")+1+COUNTIFS($G$2:$G$2277,"REJECT",$B$2:$B$2277,"&gt;"&amp;B2117),1+COUNTIFS($G$2:$G$2277,"&lt;&gt;REJECT",$B$2:$B$2277,"&gt;"&amp;B2117))</f>
        <v>2116</v>
      </c>
      <c r="B2117" s="26" t="n">
        <f aca="false">ROUND(($U$2*MAX(0,MIN(1,($W$2-I2117)/($W$2-$V$2)))+$U$3*MAX(0,MIN(1,($W$3-J2117)/($W$3-$V$3)))+$U$4*MAX(0,MIN(1,($W$4-K2117)/($W$4-$V$4)))+$U$5*MAX(0,MIN(1,($W$5-L2117)/($W$5-$V$5)))+$U$6*MAX(0,MIN(1,($W$6-M2117)/($W$6-$V$6)))+$U$7*MAX(0,MIN(1,($W$7-N2117)/($W$7-$V$7)))+$U$8*IF(AND(O2117&gt;=$V$8,O2117&lt;=$W$8),1,0))/$U$9*100,2)</f>
        <v>32.41</v>
      </c>
      <c r="C2117" s="27" t="s">
        <v>1487</v>
      </c>
      <c r="D2117" s="25" t="s">
        <v>134</v>
      </c>
      <c r="E2117" s="25" t="s">
        <v>3447</v>
      </c>
      <c r="F2117" s="25" t="s">
        <v>3448</v>
      </c>
      <c r="G2117" s="39" t="s">
        <v>32</v>
      </c>
      <c r="H2117" s="39" t="s">
        <v>26</v>
      </c>
      <c r="I2117" s="25" t="n">
        <v>13</v>
      </c>
      <c r="J2117" s="25" t="n">
        <v>1</v>
      </c>
      <c r="K2117" s="25" t="n">
        <v>13</v>
      </c>
      <c r="L2117" s="29" t="n">
        <v>0.72</v>
      </c>
      <c r="M2117" s="30" t="n">
        <v>10.37</v>
      </c>
      <c r="N2117" s="29" t="n">
        <v>0.64</v>
      </c>
      <c r="O2117" s="25" t="n">
        <v>185</v>
      </c>
      <c r="P2117" s="30" t="n">
        <v>2.39</v>
      </c>
      <c r="Q2117" s="27" t="s">
        <v>4068</v>
      </c>
      <c r="R2117" s="27" t="s">
        <v>1451</v>
      </c>
    </row>
    <row r="2118" customFormat="false" ht="15" hidden="false" customHeight="false" outlineLevel="0" collapsed="false">
      <c r="A2118" s="25" t="n">
        <f aca="false">IF(G2118="REJECT",COUNTIF($G$2:$G$2277,"&lt;&gt;REJECT")+1+COUNTIFS($G$2:$G$2277,"REJECT",$B$2:$B$2277,"&gt;"&amp;B2118),1+COUNTIFS($G$2:$G$2277,"&lt;&gt;REJECT",$B$2:$B$2277,"&gt;"&amp;B2118))</f>
        <v>2117</v>
      </c>
      <c r="B2118" s="26" t="n">
        <f aca="false">ROUND(($U$2*MAX(0,MIN(1,($W$2-I2118)/($W$2-$V$2)))+$U$3*MAX(0,MIN(1,($W$3-J2118)/($W$3-$V$3)))+$U$4*MAX(0,MIN(1,($W$4-K2118)/($W$4-$V$4)))+$U$5*MAX(0,MIN(1,($W$5-L2118)/($W$5-$V$5)))+$U$6*MAX(0,MIN(1,($W$6-M2118)/($W$6-$V$6)))+$U$7*MAX(0,MIN(1,($W$7-N2118)/($W$7-$V$7)))+$U$8*IF(AND(O2118&gt;=$V$8,O2118&lt;=$W$8),1,0))/$U$9*100,2)</f>
        <v>32.39</v>
      </c>
      <c r="C2118" s="27" t="s">
        <v>846</v>
      </c>
      <c r="D2118" s="25" t="s">
        <v>134</v>
      </c>
      <c r="E2118" s="25" t="s">
        <v>3450</v>
      </c>
      <c r="F2118" s="25" t="s">
        <v>3448</v>
      </c>
      <c r="G2118" s="39" t="s">
        <v>32</v>
      </c>
      <c r="H2118" s="39" t="s">
        <v>26</v>
      </c>
      <c r="I2118" s="25" t="n">
        <v>8</v>
      </c>
      <c r="J2118" s="25" t="n">
        <v>1</v>
      </c>
      <c r="K2118" s="25" t="n">
        <v>8</v>
      </c>
      <c r="L2118" s="29" t="n">
        <v>0.7</v>
      </c>
      <c r="M2118" s="30" t="n">
        <v>2.88</v>
      </c>
      <c r="N2118" s="29" t="n">
        <v>0.68</v>
      </c>
      <c r="O2118" s="25" t="n">
        <v>186</v>
      </c>
      <c r="P2118" s="30" t="n">
        <v>-1.31</v>
      </c>
      <c r="Q2118" s="27" t="s">
        <v>4092</v>
      </c>
      <c r="R2118" s="27" t="s">
        <v>1076</v>
      </c>
    </row>
    <row r="2119" customFormat="false" ht="15" hidden="false" customHeight="false" outlineLevel="0" collapsed="false">
      <c r="A2119" s="25" t="n">
        <f aca="false">IF(G2119="REJECT",COUNTIF($G$2:$G$2277,"&lt;&gt;REJECT")+1+COUNTIFS($G$2:$G$2277,"REJECT",$B$2:$B$2277,"&gt;"&amp;B2119),1+COUNTIFS($G$2:$G$2277,"&lt;&gt;REJECT",$B$2:$B$2277,"&gt;"&amp;B2119))</f>
        <v>2118</v>
      </c>
      <c r="B2119" s="26" t="n">
        <f aca="false">ROUND(($U$2*MAX(0,MIN(1,($W$2-I2119)/($W$2-$V$2)))+$U$3*MAX(0,MIN(1,($W$3-J2119)/($W$3-$V$3)))+$U$4*MAX(0,MIN(1,($W$4-K2119)/($W$4-$V$4)))+$U$5*MAX(0,MIN(1,($W$5-L2119)/($W$5-$V$5)))+$U$6*MAX(0,MIN(1,($W$6-M2119)/($W$6-$V$6)))+$U$7*MAX(0,MIN(1,($W$7-N2119)/($W$7-$V$7)))+$U$8*IF(AND(O2119&gt;=$V$8,O2119&lt;=$W$8),1,0))/$U$9*100,2)</f>
        <v>32.36</v>
      </c>
      <c r="C2119" s="27" t="s">
        <v>1175</v>
      </c>
      <c r="D2119" s="25" t="s">
        <v>134</v>
      </c>
      <c r="E2119" s="25" t="s">
        <v>3450</v>
      </c>
      <c r="F2119" s="25" t="s">
        <v>3448</v>
      </c>
      <c r="G2119" s="39" t="s">
        <v>32</v>
      </c>
      <c r="H2119" s="39" t="s">
        <v>26</v>
      </c>
      <c r="I2119" s="25" t="n">
        <v>11</v>
      </c>
      <c r="J2119" s="25" t="n">
        <v>1</v>
      </c>
      <c r="K2119" s="25" t="n">
        <v>11</v>
      </c>
      <c r="L2119" s="29" t="n">
        <v>0.75</v>
      </c>
      <c r="M2119" s="30" t="n">
        <v>22.63</v>
      </c>
      <c r="N2119" s="29" t="n">
        <v>0.52</v>
      </c>
      <c r="O2119" s="25" t="n">
        <v>195</v>
      </c>
      <c r="P2119" s="30" t="n">
        <v>13.49</v>
      </c>
      <c r="Q2119" s="27" t="s">
        <v>4034</v>
      </c>
      <c r="R2119" s="27" t="s">
        <v>1926</v>
      </c>
    </row>
    <row r="2120" customFormat="false" ht="15" hidden="false" customHeight="false" outlineLevel="0" collapsed="false">
      <c r="A2120" s="25" t="n">
        <f aca="false">IF(G2120="REJECT",COUNTIF($G$2:$G$2277,"&lt;&gt;REJECT")+1+COUNTIFS($G$2:$G$2277,"REJECT",$B$2:$B$2277,"&gt;"&amp;B2120),1+COUNTIFS($G$2:$G$2277,"&lt;&gt;REJECT",$B$2:$B$2277,"&gt;"&amp;B2120))</f>
        <v>2118</v>
      </c>
      <c r="B2120" s="26" t="n">
        <f aca="false">ROUND(($U$2*MAX(0,MIN(1,($W$2-I2120)/($W$2-$V$2)))+$U$3*MAX(0,MIN(1,($W$3-J2120)/($W$3-$V$3)))+$U$4*MAX(0,MIN(1,($W$4-K2120)/($W$4-$V$4)))+$U$5*MAX(0,MIN(1,($W$5-L2120)/($W$5-$V$5)))+$U$6*MAX(0,MIN(1,($W$6-M2120)/($W$6-$V$6)))+$U$7*MAX(0,MIN(1,($W$7-N2120)/($W$7-$V$7)))+$U$8*IF(AND(O2120&gt;=$V$8,O2120&lt;=$W$8),1,0))/$U$9*100,2)</f>
        <v>32.36</v>
      </c>
      <c r="C2120" s="27" t="s">
        <v>1417</v>
      </c>
      <c r="D2120" s="25" t="s">
        <v>3459</v>
      </c>
      <c r="E2120" s="25" t="s">
        <v>3450</v>
      </c>
      <c r="F2120" s="25" t="s">
        <v>3457</v>
      </c>
      <c r="G2120" s="39" t="s">
        <v>32</v>
      </c>
      <c r="H2120" s="39" t="s">
        <v>26</v>
      </c>
      <c r="I2120" s="25" t="n">
        <v>8</v>
      </c>
      <c r="J2120" s="25" t="n">
        <v>1</v>
      </c>
      <c r="K2120" s="25" t="n">
        <v>8</v>
      </c>
      <c r="L2120" s="29" t="n">
        <v>0.75</v>
      </c>
      <c r="M2120" s="30" t="n">
        <v>24.24</v>
      </c>
      <c r="N2120" s="29" t="n">
        <v>0.36</v>
      </c>
      <c r="O2120" s="25" t="n">
        <v>183</v>
      </c>
      <c r="P2120" s="30" t="n">
        <v>10.29</v>
      </c>
      <c r="Q2120" s="27" t="s">
        <v>4093</v>
      </c>
      <c r="R2120" s="27" t="s">
        <v>1926</v>
      </c>
    </row>
    <row r="2121" customFormat="false" ht="15" hidden="false" customHeight="false" outlineLevel="0" collapsed="false">
      <c r="A2121" s="25" t="n">
        <f aca="false">IF(G2121="REJECT",COUNTIF($G$2:$G$2277,"&lt;&gt;REJECT")+1+COUNTIFS($G$2:$G$2277,"REJECT",$B$2:$B$2277,"&gt;"&amp;B2121),1+COUNTIFS($G$2:$G$2277,"&lt;&gt;REJECT",$B$2:$B$2277,"&gt;"&amp;B2121))</f>
        <v>2120</v>
      </c>
      <c r="B2121" s="26" t="n">
        <f aca="false">ROUND(($U$2*MAX(0,MIN(1,($W$2-I2121)/($W$2-$V$2)))+$U$3*MAX(0,MIN(1,($W$3-J2121)/($W$3-$V$3)))+$U$4*MAX(0,MIN(1,($W$4-K2121)/($W$4-$V$4)))+$U$5*MAX(0,MIN(1,($W$5-L2121)/($W$5-$V$5)))+$U$6*MAX(0,MIN(1,($W$6-M2121)/($W$6-$V$6)))+$U$7*MAX(0,MIN(1,($W$7-N2121)/($W$7-$V$7)))+$U$8*IF(AND(O2121&gt;=$V$8,O2121&lt;=$W$8),1,0))/$U$9*100,2)</f>
        <v>32.34</v>
      </c>
      <c r="C2121" s="27" t="s">
        <v>2767</v>
      </c>
      <c r="D2121" s="25" t="s">
        <v>134</v>
      </c>
      <c r="E2121" s="25" t="s">
        <v>3447</v>
      </c>
      <c r="F2121" s="25" t="s">
        <v>3457</v>
      </c>
      <c r="G2121" s="39" t="s">
        <v>32</v>
      </c>
      <c r="H2121" s="39" t="s">
        <v>26</v>
      </c>
      <c r="I2121" s="25" t="n">
        <v>11</v>
      </c>
      <c r="J2121" s="25" t="n">
        <v>1</v>
      </c>
      <c r="K2121" s="25" t="n">
        <v>11</v>
      </c>
      <c r="L2121" s="29" t="n">
        <v>0.72</v>
      </c>
      <c r="M2121" s="30" t="n">
        <v>15.56</v>
      </c>
      <c r="N2121" s="29" t="n">
        <v>0.16</v>
      </c>
      <c r="O2121" s="25" t="n">
        <v>183</v>
      </c>
      <c r="P2121" s="30" t="n">
        <v>2.91</v>
      </c>
      <c r="Q2121" s="27" t="s">
        <v>4094</v>
      </c>
      <c r="R2121" s="27" t="s">
        <v>1451</v>
      </c>
    </row>
    <row r="2122" customFormat="false" ht="15" hidden="false" customHeight="false" outlineLevel="0" collapsed="false">
      <c r="A2122" s="25" t="n">
        <f aca="false">IF(G2122="REJECT",COUNTIF($G$2:$G$2277,"&lt;&gt;REJECT")+1+COUNTIFS($G$2:$G$2277,"REJECT",$B$2:$B$2277,"&gt;"&amp;B2122),1+COUNTIFS($G$2:$G$2277,"&lt;&gt;REJECT",$B$2:$B$2277,"&gt;"&amp;B2122))</f>
        <v>2121</v>
      </c>
      <c r="B2122" s="26" t="n">
        <f aca="false">ROUND(($U$2*MAX(0,MIN(1,($W$2-I2122)/($W$2-$V$2)))+$U$3*MAX(0,MIN(1,($W$3-J2122)/($W$3-$V$3)))+$U$4*MAX(0,MIN(1,($W$4-K2122)/($W$4-$V$4)))+$U$5*MAX(0,MIN(1,($W$5-L2122)/($W$5-$V$5)))+$U$6*MAX(0,MIN(1,($W$6-M2122)/($W$6-$V$6)))+$U$7*MAX(0,MIN(1,($W$7-N2122)/($W$7-$V$7)))+$U$8*IF(AND(O2122&gt;=$V$8,O2122&lt;=$W$8),1,0))/$U$9*100,2)</f>
        <v>32.31</v>
      </c>
      <c r="C2122" s="27" t="s">
        <v>1923</v>
      </c>
      <c r="D2122" s="25" t="s">
        <v>3459</v>
      </c>
      <c r="E2122" s="25" t="s">
        <v>3447</v>
      </c>
      <c r="F2122" s="25" t="s">
        <v>3457</v>
      </c>
      <c r="G2122" s="39" t="s">
        <v>32</v>
      </c>
      <c r="H2122" s="39" t="s">
        <v>26</v>
      </c>
      <c r="I2122" s="25" t="n">
        <v>11</v>
      </c>
      <c r="J2122" s="25" t="n">
        <v>1</v>
      </c>
      <c r="K2122" s="25" t="n">
        <v>11</v>
      </c>
      <c r="L2122" s="29" t="n">
        <v>0.73</v>
      </c>
      <c r="M2122" s="30" t="n">
        <v>17.35</v>
      </c>
      <c r="N2122" s="29" t="n">
        <v>0.36</v>
      </c>
      <c r="O2122" s="25" t="n">
        <v>183</v>
      </c>
      <c r="P2122" s="30" t="n">
        <v>3.81</v>
      </c>
      <c r="Q2122" s="27" t="s">
        <v>4034</v>
      </c>
      <c r="R2122" s="27" t="s">
        <v>529</v>
      </c>
    </row>
    <row r="2123" customFormat="false" ht="15" hidden="false" customHeight="false" outlineLevel="0" collapsed="false">
      <c r="A2123" s="25" t="n">
        <f aca="false">IF(G2123="REJECT",COUNTIF($G$2:$G$2277,"&lt;&gt;REJECT")+1+COUNTIFS($G$2:$G$2277,"REJECT",$B$2:$B$2277,"&gt;"&amp;B2123),1+COUNTIFS($G$2:$G$2277,"&lt;&gt;REJECT",$B$2:$B$2277,"&gt;"&amp;B2123))</f>
        <v>2122</v>
      </c>
      <c r="B2123" s="26" t="n">
        <f aca="false">ROUND(($U$2*MAX(0,MIN(1,($W$2-I2123)/($W$2-$V$2)))+$U$3*MAX(0,MIN(1,($W$3-J2123)/($W$3-$V$3)))+$U$4*MAX(0,MIN(1,($W$4-K2123)/($W$4-$V$4)))+$U$5*MAX(0,MIN(1,($W$5-L2123)/($W$5-$V$5)))+$U$6*MAX(0,MIN(1,($W$6-M2123)/($W$6-$V$6)))+$U$7*MAX(0,MIN(1,($W$7-N2123)/($W$7-$V$7)))+$U$8*IF(AND(O2123&gt;=$V$8,O2123&lt;=$W$8),1,0))/$U$9*100,2)</f>
        <v>32.28</v>
      </c>
      <c r="C2123" s="27" t="s">
        <v>1923</v>
      </c>
      <c r="D2123" s="25" t="s">
        <v>134</v>
      </c>
      <c r="E2123" s="25" t="s">
        <v>3447</v>
      </c>
      <c r="F2123" s="25" t="s">
        <v>3448</v>
      </c>
      <c r="G2123" s="39" t="s">
        <v>32</v>
      </c>
      <c r="H2123" s="39" t="s">
        <v>26</v>
      </c>
      <c r="I2123" s="25" t="n">
        <v>13</v>
      </c>
      <c r="J2123" s="25" t="n">
        <v>1</v>
      </c>
      <c r="K2123" s="25" t="n">
        <v>13</v>
      </c>
      <c r="L2123" s="29" t="n">
        <v>0.73</v>
      </c>
      <c r="M2123" s="30" t="n">
        <v>15.93</v>
      </c>
      <c r="N2123" s="29" t="n">
        <v>0.52</v>
      </c>
      <c r="O2123" s="25" t="n">
        <v>182</v>
      </c>
      <c r="P2123" s="30" t="n">
        <v>11.31</v>
      </c>
      <c r="Q2123" s="27" t="s">
        <v>4023</v>
      </c>
      <c r="R2123" s="27" t="s">
        <v>529</v>
      </c>
    </row>
    <row r="2124" customFormat="false" ht="15" hidden="false" customHeight="false" outlineLevel="0" collapsed="false">
      <c r="A2124" s="25" t="n">
        <f aca="false">IF(G2124="REJECT",COUNTIF($G$2:$G$2277,"&lt;&gt;REJECT")+1+COUNTIFS($G$2:$G$2277,"REJECT",$B$2:$B$2277,"&gt;"&amp;B2124),1+COUNTIFS($G$2:$G$2277,"&lt;&gt;REJECT",$B$2:$B$2277,"&gt;"&amp;B2124))</f>
        <v>2123</v>
      </c>
      <c r="B2124" s="26" t="n">
        <f aca="false">ROUND(($U$2*MAX(0,MIN(1,($W$2-I2124)/($W$2-$V$2)))+$U$3*MAX(0,MIN(1,($W$3-J2124)/($W$3-$V$3)))+$U$4*MAX(0,MIN(1,($W$4-K2124)/($W$4-$V$4)))+$U$5*MAX(0,MIN(1,($W$5-L2124)/($W$5-$V$5)))+$U$6*MAX(0,MIN(1,($W$6-M2124)/($W$6-$V$6)))+$U$7*MAX(0,MIN(1,($W$7-N2124)/($W$7-$V$7)))+$U$8*IF(AND(O2124&gt;=$V$8,O2124&lt;=$W$8),1,0))/$U$9*100,2)</f>
        <v>32.26</v>
      </c>
      <c r="C2124" s="27" t="s">
        <v>2471</v>
      </c>
      <c r="D2124" s="25" t="s">
        <v>134</v>
      </c>
      <c r="E2124" s="25" t="s">
        <v>3450</v>
      </c>
      <c r="F2124" s="25" t="s">
        <v>3457</v>
      </c>
      <c r="G2124" s="39" t="s">
        <v>32</v>
      </c>
      <c r="H2124" s="39" t="s">
        <v>26</v>
      </c>
      <c r="I2124" s="25" t="n">
        <v>8</v>
      </c>
      <c r="J2124" s="25" t="n">
        <v>1</v>
      </c>
      <c r="K2124" s="25" t="n">
        <v>8</v>
      </c>
      <c r="L2124" s="29" t="n">
        <v>0.72</v>
      </c>
      <c r="M2124" s="30" t="n">
        <v>12.43</v>
      </c>
      <c r="N2124" s="29" t="n">
        <v>0.52</v>
      </c>
      <c r="O2124" s="25" t="n">
        <v>184</v>
      </c>
      <c r="P2124" s="30" t="n">
        <v>11.8</v>
      </c>
      <c r="Q2124" s="27" t="s">
        <v>4070</v>
      </c>
      <c r="R2124" s="27" t="s">
        <v>529</v>
      </c>
    </row>
    <row r="2125" customFormat="false" ht="15" hidden="false" customHeight="false" outlineLevel="0" collapsed="false">
      <c r="A2125" s="25" t="n">
        <f aca="false">IF(G2125="REJECT",COUNTIF($G$2:$G$2277,"&lt;&gt;REJECT")+1+COUNTIFS($G$2:$G$2277,"REJECT",$B$2:$B$2277,"&gt;"&amp;B2125),1+COUNTIFS($G$2:$G$2277,"&lt;&gt;REJECT",$B$2:$B$2277,"&gt;"&amp;B2125))</f>
        <v>2124</v>
      </c>
      <c r="B2125" s="26" t="n">
        <f aca="false">ROUND(($U$2*MAX(0,MIN(1,($W$2-I2125)/($W$2-$V$2)))+$U$3*MAX(0,MIN(1,($W$3-J2125)/($W$3-$V$3)))+$U$4*MAX(0,MIN(1,($W$4-K2125)/($W$4-$V$4)))+$U$5*MAX(0,MIN(1,($W$5-L2125)/($W$5-$V$5)))+$U$6*MAX(0,MIN(1,($W$6-M2125)/($W$6-$V$6)))+$U$7*MAX(0,MIN(1,($W$7-N2125)/($W$7-$V$7)))+$U$8*IF(AND(O2125&gt;=$V$8,O2125&lt;=$W$8),1,0))/$U$9*100,2)</f>
        <v>32.25</v>
      </c>
      <c r="C2125" s="27" t="s">
        <v>785</v>
      </c>
      <c r="D2125" s="25" t="s">
        <v>3459</v>
      </c>
      <c r="E2125" s="25" t="s">
        <v>3450</v>
      </c>
      <c r="F2125" s="25" t="s">
        <v>3457</v>
      </c>
      <c r="G2125" s="39" t="s">
        <v>32</v>
      </c>
      <c r="H2125" s="39" t="s">
        <v>26</v>
      </c>
      <c r="I2125" s="25" t="n">
        <v>8</v>
      </c>
      <c r="J2125" s="25" t="n">
        <v>1</v>
      </c>
      <c r="K2125" s="25" t="n">
        <v>7</v>
      </c>
      <c r="L2125" s="29" t="n">
        <v>0.7</v>
      </c>
      <c r="M2125" s="30" t="n">
        <v>12.54</v>
      </c>
      <c r="N2125" s="29" t="n">
        <v>0.92</v>
      </c>
      <c r="O2125" s="25" t="n">
        <v>186</v>
      </c>
      <c r="P2125" s="30" t="n">
        <v>3.19</v>
      </c>
      <c r="Q2125" s="27" t="s">
        <v>4095</v>
      </c>
      <c r="R2125" s="27" t="s">
        <v>529</v>
      </c>
    </row>
    <row r="2126" customFormat="false" ht="15" hidden="false" customHeight="false" outlineLevel="0" collapsed="false">
      <c r="A2126" s="25" t="n">
        <f aca="false">IF(G2126="REJECT",COUNTIF($G$2:$G$2277,"&lt;&gt;REJECT")+1+COUNTIFS($G$2:$G$2277,"REJECT",$B$2:$B$2277,"&gt;"&amp;B2126),1+COUNTIFS($G$2:$G$2277,"&lt;&gt;REJECT",$B$2:$B$2277,"&gt;"&amp;B2126))</f>
        <v>2125</v>
      </c>
      <c r="B2126" s="26" t="n">
        <f aca="false">ROUND(($U$2*MAX(0,MIN(1,($W$2-I2126)/($W$2-$V$2)))+$U$3*MAX(0,MIN(1,($W$3-J2126)/($W$3-$V$3)))+$U$4*MAX(0,MIN(1,($W$4-K2126)/($W$4-$V$4)))+$U$5*MAX(0,MIN(1,($W$5-L2126)/($W$5-$V$5)))+$U$6*MAX(0,MIN(1,($W$6-M2126)/($W$6-$V$6)))+$U$7*MAX(0,MIN(1,($W$7-N2126)/($W$7-$V$7)))+$U$8*IF(AND(O2126&gt;=$V$8,O2126&lt;=$W$8),1,0))/$U$9*100,2)</f>
        <v>32.24</v>
      </c>
      <c r="C2126" s="27" t="s">
        <v>1521</v>
      </c>
      <c r="D2126" s="25" t="s">
        <v>134</v>
      </c>
      <c r="E2126" s="25" t="s">
        <v>3450</v>
      </c>
      <c r="F2126" s="25" t="s">
        <v>3448</v>
      </c>
      <c r="G2126" s="39" t="s">
        <v>32</v>
      </c>
      <c r="H2126" s="39" t="s">
        <v>26</v>
      </c>
      <c r="I2126" s="25" t="n">
        <v>10</v>
      </c>
      <c r="J2126" s="25" t="n">
        <v>1</v>
      </c>
      <c r="K2126" s="25" t="n">
        <v>10</v>
      </c>
      <c r="L2126" s="29" t="n">
        <v>0.75</v>
      </c>
      <c r="M2126" s="30" t="n">
        <v>20.14</v>
      </c>
      <c r="N2126" s="29" t="n">
        <v>0.84</v>
      </c>
      <c r="O2126" s="25" t="n">
        <v>186</v>
      </c>
      <c r="P2126" s="30" t="n">
        <v>10.72</v>
      </c>
      <c r="Q2126" s="27" t="s">
        <v>4096</v>
      </c>
      <c r="R2126" s="27" t="s">
        <v>1926</v>
      </c>
    </row>
    <row r="2127" customFormat="false" ht="15" hidden="false" customHeight="false" outlineLevel="0" collapsed="false">
      <c r="A2127" s="25" t="n">
        <f aca="false">IF(G2127="REJECT",COUNTIF($G$2:$G$2277,"&lt;&gt;REJECT")+1+COUNTIFS($G$2:$G$2277,"REJECT",$B$2:$B$2277,"&gt;"&amp;B2127),1+COUNTIFS($G$2:$G$2277,"&lt;&gt;REJECT",$B$2:$B$2277,"&gt;"&amp;B2127))</f>
        <v>2126</v>
      </c>
      <c r="B2127" s="26" t="n">
        <f aca="false">ROUND(($U$2*MAX(0,MIN(1,($W$2-I2127)/($W$2-$V$2)))+$U$3*MAX(0,MIN(1,($W$3-J2127)/($W$3-$V$3)))+$U$4*MAX(0,MIN(1,($W$4-K2127)/($W$4-$V$4)))+$U$5*MAX(0,MIN(1,($W$5-L2127)/($W$5-$V$5)))+$U$6*MAX(0,MIN(1,($W$6-M2127)/($W$6-$V$6)))+$U$7*MAX(0,MIN(1,($W$7-N2127)/($W$7-$V$7)))+$U$8*IF(AND(O2127&gt;=$V$8,O2127&lt;=$W$8),1,0))/$U$9*100,2)</f>
        <v>32.23</v>
      </c>
      <c r="C2127" s="27" t="s">
        <v>2385</v>
      </c>
      <c r="D2127" s="25" t="s">
        <v>134</v>
      </c>
      <c r="E2127" s="25" t="s">
        <v>3447</v>
      </c>
      <c r="F2127" s="25" t="s">
        <v>3448</v>
      </c>
      <c r="G2127" s="39" t="s">
        <v>32</v>
      </c>
      <c r="H2127" s="39" t="s">
        <v>26</v>
      </c>
      <c r="I2127" s="25" t="n">
        <v>8</v>
      </c>
      <c r="J2127" s="25" t="n">
        <v>1</v>
      </c>
      <c r="K2127" s="25" t="n">
        <v>8</v>
      </c>
      <c r="L2127" s="29" t="n">
        <v>0.71</v>
      </c>
      <c r="M2127" s="30" t="n">
        <v>8.64</v>
      </c>
      <c r="N2127" s="29" t="n">
        <v>0.56</v>
      </c>
      <c r="O2127" s="25" t="n">
        <v>189</v>
      </c>
      <c r="P2127" s="30" t="n">
        <v>14.42</v>
      </c>
      <c r="Q2127" s="27" t="s">
        <v>4097</v>
      </c>
      <c r="R2127" s="27" t="s">
        <v>529</v>
      </c>
    </row>
    <row r="2128" customFormat="false" ht="15" hidden="false" customHeight="false" outlineLevel="0" collapsed="false">
      <c r="A2128" s="25" t="n">
        <f aca="false">IF(G2128="REJECT",COUNTIF($G$2:$G$2277,"&lt;&gt;REJECT")+1+COUNTIFS($G$2:$G$2277,"REJECT",$B$2:$B$2277,"&gt;"&amp;B2128),1+COUNTIFS($G$2:$G$2277,"&lt;&gt;REJECT",$B$2:$B$2277,"&gt;"&amp;B2128))</f>
        <v>2127</v>
      </c>
      <c r="B2128" s="26" t="n">
        <f aca="false">ROUND(($U$2*MAX(0,MIN(1,($W$2-I2128)/($W$2-$V$2)))+$U$3*MAX(0,MIN(1,($W$3-J2128)/($W$3-$V$3)))+$U$4*MAX(0,MIN(1,($W$4-K2128)/($W$4-$V$4)))+$U$5*MAX(0,MIN(1,($W$5-L2128)/($W$5-$V$5)))+$U$6*MAX(0,MIN(1,($W$6-M2128)/($W$6-$V$6)))+$U$7*MAX(0,MIN(1,($W$7-N2128)/($W$7-$V$7)))+$U$8*IF(AND(O2128&gt;=$V$8,O2128&lt;=$W$8),1,0))/$U$9*100,2)</f>
        <v>32.21</v>
      </c>
      <c r="C2128" s="27" t="s">
        <v>852</v>
      </c>
      <c r="D2128" s="25" t="s">
        <v>3459</v>
      </c>
      <c r="E2128" s="25" t="s">
        <v>3447</v>
      </c>
      <c r="F2128" s="25" t="s">
        <v>3457</v>
      </c>
      <c r="G2128" s="39" t="s">
        <v>32</v>
      </c>
      <c r="H2128" s="39" t="s">
        <v>26</v>
      </c>
      <c r="I2128" s="25" t="n">
        <v>10</v>
      </c>
      <c r="J2128" s="25" t="n">
        <v>1</v>
      </c>
      <c r="K2128" s="25" t="n">
        <v>10</v>
      </c>
      <c r="L2128" s="29" t="n">
        <v>0.76</v>
      </c>
      <c r="M2128" s="30" t="n">
        <v>25.55</v>
      </c>
      <c r="N2128" s="29" t="n">
        <v>0.68</v>
      </c>
      <c r="O2128" s="25" t="n">
        <v>183</v>
      </c>
      <c r="P2128" s="30" t="n">
        <v>-0.17</v>
      </c>
      <c r="Q2128" s="27" t="s">
        <v>4011</v>
      </c>
      <c r="R2128" s="27" t="s">
        <v>1926</v>
      </c>
    </row>
    <row r="2129" customFormat="false" ht="15" hidden="false" customHeight="false" outlineLevel="0" collapsed="false">
      <c r="A2129" s="25" t="n">
        <f aca="false">IF(G2129="REJECT",COUNTIF($G$2:$G$2277,"&lt;&gt;REJECT")+1+COUNTIFS($G$2:$G$2277,"REJECT",$B$2:$B$2277,"&gt;"&amp;B2129),1+COUNTIFS($G$2:$G$2277,"&lt;&gt;REJECT",$B$2:$B$2277,"&gt;"&amp;B2129))</f>
        <v>2128</v>
      </c>
      <c r="B2129" s="26" t="n">
        <f aca="false">ROUND(($U$2*MAX(0,MIN(1,($W$2-I2129)/($W$2-$V$2)))+$U$3*MAX(0,MIN(1,($W$3-J2129)/($W$3-$V$3)))+$U$4*MAX(0,MIN(1,($W$4-K2129)/($W$4-$V$4)))+$U$5*MAX(0,MIN(1,($W$5-L2129)/($W$5-$V$5)))+$U$6*MAX(0,MIN(1,($W$6-M2129)/($W$6-$V$6)))+$U$7*MAX(0,MIN(1,($W$7-N2129)/($W$7-$V$7)))+$U$8*IF(AND(O2129&gt;=$V$8,O2129&lt;=$W$8),1,0))/$U$9*100,2)</f>
        <v>32.15</v>
      </c>
      <c r="C2129" s="27" t="s">
        <v>2308</v>
      </c>
      <c r="D2129" s="25" t="s">
        <v>134</v>
      </c>
      <c r="E2129" s="25" t="s">
        <v>3447</v>
      </c>
      <c r="F2129" s="25" t="s">
        <v>3457</v>
      </c>
      <c r="G2129" s="39" t="s">
        <v>32</v>
      </c>
      <c r="H2129" s="39" t="s">
        <v>26</v>
      </c>
      <c r="I2129" s="25" t="n">
        <v>8</v>
      </c>
      <c r="J2129" s="25" t="n">
        <v>1</v>
      </c>
      <c r="K2129" s="25" t="n">
        <v>8</v>
      </c>
      <c r="L2129" s="29" t="n">
        <v>0.74</v>
      </c>
      <c r="M2129" s="30" t="n">
        <v>19.53</v>
      </c>
      <c r="N2129" s="29" t="n">
        <v>0.6</v>
      </c>
      <c r="O2129" s="25" t="n">
        <v>183</v>
      </c>
      <c r="P2129" s="30" t="n">
        <v>-1.42</v>
      </c>
      <c r="Q2129" s="27" t="s">
        <v>4098</v>
      </c>
      <c r="R2129" s="27" t="s">
        <v>529</v>
      </c>
    </row>
    <row r="2130" customFormat="false" ht="15" hidden="false" customHeight="false" outlineLevel="0" collapsed="false">
      <c r="A2130" s="25" t="n">
        <f aca="false">IF(G2130="REJECT",COUNTIF($G$2:$G$2277,"&lt;&gt;REJECT")+1+COUNTIFS($G$2:$G$2277,"REJECT",$B$2:$B$2277,"&gt;"&amp;B2130),1+COUNTIFS($G$2:$G$2277,"&lt;&gt;REJECT",$B$2:$B$2277,"&gt;"&amp;B2130))</f>
        <v>2129</v>
      </c>
      <c r="B2130" s="26" t="n">
        <f aca="false">ROUND(($U$2*MAX(0,MIN(1,($W$2-I2130)/($W$2-$V$2)))+$U$3*MAX(0,MIN(1,($W$3-J2130)/($W$3-$V$3)))+$U$4*MAX(0,MIN(1,($W$4-K2130)/($W$4-$V$4)))+$U$5*MAX(0,MIN(1,($W$5-L2130)/($W$5-$V$5)))+$U$6*MAX(0,MIN(1,($W$6-M2130)/($W$6-$V$6)))+$U$7*MAX(0,MIN(1,($W$7-N2130)/($W$7-$V$7)))+$U$8*IF(AND(O2130&gt;=$V$8,O2130&lt;=$W$8),1,0))/$U$9*100,2)</f>
        <v>32.08</v>
      </c>
      <c r="C2130" s="27" t="s">
        <v>1996</v>
      </c>
      <c r="D2130" s="25" t="s">
        <v>3459</v>
      </c>
      <c r="E2130" s="25" t="s">
        <v>3450</v>
      </c>
      <c r="F2130" s="25" t="s">
        <v>3448</v>
      </c>
      <c r="G2130" s="39" t="s">
        <v>32</v>
      </c>
      <c r="H2130" s="39" t="s">
        <v>26</v>
      </c>
      <c r="I2130" s="25" t="n">
        <v>9</v>
      </c>
      <c r="J2130" s="25" t="n">
        <v>1</v>
      </c>
      <c r="K2130" s="25" t="n">
        <v>9</v>
      </c>
      <c r="L2130" s="29" t="n">
        <v>0.72</v>
      </c>
      <c r="M2130" s="30" t="n">
        <v>17.53</v>
      </c>
      <c r="N2130" s="29" t="n">
        <v>0.12</v>
      </c>
      <c r="O2130" s="25" t="n">
        <v>183</v>
      </c>
      <c r="P2130" s="30" t="n">
        <v>3.41</v>
      </c>
      <c r="Q2130" s="27" t="s">
        <v>4099</v>
      </c>
      <c r="R2130" s="27" t="s">
        <v>1311</v>
      </c>
    </row>
    <row r="2131" customFormat="false" ht="15" hidden="false" customHeight="false" outlineLevel="0" collapsed="false">
      <c r="A2131" s="25" t="n">
        <f aca="false">IF(G2131="REJECT",COUNTIF($G$2:$G$2277,"&lt;&gt;REJECT")+1+COUNTIFS($G$2:$G$2277,"REJECT",$B$2:$B$2277,"&gt;"&amp;B2131),1+COUNTIFS($G$2:$G$2277,"&lt;&gt;REJECT",$B$2:$B$2277,"&gt;"&amp;B2131))</f>
        <v>2129</v>
      </c>
      <c r="B2131" s="26" t="n">
        <f aca="false">ROUND(($U$2*MAX(0,MIN(1,($W$2-I2131)/($W$2-$V$2)))+$U$3*MAX(0,MIN(1,($W$3-J2131)/($W$3-$V$3)))+$U$4*MAX(0,MIN(1,($W$4-K2131)/($W$4-$V$4)))+$U$5*MAX(0,MIN(1,($W$5-L2131)/($W$5-$V$5)))+$U$6*MAX(0,MIN(1,($W$6-M2131)/($W$6-$V$6)))+$U$7*MAX(0,MIN(1,($W$7-N2131)/($W$7-$V$7)))+$U$8*IF(AND(O2131&gt;=$V$8,O2131&lt;=$W$8),1,0))/$U$9*100,2)</f>
        <v>32.08</v>
      </c>
      <c r="C2131" s="27" t="s">
        <v>2236</v>
      </c>
      <c r="D2131" s="25" t="s">
        <v>134</v>
      </c>
      <c r="E2131" s="25" t="s">
        <v>3447</v>
      </c>
      <c r="F2131" s="25" t="s">
        <v>3448</v>
      </c>
      <c r="G2131" s="39" t="s">
        <v>32</v>
      </c>
      <c r="H2131" s="39" t="s">
        <v>26</v>
      </c>
      <c r="I2131" s="25" t="n">
        <v>9</v>
      </c>
      <c r="J2131" s="25" t="n">
        <v>1</v>
      </c>
      <c r="K2131" s="25" t="n">
        <v>9</v>
      </c>
      <c r="L2131" s="29" t="n">
        <v>0.71</v>
      </c>
      <c r="M2131" s="30" t="n">
        <v>7.53</v>
      </c>
      <c r="N2131" s="29" t="n">
        <v>0.76</v>
      </c>
      <c r="O2131" s="25" t="n">
        <v>184</v>
      </c>
      <c r="P2131" s="30" t="n">
        <v>-1.35</v>
      </c>
      <c r="Q2131" s="27" t="s">
        <v>4100</v>
      </c>
      <c r="R2131" s="27" t="s">
        <v>1451</v>
      </c>
    </row>
    <row r="2132" customFormat="false" ht="15" hidden="false" customHeight="false" outlineLevel="0" collapsed="false">
      <c r="A2132" s="25" t="n">
        <f aca="false">IF(G2132="REJECT",COUNTIF($G$2:$G$2277,"&lt;&gt;REJECT")+1+COUNTIFS($G$2:$G$2277,"REJECT",$B$2:$B$2277,"&gt;"&amp;B2132),1+COUNTIFS($G$2:$G$2277,"&lt;&gt;REJECT",$B$2:$B$2277,"&gt;"&amp;B2132))</f>
        <v>2131</v>
      </c>
      <c r="B2132" s="26" t="n">
        <f aca="false">ROUND(($U$2*MAX(0,MIN(1,($W$2-I2132)/($W$2-$V$2)))+$U$3*MAX(0,MIN(1,($W$3-J2132)/($W$3-$V$3)))+$U$4*MAX(0,MIN(1,($W$4-K2132)/($W$4-$V$4)))+$U$5*MAX(0,MIN(1,($W$5-L2132)/($W$5-$V$5)))+$U$6*MAX(0,MIN(1,($W$6-M2132)/($W$6-$V$6)))+$U$7*MAX(0,MIN(1,($W$7-N2132)/($W$7-$V$7)))+$U$8*IF(AND(O2132&gt;=$V$8,O2132&lt;=$W$8),1,0))/$U$9*100,2)</f>
        <v>32.04</v>
      </c>
      <c r="C2132" s="27" t="s">
        <v>3248</v>
      </c>
      <c r="D2132" s="25" t="s">
        <v>134</v>
      </c>
      <c r="E2132" s="25" t="s">
        <v>3447</v>
      </c>
      <c r="F2132" s="25" t="s">
        <v>3448</v>
      </c>
      <c r="G2132" s="39" t="s">
        <v>32</v>
      </c>
      <c r="H2132" s="39" t="s">
        <v>26</v>
      </c>
      <c r="I2132" s="25" t="n">
        <v>11</v>
      </c>
      <c r="J2132" s="25" t="n">
        <v>1</v>
      </c>
      <c r="K2132" s="25" t="n">
        <v>11</v>
      </c>
      <c r="L2132" s="29" t="n">
        <v>0.69</v>
      </c>
      <c r="M2132" s="30" t="n">
        <v>2.17</v>
      </c>
      <c r="N2132" s="29" t="n">
        <v>0.6</v>
      </c>
      <c r="O2132" s="25" t="n">
        <v>184</v>
      </c>
      <c r="P2132" s="30" t="n">
        <v>-0.91</v>
      </c>
      <c r="Q2132" s="27" t="s">
        <v>4078</v>
      </c>
      <c r="R2132" s="27" t="s">
        <v>1311</v>
      </c>
    </row>
    <row r="2133" customFormat="false" ht="15" hidden="false" customHeight="false" outlineLevel="0" collapsed="false">
      <c r="A2133" s="25" t="n">
        <f aca="false">IF(G2133="REJECT",COUNTIF($G$2:$G$2277,"&lt;&gt;REJECT")+1+COUNTIFS($G$2:$G$2277,"REJECT",$B$2:$B$2277,"&gt;"&amp;B2133),1+COUNTIFS($G$2:$G$2277,"&lt;&gt;REJECT",$B$2:$B$2277,"&gt;"&amp;B2133))</f>
        <v>2132</v>
      </c>
      <c r="B2133" s="26" t="n">
        <f aca="false">ROUND(($U$2*MAX(0,MIN(1,($W$2-I2133)/($W$2-$V$2)))+$U$3*MAX(0,MIN(1,($W$3-J2133)/($W$3-$V$3)))+$U$4*MAX(0,MIN(1,($W$4-K2133)/($W$4-$V$4)))+$U$5*MAX(0,MIN(1,($W$5-L2133)/($W$5-$V$5)))+$U$6*MAX(0,MIN(1,($W$6-M2133)/($W$6-$V$6)))+$U$7*MAX(0,MIN(1,($W$7-N2133)/($W$7-$V$7)))+$U$8*IF(AND(O2133&gt;=$V$8,O2133&lt;=$W$8),1,0))/$U$9*100,2)</f>
        <v>32.02</v>
      </c>
      <c r="C2133" s="27" t="s">
        <v>3105</v>
      </c>
      <c r="D2133" s="25" t="s">
        <v>134</v>
      </c>
      <c r="E2133" s="25" t="s">
        <v>3450</v>
      </c>
      <c r="F2133" s="25" t="s">
        <v>3457</v>
      </c>
      <c r="G2133" s="39" t="s">
        <v>32</v>
      </c>
      <c r="H2133" s="39" t="s">
        <v>26</v>
      </c>
      <c r="I2133" s="25" t="n">
        <v>8</v>
      </c>
      <c r="J2133" s="25" t="n">
        <v>1</v>
      </c>
      <c r="K2133" s="25" t="n">
        <v>8</v>
      </c>
      <c r="L2133" s="29" t="n">
        <v>0.75</v>
      </c>
      <c r="M2133" s="30" t="n">
        <v>23.08</v>
      </c>
      <c r="N2133" s="29" t="n">
        <v>0.68</v>
      </c>
      <c r="O2133" s="25" t="n">
        <v>183</v>
      </c>
      <c r="P2133" s="30" t="n">
        <v>5.36</v>
      </c>
      <c r="Q2133" s="27" t="s">
        <v>4028</v>
      </c>
      <c r="R2133" s="27" t="s">
        <v>1926</v>
      </c>
    </row>
    <row r="2134" customFormat="false" ht="15" hidden="false" customHeight="false" outlineLevel="0" collapsed="false">
      <c r="A2134" s="25" t="n">
        <f aca="false">IF(G2134="REJECT",COUNTIF($G$2:$G$2277,"&lt;&gt;REJECT")+1+COUNTIFS($G$2:$G$2277,"REJECT",$B$2:$B$2277,"&gt;"&amp;B2134),1+COUNTIFS($G$2:$G$2277,"&lt;&gt;REJECT",$B$2:$B$2277,"&gt;"&amp;B2134))</f>
        <v>2133</v>
      </c>
      <c r="B2134" s="26" t="n">
        <f aca="false">ROUND(($U$2*MAX(0,MIN(1,($W$2-I2134)/($W$2-$V$2)))+$U$3*MAX(0,MIN(1,($W$3-J2134)/($W$3-$V$3)))+$U$4*MAX(0,MIN(1,($W$4-K2134)/($W$4-$V$4)))+$U$5*MAX(0,MIN(1,($W$5-L2134)/($W$5-$V$5)))+$U$6*MAX(0,MIN(1,($W$6-M2134)/($W$6-$V$6)))+$U$7*MAX(0,MIN(1,($W$7-N2134)/($W$7-$V$7)))+$U$8*IF(AND(O2134&gt;=$V$8,O2134&lt;=$W$8),1,0))/$U$9*100,2)</f>
        <v>31.99</v>
      </c>
      <c r="C2134" s="27" t="s">
        <v>1234</v>
      </c>
      <c r="D2134" s="25" t="s">
        <v>3459</v>
      </c>
      <c r="E2134" s="25" t="s">
        <v>3447</v>
      </c>
      <c r="F2134" s="25" t="s">
        <v>3448</v>
      </c>
      <c r="G2134" s="39" t="s">
        <v>32</v>
      </c>
      <c r="H2134" s="39" t="s">
        <v>26</v>
      </c>
      <c r="I2134" s="25" t="n">
        <v>9</v>
      </c>
      <c r="J2134" s="25" t="n">
        <v>1</v>
      </c>
      <c r="K2134" s="25" t="n">
        <v>9</v>
      </c>
      <c r="L2134" s="29" t="n">
        <v>0.71</v>
      </c>
      <c r="M2134" s="30" t="n">
        <v>14.06</v>
      </c>
      <c r="N2134" s="29" t="n">
        <v>0.16</v>
      </c>
      <c r="O2134" s="25" t="n">
        <v>182</v>
      </c>
      <c r="P2134" s="30" t="n">
        <v>5.78</v>
      </c>
      <c r="Q2134" s="27" t="s">
        <v>4030</v>
      </c>
      <c r="R2134" s="27" t="s">
        <v>529</v>
      </c>
    </row>
    <row r="2135" customFormat="false" ht="15" hidden="false" customHeight="false" outlineLevel="0" collapsed="false">
      <c r="A2135" s="25" t="n">
        <f aca="false">IF(G2135="REJECT",COUNTIF($G$2:$G$2277,"&lt;&gt;REJECT")+1+COUNTIFS($G$2:$G$2277,"REJECT",$B$2:$B$2277,"&gt;"&amp;B2135),1+COUNTIFS($G$2:$G$2277,"&lt;&gt;REJECT",$B$2:$B$2277,"&gt;"&amp;B2135))</f>
        <v>2134</v>
      </c>
      <c r="B2135" s="26" t="n">
        <f aca="false">ROUND(($U$2*MAX(0,MIN(1,($W$2-I2135)/($W$2-$V$2)))+$U$3*MAX(0,MIN(1,($W$3-J2135)/($W$3-$V$3)))+$U$4*MAX(0,MIN(1,($W$4-K2135)/($W$4-$V$4)))+$U$5*MAX(0,MIN(1,($W$5-L2135)/($W$5-$V$5)))+$U$6*MAX(0,MIN(1,($W$6-M2135)/($W$6-$V$6)))+$U$7*MAX(0,MIN(1,($W$7-N2135)/($W$7-$V$7)))+$U$8*IF(AND(O2135&gt;=$V$8,O2135&lt;=$W$8),1,0))/$U$9*100,2)</f>
        <v>31.98</v>
      </c>
      <c r="C2135" s="27" t="s">
        <v>624</v>
      </c>
      <c r="D2135" s="25" t="s">
        <v>134</v>
      </c>
      <c r="E2135" s="25" t="s">
        <v>3447</v>
      </c>
      <c r="F2135" s="25" t="s">
        <v>3448</v>
      </c>
      <c r="G2135" s="39" t="s">
        <v>32</v>
      </c>
      <c r="H2135" s="39" t="s">
        <v>26</v>
      </c>
      <c r="I2135" s="25" t="n">
        <v>9</v>
      </c>
      <c r="J2135" s="25" t="n">
        <v>1</v>
      </c>
      <c r="K2135" s="25" t="n">
        <v>9</v>
      </c>
      <c r="L2135" s="29" t="n">
        <v>0.69</v>
      </c>
      <c r="M2135" s="30" t="n">
        <v>4.91</v>
      </c>
      <c r="N2135" s="29" t="n">
        <v>0.36</v>
      </c>
      <c r="O2135" s="25" t="n">
        <v>184</v>
      </c>
      <c r="P2135" s="30" t="n">
        <v>2.79</v>
      </c>
      <c r="Q2135" s="27" t="s">
        <v>4101</v>
      </c>
      <c r="R2135" s="27" t="s">
        <v>529</v>
      </c>
    </row>
    <row r="2136" customFormat="false" ht="15" hidden="false" customHeight="false" outlineLevel="0" collapsed="false">
      <c r="A2136" s="25" t="n">
        <f aca="false">IF(G2136="REJECT",COUNTIF($G$2:$G$2277,"&lt;&gt;REJECT")+1+COUNTIFS($G$2:$G$2277,"REJECT",$B$2:$B$2277,"&gt;"&amp;B2136),1+COUNTIFS($G$2:$G$2277,"&lt;&gt;REJECT",$B$2:$B$2277,"&gt;"&amp;B2136))</f>
        <v>2135</v>
      </c>
      <c r="B2136" s="26" t="n">
        <f aca="false">ROUND(($U$2*MAX(0,MIN(1,($W$2-I2136)/($W$2-$V$2)))+$U$3*MAX(0,MIN(1,($W$3-J2136)/($W$3-$V$3)))+$U$4*MAX(0,MIN(1,($W$4-K2136)/($W$4-$V$4)))+$U$5*MAX(0,MIN(1,($W$5-L2136)/($W$5-$V$5)))+$U$6*MAX(0,MIN(1,($W$6-M2136)/($W$6-$V$6)))+$U$7*MAX(0,MIN(1,($W$7-N2136)/($W$7-$V$7)))+$U$8*IF(AND(O2136&gt;=$V$8,O2136&lt;=$W$8),1,0))/$U$9*100,2)</f>
        <v>31.96</v>
      </c>
      <c r="C2136" s="27" t="s">
        <v>695</v>
      </c>
      <c r="D2136" s="25" t="s">
        <v>134</v>
      </c>
      <c r="E2136" s="25" t="s">
        <v>3447</v>
      </c>
      <c r="F2136" s="25" t="s">
        <v>3448</v>
      </c>
      <c r="G2136" s="39" t="s">
        <v>32</v>
      </c>
      <c r="H2136" s="39" t="s">
        <v>26</v>
      </c>
      <c r="I2136" s="25" t="n">
        <v>9</v>
      </c>
      <c r="J2136" s="25" t="n">
        <v>1</v>
      </c>
      <c r="K2136" s="25" t="n">
        <v>9</v>
      </c>
      <c r="L2136" s="29" t="n">
        <v>0.7</v>
      </c>
      <c r="M2136" s="30" t="n">
        <v>3.83</v>
      </c>
      <c r="N2136" s="29" t="n">
        <v>0.84</v>
      </c>
      <c r="O2136" s="25" t="n">
        <v>198</v>
      </c>
      <c r="P2136" s="30" t="n">
        <v>-0.76</v>
      </c>
      <c r="Q2136" s="27" t="s">
        <v>4102</v>
      </c>
      <c r="R2136" s="27" t="s">
        <v>1311</v>
      </c>
    </row>
    <row r="2137" customFormat="false" ht="15" hidden="false" customHeight="false" outlineLevel="0" collapsed="false">
      <c r="A2137" s="25" t="n">
        <f aca="false">IF(G2137="REJECT",COUNTIF($G$2:$G$2277,"&lt;&gt;REJECT")+1+COUNTIFS($G$2:$G$2277,"REJECT",$B$2:$B$2277,"&gt;"&amp;B2137),1+COUNTIFS($G$2:$G$2277,"&lt;&gt;REJECT",$B$2:$B$2277,"&gt;"&amp;B2137))</f>
        <v>2136</v>
      </c>
      <c r="B2137" s="26" t="n">
        <f aca="false">ROUND(($U$2*MAX(0,MIN(1,($W$2-I2137)/($W$2-$V$2)))+$U$3*MAX(0,MIN(1,($W$3-J2137)/($W$3-$V$3)))+$U$4*MAX(0,MIN(1,($W$4-K2137)/($W$4-$V$4)))+$U$5*MAX(0,MIN(1,($W$5-L2137)/($W$5-$V$5)))+$U$6*MAX(0,MIN(1,($W$6-M2137)/($W$6-$V$6)))+$U$7*MAX(0,MIN(1,($W$7-N2137)/($W$7-$V$7)))+$U$8*IF(AND(O2137&gt;=$V$8,O2137&lt;=$W$8),1,0))/$U$9*100,2)</f>
        <v>31.93</v>
      </c>
      <c r="C2137" s="27" t="s">
        <v>2280</v>
      </c>
      <c r="D2137" s="25" t="s">
        <v>134</v>
      </c>
      <c r="E2137" s="25" t="s">
        <v>3447</v>
      </c>
      <c r="F2137" s="25" t="s">
        <v>3457</v>
      </c>
      <c r="G2137" s="39" t="s">
        <v>32</v>
      </c>
      <c r="H2137" s="39" t="s">
        <v>26</v>
      </c>
      <c r="I2137" s="25" t="n">
        <v>11</v>
      </c>
      <c r="J2137" s="25" t="n">
        <v>1</v>
      </c>
      <c r="K2137" s="25" t="n">
        <v>11</v>
      </c>
      <c r="L2137" s="29" t="n">
        <v>0.7</v>
      </c>
      <c r="M2137" s="30" t="n">
        <v>12.42</v>
      </c>
      <c r="N2137" s="29" t="n">
        <v>0</v>
      </c>
      <c r="O2137" s="25" t="n">
        <v>187</v>
      </c>
      <c r="P2137" s="30" t="n">
        <v>3.45</v>
      </c>
      <c r="Q2137" s="27" t="s">
        <v>4103</v>
      </c>
      <c r="R2137" s="27" t="s">
        <v>529</v>
      </c>
    </row>
    <row r="2138" customFormat="false" ht="15" hidden="false" customHeight="false" outlineLevel="0" collapsed="false">
      <c r="A2138" s="25" t="n">
        <f aca="false">IF(G2138="REJECT",COUNTIF($G$2:$G$2277,"&lt;&gt;REJECT")+1+COUNTIFS($G$2:$G$2277,"REJECT",$B$2:$B$2277,"&gt;"&amp;B2138),1+COUNTIFS($G$2:$G$2277,"&lt;&gt;REJECT",$B$2:$B$2277,"&gt;"&amp;B2138))</f>
        <v>2137</v>
      </c>
      <c r="B2138" s="26" t="n">
        <f aca="false">ROUND(($U$2*MAX(0,MIN(1,($W$2-I2138)/($W$2-$V$2)))+$U$3*MAX(0,MIN(1,($W$3-J2138)/($W$3-$V$3)))+$U$4*MAX(0,MIN(1,($W$4-K2138)/($W$4-$V$4)))+$U$5*MAX(0,MIN(1,($W$5-L2138)/($W$5-$V$5)))+$U$6*MAX(0,MIN(1,($W$6-M2138)/($W$6-$V$6)))+$U$7*MAX(0,MIN(1,($W$7-N2138)/($W$7-$V$7)))+$U$8*IF(AND(O2138&gt;=$V$8,O2138&lt;=$W$8),1,0))/$U$9*100,2)</f>
        <v>31.92</v>
      </c>
      <c r="C2138" s="27" t="s">
        <v>1620</v>
      </c>
      <c r="D2138" s="25" t="s">
        <v>134</v>
      </c>
      <c r="E2138" s="25" t="s">
        <v>3450</v>
      </c>
      <c r="F2138" s="25" t="s">
        <v>3457</v>
      </c>
      <c r="G2138" s="39" t="s">
        <v>32</v>
      </c>
      <c r="H2138" s="39" t="s">
        <v>26</v>
      </c>
      <c r="I2138" s="25" t="n">
        <v>6</v>
      </c>
      <c r="J2138" s="25" t="n">
        <v>2</v>
      </c>
      <c r="K2138" s="25" t="n">
        <v>6</v>
      </c>
      <c r="L2138" s="29" t="n">
        <v>0.7</v>
      </c>
      <c r="M2138" s="30" t="n">
        <v>19.07</v>
      </c>
      <c r="N2138" s="29" t="n">
        <v>0.84</v>
      </c>
      <c r="O2138" s="25" t="n">
        <v>184</v>
      </c>
      <c r="P2138" s="30" t="n">
        <v>-1.2</v>
      </c>
      <c r="Q2138" s="27" t="s">
        <v>4104</v>
      </c>
      <c r="R2138" s="27" t="s">
        <v>3882</v>
      </c>
    </row>
    <row r="2139" customFormat="false" ht="15" hidden="false" customHeight="false" outlineLevel="0" collapsed="false">
      <c r="A2139" s="25" t="n">
        <f aca="false">IF(G2139="REJECT",COUNTIF($G$2:$G$2277,"&lt;&gt;REJECT")+1+COUNTIFS($G$2:$G$2277,"REJECT",$B$2:$B$2277,"&gt;"&amp;B2139),1+COUNTIFS($G$2:$G$2277,"&lt;&gt;REJECT",$B$2:$B$2277,"&gt;"&amp;B2139))</f>
        <v>2138</v>
      </c>
      <c r="B2139" s="26" t="n">
        <f aca="false">ROUND(($U$2*MAX(0,MIN(1,($W$2-I2139)/($W$2-$V$2)))+$U$3*MAX(0,MIN(1,($W$3-J2139)/($W$3-$V$3)))+$U$4*MAX(0,MIN(1,($W$4-K2139)/($W$4-$V$4)))+$U$5*MAX(0,MIN(1,($W$5-L2139)/($W$5-$V$5)))+$U$6*MAX(0,MIN(1,($W$6-M2139)/($W$6-$V$6)))+$U$7*MAX(0,MIN(1,($W$7-N2139)/($W$7-$V$7)))+$U$8*IF(AND(O2139&gt;=$V$8,O2139&lt;=$W$8),1,0))/$U$9*100,2)</f>
        <v>31.9</v>
      </c>
      <c r="C2139" s="27" t="s">
        <v>1049</v>
      </c>
      <c r="D2139" s="25" t="s">
        <v>134</v>
      </c>
      <c r="E2139" s="25" t="s">
        <v>3447</v>
      </c>
      <c r="F2139" s="25" t="s">
        <v>3448</v>
      </c>
      <c r="G2139" s="39" t="s">
        <v>32</v>
      </c>
      <c r="H2139" s="39" t="s">
        <v>26</v>
      </c>
      <c r="I2139" s="25" t="n">
        <v>8</v>
      </c>
      <c r="J2139" s="25" t="n">
        <v>1</v>
      </c>
      <c r="K2139" s="25" t="n">
        <v>8</v>
      </c>
      <c r="L2139" s="29" t="n">
        <v>0.71</v>
      </c>
      <c r="M2139" s="30" t="n">
        <v>13.03</v>
      </c>
      <c r="N2139" s="29" t="n">
        <v>0.32</v>
      </c>
      <c r="O2139" s="25" t="n">
        <v>182</v>
      </c>
      <c r="P2139" s="30" t="n">
        <v>4.33</v>
      </c>
      <c r="Q2139" s="27" t="s">
        <v>4105</v>
      </c>
      <c r="R2139" s="27" t="s">
        <v>529</v>
      </c>
    </row>
    <row r="2140" customFormat="false" ht="15" hidden="false" customHeight="false" outlineLevel="0" collapsed="false">
      <c r="A2140" s="25" t="n">
        <f aca="false">IF(G2140="REJECT",COUNTIF($G$2:$G$2277,"&lt;&gt;REJECT")+1+COUNTIFS($G$2:$G$2277,"REJECT",$B$2:$B$2277,"&gt;"&amp;B2140),1+COUNTIFS($G$2:$G$2277,"&lt;&gt;REJECT",$B$2:$B$2277,"&gt;"&amp;B2140))</f>
        <v>2139</v>
      </c>
      <c r="B2140" s="26" t="n">
        <f aca="false">ROUND(($U$2*MAX(0,MIN(1,($W$2-I2140)/($W$2-$V$2)))+$U$3*MAX(0,MIN(1,($W$3-J2140)/($W$3-$V$3)))+$U$4*MAX(0,MIN(1,($W$4-K2140)/($W$4-$V$4)))+$U$5*MAX(0,MIN(1,($W$5-L2140)/($W$5-$V$5)))+$U$6*MAX(0,MIN(1,($W$6-M2140)/($W$6-$V$6)))+$U$7*MAX(0,MIN(1,($W$7-N2140)/($W$7-$V$7)))+$U$8*IF(AND(O2140&gt;=$V$8,O2140&lt;=$W$8),1,0))/$U$9*100,2)</f>
        <v>31.88</v>
      </c>
      <c r="C2140" s="27" t="s">
        <v>430</v>
      </c>
      <c r="D2140" s="25" t="s">
        <v>3459</v>
      </c>
      <c r="E2140" s="25" t="s">
        <v>3447</v>
      </c>
      <c r="F2140" s="25" t="s">
        <v>3448</v>
      </c>
      <c r="G2140" s="39" t="s">
        <v>32</v>
      </c>
      <c r="H2140" s="39" t="s">
        <v>26</v>
      </c>
      <c r="I2140" s="25" t="n">
        <v>15</v>
      </c>
      <c r="J2140" s="25" t="n">
        <v>1</v>
      </c>
      <c r="K2140" s="25" t="n">
        <v>15</v>
      </c>
      <c r="L2140" s="29" t="n">
        <v>0.72</v>
      </c>
      <c r="M2140" s="30" t="n">
        <v>13.13</v>
      </c>
      <c r="N2140" s="29" t="n">
        <v>0.68</v>
      </c>
      <c r="O2140" s="25" t="n">
        <v>184</v>
      </c>
      <c r="P2140" s="30" t="n">
        <v>-0.72</v>
      </c>
      <c r="Q2140" s="27" t="s">
        <v>4106</v>
      </c>
      <c r="R2140" s="27" t="s">
        <v>1311</v>
      </c>
    </row>
    <row r="2141" customFormat="false" ht="15" hidden="false" customHeight="false" outlineLevel="0" collapsed="false">
      <c r="A2141" s="25" t="n">
        <f aca="false">IF(G2141="REJECT",COUNTIF($G$2:$G$2277,"&lt;&gt;REJECT")+1+COUNTIFS($G$2:$G$2277,"REJECT",$B$2:$B$2277,"&gt;"&amp;B2141),1+COUNTIFS($G$2:$G$2277,"&lt;&gt;REJECT",$B$2:$B$2277,"&gt;"&amp;B2141))</f>
        <v>2140</v>
      </c>
      <c r="B2141" s="26" t="n">
        <f aca="false">ROUND(($U$2*MAX(0,MIN(1,($W$2-I2141)/($W$2-$V$2)))+$U$3*MAX(0,MIN(1,($W$3-J2141)/($W$3-$V$3)))+$U$4*MAX(0,MIN(1,($W$4-K2141)/($W$4-$V$4)))+$U$5*MAX(0,MIN(1,($W$5-L2141)/($W$5-$V$5)))+$U$6*MAX(0,MIN(1,($W$6-M2141)/($W$6-$V$6)))+$U$7*MAX(0,MIN(1,($W$7-N2141)/($W$7-$V$7)))+$U$8*IF(AND(O2141&gt;=$V$8,O2141&lt;=$W$8),1,0))/$U$9*100,2)</f>
        <v>31.86</v>
      </c>
      <c r="C2141" s="27" t="s">
        <v>2338</v>
      </c>
      <c r="D2141" s="25" t="s">
        <v>134</v>
      </c>
      <c r="E2141" s="25" t="s">
        <v>3450</v>
      </c>
      <c r="F2141" s="25" t="s">
        <v>3457</v>
      </c>
      <c r="G2141" s="39" t="s">
        <v>32</v>
      </c>
      <c r="H2141" s="39" t="s">
        <v>26</v>
      </c>
      <c r="I2141" s="25" t="n">
        <v>9</v>
      </c>
      <c r="J2141" s="25" t="n">
        <v>1</v>
      </c>
      <c r="K2141" s="25" t="n">
        <v>9</v>
      </c>
      <c r="L2141" s="29" t="n">
        <v>0.74</v>
      </c>
      <c r="M2141" s="30" t="n">
        <v>21.63</v>
      </c>
      <c r="N2141" s="29" t="n">
        <v>0.56</v>
      </c>
      <c r="O2141" s="25" t="n">
        <v>183</v>
      </c>
      <c r="P2141" s="30" t="n">
        <v>4.89</v>
      </c>
      <c r="Q2141" s="27" t="s">
        <v>4107</v>
      </c>
      <c r="R2141" s="27" t="s">
        <v>1178</v>
      </c>
    </row>
    <row r="2142" customFormat="false" ht="15" hidden="false" customHeight="false" outlineLevel="0" collapsed="false">
      <c r="A2142" s="25" t="n">
        <f aca="false">IF(G2142="REJECT",COUNTIF($G$2:$G$2277,"&lt;&gt;REJECT")+1+COUNTIFS($G$2:$G$2277,"REJECT",$B$2:$B$2277,"&gt;"&amp;B2142),1+COUNTIFS($G$2:$G$2277,"&lt;&gt;REJECT",$B$2:$B$2277,"&gt;"&amp;B2142))</f>
        <v>2141</v>
      </c>
      <c r="B2142" s="26" t="n">
        <f aca="false">ROUND(($U$2*MAX(0,MIN(1,($W$2-I2142)/($W$2-$V$2)))+$U$3*MAX(0,MIN(1,($W$3-J2142)/($W$3-$V$3)))+$U$4*MAX(0,MIN(1,($W$4-K2142)/($W$4-$V$4)))+$U$5*MAX(0,MIN(1,($W$5-L2142)/($W$5-$V$5)))+$U$6*MAX(0,MIN(1,($W$6-M2142)/($W$6-$V$6)))+$U$7*MAX(0,MIN(1,($W$7-N2142)/($W$7-$V$7)))+$U$8*IF(AND(O2142&gt;=$V$8,O2142&lt;=$W$8),1,0))/$U$9*100,2)</f>
        <v>31.85</v>
      </c>
      <c r="C2142" s="27" t="s">
        <v>2773</v>
      </c>
      <c r="D2142" s="25" t="s">
        <v>134</v>
      </c>
      <c r="E2142" s="25" t="s">
        <v>3447</v>
      </c>
      <c r="F2142" s="25" t="s">
        <v>3457</v>
      </c>
      <c r="G2142" s="39" t="s">
        <v>32</v>
      </c>
      <c r="H2142" s="39" t="s">
        <v>26</v>
      </c>
      <c r="I2142" s="25" t="n">
        <v>9</v>
      </c>
      <c r="J2142" s="25" t="n">
        <v>1</v>
      </c>
      <c r="K2142" s="25" t="n">
        <v>9</v>
      </c>
      <c r="L2142" s="29" t="n">
        <v>0.71</v>
      </c>
      <c r="M2142" s="30" t="n">
        <v>11.72</v>
      </c>
      <c r="N2142" s="29" t="n">
        <v>0.48</v>
      </c>
      <c r="O2142" s="25" t="n">
        <v>183</v>
      </c>
      <c r="P2142" s="30" t="n">
        <v>-0.26</v>
      </c>
      <c r="Q2142" s="27" t="s">
        <v>4108</v>
      </c>
      <c r="R2142" s="27" t="s">
        <v>529</v>
      </c>
    </row>
    <row r="2143" customFormat="false" ht="15" hidden="false" customHeight="false" outlineLevel="0" collapsed="false">
      <c r="A2143" s="25" t="n">
        <f aca="false">IF(G2143="REJECT",COUNTIF($G$2:$G$2277,"&lt;&gt;REJECT")+1+COUNTIFS($G$2:$G$2277,"REJECT",$B$2:$B$2277,"&gt;"&amp;B2143),1+COUNTIFS($G$2:$G$2277,"&lt;&gt;REJECT",$B$2:$B$2277,"&gt;"&amp;B2143))</f>
        <v>2142</v>
      </c>
      <c r="B2143" s="26" t="n">
        <f aca="false">ROUND(($U$2*MAX(0,MIN(1,($W$2-I2143)/($W$2-$V$2)))+$U$3*MAX(0,MIN(1,($W$3-J2143)/($W$3-$V$3)))+$U$4*MAX(0,MIN(1,($W$4-K2143)/($W$4-$V$4)))+$U$5*MAX(0,MIN(1,($W$5-L2143)/($W$5-$V$5)))+$U$6*MAX(0,MIN(1,($W$6-M2143)/($W$6-$V$6)))+$U$7*MAX(0,MIN(1,($W$7-N2143)/($W$7-$V$7)))+$U$8*IF(AND(O2143&gt;=$V$8,O2143&lt;=$W$8),1,0))/$U$9*100,2)</f>
        <v>31.79</v>
      </c>
      <c r="C2143" s="27" t="s">
        <v>2810</v>
      </c>
      <c r="D2143" s="25" t="s">
        <v>3459</v>
      </c>
      <c r="E2143" s="25" t="s">
        <v>3450</v>
      </c>
      <c r="F2143" s="25" t="s">
        <v>3457</v>
      </c>
      <c r="G2143" s="39" t="s">
        <v>32</v>
      </c>
      <c r="H2143" s="39" t="s">
        <v>26</v>
      </c>
      <c r="I2143" s="25" t="n">
        <v>9</v>
      </c>
      <c r="J2143" s="25" t="n">
        <v>1</v>
      </c>
      <c r="K2143" s="25" t="n">
        <v>9</v>
      </c>
      <c r="L2143" s="29" t="n">
        <v>0.72</v>
      </c>
      <c r="M2143" s="30" t="n">
        <v>16.04</v>
      </c>
      <c r="N2143" s="29" t="n">
        <v>0.44</v>
      </c>
      <c r="O2143" s="25" t="n">
        <v>183</v>
      </c>
      <c r="P2143" s="30" t="n">
        <v>15.41</v>
      </c>
      <c r="Q2143" s="27" t="s">
        <v>4109</v>
      </c>
      <c r="R2143" s="27" t="s">
        <v>529</v>
      </c>
    </row>
    <row r="2144" customFormat="false" ht="15" hidden="false" customHeight="false" outlineLevel="0" collapsed="false">
      <c r="A2144" s="25" t="n">
        <f aca="false">IF(G2144="REJECT",COUNTIF($G$2:$G$2277,"&lt;&gt;REJECT")+1+COUNTIFS($G$2:$G$2277,"REJECT",$B$2:$B$2277,"&gt;"&amp;B2144),1+COUNTIFS($G$2:$G$2277,"&lt;&gt;REJECT",$B$2:$B$2277,"&gt;"&amp;B2144))</f>
        <v>2143</v>
      </c>
      <c r="B2144" s="26" t="n">
        <f aca="false">ROUND(($U$2*MAX(0,MIN(1,($W$2-I2144)/($W$2-$V$2)))+$U$3*MAX(0,MIN(1,($W$3-J2144)/($W$3-$V$3)))+$U$4*MAX(0,MIN(1,($W$4-K2144)/($W$4-$V$4)))+$U$5*MAX(0,MIN(1,($W$5-L2144)/($W$5-$V$5)))+$U$6*MAX(0,MIN(1,($W$6-M2144)/($W$6-$V$6)))+$U$7*MAX(0,MIN(1,($W$7-N2144)/($W$7-$V$7)))+$U$8*IF(AND(O2144&gt;=$V$8,O2144&lt;=$W$8),1,0))/$U$9*100,2)</f>
        <v>31.76</v>
      </c>
      <c r="C2144" s="27" t="s">
        <v>779</v>
      </c>
      <c r="D2144" s="25" t="s">
        <v>134</v>
      </c>
      <c r="E2144" s="25" t="s">
        <v>3447</v>
      </c>
      <c r="F2144" s="25" t="s">
        <v>3457</v>
      </c>
      <c r="G2144" s="39" t="s">
        <v>32</v>
      </c>
      <c r="H2144" s="39" t="s">
        <v>26</v>
      </c>
      <c r="I2144" s="25" t="n">
        <v>9</v>
      </c>
      <c r="J2144" s="25" t="n">
        <v>1</v>
      </c>
      <c r="K2144" s="25" t="n">
        <v>9</v>
      </c>
      <c r="L2144" s="29" t="n">
        <v>0.73</v>
      </c>
      <c r="M2144" s="30" t="n">
        <v>20.65</v>
      </c>
      <c r="N2144" s="29" t="n">
        <v>0.36</v>
      </c>
      <c r="O2144" s="25" t="n">
        <v>184</v>
      </c>
      <c r="P2144" s="30" t="n">
        <v>-1.06</v>
      </c>
      <c r="Q2144" s="27" t="s">
        <v>4110</v>
      </c>
      <c r="R2144" s="27" t="s">
        <v>4005</v>
      </c>
    </row>
    <row r="2145" customFormat="false" ht="15" hidden="false" customHeight="false" outlineLevel="0" collapsed="false">
      <c r="A2145" s="25" t="n">
        <f aca="false">IF(G2145="REJECT",COUNTIF($G$2:$G$2277,"&lt;&gt;REJECT")+1+COUNTIFS($G$2:$G$2277,"REJECT",$B$2:$B$2277,"&gt;"&amp;B2145),1+COUNTIFS($G$2:$G$2277,"&lt;&gt;REJECT",$B$2:$B$2277,"&gt;"&amp;B2145))</f>
        <v>2144</v>
      </c>
      <c r="B2145" s="26" t="n">
        <f aca="false">ROUND(($U$2*MAX(0,MIN(1,($W$2-I2145)/($W$2-$V$2)))+$U$3*MAX(0,MIN(1,($W$3-J2145)/($W$3-$V$3)))+$U$4*MAX(0,MIN(1,($W$4-K2145)/($W$4-$V$4)))+$U$5*MAX(0,MIN(1,($W$5-L2145)/($W$5-$V$5)))+$U$6*MAX(0,MIN(1,($W$6-M2145)/($W$6-$V$6)))+$U$7*MAX(0,MIN(1,($W$7-N2145)/($W$7-$V$7)))+$U$8*IF(AND(O2145&gt;=$V$8,O2145&lt;=$W$8),1,0))/$U$9*100,2)</f>
        <v>31.68</v>
      </c>
      <c r="C2145" s="27" t="s">
        <v>1170</v>
      </c>
      <c r="D2145" s="25" t="s">
        <v>3459</v>
      </c>
      <c r="E2145" s="25" t="s">
        <v>3450</v>
      </c>
      <c r="F2145" s="25" t="s">
        <v>3457</v>
      </c>
      <c r="G2145" s="39" t="s">
        <v>32</v>
      </c>
      <c r="H2145" s="39" t="s">
        <v>26</v>
      </c>
      <c r="I2145" s="25" t="n">
        <v>11</v>
      </c>
      <c r="J2145" s="25" t="n">
        <v>1</v>
      </c>
      <c r="K2145" s="25" t="n">
        <v>11</v>
      </c>
      <c r="L2145" s="29" t="n">
        <v>0.75</v>
      </c>
      <c r="M2145" s="30" t="n">
        <v>25.53</v>
      </c>
      <c r="N2145" s="29" t="n">
        <v>0.64</v>
      </c>
      <c r="O2145" s="25" t="n">
        <v>183</v>
      </c>
      <c r="P2145" s="30" t="n">
        <v>5.28</v>
      </c>
      <c r="Q2145" s="27" t="s">
        <v>4034</v>
      </c>
      <c r="R2145" s="27" t="s">
        <v>1178</v>
      </c>
    </row>
    <row r="2146" customFormat="false" ht="15" hidden="false" customHeight="false" outlineLevel="0" collapsed="false">
      <c r="A2146" s="25" t="n">
        <f aca="false">IF(G2146="REJECT",COUNTIF($G$2:$G$2277,"&lt;&gt;REJECT")+1+COUNTIFS($G$2:$G$2277,"REJECT",$B$2:$B$2277,"&gt;"&amp;B2146),1+COUNTIFS($G$2:$G$2277,"&lt;&gt;REJECT",$B$2:$B$2277,"&gt;"&amp;B2146))</f>
        <v>2145</v>
      </c>
      <c r="B2146" s="26" t="n">
        <f aca="false">ROUND(($U$2*MAX(0,MIN(1,($W$2-I2146)/($W$2-$V$2)))+$U$3*MAX(0,MIN(1,($W$3-J2146)/($W$3-$V$3)))+$U$4*MAX(0,MIN(1,($W$4-K2146)/($W$4-$V$4)))+$U$5*MAX(0,MIN(1,($W$5-L2146)/($W$5-$V$5)))+$U$6*MAX(0,MIN(1,($W$6-M2146)/($W$6-$V$6)))+$U$7*MAX(0,MIN(1,($W$7-N2146)/($W$7-$V$7)))+$U$8*IF(AND(O2146&gt;=$V$8,O2146&lt;=$W$8),1,0))/$U$9*100,2)</f>
        <v>31.66</v>
      </c>
      <c r="C2146" s="27" t="s">
        <v>131</v>
      </c>
      <c r="D2146" s="25" t="s">
        <v>134</v>
      </c>
      <c r="E2146" s="25" t="s">
        <v>3450</v>
      </c>
      <c r="F2146" s="25" t="s">
        <v>3457</v>
      </c>
      <c r="G2146" s="39" t="s">
        <v>32</v>
      </c>
      <c r="H2146" s="39" t="s">
        <v>26</v>
      </c>
      <c r="I2146" s="25" t="n">
        <v>9</v>
      </c>
      <c r="J2146" s="25" t="n">
        <v>1</v>
      </c>
      <c r="K2146" s="25" t="n">
        <v>9</v>
      </c>
      <c r="L2146" s="29" t="n">
        <v>0.71</v>
      </c>
      <c r="M2146" s="30" t="n">
        <v>15.22</v>
      </c>
      <c r="N2146" s="29" t="n">
        <v>0.24</v>
      </c>
      <c r="O2146" s="25" t="n">
        <v>218</v>
      </c>
      <c r="P2146" s="30" t="n">
        <v>7.93</v>
      </c>
      <c r="Q2146" s="27" t="s">
        <v>4111</v>
      </c>
      <c r="R2146" s="27" t="s">
        <v>529</v>
      </c>
    </row>
    <row r="2147" customFormat="false" ht="15" hidden="false" customHeight="false" outlineLevel="0" collapsed="false">
      <c r="A2147" s="25" t="n">
        <f aca="false">IF(G2147="REJECT",COUNTIF($G$2:$G$2277,"&lt;&gt;REJECT")+1+COUNTIFS($G$2:$G$2277,"REJECT",$B$2:$B$2277,"&gt;"&amp;B2147),1+COUNTIFS($G$2:$G$2277,"&lt;&gt;REJECT",$B$2:$B$2277,"&gt;"&amp;B2147))</f>
        <v>2146</v>
      </c>
      <c r="B2147" s="26" t="n">
        <f aca="false">ROUND(($U$2*MAX(0,MIN(1,($W$2-I2147)/($W$2-$V$2)))+$U$3*MAX(0,MIN(1,($W$3-J2147)/($W$3-$V$3)))+$U$4*MAX(0,MIN(1,($W$4-K2147)/($W$4-$V$4)))+$U$5*MAX(0,MIN(1,($W$5-L2147)/($W$5-$V$5)))+$U$6*MAX(0,MIN(1,($W$6-M2147)/($W$6-$V$6)))+$U$7*MAX(0,MIN(1,($W$7-N2147)/($W$7-$V$7)))+$U$8*IF(AND(O2147&gt;=$V$8,O2147&lt;=$W$8),1,0))/$U$9*100,2)</f>
        <v>31.65</v>
      </c>
      <c r="C2147" s="27" t="s">
        <v>1068</v>
      </c>
      <c r="D2147" s="25" t="s">
        <v>134</v>
      </c>
      <c r="E2147" s="25" t="s">
        <v>3447</v>
      </c>
      <c r="F2147" s="25" t="s">
        <v>3457</v>
      </c>
      <c r="G2147" s="39" t="s">
        <v>32</v>
      </c>
      <c r="H2147" s="39" t="s">
        <v>26</v>
      </c>
      <c r="I2147" s="25" t="n">
        <v>11</v>
      </c>
      <c r="J2147" s="25" t="n">
        <v>1</v>
      </c>
      <c r="K2147" s="25" t="n">
        <v>11</v>
      </c>
      <c r="L2147" s="29" t="n">
        <v>0.72</v>
      </c>
      <c r="M2147" s="30" t="n">
        <v>14.9</v>
      </c>
      <c r="N2147" s="29" t="n">
        <v>0.64</v>
      </c>
      <c r="O2147" s="25" t="n">
        <v>183</v>
      </c>
      <c r="P2147" s="30" t="n">
        <v>2.9</v>
      </c>
      <c r="Q2147" s="27" t="s">
        <v>4034</v>
      </c>
      <c r="R2147" s="27" t="s">
        <v>529</v>
      </c>
    </row>
    <row r="2148" customFormat="false" ht="15" hidden="false" customHeight="false" outlineLevel="0" collapsed="false">
      <c r="A2148" s="25" t="n">
        <f aca="false">IF(G2148="REJECT",COUNTIF($G$2:$G$2277,"&lt;&gt;REJECT")+1+COUNTIFS($G$2:$G$2277,"REJECT",$B$2:$B$2277,"&gt;"&amp;B2148),1+COUNTIFS($G$2:$G$2277,"&lt;&gt;REJECT",$B$2:$B$2277,"&gt;"&amp;B2148))</f>
        <v>2147</v>
      </c>
      <c r="B2148" s="26" t="n">
        <f aca="false">ROUND(($U$2*MAX(0,MIN(1,($W$2-I2148)/($W$2-$V$2)))+$U$3*MAX(0,MIN(1,($W$3-J2148)/($W$3-$V$3)))+$U$4*MAX(0,MIN(1,($W$4-K2148)/($W$4-$V$4)))+$U$5*MAX(0,MIN(1,($W$5-L2148)/($W$5-$V$5)))+$U$6*MAX(0,MIN(1,($W$6-M2148)/($W$6-$V$6)))+$U$7*MAX(0,MIN(1,($W$7-N2148)/($W$7-$V$7)))+$U$8*IF(AND(O2148&gt;=$V$8,O2148&lt;=$W$8),1,0))/$U$9*100,2)</f>
        <v>31.64</v>
      </c>
      <c r="C2148" s="27" t="s">
        <v>3338</v>
      </c>
      <c r="D2148" s="25" t="s">
        <v>134</v>
      </c>
      <c r="E2148" s="25" t="s">
        <v>3447</v>
      </c>
      <c r="F2148" s="25" t="s">
        <v>3457</v>
      </c>
      <c r="G2148" s="39" t="s">
        <v>32</v>
      </c>
      <c r="H2148" s="39" t="s">
        <v>26</v>
      </c>
      <c r="I2148" s="25" t="n">
        <v>10</v>
      </c>
      <c r="J2148" s="25" t="n">
        <v>0</v>
      </c>
      <c r="K2148" s="25" t="n">
        <v>10</v>
      </c>
      <c r="L2148" s="29" t="n">
        <v>0.58</v>
      </c>
      <c r="M2148" s="30" t="n">
        <v>21.77</v>
      </c>
      <c r="N2148" s="29" t="n">
        <v>0.92</v>
      </c>
      <c r="O2148" s="25" t="n">
        <v>184</v>
      </c>
      <c r="P2148" s="30" t="n">
        <v>-1.23</v>
      </c>
      <c r="Q2148" s="27" t="s">
        <v>4112</v>
      </c>
      <c r="R2148" s="27" t="s">
        <v>3969</v>
      </c>
    </row>
    <row r="2149" customFormat="false" ht="15" hidden="false" customHeight="false" outlineLevel="0" collapsed="false">
      <c r="A2149" s="25" t="n">
        <f aca="false">IF(G2149="REJECT",COUNTIF($G$2:$G$2277,"&lt;&gt;REJECT")+1+COUNTIFS($G$2:$G$2277,"REJECT",$B$2:$B$2277,"&gt;"&amp;B2149),1+COUNTIFS($G$2:$G$2277,"&lt;&gt;REJECT",$B$2:$B$2277,"&gt;"&amp;B2149))</f>
        <v>2148</v>
      </c>
      <c r="B2149" s="26" t="n">
        <f aca="false">ROUND(($U$2*MAX(0,MIN(1,($W$2-I2149)/($W$2-$V$2)))+$U$3*MAX(0,MIN(1,($W$3-J2149)/($W$3-$V$3)))+$U$4*MAX(0,MIN(1,($W$4-K2149)/($W$4-$V$4)))+$U$5*MAX(0,MIN(1,($W$5-L2149)/($W$5-$V$5)))+$U$6*MAX(0,MIN(1,($W$6-M2149)/($W$6-$V$6)))+$U$7*MAX(0,MIN(1,($W$7-N2149)/($W$7-$V$7)))+$U$8*IF(AND(O2149&gt;=$V$8,O2149&lt;=$W$8),1,0))/$U$9*100,2)</f>
        <v>31.52</v>
      </c>
      <c r="C2149" s="27" t="s">
        <v>1209</v>
      </c>
      <c r="D2149" s="25" t="s">
        <v>134</v>
      </c>
      <c r="E2149" s="25" t="s">
        <v>3447</v>
      </c>
      <c r="F2149" s="25" t="s">
        <v>3457</v>
      </c>
      <c r="G2149" s="39" t="s">
        <v>32</v>
      </c>
      <c r="H2149" s="39" t="s">
        <v>26</v>
      </c>
      <c r="I2149" s="25" t="n">
        <v>13</v>
      </c>
      <c r="J2149" s="25" t="n">
        <v>1</v>
      </c>
      <c r="K2149" s="25" t="n">
        <v>13</v>
      </c>
      <c r="L2149" s="29" t="n">
        <v>0.71</v>
      </c>
      <c r="M2149" s="30" t="n">
        <v>15.69</v>
      </c>
      <c r="N2149" s="29" t="n">
        <v>0.28</v>
      </c>
      <c r="O2149" s="25" t="n">
        <v>183</v>
      </c>
      <c r="P2149" s="30" t="n">
        <v>2.4</v>
      </c>
      <c r="Q2149" s="27" t="s">
        <v>4023</v>
      </c>
      <c r="R2149" s="27" t="s">
        <v>529</v>
      </c>
    </row>
    <row r="2150" customFormat="false" ht="15" hidden="false" customHeight="false" outlineLevel="0" collapsed="false">
      <c r="A2150" s="25" t="n">
        <f aca="false">IF(G2150="REJECT",COUNTIF($G$2:$G$2277,"&lt;&gt;REJECT")+1+COUNTIFS($G$2:$G$2277,"REJECT",$B$2:$B$2277,"&gt;"&amp;B2150),1+COUNTIFS($G$2:$G$2277,"&lt;&gt;REJECT",$B$2:$B$2277,"&gt;"&amp;B2150))</f>
        <v>2149</v>
      </c>
      <c r="B2150" s="26" t="n">
        <f aca="false">ROUND(($U$2*MAX(0,MIN(1,($W$2-I2150)/($W$2-$V$2)))+$U$3*MAX(0,MIN(1,($W$3-J2150)/($W$3-$V$3)))+$U$4*MAX(0,MIN(1,($W$4-K2150)/($W$4-$V$4)))+$U$5*MAX(0,MIN(1,($W$5-L2150)/($W$5-$V$5)))+$U$6*MAX(0,MIN(1,($W$6-M2150)/($W$6-$V$6)))+$U$7*MAX(0,MIN(1,($W$7-N2150)/($W$7-$V$7)))+$U$8*IF(AND(O2150&gt;=$V$8,O2150&lt;=$W$8),1,0))/$U$9*100,2)</f>
        <v>31.46</v>
      </c>
      <c r="C2150" s="27" t="s">
        <v>1033</v>
      </c>
      <c r="D2150" s="25" t="s">
        <v>134</v>
      </c>
      <c r="E2150" s="25" t="s">
        <v>3447</v>
      </c>
      <c r="F2150" s="25" t="s">
        <v>3457</v>
      </c>
      <c r="G2150" s="39" t="s">
        <v>32</v>
      </c>
      <c r="H2150" s="39" t="s">
        <v>26</v>
      </c>
      <c r="I2150" s="25" t="n">
        <v>13</v>
      </c>
      <c r="J2150" s="25" t="n">
        <v>1</v>
      </c>
      <c r="K2150" s="25" t="n">
        <v>13</v>
      </c>
      <c r="L2150" s="29" t="n">
        <v>0.69</v>
      </c>
      <c r="M2150" s="30" t="n">
        <v>2.86</v>
      </c>
      <c r="N2150" s="29" t="n">
        <v>0.88</v>
      </c>
      <c r="O2150" s="25" t="n">
        <v>184</v>
      </c>
      <c r="P2150" s="30" t="n">
        <v>0.12</v>
      </c>
      <c r="Q2150" s="27" t="s">
        <v>4023</v>
      </c>
      <c r="R2150" s="27" t="s">
        <v>1311</v>
      </c>
    </row>
    <row r="2151" customFormat="false" ht="15" hidden="false" customHeight="false" outlineLevel="0" collapsed="false">
      <c r="A2151" s="25" t="n">
        <f aca="false">IF(G2151="REJECT",COUNTIF($G$2:$G$2277,"&lt;&gt;REJECT")+1+COUNTIFS($G$2:$G$2277,"REJECT",$B$2:$B$2277,"&gt;"&amp;B2151),1+COUNTIFS($G$2:$G$2277,"&lt;&gt;REJECT",$B$2:$B$2277,"&gt;"&amp;B2151))</f>
        <v>2150</v>
      </c>
      <c r="B2151" s="26" t="n">
        <f aca="false">ROUND(($U$2*MAX(0,MIN(1,($W$2-I2151)/($W$2-$V$2)))+$U$3*MAX(0,MIN(1,($W$3-J2151)/($W$3-$V$3)))+$U$4*MAX(0,MIN(1,($W$4-K2151)/($W$4-$V$4)))+$U$5*MAX(0,MIN(1,($W$5-L2151)/($W$5-$V$5)))+$U$6*MAX(0,MIN(1,($W$6-M2151)/($W$6-$V$6)))+$U$7*MAX(0,MIN(1,($W$7-N2151)/($W$7-$V$7)))+$U$8*IF(AND(O2151&gt;=$V$8,O2151&lt;=$W$8),1,0))/$U$9*100,2)</f>
        <v>31.44</v>
      </c>
      <c r="C2151" s="27" t="s">
        <v>1209</v>
      </c>
      <c r="D2151" s="25" t="s">
        <v>134</v>
      </c>
      <c r="E2151" s="25" t="s">
        <v>3447</v>
      </c>
      <c r="F2151" s="25" t="s">
        <v>3448</v>
      </c>
      <c r="G2151" s="39" t="s">
        <v>32</v>
      </c>
      <c r="H2151" s="39" t="s">
        <v>26</v>
      </c>
      <c r="I2151" s="25" t="n">
        <v>11</v>
      </c>
      <c r="J2151" s="25" t="n">
        <v>1</v>
      </c>
      <c r="K2151" s="25" t="n">
        <v>11</v>
      </c>
      <c r="L2151" s="29" t="n">
        <v>0.7</v>
      </c>
      <c r="M2151" s="30" t="n">
        <v>7.36</v>
      </c>
      <c r="N2151" s="29" t="n">
        <v>0.8</v>
      </c>
      <c r="O2151" s="25" t="n">
        <v>182</v>
      </c>
      <c r="P2151" s="30" t="n">
        <v>0.12</v>
      </c>
      <c r="Q2151" s="27" t="s">
        <v>4034</v>
      </c>
      <c r="R2151" s="27" t="s">
        <v>529</v>
      </c>
    </row>
    <row r="2152" customFormat="false" ht="15" hidden="false" customHeight="false" outlineLevel="0" collapsed="false">
      <c r="A2152" s="25" t="n">
        <f aca="false">IF(G2152="REJECT",COUNTIF($G$2:$G$2277,"&lt;&gt;REJECT")+1+COUNTIFS($G$2:$G$2277,"REJECT",$B$2:$B$2277,"&gt;"&amp;B2152),1+COUNTIFS($G$2:$G$2277,"&lt;&gt;REJECT",$B$2:$B$2277,"&gt;"&amp;B2152))</f>
        <v>2151</v>
      </c>
      <c r="B2152" s="26" t="n">
        <f aca="false">ROUND(($U$2*MAX(0,MIN(1,($W$2-I2152)/($W$2-$V$2)))+$U$3*MAX(0,MIN(1,($W$3-J2152)/($W$3-$V$3)))+$U$4*MAX(0,MIN(1,($W$4-K2152)/($W$4-$V$4)))+$U$5*MAX(0,MIN(1,($W$5-L2152)/($W$5-$V$5)))+$U$6*MAX(0,MIN(1,($W$6-M2152)/($W$6-$V$6)))+$U$7*MAX(0,MIN(1,($W$7-N2152)/($W$7-$V$7)))+$U$8*IF(AND(O2152&gt;=$V$8,O2152&lt;=$W$8),1,0))/$U$9*100,2)</f>
        <v>31.35</v>
      </c>
      <c r="C2152" s="27" t="s">
        <v>1509</v>
      </c>
      <c r="D2152" s="25" t="s">
        <v>134</v>
      </c>
      <c r="E2152" s="25" t="s">
        <v>3450</v>
      </c>
      <c r="F2152" s="25" t="s">
        <v>3457</v>
      </c>
      <c r="G2152" s="39" t="s">
        <v>32</v>
      </c>
      <c r="H2152" s="39" t="s">
        <v>26</v>
      </c>
      <c r="I2152" s="25" t="n">
        <v>9</v>
      </c>
      <c r="J2152" s="25" t="n">
        <v>1</v>
      </c>
      <c r="K2152" s="25" t="n">
        <v>9</v>
      </c>
      <c r="L2152" s="29" t="n">
        <v>0.68</v>
      </c>
      <c r="M2152" s="30" t="n">
        <v>1.88</v>
      </c>
      <c r="N2152" s="29" t="n">
        <v>0.68</v>
      </c>
      <c r="O2152" s="25" t="n">
        <v>184</v>
      </c>
      <c r="P2152" s="30" t="n">
        <v>15.06</v>
      </c>
      <c r="Q2152" s="27" t="s">
        <v>4042</v>
      </c>
      <c r="R2152" s="27" t="s">
        <v>529</v>
      </c>
    </row>
    <row r="2153" customFormat="false" ht="15" hidden="false" customHeight="false" outlineLevel="0" collapsed="false">
      <c r="A2153" s="25" t="n">
        <f aca="false">IF(G2153="REJECT",COUNTIF($G$2:$G$2277,"&lt;&gt;REJECT")+1+COUNTIFS($G$2:$G$2277,"REJECT",$B$2:$B$2277,"&gt;"&amp;B2153),1+COUNTIFS($G$2:$G$2277,"&lt;&gt;REJECT",$B$2:$B$2277,"&gt;"&amp;B2153))</f>
        <v>2152</v>
      </c>
      <c r="B2153" s="26" t="n">
        <f aca="false">ROUND(($U$2*MAX(0,MIN(1,($W$2-I2153)/($W$2-$V$2)))+$U$3*MAX(0,MIN(1,($W$3-J2153)/($W$3-$V$3)))+$U$4*MAX(0,MIN(1,($W$4-K2153)/($W$4-$V$4)))+$U$5*MAX(0,MIN(1,($W$5-L2153)/($W$5-$V$5)))+$U$6*MAX(0,MIN(1,($W$6-M2153)/($W$6-$V$6)))+$U$7*MAX(0,MIN(1,($W$7-N2153)/($W$7-$V$7)))+$U$8*IF(AND(O2153&gt;=$V$8,O2153&lt;=$W$8),1,0))/$U$9*100,2)</f>
        <v>31.33</v>
      </c>
      <c r="C2153" s="27" t="s">
        <v>732</v>
      </c>
      <c r="D2153" s="25" t="s">
        <v>134</v>
      </c>
      <c r="E2153" s="25" t="s">
        <v>3450</v>
      </c>
      <c r="F2153" s="25" t="s">
        <v>3448</v>
      </c>
      <c r="G2153" s="39" t="s">
        <v>32</v>
      </c>
      <c r="H2153" s="39" t="s">
        <v>26</v>
      </c>
      <c r="I2153" s="25" t="n">
        <v>10</v>
      </c>
      <c r="J2153" s="25" t="n">
        <v>1</v>
      </c>
      <c r="K2153" s="25" t="n">
        <v>10</v>
      </c>
      <c r="L2153" s="29" t="n">
        <v>0.72</v>
      </c>
      <c r="M2153" s="30" t="n">
        <v>20.4</v>
      </c>
      <c r="N2153" s="29" t="n">
        <v>0.28</v>
      </c>
      <c r="O2153" s="25" t="n">
        <v>185</v>
      </c>
      <c r="P2153" s="30" t="n">
        <v>10.06</v>
      </c>
      <c r="Q2153" s="27" t="s">
        <v>4113</v>
      </c>
      <c r="R2153" s="27" t="s">
        <v>1178</v>
      </c>
    </row>
    <row r="2154" customFormat="false" ht="15" hidden="false" customHeight="false" outlineLevel="0" collapsed="false">
      <c r="A2154" s="25" t="n">
        <f aca="false">IF(G2154="REJECT",COUNTIF($G$2:$G$2277,"&lt;&gt;REJECT")+1+COUNTIFS($G$2:$G$2277,"REJECT",$B$2:$B$2277,"&gt;"&amp;B2154),1+COUNTIFS($G$2:$G$2277,"&lt;&gt;REJECT",$B$2:$B$2277,"&gt;"&amp;B2154))</f>
        <v>2153</v>
      </c>
      <c r="B2154" s="26" t="n">
        <f aca="false">ROUND(($U$2*MAX(0,MIN(1,($W$2-I2154)/($W$2-$V$2)))+$U$3*MAX(0,MIN(1,($W$3-J2154)/($W$3-$V$3)))+$U$4*MAX(0,MIN(1,($W$4-K2154)/($W$4-$V$4)))+$U$5*MAX(0,MIN(1,($W$5-L2154)/($W$5-$V$5)))+$U$6*MAX(0,MIN(1,($W$6-M2154)/($W$6-$V$6)))+$U$7*MAX(0,MIN(1,($W$7-N2154)/($W$7-$V$7)))+$U$8*IF(AND(O2154&gt;=$V$8,O2154&lt;=$W$8),1,0))/$U$9*100,2)</f>
        <v>31.18</v>
      </c>
      <c r="C2154" s="27" t="s">
        <v>3320</v>
      </c>
      <c r="D2154" s="25" t="s">
        <v>134</v>
      </c>
      <c r="E2154" s="25" t="s">
        <v>3447</v>
      </c>
      <c r="F2154" s="25" t="s">
        <v>3448</v>
      </c>
      <c r="G2154" s="39" t="s">
        <v>32</v>
      </c>
      <c r="H2154" s="39" t="s">
        <v>26</v>
      </c>
      <c r="I2154" s="25" t="n">
        <v>12</v>
      </c>
      <c r="J2154" s="25" t="n">
        <v>1</v>
      </c>
      <c r="K2154" s="25" t="n">
        <v>12</v>
      </c>
      <c r="L2154" s="29" t="n">
        <v>0.72</v>
      </c>
      <c r="M2154" s="30" t="n">
        <v>18.11</v>
      </c>
      <c r="N2154" s="29" t="n">
        <v>0.6</v>
      </c>
      <c r="O2154" s="25" t="n">
        <v>184</v>
      </c>
      <c r="P2154" s="30" t="n">
        <v>5.17</v>
      </c>
      <c r="Q2154" s="27" t="s">
        <v>4044</v>
      </c>
      <c r="R2154" s="27" t="s">
        <v>529</v>
      </c>
    </row>
    <row r="2155" customFormat="false" ht="15" hidden="false" customHeight="false" outlineLevel="0" collapsed="false">
      <c r="A2155" s="25" t="n">
        <f aca="false">IF(G2155="REJECT",COUNTIF($G$2:$G$2277,"&lt;&gt;REJECT")+1+COUNTIFS($G$2:$G$2277,"REJECT",$B$2:$B$2277,"&gt;"&amp;B2155),1+COUNTIFS($G$2:$G$2277,"&lt;&gt;REJECT",$B$2:$B$2277,"&gt;"&amp;B2155))</f>
        <v>2154</v>
      </c>
      <c r="B2155" s="26" t="n">
        <f aca="false">ROUND(($U$2*MAX(0,MIN(1,($W$2-I2155)/($W$2-$V$2)))+$U$3*MAX(0,MIN(1,($W$3-J2155)/($W$3-$V$3)))+$U$4*MAX(0,MIN(1,($W$4-K2155)/($W$4-$V$4)))+$U$5*MAX(0,MIN(1,($W$5-L2155)/($W$5-$V$5)))+$U$6*MAX(0,MIN(1,($W$6-M2155)/($W$6-$V$6)))+$U$7*MAX(0,MIN(1,($W$7-N2155)/($W$7-$V$7)))+$U$8*IF(AND(O2155&gt;=$V$8,O2155&lt;=$W$8),1,0))/$U$9*100,2)</f>
        <v>31.14</v>
      </c>
      <c r="C2155" s="27" t="s">
        <v>1234</v>
      </c>
      <c r="D2155" s="25" t="s">
        <v>134</v>
      </c>
      <c r="E2155" s="25" t="s">
        <v>3447</v>
      </c>
      <c r="F2155" s="25" t="s">
        <v>3448</v>
      </c>
      <c r="G2155" s="39" t="s">
        <v>32</v>
      </c>
      <c r="H2155" s="39" t="s">
        <v>26</v>
      </c>
      <c r="I2155" s="25" t="n">
        <v>10</v>
      </c>
      <c r="J2155" s="25" t="n">
        <v>1</v>
      </c>
      <c r="K2155" s="25" t="n">
        <v>10</v>
      </c>
      <c r="L2155" s="29" t="n">
        <v>0.68</v>
      </c>
      <c r="M2155" s="30" t="n">
        <v>4.76</v>
      </c>
      <c r="N2155" s="29" t="n">
        <v>0.52</v>
      </c>
      <c r="O2155" s="25" t="n">
        <v>188</v>
      </c>
      <c r="P2155" s="30" t="n">
        <v>0.55</v>
      </c>
      <c r="Q2155" s="27" t="s">
        <v>4011</v>
      </c>
      <c r="R2155" s="27" t="s">
        <v>529</v>
      </c>
    </row>
    <row r="2156" customFormat="false" ht="15" hidden="false" customHeight="false" outlineLevel="0" collapsed="false">
      <c r="A2156" s="25" t="n">
        <f aca="false">IF(G2156="REJECT",COUNTIF($G$2:$G$2277,"&lt;&gt;REJECT")+1+COUNTIFS($G$2:$G$2277,"REJECT",$B$2:$B$2277,"&gt;"&amp;B2156),1+COUNTIFS($G$2:$G$2277,"&lt;&gt;REJECT",$B$2:$B$2277,"&gt;"&amp;B2156))</f>
        <v>2155</v>
      </c>
      <c r="B2156" s="26" t="n">
        <f aca="false">ROUND(($U$2*MAX(0,MIN(1,($W$2-I2156)/($W$2-$V$2)))+$U$3*MAX(0,MIN(1,($W$3-J2156)/($W$3-$V$3)))+$U$4*MAX(0,MIN(1,($W$4-K2156)/($W$4-$V$4)))+$U$5*MAX(0,MIN(1,($W$5-L2156)/($W$5-$V$5)))+$U$6*MAX(0,MIN(1,($W$6-M2156)/($W$6-$V$6)))+$U$7*MAX(0,MIN(1,($W$7-N2156)/($W$7-$V$7)))+$U$8*IF(AND(O2156&gt;=$V$8,O2156&lt;=$W$8),1,0))/$U$9*100,2)</f>
        <v>31.07</v>
      </c>
      <c r="C2156" s="27" t="s">
        <v>1215</v>
      </c>
      <c r="D2156" s="25" t="s">
        <v>134</v>
      </c>
      <c r="E2156" s="25" t="s">
        <v>3450</v>
      </c>
      <c r="F2156" s="25" t="s">
        <v>3457</v>
      </c>
      <c r="G2156" s="39" t="s">
        <v>32</v>
      </c>
      <c r="H2156" s="39" t="s">
        <v>26</v>
      </c>
      <c r="I2156" s="25" t="n">
        <v>11</v>
      </c>
      <c r="J2156" s="25" t="n">
        <v>1</v>
      </c>
      <c r="K2156" s="25" t="n">
        <v>11</v>
      </c>
      <c r="L2156" s="29" t="n">
        <v>0.69</v>
      </c>
      <c r="M2156" s="30" t="n">
        <v>9.6</v>
      </c>
      <c r="N2156" s="29" t="n">
        <v>0.44</v>
      </c>
      <c r="O2156" s="25" t="n">
        <v>186</v>
      </c>
      <c r="P2156" s="30" t="n">
        <v>14.15</v>
      </c>
      <c r="Q2156" s="27" t="s">
        <v>4034</v>
      </c>
      <c r="R2156" s="27" t="s">
        <v>529</v>
      </c>
    </row>
    <row r="2157" customFormat="false" ht="15" hidden="false" customHeight="false" outlineLevel="0" collapsed="false">
      <c r="A2157" s="25" t="n">
        <f aca="false">IF(G2157="REJECT",COUNTIF($G$2:$G$2277,"&lt;&gt;REJECT")+1+COUNTIFS($G$2:$G$2277,"REJECT",$B$2:$B$2277,"&gt;"&amp;B2157),1+COUNTIFS($G$2:$G$2277,"&lt;&gt;REJECT",$B$2:$B$2277,"&gt;"&amp;B2157))</f>
        <v>2155</v>
      </c>
      <c r="B2157" s="26" t="n">
        <f aca="false">ROUND(($U$2*MAX(0,MIN(1,($W$2-I2157)/($W$2-$V$2)))+$U$3*MAX(0,MIN(1,($W$3-J2157)/($W$3-$V$3)))+$U$4*MAX(0,MIN(1,($W$4-K2157)/($W$4-$V$4)))+$U$5*MAX(0,MIN(1,($W$5-L2157)/($W$5-$V$5)))+$U$6*MAX(0,MIN(1,($W$6-M2157)/($W$6-$V$6)))+$U$7*MAX(0,MIN(1,($W$7-N2157)/($W$7-$V$7)))+$U$8*IF(AND(O2157&gt;=$V$8,O2157&lt;=$W$8),1,0))/$U$9*100,2)</f>
        <v>31.07</v>
      </c>
      <c r="C2157" s="27" t="s">
        <v>2773</v>
      </c>
      <c r="D2157" s="25" t="s">
        <v>3459</v>
      </c>
      <c r="E2157" s="25" t="s">
        <v>3447</v>
      </c>
      <c r="F2157" s="25" t="s">
        <v>3457</v>
      </c>
      <c r="G2157" s="39" t="s">
        <v>32</v>
      </c>
      <c r="H2157" s="39" t="s">
        <v>26</v>
      </c>
      <c r="I2157" s="25" t="n">
        <v>9</v>
      </c>
      <c r="J2157" s="25" t="n">
        <v>1</v>
      </c>
      <c r="K2157" s="25" t="n">
        <v>9</v>
      </c>
      <c r="L2157" s="29" t="n">
        <v>0.74</v>
      </c>
      <c r="M2157" s="30" t="n">
        <v>23.61</v>
      </c>
      <c r="N2157" s="29" t="n">
        <v>0.84</v>
      </c>
      <c r="O2157" s="25" t="n">
        <v>184</v>
      </c>
      <c r="P2157" s="30" t="n">
        <v>-0.94</v>
      </c>
      <c r="Q2157" s="27" t="s">
        <v>4114</v>
      </c>
      <c r="R2157" s="27" t="s">
        <v>4005</v>
      </c>
    </row>
    <row r="2158" customFormat="false" ht="15" hidden="false" customHeight="false" outlineLevel="0" collapsed="false">
      <c r="A2158" s="25" t="n">
        <f aca="false">IF(G2158="REJECT",COUNTIF($G$2:$G$2277,"&lt;&gt;REJECT")+1+COUNTIFS($G$2:$G$2277,"REJECT",$B$2:$B$2277,"&gt;"&amp;B2158),1+COUNTIFS($G$2:$G$2277,"&lt;&gt;REJECT",$B$2:$B$2277,"&gt;"&amp;B2158))</f>
        <v>2157</v>
      </c>
      <c r="B2158" s="26" t="n">
        <f aca="false">ROUND(($U$2*MAX(0,MIN(1,($W$2-I2158)/($W$2-$V$2)))+$U$3*MAX(0,MIN(1,($W$3-J2158)/($W$3-$V$3)))+$U$4*MAX(0,MIN(1,($W$4-K2158)/($W$4-$V$4)))+$U$5*MAX(0,MIN(1,($W$5-L2158)/($W$5-$V$5)))+$U$6*MAX(0,MIN(1,($W$6-M2158)/($W$6-$V$6)))+$U$7*MAX(0,MIN(1,($W$7-N2158)/($W$7-$V$7)))+$U$8*IF(AND(O2158&gt;=$V$8,O2158&lt;=$W$8),1,0))/$U$9*100,2)</f>
        <v>30.95</v>
      </c>
      <c r="C2158" s="27" t="s">
        <v>1712</v>
      </c>
      <c r="D2158" s="25" t="s">
        <v>134</v>
      </c>
      <c r="E2158" s="25" t="s">
        <v>3447</v>
      </c>
      <c r="F2158" s="25" t="s">
        <v>3457</v>
      </c>
      <c r="G2158" s="39" t="s">
        <v>32</v>
      </c>
      <c r="H2158" s="39" t="s">
        <v>26</v>
      </c>
      <c r="I2158" s="25" t="n">
        <v>10</v>
      </c>
      <c r="J2158" s="25" t="n">
        <v>1</v>
      </c>
      <c r="K2158" s="25" t="n">
        <v>10</v>
      </c>
      <c r="L2158" s="29" t="n">
        <v>0.71</v>
      </c>
      <c r="M2158" s="30" t="n">
        <v>13.48</v>
      </c>
      <c r="N2158" s="29" t="n">
        <v>0.84</v>
      </c>
      <c r="O2158" s="25" t="n">
        <v>186</v>
      </c>
      <c r="P2158" s="30" t="n">
        <v>0.37</v>
      </c>
      <c r="Q2158" s="27" t="s">
        <v>4115</v>
      </c>
      <c r="R2158" s="27" t="s">
        <v>1451</v>
      </c>
    </row>
    <row r="2159" customFormat="false" ht="15" hidden="false" customHeight="false" outlineLevel="0" collapsed="false">
      <c r="A2159" s="25" t="n">
        <f aca="false">IF(G2159="REJECT",COUNTIF($G$2:$G$2277,"&lt;&gt;REJECT")+1+COUNTIFS($G$2:$G$2277,"REJECT",$B$2:$B$2277,"&gt;"&amp;B2159),1+COUNTIFS($G$2:$G$2277,"&lt;&gt;REJECT",$B$2:$B$2277,"&gt;"&amp;B2159))</f>
        <v>2158</v>
      </c>
      <c r="B2159" s="26" t="n">
        <f aca="false">ROUND(($U$2*MAX(0,MIN(1,($W$2-I2159)/($W$2-$V$2)))+$U$3*MAX(0,MIN(1,($W$3-J2159)/($W$3-$V$3)))+$U$4*MAX(0,MIN(1,($W$4-K2159)/($W$4-$V$4)))+$U$5*MAX(0,MIN(1,($W$5-L2159)/($W$5-$V$5)))+$U$6*MAX(0,MIN(1,($W$6-M2159)/($W$6-$V$6)))+$U$7*MAX(0,MIN(1,($W$7-N2159)/($W$7-$V$7)))+$U$8*IF(AND(O2159&gt;=$V$8,O2159&lt;=$W$8),1,0))/$U$9*100,2)</f>
        <v>30.93</v>
      </c>
      <c r="C2159" s="27" t="s">
        <v>1286</v>
      </c>
      <c r="D2159" s="25" t="s">
        <v>134</v>
      </c>
      <c r="E2159" s="25" t="s">
        <v>3447</v>
      </c>
      <c r="F2159" s="25" t="s">
        <v>3448</v>
      </c>
      <c r="G2159" s="39" t="s">
        <v>32</v>
      </c>
      <c r="H2159" s="39" t="s">
        <v>26</v>
      </c>
      <c r="I2159" s="25" t="n">
        <v>9</v>
      </c>
      <c r="J2159" s="25" t="n">
        <v>1</v>
      </c>
      <c r="K2159" s="25" t="n">
        <v>9</v>
      </c>
      <c r="L2159" s="29" t="n">
        <v>0.74</v>
      </c>
      <c r="M2159" s="30" t="n">
        <v>27.61</v>
      </c>
      <c r="N2159" s="29" t="n">
        <v>0.52</v>
      </c>
      <c r="O2159" s="25" t="n">
        <v>183</v>
      </c>
      <c r="P2159" s="30" t="n">
        <v>0.51</v>
      </c>
      <c r="Q2159" s="27" t="s">
        <v>4042</v>
      </c>
      <c r="R2159" s="27" t="s">
        <v>1926</v>
      </c>
    </row>
    <row r="2160" customFormat="false" ht="15" hidden="false" customHeight="false" outlineLevel="0" collapsed="false">
      <c r="A2160" s="25" t="n">
        <f aca="false">IF(G2160="REJECT",COUNTIF($G$2:$G$2277,"&lt;&gt;REJECT")+1+COUNTIFS($G$2:$G$2277,"REJECT",$B$2:$B$2277,"&gt;"&amp;B2160),1+COUNTIFS($G$2:$G$2277,"&lt;&gt;REJECT",$B$2:$B$2277,"&gt;"&amp;B2160))</f>
        <v>2159</v>
      </c>
      <c r="B2160" s="26" t="n">
        <f aca="false">ROUND(($U$2*MAX(0,MIN(1,($W$2-I2160)/($W$2-$V$2)))+$U$3*MAX(0,MIN(1,($W$3-J2160)/($W$3-$V$3)))+$U$4*MAX(0,MIN(1,($W$4-K2160)/($W$4-$V$4)))+$U$5*MAX(0,MIN(1,($W$5-L2160)/($W$5-$V$5)))+$U$6*MAX(0,MIN(1,($W$6-M2160)/($W$6-$V$6)))+$U$7*MAX(0,MIN(1,($W$7-N2160)/($W$7-$V$7)))+$U$8*IF(AND(O2160&gt;=$V$8,O2160&lt;=$W$8),1,0))/$U$9*100,2)</f>
        <v>30.92</v>
      </c>
      <c r="C2160" s="27" t="s">
        <v>395</v>
      </c>
      <c r="D2160" s="25" t="s">
        <v>3459</v>
      </c>
      <c r="E2160" s="25" t="s">
        <v>3447</v>
      </c>
      <c r="F2160" s="25" t="s">
        <v>3457</v>
      </c>
      <c r="G2160" s="39" t="s">
        <v>32</v>
      </c>
      <c r="H2160" s="39" t="s">
        <v>26</v>
      </c>
      <c r="I2160" s="25" t="n">
        <v>10</v>
      </c>
      <c r="J2160" s="25" t="n">
        <v>1</v>
      </c>
      <c r="K2160" s="25" t="n">
        <v>10</v>
      </c>
      <c r="L2160" s="29" t="n">
        <v>0.7</v>
      </c>
      <c r="M2160" s="30" t="n">
        <v>10.9</v>
      </c>
      <c r="N2160" s="29" t="n">
        <v>0.76</v>
      </c>
      <c r="O2160" s="25" t="n">
        <v>184</v>
      </c>
      <c r="P2160" s="30" t="n">
        <v>-1.25</v>
      </c>
      <c r="Q2160" s="27" t="s">
        <v>4116</v>
      </c>
      <c r="R2160" s="27" t="s">
        <v>1311</v>
      </c>
    </row>
    <row r="2161" customFormat="false" ht="15" hidden="false" customHeight="false" outlineLevel="0" collapsed="false">
      <c r="A2161" s="25" t="n">
        <f aca="false">IF(G2161="REJECT",COUNTIF($G$2:$G$2277,"&lt;&gt;REJECT")+1+COUNTIFS($G$2:$G$2277,"REJECT",$B$2:$B$2277,"&gt;"&amp;B2161),1+COUNTIFS($G$2:$G$2277,"&lt;&gt;REJECT",$B$2:$B$2277,"&gt;"&amp;B2161))</f>
        <v>2160</v>
      </c>
      <c r="B2161" s="26" t="n">
        <f aca="false">ROUND(($U$2*MAX(0,MIN(1,($W$2-I2161)/($W$2-$V$2)))+$U$3*MAX(0,MIN(1,($W$3-J2161)/($W$3-$V$3)))+$U$4*MAX(0,MIN(1,($W$4-K2161)/($W$4-$V$4)))+$U$5*MAX(0,MIN(1,($W$5-L2161)/($W$5-$V$5)))+$U$6*MAX(0,MIN(1,($W$6-M2161)/($W$6-$V$6)))+$U$7*MAX(0,MIN(1,($W$7-N2161)/($W$7-$V$7)))+$U$8*IF(AND(O2161&gt;=$V$8,O2161&lt;=$W$8),1,0))/$U$9*100,2)</f>
        <v>30.8</v>
      </c>
      <c r="C2161" s="27" t="s">
        <v>1923</v>
      </c>
      <c r="D2161" s="25" t="s">
        <v>3459</v>
      </c>
      <c r="E2161" s="25" t="s">
        <v>3450</v>
      </c>
      <c r="F2161" s="25" t="s">
        <v>3457</v>
      </c>
      <c r="G2161" s="39" t="s">
        <v>32</v>
      </c>
      <c r="H2161" s="39" t="s">
        <v>26</v>
      </c>
      <c r="I2161" s="25" t="n">
        <v>12</v>
      </c>
      <c r="J2161" s="25" t="n">
        <v>1</v>
      </c>
      <c r="K2161" s="25" t="n">
        <v>12</v>
      </c>
      <c r="L2161" s="29" t="n">
        <v>0.7</v>
      </c>
      <c r="M2161" s="30" t="n">
        <v>13.59</v>
      </c>
      <c r="N2161" s="29" t="n">
        <v>0.56</v>
      </c>
      <c r="O2161" s="25" t="n">
        <v>184</v>
      </c>
      <c r="P2161" s="30" t="n">
        <v>9.84</v>
      </c>
      <c r="Q2161" s="27" t="s">
        <v>4117</v>
      </c>
      <c r="R2161" s="27" t="s">
        <v>529</v>
      </c>
    </row>
    <row r="2162" customFormat="false" ht="15" hidden="false" customHeight="false" outlineLevel="0" collapsed="false">
      <c r="A2162" s="25" t="n">
        <f aca="false">IF(G2162="REJECT",COUNTIF($G$2:$G$2277,"&lt;&gt;REJECT")+1+COUNTIFS($G$2:$G$2277,"REJECT",$B$2:$B$2277,"&gt;"&amp;B2162),1+COUNTIFS($G$2:$G$2277,"&lt;&gt;REJECT",$B$2:$B$2277,"&gt;"&amp;B2162))</f>
        <v>2161</v>
      </c>
      <c r="B2162" s="26" t="n">
        <f aca="false">ROUND(($U$2*MAX(0,MIN(1,($W$2-I2162)/($W$2-$V$2)))+$U$3*MAX(0,MIN(1,($W$3-J2162)/($W$3-$V$3)))+$U$4*MAX(0,MIN(1,($W$4-K2162)/($W$4-$V$4)))+$U$5*MAX(0,MIN(1,($W$5-L2162)/($W$5-$V$5)))+$U$6*MAX(0,MIN(1,($W$6-M2162)/($W$6-$V$6)))+$U$7*MAX(0,MIN(1,($W$7-N2162)/($W$7-$V$7)))+$U$8*IF(AND(O2162&gt;=$V$8,O2162&lt;=$W$8),1,0))/$U$9*100,2)</f>
        <v>30.79</v>
      </c>
      <c r="C2162" s="27" t="s">
        <v>779</v>
      </c>
      <c r="D2162" s="25" t="s">
        <v>3459</v>
      </c>
      <c r="E2162" s="25" t="s">
        <v>3450</v>
      </c>
      <c r="F2162" s="25" t="s">
        <v>3448</v>
      </c>
      <c r="G2162" s="39" t="s">
        <v>32</v>
      </c>
      <c r="H2162" s="39" t="s">
        <v>26</v>
      </c>
      <c r="I2162" s="25" t="n">
        <v>10</v>
      </c>
      <c r="J2162" s="25" t="n">
        <v>1</v>
      </c>
      <c r="K2162" s="25" t="n">
        <v>10</v>
      </c>
      <c r="L2162" s="29" t="n">
        <v>0.67</v>
      </c>
      <c r="M2162" s="30" t="n">
        <v>2.47</v>
      </c>
      <c r="N2162" s="29" t="n">
        <v>0.6</v>
      </c>
      <c r="O2162" s="25" t="n">
        <v>184</v>
      </c>
      <c r="P2162" s="30" t="n">
        <v>-0.91</v>
      </c>
      <c r="Q2162" s="27" t="s">
        <v>4115</v>
      </c>
      <c r="R2162" s="27" t="s">
        <v>1076</v>
      </c>
    </row>
    <row r="2163" customFormat="false" ht="15" hidden="false" customHeight="false" outlineLevel="0" collapsed="false">
      <c r="A2163" s="25" t="n">
        <f aca="false">IF(G2163="REJECT",COUNTIF($G$2:$G$2277,"&lt;&gt;REJECT")+1+COUNTIFS($G$2:$G$2277,"REJECT",$B$2:$B$2277,"&gt;"&amp;B2163),1+COUNTIFS($G$2:$G$2277,"&lt;&gt;REJECT",$B$2:$B$2277,"&gt;"&amp;B2163))</f>
        <v>2162</v>
      </c>
      <c r="B2163" s="26" t="n">
        <f aca="false">ROUND(($U$2*MAX(0,MIN(1,($W$2-I2163)/($W$2-$V$2)))+$U$3*MAX(0,MIN(1,($W$3-J2163)/($W$3-$V$3)))+$U$4*MAX(0,MIN(1,($W$4-K2163)/($W$4-$V$4)))+$U$5*MAX(0,MIN(1,($W$5-L2163)/($W$5-$V$5)))+$U$6*MAX(0,MIN(1,($W$6-M2163)/($W$6-$V$6)))+$U$7*MAX(0,MIN(1,($W$7-N2163)/($W$7-$V$7)))+$U$8*IF(AND(O2163&gt;=$V$8,O2163&lt;=$W$8),1,0))/$U$9*100,2)</f>
        <v>30.78</v>
      </c>
      <c r="C2163" s="27" t="s">
        <v>267</v>
      </c>
      <c r="D2163" s="25" t="s">
        <v>134</v>
      </c>
      <c r="E2163" s="25" t="s">
        <v>3450</v>
      </c>
      <c r="F2163" s="25" t="s">
        <v>3448</v>
      </c>
      <c r="G2163" s="39" t="s">
        <v>32</v>
      </c>
      <c r="H2163" s="39" t="s">
        <v>26</v>
      </c>
      <c r="I2163" s="25" t="n">
        <v>12</v>
      </c>
      <c r="J2163" s="25" t="n">
        <v>1</v>
      </c>
      <c r="K2163" s="25" t="n">
        <v>12</v>
      </c>
      <c r="L2163" s="29" t="n">
        <v>0.69</v>
      </c>
      <c r="M2163" s="30" t="n">
        <v>12.52</v>
      </c>
      <c r="N2163" s="29" t="n">
        <v>0.32</v>
      </c>
      <c r="O2163" s="25" t="n">
        <v>182</v>
      </c>
      <c r="P2163" s="30" t="n">
        <v>7.52</v>
      </c>
      <c r="Q2163" s="27" t="s">
        <v>4118</v>
      </c>
      <c r="R2163" s="27" t="s">
        <v>529</v>
      </c>
    </row>
    <row r="2164" customFormat="false" ht="15" hidden="false" customHeight="false" outlineLevel="0" collapsed="false">
      <c r="A2164" s="25" t="n">
        <f aca="false">IF(G2164="REJECT",COUNTIF($G$2:$G$2277,"&lt;&gt;REJECT")+1+COUNTIFS($G$2:$G$2277,"REJECT",$B$2:$B$2277,"&gt;"&amp;B2164),1+COUNTIFS($G$2:$G$2277,"&lt;&gt;REJECT",$B$2:$B$2277,"&gt;"&amp;B2164))</f>
        <v>2163</v>
      </c>
      <c r="B2164" s="26" t="n">
        <f aca="false">ROUND(($U$2*MAX(0,MIN(1,($W$2-I2164)/($W$2-$V$2)))+$U$3*MAX(0,MIN(1,($W$3-J2164)/($W$3-$V$3)))+$U$4*MAX(0,MIN(1,($W$4-K2164)/($W$4-$V$4)))+$U$5*MAX(0,MIN(1,($W$5-L2164)/($W$5-$V$5)))+$U$6*MAX(0,MIN(1,($W$6-M2164)/($W$6-$V$6)))+$U$7*MAX(0,MIN(1,($W$7-N2164)/($W$7-$V$7)))+$U$8*IF(AND(O2164&gt;=$V$8,O2164&lt;=$W$8),1,0))/$U$9*100,2)</f>
        <v>30.76</v>
      </c>
      <c r="C2164" s="27" t="s">
        <v>1033</v>
      </c>
      <c r="D2164" s="25" t="s">
        <v>134</v>
      </c>
      <c r="E2164" s="25" t="s">
        <v>3447</v>
      </c>
      <c r="F2164" s="25" t="s">
        <v>3448</v>
      </c>
      <c r="G2164" s="39" t="s">
        <v>32</v>
      </c>
      <c r="H2164" s="39" t="s">
        <v>26</v>
      </c>
      <c r="I2164" s="25" t="n">
        <v>13</v>
      </c>
      <c r="J2164" s="25" t="n">
        <v>1</v>
      </c>
      <c r="K2164" s="25" t="n">
        <v>13</v>
      </c>
      <c r="L2164" s="29" t="n">
        <v>0.7</v>
      </c>
      <c r="M2164" s="30" t="n">
        <v>11.83</v>
      </c>
      <c r="N2164" s="29" t="n">
        <v>0.76</v>
      </c>
      <c r="O2164" s="25" t="n">
        <v>183</v>
      </c>
      <c r="P2164" s="30" t="n">
        <v>3.48</v>
      </c>
      <c r="Q2164" s="27" t="s">
        <v>4023</v>
      </c>
      <c r="R2164" s="27" t="s">
        <v>529</v>
      </c>
    </row>
    <row r="2165" customFormat="false" ht="15" hidden="false" customHeight="false" outlineLevel="0" collapsed="false">
      <c r="A2165" s="25" t="n">
        <f aca="false">IF(G2165="REJECT",COUNTIF($G$2:$G$2277,"&lt;&gt;REJECT")+1+COUNTIFS($G$2:$G$2277,"REJECT",$B$2:$B$2277,"&gt;"&amp;B2165),1+COUNTIFS($G$2:$G$2277,"&lt;&gt;REJECT",$B$2:$B$2277,"&gt;"&amp;B2165))</f>
        <v>2164</v>
      </c>
      <c r="B2165" s="26" t="n">
        <f aca="false">ROUND(($U$2*MAX(0,MIN(1,($W$2-I2165)/($W$2-$V$2)))+$U$3*MAX(0,MIN(1,($W$3-J2165)/($W$3-$V$3)))+$U$4*MAX(0,MIN(1,($W$4-K2165)/($W$4-$V$4)))+$U$5*MAX(0,MIN(1,($W$5-L2165)/($W$5-$V$5)))+$U$6*MAX(0,MIN(1,($W$6-M2165)/($W$6-$V$6)))+$U$7*MAX(0,MIN(1,($W$7-N2165)/($W$7-$V$7)))+$U$8*IF(AND(O2165&gt;=$V$8,O2165&lt;=$W$8),1,0))/$U$9*100,2)</f>
        <v>30.7</v>
      </c>
      <c r="C2165" s="27" t="s">
        <v>2039</v>
      </c>
      <c r="D2165" s="25" t="s">
        <v>134</v>
      </c>
      <c r="E2165" s="25" t="s">
        <v>3447</v>
      </c>
      <c r="F2165" s="25" t="s">
        <v>3448</v>
      </c>
      <c r="G2165" s="39" t="s">
        <v>32</v>
      </c>
      <c r="H2165" s="39" t="s">
        <v>26</v>
      </c>
      <c r="I2165" s="25" t="n">
        <v>11</v>
      </c>
      <c r="J2165" s="25" t="n">
        <v>1</v>
      </c>
      <c r="K2165" s="25" t="n">
        <v>11</v>
      </c>
      <c r="L2165" s="29" t="n">
        <v>0.74</v>
      </c>
      <c r="M2165" s="30" t="n">
        <v>27.38</v>
      </c>
      <c r="N2165" s="29" t="n">
        <v>0.68</v>
      </c>
      <c r="O2165" s="25" t="n">
        <v>186</v>
      </c>
      <c r="P2165" s="30" t="n">
        <v>0.79</v>
      </c>
      <c r="Q2165" s="27" t="s">
        <v>4119</v>
      </c>
      <c r="R2165" s="27" t="s">
        <v>1926</v>
      </c>
    </row>
    <row r="2166" customFormat="false" ht="15" hidden="false" customHeight="false" outlineLevel="0" collapsed="false">
      <c r="A2166" s="25" t="n">
        <f aca="false">IF(G2166="REJECT",COUNTIF($G$2:$G$2277,"&lt;&gt;REJECT")+1+COUNTIFS($G$2:$G$2277,"REJECT",$B$2:$B$2277,"&gt;"&amp;B2166),1+COUNTIFS($G$2:$G$2277,"&lt;&gt;REJECT",$B$2:$B$2277,"&gt;"&amp;B2166))</f>
        <v>2165</v>
      </c>
      <c r="B2166" s="26" t="n">
        <f aca="false">ROUND(($U$2*MAX(0,MIN(1,($W$2-I2166)/($W$2-$V$2)))+$U$3*MAX(0,MIN(1,($W$3-J2166)/($W$3-$V$3)))+$U$4*MAX(0,MIN(1,($W$4-K2166)/($W$4-$V$4)))+$U$5*MAX(0,MIN(1,($W$5-L2166)/($W$5-$V$5)))+$U$6*MAX(0,MIN(1,($W$6-M2166)/($W$6-$V$6)))+$U$7*MAX(0,MIN(1,($W$7-N2166)/($W$7-$V$7)))+$U$8*IF(AND(O2166&gt;=$V$8,O2166&lt;=$W$8),1,0))/$U$9*100,2)</f>
        <v>30.65</v>
      </c>
      <c r="C2166" s="27" t="s">
        <v>1639</v>
      </c>
      <c r="D2166" s="25" t="s">
        <v>3459</v>
      </c>
      <c r="E2166" s="25" t="s">
        <v>3447</v>
      </c>
      <c r="F2166" s="25" t="s">
        <v>3457</v>
      </c>
      <c r="G2166" s="39" t="s">
        <v>32</v>
      </c>
      <c r="H2166" s="39" t="s">
        <v>26</v>
      </c>
      <c r="I2166" s="25" t="n">
        <v>12</v>
      </c>
      <c r="J2166" s="25" t="n">
        <v>1</v>
      </c>
      <c r="K2166" s="25" t="n">
        <v>12</v>
      </c>
      <c r="L2166" s="29" t="n">
        <v>0.72</v>
      </c>
      <c r="M2166" s="30" t="n">
        <v>20.48</v>
      </c>
      <c r="N2166" s="29" t="n">
        <v>0.68</v>
      </c>
      <c r="O2166" s="25" t="n">
        <v>183</v>
      </c>
      <c r="P2166" s="30" t="n">
        <v>1.19</v>
      </c>
      <c r="Q2166" s="27" t="s">
        <v>4118</v>
      </c>
      <c r="R2166" s="27" t="s">
        <v>1926</v>
      </c>
    </row>
    <row r="2167" customFormat="false" ht="15" hidden="false" customHeight="false" outlineLevel="0" collapsed="false">
      <c r="A2167" s="25" t="n">
        <f aca="false">IF(G2167="REJECT",COUNTIF($G$2:$G$2277,"&lt;&gt;REJECT")+1+COUNTIFS($G$2:$G$2277,"REJECT",$B$2:$B$2277,"&gt;"&amp;B2167),1+COUNTIFS($G$2:$G$2277,"&lt;&gt;REJECT",$B$2:$B$2277,"&gt;"&amp;B2167))</f>
        <v>2166</v>
      </c>
      <c r="B2167" s="26" t="n">
        <f aca="false">ROUND(($U$2*MAX(0,MIN(1,($W$2-I2167)/($W$2-$V$2)))+$U$3*MAX(0,MIN(1,($W$3-J2167)/($W$3-$V$3)))+$U$4*MAX(0,MIN(1,($W$4-K2167)/($W$4-$V$4)))+$U$5*MAX(0,MIN(1,($W$5-L2167)/($W$5-$V$5)))+$U$6*MAX(0,MIN(1,($W$6-M2167)/($W$6-$V$6)))+$U$7*MAX(0,MIN(1,($W$7-N2167)/($W$7-$V$7)))+$U$8*IF(AND(O2167&gt;=$V$8,O2167&lt;=$W$8),1,0))/$U$9*100,2)</f>
        <v>30.64</v>
      </c>
      <c r="C2167" s="27" t="s">
        <v>131</v>
      </c>
      <c r="D2167" s="25" t="s">
        <v>134</v>
      </c>
      <c r="E2167" s="25" t="s">
        <v>3450</v>
      </c>
      <c r="F2167" s="25" t="s">
        <v>3448</v>
      </c>
      <c r="G2167" s="39" t="s">
        <v>32</v>
      </c>
      <c r="H2167" s="39" t="s">
        <v>26</v>
      </c>
      <c r="I2167" s="25" t="n">
        <v>9</v>
      </c>
      <c r="J2167" s="25" t="n">
        <v>1</v>
      </c>
      <c r="K2167" s="25" t="n">
        <v>9</v>
      </c>
      <c r="L2167" s="29" t="n">
        <v>0.71</v>
      </c>
      <c r="M2167" s="30" t="n">
        <v>17.36</v>
      </c>
      <c r="N2167" s="29" t="n">
        <v>0.64</v>
      </c>
      <c r="O2167" s="25" t="n">
        <v>187</v>
      </c>
      <c r="P2167" s="30" t="n">
        <v>13.68</v>
      </c>
      <c r="Q2167" s="27" t="s">
        <v>4111</v>
      </c>
      <c r="R2167" s="27" t="s">
        <v>529</v>
      </c>
    </row>
    <row r="2168" customFormat="false" ht="15" hidden="false" customHeight="false" outlineLevel="0" collapsed="false">
      <c r="A2168" s="25" t="n">
        <f aca="false">IF(G2168="REJECT",COUNTIF($G$2:$G$2277,"&lt;&gt;REJECT")+1+COUNTIFS($G$2:$G$2277,"REJECT",$B$2:$B$2277,"&gt;"&amp;B2168),1+COUNTIFS($G$2:$G$2277,"&lt;&gt;REJECT",$B$2:$B$2277,"&gt;"&amp;B2168))</f>
        <v>2166</v>
      </c>
      <c r="B2168" s="26" t="n">
        <f aca="false">ROUND(($U$2*MAX(0,MIN(1,($W$2-I2168)/($W$2-$V$2)))+$U$3*MAX(0,MIN(1,($W$3-J2168)/($W$3-$V$3)))+$U$4*MAX(0,MIN(1,($W$4-K2168)/($W$4-$V$4)))+$U$5*MAX(0,MIN(1,($W$5-L2168)/($W$5-$V$5)))+$U$6*MAX(0,MIN(1,($W$6-M2168)/($W$6-$V$6)))+$U$7*MAX(0,MIN(1,($W$7-N2168)/($W$7-$V$7)))+$U$8*IF(AND(O2168&gt;=$V$8,O2168&lt;=$W$8),1,0))/$U$9*100,2)</f>
        <v>30.64</v>
      </c>
      <c r="C2168" s="27" t="s">
        <v>2697</v>
      </c>
      <c r="D2168" s="25" t="s">
        <v>3459</v>
      </c>
      <c r="E2168" s="25" t="s">
        <v>3450</v>
      </c>
      <c r="F2168" s="25" t="s">
        <v>3448</v>
      </c>
      <c r="G2168" s="39" t="s">
        <v>32</v>
      </c>
      <c r="H2168" s="39" t="s">
        <v>26</v>
      </c>
      <c r="I2168" s="25" t="n">
        <v>11</v>
      </c>
      <c r="J2168" s="25" t="n">
        <v>1</v>
      </c>
      <c r="K2168" s="25" t="n">
        <v>10</v>
      </c>
      <c r="L2168" s="29" t="n">
        <v>0.72</v>
      </c>
      <c r="M2168" s="30" t="n">
        <v>19.39</v>
      </c>
      <c r="N2168" s="29" t="n">
        <v>0.8</v>
      </c>
      <c r="O2168" s="25" t="n">
        <v>183</v>
      </c>
      <c r="P2168" s="30" t="n">
        <v>7.02</v>
      </c>
      <c r="Q2168" s="27" t="s">
        <v>4120</v>
      </c>
      <c r="R2168" s="27" t="s">
        <v>1311</v>
      </c>
    </row>
    <row r="2169" customFormat="false" ht="15" hidden="false" customHeight="false" outlineLevel="0" collapsed="false">
      <c r="A2169" s="25" t="n">
        <f aca="false">IF(G2169="REJECT",COUNTIF($G$2:$G$2277,"&lt;&gt;REJECT")+1+COUNTIFS($G$2:$G$2277,"REJECT",$B$2:$B$2277,"&gt;"&amp;B2169),1+COUNTIFS($G$2:$G$2277,"&lt;&gt;REJECT",$B$2:$B$2277,"&gt;"&amp;B2169))</f>
        <v>2168</v>
      </c>
      <c r="B2169" s="26" t="n">
        <f aca="false">ROUND(($U$2*MAX(0,MIN(1,($W$2-I2169)/($W$2-$V$2)))+$U$3*MAX(0,MIN(1,($W$3-J2169)/($W$3-$V$3)))+$U$4*MAX(0,MIN(1,($W$4-K2169)/($W$4-$V$4)))+$U$5*MAX(0,MIN(1,($W$5-L2169)/($W$5-$V$5)))+$U$6*MAX(0,MIN(1,($W$6-M2169)/($W$6-$V$6)))+$U$7*MAX(0,MIN(1,($W$7-N2169)/($W$7-$V$7)))+$U$8*IF(AND(O2169&gt;=$V$8,O2169&lt;=$W$8),1,0))/$U$9*100,2)</f>
        <v>30.58</v>
      </c>
      <c r="C2169" s="27" t="s">
        <v>2361</v>
      </c>
      <c r="D2169" s="25" t="s">
        <v>134</v>
      </c>
      <c r="E2169" s="25" t="s">
        <v>3450</v>
      </c>
      <c r="F2169" s="25" t="s">
        <v>3457</v>
      </c>
      <c r="G2169" s="39" t="s">
        <v>32</v>
      </c>
      <c r="H2169" s="39" t="s">
        <v>26</v>
      </c>
      <c r="I2169" s="25" t="n">
        <v>10</v>
      </c>
      <c r="J2169" s="25" t="n">
        <v>1</v>
      </c>
      <c r="K2169" s="25" t="n">
        <v>10</v>
      </c>
      <c r="L2169" s="29" t="n">
        <v>0.71</v>
      </c>
      <c r="M2169" s="30" t="n">
        <v>21.73</v>
      </c>
      <c r="N2169" s="29" t="n">
        <v>0.24</v>
      </c>
      <c r="O2169" s="25" t="n">
        <v>196</v>
      </c>
      <c r="P2169" s="30" t="n">
        <v>10.48</v>
      </c>
      <c r="Q2169" s="27" t="s">
        <v>4121</v>
      </c>
      <c r="R2169" s="27" t="s">
        <v>1926</v>
      </c>
    </row>
    <row r="2170" customFormat="false" ht="15" hidden="false" customHeight="false" outlineLevel="0" collapsed="false">
      <c r="A2170" s="25" t="n">
        <f aca="false">IF(G2170="REJECT",COUNTIF($G$2:$G$2277,"&lt;&gt;REJECT")+1+COUNTIFS($G$2:$G$2277,"REJECT",$B$2:$B$2277,"&gt;"&amp;B2170),1+COUNTIFS($G$2:$G$2277,"&lt;&gt;REJECT",$B$2:$B$2277,"&gt;"&amp;B2170))</f>
        <v>2169</v>
      </c>
      <c r="B2170" s="26" t="n">
        <f aca="false">ROUND(($U$2*MAX(0,MIN(1,($W$2-I2170)/($W$2-$V$2)))+$U$3*MAX(0,MIN(1,($W$3-J2170)/($W$3-$V$3)))+$U$4*MAX(0,MIN(1,($W$4-K2170)/($W$4-$V$4)))+$U$5*MAX(0,MIN(1,($W$5-L2170)/($W$5-$V$5)))+$U$6*MAX(0,MIN(1,($W$6-M2170)/($W$6-$V$6)))+$U$7*MAX(0,MIN(1,($W$7-N2170)/($W$7-$V$7)))+$U$8*IF(AND(O2170&gt;=$V$8,O2170&lt;=$W$8),1,0))/$U$9*100,2)</f>
        <v>30.57</v>
      </c>
      <c r="C2170" s="27" t="s">
        <v>689</v>
      </c>
      <c r="D2170" s="25" t="s">
        <v>134</v>
      </c>
      <c r="E2170" s="25" t="s">
        <v>3450</v>
      </c>
      <c r="F2170" s="25" t="s">
        <v>3457</v>
      </c>
      <c r="G2170" s="39" t="s">
        <v>32</v>
      </c>
      <c r="H2170" s="39" t="s">
        <v>26</v>
      </c>
      <c r="I2170" s="25" t="n">
        <v>8</v>
      </c>
      <c r="J2170" s="25" t="n">
        <v>1</v>
      </c>
      <c r="K2170" s="25" t="n">
        <v>8</v>
      </c>
      <c r="L2170" s="29" t="n">
        <v>0.69</v>
      </c>
      <c r="M2170" s="30" t="n">
        <v>13.8</v>
      </c>
      <c r="N2170" s="29" t="n">
        <v>0.32</v>
      </c>
      <c r="O2170" s="25" t="n">
        <v>189</v>
      </c>
      <c r="P2170" s="30" t="n">
        <v>15.05</v>
      </c>
      <c r="Q2170" s="27" t="s">
        <v>4122</v>
      </c>
      <c r="R2170" s="27" t="s">
        <v>529</v>
      </c>
    </row>
    <row r="2171" customFormat="false" ht="15" hidden="false" customHeight="false" outlineLevel="0" collapsed="false">
      <c r="A2171" s="25" t="n">
        <f aca="false">IF(G2171="REJECT",COUNTIF($G$2:$G$2277,"&lt;&gt;REJECT")+1+COUNTIFS($G$2:$G$2277,"REJECT",$B$2:$B$2277,"&gt;"&amp;B2171),1+COUNTIFS($G$2:$G$2277,"&lt;&gt;REJECT",$B$2:$B$2277,"&gt;"&amp;B2171))</f>
        <v>2170</v>
      </c>
      <c r="B2171" s="26" t="n">
        <f aca="false">ROUND(($U$2*MAX(0,MIN(1,($W$2-I2171)/($W$2-$V$2)))+$U$3*MAX(0,MIN(1,($W$3-J2171)/($W$3-$V$3)))+$U$4*MAX(0,MIN(1,($W$4-K2171)/($W$4-$V$4)))+$U$5*MAX(0,MIN(1,($W$5-L2171)/($W$5-$V$5)))+$U$6*MAX(0,MIN(1,($W$6-M2171)/($W$6-$V$6)))+$U$7*MAX(0,MIN(1,($W$7-N2171)/($W$7-$V$7)))+$U$8*IF(AND(O2171&gt;=$V$8,O2171&lt;=$W$8),1,0))/$U$9*100,2)</f>
        <v>30.56</v>
      </c>
      <c r="C2171" s="27" t="s">
        <v>2709</v>
      </c>
      <c r="D2171" s="25" t="s">
        <v>134</v>
      </c>
      <c r="E2171" s="25" t="s">
        <v>3447</v>
      </c>
      <c r="F2171" s="25" t="s">
        <v>3457</v>
      </c>
      <c r="G2171" s="39" t="s">
        <v>32</v>
      </c>
      <c r="H2171" s="39" t="s">
        <v>26</v>
      </c>
      <c r="I2171" s="25" t="n">
        <v>12</v>
      </c>
      <c r="J2171" s="25" t="n">
        <v>1</v>
      </c>
      <c r="K2171" s="25" t="n">
        <v>12</v>
      </c>
      <c r="L2171" s="29" t="n">
        <v>0.67</v>
      </c>
      <c r="M2171" s="30" t="n">
        <v>9.82</v>
      </c>
      <c r="N2171" s="29" t="n">
        <v>0</v>
      </c>
      <c r="O2171" s="25" t="n">
        <v>182</v>
      </c>
      <c r="P2171" s="30" t="n">
        <v>5.5</v>
      </c>
      <c r="Q2171" s="27" t="s">
        <v>4017</v>
      </c>
      <c r="R2171" s="27" t="s">
        <v>529</v>
      </c>
    </row>
    <row r="2172" customFormat="false" ht="15" hidden="false" customHeight="false" outlineLevel="0" collapsed="false">
      <c r="A2172" s="25" t="n">
        <f aca="false">IF(G2172="REJECT",COUNTIF($G$2:$G$2277,"&lt;&gt;REJECT")+1+COUNTIFS($G$2:$G$2277,"REJECT",$B$2:$B$2277,"&gt;"&amp;B2172),1+COUNTIFS($G$2:$G$2277,"&lt;&gt;REJECT",$B$2:$B$2277,"&gt;"&amp;B2172))</f>
        <v>2171</v>
      </c>
      <c r="B2172" s="26" t="n">
        <f aca="false">ROUND(($U$2*MAX(0,MIN(1,($W$2-I2172)/($W$2-$V$2)))+$U$3*MAX(0,MIN(1,($W$3-J2172)/($W$3-$V$3)))+$U$4*MAX(0,MIN(1,($W$4-K2172)/($W$4-$V$4)))+$U$5*MAX(0,MIN(1,($W$5-L2172)/($W$5-$V$5)))+$U$6*MAX(0,MIN(1,($W$6-M2172)/($W$6-$V$6)))+$U$7*MAX(0,MIN(1,($W$7-N2172)/($W$7-$V$7)))+$U$8*IF(AND(O2172&gt;=$V$8,O2172&lt;=$W$8),1,0))/$U$9*100,2)</f>
        <v>30.51</v>
      </c>
      <c r="C2172" s="27" t="s">
        <v>437</v>
      </c>
      <c r="D2172" s="25" t="s">
        <v>3459</v>
      </c>
      <c r="E2172" s="25" t="s">
        <v>3447</v>
      </c>
      <c r="F2172" s="25" t="s">
        <v>3457</v>
      </c>
      <c r="G2172" s="39" t="s">
        <v>32</v>
      </c>
      <c r="H2172" s="39" t="s">
        <v>26</v>
      </c>
      <c r="I2172" s="25" t="n">
        <v>14</v>
      </c>
      <c r="J2172" s="25" t="n">
        <v>1</v>
      </c>
      <c r="K2172" s="25" t="n">
        <v>14</v>
      </c>
      <c r="L2172" s="29" t="n">
        <v>0.7</v>
      </c>
      <c r="M2172" s="30" t="n">
        <v>14.15</v>
      </c>
      <c r="N2172" s="29" t="n">
        <v>0.68</v>
      </c>
      <c r="O2172" s="25" t="n">
        <v>183</v>
      </c>
      <c r="P2172" s="30" t="n">
        <v>-0.88</v>
      </c>
      <c r="Q2172" s="27" t="s">
        <v>4123</v>
      </c>
      <c r="R2172" s="27" t="s">
        <v>529</v>
      </c>
    </row>
    <row r="2173" customFormat="false" ht="15" hidden="false" customHeight="false" outlineLevel="0" collapsed="false">
      <c r="A2173" s="25" t="n">
        <f aca="false">IF(G2173="REJECT",COUNTIF($G$2:$G$2277,"&lt;&gt;REJECT")+1+COUNTIFS($G$2:$G$2277,"REJECT",$B$2:$B$2277,"&gt;"&amp;B2173),1+COUNTIFS($G$2:$G$2277,"&lt;&gt;REJECT",$B$2:$B$2277,"&gt;"&amp;B2173))</f>
        <v>2172</v>
      </c>
      <c r="B2173" s="26" t="n">
        <f aca="false">ROUND(($U$2*MAX(0,MIN(1,($W$2-I2173)/($W$2-$V$2)))+$U$3*MAX(0,MIN(1,($W$3-J2173)/($W$3-$V$3)))+$U$4*MAX(0,MIN(1,($W$4-K2173)/($W$4-$V$4)))+$U$5*MAX(0,MIN(1,($W$5-L2173)/($W$5-$V$5)))+$U$6*MAX(0,MIN(1,($W$6-M2173)/($W$6-$V$6)))+$U$7*MAX(0,MIN(1,($W$7-N2173)/($W$7-$V$7)))+$U$8*IF(AND(O2173&gt;=$V$8,O2173&lt;=$W$8),1,0))/$U$9*100,2)</f>
        <v>30.46</v>
      </c>
      <c r="C2173" s="27" t="s">
        <v>2204</v>
      </c>
      <c r="D2173" s="25" t="s">
        <v>3459</v>
      </c>
      <c r="E2173" s="25" t="s">
        <v>3450</v>
      </c>
      <c r="F2173" s="25" t="s">
        <v>3457</v>
      </c>
      <c r="G2173" s="39" t="s">
        <v>32</v>
      </c>
      <c r="H2173" s="39" t="s">
        <v>26</v>
      </c>
      <c r="I2173" s="25" t="n">
        <v>10</v>
      </c>
      <c r="J2173" s="25" t="n">
        <v>1</v>
      </c>
      <c r="K2173" s="25" t="n">
        <v>10</v>
      </c>
      <c r="L2173" s="29" t="n">
        <v>0.7</v>
      </c>
      <c r="M2173" s="30" t="n">
        <v>12.05</v>
      </c>
      <c r="N2173" s="29" t="n">
        <v>0.92</v>
      </c>
      <c r="O2173" s="25" t="n">
        <v>184</v>
      </c>
      <c r="P2173" s="30" t="n">
        <v>-0.93</v>
      </c>
      <c r="Q2173" s="27" t="s">
        <v>4011</v>
      </c>
      <c r="R2173" s="27" t="s">
        <v>1076</v>
      </c>
    </row>
    <row r="2174" customFormat="false" ht="15" hidden="false" customHeight="false" outlineLevel="0" collapsed="false">
      <c r="A2174" s="25" t="n">
        <f aca="false">IF(G2174="REJECT",COUNTIF($G$2:$G$2277,"&lt;&gt;REJECT")+1+COUNTIFS($G$2:$G$2277,"REJECT",$B$2:$B$2277,"&gt;"&amp;B2174),1+COUNTIFS($G$2:$G$2277,"&lt;&gt;REJECT",$B$2:$B$2277,"&gt;"&amp;B2174))</f>
        <v>2173</v>
      </c>
      <c r="B2174" s="26" t="n">
        <f aca="false">ROUND(($U$2*MAX(0,MIN(1,($W$2-I2174)/($W$2-$V$2)))+$U$3*MAX(0,MIN(1,($W$3-J2174)/($W$3-$V$3)))+$U$4*MAX(0,MIN(1,($W$4-K2174)/($W$4-$V$4)))+$U$5*MAX(0,MIN(1,($W$5-L2174)/($W$5-$V$5)))+$U$6*MAX(0,MIN(1,($W$6-M2174)/($W$6-$V$6)))+$U$7*MAX(0,MIN(1,($W$7-N2174)/($W$7-$V$7)))+$U$8*IF(AND(O2174&gt;=$V$8,O2174&lt;=$W$8),1,0))/$U$9*100,2)</f>
        <v>30.44</v>
      </c>
      <c r="C2174" s="27" t="s">
        <v>108</v>
      </c>
      <c r="D2174" s="25" t="s">
        <v>134</v>
      </c>
      <c r="E2174" s="25" t="s">
        <v>3447</v>
      </c>
      <c r="F2174" s="25" t="s">
        <v>3448</v>
      </c>
      <c r="G2174" s="39" t="s">
        <v>32</v>
      </c>
      <c r="H2174" s="39" t="s">
        <v>26</v>
      </c>
      <c r="I2174" s="25" t="n">
        <v>12</v>
      </c>
      <c r="J2174" s="25" t="n">
        <v>1</v>
      </c>
      <c r="K2174" s="25" t="n">
        <v>12</v>
      </c>
      <c r="L2174" s="29" t="n">
        <v>0.73</v>
      </c>
      <c r="M2174" s="30" t="n">
        <v>23.78</v>
      </c>
      <c r="N2174" s="29" t="n">
        <v>0.84</v>
      </c>
      <c r="O2174" s="25" t="n">
        <v>185</v>
      </c>
      <c r="P2174" s="30" t="n">
        <v>3.9</v>
      </c>
      <c r="Q2174" s="27" t="s">
        <v>4124</v>
      </c>
      <c r="R2174" s="27" t="s">
        <v>1926</v>
      </c>
    </row>
    <row r="2175" customFormat="false" ht="15" hidden="false" customHeight="false" outlineLevel="0" collapsed="false">
      <c r="A2175" s="25" t="n">
        <f aca="false">IF(G2175="REJECT",COUNTIF($G$2:$G$2277,"&lt;&gt;REJECT")+1+COUNTIFS($G$2:$G$2277,"REJECT",$B$2:$B$2277,"&gt;"&amp;B2175),1+COUNTIFS($G$2:$G$2277,"&lt;&gt;REJECT",$B$2:$B$2277,"&gt;"&amp;B2175))</f>
        <v>2174</v>
      </c>
      <c r="B2175" s="26" t="n">
        <f aca="false">ROUND(($U$2*MAX(0,MIN(1,($W$2-I2175)/($W$2-$V$2)))+$U$3*MAX(0,MIN(1,($W$3-J2175)/($W$3-$V$3)))+$U$4*MAX(0,MIN(1,($W$4-K2175)/($W$4-$V$4)))+$U$5*MAX(0,MIN(1,($W$5-L2175)/($W$5-$V$5)))+$U$6*MAX(0,MIN(1,($W$6-M2175)/($W$6-$V$6)))+$U$7*MAX(0,MIN(1,($W$7-N2175)/($W$7-$V$7)))+$U$8*IF(AND(O2175&gt;=$V$8,O2175&lt;=$W$8),1,0))/$U$9*100,2)</f>
        <v>30.42</v>
      </c>
      <c r="C2175" s="27" t="s">
        <v>1813</v>
      </c>
      <c r="D2175" s="25" t="s">
        <v>134</v>
      </c>
      <c r="E2175" s="25" t="s">
        <v>3447</v>
      </c>
      <c r="F2175" s="25" t="s">
        <v>3457</v>
      </c>
      <c r="G2175" s="39" t="s">
        <v>32</v>
      </c>
      <c r="H2175" s="39" t="s">
        <v>26</v>
      </c>
      <c r="I2175" s="25" t="n">
        <v>13</v>
      </c>
      <c r="J2175" s="25" t="n">
        <v>1</v>
      </c>
      <c r="K2175" s="25" t="n">
        <v>13</v>
      </c>
      <c r="L2175" s="29" t="n">
        <v>0.72</v>
      </c>
      <c r="M2175" s="30" t="n">
        <v>19.49</v>
      </c>
      <c r="N2175" s="29" t="n">
        <v>0.92</v>
      </c>
      <c r="O2175" s="25" t="n">
        <v>185</v>
      </c>
      <c r="P2175" s="30" t="n">
        <v>-0.52</v>
      </c>
      <c r="Q2175" s="27" t="s">
        <v>4023</v>
      </c>
      <c r="R2175" s="27" t="s">
        <v>529</v>
      </c>
    </row>
    <row r="2176" customFormat="false" ht="15" hidden="false" customHeight="false" outlineLevel="0" collapsed="false">
      <c r="A2176" s="25" t="n">
        <f aca="false">IF(G2176="REJECT",COUNTIF($G$2:$G$2277,"&lt;&gt;REJECT")+1+COUNTIFS($G$2:$G$2277,"REJECT",$B$2:$B$2277,"&gt;"&amp;B2176),1+COUNTIFS($G$2:$G$2277,"&lt;&gt;REJECT",$B$2:$B$2277,"&gt;"&amp;B2176))</f>
        <v>2175</v>
      </c>
      <c r="B2176" s="26" t="n">
        <f aca="false">ROUND(($U$2*MAX(0,MIN(1,($W$2-I2176)/($W$2-$V$2)))+$U$3*MAX(0,MIN(1,($W$3-J2176)/($W$3-$V$3)))+$U$4*MAX(0,MIN(1,($W$4-K2176)/($W$4-$V$4)))+$U$5*MAX(0,MIN(1,($W$5-L2176)/($W$5-$V$5)))+$U$6*MAX(0,MIN(1,($W$6-M2176)/($W$6-$V$6)))+$U$7*MAX(0,MIN(1,($W$7-N2176)/($W$7-$V$7)))+$U$8*IF(AND(O2176&gt;=$V$8,O2176&lt;=$W$8),1,0))/$U$9*100,2)</f>
        <v>30.39</v>
      </c>
      <c r="C2176" s="27" t="s">
        <v>1854</v>
      </c>
      <c r="D2176" s="25" t="s">
        <v>134</v>
      </c>
      <c r="E2176" s="25" t="s">
        <v>3450</v>
      </c>
      <c r="F2176" s="25" t="s">
        <v>3448</v>
      </c>
      <c r="G2176" s="39" t="s">
        <v>32</v>
      </c>
      <c r="H2176" s="39" t="s">
        <v>26</v>
      </c>
      <c r="I2176" s="25" t="n">
        <v>10</v>
      </c>
      <c r="J2176" s="25" t="n">
        <v>1</v>
      </c>
      <c r="K2176" s="25" t="n">
        <v>10</v>
      </c>
      <c r="L2176" s="29" t="n">
        <v>0.68</v>
      </c>
      <c r="M2176" s="30" t="n">
        <v>14.48</v>
      </c>
      <c r="N2176" s="29" t="n">
        <v>0</v>
      </c>
      <c r="O2176" s="25" t="n">
        <v>182</v>
      </c>
      <c r="P2176" s="30" t="n">
        <v>17.34</v>
      </c>
      <c r="Q2176" s="27" t="s">
        <v>4125</v>
      </c>
      <c r="R2176" s="27" t="s">
        <v>529</v>
      </c>
    </row>
    <row r="2177" customFormat="false" ht="15" hidden="false" customHeight="false" outlineLevel="0" collapsed="false">
      <c r="A2177" s="25" t="n">
        <f aca="false">IF(G2177="REJECT",COUNTIF($G$2:$G$2277,"&lt;&gt;REJECT")+1+COUNTIFS($G$2:$G$2277,"REJECT",$B$2:$B$2277,"&gt;"&amp;B2177),1+COUNTIFS($G$2:$G$2277,"&lt;&gt;REJECT",$B$2:$B$2277,"&gt;"&amp;B2177))</f>
        <v>2176</v>
      </c>
      <c r="B2177" s="26" t="n">
        <f aca="false">ROUND(($U$2*MAX(0,MIN(1,($W$2-I2177)/($W$2-$V$2)))+$U$3*MAX(0,MIN(1,($W$3-J2177)/($W$3-$V$3)))+$U$4*MAX(0,MIN(1,($W$4-K2177)/($W$4-$V$4)))+$U$5*MAX(0,MIN(1,($W$5-L2177)/($W$5-$V$5)))+$U$6*MAX(0,MIN(1,($W$6-M2177)/($W$6-$V$6)))+$U$7*MAX(0,MIN(1,($W$7-N2177)/($W$7-$V$7)))+$U$8*IF(AND(O2177&gt;=$V$8,O2177&lt;=$W$8),1,0))/$U$9*100,2)</f>
        <v>30.37</v>
      </c>
      <c r="C2177" s="27" t="s">
        <v>1406</v>
      </c>
      <c r="D2177" s="25" t="s">
        <v>134</v>
      </c>
      <c r="E2177" s="25" t="s">
        <v>3450</v>
      </c>
      <c r="F2177" s="25" t="s">
        <v>3457</v>
      </c>
      <c r="G2177" s="39" t="s">
        <v>32</v>
      </c>
      <c r="H2177" s="39" t="s">
        <v>26</v>
      </c>
      <c r="I2177" s="25" t="n">
        <v>11</v>
      </c>
      <c r="J2177" s="25" t="n">
        <v>1</v>
      </c>
      <c r="K2177" s="25" t="n">
        <v>11</v>
      </c>
      <c r="L2177" s="29" t="n">
        <v>0.69</v>
      </c>
      <c r="M2177" s="30" t="n">
        <v>12.99</v>
      </c>
      <c r="N2177" s="29" t="n">
        <v>0.52</v>
      </c>
      <c r="O2177" s="25" t="n">
        <v>183</v>
      </c>
      <c r="P2177" s="30" t="n">
        <v>1.97</v>
      </c>
      <c r="Q2177" s="27" t="s">
        <v>4078</v>
      </c>
      <c r="R2177" s="27" t="s">
        <v>1409</v>
      </c>
    </row>
    <row r="2178" customFormat="false" ht="15" hidden="false" customHeight="false" outlineLevel="0" collapsed="false">
      <c r="A2178" s="25" t="n">
        <f aca="false">IF(G2178="REJECT",COUNTIF($G$2:$G$2277,"&lt;&gt;REJECT")+1+COUNTIFS($G$2:$G$2277,"REJECT",$B$2:$B$2277,"&gt;"&amp;B2178),1+COUNTIFS($G$2:$G$2277,"&lt;&gt;REJECT",$B$2:$B$2277,"&gt;"&amp;B2178))</f>
        <v>2177</v>
      </c>
      <c r="B2178" s="26" t="n">
        <f aca="false">ROUND(($U$2*MAX(0,MIN(1,($W$2-I2178)/($W$2-$V$2)))+$U$3*MAX(0,MIN(1,($W$3-J2178)/($W$3-$V$3)))+$U$4*MAX(0,MIN(1,($W$4-K2178)/($W$4-$V$4)))+$U$5*MAX(0,MIN(1,($W$5-L2178)/($W$5-$V$5)))+$U$6*MAX(0,MIN(1,($W$6-M2178)/($W$6-$V$6)))+$U$7*MAX(0,MIN(1,($W$7-N2178)/($W$7-$V$7)))+$U$8*IF(AND(O2178&gt;=$V$8,O2178&lt;=$W$8),1,0))/$U$9*100,2)</f>
        <v>30.35</v>
      </c>
      <c r="C2178" s="27" t="s">
        <v>2773</v>
      </c>
      <c r="D2178" s="25" t="s">
        <v>3459</v>
      </c>
      <c r="E2178" s="25" t="s">
        <v>3450</v>
      </c>
      <c r="F2178" s="25" t="s">
        <v>3457</v>
      </c>
      <c r="G2178" s="39" t="s">
        <v>32</v>
      </c>
      <c r="H2178" s="39" t="s">
        <v>26</v>
      </c>
      <c r="I2178" s="25" t="n">
        <v>10</v>
      </c>
      <c r="J2178" s="25" t="n">
        <v>1</v>
      </c>
      <c r="K2178" s="25" t="n">
        <v>10</v>
      </c>
      <c r="L2178" s="29" t="n">
        <v>0.72</v>
      </c>
      <c r="M2178" s="30" t="n">
        <v>27.92</v>
      </c>
      <c r="N2178" s="29" t="n">
        <v>0.12</v>
      </c>
      <c r="O2178" s="25" t="n">
        <v>183</v>
      </c>
      <c r="P2178" s="30" t="n">
        <v>-0.21</v>
      </c>
      <c r="Q2178" s="27" t="s">
        <v>4126</v>
      </c>
      <c r="R2178" s="27" t="s">
        <v>4127</v>
      </c>
    </row>
    <row r="2179" customFormat="false" ht="15" hidden="false" customHeight="false" outlineLevel="0" collapsed="false">
      <c r="A2179" s="25" t="n">
        <f aca="false">IF(G2179="REJECT",COUNTIF($G$2:$G$2277,"&lt;&gt;REJECT")+1+COUNTIFS($G$2:$G$2277,"REJECT",$B$2:$B$2277,"&gt;"&amp;B2179),1+COUNTIFS($G$2:$G$2277,"&lt;&gt;REJECT",$B$2:$B$2277,"&gt;"&amp;B2179))</f>
        <v>2178</v>
      </c>
      <c r="B2179" s="26" t="n">
        <f aca="false">ROUND(($U$2*MAX(0,MIN(1,($W$2-I2179)/($W$2-$V$2)))+$U$3*MAX(0,MIN(1,($W$3-J2179)/($W$3-$V$3)))+$U$4*MAX(0,MIN(1,($W$4-K2179)/($W$4-$V$4)))+$U$5*MAX(0,MIN(1,($W$5-L2179)/($W$5-$V$5)))+$U$6*MAX(0,MIN(1,($W$6-M2179)/($W$6-$V$6)))+$U$7*MAX(0,MIN(1,($W$7-N2179)/($W$7-$V$7)))+$U$8*IF(AND(O2179&gt;=$V$8,O2179&lt;=$W$8),1,0))/$U$9*100,2)</f>
        <v>30.25</v>
      </c>
      <c r="C2179" s="27" t="s">
        <v>643</v>
      </c>
      <c r="D2179" s="25" t="s">
        <v>134</v>
      </c>
      <c r="E2179" s="25" t="s">
        <v>3450</v>
      </c>
      <c r="F2179" s="25" t="s">
        <v>3457</v>
      </c>
      <c r="G2179" s="39" t="s">
        <v>32</v>
      </c>
      <c r="H2179" s="39" t="s">
        <v>26</v>
      </c>
      <c r="I2179" s="25" t="n">
        <v>9</v>
      </c>
      <c r="J2179" s="25" t="n">
        <v>1</v>
      </c>
      <c r="K2179" s="25" t="n">
        <v>9</v>
      </c>
      <c r="L2179" s="29" t="n">
        <v>0.7</v>
      </c>
      <c r="M2179" s="30" t="n">
        <v>12.92</v>
      </c>
      <c r="N2179" s="29" t="n">
        <v>0.96</v>
      </c>
      <c r="O2179" s="25" t="n">
        <v>187</v>
      </c>
      <c r="P2179" s="30" t="n">
        <v>4.35</v>
      </c>
      <c r="Q2179" s="27" t="s">
        <v>4128</v>
      </c>
      <c r="R2179" s="27" t="s">
        <v>1451</v>
      </c>
    </row>
    <row r="2180" customFormat="false" ht="15" hidden="false" customHeight="false" outlineLevel="0" collapsed="false">
      <c r="A2180" s="25" t="n">
        <f aca="false">IF(G2180="REJECT",COUNTIF($G$2:$G$2277,"&lt;&gt;REJECT")+1+COUNTIFS($G$2:$G$2277,"REJECT",$B$2:$B$2277,"&gt;"&amp;B2180),1+COUNTIFS($G$2:$G$2277,"&lt;&gt;REJECT",$B$2:$B$2277,"&gt;"&amp;B2180))</f>
        <v>2179</v>
      </c>
      <c r="B2180" s="26" t="n">
        <f aca="false">ROUND(($U$2*MAX(0,MIN(1,($W$2-I2180)/($W$2-$V$2)))+$U$3*MAX(0,MIN(1,($W$3-J2180)/($W$3-$V$3)))+$U$4*MAX(0,MIN(1,($W$4-K2180)/($W$4-$V$4)))+$U$5*MAX(0,MIN(1,($W$5-L2180)/($W$5-$V$5)))+$U$6*MAX(0,MIN(1,($W$6-M2180)/($W$6-$V$6)))+$U$7*MAX(0,MIN(1,($W$7-N2180)/($W$7-$V$7)))+$U$8*IF(AND(O2180&gt;=$V$8,O2180&lt;=$W$8),1,0))/$U$9*100,2)</f>
        <v>30.21</v>
      </c>
      <c r="C2180" s="27" t="s">
        <v>624</v>
      </c>
      <c r="D2180" s="25" t="s">
        <v>134</v>
      </c>
      <c r="E2180" s="25" t="s">
        <v>3450</v>
      </c>
      <c r="F2180" s="25" t="s">
        <v>3457</v>
      </c>
      <c r="G2180" s="39" t="s">
        <v>32</v>
      </c>
      <c r="H2180" s="39" t="s">
        <v>26</v>
      </c>
      <c r="I2180" s="25" t="n">
        <v>7</v>
      </c>
      <c r="J2180" s="25" t="n">
        <v>2</v>
      </c>
      <c r="K2180" s="25" t="n">
        <v>7</v>
      </c>
      <c r="L2180" s="29" t="n">
        <v>0.75</v>
      </c>
      <c r="M2180" s="30" t="n">
        <v>10.23</v>
      </c>
      <c r="N2180" s="29" t="n">
        <v>0.8</v>
      </c>
      <c r="O2180" s="25" t="n">
        <v>182</v>
      </c>
      <c r="P2180" s="30" t="n">
        <v>2.58</v>
      </c>
      <c r="Q2180" s="27" t="s">
        <v>4129</v>
      </c>
      <c r="R2180" s="27" t="s">
        <v>4130</v>
      </c>
    </row>
    <row r="2181" customFormat="false" ht="15" hidden="false" customHeight="false" outlineLevel="0" collapsed="false">
      <c r="A2181" s="25" t="n">
        <f aca="false">IF(G2181="REJECT",COUNTIF($G$2:$G$2277,"&lt;&gt;REJECT")+1+COUNTIFS($G$2:$G$2277,"REJECT",$B$2:$B$2277,"&gt;"&amp;B2181),1+COUNTIFS($G$2:$G$2277,"&lt;&gt;REJECT",$B$2:$B$2277,"&gt;"&amp;B2181))</f>
        <v>2180</v>
      </c>
      <c r="B2181" s="26" t="n">
        <f aca="false">ROUND(($U$2*MAX(0,MIN(1,($W$2-I2181)/($W$2-$V$2)))+$U$3*MAX(0,MIN(1,($W$3-J2181)/($W$3-$V$3)))+$U$4*MAX(0,MIN(1,($W$4-K2181)/($W$4-$V$4)))+$U$5*MAX(0,MIN(1,($W$5-L2181)/($W$5-$V$5)))+$U$6*MAX(0,MIN(1,($W$6-M2181)/($W$6-$V$6)))+$U$7*MAX(0,MIN(1,($W$7-N2181)/($W$7-$V$7)))+$U$8*IF(AND(O2181&gt;=$V$8,O2181&lt;=$W$8),1,0))/$U$9*100,2)</f>
        <v>30.15</v>
      </c>
      <c r="C2181" s="27" t="s">
        <v>2697</v>
      </c>
      <c r="D2181" s="25" t="s">
        <v>3459</v>
      </c>
      <c r="E2181" s="25" t="s">
        <v>3447</v>
      </c>
      <c r="F2181" s="25" t="s">
        <v>3457</v>
      </c>
      <c r="G2181" s="39" t="s">
        <v>32</v>
      </c>
      <c r="H2181" s="39" t="s">
        <v>26</v>
      </c>
      <c r="I2181" s="25" t="n">
        <v>10</v>
      </c>
      <c r="J2181" s="25" t="n">
        <v>1</v>
      </c>
      <c r="K2181" s="25" t="n">
        <v>9</v>
      </c>
      <c r="L2181" s="29" t="n">
        <v>0.71</v>
      </c>
      <c r="M2181" s="30" t="n">
        <v>21.89</v>
      </c>
      <c r="N2181" s="29" t="n">
        <v>0.48</v>
      </c>
      <c r="O2181" s="25" t="n">
        <v>184</v>
      </c>
      <c r="P2181" s="30" t="n">
        <v>-1.19</v>
      </c>
      <c r="Q2181" s="27" t="s">
        <v>4131</v>
      </c>
      <c r="R2181" s="27" t="s">
        <v>1926</v>
      </c>
    </row>
    <row r="2182" customFormat="false" ht="15" hidden="false" customHeight="false" outlineLevel="0" collapsed="false">
      <c r="A2182" s="25" t="n">
        <f aca="false">IF(G2182="REJECT",COUNTIF($G$2:$G$2277,"&lt;&gt;REJECT")+1+COUNTIFS($G$2:$G$2277,"REJECT",$B$2:$B$2277,"&gt;"&amp;B2182),1+COUNTIFS($G$2:$G$2277,"&lt;&gt;REJECT",$B$2:$B$2277,"&gt;"&amp;B2182))</f>
        <v>2181</v>
      </c>
      <c r="B2182" s="26" t="n">
        <f aca="false">ROUND(($U$2*MAX(0,MIN(1,($W$2-I2182)/($W$2-$V$2)))+$U$3*MAX(0,MIN(1,($W$3-J2182)/($W$3-$V$3)))+$U$4*MAX(0,MIN(1,($W$4-K2182)/($W$4-$V$4)))+$U$5*MAX(0,MIN(1,($W$5-L2182)/($W$5-$V$5)))+$U$6*MAX(0,MIN(1,($W$6-M2182)/($W$6-$V$6)))+$U$7*MAX(0,MIN(1,($W$7-N2182)/($W$7-$V$7)))+$U$8*IF(AND(O2182&gt;=$V$8,O2182&lt;=$W$8),1,0))/$U$9*100,2)</f>
        <v>30.13</v>
      </c>
      <c r="C2182" s="27" t="s">
        <v>2703</v>
      </c>
      <c r="D2182" s="25" t="s">
        <v>134</v>
      </c>
      <c r="E2182" s="25" t="s">
        <v>3450</v>
      </c>
      <c r="F2182" s="25" t="s">
        <v>3457</v>
      </c>
      <c r="G2182" s="39" t="s">
        <v>32</v>
      </c>
      <c r="H2182" s="39" t="s">
        <v>26</v>
      </c>
      <c r="I2182" s="25" t="n">
        <v>11</v>
      </c>
      <c r="J2182" s="25" t="n">
        <v>1</v>
      </c>
      <c r="K2182" s="25" t="n">
        <v>11</v>
      </c>
      <c r="L2182" s="29" t="n">
        <v>0.69</v>
      </c>
      <c r="M2182" s="30" t="n">
        <v>19.62</v>
      </c>
      <c r="N2182" s="29" t="n">
        <v>0</v>
      </c>
      <c r="O2182" s="25" t="n">
        <v>185</v>
      </c>
      <c r="P2182" s="30" t="n">
        <v>6.44</v>
      </c>
      <c r="Q2182" s="27" t="s">
        <v>4034</v>
      </c>
      <c r="R2182" s="27" t="s">
        <v>529</v>
      </c>
    </row>
    <row r="2183" customFormat="false" ht="15" hidden="false" customHeight="false" outlineLevel="0" collapsed="false">
      <c r="A2183" s="25" t="n">
        <f aca="false">IF(G2183="REJECT",COUNTIF($G$2:$G$2277,"&lt;&gt;REJECT")+1+COUNTIFS($G$2:$G$2277,"REJECT",$B$2:$B$2277,"&gt;"&amp;B2183),1+COUNTIFS($G$2:$G$2277,"&lt;&gt;REJECT",$B$2:$B$2277,"&gt;"&amp;B2183))</f>
        <v>2181</v>
      </c>
      <c r="B2183" s="26" t="n">
        <f aca="false">ROUND(($U$2*MAX(0,MIN(1,($W$2-I2183)/($W$2-$V$2)))+$U$3*MAX(0,MIN(1,($W$3-J2183)/($W$3-$V$3)))+$U$4*MAX(0,MIN(1,($W$4-K2183)/($W$4-$V$4)))+$U$5*MAX(0,MIN(1,($W$5-L2183)/($W$5-$V$5)))+$U$6*MAX(0,MIN(1,($W$6-M2183)/($W$6-$V$6)))+$U$7*MAX(0,MIN(1,($W$7-N2183)/($W$7-$V$7)))+$U$8*IF(AND(O2183&gt;=$V$8,O2183&lt;=$W$8),1,0))/$U$9*100,2)</f>
        <v>30.13</v>
      </c>
      <c r="C2183" s="27" t="s">
        <v>2773</v>
      </c>
      <c r="D2183" s="25" t="s">
        <v>134</v>
      </c>
      <c r="E2183" s="25" t="s">
        <v>3450</v>
      </c>
      <c r="F2183" s="25" t="s">
        <v>3457</v>
      </c>
      <c r="G2183" s="39" t="s">
        <v>32</v>
      </c>
      <c r="H2183" s="39" t="s">
        <v>26</v>
      </c>
      <c r="I2183" s="25" t="n">
        <v>15</v>
      </c>
      <c r="J2183" s="25" t="n">
        <v>1</v>
      </c>
      <c r="K2183" s="25" t="n">
        <v>15</v>
      </c>
      <c r="L2183" s="29" t="n">
        <v>0.7</v>
      </c>
      <c r="M2183" s="30" t="n">
        <v>13.63</v>
      </c>
      <c r="N2183" s="29" t="n">
        <v>0.96</v>
      </c>
      <c r="O2183" s="25" t="n">
        <v>186</v>
      </c>
      <c r="P2183" s="30" t="n">
        <v>-0.92</v>
      </c>
      <c r="Q2183" s="27" t="s">
        <v>4132</v>
      </c>
      <c r="R2183" s="27" t="s">
        <v>1076</v>
      </c>
    </row>
    <row r="2184" customFormat="false" ht="15" hidden="false" customHeight="false" outlineLevel="0" collapsed="false">
      <c r="A2184" s="25" t="n">
        <f aca="false">IF(G2184="REJECT",COUNTIF($G$2:$G$2277,"&lt;&gt;REJECT")+1+COUNTIFS($G$2:$G$2277,"REJECT",$B$2:$B$2277,"&gt;"&amp;B2184),1+COUNTIFS($G$2:$G$2277,"&lt;&gt;REJECT",$B$2:$B$2277,"&gt;"&amp;B2184))</f>
        <v>2183</v>
      </c>
      <c r="B2184" s="26" t="n">
        <f aca="false">ROUND(($U$2*MAX(0,MIN(1,($W$2-I2184)/($W$2-$V$2)))+$U$3*MAX(0,MIN(1,($W$3-J2184)/($W$3-$V$3)))+$U$4*MAX(0,MIN(1,($W$4-K2184)/($W$4-$V$4)))+$U$5*MAX(0,MIN(1,($W$5-L2184)/($W$5-$V$5)))+$U$6*MAX(0,MIN(1,($W$6-M2184)/($W$6-$V$6)))+$U$7*MAX(0,MIN(1,($W$7-N2184)/($W$7-$V$7)))+$U$8*IF(AND(O2184&gt;=$V$8,O2184&lt;=$W$8),1,0))/$U$9*100,2)</f>
        <v>30.11</v>
      </c>
      <c r="C2184" s="27" t="s">
        <v>3225</v>
      </c>
      <c r="D2184" s="25" t="s">
        <v>3459</v>
      </c>
      <c r="E2184" s="25" t="s">
        <v>3450</v>
      </c>
      <c r="F2184" s="25" t="s">
        <v>3457</v>
      </c>
      <c r="G2184" s="39" t="s">
        <v>32</v>
      </c>
      <c r="H2184" s="39" t="s">
        <v>26</v>
      </c>
      <c r="I2184" s="25" t="n">
        <v>9</v>
      </c>
      <c r="J2184" s="25" t="n">
        <v>1</v>
      </c>
      <c r="K2184" s="25" t="n">
        <v>9</v>
      </c>
      <c r="L2184" s="29" t="n">
        <v>0.68</v>
      </c>
      <c r="M2184" s="30" t="n">
        <v>14.55</v>
      </c>
      <c r="N2184" s="29" t="n">
        <v>0.16</v>
      </c>
      <c r="O2184" s="25" t="n">
        <v>181</v>
      </c>
      <c r="P2184" s="30" t="n">
        <v>3.51</v>
      </c>
      <c r="Q2184" s="27" t="s">
        <v>4062</v>
      </c>
      <c r="R2184" s="27" t="s">
        <v>529</v>
      </c>
    </row>
    <row r="2185" customFormat="false" ht="15" hidden="false" customHeight="false" outlineLevel="0" collapsed="false">
      <c r="A2185" s="25" t="n">
        <f aca="false">IF(G2185="REJECT",COUNTIF($G$2:$G$2277,"&lt;&gt;REJECT")+1+COUNTIFS($G$2:$G$2277,"REJECT",$B$2:$B$2277,"&gt;"&amp;B2185),1+COUNTIFS($G$2:$G$2277,"&lt;&gt;REJECT",$B$2:$B$2277,"&gt;"&amp;B2185))</f>
        <v>2184</v>
      </c>
      <c r="B2185" s="26" t="n">
        <f aca="false">ROUND(($U$2*MAX(0,MIN(1,($W$2-I2185)/($W$2-$V$2)))+$U$3*MAX(0,MIN(1,($W$3-J2185)/($W$3-$V$3)))+$U$4*MAX(0,MIN(1,($W$4-K2185)/($W$4-$V$4)))+$U$5*MAX(0,MIN(1,($W$5-L2185)/($W$5-$V$5)))+$U$6*MAX(0,MIN(1,($W$6-M2185)/($W$6-$V$6)))+$U$7*MAX(0,MIN(1,($W$7-N2185)/($W$7-$V$7)))+$U$8*IF(AND(O2185&gt;=$V$8,O2185&lt;=$W$8),1,0))/$U$9*100,2)</f>
        <v>30.08</v>
      </c>
      <c r="C2185" s="27" t="s">
        <v>1955</v>
      </c>
      <c r="D2185" s="25" t="s">
        <v>134</v>
      </c>
      <c r="E2185" s="25" t="s">
        <v>3447</v>
      </c>
      <c r="F2185" s="25" t="s">
        <v>3448</v>
      </c>
      <c r="G2185" s="39" t="s">
        <v>32</v>
      </c>
      <c r="H2185" s="39" t="s">
        <v>26</v>
      </c>
      <c r="I2185" s="25" t="n">
        <v>9</v>
      </c>
      <c r="J2185" s="25" t="n">
        <v>1</v>
      </c>
      <c r="K2185" s="25" t="n">
        <v>9</v>
      </c>
      <c r="L2185" s="29" t="n">
        <v>0.71</v>
      </c>
      <c r="M2185" s="30" t="n">
        <v>21.91</v>
      </c>
      <c r="N2185" s="29" t="n">
        <v>0.52</v>
      </c>
      <c r="O2185" s="25" t="n">
        <v>187</v>
      </c>
      <c r="P2185" s="30" t="n">
        <v>6.13</v>
      </c>
      <c r="Q2185" s="27" t="s">
        <v>4030</v>
      </c>
      <c r="R2185" s="27" t="s">
        <v>1926</v>
      </c>
    </row>
    <row r="2186" customFormat="false" ht="15" hidden="false" customHeight="false" outlineLevel="0" collapsed="false">
      <c r="A2186" s="25" t="n">
        <f aca="false">IF(G2186="REJECT",COUNTIF($G$2:$G$2277,"&lt;&gt;REJECT")+1+COUNTIFS($G$2:$G$2277,"REJECT",$B$2:$B$2277,"&gt;"&amp;B2186),1+COUNTIFS($G$2:$G$2277,"&lt;&gt;REJECT",$B$2:$B$2277,"&gt;"&amp;B2186))</f>
        <v>2185</v>
      </c>
      <c r="B2186" s="26" t="n">
        <f aca="false">ROUND(($U$2*MAX(0,MIN(1,($W$2-I2186)/($W$2-$V$2)))+$U$3*MAX(0,MIN(1,($W$3-J2186)/($W$3-$V$3)))+$U$4*MAX(0,MIN(1,($W$4-K2186)/($W$4-$V$4)))+$U$5*MAX(0,MIN(1,($W$5-L2186)/($W$5-$V$5)))+$U$6*MAX(0,MIN(1,($W$6-M2186)/($W$6-$V$6)))+$U$7*MAX(0,MIN(1,($W$7-N2186)/($W$7-$V$7)))+$U$8*IF(AND(O2186&gt;=$V$8,O2186&lt;=$W$8),1,0))/$U$9*100,2)</f>
        <v>30.06</v>
      </c>
      <c r="C2186" s="27" t="s">
        <v>1286</v>
      </c>
      <c r="D2186" s="25" t="s">
        <v>134</v>
      </c>
      <c r="E2186" s="25" t="s">
        <v>3447</v>
      </c>
      <c r="F2186" s="25" t="s">
        <v>3457</v>
      </c>
      <c r="G2186" s="39" t="s">
        <v>32</v>
      </c>
      <c r="H2186" s="39" t="s">
        <v>26</v>
      </c>
      <c r="I2186" s="25" t="n">
        <v>8</v>
      </c>
      <c r="J2186" s="25" t="n">
        <v>1</v>
      </c>
      <c r="K2186" s="25" t="n">
        <v>8</v>
      </c>
      <c r="L2186" s="29" t="n">
        <v>0.7</v>
      </c>
      <c r="M2186" s="30" t="n">
        <v>23.62</v>
      </c>
      <c r="N2186" s="29" t="n">
        <v>0</v>
      </c>
      <c r="O2186" s="25" t="n">
        <v>183</v>
      </c>
      <c r="P2186" s="30" t="n">
        <v>2.08</v>
      </c>
      <c r="Q2186" s="27" t="s">
        <v>4133</v>
      </c>
      <c r="R2186" s="27" t="s">
        <v>1926</v>
      </c>
    </row>
    <row r="2187" customFormat="false" ht="15" hidden="false" customHeight="false" outlineLevel="0" collapsed="false">
      <c r="A2187" s="25" t="n">
        <f aca="false">IF(G2187="REJECT",COUNTIF($G$2:$G$2277,"&lt;&gt;REJECT")+1+COUNTIFS($G$2:$G$2277,"REJECT",$B$2:$B$2277,"&gt;"&amp;B2187),1+COUNTIFS($G$2:$G$2277,"&lt;&gt;REJECT",$B$2:$B$2277,"&gt;"&amp;B2187))</f>
        <v>2186</v>
      </c>
      <c r="B2187" s="26" t="n">
        <f aca="false">ROUND(($U$2*MAX(0,MIN(1,($W$2-I2187)/($W$2-$V$2)))+$U$3*MAX(0,MIN(1,($W$3-J2187)/($W$3-$V$3)))+$U$4*MAX(0,MIN(1,($W$4-K2187)/($W$4-$V$4)))+$U$5*MAX(0,MIN(1,($W$5-L2187)/($W$5-$V$5)))+$U$6*MAX(0,MIN(1,($W$6-M2187)/($W$6-$V$6)))+$U$7*MAX(0,MIN(1,($W$7-N2187)/($W$7-$V$7)))+$U$8*IF(AND(O2187&gt;=$V$8,O2187&lt;=$W$8),1,0))/$U$9*100,2)</f>
        <v>30.03</v>
      </c>
      <c r="C2187" s="27" t="s">
        <v>1190</v>
      </c>
      <c r="D2187" s="25" t="s">
        <v>3459</v>
      </c>
      <c r="E2187" s="25" t="s">
        <v>3450</v>
      </c>
      <c r="F2187" s="25" t="s">
        <v>3448</v>
      </c>
      <c r="G2187" s="39" t="s">
        <v>32</v>
      </c>
      <c r="H2187" s="39" t="s">
        <v>26</v>
      </c>
      <c r="I2187" s="25" t="n">
        <v>7</v>
      </c>
      <c r="J2187" s="25" t="n">
        <v>1</v>
      </c>
      <c r="K2187" s="25" t="n">
        <v>7</v>
      </c>
      <c r="L2187" s="29" t="n">
        <v>0.61</v>
      </c>
      <c r="M2187" s="30" t="n">
        <v>22.11</v>
      </c>
      <c r="N2187" s="29" t="n">
        <v>0.68</v>
      </c>
      <c r="O2187" s="25" t="n">
        <v>183</v>
      </c>
      <c r="P2187" s="30" t="n">
        <v>14.28</v>
      </c>
      <c r="Q2187" s="27" t="s">
        <v>4134</v>
      </c>
      <c r="R2187" s="27" t="s">
        <v>1926</v>
      </c>
    </row>
    <row r="2188" customFormat="false" ht="15" hidden="false" customHeight="false" outlineLevel="0" collapsed="false">
      <c r="A2188" s="25" t="n">
        <f aca="false">IF(G2188="REJECT",COUNTIF($G$2:$G$2277,"&lt;&gt;REJECT")+1+COUNTIFS($G$2:$G$2277,"REJECT",$B$2:$B$2277,"&gt;"&amp;B2188),1+COUNTIFS($G$2:$G$2277,"&lt;&gt;REJECT",$B$2:$B$2277,"&gt;"&amp;B2188))</f>
        <v>2186</v>
      </c>
      <c r="B2188" s="26" t="n">
        <f aca="false">ROUND(($U$2*MAX(0,MIN(1,($W$2-I2188)/($W$2-$V$2)))+$U$3*MAX(0,MIN(1,($W$3-J2188)/($W$3-$V$3)))+$U$4*MAX(0,MIN(1,($W$4-K2188)/($W$4-$V$4)))+$U$5*MAX(0,MIN(1,($W$5-L2188)/($W$5-$V$5)))+$U$6*MAX(0,MIN(1,($W$6-M2188)/($W$6-$V$6)))+$U$7*MAX(0,MIN(1,($W$7-N2188)/($W$7-$V$7)))+$U$8*IF(AND(O2188&gt;=$V$8,O2188&lt;=$W$8),1,0))/$U$9*100,2)</f>
        <v>30.03</v>
      </c>
      <c r="C2188" s="27" t="s">
        <v>1234</v>
      </c>
      <c r="D2188" s="25" t="s">
        <v>3459</v>
      </c>
      <c r="E2188" s="25" t="s">
        <v>3447</v>
      </c>
      <c r="F2188" s="25" t="s">
        <v>3457</v>
      </c>
      <c r="G2188" s="39" t="s">
        <v>32</v>
      </c>
      <c r="H2188" s="39" t="s">
        <v>26</v>
      </c>
      <c r="I2188" s="25" t="n">
        <v>11</v>
      </c>
      <c r="J2188" s="25" t="n">
        <v>1</v>
      </c>
      <c r="K2188" s="25" t="n">
        <v>11</v>
      </c>
      <c r="L2188" s="29" t="n">
        <v>0.68</v>
      </c>
      <c r="M2188" s="30" t="n">
        <v>11.83</v>
      </c>
      <c r="N2188" s="29" t="n">
        <v>0.48</v>
      </c>
      <c r="O2188" s="25" t="n">
        <v>182</v>
      </c>
      <c r="P2188" s="30" t="n">
        <v>3.8</v>
      </c>
      <c r="Q2188" s="27" t="s">
        <v>4041</v>
      </c>
      <c r="R2188" s="27" t="s">
        <v>529</v>
      </c>
    </row>
    <row r="2189" customFormat="false" ht="15" hidden="false" customHeight="false" outlineLevel="0" collapsed="false">
      <c r="A2189" s="25" t="n">
        <f aca="false">IF(G2189="REJECT",COUNTIF($G$2:$G$2277,"&lt;&gt;REJECT")+1+COUNTIFS($G$2:$G$2277,"REJECT",$B$2:$B$2277,"&gt;"&amp;B2189),1+COUNTIFS($G$2:$G$2277,"&lt;&gt;REJECT",$B$2:$B$2277,"&gt;"&amp;B2189))</f>
        <v>2188</v>
      </c>
      <c r="B2189" s="26" t="n">
        <f aca="false">ROUND(($U$2*MAX(0,MIN(1,($W$2-I2189)/($W$2-$V$2)))+$U$3*MAX(0,MIN(1,($W$3-J2189)/($W$3-$V$3)))+$U$4*MAX(0,MIN(1,($W$4-K2189)/($W$4-$V$4)))+$U$5*MAX(0,MIN(1,($W$5-L2189)/($W$5-$V$5)))+$U$6*MAX(0,MIN(1,($W$6-M2189)/($W$6-$V$6)))+$U$7*MAX(0,MIN(1,($W$7-N2189)/($W$7-$V$7)))+$U$8*IF(AND(O2189&gt;=$V$8,O2189&lt;=$W$8),1,0))/$U$9*100,2)</f>
        <v>30.02</v>
      </c>
      <c r="C2189" s="27" t="s">
        <v>1234</v>
      </c>
      <c r="D2189" s="25" t="s">
        <v>134</v>
      </c>
      <c r="E2189" s="25" t="s">
        <v>3447</v>
      </c>
      <c r="F2189" s="25" t="s">
        <v>3457</v>
      </c>
      <c r="G2189" s="39" t="s">
        <v>32</v>
      </c>
      <c r="H2189" s="39" t="s">
        <v>26</v>
      </c>
      <c r="I2189" s="25" t="n">
        <v>12</v>
      </c>
      <c r="J2189" s="25" t="n">
        <v>1</v>
      </c>
      <c r="K2189" s="25" t="n">
        <v>12</v>
      </c>
      <c r="L2189" s="29" t="n">
        <v>0.67</v>
      </c>
      <c r="M2189" s="30" t="n">
        <v>9.89</v>
      </c>
      <c r="N2189" s="29" t="n">
        <v>0.32</v>
      </c>
      <c r="O2189" s="25" t="n">
        <v>183</v>
      </c>
      <c r="P2189" s="30" t="n">
        <v>3.08</v>
      </c>
      <c r="Q2189" s="27" t="s">
        <v>4044</v>
      </c>
      <c r="R2189" s="27" t="s">
        <v>529</v>
      </c>
    </row>
    <row r="2190" customFormat="false" ht="15" hidden="false" customHeight="false" outlineLevel="0" collapsed="false">
      <c r="A2190" s="25" t="n">
        <f aca="false">IF(G2190="REJECT",COUNTIF($G$2:$G$2277,"&lt;&gt;REJECT")+1+COUNTIFS($G$2:$G$2277,"REJECT",$B$2:$B$2277,"&gt;"&amp;B2190),1+COUNTIFS($G$2:$G$2277,"&lt;&gt;REJECT",$B$2:$B$2277,"&gt;"&amp;B2190))</f>
        <v>2189</v>
      </c>
      <c r="B2190" s="26" t="n">
        <f aca="false">ROUND(($U$2*MAX(0,MIN(1,($W$2-I2190)/($W$2-$V$2)))+$U$3*MAX(0,MIN(1,($W$3-J2190)/($W$3-$V$3)))+$U$4*MAX(0,MIN(1,($W$4-K2190)/($W$4-$V$4)))+$U$5*MAX(0,MIN(1,($W$5-L2190)/($W$5-$V$5)))+$U$6*MAX(0,MIN(1,($W$6-M2190)/($W$6-$V$6)))+$U$7*MAX(0,MIN(1,($W$7-N2190)/($W$7-$V$7)))+$U$8*IF(AND(O2190&gt;=$V$8,O2190&lt;=$W$8),1,0))/$U$9*100,2)</f>
        <v>29.89</v>
      </c>
      <c r="C2190" s="27" t="s">
        <v>732</v>
      </c>
      <c r="D2190" s="25" t="s">
        <v>134</v>
      </c>
      <c r="E2190" s="25" t="s">
        <v>3450</v>
      </c>
      <c r="F2190" s="25" t="s">
        <v>3457</v>
      </c>
      <c r="G2190" s="39" t="s">
        <v>32</v>
      </c>
      <c r="H2190" s="39" t="s">
        <v>26</v>
      </c>
      <c r="I2190" s="25" t="n">
        <v>8</v>
      </c>
      <c r="J2190" s="25" t="n">
        <v>1</v>
      </c>
      <c r="K2190" s="25" t="n">
        <v>8</v>
      </c>
      <c r="L2190" s="29" t="n">
        <v>0.69</v>
      </c>
      <c r="M2190" s="30" t="n">
        <v>19.87</v>
      </c>
      <c r="N2190" s="29" t="n">
        <v>0.12</v>
      </c>
      <c r="O2190" s="25" t="n">
        <v>202</v>
      </c>
      <c r="P2190" s="30" t="n">
        <v>5.97</v>
      </c>
      <c r="Q2190" s="27" t="s">
        <v>4135</v>
      </c>
      <c r="R2190" s="27" t="s">
        <v>1451</v>
      </c>
    </row>
    <row r="2191" customFormat="false" ht="15" hidden="false" customHeight="false" outlineLevel="0" collapsed="false">
      <c r="A2191" s="25" t="n">
        <f aca="false">IF(G2191="REJECT",COUNTIF($G$2:$G$2277,"&lt;&gt;REJECT")+1+COUNTIFS($G$2:$G$2277,"REJECT",$B$2:$B$2277,"&gt;"&amp;B2191),1+COUNTIFS($G$2:$G$2277,"&lt;&gt;REJECT",$B$2:$B$2277,"&gt;"&amp;B2191))</f>
        <v>2190</v>
      </c>
      <c r="B2191" s="26" t="n">
        <f aca="false">ROUND(($U$2*MAX(0,MIN(1,($W$2-I2191)/($W$2-$V$2)))+$U$3*MAX(0,MIN(1,($W$3-J2191)/($W$3-$V$3)))+$U$4*MAX(0,MIN(1,($W$4-K2191)/($W$4-$V$4)))+$U$5*MAX(0,MIN(1,($W$5-L2191)/($W$5-$V$5)))+$U$6*MAX(0,MIN(1,($W$6-M2191)/($W$6-$V$6)))+$U$7*MAX(0,MIN(1,($W$7-N2191)/($W$7-$V$7)))+$U$8*IF(AND(O2191&gt;=$V$8,O2191&lt;=$W$8),1,0))/$U$9*100,2)</f>
        <v>29.68</v>
      </c>
      <c r="C2191" s="27" t="s">
        <v>2697</v>
      </c>
      <c r="D2191" s="25" t="s">
        <v>134</v>
      </c>
      <c r="E2191" s="25" t="s">
        <v>3447</v>
      </c>
      <c r="F2191" s="25" t="s">
        <v>3448</v>
      </c>
      <c r="G2191" s="39" t="s">
        <v>32</v>
      </c>
      <c r="H2191" s="39" t="s">
        <v>26</v>
      </c>
      <c r="I2191" s="25" t="n">
        <v>9</v>
      </c>
      <c r="J2191" s="25" t="n">
        <v>1</v>
      </c>
      <c r="K2191" s="25" t="n">
        <v>9</v>
      </c>
      <c r="L2191" s="29" t="n">
        <v>0.66</v>
      </c>
      <c r="M2191" s="30" t="n">
        <v>9.9</v>
      </c>
      <c r="N2191" s="29" t="n">
        <v>0.16</v>
      </c>
      <c r="O2191" s="25" t="n">
        <v>190</v>
      </c>
      <c r="P2191" s="30" t="n">
        <v>0.46</v>
      </c>
      <c r="Q2191" s="27" t="s">
        <v>4136</v>
      </c>
      <c r="R2191" s="27" t="s">
        <v>529</v>
      </c>
    </row>
    <row r="2192" customFormat="false" ht="15" hidden="false" customHeight="false" outlineLevel="0" collapsed="false">
      <c r="A2192" s="25" t="n">
        <f aca="false">IF(G2192="REJECT",COUNTIF($G$2:$G$2277,"&lt;&gt;REJECT")+1+COUNTIFS($G$2:$G$2277,"REJECT",$B$2:$B$2277,"&gt;"&amp;B2192),1+COUNTIFS($G$2:$G$2277,"&lt;&gt;REJECT",$B$2:$B$2277,"&gt;"&amp;B2192))</f>
        <v>2191</v>
      </c>
      <c r="B2192" s="26" t="n">
        <f aca="false">ROUND(($U$2*MAX(0,MIN(1,($W$2-I2192)/($W$2-$V$2)))+$U$3*MAX(0,MIN(1,($W$3-J2192)/($W$3-$V$3)))+$U$4*MAX(0,MIN(1,($W$4-K2192)/($W$4-$V$4)))+$U$5*MAX(0,MIN(1,($W$5-L2192)/($W$5-$V$5)))+$U$6*MAX(0,MIN(1,($W$6-M2192)/($W$6-$V$6)))+$U$7*MAX(0,MIN(1,($W$7-N2192)/($W$7-$V$7)))+$U$8*IF(AND(O2192&gt;=$V$8,O2192&lt;=$W$8),1,0))/$U$9*100,2)</f>
        <v>29.67</v>
      </c>
      <c r="C2192" s="27" t="s">
        <v>1521</v>
      </c>
      <c r="D2192" s="25" t="s">
        <v>134</v>
      </c>
      <c r="E2192" s="25" t="s">
        <v>3450</v>
      </c>
      <c r="F2192" s="25" t="s">
        <v>3457</v>
      </c>
      <c r="G2192" s="39" t="s">
        <v>32</v>
      </c>
      <c r="H2192" s="39" t="s">
        <v>26</v>
      </c>
      <c r="I2192" s="25" t="n">
        <v>8</v>
      </c>
      <c r="J2192" s="25" t="n">
        <v>1</v>
      </c>
      <c r="K2192" s="25" t="n">
        <v>8</v>
      </c>
      <c r="L2192" s="29" t="n">
        <v>0.73</v>
      </c>
      <c r="M2192" s="30" t="n">
        <v>31.34</v>
      </c>
      <c r="N2192" s="29" t="n">
        <v>0.68</v>
      </c>
      <c r="O2192" s="25" t="n">
        <v>183</v>
      </c>
      <c r="P2192" s="30" t="n">
        <v>15.72</v>
      </c>
      <c r="Q2192" s="27" t="s">
        <v>4137</v>
      </c>
      <c r="R2192" s="27" t="s">
        <v>4138</v>
      </c>
    </row>
    <row r="2193" customFormat="false" ht="15" hidden="false" customHeight="false" outlineLevel="0" collapsed="false">
      <c r="A2193" s="25" t="n">
        <f aca="false">IF(G2193="REJECT",COUNTIF($G$2:$G$2277,"&lt;&gt;REJECT")+1+COUNTIFS($G$2:$G$2277,"REJECT",$B$2:$B$2277,"&gt;"&amp;B2193),1+COUNTIFS($G$2:$G$2277,"&lt;&gt;REJECT",$B$2:$B$2277,"&gt;"&amp;B2193))</f>
        <v>2192</v>
      </c>
      <c r="B2193" s="26" t="n">
        <f aca="false">ROUND(($U$2*MAX(0,MIN(1,($W$2-I2193)/($W$2-$V$2)))+$U$3*MAX(0,MIN(1,($W$3-J2193)/($W$3-$V$3)))+$U$4*MAX(0,MIN(1,($W$4-K2193)/($W$4-$V$4)))+$U$5*MAX(0,MIN(1,($W$5-L2193)/($W$5-$V$5)))+$U$6*MAX(0,MIN(1,($W$6-M2193)/($W$6-$V$6)))+$U$7*MAX(0,MIN(1,($W$7-N2193)/($W$7-$V$7)))+$U$8*IF(AND(O2193&gt;=$V$8,O2193&lt;=$W$8),1,0))/$U$9*100,2)</f>
        <v>29.66</v>
      </c>
      <c r="C2193" s="27" t="s">
        <v>3051</v>
      </c>
      <c r="D2193" s="25" t="s">
        <v>3459</v>
      </c>
      <c r="E2193" s="25" t="s">
        <v>3450</v>
      </c>
      <c r="F2193" s="25" t="s">
        <v>3457</v>
      </c>
      <c r="G2193" s="39" t="s">
        <v>32</v>
      </c>
      <c r="H2193" s="39" t="s">
        <v>26</v>
      </c>
      <c r="I2193" s="25" t="n">
        <v>8</v>
      </c>
      <c r="J2193" s="25" t="n">
        <v>1</v>
      </c>
      <c r="K2193" s="25" t="n">
        <v>8</v>
      </c>
      <c r="L2193" s="29" t="n">
        <v>0.73</v>
      </c>
      <c r="M2193" s="30" t="n">
        <v>28.04</v>
      </c>
      <c r="N2193" s="29" t="n">
        <v>0.88</v>
      </c>
      <c r="O2193" s="25" t="n">
        <v>185</v>
      </c>
      <c r="P2193" s="30" t="n">
        <v>1.02</v>
      </c>
      <c r="Q2193" s="27" t="s">
        <v>4139</v>
      </c>
      <c r="R2193" s="27" t="s">
        <v>4140</v>
      </c>
    </row>
    <row r="2194" customFormat="false" ht="15" hidden="false" customHeight="false" outlineLevel="0" collapsed="false">
      <c r="A2194" s="25" t="n">
        <f aca="false">IF(G2194="REJECT",COUNTIF($G$2:$G$2277,"&lt;&gt;REJECT")+1+COUNTIFS($G$2:$G$2277,"REJECT",$B$2:$B$2277,"&gt;"&amp;B2194),1+COUNTIFS($G$2:$G$2277,"&lt;&gt;REJECT",$B$2:$B$2277,"&gt;"&amp;B2194))</f>
        <v>2193</v>
      </c>
      <c r="B2194" s="26" t="n">
        <f aca="false">ROUND(($U$2*MAX(0,MIN(1,($W$2-I2194)/($W$2-$V$2)))+$U$3*MAX(0,MIN(1,($W$3-J2194)/($W$3-$V$3)))+$U$4*MAX(0,MIN(1,($W$4-K2194)/($W$4-$V$4)))+$U$5*MAX(0,MIN(1,($W$5-L2194)/($W$5-$V$5)))+$U$6*MAX(0,MIN(1,($W$6-M2194)/($W$6-$V$6)))+$U$7*MAX(0,MIN(1,($W$7-N2194)/($W$7-$V$7)))+$U$8*IF(AND(O2194&gt;=$V$8,O2194&lt;=$W$8),1,0))/$U$9*100,2)</f>
        <v>29.59</v>
      </c>
      <c r="C2194" s="27" t="s">
        <v>3100</v>
      </c>
      <c r="D2194" s="25" t="s">
        <v>3459</v>
      </c>
      <c r="E2194" s="25" t="s">
        <v>3447</v>
      </c>
      <c r="F2194" s="25" t="s">
        <v>3448</v>
      </c>
      <c r="G2194" s="39" t="s">
        <v>32</v>
      </c>
      <c r="H2194" s="39" t="s">
        <v>26</v>
      </c>
      <c r="I2194" s="25" t="n">
        <v>13</v>
      </c>
      <c r="J2194" s="25" t="n">
        <v>1</v>
      </c>
      <c r="K2194" s="25" t="n">
        <v>13</v>
      </c>
      <c r="L2194" s="29" t="n">
        <v>0.69</v>
      </c>
      <c r="M2194" s="30" t="n">
        <v>14.48</v>
      </c>
      <c r="N2194" s="29" t="n">
        <v>0.84</v>
      </c>
      <c r="O2194" s="25" t="n">
        <v>191</v>
      </c>
      <c r="P2194" s="30" t="n">
        <v>9</v>
      </c>
      <c r="Q2194" s="27" t="s">
        <v>4141</v>
      </c>
      <c r="R2194" s="27" t="s">
        <v>529</v>
      </c>
    </row>
    <row r="2195" customFormat="false" ht="15" hidden="false" customHeight="false" outlineLevel="0" collapsed="false">
      <c r="A2195" s="25" t="n">
        <f aca="false">IF(G2195="REJECT",COUNTIF($G$2:$G$2277,"&lt;&gt;REJECT")+1+COUNTIFS($G$2:$G$2277,"REJECT",$B$2:$B$2277,"&gt;"&amp;B2195),1+COUNTIFS($G$2:$G$2277,"&lt;&gt;REJECT",$B$2:$B$2277,"&gt;"&amp;B2195))</f>
        <v>2194</v>
      </c>
      <c r="B2195" s="26" t="n">
        <f aca="false">ROUND(($U$2*MAX(0,MIN(1,($W$2-I2195)/($W$2-$V$2)))+$U$3*MAX(0,MIN(1,($W$3-J2195)/($W$3-$V$3)))+$U$4*MAX(0,MIN(1,($W$4-K2195)/($W$4-$V$4)))+$U$5*MAX(0,MIN(1,($W$5-L2195)/($W$5-$V$5)))+$U$6*MAX(0,MIN(1,($W$6-M2195)/($W$6-$V$6)))+$U$7*MAX(0,MIN(1,($W$7-N2195)/($W$7-$V$7)))+$U$8*IF(AND(O2195&gt;=$V$8,O2195&lt;=$W$8),1,0))/$U$9*100,2)</f>
        <v>29.55</v>
      </c>
      <c r="C2195" s="27" t="s">
        <v>221</v>
      </c>
      <c r="D2195" s="25" t="s">
        <v>134</v>
      </c>
      <c r="E2195" s="25" t="s">
        <v>3450</v>
      </c>
      <c r="F2195" s="25" t="s">
        <v>3457</v>
      </c>
      <c r="G2195" s="39" t="s">
        <v>32</v>
      </c>
      <c r="H2195" s="39" t="s">
        <v>26</v>
      </c>
      <c r="I2195" s="25" t="n">
        <v>10</v>
      </c>
      <c r="J2195" s="25" t="n">
        <v>1</v>
      </c>
      <c r="K2195" s="25" t="n">
        <v>10</v>
      </c>
      <c r="L2195" s="29" t="n">
        <v>0.7</v>
      </c>
      <c r="M2195" s="30" t="n">
        <v>20.72</v>
      </c>
      <c r="N2195" s="29" t="n">
        <v>0.6</v>
      </c>
      <c r="O2195" s="25" t="n">
        <v>182</v>
      </c>
      <c r="P2195" s="30" t="n">
        <v>1.65</v>
      </c>
      <c r="Q2195" s="27" t="s">
        <v>4011</v>
      </c>
      <c r="R2195" s="27" t="s">
        <v>4142</v>
      </c>
    </row>
    <row r="2196" customFormat="false" ht="15" hidden="false" customHeight="false" outlineLevel="0" collapsed="false">
      <c r="A2196" s="25" t="n">
        <f aca="false">IF(G2196="REJECT",COUNTIF($G$2:$G$2277,"&lt;&gt;REJECT")+1+COUNTIFS($G$2:$G$2277,"REJECT",$B$2:$B$2277,"&gt;"&amp;B2196),1+COUNTIFS($G$2:$G$2277,"&lt;&gt;REJECT",$B$2:$B$2277,"&gt;"&amp;B2196))</f>
        <v>2195</v>
      </c>
      <c r="B2196" s="26" t="n">
        <f aca="false">ROUND(($U$2*MAX(0,MIN(1,($W$2-I2196)/($W$2-$V$2)))+$U$3*MAX(0,MIN(1,($W$3-J2196)/($W$3-$V$3)))+$U$4*MAX(0,MIN(1,($W$4-K2196)/($W$4-$V$4)))+$U$5*MAX(0,MIN(1,($W$5-L2196)/($W$5-$V$5)))+$U$6*MAX(0,MIN(1,($W$6-M2196)/($W$6-$V$6)))+$U$7*MAX(0,MIN(1,($W$7-N2196)/($W$7-$V$7)))+$U$8*IF(AND(O2196&gt;=$V$8,O2196&lt;=$W$8),1,0))/$U$9*100,2)</f>
        <v>29.54</v>
      </c>
      <c r="C2196" s="27" t="s">
        <v>779</v>
      </c>
      <c r="D2196" s="25" t="s">
        <v>134</v>
      </c>
      <c r="E2196" s="25" t="s">
        <v>3450</v>
      </c>
      <c r="F2196" s="25" t="s">
        <v>3448</v>
      </c>
      <c r="G2196" s="39" t="s">
        <v>32</v>
      </c>
      <c r="H2196" s="39" t="s">
        <v>26</v>
      </c>
      <c r="I2196" s="25" t="n">
        <v>12</v>
      </c>
      <c r="J2196" s="25" t="n">
        <v>1</v>
      </c>
      <c r="K2196" s="25" t="n">
        <v>12</v>
      </c>
      <c r="L2196" s="29" t="n">
        <v>0.71</v>
      </c>
      <c r="M2196" s="30" t="n">
        <v>29.16</v>
      </c>
      <c r="N2196" s="29" t="n">
        <v>0.12</v>
      </c>
      <c r="O2196" s="25" t="n">
        <v>183</v>
      </c>
      <c r="P2196" s="30" t="n">
        <v>1.49</v>
      </c>
      <c r="Q2196" s="27" t="s">
        <v>4117</v>
      </c>
      <c r="R2196" s="27" t="s">
        <v>4140</v>
      </c>
    </row>
    <row r="2197" customFormat="false" ht="15" hidden="false" customHeight="false" outlineLevel="0" collapsed="false">
      <c r="A2197" s="25" t="n">
        <f aca="false">IF(G2197="REJECT",COUNTIF($G$2:$G$2277,"&lt;&gt;REJECT")+1+COUNTIFS($G$2:$G$2277,"REJECT",$B$2:$B$2277,"&gt;"&amp;B2197),1+COUNTIFS($G$2:$G$2277,"&lt;&gt;REJECT",$B$2:$B$2277,"&gt;"&amp;B2197))</f>
        <v>2196</v>
      </c>
      <c r="B2197" s="26" t="n">
        <f aca="false">ROUND(($U$2*MAX(0,MIN(1,($W$2-I2197)/($W$2-$V$2)))+$U$3*MAX(0,MIN(1,($W$3-J2197)/($W$3-$V$3)))+$U$4*MAX(0,MIN(1,($W$4-K2197)/($W$4-$V$4)))+$U$5*MAX(0,MIN(1,($W$5-L2197)/($W$5-$V$5)))+$U$6*MAX(0,MIN(1,($W$6-M2197)/($W$6-$V$6)))+$U$7*MAX(0,MIN(1,($W$7-N2197)/($W$7-$V$7)))+$U$8*IF(AND(O2197&gt;=$V$8,O2197&lt;=$W$8),1,0))/$U$9*100,2)</f>
        <v>29.4</v>
      </c>
      <c r="C2197" s="27" t="s">
        <v>1355</v>
      </c>
      <c r="D2197" s="25" t="s">
        <v>134</v>
      </c>
      <c r="E2197" s="25" t="s">
        <v>3447</v>
      </c>
      <c r="F2197" s="25" t="s">
        <v>3457</v>
      </c>
      <c r="G2197" s="39" t="s">
        <v>32</v>
      </c>
      <c r="H2197" s="39" t="s">
        <v>26</v>
      </c>
      <c r="I2197" s="25" t="n">
        <v>13</v>
      </c>
      <c r="J2197" s="25" t="n">
        <v>1</v>
      </c>
      <c r="K2197" s="25" t="n">
        <v>13</v>
      </c>
      <c r="L2197" s="29" t="n">
        <v>0.66</v>
      </c>
      <c r="M2197" s="30" t="n">
        <v>5.2</v>
      </c>
      <c r="N2197" s="29" t="n">
        <v>0.8</v>
      </c>
      <c r="O2197" s="25" t="n">
        <v>188</v>
      </c>
      <c r="P2197" s="30" t="n">
        <v>-0.32</v>
      </c>
      <c r="Q2197" s="27" t="s">
        <v>4143</v>
      </c>
      <c r="R2197" s="27" t="s">
        <v>1451</v>
      </c>
    </row>
    <row r="2198" customFormat="false" ht="15" hidden="false" customHeight="false" outlineLevel="0" collapsed="false">
      <c r="A2198" s="25" t="n">
        <f aca="false">IF(G2198="REJECT",COUNTIF($G$2:$G$2277,"&lt;&gt;REJECT")+1+COUNTIFS($G$2:$G$2277,"REJECT",$B$2:$B$2277,"&gt;"&amp;B2198),1+COUNTIFS($G$2:$G$2277,"&lt;&gt;REJECT",$B$2:$B$2277,"&gt;"&amp;B2198))</f>
        <v>2196</v>
      </c>
      <c r="B2198" s="26" t="n">
        <f aca="false">ROUND(($U$2*MAX(0,MIN(1,($W$2-I2198)/($W$2-$V$2)))+$U$3*MAX(0,MIN(1,($W$3-J2198)/($W$3-$V$3)))+$U$4*MAX(0,MIN(1,($W$4-K2198)/($W$4-$V$4)))+$U$5*MAX(0,MIN(1,($W$5-L2198)/($W$5-$V$5)))+$U$6*MAX(0,MIN(1,($W$6-M2198)/($W$6-$V$6)))+$U$7*MAX(0,MIN(1,($W$7-N2198)/($W$7-$V$7)))+$U$8*IF(AND(O2198&gt;=$V$8,O2198&lt;=$W$8),1,0))/$U$9*100,2)</f>
        <v>29.4</v>
      </c>
      <c r="C2198" s="27" t="s">
        <v>1697</v>
      </c>
      <c r="D2198" s="25" t="s">
        <v>3459</v>
      </c>
      <c r="E2198" s="25" t="s">
        <v>3447</v>
      </c>
      <c r="F2198" s="25" t="s">
        <v>3448</v>
      </c>
      <c r="G2198" s="39" t="s">
        <v>32</v>
      </c>
      <c r="H2198" s="39" t="s">
        <v>26</v>
      </c>
      <c r="I2198" s="25" t="n">
        <v>11</v>
      </c>
      <c r="J2198" s="25" t="n">
        <v>1</v>
      </c>
      <c r="K2198" s="25" t="n">
        <v>11</v>
      </c>
      <c r="L2198" s="29" t="n">
        <v>0.7</v>
      </c>
      <c r="M2198" s="30" t="n">
        <v>22.79</v>
      </c>
      <c r="N2198" s="29" t="n">
        <v>0.48</v>
      </c>
      <c r="O2198" s="25" t="n">
        <v>183</v>
      </c>
      <c r="P2198" s="30" t="n">
        <v>3.96</v>
      </c>
      <c r="Q2198" s="27" t="s">
        <v>4144</v>
      </c>
      <c r="R2198" s="27" t="s">
        <v>1926</v>
      </c>
    </row>
    <row r="2199" customFormat="false" ht="15" hidden="false" customHeight="false" outlineLevel="0" collapsed="false">
      <c r="A2199" s="25" t="n">
        <f aca="false">IF(G2199="REJECT",COUNTIF($G$2:$G$2277,"&lt;&gt;REJECT")+1+COUNTIFS($G$2:$G$2277,"REJECT",$B$2:$B$2277,"&gt;"&amp;B2199),1+COUNTIFS($G$2:$G$2277,"&lt;&gt;REJECT",$B$2:$B$2277,"&gt;"&amp;B2199))</f>
        <v>2198</v>
      </c>
      <c r="B2199" s="26" t="n">
        <f aca="false">ROUND(($U$2*MAX(0,MIN(1,($W$2-I2199)/($W$2-$V$2)))+$U$3*MAX(0,MIN(1,($W$3-J2199)/($W$3-$V$3)))+$U$4*MAX(0,MIN(1,($W$4-K2199)/($W$4-$V$4)))+$U$5*MAX(0,MIN(1,($W$5-L2199)/($W$5-$V$5)))+$U$6*MAX(0,MIN(1,($W$6-M2199)/($W$6-$V$6)))+$U$7*MAX(0,MIN(1,($W$7-N2199)/($W$7-$V$7)))+$U$8*IF(AND(O2199&gt;=$V$8,O2199&lt;=$W$8),1,0))/$U$9*100,2)</f>
        <v>29.38</v>
      </c>
      <c r="C2199" s="27" t="s">
        <v>267</v>
      </c>
      <c r="D2199" s="25" t="s">
        <v>134</v>
      </c>
      <c r="E2199" s="25" t="s">
        <v>3450</v>
      </c>
      <c r="F2199" s="25" t="s">
        <v>3457</v>
      </c>
      <c r="G2199" s="39" t="s">
        <v>32</v>
      </c>
      <c r="H2199" s="39" t="s">
        <v>26</v>
      </c>
      <c r="I2199" s="25" t="n">
        <v>12</v>
      </c>
      <c r="J2199" s="25" t="n">
        <v>1</v>
      </c>
      <c r="K2199" s="25" t="n">
        <v>12</v>
      </c>
      <c r="L2199" s="29" t="n">
        <v>0.66</v>
      </c>
      <c r="M2199" s="30" t="n">
        <v>13.31</v>
      </c>
      <c r="N2199" s="29" t="n">
        <v>0</v>
      </c>
      <c r="O2199" s="25" t="n">
        <v>182</v>
      </c>
      <c r="P2199" s="30" t="n">
        <v>10.39</v>
      </c>
      <c r="Q2199" s="27" t="s">
        <v>4118</v>
      </c>
      <c r="R2199" s="27" t="s">
        <v>529</v>
      </c>
    </row>
    <row r="2200" customFormat="false" ht="15" hidden="false" customHeight="false" outlineLevel="0" collapsed="false">
      <c r="A2200" s="25" t="n">
        <f aca="false">IF(G2200="REJECT",COUNTIF($G$2:$G$2277,"&lt;&gt;REJECT")+1+COUNTIFS($G$2:$G$2277,"REJECT",$B$2:$B$2277,"&gt;"&amp;B2200),1+COUNTIFS($G$2:$G$2277,"&lt;&gt;REJECT",$B$2:$B$2277,"&gt;"&amp;B2200))</f>
        <v>2198</v>
      </c>
      <c r="B2200" s="26" t="n">
        <f aca="false">ROUND(($U$2*MAX(0,MIN(1,($W$2-I2200)/($W$2-$V$2)))+$U$3*MAX(0,MIN(1,($W$3-J2200)/($W$3-$V$3)))+$U$4*MAX(0,MIN(1,($W$4-K2200)/($W$4-$V$4)))+$U$5*MAX(0,MIN(1,($W$5-L2200)/($W$5-$V$5)))+$U$6*MAX(0,MIN(1,($W$6-M2200)/($W$6-$V$6)))+$U$7*MAX(0,MIN(1,($W$7-N2200)/($W$7-$V$7)))+$U$8*IF(AND(O2200&gt;=$V$8,O2200&lt;=$W$8),1,0))/$U$9*100,2)</f>
        <v>29.38</v>
      </c>
      <c r="C2200" s="27" t="s">
        <v>2721</v>
      </c>
      <c r="D2200" s="25" t="s">
        <v>134</v>
      </c>
      <c r="E2200" s="25" t="s">
        <v>3447</v>
      </c>
      <c r="F2200" s="25" t="s">
        <v>3457</v>
      </c>
      <c r="G2200" s="39" t="s">
        <v>32</v>
      </c>
      <c r="H2200" s="39" t="s">
        <v>26</v>
      </c>
      <c r="I2200" s="25" t="n">
        <v>10</v>
      </c>
      <c r="J2200" s="25" t="n">
        <v>1</v>
      </c>
      <c r="K2200" s="25" t="n">
        <v>10</v>
      </c>
      <c r="L2200" s="29" t="n">
        <v>0.7</v>
      </c>
      <c r="M2200" s="30" t="n">
        <v>24.92</v>
      </c>
      <c r="N2200" s="29" t="n">
        <v>0.28</v>
      </c>
      <c r="O2200" s="25" t="n">
        <v>183</v>
      </c>
      <c r="P2200" s="30" t="n">
        <v>6.76</v>
      </c>
      <c r="Q2200" s="27" t="s">
        <v>4060</v>
      </c>
      <c r="R2200" s="27" t="s">
        <v>1926</v>
      </c>
    </row>
    <row r="2201" customFormat="false" ht="15" hidden="false" customHeight="false" outlineLevel="0" collapsed="false">
      <c r="A2201" s="25" t="n">
        <f aca="false">IF(G2201="REJECT",COUNTIF($G$2:$G$2277,"&lt;&gt;REJECT")+1+COUNTIFS($G$2:$G$2277,"REJECT",$B$2:$B$2277,"&gt;"&amp;B2201),1+COUNTIFS($G$2:$G$2277,"&lt;&gt;REJECT",$B$2:$B$2277,"&gt;"&amp;B2201))</f>
        <v>2200</v>
      </c>
      <c r="B2201" s="26" t="n">
        <f aca="false">ROUND(($U$2*MAX(0,MIN(1,($W$2-I2201)/($W$2-$V$2)))+$U$3*MAX(0,MIN(1,($W$3-J2201)/($W$3-$V$3)))+$U$4*MAX(0,MIN(1,($W$4-K2201)/($W$4-$V$4)))+$U$5*MAX(0,MIN(1,($W$5-L2201)/($W$5-$V$5)))+$U$6*MAX(0,MIN(1,($W$6-M2201)/($W$6-$V$6)))+$U$7*MAX(0,MIN(1,($W$7-N2201)/($W$7-$V$7)))+$U$8*IF(AND(O2201&gt;=$V$8,O2201&lt;=$W$8),1,0))/$U$9*100,2)</f>
        <v>29.36</v>
      </c>
      <c r="C2201" s="27" t="s">
        <v>430</v>
      </c>
      <c r="D2201" s="25" t="s">
        <v>3459</v>
      </c>
      <c r="E2201" s="25" t="s">
        <v>3447</v>
      </c>
      <c r="F2201" s="25" t="s">
        <v>3457</v>
      </c>
      <c r="G2201" s="39" t="s">
        <v>32</v>
      </c>
      <c r="H2201" s="39" t="s">
        <v>26</v>
      </c>
      <c r="I2201" s="25" t="n">
        <v>16</v>
      </c>
      <c r="J2201" s="25" t="n">
        <v>1</v>
      </c>
      <c r="K2201" s="25" t="n">
        <v>16</v>
      </c>
      <c r="L2201" s="29" t="n">
        <v>0.68</v>
      </c>
      <c r="M2201" s="30" t="n">
        <v>15.47</v>
      </c>
      <c r="N2201" s="29" t="n">
        <v>0.52</v>
      </c>
      <c r="O2201" s="25" t="n">
        <v>184</v>
      </c>
      <c r="P2201" s="30" t="n">
        <v>1.25</v>
      </c>
      <c r="Q2201" s="27" t="s">
        <v>4145</v>
      </c>
      <c r="R2201" s="27" t="s">
        <v>1311</v>
      </c>
    </row>
    <row r="2202" customFormat="false" ht="15" hidden="false" customHeight="false" outlineLevel="0" collapsed="false">
      <c r="A2202" s="25" t="n">
        <f aca="false">IF(G2202="REJECT",COUNTIF($G$2:$G$2277,"&lt;&gt;REJECT")+1+COUNTIFS($G$2:$G$2277,"REJECT",$B$2:$B$2277,"&gt;"&amp;B2202),1+COUNTIFS($G$2:$G$2277,"&lt;&gt;REJECT",$B$2:$B$2277,"&gt;"&amp;B2202))</f>
        <v>2201</v>
      </c>
      <c r="B2202" s="26" t="n">
        <f aca="false">ROUND(($U$2*MAX(0,MIN(1,($W$2-I2202)/($W$2-$V$2)))+$U$3*MAX(0,MIN(1,($W$3-J2202)/($W$3-$V$3)))+$U$4*MAX(0,MIN(1,($W$4-K2202)/($W$4-$V$4)))+$U$5*MAX(0,MIN(1,($W$5-L2202)/($W$5-$V$5)))+$U$6*MAX(0,MIN(1,($W$6-M2202)/($W$6-$V$6)))+$U$7*MAX(0,MIN(1,($W$7-N2202)/($W$7-$V$7)))+$U$8*IF(AND(O2202&gt;=$V$8,O2202&lt;=$W$8),1,0))/$U$9*100,2)</f>
        <v>29.32</v>
      </c>
      <c r="C2202" s="27" t="s">
        <v>1923</v>
      </c>
      <c r="D2202" s="25" t="s">
        <v>134</v>
      </c>
      <c r="E2202" s="25" t="s">
        <v>3450</v>
      </c>
      <c r="F2202" s="25" t="s">
        <v>3448</v>
      </c>
      <c r="G2202" s="39" t="s">
        <v>32</v>
      </c>
      <c r="H2202" s="39" t="s">
        <v>26</v>
      </c>
      <c r="I2202" s="25" t="n">
        <v>8</v>
      </c>
      <c r="J2202" s="25" t="n">
        <v>1</v>
      </c>
      <c r="K2202" s="25" t="n">
        <v>8</v>
      </c>
      <c r="L2202" s="29" t="n">
        <v>0.68</v>
      </c>
      <c r="M2202" s="30" t="n">
        <v>11.31</v>
      </c>
      <c r="N2202" s="29" t="n">
        <v>0.96</v>
      </c>
      <c r="O2202" s="25" t="n">
        <v>182</v>
      </c>
      <c r="P2202" s="30" t="n">
        <v>6.26</v>
      </c>
      <c r="Q2202" s="27" t="s">
        <v>4146</v>
      </c>
      <c r="R2202" s="27" t="s">
        <v>529</v>
      </c>
    </row>
    <row r="2203" customFormat="false" ht="15" hidden="false" customHeight="false" outlineLevel="0" collapsed="false">
      <c r="A2203" s="25" t="n">
        <f aca="false">IF(G2203="REJECT",COUNTIF($G$2:$G$2277,"&lt;&gt;REJECT")+1+COUNTIFS($G$2:$G$2277,"REJECT",$B$2:$B$2277,"&gt;"&amp;B2203),1+COUNTIFS($G$2:$G$2277,"&lt;&gt;REJECT",$B$2:$B$2277,"&gt;"&amp;B2203))</f>
        <v>2202</v>
      </c>
      <c r="B2203" s="26" t="n">
        <f aca="false">ROUND(($U$2*MAX(0,MIN(1,($W$2-I2203)/($W$2-$V$2)))+$U$3*MAX(0,MIN(1,($W$3-J2203)/($W$3-$V$3)))+$U$4*MAX(0,MIN(1,($W$4-K2203)/($W$4-$V$4)))+$U$5*MAX(0,MIN(1,($W$5-L2203)/($W$5-$V$5)))+$U$6*MAX(0,MIN(1,($W$6-M2203)/($W$6-$V$6)))+$U$7*MAX(0,MIN(1,($W$7-N2203)/($W$7-$V$7)))+$U$8*IF(AND(O2203&gt;=$V$8,O2203&lt;=$W$8),1,0))/$U$9*100,2)</f>
        <v>29.17</v>
      </c>
      <c r="C2203" s="27" t="s">
        <v>1175</v>
      </c>
      <c r="D2203" s="25" t="s">
        <v>134</v>
      </c>
      <c r="E2203" s="25" t="s">
        <v>3447</v>
      </c>
      <c r="F2203" s="25" t="s">
        <v>3457</v>
      </c>
      <c r="G2203" s="39" t="s">
        <v>32</v>
      </c>
      <c r="H2203" s="39" t="s">
        <v>26</v>
      </c>
      <c r="I2203" s="25" t="n">
        <v>11</v>
      </c>
      <c r="J2203" s="25" t="n">
        <v>1</v>
      </c>
      <c r="K2203" s="25" t="n">
        <v>11</v>
      </c>
      <c r="L2203" s="29" t="n">
        <v>0.7</v>
      </c>
      <c r="M2203" s="30" t="n">
        <v>22.57</v>
      </c>
      <c r="N2203" s="29" t="n">
        <v>0.64</v>
      </c>
      <c r="O2203" s="25" t="n">
        <v>196</v>
      </c>
      <c r="P2203" s="30" t="n">
        <v>-0.93</v>
      </c>
      <c r="Q2203" s="27" t="s">
        <v>4147</v>
      </c>
      <c r="R2203" s="27" t="s">
        <v>1178</v>
      </c>
    </row>
    <row r="2204" customFormat="false" ht="15" hidden="false" customHeight="false" outlineLevel="0" collapsed="false">
      <c r="A2204" s="25" t="n">
        <f aca="false">IF(G2204="REJECT",COUNTIF($G$2:$G$2277,"&lt;&gt;REJECT")+1+COUNTIFS($G$2:$G$2277,"REJECT",$B$2:$B$2277,"&gt;"&amp;B2204),1+COUNTIFS($G$2:$G$2277,"&lt;&gt;REJECT",$B$2:$B$2277,"&gt;"&amp;B2204))</f>
        <v>2203</v>
      </c>
      <c r="B2204" s="26" t="n">
        <f aca="false">ROUND(($U$2*MAX(0,MIN(1,($W$2-I2204)/($W$2-$V$2)))+$U$3*MAX(0,MIN(1,($W$3-J2204)/($W$3-$V$3)))+$U$4*MAX(0,MIN(1,($W$4-K2204)/($W$4-$V$4)))+$U$5*MAX(0,MIN(1,($W$5-L2204)/($W$5-$V$5)))+$U$6*MAX(0,MIN(1,($W$6-M2204)/($W$6-$V$6)))+$U$7*MAX(0,MIN(1,($W$7-N2204)/($W$7-$V$7)))+$U$8*IF(AND(O2204&gt;=$V$8,O2204&lt;=$W$8),1,0))/$U$9*100,2)</f>
        <v>29.06</v>
      </c>
      <c r="C2204" s="27" t="s">
        <v>785</v>
      </c>
      <c r="D2204" s="25" t="s">
        <v>134</v>
      </c>
      <c r="E2204" s="25" t="s">
        <v>3450</v>
      </c>
      <c r="F2204" s="25" t="s">
        <v>3457</v>
      </c>
      <c r="G2204" s="39" t="s">
        <v>32</v>
      </c>
      <c r="H2204" s="39" t="s">
        <v>26</v>
      </c>
      <c r="I2204" s="25" t="n">
        <v>10</v>
      </c>
      <c r="J2204" s="25" t="n">
        <v>1</v>
      </c>
      <c r="K2204" s="25" t="n">
        <v>10</v>
      </c>
      <c r="L2204" s="29" t="n">
        <v>0.66</v>
      </c>
      <c r="M2204" s="30" t="n">
        <v>12.85</v>
      </c>
      <c r="N2204" s="29" t="n">
        <v>0.24</v>
      </c>
      <c r="O2204" s="25" t="n">
        <v>183</v>
      </c>
      <c r="P2204" s="30" t="n">
        <v>18.78</v>
      </c>
      <c r="Q2204" s="27" t="s">
        <v>4091</v>
      </c>
      <c r="R2204" s="27" t="s">
        <v>529</v>
      </c>
    </row>
    <row r="2205" customFormat="false" ht="15" hidden="false" customHeight="false" outlineLevel="0" collapsed="false">
      <c r="A2205" s="25" t="n">
        <f aca="false">IF(G2205="REJECT",COUNTIF($G$2:$G$2277,"&lt;&gt;REJECT")+1+COUNTIFS($G$2:$G$2277,"REJECT",$B$2:$B$2277,"&gt;"&amp;B2205),1+COUNTIFS($G$2:$G$2277,"&lt;&gt;REJECT",$B$2:$B$2277,"&gt;"&amp;B2205))</f>
        <v>2204</v>
      </c>
      <c r="B2205" s="26" t="n">
        <f aca="false">ROUND(($U$2*MAX(0,MIN(1,($W$2-I2205)/($W$2-$V$2)))+$U$3*MAX(0,MIN(1,($W$3-J2205)/($W$3-$V$3)))+$U$4*MAX(0,MIN(1,($W$4-K2205)/($W$4-$V$4)))+$U$5*MAX(0,MIN(1,($W$5-L2205)/($W$5-$V$5)))+$U$6*MAX(0,MIN(1,($W$6-M2205)/($W$6-$V$6)))+$U$7*MAX(0,MIN(1,($W$7-N2205)/($W$7-$V$7)))+$U$8*IF(AND(O2205&gt;=$V$8,O2205&lt;=$W$8),1,0))/$U$9*100,2)</f>
        <v>29.02</v>
      </c>
      <c r="C2205" s="27" t="s">
        <v>2799</v>
      </c>
      <c r="D2205" s="25" t="s">
        <v>3459</v>
      </c>
      <c r="E2205" s="25" t="s">
        <v>3447</v>
      </c>
      <c r="F2205" s="25" t="s">
        <v>3457</v>
      </c>
      <c r="G2205" s="39" t="s">
        <v>32</v>
      </c>
      <c r="H2205" s="39" t="s">
        <v>26</v>
      </c>
      <c r="I2205" s="25" t="n">
        <v>10</v>
      </c>
      <c r="J2205" s="25" t="n">
        <v>1</v>
      </c>
      <c r="K2205" s="25" t="n">
        <v>10</v>
      </c>
      <c r="L2205" s="29" t="n">
        <v>0.68</v>
      </c>
      <c r="M2205" s="30" t="n">
        <v>19.48</v>
      </c>
      <c r="N2205" s="29" t="n">
        <v>0.32</v>
      </c>
      <c r="O2205" s="25" t="n">
        <v>186</v>
      </c>
      <c r="P2205" s="30" t="n">
        <v>4.69</v>
      </c>
      <c r="Q2205" s="27" t="s">
        <v>4148</v>
      </c>
      <c r="R2205" s="27" t="s">
        <v>529</v>
      </c>
    </row>
    <row r="2206" customFormat="false" ht="15" hidden="false" customHeight="false" outlineLevel="0" collapsed="false">
      <c r="A2206" s="25" t="n">
        <f aca="false">IF(G2206="REJECT",COUNTIF($G$2:$G$2277,"&lt;&gt;REJECT")+1+COUNTIFS($G$2:$G$2277,"REJECT",$B$2:$B$2277,"&gt;"&amp;B2206),1+COUNTIFS($G$2:$G$2277,"&lt;&gt;REJECT",$B$2:$B$2277,"&gt;"&amp;B2206))</f>
        <v>2205</v>
      </c>
      <c r="B2206" s="26" t="n">
        <f aca="false">ROUND(($U$2*MAX(0,MIN(1,($W$2-I2206)/($W$2-$V$2)))+$U$3*MAX(0,MIN(1,($W$3-J2206)/($W$3-$V$3)))+$U$4*MAX(0,MIN(1,($W$4-K2206)/($W$4-$V$4)))+$U$5*MAX(0,MIN(1,($W$5-L2206)/($W$5-$V$5)))+$U$6*MAX(0,MIN(1,($W$6-M2206)/($W$6-$V$6)))+$U$7*MAX(0,MIN(1,($W$7-N2206)/($W$7-$V$7)))+$U$8*IF(AND(O2206&gt;=$V$8,O2206&lt;=$W$8),1,0))/$U$9*100,2)</f>
        <v>28.94</v>
      </c>
      <c r="C2206" s="27" t="s">
        <v>2465</v>
      </c>
      <c r="D2206" s="25" t="s">
        <v>3459</v>
      </c>
      <c r="E2206" s="25" t="s">
        <v>3450</v>
      </c>
      <c r="F2206" s="25" t="s">
        <v>3457</v>
      </c>
      <c r="G2206" s="39" t="s">
        <v>32</v>
      </c>
      <c r="H2206" s="39" t="s">
        <v>26</v>
      </c>
      <c r="I2206" s="25" t="n">
        <v>7</v>
      </c>
      <c r="J2206" s="25" t="n">
        <v>1</v>
      </c>
      <c r="K2206" s="25" t="n">
        <v>7</v>
      </c>
      <c r="L2206" s="29" t="n">
        <v>0.58</v>
      </c>
      <c r="M2206" s="30" t="n">
        <v>20.69</v>
      </c>
      <c r="N2206" s="29" t="n">
        <v>0.4</v>
      </c>
      <c r="O2206" s="25" t="n">
        <v>183</v>
      </c>
      <c r="P2206" s="30" t="n">
        <v>18.01</v>
      </c>
      <c r="Q2206" s="27" t="s">
        <v>3986</v>
      </c>
      <c r="R2206" s="27" t="s">
        <v>1926</v>
      </c>
    </row>
    <row r="2207" customFormat="false" ht="15" hidden="false" customHeight="false" outlineLevel="0" collapsed="false">
      <c r="A2207" s="25" t="n">
        <f aca="false">IF(G2207="REJECT",COUNTIF($G$2:$G$2277,"&lt;&gt;REJECT")+1+COUNTIFS($G$2:$G$2277,"REJECT",$B$2:$B$2277,"&gt;"&amp;B2207),1+COUNTIFS($G$2:$G$2277,"&lt;&gt;REJECT",$B$2:$B$2277,"&gt;"&amp;B2207))</f>
        <v>2206</v>
      </c>
      <c r="B2207" s="26" t="n">
        <f aca="false">ROUND(($U$2*MAX(0,MIN(1,($W$2-I2207)/($W$2-$V$2)))+$U$3*MAX(0,MIN(1,($W$3-J2207)/($W$3-$V$3)))+$U$4*MAX(0,MIN(1,($W$4-K2207)/($W$4-$V$4)))+$U$5*MAX(0,MIN(1,($W$5-L2207)/($W$5-$V$5)))+$U$6*MAX(0,MIN(1,($W$6-M2207)/($W$6-$V$6)))+$U$7*MAX(0,MIN(1,($W$7-N2207)/($W$7-$V$7)))+$U$8*IF(AND(O2207&gt;=$V$8,O2207&lt;=$W$8),1,0))/$U$9*100,2)</f>
        <v>28.79</v>
      </c>
      <c r="C2207" s="27" t="s">
        <v>2124</v>
      </c>
      <c r="D2207" s="25" t="s">
        <v>134</v>
      </c>
      <c r="E2207" s="25" t="s">
        <v>3450</v>
      </c>
      <c r="F2207" s="25" t="s">
        <v>3448</v>
      </c>
      <c r="G2207" s="39" t="s">
        <v>32</v>
      </c>
      <c r="H2207" s="39" t="s">
        <v>26</v>
      </c>
      <c r="I2207" s="25" t="n">
        <v>9</v>
      </c>
      <c r="J2207" s="25" t="n">
        <v>1</v>
      </c>
      <c r="K2207" s="25" t="n">
        <v>9</v>
      </c>
      <c r="L2207" s="29" t="n">
        <v>0.67</v>
      </c>
      <c r="M2207" s="30" t="n">
        <v>14.08</v>
      </c>
      <c r="N2207" s="29" t="n">
        <v>0.64</v>
      </c>
      <c r="O2207" s="25" t="n">
        <v>187</v>
      </c>
      <c r="P2207" s="30" t="n">
        <v>-0.21</v>
      </c>
      <c r="Q2207" s="27" t="s">
        <v>4030</v>
      </c>
      <c r="R2207" s="27" t="s">
        <v>231</v>
      </c>
    </row>
    <row r="2208" customFormat="false" ht="15" hidden="false" customHeight="false" outlineLevel="0" collapsed="false">
      <c r="A2208" s="25" t="n">
        <f aca="false">IF(G2208="REJECT",COUNTIF($G$2:$G$2277,"&lt;&gt;REJECT")+1+COUNTIFS($G$2:$G$2277,"REJECT",$B$2:$B$2277,"&gt;"&amp;B2208),1+COUNTIFS($G$2:$G$2277,"&lt;&gt;REJECT",$B$2:$B$2277,"&gt;"&amp;B2208))</f>
        <v>2207</v>
      </c>
      <c r="B2208" s="26" t="n">
        <f aca="false">ROUND(($U$2*MAX(0,MIN(1,($W$2-I2208)/($W$2-$V$2)))+$U$3*MAX(0,MIN(1,($W$3-J2208)/($W$3-$V$3)))+$U$4*MAX(0,MIN(1,($W$4-K2208)/($W$4-$V$4)))+$U$5*MAX(0,MIN(1,($W$5-L2208)/($W$5-$V$5)))+$U$6*MAX(0,MIN(1,($W$6-M2208)/($W$6-$V$6)))+$U$7*MAX(0,MIN(1,($W$7-N2208)/($W$7-$V$7)))+$U$8*IF(AND(O2208&gt;=$V$8,O2208&lt;=$W$8),1,0))/$U$9*100,2)</f>
        <v>28.74</v>
      </c>
      <c r="C2208" s="27" t="s">
        <v>971</v>
      </c>
      <c r="D2208" s="25" t="s">
        <v>134</v>
      </c>
      <c r="E2208" s="25" t="s">
        <v>3450</v>
      </c>
      <c r="F2208" s="25" t="s">
        <v>3457</v>
      </c>
      <c r="G2208" s="39" t="s">
        <v>32</v>
      </c>
      <c r="H2208" s="39" t="s">
        <v>26</v>
      </c>
      <c r="I2208" s="25" t="n">
        <v>12</v>
      </c>
      <c r="J2208" s="25" t="n">
        <v>1</v>
      </c>
      <c r="K2208" s="25" t="n">
        <v>12</v>
      </c>
      <c r="L2208" s="29" t="n">
        <v>0.64</v>
      </c>
      <c r="M2208" s="30" t="n">
        <v>5.98</v>
      </c>
      <c r="N2208" s="29" t="n">
        <v>0.4</v>
      </c>
      <c r="O2208" s="25" t="n">
        <v>185</v>
      </c>
      <c r="P2208" s="30" t="n">
        <v>20.65</v>
      </c>
      <c r="Q2208" s="27" t="s">
        <v>4044</v>
      </c>
      <c r="R2208" s="27" t="s">
        <v>529</v>
      </c>
    </row>
    <row r="2209" customFormat="false" ht="15" hidden="false" customHeight="false" outlineLevel="0" collapsed="false">
      <c r="A2209" s="25" t="n">
        <f aca="false">IF(G2209="REJECT",COUNTIF($G$2:$G$2277,"&lt;&gt;REJECT")+1+COUNTIFS($G$2:$G$2277,"REJECT",$B$2:$B$2277,"&gt;"&amp;B2209),1+COUNTIFS($G$2:$G$2277,"&lt;&gt;REJECT",$B$2:$B$2277,"&gt;"&amp;B2209))</f>
        <v>2208</v>
      </c>
      <c r="B2209" s="26" t="n">
        <f aca="false">ROUND(($U$2*MAX(0,MIN(1,($W$2-I2209)/($W$2-$V$2)))+$U$3*MAX(0,MIN(1,($W$3-J2209)/($W$3-$V$3)))+$U$4*MAX(0,MIN(1,($W$4-K2209)/($W$4-$V$4)))+$U$5*MAX(0,MIN(1,($W$5-L2209)/($W$5-$V$5)))+$U$6*MAX(0,MIN(1,($W$6-M2209)/($W$6-$V$6)))+$U$7*MAX(0,MIN(1,($W$7-N2209)/($W$7-$V$7)))+$U$8*IF(AND(O2209&gt;=$V$8,O2209&lt;=$W$8),1,0))/$U$9*100,2)</f>
        <v>28.71</v>
      </c>
      <c r="C2209" s="27" t="s">
        <v>519</v>
      </c>
      <c r="D2209" s="25" t="s">
        <v>134</v>
      </c>
      <c r="E2209" s="25" t="s">
        <v>3450</v>
      </c>
      <c r="F2209" s="25" t="s">
        <v>3448</v>
      </c>
      <c r="G2209" s="39" t="s">
        <v>32</v>
      </c>
      <c r="H2209" s="39" t="s">
        <v>26</v>
      </c>
      <c r="I2209" s="25" t="n">
        <v>7</v>
      </c>
      <c r="J2209" s="25" t="n">
        <v>2</v>
      </c>
      <c r="K2209" s="25" t="n">
        <v>7</v>
      </c>
      <c r="L2209" s="29" t="n">
        <v>0.7</v>
      </c>
      <c r="M2209" s="30" t="n">
        <v>5.62</v>
      </c>
      <c r="N2209" s="29" t="n">
        <v>0.36</v>
      </c>
      <c r="O2209" s="25" t="n">
        <v>186</v>
      </c>
      <c r="P2209" s="30" t="n">
        <v>13.81</v>
      </c>
      <c r="Q2209" s="27" t="s">
        <v>4149</v>
      </c>
      <c r="R2209" s="27" t="s">
        <v>405</v>
      </c>
    </row>
    <row r="2210" customFormat="false" ht="15" hidden="false" customHeight="false" outlineLevel="0" collapsed="false">
      <c r="A2210" s="25" t="n">
        <f aca="false">IF(G2210="REJECT",COUNTIF($G$2:$G$2277,"&lt;&gt;REJECT")+1+COUNTIFS($G$2:$G$2277,"REJECT",$B$2:$B$2277,"&gt;"&amp;B2210),1+COUNTIFS($G$2:$G$2277,"&lt;&gt;REJECT",$B$2:$B$2277,"&gt;"&amp;B2210))</f>
        <v>2209</v>
      </c>
      <c r="B2210" s="26" t="n">
        <f aca="false">ROUND(($U$2*MAX(0,MIN(1,($W$2-I2210)/($W$2-$V$2)))+$U$3*MAX(0,MIN(1,($W$3-J2210)/($W$3-$V$3)))+$U$4*MAX(0,MIN(1,($W$4-K2210)/($W$4-$V$4)))+$U$5*MAX(0,MIN(1,($W$5-L2210)/($W$5-$V$5)))+$U$6*MAX(0,MIN(1,($W$6-M2210)/($W$6-$V$6)))+$U$7*MAX(0,MIN(1,($W$7-N2210)/($W$7-$V$7)))+$U$8*IF(AND(O2210&gt;=$V$8,O2210&lt;=$W$8),1,0))/$U$9*100,2)</f>
        <v>28.69</v>
      </c>
      <c r="C2210" s="27" t="s">
        <v>2124</v>
      </c>
      <c r="D2210" s="25" t="s">
        <v>134</v>
      </c>
      <c r="E2210" s="25" t="s">
        <v>3450</v>
      </c>
      <c r="F2210" s="25" t="s">
        <v>3457</v>
      </c>
      <c r="G2210" s="39" t="s">
        <v>32</v>
      </c>
      <c r="H2210" s="39" t="s">
        <v>26</v>
      </c>
      <c r="I2210" s="25" t="n">
        <v>11</v>
      </c>
      <c r="J2210" s="25" t="n">
        <v>1</v>
      </c>
      <c r="K2210" s="25" t="n">
        <v>11</v>
      </c>
      <c r="L2210" s="29" t="n">
        <v>0.68</v>
      </c>
      <c r="M2210" s="30" t="n">
        <v>15.05</v>
      </c>
      <c r="N2210" s="29" t="n">
        <v>0.96</v>
      </c>
      <c r="O2210" s="25" t="n">
        <v>185</v>
      </c>
      <c r="P2210" s="30" t="n">
        <v>-0.32</v>
      </c>
      <c r="Q2210" s="27" t="s">
        <v>4078</v>
      </c>
      <c r="R2210" s="27" t="s">
        <v>231</v>
      </c>
    </row>
    <row r="2211" customFormat="false" ht="15" hidden="false" customHeight="false" outlineLevel="0" collapsed="false">
      <c r="A2211" s="25" t="n">
        <f aca="false">IF(G2211="REJECT",COUNTIF($G$2:$G$2277,"&lt;&gt;REJECT")+1+COUNTIFS($G$2:$G$2277,"REJECT",$B$2:$B$2277,"&gt;"&amp;B2211),1+COUNTIFS($G$2:$G$2277,"&lt;&gt;REJECT",$B$2:$B$2277,"&gt;"&amp;B2211))</f>
        <v>2210</v>
      </c>
      <c r="B2211" s="26" t="n">
        <f aca="false">ROUND(($U$2*MAX(0,MIN(1,($W$2-I2211)/($W$2-$V$2)))+$U$3*MAX(0,MIN(1,($W$3-J2211)/($W$3-$V$3)))+$U$4*MAX(0,MIN(1,($W$4-K2211)/($W$4-$V$4)))+$U$5*MAX(0,MIN(1,($W$5-L2211)/($W$5-$V$5)))+$U$6*MAX(0,MIN(1,($W$6-M2211)/($W$6-$V$6)))+$U$7*MAX(0,MIN(1,($W$7-N2211)/($W$7-$V$7)))+$U$8*IF(AND(O2211&gt;=$V$8,O2211&lt;=$W$8),1,0))/$U$9*100,2)</f>
        <v>28.62</v>
      </c>
      <c r="C2211" s="27" t="s">
        <v>964</v>
      </c>
      <c r="D2211" s="25" t="s">
        <v>134</v>
      </c>
      <c r="E2211" s="25" t="s">
        <v>3447</v>
      </c>
      <c r="F2211" s="25" t="s">
        <v>3448</v>
      </c>
      <c r="G2211" s="39" t="s">
        <v>32</v>
      </c>
      <c r="H2211" s="39" t="s">
        <v>26</v>
      </c>
      <c r="I2211" s="25" t="n">
        <v>9</v>
      </c>
      <c r="J2211" s="25" t="n">
        <v>1</v>
      </c>
      <c r="K2211" s="25" t="n">
        <v>9</v>
      </c>
      <c r="L2211" s="29" t="n">
        <v>0.64</v>
      </c>
      <c r="M2211" s="30" t="n">
        <v>9.51</v>
      </c>
      <c r="N2211" s="29" t="n">
        <v>0.12</v>
      </c>
      <c r="O2211" s="25" t="n">
        <v>184</v>
      </c>
      <c r="P2211" s="30" t="n">
        <v>-1.47</v>
      </c>
      <c r="Q2211" s="27" t="s">
        <v>4042</v>
      </c>
      <c r="R2211" s="27" t="s">
        <v>529</v>
      </c>
    </row>
    <row r="2212" customFormat="false" ht="15" hidden="false" customHeight="false" outlineLevel="0" collapsed="false">
      <c r="A2212" s="25" t="n">
        <f aca="false">IF(G2212="REJECT",COUNTIF($G$2:$G$2277,"&lt;&gt;REJECT")+1+COUNTIFS($G$2:$G$2277,"REJECT",$B$2:$B$2277,"&gt;"&amp;B2212),1+COUNTIFS($G$2:$G$2277,"&lt;&gt;REJECT",$B$2:$B$2277,"&gt;"&amp;B2212))</f>
        <v>2211</v>
      </c>
      <c r="B2212" s="26" t="n">
        <f aca="false">ROUND(($U$2*MAX(0,MIN(1,($W$2-I2212)/($W$2-$V$2)))+$U$3*MAX(0,MIN(1,($W$3-J2212)/($W$3-$V$3)))+$U$4*MAX(0,MIN(1,($W$4-K2212)/($W$4-$V$4)))+$U$5*MAX(0,MIN(1,($W$5-L2212)/($W$5-$V$5)))+$U$6*MAX(0,MIN(1,($W$6-M2212)/($W$6-$V$6)))+$U$7*MAX(0,MIN(1,($W$7-N2212)/($W$7-$V$7)))+$U$8*IF(AND(O2212&gt;=$V$8,O2212&lt;=$W$8),1,0))/$U$9*100,2)</f>
        <v>28.53</v>
      </c>
      <c r="C2212" s="27" t="s">
        <v>3117</v>
      </c>
      <c r="D2212" s="25" t="s">
        <v>134</v>
      </c>
      <c r="E2212" s="25" t="s">
        <v>3450</v>
      </c>
      <c r="F2212" s="25" t="s">
        <v>3457</v>
      </c>
      <c r="G2212" s="39" t="s">
        <v>32</v>
      </c>
      <c r="H2212" s="39" t="s">
        <v>26</v>
      </c>
      <c r="I2212" s="25" t="n">
        <v>9</v>
      </c>
      <c r="J2212" s="25" t="n">
        <v>1</v>
      </c>
      <c r="K2212" s="25" t="n">
        <v>9</v>
      </c>
      <c r="L2212" s="29" t="n">
        <v>0.64</v>
      </c>
      <c r="M2212" s="30" t="n">
        <v>6.83</v>
      </c>
      <c r="N2212" s="29" t="n">
        <v>0.44</v>
      </c>
      <c r="O2212" s="25" t="n">
        <v>183</v>
      </c>
      <c r="P2212" s="30" t="n">
        <v>3.71</v>
      </c>
      <c r="Q2212" s="27" t="s">
        <v>4150</v>
      </c>
      <c r="R2212" s="27" t="s">
        <v>1311</v>
      </c>
    </row>
    <row r="2213" customFormat="false" ht="15" hidden="false" customHeight="false" outlineLevel="0" collapsed="false">
      <c r="A2213" s="25" t="n">
        <f aca="false">IF(G2213="REJECT",COUNTIF($G$2:$G$2277,"&lt;&gt;REJECT")+1+COUNTIFS($G$2:$G$2277,"REJECT",$B$2:$B$2277,"&gt;"&amp;B2213),1+COUNTIFS($G$2:$G$2277,"&lt;&gt;REJECT",$B$2:$B$2277,"&gt;"&amp;B2213))</f>
        <v>2212</v>
      </c>
      <c r="B2213" s="26" t="n">
        <f aca="false">ROUND(($U$2*MAX(0,MIN(1,($W$2-I2213)/($W$2-$V$2)))+$U$3*MAX(0,MIN(1,($W$3-J2213)/($W$3-$V$3)))+$U$4*MAX(0,MIN(1,($W$4-K2213)/($W$4-$V$4)))+$U$5*MAX(0,MIN(1,($W$5-L2213)/($W$5-$V$5)))+$U$6*MAX(0,MIN(1,($W$6-M2213)/($W$6-$V$6)))+$U$7*MAX(0,MIN(1,($W$7-N2213)/($W$7-$V$7)))+$U$8*IF(AND(O2213&gt;=$V$8,O2213&lt;=$W$8),1,0))/$U$9*100,2)</f>
        <v>28.52</v>
      </c>
      <c r="C2213" s="27" t="s">
        <v>1859</v>
      </c>
      <c r="D2213" s="25" t="s">
        <v>134</v>
      </c>
      <c r="E2213" s="25" t="s">
        <v>3450</v>
      </c>
      <c r="F2213" s="25" t="s">
        <v>3457</v>
      </c>
      <c r="G2213" s="39" t="s">
        <v>32</v>
      </c>
      <c r="H2213" s="39" t="s">
        <v>26</v>
      </c>
      <c r="I2213" s="25" t="n">
        <v>14</v>
      </c>
      <c r="J2213" s="25" t="n">
        <v>1</v>
      </c>
      <c r="K2213" s="25" t="n">
        <v>14</v>
      </c>
      <c r="L2213" s="29" t="n">
        <v>0.65</v>
      </c>
      <c r="M2213" s="30" t="n">
        <v>13.67</v>
      </c>
      <c r="N2213" s="29" t="n">
        <v>0.12</v>
      </c>
      <c r="O2213" s="25" t="n">
        <v>183</v>
      </c>
      <c r="P2213" s="30" t="n">
        <v>-0.98</v>
      </c>
      <c r="Q2213" s="27" t="s">
        <v>4151</v>
      </c>
      <c r="R2213" s="27" t="s">
        <v>1409</v>
      </c>
    </row>
    <row r="2214" customFormat="false" ht="15" hidden="false" customHeight="false" outlineLevel="0" collapsed="false">
      <c r="A2214" s="25" t="n">
        <f aca="false">IF(G2214="REJECT",COUNTIF($G$2:$G$2277,"&lt;&gt;REJECT")+1+COUNTIFS($G$2:$G$2277,"REJECT",$B$2:$B$2277,"&gt;"&amp;B2214),1+COUNTIFS($G$2:$G$2277,"&lt;&gt;REJECT",$B$2:$B$2277,"&gt;"&amp;B2214))</f>
        <v>2213</v>
      </c>
      <c r="B2214" s="26" t="n">
        <f aca="false">ROUND(($U$2*MAX(0,MIN(1,($W$2-I2214)/($W$2-$V$2)))+$U$3*MAX(0,MIN(1,($W$3-J2214)/($W$3-$V$3)))+$U$4*MAX(0,MIN(1,($W$4-K2214)/($W$4-$V$4)))+$U$5*MAX(0,MIN(1,($W$5-L2214)/($W$5-$V$5)))+$U$6*MAX(0,MIN(1,($W$6-M2214)/($W$6-$V$6)))+$U$7*MAX(0,MIN(1,($W$7-N2214)/($W$7-$V$7)))+$U$8*IF(AND(O2214&gt;=$V$8,O2214&lt;=$W$8),1,0))/$U$9*100,2)</f>
        <v>28.48</v>
      </c>
      <c r="C2214" s="27" t="s">
        <v>2715</v>
      </c>
      <c r="D2214" s="25" t="s">
        <v>134</v>
      </c>
      <c r="E2214" s="25" t="s">
        <v>3450</v>
      </c>
      <c r="F2214" s="25" t="s">
        <v>3457</v>
      </c>
      <c r="G2214" s="39" t="s">
        <v>32</v>
      </c>
      <c r="H2214" s="39" t="s">
        <v>26</v>
      </c>
      <c r="I2214" s="25" t="n">
        <v>12</v>
      </c>
      <c r="J2214" s="25" t="n">
        <v>1</v>
      </c>
      <c r="K2214" s="25" t="n">
        <v>12</v>
      </c>
      <c r="L2214" s="29" t="n">
        <v>0.67</v>
      </c>
      <c r="M2214" s="30" t="n">
        <v>14.74</v>
      </c>
      <c r="N2214" s="29" t="n">
        <v>0.76</v>
      </c>
      <c r="O2214" s="25" t="n">
        <v>187</v>
      </c>
      <c r="P2214" s="30" t="n">
        <v>0.92</v>
      </c>
      <c r="Q2214" s="27" t="s">
        <v>4117</v>
      </c>
      <c r="R2214" s="27" t="s">
        <v>1409</v>
      </c>
    </row>
    <row r="2215" customFormat="false" ht="15" hidden="false" customHeight="false" outlineLevel="0" collapsed="false">
      <c r="A2215" s="25" t="n">
        <f aca="false">IF(G2215="REJECT",COUNTIF($G$2:$G$2277,"&lt;&gt;REJECT")+1+COUNTIFS($G$2:$G$2277,"REJECT",$B$2:$B$2277,"&gt;"&amp;B2215),1+COUNTIFS($G$2:$G$2277,"&lt;&gt;REJECT",$B$2:$B$2277,"&gt;"&amp;B2215))</f>
        <v>2214</v>
      </c>
      <c r="B2215" s="26" t="n">
        <f aca="false">ROUND(($U$2*MAX(0,MIN(1,($W$2-I2215)/($W$2-$V$2)))+$U$3*MAX(0,MIN(1,($W$3-J2215)/($W$3-$V$3)))+$U$4*MAX(0,MIN(1,($W$4-K2215)/($W$4-$V$4)))+$U$5*MAX(0,MIN(1,($W$5-L2215)/($W$5-$V$5)))+$U$6*MAX(0,MIN(1,($W$6-M2215)/($W$6-$V$6)))+$U$7*MAX(0,MIN(1,($W$7-N2215)/($W$7-$V$7)))+$U$8*IF(AND(O2215&gt;=$V$8,O2215&lt;=$W$8),1,0))/$U$9*100,2)</f>
        <v>28.41</v>
      </c>
      <c r="C2215" s="27" t="s">
        <v>1996</v>
      </c>
      <c r="D2215" s="25" t="s">
        <v>134</v>
      </c>
      <c r="E2215" s="25" t="s">
        <v>3450</v>
      </c>
      <c r="F2215" s="25" t="s">
        <v>3448</v>
      </c>
      <c r="G2215" s="39" t="s">
        <v>32</v>
      </c>
      <c r="H2215" s="39" t="s">
        <v>26</v>
      </c>
      <c r="I2215" s="25" t="n">
        <v>8</v>
      </c>
      <c r="J2215" s="25" t="n">
        <v>1</v>
      </c>
      <c r="K2215" s="25" t="n">
        <v>8</v>
      </c>
      <c r="L2215" s="29" t="n">
        <v>0.66</v>
      </c>
      <c r="M2215" s="30" t="n">
        <v>12.35</v>
      </c>
      <c r="N2215" s="29" t="n">
        <v>0.68</v>
      </c>
      <c r="O2215" s="25" t="n">
        <v>183</v>
      </c>
      <c r="P2215" s="30" t="n">
        <v>8.87</v>
      </c>
      <c r="Q2215" s="27" t="s">
        <v>4152</v>
      </c>
      <c r="R2215" s="27" t="s">
        <v>1311</v>
      </c>
    </row>
    <row r="2216" customFormat="false" ht="15" hidden="false" customHeight="false" outlineLevel="0" collapsed="false">
      <c r="A2216" s="25" t="n">
        <f aca="false">IF(G2216="REJECT",COUNTIF($G$2:$G$2277,"&lt;&gt;REJECT")+1+COUNTIFS($G$2:$G$2277,"REJECT",$B$2:$B$2277,"&gt;"&amp;B2216),1+COUNTIFS($G$2:$G$2277,"&lt;&gt;REJECT",$B$2:$B$2277,"&gt;"&amp;B2216))</f>
        <v>2215</v>
      </c>
      <c r="B2216" s="26" t="n">
        <f aca="false">ROUND(($U$2*MAX(0,MIN(1,($W$2-I2216)/($W$2-$V$2)))+$U$3*MAX(0,MIN(1,($W$3-J2216)/($W$3-$V$3)))+$U$4*MAX(0,MIN(1,($W$4-K2216)/($W$4-$V$4)))+$U$5*MAX(0,MIN(1,($W$5-L2216)/($W$5-$V$5)))+$U$6*MAX(0,MIN(1,($W$6-M2216)/($W$6-$V$6)))+$U$7*MAX(0,MIN(1,($W$7-N2216)/($W$7-$V$7)))+$U$8*IF(AND(O2216&gt;=$V$8,O2216&lt;=$W$8),1,0))/$U$9*100,2)</f>
        <v>28.36</v>
      </c>
      <c r="C2216" s="27" t="s">
        <v>1073</v>
      </c>
      <c r="D2216" s="25" t="s">
        <v>134</v>
      </c>
      <c r="E2216" s="25" t="s">
        <v>3447</v>
      </c>
      <c r="F2216" s="25" t="s">
        <v>3448</v>
      </c>
      <c r="G2216" s="39" t="s">
        <v>32</v>
      </c>
      <c r="H2216" s="39" t="s">
        <v>26</v>
      </c>
      <c r="I2216" s="25" t="n">
        <v>11</v>
      </c>
      <c r="J2216" s="25" t="n">
        <v>1</v>
      </c>
      <c r="K2216" s="25" t="n">
        <v>11</v>
      </c>
      <c r="L2216" s="29" t="n">
        <v>0.72</v>
      </c>
      <c r="M2216" s="30" t="n">
        <v>13.44</v>
      </c>
      <c r="N2216" s="29" t="n">
        <v>2.76</v>
      </c>
      <c r="O2216" s="25" t="n">
        <v>173</v>
      </c>
      <c r="P2216" s="30" t="n">
        <v>6.39</v>
      </c>
      <c r="Q2216" s="27" t="s">
        <v>4034</v>
      </c>
      <c r="R2216" s="27" t="s">
        <v>529</v>
      </c>
    </row>
    <row r="2217" customFormat="false" ht="15" hidden="false" customHeight="false" outlineLevel="0" collapsed="false">
      <c r="A2217" s="25" t="n">
        <f aca="false">IF(G2217="REJECT",COUNTIF($G$2:$G$2277,"&lt;&gt;REJECT")+1+COUNTIFS($G$2:$G$2277,"REJECT",$B$2:$B$2277,"&gt;"&amp;B2217),1+COUNTIFS($G$2:$G$2277,"&lt;&gt;REJECT",$B$2:$B$2277,"&gt;"&amp;B2217))</f>
        <v>2216</v>
      </c>
      <c r="B2217" s="26" t="n">
        <f aca="false">ROUND(($U$2*MAX(0,MIN(1,($W$2-I2217)/($W$2-$V$2)))+$U$3*MAX(0,MIN(1,($W$3-J2217)/($W$3-$V$3)))+$U$4*MAX(0,MIN(1,($W$4-K2217)/($W$4-$V$4)))+$U$5*MAX(0,MIN(1,($W$5-L2217)/($W$5-$V$5)))+$U$6*MAX(0,MIN(1,($W$6-M2217)/($W$6-$V$6)))+$U$7*MAX(0,MIN(1,($W$7-N2217)/($W$7-$V$7)))+$U$8*IF(AND(O2217&gt;=$V$8,O2217&lt;=$W$8),1,0))/$U$9*100,2)</f>
        <v>28.23</v>
      </c>
      <c r="C2217" s="27" t="s">
        <v>221</v>
      </c>
      <c r="D2217" s="25" t="s">
        <v>134</v>
      </c>
      <c r="E2217" s="25" t="s">
        <v>3450</v>
      </c>
      <c r="F2217" s="25" t="s">
        <v>3448</v>
      </c>
      <c r="G2217" s="39" t="s">
        <v>32</v>
      </c>
      <c r="H2217" s="39" t="s">
        <v>26</v>
      </c>
      <c r="I2217" s="25" t="n">
        <v>8</v>
      </c>
      <c r="J2217" s="25" t="n">
        <v>1</v>
      </c>
      <c r="K2217" s="25" t="n">
        <v>8</v>
      </c>
      <c r="L2217" s="29" t="n">
        <v>0.69</v>
      </c>
      <c r="M2217" s="30" t="n">
        <v>23.8</v>
      </c>
      <c r="N2217" s="29" t="n">
        <v>0.72</v>
      </c>
      <c r="O2217" s="25" t="n">
        <v>183</v>
      </c>
      <c r="P2217" s="30" t="n">
        <v>12.9</v>
      </c>
      <c r="Q2217" s="27" t="s">
        <v>4146</v>
      </c>
      <c r="R2217" s="27" t="s">
        <v>1926</v>
      </c>
    </row>
    <row r="2218" customFormat="false" ht="15" hidden="false" customHeight="false" outlineLevel="0" collapsed="false">
      <c r="A2218" s="25" t="n">
        <f aca="false">IF(G2218="REJECT",COUNTIF($G$2:$G$2277,"&lt;&gt;REJECT")+1+COUNTIFS($G$2:$G$2277,"REJECT",$B$2:$B$2277,"&gt;"&amp;B2218),1+COUNTIFS($G$2:$G$2277,"&lt;&gt;REJECT",$B$2:$B$2277,"&gt;"&amp;B2218))</f>
        <v>2217</v>
      </c>
      <c r="B2218" s="26" t="n">
        <f aca="false">ROUND(($U$2*MAX(0,MIN(1,($W$2-I2218)/($W$2-$V$2)))+$U$3*MAX(0,MIN(1,($W$3-J2218)/($W$3-$V$3)))+$U$4*MAX(0,MIN(1,($W$4-K2218)/($W$4-$V$4)))+$U$5*MAX(0,MIN(1,($W$5-L2218)/($W$5-$V$5)))+$U$6*MAX(0,MIN(1,($W$6-M2218)/($W$6-$V$6)))+$U$7*MAX(0,MIN(1,($W$7-N2218)/($W$7-$V$7)))+$U$8*IF(AND(O2218&gt;=$V$8,O2218&lt;=$W$8),1,0))/$U$9*100,2)</f>
        <v>28.16</v>
      </c>
      <c r="C2218" s="27" t="s">
        <v>1923</v>
      </c>
      <c r="D2218" s="25" t="s">
        <v>134</v>
      </c>
      <c r="E2218" s="25" t="s">
        <v>3450</v>
      </c>
      <c r="F2218" s="25" t="s">
        <v>3457</v>
      </c>
      <c r="G2218" s="39" t="s">
        <v>32</v>
      </c>
      <c r="H2218" s="39" t="s">
        <v>26</v>
      </c>
      <c r="I2218" s="25" t="n">
        <v>10</v>
      </c>
      <c r="J2218" s="25" t="n">
        <v>1</v>
      </c>
      <c r="K2218" s="25" t="n">
        <v>10</v>
      </c>
      <c r="L2218" s="29" t="n">
        <v>0.68</v>
      </c>
      <c r="M2218" s="30" t="n">
        <v>21.82</v>
      </c>
      <c r="N2218" s="29" t="n">
        <v>0.6</v>
      </c>
      <c r="O2218" s="25" t="n">
        <v>192</v>
      </c>
      <c r="P2218" s="30" t="n">
        <v>13.37</v>
      </c>
      <c r="Q2218" s="27" t="s">
        <v>4011</v>
      </c>
      <c r="R2218" s="27" t="s">
        <v>1926</v>
      </c>
    </row>
    <row r="2219" customFormat="false" ht="15" hidden="false" customHeight="false" outlineLevel="0" collapsed="false">
      <c r="A2219" s="25" t="n">
        <f aca="false">IF(G2219="REJECT",COUNTIF($G$2:$G$2277,"&lt;&gt;REJECT")+1+COUNTIFS($G$2:$G$2277,"REJECT",$B$2:$B$2277,"&gt;"&amp;B2219),1+COUNTIFS($G$2:$G$2277,"&lt;&gt;REJECT",$B$2:$B$2277,"&gt;"&amp;B2219))</f>
        <v>2218</v>
      </c>
      <c r="B2219" s="26" t="n">
        <f aca="false">ROUND(($U$2*MAX(0,MIN(1,($W$2-I2219)/($W$2-$V$2)))+$U$3*MAX(0,MIN(1,($W$3-J2219)/($W$3-$V$3)))+$U$4*MAX(0,MIN(1,($W$4-K2219)/($W$4-$V$4)))+$U$5*MAX(0,MIN(1,($W$5-L2219)/($W$5-$V$5)))+$U$6*MAX(0,MIN(1,($W$6-M2219)/($W$6-$V$6)))+$U$7*MAX(0,MIN(1,($W$7-N2219)/($W$7-$V$7)))+$U$8*IF(AND(O2219&gt;=$V$8,O2219&lt;=$W$8),1,0))/$U$9*100,2)</f>
        <v>28.11</v>
      </c>
      <c r="C2219" s="27" t="s">
        <v>1175</v>
      </c>
      <c r="D2219" s="25" t="s">
        <v>134</v>
      </c>
      <c r="E2219" s="25" t="s">
        <v>3450</v>
      </c>
      <c r="F2219" s="25" t="s">
        <v>3457</v>
      </c>
      <c r="G2219" s="39" t="s">
        <v>32</v>
      </c>
      <c r="H2219" s="39" t="s">
        <v>26</v>
      </c>
      <c r="I2219" s="25" t="n">
        <v>12</v>
      </c>
      <c r="J2219" s="25" t="n">
        <v>1</v>
      </c>
      <c r="K2219" s="25" t="n">
        <v>12</v>
      </c>
      <c r="L2219" s="29" t="n">
        <v>0.68</v>
      </c>
      <c r="M2219" s="30" t="n">
        <v>25.73</v>
      </c>
      <c r="N2219" s="29" t="n">
        <v>0.24</v>
      </c>
      <c r="O2219" s="25" t="n">
        <v>228</v>
      </c>
      <c r="P2219" s="30" t="n">
        <v>12.76</v>
      </c>
      <c r="Q2219" s="27" t="s">
        <v>4153</v>
      </c>
      <c r="R2219" s="27" t="s">
        <v>1178</v>
      </c>
    </row>
    <row r="2220" customFormat="false" ht="15" hidden="false" customHeight="false" outlineLevel="0" collapsed="false">
      <c r="A2220" s="25" t="n">
        <f aca="false">IF(G2220="REJECT",COUNTIF($G$2:$G$2277,"&lt;&gt;REJECT")+1+COUNTIFS($G$2:$G$2277,"REJECT",$B$2:$B$2277,"&gt;"&amp;B2220),1+COUNTIFS($G$2:$G$2277,"&lt;&gt;REJECT",$B$2:$B$2277,"&gt;"&amp;B2220))</f>
        <v>2219</v>
      </c>
      <c r="B2220" s="26" t="n">
        <f aca="false">ROUND(($U$2*MAX(0,MIN(1,($W$2-I2220)/($W$2-$V$2)))+$U$3*MAX(0,MIN(1,($W$3-J2220)/($W$3-$V$3)))+$U$4*MAX(0,MIN(1,($W$4-K2220)/($W$4-$V$4)))+$U$5*MAX(0,MIN(1,($W$5-L2220)/($W$5-$V$5)))+$U$6*MAX(0,MIN(1,($W$6-M2220)/($W$6-$V$6)))+$U$7*MAX(0,MIN(1,($W$7-N2220)/($W$7-$V$7)))+$U$8*IF(AND(O2220&gt;=$V$8,O2220&lt;=$W$8),1,0))/$U$9*100,2)</f>
        <v>27.99</v>
      </c>
      <c r="C2220" s="27" t="s">
        <v>2149</v>
      </c>
      <c r="D2220" s="25" t="s">
        <v>3459</v>
      </c>
      <c r="E2220" s="25" t="s">
        <v>3447</v>
      </c>
      <c r="F2220" s="25" t="s">
        <v>3457</v>
      </c>
      <c r="G2220" s="39" t="s">
        <v>32</v>
      </c>
      <c r="H2220" s="39" t="s">
        <v>26</v>
      </c>
      <c r="I2220" s="25" t="n">
        <v>9</v>
      </c>
      <c r="J2220" s="25" t="n">
        <v>1</v>
      </c>
      <c r="K2220" s="25" t="n">
        <v>9</v>
      </c>
      <c r="L2220" s="29" t="n">
        <v>0.69</v>
      </c>
      <c r="M2220" s="30" t="n">
        <v>24.84</v>
      </c>
      <c r="N2220" s="29" t="n">
        <v>0.76</v>
      </c>
      <c r="O2220" s="25" t="n">
        <v>185</v>
      </c>
      <c r="P2220" s="30" t="n">
        <v>5.68</v>
      </c>
      <c r="Q2220" s="27" t="s">
        <v>4030</v>
      </c>
      <c r="R2220" s="27" t="s">
        <v>1926</v>
      </c>
    </row>
    <row r="2221" customFormat="false" ht="15" hidden="false" customHeight="false" outlineLevel="0" collapsed="false">
      <c r="A2221" s="25" t="n">
        <f aca="false">IF(G2221="REJECT",COUNTIF($G$2:$G$2277,"&lt;&gt;REJECT")+1+COUNTIFS($G$2:$G$2277,"REJECT",$B$2:$B$2277,"&gt;"&amp;B2221),1+COUNTIFS($G$2:$G$2277,"&lt;&gt;REJECT",$B$2:$B$2277,"&gt;"&amp;B2221))</f>
        <v>2220</v>
      </c>
      <c r="B2221" s="26" t="n">
        <f aca="false">ROUND(($U$2*MAX(0,MIN(1,($W$2-I2221)/($W$2-$V$2)))+$U$3*MAX(0,MIN(1,($W$3-J2221)/($W$3-$V$3)))+$U$4*MAX(0,MIN(1,($W$4-K2221)/($W$4-$V$4)))+$U$5*MAX(0,MIN(1,($W$5-L2221)/($W$5-$V$5)))+$U$6*MAX(0,MIN(1,($W$6-M2221)/($W$6-$V$6)))+$U$7*MAX(0,MIN(1,($W$7-N2221)/($W$7-$V$7)))+$U$8*IF(AND(O2221&gt;=$V$8,O2221&lt;=$W$8),1,0))/$U$9*100,2)</f>
        <v>27.98</v>
      </c>
      <c r="C2221" s="27" t="s">
        <v>1996</v>
      </c>
      <c r="D2221" s="25" t="s">
        <v>3459</v>
      </c>
      <c r="E2221" s="25" t="s">
        <v>3447</v>
      </c>
      <c r="F2221" s="25" t="s">
        <v>3457</v>
      </c>
      <c r="G2221" s="39" t="s">
        <v>32</v>
      </c>
      <c r="H2221" s="39" t="s">
        <v>26</v>
      </c>
      <c r="I2221" s="25" t="n">
        <v>8</v>
      </c>
      <c r="J2221" s="25" t="n">
        <v>1</v>
      </c>
      <c r="K2221" s="25" t="n">
        <v>8</v>
      </c>
      <c r="L2221" s="29" t="n">
        <v>0.68</v>
      </c>
      <c r="M2221" s="30" t="n">
        <v>19.34</v>
      </c>
      <c r="N2221" s="29" t="n">
        <v>0.96</v>
      </c>
      <c r="O2221" s="25" t="n">
        <v>183</v>
      </c>
      <c r="P2221" s="30" t="n">
        <v>4.39</v>
      </c>
      <c r="Q2221" s="27" t="s">
        <v>4154</v>
      </c>
      <c r="R2221" s="27" t="s">
        <v>529</v>
      </c>
    </row>
    <row r="2222" customFormat="false" ht="15" hidden="false" customHeight="false" outlineLevel="0" collapsed="false">
      <c r="A2222" s="25" t="n">
        <f aca="false">IF(G2222="REJECT",COUNTIF($G$2:$G$2277,"&lt;&gt;REJECT")+1+COUNTIFS($G$2:$G$2277,"REJECT",$B$2:$B$2277,"&gt;"&amp;B2222),1+COUNTIFS($G$2:$G$2277,"&lt;&gt;REJECT",$B$2:$B$2277,"&gt;"&amp;B2222))</f>
        <v>2220</v>
      </c>
      <c r="B2222" s="26" t="n">
        <f aca="false">ROUND(($U$2*MAX(0,MIN(1,($W$2-I2222)/($W$2-$V$2)))+$U$3*MAX(0,MIN(1,($W$3-J2222)/($W$3-$V$3)))+$U$4*MAX(0,MIN(1,($W$4-K2222)/($W$4-$V$4)))+$U$5*MAX(0,MIN(1,($W$5-L2222)/($W$5-$V$5)))+$U$6*MAX(0,MIN(1,($W$6-M2222)/($W$6-$V$6)))+$U$7*MAX(0,MIN(1,($W$7-N2222)/($W$7-$V$7)))+$U$8*IF(AND(O2222&gt;=$V$8,O2222&lt;=$W$8),1,0))/$U$9*100,2)</f>
        <v>27.98</v>
      </c>
      <c r="C2222" s="27" t="s">
        <v>2149</v>
      </c>
      <c r="D2222" s="25" t="s">
        <v>134</v>
      </c>
      <c r="E2222" s="25" t="s">
        <v>3447</v>
      </c>
      <c r="F2222" s="25" t="s">
        <v>3457</v>
      </c>
      <c r="G2222" s="39" t="s">
        <v>32</v>
      </c>
      <c r="H2222" s="39" t="s">
        <v>26</v>
      </c>
      <c r="I2222" s="25" t="n">
        <v>13</v>
      </c>
      <c r="J2222" s="25" t="n">
        <v>1</v>
      </c>
      <c r="K2222" s="25" t="n">
        <v>13</v>
      </c>
      <c r="L2222" s="29" t="n">
        <v>0.66</v>
      </c>
      <c r="M2222" s="30" t="n">
        <v>15.31</v>
      </c>
      <c r="N2222" s="29" t="n">
        <v>0.64</v>
      </c>
      <c r="O2222" s="25" t="n">
        <v>183</v>
      </c>
      <c r="P2222" s="30" t="n">
        <v>3.89</v>
      </c>
      <c r="Q2222" s="27" t="s">
        <v>4057</v>
      </c>
      <c r="R2222" s="27" t="s">
        <v>529</v>
      </c>
    </row>
    <row r="2223" customFormat="false" ht="15" hidden="false" customHeight="false" outlineLevel="0" collapsed="false">
      <c r="A2223" s="25" t="n">
        <f aca="false">IF(G2223="REJECT",COUNTIF($G$2:$G$2277,"&lt;&gt;REJECT")+1+COUNTIFS($G$2:$G$2277,"REJECT",$B$2:$B$2277,"&gt;"&amp;B2223),1+COUNTIFS($G$2:$G$2277,"&lt;&gt;REJECT",$B$2:$B$2277,"&gt;"&amp;B2223))</f>
        <v>2222</v>
      </c>
      <c r="B2223" s="26" t="n">
        <f aca="false">ROUND(($U$2*MAX(0,MIN(1,($W$2-I2223)/($W$2-$V$2)))+$U$3*MAX(0,MIN(1,($W$3-J2223)/($W$3-$V$3)))+$U$4*MAX(0,MIN(1,($W$4-K2223)/($W$4-$V$4)))+$U$5*MAX(0,MIN(1,($W$5-L2223)/($W$5-$V$5)))+$U$6*MAX(0,MIN(1,($W$6-M2223)/($W$6-$V$6)))+$U$7*MAX(0,MIN(1,($W$7-N2223)/($W$7-$V$7)))+$U$8*IF(AND(O2223&gt;=$V$8,O2223&lt;=$W$8),1,0))/$U$9*100,2)</f>
        <v>27.96</v>
      </c>
      <c r="C2223" s="27" t="s">
        <v>3016</v>
      </c>
      <c r="D2223" s="25" t="s">
        <v>134</v>
      </c>
      <c r="E2223" s="25" t="s">
        <v>3450</v>
      </c>
      <c r="F2223" s="25" t="s">
        <v>3457</v>
      </c>
      <c r="G2223" s="39" t="s">
        <v>32</v>
      </c>
      <c r="H2223" s="39" t="s">
        <v>26</v>
      </c>
      <c r="I2223" s="25" t="n">
        <v>9</v>
      </c>
      <c r="J2223" s="25" t="n">
        <v>1</v>
      </c>
      <c r="K2223" s="25" t="n">
        <v>9</v>
      </c>
      <c r="L2223" s="29" t="n">
        <v>0.62</v>
      </c>
      <c r="M2223" s="30" t="n">
        <v>7.47</v>
      </c>
      <c r="N2223" s="29" t="n">
        <v>0</v>
      </c>
      <c r="O2223" s="25" t="n">
        <v>183</v>
      </c>
      <c r="P2223" s="30" t="n">
        <v>11.47</v>
      </c>
      <c r="Q2223" s="27" t="s">
        <v>4155</v>
      </c>
      <c r="R2223" s="27" t="s">
        <v>529</v>
      </c>
    </row>
    <row r="2224" customFormat="false" ht="15" hidden="false" customHeight="false" outlineLevel="0" collapsed="false">
      <c r="A2224" s="25" t="n">
        <f aca="false">IF(G2224="REJECT",COUNTIF($G$2:$G$2277,"&lt;&gt;REJECT")+1+COUNTIFS($G$2:$G$2277,"REJECT",$B$2:$B$2277,"&gt;"&amp;B2224),1+COUNTIFS($G$2:$G$2277,"&lt;&gt;REJECT",$B$2:$B$2277,"&gt;"&amp;B2224))</f>
        <v>2223</v>
      </c>
      <c r="B2224" s="26" t="n">
        <f aca="false">ROUND(($U$2*MAX(0,MIN(1,($W$2-I2224)/($W$2-$V$2)))+$U$3*MAX(0,MIN(1,($W$3-J2224)/($W$3-$V$3)))+$U$4*MAX(0,MIN(1,($W$4-K2224)/($W$4-$V$4)))+$U$5*MAX(0,MIN(1,($W$5-L2224)/($W$5-$V$5)))+$U$6*MAX(0,MIN(1,($W$6-M2224)/($W$6-$V$6)))+$U$7*MAX(0,MIN(1,($W$7-N2224)/($W$7-$V$7)))+$U$8*IF(AND(O2224&gt;=$V$8,O2224&lt;=$W$8),1,0))/$U$9*100,2)</f>
        <v>27.92</v>
      </c>
      <c r="C2224" s="27" t="s">
        <v>2586</v>
      </c>
      <c r="D2224" s="25" t="s">
        <v>134</v>
      </c>
      <c r="E2224" s="25" t="s">
        <v>3447</v>
      </c>
      <c r="F2224" s="25" t="s">
        <v>3457</v>
      </c>
      <c r="G2224" s="39" t="s">
        <v>32</v>
      </c>
      <c r="H2224" s="39" t="s">
        <v>26</v>
      </c>
      <c r="I2224" s="25" t="n">
        <v>17</v>
      </c>
      <c r="J2224" s="25" t="n">
        <v>1</v>
      </c>
      <c r="K2224" s="25" t="n">
        <v>17</v>
      </c>
      <c r="L2224" s="29" t="n">
        <v>0.69</v>
      </c>
      <c r="M2224" s="30" t="n">
        <v>26.08</v>
      </c>
      <c r="N2224" s="29" t="n">
        <v>0.68</v>
      </c>
      <c r="O2224" s="25" t="n">
        <v>189</v>
      </c>
      <c r="P2224" s="30" t="n">
        <v>-1.13</v>
      </c>
      <c r="Q2224" s="27" t="s">
        <v>4156</v>
      </c>
      <c r="R2224" s="27" t="s">
        <v>1926</v>
      </c>
    </row>
    <row r="2225" customFormat="false" ht="15" hidden="false" customHeight="false" outlineLevel="0" collapsed="false">
      <c r="A2225" s="25" t="n">
        <f aca="false">IF(G2225="REJECT",COUNTIF($G$2:$G$2277,"&lt;&gt;REJECT")+1+COUNTIFS($G$2:$G$2277,"REJECT",$B$2:$B$2277,"&gt;"&amp;B2225),1+COUNTIFS($G$2:$G$2277,"&lt;&gt;REJECT",$B$2:$B$2277,"&gt;"&amp;B2225))</f>
        <v>2224</v>
      </c>
      <c r="B2225" s="26" t="n">
        <f aca="false">ROUND(($U$2*MAX(0,MIN(1,($W$2-I2225)/($W$2-$V$2)))+$U$3*MAX(0,MIN(1,($W$3-J2225)/($W$3-$V$3)))+$U$4*MAX(0,MIN(1,($W$4-K2225)/($W$4-$V$4)))+$U$5*MAX(0,MIN(1,($W$5-L2225)/($W$5-$V$5)))+$U$6*MAX(0,MIN(1,($W$6-M2225)/($W$6-$V$6)))+$U$7*MAX(0,MIN(1,($W$7-N2225)/($W$7-$V$7)))+$U$8*IF(AND(O2225&gt;=$V$8,O2225&lt;=$W$8),1,0))/$U$9*100,2)</f>
        <v>27.87</v>
      </c>
      <c r="C2225" s="27" t="s">
        <v>2703</v>
      </c>
      <c r="D2225" s="25" t="s">
        <v>134</v>
      </c>
      <c r="E2225" s="25" t="s">
        <v>3450</v>
      </c>
      <c r="F2225" s="25" t="s">
        <v>3448</v>
      </c>
      <c r="G2225" s="39" t="s">
        <v>32</v>
      </c>
      <c r="H2225" s="39" t="s">
        <v>26</v>
      </c>
      <c r="I2225" s="25" t="n">
        <v>9</v>
      </c>
      <c r="J2225" s="25" t="n">
        <v>1</v>
      </c>
      <c r="K2225" s="25" t="n">
        <v>9</v>
      </c>
      <c r="L2225" s="29" t="n">
        <v>0.68</v>
      </c>
      <c r="M2225" s="30" t="n">
        <v>28.38</v>
      </c>
      <c r="N2225" s="29" t="n">
        <v>0.12</v>
      </c>
      <c r="O2225" s="25" t="n">
        <v>216</v>
      </c>
      <c r="P2225" s="30" t="n">
        <v>7.05</v>
      </c>
      <c r="Q2225" s="27" t="s">
        <v>4062</v>
      </c>
      <c r="R2225" s="27" t="s">
        <v>1926</v>
      </c>
    </row>
    <row r="2226" customFormat="false" ht="15" hidden="false" customHeight="false" outlineLevel="0" collapsed="false">
      <c r="A2226" s="25" t="n">
        <f aca="false">IF(G2226="REJECT",COUNTIF($G$2:$G$2277,"&lt;&gt;REJECT")+1+COUNTIFS($G$2:$G$2277,"REJECT",$B$2:$B$2277,"&gt;"&amp;B2226),1+COUNTIFS($G$2:$G$2277,"&lt;&gt;REJECT",$B$2:$B$2277,"&gt;"&amp;B2226))</f>
        <v>2225</v>
      </c>
      <c r="B2226" s="26" t="n">
        <f aca="false">ROUND(($U$2*MAX(0,MIN(1,($W$2-I2226)/($W$2-$V$2)))+$U$3*MAX(0,MIN(1,($W$3-J2226)/($W$3-$V$3)))+$U$4*MAX(0,MIN(1,($W$4-K2226)/($W$4-$V$4)))+$U$5*MAX(0,MIN(1,($W$5-L2226)/($W$5-$V$5)))+$U$6*MAX(0,MIN(1,($W$6-M2226)/($W$6-$V$6)))+$U$7*MAX(0,MIN(1,($W$7-N2226)/($W$7-$V$7)))+$U$8*IF(AND(O2226&gt;=$V$8,O2226&lt;=$W$8),1,0))/$U$9*100,2)</f>
        <v>27.79</v>
      </c>
      <c r="C2226" s="27" t="s">
        <v>2709</v>
      </c>
      <c r="D2226" s="25" t="s">
        <v>3459</v>
      </c>
      <c r="E2226" s="25" t="s">
        <v>3450</v>
      </c>
      <c r="F2226" s="25" t="s">
        <v>3457</v>
      </c>
      <c r="G2226" s="39" t="s">
        <v>32</v>
      </c>
      <c r="H2226" s="39" t="s">
        <v>26</v>
      </c>
      <c r="I2226" s="25" t="n">
        <v>8</v>
      </c>
      <c r="J2226" s="25" t="n">
        <v>1</v>
      </c>
      <c r="K2226" s="25" t="n">
        <v>8</v>
      </c>
      <c r="L2226" s="29" t="n">
        <v>0.66</v>
      </c>
      <c r="M2226" s="30" t="n">
        <v>16.09</v>
      </c>
      <c r="N2226" s="29" t="n">
        <v>0.68</v>
      </c>
      <c r="O2226" s="25" t="n">
        <v>185</v>
      </c>
      <c r="P2226" s="30" t="n">
        <v>14.82</v>
      </c>
      <c r="Q2226" s="27" t="s">
        <v>4157</v>
      </c>
      <c r="R2226" s="27" t="s">
        <v>529</v>
      </c>
    </row>
    <row r="2227" customFormat="false" ht="15" hidden="false" customHeight="false" outlineLevel="0" collapsed="false">
      <c r="A2227" s="25" t="n">
        <f aca="false">IF(G2227="REJECT",COUNTIF($G$2:$G$2277,"&lt;&gt;REJECT")+1+COUNTIFS($G$2:$G$2277,"REJECT",$B$2:$B$2277,"&gt;"&amp;B2227),1+COUNTIFS($G$2:$G$2277,"&lt;&gt;REJECT",$B$2:$B$2277,"&gt;"&amp;B2227))</f>
        <v>2226</v>
      </c>
      <c r="B2227" s="26" t="n">
        <f aca="false">ROUND(($U$2*MAX(0,MIN(1,($W$2-I2227)/($W$2-$V$2)))+$U$3*MAX(0,MIN(1,($W$3-J2227)/($W$3-$V$3)))+$U$4*MAX(0,MIN(1,($W$4-K2227)/($W$4-$V$4)))+$U$5*MAX(0,MIN(1,($W$5-L2227)/($W$5-$V$5)))+$U$6*MAX(0,MIN(1,($W$6-M2227)/($W$6-$V$6)))+$U$7*MAX(0,MIN(1,($W$7-N2227)/($W$7-$V$7)))+$U$8*IF(AND(O2227&gt;=$V$8,O2227&lt;=$W$8),1,0))/$U$9*100,2)</f>
        <v>27.76</v>
      </c>
      <c r="C2227" s="27" t="s">
        <v>1110</v>
      </c>
      <c r="D2227" s="25" t="s">
        <v>134</v>
      </c>
      <c r="E2227" s="25" t="s">
        <v>3450</v>
      </c>
      <c r="F2227" s="25" t="s">
        <v>3448</v>
      </c>
      <c r="G2227" s="39" t="s">
        <v>32</v>
      </c>
      <c r="H2227" s="39" t="s">
        <v>26</v>
      </c>
      <c r="I2227" s="25" t="n">
        <v>11</v>
      </c>
      <c r="J2227" s="25" t="n">
        <v>1</v>
      </c>
      <c r="K2227" s="25" t="n">
        <v>11</v>
      </c>
      <c r="L2227" s="29" t="n">
        <v>0.64</v>
      </c>
      <c r="M2227" s="30" t="n">
        <v>14.25</v>
      </c>
      <c r="N2227" s="29" t="n">
        <v>0.16</v>
      </c>
      <c r="O2227" s="25" t="n">
        <v>183</v>
      </c>
      <c r="P2227" s="30" t="n">
        <v>15.07</v>
      </c>
      <c r="Q2227" s="27" t="s">
        <v>4158</v>
      </c>
      <c r="R2227" s="27" t="s">
        <v>529</v>
      </c>
    </row>
    <row r="2228" customFormat="false" ht="15" hidden="false" customHeight="false" outlineLevel="0" collapsed="false">
      <c r="A2228" s="25" t="n">
        <f aca="false">IF(G2228="REJECT",COUNTIF($G$2:$G$2277,"&lt;&gt;REJECT")+1+COUNTIFS($G$2:$G$2277,"REJECT",$B$2:$B$2277,"&gt;"&amp;B2228),1+COUNTIFS($G$2:$G$2277,"&lt;&gt;REJECT",$B$2:$B$2277,"&gt;"&amp;B2228))</f>
        <v>2226</v>
      </c>
      <c r="B2228" s="26" t="n">
        <f aca="false">ROUND(($U$2*MAX(0,MIN(1,($W$2-I2228)/($W$2-$V$2)))+$U$3*MAX(0,MIN(1,($W$3-J2228)/($W$3-$V$3)))+$U$4*MAX(0,MIN(1,($W$4-K2228)/($W$4-$V$4)))+$U$5*MAX(0,MIN(1,($W$5-L2228)/($W$5-$V$5)))+$U$6*MAX(0,MIN(1,($W$6-M2228)/($W$6-$V$6)))+$U$7*MAX(0,MIN(1,($W$7-N2228)/($W$7-$V$7)))+$U$8*IF(AND(O2228&gt;=$V$8,O2228&lt;=$W$8),1,0))/$U$9*100,2)</f>
        <v>27.76</v>
      </c>
      <c r="C2228" s="27" t="s">
        <v>2447</v>
      </c>
      <c r="D2228" s="25" t="s">
        <v>134</v>
      </c>
      <c r="E2228" s="25" t="s">
        <v>3450</v>
      </c>
      <c r="F2228" s="25" t="s">
        <v>3457</v>
      </c>
      <c r="G2228" s="39" t="s">
        <v>32</v>
      </c>
      <c r="H2228" s="39" t="s">
        <v>26</v>
      </c>
      <c r="I2228" s="25" t="n">
        <v>11</v>
      </c>
      <c r="J2228" s="25" t="n">
        <v>1</v>
      </c>
      <c r="K2228" s="25" t="n">
        <v>11</v>
      </c>
      <c r="L2228" s="29" t="n">
        <v>0.64</v>
      </c>
      <c r="M2228" s="30" t="n">
        <v>12.62</v>
      </c>
      <c r="N2228" s="29" t="n">
        <v>0.32</v>
      </c>
      <c r="O2228" s="25" t="n">
        <v>196</v>
      </c>
      <c r="P2228" s="30" t="n">
        <v>-0.63</v>
      </c>
      <c r="Q2228" s="27" t="s">
        <v>4159</v>
      </c>
      <c r="R2228" s="27" t="s">
        <v>1409</v>
      </c>
    </row>
    <row r="2229" customFormat="false" ht="15" hidden="false" customHeight="false" outlineLevel="0" collapsed="false">
      <c r="A2229" s="25" t="n">
        <f aca="false">IF(G2229="REJECT",COUNTIF($G$2:$G$2277,"&lt;&gt;REJECT")+1+COUNTIFS($G$2:$G$2277,"REJECT",$B$2:$B$2277,"&gt;"&amp;B2229),1+COUNTIFS($G$2:$G$2277,"&lt;&gt;REJECT",$B$2:$B$2277,"&gt;"&amp;B2229))</f>
        <v>2226</v>
      </c>
      <c r="B2229" s="26" t="n">
        <f aca="false">ROUND(($U$2*MAX(0,MIN(1,($W$2-I2229)/($W$2-$V$2)))+$U$3*MAX(0,MIN(1,($W$3-J2229)/($W$3-$V$3)))+$U$4*MAX(0,MIN(1,($W$4-K2229)/($W$4-$V$4)))+$U$5*MAX(0,MIN(1,($W$5-L2229)/($W$5-$V$5)))+$U$6*MAX(0,MIN(1,($W$6-M2229)/($W$6-$V$6)))+$U$7*MAX(0,MIN(1,($W$7-N2229)/($W$7-$V$7)))+$U$8*IF(AND(O2229&gt;=$V$8,O2229&lt;=$W$8),1,0))/$U$9*100,2)</f>
        <v>27.76</v>
      </c>
      <c r="C2229" s="27" t="s">
        <v>2672</v>
      </c>
      <c r="D2229" s="25" t="s">
        <v>134</v>
      </c>
      <c r="E2229" s="25" t="s">
        <v>3450</v>
      </c>
      <c r="F2229" s="25" t="s">
        <v>3457</v>
      </c>
      <c r="G2229" s="39" t="s">
        <v>32</v>
      </c>
      <c r="H2229" s="39" t="s">
        <v>26</v>
      </c>
      <c r="I2229" s="25" t="n">
        <v>9</v>
      </c>
      <c r="J2229" s="25" t="n">
        <v>1</v>
      </c>
      <c r="K2229" s="25" t="n">
        <v>9</v>
      </c>
      <c r="L2229" s="29" t="n">
        <v>0.66</v>
      </c>
      <c r="M2229" s="30" t="n">
        <v>23.07</v>
      </c>
      <c r="N2229" s="29" t="n">
        <v>0</v>
      </c>
      <c r="O2229" s="25" t="n">
        <v>184</v>
      </c>
      <c r="P2229" s="30" t="n">
        <v>18.35</v>
      </c>
      <c r="Q2229" s="27" t="s">
        <v>4160</v>
      </c>
      <c r="R2229" s="27" t="s">
        <v>1926</v>
      </c>
    </row>
    <row r="2230" customFormat="false" ht="15" hidden="false" customHeight="false" outlineLevel="0" collapsed="false">
      <c r="A2230" s="25" t="n">
        <f aca="false">IF(G2230="REJECT",COUNTIF($G$2:$G$2277,"&lt;&gt;REJECT")+1+COUNTIFS($G$2:$G$2277,"REJECT",$B$2:$B$2277,"&gt;"&amp;B2230),1+COUNTIFS($G$2:$G$2277,"&lt;&gt;REJECT",$B$2:$B$2277,"&gt;"&amp;B2230))</f>
        <v>2229</v>
      </c>
      <c r="B2230" s="26" t="n">
        <f aca="false">ROUND(($U$2*MAX(0,MIN(1,($W$2-I2230)/($W$2-$V$2)))+$U$3*MAX(0,MIN(1,($W$3-J2230)/($W$3-$V$3)))+$U$4*MAX(0,MIN(1,($W$4-K2230)/($W$4-$V$4)))+$U$5*MAX(0,MIN(1,($W$5-L2230)/($W$5-$V$5)))+$U$6*MAX(0,MIN(1,($W$6-M2230)/($W$6-$V$6)))+$U$7*MAX(0,MIN(1,($W$7-N2230)/($W$7-$V$7)))+$U$8*IF(AND(O2230&gt;=$V$8,O2230&lt;=$W$8),1,0))/$U$9*100,2)</f>
        <v>27.69</v>
      </c>
      <c r="C2230" s="27" t="s">
        <v>3132</v>
      </c>
      <c r="D2230" s="25" t="s">
        <v>3459</v>
      </c>
      <c r="E2230" s="25" t="s">
        <v>3447</v>
      </c>
      <c r="F2230" s="25" t="s">
        <v>3448</v>
      </c>
      <c r="G2230" s="39" t="s">
        <v>32</v>
      </c>
      <c r="H2230" s="39" t="s">
        <v>26</v>
      </c>
      <c r="I2230" s="25" t="n">
        <v>7</v>
      </c>
      <c r="J2230" s="25" t="n">
        <v>1</v>
      </c>
      <c r="K2230" s="25" t="n">
        <v>7</v>
      </c>
      <c r="L2230" s="29" t="n">
        <v>0.5</v>
      </c>
      <c r="M2230" s="30" t="n">
        <v>15.76</v>
      </c>
      <c r="N2230" s="29" t="n">
        <v>0.56</v>
      </c>
      <c r="O2230" s="25" t="n">
        <v>183</v>
      </c>
      <c r="P2230" s="30" t="n">
        <v>1.13</v>
      </c>
      <c r="Q2230" s="27" t="s">
        <v>4161</v>
      </c>
      <c r="R2230" s="27" t="s">
        <v>529</v>
      </c>
    </row>
    <row r="2231" customFormat="false" ht="15" hidden="false" customHeight="false" outlineLevel="0" collapsed="false">
      <c r="A2231" s="25" t="n">
        <f aca="false">IF(G2231="REJECT",COUNTIF($G$2:$G$2277,"&lt;&gt;REJECT")+1+COUNTIFS($G$2:$G$2277,"REJECT",$B$2:$B$2277,"&gt;"&amp;B2231),1+COUNTIFS($G$2:$G$2277,"&lt;&gt;REJECT",$B$2:$B$2277,"&gt;"&amp;B2231))</f>
        <v>2230</v>
      </c>
      <c r="B2231" s="26" t="n">
        <f aca="false">ROUND(($U$2*MAX(0,MIN(1,($W$2-I2231)/($W$2-$V$2)))+$U$3*MAX(0,MIN(1,($W$3-J2231)/($W$3-$V$3)))+$U$4*MAX(0,MIN(1,($W$4-K2231)/($W$4-$V$4)))+$U$5*MAX(0,MIN(1,($W$5-L2231)/($W$5-$V$5)))+$U$6*MAX(0,MIN(1,($W$6-M2231)/($W$6-$V$6)))+$U$7*MAX(0,MIN(1,($W$7-N2231)/($W$7-$V$7)))+$U$8*IF(AND(O2231&gt;=$V$8,O2231&lt;=$W$8),1,0))/$U$9*100,2)</f>
        <v>27.64</v>
      </c>
      <c r="C2231" s="27" t="s">
        <v>2891</v>
      </c>
      <c r="D2231" s="25" t="s">
        <v>3459</v>
      </c>
      <c r="E2231" s="25" t="s">
        <v>3450</v>
      </c>
      <c r="F2231" s="25" t="s">
        <v>3457</v>
      </c>
      <c r="G2231" s="39" t="s">
        <v>32</v>
      </c>
      <c r="H2231" s="39" t="s">
        <v>26</v>
      </c>
      <c r="I2231" s="25" t="n">
        <v>10</v>
      </c>
      <c r="J2231" s="25" t="n">
        <v>1</v>
      </c>
      <c r="K2231" s="25" t="n">
        <v>10</v>
      </c>
      <c r="L2231" s="29" t="n">
        <v>0.67</v>
      </c>
      <c r="M2231" s="30" t="n">
        <v>22.59</v>
      </c>
      <c r="N2231" s="29" t="n">
        <v>0.48</v>
      </c>
      <c r="O2231" s="25" t="n">
        <v>183</v>
      </c>
      <c r="P2231" s="30" t="n">
        <v>19.68</v>
      </c>
      <c r="Q2231" s="27" t="s">
        <v>4011</v>
      </c>
      <c r="R2231" s="27" t="s">
        <v>1926</v>
      </c>
    </row>
    <row r="2232" customFormat="false" ht="15" hidden="false" customHeight="false" outlineLevel="0" collapsed="false">
      <c r="A2232" s="25" t="n">
        <f aca="false">IF(G2232="REJECT",COUNTIF($G$2:$G$2277,"&lt;&gt;REJECT")+1+COUNTIFS($G$2:$G$2277,"REJECT",$B$2:$B$2277,"&gt;"&amp;B2232),1+COUNTIFS($G$2:$G$2277,"&lt;&gt;REJECT",$B$2:$B$2277,"&gt;"&amp;B2232))</f>
        <v>2231</v>
      </c>
      <c r="B2232" s="26" t="n">
        <f aca="false">ROUND(($U$2*MAX(0,MIN(1,($W$2-I2232)/($W$2-$V$2)))+$U$3*MAX(0,MIN(1,($W$3-J2232)/($W$3-$V$3)))+$U$4*MAX(0,MIN(1,($W$4-K2232)/($W$4-$V$4)))+$U$5*MAX(0,MIN(1,($W$5-L2232)/($W$5-$V$5)))+$U$6*MAX(0,MIN(1,($W$6-M2232)/($W$6-$V$6)))+$U$7*MAX(0,MIN(1,($W$7-N2232)/($W$7-$V$7)))+$U$8*IF(AND(O2232&gt;=$V$8,O2232&lt;=$W$8),1,0))/$U$9*100,2)</f>
        <v>27.63</v>
      </c>
      <c r="C2232" s="27" t="s">
        <v>2397</v>
      </c>
      <c r="D2232" s="25" t="s">
        <v>3459</v>
      </c>
      <c r="E2232" s="25" t="s">
        <v>3447</v>
      </c>
      <c r="F2232" s="25" t="s">
        <v>3457</v>
      </c>
      <c r="G2232" s="39" t="s">
        <v>32</v>
      </c>
      <c r="H2232" s="39" t="s">
        <v>26</v>
      </c>
      <c r="I2232" s="25" t="n">
        <v>8</v>
      </c>
      <c r="J2232" s="25" t="n">
        <v>1</v>
      </c>
      <c r="K2232" s="25" t="n">
        <v>8</v>
      </c>
      <c r="L2232" s="29" t="n">
        <v>0.64</v>
      </c>
      <c r="M2232" s="30" t="n">
        <v>13.84</v>
      </c>
      <c r="N2232" s="29" t="n">
        <v>0.28</v>
      </c>
      <c r="O2232" s="25" t="n">
        <v>186</v>
      </c>
      <c r="P2232" s="30" t="n">
        <v>9.78</v>
      </c>
      <c r="Q2232" s="27" t="s">
        <v>4162</v>
      </c>
      <c r="R2232" s="27" t="s">
        <v>529</v>
      </c>
    </row>
    <row r="2233" customFormat="false" ht="15" hidden="false" customHeight="false" outlineLevel="0" collapsed="false">
      <c r="A2233" s="25" t="n">
        <f aca="false">IF(G2233="REJECT",COUNTIF($G$2:$G$2277,"&lt;&gt;REJECT")+1+COUNTIFS($G$2:$G$2277,"REJECT",$B$2:$B$2277,"&gt;"&amp;B2233),1+COUNTIFS($G$2:$G$2277,"&lt;&gt;REJECT",$B$2:$B$2277,"&gt;"&amp;B2233))</f>
        <v>2232</v>
      </c>
      <c r="B2233" s="26" t="n">
        <f aca="false">ROUND(($U$2*MAX(0,MIN(1,($W$2-I2233)/($W$2-$V$2)))+$U$3*MAX(0,MIN(1,($W$3-J2233)/($W$3-$V$3)))+$U$4*MAX(0,MIN(1,($W$4-K2233)/($W$4-$V$4)))+$U$5*MAX(0,MIN(1,($W$5-L2233)/($W$5-$V$5)))+$U$6*MAX(0,MIN(1,($W$6-M2233)/($W$6-$V$6)))+$U$7*MAX(0,MIN(1,($W$7-N2233)/($W$7-$V$7)))+$U$8*IF(AND(O2233&gt;=$V$8,O2233&lt;=$W$8),1,0))/$U$9*100,2)</f>
        <v>27.62</v>
      </c>
      <c r="C2233" s="27" t="s">
        <v>1406</v>
      </c>
      <c r="D2233" s="25" t="s">
        <v>134</v>
      </c>
      <c r="E2233" s="25" t="s">
        <v>3450</v>
      </c>
      <c r="F2233" s="25" t="s">
        <v>3448</v>
      </c>
      <c r="G2233" s="39" t="s">
        <v>32</v>
      </c>
      <c r="H2233" s="39" t="s">
        <v>26</v>
      </c>
      <c r="I2233" s="25" t="n">
        <v>10</v>
      </c>
      <c r="J2233" s="25" t="n">
        <v>1</v>
      </c>
      <c r="K2233" s="25" t="n">
        <v>10</v>
      </c>
      <c r="L2233" s="29" t="n">
        <v>0.67</v>
      </c>
      <c r="M2233" s="30" t="n">
        <v>18.3</v>
      </c>
      <c r="N2233" s="29" t="n">
        <v>0.92</v>
      </c>
      <c r="O2233" s="25" t="n">
        <v>191</v>
      </c>
      <c r="P2233" s="30" t="n">
        <v>-0.71</v>
      </c>
      <c r="Q2233" s="27" t="s">
        <v>4066</v>
      </c>
      <c r="R2233" s="27" t="s">
        <v>1409</v>
      </c>
    </row>
    <row r="2234" customFormat="false" ht="15" hidden="false" customHeight="false" outlineLevel="0" collapsed="false">
      <c r="A2234" s="25" t="n">
        <f aca="false">IF(G2234="REJECT",COUNTIF($G$2:$G$2277,"&lt;&gt;REJECT")+1+COUNTIFS($G$2:$G$2277,"REJECT",$B$2:$B$2277,"&gt;"&amp;B2234),1+COUNTIFS($G$2:$G$2277,"&lt;&gt;REJECT",$B$2:$B$2277,"&gt;"&amp;B2234))</f>
        <v>2233</v>
      </c>
      <c r="B2234" s="26" t="n">
        <f aca="false">ROUND(($U$2*MAX(0,MIN(1,($W$2-I2234)/($W$2-$V$2)))+$U$3*MAX(0,MIN(1,($W$3-J2234)/($W$3-$V$3)))+$U$4*MAX(0,MIN(1,($W$4-K2234)/($W$4-$V$4)))+$U$5*MAX(0,MIN(1,($W$5-L2234)/($W$5-$V$5)))+$U$6*MAX(0,MIN(1,($W$6-M2234)/($W$6-$V$6)))+$U$7*MAX(0,MIN(1,($W$7-N2234)/($W$7-$V$7)))+$U$8*IF(AND(O2234&gt;=$V$8,O2234&lt;=$W$8),1,0))/$U$9*100,2)</f>
        <v>27.54</v>
      </c>
      <c r="C2234" s="27" t="s">
        <v>2866</v>
      </c>
      <c r="D2234" s="25" t="s">
        <v>3459</v>
      </c>
      <c r="E2234" s="25" t="s">
        <v>3447</v>
      </c>
      <c r="F2234" s="25" t="s">
        <v>3448</v>
      </c>
      <c r="G2234" s="39" t="s">
        <v>32</v>
      </c>
      <c r="H2234" s="39" t="s">
        <v>26</v>
      </c>
      <c r="I2234" s="25" t="n">
        <v>9</v>
      </c>
      <c r="J2234" s="25" t="n">
        <v>1</v>
      </c>
      <c r="K2234" s="25" t="n">
        <v>9</v>
      </c>
      <c r="L2234" s="29" t="n">
        <v>0.62</v>
      </c>
      <c r="M2234" s="30" t="n">
        <v>0.37</v>
      </c>
      <c r="N2234" s="29" t="n">
        <v>0.96</v>
      </c>
      <c r="O2234" s="25" t="n">
        <v>184</v>
      </c>
      <c r="P2234" s="30" t="n">
        <v>-1</v>
      </c>
      <c r="Q2234" s="27" t="s">
        <v>4042</v>
      </c>
      <c r="R2234" s="27" t="s">
        <v>1311</v>
      </c>
    </row>
    <row r="2235" customFormat="false" ht="15" hidden="false" customHeight="false" outlineLevel="0" collapsed="false">
      <c r="A2235" s="25" t="n">
        <f aca="false">IF(G2235="REJECT",COUNTIF($G$2:$G$2277,"&lt;&gt;REJECT")+1+COUNTIFS($G$2:$G$2277,"REJECT",$B$2:$B$2277,"&gt;"&amp;B2235),1+COUNTIFS($G$2:$G$2277,"&lt;&gt;REJECT",$B$2:$B$2277,"&gt;"&amp;B2235))</f>
        <v>2234</v>
      </c>
      <c r="B2235" s="26" t="n">
        <f aca="false">ROUND(($U$2*MAX(0,MIN(1,($W$2-I2235)/($W$2-$V$2)))+$U$3*MAX(0,MIN(1,($W$3-J2235)/($W$3-$V$3)))+$U$4*MAX(0,MIN(1,($W$4-K2235)/($W$4-$V$4)))+$U$5*MAX(0,MIN(1,($W$5-L2235)/($W$5-$V$5)))+$U$6*MAX(0,MIN(1,($W$6-M2235)/($W$6-$V$6)))+$U$7*MAX(0,MIN(1,($W$7-N2235)/($W$7-$V$7)))+$U$8*IF(AND(O2235&gt;=$V$8,O2235&lt;=$W$8),1,0))/$U$9*100,2)</f>
        <v>27.47</v>
      </c>
      <c r="C2235" s="27" t="s">
        <v>235</v>
      </c>
      <c r="D2235" s="25" t="s">
        <v>134</v>
      </c>
      <c r="E2235" s="25" t="s">
        <v>3450</v>
      </c>
      <c r="F2235" s="25" t="s">
        <v>3457</v>
      </c>
      <c r="G2235" s="39" t="s">
        <v>32</v>
      </c>
      <c r="H2235" s="39" t="s">
        <v>26</v>
      </c>
      <c r="I2235" s="25" t="n">
        <v>10</v>
      </c>
      <c r="J2235" s="25" t="n">
        <v>1</v>
      </c>
      <c r="K2235" s="25" t="n">
        <v>9</v>
      </c>
      <c r="L2235" s="29" t="n">
        <v>0.63</v>
      </c>
      <c r="M2235" s="30" t="n">
        <v>7.6</v>
      </c>
      <c r="N2235" s="29" t="n">
        <v>0.64</v>
      </c>
      <c r="O2235" s="25" t="n">
        <v>182</v>
      </c>
      <c r="P2235" s="30" t="n">
        <v>0.67</v>
      </c>
      <c r="Q2235" s="27" t="s">
        <v>4163</v>
      </c>
      <c r="R2235" s="27" t="s">
        <v>1409</v>
      </c>
    </row>
    <row r="2236" customFormat="false" ht="15" hidden="false" customHeight="false" outlineLevel="0" collapsed="false">
      <c r="A2236" s="25" t="n">
        <f aca="false">IF(G2236="REJECT",COUNTIF($G$2:$G$2277,"&lt;&gt;REJECT")+1+COUNTIFS($G$2:$G$2277,"REJECT",$B$2:$B$2277,"&gt;"&amp;B2236),1+COUNTIFS($G$2:$G$2277,"&lt;&gt;REJECT",$B$2:$B$2277,"&gt;"&amp;B2236))</f>
        <v>2235</v>
      </c>
      <c r="B2236" s="26" t="n">
        <f aca="false">ROUND(($U$2*MAX(0,MIN(1,($W$2-I2236)/($W$2-$V$2)))+$U$3*MAX(0,MIN(1,($W$3-J2236)/($W$3-$V$3)))+$U$4*MAX(0,MIN(1,($W$4-K2236)/($W$4-$V$4)))+$U$5*MAX(0,MIN(1,($W$5-L2236)/($W$5-$V$5)))+$U$6*MAX(0,MIN(1,($W$6-M2236)/($W$6-$V$6)))+$U$7*MAX(0,MIN(1,($W$7-N2236)/($W$7-$V$7)))+$U$8*IF(AND(O2236&gt;=$V$8,O2236&lt;=$W$8),1,0))/$U$9*100,2)</f>
        <v>27.46</v>
      </c>
      <c r="C2236" s="27" t="s">
        <v>360</v>
      </c>
      <c r="D2236" s="25" t="s">
        <v>134</v>
      </c>
      <c r="E2236" s="25" t="s">
        <v>3450</v>
      </c>
      <c r="F2236" s="25" t="s">
        <v>3448</v>
      </c>
      <c r="G2236" s="39" t="s">
        <v>32</v>
      </c>
      <c r="H2236" s="39" t="s">
        <v>26</v>
      </c>
      <c r="I2236" s="25" t="n">
        <v>12</v>
      </c>
      <c r="J2236" s="25" t="n">
        <v>1</v>
      </c>
      <c r="K2236" s="25" t="n">
        <v>12</v>
      </c>
      <c r="L2236" s="29" t="n">
        <v>0.64</v>
      </c>
      <c r="M2236" s="30" t="n">
        <v>17.63</v>
      </c>
      <c r="N2236" s="29" t="n">
        <v>0</v>
      </c>
      <c r="O2236" s="25" t="n">
        <v>225</v>
      </c>
      <c r="P2236" s="30" t="n">
        <v>7.35</v>
      </c>
      <c r="Q2236" s="27" t="s">
        <v>4044</v>
      </c>
      <c r="R2236" s="27" t="s">
        <v>1311</v>
      </c>
    </row>
    <row r="2237" customFormat="false" ht="15" hidden="false" customHeight="false" outlineLevel="0" collapsed="false">
      <c r="A2237" s="25" t="n">
        <f aca="false">IF(G2237="REJECT",COUNTIF($G$2:$G$2277,"&lt;&gt;REJECT")+1+COUNTIFS($G$2:$G$2277,"REJECT",$B$2:$B$2277,"&gt;"&amp;B2237),1+COUNTIFS($G$2:$G$2277,"&lt;&gt;REJECT",$B$2:$B$2277,"&gt;"&amp;B2237))</f>
        <v>2236</v>
      </c>
      <c r="B2237" s="26" t="n">
        <f aca="false">ROUND(($U$2*MAX(0,MIN(1,($W$2-I2237)/($W$2-$V$2)))+$U$3*MAX(0,MIN(1,($W$3-J2237)/($W$3-$V$3)))+$U$4*MAX(0,MIN(1,($W$4-K2237)/($W$4-$V$4)))+$U$5*MAX(0,MIN(1,($W$5-L2237)/($W$5-$V$5)))+$U$6*MAX(0,MIN(1,($W$6-M2237)/($W$6-$V$6)))+$U$7*MAX(0,MIN(1,($W$7-N2237)/($W$7-$V$7)))+$U$8*IF(AND(O2237&gt;=$V$8,O2237&lt;=$W$8),1,0))/$U$9*100,2)</f>
        <v>27.45</v>
      </c>
      <c r="C2237" s="27" t="s">
        <v>526</v>
      </c>
      <c r="D2237" s="25" t="s">
        <v>134</v>
      </c>
      <c r="E2237" s="25" t="s">
        <v>3450</v>
      </c>
      <c r="F2237" s="25" t="s">
        <v>3457</v>
      </c>
      <c r="G2237" s="39" t="s">
        <v>32</v>
      </c>
      <c r="H2237" s="39" t="s">
        <v>26</v>
      </c>
      <c r="I2237" s="25" t="n">
        <v>12</v>
      </c>
      <c r="J2237" s="25" t="n">
        <v>1</v>
      </c>
      <c r="K2237" s="25" t="n">
        <v>12</v>
      </c>
      <c r="L2237" s="29" t="n">
        <v>0.63</v>
      </c>
      <c r="M2237" s="30" t="n">
        <v>11.73</v>
      </c>
      <c r="N2237" s="29" t="n">
        <v>0.24</v>
      </c>
      <c r="O2237" s="25" t="n">
        <v>181</v>
      </c>
      <c r="P2237" s="30" t="n">
        <v>19.12</v>
      </c>
      <c r="Q2237" s="27" t="s">
        <v>4044</v>
      </c>
      <c r="R2237" s="27" t="s">
        <v>529</v>
      </c>
    </row>
    <row r="2238" customFormat="false" ht="15" hidden="false" customHeight="false" outlineLevel="0" collapsed="false">
      <c r="A2238" s="25" t="n">
        <f aca="false">IF(G2238="REJECT",COUNTIF($G$2:$G$2277,"&lt;&gt;REJECT")+1+COUNTIFS($G$2:$G$2277,"REJECT",$B$2:$B$2277,"&gt;"&amp;B2238),1+COUNTIFS($G$2:$G$2277,"&lt;&gt;REJECT",$B$2:$B$2277,"&gt;"&amp;B2238))</f>
        <v>2237</v>
      </c>
      <c r="B2238" s="26" t="n">
        <f aca="false">ROUND(($U$2*MAX(0,MIN(1,($W$2-I2238)/($W$2-$V$2)))+$U$3*MAX(0,MIN(1,($W$3-J2238)/($W$3-$V$3)))+$U$4*MAX(0,MIN(1,($W$4-K2238)/($W$4-$V$4)))+$U$5*MAX(0,MIN(1,($W$5-L2238)/($W$5-$V$5)))+$U$6*MAX(0,MIN(1,($W$6-M2238)/($W$6-$V$6)))+$U$7*MAX(0,MIN(1,($W$7-N2238)/($W$7-$V$7)))+$U$8*IF(AND(O2238&gt;=$V$8,O2238&lt;=$W$8),1,0))/$U$9*100,2)</f>
        <v>27.35</v>
      </c>
      <c r="C2238" s="27" t="s">
        <v>951</v>
      </c>
      <c r="D2238" s="25" t="s">
        <v>3459</v>
      </c>
      <c r="E2238" s="25" t="s">
        <v>3450</v>
      </c>
      <c r="F2238" s="25" t="s">
        <v>3457</v>
      </c>
      <c r="G2238" s="39" t="s">
        <v>32</v>
      </c>
      <c r="H2238" s="39" t="s">
        <v>26</v>
      </c>
      <c r="I2238" s="25" t="n">
        <v>11</v>
      </c>
      <c r="J2238" s="25" t="n">
        <v>1</v>
      </c>
      <c r="K2238" s="25" t="n">
        <v>11</v>
      </c>
      <c r="L2238" s="29" t="n">
        <v>0.66</v>
      </c>
      <c r="M2238" s="30" t="n">
        <v>20.68</v>
      </c>
      <c r="N2238" s="29" t="n">
        <v>0.48</v>
      </c>
      <c r="O2238" s="25" t="n">
        <v>183</v>
      </c>
      <c r="P2238" s="30" t="n">
        <v>15.32</v>
      </c>
      <c r="Q2238" s="27" t="s">
        <v>4164</v>
      </c>
      <c r="R2238" s="27" t="s">
        <v>1926</v>
      </c>
    </row>
    <row r="2239" customFormat="false" ht="15" hidden="false" customHeight="false" outlineLevel="0" collapsed="false">
      <c r="A2239" s="25" t="n">
        <f aca="false">IF(G2239="REJECT",COUNTIF($G$2:$G$2277,"&lt;&gt;REJECT")+1+COUNTIFS($G$2:$G$2277,"REJECT",$B$2:$B$2277,"&gt;"&amp;B2239),1+COUNTIFS($G$2:$G$2277,"&lt;&gt;REJECT",$B$2:$B$2277,"&gt;"&amp;B2239))</f>
        <v>2238</v>
      </c>
      <c r="B2239" s="26" t="n">
        <f aca="false">ROUND(($U$2*MAX(0,MIN(1,($W$2-I2239)/($W$2-$V$2)))+$U$3*MAX(0,MIN(1,($W$3-J2239)/($W$3-$V$3)))+$U$4*MAX(0,MIN(1,($W$4-K2239)/($W$4-$V$4)))+$U$5*MAX(0,MIN(1,($W$5-L2239)/($W$5-$V$5)))+$U$6*MAX(0,MIN(1,($W$6-M2239)/($W$6-$V$6)))+$U$7*MAX(0,MIN(1,($W$7-N2239)/($W$7-$V$7)))+$U$8*IF(AND(O2239&gt;=$V$8,O2239&lt;=$W$8),1,0))/$U$9*100,2)</f>
        <v>27.18</v>
      </c>
      <c r="C2239" s="27" t="s">
        <v>2746</v>
      </c>
      <c r="D2239" s="25" t="s">
        <v>134</v>
      </c>
      <c r="E2239" s="25" t="s">
        <v>3450</v>
      </c>
      <c r="F2239" s="25" t="s">
        <v>3457</v>
      </c>
      <c r="G2239" s="39" t="s">
        <v>32</v>
      </c>
      <c r="H2239" s="39" t="s">
        <v>26</v>
      </c>
      <c r="I2239" s="25" t="n">
        <v>8</v>
      </c>
      <c r="J2239" s="25" t="n">
        <v>1</v>
      </c>
      <c r="K2239" s="25" t="n">
        <v>8</v>
      </c>
      <c r="L2239" s="29" t="n">
        <v>0.66</v>
      </c>
      <c r="M2239" s="30" t="n">
        <v>16.9</v>
      </c>
      <c r="N2239" s="29" t="n">
        <v>0.96</v>
      </c>
      <c r="O2239" s="25" t="n">
        <v>184</v>
      </c>
      <c r="P2239" s="30" t="n">
        <v>11.11</v>
      </c>
      <c r="Q2239" s="27" t="s">
        <v>4165</v>
      </c>
      <c r="R2239" s="27" t="s">
        <v>529</v>
      </c>
    </row>
    <row r="2240" customFormat="false" ht="15" hidden="false" customHeight="false" outlineLevel="0" collapsed="false">
      <c r="A2240" s="25" t="n">
        <f aca="false">IF(G2240="REJECT",COUNTIF($G$2:$G$2277,"&lt;&gt;REJECT")+1+COUNTIFS($G$2:$G$2277,"REJECT",$B$2:$B$2277,"&gt;"&amp;B2240),1+COUNTIFS($G$2:$G$2277,"&lt;&gt;REJECT",$B$2:$B$2277,"&gt;"&amp;B2240))</f>
        <v>2239</v>
      </c>
      <c r="B2240" s="26" t="n">
        <f aca="false">ROUND(($U$2*MAX(0,MIN(1,($W$2-I2240)/($W$2-$V$2)))+$U$3*MAX(0,MIN(1,($W$3-J2240)/($W$3-$V$3)))+$U$4*MAX(0,MIN(1,($W$4-K2240)/($W$4-$V$4)))+$U$5*MAX(0,MIN(1,($W$5-L2240)/($W$5-$V$5)))+$U$6*MAX(0,MIN(1,($W$6-M2240)/($W$6-$V$6)))+$U$7*MAX(0,MIN(1,($W$7-N2240)/($W$7-$V$7)))+$U$8*IF(AND(O2240&gt;=$V$8,O2240&lt;=$W$8),1,0))/$U$9*100,2)</f>
        <v>27.12</v>
      </c>
      <c r="C2240" s="27" t="s">
        <v>2891</v>
      </c>
      <c r="D2240" s="25" t="s">
        <v>134</v>
      </c>
      <c r="E2240" s="25" t="s">
        <v>3450</v>
      </c>
      <c r="F2240" s="25" t="s">
        <v>3457</v>
      </c>
      <c r="G2240" s="39" t="s">
        <v>32</v>
      </c>
      <c r="H2240" s="39" t="s">
        <v>26</v>
      </c>
      <c r="I2240" s="25" t="n">
        <v>11</v>
      </c>
      <c r="J2240" s="25" t="n">
        <v>1</v>
      </c>
      <c r="K2240" s="25" t="n">
        <v>11</v>
      </c>
      <c r="L2240" s="29" t="n">
        <v>0.63</v>
      </c>
      <c r="M2240" s="30" t="n">
        <v>14.48</v>
      </c>
      <c r="N2240" s="29" t="n">
        <v>0.16</v>
      </c>
      <c r="O2240" s="25" t="n">
        <v>193</v>
      </c>
      <c r="P2240" s="30" t="n">
        <v>20.79</v>
      </c>
      <c r="Q2240" s="27" t="s">
        <v>4034</v>
      </c>
      <c r="R2240" s="27" t="s">
        <v>529</v>
      </c>
    </row>
    <row r="2241" customFormat="false" ht="15" hidden="false" customHeight="false" outlineLevel="0" collapsed="false">
      <c r="A2241" s="25" t="n">
        <f aca="false">IF(G2241="REJECT",COUNTIF($G$2:$G$2277,"&lt;&gt;REJECT")+1+COUNTIFS($G$2:$G$2277,"REJECT",$B$2:$B$2277,"&gt;"&amp;B2241),1+COUNTIFS($G$2:$G$2277,"&lt;&gt;REJECT",$B$2:$B$2277,"&gt;"&amp;B2241))</f>
        <v>2240</v>
      </c>
      <c r="B2241" s="26" t="n">
        <f aca="false">ROUND(($U$2*MAX(0,MIN(1,($W$2-I2241)/($W$2-$V$2)))+$U$3*MAX(0,MIN(1,($W$3-J2241)/($W$3-$V$3)))+$U$4*MAX(0,MIN(1,($W$4-K2241)/($W$4-$V$4)))+$U$5*MAX(0,MIN(1,($W$5-L2241)/($W$5-$V$5)))+$U$6*MAX(0,MIN(1,($W$6-M2241)/($W$6-$V$6)))+$U$7*MAX(0,MIN(1,($W$7-N2241)/($W$7-$V$7)))+$U$8*IF(AND(O2241&gt;=$V$8,O2241&lt;=$W$8),1,0))/$U$9*100,2)</f>
        <v>27.05</v>
      </c>
      <c r="C2241" s="27" t="s">
        <v>1079</v>
      </c>
      <c r="D2241" s="25" t="s">
        <v>134</v>
      </c>
      <c r="E2241" s="25" t="s">
        <v>3450</v>
      </c>
      <c r="F2241" s="25" t="s">
        <v>3457</v>
      </c>
      <c r="G2241" s="39" t="s">
        <v>32</v>
      </c>
      <c r="H2241" s="39" t="s">
        <v>26</v>
      </c>
      <c r="I2241" s="25" t="n">
        <v>9</v>
      </c>
      <c r="J2241" s="25" t="n">
        <v>1</v>
      </c>
      <c r="K2241" s="25" t="n">
        <v>9</v>
      </c>
      <c r="L2241" s="29" t="n">
        <v>0.64</v>
      </c>
      <c r="M2241" s="30" t="n">
        <v>14.13</v>
      </c>
      <c r="N2241" s="29" t="n">
        <v>0.6</v>
      </c>
      <c r="O2241" s="25" t="n">
        <v>183</v>
      </c>
      <c r="P2241" s="30" t="n">
        <v>13.11</v>
      </c>
      <c r="Q2241" s="27" t="s">
        <v>4166</v>
      </c>
      <c r="R2241" s="27" t="s">
        <v>529</v>
      </c>
    </row>
    <row r="2242" customFormat="false" ht="15" hidden="false" customHeight="false" outlineLevel="0" collapsed="false">
      <c r="A2242" s="25" t="n">
        <f aca="false">IF(G2242="REJECT",COUNTIF($G$2:$G$2277,"&lt;&gt;REJECT")+1+COUNTIFS($G$2:$G$2277,"REJECT",$B$2:$B$2277,"&gt;"&amp;B2242),1+COUNTIFS($G$2:$G$2277,"&lt;&gt;REJECT",$B$2:$B$2277,"&gt;"&amp;B2242))</f>
        <v>2241</v>
      </c>
      <c r="B2242" s="26" t="n">
        <f aca="false">ROUND(($U$2*MAX(0,MIN(1,($W$2-I2242)/($W$2-$V$2)))+$U$3*MAX(0,MIN(1,($W$3-J2242)/($W$3-$V$3)))+$U$4*MAX(0,MIN(1,($W$4-K2242)/($W$4-$V$4)))+$U$5*MAX(0,MIN(1,($W$5-L2242)/($W$5-$V$5)))+$U$6*MAX(0,MIN(1,($W$6-M2242)/($W$6-$V$6)))+$U$7*MAX(0,MIN(1,($W$7-N2242)/($W$7-$V$7)))+$U$8*IF(AND(O2242&gt;=$V$8,O2242&lt;=$W$8),1,0))/$U$9*100,2)</f>
        <v>27.04</v>
      </c>
      <c r="C2242" s="27" t="s">
        <v>526</v>
      </c>
      <c r="D2242" s="25" t="s">
        <v>134</v>
      </c>
      <c r="E2242" s="25" t="s">
        <v>3447</v>
      </c>
      <c r="F2242" s="25" t="s">
        <v>3457</v>
      </c>
      <c r="G2242" s="39" t="s">
        <v>32</v>
      </c>
      <c r="H2242" s="39" t="s">
        <v>26</v>
      </c>
      <c r="I2242" s="25" t="n">
        <v>14</v>
      </c>
      <c r="J2242" s="25" t="n">
        <v>1</v>
      </c>
      <c r="K2242" s="25" t="n">
        <v>14</v>
      </c>
      <c r="L2242" s="29" t="n">
        <v>0.63</v>
      </c>
      <c r="M2242" s="30" t="n">
        <v>10.54</v>
      </c>
      <c r="N2242" s="29" t="n">
        <v>0.6</v>
      </c>
      <c r="O2242" s="25" t="n">
        <v>183</v>
      </c>
      <c r="P2242" s="30" t="n">
        <v>6.34</v>
      </c>
      <c r="Q2242" s="27" t="s">
        <v>4058</v>
      </c>
      <c r="R2242" s="27" t="s">
        <v>529</v>
      </c>
    </row>
    <row r="2243" customFormat="false" ht="15" hidden="false" customHeight="false" outlineLevel="0" collapsed="false">
      <c r="A2243" s="25" t="n">
        <f aca="false">IF(G2243="REJECT",COUNTIF($G$2:$G$2277,"&lt;&gt;REJECT")+1+COUNTIFS($G$2:$G$2277,"REJECT",$B$2:$B$2277,"&gt;"&amp;B2243),1+COUNTIFS($G$2:$G$2277,"&lt;&gt;REJECT",$B$2:$B$2277,"&gt;"&amp;B2243))</f>
        <v>2242</v>
      </c>
      <c r="B2243" s="26" t="n">
        <f aca="false">ROUND(($U$2*MAX(0,MIN(1,($W$2-I2243)/($W$2-$V$2)))+$U$3*MAX(0,MIN(1,($W$3-J2243)/($W$3-$V$3)))+$U$4*MAX(0,MIN(1,($W$4-K2243)/($W$4-$V$4)))+$U$5*MAX(0,MIN(1,($W$5-L2243)/($W$5-$V$5)))+$U$6*MAX(0,MIN(1,($W$6-M2243)/($W$6-$V$6)))+$U$7*MAX(0,MIN(1,($W$7-N2243)/($W$7-$V$7)))+$U$8*IF(AND(O2243&gt;=$V$8,O2243&lt;=$W$8),1,0))/$U$9*100,2)</f>
        <v>26.97</v>
      </c>
      <c r="C2243" s="27" t="s">
        <v>3248</v>
      </c>
      <c r="D2243" s="25" t="s">
        <v>134</v>
      </c>
      <c r="E2243" s="25" t="s">
        <v>3447</v>
      </c>
      <c r="F2243" s="25" t="s">
        <v>3457</v>
      </c>
      <c r="G2243" s="39" t="s">
        <v>32</v>
      </c>
      <c r="H2243" s="39" t="s">
        <v>26</v>
      </c>
      <c r="I2243" s="25" t="n">
        <v>8</v>
      </c>
      <c r="J2243" s="25" t="n">
        <v>1</v>
      </c>
      <c r="K2243" s="25" t="n">
        <v>8</v>
      </c>
      <c r="L2243" s="29" t="n">
        <v>0.62</v>
      </c>
      <c r="M2243" s="30" t="n">
        <v>10.17</v>
      </c>
      <c r="N2243" s="29" t="n">
        <v>0.32</v>
      </c>
      <c r="O2243" s="25" t="n">
        <v>185</v>
      </c>
      <c r="P2243" s="30" t="n">
        <v>2.03</v>
      </c>
      <c r="Q2243" s="27" t="s">
        <v>4167</v>
      </c>
      <c r="R2243" s="27" t="s">
        <v>529</v>
      </c>
    </row>
    <row r="2244" customFormat="false" ht="15" hidden="false" customHeight="false" outlineLevel="0" collapsed="false">
      <c r="A2244" s="25" t="n">
        <f aca="false">IF(G2244="REJECT",COUNTIF($G$2:$G$2277,"&lt;&gt;REJECT")+1+COUNTIFS($G$2:$G$2277,"REJECT",$B$2:$B$2277,"&gt;"&amp;B2244),1+COUNTIFS($G$2:$G$2277,"&lt;&gt;REJECT",$B$2:$B$2277,"&gt;"&amp;B2244))</f>
        <v>2243</v>
      </c>
      <c r="B2244" s="26" t="n">
        <f aca="false">ROUND(($U$2*MAX(0,MIN(1,($W$2-I2244)/($W$2-$V$2)))+$U$3*MAX(0,MIN(1,($W$3-J2244)/($W$3-$V$3)))+$U$4*MAX(0,MIN(1,($W$4-K2244)/($W$4-$V$4)))+$U$5*MAX(0,MIN(1,($W$5-L2244)/($W$5-$V$5)))+$U$6*MAX(0,MIN(1,($W$6-M2244)/($W$6-$V$6)))+$U$7*MAX(0,MIN(1,($W$7-N2244)/($W$7-$V$7)))+$U$8*IF(AND(O2244&gt;=$V$8,O2244&lt;=$W$8),1,0))/$U$9*100,2)</f>
        <v>26.95</v>
      </c>
      <c r="C2244" s="27" t="s">
        <v>2465</v>
      </c>
      <c r="D2244" s="25" t="s">
        <v>134</v>
      </c>
      <c r="E2244" s="25" t="s">
        <v>3450</v>
      </c>
      <c r="F2244" s="25" t="s">
        <v>3448</v>
      </c>
      <c r="G2244" s="39" t="s">
        <v>32</v>
      </c>
      <c r="H2244" s="39" t="s">
        <v>26</v>
      </c>
      <c r="I2244" s="25" t="n">
        <v>8</v>
      </c>
      <c r="J2244" s="25" t="n">
        <v>1</v>
      </c>
      <c r="K2244" s="25" t="n">
        <v>8</v>
      </c>
      <c r="L2244" s="29" t="n">
        <v>0.66</v>
      </c>
      <c r="M2244" s="30" t="n">
        <v>24.3</v>
      </c>
      <c r="N2244" s="29" t="n">
        <v>0.36</v>
      </c>
      <c r="O2244" s="25" t="n">
        <v>183</v>
      </c>
      <c r="P2244" s="30" t="n">
        <v>17.22</v>
      </c>
      <c r="Q2244" s="27" t="s">
        <v>4067</v>
      </c>
      <c r="R2244" s="27" t="s">
        <v>1926</v>
      </c>
    </row>
    <row r="2245" customFormat="false" ht="15" hidden="false" customHeight="false" outlineLevel="0" collapsed="false">
      <c r="A2245" s="25" t="n">
        <f aca="false">IF(G2245="REJECT",COUNTIF($G$2:$G$2277,"&lt;&gt;REJECT")+1+COUNTIFS($G$2:$G$2277,"REJECT",$B$2:$B$2277,"&gt;"&amp;B2245),1+COUNTIFS($G$2:$G$2277,"&lt;&gt;REJECT",$B$2:$B$2277,"&gt;"&amp;B2245))</f>
        <v>2244</v>
      </c>
      <c r="B2245" s="26" t="n">
        <f aca="false">ROUND(($U$2*MAX(0,MIN(1,($W$2-I2245)/($W$2-$V$2)))+$U$3*MAX(0,MIN(1,($W$3-J2245)/($W$3-$V$3)))+$U$4*MAX(0,MIN(1,($W$4-K2245)/($W$4-$V$4)))+$U$5*MAX(0,MIN(1,($W$5-L2245)/($W$5-$V$5)))+$U$6*MAX(0,MIN(1,($W$6-M2245)/($W$6-$V$6)))+$U$7*MAX(0,MIN(1,($W$7-N2245)/($W$7-$V$7)))+$U$8*IF(AND(O2245&gt;=$V$8,O2245&lt;=$W$8),1,0))/$U$9*100,2)</f>
        <v>26.57</v>
      </c>
      <c r="C2245" s="27" t="s">
        <v>317</v>
      </c>
      <c r="D2245" s="25" t="s">
        <v>134</v>
      </c>
      <c r="E2245" s="25" t="s">
        <v>3447</v>
      </c>
      <c r="F2245" s="25" t="s">
        <v>3457</v>
      </c>
      <c r="G2245" s="39" t="s">
        <v>32</v>
      </c>
      <c r="H2245" s="39" t="s">
        <v>26</v>
      </c>
      <c r="I2245" s="25" t="n">
        <v>11</v>
      </c>
      <c r="J2245" s="25" t="n">
        <v>1</v>
      </c>
      <c r="K2245" s="25" t="n">
        <v>11</v>
      </c>
      <c r="L2245" s="29" t="n">
        <v>0.66</v>
      </c>
      <c r="M2245" s="30" t="n">
        <v>25.36</v>
      </c>
      <c r="N2245" s="29" t="n">
        <v>0.48</v>
      </c>
      <c r="O2245" s="25" t="n">
        <v>183</v>
      </c>
      <c r="P2245" s="30" t="n">
        <v>6.21</v>
      </c>
      <c r="Q2245" s="27" t="s">
        <v>4034</v>
      </c>
      <c r="R2245" s="27" t="s">
        <v>1926</v>
      </c>
    </row>
    <row r="2246" customFormat="false" ht="15" hidden="false" customHeight="false" outlineLevel="0" collapsed="false">
      <c r="A2246" s="25" t="n">
        <f aca="false">IF(G2246="REJECT",COUNTIF($G$2:$G$2277,"&lt;&gt;REJECT")+1+COUNTIFS($G$2:$G$2277,"REJECT",$B$2:$B$2277,"&gt;"&amp;B2246),1+COUNTIFS($G$2:$G$2277,"&lt;&gt;REJECT",$B$2:$B$2277,"&gt;"&amp;B2246))</f>
        <v>2245</v>
      </c>
      <c r="B2246" s="26" t="n">
        <f aca="false">ROUND(($U$2*MAX(0,MIN(1,($W$2-I2246)/($W$2-$V$2)))+$U$3*MAX(0,MIN(1,($W$3-J2246)/($W$3-$V$3)))+$U$4*MAX(0,MIN(1,($W$4-K2246)/($W$4-$V$4)))+$U$5*MAX(0,MIN(1,($W$5-L2246)/($W$5-$V$5)))+$U$6*MAX(0,MIN(1,($W$6-M2246)/($W$6-$V$6)))+$U$7*MAX(0,MIN(1,($W$7-N2246)/($W$7-$V$7)))+$U$8*IF(AND(O2246&gt;=$V$8,O2246&lt;=$W$8),1,0))/$U$9*100,2)</f>
        <v>26.49</v>
      </c>
      <c r="C2246" s="27" t="s">
        <v>526</v>
      </c>
      <c r="D2246" s="25" t="s">
        <v>134</v>
      </c>
      <c r="E2246" s="25" t="s">
        <v>3450</v>
      </c>
      <c r="F2246" s="25" t="s">
        <v>3448</v>
      </c>
      <c r="G2246" s="39" t="s">
        <v>32</v>
      </c>
      <c r="H2246" s="39" t="s">
        <v>26</v>
      </c>
      <c r="I2246" s="25" t="n">
        <v>12</v>
      </c>
      <c r="J2246" s="25" t="n">
        <v>1</v>
      </c>
      <c r="K2246" s="25" t="n">
        <v>12</v>
      </c>
      <c r="L2246" s="29" t="n">
        <v>0.61</v>
      </c>
      <c r="M2246" s="30" t="n">
        <v>7.49</v>
      </c>
      <c r="N2246" s="29" t="n">
        <v>0.52</v>
      </c>
      <c r="O2246" s="25" t="n">
        <v>182</v>
      </c>
      <c r="P2246" s="30" t="n">
        <v>20.93</v>
      </c>
      <c r="Q2246" s="27" t="s">
        <v>4117</v>
      </c>
      <c r="R2246" s="27" t="s">
        <v>529</v>
      </c>
    </row>
    <row r="2247" customFormat="false" ht="15" hidden="false" customHeight="false" outlineLevel="0" collapsed="false">
      <c r="A2247" s="25" t="n">
        <f aca="false">IF(G2247="REJECT",COUNTIF($G$2:$G$2277,"&lt;&gt;REJECT")+1+COUNTIFS($G$2:$G$2277,"REJECT",$B$2:$B$2277,"&gt;"&amp;B2247),1+COUNTIFS($G$2:$G$2277,"&lt;&gt;REJECT",$B$2:$B$2277,"&gt;"&amp;B2247))</f>
        <v>2246</v>
      </c>
      <c r="B2247" s="26" t="n">
        <f aca="false">ROUND(($U$2*MAX(0,MIN(1,($W$2-I2247)/($W$2-$V$2)))+$U$3*MAX(0,MIN(1,($W$3-J2247)/($W$3-$V$3)))+$U$4*MAX(0,MIN(1,($W$4-K2247)/($W$4-$V$4)))+$U$5*MAX(0,MIN(1,($W$5-L2247)/($W$5-$V$5)))+$U$6*MAX(0,MIN(1,($W$6-M2247)/($W$6-$V$6)))+$U$7*MAX(0,MIN(1,($W$7-N2247)/($W$7-$V$7)))+$U$8*IF(AND(O2247&gt;=$V$8,O2247&lt;=$W$8),1,0))/$U$9*100,2)</f>
        <v>26.38</v>
      </c>
      <c r="C2247" s="27" t="s">
        <v>566</v>
      </c>
      <c r="D2247" s="25" t="s">
        <v>134</v>
      </c>
      <c r="E2247" s="25" t="s">
        <v>3450</v>
      </c>
      <c r="F2247" s="25" t="s">
        <v>3448</v>
      </c>
      <c r="G2247" s="39" t="s">
        <v>32</v>
      </c>
      <c r="H2247" s="39" t="s">
        <v>26</v>
      </c>
      <c r="I2247" s="25" t="n">
        <v>13</v>
      </c>
      <c r="J2247" s="25" t="n">
        <v>1</v>
      </c>
      <c r="K2247" s="25" t="n">
        <v>13</v>
      </c>
      <c r="L2247" s="29" t="n">
        <v>0.6</v>
      </c>
      <c r="M2247" s="30" t="n">
        <v>5.33</v>
      </c>
      <c r="N2247" s="29" t="n">
        <v>0.44</v>
      </c>
      <c r="O2247" s="25" t="n">
        <v>201</v>
      </c>
      <c r="P2247" s="30" t="n">
        <v>15.15</v>
      </c>
      <c r="Q2247" s="27" t="s">
        <v>4168</v>
      </c>
      <c r="R2247" s="27" t="s">
        <v>529</v>
      </c>
    </row>
    <row r="2248" customFormat="false" ht="15" hidden="false" customHeight="false" outlineLevel="0" collapsed="false">
      <c r="A2248" s="25" t="n">
        <f aca="false">IF(G2248="REJECT",COUNTIF($G$2:$G$2277,"&lt;&gt;REJECT")+1+COUNTIFS($G$2:$G$2277,"REJECT",$B$2:$B$2277,"&gt;"&amp;B2248),1+COUNTIFS($G$2:$G$2277,"&lt;&gt;REJECT",$B$2:$B$2277,"&gt;"&amp;B2248))</f>
        <v>2247</v>
      </c>
      <c r="B2248" s="26" t="n">
        <f aca="false">ROUND(($U$2*MAX(0,MIN(1,($W$2-I2248)/($W$2-$V$2)))+$U$3*MAX(0,MIN(1,($W$3-J2248)/($W$3-$V$3)))+$U$4*MAX(0,MIN(1,($W$4-K2248)/($W$4-$V$4)))+$U$5*MAX(0,MIN(1,($W$5-L2248)/($W$5-$V$5)))+$U$6*MAX(0,MIN(1,($W$6-M2248)/($W$6-$V$6)))+$U$7*MAX(0,MIN(1,($W$7-N2248)/($W$7-$V$7)))+$U$8*IF(AND(O2248&gt;=$V$8,O2248&lt;=$W$8),1,0))/$U$9*100,2)</f>
        <v>26.27</v>
      </c>
      <c r="C2248" s="27" t="s">
        <v>2697</v>
      </c>
      <c r="D2248" s="25" t="s">
        <v>3459</v>
      </c>
      <c r="E2248" s="25" t="s">
        <v>3447</v>
      </c>
      <c r="F2248" s="25" t="s">
        <v>3448</v>
      </c>
      <c r="G2248" s="39" t="s">
        <v>32</v>
      </c>
      <c r="H2248" s="39" t="s">
        <v>26</v>
      </c>
      <c r="I2248" s="25" t="n">
        <v>10</v>
      </c>
      <c r="J2248" s="25" t="n">
        <v>1</v>
      </c>
      <c r="K2248" s="25" t="n">
        <v>9</v>
      </c>
      <c r="L2248" s="29" t="n">
        <v>0.64</v>
      </c>
      <c r="M2248" s="30" t="n">
        <v>15.19</v>
      </c>
      <c r="N2248" s="29" t="n">
        <v>0.96</v>
      </c>
      <c r="O2248" s="25" t="n">
        <v>180</v>
      </c>
      <c r="P2248" s="30" t="n">
        <v>-1.1</v>
      </c>
      <c r="Q2248" s="27" t="s">
        <v>4169</v>
      </c>
      <c r="R2248" s="27" t="s">
        <v>1311</v>
      </c>
    </row>
    <row r="2249" customFormat="false" ht="15" hidden="false" customHeight="false" outlineLevel="0" collapsed="false">
      <c r="A2249" s="25" t="n">
        <f aca="false">IF(G2249="REJECT",COUNTIF($G$2:$G$2277,"&lt;&gt;REJECT")+1+COUNTIFS($G$2:$G$2277,"REJECT",$B$2:$B$2277,"&gt;"&amp;B2249),1+COUNTIFS($G$2:$G$2277,"&lt;&gt;REJECT",$B$2:$B$2277,"&gt;"&amp;B2249))</f>
        <v>2248</v>
      </c>
      <c r="B2249" s="26" t="n">
        <f aca="false">ROUND(($U$2*MAX(0,MIN(1,($W$2-I2249)/($W$2-$V$2)))+$U$3*MAX(0,MIN(1,($W$3-J2249)/($W$3-$V$3)))+$U$4*MAX(0,MIN(1,($W$4-K2249)/($W$4-$V$4)))+$U$5*MAX(0,MIN(1,($W$5-L2249)/($W$5-$V$5)))+$U$6*MAX(0,MIN(1,($W$6-M2249)/($W$6-$V$6)))+$U$7*MAX(0,MIN(1,($W$7-N2249)/($W$7-$V$7)))+$U$8*IF(AND(O2249&gt;=$V$8,O2249&lt;=$W$8),1,0))/$U$9*100,2)</f>
        <v>25.37</v>
      </c>
      <c r="C2249" s="27" t="s">
        <v>3285</v>
      </c>
      <c r="D2249" s="25" t="s">
        <v>134</v>
      </c>
      <c r="E2249" s="25" t="s">
        <v>3450</v>
      </c>
      <c r="F2249" s="25" t="s">
        <v>3457</v>
      </c>
      <c r="G2249" s="39" t="s">
        <v>32</v>
      </c>
      <c r="H2249" s="39" t="s">
        <v>26</v>
      </c>
      <c r="I2249" s="25" t="n">
        <v>11</v>
      </c>
      <c r="J2249" s="25" t="n">
        <v>1</v>
      </c>
      <c r="K2249" s="25" t="n">
        <v>11</v>
      </c>
      <c r="L2249" s="29" t="n">
        <v>0.68</v>
      </c>
      <c r="M2249" s="30" t="n">
        <v>6.57</v>
      </c>
      <c r="N2249" s="29" t="n">
        <v>0.8</v>
      </c>
      <c r="O2249" s="25" t="n">
        <v>254</v>
      </c>
      <c r="P2249" s="30" t="n">
        <v>5.77</v>
      </c>
      <c r="Q2249" s="27" t="s">
        <v>4170</v>
      </c>
      <c r="R2249" s="27" t="s">
        <v>4171</v>
      </c>
    </row>
    <row r="2250" customFormat="false" ht="15" hidden="false" customHeight="false" outlineLevel="0" collapsed="false">
      <c r="A2250" s="25" t="n">
        <f aca="false">IF(G2250="REJECT",COUNTIF($G$2:$G$2277,"&lt;&gt;REJECT")+1+COUNTIFS($G$2:$G$2277,"REJECT",$B$2:$B$2277,"&gt;"&amp;B2250),1+COUNTIFS($G$2:$G$2277,"&lt;&gt;REJECT",$B$2:$B$2277,"&gt;"&amp;B2250))</f>
        <v>2249</v>
      </c>
      <c r="B2250" s="26" t="n">
        <f aca="false">ROUND(($U$2*MAX(0,MIN(1,($W$2-I2250)/($W$2-$V$2)))+$U$3*MAX(0,MIN(1,($W$3-J2250)/($W$3-$V$3)))+$U$4*MAX(0,MIN(1,($W$4-K2250)/($W$4-$V$4)))+$U$5*MAX(0,MIN(1,($W$5-L2250)/($W$5-$V$5)))+$U$6*MAX(0,MIN(1,($W$6-M2250)/($W$6-$V$6)))+$U$7*MAX(0,MIN(1,($W$7-N2250)/($W$7-$V$7)))+$U$8*IF(AND(O2250&gt;=$V$8,O2250&lt;=$W$8),1,0))/$U$9*100,2)</f>
        <v>25.36</v>
      </c>
      <c r="C2250" s="27" t="s">
        <v>449</v>
      </c>
      <c r="D2250" s="25" t="s">
        <v>134</v>
      </c>
      <c r="E2250" s="25" t="s">
        <v>3450</v>
      </c>
      <c r="F2250" s="25" t="s">
        <v>3448</v>
      </c>
      <c r="G2250" s="39" t="s">
        <v>32</v>
      </c>
      <c r="H2250" s="39" t="s">
        <v>26</v>
      </c>
      <c r="I2250" s="25" t="n">
        <v>9</v>
      </c>
      <c r="J2250" s="25" t="n">
        <v>1</v>
      </c>
      <c r="K2250" s="25" t="n">
        <v>9</v>
      </c>
      <c r="L2250" s="29" t="n">
        <v>0.58</v>
      </c>
      <c r="M2250" s="30" t="n">
        <v>5.47</v>
      </c>
      <c r="N2250" s="29" t="n">
        <v>0.32</v>
      </c>
      <c r="O2250" s="25" t="n">
        <v>185</v>
      </c>
      <c r="P2250" s="30" t="n">
        <v>12.92</v>
      </c>
      <c r="Q2250" s="27" t="s">
        <v>4172</v>
      </c>
      <c r="R2250" s="27" t="s">
        <v>529</v>
      </c>
    </row>
    <row r="2251" customFormat="false" ht="15" hidden="false" customHeight="false" outlineLevel="0" collapsed="false">
      <c r="A2251" s="25" t="n">
        <f aca="false">IF(G2251="REJECT",COUNTIF($G$2:$G$2277,"&lt;&gt;REJECT")+1+COUNTIFS($G$2:$G$2277,"REJECT",$B$2:$B$2277,"&gt;"&amp;B2251),1+COUNTIFS($G$2:$G$2277,"&lt;&gt;REJECT",$B$2:$B$2277,"&gt;"&amp;B2251))</f>
        <v>2250</v>
      </c>
      <c r="B2251" s="26" t="n">
        <f aca="false">ROUND(($U$2*MAX(0,MIN(1,($W$2-I2251)/($W$2-$V$2)))+$U$3*MAX(0,MIN(1,($W$3-J2251)/($W$3-$V$3)))+$U$4*MAX(0,MIN(1,($W$4-K2251)/($W$4-$V$4)))+$U$5*MAX(0,MIN(1,($W$5-L2251)/($W$5-$V$5)))+$U$6*MAX(0,MIN(1,($W$6-M2251)/($W$6-$V$6)))+$U$7*MAX(0,MIN(1,($W$7-N2251)/($W$7-$V$7)))+$U$8*IF(AND(O2251&gt;=$V$8,O2251&lt;=$W$8),1,0))/$U$9*100,2)</f>
        <v>24.82</v>
      </c>
      <c r="C2251" s="27" t="s">
        <v>2799</v>
      </c>
      <c r="D2251" s="25" t="s">
        <v>3459</v>
      </c>
      <c r="E2251" s="25" t="s">
        <v>3447</v>
      </c>
      <c r="F2251" s="25" t="s">
        <v>3448</v>
      </c>
      <c r="G2251" s="39" t="s">
        <v>32</v>
      </c>
      <c r="H2251" s="39" t="s">
        <v>26</v>
      </c>
      <c r="I2251" s="25" t="n">
        <v>10</v>
      </c>
      <c r="J2251" s="25" t="n">
        <v>1</v>
      </c>
      <c r="K2251" s="25" t="n">
        <v>10</v>
      </c>
      <c r="L2251" s="29" t="n">
        <v>0.62</v>
      </c>
      <c r="M2251" s="30" t="n">
        <v>18.3</v>
      </c>
      <c r="N2251" s="29" t="n">
        <v>0.8</v>
      </c>
      <c r="O2251" s="25" t="n">
        <v>185</v>
      </c>
      <c r="P2251" s="30" t="n">
        <v>6.88</v>
      </c>
      <c r="Q2251" s="27" t="s">
        <v>4056</v>
      </c>
      <c r="R2251" s="27" t="s">
        <v>529</v>
      </c>
    </row>
    <row r="2252" customFormat="false" ht="15" hidden="false" customHeight="false" outlineLevel="0" collapsed="false">
      <c r="A2252" s="25" t="n">
        <f aca="false">IF(G2252="REJECT",COUNTIF($G$2:$G$2277,"&lt;&gt;REJECT")+1+COUNTIFS($G$2:$G$2277,"REJECT",$B$2:$B$2277,"&gt;"&amp;B2252),1+COUNTIFS($G$2:$G$2277,"&lt;&gt;REJECT",$B$2:$B$2277,"&gt;"&amp;B2252))</f>
        <v>2251</v>
      </c>
      <c r="B2252" s="26" t="n">
        <f aca="false">ROUND(($U$2*MAX(0,MIN(1,($W$2-I2252)/($W$2-$V$2)))+$U$3*MAX(0,MIN(1,($W$3-J2252)/($W$3-$V$3)))+$U$4*MAX(0,MIN(1,($W$4-K2252)/($W$4-$V$4)))+$U$5*MAX(0,MIN(1,($W$5-L2252)/($W$5-$V$5)))+$U$6*MAX(0,MIN(1,($W$6-M2252)/($W$6-$V$6)))+$U$7*MAX(0,MIN(1,($W$7-N2252)/($W$7-$V$7)))+$U$8*IF(AND(O2252&gt;=$V$8,O2252&lt;=$W$8),1,0))/$U$9*100,2)</f>
        <v>24.56</v>
      </c>
      <c r="C2252" s="27" t="s">
        <v>566</v>
      </c>
      <c r="D2252" s="25" t="s">
        <v>134</v>
      </c>
      <c r="E2252" s="25" t="s">
        <v>3450</v>
      </c>
      <c r="F2252" s="25" t="s">
        <v>3457</v>
      </c>
      <c r="G2252" s="39" t="s">
        <v>32</v>
      </c>
      <c r="H2252" s="39" t="s">
        <v>26</v>
      </c>
      <c r="I2252" s="25" t="n">
        <v>15</v>
      </c>
      <c r="J2252" s="25" t="n">
        <v>1</v>
      </c>
      <c r="K2252" s="25" t="n">
        <v>15</v>
      </c>
      <c r="L2252" s="29" t="n">
        <v>0.61</v>
      </c>
      <c r="M2252" s="30" t="n">
        <v>24.27</v>
      </c>
      <c r="N2252" s="29" t="n">
        <v>0</v>
      </c>
      <c r="O2252" s="25" t="n">
        <v>184</v>
      </c>
      <c r="P2252" s="30" t="n">
        <v>16</v>
      </c>
      <c r="Q2252" s="27" t="s">
        <v>4173</v>
      </c>
      <c r="R2252" s="27" t="s">
        <v>1926</v>
      </c>
    </row>
    <row r="2253" customFormat="false" ht="15" hidden="false" customHeight="false" outlineLevel="0" collapsed="false">
      <c r="A2253" s="25" t="n">
        <f aca="false">IF(G2253="REJECT",COUNTIF($G$2:$G$2277,"&lt;&gt;REJECT")+1+COUNTIFS($G$2:$G$2277,"REJECT",$B$2:$B$2277,"&gt;"&amp;B2253),1+COUNTIFS($G$2:$G$2277,"&lt;&gt;REJECT",$B$2:$B$2277,"&gt;"&amp;B2253))</f>
        <v>2252</v>
      </c>
      <c r="B2253" s="26" t="n">
        <f aca="false">ROUND(($U$2*MAX(0,MIN(1,($W$2-I2253)/($W$2-$V$2)))+$U$3*MAX(0,MIN(1,($W$3-J2253)/($W$3-$V$3)))+$U$4*MAX(0,MIN(1,($W$4-K2253)/($W$4-$V$4)))+$U$5*MAX(0,MIN(1,($W$5-L2253)/($W$5-$V$5)))+$U$6*MAX(0,MIN(1,($W$6-M2253)/($W$6-$V$6)))+$U$7*MAX(0,MIN(1,($W$7-N2253)/($W$7-$V$7)))+$U$8*IF(AND(O2253&gt;=$V$8,O2253&lt;=$W$8),1,0))/$U$9*100,2)</f>
        <v>24.29</v>
      </c>
      <c r="C2253" s="27" t="s">
        <v>1481</v>
      </c>
      <c r="D2253" s="25" t="s">
        <v>134</v>
      </c>
      <c r="E2253" s="25" t="s">
        <v>3450</v>
      </c>
      <c r="F2253" s="25" t="s">
        <v>3457</v>
      </c>
      <c r="G2253" s="39" t="s">
        <v>32</v>
      </c>
      <c r="H2253" s="39" t="s">
        <v>26</v>
      </c>
      <c r="I2253" s="25" t="n">
        <v>9</v>
      </c>
      <c r="J2253" s="25" t="n">
        <v>1</v>
      </c>
      <c r="K2253" s="25" t="n">
        <v>9</v>
      </c>
      <c r="L2253" s="29" t="n">
        <v>0.57</v>
      </c>
      <c r="M2253" s="30" t="n">
        <v>8.25</v>
      </c>
      <c r="N2253" s="29" t="n">
        <v>0.32</v>
      </c>
      <c r="O2253" s="25" t="n">
        <v>194</v>
      </c>
      <c r="P2253" s="30" t="n">
        <v>15.32</v>
      </c>
      <c r="Q2253" s="27" t="s">
        <v>4174</v>
      </c>
      <c r="R2253" s="27" t="s">
        <v>529</v>
      </c>
    </row>
    <row r="2254" customFormat="false" ht="15" hidden="false" customHeight="false" outlineLevel="0" collapsed="false">
      <c r="A2254" s="25" t="n">
        <f aca="false">IF(G2254="REJECT",COUNTIF($G$2:$G$2277,"&lt;&gt;REJECT")+1+COUNTIFS($G$2:$G$2277,"REJECT",$B$2:$B$2277,"&gt;"&amp;B2254),1+COUNTIFS($G$2:$G$2277,"&lt;&gt;REJECT",$B$2:$B$2277,"&gt;"&amp;B2254))</f>
        <v>2253</v>
      </c>
      <c r="B2254" s="26" t="n">
        <f aca="false">ROUND(($U$2*MAX(0,MIN(1,($W$2-I2254)/($W$2-$V$2)))+$U$3*MAX(0,MIN(1,($W$3-J2254)/($W$3-$V$3)))+$U$4*MAX(0,MIN(1,($W$4-K2254)/($W$4-$V$4)))+$U$5*MAX(0,MIN(1,($W$5-L2254)/($W$5-$V$5)))+$U$6*MAX(0,MIN(1,($W$6-M2254)/($W$6-$V$6)))+$U$7*MAX(0,MIN(1,($W$7-N2254)/($W$7-$V$7)))+$U$8*IF(AND(O2254&gt;=$V$8,O2254&lt;=$W$8),1,0))/$U$9*100,2)</f>
        <v>24.26</v>
      </c>
      <c r="C2254" s="27" t="s">
        <v>1084</v>
      </c>
      <c r="D2254" s="25" t="s">
        <v>3459</v>
      </c>
      <c r="E2254" s="25" t="s">
        <v>3450</v>
      </c>
      <c r="F2254" s="25" t="s">
        <v>3457</v>
      </c>
      <c r="G2254" s="39" t="s">
        <v>32</v>
      </c>
      <c r="H2254" s="39" t="s">
        <v>26</v>
      </c>
      <c r="I2254" s="25" t="n">
        <v>8</v>
      </c>
      <c r="J2254" s="25" t="n">
        <v>1</v>
      </c>
      <c r="K2254" s="25" t="n">
        <v>8</v>
      </c>
      <c r="L2254" s="29" t="n">
        <v>0.63</v>
      </c>
      <c r="M2254" s="30" t="n">
        <v>26.44</v>
      </c>
      <c r="N2254" s="29" t="n">
        <v>0.68</v>
      </c>
      <c r="O2254" s="25" t="n">
        <v>184</v>
      </c>
      <c r="P2254" s="30" t="n">
        <v>9.21</v>
      </c>
      <c r="Q2254" s="27" t="s">
        <v>4063</v>
      </c>
      <c r="R2254" s="27" t="s">
        <v>1926</v>
      </c>
    </row>
    <row r="2255" customFormat="false" ht="15" hidden="false" customHeight="false" outlineLevel="0" collapsed="false">
      <c r="A2255" s="25" t="n">
        <f aca="false">IF(G2255="REJECT",COUNTIF($G$2:$G$2277,"&lt;&gt;REJECT")+1+COUNTIFS($G$2:$G$2277,"REJECT",$B$2:$B$2277,"&gt;"&amp;B2255),1+COUNTIFS($G$2:$G$2277,"&lt;&gt;REJECT",$B$2:$B$2277,"&gt;"&amp;B2255))</f>
        <v>2254</v>
      </c>
      <c r="B2255" s="26" t="n">
        <f aca="false">ROUND(($U$2*MAX(0,MIN(1,($W$2-I2255)/($W$2-$V$2)))+$U$3*MAX(0,MIN(1,($W$3-J2255)/($W$3-$V$3)))+$U$4*MAX(0,MIN(1,($W$4-K2255)/($W$4-$V$4)))+$U$5*MAX(0,MIN(1,($W$5-L2255)/($W$5-$V$5)))+$U$6*MAX(0,MIN(1,($W$6-M2255)/($W$6-$V$6)))+$U$7*MAX(0,MIN(1,($W$7-N2255)/($W$7-$V$7)))+$U$8*IF(AND(O2255&gt;=$V$8,O2255&lt;=$W$8),1,0))/$U$9*100,2)</f>
        <v>24.13</v>
      </c>
      <c r="C2255" s="27" t="s">
        <v>1190</v>
      </c>
      <c r="D2255" s="25" t="s">
        <v>3459</v>
      </c>
      <c r="E2255" s="25" t="s">
        <v>3450</v>
      </c>
      <c r="F2255" s="25" t="s">
        <v>3457</v>
      </c>
      <c r="G2255" s="39" t="s">
        <v>32</v>
      </c>
      <c r="H2255" s="39" t="s">
        <v>26</v>
      </c>
      <c r="I2255" s="25" t="n">
        <v>9</v>
      </c>
      <c r="J2255" s="25" t="n">
        <v>1</v>
      </c>
      <c r="K2255" s="25" t="n">
        <v>9</v>
      </c>
      <c r="L2255" s="29" t="n">
        <v>0.61</v>
      </c>
      <c r="M2255" s="30" t="n">
        <v>22.83</v>
      </c>
      <c r="N2255" s="29" t="n">
        <v>0.4</v>
      </c>
      <c r="O2255" s="25" t="n">
        <v>183</v>
      </c>
      <c r="P2255" s="30" t="n">
        <v>11.49</v>
      </c>
      <c r="Q2255" s="27" t="s">
        <v>4080</v>
      </c>
      <c r="R2255" s="27" t="s">
        <v>1926</v>
      </c>
    </row>
    <row r="2256" customFormat="false" ht="15" hidden="false" customHeight="false" outlineLevel="0" collapsed="false">
      <c r="A2256" s="25" t="n">
        <f aca="false">IF(G2256="REJECT",COUNTIF($G$2:$G$2277,"&lt;&gt;REJECT")+1+COUNTIFS($G$2:$G$2277,"REJECT",$B$2:$B$2277,"&gt;"&amp;B2256),1+COUNTIFS($G$2:$G$2277,"&lt;&gt;REJECT",$B$2:$B$2277,"&gt;"&amp;B2256))</f>
        <v>2255</v>
      </c>
      <c r="B2256" s="26" t="n">
        <f aca="false">ROUND(($U$2*MAX(0,MIN(1,($W$2-I2256)/($W$2-$V$2)))+$U$3*MAX(0,MIN(1,($W$3-J2256)/($W$3-$V$3)))+$U$4*MAX(0,MIN(1,($W$4-K2256)/($W$4-$V$4)))+$U$5*MAX(0,MIN(1,($W$5-L2256)/($W$5-$V$5)))+$U$6*MAX(0,MIN(1,($W$6-M2256)/($W$6-$V$6)))+$U$7*MAX(0,MIN(1,($W$7-N2256)/($W$7-$V$7)))+$U$8*IF(AND(O2256&gt;=$V$8,O2256&lt;=$W$8),1,0))/$U$9*100,2)</f>
        <v>23.67</v>
      </c>
      <c r="C2256" s="27" t="s">
        <v>1697</v>
      </c>
      <c r="D2256" s="25" t="s">
        <v>3459</v>
      </c>
      <c r="E2256" s="25" t="s">
        <v>3447</v>
      </c>
      <c r="F2256" s="25" t="s">
        <v>3457</v>
      </c>
      <c r="G2256" s="39" t="s">
        <v>32</v>
      </c>
      <c r="H2256" s="39" t="s">
        <v>26</v>
      </c>
      <c r="I2256" s="25" t="n">
        <v>12</v>
      </c>
      <c r="J2256" s="25" t="n">
        <v>1</v>
      </c>
      <c r="K2256" s="25" t="n">
        <v>12</v>
      </c>
      <c r="L2256" s="29" t="n">
        <v>0.59</v>
      </c>
      <c r="M2256" s="30" t="n">
        <v>18</v>
      </c>
      <c r="N2256" s="29" t="n">
        <v>0.44</v>
      </c>
      <c r="O2256" s="25" t="n">
        <v>187</v>
      </c>
      <c r="P2256" s="30" t="n">
        <v>4.49</v>
      </c>
      <c r="Q2256" s="27" t="s">
        <v>4118</v>
      </c>
      <c r="R2256" s="27" t="s">
        <v>1311</v>
      </c>
    </row>
    <row r="2257" customFormat="false" ht="15" hidden="false" customHeight="false" outlineLevel="0" collapsed="false">
      <c r="A2257" s="25" t="n">
        <f aca="false">IF(G2257="REJECT",COUNTIF($G$2:$G$2277,"&lt;&gt;REJECT")+1+COUNTIFS($G$2:$G$2277,"REJECT",$B$2:$B$2277,"&gt;"&amp;B2257),1+COUNTIFS($G$2:$G$2277,"&lt;&gt;REJECT",$B$2:$B$2277,"&gt;"&amp;B2257))</f>
        <v>2256</v>
      </c>
      <c r="B2257" s="26" t="n">
        <f aca="false">ROUND(($U$2*MAX(0,MIN(1,($W$2-I2257)/($W$2-$V$2)))+$U$3*MAX(0,MIN(1,($W$3-J2257)/($W$3-$V$3)))+$U$4*MAX(0,MIN(1,($W$4-K2257)/($W$4-$V$4)))+$U$5*MAX(0,MIN(1,($W$5-L2257)/($W$5-$V$5)))+$U$6*MAX(0,MIN(1,($W$6-M2257)/($W$6-$V$6)))+$U$7*MAX(0,MIN(1,($W$7-N2257)/($W$7-$V$7)))+$U$8*IF(AND(O2257&gt;=$V$8,O2257&lt;=$W$8),1,0))/$U$9*100,2)</f>
        <v>23.46</v>
      </c>
      <c r="C2257" s="27" t="s">
        <v>1761</v>
      </c>
      <c r="D2257" s="25" t="s">
        <v>134</v>
      </c>
      <c r="E2257" s="25" t="s">
        <v>3450</v>
      </c>
      <c r="F2257" s="25" t="s">
        <v>3448</v>
      </c>
      <c r="G2257" s="39" t="s">
        <v>32</v>
      </c>
      <c r="H2257" s="39" t="s">
        <v>26</v>
      </c>
      <c r="I2257" s="25" t="n">
        <v>11</v>
      </c>
      <c r="J2257" s="25" t="n">
        <v>1</v>
      </c>
      <c r="K2257" s="25" t="n">
        <v>11</v>
      </c>
      <c r="L2257" s="29" t="n">
        <v>0.59</v>
      </c>
      <c r="M2257" s="30" t="n">
        <v>23.62</v>
      </c>
      <c r="N2257" s="29" t="n">
        <v>0</v>
      </c>
      <c r="O2257" s="25" t="n">
        <v>226</v>
      </c>
      <c r="P2257" s="30" t="n">
        <v>11.82</v>
      </c>
      <c r="Q2257" s="27" t="s">
        <v>4034</v>
      </c>
      <c r="R2257" s="27" t="s">
        <v>1178</v>
      </c>
    </row>
    <row r="2258" customFormat="false" ht="15" hidden="false" customHeight="false" outlineLevel="0" collapsed="false">
      <c r="A2258" s="25" t="n">
        <f aca="false">IF(G2258="REJECT",COUNTIF($G$2:$G$2277,"&lt;&gt;REJECT")+1+COUNTIFS($G$2:$G$2277,"REJECT",$B$2:$B$2277,"&gt;"&amp;B2258),1+COUNTIFS($G$2:$G$2277,"&lt;&gt;REJECT",$B$2:$B$2277,"&gt;"&amp;B2258))</f>
        <v>2257</v>
      </c>
      <c r="B2258" s="26" t="n">
        <f aca="false">ROUND(($U$2*MAX(0,MIN(1,($W$2-I2258)/($W$2-$V$2)))+$U$3*MAX(0,MIN(1,($W$3-J2258)/($W$3-$V$3)))+$U$4*MAX(0,MIN(1,($W$4-K2258)/($W$4-$V$4)))+$U$5*MAX(0,MIN(1,($W$5-L2258)/($W$5-$V$5)))+$U$6*MAX(0,MIN(1,($W$6-M2258)/($W$6-$V$6)))+$U$7*MAX(0,MIN(1,($W$7-N2258)/($W$7-$V$7)))+$U$8*IF(AND(O2258&gt;=$V$8,O2258&lt;=$W$8),1,0))/$U$9*100,2)</f>
        <v>23.4</v>
      </c>
      <c r="C2258" s="27" t="s">
        <v>1197</v>
      </c>
      <c r="D2258" s="25" t="s">
        <v>134</v>
      </c>
      <c r="E2258" s="25" t="s">
        <v>3447</v>
      </c>
      <c r="F2258" s="25" t="s">
        <v>3457</v>
      </c>
      <c r="G2258" s="39" t="s">
        <v>32</v>
      </c>
      <c r="H2258" s="39" t="s">
        <v>26</v>
      </c>
      <c r="I2258" s="25" t="n">
        <v>10</v>
      </c>
      <c r="J2258" s="25" t="n">
        <v>1</v>
      </c>
      <c r="K2258" s="25" t="n">
        <v>10</v>
      </c>
      <c r="L2258" s="29" t="n">
        <v>0.58</v>
      </c>
      <c r="M2258" s="30" t="n">
        <v>20.43</v>
      </c>
      <c r="N2258" s="29" t="n">
        <v>0</v>
      </c>
      <c r="O2258" s="25" t="n">
        <v>187</v>
      </c>
      <c r="P2258" s="30" t="n">
        <v>0.82</v>
      </c>
      <c r="Q2258" s="27" t="s">
        <v>4175</v>
      </c>
      <c r="R2258" s="27" t="s">
        <v>1926</v>
      </c>
    </row>
    <row r="2259" customFormat="false" ht="15" hidden="false" customHeight="false" outlineLevel="0" collapsed="false">
      <c r="A2259" s="25" t="n">
        <f aca="false">IF(G2259="REJECT",COUNTIF($G$2:$G$2277,"&lt;&gt;REJECT")+1+COUNTIFS($G$2:$G$2277,"REJECT",$B$2:$B$2277,"&gt;"&amp;B2259),1+COUNTIFS($G$2:$G$2277,"&lt;&gt;REJECT",$B$2:$B$2277,"&gt;"&amp;B2259))</f>
        <v>2258</v>
      </c>
      <c r="B2259" s="26" t="n">
        <f aca="false">ROUND(($U$2*MAX(0,MIN(1,($W$2-I2259)/($W$2-$V$2)))+$U$3*MAX(0,MIN(1,($W$3-J2259)/($W$3-$V$3)))+$U$4*MAX(0,MIN(1,($W$4-K2259)/($W$4-$V$4)))+$U$5*MAX(0,MIN(1,($W$5-L2259)/($W$5-$V$5)))+$U$6*MAX(0,MIN(1,($W$6-M2259)/($W$6-$V$6)))+$U$7*MAX(0,MIN(1,($W$7-N2259)/($W$7-$V$7)))+$U$8*IF(AND(O2259&gt;=$V$8,O2259&lt;=$W$8),1,0))/$U$9*100,2)</f>
        <v>22.89</v>
      </c>
      <c r="C2259" s="27" t="s">
        <v>1761</v>
      </c>
      <c r="D2259" s="25" t="s">
        <v>134</v>
      </c>
      <c r="E2259" s="25" t="s">
        <v>3450</v>
      </c>
      <c r="F2259" s="25" t="s">
        <v>3457</v>
      </c>
      <c r="G2259" s="39" t="s">
        <v>32</v>
      </c>
      <c r="H2259" s="39" t="s">
        <v>26</v>
      </c>
      <c r="I2259" s="25" t="n">
        <v>11</v>
      </c>
      <c r="J2259" s="25" t="n">
        <v>1</v>
      </c>
      <c r="K2259" s="25" t="n">
        <v>11</v>
      </c>
      <c r="L2259" s="29" t="n">
        <v>0.6</v>
      </c>
      <c r="M2259" s="30" t="n">
        <v>25.47</v>
      </c>
      <c r="N2259" s="29" t="n">
        <v>0.52</v>
      </c>
      <c r="O2259" s="25" t="n">
        <v>183</v>
      </c>
      <c r="P2259" s="30" t="n">
        <v>13.67</v>
      </c>
      <c r="Q2259" s="27" t="s">
        <v>4034</v>
      </c>
      <c r="R2259" s="27" t="s">
        <v>1926</v>
      </c>
    </row>
    <row r="2260" customFormat="false" ht="15" hidden="false" customHeight="false" outlineLevel="0" collapsed="false">
      <c r="A2260" s="25" t="n">
        <f aca="false">IF(G2260="REJECT",COUNTIF($G$2:$G$2277,"&lt;&gt;REJECT")+1+COUNTIFS($G$2:$G$2277,"REJECT",$B$2:$B$2277,"&gt;"&amp;B2260),1+COUNTIFS($G$2:$G$2277,"&lt;&gt;REJECT",$B$2:$B$2277,"&gt;"&amp;B2260))</f>
        <v>2259</v>
      </c>
      <c r="B2260" s="26" t="n">
        <f aca="false">ROUND(($U$2*MAX(0,MIN(1,($W$2-I2260)/($W$2-$V$2)))+$U$3*MAX(0,MIN(1,($W$3-J2260)/($W$3-$V$3)))+$U$4*MAX(0,MIN(1,($W$4-K2260)/($W$4-$V$4)))+$U$5*MAX(0,MIN(1,($W$5-L2260)/($W$5-$V$5)))+$U$6*MAX(0,MIN(1,($W$6-M2260)/($W$6-$V$6)))+$U$7*MAX(0,MIN(1,($W$7-N2260)/($W$7-$V$7)))+$U$8*IF(AND(O2260&gt;=$V$8,O2260&lt;=$W$8),1,0))/$U$9*100,2)</f>
        <v>22.76</v>
      </c>
      <c r="C2260" s="27" t="s">
        <v>624</v>
      </c>
      <c r="D2260" s="25" t="s">
        <v>134</v>
      </c>
      <c r="E2260" s="25" t="s">
        <v>3447</v>
      </c>
      <c r="F2260" s="25" t="s">
        <v>3457</v>
      </c>
      <c r="G2260" s="39" t="s">
        <v>32</v>
      </c>
      <c r="H2260" s="39" t="s">
        <v>26</v>
      </c>
      <c r="I2260" s="25" t="n">
        <v>8</v>
      </c>
      <c r="J2260" s="25" t="n">
        <v>2</v>
      </c>
      <c r="K2260" s="25" t="n">
        <v>8</v>
      </c>
      <c r="L2260" s="29" t="n">
        <v>0.71</v>
      </c>
      <c r="M2260" s="30" t="n">
        <v>9.43</v>
      </c>
      <c r="N2260" s="29" t="n">
        <v>0.16</v>
      </c>
      <c r="O2260" s="25" t="n">
        <v>186</v>
      </c>
      <c r="P2260" s="30" t="n">
        <v>5.49</v>
      </c>
      <c r="Q2260" s="27" t="s">
        <v>4176</v>
      </c>
      <c r="R2260" s="27" t="s">
        <v>405</v>
      </c>
    </row>
    <row r="2261" customFormat="false" ht="15" hidden="false" customHeight="false" outlineLevel="0" collapsed="false">
      <c r="A2261" s="25" t="n">
        <f aca="false">IF(G2261="REJECT",COUNTIF($G$2:$G$2277,"&lt;&gt;REJECT")+1+COUNTIFS($G$2:$G$2277,"REJECT",$B$2:$B$2277,"&gt;"&amp;B2261),1+COUNTIFS($G$2:$G$2277,"&lt;&gt;REJECT",$B$2:$B$2277,"&gt;"&amp;B2261))</f>
        <v>2260</v>
      </c>
      <c r="B2261" s="26" t="n">
        <f aca="false">ROUND(($U$2*MAX(0,MIN(1,($W$2-I2261)/($W$2-$V$2)))+$U$3*MAX(0,MIN(1,($W$3-J2261)/($W$3-$V$3)))+$U$4*MAX(0,MIN(1,($W$4-K2261)/($W$4-$V$4)))+$U$5*MAX(0,MIN(1,($W$5-L2261)/($W$5-$V$5)))+$U$6*MAX(0,MIN(1,($W$6-M2261)/($W$6-$V$6)))+$U$7*MAX(0,MIN(1,($W$7-N2261)/($W$7-$V$7)))+$U$8*IF(AND(O2261&gt;=$V$8,O2261&lt;=$W$8),1,0))/$U$9*100,2)</f>
        <v>22.61</v>
      </c>
      <c r="C2261" s="27" t="s">
        <v>402</v>
      </c>
      <c r="D2261" s="25" t="s">
        <v>134</v>
      </c>
      <c r="E2261" s="25" t="s">
        <v>3447</v>
      </c>
      <c r="F2261" s="25" t="s">
        <v>3457</v>
      </c>
      <c r="G2261" s="39" t="s">
        <v>32</v>
      </c>
      <c r="H2261" s="39" t="s">
        <v>26</v>
      </c>
      <c r="I2261" s="25" t="n">
        <v>11</v>
      </c>
      <c r="J2261" s="25" t="n">
        <v>2</v>
      </c>
      <c r="K2261" s="25" t="n">
        <v>10</v>
      </c>
      <c r="L2261" s="29" t="n">
        <v>0.7</v>
      </c>
      <c r="M2261" s="30" t="n">
        <v>7.15</v>
      </c>
      <c r="N2261" s="29" t="n">
        <v>0.12</v>
      </c>
      <c r="O2261" s="25" t="n">
        <v>186</v>
      </c>
      <c r="P2261" s="30" t="n">
        <v>4.35</v>
      </c>
      <c r="Q2261" s="27" t="s">
        <v>4177</v>
      </c>
      <c r="R2261" s="27" t="s">
        <v>405</v>
      </c>
    </row>
    <row r="2262" customFormat="false" ht="15" hidden="false" customHeight="false" outlineLevel="0" collapsed="false">
      <c r="A2262" s="25" t="n">
        <f aca="false">IF(G2262="REJECT",COUNTIF($G$2:$G$2277,"&lt;&gt;REJECT")+1+COUNTIFS($G$2:$G$2277,"REJECT",$B$2:$B$2277,"&gt;"&amp;B2262),1+COUNTIFS($G$2:$G$2277,"&lt;&gt;REJECT",$B$2:$B$2277,"&gt;"&amp;B2262))</f>
        <v>2261</v>
      </c>
      <c r="B2262" s="26" t="n">
        <f aca="false">ROUND(($U$2*MAX(0,MIN(1,($W$2-I2262)/($W$2-$V$2)))+$U$3*MAX(0,MIN(1,($W$3-J2262)/($W$3-$V$3)))+$U$4*MAX(0,MIN(1,($W$4-K2262)/($W$4-$V$4)))+$U$5*MAX(0,MIN(1,($W$5-L2262)/($W$5-$V$5)))+$U$6*MAX(0,MIN(1,($W$6-M2262)/($W$6-$V$6)))+$U$7*MAX(0,MIN(1,($W$7-N2262)/($W$7-$V$7)))+$U$8*IF(AND(O2262&gt;=$V$8,O2262&lt;=$W$8),1,0))/$U$9*100,2)</f>
        <v>22.35</v>
      </c>
      <c r="C2262" s="27" t="s">
        <v>1639</v>
      </c>
      <c r="D2262" s="25" t="s">
        <v>134</v>
      </c>
      <c r="E2262" s="25" t="s">
        <v>3447</v>
      </c>
      <c r="F2262" s="25" t="s">
        <v>3457</v>
      </c>
      <c r="G2262" s="39" t="s">
        <v>32</v>
      </c>
      <c r="H2262" s="39" t="s">
        <v>26</v>
      </c>
      <c r="I2262" s="25" t="n">
        <v>8</v>
      </c>
      <c r="J2262" s="25" t="n">
        <v>2</v>
      </c>
      <c r="K2262" s="25" t="n">
        <v>8</v>
      </c>
      <c r="L2262" s="29" t="n">
        <v>0.7</v>
      </c>
      <c r="M2262" s="30" t="n">
        <v>3.88</v>
      </c>
      <c r="N2262" s="29" t="n">
        <v>0.6</v>
      </c>
      <c r="O2262" s="25" t="n">
        <v>196</v>
      </c>
      <c r="P2262" s="30" t="n">
        <v>-0.88</v>
      </c>
      <c r="Q2262" s="27" t="s">
        <v>4178</v>
      </c>
      <c r="R2262" s="27" t="s">
        <v>405</v>
      </c>
    </row>
    <row r="2263" customFormat="false" ht="15" hidden="false" customHeight="false" outlineLevel="0" collapsed="false">
      <c r="A2263" s="25" t="n">
        <f aca="false">IF(G2263="REJECT",COUNTIF($G$2:$G$2277,"&lt;&gt;REJECT")+1+COUNTIFS($G$2:$G$2277,"REJECT",$B$2:$B$2277,"&gt;"&amp;B2263),1+COUNTIFS($G$2:$G$2277,"&lt;&gt;REJECT",$B$2:$B$2277,"&gt;"&amp;B2263))</f>
        <v>2262</v>
      </c>
      <c r="B2263" s="26" t="n">
        <f aca="false">ROUND(($U$2*MAX(0,MIN(1,($W$2-I2263)/($W$2-$V$2)))+$U$3*MAX(0,MIN(1,($W$3-J2263)/($W$3-$V$3)))+$U$4*MAX(0,MIN(1,($W$4-K2263)/($W$4-$V$4)))+$U$5*MAX(0,MIN(1,($W$5-L2263)/($W$5-$V$5)))+$U$6*MAX(0,MIN(1,($W$6-M2263)/($W$6-$V$6)))+$U$7*MAX(0,MIN(1,($W$7-N2263)/($W$7-$V$7)))+$U$8*IF(AND(O2263&gt;=$V$8,O2263&lt;=$W$8),1,0))/$U$9*100,2)</f>
        <v>22.33</v>
      </c>
      <c r="C2263" s="27" t="s">
        <v>624</v>
      </c>
      <c r="D2263" s="25" t="s">
        <v>134</v>
      </c>
      <c r="E2263" s="25" t="s">
        <v>3450</v>
      </c>
      <c r="F2263" s="25" t="s">
        <v>3448</v>
      </c>
      <c r="G2263" s="39" t="s">
        <v>32</v>
      </c>
      <c r="H2263" s="39" t="s">
        <v>26</v>
      </c>
      <c r="I2263" s="25" t="n">
        <v>9</v>
      </c>
      <c r="J2263" s="25" t="n">
        <v>2</v>
      </c>
      <c r="K2263" s="25" t="n">
        <v>9</v>
      </c>
      <c r="L2263" s="29" t="n">
        <v>0.68</v>
      </c>
      <c r="M2263" s="30" t="n">
        <v>2.81</v>
      </c>
      <c r="N2263" s="29" t="n">
        <v>0</v>
      </c>
      <c r="O2263" s="25" t="n">
        <v>183</v>
      </c>
      <c r="P2263" s="30" t="n">
        <v>5.01</v>
      </c>
      <c r="Q2263" s="27" t="s">
        <v>4179</v>
      </c>
      <c r="R2263" s="27" t="s">
        <v>405</v>
      </c>
    </row>
    <row r="2264" customFormat="false" ht="15" hidden="false" customHeight="false" outlineLevel="0" collapsed="false">
      <c r="A2264" s="25" t="n">
        <f aca="false">IF(G2264="REJECT",COUNTIF($G$2:$G$2277,"&lt;&gt;REJECT")+1+COUNTIFS($G$2:$G$2277,"REJECT",$B$2:$B$2277,"&gt;"&amp;B2264),1+COUNTIFS($G$2:$G$2277,"&lt;&gt;REJECT",$B$2:$B$2277,"&gt;"&amp;B2264))</f>
        <v>2263</v>
      </c>
      <c r="B2264" s="26" t="n">
        <f aca="false">ROUND(($U$2*MAX(0,MIN(1,($W$2-I2264)/($W$2-$V$2)))+$U$3*MAX(0,MIN(1,($W$3-J2264)/($W$3-$V$3)))+$U$4*MAX(0,MIN(1,($W$4-K2264)/($W$4-$V$4)))+$U$5*MAX(0,MIN(1,($W$5-L2264)/($W$5-$V$5)))+$U$6*MAX(0,MIN(1,($W$6-M2264)/($W$6-$V$6)))+$U$7*MAX(0,MIN(1,($W$7-N2264)/($W$7-$V$7)))+$U$8*IF(AND(O2264&gt;=$V$8,O2264&lt;=$W$8),1,0))/$U$9*100,2)</f>
        <v>22.14</v>
      </c>
      <c r="C2264" s="27" t="s">
        <v>566</v>
      </c>
      <c r="D2264" s="25" t="s">
        <v>3459</v>
      </c>
      <c r="E2264" s="25" t="s">
        <v>3450</v>
      </c>
      <c r="F2264" s="25" t="s">
        <v>3457</v>
      </c>
      <c r="G2264" s="39" t="s">
        <v>32</v>
      </c>
      <c r="H2264" s="39" t="s">
        <v>26</v>
      </c>
      <c r="I2264" s="25" t="n">
        <v>13</v>
      </c>
      <c r="J2264" s="25" t="n">
        <v>1</v>
      </c>
      <c r="K2264" s="25" t="n">
        <v>13</v>
      </c>
      <c r="L2264" s="29" t="n">
        <v>0.58</v>
      </c>
      <c r="M2264" s="30" t="n">
        <v>25.97</v>
      </c>
      <c r="N2264" s="29" t="n">
        <v>0.2</v>
      </c>
      <c r="O2264" s="25" t="n">
        <v>188</v>
      </c>
      <c r="P2264" s="30" t="n">
        <v>13.44</v>
      </c>
      <c r="Q2264" s="27" t="s">
        <v>4180</v>
      </c>
      <c r="R2264" s="27" t="s">
        <v>1178</v>
      </c>
    </row>
    <row r="2265" customFormat="false" ht="15" hidden="false" customHeight="false" outlineLevel="0" collapsed="false">
      <c r="A2265" s="25" t="n">
        <f aca="false">IF(G2265="REJECT",COUNTIF($G$2:$G$2277,"&lt;&gt;REJECT")+1+COUNTIFS($G$2:$G$2277,"REJECT",$B$2:$B$2277,"&gt;"&amp;B2265),1+COUNTIFS($G$2:$G$2277,"&lt;&gt;REJECT",$B$2:$B$2277,"&gt;"&amp;B2265))</f>
        <v>2264</v>
      </c>
      <c r="B2265" s="26" t="n">
        <f aca="false">ROUND(($U$2*MAX(0,MIN(1,($W$2-I2265)/($W$2-$V$2)))+$U$3*MAX(0,MIN(1,($W$3-J2265)/($W$3-$V$3)))+$U$4*MAX(0,MIN(1,($W$4-K2265)/($W$4-$V$4)))+$U$5*MAX(0,MIN(1,($W$5-L2265)/($W$5-$V$5)))+$U$6*MAX(0,MIN(1,($W$6-M2265)/($W$6-$V$6)))+$U$7*MAX(0,MIN(1,($W$7-N2265)/($W$7-$V$7)))+$U$8*IF(AND(O2265&gt;=$V$8,O2265&lt;=$W$8),1,0))/$U$9*100,2)</f>
        <v>21.7</v>
      </c>
      <c r="C2265" s="27" t="s">
        <v>1240</v>
      </c>
      <c r="D2265" s="25" t="s">
        <v>134</v>
      </c>
      <c r="E2265" s="25" t="s">
        <v>3450</v>
      </c>
      <c r="F2265" s="25" t="s">
        <v>3457</v>
      </c>
      <c r="G2265" s="39" t="s">
        <v>32</v>
      </c>
      <c r="H2265" s="39" t="s">
        <v>26</v>
      </c>
      <c r="I2265" s="25" t="n">
        <v>7</v>
      </c>
      <c r="J2265" s="25" t="n">
        <v>2</v>
      </c>
      <c r="K2265" s="25" t="n">
        <v>7</v>
      </c>
      <c r="L2265" s="29" t="n">
        <v>0.63</v>
      </c>
      <c r="M2265" s="30" t="n">
        <v>21.7</v>
      </c>
      <c r="N2265" s="29" t="n">
        <v>0.44</v>
      </c>
      <c r="O2265" s="25" t="n">
        <v>184</v>
      </c>
      <c r="P2265" s="30" t="n">
        <v>19.83</v>
      </c>
      <c r="Q2265" s="27" t="s">
        <v>4181</v>
      </c>
      <c r="R2265" s="27" t="s">
        <v>4182</v>
      </c>
    </row>
    <row r="2266" customFormat="false" ht="15" hidden="false" customHeight="false" outlineLevel="0" collapsed="false">
      <c r="A2266" s="25" t="n">
        <f aca="false">IF(G2266="REJECT",COUNTIF($G$2:$G$2277,"&lt;&gt;REJECT")+1+COUNTIFS($G$2:$G$2277,"REJECT",$B$2:$B$2277,"&gt;"&amp;B2266),1+COUNTIFS($G$2:$G$2277,"&lt;&gt;REJECT",$B$2:$B$2277,"&gt;"&amp;B2266))</f>
        <v>2265</v>
      </c>
      <c r="B2266" s="26" t="n">
        <f aca="false">ROUND(($U$2*MAX(0,MIN(1,($W$2-I2266)/($W$2-$V$2)))+$U$3*MAX(0,MIN(1,($W$3-J2266)/($W$3-$V$3)))+$U$4*MAX(0,MIN(1,($W$4-K2266)/($W$4-$V$4)))+$U$5*MAX(0,MIN(1,($W$5-L2266)/($W$5-$V$5)))+$U$6*MAX(0,MIN(1,($W$6-M2266)/($W$6-$V$6)))+$U$7*MAX(0,MIN(1,($W$7-N2266)/($W$7-$V$7)))+$U$8*IF(AND(O2266&gt;=$V$8,O2266&lt;=$W$8),1,0))/$U$9*100,2)</f>
        <v>21.53</v>
      </c>
      <c r="C2266" s="27" t="s">
        <v>2822</v>
      </c>
      <c r="D2266" s="25" t="s">
        <v>3459</v>
      </c>
      <c r="E2266" s="25" t="s">
        <v>3450</v>
      </c>
      <c r="F2266" s="25" t="s">
        <v>3448</v>
      </c>
      <c r="G2266" s="39" t="s">
        <v>32</v>
      </c>
      <c r="H2266" s="39" t="s">
        <v>26</v>
      </c>
      <c r="I2266" s="25" t="n">
        <v>9</v>
      </c>
      <c r="J2266" s="25" t="n">
        <v>1</v>
      </c>
      <c r="K2266" s="25" t="n">
        <v>9</v>
      </c>
      <c r="L2266" s="29" t="n">
        <v>0.51</v>
      </c>
      <c r="M2266" s="30" t="n">
        <v>12.41</v>
      </c>
      <c r="N2266" s="29" t="n">
        <v>0.84</v>
      </c>
      <c r="O2266" s="25" t="n">
        <v>184</v>
      </c>
      <c r="P2266" s="30" t="n">
        <v>3.77</v>
      </c>
      <c r="Q2266" s="27" t="s">
        <v>4183</v>
      </c>
      <c r="R2266" s="27" t="s">
        <v>529</v>
      </c>
    </row>
    <row r="2267" customFormat="false" ht="15" hidden="false" customHeight="false" outlineLevel="0" collapsed="false">
      <c r="A2267" s="25" t="n">
        <f aca="false">IF(G2267="REJECT",COUNTIF($G$2:$G$2277,"&lt;&gt;REJECT")+1+COUNTIFS($G$2:$G$2277,"REJECT",$B$2:$B$2277,"&gt;"&amp;B2267),1+COUNTIFS($G$2:$G$2277,"&lt;&gt;REJECT",$B$2:$B$2277,"&gt;"&amp;B2267))</f>
        <v>2266</v>
      </c>
      <c r="B2267" s="26" t="n">
        <f aca="false">ROUND(($U$2*MAX(0,MIN(1,($W$2-I2267)/($W$2-$V$2)))+$U$3*MAX(0,MIN(1,($W$3-J2267)/($W$3-$V$3)))+$U$4*MAX(0,MIN(1,($W$4-K2267)/($W$4-$V$4)))+$U$5*MAX(0,MIN(1,($W$5-L2267)/($W$5-$V$5)))+$U$6*MAX(0,MIN(1,($W$6-M2267)/($W$6-$V$6)))+$U$7*MAX(0,MIN(1,($W$7-N2267)/($W$7-$V$7)))+$U$8*IF(AND(O2267&gt;=$V$8,O2267&lt;=$W$8),1,0))/$U$9*100,2)</f>
        <v>21.47</v>
      </c>
      <c r="C2267" s="27" t="s">
        <v>566</v>
      </c>
      <c r="D2267" s="25" t="s">
        <v>3459</v>
      </c>
      <c r="E2267" s="25" t="s">
        <v>3450</v>
      </c>
      <c r="F2267" s="25" t="s">
        <v>3448</v>
      </c>
      <c r="G2267" s="39" t="s">
        <v>32</v>
      </c>
      <c r="H2267" s="39" t="s">
        <v>26</v>
      </c>
      <c r="I2267" s="25" t="n">
        <v>14</v>
      </c>
      <c r="J2267" s="25" t="n">
        <v>1</v>
      </c>
      <c r="K2267" s="25" t="n">
        <v>14</v>
      </c>
      <c r="L2267" s="29" t="n">
        <v>0.56</v>
      </c>
      <c r="M2267" s="30" t="n">
        <v>22.36</v>
      </c>
      <c r="N2267" s="29" t="n">
        <v>0.24</v>
      </c>
      <c r="O2267" s="25" t="n">
        <v>184</v>
      </c>
      <c r="P2267" s="30" t="n">
        <v>13.27</v>
      </c>
      <c r="Q2267" s="27" t="s">
        <v>4184</v>
      </c>
      <c r="R2267" s="27" t="s">
        <v>1926</v>
      </c>
    </row>
    <row r="2268" customFormat="false" ht="15" hidden="false" customHeight="false" outlineLevel="0" collapsed="false">
      <c r="A2268" s="25" t="n">
        <f aca="false">IF(G2268="REJECT",COUNTIF($G$2:$G$2277,"&lt;&gt;REJECT")+1+COUNTIFS($G$2:$G$2277,"REJECT",$B$2:$B$2277,"&gt;"&amp;B2268),1+COUNTIFS($G$2:$G$2277,"&lt;&gt;REJECT",$B$2:$B$2277,"&gt;"&amp;B2268))</f>
        <v>2267</v>
      </c>
      <c r="B2268" s="26" t="n">
        <f aca="false">ROUND(($U$2*MAX(0,MIN(1,($W$2-I2268)/($W$2-$V$2)))+$U$3*MAX(0,MIN(1,($W$3-J2268)/($W$3-$V$3)))+$U$4*MAX(0,MIN(1,($W$4-K2268)/($W$4-$V$4)))+$U$5*MAX(0,MIN(1,($W$5-L2268)/($W$5-$V$5)))+$U$6*MAX(0,MIN(1,($W$6-M2268)/($W$6-$V$6)))+$U$7*MAX(0,MIN(1,($W$7-N2268)/($W$7-$V$7)))+$U$8*IF(AND(O2268&gt;=$V$8,O2268&lt;=$W$8),1,0))/$U$9*100,2)</f>
        <v>21.4</v>
      </c>
      <c r="C2268" s="27" t="s">
        <v>785</v>
      </c>
      <c r="D2268" s="25" t="s">
        <v>3459</v>
      </c>
      <c r="E2268" s="25" t="s">
        <v>3450</v>
      </c>
      <c r="F2268" s="25" t="s">
        <v>3448</v>
      </c>
      <c r="G2268" s="39" t="s">
        <v>32</v>
      </c>
      <c r="H2268" s="39" t="s">
        <v>26</v>
      </c>
      <c r="I2268" s="25" t="n">
        <v>10</v>
      </c>
      <c r="J2268" s="25" t="n">
        <v>1</v>
      </c>
      <c r="K2268" s="25" t="n">
        <v>10</v>
      </c>
      <c r="L2268" s="29" t="n">
        <v>0.55</v>
      </c>
      <c r="M2268" s="30" t="n">
        <v>18.79</v>
      </c>
      <c r="N2268" s="29" t="n">
        <v>0.28</v>
      </c>
      <c r="O2268" s="25" t="n">
        <v>183</v>
      </c>
      <c r="P2268" s="30" t="n">
        <v>16.77</v>
      </c>
      <c r="Q2268" s="27" t="s">
        <v>4185</v>
      </c>
      <c r="R2268" s="27" t="s">
        <v>529</v>
      </c>
    </row>
    <row r="2269" customFormat="false" ht="15" hidden="false" customHeight="false" outlineLevel="0" collapsed="false">
      <c r="A2269" s="25" t="n">
        <f aca="false">IF(G2269="REJECT",COUNTIF($G$2:$G$2277,"&lt;&gt;REJECT")+1+COUNTIFS($G$2:$G$2277,"REJECT",$B$2:$B$2277,"&gt;"&amp;B2269),1+COUNTIFS($G$2:$G$2277,"&lt;&gt;REJECT",$B$2:$B$2277,"&gt;"&amp;B2269))</f>
        <v>2268</v>
      </c>
      <c r="B2269" s="26" t="n">
        <f aca="false">ROUND(($U$2*MAX(0,MIN(1,($W$2-I2269)/($W$2-$V$2)))+$U$3*MAX(0,MIN(1,($W$3-J2269)/($W$3-$V$3)))+$U$4*MAX(0,MIN(1,($W$4-K2269)/($W$4-$V$4)))+$U$5*MAX(0,MIN(1,($W$5-L2269)/($W$5-$V$5)))+$U$6*MAX(0,MIN(1,($W$6-M2269)/($W$6-$V$6)))+$U$7*MAX(0,MIN(1,($W$7-N2269)/($W$7-$V$7)))+$U$8*IF(AND(O2269&gt;=$V$8,O2269&lt;=$W$8),1,0))/$U$9*100,2)</f>
        <v>21.16</v>
      </c>
      <c r="C2269" s="27" t="s">
        <v>519</v>
      </c>
      <c r="D2269" s="25" t="s">
        <v>134</v>
      </c>
      <c r="E2269" s="25" t="s">
        <v>3450</v>
      </c>
      <c r="F2269" s="25" t="s">
        <v>3457</v>
      </c>
      <c r="G2269" s="39" t="s">
        <v>32</v>
      </c>
      <c r="H2269" s="39" t="s">
        <v>26</v>
      </c>
      <c r="I2269" s="25" t="n">
        <v>10</v>
      </c>
      <c r="J2269" s="25" t="n">
        <v>2</v>
      </c>
      <c r="K2269" s="25" t="n">
        <v>10</v>
      </c>
      <c r="L2269" s="29" t="n">
        <v>0.68</v>
      </c>
      <c r="M2269" s="30" t="n">
        <v>5.05</v>
      </c>
      <c r="N2269" s="29" t="n">
        <v>0.48</v>
      </c>
      <c r="O2269" s="25" t="n">
        <v>197</v>
      </c>
      <c r="P2269" s="30" t="n">
        <v>13.61</v>
      </c>
      <c r="Q2269" s="27" t="s">
        <v>4186</v>
      </c>
      <c r="R2269" s="27" t="s">
        <v>405</v>
      </c>
    </row>
    <row r="2270" customFormat="false" ht="15" hidden="false" customHeight="false" outlineLevel="0" collapsed="false">
      <c r="A2270" s="25" t="n">
        <f aca="false">IF(G2270="REJECT",COUNTIF($G$2:$G$2277,"&lt;&gt;REJECT")+1+COUNTIFS($G$2:$G$2277,"REJECT",$B$2:$B$2277,"&gt;"&amp;B2270),1+COUNTIFS($G$2:$G$2277,"&lt;&gt;REJECT",$B$2:$B$2277,"&gt;"&amp;B2270))</f>
        <v>2269</v>
      </c>
      <c r="B2270" s="26" t="n">
        <f aca="false">ROUND(($U$2*MAX(0,MIN(1,($W$2-I2270)/($W$2-$V$2)))+$U$3*MAX(0,MIN(1,($W$3-J2270)/($W$3-$V$3)))+$U$4*MAX(0,MIN(1,($W$4-K2270)/($W$4-$V$4)))+$U$5*MAX(0,MIN(1,($W$5-L2270)/($W$5-$V$5)))+$U$6*MAX(0,MIN(1,($W$6-M2270)/($W$6-$V$6)))+$U$7*MAX(0,MIN(1,($W$7-N2270)/($W$7-$V$7)))+$U$8*IF(AND(O2270&gt;=$V$8,O2270&lt;=$W$8),1,0))/$U$9*100,2)</f>
        <v>21.01</v>
      </c>
      <c r="C2270" s="27" t="s">
        <v>3144</v>
      </c>
      <c r="D2270" s="25" t="s">
        <v>134</v>
      </c>
      <c r="E2270" s="25" t="s">
        <v>3450</v>
      </c>
      <c r="F2270" s="25" t="s">
        <v>3457</v>
      </c>
      <c r="G2270" s="39" t="s">
        <v>32</v>
      </c>
      <c r="H2270" s="39" t="s">
        <v>26</v>
      </c>
      <c r="I2270" s="25" t="n">
        <v>11</v>
      </c>
      <c r="J2270" s="25" t="n">
        <v>2</v>
      </c>
      <c r="K2270" s="25" t="n">
        <v>11</v>
      </c>
      <c r="L2270" s="29" t="n">
        <v>0.69</v>
      </c>
      <c r="M2270" s="30" t="n">
        <v>14.36</v>
      </c>
      <c r="N2270" s="29" t="n">
        <v>0</v>
      </c>
      <c r="O2270" s="25" t="n">
        <v>183</v>
      </c>
      <c r="P2270" s="30" t="n">
        <v>11.3</v>
      </c>
      <c r="Q2270" s="27" t="s">
        <v>4187</v>
      </c>
      <c r="R2270" s="27" t="s">
        <v>4188</v>
      </c>
    </row>
    <row r="2271" customFormat="false" ht="15" hidden="false" customHeight="false" outlineLevel="0" collapsed="false">
      <c r="A2271" s="25" t="n">
        <f aca="false">IF(G2271="REJECT",COUNTIF($G$2:$G$2277,"&lt;&gt;REJECT")+1+COUNTIFS($G$2:$G$2277,"REJECT",$B$2:$B$2277,"&gt;"&amp;B2271),1+COUNTIFS($G$2:$G$2277,"&lt;&gt;REJECT",$B$2:$B$2277,"&gt;"&amp;B2271))</f>
        <v>2270</v>
      </c>
      <c r="B2271" s="26" t="n">
        <f aca="false">ROUND(($U$2*MAX(0,MIN(1,($W$2-I2271)/($W$2-$V$2)))+$U$3*MAX(0,MIN(1,($W$3-J2271)/($W$3-$V$3)))+$U$4*MAX(0,MIN(1,($W$4-K2271)/($W$4-$V$4)))+$U$5*MAX(0,MIN(1,($W$5-L2271)/($W$5-$V$5)))+$U$6*MAX(0,MIN(1,($W$6-M2271)/($W$6-$V$6)))+$U$7*MAX(0,MIN(1,($W$7-N2271)/($W$7-$V$7)))+$U$8*IF(AND(O2271&gt;=$V$8,O2271&lt;=$W$8),1,0))/$U$9*100,2)</f>
        <v>20.96</v>
      </c>
      <c r="C2271" s="27" t="s">
        <v>1639</v>
      </c>
      <c r="D2271" s="25" t="s">
        <v>134</v>
      </c>
      <c r="E2271" s="25" t="s">
        <v>3447</v>
      </c>
      <c r="F2271" s="25" t="s">
        <v>3448</v>
      </c>
      <c r="G2271" s="39" t="s">
        <v>32</v>
      </c>
      <c r="H2271" s="39" t="s">
        <v>26</v>
      </c>
      <c r="I2271" s="25" t="n">
        <v>12</v>
      </c>
      <c r="J2271" s="25" t="n">
        <v>2</v>
      </c>
      <c r="K2271" s="25" t="n">
        <v>12</v>
      </c>
      <c r="L2271" s="29" t="n">
        <v>0.69</v>
      </c>
      <c r="M2271" s="30" t="n">
        <v>7.04</v>
      </c>
      <c r="N2271" s="29" t="n">
        <v>0.76</v>
      </c>
      <c r="O2271" s="25" t="n">
        <v>196</v>
      </c>
      <c r="P2271" s="30" t="n">
        <v>-1.01</v>
      </c>
      <c r="Q2271" s="27" t="s">
        <v>4189</v>
      </c>
      <c r="R2271" s="27" t="s">
        <v>405</v>
      </c>
    </row>
    <row r="2272" customFormat="false" ht="15" hidden="false" customHeight="false" outlineLevel="0" collapsed="false">
      <c r="A2272" s="25" t="n">
        <f aca="false">IF(G2272="REJECT",COUNTIF($G$2:$G$2277,"&lt;&gt;REJECT")+1+COUNTIFS($G$2:$G$2277,"REJECT",$B$2:$B$2277,"&gt;"&amp;B2272),1+COUNTIFS($G$2:$G$2277,"&lt;&gt;REJECT",$B$2:$B$2277,"&gt;"&amp;B2272))</f>
        <v>2271</v>
      </c>
      <c r="B2272" s="26" t="n">
        <f aca="false">ROUND(($U$2*MAX(0,MIN(1,($W$2-I2272)/($W$2-$V$2)))+$U$3*MAX(0,MIN(1,($W$3-J2272)/($W$3-$V$3)))+$U$4*MAX(0,MIN(1,($W$4-K2272)/($W$4-$V$4)))+$U$5*MAX(0,MIN(1,($W$5-L2272)/($W$5-$V$5)))+$U$6*MAX(0,MIN(1,($W$6-M2272)/($W$6-$V$6)))+$U$7*MAX(0,MIN(1,($W$7-N2272)/($W$7-$V$7)))+$U$8*IF(AND(O2272&gt;=$V$8,O2272&lt;=$W$8),1,0))/$U$9*100,2)</f>
        <v>20.2</v>
      </c>
      <c r="C2272" s="27" t="s">
        <v>2055</v>
      </c>
      <c r="D2272" s="25" t="s">
        <v>134</v>
      </c>
      <c r="E2272" s="25" t="s">
        <v>3450</v>
      </c>
      <c r="F2272" s="25" t="s">
        <v>3457</v>
      </c>
      <c r="G2272" s="39" t="s">
        <v>32</v>
      </c>
      <c r="H2272" s="39" t="s">
        <v>26</v>
      </c>
      <c r="I2272" s="25" t="n">
        <v>9</v>
      </c>
      <c r="J2272" s="25" t="n">
        <v>1</v>
      </c>
      <c r="K2272" s="25" t="n">
        <v>9</v>
      </c>
      <c r="L2272" s="29" t="n">
        <v>0.52</v>
      </c>
      <c r="M2272" s="30" t="n">
        <v>22.41</v>
      </c>
      <c r="N2272" s="29" t="n">
        <v>0.64</v>
      </c>
      <c r="O2272" s="25" t="n">
        <v>188</v>
      </c>
      <c r="P2272" s="30" t="n">
        <v>9.04</v>
      </c>
      <c r="Q2272" s="27" t="s">
        <v>4155</v>
      </c>
      <c r="R2272" s="27" t="s">
        <v>1926</v>
      </c>
    </row>
    <row r="2273" customFormat="false" ht="15" hidden="false" customHeight="false" outlineLevel="0" collapsed="false">
      <c r="A2273" s="25" t="n">
        <f aca="false">IF(G2273="REJECT",COUNTIF($G$2:$G$2277,"&lt;&gt;REJECT")+1+COUNTIFS($G$2:$G$2277,"REJECT",$B$2:$B$2277,"&gt;"&amp;B2273),1+COUNTIFS($G$2:$G$2277,"&lt;&gt;REJECT",$B$2:$B$2277,"&gt;"&amp;B2273))</f>
        <v>2272</v>
      </c>
      <c r="B2273" s="26" t="n">
        <f aca="false">ROUND(($U$2*MAX(0,MIN(1,($W$2-I2273)/($W$2-$V$2)))+$U$3*MAX(0,MIN(1,($W$3-J2273)/($W$3-$V$3)))+$U$4*MAX(0,MIN(1,($W$4-K2273)/($W$4-$V$4)))+$U$5*MAX(0,MIN(1,($W$5-L2273)/($W$5-$V$5)))+$U$6*MAX(0,MIN(1,($W$6-M2273)/($W$6-$V$6)))+$U$7*MAX(0,MIN(1,($W$7-N2273)/($W$7-$V$7)))+$U$8*IF(AND(O2273&gt;=$V$8,O2273&lt;=$W$8),1,0))/$U$9*100,2)</f>
        <v>19.67</v>
      </c>
      <c r="C2273" s="27" t="s">
        <v>402</v>
      </c>
      <c r="D2273" s="25" t="s">
        <v>134</v>
      </c>
      <c r="E2273" s="25" t="s">
        <v>3447</v>
      </c>
      <c r="F2273" s="25" t="s">
        <v>3448</v>
      </c>
      <c r="G2273" s="39" t="s">
        <v>32</v>
      </c>
      <c r="H2273" s="39" t="s">
        <v>26</v>
      </c>
      <c r="I2273" s="25" t="n">
        <v>12</v>
      </c>
      <c r="J2273" s="25" t="n">
        <v>2</v>
      </c>
      <c r="K2273" s="25" t="n">
        <v>10</v>
      </c>
      <c r="L2273" s="29" t="n">
        <v>0.66</v>
      </c>
      <c r="M2273" s="30" t="n">
        <v>11.6</v>
      </c>
      <c r="N2273" s="29" t="n">
        <v>0</v>
      </c>
      <c r="O2273" s="25" t="n">
        <v>195</v>
      </c>
      <c r="P2273" s="30" t="n">
        <v>7.7</v>
      </c>
      <c r="Q2273" s="27" t="s">
        <v>4190</v>
      </c>
      <c r="R2273" s="27" t="s">
        <v>405</v>
      </c>
    </row>
    <row r="2274" customFormat="false" ht="15" hidden="false" customHeight="false" outlineLevel="0" collapsed="false">
      <c r="A2274" s="25" t="n">
        <f aca="false">IF(G2274="REJECT",COUNTIF($G$2:$G$2277,"&lt;&gt;REJECT")+1+COUNTIFS($G$2:$G$2277,"REJECT",$B$2:$B$2277,"&gt;"&amp;B2274),1+COUNTIFS($G$2:$G$2277,"&lt;&gt;REJECT",$B$2:$B$2277,"&gt;"&amp;B2274))</f>
        <v>2273</v>
      </c>
      <c r="B2274" s="26" t="n">
        <f aca="false">ROUND(($U$2*MAX(0,MIN(1,($W$2-I2274)/($W$2-$V$2)))+$U$3*MAX(0,MIN(1,($W$3-J2274)/($W$3-$V$3)))+$U$4*MAX(0,MIN(1,($W$4-K2274)/($W$4-$V$4)))+$U$5*MAX(0,MIN(1,($W$5-L2274)/($W$5-$V$5)))+$U$6*MAX(0,MIN(1,($W$6-M2274)/($W$6-$V$6)))+$U$7*MAX(0,MIN(1,($W$7-N2274)/($W$7-$V$7)))+$U$8*IF(AND(O2274&gt;=$V$8,O2274&lt;=$W$8),1,0))/$U$9*100,2)</f>
        <v>18.96</v>
      </c>
      <c r="C2274" s="27" t="s">
        <v>1559</v>
      </c>
      <c r="D2274" s="25" t="s">
        <v>134</v>
      </c>
      <c r="E2274" s="25" t="s">
        <v>3450</v>
      </c>
      <c r="F2274" s="25" t="s">
        <v>3448</v>
      </c>
      <c r="G2274" s="39" t="s">
        <v>32</v>
      </c>
      <c r="H2274" s="39" t="s">
        <v>26</v>
      </c>
      <c r="I2274" s="25" t="n">
        <v>10</v>
      </c>
      <c r="J2274" s="25" t="n">
        <v>1</v>
      </c>
      <c r="K2274" s="25" t="n">
        <v>10</v>
      </c>
      <c r="L2274" s="29" t="n">
        <v>0.61</v>
      </c>
      <c r="M2274" s="30" t="n">
        <v>19.04</v>
      </c>
      <c r="N2274" s="29" t="n">
        <v>0.88</v>
      </c>
      <c r="O2274" s="25" t="n">
        <v>285</v>
      </c>
      <c r="P2274" s="30" t="n">
        <v>-0.18</v>
      </c>
      <c r="Q2274" s="27" t="s">
        <v>4191</v>
      </c>
      <c r="R2274" s="27" t="s">
        <v>1337</v>
      </c>
    </row>
    <row r="2275" customFormat="false" ht="15" hidden="false" customHeight="false" outlineLevel="0" collapsed="false">
      <c r="A2275" s="25" t="n">
        <f aca="false">IF(G2275="REJECT",COUNTIF($G$2:$G$2277,"&lt;&gt;REJECT")+1+COUNTIFS($G$2:$G$2277,"REJECT",$B$2:$B$2277,"&gt;"&amp;B2275),1+COUNTIFS($G$2:$G$2277,"&lt;&gt;REJECT",$B$2:$B$2277,"&gt;"&amp;B2275))</f>
        <v>2274</v>
      </c>
      <c r="B2275" s="26" t="n">
        <f aca="false">ROUND(($U$2*MAX(0,MIN(1,($W$2-I2275)/($W$2-$V$2)))+$U$3*MAX(0,MIN(1,($W$3-J2275)/($W$3-$V$3)))+$U$4*MAX(0,MIN(1,($W$4-K2275)/($W$4-$V$4)))+$U$5*MAX(0,MIN(1,($W$5-L2275)/($W$5-$V$5)))+$U$6*MAX(0,MIN(1,($W$6-M2275)/($W$6-$V$6)))+$U$7*MAX(0,MIN(1,($W$7-N2275)/($W$7-$V$7)))+$U$8*IF(AND(O2275&gt;=$V$8,O2275&lt;=$W$8),1,0))/$U$9*100,2)</f>
        <v>17.72</v>
      </c>
      <c r="C2275" s="27" t="s">
        <v>360</v>
      </c>
      <c r="D2275" s="25" t="s">
        <v>134</v>
      </c>
      <c r="E2275" s="25" t="s">
        <v>3450</v>
      </c>
      <c r="F2275" s="25" t="s">
        <v>3457</v>
      </c>
      <c r="G2275" s="39" t="s">
        <v>32</v>
      </c>
      <c r="H2275" s="39" t="s">
        <v>26</v>
      </c>
      <c r="I2275" s="25" t="n">
        <v>12</v>
      </c>
      <c r="J2275" s="25" t="n">
        <v>2</v>
      </c>
      <c r="K2275" s="25" t="n">
        <v>12</v>
      </c>
      <c r="L2275" s="29" t="n">
        <v>0.67</v>
      </c>
      <c r="M2275" s="30" t="n">
        <v>17.7</v>
      </c>
      <c r="N2275" s="29" t="n">
        <v>0.92</v>
      </c>
      <c r="O2275" s="25" t="n">
        <v>183</v>
      </c>
      <c r="P2275" s="30" t="n">
        <v>7.88</v>
      </c>
      <c r="Q2275" s="27" t="s">
        <v>4192</v>
      </c>
      <c r="R2275" s="27" t="s">
        <v>4193</v>
      </c>
    </row>
    <row r="2276" customFormat="false" ht="15" hidden="false" customHeight="false" outlineLevel="0" collapsed="false">
      <c r="A2276" s="25" t="n">
        <f aca="false">IF(G2276="REJECT",COUNTIF($G$2:$G$2277,"&lt;&gt;REJECT")+1+COUNTIFS($G$2:$G$2277,"REJECT",$B$2:$B$2277,"&gt;"&amp;B2276),1+COUNTIFS($G$2:$G$2277,"&lt;&gt;REJECT",$B$2:$B$2277,"&gt;"&amp;B2276))</f>
        <v>2275</v>
      </c>
      <c r="B2276" s="26" t="n">
        <f aca="false">ROUND(($U$2*MAX(0,MIN(1,($W$2-I2276)/($W$2-$V$2)))+$U$3*MAX(0,MIN(1,($W$3-J2276)/($W$3-$V$3)))+$U$4*MAX(0,MIN(1,($W$4-K2276)/($W$4-$V$4)))+$U$5*MAX(0,MIN(1,($W$5-L2276)/($W$5-$V$5)))+$U$6*MAX(0,MIN(1,($W$6-M2276)/($W$6-$V$6)))+$U$7*MAX(0,MIN(1,($W$7-N2276)/($W$7-$V$7)))+$U$8*IF(AND(O2276&gt;=$V$8,O2276&lt;=$W$8),1,0))/$U$9*100,2)</f>
        <v>15.6</v>
      </c>
      <c r="C2276" s="27" t="s">
        <v>402</v>
      </c>
      <c r="D2276" s="25" t="s">
        <v>134</v>
      </c>
      <c r="E2276" s="25" t="s">
        <v>3450</v>
      </c>
      <c r="F2276" s="25" t="s">
        <v>3448</v>
      </c>
      <c r="G2276" s="39" t="s">
        <v>32</v>
      </c>
      <c r="H2276" s="39" t="s">
        <v>26</v>
      </c>
      <c r="I2276" s="25" t="n">
        <v>17</v>
      </c>
      <c r="J2276" s="25" t="n">
        <v>2</v>
      </c>
      <c r="K2276" s="25" t="n">
        <v>17</v>
      </c>
      <c r="L2276" s="29" t="n">
        <v>0.61</v>
      </c>
      <c r="M2276" s="30" t="n">
        <v>13.23</v>
      </c>
      <c r="N2276" s="29" t="n">
        <v>0.48</v>
      </c>
      <c r="O2276" s="25" t="n">
        <v>185</v>
      </c>
      <c r="P2276" s="30" t="n">
        <v>18.55</v>
      </c>
      <c r="Q2276" s="27" t="s">
        <v>4194</v>
      </c>
      <c r="R2276" s="27" t="s">
        <v>405</v>
      </c>
    </row>
    <row r="2277" customFormat="false" ht="15" hidden="false" customHeight="false" outlineLevel="0" collapsed="false">
      <c r="A2277" s="25" t="n">
        <f aca="false">IF(G2277="REJECT",COUNTIF($G$2:$G$2277,"&lt;&gt;REJECT")+1+COUNTIFS($G$2:$G$2277,"REJECT",$B$2:$B$2277,"&gt;"&amp;B2277),1+COUNTIFS($G$2:$G$2277,"&lt;&gt;REJECT",$B$2:$B$2277,"&gt;"&amp;B2277))</f>
        <v>2276</v>
      </c>
      <c r="B2277" s="26" t="n">
        <f aca="false">ROUND(($U$2*MAX(0,MIN(1,($W$2-I2277)/($W$2-$V$2)))+$U$3*MAX(0,MIN(1,($W$3-J2277)/($W$3-$V$3)))+$U$4*MAX(0,MIN(1,($W$4-K2277)/($W$4-$V$4)))+$U$5*MAX(0,MIN(1,($W$5-L2277)/($W$5-$V$5)))+$U$6*MAX(0,MIN(1,($W$6-M2277)/($W$6-$V$6)))+$U$7*MAX(0,MIN(1,($W$7-N2277)/($W$7-$V$7)))+$U$8*IF(AND(O2277&gt;=$V$8,O2277&lt;=$W$8),1,0))/$U$9*100,2)</f>
        <v>14.88</v>
      </c>
      <c r="C2277" s="27" t="s">
        <v>402</v>
      </c>
      <c r="D2277" s="25" t="s">
        <v>134</v>
      </c>
      <c r="E2277" s="25" t="s">
        <v>3450</v>
      </c>
      <c r="F2277" s="25" t="s">
        <v>3457</v>
      </c>
      <c r="G2277" s="39" t="s">
        <v>32</v>
      </c>
      <c r="H2277" s="39" t="s">
        <v>26</v>
      </c>
      <c r="I2277" s="25" t="n">
        <v>20</v>
      </c>
      <c r="J2277" s="25" t="n">
        <v>2</v>
      </c>
      <c r="K2277" s="25" t="n">
        <v>20</v>
      </c>
      <c r="L2277" s="29" t="n">
        <v>0.58</v>
      </c>
      <c r="M2277" s="30" t="n">
        <v>8.31</v>
      </c>
      <c r="N2277" s="29" t="n">
        <v>0.32</v>
      </c>
      <c r="O2277" s="25" t="n">
        <v>189</v>
      </c>
      <c r="P2277" s="30" t="n">
        <v>20.2</v>
      </c>
      <c r="Q2277" s="27" t="s">
        <v>4195</v>
      </c>
      <c r="R2277" s="27" t="s">
        <v>405</v>
      </c>
    </row>
  </sheetData>
  <autoFilter ref="A1:R2277"/>
  <conditionalFormatting sqref="B2:B2277">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2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5" min="4" style="0" width="10"/>
    <col collapsed="false" customWidth="true" hidden="false" outlineLevel="0" max="6" min="6" style="0" width="28"/>
    <col collapsed="false" customWidth="true" hidden="false" outlineLevel="0" max="7" min="7" style="0" width="60"/>
    <col collapsed="false" customWidth="true" hidden="false" outlineLevel="0" max="8" min="8" style="0" width="16"/>
    <col collapsed="false" customWidth="true" hidden="false" outlineLevel="0" max="10" min="9" style="0" width="19"/>
    <col collapsed="false" customWidth="true" hidden="false" outlineLevel="0" max="11" min="11" style="0" width="18"/>
    <col collapsed="false" customWidth="true" hidden="false" outlineLevel="0" max="12" min="12" style="0" width="21"/>
    <col collapsed="false" customWidth="true" hidden="false" outlineLevel="0" max="13" min="13" style="0" width="12"/>
    <col collapsed="false" customWidth="true" hidden="false" outlineLevel="0" max="14" min="14" style="0" width="16"/>
    <col collapsed="false" customWidth="true" hidden="false" outlineLevel="0" max="16" min="15" style="0" width="60"/>
    <col collapsed="false" customWidth="true" hidden="false" outlineLevel="0" max="17" min="17" style="0" width="16"/>
    <col collapsed="false" customWidth="true" hidden="false" outlineLevel="0" max="18" min="18" style="0" width="23"/>
    <col collapsed="false" customWidth="true" hidden="false" outlineLevel="0" max="19" min="19" style="0" width="16"/>
    <col collapsed="false" customWidth="true" hidden="false" outlineLevel="0" max="20" min="20" style="0" width="60"/>
    <col collapsed="false" customWidth="true" hidden="false" outlineLevel="0" max="21" min="21" style="0" width="22"/>
    <col collapsed="false" customWidth="true" hidden="false" outlineLevel="0" max="22" min="22" style="0" width="21"/>
    <col collapsed="false" customWidth="true" hidden="false" outlineLevel="0" max="23" min="23" style="0" width="10"/>
    <col collapsed="false" customWidth="true" hidden="false" outlineLevel="0" max="24" min="24" style="0" width="16"/>
    <col collapsed="false" customWidth="true" hidden="false" outlineLevel="0" max="25" min="25" style="0" width="17"/>
    <col collapsed="false" customWidth="true" hidden="false" outlineLevel="0" max="27" min="26" style="0" width="15"/>
    <col collapsed="false" customWidth="true" hidden="false" outlineLevel="0" max="28" min="28" style="0" width="19"/>
    <col collapsed="false" customWidth="true" hidden="false" outlineLevel="0" max="29" min="29" style="0" width="30"/>
    <col collapsed="false" customWidth="true" hidden="false" outlineLevel="0" max="30" min="30" style="0" width="11"/>
    <col collapsed="false" customWidth="true" hidden="false" outlineLevel="0" max="32" min="31" style="0" width="12"/>
    <col collapsed="false" customWidth="true" hidden="false" outlineLevel="0" max="33" min="33" style="0" width="17"/>
    <col collapsed="false" customWidth="true" hidden="false" outlineLevel="0" max="34" min="34" style="0" width="16"/>
    <col collapsed="false" customWidth="true" hidden="false" outlineLevel="0" max="35" min="35" style="0" width="12"/>
  </cols>
  <sheetData>
    <row r="1" customFormat="false" ht="15" hidden="false" customHeight="false" outlineLevel="0" collapsed="false">
      <c r="A1" s="17" t="s">
        <v>83</v>
      </c>
      <c r="B1" s="17" t="s">
        <v>4196</v>
      </c>
      <c r="C1" s="17" t="s">
        <v>4197</v>
      </c>
      <c r="D1" s="17" t="s">
        <v>4198</v>
      </c>
      <c r="E1" s="17" t="s">
        <v>4199</v>
      </c>
      <c r="F1" s="17" t="s">
        <v>4200</v>
      </c>
      <c r="G1" s="17" t="s">
        <v>4201</v>
      </c>
      <c r="H1" s="17" t="s">
        <v>4202</v>
      </c>
      <c r="I1" s="17" t="s">
        <v>4203</v>
      </c>
      <c r="J1" s="17" t="s">
        <v>4204</v>
      </c>
      <c r="K1" s="17" t="s">
        <v>4205</v>
      </c>
      <c r="L1" s="17" t="s">
        <v>4206</v>
      </c>
      <c r="M1" s="17" t="s">
        <v>100</v>
      </c>
      <c r="N1" s="17" t="s">
        <v>4207</v>
      </c>
      <c r="O1" s="17" t="s">
        <v>4208</v>
      </c>
      <c r="P1" s="17" t="s">
        <v>4209</v>
      </c>
      <c r="Q1" s="17" t="s">
        <v>4210</v>
      </c>
      <c r="R1" s="17" t="s">
        <v>96</v>
      </c>
      <c r="S1" s="17" t="s">
        <v>4211</v>
      </c>
      <c r="T1" s="17" t="s">
        <v>4212</v>
      </c>
      <c r="U1" s="17" t="s">
        <v>4213</v>
      </c>
      <c r="V1" s="17" t="s">
        <v>4214</v>
      </c>
      <c r="W1" s="17" t="s">
        <v>4215</v>
      </c>
      <c r="X1" s="17" t="s">
        <v>4216</v>
      </c>
      <c r="Y1" s="17" t="s">
        <v>4217</v>
      </c>
      <c r="Z1" s="17" t="s">
        <v>4218</v>
      </c>
      <c r="AA1" s="17" t="s">
        <v>4219</v>
      </c>
      <c r="AB1" s="17" t="s">
        <v>4220</v>
      </c>
      <c r="AC1" s="17" t="s">
        <v>4221</v>
      </c>
      <c r="AD1" s="17" t="s">
        <v>4222</v>
      </c>
      <c r="AE1" s="17" t="s">
        <v>4223</v>
      </c>
      <c r="AF1" s="17" t="s">
        <v>4224</v>
      </c>
      <c r="AG1" s="17" t="s">
        <v>4225</v>
      </c>
      <c r="AH1" s="17" t="s">
        <v>4226</v>
      </c>
      <c r="AI1" s="17" t="s">
        <v>4227</v>
      </c>
    </row>
    <row r="2" customFormat="false" ht="15" hidden="false" customHeight="false" outlineLevel="0" collapsed="false">
      <c r="A2" s="0" t="s">
        <v>108</v>
      </c>
      <c r="B2" s="0" t="s">
        <v>134</v>
      </c>
      <c r="C2" s="0" t="s">
        <v>3450</v>
      </c>
      <c r="D2" s="0" t="s">
        <v>3457</v>
      </c>
      <c r="E2" s="20" t="s">
        <v>25</v>
      </c>
      <c r="F2" s="20" t="s">
        <v>29</v>
      </c>
      <c r="G2" s="21" t="s">
        <v>61</v>
      </c>
      <c r="H2" s="21" t="s">
        <v>24</v>
      </c>
      <c r="I2" s="21" t="s">
        <v>24</v>
      </c>
      <c r="J2" s="21" t="s">
        <v>24</v>
      </c>
      <c r="K2" s="21" t="s">
        <v>25</v>
      </c>
      <c r="L2" s="21" t="s">
        <v>24</v>
      </c>
      <c r="M2" s="0" t="n">
        <v>184</v>
      </c>
      <c r="N2" s="0" t="n">
        <v>0</v>
      </c>
      <c r="Q2" s="0" t="n">
        <v>0</v>
      </c>
      <c r="S2" s="0" t="n">
        <v>0</v>
      </c>
      <c r="U2" s="22" t="b">
        <f aca="false">FALSE()</f>
        <v>0</v>
      </c>
      <c r="V2" s="0" t="n">
        <v>0.66</v>
      </c>
      <c r="W2" s="0" t="n">
        <v>0</v>
      </c>
      <c r="X2" s="0" t="n">
        <v>8.57</v>
      </c>
      <c r="Y2" s="0" t="n">
        <v>694.82</v>
      </c>
      <c r="Z2" s="0" t="n">
        <v>10</v>
      </c>
      <c r="AA2" s="0" t="n">
        <v>15.44</v>
      </c>
      <c r="AB2" s="0" t="n">
        <v>2.67</v>
      </c>
      <c r="AC2" s="22" t="b">
        <f aca="false">FALSE()</f>
        <v>0</v>
      </c>
      <c r="AD2" s="0" t="n">
        <v>29.18</v>
      </c>
      <c r="AE2" s="0" t="n">
        <v>17.78</v>
      </c>
      <c r="AF2" s="0" t="n">
        <v>26.91</v>
      </c>
      <c r="AG2" s="22" t="b">
        <f aca="false">TRUE()</f>
        <v>1</v>
      </c>
      <c r="AH2" s="0" t="n">
        <v>1</v>
      </c>
    </row>
    <row r="3" customFormat="false" ht="15" hidden="false" customHeight="false" outlineLevel="0" collapsed="false">
      <c r="A3" s="0" t="s">
        <v>108</v>
      </c>
      <c r="B3" s="0" t="s">
        <v>134</v>
      </c>
      <c r="C3" s="0" t="s">
        <v>3450</v>
      </c>
      <c r="D3" s="0" t="s">
        <v>3448</v>
      </c>
      <c r="E3" s="20" t="s">
        <v>25</v>
      </c>
      <c r="F3" s="23" t="s">
        <v>30</v>
      </c>
      <c r="G3" s="21" t="s">
        <v>992</v>
      </c>
      <c r="H3" s="21" t="s">
        <v>24</v>
      </c>
      <c r="I3" s="21" t="s">
        <v>24</v>
      </c>
      <c r="J3" s="21" t="s">
        <v>24</v>
      </c>
      <c r="K3" s="21" t="s">
        <v>25</v>
      </c>
      <c r="L3" s="21" t="s">
        <v>24</v>
      </c>
      <c r="M3" s="0" t="n">
        <v>193</v>
      </c>
      <c r="N3" s="0" t="n">
        <v>1</v>
      </c>
      <c r="O3" s="21" t="s">
        <v>3476</v>
      </c>
      <c r="P3" s="21" t="s">
        <v>4228</v>
      </c>
      <c r="Q3" s="0" t="n">
        <v>0</v>
      </c>
      <c r="S3" s="0" t="n">
        <v>1</v>
      </c>
      <c r="T3" s="21" t="s">
        <v>3476</v>
      </c>
      <c r="U3" s="22" t="b">
        <f aca="false">TRUE()</f>
        <v>1</v>
      </c>
      <c r="V3" s="0" t="n">
        <v>0.66</v>
      </c>
      <c r="W3" s="0" t="n">
        <v>0.96</v>
      </c>
      <c r="X3" s="0" t="n">
        <v>9.49</v>
      </c>
      <c r="Y3" s="0" t="n">
        <v>334.03</v>
      </c>
      <c r="Z3" s="0" t="n">
        <v>10</v>
      </c>
      <c r="AA3" s="0" t="n">
        <v>14.77</v>
      </c>
      <c r="AB3" s="0" t="n">
        <v>5.34</v>
      </c>
      <c r="AC3" s="22" t="b">
        <f aca="false">FALSE()</f>
        <v>0</v>
      </c>
      <c r="AD3" s="0" t="n">
        <v>24.87</v>
      </c>
      <c r="AE3" s="0" t="n">
        <v>13.58</v>
      </c>
      <c r="AF3" s="0" t="n">
        <v>23.62</v>
      </c>
      <c r="AG3" s="22" t="b">
        <f aca="false">TRUE()</f>
        <v>1</v>
      </c>
      <c r="AH3" s="0" t="n">
        <v>1</v>
      </c>
    </row>
    <row r="4" customFormat="false" ht="15" hidden="false" customHeight="false" outlineLevel="0" collapsed="false">
      <c r="A4" s="0" t="s">
        <v>108</v>
      </c>
      <c r="B4" s="0" t="s">
        <v>134</v>
      </c>
      <c r="C4" s="0" t="s">
        <v>3447</v>
      </c>
      <c r="D4" s="0" t="s">
        <v>3457</v>
      </c>
      <c r="E4" s="19" t="s">
        <v>26</v>
      </c>
      <c r="F4" s="19" t="s">
        <v>32</v>
      </c>
      <c r="G4" s="21" t="s">
        <v>1926</v>
      </c>
      <c r="H4" s="21" t="s">
        <v>24</v>
      </c>
      <c r="I4" s="21" t="s">
        <v>26</v>
      </c>
      <c r="J4" s="21" t="s">
        <v>24</v>
      </c>
      <c r="K4" s="21" t="s">
        <v>25</v>
      </c>
      <c r="L4" s="21" t="s">
        <v>24</v>
      </c>
      <c r="M4" s="0" t="n">
        <v>184</v>
      </c>
      <c r="N4" s="0" t="n">
        <v>13</v>
      </c>
      <c r="O4" s="21" t="s">
        <v>4023</v>
      </c>
      <c r="P4" s="21" t="s">
        <v>4229</v>
      </c>
      <c r="Q4" s="0" t="n">
        <v>1</v>
      </c>
      <c r="R4" s="21" t="s">
        <v>69</v>
      </c>
      <c r="S4" s="0" t="n">
        <v>13</v>
      </c>
      <c r="T4" s="21" t="s">
        <v>4023</v>
      </c>
      <c r="U4" s="22" t="b">
        <f aca="false">FALSE()</f>
        <v>0</v>
      </c>
      <c r="V4" s="0" t="n">
        <v>0.78</v>
      </c>
      <c r="W4" s="0" t="n">
        <v>0.64</v>
      </c>
      <c r="X4" s="0" t="n">
        <v>8.93</v>
      </c>
      <c r="Y4" s="0" t="n">
        <v>316.97</v>
      </c>
      <c r="Z4" s="0" t="n">
        <v>8</v>
      </c>
      <c r="AA4" s="0" t="n">
        <v>-0.65</v>
      </c>
      <c r="AB4" s="0" t="n">
        <v>2.67</v>
      </c>
      <c r="AC4" s="22" t="b">
        <f aca="false">FALSE()</f>
        <v>0</v>
      </c>
      <c r="AD4" s="0" t="n">
        <v>23.15</v>
      </c>
      <c r="AE4" s="0" t="n">
        <v>11.65</v>
      </c>
      <c r="AF4" s="0" t="n">
        <v>21.94</v>
      </c>
      <c r="AG4" s="22" t="b">
        <f aca="false">TRUE()</f>
        <v>1</v>
      </c>
      <c r="AH4" s="0" t="n">
        <v>1</v>
      </c>
    </row>
    <row r="5" customFormat="false" ht="15" hidden="false" customHeight="false" outlineLevel="0" collapsed="false">
      <c r="A5" s="0" t="s">
        <v>108</v>
      </c>
      <c r="B5" s="0" t="s">
        <v>134</v>
      </c>
      <c r="C5" s="0" t="s">
        <v>3447</v>
      </c>
      <c r="D5" s="0" t="s">
        <v>3448</v>
      </c>
      <c r="E5" s="19" t="s">
        <v>26</v>
      </c>
      <c r="F5" s="19" t="s">
        <v>32</v>
      </c>
      <c r="G5" s="21" t="s">
        <v>1926</v>
      </c>
      <c r="H5" s="21" t="s">
        <v>24</v>
      </c>
      <c r="I5" s="21" t="s">
        <v>26</v>
      </c>
      <c r="J5" s="21" t="s">
        <v>24</v>
      </c>
      <c r="K5" s="21" t="s">
        <v>25</v>
      </c>
      <c r="L5" s="21" t="s">
        <v>24</v>
      </c>
      <c r="M5" s="0" t="n">
        <v>185</v>
      </c>
      <c r="N5" s="0" t="n">
        <v>12</v>
      </c>
      <c r="O5" s="21" t="s">
        <v>4124</v>
      </c>
      <c r="P5" s="21" t="s">
        <v>4230</v>
      </c>
      <c r="Q5" s="0" t="n">
        <v>1</v>
      </c>
      <c r="R5" s="21" t="s">
        <v>69</v>
      </c>
      <c r="S5" s="0" t="n">
        <v>12</v>
      </c>
      <c r="T5" s="21" t="s">
        <v>4124</v>
      </c>
      <c r="U5" s="22" t="b">
        <f aca="false">FALSE()</f>
        <v>0</v>
      </c>
      <c r="V5" s="0" t="n">
        <v>0.73</v>
      </c>
      <c r="W5" s="0" t="n">
        <v>0.84</v>
      </c>
      <c r="X5" s="0" t="n">
        <v>9.49</v>
      </c>
      <c r="Y5" s="0" t="n">
        <v>324.1</v>
      </c>
      <c r="Z5" s="0" t="n">
        <v>10.75</v>
      </c>
      <c r="AA5" s="0" t="n">
        <v>3.9</v>
      </c>
      <c r="AB5" s="0" t="n">
        <v>5.34</v>
      </c>
      <c r="AC5" s="22" t="b">
        <f aca="false">FALSE()</f>
        <v>0</v>
      </c>
      <c r="AD5" s="0" t="n">
        <v>23.78</v>
      </c>
      <c r="AE5" s="0" t="n">
        <v>10.85</v>
      </c>
      <c r="AF5" s="0" t="n">
        <v>22.18</v>
      </c>
      <c r="AG5" s="22" t="b">
        <f aca="false">TRUE()</f>
        <v>1</v>
      </c>
      <c r="AH5" s="0" t="n">
        <v>1</v>
      </c>
    </row>
    <row r="6" customFormat="false" ht="15" hidden="false" customHeight="false" outlineLevel="0" collapsed="false">
      <c r="A6" s="0" t="s">
        <v>108</v>
      </c>
      <c r="B6" s="0" t="s">
        <v>3459</v>
      </c>
      <c r="C6" s="0" t="s">
        <v>3450</v>
      </c>
      <c r="D6" s="0" t="s">
        <v>3457</v>
      </c>
      <c r="E6" s="20" t="s">
        <v>25</v>
      </c>
      <c r="F6" s="20" t="s">
        <v>29</v>
      </c>
      <c r="G6" s="21" t="s">
        <v>63</v>
      </c>
      <c r="H6" s="21" t="s">
        <v>24</v>
      </c>
      <c r="I6" s="21" t="s">
        <v>24</v>
      </c>
      <c r="J6" s="21" t="s">
        <v>24</v>
      </c>
      <c r="K6" s="21" t="s">
        <v>25</v>
      </c>
      <c r="L6" s="21" t="s">
        <v>24</v>
      </c>
      <c r="M6" s="0" t="n">
        <v>181</v>
      </c>
      <c r="N6" s="0" t="n">
        <v>0</v>
      </c>
      <c r="Q6" s="0" t="n">
        <v>0</v>
      </c>
      <c r="S6" s="0" t="n">
        <v>0</v>
      </c>
      <c r="U6" s="22" t="b">
        <f aca="false">FALSE()</f>
        <v>0</v>
      </c>
      <c r="V6" s="0" t="n">
        <v>0.67</v>
      </c>
      <c r="W6" s="0" t="n">
        <v>0</v>
      </c>
      <c r="X6" s="0" t="n">
        <v>7.76</v>
      </c>
      <c r="Y6" s="0" t="n">
        <v>702.22</v>
      </c>
      <c r="Z6" s="0" t="n">
        <v>10</v>
      </c>
      <c r="AA6" s="0" t="n">
        <v>15.4</v>
      </c>
      <c r="AB6" s="0" t="n">
        <v>0.66</v>
      </c>
      <c r="AC6" s="22" t="b">
        <f aca="false">FALSE()</f>
        <v>0</v>
      </c>
      <c r="AD6" s="0" t="n">
        <v>8.05</v>
      </c>
      <c r="AE6" s="0" t="n">
        <v>0.63</v>
      </c>
      <c r="AF6" s="0" t="n">
        <v>20.22</v>
      </c>
      <c r="AG6" s="22" t="b">
        <f aca="false">FALSE()</f>
        <v>0</v>
      </c>
      <c r="AH6" s="0" t="n">
        <v>1</v>
      </c>
    </row>
    <row r="7" customFormat="false" ht="15" hidden="false" customHeight="false" outlineLevel="0" collapsed="false">
      <c r="A7" s="0" t="s">
        <v>108</v>
      </c>
      <c r="B7" s="0" t="s">
        <v>3459</v>
      </c>
      <c r="C7" s="0" t="s">
        <v>3450</v>
      </c>
      <c r="D7" s="0" t="s">
        <v>3448</v>
      </c>
      <c r="E7" s="20" t="s">
        <v>25</v>
      </c>
      <c r="F7" s="23" t="s">
        <v>30</v>
      </c>
      <c r="G7" s="21" t="s">
        <v>283</v>
      </c>
      <c r="H7" s="21" t="s">
        <v>24</v>
      </c>
      <c r="I7" s="21" t="s">
        <v>25</v>
      </c>
      <c r="J7" s="21" t="s">
        <v>24</v>
      </c>
      <c r="K7" s="21" t="s">
        <v>24</v>
      </c>
      <c r="L7" s="21" t="s">
        <v>24</v>
      </c>
      <c r="M7" s="0" t="n">
        <v>184</v>
      </c>
      <c r="N7" s="0" t="n">
        <v>2</v>
      </c>
      <c r="O7" s="21" t="s">
        <v>3639</v>
      </c>
      <c r="P7" s="21" t="s">
        <v>4231</v>
      </c>
      <c r="Q7" s="0" t="n">
        <v>1</v>
      </c>
      <c r="R7" s="21" t="s">
        <v>70</v>
      </c>
      <c r="S7" s="0" t="n">
        <v>2</v>
      </c>
      <c r="T7" s="21" t="s">
        <v>3639</v>
      </c>
      <c r="U7" s="22" t="b">
        <f aca="false">TRUE()</f>
        <v>1</v>
      </c>
      <c r="V7" s="0" t="n">
        <v>0.66</v>
      </c>
      <c r="W7" s="0" t="n">
        <v>0.36</v>
      </c>
      <c r="X7" s="0" t="n">
        <v>7.87</v>
      </c>
      <c r="Y7" s="0" t="n">
        <v>366.94</v>
      </c>
      <c r="Z7" s="0" t="n">
        <v>10</v>
      </c>
      <c r="AA7" s="0" t="n">
        <v>12.76</v>
      </c>
      <c r="AB7" s="0" t="n">
        <v>2.18</v>
      </c>
      <c r="AC7" s="22" t="b">
        <f aca="false">FALSE()</f>
        <v>0</v>
      </c>
      <c r="AD7" s="0" t="n">
        <v>3.84</v>
      </c>
      <c r="AE7" s="0" t="n">
        <v>1.9</v>
      </c>
      <c r="AF7" s="0" t="n">
        <v>18.06</v>
      </c>
      <c r="AG7" s="22" t="b">
        <f aca="false">FALSE()</f>
        <v>0</v>
      </c>
      <c r="AH7" s="0" t="n">
        <v>1</v>
      </c>
    </row>
    <row r="8" customFormat="false" ht="15" hidden="false" customHeight="false" outlineLevel="0" collapsed="false">
      <c r="A8" s="0" t="s">
        <v>108</v>
      </c>
      <c r="B8" s="0" t="s">
        <v>3459</v>
      </c>
      <c r="C8" s="0" t="s">
        <v>3447</v>
      </c>
      <c r="D8" s="0" t="s">
        <v>3457</v>
      </c>
      <c r="E8" s="20" t="s">
        <v>25</v>
      </c>
      <c r="F8" s="23" t="s">
        <v>30</v>
      </c>
      <c r="G8" s="21" t="s">
        <v>2133</v>
      </c>
      <c r="H8" s="21" t="s">
        <v>24</v>
      </c>
      <c r="I8" s="21" t="s">
        <v>24</v>
      </c>
      <c r="J8" s="21" t="s">
        <v>24</v>
      </c>
      <c r="K8" s="21" t="s">
        <v>25</v>
      </c>
      <c r="L8" s="21" t="s">
        <v>24</v>
      </c>
      <c r="M8" s="0" t="n">
        <v>192</v>
      </c>
      <c r="N8" s="0" t="n">
        <v>4</v>
      </c>
      <c r="O8" s="21" t="s">
        <v>3615</v>
      </c>
      <c r="P8" s="21" t="s">
        <v>4232</v>
      </c>
      <c r="Q8" s="0" t="n">
        <v>0</v>
      </c>
      <c r="S8" s="0" t="n">
        <v>4</v>
      </c>
      <c r="T8" s="21" t="s">
        <v>3615</v>
      </c>
      <c r="U8" s="22" t="b">
        <f aca="false">TRUE()</f>
        <v>1</v>
      </c>
      <c r="V8" s="0" t="n">
        <v>0.78</v>
      </c>
      <c r="W8" s="0" t="n">
        <v>0.8</v>
      </c>
      <c r="X8" s="0" t="n">
        <v>8.72</v>
      </c>
      <c r="Y8" s="0" t="n">
        <v>334.22</v>
      </c>
      <c r="Z8" s="0" t="n">
        <v>8</v>
      </c>
      <c r="AA8" s="0" t="n">
        <v>-1.02</v>
      </c>
      <c r="AB8" s="0" t="n">
        <v>0.66</v>
      </c>
      <c r="AC8" s="22" t="b">
        <f aca="false">FALSE()</f>
        <v>0</v>
      </c>
      <c r="AD8" s="0" t="n">
        <v>3.83</v>
      </c>
      <c r="AE8" s="0" t="n">
        <v>0.33</v>
      </c>
      <c r="AF8" s="0" t="n">
        <v>11.3</v>
      </c>
      <c r="AG8" s="22" t="b">
        <f aca="false">FALSE()</f>
        <v>0</v>
      </c>
      <c r="AH8" s="0" t="n">
        <v>1</v>
      </c>
    </row>
    <row r="9" customFormat="false" ht="15" hidden="false" customHeight="false" outlineLevel="0" collapsed="false">
      <c r="A9" s="0" t="s">
        <v>108</v>
      </c>
      <c r="B9" s="0" t="s">
        <v>3459</v>
      </c>
      <c r="C9" s="0" t="s">
        <v>3447</v>
      </c>
      <c r="D9" s="0" t="s">
        <v>3448</v>
      </c>
      <c r="E9" s="19" t="s">
        <v>26</v>
      </c>
      <c r="F9" s="19" t="s">
        <v>32</v>
      </c>
      <c r="G9" s="21" t="s">
        <v>529</v>
      </c>
      <c r="H9" s="21" t="s">
        <v>24</v>
      </c>
      <c r="I9" s="21" t="s">
        <v>26</v>
      </c>
      <c r="J9" s="21" t="s">
        <v>24</v>
      </c>
      <c r="K9" s="21" t="s">
        <v>24</v>
      </c>
      <c r="L9" s="21" t="s">
        <v>24</v>
      </c>
      <c r="M9" s="0" t="n">
        <v>184</v>
      </c>
      <c r="N9" s="0" t="n">
        <v>12</v>
      </c>
      <c r="O9" s="21" t="s">
        <v>4059</v>
      </c>
      <c r="P9" s="21" t="s">
        <v>4233</v>
      </c>
      <c r="Q9" s="0" t="n">
        <v>1</v>
      </c>
      <c r="R9" s="21" t="s">
        <v>69</v>
      </c>
      <c r="S9" s="0" t="n">
        <v>12</v>
      </c>
      <c r="T9" s="21" t="s">
        <v>4059</v>
      </c>
      <c r="U9" s="22" t="b">
        <f aca="false">FALSE()</f>
        <v>0</v>
      </c>
      <c r="V9" s="0" t="n">
        <v>0.73</v>
      </c>
      <c r="W9" s="0" t="n">
        <v>0</v>
      </c>
      <c r="X9" s="0" t="n">
        <v>9.17</v>
      </c>
      <c r="Y9" s="0" t="n">
        <v>2.53</v>
      </c>
      <c r="Z9" s="0" t="n">
        <v>10.25</v>
      </c>
      <c r="AA9" s="0" t="n">
        <v>7.35</v>
      </c>
      <c r="AB9" s="0" t="n">
        <v>2.18</v>
      </c>
      <c r="AC9" s="22" t="b">
        <f aca="false">FALSE()</f>
        <v>0</v>
      </c>
      <c r="AD9" s="0" t="n">
        <v>5.79</v>
      </c>
      <c r="AE9" s="0" t="n">
        <v>1.5</v>
      </c>
      <c r="AF9" s="0" t="n">
        <v>16.92</v>
      </c>
      <c r="AG9" s="22" t="b">
        <f aca="false">FALSE()</f>
        <v>0</v>
      </c>
      <c r="AH9" s="0" t="n">
        <v>0</v>
      </c>
    </row>
    <row r="10" customFormat="false" ht="15" hidden="false" customHeight="false" outlineLevel="0" collapsed="false">
      <c r="A10" s="0" t="s">
        <v>131</v>
      </c>
      <c r="B10" s="0" t="s">
        <v>134</v>
      </c>
      <c r="C10" s="0" t="s">
        <v>3450</v>
      </c>
      <c r="D10" s="0" t="s">
        <v>3457</v>
      </c>
      <c r="E10" s="19" t="s">
        <v>26</v>
      </c>
      <c r="F10" s="19" t="s">
        <v>32</v>
      </c>
      <c r="G10" s="21" t="s">
        <v>529</v>
      </c>
      <c r="H10" s="21" t="s">
        <v>24</v>
      </c>
      <c r="I10" s="21" t="s">
        <v>26</v>
      </c>
      <c r="J10" s="21" t="s">
        <v>24</v>
      </c>
      <c r="K10" s="21" t="s">
        <v>24</v>
      </c>
      <c r="L10" s="21" t="s">
        <v>24</v>
      </c>
      <c r="M10" s="0" t="n">
        <v>218</v>
      </c>
      <c r="N10" s="0" t="n">
        <v>9</v>
      </c>
      <c r="O10" s="21" t="s">
        <v>4111</v>
      </c>
      <c r="P10" s="21" t="s">
        <v>4234</v>
      </c>
      <c r="Q10" s="0" t="n">
        <v>1</v>
      </c>
      <c r="R10" s="21" t="s">
        <v>69</v>
      </c>
      <c r="S10" s="0" t="n">
        <v>9</v>
      </c>
      <c r="T10" s="21" t="s">
        <v>4111</v>
      </c>
      <c r="U10" s="22" t="b">
        <f aca="false">FALSE()</f>
        <v>0</v>
      </c>
      <c r="V10" s="0" t="n">
        <v>0.71</v>
      </c>
      <c r="W10" s="0" t="n">
        <v>0.24</v>
      </c>
      <c r="X10" s="0" t="n">
        <v>4.75</v>
      </c>
      <c r="Y10" s="0" t="n">
        <v>558.5</v>
      </c>
      <c r="Z10" s="0" t="n">
        <v>11.25</v>
      </c>
      <c r="AA10" s="0" t="n">
        <v>7.93</v>
      </c>
      <c r="AB10" s="0" t="n">
        <v>7.96</v>
      </c>
      <c r="AC10" s="22" t="b">
        <f aca="false">FALSE()</f>
        <v>0</v>
      </c>
      <c r="AD10" s="0" t="n">
        <v>15.22</v>
      </c>
      <c r="AE10" s="0" t="n">
        <v>1.57</v>
      </c>
      <c r="AF10" s="0" t="n">
        <v>3.81</v>
      </c>
      <c r="AG10" s="22" t="b">
        <f aca="false">TRUE()</f>
        <v>1</v>
      </c>
      <c r="AH10" s="0" t="n">
        <v>1</v>
      </c>
    </row>
    <row r="11" customFormat="false" ht="15" hidden="false" customHeight="false" outlineLevel="0" collapsed="false">
      <c r="A11" s="0" t="s">
        <v>131</v>
      </c>
      <c r="B11" s="0" t="s">
        <v>134</v>
      </c>
      <c r="C11" s="0" t="s">
        <v>3450</v>
      </c>
      <c r="D11" s="0" t="s">
        <v>3448</v>
      </c>
      <c r="E11" s="19" t="s">
        <v>26</v>
      </c>
      <c r="F11" s="19" t="s">
        <v>32</v>
      </c>
      <c r="G11" s="21" t="s">
        <v>529</v>
      </c>
      <c r="H11" s="21" t="s">
        <v>24</v>
      </c>
      <c r="I11" s="21" t="s">
        <v>26</v>
      </c>
      <c r="J11" s="21" t="s">
        <v>24</v>
      </c>
      <c r="K11" s="21" t="s">
        <v>24</v>
      </c>
      <c r="L11" s="21" t="s">
        <v>24</v>
      </c>
      <c r="M11" s="0" t="n">
        <v>187</v>
      </c>
      <c r="N11" s="0" t="n">
        <v>9</v>
      </c>
      <c r="O11" s="21" t="s">
        <v>4111</v>
      </c>
      <c r="P11" s="21" t="s">
        <v>4234</v>
      </c>
      <c r="Q11" s="0" t="n">
        <v>1</v>
      </c>
      <c r="R11" s="21" t="s">
        <v>69</v>
      </c>
      <c r="S11" s="0" t="n">
        <v>9</v>
      </c>
      <c r="T11" s="21" t="s">
        <v>4111</v>
      </c>
      <c r="U11" s="22" t="b">
        <f aca="false">FALSE()</f>
        <v>0</v>
      </c>
      <c r="V11" s="0" t="n">
        <v>0.71</v>
      </c>
      <c r="W11" s="0" t="n">
        <v>0.64</v>
      </c>
      <c r="X11" s="0" t="n">
        <v>4.92</v>
      </c>
      <c r="Y11" s="0" t="n">
        <v>328.09</v>
      </c>
      <c r="Z11" s="0" t="n">
        <v>10.75</v>
      </c>
      <c r="AA11" s="0" t="n">
        <v>13.68</v>
      </c>
      <c r="AB11" s="0" t="n">
        <v>7.6</v>
      </c>
      <c r="AC11" s="22" t="b">
        <f aca="false">FALSE()</f>
        <v>0</v>
      </c>
      <c r="AD11" s="0" t="n">
        <v>17.36</v>
      </c>
      <c r="AE11" s="0" t="n">
        <v>1.66</v>
      </c>
      <c r="AF11" s="0" t="n">
        <v>3.05</v>
      </c>
      <c r="AG11" s="22" t="b">
        <f aca="false">TRUE()</f>
        <v>1</v>
      </c>
      <c r="AH11" s="0" t="n">
        <v>1</v>
      </c>
    </row>
    <row r="12" customFormat="false" ht="15" hidden="false" customHeight="false" outlineLevel="0" collapsed="false">
      <c r="A12" s="0" t="s">
        <v>131</v>
      </c>
      <c r="B12" s="0" t="s">
        <v>134</v>
      </c>
      <c r="C12" s="0" t="s">
        <v>3447</v>
      </c>
      <c r="D12" s="0" t="s">
        <v>3457</v>
      </c>
      <c r="E12" s="18" t="s">
        <v>24</v>
      </c>
      <c r="F12" s="23" t="s">
        <v>30</v>
      </c>
      <c r="G12" s="21" t="s">
        <v>30</v>
      </c>
      <c r="H12" s="21" t="s">
        <v>24</v>
      </c>
      <c r="I12" s="21" t="s">
        <v>24</v>
      </c>
      <c r="J12" s="21" t="s">
        <v>24</v>
      </c>
      <c r="K12" s="21" t="s">
        <v>24</v>
      </c>
      <c r="L12" s="21" t="s">
        <v>24</v>
      </c>
      <c r="M12" s="0" t="n">
        <v>185</v>
      </c>
      <c r="N12" s="0" t="n">
        <v>3</v>
      </c>
      <c r="O12" s="21" t="s">
        <v>3538</v>
      </c>
      <c r="P12" s="21" t="s">
        <v>4235</v>
      </c>
      <c r="Q12" s="0" t="n">
        <v>0</v>
      </c>
      <c r="S12" s="0" t="n">
        <v>3</v>
      </c>
      <c r="T12" s="21" t="s">
        <v>3538</v>
      </c>
      <c r="U12" s="22" t="b">
        <f aca="false">TRUE()</f>
        <v>1</v>
      </c>
      <c r="V12" s="0" t="n">
        <v>0.87</v>
      </c>
      <c r="W12" s="0" t="n">
        <v>0.8</v>
      </c>
      <c r="X12" s="0" t="n">
        <v>5.25</v>
      </c>
      <c r="Y12" s="0" t="n">
        <v>324.64</v>
      </c>
      <c r="Z12" s="0" t="n">
        <v>8</v>
      </c>
      <c r="AA12" s="0" t="n">
        <v>-1.22</v>
      </c>
      <c r="AB12" s="0" t="n">
        <v>7.96</v>
      </c>
      <c r="AC12" s="22" t="b">
        <f aca="false">FALSE()</f>
        <v>0</v>
      </c>
      <c r="AD12" s="0" t="n">
        <v>19.01</v>
      </c>
      <c r="AE12" s="0" t="n">
        <v>1.66</v>
      </c>
      <c r="AF12" s="0" t="n">
        <v>6.14</v>
      </c>
      <c r="AG12" s="22" t="b">
        <f aca="false">TRUE()</f>
        <v>1</v>
      </c>
      <c r="AH12" s="0" t="n">
        <v>1</v>
      </c>
    </row>
    <row r="13" customFormat="false" ht="15" hidden="false" customHeight="false" outlineLevel="0" collapsed="false">
      <c r="A13" s="0" t="s">
        <v>131</v>
      </c>
      <c r="B13" s="0" t="s">
        <v>134</v>
      </c>
      <c r="C13" s="0" t="s">
        <v>3447</v>
      </c>
      <c r="D13" s="0" t="s">
        <v>3448</v>
      </c>
      <c r="E13" s="18" t="s">
        <v>24</v>
      </c>
      <c r="F13" s="18" t="s">
        <v>28</v>
      </c>
      <c r="H13" s="21" t="s">
        <v>24</v>
      </c>
      <c r="I13" s="21" t="s">
        <v>24</v>
      </c>
      <c r="J13" s="21" t="s">
        <v>24</v>
      </c>
      <c r="K13" s="21" t="s">
        <v>24</v>
      </c>
      <c r="L13" s="21" t="s">
        <v>24</v>
      </c>
      <c r="M13" s="0" t="n">
        <v>187</v>
      </c>
      <c r="N13" s="0" t="n">
        <v>0</v>
      </c>
      <c r="Q13" s="0" t="n">
        <v>0</v>
      </c>
      <c r="S13" s="0" t="n">
        <v>0</v>
      </c>
      <c r="U13" s="22" t="b">
        <f aca="false">FALSE()</f>
        <v>0</v>
      </c>
      <c r="V13" s="0" t="n">
        <v>0.87</v>
      </c>
      <c r="W13" s="0" t="n">
        <v>0.64</v>
      </c>
      <c r="X13" s="0" t="n">
        <v>6.31</v>
      </c>
      <c r="Y13" s="0" t="n">
        <v>326.93</v>
      </c>
      <c r="Z13" s="0" t="n">
        <v>8</v>
      </c>
      <c r="AA13" s="0" t="n">
        <v>-0.51</v>
      </c>
      <c r="AB13" s="0" t="n">
        <v>7.6</v>
      </c>
      <c r="AC13" s="22" t="b">
        <f aca="false">FALSE()</f>
        <v>0</v>
      </c>
      <c r="AD13" s="0" t="n">
        <v>10.89</v>
      </c>
      <c r="AE13" s="0" t="n">
        <v>0.73</v>
      </c>
      <c r="AF13" s="0" t="n">
        <v>-0.27</v>
      </c>
      <c r="AG13" s="22" t="b">
        <f aca="false">TRUE()</f>
        <v>1</v>
      </c>
      <c r="AH13" s="0" t="n">
        <v>1</v>
      </c>
    </row>
    <row r="14" customFormat="false" ht="15" hidden="false" customHeight="false" outlineLevel="0" collapsed="false">
      <c r="A14" s="0" t="s">
        <v>140</v>
      </c>
      <c r="B14" s="0" t="s">
        <v>134</v>
      </c>
      <c r="C14" s="0" t="s">
        <v>3450</v>
      </c>
      <c r="D14" s="0" t="s">
        <v>3457</v>
      </c>
      <c r="E14" s="20" t="s">
        <v>25</v>
      </c>
      <c r="F14" s="20" t="s">
        <v>29</v>
      </c>
      <c r="G14" s="21" t="s">
        <v>3470</v>
      </c>
      <c r="H14" s="21" t="s">
        <v>24</v>
      </c>
      <c r="I14" s="21" t="s">
        <v>24</v>
      </c>
      <c r="J14" s="21" t="s">
        <v>24</v>
      </c>
      <c r="K14" s="21" t="s">
        <v>25</v>
      </c>
      <c r="L14" s="21" t="s">
        <v>24</v>
      </c>
      <c r="M14" s="0" t="n">
        <v>184</v>
      </c>
      <c r="N14" s="0" t="n">
        <v>0</v>
      </c>
      <c r="Q14" s="0" t="n">
        <v>0</v>
      </c>
      <c r="S14" s="0" t="n">
        <v>0</v>
      </c>
      <c r="U14" s="22" t="b">
        <f aca="false">FALSE()</f>
        <v>0</v>
      </c>
      <c r="V14" s="0" t="n">
        <v>0.76</v>
      </c>
      <c r="W14" s="0" t="n">
        <v>0.72</v>
      </c>
      <c r="X14" s="0" t="n">
        <v>9.72</v>
      </c>
      <c r="Y14" s="0" t="n">
        <v>307.69</v>
      </c>
      <c r="Z14" s="0" t="n">
        <v>10.5</v>
      </c>
      <c r="AA14" s="0" t="n">
        <v>15.18</v>
      </c>
      <c r="AB14" s="0" t="n">
        <v>1.25</v>
      </c>
      <c r="AC14" s="22" t="b">
        <f aca="false">FALSE()</f>
        <v>0</v>
      </c>
      <c r="AD14" s="0" t="n">
        <v>28.07</v>
      </c>
      <c r="AE14" s="0" t="n">
        <v>19.29</v>
      </c>
      <c r="AF14" s="0" t="n">
        <v>23.74</v>
      </c>
      <c r="AG14" s="22" t="b">
        <f aca="false">TRUE()</f>
        <v>1</v>
      </c>
      <c r="AH14" s="0" t="n">
        <v>1</v>
      </c>
    </row>
    <row r="15" customFormat="false" ht="15" hidden="false" customHeight="false" outlineLevel="0" collapsed="false">
      <c r="A15" s="0" t="s">
        <v>140</v>
      </c>
      <c r="B15" s="0" t="s">
        <v>134</v>
      </c>
      <c r="C15" s="0" t="s">
        <v>3450</v>
      </c>
      <c r="D15" s="0" t="s">
        <v>3448</v>
      </c>
      <c r="E15" s="18" t="s">
        <v>24</v>
      </c>
      <c r="F15" s="18" t="s">
        <v>28</v>
      </c>
      <c r="H15" s="21" t="s">
        <v>24</v>
      </c>
      <c r="I15" s="21" t="s">
        <v>24</v>
      </c>
      <c r="J15" s="21" t="s">
        <v>24</v>
      </c>
      <c r="K15" s="21" t="s">
        <v>24</v>
      </c>
      <c r="L15" s="21" t="s">
        <v>24</v>
      </c>
      <c r="M15" s="0" t="n">
        <v>185</v>
      </c>
      <c r="N15" s="0" t="n">
        <v>0</v>
      </c>
      <c r="Q15" s="0" t="n">
        <v>0</v>
      </c>
      <c r="S15" s="0" t="n">
        <v>0</v>
      </c>
      <c r="U15" s="22" t="b">
        <f aca="false">FALSE()</f>
        <v>0</v>
      </c>
      <c r="V15" s="0" t="n">
        <v>0.71</v>
      </c>
      <c r="W15" s="0" t="n">
        <v>0.36</v>
      </c>
      <c r="X15" s="0" t="n">
        <v>7.38</v>
      </c>
      <c r="Y15" s="0" t="n">
        <v>381.92</v>
      </c>
      <c r="Z15" s="0" t="n">
        <v>10.5</v>
      </c>
      <c r="AA15" s="0" t="n">
        <v>23.16</v>
      </c>
      <c r="AB15" s="0" t="n">
        <v>25.12</v>
      </c>
      <c r="AC15" s="22" t="b">
        <f aca="false">FALSE()</f>
        <v>0</v>
      </c>
      <c r="AD15" s="0" t="n">
        <v>9.66</v>
      </c>
      <c r="AE15" s="0" t="n">
        <v>0.67</v>
      </c>
      <c r="AF15" s="0" t="n">
        <v>5.45</v>
      </c>
      <c r="AG15" s="22" t="b">
        <f aca="false">FALSE()</f>
        <v>0</v>
      </c>
      <c r="AH15" s="0" t="n">
        <v>1</v>
      </c>
    </row>
    <row r="16" customFormat="false" ht="15" hidden="false" customHeight="false" outlineLevel="0" collapsed="false">
      <c r="A16" s="0" t="s">
        <v>140</v>
      </c>
      <c r="B16" s="0" t="s">
        <v>134</v>
      </c>
      <c r="C16" s="0" t="s">
        <v>3447</v>
      </c>
      <c r="D16" s="0" t="s">
        <v>3457</v>
      </c>
      <c r="E16" s="20" t="s">
        <v>25</v>
      </c>
      <c r="F16" s="23" t="s">
        <v>30</v>
      </c>
      <c r="G16" s="21" t="s">
        <v>2133</v>
      </c>
      <c r="H16" s="21" t="s">
        <v>24</v>
      </c>
      <c r="I16" s="21" t="s">
        <v>24</v>
      </c>
      <c r="J16" s="21" t="s">
        <v>24</v>
      </c>
      <c r="K16" s="21" t="s">
        <v>25</v>
      </c>
      <c r="L16" s="21" t="s">
        <v>24</v>
      </c>
      <c r="M16" s="0" t="n">
        <v>230</v>
      </c>
      <c r="N16" s="0" t="n">
        <v>2</v>
      </c>
      <c r="O16" s="21" t="s">
        <v>3522</v>
      </c>
      <c r="P16" s="21" t="s">
        <v>4236</v>
      </c>
      <c r="Q16" s="0" t="n">
        <v>0</v>
      </c>
      <c r="S16" s="0" t="n">
        <v>2</v>
      </c>
      <c r="T16" s="21" t="s">
        <v>3522</v>
      </c>
      <c r="U16" s="22" t="b">
        <f aca="false">TRUE()</f>
        <v>1</v>
      </c>
      <c r="V16" s="0" t="n">
        <v>0.76</v>
      </c>
      <c r="W16" s="0" t="n">
        <v>0.96</v>
      </c>
      <c r="X16" s="0" t="n">
        <v>9.91</v>
      </c>
      <c r="Y16" s="0" t="n">
        <v>391.83</v>
      </c>
      <c r="Z16" s="0" t="n">
        <v>8</v>
      </c>
      <c r="AA16" s="0" t="n">
        <v>-1.18</v>
      </c>
      <c r="AB16" s="0" t="n">
        <v>1.25</v>
      </c>
      <c r="AC16" s="22" t="b">
        <f aca="false">FALSE()</f>
        <v>0</v>
      </c>
      <c r="AD16" s="0" t="n">
        <v>3.45</v>
      </c>
      <c r="AE16" s="0" t="n">
        <v>0.92</v>
      </c>
      <c r="AF16" s="0" t="n">
        <v>0.1</v>
      </c>
      <c r="AG16" s="22" t="b">
        <f aca="false">FALSE()</f>
        <v>0</v>
      </c>
      <c r="AH16" s="0" t="n">
        <v>1</v>
      </c>
    </row>
    <row r="17" customFormat="false" ht="15" hidden="false" customHeight="false" outlineLevel="0" collapsed="false">
      <c r="A17" s="0" t="s">
        <v>140</v>
      </c>
      <c r="B17" s="0" t="s">
        <v>134</v>
      </c>
      <c r="C17" s="0" t="s">
        <v>3447</v>
      </c>
      <c r="D17" s="0" t="s">
        <v>3448</v>
      </c>
      <c r="E17" s="18" t="s">
        <v>24</v>
      </c>
      <c r="F17" s="23" t="s">
        <v>30</v>
      </c>
      <c r="G17" s="21" t="s">
        <v>30</v>
      </c>
      <c r="H17" s="21" t="s">
        <v>24</v>
      </c>
      <c r="I17" s="21" t="s">
        <v>24</v>
      </c>
      <c r="J17" s="21" t="s">
        <v>24</v>
      </c>
      <c r="K17" s="21" t="s">
        <v>24</v>
      </c>
      <c r="L17" s="21" t="s">
        <v>24</v>
      </c>
      <c r="M17" s="0" t="n">
        <v>187</v>
      </c>
      <c r="N17" s="0" t="n">
        <v>2</v>
      </c>
      <c r="O17" s="21" t="s">
        <v>3522</v>
      </c>
      <c r="P17" s="21" t="s">
        <v>4236</v>
      </c>
      <c r="Q17" s="0" t="n">
        <v>0</v>
      </c>
      <c r="S17" s="0" t="n">
        <v>2</v>
      </c>
      <c r="T17" s="21" t="s">
        <v>3522</v>
      </c>
      <c r="U17" s="22" t="b">
        <f aca="false">TRUE()</f>
        <v>1</v>
      </c>
      <c r="V17" s="0" t="n">
        <v>0.75</v>
      </c>
      <c r="W17" s="0" t="n">
        <v>0.28</v>
      </c>
      <c r="X17" s="0" t="n">
        <v>8.89</v>
      </c>
      <c r="Y17" s="0" t="n">
        <v>436.35</v>
      </c>
      <c r="Z17" s="0" t="n">
        <v>10.5</v>
      </c>
      <c r="AA17" s="0" t="n">
        <v>2.11</v>
      </c>
      <c r="AB17" s="0" t="n">
        <v>25.12</v>
      </c>
      <c r="AC17" s="22" t="b">
        <f aca="false">FALSE()</f>
        <v>0</v>
      </c>
      <c r="AD17" s="0" t="n">
        <v>8.66</v>
      </c>
      <c r="AE17" s="0" t="n">
        <v>0.56</v>
      </c>
      <c r="AF17" s="0" t="n">
        <v>4.61</v>
      </c>
      <c r="AG17" s="22" t="b">
        <f aca="false">FALSE()</f>
        <v>0</v>
      </c>
      <c r="AH17" s="0" t="n">
        <v>1</v>
      </c>
    </row>
    <row r="18" customFormat="false" ht="15" hidden="false" customHeight="false" outlineLevel="0" collapsed="false">
      <c r="A18" s="0" t="s">
        <v>153</v>
      </c>
      <c r="B18" s="0" t="s">
        <v>134</v>
      </c>
      <c r="C18" s="0" t="s">
        <v>3450</v>
      </c>
      <c r="D18" s="0" t="s">
        <v>3457</v>
      </c>
      <c r="E18" s="20" t="s">
        <v>25</v>
      </c>
      <c r="F18" s="23" t="s">
        <v>30</v>
      </c>
      <c r="G18" s="21" t="s">
        <v>157</v>
      </c>
      <c r="H18" s="21" t="s">
        <v>24</v>
      </c>
      <c r="I18" s="21" t="s">
        <v>25</v>
      </c>
      <c r="J18" s="21" t="s">
        <v>24</v>
      </c>
      <c r="K18" s="21" t="s">
        <v>25</v>
      </c>
      <c r="L18" s="21" t="s">
        <v>24</v>
      </c>
      <c r="M18" s="0" t="n">
        <v>183</v>
      </c>
      <c r="N18" s="0" t="n">
        <v>5</v>
      </c>
      <c r="O18" s="21" t="s">
        <v>3821</v>
      </c>
      <c r="P18" s="21" t="s">
        <v>4237</v>
      </c>
      <c r="Q18" s="0" t="n">
        <v>1</v>
      </c>
      <c r="R18" s="21" t="s">
        <v>69</v>
      </c>
      <c r="S18" s="0" t="n">
        <v>5</v>
      </c>
      <c r="T18" s="21" t="s">
        <v>3821</v>
      </c>
      <c r="U18" s="22" t="b">
        <f aca="false">TRUE()</f>
        <v>1</v>
      </c>
      <c r="V18" s="0" t="n">
        <v>0.73</v>
      </c>
      <c r="W18" s="0" t="n">
        <v>0.36</v>
      </c>
      <c r="X18" s="0" t="n">
        <v>6.96</v>
      </c>
      <c r="Y18" s="0" t="n">
        <v>369.24</v>
      </c>
      <c r="Z18" s="0" t="n">
        <v>8.25</v>
      </c>
      <c r="AA18" s="0" t="n">
        <v>11.32</v>
      </c>
      <c r="AB18" s="0" t="n">
        <v>1.15</v>
      </c>
      <c r="AC18" s="22" t="b">
        <f aca="false">FALSE()</f>
        <v>0</v>
      </c>
      <c r="AD18" s="0" t="n">
        <v>21.59</v>
      </c>
      <c r="AE18" s="0" t="n">
        <v>10.55</v>
      </c>
      <c r="AF18" s="0" t="n">
        <v>18.77</v>
      </c>
      <c r="AG18" s="22" t="b">
        <f aca="false">TRUE()</f>
        <v>1</v>
      </c>
      <c r="AH18" s="0" t="n">
        <v>1</v>
      </c>
    </row>
    <row r="19" customFormat="false" ht="15" hidden="false" customHeight="false" outlineLevel="0" collapsed="false">
      <c r="A19" s="0" t="s">
        <v>153</v>
      </c>
      <c r="B19" s="0" t="s">
        <v>134</v>
      </c>
      <c r="C19" s="0" t="s">
        <v>3450</v>
      </c>
      <c r="D19" s="0" t="s">
        <v>3448</v>
      </c>
      <c r="E19" s="20" t="s">
        <v>25</v>
      </c>
      <c r="F19" s="23" t="s">
        <v>30</v>
      </c>
      <c r="G19" s="21" t="s">
        <v>157</v>
      </c>
      <c r="H19" s="21" t="s">
        <v>24</v>
      </c>
      <c r="I19" s="21" t="s">
        <v>25</v>
      </c>
      <c r="J19" s="21" t="s">
        <v>24</v>
      </c>
      <c r="K19" s="21" t="s">
        <v>25</v>
      </c>
      <c r="L19" s="21" t="s">
        <v>24</v>
      </c>
      <c r="M19" s="0" t="n">
        <v>187</v>
      </c>
      <c r="N19" s="0" t="n">
        <v>2</v>
      </c>
      <c r="O19" s="21" t="s">
        <v>3566</v>
      </c>
      <c r="P19" s="21" t="s">
        <v>4238</v>
      </c>
      <c r="Q19" s="0" t="n">
        <v>1</v>
      </c>
      <c r="R19" s="21" t="s">
        <v>69</v>
      </c>
      <c r="S19" s="0" t="n">
        <v>2</v>
      </c>
      <c r="T19" s="21" t="s">
        <v>3566</v>
      </c>
      <c r="U19" s="22" t="b">
        <f aca="false">TRUE()</f>
        <v>1</v>
      </c>
      <c r="V19" s="0" t="n">
        <v>0.76</v>
      </c>
      <c r="W19" s="0" t="n">
        <v>0.36</v>
      </c>
      <c r="X19" s="0" t="n">
        <v>7.81</v>
      </c>
      <c r="Y19" s="0" t="n">
        <v>384.72</v>
      </c>
      <c r="Z19" s="0" t="n">
        <v>8</v>
      </c>
      <c r="AA19" s="0" t="n">
        <v>7.36</v>
      </c>
      <c r="AB19" s="0" t="n">
        <v>1.35</v>
      </c>
      <c r="AC19" s="22" t="b">
        <f aca="false">FALSE()</f>
        <v>0</v>
      </c>
      <c r="AD19" s="0" t="n">
        <v>23.63</v>
      </c>
      <c r="AE19" s="0" t="n">
        <v>9.99</v>
      </c>
      <c r="AF19" s="0" t="n">
        <v>19.15</v>
      </c>
      <c r="AG19" s="22" t="b">
        <f aca="false">TRUE()</f>
        <v>1</v>
      </c>
      <c r="AH19" s="0" t="n">
        <v>1</v>
      </c>
    </row>
    <row r="20" customFormat="false" ht="15" hidden="false" customHeight="false" outlineLevel="0" collapsed="false">
      <c r="A20" s="0" t="s">
        <v>153</v>
      </c>
      <c r="B20" s="0" t="s">
        <v>134</v>
      </c>
      <c r="C20" s="0" t="s">
        <v>3447</v>
      </c>
      <c r="D20" s="0" t="s">
        <v>3457</v>
      </c>
      <c r="E20" s="20" t="s">
        <v>25</v>
      </c>
      <c r="F20" s="23" t="s">
        <v>30</v>
      </c>
      <c r="G20" s="21" t="s">
        <v>2133</v>
      </c>
      <c r="H20" s="21" t="s">
        <v>24</v>
      </c>
      <c r="I20" s="21" t="s">
        <v>24</v>
      </c>
      <c r="J20" s="21" t="s">
        <v>24</v>
      </c>
      <c r="K20" s="21" t="s">
        <v>25</v>
      </c>
      <c r="L20" s="21" t="s">
        <v>24</v>
      </c>
      <c r="M20" s="0" t="n">
        <v>184</v>
      </c>
      <c r="N20" s="0" t="n">
        <v>4</v>
      </c>
      <c r="O20" s="21" t="s">
        <v>3596</v>
      </c>
      <c r="P20" s="21" t="s">
        <v>4239</v>
      </c>
      <c r="Q20" s="0" t="n">
        <v>0</v>
      </c>
      <c r="S20" s="0" t="n">
        <v>4</v>
      </c>
      <c r="T20" s="21" t="s">
        <v>3596</v>
      </c>
      <c r="U20" s="22" t="b">
        <f aca="false">TRUE()</f>
        <v>1</v>
      </c>
      <c r="V20" s="0" t="n">
        <v>0.79</v>
      </c>
      <c r="W20" s="0" t="n">
        <v>0.64</v>
      </c>
      <c r="X20" s="0" t="n">
        <v>10.05</v>
      </c>
      <c r="Y20" s="0" t="n">
        <v>316.95</v>
      </c>
      <c r="Z20" s="0" t="n">
        <v>8.25</v>
      </c>
      <c r="AA20" s="0" t="n">
        <v>1.09</v>
      </c>
      <c r="AB20" s="0" t="n">
        <v>1.15</v>
      </c>
      <c r="AC20" s="22" t="b">
        <f aca="false">FALSE()</f>
        <v>0</v>
      </c>
      <c r="AD20" s="0" t="n">
        <v>17.06</v>
      </c>
      <c r="AE20" s="0" t="n">
        <v>7.89</v>
      </c>
      <c r="AF20" s="0" t="n">
        <v>15.5</v>
      </c>
      <c r="AG20" s="22" t="b">
        <f aca="false">TRUE()</f>
        <v>1</v>
      </c>
      <c r="AH20" s="0" t="n">
        <v>1</v>
      </c>
    </row>
    <row r="21" customFormat="false" ht="15" hidden="false" customHeight="false" outlineLevel="0" collapsed="false">
      <c r="A21" s="0" t="s">
        <v>153</v>
      </c>
      <c r="B21" s="0" t="s">
        <v>134</v>
      </c>
      <c r="C21" s="0" t="s">
        <v>3447</v>
      </c>
      <c r="D21" s="0" t="s">
        <v>3448</v>
      </c>
      <c r="E21" s="20" t="s">
        <v>25</v>
      </c>
      <c r="F21" s="23" t="s">
        <v>30</v>
      </c>
      <c r="G21" s="21" t="s">
        <v>2133</v>
      </c>
      <c r="H21" s="21" t="s">
        <v>24</v>
      </c>
      <c r="I21" s="21" t="s">
        <v>24</v>
      </c>
      <c r="J21" s="21" t="s">
        <v>24</v>
      </c>
      <c r="K21" s="21" t="s">
        <v>25</v>
      </c>
      <c r="L21" s="21" t="s">
        <v>24</v>
      </c>
      <c r="M21" s="0" t="n">
        <v>183</v>
      </c>
      <c r="N21" s="0" t="n">
        <v>3</v>
      </c>
      <c r="O21" s="21" t="s">
        <v>3569</v>
      </c>
      <c r="P21" s="21" t="s">
        <v>4240</v>
      </c>
      <c r="Q21" s="0" t="n">
        <v>0</v>
      </c>
      <c r="S21" s="0" t="n">
        <v>3</v>
      </c>
      <c r="T21" s="21" t="s">
        <v>3569</v>
      </c>
      <c r="U21" s="22" t="b">
        <f aca="false">TRUE()</f>
        <v>1</v>
      </c>
      <c r="V21" s="0" t="n">
        <v>0.78</v>
      </c>
      <c r="W21" s="0" t="n">
        <v>0.48</v>
      </c>
      <c r="X21" s="0" t="n">
        <v>10.43</v>
      </c>
      <c r="Y21" s="0" t="n">
        <v>332.1</v>
      </c>
      <c r="Z21" s="0" t="n">
        <v>8.08</v>
      </c>
      <c r="AA21" s="0" t="n">
        <v>3.69</v>
      </c>
      <c r="AB21" s="0" t="n">
        <v>1.35</v>
      </c>
      <c r="AC21" s="22" t="b">
        <f aca="false">FALSE()</f>
        <v>0</v>
      </c>
      <c r="AD21" s="0" t="n">
        <v>18.55</v>
      </c>
      <c r="AE21" s="0" t="n">
        <v>5.78</v>
      </c>
      <c r="AF21" s="0" t="n">
        <v>14.61</v>
      </c>
      <c r="AG21" s="22" t="b">
        <f aca="false">TRUE()</f>
        <v>1</v>
      </c>
      <c r="AH21" s="0" t="n">
        <v>1</v>
      </c>
    </row>
    <row r="22" customFormat="false" ht="15" hidden="false" customHeight="false" outlineLevel="0" collapsed="false">
      <c r="A22" s="0" t="s">
        <v>160</v>
      </c>
      <c r="B22" s="0" t="s">
        <v>134</v>
      </c>
      <c r="C22" s="0" t="s">
        <v>3450</v>
      </c>
      <c r="D22" s="0" t="s">
        <v>3457</v>
      </c>
      <c r="E22" s="20" t="s">
        <v>25</v>
      </c>
      <c r="F22" s="20" t="s">
        <v>29</v>
      </c>
      <c r="G22" s="21" t="s">
        <v>61</v>
      </c>
      <c r="H22" s="21" t="s">
        <v>24</v>
      </c>
      <c r="I22" s="21" t="s">
        <v>24</v>
      </c>
      <c r="J22" s="21" t="s">
        <v>24</v>
      </c>
      <c r="K22" s="21" t="s">
        <v>25</v>
      </c>
      <c r="L22" s="21" t="s">
        <v>24</v>
      </c>
      <c r="M22" s="0" t="n">
        <v>188</v>
      </c>
      <c r="N22" s="0" t="n">
        <v>0</v>
      </c>
      <c r="Q22" s="0" t="n">
        <v>0</v>
      </c>
      <c r="S22" s="0" t="n">
        <v>0</v>
      </c>
      <c r="U22" s="22" t="b">
        <f aca="false">FALSE()</f>
        <v>0</v>
      </c>
      <c r="V22" s="0" t="n">
        <v>0.77</v>
      </c>
      <c r="W22" s="0" t="n">
        <v>0.16</v>
      </c>
      <c r="X22" s="0" t="n">
        <v>7.23</v>
      </c>
      <c r="Y22" s="0" t="n">
        <v>563.79</v>
      </c>
      <c r="Z22" s="0" t="n">
        <v>10.83</v>
      </c>
      <c r="AA22" s="0" t="n">
        <v>7.98</v>
      </c>
      <c r="AB22" s="0" t="n">
        <v>6.74</v>
      </c>
      <c r="AC22" s="22" t="b">
        <f aca="false">FALSE()</f>
        <v>0</v>
      </c>
      <c r="AD22" s="0" t="n">
        <v>20.78</v>
      </c>
      <c r="AE22" s="0" t="n">
        <v>12.12</v>
      </c>
      <c r="AF22" s="0" t="n">
        <v>20.98</v>
      </c>
      <c r="AG22" s="22" t="b">
        <f aca="false">TRUE()</f>
        <v>1</v>
      </c>
      <c r="AH22" s="0" t="n">
        <v>1</v>
      </c>
    </row>
    <row r="23" customFormat="false" ht="15" hidden="false" customHeight="false" outlineLevel="0" collapsed="false">
      <c r="A23" s="0" t="s">
        <v>160</v>
      </c>
      <c r="B23" s="0" t="s">
        <v>134</v>
      </c>
      <c r="C23" s="0" t="s">
        <v>3450</v>
      </c>
      <c r="D23" s="0" t="s">
        <v>3448</v>
      </c>
      <c r="E23" s="20" t="s">
        <v>25</v>
      </c>
      <c r="F23" s="20" t="s">
        <v>29</v>
      </c>
      <c r="G23" s="21" t="s">
        <v>64</v>
      </c>
      <c r="H23" s="21" t="s">
        <v>24</v>
      </c>
      <c r="I23" s="21" t="s">
        <v>24</v>
      </c>
      <c r="J23" s="21" t="s">
        <v>24</v>
      </c>
      <c r="K23" s="21" t="s">
        <v>25</v>
      </c>
      <c r="L23" s="21" t="s">
        <v>24</v>
      </c>
      <c r="M23" s="0" t="n">
        <v>189</v>
      </c>
      <c r="N23" s="0" t="n">
        <v>0</v>
      </c>
      <c r="Q23" s="0" t="n">
        <v>0</v>
      </c>
      <c r="S23" s="0" t="n">
        <v>0</v>
      </c>
      <c r="U23" s="22" t="b">
        <f aca="false">FALSE()</f>
        <v>0</v>
      </c>
      <c r="V23" s="0" t="n">
        <v>0.78</v>
      </c>
      <c r="W23" s="0" t="n">
        <v>0.36</v>
      </c>
      <c r="X23" s="0" t="n">
        <v>8.31</v>
      </c>
      <c r="Y23" s="0" t="n">
        <v>390.85</v>
      </c>
      <c r="Z23" s="0" t="n">
        <v>11.25</v>
      </c>
      <c r="AA23" s="0" t="n">
        <v>6.12</v>
      </c>
      <c r="AB23" s="0" t="n">
        <v>0.21</v>
      </c>
      <c r="AC23" s="22" t="b">
        <f aca="false">FALSE()</f>
        <v>0</v>
      </c>
      <c r="AD23" s="0" t="n">
        <v>18.39</v>
      </c>
      <c r="AE23" s="0" t="n">
        <v>0.81</v>
      </c>
      <c r="AF23" s="0" t="n">
        <v>14.99</v>
      </c>
      <c r="AG23" s="22" t="b">
        <f aca="false">TRUE()</f>
        <v>1</v>
      </c>
      <c r="AH23" s="0" t="n">
        <v>1</v>
      </c>
    </row>
    <row r="24" customFormat="false" ht="15" hidden="false" customHeight="false" outlineLevel="0" collapsed="false">
      <c r="A24" s="0" t="s">
        <v>160</v>
      </c>
      <c r="B24" s="0" t="s">
        <v>134</v>
      </c>
      <c r="C24" s="0" t="s">
        <v>3447</v>
      </c>
      <c r="D24" s="0" t="s">
        <v>3457</v>
      </c>
      <c r="E24" s="20" t="s">
        <v>25</v>
      </c>
      <c r="F24" s="23" t="s">
        <v>30</v>
      </c>
      <c r="G24" s="21" t="s">
        <v>183</v>
      </c>
      <c r="H24" s="21" t="s">
        <v>24</v>
      </c>
      <c r="I24" s="21" t="s">
        <v>25</v>
      </c>
      <c r="J24" s="21" t="s">
        <v>24</v>
      </c>
      <c r="K24" s="21" t="s">
        <v>25</v>
      </c>
      <c r="L24" s="21" t="s">
        <v>24</v>
      </c>
      <c r="M24" s="0" t="n">
        <v>184</v>
      </c>
      <c r="N24" s="0" t="n">
        <v>3</v>
      </c>
      <c r="O24" s="21" t="s">
        <v>3668</v>
      </c>
      <c r="P24" s="21" t="s">
        <v>4241</v>
      </c>
      <c r="Q24" s="0" t="n">
        <v>1</v>
      </c>
      <c r="R24" s="21" t="s">
        <v>69</v>
      </c>
      <c r="S24" s="0" t="n">
        <v>3</v>
      </c>
      <c r="T24" s="21" t="s">
        <v>3668</v>
      </c>
      <c r="U24" s="22" t="b">
        <f aca="false">TRUE()</f>
        <v>1</v>
      </c>
      <c r="V24" s="0" t="n">
        <v>0.8</v>
      </c>
      <c r="W24" s="0" t="n">
        <v>0.2</v>
      </c>
      <c r="X24" s="0" t="n">
        <v>7.72</v>
      </c>
      <c r="Y24" s="0" t="n">
        <v>510.12</v>
      </c>
      <c r="Z24" s="0" t="n">
        <v>8</v>
      </c>
      <c r="AA24" s="0" t="n">
        <v>-0.96</v>
      </c>
      <c r="AB24" s="0" t="n">
        <v>6.74</v>
      </c>
      <c r="AC24" s="22" t="b">
        <f aca="false">FALSE()</f>
        <v>0</v>
      </c>
      <c r="AD24" s="0" t="n">
        <v>20.92</v>
      </c>
      <c r="AE24" s="0" t="n">
        <v>11.32</v>
      </c>
      <c r="AF24" s="0" t="n">
        <v>20.51</v>
      </c>
      <c r="AG24" s="22" t="b">
        <f aca="false">TRUE()</f>
        <v>1</v>
      </c>
      <c r="AH24" s="0" t="n">
        <v>1</v>
      </c>
    </row>
    <row r="25" customFormat="false" ht="15" hidden="false" customHeight="false" outlineLevel="0" collapsed="false">
      <c r="A25" s="0" t="s">
        <v>160</v>
      </c>
      <c r="B25" s="0" t="s">
        <v>134</v>
      </c>
      <c r="C25" s="0" t="s">
        <v>3447</v>
      </c>
      <c r="D25" s="0" t="s">
        <v>3448</v>
      </c>
      <c r="E25" s="20" t="s">
        <v>25</v>
      </c>
      <c r="F25" s="20" t="s">
        <v>29</v>
      </c>
      <c r="G25" s="21" t="s">
        <v>64</v>
      </c>
      <c r="H25" s="21" t="s">
        <v>24</v>
      </c>
      <c r="I25" s="21" t="s">
        <v>24</v>
      </c>
      <c r="J25" s="21" t="s">
        <v>24</v>
      </c>
      <c r="K25" s="21" t="s">
        <v>25</v>
      </c>
      <c r="L25" s="21" t="s">
        <v>24</v>
      </c>
      <c r="M25" s="0" t="n">
        <v>186</v>
      </c>
      <c r="N25" s="0" t="n">
        <v>0</v>
      </c>
      <c r="Q25" s="0" t="n">
        <v>0</v>
      </c>
      <c r="S25" s="0" t="n">
        <v>0</v>
      </c>
      <c r="U25" s="22" t="b">
        <f aca="false">FALSE()</f>
        <v>0</v>
      </c>
      <c r="V25" s="0" t="n">
        <v>0.79</v>
      </c>
      <c r="W25" s="0" t="n">
        <v>0.64</v>
      </c>
      <c r="X25" s="0" t="n">
        <v>8.01</v>
      </c>
      <c r="Y25" s="0" t="n">
        <v>325.81</v>
      </c>
      <c r="Z25" s="0" t="n">
        <v>8</v>
      </c>
      <c r="AA25" s="0" t="n">
        <v>-1.16</v>
      </c>
      <c r="AB25" s="0" t="n">
        <v>0.21</v>
      </c>
      <c r="AC25" s="22" t="b">
        <f aca="false">FALSE()</f>
        <v>0</v>
      </c>
      <c r="AD25" s="0" t="n">
        <v>6.37</v>
      </c>
      <c r="AE25" s="0" t="n">
        <v>0.01</v>
      </c>
      <c r="AF25" s="0" t="n">
        <v>7.23</v>
      </c>
      <c r="AG25" s="22" t="b">
        <f aca="false">FALSE()</f>
        <v>0</v>
      </c>
      <c r="AH25" s="0" t="n">
        <v>1</v>
      </c>
    </row>
    <row r="26" customFormat="false" ht="15" hidden="false" customHeight="false" outlineLevel="0" collapsed="false">
      <c r="A26" s="0" t="s">
        <v>179</v>
      </c>
      <c r="B26" s="0" t="s">
        <v>134</v>
      </c>
      <c r="C26" s="0" t="s">
        <v>3450</v>
      </c>
      <c r="D26" s="0" t="s">
        <v>3457</v>
      </c>
      <c r="E26" s="20" t="s">
        <v>25</v>
      </c>
      <c r="F26" s="23" t="s">
        <v>30</v>
      </c>
      <c r="G26" s="21" t="s">
        <v>183</v>
      </c>
      <c r="H26" s="21" t="s">
        <v>24</v>
      </c>
      <c r="I26" s="21" t="s">
        <v>25</v>
      </c>
      <c r="J26" s="21" t="s">
        <v>24</v>
      </c>
      <c r="K26" s="21" t="s">
        <v>25</v>
      </c>
      <c r="L26" s="21" t="s">
        <v>24</v>
      </c>
      <c r="M26" s="0" t="n">
        <v>185</v>
      </c>
      <c r="N26" s="0" t="n">
        <v>3</v>
      </c>
      <c r="O26" s="21" t="s">
        <v>3649</v>
      </c>
      <c r="P26" s="21" t="s">
        <v>4242</v>
      </c>
      <c r="Q26" s="0" t="n">
        <v>1</v>
      </c>
      <c r="R26" s="21" t="s">
        <v>69</v>
      </c>
      <c r="S26" s="0" t="n">
        <v>3</v>
      </c>
      <c r="T26" s="21" t="s">
        <v>3649</v>
      </c>
      <c r="U26" s="22" t="b">
        <f aca="false">TRUE()</f>
        <v>1</v>
      </c>
      <c r="V26" s="0" t="n">
        <v>0.73</v>
      </c>
      <c r="W26" s="0" t="n">
        <v>0.96</v>
      </c>
      <c r="X26" s="0" t="n">
        <v>10.25</v>
      </c>
      <c r="Y26" s="0" t="n">
        <v>280.01</v>
      </c>
      <c r="Z26" s="0" t="n">
        <v>10.42</v>
      </c>
      <c r="AA26" s="0" t="n">
        <v>18.73</v>
      </c>
      <c r="AB26" s="0" t="n">
        <v>3.43</v>
      </c>
      <c r="AC26" s="22" t="b">
        <f aca="false">FALSE()</f>
        <v>0</v>
      </c>
      <c r="AD26" s="0" t="n">
        <v>24.07</v>
      </c>
      <c r="AE26" s="0" t="n">
        <v>14.16</v>
      </c>
      <c r="AF26" s="0" t="n">
        <v>23.41</v>
      </c>
      <c r="AG26" s="22" t="b">
        <f aca="false">TRUE()</f>
        <v>1</v>
      </c>
      <c r="AH26" s="0" t="n">
        <v>1</v>
      </c>
    </row>
    <row r="27" customFormat="false" ht="15" hidden="false" customHeight="false" outlineLevel="0" collapsed="false">
      <c r="A27" s="0" t="s">
        <v>179</v>
      </c>
      <c r="B27" s="0" t="s">
        <v>134</v>
      </c>
      <c r="C27" s="0" t="s">
        <v>3450</v>
      </c>
      <c r="D27" s="0" t="s">
        <v>3448</v>
      </c>
      <c r="E27" s="20" t="s">
        <v>25</v>
      </c>
      <c r="F27" s="23" t="s">
        <v>30</v>
      </c>
      <c r="G27" s="21" t="s">
        <v>183</v>
      </c>
      <c r="H27" s="21" t="s">
        <v>24</v>
      </c>
      <c r="I27" s="21" t="s">
        <v>25</v>
      </c>
      <c r="J27" s="21" t="s">
        <v>24</v>
      </c>
      <c r="K27" s="21" t="s">
        <v>25</v>
      </c>
      <c r="L27" s="21" t="s">
        <v>24</v>
      </c>
      <c r="M27" s="0" t="n">
        <v>185</v>
      </c>
      <c r="N27" s="0" t="n">
        <v>3</v>
      </c>
      <c r="O27" s="21" t="s">
        <v>3649</v>
      </c>
      <c r="P27" s="21" t="s">
        <v>4242</v>
      </c>
      <c r="Q27" s="0" t="n">
        <v>1</v>
      </c>
      <c r="R27" s="21" t="s">
        <v>69</v>
      </c>
      <c r="S27" s="0" t="n">
        <v>3</v>
      </c>
      <c r="T27" s="21" t="s">
        <v>3649</v>
      </c>
      <c r="U27" s="22" t="b">
        <f aca="false">TRUE()</f>
        <v>1</v>
      </c>
      <c r="V27" s="0" t="n">
        <v>0.75</v>
      </c>
      <c r="W27" s="0" t="n">
        <v>0.44</v>
      </c>
      <c r="X27" s="0" t="n">
        <v>10.87</v>
      </c>
      <c r="Y27" s="0" t="n">
        <v>344.43</v>
      </c>
      <c r="Z27" s="0" t="n">
        <v>10.25</v>
      </c>
      <c r="AA27" s="0" t="n">
        <v>19.58</v>
      </c>
      <c r="AB27" s="0" t="n">
        <v>2.74</v>
      </c>
      <c r="AC27" s="22" t="b">
        <f aca="false">FALSE()</f>
        <v>0</v>
      </c>
      <c r="AD27" s="0" t="n">
        <v>23.05</v>
      </c>
      <c r="AE27" s="0" t="n">
        <v>12.31</v>
      </c>
      <c r="AF27" s="0" t="n">
        <v>21.67</v>
      </c>
      <c r="AG27" s="22" t="b">
        <f aca="false">TRUE()</f>
        <v>1</v>
      </c>
      <c r="AH27" s="0" t="n">
        <v>1</v>
      </c>
    </row>
    <row r="28" customFormat="false" ht="15" hidden="false" customHeight="false" outlineLevel="0" collapsed="false">
      <c r="A28" s="0" t="s">
        <v>179</v>
      </c>
      <c r="B28" s="0" t="s">
        <v>134</v>
      </c>
      <c r="C28" s="0" t="s">
        <v>3447</v>
      </c>
      <c r="D28" s="0" t="s">
        <v>3457</v>
      </c>
      <c r="E28" s="20" t="s">
        <v>25</v>
      </c>
      <c r="F28" s="23" t="s">
        <v>30</v>
      </c>
      <c r="G28" s="21" t="s">
        <v>992</v>
      </c>
      <c r="H28" s="21" t="s">
        <v>24</v>
      </c>
      <c r="I28" s="21" t="s">
        <v>24</v>
      </c>
      <c r="J28" s="21" t="s">
        <v>24</v>
      </c>
      <c r="K28" s="21" t="s">
        <v>25</v>
      </c>
      <c r="L28" s="21" t="s">
        <v>24</v>
      </c>
      <c r="M28" s="0" t="n">
        <v>184</v>
      </c>
      <c r="N28" s="0" t="n">
        <v>5</v>
      </c>
      <c r="O28" s="21" t="s">
        <v>3740</v>
      </c>
      <c r="P28" s="21" t="s">
        <v>4243</v>
      </c>
      <c r="Q28" s="0" t="n">
        <v>0</v>
      </c>
      <c r="S28" s="0" t="n">
        <v>5</v>
      </c>
      <c r="T28" s="21" t="s">
        <v>3740</v>
      </c>
      <c r="U28" s="22" t="b">
        <f aca="false">TRUE()</f>
        <v>1</v>
      </c>
      <c r="V28" s="0" t="n">
        <v>0.74</v>
      </c>
      <c r="W28" s="0" t="n">
        <v>0.48</v>
      </c>
      <c r="X28" s="0" t="n">
        <v>8.01</v>
      </c>
      <c r="Y28" s="0" t="n">
        <v>322.28</v>
      </c>
      <c r="Z28" s="0" t="n">
        <v>10.5</v>
      </c>
      <c r="AA28" s="0" t="n">
        <v>14.32</v>
      </c>
      <c r="AB28" s="0" t="n">
        <v>3.43</v>
      </c>
      <c r="AC28" s="22" t="b">
        <f aca="false">FALSE()</f>
        <v>0</v>
      </c>
      <c r="AD28" s="0" t="n">
        <v>22.92</v>
      </c>
      <c r="AE28" s="0" t="n">
        <v>13.22</v>
      </c>
      <c r="AF28" s="0" t="n">
        <v>22.49</v>
      </c>
      <c r="AG28" s="22" t="b">
        <f aca="false">TRUE()</f>
        <v>1</v>
      </c>
      <c r="AH28" s="0" t="n">
        <v>1</v>
      </c>
    </row>
    <row r="29" customFormat="false" ht="15" hidden="false" customHeight="false" outlineLevel="0" collapsed="false">
      <c r="A29" s="0" t="s">
        <v>179</v>
      </c>
      <c r="B29" s="0" t="s">
        <v>134</v>
      </c>
      <c r="C29" s="0" t="s">
        <v>3447</v>
      </c>
      <c r="D29" s="0" t="s">
        <v>3448</v>
      </c>
      <c r="E29" s="20" t="s">
        <v>25</v>
      </c>
      <c r="F29" s="23" t="s">
        <v>30</v>
      </c>
      <c r="G29" s="21" t="s">
        <v>992</v>
      </c>
      <c r="H29" s="21" t="s">
        <v>24</v>
      </c>
      <c r="I29" s="21" t="s">
        <v>24</v>
      </c>
      <c r="J29" s="21" t="s">
        <v>24</v>
      </c>
      <c r="K29" s="21" t="s">
        <v>25</v>
      </c>
      <c r="L29" s="21" t="s">
        <v>24</v>
      </c>
      <c r="M29" s="0" t="n">
        <v>186</v>
      </c>
      <c r="N29" s="0" t="n">
        <v>3</v>
      </c>
      <c r="O29" s="21" t="s">
        <v>3594</v>
      </c>
      <c r="P29" s="21" t="s">
        <v>4244</v>
      </c>
      <c r="Q29" s="0" t="n">
        <v>0</v>
      </c>
      <c r="S29" s="0" t="n">
        <v>3</v>
      </c>
      <c r="T29" s="21" t="s">
        <v>3594</v>
      </c>
      <c r="U29" s="22" t="b">
        <f aca="false">TRUE()</f>
        <v>1</v>
      </c>
      <c r="V29" s="0" t="n">
        <v>0.74</v>
      </c>
      <c r="W29" s="0" t="n">
        <v>0.24</v>
      </c>
      <c r="X29" s="0" t="n">
        <v>8.92</v>
      </c>
      <c r="Y29" s="0" t="n">
        <v>467.74</v>
      </c>
      <c r="Z29" s="0" t="n">
        <v>10.75</v>
      </c>
      <c r="AA29" s="0" t="n">
        <v>16.81</v>
      </c>
      <c r="AB29" s="0" t="n">
        <v>2.74</v>
      </c>
      <c r="AC29" s="22" t="b">
        <f aca="false">FALSE()</f>
        <v>0</v>
      </c>
      <c r="AD29" s="0" t="n">
        <v>24.23</v>
      </c>
      <c r="AE29" s="0" t="n">
        <v>14.03</v>
      </c>
      <c r="AF29" s="0" t="n">
        <v>23.05</v>
      </c>
      <c r="AG29" s="22" t="b">
        <f aca="false">TRUE()</f>
        <v>1</v>
      </c>
      <c r="AH29" s="0" t="n">
        <v>1</v>
      </c>
    </row>
    <row r="30" customFormat="false" ht="15" hidden="false" customHeight="false" outlineLevel="0" collapsed="false">
      <c r="A30" s="0" t="s">
        <v>186</v>
      </c>
      <c r="B30" s="0" t="s">
        <v>134</v>
      </c>
      <c r="C30" s="0" t="s">
        <v>3450</v>
      </c>
      <c r="D30" s="0" t="s">
        <v>3457</v>
      </c>
      <c r="E30" s="19" t="s">
        <v>26</v>
      </c>
      <c r="F30" s="19" t="s">
        <v>32</v>
      </c>
      <c r="G30" s="21" t="s">
        <v>3875</v>
      </c>
      <c r="H30" s="21" t="s">
        <v>24</v>
      </c>
      <c r="I30" s="21" t="s">
        <v>26</v>
      </c>
      <c r="J30" s="21" t="s">
        <v>24</v>
      </c>
      <c r="K30" s="21" t="s">
        <v>25</v>
      </c>
      <c r="L30" s="21" t="s">
        <v>24</v>
      </c>
      <c r="M30" s="0" t="n">
        <v>182</v>
      </c>
      <c r="N30" s="0" t="n">
        <v>2</v>
      </c>
      <c r="O30" s="21" t="s">
        <v>3871</v>
      </c>
      <c r="P30" s="21" t="s">
        <v>4245</v>
      </c>
      <c r="Q30" s="0" t="n">
        <v>2</v>
      </c>
      <c r="R30" s="21" t="s">
        <v>3871</v>
      </c>
      <c r="S30" s="0" t="n">
        <v>2</v>
      </c>
      <c r="T30" s="21" t="s">
        <v>3871</v>
      </c>
      <c r="U30" s="22" t="b">
        <f aca="false">FALSE()</f>
        <v>0</v>
      </c>
      <c r="V30" s="0" t="n">
        <v>0.69</v>
      </c>
      <c r="W30" s="0" t="n">
        <v>0.28</v>
      </c>
      <c r="X30" s="0" t="n">
        <v>7.89</v>
      </c>
      <c r="Y30" s="0" t="n">
        <v>429.74</v>
      </c>
      <c r="Z30" s="0" t="n">
        <v>10.25</v>
      </c>
      <c r="AA30" s="0" t="n">
        <v>11.01</v>
      </c>
      <c r="AB30" s="0" t="n">
        <v>9.79</v>
      </c>
      <c r="AC30" s="22" t="b">
        <f aca="false">FALSE()</f>
        <v>0</v>
      </c>
      <c r="AD30" s="0" t="n">
        <v>26.9</v>
      </c>
      <c r="AE30" s="0" t="n">
        <v>19.64</v>
      </c>
      <c r="AF30" s="0" t="n">
        <v>24.38</v>
      </c>
      <c r="AG30" s="22" t="b">
        <f aca="false">TRUE()</f>
        <v>1</v>
      </c>
      <c r="AH30" s="0" t="n">
        <v>1</v>
      </c>
    </row>
    <row r="31" customFormat="false" ht="15" hidden="false" customHeight="false" outlineLevel="0" collapsed="false">
      <c r="A31" s="0" t="s">
        <v>186</v>
      </c>
      <c r="B31" s="0" t="s">
        <v>134</v>
      </c>
      <c r="C31" s="0" t="s">
        <v>3450</v>
      </c>
      <c r="D31" s="0" t="s">
        <v>3448</v>
      </c>
      <c r="E31" s="20" t="s">
        <v>25</v>
      </c>
      <c r="F31" s="23" t="s">
        <v>30</v>
      </c>
      <c r="G31" s="21" t="s">
        <v>183</v>
      </c>
      <c r="H31" s="21" t="s">
        <v>24</v>
      </c>
      <c r="I31" s="21" t="s">
        <v>25</v>
      </c>
      <c r="J31" s="21" t="s">
        <v>24</v>
      </c>
      <c r="K31" s="21" t="s">
        <v>25</v>
      </c>
      <c r="L31" s="21" t="s">
        <v>24</v>
      </c>
      <c r="M31" s="0" t="n">
        <v>184</v>
      </c>
      <c r="N31" s="0" t="n">
        <v>3</v>
      </c>
      <c r="O31" s="21" t="s">
        <v>3767</v>
      </c>
      <c r="P31" s="21" t="s">
        <v>4246</v>
      </c>
      <c r="Q31" s="0" t="n">
        <v>1</v>
      </c>
      <c r="R31" s="21" t="s">
        <v>69</v>
      </c>
      <c r="S31" s="0" t="n">
        <v>3</v>
      </c>
      <c r="T31" s="21" t="s">
        <v>3767</v>
      </c>
      <c r="U31" s="22" t="b">
        <f aca="false">TRUE()</f>
        <v>1</v>
      </c>
      <c r="V31" s="0" t="n">
        <v>0.66</v>
      </c>
      <c r="W31" s="0" t="n">
        <v>0.6</v>
      </c>
      <c r="X31" s="0" t="n">
        <v>8</v>
      </c>
      <c r="Y31" s="0" t="n">
        <v>318.37</v>
      </c>
      <c r="Z31" s="0" t="n">
        <v>10.5</v>
      </c>
      <c r="AA31" s="0" t="n">
        <v>10.15</v>
      </c>
      <c r="AB31" s="0" t="n">
        <v>17.56</v>
      </c>
      <c r="AC31" s="22" t="b">
        <f aca="false">FALSE()</f>
        <v>0</v>
      </c>
      <c r="AD31" s="0" t="n">
        <v>22.55</v>
      </c>
      <c r="AE31" s="0" t="n">
        <v>13.23</v>
      </c>
      <c r="AF31" s="0" t="n">
        <v>20.86</v>
      </c>
      <c r="AG31" s="22" t="b">
        <f aca="false">TRUE()</f>
        <v>1</v>
      </c>
      <c r="AH31" s="0" t="n">
        <v>1</v>
      </c>
    </row>
    <row r="32" customFormat="false" ht="15" hidden="false" customHeight="false" outlineLevel="0" collapsed="false">
      <c r="A32" s="0" t="s">
        <v>186</v>
      </c>
      <c r="B32" s="0" t="s">
        <v>134</v>
      </c>
      <c r="C32" s="0" t="s">
        <v>3447</v>
      </c>
      <c r="D32" s="0" t="s">
        <v>3457</v>
      </c>
      <c r="E32" s="20" t="s">
        <v>25</v>
      </c>
      <c r="F32" s="23" t="s">
        <v>30</v>
      </c>
      <c r="G32" s="21" t="s">
        <v>992</v>
      </c>
      <c r="H32" s="21" t="s">
        <v>24</v>
      </c>
      <c r="I32" s="21" t="s">
        <v>24</v>
      </c>
      <c r="J32" s="21" t="s">
        <v>24</v>
      </c>
      <c r="K32" s="21" t="s">
        <v>25</v>
      </c>
      <c r="L32" s="21" t="s">
        <v>24</v>
      </c>
      <c r="M32" s="0" t="n">
        <v>183</v>
      </c>
      <c r="N32" s="0" t="n">
        <v>2</v>
      </c>
      <c r="O32" s="21" t="s">
        <v>3520</v>
      </c>
      <c r="P32" s="21" t="s">
        <v>4247</v>
      </c>
      <c r="Q32" s="0" t="n">
        <v>0</v>
      </c>
      <c r="S32" s="0" t="n">
        <v>2</v>
      </c>
      <c r="T32" s="21" t="s">
        <v>3520</v>
      </c>
      <c r="U32" s="22" t="b">
        <f aca="false">TRUE()</f>
        <v>1</v>
      </c>
      <c r="V32" s="0" t="n">
        <v>0.72</v>
      </c>
      <c r="W32" s="0" t="n">
        <v>0.92</v>
      </c>
      <c r="X32" s="0" t="n">
        <v>8.43</v>
      </c>
      <c r="Y32" s="0" t="n">
        <v>316.8</v>
      </c>
      <c r="Z32" s="0" t="n">
        <v>8.25</v>
      </c>
      <c r="AA32" s="0" t="n">
        <v>-0.69</v>
      </c>
      <c r="AB32" s="0" t="n">
        <v>9.79</v>
      </c>
      <c r="AC32" s="22" t="b">
        <f aca="false">FALSE()</f>
        <v>0</v>
      </c>
      <c r="AD32" s="0" t="n">
        <v>25.28</v>
      </c>
      <c r="AE32" s="0" t="n">
        <v>14.45</v>
      </c>
      <c r="AF32" s="0" t="n">
        <v>21.17</v>
      </c>
      <c r="AG32" s="22" t="b">
        <f aca="false">TRUE()</f>
        <v>1</v>
      </c>
      <c r="AH32" s="0" t="n">
        <v>1</v>
      </c>
    </row>
    <row r="33" customFormat="false" ht="15" hidden="false" customHeight="false" outlineLevel="0" collapsed="false">
      <c r="A33" s="0" t="s">
        <v>186</v>
      </c>
      <c r="B33" s="0" t="s">
        <v>134</v>
      </c>
      <c r="C33" s="0" t="s">
        <v>3447</v>
      </c>
      <c r="D33" s="0" t="s">
        <v>3448</v>
      </c>
      <c r="E33" s="20" t="s">
        <v>25</v>
      </c>
      <c r="F33" s="23" t="s">
        <v>30</v>
      </c>
      <c r="G33" s="21" t="s">
        <v>992</v>
      </c>
      <c r="H33" s="21" t="s">
        <v>24</v>
      </c>
      <c r="I33" s="21" t="s">
        <v>24</v>
      </c>
      <c r="J33" s="21" t="s">
        <v>24</v>
      </c>
      <c r="K33" s="21" t="s">
        <v>25</v>
      </c>
      <c r="L33" s="21" t="s">
        <v>24</v>
      </c>
      <c r="M33" s="0" t="n">
        <v>186</v>
      </c>
      <c r="N33" s="0" t="n">
        <v>2</v>
      </c>
      <c r="O33" s="21" t="s">
        <v>3520</v>
      </c>
      <c r="P33" s="21" t="s">
        <v>4247</v>
      </c>
      <c r="Q33" s="0" t="n">
        <v>0</v>
      </c>
      <c r="S33" s="0" t="n">
        <v>2</v>
      </c>
      <c r="T33" s="21" t="s">
        <v>3520</v>
      </c>
      <c r="U33" s="22" t="b">
        <f aca="false">TRUE()</f>
        <v>1</v>
      </c>
      <c r="V33" s="0" t="n">
        <v>0.74</v>
      </c>
      <c r="W33" s="0" t="n">
        <v>0.2</v>
      </c>
      <c r="X33" s="0" t="n">
        <v>7.93</v>
      </c>
      <c r="Y33" s="0" t="n">
        <v>506.11</v>
      </c>
      <c r="Z33" s="0" t="n">
        <v>8.42</v>
      </c>
      <c r="AA33" s="0" t="n">
        <v>0.7</v>
      </c>
      <c r="AB33" s="0" t="n">
        <v>17.56</v>
      </c>
      <c r="AC33" s="22" t="b">
        <f aca="false">FALSE()</f>
        <v>0</v>
      </c>
      <c r="AD33" s="0" t="n">
        <v>26.69</v>
      </c>
      <c r="AE33" s="0" t="n">
        <v>16.19</v>
      </c>
      <c r="AF33" s="0" t="n">
        <v>24.11</v>
      </c>
      <c r="AG33" s="22" t="b">
        <f aca="false">TRUE()</f>
        <v>1</v>
      </c>
      <c r="AH33" s="0" t="n">
        <v>1</v>
      </c>
    </row>
    <row r="34" customFormat="false" ht="15" hidden="false" customHeight="false" outlineLevel="0" collapsed="false">
      <c r="A34" s="0" t="s">
        <v>193</v>
      </c>
      <c r="B34" s="0" t="s">
        <v>134</v>
      </c>
      <c r="C34" s="0" t="s">
        <v>3450</v>
      </c>
      <c r="D34" s="0" t="s">
        <v>3457</v>
      </c>
      <c r="E34" s="20" t="s">
        <v>25</v>
      </c>
      <c r="F34" s="23" t="s">
        <v>30</v>
      </c>
      <c r="G34" s="21" t="s">
        <v>1230</v>
      </c>
      <c r="H34" s="21" t="s">
        <v>24</v>
      </c>
      <c r="I34" s="21" t="s">
        <v>25</v>
      </c>
      <c r="J34" s="21" t="s">
        <v>24</v>
      </c>
      <c r="K34" s="21" t="s">
        <v>25</v>
      </c>
      <c r="L34" s="21" t="s">
        <v>24</v>
      </c>
      <c r="M34" s="0" t="n">
        <v>188</v>
      </c>
      <c r="N34" s="0" t="n">
        <v>3</v>
      </c>
      <c r="O34" s="21" t="s">
        <v>3649</v>
      </c>
      <c r="P34" s="21" t="s">
        <v>4242</v>
      </c>
      <c r="Q34" s="0" t="n">
        <v>1</v>
      </c>
      <c r="R34" s="21" t="s">
        <v>69</v>
      </c>
      <c r="S34" s="0" t="n">
        <v>3</v>
      </c>
      <c r="T34" s="21" t="s">
        <v>3649</v>
      </c>
      <c r="U34" s="22" t="b">
        <f aca="false">TRUE()</f>
        <v>1</v>
      </c>
      <c r="V34" s="0" t="n">
        <v>0.75</v>
      </c>
      <c r="W34" s="0" t="n">
        <v>0.72</v>
      </c>
      <c r="X34" s="0" t="n">
        <v>5.29</v>
      </c>
      <c r="Y34" s="0" t="n">
        <v>329.1</v>
      </c>
      <c r="Z34" s="0" t="n">
        <v>8.08</v>
      </c>
      <c r="AA34" s="0" t="n">
        <v>-1.16</v>
      </c>
      <c r="AB34" s="0" t="n">
        <v>7.42</v>
      </c>
      <c r="AC34" s="22" t="b">
        <f aca="false">FALSE()</f>
        <v>0</v>
      </c>
      <c r="AD34" s="0" t="n">
        <v>11.86</v>
      </c>
      <c r="AE34" s="0" t="n">
        <v>10.13</v>
      </c>
      <c r="AF34" s="0" t="n">
        <v>13.39</v>
      </c>
      <c r="AG34" s="22" t="b">
        <f aca="false">TRUE()</f>
        <v>1</v>
      </c>
      <c r="AH34" s="0" t="n">
        <v>1</v>
      </c>
    </row>
    <row r="35" customFormat="false" ht="15" hidden="false" customHeight="false" outlineLevel="0" collapsed="false">
      <c r="A35" s="0" t="s">
        <v>193</v>
      </c>
      <c r="B35" s="0" t="s">
        <v>134</v>
      </c>
      <c r="C35" s="0" t="s">
        <v>3450</v>
      </c>
      <c r="D35" s="0" t="s">
        <v>3448</v>
      </c>
      <c r="E35" s="20" t="s">
        <v>25</v>
      </c>
      <c r="F35" s="23" t="s">
        <v>30</v>
      </c>
      <c r="G35" s="21" t="s">
        <v>197</v>
      </c>
      <c r="H35" s="21" t="s">
        <v>24</v>
      </c>
      <c r="I35" s="21" t="s">
        <v>25</v>
      </c>
      <c r="J35" s="21" t="s">
        <v>24</v>
      </c>
      <c r="K35" s="21" t="s">
        <v>25</v>
      </c>
      <c r="L35" s="21" t="s">
        <v>24</v>
      </c>
      <c r="M35" s="0" t="n">
        <v>185</v>
      </c>
      <c r="N35" s="0" t="n">
        <v>2</v>
      </c>
      <c r="O35" s="21" t="s">
        <v>3566</v>
      </c>
      <c r="P35" s="21" t="s">
        <v>4238</v>
      </c>
      <c r="Q35" s="0" t="n">
        <v>1</v>
      </c>
      <c r="R35" s="21" t="s">
        <v>69</v>
      </c>
      <c r="S35" s="0" t="n">
        <v>2</v>
      </c>
      <c r="T35" s="21" t="s">
        <v>3566</v>
      </c>
      <c r="U35" s="22" t="b">
        <f aca="false">TRUE()</f>
        <v>1</v>
      </c>
      <c r="V35" s="0" t="n">
        <v>0.8</v>
      </c>
      <c r="W35" s="0" t="n">
        <v>0.2</v>
      </c>
      <c r="X35" s="0" t="n">
        <v>6.17</v>
      </c>
      <c r="Y35" s="0" t="n">
        <v>504.91</v>
      </c>
      <c r="Z35" s="0" t="n">
        <v>11.67</v>
      </c>
      <c r="AA35" s="0" t="n">
        <v>0.07</v>
      </c>
      <c r="AB35" s="0" t="n">
        <v>0.6</v>
      </c>
      <c r="AC35" s="22" t="b">
        <f aca="false">TRUE()</f>
        <v>1</v>
      </c>
      <c r="AD35" s="0" t="n">
        <v>18.66</v>
      </c>
      <c r="AE35" s="0" t="n">
        <v>9.02</v>
      </c>
      <c r="AF35" s="0" t="n">
        <v>18.45</v>
      </c>
      <c r="AG35" s="22" t="b">
        <f aca="false">TRUE()</f>
        <v>1</v>
      </c>
      <c r="AH35" s="0" t="n">
        <v>1</v>
      </c>
    </row>
    <row r="36" customFormat="false" ht="15" hidden="false" customHeight="false" outlineLevel="0" collapsed="false">
      <c r="A36" s="0" t="s">
        <v>193</v>
      </c>
      <c r="B36" s="0" t="s">
        <v>134</v>
      </c>
      <c r="C36" s="0" t="s">
        <v>3447</v>
      </c>
      <c r="D36" s="0" t="s">
        <v>3457</v>
      </c>
      <c r="E36" s="20" t="s">
        <v>25</v>
      </c>
      <c r="F36" s="23" t="s">
        <v>30</v>
      </c>
      <c r="G36" s="21" t="s">
        <v>283</v>
      </c>
      <c r="H36" s="21" t="s">
        <v>24</v>
      </c>
      <c r="I36" s="21" t="s">
        <v>25</v>
      </c>
      <c r="J36" s="21" t="s">
        <v>24</v>
      </c>
      <c r="K36" s="21" t="s">
        <v>24</v>
      </c>
      <c r="L36" s="21" t="s">
        <v>24</v>
      </c>
      <c r="M36" s="0" t="n">
        <v>184</v>
      </c>
      <c r="N36" s="0" t="n">
        <v>3</v>
      </c>
      <c r="O36" s="21" t="s">
        <v>3649</v>
      </c>
      <c r="P36" s="21" t="s">
        <v>4242</v>
      </c>
      <c r="Q36" s="0" t="n">
        <v>1</v>
      </c>
      <c r="R36" s="21" t="s">
        <v>69</v>
      </c>
      <c r="S36" s="0" t="n">
        <v>3</v>
      </c>
      <c r="T36" s="21" t="s">
        <v>3649</v>
      </c>
      <c r="U36" s="22" t="b">
        <f aca="false">TRUE()</f>
        <v>1</v>
      </c>
      <c r="V36" s="0" t="n">
        <v>0.74</v>
      </c>
      <c r="W36" s="0" t="n">
        <v>0</v>
      </c>
      <c r="X36" s="0" t="n">
        <v>5.91</v>
      </c>
      <c r="Y36" s="0" t="n">
        <v>691.98</v>
      </c>
      <c r="Z36" s="0" t="n">
        <v>9.5</v>
      </c>
      <c r="AA36" s="0" t="n">
        <v>-0.47</v>
      </c>
      <c r="AB36" s="0" t="n">
        <v>7.42</v>
      </c>
      <c r="AC36" s="22" t="b">
        <f aca="false">FALSE()</f>
        <v>0</v>
      </c>
      <c r="AD36" s="0" t="n">
        <v>17.79</v>
      </c>
      <c r="AE36" s="0" t="n">
        <v>13.33</v>
      </c>
      <c r="AF36" s="0" t="n">
        <v>17.66</v>
      </c>
      <c r="AG36" s="22" t="b">
        <f aca="false">TRUE()</f>
        <v>1</v>
      </c>
      <c r="AH36" s="0" t="n">
        <v>1</v>
      </c>
    </row>
    <row r="37" customFormat="false" ht="15" hidden="false" customHeight="false" outlineLevel="0" collapsed="false">
      <c r="A37" s="0" t="s">
        <v>193</v>
      </c>
      <c r="B37" s="0" t="s">
        <v>134</v>
      </c>
      <c r="C37" s="0" t="s">
        <v>3447</v>
      </c>
      <c r="D37" s="0" t="s">
        <v>3448</v>
      </c>
      <c r="E37" s="20" t="s">
        <v>25</v>
      </c>
      <c r="F37" s="23" t="s">
        <v>30</v>
      </c>
      <c r="G37" s="21" t="s">
        <v>1152</v>
      </c>
      <c r="H37" s="21" t="s">
        <v>24</v>
      </c>
      <c r="I37" s="21" t="s">
        <v>25</v>
      </c>
      <c r="J37" s="21" t="s">
        <v>24</v>
      </c>
      <c r="K37" s="21" t="s">
        <v>25</v>
      </c>
      <c r="L37" s="21" t="s">
        <v>24</v>
      </c>
      <c r="M37" s="0" t="n">
        <v>194</v>
      </c>
      <c r="N37" s="0" t="n">
        <v>2</v>
      </c>
      <c r="O37" s="21" t="s">
        <v>3566</v>
      </c>
      <c r="P37" s="21" t="s">
        <v>4238</v>
      </c>
      <c r="Q37" s="0" t="n">
        <v>1</v>
      </c>
      <c r="R37" s="21" t="s">
        <v>69</v>
      </c>
      <c r="S37" s="0" t="n">
        <v>2</v>
      </c>
      <c r="T37" s="21" t="s">
        <v>3566</v>
      </c>
      <c r="U37" s="22" t="b">
        <f aca="false">TRUE()</f>
        <v>1</v>
      </c>
      <c r="V37" s="0" t="n">
        <v>0.8</v>
      </c>
      <c r="W37" s="0" t="n">
        <v>0.6</v>
      </c>
      <c r="X37" s="0" t="n">
        <v>6.53</v>
      </c>
      <c r="Y37" s="0" t="n">
        <v>337.54</v>
      </c>
      <c r="Z37" s="0" t="n">
        <v>8.17</v>
      </c>
      <c r="AA37" s="0" t="n">
        <v>-1.47</v>
      </c>
      <c r="AB37" s="0" t="n">
        <v>0.6</v>
      </c>
      <c r="AC37" s="22" t="b">
        <f aca="false">FALSE()</f>
        <v>0</v>
      </c>
      <c r="AD37" s="0" t="n">
        <v>18.57</v>
      </c>
      <c r="AE37" s="0" t="n">
        <v>8.69</v>
      </c>
      <c r="AF37" s="0" t="n">
        <v>18.07</v>
      </c>
      <c r="AG37" s="22" t="b">
        <f aca="false">TRUE()</f>
        <v>1</v>
      </c>
      <c r="AH37" s="0" t="n">
        <v>1</v>
      </c>
    </row>
    <row r="38" customFormat="false" ht="15" hidden="false" customHeight="false" outlineLevel="0" collapsed="false">
      <c r="A38" s="0" t="s">
        <v>215</v>
      </c>
      <c r="B38" s="0" t="s">
        <v>134</v>
      </c>
      <c r="C38" s="0" t="s">
        <v>3450</v>
      </c>
      <c r="D38" s="0" t="s">
        <v>3457</v>
      </c>
      <c r="E38" s="18" t="s">
        <v>24</v>
      </c>
      <c r="F38" s="18" t="s">
        <v>28</v>
      </c>
      <c r="H38" s="21" t="s">
        <v>24</v>
      </c>
      <c r="I38" s="21" t="s">
        <v>24</v>
      </c>
      <c r="J38" s="21" t="s">
        <v>24</v>
      </c>
      <c r="K38" s="21" t="s">
        <v>24</v>
      </c>
      <c r="L38" s="21" t="s">
        <v>24</v>
      </c>
      <c r="M38" s="0" t="n">
        <v>216</v>
      </c>
      <c r="N38" s="0" t="n">
        <v>0</v>
      </c>
      <c r="Q38" s="0" t="n">
        <v>0</v>
      </c>
      <c r="S38" s="0" t="n">
        <v>0</v>
      </c>
      <c r="U38" s="22" t="b">
        <f aca="false">FALSE()</f>
        <v>0</v>
      </c>
      <c r="V38" s="0" t="n">
        <v>0.72</v>
      </c>
      <c r="W38" s="0" t="n">
        <v>0.56</v>
      </c>
      <c r="X38" s="0" t="n">
        <v>9.14</v>
      </c>
      <c r="Y38" s="0" t="n">
        <v>334.72</v>
      </c>
      <c r="Z38" s="0" t="n">
        <v>8.83</v>
      </c>
      <c r="AA38" s="0" t="n">
        <v>13.22</v>
      </c>
      <c r="AB38" s="0" t="n">
        <v>3.51</v>
      </c>
      <c r="AC38" s="22" t="b">
        <f aca="false">FALSE()</f>
        <v>0</v>
      </c>
      <c r="AD38" s="0" t="n">
        <v>7.46</v>
      </c>
      <c r="AE38" s="0" t="n">
        <v>1.62</v>
      </c>
      <c r="AF38" s="0" t="n">
        <v>14.22</v>
      </c>
      <c r="AG38" s="22" t="b">
        <f aca="false">FALSE()</f>
        <v>0</v>
      </c>
      <c r="AH38" s="0" t="n">
        <v>1</v>
      </c>
    </row>
    <row r="39" customFormat="false" ht="15" hidden="false" customHeight="false" outlineLevel="0" collapsed="false">
      <c r="A39" s="0" t="s">
        <v>215</v>
      </c>
      <c r="B39" s="0" t="s">
        <v>134</v>
      </c>
      <c r="C39" s="0" t="s">
        <v>3450</v>
      </c>
      <c r="D39" s="0" t="s">
        <v>3448</v>
      </c>
      <c r="E39" s="20" t="s">
        <v>25</v>
      </c>
      <c r="F39" s="20" t="s">
        <v>29</v>
      </c>
      <c r="G39" s="21" t="s">
        <v>62</v>
      </c>
      <c r="H39" s="21" t="s">
        <v>24</v>
      </c>
      <c r="I39" s="21" t="s">
        <v>24</v>
      </c>
      <c r="J39" s="21" t="s">
        <v>24</v>
      </c>
      <c r="K39" s="21" t="s">
        <v>25</v>
      </c>
      <c r="L39" s="21" t="s">
        <v>24</v>
      </c>
      <c r="M39" s="0" t="n">
        <v>190</v>
      </c>
      <c r="N39" s="0" t="n">
        <v>0</v>
      </c>
      <c r="Q39" s="0" t="n">
        <v>0</v>
      </c>
      <c r="S39" s="0" t="n">
        <v>0</v>
      </c>
      <c r="U39" s="22" t="b">
        <f aca="false">FALSE()</f>
        <v>0</v>
      </c>
      <c r="V39" s="0" t="n">
        <v>0.73</v>
      </c>
      <c r="W39" s="0" t="n">
        <v>0.52</v>
      </c>
      <c r="X39" s="0" t="n">
        <v>9.67</v>
      </c>
      <c r="Y39" s="0" t="n">
        <v>341.59</v>
      </c>
      <c r="Z39" s="0" t="n">
        <v>9.5</v>
      </c>
      <c r="AA39" s="0" t="n">
        <v>1.89</v>
      </c>
      <c r="AB39" s="0" t="n">
        <v>9.65</v>
      </c>
      <c r="AC39" s="22" t="b">
        <f aca="false">FALSE()</f>
        <v>0</v>
      </c>
      <c r="AD39" s="0" t="n">
        <v>1.38</v>
      </c>
      <c r="AE39" s="0" t="n">
        <v>0.21</v>
      </c>
      <c r="AF39" s="0" t="n">
        <v>4.66</v>
      </c>
      <c r="AG39" s="22" t="b">
        <f aca="false">FALSE()</f>
        <v>0</v>
      </c>
      <c r="AH39" s="0" t="n">
        <v>1</v>
      </c>
    </row>
    <row r="40" customFormat="false" ht="15" hidden="false" customHeight="false" outlineLevel="0" collapsed="false">
      <c r="A40" s="0" t="s">
        <v>215</v>
      </c>
      <c r="B40" s="0" t="s">
        <v>134</v>
      </c>
      <c r="C40" s="0" t="s">
        <v>3447</v>
      </c>
      <c r="D40" s="0" t="s">
        <v>3457</v>
      </c>
      <c r="E40" s="18" t="s">
        <v>24</v>
      </c>
      <c r="F40" s="18" t="s">
        <v>28</v>
      </c>
      <c r="H40" s="21" t="s">
        <v>24</v>
      </c>
      <c r="I40" s="21" t="s">
        <v>24</v>
      </c>
      <c r="J40" s="21" t="s">
        <v>24</v>
      </c>
      <c r="K40" s="21" t="s">
        <v>24</v>
      </c>
      <c r="L40" s="21" t="s">
        <v>24</v>
      </c>
      <c r="M40" s="0" t="n">
        <v>184</v>
      </c>
      <c r="N40" s="0" t="n">
        <v>0</v>
      </c>
      <c r="Q40" s="0" t="n">
        <v>0</v>
      </c>
      <c r="S40" s="0" t="n">
        <v>0</v>
      </c>
      <c r="U40" s="22" t="b">
        <f aca="false">FALSE()</f>
        <v>0</v>
      </c>
      <c r="V40" s="0" t="n">
        <v>0.76</v>
      </c>
      <c r="W40" s="0" t="n">
        <v>0.72</v>
      </c>
      <c r="X40" s="0" t="n">
        <v>6.19</v>
      </c>
      <c r="Y40" s="0" t="n">
        <v>315.45</v>
      </c>
      <c r="Z40" s="0" t="n">
        <v>9.17</v>
      </c>
      <c r="AA40" s="0" t="n">
        <v>1.4</v>
      </c>
      <c r="AB40" s="0" t="n">
        <v>3.51</v>
      </c>
      <c r="AC40" s="22" t="b">
        <f aca="false">FALSE()</f>
        <v>0</v>
      </c>
      <c r="AD40" s="0" t="n">
        <v>6.03</v>
      </c>
      <c r="AE40" s="0" t="n">
        <v>0.54</v>
      </c>
      <c r="AF40" s="0" t="n">
        <v>11.78</v>
      </c>
      <c r="AG40" s="22" t="b">
        <f aca="false">FALSE()</f>
        <v>0</v>
      </c>
      <c r="AH40" s="0" t="n">
        <v>1</v>
      </c>
    </row>
    <row r="41" customFormat="false" ht="15" hidden="false" customHeight="false" outlineLevel="0" collapsed="false">
      <c r="A41" s="0" t="s">
        <v>215</v>
      </c>
      <c r="B41" s="0" t="s">
        <v>134</v>
      </c>
      <c r="C41" s="0" t="s">
        <v>3447</v>
      </c>
      <c r="D41" s="0" t="s">
        <v>3448</v>
      </c>
      <c r="E41" s="18" t="s">
        <v>24</v>
      </c>
      <c r="F41" s="18" t="s">
        <v>28</v>
      </c>
      <c r="H41" s="21" t="s">
        <v>24</v>
      </c>
      <c r="I41" s="21" t="s">
        <v>24</v>
      </c>
      <c r="J41" s="21" t="s">
        <v>24</v>
      </c>
      <c r="K41" s="21" t="s">
        <v>24</v>
      </c>
      <c r="L41" s="21" t="s">
        <v>24</v>
      </c>
      <c r="M41" s="0" t="n">
        <v>187</v>
      </c>
      <c r="N41" s="0" t="n">
        <v>0</v>
      </c>
      <c r="Q41" s="0" t="n">
        <v>0</v>
      </c>
      <c r="S41" s="0" t="n">
        <v>0</v>
      </c>
      <c r="U41" s="22" t="b">
        <f aca="false">FALSE()</f>
        <v>0</v>
      </c>
      <c r="V41" s="0" t="n">
        <v>0.81</v>
      </c>
      <c r="W41" s="0" t="n">
        <v>0</v>
      </c>
      <c r="X41" s="0" t="n">
        <v>7.67</v>
      </c>
      <c r="Y41" s="0" t="n">
        <v>3.86</v>
      </c>
      <c r="Z41" s="0" t="n">
        <v>8.75</v>
      </c>
      <c r="AA41" s="0" t="n">
        <v>7.57</v>
      </c>
      <c r="AB41" s="0" t="n">
        <v>9.65</v>
      </c>
      <c r="AC41" s="22" t="b">
        <f aca="false">FALSE()</f>
        <v>0</v>
      </c>
      <c r="AD41" s="0" t="n">
        <v>8.68</v>
      </c>
      <c r="AE41" s="0" t="n">
        <v>0.43</v>
      </c>
      <c r="AF41" s="0" t="n">
        <v>12.1</v>
      </c>
      <c r="AG41" s="22" t="b">
        <f aca="false">FALSE()</f>
        <v>0</v>
      </c>
      <c r="AH41" s="0" t="n">
        <v>0</v>
      </c>
    </row>
    <row r="42" customFormat="false" ht="15" hidden="false" customHeight="false" outlineLevel="0" collapsed="false">
      <c r="A42" s="0" t="s">
        <v>221</v>
      </c>
      <c r="B42" s="0" t="s">
        <v>134</v>
      </c>
      <c r="C42" s="0" t="s">
        <v>3450</v>
      </c>
      <c r="D42" s="0" t="s">
        <v>3457</v>
      </c>
      <c r="E42" s="19" t="s">
        <v>26</v>
      </c>
      <c r="F42" s="19" t="s">
        <v>32</v>
      </c>
      <c r="G42" s="21" t="s">
        <v>4142</v>
      </c>
      <c r="H42" s="21" t="s">
        <v>24</v>
      </c>
      <c r="I42" s="21" t="s">
        <v>26</v>
      </c>
      <c r="J42" s="21" t="s">
        <v>24</v>
      </c>
      <c r="K42" s="21" t="s">
        <v>25</v>
      </c>
      <c r="L42" s="21" t="s">
        <v>24</v>
      </c>
      <c r="M42" s="0" t="n">
        <v>182</v>
      </c>
      <c r="N42" s="0" t="n">
        <v>10</v>
      </c>
      <c r="O42" s="21" t="s">
        <v>4011</v>
      </c>
      <c r="P42" s="21" t="s">
        <v>4248</v>
      </c>
      <c r="Q42" s="0" t="n">
        <v>1</v>
      </c>
      <c r="R42" s="21" t="s">
        <v>69</v>
      </c>
      <c r="S42" s="0" t="n">
        <v>10</v>
      </c>
      <c r="T42" s="21" t="s">
        <v>4011</v>
      </c>
      <c r="U42" s="22" t="b">
        <f aca="false">FALSE()</f>
        <v>0</v>
      </c>
      <c r="V42" s="0" t="n">
        <v>0.7</v>
      </c>
      <c r="W42" s="0" t="n">
        <v>0.6</v>
      </c>
      <c r="X42" s="0" t="n">
        <v>6.79</v>
      </c>
      <c r="Y42" s="0" t="n">
        <v>319.18</v>
      </c>
      <c r="Z42" s="0" t="n">
        <v>8.75</v>
      </c>
      <c r="AA42" s="0" t="n">
        <v>1.65</v>
      </c>
      <c r="AB42" s="0" t="n">
        <v>7.48</v>
      </c>
      <c r="AC42" s="22" t="b">
        <f aca="false">FALSE()</f>
        <v>0</v>
      </c>
      <c r="AD42" s="0" t="n">
        <v>20.72</v>
      </c>
      <c r="AE42" s="0" t="n">
        <v>8.02</v>
      </c>
      <c r="AF42" s="0" t="n">
        <v>22.48</v>
      </c>
      <c r="AG42" s="22" t="b">
        <f aca="false">TRUE()</f>
        <v>1</v>
      </c>
      <c r="AH42" s="0" t="n">
        <v>1</v>
      </c>
    </row>
    <row r="43" customFormat="false" ht="15" hidden="false" customHeight="false" outlineLevel="0" collapsed="false">
      <c r="A43" s="0" t="s">
        <v>221</v>
      </c>
      <c r="B43" s="0" t="s">
        <v>134</v>
      </c>
      <c r="C43" s="0" t="s">
        <v>3450</v>
      </c>
      <c r="D43" s="0" t="s">
        <v>3448</v>
      </c>
      <c r="E43" s="19" t="s">
        <v>26</v>
      </c>
      <c r="F43" s="19" t="s">
        <v>32</v>
      </c>
      <c r="G43" s="21" t="s">
        <v>1926</v>
      </c>
      <c r="H43" s="21" t="s">
        <v>24</v>
      </c>
      <c r="I43" s="21" t="s">
        <v>26</v>
      </c>
      <c r="J43" s="21" t="s">
        <v>24</v>
      </c>
      <c r="K43" s="21" t="s">
        <v>25</v>
      </c>
      <c r="L43" s="21" t="s">
        <v>24</v>
      </c>
      <c r="M43" s="0" t="n">
        <v>183</v>
      </c>
      <c r="N43" s="0" t="n">
        <v>8</v>
      </c>
      <c r="O43" s="21" t="s">
        <v>4146</v>
      </c>
      <c r="P43" s="21" t="s">
        <v>4249</v>
      </c>
      <c r="Q43" s="0" t="n">
        <v>1</v>
      </c>
      <c r="R43" s="21" t="s">
        <v>69</v>
      </c>
      <c r="S43" s="0" t="n">
        <v>8</v>
      </c>
      <c r="T43" s="21" t="s">
        <v>4146</v>
      </c>
      <c r="U43" s="22" t="b">
        <f aca="false">FALSE()</f>
        <v>0</v>
      </c>
      <c r="V43" s="0" t="n">
        <v>0.69</v>
      </c>
      <c r="W43" s="0" t="n">
        <v>0.72</v>
      </c>
      <c r="X43" s="0" t="n">
        <v>6.61</v>
      </c>
      <c r="Y43" s="0" t="n">
        <v>321.18</v>
      </c>
      <c r="Z43" s="0" t="n">
        <v>8.5</v>
      </c>
      <c r="AA43" s="0" t="n">
        <v>12.9</v>
      </c>
      <c r="AB43" s="0" t="n">
        <v>2.92</v>
      </c>
      <c r="AC43" s="22" t="b">
        <f aca="false">FALSE()</f>
        <v>0</v>
      </c>
      <c r="AD43" s="0" t="n">
        <v>23.8</v>
      </c>
      <c r="AE43" s="0" t="n">
        <v>9.42</v>
      </c>
      <c r="AF43" s="0" t="n">
        <v>19.5</v>
      </c>
      <c r="AG43" s="22" t="b">
        <f aca="false">TRUE()</f>
        <v>1</v>
      </c>
      <c r="AH43" s="0" t="n">
        <v>1</v>
      </c>
    </row>
    <row r="44" customFormat="false" ht="15" hidden="false" customHeight="false" outlineLevel="0" collapsed="false">
      <c r="A44" s="0" t="s">
        <v>221</v>
      </c>
      <c r="B44" s="0" t="s">
        <v>134</v>
      </c>
      <c r="C44" s="0" t="s">
        <v>3447</v>
      </c>
      <c r="D44" s="0" t="s">
        <v>3457</v>
      </c>
      <c r="E44" s="20" t="s">
        <v>25</v>
      </c>
      <c r="F44" s="23" t="s">
        <v>30</v>
      </c>
      <c r="G44" s="21" t="s">
        <v>992</v>
      </c>
      <c r="H44" s="21" t="s">
        <v>24</v>
      </c>
      <c r="I44" s="21" t="s">
        <v>24</v>
      </c>
      <c r="J44" s="21" t="s">
        <v>24</v>
      </c>
      <c r="K44" s="21" t="s">
        <v>25</v>
      </c>
      <c r="L44" s="21" t="s">
        <v>24</v>
      </c>
      <c r="M44" s="0" t="n">
        <v>183</v>
      </c>
      <c r="N44" s="0" t="n">
        <v>2</v>
      </c>
      <c r="O44" s="21" t="s">
        <v>3499</v>
      </c>
      <c r="P44" s="21" t="s">
        <v>4250</v>
      </c>
      <c r="Q44" s="0" t="n">
        <v>0</v>
      </c>
      <c r="S44" s="0" t="n">
        <v>2</v>
      </c>
      <c r="T44" s="21" t="s">
        <v>3499</v>
      </c>
      <c r="U44" s="22" t="b">
        <f aca="false">TRUE()</f>
        <v>1</v>
      </c>
      <c r="V44" s="0" t="n">
        <v>0.82</v>
      </c>
      <c r="W44" s="0" t="n">
        <v>0.56</v>
      </c>
      <c r="X44" s="0" t="n">
        <v>7.42</v>
      </c>
      <c r="Y44" s="0" t="n">
        <v>324.47</v>
      </c>
      <c r="Z44" s="0" t="n">
        <v>10</v>
      </c>
      <c r="AA44" s="0" t="n">
        <v>2.09</v>
      </c>
      <c r="AB44" s="0" t="n">
        <v>7.48</v>
      </c>
      <c r="AC44" s="22" t="b">
        <f aca="false">FALSE()</f>
        <v>0</v>
      </c>
      <c r="AD44" s="0" t="n">
        <v>28.7</v>
      </c>
      <c r="AE44" s="0" t="n">
        <v>12.57</v>
      </c>
      <c r="AF44" s="0" t="n">
        <v>26.3</v>
      </c>
      <c r="AG44" s="22" t="b">
        <f aca="false">TRUE()</f>
        <v>1</v>
      </c>
      <c r="AH44" s="0" t="n">
        <v>1</v>
      </c>
    </row>
    <row r="45" customFormat="false" ht="15" hidden="false" customHeight="false" outlineLevel="0" collapsed="false">
      <c r="A45" s="0" t="s">
        <v>221</v>
      </c>
      <c r="B45" s="0" t="s">
        <v>134</v>
      </c>
      <c r="C45" s="0" t="s">
        <v>3447</v>
      </c>
      <c r="D45" s="0" t="s">
        <v>3448</v>
      </c>
      <c r="E45" s="20" t="s">
        <v>25</v>
      </c>
      <c r="F45" s="23" t="s">
        <v>30</v>
      </c>
      <c r="G45" s="21" t="s">
        <v>992</v>
      </c>
      <c r="H45" s="21" t="s">
        <v>24</v>
      </c>
      <c r="I45" s="21" t="s">
        <v>24</v>
      </c>
      <c r="J45" s="21" t="s">
        <v>24</v>
      </c>
      <c r="K45" s="21" t="s">
        <v>25</v>
      </c>
      <c r="L45" s="21" t="s">
        <v>24</v>
      </c>
      <c r="M45" s="0" t="n">
        <v>184</v>
      </c>
      <c r="N45" s="0" t="n">
        <v>1</v>
      </c>
      <c r="O45" s="21" t="s">
        <v>3481</v>
      </c>
      <c r="P45" s="21" t="s">
        <v>4251</v>
      </c>
      <c r="Q45" s="0" t="n">
        <v>0</v>
      </c>
      <c r="S45" s="0" t="n">
        <v>1</v>
      </c>
      <c r="T45" s="21" t="s">
        <v>3481</v>
      </c>
      <c r="U45" s="22" t="b">
        <f aca="false">TRUE()</f>
        <v>1</v>
      </c>
      <c r="V45" s="0" t="n">
        <v>0.81</v>
      </c>
      <c r="W45" s="0" t="n">
        <v>0</v>
      </c>
      <c r="X45" s="0" t="n">
        <v>7.15</v>
      </c>
      <c r="Y45" s="0" t="n">
        <v>726.04</v>
      </c>
      <c r="Z45" s="0" t="n">
        <v>8.67</v>
      </c>
      <c r="AA45" s="0" t="n">
        <v>6.2</v>
      </c>
      <c r="AB45" s="0" t="n">
        <v>2.92</v>
      </c>
      <c r="AC45" s="22" t="b">
        <f aca="false">FALSE()</f>
        <v>0</v>
      </c>
      <c r="AD45" s="0" t="n">
        <v>25.51</v>
      </c>
      <c r="AE45" s="0" t="n">
        <v>11.94</v>
      </c>
      <c r="AF45" s="0" t="n">
        <v>20.77</v>
      </c>
      <c r="AG45" s="22" t="b">
        <f aca="false">TRUE()</f>
        <v>1</v>
      </c>
      <c r="AH45" s="0" t="n">
        <v>1</v>
      </c>
    </row>
    <row r="46" customFormat="false" ht="15" hidden="false" customHeight="false" outlineLevel="0" collapsed="false">
      <c r="A46" s="0" t="s">
        <v>227</v>
      </c>
      <c r="B46" s="0" t="s">
        <v>134</v>
      </c>
      <c r="C46" s="0" t="s">
        <v>3450</v>
      </c>
      <c r="D46" s="0" t="s">
        <v>3457</v>
      </c>
      <c r="E46" s="18" t="s">
        <v>24</v>
      </c>
      <c r="F46" s="18" t="s">
        <v>28</v>
      </c>
      <c r="H46" s="21" t="s">
        <v>24</v>
      </c>
      <c r="I46" s="21" t="s">
        <v>24</v>
      </c>
      <c r="J46" s="21" t="s">
        <v>24</v>
      </c>
      <c r="K46" s="21" t="s">
        <v>24</v>
      </c>
      <c r="L46" s="21" t="s">
        <v>24</v>
      </c>
      <c r="M46" s="0" t="n">
        <v>183</v>
      </c>
      <c r="N46" s="0" t="n">
        <v>0</v>
      </c>
      <c r="Q46" s="0" t="n">
        <v>0</v>
      </c>
      <c r="S46" s="0" t="n">
        <v>0</v>
      </c>
      <c r="U46" s="22" t="b">
        <f aca="false">FALSE()</f>
        <v>0</v>
      </c>
      <c r="V46" s="0" t="n">
        <v>0.77</v>
      </c>
      <c r="W46" s="0" t="n">
        <v>0.72</v>
      </c>
      <c r="X46" s="0" t="n">
        <v>7.4</v>
      </c>
      <c r="Y46" s="0" t="n">
        <v>303.57</v>
      </c>
      <c r="Z46" s="0" t="n">
        <v>10.5</v>
      </c>
      <c r="AA46" s="0" t="n">
        <v>6.4</v>
      </c>
      <c r="AB46" s="0" t="n">
        <v>1.58</v>
      </c>
      <c r="AC46" s="22" t="b">
        <f aca="false">FALSE()</f>
        <v>0</v>
      </c>
      <c r="AD46" s="0" t="n">
        <v>13.95</v>
      </c>
      <c r="AE46" s="0" t="n">
        <v>0.4</v>
      </c>
      <c r="AF46" s="0" t="n">
        <v>9.96</v>
      </c>
      <c r="AG46" s="22" t="b">
        <f aca="false">TRUE()</f>
        <v>1</v>
      </c>
      <c r="AH46" s="0" t="n">
        <v>1</v>
      </c>
    </row>
    <row r="47" customFormat="false" ht="15" hidden="false" customHeight="false" outlineLevel="0" collapsed="false">
      <c r="A47" s="0" t="s">
        <v>227</v>
      </c>
      <c r="B47" s="0" t="s">
        <v>134</v>
      </c>
      <c r="C47" s="0" t="s">
        <v>3450</v>
      </c>
      <c r="D47" s="0" t="s">
        <v>3448</v>
      </c>
      <c r="E47" s="20" t="s">
        <v>25</v>
      </c>
      <c r="F47" s="20" t="s">
        <v>29</v>
      </c>
      <c r="G47" s="21" t="s">
        <v>3466</v>
      </c>
      <c r="H47" s="21" t="s">
        <v>24</v>
      </c>
      <c r="I47" s="21" t="s">
        <v>24</v>
      </c>
      <c r="J47" s="21" t="s">
        <v>24</v>
      </c>
      <c r="K47" s="21" t="s">
        <v>25</v>
      </c>
      <c r="L47" s="21" t="s">
        <v>24</v>
      </c>
      <c r="M47" s="0" t="n">
        <v>192</v>
      </c>
      <c r="N47" s="0" t="n">
        <v>0</v>
      </c>
      <c r="Q47" s="0" t="n">
        <v>0</v>
      </c>
      <c r="S47" s="0" t="n">
        <v>0</v>
      </c>
      <c r="U47" s="22" t="b">
        <f aca="false">FALSE()</f>
        <v>0</v>
      </c>
      <c r="V47" s="0" t="n">
        <v>0.78</v>
      </c>
      <c r="W47" s="0" t="n">
        <v>0.48</v>
      </c>
      <c r="X47" s="0" t="n">
        <v>7.97</v>
      </c>
      <c r="Y47" s="0" t="n">
        <v>342.34</v>
      </c>
      <c r="Z47" s="0" t="n">
        <v>10</v>
      </c>
      <c r="AA47" s="0" t="n">
        <v>3</v>
      </c>
      <c r="AB47" s="0" t="n">
        <v>1.07</v>
      </c>
      <c r="AC47" s="22" t="b">
        <f aca="false">TRUE()</f>
        <v>1</v>
      </c>
      <c r="AD47" s="0" t="n">
        <v>10.3</v>
      </c>
      <c r="AE47" s="0" t="n">
        <v>0.91</v>
      </c>
      <c r="AF47" s="0" t="n">
        <v>14.46</v>
      </c>
      <c r="AG47" s="22" t="b">
        <f aca="false">TRUE()</f>
        <v>1</v>
      </c>
      <c r="AH47" s="0" t="n">
        <v>1</v>
      </c>
    </row>
    <row r="48" customFormat="false" ht="15" hidden="false" customHeight="false" outlineLevel="0" collapsed="false">
      <c r="A48" s="0" t="s">
        <v>227</v>
      </c>
      <c r="B48" s="0" t="s">
        <v>134</v>
      </c>
      <c r="C48" s="0" t="s">
        <v>3447</v>
      </c>
      <c r="D48" s="0" t="s">
        <v>3457</v>
      </c>
      <c r="E48" s="19" t="s">
        <v>26</v>
      </c>
      <c r="F48" s="19" t="s">
        <v>32</v>
      </c>
      <c r="G48" s="21" t="s">
        <v>529</v>
      </c>
      <c r="H48" s="21" t="s">
        <v>24</v>
      </c>
      <c r="I48" s="21" t="s">
        <v>26</v>
      </c>
      <c r="J48" s="21" t="s">
        <v>24</v>
      </c>
      <c r="K48" s="21" t="s">
        <v>24</v>
      </c>
      <c r="L48" s="21" t="s">
        <v>24</v>
      </c>
      <c r="M48" s="0" t="n">
        <v>184</v>
      </c>
      <c r="N48" s="0" t="n">
        <v>11</v>
      </c>
      <c r="O48" s="21" t="s">
        <v>4034</v>
      </c>
      <c r="P48" s="21" t="s">
        <v>4252</v>
      </c>
      <c r="Q48" s="0" t="n">
        <v>1</v>
      </c>
      <c r="R48" s="21" t="s">
        <v>69</v>
      </c>
      <c r="S48" s="0" t="n">
        <v>11</v>
      </c>
      <c r="T48" s="21" t="s">
        <v>4034</v>
      </c>
      <c r="U48" s="22" t="b">
        <f aca="false">FALSE()</f>
        <v>0</v>
      </c>
      <c r="V48" s="0" t="n">
        <v>0.78</v>
      </c>
      <c r="W48" s="0" t="n">
        <v>0.6</v>
      </c>
      <c r="X48" s="0" t="n">
        <v>8.56</v>
      </c>
      <c r="Y48" s="0" t="n">
        <v>316.75</v>
      </c>
      <c r="Z48" s="0" t="n">
        <v>10.83</v>
      </c>
      <c r="AA48" s="0" t="n">
        <v>0.03</v>
      </c>
      <c r="AB48" s="0" t="n">
        <v>1.58</v>
      </c>
      <c r="AC48" s="22" t="b">
        <f aca="false">FALSE()</f>
        <v>0</v>
      </c>
      <c r="AD48" s="0" t="n">
        <v>10.99</v>
      </c>
      <c r="AE48" s="0" t="n">
        <v>0.76</v>
      </c>
      <c r="AF48" s="0" t="n">
        <v>8.77</v>
      </c>
      <c r="AG48" s="22" t="b">
        <f aca="false">TRUE()</f>
        <v>1</v>
      </c>
      <c r="AH48" s="0" t="n">
        <v>1</v>
      </c>
    </row>
    <row r="49" customFormat="false" ht="15" hidden="false" customHeight="false" outlineLevel="0" collapsed="false">
      <c r="A49" s="0" t="s">
        <v>227</v>
      </c>
      <c r="B49" s="0" t="s">
        <v>134</v>
      </c>
      <c r="C49" s="0" t="s">
        <v>3447</v>
      </c>
      <c r="D49" s="0" t="s">
        <v>3448</v>
      </c>
      <c r="E49" s="19" t="s">
        <v>26</v>
      </c>
      <c r="F49" s="19" t="s">
        <v>32</v>
      </c>
      <c r="G49" s="21" t="s">
        <v>3885</v>
      </c>
      <c r="H49" s="21" t="s">
        <v>24</v>
      </c>
      <c r="I49" s="21" t="s">
        <v>26</v>
      </c>
      <c r="J49" s="21" t="s">
        <v>24</v>
      </c>
      <c r="K49" s="21" t="s">
        <v>25</v>
      </c>
      <c r="L49" s="21" t="s">
        <v>24</v>
      </c>
      <c r="M49" s="0" t="n">
        <v>183</v>
      </c>
      <c r="N49" s="0" t="n">
        <v>11</v>
      </c>
      <c r="O49" s="21" t="s">
        <v>3925</v>
      </c>
      <c r="P49" s="21" t="s">
        <v>4253</v>
      </c>
      <c r="Q49" s="0" t="n">
        <v>0</v>
      </c>
      <c r="S49" s="0" t="n">
        <v>11</v>
      </c>
      <c r="T49" s="21" t="s">
        <v>3925</v>
      </c>
      <c r="U49" s="22" t="b">
        <f aca="false">FALSE()</f>
        <v>0</v>
      </c>
      <c r="V49" s="0" t="n">
        <v>0.79</v>
      </c>
      <c r="W49" s="0" t="n">
        <v>0.6</v>
      </c>
      <c r="X49" s="0" t="n">
        <v>10.04</v>
      </c>
      <c r="Y49" s="0" t="n">
        <v>310.02</v>
      </c>
      <c r="Z49" s="0" t="n">
        <v>10.33</v>
      </c>
      <c r="AA49" s="0" t="n">
        <v>6.02</v>
      </c>
      <c r="AB49" s="0" t="n">
        <v>1.07</v>
      </c>
      <c r="AC49" s="22" t="b">
        <f aca="false">FALSE()</f>
        <v>0</v>
      </c>
      <c r="AD49" s="0" t="n">
        <v>13.17</v>
      </c>
      <c r="AE49" s="0" t="n">
        <v>1.19</v>
      </c>
      <c r="AF49" s="0" t="n">
        <v>14.45</v>
      </c>
      <c r="AG49" s="22" t="b">
        <f aca="false">TRUE()</f>
        <v>1</v>
      </c>
      <c r="AH49" s="0" t="n">
        <v>1</v>
      </c>
    </row>
    <row r="50" customFormat="false" ht="15" hidden="false" customHeight="false" outlineLevel="0" collapsed="false">
      <c r="A50" s="0" t="s">
        <v>235</v>
      </c>
      <c r="B50" s="0" t="s">
        <v>134</v>
      </c>
      <c r="C50" s="0" t="s">
        <v>3450</v>
      </c>
      <c r="D50" s="0" t="s">
        <v>3457</v>
      </c>
      <c r="E50" s="19" t="s">
        <v>26</v>
      </c>
      <c r="F50" s="19" t="s">
        <v>32</v>
      </c>
      <c r="G50" s="21" t="s">
        <v>1409</v>
      </c>
      <c r="H50" s="21" t="s">
        <v>24</v>
      </c>
      <c r="I50" s="21" t="s">
        <v>26</v>
      </c>
      <c r="J50" s="21" t="s">
        <v>24</v>
      </c>
      <c r="K50" s="21" t="s">
        <v>25</v>
      </c>
      <c r="L50" s="21" t="s">
        <v>24</v>
      </c>
      <c r="M50" s="0" t="n">
        <v>182</v>
      </c>
      <c r="N50" s="0" t="n">
        <v>10</v>
      </c>
      <c r="O50" s="21" t="s">
        <v>4163</v>
      </c>
      <c r="P50" s="21" t="s">
        <v>4254</v>
      </c>
      <c r="Q50" s="0" t="n">
        <v>1</v>
      </c>
      <c r="R50" s="21" t="s">
        <v>69</v>
      </c>
      <c r="S50" s="0" t="n">
        <v>9</v>
      </c>
      <c r="T50" s="21" t="s">
        <v>4255</v>
      </c>
      <c r="U50" s="22" t="b">
        <f aca="false">FALSE()</f>
        <v>0</v>
      </c>
      <c r="V50" s="0" t="n">
        <v>0.63</v>
      </c>
      <c r="W50" s="0" t="n">
        <v>0.64</v>
      </c>
      <c r="X50" s="0" t="n">
        <v>5.89</v>
      </c>
      <c r="Y50" s="0" t="n">
        <v>303.7</v>
      </c>
      <c r="Z50" s="0" t="n">
        <v>10.5</v>
      </c>
      <c r="AA50" s="0" t="n">
        <v>0.67</v>
      </c>
      <c r="AB50" s="0" t="n">
        <v>0.95</v>
      </c>
      <c r="AC50" s="22" t="b">
        <f aca="false">TRUE()</f>
        <v>1</v>
      </c>
      <c r="AD50" s="0" t="n">
        <v>7.6</v>
      </c>
      <c r="AE50" s="0" t="n">
        <v>0.77</v>
      </c>
      <c r="AF50" s="0" t="n">
        <v>13.67</v>
      </c>
      <c r="AG50" s="22" t="b">
        <f aca="false">FALSE()</f>
        <v>0</v>
      </c>
      <c r="AH50" s="0" t="n">
        <v>1</v>
      </c>
    </row>
    <row r="51" customFormat="false" ht="15" hidden="false" customHeight="false" outlineLevel="0" collapsed="false">
      <c r="A51" s="0" t="s">
        <v>235</v>
      </c>
      <c r="B51" s="0" t="s">
        <v>134</v>
      </c>
      <c r="C51" s="0" t="s">
        <v>3450</v>
      </c>
      <c r="D51" s="0" t="s">
        <v>3448</v>
      </c>
      <c r="E51" s="20" t="s">
        <v>25</v>
      </c>
      <c r="F51" s="23" t="s">
        <v>30</v>
      </c>
      <c r="G51" s="21" t="s">
        <v>1152</v>
      </c>
      <c r="H51" s="21" t="s">
        <v>24</v>
      </c>
      <c r="I51" s="21" t="s">
        <v>25</v>
      </c>
      <c r="J51" s="21" t="s">
        <v>24</v>
      </c>
      <c r="K51" s="21" t="s">
        <v>25</v>
      </c>
      <c r="L51" s="21" t="s">
        <v>24</v>
      </c>
      <c r="M51" s="0" t="n">
        <v>185</v>
      </c>
      <c r="N51" s="0" t="n">
        <v>6</v>
      </c>
      <c r="O51" s="21" t="s">
        <v>3865</v>
      </c>
      <c r="P51" s="21" t="s">
        <v>4256</v>
      </c>
      <c r="Q51" s="0" t="n">
        <v>1</v>
      </c>
      <c r="R51" s="21" t="s">
        <v>69</v>
      </c>
      <c r="S51" s="0" t="n">
        <v>6</v>
      </c>
      <c r="T51" s="21" t="s">
        <v>3865</v>
      </c>
      <c r="U51" s="22" t="b">
        <f aca="false">TRUE()</f>
        <v>1</v>
      </c>
      <c r="V51" s="0" t="n">
        <v>0.65</v>
      </c>
      <c r="W51" s="0" t="n">
        <v>0.92</v>
      </c>
      <c r="X51" s="0" t="n">
        <v>6.14</v>
      </c>
      <c r="Y51" s="0" t="n">
        <v>318.36</v>
      </c>
      <c r="Z51" s="0" t="n">
        <v>8.5</v>
      </c>
      <c r="AA51" s="0" t="n">
        <v>5.88</v>
      </c>
      <c r="AB51" s="0" t="n">
        <v>0.61</v>
      </c>
      <c r="AC51" s="22" t="b">
        <f aca="false">FALSE()</f>
        <v>0</v>
      </c>
      <c r="AD51" s="0" t="n">
        <v>9.86</v>
      </c>
      <c r="AE51" s="0" t="n">
        <v>0.98</v>
      </c>
      <c r="AF51" s="0" t="n">
        <v>11.12</v>
      </c>
      <c r="AG51" s="22" t="b">
        <f aca="false">FALSE()</f>
        <v>0</v>
      </c>
      <c r="AH51" s="0" t="n">
        <v>1</v>
      </c>
    </row>
    <row r="52" customFormat="false" ht="15" hidden="false" customHeight="false" outlineLevel="0" collapsed="false">
      <c r="A52" s="0" t="s">
        <v>235</v>
      </c>
      <c r="B52" s="0" t="s">
        <v>134</v>
      </c>
      <c r="C52" s="0" t="s">
        <v>3447</v>
      </c>
      <c r="D52" s="0" t="s">
        <v>3457</v>
      </c>
      <c r="E52" s="20" t="s">
        <v>25</v>
      </c>
      <c r="F52" s="23" t="s">
        <v>30</v>
      </c>
      <c r="G52" s="21" t="s">
        <v>2610</v>
      </c>
      <c r="H52" s="21" t="s">
        <v>24</v>
      </c>
      <c r="I52" s="21" t="s">
        <v>24</v>
      </c>
      <c r="J52" s="21" t="s">
        <v>24</v>
      </c>
      <c r="K52" s="21" t="s">
        <v>25</v>
      </c>
      <c r="L52" s="21" t="s">
        <v>24</v>
      </c>
      <c r="M52" s="0" t="n">
        <v>206</v>
      </c>
      <c r="N52" s="0" t="n">
        <v>5</v>
      </c>
      <c r="O52" s="21" t="s">
        <v>3715</v>
      </c>
      <c r="P52" s="21" t="s">
        <v>4257</v>
      </c>
      <c r="Q52" s="0" t="n">
        <v>0</v>
      </c>
      <c r="S52" s="0" t="n">
        <v>4</v>
      </c>
      <c r="T52" s="21" t="s">
        <v>4258</v>
      </c>
      <c r="U52" s="22" t="b">
        <f aca="false">TRUE()</f>
        <v>1</v>
      </c>
      <c r="V52" s="0" t="n">
        <v>0.72</v>
      </c>
      <c r="W52" s="0" t="n">
        <v>0.68</v>
      </c>
      <c r="X52" s="0" t="n">
        <v>7.57</v>
      </c>
      <c r="Y52" s="0" t="n">
        <v>338.56</v>
      </c>
      <c r="Z52" s="0" t="n">
        <v>8.17</v>
      </c>
      <c r="AA52" s="0" t="n">
        <v>-0.57</v>
      </c>
      <c r="AB52" s="0" t="n">
        <v>0.95</v>
      </c>
      <c r="AC52" s="22" t="b">
        <f aca="false">FALSE()</f>
        <v>0</v>
      </c>
      <c r="AD52" s="0" t="n">
        <v>7.41</v>
      </c>
      <c r="AE52" s="0" t="n">
        <v>0.45</v>
      </c>
      <c r="AF52" s="0" t="n">
        <v>11.23</v>
      </c>
      <c r="AG52" s="22" t="b">
        <f aca="false">FALSE()</f>
        <v>0</v>
      </c>
      <c r="AH52" s="0" t="n">
        <v>1</v>
      </c>
    </row>
    <row r="53" customFormat="false" ht="15" hidden="false" customHeight="false" outlineLevel="0" collapsed="false">
      <c r="A53" s="0" t="s">
        <v>235</v>
      </c>
      <c r="B53" s="0" t="s">
        <v>134</v>
      </c>
      <c r="C53" s="0" t="s">
        <v>3447</v>
      </c>
      <c r="D53" s="0" t="s">
        <v>3448</v>
      </c>
      <c r="E53" s="20" t="s">
        <v>25</v>
      </c>
      <c r="F53" s="23" t="s">
        <v>30</v>
      </c>
      <c r="G53" s="21" t="s">
        <v>2610</v>
      </c>
      <c r="H53" s="21" t="s">
        <v>24</v>
      </c>
      <c r="I53" s="21" t="s">
        <v>24</v>
      </c>
      <c r="J53" s="21" t="s">
        <v>24</v>
      </c>
      <c r="K53" s="21" t="s">
        <v>25</v>
      </c>
      <c r="L53" s="21" t="s">
        <v>24</v>
      </c>
      <c r="M53" s="0" t="n">
        <v>182</v>
      </c>
      <c r="N53" s="0" t="n">
        <v>2</v>
      </c>
      <c r="O53" s="21" t="s">
        <v>3522</v>
      </c>
      <c r="P53" s="21" t="s">
        <v>4236</v>
      </c>
      <c r="Q53" s="0" t="n">
        <v>0</v>
      </c>
      <c r="S53" s="0" t="n">
        <v>2</v>
      </c>
      <c r="T53" s="21" t="s">
        <v>3522</v>
      </c>
      <c r="U53" s="22" t="b">
        <f aca="false">TRUE()</f>
        <v>1</v>
      </c>
      <c r="V53" s="0" t="n">
        <v>0.76</v>
      </c>
      <c r="W53" s="0" t="n">
        <v>0.44</v>
      </c>
      <c r="X53" s="0" t="n">
        <v>8.05</v>
      </c>
      <c r="Y53" s="0" t="n">
        <v>335.16</v>
      </c>
      <c r="Z53" s="0" t="n">
        <v>9.08</v>
      </c>
      <c r="AA53" s="0" t="n">
        <v>0.48</v>
      </c>
      <c r="AB53" s="0" t="n">
        <v>0.61</v>
      </c>
      <c r="AC53" s="22" t="b">
        <f aca="false">FALSE()</f>
        <v>0</v>
      </c>
      <c r="AD53" s="0" t="n">
        <v>7.48</v>
      </c>
      <c r="AE53" s="0" t="n">
        <v>1.91</v>
      </c>
      <c r="AF53" s="0" t="n">
        <v>10.4</v>
      </c>
      <c r="AG53" s="22" t="b">
        <f aca="false">FALSE()</f>
        <v>0</v>
      </c>
      <c r="AH53" s="0" t="n">
        <v>1</v>
      </c>
    </row>
    <row r="54" customFormat="false" ht="15" hidden="false" customHeight="false" outlineLevel="0" collapsed="false">
      <c r="A54" s="0" t="s">
        <v>248</v>
      </c>
      <c r="B54" s="0" t="s">
        <v>134</v>
      </c>
      <c r="C54" s="0" t="s">
        <v>3450</v>
      </c>
      <c r="D54" s="0" t="s">
        <v>3457</v>
      </c>
      <c r="E54" s="18" t="s">
        <v>24</v>
      </c>
      <c r="F54" s="18" t="s">
        <v>28</v>
      </c>
      <c r="H54" s="21" t="s">
        <v>24</v>
      </c>
      <c r="I54" s="21" t="s">
        <v>24</v>
      </c>
      <c r="J54" s="21" t="s">
        <v>24</v>
      </c>
      <c r="K54" s="21" t="s">
        <v>24</v>
      </c>
      <c r="L54" s="21" t="s">
        <v>24</v>
      </c>
      <c r="M54" s="0" t="n">
        <v>183</v>
      </c>
      <c r="N54" s="0" t="n">
        <v>0</v>
      </c>
      <c r="Q54" s="0" t="n">
        <v>0</v>
      </c>
      <c r="S54" s="0" t="n">
        <v>0</v>
      </c>
      <c r="U54" s="22" t="b">
        <f aca="false">FALSE()</f>
        <v>0</v>
      </c>
      <c r="V54" s="0" t="n">
        <v>0.75</v>
      </c>
      <c r="W54" s="0" t="n">
        <v>0.52</v>
      </c>
      <c r="X54" s="0" t="n">
        <v>8.69</v>
      </c>
      <c r="Y54" s="0" t="n">
        <v>305.99</v>
      </c>
      <c r="Z54" s="0" t="n">
        <v>11.83</v>
      </c>
      <c r="AA54" s="0" t="n">
        <v>11.37</v>
      </c>
      <c r="AB54" s="0" t="n">
        <v>1.54</v>
      </c>
      <c r="AC54" s="22" t="b">
        <f aca="false">FALSE()</f>
        <v>0</v>
      </c>
      <c r="AD54" s="0" t="n">
        <v>12.67</v>
      </c>
      <c r="AE54" s="0" t="n">
        <v>3.83</v>
      </c>
      <c r="AF54" s="0" t="n">
        <v>5.06</v>
      </c>
      <c r="AG54" s="22" t="b">
        <f aca="false">TRUE()</f>
        <v>1</v>
      </c>
      <c r="AH54" s="0" t="n">
        <v>1</v>
      </c>
    </row>
    <row r="55" customFormat="false" ht="15" hidden="false" customHeight="false" outlineLevel="0" collapsed="false">
      <c r="A55" s="0" t="s">
        <v>248</v>
      </c>
      <c r="B55" s="0" t="s">
        <v>134</v>
      </c>
      <c r="C55" s="0" t="s">
        <v>3450</v>
      </c>
      <c r="D55" s="0" t="s">
        <v>3448</v>
      </c>
      <c r="E55" s="20" t="s">
        <v>25</v>
      </c>
      <c r="F55" s="23" t="s">
        <v>30</v>
      </c>
      <c r="G55" s="21" t="s">
        <v>144</v>
      </c>
      <c r="H55" s="21" t="s">
        <v>24</v>
      </c>
      <c r="I55" s="21" t="s">
        <v>24</v>
      </c>
      <c r="J55" s="21" t="s">
        <v>24</v>
      </c>
      <c r="K55" s="21" t="s">
        <v>25</v>
      </c>
      <c r="L55" s="21" t="s">
        <v>24</v>
      </c>
      <c r="M55" s="0" t="n">
        <v>213</v>
      </c>
      <c r="N55" s="0" t="n">
        <v>1</v>
      </c>
      <c r="O55" s="21" t="s">
        <v>3488</v>
      </c>
      <c r="P55" s="21" t="s">
        <v>4259</v>
      </c>
      <c r="Q55" s="0" t="n">
        <v>0</v>
      </c>
      <c r="S55" s="0" t="n">
        <v>1</v>
      </c>
      <c r="T55" s="21" t="s">
        <v>3488</v>
      </c>
      <c r="U55" s="22" t="b">
        <f aca="false">TRUE()</f>
        <v>1</v>
      </c>
      <c r="V55" s="0" t="n">
        <v>0.77</v>
      </c>
      <c r="W55" s="0" t="n">
        <v>0</v>
      </c>
      <c r="X55" s="0" t="n">
        <v>8.47</v>
      </c>
      <c r="Y55" s="0" t="n">
        <v>0.73</v>
      </c>
      <c r="Z55" s="0" t="n">
        <v>10.42</v>
      </c>
      <c r="AA55" s="0" t="n">
        <v>8.42</v>
      </c>
      <c r="AB55" s="0" t="n">
        <v>1.25</v>
      </c>
      <c r="AC55" s="22" t="b">
        <f aca="false">FALSE()</f>
        <v>0</v>
      </c>
      <c r="AD55" s="0" t="n">
        <v>22.09</v>
      </c>
      <c r="AE55" s="0" t="n">
        <v>7.13</v>
      </c>
      <c r="AF55" s="0" t="n">
        <v>18.18</v>
      </c>
      <c r="AG55" s="22" t="b">
        <f aca="false">TRUE()</f>
        <v>1</v>
      </c>
      <c r="AH55" s="0" t="n">
        <v>0</v>
      </c>
    </row>
    <row r="56" customFormat="false" ht="15" hidden="false" customHeight="false" outlineLevel="0" collapsed="false">
      <c r="A56" s="0" t="s">
        <v>248</v>
      </c>
      <c r="B56" s="0" t="s">
        <v>134</v>
      </c>
      <c r="C56" s="0" t="s">
        <v>3447</v>
      </c>
      <c r="D56" s="0" t="s">
        <v>3457</v>
      </c>
      <c r="E56" s="18" t="s">
        <v>24</v>
      </c>
      <c r="F56" s="23" t="s">
        <v>30</v>
      </c>
      <c r="G56" s="21" t="s">
        <v>30</v>
      </c>
      <c r="H56" s="21" t="s">
        <v>24</v>
      </c>
      <c r="I56" s="21" t="s">
        <v>24</v>
      </c>
      <c r="J56" s="21" t="s">
        <v>24</v>
      </c>
      <c r="K56" s="21" t="s">
        <v>24</v>
      </c>
      <c r="L56" s="21" t="s">
        <v>24</v>
      </c>
      <c r="M56" s="0" t="n">
        <v>184</v>
      </c>
      <c r="N56" s="0" t="n">
        <v>4</v>
      </c>
      <c r="O56" s="21" t="s">
        <v>3609</v>
      </c>
      <c r="P56" s="21" t="s">
        <v>4260</v>
      </c>
      <c r="Q56" s="0" t="n">
        <v>0</v>
      </c>
      <c r="S56" s="0" t="n">
        <v>4</v>
      </c>
      <c r="T56" s="21" t="s">
        <v>3609</v>
      </c>
      <c r="U56" s="22" t="b">
        <f aca="false">TRUE()</f>
        <v>1</v>
      </c>
      <c r="V56" s="0" t="n">
        <v>0.84</v>
      </c>
      <c r="W56" s="0" t="n">
        <v>0.76</v>
      </c>
      <c r="X56" s="0" t="n">
        <v>11.06</v>
      </c>
      <c r="Y56" s="0" t="n">
        <v>302.39</v>
      </c>
      <c r="Z56" s="0" t="n">
        <v>8.5</v>
      </c>
      <c r="AA56" s="0" t="n">
        <v>3.02</v>
      </c>
      <c r="AB56" s="0" t="n">
        <v>1.54</v>
      </c>
      <c r="AC56" s="22" t="b">
        <f aca="false">FALSE()</f>
        <v>0</v>
      </c>
      <c r="AD56" s="0" t="n">
        <v>9.97</v>
      </c>
      <c r="AE56" s="0" t="n">
        <v>3.18</v>
      </c>
      <c r="AF56" s="0" t="n">
        <v>6.05</v>
      </c>
      <c r="AG56" s="22" t="b">
        <f aca="false">FALSE()</f>
        <v>0</v>
      </c>
      <c r="AH56" s="0" t="n">
        <v>1</v>
      </c>
    </row>
    <row r="57" customFormat="false" ht="15" hidden="false" customHeight="false" outlineLevel="0" collapsed="false">
      <c r="A57" s="0" t="s">
        <v>248</v>
      </c>
      <c r="B57" s="0" t="s">
        <v>134</v>
      </c>
      <c r="C57" s="0" t="s">
        <v>3447</v>
      </c>
      <c r="D57" s="0" t="s">
        <v>3448</v>
      </c>
      <c r="E57" s="20" t="s">
        <v>25</v>
      </c>
      <c r="F57" s="23" t="s">
        <v>30</v>
      </c>
      <c r="G57" s="21" t="s">
        <v>2133</v>
      </c>
      <c r="H57" s="21" t="s">
        <v>24</v>
      </c>
      <c r="I57" s="21" t="s">
        <v>24</v>
      </c>
      <c r="J57" s="21" t="s">
        <v>24</v>
      </c>
      <c r="K57" s="21" t="s">
        <v>25</v>
      </c>
      <c r="L57" s="21" t="s">
        <v>24</v>
      </c>
      <c r="M57" s="0" t="n">
        <v>185</v>
      </c>
      <c r="N57" s="0" t="n">
        <v>4</v>
      </c>
      <c r="O57" s="21" t="s">
        <v>3613</v>
      </c>
      <c r="P57" s="21" t="s">
        <v>4261</v>
      </c>
      <c r="Q57" s="0" t="n">
        <v>0</v>
      </c>
      <c r="S57" s="0" t="n">
        <v>4</v>
      </c>
      <c r="T57" s="21" t="s">
        <v>3613</v>
      </c>
      <c r="U57" s="22" t="b">
        <f aca="false">TRUE()</f>
        <v>1</v>
      </c>
      <c r="V57" s="0" t="n">
        <v>0.81</v>
      </c>
      <c r="W57" s="0" t="n">
        <v>0</v>
      </c>
      <c r="X57" s="0" t="n">
        <v>14.17</v>
      </c>
      <c r="Y57" s="0" t="n">
        <v>608.5</v>
      </c>
      <c r="Z57" s="0" t="n">
        <v>8.33</v>
      </c>
      <c r="AA57" s="0" t="n">
        <v>9.34</v>
      </c>
      <c r="AB57" s="0" t="n">
        <v>1.25</v>
      </c>
      <c r="AC57" s="22" t="b">
        <f aca="false">FALSE()</f>
        <v>0</v>
      </c>
      <c r="AD57" s="0" t="n">
        <v>18.41</v>
      </c>
      <c r="AE57" s="0" t="n">
        <v>3.88</v>
      </c>
      <c r="AF57" s="0" t="n">
        <v>12.83</v>
      </c>
      <c r="AG57" s="22" t="b">
        <f aca="false">TRUE()</f>
        <v>1</v>
      </c>
      <c r="AH57" s="0" t="n">
        <v>1</v>
      </c>
    </row>
    <row r="58" customFormat="false" ht="15" hidden="false" customHeight="false" outlineLevel="0" collapsed="false">
      <c r="A58" s="0" t="s">
        <v>253</v>
      </c>
      <c r="B58" s="0" t="s">
        <v>134</v>
      </c>
      <c r="C58" s="0" t="s">
        <v>3450</v>
      </c>
      <c r="D58" s="0" t="s">
        <v>3457</v>
      </c>
      <c r="E58" s="20" t="s">
        <v>25</v>
      </c>
      <c r="F58" s="23" t="s">
        <v>30</v>
      </c>
      <c r="G58" s="21" t="s">
        <v>283</v>
      </c>
      <c r="H58" s="21" t="s">
        <v>24</v>
      </c>
      <c r="I58" s="21" t="s">
        <v>25</v>
      </c>
      <c r="J58" s="21" t="s">
        <v>24</v>
      </c>
      <c r="K58" s="21" t="s">
        <v>24</v>
      </c>
      <c r="L58" s="21" t="s">
        <v>24</v>
      </c>
      <c r="M58" s="0" t="n">
        <v>182</v>
      </c>
      <c r="N58" s="0" t="n">
        <v>6</v>
      </c>
      <c r="O58" s="21" t="s">
        <v>3845</v>
      </c>
      <c r="P58" s="21" t="s">
        <v>4262</v>
      </c>
      <c r="Q58" s="0" t="n">
        <v>1</v>
      </c>
      <c r="R58" s="21" t="s">
        <v>69</v>
      </c>
      <c r="S58" s="0" t="n">
        <v>6</v>
      </c>
      <c r="T58" s="21" t="s">
        <v>3845</v>
      </c>
      <c r="U58" s="22" t="b">
        <f aca="false">TRUE()</f>
        <v>1</v>
      </c>
      <c r="V58" s="0" t="n">
        <v>0.74</v>
      </c>
      <c r="W58" s="0" t="n">
        <v>0.72</v>
      </c>
      <c r="X58" s="0" t="n">
        <v>9.94</v>
      </c>
      <c r="Y58" s="0" t="n">
        <v>263.93</v>
      </c>
      <c r="Z58" s="0" t="n">
        <v>9</v>
      </c>
      <c r="AA58" s="0" t="n">
        <v>11.41</v>
      </c>
      <c r="AB58" s="0" t="n">
        <v>3.66</v>
      </c>
      <c r="AC58" s="22" t="b">
        <f aca="false">FALSE()</f>
        <v>0</v>
      </c>
      <c r="AD58" s="0" t="n">
        <v>9.38</v>
      </c>
      <c r="AE58" s="0" t="n">
        <v>0.74</v>
      </c>
      <c r="AF58" s="0" t="n">
        <v>1.29</v>
      </c>
      <c r="AG58" s="22" t="b">
        <f aca="false">FALSE()</f>
        <v>0</v>
      </c>
      <c r="AH58" s="0" t="n">
        <v>1</v>
      </c>
    </row>
    <row r="59" customFormat="false" ht="15" hidden="false" customHeight="false" outlineLevel="0" collapsed="false">
      <c r="A59" s="0" t="s">
        <v>253</v>
      </c>
      <c r="B59" s="0" t="s">
        <v>134</v>
      </c>
      <c r="C59" s="0" t="s">
        <v>3450</v>
      </c>
      <c r="D59" s="0" t="s">
        <v>3448</v>
      </c>
      <c r="E59" s="19" t="s">
        <v>26</v>
      </c>
      <c r="F59" s="19" t="s">
        <v>32</v>
      </c>
      <c r="G59" s="21" t="s">
        <v>60</v>
      </c>
      <c r="H59" s="21" t="s">
        <v>24</v>
      </c>
      <c r="I59" s="21" t="s">
        <v>26</v>
      </c>
      <c r="J59" s="21" t="s">
        <v>24</v>
      </c>
      <c r="K59" s="21" t="s">
        <v>24</v>
      </c>
      <c r="L59" s="21" t="s">
        <v>24</v>
      </c>
      <c r="M59" s="0" t="n">
        <v>184</v>
      </c>
      <c r="N59" s="0" t="n">
        <v>7</v>
      </c>
      <c r="O59" s="21" t="s">
        <v>3906</v>
      </c>
      <c r="P59" s="21" t="s">
        <v>4263</v>
      </c>
      <c r="Q59" s="0" t="n">
        <v>0</v>
      </c>
      <c r="S59" s="0" t="n">
        <v>7</v>
      </c>
      <c r="T59" s="21" t="s">
        <v>3906</v>
      </c>
      <c r="U59" s="22" t="b">
        <f aca="false">FALSE()</f>
        <v>0</v>
      </c>
      <c r="V59" s="0" t="n">
        <v>0.74</v>
      </c>
      <c r="W59" s="0" t="n">
        <v>0.12</v>
      </c>
      <c r="X59" s="0" t="n">
        <v>13.17</v>
      </c>
      <c r="Y59" s="0" t="n">
        <v>624.77</v>
      </c>
      <c r="Z59" s="0" t="n">
        <v>8.83</v>
      </c>
      <c r="AA59" s="0" t="n">
        <v>8.7</v>
      </c>
      <c r="AB59" s="0" t="n">
        <v>2.09</v>
      </c>
      <c r="AC59" s="22" t="b">
        <f aca="false">FALSE()</f>
        <v>0</v>
      </c>
      <c r="AD59" s="0" t="n">
        <v>17.05</v>
      </c>
      <c r="AE59" s="0" t="n">
        <v>0.47</v>
      </c>
      <c r="AF59" s="0" t="n">
        <v>16.08</v>
      </c>
      <c r="AG59" s="22" t="b">
        <f aca="false">TRUE()</f>
        <v>1</v>
      </c>
      <c r="AH59" s="0" t="n">
        <v>1</v>
      </c>
    </row>
    <row r="60" customFormat="false" ht="15" hidden="false" customHeight="false" outlineLevel="0" collapsed="false">
      <c r="A60" s="0" t="s">
        <v>253</v>
      </c>
      <c r="B60" s="0" t="s">
        <v>134</v>
      </c>
      <c r="C60" s="0" t="s">
        <v>3447</v>
      </c>
      <c r="D60" s="0" t="s">
        <v>3457</v>
      </c>
      <c r="E60" s="20" t="s">
        <v>25</v>
      </c>
      <c r="F60" s="23" t="s">
        <v>30</v>
      </c>
      <c r="G60" s="21" t="s">
        <v>283</v>
      </c>
      <c r="H60" s="21" t="s">
        <v>24</v>
      </c>
      <c r="I60" s="21" t="s">
        <v>25</v>
      </c>
      <c r="J60" s="21" t="s">
        <v>24</v>
      </c>
      <c r="K60" s="21" t="s">
        <v>24</v>
      </c>
      <c r="L60" s="21" t="s">
        <v>24</v>
      </c>
      <c r="M60" s="0" t="n">
        <v>184</v>
      </c>
      <c r="N60" s="0" t="n">
        <v>3</v>
      </c>
      <c r="O60" s="21" t="s">
        <v>3649</v>
      </c>
      <c r="P60" s="21" t="s">
        <v>4242</v>
      </c>
      <c r="Q60" s="0" t="n">
        <v>1</v>
      </c>
      <c r="R60" s="21" t="s">
        <v>69</v>
      </c>
      <c r="S60" s="0" t="n">
        <v>3</v>
      </c>
      <c r="T60" s="21" t="s">
        <v>3649</v>
      </c>
      <c r="U60" s="22" t="b">
        <f aca="false">TRUE()</f>
        <v>1</v>
      </c>
      <c r="V60" s="0" t="n">
        <v>0.74</v>
      </c>
      <c r="W60" s="0" t="n">
        <v>0.76</v>
      </c>
      <c r="X60" s="0" t="n">
        <v>7.96</v>
      </c>
      <c r="Y60" s="0" t="n">
        <v>309.94</v>
      </c>
      <c r="Z60" s="0" t="n">
        <v>9.25</v>
      </c>
      <c r="AA60" s="0" t="n">
        <v>1.57</v>
      </c>
      <c r="AB60" s="0" t="n">
        <v>3.66</v>
      </c>
      <c r="AC60" s="22" t="b">
        <f aca="false">FALSE()</f>
        <v>0</v>
      </c>
      <c r="AD60" s="0" t="n">
        <v>9.15</v>
      </c>
      <c r="AE60" s="0" t="n">
        <v>0.84</v>
      </c>
      <c r="AF60" s="0" t="n">
        <v>1.27</v>
      </c>
      <c r="AG60" s="22" t="b">
        <f aca="false">FALSE()</f>
        <v>0</v>
      </c>
      <c r="AH60" s="0" t="n">
        <v>1</v>
      </c>
    </row>
    <row r="61" customFormat="false" ht="15" hidden="false" customHeight="false" outlineLevel="0" collapsed="false">
      <c r="A61" s="0" t="s">
        <v>253</v>
      </c>
      <c r="B61" s="0" t="s">
        <v>134</v>
      </c>
      <c r="C61" s="0" t="s">
        <v>3447</v>
      </c>
      <c r="D61" s="0" t="s">
        <v>3448</v>
      </c>
      <c r="E61" s="19" t="s">
        <v>26</v>
      </c>
      <c r="F61" s="19" t="s">
        <v>32</v>
      </c>
      <c r="G61" s="21" t="s">
        <v>60</v>
      </c>
      <c r="H61" s="21" t="s">
        <v>24</v>
      </c>
      <c r="I61" s="21" t="s">
        <v>26</v>
      </c>
      <c r="J61" s="21" t="s">
        <v>24</v>
      </c>
      <c r="K61" s="21" t="s">
        <v>24</v>
      </c>
      <c r="L61" s="21" t="s">
        <v>24</v>
      </c>
      <c r="M61" s="0" t="n">
        <v>184</v>
      </c>
      <c r="N61" s="0" t="n">
        <v>10</v>
      </c>
      <c r="O61" s="21" t="s">
        <v>3962</v>
      </c>
      <c r="P61" s="21" t="s">
        <v>4264</v>
      </c>
      <c r="Q61" s="0" t="n">
        <v>0</v>
      </c>
      <c r="S61" s="0" t="n">
        <v>10</v>
      </c>
      <c r="T61" s="21" t="s">
        <v>3962</v>
      </c>
      <c r="U61" s="22" t="b">
        <f aca="false">FALSE()</f>
        <v>0</v>
      </c>
      <c r="V61" s="0" t="n">
        <v>0.73</v>
      </c>
      <c r="W61" s="0" t="n">
        <v>0</v>
      </c>
      <c r="X61" s="0" t="n">
        <v>12.31</v>
      </c>
      <c r="Y61" s="0" t="n">
        <v>690.98</v>
      </c>
      <c r="Z61" s="0" t="n">
        <v>9</v>
      </c>
      <c r="AA61" s="0" t="n">
        <v>6.72</v>
      </c>
      <c r="AB61" s="0" t="n">
        <v>2.09</v>
      </c>
      <c r="AC61" s="22" t="b">
        <f aca="false">FALSE()</f>
        <v>0</v>
      </c>
      <c r="AD61" s="0" t="n">
        <v>13.95</v>
      </c>
      <c r="AE61" s="0" t="n">
        <v>1.09</v>
      </c>
      <c r="AF61" s="0" t="n">
        <v>10.74</v>
      </c>
      <c r="AG61" s="22" t="b">
        <f aca="false">TRUE()</f>
        <v>1</v>
      </c>
      <c r="AH61" s="0" t="n">
        <v>1</v>
      </c>
    </row>
    <row r="62" customFormat="false" ht="15" hidden="false" customHeight="false" outlineLevel="0" collapsed="false">
      <c r="A62" s="0" t="s">
        <v>259</v>
      </c>
      <c r="B62" s="0" t="s">
        <v>134</v>
      </c>
      <c r="C62" s="0" t="s">
        <v>3450</v>
      </c>
      <c r="D62" s="0" t="s">
        <v>3457</v>
      </c>
      <c r="E62" s="20" t="s">
        <v>25</v>
      </c>
      <c r="F62" s="23" t="s">
        <v>30</v>
      </c>
      <c r="G62" s="21" t="s">
        <v>1140</v>
      </c>
      <c r="H62" s="21" t="s">
        <v>24</v>
      </c>
      <c r="I62" s="21" t="s">
        <v>25</v>
      </c>
      <c r="J62" s="21" t="s">
        <v>24</v>
      </c>
      <c r="K62" s="21" t="s">
        <v>25</v>
      </c>
      <c r="L62" s="21" t="s">
        <v>24</v>
      </c>
      <c r="M62" s="0" t="n">
        <v>191</v>
      </c>
      <c r="N62" s="0" t="n">
        <v>2</v>
      </c>
      <c r="O62" s="21" t="s">
        <v>3575</v>
      </c>
      <c r="P62" s="21" t="s">
        <v>4265</v>
      </c>
      <c r="Q62" s="0" t="n">
        <v>1</v>
      </c>
      <c r="R62" s="21" t="s">
        <v>69</v>
      </c>
      <c r="S62" s="0" t="n">
        <v>2</v>
      </c>
      <c r="T62" s="21" t="s">
        <v>3575</v>
      </c>
      <c r="U62" s="22" t="b">
        <f aca="false">TRUE()</f>
        <v>1</v>
      </c>
      <c r="V62" s="0" t="n">
        <v>0.71</v>
      </c>
      <c r="W62" s="0" t="n">
        <v>0.8</v>
      </c>
      <c r="X62" s="0" t="n">
        <v>6.63</v>
      </c>
      <c r="Y62" s="0" t="n">
        <v>303.09</v>
      </c>
      <c r="Z62" s="0" t="n">
        <v>10.75</v>
      </c>
      <c r="AA62" s="0" t="n">
        <v>9.17</v>
      </c>
      <c r="AB62" s="0" t="n">
        <v>3.71</v>
      </c>
      <c r="AC62" s="22" t="b">
        <f aca="false">FALSE()</f>
        <v>0</v>
      </c>
      <c r="AD62" s="0" t="n">
        <v>34.32</v>
      </c>
      <c r="AE62" s="0" t="n">
        <v>21.18</v>
      </c>
      <c r="AF62" s="0" t="n">
        <v>30.75</v>
      </c>
      <c r="AG62" s="22" t="b">
        <f aca="false">TRUE()</f>
        <v>1</v>
      </c>
      <c r="AH62" s="0" t="n">
        <v>1</v>
      </c>
    </row>
    <row r="63" customFormat="false" ht="15" hidden="false" customHeight="false" outlineLevel="0" collapsed="false">
      <c r="A63" s="0" t="s">
        <v>259</v>
      </c>
      <c r="B63" s="0" t="s">
        <v>134</v>
      </c>
      <c r="C63" s="0" t="s">
        <v>3450</v>
      </c>
      <c r="D63" s="0" t="s">
        <v>3448</v>
      </c>
      <c r="E63" s="20" t="s">
        <v>25</v>
      </c>
      <c r="F63" s="23" t="s">
        <v>30</v>
      </c>
      <c r="G63" s="21" t="s">
        <v>283</v>
      </c>
      <c r="H63" s="21" t="s">
        <v>24</v>
      </c>
      <c r="I63" s="21" t="s">
        <v>25</v>
      </c>
      <c r="J63" s="21" t="s">
        <v>24</v>
      </c>
      <c r="K63" s="21" t="s">
        <v>24</v>
      </c>
      <c r="L63" s="21" t="s">
        <v>24</v>
      </c>
      <c r="M63" s="0" t="n">
        <v>183</v>
      </c>
      <c r="N63" s="0" t="n">
        <v>2</v>
      </c>
      <c r="O63" s="21" t="s">
        <v>3575</v>
      </c>
      <c r="P63" s="21" t="s">
        <v>4265</v>
      </c>
      <c r="Q63" s="0" t="n">
        <v>1</v>
      </c>
      <c r="R63" s="21" t="s">
        <v>69</v>
      </c>
      <c r="S63" s="0" t="n">
        <v>2</v>
      </c>
      <c r="T63" s="21" t="s">
        <v>3575</v>
      </c>
      <c r="U63" s="22" t="b">
        <f aca="false">TRUE()</f>
        <v>1</v>
      </c>
      <c r="V63" s="0" t="n">
        <v>0.69</v>
      </c>
      <c r="W63" s="0" t="n">
        <v>0.16</v>
      </c>
      <c r="X63" s="0" t="n">
        <v>7.42</v>
      </c>
      <c r="Y63" s="0" t="n">
        <v>558.01</v>
      </c>
      <c r="Z63" s="0" t="n">
        <v>10.67</v>
      </c>
      <c r="AA63" s="0" t="n">
        <v>7.43</v>
      </c>
      <c r="AB63" s="0" t="n">
        <v>3.75</v>
      </c>
      <c r="AC63" s="22" t="b">
        <f aca="false">FALSE()</f>
        <v>0</v>
      </c>
      <c r="AD63" s="0" t="n">
        <v>16.85</v>
      </c>
      <c r="AE63" s="0" t="n">
        <v>10.78</v>
      </c>
      <c r="AF63" s="0" t="n">
        <v>19.87</v>
      </c>
      <c r="AG63" s="22" t="b">
        <f aca="false">TRUE()</f>
        <v>1</v>
      </c>
      <c r="AH63" s="0" t="n">
        <v>1</v>
      </c>
    </row>
    <row r="64" customFormat="false" ht="15" hidden="false" customHeight="false" outlineLevel="0" collapsed="false">
      <c r="A64" s="0" t="s">
        <v>259</v>
      </c>
      <c r="B64" s="0" t="s">
        <v>134</v>
      </c>
      <c r="C64" s="0" t="s">
        <v>3447</v>
      </c>
      <c r="D64" s="0" t="s">
        <v>3457</v>
      </c>
      <c r="E64" s="20" t="s">
        <v>25</v>
      </c>
      <c r="F64" s="23" t="s">
        <v>30</v>
      </c>
      <c r="G64" s="21" t="s">
        <v>3492</v>
      </c>
      <c r="H64" s="21" t="s">
        <v>24</v>
      </c>
      <c r="I64" s="21" t="s">
        <v>24</v>
      </c>
      <c r="J64" s="21" t="s">
        <v>24</v>
      </c>
      <c r="K64" s="21" t="s">
        <v>25</v>
      </c>
      <c r="L64" s="21" t="s">
        <v>24</v>
      </c>
      <c r="M64" s="0" t="n">
        <v>186</v>
      </c>
      <c r="N64" s="0" t="n">
        <v>4</v>
      </c>
      <c r="O64" s="21" t="s">
        <v>3593</v>
      </c>
      <c r="P64" s="21" t="s">
        <v>4266</v>
      </c>
      <c r="Q64" s="0" t="n">
        <v>0</v>
      </c>
      <c r="S64" s="0" t="n">
        <v>4</v>
      </c>
      <c r="T64" s="21" t="s">
        <v>3593</v>
      </c>
      <c r="U64" s="22" t="b">
        <f aca="false">TRUE()</f>
        <v>1</v>
      </c>
      <c r="V64" s="0" t="n">
        <v>0.79</v>
      </c>
      <c r="W64" s="0" t="n">
        <v>0</v>
      </c>
      <c r="X64" s="0" t="n">
        <v>8.23</v>
      </c>
      <c r="Y64" s="0" t="n">
        <v>635.13</v>
      </c>
      <c r="Z64" s="0" t="n">
        <v>11.75</v>
      </c>
      <c r="AA64" s="0" t="n">
        <v>-0.08</v>
      </c>
      <c r="AB64" s="0" t="n">
        <v>3.71</v>
      </c>
      <c r="AC64" s="22" t="b">
        <f aca="false">FALSE()</f>
        <v>0</v>
      </c>
      <c r="AD64" s="0" t="n">
        <v>34.75</v>
      </c>
      <c r="AE64" s="0" t="n">
        <v>20.8</v>
      </c>
      <c r="AF64" s="0" t="n">
        <v>29.05</v>
      </c>
      <c r="AG64" s="22" t="b">
        <f aca="false">TRUE()</f>
        <v>1</v>
      </c>
      <c r="AH64" s="0" t="n">
        <v>1</v>
      </c>
    </row>
    <row r="65" customFormat="false" ht="15" hidden="false" customHeight="false" outlineLevel="0" collapsed="false">
      <c r="A65" s="0" t="s">
        <v>259</v>
      </c>
      <c r="B65" s="0" t="s">
        <v>134</v>
      </c>
      <c r="C65" s="0" t="s">
        <v>3447</v>
      </c>
      <c r="D65" s="0" t="s">
        <v>3448</v>
      </c>
      <c r="E65" s="19" t="s">
        <v>26</v>
      </c>
      <c r="F65" s="19" t="s">
        <v>32</v>
      </c>
      <c r="G65" s="21" t="s">
        <v>60</v>
      </c>
      <c r="H65" s="21" t="s">
        <v>24</v>
      </c>
      <c r="I65" s="21" t="s">
        <v>26</v>
      </c>
      <c r="J65" s="21" t="s">
        <v>24</v>
      </c>
      <c r="K65" s="21" t="s">
        <v>24</v>
      </c>
      <c r="L65" s="21" t="s">
        <v>24</v>
      </c>
      <c r="M65" s="0" t="n">
        <v>183</v>
      </c>
      <c r="N65" s="0" t="n">
        <v>8</v>
      </c>
      <c r="O65" s="21" t="s">
        <v>3980</v>
      </c>
      <c r="P65" s="21" t="s">
        <v>4267</v>
      </c>
      <c r="Q65" s="0" t="n">
        <v>0</v>
      </c>
      <c r="S65" s="0" t="n">
        <v>8</v>
      </c>
      <c r="T65" s="21" t="s">
        <v>3980</v>
      </c>
      <c r="U65" s="22" t="b">
        <f aca="false">FALSE()</f>
        <v>0</v>
      </c>
      <c r="V65" s="0" t="n">
        <v>0.72</v>
      </c>
      <c r="W65" s="0" t="n">
        <v>0.56</v>
      </c>
      <c r="X65" s="0" t="n">
        <v>8.15</v>
      </c>
      <c r="Y65" s="0" t="n">
        <v>318.76</v>
      </c>
      <c r="Z65" s="0" t="n">
        <v>8</v>
      </c>
      <c r="AA65" s="0" t="n">
        <v>-0.43</v>
      </c>
      <c r="AB65" s="0" t="n">
        <v>3.75</v>
      </c>
      <c r="AC65" s="22" t="b">
        <f aca="false">FALSE()</f>
        <v>0</v>
      </c>
      <c r="AD65" s="0" t="n">
        <v>13.91</v>
      </c>
      <c r="AE65" s="0" t="n">
        <v>4.98</v>
      </c>
      <c r="AF65" s="0" t="n">
        <v>9.41</v>
      </c>
      <c r="AG65" s="22" t="b">
        <f aca="false">TRUE()</f>
        <v>1</v>
      </c>
      <c r="AH65" s="0" t="n">
        <v>1</v>
      </c>
    </row>
    <row r="66" customFormat="false" ht="15" hidden="false" customHeight="false" outlineLevel="0" collapsed="false">
      <c r="A66" s="0" t="s">
        <v>267</v>
      </c>
      <c r="B66" s="0" t="s">
        <v>134</v>
      </c>
      <c r="C66" s="0" t="s">
        <v>3450</v>
      </c>
      <c r="D66" s="0" t="s">
        <v>3457</v>
      </c>
      <c r="E66" s="19" t="s">
        <v>26</v>
      </c>
      <c r="F66" s="19" t="s">
        <v>32</v>
      </c>
      <c r="G66" s="21" t="s">
        <v>529</v>
      </c>
      <c r="H66" s="21" t="s">
        <v>24</v>
      </c>
      <c r="I66" s="21" t="s">
        <v>26</v>
      </c>
      <c r="J66" s="21" t="s">
        <v>24</v>
      </c>
      <c r="K66" s="21" t="s">
        <v>24</v>
      </c>
      <c r="L66" s="21" t="s">
        <v>24</v>
      </c>
      <c r="M66" s="0" t="n">
        <v>182</v>
      </c>
      <c r="N66" s="0" t="n">
        <v>12</v>
      </c>
      <c r="O66" s="21" t="s">
        <v>4118</v>
      </c>
      <c r="P66" s="21" t="s">
        <v>4268</v>
      </c>
      <c r="Q66" s="0" t="n">
        <v>1</v>
      </c>
      <c r="R66" s="21" t="s">
        <v>69</v>
      </c>
      <c r="S66" s="0" t="n">
        <v>12</v>
      </c>
      <c r="T66" s="21" t="s">
        <v>4118</v>
      </c>
      <c r="U66" s="22" t="b">
        <f aca="false">FALSE()</f>
        <v>0</v>
      </c>
      <c r="V66" s="0" t="n">
        <v>0.66</v>
      </c>
      <c r="W66" s="0" t="n">
        <v>0</v>
      </c>
      <c r="X66" s="0" t="n">
        <v>6.65</v>
      </c>
      <c r="Y66" s="0" t="n">
        <v>614.3</v>
      </c>
      <c r="Z66" s="0" t="n">
        <v>9</v>
      </c>
      <c r="AA66" s="0" t="n">
        <v>10.39</v>
      </c>
      <c r="AB66" s="0" t="n">
        <v>4.8</v>
      </c>
      <c r="AC66" s="22" t="b">
        <f aca="false">FALSE()</f>
        <v>0</v>
      </c>
      <c r="AD66" s="0" t="n">
        <v>13.31</v>
      </c>
      <c r="AE66" s="0" t="n">
        <v>0.59</v>
      </c>
      <c r="AF66" s="0" t="n">
        <v>5.15</v>
      </c>
      <c r="AG66" s="22" t="b">
        <f aca="false">TRUE()</f>
        <v>1</v>
      </c>
      <c r="AH66" s="0" t="n">
        <v>1</v>
      </c>
    </row>
    <row r="67" customFormat="false" ht="15" hidden="false" customHeight="false" outlineLevel="0" collapsed="false">
      <c r="A67" s="0" t="s">
        <v>267</v>
      </c>
      <c r="B67" s="0" t="s">
        <v>134</v>
      </c>
      <c r="C67" s="0" t="s">
        <v>3450</v>
      </c>
      <c r="D67" s="0" t="s">
        <v>3448</v>
      </c>
      <c r="E67" s="19" t="s">
        <v>26</v>
      </c>
      <c r="F67" s="19" t="s">
        <v>32</v>
      </c>
      <c r="G67" s="21" t="s">
        <v>529</v>
      </c>
      <c r="H67" s="21" t="s">
        <v>24</v>
      </c>
      <c r="I67" s="21" t="s">
        <v>26</v>
      </c>
      <c r="J67" s="21" t="s">
        <v>24</v>
      </c>
      <c r="K67" s="21" t="s">
        <v>24</v>
      </c>
      <c r="L67" s="21" t="s">
        <v>24</v>
      </c>
      <c r="M67" s="0" t="n">
        <v>182</v>
      </c>
      <c r="N67" s="0" t="n">
        <v>12</v>
      </c>
      <c r="O67" s="21" t="s">
        <v>4118</v>
      </c>
      <c r="P67" s="21" t="s">
        <v>4268</v>
      </c>
      <c r="Q67" s="0" t="n">
        <v>1</v>
      </c>
      <c r="R67" s="21" t="s">
        <v>69</v>
      </c>
      <c r="S67" s="0" t="n">
        <v>12</v>
      </c>
      <c r="T67" s="21" t="s">
        <v>4118</v>
      </c>
      <c r="U67" s="22" t="b">
        <f aca="false">FALSE()</f>
        <v>0</v>
      </c>
      <c r="V67" s="0" t="n">
        <v>0.69</v>
      </c>
      <c r="W67" s="0" t="n">
        <v>0.32</v>
      </c>
      <c r="X67" s="0" t="n">
        <v>7.09</v>
      </c>
      <c r="Y67" s="0" t="n">
        <v>394.93</v>
      </c>
      <c r="Z67" s="0" t="n">
        <v>8.75</v>
      </c>
      <c r="AA67" s="0" t="n">
        <v>7.52</v>
      </c>
      <c r="AB67" s="0" t="n">
        <v>3.19</v>
      </c>
      <c r="AC67" s="22" t="b">
        <f aca="false">FALSE()</f>
        <v>0</v>
      </c>
      <c r="AD67" s="0" t="n">
        <v>12.52</v>
      </c>
      <c r="AE67" s="0" t="n">
        <v>1.57</v>
      </c>
      <c r="AF67" s="0" t="n">
        <v>2.75</v>
      </c>
      <c r="AG67" s="22" t="b">
        <f aca="false">TRUE()</f>
        <v>1</v>
      </c>
      <c r="AH67" s="0" t="n">
        <v>1</v>
      </c>
    </row>
    <row r="68" customFormat="false" ht="15" hidden="false" customHeight="false" outlineLevel="0" collapsed="false">
      <c r="A68" s="0" t="s">
        <v>267</v>
      </c>
      <c r="B68" s="0" t="s">
        <v>134</v>
      </c>
      <c r="C68" s="0" t="s">
        <v>3447</v>
      </c>
      <c r="D68" s="0" t="s">
        <v>3457</v>
      </c>
      <c r="E68" s="18" t="s">
        <v>24</v>
      </c>
      <c r="F68" s="23" t="s">
        <v>30</v>
      </c>
      <c r="G68" s="21" t="s">
        <v>30</v>
      </c>
      <c r="H68" s="21" t="s">
        <v>24</v>
      </c>
      <c r="I68" s="21" t="s">
        <v>24</v>
      </c>
      <c r="J68" s="21" t="s">
        <v>24</v>
      </c>
      <c r="K68" s="21" t="s">
        <v>24</v>
      </c>
      <c r="L68" s="21" t="s">
        <v>24</v>
      </c>
      <c r="M68" s="0" t="n">
        <v>183</v>
      </c>
      <c r="N68" s="0" t="n">
        <v>4</v>
      </c>
      <c r="O68" s="21" t="s">
        <v>3648</v>
      </c>
      <c r="P68" s="21" t="s">
        <v>4269</v>
      </c>
      <c r="Q68" s="0" t="n">
        <v>0</v>
      </c>
      <c r="S68" s="0" t="n">
        <v>4</v>
      </c>
      <c r="T68" s="21" t="s">
        <v>3648</v>
      </c>
      <c r="U68" s="22" t="b">
        <f aca="false">TRUE()</f>
        <v>1</v>
      </c>
      <c r="V68" s="0" t="n">
        <v>0.75</v>
      </c>
      <c r="W68" s="0" t="n">
        <v>0.12</v>
      </c>
      <c r="X68" s="0" t="n">
        <v>6.03</v>
      </c>
      <c r="Y68" s="0" t="n">
        <v>563.7</v>
      </c>
      <c r="Z68" s="0" t="n">
        <v>11.25</v>
      </c>
      <c r="AA68" s="0" t="n">
        <v>1.16</v>
      </c>
      <c r="AB68" s="0" t="n">
        <v>4.8</v>
      </c>
      <c r="AC68" s="22" t="b">
        <f aca="false">FALSE()</f>
        <v>0</v>
      </c>
      <c r="AD68" s="0" t="n">
        <v>14.8</v>
      </c>
      <c r="AE68" s="0" t="n">
        <v>1.45</v>
      </c>
      <c r="AF68" s="0" t="n">
        <v>4.98</v>
      </c>
      <c r="AG68" s="22" t="b">
        <f aca="false">TRUE()</f>
        <v>1</v>
      </c>
      <c r="AH68" s="0" t="n">
        <v>1</v>
      </c>
    </row>
    <row r="69" customFormat="false" ht="15" hidden="false" customHeight="false" outlineLevel="0" collapsed="false">
      <c r="A69" s="0" t="s">
        <v>267</v>
      </c>
      <c r="B69" s="0" t="s">
        <v>134</v>
      </c>
      <c r="C69" s="0" t="s">
        <v>3447</v>
      </c>
      <c r="D69" s="0" t="s">
        <v>3448</v>
      </c>
      <c r="E69" s="18" t="s">
        <v>24</v>
      </c>
      <c r="F69" s="23" t="s">
        <v>30</v>
      </c>
      <c r="G69" s="21" t="s">
        <v>30</v>
      </c>
      <c r="H69" s="21" t="s">
        <v>24</v>
      </c>
      <c r="I69" s="21" t="s">
        <v>24</v>
      </c>
      <c r="J69" s="21" t="s">
        <v>24</v>
      </c>
      <c r="K69" s="21" t="s">
        <v>24</v>
      </c>
      <c r="L69" s="21" t="s">
        <v>24</v>
      </c>
      <c r="M69" s="0" t="n">
        <v>183</v>
      </c>
      <c r="N69" s="0" t="n">
        <v>4</v>
      </c>
      <c r="O69" s="21" t="s">
        <v>3627</v>
      </c>
      <c r="P69" s="21" t="s">
        <v>4270</v>
      </c>
      <c r="Q69" s="0" t="n">
        <v>0</v>
      </c>
      <c r="S69" s="0" t="n">
        <v>4</v>
      </c>
      <c r="T69" s="21" t="s">
        <v>3627</v>
      </c>
      <c r="U69" s="22" t="b">
        <f aca="false">TRUE()</f>
        <v>1</v>
      </c>
      <c r="V69" s="0" t="n">
        <v>0.83</v>
      </c>
      <c r="W69" s="0" t="n">
        <v>0.92</v>
      </c>
      <c r="X69" s="0" t="n">
        <v>8.43</v>
      </c>
      <c r="Y69" s="0" t="n">
        <v>314.61</v>
      </c>
      <c r="Z69" s="0" t="n">
        <v>11.25</v>
      </c>
      <c r="AA69" s="0" t="n">
        <v>0.9</v>
      </c>
      <c r="AB69" s="0" t="n">
        <v>3.19</v>
      </c>
      <c r="AC69" s="22" t="b">
        <f aca="false">FALSE()</f>
        <v>0</v>
      </c>
      <c r="AD69" s="0" t="n">
        <v>13.41</v>
      </c>
      <c r="AE69" s="0" t="n">
        <v>0.83</v>
      </c>
      <c r="AF69" s="0" t="n">
        <v>4.92</v>
      </c>
      <c r="AG69" s="22" t="b">
        <f aca="false">TRUE()</f>
        <v>1</v>
      </c>
      <c r="AH69" s="0" t="n">
        <v>1</v>
      </c>
    </row>
    <row r="70" customFormat="false" ht="15" hidden="false" customHeight="false" outlineLevel="0" collapsed="false">
      <c r="A70" s="0" t="s">
        <v>273</v>
      </c>
      <c r="B70" s="0" t="s">
        <v>134</v>
      </c>
      <c r="C70" s="0" t="s">
        <v>3450</v>
      </c>
      <c r="D70" s="0" t="s">
        <v>3457</v>
      </c>
      <c r="E70" s="20" t="s">
        <v>25</v>
      </c>
      <c r="F70" s="20" t="s">
        <v>29</v>
      </c>
      <c r="G70" s="21" t="s">
        <v>61</v>
      </c>
      <c r="H70" s="21" t="s">
        <v>24</v>
      </c>
      <c r="I70" s="21" t="s">
        <v>24</v>
      </c>
      <c r="J70" s="21" t="s">
        <v>24</v>
      </c>
      <c r="K70" s="21" t="s">
        <v>25</v>
      </c>
      <c r="L70" s="21" t="s">
        <v>24</v>
      </c>
      <c r="M70" s="0" t="n">
        <v>195</v>
      </c>
      <c r="N70" s="0" t="n">
        <v>0</v>
      </c>
      <c r="Q70" s="0" t="n">
        <v>0</v>
      </c>
      <c r="S70" s="0" t="n">
        <v>0</v>
      </c>
      <c r="U70" s="22" t="b">
        <f aca="false">FALSE()</f>
        <v>0</v>
      </c>
      <c r="V70" s="0" t="n">
        <v>0.72</v>
      </c>
      <c r="W70" s="0" t="n">
        <v>0.88</v>
      </c>
      <c r="X70" s="0" t="n">
        <v>9.41</v>
      </c>
      <c r="Y70" s="0" t="n">
        <v>334.41</v>
      </c>
      <c r="Z70" s="0" t="n">
        <v>10.25</v>
      </c>
      <c r="AA70" s="0" t="n">
        <v>14.3</v>
      </c>
      <c r="AB70" s="0" t="n">
        <v>5.07</v>
      </c>
      <c r="AC70" s="22" t="b">
        <f aca="false">FALSE()</f>
        <v>0</v>
      </c>
      <c r="AD70" s="0" t="n">
        <v>25.34</v>
      </c>
      <c r="AE70" s="0" t="n">
        <v>16.92</v>
      </c>
      <c r="AF70" s="0" t="n">
        <v>26.68</v>
      </c>
      <c r="AG70" s="22" t="b">
        <f aca="false">TRUE()</f>
        <v>1</v>
      </c>
      <c r="AH70" s="0" t="n">
        <v>1</v>
      </c>
    </row>
    <row r="71" customFormat="false" ht="15" hidden="false" customHeight="false" outlineLevel="0" collapsed="false">
      <c r="A71" s="0" t="s">
        <v>273</v>
      </c>
      <c r="B71" s="0" t="s">
        <v>134</v>
      </c>
      <c r="C71" s="0" t="s">
        <v>3450</v>
      </c>
      <c r="D71" s="0" t="s">
        <v>3448</v>
      </c>
      <c r="E71" s="20" t="s">
        <v>25</v>
      </c>
      <c r="F71" s="20" t="s">
        <v>29</v>
      </c>
      <c r="G71" s="21" t="s">
        <v>61</v>
      </c>
      <c r="H71" s="21" t="s">
        <v>24</v>
      </c>
      <c r="I71" s="21" t="s">
        <v>24</v>
      </c>
      <c r="J71" s="21" t="s">
        <v>24</v>
      </c>
      <c r="K71" s="21" t="s">
        <v>25</v>
      </c>
      <c r="L71" s="21" t="s">
        <v>24</v>
      </c>
      <c r="M71" s="0" t="n">
        <v>212</v>
      </c>
      <c r="N71" s="0" t="n">
        <v>0</v>
      </c>
      <c r="Q71" s="0" t="n">
        <v>0</v>
      </c>
      <c r="S71" s="0" t="n">
        <v>0</v>
      </c>
      <c r="U71" s="22" t="b">
        <f aca="false">FALSE()</f>
        <v>0</v>
      </c>
      <c r="V71" s="0" t="n">
        <v>0.8</v>
      </c>
      <c r="W71" s="0" t="n">
        <v>0.64</v>
      </c>
      <c r="X71" s="0" t="n">
        <v>9.43</v>
      </c>
      <c r="Y71" s="0" t="n">
        <v>369.3</v>
      </c>
      <c r="Z71" s="0" t="n">
        <v>8.75</v>
      </c>
      <c r="AA71" s="0" t="n">
        <v>3.53</v>
      </c>
      <c r="AB71" s="0" t="n">
        <v>3.3</v>
      </c>
      <c r="AC71" s="22" t="b">
        <f aca="false">FALSE()</f>
        <v>0</v>
      </c>
      <c r="AD71" s="0" t="n">
        <v>20.28</v>
      </c>
      <c r="AE71" s="0" t="n">
        <v>11.07</v>
      </c>
      <c r="AF71" s="0" t="n">
        <v>21.86</v>
      </c>
      <c r="AG71" s="22" t="b">
        <f aca="false">TRUE()</f>
        <v>1</v>
      </c>
      <c r="AH71" s="0" t="n">
        <v>1</v>
      </c>
    </row>
    <row r="72" customFormat="false" ht="15" hidden="false" customHeight="false" outlineLevel="0" collapsed="false">
      <c r="A72" s="0" t="s">
        <v>273</v>
      </c>
      <c r="B72" s="0" t="s">
        <v>134</v>
      </c>
      <c r="C72" s="0" t="s">
        <v>3447</v>
      </c>
      <c r="D72" s="0" t="s">
        <v>3457</v>
      </c>
      <c r="E72" s="20" t="s">
        <v>25</v>
      </c>
      <c r="F72" s="20" t="s">
        <v>29</v>
      </c>
      <c r="G72" s="21" t="s">
        <v>61</v>
      </c>
      <c r="H72" s="21" t="s">
        <v>24</v>
      </c>
      <c r="I72" s="21" t="s">
        <v>24</v>
      </c>
      <c r="J72" s="21" t="s">
        <v>24</v>
      </c>
      <c r="K72" s="21" t="s">
        <v>25</v>
      </c>
      <c r="L72" s="21" t="s">
        <v>24</v>
      </c>
      <c r="M72" s="0" t="n">
        <v>183</v>
      </c>
      <c r="N72" s="0" t="n">
        <v>0</v>
      </c>
      <c r="Q72" s="0" t="n">
        <v>0</v>
      </c>
      <c r="S72" s="0" t="n">
        <v>0</v>
      </c>
      <c r="U72" s="22" t="b">
        <f aca="false">FALSE()</f>
        <v>0</v>
      </c>
      <c r="V72" s="0" t="n">
        <v>0.76</v>
      </c>
      <c r="W72" s="0" t="n">
        <v>0.4</v>
      </c>
      <c r="X72" s="0" t="n">
        <v>8.19</v>
      </c>
      <c r="Y72" s="0" t="n">
        <v>355.08</v>
      </c>
      <c r="Z72" s="0" t="n">
        <v>8.25</v>
      </c>
      <c r="AA72" s="0" t="n">
        <v>7.81</v>
      </c>
      <c r="AB72" s="0" t="n">
        <v>5.07</v>
      </c>
      <c r="AC72" s="22" t="b">
        <f aca="false">FALSE()</f>
        <v>0</v>
      </c>
      <c r="AD72" s="0" t="n">
        <v>25.26</v>
      </c>
      <c r="AE72" s="0" t="n">
        <v>15.57</v>
      </c>
      <c r="AF72" s="0" t="n">
        <v>24.83</v>
      </c>
      <c r="AG72" s="22" t="b">
        <f aca="false">TRUE()</f>
        <v>1</v>
      </c>
      <c r="AH72" s="0" t="n">
        <v>1</v>
      </c>
    </row>
    <row r="73" customFormat="false" ht="15" hidden="false" customHeight="false" outlineLevel="0" collapsed="false">
      <c r="A73" s="0" t="s">
        <v>273</v>
      </c>
      <c r="B73" s="0" t="s">
        <v>134</v>
      </c>
      <c r="C73" s="0" t="s">
        <v>3447</v>
      </c>
      <c r="D73" s="0" t="s">
        <v>3448</v>
      </c>
      <c r="E73" s="20" t="s">
        <v>25</v>
      </c>
      <c r="F73" s="20" t="s">
        <v>29</v>
      </c>
      <c r="G73" s="21" t="s">
        <v>61</v>
      </c>
      <c r="H73" s="21" t="s">
        <v>24</v>
      </c>
      <c r="I73" s="21" t="s">
        <v>24</v>
      </c>
      <c r="J73" s="21" t="s">
        <v>24</v>
      </c>
      <c r="K73" s="21" t="s">
        <v>25</v>
      </c>
      <c r="L73" s="21" t="s">
        <v>24</v>
      </c>
      <c r="M73" s="0" t="n">
        <v>183</v>
      </c>
      <c r="N73" s="0" t="n">
        <v>0</v>
      </c>
      <c r="Q73" s="0" t="n">
        <v>0</v>
      </c>
      <c r="S73" s="0" t="n">
        <v>0</v>
      </c>
      <c r="U73" s="22" t="b">
        <f aca="false">FALSE()</f>
        <v>0</v>
      </c>
      <c r="V73" s="0" t="n">
        <v>0.78</v>
      </c>
      <c r="W73" s="0" t="n">
        <v>0.88</v>
      </c>
      <c r="X73" s="0" t="n">
        <v>9.75</v>
      </c>
      <c r="Y73" s="0" t="n">
        <v>316.84</v>
      </c>
      <c r="Z73" s="0" t="n">
        <v>8</v>
      </c>
      <c r="AA73" s="0" t="n">
        <v>7.45</v>
      </c>
      <c r="AB73" s="0" t="n">
        <v>3.3</v>
      </c>
      <c r="AC73" s="22" t="b">
        <f aca="false">FALSE()</f>
        <v>0</v>
      </c>
      <c r="AD73" s="0" t="n">
        <v>26.77</v>
      </c>
      <c r="AE73" s="0" t="n">
        <v>18.14</v>
      </c>
      <c r="AF73" s="0" t="n">
        <v>28.44</v>
      </c>
      <c r="AG73" s="22" t="b">
        <f aca="false">TRUE()</f>
        <v>1</v>
      </c>
      <c r="AH73" s="0" t="n">
        <v>1</v>
      </c>
    </row>
    <row r="74" customFormat="false" ht="15" hidden="false" customHeight="false" outlineLevel="0" collapsed="false">
      <c r="A74" s="0" t="s">
        <v>279</v>
      </c>
      <c r="B74" s="0" t="s">
        <v>134</v>
      </c>
      <c r="C74" s="0" t="s">
        <v>3450</v>
      </c>
      <c r="D74" s="0" t="s">
        <v>3457</v>
      </c>
      <c r="E74" s="18" t="s">
        <v>24</v>
      </c>
      <c r="F74" s="18" t="s">
        <v>28</v>
      </c>
      <c r="H74" s="21" t="s">
        <v>24</v>
      </c>
      <c r="I74" s="21" t="s">
        <v>24</v>
      </c>
      <c r="J74" s="21" t="s">
        <v>24</v>
      </c>
      <c r="K74" s="21" t="s">
        <v>24</v>
      </c>
      <c r="L74" s="21" t="s">
        <v>24</v>
      </c>
      <c r="M74" s="0" t="n">
        <v>188</v>
      </c>
      <c r="N74" s="0" t="n">
        <v>0</v>
      </c>
      <c r="Q74" s="0" t="n">
        <v>0</v>
      </c>
      <c r="S74" s="0" t="n">
        <v>0</v>
      </c>
      <c r="U74" s="22" t="b">
        <f aca="false">FALSE()</f>
        <v>0</v>
      </c>
      <c r="V74" s="0" t="n">
        <v>0.75</v>
      </c>
      <c r="W74" s="0" t="n">
        <v>0.24</v>
      </c>
      <c r="X74" s="0" t="n">
        <v>7.52</v>
      </c>
      <c r="Y74" s="0" t="n">
        <v>476.28</v>
      </c>
      <c r="Z74" s="0" t="n">
        <v>10.75</v>
      </c>
      <c r="AA74" s="0" t="n">
        <v>11.47</v>
      </c>
      <c r="AB74" s="0" t="n">
        <v>8.26</v>
      </c>
      <c r="AC74" s="22" t="b">
        <f aca="false">FALSE()</f>
        <v>0</v>
      </c>
      <c r="AD74" s="0" t="n">
        <v>16.11</v>
      </c>
      <c r="AE74" s="0" t="n">
        <v>0.66</v>
      </c>
      <c r="AF74" s="0" t="n">
        <v>5.45</v>
      </c>
      <c r="AG74" s="22" t="b">
        <f aca="false">TRUE()</f>
        <v>1</v>
      </c>
      <c r="AH74" s="0" t="n">
        <v>1</v>
      </c>
    </row>
    <row r="75" customFormat="false" ht="15" hidden="false" customHeight="false" outlineLevel="0" collapsed="false">
      <c r="A75" s="0" t="s">
        <v>279</v>
      </c>
      <c r="B75" s="0" t="s">
        <v>134</v>
      </c>
      <c r="C75" s="0" t="s">
        <v>3450</v>
      </c>
      <c r="D75" s="0" t="s">
        <v>3448</v>
      </c>
      <c r="E75" s="20" t="s">
        <v>25</v>
      </c>
      <c r="F75" s="23" t="s">
        <v>30</v>
      </c>
      <c r="G75" s="21" t="s">
        <v>283</v>
      </c>
      <c r="H75" s="21" t="s">
        <v>24</v>
      </c>
      <c r="I75" s="21" t="s">
        <v>25</v>
      </c>
      <c r="J75" s="21" t="s">
        <v>24</v>
      </c>
      <c r="K75" s="21" t="s">
        <v>24</v>
      </c>
      <c r="L75" s="21" t="s">
        <v>24</v>
      </c>
      <c r="M75" s="0" t="n">
        <v>189</v>
      </c>
      <c r="N75" s="0" t="n">
        <v>3</v>
      </c>
      <c r="O75" s="21" t="s">
        <v>3720</v>
      </c>
      <c r="P75" s="21" t="s">
        <v>4271</v>
      </c>
      <c r="Q75" s="0" t="n">
        <v>1</v>
      </c>
      <c r="R75" s="21" t="s">
        <v>69</v>
      </c>
      <c r="S75" s="0" t="n">
        <v>3</v>
      </c>
      <c r="T75" s="21" t="s">
        <v>3720</v>
      </c>
      <c r="U75" s="22" t="b">
        <f aca="false">TRUE()</f>
        <v>1</v>
      </c>
      <c r="V75" s="0" t="n">
        <v>0.71</v>
      </c>
      <c r="W75" s="0" t="n">
        <v>0.96</v>
      </c>
      <c r="X75" s="0" t="n">
        <v>6.04</v>
      </c>
      <c r="Y75" s="0" t="n">
        <v>327</v>
      </c>
      <c r="Z75" s="0" t="n">
        <v>10.5</v>
      </c>
      <c r="AA75" s="0" t="n">
        <v>15.27</v>
      </c>
      <c r="AB75" s="0" t="n">
        <v>8.32</v>
      </c>
      <c r="AC75" s="22" t="b">
        <f aca="false">FALSE()</f>
        <v>0</v>
      </c>
      <c r="AD75" s="0" t="n">
        <v>9.21</v>
      </c>
      <c r="AE75" s="0" t="n">
        <v>1.24</v>
      </c>
      <c r="AF75" s="0" t="n">
        <v>3.36</v>
      </c>
      <c r="AG75" s="22" t="b">
        <f aca="false">FALSE()</f>
        <v>0</v>
      </c>
      <c r="AH75" s="0" t="n">
        <v>1</v>
      </c>
    </row>
    <row r="76" customFormat="false" ht="15" hidden="false" customHeight="false" outlineLevel="0" collapsed="false">
      <c r="A76" s="0" t="s">
        <v>279</v>
      </c>
      <c r="B76" s="0" t="s">
        <v>134</v>
      </c>
      <c r="C76" s="0" t="s">
        <v>3447</v>
      </c>
      <c r="D76" s="0" t="s">
        <v>3457</v>
      </c>
      <c r="E76" s="18" t="s">
        <v>24</v>
      </c>
      <c r="F76" s="18" t="s">
        <v>28</v>
      </c>
      <c r="H76" s="21" t="s">
        <v>24</v>
      </c>
      <c r="I76" s="21" t="s">
        <v>24</v>
      </c>
      <c r="J76" s="21" t="s">
        <v>24</v>
      </c>
      <c r="K76" s="21" t="s">
        <v>24</v>
      </c>
      <c r="L76" s="21" t="s">
        <v>24</v>
      </c>
      <c r="M76" s="0" t="n">
        <v>184</v>
      </c>
      <c r="N76" s="0" t="n">
        <v>0</v>
      </c>
      <c r="Q76" s="0" t="n">
        <v>0</v>
      </c>
      <c r="S76" s="0" t="n">
        <v>0</v>
      </c>
      <c r="U76" s="22" t="b">
        <f aca="false">FALSE()</f>
        <v>0</v>
      </c>
      <c r="V76" s="0" t="n">
        <v>0.68</v>
      </c>
      <c r="W76" s="0" t="n">
        <v>0.16</v>
      </c>
      <c r="X76" s="0" t="n">
        <v>5.68</v>
      </c>
      <c r="Y76" s="0" t="n">
        <v>565.32</v>
      </c>
      <c r="Z76" s="0" t="n">
        <v>8</v>
      </c>
      <c r="AA76" s="0" t="n">
        <v>-0.22</v>
      </c>
      <c r="AB76" s="0" t="n">
        <v>8.26</v>
      </c>
      <c r="AC76" s="22" t="b">
        <f aca="false">FALSE()</f>
        <v>0</v>
      </c>
      <c r="AD76" s="0" t="n">
        <v>14.86</v>
      </c>
      <c r="AE76" s="0" t="n">
        <v>-0.35</v>
      </c>
      <c r="AF76" s="0" t="n">
        <v>5.15</v>
      </c>
      <c r="AG76" s="22" t="b">
        <f aca="false">TRUE()</f>
        <v>1</v>
      </c>
      <c r="AH76" s="0" t="n">
        <v>1</v>
      </c>
    </row>
    <row r="77" customFormat="false" ht="15" hidden="false" customHeight="false" outlineLevel="0" collapsed="false">
      <c r="A77" s="0" t="s">
        <v>279</v>
      </c>
      <c r="B77" s="0" t="s">
        <v>134</v>
      </c>
      <c r="C77" s="0" t="s">
        <v>3447</v>
      </c>
      <c r="D77" s="0" t="s">
        <v>3448</v>
      </c>
      <c r="E77" s="18" t="s">
        <v>24</v>
      </c>
      <c r="F77" s="23" t="s">
        <v>30</v>
      </c>
      <c r="G77" s="21" t="s">
        <v>30</v>
      </c>
      <c r="H77" s="21" t="s">
        <v>24</v>
      </c>
      <c r="I77" s="21" t="s">
        <v>24</v>
      </c>
      <c r="J77" s="21" t="s">
        <v>24</v>
      </c>
      <c r="K77" s="21" t="s">
        <v>24</v>
      </c>
      <c r="L77" s="21" t="s">
        <v>24</v>
      </c>
      <c r="M77" s="0" t="n">
        <v>183</v>
      </c>
      <c r="N77" s="0" t="n">
        <v>1</v>
      </c>
      <c r="O77" s="21" t="s">
        <v>3474</v>
      </c>
      <c r="P77" s="21" t="s">
        <v>4272</v>
      </c>
      <c r="Q77" s="0" t="n">
        <v>0</v>
      </c>
      <c r="S77" s="0" t="n">
        <v>1</v>
      </c>
      <c r="T77" s="21" t="s">
        <v>3474</v>
      </c>
      <c r="U77" s="22" t="b">
        <f aca="false">TRUE()</f>
        <v>1</v>
      </c>
      <c r="V77" s="0" t="n">
        <v>0.61</v>
      </c>
      <c r="W77" s="0" t="n">
        <v>0.28</v>
      </c>
      <c r="X77" s="0" t="n">
        <v>7</v>
      </c>
      <c r="Y77" s="0" t="n">
        <v>432.24</v>
      </c>
      <c r="Z77" s="0" t="n">
        <v>11.42</v>
      </c>
      <c r="AA77" s="0" t="n">
        <v>1.23</v>
      </c>
      <c r="AB77" s="0" t="n">
        <v>8.32</v>
      </c>
      <c r="AC77" s="22" t="b">
        <f aca="false">FALSE()</f>
        <v>0</v>
      </c>
      <c r="AD77" s="0" t="n">
        <v>8.54</v>
      </c>
      <c r="AE77" s="0" t="n">
        <v>1.32</v>
      </c>
      <c r="AF77" s="0" t="n">
        <v>4.4</v>
      </c>
      <c r="AG77" s="22" t="b">
        <f aca="false">FALSE()</f>
        <v>0</v>
      </c>
      <c r="AH77" s="0" t="n">
        <v>1</v>
      </c>
    </row>
    <row r="78" customFormat="false" ht="15" hidden="false" customHeight="false" outlineLevel="0" collapsed="false">
      <c r="A78" s="0" t="s">
        <v>291</v>
      </c>
      <c r="B78" s="0" t="s">
        <v>134</v>
      </c>
      <c r="C78" s="0" t="s">
        <v>3450</v>
      </c>
      <c r="D78" s="0" t="s">
        <v>3457</v>
      </c>
      <c r="E78" s="20" t="s">
        <v>25</v>
      </c>
      <c r="F78" s="20" t="s">
        <v>29</v>
      </c>
      <c r="G78" s="21" t="s">
        <v>62</v>
      </c>
      <c r="H78" s="21" t="s">
        <v>24</v>
      </c>
      <c r="I78" s="21" t="s">
        <v>24</v>
      </c>
      <c r="J78" s="21" t="s">
        <v>24</v>
      </c>
      <c r="K78" s="21" t="s">
        <v>25</v>
      </c>
      <c r="L78" s="21" t="s">
        <v>24</v>
      </c>
      <c r="M78" s="0" t="n">
        <v>192</v>
      </c>
      <c r="N78" s="0" t="n">
        <v>0</v>
      </c>
      <c r="Q78" s="0" t="n">
        <v>0</v>
      </c>
      <c r="S78" s="0" t="n">
        <v>0</v>
      </c>
      <c r="U78" s="22" t="b">
        <f aca="false">FALSE()</f>
        <v>0</v>
      </c>
      <c r="V78" s="0" t="n">
        <v>0.76</v>
      </c>
      <c r="W78" s="0" t="n">
        <v>0.96</v>
      </c>
      <c r="X78" s="0" t="n">
        <v>5.44</v>
      </c>
      <c r="Y78" s="0" t="n">
        <v>324.42</v>
      </c>
      <c r="Z78" s="0" t="n">
        <v>8</v>
      </c>
      <c r="AA78" s="0" t="n">
        <v>-0.61</v>
      </c>
      <c r="AB78" s="0" t="n">
        <v>4.98</v>
      </c>
      <c r="AC78" s="22" t="b">
        <f aca="false">FALSE()</f>
        <v>0</v>
      </c>
      <c r="AD78" s="0" t="n">
        <v>1.15</v>
      </c>
      <c r="AE78" s="0" t="n">
        <v>0</v>
      </c>
      <c r="AF78" s="0" t="n">
        <v>0.5</v>
      </c>
      <c r="AG78" s="22" t="b">
        <f aca="false">FALSE()</f>
        <v>0</v>
      </c>
      <c r="AH78" s="0" t="n">
        <v>1</v>
      </c>
    </row>
    <row r="79" customFormat="false" ht="15" hidden="false" customHeight="false" outlineLevel="0" collapsed="false">
      <c r="A79" s="0" t="s">
        <v>291</v>
      </c>
      <c r="B79" s="0" t="s">
        <v>134</v>
      </c>
      <c r="C79" s="0" t="s">
        <v>3450</v>
      </c>
      <c r="D79" s="0" t="s">
        <v>3448</v>
      </c>
      <c r="E79" s="20" t="s">
        <v>25</v>
      </c>
      <c r="F79" s="20" t="s">
        <v>29</v>
      </c>
      <c r="G79" s="21" t="s">
        <v>62</v>
      </c>
      <c r="H79" s="21" t="s">
        <v>24</v>
      </c>
      <c r="I79" s="21" t="s">
        <v>24</v>
      </c>
      <c r="J79" s="21" t="s">
        <v>24</v>
      </c>
      <c r="K79" s="21" t="s">
        <v>25</v>
      </c>
      <c r="L79" s="21" t="s">
        <v>24</v>
      </c>
      <c r="M79" s="0" t="n">
        <v>184</v>
      </c>
      <c r="N79" s="0" t="n">
        <v>0</v>
      </c>
      <c r="Q79" s="0" t="n">
        <v>0</v>
      </c>
      <c r="S79" s="0" t="n">
        <v>0</v>
      </c>
      <c r="U79" s="22" t="b">
        <f aca="false">FALSE()</f>
        <v>0</v>
      </c>
      <c r="V79" s="0" t="n">
        <v>0.77</v>
      </c>
      <c r="W79" s="0" t="n">
        <v>0.64</v>
      </c>
      <c r="X79" s="0" t="n">
        <v>5.84</v>
      </c>
      <c r="Y79" s="0" t="n">
        <v>323.29</v>
      </c>
      <c r="Z79" s="0" t="n">
        <v>8</v>
      </c>
      <c r="AA79" s="0" t="n">
        <v>-1.25</v>
      </c>
      <c r="AB79" s="0" t="n">
        <v>31.99</v>
      </c>
      <c r="AC79" s="22" t="b">
        <f aca="false">FALSE()</f>
        <v>0</v>
      </c>
      <c r="AD79" s="0" t="n">
        <v>0.23</v>
      </c>
      <c r="AE79" s="0" t="n">
        <v>0.11</v>
      </c>
      <c r="AF79" s="0" t="n">
        <v>0.4</v>
      </c>
      <c r="AG79" s="22" t="b">
        <f aca="false">FALSE()</f>
        <v>0</v>
      </c>
      <c r="AH79" s="0" t="n">
        <v>1</v>
      </c>
    </row>
    <row r="80" customFormat="false" ht="15" hidden="false" customHeight="false" outlineLevel="0" collapsed="false">
      <c r="A80" s="0" t="s">
        <v>291</v>
      </c>
      <c r="B80" s="0" t="s">
        <v>134</v>
      </c>
      <c r="C80" s="0" t="s">
        <v>3447</v>
      </c>
      <c r="D80" s="0" t="s">
        <v>3457</v>
      </c>
      <c r="E80" s="18" t="s">
        <v>24</v>
      </c>
      <c r="F80" s="23" t="s">
        <v>30</v>
      </c>
      <c r="G80" s="21" t="s">
        <v>30</v>
      </c>
      <c r="H80" s="21" t="s">
        <v>24</v>
      </c>
      <c r="I80" s="21" t="s">
        <v>24</v>
      </c>
      <c r="J80" s="21" t="s">
        <v>24</v>
      </c>
      <c r="K80" s="21" t="s">
        <v>24</v>
      </c>
      <c r="L80" s="21" t="s">
        <v>24</v>
      </c>
      <c r="M80" s="0" t="n">
        <v>202</v>
      </c>
      <c r="N80" s="0" t="n">
        <v>2</v>
      </c>
      <c r="O80" s="21" t="s">
        <v>3521</v>
      </c>
      <c r="P80" s="21" t="s">
        <v>4273</v>
      </c>
      <c r="Q80" s="0" t="n">
        <v>0</v>
      </c>
      <c r="S80" s="0" t="n">
        <v>2</v>
      </c>
      <c r="T80" s="21" t="s">
        <v>3521</v>
      </c>
      <c r="U80" s="22" t="b">
        <f aca="false">TRUE()</f>
        <v>1</v>
      </c>
      <c r="V80" s="0" t="n">
        <v>0.75</v>
      </c>
      <c r="W80" s="0" t="n">
        <v>0.4</v>
      </c>
      <c r="X80" s="0" t="n">
        <v>6.74</v>
      </c>
      <c r="Y80" s="0" t="n">
        <v>380.86</v>
      </c>
      <c r="Z80" s="0" t="n">
        <v>8</v>
      </c>
      <c r="AA80" s="0" t="n">
        <v>1.18</v>
      </c>
      <c r="AB80" s="0" t="n">
        <v>4.98</v>
      </c>
      <c r="AC80" s="22" t="b">
        <f aca="false">FALSE()</f>
        <v>0</v>
      </c>
      <c r="AD80" s="0" t="n">
        <v>3.67</v>
      </c>
      <c r="AE80" s="0" t="n">
        <v>0.55</v>
      </c>
      <c r="AF80" s="0" t="n">
        <v>1.75</v>
      </c>
      <c r="AG80" s="22" t="b">
        <f aca="false">FALSE()</f>
        <v>0</v>
      </c>
      <c r="AH80" s="0" t="n">
        <v>1</v>
      </c>
    </row>
    <row r="81" customFormat="false" ht="15" hidden="false" customHeight="false" outlineLevel="0" collapsed="false">
      <c r="A81" s="0" t="s">
        <v>291</v>
      </c>
      <c r="B81" s="0" t="s">
        <v>134</v>
      </c>
      <c r="C81" s="0" t="s">
        <v>3447</v>
      </c>
      <c r="D81" s="0" t="s">
        <v>3448</v>
      </c>
      <c r="E81" s="18" t="s">
        <v>24</v>
      </c>
      <c r="F81" s="23" t="s">
        <v>30</v>
      </c>
      <c r="G81" s="21" t="s">
        <v>30</v>
      </c>
      <c r="H81" s="21" t="s">
        <v>24</v>
      </c>
      <c r="I81" s="21" t="s">
        <v>24</v>
      </c>
      <c r="J81" s="21" t="s">
        <v>24</v>
      </c>
      <c r="K81" s="21" t="s">
        <v>24</v>
      </c>
      <c r="L81" s="21" t="s">
        <v>24</v>
      </c>
      <c r="M81" s="0" t="n">
        <v>189</v>
      </c>
      <c r="N81" s="0" t="n">
        <v>5</v>
      </c>
      <c r="O81" s="21" t="s">
        <v>3679</v>
      </c>
      <c r="P81" s="21" t="s">
        <v>4274</v>
      </c>
      <c r="Q81" s="0" t="n">
        <v>0</v>
      </c>
      <c r="S81" s="0" t="n">
        <v>5</v>
      </c>
      <c r="T81" s="21" t="s">
        <v>3679</v>
      </c>
      <c r="U81" s="22" t="b">
        <f aca="false">TRUE()</f>
        <v>1</v>
      </c>
      <c r="V81" s="0" t="n">
        <v>0.79</v>
      </c>
      <c r="W81" s="0" t="n">
        <v>0.92</v>
      </c>
      <c r="X81" s="0" t="n">
        <v>8.07</v>
      </c>
      <c r="Y81" s="0" t="n">
        <v>328.49</v>
      </c>
      <c r="Z81" s="0" t="n">
        <v>8</v>
      </c>
      <c r="AA81" s="0" t="n">
        <v>0.8</v>
      </c>
      <c r="AB81" s="0" t="n">
        <v>31.99</v>
      </c>
      <c r="AC81" s="22" t="b">
        <f aca="false">FALSE()</f>
        <v>0</v>
      </c>
      <c r="AD81" s="0" t="n">
        <v>2.1</v>
      </c>
      <c r="AE81" s="0" t="n">
        <v>3.76</v>
      </c>
      <c r="AF81" s="0" t="n">
        <v>2.87</v>
      </c>
      <c r="AG81" s="22" t="b">
        <f aca="false">FALSE()</f>
        <v>0</v>
      </c>
      <c r="AH81" s="0" t="n">
        <v>1</v>
      </c>
    </row>
    <row r="82" customFormat="false" ht="15" hidden="false" customHeight="false" outlineLevel="0" collapsed="false">
      <c r="A82" s="0" t="s">
        <v>291</v>
      </c>
      <c r="B82" s="0" t="s">
        <v>3459</v>
      </c>
      <c r="C82" s="0" t="s">
        <v>3450</v>
      </c>
      <c r="D82" s="0" t="s">
        <v>3457</v>
      </c>
      <c r="E82" s="20" t="s">
        <v>25</v>
      </c>
      <c r="F82" s="23" t="s">
        <v>30</v>
      </c>
      <c r="G82" s="21" t="s">
        <v>294</v>
      </c>
      <c r="H82" s="21" t="s">
        <v>24</v>
      </c>
      <c r="I82" s="21" t="s">
        <v>25</v>
      </c>
      <c r="J82" s="21" t="s">
        <v>24</v>
      </c>
      <c r="K82" s="21" t="s">
        <v>25</v>
      </c>
      <c r="L82" s="21" t="s">
        <v>24</v>
      </c>
      <c r="M82" s="0" t="n">
        <v>185</v>
      </c>
      <c r="N82" s="0" t="n">
        <v>1</v>
      </c>
      <c r="O82" s="21" t="s">
        <v>69</v>
      </c>
      <c r="P82" s="21" t="s">
        <v>4275</v>
      </c>
      <c r="Q82" s="0" t="n">
        <v>1</v>
      </c>
      <c r="R82" s="21" t="s">
        <v>69</v>
      </c>
      <c r="S82" s="0" t="n">
        <v>1</v>
      </c>
      <c r="T82" s="21" t="s">
        <v>69</v>
      </c>
      <c r="U82" s="22" t="b">
        <f aca="false">TRUE()</f>
        <v>1</v>
      </c>
      <c r="V82" s="0" t="n">
        <v>0.77</v>
      </c>
      <c r="W82" s="0" t="n">
        <v>0.92</v>
      </c>
      <c r="X82" s="0" t="n">
        <v>6.18</v>
      </c>
      <c r="Y82" s="0" t="n">
        <v>320.63</v>
      </c>
      <c r="Z82" s="0" t="n">
        <v>8</v>
      </c>
      <c r="AA82" s="0" t="n">
        <v>1.01</v>
      </c>
      <c r="AB82" s="0" t="n">
        <v>0.17</v>
      </c>
      <c r="AC82" s="22" t="b">
        <f aca="false">TRUE()</f>
        <v>1</v>
      </c>
      <c r="AD82" s="0" t="n">
        <v>24.07</v>
      </c>
      <c r="AE82" s="0" t="n">
        <v>12.33</v>
      </c>
      <c r="AF82" s="0" t="n">
        <v>20.42</v>
      </c>
      <c r="AG82" s="22" t="b">
        <f aca="false">TRUE()</f>
        <v>1</v>
      </c>
      <c r="AH82" s="0" t="n">
        <v>1</v>
      </c>
    </row>
    <row r="83" customFormat="false" ht="15" hidden="false" customHeight="false" outlineLevel="0" collapsed="false">
      <c r="A83" s="0" t="s">
        <v>291</v>
      </c>
      <c r="B83" s="0" t="s">
        <v>3459</v>
      </c>
      <c r="C83" s="0" t="s">
        <v>3450</v>
      </c>
      <c r="D83" s="0" t="s">
        <v>3448</v>
      </c>
      <c r="E83" s="20" t="s">
        <v>25</v>
      </c>
      <c r="F83" s="23" t="s">
        <v>30</v>
      </c>
      <c r="G83" s="21" t="s">
        <v>1046</v>
      </c>
      <c r="H83" s="21" t="s">
        <v>24</v>
      </c>
      <c r="I83" s="21" t="s">
        <v>25</v>
      </c>
      <c r="J83" s="21" t="s">
        <v>24</v>
      </c>
      <c r="K83" s="21" t="s">
        <v>25</v>
      </c>
      <c r="L83" s="21" t="s">
        <v>24</v>
      </c>
      <c r="M83" s="0" t="n">
        <v>184</v>
      </c>
      <c r="N83" s="0" t="n">
        <v>1</v>
      </c>
      <c r="O83" s="21" t="s">
        <v>69</v>
      </c>
      <c r="P83" s="21" t="s">
        <v>4275</v>
      </c>
      <c r="Q83" s="0" t="n">
        <v>1</v>
      </c>
      <c r="R83" s="21" t="s">
        <v>69</v>
      </c>
      <c r="S83" s="0" t="n">
        <v>1</v>
      </c>
      <c r="T83" s="21" t="s">
        <v>69</v>
      </c>
      <c r="U83" s="22" t="b">
        <f aca="false">TRUE()</f>
        <v>1</v>
      </c>
      <c r="V83" s="0" t="n">
        <v>0.75</v>
      </c>
      <c r="W83" s="0" t="n">
        <v>0.72</v>
      </c>
      <c r="X83" s="0" t="n">
        <v>6.51</v>
      </c>
      <c r="Y83" s="0" t="n">
        <v>315.39</v>
      </c>
      <c r="Z83" s="0" t="n">
        <v>8.25</v>
      </c>
      <c r="AA83" s="0" t="n">
        <v>-0.47</v>
      </c>
      <c r="AB83" s="0" t="n">
        <v>4.01</v>
      </c>
      <c r="AC83" s="22" t="b">
        <f aca="false">FALSE()</f>
        <v>0</v>
      </c>
      <c r="AD83" s="0" t="n">
        <v>20.96</v>
      </c>
      <c r="AE83" s="0" t="n">
        <v>11.55</v>
      </c>
      <c r="AF83" s="0" t="n">
        <v>18.22</v>
      </c>
      <c r="AG83" s="22" t="b">
        <f aca="false">TRUE()</f>
        <v>1</v>
      </c>
      <c r="AH83" s="0" t="n">
        <v>1</v>
      </c>
    </row>
    <row r="84" customFormat="false" ht="15" hidden="false" customHeight="false" outlineLevel="0" collapsed="false">
      <c r="A84" s="0" t="s">
        <v>291</v>
      </c>
      <c r="B84" s="0" t="s">
        <v>3459</v>
      </c>
      <c r="C84" s="0" t="s">
        <v>3447</v>
      </c>
      <c r="D84" s="0" t="s">
        <v>3457</v>
      </c>
      <c r="E84" s="20" t="s">
        <v>25</v>
      </c>
      <c r="F84" s="23" t="s">
        <v>30</v>
      </c>
      <c r="G84" s="21" t="s">
        <v>3487</v>
      </c>
      <c r="H84" s="21" t="s">
        <v>24</v>
      </c>
      <c r="I84" s="21" t="s">
        <v>24</v>
      </c>
      <c r="J84" s="21" t="s">
        <v>24</v>
      </c>
      <c r="K84" s="21" t="s">
        <v>25</v>
      </c>
      <c r="L84" s="21" t="s">
        <v>24</v>
      </c>
      <c r="M84" s="0" t="n">
        <v>184</v>
      </c>
      <c r="N84" s="0" t="n">
        <v>5</v>
      </c>
      <c r="O84" s="21" t="s">
        <v>3701</v>
      </c>
      <c r="P84" s="21" t="s">
        <v>4276</v>
      </c>
      <c r="Q84" s="0" t="n">
        <v>0</v>
      </c>
      <c r="S84" s="0" t="n">
        <v>5</v>
      </c>
      <c r="T84" s="21" t="s">
        <v>3701</v>
      </c>
      <c r="U84" s="22" t="b">
        <f aca="false">TRUE()</f>
        <v>1</v>
      </c>
      <c r="V84" s="0" t="n">
        <v>0.8</v>
      </c>
      <c r="W84" s="0" t="n">
        <v>0.48</v>
      </c>
      <c r="X84" s="0" t="n">
        <v>7.28</v>
      </c>
      <c r="Y84" s="0" t="n">
        <v>336.17</v>
      </c>
      <c r="Z84" s="0" t="n">
        <v>8</v>
      </c>
      <c r="AA84" s="0" t="n">
        <v>-0.97</v>
      </c>
      <c r="AB84" s="0" t="n">
        <v>0.17</v>
      </c>
      <c r="AC84" s="22" t="b">
        <f aca="false">FALSE()</f>
        <v>0</v>
      </c>
      <c r="AD84" s="0" t="n">
        <v>20.78</v>
      </c>
      <c r="AE84" s="0" t="n">
        <v>10.94</v>
      </c>
      <c r="AF84" s="0" t="n">
        <v>18.52</v>
      </c>
      <c r="AG84" s="22" t="b">
        <f aca="false">TRUE()</f>
        <v>1</v>
      </c>
      <c r="AH84" s="0" t="n">
        <v>1</v>
      </c>
    </row>
    <row r="85" customFormat="false" ht="15" hidden="false" customHeight="false" outlineLevel="0" collapsed="false">
      <c r="A85" s="0" t="s">
        <v>291</v>
      </c>
      <c r="B85" s="0" t="s">
        <v>3459</v>
      </c>
      <c r="C85" s="0" t="s">
        <v>3447</v>
      </c>
      <c r="D85" s="0" t="s">
        <v>3448</v>
      </c>
      <c r="E85" s="20" t="s">
        <v>25</v>
      </c>
      <c r="F85" s="23" t="s">
        <v>30</v>
      </c>
      <c r="G85" s="21" t="s">
        <v>992</v>
      </c>
      <c r="H85" s="21" t="s">
        <v>24</v>
      </c>
      <c r="I85" s="21" t="s">
        <v>24</v>
      </c>
      <c r="J85" s="21" t="s">
        <v>24</v>
      </c>
      <c r="K85" s="21" t="s">
        <v>25</v>
      </c>
      <c r="L85" s="21" t="s">
        <v>24</v>
      </c>
      <c r="M85" s="0" t="n">
        <v>185</v>
      </c>
      <c r="N85" s="0" t="n">
        <v>4</v>
      </c>
      <c r="O85" s="21" t="s">
        <v>3635</v>
      </c>
      <c r="P85" s="21" t="s">
        <v>4277</v>
      </c>
      <c r="Q85" s="0" t="n">
        <v>0</v>
      </c>
      <c r="S85" s="0" t="n">
        <v>4</v>
      </c>
      <c r="T85" s="21" t="s">
        <v>3635</v>
      </c>
      <c r="U85" s="22" t="b">
        <f aca="false">TRUE()</f>
        <v>1</v>
      </c>
      <c r="V85" s="0" t="n">
        <v>0.82</v>
      </c>
      <c r="W85" s="0" t="n">
        <v>0.28</v>
      </c>
      <c r="X85" s="0" t="n">
        <v>8.2</v>
      </c>
      <c r="Y85" s="0" t="n">
        <v>416.85</v>
      </c>
      <c r="Z85" s="0" t="n">
        <v>8</v>
      </c>
      <c r="AA85" s="0" t="n">
        <v>0.35</v>
      </c>
      <c r="AB85" s="0" t="n">
        <v>4.01</v>
      </c>
      <c r="AC85" s="22" t="b">
        <f aca="false">FALSE()</f>
        <v>0</v>
      </c>
      <c r="AD85" s="0" t="n">
        <v>23.13</v>
      </c>
      <c r="AE85" s="0" t="n">
        <v>12.59</v>
      </c>
      <c r="AF85" s="0" t="n">
        <v>19.93</v>
      </c>
      <c r="AG85" s="22" t="b">
        <f aca="false">TRUE()</f>
        <v>1</v>
      </c>
      <c r="AH85" s="0" t="n">
        <v>1</v>
      </c>
    </row>
    <row r="86" customFormat="false" ht="15" hidden="false" customHeight="false" outlineLevel="0" collapsed="false">
      <c r="A86" s="0" t="s">
        <v>297</v>
      </c>
      <c r="B86" s="0" t="s">
        <v>134</v>
      </c>
      <c r="C86" s="0" t="s">
        <v>3450</v>
      </c>
      <c r="D86" s="0" t="s">
        <v>3457</v>
      </c>
      <c r="E86" s="19" t="s">
        <v>26</v>
      </c>
      <c r="F86" s="19" t="s">
        <v>32</v>
      </c>
      <c r="G86" s="21" t="s">
        <v>4005</v>
      </c>
      <c r="H86" s="21" t="s">
        <v>24</v>
      </c>
      <c r="I86" s="21" t="s">
        <v>26</v>
      </c>
      <c r="J86" s="21" t="s">
        <v>24</v>
      </c>
      <c r="K86" s="21" t="s">
        <v>25</v>
      </c>
      <c r="L86" s="21" t="s">
        <v>24</v>
      </c>
      <c r="M86" s="0" t="n">
        <v>183</v>
      </c>
      <c r="N86" s="0" t="n">
        <v>12</v>
      </c>
      <c r="O86" s="21" t="s">
        <v>4044</v>
      </c>
      <c r="P86" s="21" t="s">
        <v>4278</v>
      </c>
      <c r="Q86" s="0" t="n">
        <v>1</v>
      </c>
      <c r="R86" s="21" t="s">
        <v>69</v>
      </c>
      <c r="S86" s="0" t="n">
        <v>12</v>
      </c>
      <c r="T86" s="21" t="s">
        <v>4044</v>
      </c>
      <c r="U86" s="22" t="b">
        <f aca="false">FALSE()</f>
        <v>0</v>
      </c>
      <c r="V86" s="0" t="n">
        <v>0.75</v>
      </c>
      <c r="W86" s="0" t="n">
        <v>0.4</v>
      </c>
      <c r="X86" s="0" t="n">
        <v>7.4</v>
      </c>
      <c r="Y86" s="0" t="n">
        <v>339.37</v>
      </c>
      <c r="Z86" s="0" t="n">
        <v>11</v>
      </c>
      <c r="AA86" s="0" t="n">
        <v>6.76</v>
      </c>
      <c r="AB86" s="0" t="n">
        <v>0.42</v>
      </c>
      <c r="AC86" s="22" t="b">
        <f aca="false">FALSE()</f>
        <v>0</v>
      </c>
      <c r="AD86" s="0" t="n">
        <v>23.31</v>
      </c>
      <c r="AE86" s="0" t="n">
        <v>12.23</v>
      </c>
      <c r="AF86" s="0" t="n">
        <v>17.94</v>
      </c>
      <c r="AG86" s="22" t="b">
        <f aca="false">TRUE()</f>
        <v>1</v>
      </c>
      <c r="AH86" s="0" t="n">
        <v>1</v>
      </c>
    </row>
    <row r="87" customFormat="false" ht="15" hidden="false" customHeight="false" outlineLevel="0" collapsed="false">
      <c r="A87" s="0" t="s">
        <v>297</v>
      </c>
      <c r="B87" s="0" t="s">
        <v>134</v>
      </c>
      <c r="C87" s="0" t="s">
        <v>3450</v>
      </c>
      <c r="D87" s="0" t="s">
        <v>3448</v>
      </c>
      <c r="E87" s="20" t="s">
        <v>25</v>
      </c>
      <c r="F87" s="23" t="s">
        <v>30</v>
      </c>
      <c r="G87" s="21" t="s">
        <v>283</v>
      </c>
      <c r="H87" s="21" t="s">
        <v>24</v>
      </c>
      <c r="I87" s="21" t="s">
        <v>25</v>
      </c>
      <c r="J87" s="21" t="s">
        <v>24</v>
      </c>
      <c r="K87" s="21" t="s">
        <v>24</v>
      </c>
      <c r="L87" s="21" t="s">
        <v>24</v>
      </c>
      <c r="M87" s="0" t="n">
        <v>183</v>
      </c>
      <c r="N87" s="0" t="n">
        <v>6</v>
      </c>
      <c r="O87" s="21" t="s">
        <v>3839</v>
      </c>
      <c r="P87" s="21" t="s">
        <v>4279</v>
      </c>
      <c r="Q87" s="0" t="n">
        <v>1</v>
      </c>
      <c r="R87" s="21" t="s">
        <v>69</v>
      </c>
      <c r="S87" s="0" t="n">
        <v>6</v>
      </c>
      <c r="T87" s="21" t="s">
        <v>3839</v>
      </c>
      <c r="U87" s="22" t="b">
        <f aca="false">TRUE()</f>
        <v>1</v>
      </c>
      <c r="V87" s="0" t="n">
        <v>0.76</v>
      </c>
      <c r="W87" s="0" t="n">
        <v>0.12</v>
      </c>
      <c r="X87" s="0" t="n">
        <v>7.42</v>
      </c>
      <c r="Y87" s="0" t="n">
        <v>592.96</v>
      </c>
      <c r="Z87" s="0" t="n">
        <v>11</v>
      </c>
      <c r="AA87" s="0" t="n">
        <v>5.91</v>
      </c>
      <c r="AB87" s="0" t="n">
        <v>1.91</v>
      </c>
      <c r="AC87" s="22" t="b">
        <f aca="false">FALSE()</f>
        <v>0</v>
      </c>
      <c r="AD87" s="0" t="n">
        <v>17.48</v>
      </c>
      <c r="AE87" s="0" t="n">
        <v>7.2</v>
      </c>
      <c r="AF87" s="0" t="n">
        <v>19.07</v>
      </c>
      <c r="AG87" s="22" t="b">
        <f aca="false">TRUE()</f>
        <v>1</v>
      </c>
      <c r="AH87" s="0" t="n">
        <v>1</v>
      </c>
    </row>
    <row r="88" customFormat="false" ht="15" hidden="false" customHeight="false" outlineLevel="0" collapsed="false">
      <c r="A88" s="0" t="s">
        <v>297</v>
      </c>
      <c r="B88" s="0" t="s">
        <v>134</v>
      </c>
      <c r="C88" s="0" t="s">
        <v>3447</v>
      </c>
      <c r="D88" s="0" t="s">
        <v>3457</v>
      </c>
      <c r="E88" s="20" t="s">
        <v>25</v>
      </c>
      <c r="F88" s="23" t="s">
        <v>30</v>
      </c>
      <c r="G88" s="21" t="s">
        <v>2610</v>
      </c>
      <c r="H88" s="21" t="s">
        <v>24</v>
      </c>
      <c r="I88" s="21" t="s">
        <v>24</v>
      </c>
      <c r="J88" s="21" t="s">
        <v>24</v>
      </c>
      <c r="K88" s="21" t="s">
        <v>25</v>
      </c>
      <c r="L88" s="21" t="s">
        <v>24</v>
      </c>
      <c r="M88" s="0" t="n">
        <v>184</v>
      </c>
      <c r="N88" s="0" t="n">
        <v>2</v>
      </c>
      <c r="O88" s="21" t="s">
        <v>3508</v>
      </c>
      <c r="P88" s="21" t="s">
        <v>4280</v>
      </c>
      <c r="Q88" s="0" t="n">
        <v>0</v>
      </c>
      <c r="S88" s="0" t="n">
        <v>2</v>
      </c>
      <c r="T88" s="21" t="s">
        <v>3508</v>
      </c>
      <c r="U88" s="22" t="b">
        <f aca="false">TRUE()</f>
        <v>1</v>
      </c>
      <c r="V88" s="0" t="n">
        <v>0.74</v>
      </c>
      <c r="W88" s="0" t="n">
        <v>0.92</v>
      </c>
      <c r="X88" s="0" t="n">
        <v>7.83</v>
      </c>
      <c r="Y88" s="0" t="n">
        <v>307.37</v>
      </c>
      <c r="Z88" s="0" t="n">
        <v>8</v>
      </c>
      <c r="AA88" s="0" t="n">
        <v>-0.48</v>
      </c>
      <c r="AB88" s="0" t="n">
        <v>0.42</v>
      </c>
      <c r="AC88" s="22" t="b">
        <f aca="false">FALSE()</f>
        <v>0</v>
      </c>
      <c r="AD88" s="0" t="n">
        <v>13.39</v>
      </c>
      <c r="AE88" s="0" t="n">
        <v>2.87</v>
      </c>
      <c r="AF88" s="0" t="n">
        <v>7.19</v>
      </c>
      <c r="AG88" s="22" t="b">
        <f aca="false">TRUE()</f>
        <v>1</v>
      </c>
      <c r="AH88" s="0" t="n">
        <v>1</v>
      </c>
    </row>
    <row r="89" customFormat="false" ht="15" hidden="false" customHeight="false" outlineLevel="0" collapsed="false">
      <c r="A89" s="0" t="s">
        <v>297</v>
      </c>
      <c r="B89" s="0" t="s">
        <v>134</v>
      </c>
      <c r="C89" s="0" t="s">
        <v>3447</v>
      </c>
      <c r="D89" s="0" t="s">
        <v>3448</v>
      </c>
      <c r="E89" s="18" t="s">
        <v>24</v>
      </c>
      <c r="F89" s="23" t="s">
        <v>30</v>
      </c>
      <c r="G89" s="21" t="s">
        <v>30</v>
      </c>
      <c r="H89" s="21" t="s">
        <v>24</v>
      </c>
      <c r="I89" s="21" t="s">
        <v>24</v>
      </c>
      <c r="J89" s="21" t="s">
        <v>24</v>
      </c>
      <c r="K89" s="21" t="s">
        <v>24</v>
      </c>
      <c r="L89" s="21" t="s">
        <v>24</v>
      </c>
      <c r="M89" s="0" t="n">
        <v>184</v>
      </c>
      <c r="N89" s="0" t="n">
        <v>2</v>
      </c>
      <c r="O89" s="21" t="s">
        <v>3497</v>
      </c>
      <c r="P89" s="21" t="s">
        <v>4281</v>
      </c>
      <c r="Q89" s="0" t="n">
        <v>0</v>
      </c>
      <c r="S89" s="0" t="n">
        <v>2</v>
      </c>
      <c r="T89" s="21" t="s">
        <v>3497</v>
      </c>
      <c r="U89" s="22" t="b">
        <f aca="false">TRUE()</f>
        <v>1</v>
      </c>
      <c r="V89" s="0" t="n">
        <v>0.73</v>
      </c>
      <c r="W89" s="0" t="n">
        <v>0.2</v>
      </c>
      <c r="X89" s="0" t="n">
        <v>7.81</v>
      </c>
      <c r="Y89" s="0" t="n">
        <v>480.05</v>
      </c>
      <c r="Z89" s="0" t="n">
        <v>8.92</v>
      </c>
      <c r="AA89" s="0" t="n">
        <v>1.8</v>
      </c>
      <c r="AB89" s="0" t="n">
        <v>1.91</v>
      </c>
      <c r="AC89" s="22" t="b">
        <f aca="false">FALSE()</f>
        <v>0</v>
      </c>
      <c r="AD89" s="0" t="n">
        <v>15.42</v>
      </c>
      <c r="AE89" s="0" t="n">
        <v>5.05</v>
      </c>
      <c r="AF89" s="0" t="n">
        <v>13.85</v>
      </c>
      <c r="AG89" s="22" t="b">
        <f aca="false">TRUE()</f>
        <v>1</v>
      </c>
      <c r="AH89" s="0" t="n">
        <v>1</v>
      </c>
    </row>
    <row r="90" customFormat="false" ht="15" hidden="false" customHeight="false" outlineLevel="0" collapsed="false">
      <c r="A90" s="0" t="s">
        <v>310</v>
      </c>
      <c r="B90" s="0" t="s">
        <v>134</v>
      </c>
      <c r="C90" s="0" t="s">
        <v>3450</v>
      </c>
      <c r="D90" s="0" t="s">
        <v>3457</v>
      </c>
      <c r="E90" s="20" t="s">
        <v>25</v>
      </c>
      <c r="F90" s="23" t="s">
        <v>30</v>
      </c>
      <c r="G90" s="21" t="s">
        <v>283</v>
      </c>
      <c r="H90" s="21" t="s">
        <v>24</v>
      </c>
      <c r="I90" s="21" t="s">
        <v>25</v>
      </c>
      <c r="J90" s="21" t="s">
        <v>24</v>
      </c>
      <c r="K90" s="21" t="s">
        <v>24</v>
      </c>
      <c r="L90" s="21" t="s">
        <v>24</v>
      </c>
      <c r="M90" s="0" t="n">
        <v>182</v>
      </c>
      <c r="N90" s="0" t="n">
        <v>2</v>
      </c>
      <c r="O90" s="21" t="s">
        <v>3575</v>
      </c>
      <c r="P90" s="21" t="s">
        <v>4265</v>
      </c>
      <c r="Q90" s="0" t="n">
        <v>1</v>
      </c>
      <c r="R90" s="21" t="s">
        <v>69</v>
      </c>
      <c r="S90" s="0" t="n">
        <v>2</v>
      </c>
      <c r="T90" s="21" t="s">
        <v>3575</v>
      </c>
      <c r="U90" s="22" t="b">
        <f aca="false">TRUE()</f>
        <v>1</v>
      </c>
      <c r="V90" s="0" t="n">
        <v>0.71</v>
      </c>
      <c r="W90" s="0" t="n">
        <v>0.68</v>
      </c>
      <c r="X90" s="0" t="n">
        <v>9.23</v>
      </c>
      <c r="Y90" s="0" t="n">
        <v>304.05</v>
      </c>
      <c r="Z90" s="0" t="n">
        <v>9.25</v>
      </c>
      <c r="AA90" s="0" t="n">
        <v>11.83</v>
      </c>
      <c r="AB90" s="0" t="n">
        <v>6.59</v>
      </c>
      <c r="AC90" s="22" t="b">
        <f aca="false">FALSE()</f>
        <v>0</v>
      </c>
      <c r="AD90" s="0" t="n">
        <v>8.83</v>
      </c>
      <c r="AE90" s="0" t="n">
        <v>0.68</v>
      </c>
      <c r="AF90" s="0" t="n">
        <v>2.41</v>
      </c>
      <c r="AG90" s="22" t="b">
        <f aca="false">FALSE()</f>
        <v>0</v>
      </c>
      <c r="AH90" s="0" t="n">
        <v>1</v>
      </c>
    </row>
    <row r="91" customFormat="false" ht="15" hidden="false" customHeight="false" outlineLevel="0" collapsed="false">
      <c r="A91" s="0" t="s">
        <v>310</v>
      </c>
      <c r="B91" s="0" t="s">
        <v>134</v>
      </c>
      <c r="C91" s="0" t="s">
        <v>3450</v>
      </c>
      <c r="D91" s="0" t="s">
        <v>3448</v>
      </c>
      <c r="E91" s="20" t="s">
        <v>25</v>
      </c>
      <c r="F91" s="23" t="s">
        <v>30</v>
      </c>
      <c r="G91" s="21" t="s">
        <v>283</v>
      </c>
      <c r="H91" s="21" t="s">
        <v>24</v>
      </c>
      <c r="I91" s="21" t="s">
        <v>25</v>
      </c>
      <c r="J91" s="21" t="s">
        <v>24</v>
      </c>
      <c r="K91" s="21" t="s">
        <v>24</v>
      </c>
      <c r="L91" s="21" t="s">
        <v>24</v>
      </c>
      <c r="M91" s="0" t="n">
        <v>182</v>
      </c>
      <c r="N91" s="0" t="n">
        <v>2</v>
      </c>
      <c r="O91" s="21" t="s">
        <v>3566</v>
      </c>
      <c r="P91" s="21" t="s">
        <v>4238</v>
      </c>
      <c r="Q91" s="0" t="n">
        <v>1</v>
      </c>
      <c r="R91" s="21" t="s">
        <v>69</v>
      </c>
      <c r="S91" s="0" t="n">
        <v>2</v>
      </c>
      <c r="T91" s="21" t="s">
        <v>3566</v>
      </c>
      <c r="U91" s="22" t="b">
        <f aca="false">TRUE()</f>
        <v>1</v>
      </c>
      <c r="V91" s="0" t="n">
        <v>0.77</v>
      </c>
      <c r="W91" s="0" t="n">
        <v>0.68</v>
      </c>
      <c r="X91" s="0" t="n">
        <v>9.65</v>
      </c>
      <c r="Y91" s="0" t="n">
        <v>316.11</v>
      </c>
      <c r="Z91" s="0" t="n">
        <v>9.5</v>
      </c>
      <c r="AA91" s="0" t="n">
        <v>10.01</v>
      </c>
      <c r="AB91" s="0" t="n">
        <v>6.39</v>
      </c>
      <c r="AC91" s="22" t="b">
        <f aca="false">FALSE()</f>
        <v>0</v>
      </c>
      <c r="AD91" s="0" t="n">
        <v>19.86</v>
      </c>
      <c r="AE91" s="0" t="n">
        <v>5.07</v>
      </c>
      <c r="AF91" s="0" t="n">
        <v>20.18</v>
      </c>
      <c r="AG91" s="22" t="b">
        <f aca="false">TRUE()</f>
        <v>1</v>
      </c>
      <c r="AH91" s="0" t="n">
        <v>1</v>
      </c>
    </row>
    <row r="92" customFormat="false" ht="15" hidden="false" customHeight="false" outlineLevel="0" collapsed="false">
      <c r="A92" s="0" t="s">
        <v>310</v>
      </c>
      <c r="B92" s="0" t="s">
        <v>134</v>
      </c>
      <c r="C92" s="0" t="s">
        <v>3447</v>
      </c>
      <c r="D92" s="0" t="s">
        <v>3457</v>
      </c>
      <c r="E92" s="19" t="s">
        <v>26</v>
      </c>
      <c r="F92" s="19" t="s">
        <v>32</v>
      </c>
      <c r="G92" s="21" t="s">
        <v>529</v>
      </c>
      <c r="H92" s="21" t="s">
        <v>24</v>
      </c>
      <c r="I92" s="21" t="s">
        <v>26</v>
      </c>
      <c r="J92" s="21" t="s">
        <v>24</v>
      </c>
      <c r="K92" s="21" t="s">
        <v>24</v>
      </c>
      <c r="L92" s="21" t="s">
        <v>24</v>
      </c>
      <c r="M92" s="0" t="n">
        <v>182</v>
      </c>
      <c r="N92" s="0" t="n">
        <v>10</v>
      </c>
      <c r="O92" s="21" t="s">
        <v>4060</v>
      </c>
      <c r="P92" s="21" t="s">
        <v>4282</v>
      </c>
      <c r="Q92" s="0" t="n">
        <v>1</v>
      </c>
      <c r="R92" s="21" t="s">
        <v>69</v>
      </c>
      <c r="S92" s="0" t="n">
        <v>10</v>
      </c>
      <c r="T92" s="21" t="s">
        <v>4060</v>
      </c>
      <c r="U92" s="22" t="b">
        <f aca="false">FALSE()</f>
        <v>0</v>
      </c>
      <c r="V92" s="0" t="n">
        <v>0.76</v>
      </c>
      <c r="W92" s="0" t="n">
        <v>0.36</v>
      </c>
      <c r="X92" s="0" t="n">
        <v>7.82</v>
      </c>
      <c r="Y92" s="0" t="n">
        <v>368.58</v>
      </c>
      <c r="Z92" s="0" t="n">
        <v>10</v>
      </c>
      <c r="AA92" s="0" t="n">
        <v>6.26</v>
      </c>
      <c r="AB92" s="0" t="n">
        <v>6.59</v>
      </c>
      <c r="AC92" s="22" t="b">
        <f aca="false">FALSE()</f>
        <v>0</v>
      </c>
      <c r="AD92" s="0" t="n">
        <v>12.99</v>
      </c>
      <c r="AE92" s="0" t="n">
        <v>0.93</v>
      </c>
      <c r="AF92" s="0" t="n">
        <v>3.21</v>
      </c>
      <c r="AG92" s="22" t="b">
        <f aca="false">TRUE()</f>
        <v>1</v>
      </c>
      <c r="AH92" s="0" t="n">
        <v>1</v>
      </c>
    </row>
    <row r="93" customFormat="false" ht="15" hidden="false" customHeight="false" outlineLevel="0" collapsed="false">
      <c r="A93" s="0" t="s">
        <v>310</v>
      </c>
      <c r="B93" s="0" t="s">
        <v>134</v>
      </c>
      <c r="C93" s="0" t="s">
        <v>3447</v>
      </c>
      <c r="D93" s="0" t="s">
        <v>3448</v>
      </c>
      <c r="E93" s="19" t="s">
        <v>26</v>
      </c>
      <c r="F93" s="19" t="s">
        <v>32</v>
      </c>
      <c r="G93" s="21" t="s">
        <v>3896</v>
      </c>
      <c r="H93" s="21" t="s">
        <v>24</v>
      </c>
      <c r="I93" s="21" t="s">
        <v>26</v>
      </c>
      <c r="J93" s="21" t="s">
        <v>24</v>
      </c>
      <c r="K93" s="21" t="s">
        <v>25</v>
      </c>
      <c r="L93" s="21" t="s">
        <v>24</v>
      </c>
      <c r="M93" s="0" t="n">
        <v>182</v>
      </c>
      <c r="N93" s="0" t="n">
        <v>9</v>
      </c>
      <c r="O93" s="21" t="s">
        <v>3930</v>
      </c>
      <c r="P93" s="21" t="s">
        <v>4283</v>
      </c>
      <c r="Q93" s="0" t="n">
        <v>0</v>
      </c>
      <c r="S93" s="0" t="n">
        <v>9</v>
      </c>
      <c r="T93" s="21" t="s">
        <v>3930</v>
      </c>
      <c r="U93" s="22" t="b">
        <f aca="false">FALSE()</f>
        <v>0</v>
      </c>
      <c r="V93" s="0" t="n">
        <v>0.78</v>
      </c>
      <c r="W93" s="0" t="n">
        <v>0.2</v>
      </c>
      <c r="X93" s="0" t="n">
        <v>9.01</v>
      </c>
      <c r="Y93" s="0" t="n">
        <v>494.08</v>
      </c>
      <c r="Z93" s="0" t="n">
        <v>9.75</v>
      </c>
      <c r="AA93" s="0" t="n">
        <v>9.82</v>
      </c>
      <c r="AB93" s="0" t="n">
        <v>6.39</v>
      </c>
      <c r="AC93" s="22" t="b">
        <f aca="false">FALSE()</f>
        <v>0</v>
      </c>
      <c r="AD93" s="0" t="n">
        <v>26.97</v>
      </c>
      <c r="AE93" s="0" t="n">
        <v>10.36</v>
      </c>
      <c r="AF93" s="0" t="n">
        <v>23.56</v>
      </c>
      <c r="AG93" s="22" t="b">
        <f aca="false">TRUE()</f>
        <v>1</v>
      </c>
      <c r="AH93" s="0" t="n">
        <v>1</v>
      </c>
    </row>
    <row r="94" customFormat="false" ht="15" hidden="false" customHeight="false" outlineLevel="0" collapsed="false">
      <c r="A94" s="0" t="s">
        <v>317</v>
      </c>
      <c r="B94" s="0" t="s">
        <v>134</v>
      </c>
      <c r="C94" s="0" t="s">
        <v>3450</v>
      </c>
      <c r="D94" s="0" t="s">
        <v>3457</v>
      </c>
      <c r="E94" s="20" t="s">
        <v>25</v>
      </c>
      <c r="F94" s="23" t="s">
        <v>30</v>
      </c>
      <c r="G94" s="21" t="s">
        <v>183</v>
      </c>
      <c r="H94" s="21" t="s">
        <v>24</v>
      </c>
      <c r="I94" s="21" t="s">
        <v>25</v>
      </c>
      <c r="J94" s="21" t="s">
        <v>24</v>
      </c>
      <c r="K94" s="21" t="s">
        <v>25</v>
      </c>
      <c r="L94" s="21" t="s">
        <v>24</v>
      </c>
      <c r="M94" s="0" t="n">
        <v>184</v>
      </c>
      <c r="N94" s="0" t="n">
        <v>3</v>
      </c>
      <c r="O94" s="21" t="s">
        <v>3649</v>
      </c>
      <c r="P94" s="21" t="s">
        <v>4242</v>
      </c>
      <c r="Q94" s="0" t="n">
        <v>1</v>
      </c>
      <c r="R94" s="21" t="s">
        <v>69</v>
      </c>
      <c r="S94" s="0" t="n">
        <v>3</v>
      </c>
      <c r="T94" s="21" t="s">
        <v>3649</v>
      </c>
      <c r="U94" s="22" t="b">
        <f aca="false">TRUE()</f>
        <v>1</v>
      </c>
      <c r="V94" s="0" t="n">
        <v>0.64</v>
      </c>
      <c r="W94" s="0" t="n">
        <v>0.92</v>
      </c>
      <c r="X94" s="0" t="n">
        <v>10.89</v>
      </c>
      <c r="Y94" s="0" t="n">
        <v>227.17</v>
      </c>
      <c r="Z94" s="0" t="n">
        <v>9.17</v>
      </c>
      <c r="AA94" s="0" t="n">
        <v>8.94</v>
      </c>
      <c r="AB94" s="0" t="n">
        <v>2.8</v>
      </c>
      <c r="AC94" s="22" t="b">
        <f aca="false">FALSE()</f>
        <v>0</v>
      </c>
      <c r="AD94" s="0" t="n">
        <v>20.31</v>
      </c>
      <c r="AE94" s="0" t="n">
        <v>10.1</v>
      </c>
      <c r="AF94" s="0" t="n">
        <v>18.06</v>
      </c>
      <c r="AG94" s="22" t="b">
        <f aca="false">TRUE()</f>
        <v>1</v>
      </c>
      <c r="AH94" s="0" t="n">
        <v>1</v>
      </c>
    </row>
    <row r="95" customFormat="false" ht="15" hidden="false" customHeight="false" outlineLevel="0" collapsed="false">
      <c r="A95" s="0" t="s">
        <v>317</v>
      </c>
      <c r="B95" s="0" t="s">
        <v>134</v>
      </c>
      <c r="C95" s="0" t="s">
        <v>3450</v>
      </c>
      <c r="D95" s="0" t="s">
        <v>3448</v>
      </c>
      <c r="E95" s="20" t="s">
        <v>25</v>
      </c>
      <c r="F95" s="23" t="s">
        <v>30</v>
      </c>
      <c r="G95" s="21" t="s">
        <v>1230</v>
      </c>
      <c r="H95" s="21" t="s">
        <v>24</v>
      </c>
      <c r="I95" s="21" t="s">
        <v>25</v>
      </c>
      <c r="J95" s="21" t="s">
        <v>24</v>
      </c>
      <c r="K95" s="21" t="s">
        <v>25</v>
      </c>
      <c r="L95" s="21" t="s">
        <v>24</v>
      </c>
      <c r="M95" s="0" t="n">
        <v>184</v>
      </c>
      <c r="N95" s="0" t="n">
        <v>2</v>
      </c>
      <c r="O95" s="21" t="s">
        <v>3575</v>
      </c>
      <c r="P95" s="21" t="s">
        <v>4265</v>
      </c>
      <c r="Q95" s="0" t="n">
        <v>1</v>
      </c>
      <c r="R95" s="21" t="s">
        <v>69</v>
      </c>
      <c r="S95" s="0" t="n">
        <v>2</v>
      </c>
      <c r="T95" s="21" t="s">
        <v>3575</v>
      </c>
      <c r="U95" s="22" t="b">
        <f aca="false">TRUE()</f>
        <v>1</v>
      </c>
      <c r="V95" s="0" t="n">
        <v>0.66</v>
      </c>
      <c r="W95" s="0" t="n">
        <v>0.84</v>
      </c>
      <c r="X95" s="0" t="n">
        <v>10.84</v>
      </c>
      <c r="Y95" s="0" t="n">
        <v>320.49</v>
      </c>
      <c r="Z95" s="0" t="n">
        <v>9.25</v>
      </c>
      <c r="AA95" s="0" t="n">
        <v>1.76</v>
      </c>
      <c r="AB95" s="0" t="n">
        <v>3.61</v>
      </c>
      <c r="AC95" s="22" t="b">
        <f aca="false">FALSE()</f>
        <v>0</v>
      </c>
      <c r="AD95" s="0" t="n">
        <v>4.48</v>
      </c>
      <c r="AE95" s="0" t="n">
        <v>0.65</v>
      </c>
      <c r="AF95" s="0" t="n">
        <v>1.17</v>
      </c>
      <c r="AG95" s="22" t="b">
        <f aca="false">FALSE()</f>
        <v>0</v>
      </c>
      <c r="AH95" s="0" t="n">
        <v>1</v>
      </c>
    </row>
    <row r="96" customFormat="false" ht="15" hidden="false" customHeight="false" outlineLevel="0" collapsed="false">
      <c r="A96" s="0" t="s">
        <v>317</v>
      </c>
      <c r="B96" s="0" t="s">
        <v>134</v>
      </c>
      <c r="C96" s="0" t="s">
        <v>3447</v>
      </c>
      <c r="D96" s="0" t="s">
        <v>3457</v>
      </c>
      <c r="E96" s="19" t="s">
        <v>26</v>
      </c>
      <c r="F96" s="19" t="s">
        <v>32</v>
      </c>
      <c r="G96" s="21" t="s">
        <v>1926</v>
      </c>
      <c r="H96" s="21" t="s">
        <v>24</v>
      </c>
      <c r="I96" s="21" t="s">
        <v>26</v>
      </c>
      <c r="J96" s="21" t="s">
        <v>24</v>
      </c>
      <c r="K96" s="21" t="s">
        <v>25</v>
      </c>
      <c r="L96" s="21" t="s">
        <v>24</v>
      </c>
      <c r="M96" s="0" t="n">
        <v>183</v>
      </c>
      <c r="N96" s="0" t="n">
        <v>11</v>
      </c>
      <c r="O96" s="21" t="s">
        <v>4034</v>
      </c>
      <c r="P96" s="21" t="s">
        <v>4252</v>
      </c>
      <c r="Q96" s="0" t="n">
        <v>1</v>
      </c>
      <c r="R96" s="21" t="s">
        <v>69</v>
      </c>
      <c r="S96" s="0" t="n">
        <v>11</v>
      </c>
      <c r="T96" s="21" t="s">
        <v>4034</v>
      </c>
      <c r="U96" s="22" t="b">
        <f aca="false">FALSE()</f>
        <v>0</v>
      </c>
      <c r="V96" s="0" t="n">
        <v>0.66</v>
      </c>
      <c r="W96" s="0" t="n">
        <v>0.48</v>
      </c>
      <c r="X96" s="0" t="n">
        <v>9.91</v>
      </c>
      <c r="Y96" s="0" t="n">
        <v>285.41</v>
      </c>
      <c r="Z96" s="0" t="n">
        <v>9.25</v>
      </c>
      <c r="AA96" s="0" t="n">
        <v>6.21</v>
      </c>
      <c r="AB96" s="0" t="n">
        <v>2.8</v>
      </c>
      <c r="AC96" s="22" t="b">
        <f aca="false">FALSE()</f>
        <v>0</v>
      </c>
      <c r="AD96" s="0" t="n">
        <v>25.36</v>
      </c>
      <c r="AE96" s="0" t="n">
        <v>14.27</v>
      </c>
      <c r="AF96" s="0" t="n">
        <v>21.91</v>
      </c>
      <c r="AG96" s="22" t="b">
        <f aca="false">TRUE()</f>
        <v>1</v>
      </c>
      <c r="AH96" s="0" t="n">
        <v>1</v>
      </c>
    </row>
    <row r="97" customFormat="false" ht="15" hidden="false" customHeight="false" outlineLevel="0" collapsed="false">
      <c r="A97" s="0" t="s">
        <v>317</v>
      </c>
      <c r="B97" s="0" t="s">
        <v>134</v>
      </c>
      <c r="C97" s="0" t="s">
        <v>3447</v>
      </c>
      <c r="D97" s="0" t="s">
        <v>3448</v>
      </c>
      <c r="E97" s="19" t="s">
        <v>26</v>
      </c>
      <c r="F97" s="19" t="s">
        <v>32</v>
      </c>
      <c r="G97" s="21" t="s">
        <v>60</v>
      </c>
      <c r="H97" s="21" t="s">
        <v>24</v>
      </c>
      <c r="I97" s="21" t="s">
        <v>26</v>
      </c>
      <c r="J97" s="21" t="s">
        <v>24</v>
      </c>
      <c r="K97" s="21" t="s">
        <v>24</v>
      </c>
      <c r="L97" s="21" t="s">
        <v>24</v>
      </c>
      <c r="M97" s="0" t="n">
        <v>185</v>
      </c>
      <c r="N97" s="0" t="n">
        <v>9</v>
      </c>
      <c r="O97" s="21" t="s">
        <v>3991</v>
      </c>
      <c r="P97" s="21" t="s">
        <v>4284</v>
      </c>
      <c r="Q97" s="0" t="n">
        <v>0</v>
      </c>
      <c r="S97" s="0" t="n">
        <v>9</v>
      </c>
      <c r="T97" s="21" t="s">
        <v>3991</v>
      </c>
      <c r="U97" s="22" t="b">
        <f aca="false">FALSE()</f>
        <v>0</v>
      </c>
      <c r="V97" s="0" t="n">
        <v>0.7</v>
      </c>
      <c r="W97" s="0" t="n">
        <v>0.72</v>
      </c>
      <c r="X97" s="0" t="n">
        <v>10.4</v>
      </c>
      <c r="Y97" s="0" t="n">
        <v>322.17</v>
      </c>
      <c r="Z97" s="0" t="n">
        <v>9.5</v>
      </c>
      <c r="AA97" s="0" t="n">
        <v>8.89</v>
      </c>
      <c r="AB97" s="0" t="n">
        <v>3.61</v>
      </c>
      <c r="AC97" s="22" t="b">
        <f aca="false">FALSE()</f>
        <v>0</v>
      </c>
      <c r="AD97" s="0" t="n">
        <v>9.03</v>
      </c>
      <c r="AE97" s="0" t="n">
        <v>2.08</v>
      </c>
      <c r="AF97" s="0" t="n">
        <v>3.15</v>
      </c>
      <c r="AG97" s="22" t="b">
        <f aca="false">FALSE()</f>
        <v>0</v>
      </c>
      <c r="AH97" s="0" t="n">
        <v>1</v>
      </c>
    </row>
    <row r="98" customFormat="false" ht="15" hidden="false" customHeight="false" outlineLevel="0" collapsed="false">
      <c r="A98" s="0" t="s">
        <v>323</v>
      </c>
      <c r="B98" s="0" t="s">
        <v>134</v>
      </c>
      <c r="C98" s="0" t="s">
        <v>3450</v>
      </c>
      <c r="D98" s="0" t="s">
        <v>3457</v>
      </c>
      <c r="E98" s="20" t="s">
        <v>25</v>
      </c>
      <c r="F98" s="23" t="s">
        <v>30</v>
      </c>
      <c r="G98" s="21" t="s">
        <v>283</v>
      </c>
      <c r="H98" s="21" t="s">
        <v>24</v>
      </c>
      <c r="I98" s="21" t="s">
        <v>25</v>
      </c>
      <c r="J98" s="21" t="s">
        <v>24</v>
      </c>
      <c r="K98" s="21" t="s">
        <v>24</v>
      </c>
      <c r="L98" s="21" t="s">
        <v>24</v>
      </c>
      <c r="M98" s="0" t="n">
        <v>185</v>
      </c>
      <c r="N98" s="0" t="n">
        <v>1</v>
      </c>
      <c r="O98" s="21" t="s">
        <v>69</v>
      </c>
      <c r="P98" s="21" t="s">
        <v>4275</v>
      </c>
      <c r="Q98" s="0" t="n">
        <v>1</v>
      </c>
      <c r="R98" s="21" t="s">
        <v>69</v>
      </c>
      <c r="S98" s="0" t="n">
        <v>1</v>
      </c>
      <c r="T98" s="21" t="s">
        <v>69</v>
      </c>
      <c r="U98" s="22" t="b">
        <f aca="false">TRUE()</f>
        <v>1</v>
      </c>
      <c r="V98" s="0" t="n">
        <v>0.7</v>
      </c>
      <c r="W98" s="0" t="n">
        <v>0.72</v>
      </c>
      <c r="X98" s="0" t="n">
        <v>7.67</v>
      </c>
      <c r="Y98" s="0" t="n">
        <v>318.46</v>
      </c>
      <c r="Z98" s="0" t="n">
        <v>10</v>
      </c>
      <c r="AA98" s="0" t="n">
        <v>22.82</v>
      </c>
      <c r="AB98" s="0" t="n">
        <v>8.04</v>
      </c>
      <c r="AC98" s="22" t="b">
        <f aca="false">FALSE()</f>
        <v>0</v>
      </c>
      <c r="AD98" s="0" t="n">
        <v>15.81</v>
      </c>
      <c r="AE98" s="0" t="n">
        <v>2.11</v>
      </c>
      <c r="AF98" s="0" t="n">
        <v>15.14</v>
      </c>
      <c r="AG98" s="22" t="b">
        <f aca="false">TRUE()</f>
        <v>1</v>
      </c>
      <c r="AH98" s="0" t="n">
        <v>1</v>
      </c>
    </row>
    <row r="99" customFormat="false" ht="15" hidden="false" customHeight="false" outlineLevel="0" collapsed="false">
      <c r="A99" s="0" t="s">
        <v>323</v>
      </c>
      <c r="B99" s="0" t="s">
        <v>134</v>
      </c>
      <c r="C99" s="0" t="s">
        <v>3450</v>
      </c>
      <c r="D99" s="0" t="s">
        <v>3448</v>
      </c>
      <c r="E99" s="18" t="s">
        <v>24</v>
      </c>
      <c r="F99" s="18" t="s">
        <v>28</v>
      </c>
      <c r="H99" s="21" t="s">
        <v>24</v>
      </c>
      <c r="I99" s="21" t="s">
        <v>24</v>
      </c>
      <c r="J99" s="21" t="s">
        <v>24</v>
      </c>
      <c r="K99" s="21" t="s">
        <v>24</v>
      </c>
      <c r="L99" s="21" t="s">
        <v>24</v>
      </c>
      <c r="M99" s="0" t="n">
        <v>182</v>
      </c>
      <c r="N99" s="0" t="n">
        <v>0</v>
      </c>
      <c r="Q99" s="0" t="n">
        <v>0</v>
      </c>
      <c r="S99" s="0" t="n">
        <v>0</v>
      </c>
      <c r="U99" s="22" t="b">
        <f aca="false">FALSE()</f>
        <v>0</v>
      </c>
      <c r="V99" s="0" t="n">
        <v>0.73</v>
      </c>
      <c r="W99" s="0" t="n">
        <v>0.2</v>
      </c>
      <c r="X99" s="0" t="n">
        <v>7.61</v>
      </c>
      <c r="Y99" s="0" t="n">
        <v>386.94</v>
      </c>
      <c r="Z99" s="0" t="n">
        <v>10</v>
      </c>
      <c r="AA99" s="0" t="n">
        <v>24.25</v>
      </c>
      <c r="AB99" s="0" t="n">
        <v>7.03</v>
      </c>
      <c r="AC99" s="22" t="b">
        <f aca="false">FALSE()</f>
        <v>0</v>
      </c>
      <c r="AD99" s="0" t="n">
        <v>12.91</v>
      </c>
      <c r="AE99" s="0" t="n">
        <v>0.6</v>
      </c>
      <c r="AF99" s="0" t="n">
        <v>10.5</v>
      </c>
      <c r="AG99" s="22" t="b">
        <f aca="false">TRUE()</f>
        <v>1</v>
      </c>
      <c r="AH99" s="0" t="n">
        <v>1</v>
      </c>
    </row>
    <row r="100" customFormat="false" ht="15" hidden="false" customHeight="false" outlineLevel="0" collapsed="false">
      <c r="A100" s="0" t="s">
        <v>323</v>
      </c>
      <c r="B100" s="0" t="s">
        <v>134</v>
      </c>
      <c r="C100" s="0" t="s">
        <v>3447</v>
      </c>
      <c r="D100" s="0" t="s">
        <v>3457</v>
      </c>
      <c r="E100" s="20" t="s">
        <v>25</v>
      </c>
      <c r="F100" s="23" t="s">
        <v>30</v>
      </c>
      <c r="G100" s="21" t="s">
        <v>283</v>
      </c>
      <c r="H100" s="21" t="s">
        <v>24</v>
      </c>
      <c r="I100" s="21" t="s">
        <v>25</v>
      </c>
      <c r="J100" s="21" t="s">
        <v>24</v>
      </c>
      <c r="K100" s="21" t="s">
        <v>24</v>
      </c>
      <c r="L100" s="21" t="s">
        <v>24</v>
      </c>
      <c r="M100" s="0" t="n">
        <v>183</v>
      </c>
      <c r="N100" s="0" t="n">
        <v>1</v>
      </c>
      <c r="O100" s="21" t="s">
        <v>69</v>
      </c>
      <c r="P100" s="21" t="s">
        <v>4275</v>
      </c>
      <c r="Q100" s="0" t="n">
        <v>1</v>
      </c>
      <c r="R100" s="21" t="s">
        <v>69</v>
      </c>
      <c r="S100" s="0" t="n">
        <v>1</v>
      </c>
      <c r="T100" s="21" t="s">
        <v>69</v>
      </c>
      <c r="U100" s="22" t="b">
        <f aca="false">TRUE()</f>
        <v>1</v>
      </c>
      <c r="V100" s="0" t="n">
        <v>0.72</v>
      </c>
      <c r="W100" s="0" t="n">
        <v>0.12</v>
      </c>
      <c r="X100" s="0" t="n">
        <v>6.65</v>
      </c>
      <c r="Y100" s="0" t="n">
        <v>612.96</v>
      </c>
      <c r="Z100" s="0" t="n">
        <v>9.5</v>
      </c>
      <c r="AA100" s="0" t="n">
        <v>11.3</v>
      </c>
      <c r="AB100" s="0" t="n">
        <v>8.04</v>
      </c>
      <c r="AC100" s="22" t="b">
        <f aca="false">FALSE()</f>
        <v>0</v>
      </c>
      <c r="AD100" s="0" t="n">
        <v>16.69</v>
      </c>
      <c r="AE100" s="0" t="n">
        <v>3.86</v>
      </c>
      <c r="AF100" s="0" t="n">
        <v>15.97</v>
      </c>
      <c r="AG100" s="22" t="b">
        <f aca="false">TRUE()</f>
        <v>1</v>
      </c>
      <c r="AH100" s="0" t="n">
        <v>1</v>
      </c>
    </row>
    <row r="101" customFormat="false" ht="15" hidden="false" customHeight="false" outlineLevel="0" collapsed="false">
      <c r="A101" s="0" t="s">
        <v>323</v>
      </c>
      <c r="B101" s="0" t="s">
        <v>134</v>
      </c>
      <c r="C101" s="0" t="s">
        <v>3447</v>
      </c>
      <c r="D101" s="0" t="s">
        <v>3448</v>
      </c>
      <c r="E101" s="18" t="s">
        <v>24</v>
      </c>
      <c r="F101" s="23" t="s">
        <v>30</v>
      </c>
      <c r="G101" s="21" t="s">
        <v>30</v>
      </c>
      <c r="H101" s="21" t="s">
        <v>24</v>
      </c>
      <c r="I101" s="21" t="s">
        <v>24</v>
      </c>
      <c r="J101" s="21" t="s">
        <v>24</v>
      </c>
      <c r="K101" s="21" t="s">
        <v>24</v>
      </c>
      <c r="L101" s="21" t="s">
        <v>24</v>
      </c>
      <c r="M101" s="0" t="n">
        <v>183</v>
      </c>
      <c r="N101" s="0" t="n">
        <v>2</v>
      </c>
      <c r="O101" s="21" t="s">
        <v>3543</v>
      </c>
      <c r="P101" s="21" t="s">
        <v>4285</v>
      </c>
      <c r="Q101" s="0" t="n">
        <v>0</v>
      </c>
      <c r="S101" s="0" t="n">
        <v>2</v>
      </c>
      <c r="T101" s="21" t="s">
        <v>3543</v>
      </c>
      <c r="U101" s="22" t="b">
        <f aca="false">TRUE()</f>
        <v>1</v>
      </c>
      <c r="V101" s="0" t="n">
        <v>0.7</v>
      </c>
      <c r="W101" s="0" t="n">
        <v>0.52</v>
      </c>
      <c r="X101" s="0" t="n">
        <v>7.59</v>
      </c>
      <c r="Y101" s="0" t="n">
        <v>321.77</v>
      </c>
      <c r="Z101" s="0" t="n">
        <v>9.58</v>
      </c>
      <c r="AA101" s="0" t="n">
        <v>12.29</v>
      </c>
      <c r="AB101" s="0" t="n">
        <v>7.03</v>
      </c>
      <c r="AC101" s="22" t="b">
        <f aca="false">FALSE()</f>
        <v>0</v>
      </c>
      <c r="AD101" s="0" t="n">
        <v>10.52</v>
      </c>
      <c r="AE101" s="0" t="n">
        <v>-0.54</v>
      </c>
      <c r="AF101" s="0" t="n">
        <v>9.09</v>
      </c>
      <c r="AG101" s="22" t="b">
        <f aca="false">TRUE()</f>
        <v>1</v>
      </c>
      <c r="AH101" s="0" t="n">
        <v>1</v>
      </c>
    </row>
    <row r="102" customFormat="false" ht="15" hidden="false" customHeight="false" outlineLevel="0" collapsed="false">
      <c r="A102" s="0" t="s">
        <v>323</v>
      </c>
      <c r="B102" s="0" t="s">
        <v>3459</v>
      </c>
      <c r="C102" s="0" t="s">
        <v>3450</v>
      </c>
      <c r="D102" s="0" t="s">
        <v>3457</v>
      </c>
      <c r="E102" s="20" t="s">
        <v>25</v>
      </c>
      <c r="F102" s="23" t="s">
        <v>30</v>
      </c>
      <c r="G102" s="21" t="s">
        <v>283</v>
      </c>
      <c r="H102" s="21" t="s">
        <v>24</v>
      </c>
      <c r="I102" s="21" t="s">
        <v>25</v>
      </c>
      <c r="J102" s="21" t="s">
        <v>24</v>
      </c>
      <c r="K102" s="21" t="s">
        <v>24</v>
      </c>
      <c r="L102" s="21" t="s">
        <v>24</v>
      </c>
      <c r="M102" s="0" t="n">
        <v>185</v>
      </c>
      <c r="N102" s="0" t="n">
        <v>2</v>
      </c>
      <c r="O102" s="21" t="s">
        <v>3575</v>
      </c>
      <c r="P102" s="21" t="s">
        <v>4265</v>
      </c>
      <c r="Q102" s="0" t="n">
        <v>1</v>
      </c>
      <c r="R102" s="21" t="s">
        <v>69</v>
      </c>
      <c r="S102" s="0" t="n">
        <v>2</v>
      </c>
      <c r="T102" s="21" t="s">
        <v>3575</v>
      </c>
      <c r="U102" s="22" t="b">
        <f aca="false">TRUE()</f>
        <v>1</v>
      </c>
      <c r="V102" s="0" t="n">
        <v>0.73</v>
      </c>
      <c r="W102" s="0" t="n">
        <v>0.48</v>
      </c>
      <c r="X102" s="0" t="n">
        <v>8.86</v>
      </c>
      <c r="Y102" s="0" t="n">
        <v>267.86</v>
      </c>
      <c r="Z102" s="0" t="n">
        <v>9.75</v>
      </c>
      <c r="AA102" s="0" t="n">
        <v>20.96</v>
      </c>
      <c r="AB102" s="0" t="n">
        <v>5.87</v>
      </c>
      <c r="AC102" s="22" t="b">
        <f aca="false">FALSE()</f>
        <v>0</v>
      </c>
      <c r="AD102" s="0" t="n">
        <v>8.54</v>
      </c>
      <c r="AE102" s="0" t="n">
        <v>0.6</v>
      </c>
      <c r="AF102" s="0" t="n">
        <v>7.75</v>
      </c>
      <c r="AG102" s="22" t="b">
        <f aca="false">FALSE()</f>
        <v>0</v>
      </c>
      <c r="AH102" s="0" t="n">
        <v>1</v>
      </c>
    </row>
    <row r="103" customFormat="false" ht="15" hidden="false" customHeight="false" outlineLevel="0" collapsed="false">
      <c r="A103" s="0" t="s">
        <v>323</v>
      </c>
      <c r="B103" s="0" t="s">
        <v>3459</v>
      </c>
      <c r="C103" s="0" t="s">
        <v>3450</v>
      </c>
      <c r="D103" s="0" t="s">
        <v>3448</v>
      </c>
      <c r="E103" s="18" t="s">
        <v>24</v>
      </c>
      <c r="F103" s="18" t="s">
        <v>28</v>
      </c>
      <c r="H103" s="21" t="s">
        <v>24</v>
      </c>
      <c r="I103" s="21" t="s">
        <v>24</v>
      </c>
      <c r="J103" s="21" t="s">
        <v>24</v>
      </c>
      <c r="K103" s="21" t="s">
        <v>24</v>
      </c>
      <c r="L103" s="21" t="s">
        <v>24</v>
      </c>
      <c r="M103" s="0" t="n">
        <v>184</v>
      </c>
      <c r="N103" s="0" t="n">
        <v>0</v>
      </c>
      <c r="Q103" s="0" t="n">
        <v>0</v>
      </c>
      <c r="S103" s="0" t="n">
        <v>0</v>
      </c>
      <c r="U103" s="22" t="b">
        <f aca="false">FALSE()</f>
        <v>0</v>
      </c>
      <c r="V103" s="0" t="n">
        <v>0.75</v>
      </c>
      <c r="W103" s="0" t="n">
        <v>0</v>
      </c>
      <c r="X103" s="0" t="n">
        <v>8.02</v>
      </c>
      <c r="Y103" s="0" t="n">
        <v>714.83</v>
      </c>
      <c r="Z103" s="0" t="n">
        <v>9.75</v>
      </c>
      <c r="AA103" s="0" t="n">
        <v>21.44</v>
      </c>
      <c r="AB103" s="0" t="n">
        <v>8</v>
      </c>
      <c r="AC103" s="22" t="b">
        <f aca="false">FALSE()</f>
        <v>0</v>
      </c>
      <c r="AD103" s="0" t="n">
        <v>18.38</v>
      </c>
      <c r="AE103" s="0" t="n">
        <v>7.15</v>
      </c>
      <c r="AF103" s="0" t="n">
        <v>14.52</v>
      </c>
      <c r="AG103" s="22" t="b">
        <f aca="false">TRUE()</f>
        <v>1</v>
      </c>
      <c r="AH103" s="0" t="n">
        <v>1</v>
      </c>
    </row>
    <row r="104" customFormat="false" ht="15" hidden="false" customHeight="false" outlineLevel="0" collapsed="false">
      <c r="A104" s="0" t="s">
        <v>323</v>
      </c>
      <c r="B104" s="0" t="s">
        <v>3459</v>
      </c>
      <c r="C104" s="0" t="s">
        <v>3447</v>
      </c>
      <c r="D104" s="0" t="s">
        <v>3457</v>
      </c>
      <c r="E104" s="20" t="s">
        <v>25</v>
      </c>
      <c r="F104" s="23" t="s">
        <v>30</v>
      </c>
      <c r="G104" s="21" t="s">
        <v>283</v>
      </c>
      <c r="H104" s="21" t="s">
        <v>24</v>
      </c>
      <c r="I104" s="21" t="s">
        <v>25</v>
      </c>
      <c r="J104" s="21" t="s">
        <v>24</v>
      </c>
      <c r="K104" s="21" t="s">
        <v>24</v>
      </c>
      <c r="L104" s="21" t="s">
        <v>24</v>
      </c>
      <c r="M104" s="0" t="n">
        <v>184</v>
      </c>
      <c r="N104" s="0" t="n">
        <v>1</v>
      </c>
      <c r="O104" s="21" t="s">
        <v>69</v>
      </c>
      <c r="P104" s="21" t="s">
        <v>4275</v>
      </c>
      <c r="Q104" s="0" t="n">
        <v>1</v>
      </c>
      <c r="R104" s="21" t="s">
        <v>69</v>
      </c>
      <c r="S104" s="0" t="n">
        <v>1</v>
      </c>
      <c r="T104" s="21" t="s">
        <v>69</v>
      </c>
      <c r="U104" s="22" t="b">
        <f aca="false">TRUE()</f>
        <v>1</v>
      </c>
      <c r="V104" s="0" t="n">
        <v>0.73</v>
      </c>
      <c r="W104" s="0" t="n">
        <v>0.28</v>
      </c>
      <c r="X104" s="0" t="n">
        <v>7.96</v>
      </c>
      <c r="Y104" s="0" t="n">
        <v>387.26</v>
      </c>
      <c r="Z104" s="0" t="n">
        <v>10</v>
      </c>
      <c r="AA104" s="0" t="n">
        <v>12.01</v>
      </c>
      <c r="AB104" s="0" t="n">
        <v>5.87</v>
      </c>
      <c r="AC104" s="22" t="b">
        <f aca="false">FALSE()</f>
        <v>0</v>
      </c>
      <c r="AD104" s="0" t="n">
        <v>3.95</v>
      </c>
      <c r="AE104" s="0" t="n">
        <v>1.38</v>
      </c>
      <c r="AF104" s="0" t="n">
        <v>4.47</v>
      </c>
      <c r="AG104" s="22" t="b">
        <f aca="false">FALSE()</f>
        <v>0</v>
      </c>
      <c r="AH104" s="0" t="n">
        <v>1</v>
      </c>
    </row>
    <row r="105" customFormat="false" ht="15" hidden="false" customHeight="false" outlineLevel="0" collapsed="false">
      <c r="A105" s="0" t="s">
        <v>323</v>
      </c>
      <c r="B105" s="0" t="s">
        <v>3459</v>
      </c>
      <c r="C105" s="0" t="s">
        <v>3447</v>
      </c>
      <c r="D105" s="0" t="s">
        <v>3448</v>
      </c>
      <c r="E105" s="18" t="s">
        <v>24</v>
      </c>
      <c r="F105" s="23" t="s">
        <v>30</v>
      </c>
      <c r="G105" s="21" t="s">
        <v>30</v>
      </c>
      <c r="H105" s="21" t="s">
        <v>24</v>
      </c>
      <c r="I105" s="21" t="s">
        <v>24</v>
      </c>
      <c r="J105" s="21" t="s">
        <v>24</v>
      </c>
      <c r="K105" s="21" t="s">
        <v>24</v>
      </c>
      <c r="L105" s="21" t="s">
        <v>24</v>
      </c>
      <c r="M105" s="0" t="n">
        <v>185</v>
      </c>
      <c r="N105" s="0" t="n">
        <v>3</v>
      </c>
      <c r="O105" s="21" t="s">
        <v>3553</v>
      </c>
      <c r="P105" s="21" t="s">
        <v>4286</v>
      </c>
      <c r="Q105" s="0" t="n">
        <v>0</v>
      </c>
      <c r="S105" s="0" t="n">
        <v>3</v>
      </c>
      <c r="T105" s="21" t="s">
        <v>3553</v>
      </c>
      <c r="U105" s="22" t="b">
        <f aca="false">TRUE()</f>
        <v>1</v>
      </c>
      <c r="V105" s="0" t="n">
        <v>0.74</v>
      </c>
      <c r="W105" s="0" t="n">
        <v>0.84</v>
      </c>
      <c r="X105" s="0" t="n">
        <v>9.74</v>
      </c>
      <c r="Y105" s="0" t="n">
        <v>317.71</v>
      </c>
      <c r="Z105" s="0" t="n">
        <v>9.25</v>
      </c>
      <c r="AA105" s="0" t="n">
        <v>8.12</v>
      </c>
      <c r="AB105" s="0" t="n">
        <v>8</v>
      </c>
      <c r="AC105" s="22" t="b">
        <f aca="false">FALSE()</f>
        <v>0</v>
      </c>
      <c r="AD105" s="0" t="n">
        <v>13.32</v>
      </c>
      <c r="AE105" s="0" t="n">
        <v>2.92</v>
      </c>
      <c r="AF105" s="0" t="n">
        <v>9.42</v>
      </c>
      <c r="AG105" s="22" t="b">
        <f aca="false">TRUE()</f>
        <v>1</v>
      </c>
      <c r="AH105" s="0" t="n">
        <v>1</v>
      </c>
    </row>
    <row r="106" customFormat="false" ht="15" hidden="false" customHeight="false" outlineLevel="0" collapsed="false">
      <c r="A106" s="0" t="s">
        <v>329</v>
      </c>
      <c r="B106" s="0" t="s">
        <v>134</v>
      </c>
      <c r="C106" s="0" t="s">
        <v>3450</v>
      </c>
      <c r="D106" s="0" t="s">
        <v>3457</v>
      </c>
      <c r="E106" s="19" t="s">
        <v>26</v>
      </c>
      <c r="F106" s="19" t="s">
        <v>32</v>
      </c>
      <c r="G106" s="21" t="s">
        <v>529</v>
      </c>
      <c r="H106" s="21" t="s">
        <v>24</v>
      </c>
      <c r="I106" s="21" t="s">
        <v>26</v>
      </c>
      <c r="J106" s="21" t="s">
        <v>24</v>
      </c>
      <c r="K106" s="21" t="s">
        <v>24</v>
      </c>
      <c r="L106" s="21" t="s">
        <v>24</v>
      </c>
      <c r="M106" s="0" t="n">
        <v>183</v>
      </c>
      <c r="N106" s="0" t="n">
        <v>9</v>
      </c>
      <c r="O106" s="21" t="s">
        <v>4030</v>
      </c>
      <c r="P106" s="21" t="s">
        <v>4287</v>
      </c>
      <c r="Q106" s="0" t="n">
        <v>1</v>
      </c>
      <c r="R106" s="21" t="s">
        <v>69</v>
      </c>
      <c r="S106" s="0" t="n">
        <v>9</v>
      </c>
      <c r="T106" s="21" t="s">
        <v>4030</v>
      </c>
      <c r="U106" s="22" t="b">
        <f aca="false">FALSE()</f>
        <v>0</v>
      </c>
      <c r="V106" s="0" t="n">
        <v>0.74</v>
      </c>
      <c r="W106" s="0" t="n">
        <v>0.52</v>
      </c>
      <c r="X106" s="0" t="n">
        <v>7.64</v>
      </c>
      <c r="Y106" s="0" t="n">
        <v>326.73</v>
      </c>
      <c r="Z106" s="0" t="n">
        <v>9.08</v>
      </c>
      <c r="AA106" s="0" t="n">
        <v>13.91</v>
      </c>
      <c r="AB106" s="0" t="n">
        <v>3.65</v>
      </c>
      <c r="AC106" s="22" t="b">
        <f aca="false">FALSE()</f>
        <v>0</v>
      </c>
      <c r="AD106" s="0" t="n">
        <v>15.15</v>
      </c>
      <c r="AE106" s="0" t="n">
        <v>1.24</v>
      </c>
      <c r="AF106" s="0" t="n">
        <v>4.58</v>
      </c>
      <c r="AG106" s="22" t="b">
        <f aca="false">TRUE()</f>
        <v>1</v>
      </c>
      <c r="AH106" s="0" t="n">
        <v>1</v>
      </c>
    </row>
    <row r="107" customFormat="false" ht="15" hidden="false" customHeight="false" outlineLevel="0" collapsed="false">
      <c r="A107" s="0" t="s">
        <v>329</v>
      </c>
      <c r="B107" s="0" t="s">
        <v>134</v>
      </c>
      <c r="C107" s="0" t="s">
        <v>3450</v>
      </c>
      <c r="D107" s="0" t="s">
        <v>3448</v>
      </c>
      <c r="E107" s="20" t="s">
        <v>25</v>
      </c>
      <c r="F107" s="23" t="s">
        <v>30</v>
      </c>
      <c r="G107" s="21" t="s">
        <v>283</v>
      </c>
      <c r="H107" s="21" t="s">
        <v>24</v>
      </c>
      <c r="I107" s="21" t="s">
        <v>25</v>
      </c>
      <c r="J107" s="21" t="s">
        <v>24</v>
      </c>
      <c r="K107" s="21" t="s">
        <v>24</v>
      </c>
      <c r="L107" s="21" t="s">
        <v>24</v>
      </c>
      <c r="M107" s="0" t="n">
        <v>185</v>
      </c>
      <c r="N107" s="0" t="n">
        <v>2</v>
      </c>
      <c r="O107" s="21" t="s">
        <v>3575</v>
      </c>
      <c r="P107" s="21" t="s">
        <v>4265</v>
      </c>
      <c r="Q107" s="0" t="n">
        <v>1</v>
      </c>
      <c r="R107" s="21" t="s">
        <v>69</v>
      </c>
      <c r="S107" s="0" t="n">
        <v>2</v>
      </c>
      <c r="T107" s="21" t="s">
        <v>3575</v>
      </c>
      <c r="U107" s="22" t="b">
        <f aca="false">TRUE()</f>
        <v>1</v>
      </c>
      <c r="V107" s="0" t="n">
        <v>0.74</v>
      </c>
      <c r="W107" s="0" t="n">
        <v>0.36</v>
      </c>
      <c r="X107" s="0" t="n">
        <v>9.39</v>
      </c>
      <c r="Y107" s="0" t="n">
        <v>375.14</v>
      </c>
      <c r="Z107" s="0" t="n">
        <v>8.58</v>
      </c>
      <c r="AA107" s="0" t="n">
        <v>14.45</v>
      </c>
      <c r="AB107" s="0" t="n">
        <v>2.99</v>
      </c>
      <c r="AC107" s="22" t="b">
        <f aca="false">FALSE()</f>
        <v>0</v>
      </c>
      <c r="AD107" s="0" t="n">
        <v>13.04</v>
      </c>
      <c r="AE107" s="0" t="n">
        <v>0.75</v>
      </c>
      <c r="AF107" s="0" t="n">
        <v>2.27</v>
      </c>
      <c r="AG107" s="22" t="b">
        <f aca="false">TRUE()</f>
        <v>1</v>
      </c>
      <c r="AH107" s="0" t="n">
        <v>1</v>
      </c>
    </row>
    <row r="108" customFormat="false" ht="15" hidden="false" customHeight="false" outlineLevel="0" collapsed="false">
      <c r="A108" s="0" t="s">
        <v>329</v>
      </c>
      <c r="B108" s="0" t="s">
        <v>134</v>
      </c>
      <c r="C108" s="0" t="s">
        <v>3447</v>
      </c>
      <c r="D108" s="0" t="s">
        <v>3457</v>
      </c>
      <c r="E108" s="18" t="s">
        <v>24</v>
      </c>
      <c r="F108" s="18" t="s">
        <v>28</v>
      </c>
      <c r="H108" s="21" t="s">
        <v>24</v>
      </c>
      <c r="I108" s="21" t="s">
        <v>24</v>
      </c>
      <c r="J108" s="21" t="s">
        <v>24</v>
      </c>
      <c r="K108" s="21" t="s">
        <v>24</v>
      </c>
      <c r="L108" s="21" t="s">
        <v>24</v>
      </c>
      <c r="M108" s="0" t="n">
        <v>185</v>
      </c>
      <c r="N108" s="0" t="n">
        <v>0</v>
      </c>
      <c r="Q108" s="0" t="n">
        <v>0</v>
      </c>
      <c r="S108" s="0" t="n">
        <v>0</v>
      </c>
      <c r="U108" s="22" t="b">
        <f aca="false">FALSE()</f>
        <v>0</v>
      </c>
      <c r="V108" s="0" t="n">
        <v>0.74</v>
      </c>
      <c r="W108" s="0" t="n">
        <v>0.64</v>
      </c>
      <c r="X108" s="0" t="n">
        <v>5.32</v>
      </c>
      <c r="Y108" s="0" t="n">
        <v>324.4</v>
      </c>
      <c r="Z108" s="0" t="n">
        <v>10.5</v>
      </c>
      <c r="AA108" s="0" t="n">
        <v>8.99</v>
      </c>
      <c r="AB108" s="0" t="n">
        <v>3.65</v>
      </c>
      <c r="AC108" s="22" t="b">
        <f aca="false">FALSE()</f>
        <v>0</v>
      </c>
      <c r="AD108" s="0" t="n">
        <v>13.84</v>
      </c>
      <c r="AE108" s="0" t="n">
        <v>0.24</v>
      </c>
      <c r="AF108" s="0" t="n">
        <v>5.4</v>
      </c>
      <c r="AG108" s="22" t="b">
        <f aca="false">TRUE()</f>
        <v>1</v>
      </c>
      <c r="AH108" s="0" t="n">
        <v>1</v>
      </c>
    </row>
    <row r="109" customFormat="false" ht="15" hidden="false" customHeight="false" outlineLevel="0" collapsed="false">
      <c r="A109" s="0" t="s">
        <v>329</v>
      </c>
      <c r="B109" s="0" t="s">
        <v>134</v>
      </c>
      <c r="C109" s="0" t="s">
        <v>3447</v>
      </c>
      <c r="D109" s="0" t="s">
        <v>3448</v>
      </c>
      <c r="E109" s="18" t="s">
        <v>24</v>
      </c>
      <c r="F109" s="23" t="s">
        <v>30</v>
      </c>
      <c r="G109" s="21" t="s">
        <v>30</v>
      </c>
      <c r="H109" s="21" t="s">
        <v>24</v>
      </c>
      <c r="I109" s="21" t="s">
        <v>24</v>
      </c>
      <c r="J109" s="21" t="s">
        <v>24</v>
      </c>
      <c r="K109" s="21" t="s">
        <v>24</v>
      </c>
      <c r="L109" s="21" t="s">
        <v>24</v>
      </c>
      <c r="M109" s="0" t="n">
        <v>184</v>
      </c>
      <c r="N109" s="0" t="n">
        <v>1</v>
      </c>
      <c r="O109" s="21" t="s">
        <v>3478</v>
      </c>
      <c r="P109" s="21" t="s">
        <v>4288</v>
      </c>
      <c r="Q109" s="0" t="n">
        <v>0</v>
      </c>
      <c r="S109" s="0" t="n">
        <v>1</v>
      </c>
      <c r="T109" s="21" t="s">
        <v>3478</v>
      </c>
      <c r="U109" s="22" t="b">
        <f aca="false">TRUE()</f>
        <v>1</v>
      </c>
      <c r="V109" s="0" t="n">
        <v>0.74</v>
      </c>
      <c r="W109" s="0" t="n">
        <v>0.4</v>
      </c>
      <c r="X109" s="0" t="n">
        <v>9.6</v>
      </c>
      <c r="Y109" s="0" t="n">
        <v>353.07</v>
      </c>
      <c r="Z109" s="0" t="n">
        <v>10.25</v>
      </c>
      <c r="AA109" s="0" t="n">
        <v>5.19</v>
      </c>
      <c r="AB109" s="0" t="n">
        <v>2.99</v>
      </c>
      <c r="AC109" s="22" t="b">
        <f aca="false">FALSE()</f>
        <v>0</v>
      </c>
      <c r="AD109" s="0" t="n">
        <v>10.19</v>
      </c>
      <c r="AE109" s="0" t="n">
        <v>0.36</v>
      </c>
      <c r="AF109" s="0" t="n">
        <v>1.28</v>
      </c>
      <c r="AG109" s="22" t="b">
        <f aca="false">TRUE()</f>
        <v>1</v>
      </c>
      <c r="AH109" s="0" t="n">
        <v>1</v>
      </c>
    </row>
    <row r="110" customFormat="false" ht="15" hidden="false" customHeight="false" outlineLevel="0" collapsed="false">
      <c r="A110" s="0" t="s">
        <v>336</v>
      </c>
      <c r="B110" s="0" t="s">
        <v>134</v>
      </c>
      <c r="C110" s="0" t="s">
        <v>3450</v>
      </c>
      <c r="D110" s="0" t="s">
        <v>3457</v>
      </c>
      <c r="E110" s="18" t="s">
        <v>24</v>
      </c>
      <c r="F110" s="18" t="s">
        <v>28</v>
      </c>
      <c r="H110" s="21" t="s">
        <v>24</v>
      </c>
      <c r="I110" s="21" t="s">
        <v>24</v>
      </c>
      <c r="J110" s="21" t="s">
        <v>24</v>
      </c>
      <c r="K110" s="21" t="s">
        <v>24</v>
      </c>
      <c r="L110" s="21" t="s">
        <v>24</v>
      </c>
      <c r="M110" s="0" t="n">
        <v>183</v>
      </c>
      <c r="N110" s="0" t="n">
        <v>0</v>
      </c>
      <c r="Q110" s="0" t="n">
        <v>0</v>
      </c>
      <c r="S110" s="0" t="n">
        <v>0</v>
      </c>
      <c r="U110" s="22" t="b">
        <f aca="false">FALSE()</f>
        <v>0</v>
      </c>
      <c r="V110" s="0" t="n">
        <v>0.68</v>
      </c>
      <c r="W110" s="0" t="n">
        <v>0.44</v>
      </c>
      <c r="X110" s="0" t="n">
        <v>4.48</v>
      </c>
      <c r="Y110" s="0" t="n">
        <v>344.03</v>
      </c>
      <c r="Z110" s="0" t="n">
        <v>10.33</v>
      </c>
      <c r="AA110" s="0" t="n">
        <v>11.21</v>
      </c>
      <c r="AB110" s="0" t="n">
        <v>5.35</v>
      </c>
      <c r="AC110" s="22" t="b">
        <f aca="false">FALSE()</f>
        <v>0</v>
      </c>
      <c r="AD110" s="0" t="n">
        <v>14.58</v>
      </c>
      <c r="AE110" s="0" t="n">
        <v>0.65</v>
      </c>
      <c r="AF110" s="0" t="n">
        <v>1.92</v>
      </c>
      <c r="AG110" s="22" t="b">
        <f aca="false">TRUE()</f>
        <v>1</v>
      </c>
      <c r="AH110" s="0" t="n">
        <v>1</v>
      </c>
    </row>
    <row r="111" customFormat="false" ht="15" hidden="false" customHeight="false" outlineLevel="0" collapsed="false">
      <c r="A111" s="0" t="s">
        <v>336</v>
      </c>
      <c r="B111" s="0" t="s">
        <v>134</v>
      </c>
      <c r="C111" s="0" t="s">
        <v>3450</v>
      </c>
      <c r="D111" s="0" t="s">
        <v>3448</v>
      </c>
      <c r="E111" s="20" t="s">
        <v>25</v>
      </c>
      <c r="F111" s="23" t="s">
        <v>30</v>
      </c>
      <c r="G111" s="21" t="s">
        <v>283</v>
      </c>
      <c r="H111" s="21" t="s">
        <v>24</v>
      </c>
      <c r="I111" s="21" t="s">
        <v>25</v>
      </c>
      <c r="J111" s="21" t="s">
        <v>24</v>
      </c>
      <c r="K111" s="21" t="s">
        <v>24</v>
      </c>
      <c r="L111" s="21" t="s">
        <v>24</v>
      </c>
      <c r="M111" s="0" t="n">
        <v>183</v>
      </c>
      <c r="N111" s="0" t="n">
        <v>3</v>
      </c>
      <c r="O111" s="21" t="s">
        <v>3695</v>
      </c>
      <c r="P111" s="21" t="s">
        <v>4289</v>
      </c>
      <c r="Q111" s="0" t="n">
        <v>1</v>
      </c>
      <c r="R111" s="21" t="s">
        <v>69</v>
      </c>
      <c r="S111" s="0" t="n">
        <v>3</v>
      </c>
      <c r="T111" s="21" t="s">
        <v>3695</v>
      </c>
      <c r="U111" s="22" t="b">
        <f aca="false">TRUE()</f>
        <v>1</v>
      </c>
      <c r="V111" s="0" t="n">
        <v>0.7</v>
      </c>
      <c r="W111" s="0" t="n">
        <v>0.48</v>
      </c>
      <c r="X111" s="0" t="n">
        <v>5.75</v>
      </c>
      <c r="Y111" s="0" t="n">
        <v>329.02</v>
      </c>
      <c r="Z111" s="0" t="n">
        <v>9.83</v>
      </c>
      <c r="AA111" s="0" t="n">
        <v>9.55</v>
      </c>
      <c r="AB111" s="0" t="n">
        <v>2.11</v>
      </c>
      <c r="AC111" s="22" t="b">
        <f aca="false">FALSE()</f>
        <v>0</v>
      </c>
      <c r="AD111" s="0" t="n">
        <v>5.04</v>
      </c>
      <c r="AE111" s="0" t="n">
        <v>0.05</v>
      </c>
      <c r="AF111" s="0" t="n">
        <v>9.6</v>
      </c>
      <c r="AG111" s="22" t="b">
        <f aca="false">FALSE()</f>
        <v>0</v>
      </c>
      <c r="AH111" s="0" t="n">
        <v>1</v>
      </c>
    </row>
    <row r="112" customFormat="false" ht="15" hidden="false" customHeight="false" outlineLevel="0" collapsed="false">
      <c r="A112" s="0" t="s">
        <v>336</v>
      </c>
      <c r="B112" s="0" t="s">
        <v>134</v>
      </c>
      <c r="C112" s="0" t="s">
        <v>3447</v>
      </c>
      <c r="D112" s="0" t="s">
        <v>3457</v>
      </c>
      <c r="E112" s="18" t="s">
        <v>24</v>
      </c>
      <c r="F112" s="23" t="s">
        <v>30</v>
      </c>
      <c r="G112" s="21" t="s">
        <v>30</v>
      </c>
      <c r="H112" s="21" t="s">
        <v>24</v>
      </c>
      <c r="I112" s="21" t="s">
        <v>24</v>
      </c>
      <c r="J112" s="21" t="s">
        <v>24</v>
      </c>
      <c r="K112" s="21" t="s">
        <v>24</v>
      </c>
      <c r="L112" s="21" t="s">
        <v>24</v>
      </c>
      <c r="M112" s="0" t="n">
        <v>185</v>
      </c>
      <c r="N112" s="0" t="n">
        <v>4</v>
      </c>
      <c r="O112" s="21" t="s">
        <v>3596</v>
      </c>
      <c r="P112" s="21" t="s">
        <v>4239</v>
      </c>
      <c r="Q112" s="0" t="n">
        <v>0</v>
      </c>
      <c r="S112" s="0" t="n">
        <v>4</v>
      </c>
      <c r="T112" s="21" t="s">
        <v>3596</v>
      </c>
      <c r="U112" s="22" t="b">
        <f aca="false">TRUE()</f>
        <v>1</v>
      </c>
      <c r="V112" s="0" t="n">
        <v>0.78</v>
      </c>
      <c r="W112" s="0" t="n">
        <v>0.44</v>
      </c>
      <c r="X112" s="0" t="n">
        <v>6.49</v>
      </c>
      <c r="Y112" s="0" t="n">
        <v>342.53</v>
      </c>
      <c r="Z112" s="0" t="n">
        <v>8</v>
      </c>
      <c r="AA112" s="0" t="n">
        <v>0.21</v>
      </c>
      <c r="AB112" s="0" t="n">
        <v>5.35</v>
      </c>
      <c r="AC112" s="22" t="b">
        <f aca="false">FALSE()</f>
        <v>0</v>
      </c>
      <c r="AD112" s="0" t="n">
        <v>13.14</v>
      </c>
      <c r="AE112" s="0" t="n">
        <v>1.45</v>
      </c>
      <c r="AF112" s="0" t="n">
        <v>0.8</v>
      </c>
      <c r="AG112" s="22" t="b">
        <f aca="false">TRUE()</f>
        <v>1</v>
      </c>
      <c r="AH112" s="0" t="n">
        <v>1</v>
      </c>
    </row>
    <row r="113" customFormat="false" ht="15" hidden="false" customHeight="false" outlineLevel="0" collapsed="false">
      <c r="A113" s="0" t="s">
        <v>336</v>
      </c>
      <c r="B113" s="0" t="s">
        <v>134</v>
      </c>
      <c r="C113" s="0" t="s">
        <v>3447</v>
      </c>
      <c r="D113" s="0" t="s">
        <v>3448</v>
      </c>
      <c r="E113" s="18" t="s">
        <v>24</v>
      </c>
      <c r="F113" s="23" t="s">
        <v>30</v>
      </c>
      <c r="G113" s="21" t="s">
        <v>30</v>
      </c>
      <c r="H113" s="21" t="s">
        <v>24</v>
      </c>
      <c r="I113" s="21" t="s">
        <v>24</v>
      </c>
      <c r="J113" s="21" t="s">
        <v>24</v>
      </c>
      <c r="K113" s="21" t="s">
        <v>24</v>
      </c>
      <c r="L113" s="21" t="s">
        <v>24</v>
      </c>
      <c r="M113" s="0" t="n">
        <v>188</v>
      </c>
      <c r="N113" s="0" t="n">
        <v>4</v>
      </c>
      <c r="O113" s="21" t="s">
        <v>3612</v>
      </c>
      <c r="P113" s="21" t="s">
        <v>4290</v>
      </c>
      <c r="Q113" s="0" t="n">
        <v>0</v>
      </c>
      <c r="S113" s="0" t="n">
        <v>4</v>
      </c>
      <c r="T113" s="21" t="s">
        <v>3612</v>
      </c>
      <c r="U113" s="22" t="b">
        <f aca="false">TRUE()</f>
        <v>1</v>
      </c>
      <c r="V113" s="0" t="n">
        <v>0.79</v>
      </c>
      <c r="W113" s="0" t="n">
        <v>0.8</v>
      </c>
      <c r="X113" s="0" t="n">
        <v>6.82</v>
      </c>
      <c r="Y113" s="0" t="n">
        <v>313.93</v>
      </c>
      <c r="Z113" s="0" t="n">
        <v>8</v>
      </c>
      <c r="AA113" s="0" t="n">
        <v>-0.61</v>
      </c>
      <c r="AB113" s="0" t="n">
        <v>2.11</v>
      </c>
      <c r="AC113" s="22" t="b">
        <f aca="false">FALSE()</f>
        <v>0</v>
      </c>
      <c r="AD113" s="0" t="n">
        <v>6.5</v>
      </c>
      <c r="AE113" s="0" t="n">
        <v>0.63</v>
      </c>
      <c r="AF113" s="0" t="n">
        <v>6.64</v>
      </c>
      <c r="AG113" s="22" t="b">
        <f aca="false">FALSE()</f>
        <v>0</v>
      </c>
      <c r="AH113" s="0" t="n">
        <v>1</v>
      </c>
    </row>
    <row r="114" customFormat="false" ht="15" hidden="false" customHeight="false" outlineLevel="0" collapsed="false">
      <c r="A114" s="0" t="s">
        <v>341</v>
      </c>
      <c r="B114" s="0" t="s">
        <v>134</v>
      </c>
      <c r="C114" s="0" t="s">
        <v>3450</v>
      </c>
      <c r="D114" s="0" t="s">
        <v>3457</v>
      </c>
      <c r="E114" s="20" t="s">
        <v>25</v>
      </c>
      <c r="F114" s="23" t="s">
        <v>30</v>
      </c>
      <c r="G114" s="21" t="s">
        <v>1230</v>
      </c>
      <c r="H114" s="21" t="s">
        <v>24</v>
      </c>
      <c r="I114" s="21" t="s">
        <v>25</v>
      </c>
      <c r="J114" s="21" t="s">
        <v>24</v>
      </c>
      <c r="K114" s="21" t="s">
        <v>25</v>
      </c>
      <c r="L114" s="21" t="s">
        <v>24</v>
      </c>
      <c r="M114" s="0" t="n">
        <v>182</v>
      </c>
      <c r="N114" s="0" t="n">
        <v>5</v>
      </c>
      <c r="O114" s="21" t="s">
        <v>3829</v>
      </c>
      <c r="P114" s="21" t="s">
        <v>4291</v>
      </c>
      <c r="Q114" s="0" t="n">
        <v>1</v>
      </c>
      <c r="R114" s="21" t="s">
        <v>69</v>
      </c>
      <c r="S114" s="0" t="n">
        <v>5</v>
      </c>
      <c r="T114" s="21" t="s">
        <v>3829</v>
      </c>
      <c r="U114" s="22" t="b">
        <f aca="false">TRUE()</f>
        <v>1</v>
      </c>
      <c r="V114" s="0" t="n">
        <v>0.66</v>
      </c>
      <c r="W114" s="0" t="n">
        <v>0.8</v>
      </c>
      <c r="X114" s="0" t="n">
        <v>9.74</v>
      </c>
      <c r="Y114" s="0" t="n">
        <v>312.29</v>
      </c>
      <c r="Z114" s="0" t="n">
        <v>8</v>
      </c>
      <c r="AA114" s="0" t="n">
        <v>-0.75</v>
      </c>
      <c r="AB114" s="0" t="n">
        <v>6.65</v>
      </c>
      <c r="AC114" s="22" t="b">
        <f aca="false">FALSE()</f>
        <v>0</v>
      </c>
      <c r="AD114" s="0" t="n">
        <v>9.25</v>
      </c>
      <c r="AE114" s="0" t="n">
        <v>0.46</v>
      </c>
      <c r="AF114" s="0" t="n">
        <v>10.75</v>
      </c>
      <c r="AG114" s="22" t="b">
        <f aca="false">FALSE()</f>
        <v>0</v>
      </c>
      <c r="AH114" s="0" t="n">
        <v>1</v>
      </c>
    </row>
    <row r="115" customFormat="false" ht="15" hidden="false" customHeight="false" outlineLevel="0" collapsed="false">
      <c r="A115" s="0" t="s">
        <v>341</v>
      </c>
      <c r="B115" s="0" t="s">
        <v>134</v>
      </c>
      <c r="C115" s="0" t="s">
        <v>3450</v>
      </c>
      <c r="D115" s="0" t="s">
        <v>3448</v>
      </c>
      <c r="E115" s="20" t="s">
        <v>25</v>
      </c>
      <c r="F115" s="23" t="s">
        <v>30</v>
      </c>
      <c r="G115" s="21" t="s">
        <v>1230</v>
      </c>
      <c r="H115" s="21" t="s">
        <v>24</v>
      </c>
      <c r="I115" s="21" t="s">
        <v>25</v>
      </c>
      <c r="J115" s="21" t="s">
        <v>24</v>
      </c>
      <c r="K115" s="21" t="s">
        <v>25</v>
      </c>
      <c r="L115" s="21" t="s">
        <v>24</v>
      </c>
      <c r="M115" s="0" t="n">
        <v>182</v>
      </c>
      <c r="N115" s="0" t="n">
        <v>3</v>
      </c>
      <c r="O115" s="21" t="s">
        <v>3649</v>
      </c>
      <c r="P115" s="21" t="s">
        <v>4242</v>
      </c>
      <c r="Q115" s="0" t="n">
        <v>1</v>
      </c>
      <c r="R115" s="21" t="s">
        <v>69</v>
      </c>
      <c r="S115" s="0" t="n">
        <v>3</v>
      </c>
      <c r="T115" s="21" t="s">
        <v>3649</v>
      </c>
      <c r="U115" s="22" t="b">
        <f aca="false">TRUE()</f>
        <v>1</v>
      </c>
      <c r="V115" s="0" t="n">
        <v>0.65</v>
      </c>
      <c r="W115" s="0" t="n">
        <v>0.36</v>
      </c>
      <c r="X115" s="0" t="n">
        <v>8.69</v>
      </c>
      <c r="Y115" s="0" t="n">
        <v>375.42</v>
      </c>
      <c r="Z115" s="0" t="n">
        <v>10.5</v>
      </c>
      <c r="AA115" s="0" t="n">
        <v>0.5</v>
      </c>
      <c r="AB115" s="0" t="n">
        <v>2.42</v>
      </c>
      <c r="AC115" s="22" t="b">
        <f aca="false">FALSE()</f>
        <v>0</v>
      </c>
      <c r="AD115" s="0" t="n">
        <v>3.53</v>
      </c>
      <c r="AE115" s="0" t="n">
        <v>0.78</v>
      </c>
      <c r="AF115" s="0" t="n">
        <v>2.26</v>
      </c>
      <c r="AG115" s="22" t="b">
        <f aca="false">FALSE()</f>
        <v>0</v>
      </c>
      <c r="AH115" s="0" t="n">
        <v>1</v>
      </c>
    </row>
    <row r="116" customFormat="false" ht="15" hidden="false" customHeight="false" outlineLevel="0" collapsed="false">
      <c r="A116" s="0" t="s">
        <v>341</v>
      </c>
      <c r="B116" s="0" t="s">
        <v>134</v>
      </c>
      <c r="C116" s="0" t="s">
        <v>3447</v>
      </c>
      <c r="D116" s="0" t="s">
        <v>3457</v>
      </c>
      <c r="E116" s="20" t="s">
        <v>25</v>
      </c>
      <c r="F116" s="23" t="s">
        <v>30</v>
      </c>
      <c r="G116" s="21" t="s">
        <v>283</v>
      </c>
      <c r="H116" s="21" t="s">
        <v>24</v>
      </c>
      <c r="I116" s="21" t="s">
        <v>25</v>
      </c>
      <c r="J116" s="21" t="s">
        <v>24</v>
      </c>
      <c r="K116" s="21" t="s">
        <v>24</v>
      </c>
      <c r="L116" s="21" t="s">
        <v>24</v>
      </c>
      <c r="M116" s="0" t="n">
        <v>183</v>
      </c>
      <c r="N116" s="0" t="n">
        <v>3</v>
      </c>
      <c r="O116" s="21" t="s">
        <v>3649</v>
      </c>
      <c r="P116" s="21" t="s">
        <v>4242</v>
      </c>
      <c r="Q116" s="0" t="n">
        <v>1</v>
      </c>
      <c r="R116" s="21" t="s">
        <v>69</v>
      </c>
      <c r="S116" s="0" t="n">
        <v>3</v>
      </c>
      <c r="T116" s="21" t="s">
        <v>3649</v>
      </c>
      <c r="U116" s="22" t="b">
        <f aca="false">TRUE()</f>
        <v>1</v>
      </c>
      <c r="V116" s="0" t="n">
        <v>0.68</v>
      </c>
      <c r="W116" s="0" t="n">
        <v>0.28</v>
      </c>
      <c r="X116" s="0" t="n">
        <v>7.98</v>
      </c>
      <c r="Y116" s="0" t="n">
        <v>427.43</v>
      </c>
      <c r="Z116" s="0" t="n">
        <v>8.5</v>
      </c>
      <c r="AA116" s="0" t="n">
        <v>-0.36</v>
      </c>
      <c r="AB116" s="0" t="n">
        <v>6.65</v>
      </c>
      <c r="AC116" s="22" t="b">
        <f aca="false">FALSE()</f>
        <v>0</v>
      </c>
      <c r="AD116" s="0" t="n">
        <v>16.33</v>
      </c>
      <c r="AE116" s="0" t="n">
        <v>0.83</v>
      </c>
      <c r="AF116" s="0" t="n">
        <v>16.95</v>
      </c>
      <c r="AG116" s="22" t="b">
        <f aca="false">TRUE()</f>
        <v>1</v>
      </c>
      <c r="AH116" s="0" t="n">
        <v>1</v>
      </c>
    </row>
    <row r="117" customFormat="false" ht="15" hidden="false" customHeight="false" outlineLevel="0" collapsed="false">
      <c r="A117" s="0" t="s">
        <v>341</v>
      </c>
      <c r="B117" s="0" t="s">
        <v>134</v>
      </c>
      <c r="C117" s="0" t="s">
        <v>3447</v>
      </c>
      <c r="D117" s="0" t="s">
        <v>3448</v>
      </c>
      <c r="E117" s="19" t="s">
        <v>26</v>
      </c>
      <c r="F117" s="19" t="s">
        <v>32</v>
      </c>
      <c r="G117" s="21" t="s">
        <v>60</v>
      </c>
      <c r="H117" s="21" t="s">
        <v>24</v>
      </c>
      <c r="I117" s="21" t="s">
        <v>26</v>
      </c>
      <c r="J117" s="21" t="s">
        <v>24</v>
      </c>
      <c r="K117" s="21" t="s">
        <v>24</v>
      </c>
      <c r="L117" s="21" t="s">
        <v>24</v>
      </c>
      <c r="M117" s="0" t="n">
        <v>182</v>
      </c>
      <c r="N117" s="0" t="n">
        <v>14</v>
      </c>
      <c r="O117" s="21" t="s">
        <v>4018</v>
      </c>
      <c r="P117" s="21" t="s">
        <v>4292</v>
      </c>
      <c r="Q117" s="0" t="n">
        <v>0</v>
      </c>
      <c r="S117" s="0" t="n">
        <v>14</v>
      </c>
      <c r="T117" s="21" t="s">
        <v>4018</v>
      </c>
      <c r="U117" s="22" t="b">
        <f aca="false">FALSE()</f>
        <v>0</v>
      </c>
      <c r="V117" s="0" t="n">
        <v>0.63</v>
      </c>
      <c r="W117" s="0" t="n">
        <v>0.16</v>
      </c>
      <c r="X117" s="0" t="n">
        <v>10.49</v>
      </c>
      <c r="Y117" s="0" t="n">
        <v>555.39</v>
      </c>
      <c r="Z117" s="0" t="n">
        <v>9.33</v>
      </c>
      <c r="AA117" s="0" t="n">
        <v>-0.1</v>
      </c>
      <c r="AB117" s="0" t="n">
        <v>2.42</v>
      </c>
      <c r="AC117" s="22" t="b">
        <f aca="false">FALSE()</f>
        <v>0</v>
      </c>
      <c r="AD117" s="0" t="n">
        <v>4.58</v>
      </c>
      <c r="AE117" s="0" t="n">
        <v>0.75</v>
      </c>
      <c r="AF117" s="0" t="n">
        <v>1.7</v>
      </c>
      <c r="AG117" s="22" t="b">
        <f aca="false">FALSE()</f>
        <v>0</v>
      </c>
      <c r="AH117" s="0" t="n">
        <v>1</v>
      </c>
    </row>
    <row r="118" customFormat="false" ht="15" hidden="false" customHeight="false" outlineLevel="0" collapsed="false">
      <c r="A118" s="0" t="s">
        <v>354</v>
      </c>
      <c r="B118" s="0" t="s">
        <v>134</v>
      </c>
      <c r="C118" s="0" t="s">
        <v>3450</v>
      </c>
      <c r="D118" s="0" t="s">
        <v>3457</v>
      </c>
      <c r="E118" s="20" t="s">
        <v>25</v>
      </c>
      <c r="F118" s="20" t="s">
        <v>29</v>
      </c>
      <c r="G118" s="21" t="s">
        <v>62</v>
      </c>
      <c r="H118" s="21" t="s">
        <v>24</v>
      </c>
      <c r="I118" s="21" t="s">
        <v>24</v>
      </c>
      <c r="J118" s="21" t="s">
        <v>24</v>
      </c>
      <c r="K118" s="21" t="s">
        <v>25</v>
      </c>
      <c r="L118" s="21" t="s">
        <v>24</v>
      </c>
      <c r="M118" s="0" t="n">
        <v>182</v>
      </c>
      <c r="N118" s="0" t="n">
        <v>0</v>
      </c>
      <c r="Q118" s="0" t="n">
        <v>0</v>
      </c>
      <c r="S118" s="0" t="n">
        <v>0</v>
      </c>
      <c r="U118" s="22" t="b">
        <f aca="false">FALSE()</f>
        <v>0</v>
      </c>
      <c r="V118" s="0" t="n">
        <v>0.71</v>
      </c>
      <c r="W118" s="0" t="n">
        <v>0.8</v>
      </c>
      <c r="X118" s="0" t="n">
        <v>8.22</v>
      </c>
      <c r="Y118" s="0" t="n">
        <v>314.81</v>
      </c>
      <c r="Z118" s="0" t="n">
        <v>10.5</v>
      </c>
      <c r="AA118" s="0" t="n">
        <v>2.84</v>
      </c>
      <c r="AB118" s="0" t="n">
        <v>5.36</v>
      </c>
      <c r="AC118" s="22" t="b">
        <f aca="false">FALSE()</f>
        <v>0</v>
      </c>
      <c r="AD118" s="0" t="n">
        <v>9.22</v>
      </c>
      <c r="AE118" s="0" t="n">
        <v>0.59</v>
      </c>
      <c r="AF118" s="0" t="n">
        <v>8.94</v>
      </c>
      <c r="AG118" s="22" t="b">
        <f aca="false">FALSE()</f>
        <v>0</v>
      </c>
      <c r="AH118" s="0" t="n">
        <v>1</v>
      </c>
    </row>
    <row r="119" customFormat="false" ht="15" hidden="false" customHeight="false" outlineLevel="0" collapsed="false">
      <c r="A119" s="0" t="s">
        <v>354</v>
      </c>
      <c r="B119" s="0" t="s">
        <v>134</v>
      </c>
      <c r="C119" s="0" t="s">
        <v>3450</v>
      </c>
      <c r="D119" s="0" t="s">
        <v>3448</v>
      </c>
      <c r="E119" s="20" t="s">
        <v>25</v>
      </c>
      <c r="F119" s="20" t="s">
        <v>29</v>
      </c>
      <c r="G119" s="21" t="s">
        <v>3466</v>
      </c>
      <c r="H119" s="21" t="s">
        <v>24</v>
      </c>
      <c r="I119" s="21" t="s">
        <v>24</v>
      </c>
      <c r="J119" s="21" t="s">
        <v>24</v>
      </c>
      <c r="K119" s="21" t="s">
        <v>25</v>
      </c>
      <c r="L119" s="21" t="s">
        <v>24</v>
      </c>
      <c r="M119" s="0" t="n">
        <v>183</v>
      </c>
      <c r="N119" s="0" t="n">
        <v>0</v>
      </c>
      <c r="Q119" s="0" t="n">
        <v>0</v>
      </c>
      <c r="S119" s="0" t="n">
        <v>0</v>
      </c>
      <c r="U119" s="22" t="b">
        <f aca="false">FALSE()</f>
        <v>0</v>
      </c>
      <c r="V119" s="0" t="n">
        <v>0.78</v>
      </c>
      <c r="W119" s="0" t="n">
        <v>0.8</v>
      </c>
      <c r="X119" s="0" t="n">
        <v>7.33</v>
      </c>
      <c r="Y119" s="0" t="n">
        <v>319.54</v>
      </c>
      <c r="Z119" s="0" t="n">
        <v>10.92</v>
      </c>
      <c r="AA119" s="0" t="n">
        <v>0.14</v>
      </c>
      <c r="AB119" s="0" t="n">
        <v>1.01</v>
      </c>
      <c r="AC119" s="22" t="b">
        <f aca="false">TRUE()</f>
        <v>1</v>
      </c>
      <c r="AD119" s="0" t="n">
        <v>7.8</v>
      </c>
      <c r="AE119" s="0" t="n">
        <v>0.67</v>
      </c>
      <c r="AF119" s="0" t="n">
        <v>5.22</v>
      </c>
      <c r="AG119" s="22" t="b">
        <f aca="false">FALSE()</f>
        <v>0</v>
      </c>
      <c r="AH119" s="0" t="n">
        <v>1</v>
      </c>
    </row>
    <row r="120" customFormat="false" ht="15" hidden="false" customHeight="false" outlineLevel="0" collapsed="false">
      <c r="A120" s="0" t="s">
        <v>354</v>
      </c>
      <c r="B120" s="0" t="s">
        <v>134</v>
      </c>
      <c r="C120" s="0" t="s">
        <v>3447</v>
      </c>
      <c r="D120" s="0" t="s">
        <v>3457</v>
      </c>
      <c r="E120" s="18" t="s">
        <v>24</v>
      </c>
      <c r="F120" s="23" t="s">
        <v>30</v>
      </c>
      <c r="G120" s="21" t="s">
        <v>30</v>
      </c>
      <c r="H120" s="21" t="s">
        <v>24</v>
      </c>
      <c r="I120" s="21" t="s">
        <v>24</v>
      </c>
      <c r="J120" s="21" t="s">
        <v>24</v>
      </c>
      <c r="K120" s="21" t="s">
        <v>24</v>
      </c>
      <c r="L120" s="21" t="s">
        <v>24</v>
      </c>
      <c r="M120" s="0" t="n">
        <v>182</v>
      </c>
      <c r="N120" s="0" t="n">
        <v>4</v>
      </c>
      <c r="O120" s="21" t="s">
        <v>3622</v>
      </c>
      <c r="P120" s="21" t="s">
        <v>4293</v>
      </c>
      <c r="Q120" s="0" t="n">
        <v>0</v>
      </c>
      <c r="S120" s="0" t="n">
        <v>4</v>
      </c>
      <c r="T120" s="21" t="s">
        <v>3622</v>
      </c>
      <c r="U120" s="22" t="b">
        <f aca="false">TRUE()</f>
        <v>1</v>
      </c>
      <c r="V120" s="0" t="n">
        <v>0.67</v>
      </c>
      <c r="W120" s="0" t="n">
        <v>0.28</v>
      </c>
      <c r="X120" s="0" t="n">
        <v>11.27</v>
      </c>
      <c r="Y120" s="0" t="n">
        <v>424.2</v>
      </c>
      <c r="Z120" s="0" t="n">
        <v>8.25</v>
      </c>
      <c r="AA120" s="0" t="n">
        <v>-1.54</v>
      </c>
      <c r="AB120" s="0" t="n">
        <v>5.36</v>
      </c>
      <c r="AC120" s="22" t="b">
        <f aca="false">FALSE()</f>
        <v>0</v>
      </c>
      <c r="AD120" s="0" t="n">
        <v>7.16</v>
      </c>
      <c r="AE120" s="0" t="n">
        <v>1.18</v>
      </c>
      <c r="AF120" s="0" t="n">
        <v>6.86</v>
      </c>
      <c r="AG120" s="22" t="b">
        <f aca="false">FALSE()</f>
        <v>0</v>
      </c>
      <c r="AH120" s="0" t="n">
        <v>1</v>
      </c>
    </row>
    <row r="121" customFormat="false" ht="15" hidden="false" customHeight="false" outlineLevel="0" collapsed="false">
      <c r="A121" s="0" t="s">
        <v>354</v>
      </c>
      <c r="B121" s="0" t="s">
        <v>134</v>
      </c>
      <c r="C121" s="0" t="s">
        <v>3447</v>
      </c>
      <c r="D121" s="0" t="s">
        <v>3448</v>
      </c>
      <c r="E121" s="20" t="s">
        <v>25</v>
      </c>
      <c r="F121" s="23" t="s">
        <v>30</v>
      </c>
      <c r="G121" s="21" t="s">
        <v>2133</v>
      </c>
      <c r="H121" s="21" t="s">
        <v>24</v>
      </c>
      <c r="I121" s="21" t="s">
        <v>24</v>
      </c>
      <c r="J121" s="21" t="s">
        <v>24</v>
      </c>
      <c r="K121" s="21" t="s">
        <v>25</v>
      </c>
      <c r="L121" s="21" t="s">
        <v>24</v>
      </c>
      <c r="M121" s="0" t="n">
        <v>183</v>
      </c>
      <c r="N121" s="0" t="n">
        <v>4</v>
      </c>
      <c r="O121" s="21" t="s">
        <v>3607</v>
      </c>
      <c r="P121" s="21" t="s">
        <v>4294</v>
      </c>
      <c r="Q121" s="0" t="n">
        <v>0</v>
      </c>
      <c r="S121" s="0" t="n">
        <v>4</v>
      </c>
      <c r="T121" s="21" t="s">
        <v>3607</v>
      </c>
      <c r="U121" s="22" t="b">
        <f aca="false">TRUE()</f>
        <v>1</v>
      </c>
      <c r="V121" s="0" t="n">
        <v>0.71</v>
      </c>
      <c r="W121" s="0" t="n">
        <v>0.4</v>
      </c>
      <c r="X121" s="0" t="n">
        <v>11.25</v>
      </c>
      <c r="Y121" s="0" t="n">
        <v>353.39</v>
      </c>
      <c r="Z121" s="0" t="n">
        <v>10.75</v>
      </c>
      <c r="AA121" s="0" t="n">
        <v>-0.44</v>
      </c>
      <c r="AB121" s="0" t="n">
        <v>1.01</v>
      </c>
      <c r="AC121" s="22" t="b">
        <f aca="false">FALSE()</f>
        <v>0</v>
      </c>
      <c r="AD121" s="0" t="n">
        <v>4.88</v>
      </c>
      <c r="AE121" s="0" t="n">
        <v>0.69</v>
      </c>
      <c r="AF121" s="0" t="n">
        <v>3.83</v>
      </c>
      <c r="AG121" s="22" t="b">
        <f aca="false">FALSE()</f>
        <v>0</v>
      </c>
      <c r="AH121" s="0" t="n">
        <v>1</v>
      </c>
    </row>
    <row r="122" customFormat="false" ht="15" hidden="false" customHeight="false" outlineLevel="0" collapsed="false">
      <c r="A122" s="0" t="s">
        <v>354</v>
      </c>
      <c r="B122" s="0" t="s">
        <v>3459</v>
      </c>
      <c r="C122" s="0" t="s">
        <v>3450</v>
      </c>
      <c r="D122" s="0" t="s">
        <v>3457</v>
      </c>
      <c r="E122" s="20" t="s">
        <v>25</v>
      </c>
      <c r="F122" s="20" t="s">
        <v>29</v>
      </c>
      <c r="G122" s="21" t="s">
        <v>3466</v>
      </c>
      <c r="H122" s="21" t="s">
        <v>24</v>
      </c>
      <c r="I122" s="21" t="s">
        <v>24</v>
      </c>
      <c r="J122" s="21" t="s">
        <v>24</v>
      </c>
      <c r="K122" s="21" t="s">
        <v>25</v>
      </c>
      <c r="L122" s="21" t="s">
        <v>24</v>
      </c>
      <c r="M122" s="0" t="n">
        <v>183</v>
      </c>
      <c r="N122" s="0" t="n">
        <v>0</v>
      </c>
      <c r="Q122" s="0" t="n">
        <v>0</v>
      </c>
      <c r="S122" s="0" t="n">
        <v>0</v>
      </c>
      <c r="U122" s="22" t="b">
        <f aca="false">FALSE()</f>
        <v>0</v>
      </c>
      <c r="V122" s="0" t="n">
        <v>0.75</v>
      </c>
      <c r="W122" s="0" t="n">
        <v>0.52</v>
      </c>
      <c r="X122" s="0" t="n">
        <v>7.27</v>
      </c>
      <c r="Y122" s="0" t="n">
        <v>327.05</v>
      </c>
      <c r="Z122" s="0" t="n">
        <v>8.75</v>
      </c>
      <c r="AA122" s="0" t="n">
        <v>-1.96</v>
      </c>
      <c r="AB122" s="0" t="n">
        <v>1.4</v>
      </c>
      <c r="AC122" s="22" t="b">
        <f aca="false">TRUE()</f>
        <v>1</v>
      </c>
      <c r="AD122" s="0" t="n">
        <v>15.32</v>
      </c>
      <c r="AE122" s="0" t="n">
        <v>0.22</v>
      </c>
      <c r="AF122" s="0" t="n">
        <v>13.55</v>
      </c>
      <c r="AG122" s="22" t="b">
        <f aca="false">TRUE()</f>
        <v>1</v>
      </c>
      <c r="AH122" s="0" t="n">
        <v>1</v>
      </c>
    </row>
    <row r="123" customFormat="false" ht="15" hidden="false" customHeight="false" outlineLevel="0" collapsed="false">
      <c r="A123" s="0" t="s">
        <v>354</v>
      </c>
      <c r="B123" s="0" t="s">
        <v>3459</v>
      </c>
      <c r="C123" s="0" t="s">
        <v>3450</v>
      </c>
      <c r="D123" s="0" t="s">
        <v>3448</v>
      </c>
      <c r="E123" s="20" t="s">
        <v>25</v>
      </c>
      <c r="F123" s="20" t="s">
        <v>29</v>
      </c>
      <c r="G123" s="21" t="s">
        <v>3466</v>
      </c>
      <c r="H123" s="21" t="s">
        <v>24</v>
      </c>
      <c r="I123" s="21" t="s">
        <v>24</v>
      </c>
      <c r="J123" s="21" t="s">
        <v>24</v>
      </c>
      <c r="K123" s="21" t="s">
        <v>25</v>
      </c>
      <c r="L123" s="21" t="s">
        <v>24</v>
      </c>
      <c r="M123" s="0" t="n">
        <v>187</v>
      </c>
      <c r="N123" s="0" t="n">
        <v>0</v>
      </c>
      <c r="Q123" s="0" t="n">
        <v>0</v>
      </c>
      <c r="S123" s="0" t="n">
        <v>0</v>
      </c>
      <c r="U123" s="22" t="b">
        <f aca="false">FALSE()</f>
        <v>0</v>
      </c>
      <c r="V123" s="0" t="n">
        <v>0.72</v>
      </c>
      <c r="W123" s="0" t="n">
        <v>0</v>
      </c>
      <c r="X123" s="0" t="n">
        <v>8.1</v>
      </c>
      <c r="Y123" s="0" t="n">
        <v>705.22</v>
      </c>
      <c r="Z123" s="0" t="n">
        <v>10</v>
      </c>
      <c r="AA123" s="0" t="n">
        <v>0.55</v>
      </c>
      <c r="AB123" s="0" t="n">
        <v>1.43</v>
      </c>
      <c r="AC123" s="22" t="b">
        <f aca="false">TRUE()</f>
        <v>1</v>
      </c>
      <c r="AD123" s="0" t="n">
        <v>11.69</v>
      </c>
      <c r="AE123" s="0" t="n">
        <v>0.65</v>
      </c>
      <c r="AF123" s="0" t="n">
        <v>12.35</v>
      </c>
      <c r="AG123" s="22" t="b">
        <f aca="false">TRUE()</f>
        <v>1</v>
      </c>
      <c r="AH123" s="0" t="n">
        <v>1</v>
      </c>
    </row>
    <row r="124" customFormat="false" ht="15" hidden="false" customHeight="false" outlineLevel="0" collapsed="false">
      <c r="A124" s="0" t="s">
        <v>354</v>
      </c>
      <c r="B124" s="0" t="s">
        <v>3459</v>
      </c>
      <c r="C124" s="0" t="s">
        <v>3447</v>
      </c>
      <c r="D124" s="0" t="s">
        <v>3457</v>
      </c>
      <c r="E124" s="20" t="s">
        <v>25</v>
      </c>
      <c r="F124" s="23" t="s">
        <v>30</v>
      </c>
      <c r="G124" s="21" t="s">
        <v>2133</v>
      </c>
      <c r="H124" s="21" t="s">
        <v>24</v>
      </c>
      <c r="I124" s="21" t="s">
        <v>24</v>
      </c>
      <c r="J124" s="21" t="s">
        <v>24</v>
      </c>
      <c r="K124" s="21" t="s">
        <v>25</v>
      </c>
      <c r="L124" s="21" t="s">
        <v>24</v>
      </c>
      <c r="M124" s="0" t="n">
        <v>183</v>
      </c>
      <c r="N124" s="0" t="n">
        <v>1</v>
      </c>
      <c r="O124" s="21" t="s">
        <v>3474</v>
      </c>
      <c r="P124" s="21" t="s">
        <v>4272</v>
      </c>
      <c r="Q124" s="0" t="n">
        <v>0</v>
      </c>
      <c r="S124" s="0" t="n">
        <v>1</v>
      </c>
      <c r="T124" s="21" t="s">
        <v>3474</v>
      </c>
      <c r="U124" s="22" t="b">
        <f aca="false">TRUE()</f>
        <v>1</v>
      </c>
      <c r="V124" s="0" t="n">
        <v>0.62</v>
      </c>
      <c r="W124" s="0" t="n">
        <v>0.48</v>
      </c>
      <c r="X124" s="0" t="n">
        <v>8.4</v>
      </c>
      <c r="Y124" s="0" t="n">
        <v>332.2</v>
      </c>
      <c r="Z124" s="0" t="n">
        <v>8</v>
      </c>
      <c r="AA124" s="0" t="n">
        <v>-1.15</v>
      </c>
      <c r="AB124" s="0" t="n">
        <v>1.4</v>
      </c>
      <c r="AC124" s="22" t="b">
        <f aca="false">FALSE()</f>
        <v>0</v>
      </c>
      <c r="AD124" s="0" t="n">
        <v>5.06</v>
      </c>
      <c r="AE124" s="0" t="n">
        <v>0.78</v>
      </c>
      <c r="AF124" s="0" t="n">
        <v>9.1</v>
      </c>
      <c r="AG124" s="22" t="b">
        <f aca="false">FALSE()</f>
        <v>0</v>
      </c>
      <c r="AH124" s="0" t="n">
        <v>1</v>
      </c>
    </row>
    <row r="125" customFormat="false" ht="15" hidden="false" customHeight="false" outlineLevel="0" collapsed="false">
      <c r="A125" s="0" t="s">
        <v>354</v>
      </c>
      <c r="B125" s="0" t="s">
        <v>3459</v>
      </c>
      <c r="C125" s="0" t="s">
        <v>3447</v>
      </c>
      <c r="D125" s="0" t="s">
        <v>3448</v>
      </c>
      <c r="E125" s="20" t="s">
        <v>25</v>
      </c>
      <c r="F125" s="23" t="s">
        <v>30</v>
      </c>
      <c r="G125" s="21" t="s">
        <v>1099</v>
      </c>
      <c r="H125" s="21" t="s">
        <v>24</v>
      </c>
      <c r="I125" s="21" t="s">
        <v>25</v>
      </c>
      <c r="J125" s="21" t="s">
        <v>24</v>
      </c>
      <c r="K125" s="21" t="s">
        <v>25</v>
      </c>
      <c r="L125" s="21" t="s">
        <v>24</v>
      </c>
      <c r="M125" s="0" t="n">
        <v>189</v>
      </c>
      <c r="N125" s="0" t="n">
        <v>1</v>
      </c>
      <c r="O125" s="21" t="s">
        <v>69</v>
      </c>
      <c r="P125" s="21" t="s">
        <v>4275</v>
      </c>
      <c r="Q125" s="0" t="n">
        <v>1</v>
      </c>
      <c r="R125" s="21" t="s">
        <v>69</v>
      </c>
      <c r="S125" s="0" t="n">
        <v>1</v>
      </c>
      <c r="T125" s="21" t="s">
        <v>69</v>
      </c>
      <c r="U125" s="22" t="b">
        <f aca="false">TRUE()</f>
        <v>1</v>
      </c>
      <c r="V125" s="0" t="n">
        <v>0.68</v>
      </c>
      <c r="W125" s="0" t="n">
        <v>0.32</v>
      </c>
      <c r="X125" s="0" t="n">
        <v>8.46</v>
      </c>
      <c r="Y125" s="0" t="n">
        <v>416.81</v>
      </c>
      <c r="Z125" s="0" t="n">
        <v>8</v>
      </c>
      <c r="AA125" s="0" t="n">
        <v>-2.01</v>
      </c>
      <c r="AB125" s="0" t="n">
        <v>1.43</v>
      </c>
      <c r="AC125" s="22" t="b">
        <f aca="false">FALSE()</f>
        <v>0</v>
      </c>
      <c r="AD125" s="0" t="n">
        <v>10.22</v>
      </c>
      <c r="AE125" s="0" t="n">
        <v>0.43</v>
      </c>
      <c r="AF125" s="0" t="n">
        <v>9.33</v>
      </c>
      <c r="AG125" s="22" t="b">
        <f aca="false">TRUE()</f>
        <v>1</v>
      </c>
      <c r="AH125" s="0" t="n">
        <v>1</v>
      </c>
    </row>
    <row r="126" customFormat="false" ht="15" hidden="false" customHeight="false" outlineLevel="0" collapsed="false">
      <c r="A126" s="0" t="s">
        <v>360</v>
      </c>
      <c r="B126" s="0" t="s">
        <v>134</v>
      </c>
      <c r="C126" s="0" t="s">
        <v>3450</v>
      </c>
      <c r="D126" s="0" t="s">
        <v>3457</v>
      </c>
      <c r="E126" s="19" t="s">
        <v>26</v>
      </c>
      <c r="F126" s="19" t="s">
        <v>32</v>
      </c>
      <c r="G126" s="21" t="s">
        <v>4193</v>
      </c>
      <c r="H126" s="21" t="s">
        <v>24</v>
      </c>
      <c r="I126" s="21" t="s">
        <v>26</v>
      </c>
      <c r="J126" s="21" t="s">
        <v>24</v>
      </c>
      <c r="K126" s="21" t="s">
        <v>25</v>
      </c>
      <c r="L126" s="21" t="s">
        <v>24</v>
      </c>
      <c r="M126" s="0" t="n">
        <v>183</v>
      </c>
      <c r="N126" s="0" t="n">
        <v>12</v>
      </c>
      <c r="O126" s="21" t="s">
        <v>4192</v>
      </c>
      <c r="P126" s="21" t="s">
        <v>4295</v>
      </c>
      <c r="Q126" s="0" t="n">
        <v>2</v>
      </c>
      <c r="R126" s="21" t="s">
        <v>3871</v>
      </c>
      <c r="S126" s="0" t="n">
        <v>12</v>
      </c>
      <c r="T126" s="21" t="s">
        <v>4192</v>
      </c>
      <c r="U126" s="22" t="b">
        <f aca="false">FALSE()</f>
        <v>0</v>
      </c>
      <c r="V126" s="0" t="n">
        <v>0.67</v>
      </c>
      <c r="W126" s="0" t="n">
        <v>0.92</v>
      </c>
      <c r="X126" s="0" t="n">
        <v>9.68</v>
      </c>
      <c r="Y126" s="0" t="n">
        <v>310.39</v>
      </c>
      <c r="Z126" s="0" t="n">
        <v>8.83</v>
      </c>
      <c r="AA126" s="0" t="n">
        <v>7.88</v>
      </c>
      <c r="AB126" s="0" t="n">
        <v>1.08</v>
      </c>
      <c r="AC126" s="22" t="b">
        <f aca="false">FALSE()</f>
        <v>0</v>
      </c>
      <c r="AD126" s="0" t="n">
        <v>17.7</v>
      </c>
      <c r="AE126" s="0" t="n">
        <v>3.47</v>
      </c>
      <c r="AF126" s="0" t="n">
        <v>9.19</v>
      </c>
      <c r="AG126" s="22" t="b">
        <f aca="false">TRUE()</f>
        <v>1</v>
      </c>
      <c r="AH126" s="0" t="n">
        <v>1</v>
      </c>
    </row>
    <row r="127" customFormat="false" ht="15" hidden="false" customHeight="false" outlineLevel="0" collapsed="false">
      <c r="A127" s="0" t="s">
        <v>360</v>
      </c>
      <c r="B127" s="0" t="s">
        <v>134</v>
      </c>
      <c r="C127" s="0" t="s">
        <v>3450</v>
      </c>
      <c r="D127" s="0" t="s">
        <v>3448</v>
      </c>
      <c r="E127" s="19" t="s">
        <v>26</v>
      </c>
      <c r="F127" s="19" t="s">
        <v>32</v>
      </c>
      <c r="G127" s="21" t="s">
        <v>1311</v>
      </c>
      <c r="H127" s="21" t="s">
        <v>24</v>
      </c>
      <c r="I127" s="21" t="s">
        <v>26</v>
      </c>
      <c r="J127" s="21" t="s">
        <v>24</v>
      </c>
      <c r="K127" s="21" t="s">
        <v>25</v>
      </c>
      <c r="L127" s="21" t="s">
        <v>24</v>
      </c>
      <c r="M127" s="0" t="n">
        <v>225</v>
      </c>
      <c r="N127" s="0" t="n">
        <v>12</v>
      </c>
      <c r="O127" s="21" t="s">
        <v>4044</v>
      </c>
      <c r="P127" s="21" t="s">
        <v>4278</v>
      </c>
      <c r="Q127" s="0" t="n">
        <v>1</v>
      </c>
      <c r="R127" s="21" t="s">
        <v>69</v>
      </c>
      <c r="S127" s="0" t="n">
        <v>12</v>
      </c>
      <c r="T127" s="21" t="s">
        <v>4044</v>
      </c>
      <c r="U127" s="22" t="b">
        <f aca="false">FALSE()</f>
        <v>0</v>
      </c>
      <c r="V127" s="0" t="n">
        <v>0.64</v>
      </c>
      <c r="W127" s="0" t="n">
        <v>0</v>
      </c>
      <c r="X127" s="0" t="n">
        <v>10.41</v>
      </c>
      <c r="Y127" s="0" t="n">
        <v>1.71</v>
      </c>
      <c r="Z127" s="0" t="n">
        <v>9</v>
      </c>
      <c r="AA127" s="0" t="n">
        <v>7.35</v>
      </c>
      <c r="AB127" s="0" t="n">
        <v>0.08</v>
      </c>
      <c r="AC127" s="22" t="b">
        <f aca="false">FALSE()</f>
        <v>0</v>
      </c>
      <c r="AD127" s="0" t="n">
        <v>17.63</v>
      </c>
      <c r="AE127" s="0" t="n">
        <v>3.94</v>
      </c>
      <c r="AF127" s="0" t="n">
        <v>11.86</v>
      </c>
      <c r="AG127" s="22" t="b">
        <f aca="false">TRUE()</f>
        <v>1</v>
      </c>
      <c r="AH127" s="0" t="n">
        <v>0</v>
      </c>
    </row>
    <row r="128" customFormat="false" ht="15" hidden="false" customHeight="false" outlineLevel="0" collapsed="false">
      <c r="A128" s="0" t="s">
        <v>360</v>
      </c>
      <c r="B128" s="0" t="s">
        <v>134</v>
      </c>
      <c r="C128" s="0" t="s">
        <v>3447</v>
      </c>
      <c r="D128" s="0" t="s">
        <v>3457</v>
      </c>
      <c r="E128" s="20" t="s">
        <v>25</v>
      </c>
      <c r="F128" s="23" t="s">
        <v>30</v>
      </c>
      <c r="G128" s="21" t="s">
        <v>1099</v>
      </c>
      <c r="H128" s="21" t="s">
        <v>24</v>
      </c>
      <c r="I128" s="21" t="s">
        <v>25</v>
      </c>
      <c r="J128" s="21" t="s">
        <v>24</v>
      </c>
      <c r="K128" s="21" t="s">
        <v>25</v>
      </c>
      <c r="L128" s="21" t="s">
        <v>24</v>
      </c>
      <c r="M128" s="0" t="n">
        <v>182</v>
      </c>
      <c r="N128" s="0" t="n">
        <v>4</v>
      </c>
      <c r="O128" s="21" t="s">
        <v>3797</v>
      </c>
      <c r="P128" s="21" t="s">
        <v>4296</v>
      </c>
      <c r="Q128" s="0" t="n">
        <v>1</v>
      </c>
      <c r="R128" s="21" t="s">
        <v>69</v>
      </c>
      <c r="S128" s="0" t="n">
        <v>4</v>
      </c>
      <c r="T128" s="21" t="s">
        <v>3797</v>
      </c>
      <c r="U128" s="22" t="b">
        <f aca="false">TRUE()</f>
        <v>1</v>
      </c>
      <c r="V128" s="0" t="n">
        <v>0.68</v>
      </c>
      <c r="W128" s="0" t="n">
        <v>0.48</v>
      </c>
      <c r="X128" s="0" t="n">
        <v>9.87</v>
      </c>
      <c r="Y128" s="0" t="n">
        <v>326.01</v>
      </c>
      <c r="Z128" s="0" t="n">
        <v>8.5</v>
      </c>
      <c r="AA128" s="0" t="n">
        <v>-0.63</v>
      </c>
      <c r="AB128" s="0" t="n">
        <v>1.08</v>
      </c>
      <c r="AC128" s="22" t="b">
        <f aca="false">FALSE()</f>
        <v>0</v>
      </c>
      <c r="AD128" s="0" t="n">
        <v>16.57</v>
      </c>
      <c r="AE128" s="0" t="n">
        <v>3.7</v>
      </c>
      <c r="AF128" s="0" t="n">
        <v>9.17</v>
      </c>
      <c r="AG128" s="22" t="b">
        <f aca="false">TRUE()</f>
        <v>1</v>
      </c>
      <c r="AH128" s="0" t="n">
        <v>1</v>
      </c>
    </row>
    <row r="129" customFormat="false" ht="15" hidden="false" customHeight="false" outlineLevel="0" collapsed="false">
      <c r="A129" s="0" t="s">
        <v>360</v>
      </c>
      <c r="B129" s="0" t="s">
        <v>134</v>
      </c>
      <c r="C129" s="0" t="s">
        <v>3447</v>
      </c>
      <c r="D129" s="0" t="s">
        <v>3448</v>
      </c>
      <c r="E129" s="20" t="s">
        <v>25</v>
      </c>
      <c r="F129" s="23" t="s">
        <v>30</v>
      </c>
      <c r="G129" s="21" t="s">
        <v>2610</v>
      </c>
      <c r="H129" s="21" t="s">
        <v>24</v>
      </c>
      <c r="I129" s="21" t="s">
        <v>24</v>
      </c>
      <c r="J129" s="21" t="s">
        <v>24</v>
      </c>
      <c r="K129" s="21" t="s">
        <v>25</v>
      </c>
      <c r="L129" s="21" t="s">
        <v>24</v>
      </c>
      <c r="M129" s="0" t="n">
        <v>184</v>
      </c>
      <c r="N129" s="0" t="n">
        <v>4</v>
      </c>
      <c r="O129" s="21" t="s">
        <v>3606</v>
      </c>
      <c r="P129" s="21" t="s">
        <v>4297</v>
      </c>
      <c r="Q129" s="0" t="n">
        <v>0</v>
      </c>
      <c r="S129" s="0" t="n">
        <v>4</v>
      </c>
      <c r="T129" s="21" t="s">
        <v>3606</v>
      </c>
      <c r="U129" s="22" t="b">
        <f aca="false">TRUE()</f>
        <v>1</v>
      </c>
      <c r="V129" s="0" t="n">
        <v>0.71</v>
      </c>
      <c r="W129" s="0" t="n">
        <v>0.8</v>
      </c>
      <c r="X129" s="0" t="n">
        <v>10.59</v>
      </c>
      <c r="Y129" s="0" t="n">
        <v>320.53</v>
      </c>
      <c r="Z129" s="0" t="n">
        <v>8</v>
      </c>
      <c r="AA129" s="0" t="n">
        <v>-1.12</v>
      </c>
      <c r="AB129" s="0" t="n">
        <v>0.08</v>
      </c>
      <c r="AC129" s="22" t="b">
        <f aca="false">FALSE()</f>
        <v>0</v>
      </c>
      <c r="AD129" s="0" t="n">
        <v>11.45</v>
      </c>
      <c r="AE129" s="0" t="n">
        <v>2.81</v>
      </c>
      <c r="AF129" s="0" t="n">
        <v>8.48</v>
      </c>
      <c r="AG129" s="22" t="b">
        <f aca="false">TRUE()</f>
        <v>1</v>
      </c>
      <c r="AH129" s="0" t="n">
        <v>1</v>
      </c>
    </row>
    <row r="130" customFormat="false" ht="15" hidden="false" customHeight="false" outlineLevel="0" collapsed="false">
      <c r="A130" s="0" t="s">
        <v>367</v>
      </c>
      <c r="B130" s="0" t="s">
        <v>134</v>
      </c>
      <c r="C130" s="0" t="s">
        <v>3450</v>
      </c>
      <c r="D130" s="0" t="s">
        <v>3457</v>
      </c>
      <c r="E130" s="20" t="s">
        <v>25</v>
      </c>
      <c r="F130" s="23" t="s">
        <v>30</v>
      </c>
      <c r="G130" s="21" t="s">
        <v>197</v>
      </c>
      <c r="H130" s="21" t="s">
        <v>24</v>
      </c>
      <c r="I130" s="21" t="s">
        <v>25</v>
      </c>
      <c r="J130" s="21" t="s">
        <v>24</v>
      </c>
      <c r="K130" s="21" t="s">
        <v>25</v>
      </c>
      <c r="L130" s="21" t="s">
        <v>24</v>
      </c>
      <c r="M130" s="0" t="n">
        <v>196</v>
      </c>
      <c r="N130" s="0" t="n">
        <v>6</v>
      </c>
      <c r="O130" s="21" t="s">
        <v>3854</v>
      </c>
      <c r="P130" s="21" t="s">
        <v>4298</v>
      </c>
      <c r="Q130" s="0" t="n">
        <v>1</v>
      </c>
      <c r="R130" s="21" t="s">
        <v>69</v>
      </c>
      <c r="S130" s="0" t="n">
        <v>6</v>
      </c>
      <c r="T130" s="21" t="s">
        <v>3854</v>
      </c>
      <c r="U130" s="22" t="b">
        <f aca="false">TRUE()</f>
        <v>1</v>
      </c>
      <c r="V130" s="0" t="n">
        <v>0.73</v>
      </c>
      <c r="W130" s="0" t="n">
        <v>0.48</v>
      </c>
      <c r="X130" s="0" t="n">
        <v>7.61</v>
      </c>
      <c r="Y130" s="0" t="n">
        <v>342.17</v>
      </c>
      <c r="Z130" s="0" t="n">
        <v>8</v>
      </c>
      <c r="AA130" s="0" t="n">
        <v>1.48</v>
      </c>
      <c r="AB130" s="0" t="n">
        <v>0.98</v>
      </c>
      <c r="AC130" s="22" t="b">
        <f aca="false">TRUE()</f>
        <v>1</v>
      </c>
      <c r="AD130" s="0" t="n">
        <v>18.78</v>
      </c>
      <c r="AE130" s="0" t="n">
        <v>6.4</v>
      </c>
      <c r="AF130" s="0" t="n">
        <v>14.15</v>
      </c>
      <c r="AG130" s="22" t="b">
        <f aca="false">TRUE()</f>
        <v>1</v>
      </c>
      <c r="AH130" s="0" t="n">
        <v>1</v>
      </c>
    </row>
    <row r="131" customFormat="false" ht="15" hidden="false" customHeight="false" outlineLevel="0" collapsed="false">
      <c r="A131" s="0" t="s">
        <v>367</v>
      </c>
      <c r="B131" s="0" t="s">
        <v>134</v>
      </c>
      <c r="C131" s="0" t="s">
        <v>3450</v>
      </c>
      <c r="D131" s="0" t="s">
        <v>3448</v>
      </c>
      <c r="E131" s="20" t="s">
        <v>25</v>
      </c>
      <c r="F131" s="23" t="s">
        <v>30</v>
      </c>
      <c r="G131" s="21" t="s">
        <v>1230</v>
      </c>
      <c r="H131" s="21" t="s">
        <v>24</v>
      </c>
      <c r="I131" s="21" t="s">
        <v>25</v>
      </c>
      <c r="J131" s="21" t="s">
        <v>24</v>
      </c>
      <c r="K131" s="21" t="s">
        <v>25</v>
      </c>
      <c r="L131" s="21" t="s">
        <v>24</v>
      </c>
      <c r="M131" s="0" t="n">
        <v>184</v>
      </c>
      <c r="N131" s="0" t="n">
        <v>2</v>
      </c>
      <c r="O131" s="21" t="s">
        <v>3575</v>
      </c>
      <c r="P131" s="21" t="s">
        <v>4265</v>
      </c>
      <c r="Q131" s="0" t="n">
        <v>1</v>
      </c>
      <c r="R131" s="21" t="s">
        <v>69</v>
      </c>
      <c r="S131" s="0" t="n">
        <v>2</v>
      </c>
      <c r="T131" s="21" t="s">
        <v>3575</v>
      </c>
      <c r="U131" s="22" t="b">
        <f aca="false">TRUE()</f>
        <v>1</v>
      </c>
      <c r="V131" s="0" t="n">
        <v>0.76</v>
      </c>
      <c r="W131" s="0" t="n">
        <v>0.92</v>
      </c>
      <c r="X131" s="0" t="n">
        <v>6.78</v>
      </c>
      <c r="Y131" s="0" t="n">
        <v>319.55</v>
      </c>
      <c r="Z131" s="0" t="n">
        <v>8</v>
      </c>
      <c r="AA131" s="0" t="n">
        <v>-1.12</v>
      </c>
      <c r="AB131" s="0" t="n">
        <v>52.37</v>
      </c>
      <c r="AC131" s="22" t="b">
        <f aca="false">FALSE()</f>
        <v>0</v>
      </c>
      <c r="AD131" s="0" t="n">
        <v>9.25</v>
      </c>
      <c r="AE131" s="0" t="n">
        <v>1.86</v>
      </c>
      <c r="AF131" s="0" t="n">
        <v>6.35</v>
      </c>
      <c r="AG131" s="22" t="b">
        <f aca="false">FALSE()</f>
        <v>0</v>
      </c>
      <c r="AH131" s="0" t="n">
        <v>1</v>
      </c>
    </row>
    <row r="132" customFormat="false" ht="15" hidden="false" customHeight="false" outlineLevel="0" collapsed="false">
      <c r="A132" s="0" t="s">
        <v>367</v>
      </c>
      <c r="B132" s="0" t="s">
        <v>134</v>
      </c>
      <c r="C132" s="0" t="s">
        <v>3447</v>
      </c>
      <c r="D132" s="0" t="s">
        <v>3457</v>
      </c>
      <c r="E132" s="20" t="s">
        <v>25</v>
      </c>
      <c r="F132" s="20" t="s">
        <v>29</v>
      </c>
      <c r="G132" s="21" t="s">
        <v>3471</v>
      </c>
      <c r="H132" s="21" t="s">
        <v>24</v>
      </c>
      <c r="I132" s="21" t="s">
        <v>24</v>
      </c>
      <c r="J132" s="21" t="s">
        <v>24</v>
      </c>
      <c r="K132" s="21" t="s">
        <v>25</v>
      </c>
      <c r="L132" s="21" t="s">
        <v>24</v>
      </c>
      <c r="M132" s="0" t="n">
        <v>184</v>
      </c>
      <c r="N132" s="0" t="n">
        <v>0</v>
      </c>
      <c r="Q132" s="0" t="n">
        <v>0</v>
      </c>
      <c r="S132" s="0" t="n">
        <v>0</v>
      </c>
      <c r="U132" s="22" t="b">
        <f aca="false">FALSE()</f>
        <v>0</v>
      </c>
      <c r="V132" s="0" t="n">
        <v>0.78</v>
      </c>
      <c r="W132" s="0" t="n">
        <v>0.4</v>
      </c>
      <c r="X132" s="0" t="n">
        <v>8.01</v>
      </c>
      <c r="Y132" s="0" t="n">
        <v>348.89</v>
      </c>
      <c r="Z132" s="0" t="n">
        <v>8.25</v>
      </c>
      <c r="AA132" s="0" t="n">
        <v>-0.69</v>
      </c>
      <c r="AB132" s="0" t="n">
        <v>0.98</v>
      </c>
      <c r="AC132" s="22" t="b">
        <f aca="false">FALSE()</f>
        <v>0</v>
      </c>
      <c r="AD132" s="0" t="n">
        <v>20.13</v>
      </c>
      <c r="AE132" s="0" t="n">
        <v>7.84</v>
      </c>
      <c r="AF132" s="0" t="n">
        <v>15.79</v>
      </c>
      <c r="AG132" s="22" t="b">
        <f aca="false">TRUE()</f>
        <v>1</v>
      </c>
      <c r="AH132" s="0" t="n">
        <v>1</v>
      </c>
    </row>
    <row r="133" customFormat="false" ht="15" hidden="false" customHeight="false" outlineLevel="0" collapsed="false">
      <c r="A133" s="0" t="s">
        <v>367</v>
      </c>
      <c r="B133" s="0" t="s">
        <v>134</v>
      </c>
      <c r="C133" s="0" t="s">
        <v>3447</v>
      </c>
      <c r="D133" s="0" t="s">
        <v>3448</v>
      </c>
      <c r="E133" s="20" t="s">
        <v>25</v>
      </c>
      <c r="F133" s="23" t="s">
        <v>30</v>
      </c>
      <c r="G133" s="21" t="s">
        <v>992</v>
      </c>
      <c r="H133" s="21" t="s">
        <v>24</v>
      </c>
      <c r="I133" s="21" t="s">
        <v>24</v>
      </c>
      <c r="J133" s="21" t="s">
        <v>24</v>
      </c>
      <c r="K133" s="21" t="s">
        <v>25</v>
      </c>
      <c r="L133" s="21" t="s">
        <v>24</v>
      </c>
      <c r="M133" s="0" t="n">
        <v>185</v>
      </c>
      <c r="N133" s="0" t="n">
        <v>1</v>
      </c>
      <c r="O133" s="21" t="s">
        <v>3476</v>
      </c>
      <c r="P133" s="21" t="s">
        <v>4228</v>
      </c>
      <c r="Q133" s="0" t="n">
        <v>0</v>
      </c>
      <c r="S133" s="0" t="n">
        <v>1</v>
      </c>
      <c r="T133" s="21" t="s">
        <v>3476</v>
      </c>
      <c r="U133" s="22" t="b">
        <f aca="false">TRUE()</f>
        <v>1</v>
      </c>
      <c r="V133" s="0" t="n">
        <v>0.81</v>
      </c>
      <c r="W133" s="0" t="n">
        <v>0.12</v>
      </c>
      <c r="X133" s="0" t="n">
        <v>9.4</v>
      </c>
      <c r="Y133" s="0" t="n">
        <v>629.48</v>
      </c>
      <c r="Z133" s="0" t="n">
        <v>8.5</v>
      </c>
      <c r="AA133" s="0" t="n">
        <v>-0.46</v>
      </c>
      <c r="AB133" s="0" t="n">
        <v>52.37</v>
      </c>
      <c r="AC133" s="22" t="b">
        <f aca="false">FALSE()</f>
        <v>0</v>
      </c>
      <c r="AD133" s="0" t="n">
        <v>21.02</v>
      </c>
      <c r="AE133" s="0" t="n">
        <v>7.6</v>
      </c>
      <c r="AF133" s="0" t="n">
        <v>13.1</v>
      </c>
      <c r="AG133" s="22" t="b">
        <f aca="false">TRUE()</f>
        <v>1</v>
      </c>
      <c r="AH133" s="0" t="n">
        <v>1</v>
      </c>
    </row>
    <row r="134" customFormat="false" ht="15" hidden="false" customHeight="false" outlineLevel="0" collapsed="false">
      <c r="A134" s="0" t="s">
        <v>373</v>
      </c>
      <c r="B134" s="0" t="s">
        <v>134</v>
      </c>
      <c r="C134" s="0" t="s">
        <v>3450</v>
      </c>
      <c r="D134" s="0" t="s">
        <v>3457</v>
      </c>
      <c r="E134" s="20" t="s">
        <v>25</v>
      </c>
      <c r="F134" s="20" t="s">
        <v>29</v>
      </c>
      <c r="G134" s="21" t="s">
        <v>63</v>
      </c>
      <c r="H134" s="21" t="s">
        <v>24</v>
      </c>
      <c r="I134" s="21" t="s">
        <v>24</v>
      </c>
      <c r="J134" s="21" t="s">
        <v>24</v>
      </c>
      <c r="K134" s="21" t="s">
        <v>25</v>
      </c>
      <c r="L134" s="21" t="s">
        <v>24</v>
      </c>
      <c r="M134" s="0" t="n">
        <v>183</v>
      </c>
      <c r="N134" s="0" t="n">
        <v>0</v>
      </c>
      <c r="Q134" s="0" t="n">
        <v>0</v>
      </c>
      <c r="S134" s="0" t="n">
        <v>0</v>
      </c>
      <c r="U134" s="22" t="b">
        <f aca="false">FALSE()</f>
        <v>0</v>
      </c>
      <c r="V134" s="0" t="n">
        <v>0.7</v>
      </c>
      <c r="W134" s="0" t="n">
        <v>0.16</v>
      </c>
      <c r="X134" s="0" t="n">
        <v>6.52</v>
      </c>
      <c r="Y134" s="0" t="n">
        <v>558.49</v>
      </c>
      <c r="Z134" s="0" t="n">
        <v>9.33</v>
      </c>
      <c r="AA134" s="0" t="n">
        <v>10.33</v>
      </c>
      <c r="AB134" s="0" t="n">
        <v>1.49</v>
      </c>
      <c r="AC134" s="22" t="b">
        <f aca="false">FALSE()</f>
        <v>0</v>
      </c>
      <c r="AD134" s="0" t="n">
        <v>11.5</v>
      </c>
      <c r="AE134" s="0" t="n">
        <v>0.83</v>
      </c>
      <c r="AF134" s="0" t="n">
        <v>0.98</v>
      </c>
      <c r="AG134" s="22" t="b">
        <f aca="false">TRUE()</f>
        <v>1</v>
      </c>
      <c r="AH134" s="0" t="n">
        <v>1</v>
      </c>
    </row>
    <row r="135" customFormat="false" ht="15" hidden="false" customHeight="false" outlineLevel="0" collapsed="false">
      <c r="A135" s="0" t="s">
        <v>373</v>
      </c>
      <c r="B135" s="0" t="s">
        <v>134</v>
      </c>
      <c r="C135" s="0" t="s">
        <v>3450</v>
      </c>
      <c r="D135" s="0" t="s">
        <v>3448</v>
      </c>
      <c r="E135" s="20" t="s">
        <v>25</v>
      </c>
      <c r="F135" s="20" t="s">
        <v>29</v>
      </c>
      <c r="G135" s="21" t="s">
        <v>64</v>
      </c>
      <c r="H135" s="21" t="s">
        <v>24</v>
      </c>
      <c r="I135" s="21" t="s">
        <v>24</v>
      </c>
      <c r="J135" s="21" t="s">
        <v>24</v>
      </c>
      <c r="K135" s="21" t="s">
        <v>25</v>
      </c>
      <c r="L135" s="21" t="s">
        <v>24</v>
      </c>
      <c r="M135" s="0" t="n">
        <v>185</v>
      </c>
      <c r="N135" s="0" t="n">
        <v>0</v>
      </c>
      <c r="Q135" s="0" t="n">
        <v>0</v>
      </c>
      <c r="S135" s="0" t="n">
        <v>0</v>
      </c>
      <c r="U135" s="22" t="b">
        <f aca="false">FALSE()</f>
        <v>0</v>
      </c>
      <c r="V135" s="0" t="n">
        <v>0.74</v>
      </c>
      <c r="W135" s="0" t="n">
        <v>0.68</v>
      </c>
      <c r="X135" s="0" t="n">
        <v>7.47</v>
      </c>
      <c r="Y135" s="0" t="n">
        <v>325.13</v>
      </c>
      <c r="Z135" s="0" t="n">
        <v>9.58</v>
      </c>
      <c r="AA135" s="0" t="n">
        <v>10.92</v>
      </c>
      <c r="AB135" s="0" t="n">
        <v>0.66</v>
      </c>
      <c r="AC135" s="22" t="b">
        <f aca="false">FALSE()</f>
        <v>0</v>
      </c>
      <c r="AD135" s="0" t="n">
        <v>15.09</v>
      </c>
      <c r="AE135" s="0" t="n">
        <v>0.39</v>
      </c>
      <c r="AF135" s="0" t="n">
        <v>4.59</v>
      </c>
      <c r="AG135" s="22" t="b">
        <f aca="false">TRUE()</f>
        <v>1</v>
      </c>
      <c r="AH135" s="0" t="n">
        <v>1</v>
      </c>
    </row>
    <row r="136" customFormat="false" ht="15" hidden="false" customHeight="false" outlineLevel="0" collapsed="false">
      <c r="A136" s="0" t="s">
        <v>373</v>
      </c>
      <c r="B136" s="0" t="s">
        <v>134</v>
      </c>
      <c r="C136" s="0" t="s">
        <v>3447</v>
      </c>
      <c r="D136" s="0" t="s">
        <v>3457</v>
      </c>
      <c r="E136" s="20" t="s">
        <v>25</v>
      </c>
      <c r="F136" s="20" t="s">
        <v>29</v>
      </c>
      <c r="G136" s="21" t="s">
        <v>63</v>
      </c>
      <c r="H136" s="21" t="s">
        <v>24</v>
      </c>
      <c r="I136" s="21" t="s">
        <v>24</v>
      </c>
      <c r="J136" s="21" t="s">
        <v>24</v>
      </c>
      <c r="K136" s="21" t="s">
        <v>25</v>
      </c>
      <c r="L136" s="21" t="s">
        <v>24</v>
      </c>
      <c r="M136" s="0" t="n">
        <v>184</v>
      </c>
      <c r="N136" s="0" t="n">
        <v>0</v>
      </c>
      <c r="Q136" s="0" t="n">
        <v>0</v>
      </c>
      <c r="S136" s="0" t="n">
        <v>0</v>
      </c>
      <c r="U136" s="22" t="b">
        <f aca="false">FALSE()</f>
        <v>0</v>
      </c>
      <c r="V136" s="0" t="n">
        <v>0.73</v>
      </c>
      <c r="W136" s="0" t="n">
        <v>0.2</v>
      </c>
      <c r="X136" s="0" t="n">
        <v>7.3</v>
      </c>
      <c r="Y136" s="0" t="n">
        <v>507.44</v>
      </c>
      <c r="Z136" s="0" t="n">
        <v>9.25</v>
      </c>
      <c r="AA136" s="0" t="n">
        <v>8.15</v>
      </c>
      <c r="AB136" s="0" t="n">
        <v>1.49</v>
      </c>
      <c r="AC136" s="22" t="b">
        <f aca="false">FALSE()</f>
        <v>0</v>
      </c>
      <c r="AD136" s="0" t="n">
        <v>11.56</v>
      </c>
      <c r="AE136" s="0" t="n">
        <v>1.04</v>
      </c>
      <c r="AF136" s="0" t="n">
        <v>0.97</v>
      </c>
      <c r="AG136" s="22" t="b">
        <f aca="false">TRUE()</f>
        <v>1</v>
      </c>
      <c r="AH136" s="0" t="n">
        <v>1</v>
      </c>
    </row>
    <row r="137" customFormat="false" ht="15" hidden="false" customHeight="false" outlineLevel="0" collapsed="false">
      <c r="A137" s="0" t="s">
        <v>373</v>
      </c>
      <c r="B137" s="0" t="s">
        <v>134</v>
      </c>
      <c r="C137" s="0" t="s">
        <v>3447</v>
      </c>
      <c r="D137" s="0" t="s">
        <v>3448</v>
      </c>
      <c r="E137" s="20" t="s">
        <v>25</v>
      </c>
      <c r="F137" s="20" t="s">
        <v>29</v>
      </c>
      <c r="G137" s="21" t="s">
        <v>64</v>
      </c>
      <c r="H137" s="21" t="s">
        <v>24</v>
      </c>
      <c r="I137" s="21" t="s">
        <v>24</v>
      </c>
      <c r="J137" s="21" t="s">
        <v>24</v>
      </c>
      <c r="K137" s="21" t="s">
        <v>25</v>
      </c>
      <c r="L137" s="21" t="s">
        <v>24</v>
      </c>
      <c r="M137" s="0" t="n">
        <v>186</v>
      </c>
      <c r="N137" s="0" t="n">
        <v>0</v>
      </c>
      <c r="Q137" s="0" t="n">
        <v>0</v>
      </c>
      <c r="S137" s="0" t="n">
        <v>0</v>
      </c>
      <c r="U137" s="22" t="b">
        <f aca="false">FALSE()</f>
        <v>0</v>
      </c>
      <c r="V137" s="0" t="n">
        <v>0.75</v>
      </c>
      <c r="W137" s="0" t="n">
        <v>0.44</v>
      </c>
      <c r="X137" s="0" t="n">
        <v>8.3</v>
      </c>
      <c r="Y137" s="0" t="n">
        <v>351.25</v>
      </c>
      <c r="Z137" s="0" t="n">
        <v>8.83</v>
      </c>
      <c r="AA137" s="0" t="n">
        <v>1.75</v>
      </c>
      <c r="AB137" s="0" t="n">
        <v>0.66</v>
      </c>
      <c r="AC137" s="22" t="b">
        <f aca="false">FALSE()</f>
        <v>0</v>
      </c>
      <c r="AD137" s="0" t="n">
        <v>8.99</v>
      </c>
      <c r="AE137" s="0" t="n">
        <v>1.11</v>
      </c>
      <c r="AF137" s="0" t="n">
        <v>4.22</v>
      </c>
      <c r="AG137" s="22" t="b">
        <f aca="false">FALSE()</f>
        <v>0</v>
      </c>
      <c r="AH137" s="0" t="n">
        <v>1</v>
      </c>
    </row>
    <row r="138" customFormat="false" ht="15" hidden="false" customHeight="false" outlineLevel="0" collapsed="false">
      <c r="A138" s="0" t="s">
        <v>373</v>
      </c>
      <c r="B138" s="0" t="s">
        <v>3459</v>
      </c>
      <c r="C138" s="0" t="s">
        <v>3450</v>
      </c>
      <c r="D138" s="0" t="s">
        <v>3457</v>
      </c>
      <c r="E138" s="20" t="s">
        <v>25</v>
      </c>
      <c r="F138" s="23" t="s">
        <v>30</v>
      </c>
      <c r="G138" s="21" t="s">
        <v>183</v>
      </c>
      <c r="H138" s="21" t="s">
        <v>24</v>
      </c>
      <c r="I138" s="21" t="s">
        <v>25</v>
      </c>
      <c r="J138" s="21" t="s">
        <v>24</v>
      </c>
      <c r="K138" s="21" t="s">
        <v>25</v>
      </c>
      <c r="L138" s="21" t="s">
        <v>24</v>
      </c>
      <c r="M138" s="0" t="n">
        <v>184</v>
      </c>
      <c r="N138" s="0" t="n">
        <v>1</v>
      </c>
      <c r="O138" s="21" t="s">
        <v>69</v>
      </c>
      <c r="P138" s="21" t="s">
        <v>4275</v>
      </c>
      <c r="Q138" s="0" t="n">
        <v>1</v>
      </c>
      <c r="R138" s="21" t="s">
        <v>69</v>
      </c>
      <c r="S138" s="0" t="n">
        <v>1</v>
      </c>
      <c r="T138" s="21" t="s">
        <v>69</v>
      </c>
      <c r="U138" s="22" t="b">
        <f aca="false">TRUE()</f>
        <v>1</v>
      </c>
      <c r="V138" s="0" t="n">
        <v>0.71</v>
      </c>
      <c r="W138" s="0" t="n">
        <v>0.36</v>
      </c>
      <c r="X138" s="0" t="n">
        <v>7.46</v>
      </c>
      <c r="Y138" s="0" t="n">
        <v>373.47</v>
      </c>
      <c r="Z138" s="0" t="n">
        <v>9</v>
      </c>
      <c r="AA138" s="0" t="n">
        <v>11.55</v>
      </c>
      <c r="AB138" s="0" t="n">
        <v>2.61</v>
      </c>
      <c r="AC138" s="22" t="b">
        <f aca="false">FALSE()</f>
        <v>0</v>
      </c>
      <c r="AD138" s="0" t="n">
        <v>24.01</v>
      </c>
      <c r="AE138" s="0" t="n">
        <v>7.68</v>
      </c>
      <c r="AF138" s="0" t="n">
        <v>18.65</v>
      </c>
      <c r="AG138" s="22" t="b">
        <f aca="false">TRUE()</f>
        <v>1</v>
      </c>
      <c r="AH138" s="0" t="n">
        <v>1</v>
      </c>
    </row>
    <row r="139" customFormat="false" ht="15" hidden="false" customHeight="false" outlineLevel="0" collapsed="false">
      <c r="A139" s="0" t="s">
        <v>373</v>
      </c>
      <c r="B139" s="0" t="s">
        <v>3459</v>
      </c>
      <c r="C139" s="0" t="s">
        <v>3450</v>
      </c>
      <c r="D139" s="0" t="s">
        <v>3448</v>
      </c>
      <c r="E139" s="18" t="s">
        <v>24</v>
      </c>
      <c r="F139" s="18" t="s">
        <v>28</v>
      </c>
      <c r="H139" s="21" t="s">
        <v>24</v>
      </c>
      <c r="I139" s="21" t="s">
        <v>24</v>
      </c>
      <c r="J139" s="21" t="s">
        <v>24</v>
      </c>
      <c r="K139" s="21" t="s">
        <v>24</v>
      </c>
      <c r="L139" s="21" t="s">
        <v>24</v>
      </c>
      <c r="M139" s="0" t="n">
        <v>184</v>
      </c>
      <c r="N139" s="0" t="n">
        <v>0</v>
      </c>
      <c r="Q139" s="0" t="n">
        <v>0</v>
      </c>
      <c r="S139" s="0" t="n">
        <v>0</v>
      </c>
      <c r="U139" s="22" t="b">
        <f aca="false">FALSE()</f>
        <v>0</v>
      </c>
      <c r="V139" s="0" t="n">
        <v>0.77</v>
      </c>
      <c r="W139" s="0" t="n">
        <v>0.64</v>
      </c>
      <c r="X139" s="0" t="n">
        <v>7.93</v>
      </c>
      <c r="Y139" s="0" t="n">
        <v>321.16</v>
      </c>
      <c r="Z139" s="0" t="n">
        <v>8.25</v>
      </c>
      <c r="AA139" s="0" t="n">
        <v>3.86</v>
      </c>
      <c r="AB139" s="0" t="n">
        <v>2.59</v>
      </c>
      <c r="AC139" s="22" t="b">
        <f aca="false">FALSE()</f>
        <v>0</v>
      </c>
      <c r="AD139" s="0" t="n">
        <v>17.17</v>
      </c>
      <c r="AE139" s="0" t="n">
        <v>5.25</v>
      </c>
      <c r="AF139" s="0" t="n">
        <v>14.74</v>
      </c>
      <c r="AG139" s="22" t="b">
        <f aca="false">TRUE()</f>
        <v>1</v>
      </c>
      <c r="AH139" s="0" t="n">
        <v>1</v>
      </c>
    </row>
    <row r="140" customFormat="false" ht="15" hidden="false" customHeight="false" outlineLevel="0" collapsed="false">
      <c r="A140" s="0" t="s">
        <v>373</v>
      </c>
      <c r="B140" s="0" t="s">
        <v>3459</v>
      </c>
      <c r="C140" s="0" t="s">
        <v>3447</v>
      </c>
      <c r="D140" s="0" t="s">
        <v>3457</v>
      </c>
      <c r="E140" s="20" t="s">
        <v>25</v>
      </c>
      <c r="F140" s="20" t="s">
        <v>29</v>
      </c>
      <c r="G140" s="21" t="s">
        <v>61</v>
      </c>
      <c r="H140" s="21" t="s">
        <v>24</v>
      </c>
      <c r="I140" s="21" t="s">
        <v>24</v>
      </c>
      <c r="J140" s="21" t="s">
        <v>24</v>
      </c>
      <c r="K140" s="21" t="s">
        <v>25</v>
      </c>
      <c r="L140" s="21" t="s">
        <v>24</v>
      </c>
      <c r="M140" s="0" t="n">
        <v>184</v>
      </c>
      <c r="N140" s="0" t="n">
        <v>0</v>
      </c>
      <c r="Q140" s="0" t="n">
        <v>0</v>
      </c>
      <c r="S140" s="0" t="n">
        <v>0</v>
      </c>
      <c r="U140" s="22" t="b">
        <f aca="false">FALSE()</f>
        <v>0</v>
      </c>
      <c r="V140" s="0" t="n">
        <v>0.74</v>
      </c>
      <c r="W140" s="0" t="n">
        <v>0.24</v>
      </c>
      <c r="X140" s="0" t="n">
        <v>7.41</v>
      </c>
      <c r="Y140" s="0" t="n">
        <v>460.12</v>
      </c>
      <c r="Z140" s="0" t="n">
        <v>8.58</v>
      </c>
      <c r="AA140" s="0" t="n">
        <v>7.49</v>
      </c>
      <c r="AB140" s="0" t="n">
        <v>2.61</v>
      </c>
      <c r="AC140" s="22" t="b">
        <f aca="false">FALSE()</f>
        <v>0</v>
      </c>
      <c r="AD140" s="0" t="n">
        <v>21.54</v>
      </c>
      <c r="AE140" s="0" t="n">
        <v>4.44</v>
      </c>
      <c r="AF140" s="0" t="n">
        <v>15.11</v>
      </c>
      <c r="AG140" s="22" t="b">
        <f aca="false">TRUE()</f>
        <v>1</v>
      </c>
      <c r="AH140" s="0" t="n">
        <v>1</v>
      </c>
    </row>
    <row r="141" customFormat="false" ht="15" hidden="false" customHeight="false" outlineLevel="0" collapsed="false">
      <c r="A141" s="0" t="s">
        <v>373</v>
      </c>
      <c r="B141" s="0" t="s">
        <v>3459</v>
      </c>
      <c r="C141" s="0" t="s">
        <v>3447</v>
      </c>
      <c r="D141" s="0" t="s">
        <v>3448</v>
      </c>
      <c r="E141" s="18" t="s">
        <v>24</v>
      </c>
      <c r="F141" s="18" t="s">
        <v>28</v>
      </c>
      <c r="H141" s="21" t="s">
        <v>24</v>
      </c>
      <c r="I141" s="21" t="s">
        <v>24</v>
      </c>
      <c r="J141" s="21" t="s">
        <v>24</v>
      </c>
      <c r="K141" s="21" t="s">
        <v>24</v>
      </c>
      <c r="L141" s="21" t="s">
        <v>24</v>
      </c>
      <c r="M141" s="0" t="n">
        <v>185</v>
      </c>
      <c r="N141" s="0" t="n">
        <v>0</v>
      </c>
      <c r="Q141" s="0" t="n">
        <v>0</v>
      </c>
      <c r="S141" s="0" t="n">
        <v>0</v>
      </c>
      <c r="U141" s="22" t="b">
        <f aca="false">FALSE()</f>
        <v>0</v>
      </c>
      <c r="V141" s="0" t="n">
        <v>0.79</v>
      </c>
      <c r="W141" s="0" t="n">
        <v>0.76</v>
      </c>
      <c r="X141" s="0" t="n">
        <v>8.2</v>
      </c>
      <c r="Y141" s="0" t="n">
        <v>320.31</v>
      </c>
      <c r="Z141" s="0" t="n">
        <v>8.17</v>
      </c>
      <c r="AA141" s="0" t="n">
        <v>10.41</v>
      </c>
      <c r="AB141" s="0" t="n">
        <v>2.59</v>
      </c>
      <c r="AC141" s="22" t="b">
        <f aca="false">FALSE()</f>
        <v>0</v>
      </c>
      <c r="AD141" s="0" t="n">
        <v>19.63</v>
      </c>
      <c r="AE141" s="0" t="n">
        <v>3.87</v>
      </c>
      <c r="AF141" s="0" t="n">
        <v>12.62</v>
      </c>
      <c r="AG141" s="22" t="b">
        <f aca="false">TRUE()</f>
        <v>1</v>
      </c>
      <c r="AH141" s="0" t="n">
        <v>1</v>
      </c>
    </row>
    <row r="142" customFormat="false" ht="15" hidden="false" customHeight="false" outlineLevel="0" collapsed="false">
      <c r="A142" s="0" t="s">
        <v>380</v>
      </c>
      <c r="B142" s="0" t="s">
        <v>134</v>
      </c>
      <c r="C142" s="0" t="s">
        <v>3450</v>
      </c>
      <c r="D142" s="0" t="s">
        <v>3457</v>
      </c>
      <c r="E142" s="20" t="s">
        <v>25</v>
      </c>
      <c r="F142" s="20" t="s">
        <v>29</v>
      </c>
      <c r="G142" s="21" t="s">
        <v>66</v>
      </c>
      <c r="H142" s="21" t="s">
        <v>24</v>
      </c>
      <c r="I142" s="21" t="s">
        <v>24</v>
      </c>
      <c r="J142" s="21" t="s">
        <v>24</v>
      </c>
      <c r="K142" s="21" t="s">
        <v>25</v>
      </c>
      <c r="L142" s="21" t="s">
        <v>24</v>
      </c>
      <c r="M142" s="0" t="n">
        <v>188</v>
      </c>
      <c r="N142" s="0" t="n">
        <v>0</v>
      </c>
      <c r="Q142" s="0" t="n">
        <v>0</v>
      </c>
      <c r="S142" s="0" t="n">
        <v>0</v>
      </c>
      <c r="U142" s="22" t="b">
        <f aca="false">FALSE()</f>
        <v>0</v>
      </c>
      <c r="V142" s="0" t="n">
        <v>0.72</v>
      </c>
      <c r="W142" s="0" t="n">
        <v>0.4</v>
      </c>
      <c r="X142" s="0" t="n">
        <v>13.36</v>
      </c>
      <c r="Y142" s="0" t="n">
        <v>360.3</v>
      </c>
      <c r="Z142" s="0" t="n">
        <v>10.25</v>
      </c>
      <c r="AA142" s="0" t="n">
        <v>11.62</v>
      </c>
      <c r="AB142" s="0" t="n">
        <v>1.67</v>
      </c>
      <c r="AC142" s="22" t="b">
        <f aca="false">FALSE()</f>
        <v>0</v>
      </c>
      <c r="AD142" s="0" t="n">
        <v>30.05</v>
      </c>
      <c r="AE142" s="0" t="n">
        <v>3.05</v>
      </c>
      <c r="AF142" s="0" t="n">
        <v>27.64</v>
      </c>
      <c r="AG142" s="22" t="b">
        <f aca="false">TRUE()</f>
        <v>1</v>
      </c>
      <c r="AH142" s="0" t="n">
        <v>1</v>
      </c>
    </row>
    <row r="143" customFormat="false" ht="15" hidden="false" customHeight="false" outlineLevel="0" collapsed="false">
      <c r="A143" s="0" t="s">
        <v>380</v>
      </c>
      <c r="B143" s="0" t="s">
        <v>134</v>
      </c>
      <c r="C143" s="0" t="s">
        <v>3450</v>
      </c>
      <c r="D143" s="0" t="s">
        <v>3448</v>
      </c>
      <c r="E143" s="20" t="s">
        <v>25</v>
      </c>
      <c r="F143" s="23" t="s">
        <v>30</v>
      </c>
      <c r="G143" s="21" t="s">
        <v>2133</v>
      </c>
      <c r="H143" s="21" t="s">
        <v>24</v>
      </c>
      <c r="I143" s="21" t="s">
        <v>24</v>
      </c>
      <c r="J143" s="21" t="s">
        <v>24</v>
      </c>
      <c r="K143" s="21" t="s">
        <v>25</v>
      </c>
      <c r="L143" s="21" t="s">
        <v>24</v>
      </c>
      <c r="M143" s="0" t="n">
        <v>188</v>
      </c>
      <c r="N143" s="0" t="n">
        <v>1</v>
      </c>
      <c r="O143" s="21" t="s">
        <v>3476</v>
      </c>
      <c r="P143" s="21" t="s">
        <v>4228</v>
      </c>
      <c r="Q143" s="0" t="n">
        <v>0</v>
      </c>
      <c r="S143" s="0" t="n">
        <v>1</v>
      </c>
      <c r="T143" s="21" t="s">
        <v>3476</v>
      </c>
      <c r="U143" s="22" t="b">
        <f aca="false">TRUE()</f>
        <v>1</v>
      </c>
      <c r="V143" s="0" t="n">
        <v>0.76</v>
      </c>
      <c r="W143" s="0" t="n">
        <v>0</v>
      </c>
      <c r="X143" s="0" t="n">
        <v>10.3</v>
      </c>
      <c r="Y143" s="0" t="n">
        <v>697.1</v>
      </c>
      <c r="Z143" s="0" t="n">
        <v>9.75</v>
      </c>
      <c r="AA143" s="0" t="n">
        <v>9.78</v>
      </c>
      <c r="AB143" s="0" t="n">
        <v>1.33</v>
      </c>
      <c r="AC143" s="22" t="b">
        <f aca="false">FALSE()</f>
        <v>0</v>
      </c>
      <c r="AD143" s="0" t="n">
        <v>8.71</v>
      </c>
      <c r="AE143" s="0" t="n">
        <v>0.34</v>
      </c>
      <c r="AF143" s="0" t="n">
        <v>3.43</v>
      </c>
      <c r="AG143" s="22" t="b">
        <f aca="false">FALSE()</f>
        <v>0</v>
      </c>
      <c r="AH143" s="0" t="n">
        <v>1</v>
      </c>
    </row>
    <row r="144" customFormat="false" ht="15" hidden="false" customHeight="false" outlineLevel="0" collapsed="false">
      <c r="A144" s="0" t="s">
        <v>380</v>
      </c>
      <c r="B144" s="0" t="s">
        <v>134</v>
      </c>
      <c r="C144" s="0" t="s">
        <v>3447</v>
      </c>
      <c r="D144" s="0" t="s">
        <v>3457</v>
      </c>
      <c r="E144" s="20" t="s">
        <v>25</v>
      </c>
      <c r="F144" s="23" t="s">
        <v>30</v>
      </c>
      <c r="G144" s="21" t="s">
        <v>3492</v>
      </c>
      <c r="H144" s="21" t="s">
        <v>24</v>
      </c>
      <c r="I144" s="21" t="s">
        <v>24</v>
      </c>
      <c r="J144" s="21" t="s">
        <v>24</v>
      </c>
      <c r="K144" s="21" t="s">
        <v>25</v>
      </c>
      <c r="L144" s="21" t="s">
        <v>24</v>
      </c>
      <c r="M144" s="0" t="n">
        <v>185</v>
      </c>
      <c r="N144" s="0" t="n">
        <v>1</v>
      </c>
      <c r="O144" s="21" t="s">
        <v>3491</v>
      </c>
      <c r="P144" s="21" t="s">
        <v>4299</v>
      </c>
      <c r="Q144" s="0" t="n">
        <v>0</v>
      </c>
      <c r="S144" s="0" t="n">
        <v>1</v>
      </c>
      <c r="T144" s="21" t="s">
        <v>3491</v>
      </c>
      <c r="U144" s="22" t="b">
        <f aca="false">TRUE()</f>
        <v>1</v>
      </c>
      <c r="V144" s="0" t="n">
        <v>0.8</v>
      </c>
      <c r="W144" s="0" t="n">
        <v>0.8</v>
      </c>
      <c r="X144" s="0" t="n">
        <v>14.74</v>
      </c>
      <c r="Y144" s="0" t="n">
        <v>318.94</v>
      </c>
      <c r="Z144" s="0" t="n">
        <v>10</v>
      </c>
      <c r="AA144" s="0" t="n">
        <v>11.27</v>
      </c>
      <c r="AB144" s="0" t="n">
        <v>1.67</v>
      </c>
      <c r="AC144" s="22" t="b">
        <f aca="false">FALSE()</f>
        <v>0</v>
      </c>
      <c r="AD144" s="0" t="n">
        <v>31.84</v>
      </c>
      <c r="AE144" s="0" t="n">
        <v>2.42</v>
      </c>
      <c r="AF144" s="0" t="n">
        <v>28.93</v>
      </c>
      <c r="AG144" s="22" t="b">
        <f aca="false">TRUE()</f>
        <v>1</v>
      </c>
      <c r="AH144" s="0" t="n">
        <v>1</v>
      </c>
    </row>
    <row r="145" customFormat="false" ht="15" hidden="false" customHeight="false" outlineLevel="0" collapsed="false">
      <c r="A145" s="0" t="s">
        <v>380</v>
      </c>
      <c r="B145" s="0" t="s">
        <v>134</v>
      </c>
      <c r="C145" s="0" t="s">
        <v>3447</v>
      </c>
      <c r="D145" s="0" t="s">
        <v>3448</v>
      </c>
      <c r="E145" s="19" t="s">
        <v>26</v>
      </c>
      <c r="F145" s="19" t="s">
        <v>32</v>
      </c>
      <c r="G145" s="21" t="s">
        <v>1451</v>
      </c>
      <c r="H145" s="21" t="s">
        <v>24</v>
      </c>
      <c r="I145" s="21" t="s">
        <v>26</v>
      </c>
      <c r="J145" s="21" t="s">
        <v>24</v>
      </c>
      <c r="K145" s="21" t="s">
        <v>25</v>
      </c>
      <c r="L145" s="21" t="s">
        <v>24</v>
      </c>
      <c r="M145" s="0" t="n">
        <v>183</v>
      </c>
      <c r="N145" s="0" t="n">
        <v>8</v>
      </c>
      <c r="O145" s="21" t="s">
        <v>4051</v>
      </c>
      <c r="P145" s="21" t="s">
        <v>4300</v>
      </c>
      <c r="Q145" s="0" t="n">
        <v>1</v>
      </c>
      <c r="R145" s="21" t="s">
        <v>69</v>
      </c>
      <c r="S145" s="0" t="n">
        <v>8</v>
      </c>
      <c r="T145" s="21" t="s">
        <v>4051</v>
      </c>
      <c r="U145" s="22" t="b">
        <f aca="false">FALSE()</f>
        <v>0</v>
      </c>
      <c r="V145" s="0" t="n">
        <v>0.76</v>
      </c>
      <c r="W145" s="0" t="n">
        <v>0.48</v>
      </c>
      <c r="X145" s="0" t="n">
        <v>10.33</v>
      </c>
      <c r="Y145" s="0" t="n">
        <v>328.82</v>
      </c>
      <c r="Z145" s="0" t="n">
        <v>9.92</v>
      </c>
      <c r="AA145" s="0" t="n">
        <v>8.82</v>
      </c>
      <c r="AB145" s="0" t="n">
        <v>1.33</v>
      </c>
      <c r="AC145" s="22" t="b">
        <f aca="false">FALSE()</f>
        <v>0</v>
      </c>
      <c r="AD145" s="0" t="n">
        <v>7.2</v>
      </c>
      <c r="AE145" s="0" t="n">
        <v>0.64</v>
      </c>
      <c r="AF145" s="0" t="n">
        <v>2.5</v>
      </c>
      <c r="AG145" s="22" t="b">
        <f aca="false">FALSE()</f>
        <v>0</v>
      </c>
      <c r="AH145" s="0" t="n">
        <v>1</v>
      </c>
    </row>
    <row r="146" customFormat="false" ht="15" hidden="false" customHeight="false" outlineLevel="0" collapsed="false">
      <c r="A146" s="0" t="s">
        <v>388</v>
      </c>
      <c r="B146" s="0" t="s">
        <v>134</v>
      </c>
      <c r="C146" s="0" t="s">
        <v>3450</v>
      </c>
      <c r="D146" s="0" t="s">
        <v>3457</v>
      </c>
      <c r="E146" s="19" t="s">
        <v>26</v>
      </c>
      <c r="F146" s="19" t="s">
        <v>32</v>
      </c>
      <c r="G146" s="21" t="s">
        <v>529</v>
      </c>
      <c r="H146" s="21" t="s">
        <v>24</v>
      </c>
      <c r="I146" s="21" t="s">
        <v>26</v>
      </c>
      <c r="J146" s="21" t="s">
        <v>24</v>
      </c>
      <c r="K146" s="21" t="s">
        <v>24</v>
      </c>
      <c r="L146" s="21" t="s">
        <v>24</v>
      </c>
      <c r="M146" s="0" t="n">
        <v>182</v>
      </c>
      <c r="N146" s="0" t="n">
        <v>7</v>
      </c>
      <c r="O146" s="21" t="s">
        <v>4079</v>
      </c>
      <c r="P146" s="21" t="s">
        <v>4301</v>
      </c>
      <c r="Q146" s="0" t="n">
        <v>1</v>
      </c>
      <c r="R146" s="21" t="s">
        <v>69</v>
      </c>
      <c r="S146" s="0" t="n">
        <v>7</v>
      </c>
      <c r="T146" s="21" t="s">
        <v>4079</v>
      </c>
      <c r="U146" s="22" t="b">
        <f aca="false">FALSE()</f>
        <v>0</v>
      </c>
      <c r="V146" s="0" t="n">
        <v>0.63</v>
      </c>
      <c r="W146" s="0" t="n">
        <v>0.6</v>
      </c>
      <c r="X146" s="0" t="n">
        <v>6.98</v>
      </c>
      <c r="Y146" s="0" t="n">
        <v>303.06</v>
      </c>
      <c r="Z146" s="0" t="n">
        <v>10.92</v>
      </c>
      <c r="AA146" s="0" t="n">
        <v>5.85</v>
      </c>
      <c r="AB146" s="0" t="n">
        <v>4.33</v>
      </c>
      <c r="AC146" s="22" t="b">
        <f aca="false">FALSE()</f>
        <v>0</v>
      </c>
      <c r="AD146" s="0" t="n">
        <v>14.17</v>
      </c>
      <c r="AE146" s="0" t="n">
        <v>4.83</v>
      </c>
      <c r="AF146" s="0" t="n">
        <v>12.63</v>
      </c>
      <c r="AG146" s="22" t="b">
        <f aca="false">TRUE()</f>
        <v>1</v>
      </c>
      <c r="AH146" s="0" t="n">
        <v>1</v>
      </c>
    </row>
    <row r="147" customFormat="false" ht="15" hidden="false" customHeight="false" outlineLevel="0" collapsed="false">
      <c r="A147" s="0" t="s">
        <v>388</v>
      </c>
      <c r="B147" s="0" t="s">
        <v>134</v>
      </c>
      <c r="C147" s="0" t="s">
        <v>3450</v>
      </c>
      <c r="D147" s="0" t="s">
        <v>3448</v>
      </c>
      <c r="E147" s="20" t="s">
        <v>25</v>
      </c>
      <c r="F147" s="23" t="s">
        <v>30</v>
      </c>
      <c r="G147" s="21" t="s">
        <v>1230</v>
      </c>
      <c r="H147" s="21" t="s">
        <v>24</v>
      </c>
      <c r="I147" s="21" t="s">
        <v>25</v>
      </c>
      <c r="J147" s="21" t="s">
        <v>24</v>
      </c>
      <c r="K147" s="21" t="s">
        <v>25</v>
      </c>
      <c r="L147" s="21" t="s">
        <v>24</v>
      </c>
      <c r="M147" s="0" t="n">
        <v>182</v>
      </c>
      <c r="N147" s="0" t="n">
        <v>5</v>
      </c>
      <c r="O147" s="21" t="s">
        <v>3826</v>
      </c>
      <c r="P147" s="21" t="s">
        <v>4302</v>
      </c>
      <c r="Q147" s="0" t="n">
        <v>1</v>
      </c>
      <c r="R147" s="21" t="s">
        <v>69</v>
      </c>
      <c r="S147" s="0" t="n">
        <v>5</v>
      </c>
      <c r="T147" s="21" t="s">
        <v>3826</v>
      </c>
      <c r="U147" s="22" t="b">
        <f aca="false">TRUE()</f>
        <v>1</v>
      </c>
      <c r="V147" s="0" t="n">
        <v>0.7</v>
      </c>
      <c r="W147" s="0" t="n">
        <v>0.6</v>
      </c>
      <c r="X147" s="0" t="n">
        <v>7.12</v>
      </c>
      <c r="Y147" s="0" t="n">
        <v>320.48</v>
      </c>
      <c r="Z147" s="0" t="n">
        <v>10</v>
      </c>
      <c r="AA147" s="0" t="n">
        <v>-0.95</v>
      </c>
      <c r="AB147" s="0" t="n">
        <v>11.78</v>
      </c>
      <c r="AC147" s="22" t="b">
        <f aca="false">FALSE()</f>
        <v>0</v>
      </c>
      <c r="AD147" s="0" t="n">
        <v>11.05</v>
      </c>
      <c r="AE147" s="0" t="n">
        <v>3.89</v>
      </c>
      <c r="AF147" s="0" t="n">
        <v>8.37</v>
      </c>
      <c r="AG147" s="22" t="b">
        <f aca="false">TRUE()</f>
        <v>1</v>
      </c>
      <c r="AH147" s="0" t="n">
        <v>1</v>
      </c>
    </row>
    <row r="148" customFormat="false" ht="15" hidden="false" customHeight="false" outlineLevel="0" collapsed="false">
      <c r="A148" s="0" t="s">
        <v>388</v>
      </c>
      <c r="B148" s="0" t="s">
        <v>134</v>
      </c>
      <c r="C148" s="0" t="s">
        <v>3447</v>
      </c>
      <c r="D148" s="0" t="s">
        <v>3457</v>
      </c>
      <c r="E148" s="18" t="s">
        <v>24</v>
      </c>
      <c r="F148" s="23" t="s">
        <v>30</v>
      </c>
      <c r="G148" s="21" t="s">
        <v>30</v>
      </c>
      <c r="H148" s="21" t="s">
        <v>24</v>
      </c>
      <c r="I148" s="21" t="s">
        <v>24</v>
      </c>
      <c r="J148" s="21" t="s">
        <v>24</v>
      </c>
      <c r="K148" s="21" t="s">
        <v>24</v>
      </c>
      <c r="L148" s="21" t="s">
        <v>24</v>
      </c>
      <c r="M148" s="0" t="n">
        <v>183</v>
      </c>
      <c r="N148" s="0" t="n">
        <v>3</v>
      </c>
      <c r="O148" s="21" t="s">
        <v>3545</v>
      </c>
      <c r="P148" s="21" t="s">
        <v>4303</v>
      </c>
      <c r="Q148" s="0" t="n">
        <v>0</v>
      </c>
      <c r="S148" s="0" t="n">
        <v>3</v>
      </c>
      <c r="T148" s="21" t="s">
        <v>3545</v>
      </c>
      <c r="U148" s="22" t="b">
        <f aca="false">TRUE()</f>
        <v>1</v>
      </c>
      <c r="V148" s="0" t="n">
        <v>0.68</v>
      </c>
      <c r="W148" s="0" t="n">
        <v>0.52</v>
      </c>
      <c r="X148" s="0" t="n">
        <v>6.93</v>
      </c>
      <c r="Y148" s="0" t="n">
        <v>315.22</v>
      </c>
      <c r="Z148" s="0" t="n">
        <v>11</v>
      </c>
      <c r="AA148" s="0" t="n">
        <v>0.65</v>
      </c>
      <c r="AB148" s="0" t="n">
        <v>4.33</v>
      </c>
      <c r="AC148" s="22" t="b">
        <f aca="false">FALSE()</f>
        <v>0</v>
      </c>
      <c r="AD148" s="0" t="n">
        <v>13.99</v>
      </c>
      <c r="AE148" s="0" t="n">
        <v>5.87</v>
      </c>
      <c r="AF148" s="0" t="n">
        <v>12.8</v>
      </c>
      <c r="AG148" s="22" t="b">
        <f aca="false">TRUE()</f>
        <v>1</v>
      </c>
      <c r="AH148" s="0" t="n">
        <v>1</v>
      </c>
    </row>
    <row r="149" customFormat="false" ht="15" hidden="false" customHeight="false" outlineLevel="0" collapsed="false">
      <c r="A149" s="0" t="s">
        <v>388</v>
      </c>
      <c r="B149" s="0" t="s">
        <v>134</v>
      </c>
      <c r="C149" s="0" t="s">
        <v>3447</v>
      </c>
      <c r="D149" s="0" t="s">
        <v>3448</v>
      </c>
      <c r="E149" s="18" t="s">
        <v>24</v>
      </c>
      <c r="F149" s="23" t="s">
        <v>30</v>
      </c>
      <c r="G149" s="21" t="s">
        <v>30</v>
      </c>
      <c r="H149" s="21" t="s">
        <v>24</v>
      </c>
      <c r="I149" s="21" t="s">
        <v>24</v>
      </c>
      <c r="J149" s="21" t="s">
        <v>24</v>
      </c>
      <c r="K149" s="21" t="s">
        <v>24</v>
      </c>
      <c r="L149" s="21" t="s">
        <v>24</v>
      </c>
      <c r="M149" s="0" t="n">
        <v>182</v>
      </c>
      <c r="N149" s="0" t="n">
        <v>3</v>
      </c>
      <c r="O149" s="21" t="s">
        <v>3561</v>
      </c>
      <c r="P149" s="21" t="s">
        <v>4304</v>
      </c>
      <c r="Q149" s="0" t="n">
        <v>0</v>
      </c>
      <c r="S149" s="0" t="n">
        <v>3</v>
      </c>
      <c r="T149" s="21" t="s">
        <v>3561</v>
      </c>
      <c r="U149" s="22" t="b">
        <f aca="false">TRUE()</f>
        <v>1</v>
      </c>
      <c r="V149" s="0" t="n">
        <v>0.77</v>
      </c>
      <c r="W149" s="0" t="n">
        <v>0.24</v>
      </c>
      <c r="X149" s="0" t="n">
        <v>7.98</v>
      </c>
      <c r="Y149" s="0" t="n">
        <v>462.79</v>
      </c>
      <c r="Z149" s="0" t="n">
        <v>9.58</v>
      </c>
      <c r="AA149" s="0" t="n">
        <v>-1.46</v>
      </c>
      <c r="AB149" s="0" t="n">
        <v>11.78</v>
      </c>
      <c r="AC149" s="22" t="b">
        <f aca="false">FALSE()</f>
        <v>0</v>
      </c>
      <c r="AD149" s="0" t="n">
        <v>15.07</v>
      </c>
      <c r="AE149" s="0" t="n">
        <v>4.09</v>
      </c>
      <c r="AF149" s="0" t="n">
        <v>9.92</v>
      </c>
      <c r="AG149" s="22" t="b">
        <f aca="false">TRUE()</f>
        <v>1</v>
      </c>
      <c r="AH149" s="0" t="n">
        <v>1</v>
      </c>
    </row>
    <row r="150" customFormat="false" ht="15" hidden="false" customHeight="false" outlineLevel="0" collapsed="false">
      <c r="A150" s="0" t="s">
        <v>395</v>
      </c>
      <c r="B150" s="0" t="s">
        <v>134</v>
      </c>
      <c r="C150" s="0" t="s">
        <v>3450</v>
      </c>
      <c r="D150" s="0" t="s">
        <v>3457</v>
      </c>
      <c r="E150" s="19" t="s">
        <v>26</v>
      </c>
      <c r="F150" s="19" t="s">
        <v>32</v>
      </c>
      <c r="G150" s="21" t="s">
        <v>529</v>
      </c>
      <c r="H150" s="21" t="s">
        <v>24</v>
      </c>
      <c r="I150" s="21" t="s">
        <v>26</v>
      </c>
      <c r="J150" s="21" t="s">
        <v>24</v>
      </c>
      <c r="K150" s="21" t="s">
        <v>24</v>
      </c>
      <c r="L150" s="21" t="s">
        <v>24</v>
      </c>
      <c r="M150" s="0" t="n">
        <v>186</v>
      </c>
      <c r="N150" s="0" t="n">
        <v>9</v>
      </c>
      <c r="O150" s="21" t="s">
        <v>4087</v>
      </c>
      <c r="P150" s="21" t="s">
        <v>4305</v>
      </c>
      <c r="Q150" s="0" t="n">
        <v>1</v>
      </c>
      <c r="R150" s="21" t="s">
        <v>69</v>
      </c>
      <c r="S150" s="0" t="n">
        <v>9</v>
      </c>
      <c r="T150" s="21" t="s">
        <v>4087</v>
      </c>
      <c r="U150" s="22" t="b">
        <f aca="false">FALSE()</f>
        <v>0</v>
      </c>
      <c r="V150" s="0" t="n">
        <v>0.71</v>
      </c>
      <c r="W150" s="0" t="n">
        <v>0.24</v>
      </c>
      <c r="X150" s="0" t="n">
        <v>7.95</v>
      </c>
      <c r="Y150" s="0" t="n">
        <v>465.83</v>
      </c>
      <c r="Z150" s="0" t="n">
        <v>9</v>
      </c>
      <c r="AA150" s="0" t="n">
        <v>6.86</v>
      </c>
      <c r="AB150" s="0" t="n">
        <v>2.44</v>
      </c>
      <c r="AC150" s="22" t="b">
        <f aca="false">FALSE()</f>
        <v>0</v>
      </c>
      <c r="AD150" s="0" t="n">
        <v>9.28</v>
      </c>
      <c r="AE150" s="0" t="n">
        <v>0.14</v>
      </c>
      <c r="AF150" s="0" t="n">
        <v>3.79</v>
      </c>
      <c r="AG150" s="22" t="b">
        <f aca="false">FALSE()</f>
        <v>0</v>
      </c>
      <c r="AH150" s="0" t="n">
        <v>1</v>
      </c>
    </row>
    <row r="151" customFormat="false" ht="15" hidden="false" customHeight="false" outlineLevel="0" collapsed="false">
      <c r="A151" s="0" t="s">
        <v>395</v>
      </c>
      <c r="B151" s="0" t="s">
        <v>134</v>
      </c>
      <c r="C151" s="0" t="s">
        <v>3450</v>
      </c>
      <c r="D151" s="0" t="s">
        <v>3448</v>
      </c>
      <c r="E151" s="19" t="s">
        <v>26</v>
      </c>
      <c r="F151" s="19" t="s">
        <v>32</v>
      </c>
      <c r="G151" s="21" t="s">
        <v>529</v>
      </c>
      <c r="H151" s="21" t="s">
        <v>24</v>
      </c>
      <c r="I151" s="21" t="s">
        <v>26</v>
      </c>
      <c r="J151" s="21" t="s">
        <v>24</v>
      </c>
      <c r="K151" s="21" t="s">
        <v>24</v>
      </c>
      <c r="L151" s="21" t="s">
        <v>24</v>
      </c>
      <c r="M151" s="0" t="n">
        <v>185</v>
      </c>
      <c r="N151" s="0" t="n">
        <v>8</v>
      </c>
      <c r="O151" s="21" t="s">
        <v>4063</v>
      </c>
      <c r="P151" s="21" t="s">
        <v>4306</v>
      </c>
      <c r="Q151" s="0" t="n">
        <v>1</v>
      </c>
      <c r="R151" s="21" t="s">
        <v>69</v>
      </c>
      <c r="S151" s="0" t="n">
        <v>8</v>
      </c>
      <c r="T151" s="21" t="s">
        <v>4063</v>
      </c>
      <c r="U151" s="22" t="b">
        <f aca="false">FALSE()</f>
        <v>0</v>
      </c>
      <c r="V151" s="0" t="n">
        <v>0.74</v>
      </c>
      <c r="W151" s="0" t="n">
        <v>0.92</v>
      </c>
      <c r="X151" s="0" t="n">
        <v>9.69</v>
      </c>
      <c r="Y151" s="0" t="n">
        <v>319.12</v>
      </c>
      <c r="Z151" s="0" t="n">
        <v>8.75</v>
      </c>
      <c r="AA151" s="0" t="n">
        <v>9.36</v>
      </c>
      <c r="AB151" s="0" t="n">
        <v>2.28</v>
      </c>
      <c r="AC151" s="22" t="b">
        <f aca="false">FALSE()</f>
        <v>0</v>
      </c>
      <c r="AD151" s="0" t="n">
        <v>0.68</v>
      </c>
      <c r="AE151" s="0" t="n">
        <v>0.82</v>
      </c>
      <c r="AF151" s="0" t="n">
        <v>3.95</v>
      </c>
      <c r="AG151" s="22" t="b">
        <f aca="false">FALSE()</f>
        <v>0</v>
      </c>
      <c r="AH151" s="0" t="n">
        <v>1</v>
      </c>
    </row>
    <row r="152" customFormat="false" ht="15" hidden="false" customHeight="false" outlineLevel="0" collapsed="false">
      <c r="A152" s="0" t="s">
        <v>395</v>
      </c>
      <c r="B152" s="0" t="s">
        <v>134</v>
      </c>
      <c r="C152" s="0" t="s">
        <v>3447</v>
      </c>
      <c r="D152" s="0" t="s">
        <v>3457</v>
      </c>
      <c r="E152" s="19" t="s">
        <v>26</v>
      </c>
      <c r="F152" s="19" t="s">
        <v>32</v>
      </c>
      <c r="G152" s="21" t="s">
        <v>529</v>
      </c>
      <c r="H152" s="21" t="s">
        <v>24</v>
      </c>
      <c r="I152" s="21" t="s">
        <v>26</v>
      </c>
      <c r="J152" s="21" t="s">
        <v>24</v>
      </c>
      <c r="K152" s="21" t="s">
        <v>24</v>
      </c>
      <c r="L152" s="21" t="s">
        <v>24</v>
      </c>
      <c r="M152" s="0" t="n">
        <v>188</v>
      </c>
      <c r="N152" s="0" t="n">
        <v>12</v>
      </c>
      <c r="O152" s="21" t="s">
        <v>4044</v>
      </c>
      <c r="P152" s="21" t="s">
        <v>4278</v>
      </c>
      <c r="Q152" s="0" t="n">
        <v>1</v>
      </c>
      <c r="R152" s="21" t="s">
        <v>69</v>
      </c>
      <c r="S152" s="0" t="n">
        <v>12</v>
      </c>
      <c r="T152" s="21" t="s">
        <v>4044</v>
      </c>
      <c r="U152" s="22" t="b">
        <f aca="false">FALSE()</f>
        <v>0</v>
      </c>
      <c r="V152" s="0" t="n">
        <v>0.7</v>
      </c>
      <c r="W152" s="0" t="n">
        <v>0.12</v>
      </c>
      <c r="X152" s="0" t="n">
        <v>8.52</v>
      </c>
      <c r="Y152" s="0" t="n">
        <v>630.77</v>
      </c>
      <c r="Z152" s="0" t="n">
        <v>10.33</v>
      </c>
      <c r="AA152" s="0" t="n">
        <v>4.52</v>
      </c>
      <c r="AB152" s="0" t="n">
        <v>2.44</v>
      </c>
      <c r="AC152" s="22" t="b">
        <f aca="false">FALSE()</f>
        <v>0</v>
      </c>
      <c r="AD152" s="0" t="n">
        <v>7.78</v>
      </c>
      <c r="AE152" s="0" t="n">
        <v>0.61</v>
      </c>
      <c r="AF152" s="0" t="n">
        <v>4</v>
      </c>
      <c r="AG152" s="22" t="b">
        <f aca="false">FALSE()</f>
        <v>0</v>
      </c>
      <c r="AH152" s="0" t="n">
        <v>1</v>
      </c>
    </row>
    <row r="153" customFormat="false" ht="15" hidden="false" customHeight="false" outlineLevel="0" collapsed="false">
      <c r="A153" s="0" t="s">
        <v>395</v>
      </c>
      <c r="B153" s="0" t="s">
        <v>134</v>
      </c>
      <c r="C153" s="0" t="s">
        <v>3447</v>
      </c>
      <c r="D153" s="0" t="s">
        <v>3448</v>
      </c>
      <c r="E153" s="19" t="s">
        <v>26</v>
      </c>
      <c r="F153" s="19" t="s">
        <v>32</v>
      </c>
      <c r="G153" s="21" t="s">
        <v>529</v>
      </c>
      <c r="H153" s="21" t="s">
        <v>24</v>
      </c>
      <c r="I153" s="21" t="s">
        <v>26</v>
      </c>
      <c r="J153" s="21" t="s">
        <v>24</v>
      </c>
      <c r="K153" s="21" t="s">
        <v>24</v>
      </c>
      <c r="L153" s="21" t="s">
        <v>24</v>
      </c>
      <c r="M153" s="0" t="n">
        <v>186</v>
      </c>
      <c r="N153" s="0" t="n">
        <v>12</v>
      </c>
      <c r="O153" s="21" t="s">
        <v>4044</v>
      </c>
      <c r="P153" s="21" t="s">
        <v>4278</v>
      </c>
      <c r="Q153" s="0" t="n">
        <v>1</v>
      </c>
      <c r="R153" s="21" t="s">
        <v>69</v>
      </c>
      <c r="S153" s="0" t="n">
        <v>12</v>
      </c>
      <c r="T153" s="21" t="s">
        <v>4044</v>
      </c>
      <c r="U153" s="22" t="b">
        <f aca="false">FALSE()</f>
        <v>0</v>
      </c>
      <c r="V153" s="0" t="n">
        <v>0.72</v>
      </c>
      <c r="W153" s="0" t="n">
        <v>0.12</v>
      </c>
      <c r="X153" s="0" t="n">
        <v>8.93</v>
      </c>
      <c r="Y153" s="0" t="n">
        <v>628.84</v>
      </c>
      <c r="Z153" s="0" t="n">
        <v>8.5</v>
      </c>
      <c r="AA153" s="0" t="n">
        <v>4.23</v>
      </c>
      <c r="AB153" s="0" t="n">
        <v>2.28</v>
      </c>
      <c r="AC153" s="22" t="b">
        <f aca="false">FALSE()</f>
        <v>0</v>
      </c>
      <c r="AD153" s="0" t="n">
        <v>0.49</v>
      </c>
      <c r="AE153" s="0" t="n">
        <v>0.41</v>
      </c>
      <c r="AF153" s="0" t="n">
        <v>5.28</v>
      </c>
      <c r="AG153" s="22" t="b">
        <f aca="false">FALSE()</f>
        <v>0</v>
      </c>
      <c r="AH153" s="0" t="n">
        <v>1</v>
      </c>
    </row>
    <row r="154" customFormat="false" ht="15" hidden="false" customHeight="false" outlineLevel="0" collapsed="false">
      <c r="A154" s="0" t="s">
        <v>395</v>
      </c>
      <c r="B154" s="0" t="s">
        <v>3459</v>
      </c>
      <c r="C154" s="0" t="s">
        <v>3450</v>
      </c>
      <c r="D154" s="0" t="s">
        <v>3457</v>
      </c>
      <c r="E154" s="19" t="s">
        <v>26</v>
      </c>
      <c r="F154" s="19" t="s">
        <v>32</v>
      </c>
      <c r="G154" s="21" t="s">
        <v>1311</v>
      </c>
      <c r="H154" s="21" t="s">
        <v>24</v>
      </c>
      <c r="I154" s="21" t="s">
        <v>26</v>
      </c>
      <c r="J154" s="21" t="s">
        <v>24</v>
      </c>
      <c r="K154" s="21" t="s">
        <v>25</v>
      </c>
      <c r="L154" s="21" t="s">
        <v>24</v>
      </c>
      <c r="M154" s="0" t="n">
        <v>183</v>
      </c>
      <c r="N154" s="0" t="n">
        <v>7</v>
      </c>
      <c r="O154" s="21" t="s">
        <v>4015</v>
      </c>
      <c r="P154" s="21" t="s">
        <v>4307</v>
      </c>
      <c r="Q154" s="0" t="n">
        <v>1</v>
      </c>
      <c r="R154" s="21" t="s">
        <v>69</v>
      </c>
      <c r="S154" s="0" t="n">
        <v>7</v>
      </c>
      <c r="T154" s="21" t="s">
        <v>4015</v>
      </c>
      <c r="U154" s="22" t="b">
        <f aca="false">FALSE()</f>
        <v>0</v>
      </c>
      <c r="V154" s="0" t="n">
        <v>0.72</v>
      </c>
      <c r="W154" s="0" t="n">
        <v>0.44</v>
      </c>
      <c r="X154" s="0" t="n">
        <v>7.82</v>
      </c>
      <c r="Y154" s="0" t="n">
        <v>339.87</v>
      </c>
      <c r="Z154" s="0" t="n">
        <v>8.75</v>
      </c>
      <c r="AA154" s="0" t="n">
        <v>9.32</v>
      </c>
      <c r="AB154" s="0" t="n">
        <v>0.28</v>
      </c>
      <c r="AC154" s="22" t="b">
        <f aca="false">FALSE()</f>
        <v>0</v>
      </c>
      <c r="AD154" s="0" t="n">
        <v>19.71</v>
      </c>
      <c r="AE154" s="0" t="n">
        <v>8.09</v>
      </c>
      <c r="AF154" s="0" t="n">
        <v>15.97</v>
      </c>
      <c r="AG154" s="22" t="b">
        <f aca="false">TRUE()</f>
        <v>1</v>
      </c>
      <c r="AH154" s="0" t="n">
        <v>1</v>
      </c>
    </row>
    <row r="155" customFormat="false" ht="15" hidden="false" customHeight="false" outlineLevel="0" collapsed="false">
      <c r="A155" s="0" t="s">
        <v>395</v>
      </c>
      <c r="B155" s="0" t="s">
        <v>3459</v>
      </c>
      <c r="C155" s="0" t="s">
        <v>3450</v>
      </c>
      <c r="D155" s="0" t="s">
        <v>3448</v>
      </c>
      <c r="E155" s="20" t="s">
        <v>25</v>
      </c>
      <c r="F155" s="23" t="s">
        <v>30</v>
      </c>
      <c r="G155" s="21" t="s">
        <v>283</v>
      </c>
      <c r="H155" s="21" t="s">
        <v>24</v>
      </c>
      <c r="I155" s="21" t="s">
        <v>25</v>
      </c>
      <c r="J155" s="21" t="s">
        <v>24</v>
      </c>
      <c r="K155" s="21" t="s">
        <v>24</v>
      </c>
      <c r="L155" s="21" t="s">
        <v>24</v>
      </c>
      <c r="M155" s="0" t="n">
        <v>182</v>
      </c>
      <c r="N155" s="0" t="n">
        <v>5</v>
      </c>
      <c r="O155" s="21" t="s">
        <v>3809</v>
      </c>
      <c r="P155" s="21" t="s">
        <v>4308</v>
      </c>
      <c r="Q155" s="0" t="n">
        <v>1</v>
      </c>
      <c r="R155" s="21" t="s">
        <v>69</v>
      </c>
      <c r="S155" s="0" t="n">
        <v>5</v>
      </c>
      <c r="T155" s="21" t="s">
        <v>3809</v>
      </c>
      <c r="U155" s="22" t="b">
        <f aca="false">TRUE()</f>
        <v>1</v>
      </c>
      <c r="V155" s="0" t="n">
        <v>0.75</v>
      </c>
      <c r="W155" s="0" t="n">
        <v>0.48</v>
      </c>
      <c r="X155" s="0" t="n">
        <v>7.72</v>
      </c>
      <c r="Y155" s="0" t="n">
        <v>332.76</v>
      </c>
      <c r="Z155" s="0" t="n">
        <v>8.75</v>
      </c>
      <c r="AA155" s="0" t="n">
        <v>4.06</v>
      </c>
      <c r="AB155" s="0" t="n">
        <v>5.81</v>
      </c>
      <c r="AC155" s="22" t="b">
        <f aca="false">FALSE()</f>
        <v>0</v>
      </c>
      <c r="AD155" s="0" t="n">
        <v>17.89</v>
      </c>
      <c r="AE155" s="0" t="n">
        <v>8.4</v>
      </c>
      <c r="AF155" s="0" t="n">
        <v>16.5</v>
      </c>
      <c r="AG155" s="22" t="b">
        <f aca="false">TRUE()</f>
        <v>1</v>
      </c>
      <c r="AH155" s="0" t="n">
        <v>1</v>
      </c>
    </row>
    <row r="156" customFormat="false" ht="15" hidden="false" customHeight="false" outlineLevel="0" collapsed="false">
      <c r="A156" s="0" t="s">
        <v>395</v>
      </c>
      <c r="B156" s="0" t="s">
        <v>3459</v>
      </c>
      <c r="C156" s="0" t="s">
        <v>3447</v>
      </c>
      <c r="D156" s="0" t="s">
        <v>3457</v>
      </c>
      <c r="E156" s="19" t="s">
        <v>26</v>
      </c>
      <c r="F156" s="19" t="s">
        <v>32</v>
      </c>
      <c r="G156" s="21" t="s">
        <v>1311</v>
      </c>
      <c r="H156" s="21" t="s">
        <v>24</v>
      </c>
      <c r="I156" s="21" t="s">
        <v>26</v>
      </c>
      <c r="J156" s="21" t="s">
        <v>24</v>
      </c>
      <c r="K156" s="21" t="s">
        <v>25</v>
      </c>
      <c r="L156" s="21" t="s">
        <v>24</v>
      </c>
      <c r="M156" s="0" t="n">
        <v>184</v>
      </c>
      <c r="N156" s="0" t="n">
        <v>10</v>
      </c>
      <c r="O156" s="21" t="s">
        <v>4116</v>
      </c>
      <c r="P156" s="21" t="s">
        <v>4309</v>
      </c>
      <c r="Q156" s="0" t="n">
        <v>1</v>
      </c>
      <c r="R156" s="21" t="s">
        <v>69</v>
      </c>
      <c r="S156" s="0" t="n">
        <v>10</v>
      </c>
      <c r="T156" s="21" t="s">
        <v>4116</v>
      </c>
      <c r="U156" s="22" t="b">
        <f aca="false">FALSE()</f>
        <v>0</v>
      </c>
      <c r="V156" s="0" t="n">
        <v>0.7</v>
      </c>
      <c r="W156" s="0" t="n">
        <v>0.76</v>
      </c>
      <c r="X156" s="0" t="n">
        <v>6.78</v>
      </c>
      <c r="Y156" s="0" t="n">
        <v>321.57</v>
      </c>
      <c r="Z156" s="0" t="n">
        <v>8.08</v>
      </c>
      <c r="AA156" s="0" t="n">
        <v>-1.25</v>
      </c>
      <c r="AB156" s="0" t="n">
        <v>0.28</v>
      </c>
      <c r="AC156" s="22" t="b">
        <f aca="false">FALSE()</f>
        <v>0</v>
      </c>
      <c r="AD156" s="0" t="n">
        <v>10.9</v>
      </c>
      <c r="AE156" s="0" t="n">
        <v>4.62</v>
      </c>
      <c r="AF156" s="0" t="n">
        <v>11.73</v>
      </c>
      <c r="AG156" s="22" t="b">
        <f aca="false">TRUE()</f>
        <v>1</v>
      </c>
      <c r="AH156" s="0" t="n">
        <v>1</v>
      </c>
    </row>
    <row r="157" customFormat="false" ht="15" hidden="false" customHeight="false" outlineLevel="0" collapsed="false">
      <c r="A157" s="0" t="s">
        <v>395</v>
      </c>
      <c r="B157" s="0" t="s">
        <v>3459</v>
      </c>
      <c r="C157" s="0" t="s">
        <v>3447</v>
      </c>
      <c r="D157" s="0" t="s">
        <v>3448</v>
      </c>
      <c r="E157" s="19" t="s">
        <v>26</v>
      </c>
      <c r="F157" s="19" t="s">
        <v>32</v>
      </c>
      <c r="G157" s="21" t="s">
        <v>1926</v>
      </c>
      <c r="H157" s="21" t="s">
        <v>24</v>
      </c>
      <c r="I157" s="21" t="s">
        <v>26</v>
      </c>
      <c r="J157" s="21" t="s">
        <v>24</v>
      </c>
      <c r="K157" s="21" t="s">
        <v>25</v>
      </c>
      <c r="L157" s="21" t="s">
        <v>24</v>
      </c>
      <c r="M157" s="0" t="n">
        <v>183</v>
      </c>
      <c r="N157" s="0" t="n">
        <v>10</v>
      </c>
      <c r="O157" s="21" t="s">
        <v>4083</v>
      </c>
      <c r="P157" s="21" t="s">
        <v>4310</v>
      </c>
      <c r="Q157" s="0" t="n">
        <v>1</v>
      </c>
      <c r="R157" s="21" t="s">
        <v>69</v>
      </c>
      <c r="S157" s="0" t="n">
        <v>10</v>
      </c>
      <c r="T157" s="21" t="s">
        <v>4083</v>
      </c>
      <c r="U157" s="22" t="b">
        <f aca="false">FALSE()</f>
        <v>0</v>
      </c>
      <c r="V157" s="0" t="n">
        <v>0.74</v>
      </c>
      <c r="W157" s="0" t="n">
        <v>0</v>
      </c>
      <c r="X157" s="0" t="n">
        <v>7.62</v>
      </c>
      <c r="Y157" s="0" t="n">
        <v>723.6</v>
      </c>
      <c r="Z157" s="0" t="n">
        <v>8.5</v>
      </c>
      <c r="AA157" s="0" t="n">
        <v>5.47</v>
      </c>
      <c r="AB157" s="0" t="n">
        <v>5.81</v>
      </c>
      <c r="AC157" s="22" t="b">
        <f aca="false">FALSE()</f>
        <v>0</v>
      </c>
      <c r="AD157" s="0" t="n">
        <v>20.54</v>
      </c>
      <c r="AE157" s="0" t="n">
        <v>11.59</v>
      </c>
      <c r="AF157" s="0" t="n">
        <v>19.68</v>
      </c>
      <c r="AG157" s="22" t="b">
        <f aca="false">TRUE()</f>
        <v>1</v>
      </c>
      <c r="AH157" s="0" t="n">
        <v>1</v>
      </c>
    </row>
    <row r="158" customFormat="false" ht="15" hidden="false" customHeight="false" outlineLevel="0" collapsed="false">
      <c r="A158" s="0" t="s">
        <v>402</v>
      </c>
      <c r="B158" s="0" t="s">
        <v>134</v>
      </c>
      <c r="C158" s="0" t="s">
        <v>3450</v>
      </c>
      <c r="D158" s="0" t="s">
        <v>3457</v>
      </c>
      <c r="E158" s="19" t="s">
        <v>26</v>
      </c>
      <c r="F158" s="19" t="s">
        <v>32</v>
      </c>
      <c r="G158" s="21" t="s">
        <v>405</v>
      </c>
      <c r="H158" s="21" t="s">
        <v>24</v>
      </c>
      <c r="I158" s="21" t="s">
        <v>26</v>
      </c>
      <c r="J158" s="21" t="s">
        <v>24</v>
      </c>
      <c r="K158" s="21" t="s">
        <v>24</v>
      </c>
      <c r="L158" s="21" t="s">
        <v>24</v>
      </c>
      <c r="M158" s="0" t="n">
        <v>189</v>
      </c>
      <c r="N158" s="0" t="n">
        <v>20</v>
      </c>
      <c r="O158" s="21" t="s">
        <v>4195</v>
      </c>
      <c r="P158" s="21" t="s">
        <v>4311</v>
      </c>
      <c r="Q158" s="0" t="n">
        <v>2</v>
      </c>
      <c r="R158" s="21" t="s">
        <v>3871</v>
      </c>
      <c r="S158" s="0" t="n">
        <v>20</v>
      </c>
      <c r="T158" s="21" t="s">
        <v>4195</v>
      </c>
      <c r="U158" s="22" t="b">
        <f aca="false">FALSE()</f>
        <v>0</v>
      </c>
      <c r="V158" s="0" t="n">
        <v>0.58</v>
      </c>
      <c r="W158" s="0" t="n">
        <v>0.32</v>
      </c>
      <c r="X158" s="0" t="n">
        <v>10.72</v>
      </c>
      <c r="Y158" s="0" t="n">
        <v>409.66</v>
      </c>
      <c r="Z158" s="0" t="n">
        <v>10</v>
      </c>
      <c r="AA158" s="0" t="n">
        <v>20.2</v>
      </c>
      <c r="AB158" s="0" t="n">
        <v>11.81</v>
      </c>
      <c r="AC158" s="22" t="b">
        <f aca="false">FALSE()</f>
        <v>0</v>
      </c>
      <c r="AD158" s="0" t="n">
        <v>8.31</v>
      </c>
      <c r="AE158" s="0" t="n">
        <v>0.31</v>
      </c>
      <c r="AF158" s="0" t="n">
        <v>8.46</v>
      </c>
      <c r="AG158" s="22" t="b">
        <f aca="false">FALSE()</f>
        <v>0</v>
      </c>
      <c r="AH158" s="0" t="n">
        <v>1</v>
      </c>
    </row>
    <row r="159" customFormat="false" ht="15" hidden="false" customHeight="false" outlineLevel="0" collapsed="false">
      <c r="A159" s="0" t="s">
        <v>402</v>
      </c>
      <c r="B159" s="0" t="s">
        <v>134</v>
      </c>
      <c r="C159" s="0" t="s">
        <v>3450</v>
      </c>
      <c r="D159" s="0" t="s">
        <v>3448</v>
      </c>
      <c r="E159" s="19" t="s">
        <v>26</v>
      </c>
      <c r="F159" s="19" t="s">
        <v>32</v>
      </c>
      <c r="G159" s="21" t="s">
        <v>405</v>
      </c>
      <c r="H159" s="21" t="s">
        <v>24</v>
      </c>
      <c r="I159" s="21" t="s">
        <v>26</v>
      </c>
      <c r="J159" s="21" t="s">
        <v>24</v>
      </c>
      <c r="K159" s="21" t="s">
        <v>24</v>
      </c>
      <c r="L159" s="21" t="s">
        <v>24</v>
      </c>
      <c r="M159" s="0" t="n">
        <v>185</v>
      </c>
      <c r="N159" s="0" t="n">
        <v>17</v>
      </c>
      <c r="O159" s="21" t="s">
        <v>4194</v>
      </c>
      <c r="P159" s="21" t="s">
        <v>4312</v>
      </c>
      <c r="Q159" s="0" t="n">
        <v>2</v>
      </c>
      <c r="R159" s="21" t="s">
        <v>3871</v>
      </c>
      <c r="S159" s="0" t="n">
        <v>17</v>
      </c>
      <c r="T159" s="21" t="s">
        <v>4194</v>
      </c>
      <c r="U159" s="22" t="b">
        <f aca="false">FALSE()</f>
        <v>0</v>
      </c>
      <c r="V159" s="0" t="n">
        <v>0.61</v>
      </c>
      <c r="W159" s="0" t="n">
        <v>0.48</v>
      </c>
      <c r="X159" s="0" t="n">
        <v>9.97</v>
      </c>
      <c r="Y159" s="0" t="n">
        <v>336.66</v>
      </c>
      <c r="Z159" s="0" t="n">
        <v>9.5</v>
      </c>
      <c r="AA159" s="0" t="n">
        <v>18.55</v>
      </c>
      <c r="AB159" s="0" t="n">
        <v>8.38</v>
      </c>
      <c r="AC159" s="22" t="b">
        <f aca="false">FALSE()</f>
        <v>0</v>
      </c>
      <c r="AD159" s="0" t="n">
        <v>13.23</v>
      </c>
      <c r="AE159" s="0" t="n">
        <v>0.53</v>
      </c>
      <c r="AF159" s="0" t="n">
        <v>8.72</v>
      </c>
      <c r="AG159" s="22" t="b">
        <f aca="false">TRUE()</f>
        <v>1</v>
      </c>
      <c r="AH159" s="0" t="n">
        <v>1</v>
      </c>
    </row>
    <row r="160" customFormat="false" ht="15" hidden="false" customHeight="false" outlineLevel="0" collapsed="false">
      <c r="A160" s="0" t="s">
        <v>402</v>
      </c>
      <c r="B160" s="0" t="s">
        <v>134</v>
      </c>
      <c r="C160" s="0" t="s">
        <v>3447</v>
      </c>
      <c r="D160" s="0" t="s">
        <v>3457</v>
      </c>
      <c r="E160" s="19" t="s">
        <v>26</v>
      </c>
      <c r="F160" s="19" t="s">
        <v>32</v>
      </c>
      <c r="G160" s="21" t="s">
        <v>405</v>
      </c>
      <c r="H160" s="21" t="s">
        <v>24</v>
      </c>
      <c r="I160" s="21" t="s">
        <v>26</v>
      </c>
      <c r="J160" s="21" t="s">
        <v>24</v>
      </c>
      <c r="K160" s="21" t="s">
        <v>24</v>
      </c>
      <c r="L160" s="21" t="s">
        <v>24</v>
      </c>
      <c r="M160" s="0" t="n">
        <v>186</v>
      </c>
      <c r="N160" s="0" t="n">
        <v>11</v>
      </c>
      <c r="O160" s="21" t="s">
        <v>4177</v>
      </c>
      <c r="P160" s="21" t="s">
        <v>4313</v>
      </c>
      <c r="Q160" s="0" t="n">
        <v>2</v>
      </c>
      <c r="R160" s="21" t="s">
        <v>3871</v>
      </c>
      <c r="S160" s="0" t="n">
        <v>10</v>
      </c>
      <c r="T160" s="21" t="s">
        <v>4314</v>
      </c>
      <c r="U160" s="22" t="b">
        <f aca="false">FALSE()</f>
        <v>0</v>
      </c>
      <c r="V160" s="0" t="n">
        <v>0.7</v>
      </c>
      <c r="W160" s="0" t="n">
        <v>0.12</v>
      </c>
      <c r="X160" s="0" t="n">
        <v>9.34</v>
      </c>
      <c r="Y160" s="0" t="n">
        <v>626.79</v>
      </c>
      <c r="Z160" s="0" t="n">
        <v>8.42</v>
      </c>
      <c r="AA160" s="0" t="n">
        <v>4.35</v>
      </c>
      <c r="AB160" s="0" t="n">
        <v>11.81</v>
      </c>
      <c r="AC160" s="22" t="b">
        <f aca="false">FALSE()</f>
        <v>0</v>
      </c>
      <c r="AD160" s="0" t="n">
        <v>7.15</v>
      </c>
      <c r="AE160" s="0" t="n">
        <v>-0.2</v>
      </c>
      <c r="AF160" s="0" t="n">
        <v>8.49</v>
      </c>
      <c r="AG160" s="22" t="b">
        <f aca="false">FALSE()</f>
        <v>0</v>
      </c>
      <c r="AH160" s="0" t="n">
        <v>1</v>
      </c>
    </row>
    <row r="161" customFormat="false" ht="15" hidden="false" customHeight="false" outlineLevel="0" collapsed="false">
      <c r="A161" s="0" t="s">
        <v>402</v>
      </c>
      <c r="B161" s="0" t="s">
        <v>134</v>
      </c>
      <c r="C161" s="0" t="s">
        <v>3447</v>
      </c>
      <c r="D161" s="0" t="s">
        <v>3448</v>
      </c>
      <c r="E161" s="19" t="s">
        <v>26</v>
      </c>
      <c r="F161" s="19" t="s">
        <v>32</v>
      </c>
      <c r="G161" s="21" t="s">
        <v>405</v>
      </c>
      <c r="H161" s="21" t="s">
        <v>24</v>
      </c>
      <c r="I161" s="21" t="s">
        <v>26</v>
      </c>
      <c r="J161" s="21" t="s">
        <v>24</v>
      </c>
      <c r="K161" s="21" t="s">
        <v>24</v>
      </c>
      <c r="L161" s="21" t="s">
        <v>24</v>
      </c>
      <c r="M161" s="0" t="n">
        <v>195</v>
      </c>
      <c r="N161" s="0" t="n">
        <v>12</v>
      </c>
      <c r="O161" s="21" t="s">
        <v>4190</v>
      </c>
      <c r="P161" s="21" t="s">
        <v>4315</v>
      </c>
      <c r="Q161" s="0" t="n">
        <v>2</v>
      </c>
      <c r="R161" s="21" t="s">
        <v>3871</v>
      </c>
      <c r="S161" s="0" t="n">
        <v>10</v>
      </c>
      <c r="T161" s="21" t="s">
        <v>4316</v>
      </c>
      <c r="U161" s="22" t="b">
        <f aca="false">FALSE()</f>
        <v>0</v>
      </c>
      <c r="V161" s="0" t="n">
        <v>0.66</v>
      </c>
      <c r="W161" s="0" t="n">
        <v>0</v>
      </c>
      <c r="X161" s="0" t="n">
        <v>8.68</v>
      </c>
      <c r="Y161" s="0" t="n">
        <v>2.83</v>
      </c>
      <c r="Z161" s="0" t="n">
        <v>9.25</v>
      </c>
      <c r="AA161" s="0" t="n">
        <v>7.7</v>
      </c>
      <c r="AB161" s="0" t="n">
        <v>8.38</v>
      </c>
      <c r="AC161" s="22" t="b">
        <f aca="false">FALSE()</f>
        <v>0</v>
      </c>
      <c r="AD161" s="0" t="n">
        <v>11.6</v>
      </c>
      <c r="AE161" s="0" t="n">
        <v>0.12</v>
      </c>
      <c r="AF161" s="0" t="n">
        <v>3.75</v>
      </c>
      <c r="AG161" s="22" t="b">
        <f aca="false">TRUE()</f>
        <v>1</v>
      </c>
      <c r="AH161" s="0" t="n">
        <v>0</v>
      </c>
    </row>
    <row r="162" customFormat="false" ht="15" hidden="false" customHeight="false" outlineLevel="0" collapsed="false">
      <c r="A162" s="0" t="s">
        <v>409</v>
      </c>
      <c r="B162" s="0" t="s">
        <v>134</v>
      </c>
      <c r="C162" s="0" t="s">
        <v>3450</v>
      </c>
      <c r="D162" s="0" t="s">
        <v>3457</v>
      </c>
      <c r="E162" s="20" t="s">
        <v>25</v>
      </c>
      <c r="F162" s="23" t="s">
        <v>30</v>
      </c>
      <c r="G162" s="21" t="s">
        <v>283</v>
      </c>
      <c r="H162" s="21" t="s">
        <v>24</v>
      </c>
      <c r="I162" s="21" t="s">
        <v>25</v>
      </c>
      <c r="J162" s="21" t="s">
        <v>24</v>
      </c>
      <c r="K162" s="21" t="s">
        <v>24</v>
      </c>
      <c r="L162" s="21" t="s">
        <v>24</v>
      </c>
      <c r="M162" s="0" t="n">
        <v>184</v>
      </c>
      <c r="N162" s="0" t="n">
        <v>1</v>
      </c>
      <c r="O162" s="21" t="s">
        <v>69</v>
      </c>
      <c r="P162" s="21" t="s">
        <v>4275</v>
      </c>
      <c r="Q162" s="0" t="n">
        <v>1</v>
      </c>
      <c r="R162" s="21" t="s">
        <v>69</v>
      </c>
      <c r="S162" s="0" t="n">
        <v>1</v>
      </c>
      <c r="T162" s="21" t="s">
        <v>69</v>
      </c>
      <c r="U162" s="22" t="b">
        <f aca="false">TRUE()</f>
        <v>1</v>
      </c>
      <c r="V162" s="0" t="n">
        <v>0.75</v>
      </c>
      <c r="W162" s="0" t="n">
        <v>0.4</v>
      </c>
      <c r="X162" s="0" t="n">
        <v>6.1</v>
      </c>
      <c r="Y162" s="0" t="n">
        <v>303.48</v>
      </c>
      <c r="Z162" s="0" t="n">
        <v>10.08</v>
      </c>
      <c r="AA162" s="0" t="n">
        <v>7.26</v>
      </c>
      <c r="AB162" s="0" t="n">
        <v>3.5</v>
      </c>
      <c r="AC162" s="22" t="b">
        <f aca="false">FALSE()</f>
        <v>0</v>
      </c>
      <c r="AD162" s="0" t="n">
        <v>16.24</v>
      </c>
      <c r="AE162" s="0" t="n">
        <v>0.26</v>
      </c>
      <c r="AF162" s="0" t="n">
        <v>11.76</v>
      </c>
      <c r="AG162" s="22" t="b">
        <f aca="false">TRUE()</f>
        <v>1</v>
      </c>
      <c r="AH162" s="0" t="n">
        <v>1</v>
      </c>
    </row>
    <row r="163" customFormat="false" ht="15" hidden="false" customHeight="false" outlineLevel="0" collapsed="false">
      <c r="A163" s="0" t="s">
        <v>409</v>
      </c>
      <c r="B163" s="0" t="s">
        <v>134</v>
      </c>
      <c r="C163" s="0" t="s">
        <v>3450</v>
      </c>
      <c r="D163" s="0" t="s">
        <v>3448</v>
      </c>
      <c r="E163" s="20" t="s">
        <v>25</v>
      </c>
      <c r="F163" s="23" t="s">
        <v>30</v>
      </c>
      <c r="G163" s="21" t="s">
        <v>1152</v>
      </c>
      <c r="H163" s="21" t="s">
        <v>24</v>
      </c>
      <c r="I163" s="21" t="s">
        <v>25</v>
      </c>
      <c r="J163" s="21" t="s">
        <v>24</v>
      </c>
      <c r="K163" s="21" t="s">
        <v>25</v>
      </c>
      <c r="L163" s="21" t="s">
        <v>24</v>
      </c>
      <c r="M163" s="0" t="n">
        <v>184</v>
      </c>
      <c r="N163" s="0" t="n">
        <v>1</v>
      </c>
      <c r="O163" s="21" t="s">
        <v>69</v>
      </c>
      <c r="P163" s="21" t="s">
        <v>4275</v>
      </c>
      <c r="Q163" s="0" t="n">
        <v>1</v>
      </c>
      <c r="R163" s="21" t="s">
        <v>69</v>
      </c>
      <c r="S163" s="0" t="n">
        <v>1</v>
      </c>
      <c r="T163" s="21" t="s">
        <v>69</v>
      </c>
      <c r="U163" s="22" t="b">
        <f aca="false">TRUE()</f>
        <v>1</v>
      </c>
      <c r="V163" s="0" t="n">
        <v>0.75</v>
      </c>
      <c r="W163" s="0" t="n">
        <v>0.12</v>
      </c>
      <c r="X163" s="0" t="n">
        <v>6.27</v>
      </c>
      <c r="Y163" s="0" t="n">
        <v>632.27</v>
      </c>
      <c r="Z163" s="0" t="n">
        <v>10.67</v>
      </c>
      <c r="AA163" s="0" t="n">
        <v>5.03</v>
      </c>
      <c r="AB163" s="0" t="n">
        <v>0.77</v>
      </c>
      <c r="AC163" s="22" t="b">
        <f aca="false">FALSE()</f>
        <v>0</v>
      </c>
      <c r="AD163" s="0" t="n">
        <v>15.64</v>
      </c>
      <c r="AE163" s="0" t="n">
        <v>0.83</v>
      </c>
      <c r="AF163" s="0" t="n">
        <v>4.8</v>
      </c>
      <c r="AG163" s="22" t="b">
        <f aca="false">TRUE()</f>
        <v>1</v>
      </c>
      <c r="AH163" s="0" t="n">
        <v>1</v>
      </c>
    </row>
    <row r="164" customFormat="false" ht="15" hidden="false" customHeight="false" outlineLevel="0" collapsed="false">
      <c r="A164" s="0" t="s">
        <v>409</v>
      </c>
      <c r="B164" s="0" t="s">
        <v>134</v>
      </c>
      <c r="C164" s="0" t="s">
        <v>3447</v>
      </c>
      <c r="D164" s="0" t="s">
        <v>3457</v>
      </c>
      <c r="E164" s="19" t="s">
        <v>26</v>
      </c>
      <c r="F164" s="19" t="s">
        <v>32</v>
      </c>
      <c r="G164" s="21" t="s">
        <v>60</v>
      </c>
      <c r="H164" s="21" t="s">
        <v>24</v>
      </c>
      <c r="I164" s="21" t="s">
        <v>26</v>
      </c>
      <c r="J164" s="21" t="s">
        <v>24</v>
      </c>
      <c r="K164" s="21" t="s">
        <v>24</v>
      </c>
      <c r="L164" s="21" t="s">
        <v>24</v>
      </c>
      <c r="M164" s="0" t="n">
        <v>228</v>
      </c>
      <c r="N164" s="0" t="n">
        <v>8</v>
      </c>
      <c r="O164" s="21" t="s">
        <v>3953</v>
      </c>
      <c r="P164" s="21" t="s">
        <v>4317</v>
      </c>
      <c r="Q164" s="0" t="n">
        <v>0</v>
      </c>
      <c r="S164" s="0" t="n">
        <v>8</v>
      </c>
      <c r="T164" s="21" t="s">
        <v>3953</v>
      </c>
      <c r="U164" s="22" t="b">
        <f aca="false">FALSE()</f>
        <v>0</v>
      </c>
      <c r="V164" s="0" t="n">
        <v>0.76</v>
      </c>
      <c r="W164" s="0" t="n">
        <v>0.32</v>
      </c>
      <c r="X164" s="0" t="n">
        <v>7.66</v>
      </c>
      <c r="Y164" s="0" t="n">
        <v>463.15</v>
      </c>
      <c r="Z164" s="0" t="n">
        <v>11</v>
      </c>
      <c r="AA164" s="0" t="n">
        <v>-0.64</v>
      </c>
      <c r="AB164" s="0" t="n">
        <v>3.5</v>
      </c>
      <c r="AC164" s="22" t="b">
        <f aca="false">FALSE()</f>
        <v>0</v>
      </c>
      <c r="AD164" s="0" t="n">
        <v>15.92</v>
      </c>
      <c r="AE164" s="0" t="n">
        <v>0.79</v>
      </c>
      <c r="AF164" s="0" t="n">
        <v>11.75</v>
      </c>
      <c r="AG164" s="22" t="b">
        <f aca="false">TRUE()</f>
        <v>1</v>
      </c>
      <c r="AH164" s="0" t="n">
        <v>1</v>
      </c>
    </row>
    <row r="165" customFormat="false" ht="15" hidden="false" customHeight="false" outlineLevel="0" collapsed="false">
      <c r="A165" s="0" t="s">
        <v>409</v>
      </c>
      <c r="B165" s="0" t="s">
        <v>134</v>
      </c>
      <c r="C165" s="0" t="s">
        <v>3447</v>
      </c>
      <c r="D165" s="0" t="s">
        <v>3448</v>
      </c>
      <c r="E165" s="19" t="s">
        <v>26</v>
      </c>
      <c r="F165" s="19" t="s">
        <v>32</v>
      </c>
      <c r="G165" s="21" t="s">
        <v>3879</v>
      </c>
      <c r="H165" s="21" t="s">
        <v>24</v>
      </c>
      <c r="I165" s="21" t="s">
        <v>26</v>
      </c>
      <c r="J165" s="21" t="s">
        <v>24</v>
      </c>
      <c r="K165" s="21" t="s">
        <v>25</v>
      </c>
      <c r="L165" s="21" t="s">
        <v>24</v>
      </c>
      <c r="M165" s="0" t="n">
        <v>188</v>
      </c>
      <c r="N165" s="0" t="n">
        <v>8</v>
      </c>
      <c r="O165" s="21" t="s">
        <v>3928</v>
      </c>
      <c r="P165" s="21" t="s">
        <v>4318</v>
      </c>
      <c r="Q165" s="0" t="n">
        <v>0</v>
      </c>
      <c r="S165" s="0" t="n">
        <v>8</v>
      </c>
      <c r="T165" s="21" t="s">
        <v>3928</v>
      </c>
      <c r="U165" s="22" t="b">
        <f aca="false">FALSE()</f>
        <v>0</v>
      </c>
      <c r="V165" s="0" t="n">
        <v>0.78</v>
      </c>
      <c r="W165" s="0" t="n">
        <v>0.36</v>
      </c>
      <c r="X165" s="0" t="n">
        <v>7.47</v>
      </c>
      <c r="Y165" s="0" t="n">
        <v>389.12</v>
      </c>
      <c r="Z165" s="0" t="n">
        <v>8</v>
      </c>
      <c r="AA165" s="0" t="n">
        <v>-0.99</v>
      </c>
      <c r="AB165" s="0" t="n">
        <v>0.77</v>
      </c>
      <c r="AC165" s="22" t="b">
        <f aca="false">FALSE()</f>
        <v>0</v>
      </c>
      <c r="AD165" s="0" t="n">
        <v>10.95</v>
      </c>
      <c r="AE165" s="0" t="n">
        <v>0.38</v>
      </c>
      <c r="AF165" s="0" t="n">
        <v>2.39</v>
      </c>
      <c r="AG165" s="22" t="b">
        <f aca="false">TRUE()</f>
        <v>1</v>
      </c>
      <c r="AH165" s="0" t="n">
        <v>1</v>
      </c>
    </row>
    <row r="166" customFormat="false" ht="15" hidden="false" customHeight="false" outlineLevel="0" collapsed="false">
      <c r="A166" s="0" t="s">
        <v>409</v>
      </c>
      <c r="B166" s="0" t="s">
        <v>3459</v>
      </c>
      <c r="C166" s="0" t="s">
        <v>3450</v>
      </c>
      <c r="D166" s="0" t="s">
        <v>3457</v>
      </c>
      <c r="E166" s="20" t="s">
        <v>25</v>
      </c>
      <c r="F166" s="20" t="s">
        <v>29</v>
      </c>
      <c r="G166" s="21" t="s">
        <v>3471</v>
      </c>
      <c r="H166" s="21" t="s">
        <v>24</v>
      </c>
      <c r="I166" s="21" t="s">
        <v>24</v>
      </c>
      <c r="J166" s="21" t="s">
        <v>24</v>
      </c>
      <c r="K166" s="21" t="s">
        <v>25</v>
      </c>
      <c r="L166" s="21" t="s">
        <v>24</v>
      </c>
      <c r="M166" s="0" t="n">
        <v>205</v>
      </c>
      <c r="N166" s="0" t="n">
        <v>0</v>
      </c>
      <c r="Q166" s="0" t="n">
        <v>0</v>
      </c>
      <c r="S166" s="0" t="n">
        <v>0</v>
      </c>
      <c r="U166" s="22" t="b">
        <f aca="false">FALSE()</f>
        <v>0</v>
      </c>
      <c r="V166" s="0" t="n">
        <v>0.75</v>
      </c>
      <c r="W166" s="0" t="n">
        <v>0.88</v>
      </c>
      <c r="X166" s="0" t="n">
        <v>5.15</v>
      </c>
      <c r="Y166" s="0" t="n">
        <v>358.17</v>
      </c>
      <c r="Z166" s="0" t="n">
        <v>10</v>
      </c>
      <c r="AA166" s="0" t="n">
        <v>5.86</v>
      </c>
      <c r="AB166" s="0" t="n">
        <v>0.33</v>
      </c>
      <c r="AC166" s="22" t="b">
        <f aca="false">FALSE()</f>
        <v>0</v>
      </c>
      <c r="AD166" s="0" t="n">
        <v>21.32</v>
      </c>
      <c r="AE166" s="0" t="n">
        <v>9.35</v>
      </c>
      <c r="AF166" s="0" t="n">
        <v>19.28</v>
      </c>
      <c r="AG166" s="22" t="b">
        <f aca="false">TRUE()</f>
        <v>1</v>
      </c>
      <c r="AH166" s="0" t="n">
        <v>1</v>
      </c>
    </row>
    <row r="167" customFormat="false" ht="15" hidden="false" customHeight="false" outlineLevel="0" collapsed="false">
      <c r="A167" s="0" t="s">
        <v>409</v>
      </c>
      <c r="B167" s="0" t="s">
        <v>3459</v>
      </c>
      <c r="C167" s="0" t="s">
        <v>3450</v>
      </c>
      <c r="D167" s="0" t="s">
        <v>3448</v>
      </c>
      <c r="E167" s="20" t="s">
        <v>25</v>
      </c>
      <c r="F167" s="23" t="s">
        <v>30</v>
      </c>
      <c r="G167" s="21" t="s">
        <v>157</v>
      </c>
      <c r="H167" s="21" t="s">
        <v>24</v>
      </c>
      <c r="I167" s="21" t="s">
        <v>25</v>
      </c>
      <c r="J167" s="21" t="s">
        <v>24</v>
      </c>
      <c r="K167" s="21" t="s">
        <v>25</v>
      </c>
      <c r="L167" s="21" t="s">
        <v>24</v>
      </c>
      <c r="M167" s="0" t="n">
        <v>183</v>
      </c>
      <c r="N167" s="0" t="n">
        <v>1</v>
      </c>
      <c r="O167" s="21" t="s">
        <v>69</v>
      </c>
      <c r="P167" s="21" t="s">
        <v>4275</v>
      </c>
      <c r="Q167" s="0" t="n">
        <v>1</v>
      </c>
      <c r="R167" s="21" t="s">
        <v>69</v>
      </c>
      <c r="S167" s="0" t="n">
        <v>1</v>
      </c>
      <c r="T167" s="21" t="s">
        <v>69</v>
      </c>
      <c r="U167" s="22" t="b">
        <f aca="false">TRUE()</f>
        <v>1</v>
      </c>
      <c r="V167" s="0" t="n">
        <v>0.73</v>
      </c>
      <c r="W167" s="0" t="n">
        <v>0.36</v>
      </c>
      <c r="X167" s="0" t="n">
        <v>5.53</v>
      </c>
      <c r="Y167" s="0" t="n">
        <v>282.62</v>
      </c>
      <c r="Z167" s="0" t="n">
        <v>10</v>
      </c>
      <c r="AA167" s="0" t="n">
        <v>3.87</v>
      </c>
      <c r="AB167" s="0" t="n">
        <v>1.18</v>
      </c>
      <c r="AC167" s="22" t="b">
        <f aca="false">FALSE()</f>
        <v>0</v>
      </c>
      <c r="AD167" s="0" t="n">
        <v>22.81</v>
      </c>
      <c r="AE167" s="0" t="n">
        <v>12.06</v>
      </c>
      <c r="AF167" s="0" t="n">
        <v>19.87</v>
      </c>
      <c r="AG167" s="22" t="b">
        <f aca="false">TRUE()</f>
        <v>1</v>
      </c>
      <c r="AH167" s="0" t="n">
        <v>1</v>
      </c>
    </row>
    <row r="168" customFormat="false" ht="15" hidden="false" customHeight="false" outlineLevel="0" collapsed="false">
      <c r="A168" s="0" t="s">
        <v>409</v>
      </c>
      <c r="B168" s="0" t="s">
        <v>3459</v>
      </c>
      <c r="C168" s="0" t="s">
        <v>3447</v>
      </c>
      <c r="D168" s="0" t="s">
        <v>3457</v>
      </c>
      <c r="E168" s="19" t="s">
        <v>26</v>
      </c>
      <c r="F168" s="19" t="s">
        <v>32</v>
      </c>
      <c r="G168" s="21" t="s">
        <v>3879</v>
      </c>
      <c r="H168" s="21" t="s">
        <v>24</v>
      </c>
      <c r="I168" s="21" t="s">
        <v>26</v>
      </c>
      <c r="J168" s="21" t="s">
        <v>24</v>
      </c>
      <c r="K168" s="21" t="s">
        <v>25</v>
      </c>
      <c r="L168" s="21" t="s">
        <v>24</v>
      </c>
      <c r="M168" s="0" t="n">
        <v>184</v>
      </c>
      <c r="N168" s="0" t="n">
        <v>7</v>
      </c>
      <c r="O168" s="21" t="s">
        <v>3887</v>
      </c>
      <c r="P168" s="21" t="s">
        <v>4319</v>
      </c>
      <c r="Q168" s="0" t="n">
        <v>0</v>
      </c>
      <c r="S168" s="0" t="n">
        <v>7</v>
      </c>
      <c r="T168" s="21" t="s">
        <v>3887</v>
      </c>
      <c r="U168" s="22" t="b">
        <f aca="false">FALSE()</f>
        <v>0</v>
      </c>
      <c r="V168" s="0" t="n">
        <v>0.8</v>
      </c>
      <c r="W168" s="0" t="n">
        <v>0.48</v>
      </c>
      <c r="X168" s="0" t="n">
        <v>5.57</v>
      </c>
      <c r="Y168" s="0" t="n">
        <v>337.49</v>
      </c>
      <c r="Z168" s="0" t="n">
        <v>8</v>
      </c>
      <c r="AA168" s="0" t="n">
        <v>-1.18</v>
      </c>
      <c r="AB168" s="0" t="n">
        <v>0.33</v>
      </c>
      <c r="AC168" s="22" t="b">
        <f aca="false">FALSE()</f>
        <v>0</v>
      </c>
      <c r="AD168" s="0" t="n">
        <v>17.46</v>
      </c>
      <c r="AE168" s="0" t="n">
        <v>9.1</v>
      </c>
      <c r="AF168" s="0" t="n">
        <v>18.31</v>
      </c>
      <c r="AG168" s="22" t="b">
        <f aca="false">TRUE()</f>
        <v>1</v>
      </c>
      <c r="AH168" s="0" t="n">
        <v>1</v>
      </c>
    </row>
    <row r="169" customFormat="false" ht="15" hidden="false" customHeight="false" outlineLevel="0" collapsed="false">
      <c r="A169" s="0" t="s">
        <v>409</v>
      </c>
      <c r="B169" s="0" t="s">
        <v>3459</v>
      </c>
      <c r="C169" s="0" t="s">
        <v>3447</v>
      </c>
      <c r="D169" s="0" t="s">
        <v>3448</v>
      </c>
      <c r="E169" s="19" t="s">
        <v>26</v>
      </c>
      <c r="F169" s="19" t="s">
        <v>32</v>
      </c>
      <c r="G169" s="21" t="s">
        <v>1178</v>
      </c>
      <c r="H169" s="21" t="s">
        <v>24</v>
      </c>
      <c r="I169" s="21" t="s">
        <v>26</v>
      </c>
      <c r="J169" s="21" t="s">
        <v>24</v>
      </c>
      <c r="K169" s="21" t="s">
        <v>25</v>
      </c>
      <c r="L169" s="21" t="s">
        <v>24</v>
      </c>
      <c r="M169" s="0" t="n">
        <v>188</v>
      </c>
      <c r="N169" s="0" t="n">
        <v>9</v>
      </c>
      <c r="O169" s="21" t="s">
        <v>4074</v>
      </c>
      <c r="P169" s="21" t="s">
        <v>4320</v>
      </c>
      <c r="Q169" s="0" t="n">
        <v>1</v>
      </c>
      <c r="R169" s="21" t="s">
        <v>69</v>
      </c>
      <c r="S169" s="0" t="n">
        <v>9</v>
      </c>
      <c r="T169" s="21" t="s">
        <v>4074</v>
      </c>
      <c r="U169" s="22" t="b">
        <f aca="false">FALSE()</f>
        <v>0</v>
      </c>
      <c r="V169" s="0" t="n">
        <v>0.77</v>
      </c>
      <c r="W169" s="0" t="n">
        <v>0</v>
      </c>
      <c r="X169" s="0" t="n">
        <v>5.79</v>
      </c>
      <c r="Y169" s="0" t="n">
        <v>513.51</v>
      </c>
      <c r="Z169" s="0" t="n">
        <v>9.5</v>
      </c>
      <c r="AA169" s="0" t="n">
        <v>2.37</v>
      </c>
      <c r="AB169" s="0" t="n">
        <v>1.18</v>
      </c>
      <c r="AC169" s="22" t="b">
        <f aca="false">FALSE()</f>
        <v>0</v>
      </c>
      <c r="AD169" s="0" t="n">
        <v>23.21</v>
      </c>
      <c r="AE169" s="0" t="n">
        <v>12.38</v>
      </c>
      <c r="AF169" s="0" t="n">
        <v>19.62</v>
      </c>
      <c r="AG169" s="22" t="b">
        <f aca="false">TRUE()</f>
        <v>1</v>
      </c>
      <c r="AH169" s="0" t="n">
        <v>1</v>
      </c>
    </row>
    <row r="170" customFormat="false" ht="15" hidden="false" customHeight="false" outlineLevel="0" collapsed="false">
      <c r="A170" s="0" t="s">
        <v>418</v>
      </c>
      <c r="B170" s="0" t="s">
        <v>134</v>
      </c>
      <c r="C170" s="0" t="s">
        <v>3450</v>
      </c>
      <c r="D170" s="0" t="s">
        <v>3457</v>
      </c>
      <c r="E170" s="20" t="s">
        <v>25</v>
      </c>
      <c r="F170" s="23" t="s">
        <v>30</v>
      </c>
      <c r="G170" s="21" t="s">
        <v>1152</v>
      </c>
      <c r="H170" s="21" t="s">
        <v>24</v>
      </c>
      <c r="I170" s="21" t="s">
        <v>25</v>
      </c>
      <c r="J170" s="21" t="s">
        <v>24</v>
      </c>
      <c r="K170" s="21" t="s">
        <v>25</v>
      </c>
      <c r="L170" s="21" t="s">
        <v>24</v>
      </c>
      <c r="M170" s="0" t="n">
        <v>182</v>
      </c>
      <c r="N170" s="0" t="n">
        <v>1</v>
      </c>
      <c r="O170" s="21" t="s">
        <v>69</v>
      </c>
      <c r="P170" s="21" t="s">
        <v>4275</v>
      </c>
      <c r="Q170" s="0" t="n">
        <v>1</v>
      </c>
      <c r="R170" s="21" t="s">
        <v>69</v>
      </c>
      <c r="S170" s="0" t="n">
        <v>1</v>
      </c>
      <c r="T170" s="21" t="s">
        <v>69</v>
      </c>
      <c r="U170" s="22" t="b">
        <f aca="false">TRUE()</f>
        <v>1</v>
      </c>
      <c r="V170" s="0" t="n">
        <v>0.74</v>
      </c>
      <c r="W170" s="0" t="n">
        <v>0.4</v>
      </c>
      <c r="X170" s="0" t="n">
        <v>6.83</v>
      </c>
      <c r="Y170" s="0" t="n">
        <v>358.18</v>
      </c>
      <c r="Z170" s="0" t="n">
        <v>11.25</v>
      </c>
      <c r="AA170" s="0" t="n">
        <v>4.42</v>
      </c>
      <c r="AB170" s="0" t="n">
        <v>0.15</v>
      </c>
      <c r="AC170" s="22" t="b">
        <f aca="false">FALSE()</f>
        <v>0</v>
      </c>
      <c r="AD170" s="0" t="n">
        <v>5.81</v>
      </c>
      <c r="AE170" s="0" t="n">
        <v>1</v>
      </c>
      <c r="AF170" s="0" t="n">
        <v>5.55</v>
      </c>
      <c r="AG170" s="22" t="b">
        <f aca="false">FALSE()</f>
        <v>0</v>
      </c>
      <c r="AH170" s="0" t="n">
        <v>1</v>
      </c>
    </row>
    <row r="171" customFormat="false" ht="15" hidden="false" customHeight="false" outlineLevel="0" collapsed="false">
      <c r="A171" s="0" t="s">
        <v>418</v>
      </c>
      <c r="B171" s="0" t="s">
        <v>134</v>
      </c>
      <c r="C171" s="0" t="s">
        <v>3450</v>
      </c>
      <c r="D171" s="0" t="s">
        <v>3448</v>
      </c>
      <c r="E171" s="20" t="s">
        <v>25</v>
      </c>
      <c r="F171" s="23" t="s">
        <v>30</v>
      </c>
      <c r="G171" s="21" t="s">
        <v>1099</v>
      </c>
      <c r="H171" s="21" t="s">
        <v>24</v>
      </c>
      <c r="I171" s="21" t="s">
        <v>25</v>
      </c>
      <c r="J171" s="21" t="s">
        <v>24</v>
      </c>
      <c r="K171" s="21" t="s">
        <v>25</v>
      </c>
      <c r="L171" s="21" t="s">
        <v>24</v>
      </c>
      <c r="M171" s="0" t="n">
        <v>183</v>
      </c>
      <c r="N171" s="0" t="n">
        <v>1</v>
      </c>
      <c r="O171" s="21" t="s">
        <v>69</v>
      </c>
      <c r="P171" s="21" t="s">
        <v>4275</v>
      </c>
      <c r="Q171" s="0" t="n">
        <v>1</v>
      </c>
      <c r="R171" s="21" t="s">
        <v>69</v>
      </c>
      <c r="S171" s="0" t="n">
        <v>1</v>
      </c>
      <c r="T171" s="21" t="s">
        <v>69</v>
      </c>
      <c r="U171" s="22" t="b">
        <f aca="false">TRUE()</f>
        <v>1</v>
      </c>
      <c r="V171" s="0" t="n">
        <v>0.74</v>
      </c>
      <c r="W171" s="0" t="n">
        <v>0.72</v>
      </c>
      <c r="X171" s="0" t="n">
        <v>6.66</v>
      </c>
      <c r="Y171" s="0" t="n">
        <v>308.84</v>
      </c>
      <c r="Z171" s="0" t="n">
        <v>11</v>
      </c>
      <c r="AA171" s="0" t="n">
        <v>13.91</v>
      </c>
      <c r="AB171" s="0" t="n">
        <v>1.3</v>
      </c>
      <c r="AC171" s="22" t="b">
        <f aca="false">FALSE()</f>
        <v>0</v>
      </c>
      <c r="AD171" s="0" t="n">
        <v>15.46</v>
      </c>
      <c r="AE171" s="0" t="n">
        <v>0.85</v>
      </c>
      <c r="AF171" s="0" t="n">
        <v>8.69</v>
      </c>
      <c r="AG171" s="22" t="b">
        <f aca="false">TRUE()</f>
        <v>1</v>
      </c>
      <c r="AH171" s="0" t="n">
        <v>1</v>
      </c>
    </row>
    <row r="172" customFormat="false" ht="15" hidden="false" customHeight="false" outlineLevel="0" collapsed="false">
      <c r="A172" s="0" t="s">
        <v>418</v>
      </c>
      <c r="B172" s="0" t="s">
        <v>134</v>
      </c>
      <c r="C172" s="0" t="s">
        <v>3447</v>
      </c>
      <c r="D172" s="0" t="s">
        <v>3457</v>
      </c>
      <c r="E172" s="19" t="s">
        <v>26</v>
      </c>
      <c r="F172" s="19" t="s">
        <v>32</v>
      </c>
      <c r="G172" s="21" t="s">
        <v>1311</v>
      </c>
      <c r="H172" s="21" t="s">
        <v>24</v>
      </c>
      <c r="I172" s="21" t="s">
        <v>26</v>
      </c>
      <c r="J172" s="21" t="s">
        <v>24</v>
      </c>
      <c r="K172" s="21" t="s">
        <v>25</v>
      </c>
      <c r="L172" s="21" t="s">
        <v>24</v>
      </c>
      <c r="M172" s="0" t="n">
        <v>184</v>
      </c>
      <c r="N172" s="0" t="n">
        <v>11</v>
      </c>
      <c r="O172" s="21" t="s">
        <v>4050</v>
      </c>
      <c r="P172" s="21" t="s">
        <v>4321</v>
      </c>
      <c r="Q172" s="0" t="n">
        <v>1</v>
      </c>
      <c r="R172" s="21" t="s">
        <v>69</v>
      </c>
      <c r="S172" s="0" t="n">
        <v>11</v>
      </c>
      <c r="T172" s="21" t="s">
        <v>4050</v>
      </c>
      <c r="U172" s="22" t="b">
        <f aca="false">FALSE()</f>
        <v>0</v>
      </c>
      <c r="V172" s="0" t="n">
        <v>0.76</v>
      </c>
      <c r="W172" s="0" t="n">
        <v>0.96</v>
      </c>
      <c r="X172" s="0" t="n">
        <v>8.17</v>
      </c>
      <c r="Y172" s="0" t="n">
        <v>318.6</v>
      </c>
      <c r="Z172" s="0" t="n">
        <v>8</v>
      </c>
      <c r="AA172" s="0" t="n">
        <v>-1.21</v>
      </c>
      <c r="AB172" s="0" t="n">
        <v>0.15</v>
      </c>
      <c r="AC172" s="22" t="b">
        <f aca="false">FALSE()</f>
        <v>0</v>
      </c>
      <c r="AD172" s="0" t="n">
        <v>1.94</v>
      </c>
      <c r="AE172" s="0" t="n">
        <v>0.35</v>
      </c>
      <c r="AF172" s="0" t="n">
        <v>1.16</v>
      </c>
      <c r="AG172" s="22" t="b">
        <f aca="false">FALSE()</f>
        <v>0</v>
      </c>
      <c r="AH172" s="0" t="n">
        <v>1</v>
      </c>
    </row>
    <row r="173" customFormat="false" ht="15" hidden="false" customHeight="false" outlineLevel="0" collapsed="false">
      <c r="A173" s="0" t="s">
        <v>418</v>
      </c>
      <c r="B173" s="0" t="s">
        <v>134</v>
      </c>
      <c r="C173" s="0" t="s">
        <v>3447</v>
      </c>
      <c r="D173" s="0" t="s">
        <v>3448</v>
      </c>
      <c r="E173" s="20" t="s">
        <v>25</v>
      </c>
      <c r="F173" s="20" t="s">
        <v>29</v>
      </c>
      <c r="G173" s="21" t="s">
        <v>63</v>
      </c>
      <c r="H173" s="21" t="s">
        <v>24</v>
      </c>
      <c r="I173" s="21" t="s">
        <v>24</v>
      </c>
      <c r="J173" s="21" t="s">
        <v>24</v>
      </c>
      <c r="K173" s="21" t="s">
        <v>25</v>
      </c>
      <c r="L173" s="21" t="s">
        <v>24</v>
      </c>
      <c r="M173" s="0" t="n">
        <v>184</v>
      </c>
      <c r="N173" s="0" t="n">
        <v>0</v>
      </c>
      <c r="Q173" s="0" t="n">
        <v>0</v>
      </c>
      <c r="S173" s="0" t="n">
        <v>0</v>
      </c>
      <c r="U173" s="22" t="b">
        <f aca="false">FALSE()</f>
        <v>0</v>
      </c>
      <c r="V173" s="0" t="n">
        <v>0.79</v>
      </c>
      <c r="W173" s="0" t="n">
        <v>0.92</v>
      </c>
      <c r="X173" s="0" t="n">
        <v>7.61</v>
      </c>
      <c r="Y173" s="0" t="n">
        <v>301.99</v>
      </c>
      <c r="Z173" s="0" t="n">
        <v>9.08</v>
      </c>
      <c r="AA173" s="0" t="n">
        <v>-0.58</v>
      </c>
      <c r="AB173" s="0" t="n">
        <v>1.3</v>
      </c>
      <c r="AC173" s="22" t="b">
        <f aca="false">FALSE()</f>
        <v>0</v>
      </c>
      <c r="AD173" s="0" t="n">
        <v>11.54</v>
      </c>
      <c r="AE173" s="0" t="n">
        <v>0.74</v>
      </c>
      <c r="AF173" s="0" t="n">
        <v>6.13</v>
      </c>
      <c r="AG173" s="22" t="b">
        <f aca="false">TRUE()</f>
        <v>1</v>
      </c>
      <c r="AH173" s="0" t="n">
        <v>1</v>
      </c>
    </row>
    <row r="174" customFormat="false" ht="15" hidden="false" customHeight="false" outlineLevel="0" collapsed="false">
      <c r="A174" s="0" t="s">
        <v>418</v>
      </c>
      <c r="B174" s="0" t="s">
        <v>3459</v>
      </c>
      <c r="C174" s="0" t="s">
        <v>3450</v>
      </c>
      <c r="D174" s="0" t="s">
        <v>3457</v>
      </c>
      <c r="E174" s="20" t="s">
        <v>25</v>
      </c>
      <c r="F174" s="23" t="s">
        <v>30</v>
      </c>
      <c r="G174" s="21" t="s">
        <v>283</v>
      </c>
      <c r="H174" s="21" t="s">
        <v>24</v>
      </c>
      <c r="I174" s="21" t="s">
        <v>25</v>
      </c>
      <c r="J174" s="21" t="s">
        <v>24</v>
      </c>
      <c r="K174" s="21" t="s">
        <v>24</v>
      </c>
      <c r="L174" s="21" t="s">
        <v>24</v>
      </c>
      <c r="M174" s="0" t="n">
        <v>182</v>
      </c>
      <c r="N174" s="0" t="n">
        <v>1</v>
      </c>
      <c r="O174" s="21" t="s">
        <v>69</v>
      </c>
      <c r="P174" s="21" t="s">
        <v>4275</v>
      </c>
      <c r="Q174" s="0" t="n">
        <v>1</v>
      </c>
      <c r="R174" s="21" t="s">
        <v>69</v>
      </c>
      <c r="S174" s="0" t="n">
        <v>1</v>
      </c>
      <c r="T174" s="21" t="s">
        <v>69</v>
      </c>
      <c r="U174" s="22" t="b">
        <f aca="false">TRUE()</f>
        <v>1</v>
      </c>
      <c r="V174" s="0" t="n">
        <v>0.78</v>
      </c>
      <c r="W174" s="0" t="n">
        <v>0.28</v>
      </c>
      <c r="X174" s="0" t="n">
        <v>7.45</v>
      </c>
      <c r="Y174" s="0" t="n">
        <v>424.79</v>
      </c>
      <c r="Z174" s="0" t="n">
        <v>10.75</v>
      </c>
      <c r="AA174" s="0" t="n">
        <v>14.9</v>
      </c>
      <c r="AB174" s="0" t="n">
        <v>7.25</v>
      </c>
      <c r="AC174" s="22" t="b">
        <f aca="false">FALSE()</f>
        <v>0</v>
      </c>
      <c r="AD174" s="0" t="n">
        <v>3.59</v>
      </c>
      <c r="AE174" s="0" t="n">
        <v>0.88</v>
      </c>
      <c r="AF174" s="0" t="n">
        <v>1.88</v>
      </c>
      <c r="AG174" s="22" t="b">
        <f aca="false">FALSE()</f>
        <v>0</v>
      </c>
      <c r="AH174" s="0" t="n">
        <v>1</v>
      </c>
    </row>
    <row r="175" customFormat="false" ht="15" hidden="false" customHeight="false" outlineLevel="0" collapsed="false">
      <c r="A175" s="0" t="s">
        <v>418</v>
      </c>
      <c r="B175" s="0" t="s">
        <v>3459</v>
      </c>
      <c r="C175" s="0" t="s">
        <v>3450</v>
      </c>
      <c r="D175" s="0" t="s">
        <v>3448</v>
      </c>
      <c r="E175" s="20" t="s">
        <v>25</v>
      </c>
      <c r="F175" s="23" t="s">
        <v>30</v>
      </c>
      <c r="G175" s="21" t="s">
        <v>283</v>
      </c>
      <c r="H175" s="21" t="s">
        <v>24</v>
      </c>
      <c r="I175" s="21" t="s">
        <v>25</v>
      </c>
      <c r="J175" s="21" t="s">
        <v>24</v>
      </c>
      <c r="K175" s="21" t="s">
        <v>24</v>
      </c>
      <c r="L175" s="21" t="s">
        <v>24</v>
      </c>
      <c r="M175" s="0" t="n">
        <v>182</v>
      </c>
      <c r="N175" s="0" t="n">
        <v>1</v>
      </c>
      <c r="O175" s="21" t="s">
        <v>69</v>
      </c>
      <c r="P175" s="21" t="s">
        <v>4275</v>
      </c>
      <c r="Q175" s="0" t="n">
        <v>1</v>
      </c>
      <c r="R175" s="21" t="s">
        <v>69</v>
      </c>
      <c r="S175" s="0" t="n">
        <v>1</v>
      </c>
      <c r="T175" s="21" t="s">
        <v>69</v>
      </c>
      <c r="U175" s="22" t="b">
        <f aca="false">TRUE()</f>
        <v>1</v>
      </c>
      <c r="V175" s="0" t="n">
        <v>0.77</v>
      </c>
      <c r="W175" s="0" t="n">
        <v>0.96</v>
      </c>
      <c r="X175" s="0" t="n">
        <v>7.65</v>
      </c>
      <c r="Y175" s="0" t="n">
        <v>308.85</v>
      </c>
      <c r="Z175" s="0" t="n">
        <v>10.75</v>
      </c>
      <c r="AA175" s="0" t="n">
        <v>4.95</v>
      </c>
      <c r="AB175" s="0" t="n">
        <v>7.46</v>
      </c>
      <c r="AC175" s="22" t="b">
        <f aca="false">FALSE()</f>
        <v>0</v>
      </c>
      <c r="AD175" s="0" t="n">
        <v>2.98</v>
      </c>
      <c r="AE175" s="0" t="n">
        <v>1.75</v>
      </c>
      <c r="AF175" s="0" t="n">
        <v>4.4</v>
      </c>
      <c r="AG175" s="22" t="b">
        <f aca="false">FALSE()</f>
        <v>0</v>
      </c>
      <c r="AH175" s="0" t="n">
        <v>1</v>
      </c>
    </row>
    <row r="176" customFormat="false" ht="15" hidden="false" customHeight="false" outlineLevel="0" collapsed="false">
      <c r="A176" s="0" t="s">
        <v>418</v>
      </c>
      <c r="B176" s="0" t="s">
        <v>3459</v>
      </c>
      <c r="C176" s="0" t="s">
        <v>3447</v>
      </c>
      <c r="D176" s="0" t="s">
        <v>3457</v>
      </c>
      <c r="E176" s="18" t="s">
        <v>24</v>
      </c>
      <c r="F176" s="23" t="s">
        <v>30</v>
      </c>
      <c r="G176" s="21" t="s">
        <v>30</v>
      </c>
      <c r="H176" s="21" t="s">
        <v>24</v>
      </c>
      <c r="I176" s="21" t="s">
        <v>24</v>
      </c>
      <c r="J176" s="21" t="s">
        <v>24</v>
      </c>
      <c r="K176" s="21" t="s">
        <v>24</v>
      </c>
      <c r="L176" s="21" t="s">
        <v>24</v>
      </c>
      <c r="M176" s="0" t="n">
        <v>182</v>
      </c>
      <c r="N176" s="0" t="n">
        <v>3</v>
      </c>
      <c r="O176" s="21" t="s">
        <v>3536</v>
      </c>
      <c r="P176" s="21" t="s">
        <v>4322</v>
      </c>
      <c r="Q176" s="0" t="n">
        <v>0</v>
      </c>
      <c r="S176" s="0" t="n">
        <v>3</v>
      </c>
      <c r="T176" s="21" t="s">
        <v>3536</v>
      </c>
      <c r="U176" s="22" t="b">
        <f aca="false">TRUE()</f>
        <v>1</v>
      </c>
      <c r="V176" s="0" t="n">
        <v>0.82</v>
      </c>
      <c r="W176" s="0" t="n">
        <v>0.36</v>
      </c>
      <c r="X176" s="0" t="n">
        <v>7.71</v>
      </c>
      <c r="Y176" s="0" t="n">
        <v>373.88</v>
      </c>
      <c r="Z176" s="0" t="n">
        <v>8</v>
      </c>
      <c r="AA176" s="0" t="n">
        <v>2.75</v>
      </c>
      <c r="AB176" s="0" t="n">
        <v>7.25</v>
      </c>
      <c r="AC176" s="22" t="b">
        <f aca="false">FALSE()</f>
        <v>0</v>
      </c>
      <c r="AD176" s="0" t="n">
        <v>3.35</v>
      </c>
      <c r="AE176" s="0" t="n">
        <v>0.77</v>
      </c>
      <c r="AF176" s="0" t="n">
        <v>2.79</v>
      </c>
      <c r="AG176" s="22" t="b">
        <f aca="false">FALSE()</f>
        <v>0</v>
      </c>
      <c r="AH176" s="0" t="n">
        <v>1</v>
      </c>
    </row>
    <row r="177" customFormat="false" ht="15" hidden="false" customHeight="false" outlineLevel="0" collapsed="false">
      <c r="A177" s="0" t="s">
        <v>418</v>
      </c>
      <c r="B177" s="0" t="s">
        <v>3459</v>
      </c>
      <c r="C177" s="0" t="s">
        <v>3447</v>
      </c>
      <c r="D177" s="0" t="s">
        <v>3448</v>
      </c>
      <c r="E177" s="18" t="s">
        <v>24</v>
      </c>
      <c r="F177" s="23" t="s">
        <v>30</v>
      </c>
      <c r="G177" s="21" t="s">
        <v>30</v>
      </c>
      <c r="H177" s="21" t="s">
        <v>24</v>
      </c>
      <c r="I177" s="21" t="s">
        <v>24</v>
      </c>
      <c r="J177" s="21" t="s">
        <v>24</v>
      </c>
      <c r="K177" s="21" t="s">
        <v>24</v>
      </c>
      <c r="L177" s="21" t="s">
        <v>24</v>
      </c>
      <c r="M177" s="0" t="n">
        <v>183</v>
      </c>
      <c r="N177" s="0" t="n">
        <v>2</v>
      </c>
      <c r="O177" s="21" t="s">
        <v>3498</v>
      </c>
      <c r="P177" s="21" t="s">
        <v>4323</v>
      </c>
      <c r="Q177" s="0" t="n">
        <v>0</v>
      </c>
      <c r="S177" s="0" t="n">
        <v>2</v>
      </c>
      <c r="T177" s="21" t="s">
        <v>3498</v>
      </c>
      <c r="U177" s="22" t="b">
        <f aca="false">TRUE()</f>
        <v>1</v>
      </c>
      <c r="V177" s="0" t="n">
        <v>0.85</v>
      </c>
      <c r="W177" s="0" t="n">
        <v>0.36</v>
      </c>
      <c r="X177" s="0" t="n">
        <v>8.92</v>
      </c>
      <c r="Y177" s="0" t="n">
        <v>375.55</v>
      </c>
      <c r="Z177" s="0" t="n">
        <v>11</v>
      </c>
      <c r="AA177" s="0" t="n">
        <v>7.18</v>
      </c>
      <c r="AB177" s="0" t="n">
        <v>7.46</v>
      </c>
      <c r="AC177" s="22" t="b">
        <f aca="false">FALSE()</f>
        <v>0</v>
      </c>
      <c r="AD177" s="0" t="n">
        <v>5.4</v>
      </c>
      <c r="AE177" s="0" t="n">
        <v>0.6</v>
      </c>
      <c r="AF177" s="0" t="n">
        <v>6.48</v>
      </c>
      <c r="AG177" s="22" t="b">
        <f aca="false">FALSE()</f>
        <v>0</v>
      </c>
      <c r="AH177" s="0" t="n">
        <v>1</v>
      </c>
    </row>
    <row r="178" customFormat="false" ht="15" hidden="false" customHeight="false" outlineLevel="0" collapsed="false">
      <c r="A178" s="0" t="s">
        <v>430</v>
      </c>
      <c r="B178" s="0" t="s">
        <v>134</v>
      </c>
      <c r="C178" s="0" t="s">
        <v>3450</v>
      </c>
      <c r="D178" s="0" t="s">
        <v>3457</v>
      </c>
      <c r="E178" s="20" t="s">
        <v>25</v>
      </c>
      <c r="F178" s="23" t="s">
        <v>30</v>
      </c>
      <c r="G178" s="21" t="s">
        <v>157</v>
      </c>
      <c r="H178" s="21" t="s">
        <v>24</v>
      </c>
      <c r="I178" s="21" t="s">
        <v>25</v>
      </c>
      <c r="J178" s="21" t="s">
        <v>24</v>
      </c>
      <c r="K178" s="21" t="s">
        <v>25</v>
      </c>
      <c r="L178" s="21" t="s">
        <v>24</v>
      </c>
      <c r="M178" s="0" t="n">
        <v>201</v>
      </c>
      <c r="N178" s="0" t="n">
        <v>5</v>
      </c>
      <c r="O178" s="21" t="s">
        <v>3812</v>
      </c>
      <c r="P178" s="21" t="s">
        <v>4324</v>
      </c>
      <c r="Q178" s="0" t="n">
        <v>1</v>
      </c>
      <c r="R178" s="21" t="s">
        <v>69</v>
      </c>
      <c r="S178" s="0" t="n">
        <v>5</v>
      </c>
      <c r="T178" s="21" t="s">
        <v>3812</v>
      </c>
      <c r="U178" s="22" t="b">
        <f aca="false">TRUE()</f>
        <v>1</v>
      </c>
      <c r="V178" s="0" t="n">
        <v>0.75</v>
      </c>
      <c r="W178" s="0" t="n">
        <v>0.32</v>
      </c>
      <c r="X178" s="0" t="n">
        <v>7.32</v>
      </c>
      <c r="Y178" s="0" t="n">
        <v>318.73</v>
      </c>
      <c r="Z178" s="0" t="n">
        <v>8.42</v>
      </c>
      <c r="AA178" s="0" t="n">
        <v>4.03</v>
      </c>
      <c r="AB178" s="0" t="n">
        <v>1.07</v>
      </c>
      <c r="AC178" s="22" t="b">
        <f aca="false">FALSE()</f>
        <v>0</v>
      </c>
      <c r="AD178" s="0" t="n">
        <v>22.07</v>
      </c>
      <c r="AE178" s="0" t="n">
        <v>10.35</v>
      </c>
      <c r="AF178" s="0" t="n">
        <v>18.53</v>
      </c>
      <c r="AG178" s="22" t="b">
        <f aca="false">TRUE()</f>
        <v>1</v>
      </c>
      <c r="AH178" s="0" t="n">
        <v>1</v>
      </c>
    </row>
    <row r="179" customFormat="false" ht="15" hidden="false" customHeight="false" outlineLevel="0" collapsed="false">
      <c r="A179" s="0" t="s">
        <v>430</v>
      </c>
      <c r="B179" s="0" t="s">
        <v>134</v>
      </c>
      <c r="C179" s="0" t="s">
        <v>3450</v>
      </c>
      <c r="D179" s="0" t="s">
        <v>3448</v>
      </c>
      <c r="E179" s="20" t="s">
        <v>25</v>
      </c>
      <c r="F179" s="23" t="s">
        <v>30</v>
      </c>
      <c r="G179" s="21" t="s">
        <v>357</v>
      </c>
      <c r="H179" s="21" t="s">
        <v>24</v>
      </c>
      <c r="I179" s="21" t="s">
        <v>25</v>
      </c>
      <c r="J179" s="21" t="s">
        <v>24</v>
      </c>
      <c r="K179" s="21" t="s">
        <v>25</v>
      </c>
      <c r="L179" s="21" t="s">
        <v>24</v>
      </c>
      <c r="M179" s="0" t="n">
        <v>184</v>
      </c>
      <c r="N179" s="0" t="n">
        <v>3</v>
      </c>
      <c r="O179" s="21" t="s">
        <v>3649</v>
      </c>
      <c r="P179" s="21" t="s">
        <v>4242</v>
      </c>
      <c r="Q179" s="0" t="n">
        <v>1</v>
      </c>
      <c r="R179" s="21" t="s">
        <v>69</v>
      </c>
      <c r="S179" s="0" t="n">
        <v>3</v>
      </c>
      <c r="T179" s="21" t="s">
        <v>3649</v>
      </c>
      <c r="U179" s="22" t="b">
        <f aca="false">TRUE()</f>
        <v>1</v>
      </c>
      <c r="V179" s="0" t="n">
        <v>0.74</v>
      </c>
      <c r="W179" s="0" t="n">
        <v>0.32</v>
      </c>
      <c r="X179" s="0" t="n">
        <v>7.46</v>
      </c>
      <c r="Y179" s="0" t="n">
        <v>402.57</v>
      </c>
      <c r="Z179" s="0" t="n">
        <v>8.25</v>
      </c>
      <c r="AA179" s="0" t="n">
        <v>2.67</v>
      </c>
      <c r="AB179" s="0" t="n">
        <v>1.38</v>
      </c>
      <c r="AC179" s="22" t="b">
        <f aca="false">TRUE()</f>
        <v>1</v>
      </c>
      <c r="AD179" s="0" t="n">
        <v>9.9</v>
      </c>
      <c r="AE179" s="0" t="n">
        <v>0.7</v>
      </c>
      <c r="AF179" s="0" t="n">
        <v>7.45</v>
      </c>
      <c r="AG179" s="22" t="b">
        <f aca="false">FALSE()</f>
        <v>0</v>
      </c>
      <c r="AH179" s="0" t="n">
        <v>1</v>
      </c>
    </row>
    <row r="180" customFormat="false" ht="15" hidden="false" customHeight="false" outlineLevel="0" collapsed="false">
      <c r="A180" s="0" t="s">
        <v>430</v>
      </c>
      <c r="B180" s="0" t="s">
        <v>134</v>
      </c>
      <c r="C180" s="0" t="s">
        <v>3447</v>
      </c>
      <c r="D180" s="0" t="s">
        <v>3457</v>
      </c>
      <c r="E180" s="19" t="s">
        <v>26</v>
      </c>
      <c r="F180" s="19" t="s">
        <v>32</v>
      </c>
      <c r="G180" s="21" t="s">
        <v>3885</v>
      </c>
      <c r="H180" s="21" t="s">
        <v>24</v>
      </c>
      <c r="I180" s="21" t="s">
        <v>26</v>
      </c>
      <c r="J180" s="21" t="s">
        <v>24</v>
      </c>
      <c r="K180" s="21" t="s">
        <v>25</v>
      </c>
      <c r="L180" s="21" t="s">
        <v>24</v>
      </c>
      <c r="M180" s="0" t="n">
        <v>187</v>
      </c>
      <c r="N180" s="0" t="n">
        <v>8</v>
      </c>
      <c r="O180" s="21" t="s">
        <v>3982</v>
      </c>
      <c r="P180" s="21" t="s">
        <v>4325</v>
      </c>
      <c r="Q180" s="0" t="n">
        <v>0</v>
      </c>
      <c r="S180" s="0" t="n">
        <v>8</v>
      </c>
      <c r="T180" s="21" t="s">
        <v>3982</v>
      </c>
      <c r="U180" s="22" t="b">
        <f aca="false">FALSE()</f>
        <v>0</v>
      </c>
      <c r="V180" s="0" t="n">
        <v>0.73</v>
      </c>
      <c r="W180" s="0" t="n">
        <v>0.4</v>
      </c>
      <c r="X180" s="0" t="n">
        <v>8.31</v>
      </c>
      <c r="Y180" s="0" t="n">
        <v>306.8</v>
      </c>
      <c r="Z180" s="0" t="n">
        <v>8</v>
      </c>
      <c r="AA180" s="0" t="n">
        <v>2.86</v>
      </c>
      <c r="AB180" s="0" t="n">
        <v>1.07</v>
      </c>
      <c r="AC180" s="22" t="b">
        <f aca="false">FALSE()</f>
        <v>0</v>
      </c>
      <c r="AD180" s="0" t="n">
        <v>19.58</v>
      </c>
      <c r="AE180" s="0" t="n">
        <v>8.08</v>
      </c>
      <c r="AF180" s="0" t="n">
        <v>16.09</v>
      </c>
      <c r="AG180" s="22" t="b">
        <f aca="false">TRUE()</f>
        <v>1</v>
      </c>
      <c r="AH180" s="0" t="n">
        <v>1</v>
      </c>
    </row>
    <row r="181" customFormat="false" ht="15" hidden="false" customHeight="false" outlineLevel="0" collapsed="false">
      <c r="A181" s="0" t="s">
        <v>430</v>
      </c>
      <c r="B181" s="0" t="s">
        <v>134</v>
      </c>
      <c r="C181" s="0" t="s">
        <v>3447</v>
      </c>
      <c r="D181" s="0" t="s">
        <v>3448</v>
      </c>
      <c r="E181" s="19" t="s">
        <v>26</v>
      </c>
      <c r="F181" s="19" t="s">
        <v>32</v>
      </c>
      <c r="G181" s="21" t="s">
        <v>3885</v>
      </c>
      <c r="H181" s="21" t="s">
        <v>24</v>
      </c>
      <c r="I181" s="21" t="s">
        <v>26</v>
      </c>
      <c r="J181" s="21" t="s">
        <v>24</v>
      </c>
      <c r="K181" s="21" t="s">
        <v>25</v>
      </c>
      <c r="L181" s="21" t="s">
        <v>24</v>
      </c>
      <c r="M181" s="0" t="n">
        <v>185</v>
      </c>
      <c r="N181" s="0" t="n">
        <v>14</v>
      </c>
      <c r="O181" s="21" t="s">
        <v>3959</v>
      </c>
      <c r="P181" s="21" t="s">
        <v>4326</v>
      </c>
      <c r="Q181" s="0" t="n">
        <v>0</v>
      </c>
      <c r="S181" s="0" t="n">
        <v>14</v>
      </c>
      <c r="T181" s="21" t="s">
        <v>3959</v>
      </c>
      <c r="U181" s="22" t="b">
        <f aca="false">FALSE()</f>
        <v>0</v>
      </c>
      <c r="V181" s="0" t="n">
        <v>0.74</v>
      </c>
      <c r="W181" s="0" t="n">
        <v>0.8</v>
      </c>
      <c r="X181" s="0" t="n">
        <v>8.71</v>
      </c>
      <c r="Y181" s="0" t="n">
        <v>318.44</v>
      </c>
      <c r="Z181" s="0" t="n">
        <v>8.33</v>
      </c>
      <c r="AA181" s="0" t="n">
        <v>2.44</v>
      </c>
      <c r="AB181" s="0" t="n">
        <v>1.38</v>
      </c>
      <c r="AC181" s="22" t="b">
        <f aca="false">FALSE()</f>
        <v>0</v>
      </c>
      <c r="AD181" s="0" t="n">
        <v>7.05</v>
      </c>
      <c r="AE181" s="0" t="n">
        <v>0.55</v>
      </c>
      <c r="AF181" s="0" t="n">
        <v>5.33</v>
      </c>
      <c r="AG181" s="22" t="b">
        <f aca="false">FALSE()</f>
        <v>0</v>
      </c>
      <c r="AH181" s="0" t="n">
        <v>1</v>
      </c>
    </row>
    <row r="182" customFormat="false" ht="15" hidden="false" customHeight="false" outlineLevel="0" collapsed="false">
      <c r="A182" s="0" t="s">
        <v>430</v>
      </c>
      <c r="B182" s="0" t="s">
        <v>3459</v>
      </c>
      <c r="C182" s="0" t="s">
        <v>3450</v>
      </c>
      <c r="D182" s="0" t="s">
        <v>3457</v>
      </c>
      <c r="E182" s="20" t="s">
        <v>25</v>
      </c>
      <c r="F182" s="23" t="s">
        <v>30</v>
      </c>
      <c r="G182" s="21" t="s">
        <v>163</v>
      </c>
      <c r="H182" s="21" t="s">
        <v>24</v>
      </c>
      <c r="I182" s="21" t="s">
        <v>25</v>
      </c>
      <c r="J182" s="21" t="s">
        <v>24</v>
      </c>
      <c r="K182" s="21" t="s">
        <v>25</v>
      </c>
      <c r="L182" s="21" t="s">
        <v>24</v>
      </c>
      <c r="M182" s="0" t="n">
        <v>185</v>
      </c>
      <c r="N182" s="0" t="n">
        <v>4</v>
      </c>
      <c r="O182" s="21" t="s">
        <v>3734</v>
      </c>
      <c r="P182" s="21" t="s">
        <v>4327</v>
      </c>
      <c r="Q182" s="0" t="n">
        <v>1</v>
      </c>
      <c r="R182" s="21" t="s">
        <v>69</v>
      </c>
      <c r="S182" s="0" t="n">
        <v>4</v>
      </c>
      <c r="T182" s="21" t="s">
        <v>3734</v>
      </c>
      <c r="U182" s="22" t="b">
        <f aca="false">TRUE()</f>
        <v>1</v>
      </c>
      <c r="V182" s="0" t="n">
        <v>0.7</v>
      </c>
      <c r="W182" s="0" t="n">
        <v>0.12</v>
      </c>
      <c r="X182" s="0" t="n">
        <v>7.47</v>
      </c>
      <c r="Y182" s="0" t="n">
        <v>594.29</v>
      </c>
      <c r="Z182" s="0" t="n">
        <v>8.42</v>
      </c>
      <c r="AA182" s="0" t="n">
        <v>3.19</v>
      </c>
      <c r="AB182" s="0" t="n">
        <v>0.63</v>
      </c>
      <c r="AC182" s="22" t="b">
        <f aca="false">FALSE()</f>
        <v>0</v>
      </c>
      <c r="AD182" s="0" t="n">
        <v>20.26</v>
      </c>
      <c r="AE182" s="0" t="n">
        <v>10.94</v>
      </c>
      <c r="AF182" s="0" t="n">
        <v>19.81</v>
      </c>
      <c r="AG182" s="22" t="b">
        <f aca="false">TRUE()</f>
        <v>1</v>
      </c>
      <c r="AH182" s="0" t="n">
        <v>1</v>
      </c>
    </row>
    <row r="183" customFormat="false" ht="15" hidden="false" customHeight="false" outlineLevel="0" collapsed="false">
      <c r="A183" s="0" t="s">
        <v>430</v>
      </c>
      <c r="B183" s="0" t="s">
        <v>3459</v>
      </c>
      <c r="C183" s="0" t="s">
        <v>3450</v>
      </c>
      <c r="D183" s="0" t="s">
        <v>3448</v>
      </c>
      <c r="E183" s="20" t="s">
        <v>25</v>
      </c>
      <c r="F183" s="23" t="s">
        <v>30</v>
      </c>
      <c r="G183" s="21" t="s">
        <v>197</v>
      </c>
      <c r="H183" s="21" t="s">
        <v>24</v>
      </c>
      <c r="I183" s="21" t="s">
        <v>25</v>
      </c>
      <c r="J183" s="21" t="s">
        <v>24</v>
      </c>
      <c r="K183" s="21" t="s">
        <v>25</v>
      </c>
      <c r="L183" s="21" t="s">
        <v>24</v>
      </c>
      <c r="M183" s="0" t="n">
        <v>184</v>
      </c>
      <c r="N183" s="0" t="n">
        <v>5</v>
      </c>
      <c r="O183" s="21" t="s">
        <v>3816</v>
      </c>
      <c r="P183" s="21" t="s">
        <v>4328</v>
      </c>
      <c r="Q183" s="0" t="n">
        <v>1</v>
      </c>
      <c r="R183" s="21" t="s">
        <v>69</v>
      </c>
      <c r="S183" s="0" t="n">
        <v>5</v>
      </c>
      <c r="T183" s="21" t="s">
        <v>3816</v>
      </c>
      <c r="U183" s="22" t="b">
        <f aca="false">TRUE()</f>
        <v>1</v>
      </c>
      <c r="V183" s="0" t="n">
        <v>0.74</v>
      </c>
      <c r="W183" s="0" t="n">
        <v>0.44</v>
      </c>
      <c r="X183" s="0" t="n">
        <v>7.69</v>
      </c>
      <c r="Y183" s="0" t="n">
        <v>345.35</v>
      </c>
      <c r="Z183" s="0" t="n">
        <v>8</v>
      </c>
      <c r="AA183" s="0" t="n">
        <v>0.1</v>
      </c>
      <c r="AB183" s="0" t="n">
        <v>0.27</v>
      </c>
      <c r="AC183" s="22" t="b">
        <f aca="false">TRUE()</f>
        <v>1</v>
      </c>
      <c r="AD183" s="0" t="n">
        <v>18.35</v>
      </c>
      <c r="AE183" s="0" t="n">
        <v>7.16</v>
      </c>
      <c r="AF183" s="0" t="n">
        <v>14.32</v>
      </c>
      <c r="AG183" s="22" t="b">
        <f aca="false">TRUE()</f>
        <v>1</v>
      </c>
      <c r="AH183" s="0" t="n">
        <v>1</v>
      </c>
    </row>
    <row r="184" customFormat="false" ht="15" hidden="false" customHeight="false" outlineLevel="0" collapsed="false">
      <c r="A184" s="0" t="s">
        <v>430</v>
      </c>
      <c r="B184" s="0" t="s">
        <v>3459</v>
      </c>
      <c r="C184" s="0" t="s">
        <v>3447</v>
      </c>
      <c r="D184" s="0" t="s">
        <v>3457</v>
      </c>
      <c r="E184" s="19" t="s">
        <v>26</v>
      </c>
      <c r="F184" s="19" t="s">
        <v>32</v>
      </c>
      <c r="G184" s="21" t="s">
        <v>1311</v>
      </c>
      <c r="H184" s="21" t="s">
        <v>24</v>
      </c>
      <c r="I184" s="21" t="s">
        <v>26</v>
      </c>
      <c r="J184" s="21" t="s">
        <v>24</v>
      </c>
      <c r="K184" s="21" t="s">
        <v>25</v>
      </c>
      <c r="L184" s="21" t="s">
        <v>24</v>
      </c>
      <c r="M184" s="0" t="n">
        <v>184</v>
      </c>
      <c r="N184" s="0" t="n">
        <v>16</v>
      </c>
      <c r="O184" s="21" t="s">
        <v>4145</v>
      </c>
      <c r="P184" s="21" t="s">
        <v>4329</v>
      </c>
      <c r="Q184" s="0" t="n">
        <v>1</v>
      </c>
      <c r="R184" s="21" t="s">
        <v>69</v>
      </c>
      <c r="S184" s="0" t="n">
        <v>16</v>
      </c>
      <c r="T184" s="21" t="s">
        <v>4145</v>
      </c>
      <c r="U184" s="22" t="b">
        <f aca="false">FALSE()</f>
        <v>0</v>
      </c>
      <c r="V184" s="0" t="n">
        <v>0.68</v>
      </c>
      <c r="W184" s="0" t="n">
        <v>0.52</v>
      </c>
      <c r="X184" s="0" t="n">
        <v>9.66</v>
      </c>
      <c r="Y184" s="0" t="n">
        <v>317.43</v>
      </c>
      <c r="Z184" s="0" t="n">
        <v>8.25</v>
      </c>
      <c r="AA184" s="0" t="n">
        <v>1.25</v>
      </c>
      <c r="AB184" s="0" t="n">
        <v>0.63</v>
      </c>
      <c r="AC184" s="22" t="b">
        <f aca="false">FALSE()</f>
        <v>0</v>
      </c>
      <c r="AD184" s="0" t="n">
        <v>15.47</v>
      </c>
      <c r="AE184" s="0" t="n">
        <v>5.17</v>
      </c>
      <c r="AF184" s="0" t="n">
        <v>14.31</v>
      </c>
      <c r="AG184" s="22" t="b">
        <f aca="false">TRUE()</f>
        <v>1</v>
      </c>
      <c r="AH184" s="0" t="n">
        <v>1</v>
      </c>
    </row>
    <row r="185" customFormat="false" ht="15" hidden="false" customHeight="false" outlineLevel="0" collapsed="false">
      <c r="A185" s="0" t="s">
        <v>430</v>
      </c>
      <c r="B185" s="0" t="s">
        <v>3459</v>
      </c>
      <c r="C185" s="0" t="s">
        <v>3447</v>
      </c>
      <c r="D185" s="0" t="s">
        <v>3448</v>
      </c>
      <c r="E185" s="19" t="s">
        <v>26</v>
      </c>
      <c r="F185" s="19" t="s">
        <v>32</v>
      </c>
      <c r="G185" s="21" t="s">
        <v>1311</v>
      </c>
      <c r="H185" s="21" t="s">
        <v>24</v>
      </c>
      <c r="I185" s="21" t="s">
        <v>26</v>
      </c>
      <c r="J185" s="21" t="s">
        <v>24</v>
      </c>
      <c r="K185" s="21" t="s">
        <v>25</v>
      </c>
      <c r="L185" s="21" t="s">
        <v>24</v>
      </c>
      <c r="M185" s="0" t="n">
        <v>184</v>
      </c>
      <c r="N185" s="0" t="n">
        <v>15</v>
      </c>
      <c r="O185" s="21" t="s">
        <v>4106</v>
      </c>
      <c r="P185" s="21" t="s">
        <v>4330</v>
      </c>
      <c r="Q185" s="0" t="n">
        <v>1</v>
      </c>
      <c r="R185" s="21" t="s">
        <v>69</v>
      </c>
      <c r="S185" s="0" t="n">
        <v>15</v>
      </c>
      <c r="T185" s="21" t="s">
        <v>4106</v>
      </c>
      <c r="U185" s="22" t="b">
        <f aca="false">FALSE()</f>
        <v>0</v>
      </c>
      <c r="V185" s="0" t="n">
        <v>0.72</v>
      </c>
      <c r="W185" s="0" t="n">
        <v>0.68</v>
      </c>
      <c r="X185" s="0" t="n">
        <v>10.57</v>
      </c>
      <c r="Y185" s="0" t="n">
        <v>318.48</v>
      </c>
      <c r="Z185" s="0" t="n">
        <v>8.25</v>
      </c>
      <c r="AA185" s="0" t="n">
        <v>-0.72</v>
      </c>
      <c r="AB185" s="0" t="n">
        <v>0.27</v>
      </c>
      <c r="AC185" s="22" t="b">
        <f aca="false">FALSE()</f>
        <v>0</v>
      </c>
      <c r="AD185" s="0" t="n">
        <v>13.13</v>
      </c>
      <c r="AE185" s="0" t="n">
        <v>3.84</v>
      </c>
      <c r="AF185" s="0" t="n">
        <v>11.72</v>
      </c>
      <c r="AG185" s="22" t="b">
        <f aca="false">TRUE()</f>
        <v>1</v>
      </c>
      <c r="AH185" s="0" t="n">
        <v>1</v>
      </c>
    </row>
    <row r="186" customFormat="false" ht="15" hidden="false" customHeight="false" outlineLevel="0" collapsed="false">
      <c r="A186" s="0" t="s">
        <v>437</v>
      </c>
      <c r="B186" s="0" t="s">
        <v>134</v>
      </c>
      <c r="C186" s="0" t="s">
        <v>3450</v>
      </c>
      <c r="D186" s="0" t="s">
        <v>3457</v>
      </c>
      <c r="E186" s="18" t="s">
        <v>24</v>
      </c>
      <c r="F186" s="18" t="s">
        <v>28</v>
      </c>
      <c r="H186" s="21" t="s">
        <v>24</v>
      </c>
      <c r="I186" s="21" t="s">
        <v>24</v>
      </c>
      <c r="J186" s="21" t="s">
        <v>24</v>
      </c>
      <c r="K186" s="21" t="s">
        <v>24</v>
      </c>
      <c r="L186" s="21" t="s">
        <v>24</v>
      </c>
      <c r="M186" s="0" t="n">
        <v>193</v>
      </c>
      <c r="N186" s="0" t="n">
        <v>0</v>
      </c>
      <c r="Q186" s="0" t="n">
        <v>0</v>
      </c>
      <c r="S186" s="0" t="n">
        <v>0</v>
      </c>
      <c r="U186" s="22" t="b">
        <f aca="false">FALSE()</f>
        <v>0</v>
      </c>
      <c r="V186" s="0" t="n">
        <v>0.67</v>
      </c>
      <c r="W186" s="0" t="n">
        <v>0.32</v>
      </c>
      <c r="X186" s="0" t="n">
        <v>7.27</v>
      </c>
      <c r="Y186" s="0" t="n">
        <v>422.49</v>
      </c>
      <c r="Z186" s="0" t="n">
        <v>10.67</v>
      </c>
      <c r="AA186" s="0" t="n">
        <v>15.76</v>
      </c>
      <c r="AB186" s="0" t="n">
        <v>1.63</v>
      </c>
      <c r="AC186" s="22" t="b">
        <f aca="false">FALSE()</f>
        <v>0</v>
      </c>
      <c r="AD186" s="0" t="n">
        <v>18.37</v>
      </c>
      <c r="AE186" s="0" t="n">
        <v>0.56</v>
      </c>
      <c r="AF186" s="0" t="n">
        <v>11.92</v>
      </c>
      <c r="AG186" s="22" t="b">
        <f aca="false">TRUE()</f>
        <v>1</v>
      </c>
      <c r="AH186" s="0" t="n">
        <v>1</v>
      </c>
    </row>
    <row r="187" customFormat="false" ht="15" hidden="false" customHeight="false" outlineLevel="0" collapsed="false">
      <c r="A187" s="0" t="s">
        <v>437</v>
      </c>
      <c r="B187" s="0" t="s">
        <v>134</v>
      </c>
      <c r="C187" s="0" t="s">
        <v>3450</v>
      </c>
      <c r="D187" s="0" t="s">
        <v>3448</v>
      </c>
      <c r="E187" s="20" t="s">
        <v>25</v>
      </c>
      <c r="F187" s="23" t="s">
        <v>30</v>
      </c>
      <c r="G187" s="21" t="s">
        <v>283</v>
      </c>
      <c r="H187" s="21" t="s">
        <v>24</v>
      </c>
      <c r="I187" s="21" t="s">
        <v>25</v>
      </c>
      <c r="J187" s="21" t="s">
        <v>24</v>
      </c>
      <c r="K187" s="21" t="s">
        <v>24</v>
      </c>
      <c r="L187" s="21" t="s">
        <v>24</v>
      </c>
      <c r="M187" s="0" t="n">
        <v>184</v>
      </c>
      <c r="N187" s="0" t="n">
        <v>1</v>
      </c>
      <c r="O187" s="21" t="s">
        <v>69</v>
      </c>
      <c r="P187" s="21" t="s">
        <v>4275</v>
      </c>
      <c r="Q187" s="0" t="n">
        <v>1</v>
      </c>
      <c r="R187" s="21" t="s">
        <v>69</v>
      </c>
      <c r="S187" s="0" t="n">
        <v>1</v>
      </c>
      <c r="T187" s="21" t="s">
        <v>69</v>
      </c>
      <c r="U187" s="22" t="b">
        <f aca="false">TRUE()</f>
        <v>1</v>
      </c>
      <c r="V187" s="0" t="n">
        <v>0.67</v>
      </c>
      <c r="W187" s="0" t="n">
        <v>0.4</v>
      </c>
      <c r="X187" s="0" t="n">
        <v>7.88</v>
      </c>
      <c r="Y187" s="0" t="n">
        <v>354.54</v>
      </c>
      <c r="Z187" s="0" t="n">
        <v>10.42</v>
      </c>
      <c r="AA187" s="0" t="n">
        <v>13.55</v>
      </c>
      <c r="AB187" s="0" t="n">
        <v>6.05</v>
      </c>
      <c r="AC187" s="22" t="b">
        <f aca="false">FALSE()</f>
        <v>0</v>
      </c>
      <c r="AD187" s="0" t="n">
        <v>16.17</v>
      </c>
      <c r="AE187" s="0" t="n">
        <v>0.23</v>
      </c>
      <c r="AF187" s="0" t="n">
        <v>10.64</v>
      </c>
      <c r="AG187" s="22" t="b">
        <f aca="false">TRUE()</f>
        <v>1</v>
      </c>
      <c r="AH187" s="0" t="n">
        <v>1</v>
      </c>
    </row>
    <row r="188" customFormat="false" ht="15" hidden="false" customHeight="false" outlineLevel="0" collapsed="false">
      <c r="A188" s="0" t="s">
        <v>437</v>
      </c>
      <c r="B188" s="0" t="s">
        <v>134</v>
      </c>
      <c r="C188" s="0" t="s">
        <v>3447</v>
      </c>
      <c r="D188" s="0" t="s">
        <v>3457</v>
      </c>
      <c r="E188" s="19" t="s">
        <v>26</v>
      </c>
      <c r="F188" s="19" t="s">
        <v>32</v>
      </c>
      <c r="G188" s="21" t="s">
        <v>529</v>
      </c>
      <c r="H188" s="21" t="s">
        <v>24</v>
      </c>
      <c r="I188" s="21" t="s">
        <v>26</v>
      </c>
      <c r="J188" s="21" t="s">
        <v>24</v>
      </c>
      <c r="K188" s="21" t="s">
        <v>24</v>
      </c>
      <c r="L188" s="21" t="s">
        <v>24</v>
      </c>
      <c r="M188" s="0" t="n">
        <v>188</v>
      </c>
      <c r="N188" s="0" t="n">
        <v>9</v>
      </c>
      <c r="O188" s="21" t="s">
        <v>4030</v>
      </c>
      <c r="P188" s="21" t="s">
        <v>4287</v>
      </c>
      <c r="Q188" s="0" t="n">
        <v>1</v>
      </c>
      <c r="R188" s="21" t="s">
        <v>69</v>
      </c>
      <c r="S188" s="0" t="n">
        <v>9</v>
      </c>
      <c r="T188" s="21" t="s">
        <v>4030</v>
      </c>
      <c r="U188" s="22" t="b">
        <f aca="false">FALSE()</f>
        <v>0</v>
      </c>
      <c r="V188" s="0" t="n">
        <v>0.74</v>
      </c>
      <c r="W188" s="0" t="n">
        <v>0.76</v>
      </c>
      <c r="X188" s="0" t="n">
        <v>7.74</v>
      </c>
      <c r="Y188" s="0" t="n">
        <v>328.9</v>
      </c>
      <c r="Z188" s="0" t="n">
        <v>9.92</v>
      </c>
      <c r="AA188" s="0" t="n">
        <v>-1.29</v>
      </c>
      <c r="AB188" s="0" t="n">
        <v>1.63</v>
      </c>
      <c r="AC188" s="22" t="b">
        <f aca="false">FALSE()</f>
        <v>0</v>
      </c>
      <c r="AD188" s="0" t="n">
        <v>9.48</v>
      </c>
      <c r="AE188" s="0" t="n">
        <v>0.58</v>
      </c>
      <c r="AF188" s="0" t="n">
        <v>6.09</v>
      </c>
      <c r="AG188" s="22" t="b">
        <f aca="false">FALSE()</f>
        <v>0</v>
      </c>
      <c r="AH188" s="0" t="n">
        <v>1</v>
      </c>
    </row>
    <row r="189" customFormat="false" ht="15" hidden="false" customHeight="false" outlineLevel="0" collapsed="false">
      <c r="A189" s="0" t="s">
        <v>437</v>
      </c>
      <c r="B189" s="0" t="s">
        <v>134</v>
      </c>
      <c r="C189" s="0" t="s">
        <v>3447</v>
      </c>
      <c r="D189" s="0" t="s">
        <v>3448</v>
      </c>
      <c r="E189" s="18" t="s">
        <v>24</v>
      </c>
      <c r="F189" s="23" t="s">
        <v>30</v>
      </c>
      <c r="G189" s="21" t="s">
        <v>30</v>
      </c>
      <c r="H189" s="21" t="s">
        <v>24</v>
      </c>
      <c r="I189" s="21" t="s">
        <v>24</v>
      </c>
      <c r="J189" s="21" t="s">
        <v>24</v>
      </c>
      <c r="K189" s="21" t="s">
        <v>24</v>
      </c>
      <c r="L189" s="21" t="s">
        <v>24</v>
      </c>
      <c r="M189" s="0" t="n">
        <v>182</v>
      </c>
      <c r="N189" s="0" t="n">
        <v>1</v>
      </c>
      <c r="O189" s="21" t="s">
        <v>3478</v>
      </c>
      <c r="P189" s="21" t="s">
        <v>4288</v>
      </c>
      <c r="Q189" s="0" t="n">
        <v>0</v>
      </c>
      <c r="S189" s="0" t="n">
        <v>1</v>
      </c>
      <c r="T189" s="21" t="s">
        <v>3478</v>
      </c>
      <c r="U189" s="22" t="b">
        <f aca="false">TRUE()</f>
        <v>1</v>
      </c>
      <c r="V189" s="0" t="n">
        <v>0.67</v>
      </c>
      <c r="W189" s="0" t="n">
        <v>0.36</v>
      </c>
      <c r="X189" s="0" t="n">
        <v>9.78</v>
      </c>
      <c r="Y189" s="0" t="n">
        <v>358.66</v>
      </c>
      <c r="Z189" s="0" t="n">
        <v>10.67</v>
      </c>
      <c r="AA189" s="0" t="n">
        <v>4.03</v>
      </c>
      <c r="AB189" s="0" t="n">
        <v>6.05</v>
      </c>
      <c r="AC189" s="22" t="b">
        <f aca="false">FALSE()</f>
        <v>0</v>
      </c>
      <c r="AD189" s="0" t="n">
        <v>10.92</v>
      </c>
      <c r="AE189" s="0" t="n">
        <v>0.3</v>
      </c>
      <c r="AF189" s="0" t="n">
        <v>6.83</v>
      </c>
      <c r="AG189" s="22" t="b">
        <f aca="false">TRUE()</f>
        <v>1</v>
      </c>
      <c r="AH189" s="0" t="n">
        <v>1</v>
      </c>
    </row>
    <row r="190" customFormat="false" ht="15" hidden="false" customHeight="false" outlineLevel="0" collapsed="false">
      <c r="A190" s="0" t="s">
        <v>437</v>
      </c>
      <c r="B190" s="0" t="s">
        <v>3459</v>
      </c>
      <c r="C190" s="0" t="s">
        <v>3450</v>
      </c>
      <c r="D190" s="0" t="s">
        <v>3457</v>
      </c>
      <c r="E190" s="20" t="s">
        <v>25</v>
      </c>
      <c r="F190" s="23" t="s">
        <v>30</v>
      </c>
      <c r="G190" s="21" t="s">
        <v>283</v>
      </c>
      <c r="H190" s="21" t="s">
        <v>24</v>
      </c>
      <c r="I190" s="21" t="s">
        <v>25</v>
      </c>
      <c r="J190" s="21" t="s">
        <v>24</v>
      </c>
      <c r="K190" s="21" t="s">
        <v>24</v>
      </c>
      <c r="L190" s="21" t="s">
        <v>24</v>
      </c>
      <c r="M190" s="0" t="n">
        <v>183</v>
      </c>
      <c r="N190" s="0" t="n">
        <v>3</v>
      </c>
      <c r="O190" s="21" t="s">
        <v>3664</v>
      </c>
      <c r="P190" s="21" t="s">
        <v>4331</v>
      </c>
      <c r="Q190" s="0" t="n">
        <v>1</v>
      </c>
      <c r="R190" s="21" t="s">
        <v>69</v>
      </c>
      <c r="S190" s="0" t="n">
        <v>3</v>
      </c>
      <c r="T190" s="21" t="s">
        <v>3664</v>
      </c>
      <c r="U190" s="22" t="b">
        <f aca="false">TRUE()</f>
        <v>1</v>
      </c>
      <c r="V190" s="0" t="n">
        <v>0.64</v>
      </c>
      <c r="W190" s="0" t="n">
        <v>0.2</v>
      </c>
      <c r="X190" s="0" t="n">
        <v>8.53</v>
      </c>
      <c r="Y190" s="0" t="n">
        <v>225.58</v>
      </c>
      <c r="Z190" s="0" t="n">
        <v>10.5</v>
      </c>
      <c r="AA190" s="0" t="n">
        <v>16.7</v>
      </c>
      <c r="AB190" s="0" t="n">
        <v>17.92</v>
      </c>
      <c r="AC190" s="22" t="b">
        <f aca="false">FALSE()</f>
        <v>0</v>
      </c>
      <c r="AD190" s="0" t="n">
        <v>13.68</v>
      </c>
      <c r="AE190" s="0" t="n">
        <v>5.77</v>
      </c>
      <c r="AF190" s="0" t="n">
        <v>14.35</v>
      </c>
      <c r="AG190" s="22" t="b">
        <f aca="false">TRUE()</f>
        <v>1</v>
      </c>
      <c r="AH190" s="0" t="n">
        <v>1</v>
      </c>
    </row>
    <row r="191" customFormat="false" ht="15" hidden="false" customHeight="false" outlineLevel="0" collapsed="false">
      <c r="A191" s="0" t="s">
        <v>437</v>
      </c>
      <c r="B191" s="0" t="s">
        <v>3459</v>
      </c>
      <c r="C191" s="0" t="s">
        <v>3450</v>
      </c>
      <c r="D191" s="0" t="s">
        <v>3448</v>
      </c>
      <c r="E191" s="20" t="s">
        <v>25</v>
      </c>
      <c r="F191" s="23" t="s">
        <v>30</v>
      </c>
      <c r="G191" s="21" t="s">
        <v>283</v>
      </c>
      <c r="H191" s="21" t="s">
        <v>24</v>
      </c>
      <c r="I191" s="21" t="s">
        <v>25</v>
      </c>
      <c r="J191" s="21" t="s">
        <v>24</v>
      </c>
      <c r="K191" s="21" t="s">
        <v>24</v>
      </c>
      <c r="L191" s="21" t="s">
        <v>24</v>
      </c>
      <c r="M191" s="0" t="n">
        <v>183</v>
      </c>
      <c r="N191" s="0" t="n">
        <v>5</v>
      </c>
      <c r="O191" s="21" t="s">
        <v>3846</v>
      </c>
      <c r="P191" s="21" t="s">
        <v>4332</v>
      </c>
      <c r="Q191" s="0" t="n">
        <v>1</v>
      </c>
      <c r="R191" s="21" t="s">
        <v>69</v>
      </c>
      <c r="S191" s="0" t="n">
        <v>5</v>
      </c>
      <c r="T191" s="21" t="s">
        <v>3846</v>
      </c>
      <c r="U191" s="22" t="b">
        <f aca="false">TRUE()</f>
        <v>1</v>
      </c>
      <c r="V191" s="0" t="n">
        <v>0.63</v>
      </c>
      <c r="W191" s="0" t="n">
        <v>0</v>
      </c>
      <c r="X191" s="0" t="n">
        <v>10.09</v>
      </c>
      <c r="Y191" s="0" t="n">
        <v>686.09</v>
      </c>
      <c r="Z191" s="0" t="n">
        <v>10.42</v>
      </c>
      <c r="AA191" s="0" t="n">
        <v>15.64</v>
      </c>
      <c r="AB191" s="0" t="n">
        <v>5.3</v>
      </c>
      <c r="AC191" s="22" t="b">
        <f aca="false">FALSE()</f>
        <v>0</v>
      </c>
      <c r="AD191" s="0" t="n">
        <v>15.14</v>
      </c>
      <c r="AE191" s="0" t="n">
        <v>5.31</v>
      </c>
      <c r="AF191" s="0" t="n">
        <v>11.37</v>
      </c>
      <c r="AG191" s="22" t="b">
        <f aca="false">TRUE()</f>
        <v>1</v>
      </c>
      <c r="AH191" s="0" t="n">
        <v>1</v>
      </c>
    </row>
    <row r="192" customFormat="false" ht="15" hidden="false" customHeight="false" outlineLevel="0" collapsed="false">
      <c r="A192" s="0" t="s">
        <v>437</v>
      </c>
      <c r="B192" s="0" t="s">
        <v>3459</v>
      </c>
      <c r="C192" s="0" t="s">
        <v>3447</v>
      </c>
      <c r="D192" s="0" t="s">
        <v>3457</v>
      </c>
      <c r="E192" s="19" t="s">
        <v>26</v>
      </c>
      <c r="F192" s="19" t="s">
        <v>32</v>
      </c>
      <c r="G192" s="21" t="s">
        <v>529</v>
      </c>
      <c r="H192" s="21" t="s">
        <v>24</v>
      </c>
      <c r="I192" s="21" t="s">
        <v>26</v>
      </c>
      <c r="J192" s="21" t="s">
        <v>24</v>
      </c>
      <c r="K192" s="21" t="s">
        <v>24</v>
      </c>
      <c r="L192" s="21" t="s">
        <v>24</v>
      </c>
      <c r="M192" s="0" t="n">
        <v>183</v>
      </c>
      <c r="N192" s="0" t="n">
        <v>14</v>
      </c>
      <c r="O192" s="21" t="s">
        <v>4123</v>
      </c>
      <c r="P192" s="21" t="s">
        <v>4333</v>
      </c>
      <c r="Q192" s="0" t="n">
        <v>1</v>
      </c>
      <c r="R192" s="21" t="s">
        <v>69</v>
      </c>
      <c r="S192" s="0" t="n">
        <v>14</v>
      </c>
      <c r="T192" s="21" t="s">
        <v>4123</v>
      </c>
      <c r="U192" s="22" t="b">
        <f aca="false">FALSE()</f>
        <v>0</v>
      </c>
      <c r="V192" s="0" t="n">
        <v>0.7</v>
      </c>
      <c r="W192" s="0" t="n">
        <v>0.68</v>
      </c>
      <c r="X192" s="0" t="n">
        <v>7.67</v>
      </c>
      <c r="Y192" s="0" t="n">
        <v>288.21</v>
      </c>
      <c r="Z192" s="0" t="n">
        <v>11.08</v>
      </c>
      <c r="AA192" s="0" t="n">
        <v>-0.88</v>
      </c>
      <c r="AB192" s="0" t="n">
        <v>17.92</v>
      </c>
      <c r="AC192" s="22" t="b">
        <f aca="false">FALSE()</f>
        <v>0</v>
      </c>
      <c r="AD192" s="0" t="n">
        <v>14.15</v>
      </c>
      <c r="AE192" s="0" t="n">
        <v>6.84</v>
      </c>
      <c r="AF192" s="0" t="n">
        <v>15.26</v>
      </c>
      <c r="AG192" s="22" t="b">
        <f aca="false">TRUE()</f>
        <v>1</v>
      </c>
      <c r="AH192" s="0" t="n">
        <v>1</v>
      </c>
    </row>
    <row r="193" customFormat="false" ht="15" hidden="false" customHeight="false" outlineLevel="0" collapsed="false">
      <c r="A193" s="0" t="s">
        <v>437</v>
      </c>
      <c r="B193" s="0" t="s">
        <v>3459</v>
      </c>
      <c r="C193" s="0" t="s">
        <v>3447</v>
      </c>
      <c r="D193" s="0" t="s">
        <v>3448</v>
      </c>
      <c r="E193" s="18" t="s">
        <v>24</v>
      </c>
      <c r="F193" s="23" t="s">
        <v>30</v>
      </c>
      <c r="G193" s="21" t="s">
        <v>30</v>
      </c>
      <c r="H193" s="21" t="s">
        <v>24</v>
      </c>
      <c r="I193" s="21" t="s">
        <v>24</v>
      </c>
      <c r="J193" s="21" t="s">
        <v>24</v>
      </c>
      <c r="K193" s="21" t="s">
        <v>24</v>
      </c>
      <c r="L193" s="21" t="s">
        <v>24</v>
      </c>
      <c r="M193" s="0" t="n">
        <v>183</v>
      </c>
      <c r="N193" s="0" t="n">
        <v>5</v>
      </c>
      <c r="O193" s="21" t="s">
        <v>3760</v>
      </c>
      <c r="P193" s="21" t="s">
        <v>4334</v>
      </c>
      <c r="Q193" s="0" t="n">
        <v>0</v>
      </c>
      <c r="S193" s="0" t="n">
        <v>5</v>
      </c>
      <c r="T193" s="21" t="s">
        <v>3760</v>
      </c>
      <c r="U193" s="22" t="b">
        <f aca="false">TRUE()</f>
        <v>1</v>
      </c>
      <c r="V193" s="0" t="n">
        <v>0.69</v>
      </c>
      <c r="W193" s="0" t="n">
        <v>0.84</v>
      </c>
      <c r="X193" s="0" t="n">
        <v>9.93</v>
      </c>
      <c r="Y193" s="0" t="n">
        <v>319.23</v>
      </c>
      <c r="Z193" s="0" t="n">
        <v>10.75</v>
      </c>
      <c r="AA193" s="0" t="n">
        <v>4.98</v>
      </c>
      <c r="AB193" s="0" t="n">
        <v>5.3</v>
      </c>
      <c r="AC193" s="22" t="b">
        <f aca="false">FALSE()</f>
        <v>0</v>
      </c>
      <c r="AD193" s="0" t="n">
        <v>11.54</v>
      </c>
      <c r="AE193" s="0" t="n">
        <v>3.03</v>
      </c>
      <c r="AF193" s="0" t="n">
        <v>8.56</v>
      </c>
      <c r="AG193" s="22" t="b">
        <f aca="false">TRUE()</f>
        <v>1</v>
      </c>
      <c r="AH193" s="0" t="n">
        <v>1</v>
      </c>
    </row>
    <row r="194" customFormat="false" ht="15" hidden="false" customHeight="false" outlineLevel="0" collapsed="false">
      <c r="A194" s="0" t="s">
        <v>449</v>
      </c>
      <c r="B194" s="0" t="s">
        <v>134</v>
      </c>
      <c r="C194" s="0" t="s">
        <v>3450</v>
      </c>
      <c r="D194" s="0" t="s">
        <v>3457</v>
      </c>
      <c r="E194" s="20" t="s">
        <v>25</v>
      </c>
      <c r="F194" s="23" t="s">
        <v>30</v>
      </c>
      <c r="G194" s="21" t="s">
        <v>283</v>
      </c>
      <c r="H194" s="21" t="s">
        <v>24</v>
      </c>
      <c r="I194" s="21" t="s">
        <v>25</v>
      </c>
      <c r="J194" s="21" t="s">
        <v>24</v>
      </c>
      <c r="K194" s="21" t="s">
        <v>24</v>
      </c>
      <c r="L194" s="21" t="s">
        <v>24</v>
      </c>
      <c r="M194" s="0" t="n">
        <v>186</v>
      </c>
      <c r="N194" s="0" t="n">
        <v>5</v>
      </c>
      <c r="O194" s="21" t="s">
        <v>3808</v>
      </c>
      <c r="P194" s="21" t="s">
        <v>4335</v>
      </c>
      <c r="Q194" s="0" t="n">
        <v>1</v>
      </c>
      <c r="R194" s="21" t="s">
        <v>69</v>
      </c>
      <c r="S194" s="0" t="n">
        <v>5</v>
      </c>
      <c r="T194" s="21" t="s">
        <v>3808</v>
      </c>
      <c r="U194" s="22" t="b">
        <f aca="false">TRUE()</f>
        <v>1</v>
      </c>
      <c r="V194" s="0" t="n">
        <v>0.66</v>
      </c>
      <c r="W194" s="0" t="n">
        <v>0</v>
      </c>
      <c r="X194" s="0" t="n">
        <v>5.54</v>
      </c>
      <c r="Y194" s="0" t="n">
        <v>677.27</v>
      </c>
      <c r="Z194" s="0" t="n">
        <v>11.25</v>
      </c>
      <c r="AA194" s="0" t="n">
        <v>8.28</v>
      </c>
      <c r="AB194" s="0" t="n">
        <v>2.68</v>
      </c>
      <c r="AC194" s="22" t="b">
        <f aca="false">FALSE()</f>
        <v>0</v>
      </c>
      <c r="AD194" s="0" t="n">
        <v>6.49</v>
      </c>
      <c r="AE194" s="0" t="n">
        <v>0.79</v>
      </c>
      <c r="AF194" s="0" t="n">
        <v>13.34</v>
      </c>
      <c r="AG194" s="22" t="b">
        <f aca="false">FALSE()</f>
        <v>0</v>
      </c>
      <c r="AH194" s="0" t="n">
        <v>1</v>
      </c>
    </row>
    <row r="195" customFormat="false" ht="15" hidden="false" customHeight="false" outlineLevel="0" collapsed="false">
      <c r="A195" s="0" t="s">
        <v>449</v>
      </c>
      <c r="B195" s="0" t="s">
        <v>134</v>
      </c>
      <c r="C195" s="0" t="s">
        <v>3450</v>
      </c>
      <c r="D195" s="0" t="s">
        <v>3448</v>
      </c>
      <c r="E195" s="19" t="s">
        <v>26</v>
      </c>
      <c r="F195" s="19" t="s">
        <v>32</v>
      </c>
      <c r="G195" s="21" t="s">
        <v>529</v>
      </c>
      <c r="H195" s="21" t="s">
        <v>24</v>
      </c>
      <c r="I195" s="21" t="s">
        <v>26</v>
      </c>
      <c r="J195" s="21" t="s">
        <v>24</v>
      </c>
      <c r="K195" s="21" t="s">
        <v>24</v>
      </c>
      <c r="L195" s="21" t="s">
        <v>24</v>
      </c>
      <c r="M195" s="0" t="n">
        <v>185</v>
      </c>
      <c r="N195" s="0" t="n">
        <v>9</v>
      </c>
      <c r="O195" s="21" t="s">
        <v>4172</v>
      </c>
      <c r="P195" s="21" t="s">
        <v>4336</v>
      </c>
      <c r="Q195" s="0" t="n">
        <v>1</v>
      </c>
      <c r="R195" s="21" t="s">
        <v>69</v>
      </c>
      <c r="S195" s="0" t="n">
        <v>9</v>
      </c>
      <c r="T195" s="21" t="s">
        <v>4172</v>
      </c>
      <c r="U195" s="22" t="b">
        <f aca="false">FALSE()</f>
        <v>0</v>
      </c>
      <c r="V195" s="0" t="n">
        <v>0.58</v>
      </c>
      <c r="W195" s="0" t="n">
        <v>0.32</v>
      </c>
      <c r="X195" s="0" t="n">
        <v>8.26</v>
      </c>
      <c r="Y195" s="0" t="n">
        <v>387.65</v>
      </c>
      <c r="Z195" s="0" t="n">
        <v>11.08</v>
      </c>
      <c r="AA195" s="0" t="n">
        <v>12.92</v>
      </c>
      <c r="AB195" s="0" t="n">
        <v>8.02</v>
      </c>
      <c r="AC195" s="22" t="b">
        <f aca="false">FALSE()</f>
        <v>0</v>
      </c>
      <c r="AD195" s="0" t="n">
        <v>5.47</v>
      </c>
      <c r="AE195" s="0" t="n">
        <v>0.27</v>
      </c>
      <c r="AF195" s="0" t="n">
        <v>0.66</v>
      </c>
      <c r="AG195" s="22" t="b">
        <f aca="false">FALSE()</f>
        <v>0</v>
      </c>
      <c r="AH195" s="0" t="n">
        <v>1</v>
      </c>
    </row>
    <row r="196" customFormat="false" ht="15" hidden="false" customHeight="false" outlineLevel="0" collapsed="false">
      <c r="A196" s="0" t="s">
        <v>449</v>
      </c>
      <c r="B196" s="0" t="s">
        <v>134</v>
      </c>
      <c r="C196" s="0" t="s">
        <v>3447</v>
      </c>
      <c r="D196" s="0" t="s">
        <v>3457</v>
      </c>
      <c r="E196" s="19" t="s">
        <v>26</v>
      </c>
      <c r="F196" s="19" t="s">
        <v>32</v>
      </c>
      <c r="G196" s="21" t="s">
        <v>60</v>
      </c>
      <c r="H196" s="21" t="s">
        <v>24</v>
      </c>
      <c r="I196" s="21" t="s">
        <v>26</v>
      </c>
      <c r="J196" s="21" t="s">
        <v>24</v>
      </c>
      <c r="K196" s="21" t="s">
        <v>24</v>
      </c>
      <c r="L196" s="21" t="s">
        <v>24</v>
      </c>
      <c r="M196" s="0" t="n">
        <v>186</v>
      </c>
      <c r="N196" s="0" t="n">
        <v>7</v>
      </c>
      <c r="O196" s="21" t="s">
        <v>3877</v>
      </c>
      <c r="P196" s="21" t="s">
        <v>4337</v>
      </c>
      <c r="Q196" s="0" t="n">
        <v>0</v>
      </c>
      <c r="S196" s="0" t="n">
        <v>7</v>
      </c>
      <c r="T196" s="21" t="s">
        <v>3877</v>
      </c>
      <c r="U196" s="22" t="b">
        <f aca="false">FALSE()</f>
        <v>0</v>
      </c>
      <c r="V196" s="0" t="n">
        <v>0.84</v>
      </c>
      <c r="W196" s="0" t="n">
        <v>0</v>
      </c>
      <c r="X196" s="0" t="n">
        <v>6.52</v>
      </c>
      <c r="Y196" s="0" t="n">
        <v>713.45</v>
      </c>
      <c r="Z196" s="0" t="n">
        <v>8</v>
      </c>
      <c r="AA196" s="0" t="n">
        <v>-0.45</v>
      </c>
      <c r="AB196" s="0" t="n">
        <v>2.68</v>
      </c>
      <c r="AC196" s="22" t="b">
        <f aca="false">FALSE()</f>
        <v>0</v>
      </c>
      <c r="AD196" s="0" t="n">
        <v>6.96</v>
      </c>
      <c r="AE196" s="0" t="n">
        <v>1.29</v>
      </c>
      <c r="AF196" s="0" t="n">
        <v>13.52</v>
      </c>
      <c r="AG196" s="22" t="b">
        <f aca="false">FALSE()</f>
        <v>0</v>
      </c>
      <c r="AH196" s="0" t="n">
        <v>1</v>
      </c>
    </row>
    <row r="197" customFormat="false" ht="15" hidden="false" customHeight="false" outlineLevel="0" collapsed="false">
      <c r="A197" s="0" t="s">
        <v>449</v>
      </c>
      <c r="B197" s="0" t="s">
        <v>134</v>
      </c>
      <c r="C197" s="0" t="s">
        <v>3447</v>
      </c>
      <c r="D197" s="0" t="s">
        <v>3448</v>
      </c>
      <c r="E197" s="19" t="s">
        <v>26</v>
      </c>
      <c r="F197" s="19" t="s">
        <v>32</v>
      </c>
      <c r="G197" s="21" t="s">
        <v>60</v>
      </c>
      <c r="H197" s="21" t="s">
        <v>24</v>
      </c>
      <c r="I197" s="21" t="s">
        <v>26</v>
      </c>
      <c r="J197" s="21" t="s">
        <v>24</v>
      </c>
      <c r="K197" s="21" t="s">
        <v>24</v>
      </c>
      <c r="L197" s="21" t="s">
        <v>24</v>
      </c>
      <c r="M197" s="0" t="n">
        <v>187</v>
      </c>
      <c r="N197" s="0" t="n">
        <v>7</v>
      </c>
      <c r="O197" s="21" t="s">
        <v>3907</v>
      </c>
      <c r="P197" s="21" t="s">
        <v>4338</v>
      </c>
      <c r="Q197" s="0" t="n">
        <v>0</v>
      </c>
      <c r="S197" s="0" t="n">
        <v>7</v>
      </c>
      <c r="T197" s="21" t="s">
        <v>3907</v>
      </c>
      <c r="U197" s="22" t="b">
        <f aca="false">FALSE()</f>
        <v>0</v>
      </c>
      <c r="V197" s="0" t="n">
        <v>0.69</v>
      </c>
      <c r="W197" s="0" t="n">
        <v>0</v>
      </c>
      <c r="X197" s="0" t="n">
        <v>8.85</v>
      </c>
      <c r="Y197" s="0" t="n">
        <v>720.39</v>
      </c>
      <c r="Z197" s="0" t="n">
        <v>8</v>
      </c>
      <c r="AA197" s="0" t="n">
        <v>2.33</v>
      </c>
      <c r="AB197" s="0" t="n">
        <v>8.02</v>
      </c>
      <c r="AC197" s="22" t="b">
        <f aca="false">FALSE()</f>
        <v>0</v>
      </c>
      <c r="AD197" s="0" t="n">
        <v>8.21</v>
      </c>
      <c r="AE197" s="0" t="n">
        <v>1.18</v>
      </c>
      <c r="AF197" s="0" t="n">
        <v>1.9</v>
      </c>
      <c r="AG197" s="22" t="b">
        <f aca="false">FALSE()</f>
        <v>0</v>
      </c>
      <c r="AH197" s="0" t="n">
        <v>1</v>
      </c>
    </row>
    <row r="198" customFormat="false" ht="15" hidden="false" customHeight="false" outlineLevel="0" collapsed="false">
      <c r="A198" s="0" t="s">
        <v>449</v>
      </c>
      <c r="B198" s="0" t="s">
        <v>3459</v>
      </c>
      <c r="C198" s="0" t="s">
        <v>3450</v>
      </c>
      <c r="D198" s="0" t="s">
        <v>3457</v>
      </c>
      <c r="E198" s="20" t="s">
        <v>25</v>
      </c>
      <c r="F198" s="23" t="s">
        <v>30</v>
      </c>
      <c r="G198" s="21" t="s">
        <v>283</v>
      </c>
      <c r="H198" s="21" t="s">
        <v>24</v>
      </c>
      <c r="I198" s="21" t="s">
        <v>25</v>
      </c>
      <c r="J198" s="21" t="s">
        <v>24</v>
      </c>
      <c r="K198" s="21" t="s">
        <v>24</v>
      </c>
      <c r="L198" s="21" t="s">
        <v>24</v>
      </c>
      <c r="M198" s="0" t="n">
        <v>196</v>
      </c>
      <c r="N198" s="0" t="n">
        <v>3</v>
      </c>
      <c r="O198" s="21" t="s">
        <v>3649</v>
      </c>
      <c r="P198" s="21" t="s">
        <v>4242</v>
      </c>
      <c r="Q198" s="0" t="n">
        <v>1</v>
      </c>
      <c r="R198" s="21" t="s">
        <v>69</v>
      </c>
      <c r="S198" s="0" t="n">
        <v>3</v>
      </c>
      <c r="T198" s="21" t="s">
        <v>3649</v>
      </c>
      <c r="U198" s="22" t="b">
        <f aca="false">TRUE()</f>
        <v>1</v>
      </c>
      <c r="V198" s="0" t="n">
        <v>0.72</v>
      </c>
      <c r="W198" s="0" t="n">
        <v>0.4</v>
      </c>
      <c r="X198" s="0" t="n">
        <v>6.24</v>
      </c>
      <c r="Y198" s="0" t="n">
        <v>382.41</v>
      </c>
      <c r="Z198" s="0" t="n">
        <v>10.17</v>
      </c>
      <c r="AA198" s="0" t="n">
        <v>9.07</v>
      </c>
      <c r="AB198" s="0" t="n">
        <v>12.12</v>
      </c>
      <c r="AC198" s="22" t="b">
        <f aca="false">FALSE()</f>
        <v>0</v>
      </c>
      <c r="AD198" s="0" t="n">
        <v>2.18</v>
      </c>
      <c r="AE198" s="0" t="n">
        <v>0.85</v>
      </c>
      <c r="AF198" s="0" t="n">
        <v>1.12</v>
      </c>
      <c r="AG198" s="22" t="b">
        <f aca="false">FALSE()</f>
        <v>0</v>
      </c>
      <c r="AH198" s="0" t="n">
        <v>1</v>
      </c>
    </row>
    <row r="199" customFormat="false" ht="15" hidden="false" customHeight="false" outlineLevel="0" collapsed="false">
      <c r="A199" s="0" t="s">
        <v>449</v>
      </c>
      <c r="B199" s="0" t="s">
        <v>3459</v>
      </c>
      <c r="C199" s="0" t="s">
        <v>3450</v>
      </c>
      <c r="D199" s="0" t="s">
        <v>3448</v>
      </c>
      <c r="E199" s="20" t="s">
        <v>25</v>
      </c>
      <c r="F199" s="23" t="s">
        <v>30</v>
      </c>
      <c r="G199" s="21" t="s">
        <v>283</v>
      </c>
      <c r="H199" s="21" t="s">
        <v>24</v>
      </c>
      <c r="I199" s="21" t="s">
        <v>25</v>
      </c>
      <c r="J199" s="21" t="s">
        <v>24</v>
      </c>
      <c r="K199" s="21" t="s">
        <v>24</v>
      </c>
      <c r="L199" s="21" t="s">
        <v>24</v>
      </c>
      <c r="M199" s="0" t="n">
        <v>183</v>
      </c>
      <c r="N199" s="0" t="n">
        <v>2</v>
      </c>
      <c r="O199" s="21" t="s">
        <v>3575</v>
      </c>
      <c r="P199" s="21" t="s">
        <v>4265</v>
      </c>
      <c r="Q199" s="0" t="n">
        <v>1</v>
      </c>
      <c r="R199" s="21" t="s">
        <v>69</v>
      </c>
      <c r="S199" s="0" t="n">
        <v>2</v>
      </c>
      <c r="T199" s="21" t="s">
        <v>3575</v>
      </c>
      <c r="U199" s="22" t="b">
        <f aca="false">TRUE()</f>
        <v>1</v>
      </c>
      <c r="V199" s="0" t="n">
        <v>0.73</v>
      </c>
      <c r="W199" s="0" t="n">
        <v>0.72</v>
      </c>
      <c r="X199" s="0" t="n">
        <v>8.28</v>
      </c>
      <c r="Y199" s="0" t="n">
        <v>315.36</v>
      </c>
      <c r="Z199" s="0" t="n">
        <v>9</v>
      </c>
      <c r="AA199" s="0" t="n">
        <v>9.55</v>
      </c>
      <c r="AB199" s="0" t="n">
        <v>4.1</v>
      </c>
      <c r="AC199" s="22" t="b">
        <f aca="false">FALSE()</f>
        <v>0</v>
      </c>
      <c r="AD199" s="0" t="n">
        <v>4.19</v>
      </c>
      <c r="AE199" s="0" t="n">
        <v>1.47</v>
      </c>
      <c r="AF199" s="0" t="n">
        <v>5.8</v>
      </c>
      <c r="AG199" s="22" t="b">
        <f aca="false">FALSE()</f>
        <v>0</v>
      </c>
      <c r="AH199" s="0" t="n">
        <v>1</v>
      </c>
    </row>
    <row r="200" customFormat="false" ht="15" hidden="false" customHeight="false" outlineLevel="0" collapsed="false">
      <c r="A200" s="0" t="s">
        <v>449</v>
      </c>
      <c r="B200" s="0" t="s">
        <v>3459</v>
      </c>
      <c r="C200" s="0" t="s">
        <v>3447</v>
      </c>
      <c r="D200" s="0" t="s">
        <v>3457</v>
      </c>
      <c r="E200" s="18" t="s">
        <v>24</v>
      </c>
      <c r="F200" s="23" t="s">
        <v>30</v>
      </c>
      <c r="G200" s="21" t="s">
        <v>30</v>
      </c>
      <c r="H200" s="21" t="s">
        <v>24</v>
      </c>
      <c r="I200" s="21" t="s">
        <v>24</v>
      </c>
      <c r="J200" s="21" t="s">
        <v>24</v>
      </c>
      <c r="K200" s="21" t="s">
        <v>24</v>
      </c>
      <c r="L200" s="21" t="s">
        <v>24</v>
      </c>
      <c r="M200" s="0" t="n">
        <v>185</v>
      </c>
      <c r="N200" s="0" t="n">
        <v>1</v>
      </c>
      <c r="O200" s="21" t="s">
        <v>3474</v>
      </c>
      <c r="P200" s="21" t="s">
        <v>4272</v>
      </c>
      <c r="Q200" s="0" t="n">
        <v>0</v>
      </c>
      <c r="S200" s="0" t="n">
        <v>1</v>
      </c>
      <c r="T200" s="21" t="s">
        <v>3474</v>
      </c>
      <c r="U200" s="22" t="b">
        <f aca="false">TRUE()</f>
        <v>1</v>
      </c>
      <c r="V200" s="0" t="n">
        <v>0.82</v>
      </c>
      <c r="W200" s="0" t="n">
        <v>0.44</v>
      </c>
      <c r="X200" s="0" t="n">
        <v>5.84</v>
      </c>
      <c r="Y200" s="0" t="n">
        <v>348.44</v>
      </c>
      <c r="Z200" s="0" t="n">
        <v>8.17</v>
      </c>
      <c r="AA200" s="0" t="n">
        <v>1.87</v>
      </c>
      <c r="AB200" s="0" t="n">
        <v>12.12</v>
      </c>
      <c r="AC200" s="22" t="b">
        <f aca="false">FALSE()</f>
        <v>0</v>
      </c>
      <c r="AD200" s="0" t="n">
        <v>1.09</v>
      </c>
      <c r="AE200" s="0" t="n">
        <v>0.63</v>
      </c>
      <c r="AF200" s="0" t="n">
        <v>1.41</v>
      </c>
      <c r="AG200" s="22" t="b">
        <f aca="false">FALSE()</f>
        <v>0</v>
      </c>
      <c r="AH200" s="0" t="n">
        <v>1</v>
      </c>
    </row>
    <row r="201" customFormat="false" ht="15" hidden="false" customHeight="false" outlineLevel="0" collapsed="false">
      <c r="A201" s="0" t="s">
        <v>449</v>
      </c>
      <c r="B201" s="0" t="s">
        <v>3459</v>
      </c>
      <c r="C201" s="0" t="s">
        <v>3447</v>
      </c>
      <c r="D201" s="0" t="s">
        <v>3448</v>
      </c>
      <c r="E201" s="19" t="s">
        <v>26</v>
      </c>
      <c r="F201" s="19" t="s">
        <v>32</v>
      </c>
      <c r="G201" s="21" t="s">
        <v>60</v>
      </c>
      <c r="H201" s="21" t="s">
        <v>24</v>
      </c>
      <c r="I201" s="21" t="s">
        <v>26</v>
      </c>
      <c r="J201" s="21" t="s">
        <v>24</v>
      </c>
      <c r="K201" s="21" t="s">
        <v>24</v>
      </c>
      <c r="L201" s="21" t="s">
        <v>24</v>
      </c>
      <c r="M201" s="0" t="n">
        <v>184</v>
      </c>
      <c r="N201" s="0" t="n">
        <v>7</v>
      </c>
      <c r="O201" s="21" t="s">
        <v>3890</v>
      </c>
      <c r="P201" s="21" t="s">
        <v>4339</v>
      </c>
      <c r="Q201" s="0" t="n">
        <v>0</v>
      </c>
      <c r="S201" s="0" t="n">
        <v>5</v>
      </c>
      <c r="T201" s="21" t="s">
        <v>4340</v>
      </c>
      <c r="U201" s="22" t="b">
        <f aca="false">FALSE()</f>
        <v>0</v>
      </c>
      <c r="V201" s="0" t="n">
        <v>0.68</v>
      </c>
      <c r="W201" s="0" t="n">
        <v>0.24</v>
      </c>
      <c r="X201" s="0" t="n">
        <v>9.33</v>
      </c>
      <c r="Y201" s="0" t="n">
        <v>429.47</v>
      </c>
      <c r="Z201" s="0" t="n">
        <v>9</v>
      </c>
      <c r="AA201" s="0" t="n">
        <v>4.51</v>
      </c>
      <c r="AB201" s="0" t="n">
        <v>4.1</v>
      </c>
      <c r="AC201" s="22" t="b">
        <f aca="false">FALSE()</f>
        <v>0</v>
      </c>
      <c r="AD201" s="0" t="n">
        <v>3.68</v>
      </c>
      <c r="AE201" s="0" t="n">
        <v>0.73</v>
      </c>
      <c r="AF201" s="0" t="n">
        <v>5.45</v>
      </c>
      <c r="AG201" s="22" t="b">
        <f aca="false">FALSE()</f>
        <v>0</v>
      </c>
      <c r="AH201" s="0" t="n">
        <v>1</v>
      </c>
    </row>
    <row r="202" customFormat="false" ht="15" hidden="false" customHeight="false" outlineLevel="0" collapsed="false">
      <c r="A202" s="0" t="s">
        <v>455</v>
      </c>
      <c r="B202" s="0" t="s">
        <v>134</v>
      </c>
      <c r="C202" s="0" t="s">
        <v>3450</v>
      </c>
      <c r="D202" s="0" t="s">
        <v>3457</v>
      </c>
      <c r="E202" s="20" t="s">
        <v>25</v>
      </c>
      <c r="F202" s="23" t="s">
        <v>30</v>
      </c>
      <c r="G202" s="21" t="s">
        <v>283</v>
      </c>
      <c r="H202" s="21" t="s">
        <v>24</v>
      </c>
      <c r="I202" s="21" t="s">
        <v>25</v>
      </c>
      <c r="J202" s="21" t="s">
        <v>24</v>
      </c>
      <c r="K202" s="21" t="s">
        <v>24</v>
      </c>
      <c r="L202" s="21" t="s">
        <v>24</v>
      </c>
      <c r="M202" s="0" t="n">
        <v>183</v>
      </c>
      <c r="N202" s="0" t="n">
        <v>1</v>
      </c>
      <c r="O202" s="21" t="s">
        <v>69</v>
      </c>
      <c r="P202" s="21" t="s">
        <v>4275</v>
      </c>
      <c r="Q202" s="0" t="n">
        <v>1</v>
      </c>
      <c r="R202" s="21" t="s">
        <v>69</v>
      </c>
      <c r="S202" s="0" t="n">
        <v>1</v>
      </c>
      <c r="T202" s="21" t="s">
        <v>69</v>
      </c>
      <c r="U202" s="22" t="b">
        <f aca="false">TRUE()</f>
        <v>1</v>
      </c>
      <c r="V202" s="0" t="n">
        <v>0.74</v>
      </c>
      <c r="W202" s="0" t="n">
        <v>0.8</v>
      </c>
      <c r="X202" s="0" t="n">
        <v>5.88</v>
      </c>
      <c r="Y202" s="0" t="n">
        <v>319.85</v>
      </c>
      <c r="Z202" s="0" t="n">
        <v>9.5</v>
      </c>
      <c r="AA202" s="0" t="n">
        <v>13.94</v>
      </c>
      <c r="AB202" s="0" t="n">
        <v>10.12</v>
      </c>
      <c r="AC202" s="22" t="b">
        <f aca="false">FALSE()</f>
        <v>0</v>
      </c>
      <c r="AD202" s="0" t="n">
        <v>18.89</v>
      </c>
      <c r="AE202" s="0" t="n">
        <v>0.47</v>
      </c>
      <c r="AF202" s="0" t="n">
        <v>13.86</v>
      </c>
      <c r="AG202" s="22" t="b">
        <f aca="false">TRUE()</f>
        <v>1</v>
      </c>
      <c r="AH202" s="0" t="n">
        <v>1</v>
      </c>
    </row>
    <row r="203" customFormat="false" ht="15" hidden="false" customHeight="false" outlineLevel="0" collapsed="false">
      <c r="A203" s="0" t="s">
        <v>455</v>
      </c>
      <c r="B203" s="0" t="s">
        <v>134</v>
      </c>
      <c r="C203" s="0" t="s">
        <v>3450</v>
      </c>
      <c r="D203" s="0" t="s">
        <v>3448</v>
      </c>
      <c r="E203" s="20" t="s">
        <v>25</v>
      </c>
      <c r="F203" s="20" t="s">
        <v>29</v>
      </c>
      <c r="G203" s="21" t="s">
        <v>64</v>
      </c>
      <c r="H203" s="21" t="s">
        <v>24</v>
      </c>
      <c r="I203" s="21" t="s">
        <v>24</v>
      </c>
      <c r="J203" s="21" t="s">
        <v>24</v>
      </c>
      <c r="K203" s="21" t="s">
        <v>25</v>
      </c>
      <c r="L203" s="21" t="s">
        <v>24</v>
      </c>
      <c r="M203" s="0" t="n">
        <v>183</v>
      </c>
      <c r="N203" s="0" t="n">
        <v>0</v>
      </c>
      <c r="Q203" s="0" t="n">
        <v>0</v>
      </c>
      <c r="S203" s="0" t="n">
        <v>0</v>
      </c>
      <c r="U203" s="22" t="b">
        <f aca="false">FALSE()</f>
        <v>0</v>
      </c>
      <c r="V203" s="0" t="n">
        <v>0.78</v>
      </c>
      <c r="W203" s="0" t="n">
        <v>0</v>
      </c>
      <c r="X203" s="0" t="n">
        <v>6.54</v>
      </c>
      <c r="Y203" s="0" t="n">
        <v>0.28</v>
      </c>
      <c r="Z203" s="0" t="n">
        <v>9</v>
      </c>
      <c r="AA203" s="0" t="n">
        <v>15.66</v>
      </c>
      <c r="AB203" s="0" t="n">
        <v>0.52</v>
      </c>
      <c r="AC203" s="22" t="b">
        <f aca="false">FALSE()</f>
        <v>0</v>
      </c>
      <c r="AD203" s="0" t="n">
        <v>19.11</v>
      </c>
      <c r="AE203" s="0" t="n">
        <v>1.1</v>
      </c>
      <c r="AF203" s="0" t="n">
        <v>27.2</v>
      </c>
      <c r="AG203" s="22" t="b">
        <f aca="false">TRUE()</f>
        <v>1</v>
      </c>
      <c r="AH203" s="0" t="n">
        <v>0</v>
      </c>
    </row>
    <row r="204" customFormat="false" ht="15" hidden="false" customHeight="false" outlineLevel="0" collapsed="false">
      <c r="A204" s="0" t="s">
        <v>455</v>
      </c>
      <c r="B204" s="0" t="s">
        <v>134</v>
      </c>
      <c r="C204" s="0" t="s">
        <v>3447</v>
      </c>
      <c r="D204" s="0" t="s">
        <v>3457</v>
      </c>
      <c r="E204" s="20" t="s">
        <v>25</v>
      </c>
      <c r="F204" s="23" t="s">
        <v>30</v>
      </c>
      <c r="G204" s="21" t="s">
        <v>283</v>
      </c>
      <c r="H204" s="21" t="s">
        <v>24</v>
      </c>
      <c r="I204" s="21" t="s">
        <v>25</v>
      </c>
      <c r="J204" s="21" t="s">
        <v>24</v>
      </c>
      <c r="K204" s="21" t="s">
        <v>24</v>
      </c>
      <c r="L204" s="21" t="s">
        <v>24</v>
      </c>
      <c r="M204" s="0" t="n">
        <v>191</v>
      </c>
      <c r="N204" s="0" t="n">
        <v>1</v>
      </c>
      <c r="O204" s="21" t="s">
        <v>69</v>
      </c>
      <c r="P204" s="21" t="s">
        <v>4275</v>
      </c>
      <c r="Q204" s="0" t="n">
        <v>1</v>
      </c>
      <c r="R204" s="21" t="s">
        <v>69</v>
      </c>
      <c r="S204" s="0" t="n">
        <v>1</v>
      </c>
      <c r="T204" s="21" t="s">
        <v>69</v>
      </c>
      <c r="U204" s="22" t="b">
        <f aca="false">TRUE()</f>
        <v>1</v>
      </c>
      <c r="V204" s="0" t="n">
        <v>0.75</v>
      </c>
      <c r="W204" s="0" t="n">
        <v>0.64</v>
      </c>
      <c r="X204" s="0" t="n">
        <v>4.69</v>
      </c>
      <c r="Y204" s="0" t="n">
        <v>335.61</v>
      </c>
      <c r="Z204" s="0" t="n">
        <v>9.83</v>
      </c>
      <c r="AA204" s="0" t="n">
        <v>1.97</v>
      </c>
      <c r="AB204" s="0" t="n">
        <v>10.12</v>
      </c>
      <c r="AC204" s="22" t="b">
        <f aca="false">FALSE()</f>
        <v>0</v>
      </c>
      <c r="AD204" s="0" t="n">
        <v>17.92</v>
      </c>
      <c r="AE204" s="0" t="n">
        <v>0.82</v>
      </c>
      <c r="AF204" s="0" t="n">
        <v>14.39</v>
      </c>
      <c r="AG204" s="22" t="b">
        <f aca="false">TRUE()</f>
        <v>1</v>
      </c>
      <c r="AH204" s="0" t="n">
        <v>1</v>
      </c>
    </row>
    <row r="205" customFormat="false" ht="15" hidden="false" customHeight="false" outlineLevel="0" collapsed="false">
      <c r="A205" s="0" t="s">
        <v>455</v>
      </c>
      <c r="B205" s="0" t="s">
        <v>134</v>
      </c>
      <c r="C205" s="0" t="s">
        <v>3447</v>
      </c>
      <c r="D205" s="0" t="s">
        <v>3448</v>
      </c>
      <c r="E205" s="20" t="s">
        <v>25</v>
      </c>
      <c r="F205" s="23" t="s">
        <v>30</v>
      </c>
      <c r="G205" s="21" t="s">
        <v>1152</v>
      </c>
      <c r="H205" s="21" t="s">
        <v>24</v>
      </c>
      <c r="I205" s="21" t="s">
        <v>25</v>
      </c>
      <c r="J205" s="21" t="s">
        <v>24</v>
      </c>
      <c r="K205" s="21" t="s">
        <v>25</v>
      </c>
      <c r="L205" s="21" t="s">
        <v>24</v>
      </c>
      <c r="M205" s="0" t="n">
        <v>184</v>
      </c>
      <c r="N205" s="0" t="n">
        <v>1</v>
      </c>
      <c r="O205" s="21" t="s">
        <v>69</v>
      </c>
      <c r="P205" s="21" t="s">
        <v>4275</v>
      </c>
      <c r="Q205" s="0" t="n">
        <v>1</v>
      </c>
      <c r="R205" s="21" t="s">
        <v>69</v>
      </c>
      <c r="S205" s="0" t="n">
        <v>1</v>
      </c>
      <c r="T205" s="21" t="s">
        <v>69</v>
      </c>
      <c r="U205" s="22" t="b">
        <f aca="false">TRUE()</f>
        <v>1</v>
      </c>
      <c r="V205" s="0" t="n">
        <v>0.81</v>
      </c>
      <c r="W205" s="0" t="n">
        <v>0.76</v>
      </c>
      <c r="X205" s="0" t="n">
        <v>5.4</v>
      </c>
      <c r="Y205" s="0" t="n">
        <v>322.9</v>
      </c>
      <c r="Z205" s="0" t="n">
        <v>8</v>
      </c>
      <c r="AA205" s="0" t="n">
        <v>-1.15</v>
      </c>
      <c r="AB205" s="0" t="n">
        <v>0.52</v>
      </c>
      <c r="AC205" s="22" t="b">
        <f aca="false">FALSE()</f>
        <v>0</v>
      </c>
      <c r="AD205" s="0" t="n">
        <v>5.68</v>
      </c>
      <c r="AE205" s="0" t="n">
        <v>0.12</v>
      </c>
      <c r="AF205" s="0" t="n">
        <v>19.6</v>
      </c>
      <c r="AG205" s="22" t="b">
        <f aca="false">FALSE()</f>
        <v>0</v>
      </c>
      <c r="AH205" s="0" t="n">
        <v>1</v>
      </c>
    </row>
    <row r="206" customFormat="false" ht="15" hidden="false" customHeight="false" outlineLevel="0" collapsed="false">
      <c r="A206" s="0" t="s">
        <v>455</v>
      </c>
      <c r="B206" s="0" t="s">
        <v>3459</v>
      </c>
      <c r="C206" s="0" t="s">
        <v>3450</v>
      </c>
      <c r="D206" s="0" t="s">
        <v>3457</v>
      </c>
      <c r="E206" s="20" t="s">
        <v>25</v>
      </c>
      <c r="F206" s="23" t="s">
        <v>30</v>
      </c>
      <c r="G206" s="21" t="s">
        <v>144</v>
      </c>
      <c r="H206" s="21" t="s">
        <v>24</v>
      </c>
      <c r="I206" s="21" t="s">
        <v>24</v>
      </c>
      <c r="J206" s="21" t="s">
        <v>24</v>
      </c>
      <c r="K206" s="21" t="s">
        <v>25</v>
      </c>
      <c r="L206" s="21" t="s">
        <v>24</v>
      </c>
      <c r="M206" s="0" t="n">
        <v>183</v>
      </c>
      <c r="N206" s="0" t="n">
        <v>1</v>
      </c>
      <c r="O206" s="21" t="s">
        <v>3509</v>
      </c>
      <c r="P206" s="21" t="s">
        <v>4341</v>
      </c>
      <c r="Q206" s="0" t="n">
        <v>0</v>
      </c>
      <c r="S206" s="0" t="n">
        <v>1</v>
      </c>
      <c r="T206" s="21" t="s">
        <v>3509</v>
      </c>
      <c r="U206" s="22" t="b">
        <f aca="false">TRUE()</f>
        <v>1</v>
      </c>
      <c r="V206" s="0" t="n">
        <v>0.65</v>
      </c>
      <c r="W206" s="0" t="n">
        <v>0.6</v>
      </c>
      <c r="X206" s="0" t="n">
        <v>9.21</v>
      </c>
      <c r="Y206" s="0" t="n">
        <v>314.57</v>
      </c>
      <c r="Z206" s="0" t="n">
        <v>9</v>
      </c>
      <c r="AA206" s="0" t="n">
        <v>14.36</v>
      </c>
      <c r="AB206" s="0" t="n">
        <v>1.03</v>
      </c>
      <c r="AC206" s="22" t="b">
        <f aca="false">FALSE()</f>
        <v>0</v>
      </c>
      <c r="AD206" s="0" t="n">
        <v>23.8</v>
      </c>
      <c r="AE206" s="0" t="n">
        <v>8.24</v>
      </c>
      <c r="AF206" s="0" t="n">
        <v>23.23</v>
      </c>
      <c r="AG206" s="22" t="b">
        <f aca="false">TRUE()</f>
        <v>1</v>
      </c>
      <c r="AH206" s="0" t="n">
        <v>1</v>
      </c>
    </row>
    <row r="207" customFormat="false" ht="15" hidden="false" customHeight="false" outlineLevel="0" collapsed="false">
      <c r="A207" s="0" t="s">
        <v>455</v>
      </c>
      <c r="B207" s="0" t="s">
        <v>3459</v>
      </c>
      <c r="C207" s="0" t="s">
        <v>3450</v>
      </c>
      <c r="D207" s="0" t="s">
        <v>3448</v>
      </c>
      <c r="E207" s="20" t="s">
        <v>25</v>
      </c>
      <c r="F207" s="20" t="s">
        <v>29</v>
      </c>
      <c r="G207" s="21" t="s">
        <v>61</v>
      </c>
      <c r="H207" s="21" t="s">
        <v>24</v>
      </c>
      <c r="I207" s="21" t="s">
        <v>24</v>
      </c>
      <c r="J207" s="21" t="s">
        <v>24</v>
      </c>
      <c r="K207" s="21" t="s">
        <v>25</v>
      </c>
      <c r="L207" s="21" t="s">
        <v>24</v>
      </c>
      <c r="M207" s="0" t="n">
        <v>183</v>
      </c>
      <c r="N207" s="0" t="n">
        <v>0</v>
      </c>
      <c r="Q207" s="0" t="n">
        <v>0</v>
      </c>
      <c r="S207" s="0" t="n">
        <v>0</v>
      </c>
      <c r="U207" s="22" t="b">
        <f aca="false">FALSE()</f>
        <v>0</v>
      </c>
      <c r="V207" s="0" t="n">
        <v>0.81</v>
      </c>
      <c r="W207" s="0" t="n">
        <v>0.16</v>
      </c>
      <c r="X207" s="0" t="n">
        <v>8.35</v>
      </c>
      <c r="Y207" s="0" t="n">
        <v>562.07</v>
      </c>
      <c r="Z207" s="0" t="n">
        <v>8.25</v>
      </c>
      <c r="AA207" s="0" t="n">
        <v>14.55</v>
      </c>
      <c r="AB207" s="0" t="n">
        <v>5.42</v>
      </c>
      <c r="AC207" s="22" t="b">
        <f aca="false">FALSE()</f>
        <v>0</v>
      </c>
      <c r="AD207" s="0" t="n">
        <v>25.04</v>
      </c>
      <c r="AE207" s="0" t="n">
        <v>12.11</v>
      </c>
      <c r="AF207" s="0" t="n">
        <v>27.24</v>
      </c>
      <c r="AG207" s="22" t="b">
        <f aca="false">TRUE()</f>
        <v>1</v>
      </c>
      <c r="AH207" s="0" t="n">
        <v>1</v>
      </c>
    </row>
    <row r="208" customFormat="false" ht="15" hidden="false" customHeight="false" outlineLevel="0" collapsed="false">
      <c r="A208" s="0" t="s">
        <v>455</v>
      </c>
      <c r="B208" s="0" t="s">
        <v>3459</v>
      </c>
      <c r="C208" s="0" t="s">
        <v>3447</v>
      </c>
      <c r="D208" s="0" t="s">
        <v>3457</v>
      </c>
      <c r="E208" s="20" t="s">
        <v>25</v>
      </c>
      <c r="F208" s="23" t="s">
        <v>30</v>
      </c>
      <c r="G208" s="21" t="s">
        <v>144</v>
      </c>
      <c r="H208" s="21" t="s">
        <v>24</v>
      </c>
      <c r="I208" s="21" t="s">
        <v>24</v>
      </c>
      <c r="J208" s="21" t="s">
        <v>24</v>
      </c>
      <c r="K208" s="21" t="s">
        <v>25</v>
      </c>
      <c r="L208" s="21" t="s">
        <v>24</v>
      </c>
      <c r="M208" s="0" t="n">
        <v>182</v>
      </c>
      <c r="N208" s="0" t="n">
        <v>1</v>
      </c>
      <c r="O208" s="21" t="s">
        <v>3509</v>
      </c>
      <c r="P208" s="21" t="s">
        <v>4341</v>
      </c>
      <c r="Q208" s="0" t="n">
        <v>0</v>
      </c>
      <c r="S208" s="0" t="n">
        <v>1</v>
      </c>
      <c r="T208" s="21" t="s">
        <v>3509</v>
      </c>
      <c r="U208" s="22" t="b">
        <f aca="false">TRUE()</f>
        <v>1</v>
      </c>
      <c r="V208" s="0" t="n">
        <v>0.73</v>
      </c>
      <c r="W208" s="0" t="n">
        <v>0.8</v>
      </c>
      <c r="X208" s="0" t="n">
        <v>7.7</v>
      </c>
      <c r="Y208" s="0" t="n">
        <v>317.15</v>
      </c>
      <c r="Z208" s="0" t="n">
        <v>8</v>
      </c>
      <c r="AA208" s="0" t="n">
        <v>-0.92</v>
      </c>
      <c r="AB208" s="0" t="n">
        <v>1.03</v>
      </c>
      <c r="AC208" s="22" t="b">
        <f aca="false">FALSE()</f>
        <v>0</v>
      </c>
      <c r="AD208" s="0" t="n">
        <v>21</v>
      </c>
      <c r="AE208" s="0" t="n">
        <v>6.95</v>
      </c>
      <c r="AF208" s="0" t="n">
        <v>21.53</v>
      </c>
      <c r="AG208" s="22" t="b">
        <f aca="false">TRUE()</f>
        <v>1</v>
      </c>
      <c r="AH208" s="0" t="n">
        <v>1</v>
      </c>
    </row>
    <row r="209" customFormat="false" ht="15" hidden="false" customHeight="false" outlineLevel="0" collapsed="false">
      <c r="A209" s="0" t="s">
        <v>455</v>
      </c>
      <c r="B209" s="0" t="s">
        <v>3459</v>
      </c>
      <c r="C209" s="0" t="s">
        <v>3447</v>
      </c>
      <c r="D209" s="0" t="s">
        <v>3448</v>
      </c>
      <c r="E209" s="20" t="s">
        <v>25</v>
      </c>
      <c r="F209" s="23" t="s">
        <v>30</v>
      </c>
      <c r="G209" s="21" t="s">
        <v>992</v>
      </c>
      <c r="H209" s="21" t="s">
        <v>24</v>
      </c>
      <c r="I209" s="21" t="s">
        <v>24</v>
      </c>
      <c r="J209" s="21" t="s">
        <v>24</v>
      </c>
      <c r="K209" s="21" t="s">
        <v>25</v>
      </c>
      <c r="L209" s="21" t="s">
        <v>24</v>
      </c>
      <c r="M209" s="0" t="n">
        <v>210</v>
      </c>
      <c r="N209" s="0" t="n">
        <v>3</v>
      </c>
      <c r="O209" s="21" t="s">
        <v>3539</v>
      </c>
      <c r="P209" s="21" t="s">
        <v>4342</v>
      </c>
      <c r="Q209" s="0" t="n">
        <v>0</v>
      </c>
      <c r="S209" s="0" t="n">
        <v>3</v>
      </c>
      <c r="T209" s="21" t="s">
        <v>3539</v>
      </c>
      <c r="U209" s="22" t="b">
        <f aca="false">TRUE()</f>
        <v>1</v>
      </c>
      <c r="V209" s="0" t="n">
        <v>0.79</v>
      </c>
      <c r="W209" s="0" t="n">
        <v>0.2</v>
      </c>
      <c r="X209" s="0" t="n">
        <v>8.57</v>
      </c>
      <c r="Y209" s="0" t="n">
        <v>583.66</v>
      </c>
      <c r="Z209" s="0" t="n">
        <v>8.5</v>
      </c>
      <c r="AA209" s="0" t="n">
        <v>5.07</v>
      </c>
      <c r="AB209" s="0" t="n">
        <v>5.42</v>
      </c>
      <c r="AC209" s="22" t="b">
        <f aca="false">FALSE()</f>
        <v>0</v>
      </c>
      <c r="AD209" s="0" t="n">
        <v>26.46</v>
      </c>
      <c r="AE209" s="0" t="n">
        <v>10.95</v>
      </c>
      <c r="AF209" s="0" t="n">
        <v>26.79</v>
      </c>
      <c r="AG209" s="22" t="b">
        <f aca="false">TRUE()</f>
        <v>1</v>
      </c>
      <c r="AH209" s="0" t="n">
        <v>1</v>
      </c>
    </row>
    <row r="210" customFormat="false" ht="15" hidden="false" customHeight="false" outlineLevel="0" collapsed="false">
      <c r="A210" s="0" t="s">
        <v>466</v>
      </c>
      <c r="B210" s="0" t="s">
        <v>134</v>
      </c>
      <c r="C210" s="0" t="s">
        <v>3450</v>
      </c>
      <c r="D210" s="0" t="s">
        <v>3457</v>
      </c>
      <c r="E210" s="20" t="s">
        <v>25</v>
      </c>
      <c r="F210" s="23" t="s">
        <v>30</v>
      </c>
      <c r="G210" s="21" t="s">
        <v>470</v>
      </c>
      <c r="H210" s="21" t="s">
        <v>24</v>
      </c>
      <c r="I210" s="21" t="s">
        <v>24</v>
      </c>
      <c r="J210" s="21" t="s">
        <v>24</v>
      </c>
      <c r="K210" s="21" t="s">
        <v>25</v>
      </c>
      <c r="L210" s="21" t="s">
        <v>24</v>
      </c>
      <c r="M210" s="0" t="n">
        <v>187</v>
      </c>
      <c r="N210" s="0" t="n">
        <v>3</v>
      </c>
      <c r="O210" s="21" t="s">
        <v>3551</v>
      </c>
      <c r="P210" s="21" t="s">
        <v>4343</v>
      </c>
      <c r="Q210" s="0" t="n">
        <v>0</v>
      </c>
      <c r="S210" s="0" t="n">
        <v>3</v>
      </c>
      <c r="T210" s="21" t="s">
        <v>3551</v>
      </c>
      <c r="U210" s="22" t="b">
        <f aca="false">TRUE()</f>
        <v>1</v>
      </c>
      <c r="V210" s="0" t="n">
        <v>0.84</v>
      </c>
      <c r="W210" s="0" t="n">
        <v>0.64</v>
      </c>
      <c r="X210" s="0" t="n">
        <v>6.13</v>
      </c>
      <c r="Y210" s="0" t="n">
        <v>320.55</v>
      </c>
      <c r="Z210" s="0" t="n">
        <v>8.33</v>
      </c>
      <c r="AA210" s="0" t="n">
        <v>1.73</v>
      </c>
      <c r="AB210" s="0" t="n">
        <v>1.03</v>
      </c>
      <c r="AC210" s="22" t="b">
        <f aca="false">TRUE()</f>
        <v>1</v>
      </c>
      <c r="AD210" s="0" t="n">
        <v>13.94</v>
      </c>
      <c r="AE210" s="0" t="n">
        <v>2.02</v>
      </c>
      <c r="AF210" s="0" t="n">
        <v>7.8</v>
      </c>
      <c r="AG210" s="22" t="b">
        <f aca="false">TRUE()</f>
        <v>1</v>
      </c>
      <c r="AH210" s="0" t="n">
        <v>1</v>
      </c>
    </row>
    <row r="211" customFormat="false" ht="15" hidden="false" customHeight="false" outlineLevel="0" collapsed="false">
      <c r="A211" s="0" t="s">
        <v>466</v>
      </c>
      <c r="B211" s="0" t="s">
        <v>134</v>
      </c>
      <c r="C211" s="0" t="s">
        <v>3450</v>
      </c>
      <c r="D211" s="0" t="s">
        <v>3448</v>
      </c>
      <c r="E211" s="20" t="s">
        <v>25</v>
      </c>
      <c r="F211" s="23" t="s">
        <v>30</v>
      </c>
      <c r="G211" s="21" t="s">
        <v>2559</v>
      </c>
      <c r="H211" s="21" t="s">
        <v>24</v>
      </c>
      <c r="I211" s="21" t="s">
        <v>24</v>
      </c>
      <c r="J211" s="21" t="s">
        <v>24</v>
      </c>
      <c r="K211" s="21" t="s">
        <v>25</v>
      </c>
      <c r="L211" s="21" t="s">
        <v>24</v>
      </c>
      <c r="M211" s="0" t="n">
        <v>184</v>
      </c>
      <c r="N211" s="0" t="n">
        <v>4</v>
      </c>
      <c r="O211" s="21" t="s">
        <v>3597</v>
      </c>
      <c r="P211" s="21" t="s">
        <v>4344</v>
      </c>
      <c r="Q211" s="0" t="n">
        <v>0</v>
      </c>
      <c r="S211" s="0" t="n">
        <v>4</v>
      </c>
      <c r="T211" s="21" t="s">
        <v>3597</v>
      </c>
      <c r="U211" s="22" t="b">
        <f aca="false">TRUE()</f>
        <v>1</v>
      </c>
      <c r="V211" s="0" t="n">
        <v>0.84</v>
      </c>
      <c r="W211" s="0" t="n">
        <v>0.32</v>
      </c>
      <c r="X211" s="0" t="n">
        <v>6.16</v>
      </c>
      <c r="Y211" s="0" t="n">
        <v>406.16</v>
      </c>
      <c r="Z211" s="0" t="n">
        <v>8.25</v>
      </c>
      <c r="AA211" s="0" t="n">
        <v>0.18</v>
      </c>
      <c r="AB211" s="0" t="n">
        <v>2.26</v>
      </c>
      <c r="AC211" s="22" t="b">
        <f aca="false">FALSE()</f>
        <v>0</v>
      </c>
      <c r="AD211" s="0" t="n">
        <v>8.18</v>
      </c>
      <c r="AE211" s="0" t="n">
        <v>0.22</v>
      </c>
      <c r="AF211" s="0" t="n">
        <v>9.06</v>
      </c>
      <c r="AG211" s="22" t="b">
        <f aca="false">FALSE()</f>
        <v>0</v>
      </c>
      <c r="AH211" s="0" t="n">
        <v>1</v>
      </c>
    </row>
    <row r="212" customFormat="false" ht="15" hidden="false" customHeight="false" outlineLevel="0" collapsed="false">
      <c r="A212" s="0" t="s">
        <v>466</v>
      </c>
      <c r="B212" s="0" t="s">
        <v>134</v>
      </c>
      <c r="C212" s="0" t="s">
        <v>3447</v>
      </c>
      <c r="D212" s="0" t="s">
        <v>3457</v>
      </c>
      <c r="E212" s="20" t="s">
        <v>25</v>
      </c>
      <c r="F212" s="23" t="s">
        <v>30</v>
      </c>
      <c r="G212" s="21" t="s">
        <v>2133</v>
      </c>
      <c r="H212" s="21" t="s">
        <v>24</v>
      </c>
      <c r="I212" s="21" t="s">
        <v>24</v>
      </c>
      <c r="J212" s="21" t="s">
        <v>24</v>
      </c>
      <c r="K212" s="21" t="s">
        <v>25</v>
      </c>
      <c r="L212" s="21" t="s">
        <v>24</v>
      </c>
      <c r="M212" s="0" t="n">
        <v>185</v>
      </c>
      <c r="N212" s="0" t="n">
        <v>1</v>
      </c>
      <c r="O212" s="21" t="s">
        <v>3476</v>
      </c>
      <c r="P212" s="21" t="s">
        <v>4228</v>
      </c>
      <c r="Q212" s="0" t="n">
        <v>0</v>
      </c>
      <c r="S212" s="0" t="n">
        <v>1</v>
      </c>
      <c r="T212" s="21" t="s">
        <v>3476</v>
      </c>
      <c r="U212" s="22" t="b">
        <f aca="false">TRUE()</f>
        <v>1</v>
      </c>
      <c r="V212" s="0" t="n">
        <v>0.87</v>
      </c>
      <c r="W212" s="0" t="n">
        <v>0</v>
      </c>
      <c r="X212" s="0" t="n">
        <v>7.33</v>
      </c>
      <c r="Y212" s="0" t="n">
        <v>699.48</v>
      </c>
      <c r="Z212" s="0" t="n">
        <v>8</v>
      </c>
      <c r="AA212" s="0" t="n">
        <v>-0.15</v>
      </c>
      <c r="AB212" s="0" t="n">
        <v>1.03</v>
      </c>
      <c r="AC212" s="22" t="b">
        <f aca="false">FALSE()</f>
        <v>0</v>
      </c>
      <c r="AD212" s="0" t="n">
        <v>12.96</v>
      </c>
      <c r="AE212" s="0" t="n">
        <v>1.99</v>
      </c>
      <c r="AF212" s="0" t="n">
        <v>7.34</v>
      </c>
      <c r="AG212" s="22" t="b">
        <f aca="false">TRUE()</f>
        <v>1</v>
      </c>
      <c r="AH212" s="0" t="n">
        <v>1</v>
      </c>
    </row>
    <row r="213" customFormat="false" ht="15" hidden="false" customHeight="false" outlineLevel="0" collapsed="false">
      <c r="A213" s="0" t="s">
        <v>466</v>
      </c>
      <c r="B213" s="0" t="s">
        <v>134</v>
      </c>
      <c r="C213" s="0" t="s">
        <v>3447</v>
      </c>
      <c r="D213" s="0" t="s">
        <v>3448</v>
      </c>
      <c r="E213" s="18" t="s">
        <v>24</v>
      </c>
      <c r="F213" s="23" t="s">
        <v>30</v>
      </c>
      <c r="G213" s="21" t="s">
        <v>30</v>
      </c>
      <c r="H213" s="21" t="s">
        <v>24</v>
      </c>
      <c r="I213" s="21" t="s">
        <v>24</v>
      </c>
      <c r="J213" s="21" t="s">
        <v>24</v>
      </c>
      <c r="K213" s="21" t="s">
        <v>24</v>
      </c>
      <c r="L213" s="21" t="s">
        <v>24</v>
      </c>
      <c r="M213" s="0" t="n">
        <v>187</v>
      </c>
      <c r="N213" s="0" t="n">
        <v>4</v>
      </c>
      <c r="O213" s="21" t="s">
        <v>3586</v>
      </c>
      <c r="P213" s="21" t="s">
        <v>4345</v>
      </c>
      <c r="Q213" s="0" t="n">
        <v>0</v>
      </c>
      <c r="S213" s="0" t="n">
        <v>4</v>
      </c>
      <c r="T213" s="21" t="s">
        <v>3586</v>
      </c>
      <c r="U213" s="22" t="b">
        <f aca="false">TRUE()</f>
        <v>1</v>
      </c>
      <c r="V213" s="0" t="n">
        <v>0.88</v>
      </c>
      <c r="W213" s="0" t="n">
        <v>0</v>
      </c>
      <c r="X213" s="0" t="n">
        <v>6.53</v>
      </c>
      <c r="Y213" s="0" t="n">
        <v>703.98</v>
      </c>
      <c r="Z213" s="0" t="n">
        <v>8.5</v>
      </c>
      <c r="AA213" s="0" t="n">
        <v>-0.65</v>
      </c>
      <c r="AB213" s="0" t="n">
        <v>2.26</v>
      </c>
      <c r="AC213" s="22" t="b">
        <f aca="false">FALSE()</f>
        <v>0</v>
      </c>
      <c r="AD213" s="0" t="n">
        <v>8.74</v>
      </c>
      <c r="AE213" s="0" t="n">
        <v>0.51</v>
      </c>
      <c r="AF213" s="0" t="n">
        <v>10.85</v>
      </c>
      <c r="AG213" s="22" t="b">
        <f aca="false">FALSE()</f>
        <v>0</v>
      </c>
      <c r="AH213" s="0" t="n">
        <v>1</v>
      </c>
    </row>
    <row r="214" customFormat="false" ht="15" hidden="false" customHeight="false" outlineLevel="0" collapsed="false">
      <c r="A214" s="0" t="s">
        <v>480</v>
      </c>
      <c r="B214" s="0" t="s">
        <v>134</v>
      </c>
      <c r="C214" s="0" t="s">
        <v>3450</v>
      </c>
      <c r="D214" s="0" t="s">
        <v>3457</v>
      </c>
      <c r="E214" s="20" t="s">
        <v>25</v>
      </c>
      <c r="F214" s="20" t="s">
        <v>29</v>
      </c>
      <c r="G214" s="21" t="s">
        <v>62</v>
      </c>
      <c r="H214" s="21" t="s">
        <v>24</v>
      </c>
      <c r="I214" s="21" t="s">
        <v>24</v>
      </c>
      <c r="J214" s="21" t="s">
        <v>24</v>
      </c>
      <c r="K214" s="21" t="s">
        <v>25</v>
      </c>
      <c r="L214" s="21" t="s">
        <v>24</v>
      </c>
      <c r="M214" s="0" t="n">
        <v>184</v>
      </c>
      <c r="N214" s="0" t="n">
        <v>0</v>
      </c>
      <c r="Q214" s="0" t="n">
        <v>0</v>
      </c>
      <c r="S214" s="0" t="n">
        <v>0</v>
      </c>
      <c r="U214" s="22" t="b">
        <f aca="false">FALSE()</f>
        <v>0</v>
      </c>
      <c r="V214" s="0" t="n">
        <v>0.7</v>
      </c>
      <c r="W214" s="0" t="n">
        <v>0.84</v>
      </c>
      <c r="X214" s="0" t="n">
        <v>7.91</v>
      </c>
      <c r="Y214" s="0" t="n">
        <v>316.33</v>
      </c>
      <c r="Z214" s="0" t="n">
        <v>9.25</v>
      </c>
      <c r="AA214" s="0" t="n">
        <v>1.29</v>
      </c>
      <c r="AB214" s="0" t="n">
        <v>13.21</v>
      </c>
      <c r="AC214" s="22" t="b">
        <f aca="false">FALSE()</f>
        <v>0</v>
      </c>
      <c r="AD214" s="0" t="n">
        <v>1.77</v>
      </c>
      <c r="AE214" s="0" t="n">
        <v>0.96</v>
      </c>
      <c r="AF214" s="0" t="n">
        <v>1.55</v>
      </c>
      <c r="AG214" s="22" t="b">
        <f aca="false">FALSE()</f>
        <v>0</v>
      </c>
      <c r="AH214" s="0" t="n">
        <v>1</v>
      </c>
    </row>
    <row r="215" customFormat="false" ht="15" hidden="false" customHeight="false" outlineLevel="0" collapsed="false">
      <c r="A215" s="0" t="s">
        <v>480</v>
      </c>
      <c r="B215" s="0" t="s">
        <v>134</v>
      </c>
      <c r="C215" s="0" t="s">
        <v>3450</v>
      </c>
      <c r="D215" s="0" t="s">
        <v>3448</v>
      </c>
      <c r="E215" s="20" t="s">
        <v>25</v>
      </c>
      <c r="F215" s="20" t="s">
        <v>29</v>
      </c>
      <c r="G215" s="21" t="s">
        <v>64</v>
      </c>
      <c r="H215" s="21" t="s">
        <v>24</v>
      </c>
      <c r="I215" s="21" t="s">
        <v>24</v>
      </c>
      <c r="J215" s="21" t="s">
        <v>24</v>
      </c>
      <c r="K215" s="21" t="s">
        <v>25</v>
      </c>
      <c r="L215" s="21" t="s">
        <v>24</v>
      </c>
      <c r="M215" s="0" t="n">
        <v>183</v>
      </c>
      <c r="N215" s="0" t="n">
        <v>0</v>
      </c>
      <c r="Q215" s="0" t="n">
        <v>0</v>
      </c>
      <c r="S215" s="0" t="n">
        <v>0</v>
      </c>
      <c r="U215" s="22" t="b">
        <f aca="false">FALSE()</f>
        <v>0</v>
      </c>
      <c r="V215" s="0" t="n">
        <v>0.73</v>
      </c>
      <c r="W215" s="0" t="n">
        <v>0</v>
      </c>
      <c r="X215" s="0" t="n">
        <v>7.33</v>
      </c>
      <c r="Y215" s="0" t="n">
        <v>620.89</v>
      </c>
      <c r="Z215" s="0" t="n">
        <v>9.25</v>
      </c>
      <c r="AA215" s="0" t="n">
        <v>10.18</v>
      </c>
      <c r="AB215" s="0" t="n">
        <v>0.78</v>
      </c>
      <c r="AC215" s="22" t="b">
        <f aca="false">FALSE()</f>
        <v>0</v>
      </c>
      <c r="AD215" s="0" t="n">
        <v>1.51</v>
      </c>
      <c r="AE215" s="0" t="n">
        <v>1.29</v>
      </c>
      <c r="AF215" s="0" t="n">
        <v>1.57</v>
      </c>
      <c r="AG215" s="22" t="b">
        <f aca="false">FALSE()</f>
        <v>0</v>
      </c>
      <c r="AH215" s="0" t="n">
        <v>1</v>
      </c>
    </row>
    <row r="216" customFormat="false" ht="15" hidden="false" customHeight="false" outlineLevel="0" collapsed="false">
      <c r="A216" s="0" t="s">
        <v>480</v>
      </c>
      <c r="B216" s="0" t="s">
        <v>134</v>
      </c>
      <c r="C216" s="0" t="s">
        <v>3447</v>
      </c>
      <c r="D216" s="0" t="s">
        <v>3457</v>
      </c>
      <c r="E216" s="18" t="s">
        <v>24</v>
      </c>
      <c r="F216" s="18" t="s">
        <v>28</v>
      </c>
      <c r="H216" s="21" t="s">
        <v>24</v>
      </c>
      <c r="I216" s="21" t="s">
        <v>24</v>
      </c>
      <c r="J216" s="21" t="s">
        <v>24</v>
      </c>
      <c r="K216" s="21" t="s">
        <v>24</v>
      </c>
      <c r="L216" s="21" t="s">
        <v>24</v>
      </c>
      <c r="M216" s="0" t="n">
        <v>185</v>
      </c>
      <c r="N216" s="0" t="n">
        <v>0</v>
      </c>
      <c r="Q216" s="0" t="n">
        <v>0</v>
      </c>
      <c r="S216" s="0" t="n">
        <v>0</v>
      </c>
      <c r="U216" s="22" t="b">
        <f aca="false">FALSE()</f>
        <v>0</v>
      </c>
      <c r="V216" s="0" t="n">
        <v>0.72</v>
      </c>
      <c r="W216" s="0" t="n">
        <v>0.56</v>
      </c>
      <c r="X216" s="0" t="n">
        <v>7.81</v>
      </c>
      <c r="Y216" s="0" t="n">
        <v>326.77</v>
      </c>
      <c r="Z216" s="0" t="n">
        <v>9.83</v>
      </c>
      <c r="AA216" s="0" t="n">
        <v>0.74</v>
      </c>
      <c r="AB216" s="0" t="n">
        <v>13.21</v>
      </c>
      <c r="AC216" s="22" t="b">
        <f aca="false">FALSE()</f>
        <v>0</v>
      </c>
      <c r="AD216" s="0" t="n">
        <v>4.03</v>
      </c>
      <c r="AE216" s="0" t="n">
        <v>0.05</v>
      </c>
      <c r="AF216" s="0" t="n">
        <v>2.66</v>
      </c>
      <c r="AG216" s="22" t="b">
        <f aca="false">FALSE()</f>
        <v>0</v>
      </c>
      <c r="AH216" s="0" t="n">
        <v>1</v>
      </c>
    </row>
    <row r="217" customFormat="false" ht="15" hidden="false" customHeight="false" outlineLevel="0" collapsed="false">
      <c r="A217" s="0" t="s">
        <v>480</v>
      </c>
      <c r="B217" s="0" t="s">
        <v>134</v>
      </c>
      <c r="C217" s="0" t="s">
        <v>3447</v>
      </c>
      <c r="D217" s="0" t="s">
        <v>3448</v>
      </c>
      <c r="E217" s="20" t="s">
        <v>25</v>
      </c>
      <c r="F217" s="20" t="s">
        <v>29</v>
      </c>
      <c r="G217" s="21" t="s">
        <v>64</v>
      </c>
      <c r="H217" s="21" t="s">
        <v>24</v>
      </c>
      <c r="I217" s="21" t="s">
        <v>24</v>
      </c>
      <c r="J217" s="21" t="s">
        <v>24</v>
      </c>
      <c r="K217" s="21" t="s">
        <v>25</v>
      </c>
      <c r="L217" s="21" t="s">
        <v>24</v>
      </c>
      <c r="M217" s="0" t="n">
        <v>184</v>
      </c>
      <c r="N217" s="0" t="n">
        <v>0</v>
      </c>
      <c r="Q217" s="0" t="n">
        <v>0</v>
      </c>
      <c r="S217" s="0" t="n">
        <v>0</v>
      </c>
      <c r="U217" s="22" t="b">
        <f aca="false">FALSE()</f>
        <v>0</v>
      </c>
      <c r="V217" s="0" t="n">
        <v>0.75</v>
      </c>
      <c r="W217" s="0" t="n">
        <v>0.72</v>
      </c>
      <c r="X217" s="0" t="n">
        <v>8.16</v>
      </c>
      <c r="Y217" s="0" t="n">
        <v>316.81</v>
      </c>
      <c r="Z217" s="0" t="n">
        <v>8</v>
      </c>
      <c r="AA217" s="0" t="n">
        <v>-0.83</v>
      </c>
      <c r="AB217" s="0" t="n">
        <v>0.78</v>
      </c>
      <c r="AC217" s="22" t="b">
        <f aca="false">FALSE()</f>
        <v>0</v>
      </c>
      <c r="AD217" s="0" t="n">
        <v>0.76</v>
      </c>
      <c r="AE217" s="0" t="n">
        <v>1.8</v>
      </c>
      <c r="AF217" s="0" t="n">
        <v>1.5</v>
      </c>
      <c r="AG217" s="22" t="b">
        <f aca="false">FALSE()</f>
        <v>0</v>
      </c>
      <c r="AH217" s="0" t="n">
        <v>1</v>
      </c>
    </row>
    <row r="218" customFormat="false" ht="15" hidden="false" customHeight="false" outlineLevel="0" collapsed="false">
      <c r="A218" s="0" t="s">
        <v>480</v>
      </c>
      <c r="B218" s="0" t="s">
        <v>3459</v>
      </c>
      <c r="C218" s="0" t="s">
        <v>3450</v>
      </c>
      <c r="D218" s="0" t="s">
        <v>3457</v>
      </c>
      <c r="E218" s="20" t="s">
        <v>25</v>
      </c>
      <c r="F218" s="23" t="s">
        <v>30</v>
      </c>
      <c r="G218" s="21" t="s">
        <v>2133</v>
      </c>
      <c r="H218" s="21" t="s">
        <v>24</v>
      </c>
      <c r="I218" s="21" t="s">
        <v>24</v>
      </c>
      <c r="J218" s="21" t="s">
        <v>24</v>
      </c>
      <c r="K218" s="21" t="s">
        <v>25</v>
      </c>
      <c r="L218" s="21" t="s">
        <v>24</v>
      </c>
      <c r="M218" s="0" t="n">
        <v>184</v>
      </c>
      <c r="N218" s="0" t="n">
        <v>2</v>
      </c>
      <c r="O218" s="21" t="s">
        <v>3573</v>
      </c>
      <c r="P218" s="21" t="s">
        <v>4346</v>
      </c>
      <c r="Q218" s="0" t="n">
        <v>0</v>
      </c>
      <c r="S218" s="0" t="n">
        <v>2</v>
      </c>
      <c r="T218" s="21" t="s">
        <v>3573</v>
      </c>
      <c r="U218" s="22" t="b">
        <f aca="false">TRUE()</f>
        <v>1</v>
      </c>
      <c r="V218" s="0" t="n">
        <v>0.66</v>
      </c>
      <c r="W218" s="0" t="n">
        <v>0.52</v>
      </c>
      <c r="X218" s="0" t="n">
        <v>8.13</v>
      </c>
      <c r="Y218" s="0" t="n">
        <v>292.37</v>
      </c>
      <c r="Z218" s="0" t="n">
        <v>9.08</v>
      </c>
      <c r="AA218" s="0" t="n">
        <v>3.23</v>
      </c>
      <c r="AB218" s="0" t="n">
        <v>1.36</v>
      </c>
      <c r="AC218" s="22" t="b">
        <f aca="false">FALSE()</f>
        <v>0</v>
      </c>
      <c r="AD218" s="0" t="n">
        <v>17.81</v>
      </c>
      <c r="AE218" s="0" t="n">
        <v>5.66</v>
      </c>
      <c r="AF218" s="0" t="n">
        <v>12.89</v>
      </c>
      <c r="AG218" s="22" t="b">
        <f aca="false">TRUE()</f>
        <v>1</v>
      </c>
      <c r="AH218" s="0" t="n">
        <v>1</v>
      </c>
    </row>
    <row r="219" customFormat="false" ht="15" hidden="false" customHeight="false" outlineLevel="0" collapsed="false">
      <c r="A219" s="0" t="s">
        <v>480</v>
      </c>
      <c r="B219" s="0" t="s">
        <v>3459</v>
      </c>
      <c r="C219" s="0" t="s">
        <v>3450</v>
      </c>
      <c r="D219" s="0" t="s">
        <v>3448</v>
      </c>
      <c r="E219" s="20" t="s">
        <v>25</v>
      </c>
      <c r="F219" s="23" t="s">
        <v>30</v>
      </c>
      <c r="G219" s="21" t="s">
        <v>1099</v>
      </c>
      <c r="H219" s="21" t="s">
        <v>24</v>
      </c>
      <c r="I219" s="21" t="s">
        <v>25</v>
      </c>
      <c r="J219" s="21" t="s">
        <v>24</v>
      </c>
      <c r="K219" s="21" t="s">
        <v>25</v>
      </c>
      <c r="L219" s="21" t="s">
        <v>24</v>
      </c>
      <c r="M219" s="0" t="n">
        <v>185</v>
      </c>
      <c r="N219" s="0" t="n">
        <v>3</v>
      </c>
      <c r="O219" s="21" t="s">
        <v>3703</v>
      </c>
      <c r="P219" s="21" t="s">
        <v>4347</v>
      </c>
      <c r="Q219" s="0" t="n">
        <v>1</v>
      </c>
      <c r="R219" s="21" t="s">
        <v>69</v>
      </c>
      <c r="S219" s="0" t="n">
        <v>3</v>
      </c>
      <c r="T219" s="21" t="s">
        <v>3703</v>
      </c>
      <c r="U219" s="22" t="b">
        <f aca="false">TRUE()</f>
        <v>1</v>
      </c>
      <c r="V219" s="0" t="n">
        <v>0.74</v>
      </c>
      <c r="W219" s="0" t="n">
        <v>0.16</v>
      </c>
      <c r="X219" s="0" t="n">
        <v>8.19</v>
      </c>
      <c r="Y219" s="0" t="n">
        <v>564.93</v>
      </c>
      <c r="Z219" s="0" t="n">
        <v>9</v>
      </c>
      <c r="AA219" s="0" t="n">
        <v>11.03</v>
      </c>
      <c r="AB219" s="0" t="n">
        <v>1.22</v>
      </c>
      <c r="AC219" s="22" t="b">
        <f aca="false">FALSE()</f>
        <v>0</v>
      </c>
      <c r="AD219" s="0" t="n">
        <v>17.71</v>
      </c>
      <c r="AE219" s="0" t="n">
        <v>5.94</v>
      </c>
      <c r="AF219" s="0" t="n">
        <v>15.93</v>
      </c>
      <c r="AG219" s="22" t="b">
        <f aca="false">TRUE()</f>
        <v>1</v>
      </c>
      <c r="AH219" s="0" t="n">
        <v>1</v>
      </c>
    </row>
    <row r="220" customFormat="false" ht="15" hidden="false" customHeight="false" outlineLevel="0" collapsed="false">
      <c r="A220" s="0" t="s">
        <v>480</v>
      </c>
      <c r="B220" s="0" t="s">
        <v>3459</v>
      </c>
      <c r="C220" s="0" t="s">
        <v>3447</v>
      </c>
      <c r="D220" s="0" t="s">
        <v>3457</v>
      </c>
      <c r="E220" s="20" t="s">
        <v>25</v>
      </c>
      <c r="F220" s="23" t="s">
        <v>30</v>
      </c>
      <c r="G220" s="21" t="s">
        <v>2133</v>
      </c>
      <c r="H220" s="21" t="s">
        <v>24</v>
      </c>
      <c r="I220" s="21" t="s">
        <v>24</v>
      </c>
      <c r="J220" s="21" t="s">
        <v>24</v>
      </c>
      <c r="K220" s="21" t="s">
        <v>25</v>
      </c>
      <c r="L220" s="21" t="s">
        <v>24</v>
      </c>
      <c r="M220" s="0" t="n">
        <v>182</v>
      </c>
      <c r="N220" s="0" t="n">
        <v>4</v>
      </c>
      <c r="O220" s="21" t="s">
        <v>3634</v>
      </c>
      <c r="P220" s="21" t="s">
        <v>4348</v>
      </c>
      <c r="Q220" s="0" t="n">
        <v>0</v>
      </c>
      <c r="S220" s="0" t="n">
        <v>4</v>
      </c>
      <c r="T220" s="21" t="s">
        <v>3634</v>
      </c>
      <c r="U220" s="22" t="b">
        <f aca="false">TRUE()</f>
        <v>1</v>
      </c>
      <c r="V220" s="0" t="n">
        <v>0.77</v>
      </c>
      <c r="W220" s="0" t="n">
        <v>0</v>
      </c>
      <c r="X220" s="0" t="n">
        <v>7.17</v>
      </c>
      <c r="Y220" s="0" t="n">
        <v>13.66</v>
      </c>
      <c r="Z220" s="0" t="n">
        <v>10.25</v>
      </c>
      <c r="AA220" s="0" t="n">
        <v>-0.38</v>
      </c>
      <c r="AB220" s="0" t="n">
        <v>1.36</v>
      </c>
      <c r="AC220" s="22" t="b">
        <f aca="false">FALSE()</f>
        <v>0</v>
      </c>
      <c r="AD220" s="0" t="n">
        <v>13.73</v>
      </c>
      <c r="AE220" s="0" t="n">
        <v>3.23</v>
      </c>
      <c r="AF220" s="0" t="n">
        <v>10.91</v>
      </c>
      <c r="AG220" s="22" t="b">
        <f aca="false">TRUE()</f>
        <v>1</v>
      </c>
      <c r="AH220" s="0" t="n">
        <v>0</v>
      </c>
    </row>
    <row r="221" customFormat="false" ht="15" hidden="false" customHeight="false" outlineLevel="0" collapsed="false">
      <c r="A221" s="0" t="s">
        <v>480</v>
      </c>
      <c r="B221" s="0" t="s">
        <v>3459</v>
      </c>
      <c r="C221" s="0" t="s">
        <v>3447</v>
      </c>
      <c r="D221" s="0" t="s">
        <v>3448</v>
      </c>
      <c r="E221" s="20" t="s">
        <v>25</v>
      </c>
      <c r="F221" s="23" t="s">
        <v>30</v>
      </c>
      <c r="G221" s="21" t="s">
        <v>2133</v>
      </c>
      <c r="H221" s="21" t="s">
        <v>24</v>
      </c>
      <c r="I221" s="21" t="s">
        <v>24</v>
      </c>
      <c r="J221" s="21" t="s">
        <v>24</v>
      </c>
      <c r="K221" s="21" t="s">
        <v>25</v>
      </c>
      <c r="L221" s="21" t="s">
        <v>24</v>
      </c>
      <c r="M221" s="0" t="n">
        <v>184</v>
      </c>
      <c r="N221" s="0" t="n">
        <v>4</v>
      </c>
      <c r="O221" s="21" t="s">
        <v>3640</v>
      </c>
      <c r="P221" s="21" t="s">
        <v>4349</v>
      </c>
      <c r="Q221" s="0" t="n">
        <v>0</v>
      </c>
      <c r="S221" s="0" t="n">
        <v>4</v>
      </c>
      <c r="T221" s="21" t="s">
        <v>3640</v>
      </c>
      <c r="U221" s="22" t="b">
        <f aca="false">TRUE()</f>
        <v>1</v>
      </c>
      <c r="V221" s="0" t="n">
        <v>0.77</v>
      </c>
      <c r="W221" s="0" t="n">
        <v>0.36</v>
      </c>
      <c r="X221" s="0" t="n">
        <v>7.04</v>
      </c>
      <c r="Y221" s="0" t="n">
        <v>380.34</v>
      </c>
      <c r="Z221" s="0" t="n">
        <v>8.25</v>
      </c>
      <c r="AA221" s="0" t="n">
        <v>-0.34</v>
      </c>
      <c r="AB221" s="0" t="n">
        <v>1.22</v>
      </c>
      <c r="AC221" s="22" t="b">
        <f aca="false">FALSE()</f>
        <v>0</v>
      </c>
      <c r="AD221" s="0" t="n">
        <v>15.07</v>
      </c>
      <c r="AE221" s="0" t="n">
        <v>4.95</v>
      </c>
      <c r="AF221" s="0" t="n">
        <v>13.23</v>
      </c>
      <c r="AG221" s="22" t="b">
        <f aca="false">TRUE()</f>
        <v>1</v>
      </c>
      <c r="AH221" s="0" t="n">
        <v>1</v>
      </c>
    </row>
    <row r="222" customFormat="false" ht="15" hidden="false" customHeight="false" outlineLevel="0" collapsed="false">
      <c r="A222" s="0" t="s">
        <v>487</v>
      </c>
      <c r="B222" s="0" t="s">
        <v>134</v>
      </c>
      <c r="C222" s="0" t="s">
        <v>3450</v>
      </c>
      <c r="D222" s="0" t="s">
        <v>3457</v>
      </c>
      <c r="E222" s="20" t="s">
        <v>25</v>
      </c>
      <c r="F222" s="23" t="s">
        <v>30</v>
      </c>
      <c r="G222" s="21" t="s">
        <v>283</v>
      </c>
      <c r="H222" s="21" t="s">
        <v>24</v>
      </c>
      <c r="I222" s="21" t="s">
        <v>25</v>
      </c>
      <c r="J222" s="21" t="s">
        <v>24</v>
      </c>
      <c r="K222" s="21" t="s">
        <v>24</v>
      </c>
      <c r="L222" s="21" t="s">
        <v>24</v>
      </c>
      <c r="M222" s="0" t="n">
        <v>184</v>
      </c>
      <c r="N222" s="0" t="n">
        <v>3</v>
      </c>
      <c r="O222" s="21" t="s">
        <v>3649</v>
      </c>
      <c r="P222" s="21" t="s">
        <v>4242</v>
      </c>
      <c r="Q222" s="0" t="n">
        <v>1</v>
      </c>
      <c r="R222" s="21" t="s">
        <v>69</v>
      </c>
      <c r="S222" s="0" t="n">
        <v>3</v>
      </c>
      <c r="T222" s="21" t="s">
        <v>3649</v>
      </c>
      <c r="U222" s="22" t="b">
        <f aca="false">TRUE()</f>
        <v>1</v>
      </c>
      <c r="V222" s="0" t="n">
        <v>0.76</v>
      </c>
      <c r="W222" s="0" t="n">
        <v>0.4</v>
      </c>
      <c r="X222" s="0" t="n">
        <v>6.62</v>
      </c>
      <c r="Y222" s="0" t="n">
        <v>360.19</v>
      </c>
      <c r="Z222" s="0" t="n">
        <v>11.25</v>
      </c>
      <c r="AA222" s="0" t="n">
        <v>3.7</v>
      </c>
      <c r="AB222" s="0" t="n">
        <v>2.97</v>
      </c>
      <c r="AC222" s="22" t="b">
        <f aca="false">FALSE()</f>
        <v>0</v>
      </c>
      <c r="AD222" s="0" t="n">
        <v>9.37</v>
      </c>
      <c r="AE222" s="0" t="n">
        <v>0.77</v>
      </c>
      <c r="AF222" s="0" t="n">
        <v>4.25</v>
      </c>
      <c r="AG222" s="22" t="b">
        <f aca="false">FALSE()</f>
        <v>0</v>
      </c>
      <c r="AH222" s="0" t="n">
        <v>1</v>
      </c>
    </row>
    <row r="223" customFormat="false" ht="15" hidden="false" customHeight="false" outlineLevel="0" collapsed="false">
      <c r="A223" s="0" t="s">
        <v>487</v>
      </c>
      <c r="B223" s="0" t="s">
        <v>134</v>
      </c>
      <c r="C223" s="0" t="s">
        <v>3450</v>
      </c>
      <c r="D223" s="0" t="s">
        <v>3448</v>
      </c>
      <c r="E223" s="18" t="s">
        <v>24</v>
      </c>
      <c r="F223" s="18" t="s">
        <v>28</v>
      </c>
      <c r="H223" s="21" t="s">
        <v>24</v>
      </c>
      <c r="I223" s="21" t="s">
        <v>24</v>
      </c>
      <c r="J223" s="21" t="s">
        <v>24</v>
      </c>
      <c r="K223" s="21" t="s">
        <v>24</v>
      </c>
      <c r="L223" s="21" t="s">
        <v>24</v>
      </c>
      <c r="M223" s="0" t="n">
        <v>183</v>
      </c>
      <c r="N223" s="0" t="n">
        <v>0</v>
      </c>
      <c r="Q223" s="0" t="n">
        <v>0</v>
      </c>
      <c r="S223" s="0" t="n">
        <v>0</v>
      </c>
      <c r="U223" s="22" t="b">
        <f aca="false">FALSE()</f>
        <v>0</v>
      </c>
      <c r="V223" s="0" t="n">
        <v>0.73</v>
      </c>
      <c r="W223" s="0" t="n">
        <v>0.8</v>
      </c>
      <c r="X223" s="0" t="n">
        <v>7.77</v>
      </c>
      <c r="Y223" s="0" t="n">
        <v>320.85</v>
      </c>
      <c r="Z223" s="0" t="n">
        <v>10.25</v>
      </c>
      <c r="AA223" s="0" t="n">
        <v>7.94</v>
      </c>
      <c r="AB223" s="0" t="n">
        <v>3.3</v>
      </c>
      <c r="AC223" s="22" t="b">
        <f aca="false">FALSE()</f>
        <v>0</v>
      </c>
      <c r="AD223" s="0" t="n">
        <v>8.23</v>
      </c>
      <c r="AE223" s="0" t="n">
        <v>0.74</v>
      </c>
      <c r="AF223" s="0" t="n">
        <v>4.29</v>
      </c>
      <c r="AG223" s="22" t="b">
        <f aca="false">FALSE()</f>
        <v>0</v>
      </c>
      <c r="AH223" s="0" t="n">
        <v>1</v>
      </c>
    </row>
    <row r="224" customFormat="false" ht="15" hidden="false" customHeight="false" outlineLevel="0" collapsed="false">
      <c r="A224" s="0" t="s">
        <v>487</v>
      </c>
      <c r="B224" s="0" t="s">
        <v>134</v>
      </c>
      <c r="C224" s="0" t="s">
        <v>3447</v>
      </c>
      <c r="D224" s="0" t="s">
        <v>3457</v>
      </c>
      <c r="E224" s="19" t="s">
        <v>26</v>
      </c>
      <c r="F224" s="19" t="s">
        <v>32</v>
      </c>
      <c r="G224" s="21" t="s">
        <v>60</v>
      </c>
      <c r="H224" s="21" t="s">
        <v>24</v>
      </c>
      <c r="I224" s="21" t="s">
        <v>26</v>
      </c>
      <c r="J224" s="21" t="s">
        <v>24</v>
      </c>
      <c r="K224" s="21" t="s">
        <v>24</v>
      </c>
      <c r="L224" s="21" t="s">
        <v>24</v>
      </c>
      <c r="M224" s="0" t="n">
        <v>183</v>
      </c>
      <c r="N224" s="0" t="n">
        <v>7</v>
      </c>
      <c r="O224" s="21" t="s">
        <v>3883</v>
      </c>
      <c r="P224" s="21" t="s">
        <v>4350</v>
      </c>
      <c r="Q224" s="0" t="n">
        <v>0</v>
      </c>
      <c r="S224" s="0" t="n">
        <v>7</v>
      </c>
      <c r="T224" s="21" t="s">
        <v>3883</v>
      </c>
      <c r="U224" s="22" t="b">
        <f aca="false">FALSE()</f>
        <v>0</v>
      </c>
      <c r="V224" s="0" t="n">
        <v>0.77</v>
      </c>
      <c r="W224" s="0" t="n">
        <v>0</v>
      </c>
      <c r="X224" s="0" t="n">
        <v>7.57</v>
      </c>
      <c r="Y224" s="0" t="n">
        <v>2.69</v>
      </c>
      <c r="Z224" s="0" t="n">
        <v>8</v>
      </c>
      <c r="AA224" s="0" t="n">
        <v>1.2</v>
      </c>
      <c r="AB224" s="0" t="n">
        <v>2.97</v>
      </c>
      <c r="AC224" s="22" t="b">
        <f aca="false">FALSE()</f>
        <v>0</v>
      </c>
      <c r="AD224" s="0" t="n">
        <v>10.23</v>
      </c>
      <c r="AE224" s="0" t="n">
        <v>0.45</v>
      </c>
      <c r="AF224" s="0" t="n">
        <v>7.15</v>
      </c>
      <c r="AG224" s="22" t="b">
        <f aca="false">TRUE()</f>
        <v>1</v>
      </c>
      <c r="AH224" s="0" t="n">
        <v>0</v>
      </c>
    </row>
    <row r="225" customFormat="false" ht="15" hidden="false" customHeight="false" outlineLevel="0" collapsed="false">
      <c r="A225" s="0" t="s">
        <v>487</v>
      </c>
      <c r="B225" s="0" t="s">
        <v>134</v>
      </c>
      <c r="C225" s="0" t="s">
        <v>3447</v>
      </c>
      <c r="D225" s="0" t="s">
        <v>3448</v>
      </c>
      <c r="E225" s="18" t="s">
        <v>24</v>
      </c>
      <c r="F225" s="23" t="s">
        <v>30</v>
      </c>
      <c r="G225" s="21" t="s">
        <v>30</v>
      </c>
      <c r="H225" s="21" t="s">
        <v>24</v>
      </c>
      <c r="I225" s="21" t="s">
        <v>24</v>
      </c>
      <c r="J225" s="21" t="s">
        <v>24</v>
      </c>
      <c r="K225" s="21" t="s">
        <v>24</v>
      </c>
      <c r="L225" s="21" t="s">
        <v>24</v>
      </c>
      <c r="M225" s="0" t="n">
        <v>185</v>
      </c>
      <c r="N225" s="0" t="n">
        <v>4</v>
      </c>
      <c r="O225" s="21" t="s">
        <v>3642</v>
      </c>
      <c r="P225" s="21" t="s">
        <v>4351</v>
      </c>
      <c r="Q225" s="0" t="n">
        <v>0</v>
      </c>
      <c r="S225" s="0" t="n">
        <v>4</v>
      </c>
      <c r="T225" s="21" t="s">
        <v>3642</v>
      </c>
      <c r="U225" s="22" t="b">
        <f aca="false">TRUE()</f>
        <v>1</v>
      </c>
      <c r="V225" s="0" t="n">
        <v>0.74</v>
      </c>
      <c r="W225" s="0" t="n">
        <v>0.4</v>
      </c>
      <c r="X225" s="0" t="n">
        <v>9.31</v>
      </c>
      <c r="Y225" s="0" t="n">
        <v>361.42</v>
      </c>
      <c r="Z225" s="0" t="n">
        <v>11.75</v>
      </c>
      <c r="AA225" s="0" t="n">
        <v>1.47</v>
      </c>
      <c r="AB225" s="0" t="n">
        <v>3.3</v>
      </c>
      <c r="AC225" s="22" t="b">
        <f aca="false">FALSE()</f>
        <v>0</v>
      </c>
      <c r="AD225" s="0" t="n">
        <v>4.09</v>
      </c>
      <c r="AE225" s="0" t="n">
        <v>1.39</v>
      </c>
      <c r="AF225" s="0" t="n">
        <v>3.18</v>
      </c>
      <c r="AG225" s="22" t="b">
        <f aca="false">FALSE()</f>
        <v>0</v>
      </c>
      <c r="AH225" s="0" t="n">
        <v>1</v>
      </c>
    </row>
    <row r="226" customFormat="false" ht="15" hidden="false" customHeight="false" outlineLevel="0" collapsed="false">
      <c r="A226" s="0" t="s">
        <v>487</v>
      </c>
      <c r="B226" s="0" t="s">
        <v>3459</v>
      </c>
      <c r="C226" s="0" t="s">
        <v>3450</v>
      </c>
      <c r="D226" s="0" t="s">
        <v>3457</v>
      </c>
      <c r="E226" s="20" t="s">
        <v>25</v>
      </c>
      <c r="F226" s="23" t="s">
        <v>30</v>
      </c>
      <c r="G226" s="21" t="s">
        <v>183</v>
      </c>
      <c r="H226" s="21" t="s">
        <v>24</v>
      </c>
      <c r="I226" s="21" t="s">
        <v>25</v>
      </c>
      <c r="J226" s="21" t="s">
        <v>24</v>
      </c>
      <c r="K226" s="21" t="s">
        <v>25</v>
      </c>
      <c r="L226" s="21" t="s">
        <v>24</v>
      </c>
      <c r="M226" s="0" t="n">
        <v>191</v>
      </c>
      <c r="N226" s="0" t="n">
        <v>1</v>
      </c>
      <c r="O226" s="21" t="s">
        <v>69</v>
      </c>
      <c r="P226" s="21" t="s">
        <v>4275</v>
      </c>
      <c r="Q226" s="0" t="n">
        <v>1</v>
      </c>
      <c r="R226" s="21" t="s">
        <v>69</v>
      </c>
      <c r="S226" s="0" t="n">
        <v>1</v>
      </c>
      <c r="T226" s="21" t="s">
        <v>69</v>
      </c>
      <c r="U226" s="22" t="b">
        <f aca="false">TRUE()</f>
        <v>1</v>
      </c>
      <c r="V226" s="0" t="n">
        <v>0.72</v>
      </c>
      <c r="W226" s="0" t="n">
        <v>0.52</v>
      </c>
      <c r="X226" s="0" t="n">
        <v>7.78</v>
      </c>
      <c r="Y226" s="0" t="n">
        <v>334.52</v>
      </c>
      <c r="Z226" s="0" t="n">
        <v>10.5</v>
      </c>
      <c r="AA226" s="0" t="n">
        <v>6.18</v>
      </c>
      <c r="AB226" s="0" t="n">
        <v>2.9</v>
      </c>
      <c r="AC226" s="22" t="b">
        <f aca="false">FALSE()</f>
        <v>0</v>
      </c>
      <c r="AD226" s="0" t="n">
        <v>24.23</v>
      </c>
      <c r="AE226" s="0" t="n">
        <v>12.88</v>
      </c>
      <c r="AF226" s="0" t="n">
        <v>19.13</v>
      </c>
      <c r="AG226" s="22" t="b">
        <f aca="false">TRUE()</f>
        <v>1</v>
      </c>
      <c r="AH226" s="0" t="n">
        <v>1</v>
      </c>
    </row>
    <row r="227" customFormat="false" ht="15" hidden="false" customHeight="false" outlineLevel="0" collapsed="false">
      <c r="A227" s="0" t="s">
        <v>487</v>
      </c>
      <c r="B227" s="0" t="s">
        <v>3459</v>
      </c>
      <c r="C227" s="0" t="s">
        <v>3450</v>
      </c>
      <c r="D227" s="0" t="s">
        <v>3448</v>
      </c>
      <c r="E227" s="20" t="s">
        <v>25</v>
      </c>
      <c r="F227" s="23" t="s">
        <v>30</v>
      </c>
      <c r="G227" s="21" t="s">
        <v>1099</v>
      </c>
      <c r="H227" s="21" t="s">
        <v>24</v>
      </c>
      <c r="I227" s="21" t="s">
        <v>25</v>
      </c>
      <c r="J227" s="21" t="s">
        <v>24</v>
      </c>
      <c r="K227" s="21" t="s">
        <v>25</v>
      </c>
      <c r="L227" s="21" t="s">
        <v>24</v>
      </c>
      <c r="M227" s="0" t="n">
        <v>184</v>
      </c>
      <c r="N227" s="0" t="n">
        <v>3</v>
      </c>
      <c r="O227" s="21" t="s">
        <v>3649</v>
      </c>
      <c r="P227" s="21" t="s">
        <v>4242</v>
      </c>
      <c r="Q227" s="0" t="n">
        <v>1</v>
      </c>
      <c r="R227" s="21" t="s">
        <v>69</v>
      </c>
      <c r="S227" s="0" t="n">
        <v>3</v>
      </c>
      <c r="T227" s="21" t="s">
        <v>3649</v>
      </c>
      <c r="U227" s="22" t="b">
        <f aca="false">TRUE()</f>
        <v>1</v>
      </c>
      <c r="V227" s="0" t="n">
        <v>0.71</v>
      </c>
      <c r="W227" s="0" t="n">
        <v>0</v>
      </c>
      <c r="X227" s="0" t="n">
        <v>7.87</v>
      </c>
      <c r="Y227" s="0" t="n">
        <v>5.4</v>
      </c>
      <c r="Z227" s="0" t="n">
        <v>9</v>
      </c>
      <c r="AA227" s="0" t="n">
        <v>6.27</v>
      </c>
      <c r="AB227" s="0" t="n">
        <v>0.99</v>
      </c>
      <c r="AC227" s="22" t="b">
        <f aca="false">FALSE()</f>
        <v>0</v>
      </c>
      <c r="AD227" s="0" t="n">
        <v>19.96</v>
      </c>
      <c r="AE227" s="0" t="n">
        <v>8.86</v>
      </c>
      <c r="AF227" s="0" t="n">
        <v>15.99</v>
      </c>
      <c r="AG227" s="22" t="b">
        <f aca="false">TRUE()</f>
        <v>1</v>
      </c>
      <c r="AH227" s="0" t="n">
        <v>0</v>
      </c>
    </row>
    <row r="228" customFormat="false" ht="15" hidden="false" customHeight="false" outlineLevel="0" collapsed="false">
      <c r="A228" s="0" t="s">
        <v>487</v>
      </c>
      <c r="B228" s="0" t="s">
        <v>3459</v>
      </c>
      <c r="C228" s="0" t="s">
        <v>3447</v>
      </c>
      <c r="D228" s="0" t="s">
        <v>3457</v>
      </c>
      <c r="E228" s="19" t="s">
        <v>26</v>
      </c>
      <c r="F228" s="19" t="s">
        <v>32</v>
      </c>
      <c r="G228" s="21" t="s">
        <v>529</v>
      </c>
      <c r="H228" s="21" t="s">
        <v>24</v>
      </c>
      <c r="I228" s="21" t="s">
        <v>26</v>
      </c>
      <c r="J228" s="21" t="s">
        <v>24</v>
      </c>
      <c r="K228" s="21" t="s">
        <v>24</v>
      </c>
      <c r="L228" s="21" t="s">
        <v>24</v>
      </c>
      <c r="M228" s="0" t="n">
        <v>183</v>
      </c>
      <c r="N228" s="0" t="n">
        <v>11</v>
      </c>
      <c r="O228" s="21" t="s">
        <v>4034</v>
      </c>
      <c r="P228" s="21" t="s">
        <v>4252</v>
      </c>
      <c r="Q228" s="0" t="n">
        <v>1</v>
      </c>
      <c r="R228" s="21" t="s">
        <v>69</v>
      </c>
      <c r="S228" s="0" t="n">
        <v>11</v>
      </c>
      <c r="T228" s="21" t="s">
        <v>4034</v>
      </c>
      <c r="U228" s="22" t="b">
        <f aca="false">FALSE()</f>
        <v>0</v>
      </c>
      <c r="V228" s="0" t="n">
        <v>0.77</v>
      </c>
      <c r="W228" s="0" t="n">
        <v>0.32</v>
      </c>
      <c r="X228" s="0" t="n">
        <v>8.35</v>
      </c>
      <c r="Y228" s="0" t="n">
        <v>395.98</v>
      </c>
      <c r="Z228" s="0" t="n">
        <v>9.17</v>
      </c>
      <c r="AA228" s="0" t="n">
        <v>1.62</v>
      </c>
      <c r="AB228" s="0" t="n">
        <v>2.9</v>
      </c>
      <c r="AC228" s="22" t="b">
        <f aca="false">FALSE()</f>
        <v>0</v>
      </c>
      <c r="AD228" s="0" t="n">
        <v>19.75</v>
      </c>
      <c r="AE228" s="0" t="n">
        <v>8.01</v>
      </c>
      <c r="AF228" s="0" t="n">
        <v>13.81</v>
      </c>
      <c r="AG228" s="22" t="b">
        <f aca="false">TRUE()</f>
        <v>1</v>
      </c>
      <c r="AH228" s="0" t="n">
        <v>1</v>
      </c>
    </row>
    <row r="229" customFormat="false" ht="15" hidden="false" customHeight="false" outlineLevel="0" collapsed="false">
      <c r="A229" s="0" t="s">
        <v>487</v>
      </c>
      <c r="B229" s="0" t="s">
        <v>3459</v>
      </c>
      <c r="C229" s="0" t="s">
        <v>3447</v>
      </c>
      <c r="D229" s="0" t="s">
        <v>3448</v>
      </c>
      <c r="E229" s="19" t="s">
        <v>26</v>
      </c>
      <c r="F229" s="19" t="s">
        <v>32</v>
      </c>
      <c r="G229" s="21" t="s">
        <v>3885</v>
      </c>
      <c r="H229" s="21" t="s">
        <v>24</v>
      </c>
      <c r="I229" s="21" t="s">
        <v>26</v>
      </c>
      <c r="J229" s="21" t="s">
        <v>24</v>
      </c>
      <c r="K229" s="21" t="s">
        <v>25</v>
      </c>
      <c r="L229" s="21" t="s">
        <v>24</v>
      </c>
      <c r="M229" s="0" t="n">
        <v>184</v>
      </c>
      <c r="N229" s="0" t="n">
        <v>7</v>
      </c>
      <c r="O229" s="21" t="s">
        <v>3884</v>
      </c>
      <c r="P229" s="21" t="s">
        <v>4352</v>
      </c>
      <c r="Q229" s="0" t="n">
        <v>0</v>
      </c>
      <c r="S229" s="0" t="n">
        <v>7</v>
      </c>
      <c r="T229" s="21" t="s">
        <v>3884</v>
      </c>
      <c r="U229" s="22" t="b">
        <f aca="false">FALSE()</f>
        <v>0</v>
      </c>
      <c r="V229" s="0" t="n">
        <v>0.8</v>
      </c>
      <c r="W229" s="0" t="n">
        <v>0.88</v>
      </c>
      <c r="X229" s="0" t="n">
        <v>9.36</v>
      </c>
      <c r="Y229" s="0" t="n">
        <v>254.02</v>
      </c>
      <c r="Z229" s="0" t="n">
        <v>9.33</v>
      </c>
      <c r="AA229" s="0" t="n">
        <v>0.26</v>
      </c>
      <c r="AB229" s="0" t="n">
        <v>0.99</v>
      </c>
      <c r="AC229" s="22" t="b">
        <f aca="false">FALSE()</f>
        <v>0</v>
      </c>
      <c r="AD229" s="0" t="n">
        <v>12.74</v>
      </c>
      <c r="AE229" s="0" t="n">
        <v>1.84</v>
      </c>
      <c r="AF229" s="0" t="n">
        <v>8.2</v>
      </c>
      <c r="AG229" s="22" t="b">
        <f aca="false">TRUE()</f>
        <v>1</v>
      </c>
      <c r="AH229" s="0" t="n">
        <v>1</v>
      </c>
    </row>
    <row r="230" customFormat="false" ht="15" hidden="false" customHeight="false" outlineLevel="0" collapsed="false">
      <c r="A230" s="0" t="s">
        <v>493</v>
      </c>
      <c r="B230" s="0" t="s">
        <v>134</v>
      </c>
      <c r="C230" s="0" t="s">
        <v>3450</v>
      </c>
      <c r="D230" s="0" t="s">
        <v>3457</v>
      </c>
      <c r="E230" s="18" t="s">
        <v>24</v>
      </c>
      <c r="F230" s="18" t="s">
        <v>28</v>
      </c>
      <c r="H230" s="21" t="s">
        <v>24</v>
      </c>
      <c r="I230" s="21" t="s">
        <v>24</v>
      </c>
      <c r="J230" s="21" t="s">
        <v>24</v>
      </c>
      <c r="K230" s="21" t="s">
        <v>24</v>
      </c>
      <c r="L230" s="21" t="s">
        <v>24</v>
      </c>
      <c r="M230" s="0" t="n">
        <v>183</v>
      </c>
      <c r="N230" s="0" t="n">
        <v>0</v>
      </c>
      <c r="Q230" s="0" t="n">
        <v>0</v>
      </c>
      <c r="S230" s="0" t="n">
        <v>0</v>
      </c>
      <c r="U230" s="22" t="b">
        <f aca="false">FALSE()</f>
        <v>0</v>
      </c>
      <c r="V230" s="0" t="n">
        <v>0.72</v>
      </c>
      <c r="W230" s="0" t="n">
        <v>0.36</v>
      </c>
      <c r="X230" s="0" t="n">
        <v>10.75</v>
      </c>
      <c r="Y230" s="0" t="n">
        <v>365.43</v>
      </c>
      <c r="Z230" s="0" t="n">
        <v>9.33</v>
      </c>
      <c r="AA230" s="0" t="n">
        <v>15.76</v>
      </c>
      <c r="AB230" s="0" t="n">
        <v>11.18</v>
      </c>
      <c r="AC230" s="22" t="b">
        <f aca="false">FALSE()</f>
        <v>0</v>
      </c>
      <c r="AD230" s="0" t="n">
        <v>17.18</v>
      </c>
      <c r="AE230" s="0" t="n">
        <v>0.38</v>
      </c>
      <c r="AF230" s="0" t="n">
        <v>10.91</v>
      </c>
      <c r="AG230" s="22" t="b">
        <f aca="false">TRUE()</f>
        <v>1</v>
      </c>
      <c r="AH230" s="0" t="n">
        <v>1</v>
      </c>
    </row>
    <row r="231" customFormat="false" ht="15" hidden="false" customHeight="false" outlineLevel="0" collapsed="false">
      <c r="A231" s="0" t="s">
        <v>493</v>
      </c>
      <c r="B231" s="0" t="s">
        <v>134</v>
      </c>
      <c r="C231" s="0" t="s">
        <v>3450</v>
      </c>
      <c r="D231" s="0" t="s">
        <v>3448</v>
      </c>
      <c r="E231" s="18" t="s">
        <v>24</v>
      </c>
      <c r="F231" s="18" t="s">
        <v>28</v>
      </c>
      <c r="H231" s="21" t="s">
        <v>24</v>
      </c>
      <c r="I231" s="21" t="s">
        <v>24</v>
      </c>
      <c r="J231" s="21" t="s">
        <v>24</v>
      </c>
      <c r="K231" s="21" t="s">
        <v>24</v>
      </c>
      <c r="L231" s="21" t="s">
        <v>24</v>
      </c>
      <c r="M231" s="0" t="n">
        <v>183</v>
      </c>
      <c r="N231" s="0" t="n">
        <v>0</v>
      </c>
      <c r="Q231" s="0" t="n">
        <v>0</v>
      </c>
      <c r="S231" s="0" t="n">
        <v>0</v>
      </c>
      <c r="U231" s="22" t="b">
        <f aca="false">FALSE()</f>
        <v>0</v>
      </c>
      <c r="V231" s="0" t="n">
        <v>0.77</v>
      </c>
      <c r="W231" s="0" t="n">
        <v>0.4</v>
      </c>
      <c r="X231" s="0" t="n">
        <v>13.28</v>
      </c>
      <c r="Y231" s="0" t="n">
        <v>352.67</v>
      </c>
      <c r="Z231" s="0" t="n">
        <v>9.08</v>
      </c>
      <c r="AA231" s="0" t="n">
        <v>8.73</v>
      </c>
      <c r="AB231" s="0" t="n">
        <v>7.77</v>
      </c>
      <c r="AC231" s="22" t="b">
        <f aca="false">FALSE()</f>
        <v>0</v>
      </c>
      <c r="AD231" s="0" t="n">
        <v>17</v>
      </c>
      <c r="AE231" s="0" t="n">
        <v>1.08</v>
      </c>
      <c r="AF231" s="0" t="n">
        <v>8.36</v>
      </c>
      <c r="AG231" s="22" t="b">
        <f aca="false">TRUE()</f>
        <v>1</v>
      </c>
      <c r="AH231" s="0" t="n">
        <v>1</v>
      </c>
    </row>
    <row r="232" customFormat="false" ht="15" hidden="false" customHeight="false" outlineLevel="0" collapsed="false">
      <c r="A232" s="0" t="s">
        <v>493</v>
      </c>
      <c r="B232" s="0" t="s">
        <v>134</v>
      </c>
      <c r="C232" s="0" t="s">
        <v>3447</v>
      </c>
      <c r="D232" s="0" t="s">
        <v>3457</v>
      </c>
      <c r="E232" s="20" t="s">
        <v>25</v>
      </c>
      <c r="F232" s="23" t="s">
        <v>30</v>
      </c>
      <c r="G232" s="21" t="s">
        <v>283</v>
      </c>
      <c r="H232" s="21" t="s">
        <v>24</v>
      </c>
      <c r="I232" s="21" t="s">
        <v>25</v>
      </c>
      <c r="J232" s="21" t="s">
        <v>24</v>
      </c>
      <c r="K232" s="21" t="s">
        <v>24</v>
      </c>
      <c r="L232" s="21" t="s">
        <v>24</v>
      </c>
      <c r="M232" s="0" t="n">
        <v>185</v>
      </c>
      <c r="N232" s="0" t="n">
        <v>4</v>
      </c>
      <c r="O232" s="21" t="s">
        <v>3785</v>
      </c>
      <c r="P232" s="21" t="s">
        <v>4353</v>
      </c>
      <c r="Q232" s="0" t="n">
        <v>1</v>
      </c>
      <c r="R232" s="21" t="s">
        <v>69</v>
      </c>
      <c r="S232" s="0" t="n">
        <v>4</v>
      </c>
      <c r="T232" s="21" t="s">
        <v>3785</v>
      </c>
      <c r="U232" s="22" t="b">
        <f aca="false">TRUE()</f>
        <v>1</v>
      </c>
      <c r="V232" s="0" t="n">
        <v>0.72</v>
      </c>
      <c r="W232" s="0" t="n">
        <v>0.92</v>
      </c>
      <c r="X232" s="0" t="n">
        <v>9.14</v>
      </c>
      <c r="Y232" s="0" t="n">
        <v>318.88</v>
      </c>
      <c r="Z232" s="0" t="n">
        <v>9.75</v>
      </c>
      <c r="AA232" s="0" t="n">
        <v>3.36</v>
      </c>
      <c r="AB232" s="0" t="n">
        <v>11.18</v>
      </c>
      <c r="AC232" s="22" t="b">
        <f aca="false">FALSE()</f>
        <v>0</v>
      </c>
      <c r="AD232" s="0" t="n">
        <v>18.45</v>
      </c>
      <c r="AE232" s="0" t="n">
        <v>0.42</v>
      </c>
      <c r="AF232" s="0" t="n">
        <v>11.37</v>
      </c>
      <c r="AG232" s="22" t="b">
        <f aca="false">TRUE()</f>
        <v>1</v>
      </c>
      <c r="AH232" s="0" t="n">
        <v>1</v>
      </c>
    </row>
    <row r="233" customFormat="false" ht="15" hidden="false" customHeight="false" outlineLevel="0" collapsed="false">
      <c r="A233" s="0" t="s">
        <v>493</v>
      </c>
      <c r="B233" s="0" t="s">
        <v>134</v>
      </c>
      <c r="C233" s="0" t="s">
        <v>3447</v>
      </c>
      <c r="D233" s="0" t="s">
        <v>3448</v>
      </c>
      <c r="E233" s="18" t="s">
        <v>24</v>
      </c>
      <c r="F233" s="18" t="s">
        <v>28</v>
      </c>
      <c r="H233" s="21" t="s">
        <v>24</v>
      </c>
      <c r="I233" s="21" t="s">
        <v>24</v>
      </c>
      <c r="J233" s="21" t="s">
        <v>24</v>
      </c>
      <c r="K233" s="21" t="s">
        <v>24</v>
      </c>
      <c r="L233" s="21" t="s">
        <v>24</v>
      </c>
      <c r="M233" s="0" t="n">
        <v>185</v>
      </c>
      <c r="N233" s="0" t="n">
        <v>0</v>
      </c>
      <c r="Q233" s="0" t="n">
        <v>0</v>
      </c>
      <c r="S233" s="0" t="n">
        <v>0</v>
      </c>
      <c r="U233" s="22" t="b">
        <f aca="false">FALSE()</f>
        <v>0</v>
      </c>
      <c r="V233" s="0" t="n">
        <v>0.74</v>
      </c>
      <c r="W233" s="0" t="n">
        <v>0</v>
      </c>
      <c r="X233" s="0" t="n">
        <v>10.52</v>
      </c>
      <c r="Y233" s="0" t="n">
        <v>724.07</v>
      </c>
      <c r="Z233" s="0" t="n">
        <v>8.83</v>
      </c>
      <c r="AA233" s="0" t="n">
        <v>5.18</v>
      </c>
      <c r="AB233" s="0" t="n">
        <v>7.77</v>
      </c>
      <c r="AC233" s="22" t="b">
        <f aca="false">FALSE()</f>
        <v>0</v>
      </c>
      <c r="AD233" s="0" t="n">
        <v>16.15</v>
      </c>
      <c r="AE233" s="0" t="n">
        <v>0.79</v>
      </c>
      <c r="AF233" s="0" t="n">
        <v>7.6</v>
      </c>
      <c r="AG233" s="22" t="b">
        <f aca="false">TRUE()</f>
        <v>1</v>
      </c>
      <c r="AH233" s="0" t="n">
        <v>1</v>
      </c>
    </row>
    <row r="234" customFormat="false" ht="15" hidden="false" customHeight="false" outlineLevel="0" collapsed="false">
      <c r="A234" s="0" t="s">
        <v>500</v>
      </c>
      <c r="B234" s="0" t="s">
        <v>134</v>
      </c>
      <c r="C234" s="0" t="s">
        <v>3450</v>
      </c>
      <c r="D234" s="0" t="s">
        <v>3457</v>
      </c>
      <c r="E234" s="20" t="s">
        <v>25</v>
      </c>
      <c r="F234" s="20" t="s">
        <v>29</v>
      </c>
      <c r="G234" s="21" t="s">
        <v>3113</v>
      </c>
      <c r="H234" s="21" t="s">
        <v>24</v>
      </c>
      <c r="I234" s="21" t="s">
        <v>24</v>
      </c>
      <c r="J234" s="21" t="s">
        <v>24</v>
      </c>
      <c r="K234" s="21" t="s">
        <v>25</v>
      </c>
      <c r="L234" s="21" t="s">
        <v>24</v>
      </c>
      <c r="M234" s="0" t="n">
        <v>182</v>
      </c>
      <c r="N234" s="0" t="n">
        <v>0</v>
      </c>
      <c r="Q234" s="0" t="n">
        <v>0</v>
      </c>
      <c r="S234" s="0" t="n">
        <v>0</v>
      </c>
      <c r="U234" s="22" t="b">
        <f aca="false">FALSE()</f>
        <v>0</v>
      </c>
      <c r="V234" s="0" t="n">
        <v>0.77</v>
      </c>
      <c r="W234" s="0" t="n">
        <v>0.68</v>
      </c>
      <c r="X234" s="0" t="n">
        <v>7.2</v>
      </c>
      <c r="Y234" s="0" t="n">
        <v>302.89</v>
      </c>
      <c r="Z234" s="0" t="n">
        <v>9.08</v>
      </c>
      <c r="AA234" s="0" t="n">
        <v>-0.17</v>
      </c>
      <c r="AB234" s="0" t="n">
        <v>2.52</v>
      </c>
      <c r="AC234" s="22" t="b">
        <f aca="false">FALSE()</f>
        <v>0</v>
      </c>
      <c r="AD234" s="0" t="n">
        <v>20.84</v>
      </c>
      <c r="AE234" s="0" t="n">
        <v>0.63</v>
      </c>
      <c r="AF234" s="0" t="n">
        <v>16.18</v>
      </c>
      <c r="AG234" s="22" t="b">
        <f aca="false">TRUE()</f>
        <v>1</v>
      </c>
      <c r="AH234" s="0" t="n">
        <v>1</v>
      </c>
    </row>
    <row r="235" customFormat="false" ht="15" hidden="false" customHeight="false" outlineLevel="0" collapsed="false">
      <c r="A235" s="0" t="s">
        <v>500</v>
      </c>
      <c r="B235" s="0" t="s">
        <v>134</v>
      </c>
      <c r="C235" s="0" t="s">
        <v>3450</v>
      </c>
      <c r="D235" s="0" t="s">
        <v>3448</v>
      </c>
      <c r="E235" s="20" t="s">
        <v>25</v>
      </c>
      <c r="F235" s="20" t="s">
        <v>29</v>
      </c>
      <c r="G235" s="21" t="s">
        <v>62</v>
      </c>
      <c r="H235" s="21" t="s">
        <v>24</v>
      </c>
      <c r="I235" s="21" t="s">
        <v>24</v>
      </c>
      <c r="J235" s="21" t="s">
        <v>24</v>
      </c>
      <c r="K235" s="21" t="s">
        <v>25</v>
      </c>
      <c r="L235" s="21" t="s">
        <v>24</v>
      </c>
      <c r="M235" s="0" t="n">
        <v>182</v>
      </c>
      <c r="N235" s="0" t="n">
        <v>0</v>
      </c>
      <c r="Q235" s="0" t="n">
        <v>0</v>
      </c>
      <c r="S235" s="0" t="n">
        <v>0</v>
      </c>
      <c r="U235" s="22" t="b">
        <f aca="false">FALSE()</f>
        <v>0</v>
      </c>
      <c r="V235" s="0" t="n">
        <v>0.8</v>
      </c>
      <c r="W235" s="0" t="n">
        <v>0.44</v>
      </c>
      <c r="X235" s="0" t="n">
        <v>6.89</v>
      </c>
      <c r="Y235" s="0" t="n">
        <v>343.54</v>
      </c>
      <c r="Z235" s="0" t="n">
        <v>8</v>
      </c>
      <c r="AA235" s="0" t="n">
        <v>-0.66</v>
      </c>
      <c r="AB235" s="0" t="n">
        <v>2.73</v>
      </c>
      <c r="AC235" s="22" t="b">
        <f aca="false">FALSE()</f>
        <v>0</v>
      </c>
      <c r="AD235" s="0" t="n">
        <v>9.25</v>
      </c>
      <c r="AE235" s="0" t="n">
        <v>-0.21</v>
      </c>
      <c r="AF235" s="0" t="n">
        <v>9.74</v>
      </c>
      <c r="AG235" s="22" t="b">
        <f aca="false">FALSE()</f>
        <v>0</v>
      </c>
      <c r="AH235" s="0" t="n">
        <v>1</v>
      </c>
    </row>
    <row r="236" customFormat="false" ht="15" hidden="false" customHeight="false" outlineLevel="0" collapsed="false">
      <c r="A236" s="0" t="s">
        <v>500</v>
      </c>
      <c r="B236" s="0" t="s">
        <v>134</v>
      </c>
      <c r="C236" s="0" t="s">
        <v>3447</v>
      </c>
      <c r="D236" s="0" t="s">
        <v>3457</v>
      </c>
      <c r="E236" s="20" t="s">
        <v>25</v>
      </c>
      <c r="F236" s="20" t="s">
        <v>29</v>
      </c>
      <c r="G236" s="21" t="s">
        <v>61</v>
      </c>
      <c r="H236" s="21" t="s">
        <v>24</v>
      </c>
      <c r="I236" s="21" t="s">
        <v>24</v>
      </c>
      <c r="J236" s="21" t="s">
        <v>24</v>
      </c>
      <c r="K236" s="21" t="s">
        <v>25</v>
      </c>
      <c r="L236" s="21" t="s">
        <v>24</v>
      </c>
      <c r="M236" s="0" t="n">
        <v>183</v>
      </c>
      <c r="N236" s="0" t="n">
        <v>0</v>
      </c>
      <c r="Q236" s="0" t="n">
        <v>0</v>
      </c>
      <c r="S236" s="0" t="n">
        <v>0</v>
      </c>
      <c r="U236" s="22" t="b">
        <f aca="false">FALSE()</f>
        <v>0</v>
      </c>
      <c r="V236" s="0" t="n">
        <v>0.79</v>
      </c>
      <c r="W236" s="0" t="n">
        <v>0.68</v>
      </c>
      <c r="X236" s="0" t="n">
        <v>7.41</v>
      </c>
      <c r="Y236" s="0" t="n">
        <v>310.56</v>
      </c>
      <c r="Z236" s="0" t="n">
        <v>9.25</v>
      </c>
      <c r="AA236" s="0" t="n">
        <v>0.48</v>
      </c>
      <c r="AB236" s="0" t="n">
        <v>2.52</v>
      </c>
      <c r="AC236" s="22" t="b">
        <f aca="false">FALSE()</f>
        <v>0</v>
      </c>
      <c r="AD236" s="0" t="n">
        <v>24.24</v>
      </c>
      <c r="AE236" s="0" t="n">
        <v>0.8</v>
      </c>
      <c r="AF236" s="0" t="n">
        <v>17.23</v>
      </c>
      <c r="AG236" s="22" t="b">
        <f aca="false">TRUE()</f>
        <v>1</v>
      </c>
      <c r="AH236" s="0" t="n">
        <v>1</v>
      </c>
    </row>
    <row r="237" customFormat="false" ht="15" hidden="false" customHeight="false" outlineLevel="0" collapsed="false">
      <c r="A237" s="0" t="s">
        <v>500</v>
      </c>
      <c r="B237" s="0" t="s">
        <v>134</v>
      </c>
      <c r="C237" s="0" t="s">
        <v>3447</v>
      </c>
      <c r="D237" s="0" t="s">
        <v>3448</v>
      </c>
      <c r="E237" s="18" t="s">
        <v>24</v>
      </c>
      <c r="F237" s="23" t="s">
        <v>30</v>
      </c>
      <c r="G237" s="21" t="s">
        <v>30</v>
      </c>
      <c r="H237" s="21" t="s">
        <v>24</v>
      </c>
      <c r="I237" s="21" t="s">
        <v>24</v>
      </c>
      <c r="J237" s="21" t="s">
        <v>24</v>
      </c>
      <c r="K237" s="21" t="s">
        <v>24</v>
      </c>
      <c r="L237" s="21" t="s">
        <v>24</v>
      </c>
      <c r="M237" s="0" t="n">
        <v>182</v>
      </c>
      <c r="N237" s="0" t="n">
        <v>1</v>
      </c>
      <c r="O237" s="21" t="s">
        <v>3480</v>
      </c>
      <c r="P237" s="21" t="s">
        <v>4354</v>
      </c>
      <c r="Q237" s="0" t="n">
        <v>0</v>
      </c>
      <c r="S237" s="0" t="n">
        <v>1</v>
      </c>
      <c r="T237" s="21" t="s">
        <v>3480</v>
      </c>
      <c r="U237" s="22" t="b">
        <f aca="false">TRUE()</f>
        <v>1</v>
      </c>
      <c r="V237" s="0" t="n">
        <v>0.81</v>
      </c>
      <c r="W237" s="0" t="n">
        <v>0.28</v>
      </c>
      <c r="X237" s="0" t="n">
        <v>9.32</v>
      </c>
      <c r="Y237" s="0" t="n">
        <v>428.04</v>
      </c>
      <c r="Z237" s="0" t="n">
        <v>8</v>
      </c>
      <c r="AA237" s="0" t="n">
        <v>0.23</v>
      </c>
      <c r="AB237" s="0" t="n">
        <v>2.73</v>
      </c>
      <c r="AC237" s="22" t="b">
        <f aca="false">FALSE()</f>
        <v>0</v>
      </c>
      <c r="AD237" s="0" t="n">
        <v>8.44</v>
      </c>
      <c r="AE237" s="0" t="n">
        <v>0.1</v>
      </c>
      <c r="AF237" s="0" t="n">
        <v>4.55</v>
      </c>
      <c r="AG237" s="22" t="b">
        <f aca="false">FALSE()</f>
        <v>0</v>
      </c>
      <c r="AH237" s="0" t="n">
        <v>1</v>
      </c>
    </row>
    <row r="238" customFormat="false" ht="15" hidden="false" customHeight="false" outlineLevel="0" collapsed="false">
      <c r="A238" s="0" t="s">
        <v>507</v>
      </c>
      <c r="B238" s="0" t="s">
        <v>134</v>
      </c>
      <c r="C238" s="0" t="s">
        <v>3450</v>
      </c>
      <c r="D238" s="0" t="s">
        <v>3457</v>
      </c>
      <c r="E238" s="20" t="s">
        <v>25</v>
      </c>
      <c r="F238" s="23" t="s">
        <v>30</v>
      </c>
      <c r="G238" s="21" t="s">
        <v>183</v>
      </c>
      <c r="H238" s="21" t="s">
        <v>24</v>
      </c>
      <c r="I238" s="21" t="s">
        <v>25</v>
      </c>
      <c r="J238" s="21" t="s">
        <v>24</v>
      </c>
      <c r="K238" s="21" t="s">
        <v>25</v>
      </c>
      <c r="L238" s="21" t="s">
        <v>24</v>
      </c>
      <c r="M238" s="0" t="n">
        <v>183</v>
      </c>
      <c r="N238" s="0" t="n">
        <v>3</v>
      </c>
      <c r="O238" s="21" t="s">
        <v>3695</v>
      </c>
      <c r="P238" s="21" t="s">
        <v>4289</v>
      </c>
      <c r="Q238" s="0" t="n">
        <v>1</v>
      </c>
      <c r="R238" s="21" t="s">
        <v>69</v>
      </c>
      <c r="S238" s="0" t="n">
        <v>3</v>
      </c>
      <c r="T238" s="21" t="s">
        <v>3695</v>
      </c>
      <c r="U238" s="22" t="b">
        <f aca="false">TRUE()</f>
        <v>1</v>
      </c>
      <c r="V238" s="0" t="n">
        <v>0.7</v>
      </c>
      <c r="W238" s="0" t="n">
        <v>0.28</v>
      </c>
      <c r="X238" s="0" t="n">
        <v>7.22</v>
      </c>
      <c r="Y238" s="0" t="n">
        <v>426.31</v>
      </c>
      <c r="Z238" s="0" t="n">
        <v>9.67</v>
      </c>
      <c r="AA238" s="0" t="n">
        <v>16.11</v>
      </c>
      <c r="AB238" s="0" t="n">
        <v>2.75</v>
      </c>
      <c r="AC238" s="22" t="b">
        <f aca="false">FALSE()</f>
        <v>0</v>
      </c>
      <c r="AD238" s="0" t="n">
        <v>22.34</v>
      </c>
      <c r="AE238" s="0" t="n">
        <v>0.91</v>
      </c>
      <c r="AF238" s="0" t="n">
        <v>24.23</v>
      </c>
      <c r="AG238" s="22" t="b">
        <f aca="false">TRUE()</f>
        <v>1</v>
      </c>
      <c r="AH238" s="0" t="n">
        <v>1</v>
      </c>
    </row>
    <row r="239" customFormat="false" ht="15" hidden="false" customHeight="false" outlineLevel="0" collapsed="false">
      <c r="A239" s="0" t="s">
        <v>507</v>
      </c>
      <c r="B239" s="0" t="s">
        <v>134</v>
      </c>
      <c r="C239" s="0" t="s">
        <v>3450</v>
      </c>
      <c r="D239" s="0" t="s">
        <v>3448</v>
      </c>
      <c r="E239" s="20" t="s">
        <v>25</v>
      </c>
      <c r="F239" s="23" t="s">
        <v>30</v>
      </c>
      <c r="G239" s="21" t="s">
        <v>283</v>
      </c>
      <c r="H239" s="21" t="s">
        <v>24</v>
      </c>
      <c r="I239" s="21" t="s">
        <v>25</v>
      </c>
      <c r="J239" s="21" t="s">
        <v>24</v>
      </c>
      <c r="K239" s="21" t="s">
        <v>24</v>
      </c>
      <c r="L239" s="21" t="s">
        <v>24</v>
      </c>
      <c r="M239" s="0" t="n">
        <v>182</v>
      </c>
      <c r="N239" s="0" t="n">
        <v>1</v>
      </c>
      <c r="O239" s="21" t="s">
        <v>69</v>
      </c>
      <c r="P239" s="21" t="s">
        <v>4275</v>
      </c>
      <c r="Q239" s="0" t="n">
        <v>1</v>
      </c>
      <c r="R239" s="21" t="s">
        <v>69</v>
      </c>
      <c r="S239" s="0" t="n">
        <v>1</v>
      </c>
      <c r="T239" s="21" t="s">
        <v>69</v>
      </c>
      <c r="U239" s="22" t="b">
        <f aca="false">TRUE()</f>
        <v>1</v>
      </c>
      <c r="V239" s="0" t="n">
        <v>0.74</v>
      </c>
      <c r="W239" s="0" t="n">
        <v>0.68</v>
      </c>
      <c r="X239" s="0" t="n">
        <v>8.31</v>
      </c>
      <c r="Y239" s="0" t="n">
        <v>318.57</v>
      </c>
      <c r="Z239" s="0" t="n">
        <v>9.42</v>
      </c>
      <c r="AA239" s="0" t="n">
        <v>3.01</v>
      </c>
      <c r="AB239" s="0" t="n">
        <v>5.74</v>
      </c>
      <c r="AC239" s="22" t="b">
        <f aca="false">FALSE()</f>
        <v>0</v>
      </c>
      <c r="AD239" s="0" t="n">
        <v>0.57</v>
      </c>
      <c r="AE239" s="0" t="n">
        <v>0.25</v>
      </c>
      <c r="AF239" s="0" t="n">
        <v>2.55</v>
      </c>
      <c r="AG239" s="22" t="b">
        <f aca="false">FALSE()</f>
        <v>0</v>
      </c>
      <c r="AH239" s="0" t="n">
        <v>1</v>
      </c>
    </row>
    <row r="240" customFormat="false" ht="15" hidden="false" customHeight="false" outlineLevel="0" collapsed="false">
      <c r="A240" s="0" t="s">
        <v>507</v>
      </c>
      <c r="B240" s="0" t="s">
        <v>134</v>
      </c>
      <c r="C240" s="0" t="s">
        <v>3447</v>
      </c>
      <c r="D240" s="0" t="s">
        <v>3457</v>
      </c>
      <c r="E240" s="20" t="s">
        <v>25</v>
      </c>
      <c r="F240" s="20" t="s">
        <v>29</v>
      </c>
      <c r="G240" s="21" t="s">
        <v>61</v>
      </c>
      <c r="H240" s="21" t="s">
        <v>24</v>
      </c>
      <c r="I240" s="21" t="s">
        <v>24</v>
      </c>
      <c r="J240" s="21" t="s">
        <v>24</v>
      </c>
      <c r="K240" s="21" t="s">
        <v>25</v>
      </c>
      <c r="L240" s="21" t="s">
        <v>24</v>
      </c>
      <c r="M240" s="0" t="n">
        <v>183</v>
      </c>
      <c r="N240" s="0" t="n">
        <v>0</v>
      </c>
      <c r="Q240" s="0" t="n">
        <v>0</v>
      </c>
      <c r="S240" s="0" t="n">
        <v>0</v>
      </c>
      <c r="U240" s="22" t="b">
        <f aca="false">FALSE()</f>
        <v>0</v>
      </c>
      <c r="V240" s="0" t="n">
        <v>0.75</v>
      </c>
      <c r="W240" s="0" t="n">
        <v>0.64</v>
      </c>
      <c r="X240" s="0" t="n">
        <v>6.46</v>
      </c>
      <c r="Y240" s="0" t="n">
        <v>319.77</v>
      </c>
      <c r="Z240" s="0" t="n">
        <v>9.42</v>
      </c>
      <c r="AA240" s="0" t="n">
        <v>12.46</v>
      </c>
      <c r="AB240" s="0" t="n">
        <v>2.75</v>
      </c>
      <c r="AC240" s="22" t="b">
        <f aca="false">FALSE()</f>
        <v>0</v>
      </c>
      <c r="AD240" s="0" t="n">
        <v>21.26</v>
      </c>
      <c r="AE240" s="0" t="n">
        <v>0.6</v>
      </c>
      <c r="AF240" s="0" t="n">
        <v>23.58</v>
      </c>
      <c r="AG240" s="22" t="b">
        <f aca="false">TRUE()</f>
        <v>1</v>
      </c>
      <c r="AH240" s="0" t="n">
        <v>1</v>
      </c>
    </row>
    <row r="241" customFormat="false" ht="15" hidden="false" customHeight="false" outlineLevel="0" collapsed="false">
      <c r="A241" s="0" t="s">
        <v>507</v>
      </c>
      <c r="B241" s="0" t="s">
        <v>134</v>
      </c>
      <c r="C241" s="0" t="s">
        <v>3447</v>
      </c>
      <c r="D241" s="0" t="s">
        <v>3448</v>
      </c>
      <c r="E241" s="18" t="s">
        <v>24</v>
      </c>
      <c r="F241" s="23" t="s">
        <v>30</v>
      </c>
      <c r="G241" s="21" t="s">
        <v>30</v>
      </c>
      <c r="H241" s="21" t="s">
        <v>24</v>
      </c>
      <c r="I241" s="21" t="s">
        <v>24</v>
      </c>
      <c r="J241" s="21" t="s">
        <v>24</v>
      </c>
      <c r="K241" s="21" t="s">
        <v>24</v>
      </c>
      <c r="L241" s="21" t="s">
        <v>24</v>
      </c>
      <c r="M241" s="0" t="n">
        <v>183</v>
      </c>
      <c r="N241" s="0" t="n">
        <v>1</v>
      </c>
      <c r="O241" s="21" t="s">
        <v>3476</v>
      </c>
      <c r="P241" s="21" t="s">
        <v>4228</v>
      </c>
      <c r="Q241" s="0" t="n">
        <v>0</v>
      </c>
      <c r="S241" s="0" t="n">
        <v>1</v>
      </c>
      <c r="T241" s="21" t="s">
        <v>3476</v>
      </c>
      <c r="U241" s="22" t="b">
        <f aca="false">TRUE()</f>
        <v>1</v>
      </c>
      <c r="V241" s="0" t="n">
        <v>0.79</v>
      </c>
      <c r="W241" s="0" t="n">
        <v>0.96</v>
      </c>
      <c r="X241" s="0" t="n">
        <v>8.4</v>
      </c>
      <c r="Y241" s="0" t="n">
        <v>315.84</v>
      </c>
      <c r="Z241" s="0" t="n">
        <v>9</v>
      </c>
      <c r="AA241" s="0" t="n">
        <v>9.19</v>
      </c>
      <c r="AB241" s="0" t="n">
        <v>5.74</v>
      </c>
      <c r="AC241" s="22" t="b">
        <f aca="false">FALSE()</f>
        <v>0</v>
      </c>
      <c r="AD241" s="0" t="n">
        <v>4.1</v>
      </c>
      <c r="AE241" s="0" t="n">
        <v>2.35</v>
      </c>
      <c r="AF241" s="0" t="n">
        <v>7.97</v>
      </c>
      <c r="AG241" s="22" t="b">
        <f aca="false">FALSE()</f>
        <v>0</v>
      </c>
      <c r="AH241" s="0" t="n">
        <v>1</v>
      </c>
    </row>
    <row r="242" customFormat="false" ht="15" hidden="false" customHeight="false" outlineLevel="0" collapsed="false">
      <c r="A242" s="0" t="s">
        <v>513</v>
      </c>
      <c r="B242" s="0" t="s">
        <v>134</v>
      </c>
      <c r="C242" s="0" t="s">
        <v>3450</v>
      </c>
      <c r="D242" s="0" t="s">
        <v>3457</v>
      </c>
      <c r="E242" s="18" t="s">
        <v>24</v>
      </c>
      <c r="F242" s="18" t="s">
        <v>28</v>
      </c>
      <c r="H242" s="21" t="s">
        <v>24</v>
      </c>
      <c r="I242" s="21" t="s">
        <v>24</v>
      </c>
      <c r="J242" s="21" t="s">
        <v>24</v>
      </c>
      <c r="K242" s="21" t="s">
        <v>24</v>
      </c>
      <c r="L242" s="21" t="s">
        <v>24</v>
      </c>
      <c r="M242" s="0" t="n">
        <v>184</v>
      </c>
      <c r="N242" s="0" t="n">
        <v>0</v>
      </c>
      <c r="Q242" s="0" t="n">
        <v>0</v>
      </c>
      <c r="S242" s="0" t="n">
        <v>0</v>
      </c>
      <c r="U242" s="22" t="b">
        <f aca="false">FALSE()</f>
        <v>0</v>
      </c>
      <c r="V242" s="0" t="n">
        <v>0.63</v>
      </c>
      <c r="W242" s="0" t="n">
        <v>0.4</v>
      </c>
      <c r="X242" s="0" t="n">
        <v>7.61</v>
      </c>
      <c r="Y242" s="0" t="n">
        <v>361.24</v>
      </c>
      <c r="Z242" s="0" t="n">
        <v>9.67</v>
      </c>
      <c r="AA242" s="0" t="n">
        <v>6.58</v>
      </c>
      <c r="AB242" s="0" t="n">
        <v>13.13</v>
      </c>
      <c r="AC242" s="22" t="b">
        <f aca="false">FALSE()</f>
        <v>0</v>
      </c>
      <c r="AD242" s="0" t="n">
        <v>5.77</v>
      </c>
      <c r="AE242" s="0" t="n">
        <v>0.43</v>
      </c>
      <c r="AF242" s="0" t="n">
        <v>5.24</v>
      </c>
      <c r="AG242" s="22" t="b">
        <f aca="false">FALSE()</f>
        <v>0</v>
      </c>
      <c r="AH242" s="0" t="n">
        <v>3</v>
      </c>
    </row>
    <row r="243" customFormat="false" ht="15" hidden="false" customHeight="false" outlineLevel="0" collapsed="false">
      <c r="A243" s="0" t="s">
        <v>513</v>
      </c>
      <c r="B243" s="0" t="s">
        <v>134</v>
      </c>
      <c r="C243" s="0" t="s">
        <v>3450</v>
      </c>
      <c r="D243" s="0" t="s">
        <v>3448</v>
      </c>
      <c r="E243" s="18" t="s">
        <v>24</v>
      </c>
      <c r="F243" s="18" t="s">
        <v>28</v>
      </c>
      <c r="H243" s="21" t="s">
        <v>24</v>
      </c>
      <c r="I243" s="21" t="s">
        <v>24</v>
      </c>
      <c r="J243" s="21" t="s">
        <v>24</v>
      </c>
      <c r="K243" s="21" t="s">
        <v>24</v>
      </c>
      <c r="L243" s="21" t="s">
        <v>24</v>
      </c>
      <c r="M243" s="0" t="n">
        <v>184</v>
      </c>
      <c r="N243" s="0" t="n">
        <v>0</v>
      </c>
      <c r="Q243" s="0" t="n">
        <v>0</v>
      </c>
      <c r="S243" s="0" t="n">
        <v>0</v>
      </c>
      <c r="U243" s="22" t="b">
        <f aca="false">FALSE()</f>
        <v>0</v>
      </c>
      <c r="V243" s="0" t="n">
        <v>0.71</v>
      </c>
      <c r="W243" s="0" t="n">
        <v>0.56</v>
      </c>
      <c r="X243" s="0" t="n">
        <v>8.29</v>
      </c>
      <c r="Y243" s="0" t="n">
        <v>325.4</v>
      </c>
      <c r="Z243" s="0" t="n">
        <v>9.75</v>
      </c>
      <c r="AA243" s="0" t="n">
        <v>4.29</v>
      </c>
      <c r="AB243" s="0" t="n">
        <v>8.85</v>
      </c>
      <c r="AC243" s="22" t="b">
        <f aca="false">FALSE()</f>
        <v>0</v>
      </c>
      <c r="AD243" s="0" t="n">
        <v>2.88</v>
      </c>
      <c r="AE243" s="0" t="n">
        <v>0.67</v>
      </c>
      <c r="AF243" s="0" t="n">
        <v>5.8</v>
      </c>
      <c r="AG243" s="22" t="b">
        <f aca="false">FALSE()</f>
        <v>0</v>
      </c>
      <c r="AH243" s="0" t="n">
        <v>1</v>
      </c>
    </row>
    <row r="244" customFormat="false" ht="15" hidden="false" customHeight="false" outlineLevel="0" collapsed="false">
      <c r="A244" s="0" t="s">
        <v>513</v>
      </c>
      <c r="B244" s="0" t="s">
        <v>134</v>
      </c>
      <c r="C244" s="0" t="s">
        <v>3447</v>
      </c>
      <c r="D244" s="0" t="s">
        <v>3457</v>
      </c>
      <c r="E244" s="18" t="s">
        <v>24</v>
      </c>
      <c r="F244" s="18" t="s">
        <v>28</v>
      </c>
      <c r="H244" s="21" t="s">
        <v>24</v>
      </c>
      <c r="I244" s="21" t="s">
        <v>24</v>
      </c>
      <c r="J244" s="21" t="s">
        <v>24</v>
      </c>
      <c r="K244" s="21" t="s">
        <v>24</v>
      </c>
      <c r="L244" s="21" t="s">
        <v>24</v>
      </c>
      <c r="M244" s="0" t="n">
        <v>183</v>
      </c>
      <c r="N244" s="0" t="n">
        <v>0</v>
      </c>
      <c r="Q244" s="0" t="n">
        <v>0</v>
      </c>
      <c r="S244" s="0" t="n">
        <v>0</v>
      </c>
      <c r="U244" s="22" t="b">
        <f aca="false">FALSE()</f>
        <v>0</v>
      </c>
      <c r="V244" s="0" t="n">
        <v>0.64</v>
      </c>
      <c r="W244" s="0" t="n">
        <v>0.24</v>
      </c>
      <c r="X244" s="0" t="n">
        <v>6.94</v>
      </c>
      <c r="Y244" s="0" t="n">
        <v>466.54</v>
      </c>
      <c r="Z244" s="0" t="n">
        <v>8.67</v>
      </c>
      <c r="AA244" s="0" t="n">
        <v>0.62</v>
      </c>
      <c r="AB244" s="0" t="n">
        <v>13.13</v>
      </c>
      <c r="AC244" s="22" t="b">
        <f aca="false">FALSE()</f>
        <v>0</v>
      </c>
      <c r="AD244" s="0" t="n">
        <v>8.36</v>
      </c>
      <c r="AE244" s="0" t="n">
        <v>0.29</v>
      </c>
      <c r="AF244" s="0" t="n">
        <v>9.7</v>
      </c>
      <c r="AG244" s="22" t="b">
        <f aca="false">FALSE()</f>
        <v>0</v>
      </c>
      <c r="AH244" s="0" t="n">
        <v>1</v>
      </c>
    </row>
    <row r="245" customFormat="false" ht="15" hidden="false" customHeight="false" outlineLevel="0" collapsed="false">
      <c r="A245" s="0" t="s">
        <v>513</v>
      </c>
      <c r="B245" s="0" t="s">
        <v>134</v>
      </c>
      <c r="C245" s="0" t="s">
        <v>3447</v>
      </c>
      <c r="D245" s="0" t="s">
        <v>3448</v>
      </c>
      <c r="E245" s="20" t="s">
        <v>25</v>
      </c>
      <c r="F245" s="23" t="s">
        <v>30</v>
      </c>
      <c r="G245" s="21" t="s">
        <v>283</v>
      </c>
      <c r="H245" s="21" t="s">
        <v>24</v>
      </c>
      <c r="I245" s="21" t="s">
        <v>25</v>
      </c>
      <c r="J245" s="21" t="s">
        <v>24</v>
      </c>
      <c r="K245" s="21" t="s">
        <v>24</v>
      </c>
      <c r="L245" s="21" t="s">
        <v>24</v>
      </c>
      <c r="M245" s="0" t="n">
        <v>185</v>
      </c>
      <c r="N245" s="0" t="n">
        <v>3</v>
      </c>
      <c r="O245" s="21" t="s">
        <v>3649</v>
      </c>
      <c r="P245" s="21" t="s">
        <v>4242</v>
      </c>
      <c r="Q245" s="0" t="n">
        <v>1</v>
      </c>
      <c r="R245" s="21" t="s">
        <v>69</v>
      </c>
      <c r="S245" s="0" t="n">
        <v>3</v>
      </c>
      <c r="T245" s="21" t="s">
        <v>3649</v>
      </c>
      <c r="U245" s="22" t="b">
        <f aca="false">TRUE()</f>
        <v>1</v>
      </c>
      <c r="V245" s="0" t="n">
        <v>0.73</v>
      </c>
      <c r="W245" s="0" t="n">
        <v>0</v>
      </c>
      <c r="X245" s="0" t="n">
        <v>7.63</v>
      </c>
      <c r="Y245" s="0" t="n">
        <v>1.36</v>
      </c>
      <c r="Z245" s="0" t="n">
        <v>9.75</v>
      </c>
      <c r="AA245" s="0" t="n">
        <v>4.22</v>
      </c>
      <c r="AB245" s="0" t="n">
        <v>8.85</v>
      </c>
      <c r="AC245" s="22" t="b">
        <f aca="false">FALSE()</f>
        <v>0</v>
      </c>
      <c r="AD245" s="0" t="n">
        <v>8.14</v>
      </c>
      <c r="AE245" s="0" t="n">
        <v>0.6</v>
      </c>
      <c r="AF245" s="0" t="n">
        <v>9.8</v>
      </c>
      <c r="AG245" s="22" t="b">
        <f aca="false">FALSE()</f>
        <v>0</v>
      </c>
      <c r="AH245" s="0" t="n">
        <v>0</v>
      </c>
    </row>
    <row r="246" customFormat="false" ht="15" hidden="false" customHeight="false" outlineLevel="0" collapsed="false">
      <c r="A246" s="0" t="s">
        <v>519</v>
      </c>
      <c r="B246" s="0" t="s">
        <v>134</v>
      </c>
      <c r="C246" s="0" t="s">
        <v>3450</v>
      </c>
      <c r="D246" s="0" t="s">
        <v>3457</v>
      </c>
      <c r="E246" s="19" t="s">
        <v>26</v>
      </c>
      <c r="F246" s="19" t="s">
        <v>32</v>
      </c>
      <c r="G246" s="21" t="s">
        <v>405</v>
      </c>
      <c r="H246" s="21" t="s">
        <v>24</v>
      </c>
      <c r="I246" s="21" t="s">
        <v>26</v>
      </c>
      <c r="J246" s="21" t="s">
        <v>24</v>
      </c>
      <c r="K246" s="21" t="s">
        <v>24</v>
      </c>
      <c r="L246" s="21" t="s">
        <v>24</v>
      </c>
      <c r="M246" s="0" t="n">
        <v>197</v>
      </c>
      <c r="N246" s="0" t="n">
        <v>10</v>
      </c>
      <c r="O246" s="21" t="s">
        <v>4186</v>
      </c>
      <c r="P246" s="21" t="s">
        <v>4355</v>
      </c>
      <c r="Q246" s="0" t="n">
        <v>2</v>
      </c>
      <c r="R246" s="21" t="s">
        <v>3871</v>
      </c>
      <c r="S246" s="0" t="n">
        <v>10</v>
      </c>
      <c r="T246" s="21" t="s">
        <v>4186</v>
      </c>
      <c r="U246" s="22" t="b">
        <f aca="false">FALSE()</f>
        <v>0</v>
      </c>
      <c r="V246" s="0" t="n">
        <v>0.68</v>
      </c>
      <c r="W246" s="0" t="n">
        <v>0.48</v>
      </c>
      <c r="X246" s="0" t="n">
        <v>7.03</v>
      </c>
      <c r="Y246" s="0" t="n">
        <v>340.52</v>
      </c>
      <c r="Z246" s="0" t="n">
        <v>10.25</v>
      </c>
      <c r="AA246" s="0" t="n">
        <v>13.61</v>
      </c>
      <c r="AB246" s="0" t="n">
        <v>7.27</v>
      </c>
      <c r="AC246" s="22" t="b">
        <f aca="false">FALSE()</f>
        <v>0</v>
      </c>
      <c r="AD246" s="0" t="n">
        <v>5.05</v>
      </c>
      <c r="AE246" s="0" t="n">
        <v>0.74</v>
      </c>
      <c r="AF246" s="0" t="n">
        <v>10.13</v>
      </c>
      <c r="AG246" s="22" t="b">
        <f aca="false">FALSE()</f>
        <v>0</v>
      </c>
      <c r="AH246" s="0" t="n">
        <v>1</v>
      </c>
    </row>
    <row r="247" customFormat="false" ht="15" hidden="false" customHeight="false" outlineLevel="0" collapsed="false">
      <c r="A247" s="0" t="s">
        <v>519</v>
      </c>
      <c r="B247" s="0" t="s">
        <v>134</v>
      </c>
      <c r="C247" s="0" t="s">
        <v>3450</v>
      </c>
      <c r="D247" s="0" t="s">
        <v>3448</v>
      </c>
      <c r="E247" s="19" t="s">
        <v>26</v>
      </c>
      <c r="F247" s="19" t="s">
        <v>32</v>
      </c>
      <c r="G247" s="21" t="s">
        <v>405</v>
      </c>
      <c r="H247" s="21" t="s">
        <v>24</v>
      </c>
      <c r="I247" s="21" t="s">
        <v>26</v>
      </c>
      <c r="J247" s="21" t="s">
        <v>24</v>
      </c>
      <c r="K247" s="21" t="s">
        <v>24</v>
      </c>
      <c r="L247" s="21" t="s">
        <v>24</v>
      </c>
      <c r="M247" s="0" t="n">
        <v>186</v>
      </c>
      <c r="N247" s="0" t="n">
        <v>7</v>
      </c>
      <c r="O247" s="21" t="s">
        <v>4149</v>
      </c>
      <c r="P247" s="21" t="s">
        <v>4356</v>
      </c>
      <c r="Q247" s="0" t="n">
        <v>2</v>
      </c>
      <c r="R247" s="21" t="s">
        <v>3871</v>
      </c>
      <c r="S247" s="0" t="n">
        <v>7</v>
      </c>
      <c r="T247" s="21" t="s">
        <v>4149</v>
      </c>
      <c r="U247" s="22" t="b">
        <f aca="false">FALSE()</f>
        <v>0</v>
      </c>
      <c r="V247" s="0" t="n">
        <v>0.7</v>
      </c>
      <c r="W247" s="0" t="n">
        <v>0.36</v>
      </c>
      <c r="X247" s="0" t="n">
        <v>7.09</v>
      </c>
      <c r="Y247" s="0" t="n">
        <v>376.39</v>
      </c>
      <c r="Z247" s="0" t="n">
        <v>10</v>
      </c>
      <c r="AA247" s="0" t="n">
        <v>13.81</v>
      </c>
      <c r="AB247" s="0" t="n">
        <v>5.8</v>
      </c>
      <c r="AC247" s="22" t="b">
        <f aca="false">FALSE()</f>
        <v>0</v>
      </c>
      <c r="AD247" s="0" t="n">
        <v>5.62</v>
      </c>
      <c r="AE247" s="0" t="n">
        <v>1.1</v>
      </c>
      <c r="AF247" s="0" t="n">
        <v>11.79</v>
      </c>
      <c r="AG247" s="22" t="b">
        <f aca="false">FALSE()</f>
        <v>0</v>
      </c>
      <c r="AH247" s="0" t="n">
        <v>1</v>
      </c>
    </row>
    <row r="248" customFormat="false" ht="15" hidden="false" customHeight="false" outlineLevel="0" collapsed="false">
      <c r="A248" s="0" t="s">
        <v>519</v>
      </c>
      <c r="B248" s="0" t="s">
        <v>134</v>
      </c>
      <c r="C248" s="0" t="s">
        <v>3447</v>
      </c>
      <c r="D248" s="0" t="s">
        <v>3457</v>
      </c>
      <c r="E248" s="19" t="s">
        <v>26</v>
      </c>
      <c r="F248" s="19" t="s">
        <v>32</v>
      </c>
      <c r="G248" s="21" t="s">
        <v>529</v>
      </c>
      <c r="H248" s="21" t="s">
        <v>24</v>
      </c>
      <c r="I248" s="21" t="s">
        <v>26</v>
      </c>
      <c r="J248" s="21" t="s">
        <v>24</v>
      </c>
      <c r="K248" s="21" t="s">
        <v>24</v>
      </c>
      <c r="L248" s="21" t="s">
        <v>24</v>
      </c>
      <c r="M248" s="0" t="n">
        <v>183</v>
      </c>
      <c r="N248" s="0" t="n">
        <v>12</v>
      </c>
      <c r="O248" s="21" t="s">
        <v>4061</v>
      </c>
      <c r="P248" s="21" t="s">
        <v>4357</v>
      </c>
      <c r="Q248" s="0" t="n">
        <v>1</v>
      </c>
      <c r="R248" s="21" t="s">
        <v>70</v>
      </c>
      <c r="S248" s="0" t="n">
        <v>12</v>
      </c>
      <c r="T248" s="21" t="s">
        <v>4061</v>
      </c>
      <c r="U248" s="22" t="b">
        <f aca="false">FALSE()</f>
        <v>0</v>
      </c>
      <c r="V248" s="0" t="n">
        <v>0.73</v>
      </c>
      <c r="W248" s="0" t="n">
        <v>0.24</v>
      </c>
      <c r="X248" s="0" t="n">
        <v>6.45</v>
      </c>
      <c r="Y248" s="0" t="n">
        <v>454.84</v>
      </c>
      <c r="Z248" s="0" t="n">
        <v>10.92</v>
      </c>
      <c r="AA248" s="0" t="n">
        <v>3.67</v>
      </c>
      <c r="AB248" s="0" t="n">
        <v>7.27</v>
      </c>
      <c r="AC248" s="22" t="b">
        <f aca="false">FALSE()</f>
        <v>0</v>
      </c>
      <c r="AD248" s="0" t="n">
        <v>3.4</v>
      </c>
      <c r="AE248" s="0" t="n">
        <v>0.26</v>
      </c>
      <c r="AF248" s="0" t="n">
        <v>9.73</v>
      </c>
      <c r="AG248" s="22" t="b">
        <f aca="false">FALSE()</f>
        <v>0</v>
      </c>
      <c r="AH248" s="0" t="n">
        <v>1</v>
      </c>
    </row>
    <row r="249" customFormat="false" ht="15" hidden="false" customHeight="false" outlineLevel="0" collapsed="false">
      <c r="A249" s="0" t="s">
        <v>519</v>
      </c>
      <c r="B249" s="0" t="s">
        <v>134</v>
      </c>
      <c r="C249" s="0" t="s">
        <v>3447</v>
      </c>
      <c r="D249" s="0" t="s">
        <v>3448</v>
      </c>
      <c r="E249" s="19" t="s">
        <v>26</v>
      </c>
      <c r="F249" s="19" t="s">
        <v>32</v>
      </c>
      <c r="G249" s="21" t="s">
        <v>60</v>
      </c>
      <c r="H249" s="21" t="s">
        <v>24</v>
      </c>
      <c r="I249" s="21" t="s">
        <v>26</v>
      </c>
      <c r="J249" s="21" t="s">
        <v>24</v>
      </c>
      <c r="K249" s="21" t="s">
        <v>24</v>
      </c>
      <c r="L249" s="21" t="s">
        <v>24</v>
      </c>
      <c r="M249" s="0" t="n">
        <v>185</v>
      </c>
      <c r="N249" s="0" t="n">
        <v>7</v>
      </c>
      <c r="O249" s="21" t="s">
        <v>3888</v>
      </c>
      <c r="P249" s="21" t="s">
        <v>4358</v>
      </c>
      <c r="Q249" s="0" t="n">
        <v>0</v>
      </c>
      <c r="S249" s="0" t="n">
        <v>7</v>
      </c>
      <c r="T249" s="21" t="s">
        <v>3888</v>
      </c>
      <c r="U249" s="22" t="b">
        <f aca="false">FALSE()</f>
        <v>0</v>
      </c>
      <c r="V249" s="0" t="n">
        <v>0.75</v>
      </c>
      <c r="W249" s="0" t="n">
        <v>0.44</v>
      </c>
      <c r="X249" s="0" t="n">
        <v>7.48</v>
      </c>
      <c r="Y249" s="0" t="n">
        <v>334.15</v>
      </c>
      <c r="Z249" s="0" t="n">
        <v>10.75</v>
      </c>
      <c r="AA249" s="0" t="n">
        <v>4.37</v>
      </c>
      <c r="AB249" s="0" t="n">
        <v>5.8</v>
      </c>
      <c r="AC249" s="22" t="b">
        <f aca="false">FALSE()</f>
        <v>0</v>
      </c>
      <c r="AD249" s="0" t="n">
        <v>3.17</v>
      </c>
      <c r="AE249" s="0" t="n">
        <v>-0.32</v>
      </c>
      <c r="AF249" s="0" t="n">
        <v>7.2</v>
      </c>
      <c r="AG249" s="22" t="b">
        <f aca="false">FALSE()</f>
        <v>0</v>
      </c>
      <c r="AH249" s="0" t="n">
        <v>1</v>
      </c>
    </row>
    <row r="250" customFormat="false" ht="15" hidden="false" customHeight="false" outlineLevel="0" collapsed="false">
      <c r="A250" s="0" t="s">
        <v>526</v>
      </c>
      <c r="B250" s="0" t="s">
        <v>134</v>
      </c>
      <c r="C250" s="0" t="s">
        <v>3450</v>
      </c>
      <c r="D250" s="0" t="s">
        <v>3457</v>
      </c>
      <c r="E250" s="19" t="s">
        <v>26</v>
      </c>
      <c r="F250" s="19" t="s">
        <v>32</v>
      </c>
      <c r="G250" s="21" t="s">
        <v>529</v>
      </c>
      <c r="H250" s="21" t="s">
        <v>24</v>
      </c>
      <c r="I250" s="21" t="s">
        <v>26</v>
      </c>
      <c r="J250" s="21" t="s">
        <v>24</v>
      </c>
      <c r="K250" s="21" t="s">
        <v>24</v>
      </c>
      <c r="L250" s="21" t="s">
        <v>24</v>
      </c>
      <c r="M250" s="0" t="n">
        <v>181</v>
      </c>
      <c r="N250" s="0" t="n">
        <v>12</v>
      </c>
      <c r="O250" s="21" t="s">
        <v>4044</v>
      </c>
      <c r="P250" s="21" t="s">
        <v>4278</v>
      </c>
      <c r="Q250" s="0" t="n">
        <v>1</v>
      </c>
      <c r="R250" s="21" t="s">
        <v>69</v>
      </c>
      <c r="S250" s="0" t="n">
        <v>12</v>
      </c>
      <c r="T250" s="21" t="s">
        <v>4044</v>
      </c>
      <c r="U250" s="22" t="b">
        <f aca="false">FALSE()</f>
        <v>0</v>
      </c>
      <c r="V250" s="0" t="n">
        <v>0.63</v>
      </c>
      <c r="W250" s="0" t="n">
        <v>0.24</v>
      </c>
      <c r="X250" s="0" t="n">
        <v>10.88</v>
      </c>
      <c r="Y250" s="0" t="n">
        <v>399.26</v>
      </c>
      <c r="Z250" s="0" t="n">
        <v>10.25</v>
      </c>
      <c r="AA250" s="0" t="n">
        <v>19.12</v>
      </c>
      <c r="AB250" s="0" t="n">
        <v>17.48</v>
      </c>
      <c r="AC250" s="22" t="b">
        <f aca="false">FALSE()</f>
        <v>0</v>
      </c>
      <c r="AD250" s="0" t="n">
        <v>11.73</v>
      </c>
      <c r="AE250" s="0" t="n">
        <v>0.54</v>
      </c>
      <c r="AF250" s="0" t="n">
        <v>0.61</v>
      </c>
      <c r="AG250" s="22" t="b">
        <f aca="false">TRUE()</f>
        <v>1</v>
      </c>
      <c r="AH250" s="0" t="n">
        <v>1</v>
      </c>
    </row>
    <row r="251" customFormat="false" ht="15" hidden="false" customHeight="false" outlineLevel="0" collapsed="false">
      <c r="A251" s="0" t="s">
        <v>526</v>
      </c>
      <c r="B251" s="0" t="s">
        <v>134</v>
      </c>
      <c r="C251" s="0" t="s">
        <v>3450</v>
      </c>
      <c r="D251" s="0" t="s">
        <v>3448</v>
      </c>
      <c r="E251" s="19" t="s">
        <v>26</v>
      </c>
      <c r="F251" s="19" t="s">
        <v>32</v>
      </c>
      <c r="G251" s="21" t="s">
        <v>529</v>
      </c>
      <c r="H251" s="21" t="s">
        <v>24</v>
      </c>
      <c r="I251" s="21" t="s">
        <v>26</v>
      </c>
      <c r="J251" s="21" t="s">
        <v>24</v>
      </c>
      <c r="K251" s="21" t="s">
        <v>24</v>
      </c>
      <c r="L251" s="21" t="s">
        <v>24</v>
      </c>
      <c r="M251" s="0" t="n">
        <v>182</v>
      </c>
      <c r="N251" s="0" t="n">
        <v>12</v>
      </c>
      <c r="O251" s="21" t="s">
        <v>4117</v>
      </c>
      <c r="P251" s="21" t="s">
        <v>4359</v>
      </c>
      <c r="Q251" s="0" t="n">
        <v>1</v>
      </c>
      <c r="R251" s="21" t="s">
        <v>69</v>
      </c>
      <c r="S251" s="0" t="n">
        <v>12</v>
      </c>
      <c r="T251" s="21" t="s">
        <v>4117</v>
      </c>
      <c r="U251" s="22" t="b">
        <f aca="false">FALSE()</f>
        <v>0</v>
      </c>
      <c r="V251" s="0" t="n">
        <v>0.61</v>
      </c>
      <c r="W251" s="0" t="n">
        <v>0.52</v>
      </c>
      <c r="X251" s="0" t="n">
        <v>10.92</v>
      </c>
      <c r="Y251" s="0" t="n">
        <v>133.97</v>
      </c>
      <c r="Z251" s="0" t="n">
        <v>10.25</v>
      </c>
      <c r="AA251" s="0" t="n">
        <v>20.93</v>
      </c>
      <c r="AB251" s="0" t="n">
        <v>4.48</v>
      </c>
      <c r="AC251" s="22" t="b">
        <f aca="false">FALSE()</f>
        <v>0</v>
      </c>
      <c r="AD251" s="0" t="n">
        <v>7.49</v>
      </c>
      <c r="AE251" s="0" t="n">
        <v>1.3</v>
      </c>
      <c r="AF251" s="0" t="n">
        <v>5.83</v>
      </c>
      <c r="AG251" s="22" t="b">
        <f aca="false">FALSE()</f>
        <v>0</v>
      </c>
      <c r="AH251" s="0" t="n">
        <v>1</v>
      </c>
    </row>
    <row r="252" customFormat="false" ht="15" hidden="false" customHeight="false" outlineLevel="0" collapsed="false">
      <c r="A252" s="0" t="s">
        <v>526</v>
      </c>
      <c r="B252" s="0" t="s">
        <v>134</v>
      </c>
      <c r="C252" s="0" t="s">
        <v>3447</v>
      </c>
      <c r="D252" s="0" t="s">
        <v>3457</v>
      </c>
      <c r="E252" s="19" t="s">
        <v>26</v>
      </c>
      <c r="F252" s="19" t="s">
        <v>32</v>
      </c>
      <c r="G252" s="21" t="s">
        <v>529</v>
      </c>
      <c r="H252" s="21" t="s">
        <v>24</v>
      </c>
      <c r="I252" s="21" t="s">
        <v>26</v>
      </c>
      <c r="J252" s="21" t="s">
        <v>24</v>
      </c>
      <c r="K252" s="21" t="s">
        <v>24</v>
      </c>
      <c r="L252" s="21" t="s">
        <v>24</v>
      </c>
      <c r="M252" s="0" t="n">
        <v>183</v>
      </c>
      <c r="N252" s="0" t="n">
        <v>14</v>
      </c>
      <c r="O252" s="21" t="s">
        <v>4058</v>
      </c>
      <c r="P252" s="21" t="s">
        <v>4360</v>
      </c>
      <c r="Q252" s="0" t="n">
        <v>1</v>
      </c>
      <c r="R252" s="21" t="s">
        <v>69</v>
      </c>
      <c r="S252" s="0" t="n">
        <v>14</v>
      </c>
      <c r="T252" s="21" t="s">
        <v>4058</v>
      </c>
      <c r="U252" s="22" t="b">
        <f aca="false">FALSE()</f>
        <v>0</v>
      </c>
      <c r="V252" s="0" t="n">
        <v>0.63</v>
      </c>
      <c r="W252" s="0" t="n">
        <v>0.6</v>
      </c>
      <c r="X252" s="0" t="n">
        <v>7.91</v>
      </c>
      <c r="Y252" s="0" t="n">
        <v>302.27</v>
      </c>
      <c r="Z252" s="0" t="n">
        <v>10.5</v>
      </c>
      <c r="AA252" s="0" t="n">
        <v>6.34</v>
      </c>
      <c r="AB252" s="0" t="n">
        <v>17.48</v>
      </c>
      <c r="AC252" s="22" t="b">
        <f aca="false">FALSE()</f>
        <v>0</v>
      </c>
      <c r="AD252" s="0" t="n">
        <v>10.54</v>
      </c>
      <c r="AE252" s="0" t="n">
        <v>1.03</v>
      </c>
      <c r="AF252" s="0" t="n">
        <v>0.66</v>
      </c>
      <c r="AG252" s="22" t="b">
        <f aca="false">TRUE()</f>
        <v>1</v>
      </c>
      <c r="AH252" s="0" t="n">
        <v>1</v>
      </c>
    </row>
    <row r="253" customFormat="false" ht="15" hidden="false" customHeight="false" outlineLevel="0" collapsed="false">
      <c r="A253" s="0" t="s">
        <v>526</v>
      </c>
      <c r="B253" s="0" t="s">
        <v>134</v>
      </c>
      <c r="C253" s="0" t="s">
        <v>3447</v>
      </c>
      <c r="D253" s="0" t="s">
        <v>3448</v>
      </c>
      <c r="E253" s="19" t="s">
        <v>26</v>
      </c>
      <c r="F253" s="19" t="s">
        <v>32</v>
      </c>
      <c r="G253" s="21" t="s">
        <v>60</v>
      </c>
      <c r="H253" s="21" t="s">
        <v>24</v>
      </c>
      <c r="I253" s="21" t="s">
        <v>26</v>
      </c>
      <c r="J253" s="21" t="s">
        <v>24</v>
      </c>
      <c r="K253" s="21" t="s">
        <v>24</v>
      </c>
      <c r="L253" s="21" t="s">
        <v>24</v>
      </c>
      <c r="M253" s="0" t="n">
        <v>182</v>
      </c>
      <c r="N253" s="0" t="n">
        <v>11</v>
      </c>
      <c r="O253" s="21" t="s">
        <v>3993</v>
      </c>
      <c r="P253" s="21" t="s">
        <v>4361</v>
      </c>
      <c r="Q253" s="0" t="n">
        <v>0</v>
      </c>
      <c r="S253" s="0" t="n">
        <v>11</v>
      </c>
      <c r="T253" s="21" t="s">
        <v>3993</v>
      </c>
      <c r="U253" s="22" t="b">
        <f aca="false">FALSE()</f>
        <v>0</v>
      </c>
      <c r="V253" s="0" t="n">
        <v>0.69</v>
      </c>
      <c r="W253" s="0" t="n">
        <v>0.8</v>
      </c>
      <c r="X253" s="0" t="n">
        <v>8.69</v>
      </c>
      <c r="Y253" s="0" t="n">
        <v>230.11</v>
      </c>
      <c r="Z253" s="0" t="n">
        <v>10.25</v>
      </c>
      <c r="AA253" s="0" t="n">
        <v>13.04</v>
      </c>
      <c r="AB253" s="0" t="n">
        <v>4.48</v>
      </c>
      <c r="AC253" s="22" t="b">
        <f aca="false">FALSE()</f>
        <v>0</v>
      </c>
      <c r="AD253" s="0" t="n">
        <v>5.51</v>
      </c>
      <c r="AE253" s="0" t="n">
        <v>0.56</v>
      </c>
      <c r="AF253" s="0" t="n">
        <v>4.34</v>
      </c>
      <c r="AG253" s="22" t="b">
        <f aca="false">FALSE()</f>
        <v>0</v>
      </c>
      <c r="AH253" s="0" t="n">
        <v>1</v>
      </c>
    </row>
    <row r="254" customFormat="false" ht="15" hidden="false" customHeight="false" outlineLevel="0" collapsed="false">
      <c r="A254" s="0" t="s">
        <v>533</v>
      </c>
      <c r="B254" s="0" t="s">
        <v>134</v>
      </c>
      <c r="C254" s="0" t="s">
        <v>3450</v>
      </c>
      <c r="D254" s="0" t="s">
        <v>3457</v>
      </c>
      <c r="E254" s="20" t="s">
        <v>25</v>
      </c>
      <c r="F254" s="23" t="s">
        <v>30</v>
      </c>
      <c r="G254" s="21" t="s">
        <v>283</v>
      </c>
      <c r="H254" s="21" t="s">
        <v>24</v>
      </c>
      <c r="I254" s="21" t="s">
        <v>25</v>
      </c>
      <c r="J254" s="21" t="s">
        <v>24</v>
      </c>
      <c r="K254" s="21" t="s">
        <v>24</v>
      </c>
      <c r="L254" s="21" t="s">
        <v>24</v>
      </c>
      <c r="M254" s="0" t="n">
        <v>184</v>
      </c>
      <c r="N254" s="0" t="n">
        <v>2</v>
      </c>
      <c r="O254" s="21" t="s">
        <v>3575</v>
      </c>
      <c r="P254" s="21" t="s">
        <v>4265</v>
      </c>
      <c r="Q254" s="0" t="n">
        <v>1</v>
      </c>
      <c r="R254" s="21" t="s">
        <v>69</v>
      </c>
      <c r="S254" s="0" t="n">
        <v>2</v>
      </c>
      <c r="T254" s="21" t="s">
        <v>3575</v>
      </c>
      <c r="U254" s="22" t="b">
        <f aca="false">TRUE()</f>
        <v>1</v>
      </c>
      <c r="V254" s="0" t="n">
        <v>0.73</v>
      </c>
      <c r="W254" s="0" t="n">
        <v>0.32</v>
      </c>
      <c r="X254" s="0" t="n">
        <v>6.64</v>
      </c>
      <c r="Y254" s="0" t="n">
        <v>393.99</v>
      </c>
      <c r="Z254" s="0" t="n">
        <v>11.5</v>
      </c>
      <c r="AA254" s="0" t="n">
        <v>10.72</v>
      </c>
      <c r="AB254" s="0" t="n">
        <v>3.77</v>
      </c>
      <c r="AC254" s="22" t="b">
        <f aca="false">FALSE()</f>
        <v>0</v>
      </c>
      <c r="AD254" s="0" t="n">
        <v>18.78</v>
      </c>
      <c r="AE254" s="0" t="n">
        <v>6.17</v>
      </c>
      <c r="AF254" s="0" t="n">
        <v>15.61</v>
      </c>
      <c r="AG254" s="22" t="b">
        <f aca="false">TRUE()</f>
        <v>1</v>
      </c>
      <c r="AH254" s="0" t="n">
        <v>1</v>
      </c>
    </row>
    <row r="255" customFormat="false" ht="15" hidden="false" customHeight="false" outlineLevel="0" collapsed="false">
      <c r="A255" s="0" t="s">
        <v>533</v>
      </c>
      <c r="B255" s="0" t="s">
        <v>134</v>
      </c>
      <c r="C255" s="0" t="s">
        <v>3450</v>
      </c>
      <c r="D255" s="0" t="s">
        <v>3448</v>
      </c>
      <c r="E255" s="20" t="s">
        <v>25</v>
      </c>
      <c r="F255" s="23" t="s">
        <v>30</v>
      </c>
      <c r="G255" s="21" t="s">
        <v>283</v>
      </c>
      <c r="H255" s="21" t="s">
        <v>24</v>
      </c>
      <c r="I255" s="21" t="s">
        <v>25</v>
      </c>
      <c r="J255" s="21" t="s">
        <v>24</v>
      </c>
      <c r="K255" s="21" t="s">
        <v>24</v>
      </c>
      <c r="L255" s="21" t="s">
        <v>24</v>
      </c>
      <c r="M255" s="0" t="n">
        <v>183</v>
      </c>
      <c r="N255" s="0" t="n">
        <v>1</v>
      </c>
      <c r="O255" s="21" t="s">
        <v>69</v>
      </c>
      <c r="P255" s="21" t="s">
        <v>4275</v>
      </c>
      <c r="Q255" s="0" t="n">
        <v>1</v>
      </c>
      <c r="R255" s="21" t="s">
        <v>69</v>
      </c>
      <c r="S255" s="0" t="n">
        <v>1</v>
      </c>
      <c r="T255" s="21" t="s">
        <v>69</v>
      </c>
      <c r="U255" s="22" t="b">
        <f aca="false">TRUE()</f>
        <v>1</v>
      </c>
      <c r="V255" s="0" t="n">
        <v>0.75</v>
      </c>
      <c r="W255" s="0" t="n">
        <v>0.36</v>
      </c>
      <c r="X255" s="0" t="n">
        <v>7.41</v>
      </c>
      <c r="Y255" s="0" t="n">
        <v>378.11</v>
      </c>
      <c r="Z255" s="0" t="n">
        <v>11.25</v>
      </c>
      <c r="AA255" s="0" t="n">
        <v>5.63</v>
      </c>
      <c r="AB255" s="0" t="n">
        <v>1.6</v>
      </c>
      <c r="AC255" s="22" t="b">
        <f aca="false">FALSE()</f>
        <v>0</v>
      </c>
      <c r="AD255" s="0" t="n">
        <v>18.95</v>
      </c>
      <c r="AE255" s="0" t="n">
        <v>6.47</v>
      </c>
      <c r="AF255" s="0" t="n">
        <v>14.68</v>
      </c>
      <c r="AG255" s="22" t="b">
        <f aca="false">TRUE()</f>
        <v>1</v>
      </c>
      <c r="AH255" s="0" t="n">
        <v>1</v>
      </c>
    </row>
    <row r="256" customFormat="false" ht="15" hidden="false" customHeight="false" outlineLevel="0" collapsed="false">
      <c r="A256" s="0" t="s">
        <v>533</v>
      </c>
      <c r="B256" s="0" t="s">
        <v>134</v>
      </c>
      <c r="C256" s="0" t="s">
        <v>3447</v>
      </c>
      <c r="D256" s="0" t="s">
        <v>3457</v>
      </c>
      <c r="E256" s="19" t="s">
        <v>26</v>
      </c>
      <c r="F256" s="19" t="s">
        <v>32</v>
      </c>
      <c r="G256" s="21" t="s">
        <v>529</v>
      </c>
      <c r="H256" s="21" t="s">
        <v>24</v>
      </c>
      <c r="I256" s="21" t="s">
        <v>26</v>
      </c>
      <c r="J256" s="21" t="s">
        <v>24</v>
      </c>
      <c r="K256" s="21" t="s">
        <v>24</v>
      </c>
      <c r="L256" s="21" t="s">
        <v>24</v>
      </c>
      <c r="M256" s="0" t="n">
        <v>183</v>
      </c>
      <c r="N256" s="0" t="n">
        <v>7</v>
      </c>
      <c r="O256" s="21" t="s">
        <v>4065</v>
      </c>
      <c r="P256" s="21" t="s">
        <v>4362</v>
      </c>
      <c r="Q256" s="0" t="n">
        <v>1</v>
      </c>
      <c r="R256" s="21" t="s">
        <v>69</v>
      </c>
      <c r="S256" s="0" t="n">
        <v>7</v>
      </c>
      <c r="T256" s="21" t="s">
        <v>4065</v>
      </c>
      <c r="U256" s="22" t="b">
        <f aca="false">FALSE()</f>
        <v>0</v>
      </c>
      <c r="V256" s="0" t="n">
        <v>0.68</v>
      </c>
      <c r="W256" s="0" t="n">
        <v>0.84</v>
      </c>
      <c r="X256" s="0" t="n">
        <v>8.32</v>
      </c>
      <c r="Y256" s="0" t="n">
        <v>312.88</v>
      </c>
      <c r="Z256" s="0" t="n">
        <v>8.5</v>
      </c>
      <c r="AA256" s="0" t="n">
        <v>4.76</v>
      </c>
      <c r="AB256" s="0" t="n">
        <v>3.77</v>
      </c>
      <c r="AC256" s="22" t="b">
        <f aca="false">FALSE()</f>
        <v>0</v>
      </c>
      <c r="AD256" s="0" t="n">
        <v>17.56</v>
      </c>
      <c r="AE256" s="0" t="n">
        <v>4.76</v>
      </c>
      <c r="AF256" s="0" t="n">
        <v>13.18</v>
      </c>
      <c r="AG256" s="22" t="b">
        <f aca="false">TRUE()</f>
        <v>1</v>
      </c>
      <c r="AH256" s="0" t="n">
        <v>1</v>
      </c>
    </row>
    <row r="257" customFormat="false" ht="15" hidden="false" customHeight="false" outlineLevel="0" collapsed="false">
      <c r="A257" s="0" t="s">
        <v>533</v>
      </c>
      <c r="B257" s="0" t="s">
        <v>134</v>
      </c>
      <c r="C257" s="0" t="s">
        <v>3447</v>
      </c>
      <c r="D257" s="0" t="s">
        <v>3448</v>
      </c>
      <c r="E257" s="19" t="s">
        <v>26</v>
      </c>
      <c r="F257" s="19" t="s">
        <v>32</v>
      </c>
      <c r="G257" s="21" t="s">
        <v>60</v>
      </c>
      <c r="H257" s="21" t="s">
        <v>24</v>
      </c>
      <c r="I257" s="21" t="s">
        <v>26</v>
      </c>
      <c r="J257" s="21" t="s">
        <v>24</v>
      </c>
      <c r="K257" s="21" t="s">
        <v>24</v>
      </c>
      <c r="L257" s="21" t="s">
        <v>24</v>
      </c>
      <c r="M257" s="0" t="n">
        <v>182</v>
      </c>
      <c r="N257" s="0" t="n">
        <v>10</v>
      </c>
      <c r="O257" s="21" t="s">
        <v>3977</v>
      </c>
      <c r="P257" s="21" t="s">
        <v>4363</v>
      </c>
      <c r="Q257" s="0" t="n">
        <v>0</v>
      </c>
      <c r="S257" s="0" t="n">
        <v>10</v>
      </c>
      <c r="T257" s="21" t="s">
        <v>3977</v>
      </c>
      <c r="U257" s="22" t="b">
        <f aca="false">FALSE()</f>
        <v>0</v>
      </c>
      <c r="V257" s="0" t="n">
        <v>0.73</v>
      </c>
      <c r="W257" s="0" t="n">
        <v>0.36</v>
      </c>
      <c r="X257" s="0" t="n">
        <v>8.81</v>
      </c>
      <c r="Y257" s="0" t="n">
        <v>370.24</v>
      </c>
      <c r="Z257" s="0" t="n">
        <v>8.25</v>
      </c>
      <c r="AA257" s="0" t="n">
        <v>1.94</v>
      </c>
      <c r="AB257" s="0" t="n">
        <v>1.6</v>
      </c>
      <c r="AC257" s="22" t="b">
        <f aca="false">FALSE()</f>
        <v>0</v>
      </c>
      <c r="AD257" s="0" t="n">
        <v>16.16</v>
      </c>
      <c r="AE257" s="0" t="n">
        <v>4.78</v>
      </c>
      <c r="AF257" s="0" t="n">
        <v>8.57</v>
      </c>
      <c r="AG257" s="22" t="b">
        <f aca="false">TRUE()</f>
        <v>1</v>
      </c>
      <c r="AH257" s="0" t="n">
        <v>1</v>
      </c>
    </row>
    <row r="258" customFormat="false" ht="15" hidden="false" customHeight="false" outlineLevel="0" collapsed="false">
      <c r="A258" s="0" t="s">
        <v>539</v>
      </c>
      <c r="B258" s="0" t="s">
        <v>134</v>
      </c>
      <c r="C258" s="0" t="s">
        <v>3450</v>
      </c>
      <c r="D258" s="0" t="s">
        <v>3457</v>
      </c>
      <c r="E258" s="20" t="s">
        <v>25</v>
      </c>
      <c r="F258" s="23" t="s">
        <v>30</v>
      </c>
      <c r="G258" s="21" t="s">
        <v>283</v>
      </c>
      <c r="H258" s="21" t="s">
        <v>24</v>
      </c>
      <c r="I258" s="21" t="s">
        <v>25</v>
      </c>
      <c r="J258" s="21" t="s">
        <v>24</v>
      </c>
      <c r="K258" s="21" t="s">
        <v>24</v>
      </c>
      <c r="L258" s="21" t="s">
        <v>24</v>
      </c>
      <c r="M258" s="0" t="n">
        <v>185</v>
      </c>
      <c r="N258" s="0" t="n">
        <v>2</v>
      </c>
      <c r="O258" s="21" t="s">
        <v>3566</v>
      </c>
      <c r="P258" s="21" t="s">
        <v>4238</v>
      </c>
      <c r="Q258" s="0" t="n">
        <v>1</v>
      </c>
      <c r="R258" s="21" t="s">
        <v>69</v>
      </c>
      <c r="S258" s="0" t="n">
        <v>2</v>
      </c>
      <c r="T258" s="21" t="s">
        <v>3566</v>
      </c>
      <c r="U258" s="22" t="b">
        <f aca="false">TRUE()</f>
        <v>1</v>
      </c>
      <c r="V258" s="0" t="n">
        <v>0.66</v>
      </c>
      <c r="W258" s="0" t="n">
        <v>0.2</v>
      </c>
      <c r="X258" s="0" t="n">
        <v>6.98</v>
      </c>
      <c r="Y258" s="0" t="n">
        <v>497.3</v>
      </c>
      <c r="Z258" s="0" t="n">
        <v>10.25</v>
      </c>
      <c r="AA258" s="0" t="n">
        <v>21.8</v>
      </c>
      <c r="AB258" s="0" t="n">
        <v>10.36</v>
      </c>
      <c r="AC258" s="22" t="b">
        <f aca="false">FALSE()</f>
        <v>0</v>
      </c>
      <c r="AD258" s="0" t="n">
        <v>17.19</v>
      </c>
      <c r="AE258" s="0" t="n">
        <v>0.8</v>
      </c>
      <c r="AF258" s="0" t="n">
        <v>2.27</v>
      </c>
      <c r="AG258" s="22" t="b">
        <f aca="false">TRUE()</f>
        <v>1</v>
      </c>
      <c r="AH258" s="0" t="n">
        <v>1</v>
      </c>
    </row>
    <row r="259" customFormat="false" ht="15" hidden="false" customHeight="false" outlineLevel="0" collapsed="false">
      <c r="A259" s="0" t="s">
        <v>539</v>
      </c>
      <c r="B259" s="0" t="s">
        <v>134</v>
      </c>
      <c r="C259" s="0" t="s">
        <v>3450</v>
      </c>
      <c r="D259" s="0" t="s">
        <v>3448</v>
      </c>
      <c r="E259" s="20" t="s">
        <v>25</v>
      </c>
      <c r="F259" s="23" t="s">
        <v>30</v>
      </c>
      <c r="G259" s="21" t="s">
        <v>283</v>
      </c>
      <c r="H259" s="21" t="s">
        <v>24</v>
      </c>
      <c r="I259" s="21" t="s">
        <v>25</v>
      </c>
      <c r="J259" s="21" t="s">
        <v>24</v>
      </c>
      <c r="K259" s="21" t="s">
        <v>24</v>
      </c>
      <c r="L259" s="21" t="s">
        <v>24</v>
      </c>
      <c r="M259" s="0" t="n">
        <v>187</v>
      </c>
      <c r="N259" s="0" t="n">
        <v>2</v>
      </c>
      <c r="O259" s="21" t="s">
        <v>3566</v>
      </c>
      <c r="P259" s="21" t="s">
        <v>4238</v>
      </c>
      <c r="Q259" s="0" t="n">
        <v>1</v>
      </c>
      <c r="R259" s="21" t="s">
        <v>69</v>
      </c>
      <c r="S259" s="0" t="n">
        <v>2</v>
      </c>
      <c r="T259" s="21" t="s">
        <v>3566</v>
      </c>
      <c r="U259" s="22" t="b">
        <f aca="false">TRUE()</f>
        <v>1</v>
      </c>
      <c r="V259" s="0" t="n">
        <v>0.67</v>
      </c>
      <c r="W259" s="0" t="n">
        <v>0.88</v>
      </c>
      <c r="X259" s="0" t="n">
        <v>5.82</v>
      </c>
      <c r="Y259" s="0" t="n">
        <v>326.72</v>
      </c>
      <c r="Z259" s="0" t="n">
        <v>10.25</v>
      </c>
      <c r="AA259" s="0" t="n">
        <v>20.48</v>
      </c>
      <c r="AB259" s="0" t="n">
        <v>2.8</v>
      </c>
      <c r="AC259" s="22" t="b">
        <f aca="false">FALSE()</f>
        <v>0</v>
      </c>
      <c r="AD259" s="0" t="n">
        <v>12.9</v>
      </c>
      <c r="AE259" s="0" t="n">
        <v>0.53</v>
      </c>
      <c r="AF259" s="0" t="n">
        <v>3.26</v>
      </c>
      <c r="AG259" s="22" t="b">
        <f aca="false">TRUE()</f>
        <v>1</v>
      </c>
      <c r="AH259" s="0" t="n">
        <v>1</v>
      </c>
    </row>
    <row r="260" customFormat="false" ht="15" hidden="false" customHeight="false" outlineLevel="0" collapsed="false">
      <c r="A260" s="0" t="s">
        <v>539</v>
      </c>
      <c r="B260" s="0" t="s">
        <v>134</v>
      </c>
      <c r="C260" s="0" t="s">
        <v>3447</v>
      </c>
      <c r="D260" s="0" t="s">
        <v>3457</v>
      </c>
      <c r="E260" s="20" t="s">
        <v>25</v>
      </c>
      <c r="F260" s="23" t="s">
        <v>30</v>
      </c>
      <c r="G260" s="21" t="s">
        <v>283</v>
      </c>
      <c r="H260" s="21" t="s">
        <v>24</v>
      </c>
      <c r="I260" s="21" t="s">
        <v>25</v>
      </c>
      <c r="J260" s="21" t="s">
        <v>24</v>
      </c>
      <c r="K260" s="21" t="s">
        <v>24</v>
      </c>
      <c r="L260" s="21" t="s">
        <v>24</v>
      </c>
      <c r="M260" s="0" t="n">
        <v>185</v>
      </c>
      <c r="N260" s="0" t="n">
        <v>2</v>
      </c>
      <c r="O260" s="21" t="s">
        <v>3566</v>
      </c>
      <c r="P260" s="21" t="s">
        <v>4238</v>
      </c>
      <c r="Q260" s="0" t="n">
        <v>1</v>
      </c>
      <c r="R260" s="21" t="s">
        <v>69</v>
      </c>
      <c r="S260" s="0" t="n">
        <v>2</v>
      </c>
      <c r="T260" s="21" t="s">
        <v>3566</v>
      </c>
      <c r="U260" s="22" t="b">
        <f aca="false">TRUE()</f>
        <v>1</v>
      </c>
      <c r="V260" s="0" t="n">
        <v>0.67</v>
      </c>
      <c r="W260" s="0" t="n">
        <v>0.64</v>
      </c>
      <c r="X260" s="0" t="n">
        <v>5.41</v>
      </c>
      <c r="Y260" s="0" t="n">
        <v>322.53</v>
      </c>
      <c r="Z260" s="0" t="n">
        <v>10.25</v>
      </c>
      <c r="AA260" s="0" t="n">
        <v>9.58</v>
      </c>
      <c r="AB260" s="0" t="n">
        <v>10.36</v>
      </c>
      <c r="AC260" s="22" t="b">
        <f aca="false">FALSE()</f>
        <v>0</v>
      </c>
      <c r="AD260" s="0" t="n">
        <v>16.6</v>
      </c>
      <c r="AE260" s="0" t="n">
        <v>0.9</v>
      </c>
      <c r="AF260" s="0" t="n">
        <v>3.71</v>
      </c>
      <c r="AG260" s="22" t="b">
        <f aca="false">TRUE()</f>
        <v>1</v>
      </c>
      <c r="AH260" s="0" t="n">
        <v>1</v>
      </c>
    </row>
    <row r="261" customFormat="false" ht="15" hidden="false" customHeight="false" outlineLevel="0" collapsed="false">
      <c r="A261" s="0" t="s">
        <v>539</v>
      </c>
      <c r="B261" s="0" t="s">
        <v>134</v>
      </c>
      <c r="C261" s="0" t="s">
        <v>3447</v>
      </c>
      <c r="D261" s="0" t="s">
        <v>3448</v>
      </c>
      <c r="E261" s="18" t="s">
        <v>24</v>
      </c>
      <c r="F261" s="23" t="s">
        <v>30</v>
      </c>
      <c r="G261" s="21" t="s">
        <v>30</v>
      </c>
      <c r="H261" s="21" t="s">
        <v>24</v>
      </c>
      <c r="I261" s="21" t="s">
        <v>24</v>
      </c>
      <c r="J261" s="21" t="s">
        <v>24</v>
      </c>
      <c r="K261" s="21" t="s">
        <v>24</v>
      </c>
      <c r="L261" s="21" t="s">
        <v>24</v>
      </c>
      <c r="M261" s="0" t="n">
        <v>185</v>
      </c>
      <c r="N261" s="0" t="n">
        <v>4</v>
      </c>
      <c r="O261" s="21" t="s">
        <v>3640</v>
      </c>
      <c r="P261" s="21" t="s">
        <v>4349</v>
      </c>
      <c r="Q261" s="0" t="n">
        <v>0</v>
      </c>
      <c r="S261" s="0" t="n">
        <v>4</v>
      </c>
      <c r="T261" s="21" t="s">
        <v>3640</v>
      </c>
      <c r="U261" s="22" t="b">
        <f aca="false">TRUE()</f>
        <v>1</v>
      </c>
      <c r="V261" s="0" t="n">
        <v>0.72</v>
      </c>
      <c r="W261" s="0" t="n">
        <v>0.92</v>
      </c>
      <c r="X261" s="0" t="n">
        <v>6.52</v>
      </c>
      <c r="Y261" s="0" t="n">
        <v>321.17</v>
      </c>
      <c r="Z261" s="0" t="n">
        <v>10.25</v>
      </c>
      <c r="AA261" s="0" t="n">
        <v>14.44</v>
      </c>
      <c r="AB261" s="0" t="n">
        <v>2.8</v>
      </c>
      <c r="AC261" s="22" t="b">
        <f aca="false">FALSE()</f>
        <v>0</v>
      </c>
      <c r="AD261" s="0" t="n">
        <v>12.29</v>
      </c>
      <c r="AE261" s="0" t="n">
        <v>0.42</v>
      </c>
      <c r="AF261" s="0" t="n">
        <v>3.09</v>
      </c>
      <c r="AG261" s="22" t="b">
        <f aca="false">TRUE()</f>
        <v>1</v>
      </c>
      <c r="AH261" s="0" t="n">
        <v>1</v>
      </c>
    </row>
    <row r="262" customFormat="false" ht="15" hidden="false" customHeight="false" outlineLevel="0" collapsed="false">
      <c r="A262" s="0" t="s">
        <v>545</v>
      </c>
      <c r="B262" s="0" t="s">
        <v>134</v>
      </c>
      <c r="C262" s="0" t="s">
        <v>3450</v>
      </c>
      <c r="D262" s="0" t="s">
        <v>3457</v>
      </c>
      <c r="E262" s="20" t="s">
        <v>25</v>
      </c>
      <c r="F262" s="20" t="s">
        <v>29</v>
      </c>
      <c r="G262" s="21" t="s">
        <v>3466</v>
      </c>
      <c r="H262" s="21" t="s">
        <v>24</v>
      </c>
      <c r="I262" s="21" t="s">
        <v>24</v>
      </c>
      <c r="J262" s="21" t="s">
        <v>24</v>
      </c>
      <c r="K262" s="21" t="s">
        <v>25</v>
      </c>
      <c r="L262" s="21" t="s">
        <v>24</v>
      </c>
      <c r="M262" s="0" t="n">
        <v>198</v>
      </c>
      <c r="N262" s="0" t="n">
        <v>0</v>
      </c>
      <c r="Q262" s="0" t="n">
        <v>0</v>
      </c>
      <c r="S262" s="0" t="n">
        <v>0</v>
      </c>
      <c r="U262" s="22" t="b">
        <f aca="false">FALSE()</f>
        <v>0</v>
      </c>
      <c r="V262" s="0" t="n">
        <v>0.62</v>
      </c>
      <c r="W262" s="0" t="n">
        <v>0.28</v>
      </c>
      <c r="X262" s="0" t="n">
        <v>5.45</v>
      </c>
      <c r="Y262" s="0" t="n">
        <v>468.93</v>
      </c>
      <c r="Z262" s="0" t="n">
        <v>8.42</v>
      </c>
      <c r="AA262" s="0" t="n">
        <v>-0.98</v>
      </c>
      <c r="AB262" s="0" t="n">
        <v>1.22</v>
      </c>
      <c r="AC262" s="22" t="b">
        <f aca="false">TRUE()</f>
        <v>1</v>
      </c>
      <c r="AD262" s="0" t="n">
        <v>13.83</v>
      </c>
      <c r="AE262" s="0" t="n">
        <v>0.42</v>
      </c>
      <c r="AF262" s="0" t="n">
        <v>1.92</v>
      </c>
      <c r="AG262" s="22" t="b">
        <f aca="false">TRUE()</f>
        <v>1</v>
      </c>
      <c r="AH262" s="0" t="n">
        <v>1</v>
      </c>
    </row>
    <row r="263" customFormat="false" ht="15" hidden="false" customHeight="false" outlineLevel="0" collapsed="false">
      <c r="A263" s="0" t="s">
        <v>545</v>
      </c>
      <c r="B263" s="0" t="s">
        <v>134</v>
      </c>
      <c r="C263" s="0" t="s">
        <v>3450</v>
      </c>
      <c r="D263" s="0" t="s">
        <v>3448</v>
      </c>
      <c r="E263" s="20" t="s">
        <v>25</v>
      </c>
      <c r="F263" s="23" t="s">
        <v>30</v>
      </c>
      <c r="G263" s="21" t="s">
        <v>197</v>
      </c>
      <c r="H263" s="21" t="s">
        <v>24</v>
      </c>
      <c r="I263" s="21" t="s">
        <v>25</v>
      </c>
      <c r="J263" s="21" t="s">
        <v>24</v>
      </c>
      <c r="K263" s="21" t="s">
        <v>25</v>
      </c>
      <c r="L263" s="21" t="s">
        <v>24</v>
      </c>
      <c r="M263" s="0" t="n">
        <v>193</v>
      </c>
      <c r="N263" s="0" t="n">
        <v>3</v>
      </c>
      <c r="O263" s="21" t="s">
        <v>3767</v>
      </c>
      <c r="P263" s="21" t="s">
        <v>4246</v>
      </c>
      <c r="Q263" s="0" t="n">
        <v>1</v>
      </c>
      <c r="R263" s="21" t="s">
        <v>69</v>
      </c>
      <c r="S263" s="0" t="n">
        <v>3</v>
      </c>
      <c r="T263" s="21" t="s">
        <v>3767</v>
      </c>
      <c r="U263" s="22" t="b">
        <f aca="false">TRUE()</f>
        <v>1</v>
      </c>
      <c r="V263" s="0" t="n">
        <v>0.61</v>
      </c>
      <c r="W263" s="0" t="n">
        <v>0</v>
      </c>
      <c r="X263" s="0" t="n">
        <v>6.69</v>
      </c>
      <c r="Y263" s="0" t="n">
        <v>740.6</v>
      </c>
      <c r="Z263" s="0" t="n">
        <v>8.5</v>
      </c>
      <c r="AA263" s="0" t="n">
        <v>0.45</v>
      </c>
      <c r="AB263" s="0" t="n">
        <v>0.88</v>
      </c>
      <c r="AC263" s="22" t="b">
        <f aca="false">TRUE()</f>
        <v>1</v>
      </c>
      <c r="AD263" s="0" t="n">
        <v>11.96</v>
      </c>
      <c r="AE263" s="0" t="n">
        <v>0.47</v>
      </c>
      <c r="AF263" s="0" t="n">
        <v>0.86</v>
      </c>
      <c r="AG263" s="22" t="b">
        <f aca="false">TRUE()</f>
        <v>1</v>
      </c>
      <c r="AH263" s="0" t="n">
        <v>1</v>
      </c>
    </row>
    <row r="264" customFormat="false" ht="15" hidden="false" customHeight="false" outlineLevel="0" collapsed="false">
      <c r="A264" s="0" t="s">
        <v>545</v>
      </c>
      <c r="B264" s="0" t="s">
        <v>134</v>
      </c>
      <c r="C264" s="0" t="s">
        <v>3447</v>
      </c>
      <c r="D264" s="0" t="s">
        <v>3457</v>
      </c>
      <c r="E264" s="20" t="s">
        <v>25</v>
      </c>
      <c r="F264" s="20" t="s">
        <v>29</v>
      </c>
      <c r="G264" s="21" t="s">
        <v>63</v>
      </c>
      <c r="H264" s="21" t="s">
        <v>24</v>
      </c>
      <c r="I264" s="21" t="s">
        <v>24</v>
      </c>
      <c r="J264" s="21" t="s">
        <v>24</v>
      </c>
      <c r="K264" s="21" t="s">
        <v>25</v>
      </c>
      <c r="L264" s="21" t="s">
        <v>24</v>
      </c>
      <c r="M264" s="0" t="n">
        <v>185</v>
      </c>
      <c r="N264" s="0" t="n">
        <v>0</v>
      </c>
      <c r="Q264" s="0" t="n">
        <v>0</v>
      </c>
      <c r="S264" s="0" t="n">
        <v>0</v>
      </c>
      <c r="U264" s="22" t="b">
        <f aca="false">FALSE()</f>
        <v>0</v>
      </c>
      <c r="V264" s="0" t="n">
        <v>0.59</v>
      </c>
      <c r="W264" s="0" t="n">
        <v>0.84</v>
      </c>
      <c r="X264" s="0" t="n">
        <v>5.58</v>
      </c>
      <c r="Y264" s="0" t="n">
        <v>323.67</v>
      </c>
      <c r="Z264" s="0" t="n">
        <v>8</v>
      </c>
      <c r="AA264" s="0" t="n">
        <v>1.34</v>
      </c>
      <c r="AB264" s="0" t="n">
        <v>1.22</v>
      </c>
      <c r="AC264" s="22" t="b">
        <f aca="false">FALSE()</f>
        <v>0</v>
      </c>
      <c r="AD264" s="0" t="n">
        <v>15.06</v>
      </c>
      <c r="AE264" s="0" t="n">
        <v>0.46</v>
      </c>
      <c r="AF264" s="0" t="n">
        <v>2.56</v>
      </c>
      <c r="AG264" s="22" t="b">
        <f aca="false">TRUE()</f>
        <v>1</v>
      </c>
      <c r="AH264" s="0" t="n">
        <v>1</v>
      </c>
    </row>
    <row r="265" customFormat="false" ht="15" hidden="false" customHeight="false" outlineLevel="0" collapsed="false">
      <c r="A265" s="0" t="s">
        <v>545</v>
      </c>
      <c r="B265" s="0" t="s">
        <v>134</v>
      </c>
      <c r="C265" s="0" t="s">
        <v>3447</v>
      </c>
      <c r="D265" s="0" t="s">
        <v>3448</v>
      </c>
      <c r="E265" s="20" t="s">
        <v>25</v>
      </c>
      <c r="F265" s="23" t="s">
        <v>30</v>
      </c>
      <c r="G265" s="21" t="s">
        <v>2610</v>
      </c>
      <c r="H265" s="21" t="s">
        <v>24</v>
      </c>
      <c r="I265" s="21" t="s">
        <v>24</v>
      </c>
      <c r="J265" s="21" t="s">
        <v>24</v>
      </c>
      <c r="K265" s="21" t="s">
        <v>25</v>
      </c>
      <c r="L265" s="21" t="s">
        <v>24</v>
      </c>
      <c r="M265" s="0" t="n">
        <v>183</v>
      </c>
      <c r="N265" s="0" t="n">
        <v>4</v>
      </c>
      <c r="O265" s="21" t="s">
        <v>3622</v>
      </c>
      <c r="P265" s="21" t="s">
        <v>4293</v>
      </c>
      <c r="Q265" s="0" t="n">
        <v>0</v>
      </c>
      <c r="S265" s="0" t="n">
        <v>4</v>
      </c>
      <c r="T265" s="21" t="s">
        <v>3622</v>
      </c>
      <c r="U265" s="22" t="b">
        <f aca="false">TRUE()</f>
        <v>1</v>
      </c>
      <c r="V265" s="0" t="n">
        <v>0.78</v>
      </c>
      <c r="W265" s="0" t="n">
        <v>0.16</v>
      </c>
      <c r="X265" s="0" t="n">
        <v>6.43</v>
      </c>
      <c r="Y265" s="0" t="n">
        <v>524.83</v>
      </c>
      <c r="Z265" s="0" t="n">
        <v>8</v>
      </c>
      <c r="AA265" s="0" t="n">
        <v>-0.43</v>
      </c>
      <c r="AB265" s="0" t="n">
        <v>0.88</v>
      </c>
      <c r="AC265" s="22" t="b">
        <f aca="false">FALSE()</f>
        <v>0</v>
      </c>
      <c r="AD265" s="0" t="n">
        <v>12.43</v>
      </c>
      <c r="AE265" s="0" t="n">
        <v>0.86</v>
      </c>
      <c r="AF265" s="0" t="n">
        <v>1.7</v>
      </c>
      <c r="AG265" s="22" t="b">
        <f aca="false">TRUE()</f>
        <v>1</v>
      </c>
      <c r="AH265" s="0" t="n">
        <v>1</v>
      </c>
    </row>
    <row r="266" customFormat="false" ht="15" hidden="false" customHeight="false" outlineLevel="0" collapsed="false">
      <c r="A266" s="0" t="s">
        <v>560</v>
      </c>
      <c r="B266" s="0" t="s">
        <v>134</v>
      </c>
      <c r="C266" s="0" t="s">
        <v>3450</v>
      </c>
      <c r="D266" s="0" t="s">
        <v>3457</v>
      </c>
      <c r="E266" s="20" t="s">
        <v>25</v>
      </c>
      <c r="F266" s="23" t="s">
        <v>30</v>
      </c>
      <c r="G266" s="21" t="s">
        <v>283</v>
      </c>
      <c r="H266" s="21" t="s">
        <v>24</v>
      </c>
      <c r="I266" s="21" t="s">
        <v>25</v>
      </c>
      <c r="J266" s="21" t="s">
        <v>24</v>
      </c>
      <c r="K266" s="21" t="s">
        <v>24</v>
      </c>
      <c r="L266" s="21" t="s">
        <v>24</v>
      </c>
      <c r="M266" s="0" t="n">
        <v>181</v>
      </c>
      <c r="N266" s="0" t="n">
        <v>3</v>
      </c>
      <c r="O266" s="21" t="s">
        <v>3664</v>
      </c>
      <c r="P266" s="21" t="s">
        <v>4331</v>
      </c>
      <c r="Q266" s="0" t="n">
        <v>1</v>
      </c>
      <c r="R266" s="21" t="s">
        <v>69</v>
      </c>
      <c r="S266" s="0" t="n">
        <v>3</v>
      </c>
      <c r="T266" s="21" t="s">
        <v>3664</v>
      </c>
      <c r="U266" s="22" t="b">
        <f aca="false">TRUE()</f>
        <v>1</v>
      </c>
      <c r="V266" s="0" t="n">
        <v>0.7</v>
      </c>
      <c r="W266" s="0" t="n">
        <v>0</v>
      </c>
      <c r="X266" s="0" t="n">
        <v>7.3</v>
      </c>
      <c r="Y266" s="0" t="n">
        <v>685.93</v>
      </c>
      <c r="Z266" s="0" t="n">
        <v>10.75</v>
      </c>
      <c r="AA266" s="0" t="n">
        <v>10.52</v>
      </c>
      <c r="AB266" s="0" t="n">
        <v>6.21</v>
      </c>
      <c r="AC266" s="22" t="b">
        <f aca="false">FALSE()</f>
        <v>0</v>
      </c>
      <c r="AD266" s="0" t="n">
        <v>16.83</v>
      </c>
      <c r="AE266" s="0" t="n">
        <v>1.55</v>
      </c>
      <c r="AF266" s="0" t="n">
        <v>11.66</v>
      </c>
      <c r="AG266" s="22" t="b">
        <f aca="false">TRUE()</f>
        <v>1</v>
      </c>
      <c r="AH266" s="0" t="n">
        <v>1</v>
      </c>
    </row>
    <row r="267" customFormat="false" ht="15" hidden="false" customHeight="false" outlineLevel="0" collapsed="false">
      <c r="A267" s="0" t="s">
        <v>560</v>
      </c>
      <c r="B267" s="0" t="s">
        <v>134</v>
      </c>
      <c r="C267" s="0" t="s">
        <v>3450</v>
      </c>
      <c r="D267" s="0" t="s">
        <v>3448</v>
      </c>
      <c r="E267" s="20" t="s">
        <v>25</v>
      </c>
      <c r="F267" s="23" t="s">
        <v>30</v>
      </c>
      <c r="G267" s="21" t="s">
        <v>283</v>
      </c>
      <c r="H267" s="21" t="s">
        <v>24</v>
      </c>
      <c r="I267" s="21" t="s">
        <v>25</v>
      </c>
      <c r="J267" s="21" t="s">
        <v>24</v>
      </c>
      <c r="K267" s="21" t="s">
        <v>24</v>
      </c>
      <c r="L267" s="21" t="s">
        <v>24</v>
      </c>
      <c r="M267" s="0" t="n">
        <v>182</v>
      </c>
      <c r="N267" s="0" t="n">
        <v>4</v>
      </c>
      <c r="O267" s="21" t="s">
        <v>3773</v>
      </c>
      <c r="P267" s="21" t="s">
        <v>4364</v>
      </c>
      <c r="Q267" s="0" t="n">
        <v>1</v>
      </c>
      <c r="R267" s="21" t="s">
        <v>69</v>
      </c>
      <c r="S267" s="0" t="n">
        <v>4</v>
      </c>
      <c r="T267" s="21" t="s">
        <v>3773</v>
      </c>
      <c r="U267" s="22" t="b">
        <f aca="false">TRUE()</f>
        <v>1</v>
      </c>
      <c r="V267" s="0" t="n">
        <v>0.69</v>
      </c>
      <c r="W267" s="0" t="n">
        <v>0.16</v>
      </c>
      <c r="X267" s="0" t="n">
        <v>9.2</v>
      </c>
      <c r="Y267" s="0" t="n">
        <v>557.87</v>
      </c>
      <c r="Z267" s="0" t="n">
        <v>10.25</v>
      </c>
      <c r="AA267" s="0" t="n">
        <v>7.51</v>
      </c>
      <c r="AB267" s="0" t="n">
        <v>5.92</v>
      </c>
      <c r="AC267" s="22" t="b">
        <f aca="false">FALSE()</f>
        <v>0</v>
      </c>
      <c r="AD267" s="0" t="n">
        <v>9.29</v>
      </c>
      <c r="AE267" s="0" t="n">
        <v>0.61</v>
      </c>
      <c r="AF267" s="0" t="n">
        <v>8.79</v>
      </c>
      <c r="AG267" s="22" t="b">
        <f aca="false">FALSE()</f>
        <v>0</v>
      </c>
      <c r="AH267" s="0" t="n">
        <v>1</v>
      </c>
    </row>
    <row r="268" customFormat="false" ht="15" hidden="false" customHeight="false" outlineLevel="0" collapsed="false">
      <c r="A268" s="0" t="s">
        <v>560</v>
      </c>
      <c r="B268" s="0" t="s">
        <v>134</v>
      </c>
      <c r="C268" s="0" t="s">
        <v>3447</v>
      </c>
      <c r="D268" s="0" t="s">
        <v>3457</v>
      </c>
      <c r="E268" s="18" t="s">
        <v>24</v>
      </c>
      <c r="F268" s="23" t="s">
        <v>30</v>
      </c>
      <c r="G268" s="21" t="s">
        <v>30</v>
      </c>
      <c r="H268" s="21" t="s">
        <v>24</v>
      </c>
      <c r="I268" s="21" t="s">
        <v>24</v>
      </c>
      <c r="J268" s="21" t="s">
        <v>24</v>
      </c>
      <c r="K268" s="21" t="s">
        <v>24</v>
      </c>
      <c r="L268" s="21" t="s">
        <v>24</v>
      </c>
      <c r="M268" s="0" t="n">
        <v>182</v>
      </c>
      <c r="N268" s="0" t="n">
        <v>1</v>
      </c>
      <c r="O268" s="21" t="s">
        <v>3474</v>
      </c>
      <c r="P268" s="21" t="s">
        <v>4272</v>
      </c>
      <c r="Q268" s="0" t="n">
        <v>0</v>
      </c>
      <c r="S268" s="0" t="n">
        <v>1</v>
      </c>
      <c r="T268" s="21" t="s">
        <v>3474</v>
      </c>
      <c r="U268" s="22" t="b">
        <f aca="false">TRUE()</f>
        <v>1</v>
      </c>
      <c r="V268" s="0" t="n">
        <v>0.74</v>
      </c>
      <c r="W268" s="0" t="n">
        <v>0.16</v>
      </c>
      <c r="X268" s="0" t="n">
        <v>6.39</v>
      </c>
      <c r="Y268" s="0" t="n">
        <v>559.63</v>
      </c>
      <c r="Z268" s="0" t="n">
        <v>8.17</v>
      </c>
      <c r="AA268" s="0" t="n">
        <v>-0.5</v>
      </c>
      <c r="AB268" s="0" t="n">
        <v>6.21</v>
      </c>
      <c r="AC268" s="22" t="b">
        <f aca="false">FALSE()</f>
        <v>0</v>
      </c>
      <c r="AD268" s="0" t="n">
        <v>14.21</v>
      </c>
      <c r="AE268" s="0" t="n">
        <v>0.48</v>
      </c>
      <c r="AF268" s="0" t="n">
        <v>11.51</v>
      </c>
      <c r="AG268" s="22" t="b">
        <f aca="false">TRUE()</f>
        <v>1</v>
      </c>
      <c r="AH268" s="0" t="n">
        <v>1</v>
      </c>
    </row>
    <row r="269" customFormat="false" ht="15" hidden="false" customHeight="false" outlineLevel="0" collapsed="false">
      <c r="A269" s="0" t="s">
        <v>560</v>
      </c>
      <c r="B269" s="0" t="s">
        <v>134</v>
      </c>
      <c r="C269" s="0" t="s">
        <v>3447</v>
      </c>
      <c r="D269" s="0" t="s">
        <v>3448</v>
      </c>
      <c r="E269" s="18" t="s">
        <v>24</v>
      </c>
      <c r="F269" s="23" t="s">
        <v>30</v>
      </c>
      <c r="G269" s="21" t="s">
        <v>30</v>
      </c>
      <c r="H269" s="21" t="s">
        <v>24</v>
      </c>
      <c r="I269" s="21" t="s">
        <v>24</v>
      </c>
      <c r="J269" s="21" t="s">
        <v>24</v>
      </c>
      <c r="K269" s="21" t="s">
        <v>24</v>
      </c>
      <c r="L269" s="21" t="s">
        <v>24</v>
      </c>
      <c r="M269" s="0" t="n">
        <v>182</v>
      </c>
      <c r="N269" s="0" t="n">
        <v>1</v>
      </c>
      <c r="O269" s="21" t="s">
        <v>3474</v>
      </c>
      <c r="P269" s="21" t="s">
        <v>4272</v>
      </c>
      <c r="Q269" s="0" t="n">
        <v>0</v>
      </c>
      <c r="S269" s="0" t="n">
        <v>1</v>
      </c>
      <c r="T269" s="21" t="s">
        <v>3474</v>
      </c>
      <c r="U269" s="22" t="b">
        <f aca="false">TRUE()</f>
        <v>1</v>
      </c>
      <c r="V269" s="0" t="n">
        <v>0.71</v>
      </c>
      <c r="W269" s="0" t="n">
        <v>0</v>
      </c>
      <c r="X269" s="0" t="n">
        <v>7.53</v>
      </c>
      <c r="Y269" s="0" t="n">
        <v>684.06</v>
      </c>
      <c r="Z269" s="0" t="n">
        <v>9.58</v>
      </c>
      <c r="AA269" s="0" t="n">
        <v>-0.44</v>
      </c>
      <c r="AB269" s="0" t="n">
        <v>5.92</v>
      </c>
      <c r="AC269" s="22" t="b">
        <f aca="false">FALSE()</f>
        <v>0</v>
      </c>
      <c r="AD269" s="0" t="n">
        <v>6.45</v>
      </c>
      <c r="AE269" s="0" t="n">
        <v>2.89</v>
      </c>
      <c r="AF269" s="0" t="n">
        <v>9.24</v>
      </c>
      <c r="AG269" s="22" t="b">
        <f aca="false">FALSE()</f>
        <v>0</v>
      </c>
      <c r="AH269" s="0" t="n">
        <v>1</v>
      </c>
    </row>
    <row r="270" customFormat="false" ht="15" hidden="false" customHeight="false" outlineLevel="0" collapsed="false">
      <c r="A270" s="0" t="s">
        <v>566</v>
      </c>
      <c r="B270" s="0" t="s">
        <v>134</v>
      </c>
      <c r="C270" s="0" t="s">
        <v>3450</v>
      </c>
      <c r="D270" s="0" t="s">
        <v>3457</v>
      </c>
      <c r="E270" s="19" t="s">
        <v>26</v>
      </c>
      <c r="F270" s="19" t="s">
        <v>32</v>
      </c>
      <c r="G270" s="21" t="s">
        <v>1926</v>
      </c>
      <c r="H270" s="21" t="s">
        <v>24</v>
      </c>
      <c r="I270" s="21" t="s">
        <v>26</v>
      </c>
      <c r="J270" s="21" t="s">
        <v>24</v>
      </c>
      <c r="K270" s="21" t="s">
        <v>25</v>
      </c>
      <c r="L270" s="21" t="s">
        <v>24</v>
      </c>
      <c r="M270" s="0" t="n">
        <v>184</v>
      </c>
      <c r="N270" s="0" t="n">
        <v>15</v>
      </c>
      <c r="O270" s="21" t="s">
        <v>4173</v>
      </c>
      <c r="P270" s="21" t="s">
        <v>4365</v>
      </c>
      <c r="Q270" s="0" t="n">
        <v>1</v>
      </c>
      <c r="R270" s="21" t="s">
        <v>69</v>
      </c>
      <c r="S270" s="0" t="n">
        <v>15</v>
      </c>
      <c r="T270" s="21" t="s">
        <v>4173</v>
      </c>
      <c r="U270" s="22" t="b">
        <f aca="false">FALSE()</f>
        <v>0</v>
      </c>
      <c r="V270" s="0" t="n">
        <v>0.61</v>
      </c>
      <c r="W270" s="0" t="n">
        <v>0</v>
      </c>
      <c r="X270" s="0" t="n">
        <v>8.23</v>
      </c>
      <c r="Y270" s="0" t="n">
        <v>1.54</v>
      </c>
      <c r="Z270" s="0" t="n">
        <v>11</v>
      </c>
      <c r="AA270" s="0" t="n">
        <v>16</v>
      </c>
      <c r="AB270" s="0" t="n">
        <v>1.97</v>
      </c>
      <c r="AC270" s="22" t="b">
        <f aca="false">FALSE()</f>
        <v>0</v>
      </c>
      <c r="AD270" s="0" t="n">
        <v>24.27</v>
      </c>
      <c r="AE270" s="0" t="n">
        <v>13.56</v>
      </c>
      <c r="AF270" s="0" t="n">
        <v>21.5</v>
      </c>
      <c r="AG270" s="22" t="b">
        <f aca="false">TRUE()</f>
        <v>1</v>
      </c>
      <c r="AH270" s="0" t="n">
        <v>0</v>
      </c>
    </row>
    <row r="271" customFormat="false" ht="15" hidden="false" customHeight="false" outlineLevel="0" collapsed="false">
      <c r="A271" s="0" t="s">
        <v>566</v>
      </c>
      <c r="B271" s="0" t="s">
        <v>134</v>
      </c>
      <c r="C271" s="0" t="s">
        <v>3450</v>
      </c>
      <c r="D271" s="0" t="s">
        <v>3448</v>
      </c>
      <c r="E271" s="19" t="s">
        <v>26</v>
      </c>
      <c r="F271" s="19" t="s">
        <v>32</v>
      </c>
      <c r="G271" s="21" t="s">
        <v>529</v>
      </c>
      <c r="H271" s="21" t="s">
        <v>24</v>
      </c>
      <c r="I271" s="21" t="s">
        <v>26</v>
      </c>
      <c r="J271" s="21" t="s">
        <v>24</v>
      </c>
      <c r="K271" s="21" t="s">
        <v>24</v>
      </c>
      <c r="L271" s="21" t="s">
        <v>24</v>
      </c>
      <c r="M271" s="0" t="n">
        <v>201</v>
      </c>
      <c r="N271" s="0" t="n">
        <v>13</v>
      </c>
      <c r="O271" s="21" t="s">
        <v>4168</v>
      </c>
      <c r="P271" s="21" t="s">
        <v>4366</v>
      </c>
      <c r="Q271" s="0" t="n">
        <v>1</v>
      </c>
      <c r="R271" s="21" t="s">
        <v>69</v>
      </c>
      <c r="S271" s="0" t="n">
        <v>13</v>
      </c>
      <c r="T271" s="21" t="s">
        <v>4168</v>
      </c>
      <c r="U271" s="22" t="b">
        <f aca="false">FALSE()</f>
        <v>0</v>
      </c>
      <c r="V271" s="0" t="n">
        <v>0.6</v>
      </c>
      <c r="W271" s="0" t="n">
        <v>0.44</v>
      </c>
      <c r="X271" s="0" t="n">
        <v>8.48</v>
      </c>
      <c r="Y271" s="0" t="n">
        <v>379.53</v>
      </c>
      <c r="Z271" s="0" t="n">
        <v>11.25</v>
      </c>
      <c r="AA271" s="0" t="n">
        <v>15.15</v>
      </c>
      <c r="AB271" s="0" t="n">
        <v>5.45</v>
      </c>
      <c r="AC271" s="22" t="b">
        <f aca="false">FALSE()</f>
        <v>0</v>
      </c>
      <c r="AD271" s="0" t="n">
        <v>5.33</v>
      </c>
      <c r="AE271" s="0" t="n">
        <v>1.24</v>
      </c>
      <c r="AF271" s="0" t="n">
        <v>11.81</v>
      </c>
      <c r="AG271" s="22" t="b">
        <f aca="false">FALSE()</f>
        <v>0</v>
      </c>
      <c r="AH271" s="0" t="n">
        <v>1</v>
      </c>
    </row>
    <row r="272" customFormat="false" ht="15" hidden="false" customHeight="false" outlineLevel="0" collapsed="false">
      <c r="A272" s="0" t="s">
        <v>566</v>
      </c>
      <c r="B272" s="0" t="s">
        <v>134</v>
      </c>
      <c r="C272" s="0" t="s">
        <v>3447</v>
      </c>
      <c r="D272" s="0" t="s">
        <v>3457</v>
      </c>
      <c r="E272" s="18" t="s">
        <v>24</v>
      </c>
      <c r="F272" s="23" t="s">
        <v>30</v>
      </c>
      <c r="G272" s="21" t="s">
        <v>30</v>
      </c>
      <c r="H272" s="21" t="s">
        <v>24</v>
      </c>
      <c r="I272" s="21" t="s">
        <v>24</v>
      </c>
      <c r="J272" s="21" t="s">
        <v>24</v>
      </c>
      <c r="K272" s="21" t="s">
        <v>24</v>
      </c>
      <c r="L272" s="21" t="s">
        <v>24</v>
      </c>
      <c r="M272" s="0" t="n">
        <v>186</v>
      </c>
      <c r="N272" s="0" t="n">
        <v>2</v>
      </c>
      <c r="O272" s="21" t="s">
        <v>3501</v>
      </c>
      <c r="P272" s="21" t="s">
        <v>4367</v>
      </c>
      <c r="Q272" s="0" t="n">
        <v>0</v>
      </c>
      <c r="S272" s="0" t="n">
        <v>2</v>
      </c>
      <c r="T272" s="21" t="s">
        <v>3501</v>
      </c>
      <c r="U272" s="22" t="b">
        <f aca="false">TRUE()</f>
        <v>1</v>
      </c>
      <c r="V272" s="0" t="n">
        <v>0.75</v>
      </c>
      <c r="W272" s="0" t="n">
        <v>0.92</v>
      </c>
      <c r="X272" s="0" t="n">
        <v>8.3</v>
      </c>
      <c r="Y272" s="0" t="n">
        <v>318.19</v>
      </c>
      <c r="Z272" s="0" t="n">
        <v>8</v>
      </c>
      <c r="AA272" s="0" t="n">
        <v>-1.2</v>
      </c>
      <c r="AB272" s="0" t="n">
        <v>1.97</v>
      </c>
      <c r="AC272" s="22" t="b">
        <f aca="false">FALSE()</f>
        <v>0</v>
      </c>
      <c r="AD272" s="0" t="n">
        <v>14.33</v>
      </c>
      <c r="AE272" s="0" t="n">
        <v>6.59</v>
      </c>
      <c r="AF272" s="0" t="n">
        <v>14.99</v>
      </c>
      <c r="AG272" s="22" t="b">
        <f aca="false">TRUE()</f>
        <v>1</v>
      </c>
      <c r="AH272" s="0" t="n">
        <v>1</v>
      </c>
    </row>
    <row r="273" customFormat="false" ht="15" hidden="false" customHeight="false" outlineLevel="0" collapsed="false">
      <c r="A273" s="0" t="s">
        <v>566</v>
      </c>
      <c r="B273" s="0" t="s">
        <v>134</v>
      </c>
      <c r="C273" s="0" t="s">
        <v>3447</v>
      </c>
      <c r="D273" s="0" t="s">
        <v>3448</v>
      </c>
      <c r="E273" s="18" t="s">
        <v>24</v>
      </c>
      <c r="F273" s="23" t="s">
        <v>30</v>
      </c>
      <c r="G273" s="21" t="s">
        <v>30</v>
      </c>
      <c r="H273" s="21" t="s">
        <v>24</v>
      </c>
      <c r="I273" s="21" t="s">
        <v>24</v>
      </c>
      <c r="J273" s="21" t="s">
        <v>24</v>
      </c>
      <c r="K273" s="21" t="s">
        <v>24</v>
      </c>
      <c r="L273" s="21" t="s">
        <v>24</v>
      </c>
      <c r="M273" s="0" t="n">
        <v>187</v>
      </c>
      <c r="N273" s="0" t="n">
        <v>3</v>
      </c>
      <c r="O273" s="21" t="s">
        <v>3541</v>
      </c>
      <c r="P273" s="21" t="s">
        <v>4368</v>
      </c>
      <c r="Q273" s="0" t="n">
        <v>0</v>
      </c>
      <c r="S273" s="0" t="n">
        <v>3</v>
      </c>
      <c r="T273" s="21" t="s">
        <v>3541</v>
      </c>
      <c r="U273" s="22" t="b">
        <f aca="false">TRUE()</f>
        <v>1</v>
      </c>
      <c r="V273" s="0" t="n">
        <v>0.74</v>
      </c>
      <c r="W273" s="0" t="n">
        <v>0.96</v>
      </c>
      <c r="X273" s="0" t="n">
        <v>9.63</v>
      </c>
      <c r="Y273" s="0" t="n">
        <v>322.31</v>
      </c>
      <c r="Z273" s="0" t="n">
        <v>11.25</v>
      </c>
      <c r="AA273" s="0" t="n">
        <v>4.63</v>
      </c>
      <c r="AB273" s="0" t="n">
        <v>5.45</v>
      </c>
      <c r="AC273" s="22" t="b">
        <f aca="false">FALSE()</f>
        <v>0</v>
      </c>
      <c r="AD273" s="0" t="n">
        <v>0.71</v>
      </c>
      <c r="AE273" s="0" t="n">
        <v>2.79</v>
      </c>
      <c r="AF273" s="0" t="n">
        <v>4.29</v>
      </c>
      <c r="AG273" s="22" t="b">
        <f aca="false">FALSE()</f>
        <v>0</v>
      </c>
      <c r="AH273" s="0" t="n">
        <v>1</v>
      </c>
    </row>
    <row r="274" customFormat="false" ht="15" hidden="false" customHeight="false" outlineLevel="0" collapsed="false">
      <c r="A274" s="0" t="s">
        <v>566</v>
      </c>
      <c r="B274" s="0" t="s">
        <v>3459</v>
      </c>
      <c r="C274" s="0" t="s">
        <v>3450</v>
      </c>
      <c r="D274" s="0" t="s">
        <v>3457</v>
      </c>
      <c r="E274" s="19" t="s">
        <v>26</v>
      </c>
      <c r="F274" s="19" t="s">
        <v>32</v>
      </c>
      <c r="G274" s="21" t="s">
        <v>1178</v>
      </c>
      <c r="H274" s="21" t="s">
        <v>24</v>
      </c>
      <c r="I274" s="21" t="s">
        <v>26</v>
      </c>
      <c r="J274" s="21" t="s">
        <v>24</v>
      </c>
      <c r="K274" s="21" t="s">
        <v>25</v>
      </c>
      <c r="L274" s="21" t="s">
        <v>24</v>
      </c>
      <c r="M274" s="0" t="n">
        <v>188</v>
      </c>
      <c r="N274" s="0" t="n">
        <v>13</v>
      </c>
      <c r="O274" s="21" t="s">
        <v>4180</v>
      </c>
      <c r="P274" s="21" t="s">
        <v>4369</v>
      </c>
      <c r="Q274" s="0" t="n">
        <v>1</v>
      </c>
      <c r="R274" s="21" t="s">
        <v>69</v>
      </c>
      <c r="S274" s="0" t="n">
        <v>13</v>
      </c>
      <c r="T274" s="21" t="s">
        <v>4180</v>
      </c>
      <c r="U274" s="22" t="b">
        <f aca="false">FALSE()</f>
        <v>0</v>
      </c>
      <c r="V274" s="0" t="n">
        <v>0.58</v>
      </c>
      <c r="W274" s="0" t="n">
        <v>0.2</v>
      </c>
      <c r="X274" s="0" t="n">
        <v>7.37</v>
      </c>
      <c r="Y274" s="0" t="n">
        <v>477.16</v>
      </c>
      <c r="Z274" s="0" t="n">
        <v>11</v>
      </c>
      <c r="AA274" s="0" t="n">
        <v>13.44</v>
      </c>
      <c r="AB274" s="0" t="n">
        <v>1.5</v>
      </c>
      <c r="AC274" s="22" t="b">
        <f aca="false">FALSE()</f>
        <v>0</v>
      </c>
      <c r="AD274" s="0" t="n">
        <v>25.97</v>
      </c>
      <c r="AE274" s="0" t="n">
        <v>13.97</v>
      </c>
      <c r="AF274" s="0" t="n">
        <v>20.89</v>
      </c>
      <c r="AG274" s="22" t="b">
        <f aca="false">TRUE()</f>
        <v>1</v>
      </c>
      <c r="AH274" s="0" t="n">
        <v>1</v>
      </c>
    </row>
    <row r="275" customFormat="false" ht="15" hidden="false" customHeight="false" outlineLevel="0" collapsed="false">
      <c r="A275" s="0" t="s">
        <v>566</v>
      </c>
      <c r="B275" s="0" t="s">
        <v>3459</v>
      </c>
      <c r="C275" s="0" t="s">
        <v>3450</v>
      </c>
      <c r="D275" s="0" t="s">
        <v>3448</v>
      </c>
      <c r="E275" s="19" t="s">
        <v>26</v>
      </c>
      <c r="F275" s="19" t="s">
        <v>32</v>
      </c>
      <c r="G275" s="21" t="s">
        <v>1926</v>
      </c>
      <c r="H275" s="21" t="s">
        <v>24</v>
      </c>
      <c r="I275" s="21" t="s">
        <v>26</v>
      </c>
      <c r="J275" s="21" t="s">
        <v>24</v>
      </c>
      <c r="K275" s="21" t="s">
        <v>25</v>
      </c>
      <c r="L275" s="21" t="s">
        <v>24</v>
      </c>
      <c r="M275" s="0" t="n">
        <v>184</v>
      </c>
      <c r="N275" s="0" t="n">
        <v>14</v>
      </c>
      <c r="O275" s="21" t="s">
        <v>4184</v>
      </c>
      <c r="P275" s="21" t="s">
        <v>4370</v>
      </c>
      <c r="Q275" s="0" t="n">
        <v>1</v>
      </c>
      <c r="R275" s="21" t="s">
        <v>69</v>
      </c>
      <c r="S275" s="0" t="n">
        <v>14</v>
      </c>
      <c r="T275" s="21" t="s">
        <v>4184</v>
      </c>
      <c r="U275" s="22" t="b">
        <f aca="false">FALSE()</f>
        <v>0</v>
      </c>
      <c r="V275" s="0" t="n">
        <v>0.56</v>
      </c>
      <c r="W275" s="0" t="n">
        <v>0.24</v>
      </c>
      <c r="X275" s="0" t="n">
        <v>9.41</v>
      </c>
      <c r="Y275" s="0" t="n">
        <v>468.78</v>
      </c>
      <c r="Z275" s="0" t="n">
        <v>11</v>
      </c>
      <c r="AA275" s="0" t="n">
        <v>13.27</v>
      </c>
      <c r="AB275" s="0" t="n">
        <v>3.37</v>
      </c>
      <c r="AC275" s="22" t="b">
        <f aca="false">FALSE()</f>
        <v>0</v>
      </c>
      <c r="AD275" s="0" t="n">
        <v>22.36</v>
      </c>
      <c r="AE275" s="0" t="n">
        <v>9.52</v>
      </c>
      <c r="AF275" s="0" t="n">
        <v>17.38</v>
      </c>
      <c r="AG275" s="22" t="b">
        <f aca="false">TRUE()</f>
        <v>1</v>
      </c>
      <c r="AH275" s="0" t="n">
        <v>1</v>
      </c>
    </row>
    <row r="276" customFormat="false" ht="15" hidden="false" customHeight="false" outlineLevel="0" collapsed="false">
      <c r="A276" s="0" t="s">
        <v>566</v>
      </c>
      <c r="B276" s="0" t="s">
        <v>3459</v>
      </c>
      <c r="C276" s="0" t="s">
        <v>3447</v>
      </c>
      <c r="D276" s="0" t="s">
        <v>3457</v>
      </c>
      <c r="E276" s="20" t="s">
        <v>25</v>
      </c>
      <c r="F276" s="23" t="s">
        <v>30</v>
      </c>
      <c r="G276" s="21" t="s">
        <v>2133</v>
      </c>
      <c r="H276" s="21" t="s">
        <v>24</v>
      </c>
      <c r="I276" s="21" t="s">
        <v>24</v>
      </c>
      <c r="J276" s="21" t="s">
        <v>24</v>
      </c>
      <c r="K276" s="21" t="s">
        <v>25</v>
      </c>
      <c r="L276" s="21" t="s">
        <v>24</v>
      </c>
      <c r="M276" s="0" t="n">
        <v>188</v>
      </c>
      <c r="N276" s="0" t="n">
        <v>4</v>
      </c>
      <c r="O276" s="21" t="s">
        <v>3591</v>
      </c>
      <c r="P276" s="21" t="s">
        <v>4371</v>
      </c>
      <c r="Q276" s="0" t="n">
        <v>0</v>
      </c>
      <c r="S276" s="0" t="n">
        <v>4</v>
      </c>
      <c r="T276" s="21" t="s">
        <v>3591</v>
      </c>
      <c r="U276" s="22" t="b">
        <f aca="false">TRUE()</f>
        <v>1</v>
      </c>
      <c r="V276" s="0" t="n">
        <v>0.76</v>
      </c>
      <c r="W276" s="0" t="n">
        <v>0.88</v>
      </c>
      <c r="X276" s="0" t="n">
        <v>8.49</v>
      </c>
      <c r="Y276" s="0" t="n">
        <v>314.39</v>
      </c>
      <c r="Z276" s="0" t="n">
        <v>8</v>
      </c>
      <c r="AA276" s="0" t="n">
        <v>-0.86</v>
      </c>
      <c r="AB276" s="0" t="n">
        <v>1.5</v>
      </c>
      <c r="AC276" s="22" t="b">
        <f aca="false">FALSE()</f>
        <v>0</v>
      </c>
      <c r="AD276" s="0" t="n">
        <v>17.01</v>
      </c>
      <c r="AE276" s="0" t="n">
        <v>8.32</v>
      </c>
      <c r="AF276" s="0" t="n">
        <v>16.1</v>
      </c>
      <c r="AG276" s="22" t="b">
        <f aca="false">TRUE()</f>
        <v>1</v>
      </c>
      <c r="AH276" s="0" t="n">
        <v>1</v>
      </c>
    </row>
    <row r="277" customFormat="false" ht="15" hidden="false" customHeight="false" outlineLevel="0" collapsed="false">
      <c r="A277" s="0" t="s">
        <v>566</v>
      </c>
      <c r="B277" s="0" t="s">
        <v>3459</v>
      </c>
      <c r="C277" s="0" t="s">
        <v>3447</v>
      </c>
      <c r="D277" s="0" t="s">
        <v>3448</v>
      </c>
      <c r="E277" s="18" t="s">
        <v>24</v>
      </c>
      <c r="F277" s="23" t="s">
        <v>30</v>
      </c>
      <c r="G277" s="21" t="s">
        <v>30</v>
      </c>
      <c r="H277" s="21" t="s">
        <v>24</v>
      </c>
      <c r="I277" s="21" t="s">
        <v>24</v>
      </c>
      <c r="J277" s="21" t="s">
        <v>24</v>
      </c>
      <c r="K277" s="21" t="s">
        <v>24</v>
      </c>
      <c r="L277" s="21" t="s">
        <v>24</v>
      </c>
      <c r="M277" s="0" t="n">
        <v>190</v>
      </c>
      <c r="N277" s="0" t="n">
        <v>5</v>
      </c>
      <c r="O277" s="21" t="s">
        <v>3724</v>
      </c>
      <c r="P277" s="21" t="s">
        <v>4372</v>
      </c>
      <c r="Q277" s="0" t="n">
        <v>0</v>
      </c>
      <c r="S277" s="0" t="n">
        <v>5</v>
      </c>
      <c r="T277" s="21" t="s">
        <v>3724</v>
      </c>
      <c r="U277" s="22" t="b">
        <f aca="false">TRUE()</f>
        <v>1</v>
      </c>
      <c r="V277" s="0" t="n">
        <v>0.75</v>
      </c>
      <c r="W277" s="0" t="n">
        <v>0.4</v>
      </c>
      <c r="X277" s="0" t="n">
        <v>9.47</v>
      </c>
      <c r="Y277" s="0" t="n">
        <v>372.99</v>
      </c>
      <c r="Z277" s="0" t="n">
        <v>8.75</v>
      </c>
      <c r="AA277" s="0" t="n">
        <v>-0.32</v>
      </c>
      <c r="AB277" s="0" t="n">
        <v>3.37</v>
      </c>
      <c r="AC277" s="22" t="b">
        <f aca="false">FALSE()</f>
        <v>0</v>
      </c>
      <c r="AD277" s="0" t="n">
        <v>17.45</v>
      </c>
      <c r="AE277" s="0" t="n">
        <v>6.73</v>
      </c>
      <c r="AF277" s="0" t="n">
        <v>13.91</v>
      </c>
      <c r="AG277" s="22" t="b">
        <f aca="false">TRUE()</f>
        <v>1</v>
      </c>
      <c r="AH277" s="0" t="n">
        <v>1</v>
      </c>
    </row>
    <row r="278" customFormat="false" ht="15" hidden="false" customHeight="false" outlineLevel="0" collapsed="false">
      <c r="A278" s="0" t="s">
        <v>573</v>
      </c>
      <c r="B278" s="0" t="s">
        <v>134</v>
      </c>
      <c r="C278" s="0" t="s">
        <v>3450</v>
      </c>
      <c r="D278" s="0" t="s">
        <v>3457</v>
      </c>
      <c r="E278" s="18" t="s">
        <v>24</v>
      </c>
      <c r="F278" s="18" t="s">
        <v>28</v>
      </c>
      <c r="H278" s="21" t="s">
        <v>24</v>
      </c>
      <c r="I278" s="21" t="s">
        <v>24</v>
      </c>
      <c r="J278" s="21" t="s">
        <v>24</v>
      </c>
      <c r="K278" s="21" t="s">
        <v>24</v>
      </c>
      <c r="L278" s="21" t="s">
        <v>24</v>
      </c>
      <c r="M278" s="0" t="n">
        <v>183</v>
      </c>
      <c r="N278" s="0" t="n">
        <v>0</v>
      </c>
      <c r="Q278" s="0" t="n">
        <v>0</v>
      </c>
      <c r="S278" s="0" t="n">
        <v>0</v>
      </c>
      <c r="U278" s="22" t="b">
        <f aca="false">FALSE()</f>
        <v>0</v>
      </c>
      <c r="V278" s="0" t="n">
        <v>0.8</v>
      </c>
      <c r="W278" s="0" t="n">
        <v>0.12</v>
      </c>
      <c r="X278" s="0" t="n">
        <v>19.9</v>
      </c>
      <c r="Y278" s="0" t="n">
        <v>371.55</v>
      </c>
      <c r="Z278" s="0" t="n">
        <v>8.75</v>
      </c>
      <c r="AA278" s="0" t="n">
        <v>11.62</v>
      </c>
      <c r="AB278" s="0" t="n">
        <v>2.64</v>
      </c>
      <c r="AC278" s="22" t="b">
        <f aca="false">FALSE()</f>
        <v>0</v>
      </c>
      <c r="AD278" s="0" t="n">
        <v>10.15</v>
      </c>
      <c r="AE278" s="0" t="n">
        <v>0.19</v>
      </c>
      <c r="AF278" s="0" t="n">
        <v>8.63</v>
      </c>
      <c r="AG278" s="22" t="b">
        <f aca="false">TRUE()</f>
        <v>1</v>
      </c>
      <c r="AH278" s="0" t="n">
        <v>1</v>
      </c>
    </row>
    <row r="279" customFormat="false" ht="15" hidden="false" customHeight="false" outlineLevel="0" collapsed="false">
      <c r="A279" s="0" t="s">
        <v>573</v>
      </c>
      <c r="B279" s="0" t="s">
        <v>134</v>
      </c>
      <c r="C279" s="0" t="s">
        <v>3450</v>
      </c>
      <c r="D279" s="0" t="s">
        <v>3448</v>
      </c>
      <c r="E279" s="18" t="s">
        <v>24</v>
      </c>
      <c r="F279" s="18" t="s">
        <v>28</v>
      </c>
      <c r="H279" s="21" t="s">
        <v>24</v>
      </c>
      <c r="I279" s="21" t="s">
        <v>24</v>
      </c>
      <c r="J279" s="21" t="s">
        <v>24</v>
      </c>
      <c r="K279" s="21" t="s">
        <v>24</v>
      </c>
      <c r="L279" s="21" t="s">
        <v>24</v>
      </c>
      <c r="M279" s="0" t="n">
        <v>183</v>
      </c>
      <c r="N279" s="0" t="n">
        <v>0</v>
      </c>
      <c r="Q279" s="0" t="n">
        <v>0</v>
      </c>
      <c r="S279" s="0" t="n">
        <v>0</v>
      </c>
      <c r="U279" s="22" t="b">
        <f aca="false">FALSE()</f>
        <v>0</v>
      </c>
      <c r="V279" s="0" t="n">
        <v>0.82</v>
      </c>
      <c r="W279" s="0" t="n">
        <v>0.76</v>
      </c>
      <c r="X279" s="0" t="n">
        <v>19.67</v>
      </c>
      <c r="Y279" s="0" t="n">
        <v>291.98</v>
      </c>
      <c r="Z279" s="0" t="n">
        <v>9</v>
      </c>
      <c r="AA279" s="0" t="n">
        <v>11.29</v>
      </c>
      <c r="AB279" s="0" t="n">
        <v>2.3</v>
      </c>
      <c r="AC279" s="22" t="b">
        <f aca="false">FALSE()</f>
        <v>0</v>
      </c>
      <c r="AD279" s="0" t="n">
        <v>4.21</v>
      </c>
      <c r="AE279" s="0" t="n">
        <v>0.33</v>
      </c>
      <c r="AF279" s="0" t="n">
        <v>10.02</v>
      </c>
      <c r="AG279" s="22" t="b">
        <f aca="false">FALSE()</f>
        <v>0</v>
      </c>
      <c r="AH279" s="0" t="n">
        <v>1</v>
      </c>
    </row>
    <row r="280" customFormat="false" ht="15" hidden="false" customHeight="false" outlineLevel="0" collapsed="false">
      <c r="A280" s="0" t="s">
        <v>573</v>
      </c>
      <c r="B280" s="0" t="s">
        <v>134</v>
      </c>
      <c r="C280" s="0" t="s">
        <v>3447</v>
      </c>
      <c r="D280" s="0" t="s">
        <v>3457</v>
      </c>
      <c r="E280" s="20" t="s">
        <v>25</v>
      </c>
      <c r="F280" s="23" t="s">
        <v>30</v>
      </c>
      <c r="G280" s="21" t="s">
        <v>283</v>
      </c>
      <c r="H280" s="21" t="s">
        <v>24</v>
      </c>
      <c r="I280" s="21" t="s">
        <v>25</v>
      </c>
      <c r="J280" s="21" t="s">
        <v>24</v>
      </c>
      <c r="K280" s="21" t="s">
        <v>24</v>
      </c>
      <c r="L280" s="21" t="s">
        <v>24</v>
      </c>
      <c r="M280" s="0" t="n">
        <v>183</v>
      </c>
      <c r="N280" s="0" t="n">
        <v>1</v>
      </c>
      <c r="O280" s="21" t="s">
        <v>69</v>
      </c>
      <c r="P280" s="21" t="s">
        <v>4275</v>
      </c>
      <c r="Q280" s="0" t="n">
        <v>1</v>
      </c>
      <c r="R280" s="21" t="s">
        <v>69</v>
      </c>
      <c r="S280" s="0" t="n">
        <v>1</v>
      </c>
      <c r="T280" s="21" t="s">
        <v>69</v>
      </c>
      <c r="U280" s="22" t="b">
        <f aca="false">TRUE()</f>
        <v>1</v>
      </c>
      <c r="V280" s="0" t="n">
        <v>0.78</v>
      </c>
      <c r="W280" s="0" t="n">
        <v>0.76</v>
      </c>
      <c r="X280" s="0" t="n">
        <v>20.6</v>
      </c>
      <c r="Y280" s="0" t="n">
        <v>285.98</v>
      </c>
      <c r="Z280" s="0" t="n">
        <v>9.42</v>
      </c>
      <c r="AA280" s="0" t="n">
        <v>7.67</v>
      </c>
      <c r="AB280" s="0" t="n">
        <v>2.64</v>
      </c>
      <c r="AC280" s="22" t="b">
        <f aca="false">FALSE()</f>
        <v>0</v>
      </c>
      <c r="AD280" s="0" t="n">
        <v>9.4</v>
      </c>
      <c r="AE280" s="0" t="n">
        <v>0.95</v>
      </c>
      <c r="AF280" s="0" t="n">
        <v>7.37</v>
      </c>
      <c r="AG280" s="22" t="b">
        <f aca="false">FALSE()</f>
        <v>0</v>
      </c>
      <c r="AH280" s="0" t="n">
        <v>1</v>
      </c>
    </row>
    <row r="281" customFormat="false" ht="15" hidden="false" customHeight="false" outlineLevel="0" collapsed="false">
      <c r="A281" s="0" t="s">
        <v>573</v>
      </c>
      <c r="B281" s="0" t="s">
        <v>134</v>
      </c>
      <c r="C281" s="0" t="s">
        <v>3447</v>
      </c>
      <c r="D281" s="0" t="s">
        <v>3448</v>
      </c>
      <c r="E281" s="20" t="s">
        <v>25</v>
      </c>
      <c r="F281" s="23" t="s">
        <v>30</v>
      </c>
      <c r="G281" s="21" t="s">
        <v>283</v>
      </c>
      <c r="H281" s="21" t="s">
        <v>24</v>
      </c>
      <c r="I281" s="21" t="s">
        <v>25</v>
      </c>
      <c r="J281" s="21" t="s">
        <v>24</v>
      </c>
      <c r="K281" s="21" t="s">
        <v>24</v>
      </c>
      <c r="L281" s="21" t="s">
        <v>24</v>
      </c>
      <c r="M281" s="0" t="n">
        <v>183</v>
      </c>
      <c r="N281" s="0" t="n">
        <v>2</v>
      </c>
      <c r="O281" s="21" t="s">
        <v>3566</v>
      </c>
      <c r="P281" s="21" t="s">
        <v>4238</v>
      </c>
      <c r="Q281" s="0" t="n">
        <v>1</v>
      </c>
      <c r="R281" s="21" t="s">
        <v>69</v>
      </c>
      <c r="S281" s="0" t="n">
        <v>2</v>
      </c>
      <c r="T281" s="21" t="s">
        <v>3566</v>
      </c>
      <c r="U281" s="22" t="b">
        <f aca="false">TRUE()</f>
        <v>1</v>
      </c>
      <c r="V281" s="0" t="n">
        <v>0.81</v>
      </c>
      <c r="W281" s="0" t="n">
        <v>0.12</v>
      </c>
      <c r="X281" s="0" t="n">
        <v>21.1</v>
      </c>
      <c r="Y281" s="0" t="n">
        <v>532.92</v>
      </c>
      <c r="Z281" s="0" t="n">
        <v>9.5</v>
      </c>
      <c r="AA281" s="0" t="n">
        <v>8.04</v>
      </c>
      <c r="AB281" s="0" t="n">
        <v>2.3</v>
      </c>
      <c r="AC281" s="22" t="b">
        <f aca="false">FALSE()</f>
        <v>0</v>
      </c>
      <c r="AD281" s="0" t="n">
        <v>2.77</v>
      </c>
      <c r="AE281" s="0" t="n">
        <v>0.63</v>
      </c>
      <c r="AF281" s="0" t="n">
        <v>9.57</v>
      </c>
      <c r="AG281" s="22" t="b">
        <f aca="false">FALSE()</f>
        <v>0</v>
      </c>
      <c r="AH281" s="0" t="n">
        <v>1</v>
      </c>
    </row>
    <row r="282" customFormat="false" ht="15" hidden="false" customHeight="false" outlineLevel="0" collapsed="false">
      <c r="A282" s="0" t="s">
        <v>584</v>
      </c>
      <c r="B282" s="0" t="s">
        <v>134</v>
      </c>
      <c r="C282" s="0" t="s">
        <v>3450</v>
      </c>
      <c r="D282" s="0" t="s">
        <v>3457</v>
      </c>
      <c r="E282" s="20" t="s">
        <v>25</v>
      </c>
      <c r="F282" s="23" t="s">
        <v>30</v>
      </c>
      <c r="G282" s="21" t="s">
        <v>1140</v>
      </c>
      <c r="H282" s="21" t="s">
        <v>24</v>
      </c>
      <c r="I282" s="21" t="s">
        <v>25</v>
      </c>
      <c r="J282" s="21" t="s">
        <v>24</v>
      </c>
      <c r="K282" s="21" t="s">
        <v>25</v>
      </c>
      <c r="L282" s="21" t="s">
        <v>24</v>
      </c>
      <c r="M282" s="0" t="n">
        <v>184</v>
      </c>
      <c r="N282" s="0" t="n">
        <v>2</v>
      </c>
      <c r="O282" s="21" t="s">
        <v>3575</v>
      </c>
      <c r="P282" s="21" t="s">
        <v>4265</v>
      </c>
      <c r="Q282" s="0" t="n">
        <v>1</v>
      </c>
      <c r="R282" s="21" t="s">
        <v>69</v>
      </c>
      <c r="S282" s="0" t="n">
        <v>2</v>
      </c>
      <c r="T282" s="21" t="s">
        <v>3575</v>
      </c>
      <c r="U282" s="22" t="b">
        <f aca="false">TRUE()</f>
        <v>1</v>
      </c>
      <c r="V282" s="0" t="n">
        <v>0.6</v>
      </c>
      <c r="W282" s="0" t="n">
        <v>0.2</v>
      </c>
      <c r="X282" s="0" t="n">
        <v>8.74</v>
      </c>
      <c r="Y282" s="0" t="n">
        <v>461.29</v>
      </c>
      <c r="Z282" s="0" t="n">
        <v>9.25</v>
      </c>
      <c r="AA282" s="0" t="n">
        <v>14.49</v>
      </c>
      <c r="AB282" s="0" t="n">
        <v>1.61</v>
      </c>
      <c r="AC282" s="22" t="b">
        <f aca="false">FALSE()</f>
        <v>0</v>
      </c>
      <c r="AD282" s="0" t="n">
        <v>30.59</v>
      </c>
      <c r="AE282" s="0" t="n">
        <v>17.1</v>
      </c>
      <c r="AF282" s="0" t="n">
        <v>25.56</v>
      </c>
      <c r="AG282" s="22" t="b">
        <f aca="false">TRUE()</f>
        <v>1</v>
      </c>
      <c r="AH282" s="0" t="n">
        <v>1</v>
      </c>
    </row>
    <row r="283" customFormat="false" ht="15" hidden="false" customHeight="false" outlineLevel="0" collapsed="false">
      <c r="A283" s="0" t="s">
        <v>584</v>
      </c>
      <c r="B283" s="0" t="s">
        <v>134</v>
      </c>
      <c r="C283" s="0" t="s">
        <v>3450</v>
      </c>
      <c r="D283" s="0" t="s">
        <v>3448</v>
      </c>
      <c r="E283" s="18" t="s">
        <v>24</v>
      </c>
      <c r="F283" s="23" t="s">
        <v>30</v>
      </c>
      <c r="G283" s="21" t="s">
        <v>30</v>
      </c>
      <c r="H283" s="21" t="s">
        <v>24</v>
      </c>
      <c r="I283" s="21" t="s">
        <v>24</v>
      </c>
      <c r="J283" s="21" t="s">
        <v>24</v>
      </c>
      <c r="K283" s="21" t="s">
        <v>24</v>
      </c>
      <c r="L283" s="21" t="s">
        <v>24</v>
      </c>
      <c r="M283" s="0" t="n">
        <v>184</v>
      </c>
      <c r="N283" s="0" t="n">
        <v>2</v>
      </c>
      <c r="O283" s="21" t="s">
        <v>3532</v>
      </c>
      <c r="P283" s="21" t="s">
        <v>4373</v>
      </c>
      <c r="Q283" s="0" t="n">
        <v>0</v>
      </c>
      <c r="S283" s="0" t="n">
        <v>2</v>
      </c>
      <c r="T283" s="21" t="s">
        <v>3532</v>
      </c>
      <c r="U283" s="22" t="b">
        <f aca="false">TRUE()</f>
        <v>1</v>
      </c>
      <c r="V283" s="0" t="n">
        <v>0.63</v>
      </c>
      <c r="W283" s="0" t="n">
        <v>0.84</v>
      </c>
      <c r="X283" s="0" t="n">
        <v>8.93</v>
      </c>
      <c r="Y283" s="0" t="n">
        <v>290</v>
      </c>
      <c r="Z283" s="0" t="n">
        <v>9.42</v>
      </c>
      <c r="AA283" s="0" t="n">
        <v>11.14</v>
      </c>
      <c r="AB283" s="0" t="n">
        <v>14.43</v>
      </c>
      <c r="AC283" s="22" t="b">
        <f aca="false">FALSE()</f>
        <v>0</v>
      </c>
      <c r="AD283" s="0" t="n">
        <v>5.2</v>
      </c>
      <c r="AE283" s="0" t="n">
        <v>0.34</v>
      </c>
      <c r="AF283" s="0" t="n">
        <v>1.06</v>
      </c>
      <c r="AG283" s="22" t="b">
        <f aca="false">FALSE()</f>
        <v>0</v>
      </c>
      <c r="AH283" s="0" t="n">
        <v>1</v>
      </c>
    </row>
    <row r="284" customFormat="false" ht="15" hidden="false" customHeight="false" outlineLevel="0" collapsed="false">
      <c r="A284" s="0" t="s">
        <v>584</v>
      </c>
      <c r="B284" s="0" t="s">
        <v>134</v>
      </c>
      <c r="C284" s="0" t="s">
        <v>3447</v>
      </c>
      <c r="D284" s="0" t="s">
        <v>3457</v>
      </c>
      <c r="E284" s="20" t="s">
        <v>25</v>
      </c>
      <c r="F284" s="23" t="s">
        <v>30</v>
      </c>
      <c r="G284" s="21" t="s">
        <v>992</v>
      </c>
      <c r="H284" s="21" t="s">
        <v>24</v>
      </c>
      <c r="I284" s="21" t="s">
        <v>24</v>
      </c>
      <c r="J284" s="21" t="s">
        <v>24</v>
      </c>
      <c r="K284" s="21" t="s">
        <v>25</v>
      </c>
      <c r="L284" s="21" t="s">
        <v>24</v>
      </c>
      <c r="M284" s="0" t="n">
        <v>188</v>
      </c>
      <c r="N284" s="0" t="n">
        <v>1</v>
      </c>
      <c r="O284" s="21" t="s">
        <v>3474</v>
      </c>
      <c r="P284" s="21" t="s">
        <v>4272</v>
      </c>
      <c r="Q284" s="0" t="n">
        <v>0</v>
      </c>
      <c r="S284" s="0" t="n">
        <v>1</v>
      </c>
      <c r="T284" s="21" t="s">
        <v>3474</v>
      </c>
      <c r="U284" s="22" t="b">
        <f aca="false">TRUE()</f>
        <v>1</v>
      </c>
      <c r="V284" s="0" t="n">
        <v>0.73</v>
      </c>
      <c r="W284" s="0" t="n">
        <v>0.84</v>
      </c>
      <c r="X284" s="0" t="n">
        <v>7.05</v>
      </c>
      <c r="Y284" s="0" t="n">
        <v>312.14</v>
      </c>
      <c r="Z284" s="0" t="n">
        <v>9.75</v>
      </c>
      <c r="AA284" s="0" t="n">
        <v>-0.47</v>
      </c>
      <c r="AB284" s="0" t="n">
        <v>1.61</v>
      </c>
      <c r="AC284" s="22" t="b">
        <f aca="false">FALSE()</f>
        <v>0</v>
      </c>
      <c r="AD284" s="0" t="n">
        <v>23.49</v>
      </c>
      <c r="AE284" s="0" t="n">
        <v>12.27</v>
      </c>
      <c r="AF284" s="0" t="n">
        <v>22.1</v>
      </c>
      <c r="AG284" s="22" t="b">
        <f aca="false">TRUE()</f>
        <v>1</v>
      </c>
      <c r="AH284" s="0" t="n">
        <v>1</v>
      </c>
    </row>
    <row r="285" customFormat="false" ht="15" hidden="false" customHeight="false" outlineLevel="0" collapsed="false">
      <c r="A285" s="0" t="s">
        <v>584</v>
      </c>
      <c r="B285" s="0" t="s">
        <v>134</v>
      </c>
      <c r="C285" s="0" t="s">
        <v>3447</v>
      </c>
      <c r="D285" s="0" t="s">
        <v>3448</v>
      </c>
      <c r="E285" s="18" t="s">
        <v>24</v>
      </c>
      <c r="F285" s="23" t="s">
        <v>30</v>
      </c>
      <c r="G285" s="21" t="s">
        <v>30</v>
      </c>
      <c r="H285" s="21" t="s">
        <v>24</v>
      </c>
      <c r="I285" s="21" t="s">
        <v>24</v>
      </c>
      <c r="J285" s="21" t="s">
        <v>24</v>
      </c>
      <c r="K285" s="21" t="s">
        <v>24</v>
      </c>
      <c r="L285" s="21" t="s">
        <v>24</v>
      </c>
      <c r="M285" s="0" t="n">
        <v>187</v>
      </c>
      <c r="N285" s="0" t="n">
        <v>5</v>
      </c>
      <c r="O285" s="21" t="s">
        <v>3671</v>
      </c>
      <c r="P285" s="21" t="s">
        <v>4374</v>
      </c>
      <c r="Q285" s="0" t="n">
        <v>0</v>
      </c>
      <c r="S285" s="0" t="n">
        <v>5</v>
      </c>
      <c r="T285" s="21" t="s">
        <v>3671</v>
      </c>
      <c r="U285" s="22" t="b">
        <f aca="false">TRUE()</f>
        <v>1</v>
      </c>
      <c r="V285" s="0" t="n">
        <v>0.81</v>
      </c>
      <c r="W285" s="0" t="n">
        <v>0.28</v>
      </c>
      <c r="X285" s="0" t="n">
        <v>10.95</v>
      </c>
      <c r="Y285" s="0" t="n">
        <v>372.94</v>
      </c>
      <c r="Z285" s="0" t="n">
        <v>8.25</v>
      </c>
      <c r="AA285" s="0" t="n">
        <v>-2.03</v>
      </c>
      <c r="AB285" s="0" t="n">
        <v>14.43</v>
      </c>
      <c r="AC285" s="22" t="b">
        <f aca="false">FALSE()</f>
        <v>0</v>
      </c>
      <c r="AD285" s="0" t="n">
        <v>7.23</v>
      </c>
      <c r="AE285" s="0" t="n">
        <v>0.34</v>
      </c>
      <c r="AF285" s="0" t="n">
        <v>2.62</v>
      </c>
      <c r="AG285" s="22" t="b">
        <f aca="false">FALSE()</f>
        <v>0</v>
      </c>
      <c r="AH285" s="0" t="n">
        <v>1</v>
      </c>
    </row>
    <row r="286" customFormat="false" ht="15" hidden="false" customHeight="false" outlineLevel="0" collapsed="false">
      <c r="A286" s="0" t="s">
        <v>584</v>
      </c>
      <c r="B286" s="0" t="s">
        <v>3459</v>
      </c>
      <c r="C286" s="0" t="s">
        <v>3450</v>
      </c>
      <c r="D286" s="0" t="s">
        <v>3457</v>
      </c>
      <c r="E286" s="20" t="s">
        <v>25</v>
      </c>
      <c r="F286" s="20" t="s">
        <v>29</v>
      </c>
      <c r="G286" s="21" t="s">
        <v>61</v>
      </c>
      <c r="H286" s="21" t="s">
        <v>24</v>
      </c>
      <c r="I286" s="21" t="s">
        <v>24</v>
      </c>
      <c r="J286" s="21" t="s">
        <v>24</v>
      </c>
      <c r="K286" s="21" t="s">
        <v>25</v>
      </c>
      <c r="L286" s="21" t="s">
        <v>24</v>
      </c>
      <c r="M286" s="0" t="n">
        <v>240</v>
      </c>
      <c r="N286" s="0" t="n">
        <v>0</v>
      </c>
      <c r="Q286" s="0" t="n">
        <v>0</v>
      </c>
      <c r="S286" s="0" t="n">
        <v>0</v>
      </c>
      <c r="U286" s="22" t="b">
        <f aca="false">FALSE()</f>
        <v>0</v>
      </c>
      <c r="V286" s="0" t="n">
        <v>0.67</v>
      </c>
      <c r="W286" s="0" t="n">
        <v>0.72</v>
      </c>
      <c r="X286" s="0" t="n">
        <v>8.49</v>
      </c>
      <c r="Y286" s="0" t="n">
        <v>386.38</v>
      </c>
      <c r="Z286" s="0" t="n">
        <v>8.92</v>
      </c>
      <c r="AA286" s="0" t="n">
        <v>6.83</v>
      </c>
      <c r="AB286" s="0" t="n">
        <v>2.59</v>
      </c>
      <c r="AC286" s="22" t="b">
        <f aca="false">FALSE()</f>
        <v>0</v>
      </c>
      <c r="AD286" s="0" t="n">
        <v>26.76</v>
      </c>
      <c r="AE286" s="0" t="n">
        <v>15.44</v>
      </c>
      <c r="AF286" s="0" t="n">
        <v>23.72</v>
      </c>
      <c r="AG286" s="22" t="b">
        <f aca="false">TRUE()</f>
        <v>1</v>
      </c>
      <c r="AH286" s="0" t="n">
        <v>1</v>
      </c>
    </row>
    <row r="287" customFormat="false" ht="15" hidden="false" customHeight="false" outlineLevel="0" collapsed="false">
      <c r="A287" s="0" t="s">
        <v>584</v>
      </c>
      <c r="B287" s="0" t="s">
        <v>3459</v>
      </c>
      <c r="C287" s="0" t="s">
        <v>3450</v>
      </c>
      <c r="D287" s="0" t="s">
        <v>3448</v>
      </c>
      <c r="E287" s="20" t="s">
        <v>25</v>
      </c>
      <c r="F287" s="23" t="s">
        <v>30</v>
      </c>
      <c r="G287" s="21" t="s">
        <v>183</v>
      </c>
      <c r="H287" s="21" t="s">
        <v>24</v>
      </c>
      <c r="I287" s="21" t="s">
        <v>25</v>
      </c>
      <c r="J287" s="21" t="s">
        <v>24</v>
      </c>
      <c r="K287" s="21" t="s">
        <v>25</v>
      </c>
      <c r="L287" s="21" t="s">
        <v>24</v>
      </c>
      <c r="M287" s="0" t="n">
        <v>183</v>
      </c>
      <c r="N287" s="0" t="n">
        <v>2</v>
      </c>
      <c r="O287" s="21" t="s">
        <v>3646</v>
      </c>
      <c r="P287" s="21" t="s">
        <v>4375</v>
      </c>
      <c r="Q287" s="0" t="n">
        <v>1</v>
      </c>
      <c r="R287" s="21" t="s">
        <v>69</v>
      </c>
      <c r="S287" s="0" t="n">
        <v>2</v>
      </c>
      <c r="T287" s="21" t="s">
        <v>3646</v>
      </c>
      <c r="U287" s="22" t="b">
        <f aca="false">TRUE()</f>
        <v>1</v>
      </c>
      <c r="V287" s="0" t="n">
        <v>0.71</v>
      </c>
      <c r="W287" s="0" t="n">
        <v>0.4</v>
      </c>
      <c r="X287" s="0" t="n">
        <v>8.32</v>
      </c>
      <c r="Y287" s="0" t="n">
        <v>357.79</v>
      </c>
      <c r="Z287" s="0" t="n">
        <v>9.25</v>
      </c>
      <c r="AA287" s="0" t="n">
        <v>6.18</v>
      </c>
      <c r="AB287" s="0" t="n">
        <v>3.98</v>
      </c>
      <c r="AC287" s="22" t="b">
        <f aca="false">FALSE()</f>
        <v>0</v>
      </c>
      <c r="AD287" s="0" t="n">
        <v>25.87</v>
      </c>
      <c r="AE287" s="0" t="n">
        <v>15.57</v>
      </c>
      <c r="AF287" s="0" t="n">
        <v>22.43</v>
      </c>
      <c r="AG287" s="22" t="b">
        <f aca="false">TRUE()</f>
        <v>1</v>
      </c>
      <c r="AH287" s="0" t="n">
        <v>1</v>
      </c>
    </row>
    <row r="288" customFormat="false" ht="15" hidden="false" customHeight="false" outlineLevel="0" collapsed="false">
      <c r="A288" s="0" t="s">
        <v>584</v>
      </c>
      <c r="B288" s="0" t="s">
        <v>3459</v>
      </c>
      <c r="C288" s="0" t="s">
        <v>3447</v>
      </c>
      <c r="D288" s="0" t="s">
        <v>3457</v>
      </c>
      <c r="E288" s="20" t="s">
        <v>25</v>
      </c>
      <c r="F288" s="20" t="s">
        <v>29</v>
      </c>
      <c r="G288" s="21" t="s">
        <v>61</v>
      </c>
      <c r="H288" s="21" t="s">
        <v>24</v>
      </c>
      <c r="I288" s="21" t="s">
        <v>24</v>
      </c>
      <c r="J288" s="21" t="s">
        <v>24</v>
      </c>
      <c r="K288" s="21" t="s">
        <v>25</v>
      </c>
      <c r="L288" s="21" t="s">
        <v>24</v>
      </c>
      <c r="M288" s="0" t="n">
        <v>184</v>
      </c>
      <c r="N288" s="0" t="n">
        <v>0</v>
      </c>
      <c r="Q288" s="0" t="n">
        <v>0</v>
      </c>
      <c r="S288" s="0" t="n">
        <v>0</v>
      </c>
      <c r="U288" s="22" t="b">
        <f aca="false">FALSE()</f>
        <v>0</v>
      </c>
      <c r="V288" s="0" t="n">
        <v>0.73</v>
      </c>
      <c r="W288" s="0" t="n">
        <v>0.76</v>
      </c>
      <c r="X288" s="0" t="n">
        <v>7.22</v>
      </c>
      <c r="Y288" s="0" t="n">
        <v>307.87</v>
      </c>
      <c r="Z288" s="0" t="n">
        <v>8</v>
      </c>
      <c r="AA288" s="0" t="n">
        <v>-0.63</v>
      </c>
      <c r="AB288" s="0" t="n">
        <v>2.59</v>
      </c>
      <c r="AC288" s="22" t="b">
        <f aca="false">FALSE()</f>
        <v>0</v>
      </c>
      <c r="AD288" s="0" t="n">
        <v>24.48</v>
      </c>
      <c r="AE288" s="0" t="n">
        <v>13.29</v>
      </c>
      <c r="AF288" s="0" t="n">
        <v>22</v>
      </c>
      <c r="AG288" s="22" t="b">
        <f aca="false">TRUE()</f>
        <v>1</v>
      </c>
      <c r="AH288" s="0" t="n">
        <v>1</v>
      </c>
    </row>
    <row r="289" customFormat="false" ht="15" hidden="false" customHeight="false" outlineLevel="0" collapsed="false">
      <c r="A289" s="0" t="s">
        <v>584</v>
      </c>
      <c r="B289" s="0" t="s">
        <v>3459</v>
      </c>
      <c r="C289" s="0" t="s">
        <v>3447</v>
      </c>
      <c r="D289" s="0" t="s">
        <v>3448</v>
      </c>
      <c r="E289" s="20" t="s">
        <v>25</v>
      </c>
      <c r="F289" s="23" t="s">
        <v>30</v>
      </c>
      <c r="G289" s="21" t="s">
        <v>992</v>
      </c>
      <c r="H289" s="21" t="s">
        <v>24</v>
      </c>
      <c r="I289" s="21" t="s">
        <v>24</v>
      </c>
      <c r="J289" s="21" t="s">
        <v>24</v>
      </c>
      <c r="K289" s="21" t="s">
        <v>25</v>
      </c>
      <c r="L289" s="21" t="s">
        <v>24</v>
      </c>
      <c r="M289" s="0" t="n">
        <v>187</v>
      </c>
      <c r="N289" s="0" t="n">
        <v>4</v>
      </c>
      <c r="O289" s="21" t="s">
        <v>3591</v>
      </c>
      <c r="P289" s="21" t="s">
        <v>4371</v>
      </c>
      <c r="Q289" s="0" t="n">
        <v>0</v>
      </c>
      <c r="S289" s="0" t="n">
        <v>4</v>
      </c>
      <c r="T289" s="21" t="s">
        <v>3591</v>
      </c>
      <c r="U289" s="22" t="b">
        <f aca="false">TRUE()</f>
        <v>1</v>
      </c>
      <c r="V289" s="0" t="n">
        <v>0.83</v>
      </c>
      <c r="W289" s="0" t="n">
        <v>0.72</v>
      </c>
      <c r="X289" s="0" t="n">
        <v>9.85</v>
      </c>
      <c r="Y289" s="0" t="n">
        <v>324.32</v>
      </c>
      <c r="Z289" s="0" t="n">
        <v>8.33</v>
      </c>
      <c r="AA289" s="0" t="n">
        <v>1.29</v>
      </c>
      <c r="AB289" s="0" t="n">
        <v>3.98</v>
      </c>
      <c r="AC289" s="22" t="b">
        <f aca="false">FALSE()</f>
        <v>0</v>
      </c>
      <c r="AD289" s="0" t="n">
        <v>24.61</v>
      </c>
      <c r="AE289" s="0" t="n">
        <v>11.67</v>
      </c>
      <c r="AF289" s="0" t="n">
        <v>18.46</v>
      </c>
      <c r="AG289" s="22" t="b">
        <f aca="false">TRUE()</f>
        <v>1</v>
      </c>
      <c r="AH289" s="0" t="n">
        <v>1</v>
      </c>
    </row>
    <row r="290" customFormat="false" ht="15" hidden="false" customHeight="false" outlineLevel="0" collapsed="false">
      <c r="A290" s="0" t="s">
        <v>594</v>
      </c>
      <c r="B290" s="0" t="s">
        <v>134</v>
      </c>
      <c r="C290" s="0" t="s">
        <v>3450</v>
      </c>
      <c r="D290" s="0" t="s">
        <v>3457</v>
      </c>
      <c r="E290" s="20" t="s">
        <v>25</v>
      </c>
      <c r="F290" s="20" t="s">
        <v>29</v>
      </c>
      <c r="G290" s="21" t="s">
        <v>61</v>
      </c>
      <c r="H290" s="21" t="s">
        <v>24</v>
      </c>
      <c r="I290" s="21" t="s">
        <v>24</v>
      </c>
      <c r="J290" s="21" t="s">
        <v>24</v>
      </c>
      <c r="K290" s="21" t="s">
        <v>25</v>
      </c>
      <c r="L290" s="21" t="s">
        <v>24</v>
      </c>
      <c r="M290" s="0" t="n">
        <v>183</v>
      </c>
      <c r="N290" s="0" t="n">
        <v>0</v>
      </c>
      <c r="Q290" s="0" t="n">
        <v>0</v>
      </c>
      <c r="S290" s="0" t="n">
        <v>0</v>
      </c>
      <c r="U290" s="22" t="b">
        <f aca="false">FALSE()</f>
        <v>0</v>
      </c>
      <c r="V290" s="0" t="n">
        <v>0.73</v>
      </c>
      <c r="W290" s="0" t="n">
        <v>0.48</v>
      </c>
      <c r="X290" s="0" t="n">
        <v>12.78</v>
      </c>
      <c r="Y290" s="0" t="n">
        <v>306.21</v>
      </c>
      <c r="Z290" s="0" t="n">
        <v>9.25</v>
      </c>
      <c r="AA290" s="0" t="n">
        <v>13.92</v>
      </c>
      <c r="AB290" s="0" t="n">
        <v>3.56</v>
      </c>
      <c r="AC290" s="22" t="b">
        <f aca="false">FALSE()</f>
        <v>0</v>
      </c>
      <c r="AD290" s="0" t="n">
        <v>23.86</v>
      </c>
      <c r="AE290" s="0" t="n">
        <v>11.59</v>
      </c>
      <c r="AF290" s="0" t="n">
        <v>22.42</v>
      </c>
      <c r="AG290" s="22" t="b">
        <f aca="false">TRUE()</f>
        <v>1</v>
      </c>
      <c r="AH290" s="0" t="n">
        <v>1</v>
      </c>
    </row>
    <row r="291" customFormat="false" ht="15" hidden="false" customHeight="false" outlineLevel="0" collapsed="false">
      <c r="A291" s="0" t="s">
        <v>594</v>
      </c>
      <c r="B291" s="0" t="s">
        <v>134</v>
      </c>
      <c r="C291" s="0" t="s">
        <v>3450</v>
      </c>
      <c r="D291" s="0" t="s">
        <v>3448</v>
      </c>
      <c r="E291" s="20" t="s">
        <v>25</v>
      </c>
      <c r="F291" s="23" t="s">
        <v>30</v>
      </c>
      <c r="G291" s="21" t="s">
        <v>183</v>
      </c>
      <c r="H291" s="21" t="s">
        <v>24</v>
      </c>
      <c r="I291" s="21" t="s">
        <v>25</v>
      </c>
      <c r="J291" s="21" t="s">
        <v>24</v>
      </c>
      <c r="K291" s="21" t="s">
        <v>25</v>
      </c>
      <c r="L291" s="21" t="s">
        <v>24</v>
      </c>
      <c r="M291" s="0" t="n">
        <v>182</v>
      </c>
      <c r="N291" s="0" t="n">
        <v>1</v>
      </c>
      <c r="O291" s="21" t="s">
        <v>69</v>
      </c>
      <c r="P291" s="21" t="s">
        <v>4275</v>
      </c>
      <c r="Q291" s="0" t="n">
        <v>1</v>
      </c>
      <c r="R291" s="21" t="s">
        <v>69</v>
      </c>
      <c r="S291" s="0" t="n">
        <v>1</v>
      </c>
      <c r="T291" s="21" t="s">
        <v>69</v>
      </c>
      <c r="U291" s="22" t="b">
        <f aca="false">TRUE()</f>
        <v>1</v>
      </c>
      <c r="V291" s="0" t="n">
        <v>0.73</v>
      </c>
      <c r="W291" s="0" t="n">
        <v>0.2</v>
      </c>
      <c r="X291" s="0" t="n">
        <v>14.54</v>
      </c>
      <c r="Y291" s="0" t="n">
        <v>504.7</v>
      </c>
      <c r="Z291" s="0" t="n">
        <v>9.42</v>
      </c>
      <c r="AA291" s="0" t="n">
        <v>13.7</v>
      </c>
      <c r="AB291" s="0" t="n">
        <v>1.58</v>
      </c>
      <c r="AC291" s="22" t="b">
        <f aca="false">FALSE()</f>
        <v>0</v>
      </c>
      <c r="AD291" s="0" t="n">
        <v>22.73</v>
      </c>
      <c r="AE291" s="0" t="n">
        <v>9.6</v>
      </c>
      <c r="AF291" s="0" t="n">
        <v>19.37</v>
      </c>
      <c r="AG291" s="22" t="b">
        <f aca="false">TRUE()</f>
        <v>1</v>
      </c>
      <c r="AH291" s="0" t="n">
        <v>1</v>
      </c>
    </row>
    <row r="292" customFormat="false" ht="15" hidden="false" customHeight="false" outlineLevel="0" collapsed="false">
      <c r="A292" s="0" t="s">
        <v>594</v>
      </c>
      <c r="B292" s="0" t="s">
        <v>134</v>
      </c>
      <c r="C292" s="0" t="s">
        <v>3447</v>
      </c>
      <c r="D292" s="0" t="s">
        <v>3457</v>
      </c>
      <c r="E292" s="20" t="s">
        <v>25</v>
      </c>
      <c r="F292" s="20" t="s">
        <v>29</v>
      </c>
      <c r="G292" s="21" t="s">
        <v>61</v>
      </c>
      <c r="H292" s="21" t="s">
        <v>24</v>
      </c>
      <c r="I292" s="21" t="s">
        <v>24</v>
      </c>
      <c r="J292" s="21" t="s">
        <v>24</v>
      </c>
      <c r="K292" s="21" t="s">
        <v>25</v>
      </c>
      <c r="L292" s="21" t="s">
        <v>24</v>
      </c>
      <c r="M292" s="0" t="n">
        <v>183</v>
      </c>
      <c r="N292" s="0" t="n">
        <v>0</v>
      </c>
      <c r="Q292" s="0" t="n">
        <v>0</v>
      </c>
      <c r="S292" s="0" t="n">
        <v>0</v>
      </c>
      <c r="U292" s="22" t="b">
        <f aca="false">FALSE()</f>
        <v>0</v>
      </c>
      <c r="V292" s="0" t="n">
        <v>0.72</v>
      </c>
      <c r="W292" s="0" t="n">
        <v>0.8</v>
      </c>
      <c r="X292" s="0" t="n">
        <v>11.04</v>
      </c>
      <c r="Y292" s="0" t="n">
        <v>307.92</v>
      </c>
      <c r="Z292" s="0" t="n">
        <v>9.25</v>
      </c>
      <c r="AA292" s="0" t="n">
        <v>8.73</v>
      </c>
      <c r="AB292" s="0" t="n">
        <v>3.56</v>
      </c>
      <c r="AC292" s="22" t="b">
        <f aca="false">FALSE()</f>
        <v>0</v>
      </c>
      <c r="AD292" s="0" t="n">
        <v>24.14</v>
      </c>
      <c r="AE292" s="0" t="n">
        <v>12.4</v>
      </c>
      <c r="AF292" s="0" t="n">
        <v>22.11</v>
      </c>
      <c r="AG292" s="22" t="b">
        <f aca="false">TRUE()</f>
        <v>1</v>
      </c>
      <c r="AH292" s="0" t="n">
        <v>1</v>
      </c>
    </row>
    <row r="293" customFormat="false" ht="15" hidden="false" customHeight="false" outlineLevel="0" collapsed="false">
      <c r="A293" s="0" t="s">
        <v>594</v>
      </c>
      <c r="B293" s="0" t="s">
        <v>134</v>
      </c>
      <c r="C293" s="0" t="s">
        <v>3447</v>
      </c>
      <c r="D293" s="0" t="s">
        <v>3448</v>
      </c>
      <c r="E293" s="20" t="s">
        <v>25</v>
      </c>
      <c r="F293" s="20" t="s">
        <v>29</v>
      </c>
      <c r="G293" s="21" t="s">
        <v>61</v>
      </c>
      <c r="H293" s="21" t="s">
        <v>24</v>
      </c>
      <c r="I293" s="21" t="s">
        <v>24</v>
      </c>
      <c r="J293" s="21" t="s">
        <v>24</v>
      </c>
      <c r="K293" s="21" t="s">
        <v>25</v>
      </c>
      <c r="L293" s="21" t="s">
        <v>24</v>
      </c>
      <c r="M293" s="0" t="n">
        <v>183</v>
      </c>
      <c r="N293" s="0" t="n">
        <v>0</v>
      </c>
      <c r="Q293" s="0" t="n">
        <v>0</v>
      </c>
      <c r="S293" s="0" t="n">
        <v>0</v>
      </c>
      <c r="U293" s="22" t="b">
        <f aca="false">FALSE()</f>
        <v>0</v>
      </c>
      <c r="V293" s="0" t="n">
        <v>0.71</v>
      </c>
      <c r="W293" s="0" t="n">
        <v>0.72</v>
      </c>
      <c r="X293" s="0" t="n">
        <v>14.09</v>
      </c>
      <c r="Y293" s="0" t="n">
        <v>319.94</v>
      </c>
      <c r="Z293" s="0" t="n">
        <v>9.5</v>
      </c>
      <c r="AA293" s="0" t="n">
        <v>13.25</v>
      </c>
      <c r="AB293" s="0" t="n">
        <v>1.58</v>
      </c>
      <c r="AC293" s="22" t="b">
        <f aca="false">FALSE()</f>
        <v>0</v>
      </c>
      <c r="AD293" s="0" t="n">
        <v>23.58</v>
      </c>
      <c r="AE293" s="0" t="n">
        <v>8.9</v>
      </c>
      <c r="AF293" s="0" t="n">
        <v>20.07</v>
      </c>
      <c r="AG293" s="22" t="b">
        <f aca="false">TRUE()</f>
        <v>1</v>
      </c>
      <c r="AH293" s="0" t="n">
        <v>1</v>
      </c>
    </row>
    <row r="294" customFormat="false" ht="15" hidden="false" customHeight="false" outlineLevel="0" collapsed="false">
      <c r="A294" s="0" t="s">
        <v>599</v>
      </c>
      <c r="B294" s="0" t="s">
        <v>134</v>
      </c>
      <c r="C294" s="0" t="s">
        <v>3450</v>
      </c>
      <c r="D294" s="0" t="s">
        <v>3457</v>
      </c>
      <c r="E294" s="20" t="s">
        <v>25</v>
      </c>
      <c r="F294" s="23" t="s">
        <v>30</v>
      </c>
      <c r="G294" s="21" t="s">
        <v>2133</v>
      </c>
      <c r="H294" s="21" t="s">
        <v>24</v>
      </c>
      <c r="I294" s="21" t="s">
        <v>24</v>
      </c>
      <c r="J294" s="21" t="s">
        <v>24</v>
      </c>
      <c r="K294" s="21" t="s">
        <v>25</v>
      </c>
      <c r="L294" s="21" t="s">
        <v>24</v>
      </c>
      <c r="M294" s="0" t="n">
        <v>183</v>
      </c>
      <c r="N294" s="0" t="n">
        <v>1</v>
      </c>
      <c r="O294" s="21" t="s">
        <v>3510</v>
      </c>
      <c r="P294" s="21" t="s">
        <v>4376</v>
      </c>
      <c r="Q294" s="0" t="n">
        <v>0</v>
      </c>
      <c r="S294" s="0" t="n">
        <v>1</v>
      </c>
      <c r="T294" s="21" t="s">
        <v>3510</v>
      </c>
      <c r="U294" s="22" t="b">
        <f aca="false">TRUE()</f>
        <v>1</v>
      </c>
      <c r="V294" s="0" t="n">
        <v>0.69</v>
      </c>
      <c r="W294" s="0" t="n">
        <v>0.24</v>
      </c>
      <c r="X294" s="0" t="n">
        <v>7.45</v>
      </c>
      <c r="Y294" s="0" t="n">
        <v>437.92</v>
      </c>
      <c r="Z294" s="0" t="n">
        <v>8.25</v>
      </c>
      <c r="AA294" s="0" t="n">
        <v>4.93</v>
      </c>
      <c r="AB294" s="0" t="n">
        <v>1.23</v>
      </c>
      <c r="AC294" s="22" t="b">
        <f aca="false">FALSE()</f>
        <v>0</v>
      </c>
      <c r="AD294" s="0" t="n">
        <v>12.23</v>
      </c>
      <c r="AE294" s="0" t="n">
        <v>0.96</v>
      </c>
      <c r="AF294" s="0" t="n">
        <v>8.39</v>
      </c>
      <c r="AG294" s="22" t="b">
        <f aca="false">TRUE()</f>
        <v>1</v>
      </c>
      <c r="AH294" s="0" t="n">
        <v>1</v>
      </c>
    </row>
    <row r="295" customFormat="false" ht="15" hidden="false" customHeight="false" outlineLevel="0" collapsed="false">
      <c r="A295" s="0" t="s">
        <v>599</v>
      </c>
      <c r="B295" s="0" t="s">
        <v>134</v>
      </c>
      <c r="C295" s="0" t="s">
        <v>3450</v>
      </c>
      <c r="D295" s="0" t="s">
        <v>3448</v>
      </c>
      <c r="E295" s="20" t="s">
        <v>25</v>
      </c>
      <c r="F295" s="23" t="s">
        <v>30</v>
      </c>
      <c r="G295" s="21" t="s">
        <v>1152</v>
      </c>
      <c r="H295" s="21" t="s">
        <v>24</v>
      </c>
      <c r="I295" s="21" t="s">
        <v>25</v>
      </c>
      <c r="J295" s="21" t="s">
        <v>24</v>
      </c>
      <c r="K295" s="21" t="s">
        <v>25</v>
      </c>
      <c r="L295" s="21" t="s">
        <v>24</v>
      </c>
      <c r="M295" s="0" t="n">
        <v>187</v>
      </c>
      <c r="N295" s="0" t="n">
        <v>3</v>
      </c>
      <c r="O295" s="21" t="s">
        <v>3649</v>
      </c>
      <c r="P295" s="21" t="s">
        <v>4242</v>
      </c>
      <c r="Q295" s="0" t="n">
        <v>1</v>
      </c>
      <c r="R295" s="21" t="s">
        <v>69</v>
      </c>
      <c r="S295" s="0" t="n">
        <v>3</v>
      </c>
      <c r="T295" s="21" t="s">
        <v>3649</v>
      </c>
      <c r="U295" s="22" t="b">
        <f aca="false">TRUE()</f>
        <v>1</v>
      </c>
      <c r="V295" s="0" t="n">
        <v>0.71</v>
      </c>
      <c r="W295" s="0" t="n">
        <v>0.76</v>
      </c>
      <c r="X295" s="0" t="n">
        <v>7.76</v>
      </c>
      <c r="Y295" s="0" t="n">
        <v>328.06</v>
      </c>
      <c r="Z295" s="0" t="n">
        <v>10.08</v>
      </c>
      <c r="AA295" s="0" t="n">
        <v>7.13</v>
      </c>
      <c r="AB295" s="0" t="n">
        <v>0.1</v>
      </c>
      <c r="AC295" s="22" t="b">
        <f aca="false">FALSE()</f>
        <v>0</v>
      </c>
      <c r="AD295" s="0" t="n">
        <v>4.29</v>
      </c>
      <c r="AE295" s="0" t="n">
        <v>0.32</v>
      </c>
      <c r="AF295" s="0" t="n">
        <v>9.36</v>
      </c>
      <c r="AG295" s="22" t="b">
        <f aca="false">FALSE()</f>
        <v>0</v>
      </c>
      <c r="AH295" s="0" t="n">
        <v>1</v>
      </c>
    </row>
    <row r="296" customFormat="false" ht="15" hidden="false" customHeight="false" outlineLevel="0" collapsed="false">
      <c r="A296" s="0" t="s">
        <v>599</v>
      </c>
      <c r="B296" s="0" t="s">
        <v>134</v>
      </c>
      <c r="C296" s="0" t="s">
        <v>3447</v>
      </c>
      <c r="D296" s="0" t="s">
        <v>3457</v>
      </c>
      <c r="E296" s="20" t="s">
        <v>25</v>
      </c>
      <c r="F296" s="23" t="s">
        <v>30</v>
      </c>
      <c r="G296" s="21" t="s">
        <v>1099</v>
      </c>
      <c r="H296" s="21" t="s">
        <v>24</v>
      </c>
      <c r="I296" s="21" t="s">
        <v>25</v>
      </c>
      <c r="J296" s="21" t="s">
        <v>24</v>
      </c>
      <c r="K296" s="21" t="s">
        <v>25</v>
      </c>
      <c r="L296" s="21" t="s">
        <v>24</v>
      </c>
      <c r="M296" s="0" t="n">
        <v>183</v>
      </c>
      <c r="N296" s="0" t="n">
        <v>2</v>
      </c>
      <c r="O296" s="21" t="s">
        <v>3644</v>
      </c>
      <c r="P296" s="21" t="s">
        <v>4377</v>
      </c>
      <c r="Q296" s="0" t="n">
        <v>1</v>
      </c>
      <c r="R296" s="21" t="s">
        <v>69</v>
      </c>
      <c r="S296" s="0" t="n">
        <v>2</v>
      </c>
      <c r="T296" s="21" t="s">
        <v>3644</v>
      </c>
      <c r="U296" s="22" t="b">
        <f aca="false">TRUE()</f>
        <v>1</v>
      </c>
      <c r="V296" s="0" t="n">
        <v>0.71</v>
      </c>
      <c r="W296" s="0" t="n">
        <v>0.12</v>
      </c>
      <c r="X296" s="0" t="n">
        <v>6.4</v>
      </c>
      <c r="Y296" s="0" t="n">
        <v>613.74</v>
      </c>
      <c r="Z296" s="0" t="n">
        <v>10.08</v>
      </c>
      <c r="AA296" s="0" t="n">
        <v>2.85</v>
      </c>
      <c r="AB296" s="0" t="n">
        <v>1.23</v>
      </c>
      <c r="AC296" s="22" t="b">
        <f aca="false">FALSE()</f>
        <v>0</v>
      </c>
      <c r="AD296" s="0" t="n">
        <v>12.11</v>
      </c>
      <c r="AE296" s="0" t="n">
        <v>1.13</v>
      </c>
      <c r="AF296" s="0" t="n">
        <v>9.83</v>
      </c>
      <c r="AG296" s="22" t="b">
        <f aca="false">TRUE()</f>
        <v>1</v>
      </c>
      <c r="AH296" s="0" t="n">
        <v>1</v>
      </c>
    </row>
    <row r="297" customFormat="false" ht="15" hidden="false" customHeight="false" outlineLevel="0" collapsed="false">
      <c r="A297" s="0" t="s">
        <v>599</v>
      </c>
      <c r="B297" s="0" t="s">
        <v>134</v>
      </c>
      <c r="C297" s="0" t="s">
        <v>3447</v>
      </c>
      <c r="D297" s="0" t="s">
        <v>3448</v>
      </c>
      <c r="E297" s="20" t="s">
        <v>25</v>
      </c>
      <c r="F297" s="23" t="s">
        <v>30</v>
      </c>
      <c r="G297" s="21" t="s">
        <v>1152</v>
      </c>
      <c r="H297" s="21" t="s">
        <v>24</v>
      </c>
      <c r="I297" s="21" t="s">
        <v>25</v>
      </c>
      <c r="J297" s="21" t="s">
        <v>24</v>
      </c>
      <c r="K297" s="21" t="s">
        <v>25</v>
      </c>
      <c r="L297" s="21" t="s">
        <v>24</v>
      </c>
      <c r="M297" s="0" t="n">
        <v>184</v>
      </c>
      <c r="N297" s="0" t="n">
        <v>3</v>
      </c>
      <c r="O297" s="21" t="s">
        <v>3649</v>
      </c>
      <c r="P297" s="21" t="s">
        <v>4242</v>
      </c>
      <c r="Q297" s="0" t="n">
        <v>1</v>
      </c>
      <c r="R297" s="21" t="s">
        <v>69</v>
      </c>
      <c r="S297" s="0" t="n">
        <v>3</v>
      </c>
      <c r="T297" s="21" t="s">
        <v>3649</v>
      </c>
      <c r="U297" s="22" t="b">
        <f aca="false">TRUE()</f>
        <v>1</v>
      </c>
      <c r="V297" s="0" t="n">
        <v>0.74</v>
      </c>
      <c r="W297" s="0" t="n">
        <v>0.8</v>
      </c>
      <c r="X297" s="0" t="n">
        <v>7.1</v>
      </c>
      <c r="Y297" s="0" t="n">
        <v>322.58</v>
      </c>
      <c r="Z297" s="0" t="n">
        <v>8</v>
      </c>
      <c r="AA297" s="0" t="n">
        <v>-1.08</v>
      </c>
      <c r="AB297" s="0" t="n">
        <v>0.1</v>
      </c>
      <c r="AC297" s="22" t="b">
        <f aca="false">FALSE()</f>
        <v>0</v>
      </c>
      <c r="AD297" s="0" t="n">
        <v>2.01</v>
      </c>
      <c r="AE297" s="0" t="n">
        <v>0.35</v>
      </c>
      <c r="AF297" s="0" t="n">
        <v>5.82</v>
      </c>
      <c r="AG297" s="22" t="b">
        <f aca="false">FALSE()</f>
        <v>0</v>
      </c>
      <c r="AH297" s="0" t="n">
        <v>1</v>
      </c>
    </row>
    <row r="298" customFormat="false" ht="15" hidden="false" customHeight="false" outlineLevel="0" collapsed="false">
      <c r="A298" s="0" t="s">
        <v>609</v>
      </c>
      <c r="B298" s="0" t="s">
        <v>134</v>
      </c>
      <c r="C298" s="0" t="s">
        <v>3450</v>
      </c>
      <c r="D298" s="0" t="s">
        <v>3457</v>
      </c>
      <c r="E298" s="20" t="s">
        <v>25</v>
      </c>
      <c r="F298" s="23" t="s">
        <v>30</v>
      </c>
      <c r="G298" s="21" t="s">
        <v>283</v>
      </c>
      <c r="H298" s="21" t="s">
        <v>24</v>
      </c>
      <c r="I298" s="21" t="s">
        <v>25</v>
      </c>
      <c r="J298" s="21" t="s">
        <v>24</v>
      </c>
      <c r="K298" s="21" t="s">
        <v>24</v>
      </c>
      <c r="L298" s="21" t="s">
        <v>24</v>
      </c>
      <c r="M298" s="0" t="n">
        <v>184</v>
      </c>
      <c r="N298" s="0" t="n">
        <v>1</v>
      </c>
      <c r="O298" s="21" t="s">
        <v>70</v>
      </c>
      <c r="P298" s="21" t="s">
        <v>4378</v>
      </c>
      <c r="Q298" s="0" t="n">
        <v>1</v>
      </c>
      <c r="R298" s="21" t="s">
        <v>70</v>
      </c>
      <c r="S298" s="0" t="n">
        <v>1</v>
      </c>
      <c r="T298" s="21" t="s">
        <v>70</v>
      </c>
      <c r="U298" s="22" t="b">
        <f aca="false">TRUE()</f>
        <v>1</v>
      </c>
      <c r="V298" s="0" t="n">
        <v>0.73</v>
      </c>
      <c r="W298" s="0" t="n">
        <v>0.8</v>
      </c>
      <c r="X298" s="0" t="n">
        <v>8.33</v>
      </c>
      <c r="Y298" s="0" t="n">
        <v>320.86</v>
      </c>
      <c r="Z298" s="0" t="n">
        <v>8.75</v>
      </c>
      <c r="AA298" s="0" t="n">
        <v>6.3</v>
      </c>
      <c r="AB298" s="0" t="n">
        <v>14.53</v>
      </c>
      <c r="AC298" s="22" t="b">
        <f aca="false">FALSE()</f>
        <v>0</v>
      </c>
      <c r="AD298" s="0" t="n">
        <v>7</v>
      </c>
      <c r="AE298" s="0" t="n">
        <v>0.54</v>
      </c>
      <c r="AF298" s="0" t="n">
        <v>0.77</v>
      </c>
      <c r="AG298" s="22" t="b">
        <f aca="false">FALSE()</f>
        <v>0</v>
      </c>
      <c r="AH298" s="0" t="n">
        <v>1</v>
      </c>
    </row>
    <row r="299" customFormat="false" ht="15" hidden="false" customHeight="false" outlineLevel="0" collapsed="false">
      <c r="A299" s="0" t="s">
        <v>609</v>
      </c>
      <c r="B299" s="0" t="s">
        <v>134</v>
      </c>
      <c r="C299" s="0" t="s">
        <v>3450</v>
      </c>
      <c r="D299" s="0" t="s">
        <v>3448</v>
      </c>
      <c r="E299" s="18" t="s">
        <v>24</v>
      </c>
      <c r="F299" s="18" t="s">
        <v>28</v>
      </c>
      <c r="H299" s="21" t="s">
        <v>24</v>
      </c>
      <c r="I299" s="21" t="s">
        <v>24</v>
      </c>
      <c r="J299" s="21" t="s">
        <v>24</v>
      </c>
      <c r="K299" s="21" t="s">
        <v>24</v>
      </c>
      <c r="L299" s="21" t="s">
        <v>24</v>
      </c>
      <c r="M299" s="0" t="n">
        <v>183</v>
      </c>
      <c r="N299" s="0" t="n">
        <v>0</v>
      </c>
      <c r="Q299" s="0" t="n">
        <v>0</v>
      </c>
      <c r="S299" s="0" t="n">
        <v>0</v>
      </c>
      <c r="U299" s="22" t="b">
        <f aca="false">FALSE()</f>
        <v>0</v>
      </c>
      <c r="V299" s="0" t="n">
        <v>0.76</v>
      </c>
      <c r="W299" s="0" t="n">
        <v>0.32</v>
      </c>
      <c r="X299" s="0" t="n">
        <v>8.2</v>
      </c>
      <c r="Y299" s="0" t="n">
        <v>393.79</v>
      </c>
      <c r="Z299" s="0" t="n">
        <v>8.58</v>
      </c>
      <c r="AA299" s="0" t="n">
        <v>11.76</v>
      </c>
      <c r="AB299" s="0" t="n">
        <v>2.79</v>
      </c>
      <c r="AC299" s="22" t="b">
        <f aca="false">FALSE()</f>
        <v>0</v>
      </c>
      <c r="AD299" s="0" t="n">
        <v>9.98</v>
      </c>
      <c r="AE299" s="0" t="n">
        <v>0.88</v>
      </c>
      <c r="AF299" s="0" t="n">
        <v>2.13</v>
      </c>
      <c r="AG299" s="22" t="b">
        <f aca="false">FALSE()</f>
        <v>0</v>
      </c>
      <c r="AH299" s="0" t="n">
        <v>1</v>
      </c>
    </row>
    <row r="300" customFormat="false" ht="15" hidden="false" customHeight="false" outlineLevel="0" collapsed="false">
      <c r="A300" s="0" t="s">
        <v>609</v>
      </c>
      <c r="B300" s="0" t="s">
        <v>134</v>
      </c>
      <c r="C300" s="0" t="s">
        <v>3447</v>
      </c>
      <c r="D300" s="0" t="s">
        <v>3457</v>
      </c>
      <c r="E300" s="19" t="s">
        <v>26</v>
      </c>
      <c r="F300" s="19" t="s">
        <v>32</v>
      </c>
      <c r="G300" s="21" t="s">
        <v>529</v>
      </c>
      <c r="H300" s="21" t="s">
        <v>24</v>
      </c>
      <c r="I300" s="21" t="s">
        <v>26</v>
      </c>
      <c r="J300" s="21" t="s">
        <v>24</v>
      </c>
      <c r="K300" s="21" t="s">
        <v>24</v>
      </c>
      <c r="L300" s="21" t="s">
        <v>24</v>
      </c>
      <c r="M300" s="0" t="n">
        <v>183</v>
      </c>
      <c r="N300" s="0" t="n">
        <v>13</v>
      </c>
      <c r="O300" s="21" t="s">
        <v>4057</v>
      </c>
      <c r="P300" s="21" t="s">
        <v>4379</v>
      </c>
      <c r="Q300" s="0" t="n">
        <v>1</v>
      </c>
      <c r="R300" s="21" t="s">
        <v>69</v>
      </c>
      <c r="S300" s="0" t="n">
        <v>13</v>
      </c>
      <c r="T300" s="21" t="s">
        <v>4057</v>
      </c>
      <c r="U300" s="22" t="b">
        <f aca="false">FALSE()</f>
        <v>0</v>
      </c>
      <c r="V300" s="0" t="n">
        <v>0.72</v>
      </c>
      <c r="W300" s="0" t="n">
        <v>0.28</v>
      </c>
      <c r="X300" s="0" t="n">
        <v>8.06</v>
      </c>
      <c r="Y300" s="0" t="n">
        <v>429.5</v>
      </c>
      <c r="Z300" s="0" t="n">
        <v>9.25</v>
      </c>
      <c r="AA300" s="0" t="n">
        <v>4.5</v>
      </c>
      <c r="AB300" s="0" t="n">
        <v>14.53</v>
      </c>
      <c r="AC300" s="22" t="b">
        <f aca="false">FALSE()</f>
        <v>0</v>
      </c>
      <c r="AD300" s="0" t="n">
        <v>13.4</v>
      </c>
      <c r="AE300" s="0" t="n">
        <v>-0.05</v>
      </c>
      <c r="AF300" s="0" t="n">
        <v>1.24</v>
      </c>
      <c r="AG300" s="22" t="b">
        <f aca="false">TRUE()</f>
        <v>1</v>
      </c>
      <c r="AH300" s="0" t="n">
        <v>1</v>
      </c>
    </row>
    <row r="301" customFormat="false" ht="15" hidden="false" customHeight="false" outlineLevel="0" collapsed="false">
      <c r="A301" s="0" t="s">
        <v>609</v>
      </c>
      <c r="B301" s="0" t="s">
        <v>134</v>
      </c>
      <c r="C301" s="0" t="s">
        <v>3447</v>
      </c>
      <c r="D301" s="0" t="s">
        <v>3448</v>
      </c>
      <c r="E301" s="19" t="s">
        <v>26</v>
      </c>
      <c r="F301" s="19" t="s">
        <v>32</v>
      </c>
      <c r="G301" s="21" t="s">
        <v>60</v>
      </c>
      <c r="H301" s="21" t="s">
        <v>24</v>
      </c>
      <c r="I301" s="21" t="s">
        <v>26</v>
      </c>
      <c r="J301" s="21" t="s">
        <v>24</v>
      </c>
      <c r="K301" s="21" t="s">
        <v>24</v>
      </c>
      <c r="L301" s="21" t="s">
        <v>24</v>
      </c>
      <c r="M301" s="0" t="n">
        <v>187</v>
      </c>
      <c r="N301" s="0" t="n">
        <v>7</v>
      </c>
      <c r="O301" s="21" t="s">
        <v>3905</v>
      </c>
      <c r="P301" s="21" t="s">
        <v>4380</v>
      </c>
      <c r="Q301" s="0" t="n">
        <v>0</v>
      </c>
      <c r="S301" s="0" t="n">
        <v>7</v>
      </c>
      <c r="T301" s="21" t="s">
        <v>3905</v>
      </c>
      <c r="U301" s="22" t="b">
        <f aca="false">FALSE()</f>
        <v>0</v>
      </c>
      <c r="V301" s="0" t="n">
        <v>0.73</v>
      </c>
      <c r="W301" s="0" t="n">
        <v>0.48</v>
      </c>
      <c r="X301" s="0" t="n">
        <v>10.2</v>
      </c>
      <c r="Y301" s="0" t="n">
        <v>334.08</v>
      </c>
      <c r="Z301" s="0" t="n">
        <v>9.92</v>
      </c>
      <c r="AA301" s="0" t="n">
        <v>7.54</v>
      </c>
      <c r="AB301" s="0" t="n">
        <v>2.79</v>
      </c>
      <c r="AC301" s="22" t="b">
        <f aca="false">FALSE()</f>
        <v>0</v>
      </c>
      <c r="AD301" s="0" t="n">
        <v>8.89</v>
      </c>
      <c r="AE301" s="0" t="n">
        <v>0.17</v>
      </c>
      <c r="AF301" s="0" t="n">
        <v>0.98</v>
      </c>
      <c r="AG301" s="22" t="b">
        <f aca="false">FALSE()</f>
        <v>0</v>
      </c>
      <c r="AH301" s="0" t="n">
        <v>1</v>
      </c>
    </row>
    <row r="302" customFormat="false" ht="15" hidden="false" customHeight="false" outlineLevel="0" collapsed="false">
      <c r="A302" s="0" t="s">
        <v>615</v>
      </c>
      <c r="B302" s="0" t="s">
        <v>134</v>
      </c>
      <c r="C302" s="0" t="s">
        <v>3450</v>
      </c>
      <c r="D302" s="0" t="s">
        <v>3457</v>
      </c>
      <c r="E302" s="20" t="s">
        <v>25</v>
      </c>
      <c r="F302" s="23" t="s">
        <v>30</v>
      </c>
      <c r="G302" s="21" t="s">
        <v>157</v>
      </c>
      <c r="H302" s="21" t="s">
        <v>24</v>
      </c>
      <c r="I302" s="21" t="s">
        <v>25</v>
      </c>
      <c r="J302" s="21" t="s">
        <v>24</v>
      </c>
      <c r="K302" s="21" t="s">
        <v>25</v>
      </c>
      <c r="L302" s="21" t="s">
        <v>24</v>
      </c>
      <c r="M302" s="0" t="n">
        <v>184</v>
      </c>
      <c r="N302" s="0" t="n">
        <v>1</v>
      </c>
      <c r="O302" s="21" t="s">
        <v>69</v>
      </c>
      <c r="P302" s="21" t="s">
        <v>4275</v>
      </c>
      <c r="Q302" s="0" t="n">
        <v>1</v>
      </c>
      <c r="R302" s="21" t="s">
        <v>69</v>
      </c>
      <c r="S302" s="0" t="n">
        <v>1</v>
      </c>
      <c r="T302" s="21" t="s">
        <v>69</v>
      </c>
      <c r="U302" s="22" t="b">
        <f aca="false">TRUE()</f>
        <v>1</v>
      </c>
      <c r="V302" s="0" t="n">
        <v>0.7</v>
      </c>
      <c r="W302" s="0" t="n">
        <v>0</v>
      </c>
      <c r="X302" s="0" t="n">
        <v>8.21</v>
      </c>
      <c r="Y302" s="0" t="n">
        <v>684.29</v>
      </c>
      <c r="Z302" s="0" t="n">
        <v>9.75</v>
      </c>
      <c r="AA302" s="0" t="n">
        <v>13.33</v>
      </c>
      <c r="AB302" s="0" t="n">
        <v>1.37</v>
      </c>
      <c r="AC302" s="22" t="b">
        <f aca="false">FALSE()</f>
        <v>0</v>
      </c>
      <c r="AD302" s="0" t="n">
        <v>23.46</v>
      </c>
      <c r="AE302" s="0" t="n">
        <v>13.76</v>
      </c>
      <c r="AF302" s="0" t="n">
        <v>19.47</v>
      </c>
      <c r="AG302" s="22" t="b">
        <f aca="false">TRUE()</f>
        <v>1</v>
      </c>
      <c r="AH302" s="0" t="n">
        <v>1</v>
      </c>
    </row>
    <row r="303" customFormat="false" ht="15" hidden="false" customHeight="false" outlineLevel="0" collapsed="false">
      <c r="A303" s="0" t="s">
        <v>615</v>
      </c>
      <c r="B303" s="0" t="s">
        <v>134</v>
      </c>
      <c r="C303" s="0" t="s">
        <v>3450</v>
      </c>
      <c r="D303" s="0" t="s">
        <v>3448</v>
      </c>
      <c r="E303" s="20" t="s">
        <v>25</v>
      </c>
      <c r="F303" s="23" t="s">
        <v>30</v>
      </c>
      <c r="G303" s="21" t="s">
        <v>183</v>
      </c>
      <c r="H303" s="21" t="s">
        <v>24</v>
      </c>
      <c r="I303" s="21" t="s">
        <v>25</v>
      </c>
      <c r="J303" s="21" t="s">
        <v>24</v>
      </c>
      <c r="K303" s="21" t="s">
        <v>25</v>
      </c>
      <c r="L303" s="21" t="s">
        <v>24</v>
      </c>
      <c r="M303" s="0" t="n">
        <v>188</v>
      </c>
      <c r="N303" s="0" t="n">
        <v>1</v>
      </c>
      <c r="O303" s="21" t="s">
        <v>69</v>
      </c>
      <c r="P303" s="21" t="s">
        <v>4275</v>
      </c>
      <c r="Q303" s="0" t="n">
        <v>1</v>
      </c>
      <c r="R303" s="21" t="s">
        <v>69</v>
      </c>
      <c r="S303" s="0" t="n">
        <v>1</v>
      </c>
      <c r="T303" s="21" t="s">
        <v>69</v>
      </c>
      <c r="U303" s="22" t="b">
        <f aca="false">TRUE()</f>
        <v>1</v>
      </c>
      <c r="V303" s="0" t="n">
        <v>0.69</v>
      </c>
      <c r="W303" s="0" t="n">
        <v>0</v>
      </c>
      <c r="X303" s="0" t="n">
        <v>8.84</v>
      </c>
      <c r="Y303" s="0" t="n">
        <v>707.41</v>
      </c>
      <c r="Z303" s="0" t="n">
        <v>9.5</v>
      </c>
      <c r="AA303" s="0" t="n">
        <v>14.89</v>
      </c>
      <c r="AB303" s="0" t="n">
        <v>4.59</v>
      </c>
      <c r="AC303" s="22" t="b">
        <f aca="false">FALSE()</f>
        <v>0</v>
      </c>
      <c r="AD303" s="0" t="n">
        <v>25.15</v>
      </c>
      <c r="AE303" s="0" t="n">
        <v>14.41</v>
      </c>
      <c r="AF303" s="0" t="n">
        <v>20.95</v>
      </c>
      <c r="AG303" s="22" t="b">
        <f aca="false">TRUE()</f>
        <v>1</v>
      </c>
      <c r="AH303" s="0" t="n">
        <v>1</v>
      </c>
    </row>
    <row r="304" customFormat="false" ht="15" hidden="false" customHeight="false" outlineLevel="0" collapsed="false">
      <c r="A304" s="0" t="s">
        <v>615</v>
      </c>
      <c r="B304" s="0" t="s">
        <v>134</v>
      </c>
      <c r="C304" s="0" t="s">
        <v>3447</v>
      </c>
      <c r="D304" s="0" t="s">
        <v>3457</v>
      </c>
      <c r="E304" s="20" t="s">
        <v>25</v>
      </c>
      <c r="F304" s="23" t="s">
        <v>30</v>
      </c>
      <c r="G304" s="21" t="s">
        <v>2133</v>
      </c>
      <c r="H304" s="21" t="s">
        <v>24</v>
      </c>
      <c r="I304" s="21" t="s">
        <v>24</v>
      </c>
      <c r="J304" s="21" t="s">
        <v>24</v>
      </c>
      <c r="K304" s="21" t="s">
        <v>25</v>
      </c>
      <c r="L304" s="21" t="s">
        <v>24</v>
      </c>
      <c r="M304" s="0" t="n">
        <v>192</v>
      </c>
      <c r="N304" s="0" t="n">
        <v>4</v>
      </c>
      <c r="O304" s="21" t="s">
        <v>3621</v>
      </c>
      <c r="P304" s="21" t="s">
        <v>4381</v>
      </c>
      <c r="Q304" s="0" t="n">
        <v>0</v>
      </c>
      <c r="S304" s="0" t="n">
        <v>4</v>
      </c>
      <c r="T304" s="21" t="s">
        <v>3621</v>
      </c>
      <c r="U304" s="22" t="b">
        <f aca="false">TRUE()</f>
        <v>1</v>
      </c>
      <c r="V304" s="0" t="n">
        <v>0.81</v>
      </c>
      <c r="W304" s="0" t="n">
        <v>0.96</v>
      </c>
      <c r="X304" s="0" t="n">
        <v>8.15</v>
      </c>
      <c r="Y304" s="0" t="n">
        <v>326.24</v>
      </c>
      <c r="Z304" s="0" t="n">
        <v>9.25</v>
      </c>
      <c r="AA304" s="0" t="n">
        <v>-0.43</v>
      </c>
      <c r="AB304" s="0" t="n">
        <v>1.37</v>
      </c>
      <c r="AC304" s="22" t="b">
        <f aca="false">FALSE()</f>
        <v>0</v>
      </c>
      <c r="AD304" s="0" t="n">
        <v>11.06</v>
      </c>
      <c r="AE304" s="0" t="n">
        <v>3.57</v>
      </c>
      <c r="AF304" s="0" t="n">
        <v>10.32</v>
      </c>
      <c r="AG304" s="22" t="b">
        <f aca="false">TRUE()</f>
        <v>1</v>
      </c>
      <c r="AH304" s="0" t="n">
        <v>1</v>
      </c>
    </row>
    <row r="305" customFormat="false" ht="15" hidden="false" customHeight="false" outlineLevel="0" collapsed="false">
      <c r="A305" s="0" t="s">
        <v>615</v>
      </c>
      <c r="B305" s="0" t="s">
        <v>134</v>
      </c>
      <c r="C305" s="0" t="s">
        <v>3447</v>
      </c>
      <c r="D305" s="0" t="s">
        <v>3448</v>
      </c>
      <c r="E305" s="20" t="s">
        <v>25</v>
      </c>
      <c r="F305" s="23" t="s">
        <v>30</v>
      </c>
      <c r="G305" s="21" t="s">
        <v>992</v>
      </c>
      <c r="H305" s="21" t="s">
        <v>24</v>
      </c>
      <c r="I305" s="21" t="s">
        <v>24</v>
      </c>
      <c r="J305" s="21" t="s">
        <v>24</v>
      </c>
      <c r="K305" s="21" t="s">
        <v>25</v>
      </c>
      <c r="L305" s="21" t="s">
        <v>24</v>
      </c>
      <c r="M305" s="0" t="n">
        <v>185</v>
      </c>
      <c r="N305" s="0" t="n">
        <v>2</v>
      </c>
      <c r="O305" s="21" t="s">
        <v>3527</v>
      </c>
      <c r="P305" s="21" t="s">
        <v>4382</v>
      </c>
      <c r="Q305" s="0" t="n">
        <v>0</v>
      </c>
      <c r="S305" s="0" t="n">
        <v>2</v>
      </c>
      <c r="T305" s="21" t="s">
        <v>3527</v>
      </c>
      <c r="U305" s="22" t="b">
        <f aca="false">TRUE()</f>
        <v>1</v>
      </c>
      <c r="V305" s="0" t="n">
        <v>0.83</v>
      </c>
      <c r="W305" s="0" t="n">
        <v>0.92</v>
      </c>
      <c r="X305" s="0" t="n">
        <v>9.1</v>
      </c>
      <c r="Y305" s="0" t="n">
        <v>321.28</v>
      </c>
      <c r="Z305" s="0" t="n">
        <v>9.5</v>
      </c>
      <c r="AA305" s="0" t="n">
        <v>7.16</v>
      </c>
      <c r="AB305" s="0" t="n">
        <v>4.59</v>
      </c>
      <c r="AC305" s="22" t="b">
        <f aca="false">FALSE()</f>
        <v>0</v>
      </c>
      <c r="AD305" s="0" t="n">
        <v>22.28</v>
      </c>
      <c r="AE305" s="0" t="n">
        <v>9.83</v>
      </c>
      <c r="AF305" s="0" t="n">
        <v>15.3</v>
      </c>
      <c r="AG305" s="22" t="b">
        <f aca="false">TRUE()</f>
        <v>1</v>
      </c>
      <c r="AH305" s="0" t="n">
        <v>1</v>
      </c>
    </row>
    <row r="306" customFormat="false" ht="15" hidden="false" customHeight="false" outlineLevel="0" collapsed="false">
      <c r="A306" s="0" t="s">
        <v>624</v>
      </c>
      <c r="B306" s="0" t="s">
        <v>134</v>
      </c>
      <c r="C306" s="0" t="s">
        <v>3450</v>
      </c>
      <c r="D306" s="0" t="s">
        <v>3457</v>
      </c>
      <c r="E306" s="19" t="s">
        <v>26</v>
      </c>
      <c r="F306" s="19" t="s">
        <v>32</v>
      </c>
      <c r="G306" s="21" t="s">
        <v>4130</v>
      </c>
      <c r="H306" s="21" t="s">
        <v>24</v>
      </c>
      <c r="I306" s="21" t="s">
        <v>26</v>
      </c>
      <c r="J306" s="21" t="s">
        <v>24</v>
      </c>
      <c r="K306" s="21" t="s">
        <v>25</v>
      </c>
      <c r="L306" s="21" t="s">
        <v>24</v>
      </c>
      <c r="M306" s="0" t="n">
        <v>182</v>
      </c>
      <c r="N306" s="0" t="n">
        <v>7</v>
      </c>
      <c r="O306" s="21" t="s">
        <v>4129</v>
      </c>
      <c r="P306" s="21" t="s">
        <v>4383</v>
      </c>
      <c r="Q306" s="0" t="n">
        <v>2</v>
      </c>
      <c r="R306" s="21" t="s">
        <v>3871</v>
      </c>
      <c r="S306" s="0" t="n">
        <v>7</v>
      </c>
      <c r="T306" s="21" t="s">
        <v>4129</v>
      </c>
      <c r="U306" s="22" t="b">
        <f aca="false">FALSE()</f>
        <v>0</v>
      </c>
      <c r="V306" s="0" t="n">
        <v>0.75</v>
      </c>
      <c r="W306" s="0" t="n">
        <v>0.8</v>
      </c>
      <c r="X306" s="0" t="n">
        <v>14.52</v>
      </c>
      <c r="Y306" s="0" t="n">
        <v>307.49</v>
      </c>
      <c r="Z306" s="0" t="n">
        <v>8</v>
      </c>
      <c r="AA306" s="0" t="n">
        <v>2.58</v>
      </c>
      <c r="AB306" s="0" t="n">
        <v>3.16</v>
      </c>
      <c r="AC306" s="22" t="b">
        <f aca="false">FALSE()</f>
        <v>0</v>
      </c>
      <c r="AD306" s="0" t="n">
        <v>10.23</v>
      </c>
      <c r="AE306" s="0" t="n">
        <v>0.2</v>
      </c>
      <c r="AF306" s="0" t="n">
        <v>0.53</v>
      </c>
      <c r="AG306" s="22" t="b">
        <f aca="false">TRUE()</f>
        <v>1</v>
      </c>
      <c r="AH306" s="0" t="n">
        <v>1</v>
      </c>
    </row>
    <row r="307" customFormat="false" ht="15" hidden="false" customHeight="false" outlineLevel="0" collapsed="false">
      <c r="A307" s="0" t="s">
        <v>624</v>
      </c>
      <c r="B307" s="0" t="s">
        <v>134</v>
      </c>
      <c r="C307" s="0" t="s">
        <v>3450</v>
      </c>
      <c r="D307" s="0" t="s">
        <v>3448</v>
      </c>
      <c r="E307" s="19" t="s">
        <v>26</v>
      </c>
      <c r="F307" s="19" t="s">
        <v>32</v>
      </c>
      <c r="G307" s="21" t="s">
        <v>405</v>
      </c>
      <c r="H307" s="21" t="s">
        <v>24</v>
      </c>
      <c r="I307" s="21" t="s">
        <v>26</v>
      </c>
      <c r="J307" s="21" t="s">
        <v>24</v>
      </c>
      <c r="K307" s="21" t="s">
        <v>24</v>
      </c>
      <c r="L307" s="21" t="s">
        <v>24</v>
      </c>
      <c r="M307" s="0" t="n">
        <v>183</v>
      </c>
      <c r="N307" s="0" t="n">
        <v>9</v>
      </c>
      <c r="O307" s="21" t="s">
        <v>4179</v>
      </c>
      <c r="P307" s="21" t="s">
        <v>4384</v>
      </c>
      <c r="Q307" s="0" t="n">
        <v>2</v>
      </c>
      <c r="R307" s="21" t="s">
        <v>3871</v>
      </c>
      <c r="S307" s="0" t="n">
        <v>9</v>
      </c>
      <c r="T307" s="21" t="s">
        <v>4179</v>
      </c>
      <c r="U307" s="22" t="b">
        <f aca="false">FALSE()</f>
        <v>0</v>
      </c>
      <c r="V307" s="0" t="n">
        <v>0.68</v>
      </c>
      <c r="W307" s="0" t="n">
        <v>0</v>
      </c>
      <c r="X307" s="0" t="n">
        <v>14.35</v>
      </c>
      <c r="Y307" s="0" t="n">
        <v>689.4</v>
      </c>
      <c r="Z307" s="0" t="n">
        <v>10.25</v>
      </c>
      <c r="AA307" s="0" t="n">
        <v>5.01</v>
      </c>
      <c r="AB307" s="0" t="n">
        <v>2.33</v>
      </c>
      <c r="AC307" s="22" t="b">
        <f aca="false">FALSE()</f>
        <v>0</v>
      </c>
      <c r="AD307" s="0" t="n">
        <v>2.81</v>
      </c>
      <c r="AE307" s="0" t="n">
        <v>1.4</v>
      </c>
      <c r="AF307" s="0" t="n">
        <v>1.83</v>
      </c>
      <c r="AG307" s="22" t="b">
        <f aca="false">FALSE()</f>
        <v>0</v>
      </c>
      <c r="AH307" s="0" t="n">
        <v>1</v>
      </c>
    </row>
    <row r="308" customFormat="false" ht="15" hidden="false" customHeight="false" outlineLevel="0" collapsed="false">
      <c r="A308" s="0" t="s">
        <v>624</v>
      </c>
      <c r="B308" s="0" t="s">
        <v>134</v>
      </c>
      <c r="C308" s="0" t="s">
        <v>3447</v>
      </c>
      <c r="D308" s="0" t="s">
        <v>3457</v>
      </c>
      <c r="E308" s="19" t="s">
        <v>26</v>
      </c>
      <c r="F308" s="19" t="s">
        <v>32</v>
      </c>
      <c r="G308" s="21" t="s">
        <v>405</v>
      </c>
      <c r="H308" s="21" t="s">
        <v>24</v>
      </c>
      <c r="I308" s="21" t="s">
        <v>26</v>
      </c>
      <c r="J308" s="21" t="s">
        <v>24</v>
      </c>
      <c r="K308" s="21" t="s">
        <v>24</v>
      </c>
      <c r="L308" s="21" t="s">
        <v>24</v>
      </c>
      <c r="M308" s="0" t="n">
        <v>186</v>
      </c>
      <c r="N308" s="0" t="n">
        <v>8</v>
      </c>
      <c r="O308" s="21" t="s">
        <v>4176</v>
      </c>
      <c r="P308" s="21" t="s">
        <v>4385</v>
      </c>
      <c r="Q308" s="0" t="n">
        <v>2</v>
      </c>
      <c r="R308" s="21" t="s">
        <v>3871</v>
      </c>
      <c r="S308" s="0" t="n">
        <v>8</v>
      </c>
      <c r="T308" s="21" t="s">
        <v>4176</v>
      </c>
      <c r="U308" s="22" t="b">
        <f aca="false">FALSE()</f>
        <v>0</v>
      </c>
      <c r="V308" s="0" t="n">
        <v>0.71</v>
      </c>
      <c r="W308" s="0" t="n">
        <v>0.16</v>
      </c>
      <c r="X308" s="0" t="n">
        <v>12.87</v>
      </c>
      <c r="Y308" s="0" t="n">
        <v>551.57</v>
      </c>
      <c r="Z308" s="0" t="n">
        <v>8</v>
      </c>
      <c r="AA308" s="0" t="n">
        <v>5.49</v>
      </c>
      <c r="AB308" s="0" t="n">
        <v>3.16</v>
      </c>
      <c r="AC308" s="22" t="b">
        <f aca="false">FALSE()</f>
        <v>0</v>
      </c>
      <c r="AD308" s="0" t="n">
        <v>9.43</v>
      </c>
      <c r="AE308" s="0" t="n">
        <v>1.01</v>
      </c>
      <c r="AF308" s="0" t="n">
        <v>1.66</v>
      </c>
      <c r="AG308" s="22" t="b">
        <f aca="false">FALSE()</f>
        <v>0</v>
      </c>
      <c r="AH308" s="0" t="n">
        <v>1</v>
      </c>
    </row>
    <row r="309" customFormat="false" ht="15" hidden="false" customHeight="false" outlineLevel="0" collapsed="false">
      <c r="A309" s="0" t="s">
        <v>624</v>
      </c>
      <c r="B309" s="0" t="s">
        <v>134</v>
      </c>
      <c r="C309" s="0" t="s">
        <v>3447</v>
      </c>
      <c r="D309" s="0" t="s">
        <v>3448</v>
      </c>
      <c r="E309" s="19" t="s">
        <v>26</v>
      </c>
      <c r="F309" s="19" t="s">
        <v>32</v>
      </c>
      <c r="G309" s="21" t="s">
        <v>529</v>
      </c>
      <c r="H309" s="21" t="s">
        <v>24</v>
      </c>
      <c r="I309" s="21" t="s">
        <v>26</v>
      </c>
      <c r="J309" s="21" t="s">
        <v>24</v>
      </c>
      <c r="K309" s="21" t="s">
        <v>24</v>
      </c>
      <c r="L309" s="21" t="s">
        <v>24</v>
      </c>
      <c r="M309" s="0" t="n">
        <v>184</v>
      </c>
      <c r="N309" s="0" t="n">
        <v>9</v>
      </c>
      <c r="O309" s="21" t="s">
        <v>4101</v>
      </c>
      <c r="P309" s="21" t="s">
        <v>4386</v>
      </c>
      <c r="Q309" s="0" t="n">
        <v>1</v>
      </c>
      <c r="R309" s="21" t="s">
        <v>70</v>
      </c>
      <c r="S309" s="0" t="n">
        <v>9</v>
      </c>
      <c r="T309" s="21" t="s">
        <v>4101</v>
      </c>
      <c r="U309" s="22" t="b">
        <f aca="false">FALSE()</f>
        <v>0</v>
      </c>
      <c r="V309" s="0" t="n">
        <v>0.69</v>
      </c>
      <c r="W309" s="0" t="n">
        <v>0.36</v>
      </c>
      <c r="X309" s="0" t="n">
        <v>13.12</v>
      </c>
      <c r="Y309" s="0" t="n">
        <v>375.1</v>
      </c>
      <c r="Z309" s="0" t="n">
        <v>8</v>
      </c>
      <c r="AA309" s="0" t="n">
        <v>2.79</v>
      </c>
      <c r="AB309" s="0" t="n">
        <v>2.33</v>
      </c>
      <c r="AC309" s="22" t="b">
        <f aca="false">FALSE()</f>
        <v>0</v>
      </c>
      <c r="AD309" s="0" t="n">
        <v>4.91</v>
      </c>
      <c r="AE309" s="0" t="n">
        <v>0.51</v>
      </c>
      <c r="AF309" s="0" t="n">
        <v>0.39</v>
      </c>
      <c r="AG309" s="22" t="b">
        <f aca="false">FALSE()</f>
        <v>0</v>
      </c>
      <c r="AH309" s="0" t="n">
        <v>1</v>
      </c>
    </row>
    <row r="310" customFormat="false" ht="15" hidden="false" customHeight="false" outlineLevel="0" collapsed="false">
      <c r="A310" s="0" t="s">
        <v>637</v>
      </c>
      <c r="B310" s="0" t="s">
        <v>134</v>
      </c>
      <c r="C310" s="0" t="s">
        <v>3450</v>
      </c>
      <c r="D310" s="0" t="s">
        <v>3457</v>
      </c>
      <c r="E310" s="20" t="s">
        <v>25</v>
      </c>
      <c r="F310" s="20" t="s">
        <v>29</v>
      </c>
      <c r="G310" s="21" t="s">
        <v>64</v>
      </c>
      <c r="H310" s="21" t="s">
        <v>24</v>
      </c>
      <c r="I310" s="21" t="s">
        <v>24</v>
      </c>
      <c r="J310" s="21" t="s">
        <v>24</v>
      </c>
      <c r="K310" s="21" t="s">
        <v>25</v>
      </c>
      <c r="L310" s="21" t="s">
        <v>24</v>
      </c>
      <c r="M310" s="0" t="n">
        <v>184</v>
      </c>
      <c r="N310" s="0" t="n">
        <v>0</v>
      </c>
      <c r="Q310" s="0" t="n">
        <v>0</v>
      </c>
      <c r="S310" s="0" t="n">
        <v>0</v>
      </c>
      <c r="U310" s="22" t="b">
        <f aca="false">FALSE()</f>
        <v>0</v>
      </c>
      <c r="V310" s="0" t="n">
        <v>0.67</v>
      </c>
      <c r="W310" s="0" t="n">
        <v>0.84</v>
      </c>
      <c r="X310" s="0" t="n">
        <v>5.18</v>
      </c>
      <c r="Y310" s="0" t="n">
        <v>313.39</v>
      </c>
      <c r="Z310" s="0" t="n">
        <v>10</v>
      </c>
      <c r="AA310" s="0" t="n">
        <v>4.16</v>
      </c>
      <c r="AB310" s="0" t="n">
        <v>0.49</v>
      </c>
      <c r="AC310" s="22" t="b">
        <f aca="false">FALSE()</f>
        <v>0</v>
      </c>
      <c r="AD310" s="0" t="n">
        <v>7.58</v>
      </c>
      <c r="AE310" s="0" t="n">
        <v>1.29</v>
      </c>
      <c r="AF310" s="0" t="n">
        <v>6.07</v>
      </c>
      <c r="AG310" s="22" t="b">
        <f aca="false">FALSE()</f>
        <v>0</v>
      </c>
      <c r="AH310" s="0" t="n">
        <v>1</v>
      </c>
    </row>
    <row r="311" customFormat="false" ht="15" hidden="false" customHeight="false" outlineLevel="0" collapsed="false">
      <c r="A311" s="0" t="s">
        <v>637</v>
      </c>
      <c r="B311" s="0" t="s">
        <v>134</v>
      </c>
      <c r="C311" s="0" t="s">
        <v>3450</v>
      </c>
      <c r="D311" s="0" t="s">
        <v>3448</v>
      </c>
      <c r="E311" s="20" t="s">
        <v>25</v>
      </c>
      <c r="F311" s="23" t="s">
        <v>30</v>
      </c>
      <c r="G311" s="21" t="s">
        <v>283</v>
      </c>
      <c r="H311" s="21" t="s">
        <v>24</v>
      </c>
      <c r="I311" s="21" t="s">
        <v>25</v>
      </c>
      <c r="J311" s="21" t="s">
        <v>24</v>
      </c>
      <c r="K311" s="21" t="s">
        <v>24</v>
      </c>
      <c r="L311" s="21" t="s">
        <v>24</v>
      </c>
      <c r="M311" s="0" t="n">
        <v>182</v>
      </c>
      <c r="N311" s="0" t="n">
        <v>2</v>
      </c>
      <c r="O311" s="21" t="s">
        <v>3575</v>
      </c>
      <c r="P311" s="21" t="s">
        <v>4265</v>
      </c>
      <c r="Q311" s="0" t="n">
        <v>1</v>
      </c>
      <c r="R311" s="21" t="s">
        <v>69</v>
      </c>
      <c r="S311" s="0" t="n">
        <v>2</v>
      </c>
      <c r="T311" s="21" t="s">
        <v>3575</v>
      </c>
      <c r="U311" s="22" t="b">
        <f aca="false">TRUE()</f>
        <v>1</v>
      </c>
      <c r="V311" s="0" t="n">
        <v>0.65</v>
      </c>
      <c r="W311" s="0" t="n">
        <v>0.4</v>
      </c>
      <c r="X311" s="0" t="n">
        <v>6.61</v>
      </c>
      <c r="Y311" s="0" t="n">
        <v>357.5</v>
      </c>
      <c r="Z311" s="0" t="n">
        <v>10</v>
      </c>
      <c r="AA311" s="0" t="n">
        <v>3.62</v>
      </c>
      <c r="AB311" s="0" t="n">
        <v>4.88</v>
      </c>
      <c r="AC311" s="22" t="b">
        <f aca="false">FALSE()</f>
        <v>0</v>
      </c>
      <c r="AD311" s="0" t="n">
        <v>0.71</v>
      </c>
      <c r="AE311" s="0" t="n">
        <v>0.03</v>
      </c>
      <c r="AF311" s="0" t="n">
        <v>4.41</v>
      </c>
      <c r="AG311" s="22" t="b">
        <f aca="false">FALSE()</f>
        <v>0</v>
      </c>
      <c r="AH311" s="0" t="n">
        <v>1</v>
      </c>
    </row>
    <row r="312" customFormat="false" ht="15" hidden="false" customHeight="false" outlineLevel="0" collapsed="false">
      <c r="A312" s="0" t="s">
        <v>637</v>
      </c>
      <c r="B312" s="0" t="s">
        <v>134</v>
      </c>
      <c r="C312" s="0" t="s">
        <v>3447</v>
      </c>
      <c r="D312" s="0" t="s">
        <v>3457</v>
      </c>
      <c r="E312" s="20" t="s">
        <v>25</v>
      </c>
      <c r="F312" s="23" t="s">
        <v>30</v>
      </c>
      <c r="G312" s="21" t="s">
        <v>2610</v>
      </c>
      <c r="H312" s="21" t="s">
        <v>24</v>
      </c>
      <c r="I312" s="21" t="s">
        <v>24</v>
      </c>
      <c r="J312" s="21" t="s">
        <v>24</v>
      </c>
      <c r="K312" s="21" t="s">
        <v>25</v>
      </c>
      <c r="L312" s="21" t="s">
        <v>24</v>
      </c>
      <c r="M312" s="0" t="n">
        <v>188</v>
      </c>
      <c r="N312" s="0" t="n">
        <v>2</v>
      </c>
      <c r="O312" s="21" t="s">
        <v>3499</v>
      </c>
      <c r="P312" s="21" t="s">
        <v>4250</v>
      </c>
      <c r="Q312" s="0" t="n">
        <v>0</v>
      </c>
      <c r="S312" s="0" t="n">
        <v>2</v>
      </c>
      <c r="T312" s="21" t="s">
        <v>3499</v>
      </c>
      <c r="U312" s="22" t="b">
        <f aca="false">TRUE()</f>
        <v>1</v>
      </c>
      <c r="V312" s="0" t="n">
        <v>0.76</v>
      </c>
      <c r="W312" s="0" t="n">
        <v>0.92</v>
      </c>
      <c r="X312" s="0" t="n">
        <v>5.92</v>
      </c>
      <c r="Y312" s="0" t="n">
        <v>324.93</v>
      </c>
      <c r="Z312" s="0" t="n">
        <v>8.08</v>
      </c>
      <c r="AA312" s="0" t="n">
        <v>-1.09</v>
      </c>
      <c r="AB312" s="0" t="n">
        <v>0.49</v>
      </c>
      <c r="AC312" s="22" t="b">
        <f aca="false">FALSE()</f>
        <v>0</v>
      </c>
      <c r="AD312" s="0" t="n">
        <v>3.85</v>
      </c>
      <c r="AE312" s="0" t="n">
        <v>0.27</v>
      </c>
      <c r="AF312" s="0" t="n">
        <v>3.47</v>
      </c>
      <c r="AG312" s="22" t="b">
        <f aca="false">FALSE()</f>
        <v>0</v>
      </c>
      <c r="AH312" s="0" t="n">
        <v>1</v>
      </c>
    </row>
    <row r="313" customFormat="false" ht="15" hidden="false" customHeight="false" outlineLevel="0" collapsed="false">
      <c r="A313" s="0" t="s">
        <v>637</v>
      </c>
      <c r="B313" s="0" t="s">
        <v>134</v>
      </c>
      <c r="C313" s="0" t="s">
        <v>3447</v>
      </c>
      <c r="D313" s="0" t="s">
        <v>3448</v>
      </c>
      <c r="E313" s="18" t="s">
        <v>24</v>
      </c>
      <c r="F313" s="23" t="s">
        <v>30</v>
      </c>
      <c r="G313" s="21" t="s">
        <v>30</v>
      </c>
      <c r="H313" s="21" t="s">
        <v>24</v>
      </c>
      <c r="I313" s="21" t="s">
        <v>24</v>
      </c>
      <c r="J313" s="21" t="s">
        <v>24</v>
      </c>
      <c r="K313" s="21" t="s">
        <v>24</v>
      </c>
      <c r="L313" s="21" t="s">
        <v>24</v>
      </c>
      <c r="M313" s="0" t="n">
        <v>183</v>
      </c>
      <c r="N313" s="0" t="n">
        <v>2</v>
      </c>
      <c r="O313" s="21" t="s">
        <v>3511</v>
      </c>
      <c r="P313" s="21" t="s">
        <v>4387</v>
      </c>
      <c r="Q313" s="0" t="n">
        <v>0</v>
      </c>
      <c r="S313" s="0" t="n">
        <v>2</v>
      </c>
      <c r="T313" s="21" t="s">
        <v>3511</v>
      </c>
      <c r="U313" s="22" t="b">
        <f aca="false">TRUE()</f>
        <v>1</v>
      </c>
      <c r="V313" s="0" t="n">
        <v>0.76</v>
      </c>
      <c r="W313" s="0" t="n">
        <v>0.28</v>
      </c>
      <c r="X313" s="0" t="n">
        <v>6.98</v>
      </c>
      <c r="Y313" s="0" t="n">
        <v>432.26</v>
      </c>
      <c r="Z313" s="0" t="n">
        <v>9.42</v>
      </c>
      <c r="AA313" s="0" t="n">
        <v>5.2</v>
      </c>
      <c r="AB313" s="0" t="n">
        <v>4.88</v>
      </c>
      <c r="AC313" s="22" t="b">
        <f aca="false">FALSE()</f>
        <v>0</v>
      </c>
      <c r="AD313" s="0" t="n">
        <v>3.18</v>
      </c>
      <c r="AE313" s="0" t="n">
        <v>-0.04</v>
      </c>
      <c r="AF313" s="0" t="n">
        <v>6.71</v>
      </c>
      <c r="AG313" s="22" t="b">
        <f aca="false">FALSE()</f>
        <v>0</v>
      </c>
      <c r="AH313" s="0" t="n">
        <v>1</v>
      </c>
    </row>
    <row r="314" customFormat="false" ht="15" hidden="false" customHeight="false" outlineLevel="0" collapsed="false">
      <c r="A314" s="0" t="s">
        <v>637</v>
      </c>
      <c r="B314" s="0" t="s">
        <v>3459</v>
      </c>
      <c r="C314" s="0" t="s">
        <v>3450</v>
      </c>
      <c r="D314" s="0" t="s">
        <v>3457</v>
      </c>
      <c r="E314" s="20" t="s">
        <v>25</v>
      </c>
      <c r="F314" s="23" t="s">
        <v>30</v>
      </c>
      <c r="G314" s="21" t="s">
        <v>183</v>
      </c>
      <c r="H314" s="21" t="s">
        <v>24</v>
      </c>
      <c r="I314" s="21" t="s">
        <v>25</v>
      </c>
      <c r="J314" s="21" t="s">
        <v>24</v>
      </c>
      <c r="K314" s="21" t="s">
        <v>25</v>
      </c>
      <c r="L314" s="21" t="s">
        <v>24</v>
      </c>
      <c r="M314" s="0" t="n">
        <v>183</v>
      </c>
      <c r="N314" s="0" t="n">
        <v>2</v>
      </c>
      <c r="O314" s="21" t="s">
        <v>3575</v>
      </c>
      <c r="P314" s="21" t="s">
        <v>4265</v>
      </c>
      <c r="Q314" s="0" t="n">
        <v>1</v>
      </c>
      <c r="R314" s="21" t="s">
        <v>69</v>
      </c>
      <c r="S314" s="0" t="n">
        <v>2</v>
      </c>
      <c r="T314" s="21" t="s">
        <v>3575</v>
      </c>
      <c r="U314" s="22" t="b">
        <f aca="false">TRUE()</f>
        <v>1</v>
      </c>
      <c r="V314" s="0" t="n">
        <v>0.66</v>
      </c>
      <c r="W314" s="0" t="n">
        <v>0.92</v>
      </c>
      <c r="X314" s="0" t="n">
        <v>5.39</v>
      </c>
      <c r="Y314" s="0" t="n">
        <v>310.5</v>
      </c>
      <c r="Z314" s="0" t="n">
        <v>10.17</v>
      </c>
      <c r="AA314" s="0" t="n">
        <v>11.84</v>
      </c>
      <c r="AB314" s="0" t="n">
        <v>5.47</v>
      </c>
      <c r="AC314" s="22" t="b">
        <f aca="false">FALSE()</f>
        <v>0</v>
      </c>
      <c r="AD314" s="0" t="n">
        <v>23.34</v>
      </c>
      <c r="AE314" s="0" t="n">
        <v>14.23</v>
      </c>
      <c r="AF314" s="0" t="n">
        <v>22.84</v>
      </c>
      <c r="AG314" s="22" t="b">
        <f aca="false">TRUE()</f>
        <v>1</v>
      </c>
      <c r="AH314" s="0" t="n">
        <v>1</v>
      </c>
    </row>
    <row r="315" customFormat="false" ht="15" hidden="false" customHeight="false" outlineLevel="0" collapsed="false">
      <c r="A315" s="0" t="s">
        <v>637</v>
      </c>
      <c r="B315" s="0" t="s">
        <v>3459</v>
      </c>
      <c r="C315" s="0" t="s">
        <v>3450</v>
      </c>
      <c r="D315" s="0" t="s">
        <v>3448</v>
      </c>
      <c r="E315" s="20" t="s">
        <v>25</v>
      </c>
      <c r="F315" s="23" t="s">
        <v>30</v>
      </c>
      <c r="G315" s="21" t="s">
        <v>1230</v>
      </c>
      <c r="H315" s="21" t="s">
        <v>24</v>
      </c>
      <c r="I315" s="21" t="s">
        <v>25</v>
      </c>
      <c r="J315" s="21" t="s">
        <v>24</v>
      </c>
      <c r="K315" s="21" t="s">
        <v>25</v>
      </c>
      <c r="L315" s="21" t="s">
        <v>24</v>
      </c>
      <c r="M315" s="0" t="n">
        <v>158</v>
      </c>
      <c r="N315" s="0" t="n">
        <v>2</v>
      </c>
      <c r="O315" s="21" t="s">
        <v>3575</v>
      </c>
      <c r="P315" s="21" t="s">
        <v>4265</v>
      </c>
      <c r="Q315" s="0" t="n">
        <v>1</v>
      </c>
      <c r="R315" s="21" t="s">
        <v>69</v>
      </c>
      <c r="S315" s="0" t="n">
        <v>2</v>
      </c>
      <c r="T315" s="21" t="s">
        <v>3575</v>
      </c>
      <c r="U315" s="22" t="b">
        <f aca="false">TRUE()</f>
        <v>1</v>
      </c>
      <c r="V315" s="0" t="n">
        <v>0.7</v>
      </c>
      <c r="W315" s="0" t="n">
        <v>0.72</v>
      </c>
      <c r="X315" s="0" t="n">
        <v>5.09</v>
      </c>
      <c r="Y315" s="0" t="n">
        <v>276.12</v>
      </c>
      <c r="Z315" s="0" t="n">
        <v>8</v>
      </c>
      <c r="AA315" s="0" t="n">
        <v>-1.05</v>
      </c>
      <c r="AB315" s="0" t="n">
        <v>9.56</v>
      </c>
      <c r="AC315" s="22" t="b">
        <f aca="false">FALSE()</f>
        <v>0</v>
      </c>
      <c r="AD315" s="0" t="n">
        <v>13.96</v>
      </c>
      <c r="AE315" s="0" t="n">
        <v>5.33</v>
      </c>
      <c r="AF315" s="0" t="n">
        <v>14.66</v>
      </c>
      <c r="AG315" s="22" t="b">
        <f aca="false">TRUE()</f>
        <v>1</v>
      </c>
      <c r="AH315" s="0" t="n">
        <v>1</v>
      </c>
    </row>
    <row r="316" customFormat="false" ht="15" hidden="false" customHeight="false" outlineLevel="0" collapsed="false">
      <c r="A316" s="0" t="s">
        <v>637</v>
      </c>
      <c r="B316" s="0" t="s">
        <v>3459</v>
      </c>
      <c r="C316" s="0" t="s">
        <v>3447</v>
      </c>
      <c r="D316" s="0" t="s">
        <v>3457</v>
      </c>
      <c r="E316" s="20" t="s">
        <v>25</v>
      </c>
      <c r="F316" s="23" t="s">
        <v>30</v>
      </c>
      <c r="G316" s="21" t="s">
        <v>183</v>
      </c>
      <c r="H316" s="21" t="s">
        <v>24</v>
      </c>
      <c r="I316" s="21" t="s">
        <v>25</v>
      </c>
      <c r="J316" s="21" t="s">
        <v>24</v>
      </c>
      <c r="K316" s="21" t="s">
        <v>25</v>
      </c>
      <c r="L316" s="21" t="s">
        <v>24</v>
      </c>
      <c r="M316" s="0" t="n">
        <v>183</v>
      </c>
      <c r="N316" s="0" t="n">
        <v>1</v>
      </c>
      <c r="O316" s="21" t="s">
        <v>69</v>
      </c>
      <c r="P316" s="21" t="s">
        <v>4275</v>
      </c>
      <c r="Q316" s="0" t="n">
        <v>1</v>
      </c>
      <c r="R316" s="21" t="s">
        <v>69</v>
      </c>
      <c r="S316" s="0" t="n">
        <v>1</v>
      </c>
      <c r="T316" s="21" t="s">
        <v>69</v>
      </c>
      <c r="U316" s="22" t="b">
        <f aca="false">TRUE()</f>
        <v>1</v>
      </c>
      <c r="V316" s="0" t="n">
        <v>0.75</v>
      </c>
      <c r="W316" s="0" t="n">
        <v>0</v>
      </c>
      <c r="X316" s="0" t="n">
        <v>5.3</v>
      </c>
      <c r="Y316" s="0" t="n">
        <v>1.81</v>
      </c>
      <c r="Z316" s="0" t="n">
        <v>9.5</v>
      </c>
      <c r="AA316" s="0" t="n">
        <v>4.14</v>
      </c>
      <c r="AB316" s="0" t="n">
        <v>5.47</v>
      </c>
      <c r="AC316" s="22" t="b">
        <f aca="false">FALSE()</f>
        <v>0</v>
      </c>
      <c r="AD316" s="0" t="n">
        <v>23.39</v>
      </c>
      <c r="AE316" s="0" t="n">
        <v>13.91</v>
      </c>
      <c r="AF316" s="0" t="n">
        <v>22.95</v>
      </c>
      <c r="AG316" s="22" t="b">
        <f aca="false">TRUE()</f>
        <v>1</v>
      </c>
      <c r="AH316" s="0" t="n">
        <v>0</v>
      </c>
    </row>
    <row r="317" customFormat="false" ht="15" hidden="false" customHeight="false" outlineLevel="0" collapsed="false">
      <c r="A317" s="0" t="s">
        <v>637</v>
      </c>
      <c r="B317" s="0" t="s">
        <v>3459</v>
      </c>
      <c r="C317" s="0" t="s">
        <v>3447</v>
      </c>
      <c r="D317" s="0" t="s">
        <v>3448</v>
      </c>
      <c r="E317" s="18" t="s">
        <v>24</v>
      </c>
      <c r="F317" s="23" t="s">
        <v>30</v>
      </c>
      <c r="G317" s="21" t="s">
        <v>30</v>
      </c>
      <c r="H317" s="21" t="s">
        <v>24</v>
      </c>
      <c r="I317" s="21" t="s">
        <v>24</v>
      </c>
      <c r="J317" s="21" t="s">
        <v>24</v>
      </c>
      <c r="K317" s="21" t="s">
        <v>24</v>
      </c>
      <c r="L317" s="21" t="s">
        <v>24</v>
      </c>
      <c r="M317" s="0" t="n">
        <v>184</v>
      </c>
      <c r="N317" s="0" t="n">
        <v>3</v>
      </c>
      <c r="O317" s="21" t="s">
        <v>3551</v>
      </c>
      <c r="P317" s="21" t="s">
        <v>4343</v>
      </c>
      <c r="Q317" s="0" t="n">
        <v>0</v>
      </c>
      <c r="S317" s="0" t="n">
        <v>3</v>
      </c>
      <c r="T317" s="21" t="s">
        <v>3551</v>
      </c>
      <c r="U317" s="22" t="b">
        <f aca="false">TRUE()</f>
        <v>1</v>
      </c>
      <c r="V317" s="0" t="n">
        <v>0.85</v>
      </c>
      <c r="W317" s="0" t="n">
        <v>0.36</v>
      </c>
      <c r="X317" s="0" t="n">
        <v>7.86</v>
      </c>
      <c r="Y317" s="0" t="n">
        <v>375.81</v>
      </c>
      <c r="Z317" s="0" t="n">
        <v>10.08</v>
      </c>
      <c r="AA317" s="0" t="n">
        <v>-0.7</v>
      </c>
      <c r="AB317" s="0" t="n">
        <v>9.56</v>
      </c>
      <c r="AC317" s="22" t="b">
        <f aca="false">FALSE()</f>
        <v>0</v>
      </c>
      <c r="AD317" s="0" t="n">
        <v>18.53</v>
      </c>
      <c r="AE317" s="0" t="n">
        <v>6.08</v>
      </c>
      <c r="AF317" s="0" t="n">
        <v>15.08</v>
      </c>
      <c r="AG317" s="22" t="b">
        <f aca="false">TRUE()</f>
        <v>1</v>
      </c>
      <c r="AH317" s="0" t="n">
        <v>1</v>
      </c>
    </row>
    <row r="318" customFormat="false" ht="15" hidden="false" customHeight="false" outlineLevel="0" collapsed="false">
      <c r="A318" s="0" t="s">
        <v>643</v>
      </c>
      <c r="B318" s="0" t="s">
        <v>134</v>
      </c>
      <c r="C318" s="0" t="s">
        <v>3450</v>
      </c>
      <c r="D318" s="0" t="s">
        <v>3457</v>
      </c>
      <c r="E318" s="19" t="s">
        <v>26</v>
      </c>
      <c r="F318" s="19" t="s">
        <v>32</v>
      </c>
      <c r="G318" s="21" t="s">
        <v>1451</v>
      </c>
      <c r="H318" s="21" t="s">
        <v>24</v>
      </c>
      <c r="I318" s="21" t="s">
        <v>26</v>
      </c>
      <c r="J318" s="21" t="s">
        <v>24</v>
      </c>
      <c r="K318" s="21" t="s">
        <v>25</v>
      </c>
      <c r="L318" s="21" t="s">
        <v>24</v>
      </c>
      <c r="M318" s="0" t="n">
        <v>187</v>
      </c>
      <c r="N318" s="0" t="n">
        <v>9</v>
      </c>
      <c r="O318" s="21" t="s">
        <v>4128</v>
      </c>
      <c r="P318" s="21" t="s">
        <v>4388</v>
      </c>
      <c r="Q318" s="0" t="n">
        <v>1</v>
      </c>
      <c r="R318" s="21" t="s">
        <v>69</v>
      </c>
      <c r="S318" s="0" t="n">
        <v>9</v>
      </c>
      <c r="T318" s="21" t="s">
        <v>4128</v>
      </c>
      <c r="U318" s="22" t="b">
        <f aca="false">FALSE()</f>
        <v>0</v>
      </c>
      <c r="V318" s="0" t="n">
        <v>0.7</v>
      </c>
      <c r="W318" s="0" t="n">
        <v>0.96</v>
      </c>
      <c r="X318" s="0" t="n">
        <v>5.28</v>
      </c>
      <c r="Y318" s="0" t="n">
        <v>294.34</v>
      </c>
      <c r="Z318" s="0" t="n">
        <v>10.25</v>
      </c>
      <c r="AA318" s="0" t="n">
        <v>4.35</v>
      </c>
      <c r="AB318" s="0" t="n">
        <v>1.04</v>
      </c>
      <c r="AC318" s="22" t="b">
        <f aca="false">FALSE()</f>
        <v>0</v>
      </c>
      <c r="AD318" s="0" t="n">
        <v>12.92</v>
      </c>
      <c r="AE318" s="0" t="n">
        <v>0.83</v>
      </c>
      <c r="AF318" s="0" t="n">
        <v>3.94</v>
      </c>
      <c r="AG318" s="22" t="b">
        <f aca="false">TRUE()</f>
        <v>1</v>
      </c>
      <c r="AH318" s="0" t="n">
        <v>1</v>
      </c>
    </row>
    <row r="319" customFormat="false" ht="15" hidden="false" customHeight="false" outlineLevel="0" collapsed="false">
      <c r="A319" s="0" t="s">
        <v>643</v>
      </c>
      <c r="B319" s="0" t="s">
        <v>134</v>
      </c>
      <c r="C319" s="0" t="s">
        <v>3450</v>
      </c>
      <c r="D319" s="0" t="s">
        <v>3448</v>
      </c>
      <c r="E319" s="20" t="s">
        <v>25</v>
      </c>
      <c r="F319" s="23" t="s">
        <v>30</v>
      </c>
      <c r="G319" s="21" t="s">
        <v>357</v>
      </c>
      <c r="H319" s="21" t="s">
        <v>24</v>
      </c>
      <c r="I319" s="21" t="s">
        <v>25</v>
      </c>
      <c r="J319" s="21" t="s">
        <v>24</v>
      </c>
      <c r="K319" s="21" t="s">
        <v>25</v>
      </c>
      <c r="L319" s="21" t="s">
        <v>24</v>
      </c>
      <c r="M319" s="0" t="n">
        <v>184</v>
      </c>
      <c r="N319" s="0" t="n">
        <v>1</v>
      </c>
      <c r="O319" s="21" t="s">
        <v>69</v>
      </c>
      <c r="P319" s="21" t="s">
        <v>4275</v>
      </c>
      <c r="Q319" s="0" t="n">
        <v>1</v>
      </c>
      <c r="R319" s="21" t="s">
        <v>69</v>
      </c>
      <c r="S319" s="0" t="n">
        <v>1</v>
      </c>
      <c r="T319" s="21" t="s">
        <v>69</v>
      </c>
      <c r="U319" s="22" t="b">
        <f aca="false">TRUE()</f>
        <v>1</v>
      </c>
      <c r="V319" s="0" t="n">
        <v>0.68</v>
      </c>
      <c r="W319" s="0" t="n">
        <v>0.56</v>
      </c>
      <c r="X319" s="0" t="n">
        <v>5.03</v>
      </c>
      <c r="Y319" s="0" t="n">
        <v>326.89</v>
      </c>
      <c r="Z319" s="0" t="n">
        <v>8</v>
      </c>
      <c r="AA319" s="0" t="n">
        <v>-1.14</v>
      </c>
      <c r="AB319" s="0" t="n">
        <v>0.99</v>
      </c>
      <c r="AC319" s="22" t="b">
        <f aca="false">TRUE()</f>
        <v>1</v>
      </c>
      <c r="AD319" s="0" t="n">
        <v>6.07</v>
      </c>
      <c r="AE319" s="0" t="n">
        <v>0.6</v>
      </c>
      <c r="AF319" s="0" t="n">
        <v>1.7</v>
      </c>
      <c r="AG319" s="22" t="b">
        <f aca="false">FALSE()</f>
        <v>0</v>
      </c>
      <c r="AH319" s="0" t="n">
        <v>1</v>
      </c>
    </row>
    <row r="320" customFormat="false" ht="15" hidden="false" customHeight="false" outlineLevel="0" collapsed="false">
      <c r="A320" s="0" t="s">
        <v>643</v>
      </c>
      <c r="B320" s="0" t="s">
        <v>134</v>
      </c>
      <c r="C320" s="0" t="s">
        <v>3447</v>
      </c>
      <c r="D320" s="0" t="s">
        <v>3457</v>
      </c>
      <c r="E320" s="20" t="s">
        <v>25</v>
      </c>
      <c r="F320" s="20" t="s">
        <v>29</v>
      </c>
      <c r="G320" s="21" t="s">
        <v>63</v>
      </c>
      <c r="H320" s="21" t="s">
        <v>24</v>
      </c>
      <c r="I320" s="21" t="s">
        <v>24</v>
      </c>
      <c r="J320" s="21" t="s">
        <v>24</v>
      </c>
      <c r="K320" s="21" t="s">
        <v>25</v>
      </c>
      <c r="L320" s="21" t="s">
        <v>24</v>
      </c>
      <c r="M320" s="0" t="n">
        <v>185</v>
      </c>
      <c r="N320" s="0" t="n">
        <v>0</v>
      </c>
      <c r="Q320" s="0" t="n">
        <v>0</v>
      </c>
      <c r="S320" s="0" t="n">
        <v>0</v>
      </c>
      <c r="U320" s="22" t="b">
        <f aca="false">FALSE()</f>
        <v>0</v>
      </c>
      <c r="V320" s="0" t="n">
        <v>0.85</v>
      </c>
      <c r="W320" s="0" t="n">
        <v>0.4</v>
      </c>
      <c r="X320" s="0" t="n">
        <v>6.31</v>
      </c>
      <c r="Y320" s="0" t="n">
        <v>329.84</v>
      </c>
      <c r="Z320" s="0" t="n">
        <v>9.83</v>
      </c>
      <c r="AA320" s="0" t="n">
        <v>-1.65</v>
      </c>
      <c r="AB320" s="0" t="n">
        <v>1.04</v>
      </c>
      <c r="AC320" s="22" t="b">
        <f aca="false">FALSE()</f>
        <v>0</v>
      </c>
      <c r="AD320" s="0" t="n">
        <v>12.41</v>
      </c>
      <c r="AE320" s="0" t="n">
        <v>0.66</v>
      </c>
      <c r="AF320" s="0" t="n">
        <v>3.38</v>
      </c>
      <c r="AG320" s="22" t="b">
        <f aca="false">TRUE()</f>
        <v>1</v>
      </c>
      <c r="AH320" s="0" t="n">
        <v>1</v>
      </c>
    </row>
    <row r="321" customFormat="false" ht="15" hidden="false" customHeight="false" outlineLevel="0" collapsed="false">
      <c r="A321" s="0" t="s">
        <v>643</v>
      </c>
      <c r="B321" s="0" t="s">
        <v>134</v>
      </c>
      <c r="C321" s="0" t="s">
        <v>3447</v>
      </c>
      <c r="D321" s="0" t="s">
        <v>3448</v>
      </c>
      <c r="E321" s="20" t="s">
        <v>25</v>
      </c>
      <c r="F321" s="23" t="s">
        <v>30</v>
      </c>
      <c r="G321" s="21" t="s">
        <v>2133</v>
      </c>
      <c r="H321" s="21" t="s">
        <v>24</v>
      </c>
      <c r="I321" s="21" t="s">
        <v>24</v>
      </c>
      <c r="J321" s="21" t="s">
        <v>24</v>
      </c>
      <c r="K321" s="21" t="s">
        <v>25</v>
      </c>
      <c r="L321" s="21" t="s">
        <v>24</v>
      </c>
      <c r="M321" s="0" t="n">
        <v>186</v>
      </c>
      <c r="N321" s="0" t="n">
        <v>3</v>
      </c>
      <c r="O321" s="21" t="s">
        <v>3541</v>
      </c>
      <c r="P321" s="21" t="s">
        <v>4368</v>
      </c>
      <c r="Q321" s="0" t="n">
        <v>0</v>
      </c>
      <c r="S321" s="0" t="n">
        <v>3</v>
      </c>
      <c r="T321" s="21" t="s">
        <v>3541</v>
      </c>
      <c r="U321" s="22" t="b">
        <f aca="false">TRUE()</f>
        <v>1</v>
      </c>
      <c r="V321" s="0" t="n">
        <v>0.85</v>
      </c>
      <c r="W321" s="0" t="n">
        <v>0.56</v>
      </c>
      <c r="X321" s="0" t="n">
        <v>6.53</v>
      </c>
      <c r="Y321" s="0" t="n">
        <v>330.34</v>
      </c>
      <c r="Z321" s="0" t="n">
        <v>8</v>
      </c>
      <c r="AA321" s="0" t="n">
        <v>-1.22</v>
      </c>
      <c r="AB321" s="0" t="n">
        <v>0.99</v>
      </c>
      <c r="AC321" s="22" t="b">
        <f aca="false">FALSE()</f>
        <v>0</v>
      </c>
      <c r="AD321" s="0" t="n">
        <v>6.65</v>
      </c>
      <c r="AE321" s="0" t="n">
        <v>0.43</v>
      </c>
      <c r="AF321" s="0" t="n">
        <v>2.52</v>
      </c>
      <c r="AG321" s="22" t="b">
        <f aca="false">FALSE()</f>
        <v>0</v>
      </c>
      <c r="AH321" s="0" t="n">
        <v>1</v>
      </c>
    </row>
    <row r="322" customFormat="false" ht="15" hidden="false" customHeight="false" outlineLevel="0" collapsed="false">
      <c r="A322" s="0" t="s">
        <v>650</v>
      </c>
      <c r="B322" s="0" t="s">
        <v>134</v>
      </c>
      <c r="C322" s="0" t="s">
        <v>3450</v>
      </c>
      <c r="D322" s="0" t="s">
        <v>3457</v>
      </c>
      <c r="E322" s="20" t="s">
        <v>25</v>
      </c>
      <c r="F322" s="23" t="s">
        <v>30</v>
      </c>
      <c r="G322" s="21" t="s">
        <v>283</v>
      </c>
      <c r="H322" s="21" t="s">
        <v>24</v>
      </c>
      <c r="I322" s="21" t="s">
        <v>25</v>
      </c>
      <c r="J322" s="21" t="s">
        <v>24</v>
      </c>
      <c r="K322" s="21" t="s">
        <v>24</v>
      </c>
      <c r="L322" s="21" t="s">
        <v>24</v>
      </c>
      <c r="M322" s="0" t="n">
        <v>186</v>
      </c>
      <c r="N322" s="0" t="n">
        <v>1</v>
      </c>
      <c r="O322" s="21" t="s">
        <v>69</v>
      </c>
      <c r="P322" s="21" t="s">
        <v>4275</v>
      </c>
      <c r="Q322" s="0" t="n">
        <v>1</v>
      </c>
      <c r="R322" s="21" t="s">
        <v>69</v>
      </c>
      <c r="S322" s="0" t="n">
        <v>1</v>
      </c>
      <c r="T322" s="21" t="s">
        <v>69</v>
      </c>
      <c r="U322" s="22" t="b">
        <f aca="false">TRUE()</f>
        <v>1</v>
      </c>
      <c r="V322" s="0" t="n">
        <v>0.7</v>
      </c>
      <c r="W322" s="0" t="n">
        <v>0.36</v>
      </c>
      <c r="X322" s="0" t="n">
        <v>6.28</v>
      </c>
      <c r="Y322" s="0" t="n">
        <v>345.34</v>
      </c>
      <c r="Z322" s="0" t="n">
        <v>10.92</v>
      </c>
      <c r="AA322" s="0" t="n">
        <v>14.08</v>
      </c>
      <c r="AB322" s="0" t="n">
        <v>9.31</v>
      </c>
      <c r="AC322" s="22" t="b">
        <f aca="false">FALSE()</f>
        <v>0</v>
      </c>
      <c r="AD322" s="0" t="n">
        <v>19.01</v>
      </c>
      <c r="AE322" s="0" t="n">
        <v>1.67</v>
      </c>
      <c r="AF322" s="0" t="n">
        <v>7.39</v>
      </c>
      <c r="AG322" s="22" t="b">
        <f aca="false">TRUE()</f>
        <v>1</v>
      </c>
      <c r="AH322" s="0" t="n">
        <v>1</v>
      </c>
    </row>
    <row r="323" customFormat="false" ht="15" hidden="false" customHeight="false" outlineLevel="0" collapsed="false">
      <c r="A323" s="0" t="s">
        <v>650</v>
      </c>
      <c r="B323" s="0" t="s">
        <v>134</v>
      </c>
      <c r="C323" s="0" t="s">
        <v>3450</v>
      </c>
      <c r="D323" s="0" t="s">
        <v>3448</v>
      </c>
      <c r="E323" s="20" t="s">
        <v>25</v>
      </c>
      <c r="F323" s="23" t="s">
        <v>30</v>
      </c>
      <c r="G323" s="21" t="s">
        <v>283</v>
      </c>
      <c r="H323" s="21" t="s">
        <v>24</v>
      </c>
      <c r="I323" s="21" t="s">
        <v>25</v>
      </c>
      <c r="J323" s="21" t="s">
        <v>24</v>
      </c>
      <c r="K323" s="21" t="s">
        <v>24</v>
      </c>
      <c r="L323" s="21" t="s">
        <v>24</v>
      </c>
      <c r="M323" s="0" t="n">
        <v>184</v>
      </c>
      <c r="N323" s="0" t="n">
        <v>1</v>
      </c>
      <c r="O323" s="21" t="s">
        <v>69</v>
      </c>
      <c r="P323" s="21" t="s">
        <v>4275</v>
      </c>
      <c r="Q323" s="0" t="n">
        <v>1</v>
      </c>
      <c r="R323" s="21" t="s">
        <v>69</v>
      </c>
      <c r="S323" s="0" t="n">
        <v>1</v>
      </c>
      <c r="T323" s="21" t="s">
        <v>69</v>
      </c>
      <c r="U323" s="22" t="b">
        <f aca="false">TRUE()</f>
        <v>1</v>
      </c>
      <c r="V323" s="0" t="n">
        <v>0.69</v>
      </c>
      <c r="W323" s="0" t="n">
        <v>0.12</v>
      </c>
      <c r="X323" s="0" t="n">
        <v>6.96</v>
      </c>
      <c r="Y323" s="0" t="n">
        <v>630.8</v>
      </c>
      <c r="Z323" s="0" t="n">
        <v>11</v>
      </c>
      <c r="AA323" s="0" t="n">
        <v>13.92</v>
      </c>
      <c r="AB323" s="0" t="n">
        <v>8.85</v>
      </c>
      <c r="AC323" s="22" t="b">
        <f aca="false">FALSE()</f>
        <v>0</v>
      </c>
      <c r="AD323" s="0" t="n">
        <v>14.25</v>
      </c>
      <c r="AE323" s="0" t="n">
        <v>1.32</v>
      </c>
      <c r="AF323" s="0" t="n">
        <v>1.27</v>
      </c>
      <c r="AG323" s="22" t="b">
        <f aca="false">TRUE()</f>
        <v>1</v>
      </c>
      <c r="AH323" s="0" t="n">
        <v>1</v>
      </c>
    </row>
    <row r="324" customFormat="false" ht="15" hidden="false" customHeight="false" outlineLevel="0" collapsed="false">
      <c r="A324" s="0" t="s">
        <v>650</v>
      </c>
      <c r="B324" s="0" t="s">
        <v>134</v>
      </c>
      <c r="C324" s="0" t="s">
        <v>3447</v>
      </c>
      <c r="D324" s="0" t="s">
        <v>3457</v>
      </c>
      <c r="E324" s="20" t="s">
        <v>25</v>
      </c>
      <c r="F324" s="23" t="s">
        <v>30</v>
      </c>
      <c r="G324" s="21" t="s">
        <v>283</v>
      </c>
      <c r="H324" s="21" t="s">
        <v>24</v>
      </c>
      <c r="I324" s="21" t="s">
        <v>25</v>
      </c>
      <c r="J324" s="21" t="s">
        <v>24</v>
      </c>
      <c r="K324" s="21" t="s">
        <v>24</v>
      </c>
      <c r="L324" s="21" t="s">
        <v>24</v>
      </c>
      <c r="M324" s="0" t="n">
        <v>185</v>
      </c>
      <c r="N324" s="0" t="n">
        <v>1</v>
      </c>
      <c r="O324" s="21" t="s">
        <v>69</v>
      </c>
      <c r="P324" s="21" t="s">
        <v>4275</v>
      </c>
      <c r="Q324" s="0" t="n">
        <v>1</v>
      </c>
      <c r="R324" s="21" t="s">
        <v>69</v>
      </c>
      <c r="S324" s="0" t="n">
        <v>1</v>
      </c>
      <c r="T324" s="21" t="s">
        <v>69</v>
      </c>
      <c r="U324" s="22" t="b">
        <f aca="false">TRUE()</f>
        <v>1</v>
      </c>
      <c r="V324" s="0" t="n">
        <v>0.76</v>
      </c>
      <c r="W324" s="0" t="n">
        <v>0</v>
      </c>
      <c r="X324" s="0" t="n">
        <v>5.83</v>
      </c>
      <c r="Y324" s="0" t="n">
        <v>1.37</v>
      </c>
      <c r="Z324" s="0" t="n">
        <v>11.42</v>
      </c>
      <c r="AA324" s="0" t="n">
        <v>4.43</v>
      </c>
      <c r="AB324" s="0" t="n">
        <v>9.31</v>
      </c>
      <c r="AC324" s="22" t="b">
        <f aca="false">FALSE()</f>
        <v>0</v>
      </c>
      <c r="AD324" s="0" t="n">
        <v>17.73</v>
      </c>
      <c r="AE324" s="0" t="n">
        <v>0.7</v>
      </c>
      <c r="AF324" s="0" t="n">
        <v>3.51</v>
      </c>
      <c r="AG324" s="22" t="b">
        <f aca="false">TRUE()</f>
        <v>1</v>
      </c>
      <c r="AH324" s="0" t="n">
        <v>0</v>
      </c>
    </row>
    <row r="325" customFormat="false" ht="15" hidden="false" customHeight="false" outlineLevel="0" collapsed="false">
      <c r="A325" s="0" t="s">
        <v>650</v>
      </c>
      <c r="B325" s="0" t="s">
        <v>134</v>
      </c>
      <c r="C325" s="0" t="s">
        <v>3447</v>
      </c>
      <c r="D325" s="0" t="s">
        <v>3448</v>
      </c>
      <c r="E325" s="18" t="s">
        <v>24</v>
      </c>
      <c r="F325" s="18" t="s">
        <v>28</v>
      </c>
      <c r="H325" s="21" t="s">
        <v>24</v>
      </c>
      <c r="I325" s="21" t="s">
        <v>24</v>
      </c>
      <c r="J325" s="21" t="s">
        <v>24</v>
      </c>
      <c r="K325" s="21" t="s">
        <v>24</v>
      </c>
      <c r="L325" s="21" t="s">
        <v>24</v>
      </c>
      <c r="M325" s="0" t="n">
        <v>196</v>
      </c>
      <c r="N325" s="0" t="n">
        <v>0</v>
      </c>
      <c r="Q325" s="0" t="n">
        <v>0</v>
      </c>
      <c r="S325" s="0" t="n">
        <v>0</v>
      </c>
      <c r="U325" s="22" t="b">
        <f aca="false">FALSE()</f>
        <v>0</v>
      </c>
      <c r="V325" s="0" t="n">
        <v>0.8</v>
      </c>
      <c r="W325" s="0" t="n">
        <v>0</v>
      </c>
      <c r="X325" s="0" t="n">
        <v>7.42</v>
      </c>
      <c r="Y325" s="0" t="n">
        <v>730.74</v>
      </c>
      <c r="Z325" s="0" t="n">
        <v>11.25</v>
      </c>
      <c r="AA325" s="0" t="n">
        <v>2.64</v>
      </c>
      <c r="AB325" s="0" t="n">
        <v>8.85</v>
      </c>
      <c r="AC325" s="22" t="b">
        <f aca="false">FALSE()</f>
        <v>0</v>
      </c>
      <c r="AD325" s="0" t="n">
        <v>9.21</v>
      </c>
      <c r="AE325" s="0" t="n">
        <v>-0.44</v>
      </c>
      <c r="AF325" s="0" t="n">
        <v>1.8</v>
      </c>
      <c r="AG325" s="22" t="b">
        <f aca="false">FALSE()</f>
        <v>0</v>
      </c>
      <c r="AH325" s="0" t="n">
        <v>1</v>
      </c>
    </row>
    <row r="326" customFormat="false" ht="15" hidden="false" customHeight="false" outlineLevel="0" collapsed="false">
      <c r="A326" s="0" t="s">
        <v>656</v>
      </c>
      <c r="B326" s="0" t="s">
        <v>134</v>
      </c>
      <c r="C326" s="0" t="s">
        <v>3450</v>
      </c>
      <c r="D326" s="0" t="s">
        <v>3457</v>
      </c>
      <c r="E326" s="20" t="s">
        <v>25</v>
      </c>
      <c r="F326" s="23" t="s">
        <v>30</v>
      </c>
      <c r="G326" s="21" t="s">
        <v>283</v>
      </c>
      <c r="H326" s="21" t="s">
        <v>24</v>
      </c>
      <c r="I326" s="21" t="s">
        <v>25</v>
      </c>
      <c r="J326" s="21" t="s">
        <v>24</v>
      </c>
      <c r="K326" s="21" t="s">
        <v>24</v>
      </c>
      <c r="L326" s="21" t="s">
        <v>24</v>
      </c>
      <c r="M326" s="0" t="n">
        <v>186</v>
      </c>
      <c r="N326" s="0" t="n">
        <v>3</v>
      </c>
      <c r="O326" s="21" t="s">
        <v>3649</v>
      </c>
      <c r="P326" s="21" t="s">
        <v>4242</v>
      </c>
      <c r="Q326" s="0" t="n">
        <v>1</v>
      </c>
      <c r="R326" s="21" t="s">
        <v>69</v>
      </c>
      <c r="S326" s="0" t="n">
        <v>3</v>
      </c>
      <c r="T326" s="21" t="s">
        <v>3649</v>
      </c>
      <c r="U326" s="22" t="b">
        <f aca="false">TRUE()</f>
        <v>1</v>
      </c>
      <c r="V326" s="0" t="n">
        <v>0.72</v>
      </c>
      <c r="W326" s="0" t="n">
        <v>0.6</v>
      </c>
      <c r="X326" s="0" t="n">
        <v>5.4</v>
      </c>
      <c r="Y326" s="0" t="n">
        <v>320.04</v>
      </c>
      <c r="Z326" s="0" t="n">
        <v>10.25</v>
      </c>
      <c r="AA326" s="0" t="n">
        <v>8.04</v>
      </c>
      <c r="AB326" s="0" t="n">
        <v>5.6</v>
      </c>
      <c r="AC326" s="22" t="b">
        <f aca="false">FALSE()</f>
        <v>0</v>
      </c>
      <c r="AD326" s="0" t="n">
        <v>6.62</v>
      </c>
      <c r="AE326" s="0" t="n">
        <v>0.56</v>
      </c>
      <c r="AF326" s="0" t="n">
        <v>3.78</v>
      </c>
      <c r="AG326" s="22" t="b">
        <f aca="false">FALSE()</f>
        <v>0</v>
      </c>
      <c r="AH326" s="0" t="n">
        <v>1</v>
      </c>
    </row>
    <row r="327" customFormat="false" ht="15" hidden="false" customHeight="false" outlineLevel="0" collapsed="false">
      <c r="A327" s="0" t="s">
        <v>656</v>
      </c>
      <c r="B327" s="0" t="s">
        <v>134</v>
      </c>
      <c r="C327" s="0" t="s">
        <v>3450</v>
      </c>
      <c r="D327" s="0" t="s">
        <v>3448</v>
      </c>
      <c r="E327" s="20" t="s">
        <v>25</v>
      </c>
      <c r="F327" s="23" t="s">
        <v>30</v>
      </c>
      <c r="G327" s="21" t="s">
        <v>659</v>
      </c>
      <c r="H327" s="21" t="s">
        <v>25</v>
      </c>
      <c r="I327" s="21" t="s">
        <v>25</v>
      </c>
      <c r="J327" s="21" t="s">
        <v>24</v>
      </c>
      <c r="K327" s="21" t="s">
        <v>25</v>
      </c>
      <c r="L327" s="21" t="s">
        <v>24</v>
      </c>
      <c r="M327" s="0" t="n">
        <v>244</v>
      </c>
      <c r="N327" s="0" t="n">
        <v>3</v>
      </c>
      <c r="O327" s="21" t="s">
        <v>3719</v>
      </c>
      <c r="P327" s="21" t="s">
        <v>4389</v>
      </c>
      <c r="Q327" s="0" t="n">
        <v>1</v>
      </c>
      <c r="R327" s="21" t="s">
        <v>69</v>
      </c>
      <c r="S327" s="0" t="n">
        <v>3</v>
      </c>
      <c r="T327" s="21" t="s">
        <v>3719</v>
      </c>
      <c r="U327" s="22" t="b">
        <f aca="false">TRUE()</f>
        <v>1</v>
      </c>
      <c r="V327" s="0" t="n">
        <v>0.78</v>
      </c>
      <c r="W327" s="0" t="n">
        <v>0.52</v>
      </c>
      <c r="X327" s="0" t="n">
        <v>5.57</v>
      </c>
      <c r="Y327" s="0" t="n">
        <v>431.04</v>
      </c>
      <c r="Z327" s="0" t="n">
        <v>10.25</v>
      </c>
      <c r="AA327" s="0" t="n">
        <v>7.22</v>
      </c>
      <c r="AB327" s="0" t="n">
        <v>0.9</v>
      </c>
      <c r="AC327" s="22" t="b">
        <f aca="false">FALSE()</f>
        <v>0</v>
      </c>
      <c r="AD327" s="0" t="n">
        <v>7.16</v>
      </c>
      <c r="AE327" s="0" t="n">
        <v>0.71</v>
      </c>
      <c r="AF327" s="0" t="n">
        <v>5.07</v>
      </c>
      <c r="AG327" s="22" t="b">
        <f aca="false">FALSE()</f>
        <v>0</v>
      </c>
      <c r="AH327" s="0" t="n">
        <v>1</v>
      </c>
    </row>
    <row r="328" customFormat="false" ht="15" hidden="false" customHeight="false" outlineLevel="0" collapsed="false">
      <c r="A328" s="0" t="s">
        <v>656</v>
      </c>
      <c r="B328" s="0" t="s">
        <v>134</v>
      </c>
      <c r="C328" s="0" t="s">
        <v>3447</v>
      </c>
      <c r="D328" s="0" t="s">
        <v>3457</v>
      </c>
      <c r="E328" s="18" t="s">
        <v>24</v>
      </c>
      <c r="F328" s="23" t="s">
        <v>30</v>
      </c>
      <c r="G328" s="21" t="s">
        <v>30</v>
      </c>
      <c r="H328" s="21" t="s">
        <v>24</v>
      </c>
      <c r="I328" s="21" t="s">
        <v>24</v>
      </c>
      <c r="J328" s="21" t="s">
        <v>24</v>
      </c>
      <c r="K328" s="21" t="s">
        <v>24</v>
      </c>
      <c r="L328" s="21" t="s">
        <v>24</v>
      </c>
      <c r="M328" s="0" t="n">
        <v>195</v>
      </c>
      <c r="N328" s="0" t="n">
        <v>3</v>
      </c>
      <c r="O328" s="21" t="s">
        <v>3547</v>
      </c>
      <c r="P328" s="21" t="s">
        <v>4390</v>
      </c>
      <c r="Q328" s="0" t="n">
        <v>0</v>
      </c>
      <c r="S328" s="0" t="n">
        <v>3</v>
      </c>
      <c r="T328" s="21" t="s">
        <v>3547</v>
      </c>
      <c r="U328" s="22" t="b">
        <f aca="false">TRUE()</f>
        <v>1</v>
      </c>
      <c r="V328" s="0" t="n">
        <v>0.79</v>
      </c>
      <c r="W328" s="0" t="n">
        <v>0.72</v>
      </c>
      <c r="X328" s="0" t="n">
        <v>5.85</v>
      </c>
      <c r="Y328" s="0" t="n">
        <v>337.5</v>
      </c>
      <c r="Z328" s="0" t="n">
        <v>8.08</v>
      </c>
      <c r="AA328" s="0" t="n">
        <v>0.37</v>
      </c>
      <c r="AB328" s="0" t="n">
        <v>5.6</v>
      </c>
      <c r="AC328" s="22" t="b">
        <f aca="false">FALSE()</f>
        <v>0</v>
      </c>
      <c r="AD328" s="0" t="n">
        <v>6.03</v>
      </c>
      <c r="AE328" s="0" t="n">
        <v>0.72</v>
      </c>
      <c r="AF328" s="0" t="n">
        <v>4.57</v>
      </c>
      <c r="AG328" s="22" t="b">
        <f aca="false">FALSE()</f>
        <v>0</v>
      </c>
      <c r="AH328" s="0" t="n">
        <v>1</v>
      </c>
    </row>
    <row r="329" customFormat="false" ht="15" hidden="false" customHeight="false" outlineLevel="0" collapsed="false">
      <c r="A329" s="0" t="s">
        <v>656</v>
      </c>
      <c r="B329" s="0" t="s">
        <v>134</v>
      </c>
      <c r="C329" s="0" t="s">
        <v>3447</v>
      </c>
      <c r="D329" s="0" t="s">
        <v>3448</v>
      </c>
      <c r="E329" s="20" t="s">
        <v>25</v>
      </c>
      <c r="F329" s="23" t="s">
        <v>30</v>
      </c>
      <c r="G329" s="21" t="s">
        <v>2610</v>
      </c>
      <c r="H329" s="21" t="s">
        <v>24</v>
      </c>
      <c r="I329" s="21" t="s">
        <v>24</v>
      </c>
      <c r="J329" s="21" t="s">
        <v>24</v>
      </c>
      <c r="K329" s="21" t="s">
        <v>25</v>
      </c>
      <c r="L329" s="21" t="s">
        <v>24</v>
      </c>
      <c r="M329" s="0" t="n">
        <v>190</v>
      </c>
      <c r="N329" s="0" t="n">
        <v>1</v>
      </c>
      <c r="O329" s="21" t="s">
        <v>3481</v>
      </c>
      <c r="P329" s="21" t="s">
        <v>4251</v>
      </c>
      <c r="Q329" s="0" t="n">
        <v>0</v>
      </c>
      <c r="S329" s="0" t="n">
        <v>1</v>
      </c>
      <c r="T329" s="21" t="s">
        <v>3481</v>
      </c>
      <c r="U329" s="22" t="b">
        <f aca="false">TRUE()</f>
        <v>1</v>
      </c>
      <c r="V329" s="0" t="n">
        <v>0.83</v>
      </c>
      <c r="W329" s="0" t="n">
        <v>0.92</v>
      </c>
      <c r="X329" s="0" t="n">
        <v>7.29</v>
      </c>
      <c r="Y329" s="0" t="n">
        <v>315.28</v>
      </c>
      <c r="Z329" s="0" t="n">
        <v>8.5</v>
      </c>
      <c r="AA329" s="0" t="n">
        <v>-1.08</v>
      </c>
      <c r="AB329" s="0" t="n">
        <v>0.9</v>
      </c>
      <c r="AC329" s="22" t="b">
        <f aca="false">FALSE()</f>
        <v>0</v>
      </c>
      <c r="AD329" s="0" t="n">
        <v>4.99</v>
      </c>
      <c r="AE329" s="0" t="n">
        <v>4.65</v>
      </c>
      <c r="AF329" s="0" t="n">
        <v>3</v>
      </c>
      <c r="AG329" s="22" t="b">
        <f aca="false">FALSE()</f>
        <v>0</v>
      </c>
      <c r="AH329" s="0" t="n">
        <v>1</v>
      </c>
    </row>
    <row r="330" customFormat="false" ht="15" hidden="false" customHeight="false" outlineLevel="0" collapsed="false">
      <c r="A330" s="0" t="s">
        <v>663</v>
      </c>
      <c r="B330" s="0" t="s">
        <v>134</v>
      </c>
      <c r="C330" s="0" t="s">
        <v>3450</v>
      </c>
      <c r="D330" s="0" t="s">
        <v>3457</v>
      </c>
      <c r="E330" s="18" t="s">
        <v>24</v>
      </c>
      <c r="F330" s="18" t="s">
        <v>28</v>
      </c>
      <c r="H330" s="21" t="s">
        <v>24</v>
      </c>
      <c r="I330" s="21" t="s">
        <v>24</v>
      </c>
      <c r="J330" s="21" t="s">
        <v>24</v>
      </c>
      <c r="K330" s="21" t="s">
        <v>24</v>
      </c>
      <c r="L330" s="21" t="s">
        <v>24</v>
      </c>
      <c r="M330" s="0" t="n">
        <v>184</v>
      </c>
      <c r="N330" s="0" t="n">
        <v>0</v>
      </c>
      <c r="Q330" s="0" t="n">
        <v>0</v>
      </c>
      <c r="S330" s="0" t="n">
        <v>0</v>
      </c>
      <c r="U330" s="22" t="b">
        <f aca="false">FALSE()</f>
        <v>0</v>
      </c>
      <c r="V330" s="0" t="n">
        <v>0.59</v>
      </c>
      <c r="W330" s="0" t="n">
        <v>0.16</v>
      </c>
      <c r="X330" s="0" t="n">
        <v>7.63</v>
      </c>
      <c r="Y330" s="0" t="n">
        <v>536.43</v>
      </c>
      <c r="Z330" s="0" t="n">
        <v>11.5</v>
      </c>
      <c r="AA330" s="0" t="n">
        <v>17.83</v>
      </c>
      <c r="AB330" s="0" t="n">
        <v>13.8</v>
      </c>
      <c r="AC330" s="22" t="b">
        <f aca="false">FALSE()</f>
        <v>0</v>
      </c>
      <c r="AD330" s="0" t="n">
        <v>15.84</v>
      </c>
      <c r="AE330" s="0" t="n">
        <v>0.57</v>
      </c>
      <c r="AF330" s="0" t="n">
        <v>9.96</v>
      </c>
      <c r="AG330" s="22" t="b">
        <f aca="false">TRUE()</f>
        <v>1</v>
      </c>
      <c r="AH330" s="0" t="n">
        <v>1</v>
      </c>
    </row>
    <row r="331" customFormat="false" ht="15" hidden="false" customHeight="false" outlineLevel="0" collapsed="false">
      <c r="A331" s="0" t="s">
        <v>663</v>
      </c>
      <c r="B331" s="0" t="s">
        <v>134</v>
      </c>
      <c r="C331" s="0" t="s">
        <v>3450</v>
      </c>
      <c r="D331" s="0" t="s">
        <v>3448</v>
      </c>
      <c r="E331" s="18" t="s">
        <v>24</v>
      </c>
      <c r="F331" s="23" t="s">
        <v>30</v>
      </c>
      <c r="G331" s="21" t="s">
        <v>30</v>
      </c>
      <c r="H331" s="21" t="s">
        <v>24</v>
      </c>
      <c r="I331" s="21" t="s">
        <v>24</v>
      </c>
      <c r="J331" s="21" t="s">
        <v>24</v>
      </c>
      <c r="K331" s="21" t="s">
        <v>24</v>
      </c>
      <c r="L331" s="21" t="s">
        <v>24</v>
      </c>
      <c r="M331" s="0" t="n">
        <v>183</v>
      </c>
      <c r="N331" s="0" t="n">
        <v>1</v>
      </c>
      <c r="O331" s="21" t="s">
        <v>3476</v>
      </c>
      <c r="P331" s="21" t="s">
        <v>4228</v>
      </c>
      <c r="Q331" s="0" t="n">
        <v>0</v>
      </c>
      <c r="S331" s="0" t="n">
        <v>1</v>
      </c>
      <c r="T331" s="21" t="s">
        <v>3476</v>
      </c>
      <c r="U331" s="22" t="b">
        <f aca="false">TRUE()</f>
        <v>1</v>
      </c>
      <c r="V331" s="0" t="n">
        <v>0.61</v>
      </c>
      <c r="W331" s="0" t="n">
        <v>0.52</v>
      </c>
      <c r="X331" s="0" t="n">
        <v>6.76</v>
      </c>
      <c r="Y331" s="0" t="n">
        <v>328.16</v>
      </c>
      <c r="Z331" s="0" t="n">
        <v>11</v>
      </c>
      <c r="AA331" s="0" t="n">
        <v>14.56</v>
      </c>
      <c r="AB331" s="0" t="n">
        <v>4.32</v>
      </c>
      <c r="AC331" s="22" t="b">
        <f aca="false">FALSE()</f>
        <v>0</v>
      </c>
      <c r="AD331" s="0" t="n">
        <v>12.12</v>
      </c>
      <c r="AE331" s="0" t="n">
        <v>0.82</v>
      </c>
      <c r="AF331" s="0" t="n">
        <v>2.5</v>
      </c>
      <c r="AG331" s="22" t="b">
        <f aca="false">TRUE()</f>
        <v>1</v>
      </c>
      <c r="AH331" s="0" t="n">
        <v>1</v>
      </c>
    </row>
    <row r="332" customFormat="false" ht="15" hidden="false" customHeight="false" outlineLevel="0" collapsed="false">
      <c r="A332" s="0" t="s">
        <v>663</v>
      </c>
      <c r="B332" s="0" t="s">
        <v>134</v>
      </c>
      <c r="C332" s="0" t="s">
        <v>3447</v>
      </c>
      <c r="D332" s="0" t="s">
        <v>3457</v>
      </c>
      <c r="E332" s="20" t="s">
        <v>25</v>
      </c>
      <c r="F332" s="23" t="s">
        <v>30</v>
      </c>
      <c r="G332" s="21" t="s">
        <v>283</v>
      </c>
      <c r="H332" s="21" t="s">
        <v>24</v>
      </c>
      <c r="I332" s="21" t="s">
        <v>25</v>
      </c>
      <c r="J332" s="21" t="s">
        <v>24</v>
      </c>
      <c r="K332" s="21" t="s">
        <v>24</v>
      </c>
      <c r="L332" s="21" t="s">
        <v>24</v>
      </c>
      <c r="M332" s="0" t="n">
        <v>190</v>
      </c>
      <c r="N332" s="0" t="n">
        <v>1</v>
      </c>
      <c r="O332" s="21" t="s">
        <v>69</v>
      </c>
      <c r="P332" s="21" t="s">
        <v>4275</v>
      </c>
      <c r="Q332" s="0" t="n">
        <v>1</v>
      </c>
      <c r="R332" s="21" t="s">
        <v>69</v>
      </c>
      <c r="S332" s="0" t="n">
        <v>1</v>
      </c>
      <c r="T332" s="21" t="s">
        <v>69</v>
      </c>
      <c r="U332" s="22" t="b">
        <f aca="false">TRUE()</f>
        <v>1</v>
      </c>
      <c r="V332" s="0" t="n">
        <v>0.71</v>
      </c>
      <c r="W332" s="0" t="n">
        <v>0.2</v>
      </c>
      <c r="X332" s="0" t="n">
        <v>5.46</v>
      </c>
      <c r="Y332" s="0" t="n">
        <v>515.81</v>
      </c>
      <c r="Z332" s="0" t="n">
        <v>10.25</v>
      </c>
      <c r="AA332" s="0" t="n">
        <v>4.02</v>
      </c>
      <c r="AB332" s="0" t="n">
        <v>13.8</v>
      </c>
      <c r="AC332" s="22" t="b">
        <f aca="false">FALSE()</f>
        <v>0</v>
      </c>
      <c r="AD332" s="0" t="n">
        <v>16.81</v>
      </c>
      <c r="AE332" s="0" t="n">
        <v>0.63</v>
      </c>
      <c r="AF332" s="0" t="n">
        <v>10.59</v>
      </c>
      <c r="AG332" s="22" t="b">
        <f aca="false">TRUE()</f>
        <v>1</v>
      </c>
      <c r="AH332" s="0" t="n">
        <v>1</v>
      </c>
    </row>
    <row r="333" customFormat="false" ht="15" hidden="false" customHeight="false" outlineLevel="0" collapsed="false">
      <c r="A333" s="0" t="s">
        <v>663</v>
      </c>
      <c r="B333" s="0" t="s">
        <v>134</v>
      </c>
      <c r="C333" s="0" t="s">
        <v>3447</v>
      </c>
      <c r="D333" s="0" t="s">
        <v>3448</v>
      </c>
      <c r="E333" s="20" t="s">
        <v>25</v>
      </c>
      <c r="F333" s="23" t="s">
        <v>30</v>
      </c>
      <c r="G333" s="21" t="s">
        <v>283</v>
      </c>
      <c r="H333" s="21" t="s">
        <v>24</v>
      </c>
      <c r="I333" s="21" t="s">
        <v>25</v>
      </c>
      <c r="J333" s="21" t="s">
        <v>24</v>
      </c>
      <c r="K333" s="21" t="s">
        <v>24</v>
      </c>
      <c r="L333" s="21" t="s">
        <v>24</v>
      </c>
      <c r="M333" s="0" t="n">
        <v>186</v>
      </c>
      <c r="N333" s="0" t="n">
        <v>2</v>
      </c>
      <c r="O333" s="21" t="s">
        <v>3566</v>
      </c>
      <c r="P333" s="21" t="s">
        <v>4238</v>
      </c>
      <c r="Q333" s="0" t="n">
        <v>1</v>
      </c>
      <c r="R333" s="21" t="s">
        <v>69</v>
      </c>
      <c r="S333" s="0" t="n">
        <v>2</v>
      </c>
      <c r="T333" s="21" t="s">
        <v>3566</v>
      </c>
      <c r="U333" s="22" t="b">
        <f aca="false">TRUE()</f>
        <v>1</v>
      </c>
      <c r="V333" s="0" t="n">
        <v>0.69</v>
      </c>
      <c r="W333" s="0" t="n">
        <v>0</v>
      </c>
      <c r="X333" s="0" t="n">
        <v>5.78</v>
      </c>
      <c r="Y333" s="0" t="n">
        <v>702.17</v>
      </c>
      <c r="Z333" s="0" t="n">
        <v>10.25</v>
      </c>
      <c r="AA333" s="0" t="n">
        <v>5.9</v>
      </c>
      <c r="AB333" s="0" t="n">
        <v>4.32</v>
      </c>
      <c r="AC333" s="22" t="b">
        <f aca="false">FALSE()</f>
        <v>0</v>
      </c>
      <c r="AD333" s="0" t="n">
        <v>11</v>
      </c>
      <c r="AE333" s="0" t="n">
        <v>0.88</v>
      </c>
      <c r="AF333" s="0" t="n">
        <v>2.7</v>
      </c>
      <c r="AG333" s="22" t="b">
        <f aca="false">TRUE()</f>
        <v>1</v>
      </c>
      <c r="AH333" s="0" t="n">
        <v>1</v>
      </c>
    </row>
    <row r="334" customFormat="false" ht="15" hidden="false" customHeight="false" outlineLevel="0" collapsed="false">
      <c r="A334" s="0" t="s">
        <v>669</v>
      </c>
      <c r="B334" s="0" t="s">
        <v>134</v>
      </c>
      <c r="C334" s="0" t="s">
        <v>3450</v>
      </c>
      <c r="D334" s="0" t="s">
        <v>3457</v>
      </c>
      <c r="E334" s="18" t="s">
        <v>24</v>
      </c>
      <c r="F334" s="18" t="s">
        <v>28</v>
      </c>
      <c r="H334" s="21" t="s">
        <v>24</v>
      </c>
      <c r="I334" s="21" t="s">
        <v>24</v>
      </c>
      <c r="J334" s="21" t="s">
        <v>24</v>
      </c>
      <c r="K334" s="21" t="s">
        <v>24</v>
      </c>
      <c r="L334" s="21" t="s">
        <v>24</v>
      </c>
      <c r="M334" s="0" t="n">
        <v>183</v>
      </c>
      <c r="N334" s="0" t="n">
        <v>0</v>
      </c>
      <c r="Q334" s="0" t="n">
        <v>0</v>
      </c>
      <c r="S334" s="0" t="n">
        <v>0</v>
      </c>
      <c r="U334" s="22" t="b">
        <f aca="false">FALSE()</f>
        <v>0</v>
      </c>
      <c r="V334" s="0" t="n">
        <v>0.69</v>
      </c>
      <c r="W334" s="0" t="n">
        <v>0.72</v>
      </c>
      <c r="X334" s="0" t="n">
        <v>8.17</v>
      </c>
      <c r="Y334" s="0" t="n">
        <v>319.35</v>
      </c>
      <c r="Z334" s="0" t="n">
        <v>11</v>
      </c>
      <c r="AA334" s="0" t="n">
        <v>16.81</v>
      </c>
      <c r="AB334" s="0" t="n">
        <v>13.85</v>
      </c>
      <c r="AC334" s="22" t="b">
        <f aca="false">FALSE()</f>
        <v>0</v>
      </c>
      <c r="AD334" s="0" t="n">
        <v>8.99</v>
      </c>
      <c r="AE334" s="0" t="n">
        <v>0.69</v>
      </c>
      <c r="AF334" s="0" t="n">
        <v>14.96</v>
      </c>
      <c r="AG334" s="22" t="b">
        <f aca="false">FALSE()</f>
        <v>0</v>
      </c>
      <c r="AH334" s="0" t="n">
        <v>1</v>
      </c>
    </row>
    <row r="335" customFormat="false" ht="15" hidden="false" customHeight="false" outlineLevel="0" collapsed="false">
      <c r="A335" s="0" t="s">
        <v>669</v>
      </c>
      <c r="B335" s="0" t="s">
        <v>134</v>
      </c>
      <c r="C335" s="0" t="s">
        <v>3450</v>
      </c>
      <c r="D335" s="0" t="s">
        <v>3448</v>
      </c>
      <c r="E335" s="18" t="s">
        <v>24</v>
      </c>
      <c r="F335" s="18" t="s">
        <v>28</v>
      </c>
      <c r="H335" s="21" t="s">
        <v>24</v>
      </c>
      <c r="I335" s="21" t="s">
        <v>24</v>
      </c>
      <c r="J335" s="21" t="s">
        <v>24</v>
      </c>
      <c r="K335" s="21" t="s">
        <v>24</v>
      </c>
      <c r="L335" s="21" t="s">
        <v>24</v>
      </c>
      <c r="M335" s="0" t="n">
        <v>197</v>
      </c>
      <c r="N335" s="0" t="n">
        <v>0</v>
      </c>
      <c r="Q335" s="0" t="n">
        <v>0</v>
      </c>
      <c r="S335" s="0" t="n">
        <v>0</v>
      </c>
      <c r="U335" s="22" t="b">
        <f aca="false">FALSE()</f>
        <v>0</v>
      </c>
      <c r="V335" s="0" t="n">
        <v>0.68</v>
      </c>
      <c r="W335" s="0" t="n">
        <v>0.12</v>
      </c>
      <c r="X335" s="0" t="n">
        <v>7.82</v>
      </c>
      <c r="Y335" s="0" t="n">
        <v>664.72</v>
      </c>
      <c r="Z335" s="0" t="n">
        <v>10.5</v>
      </c>
      <c r="AA335" s="0" t="n">
        <v>17.13</v>
      </c>
      <c r="AB335" s="0" t="n">
        <v>13.08</v>
      </c>
      <c r="AC335" s="22" t="b">
        <f aca="false">FALSE()</f>
        <v>0</v>
      </c>
      <c r="AD335" s="0" t="n">
        <v>10.74</v>
      </c>
      <c r="AE335" s="0" t="n">
        <v>0.75</v>
      </c>
      <c r="AF335" s="0" t="n">
        <v>7.29</v>
      </c>
      <c r="AG335" s="22" t="b">
        <f aca="false">TRUE()</f>
        <v>1</v>
      </c>
      <c r="AH335" s="0" t="n">
        <v>1</v>
      </c>
    </row>
    <row r="336" customFormat="false" ht="15" hidden="false" customHeight="false" outlineLevel="0" collapsed="false">
      <c r="A336" s="0" t="s">
        <v>669</v>
      </c>
      <c r="B336" s="0" t="s">
        <v>134</v>
      </c>
      <c r="C336" s="0" t="s">
        <v>3447</v>
      </c>
      <c r="D336" s="0" t="s">
        <v>3457</v>
      </c>
      <c r="E336" s="18" t="s">
        <v>24</v>
      </c>
      <c r="F336" s="18" t="s">
        <v>28</v>
      </c>
      <c r="H336" s="21" t="s">
        <v>24</v>
      </c>
      <c r="I336" s="21" t="s">
        <v>24</v>
      </c>
      <c r="J336" s="21" t="s">
        <v>24</v>
      </c>
      <c r="K336" s="21" t="s">
        <v>24</v>
      </c>
      <c r="L336" s="21" t="s">
        <v>24</v>
      </c>
      <c r="M336" s="0" t="n">
        <v>183</v>
      </c>
      <c r="N336" s="0" t="n">
        <v>0</v>
      </c>
      <c r="Q336" s="0" t="n">
        <v>0</v>
      </c>
      <c r="S336" s="0" t="n">
        <v>0</v>
      </c>
      <c r="U336" s="22" t="b">
        <f aca="false">FALSE()</f>
        <v>0</v>
      </c>
      <c r="V336" s="0" t="n">
        <v>0.73</v>
      </c>
      <c r="W336" s="0" t="n">
        <v>0.56</v>
      </c>
      <c r="X336" s="0" t="n">
        <v>6.06</v>
      </c>
      <c r="Y336" s="0" t="n">
        <v>324.35</v>
      </c>
      <c r="Z336" s="0" t="n">
        <v>10.75</v>
      </c>
      <c r="AA336" s="0" t="n">
        <v>4.48</v>
      </c>
      <c r="AB336" s="0" t="n">
        <v>13.85</v>
      </c>
      <c r="AC336" s="22" t="b">
        <f aca="false">FALSE()</f>
        <v>0</v>
      </c>
      <c r="AD336" s="0" t="n">
        <v>9.67</v>
      </c>
      <c r="AE336" s="0" t="n">
        <v>0.37</v>
      </c>
      <c r="AF336" s="0" t="n">
        <v>15.16</v>
      </c>
      <c r="AG336" s="22" t="b">
        <f aca="false">FALSE()</f>
        <v>0</v>
      </c>
      <c r="AH336" s="0" t="n">
        <v>1</v>
      </c>
    </row>
    <row r="337" customFormat="false" ht="15" hidden="false" customHeight="false" outlineLevel="0" collapsed="false">
      <c r="A337" s="0" t="s">
        <v>669</v>
      </c>
      <c r="B337" s="0" t="s">
        <v>134</v>
      </c>
      <c r="C337" s="0" t="s">
        <v>3447</v>
      </c>
      <c r="D337" s="0" t="s">
        <v>3448</v>
      </c>
      <c r="E337" s="18" t="s">
        <v>24</v>
      </c>
      <c r="F337" s="23" t="s">
        <v>30</v>
      </c>
      <c r="G337" s="21" t="s">
        <v>30</v>
      </c>
      <c r="H337" s="21" t="s">
        <v>24</v>
      </c>
      <c r="I337" s="21" t="s">
        <v>24</v>
      </c>
      <c r="J337" s="21" t="s">
        <v>24</v>
      </c>
      <c r="K337" s="21" t="s">
        <v>24</v>
      </c>
      <c r="L337" s="21" t="s">
        <v>24</v>
      </c>
      <c r="M337" s="0" t="n">
        <v>185</v>
      </c>
      <c r="N337" s="0" t="n">
        <v>5</v>
      </c>
      <c r="O337" s="21" t="s">
        <v>3702</v>
      </c>
      <c r="P337" s="21" t="s">
        <v>4391</v>
      </c>
      <c r="Q337" s="0" t="n">
        <v>0</v>
      </c>
      <c r="S337" s="0" t="n">
        <v>5</v>
      </c>
      <c r="T337" s="21" t="s">
        <v>3702</v>
      </c>
      <c r="U337" s="22" t="b">
        <f aca="false">TRUE()</f>
        <v>1</v>
      </c>
      <c r="V337" s="0" t="n">
        <v>0.78</v>
      </c>
      <c r="W337" s="0" t="n">
        <v>0.76</v>
      </c>
      <c r="X337" s="0" t="n">
        <v>6.7</v>
      </c>
      <c r="Y337" s="0" t="n">
        <v>323.09</v>
      </c>
      <c r="Z337" s="0" t="n">
        <v>8.75</v>
      </c>
      <c r="AA337" s="0" t="n">
        <v>5.99</v>
      </c>
      <c r="AB337" s="0" t="n">
        <v>13.08</v>
      </c>
      <c r="AC337" s="22" t="b">
        <f aca="false">FALSE()</f>
        <v>0</v>
      </c>
      <c r="AD337" s="0" t="n">
        <v>10.79</v>
      </c>
      <c r="AE337" s="0" t="n">
        <v>0.46</v>
      </c>
      <c r="AF337" s="0" t="n">
        <v>7.89</v>
      </c>
      <c r="AG337" s="22" t="b">
        <f aca="false">TRUE()</f>
        <v>1</v>
      </c>
      <c r="AH337" s="0" t="n">
        <v>1</v>
      </c>
    </row>
    <row r="338" customFormat="false" ht="15" hidden="false" customHeight="false" outlineLevel="0" collapsed="false">
      <c r="A338" s="0" t="s">
        <v>669</v>
      </c>
      <c r="B338" s="0" t="s">
        <v>3459</v>
      </c>
      <c r="C338" s="0" t="s">
        <v>3450</v>
      </c>
      <c r="D338" s="0" t="s">
        <v>3457</v>
      </c>
      <c r="E338" s="20" t="s">
        <v>25</v>
      </c>
      <c r="F338" s="23" t="s">
        <v>30</v>
      </c>
      <c r="G338" s="21" t="s">
        <v>283</v>
      </c>
      <c r="H338" s="21" t="s">
        <v>24</v>
      </c>
      <c r="I338" s="21" t="s">
        <v>25</v>
      </c>
      <c r="J338" s="21" t="s">
        <v>24</v>
      </c>
      <c r="K338" s="21" t="s">
        <v>24</v>
      </c>
      <c r="L338" s="21" t="s">
        <v>24</v>
      </c>
      <c r="M338" s="0" t="n">
        <v>183</v>
      </c>
      <c r="N338" s="0" t="n">
        <v>2</v>
      </c>
      <c r="O338" s="21" t="s">
        <v>3575</v>
      </c>
      <c r="P338" s="21" t="s">
        <v>4265</v>
      </c>
      <c r="Q338" s="0" t="n">
        <v>1</v>
      </c>
      <c r="R338" s="21" t="s">
        <v>69</v>
      </c>
      <c r="S338" s="0" t="n">
        <v>2</v>
      </c>
      <c r="T338" s="21" t="s">
        <v>3575</v>
      </c>
      <c r="U338" s="22" t="b">
        <f aca="false">TRUE()</f>
        <v>1</v>
      </c>
      <c r="V338" s="0" t="n">
        <v>0.68</v>
      </c>
      <c r="W338" s="0" t="n">
        <v>0.52</v>
      </c>
      <c r="X338" s="0" t="n">
        <v>6.89</v>
      </c>
      <c r="Y338" s="0" t="n">
        <v>298.35</v>
      </c>
      <c r="Z338" s="0" t="n">
        <v>11</v>
      </c>
      <c r="AA338" s="0" t="n">
        <v>15.57</v>
      </c>
      <c r="AB338" s="0" t="n">
        <v>13.52</v>
      </c>
      <c r="AC338" s="22" t="b">
        <f aca="false">FALSE()</f>
        <v>0</v>
      </c>
      <c r="AD338" s="0" t="n">
        <v>5.62</v>
      </c>
      <c r="AE338" s="0" t="n">
        <v>0.65</v>
      </c>
      <c r="AF338" s="0" t="n">
        <v>9.01</v>
      </c>
      <c r="AG338" s="22" t="b">
        <f aca="false">FALSE()</f>
        <v>0</v>
      </c>
      <c r="AH338" s="0" t="n">
        <v>1</v>
      </c>
    </row>
    <row r="339" customFormat="false" ht="15" hidden="false" customHeight="false" outlineLevel="0" collapsed="false">
      <c r="A339" s="0" t="s">
        <v>669</v>
      </c>
      <c r="B339" s="0" t="s">
        <v>3459</v>
      </c>
      <c r="C339" s="0" t="s">
        <v>3450</v>
      </c>
      <c r="D339" s="0" t="s">
        <v>3448</v>
      </c>
      <c r="E339" s="20" t="s">
        <v>25</v>
      </c>
      <c r="F339" s="20" t="s">
        <v>29</v>
      </c>
      <c r="G339" s="21" t="s">
        <v>63</v>
      </c>
      <c r="H339" s="21" t="s">
        <v>24</v>
      </c>
      <c r="I339" s="21" t="s">
        <v>24</v>
      </c>
      <c r="J339" s="21" t="s">
        <v>24</v>
      </c>
      <c r="K339" s="21" t="s">
        <v>25</v>
      </c>
      <c r="L339" s="21" t="s">
        <v>24</v>
      </c>
      <c r="M339" s="0" t="n">
        <v>183</v>
      </c>
      <c r="N339" s="0" t="n">
        <v>0</v>
      </c>
      <c r="Q339" s="0" t="n">
        <v>0</v>
      </c>
      <c r="S339" s="0" t="n">
        <v>0</v>
      </c>
      <c r="U339" s="22" t="b">
        <f aca="false">FALSE()</f>
        <v>0</v>
      </c>
      <c r="V339" s="0" t="n">
        <v>0.69</v>
      </c>
      <c r="W339" s="0" t="n">
        <v>0.44</v>
      </c>
      <c r="X339" s="0" t="n">
        <v>7.52</v>
      </c>
      <c r="Y339" s="0" t="n">
        <v>344.14</v>
      </c>
      <c r="Z339" s="0" t="n">
        <v>10.5</v>
      </c>
      <c r="AA339" s="0" t="n">
        <v>16.78</v>
      </c>
      <c r="AB339" s="0" t="n">
        <v>1.16</v>
      </c>
      <c r="AC339" s="22" t="b">
        <f aca="false">FALSE()</f>
        <v>0</v>
      </c>
      <c r="AD339" s="0" t="n">
        <v>8.15</v>
      </c>
      <c r="AE339" s="0" t="n">
        <v>1.01</v>
      </c>
      <c r="AF339" s="0" t="n">
        <v>11.23</v>
      </c>
      <c r="AG339" s="22" t="b">
        <f aca="false">FALSE()</f>
        <v>0</v>
      </c>
      <c r="AH339" s="0" t="n">
        <v>1</v>
      </c>
    </row>
    <row r="340" customFormat="false" ht="15" hidden="false" customHeight="false" outlineLevel="0" collapsed="false">
      <c r="A340" s="0" t="s">
        <v>669</v>
      </c>
      <c r="B340" s="0" t="s">
        <v>3459</v>
      </c>
      <c r="C340" s="0" t="s">
        <v>3447</v>
      </c>
      <c r="D340" s="0" t="s">
        <v>3457</v>
      </c>
      <c r="E340" s="19" t="s">
        <v>26</v>
      </c>
      <c r="F340" s="19" t="s">
        <v>32</v>
      </c>
      <c r="G340" s="21" t="s">
        <v>529</v>
      </c>
      <c r="H340" s="21" t="s">
        <v>24</v>
      </c>
      <c r="I340" s="21" t="s">
        <v>26</v>
      </c>
      <c r="J340" s="21" t="s">
        <v>24</v>
      </c>
      <c r="K340" s="21" t="s">
        <v>24</v>
      </c>
      <c r="L340" s="21" t="s">
        <v>24</v>
      </c>
      <c r="M340" s="0" t="n">
        <v>183</v>
      </c>
      <c r="N340" s="0" t="n">
        <v>11</v>
      </c>
      <c r="O340" s="21" t="s">
        <v>4055</v>
      </c>
      <c r="P340" s="21" t="s">
        <v>4392</v>
      </c>
      <c r="Q340" s="0" t="n">
        <v>1</v>
      </c>
      <c r="R340" s="21" t="s">
        <v>69</v>
      </c>
      <c r="S340" s="0" t="n">
        <v>11</v>
      </c>
      <c r="T340" s="21" t="s">
        <v>4055</v>
      </c>
      <c r="U340" s="22" t="b">
        <f aca="false">FALSE()</f>
        <v>0</v>
      </c>
      <c r="V340" s="0" t="n">
        <v>0.76</v>
      </c>
      <c r="W340" s="0" t="n">
        <v>0.6</v>
      </c>
      <c r="X340" s="0" t="n">
        <v>5.93</v>
      </c>
      <c r="Y340" s="0" t="n">
        <v>304.54</v>
      </c>
      <c r="Z340" s="0" t="n">
        <v>8</v>
      </c>
      <c r="AA340" s="0" t="n">
        <v>-0.17</v>
      </c>
      <c r="AB340" s="0" t="n">
        <v>13.52</v>
      </c>
      <c r="AC340" s="22" t="b">
        <f aca="false">FALSE()</f>
        <v>0</v>
      </c>
      <c r="AD340" s="0" t="n">
        <v>7.43</v>
      </c>
      <c r="AE340" s="0" t="n">
        <v>0.69</v>
      </c>
      <c r="AF340" s="0" t="n">
        <v>11.43</v>
      </c>
      <c r="AG340" s="22" t="b">
        <f aca="false">FALSE()</f>
        <v>0</v>
      </c>
      <c r="AH340" s="0" t="n">
        <v>1</v>
      </c>
    </row>
    <row r="341" customFormat="false" ht="15" hidden="false" customHeight="false" outlineLevel="0" collapsed="false">
      <c r="A341" s="0" t="s">
        <v>669</v>
      </c>
      <c r="B341" s="0" t="s">
        <v>3459</v>
      </c>
      <c r="C341" s="0" t="s">
        <v>3447</v>
      </c>
      <c r="D341" s="0" t="s">
        <v>3448</v>
      </c>
      <c r="E341" s="19" t="s">
        <v>26</v>
      </c>
      <c r="F341" s="19" t="s">
        <v>32</v>
      </c>
      <c r="G341" s="21" t="s">
        <v>1451</v>
      </c>
      <c r="H341" s="21" t="s">
        <v>24</v>
      </c>
      <c r="I341" s="21" t="s">
        <v>26</v>
      </c>
      <c r="J341" s="21" t="s">
        <v>24</v>
      </c>
      <c r="K341" s="21" t="s">
        <v>25</v>
      </c>
      <c r="L341" s="21" t="s">
        <v>24</v>
      </c>
      <c r="M341" s="0" t="n">
        <v>186</v>
      </c>
      <c r="N341" s="0" t="n">
        <v>8</v>
      </c>
      <c r="O341" s="21" t="s">
        <v>4028</v>
      </c>
      <c r="P341" s="21" t="s">
        <v>4393</v>
      </c>
      <c r="Q341" s="0" t="n">
        <v>1</v>
      </c>
      <c r="R341" s="21" t="s">
        <v>69</v>
      </c>
      <c r="S341" s="0" t="n">
        <v>8</v>
      </c>
      <c r="T341" s="21" t="s">
        <v>4028</v>
      </c>
      <c r="U341" s="22" t="b">
        <f aca="false">FALSE()</f>
        <v>0</v>
      </c>
      <c r="V341" s="0" t="n">
        <v>0.71</v>
      </c>
      <c r="W341" s="0" t="n">
        <v>0.88</v>
      </c>
      <c r="X341" s="0" t="n">
        <v>6.45</v>
      </c>
      <c r="Y341" s="0" t="n">
        <v>324.14</v>
      </c>
      <c r="Z341" s="0" t="n">
        <v>8</v>
      </c>
      <c r="AA341" s="0" t="n">
        <v>-0.87</v>
      </c>
      <c r="AB341" s="0" t="n">
        <v>1.16</v>
      </c>
      <c r="AC341" s="22" t="b">
        <f aca="false">FALSE()</f>
        <v>0</v>
      </c>
      <c r="AD341" s="0" t="n">
        <v>1.53</v>
      </c>
      <c r="AE341" s="0" t="n">
        <v>0.41</v>
      </c>
      <c r="AF341" s="0" t="n">
        <v>4.81</v>
      </c>
      <c r="AG341" s="22" t="b">
        <f aca="false">FALSE()</f>
        <v>0</v>
      </c>
      <c r="AH341" s="0" t="n">
        <v>1</v>
      </c>
    </row>
    <row r="342" customFormat="false" ht="15" hidden="false" customHeight="false" outlineLevel="0" collapsed="false">
      <c r="A342" s="0" t="s">
        <v>676</v>
      </c>
      <c r="B342" s="0" t="s">
        <v>134</v>
      </c>
      <c r="C342" s="0" t="s">
        <v>3450</v>
      </c>
      <c r="D342" s="0" t="s">
        <v>3457</v>
      </c>
      <c r="E342" s="18" t="s">
        <v>24</v>
      </c>
      <c r="F342" s="18" t="s">
        <v>28</v>
      </c>
      <c r="H342" s="21" t="s">
        <v>24</v>
      </c>
      <c r="I342" s="21" t="s">
        <v>24</v>
      </c>
      <c r="J342" s="21" t="s">
        <v>24</v>
      </c>
      <c r="K342" s="21" t="s">
        <v>24</v>
      </c>
      <c r="L342" s="21" t="s">
        <v>24</v>
      </c>
      <c r="M342" s="0" t="n">
        <v>195</v>
      </c>
      <c r="N342" s="0" t="n">
        <v>0</v>
      </c>
      <c r="Q342" s="0" t="n">
        <v>0</v>
      </c>
      <c r="S342" s="0" t="n">
        <v>0</v>
      </c>
      <c r="U342" s="22" t="b">
        <f aca="false">FALSE()</f>
        <v>0</v>
      </c>
      <c r="V342" s="0" t="n">
        <v>0.7</v>
      </c>
      <c r="W342" s="0" t="n">
        <v>0</v>
      </c>
      <c r="X342" s="0" t="n">
        <v>10.13</v>
      </c>
      <c r="Y342" s="0" t="n">
        <v>0.31</v>
      </c>
      <c r="Z342" s="0" t="n">
        <v>9.17</v>
      </c>
      <c r="AA342" s="0" t="n">
        <v>12.94</v>
      </c>
      <c r="AB342" s="0" t="n">
        <v>4.59</v>
      </c>
      <c r="AC342" s="22" t="b">
        <f aca="false">FALSE()</f>
        <v>0</v>
      </c>
      <c r="AD342" s="0" t="n">
        <v>6.78</v>
      </c>
      <c r="AE342" s="0" t="n">
        <v>1.05</v>
      </c>
      <c r="AF342" s="0" t="n">
        <v>13.44</v>
      </c>
      <c r="AG342" s="22" t="b">
        <f aca="false">FALSE()</f>
        <v>0</v>
      </c>
      <c r="AH342" s="0" t="n">
        <v>0</v>
      </c>
    </row>
    <row r="343" customFormat="false" ht="15" hidden="false" customHeight="false" outlineLevel="0" collapsed="false">
      <c r="A343" s="0" t="s">
        <v>676</v>
      </c>
      <c r="B343" s="0" t="s">
        <v>134</v>
      </c>
      <c r="C343" s="0" t="s">
        <v>3450</v>
      </c>
      <c r="D343" s="0" t="s">
        <v>3448</v>
      </c>
      <c r="E343" s="20" t="s">
        <v>25</v>
      </c>
      <c r="F343" s="20" t="s">
        <v>29</v>
      </c>
      <c r="G343" s="21" t="s">
        <v>63</v>
      </c>
      <c r="H343" s="21" t="s">
        <v>24</v>
      </c>
      <c r="I343" s="21" t="s">
        <v>24</v>
      </c>
      <c r="J343" s="21" t="s">
        <v>24</v>
      </c>
      <c r="K343" s="21" t="s">
        <v>25</v>
      </c>
      <c r="L343" s="21" t="s">
        <v>24</v>
      </c>
      <c r="M343" s="0" t="n">
        <v>190</v>
      </c>
      <c r="N343" s="0" t="n">
        <v>0</v>
      </c>
      <c r="Q343" s="0" t="n">
        <v>0</v>
      </c>
      <c r="S343" s="0" t="n">
        <v>0</v>
      </c>
      <c r="U343" s="22" t="b">
        <f aca="false">FALSE()</f>
        <v>0</v>
      </c>
      <c r="V343" s="0" t="n">
        <v>0.73</v>
      </c>
      <c r="W343" s="0" t="n">
        <v>0.64</v>
      </c>
      <c r="X343" s="0" t="n">
        <v>10.55</v>
      </c>
      <c r="Y343" s="0" t="n">
        <v>331.22</v>
      </c>
      <c r="Z343" s="0" t="n">
        <v>8.58</v>
      </c>
      <c r="AA343" s="0" t="n">
        <v>4.16</v>
      </c>
      <c r="AB343" s="0" t="n">
        <v>1.15</v>
      </c>
      <c r="AC343" s="22" t="b">
        <f aca="false">FALSE()</f>
        <v>0</v>
      </c>
      <c r="AD343" s="0" t="n">
        <v>2.46</v>
      </c>
      <c r="AE343" s="0" t="n">
        <v>0.33</v>
      </c>
      <c r="AF343" s="0" t="n">
        <v>11.89</v>
      </c>
      <c r="AG343" s="22" t="b">
        <f aca="false">FALSE()</f>
        <v>0</v>
      </c>
      <c r="AH343" s="0" t="n">
        <v>1</v>
      </c>
    </row>
    <row r="344" customFormat="false" ht="15" hidden="false" customHeight="false" outlineLevel="0" collapsed="false">
      <c r="A344" s="0" t="s">
        <v>676</v>
      </c>
      <c r="B344" s="0" t="s">
        <v>134</v>
      </c>
      <c r="C344" s="0" t="s">
        <v>3447</v>
      </c>
      <c r="D344" s="0" t="s">
        <v>3457</v>
      </c>
      <c r="E344" s="18" t="s">
        <v>24</v>
      </c>
      <c r="F344" s="23" t="s">
        <v>30</v>
      </c>
      <c r="G344" s="21" t="s">
        <v>30</v>
      </c>
      <c r="H344" s="21" t="s">
        <v>24</v>
      </c>
      <c r="I344" s="21" t="s">
        <v>24</v>
      </c>
      <c r="J344" s="21" t="s">
        <v>24</v>
      </c>
      <c r="K344" s="21" t="s">
        <v>24</v>
      </c>
      <c r="L344" s="21" t="s">
        <v>24</v>
      </c>
      <c r="M344" s="0" t="n">
        <v>188</v>
      </c>
      <c r="N344" s="0" t="n">
        <v>3</v>
      </c>
      <c r="O344" s="21" t="s">
        <v>3545</v>
      </c>
      <c r="P344" s="21" t="s">
        <v>4303</v>
      </c>
      <c r="Q344" s="0" t="n">
        <v>0</v>
      </c>
      <c r="S344" s="0" t="n">
        <v>3</v>
      </c>
      <c r="T344" s="21" t="s">
        <v>3545</v>
      </c>
      <c r="U344" s="22" t="b">
        <f aca="false">TRUE()</f>
        <v>1</v>
      </c>
      <c r="V344" s="0" t="n">
        <v>0.78</v>
      </c>
      <c r="W344" s="0" t="n">
        <v>0.56</v>
      </c>
      <c r="X344" s="0" t="n">
        <v>8.44</v>
      </c>
      <c r="Y344" s="0" t="n">
        <v>330.68</v>
      </c>
      <c r="Z344" s="0" t="n">
        <v>8.25</v>
      </c>
      <c r="AA344" s="0" t="n">
        <v>-0.18</v>
      </c>
      <c r="AB344" s="0" t="n">
        <v>4.59</v>
      </c>
      <c r="AC344" s="22" t="b">
        <f aca="false">FALSE()</f>
        <v>0</v>
      </c>
      <c r="AD344" s="0" t="n">
        <v>2.5</v>
      </c>
      <c r="AE344" s="0" t="n">
        <v>1.67</v>
      </c>
      <c r="AF344" s="0" t="n">
        <v>8.81</v>
      </c>
      <c r="AG344" s="22" t="b">
        <f aca="false">FALSE()</f>
        <v>0</v>
      </c>
      <c r="AH344" s="0" t="n">
        <v>1</v>
      </c>
    </row>
    <row r="345" customFormat="false" ht="15" hidden="false" customHeight="false" outlineLevel="0" collapsed="false">
      <c r="A345" s="0" t="s">
        <v>676</v>
      </c>
      <c r="B345" s="0" t="s">
        <v>134</v>
      </c>
      <c r="C345" s="0" t="s">
        <v>3447</v>
      </c>
      <c r="D345" s="0" t="s">
        <v>3448</v>
      </c>
      <c r="E345" s="20" t="s">
        <v>25</v>
      </c>
      <c r="F345" s="23" t="s">
        <v>30</v>
      </c>
      <c r="G345" s="21" t="s">
        <v>2133</v>
      </c>
      <c r="H345" s="21" t="s">
        <v>24</v>
      </c>
      <c r="I345" s="21" t="s">
        <v>24</v>
      </c>
      <c r="J345" s="21" t="s">
        <v>24</v>
      </c>
      <c r="K345" s="21" t="s">
        <v>25</v>
      </c>
      <c r="L345" s="21" t="s">
        <v>24</v>
      </c>
      <c r="M345" s="0" t="n">
        <v>184</v>
      </c>
      <c r="N345" s="0" t="n">
        <v>2</v>
      </c>
      <c r="O345" s="21" t="s">
        <v>3497</v>
      </c>
      <c r="P345" s="21" t="s">
        <v>4281</v>
      </c>
      <c r="Q345" s="0" t="n">
        <v>0</v>
      </c>
      <c r="S345" s="0" t="n">
        <v>2</v>
      </c>
      <c r="T345" s="21" t="s">
        <v>3497</v>
      </c>
      <c r="U345" s="22" t="b">
        <f aca="false">TRUE()</f>
        <v>1</v>
      </c>
      <c r="V345" s="0" t="n">
        <v>0.82</v>
      </c>
      <c r="W345" s="0" t="n">
        <v>0.72</v>
      </c>
      <c r="X345" s="0" t="n">
        <v>11.9</v>
      </c>
      <c r="Y345" s="0" t="n">
        <v>318.21</v>
      </c>
      <c r="Z345" s="0" t="n">
        <v>8.08</v>
      </c>
      <c r="AA345" s="0" t="n">
        <v>-0.13</v>
      </c>
      <c r="AB345" s="0" t="n">
        <v>1.15</v>
      </c>
      <c r="AC345" s="22" t="b">
        <f aca="false">FALSE()</f>
        <v>0</v>
      </c>
      <c r="AD345" s="0" t="n">
        <v>0.98</v>
      </c>
      <c r="AE345" s="0" t="n">
        <v>0.31</v>
      </c>
      <c r="AF345" s="0" t="n">
        <v>10.82</v>
      </c>
      <c r="AG345" s="22" t="b">
        <f aca="false">FALSE()</f>
        <v>0</v>
      </c>
      <c r="AH345" s="0" t="n">
        <v>1</v>
      </c>
    </row>
    <row r="346" customFormat="false" ht="15" hidden="false" customHeight="false" outlineLevel="0" collapsed="false">
      <c r="A346" s="0" t="s">
        <v>676</v>
      </c>
      <c r="B346" s="0" t="s">
        <v>3459</v>
      </c>
      <c r="C346" s="0" t="s">
        <v>3450</v>
      </c>
      <c r="D346" s="0" t="s">
        <v>3457</v>
      </c>
      <c r="E346" s="20" t="s">
        <v>25</v>
      </c>
      <c r="F346" s="23" t="s">
        <v>30</v>
      </c>
      <c r="G346" s="21" t="s">
        <v>1230</v>
      </c>
      <c r="H346" s="21" t="s">
        <v>24</v>
      </c>
      <c r="I346" s="21" t="s">
        <v>25</v>
      </c>
      <c r="J346" s="21" t="s">
        <v>24</v>
      </c>
      <c r="K346" s="21" t="s">
        <v>25</v>
      </c>
      <c r="L346" s="21" t="s">
        <v>24</v>
      </c>
      <c r="M346" s="0" t="n">
        <v>182</v>
      </c>
      <c r="N346" s="0" t="n">
        <v>1</v>
      </c>
      <c r="O346" s="21" t="s">
        <v>69</v>
      </c>
      <c r="P346" s="21" t="s">
        <v>4275</v>
      </c>
      <c r="Q346" s="0" t="n">
        <v>1</v>
      </c>
      <c r="R346" s="21" t="s">
        <v>69</v>
      </c>
      <c r="S346" s="0" t="n">
        <v>1</v>
      </c>
      <c r="T346" s="21" t="s">
        <v>69</v>
      </c>
      <c r="U346" s="22" t="b">
        <f aca="false">TRUE()</f>
        <v>1</v>
      </c>
      <c r="V346" s="0" t="n">
        <v>0.73</v>
      </c>
      <c r="W346" s="0" t="n">
        <v>0.6</v>
      </c>
      <c r="X346" s="0" t="n">
        <v>8.91</v>
      </c>
      <c r="Y346" s="0" t="n">
        <v>320.32</v>
      </c>
      <c r="Z346" s="0" t="n">
        <v>8.58</v>
      </c>
      <c r="AA346" s="0" t="n">
        <v>2.98</v>
      </c>
      <c r="AB346" s="0" t="n">
        <v>12.78</v>
      </c>
      <c r="AC346" s="22" t="b">
        <f aca="false">FALSE()</f>
        <v>0</v>
      </c>
      <c r="AD346" s="0" t="n">
        <v>16.1</v>
      </c>
      <c r="AE346" s="0" t="n">
        <v>7.18</v>
      </c>
      <c r="AF346" s="0" t="n">
        <v>18.03</v>
      </c>
      <c r="AG346" s="22" t="b">
        <f aca="false">TRUE()</f>
        <v>1</v>
      </c>
      <c r="AH346" s="0" t="n">
        <v>1</v>
      </c>
    </row>
    <row r="347" customFormat="false" ht="15" hidden="false" customHeight="false" outlineLevel="0" collapsed="false">
      <c r="A347" s="0" t="s">
        <v>676</v>
      </c>
      <c r="B347" s="0" t="s">
        <v>3459</v>
      </c>
      <c r="C347" s="0" t="s">
        <v>3450</v>
      </c>
      <c r="D347" s="0" t="s">
        <v>3448</v>
      </c>
      <c r="E347" s="20" t="s">
        <v>25</v>
      </c>
      <c r="F347" s="23" t="s">
        <v>30</v>
      </c>
      <c r="G347" s="21" t="s">
        <v>163</v>
      </c>
      <c r="H347" s="21" t="s">
        <v>24</v>
      </c>
      <c r="I347" s="21" t="s">
        <v>25</v>
      </c>
      <c r="J347" s="21" t="s">
        <v>24</v>
      </c>
      <c r="K347" s="21" t="s">
        <v>25</v>
      </c>
      <c r="L347" s="21" t="s">
        <v>24</v>
      </c>
      <c r="M347" s="0" t="n">
        <v>184</v>
      </c>
      <c r="N347" s="0" t="n">
        <v>2</v>
      </c>
      <c r="O347" s="21" t="s">
        <v>3566</v>
      </c>
      <c r="P347" s="21" t="s">
        <v>4238</v>
      </c>
      <c r="Q347" s="0" t="n">
        <v>1</v>
      </c>
      <c r="R347" s="21" t="s">
        <v>69</v>
      </c>
      <c r="S347" s="0" t="n">
        <v>2</v>
      </c>
      <c r="T347" s="21" t="s">
        <v>3566</v>
      </c>
      <c r="U347" s="22" t="b">
        <f aca="false">TRUE()</f>
        <v>1</v>
      </c>
      <c r="V347" s="0" t="n">
        <v>0.72</v>
      </c>
      <c r="W347" s="0" t="n">
        <v>0.16</v>
      </c>
      <c r="X347" s="0" t="n">
        <v>8.97</v>
      </c>
      <c r="Y347" s="0" t="n">
        <v>561.34</v>
      </c>
      <c r="Z347" s="0" t="n">
        <v>8.5</v>
      </c>
      <c r="AA347" s="0" t="n">
        <v>10.81</v>
      </c>
      <c r="AB347" s="0" t="n">
        <v>0.32</v>
      </c>
      <c r="AC347" s="22" t="b">
        <f aca="false">FALSE()</f>
        <v>0</v>
      </c>
      <c r="AD347" s="0" t="n">
        <v>29.92</v>
      </c>
      <c r="AE347" s="0" t="n">
        <v>18.19</v>
      </c>
      <c r="AF347" s="0" t="n">
        <v>26.41</v>
      </c>
      <c r="AG347" s="22" t="b">
        <f aca="false">TRUE()</f>
        <v>1</v>
      </c>
      <c r="AH347" s="0" t="n">
        <v>1</v>
      </c>
    </row>
    <row r="348" customFormat="false" ht="15" hidden="false" customHeight="false" outlineLevel="0" collapsed="false">
      <c r="A348" s="0" t="s">
        <v>676</v>
      </c>
      <c r="B348" s="0" t="s">
        <v>3459</v>
      </c>
      <c r="C348" s="0" t="s">
        <v>3447</v>
      </c>
      <c r="D348" s="0" t="s">
        <v>3457</v>
      </c>
      <c r="E348" s="20" t="s">
        <v>25</v>
      </c>
      <c r="F348" s="23" t="s">
        <v>30</v>
      </c>
      <c r="G348" s="21" t="s">
        <v>992</v>
      </c>
      <c r="H348" s="21" t="s">
        <v>24</v>
      </c>
      <c r="I348" s="21" t="s">
        <v>24</v>
      </c>
      <c r="J348" s="21" t="s">
        <v>24</v>
      </c>
      <c r="K348" s="21" t="s">
        <v>25</v>
      </c>
      <c r="L348" s="21" t="s">
        <v>24</v>
      </c>
      <c r="M348" s="0" t="n">
        <v>183</v>
      </c>
      <c r="N348" s="0" t="n">
        <v>4</v>
      </c>
      <c r="O348" s="21" t="s">
        <v>3648</v>
      </c>
      <c r="P348" s="21" t="s">
        <v>4269</v>
      </c>
      <c r="Q348" s="0" t="n">
        <v>0</v>
      </c>
      <c r="S348" s="0" t="n">
        <v>4</v>
      </c>
      <c r="T348" s="21" t="s">
        <v>3648</v>
      </c>
      <c r="U348" s="22" t="b">
        <f aca="false">TRUE()</f>
        <v>1</v>
      </c>
      <c r="V348" s="0" t="n">
        <v>0.77</v>
      </c>
      <c r="W348" s="0" t="n">
        <v>0.52</v>
      </c>
      <c r="X348" s="0" t="n">
        <v>7.7</v>
      </c>
      <c r="Y348" s="0" t="n">
        <v>328.51</v>
      </c>
      <c r="Z348" s="0" t="n">
        <v>9.75</v>
      </c>
      <c r="AA348" s="0" t="n">
        <v>3.87</v>
      </c>
      <c r="AB348" s="0" t="n">
        <v>12.78</v>
      </c>
      <c r="AC348" s="22" t="b">
        <f aca="false">FALSE()</f>
        <v>0</v>
      </c>
      <c r="AD348" s="0" t="n">
        <v>27.27</v>
      </c>
      <c r="AE348" s="0" t="n">
        <v>15.71</v>
      </c>
      <c r="AF348" s="0" t="n">
        <v>25.46</v>
      </c>
      <c r="AG348" s="22" t="b">
        <f aca="false">TRUE()</f>
        <v>1</v>
      </c>
      <c r="AH348" s="0" t="n">
        <v>1</v>
      </c>
    </row>
    <row r="349" customFormat="false" ht="15" hidden="false" customHeight="false" outlineLevel="0" collapsed="false">
      <c r="A349" s="0" t="s">
        <v>676</v>
      </c>
      <c r="B349" s="0" t="s">
        <v>3459</v>
      </c>
      <c r="C349" s="0" t="s">
        <v>3447</v>
      </c>
      <c r="D349" s="0" t="s">
        <v>3448</v>
      </c>
      <c r="E349" s="20" t="s">
        <v>25</v>
      </c>
      <c r="F349" s="23" t="s">
        <v>30</v>
      </c>
      <c r="G349" s="21" t="s">
        <v>2610</v>
      </c>
      <c r="H349" s="21" t="s">
        <v>24</v>
      </c>
      <c r="I349" s="21" t="s">
        <v>24</v>
      </c>
      <c r="J349" s="21" t="s">
        <v>24</v>
      </c>
      <c r="K349" s="21" t="s">
        <v>25</v>
      </c>
      <c r="L349" s="21" t="s">
        <v>24</v>
      </c>
      <c r="M349" s="0" t="n">
        <v>184</v>
      </c>
      <c r="N349" s="0" t="n">
        <v>2</v>
      </c>
      <c r="O349" s="21" t="s">
        <v>3523</v>
      </c>
      <c r="P349" s="21" t="s">
        <v>4394</v>
      </c>
      <c r="Q349" s="0" t="n">
        <v>0</v>
      </c>
      <c r="S349" s="0" t="n">
        <v>2</v>
      </c>
      <c r="T349" s="21" t="s">
        <v>3523</v>
      </c>
      <c r="U349" s="22" t="b">
        <f aca="false">TRUE()</f>
        <v>1</v>
      </c>
      <c r="V349" s="0" t="n">
        <v>0.77</v>
      </c>
      <c r="W349" s="0" t="n">
        <v>0.88</v>
      </c>
      <c r="X349" s="0" t="n">
        <v>9.2</v>
      </c>
      <c r="Y349" s="0" t="n">
        <v>319.94</v>
      </c>
      <c r="Z349" s="0" t="n">
        <v>8</v>
      </c>
      <c r="AA349" s="0" t="n">
        <v>-0.59</v>
      </c>
      <c r="AB349" s="0" t="n">
        <v>0.32</v>
      </c>
      <c r="AC349" s="22" t="b">
        <f aca="false">FALSE()</f>
        <v>0</v>
      </c>
      <c r="AD349" s="0" t="n">
        <v>13.02</v>
      </c>
      <c r="AE349" s="0" t="n">
        <v>6.12</v>
      </c>
      <c r="AF349" s="0" t="n">
        <v>14.4</v>
      </c>
      <c r="AG349" s="22" t="b">
        <f aca="false">TRUE()</f>
        <v>1</v>
      </c>
      <c r="AH349" s="0" t="n">
        <v>1</v>
      </c>
    </row>
    <row r="350" customFormat="false" ht="15" hidden="false" customHeight="false" outlineLevel="0" collapsed="false">
      <c r="A350" s="0" t="s">
        <v>689</v>
      </c>
      <c r="B350" s="0" t="s">
        <v>134</v>
      </c>
      <c r="C350" s="0" t="s">
        <v>3450</v>
      </c>
      <c r="D350" s="0" t="s">
        <v>3457</v>
      </c>
      <c r="E350" s="19" t="s">
        <v>26</v>
      </c>
      <c r="F350" s="19" t="s">
        <v>32</v>
      </c>
      <c r="G350" s="21" t="s">
        <v>529</v>
      </c>
      <c r="H350" s="21" t="s">
        <v>24</v>
      </c>
      <c r="I350" s="21" t="s">
        <v>26</v>
      </c>
      <c r="J350" s="21" t="s">
        <v>24</v>
      </c>
      <c r="K350" s="21" t="s">
        <v>24</v>
      </c>
      <c r="L350" s="21" t="s">
        <v>24</v>
      </c>
      <c r="M350" s="0" t="n">
        <v>189</v>
      </c>
      <c r="N350" s="0" t="n">
        <v>8</v>
      </c>
      <c r="O350" s="21" t="s">
        <v>4122</v>
      </c>
      <c r="P350" s="21" t="s">
        <v>4395</v>
      </c>
      <c r="Q350" s="0" t="n">
        <v>1</v>
      </c>
      <c r="R350" s="21" t="s">
        <v>69</v>
      </c>
      <c r="S350" s="0" t="n">
        <v>8</v>
      </c>
      <c r="T350" s="21" t="s">
        <v>4122</v>
      </c>
      <c r="U350" s="22" t="b">
        <f aca="false">FALSE()</f>
        <v>0</v>
      </c>
      <c r="V350" s="0" t="n">
        <v>0.69</v>
      </c>
      <c r="W350" s="0" t="n">
        <v>0.32</v>
      </c>
      <c r="X350" s="0" t="n">
        <v>6.91</v>
      </c>
      <c r="Y350" s="0" t="n">
        <v>400.29</v>
      </c>
      <c r="Z350" s="0" t="n">
        <v>9.25</v>
      </c>
      <c r="AA350" s="0" t="n">
        <v>15.05</v>
      </c>
      <c r="AB350" s="0" t="n">
        <v>3.35</v>
      </c>
      <c r="AC350" s="22" t="b">
        <f aca="false">FALSE()</f>
        <v>0</v>
      </c>
      <c r="AD350" s="0" t="n">
        <v>13.8</v>
      </c>
      <c r="AE350" s="0" t="n">
        <v>0.57</v>
      </c>
      <c r="AF350" s="0" t="n">
        <v>3.88</v>
      </c>
      <c r="AG350" s="22" t="b">
        <f aca="false">TRUE()</f>
        <v>1</v>
      </c>
      <c r="AH350" s="0" t="n">
        <v>1</v>
      </c>
    </row>
    <row r="351" customFormat="false" ht="15" hidden="false" customHeight="false" outlineLevel="0" collapsed="false">
      <c r="A351" s="0" t="s">
        <v>689</v>
      </c>
      <c r="B351" s="0" t="s">
        <v>134</v>
      </c>
      <c r="C351" s="0" t="s">
        <v>3450</v>
      </c>
      <c r="D351" s="0" t="s">
        <v>3448</v>
      </c>
      <c r="E351" s="19" t="s">
        <v>26</v>
      </c>
      <c r="F351" s="19" t="s">
        <v>32</v>
      </c>
      <c r="G351" s="21" t="s">
        <v>529</v>
      </c>
      <c r="H351" s="21" t="s">
        <v>24</v>
      </c>
      <c r="I351" s="21" t="s">
        <v>26</v>
      </c>
      <c r="J351" s="21" t="s">
        <v>24</v>
      </c>
      <c r="K351" s="21" t="s">
        <v>24</v>
      </c>
      <c r="L351" s="21" t="s">
        <v>24</v>
      </c>
      <c r="M351" s="0" t="n">
        <v>184</v>
      </c>
      <c r="N351" s="0" t="n">
        <v>7</v>
      </c>
      <c r="O351" s="21" t="s">
        <v>4015</v>
      </c>
      <c r="P351" s="21" t="s">
        <v>4307</v>
      </c>
      <c r="Q351" s="0" t="n">
        <v>1</v>
      </c>
      <c r="R351" s="21" t="s">
        <v>69</v>
      </c>
      <c r="S351" s="0" t="n">
        <v>7</v>
      </c>
      <c r="T351" s="21" t="s">
        <v>4015</v>
      </c>
      <c r="U351" s="22" t="b">
        <f aca="false">FALSE()</f>
        <v>0</v>
      </c>
      <c r="V351" s="0" t="n">
        <v>0.65</v>
      </c>
      <c r="W351" s="0" t="n">
        <v>0.96</v>
      </c>
      <c r="X351" s="0" t="n">
        <v>7.4</v>
      </c>
      <c r="Y351" s="0" t="n">
        <v>315.4</v>
      </c>
      <c r="Z351" s="0" t="n">
        <v>9.25</v>
      </c>
      <c r="AA351" s="0" t="n">
        <v>3.91</v>
      </c>
      <c r="AB351" s="0" t="n">
        <v>3.84</v>
      </c>
      <c r="AC351" s="22" t="b">
        <f aca="false">FALSE()</f>
        <v>0</v>
      </c>
      <c r="AD351" s="0" t="n">
        <v>7.74</v>
      </c>
      <c r="AE351" s="0" t="n">
        <v>0.32</v>
      </c>
      <c r="AF351" s="0" t="n">
        <v>5.64</v>
      </c>
      <c r="AG351" s="22" t="b">
        <f aca="false">FALSE()</f>
        <v>0</v>
      </c>
      <c r="AH351" s="0" t="n">
        <v>1</v>
      </c>
    </row>
    <row r="352" customFormat="false" ht="15" hidden="false" customHeight="false" outlineLevel="0" collapsed="false">
      <c r="A352" s="0" t="s">
        <v>689</v>
      </c>
      <c r="B352" s="0" t="s">
        <v>134</v>
      </c>
      <c r="C352" s="0" t="s">
        <v>3447</v>
      </c>
      <c r="D352" s="0" t="s">
        <v>3457</v>
      </c>
      <c r="E352" s="20" t="s">
        <v>25</v>
      </c>
      <c r="F352" s="23" t="s">
        <v>30</v>
      </c>
      <c r="G352" s="21" t="s">
        <v>283</v>
      </c>
      <c r="H352" s="21" t="s">
        <v>24</v>
      </c>
      <c r="I352" s="21" t="s">
        <v>25</v>
      </c>
      <c r="J352" s="21" t="s">
        <v>24</v>
      </c>
      <c r="K352" s="21" t="s">
        <v>24</v>
      </c>
      <c r="L352" s="21" t="s">
        <v>24</v>
      </c>
      <c r="M352" s="0" t="n">
        <v>218</v>
      </c>
      <c r="N352" s="0" t="n">
        <v>5</v>
      </c>
      <c r="O352" s="21" t="s">
        <v>3806</v>
      </c>
      <c r="P352" s="21" t="s">
        <v>4396</v>
      </c>
      <c r="Q352" s="0" t="n">
        <v>1</v>
      </c>
      <c r="R352" s="21" t="s">
        <v>69</v>
      </c>
      <c r="S352" s="0" t="n">
        <v>5</v>
      </c>
      <c r="T352" s="21" t="s">
        <v>3806</v>
      </c>
      <c r="U352" s="22" t="b">
        <f aca="false">TRUE()</f>
        <v>1</v>
      </c>
      <c r="V352" s="0" t="n">
        <v>0.74</v>
      </c>
      <c r="W352" s="0" t="n">
        <v>0.44</v>
      </c>
      <c r="X352" s="0" t="n">
        <v>6.34</v>
      </c>
      <c r="Y352" s="0" t="n">
        <v>398.06</v>
      </c>
      <c r="Z352" s="0" t="n">
        <v>9.5</v>
      </c>
      <c r="AA352" s="0" t="n">
        <v>7.55</v>
      </c>
      <c r="AB352" s="0" t="n">
        <v>3.35</v>
      </c>
      <c r="AC352" s="22" t="b">
        <f aca="false">FALSE()</f>
        <v>0</v>
      </c>
      <c r="AD352" s="0" t="n">
        <v>13.2</v>
      </c>
      <c r="AE352" s="0" t="n">
        <v>-0.08</v>
      </c>
      <c r="AF352" s="0" t="n">
        <v>5.21</v>
      </c>
      <c r="AG352" s="22" t="b">
        <f aca="false">TRUE()</f>
        <v>1</v>
      </c>
      <c r="AH352" s="0" t="n">
        <v>1</v>
      </c>
    </row>
    <row r="353" customFormat="false" ht="15" hidden="false" customHeight="false" outlineLevel="0" collapsed="false">
      <c r="A353" s="0" t="s">
        <v>689</v>
      </c>
      <c r="B353" s="0" t="s">
        <v>134</v>
      </c>
      <c r="C353" s="0" t="s">
        <v>3447</v>
      </c>
      <c r="D353" s="0" t="s">
        <v>3448</v>
      </c>
      <c r="E353" s="19" t="s">
        <v>26</v>
      </c>
      <c r="F353" s="19" t="s">
        <v>32</v>
      </c>
      <c r="G353" s="21" t="s">
        <v>60</v>
      </c>
      <c r="H353" s="21" t="s">
        <v>24</v>
      </c>
      <c r="I353" s="21" t="s">
        <v>26</v>
      </c>
      <c r="J353" s="21" t="s">
        <v>24</v>
      </c>
      <c r="K353" s="21" t="s">
        <v>24</v>
      </c>
      <c r="L353" s="21" t="s">
        <v>24</v>
      </c>
      <c r="M353" s="0" t="n">
        <v>188</v>
      </c>
      <c r="N353" s="0" t="n">
        <v>10</v>
      </c>
      <c r="O353" s="21" t="s">
        <v>3976</v>
      </c>
      <c r="P353" s="21" t="s">
        <v>4397</v>
      </c>
      <c r="Q353" s="0" t="n">
        <v>0</v>
      </c>
      <c r="S353" s="0" t="n">
        <v>10</v>
      </c>
      <c r="T353" s="21" t="s">
        <v>3976</v>
      </c>
      <c r="U353" s="22" t="b">
        <f aca="false">FALSE()</f>
        <v>0</v>
      </c>
      <c r="V353" s="0" t="n">
        <v>0.72</v>
      </c>
      <c r="W353" s="0" t="n">
        <v>0.44</v>
      </c>
      <c r="X353" s="0" t="n">
        <v>6.93</v>
      </c>
      <c r="Y353" s="0" t="n">
        <v>352.5</v>
      </c>
      <c r="Z353" s="0" t="n">
        <v>9.5</v>
      </c>
      <c r="AA353" s="0" t="n">
        <v>8.33</v>
      </c>
      <c r="AB353" s="0" t="n">
        <v>3.84</v>
      </c>
      <c r="AC353" s="22" t="b">
        <f aca="false">FALSE()</f>
        <v>0</v>
      </c>
      <c r="AD353" s="0" t="n">
        <v>11.63</v>
      </c>
      <c r="AE353" s="0" t="n">
        <v>0.87</v>
      </c>
      <c r="AF353" s="0" t="n">
        <v>8.39</v>
      </c>
      <c r="AG353" s="22" t="b">
        <f aca="false">TRUE()</f>
        <v>1</v>
      </c>
      <c r="AH353" s="0" t="n">
        <v>1</v>
      </c>
    </row>
    <row r="354" customFormat="false" ht="15" hidden="false" customHeight="false" outlineLevel="0" collapsed="false">
      <c r="A354" s="0" t="s">
        <v>695</v>
      </c>
      <c r="B354" s="0" t="s">
        <v>134</v>
      </c>
      <c r="C354" s="0" t="s">
        <v>3450</v>
      </c>
      <c r="D354" s="0" t="s">
        <v>3457</v>
      </c>
      <c r="E354" s="20" t="s">
        <v>25</v>
      </c>
      <c r="F354" s="20" t="s">
        <v>29</v>
      </c>
      <c r="G354" s="21" t="s">
        <v>3466</v>
      </c>
      <c r="H354" s="21" t="s">
        <v>24</v>
      </c>
      <c r="I354" s="21" t="s">
        <v>24</v>
      </c>
      <c r="J354" s="21" t="s">
        <v>24</v>
      </c>
      <c r="K354" s="21" t="s">
        <v>25</v>
      </c>
      <c r="L354" s="21" t="s">
        <v>24</v>
      </c>
      <c r="M354" s="0" t="n">
        <v>183</v>
      </c>
      <c r="N354" s="0" t="n">
        <v>0</v>
      </c>
      <c r="Q354" s="0" t="n">
        <v>0</v>
      </c>
      <c r="S354" s="0" t="n">
        <v>0</v>
      </c>
      <c r="U354" s="22" t="b">
        <f aca="false">FALSE()</f>
        <v>0</v>
      </c>
      <c r="V354" s="0" t="n">
        <v>0.71</v>
      </c>
      <c r="W354" s="0" t="n">
        <v>0.12</v>
      </c>
      <c r="X354" s="0" t="n">
        <v>9.48</v>
      </c>
      <c r="Y354" s="0" t="n">
        <v>619.84</v>
      </c>
      <c r="Z354" s="0" t="n">
        <v>10</v>
      </c>
      <c r="AA354" s="0" t="n">
        <v>-0.02</v>
      </c>
      <c r="AB354" s="0" t="n">
        <v>1.01</v>
      </c>
      <c r="AC354" s="22" t="b">
        <f aca="false">TRUE()</f>
        <v>1</v>
      </c>
      <c r="AD354" s="0" t="n">
        <v>14.81</v>
      </c>
      <c r="AE354" s="0" t="n">
        <v>0.89</v>
      </c>
      <c r="AF354" s="0" t="n">
        <v>21.41</v>
      </c>
      <c r="AG354" s="22" t="b">
        <f aca="false">TRUE()</f>
        <v>1</v>
      </c>
      <c r="AH354" s="0" t="n">
        <v>1</v>
      </c>
    </row>
    <row r="355" customFormat="false" ht="15" hidden="false" customHeight="false" outlineLevel="0" collapsed="false">
      <c r="A355" s="0" t="s">
        <v>695</v>
      </c>
      <c r="B355" s="0" t="s">
        <v>134</v>
      </c>
      <c r="C355" s="0" t="s">
        <v>3450</v>
      </c>
      <c r="D355" s="0" t="s">
        <v>3448</v>
      </c>
      <c r="E355" s="20" t="s">
        <v>25</v>
      </c>
      <c r="F355" s="20" t="s">
        <v>29</v>
      </c>
      <c r="G355" s="21" t="s">
        <v>3451</v>
      </c>
      <c r="H355" s="21" t="s">
        <v>24</v>
      </c>
      <c r="I355" s="21" t="s">
        <v>24</v>
      </c>
      <c r="J355" s="21" t="s">
        <v>24</v>
      </c>
      <c r="K355" s="21" t="s">
        <v>25</v>
      </c>
      <c r="L355" s="21" t="s">
        <v>24</v>
      </c>
      <c r="M355" s="0" t="n">
        <v>182</v>
      </c>
      <c r="N355" s="0" t="n">
        <v>0</v>
      </c>
      <c r="Q355" s="0" t="n">
        <v>0</v>
      </c>
      <c r="S355" s="0" t="n">
        <v>0</v>
      </c>
      <c r="U355" s="22" t="b">
        <f aca="false">FALSE()</f>
        <v>0</v>
      </c>
      <c r="V355" s="0" t="n">
        <v>0.71</v>
      </c>
      <c r="W355" s="0" t="n">
        <v>0.68</v>
      </c>
      <c r="X355" s="0" t="n">
        <v>10.12</v>
      </c>
      <c r="Y355" s="0" t="n">
        <v>314.75</v>
      </c>
      <c r="Z355" s="0" t="n">
        <v>9.58</v>
      </c>
      <c r="AA355" s="0" t="n">
        <v>-0.73</v>
      </c>
      <c r="AB355" s="0" t="n">
        <v>0.55</v>
      </c>
      <c r="AC355" s="22" t="b">
        <f aca="false">TRUE()</f>
        <v>1</v>
      </c>
      <c r="AD355" s="0" t="n">
        <v>7.75</v>
      </c>
      <c r="AE355" s="0" t="n">
        <v>0.38</v>
      </c>
      <c r="AF355" s="0" t="n">
        <v>12.8</v>
      </c>
      <c r="AG355" s="22" t="b">
        <f aca="false">FALSE()</f>
        <v>0</v>
      </c>
      <c r="AH355" s="0" t="n">
        <v>1</v>
      </c>
    </row>
    <row r="356" customFormat="false" ht="15" hidden="false" customHeight="false" outlineLevel="0" collapsed="false">
      <c r="A356" s="0" t="s">
        <v>695</v>
      </c>
      <c r="B356" s="0" t="s">
        <v>134</v>
      </c>
      <c r="C356" s="0" t="s">
        <v>3447</v>
      </c>
      <c r="D356" s="0" t="s">
        <v>3457</v>
      </c>
      <c r="E356" s="20" t="s">
        <v>25</v>
      </c>
      <c r="F356" s="23" t="s">
        <v>30</v>
      </c>
      <c r="G356" s="21" t="s">
        <v>2133</v>
      </c>
      <c r="H356" s="21" t="s">
        <v>24</v>
      </c>
      <c r="I356" s="21" t="s">
        <v>24</v>
      </c>
      <c r="J356" s="21" t="s">
        <v>24</v>
      </c>
      <c r="K356" s="21" t="s">
        <v>25</v>
      </c>
      <c r="L356" s="21" t="s">
        <v>24</v>
      </c>
      <c r="M356" s="0" t="n">
        <v>193</v>
      </c>
      <c r="N356" s="0" t="n">
        <v>6</v>
      </c>
      <c r="O356" s="21" t="s">
        <v>3772</v>
      </c>
      <c r="P356" s="21" t="s">
        <v>4398</v>
      </c>
      <c r="Q356" s="0" t="n">
        <v>0</v>
      </c>
      <c r="S356" s="0" t="n">
        <v>6</v>
      </c>
      <c r="T356" s="21" t="s">
        <v>3772</v>
      </c>
      <c r="U356" s="22" t="b">
        <f aca="false">TRUE()</f>
        <v>1</v>
      </c>
      <c r="V356" s="0" t="n">
        <v>0.72</v>
      </c>
      <c r="W356" s="0" t="n">
        <v>0.56</v>
      </c>
      <c r="X356" s="0" t="n">
        <v>9.91</v>
      </c>
      <c r="Y356" s="0" t="n">
        <v>340.57</v>
      </c>
      <c r="Z356" s="0" t="n">
        <v>8.75</v>
      </c>
      <c r="AA356" s="0" t="n">
        <v>4.37</v>
      </c>
      <c r="AB356" s="0" t="n">
        <v>1.01</v>
      </c>
      <c r="AC356" s="22" t="b">
        <f aca="false">FALSE()</f>
        <v>0</v>
      </c>
      <c r="AD356" s="0" t="n">
        <v>13.77</v>
      </c>
      <c r="AE356" s="0" t="n">
        <v>0.81</v>
      </c>
      <c r="AF356" s="0" t="n">
        <v>21.36</v>
      </c>
      <c r="AG356" s="22" t="b">
        <f aca="false">TRUE()</f>
        <v>1</v>
      </c>
      <c r="AH356" s="0" t="n">
        <v>1</v>
      </c>
    </row>
    <row r="357" customFormat="false" ht="15" hidden="false" customHeight="false" outlineLevel="0" collapsed="false">
      <c r="A357" s="0" t="s">
        <v>695</v>
      </c>
      <c r="B357" s="0" t="s">
        <v>134</v>
      </c>
      <c r="C357" s="0" t="s">
        <v>3447</v>
      </c>
      <c r="D357" s="0" t="s">
        <v>3448</v>
      </c>
      <c r="E357" s="19" t="s">
        <v>26</v>
      </c>
      <c r="F357" s="19" t="s">
        <v>32</v>
      </c>
      <c r="G357" s="21" t="s">
        <v>1311</v>
      </c>
      <c r="H357" s="21" t="s">
        <v>24</v>
      </c>
      <c r="I357" s="21" t="s">
        <v>26</v>
      </c>
      <c r="J357" s="21" t="s">
        <v>24</v>
      </c>
      <c r="K357" s="21" t="s">
        <v>25</v>
      </c>
      <c r="L357" s="21" t="s">
        <v>24</v>
      </c>
      <c r="M357" s="0" t="n">
        <v>198</v>
      </c>
      <c r="N357" s="0" t="n">
        <v>9</v>
      </c>
      <c r="O357" s="21" t="s">
        <v>4102</v>
      </c>
      <c r="P357" s="21" t="s">
        <v>4399</v>
      </c>
      <c r="Q357" s="0" t="n">
        <v>1</v>
      </c>
      <c r="R357" s="21" t="s">
        <v>69</v>
      </c>
      <c r="S357" s="0" t="n">
        <v>9</v>
      </c>
      <c r="T357" s="21" t="s">
        <v>4102</v>
      </c>
      <c r="U357" s="22" t="b">
        <f aca="false">FALSE()</f>
        <v>0</v>
      </c>
      <c r="V357" s="0" t="n">
        <v>0.7</v>
      </c>
      <c r="W357" s="0" t="n">
        <v>0.84</v>
      </c>
      <c r="X357" s="0" t="n">
        <v>10.35</v>
      </c>
      <c r="Y357" s="0" t="n">
        <v>341.77</v>
      </c>
      <c r="Z357" s="0" t="n">
        <v>8.5</v>
      </c>
      <c r="AA357" s="0" t="n">
        <v>-0.76</v>
      </c>
      <c r="AB357" s="0" t="n">
        <v>0.55</v>
      </c>
      <c r="AC357" s="22" t="b">
        <f aca="false">FALSE()</f>
        <v>0</v>
      </c>
      <c r="AD357" s="0" t="n">
        <v>3.83</v>
      </c>
      <c r="AE357" s="0" t="n">
        <v>0.28</v>
      </c>
      <c r="AF357" s="0" t="n">
        <v>8.92</v>
      </c>
      <c r="AG357" s="22" t="b">
        <f aca="false">FALSE()</f>
        <v>0</v>
      </c>
      <c r="AH357" s="0" t="n">
        <v>1</v>
      </c>
    </row>
    <row r="358" customFormat="false" ht="15" hidden="false" customHeight="false" outlineLevel="0" collapsed="false">
      <c r="A358" s="0" t="s">
        <v>702</v>
      </c>
      <c r="B358" s="0" t="s">
        <v>134</v>
      </c>
      <c r="C358" s="0" t="s">
        <v>3450</v>
      </c>
      <c r="D358" s="0" t="s">
        <v>3457</v>
      </c>
      <c r="E358" s="20" t="s">
        <v>25</v>
      </c>
      <c r="F358" s="23" t="s">
        <v>30</v>
      </c>
      <c r="G358" s="21" t="s">
        <v>183</v>
      </c>
      <c r="H358" s="21" t="s">
        <v>24</v>
      </c>
      <c r="I358" s="21" t="s">
        <v>25</v>
      </c>
      <c r="J358" s="21" t="s">
        <v>24</v>
      </c>
      <c r="K358" s="21" t="s">
        <v>25</v>
      </c>
      <c r="L358" s="21" t="s">
        <v>24</v>
      </c>
      <c r="M358" s="0" t="n">
        <v>183</v>
      </c>
      <c r="N358" s="0" t="n">
        <v>1</v>
      </c>
      <c r="O358" s="21" t="s">
        <v>69</v>
      </c>
      <c r="P358" s="21" t="s">
        <v>4275</v>
      </c>
      <c r="Q358" s="0" t="n">
        <v>1</v>
      </c>
      <c r="R358" s="21" t="s">
        <v>69</v>
      </c>
      <c r="S358" s="0" t="n">
        <v>1</v>
      </c>
      <c r="T358" s="21" t="s">
        <v>69</v>
      </c>
      <c r="U358" s="22" t="b">
        <f aca="false">TRUE()</f>
        <v>1</v>
      </c>
      <c r="V358" s="0" t="n">
        <v>0.72</v>
      </c>
      <c r="W358" s="0" t="n">
        <v>0.96</v>
      </c>
      <c r="X358" s="0" t="n">
        <v>5.64</v>
      </c>
      <c r="Y358" s="0" t="n">
        <v>316.51</v>
      </c>
      <c r="Z358" s="0" t="n">
        <v>10.5</v>
      </c>
      <c r="AA358" s="0" t="n">
        <v>3.47</v>
      </c>
      <c r="AB358" s="0" t="n">
        <v>1.62</v>
      </c>
      <c r="AC358" s="22" t="b">
        <f aca="false">FALSE()</f>
        <v>0</v>
      </c>
      <c r="AD358" s="0" t="n">
        <v>25.96</v>
      </c>
      <c r="AE358" s="0" t="n">
        <v>13.33</v>
      </c>
      <c r="AF358" s="0" t="n">
        <v>20.72</v>
      </c>
      <c r="AG358" s="22" t="b">
        <f aca="false">TRUE()</f>
        <v>1</v>
      </c>
      <c r="AH358" s="0" t="n">
        <v>1</v>
      </c>
    </row>
    <row r="359" customFormat="false" ht="15" hidden="false" customHeight="false" outlineLevel="0" collapsed="false">
      <c r="A359" s="0" t="s">
        <v>702</v>
      </c>
      <c r="B359" s="0" t="s">
        <v>134</v>
      </c>
      <c r="C359" s="0" t="s">
        <v>3450</v>
      </c>
      <c r="D359" s="0" t="s">
        <v>3448</v>
      </c>
      <c r="E359" s="20" t="s">
        <v>25</v>
      </c>
      <c r="F359" s="20" t="s">
        <v>29</v>
      </c>
      <c r="G359" s="21" t="s">
        <v>61</v>
      </c>
      <c r="H359" s="21" t="s">
        <v>24</v>
      </c>
      <c r="I359" s="21" t="s">
        <v>24</v>
      </c>
      <c r="J359" s="21" t="s">
        <v>24</v>
      </c>
      <c r="K359" s="21" t="s">
        <v>25</v>
      </c>
      <c r="L359" s="21" t="s">
        <v>24</v>
      </c>
      <c r="M359" s="0" t="n">
        <v>183</v>
      </c>
      <c r="N359" s="0" t="n">
        <v>0</v>
      </c>
      <c r="Q359" s="0" t="n">
        <v>0</v>
      </c>
      <c r="S359" s="0" t="n">
        <v>0</v>
      </c>
      <c r="U359" s="22" t="b">
        <f aca="false">FALSE()</f>
        <v>0</v>
      </c>
      <c r="V359" s="0" t="n">
        <v>0.76</v>
      </c>
      <c r="W359" s="0" t="n">
        <v>0.56</v>
      </c>
      <c r="X359" s="0" t="n">
        <v>6.69</v>
      </c>
      <c r="Y359" s="0" t="n">
        <v>324.27</v>
      </c>
      <c r="Z359" s="0" t="n">
        <v>10.92</v>
      </c>
      <c r="AA359" s="0" t="n">
        <v>10.5</v>
      </c>
      <c r="AB359" s="0" t="n">
        <v>3.91</v>
      </c>
      <c r="AC359" s="22" t="b">
        <f aca="false">FALSE()</f>
        <v>0</v>
      </c>
      <c r="AD359" s="0" t="n">
        <v>27.13</v>
      </c>
      <c r="AE359" s="0" t="n">
        <v>1.05</v>
      </c>
      <c r="AF359" s="0" t="n">
        <v>24.83</v>
      </c>
      <c r="AG359" s="22" t="b">
        <f aca="false">TRUE()</f>
        <v>1</v>
      </c>
      <c r="AH359" s="0" t="n">
        <v>1</v>
      </c>
    </row>
    <row r="360" customFormat="false" ht="15" hidden="false" customHeight="false" outlineLevel="0" collapsed="false">
      <c r="A360" s="0" t="s">
        <v>702</v>
      </c>
      <c r="B360" s="0" t="s">
        <v>134</v>
      </c>
      <c r="C360" s="0" t="s">
        <v>3447</v>
      </c>
      <c r="D360" s="0" t="s">
        <v>3457</v>
      </c>
      <c r="E360" s="20" t="s">
        <v>25</v>
      </c>
      <c r="F360" s="23" t="s">
        <v>30</v>
      </c>
      <c r="G360" s="21" t="s">
        <v>183</v>
      </c>
      <c r="H360" s="21" t="s">
        <v>24</v>
      </c>
      <c r="I360" s="21" t="s">
        <v>25</v>
      </c>
      <c r="J360" s="21" t="s">
        <v>24</v>
      </c>
      <c r="K360" s="21" t="s">
        <v>25</v>
      </c>
      <c r="L360" s="21" t="s">
        <v>24</v>
      </c>
      <c r="M360" s="0" t="n">
        <v>183</v>
      </c>
      <c r="N360" s="0" t="n">
        <v>6</v>
      </c>
      <c r="O360" s="21" t="s">
        <v>3859</v>
      </c>
      <c r="P360" s="21" t="s">
        <v>4400</v>
      </c>
      <c r="Q360" s="0" t="n">
        <v>1</v>
      </c>
      <c r="R360" s="21" t="s">
        <v>69</v>
      </c>
      <c r="S360" s="0" t="n">
        <v>6</v>
      </c>
      <c r="T360" s="21" t="s">
        <v>3859</v>
      </c>
      <c r="U360" s="22" t="b">
        <f aca="false">TRUE()</f>
        <v>1</v>
      </c>
      <c r="V360" s="0" t="n">
        <v>0.71</v>
      </c>
      <c r="W360" s="0" t="n">
        <v>0.68</v>
      </c>
      <c r="X360" s="0" t="n">
        <v>6.95</v>
      </c>
      <c r="Y360" s="0" t="n">
        <v>320.45</v>
      </c>
      <c r="Z360" s="0" t="n">
        <v>9.08</v>
      </c>
      <c r="AA360" s="0" t="n">
        <v>-0.36</v>
      </c>
      <c r="AB360" s="0" t="n">
        <v>1.62</v>
      </c>
      <c r="AC360" s="22" t="b">
        <f aca="false">FALSE()</f>
        <v>0</v>
      </c>
      <c r="AD360" s="0" t="n">
        <v>22.87</v>
      </c>
      <c r="AE360" s="0" t="n">
        <v>9.95</v>
      </c>
      <c r="AF360" s="0" t="n">
        <v>16.07</v>
      </c>
      <c r="AG360" s="22" t="b">
        <f aca="false">TRUE()</f>
        <v>1</v>
      </c>
      <c r="AH360" s="0" t="n">
        <v>1</v>
      </c>
    </row>
    <row r="361" customFormat="false" ht="15" hidden="false" customHeight="false" outlineLevel="0" collapsed="false">
      <c r="A361" s="0" t="s">
        <v>702</v>
      </c>
      <c r="B361" s="0" t="s">
        <v>134</v>
      </c>
      <c r="C361" s="0" t="s">
        <v>3447</v>
      </c>
      <c r="D361" s="0" t="s">
        <v>3448</v>
      </c>
      <c r="E361" s="19" t="s">
        <v>26</v>
      </c>
      <c r="F361" s="19" t="s">
        <v>32</v>
      </c>
      <c r="G361" s="21" t="s">
        <v>1926</v>
      </c>
      <c r="H361" s="21" t="s">
        <v>24</v>
      </c>
      <c r="I361" s="21" t="s">
        <v>26</v>
      </c>
      <c r="J361" s="21" t="s">
        <v>24</v>
      </c>
      <c r="K361" s="21" t="s">
        <v>25</v>
      </c>
      <c r="L361" s="21" t="s">
        <v>24</v>
      </c>
      <c r="M361" s="0" t="n">
        <v>182</v>
      </c>
      <c r="N361" s="0" t="n">
        <v>10</v>
      </c>
      <c r="O361" s="21" t="s">
        <v>4011</v>
      </c>
      <c r="P361" s="21" t="s">
        <v>4248</v>
      </c>
      <c r="Q361" s="0" t="n">
        <v>1</v>
      </c>
      <c r="R361" s="21" t="s">
        <v>69</v>
      </c>
      <c r="S361" s="0" t="n">
        <v>10</v>
      </c>
      <c r="T361" s="21" t="s">
        <v>4011</v>
      </c>
      <c r="U361" s="22" t="b">
        <f aca="false">FALSE()</f>
        <v>0</v>
      </c>
      <c r="V361" s="0" t="n">
        <v>0.8</v>
      </c>
      <c r="W361" s="0" t="n">
        <v>0.28</v>
      </c>
      <c r="X361" s="0" t="n">
        <v>7.05</v>
      </c>
      <c r="Y361" s="0" t="n">
        <v>427.98</v>
      </c>
      <c r="Z361" s="0" t="n">
        <v>9.17</v>
      </c>
      <c r="AA361" s="0" t="n">
        <v>-0.62</v>
      </c>
      <c r="AB361" s="0" t="n">
        <v>3.91</v>
      </c>
      <c r="AC361" s="22" t="b">
        <f aca="false">FALSE()</f>
        <v>0</v>
      </c>
      <c r="AD361" s="0" t="n">
        <v>22.26</v>
      </c>
      <c r="AE361" s="0" t="n">
        <v>1.44</v>
      </c>
      <c r="AF361" s="0" t="n">
        <v>21.85</v>
      </c>
      <c r="AG361" s="22" t="b">
        <f aca="false">TRUE()</f>
        <v>1</v>
      </c>
      <c r="AH361" s="0" t="n">
        <v>2</v>
      </c>
    </row>
    <row r="362" customFormat="false" ht="15" hidden="false" customHeight="false" outlineLevel="0" collapsed="false">
      <c r="A362" s="0" t="s">
        <v>702</v>
      </c>
      <c r="B362" s="0" t="s">
        <v>3459</v>
      </c>
      <c r="C362" s="0" t="s">
        <v>3450</v>
      </c>
      <c r="D362" s="0" t="s">
        <v>3457</v>
      </c>
      <c r="E362" s="20" t="s">
        <v>25</v>
      </c>
      <c r="F362" s="23" t="s">
        <v>30</v>
      </c>
      <c r="G362" s="21" t="s">
        <v>294</v>
      </c>
      <c r="H362" s="21" t="s">
        <v>24</v>
      </c>
      <c r="I362" s="21" t="s">
        <v>25</v>
      </c>
      <c r="J362" s="21" t="s">
        <v>24</v>
      </c>
      <c r="K362" s="21" t="s">
        <v>25</v>
      </c>
      <c r="L362" s="21" t="s">
        <v>24</v>
      </c>
      <c r="M362" s="0" t="n">
        <v>185</v>
      </c>
      <c r="N362" s="0" t="n">
        <v>1</v>
      </c>
      <c r="O362" s="21" t="s">
        <v>69</v>
      </c>
      <c r="P362" s="21" t="s">
        <v>4275</v>
      </c>
      <c r="Q362" s="0" t="n">
        <v>1</v>
      </c>
      <c r="R362" s="21" t="s">
        <v>69</v>
      </c>
      <c r="S362" s="0" t="n">
        <v>1</v>
      </c>
      <c r="T362" s="21" t="s">
        <v>69</v>
      </c>
      <c r="U362" s="22" t="b">
        <f aca="false">TRUE()</f>
        <v>1</v>
      </c>
      <c r="V362" s="0" t="n">
        <v>0.76</v>
      </c>
      <c r="W362" s="0" t="n">
        <v>0.2</v>
      </c>
      <c r="X362" s="0" t="n">
        <v>5.91</v>
      </c>
      <c r="Y362" s="0" t="n">
        <v>381.64</v>
      </c>
      <c r="Z362" s="0" t="n">
        <v>11.08</v>
      </c>
      <c r="AA362" s="0" t="n">
        <v>2.15</v>
      </c>
      <c r="AB362" s="0" t="n">
        <v>0.58</v>
      </c>
      <c r="AC362" s="22" t="b">
        <f aca="false">TRUE()</f>
        <v>1</v>
      </c>
      <c r="AD362" s="0" t="n">
        <v>29.32</v>
      </c>
      <c r="AE362" s="0" t="n">
        <v>17.59</v>
      </c>
      <c r="AF362" s="0" t="n">
        <v>24.29</v>
      </c>
      <c r="AG362" s="22" t="b">
        <f aca="false">TRUE()</f>
        <v>1</v>
      </c>
      <c r="AH362" s="0" t="n">
        <v>1</v>
      </c>
    </row>
    <row r="363" customFormat="false" ht="15" hidden="false" customHeight="false" outlineLevel="0" collapsed="false">
      <c r="A363" s="0" t="s">
        <v>702</v>
      </c>
      <c r="B363" s="0" t="s">
        <v>3459</v>
      </c>
      <c r="C363" s="0" t="s">
        <v>3450</v>
      </c>
      <c r="D363" s="0" t="s">
        <v>3448</v>
      </c>
      <c r="E363" s="20" t="s">
        <v>25</v>
      </c>
      <c r="F363" s="23" t="s">
        <v>30</v>
      </c>
      <c r="G363" s="21" t="s">
        <v>183</v>
      </c>
      <c r="H363" s="21" t="s">
        <v>24</v>
      </c>
      <c r="I363" s="21" t="s">
        <v>25</v>
      </c>
      <c r="J363" s="21" t="s">
        <v>24</v>
      </c>
      <c r="K363" s="21" t="s">
        <v>25</v>
      </c>
      <c r="L363" s="21" t="s">
        <v>24</v>
      </c>
      <c r="M363" s="0" t="n">
        <v>195</v>
      </c>
      <c r="N363" s="0" t="n">
        <v>1</v>
      </c>
      <c r="O363" s="21" t="s">
        <v>69</v>
      </c>
      <c r="P363" s="21" t="s">
        <v>4275</v>
      </c>
      <c r="Q363" s="0" t="n">
        <v>1</v>
      </c>
      <c r="R363" s="21" t="s">
        <v>69</v>
      </c>
      <c r="S363" s="0" t="n">
        <v>1</v>
      </c>
      <c r="T363" s="21" t="s">
        <v>69</v>
      </c>
      <c r="U363" s="22" t="b">
        <f aca="false">TRUE()</f>
        <v>1</v>
      </c>
      <c r="V363" s="0" t="n">
        <v>0.74</v>
      </c>
      <c r="W363" s="0" t="n">
        <v>0.92</v>
      </c>
      <c r="X363" s="0" t="n">
        <v>6.22</v>
      </c>
      <c r="Y363" s="0" t="n">
        <v>339.81</v>
      </c>
      <c r="Z363" s="0" t="n">
        <v>10.42</v>
      </c>
      <c r="AA363" s="0" t="n">
        <v>11.35</v>
      </c>
      <c r="AB363" s="0" t="n">
        <v>4.89</v>
      </c>
      <c r="AC363" s="22" t="b">
        <f aca="false">FALSE()</f>
        <v>0</v>
      </c>
      <c r="AD363" s="0" t="n">
        <v>22.36</v>
      </c>
      <c r="AE363" s="0" t="n">
        <v>11.43</v>
      </c>
      <c r="AF363" s="0" t="n">
        <v>18.74</v>
      </c>
      <c r="AG363" s="22" t="b">
        <f aca="false">TRUE()</f>
        <v>1</v>
      </c>
      <c r="AH363" s="0" t="n">
        <v>1</v>
      </c>
    </row>
    <row r="364" customFormat="false" ht="15" hidden="false" customHeight="false" outlineLevel="0" collapsed="false">
      <c r="A364" s="0" t="s">
        <v>702</v>
      </c>
      <c r="B364" s="0" t="s">
        <v>3459</v>
      </c>
      <c r="C364" s="0" t="s">
        <v>3447</v>
      </c>
      <c r="D364" s="0" t="s">
        <v>3457</v>
      </c>
      <c r="E364" s="20" t="s">
        <v>25</v>
      </c>
      <c r="F364" s="23" t="s">
        <v>30</v>
      </c>
      <c r="G364" s="21" t="s">
        <v>163</v>
      </c>
      <c r="H364" s="21" t="s">
        <v>24</v>
      </c>
      <c r="I364" s="21" t="s">
        <v>25</v>
      </c>
      <c r="J364" s="21" t="s">
        <v>24</v>
      </c>
      <c r="K364" s="21" t="s">
        <v>25</v>
      </c>
      <c r="L364" s="21" t="s">
        <v>24</v>
      </c>
      <c r="M364" s="0" t="n">
        <v>188</v>
      </c>
      <c r="N364" s="0" t="n">
        <v>4</v>
      </c>
      <c r="O364" s="21" t="s">
        <v>3784</v>
      </c>
      <c r="P364" s="21" t="s">
        <v>4401</v>
      </c>
      <c r="Q364" s="0" t="n">
        <v>1</v>
      </c>
      <c r="R364" s="21" t="s">
        <v>69</v>
      </c>
      <c r="S364" s="0" t="n">
        <v>4</v>
      </c>
      <c r="T364" s="21" t="s">
        <v>3784</v>
      </c>
      <c r="U364" s="22" t="b">
        <f aca="false">TRUE()</f>
        <v>1</v>
      </c>
      <c r="V364" s="0" t="n">
        <v>0.75</v>
      </c>
      <c r="W364" s="0" t="n">
        <v>0.92</v>
      </c>
      <c r="X364" s="0" t="n">
        <v>6.19</v>
      </c>
      <c r="Y364" s="0" t="n">
        <v>287.92</v>
      </c>
      <c r="Z364" s="0" t="n">
        <v>8</v>
      </c>
      <c r="AA364" s="0" t="n">
        <v>-0.76</v>
      </c>
      <c r="AB364" s="0" t="n">
        <v>0.58</v>
      </c>
      <c r="AC364" s="22" t="b">
        <f aca="false">FALSE()</f>
        <v>0</v>
      </c>
      <c r="AD364" s="0" t="n">
        <v>26.36</v>
      </c>
      <c r="AE364" s="0" t="n">
        <v>16.71</v>
      </c>
      <c r="AF364" s="0" t="n">
        <v>23.71</v>
      </c>
      <c r="AG364" s="22" t="b">
        <f aca="false">TRUE()</f>
        <v>1</v>
      </c>
      <c r="AH364" s="0" t="n">
        <v>1</v>
      </c>
    </row>
    <row r="365" customFormat="false" ht="15" hidden="false" customHeight="false" outlineLevel="0" collapsed="false">
      <c r="A365" s="0" t="s">
        <v>702</v>
      </c>
      <c r="B365" s="0" t="s">
        <v>3459</v>
      </c>
      <c r="C365" s="0" t="s">
        <v>3447</v>
      </c>
      <c r="D365" s="0" t="s">
        <v>3448</v>
      </c>
      <c r="E365" s="20" t="s">
        <v>25</v>
      </c>
      <c r="F365" s="23" t="s">
        <v>30</v>
      </c>
      <c r="G365" s="21" t="s">
        <v>992</v>
      </c>
      <c r="H365" s="21" t="s">
        <v>24</v>
      </c>
      <c r="I365" s="21" t="s">
        <v>24</v>
      </c>
      <c r="J365" s="21" t="s">
        <v>24</v>
      </c>
      <c r="K365" s="21" t="s">
        <v>25</v>
      </c>
      <c r="L365" s="21" t="s">
        <v>24</v>
      </c>
      <c r="M365" s="0" t="n">
        <v>184</v>
      </c>
      <c r="N365" s="0" t="n">
        <v>4</v>
      </c>
      <c r="O365" s="21" t="s">
        <v>3661</v>
      </c>
      <c r="P365" s="21" t="s">
        <v>4402</v>
      </c>
      <c r="Q365" s="0" t="n">
        <v>0</v>
      </c>
      <c r="S365" s="0" t="n">
        <v>4</v>
      </c>
      <c r="T365" s="21" t="s">
        <v>3661</v>
      </c>
      <c r="U365" s="22" t="b">
        <f aca="false">TRUE()</f>
        <v>1</v>
      </c>
      <c r="V365" s="0" t="n">
        <v>0.75</v>
      </c>
      <c r="W365" s="0" t="n">
        <v>0.16</v>
      </c>
      <c r="X365" s="0" t="n">
        <v>7.25</v>
      </c>
      <c r="Y365" s="0" t="n">
        <v>564.27</v>
      </c>
      <c r="Z365" s="0" t="n">
        <v>8.75</v>
      </c>
      <c r="AA365" s="0" t="n">
        <v>0.99</v>
      </c>
      <c r="AB365" s="0" t="n">
        <v>4.89</v>
      </c>
      <c r="AC365" s="22" t="b">
        <f aca="false">FALSE()</f>
        <v>0</v>
      </c>
      <c r="AD365" s="0" t="n">
        <v>21.76</v>
      </c>
      <c r="AE365" s="0" t="n">
        <v>10.71</v>
      </c>
      <c r="AF365" s="0" t="n">
        <v>17.13</v>
      </c>
      <c r="AG365" s="22" t="b">
        <f aca="false">TRUE()</f>
        <v>1</v>
      </c>
      <c r="AH365" s="0" t="n">
        <v>1</v>
      </c>
    </row>
    <row r="366" customFormat="false" ht="15" hidden="false" customHeight="false" outlineLevel="0" collapsed="false">
      <c r="A366" s="0" t="s">
        <v>714</v>
      </c>
      <c r="B366" s="0" t="s">
        <v>134</v>
      </c>
      <c r="C366" s="0" t="s">
        <v>3450</v>
      </c>
      <c r="D366" s="0" t="s">
        <v>3457</v>
      </c>
      <c r="E366" s="19" t="s">
        <v>26</v>
      </c>
      <c r="F366" s="19" t="s">
        <v>32</v>
      </c>
      <c r="G366" s="21" t="s">
        <v>60</v>
      </c>
      <c r="H366" s="21" t="s">
        <v>24</v>
      </c>
      <c r="I366" s="21" t="s">
        <v>26</v>
      </c>
      <c r="J366" s="21" t="s">
        <v>24</v>
      </c>
      <c r="K366" s="21" t="s">
        <v>24</v>
      </c>
      <c r="L366" s="21" t="s">
        <v>24</v>
      </c>
      <c r="M366" s="0" t="n">
        <v>187</v>
      </c>
      <c r="N366" s="0" t="n">
        <v>10</v>
      </c>
      <c r="O366" s="21" t="s">
        <v>3956</v>
      </c>
      <c r="P366" s="21" t="s">
        <v>4403</v>
      </c>
      <c r="Q366" s="0" t="n">
        <v>0</v>
      </c>
      <c r="S366" s="0" t="n">
        <v>10</v>
      </c>
      <c r="T366" s="21" t="s">
        <v>3956</v>
      </c>
      <c r="U366" s="22" t="b">
        <f aca="false">FALSE()</f>
        <v>0</v>
      </c>
      <c r="V366" s="0" t="n">
        <v>0.74</v>
      </c>
      <c r="W366" s="0" t="n">
        <v>0.88</v>
      </c>
      <c r="X366" s="0" t="n">
        <v>9.09</v>
      </c>
      <c r="Y366" s="0" t="n">
        <v>289.9</v>
      </c>
      <c r="Z366" s="0" t="n">
        <v>9</v>
      </c>
      <c r="AA366" s="0" t="n">
        <v>17.68</v>
      </c>
      <c r="AB366" s="0" t="n">
        <v>7.97</v>
      </c>
      <c r="AC366" s="22" t="b">
        <f aca="false">FALSE()</f>
        <v>0</v>
      </c>
      <c r="AD366" s="0" t="n">
        <v>9.71</v>
      </c>
      <c r="AE366" s="0" t="n">
        <v>0.91</v>
      </c>
      <c r="AF366" s="0" t="n">
        <v>13.95</v>
      </c>
      <c r="AG366" s="22" t="b">
        <f aca="false">FALSE()</f>
        <v>0</v>
      </c>
      <c r="AH366" s="0" t="n">
        <v>1</v>
      </c>
    </row>
    <row r="367" customFormat="false" ht="15" hidden="false" customHeight="false" outlineLevel="0" collapsed="false">
      <c r="A367" s="0" t="s">
        <v>714</v>
      </c>
      <c r="B367" s="0" t="s">
        <v>134</v>
      </c>
      <c r="C367" s="0" t="s">
        <v>3450</v>
      </c>
      <c r="D367" s="0" t="s">
        <v>3448</v>
      </c>
      <c r="E367" s="19" t="s">
        <v>26</v>
      </c>
      <c r="F367" s="19" t="s">
        <v>32</v>
      </c>
      <c r="G367" s="21" t="s">
        <v>3912</v>
      </c>
      <c r="H367" s="21" t="s">
        <v>24</v>
      </c>
      <c r="I367" s="21" t="s">
        <v>26</v>
      </c>
      <c r="J367" s="21" t="s">
        <v>24</v>
      </c>
      <c r="K367" s="21" t="s">
        <v>25</v>
      </c>
      <c r="L367" s="21" t="s">
        <v>24</v>
      </c>
      <c r="M367" s="0" t="n">
        <v>184</v>
      </c>
      <c r="N367" s="0" t="n">
        <v>9</v>
      </c>
      <c r="O367" s="21" t="s">
        <v>3947</v>
      </c>
      <c r="P367" s="21" t="s">
        <v>4404</v>
      </c>
      <c r="Q367" s="0" t="n">
        <v>0</v>
      </c>
      <c r="S367" s="0" t="n">
        <v>9</v>
      </c>
      <c r="T367" s="21" t="s">
        <v>3947</v>
      </c>
      <c r="U367" s="22" t="b">
        <f aca="false">FALSE()</f>
        <v>0</v>
      </c>
      <c r="V367" s="0" t="n">
        <v>0.74</v>
      </c>
      <c r="W367" s="0" t="n">
        <v>0.88</v>
      </c>
      <c r="X367" s="0" t="n">
        <v>9.25</v>
      </c>
      <c r="Y367" s="0" t="n">
        <v>320.21</v>
      </c>
      <c r="Z367" s="0" t="n">
        <v>8.83</v>
      </c>
      <c r="AA367" s="0" t="n">
        <v>2.5</v>
      </c>
      <c r="AB367" s="0" t="n">
        <v>7.19</v>
      </c>
      <c r="AC367" s="22" t="b">
        <f aca="false">FALSE()</f>
        <v>0</v>
      </c>
      <c r="AD367" s="0" t="n">
        <v>1</v>
      </c>
      <c r="AE367" s="0" t="n">
        <v>0.28</v>
      </c>
      <c r="AF367" s="0" t="n">
        <v>1.76</v>
      </c>
      <c r="AG367" s="22" t="b">
        <f aca="false">FALSE()</f>
        <v>0</v>
      </c>
      <c r="AH367" s="0" t="n">
        <v>1</v>
      </c>
    </row>
    <row r="368" customFormat="false" ht="15" hidden="false" customHeight="false" outlineLevel="0" collapsed="false">
      <c r="A368" s="0" t="s">
        <v>714</v>
      </c>
      <c r="B368" s="0" t="s">
        <v>134</v>
      </c>
      <c r="C368" s="0" t="s">
        <v>3447</v>
      </c>
      <c r="D368" s="0" t="s">
        <v>3457</v>
      </c>
      <c r="E368" s="19" t="s">
        <v>26</v>
      </c>
      <c r="F368" s="19" t="s">
        <v>32</v>
      </c>
      <c r="G368" s="21" t="s">
        <v>529</v>
      </c>
      <c r="H368" s="21" t="s">
        <v>24</v>
      </c>
      <c r="I368" s="21" t="s">
        <v>26</v>
      </c>
      <c r="J368" s="21" t="s">
        <v>24</v>
      </c>
      <c r="K368" s="21" t="s">
        <v>24</v>
      </c>
      <c r="L368" s="21" t="s">
        <v>24</v>
      </c>
      <c r="M368" s="0" t="n">
        <v>182</v>
      </c>
      <c r="N368" s="0" t="n">
        <v>7</v>
      </c>
      <c r="O368" s="21" t="s">
        <v>3996</v>
      </c>
      <c r="P368" s="21" t="s">
        <v>4405</v>
      </c>
      <c r="Q368" s="0" t="n">
        <v>1</v>
      </c>
      <c r="R368" s="21" t="s">
        <v>69</v>
      </c>
      <c r="S368" s="0" t="n">
        <v>7</v>
      </c>
      <c r="T368" s="21" t="s">
        <v>3996</v>
      </c>
      <c r="U368" s="22" t="b">
        <f aca="false">FALSE()</f>
        <v>0</v>
      </c>
      <c r="V368" s="0" t="n">
        <v>0.72</v>
      </c>
      <c r="W368" s="0" t="n">
        <v>0</v>
      </c>
      <c r="X368" s="0" t="n">
        <v>6.41</v>
      </c>
      <c r="Y368" s="0" t="n">
        <v>659.5</v>
      </c>
      <c r="Z368" s="0" t="n">
        <v>9.08</v>
      </c>
      <c r="AA368" s="0" t="n">
        <v>8.16</v>
      </c>
      <c r="AB368" s="0" t="n">
        <v>7.97</v>
      </c>
      <c r="AC368" s="22" t="b">
        <f aca="false">FALSE()</f>
        <v>0</v>
      </c>
      <c r="AD368" s="0" t="n">
        <v>12.39</v>
      </c>
      <c r="AE368" s="0" t="n">
        <v>0.24</v>
      </c>
      <c r="AF368" s="0" t="n">
        <v>14.34</v>
      </c>
      <c r="AG368" s="22" t="b">
        <f aca="false">TRUE()</f>
        <v>1</v>
      </c>
      <c r="AH368" s="0" t="n">
        <v>1</v>
      </c>
    </row>
    <row r="369" customFormat="false" ht="15" hidden="false" customHeight="false" outlineLevel="0" collapsed="false">
      <c r="A369" s="0" t="s">
        <v>714</v>
      </c>
      <c r="B369" s="0" t="s">
        <v>134</v>
      </c>
      <c r="C369" s="0" t="s">
        <v>3447</v>
      </c>
      <c r="D369" s="0" t="s">
        <v>3448</v>
      </c>
      <c r="E369" s="18" t="s">
        <v>24</v>
      </c>
      <c r="F369" s="23" t="s">
        <v>30</v>
      </c>
      <c r="G369" s="21" t="s">
        <v>30</v>
      </c>
      <c r="H369" s="21" t="s">
        <v>24</v>
      </c>
      <c r="I369" s="21" t="s">
        <v>24</v>
      </c>
      <c r="J369" s="21" t="s">
        <v>24</v>
      </c>
      <c r="K369" s="21" t="s">
        <v>24</v>
      </c>
      <c r="L369" s="21" t="s">
        <v>24</v>
      </c>
      <c r="M369" s="0" t="n">
        <v>182</v>
      </c>
      <c r="N369" s="0" t="n">
        <v>3</v>
      </c>
      <c r="O369" s="21" t="s">
        <v>3544</v>
      </c>
      <c r="P369" s="21" t="s">
        <v>4406</v>
      </c>
      <c r="Q369" s="0" t="n">
        <v>0</v>
      </c>
      <c r="S369" s="0" t="n">
        <v>3</v>
      </c>
      <c r="T369" s="21" t="s">
        <v>3544</v>
      </c>
      <c r="U369" s="22" t="b">
        <f aca="false">TRUE()</f>
        <v>1</v>
      </c>
      <c r="V369" s="0" t="n">
        <v>0.78</v>
      </c>
      <c r="W369" s="0" t="n">
        <v>0.2</v>
      </c>
      <c r="X369" s="0" t="n">
        <v>10.03</v>
      </c>
      <c r="Y369" s="0" t="n">
        <v>502.8</v>
      </c>
      <c r="Z369" s="0" t="n">
        <v>9.17</v>
      </c>
      <c r="AA369" s="0" t="n">
        <v>10.67</v>
      </c>
      <c r="AB369" s="0" t="n">
        <v>7.19</v>
      </c>
      <c r="AC369" s="22" t="b">
        <f aca="false">FALSE()</f>
        <v>0</v>
      </c>
      <c r="AD369" s="0" t="n">
        <v>5.51</v>
      </c>
      <c r="AE369" s="0" t="n">
        <v>0.21</v>
      </c>
      <c r="AF369" s="0" t="n">
        <v>3.2</v>
      </c>
      <c r="AG369" s="22" t="b">
        <f aca="false">FALSE()</f>
        <v>0</v>
      </c>
      <c r="AH369" s="0" t="n">
        <v>1</v>
      </c>
    </row>
    <row r="370" customFormat="false" ht="15" hidden="false" customHeight="false" outlineLevel="0" collapsed="false">
      <c r="A370" s="0" t="s">
        <v>714</v>
      </c>
      <c r="B370" s="0" t="s">
        <v>3459</v>
      </c>
      <c r="C370" s="0" t="s">
        <v>3450</v>
      </c>
      <c r="D370" s="0" t="s">
        <v>3457</v>
      </c>
      <c r="E370" s="19" t="s">
        <v>26</v>
      </c>
      <c r="F370" s="19" t="s">
        <v>32</v>
      </c>
      <c r="G370" s="21" t="s">
        <v>3896</v>
      </c>
      <c r="H370" s="21" t="s">
        <v>24</v>
      </c>
      <c r="I370" s="21" t="s">
        <v>26</v>
      </c>
      <c r="J370" s="21" t="s">
        <v>24</v>
      </c>
      <c r="K370" s="21" t="s">
        <v>25</v>
      </c>
      <c r="L370" s="21" t="s">
        <v>24</v>
      </c>
      <c r="M370" s="0" t="n">
        <v>183</v>
      </c>
      <c r="N370" s="0" t="n">
        <v>11</v>
      </c>
      <c r="O370" s="21" t="s">
        <v>3994</v>
      </c>
      <c r="P370" s="21" t="s">
        <v>4407</v>
      </c>
      <c r="Q370" s="0" t="n">
        <v>0</v>
      </c>
      <c r="S370" s="0" t="n">
        <v>11</v>
      </c>
      <c r="T370" s="21" t="s">
        <v>3994</v>
      </c>
      <c r="U370" s="22" t="b">
        <f aca="false">FALSE()</f>
        <v>0</v>
      </c>
      <c r="V370" s="0" t="n">
        <v>0.74</v>
      </c>
      <c r="W370" s="0" t="n">
        <v>0.68</v>
      </c>
      <c r="X370" s="0" t="n">
        <v>8.69</v>
      </c>
      <c r="Y370" s="0" t="n">
        <v>219.77</v>
      </c>
      <c r="Z370" s="0" t="n">
        <v>9</v>
      </c>
      <c r="AA370" s="0" t="n">
        <v>17.72</v>
      </c>
      <c r="AB370" s="0" t="n">
        <v>4.18</v>
      </c>
      <c r="AC370" s="22" t="b">
        <f aca="false">FALSE()</f>
        <v>0</v>
      </c>
      <c r="AD370" s="0" t="n">
        <v>24.71</v>
      </c>
      <c r="AE370" s="0" t="n">
        <v>10.43</v>
      </c>
      <c r="AF370" s="0" t="n">
        <v>20.17</v>
      </c>
      <c r="AG370" s="22" t="b">
        <f aca="false">TRUE()</f>
        <v>1</v>
      </c>
      <c r="AH370" s="0" t="n">
        <v>1</v>
      </c>
    </row>
    <row r="371" customFormat="false" ht="15" hidden="false" customHeight="false" outlineLevel="0" collapsed="false">
      <c r="A371" s="0" t="s">
        <v>714</v>
      </c>
      <c r="B371" s="0" t="s">
        <v>3459</v>
      </c>
      <c r="C371" s="0" t="s">
        <v>3450</v>
      </c>
      <c r="D371" s="0" t="s">
        <v>3448</v>
      </c>
      <c r="E371" s="19" t="s">
        <v>26</v>
      </c>
      <c r="F371" s="19" t="s">
        <v>32</v>
      </c>
      <c r="G371" s="21" t="s">
        <v>1926</v>
      </c>
      <c r="H371" s="21" t="s">
        <v>24</v>
      </c>
      <c r="I371" s="21" t="s">
        <v>26</v>
      </c>
      <c r="J371" s="21" t="s">
        <v>24</v>
      </c>
      <c r="K371" s="21" t="s">
        <v>25</v>
      </c>
      <c r="L371" s="21" t="s">
        <v>24</v>
      </c>
      <c r="M371" s="0" t="n">
        <v>181</v>
      </c>
      <c r="N371" s="0" t="n">
        <v>10</v>
      </c>
      <c r="O371" s="21" t="s">
        <v>4091</v>
      </c>
      <c r="P371" s="21" t="s">
        <v>4408</v>
      </c>
      <c r="Q371" s="0" t="n">
        <v>1</v>
      </c>
      <c r="R371" s="21" t="s">
        <v>69</v>
      </c>
      <c r="S371" s="0" t="n">
        <v>10</v>
      </c>
      <c r="T371" s="21" t="s">
        <v>4091</v>
      </c>
      <c r="U371" s="22" t="b">
        <f aca="false">FALSE()</f>
        <v>0</v>
      </c>
      <c r="V371" s="0" t="n">
        <v>0.73</v>
      </c>
      <c r="W371" s="0" t="n">
        <v>0</v>
      </c>
      <c r="X371" s="0" t="n">
        <v>9.26</v>
      </c>
      <c r="Y371" s="0" t="n">
        <v>658.02</v>
      </c>
      <c r="Z371" s="0" t="n">
        <v>9</v>
      </c>
      <c r="AA371" s="0" t="n">
        <v>17.54</v>
      </c>
      <c r="AB371" s="0" t="n">
        <v>2.04</v>
      </c>
      <c r="AC371" s="22" t="b">
        <f aca="false">FALSE()</f>
        <v>0</v>
      </c>
      <c r="AD371" s="0" t="n">
        <v>20.21</v>
      </c>
      <c r="AE371" s="0" t="n">
        <v>5.4</v>
      </c>
      <c r="AF371" s="0" t="n">
        <v>16.69</v>
      </c>
      <c r="AG371" s="22" t="b">
        <f aca="false">TRUE()</f>
        <v>1</v>
      </c>
      <c r="AH371" s="0" t="n">
        <v>1</v>
      </c>
    </row>
    <row r="372" customFormat="false" ht="15" hidden="false" customHeight="false" outlineLevel="0" collapsed="false">
      <c r="A372" s="0" t="s">
        <v>714</v>
      </c>
      <c r="B372" s="0" t="s">
        <v>3459</v>
      </c>
      <c r="C372" s="0" t="s">
        <v>3447</v>
      </c>
      <c r="D372" s="0" t="s">
        <v>3457</v>
      </c>
      <c r="E372" s="20" t="s">
        <v>25</v>
      </c>
      <c r="F372" s="23" t="s">
        <v>30</v>
      </c>
      <c r="G372" s="21" t="s">
        <v>992</v>
      </c>
      <c r="H372" s="21" t="s">
        <v>24</v>
      </c>
      <c r="I372" s="21" t="s">
        <v>24</v>
      </c>
      <c r="J372" s="21" t="s">
        <v>24</v>
      </c>
      <c r="K372" s="21" t="s">
        <v>25</v>
      </c>
      <c r="L372" s="21" t="s">
        <v>24</v>
      </c>
      <c r="M372" s="0" t="n">
        <v>192</v>
      </c>
      <c r="N372" s="0" t="n">
        <v>2</v>
      </c>
      <c r="O372" s="21" t="s">
        <v>3523</v>
      </c>
      <c r="P372" s="21" t="s">
        <v>4394</v>
      </c>
      <c r="Q372" s="0" t="n">
        <v>0</v>
      </c>
      <c r="S372" s="0" t="n">
        <v>2</v>
      </c>
      <c r="T372" s="21" t="s">
        <v>3523</v>
      </c>
      <c r="U372" s="22" t="b">
        <f aca="false">TRUE()</f>
        <v>1</v>
      </c>
      <c r="V372" s="0" t="n">
        <v>0.81</v>
      </c>
      <c r="W372" s="0" t="n">
        <v>0.36</v>
      </c>
      <c r="X372" s="0" t="n">
        <v>9.32</v>
      </c>
      <c r="Y372" s="0" t="n">
        <v>305.14</v>
      </c>
      <c r="Z372" s="0" t="n">
        <v>9</v>
      </c>
      <c r="AA372" s="0" t="n">
        <v>8.71</v>
      </c>
      <c r="AB372" s="0" t="n">
        <v>4.18</v>
      </c>
      <c r="AC372" s="22" t="b">
        <f aca="false">FALSE()</f>
        <v>0</v>
      </c>
      <c r="AD372" s="0" t="n">
        <v>22.67</v>
      </c>
      <c r="AE372" s="0" t="n">
        <v>9.68</v>
      </c>
      <c r="AF372" s="0" t="n">
        <v>20.02</v>
      </c>
      <c r="AG372" s="22" t="b">
        <f aca="false">TRUE()</f>
        <v>1</v>
      </c>
      <c r="AH372" s="0" t="n">
        <v>1</v>
      </c>
    </row>
    <row r="373" customFormat="false" ht="15" hidden="false" customHeight="false" outlineLevel="0" collapsed="false">
      <c r="A373" s="0" t="s">
        <v>714</v>
      </c>
      <c r="B373" s="0" t="s">
        <v>3459</v>
      </c>
      <c r="C373" s="0" t="s">
        <v>3447</v>
      </c>
      <c r="D373" s="0" t="s">
        <v>3448</v>
      </c>
      <c r="E373" s="18" t="s">
        <v>24</v>
      </c>
      <c r="F373" s="23" t="s">
        <v>30</v>
      </c>
      <c r="G373" s="21" t="s">
        <v>30</v>
      </c>
      <c r="H373" s="21" t="s">
        <v>24</v>
      </c>
      <c r="I373" s="21" t="s">
        <v>24</v>
      </c>
      <c r="J373" s="21" t="s">
        <v>24</v>
      </c>
      <c r="K373" s="21" t="s">
        <v>24</v>
      </c>
      <c r="L373" s="21" t="s">
        <v>24</v>
      </c>
      <c r="M373" s="0" t="n">
        <v>182</v>
      </c>
      <c r="N373" s="0" t="n">
        <v>3</v>
      </c>
      <c r="O373" s="21" t="s">
        <v>3565</v>
      </c>
      <c r="P373" s="21" t="s">
        <v>4409</v>
      </c>
      <c r="Q373" s="0" t="n">
        <v>0</v>
      </c>
      <c r="S373" s="0" t="n">
        <v>3</v>
      </c>
      <c r="T373" s="21" t="s">
        <v>3565</v>
      </c>
      <c r="U373" s="22" t="b">
        <f aca="false">TRUE()</f>
        <v>1</v>
      </c>
      <c r="V373" s="0" t="n">
        <v>0.77</v>
      </c>
      <c r="W373" s="0" t="n">
        <v>0.6</v>
      </c>
      <c r="X373" s="0" t="n">
        <v>10.14</v>
      </c>
      <c r="Y373" s="0" t="n">
        <v>307.79</v>
      </c>
      <c r="Z373" s="0" t="n">
        <v>9</v>
      </c>
      <c r="AA373" s="0" t="n">
        <v>6.92</v>
      </c>
      <c r="AB373" s="0" t="n">
        <v>2.04</v>
      </c>
      <c r="AC373" s="22" t="b">
        <f aca="false">FALSE()</f>
        <v>0</v>
      </c>
      <c r="AD373" s="0" t="n">
        <v>18.96</v>
      </c>
      <c r="AE373" s="0" t="n">
        <v>5.61</v>
      </c>
      <c r="AF373" s="0" t="n">
        <v>14.95</v>
      </c>
      <c r="AG373" s="22" t="b">
        <f aca="false">TRUE()</f>
        <v>1</v>
      </c>
      <c r="AH373" s="0" t="n">
        <v>1</v>
      </c>
    </row>
    <row r="374" customFormat="false" ht="15" hidden="false" customHeight="false" outlineLevel="0" collapsed="false">
      <c r="A374" s="0" t="s">
        <v>720</v>
      </c>
      <c r="B374" s="0" t="s">
        <v>134</v>
      </c>
      <c r="C374" s="0" t="s">
        <v>3450</v>
      </c>
      <c r="D374" s="0" t="s">
        <v>3457</v>
      </c>
      <c r="E374" s="20" t="s">
        <v>25</v>
      </c>
      <c r="F374" s="23" t="s">
        <v>30</v>
      </c>
      <c r="G374" s="21" t="s">
        <v>1152</v>
      </c>
      <c r="H374" s="21" t="s">
        <v>24</v>
      </c>
      <c r="I374" s="21" t="s">
        <v>25</v>
      </c>
      <c r="J374" s="21" t="s">
        <v>24</v>
      </c>
      <c r="K374" s="21" t="s">
        <v>25</v>
      </c>
      <c r="L374" s="21" t="s">
        <v>24</v>
      </c>
      <c r="M374" s="0" t="n">
        <v>183</v>
      </c>
      <c r="N374" s="0" t="n">
        <v>2</v>
      </c>
      <c r="O374" s="21" t="s">
        <v>3566</v>
      </c>
      <c r="P374" s="21" t="s">
        <v>4238</v>
      </c>
      <c r="Q374" s="0" t="n">
        <v>1</v>
      </c>
      <c r="R374" s="21" t="s">
        <v>69</v>
      </c>
      <c r="S374" s="0" t="n">
        <v>2</v>
      </c>
      <c r="T374" s="21" t="s">
        <v>3566</v>
      </c>
      <c r="U374" s="22" t="b">
        <f aca="false">TRUE()</f>
        <v>1</v>
      </c>
      <c r="V374" s="0" t="n">
        <v>0.71</v>
      </c>
      <c r="W374" s="0" t="n">
        <v>0.12</v>
      </c>
      <c r="X374" s="0" t="n">
        <v>8.62</v>
      </c>
      <c r="Y374" s="0" t="n">
        <v>597.43</v>
      </c>
      <c r="Z374" s="0" t="n">
        <v>10.5</v>
      </c>
      <c r="AA374" s="0" t="n">
        <v>5.8</v>
      </c>
      <c r="AB374" s="0" t="n">
        <v>0.5</v>
      </c>
      <c r="AC374" s="22" t="b">
        <f aca="false">FALSE()</f>
        <v>0</v>
      </c>
      <c r="AD374" s="0" t="n">
        <v>18.82</v>
      </c>
      <c r="AE374" s="0" t="n">
        <v>0.58</v>
      </c>
      <c r="AF374" s="0" t="n">
        <v>21.24</v>
      </c>
      <c r="AG374" s="22" t="b">
        <f aca="false">TRUE()</f>
        <v>1</v>
      </c>
      <c r="AH374" s="0" t="n">
        <v>1</v>
      </c>
    </row>
    <row r="375" customFormat="false" ht="15" hidden="false" customHeight="false" outlineLevel="0" collapsed="false">
      <c r="A375" s="0" t="s">
        <v>720</v>
      </c>
      <c r="B375" s="0" t="s">
        <v>134</v>
      </c>
      <c r="C375" s="0" t="s">
        <v>3450</v>
      </c>
      <c r="D375" s="0" t="s">
        <v>3448</v>
      </c>
      <c r="E375" s="20" t="s">
        <v>25</v>
      </c>
      <c r="F375" s="20" t="s">
        <v>29</v>
      </c>
      <c r="G375" s="21" t="s">
        <v>62</v>
      </c>
      <c r="H375" s="21" t="s">
        <v>24</v>
      </c>
      <c r="I375" s="21" t="s">
        <v>24</v>
      </c>
      <c r="J375" s="21" t="s">
        <v>24</v>
      </c>
      <c r="K375" s="21" t="s">
        <v>25</v>
      </c>
      <c r="L375" s="21" t="s">
        <v>24</v>
      </c>
      <c r="M375" s="0" t="n">
        <v>183</v>
      </c>
      <c r="N375" s="0" t="n">
        <v>0</v>
      </c>
      <c r="Q375" s="0" t="n">
        <v>0</v>
      </c>
      <c r="S375" s="0" t="n">
        <v>0</v>
      </c>
      <c r="U375" s="22" t="b">
        <f aca="false">FALSE()</f>
        <v>0</v>
      </c>
      <c r="V375" s="0" t="n">
        <v>0.74</v>
      </c>
      <c r="W375" s="0" t="n">
        <v>0</v>
      </c>
      <c r="X375" s="0" t="n">
        <v>8.58</v>
      </c>
      <c r="Y375" s="0" t="n">
        <v>1.04</v>
      </c>
      <c r="Z375" s="0" t="n">
        <v>10.33</v>
      </c>
      <c r="AA375" s="0" t="n">
        <v>2.87</v>
      </c>
      <c r="AB375" s="0" t="n">
        <v>1.73</v>
      </c>
      <c r="AC375" s="22" t="b">
        <f aca="false">FALSE()</f>
        <v>0</v>
      </c>
      <c r="AD375" s="0" t="n">
        <v>6.43</v>
      </c>
      <c r="AE375" s="0" t="n">
        <v>0.15</v>
      </c>
      <c r="AF375" s="0" t="n">
        <v>7.39</v>
      </c>
      <c r="AG375" s="22" t="b">
        <f aca="false">FALSE()</f>
        <v>0</v>
      </c>
      <c r="AH375" s="0" t="n">
        <v>0</v>
      </c>
    </row>
    <row r="376" customFormat="false" ht="15" hidden="false" customHeight="false" outlineLevel="0" collapsed="false">
      <c r="A376" s="0" t="s">
        <v>720</v>
      </c>
      <c r="B376" s="0" t="s">
        <v>134</v>
      </c>
      <c r="C376" s="0" t="s">
        <v>3447</v>
      </c>
      <c r="D376" s="0" t="s">
        <v>3457</v>
      </c>
      <c r="E376" s="20" t="s">
        <v>25</v>
      </c>
      <c r="F376" s="23" t="s">
        <v>30</v>
      </c>
      <c r="G376" s="21" t="s">
        <v>1152</v>
      </c>
      <c r="H376" s="21" t="s">
        <v>24</v>
      </c>
      <c r="I376" s="21" t="s">
        <v>25</v>
      </c>
      <c r="J376" s="21" t="s">
        <v>24</v>
      </c>
      <c r="K376" s="21" t="s">
        <v>25</v>
      </c>
      <c r="L376" s="21" t="s">
        <v>24</v>
      </c>
      <c r="M376" s="0" t="n">
        <v>184</v>
      </c>
      <c r="N376" s="0" t="n">
        <v>2</v>
      </c>
      <c r="O376" s="21" t="s">
        <v>3566</v>
      </c>
      <c r="P376" s="21" t="s">
        <v>4238</v>
      </c>
      <c r="Q376" s="0" t="n">
        <v>1</v>
      </c>
      <c r="R376" s="21" t="s">
        <v>69</v>
      </c>
      <c r="S376" s="0" t="n">
        <v>2</v>
      </c>
      <c r="T376" s="21" t="s">
        <v>3566</v>
      </c>
      <c r="U376" s="22" t="b">
        <f aca="false">TRUE()</f>
        <v>1</v>
      </c>
      <c r="V376" s="0" t="n">
        <v>0.73</v>
      </c>
      <c r="W376" s="0" t="n">
        <v>0.96</v>
      </c>
      <c r="X376" s="0" t="n">
        <v>9.84</v>
      </c>
      <c r="Y376" s="0" t="n">
        <v>305.15</v>
      </c>
      <c r="Z376" s="0" t="n">
        <v>8.17</v>
      </c>
      <c r="AA376" s="0" t="n">
        <v>-1.11</v>
      </c>
      <c r="AB376" s="0" t="n">
        <v>0.5</v>
      </c>
      <c r="AC376" s="22" t="b">
        <f aca="false">FALSE()</f>
        <v>0</v>
      </c>
      <c r="AD376" s="0" t="n">
        <v>16.05</v>
      </c>
      <c r="AE376" s="0" t="n">
        <v>0.39</v>
      </c>
      <c r="AF376" s="0" t="n">
        <v>17.69</v>
      </c>
      <c r="AG376" s="22" t="b">
        <f aca="false">TRUE()</f>
        <v>1</v>
      </c>
      <c r="AH376" s="0" t="n">
        <v>1</v>
      </c>
    </row>
    <row r="377" customFormat="false" ht="15" hidden="false" customHeight="false" outlineLevel="0" collapsed="false">
      <c r="A377" s="0" t="s">
        <v>720</v>
      </c>
      <c r="B377" s="0" t="s">
        <v>134</v>
      </c>
      <c r="C377" s="0" t="s">
        <v>3447</v>
      </c>
      <c r="D377" s="0" t="s">
        <v>3448</v>
      </c>
      <c r="E377" s="20" t="s">
        <v>25</v>
      </c>
      <c r="F377" s="23" t="s">
        <v>30</v>
      </c>
      <c r="G377" s="21" t="s">
        <v>283</v>
      </c>
      <c r="H377" s="21" t="s">
        <v>24</v>
      </c>
      <c r="I377" s="21" t="s">
        <v>25</v>
      </c>
      <c r="J377" s="21" t="s">
        <v>24</v>
      </c>
      <c r="K377" s="21" t="s">
        <v>24</v>
      </c>
      <c r="L377" s="21" t="s">
        <v>24</v>
      </c>
      <c r="M377" s="0" t="n">
        <v>182</v>
      </c>
      <c r="N377" s="0" t="n">
        <v>2</v>
      </c>
      <c r="O377" s="21" t="s">
        <v>3566</v>
      </c>
      <c r="P377" s="21" t="s">
        <v>4238</v>
      </c>
      <c r="Q377" s="0" t="n">
        <v>1</v>
      </c>
      <c r="R377" s="21" t="s">
        <v>69</v>
      </c>
      <c r="S377" s="0" t="n">
        <v>2</v>
      </c>
      <c r="T377" s="21" t="s">
        <v>3566</v>
      </c>
      <c r="U377" s="22" t="b">
        <f aca="false">TRUE()</f>
        <v>1</v>
      </c>
      <c r="V377" s="0" t="n">
        <v>0.71</v>
      </c>
      <c r="W377" s="0" t="n">
        <v>0.4</v>
      </c>
      <c r="X377" s="0" t="n">
        <v>9.64</v>
      </c>
      <c r="Y377" s="0" t="n">
        <v>347.72</v>
      </c>
      <c r="Z377" s="0" t="n">
        <v>9.75</v>
      </c>
      <c r="AA377" s="0" t="n">
        <v>0.36</v>
      </c>
      <c r="AB377" s="0" t="n">
        <v>1.73</v>
      </c>
      <c r="AC377" s="22" t="b">
        <f aca="false">FALSE()</f>
        <v>0</v>
      </c>
      <c r="AD377" s="0" t="n">
        <v>7.56</v>
      </c>
      <c r="AE377" s="0" t="n">
        <v>0.69</v>
      </c>
      <c r="AF377" s="0" t="n">
        <v>6.83</v>
      </c>
      <c r="AG377" s="22" t="b">
        <f aca="false">FALSE()</f>
        <v>0</v>
      </c>
      <c r="AH377" s="0" t="n">
        <v>1</v>
      </c>
    </row>
    <row r="378" customFormat="false" ht="15" hidden="false" customHeight="false" outlineLevel="0" collapsed="false">
      <c r="A378" s="0" t="s">
        <v>732</v>
      </c>
      <c r="B378" s="0" t="s">
        <v>134</v>
      </c>
      <c r="C378" s="0" t="s">
        <v>3450</v>
      </c>
      <c r="D378" s="0" t="s">
        <v>3457</v>
      </c>
      <c r="E378" s="19" t="s">
        <v>26</v>
      </c>
      <c r="F378" s="19" t="s">
        <v>32</v>
      </c>
      <c r="G378" s="21" t="s">
        <v>1451</v>
      </c>
      <c r="H378" s="21" t="s">
        <v>24</v>
      </c>
      <c r="I378" s="21" t="s">
        <v>26</v>
      </c>
      <c r="J378" s="21" t="s">
        <v>24</v>
      </c>
      <c r="K378" s="21" t="s">
        <v>25</v>
      </c>
      <c r="L378" s="21" t="s">
        <v>24</v>
      </c>
      <c r="M378" s="0" t="n">
        <v>202</v>
      </c>
      <c r="N378" s="0" t="n">
        <v>8</v>
      </c>
      <c r="O378" s="21" t="s">
        <v>4135</v>
      </c>
      <c r="P378" s="21" t="s">
        <v>4410</v>
      </c>
      <c r="Q378" s="0" t="n">
        <v>1</v>
      </c>
      <c r="R378" s="21" t="s">
        <v>69</v>
      </c>
      <c r="S378" s="0" t="n">
        <v>8</v>
      </c>
      <c r="T378" s="21" t="s">
        <v>4135</v>
      </c>
      <c r="U378" s="22" t="b">
        <f aca="false">FALSE()</f>
        <v>0</v>
      </c>
      <c r="V378" s="0" t="n">
        <v>0.69</v>
      </c>
      <c r="W378" s="0" t="n">
        <v>0.12</v>
      </c>
      <c r="X378" s="0" t="n">
        <v>9.56</v>
      </c>
      <c r="Y378" s="0" t="n">
        <v>684.66</v>
      </c>
      <c r="Z378" s="0" t="n">
        <v>9.5</v>
      </c>
      <c r="AA378" s="0" t="n">
        <v>5.97</v>
      </c>
      <c r="AB378" s="0" t="n">
        <v>1.49</v>
      </c>
      <c r="AC378" s="22" t="b">
        <f aca="false">FALSE()</f>
        <v>0</v>
      </c>
      <c r="AD378" s="0" t="n">
        <v>19.87</v>
      </c>
      <c r="AE378" s="0" t="n">
        <v>9.45</v>
      </c>
      <c r="AF378" s="0" t="n">
        <v>15.08</v>
      </c>
      <c r="AG378" s="22" t="b">
        <f aca="false">TRUE()</f>
        <v>1</v>
      </c>
      <c r="AH378" s="0" t="n">
        <v>1</v>
      </c>
    </row>
    <row r="379" customFormat="false" ht="15" hidden="false" customHeight="false" outlineLevel="0" collapsed="false">
      <c r="A379" s="0" t="s">
        <v>732</v>
      </c>
      <c r="B379" s="0" t="s">
        <v>134</v>
      </c>
      <c r="C379" s="0" t="s">
        <v>3450</v>
      </c>
      <c r="D379" s="0" t="s">
        <v>3448</v>
      </c>
      <c r="E379" s="19" t="s">
        <v>26</v>
      </c>
      <c r="F379" s="19" t="s">
        <v>32</v>
      </c>
      <c r="G379" s="21" t="s">
        <v>1178</v>
      </c>
      <c r="H379" s="21" t="s">
        <v>24</v>
      </c>
      <c r="I379" s="21" t="s">
        <v>26</v>
      </c>
      <c r="J379" s="21" t="s">
        <v>24</v>
      </c>
      <c r="K379" s="21" t="s">
        <v>25</v>
      </c>
      <c r="L379" s="21" t="s">
        <v>24</v>
      </c>
      <c r="M379" s="0" t="n">
        <v>185</v>
      </c>
      <c r="N379" s="0" t="n">
        <v>10</v>
      </c>
      <c r="O379" s="21" t="s">
        <v>4113</v>
      </c>
      <c r="P379" s="21" t="s">
        <v>4411</v>
      </c>
      <c r="Q379" s="0" t="n">
        <v>1</v>
      </c>
      <c r="R379" s="21" t="s">
        <v>69</v>
      </c>
      <c r="S379" s="0" t="n">
        <v>10</v>
      </c>
      <c r="T379" s="21" t="s">
        <v>4113</v>
      </c>
      <c r="U379" s="22" t="b">
        <f aca="false">FALSE()</f>
        <v>0</v>
      </c>
      <c r="V379" s="0" t="n">
        <v>0.72</v>
      </c>
      <c r="W379" s="0" t="n">
        <v>0.28</v>
      </c>
      <c r="X379" s="0" t="n">
        <v>10.9</v>
      </c>
      <c r="Y379" s="0" t="n">
        <v>349.12</v>
      </c>
      <c r="Z379" s="0" t="n">
        <v>8.75</v>
      </c>
      <c r="AA379" s="0" t="n">
        <v>10.06</v>
      </c>
      <c r="AB379" s="0" t="n">
        <v>1.42</v>
      </c>
      <c r="AC379" s="22" t="b">
        <f aca="false">FALSE()</f>
        <v>0</v>
      </c>
      <c r="AD379" s="0" t="n">
        <v>20.4</v>
      </c>
      <c r="AE379" s="0" t="n">
        <v>7.31</v>
      </c>
      <c r="AF379" s="0" t="n">
        <v>15.27</v>
      </c>
      <c r="AG379" s="22" t="b">
        <f aca="false">TRUE()</f>
        <v>1</v>
      </c>
      <c r="AH379" s="0" t="n">
        <v>1</v>
      </c>
    </row>
    <row r="380" customFormat="false" ht="15" hidden="false" customHeight="false" outlineLevel="0" collapsed="false">
      <c r="A380" s="0" t="s">
        <v>732</v>
      </c>
      <c r="B380" s="0" t="s">
        <v>134</v>
      </c>
      <c r="C380" s="0" t="s">
        <v>3447</v>
      </c>
      <c r="D380" s="0" t="s">
        <v>3457</v>
      </c>
      <c r="E380" s="20" t="s">
        <v>25</v>
      </c>
      <c r="F380" s="23" t="s">
        <v>30</v>
      </c>
      <c r="G380" s="21" t="s">
        <v>144</v>
      </c>
      <c r="H380" s="21" t="s">
        <v>24</v>
      </c>
      <c r="I380" s="21" t="s">
        <v>24</v>
      </c>
      <c r="J380" s="21" t="s">
        <v>24</v>
      </c>
      <c r="K380" s="21" t="s">
        <v>25</v>
      </c>
      <c r="L380" s="21" t="s">
        <v>24</v>
      </c>
      <c r="M380" s="0" t="n">
        <v>185</v>
      </c>
      <c r="N380" s="0" t="n">
        <v>2</v>
      </c>
      <c r="O380" s="21" t="s">
        <v>3526</v>
      </c>
      <c r="P380" s="21" t="s">
        <v>4412</v>
      </c>
      <c r="Q380" s="0" t="n">
        <v>0</v>
      </c>
      <c r="S380" s="0" t="n">
        <v>2</v>
      </c>
      <c r="T380" s="21" t="s">
        <v>3526</v>
      </c>
      <c r="U380" s="22" t="b">
        <f aca="false">TRUE()</f>
        <v>1</v>
      </c>
      <c r="V380" s="0" t="n">
        <v>0.88</v>
      </c>
      <c r="W380" s="0" t="n">
        <v>0.68</v>
      </c>
      <c r="X380" s="0" t="n">
        <v>11.38</v>
      </c>
      <c r="Y380" s="0" t="n">
        <v>322.87</v>
      </c>
      <c r="Z380" s="0" t="n">
        <v>9</v>
      </c>
      <c r="AA380" s="0" t="n">
        <v>2.41</v>
      </c>
      <c r="AB380" s="0" t="n">
        <v>1.49</v>
      </c>
      <c r="AC380" s="22" t="b">
        <f aca="false">FALSE()</f>
        <v>0</v>
      </c>
      <c r="AD380" s="0" t="n">
        <v>24.48</v>
      </c>
      <c r="AE380" s="0" t="n">
        <v>13.8</v>
      </c>
      <c r="AF380" s="0" t="n">
        <v>16.96</v>
      </c>
      <c r="AG380" s="22" t="b">
        <f aca="false">TRUE()</f>
        <v>1</v>
      </c>
      <c r="AH380" s="0" t="n">
        <v>1</v>
      </c>
    </row>
    <row r="381" customFormat="false" ht="15" hidden="false" customHeight="false" outlineLevel="0" collapsed="false">
      <c r="A381" s="0" t="s">
        <v>732</v>
      </c>
      <c r="B381" s="0" t="s">
        <v>134</v>
      </c>
      <c r="C381" s="0" t="s">
        <v>3447</v>
      </c>
      <c r="D381" s="0" t="s">
        <v>3448</v>
      </c>
      <c r="E381" s="20" t="s">
        <v>25</v>
      </c>
      <c r="F381" s="23" t="s">
        <v>30</v>
      </c>
      <c r="G381" s="21" t="s">
        <v>144</v>
      </c>
      <c r="H381" s="21" t="s">
        <v>24</v>
      </c>
      <c r="I381" s="21" t="s">
        <v>24</v>
      </c>
      <c r="J381" s="21" t="s">
        <v>24</v>
      </c>
      <c r="K381" s="21" t="s">
        <v>25</v>
      </c>
      <c r="L381" s="21" t="s">
        <v>24</v>
      </c>
      <c r="M381" s="0" t="n">
        <v>184</v>
      </c>
      <c r="N381" s="0" t="n">
        <v>5</v>
      </c>
      <c r="O381" s="21" t="s">
        <v>3692</v>
      </c>
      <c r="P381" s="21" t="s">
        <v>4413</v>
      </c>
      <c r="Q381" s="0" t="n">
        <v>0</v>
      </c>
      <c r="S381" s="0" t="n">
        <v>5</v>
      </c>
      <c r="T381" s="21" t="s">
        <v>3692</v>
      </c>
      <c r="U381" s="22" t="b">
        <f aca="false">TRUE()</f>
        <v>1</v>
      </c>
      <c r="V381" s="0" t="n">
        <v>0.84</v>
      </c>
      <c r="W381" s="0" t="n">
        <v>0.16</v>
      </c>
      <c r="X381" s="0" t="n">
        <v>14.16</v>
      </c>
      <c r="Y381" s="0" t="n">
        <v>438.93</v>
      </c>
      <c r="Z381" s="0" t="n">
        <v>8.83</v>
      </c>
      <c r="AA381" s="0" t="n">
        <v>7.14</v>
      </c>
      <c r="AB381" s="0" t="n">
        <v>1.42</v>
      </c>
      <c r="AC381" s="22" t="b">
        <f aca="false">FALSE()</f>
        <v>0</v>
      </c>
      <c r="AD381" s="0" t="n">
        <v>20.87</v>
      </c>
      <c r="AE381" s="0" t="n">
        <v>9.52</v>
      </c>
      <c r="AF381" s="0" t="n">
        <v>16.83</v>
      </c>
      <c r="AG381" s="22" t="b">
        <f aca="false">TRUE()</f>
        <v>1</v>
      </c>
      <c r="AH381" s="0" t="n">
        <v>1</v>
      </c>
    </row>
    <row r="382" customFormat="false" ht="15" hidden="false" customHeight="false" outlineLevel="0" collapsed="false">
      <c r="A382" s="0" t="s">
        <v>738</v>
      </c>
      <c r="B382" s="0" t="s">
        <v>134</v>
      </c>
      <c r="C382" s="0" t="s">
        <v>3450</v>
      </c>
      <c r="D382" s="0" t="s">
        <v>3457</v>
      </c>
      <c r="E382" s="18" t="s">
        <v>24</v>
      </c>
      <c r="F382" s="18" t="s">
        <v>28</v>
      </c>
      <c r="H382" s="21" t="s">
        <v>24</v>
      </c>
      <c r="I382" s="21" t="s">
        <v>24</v>
      </c>
      <c r="J382" s="21" t="s">
        <v>24</v>
      </c>
      <c r="K382" s="21" t="s">
        <v>24</v>
      </c>
      <c r="L382" s="21" t="s">
        <v>24</v>
      </c>
      <c r="M382" s="0" t="n">
        <v>191</v>
      </c>
      <c r="N382" s="0" t="n">
        <v>0</v>
      </c>
      <c r="Q382" s="0" t="n">
        <v>0</v>
      </c>
      <c r="S382" s="0" t="n">
        <v>0</v>
      </c>
      <c r="U382" s="22" t="b">
        <f aca="false">FALSE()</f>
        <v>0</v>
      </c>
      <c r="V382" s="0" t="n">
        <v>0.71</v>
      </c>
      <c r="W382" s="0" t="n">
        <v>0.64</v>
      </c>
      <c r="X382" s="0" t="n">
        <v>8.48</v>
      </c>
      <c r="Y382" s="0" t="n">
        <v>334.12</v>
      </c>
      <c r="Z382" s="0" t="n">
        <v>9.92</v>
      </c>
      <c r="AA382" s="0" t="n">
        <v>19.73</v>
      </c>
      <c r="AB382" s="0" t="n">
        <v>46.97</v>
      </c>
      <c r="AC382" s="22" t="b">
        <f aca="false">FALSE()</f>
        <v>0</v>
      </c>
      <c r="AD382" s="0" t="n">
        <v>14.97</v>
      </c>
      <c r="AE382" s="0" t="n">
        <v>0.81</v>
      </c>
      <c r="AF382" s="0" t="n">
        <v>13.52</v>
      </c>
      <c r="AG382" s="22" t="b">
        <f aca="false">TRUE()</f>
        <v>1</v>
      </c>
      <c r="AH382" s="0" t="n">
        <v>1</v>
      </c>
    </row>
    <row r="383" customFormat="false" ht="15" hidden="false" customHeight="false" outlineLevel="0" collapsed="false">
      <c r="A383" s="0" t="s">
        <v>738</v>
      </c>
      <c r="B383" s="0" t="s">
        <v>134</v>
      </c>
      <c r="C383" s="0" t="s">
        <v>3450</v>
      </c>
      <c r="D383" s="0" t="s">
        <v>3448</v>
      </c>
      <c r="E383" s="18" t="s">
        <v>24</v>
      </c>
      <c r="F383" s="18" t="s">
        <v>28</v>
      </c>
      <c r="H383" s="21" t="s">
        <v>24</v>
      </c>
      <c r="I383" s="21" t="s">
        <v>24</v>
      </c>
      <c r="J383" s="21" t="s">
        <v>24</v>
      </c>
      <c r="K383" s="21" t="s">
        <v>24</v>
      </c>
      <c r="L383" s="21" t="s">
        <v>24</v>
      </c>
      <c r="M383" s="0" t="n">
        <v>183</v>
      </c>
      <c r="N383" s="0" t="n">
        <v>0</v>
      </c>
      <c r="Q383" s="0" t="n">
        <v>0</v>
      </c>
      <c r="S383" s="0" t="n">
        <v>0</v>
      </c>
      <c r="U383" s="22" t="b">
        <f aca="false">FALSE()</f>
        <v>0</v>
      </c>
      <c r="V383" s="0" t="n">
        <v>0.75</v>
      </c>
      <c r="W383" s="0" t="n">
        <v>0.76</v>
      </c>
      <c r="X383" s="0" t="n">
        <v>8.32</v>
      </c>
      <c r="Y383" s="0" t="n">
        <v>317.48</v>
      </c>
      <c r="Z383" s="0" t="n">
        <v>9.75</v>
      </c>
      <c r="AA383" s="0" t="n">
        <v>21.27</v>
      </c>
      <c r="AB383" s="0" t="n">
        <v>8.89</v>
      </c>
      <c r="AC383" s="22" t="b">
        <f aca="false">FALSE()</f>
        <v>0</v>
      </c>
      <c r="AD383" s="0" t="n">
        <v>16.02</v>
      </c>
      <c r="AE383" s="0" t="n">
        <v>0.97</v>
      </c>
      <c r="AF383" s="0" t="n">
        <v>16.26</v>
      </c>
      <c r="AG383" s="22" t="b">
        <f aca="false">TRUE()</f>
        <v>1</v>
      </c>
      <c r="AH383" s="0" t="n">
        <v>1</v>
      </c>
    </row>
    <row r="384" customFormat="false" ht="15" hidden="false" customHeight="false" outlineLevel="0" collapsed="false">
      <c r="A384" s="0" t="s">
        <v>738</v>
      </c>
      <c r="B384" s="0" t="s">
        <v>134</v>
      </c>
      <c r="C384" s="0" t="s">
        <v>3447</v>
      </c>
      <c r="D384" s="0" t="s">
        <v>3457</v>
      </c>
      <c r="E384" s="19" t="s">
        <v>26</v>
      </c>
      <c r="F384" s="19" t="s">
        <v>32</v>
      </c>
      <c r="G384" s="21" t="s">
        <v>529</v>
      </c>
      <c r="H384" s="21" t="s">
        <v>24</v>
      </c>
      <c r="I384" s="21" t="s">
        <v>26</v>
      </c>
      <c r="J384" s="21" t="s">
        <v>24</v>
      </c>
      <c r="K384" s="21" t="s">
        <v>24</v>
      </c>
      <c r="L384" s="21" t="s">
        <v>24</v>
      </c>
      <c r="M384" s="0" t="n">
        <v>193</v>
      </c>
      <c r="N384" s="0" t="n">
        <v>12</v>
      </c>
      <c r="O384" s="21" t="s">
        <v>4017</v>
      </c>
      <c r="P384" s="21" t="s">
        <v>4414</v>
      </c>
      <c r="Q384" s="0" t="n">
        <v>1</v>
      </c>
      <c r="R384" s="21" t="s">
        <v>69</v>
      </c>
      <c r="S384" s="0" t="n">
        <v>12</v>
      </c>
      <c r="T384" s="21" t="s">
        <v>4017</v>
      </c>
      <c r="U384" s="22" t="b">
        <f aca="false">FALSE()</f>
        <v>0</v>
      </c>
      <c r="V384" s="0" t="n">
        <v>0.73</v>
      </c>
      <c r="W384" s="0" t="n">
        <v>0.36</v>
      </c>
      <c r="X384" s="0" t="n">
        <v>6.45</v>
      </c>
      <c r="Y384" s="0" t="n">
        <v>399.54</v>
      </c>
      <c r="Z384" s="0" t="n">
        <v>11.58</v>
      </c>
      <c r="AA384" s="0" t="n">
        <v>-0.77</v>
      </c>
      <c r="AB384" s="0" t="n">
        <v>46.97</v>
      </c>
      <c r="AC384" s="22" t="b">
        <f aca="false">FALSE()</f>
        <v>0</v>
      </c>
      <c r="AD384" s="0" t="n">
        <v>14.98</v>
      </c>
      <c r="AE384" s="0" t="n">
        <v>0.77</v>
      </c>
      <c r="AF384" s="0" t="n">
        <v>13.69</v>
      </c>
      <c r="AG384" s="22" t="b">
        <f aca="false">TRUE()</f>
        <v>1</v>
      </c>
      <c r="AH384" s="0" t="n">
        <v>1</v>
      </c>
    </row>
    <row r="385" customFormat="false" ht="15" hidden="false" customHeight="false" outlineLevel="0" collapsed="false">
      <c r="A385" s="0" t="s">
        <v>738</v>
      </c>
      <c r="B385" s="0" t="s">
        <v>134</v>
      </c>
      <c r="C385" s="0" t="s">
        <v>3447</v>
      </c>
      <c r="D385" s="0" t="s">
        <v>3448</v>
      </c>
      <c r="E385" s="18" t="s">
        <v>24</v>
      </c>
      <c r="F385" s="23" t="s">
        <v>30</v>
      </c>
      <c r="G385" s="21" t="s">
        <v>30</v>
      </c>
      <c r="H385" s="21" t="s">
        <v>24</v>
      </c>
      <c r="I385" s="21" t="s">
        <v>24</v>
      </c>
      <c r="J385" s="21" t="s">
        <v>24</v>
      </c>
      <c r="K385" s="21" t="s">
        <v>24</v>
      </c>
      <c r="L385" s="21" t="s">
        <v>24</v>
      </c>
      <c r="M385" s="0" t="n">
        <v>185</v>
      </c>
      <c r="N385" s="0" t="n">
        <v>2</v>
      </c>
      <c r="O385" s="21" t="s">
        <v>3515</v>
      </c>
      <c r="P385" s="21" t="s">
        <v>4415</v>
      </c>
      <c r="Q385" s="0" t="n">
        <v>0</v>
      </c>
      <c r="S385" s="0" t="n">
        <v>2</v>
      </c>
      <c r="T385" s="21" t="s">
        <v>3515</v>
      </c>
      <c r="U385" s="22" t="b">
        <f aca="false">TRUE()</f>
        <v>1</v>
      </c>
      <c r="V385" s="0" t="n">
        <v>0.8</v>
      </c>
      <c r="W385" s="0" t="n">
        <v>0.8</v>
      </c>
      <c r="X385" s="0" t="n">
        <v>6.03</v>
      </c>
      <c r="Y385" s="0" t="n">
        <v>322.21</v>
      </c>
      <c r="Z385" s="0" t="n">
        <v>10</v>
      </c>
      <c r="AA385" s="0" t="n">
        <v>11.49</v>
      </c>
      <c r="AB385" s="0" t="n">
        <v>8.89</v>
      </c>
      <c r="AC385" s="22" t="b">
        <f aca="false">FALSE()</f>
        <v>0</v>
      </c>
      <c r="AD385" s="0" t="n">
        <v>15.89</v>
      </c>
      <c r="AE385" s="0" t="n">
        <v>0.41</v>
      </c>
      <c r="AF385" s="0" t="n">
        <v>15.39</v>
      </c>
      <c r="AG385" s="22" t="b">
        <f aca="false">TRUE()</f>
        <v>1</v>
      </c>
      <c r="AH385" s="0" t="n">
        <v>1</v>
      </c>
    </row>
    <row r="386" customFormat="false" ht="15" hidden="false" customHeight="false" outlineLevel="0" collapsed="false">
      <c r="A386" s="0" t="s">
        <v>744</v>
      </c>
      <c r="B386" s="0" t="s">
        <v>134</v>
      </c>
      <c r="C386" s="0" t="s">
        <v>3450</v>
      </c>
      <c r="D386" s="0" t="s">
        <v>3457</v>
      </c>
      <c r="E386" s="20" t="s">
        <v>25</v>
      </c>
      <c r="F386" s="23" t="s">
        <v>30</v>
      </c>
      <c r="G386" s="21" t="s">
        <v>283</v>
      </c>
      <c r="H386" s="21" t="s">
        <v>24</v>
      </c>
      <c r="I386" s="21" t="s">
        <v>25</v>
      </c>
      <c r="J386" s="21" t="s">
        <v>24</v>
      </c>
      <c r="K386" s="21" t="s">
        <v>24</v>
      </c>
      <c r="L386" s="21" t="s">
        <v>24</v>
      </c>
      <c r="M386" s="0" t="n">
        <v>185</v>
      </c>
      <c r="N386" s="0" t="n">
        <v>3</v>
      </c>
      <c r="O386" s="21" t="s">
        <v>3649</v>
      </c>
      <c r="P386" s="21" t="s">
        <v>4242</v>
      </c>
      <c r="Q386" s="0" t="n">
        <v>1</v>
      </c>
      <c r="R386" s="21" t="s">
        <v>69</v>
      </c>
      <c r="S386" s="0" t="n">
        <v>3</v>
      </c>
      <c r="T386" s="21" t="s">
        <v>3649</v>
      </c>
      <c r="U386" s="22" t="b">
        <f aca="false">TRUE()</f>
        <v>1</v>
      </c>
      <c r="V386" s="0" t="n">
        <v>0.7</v>
      </c>
      <c r="W386" s="0" t="n">
        <v>0.2</v>
      </c>
      <c r="X386" s="0" t="n">
        <v>8.17</v>
      </c>
      <c r="Y386" s="0" t="n">
        <v>436.5</v>
      </c>
      <c r="Z386" s="0" t="n">
        <v>8.75</v>
      </c>
      <c r="AA386" s="0" t="n">
        <v>14.33</v>
      </c>
      <c r="AB386" s="0" t="n">
        <v>2.33</v>
      </c>
      <c r="AC386" s="22" t="b">
        <f aca="false">FALSE()</f>
        <v>0</v>
      </c>
      <c r="AD386" s="0" t="n">
        <v>8.95</v>
      </c>
      <c r="AE386" s="0" t="n">
        <v>1.57</v>
      </c>
      <c r="AF386" s="0" t="n">
        <v>4.54</v>
      </c>
      <c r="AG386" s="22" t="b">
        <f aca="false">FALSE()</f>
        <v>0</v>
      </c>
      <c r="AH386" s="0" t="n">
        <v>1</v>
      </c>
    </row>
    <row r="387" customFormat="false" ht="15" hidden="false" customHeight="false" outlineLevel="0" collapsed="false">
      <c r="A387" s="0" t="s">
        <v>744</v>
      </c>
      <c r="B387" s="0" t="s">
        <v>134</v>
      </c>
      <c r="C387" s="0" t="s">
        <v>3450</v>
      </c>
      <c r="D387" s="0" t="s">
        <v>3448</v>
      </c>
      <c r="E387" s="20" t="s">
        <v>25</v>
      </c>
      <c r="F387" s="23" t="s">
        <v>30</v>
      </c>
      <c r="G387" s="21" t="s">
        <v>283</v>
      </c>
      <c r="H387" s="21" t="s">
        <v>24</v>
      </c>
      <c r="I387" s="21" t="s">
        <v>25</v>
      </c>
      <c r="J387" s="21" t="s">
        <v>24</v>
      </c>
      <c r="K387" s="21" t="s">
        <v>24</v>
      </c>
      <c r="L387" s="21" t="s">
        <v>24</v>
      </c>
      <c r="M387" s="0" t="n">
        <v>208</v>
      </c>
      <c r="N387" s="0" t="n">
        <v>2</v>
      </c>
      <c r="O387" s="21" t="s">
        <v>3575</v>
      </c>
      <c r="P387" s="21" t="s">
        <v>4265</v>
      </c>
      <c r="Q387" s="0" t="n">
        <v>1</v>
      </c>
      <c r="R387" s="21" t="s">
        <v>69</v>
      </c>
      <c r="S387" s="0" t="n">
        <v>2</v>
      </c>
      <c r="T387" s="21" t="s">
        <v>3575</v>
      </c>
      <c r="U387" s="22" t="b">
        <f aca="false">TRUE()</f>
        <v>1</v>
      </c>
      <c r="V387" s="0" t="n">
        <v>0.74</v>
      </c>
      <c r="W387" s="0" t="n">
        <v>0.96</v>
      </c>
      <c r="X387" s="0" t="n">
        <v>9.78</v>
      </c>
      <c r="Y387" s="0" t="n">
        <v>352.72</v>
      </c>
      <c r="Z387" s="0" t="n">
        <v>9</v>
      </c>
      <c r="AA387" s="0" t="n">
        <v>4.73</v>
      </c>
      <c r="AB387" s="0" t="n">
        <v>4.05</v>
      </c>
      <c r="AC387" s="22" t="b">
        <f aca="false">FALSE()</f>
        <v>0</v>
      </c>
      <c r="AD387" s="0" t="n">
        <v>0.64</v>
      </c>
      <c r="AE387" s="0" t="n">
        <v>0.52</v>
      </c>
      <c r="AF387" s="0" t="n">
        <v>1.07</v>
      </c>
      <c r="AG387" s="22" t="b">
        <f aca="false">FALSE()</f>
        <v>0</v>
      </c>
      <c r="AH387" s="0" t="n">
        <v>1</v>
      </c>
    </row>
    <row r="388" customFormat="false" ht="15" hidden="false" customHeight="false" outlineLevel="0" collapsed="false">
      <c r="A388" s="0" t="s">
        <v>744</v>
      </c>
      <c r="B388" s="0" t="s">
        <v>134</v>
      </c>
      <c r="C388" s="0" t="s">
        <v>3447</v>
      </c>
      <c r="D388" s="0" t="s">
        <v>3457</v>
      </c>
      <c r="E388" s="19" t="s">
        <v>26</v>
      </c>
      <c r="F388" s="19" t="s">
        <v>32</v>
      </c>
      <c r="G388" s="21" t="s">
        <v>529</v>
      </c>
      <c r="H388" s="21" t="s">
        <v>24</v>
      </c>
      <c r="I388" s="21" t="s">
        <v>26</v>
      </c>
      <c r="J388" s="21" t="s">
        <v>24</v>
      </c>
      <c r="K388" s="21" t="s">
        <v>24</v>
      </c>
      <c r="L388" s="21" t="s">
        <v>24</v>
      </c>
      <c r="M388" s="0" t="n">
        <v>186</v>
      </c>
      <c r="N388" s="0" t="n">
        <v>12</v>
      </c>
      <c r="O388" s="21" t="s">
        <v>4044</v>
      </c>
      <c r="P388" s="21" t="s">
        <v>4278</v>
      </c>
      <c r="Q388" s="0" t="n">
        <v>1</v>
      </c>
      <c r="R388" s="21" t="s">
        <v>69</v>
      </c>
      <c r="S388" s="0" t="n">
        <v>12</v>
      </c>
      <c r="T388" s="21" t="s">
        <v>4044</v>
      </c>
      <c r="U388" s="22" t="b">
        <f aca="false">FALSE()</f>
        <v>0</v>
      </c>
      <c r="V388" s="0" t="n">
        <v>0.72</v>
      </c>
      <c r="W388" s="0" t="n">
        <v>0.8</v>
      </c>
      <c r="X388" s="0" t="n">
        <v>7.8</v>
      </c>
      <c r="Y388" s="0" t="n">
        <v>309.26</v>
      </c>
      <c r="Z388" s="0" t="n">
        <v>8.5</v>
      </c>
      <c r="AA388" s="0" t="n">
        <v>6.69</v>
      </c>
      <c r="AB388" s="0" t="n">
        <v>2.33</v>
      </c>
      <c r="AC388" s="22" t="b">
        <f aca="false">FALSE()</f>
        <v>0</v>
      </c>
      <c r="AD388" s="0" t="n">
        <v>7.19</v>
      </c>
      <c r="AE388" s="0" t="n">
        <v>1.36</v>
      </c>
      <c r="AF388" s="0" t="n">
        <v>2</v>
      </c>
      <c r="AG388" s="22" t="b">
        <f aca="false">FALSE()</f>
        <v>0</v>
      </c>
      <c r="AH388" s="0" t="n">
        <v>1</v>
      </c>
    </row>
    <row r="389" customFormat="false" ht="15" hidden="false" customHeight="false" outlineLevel="0" collapsed="false">
      <c r="A389" s="0" t="s">
        <v>744</v>
      </c>
      <c r="B389" s="0" t="s">
        <v>134</v>
      </c>
      <c r="C389" s="0" t="s">
        <v>3447</v>
      </c>
      <c r="D389" s="0" t="s">
        <v>3448</v>
      </c>
      <c r="E389" s="18" t="s">
        <v>24</v>
      </c>
      <c r="F389" s="23" t="s">
        <v>30</v>
      </c>
      <c r="G389" s="21" t="s">
        <v>30</v>
      </c>
      <c r="H389" s="21" t="s">
        <v>24</v>
      </c>
      <c r="I389" s="21" t="s">
        <v>24</v>
      </c>
      <c r="J389" s="21" t="s">
        <v>24</v>
      </c>
      <c r="K389" s="21" t="s">
        <v>24</v>
      </c>
      <c r="L389" s="21" t="s">
        <v>24</v>
      </c>
      <c r="M389" s="0" t="n">
        <v>183</v>
      </c>
      <c r="N389" s="0" t="n">
        <v>4</v>
      </c>
      <c r="O389" s="21" t="s">
        <v>3637</v>
      </c>
      <c r="P389" s="21" t="s">
        <v>4416</v>
      </c>
      <c r="Q389" s="0" t="n">
        <v>0</v>
      </c>
      <c r="S389" s="0" t="n">
        <v>4</v>
      </c>
      <c r="T389" s="21" t="s">
        <v>3637</v>
      </c>
      <c r="U389" s="22" t="b">
        <f aca="false">TRUE()</f>
        <v>1</v>
      </c>
      <c r="V389" s="0" t="n">
        <v>0.77</v>
      </c>
      <c r="W389" s="0" t="n">
        <v>0.88</v>
      </c>
      <c r="X389" s="0" t="n">
        <v>12.74</v>
      </c>
      <c r="Y389" s="0" t="n">
        <v>311.67</v>
      </c>
      <c r="Z389" s="0" t="n">
        <v>8.25</v>
      </c>
      <c r="AA389" s="0" t="n">
        <v>9.93</v>
      </c>
      <c r="AB389" s="0" t="n">
        <v>4.05</v>
      </c>
      <c r="AC389" s="22" t="b">
        <f aca="false">FALSE()</f>
        <v>0</v>
      </c>
      <c r="AD389" s="0" t="n">
        <v>7.14</v>
      </c>
      <c r="AE389" s="0" t="n">
        <v>0.86</v>
      </c>
      <c r="AF389" s="0" t="n">
        <v>2.99</v>
      </c>
      <c r="AG389" s="22" t="b">
        <f aca="false">FALSE()</f>
        <v>0</v>
      </c>
      <c r="AH389" s="0" t="n">
        <v>1</v>
      </c>
    </row>
    <row r="390" customFormat="false" ht="15" hidden="false" customHeight="false" outlineLevel="0" collapsed="false">
      <c r="A390" s="0" t="s">
        <v>756</v>
      </c>
      <c r="B390" s="0" t="s">
        <v>134</v>
      </c>
      <c r="C390" s="0" t="s">
        <v>3450</v>
      </c>
      <c r="D390" s="0" t="s">
        <v>3457</v>
      </c>
      <c r="E390" s="18" t="s">
        <v>24</v>
      </c>
      <c r="F390" s="18" t="s">
        <v>28</v>
      </c>
      <c r="H390" s="21" t="s">
        <v>24</v>
      </c>
      <c r="I390" s="21" t="s">
        <v>24</v>
      </c>
      <c r="J390" s="21" t="s">
        <v>24</v>
      </c>
      <c r="K390" s="21" t="s">
        <v>24</v>
      </c>
      <c r="L390" s="21" t="s">
        <v>24</v>
      </c>
      <c r="M390" s="0" t="n">
        <v>182</v>
      </c>
      <c r="N390" s="0" t="n">
        <v>0</v>
      </c>
      <c r="Q390" s="0" t="n">
        <v>0</v>
      </c>
      <c r="S390" s="0" t="n">
        <v>0</v>
      </c>
      <c r="U390" s="22" t="b">
        <f aca="false">FALSE()</f>
        <v>0</v>
      </c>
      <c r="V390" s="0" t="n">
        <v>0.68</v>
      </c>
      <c r="W390" s="0" t="n">
        <v>0.56</v>
      </c>
      <c r="X390" s="0" t="n">
        <v>11.19</v>
      </c>
      <c r="Y390" s="0" t="n">
        <v>315.63</v>
      </c>
      <c r="Z390" s="0" t="n">
        <v>10.25</v>
      </c>
      <c r="AA390" s="0" t="n">
        <v>17.36</v>
      </c>
      <c r="AB390" s="0" t="n">
        <v>2.98</v>
      </c>
      <c r="AC390" s="22" t="b">
        <f aca="false">FALSE()</f>
        <v>0</v>
      </c>
      <c r="AD390" s="0" t="n">
        <v>12.16</v>
      </c>
      <c r="AE390" s="0" t="n">
        <v>0.67</v>
      </c>
      <c r="AF390" s="0" t="n">
        <v>2.77</v>
      </c>
      <c r="AG390" s="22" t="b">
        <f aca="false">TRUE()</f>
        <v>1</v>
      </c>
      <c r="AH390" s="0" t="n">
        <v>1</v>
      </c>
    </row>
    <row r="391" customFormat="false" ht="15" hidden="false" customHeight="false" outlineLevel="0" collapsed="false">
      <c r="A391" s="0" t="s">
        <v>756</v>
      </c>
      <c r="B391" s="0" t="s">
        <v>134</v>
      </c>
      <c r="C391" s="0" t="s">
        <v>3450</v>
      </c>
      <c r="D391" s="0" t="s">
        <v>3448</v>
      </c>
      <c r="E391" s="20" t="s">
        <v>25</v>
      </c>
      <c r="F391" s="23" t="s">
        <v>30</v>
      </c>
      <c r="G391" s="21" t="s">
        <v>283</v>
      </c>
      <c r="H391" s="21" t="s">
        <v>24</v>
      </c>
      <c r="I391" s="21" t="s">
        <v>25</v>
      </c>
      <c r="J391" s="21" t="s">
        <v>24</v>
      </c>
      <c r="K391" s="21" t="s">
        <v>24</v>
      </c>
      <c r="L391" s="21" t="s">
        <v>24</v>
      </c>
      <c r="M391" s="0" t="n">
        <v>187</v>
      </c>
      <c r="N391" s="0" t="n">
        <v>1</v>
      </c>
      <c r="O391" s="21" t="s">
        <v>69</v>
      </c>
      <c r="P391" s="21" t="s">
        <v>4275</v>
      </c>
      <c r="Q391" s="0" t="n">
        <v>1</v>
      </c>
      <c r="R391" s="21" t="s">
        <v>69</v>
      </c>
      <c r="S391" s="0" t="n">
        <v>1</v>
      </c>
      <c r="T391" s="21" t="s">
        <v>69</v>
      </c>
      <c r="U391" s="22" t="b">
        <f aca="false">TRUE()</f>
        <v>1</v>
      </c>
      <c r="V391" s="0" t="n">
        <v>0.67</v>
      </c>
      <c r="W391" s="0" t="n">
        <v>0</v>
      </c>
      <c r="X391" s="0" t="n">
        <v>11.72</v>
      </c>
      <c r="Y391" s="0" t="n">
        <v>0.04</v>
      </c>
      <c r="Z391" s="0" t="n">
        <v>10</v>
      </c>
      <c r="AA391" s="0" t="n">
        <v>21.02</v>
      </c>
      <c r="AB391" s="0" t="n">
        <v>2.03</v>
      </c>
      <c r="AC391" s="22" t="b">
        <f aca="false">FALSE()</f>
        <v>0</v>
      </c>
      <c r="AD391" s="0" t="n">
        <v>13.86</v>
      </c>
      <c r="AE391" s="0" t="n">
        <v>0.77</v>
      </c>
      <c r="AF391" s="0" t="n">
        <v>2.26</v>
      </c>
      <c r="AG391" s="22" t="b">
        <f aca="false">TRUE()</f>
        <v>1</v>
      </c>
      <c r="AH391" s="0" t="n">
        <v>0</v>
      </c>
    </row>
    <row r="392" customFormat="false" ht="15" hidden="false" customHeight="false" outlineLevel="0" collapsed="false">
      <c r="A392" s="0" t="s">
        <v>756</v>
      </c>
      <c r="B392" s="0" t="s">
        <v>134</v>
      </c>
      <c r="C392" s="0" t="s">
        <v>3447</v>
      </c>
      <c r="D392" s="0" t="s">
        <v>3457</v>
      </c>
      <c r="E392" s="20" t="s">
        <v>25</v>
      </c>
      <c r="F392" s="23" t="s">
        <v>30</v>
      </c>
      <c r="G392" s="21" t="s">
        <v>283</v>
      </c>
      <c r="H392" s="21" t="s">
        <v>24</v>
      </c>
      <c r="I392" s="21" t="s">
        <v>25</v>
      </c>
      <c r="J392" s="21" t="s">
        <v>24</v>
      </c>
      <c r="K392" s="21" t="s">
        <v>24</v>
      </c>
      <c r="L392" s="21" t="s">
        <v>24</v>
      </c>
      <c r="M392" s="0" t="n">
        <v>185</v>
      </c>
      <c r="N392" s="0" t="n">
        <v>2</v>
      </c>
      <c r="O392" s="21" t="s">
        <v>3575</v>
      </c>
      <c r="P392" s="21" t="s">
        <v>4265</v>
      </c>
      <c r="Q392" s="0" t="n">
        <v>1</v>
      </c>
      <c r="R392" s="21" t="s">
        <v>69</v>
      </c>
      <c r="S392" s="0" t="n">
        <v>2</v>
      </c>
      <c r="T392" s="21" t="s">
        <v>3575</v>
      </c>
      <c r="U392" s="22" t="b">
        <f aca="false">TRUE()</f>
        <v>1</v>
      </c>
      <c r="V392" s="0" t="n">
        <v>0.71</v>
      </c>
      <c r="W392" s="0" t="n">
        <v>0.88</v>
      </c>
      <c r="X392" s="0" t="n">
        <v>9.58</v>
      </c>
      <c r="Y392" s="0" t="n">
        <v>319.4</v>
      </c>
      <c r="Z392" s="0" t="n">
        <v>10.5</v>
      </c>
      <c r="AA392" s="0" t="n">
        <v>15.8</v>
      </c>
      <c r="AB392" s="0" t="n">
        <v>2.98</v>
      </c>
      <c r="AC392" s="22" t="b">
        <f aca="false">FALSE()</f>
        <v>0</v>
      </c>
      <c r="AD392" s="0" t="n">
        <v>15.35</v>
      </c>
      <c r="AE392" s="0" t="n">
        <v>0.47</v>
      </c>
      <c r="AF392" s="0" t="n">
        <v>4.36</v>
      </c>
      <c r="AG392" s="22" t="b">
        <f aca="false">TRUE()</f>
        <v>1</v>
      </c>
      <c r="AH392" s="0" t="n">
        <v>1</v>
      </c>
    </row>
    <row r="393" customFormat="false" ht="15" hidden="false" customHeight="false" outlineLevel="0" collapsed="false">
      <c r="A393" s="0" t="s">
        <v>756</v>
      </c>
      <c r="B393" s="0" t="s">
        <v>134</v>
      </c>
      <c r="C393" s="0" t="s">
        <v>3447</v>
      </c>
      <c r="D393" s="0" t="s">
        <v>3448</v>
      </c>
      <c r="E393" s="20" t="s">
        <v>25</v>
      </c>
      <c r="F393" s="23" t="s">
        <v>30</v>
      </c>
      <c r="G393" s="21" t="s">
        <v>283</v>
      </c>
      <c r="H393" s="21" t="s">
        <v>24</v>
      </c>
      <c r="I393" s="21" t="s">
        <v>25</v>
      </c>
      <c r="J393" s="21" t="s">
        <v>24</v>
      </c>
      <c r="K393" s="21" t="s">
        <v>24</v>
      </c>
      <c r="L393" s="21" t="s">
        <v>24</v>
      </c>
      <c r="M393" s="0" t="n">
        <v>184</v>
      </c>
      <c r="N393" s="0" t="n">
        <v>2</v>
      </c>
      <c r="O393" s="21" t="s">
        <v>3575</v>
      </c>
      <c r="P393" s="21" t="s">
        <v>4265</v>
      </c>
      <c r="Q393" s="0" t="n">
        <v>1</v>
      </c>
      <c r="R393" s="21" t="s">
        <v>69</v>
      </c>
      <c r="S393" s="0" t="n">
        <v>2</v>
      </c>
      <c r="T393" s="21" t="s">
        <v>3575</v>
      </c>
      <c r="U393" s="22" t="b">
        <f aca="false">TRUE()</f>
        <v>1</v>
      </c>
      <c r="V393" s="0" t="n">
        <v>0.72</v>
      </c>
      <c r="W393" s="0" t="n">
        <v>0.56</v>
      </c>
      <c r="X393" s="0" t="n">
        <v>9.77</v>
      </c>
      <c r="Y393" s="0" t="n">
        <v>324.08</v>
      </c>
      <c r="Z393" s="0" t="n">
        <v>10.5</v>
      </c>
      <c r="AA393" s="0" t="n">
        <v>12.85</v>
      </c>
      <c r="AB393" s="0" t="n">
        <v>2.03</v>
      </c>
      <c r="AC393" s="22" t="b">
        <f aca="false">FALSE()</f>
        <v>0</v>
      </c>
      <c r="AD393" s="0" t="n">
        <v>7.93</v>
      </c>
      <c r="AE393" s="0" t="n">
        <v>0.28</v>
      </c>
      <c r="AF393" s="0" t="n">
        <v>1.16</v>
      </c>
      <c r="AG393" s="22" t="b">
        <f aca="false">FALSE()</f>
        <v>0</v>
      </c>
      <c r="AH393" s="0" t="n">
        <v>1</v>
      </c>
    </row>
    <row r="394" customFormat="false" ht="15" hidden="false" customHeight="false" outlineLevel="0" collapsed="false">
      <c r="A394" s="0" t="s">
        <v>756</v>
      </c>
      <c r="B394" s="0" t="s">
        <v>3459</v>
      </c>
      <c r="C394" s="0" t="s">
        <v>3450</v>
      </c>
      <c r="D394" s="0" t="s">
        <v>3457</v>
      </c>
      <c r="E394" s="18" t="s">
        <v>24</v>
      </c>
      <c r="F394" s="18" t="s">
        <v>28</v>
      </c>
      <c r="H394" s="21" t="s">
        <v>24</v>
      </c>
      <c r="I394" s="21" t="s">
        <v>24</v>
      </c>
      <c r="J394" s="21" t="s">
        <v>24</v>
      </c>
      <c r="K394" s="21" t="s">
        <v>24</v>
      </c>
      <c r="L394" s="21" t="s">
        <v>24</v>
      </c>
      <c r="M394" s="0" t="n">
        <v>186</v>
      </c>
      <c r="N394" s="0" t="n">
        <v>0</v>
      </c>
      <c r="Q394" s="0" t="n">
        <v>0</v>
      </c>
      <c r="S394" s="0" t="n">
        <v>0</v>
      </c>
      <c r="U394" s="22" t="b">
        <f aca="false">FALSE()</f>
        <v>0</v>
      </c>
      <c r="V394" s="0" t="n">
        <v>0.75</v>
      </c>
      <c r="W394" s="0" t="n">
        <v>0.76</v>
      </c>
      <c r="X394" s="0" t="n">
        <v>10.39</v>
      </c>
      <c r="Y394" s="0" t="n">
        <v>294.39</v>
      </c>
      <c r="Z394" s="0" t="n">
        <v>10.25</v>
      </c>
      <c r="AA394" s="0" t="n">
        <v>19.44</v>
      </c>
      <c r="AB394" s="0" t="n">
        <v>72.85</v>
      </c>
      <c r="AC394" s="22" t="b">
        <f aca="false">FALSE()</f>
        <v>0</v>
      </c>
      <c r="AD394" s="0" t="n">
        <v>15.56</v>
      </c>
      <c r="AE394" s="0" t="n">
        <v>8.77</v>
      </c>
      <c r="AF394" s="0" t="n">
        <v>17.42</v>
      </c>
      <c r="AG394" s="22" t="b">
        <f aca="false">TRUE()</f>
        <v>1</v>
      </c>
      <c r="AH394" s="0" t="n">
        <v>1</v>
      </c>
    </row>
    <row r="395" customFormat="false" ht="15" hidden="false" customHeight="false" outlineLevel="0" collapsed="false">
      <c r="A395" s="0" t="s">
        <v>756</v>
      </c>
      <c r="B395" s="0" t="s">
        <v>3459</v>
      </c>
      <c r="C395" s="0" t="s">
        <v>3450</v>
      </c>
      <c r="D395" s="0" t="s">
        <v>3448</v>
      </c>
      <c r="E395" s="18" t="s">
        <v>24</v>
      </c>
      <c r="F395" s="18" t="s">
        <v>28</v>
      </c>
      <c r="H395" s="21" t="s">
        <v>24</v>
      </c>
      <c r="I395" s="21" t="s">
        <v>24</v>
      </c>
      <c r="J395" s="21" t="s">
        <v>24</v>
      </c>
      <c r="K395" s="21" t="s">
        <v>24</v>
      </c>
      <c r="L395" s="21" t="s">
        <v>24</v>
      </c>
      <c r="M395" s="0" t="n">
        <v>184</v>
      </c>
      <c r="N395" s="0" t="n">
        <v>0</v>
      </c>
      <c r="Q395" s="0" t="n">
        <v>0</v>
      </c>
      <c r="S395" s="0" t="n">
        <v>0</v>
      </c>
      <c r="U395" s="22" t="b">
        <f aca="false">FALSE()</f>
        <v>0</v>
      </c>
      <c r="V395" s="0" t="n">
        <v>0.72</v>
      </c>
      <c r="W395" s="0" t="n">
        <v>0.68</v>
      </c>
      <c r="X395" s="0" t="n">
        <v>13.47</v>
      </c>
      <c r="Y395" s="0" t="n">
        <v>313.82</v>
      </c>
      <c r="Z395" s="0" t="n">
        <v>10.25</v>
      </c>
      <c r="AA395" s="0" t="n">
        <v>16.85</v>
      </c>
      <c r="AB395" s="0" t="n">
        <v>7.15</v>
      </c>
      <c r="AC395" s="22" t="b">
        <f aca="false">FALSE()</f>
        <v>0</v>
      </c>
      <c r="AD395" s="0" t="n">
        <v>14.54</v>
      </c>
      <c r="AE395" s="0" t="n">
        <v>6.86</v>
      </c>
      <c r="AF395" s="0" t="n">
        <v>16.06</v>
      </c>
      <c r="AG395" s="22" t="b">
        <f aca="false">TRUE()</f>
        <v>1</v>
      </c>
      <c r="AH395" s="0" t="n">
        <v>1</v>
      </c>
    </row>
    <row r="396" customFormat="false" ht="15" hidden="false" customHeight="false" outlineLevel="0" collapsed="false">
      <c r="A396" s="0" t="s">
        <v>756</v>
      </c>
      <c r="B396" s="0" t="s">
        <v>3459</v>
      </c>
      <c r="C396" s="0" t="s">
        <v>3447</v>
      </c>
      <c r="D396" s="0" t="s">
        <v>3457</v>
      </c>
      <c r="E396" s="19" t="s">
        <v>26</v>
      </c>
      <c r="F396" s="19" t="s">
        <v>32</v>
      </c>
      <c r="G396" s="21" t="s">
        <v>60</v>
      </c>
      <c r="H396" s="21" t="s">
        <v>24</v>
      </c>
      <c r="I396" s="21" t="s">
        <v>26</v>
      </c>
      <c r="J396" s="21" t="s">
        <v>24</v>
      </c>
      <c r="K396" s="21" t="s">
        <v>24</v>
      </c>
      <c r="L396" s="21" t="s">
        <v>24</v>
      </c>
      <c r="M396" s="0" t="n">
        <v>185</v>
      </c>
      <c r="N396" s="0" t="n">
        <v>7</v>
      </c>
      <c r="O396" s="21" t="s">
        <v>3904</v>
      </c>
      <c r="P396" s="21" t="s">
        <v>4417</v>
      </c>
      <c r="Q396" s="0" t="n">
        <v>0</v>
      </c>
      <c r="S396" s="0" t="n">
        <v>7</v>
      </c>
      <c r="T396" s="21" t="s">
        <v>3904</v>
      </c>
      <c r="U396" s="22" t="b">
        <f aca="false">FALSE()</f>
        <v>0</v>
      </c>
      <c r="V396" s="0" t="n">
        <v>0.77</v>
      </c>
      <c r="W396" s="0" t="n">
        <v>0.88</v>
      </c>
      <c r="X396" s="0" t="n">
        <v>8.27</v>
      </c>
      <c r="Y396" s="0" t="n">
        <v>315.43</v>
      </c>
      <c r="Z396" s="0" t="n">
        <v>11</v>
      </c>
      <c r="AA396" s="0" t="n">
        <v>0.89</v>
      </c>
      <c r="AB396" s="0" t="n">
        <v>72.85</v>
      </c>
      <c r="AC396" s="22" t="b">
        <f aca="false">FALSE()</f>
        <v>0</v>
      </c>
      <c r="AD396" s="0" t="n">
        <v>18.77</v>
      </c>
      <c r="AE396" s="0" t="n">
        <v>11.25</v>
      </c>
      <c r="AF396" s="0" t="n">
        <v>19.6</v>
      </c>
      <c r="AG396" s="22" t="b">
        <f aca="false">TRUE()</f>
        <v>1</v>
      </c>
      <c r="AH396" s="0" t="n">
        <v>1</v>
      </c>
    </row>
    <row r="397" customFormat="false" ht="15" hidden="false" customHeight="false" outlineLevel="0" collapsed="false">
      <c r="A397" s="0" t="s">
        <v>756</v>
      </c>
      <c r="B397" s="0" t="s">
        <v>3459</v>
      </c>
      <c r="C397" s="0" t="s">
        <v>3447</v>
      </c>
      <c r="D397" s="0" t="s">
        <v>3448</v>
      </c>
      <c r="E397" s="18" t="s">
        <v>24</v>
      </c>
      <c r="F397" s="18" t="s">
        <v>28</v>
      </c>
      <c r="H397" s="21" t="s">
        <v>24</v>
      </c>
      <c r="I397" s="21" t="s">
        <v>24</v>
      </c>
      <c r="J397" s="21" t="s">
        <v>24</v>
      </c>
      <c r="K397" s="21" t="s">
        <v>24</v>
      </c>
      <c r="L397" s="21" t="s">
        <v>24</v>
      </c>
      <c r="M397" s="0" t="n">
        <v>210</v>
      </c>
      <c r="N397" s="0" t="n">
        <v>0</v>
      </c>
      <c r="Q397" s="0" t="n">
        <v>0</v>
      </c>
      <c r="S397" s="0" t="n">
        <v>0</v>
      </c>
      <c r="U397" s="22" t="b">
        <f aca="false">FALSE()</f>
        <v>0</v>
      </c>
      <c r="V397" s="0" t="n">
        <v>0.77</v>
      </c>
      <c r="W397" s="0" t="n">
        <v>0.52</v>
      </c>
      <c r="X397" s="0" t="n">
        <v>8.72</v>
      </c>
      <c r="Y397" s="0" t="n">
        <v>369.79</v>
      </c>
      <c r="Z397" s="0" t="n">
        <v>10.5</v>
      </c>
      <c r="AA397" s="0" t="n">
        <v>12.3</v>
      </c>
      <c r="AB397" s="0" t="n">
        <v>7.15</v>
      </c>
      <c r="AC397" s="22" t="b">
        <f aca="false">FALSE()</f>
        <v>0</v>
      </c>
      <c r="AD397" s="0" t="n">
        <v>16.66</v>
      </c>
      <c r="AE397" s="0" t="n">
        <v>8.41</v>
      </c>
      <c r="AF397" s="0" t="n">
        <v>17.52</v>
      </c>
      <c r="AG397" s="22" t="b">
        <f aca="false">TRUE()</f>
        <v>1</v>
      </c>
      <c r="AH397" s="0" t="n">
        <v>1</v>
      </c>
    </row>
    <row r="398" customFormat="false" ht="15" hidden="false" customHeight="false" outlineLevel="0" collapsed="false">
      <c r="A398" s="0" t="s">
        <v>768</v>
      </c>
      <c r="B398" s="0" t="s">
        <v>134</v>
      </c>
      <c r="C398" s="0" t="s">
        <v>3450</v>
      </c>
      <c r="D398" s="0" t="s">
        <v>3457</v>
      </c>
      <c r="E398" s="20" t="s">
        <v>25</v>
      </c>
      <c r="F398" s="23" t="s">
        <v>30</v>
      </c>
      <c r="G398" s="21" t="s">
        <v>1230</v>
      </c>
      <c r="H398" s="21" t="s">
        <v>24</v>
      </c>
      <c r="I398" s="21" t="s">
        <v>25</v>
      </c>
      <c r="J398" s="21" t="s">
        <v>24</v>
      </c>
      <c r="K398" s="21" t="s">
        <v>25</v>
      </c>
      <c r="L398" s="21" t="s">
        <v>24</v>
      </c>
      <c r="M398" s="0" t="n">
        <v>184</v>
      </c>
      <c r="N398" s="0" t="n">
        <v>2</v>
      </c>
      <c r="O398" s="21" t="s">
        <v>3575</v>
      </c>
      <c r="P398" s="21" t="s">
        <v>4265</v>
      </c>
      <c r="Q398" s="0" t="n">
        <v>1</v>
      </c>
      <c r="R398" s="21" t="s">
        <v>69</v>
      </c>
      <c r="S398" s="0" t="n">
        <v>2</v>
      </c>
      <c r="T398" s="21" t="s">
        <v>3575</v>
      </c>
      <c r="U398" s="22" t="b">
        <f aca="false">TRUE()</f>
        <v>1</v>
      </c>
      <c r="V398" s="0" t="n">
        <v>0.72</v>
      </c>
      <c r="W398" s="0" t="n">
        <v>0.88</v>
      </c>
      <c r="X398" s="0" t="n">
        <v>9.06</v>
      </c>
      <c r="Y398" s="0" t="n">
        <v>300.78</v>
      </c>
      <c r="Z398" s="0" t="n">
        <v>8.17</v>
      </c>
      <c r="AA398" s="0" t="n">
        <v>1.72</v>
      </c>
      <c r="AB398" s="0" t="n">
        <v>1.85</v>
      </c>
      <c r="AC398" s="22" t="b">
        <f aca="false">FALSE()</f>
        <v>0</v>
      </c>
      <c r="AD398" s="0" t="n">
        <v>6.79</v>
      </c>
      <c r="AE398" s="0" t="n">
        <v>0.53</v>
      </c>
      <c r="AF398" s="0" t="n">
        <v>3.15</v>
      </c>
      <c r="AG398" s="22" t="b">
        <f aca="false">FALSE()</f>
        <v>0</v>
      </c>
      <c r="AH398" s="0" t="n">
        <v>1</v>
      </c>
    </row>
    <row r="399" customFormat="false" ht="15" hidden="false" customHeight="false" outlineLevel="0" collapsed="false">
      <c r="A399" s="0" t="s">
        <v>768</v>
      </c>
      <c r="B399" s="0" t="s">
        <v>134</v>
      </c>
      <c r="C399" s="0" t="s">
        <v>3450</v>
      </c>
      <c r="D399" s="0" t="s">
        <v>3448</v>
      </c>
      <c r="E399" s="20" t="s">
        <v>25</v>
      </c>
      <c r="F399" s="23" t="s">
        <v>30</v>
      </c>
      <c r="G399" s="21" t="s">
        <v>1099</v>
      </c>
      <c r="H399" s="21" t="s">
        <v>24</v>
      </c>
      <c r="I399" s="21" t="s">
        <v>25</v>
      </c>
      <c r="J399" s="21" t="s">
        <v>24</v>
      </c>
      <c r="K399" s="21" t="s">
        <v>25</v>
      </c>
      <c r="L399" s="21" t="s">
        <v>24</v>
      </c>
      <c r="M399" s="0" t="n">
        <v>184</v>
      </c>
      <c r="N399" s="0" t="n">
        <v>2</v>
      </c>
      <c r="O399" s="21" t="s">
        <v>3575</v>
      </c>
      <c r="P399" s="21" t="s">
        <v>4265</v>
      </c>
      <c r="Q399" s="0" t="n">
        <v>1</v>
      </c>
      <c r="R399" s="21" t="s">
        <v>69</v>
      </c>
      <c r="S399" s="0" t="n">
        <v>2</v>
      </c>
      <c r="T399" s="21" t="s">
        <v>3575</v>
      </c>
      <c r="U399" s="22" t="b">
        <f aca="false">TRUE()</f>
        <v>1</v>
      </c>
      <c r="V399" s="0" t="n">
        <v>0.69</v>
      </c>
      <c r="W399" s="0" t="n">
        <v>0.32</v>
      </c>
      <c r="X399" s="0" t="n">
        <v>10.77</v>
      </c>
      <c r="Y399" s="0" t="n">
        <v>388</v>
      </c>
      <c r="Z399" s="0" t="n">
        <v>8.5</v>
      </c>
      <c r="AA399" s="0" t="n">
        <v>10.31</v>
      </c>
      <c r="AB399" s="0" t="n">
        <v>1.49</v>
      </c>
      <c r="AC399" s="22" t="b">
        <f aca="false">FALSE()</f>
        <v>0</v>
      </c>
      <c r="AD399" s="0" t="n">
        <v>12.07</v>
      </c>
      <c r="AE399" s="0" t="n">
        <v>2.34</v>
      </c>
      <c r="AF399" s="0" t="n">
        <v>6.35</v>
      </c>
      <c r="AG399" s="22" t="b">
        <f aca="false">TRUE()</f>
        <v>1</v>
      </c>
      <c r="AH399" s="0" t="n">
        <v>1</v>
      </c>
    </row>
    <row r="400" customFormat="false" ht="15" hidden="false" customHeight="false" outlineLevel="0" collapsed="false">
      <c r="A400" s="0" t="s">
        <v>768</v>
      </c>
      <c r="B400" s="0" t="s">
        <v>134</v>
      </c>
      <c r="C400" s="0" t="s">
        <v>3447</v>
      </c>
      <c r="D400" s="0" t="s">
        <v>3457</v>
      </c>
      <c r="E400" s="20" t="s">
        <v>25</v>
      </c>
      <c r="F400" s="23" t="s">
        <v>30</v>
      </c>
      <c r="G400" s="21" t="s">
        <v>283</v>
      </c>
      <c r="H400" s="21" t="s">
        <v>24</v>
      </c>
      <c r="I400" s="21" t="s">
        <v>25</v>
      </c>
      <c r="J400" s="21" t="s">
        <v>24</v>
      </c>
      <c r="K400" s="21" t="s">
        <v>24</v>
      </c>
      <c r="L400" s="21" t="s">
        <v>24</v>
      </c>
      <c r="M400" s="0" t="n">
        <v>184</v>
      </c>
      <c r="N400" s="0" t="n">
        <v>2</v>
      </c>
      <c r="O400" s="21" t="s">
        <v>3575</v>
      </c>
      <c r="P400" s="21" t="s">
        <v>4265</v>
      </c>
      <c r="Q400" s="0" t="n">
        <v>1</v>
      </c>
      <c r="R400" s="21" t="s">
        <v>69</v>
      </c>
      <c r="S400" s="0" t="n">
        <v>2</v>
      </c>
      <c r="T400" s="21" t="s">
        <v>3575</v>
      </c>
      <c r="U400" s="22" t="b">
        <f aca="false">TRUE()</f>
        <v>1</v>
      </c>
      <c r="V400" s="0" t="n">
        <v>0.75</v>
      </c>
      <c r="W400" s="0" t="n">
        <v>0.68</v>
      </c>
      <c r="X400" s="0" t="n">
        <v>8.11</v>
      </c>
      <c r="Y400" s="0" t="n">
        <v>319.09</v>
      </c>
      <c r="Z400" s="0" t="n">
        <v>8.5</v>
      </c>
      <c r="AA400" s="0" t="n">
        <v>3.53</v>
      </c>
      <c r="AB400" s="0" t="n">
        <v>1.85</v>
      </c>
      <c r="AC400" s="22" t="b">
        <f aca="false">FALSE()</f>
        <v>0</v>
      </c>
      <c r="AD400" s="0" t="n">
        <v>8.61</v>
      </c>
      <c r="AE400" s="0" t="n">
        <v>0.67</v>
      </c>
      <c r="AF400" s="0" t="n">
        <v>4.65</v>
      </c>
      <c r="AG400" s="22" t="b">
        <f aca="false">FALSE()</f>
        <v>0</v>
      </c>
      <c r="AH400" s="0" t="n">
        <v>1</v>
      </c>
    </row>
    <row r="401" customFormat="false" ht="15" hidden="false" customHeight="false" outlineLevel="0" collapsed="false">
      <c r="A401" s="0" t="s">
        <v>768</v>
      </c>
      <c r="B401" s="0" t="s">
        <v>134</v>
      </c>
      <c r="C401" s="0" t="s">
        <v>3447</v>
      </c>
      <c r="D401" s="0" t="s">
        <v>3448</v>
      </c>
      <c r="E401" s="19" t="s">
        <v>26</v>
      </c>
      <c r="F401" s="19" t="s">
        <v>32</v>
      </c>
      <c r="G401" s="21" t="s">
        <v>3885</v>
      </c>
      <c r="H401" s="21" t="s">
        <v>24</v>
      </c>
      <c r="I401" s="21" t="s">
        <v>26</v>
      </c>
      <c r="J401" s="21" t="s">
        <v>24</v>
      </c>
      <c r="K401" s="21" t="s">
        <v>25</v>
      </c>
      <c r="L401" s="21" t="s">
        <v>24</v>
      </c>
      <c r="M401" s="0" t="n">
        <v>186</v>
      </c>
      <c r="N401" s="0" t="n">
        <v>10</v>
      </c>
      <c r="O401" s="21" t="s">
        <v>3958</v>
      </c>
      <c r="P401" s="21" t="s">
        <v>4418</v>
      </c>
      <c r="Q401" s="0" t="n">
        <v>0</v>
      </c>
      <c r="S401" s="0" t="n">
        <v>10</v>
      </c>
      <c r="T401" s="21" t="s">
        <v>3958</v>
      </c>
      <c r="U401" s="22" t="b">
        <f aca="false">FALSE()</f>
        <v>0</v>
      </c>
      <c r="V401" s="0" t="n">
        <v>0.74</v>
      </c>
      <c r="W401" s="0" t="n">
        <v>0.36</v>
      </c>
      <c r="X401" s="0" t="n">
        <v>10.73</v>
      </c>
      <c r="Y401" s="0" t="n">
        <v>373.6</v>
      </c>
      <c r="Z401" s="0" t="n">
        <v>8.75</v>
      </c>
      <c r="AA401" s="0" t="n">
        <v>6.25</v>
      </c>
      <c r="AB401" s="0" t="n">
        <v>1.49</v>
      </c>
      <c r="AC401" s="22" t="b">
        <f aca="false">FALSE()</f>
        <v>0</v>
      </c>
      <c r="AD401" s="0" t="n">
        <v>10.51</v>
      </c>
      <c r="AE401" s="0" t="n">
        <v>0.98</v>
      </c>
      <c r="AF401" s="0" t="n">
        <v>6.18</v>
      </c>
      <c r="AG401" s="22" t="b">
        <f aca="false">TRUE()</f>
        <v>1</v>
      </c>
      <c r="AH401" s="0" t="n">
        <v>1</v>
      </c>
    </row>
    <row r="402" customFormat="false" ht="15" hidden="false" customHeight="false" outlineLevel="0" collapsed="false">
      <c r="A402" s="0" t="s">
        <v>779</v>
      </c>
      <c r="B402" s="0" t="s">
        <v>134</v>
      </c>
      <c r="C402" s="0" t="s">
        <v>3450</v>
      </c>
      <c r="D402" s="0" t="s">
        <v>3457</v>
      </c>
      <c r="E402" s="20" t="s">
        <v>25</v>
      </c>
      <c r="F402" s="23" t="s">
        <v>30</v>
      </c>
      <c r="G402" s="21" t="s">
        <v>294</v>
      </c>
      <c r="H402" s="21" t="s">
        <v>24</v>
      </c>
      <c r="I402" s="21" t="s">
        <v>25</v>
      </c>
      <c r="J402" s="21" t="s">
        <v>24</v>
      </c>
      <c r="K402" s="21" t="s">
        <v>25</v>
      </c>
      <c r="L402" s="21" t="s">
        <v>24</v>
      </c>
      <c r="M402" s="0" t="n">
        <v>184</v>
      </c>
      <c r="N402" s="0" t="n">
        <v>6</v>
      </c>
      <c r="O402" s="21" t="s">
        <v>3860</v>
      </c>
      <c r="P402" s="21" t="s">
        <v>4419</v>
      </c>
      <c r="Q402" s="0" t="n">
        <v>1</v>
      </c>
      <c r="R402" s="21" t="s">
        <v>69</v>
      </c>
      <c r="S402" s="0" t="n">
        <v>6</v>
      </c>
      <c r="T402" s="21" t="s">
        <v>3860</v>
      </c>
      <c r="U402" s="22" t="b">
        <f aca="false">TRUE()</f>
        <v>1</v>
      </c>
      <c r="V402" s="0" t="n">
        <v>0.7</v>
      </c>
      <c r="W402" s="0" t="n">
        <v>0.32</v>
      </c>
      <c r="X402" s="0" t="n">
        <v>7.81</v>
      </c>
      <c r="Y402" s="0" t="n">
        <v>406.43</v>
      </c>
      <c r="Z402" s="0" t="n">
        <v>8</v>
      </c>
      <c r="AA402" s="0" t="n">
        <v>-0.94</v>
      </c>
      <c r="AB402" s="0" t="n">
        <v>0.72</v>
      </c>
      <c r="AC402" s="22" t="b">
        <f aca="false">TRUE()</f>
        <v>1</v>
      </c>
      <c r="AD402" s="0" t="n">
        <v>22.98</v>
      </c>
      <c r="AE402" s="0" t="n">
        <v>14.99</v>
      </c>
      <c r="AF402" s="0" t="n">
        <v>21.54</v>
      </c>
      <c r="AG402" s="22" t="b">
        <f aca="false">TRUE()</f>
        <v>1</v>
      </c>
      <c r="AH402" s="0" t="n">
        <v>1</v>
      </c>
    </row>
    <row r="403" customFormat="false" ht="15" hidden="false" customHeight="false" outlineLevel="0" collapsed="false">
      <c r="A403" s="0" t="s">
        <v>779</v>
      </c>
      <c r="B403" s="0" t="s">
        <v>134</v>
      </c>
      <c r="C403" s="0" t="s">
        <v>3450</v>
      </c>
      <c r="D403" s="0" t="s">
        <v>3448</v>
      </c>
      <c r="E403" s="19" t="s">
        <v>26</v>
      </c>
      <c r="F403" s="19" t="s">
        <v>32</v>
      </c>
      <c r="G403" s="21" t="s">
        <v>4140</v>
      </c>
      <c r="H403" s="21" t="s">
        <v>24</v>
      </c>
      <c r="I403" s="21" t="s">
        <v>26</v>
      </c>
      <c r="J403" s="21" t="s">
        <v>24</v>
      </c>
      <c r="K403" s="21" t="s">
        <v>25</v>
      </c>
      <c r="L403" s="21" t="s">
        <v>24</v>
      </c>
      <c r="M403" s="0" t="n">
        <v>183</v>
      </c>
      <c r="N403" s="0" t="n">
        <v>12</v>
      </c>
      <c r="O403" s="21" t="s">
        <v>4117</v>
      </c>
      <c r="P403" s="21" t="s">
        <v>4359</v>
      </c>
      <c r="Q403" s="0" t="n">
        <v>1</v>
      </c>
      <c r="R403" s="21" t="s">
        <v>69</v>
      </c>
      <c r="S403" s="0" t="n">
        <v>12</v>
      </c>
      <c r="T403" s="21" t="s">
        <v>4117</v>
      </c>
      <c r="U403" s="22" t="b">
        <f aca="false">FALSE()</f>
        <v>0</v>
      </c>
      <c r="V403" s="0" t="n">
        <v>0.71</v>
      </c>
      <c r="W403" s="0" t="n">
        <v>0.12</v>
      </c>
      <c r="X403" s="0" t="n">
        <v>7.94</v>
      </c>
      <c r="Y403" s="0" t="n">
        <v>625.57</v>
      </c>
      <c r="Z403" s="0" t="n">
        <v>8.92</v>
      </c>
      <c r="AA403" s="0" t="n">
        <v>1.49</v>
      </c>
      <c r="AB403" s="0" t="n">
        <v>1.05</v>
      </c>
      <c r="AC403" s="22" t="b">
        <f aca="false">TRUE()</f>
        <v>1</v>
      </c>
      <c r="AD403" s="0" t="n">
        <v>29.16</v>
      </c>
      <c r="AE403" s="0" t="n">
        <v>16.04</v>
      </c>
      <c r="AF403" s="0" t="n">
        <v>24.81</v>
      </c>
      <c r="AG403" s="22" t="b">
        <f aca="false">TRUE()</f>
        <v>1</v>
      </c>
      <c r="AH403" s="0" t="n">
        <v>1</v>
      </c>
    </row>
    <row r="404" customFormat="false" ht="15" hidden="false" customHeight="false" outlineLevel="0" collapsed="false">
      <c r="A404" s="0" t="s">
        <v>779</v>
      </c>
      <c r="B404" s="0" t="s">
        <v>134</v>
      </c>
      <c r="C404" s="0" t="s">
        <v>3447</v>
      </c>
      <c r="D404" s="0" t="s">
        <v>3457</v>
      </c>
      <c r="E404" s="19" t="s">
        <v>26</v>
      </c>
      <c r="F404" s="19" t="s">
        <v>32</v>
      </c>
      <c r="G404" s="21" t="s">
        <v>4005</v>
      </c>
      <c r="H404" s="21" t="s">
        <v>24</v>
      </c>
      <c r="I404" s="21" t="s">
        <v>26</v>
      </c>
      <c r="J404" s="21" t="s">
        <v>24</v>
      </c>
      <c r="K404" s="21" t="s">
        <v>25</v>
      </c>
      <c r="L404" s="21" t="s">
        <v>24</v>
      </c>
      <c r="M404" s="0" t="n">
        <v>184</v>
      </c>
      <c r="N404" s="0" t="n">
        <v>9</v>
      </c>
      <c r="O404" s="21" t="s">
        <v>4110</v>
      </c>
      <c r="P404" s="21" t="s">
        <v>4420</v>
      </c>
      <c r="Q404" s="0" t="n">
        <v>1</v>
      </c>
      <c r="R404" s="21" t="s">
        <v>69</v>
      </c>
      <c r="S404" s="0" t="n">
        <v>9</v>
      </c>
      <c r="T404" s="21" t="s">
        <v>4110</v>
      </c>
      <c r="U404" s="22" t="b">
        <f aca="false">FALSE()</f>
        <v>0</v>
      </c>
      <c r="V404" s="0" t="n">
        <v>0.73</v>
      </c>
      <c r="W404" s="0" t="n">
        <v>0.36</v>
      </c>
      <c r="X404" s="0" t="n">
        <v>7.72</v>
      </c>
      <c r="Y404" s="0" t="n">
        <v>382.13</v>
      </c>
      <c r="Z404" s="0" t="n">
        <v>8</v>
      </c>
      <c r="AA404" s="0" t="n">
        <v>-1.06</v>
      </c>
      <c r="AB404" s="0" t="n">
        <v>0.72</v>
      </c>
      <c r="AC404" s="22" t="b">
        <f aca="false">FALSE()</f>
        <v>0</v>
      </c>
      <c r="AD404" s="0" t="n">
        <v>20.65</v>
      </c>
      <c r="AE404" s="0" t="n">
        <v>13.69</v>
      </c>
      <c r="AF404" s="0" t="n">
        <v>19.63</v>
      </c>
      <c r="AG404" s="22" t="b">
        <f aca="false">TRUE()</f>
        <v>1</v>
      </c>
      <c r="AH404" s="0" t="n">
        <v>1</v>
      </c>
    </row>
    <row r="405" customFormat="false" ht="15" hidden="false" customHeight="false" outlineLevel="0" collapsed="false">
      <c r="A405" s="0" t="s">
        <v>779</v>
      </c>
      <c r="B405" s="0" t="s">
        <v>134</v>
      </c>
      <c r="C405" s="0" t="s">
        <v>3447</v>
      </c>
      <c r="D405" s="0" t="s">
        <v>3448</v>
      </c>
      <c r="E405" s="19" t="s">
        <v>26</v>
      </c>
      <c r="F405" s="19" t="s">
        <v>32</v>
      </c>
      <c r="G405" s="21" t="s">
        <v>3919</v>
      </c>
      <c r="H405" s="21" t="s">
        <v>24</v>
      </c>
      <c r="I405" s="21" t="s">
        <v>26</v>
      </c>
      <c r="J405" s="21" t="s">
        <v>24</v>
      </c>
      <c r="K405" s="21" t="s">
        <v>25</v>
      </c>
      <c r="L405" s="21" t="s">
        <v>24</v>
      </c>
      <c r="M405" s="0" t="n">
        <v>183</v>
      </c>
      <c r="N405" s="0" t="n">
        <v>7</v>
      </c>
      <c r="O405" s="21" t="s">
        <v>3920</v>
      </c>
      <c r="P405" s="21" t="s">
        <v>4421</v>
      </c>
      <c r="Q405" s="0" t="n">
        <v>0</v>
      </c>
      <c r="S405" s="0" t="n">
        <v>7</v>
      </c>
      <c r="T405" s="21" t="s">
        <v>3920</v>
      </c>
      <c r="U405" s="22" t="b">
        <f aca="false">FALSE()</f>
        <v>0</v>
      </c>
      <c r="V405" s="0" t="n">
        <v>0.72</v>
      </c>
      <c r="W405" s="0" t="n">
        <v>0</v>
      </c>
      <c r="X405" s="0" t="n">
        <v>7.94</v>
      </c>
      <c r="Y405" s="0" t="n">
        <v>5.87</v>
      </c>
      <c r="Z405" s="0" t="n">
        <v>8.5</v>
      </c>
      <c r="AA405" s="0" t="n">
        <v>1.03</v>
      </c>
      <c r="AB405" s="0" t="n">
        <v>1.05</v>
      </c>
      <c r="AC405" s="22" t="b">
        <f aca="false">FALSE()</f>
        <v>0</v>
      </c>
      <c r="AD405" s="0" t="n">
        <v>27.91</v>
      </c>
      <c r="AE405" s="0" t="n">
        <v>16.44</v>
      </c>
      <c r="AF405" s="0" t="n">
        <v>25.31</v>
      </c>
      <c r="AG405" s="22" t="b">
        <f aca="false">TRUE()</f>
        <v>1</v>
      </c>
      <c r="AH405" s="0" t="n">
        <v>0</v>
      </c>
    </row>
    <row r="406" customFormat="false" ht="15" hidden="false" customHeight="false" outlineLevel="0" collapsed="false">
      <c r="A406" s="0" t="s">
        <v>779</v>
      </c>
      <c r="B406" s="0" t="s">
        <v>3459</v>
      </c>
      <c r="C406" s="0" t="s">
        <v>3450</v>
      </c>
      <c r="D406" s="0" t="s">
        <v>3457</v>
      </c>
      <c r="E406" s="20" t="s">
        <v>25</v>
      </c>
      <c r="F406" s="23" t="s">
        <v>30</v>
      </c>
      <c r="G406" s="21" t="s">
        <v>2559</v>
      </c>
      <c r="H406" s="21" t="s">
        <v>24</v>
      </c>
      <c r="I406" s="21" t="s">
        <v>24</v>
      </c>
      <c r="J406" s="21" t="s">
        <v>24</v>
      </c>
      <c r="K406" s="21" t="s">
        <v>25</v>
      </c>
      <c r="L406" s="21" t="s">
        <v>24</v>
      </c>
      <c r="M406" s="0" t="n">
        <v>188</v>
      </c>
      <c r="N406" s="0" t="n">
        <v>5</v>
      </c>
      <c r="O406" s="21" t="s">
        <v>3775</v>
      </c>
      <c r="P406" s="21" t="s">
        <v>4422</v>
      </c>
      <c r="Q406" s="0" t="n">
        <v>0</v>
      </c>
      <c r="S406" s="0" t="n">
        <v>5</v>
      </c>
      <c r="T406" s="21" t="s">
        <v>3775</v>
      </c>
      <c r="U406" s="22" t="b">
        <f aca="false">TRUE()</f>
        <v>1</v>
      </c>
      <c r="V406" s="0" t="n">
        <v>0.65</v>
      </c>
      <c r="W406" s="0" t="n">
        <v>0.88</v>
      </c>
      <c r="X406" s="0" t="n">
        <v>7.25</v>
      </c>
      <c r="Y406" s="0" t="n">
        <v>320.98</v>
      </c>
      <c r="Z406" s="0" t="n">
        <v>8.33</v>
      </c>
      <c r="AA406" s="0" t="n">
        <v>-1.03</v>
      </c>
      <c r="AB406" s="0" t="n">
        <v>3.58</v>
      </c>
      <c r="AC406" s="22" t="b">
        <f aca="false">FALSE()</f>
        <v>0</v>
      </c>
      <c r="AD406" s="0" t="n">
        <v>5.93</v>
      </c>
      <c r="AE406" s="0" t="n">
        <v>0.76</v>
      </c>
      <c r="AF406" s="0" t="n">
        <v>4.03</v>
      </c>
      <c r="AG406" s="22" t="b">
        <f aca="false">FALSE()</f>
        <v>0</v>
      </c>
      <c r="AH406" s="0" t="n">
        <v>1</v>
      </c>
    </row>
    <row r="407" customFormat="false" ht="15" hidden="false" customHeight="false" outlineLevel="0" collapsed="false">
      <c r="A407" s="0" t="s">
        <v>779</v>
      </c>
      <c r="B407" s="0" t="s">
        <v>3459</v>
      </c>
      <c r="C407" s="0" t="s">
        <v>3450</v>
      </c>
      <c r="D407" s="0" t="s">
        <v>3448</v>
      </c>
      <c r="E407" s="19" t="s">
        <v>26</v>
      </c>
      <c r="F407" s="19" t="s">
        <v>32</v>
      </c>
      <c r="G407" s="21" t="s">
        <v>1076</v>
      </c>
      <c r="H407" s="21" t="s">
        <v>24</v>
      </c>
      <c r="I407" s="21" t="s">
        <v>26</v>
      </c>
      <c r="J407" s="21" t="s">
        <v>24</v>
      </c>
      <c r="K407" s="21" t="s">
        <v>25</v>
      </c>
      <c r="L407" s="21" t="s">
        <v>24</v>
      </c>
      <c r="M407" s="0" t="n">
        <v>184</v>
      </c>
      <c r="N407" s="0" t="n">
        <v>10</v>
      </c>
      <c r="O407" s="21" t="s">
        <v>4115</v>
      </c>
      <c r="P407" s="21" t="s">
        <v>4423</v>
      </c>
      <c r="Q407" s="0" t="n">
        <v>1</v>
      </c>
      <c r="R407" s="21" t="s">
        <v>69</v>
      </c>
      <c r="S407" s="0" t="n">
        <v>10</v>
      </c>
      <c r="T407" s="21" t="s">
        <v>4115</v>
      </c>
      <c r="U407" s="22" t="b">
        <f aca="false">FALSE()</f>
        <v>0</v>
      </c>
      <c r="V407" s="0" t="n">
        <v>0.67</v>
      </c>
      <c r="W407" s="0" t="n">
        <v>0.6</v>
      </c>
      <c r="X407" s="0" t="n">
        <v>8.2</v>
      </c>
      <c r="Y407" s="0" t="n">
        <v>324.23</v>
      </c>
      <c r="Z407" s="0" t="n">
        <v>8</v>
      </c>
      <c r="AA407" s="0" t="n">
        <v>-0.91</v>
      </c>
      <c r="AB407" s="0" t="n">
        <v>18.02</v>
      </c>
      <c r="AC407" s="22" t="b">
        <f aca="false">FALSE()</f>
        <v>0</v>
      </c>
      <c r="AD407" s="0" t="n">
        <v>2.47</v>
      </c>
      <c r="AE407" s="0" t="n">
        <v>0.38</v>
      </c>
      <c r="AF407" s="0" t="n">
        <v>1.77</v>
      </c>
      <c r="AG407" s="22" t="b">
        <f aca="false">FALSE()</f>
        <v>0</v>
      </c>
      <c r="AH407" s="0" t="n">
        <v>1</v>
      </c>
    </row>
    <row r="408" customFormat="false" ht="15" hidden="false" customHeight="false" outlineLevel="0" collapsed="false">
      <c r="A408" s="0" t="s">
        <v>779</v>
      </c>
      <c r="B408" s="0" t="s">
        <v>3459</v>
      </c>
      <c r="C408" s="0" t="s">
        <v>3447</v>
      </c>
      <c r="D408" s="0" t="s">
        <v>3457</v>
      </c>
      <c r="E408" s="18" t="s">
        <v>24</v>
      </c>
      <c r="F408" s="23" t="s">
        <v>30</v>
      </c>
      <c r="G408" s="21" t="s">
        <v>30</v>
      </c>
      <c r="H408" s="21" t="s">
        <v>24</v>
      </c>
      <c r="I408" s="21" t="s">
        <v>24</v>
      </c>
      <c r="J408" s="21" t="s">
        <v>24</v>
      </c>
      <c r="K408" s="21" t="s">
        <v>24</v>
      </c>
      <c r="L408" s="21" t="s">
        <v>24</v>
      </c>
      <c r="M408" s="0" t="n">
        <v>219</v>
      </c>
      <c r="N408" s="0" t="n">
        <v>5</v>
      </c>
      <c r="O408" s="21" t="s">
        <v>3787</v>
      </c>
      <c r="P408" s="21" t="s">
        <v>4424</v>
      </c>
      <c r="Q408" s="0" t="n">
        <v>0</v>
      </c>
      <c r="S408" s="0" t="n">
        <v>5</v>
      </c>
      <c r="T408" s="21" t="s">
        <v>3787</v>
      </c>
      <c r="U408" s="22" t="b">
        <f aca="false">TRUE()</f>
        <v>1</v>
      </c>
      <c r="V408" s="0" t="n">
        <v>0.62</v>
      </c>
      <c r="W408" s="0" t="n">
        <v>0.52</v>
      </c>
      <c r="X408" s="0" t="n">
        <v>7.38</v>
      </c>
      <c r="Y408" s="0" t="n">
        <v>392.3</v>
      </c>
      <c r="Z408" s="0" t="n">
        <v>8.83</v>
      </c>
      <c r="AA408" s="0" t="n">
        <v>1.49</v>
      </c>
      <c r="AB408" s="0" t="n">
        <v>3.58</v>
      </c>
      <c r="AC408" s="22" t="b">
        <f aca="false">FALSE()</f>
        <v>0</v>
      </c>
      <c r="AD408" s="0" t="n">
        <v>9.56</v>
      </c>
      <c r="AE408" s="0" t="n">
        <v>0.39</v>
      </c>
      <c r="AF408" s="0" t="n">
        <v>7.61</v>
      </c>
      <c r="AG408" s="22" t="b">
        <f aca="false">FALSE()</f>
        <v>0</v>
      </c>
      <c r="AH408" s="0" t="n">
        <v>1</v>
      </c>
    </row>
    <row r="409" customFormat="false" ht="15" hidden="false" customHeight="false" outlineLevel="0" collapsed="false">
      <c r="A409" s="0" t="s">
        <v>779</v>
      </c>
      <c r="B409" s="0" t="s">
        <v>3459</v>
      </c>
      <c r="C409" s="0" t="s">
        <v>3447</v>
      </c>
      <c r="D409" s="0" t="s">
        <v>3448</v>
      </c>
      <c r="E409" s="18" t="s">
        <v>24</v>
      </c>
      <c r="F409" s="23" t="s">
        <v>30</v>
      </c>
      <c r="G409" s="21" t="s">
        <v>30</v>
      </c>
      <c r="H409" s="21" t="s">
        <v>24</v>
      </c>
      <c r="I409" s="21" t="s">
        <v>24</v>
      </c>
      <c r="J409" s="21" t="s">
        <v>24</v>
      </c>
      <c r="K409" s="21" t="s">
        <v>24</v>
      </c>
      <c r="L409" s="21" t="s">
        <v>24</v>
      </c>
      <c r="M409" s="0" t="n">
        <v>183</v>
      </c>
      <c r="N409" s="0" t="n">
        <v>4</v>
      </c>
      <c r="O409" s="21" t="s">
        <v>3621</v>
      </c>
      <c r="P409" s="21" t="s">
        <v>4381</v>
      </c>
      <c r="Q409" s="0" t="n">
        <v>0</v>
      </c>
      <c r="S409" s="0" t="n">
        <v>4</v>
      </c>
      <c r="T409" s="21" t="s">
        <v>3621</v>
      </c>
      <c r="U409" s="22" t="b">
        <f aca="false">TRUE()</f>
        <v>1</v>
      </c>
      <c r="V409" s="0" t="n">
        <v>0.75</v>
      </c>
      <c r="W409" s="0" t="n">
        <v>0.12</v>
      </c>
      <c r="X409" s="0" t="n">
        <v>7.84</v>
      </c>
      <c r="Y409" s="0" t="n">
        <v>626.63</v>
      </c>
      <c r="Z409" s="0" t="n">
        <v>8.5</v>
      </c>
      <c r="AA409" s="0" t="n">
        <v>0.7</v>
      </c>
      <c r="AB409" s="0" t="n">
        <v>18.02</v>
      </c>
      <c r="AC409" s="22" t="b">
        <f aca="false">FALSE()</f>
        <v>0</v>
      </c>
      <c r="AD409" s="0" t="n">
        <v>7.22</v>
      </c>
      <c r="AE409" s="0" t="n">
        <v>1.23</v>
      </c>
      <c r="AF409" s="0" t="n">
        <v>7.08</v>
      </c>
      <c r="AG409" s="22" t="b">
        <f aca="false">FALSE()</f>
        <v>0</v>
      </c>
      <c r="AH409" s="0" t="n">
        <v>1</v>
      </c>
    </row>
    <row r="410" customFormat="false" ht="15" hidden="false" customHeight="false" outlineLevel="0" collapsed="false">
      <c r="A410" s="0" t="s">
        <v>785</v>
      </c>
      <c r="B410" s="0" t="s">
        <v>134</v>
      </c>
      <c r="C410" s="0" t="s">
        <v>3450</v>
      </c>
      <c r="D410" s="0" t="s">
        <v>3457</v>
      </c>
      <c r="E410" s="19" t="s">
        <v>26</v>
      </c>
      <c r="F410" s="19" t="s">
        <v>32</v>
      </c>
      <c r="G410" s="21" t="s">
        <v>529</v>
      </c>
      <c r="H410" s="21" t="s">
        <v>24</v>
      </c>
      <c r="I410" s="21" t="s">
        <v>26</v>
      </c>
      <c r="J410" s="21" t="s">
        <v>24</v>
      </c>
      <c r="K410" s="21" t="s">
        <v>24</v>
      </c>
      <c r="L410" s="21" t="s">
        <v>24</v>
      </c>
      <c r="M410" s="0" t="n">
        <v>183</v>
      </c>
      <c r="N410" s="0" t="n">
        <v>10</v>
      </c>
      <c r="O410" s="21" t="s">
        <v>4091</v>
      </c>
      <c r="P410" s="21" t="s">
        <v>4408</v>
      </c>
      <c r="Q410" s="0" t="n">
        <v>1</v>
      </c>
      <c r="R410" s="21" t="s">
        <v>69</v>
      </c>
      <c r="S410" s="0" t="n">
        <v>10</v>
      </c>
      <c r="T410" s="21" t="s">
        <v>4091</v>
      </c>
      <c r="U410" s="22" t="b">
        <f aca="false">FALSE()</f>
        <v>0</v>
      </c>
      <c r="V410" s="0" t="n">
        <v>0.66</v>
      </c>
      <c r="W410" s="0" t="n">
        <v>0.24</v>
      </c>
      <c r="X410" s="0" t="n">
        <v>11.91</v>
      </c>
      <c r="Y410" s="0" t="n">
        <v>372.31</v>
      </c>
      <c r="Z410" s="0" t="n">
        <v>10.25</v>
      </c>
      <c r="AA410" s="0" t="n">
        <v>18.78</v>
      </c>
      <c r="AB410" s="0" t="n">
        <v>14.95</v>
      </c>
      <c r="AC410" s="22" t="b">
        <f aca="false">FALSE()</f>
        <v>0</v>
      </c>
      <c r="AD410" s="0" t="n">
        <v>12.85</v>
      </c>
      <c r="AE410" s="0" t="n">
        <v>0.8</v>
      </c>
      <c r="AF410" s="0" t="n">
        <v>2.19</v>
      </c>
      <c r="AG410" s="22" t="b">
        <f aca="false">TRUE()</f>
        <v>1</v>
      </c>
      <c r="AH410" s="0" t="n">
        <v>1</v>
      </c>
    </row>
    <row r="411" customFormat="false" ht="15" hidden="false" customHeight="false" outlineLevel="0" collapsed="false">
      <c r="A411" s="0" t="s">
        <v>785</v>
      </c>
      <c r="B411" s="0" t="s">
        <v>134</v>
      </c>
      <c r="C411" s="0" t="s">
        <v>3450</v>
      </c>
      <c r="D411" s="0" t="s">
        <v>3448</v>
      </c>
      <c r="E411" s="20" t="s">
        <v>25</v>
      </c>
      <c r="F411" s="23" t="s">
        <v>30</v>
      </c>
      <c r="G411" s="21" t="s">
        <v>283</v>
      </c>
      <c r="H411" s="21" t="s">
        <v>24</v>
      </c>
      <c r="I411" s="21" t="s">
        <v>25</v>
      </c>
      <c r="J411" s="21" t="s">
        <v>24</v>
      </c>
      <c r="K411" s="21" t="s">
        <v>24</v>
      </c>
      <c r="L411" s="21" t="s">
        <v>24</v>
      </c>
      <c r="M411" s="0" t="n">
        <v>193</v>
      </c>
      <c r="N411" s="0" t="n">
        <v>3</v>
      </c>
      <c r="O411" s="21" t="s">
        <v>3649</v>
      </c>
      <c r="P411" s="21" t="s">
        <v>4242</v>
      </c>
      <c r="Q411" s="0" t="n">
        <v>1</v>
      </c>
      <c r="R411" s="21" t="s">
        <v>69</v>
      </c>
      <c r="S411" s="0" t="n">
        <v>3</v>
      </c>
      <c r="T411" s="21" t="s">
        <v>3649</v>
      </c>
      <c r="U411" s="22" t="b">
        <f aca="false">TRUE()</f>
        <v>1</v>
      </c>
      <c r="V411" s="0" t="n">
        <v>0.7</v>
      </c>
      <c r="W411" s="0" t="n">
        <v>0</v>
      </c>
      <c r="X411" s="0" t="n">
        <v>9.97</v>
      </c>
      <c r="Y411" s="0" t="n">
        <v>696.98</v>
      </c>
      <c r="Z411" s="0" t="n">
        <v>10.5</v>
      </c>
      <c r="AA411" s="0" t="n">
        <v>18.53</v>
      </c>
      <c r="AB411" s="0" t="n">
        <v>6.2</v>
      </c>
      <c r="AC411" s="22" t="b">
        <f aca="false">FALSE()</f>
        <v>0</v>
      </c>
      <c r="AD411" s="0" t="n">
        <v>14.32</v>
      </c>
      <c r="AE411" s="0" t="n">
        <v>0.35</v>
      </c>
      <c r="AF411" s="0" t="n">
        <v>3.04</v>
      </c>
      <c r="AG411" s="22" t="b">
        <f aca="false">TRUE()</f>
        <v>1</v>
      </c>
      <c r="AH411" s="0" t="n">
        <v>1</v>
      </c>
    </row>
    <row r="412" customFormat="false" ht="15" hidden="false" customHeight="false" outlineLevel="0" collapsed="false">
      <c r="A412" s="0" t="s">
        <v>785</v>
      </c>
      <c r="B412" s="0" t="s">
        <v>134</v>
      </c>
      <c r="C412" s="0" t="s">
        <v>3447</v>
      </c>
      <c r="D412" s="0" t="s">
        <v>3457</v>
      </c>
      <c r="E412" s="19" t="s">
        <v>26</v>
      </c>
      <c r="F412" s="19" t="s">
        <v>32</v>
      </c>
      <c r="G412" s="21" t="s">
        <v>60</v>
      </c>
      <c r="H412" s="21" t="s">
        <v>24</v>
      </c>
      <c r="I412" s="21" t="s">
        <v>26</v>
      </c>
      <c r="J412" s="21" t="s">
        <v>24</v>
      </c>
      <c r="K412" s="21" t="s">
        <v>24</v>
      </c>
      <c r="L412" s="21" t="s">
        <v>24</v>
      </c>
      <c r="M412" s="0" t="n">
        <v>189</v>
      </c>
      <c r="N412" s="0" t="n">
        <v>7</v>
      </c>
      <c r="O412" s="21" t="s">
        <v>3927</v>
      </c>
      <c r="P412" s="21" t="s">
        <v>4425</v>
      </c>
      <c r="Q412" s="0" t="n">
        <v>0</v>
      </c>
      <c r="S412" s="0" t="n">
        <v>7</v>
      </c>
      <c r="T412" s="21" t="s">
        <v>3927</v>
      </c>
      <c r="U412" s="22" t="b">
        <f aca="false">FALSE()</f>
        <v>0</v>
      </c>
      <c r="V412" s="0" t="n">
        <v>0.68</v>
      </c>
      <c r="W412" s="0" t="n">
        <v>0.48</v>
      </c>
      <c r="X412" s="0" t="n">
        <v>10.27</v>
      </c>
      <c r="Y412" s="0" t="n">
        <v>336.61</v>
      </c>
      <c r="Z412" s="0" t="n">
        <v>10</v>
      </c>
      <c r="AA412" s="0" t="n">
        <v>3.37</v>
      </c>
      <c r="AB412" s="0" t="n">
        <v>14.95</v>
      </c>
      <c r="AC412" s="22" t="b">
        <f aca="false">FALSE()</f>
        <v>0</v>
      </c>
      <c r="AD412" s="0" t="n">
        <v>11.12</v>
      </c>
      <c r="AE412" s="0" t="n">
        <v>2.24</v>
      </c>
      <c r="AF412" s="0" t="n">
        <v>1.38</v>
      </c>
      <c r="AG412" s="22" t="b">
        <f aca="false">TRUE()</f>
        <v>1</v>
      </c>
      <c r="AH412" s="0" t="n">
        <v>1</v>
      </c>
    </row>
    <row r="413" customFormat="false" ht="15" hidden="false" customHeight="false" outlineLevel="0" collapsed="false">
      <c r="A413" s="0" t="s">
        <v>785</v>
      </c>
      <c r="B413" s="0" t="s">
        <v>134</v>
      </c>
      <c r="C413" s="0" t="s">
        <v>3447</v>
      </c>
      <c r="D413" s="0" t="s">
        <v>3448</v>
      </c>
      <c r="E413" s="18" t="s">
        <v>24</v>
      </c>
      <c r="F413" s="23" t="s">
        <v>30</v>
      </c>
      <c r="G413" s="21" t="s">
        <v>30</v>
      </c>
      <c r="H413" s="21" t="s">
        <v>24</v>
      </c>
      <c r="I413" s="21" t="s">
        <v>24</v>
      </c>
      <c r="J413" s="21" t="s">
        <v>24</v>
      </c>
      <c r="K413" s="21" t="s">
        <v>24</v>
      </c>
      <c r="L413" s="21" t="s">
        <v>24</v>
      </c>
      <c r="M413" s="0" t="n">
        <v>185</v>
      </c>
      <c r="N413" s="0" t="n">
        <v>2</v>
      </c>
      <c r="O413" s="21" t="s">
        <v>3505</v>
      </c>
      <c r="P413" s="21" t="s">
        <v>4426</v>
      </c>
      <c r="Q413" s="0" t="n">
        <v>0</v>
      </c>
      <c r="S413" s="0" t="n">
        <v>2</v>
      </c>
      <c r="T413" s="21" t="s">
        <v>3505</v>
      </c>
      <c r="U413" s="22" t="b">
        <f aca="false">TRUE()</f>
        <v>1</v>
      </c>
      <c r="V413" s="0" t="n">
        <v>0.7</v>
      </c>
      <c r="W413" s="0" t="n">
        <v>0.96</v>
      </c>
      <c r="X413" s="0" t="n">
        <v>11.09</v>
      </c>
      <c r="Y413" s="0" t="n">
        <v>259.66</v>
      </c>
      <c r="Z413" s="0" t="n">
        <v>10</v>
      </c>
      <c r="AA413" s="0" t="n">
        <v>8.92</v>
      </c>
      <c r="AB413" s="0" t="n">
        <v>6.2</v>
      </c>
      <c r="AC413" s="22" t="b">
        <f aca="false">FALSE()</f>
        <v>0</v>
      </c>
      <c r="AD413" s="0" t="n">
        <v>9.86</v>
      </c>
      <c r="AE413" s="0" t="n">
        <v>0.36</v>
      </c>
      <c r="AF413" s="0" t="n">
        <v>2.52</v>
      </c>
      <c r="AG413" s="22" t="b">
        <f aca="false">FALSE()</f>
        <v>0</v>
      </c>
      <c r="AH413" s="0" t="n">
        <v>1</v>
      </c>
    </row>
    <row r="414" customFormat="false" ht="15" hidden="false" customHeight="false" outlineLevel="0" collapsed="false">
      <c r="A414" s="0" t="s">
        <v>785</v>
      </c>
      <c r="B414" s="0" t="s">
        <v>3459</v>
      </c>
      <c r="C414" s="0" t="s">
        <v>3450</v>
      </c>
      <c r="D414" s="0" t="s">
        <v>3457</v>
      </c>
      <c r="E414" s="19" t="s">
        <v>26</v>
      </c>
      <c r="F414" s="19" t="s">
        <v>32</v>
      </c>
      <c r="G414" s="21" t="s">
        <v>529</v>
      </c>
      <c r="H414" s="21" t="s">
        <v>24</v>
      </c>
      <c r="I414" s="21" t="s">
        <v>26</v>
      </c>
      <c r="J414" s="21" t="s">
        <v>24</v>
      </c>
      <c r="K414" s="21" t="s">
        <v>24</v>
      </c>
      <c r="L414" s="21" t="s">
        <v>24</v>
      </c>
      <c r="M414" s="0" t="n">
        <v>186</v>
      </c>
      <c r="N414" s="0" t="n">
        <v>8</v>
      </c>
      <c r="O414" s="21" t="s">
        <v>4095</v>
      </c>
      <c r="P414" s="21" t="s">
        <v>4427</v>
      </c>
      <c r="Q414" s="0" t="n">
        <v>1</v>
      </c>
      <c r="R414" s="21" t="s">
        <v>69</v>
      </c>
      <c r="S414" s="0" t="n">
        <v>7</v>
      </c>
      <c r="T414" s="21" t="s">
        <v>3986</v>
      </c>
      <c r="U414" s="22" t="b">
        <f aca="false">FALSE()</f>
        <v>0</v>
      </c>
      <c r="V414" s="0" t="n">
        <v>0.7</v>
      </c>
      <c r="W414" s="0" t="n">
        <v>0.92</v>
      </c>
      <c r="X414" s="0" t="n">
        <v>7.56</v>
      </c>
      <c r="Y414" s="0" t="n">
        <v>322.04</v>
      </c>
      <c r="Z414" s="0" t="n">
        <v>10</v>
      </c>
      <c r="AA414" s="0" t="n">
        <v>3.19</v>
      </c>
      <c r="AB414" s="0" t="n">
        <v>15.79</v>
      </c>
      <c r="AC414" s="22" t="b">
        <f aca="false">FALSE()</f>
        <v>0</v>
      </c>
      <c r="AD414" s="0" t="n">
        <v>12.54</v>
      </c>
      <c r="AE414" s="0" t="n">
        <v>4.64</v>
      </c>
      <c r="AF414" s="0" t="n">
        <v>8.36</v>
      </c>
      <c r="AG414" s="22" t="b">
        <f aca="false">TRUE()</f>
        <v>1</v>
      </c>
      <c r="AH414" s="0" t="n">
        <v>1</v>
      </c>
    </row>
    <row r="415" customFormat="false" ht="15" hidden="false" customHeight="false" outlineLevel="0" collapsed="false">
      <c r="A415" s="0" t="s">
        <v>785</v>
      </c>
      <c r="B415" s="0" t="s">
        <v>3459</v>
      </c>
      <c r="C415" s="0" t="s">
        <v>3450</v>
      </c>
      <c r="D415" s="0" t="s">
        <v>3448</v>
      </c>
      <c r="E415" s="19" t="s">
        <v>26</v>
      </c>
      <c r="F415" s="19" t="s">
        <v>32</v>
      </c>
      <c r="G415" s="21" t="s">
        <v>529</v>
      </c>
      <c r="H415" s="21" t="s">
        <v>24</v>
      </c>
      <c r="I415" s="21" t="s">
        <v>26</v>
      </c>
      <c r="J415" s="21" t="s">
        <v>24</v>
      </c>
      <c r="K415" s="21" t="s">
        <v>24</v>
      </c>
      <c r="L415" s="21" t="s">
        <v>24</v>
      </c>
      <c r="M415" s="0" t="n">
        <v>183</v>
      </c>
      <c r="N415" s="0" t="n">
        <v>10</v>
      </c>
      <c r="O415" s="21" t="s">
        <v>4185</v>
      </c>
      <c r="P415" s="21" t="s">
        <v>4428</v>
      </c>
      <c r="Q415" s="0" t="n">
        <v>1</v>
      </c>
      <c r="R415" s="21" t="s">
        <v>69</v>
      </c>
      <c r="S415" s="0" t="n">
        <v>10</v>
      </c>
      <c r="T415" s="21" t="s">
        <v>4185</v>
      </c>
      <c r="U415" s="22" t="b">
        <f aca="false">FALSE()</f>
        <v>0</v>
      </c>
      <c r="V415" s="0" t="n">
        <v>0.55</v>
      </c>
      <c r="W415" s="0" t="n">
        <v>0.28</v>
      </c>
      <c r="X415" s="0" t="n">
        <v>16.01</v>
      </c>
      <c r="Y415" s="0" t="n">
        <v>410.13</v>
      </c>
      <c r="Z415" s="0" t="n">
        <v>10</v>
      </c>
      <c r="AA415" s="0" t="n">
        <v>16.77</v>
      </c>
      <c r="AB415" s="0" t="n">
        <v>7.69</v>
      </c>
      <c r="AC415" s="22" t="b">
        <f aca="false">FALSE()</f>
        <v>0</v>
      </c>
      <c r="AD415" s="0" t="n">
        <v>18.79</v>
      </c>
      <c r="AE415" s="0" t="n">
        <v>5.03</v>
      </c>
      <c r="AF415" s="0" t="n">
        <v>8.42</v>
      </c>
      <c r="AG415" s="22" t="b">
        <f aca="false">TRUE()</f>
        <v>1</v>
      </c>
      <c r="AH415" s="0" t="n">
        <v>1</v>
      </c>
    </row>
    <row r="416" customFormat="false" ht="15" hidden="false" customHeight="false" outlineLevel="0" collapsed="false">
      <c r="A416" s="0" t="s">
        <v>785</v>
      </c>
      <c r="B416" s="0" t="s">
        <v>3459</v>
      </c>
      <c r="C416" s="0" t="s">
        <v>3447</v>
      </c>
      <c r="D416" s="0" t="s">
        <v>3457</v>
      </c>
      <c r="E416" s="20" t="s">
        <v>25</v>
      </c>
      <c r="F416" s="23" t="s">
        <v>30</v>
      </c>
      <c r="G416" s="21" t="s">
        <v>992</v>
      </c>
      <c r="H416" s="21" t="s">
        <v>24</v>
      </c>
      <c r="I416" s="21" t="s">
        <v>24</v>
      </c>
      <c r="J416" s="21" t="s">
        <v>24</v>
      </c>
      <c r="K416" s="21" t="s">
        <v>25</v>
      </c>
      <c r="L416" s="21" t="s">
        <v>24</v>
      </c>
      <c r="M416" s="0" t="n">
        <v>183</v>
      </c>
      <c r="N416" s="0" t="n">
        <v>3</v>
      </c>
      <c r="O416" s="21" t="s">
        <v>3550</v>
      </c>
      <c r="P416" s="21" t="s">
        <v>4429</v>
      </c>
      <c r="Q416" s="0" t="n">
        <v>0</v>
      </c>
      <c r="S416" s="0" t="n">
        <v>3</v>
      </c>
      <c r="T416" s="21" t="s">
        <v>3550</v>
      </c>
      <c r="U416" s="22" t="b">
        <f aca="false">TRUE()</f>
        <v>1</v>
      </c>
      <c r="V416" s="0" t="n">
        <v>0.82</v>
      </c>
      <c r="W416" s="0" t="n">
        <v>0</v>
      </c>
      <c r="X416" s="0" t="n">
        <v>11.13</v>
      </c>
      <c r="Y416" s="0" t="n">
        <v>589.72</v>
      </c>
      <c r="Z416" s="0" t="n">
        <v>10.17</v>
      </c>
      <c r="AA416" s="0" t="n">
        <v>4.15</v>
      </c>
      <c r="AB416" s="0" t="n">
        <v>15.79</v>
      </c>
      <c r="AC416" s="22" t="b">
        <f aca="false">FALSE()</f>
        <v>0</v>
      </c>
      <c r="AD416" s="0" t="n">
        <v>20.22</v>
      </c>
      <c r="AE416" s="0" t="n">
        <v>5.09</v>
      </c>
      <c r="AF416" s="0" t="n">
        <v>8.5</v>
      </c>
      <c r="AG416" s="22" t="b">
        <f aca="false">TRUE()</f>
        <v>1</v>
      </c>
      <c r="AH416" s="0" t="n">
        <v>1</v>
      </c>
    </row>
    <row r="417" customFormat="false" ht="15" hidden="false" customHeight="false" outlineLevel="0" collapsed="false">
      <c r="A417" s="0" t="s">
        <v>785</v>
      </c>
      <c r="B417" s="0" t="s">
        <v>3459</v>
      </c>
      <c r="C417" s="0" t="s">
        <v>3447</v>
      </c>
      <c r="D417" s="0" t="s">
        <v>3448</v>
      </c>
      <c r="E417" s="18" t="s">
        <v>24</v>
      </c>
      <c r="F417" s="23" t="s">
        <v>30</v>
      </c>
      <c r="G417" s="21" t="s">
        <v>30</v>
      </c>
      <c r="H417" s="21" t="s">
        <v>24</v>
      </c>
      <c r="I417" s="21" t="s">
        <v>24</v>
      </c>
      <c r="J417" s="21" t="s">
        <v>24</v>
      </c>
      <c r="K417" s="21" t="s">
        <v>24</v>
      </c>
      <c r="L417" s="21" t="s">
        <v>24</v>
      </c>
      <c r="M417" s="0" t="n">
        <v>184</v>
      </c>
      <c r="N417" s="0" t="n">
        <v>4</v>
      </c>
      <c r="O417" s="21" t="s">
        <v>3684</v>
      </c>
      <c r="P417" s="21" t="s">
        <v>4430</v>
      </c>
      <c r="Q417" s="0" t="n">
        <v>0</v>
      </c>
      <c r="S417" s="0" t="n">
        <v>4</v>
      </c>
      <c r="T417" s="21" t="s">
        <v>3684</v>
      </c>
      <c r="U417" s="22" t="b">
        <f aca="false">TRUE()</f>
        <v>1</v>
      </c>
      <c r="V417" s="0" t="n">
        <v>0.69</v>
      </c>
      <c r="W417" s="0" t="n">
        <v>0.32</v>
      </c>
      <c r="X417" s="0" t="n">
        <v>11.29</v>
      </c>
      <c r="Y417" s="0" t="n">
        <v>367.59</v>
      </c>
      <c r="Z417" s="0" t="n">
        <v>10.58</v>
      </c>
      <c r="AA417" s="0" t="n">
        <v>2.27</v>
      </c>
      <c r="AB417" s="0" t="n">
        <v>7.69</v>
      </c>
      <c r="AC417" s="22" t="b">
        <f aca="false">FALSE()</f>
        <v>0</v>
      </c>
      <c r="AD417" s="0" t="n">
        <v>13.56</v>
      </c>
      <c r="AE417" s="0" t="n">
        <v>2.69</v>
      </c>
      <c r="AF417" s="0" t="n">
        <v>5.43</v>
      </c>
      <c r="AG417" s="22" t="b">
        <f aca="false">TRUE()</f>
        <v>1</v>
      </c>
      <c r="AH417" s="0" t="n">
        <v>1</v>
      </c>
    </row>
    <row r="418" customFormat="false" ht="15" hidden="false" customHeight="false" outlineLevel="0" collapsed="false">
      <c r="A418" s="0" t="s">
        <v>797</v>
      </c>
      <c r="B418" s="0" t="s">
        <v>134</v>
      </c>
      <c r="C418" s="0" t="s">
        <v>3450</v>
      </c>
      <c r="D418" s="0" t="s">
        <v>3457</v>
      </c>
      <c r="E418" s="19" t="s">
        <v>26</v>
      </c>
      <c r="F418" s="19" t="s">
        <v>32</v>
      </c>
      <c r="G418" s="21" t="s">
        <v>60</v>
      </c>
      <c r="H418" s="21" t="s">
        <v>24</v>
      </c>
      <c r="I418" s="21" t="s">
        <v>26</v>
      </c>
      <c r="J418" s="21" t="s">
        <v>24</v>
      </c>
      <c r="K418" s="21" t="s">
        <v>24</v>
      </c>
      <c r="L418" s="21" t="s">
        <v>24</v>
      </c>
      <c r="M418" s="0" t="n">
        <v>187</v>
      </c>
      <c r="N418" s="0" t="n">
        <v>8</v>
      </c>
      <c r="O418" s="21" t="s">
        <v>3916</v>
      </c>
      <c r="P418" s="21" t="s">
        <v>4431</v>
      </c>
      <c r="Q418" s="0" t="n">
        <v>0</v>
      </c>
      <c r="S418" s="0" t="n">
        <v>8</v>
      </c>
      <c r="T418" s="21" t="s">
        <v>3916</v>
      </c>
      <c r="U418" s="22" t="b">
        <f aca="false">FALSE()</f>
        <v>0</v>
      </c>
      <c r="V418" s="0" t="n">
        <v>0.8</v>
      </c>
      <c r="W418" s="0" t="n">
        <v>0.52</v>
      </c>
      <c r="X418" s="0" t="n">
        <v>10.78</v>
      </c>
      <c r="Y418" s="0" t="n">
        <v>334.3</v>
      </c>
      <c r="Z418" s="0" t="n">
        <v>9.25</v>
      </c>
      <c r="AA418" s="0" t="n">
        <v>15.32</v>
      </c>
      <c r="AB418" s="0" t="n">
        <v>4.41</v>
      </c>
      <c r="AC418" s="22" t="b">
        <f aca="false">FALSE()</f>
        <v>0</v>
      </c>
      <c r="AD418" s="0" t="n">
        <v>11.08</v>
      </c>
      <c r="AE418" s="0" t="n">
        <v>0.34</v>
      </c>
      <c r="AF418" s="0" t="n">
        <v>12.13</v>
      </c>
      <c r="AG418" s="22" t="b">
        <f aca="false">TRUE()</f>
        <v>1</v>
      </c>
      <c r="AH418" s="0" t="n">
        <v>1</v>
      </c>
    </row>
    <row r="419" customFormat="false" ht="15" hidden="false" customHeight="false" outlineLevel="0" collapsed="false">
      <c r="A419" s="0" t="s">
        <v>797</v>
      </c>
      <c r="B419" s="0" t="s">
        <v>134</v>
      </c>
      <c r="C419" s="0" t="s">
        <v>3450</v>
      </c>
      <c r="D419" s="0" t="s">
        <v>3448</v>
      </c>
      <c r="E419" s="19" t="s">
        <v>26</v>
      </c>
      <c r="F419" s="19" t="s">
        <v>32</v>
      </c>
      <c r="G419" s="21" t="s">
        <v>60</v>
      </c>
      <c r="H419" s="21" t="s">
        <v>24</v>
      </c>
      <c r="I419" s="21" t="s">
        <v>26</v>
      </c>
      <c r="J419" s="21" t="s">
        <v>24</v>
      </c>
      <c r="K419" s="21" t="s">
        <v>24</v>
      </c>
      <c r="L419" s="21" t="s">
        <v>24</v>
      </c>
      <c r="M419" s="0" t="n">
        <v>186</v>
      </c>
      <c r="N419" s="0" t="n">
        <v>9</v>
      </c>
      <c r="O419" s="21" t="s">
        <v>3913</v>
      </c>
      <c r="P419" s="21" t="s">
        <v>4432</v>
      </c>
      <c r="Q419" s="0" t="n">
        <v>0</v>
      </c>
      <c r="S419" s="0" t="n">
        <v>9</v>
      </c>
      <c r="T419" s="21" t="s">
        <v>3913</v>
      </c>
      <c r="U419" s="22" t="b">
        <f aca="false">FALSE()</f>
        <v>0</v>
      </c>
      <c r="V419" s="0" t="n">
        <v>0.8</v>
      </c>
      <c r="W419" s="0" t="n">
        <v>0.32</v>
      </c>
      <c r="X419" s="0" t="n">
        <v>12.58</v>
      </c>
      <c r="Y419" s="0" t="n">
        <v>408.8</v>
      </c>
      <c r="Z419" s="0" t="n">
        <v>9.42</v>
      </c>
      <c r="AA419" s="0" t="n">
        <v>12.51</v>
      </c>
      <c r="AB419" s="0" t="n">
        <v>4.06</v>
      </c>
      <c r="AC419" s="22" t="b">
        <f aca="false">FALSE()</f>
        <v>0</v>
      </c>
      <c r="AD419" s="0" t="n">
        <v>9.91</v>
      </c>
      <c r="AE419" s="0" t="n">
        <v>-0.18</v>
      </c>
      <c r="AF419" s="0" t="n">
        <v>1.87</v>
      </c>
      <c r="AG419" s="22" t="b">
        <f aca="false">FALSE()</f>
        <v>0</v>
      </c>
      <c r="AH419" s="0" t="n">
        <v>1</v>
      </c>
    </row>
    <row r="420" customFormat="false" ht="15" hidden="false" customHeight="false" outlineLevel="0" collapsed="false">
      <c r="A420" s="0" t="s">
        <v>797</v>
      </c>
      <c r="B420" s="0" t="s">
        <v>134</v>
      </c>
      <c r="C420" s="0" t="s">
        <v>3447</v>
      </c>
      <c r="D420" s="0" t="s">
        <v>3457</v>
      </c>
      <c r="E420" s="18" t="s">
        <v>24</v>
      </c>
      <c r="F420" s="23" t="s">
        <v>30</v>
      </c>
      <c r="G420" s="21" t="s">
        <v>30</v>
      </c>
      <c r="H420" s="21" t="s">
        <v>24</v>
      </c>
      <c r="I420" s="21" t="s">
        <v>24</v>
      </c>
      <c r="J420" s="21" t="s">
        <v>24</v>
      </c>
      <c r="K420" s="21" t="s">
        <v>24</v>
      </c>
      <c r="L420" s="21" t="s">
        <v>24</v>
      </c>
      <c r="M420" s="0" t="n">
        <v>184</v>
      </c>
      <c r="N420" s="0" t="n">
        <v>1</v>
      </c>
      <c r="O420" s="21" t="s">
        <v>3476</v>
      </c>
      <c r="P420" s="21" t="s">
        <v>4228</v>
      </c>
      <c r="Q420" s="0" t="n">
        <v>0</v>
      </c>
      <c r="S420" s="0" t="n">
        <v>1</v>
      </c>
      <c r="T420" s="21" t="s">
        <v>3476</v>
      </c>
      <c r="U420" s="22" t="b">
        <f aca="false">TRUE()</f>
        <v>1</v>
      </c>
      <c r="V420" s="0" t="n">
        <v>0.73</v>
      </c>
      <c r="W420" s="0" t="n">
        <v>0.56</v>
      </c>
      <c r="X420" s="0" t="n">
        <v>10.43</v>
      </c>
      <c r="Y420" s="0" t="n">
        <v>324.75</v>
      </c>
      <c r="Z420" s="0" t="n">
        <v>8.5</v>
      </c>
      <c r="AA420" s="0" t="n">
        <v>5.49</v>
      </c>
      <c r="AB420" s="0" t="n">
        <v>4.41</v>
      </c>
      <c r="AC420" s="22" t="b">
        <f aca="false">FALSE()</f>
        <v>0</v>
      </c>
      <c r="AD420" s="0" t="n">
        <v>5.99</v>
      </c>
      <c r="AE420" s="0" t="n">
        <v>0.3</v>
      </c>
      <c r="AF420" s="0" t="n">
        <v>5.93</v>
      </c>
      <c r="AG420" s="22" t="b">
        <f aca="false">FALSE()</f>
        <v>0</v>
      </c>
      <c r="AH420" s="0" t="n">
        <v>1</v>
      </c>
    </row>
    <row r="421" customFormat="false" ht="15" hidden="false" customHeight="false" outlineLevel="0" collapsed="false">
      <c r="A421" s="0" t="s">
        <v>797</v>
      </c>
      <c r="B421" s="0" t="s">
        <v>134</v>
      </c>
      <c r="C421" s="0" t="s">
        <v>3447</v>
      </c>
      <c r="D421" s="0" t="s">
        <v>3448</v>
      </c>
      <c r="E421" s="18" t="s">
        <v>24</v>
      </c>
      <c r="F421" s="23" t="s">
        <v>30</v>
      </c>
      <c r="G421" s="21" t="s">
        <v>30</v>
      </c>
      <c r="H421" s="21" t="s">
        <v>24</v>
      </c>
      <c r="I421" s="21" t="s">
        <v>24</v>
      </c>
      <c r="J421" s="21" t="s">
        <v>24</v>
      </c>
      <c r="K421" s="21" t="s">
        <v>24</v>
      </c>
      <c r="L421" s="21" t="s">
        <v>24</v>
      </c>
      <c r="M421" s="0" t="n">
        <v>195</v>
      </c>
      <c r="N421" s="0" t="n">
        <v>1</v>
      </c>
      <c r="O421" s="21" t="s">
        <v>3475</v>
      </c>
      <c r="P421" s="21" t="s">
        <v>4433</v>
      </c>
      <c r="Q421" s="0" t="n">
        <v>0</v>
      </c>
      <c r="S421" s="0" t="n">
        <v>1</v>
      </c>
      <c r="T421" s="21" t="s">
        <v>3475</v>
      </c>
      <c r="U421" s="22" t="b">
        <f aca="false">TRUE()</f>
        <v>1</v>
      </c>
      <c r="V421" s="0" t="n">
        <v>0.78</v>
      </c>
      <c r="W421" s="0" t="n">
        <v>0.4</v>
      </c>
      <c r="X421" s="0" t="n">
        <v>14.98</v>
      </c>
      <c r="Y421" s="0" t="n">
        <v>381.55</v>
      </c>
      <c r="Z421" s="0" t="n">
        <v>8.67</v>
      </c>
      <c r="AA421" s="0" t="n">
        <v>8.97</v>
      </c>
      <c r="AB421" s="0" t="n">
        <v>4.06</v>
      </c>
      <c r="AC421" s="22" t="b">
        <f aca="false">FALSE()</f>
        <v>0</v>
      </c>
      <c r="AD421" s="0" t="n">
        <v>7.94</v>
      </c>
      <c r="AE421" s="0" t="n">
        <v>1.69</v>
      </c>
      <c r="AF421" s="0" t="n">
        <v>-0.18</v>
      </c>
      <c r="AG421" s="22" t="b">
        <f aca="false">FALSE()</f>
        <v>0</v>
      </c>
      <c r="AH421" s="0" t="n">
        <v>1</v>
      </c>
    </row>
    <row r="422" customFormat="false" ht="15" hidden="false" customHeight="false" outlineLevel="0" collapsed="false">
      <c r="A422" s="0" t="s">
        <v>812</v>
      </c>
      <c r="B422" s="0" t="s">
        <v>134</v>
      </c>
      <c r="C422" s="0" t="s">
        <v>3450</v>
      </c>
      <c r="D422" s="0" t="s">
        <v>3457</v>
      </c>
      <c r="E422" s="20" t="s">
        <v>25</v>
      </c>
      <c r="F422" s="23" t="s">
        <v>30</v>
      </c>
      <c r="G422" s="21" t="s">
        <v>283</v>
      </c>
      <c r="H422" s="21" t="s">
        <v>24</v>
      </c>
      <c r="I422" s="21" t="s">
        <v>25</v>
      </c>
      <c r="J422" s="21" t="s">
        <v>24</v>
      </c>
      <c r="K422" s="21" t="s">
        <v>24</v>
      </c>
      <c r="L422" s="21" t="s">
        <v>24</v>
      </c>
      <c r="M422" s="0" t="n">
        <v>192</v>
      </c>
      <c r="N422" s="0" t="n">
        <v>4</v>
      </c>
      <c r="O422" s="21" t="s">
        <v>3790</v>
      </c>
      <c r="P422" s="21" t="s">
        <v>4434</v>
      </c>
      <c r="Q422" s="0" t="n">
        <v>1</v>
      </c>
      <c r="R422" s="21" t="s">
        <v>69</v>
      </c>
      <c r="S422" s="0" t="n">
        <v>4</v>
      </c>
      <c r="T422" s="21" t="s">
        <v>3790</v>
      </c>
      <c r="U422" s="22" t="b">
        <f aca="false">TRUE()</f>
        <v>1</v>
      </c>
      <c r="V422" s="0" t="n">
        <v>0.68</v>
      </c>
      <c r="W422" s="0" t="n">
        <v>0.12</v>
      </c>
      <c r="X422" s="0" t="n">
        <v>7.17</v>
      </c>
      <c r="Y422" s="0" t="n">
        <v>606.39</v>
      </c>
      <c r="Z422" s="0" t="n">
        <v>11.75</v>
      </c>
      <c r="AA422" s="0" t="n">
        <v>8.68</v>
      </c>
      <c r="AB422" s="0" t="n">
        <v>5.14</v>
      </c>
      <c r="AC422" s="22" t="b">
        <f aca="false">FALSE()</f>
        <v>0</v>
      </c>
      <c r="AD422" s="0" t="n">
        <v>15.93</v>
      </c>
      <c r="AE422" s="0" t="n">
        <v>1.11</v>
      </c>
      <c r="AF422" s="0" t="n">
        <v>5.07</v>
      </c>
      <c r="AG422" s="22" t="b">
        <f aca="false">TRUE()</f>
        <v>1</v>
      </c>
      <c r="AH422" s="0" t="n">
        <v>1</v>
      </c>
    </row>
    <row r="423" customFormat="false" ht="15" hidden="false" customHeight="false" outlineLevel="0" collapsed="false">
      <c r="A423" s="0" t="s">
        <v>812</v>
      </c>
      <c r="B423" s="0" t="s">
        <v>134</v>
      </c>
      <c r="C423" s="0" t="s">
        <v>3450</v>
      </c>
      <c r="D423" s="0" t="s">
        <v>3448</v>
      </c>
      <c r="E423" s="20" t="s">
        <v>25</v>
      </c>
      <c r="F423" s="23" t="s">
        <v>30</v>
      </c>
      <c r="G423" s="21" t="s">
        <v>283</v>
      </c>
      <c r="H423" s="21" t="s">
        <v>24</v>
      </c>
      <c r="I423" s="21" t="s">
        <v>25</v>
      </c>
      <c r="J423" s="21" t="s">
        <v>24</v>
      </c>
      <c r="K423" s="21" t="s">
        <v>24</v>
      </c>
      <c r="L423" s="21" t="s">
        <v>24</v>
      </c>
      <c r="M423" s="0" t="n">
        <v>193</v>
      </c>
      <c r="N423" s="0" t="n">
        <v>3</v>
      </c>
      <c r="O423" s="21" t="s">
        <v>3649</v>
      </c>
      <c r="P423" s="21" t="s">
        <v>4242</v>
      </c>
      <c r="Q423" s="0" t="n">
        <v>1</v>
      </c>
      <c r="R423" s="21" t="s">
        <v>69</v>
      </c>
      <c r="S423" s="0" t="n">
        <v>3</v>
      </c>
      <c r="T423" s="21" t="s">
        <v>3649</v>
      </c>
      <c r="U423" s="22" t="b">
        <f aca="false">TRUE()</f>
        <v>1</v>
      </c>
      <c r="V423" s="0" t="n">
        <v>0.67</v>
      </c>
      <c r="W423" s="0" t="n">
        <v>0.4</v>
      </c>
      <c r="X423" s="0" t="n">
        <v>7.56</v>
      </c>
      <c r="Y423" s="0" t="n">
        <v>378.36</v>
      </c>
      <c r="Z423" s="0" t="n">
        <v>11.25</v>
      </c>
      <c r="AA423" s="0" t="n">
        <v>13.35</v>
      </c>
      <c r="AB423" s="0" t="n">
        <v>8.53</v>
      </c>
      <c r="AC423" s="22" t="b">
        <f aca="false">FALSE()</f>
        <v>0</v>
      </c>
      <c r="AD423" s="0" t="n">
        <v>16.84</v>
      </c>
      <c r="AE423" s="0" t="n">
        <v>1.56</v>
      </c>
      <c r="AF423" s="0" t="n">
        <v>10.78</v>
      </c>
      <c r="AG423" s="22" t="b">
        <f aca="false">TRUE()</f>
        <v>1</v>
      </c>
      <c r="AH423" s="0" t="n">
        <v>1</v>
      </c>
    </row>
    <row r="424" customFormat="false" ht="15" hidden="false" customHeight="false" outlineLevel="0" collapsed="false">
      <c r="A424" s="0" t="s">
        <v>812</v>
      </c>
      <c r="B424" s="0" t="s">
        <v>134</v>
      </c>
      <c r="C424" s="0" t="s">
        <v>3447</v>
      </c>
      <c r="D424" s="0" t="s">
        <v>3457</v>
      </c>
      <c r="E424" s="18" t="s">
        <v>24</v>
      </c>
      <c r="F424" s="23" t="s">
        <v>30</v>
      </c>
      <c r="G424" s="21" t="s">
        <v>30</v>
      </c>
      <c r="H424" s="21" t="s">
        <v>24</v>
      </c>
      <c r="I424" s="21" t="s">
        <v>24</v>
      </c>
      <c r="J424" s="21" t="s">
        <v>24</v>
      </c>
      <c r="K424" s="21" t="s">
        <v>24</v>
      </c>
      <c r="L424" s="21" t="s">
        <v>24</v>
      </c>
      <c r="M424" s="0" t="n">
        <v>183</v>
      </c>
      <c r="N424" s="0" t="n">
        <v>4</v>
      </c>
      <c r="O424" s="21" t="s">
        <v>3655</v>
      </c>
      <c r="P424" s="21" t="s">
        <v>4435</v>
      </c>
      <c r="Q424" s="0" t="n">
        <v>0</v>
      </c>
      <c r="S424" s="0" t="n">
        <v>4</v>
      </c>
      <c r="T424" s="21" t="s">
        <v>3655</v>
      </c>
      <c r="U424" s="22" t="b">
        <f aca="false">TRUE()</f>
        <v>1</v>
      </c>
      <c r="V424" s="0" t="n">
        <v>0.75</v>
      </c>
      <c r="W424" s="0" t="n">
        <v>0.6</v>
      </c>
      <c r="X424" s="0" t="n">
        <v>8.53</v>
      </c>
      <c r="Y424" s="0" t="n">
        <v>311.85</v>
      </c>
      <c r="Z424" s="0" t="n">
        <v>11</v>
      </c>
      <c r="AA424" s="0" t="n">
        <v>1.09</v>
      </c>
      <c r="AB424" s="0" t="n">
        <v>5.14</v>
      </c>
      <c r="AC424" s="22" t="b">
        <f aca="false">FALSE()</f>
        <v>0</v>
      </c>
      <c r="AD424" s="0" t="n">
        <v>14.35</v>
      </c>
      <c r="AE424" s="0" t="n">
        <v>0.86</v>
      </c>
      <c r="AF424" s="0" t="n">
        <v>4.02</v>
      </c>
      <c r="AG424" s="22" t="b">
        <f aca="false">TRUE()</f>
        <v>1</v>
      </c>
      <c r="AH424" s="0" t="n">
        <v>1</v>
      </c>
    </row>
    <row r="425" customFormat="false" ht="15" hidden="false" customHeight="false" outlineLevel="0" collapsed="false">
      <c r="A425" s="0" t="s">
        <v>812</v>
      </c>
      <c r="B425" s="0" t="s">
        <v>134</v>
      </c>
      <c r="C425" s="0" t="s">
        <v>3447</v>
      </c>
      <c r="D425" s="0" t="s">
        <v>3448</v>
      </c>
      <c r="E425" s="18" t="s">
        <v>24</v>
      </c>
      <c r="F425" s="23" t="s">
        <v>30</v>
      </c>
      <c r="G425" s="21" t="s">
        <v>30</v>
      </c>
      <c r="H425" s="21" t="s">
        <v>24</v>
      </c>
      <c r="I425" s="21" t="s">
        <v>24</v>
      </c>
      <c r="J425" s="21" t="s">
        <v>24</v>
      </c>
      <c r="K425" s="21" t="s">
        <v>24</v>
      </c>
      <c r="L425" s="21" t="s">
        <v>24</v>
      </c>
      <c r="M425" s="0" t="n">
        <v>186</v>
      </c>
      <c r="N425" s="0" t="n">
        <v>4</v>
      </c>
      <c r="O425" s="21" t="s">
        <v>3604</v>
      </c>
      <c r="P425" s="21" t="s">
        <v>4436</v>
      </c>
      <c r="Q425" s="0" t="n">
        <v>0</v>
      </c>
      <c r="S425" s="0" t="n">
        <v>4</v>
      </c>
      <c r="T425" s="21" t="s">
        <v>3604</v>
      </c>
      <c r="U425" s="22" t="b">
        <f aca="false">TRUE()</f>
        <v>1</v>
      </c>
      <c r="V425" s="0" t="n">
        <v>0.81</v>
      </c>
      <c r="W425" s="0" t="n">
        <v>0.12</v>
      </c>
      <c r="X425" s="0" t="n">
        <v>12.6</v>
      </c>
      <c r="Y425" s="0" t="n">
        <v>626.88</v>
      </c>
      <c r="Z425" s="0" t="n">
        <v>11.25</v>
      </c>
      <c r="AA425" s="0" t="n">
        <v>1.19</v>
      </c>
      <c r="AB425" s="0" t="n">
        <v>8.53</v>
      </c>
      <c r="AC425" s="22" t="b">
        <f aca="false">FALSE()</f>
        <v>0</v>
      </c>
      <c r="AD425" s="0" t="n">
        <v>12.54</v>
      </c>
      <c r="AE425" s="0" t="n">
        <v>2.55</v>
      </c>
      <c r="AF425" s="0" t="n">
        <v>9.31</v>
      </c>
      <c r="AG425" s="22" t="b">
        <f aca="false">TRUE()</f>
        <v>1</v>
      </c>
      <c r="AH425" s="0" t="n">
        <v>1</v>
      </c>
    </row>
    <row r="426" customFormat="false" ht="15" hidden="false" customHeight="false" outlineLevel="0" collapsed="false">
      <c r="A426" s="0" t="s">
        <v>818</v>
      </c>
      <c r="B426" s="0" t="s">
        <v>134</v>
      </c>
      <c r="C426" s="0" t="s">
        <v>3450</v>
      </c>
      <c r="D426" s="0" t="s">
        <v>3457</v>
      </c>
      <c r="E426" s="20" t="s">
        <v>25</v>
      </c>
      <c r="F426" s="23" t="s">
        <v>30</v>
      </c>
      <c r="G426" s="21" t="s">
        <v>197</v>
      </c>
      <c r="H426" s="21" t="s">
        <v>24</v>
      </c>
      <c r="I426" s="21" t="s">
        <v>25</v>
      </c>
      <c r="J426" s="21" t="s">
        <v>24</v>
      </c>
      <c r="K426" s="21" t="s">
        <v>25</v>
      </c>
      <c r="L426" s="21" t="s">
        <v>24</v>
      </c>
      <c r="M426" s="0" t="n">
        <v>201</v>
      </c>
      <c r="N426" s="0" t="n">
        <v>2</v>
      </c>
      <c r="O426" s="21" t="s">
        <v>3575</v>
      </c>
      <c r="P426" s="21" t="s">
        <v>4265</v>
      </c>
      <c r="Q426" s="0" t="n">
        <v>1</v>
      </c>
      <c r="R426" s="21" t="s">
        <v>69</v>
      </c>
      <c r="S426" s="0" t="n">
        <v>2</v>
      </c>
      <c r="T426" s="21" t="s">
        <v>3575</v>
      </c>
      <c r="U426" s="22" t="b">
        <f aca="false">TRUE()</f>
        <v>1</v>
      </c>
      <c r="V426" s="0" t="n">
        <v>0.72</v>
      </c>
      <c r="W426" s="0" t="n">
        <v>0.6</v>
      </c>
      <c r="X426" s="0" t="n">
        <v>6.17</v>
      </c>
      <c r="Y426" s="0" t="n">
        <v>351.89</v>
      </c>
      <c r="Z426" s="0" t="n">
        <v>11.42</v>
      </c>
      <c r="AA426" s="0" t="n">
        <v>0.39</v>
      </c>
      <c r="AB426" s="0" t="n">
        <v>0.01</v>
      </c>
      <c r="AC426" s="22" t="b">
        <f aca="false">TRUE()</f>
        <v>1</v>
      </c>
      <c r="AD426" s="0" t="n">
        <v>15.88</v>
      </c>
      <c r="AE426" s="0" t="n">
        <v>1.36</v>
      </c>
      <c r="AF426" s="0" t="n">
        <v>10.42</v>
      </c>
      <c r="AG426" s="22" t="b">
        <f aca="false">TRUE()</f>
        <v>1</v>
      </c>
      <c r="AH426" s="0" t="n">
        <v>1</v>
      </c>
    </row>
    <row r="427" customFormat="false" ht="15" hidden="false" customHeight="false" outlineLevel="0" collapsed="false">
      <c r="A427" s="0" t="s">
        <v>818</v>
      </c>
      <c r="B427" s="0" t="s">
        <v>134</v>
      </c>
      <c r="C427" s="0" t="s">
        <v>3450</v>
      </c>
      <c r="D427" s="0" t="s">
        <v>3448</v>
      </c>
      <c r="E427" s="20" t="s">
        <v>25</v>
      </c>
      <c r="F427" s="20" t="s">
        <v>29</v>
      </c>
      <c r="G427" s="21" t="s">
        <v>3451</v>
      </c>
      <c r="H427" s="21" t="s">
        <v>24</v>
      </c>
      <c r="I427" s="21" t="s">
        <v>24</v>
      </c>
      <c r="J427" s="21" t="s">
        <v>24</v>
      </c>
      <c r="K427" s="21" t="s">
        <v>25</v>
      </c>
      <c r="L427" s="21" t="s">
        <v>24</v>
      </c>
      <c r="M427" s="0" t="n">
        <v>185</v>
      </c>
      <c r="N427" s="0" t="n">
        <v>0</v>
      </c>
      <c r="Q427" s="0" t="n">
        <v>0</v>
      </c>
      <c r="S427" s="0" t="n">
        <v>0</v>
      </c>
      <c r="U427" s="22" t="b">
        <f aca="false">FALSE()</f>
        <v>0</v>
      </c>
      <c r="V427" s="0" t="n">
        <v>0.74</v>
      </c>
      <c r="W427" s="0" t="n">
        <v>0.2</v>
      </c>
      <c r="X427" s="0" t="n">
        <v>6.85</v>
      </c>
      <c r="Y427" s="0" t="n">
        <v>513.27</v>
      </c>
      <c r="Z427" s="0" t="n">
        <v>8.25</v>
      </c>
      <c r="AA427" s="0" t="n">
        <v>0.62</v>
      </c>
      <c r="AB427" s="0" t="n">
        <v>0.05</v>
      </c>
      <c r="AC427" s="22" t="b">
        <f aca="false">TRUE()</f>
        <v>1</v>
      </c>
      <c r="AD427" s="0" t="n">
        <v>5.62</v>
      </c>
      <c r="AE427" s="0" t="n">
        <v>-0.64</v>
      </c>
      <c r="AF427" s="0" t="n">
        <v>4.59</v>
      </c>
      <c r="AG427" s="22" t="b">
        <f aca="false">FALSE()</f>
        <v>0</v>
      </c>
      <c r="AH427" s="0" t="n">
        <v>1</v>
      </c>
    </row>
    <row r="428" customFormat="false" ht="15" hidden="false" customHeight="false" outlineLevel="0" collapsed="false">
      <c r="A428" s="0" t="s">
        <v>818</v>
      </c>
      <c r="B428" s="0" t="s">
        <v>134</v>
      </c>
      <c r="C428" s="0" t="s">
        <v>3447</v>
      </c>
      <c r="D428" s="0" t="s">
        <v>3457</v>
      </c>
      <c r="E428" s="20" t="s">
        <v>25</v>
      </c>
      <c r="F428" s="23" t="s">
        <v>30</v>
      </c>
      <c r="G428" s="21" t="s">
        <v>2610</v>
      </c>
      <c r="H428" s="21" t="s">
        <v>24</v>
      </c>
      <c r="I428" s="21" t="s">
        <v>24</v>
      </c>
      <c r="J428" s="21" t="s">
        <v>24</v>
      </c>
      <c r="K428" s="21" t="s">
        <v>25</v>
      </c>
      <c r="L428" s="21" t="s">
        <v>24</v>
      </c>
      <c r="M428" s="0" t="n">
        <v>224</v>
      </c>
      <c r="N428" s="0" t="n">
        <v>2</v>
      </c>
      <c r="O428" s="21" t="s">
        <v>3505</v>
      </c>
      <c r="P428" s="21" t="s">
        <v>4426</v>
      </c>
      <c r="Q428" s="0" t="n">
        <v>0</v>
      </c>
      <c r="S428" s="0" t="n">
        <v>2</v>
      </c>
      <c r="T428" s="21" t="s">
        <v>3505</v>
      </c>
      <c r="U428" s="22" t="b">
        <f aca="false">TRUE()</f>
        <v>1</v>
      </c>
      <c r="V428" s="0" t="n">
        <v>0.78</v>
      </c>
      <c r="W428" s="0" t="n">
        <v>0.92</v>
      </c>
      <c r="X428" s="0" t="n">
        <v>10.95</v>
      </c>
      <c r="Y428" s="0" t="n">
        <v>387.09</v>
      </c>
      <c r="Z428" s="0" t="n">
        <v>8</v>
      </c>
      <c r="AA428" s="0" t="n">
        <v>-1.21</v>
      </c>
      <c r="AB428" s="0" t="n">
        <v>0.01</v>
      </c>
      <c r="AC428" s="22" t="b">
        <f aca="false">FALSE()</f>
        <v>0</v>
      </c>
      <c r="AD428" s="0" t="n">
        <v>2.87</v>
      </c>
      <c r="AE428" s="0" t="n">
        <v>0.36</v>
      </c>
      <c r="AF428" s="0" t="n">
        <v>2.35</v>
      </c>
      <c r="AG428" s="22" t="b">
        <f aca="false">FALSE()</f>
        <v>0</v>
      </c>
      <c r="AH428" s="0" t="n">
        <v>1</v>
      </c>
    </row>
    <row r="429" customFormat="false" ht="15" hidden="false" customHeight="false" outlineLevel="0" collapsed="false">
      <c r="A429" s="0" t="s">
        <v>818</v>
      </c>
      <c r="B429" s="0" t="s">
        <v>134</v>
      </c>
      <c r="C429" s="0" t="s">
        <v>3447</v>
      </c>
      <c r="D429" s="0" t="s">
        <v>3448</v>
      </c>
      <c r="E429" s="20" t="s">
        <v>25</v>
      </c>
      <c r="F429" s="20" t="s">
        <v>29</v>
      </c>
      <c r="G429" s="21" t="s">
        <v>64</v>
      </c>
      <c r="H429" s="21" t="s">
        <v>24</v>
      </c>
      <c r="I429" s="21" t="s">
        <v>24</v>
      </c>
      <c r="J429" s="21" t="s">
        <v>24</v>
      </c>
      <c r="K429" s="21" t="s">
        <v>25</v>
      </c>
      <c r="L429" s="21" t="s">
        <v>24</v>
      </c>
      <c r="M429" s="0" t="n">
        <v>194</v>
      </c>
      <c r="N429" s="0" t="n">
        <v>0</v>
      </c>
      <c r="Q429" s="0" t="n">
        <v>0</v>
      </c>
      <c r="S429" s="0" t="n">
        <v>0</v>
      </c>
      <c r="U429" s="22" t="b">
        <f aca="false">FALSE()</f>
        <v>0</v>
      </c>
      <c r="V429" s="0" t="n">
        <v>0.77</v>
      </c>
      <c r="W429" s="0" t="n">
        <v>0.68</v>
      </c>
      <c r="X429" s="0" t="n">
        <v>8.21</v>
      </c>
      <c r="Y429" s="0" t="n">
        <v>339.4</v>
      </c>
      <c r="Z429" s="0" t="n">
        <v>8</v>
      </c>
      <c r="AA429" s="0" t="n">
        <v>-1.28</v>
      </c>
      <c r="AB429" s="0" t="n">
        <v>0.05</v>
      </c>
      <c r="AC429" s="22" t="b">
        <f aca="false">FALSE()</f>
        <v>0</v>
      </c>
      <c r="AD429" s="0" t="n">
        <v>2.95</v>
      </c>
      <c r="AE429" s="0" t="n">
        <v>0.35</v>
      </c>
      <c r="AF429" s="0" t="n">
        <v>5.99</v>
      </c>
      <c r="AG429" s="22" t="b">
        <f aca="false">FALSE()</f>
        <v>0</v>
      </c>
      <c r="AH429" s="0" t="n">
        <v>1</v>
      </c>
    </row>
    <row r="430" customFormat="false" ht="15" hidden="false" customHeight="false" outlineLevel="0" collapsed="false">
      <c r="A430" s="0" t="s">
        <v>824</v>
      </c>
      <c r="B430" s="0" t="s">
        <v>134</v>
      </c>
      <c r="C430" s="0" t="s">
        <v>3450</v>
      </c>
      <c r="D430" s="0" t="s">
        <v>3457</v>
      </c>
      <c r="E430" s="20" t="s">
        <v>25</v>
      </c>
      <c r="F430" s="23" t="s">
        <v>30</v>
      </c>
      <c r="G430" s="21" t="s">
        <v>283</v>
      </c>
      <c r="H430" s="21" t="s">
        <v>24</v>
      </c>
      <c r="I430" s="21" t="s">
        <v>25</v>
      </c>
      <c r="J430" s="21" t="s">
        <v>24</v>
      </c>
      <c r="K430" s="21" t="s">
        <v>24</v>
      </c>
      <c r="L430" s="21" t="s">
        <v>24</v>
      </c>
      <c r="M430" s="0" t="n">
        <v>185</v>
      </c>
      <c r="N430" s="0" t="n">
        <v>3</v>
      </c>
      <c r="O430" s="21" t="s">
        <v>3649</v>
      </c>
      <c r="P430" s="21" t="s">
        <v>4242</v>
      </c>
      <c r="Q430" s="0" t="n">
        <v>1</v>
      </c>
      <c r="R430" s="21" t="s">
        <v>69</v>
      </c>
      <c r="S430" s="0" t="n">
        <v>3</v>
      </c>
      <c r="T430" s="21" t="s">
        <v>3649</v>
      </c>
      <c r="U430" s="22" t="b">
        <f aca="false">TRUE()</f>
        <v>1</v>
      </c>
      <c r="V430" s="0" t="n">
        <v>0.73</v>
      </c>
      <c r="W430" s="0" t="n">
        <v>0.44</v>
      </c>
      <c r="X430" s="0" t="n">
        <v>11.75</v>
      </c>
      <c r="Y430" s="0" t="n">
        <v>335.74</v>
      </c>
      <c r="Z430" s="0" t="n">
        <v>8.5</v>
      </c>
      <c r="AA430" s="0" t="n">
        <v>13.52</v>
      </c>
      <c r="AB430" s="0" t="n">
        <v>2.94</v>
      </c>
      <c r="AC430" s="22" t="b">
        <f aca="false">FALSE()</f>
        <v>0</v>
      </c>
      <c r="AD430" s="0" t="n">
        <v>14.18</v>
      </c>
      <c r="AE430" s="0" t="n">
        <v>0.28</v>
      </c>
      <c r="AF430" s="0" t="n">
        <v>4.95</v>
      </c>
      <c r="AG430" s="22" t="b">
        <f aca="false">TRUE()</f>
        <v>1</v>
      </c>
      <c r="AH430" s="0" t="n">
        <v>1</v>
      </c>
    </row>
    <row r="431" customFormat="false" ht="15" hidden="false" customHeight="false" outlineLevel="0" collapsed="false">
      <c r="A431" s="0" t="s">
        <v>824</v>
      </c>
      <c r="B431" s="0" t="s">
        <v>134</v>
      </c>
      <c r="C431" s="0" t="s">
        <v>3450</v>
      </c>
      <c r="D431" s="0" t="s">
        <v>3448</v>
      </c>
      <c r="E431" s="20" t="s">
        <v>25</v>
      </c>
      <c r="F431" s="20" t="s">
        <v>29</v>
      </c>
      <c r="G431" s="21" t="s">
        <v>61</v>
      </c>
      <c r="H431" s="21" t="s">
        <v>24</v>
      </c>
      <c r="I431" s="21" t="s">
        <v>24</v>
      </c>
      <c r="J431" s="21" t="s">
        <v>24</v>
      </c>
      <c r="K431" s="21" t="s">
        <v>25</v>
      </c>
      <c r="L431" s="21" t="s">
        <v>24</v>
      </c>
      <c r="M431" s="0" t="n">
        <v>187</v>
      </c>
      <c r="N431" s="0" t="n">
        <v>0</v>
      </c>
      <c r="Q431" s="0" t="n">
        <v>0</v>
      </c>
      <c r="S431" s="0" t="n">
        <v>0</v>
      </c>
      <c r="U431" s="22" t="b">
        <f aca="false">FALSE()</f>
        <v>0</v>
      </c>
      <c r="V431" s="0" t="n">
        <v>0.72</v>
      </c>
      <c r="W431" s="0" t="n">
        <v>0.36</v>
      </c>
      <c r="X431" s="0" t="n">
        <v>11.83</v>
      </c>
      <c r="Y431" s="0" t="n">
        <v>384.8</v>
      </c>
      <c r="Z431" s="0" t="n">
        <v>8.25</v>
      </c>
      <c r="AA431" s="0" t="n">
        <v>11.06</v>
      </c>
      <c r="AB431" s="0" t="n">
        <v>2.74</v>
      </c>
      <c r="AC431" s="22" t="b">
        <f aca="false">FALSE()</f>
        <v>0</v>
      </c>
      <c r="AD431" s="0" t="n">
        <v>21.52</v>
      </c>
      <c r="AE431" s="0" t="n">
        <v>0.92</v>
      </c>
      <c r="AF431" s="0" t="n">
        <v>13.07</v>
      </c>
      <c r="AG431" s="22" t="b">
        <f aca="false">TRUE()</f>
        <v>1</v>
      </c>
      <c r="AH431" s="0" t="n">
        <v>1</v>
      </c>
    </row>
    <row r="432" customFormat="false" ht="15" hidden="false" customHeight="false" outlineLevel="0" collapsed="false">
      <c r="A432" s="0" t="s">
        <v>824</v>
      </c>
      <c r="B432" s="0" t="s">
        <v>134</v>
      </c>
      <c r="C432" s="0" t="s">
        <v>3447</v>
      </c>
      <c r="D432" s="0" t="s">
        <v>3457</v>
      </c>
      <c r="E432" s="20" t="s">
        <v>25</v>
      </c>
      <c r="F432" s="23" t="s">
        <v>30</v>
      </c>
      <c r="G432" s="21" t="s">
        <v>283</v>
      </c>
      <c r="H432" s="21" t="s">
        <v>24</v>
      </c>
      <c r="I432" s="21" t="s">
        <v>25</v>
      </c>
      <c r="J432" s="21" t="s">
        <v>24</v>
      </c>
      <c r="K432" s="21" t="s">
        <v>24</v>
      </c>
      <c r="L432" s="21" t="s">
        <v>24</v>
      </c>
      <c r="M432" s="0" t="n">
        <v>189</v>
      </c>
      <c r="N432" s="0" t="n">
        <v>3</v>
      </c>
      <c r="O432" s="21" t="s">
        <v>3649</v>
      </c>
      <c r="P432" s="21" t="s">
        <v>4242</v>
      </c>
      <c r="Q432" s="0" t="n">
        <v>1</v>
      </c>
      <c r="R432" s="21" t="s">
        <v>69</v>
      </c>
      <c r="S432" s="0" t="n">
        <v>3</v>
      </c>
      <c r="T432" s="21" t="s">
        <v>3649</v>
      </c>
      <c r="U432" s="22" t="b">
        <f aca="false">TRUE()</f>
        <v>1</v>
      </c>
      <c r="V432" s="0" t="n">
        <v>0.72</v>
      </c>
      <c r="W432" s="0" t="n">
        <v>0.96</v>
      </c>
      <c r="X432" s="0" t="n">
        <v>9.91</v>
      </c>
      <c r="Y432" s="0" t="n">
        <v>322.95</v>
      </c>
      <c r="Z432" s="0" t="n">
        <v>8.5</v>
      </c>
      <c r="AA432" s="0" t="n">
        <v>12.8</v>
      </c>
      <c r="AB432" s="0" t="n">
        <v>2.94</v>
      </c>
      <c r="AC432" s="22" t="b">
        <f aca="false">FALSE()</f>
        <v>0</v>
      </c>
      <c r="AD432" s="0" t="n">
        <v>12.64</v>
      </c>
      <c r="AE432" s="0" t="n">
        <v>1.01</v>
      </c>
      <c r="AF432" s="0" t="n">
        <v>4.84</v>
      </c>
      <c r="AG432" s="22" t="b">
        <f aca="false">TRUE()</f>
        <v>1</v>
      </c>
      <c r="AH432" s="0" t="n">
        <v>1</v>
      </c>
    </row>
    <row r="433" customFormat="false" ht="15" hidden="false" customHeight="false" outlineLevel="0" collapsed="false">
      <c r="A433" s="0" t="s">
        <v>824</v>
      </c>
      <c r="B433" s="0" t="s">
        <v>134</v>
      </c>
      <c r="C433" s="0" t="s">
        <v>3447</v>
      </c>
      <c r="D433" s="0" t="s">
        <v>3448</v>
      </c>
      <c r="E433" s="18" t="s">
        <v>24</v>
      </c>
      <c r="F433" s="23" t="s">
        <v>30</v>
      </c>
      <c r="G433" s="21" t="s">
        <v>30</v>
      </c>
      <c r="H433" s="21" t="s">
        <v>24</v>
      </c>
      <c r="I433" s="21" t="s">
        <v>24</v>
      </c>
      <c r="J433" s="21" t="s">
        <v>24</v>
      </c>
      <c r="K433" s="21" t="s">
        <v>24</v>
      </c>
      <c r="L433" s="21" t="s">
        <v>24</v>
      </c>
      <c r="M433" s="0" t="n">
        <v>186</v>
      </c>
      <c r="N433" s="0" t="n">
        <v>3</v>
      </c>
      <c r="O433" s="21" t="s">
        <v>3583</v>
      </c>
      <c r="P433" s="21" t="s">
        <v>4437</v>
      </c>
      <c r="Q433" s="0" t="n">
        <v>0</v>
      </c>
      <c r="S433" s="0" t="n">
        <v>3</v>
      </c>
      <c r="T433" s="21" t="s">
        <v>3583</v>
      </c>
      <c r="U433" s="22" t="b">
        <f aca="false">TRUE()</f>
        <v>1</v>
      </c>
      <c r="V433" s="0" t="n">
        <v>0.74</v>
      </c>
      <c r="W433" s="0" t="n">
        <v>0.12</v>
      </c>
      <c r="X433" s="0" t="n">
        <v>11.7</v>
      </c>
      <c r="Y433" s="0" t="n">
        <v>634.79</v>
      </c>
      <c r="Z433" s="0" t="n">
        <v>8.58</v>
      </c>
      <c r="AA433" s="0" t="n">
        <v>10.91</v>
      </c>
      <c r="AB433" s="0" t="n">
        <v>2.74</v>
      </c>
      <c r="AC433" s="22" t="b">
        <f aca="false">FALSE()</f>
        <v>0</v>
      </c>
      <c r="AD433" s="0" t="n">
        <v>19.36</v>
      </c>
      <c r="AE433" s="0" t="n">
        <v>0.58</v>
      </c>
      <c r="AF433" s="0" t="n">
        <v>10.8</v>
      </c>
      <c r="AG433" s="22" t="b">
        <f aca="false">TRUE()</f>
        <v>1</v>
      </c>
      <c r="AH433" s="0" t="n">
        <v>1</v>
      </c>
    </row>
    <row r="434" customFormat="false" ht="15" hidden="false" customHeight="false" outlineLevel="0" collapsed="false">
      <c r="A434" s="0" t="s">
        <v>830</v>
      </c>
      <c r="B434" s="0" t="s">
        <v>134</v>
      </c>
      <c r="C434" s="0" t="s">
        <v>3450</v>
      </c>
      <c r="D434" s="0" t="s">
        <v>3457</v>
      </c>
      <c r="E434" s="20" t="s">
        <v>25</v>
      </c>
      <c r="F434" s="20" t="s">
        <v>29</v>
      </c>
      <c r="G434" s="21" t="s">
        <v>61</v>
      </c>
      <c r="H434" s="21" t="s">
        <v>24</v>
      </c>
      <c r="I434" s="21" t="s">
        <v>24</v>
      </c>
      <c r="J434" s="21" t="s">
        <v>24</v>
      </c>
      <c r="K434" s="21" t="s">
        <v>25</v>
      </c>
      <c r="L434" s="21" t="s">
        <v>24</v>
      </c>
      <c r="M434" s="0" t="n">
        <v>183</v>
      </c>
      <c r="N434" s="0" t="n">
        <v>0</v>
      </c>
      <c r="Q434" s="0" t="n">
        <v>0</v>
      </c>
      <c r="S434" s="0" t="n">
        <v>0</v>
      </c>
      <c r="U434" s="22" t="b">
        <f aca="false">FALSE()</f>
        <v>0</v>
      </c>
      <c r="V434" s="0" t="n">
        <v>0.67</v>
      </c>
      <c r="W434" s="0" t="n">
        <v>0.68</v>
      </c>
      <c r="X434" s="0" t="n">
        <v>8.85</v>
      </c>
      <c r="Y434" s="0" t="n">
        <v>297.98</v>
      </c>
      <c r="Z434" s="0" t="n">
        <v>10.75</v>
      </c>
      <c r="AA434" s="0" t="n">
        <v>16.79</v>
      </c>
      <c r="AB434" s="0" t="n">
        <v>5.57</v>
      </c>
      <c r="AC434" s="22" t="b">
        <f aca="false">FALSE()</f>
        <v>0</v>
      </c>
      <c r="AD434" s="0" t="n">
        <v>28.66</v>
      </c>
      <c r="AE434" s="0" t="n">
        <v>1.16</v>
      </c>
      <c r="AF434" s="0" t="n">
        <v>22.12</v>
      </c>
      <c r="AG434" s="22" t="b">
        <f aca="false">TRUE()</f>
        <v>1</v>
      </c>
      <c r="AH434" s="0" t="n">
        <v>1</v>
      </c>
    </row>
    <row r="435" customFormat="false" ht="15" hidden="false" customHeight="false" outlineLevel="0" collapsed="false">
      <c r="A435" s="0" t="s">
        <v>830</v>
      </c>
      <c r="B435" s="0" t="s">
        <v>134</v>
      </c>
      <c r="C435" s="0" t="s">
        <v>3450</v>
      </c>
      <c r="D435" s="0" t="s">
        <v>3448</v>
      </c>
      <c r="E435" s="20" t="s">
        <v>25</v>
      </c>
      <c r="F435" s="20" t="s">
        <v>29</v>
      </c>
      <c r="G435" s="21" t="s">
        <v>63</v>
      </c>
      <c r="H435" s="21" t="s">
        <v>24</v>
      </c>
      <c r="I435" s="21" t="s">
        <v>24</v>
      </c>
      <c r="J435" s="21" t="s">
        <v>24</v>
      </c>
      <c r="K435" s="21" t="s">
        <v>25</v>
      </c>
      <c r="L435" s="21" t="s">
        <v>24</v>
      </c>
      <c r="M435" s="0" t="n">
        <v>199</v>
      </c>
      <c r="N435" s="0" t="n">
        <v>0</v>
      </c>
      <c r="Q435" s="0" t="n">
        <v>0</v>
      </c>
      <c r="S435" s="0" t="n">
        <v>0</v>
      </c>
      <c r="U435" s="22" t="b">
        <f aca="false">FALSE()</f>
        <v>0</v>
      </c>
      <c r="V435" s="0" t="n">
        <v>0.7</v>
      </c>
      <c r="W435" s="0" t="n">
        <v>0.52</v>
      </c>
      <c r="X435" s="0" t="n">
        <v>7.87</v>
      </c>
      <c r="Y435" s="0" t="n">
        <v>350.6</v>
      </c>
      <c r="Z435" s="0" t="n">
        <v>11</v>
      </c>
      <c r="AA435" s="0" t="n">
        <v>14.31</v>
      </c>
      <c r="AB435" s="0" t="n">
        <v>1.15</v>
      </c>
      <c r="AC435" s="22" t="b">
        <f aca="false">FALSE()</f>
        <v>0</v>
      </c>
      <c r="AD435" s="0" t="n">
        <v>18.14</v>
      </c>
      <c r="AE435" s="0" t="n">
        <v>1.75</v>
      </c>
      <c r="AF435" s="0" t="n">
        <v>11.55</v>
      </c>
      <c r="AG435" s="22" t="b">
        <f aca="false">TRUE()</f>
        <v>1</v>
      </c>
      <c r="AH435" s="0" t="n">
        <v>1</v>
      </c>
    </row>
    <row r="436" customFormat="false" ht="15" hidden="false" customHeight="false" outlineLevel="0" collapsed="false">
      <c r="A436" s="0" t="s">
        <v>830</v>
      </c>
      <c r="B436" s="0" t="s">
        <v>134</v>
      </c>
      <c r="C436" s="0" t="s">
        <v>3447</v>
      </c>
      <c r="D436" s="0" t="s">
        <v>3457</v>
      </c>
      <c r="E436" s="20" t="s">
        <v>25</v>
      </c>
      <c r="F436" s="23" t="s">
        <v>30</v>
      </c>
      <c r="G436" s="21" t="s">
        <v>992</v>
      </c>
      <c r="H436" s="21" t="s">
        <v>24</v>
      </c>
      <c r="I436" s="21" t="s">
        <v>24</v>
      </c>
      <c r="J436" s="21" t="s">
        <v>24</v>
      </c>
      <c r="K436" s="21" t="s">
        <v>25</v>
      </c>
      <c r="L436" s="21" t="s">
        <v>24</v>
      </c>
      <c r="M436" s="0" t="n">
        <v>183</v>
      </c>
      <c r="N436" s="0" t="n">
        <v>3</v>
      </c>
      <c r="O436" s="21" t="s">
        <v>3616</v>
      </c>
      <c r="P436" s="21" t="s">
        <v>4438</v>
      </c>
      <c r="Q436" s="0" t="n">
        <v>0</v>
      </c>
      <c r="S436" s="0" t="n">
        <v>3</v>
      </c>
      <c r="T436" s="21" t="s">
        <v>3616</v>
      </c>
      <c r="U436" s="22" t="b">
        <f aca="false">TRUE()</f>
        <v>1</v>
      </c>
      <c r="V436" s="0" t="n">
        <v>0.72</v>
      </c>
      <c r="W436" s="0" t="n">
        <v>0</v>
      </c>
      <c r="X436" s="0" t="n">
        <v>9.71</v>
      </c>
      <c r="Y436" s="0" t="n">
        <v>1.16</v>
      </c>
      <c r="Z436" s="0" t="n">
        <v>10</v>
      </c>
      <c r="AA436" s="0" t="n">
        <v>6.57</v>
      </c>
      <c r="AB436" s="0" t="n">
        <v>5.57</v>
      </c>
      <c r="AC436" s="22" t="b">
        <f aca="false">FALSE()</f>
        <v>0</v>
      </c>
      <c r="AD436" s="0" t="n">
        <v>28.05</v>
      </c>
      <c r="AE436" s="0" t="n">
        <v>1.4</v>
      </c>
      <c r="AF436" s="0" t="n">
        <v>21.02</v>
      </c>
      <c r="AG436" s="22" t="b">
        <f aca="false">TRUE()</f>
        <v>1</v>
      </c>
      <c r="AH436" s="0" t="n">
        <v>0</v>
      </c>
    </row>
    <row r="437" customFormat="false" ht="15" hidden="false" customHeight="false" outlineLevel="0" collapsed="false">
      <c r="A437" s="0" t="s">
        <v>830</v>
      </c>
      <c r="B437" s="0" t="s">
        <v>134</v>
      </c>
      <c r="C437" s="0" t="s">
        <v>3447</v>
      </c>
      <c r="D437" s="0" t="s">
        <v>3448</v>
      </c>
      <c r="E437" s="20" t="s">
        <v>25</v>
      </c>
      <c r="F437" s="20" t="s">
        <v>29</v>
      </c>
      <c r="G437" s="21" t="s">
        <v>63</v>
      </c>
      <c r="H437" s="21" t="s">
        <v>24</v>
      </c>
      <c r="I437" s="21" t="s">
        <v>24</v>
      </c>
      <c r="J437" s="21" t="s">
        <v>24</v>
      </c>
      <c r="K437" s="21" t="s">
        <v>25</v>
      </c>
      <c r="L437" s="21" t="s">
        <v>24</v>
      </c>
      <c r="M437" s="0" t="n">
        <v>195</v>
      </c>
      <c r="N437" s="0" t="n">
        <v>0</v>
      </c>
      <c r="Q437" s="0" t="n">
        <v>0</v>
      </c>
      <c r="S437" s="0" t="n">
        <v>0</v>
      </c>
      <c r="U437" s="22" t="b">
        <f aca="false">FALSE()</f>
        <v>0</v>
      </c>
      <c r="V437" s="0" t="n">
        <v>0.74</v>
      </c>
      <c r="W437" s="0" t="n">
        <v>0.44</v>
      </c>
      <c r="X437" s="0" t="n">
        <v>8.5</v>
      </c>
      <c r="Y437" s="0" t="n">
        <v>359.12</v>
      </c>
      <c r="Z437" s="0" t="n">
        <v>11</v>
      </c>
      <c r="AA437" s="0" t="n">
        <v>12.9</v>
      </c>
      <c r="AB437" s="0" t="n">
        <v>1.15</v>
      </c>
      <c r="AC437" s="22" t="b">
        <f aca="false">FALSE()</f>
        <v>0</v>
      </c>
      <c r="AD437" s="0" t="n">
        <v>16.28</v>
      </c>
      <c r="AE437" s="0" t="n">
        <v>1.66</v>
      </c>
      <c r="AF437" s="0" t="n">
        <v>9.35</v>
      </c>
      <c r="AG437" s="22" t="b">
        <f aca="false">TRUE()</f>
        <v>1</v>
      </c>
      <c r="AH437" s="0" t="n">
        <v>1</v>
      </c>
    </row>
    <row r="438" customFormat="false" ht="15" hidden="false" customHeight="false" outlineLevel="0" collapsed="false">
      <c r="A438" s="0" t="s">
        <v>830</v>
      </c>
      <c r="B438" s="0" t="s">
        <v>3459</v>
      </c>
      <c r="C438" s="0" t="s">
        <v>3450</v>
      </c>
      <c r="D438" s="0" t="s">
        <v>3457</v>
      </c>
      <c r="E438" s="18" t="s">
        <v>24</v>
      </c>
      <c r="F438" s="23" t="s">
        <v>30</v>
      </c>
      <c r="G438" s="21" t="s">
        <v>30</v>
      </c>
      <c r="H438" s="21" t="s">
        <v>24</v>
      </c>
      <c r="I438" s="21" t="s">
        <v>24</v>
      </c>
      <c r="J438" s="21" t="s">
        <v>24</v>
      </c>
      <c r="K438" s="21" t="s">
        <v>24</v>
      </c>
      <c r="L438" s="21" t="s">
        <v>24</v>
      </c>
      <c r="M438" s="0" t="n">
        <v>183</v>
      </c>
      <c r="N438" s="0" t="n">
        <v>2</v>
      </c>
      <c r="O438" s="21" t="s">
        <v>3534</v>
      </c>
      <c r="P438" s="21" t="s">
        <v>4439</v>
      </c>
      <c r="Q438" s="0" t="n">
        <v>0</v>
      </c>
      <c r="S438" s="0" t="n">
        <v>2</v>
      </c>
      <c r="T438" s="21" t="s">
        <v>3534</v>
      </c>
      <c r="U438" s="22" t="b">
        <f aca="false">TRUE()</f>
        <v>1</v>
      </c>
      <c r="V438" s="0" t="n">
        <v>0.72</v>
      </c>
      <c r="W438" s="0" t="n">
        <v>0.8</v>
      </c>
      <c r="X438" s="0" t="n">
        <v>7.64</v>
      </c>
      <c r="Y438" s="0" t="n">
        <v>306.92</v>
      </c>
      <c r="Z438" s="0" t="n">
        <v>10.75</v>
      </c>
      <c r="AA438" s="0" t="n">
        <v>13.31</v>
      </c>
      <c r="AB438" s="0" t="n">
        <v>7.18</v>
      </c>
      <c r="AC438" s="22" t="b">
        <f aca="false">FALSE()</f>
        <v>0</v>
      </c>
      <c r="AD438" s="0" t="n">
        <v>4.82</v>
      </c>
      <c r="AE438" s="0" t="n">
        <v>0.41</v>
      </c>
      <c r="AF438" s="0" t="n">
        <v>1.9</v>
      </c>
      <c r="AG438" s="22" t="b">
        <f aca="false">FALSE()</f>
        <v>0</v>
      </c>
      <c r="AH438" s="0" t="n">
        <v>1</v>
      </c>
    </row>
    <row r="439" customFormat="false" ht="15" hidden="false" customHeight="false" outlineLevel="0" collapsed="false">
      <c r="A439" s="0" t="s">
        <v>830</v>
      </c>
      <c r="B439" s="0" t="s">
        <v>3459</v>
      </c>
      <c r="C439" s="0" t="s">
        <v>3450</v>
      </c>
      <c r="D439" s="0" t="s">
        <v>3448</v>
      </c>
      <c r="E439" s="20" t="s">
        <v>25</v>
      </c>
      <c r="F439" s="23" t="s">
        <v>30</v>
      </c>
      <c r="G439" s="21" t="s">
        <v>283</v>
      </c>
      <c r="H439" s="21" t="s">
        <v>24</v>
      </c>
      <c r="I439" s="21" t="s">
        <v>25</v>
      </c>
      <c r="J439" s="21" t="s">
        <v>24</v>
      </c>
      <c r="K439" s="21" t="s">
        <v>24</v>
      </c>
      <c r="L439" s="21" t="s">
        <v>24</v>
      </c>
      <c r="M439" s="0" t="n">
        <v>183</v>
      </c>
      <c r="N439" s="0" t="n">
        <v>1</v>
      </c>
      <c r="O439" s="21" t="s">
        <v>69</v>
      </c>
      <c r="P439" s="21" t="s">
        <v>4275</v>
      </c>
      <c r="Q439" s="0" t="n">
        <v>1</v>
      </c>
      <c r="R439" s="21" t="s">
        <v>69</v>
      </c>
      <c r="S439" s="0" t="n">
        <v>1</v>
      </c>
      <c r="T439" s="21" t="s">
        <v>69</v>
      </c>
      <c r="U439" s="22" t="b">
        <f aca="false">TRUE()</f>
        <v>1</v>
      </c>
      <c r="V439" s="0" t="n">
        <v>0.67</v>
      </c>
      <c r="W439" s="0" t="n">
        <v>0.6</v>
      </c>
      <c r="X439" s="0" t="n">
        <v>9.02</v>
      </c>
      <c r="Y439" s="0" t="n">
        <v>319.54</v>
      </c>
      <c r="Z439" s="0" t="n">
        <v>10.5</v>
      </c>
      <c r="AA439" s="0" t="n">
        <v>9.11</v>
      </c>
      <c r="AB439" s="0" t="n">
        <v>2.05</v>
      </c>
      <c r="AC439" s="22" t="b">
        <f aca="false">FALSE()</f>
        <v>0</v>
      </c>
      <c r="AD439" s="0" t="n">
        <v>17.74</v>
      </c>
      <c r="AE439" s="0" t="n">
        <v>5.8</v>
      </c>
      <c r="AF439" s="0" t="n">
        <v>15.2</v>
      </c>
      <c r="AG439" s="22" t="b">
        <f aca="false">TRUE()</f>
        <v>1</v>
      </c>
      <c r="AH439" s="0" t="n">
        <v>1</v>
      </c>
    </row>
    <row r="440" customFormat="false" ht="15" hidden="false" customHeight="false" outlineLevel="0" collapsed="false">
      <c r="A440" s="0" t="s">
        <v>830</v>
      </c>
      <c r="B440" s="0" t="s">
        <v>3459</v>
      </c>
      <c r="C440" s="0" t="s">
        <v>3447</v>
      </c>
      <c r="D440" s="0" t="s">
        <v>3457</v>
      </c>
      <c r="E440" s="18" t="s">
        <v>24</v>
      </c>
      <c r="F440" s="23" t="s">
        <v>30</v>
      </c>
      <c r="G440" s="21" t="s">
        <v>30</v>
      </c>
      <c r="H440" s="21" t="s">
        <v>24</v>
      </c>
      <c r="I440" s="21" t="s">
        <v>24</v>
      </c>
      <c r="J440" s="21" t="s">
        <v>24</v>
      </c>
      <c r="K440" s="21" t="s">
        <v>24</v>
      </c>
      <c r="L440" s="21" t="s">
        <v>24</v>
      </c>
      <c r="M440" s="0" t="n">
        <v>183</v>
      </c>
      <c r="N440" s="0" t="n">
        <v>2</v>
      </c>
      <c r="O440" s="21" t="s">
        <v>3530</v>
      </c>
      <c r="P440" s="21" t="s">
        <v>4440</v>
      </c>
      <c r="Q440" s="0" t="n">
        <v>0</v>
      </c>
      <c r="S440" s="0" t="n">
        <v>2</v>
      </c>
      <c r="T440" s="21" t="s">
        <v>3530</v>
      </c>
      <c r="U440" s="22" t="b">
        <f aca="false">TRUE()</f>
        <v>1</v>
      </c>
      <c r="V440" s="0" t="n">
        <v>0.73</v>
      </c>
      <c r="W440" s="0" t="n">
        <v>0.52</v>
      </c>
      <c r="X440" s="0" t="n">
        <v>7.07</v>
      </c>
      <c r="Y440" s="0" t="n">
        <v>320.2</v>
      </c>
      <c r="Z440" s="0" t="n">
        <v>10.75</v>
      </c>
      <c r="AA440" s="0" t="n">
        <v>2.64</v>
      </c>
      <c r="AB440" s="0" t="n">
        <v>7.18</v>
      </c>
      <c r="AC440" s="22" t="b">
        <f aca="false">FALSE()</f>
        <v>0</v>
      </c>
      <c r="AD440" s="0" t="n">
        <v>5.7</v>
      </c>
      <c r="AE440" s="0" t="n">
        <v>0.93</v>
      </c>
      <c r="AF440" s="0" t="n">
        <v>2.68</v>
      </c>
      <c r="AG440" s="22" t="b">
        <f aca="false">FALSE()</f>
        <v>0</v>
      </c>
      <c r="AH440" s="0" t="n">
        <v>1</v>
      </c>
    </row>
    <row r="441" customFormat="false" ht="15" hidden="false" customHeight="false" outlineLevel="0" collapsed="false">
      <c r="A441" s="0" t="s">
        <v>830</v>
      </c>
      <c r="B441" s="0" t="s">
        <v>3459</v>
      </c>
      <c r="C441" s="0" t="s">
        <v>3447</v>
      </c>
      <c r="D441" s="0" t="s">
        <v>3448</v>
      </c>
      <c r="E441" s="18" t="s">
        <v>24</v>
      </c>
      <c r="F441" s="23" t="s">
        <v>30</v>
      </c>
      <c r="G441" s="21" t="s">
        <v>30</v>
      </c>
      <c r="H441" s="21" t="s">
        <v>24</v>
      </c>
      <c r="I441" s="21" t="s">
        <v>24</v>
      </c>
      <c r="J441" s="21" t="s">
        <v>24</v>
      </c>
      <c r="K441" s="21" t="s">
        <v>24</v>
      </c>
      <c r="L441" s="21" t="s">
        <v>24</v>
      </c>
      <c r="M441" s="0" t="n">
        <v>182</v>
      </c>
      <c r="N441" s="0" t="n">
        <v>1</v>
      </c>
      <c r="O441" s="21" t="s">
        <v>3479</v>
      </c>
      <c r="P441" s="21" t="s">
        <v>4441</v>
      </c>
      <c r="Q441" s="0" t="n">
        <v>0</v>
      </c>
      <c r="S441" s="0" t="n">
        <v>1</v>
      </c>
      <c r="T441" s="21" t="s">
        <v>3479</v>
      </c>
      <c r="U441" s="22" t="b">
        <f aca="false">TRUE()</f>
        <v>1</v>
      </c>
      <c r="V441" s="0" t="n">
        <v>0.71</v>
      </c>
      <c r="W441" s="0" t="n">
        <v>0.24</v>
      </c>
      <c r="X441" s="0" t="n">
        <v>12.38</v>
      </c>
      <c r="Y441" s="0" t="n">
        <v>449.71</v>
      </c>
      <c r="Z441" s="0" t="n">
        <v>10</v>
      </c>
      <c r="AA441" s="0" t="n">
        <v>2.32</v>
      </c>
      <c r="AB441" s="0" t="n">
        <v>2.05</v>
      </c>
      <c r="AC441" s="22" t="b">
        <f aca="false">FALSE()</f>
        <v>0</v>
      </c>
      <c r="AD441" s="0" t="n">
        <v>15.29</v>
      </c>
      <c r="AE441" s="0" t="n">
        <v>3.58</v>
      </c>
      <c r="AF441" s="0" t="n">
        <v>11.58</v>
      </c>
      <c r="AG441" s="22" t="b">
        <f aca="false">TRUE()</f>
        <v>1</v>
      </c>
      <c r="AH441" s="0" t="n">
        <v>1</v>
      </c>
    </row>
    <row r="442" customFormat="false" ht="15" hidden="false" customHeight="false" outlineLevel="0" collapsed="false">
      <c r="A442" s="0" t="s">
        <v>839</v>
      </c>
      <c r="B442" s="0" t="s">
        <v>134</v>
      </c>
      <c r="C442" s="0" t="s">
        <v>3450</v>
      </c>
      <c r="D442" s="0" t="s">
        <v>3457</v>
      </c>
      <c r="E442" s="20" t="s">
        <v>25</v>
      </c>
      <c r="F442" s="23" t="s">
        <v>30</v>
      </c>
      <c r="G442" s="21" t="s">
        <v>283</v>
      </c>
      <c r="H442" s="21" t="s">
        <v>24</v>
      </c>
      <c r="I442" s="21" t="s">
        <v>25</v>
      </c>
      <c r="J442" s="21" t="s">
        <v>24</v>
      </c>
      <c r="K442" s="21" t="s">
        <v>24</v>
      </c>
      <c r="L442" s="21" t="s">
        <v>24</v>
      </c>
      <c r="M442" s="0" t="n">
        <v>183</v>
      </c>
      <c r="N442" s="0" t="n">
        <v>1</v>
      </c>
      <c r="O442" s="21" t="s">
        <v>69</v>
      </c>
      <c r="P442" s="21" t="s">
        <v>4275</v>
      </c>
      <c r="Q442" s="0" t="n">
        <v>1</v>
      </c>
      <c r="R442" s="21" t="s">
        <v>69</v>
      </c>
      <c r="S442" s="0" t="n">
        <v>1</v>
      </c>
      <c r="T442" s="21" t="s">
        <v>69</v>
      </c>
      <c r="U442" s="22" t="b">
        <f aca="false">TRUE()</f>
        <v>1</v>
      </c>
      <c r="V442" s="0" t="n">
        <v>0.76</v>
      </c>
      <c r="W442" s="0" t="n">
        <v>0.92</v>
      </c>
      <c r="X442" s="0" t="n">
        <v>12.78</v>
      </c>
      <c r="Y442" s="0" t="n">
        <v>307.63</v>
      </c>
      <c r="Z442" s="0" t="n">
        <v>10.5</v>
      </c>
      <c r="AA442" s="0" t="n">
        <v>13.84</v>
      </c>
      <c r="AB442" s="0" t="n">
        <v>2.04</v>
      </c>
      <c r="AC442" s="22" t="b">
        <f aca="false">FALSE()</f>
        <v>0</v>
      </c>
      <c r="AD442" s="0" t="n">
        <v>7.77</v>
      </c>
      <c r="AE442" s="0" t="n">
        <v>1</v>
      </c>
      <c r="AF442" s="0" t="n">
        <v>4.38</v>
      </c>
      <c r="AG442" s="22" t="b">
        <f aca="false">FALSE()</f>
        <v>0</v>
      </c>
      <c r="AH442" s="0" t="n">
        <v>1</v>
      </c>
    </row>
    <row r="443" customFormat="false" ht="15" hidden="false" customHeight="false" outlineLevel="0" collapsed="false">
      <c r="A443" s="0" t="s">
        <v>839</v>
      </c>
      <c r="B443" s="0" t="s">
        <v>134</v>
      </c>
      <c r="C443" s="0" t="s">
        <v>3450</v>
      </c>
      <c r="D443" s="0" t="s">
        <v>3448</v>
      </c>
      <c r="E443" s="20" t="s">
        <v>25</v>
      </c>
      <c r="F443" s="23" t="s">
        <v>30</v>
      </c>
      <c r="G443" s="21" t="s">
        <v>283</v>
      </c>
      <c r="H443" s="21" t="s">
        <v>24</v>
      </c>
      <c r="I443" s="21" t="s">
        <v>25</v>
      </c>
      <c r="J443" s="21" t="s">
        <v>24</v>
      </c>
      <c r="K443" s="21" t="s">
        <v>24</v>
      </c>
      <c r="L443" s="21" t="s">
        <v>24</v>
      </c>
      <c r="M443" s="0" t="n">
        <v>184</v>
      </c>
      <c r="N443" s="0" t="n">
        <v>2</v>
      </c>
      <c r="O443" s="21" t="s">
        <v>3575</v>
      </c>
      <c r="P443" s="21" t="s">
        <v>4265</v>
      </c>
      <c r="Q443" s="0" t="n">
        <v>1</v>
      </c>
      <c r="R443" s="21" t="s">
        <v>69</v>
      </c>
      <c r="S443" s="0" t="n">
        <v>2</v>
      </c>
      <c r="T443" s="21" t="s">
        <v>3575</v>
      </c>
      <c r="U443" s="22" t="b">
        <f aca="false">TRUE()</f>
        <v>1</v>
      </c>
      <c r="V443" s="0" t="n">
        <v>0.74</v>
      </c>
      <c r="W443" s="0" t="n">
        <v>0.84</v>
      </c>
      <c r="X443" s="0" t="n">
        <v>11.49</v>
      </c>
      <c r="Y443" s="0" t="n">
        <v>318.41</v>
      </c>
      <c r="Z443" s="0" t="n">
        <v>10.5</v>
      </c>
      <c r="AA443" s="0" t="n">
        <v>5</v>
      </c>
      <c r="AB443" s="0" t="n">
        <v>7.46</v>
      </c>
      <c r="AC443" s="22" t="b">
        <f aca="false">FALSE()</f>
        <v>0</v>
      </c>
      <c r="AD443" s="0" t="n">
        <v>4.52</v>
      </c>
      <c r="AE443" s="0" t="n">
        <v>0.59</v>
      </c>
      <c r="AF443" s="0" t="n">
        <v>4.07</v>
      </c>
      <c r="AG443" s="22" t="b">
        <f aca="false">FALSE()</f>
        <v>0</v>
      </c>
      <c r="AH443" s="0" t="n">
        <v>1</v>
      </c>
    </row>
    <row r="444" customFormat="false" ht="15" hidden="false" customHeight="false" outlineLevel="0" collapsed="false">
      <c r="A444" s="0" t="s">
        <v>839</v>
      </c>
      <c r="B444" s="0" t="s">
        <v>134</v>
      </c>
      <c r="C444" s="0" t="s">
        <v>3447</v>
      </c>
      <c r="D444" s="0" t="s">
        <v>3457</v>
      </c>
      <c r="E444" s="20" t="s">
        <v>25</v>
      </c>
      <c r="F444" s="23" t="s">
        <v>30</v>
      </c>
      <c r="G444" s="21" t="s">
        <v>283</v>
      </c>
      <c r="H444" s="21" t="s">
        <v>24</v>
      </c>
      <c r="I444" s="21" t="s">
        <v>25</v>
      </c>
      <c r="J444" s="21" t="s">
        <v>24</v>
      </c>
      <c r="K444" s="21" t="s">
        <v>24</v>
      </c>
      <c r="L444" s="21" t="s">
        <v>24</v>
      </c>
      <c r="M444" s="0" t="n">
        <v>186</v>
      </c>
      <c r="N444" s="0" t="n">
        <v>3</v>
      </c>
      <c r="O444" s="21" t="s">
        <v>3662</v>
      </c>
      <c r="P444" s="21" t="s">
        <v>4442</v>
      </c>
      <c r="Q444" s="0" t="n">
        <v>1</v>
      </c>
      <c r="R444" s="21" t="s">
        <v>69</v>
      </c>
      <c r="S444" s="0" t="n">
        <v>3</v>
      </c>
      <c r="T444" s="21" t="s">
        <v>3662</v>
      </c>
      <c r="U444" s="22" t="b">
        <f aca="false">TRUE()</f>
        <v>1</v>
      </c>
      <c r="V444" s="0" t="n">
        <v>0.78</v>
      </c>
      <c r="W444" s="0" t="n">
        <v>0.92</v>
      </c>
      <c r="X444" s="0" t="n">
        <v>10.69</v>
      </c>
      <c r="Y444" s="0" t="n">
        <v>318.98</v>
      </c>
      <c r="Z444" s="0" t="n">
        <v>8.08</v>
      </c>
      <c r="AA444" s="0" t="n">
        <v>-1.05</v>
      </c>
      <c r="AB444" s="0" t="n">
        <v>2.04</v>
      </c>
      <c r="AC444" s="22" t="b">
        <f aca="false">FALSE()</f>
        <v>0</v>
      </c>
      <c r="AD444" s="0" t="n">
        <v>2.82</v>
      </c>
      <c r="AE444" s="0" t="n">
        <v>0.08</v>
      </c>
      <c r="AF444" s="0" t="n">
        <v>2.5</v>
      </c>
      <c r="AG444" s="22" t="b">
        <f aca="false">FALSE()</f>
        <v>0</v>
      </c>
      <c r="AH444" s="0" t="n">
        <v>1</v>
      </c>
    </row>
    <row r="445" customFormat="false" ht="15" hidden="false" customHeight="false" outlineLevel="0" collapsed="false">
      <c r="A445" s="0" t="s">
        <v>839</v>
      </c>
      <c r="B445" s="0" t="s">
        <v>134</v>
      </c>
      <c r="C445" s="0" t="s">
        <v>3447</v>
      </c>
      <c r="D445" s="0" t="s">
        <v>3448</v>
      </c>
      <c r="E445" s="20" t="s">
        <v>25</v>
      </c>
      <c r="F445" s="23" t="s">
        <v>30</v>
      </c>
      <c r="G445" s="21" t="s">
        <v>283</v>
      </c>
      <c r="H445" s="21" t="s">
        <v>24</v>
      </c>
      <c r="I445" s="21" t="s">
        <v>25</v>
      </c>
      <c r="J445" s="21" t="s">
        <v>24</v>
      </c>
      <c r="K445" s="21" t="s">
        <v>24</v>
      </c>
      <c r="L445" s="21" t="s">
        <v>24</v>
      </c>
      <c r="M445" s="0" t="n">
        <v>185</v>
      </c>
      <c r="N445" s="0" t="n">
        <v>3</v>
      </c>
      <c r="O445" s="21" t="s">
        <v>3662</v>
      </c>
      <c r="P445" s="21" t="s">
        <v>4442</v>
      </c>
      <c r="Q445" s="0" t="n">
        <v>1</v>
      </c>
      <c r="R445" s="21" t="s">
        <v>69</v>
      </c>
      <c r="S445" s="0" t="n">
        <v>3</v>
      </c>
      <c r="T445" s="21" t="s">
        <v>3662</v>
      </c>
      <c r="U445" s="22" t="b">
        <f aca="false">TRUE()</f>
        <v>1</v>
      </c>
      <c r="V445" s="0" t="n">
        <v>0.77</v>
      </c>
      <c r="W445" s="0" t="n">
        <v>0.6</v>
      </c>
      <c r="X445" s="0" t="n">
        <v>9.74</v>
      </c>
      <c r="Y445" s="0" t="n">
        <v>322.9</v>
      </c>
      <c r="Z445" s="0" t="n">
        <v>10.33</v>
      </c>
      <c r="AA445" s="0" t="n">
        <v>10.75</v>
      </c>
      <c r="AB445" s="0" t="n">
        <v>7.46</v>
      </c>
      <c r="AC445" s="22" t="b">
        <f aca="false">FALSE()</f>
        <v>0</v>
      </c>
      <c r="AD445" s="0" t="n">
        <v>8.3</v>
      </c>
      <c r="AE445" s="0" t="n">
        <v>0.24</v>
      </c>
      <c r="AF445" s="0" t="n">
        <v>4.73</v>
      </c>
      <c r="AG445" s="22" t="b">
        <f aca="false">FALSE()</f>
        <v>0</v>
      </c>
      <c r="AH445" s="0" t="n">
        <v>1</v>
      </c>
    </row>
    <row r="446" customFormat="false" ht="15" hidden="false" customHeight="false" outlineLevel="0" collapsed="false">
      <c r="A446" s="0" t="s">
        <v>846</v>
      </c>
      <c r="B446" s="0" t="s">
        <v>134</v>
      </c>
      <c r="C446" s="0" t="s">
        <v>3450</v>
      </c>
      <c r="D446" s="0" t="s">
        <v>3457</v>
      </c>
      <c r="E446" s="20" t="s">
        <v>25</v>
      </c>
      <c r="F446" s="23" t="s">
        <v>30</v>
      </c>
      <c r="G446" s="21" t="s">
        <v>197</v>
      </c>
      <c r="H446" s="21" t="s">
        <v>24</v>
      </c>
      <c r="I446" s="21" t="s">
        <v>25</v>
      </c>
      <c r="J446" s="21" t="s">
        <v>24</v>
      </c>
      <c r="K446" s="21" t="s">
        <v>25</v>
      </c>
      <c r="L446" s="21" t="s">
        <v>24</v>
      </c>
      <c r="M446" s="0" t="n">
        <v>183</v>
      </c>
      <c r="N446" s="0" t="n">
        <v>4</v>
      </c>
      <c r="O446" s="21" t="s">
        <v>3801</v>
      </c>
      <c r="P446" s="21" t="s">
        <v>4443</v>
      </c>
      <c r="Q446" s="0" t="n">
        <v>1</v>
      </c>
      <c r="R446" s="21" t="s">
        <v>69</v>
      </c>
      <c r="S446" s="0" t="n">
        <v>4</v>
      </c>
      <c r="T446" s="21" t="s">
        <v>3801</v>
      </c>
      <c r="U446" s="22" t="b">
        <f aca="false">TRUE()</f>
        <v>1</v>
      </c>
      <c r="V446" s="0" t="n">
        <v>0.66</v>
      </c>
      <c r="W446" s="0" t="n">
        <v>0.96</v>
      </c>
      <c r="X446" s="0" t="n">
        <v>8.23</v>
      </c>
      <c r="Y446" s="0" t="n">
        <v>303.22</v>
      </c>
      <c r="Z446" s="0" t="n">
        <v>8</v>
      </c>
      <c r="AA446" s="0" t="n">
        <v>-1.75</v>
      </c>
      <c r="AB446" s="0" t="n">
        <v>0.9</v>
      </c>
      <c r="AC446" s="22" t="b">
        <f aca="false">TRUE()</f>
        <v>1</v>
      </c>
      <c r="AD446" s="0" t="n">
        <v>8.22</v>
      </c>
      <c r="AE446" s="0" t="n">
        <v>0.36</v>
      </c>
      <c r="AF446" s="0" t="n">
        <v>1.72</v>
      </c>
      <c r="AG446" s="22" t="b">
        <f aca="false">FALSE()</f>
        <v>0</v>
      </c>
      <c r="AH446" s="0" t="n">
        <v>1</v>
      </c>
    </row>
    <row r="447" customFormat="false" ht="15" hidden="false" customHeight="false" outlineLevel="0" collapsed="false">
      <c r="A447" s="0" t="s">
        <v>846</v>
      </c>
      <c r="B447" s="0" t="s">
        <v>134</v>
      </c>
      <c r="C447" s="0" t="s">
        <v>3450</v>
      </c>
      <c r="D447" s="0" t="s">
        <v>3448</v>
      </c>
      <c r="E447" s="19" t="s">
        <v>26</v>
      </c>
      <c r="F447" s="19" t="s">
        <v>32</v>
      </c>
      <c r="G447" s="21" t="s">
        <v>1076</v>
      </c>
      <c r="H447" s="21" t="s">
        <v>24</v>
      </c>
      <c r="I447" s="21" t="s">
        <v>26</v>
      </c>
      <c r="J447" s="21" t="s">
        <v>24</v>
      </c>
      <c r="K447" s="21" t="s">
        <v>25</v>
      </c>
      <c r="L447" s="21" t="s">
        <v>24</v>
      </c>
      <c r="M447" s="0" t="n">
        <v>186</v>
      </c>
      <c r="N447" s="0" t="n">
        <v>8</v>
      </c>
      <c r="O447" s="21" t="s">
        <v>4092</v>
      </c>
      <c r="P447" s="21" t="s">
        <v>4444</v>
      </c>
      <c r="Q447" s="0" t="n">
        <v>1</v>
      </c>
      <c r="R447" s="21" t="s">
        <v>69</v>
      </c>
      <c r="S447" s="0" t="n">
        <v>8</v>
      </c>
      <c r="T447" s="21" t="s">
        <v>4092</v>
      </c>
      <c r="U447" s="22" t="b">
        <f aca="false">FALSE()</f>
        <v>0</v>
      </c>
      <c r="V447" s="0" t="n">
        <v>0.7</v>
      </c>
      <c r="W447" s="0" t="n">
        <v>0.68</v>
      </c>
      <c r="X447" s="0" t="n">
        <v>10.55</v>
      </c>
      <c r="Y447" s="0" t="n">
        <v>325.49</v>
      </c>
      <c r="Z447" s="0" t="n">
        <v>8</v>
      </c>
      <c r="AA447" s="0" t="n">
        <v>-1.31</v>
      </c>
      <c r="AB447" s="0" t="n">
        <v>55.15</v>
      </c>
      <c r="AC447" s="22" t="b">
        <f aca="false">FALSE()</f>
        <v>0</v>
      </c>
      <c r="AD447" s="0" t="n">
        <v>2.88</v>
      </c>
      <c r="AE447" s="0" t="n">
        <v>0.1</v>
      </c>
      <c r="AF447" s="0" t="n">
        <v>1.96</v>
      </c>
      <c r="AG447" s="22" t="b">
        <f aca="false">FALSE()</f>
        <v>0</v>
      </c>
      <c r="AH447" s="0" t="n">
        <v>1</v>
      </c>
    </row>
    <row r="448" customFormat="false" ht="15" hidden="false" customHeight="false" outlineLevel="0" collapsed="false">
      <c r="A448" s="0" t="s">
        <v>846</v>
      </c>
      <c r="B448" s="0" t="s">
        <v>134</v>
      </c>
      <c r="C448" s="0" t="s">
        <v>3447</v>
      </c>
      <c r="D448" s="0" t="s">
        <v>3457</v>
      </c>
      <c r="E448" s="20" t="s">
        <v>25</v>
      </c>
      <c r="F448" s="23" t="s">
        <v>30</v>
      </c>
      <c r="G448" s="21" t="s">
        <v>1152</v>
      </c>
      <c r="H448" s="21" t="s">
        <v>24</v>
      </c>
      <c r="I448" s="21" t="s">
        <v>25</v>
      </c>
      <c r="J448" s="21" t="s">
        <v>24</v>
      </c>
      <c r="K448" s="21" t="s">
        <v>25</v>
      </c>
      <c r="L448" s="21" t="s">
        <v>24</v>
      </c>
      <c r="M448" s="0" t="n">
        <v>183</v>
      </c>
      <c r="N448" s="0" t="n">
        <v>6</v>
      </c>
      <c r="O448" s="21" t="s">
        <v>3866</v>
      </c>
      <c r="P448" s="21" t="s">
        <v>4445</v>
      </c>
      <c r="Q448" s="0" t="n">
        <v>1</v>
      </c>
      <c r="R448" s="21" t="s">
        <v>69</v>
      </c>
      <c r="S448" s="0" t="n">
        <v>6</v>
      </c>
      <c r="T448" s="21" t="s">
        <v>3866</v>
      </c>
      <c r="U448" s="22" t="b">
        <f aca="false">TRUE()</f>
        <v>1</v>
      </c>
      <c r="V448" s="0" t="n">
        <v>0.63</v>
      </c>
      <c r="W448" s="0" t="n">
        <v>0.72</v>
      </c>
      <c r="X448" s="0" t="n">
        <v>9.56</v>
      </c>
      <c r="Y448" s="0" t="n">
        <v>298.66</v>
      </c>
      <c r="Z448" s="0" t="n">
        <v>8.42</v>
      </c>
      <c r="AA448" s="0" t="n">
        <v>-2.41</v>
      </c>
      <c r="AB448" s="0" t="n">
        <v>0.9</v>
      </c>
      <c r="AC448" s="22" t="b">
        <f aca="false">FALSE()</f>
        <v>0</v>
      </c>
      <c r="AD448" s="0" t="n">
        <v>5.66</v>
      </c>
      <c r="AE448" s="0" t="n">
        <v>0.37</v>
      </c>
      <c r="AF448" s="0" t="n">
        <v>0.37</v>
      </c>
      <c r="AG448" s="22" t="b">
        <f aca="false">FALSE()</f>
        <v>0</v>
      </c>
      <c r="AH448" s="0" t="n">
        <v>1</v>
      </c>
    </row>
    <row r="449" customFormat="false" ht="15" hidden="false" customHeight="false" outlineLevel="0" collapsed="false">
      <c r="A449" s="0" t="s">
        <v>846</v>
      </c>
      <c r="B449" s="0" t="s">
        <v>134</v>
      </c>
      <c r="C449" s="0" t="s">
        <v>3447</v>
      </c>
      <c r="D449" s="0" t="s">
        <v>3448</v>
      </c>
      <c r="E449" s="18" t="s">
        <v>24</v>
      </c>
      <c r="F449" s="18" t="s">
        <v>28</v>
      </c>
      <c r="H449" s="21" t="s">
        <v>24</v>
      </c>
      <c r="I449" s="21" t="s">
        <v>24</v>
      </c>
      <c r="J449" s="21" t="s">
        <v>24</v>
      </c>
      <c r="K449" s="21" t="s">
        <v>24</v>
      </c>
      <c r="L449" s="21" t="s">
        <v>24</v>
      </c>
      <c r="M449" s="0" t="n">
        <v>185</v>
      </c>
      <c r="N449" s="0" t="n">
        <v>0</v>
      </c>
      <c r="Q449" s="0" t="n">
        <v>0</v>
      </c>
      <c r="S449" s="0" t="n">
        <v>0</v>
      </c>
      <c r="U449" s="22" t="b">
        <f aca="false">FALSE()</f>
        <v>0</v>
      </c>
      <c r="V449" s="0" t="n">
        <v>0.75</v>
      </c>
      <c r="W449" s="0" t="n">
        <v>0.16</v>
      </c>
      <c r="X449" s="0" t="n">
        <v>7.4</v>
      </c>
      <c r="Y449" s="0" t="n">
        <v>567.49</v>
      </c>
      <c r="Z449" s="0" t="n">
        <v>8</v>
      </c>
      <c r="AA449" s="0" t="n">
        <v>-1.45</v>
      </c>
      <c r="AB449" s="0" t="n">
        <v>55.15</v>
      </c>
      <c r="AC449" s="22" t="b">
        <f aca="false">FALSE()</f>
        <v>0</v>
      </c>
      <c r="AD449" s="0" t="n">
        <v>11.34</v>
      </c>
      <c r="AE449" s="0" t="n">
        <v>1.46</v>
      </c>
      <c r="AF449" s="0" t="n">
        <v>1.45</v>
      </c>
      <c r="AG449" s="22" t="b">
        <f aca="false">TRUE()</f>
        <v>1</v>
      </c>
      <c r="AH449" s="0" t="n">
        <v>1</v>
      </c>
    </row>
    <row r="450" customFormat="false" ht="15" hidden="false" customHeight="false" outlineLevel="0" collapsed="false">
      <c r="A450" s="0" t="s">
        <v>852</v>
      </c>
      <c r="B450" s="0" t="s">
        <v>134</v>
      </c>
      <c r="C450" s="0" t="s">
        <v>3450</v>
      </c>
      <c r="D450" s="0" t="s">
        <v>3457</v>
      </c>
      <c r="E450" s="20" t="s">
        <v>25</v>
      </c>
      <c r="F450" s="20" t="s">
        <v>29</v>
      </c>
      <c r="G450" s="21" t="s">
        <v>3113</v>
      </c>
      <c r="H450" s="21" t="s">
        <v>24</v>
      </c>
      <c r="I450" s="21" t="s">
        <v>24</v>
      </c>
      <c r="J450" s="21" t="s">
        <v>24</v>
      </c>
      <c r="K450" s="21" t="s">
        <v>25</v>
      </c>
      <c r="L450" s="21" t="s">
        <v>24</v>
      </c>
      <c r="M450" s="0" t="n">
        <v>191</v>
      </c>
      <c r="N450" s="0" t="n">
        <v>0</v>
      </c>
      <c r="Q450" s="0" t="n">
        <v>0</v>
      </c>
      <c r="S450" s="0" t="n">
        <v>0</v>
      </c>
      <c r="U450" s="22" t="b">
        <f aca="false">FALSE()</f>
        <v>0</v>
      </c>
      <c r="V450" s="0" t="n">
        <v>0.79</v>
      </c>
      <c r="W450" s="0" t="n">
        <v>0.2</v>
      </c>
      <c r="X450" s="0" t="n">
        <v>6.41</v>
      </c>
      <c r="Y450" s="0" t="n">
        <v>517.85</v>
      </c>
      <c r="Z450" s="0" t="n">
        <v>9.58</v>
      </c>
      <c r="AA450" s="0" t="n">
        <v>2.74</v>
      </c>
      <c r="AB450" s="0" t="n">
        <v>1.6</v>
      </c>
      <c r="AC450" s="22" t="b">
        <f aca="false">FALSE()</f>
        <v>0</v>
      </c>
      <c r="AD450" s="0" t="n">
        <v>21.25</v>
      </c>
      <c r="AE450" s="0" t="n">
        <v>0.83</v>
      </c>
      <c r="AF450" s="0" t="n">
        <v>18.77</v>
      </c>
      <c r="AG450" s="22" t="b">
        <f aca="false">TRUE()</f>
        <v>1</v>
      </c>
      <c r="AH450" s="0" t="n">
        <v>1</v>
      </c>
    </row>
    <row r="451" customFormat="false" ht="15" hidden="false" customHeight="false" outlineLevel="0" collapsed="false">
      <c r="A451" s="0" t="s">
        <v>852</v>
      </c>
      <c r="B451" s="0" t="s">
        <v>134</v>
      </c>
      <c r="C451" s="0" t="s">
        <v>3450</v>
      </c>
      <c r="D451" s="0" t="s">
        <v>3448</v>
      </c>
      <c r="E451" s="18" t="s">
        <v>24</v>
      </c>
      <c r="F451" s="18" t="s">
        <v>28</v>
      </c>
      <c r="H451" s="21" t="s">
        <v>24</v>
      </c>
      <c r="I451" s="21" t="s">
        <v>24</v>
      </c>
      <c r="J451" s="21" t="s">
        <v>24</v>
      </c>
      <c r="K451" s="21" t="s">
        <v>24</v>
      </c>
      <c r="L451" s="21" t="s">
        <v>24</v>
      </c>
      <c r="M451" s="0" t="n">
        <v>185</v>
      </c>
      <c r="N451" s="0" t="n">
        <v>0</v>
      </c>
      <c r="Q451" s="0" t="n">
        <v>0</v>
      </c>
      <c r="S451" s="0" t="n">
        <v>0</v>
      </c>
      <c r="U451" s="22" t="b">
        <f aca="false">FALSE()</f>
        <v>0</v>
      </c>
      <c r="V451" s="0" t="n">
        <v>0.77</v>
      </c>
      <c r="W451" s="0" t="n">
        <v>0.48</v>
      </c>
      <c r="X451" s="0" t="n">
        <v>7.81</v>
      </c>
      <c r="Y451" s="0" t="n">
        <v>337.51</v>
      </c>
      <c r="Z451" s="0" t="n">
        <v>9.5</v>
      </c>
      <c r="AA451" s="0" t="n">
        <v>5.94</v>
      </c>
      <c r="AB451" s="0" t="n">
        <v>3.7</v>
      </c>
      <c r="AC451" s="22" t="b">
        <f aca="false">FALSE()</f>
        <v>0</v>
      </c>
      <c r="AD451" s="0" t="n">
        <v>18.68</v>
      </c>
      <c r="AE451" s="0" t="n">
        <v>1.8</v>
      </c>
      <c r="AF451" s="0" t="n">
        <v>8.85</v>
      </c>
      <c r="AG451" s="22" t="b">
        <f aca="false">TRUE()</f>
        <v>1</v>
      </c>
      <c r="AH451" s="0" t="n">
        <v>1</v>
      </c>
    </row>
    <row r="452" customFormat="false" ht="15" hidden="false" customHeight="false" outlineLevel="0" collapsed="false">
      <c r="A452" s="0" t="s">
        <v>852</v>
      </c>
      <c r="B452" s="0" t="s">
        <v>134</v>
      </c>
      <c r="C452" s="0" t="s">
        <v>3447</v>
      </c>
      <c r="D452" s="0" t="s">
        <v>3457</v>
      </c>
      <c r="E452" s="20" t="s">
        <v>25</v>
      </c>
      <c r="F452" s="23" t="s">
        <v>30</v>
      </c>
      <c r="G452" s="21" t="s">
        <v>992</v>
      </c>
      <c r="H452" s="21" t="s">
        <v>24</v>
      </c>
      <c r="I452" s="21" t="s">
        <v>24</v>
      </c>
      <c r="J452" s="21" t="s">
        <v>24</v>
      </c>
      <c r="K452" s="21" t="s">
        <v>25</v>
      </c>
      <c r="L452" s="21" t="s">
        <v>24</v>
      </c>
      <c r="M452" s="0" t="n">
        <v>191</v>
      </c>
      <c r="N452" s="0" t="n">
        <v>6</v>
      </c>
      <c r="O452" s="21" t="s">
        <v>3772</v>
      </c>
      <c r="P452" s="21" t="s">
        <v>4398</v>
      </c>
      <c r="Q452" s="0" t="n">
        <v>0</v>
      </c>
      <c r="S452" s="0" t="n">
        <v>6</v>
      </c>
      <c r="T452" s="21" t="s">
        <v>3772</v>
      </c>
      <c r="U452" s="22" t="b">
        <f aca="false">TRUE()</f>
        <v>1</v>
      </c>
      <c r="V452" s="0" t="n">
        <v>0.79</v>
      </c>
      <c r="W452" s="0" t="n">
        <v>0.44</v>
      </c>
      <c r="X452" s="0" t="n">
        <v>6.88</v>
      </c>
      <c r="Y452" s="0" t="n">
        <v>358.08</v>
      </c>
      <c r="Z452" s="0" t="n">
        <v>9</v>
      </c>
      <c r="AA452" s="0" t="n">
        <v>-0.24</v>
      </c>
      <c r="AB452" s="0" t="n">
        <v>1.6</v>
      </c>
      <c r="AC452" s="22" t="b">
        <f aca="false">FALSE()</f>
        <v>0</v>
      </c>
      <c r="AD452" s="0" t="n">
        <v>21.08</v>
      </c>
      <c r="AE452" s="0" t="n">
        <v>0.82</v>
      </c>
      <c r="AF452" s="0" t="n">
        <v>17.3</v>
      </c>
      <c r="AG452" s="22" t="b">
        <f aca="false">TRUE()</f>
        <v>1</v>
      </c>
      <c r="AH452" s="0" t="n">
        <v>1</v>
      </c>
    </row>
    <row r="453" customFormat="false" ht="15" hidden="false" customHeight="false" outlineLevel="0" collapsed="false">
      <c r="A453" s="0" t="s">
        <v>852</v>
      </c>
      <c r="B453" s="0" t="s">
        <v>134</v>
      </c>
      <c r="C453" s="0" t="s">
        <v>3447</v>
      </c>
      <c r="D453" s="0" t="s">
        <v>3448</v>
      </c>
      <c r="E453" s="19" t="s">
        <v>26</v>
      </c>
      <c r="F453" s="19" t="s">
        <v>32</v>
      </c>
      <c r="G453" s="21" t="s">
        <v>529</v>
      </c>
      <c r="H453" s="21" t="s">
        <v>24</v>
      </c>
      <c r="I453" s="21" t="s">
        <v>26</v>
      </c>
      <c r="J453" s="21" t="s">
        <v>24</v>
      </c>
      <c r="K453" s="21" t="s">
        <v>24</v>
      </c>
      <c r="L453" s="21" t="s">
        <v>24</v>
      </c>
      <c r="M453" s="0" t="n">
        <v>189</v>
      </c>
      <c r="N453" s="0" t="n">
        <v>8</v>
      </c>
      <c r="O453" s="21" t="s">
        <v>4036</v>
      </c>
      <c r="P453" s="21" t="s">
        <v>4446</v>
      </c>
      <c r="Q453" s="0" t="n">
        <v>1</v>
      </c>
      <c r="R453" s="21" t="s">
        <v>69</v>
      </c>
      <c r="S453" s="0" t="n">
        <v>8</v>
      </c>
      <c r="T453" s="21" t="s">
        <v>4036</v>
      </c>
      <c r="U453" s="22" t="b">
        <f aca="false">FALSE()</f>
        <v>0</v>
      </c>
      <c r="V453" s="0" t="n">
        <v>0.8</v>
      </c>
      <c r="W453" s="0" t="n">
        <v>0.12</v>
      </c>
      <c r="X453" s="0" t="n">
        <v>8.24</v>
      </c>
      <c r="Y453" s="0" t="n">
        <v>637.4</v>
      </c>
      <c r="Z453" s="0" t="n">
        <v>9.42</v>
      </c>
      <c r="AA453" s="0" t="n">
        <v>-0.57</v>
      </c>
      <c r="AB453" s="0" t="n">
        <v>3.7</v>
      </c>
      <c r="AC453" s="22" t="b">
        <f aca="false">FALSE()</f>
        <v>0</v>
      </c>
      <c r="AD453" s="0" t="n">
        <v>14.85</v>
      </c>
      <c r="AE453" s="0" t="n">
        <v>1.03</v>
      </c>
      <c r="AF453" s="0" t="n">
        <v>2.66</v>
      </c>
      <c r="AG453" s="22" t="b">
        <f aca="false">TRUE()</f>
        <v>1</v>
      </c>
      <c r="AH453" s="0" t="n">
        <v>1</v>
      </c>
    </row>
    <row r="454" customFormat="false" ht="15" hidden="false" customHeight="false" outlineLevel="0" collapsed="false">
      <c r="A454" s="0" t="s">
        <v>852</v>
      </c>
      <c r="B454" s="0" t="s">
        <v>3459</v>
      </c>
      <c r="C454" s="0" t="s">
        <v>3450</v>
      </c>
      <c r="D454" s="0" t="s">
        <v>3457</v>
      </c>
      <c r="E454" s="20" t="s">
        <v>25</v>
      </c>
      <c r="F454" s="23" t="s">
        <v>30</v>
      </c>
      <c r="G454" s="21" t="s">
        <v>1046</v>
      </c>
      <c r="H454" s="21" t="s">
        <v>24</v>
      </c>
      <c r="I454" s="21" t="s">
        <v>25</v>
      </c>
      <c r="J454" s="21" t="s">
        <v>24</v>
      </c>
      <c r="K454" s="21" t="s">
        <v>25</v>
      </c>
      <c r="L454" s="21" t="s">
        <v>24</v>
      </c>
      <c r="M454" s="0" t="n">
        <v>196</v>
      </c>
      <c r="N454" s="0" t="n">
        <v>1</v>
      </c>
      <c r="O454" s="21" t="s">
        <v>69</v>
      </c>
      <c r="P454" s="21" t="s">
        <v>4275</v>
      </c>
      <c r="Q454" s="0" t="n">
        <v>1</v>
      </c>
      <c r="R454" s="21" t="s">
        <v>69</v>
      </c>
      <c r="S454" s="0" t="n">
        <v>1</v>
      </c>
      <c r="T454" s="21" t="s">
        <v>69</v>
      </c>
      <c r="U454" s="22" t="b">
        <f aca="false">TRUE()</f>
        <v>1</v>
      </c>
      <c r="V454" s="0" t="n">
        <v>0.73</v>
      </c>
      <c r="W454" s="0" t="n">
        <v>0.48</v>
      </c>
      <c r="X454" s="0" t="n">
        <v>8.01</v>
      </c>
      <c r="Y454" s="0" t="n">
        <v>354.02</v>
      </c>
      <c r="Z454" s="0" t="n">
        <v>8.33</v>
      </c>
      <c r="AA454" s="0" t="n">
        <v>0.83</v>
      </c>
      <c r="AB454" s="0" t="n">
        <v>1.52</v>
      </c>
      <c r="AC454" s="22" t="b">
        <f aca="false">FALSE()</f>
        <v>0</v>
      </c>
      <c r="AD454" s="0" t="n">
        <v>23.79</v>
      </c>
      <c r="AE454" s="0" t="n">
        <v>11.82</v>
      </c>
      <c r="AF454" s="0" t="n">
        <v>20.33</v>
      </c>
      <c r="AG454" s="22" t="b">
        <f aca="false">TRUE()</f>
        <v>1</v>
      </c>
      <c r="AH454" s="0" t="n">
        <v>1</v>
      </c>
    </row>
    <row r="455" customFormat="false" ht="15" hidden="false" customHeight="false" outlineLevel="0" collapsed="false">
      <c r="A455" s="0" t="s">
        <v>852</v>
      </c>
      <c r="B455" s="0" t="s">
        <v>3459</v>
      </c>
      <c r="C455" s="0" t="s">
        <v>3450</v>
      </c>
      <c r="D455" s="0" t="s">
        <v>3448</v>
      </c>
      <c r="E455" s="20" t="s">
        <v>25</v>
      </c>
      <c r="F455" s="23" t="s">
        <v>30</v>
      </c>
      <c r="G455" s="21" t="s">
        <v>183</v>
      </c>
      <c r="H455" s="21" t="s">
        <v>24</v>
      </c>
      <c r="I455" s="21" t="s">
        <v>25</v>
      </c>
      <c r="J455" s="21" t="s">
        <v>24</v>
      </c>
      <c r="K455" s="21" t="s">
        <v>25</v>
      </c>
      <c r="L455" s="21" t="s">
        <v>24</v>
      </c>
      <c r="M455" s="0" t="n">
        <v>186</v>
      </c>
      <c r="N455" s="0" t="n">
        <v>2</v>
      </c>
      <c r="O455" s="21" t="s">
        <v>3575</v>
      </c>
      <c r="P455" s="21" t="s">
        <v>4265</v>
      </c>
      <c r="Q455" s="0" t="n">
        <v>1</v>
      </c>
      <c r="R455" s="21" t="s">
        <v>69</v>
      </c>
      <c r="S455" s="0" t="n">
        <v>2</v>
      </c>
      <c r="T455" s="21" t="s">
        <v>3575</v>
      </c>
      <c r="U455" s="22" t="b">
        <f aca="false">TRUE()</f>
        <v>1</v>
      </c>
      <c r="V455" s="0" t="n">
        <v>0.75</v>
      </c>
      <c r="W455" s="0" t="n">
        <v>0.52</v>
      </c>
      <c r="X455" s="0" t="n">
        <v>8.1</v>
      </c>
      <c r="Y455" s="0" t="n">
        <v>329.89</v>
      </c>
      <c r="Z455" s="0" t="n">
        <v>8</v>
      </c>
      <c r="AA455" s="0" t="n">
        <v>5.29</v>
      </c>
      <c r="AB455" s="0" t="n">
        <v>3.11</v>
      </c>
      <c r="AC455" s="22" t="b">
        <f aca="false">FALSE()</f>
        <v>0</v>
      </c>
      <c r="AD455" s="0" t="n">
        <v>27.68</v>
      </c>
      <c r="AE455" s="0" t="n">
        <v>16.15</v>
      </c>
      <c r="AF455" s="0" t="n">
        <v>25.52</v>
      </c>
      <c r="AG455" s="22" t="b">
        <f aca="false">TRUE()</f>
        <v>1</v>
      </c>
      <c r="AH455" s="0" t="n">
        <v>1</v>
      </c>
    </row>
    <row r="456" customFormat="false" ht="15" hidden="false" customHeight="false" outlineLevel="0" collapsed="false">
      <c r="A456" s="0" t="s">
        <v>852</v>
      </c>
      <c r="B456" s="0" t="s">
        <v>3459</v>
      </c>
      <c r="C456" s="0" t="s">
        <v>3447</v>
      </c>
      <c r="D456" s="0" t="s">
        <v>3457</v>
      </c>
      <c r="E456" s="19" t="s">
        <v>26</v>
      </c>
      <c r="F456" s="19" t="s">
        <v>32</v>
      </c>
      <c r="G456" s="21" t="s">
        <v>1926</v>
      </c>
      <c r="H456" s="21" t="s">
        <v>24</v>
      </c>
      <c r="I456" s="21" t="s">
        <v>26</v>
      </c>
      <c r="J456" s="21" t="s">
        <v>24</v>
      </c>
      <c r="K456" s="21" t="s">
        <v>25</v>
      </c>
      <c r="L456" s="21" t="s">
        <v>24</v>
      </c>
      <c r="M456" s="0" t="n">
        <v>183</v>
      </c>
      <c r="N456" s="0" t="n">
        <v>10</v>
      </c>
      <c r="O456" s="21" t="s">
        <v>4011</v>
      </c>
      <c r="P456" s="21" t="s">
        <v>4248</v>
      </c>
      <c r="Q456" s="0" t="n">
        <v>1</v>
      </c>
      <c r="R456" s="21" t="s">
        <v>69</v>
      </c>
      <c r="S456" s="0" t="n">
        <v>10</v>
      </c>
      <c r="T456" s="21" t="s">
        <v>4011</v>
      </c>
      <c r="U456" s="22" t="b">
        <f aca="false">FALSE()</f>
        <v>0</v>
      </c>
      <c r="V456" s="0" t="n">
        <v>0.76</v>
      </c>
      <c r="W456" s="0" t="n">
        <v>0.68</v>
      </c>
      <c r="X456" s="0" t="n">
        <v>8.04</v>
      </c>
      <c r="Y456" s="0" t="n">
        <v>318.2</v>
      </c>
      <c r="Z456" s="0" t="n">
        <v>8.75</v>
      </c>
      <c r="AA456" s="0" t="n">
        <v>-0.17</v>
      </c>
      <c r="AB456" s="0" t="n">
        <v>1.52</v>
      </c>
      <c r="AC456" s="22" t="b">
        <f aca="false">FALSE()</f>
        <v>0</v>
      </c>
      <c r="AD456" s="0" t="n">
        <v>25.55</v>
      </c>
      <c r="AE456" s="0" t="n">
        <v>13.14</v>
      </c>
      <c r="AF456" s="0" t="n">
        <v>19.44</v>
      </c>
      <c r="AG456" s="22" t="b">
        <f aca="false">TRUE()</f>
        <v>1</v>
      </c>
      <c r="AH456" s="0" t="n">
        <v>1</v>
      </c>
    </row>
    <row r="457" customFormat="false" ht="15" hidden="false" customHeight="false" outlineLevel="0" collapsed="false">
      <c r="A457" s="0" t="s">
        <v>852</v>
      </c>
      <c r="B457" s="0" t="s">
        <v>3459</v>
      </c>
      <c r="C457" s="0" t="s">
        <v>3447</v>
      </c>
      <c r="D457" s="0" t="s">
        <v>3448</v>
      </c>
      <c r="E457" s="19" t="s">
        <v>26</v>
      </c>
      <c r="F457" s="19" t="s">
        <v>32</v>
      </c>
      <c r="G457" s="21" t="s">
        <v>3896</v>
      </c>
      <c r="H457" s="21" t="s">
        <v>24</v>
      </c>
      <c r="I457" s="21" t="s">
        <v>26</v>
      </c>
      <c r="J457" s="21" t="s">
        <v>24</v>
      </c>
      <c r="K457" s="21" t="s">
        <v>25</v>
      </c>
      <c r="L457" s="21" t="s">
        <v>24</v>
      </c>
      <c r="M457" s="0" t="n">
        <v>183</v>
      </c>
      <c r="N457" s="0" t="n">
        <v>7</v>
      </c>
      <c r="O457" s="21" t="s">
        <v>3909</v>
      </c>
      <c r="P457" s="21" t="s">
        <v>4447</v>
      </c>
      <c r="Q457" s="0" t="n">
        <v>0</v>
      </c>
      <c r="S457" s="0" t="n">
        <v>7</v>
      </c>
      <c r="T457" s="21" t="s">
        <v>3909</v>
      </c>
      <c r="U457" s="22" t="b">
        <f aca="false">FALSE()</f>
        <v>0</v>
      </c>
      <c r="V457" s="0" t="n">
        <v>0.75</v>
      </c>
      <c r="W457" s="0" t="n">
        <v>0.56</v>
      </c>
      <c r="X457" s="0" t="n">
        <v>8.96</v>
      </c>
      <c r="Y457" s="0" t="n">
        <v>320.34</v>
      </c>
      <c r="Z457" s="0" t="n">
        <v>8</v>
      </c>
      <c r="AA457" s="0" t="n">
        <v>-0.03</v>
      </c>
      <c r="AB457" s="0" t="n">
        <v>3.11</v>
      </c>
      <c r="AC457" s="22" t="b">
        <f aca="false">FALSE()</f>
        <v>0</v>
      </c>
      <c r="AD457" s="0" t="n">
        <v>24.96</v>
      </c>
      <c r="AE457" s="0" t="n">
        <v>13.58</v>
      </c>
      <c r="AF457" s="0" t="n">
        <v>21.76</v>
      </c>
      <c r="AG457" s="22" t="b">
        <f aca="false">TRUE()</f>
        <v>1</v>
      </c>
      <c r="AH457" s="0" t="n">
        <v>1</v>
      </c>
    </row>
    <row r="458" customFormat="false" ht="15" hidden="false" customHeight="false" outlineLevel="0" collapsed="false">
      <c r="A458" s="0" t="s">
        <v>867</v>
      </c>
      <c r="B458" s="0" t="s">
        <v>134</v>
      </c>
      <c r="C458" s="0" t="s">
        <v>3450</v>
      </c>
      <c r="D458" s="0" t="s">
        <v>3457</v>
      </c>
      <c r="E458" s="20" t="s">
        <v>25</v>
      </c>
      <c r="F458" s="23" t="s">
        <v>30</v>
      </c>
      <c r="G458" s="21" t="s">
        <v>1230</v>
      </c>
      <c r="H458" s="21" t="s">
        <v>24</v>
      </c>
      <c r="I458" s="21" t="s">
        <v>25</v>
      </c>
      <c r="J458" s="21" t="s">
        <v>24</v>
      </c>
      <c r="K458" s="21" t="s">
        <v>25</v>
      </c>
      <c r="L458" s="21" t="s">
        <v>24</v>
      </c>
      <c r="M458" s="0" t="n">
        <v>190</v>
      </c>
      <c r="N458" s="0" t="n">
        <v>3</v>
      </c>
      <c r="O458" s="21" t="s">
        <v>3694</v>
      </c>
      <c r="P458" s="21" t="s">
        <v>4448</v>
      </c>
      <c r="Q458" s="0" t="n">
        <v>1</v>
      </c>
      <c r="R458" s="21" t="s">
        <v>69</v>
      </c>
      <c r="S458" s="0" t="n">
        <v>3</v>
      </c>
      <c r="T458" s="21" t="s">
        <v>3694</v>
      </c>
      <c r="U458" s="22" t="b">
        <f aca="false">TRUE()</f>
        <v>1</v>
      </c>
      <c r="V458" s="0" t="n">
        <v>0.64</v>
      </c>
      <c r="W458" s="0" t="n">
        <v>0.92</v>
      </c>
      <c r="X458" s="0" t="n">
        <v>7.23</v>
      </c>
      <c r="Y458" s="0" t="n">
        <v>328.23</v>
      </c>
      <c r="Z458" s="0" t="n">
        <v>8</v>
      </c>
      <c r="AA458" s="0" t="n">
        <v>-0.85</v>
      </c>
      <c r="AB458" s="0" t="n">
        <v>8.92</v>
      </c>
      <c r="AC458" s="22" t="b">
        <f aca="false">FALSE()</f>
        <v>0</v>
      </c>
      <c r="AD458" s="0" t="n">
        <v>10.05</v>
      </c>
      <c r="AE458" s="0" t="n">
        <v>0.85</v>
      </c>
      <c r="AF458" s="0" t="n">
        <v>7.23</v>
      </c>
      <c r="AG458" s="22" t="b">
        <f aca="false">TRUE()</f>
        <v>1</v>
      </c>
      <c r="AH458" s="0" t="n">
        <v>1</v>
      </c>
    </row>
    <row r="459" customFormat="false" ht="15" hidden="false" customHeight="false" outlineLevel="0" collapsed="false">
      <c r="A459" s="0" t="s">
        <v>867</v>
      </c>
      <c r="B459" s="0" t="s">
        <v>134</v>
      </c>
      <c r="C459" s="0" t="s">
        <v>3450</v>
      </c>
      <c r="D459" s="0" t="s">
        <v>3448</v>
      </c>
      <c r="E459" s="20" t="s">
        <v>25</v>
      </c>
      <c r="F459" s="23" t="s">
        <v>30</v>
      </c>
      <c r="G459" s="21" t="s">
        <v>357</v>
      </c>
      <c r="H459" s="21" t="s">
        <v>24</v>
      </c>
      <c r="I459" s="21" t="s">
        <v>25</v>
      </c>
      <c r="J459" s="21" t="s">
        <v>24</v>
      </c>
      <c r="K459" s="21" t="s">
        <v>25</v>
      </c>
      <c r="L459" s="21" t="s">
        <v>24</v>
      </c>
      <c r="M459" s="0" t="n">
        <v>184</v>
      </c>
      <c r="N459" s="0" t="n">
        <v>1</v>
      </c>
      <c r="O459" s="21" t="s">
        <v>69</v>
      </c>
      <c r="P459" s="21" t="s">
        <v>4275</v>
      </c>
      <c r="Q459" s="0" t="n">
        <v>1</v>
      </c>
      <c r="R459" s="21" t="s">
        <v>69</v>
      </c>
      <c r="S459" s="0" t="n">
        <v>1</v>
      </c>
      <c r="T459" s="21" t="s">
        <v>69</v>
      </c>
      <c r="U459" s="22" t="b">
        <f aca="false">TRUE()</f>
        <v>1</v>
      </c>
      <c r="V459" s="0" t="n">
        <v>0.71</v>
      </c>
      <c r="W459" s="0" t="n">
        <v>0.12</v>
      </c>
      <c r="X459" s="0" t="n">
        <v>6.27</v>
      </c>
      <c r="Y459" s="0" t="n">
        <v>632.61</v>
      </c>
      <c r="Z459" s="0" t="n">
        <v>8</v>
      </c>
      <c r="AA459" s="0" t="n">
        <v>-0.3</v>
      </c>
      <c r="AB459" s="0" t="n">
        <v>0.91</v>
      </c>
      <c r="AC459" s="22" t="b">
        <f aca="false">TRUE()</f>
        <v>1</v>
      </c>
      <c r="AD459" s="0" t="n">
        <v>8.26</v>
      </c>
      <c r="AE459" s="0" t="n">
        <v>0.79</v>
      </c>
      <c r="AF459" s="0" t="n">
        <v>15.72</v>
      </c>
      <c r="AG459" s="22" t="b">
        <f aca="false">FALSE()</f>
        <v>0</v>
      </c>
      <c r="AH459" s="0" t="n">
        <v>1</v>
      </c>
    </row>
    <row r="460" customFormat="false" ht="15" hidden="false" customHeight="false" outlineLevel="0" collapsed="false">
      <c r="A460" s="0" t="s">
        <v>867</v>
      </c>
      <c r="B460" s="0" t="s">
        <v>134</v>
      </c>
      <c r="C460" s="0" t="s">
        <v>3447</v>
      </c>
      <c r="D460" s="0" t="s">
        <v>3457</v>
      </c>
      <c r="E460" s="18" t="s">
        <v>24</v>
      </c>
      <c r="F460" s="18" t="s">
        <v>28</v>
      </c>
      <c r="H460" s="21" t="s">
        <v>24</v>
      </c>
      <c r="I460" s="21" t="s">
        <v>24</v>
      </c>
      <c r="J460" s="21" t="s">
        <v>24</v>
      </c>
      <c r="K460" s="21" t="s">
        <v>24</v>
      </c>
      <c r="L460" s="21" t="s">
        <v>24</v>
      </c>
      <c r="M460" s="0" t="n">
        <v>189</v>
      </c>
      <c r="N460" s="0" t="n">
        <v>0</v>
      </c>
      <c r="Q460" s="0" t="n">
        <v>0</v>
      </c>
      <c r="S460" s="0" t="n">
        <v>0</v>
      </c>
      <c r="U460" s="22" t="b">
        <f aca="false">FALSE()</f>
        <v>0</v>
      </c>
      <c r="V460" s="0" t="n">
        <v>0.63</v>
      </c>
      <c r="W460" s="0" t="n">
        <v>0.72</v>
      </c>
      <c r="X460" s="0" t="n">
        <v>7.66</v>
      </c>
      <c r="Y460" s="0" t="n">
        <v>328.9</v>
      </c>
      <c r="Z460" s="0" t="n">
        <v>8</v>
      </c>
      <c r="AA460" s="0" t="n">
        <v>0.15</v>
      </c>
      <c r="AB460" s="0" t="n">
        <v>8.92</v>
      </c>
      <c r="AC460" s="22" t="b">
        <f aca="false">FALSE()</f>
        <v>0</v>
      </c>
      <c r="AD460" s="0" t="n">
        <v>13.67</v>
      </c>
      <c r="AE460" s="0" t="n">
        <v>0.65</v>
      </c>
      <c r="AF460" s="0" t="n">
        <v>7.72</v>
      </c>
      <c r="AG460" s="22" t="b">
        <f aca="false">TRUE()</f>
        <v>1</v>
      </c>
      <c r="AH460" s="0" t="n">
        <v>1</v>
      </c>
    </row>
    <row r="461" customFormat="false" ht="15" hidden="false" customHeight="false" outlineLevel="0" collapsed="false">
      <c r="A461" s="0" t="s">
        <v>867</v>
      </c>
      <c r="B461" s="0" t="s">
        <v>134</v>
      </c>
      <c r="C461" s="0" t="s">
        <v>3447</v>
      </c>
      <c r="D461" s="0" t="s">
        <v>3448</v>
      </c>
      <c r="E461" s="20" t="s">
        <v>25</v>
      </c>
      <c r="F461" s="23" t="s">
        <v>30</v>
      </c>
      <c r="G461" s="21" t="s">
        <v>2133</v>
      </c>
      <c r="H461" s="21" t="s">
        <v>24</v>
      </c>
      <c r="I461" s="21" t="s">
        <v>24</v>
      </c>
      <c r="J461" s="21" t="s">
        <v>24</v>
      </c>
      <c r="K461" s="21" t="s">
        <v>25</v>
      </c>
      <c r="L461" s="21" t="s">
        <v>24</v>
      </c>
      <c r="M461" s="0" t="n">
        <v>187</v>
      </c>
      <c r="N461" s="0" t="n">
        <v>2</v>
      </c>
      <c r="O461" s="21" t="s">
        <v>3506</v>
      </c>
      <c r="P461" s="21" t="s">
        <v>4449</v>
      </c>
      <c r="Q461" s="0" t="n">
        <v>0</v>
      </c>
      <c r="S461" s="0" t="n">
        <v>2</v>
      </c>
      <c r="T461" s="21" t="s">
        <v>3506</v>
      </c>
      <c r="U461" s="22" t="b">
        <f aca="false">TRUE()</f>
        <v>1</v>
      </c>
      <c r="V461" s="0" t="n">
        <v>0.65</v>
      </c>
      <c r="W461" s="0" t="n">
        <v>0.72</v>
      </c>
      <c r="X461" s="0" t="n">
        <v>7.91</v>
      </c>
      <c r="Y461" s="0" t="n">
        <v>163.99</v>
      </c>
      <c r="Z461" s="0" t="n">
        <v>8.42</v>
      </c>
      <c r="AA461" s="0" t="n">
        <v>0.2</v>
      </c>
      <c r="AB461" s="0" t="n">
        <v>0.91</v>
      </c>
      <c r="AC461" s="22" t="b">
        <f aca="false">FALSE()</f>
        <v>0</v>
      </c>
      <c r="AD461" s="0" t="n">
        <v>7.48</v>
      </c>
      <c r="AE461" s="0" t="n">
        <v>0.3</v>
      </c>
      <c r="AF461" s="0" t="n">
        <v>14.84</v>
      </c>
      <c r="AG461" s="22" t="b">
        <f aca="false">FALSE()</f>
        <v>0</v>
      </c>
      <c r="AH461" s="0" t="n">
        <v>1</v>
      </c>
    </row>
    <row r="462" customFormat="false" ht="15" hidden="false" customHeight="false" outlineLevel="0" collapsed="false">
      <c r="A462" s="0" t="s">
        <v>874</v>
      </c>
      <c r="B462" s="0" t="s">
        <v>134</v>
      </c>
      <c r="C462" s="0" t="s">
        <v>3450</v>
      </c>
      <c r="D462" s="0" t="s">
        <v>3457</v>
      </c>
      <c r="E462" s="20" t="s">
        <v>25</v>
      </c>
      <c r="F462" s="20" t="s">
        <v>29</v>
      </c>
      <c r="G462" s="21" t="s">
        <v>64</v>
      </c>
      <c r="H462" s="21" t="s">
        <v>24</v>
      </c>
      <c r="I462" s="21" t="s">
        <v>24</v>
      </c>
      <c r="J462" s="21" t="s">
        <v>24</v>
      </c>
      <c r="K462" s="21" t="s">
        <v>25</v>
      </c>
      <c r="L462" s="21" t="s">
        <v>24</v>
      </c>
      <c r="M462" s="0" t="n">
        <v>193</v>
      </c>
      <c r="N462" s="0" t="n">
        <v>0</v>
      </c>
      <c r="Q462" s="0" t="n">
        <v>0</v>
      </c>
      <c r="S462" s="0" t="n">
        <v>0</v>
      </c>
      <c r="U462" s="22" t="b">
        <f aca="false">FALSE()</f>
        <v>0</v>
      </c>
      <c r="V462" s="0" t="n">
        <v>0.75</v>
      </c>
      <c r="W462" s="0" t="n">
        <v>0.68</v>
      </c>
      <c r="X462" s="0" t="n">
        <v>6.97</v>
      </c>
      <c r="Y462" s="0" t="n">
        <v>336.7</v>
      </c>
      <c r="Z462" s="0" t="n">
        <v>8</v>
      </c>
      <c r="AA462" s="0" t="n">
        <v>4.66</v>
      </c>
      <c r="AB462" s="0" t="n">
        <v>0.21</v>
      </c>
      <c r="AC462" s="22" t="b">
        <f aca="false">FALSE()</f>
        <v>0</v>
      </c>
      <c r="AD462" s="0" t="n">
        <v>9.02</v>
      </c>
      <c r="AE462" s="0" t="n">
        <v>0.36</v>
      </c>
      <c r="AF462" s="0" t="n">
        <v>10.05</v>
      </c>
      <c r="AG462" s="22" t="b">
        <f aca="false">FALSE()</f>
        <v>0</v>
      </c>
      <c r="AH462" s="0" t="n">
        <v>1</v>
      </c>
    </row>
    <row r="463" customFormat="false" ht="15" hidden="false" customHeight="false" outlineLevel="0" collapsed="false">
      <c r="A463" s="0" t="s">
        <v>874</v>
      </c>
      <c r="B463" s="0" t="s">
        <v>134</v>
      </c>
      <c r="C463" s="0" t="s">
        <v>3450</v>
      </c>
      <c r="D463" s="0" t="s">
        <v>3448</v>
      </c>
      <c r="E463" s="20" t="s">
        <v>25</v>
      </c>
      <c r="F463" s="23" t="s">
        <v>30</v>
      </c>
      <c r="G463" s="21" t="s">
        <v>183</v>
      </c>
      <c r="H463" s="21" t="s">
        <v>24</v>
      </c>
      <c r="I463" s="21" t="s">
        <v>25</v>
      </c>
      <c r="J463" s="21" t="s">
        <v>24</v>
      </c>
      <c r="K463" s="21" t="s">
        <v>25</v>
      </c>
      <c r="L463" s="21" t="s">
        <v>24</v>
      </c>
      <c r="M463" s="0" t="n">
        <v>183</v>
      </c>
      <c r="N463" s="0" t="n">
        <v>1</v>
      </c>
      <c r="O463" s="21" t="s">
        <v>69</v>
      </c>
      <c r="P463" s="21" t="s">
        <v>4275</v>
      </c>
      <c r="Q463" s="0" t="n">
        <v>1</v>
      </c>
      <c r="R463" s="21" t="s">
        <v>69</v>
      </c>
      <c r="S463" s="0" t="n">
        <v>1</v>
      </c>
      <c r="T463" s="21" t="s">
        <v>69</v>
      </c>
      <c r="U463" s="22" t="b">
        <f aca="false">TRUE()</f>
        <v>1</v>
      </c>
      <c r="V463" s="0" t="n">
        <v>0.73</v>
      </c>
      <c r="W463" s="0" t="n">
        <v>0.56</v>
      </c>
      <c r="X463" s="0" t="n">
        <v>7.81</v>
      </c>
      <c r="Y463" s="0" t="n">
        <v>307.48</v>
      </c>
      <c r="Z463" s="0" t="n">
        <v>8.25</v>
      </c>
      <c r="AA463" s="0" t="n">
        <v>7.14</v>
      </c>
      <c r="AB463" s="0" t="n">
        <v>1.59</v>
      </c>
      <c r="AC463" s="22" t="b">
        <f aca="false">FALSE()</f>
        <v>0</v>
      </c>
      <c r="AD463" s="0" t="n">
        <v>25.75</v>
      </c>
      <c r="AE463" s="0" t="n">
        <v>11.64</v>
      </c>
      <c r="AF463" s="0" t="n">
        <v>17.85</v>
      </c>
      <c r="AG463" s="22" t="b">
        <f aca="false">TRUE()</f>
        <v>1</v>
      </c>
      <c r="AH463" s="0" t="n">
        <v>1</v>
      </c>
    </row>
    <row r="464" customFormat="false" ht="15" hidden="false" customHeight="false" outlineLevel="0" collapsed="false">
      <c r="A464" s="0" t="s">
        <v>874</v>
      </c>
      <c r="B464" s="0" t="s">
        <v>134</v>
      </c>
      <c r="C464" s="0" t="s">
        <v>3447</v>
      </c>
      <c r="D464" s="0" t="s">
        <v>3457</v>
      </c>
      <c r="E464" s="20" t="s">
        <v>25</v>
      </c>
      <c r="F464" s="20" t="s">
        <v>29</v>
      </c>
      <c r="G464" s="21" t="s">
        <v>64</v>
      </c>
      <c r="H464" s="21" t="s">
        <v>24</v>
      </c>
      <c r="I464" s="21" t="s">
        <v>24</v>
      </c>
      <c r="J464" s="21" t="s">
        <v>24</v>
      </c>
      <c r="K464" s="21" t="s">
        <v>25</v>
      </c>
      <c r="L464" s="21" t="s">
        <v>24</v>
      </c>
      <c r="M464" s="0" t="n">
        <v>186</v>
      </c>
      <c r="N464" s="0" t="n">
        <v>0</v>
      </c>
      <c r="Q464" s="0" t="n">
        <v>0</v>
      </c>
      <c r="S464" s="0" t="n">
        <v>0</v>
      </c>
      <c r="U464" s="22" t="b">
        <f aca="false">FALSE()</f>
        <v>0</v>
      </c>
      <c r="V464" s="0" t="n">
        <v>0.72</v>
      </c>
      <c r="W464" s="0" t="n">
        <v>0.72</v>
      </c>
      <c r="X464" s="0" t="n">
        <v>6.28</v>
      </c>
      <c r="Y464" s="0" t="n">
        <v>323.73</v>
      </c>
      <c r="Z464" s="0" t="n">
        <v>8.08</v>
      </c>
      <c r="AA464" s="0" t="n">
        <v>-1.21</v>
      </c>
      <c r="AB464" s="0" t="n">
        <v>0.21</v>
      </c>
      <c r="AC464" s="22" t="b">
        <f aca="false">FALSE()</f>
        <v>0</v>
      </c>
      <c r="AD464" s="0" t="n">
        <v>2.87</v>
      </c>
      <c r="AE464" s="0" t="n">
        <v>0.56</v>
      </c>
      <c r="AF464" s="0" t="n">
        <v>6.78</v>
      </c>
      <c r="AG464" s="22" t="b">
        <f aca="false">FALSE()</f>
        <v>0</v>
      </c>
      <c r="AH464" s="0" t="n">
        <v>1</v>
      </c>
    </row>
    <row r="465" customFormat="false" ht="15" hidden="false" customHeight="false" outlineLevel="0" collapsed="false">
      <c r="A465" s="0" t="s">
        <v>874</v>
      </c>
      <c r="B465" s="0" t="s">
        <v>134</v>
      </c>
      <c r="C465" s="0" t="s">
        <v>3447</v>
      </c>
      <c r="D465" s="0" t="s">
        <v>3448</v>
      </c>
      <c r="E465" s="18" t="s">
        <v>24</v>
      </c>
      <c r="F465" s="18" t="s">
        <v>28</v>
      </c>
      <c r="H465" s="21" t="s">
        <v>24</v>
      </c>
      <c r="I465" s="21" t="s">
        <v>24</v>
      </c>
      <c r="J465" s="21" t="s">
        <v>24</v>
      </c>
      <c r="K465" s="21" t="s">
        <v>24</v>
      </c>
      <c r="L465" s="21" t="s">
        <v>24</v>
      </c>
      <c r="M465" s="0" t="n">
        <v>189</v>
      </c>
      <c r="N465" s="0" t="n">
        <v>0</v>
      </c>
      <c r="Q465" s="0" t="n">
        <v>0</v>
      </c>
      <c r="S465" s="0" t="n">
        <v>0</v>
      </c>
      <c r="U465" s="22" t="b">
        <f aca="false">FALSE()</f>
        <v>0</v>
      </c>
      <c r="V465" s="0" t="n">
        <v>0.78</v>
      </c>
      <c r="W465" s="0" t="n">
        <v>0.52</v>
      </c>
      <c r="X465" s="0" t="n">
        <v>7.3</v>
      </c>
      <c r="Y465" s="0" t="n">
        <v>312.17</v>
      </c>
      <c r="Z465" s="0" t="n">
        <v>8.42</v>
      </c>
      <c r="AA465" s="0" t="n">
        <v>5.09</v>
      </c>
      <c r="AB465" s="0" t="n">
        <v>1.59</v>
      </c>
      <c r="AC465" s="22" t="b">
        <f aca="false">FALSE()</f>
        <v>0</v>
      </c>
      <c r="AD465" s="0" t="n">
        <v>16.15</v>
      </c>
      <c r="AE465" s="0" t="n">
        <v>4.22</v>
      </c>
      <c r="AF465" s="0" t="n">
        <v>9.37</v>
      </c>
      <c r="AG465" s="22" t="b">
        <f aca="false">TRUE()</f>
        <v>1</v>
      </c>
      <c r="AH465" s="0" t="n">
        <v>1</v>
      </c>
    </row>
    <row r="466" customFormat="false" ht="15" hidden="false" customHeight="false" outlineLevel="0" collapsed="false">
      <c r="A466" s="0" t="s">
        <v>879</v>
      </c>
      <c r="B466" s="0" t="s">
        <v>134</v>
      </c>
      <c r="C466" s="0" t="s">
        <v>3450</v>
      </c>
      <c r="D466" s="0" t="s">
        <v>3457</v>
      </c>
      <c r="E466" s="20" t="s">
        <v>25</v>
      </c>
      <c r="F466" s="23" t="s">
        <v>30</v>
      </c>
      <c r="G466" s="21" t="s">
        <v>1152</v>
      </c>
      <c r="H466" s="21" t="s">
        <v>24</v>
      </c>
      <c r="I466" s="21" t="s">
        <v>25</v>
      </c>
      <c r="J466" s="21" t="s">
        <v>24</v>
      </c>
      <c r="K466" s="21" t="s">
        <v>25</v>
      </c>
      <c r="L466" s="21" t="s">
        <v>24</v>
      </c>
      <c r="M466" s="0" t="n">
        <v>189</v>
      </c>
      <c r="N466" s="0" t="n">
        <v>1</v>
      </c>
      <c r="O466" s="21" t="s">
        <v>69</v>
      </c>
      <c r="P466" s="21" t="s">
        <v>4275</v>
      </c>
      <c r="Q466" s="0" t="n">
        <v>1</v>
      </c>
      <c r="R466" s="21" t="s">
        <v>69</v>
      </c>
      <c r="S466" s="0" t="n">
        <v>1</v>
      </c>
      <c r="T466" s="21" t="s">
        <v>69</v>
      </c>
      <c r="U466" s="22" t="b">
        <f aca="false">TRUE()</f>
        <v>1</v>
      </c>
      <c r="V466" s="0" t="n">
        <v>0.64</v>
      </c>
      <c r="W466" s="0" t="n">
        <v>0.96</v>
      </c>
      <c r="X466" s="0" t="n">
        <v>8.21</v>
      </c>
      <c r="Y466" s="0" t="n">
        <v>319.92</v>
      </c>
      <c r="Z466" s="0" t="n">
        <v>10</v>
      </c>
      <c r="AA466" s="0" t="n">
        <v>15.63</v>
      </c>
      <c r="AB466" s="0" t="n">
        <v>0.99</v>
      </c>
      <c r="AC466" s="22" t="b">
        <f aca="false">FALSE()</f>
        <v>0</v>
      </c>
      <c r="AD466" s="0" t="n">
        <v>12.6</v>
      </c>
      <c r="AE466" s="0" t="n">
        <v>0.31</v>
      </c>
      <c r="AF466" s="0" t="n">
        <v>9.06</v>
      </c>
      <c r="AG466" s="22" t="b">
        <f aca="false">TRUE()</f>
        <v>1</v>
      </c>
      <c r="AH466" s="0" t="n">
        <v>1</v>
      </c>
    </row>
    <row r="467" customFormat="false" ht="15" hidden="false" customHeight="false" outlineLevel="0" collapsed="false">
      <c r="A467" s="0" t="s">
        <v>879</v>
      </c>
      <c r="B467" s="0" t="s">
        <v>134</v>
      </c>
      <c r="C467" s="0" t="s">
        <v>3450</v>
      </c>
      <c r="D467" s="0" t="s">
        <v>3448</v>
      </c>
      <c r="E467" s="20" t="s">
        <v>25</v>
      </c>
      <c r="F467" s="23" t="s">
        <v>30</v>
      </c>
      <c r="G467" s="21" t="s">
        <v>283</v>
      </c>
      <c r="H467" s="21" t="s">
        <v>24</v>
      </c>
      <c r="I467" s="21" t="s">
        <v>25</v>
      </c>
      <c r="J467" s="21" t="s">
        <v>24</v>
      </c>
      <c r="K467" s="21" t="s">
        <v>24</v>
      </c>
      <c r="L467" s="21" t="s">
        <v>24</v>
      </c>
      <c r="M467" s="0" t="n">
        <v>182</v>
      </c>
      <c r="N467" s="0" t="n">
        <v>2</v>
      </c>
      <c r="O467" s="21" t="s">
        <v>3566</v>
      </c>
      <c r="P467" s="21" t="s">
        <v>4238</v>
      </c>
      <c r="Q467" s="0" t="n">
        <v>1</v>
      </c>
      <c r="R467" s="21" t="s">
        <v>69</v>
      </c>
      <c r="S467" s="0" t="n">
        <v>2</v>
      </c>
      <c r="T467" s="21" t="s">
        <v>3566</v>
      </c>
      <c r="U467" s="22" t="b">
        <f aca="false">TRUE()</f>
        <v>1</v>
      </c>
      <c r="V467" s="0" t="n">
        <v>0.74</v>
      </c>
      <c r="W467" s="0" t="n">
        <v>0.32</v>
      </c>
      <c r="X467" s="0" t="n">
        <v>8.39</v>
      </c>
      <c r="Y467" s="0" t="n">
        <v>401.58</v>
      </c>
      <c r="Z467" s="0" t="n">
        <v>9.5</v>
      </c>
      <c r="AA467" s="0" t="n">
        <v>10.54</v>
      </c>
      <c r="AB467" s="0" t="n">
        <v>4.98</v>
      </c>
      <c r="AC467" s="22" t="b">
        <f aca="false">FALSE()</f>
        <v>0</v>
      </c>
      <c r="AD467" s="0" t="n">
        <v>2.89</v>
      </c>
      <c r="AE467" s="0" t="n">
        <v>0.54</v>
      </c>
      <c r="AF467" s="0" t="n">
        <v>21.23</v>
      </c>
      <c r="AG467" s="22" t="b">
        <f aca="false">FALSE()</f>
        <v>0</v>
      </c>
      <c r="AH467" s="0" t="n">
        <v>1</v>
      </c>
    </row>
    <row r="468" customFormat="false" ht="15" hidden="false" customHeight="false" outlineLevel="0" collapsed="false">
      <c r="A468" s="0" t="s">
        <v>879</v>
      </c>
      <c r="B468" s="0" t="s">
        <v>134</v>
      </c>
      <c r="C468" s="0" t="s">
        <v>3447</v>
      </c>
      <c r="D468" s="0" t="s">
        <v>3457</v>
      </c>
      <c r="E468" s="20" t="s">
        <v>25</v>
      </c>
      <c r="F468" s="23" t="s">
        <v>30</v>
      </c>
      <c r="G468" s="21" t="s">
        <v>2610</v>
      </c>
      <c r="H468" s="21" t="s">
        <v>24</v>
      </c>
      <c r="I468" s="21" t="s">
        <v>24</v>
      </c>
      <c r="J468" s="21" t="s">
        <v>24</v>
      </c>
      <c r="K468" s="21" t="s">
        <v>25</v>
      </c>
      <c r="L468" s="21" t="s">
        <v>24</v>
      </c>
      <c r="M468" s="0" t="n">
        <v>184</v>
      </c>
      <c r="N468" s="0" t="n">
        <v>5</v>
      </c>
      <c r="O468" s="21" t="s">
        <v>3718</v>
      </c>
      <c r="P468" s="21" t="s">
        <v>4450</v>
      </c>
      <c r="Q468" s="0" t="n">
        <v>0</v>
      </c>
      <c r="S468" s="0" t="n">
        <v>5</v>
      </c>
      <c r="T468" s="21" t="s">
        <v>3718</v>
      </c>
      <c r="U468" s="22" t="b">
        <f aca="false">TRUE()</f>
        <v>1</v>
      </c>
      <c r="V468" s="0" t="n">
        <v>0.74</v>
      </c>
      <c r="W468" s="0" t="n">
        <v>0.88</v>
      </c>
      <c r="X468" s="0" t="n">
        <v>7.63</v>
      </c>
      <c r="Y468" s="0" t="n">
        <v>318.81</v>
      </c>
      <c r="Z468" s="0" t="n">
        <v>8</v>
      </c>
      <c r="AA468" s="0" t="n">
        <v>-1.16</v>
      </c>
      <c r="AB468" s="0" t="n">
        <v>0.99</v>
      </c>
      <c r="AC468" s="22" t="b">
        <f aca="false">FALSE()</f>
        <v>0</v>
      </c>
      <c r="AD468" s="0" t="n">
        <v>3.21</v>
      </c>
      <c r="AE468" s="0" t="n">
        <v>0.22</v>
      </c>
      <c r="AF468" s="0" t="n">
        <v>3.29</v>
      </c>
      <c r="AG468" s="22" t="b">
        <f aca="false">FALSE()</f>
        <v>0</v>
      </c>
      <c r="AH468" s="0" t="n">
        <v>1</v>
      </c>
    </row>
    <row r="469" customFormat="false" ht="15" hidden="false" customHeight="false" outlineLevel="0" collapsed="false">
      <c r="A469" s="0" t="s">
        <v>879</v>
      </c>
      <c r="B469" s="0" t="s">
        <v>134</v>
      </c>
      <c r="C469" s="0" t="s">
        <v>3447</v>
      </c>
      <c r="D469" s="0" t="s">
        <v>3448</v>
      </c>
      <c r="E469" s="18" t="s">
        <v>24</v>
      </c>
      <c r="F469" s="23" t="s">
        <v>30</v>
      </c>
      <c r="G469" s="21" t="s">
        <v>30</v>
      </c>
      <c r="H469" s="21" t="s">
        <v>24</v>
      </c>
      <c r="I469" s="21" t="s">
        <v>24</v>
      </c>
      <c r="J469" s="21" t="s">
        <v>24</v>
      </c>
      <c r="K469" s="21" t="s">
        <v>24</v>
      </c>
      <c r="L469" s="21" t="s">
        <v>24</v>
      </c>
      <c r="M469" s="0" t="n">
        <v>185</v>
      </c>
      <c r="N469" s="0" t="n">
        <v>2</v>
      </c>
      <c r="O469" s="21" t="s">
        <v>3517</v>
      </c>
      <c r="P469" s="21" t="s">
        <v>4451</v>
      </c>
      <c r="Q469" s="0" t="n">
        <v>0</v>
      </c>
      <c r="S469" s="0" t="n">
        <v>2</v>
      </c>
      <c r="T469" s="21" t="s">
        <v>3517</v>
      </c>
      <c r="U469" s="22" t="b">
        <f aca="false">TRUE()</f>
        <v>1</v>
      </c>
      <c r="V469" s="0" t="n">
        <v>0.78</v>
      </c>
      <c r="W469" s="0" t="n">
        <v>0.84</v>
      </c>
      <c r="X469" s="0" t="n">
        <v>6.85</v>
      </c>
      <c r="Y469" s="0" t="n">
        <v>323.82</v>
      </c>
      <c r="Z469" s="0" t="n">
        <v>9.75</v>
      </c>
      <c r="AA469" s="0" t="n">
        <v>9.76</v>
      </c>
      <c r="AB469" s="0" t="n">
        <v>4.98</v>
      </c>
      <c r="AC469" s="22" t="b">
        <f aca="false">FALSE()</f>
        <v>0</v>
      </c>
      <c r="AD469" s="0" t="n">
        <v>8.52</v>
      </c>
      <c r="AE469" s="0" t="n">
        <v>0.55</v>
      </c>
      <c r="AF469" s="0" t="n">
        <v>24.53</v>
      </c>
      <c r="AG469" s="22" t="b">
        <f aca="false">FALSE()</f>
        <v>0</v>
      </c>
      <c r="AH469" s="0" t="n">
        <v>1</v>
      </c>
    </row>
    <row r="470" customFormat="false" ht="15" hidden="false" customHeight="false" outlineLevel="0" collapsed="false">
      <c r="A470" s="0" t="s">
        <v>879</v>
      </c>
      <c r="B470" s="0" t="s">
        <v>3459</v>
      </c>
      <c r="C470" s="0" t="s">
        <v>3450</v>
      </c>
      <c r="D470" s="0" t="s">
        <v>3457</v>
      </c>
      <c r="E470" s="20" t="s">
        <v>25</v>
      </c>
      <c r="F470" s="23" t="s">
        <v>30</v>
      </c>
      <c r="G470" s="21" t="s">
        <v>183</v>
      </c>
      <c r="H470" s="21" t="s">
        <v>24</v>
      </c>
      <c r="I470" s="21" t="s">
        <v>25</v>
      </c>
      <c r="J470" s="21" t="s">
        <v>24</v>
      </c>
      <c r="K470" s="21" t="s">
        <v>25</v>
      </c>
      <c r="L470" s="21" t="s">
        <v>24</v>
      </c>
      <c r="M470" s="0" t="n">
        <v>184</v>
      </c>
      <c r="N470" s="0" t="n">
        <v>1</v>
      </c>
      <c r="O470" s="21" t="s">
        <v>69</v>
      </c>
      <c r="P470" s="21" t="s">
        <v>4275</v>
      </c>
      <c r="Q470" s="0" t="n">
        <v>1</v>
      </c>
      <c r="R470" s="21" t="s">
        <v>69</v>
      </c>
      <c r="S470" s="0" t="n">
        <v>1</v>
      </c>
      <c r="T470" s="21" t="s">
        <v>69</v>
      </c>
      <c r="U470" s="22" t="b">
        <f aca="false">TRUE()</f>
        <v>1</v>
      </c>
      <c r="V470" s="0" t="n">
        <v>0.72</v>
      </c>
      <c r="W470" s="0" t="n">
        <v>0.64</v>
      </c>
      <c r="X470" s="0" t="n">
        <v>7.5</v>
      </c>
      <c r="Y470" s="0" t="n">
        <v>306.12</v>
      </c>
      <c r="Z470" s="0" t="n">
        <v>10.33</v>
      </c>
      <c r="AA470" s="0" t="n">
        <v>8.62</v>
      </c>
      <c r="AB470" s="0" t="n">
        <v>7.76</v>
      </c>
      <c r="AC470" s="22" t="b">
        <f aca="false">FALSE()</f>
        <v>0</v>
      </c>
      <c r="AD470" s="0" t="n">
        <v>21.46</v>
      </c>
      <c r="AE470" s="0" t="n">
        <v>11.63</v>
      </c>
      <c r="AF470" s="0" t="n">
        <v>19.88</v>
      </c>
      <c r="AG470" s="22" t="b">
        <f aca="false">TRUE()</f>
        <v>1</v>
      </c>
      <c r="AH470" s="0" t="n">
        <v>1</v>
      </c>
    </row>
    <row r="471" customFormat="false" ht="15" hidden="false" customHeight="false" outlineLevel="0" collapsed="false">
      <c r="A471" s="0" t="s">
        <v>879</v>
      </c>
      <c r="B471" s="0" t="s">
        <v>3459</v>
      </c>
      <c r="C471" s="0" t="s">
        <v>3450</v>
      </c>
      <c r="D471" s="0" t="s">
        <v>3448</v>
      </c>
      <c r="E471" s="20" t="s">
        <v>25</v>
      </c>
      <c r="F471" s="23" t="s">
        <v>30</v>
      </c>
      <c r="G471" s="21" t="s">
        <v>183</v>
      </c>
      <c r="H471" s="21" t="s">
        <v>24</v>
      </c>
      <c r="I471" s="21" t="s">
        <v>25</v>
      </c>
      <c r="J471" s="21" t="s">
        <v>24</v>
      </c>
      <c r="K471" s="21" t="s">
        <v>25</v>
      </c>
      <c r="L471" s="21" t="s">
        <v>24</v>
      </c>
      <c r="M471" s="0" t="n">
        <v>183</v>
      </c>
      <c r="N471" s="0" t="n">
        <v>1</v>
      </c>
      <c r="O471" s="21" t="s">
        <v>69</v>
      </c>
      <c r="P471" s="21" t="s">
        <v>4275</v>
      </c>
      <c r="Q471" s="0" t="n">
        <v>1</v>
      </c>
      <c r="R471" s="21" t="s">
        <v>69</v>
      </c>
      <c r="S471" s="0" t="n">
        <v>1</v>
      </c>
      <c r="T471" s="21" t="s">
        <v>69</v>
      </c>
      <c r="U471" s="22" t="b">
        <f aca="false">TRUE()</f>
        <v>1</v>
      </c>
      <c r="V471" s="0" t="n">
        <v>0.77</v>
      </c>
      <c r="W471" s="0" t="n">
        <v>0.16</v>
      </c>
      <c r="X471" s="0" t="n">
        <v>8.01</v>
      </c>
      <c r="Y471" s="0" t="n">
        <v>529.47</v>
      </c>
      <c r="Z471" s="0" t="n">
        <v>9.75</v>
      </c>
      <c r="AA471" s="0" t="n">
        <v>10.51</v>
      </c>
      <c r="AB471" s="0" t="n">
        <v>2.6</v>
      </c>
      <c r="AC471" s="22" t="b">
        <f aca="false">FALSE()</f>
        <v>0</v>
      </c>
      <c r="AD471" s="0" t="n">
        <v>26.8</v>
      </c>
      <c r="AE471" s="0" t="n">
        <v>16.59</v>
      </c>
      <c r="AF471" s="0" t="n">
        <v>26.56</v>
      </c>
      <c r="AG471" s="22" t="b">
        <f aca="false">TRUE()</f>
        <v>1</v>
      </c>
      <c r="AH471" s="0" t="n">
        <v>1</v>
      </c>
    </row>
    <row r="472" customFormat="false" ht="15" hidden="false" customHeight="false" outlineLevel="0" collapsed="false">
      <c r="A472" s="0" t="s">
        <v>879</v>
      </c>
      <c r="B472" s="0" t="s">
        <v>3459</v>
      </c>
      <c r="C472" s="0" t="s">
        <v>3447</v>
      </c>
      <c r="D472" s="0" t="s">
        <v>3457</v>
      </c>
      <c r="E472" s="20" t="s">
        <v>25</v>
      </c>
      <c r="F472" s="23" t="s">
        <v>30</v>
      </c>
      <c r="G472" s="21" t="s">
        <v>992</v>
      </c>
      <c r="H472" s="21" t="s">
        <v>24</v>
      </c>
      <c r="I472" s="21" t="s">
        <v>24</v>
      </c>
      <c r="J472" s="21" t="s">
        <v>24</v>
      </c>
      <c r="K472" s="21" t="s">
        <v>25</v>
      </c>
      <c r="L472" s="21" t="s">
        <v>24</v>
      </c>
      <c r="M472" s="0" t="n">
        <v>185</v>
      </c>
      <c r="N472" s="0" t="n">
        <v>2</v>
      </c>
      <c r="O472" s="21" t="s">
        <v>3511</v>
      </c>
      <c r="P472" s="21" t="s">
        <v>4387</v>
      </c>
      <c r="Q472" s="0" t="n">
        <v>0</v>
      </c>
      <c r="S472" s="0" t="n">
        <v>2</v>
      </c>
      <c r="T472" s="21" t="s">
        <v>3511</v>
      </c>
      <c r="U472" s="22" t="b">
        <f aca="false">TRUE()</f>
        <v>1</v>
      </c>
      <c r="V472" s="0" t="n">
        <v>0.82</v>
      </c>
      <c r="W472" s="0" t="n">
        <v>0.28</v>
      </c>
      <c r="X472" s="0" t="n">
        <v>8.78</v>
      </c>
      <c r="Y472" s="0" t="n">
        <v>420.24</v>
      </c>
      <c r="Z472" s="0" t="n">
        <v>10</v>
      </c>
      <c r="AA472" s="0" t="n">
        <v>-2.49</v>
      </c>
      <c r="AB472" s="0" t="n">
        <v>7.76</v>
      </c>
      <c r="AC472" s="22" t="b">
        <f aca="false">FALSE()</f>
        <v>0</v>
      </c>
      <c r="AD472" s="0" t="n">
        <v>23.99</v>
      </c>
      <c r="AE472" s="0" t="n">
        <v>13.29</v>
      </c>
      <c r="AF472" s="0" t="n">
        <v>22.23</v>
      </c>
      <c r="AG472" s="22" t="b">
        <f aca="false">TRUE()</f>
        <v>1</v>
      </c>
      <c r="AH472" s="0" t="n">
        <v>1</v>
      </c>
    </row>
    <row r="473" customFormat="false" ht="15" hidden="false" customHeight="false" outlineLevel="0" collapsed="false">
      <c r="A473" s="0" t="s">
        <v>879</v>
      </c>
      <c r="B473" s="0" t="s">
        <v>3459</v>
      </c>
      <c r="C473" s="0" t="s">
        <v>3447</v>
      </c>
      <c r="D473" s="0" t="s">
        <v>3448</v>
      </c>
      <c r="E473" s="20" t="s">
        <v>25</v>
      </c>
      <c r="F473" s="23" t="s">
        <v>30</v>
      </c>
      <c r="G473" s="21" t="s">
        <v>992</v>
      </c>
      <c r="H473" s="21" t="s">
        <v>24</v>
      </c>
      <c r="I473" s="21" t="s">
        <v>24</v>
      </c>
      <c r="J473" s="21" t="s">
        <v>24</v>
      </c>
      <c r="K473" s="21" t="s">
        <v>25</v>
      </c>
      <c r="L473" s="21" t="s">
        <v>24</v>
      </c>
      <c r="M473" s="0" t="n">
        <v>183</v>
      </c>
      <c r="N473" s="0" t="n">
        <v>1</v>
      </c>
      <c r="O473" s="21" t="s">
        <v>3476</v>
      </c>
      <c r="P473" s="21" t="s">
        <v>4228</v>
      </c>
      <c r="Q473" s="0" t="n">
        <v>0</v>
      </c>
      <c r="S473" s="0" t="n">
        <v>1</v>
      </c>
      <c r="T473" s="21" t="s">
        <v>3476</v>
      </c>
      <c r="U473" s="22" t="b">
        <f aca="false">TRUE()</f>
        <v>1</v>
      </c>
      <c r="V473" s="0" t="n">
        <v>0.84</v>
      </c>
      <c r="W473" s="0" t="n">
        <v>0</v>
      </c>
      <c r="X473" s="0" t="n">
        <v>8.56</v>
      </c>
      <c r="Y473" s="0" t="n">
        <v>679.68</v>
      </c>
      <c r="Z473" s="0" t="n">
        <v>10.5</v>
      </c>
      <c r="AA473" s="0" t="n">
        <v>7.87</v>
      </c>
      <c r="AB473" s="0" t="n">
        <v>2.6</v>
      </c>
      <c r="AC473" s="22" t="b">
        <f aca="false">FALSE()</f>
        <v>0</v>
      </c>
      <c r="AD473" s="0" t="n">
        <v>24.81</v>
      </c>
      <c r="AE473" s="0" t="n">
        <v>13.84</v>
      </c>
      <c r="AF473" s="0" t="n">
        <v>23.87</v>
      </c>
      <c r="AG473" s="22" t="b">
        <f aca="false">TRUE()</f>
        <v>1</v>
      </c>
      <c r="AH473" s="0" t="n">
        <v>1</v>
      </c>
    </row>
    <row r="474" customFormat="false" ht="15" hidden="false" customHeight="false" outlineLevel="0" collapsed="false">
      <c r="A474" s="0" t="s">
        <v>885</v>
      </c>
      <c r="B474" s="0" t="s">
        <v>134</v>
      </c>
      <c r="C474" s="0" t="s">
        <v>3450</v>
      </c>
      <c r="D474" s="0" t="s">
        <v>3457</v>
      </c>
      <c r="E474" s="18" t="s">
        <v>24</v>
      </c>
      <c r="F474" s="18" t="s">
        <v>28</v>
      </c>
      <c r="H474" s="21" t="s">
        <v>24</v>
      </c>
      <c r="I474" s="21" t="s">
        <v>24</v>
      </c>
      <c r="J474" s="21" t="s">
        <v>24</v>
      </c>
      <c r="K474" s="21" t="s">
        <v>24</v>
      </c>
      <c r="L474" s="21" t="s">
        <v>24</v>
      </c>
      <c r="M474" s="0" t="n">
        <v>183</v>
      </c>
      <c r="N474" s="0" t="n">
        <v>0</v>
      </c>
      <c r="Q474" s="0" t="n">
        <v>0</v>
      </c>
      <c r="S474" s="0" t="n">
        <v>0</v>
      </c>
      <c r="U474" s="22" t="b">
        <f aca="false">FALSE()</f>
        <v>0</v>
      </c>
      <c r="V474" s="0" t="n">
        <v>0.66</v>
      </c>
      <c r="W474" s="0" t="n">
        <v>0.8</v>
      </c>
      <c r="X474" s="0" t="n">
        <v>8.05</v>
      </c>
      <c r="Y474" s="0" t="n">
        <v>314.9</v>
      </c>
      <c r="Z474" s="0" t="n">
        <v>10.17</v>
      </c>
      <c r="AA474" s="0" t="n">
        <v>11.3</v>
      </c>
      <c r="AB474" s="0" t="n">
        <v>3.87</v>
      </c>
      <c r="AC474" s="22" t="b">
        <f aca="false">FALSE()</f>
        <v>0</v>
      </c>
      <c r="AD474" s="0" t="n">
        <v>19.34</v>
      </c>
      <c r="AE474" s="0" t="n">
        <v>0.84</v>
      </c>
      <c r="AF474" s="0" t="n">
        <v>19.06</v>
      </c>
      <c r="AG474" s="22" t="b">
        <f aca="false">TRUE()</f>
        <v>1</v>
      </c>
      <c r="AH474" s="0" t="n">
        <v>1</v>
      </c>
    </row>
    <row r="475" customFormat="false" ht="15" hidden="false" customHeight="false" outlineLevel="0" collapsed="false">
      <c r="A475" s="0" t="s">
        <v>885</v>
      </c>
      <c r="B475" s="0" t="s">
        <v>134</v>
      </c>
      <c r="C475" s="0" t="s">
        <v>3450</v>
      </c>
      <c r="D475" s="0" t="s">
        <v>3448</v>
      </c>
      <c r="E475" s="20" t="s">
        <v>25</v>
      </c>
      <c r="F475" s="23" t="s">
        <v>30</v>
      </c>
      <c r="G475" s="21" t="s">
        <v>283</v>
      </c>
      <c r="H475" s="21" t="s">
        <v>24</v>
      </c>
      <c r="I475" s="21" t="s">
        <v>25</v>
      </c>
      <c r="J475" s="21" t="s">
        <v>24</v>
      </c>
      <c r="K475" s="21" t="s">
        <v>24</v>
      </c>
      <c r="L475" s="21" t="s">
        <v>24</v>
      </c>
      <c r="M475" s="0" t="n">
        <v>182</v>
      </c>
      <c r="N475" s="0" t="n">
        <v>2</v>
      </c>
      <c r="O475" s="21" t="s">
        <v>3575</v>
      </c>
      <c r="P475" s="21" t="s">
        <v>4265</v>
      </c>
      <c r="Q475" s="0" t="n">
        <v>1</v>
      </c>
      <c r="R475" s="21" t="s">
        <v>69</v>
      </c>
      <c r="S475" s="0" t="n">
        <v>2</v>
      </c>
      <c r="T475" s="21" t="s">
        <v>3575</v>
      </c>
      <c r="U475" s="22" t="b">
        <f aca="false">TRUE()</f>
        <v>1</v>
      </c>
      <c r="V475" s="0" t="n">
        <v>0.69</v>
      </c>
      <c r="W475" s="0" t="n">
        <v>0.24</v>
      </c>
      <c r="X475" s="0" t="n">
        <v>7.74</v>
      </c>
      <c r="Y475" s="0" t="n">
        <v>437.1</v>
      </c>
      <c r="Z475" s="0" t="n">
        <v>10.58</v>
      </c>
      <c r="AA475" s="0" t="n">
        <v>13.24</v>
      </c>
      <c r="AB475" s="0" t="n">
        <v>3.01</v>
      </c>
      <c r="AC475" s="22" t="b">
        <f aca="false">FALSE()</f>
        <v>0</v>
      </c>
      <c r="AD475" s="0" t="n">
        <v>12</v>
      </c>
      <c r="AE475" s="0" t="n">
        <v>0.41</v>
      </c>
      <c r="AF475" s="0" t="n">
        <v>7.36</v>
      </c>
      <c r="AG475" s="22" t="b">
        <f aca="false">TRUE()</f>
        <v>1</v>
      </c>
      <c r="AH475" s="0" t="n">
        <v>1</v>
      </c>
    </row>
    <row r="476" customFormat="false" ht="15" hidden="false" customHeight="false" outlineLevel="0" collapsed="false">
      <c r="A476" s="0" t="s">
        <v>885</v>
      </c>
      <c r="B476" s="0" t="s">
        <v>134</v>
      </c>
      <c r="C476" s="0" t="s">
        <v>3447</v>
      </c>
      <c r="D476" s="0" t="s">
        <v>3457</v>
      </c>
      <c r="E476" s="20" t="s">
        <v>25</v>
      </c>
      <c r="F476" s="23" t="s">
        <v>30</v>
      </c>
      <c r="G476" s="21" t="s">
        <v>283</v>
      </c>
      <c r="H476" s="21" t="s">
        <v>24</v>
      </c>
      <c r="I476" s="21" t="s">
        <v>25</v>
      </c>
      <c r="J476" s="21" t="s">
        <v>24</v>
      </c>
      <c r="K476" s="21" t="s">
        <v>24</v>
      </c>
      <c r="L476" s="21" t="s">
        <v>24</v>
      </c>
      <c r="M476" s="0" t="n">
        <v>183</v>
      </c>
      <c r="N476" s="0" t="n">
        <v>5</v>
      </c>
      <c r="O476" s="21" t="s">
        <v>3830</v>
      </c>
      <c r="P476" s="21" t="s">
        <v>4452</v>
      </c>
      <c r="Q476" s="0" t="n">
        <v>1</v>
      </c>
      <c r="R476" s="21" t="s">
        <v>69</v>
      </c>
      <c r="S476" s="0" t="n">
        <v>5</v>
      </c>
      <c r="T476" s="21" t="s">
        <v>3830</v>
      </c>
      <c r="U476" s="22" t="b">
        <f aca="false">TRUE()</f>
        <v>1</v>
      </c>
      <c r="V476" s="0" t="n">
        <v>0.7</v>
      </c>
      <c r="W476" s="0" t="n">
        <v>0.32</v>
      </c>
      <c r="X476" s="0" t="n">
        <v>6.48</v>
      </c>
      <c r="Y476" s="0" t="n">
        <v>400.93</v>
      </c>
      <c r="Z476" s="0" t="n">
        <v>10.08</v>
      </c>
      <c r="AA476" s="0" t="n">
        <v>7.36</v>
      </c>
      <c r="AB476" s="0" t="n">
        <v>3.87</v>
      </c>
      <c r="AC476" s="22" t="b">
        <f aca="false">FALSE()</f>
        <v>0</v>
      </c>
      <c r="AD476" s="0" t="n">
        <v>19.06</v>
      </c>
      <c r="AE476" s="0" t="n">
        <v>1.13</v>
      </c>
      <c r="AF476" s="0" t="n">
        <v>17.92</v>
      </c>
      <c r="AG476" s="22" t="b">
        <f aca="false">TRUE()</f>
        <v>1</v>
      </c>
      <c r="AH476" s="0" t="n">
        <v>1</v>
      </c>
    </row>
    <row r="477" customFormat="false" ht="15" hidden="false" customHeight="false" outlineLevel="0" collapsed="false">
      <c r="A477" s="0" t="s">
        <v>885</v>
      </c>
      <c r="B477" s="0" t="s">
        <v>134</v>
      </c>
      <c r="C477" s="0" t="s">
        <v>3447</v>
      </c>
      <c r="D477" s="0" t="s">
        <v>3448</v>
      </c>
      <c r="E477" s="18" t="s">
        <v>24</v>
      </c>
      <c r="F477" s="23" t="s">
        <v>30</v>
      </c>
      <c r="G477" s="21" t="s">
        <v>30</v>
      </c>
      <c r="H477" s="21" t="s">
        <v>24</v>
      </c>
      <c r="I477" s="21" t="s">
        <v>24</v>
      </c>
      <c r="J477" s="21" t="s">
        <v>24</v>
      </c>
      <c r="K477" s="21" t="s">
        <v>24</v>
      </c>
      <c r="L477" s="21" t="s">
        <v>24</v>
      </c>
      <c r="M477" s="0" t="n">
        <v>182</v>
      </c>
      <c r="N477" s="0" t="n">
        <v>5</v>
      </c>
      <c r="O477" s="21" t="s">
        <v>3700</v>
      </c>
      <c r="P477" s="21" t="s">
        <v>4453</v>
      </c>
      <c r="Q477" s="0" t="n">
        <v>0</v>
      </c>
      <c r="S477" s="0" t="n">
        <v>5</v>
      </c>
      <c r="T477" s="21" t="s">
        <v>3700</v>
      </c>
      <c r="U477" s="22" t="b">
        <f aca="false">TRUE()</f>
        <v>1</v>
      </c>
      <c r="V477" s="0" t="n">
        <v>0.75</v>
      </c>
      <c r="W477" s="0" t="n">
        <v>0</v>
      </c>
      <c r="X477" s="0" t="n">
        <v>8.03</v>
      </c>
      <c r="Y477" s="0" t="n">
        <v>683.39</v>
      </c>
      <c r="Z477" s="0" t="n">
        <v>10.25</v>
      </c>
      <c r="AA477" s="0" t="n">
        <v>7.78</v>
      </c>
      <c r="AB477" s="0" t="n">
        <v>3.01</v>
      </c>
      <c r="AC477" s="22" t="b">
        <f aca="false">FALSE()</f>
        <v>0</v>
      </c>
      <c r="AD477" s="0" t="n">
        <v>6.6</v>
      </c>
      <c r="AE477" s="0" t="n">
        <v>1.83</v>
      </c>
      <c r="AF477" s="0" t="n">
        <v>2.84</v>
      </c>
      <c r="AG477" s="22" t="b">
        <f aca="false">FALSE()</f>
        <v>0</v>
      </c>
      <c r="AH477" s="0" t="n">
        <v>1</v>
      </c>
    </row>
    <row r="478" customFormat="false" ht="15" hidden="false" customHeight="false" outlineLevel="0" collapsed="false">
      <c r="A478" s="0" t="s">
        <v>895</v>
      </c>
      <c r="B478" s="0" t="s">
        <v>134</v>
      </c>
      <c r="C478" s="0" t="s">
        <v>3450</v>
      </c>
      <c r="D478" s="0" t="s">
        <v>3457</v>
      </c>
      <c r="E478" s="18" t="s">
        <v>24</v>
      </c>
      <c r="F478" s="23" t="s">
        <v>30</v>
      </c>
      <c r="G478" s="21" t="s">
        <v>30</v>
      </c>
      <c r="H478" s="21" t="s">
        <v>24</v>
      </c>
      <c r="I478" s="21" t="s">
        <v>24</v>
      </c>
      <c r="J478" s="21" t="s">
        <v>24</v>
      </c>
      <c r="K478" s="21" t="s">
        <v>24</v>
      </c>
      <c r="L478" s="21" t="s">
        <v>24</v>
      </c>
      <c r="M478" s="0" t="n">
        <v>182</v>
      </c>
      <c r="N478" s="0" t="n">
        <v>1</v>
      </c>
      <c r="O478" s="21" t="s">
        <v>3474</v>
      </c>
      <c r="P478" s="21" t="s">
        <v>4272</v>
      </c>
      <c r="Q478" s="0" t="n">
        <v>0</v>
      </c>
      <c r="S478" s="0" t="n">
        <v>1</v>
      </c>
      <c r="T478" s="21" t="s">
        <v>3474</v>
      </c>
      <c r="U478" s="22" t="b">
        <f aca="false">TRUE()</f>
        <v>1</v>
      </c>
      <c r="V478" s="0" t="n">
        <v>0.71</v>
      </c>
      <c r="W478" s="0" t="n">
        <v>0.56</v>
      </c>
      <c r="X478" s="0" t="n">
        <v>10.39</v>
      </c>
      <c r="Y478" s="0" t="n">
        <v>182.79</v>
      </c>
      <c r="Z478" s="0" t="n">
        <v>9.25</v>
      </c>
      <c r="AA478" s="0" t="n">
        <v>17.54</v>
      </c>
      <c r="AB478" s="0" t="n">
        <v>3.98</v>
      </c>
      <c r="AC478" s="22" t="b">
        <f aca="false">FALSE()</f>
        <v>0</v>
      </c>
      <c r="AD478" s="0" t="n">
        <v>10.82</v>
      </c>
      <c r="AE478" s="0" t="n">
        <v>0.67</v>
      </c>
      <c r="AF478" s="0" t="n">
        <v>2.8</v>
      </c>
      <c r="AG478" s="22" t="b">
        <f aca="false">TRUE()</f>
        <v>1</v>
      </c>
      <c r="AH478" s="0" t="n">
        <v>1</v>
      </c>
    </row>
    <row r="479" customFormat="false" ht="15" hidden="false" customHeight="false" outlineLevel="0" collapsed="false">
      <c r="A479" s="0" t="s">
        <v>895</v>
      </c>
      <c r="B479" s="0" t="s">
        <v>134</v>
      </c>
      <c r="C479" s="0" t="s">
        <v>3450</v>
      </c>
      <c r="D479" s="0" t="s">
        <v>3448</v>
      </c>
      <c r="E479" s="18" t="s">
        <v>24</v>
      </c>
      <c r="F479" s="23" t="s">
        <v>30</v>
      </c>
      <c r="G479" s="21" t="s">
        <v>30</v>
      </c>
      <c r="H479" s="21" t="s">
        <v>24</v>
      </c>
      <c r="I479" s="21" t="s">
        <v>24</v>
      </c>
      <c r="J479" s="21" t="s">
        <v>24</v>
      </c>
      <c r="K479" s="21" t="s">
        <v>24</v>
      </c>
      <c r="L479" s="21" t="s">
        <v>24</v>
      </c>
      <c r="M479" s="0" t="n">
        <v>184</v>
      </c>
      <c r="N479" s="0" t="n">
        <v>1</v>
      </c>
      <c r="O479" s="21" t="s">
        <v>3474</v>
      </c>
      <c r="P479" s="21" t="s">
        <v>4272</v>
      </c>
      <c r="Q479" s="0" t="n">
        <v>0</v>
      </c>
      <c r="S479" s="0" t="n">
        <v>1</v>
      </c>
      <c r="T479" s="21" t="s">
        <v>3474</v>
      </c>
      <c r="U479" s="22" t="b">
        <f aca="false">TRUE()</f>
        <v>1</v>
      </c>
      <c r="V479" s="0" t="n">
        <v>0.76</v>
      </c>
      <c r="W479" s="0" t="n">
        <v>0.84</v>
      </c>
      <c r="X479" s="0" t="n">
        <v>11.99</v>
      </c>
      <c r="Y479" s="0" t="n">
        <v>293.11</v>
      </c>
      <c r="Z479" s="0" t="n">
        <v>9</v>
      </c>
      <c r="AA479" s="0" t="n">
        <v>13.66</v>
      </c>
      <c r="AB479" s="0" t="n">
        <v>3.19</v>
      </c>
      <c r="AC479" s="22" t="b">
        <f aca="false">FALSE()</f>
        <v>0</v>
      </c>
      <c r="AD479" s="0" t="n">
        <v>5.72</v>
      </c>
      <c r="AE479" s="0" t="n">
        <v>0.39</v>
      </c>
      <c r="AF479" s="0" t="n">
        <v>4.8</v>
      </c>
      <c r="AG479" s="22" t="b">
        <f aca="false">FALSE()</f>
        <v>0</v>
      </c>
      <c r="AH479" s="0" t="n">
        <v>1</v>
      </c>
    </row>
    <row r="480" customFormat="false" ht="15" hidden="false" customHeight="false" outlineLevel="0" collapsed="false">
      <c r="A480" s="0" t="s">
        <v>895</v>
      </c>
      <c r="B480" s="0" t="s">
        <v>134</v>
      </c>
      <c r="C480" s="0" t="s">
        <v>3447</v>
      </c>
      <c r="D480" s="0" t="s">
        <v>3457</v>
      </c>
      <c r="E480" s="19" t="s">
        <v>26</v>
      </c>
      <c r="F480" s="19" t="s">
        <v>32</v>
      </c>
      <c r="G480" s="21" t="s">
        <v>529</v>
      </c>
      <c r="H480" s="21" t="s">
        <v>24</v>
      </c>
      <c r="I480" s="21" t="s">
        <v>26</v>
      </c>
      <c r="J480" s="21" t="s">
        <v>24</v>
      </c>
      <c r="K480" s="21" t="s">
        <v>24</v>
      </c>
      <c r="L480" s="21" t="s">
        <v>24</v>
      </c>
      <c r="M480" s="0" t="n">
        <v>182</v>
      </c>
      <c r="N480" s="0" t="n">
        <v>7</v>
      </c>
      <c r="O480" s="21" t="s">
        <v>4021</v>
      </c>
      <c r="P480" s="21" t="s">
        <v>4454</v>
      </c>
      <c r="Q480" s="0" t="n">
        <v>1</v>
      </c>
      <c r="R480" s="21" t="s">
        <v>69</v>
      </c>
      <c r="S480" s="0" t="n">
        <v>7</v>
      </c>
      <c r="T480" s="21" t="s">
        <v>4021</v>
      </c>
      <c r="U480" s="22" t="b">
        <f aca="false">FALSE()</f>
        <v>0</v>
      </c>
      <c r="V480" s="0" t="n">
        <v>0.7</v>
      </c>
      <c r="W480" s="0" t="n">
        <v>0</v>
      </c>
      <c r="X480" s="0" t="n">
        <v>10.15</v>
      </c>
      <c r="Y480" s="0" t="n">
        <v>0.8</v>
      </c>
      <c r="Z480" s="0" t="n">
        <v>9.5</v>
      </c>
      <c r="AA480" s="0" t="n">
        <v>10.6</v>
      </c>
      <c r="AB480" s="0" t="n">
        <v>3.98</v>
      </c>
      <c r="AC480" s="22" t="b">
        <f aca="false">FALSE()</f>
        <v>0</v>
      </c>
      <c r="AD480" s="0" t="n">
        <v>11.11</v>
      </c>
      <c r="AE480" s="0" t="n">
        <v>1.19</v>
      </c>
      <c r="AF480" s="0" t="n">
        <v>3.95</v>
      </c>
      <c r="AG480" s="22" t="b">
        <f aca="false">TRUE()</f>
        <v>1</v>
      </c>
      <c r="AH480" s="0" t="n">
        <v>0</v>
      </c>
    </row>
    <row r="481" customFormat="false" ht="15" hidden="false" customHeight="false" outlineLevel="0" collapsed="false">
      <c r="A481" s="0" t="s">
        <v>895</v>
      </c>
      <c r="B481" s="0" t="s">
        <v>134</v>
      </c>
      <c r="C481" s="0" t="s">
        <v>3447</v>
      </c>
      <c r="D481" s="0" t="s">
        <v>3448</v>
      </c>
      <c r="E481" s="18" t="s">
        <v>24</v>
      </c>
      <c r="F481" s="23" t="s">
        <v>30</v>
      </c>
      <c r="G481" s="21" t="s">
        <v>30</v>
      </c>
      <c r="H481" s="21" t="s">
        <v>24</v>
      </c>
      <c r="I481" s="21" t="s">
        <v>24</v>
      </c>
      <c r="J481" s="21" t="s">
        <v>24</v>
      </c>
      <c r="K481" s="21" t="s">
        <v>24</v>
      </c>
      <c r="L481" s="21" t="s">
        <v>24</v>
      </c>
      <c r="M481" s="0" t="n">
        <v>184</v>
      </c>
      <c r="N481" s="0" t="n">
        <v>2</v>
      </c>
      <c r="O481" s="21" t="s">
        <v>3532</v>
      </c>
      <c r="P481" s="21" t="s">
        <v>4373</v>
      </c>
      <c r="Q481" s="0" t="n">
        <v>0</v>
      </c>
      <c r="S481" s="0" t="n">
        <v>2</v>
      </c>
      <c r="T481" s="21" t="s">
        <v>3532</v>
      </c>
      <c r="U481" s="22" t="b">
        <f aca="false">TRUE()</f>
        <v>1</v>
      </c>
      <c r="V481" s="0" t="n">
        <v>0.73</v>
      </c>
      <c r="W481" s="0" t="n">
        <v>0.32</v>
      </c>
      <c r="X481" s="0" t="n">
        <v>10.95</v>
      </c>
      <c r="Y481" s="0" t="n">
        <v>377.93</v>
      </c>
      <c r="Z481" s="0" t="n">
        <v>9.42</v>
      </c>
      <c r="AA481" s="0" t="n">
        <v>12.19</v>
      </c>
      <c r="AB481" s="0" t="n">
        <v>3.19</v>
      </c>
      <c r="AC481" s="22" t="b">
        <f aca="false">FALSE()</f>
        <v>0</v>
      </c>
      <c r="AD481" s="0" t="n">
        <v>11.87</v>
      </c>
      <c r="AE481" s="0" t="n">
        <v>0.69</v>
      </c>
      <c r="AF481" s="0" t="n">
        <v>9.24</v>
      </c>
      <c r="AG481" s="22" t="b">
        <f aca="false">TRUE()</f>
        <v>1</v>
      </c>
      <c r="AH481" s="0" t="n">
        <v>1</v>
      </c>
    </row>
    <row r="482" customFormat="false" ht="15" hidden="false" customHeight="false" outlineLevel="0" collapsed="false">
      <c r="A482" s="0" t="s">
        <v>904</v>
      </c>
      <c r="B482" s="0" t="s">
        <v>134</v>
      </c>
      <c r="C482" s="0" t="s">
        <v>3450</v>
      </c>
      <c r="D482" s="0" t="s">
        <v>3457</v>
      </c>
      <c r="E482" s="19" t="s">
        <v>26</v>
      </c>
      <c r="F482" s="19" t="s">
        <v>32</v>
      </c>
      <c r="G482" s="21" t="s">
        <v>3882</v>
      </c>
      <c r="H482" s="21" t="s">
        <v>24</v>
      </c>
      <c r="I482" s="21" t="s">
        <v>26</v>
      </c>
      <c r="J482" s="21" t="s">
        <v>24</v>
      </c>
      <c r="K482" s="21" t="s">
        <v>25</v>
      </c>
      <c r="L482" s="21" t="s">
        <v>24</v>
      </c>
      <c r="M482" s="0" t="n">
        <v>184</v>
      </c>
      <c r="N482" s="0" t="n">
        <v>3</v>
      </c>
      <c r="O482" s="21" t="s">
        <v>3881</v>
      </c>
      <c r="P482" s="21" t="s">
        <v>4455</v>
      </c>
      <c r="Q482" s="0" t="n">
        <v>2</v>
      </c>
      <c r="R482" s="21" t="s">
        <v>3871</v>
      </c>
      <c r="S482" s="0" t="n">
        <v>3</v>
      </c>
      <c r="T482" s="21" t="s">
        <v>3881</v>
      </c>
      <c r="U482" s="22" t="b">
        <f aca="false">FALSE()</f>
        <v>0</v>
      </c>
      <c r="V482" s="0" t="n">
        <v>0.7</v>
      </c>
      <c r="W482" s="0" t="n">
        <v>0.96</v>
      </c>
      <c r="X482" s="0" t="n">
        <v>11.16</v>
      </c>
      <c r="Y482" s="0" t="n">
        <v>315.9</v>
      </c>
      <c r="Z482" s="0" t="n">
        <v>8.25</v>
      </c>
      <c r="AA482" s="0" t="n">
        <v>2.51</v>
      </c>
      <c r="AB482" s="0" t="n">
        <v>9.7</v>
      </c>
      <c r="AC482" s="22" t="b">
        <f aca="false">FALSE()</f>
        <v>0</v>
      </c>
      <c r="AD482" s="0" t="n">
        <v>0.39</v>
      </c>
      <c r="AE482" s="0" t="n">
        <v>0.34</v>
      </c>
      <c r="AF482" s="0" t="n">
        <v>1.48</v>
      </c>
      <c r="AG482" s="22" t="b">
        <f aca="false">FALSE()</f>
        <v>0</v>
      </c>
      <c r="AH482" s="0" t="n">
        <v>1</v>
      </c>
    </row>
    <row r="483" customFormat="false" ht="15" hidden="false" customHeight="false" outlineLevel="0" collapsed="false">
      <c r="A483" s="0" t="s">
        <v>904</v>
      </c>
      <c r="B483" s="0" t="s">
        <v>134</v>
      </c>
      <c r="C483" s="0" t="s">
        <v>3450</v>
      </c>
      <c r="D483" s="0" t="s">
        <v>3448</v>
      </c>
      <c r="E483" s="18" t="s">
        <v>24</v>
      </c>
      <c r="F483" s="18" t="s">
        <v>28</v>
      </c>
      <c r="H483" s="21" t="s">
        <v>24</v>
      </c>
      <c r="I483" s="21" t="s">
        <v>24</v>
      </c>
      <c r="J483" s="21" t="s">
        <v>24</v>
      </c>
      <c r="K483" s="21" t="s">
        <v>24</v>
      </c>
      <c r="L483" s="21" t="s">
        <v>24</v>
      </c>
      <c r="M483" s="0" t="n">
        <v>184</v>
      </c>
      <c r="N483" s="0" t="n">
        <v>0</v>
      </c>
      <c r="Q483" s="0" t="n">
        <v>0</v>
      </c>
      <c r="S483" s="0" t="n">
        <v>0</v>
      </c>
      <c r="U483" s="22" t="b">
        <f aca="false">FALSE()</f>
        <v>0</v>
      </c>
      <c r="V483" s="0" t="n">
        <v>0.74</v>
      </c>
      <c r="W483" s="0" t="n">
        <v>0</v>
      </c>
      <c r="X483" s="0" t="n">
        <v>10.85</v>
      </c>
      <c r="Y483" s="0" t="n">
        <v>1.39</v>
      </c>
      <c r="Z483" s="0" t="n">
        <v>8.92</v>
      </c>
      <c r="AA483" s="0" t="n">
        <v>5.89</v>
      </c>
      <c r="AB483" s="0" t="n">
        <v>1.89</v>
      </c>
      <c r="AC483" s="22" t="b">
        <f aca="false">FALSE()</f>
        <v>0</v>
      </c>
      <c r="AD483" s="0" t="n">
        <v>5.23</v>
      </c>
      <c r="AE483" s="0" t="n">
        <v>0.17</v>
      </c>
      <c r="AF483" s="0" t="n">
        <v>5.98</v>
      </c>
      <c r="AG483" s="22" t="b">
        <f aca="false">FALSE()</f>
        <v>0</v>
      </c>
      <c r="AH483" s="0" t="n">
        <v>0</v>
      </c>
    </row>
    <row r="484" customFormat="false" ht="15" hidden="false" customHeight="false" outlineLevel="0" collapsed="false">
      <c r="A484" s="0" t="s">
        <v>904</v>
      </c>
      <c r="B484" s="0" t="s">
        <v>134</v>
      </c>
      <c r="C484" s="0" t="s">
        <v>3447</v>
      </c>
      <c r="D484" s="0" t="s">
        <v>3457</v>
      </c>
      <c r="E484" s="19" t="s">
        <v>26</v>
      </c>
      <c r="F484" s="19" t="s">
        <v>32</v>
      </c>
      <c r="G484" s="21" t="s">
        <v>65</v>
      </c>
      <c r="H484" s="21" t="s">
        <v>24</v>
      </c>
      <c r="I484" s="21" t="s">
        <v>26</v>
      </c>
      <c r="J484" s="21" t="s">
        <v>24</v>
      </c>
      <c r="K484" s="21" t="s">
        <v>24</v>
      </c>
      <c r="L484" s="21" t="s">
        <v>24</v>
      </c>
      <c r="M484" s="0" t="n">
        <v>189</v>
      </c>
      <c r="N484" s="0" t="n">
        <v>2</v>
      </c>
      <c r="O484" s="21" t="s">
        <v>3871</v>
      </c>
      <c r="P484" s="21" t="s">
        <v>4245</v>
      </c>
      <c r="Q484" s="0" t="n">
        <v>2</v>
      </c>
      <c r="R484" s="21" t="s">
        <v>3871</v>
      </c>
      <c r="S484" s="0" t="n">
        <v>2</v>
      </c>
      <c r="T484" s="21" t="s">
        <v>3871</v>
      </c>
      <c r="U484" s="22" t="b">
        <f aca="false">FALSE()</f>
        <v>0</v>
      </c>
      <c r="V484" s="0" t="n">
        <v>0.75</v>
      </c>
      <c r="W484" s="0" t="n">
        <v>0.12</v>
      </c>
      <c r="X484" s="0" t="n">
        <v>9.01</v>
      </c>
      <c r="Y484" s="0" t="n">
        <v>640.24</v>
      </c>
      <c r="Z484" s="0" t="n">
        <v>8.92</v>
      </c>
      <c r="AA484" s="0" t="n">
        <v>5.07</v>
      </c>
      <c r="AB484" s="0" t="n">
        <v>9.7</v>
      </c>
      <c r="AC484" s="22" t="b">
        <f aca="false">FALSE()</f>
        <v>0</v>
      </c>
      <c r="AD484" s="0" t="n">
        <v>1.71</v>
      </c>
      <c r="AE484" s="0" t="n">
        <v>0.16</v>
      </c>
      <c r="AF484" s="0" t="n">
        <v>3.2</v>
      </c>
      <c r="AG484" s="22" t="b">
        <f aca="false">FALSE()</f>
        <v>0</v>
      </c>
      <c r="AH484" s="0" t="n">
        <v>1</v>
      </c>
    </row>
    <row r="485" customFormat="false" ht="15" hidden="false" customHeight="false" outlineLevel="0" collapsed="false">
      <c r="A485" s="0" t="s">
        <v>904</v>
      </c>
      <c r="B485" s="0" t="s">
        <v>134</v>
      </c>
      <c r="C485" s="0" t="s">
        <v>3447</v>
      </c>
      <c r="D485" s="0" t="s">
        <v>3448</v>
      </c>
      <c r="E485" s="18" t="s">
        <v>24</v>
      </c>
      <c r="F485" s="23" t="s">
        <v>30</v>
      </c>
      <c r="G485" s="21" t="s">
        <v>30</v>
      </c>
      <c r="H485" s="21" t="s">
        <v>24</v>
      </c>
      <c r="I485" s="21" t="s">
        <v>24</v>
      </c>
      <c r="J485" s="21" t="s">
        <v>24</v>
      </c>
      <c r="K485" s="21" t="s">
        <v>24</v>
      </c>
      <c r="L485" s="21" t="s">
        <v>24</v>
      </c>
      <c r="M485" s="0" t="n">
        <v>187</v>
      </c>
      <c r="N485" s="0" t="n">
        <v>4</v>
      </c>
      <c r="O485" s="21" t="s">
        <v>3645</v>
      </c>
      <c r="P485" s="21" t="s">
        <v>4456</v>
      </c>
      <c r="Q485" s="0" t="n">
        <v>0</v>
      </c>
      <c r="S485" s="0" t="n">
        <v>4</v>
      </c>
      <c r="T485" s="21" t="s">
        <v>3645</v>
      </c>
      <c r="U485" s="22" t="b">
        <f aca="false">TRUE()</f>
        <v>1</v>
      </c>
      <c r="V485" s="0" t="n">
        <v>0.73</v>
      </c>
      <c r="W485" s="0" t="n">
        <v>0.28</v>
      </c>
      <c r="X485" s="0" t="n">
        <v>11.07</v>
      </c>
      <c r="Y485" s="0" t="n">
        <v>385.02</v>
      </c>
      <c r="Z485" s="0" t="n">
        <v>9</v>
      </c>
      <c r="AA485" s="0" t="n">
        <v>6.31</v>
      </c>
      <c r="AB485" s="0" t="n">
        <v>1.89</v>
      </c>
      <c r="AC485" s="22" t="b">
        <f aca="false">FALSE()</f>
        <v>0</v>
      </c>
      <c r="AD485" s="0" t="n">
        <v>2.86</v>
      </c>
      <c r="AE485" s="0" t="n">
        <v>1.18</v>
      </c>
      <c r="AF485" s="0" t="n">
        <v>1.69</v>
      </c>
      <c r="AG485" s="22" t="b">
        <f aca="false">FALSE()</f>
        <v>0</v>
      </c>
      <c r="AH485" s="0" t="n">
        <v>1</v>
      </c>
    </row>
    <row r="486" customFormat="false" ht="15" hidden="false" customHeight="false" outlineLevel="0" collapsed="false">
      <c r="A486" s="0" t="s">
        <v>911</v>
      </c>
      <c r="B486" s="0" t="s">
        <v>134</v>
      </c>
      <c r="C486" s="0" t="s">
        <v>3450</v>
      </c>
      <c r="D486" s="0" t="s">
        <v>3457</v>
      </c>
      <c r="E486" s="20" t="s">
        <v>25</v>
      </c>
      <c r="F486" s="23" t="s">
        <v>30</v>
      </c>
      <c r="G486" s="21" t="s">
        <v>183</v>
      </c>
      <c r="H486" s="21" t="s">
        <v>24</v>
      </c>
      <c r="I486" s="21" t="s">
        <v>25</v>
      </c>
      <c r="J486" s="21" t="s">
        <v>24</v>
      </c>
      <c r="K486" s="21" t="s">
        <v>25</v>
      </c>
      <c r="L486" s="21" t="s">
        <v>24</v>
      </c>
      <c r="M486" s="0" t="n">
        <v>183</v>
      </c>
      <c r="N486" s="0" t="n">
        <v>3</v>
      </c>
      <c r="O486" s="21" t="s">
        <v>3649</v>
      </c>
      <c r="P486" s="21" t="s">
        <v>4242</v>
      </c>
      <c r="Q486" s="0" t="n">
        <v>1</v>
      </c>
      <c r="R486" s="21" t="s">
        <v>69</v>
      </c>
      <c r="S486" s="0" t="n">
        <v>3</v>
      </c>
      <c r="T486" s="21" t="s">
        <v>3649</v>
      </c>
      <c r="U486" s="22" t="b">
        <f aca="false">TRUE()</f>
        <v>1</v>
      </c>
      <c r="V486" s="0" t="n">
        <v>0.72</v>
      </c>
      <c r="W486" s="0" t="n">
        <v>0.4</v>
      </c>
      <c r="X486" s="0" t="n">
        <v>9.23</v>
      </c>
      <c r="Y486" s="0" t="n">
        <v>346.85</v>
      </c>
      <c r="Z486" s="0" t="n">
        <v>9.5</v>
      </c>
      <c r="AA486" s="0" t="n">
        <v>10.75</v>
      </c>
      <c r="AB486" s="0" t="n">
        <v>2.58</v>
      </c>
      <c r="AC486" s="22" t="b">
        <f aca="false">FALSE()</f>
        <v>0</v>
      </c>
      <c r="AD486" s="0" t="n">
        <v>23.4</v>
      </c>
      <c r="AE486" s="0" t="n">
        <v>13.17</v>
      </c>
      <c r="AF486" s="0" t="n">
        <v>19.54</v>
      </c>
      <c r="AG486" s="22" t="b">
        <f aca="false">TRUE()</f>
        <v>1</v>
      </c>
      <c r="AH486" s="0" t="n">
        <v>1</v>
      </c>
    </row>
    <row r="487" customFormat="false" ht="15" hidden="false" customHeight="false" outlineLevel="0" collapsed="false">
      <c r="A487" s="0" t="s">
        <v>911</v>
      </c>
      <c r="B487" s="0" t="s">
        <v>134</v>
      </c>
      <c r="C487" s="0" t="s">
        <v>3450</v>
      </c>
      <c r="D487" s="0" t="s">
        <v>3448</v>
      </c>
      <c r="E487" s="20" t="s">
        <v>25</v>
      </c>
      <c r="F487" s="23" t="s">
        <v>30</v>
      </c>
      <c r="G487" s="21" t="s">
        <v>183</v>
      </c>
      <c r="H487" s="21" t="s">
        <v>24</v>
      </c>
      <c r="I487" s="21" t="s">
        <v>25</v>
      </c>
      <c r="J487" s="21" t="s">
        <v>24</v>
      </c>
      <c r="K487" s="21" t="s">
        <v>25</v>
      </c>
      <c r="L487" s="21" t="s">
        <v>24</v>
      </c>
      <c r="M487" s="0" t="n">
        <v>190</v>
      </c>
      <c r="N487" s="0" t="n">
        <v>2</v>
      </c>
      <c r="O487" s="21" t="s">
        <v>3575</v>
      </c>
      <c r="P487" s="21" t="s">
        <v>4265</v>
      </c>
      <c r="Q487" s="0" t="n">
        <v>1</v>
      </c>
      <c r="R487" s="21" t="s">
        <v>69</v>
      </c>
      <c r="S487" s="0" t="n">
        <v>2</v>
      </c>
      <c r="T487" s="21" t="s">
        <v>3575</v>
      </c>
      <c r="U487" s="22" t="b">
        <f aca="false">TRUE()</f>
        <v>1</v>
      </c>
      <c r="V487" s="0" t="n">
        <v>0.71</v>
      </c>
      <c r="W487" s="0" t="n">
        <v>0.12</v>
      </c>
      <c r="X487" s="0" t="n">
        <v>10.3</v>
      </c>
      <c r="Y487" s="0" t="n">
        <v>651.1</v>
      </c>
      <c r="Z487" s="0" t="n">
        <v>9.5</v>
      </c>
      <c r="AA487" s="0" t="n">
        <v>9.61</v>
      </c>
      <c r="AB487" s="0" t="n">
        <v>2.94</v>
      </c>
      <c r="AC487" s="22" t="b">
        <f aca="false">FALSE()</f>
        <v>0</v>
      </c>
      <c r="AD487" s="0" t="n">
        <v>22.65</v>
      </c>
      <c r="AE487" s="0" t="n">
        <v>10.61</v>
      </c>
      <c r="AF487" s="0" t="n">
        <v>17.54</v>
      </c>
      <c r="AG487" s="22" t="b">
        <f aca="false">TRUE()</f>
        <v>1</v>
      </c>
      <c r="AH487" s="0" t="n">
        <v>1</v>
      </c>
    </row>
    <row r="488" customFormat="false" ht="15" hidden="false" customHeight="false" outlineLevel="0" collapsed="false">
      <c r="A488" s="0" t="s">
        <v>911</v>
      </c>
      <c r="B488" s="0" t="s">
        <v>134</v>
      </c>
      <c r="C488" s="0" t="s">
        <v>3447</v>
      </c>
      <c r="D488" s="0" t="s">
        <v>3457</v>
      </c>
      <c r="E488" s="18" t="s">
        <v>24</v>
      </c>
      <c r="F488" s="23" t="s">
        <v>30</v>
      </c>
      <c r="G488" s="21" t="s">
        <v>30</v>
      </c>
      <c r="H488" s="21" t="s">
        <v>24</v>
      </c>
      <c r="I488" s="21" t="s">
        <v>24</v>
      </c>
      <c r="J488" s="21" t="s">
        <v>24</v>
      </c>
      <c r="K488" s="21" t="s">
        <v>24</v>
      </c>
      <c r="L488" s="21" t="s">
        <v>24</v>
      </c>
      <c r="M488" s="0" t="n">
        <v>184</v>
      </c>
      <c r="N488" s="0" t="n">
        <v>1</v>
      </c>
      <c r="O488" s="21" t="s">
        <v>3485</v>
      </c>
      <c r="P488" s="21" t="s">
        <v>4457</v>
      </c>
      <c r="Q488" s="0" t="n">
        <v>0</v>
      </c>
      <c r="S488" s="0" t="n">
        <v>1</v>
      </c>
      <c r="T488" s="21" t="s">
        <v>3485</v>
      </c>
      <c r="U488" s="22" t="b">
        <f aca="false">TRUE()</f>
        <v>1</v>
      </c>
      <c r="V488" s="0" t="n">
        <v>0.74</v>
      </c>
      <c r="W488" s="0" t="n">
        <v>0.44</v>
      </c>
      <c r="X488" s="0" t="n">
        <v>8.35</v>
      </c>
      <c r="Y488" s="0" t="n">
        <v>340.87</v>
      </c>
      <c r="Z488" s="0" t="n">
        <v>9.5</v>
      </c>
      <c r="AA488" s="0" t="n">
        <v>3.55</v>
      </c>
      <c r="AB488" s="0" t="n">
        <v>2.58</v>
      </c>
      <c r="AC488" s="22" t="b">
        <f aca="false">FALSE()</f>
        <v>0</v>
      </c>
      <c r="AD488" s="0" t="n">
        <v>18.37</v>
      </c>
      <c r="AE488" s="0" t="n">
        <v>10.78</v>
      </c>
      <c r="AF488" s="0" t="n">
        <v>16.99</v>
      </c>
      <c r="AG488" s="22" t="b">
        <f aca="false">TRUE()</f>
        <v>1</v>
      </c>
      <c r="AH488" s="0" t="n">
        <v>1</v>
      </c>
    </row>
    <row r="489" customFormat="false" ht="15" hidden="false" customHeight="false" outlineLevel="0" collapsed="false">
      <c r="A489" s="0" t="s">
        <v>911</v>
      </c>
      <c r="B489" s="0" t="s">
        <v>134</v>
      </c>
      <c r="C489" s="0" t="s">
        <v>3447</v>
      </c>
      <c r="D489" s="0" t="s">
        <v>3448</v>
      </c>
      <c r="E489" s="20" t="s">
        <v>25</v>
      </c>
      <c r="F489" s="23" t="s">
        <v>30</v>
      </c>
      <c r="G489" s="21" t="s">
        <v>283</v>
      </c>
      <c r="H489" s="21" t="s">
        <v>24</v>
      </c>
      <c r="I489" s="21" t="s">
        <v>25</v>
      </c>
      <c r="J489" s="21" t="s">
        <v>24</v>
      </c>
      <c r="K489" s="21" t="s">
        <v>24</v>
      </c>
      <c r="L489" s="21" t="s">
        <v>24</v>
      </c>
      <c r="M489" s="0" t="n">
        <v>185</v>
      </c>
      <c r="N489" s="0" t="n">
        <v>3</v>
      </c>
      <c r="O489" s="21" t="s">
        <v>3649</v>
      </c>
      <c r="P489" s="21" t="s">
        <v>4242</v>
      </c>
      <c r="Q489" s="0" t="n">
        <v>1</v>
      </c>
      <c r="R489" s="21" t="s">
        <v>69</v>
      </c>
      <c r="S489" s="0" t="n">
        <v>3</v>
      </c>
      <c r="T489" s="21" t="s">
        <v>3649</v>
      </c>
      <c r="U489" s="22" t="b">
        <f aca="false">TRUE()</f>
        <v>1</v>
      </c>
      <c r="V489" s="0" t="n">
        <v>0.65</v>
      </c>
      <c r="W489" s="0" t="n">
        <v>0.88</v>
      </c>
      <c r="X489" s="0" t="n">
        <v>10.15</v>
      </c>
      <c r="Y489" s="0" t="n">
        <v>321.44</v>
      </c>
      <c r="Z489" s="0" t="n">
        <v>9.33</v>
      </c>
      <c r="AA489" s="0" t="n">
        <v>4.59</v>
      </c>
      <c r="AB489" s="0" t="n">
        <v>2.94</v>
      </c>
      <c r="AC489" s="22" t="b">
        <f aca="false">FALSE()</f>
        <v>0</v>
      </c>
      <c r="AD489" s="0" t="n">
        <v>12.05</v>
      </c>
      <c r="AE489" s="0" t="n">
        <v>3.09</v>
      </c>
      <c r="AF489" s="0" t="n">
        <v>6.63</v>
      </c>
      <c r="AG489" s="22" t="b">
        <f aca="false">TRUE()</f>
        <v>1</v>
      </c>
      <c r="AH489" s="0" t="n">
        <v>1</v>
      </c>
    </row>
    <row r="490" customFormat="false" ht="15" hidden="false" customHeight="false" outlineLevel="0" collapsed="false">
      <c r="A490" s="0" t="s">
        <v>911</v>
      </c>
      <c r="B490" s="0" t="s">
        <v>3459</v>
      </c>
      <c r="C490" s="0" t="s">
        <v>3450</v>
      </c>
      <c r="D490" s="0" t="s">
        <v>3457</v>
      </c>
      <c r="E490" s="19" t="s">
        <v>26</v>
      </c>
      <c r="F490" s="19" t="s">
        <v>32</v>
      </c>
      <c r="G490" s="21" t="s">
        <v>1926</v>
      </c>
      <c r="H490" s="21" t="s">
        <v>24</v>
      </c>
      <c r="I490" s="21" t="s">
        <v>26</v>
      </c>
      <c r="J490" s="21" t="s">
        <v>24</v>
      </c>
      <c r="K490" s="21" t="s">
        <v>25</v>
      </c>
      <c r="L490" s="21" t="s">
        <v>24</v>
      </c>
      <c r="M490" s="0" t="n">
        <v>183</v>
      </c>
      <c r="N490" s="0" t="n">
        <v>12</v>
      </c>
      <c r="O490" s="21" t="s">
        <v>4044</v>
      </c>
      <c r="P490" s="21" t="s">
        <v>4278</v>
      </c>
      <c r="Q490" s="0" t="n">
        <v>1</v>
      </c>
      <c r="R490" s="21" t="s">
        <v>69</v>
      </c>
      <c r="S490" s="0" t="n">
        <v>12</v>
      </c>
      <c r="T490" s="21" t="s">
        <v>4044</v>
      </c>
      <c r="U490" s="22" t="b">
        <f aca="false">FALSE()</f>
        <v>0</v>
      </c>
      <c r="V490" s="0" t="n">
        <v>0.75</v>
      </c>
      <c r="W490" s="0" t="n">
        <v>0.16</v>
      </c>
      <c r="X490" s="0" t="n">
        <v>9.21</v>
      </c>
      <c r="Y490" s="0" t="n">
        <v>518.98</v>
      </c>
      <c r="Z490" s="0" t="n">
        <v>9.5</v>
      </c>
      <c r="AA490" s="0" t="n">
        <v>11.86</v>
      </c>
      <c r="AB490" s="0" t="n">
        <v>3.88</v>
      </c>
      <c r="AC490" s="22" t="b">
        <f aca="false">FALSE()</f>
        <v>0</v>
      </c>
      <c r="AD490" s="0" t="n">
        <v>25.49</v>
      </c>
      <c r="AE490" s="0" t="n">
        <v>12.73</v>
      </c>
      <c r="AF490" s="0" t="n">
        <v>20.73</v>
      </c>
      <c r="AG490" s="22" t="b">
        <f aca="false">TRUE()</f>
        <v>1</v>
      </c>
      <c r="AH490" s="0" t="n">
        <v>1</v>
      </c>
    </row>
    <row r="491" customFormat="false" ht="15" hidden="false" customHeight="false" outlineLevel="0" collapsed="false">
      <c r="A491" s="0" t="s">
        <v>911</v>
      </c>
      <c r="B491" s="0" t="s">
        <v>3459</v>
      </c>
      <c r="C491" s="0" t="s">
        <v>3450</v>
      </c>
      <c r="D491" s="0" t="s">
        <v>3448</v>
      </c>
      <c r="E491" s="20" t="s">
        <v>25</v>
      </c>
      <c r="F491" s="23" t="s">
        <v>30</v>
      </c>
      <c r="G491" s="21" t="s">
        <v>1152</v>
      </c>
      <c r="H491" s="21" t="s">
        <v>24</v>
      </c>
      <c r="I491" s="21" t="s">
        <v>25</v>
      </c>
      <c r="J491" s="21" t="s">
        <v>24</v>
      </c>
      <c r="K491" s="21" t="s">
        <v>25</v>
      </c>
      <c r="L491" s="21" t="s">
        <v>24</v>
      </c>
      <c r="M491" s="0" t="n">
        <v>184</v>
      </c>
      <c r="N491" s="0" t="n">
        <v>2</v>
      </c>
      <c r="O491" s="21" t="s">
        <v>3575</v>
      </c>
      <c r="P491" s="21" t="s">
        <v>4265</v>
      </c>
      <c r="Q491" s="0" t="n">
        <v>1</v>
      </c>
      <c r="R491" s="21" t="s">
        <v>69</v>
      </c>
      <c r="S491" s="0" t="n">
        <v>2</v>
      </c>
      <c r="T491" s="21" t="s">
        <v>3575</v>
      </c>
      <c r="U491" s="22" t="b">
        <f aca="false">TRUE()</f>
        <v>1</v>
      </c>
      <c r="V491" s="0" t="n">
        <v>0.72</v>
      </c>
      <c r="W491" s="0" t="n">
        <v>0.56</v>
      </c>
      <c r="X491" s="0" t="n">
        <v>9.69</v>
      </c>
      <c r="Y491" s="0" t="n">
        <v>324.8</v>
      </c>
      <c r="Z491" s="0" t="n">
        <v>9.25</v>
      </c>
      <c r="AA491" s="0" t="n">
        <v>3.21</v>
      </c>
      <c r="AB491" s="0" t="n">
        <v>0.41</v>
      </c>
      <c r="AC491" s="22" t="b">
        <f aca="false">FALSE()</f>
        <v>0</v>
      </c>
      <c r="AD491" s="0" t="n">
        <v>19.67</v>
      </c>
      <c r="AE491" s="0" t="n">
        <v>8.99</v>
      </c>
      <c r="AF491" s="0" t="n">
        <v>19.17</v>
      </c>
      <c r="AG491" s="22" t="b">
        <f aca="false">TRUE()</f>
        <v>1</v>
      </c>
      <c r="AH491" s="0" t="n">
        <v>1</v>
      </c>
    </row>
    <row r="492" customFormat="false" ht="15" hidden="false" customHeight="false" outlineLevel="0" collapsed="false">
      <c r="A492" s="0" t="s">
        <v>911</v>
      </c>
      <c r="B492" s="0" t="s">
        <v>3459</v>
      </c>
      <c r="C492" s="0" t="s">
        <v>3447</v>
      </c>
      <c r="D492" s="0" t="s">
        <v>3457</v>
      </c>
      <c r="E492" s="20" t="s">
        <v>25</v>
      </c>
      <c r="F492" s="23" t="s">
        <v>30</v>
      </c>
      <c r="G492" s="21" t="s">
        <v>183</v>
      </c>
      <c r="H492" s="21" t="s">
        <v>24</v>
      </c>
      <c r="I492" s="21" t="s">
        <v>25</v>
      </c>
      <c r="J492" s="21" t="s">
        <v>24</v>
      </c>
      <c r="K492" s="21" t="s">
        <v>25</v>
      </c>
      <c r="L492" s="21" t="s">
        <v>24</v>
      </c>
      <c r="M492" s="0" t="n">
        <v>185</v>
      </c>
      <c r="N492" s="0" t="n">
        <v>1</v>
      </c>
      <c r="O492" s="21" t="s">
        <v>69</v>
      </c>
      <c r="P492" s="21" t="s">
        <v>4275</v>
      </c>
      <c r="Q492" s="0" t="n">
        <v>1</v>
      </c>
      <c r="R492" s="21" t="s">
        <v>69</v>
      </c>
      <c r="S492" s="0" t="n">
        <v>1</v>
      </c>
      <c r="T492" s="21" t="s">
        <v>69</v>
      </c>
      <c r="U492" s="22" t="b">
        <f aca="false">TRUE()</f>
        <v>1</v>
      </c>
      <c r="V492" s="0" t="n">
        <v>0.73</v>
      </c>
      <c r="W492" s="0" t="n">
        <v>0.44</v>
      </c>
      <c r="X492" s="0" t="n">
        <v>7.44</v>
      </c>
      <c r="Y492" s="0" t="n">
        <v>346.23</v>
      </c>
      <c r="Z492" s="0" t="n">
        <v>9.75</v>
      </c>
      <c r="AA492" s="0" t="n">
        <v>4.62</v>
      </c>
      <c r="AB492" s="0" t="n">
        <v>3.88</v>
      </c>
      <c r="AC492" s="22" t="b">
        <f aca="false">FALSE()</f>
        <v>0</v>
      </c>
      <c r="AD492" s="0" t="n">
        <v>24.17</v>
      </c>
      <c r="AE492" s="0" t="n">
        <v>12.27</v>
      </c>
      <c r="AF492" s="0" t="n">
        <v>19.95</v>
      </c>
      <c r="AG492" s="22" t="b">
        <f aca="false">TRUE()</f>
        <v>1</v>
      </c>
      <c r="AH492" s="0" t="n">
        <v>1</v>
      </c>
    </row>
    <row r="493" customFormat="false" ht="15" hidden="false" customHeight="false" outlineLevel="0" collapsed="false">
      <c r="A493" s="0" t="s">
        <v>911</v>
      </c>
      <c r="B493" s="0" t="s">
        <v>3459</v>
      </c>
      <c r="C493" s="0" t="s">
        <v>3447</v>
      </c>
      <c r="D493" s="0" t="s">
        <v>3448</v>
      </c>
      <c r="E493" s="19" t="s">
        <v>26</v>
      </c>
      <c r="F493" s="19" t="s">
        <v>32</v>
      </c>
      <c r="G493" s="21" t="s">
        <v>1311</v>
      </c>
      <c r="H493" s="21" t="s">
        <v>24</v>
      </c>
      <c r="I493" s="21" t="s">
        <v>26</v>
      </c>
      <c r="J493" s="21" t="s">
        <v>24</v>
      </c>
      <c r="K493" s="21" t="s">
        <v>25</v>
      </c>
      <c r="L493" s="21" t="s">
        <v>24</v>
      </c>
      <c r="M493" s="0" t="n">
        <v>202</v>
      </c>
      <c r="N493" s="0" t="n">
        <v>7</v>
      </c>
      <c r="O493" s="21" t="s">
        <v>4025</v>
      </c>
      <c r="P493" s="21" t="s">
        <v>4458</v>
      </c>
      <c r="Q493" s="0" t="n">
        <v>1</v>
      </c>
      <c r="R493" s="21" t="s">
        <v>69</v>
      </c>
      <c r="S493" s="0" t="n">
        <v>7</v>
      </c>
      <c r="T493" s="21" t="s">
        <v>4025</v>
      </c>
      <c r="U493" s="22" t="b">
        <f aca="false">FALSE()</f>
        <v>0</v>
      </c>
      <c r="V493" s="0" t="n">
        <v>0.72</v>
      </c>
      <c r="W493" s="0" t="n">
        <v>0.92</v>
      </c>
      <c r="X493" s="0" t="n">
        <v>9.25</v>
      </c>
      <c r="Y493" s="0" t="n">
        <v>349.36</v>
      </c>
      <c r="Z493" s="0" t="n">
        <v>8.25</v>
      </c>
      <c r="AA493" s="0" t="n">
        <v>-0.83</v>
      </c>
      <c r="AB493" s="0" t="n">
        <v>0.41</v>
      </c>
      <c r="AC493" s="22" t="b">
        <f aca="false">FALSE()</f>
        <v>0</v>
      </c>
      <c r="AD493" s="0" t="n">
        <v>12.38</v>
      </c>
      <c r="AE493" s="0" t="n">
        <v>4.55</v>
      </c>
      <c r="AF493" s="0" t="n">
        <v>12</v>
      </c>
      <c r="AG493" s="22" t="b">
        <f aca="false">TRUE()</f>
        <v>1</v>
      </c>
      <c r="AH493" s="0" t="n">
        <v>1</v>
      </c>
    </row>
    <row r="494" customFormat="false" ht="15" hidden="false" customHeight="false" outlineLevel="0" collapsed="false">
      <c r="A494" s="0" t="s">
        <v>917</v>
      </c>
      <c r="B494" s="0" t="s">
        <v>134</v>
      </c>
      <c r="C494" s="0" t="s">
        <v>3450</v>
      </c>
      <c r="D494" s="0" t="s">
        <v>3457</v>
      </c>
      <c r="E494" s="20" t="s">
        <v>25</v>
      </c>
      <c r="F494" s="23" t="s">
        <v>30</v>
      </c>
      <c r="G494" s="21" t="s">
        <v>283</v>
      </c>
      <c r="H494" s="21" t="s">
        <v>24</v>
      </c>
      <c r="I494" s="21" t="s">
        <v>25</v>
      </c>
      <c r="J494" s="21" t="s">
        <v>24</v>
      </c>
      <c r="K494" s="21" t="s">
        <v>24</v>
      </c>
      <c r="L494" s="21" t="s">
        <v>24</v>
      </c>
      <c r="M494" s="0" t="n">
        <v>182</v>
      </c>
      <c r="N494" s="0" t="n">
        <v>1</v>
      </c>
      <c r="O494" s="21" t="s">
        <v>69</v>
      </c>
      <c r="P494" s="21" t="s">
        <v>4275</v>
      </c>
      <c r="Q494" s="0" t="n">
        <v>1</v>
      </c>
      <c r="R494" s="21" t="s">
        <v>69</v>
      </c>
      <c r="S494" s="0" t="n">
        <v>1</v>
      </c>
      <c r="T494" s="21" t="s">
        <v>69</v>
      </c>
      <c r="U494" s="22" t="b">
        <f aca="false">TRUE()</f>
        <v>1</v>
      </c>
      <c r="V494" s="0" t="n">
        <v>0.7</v>
      </c>
      <c r="W494" s="0" t="n">
        <v>0.2</v>
      </c>
      <c r="X494" s="0" t="n">
        <v>11.75</v>
      </c>
      <c r="Y494" s="0" t="n">
        <v>279.37</v>
      </c>
      <c r="Z494" s="0" t="n">
        <v>10</v>
      </c>
      <c r="AA494" s="0" t="n">
        <v>18.27</v>
      </c>
      <c r="AB494" s="0" t="n">
        <v>12.11</v>
      </c>
      <c r="AC494" s="22" t="b">
        <f aca="false">FALSE()</f>
        <v>0</v>
      </c>
      <c r="AD494" s="0" t="n">
        <v>7.27</v>
      </c>
      <c r="AE494" s="0" t="n">
        <v>1.01</v>
      </c>
      <c r="AF494" s="0" t="n">
        <v>7.49</v>
      </c>
      <c r="AG494" s="22" t="b">
        <f aca="false">FALSE()</f>
        <v>0</v>
      </c>
      <c r="AH494" s="0" t="n">
        <v>1</v>
      </c>
    </row>
    <row r="495" customFormat="false" ht="15" hidden="false" customHeight="false" outlineLevel="0" collapsed="false">
      <c r="A495" s="0" t="s">
        <v>917</v>
      </c>
      <c r="B495" s="0" t="s">
        <v>134</v>
      </c>
      <c r="C495" s="0" t="s">
        <v>3450</v>
      </c>
      <c r="D495" s="0" t="s">
        <v>3448</v>
      </c>
      <c r="E495" s="20" t="s">
        <v>25</v>
      </c>
      <c r="F495" s="23" t="s">
        <v>30</v>
      </c>
      <c r="G495" s="21" t="s">
        <v>283</v>
      </c>
      <c r="H495" s="21" t="s">
        <v>24</v>
      </c>
      <c r="I495" s="21" t="s">
        <v>25</v>
      </c>
      <c r="J495" s="21" t="s">
        <v>24</v>
      </c>
      <c r="K495" s="21" t="s">
        <v>24</v>
      </c>
      <c r="L495" s="21" t="s">
        <v>24</v>
      </c>
      <c r="M495" s="0" t="n">
        <v>188</v>
      </c>
      <c r="N495" s="0" t="n">
        <v>1</v>
      </c>
      <c r="O495" s="21" t="s">
        <v>69</v>
      </c>
      <c r="P495" s="21" t="s">
        <v>4275</v>
      </c>
      <c r="Q495" s="0" t="n">
        <v>1</v>
      </c>
      <c r="R495" s="21" t="s">
        <v>69</v>
      </c>
      <c r="S495" s="0" t="n">
        <v>1</v>
      </c>
      <c r="T495" s="21" t="s">
        <v>69</v>
      </c>
      <c r="U495" s="22" t="b">
        <f aca="false">TRUE()</f>
        <v>1</v>
      </c>
      <c r="V495" s="0" t="n">
        <v>0.72</v>
      </c>
      <c r="W495" s="0" t="n">
        <v>0.72</v>
      </c>
      <c r="X495" s="0" t="n">
        <v>12.62</v>
      </c>
      <c r="Y495" s="0" t="n">
        <v>327.13</v>
      </c>
      <c r="Z495" s="0" t="n">
        <v>9.75</v>
      </c>
      <c r="AA495" s="0" t="n">
        <v>7.44</v>
      </c>
      <c r="AB495" s="0" t="n">
        <v>4.26</v>
      </c>
      <c r="AC495" s="22" t="b">
        <f aca="false">FALSE()</f>
        <v>0</v>
      </c>
      <c r="AD495" s="0" t="n">
        <v>2.41</v>
      </c>
      <c r="AE495" s="0" t="n">
        <v>0.25</v>
      </c>
      <c r="AF495" s="0" t="n">
        <v>5.82</v>
      </c>
      <c r="AG495" s="22" t="b">
        <f aca="false">FALSE()</f>
        <v>0</v>
      </c>
      <c r="AH495" s="0" t="n">
        <v>1</v>
      </c>
    </row>
    <row r="496" customFormat="false" ht="15" hidden="false" customHeight="false" outlineLevel="0" collapsed="false">
      <c r="A496" s="0" t="s">
        <v>917</v>
      </c>
      <c r="B496" s="0" t="s">
        <v>134</v>
      </c>
      <c r="C496" s="0" t="s">
        <v>3447</v>
      </c>
      <c r="D496" s="0" t="s">
        <v>3457</v>
      </c>
      <c r="E496" s="19" t="s">
        <v>26</v>
      </c>
      <c r="F496" s="19" t="s">
        <v>32</v>
      </c>
      <c r="G496" s="21" t="s">
        <v>529</v>
      </c>
      <c r="H496" s="21" t="s">
        <v>24</v>
      </c>
      <c r="I496" s="21" t="s">
        <v>26</v>
      </c>
      <c r="J496" s="21" t="s">
        <v>24</v>
      </c>
      <c r="K496" s="21" t="s">
        <v>24</v>
      </c>
      <c r="L496" s="21" t="s">
        <v>24</v>
      </c>
      <c r="M496" s="0" t="n">
        <v>186</v>
      </c>
      <c r="N496" s="0" t="n">
        <v>11</v>
      </c>
      <c r="O496" s="21" t="s">
        <v>4041</v>
      </c>
      <c r="P496" s="21" t="s">
        <v>4459</v>
      </c>
      <c r="Q496" s="0" t="n">
        <v>1</v>
      </c>
      <c r="R496" s="21" t="s">
        <v>69</v>
      </c>
      <c r="S496" s="0" t="n">
        <v>11</v>
      </c>
      <c r="T496" s="21" t="s">
        <v>4041</v>
      </c>
      <c r="U496" s="22" t="b">
        <f aca="false">FALSE()</f>
        <v>0</v>
      </c>
      <c r="V496" s="0" t="n">
        <v>0.77</v>
      </c>
      <c r="W496" s="0" t="n">
        <v>0.32</v>
      </c>
      <c r="X496" s="0" t="n">
        <v>9.64</v>
      </c>
      <c r="Y496" s="0" t="n">
        <v>370.62</v>
      </c>
      <c r="Z496" s="0" t="n">
        <v>10.33</v>
      </c>
      <c r="AA496" s="0" t="n">
        <v>10.79</v>
      </c>
      <c r="AB496" s="0" t="n">
        <v>12.11</v>
      </c>
      <c r="AC496" s="22" t="b">
        <f aca="false">FALSE()</f>
        <v>0</v>
      </c>
      <c r="AD496" s="0" t="n">
        <v>6.58</v>
      </c>
      <c r="AE496" s="0" t="n">
        <v>0.11</v>
      </c>
      <c r="AF496" s="0" t="n">
        <v>4.76</v>
      </c>
      <c r="AG496" s="22" t="b">
        <f aca="false">FALSE()</f>
        <v>0</v>
      </c>
      <c r="AH496" s="0" t="n">
        <v>1</v>
      </c>
    </row>
    <row r="497" customFormat="false" ht="15" hidden="false" customHeight="false" outlineLevel="0" collapsed="false">
      <c r="A497" s="0" t="s">
        <v>917</v>
      </c>
      <c r="B497" s="0" t="s">
        <v>134</v>
      </c>
      <c r="C497" s="0" t="s">
        <v>3447</v>
      </c>
      <c r="D497" s="0" t="s">
        <v>3448</v>
      </c>
      <c r="E497" s="18" t="s">
        <v>24</v>
      </c>
      <c r="F497" s="23" t="s">
        <v>30</v>
      </c>
      <c r="G497" s="21" t="s">
        <v>30</v>
      </c>
      <c r="H497" s="21" t="s">
        <v>24</v>
      </c>
      <c r="I497" s="21" t="s">
        <v>24</v>
      </c>
      <c r="J497" s="21" t="s">
        <v>24</v>
      </c>
      <c r="K497" s="21" t="s">
        <v>24</v>
      </c>
      <c r="L497" s="21" t="s">
        <v>24</v>
      </c>
      <c r="M497" s="0" t="n">
        <v>185</v>
      </c>
      <c r="N497" s="0" t="n">
        <v>4</v>
      </c>
      <c r="O497" s="21" t="s">
        <v>3595</v>
      </c>
      <c r="P497" s="21" t="s">
        <v>4460</v>
      </c>
      <c r="Q497" s="0" t="n">
        <v>0</v>
      </c>
      <c r="S497" s="0" t="n">
        <v>3</v>
      </c>
      <c r="T497" s="21" t="s">
        <v>3567</v>
      </c>
      <c r="U497" s="22" t="b">
        <f aca="false">TRUE()</f>
        <v>1</v>
      </c>
      <c r="V497" s="0" t="n">
        <v>0.78</v>
      </c>
      <c r="W497" s="0" t="n">
        <v>0.4</v>
      </c>
      <c r="X497" s="0" t="n">
        <v>12.73</v>
      </c>
      <c r="Y497" s="0" t="n">
        <v>356.62</v>
      </c>
      <c r="Z497" s="0" t="n">
        <v>10.75</v>
      </c>
      <c r="AA497" s="0" t="n">
        <v>15.29</v>
      </c>
      <c r="AB497" s="0" t="n">
        <v>4.26</v>
      </c>
      <c r="AC497" s="22" t="b">
        <f aca="false">FALSE()</f>
        <v>0</v>
      </c>
      <c r="AD497" s="0" t="n">
        <v>11.3</v>
      </c>
      <c r="AE497" s="0" t="n">
        <v>0.76</v>
      </c>
      <c r="AF497" s="0" t="n">
        <v>10.77</v>
      </c>
      <c r="AG497" s="22" t="b">
        <f aca="false">TRUE()</f>
        <v>1</v>
      </c>
      <c r="AH497" s="0" t="n">
        <v>1</v>
      </c>
    </row>
    <row r="498" customFormat="false" ht="15" hidden="false" customHeight="false" outlineLevel="0" collapsed="false">
      <c r="A498" s="0" t="s">
        <v>923</v>
      </c>
      <c r="B498" s="0" t="s">
        <v>134</v>
      </c>
      <c r="C498" s="0" t="s">
        <v>3450</v>
      </c>
      <c r="D498" s="0" t="s">
        <v>3457</v>
      </c>
      <c r="E498" s="20" t="s">
        <v>25</v>
      </c>
      <c r="F498" s="23" t="s">
        <v>30</v>
      </c>
      <c r="G498" s="21" t="s">
        <v>283</v>
      </c>
      <c r="H498" s="21" t="s">
        <v>24</v>
      </c>
      <c r="I498" s="21" t="s">
        <v>25</v>
      </c>
      <c r="J498" s="21" t="s">
        <v>24</v>
      </c>
      <c r="K498" s="21" t="s">
        <v>24</v>
      </c>
      <c r="L498" s="21" t="s">
        <v>24</v>
      </c>
      <c r="M498" s="0" t="n">
        <v>194</v>
      </c>
      <c r="N498" s="0" t="n">
        <v>1</v>
      </c>
      <c r="O498" s="21" t="s">
        <v>69</v>
      </c>
      <c r="P498" s="21" t="s">
        <v>4275</v>
      </c>
      <c r="Q498" s="0" t="n">
        <v>1</v>
      </c>
      <c r="R498" s="21" t="s">
        <v>69</v>
      </c>
      <c r="S498" s="0" t="n">
        <v>1</v>
      </c>
      <c r="T498" s="21" t="s">
        <v>69</v>
      </c>
      <c r="U498" s="22" t="b">
        <f aca="false">TRUE()</f>
        <v>1</v>
      </c>
      <c r="V498" s="0" t="n">
        <v>0.83</v>
      </c>
      <c r="W498" s="0" t="n">
        <v>0.6</v>
      </c>
      <c r="X498" s="0" t="n">
        <v>8.78</v>
      </c>
      <c r="Y498" s="0" t="n">
        <v>333.04</v>
      </c>
      <c r="Z498" s="0" t="n">
        <v>10.25</v>
      </c>
      <c r="AA498" s="0" t="n">
        <v>14.01</v>
      </c>
      <c r="AB498" s="0" t="n">
        <v>2.82</v>
      </c>
      <c r="AC498" s="22" t="b">
        <f aca="false">FALSE()</f>
        <v>0</v>
      </c>
      <c r="AD498" s="0" t="n">
        <v>5.11</v>
      </c>
      <c r="AE498" s="0" t="n">
        <v>0.58</v>
      </c>
      <c r="AF498" s="0" t="n">
        <v>8.58</v>
      </c>
      <c r="AG498" s="22" t="b">
        <f aca="false">FALSE()</f>
        <v>0</v>
      </c>
      <c r="AH498" s="0" t="n">
        <v>1</v>
      </c>
    </row>
    <row r="499" customFormat="false" ht="15" hidden="false" customHeight="false" outlineLevel="0" collapsed="false">
      <c r="A499" s="0" t="s">
        <v>923</v>
      </c>
      <c r="B499" s="0" t="s">
        <v>134</v>
      </c>
      <c r="C499" s="0" t="s">
        <v>3450</v>
      </c>
      <c r="D499" s="0" t="s">
        <v>3448</v>
      </c>
      <c r="E499" s="18" t="s">
        <v>24</v>
      </c>
      <c r="F499" s="18" t="s">
        <v>28</v>
      </c>
      <c r="H499" s="21" t="s">
        <v>24</v>
      </c>
      <c r="I499" s="21" t="s">
        <v>24</v>
      </c>
      <c r="J499" s="21" t="s">
        <v>24</v>
      </c>
      <c r="K499" s="21" t="s">
        <v>24</v>
      </c>
      <c r="L499" s="21" t="s">
        <v>24</v>
      </c>
      <c r="M499" s="0" t="n">
        <v>184</v>
      </c>
      <c r="N499" s="0" t="n">
        <v>0</v>
      </c>
      <c r="Q499" s="0" t="n">
        <v>0</v>
      </c>
      <c r="S499" s="0" t="n">
        <v>0</v>
      </c>
      <c r="U499" s="22" t="b">
        <f aca="false">FALSE()</f>
        <v>0</v>
      </c>
      <c r="V499" s="0" t="n">
        <v>0.84</v>
      </c>
      <c r="W499" s="0" t="n">
        <v>0.28</v>
      </c>
      <c r="X499" s="0" t="n">
        <v>8.13</v>
      </c>
      <c r="Y499" s="0" t="n">
        <v>431.74</v>
      </c>
      <c r="Z499" s="0" t="n">
        <v>10.33</v>
      </c>
      <c r="AA499" s="0" t="n">
        <v>9.6</v>
      </c>
      <c r="AB499" s="0" t="n">
        <v>1.84</v>
      </c>
      <c r="AC499" s="22" t="b">
        <f aca="false">FALSE()</f>
        <v>0</v>
      </c>
      <c r="AD499" s="0" t="n">
        <v>10.58</v>
      </c>
      <c r="AE499" s="0" t="n">
        <v>0.43</v>
      </c>
      <c r="AF499" s="0" t="n">
        <v>14.18</v>
      </c>
      <c r="AG499" s="22" t="b">
        <f aca="false">TRUE()</f>
        <v>1</v>
      </c>
      <c r="AH499" s="0" t="n">
        <v>1</v>
      </c>
    </row>
    <row r="500" customFormat="false" ht="15" hidden="false" customHeight="false" outlineLevel="0" collapsed="false">
      <c r="A500" s="0" t="s">
        <v>923</v>
      </c>
      <c r="B500" s="0" t="s">
        <v>134</v>
      </c>
      <c r="C500" s="0" t="s">
        <v>3447</v>
      </c>
      <c r="D500" s="0" t="s">
        <v>3457</v>
      </c>
      <c r="E500" s="18" t="s">
        <v>24</v>
      </c>
      <c r="F500" s="18" t="s">
        <v>28</v>
      </c>
      <c r="H500" s="21" t="s">
        <v>24</v>
      </c>
      <c r="I500" s="21" t="s">
        <v>24</v>
      </c>
      <c r="J500" s="21" t="s">
        <v>24</v>
      </c>
      <c r="K500" s="21" t="s">
        <v>24</v>
      </c>
      <c r="L500" s="21" t="s">
        <v>24</v>
      </c>
      <c r="M500" s="0" t="n">
        <v>191</v>
      </c>
      <c r="N500" s="0" t="n">
        <v>0</v>
      </c>
      <c r="Q500" s="0" t="n">
        <v>0</v>
      </c>
      <c r="S500" s="0" t="n">
        <v>0</v>
      </c>
      <c r="U500" s="22" t="b">
        <f aca="false">FALSE()</f>
        <v>0</v>
      </c>
      <c r="V500" s="0" t="n">
        <v>0.88</v>
      </c>
      <c r="W500" s="0" t="n">
        <v>0.96</v>
      </c>
      <c r="X500" s="0" t="n">
        <v>8.73</v>
      </c>
      <c r="Y500" s="0" t="n">
        <v>323.98</v>
      </c>
      <c r="Z500" s="0" t="n">
        <v>10.75</v>
      </c>
      <c r="AA500" s="0" t="n">
        <v>7.27</v>
      </c>
      <c r="AB500" s="0" t="n">
        <v>2.82</v>
      </c>
      <c r="AC500" s="22" t="b">
        <f aca="false">FALSE()</f>
        <v>0</v>
      </c>
      <c r="AD500" s="0" t="n">
        <v>7.04</v>
      </c>
      <c r="AE500" s="0" t="n">
        <v>1.2</v>
      </c>
      <c r="AF500" s="0" t="n">
        <v>11.96</v>
      </c>
      <c r="AG500" s="22" t="b">
        <f aca="false">FALSE()</f>
        <v>0</v>
      </c>
      <c r="AH500" s="0" t="n">
        <v>1</v>
      </c>
    </row>
    <row r="501" customFormat="false" ht="15" hidden="false" customHeight="false" outlineLevel="0" collapsed="false">
      <c r="A501" s="0" t="s">
        <v>923</v>
      </c>
      <c r="B501" s="0" t="s">
        <v>134</v>
      </c>
      <c r="C501" s="0" t="s">
        <v>3447</v>
      </c>
      <c r="D501" s="0" t="s">
        <v>3448</v>
      </c>
      <c r="E501" s="18" t="s">
        <v>24</v>
      </c>
      <c r="F501" s="23" t="s">
        <v>30</v>
      </c>
      <c r="G501" s="21" t="s">
        <v>30</v>
      </c>
      <c r="H501" s="21" t="s">
        <v>24</v>
      </c>
      <c r="I501" s="21" t="s">
        <v>24</v>
      </c>
      <c r="J501" s="21" t="s">
        <v>24</v>
      </c>
      <c r="K501" s="21" t="s">
        <v>24</v>
      </c>
      <c r="L501" s="21" t="s">
        <v>24</v>
      </c>
      <c r="M501" s="0" t="n">
        <v>190</v>
      </c>
      <c r="N501" s="0" t="n">
        <v>1</v>
      </c>
      <c r="O501" s="21" t="s">
        <v>3479</v>
      </c>
      <c r="P501" s="21" t="s">
        <v>4441</v>
      </c>
      <c r="Q501" s="0" t="n">
        <v>0</v>
      </c>
      <c r="S501" s="0" t="n">
        <v>1</v>
      </c>
      <c r="T501" s="21" t="s">
        <v>3479</v>
      </c>
      <c r="U501" s="22" t="b">
        <f aca="false">TRUE()</f>
        <v>1</v>
      </c>
      <c r="V501" s="0" t="n">
        <v>0.91</v>
      </c>
      <c r="W501" s="0" t="n">
        <v>0.44</v>
      </c>
      <c r="X501" s="0" t="n">
        <v>12.58</v>
      </c>
      <c r="Y501" s="0" t="n">
        <v>350.76</v>
      </c>
      <c r="Z501" s="0" t="n">
        <v>9.25</v>
      </c>
      <c r="AA501" s="0" t="n">
        <v>2.4</v>
      </c>
      <c r="AB501" s="0" t="n">
        <v>1.84</v>
      </c>
      <c r="AC501" s="22" t="b">
        <f aca="false">FALSE()</f>
        <v>0</v>
      </c>
      <c r="AD501" s="0" t="n">
        <v>5.97</v>
      </c>
      <c r="AE501" s="0" t="n">
        <v>3.6</v>
      </c>
      <c r="AF501" s="0" t="n">
        <v>8.49</v>
      </c>
      <c r="AG501" s="22" t="b">
        <f aca="false">FALSE()</f>
        <v>0</v>
      </c>
      <c r="AH501" s="0" t="n">
        <v>1</v>
      </c>
    </row>
    <row r="502" customFormat="false" ht="15" hidden="false" customHeight="false" outlineLevel="0" collapsed="false">
      <c r="A502" s="0" t="s">
        <v>923</v>
      </c>
      <c r="B502" s="0" t="s">
        <v>3459</v>
      </c>
      <c r="C502" s="0" t="s">
        <v>3450</v>
      </c>
      <c r="D502" s="0" t="s">
        <v>3457</v>
      </c>
      <c r="E502" s="20" t="s">
        <v>25</v>
      </c>
      <c r="F502" s="20" t="s">
        <v>29</v>
      </c>
      <c r="G502" s="21" t="s">
        <v>61</v>
      </c>
      <c r="H502" s="21" t="s">
        <v>24</v>
      </c>
      <c r="I502" s="21" t="s">
        <v>24</v>
      </c>
      <c r="J502" s="21" t="s">
        <v>24</v>
      </c>
      <c r="K502" s="21" t="s">
        <v>25</v>
      </c>
      <c r="L502" s="21" t="s">
        <v>24</v>
      </c>
      <c r="M502" s="0" t="n">
        <v>183</v>
      </c>
      <c r="N502" s="0" t="n">
        <v>0</v>
      </c>
      <c r="Q502" s="0" t="n">
        <v>0</v>
      </c>
      <c r="S502" s="0" t="n">
        <v>0</v>
      </c>
      <c r="U502" s="22" t="b">
        <f aca="false">FALSE()</f>
        <v>0</v>
      </c>
      <c r="V502" s="0" t="n">
        <v>0.84</v>
      </c>
      <c r="W502" s="0" t="n">
        <v>0.84</v>
      </c>
      <c r="X502" s="0" t="n">
        <v>9.45</v>
      </c>
      <c r="Y502" s="0" t="n">
        <v>275.86</v>
      </c>
      <c r="Z502" s="0" t="n">
        <v>10.33</v>
      </c>
      <c r="AA502" s="0" t="n">
        <v>14.06</v>
      </c>
      <c r="AB502" s="0" t="n">
        <v>3.46</v>
      </c>
      <c r="AC502" s="22" t="b">
        <f aca="false">FALSE()</f>
        <v>0</v>
      </c>
      <c r="AD502" s="0" t="n">
        <v>21.02</v>
      </c>
      <c r="AE502" s="0" t="n">
        <v>9.63</v>
      </c>
      <c r="AF502" s="0" t="n">
        <v>18.89</v>
      </c>
      <c r="AG502" s="22" t="b">
        <f aca="false">TRUE()</f>
        <v>1</v>
      </c>
      <c r="AH502" s="0" t="n">
        <v>1</v>
      </c>
    </row>
    <row r="503" customFormat="false" ht="15" hidden="false" customHeight="false" outlineLevel="0" collapsed="false">
      <c r="A503" s="0" t="s">
        <v>923</v>
      </c>
      <c r="B503" s="0" t="s">
        <v>3459</v>
      </c>
      <c r="C503" s="0" t="s">
        <v>3450</v>
      </c>
      <c r="D503" s="0" t="s">
        <v>3448</v>
      </c>
      <c r="E503" s="20" t="s">
        <v>25</v>
      </c>
      <c r="F503" s="20" t="s">
        <v>29</v>
      </c>
      <c r="G503" s="21" t="s">
        <v>3470</v>
      </c>
      <c r="H503" s="21" t="s">
        <v>24</v>
      </c>
      <c r="I503" s="21" t="s">
        <v>24</v>
      </c>
      <c r="J503" s="21" t="s">
        <v>24</v>
      </c>
      <c r="K503" s="21" t="s">
        <v>25</v>
      </c>
      <c r="L503" s="21" t="s">
        <v>24</v>
      </c>
      <c r="M503" s="0" t="n">
        <v>201</v>
      </c>
      <c r="N503" s="0" t="n">
        <v>0</v>
      </c>
      <c r="Q503" s="0" t="n">
        <v>0</v>
      </c>
      <c r="S503" s="0" t="n">
        <v>0</v>
      </c>
      <c r="U503" s="22" t="b">
        <f aca="false">FALSE()</f>
        <v>0</v>
      </c>
      <c r="V503" s="0" t="n">
        <v>0.84</v>
      </c>
      <c r="W503" s="0" t="n">
        <v>0.56</v>
      </c>
      <c r="X503" s="0" t="n">
        <v>7.82</v>
      </c>
      <c r="Y503" s="0" t="n">
        <v>356.46</v>
      </c>
      <c r="Z503" s="0" t="n">
        <v>9</v>
      </c>
      <c r="AA503" s="0" t="n">
        <v>9.4</v>
      </c>
      <c r="AB503" s="0" t="n">
        <v>1.32</v>
      </c>
      <c r="AC503" s="22" t="b">
        <f aca="false">FALSE()</f>
        <v>0</v>
      </c>
      <c r="AD503" s="0" t="n">
        <v>23.6</v>
      </c>
      <c r="AE503" s="0" t="n">
        <v>14.42</v>
      </c>
      <c r="AF503" s="0" t="n">
        <v>22.62</v>
      </c>
      <c r="AG503" s="22" t="b">
        <f aca="false">TRUE()</f>
        <v>1</v>
      </c>
      <c r="AH503" s="0" t="n">
        <v>1</v>
      </c>
    </row>
    <row r="504" customFormat="false" ht="15" hidden="false" customHeight="false" outlineLevel="0" collapsed="false">
      <c r="A504" s="0" t="s">
        <v>923</v>
      </c>
      <c r="B504" s="0" t="s">
        <v>3459</v>
      </c>
      <c r="C504" s="0" t="s">
        <v>3447</v>
      </c>
      <c r="D504" s="0" t="s">
        <v>3457</v>
      </c>
      <c r="E504" s="20" t="s">
        <v>25</v>
      </c>
      <c r="F504" s="20" t="s">
        <v>29</v>
      </c>
      <c r="G504" s="21" t="s">
        <v>61</v>
      </c>
      <c r="H504" s="21" t="s">
        <v>24</v>
      </c>
      <c r="I504" s="21" t="s">
        <v>24</v>
      </c>
      <c r="J504" s="21" t="s">
        <v>24</v>
      </c>
      <c r="K504" s="21" t="s">
        <v>25</v>
      </c>
      <c r="L504" s="21" t="s">
        <v>24</v>
      </c>
      <c r="M504" s="0" t="n">
        <v>184</v>
      </c>
      <c r="N504" s="0" t="n">
        <v>0</v>
      </c>
      <c r="Q504" s="0" t="n">
        <v>0</v>
      </c>
      <c r="S504" s="0" t="n">
        <v>0</v>
      </c>
      <c r="U504" s="22" t="b">
        <f aca="false">FALSE()</f>
        <v>0</v>
      </c>
      <c r="V504" s="0" t="n">
        <v>0.83</v>
      </c>
      <c r="W504" s="0" t="n">
        <v>0.88</v>
      </c>
      <c r="X504" s="0" t="n">
        <v>11.66</v>
      </c>
      <c r="Y504" s="0" t="n">
        <v>262.22</v>
      </c>
      <c r="Z504" s="0" t="n">
        <v>10</v>
      </c>
      <c r="AA504" s="0" t="n">
        <v>1.45</v>
      </c>
      <c r="AB504" s="0" t="n">
        <v>3.46</v>
      </c>
      <c r="AC504" s="22" t="b">
        <f aca="false">FALSE()</f>
        <v>0</v>
      </c>
      <c r="AD504" s="0" t="n">
        <v>20.15</v>
      </c>
      <c r="AE504" s="0" t="n">
        <v>8.03</v>
      </c>
      <c r="AF504" s="0" t="n">
        <v>16.02</v>
      </c>
      <c r="AG504" s="22" t="b">
        <f aca="false">TRUE()</f>
        <v>1</v>
      </c>
      <c r="AH504" s="0" t="n">
        <v>1</v>
      </c>
    </row>
    <row r="505" customFormat="false" ht="15" hidden="false" customHeight="false" outlineLevel="0" collapsed="false">
      <c r="A505" s="0" t="s">
        <v>923</v>
      </c>
      <c r="B505" s="0" t="s">
        <v>3459</v>
      </c>
      <c r="C505" s="0" t="s">
        <v>3447</v>
      </c>
      <c r="D505" s="0" t="s">
        <v>3448</v>
      </c>
      <c r="E505" s="20" t="s">
        <v>25</v>
      </c>
      <c r="F505" s="23" t="s">
        <v>30</v>
      </c>
      <c r="G505" s="21" t="s">
        <v>144</v>
      </c>
      <c r="H505" s="21" t="s">
        <v>24</v>
      </c>
      <c r="I505" s="21" t="s">
        <v>24</v>
      </c>
      <c r="J505" s="21" t="s">
        <v>24</v>
      </c>
      <c r="K505" s="21" t="s">
        <v>25</v>
      </c>
      <c r="L505" s="21" t="s">
        <v>24</v>
      </c>
      <c r="M505" s="0" t="n">
        <v>187</v>
      </c>
      <c r="N505" s="0" t="n">
        <v>3</v>
      </c>
      <c r="O505" s="21" t="s">
        <v>3563</v>
      </c>
      <c r="P505" s="21" t="s">
        <v>4461</v>
      </c>
      <c r="Q505" s="0" t="n">
        <v>0</v>
      </c>
      <c r="S505" s="0" t="n">
        <v>3</v>
      </c>
      <c r="T505" s="21" t="s">
        <v>3563</v>
      </c>
      <c r="U505" s="22" t="b">
        <f aca="false">TRUE()</f>
        <v>1</v>
      </c>
      <c r="V505" s="0" t="n">
        <v>0.89</v>
      </c>
      <c r="W505" s="0" t="n">
        <v>0.12</v>
      </c>
      <c r="X505" s="0" t="n">
        <v>14.3</v>
      </c>
      <c r="Y505" s="0" t="n">
        <v>635.37</v>
      </c>
      <c r="Z505" s="0" t="n">
        <v>9.33</v>
      </c>
      <c r="AA505" s="0" t="n">
        <v>3.81</v>
      </c>
      <c r="AB505" s="0" t="n">
        <v>1.32</v>
      </c>
      <c r="AC505" s="22" t="b">
        <f aca="false">FALSE()</f>
        <v>0</v>
      </c>
      <c r="AD505" s="0" t="n">
        <v>23.6</v>
      </c>
      <c r="AE505" s="0" t="n">
        <v>11.72</v>
      </c>
      <c r="AF505" s="0" t="n">
        <v>19.03</v>
      </c>
      <c r="AG505" s="22" t="b">
        <f aca="false">TRUE()</f>
        <v>1</v>
      </c>
      <c r="AH505" s="0" t="n">
        <v>1</v>
      </c>
    </row>
    <row r="506" customFormat="false" ht="15" hidden="false" customHeight="false" outlineLevel="0" collapsed="false">
      <c r="A506" s="0" t="s">
        <v>937</v>
      </c>
      <c r="B506" s="0" t="s">
        <v>134</v>
      </c>
      <c r="C506" s="0" t="s">
        <v>3450</v>
      </c>
      <c r="D506" s="0" t="s">
        <v>3457</v>
      </c>
      <c r="E506" s="19" t="s">
        <v>26</v>
      </c>
      <c r="F506" s="19" t="s">
        <v>32</v>
      </c>
      <c r="G506" s="21" t="s">
        <v>1409</v>
      </c>
      <c r="H506" s="21" t="s">
        <v>24</v>
      </c>
      <c r="I506" s="21" t="s">
        <v>26</v>
      </c>
      <c r="J506" s="21" t="s">
        <v>24</v>
      </c>
      <c r="K506" s="21" t="s">
        <v>25</v>
      </c>
      <c r="L506" s="21" t="s">
        <v>24</v>
      </c>
      <c r="M506" s="0" t="n">
        <v>187</v>
      </c>
      <c r="N506" s="0" t="n">
        <v>10</v>
      </c>
      <c r="O506" s="21" t="s">
        <v>4056</v>
      </c>
      <c r="P506" s="21" t="s">
        <v>4462</v>
      </c>
      <c r="Q506" s="0" t="n">
        <v>1</v>
      </c>
      <c r="R506" s="21" t="s">
        <v>69</v>
      </c>
      <c r="S506" s="0" t="n">
        <v>10</v>
      </c>
      <c r="T506" s="21" t="s">
        <v>4056</v>
      </c>
      <c r="U506" s="22" t="b">
        <f aca="false">FALSE()</f>
        <v>0</v>
      </c>
      <c r="V506" s="0" t="n">
        <v>0.76</v>
      </c>
      <c r="W506" s="0" t="n">
        <v>0.92</v>
      </c>
      <c r="X506" s="0" t="n">
        <v>6.56</v>
      </c>
      <c r="Y506" s="0" t="n">
        <v>323.02</v>
      </c>
      <c r="Z506" s="0" t="n">
        <v>9.08</v>
      </c>
      <c r="AA506" s="0" t="n">
        <v>-0.28</v>
      </c>
      <c r="AB506" s="0" t="n">
        <v>0.05</v>
      </c>
      <c r="AC506" s="22" t="b">
        <f aca="false">TRUE()</f>
        <v>1</v>
      </c>
      <c r="AD506" s="0" t="n">
        <v>4.92</v>
      </c>
      <c r="AE506" s="0" t="n">
        <v>0.74</v>
      </c>
      <c r="AF506" s="0" t="n">
        <v>13.45</v>
      </c>
      <c r="AG506" s="22" t="b">
        <f aca="false">FALSE()</f>
        <v>0</v>
      </c>
      <c r="AH506" s="0" t="n">
        <v>1</v>
      </c>
    </row>
    <row r="507" customFormat="false" ht="15" hidden="false" customHeight="false" outlineLevel="0" collapsed="false">
      <c r="A507" s="0" t="s">
        <v>937</v>
      </c>
      <c r="B507" s="0" t="s">
        <v>134</v>
      </c>
      <c r="C507" s="0" t="s">
        <v>3450</v>
      </c>
      <c r="D507" s="0" t="s">
        <v>3448</v>
      </c>
      <c r="E507" s="20" t="s">
        <v>25</v>
      </c>
      <c r="F507" s="23" t="s">
        <v>30</v>
      </c>
      <c r="G507" s="21" t="s">
        <v>197</v>
      </c>
      <c r="H507" s="21" t="s">
        <v>24</v>
      </c>
      <c r="I507" s="21" t="s">
        <v>25</v>
      </c>
      <c r="J507" s="21" t="s">
        <v>24</v>
      </c>
      <c r="K507" s="21" t="s">
        <v>25</v>
      </c>
      <c r="L507" s="21" t="s">
        <v>24</v>
      </c>
      <c r="M507" s="0" t="n">
        <v>183</v>
      </c>
      <c r="N507" s="0" t="n">
        <v>6</v>
      </c>
      <c r="O507" s="21" t="s">
        <v>3843</v>
      </c>
      <c r="P507" s="21" t="s">
        <v>4463</v>
      </c>
      <c r="Q507" s="0" t="n">
        <v>1</v>
      </c>
      <c r="R507" s="21" t="s">
        <v>69</v>
      </c>
      <c r="S507" s="0" t="n">
        <v>6</v>
      </c>
      <c r="T507" s="21" t="s">
        <v>3843</v>
      </c>
      <c r="U507" s="22" t="b">
        <f aca="false">TRUE()</f>
        <v>1</v>
      </c>
      <c r="V507" s="0" t="n">
        <v>0.77</v>
      </c>
      <c r="W507" s="0" t="n">
        <v>0.96</v>
      </c>
      <c r="X507" s="0" t="n">
        <v>5.85</v>
      </c>
      <c r="Y507" s="0" t="n">
        <v>317.5</v>
      </c>
      <c r="Z507" s="0" t="n">
        <v>9.75</v>
      </c>
      <c r="AA507" s="0" t="n">
        <v>0.8</v>
      </c>
      <c r="AB507" s="0" t="n">
        <v>0.89</v>
      </c>
      <c r="AC507" s="22" t="b">
        <f aca="false">TRUE()</f>
        <v>1</v>
      </c>
      <c r="AD507" s="0" t="n">
        <v>14.86</v>
      </c>
      <c r="AE507" s="0" t="n">
        <v>0.44</v>
      </c>
      <c r="AF507" s="0" t="n">
        <v>14.37</v>
      </c>
      <c r="AG507" s="22" t="b">
        <f aca="false">TRUE()</f>
        <v>1</v>
      </c>
      <c r="AH507" s="0" t="n">
        <v>1</v>
      </c>
    </row>
    <row r="508" customFormat="false" ht="15" hidden="false" customHeight="false" outlineLevel="0" collapsed="false">
      <c r="A508" s="0" t="s">
        <v>937</v>
      </c>
      <c r="B508" s="0" t="s">
        <v>134</v>
      </c>
      <c r="C508" s="0" t="s">
        <v>3447</v>
      </c>
      <c r="D508" s="0" t="s">
        <v>3457</v>
      </c>
      <c r="E508" s="20" t="s">
        <v>25</v>
      </c>
      <c r="F508" s="23" t="s">
        <v>30</v>
      </c>
      <c r="G508" s="21" t="s">
        <v>2610</v>
      </c>
      <c r="H508" s="21" t="s">
        <v>24</v>
      </c>
      <c r="I508" s="21" t="s">
        <v>24</v>
      </c>
      <c r="J508" s="21" t="s">
        <v>24</v>
      </c>
      <c r="K508" s="21" t="s">
        <v>25</v>
      </c>
      <c r="L508" s="21" t="s">
        <v>24</v>
      </c>
      <c r="M508" s="0" t="n">
        <v>184</v>
      </c>
      <c r="N508" s="0" t="n">
        <v>3</v>
      </c>
      <c r="O508" s="21" t="s">
        <v>3542</v>
      </c>
      <c r="P508" s="21" t="s">
        <v>4464</v>
      </c>
      <c r="Q508" s="0" t="n">
        <v>0</v>
      </c>
      <c r="S508" s="0" t="n">
        <v>3</v>
      </c>
      <c r="T508" s="21" t="s">
        <v>3542</v>
      </c>
      <c r="U508" s="22" t="b">
        <f aca="false">TRUE()</f>
        <v>1</v>
      </c>
      <c r="V508" s="0" t="n">
        <v>0.84</v>
      </c>
      <c r="W508" s="0" t="n">
        <v>0.84</v>
      </c>
      <c r="X508" s="0" t="n">
        <v>7.76</v>
      </c>
      <c r="Y508" s="0" t="n">
        <v>320.17</v>
      </c>
      <c r="Z508" s="0" t="n">
        <v>8</v>
      </c>
      <c r="AA508" s="0" t="n">
        <v>-1.22</v>
      </c>
      <c r="AB508" s="0" t="n">
        <v>0.05</v>
      </c>
      <c r="AC508" s="22" t="b">
        <f aca="false">FALSE()</f>
        <v>0</v>
      </c>
      <c r="AD508" s="0" t="n">
        <v>5.21</v>
      </c>
      <c r="AE508" s="0" t="n">
        <v>0.87</v>
      </c>
      <c r="AF508" s="0" t="n">
        <v>10.59</v>
      </c>
      <c r="AG508" s="22" t="b">
        <f aca="false">FALSE()</f>
        <v>0</v>
      </c>
      <c r="AH508" s="0" t="n">
        <v>1</v>
      </c>
    </row>
    <row r="509" customFormat="false" ht="15" hidden="false" customHeight="false" outlineLevel="0" collapsed="false">
      <c r="A509" s="0" t="s">
        <v>937</v>
      </c>
      <c r="B509" s="0" t="s">
        <v>134</v>
      </c>
      <c r="C509" s="0" t="s">
        <v>3447</v>
      </c>
      <c r="D509" s="0" t="s">
        <v>3448</v>
      </c>
      <c r="E509" s="20" t="s">
        <v>25</v>
      </c>
      <c r="F509" s="23" t="s">
        <v>30</v>
      </c>
      <c r="G509" s="21" t="s">
        <v>2610</v>
      </c>
      <c r="H509" s="21" t="s">
        <v>24</v>
      </c>
      <c r="I509" s="21" t="s">
        <v>24</v>
      </c>
      <c r="J509" s="21" t="s">
        <v>24</v>
      </c>
      <c r="K509" s="21" t="s">
        <v>25</v>
      </c>
      <c r="L509" s="21" t="s">
        <v>24</v>
      </c>
      <c r="M509" s="0" t="n">
        <v>187</v>
      </c>
      <c r="N509" s="0" t="n">
        <v>1</v>
      </c>
      <c r="O509" s="21" t="s">
        <v>3476</v>
      </c>
      <c r="P509" s="21" t="s">
        <v>4228</v>
      </c>
      <c r="Q509" s="0" t="n">
        <v>0</v>
      </c>
      <c r="S509" s="0" t="n">
        <v>1</v>
      </c>
      <c r="T509" s="21" t="s">
        <v>3476</v>
      </c>
      <c r="U509" s="22" t="b">
        <f aca="false">TRUE()</f>
        <v>1</v>
      </c>
      <c r="V509" s="0" t="n">
        <v>0.91</v>
      </c>
      <c r="W509" s="0" t="n">
        <v>0.48</v>
      </c>
      <c r="X509" s="0" t="n">
        <v>8.77</v>
      </c>
      <c r="Y509" s="0" t="n">
        <v>342.85</v>
      </c>
      <c r="Z509" s="0" t="n">
        <v>8</v>
      </c>
      <c r="AA509" s="0" t="n">
        <v>-1.39</v>
      </c>
      <c r="AB509" s="0" t="n">
        <v>0.89</v>
      </c>
      <c r="AC509" s="22" t="b">
        <f aca="false">FALSE()</f>
        <v>0</v>
      </c>
      <c r="AD509" s="0" t="n">
        <v>14.33</v>
      </c>
      <c r="AE509" s="0" t="n">
        <v>0.5</v>
      </c>
      <c r="AF509" s="0" t="n">
        <v>13.09</v>
      </c>
      <c r="AG509" s="22" t="b">
        <f aca="false">TRUE()</f>
        <v>1</v>
      </c>
      <c r="AH509" s="0" t="n">
        <v>1</v>
      </c>
    </row>
    <row r="510" customFormat="false" ht="15" hidden="false" customHeight="false" outlineLevel="0" collapsed="false">
      <c r="A510" s="0" t="s">
        <v>951</v>
      </c>
      <c r="B510" s="0" t="s">
        <v>134</v>
      </c>
      <c r="C510" s="0" t="s">
        <v>3450</v>
      </c>
      <c r="D510" s="0" t="s">
        <v>3457</v>
      </c>
      <c r="E510" s="20" t="s">
        <v>25</v>
      </c>
      <c r="F510" s="20" t="s">
        <v>29</v>
      </c>
      <c r="G510" s="21" t="s">
        <v>61</v>
      </c>
      <c r="H510" s="21" t="s">
        <v>24</v>
      </c>
      <c r="I510" s="21" t="s">
        <v>24</v>
      </c>
      <c r="J510" s="21" t="s">
        <v>24</v>
      </c>
      <c r="K510" s="21" t="s">
        <v>25</v>
      </c>
      <c r="L510" s="21" t="s">
        <v>24</v>
      </c>
      <c r="M510" s="0" t="n">
        <v>186</v>
      </c>
      <c r="N510" s="0" t="n">
        <v>0</v>
      </c>
      <c r="Q510" s="0" t="n">
        <v>0</v>
      </c>
      <c r="S510" s="0" t="n">
        <v>0</v>
      </c>
      <c r="U510" s="22" t="b">
        <f aca="false">FALSE()</f>
        <v>0</v>
      </c>
      <c r="V510" s="0" t="n">
        <v>0.72</v>
      </c>
      <c r="W510" s="0" t="n">
        <v>0</v>
      </c>
      <c r="X510" s="0" t="n">
        <v>7.93</v>
      </c>
      <c r="Y510" s="0" t="n">
        <v>0.39</v>
      </c>
      <c r="Z510" s="0" t="n">
        <v>9.58</v>
      </c>
      <c r="AA510" s="0" t="n">
        <v>13.35</v>
      </c>
      <c r="AB510" s="0" t="n">
        <v>4.17</v>
      </c>
      <c r="AC510" s="22" t="b">
        <f aca="false">FALSE()</f>
        <v>0</v>
      </c>
      <c r="AD510" s="0" t="n">
        <v>25.81</v>
      </c>
      <c r="AE510" s="0" t="n">
        <v>10.03</v>
      </c>
      <c r="AF510" s="0" t="n">
        <v>22.71</v>
      </c>
      <c r="AG510" s="22" t="b">
        <f aca="false">TRUE()</f>
        <v>1</v>
      </c>
      <c r="AH510" s="0" t="n">
        <v>0</v>
      </c>
    </row>
    <row r="511" customFormat="false" ht="15" hidden="false" customHeight="false" outlineLevel="0" collapsed="false">
      <c r="A511" s="0" t="s">
        <v>951</v>
      </c>
      <c r="B511" s="0" t="s">
        <v>134</v>
      </c>
      <c r="C511" s="0" t="s">
        <v>3450</v>
      </c>
      <c r="D511" s="0" t="s">
        <v>3448</v>
      </c>
      <c r="E511" s="20" t="s">
        <v>25</v>
      </c>
      <c r="F511" s="23" t="s">
        <v>30</v>
      </c>
      <c r="G511" s="21" t="s">
        <v>283</v>
      </c>
      <c r="H511" s="21" t="s">
        <v>24</v>
      </c>
      <c r="I511" s="21" t="s">
        <v>25</v>
      </c>
      <c r="J511" s="21" t="s">
        <v>24</v>
      </c>
      <c r="K511" s="21" t="s">
        <v>24</v>
      </c>
      <c r="L511" s="21" t="s">
        <v>24</v>
      </c>
      <c r="M511" s="0" t="n">
        <v>193</v>
      </c>
      <c r="N511" s="0" t="n">
        <v>1</v>
      </c>
      <c r="O511" s="21" t="s">
        <v>69</v>
      </c>
      <c r="P511" s="21" t="s">
        <v>4275</v>
      </c>
      <c r="Q511" s="0" t="n">
        <v>1</v>
      </c>
      <c r="R511" s="21" t="s">
        <v>69</v>
      </c>
      <c r="S511" s="0" t="n">
        <v>1</v>
      </c>
      <c r="T511" s="21" t="s">
        <v>69</v>
      </c>
      <c r="U511" s="22" t="b">
        <f aca="false">TRUE()</f>
        <v>1</v>
      </c>
      <c r="V511" s="0" t="n">
        <v>0.7</v>
      </c>
      <c r="W511" s="0" t="n">
        <v>0.68</v>
      </c>
      <c r="X511" s="0" t="n">
        <v>8.58</v>
      </c>
      <c r="Y511" s="0" t="n">
        <v>329.7</v>
      </c>
      <c r="Z511" s="0" t="n">
        <v>9.25</v>
      </c>
      <c r="AA511" s="0" t="n">
        <v>15.39</v>
      </c>
      <c r="AB511" s="0" t="n">
        <v>3.26</v>
      </c>
      <c r="AC511" s="22" t="b">
        <f aca="false">FALSE()</f>
        <v>0</v>
      </c>
      <c r="AD511" s="0" t="n">
        <v>19.32</v>
      </c>
      <c r="AE511" s="0" t="n">
        <v>4.54</v>
      </c>
      <c r="AF511" s="0" t="n">
        <v>17.68</v>
      </c>
      <c r="AG511" s="22" t="b">
        <f aca="false">TRUE()</f>
        <v>1</v>
      </c>
      <c r="AH511" s="0" t="n">
        <v>2</v>
      </c>
    </row>
    <row r="512" customFormat="false" ht="15" hidden="false" customHeight="false" outlineLevel="0" collapsed="false">
      <c r="A512" s="0" t="s">
        <v>951</v>
      </c>
      <c r="B512" s="0" t="s">
        <v>134</v>
      </c>
      <c r="C512" s="0" t="s">
        <v>3447</v>
      </c>
      <c r="D512" s="0" t="s">
        <v>3457</v>
      </c>
      <c r="E512" s="20" t="s">
        <v>25</v>
      </c>
      <c r="F512" s="23" t="s">
        <v>30</v>
      </c>
      <c r="G512" s="21" t="s">
        <v>183</v>
      </c>
      <c r="H512" s="21" t="s">
        <v>24</v>
      </c>
      <c r="I512" s="21" t="s">
        <v>25</v>
      </c>
      <c r="J512" s="21" t="s">
        <v>24</v>
      </c>
      <c r="K512" s="21" t="s">
        <v>25</v>
      </c>
      <c r="L512" s="21" t="s">
        <v>24</v>
      </c>
      <c r="M512" s="0" t="n">
        <v>184</v>
      </c>
      <c r="N512" s="0" t="n">
        <v>6</v>
      </c>
      <c r="O512" s="21" t="s">
        <v>3841</v>
      </c>
      <c r="P512" s="21" t="s">
        <v>4465</v>
      </c>
      <c r="Q512" s="0" t="n">
        <v>1</v>
      </c>
      <c r="R512" s="21" t="s">
        <v>69</v>
      </c>
      <c r="S512" s="0" t="n">
        <v>6</v>
      </c>
      <c r="T512" s="21" t="s">
        <v>3841</v>
      </c>
      <c r="U512" s="22" t="b">
        <f aca="false">TRUE()</f>
        <v>1</v>
      </c>
      <c r="V512" s="0" t="n">
        <v>0.77</v>
      </c>
      <c r="W512" s="0" t="n">
        <v>0.16</v>
      </c>
      <c r="X512" s="0" t="n">
        <v>8.03</v>
      </c>
      <c r="Y512" s="0" t="n">
        <v>551.04</v>
      </c>
      <c r="Z512" s="0" t="n">
        <v>10.25</v>
      </c>
      <c r="AA512" s="0" t="n">
        <v>8.97</v>
      </c>
      <c r="AB512" s="0" t="n">
        <v>4.17</v>
      </c>
      <c r="AC512" s="22" t="b">
        <f aca="false">FALSE()</f>
        <v>0</v>
      </c>
      <c r="AD512" s="0" t="n">
        <v>21.92</v>
      </c>
      <c r="AE512" s="0" t="n">
        <v>4.91</v>
      </c>
      <c r="AF512" s="0" t="n">
        <v>18.63</v>
      </c>
      <c r="AG512" s="22" t="b">
        <f aca="false">TRUE()</f>
        <v>1</v>
      </c>
      <c r="AH512" s="0" t="n">
        <v>1</v>
      </c>
    </row>
    <row r="513" customFormat="false" ht="15" hidden="false" customHeight="false" outlineLevel="0" collapsed="false">
      <c r="A513" s="0" t="s">
        <v>951</v>
      </c>
      <c r="B513" s="0" t="s">
        <v>134</v>
      </c>
      <c r="C513" s="0" t="s">
        <v>3447</v>
      </c>
      <c r="D513" s="0" t="s">
        <v>3448</v>
      </c>
      <c r="E513" s="18" t="s">
        <v>24</v>
      </c>
      <c r="F513" s="23" t="s">
        <v>30</v>
      </c>
      <c r="G513" s="21" t="s">
        <v>30</v>
      </c>
      <c r="H513" s="21" t="s">
        <v>24</v>
      </c>
      <c r="I513" s="21" t="s">
        <v>24</v>
      </c>
      <c r="J513" s="21" t="s">
        <v>24</v>
      </c>
      <c r="K513" s="21" t="s">
        <v>24</v>
      </c>
      <c r="L513" s="21" t="s">
        <v>24</v>
      </c>
      <c r="M513" s="0" t="n">
        <v>199</v>
      </c>
      <c r="N513" s="0" t="n">
        <v>1</v>
      </c>
      <c r="O513" s="21" t="s">
        <v>3481</v>
      </c>
      <c r="P513" s="21" t="s">
        <v>4251</v>
      </c>
      <c r="Q513" s="0" t="n">
        <v>0</v>
      </c>
      <c r="S513" s="0" t="n">
        <v>1</v>
      </c>
      <c r="T513" s="21" t="s">
        <v>3481</v>
      </c>
      <c r="U513" s="22" t="b">
        <f aca="false">TRUE()</f>
        <v>1</v>
      </c>
      <c r="V513" s="0" t="n">
        <v>0.81</v>
      </c>
      <c r="W513" s="0" t="n">
        <v>0.28</v>
      </c>
      <c r="X513" s="0" t="n">
        <v>10.14</v>
      </c>
      <c r="Y513" s="0" t="n">
        <v>425.46</v>
      </c>
      <c r="Z513" s="0" t="n">
        <v>10</v>
      </c>
      <c r="AA513" s="0" t="n">
        <v>9.76</v>
      </c>
      <c r="AB513" s="0" t="n">
        <v>3.26</v>
      </c>
      <c r="AC513" s="22" t="b">
        <f aca="false">FALSE()</f>
        <v>0</v>
      </c>
      <c r="AD513" s="0" t="n">
        <v>17.91</v>
      </c>
      <c r="AE513" s="0" t="n">
        <v>3.02</v>
      </c>
      <c r="AF513" s="0" t="n">
        <v>17.01</v>
      </c>
      <c r="AG513" s="22" t="b">
        <f aca="false">TRUE()</f>
        <v>1</v>
      </c>
      <c r="AH513" s="0" t="n">
        <v>1</v>
      </c>
    </row>
    <row r="514" customFormat="false" ht="15" hidden="false" customHeight="false" outlineLevel="0" collapsed="false">
      <c r="A514" s="0" t="s">
        <v>951</v>
      </c>
      <c r="B514" s="0" t="s">
        <v>3459</v>
      </c>
      <c r="C514" s="0" t="s">
        <v>3450</v>
      </c>
      <c r="D514" s="0" t="s">
        <v>3457</v>
      </c>
      <c r="E514" s="19" t="s">
        <v>26</v>
      </c>
      <c r="F514" s="19" t="s">
        <v>32</v>
      </c>
      <c r="G514" s="21" t="s">
        <v>1926</v>
      </c>
      <c r="H514" s="21" t="s">
        <v>24</v>
      </c>
      <c r="I514" s="21" t="s">
        <v>26</v>
      </c>
      <c r="J514" s="21" t="s">
        <v>24</v>
      </c>
      <c r="K514" s="21" t="s">
        <v>25</v>
      </c>
      <c r="L514" s="21" t="s">
        <v>24</v>
      </c>
      <c r="M514" s="0" t="n">
        <v>183</v>
      </c>
      <c r="N514" s="0" t="n">
        <v>11</v>
      </c>
      <c r="O514" s="21" t="s">
        <v>4164</v>
      </c>
      <c r="P514" s="21" t="s">
        <v>4466</v>
      </c>
      <c r="Q514" s="0" t="n">
        <v>1</v>
      </c>
      <c r="R514" s="21" t="s">
        <v>69</v>
      </c>
      <c r="S514" s="0" t="n">
        <v>11</v>
      </c>
      <c r="T514" s="21" t="s">
        <v>4164</v>
      </c>
      <c r="U514" s="22" t="b">
        <f aca="false">FALSE()</f>
        <v>0</v>
      </c>
      <c r="V514" s="0" t="n">
        <v>0.66</v>
      </c>
      <c r="W514" s="0" t="n">
        <v>0.48</v>
      </c>
      <c r="X514" s="0" t="n">
        <v>8.75</v>
      </c>
      <c r="Y514" s="0" t="n">
        <v>316.1</v>
      </c>
      <c r="Z514" s="0" t="n">
        <v>9.25</v>
      </c>
      <c r="AA514" s="0" t="n">
        <v>15.32</v>
      </c>
      <c r="AB514" s="0" t="n">
        <v>4.85</v>
      </c>
      <c r="AC514" s="22" t="b">
        <f aca="false">FALSE()</f>
        <v>0</v>
      </c>
      <c r="AD514" s="0" t="n">
        <v>20.68</v>
      </c>
      <c r="AE514" s="0" t="n">
        <v>0.47</v>
      </c>
      <c r="AF514" s="0" t="n">
        <v>16.93</v>
      </c>
      <c r="AG514" s="22" t="b">
        <f aca="false">TRUE()</f>
        <v>1</v>
      </c>
      <c r="AH514" s="0" t="n">
        <v>1</v>
      </c>
    </row>
    <row r="515" customFormat="false" ht="15" hidden="false" customHeight="false" outlineLevel="0" collapsed="false">
      <c r="A515" s="0" t="s">
        <v>951</v>
      </c>
      <c r="B515" s="0" t="s">
        <v>3459</v>
      </c>
      <c r="C515" s="0" t="s">
        <v>3450</v>
      </c>
      <c r="D515" s="0" t="s">
        <v>3448</v>
      </c>
      <c r="E515" s="19" t="s">
        <v>26</v>
      </c>
      <c r="F515" s="19" t="s">
        <v>32</v>
      </c>
      <c r="G515" s="21" t="s">
        <v>529</v>
      </c>
      <c r="H515" s="21" t="s">
        <v>24</v>
      </c>
      <c r="I515" s="21" t="s">
        <v>26</v>
      </c>
      <c r="J515" s="21" t="s">
        <v>24</v>
      </c>
      <c r="K515" s="21" t="s">
        <v>24</v>
      </c>
      <c r="L515" s="21" t="s">
        <v>24</v>
      </c>
      <c r="M515" s="0" t="n">
        <v>184</v>
      </c>
      <c r="N515" s="0" t="n">
        <v>7</v>
      </c>
      <c r="O515" s="21" t="s">
        <v>4047</v>
      </c>
      <c r="P515" s="21" t="s">
        <v>4467</v>
      </c>
      <c r="Q515" s="0" t="n">
        <v>1</v>
      </c>
      <c r="R515" s="21" t="s">
        <v>69</v>
      </c>
      <c r="S515" s="0" t="n">
        <v>7</v>
      </c>
      <c r="T515" s="21" t="s">
        <v>4047</v>
      </c>
      <c r="U515" s="22" t="b">
        <f aca="false">FALSE()</f>
        <v>0</v>
      </c>
      <c r="V515" s="0" t="n">
        <v>0.65</v>
      </c>
      <c r="W515" s="0" t="n">
        <v>0.4</v>
      </c>
      <c r="X515" s="0" t="n">
        <v>8.37</v>
      </c>
      <c r="Y515" s="0" t="n">
        <v>361.84</v>
      </c>
      <c r="Z515" s="0" t="n">
        <v>9</v>
      </c>
      <c r="AA515" s="0" t="n">
        <v>4.78</v>
      </c>
      <c r="AB515" s="0" t="n">
        <v>3.01</v>
      </c>
      <c r="AC515" s="22" t="b">
        <f aca="false">FALSE()</f>
        <v>0</v>
      </c>
      <c r="AD515" s="0" t="n">
        <v>4.02</v>
      </c>
      <c r="AE515" s="0" t="n">
        <v>0.53</v>
      </c>
      <c r="AF515" s="0" t="n">
        <v>0.95</v>
      </c>
      <c r="AG515" s="22" t="b">
        <f aca="false">FALSE()</f>
        <v>0</v>
      </c>
      <c r="AH515" s="0" t="n">
        <v>1</v>
      </c>
    </row>
    <row r="516" customFormat="false" ht="15" hidden="false" customHeight="false" outlineLevel="0" collapsed="false">
      <c r="A516" s="0" t="s">
        <v>951</v>
      </c>
      <c r="B516" s="0" t="s">
        <v>3459</v>
      </c>
      <c r="C516" s="0" t="s">
        <v>3447</v>
      </c>
      <c r="D516" s="0" t="s">
        <v>3457</v>
      </c>
      <c r="E516" s="19" t="s">
        <v>26</v>
      </c>
      <c r="F516" s="19" t="s">
        <v>32</v>
      </c>
      <c r="G516" s="21" t="s">
        <v>3896</v>
      </c>
      <c r="H516" s="21" t="s">
        <v>24</v>
      </c>
      <c r="I516" s="21" t="s">
        <v>26</v>
      </c>
      <c r="J516" s="21" t="s">
        <v>24</v>
      </c>
      <c r="K516" s="21" t="s">
        <v>25</v>
      </c>
      <c r="L516" s="21" t="s">
        <v>24</v>
      </c>
      <c r="M516" s="0" t="n">
        <v>182</v>
      </c>
      <c r="N516" s="0" t="n">
        <v>11</v>
      </c>
      <c r="O516" s="21" t="s">
        <v>4010</v>
      </c>
      <c r="P516" s="21" t="s">
        <v>4468</v>
      </c>
      <c r="Q516" s="0" t="n">
        <v>0</v>
      </c>
      <c r="S516" s="0" t="n">
        <v>11</v>
      </c>
      <c r="T516" s="21" t="s">
        <v>4010</v>
      </c>
      <c r="U516" s="22" t="b">
        <f aca="false">FALSE()</f>
        <v>0</v>
      </c>
      <c r="V516" s="0" t="n">
        <v>0.68</v>
      </c>
      <c r="W516" s="0" t="n">
        <v>0</v>
      </c>
      <c r="X516" s="0" t="n">
        <v>7.01</v>
      </c>
      <c r="Y516" s="0" t="n">
        <v>674.28</v>
      </c>
      <c r="Z516" s="0" t="n">
        <v>10.42</v>
      </c>
      <c r="AA516" s="0" t="n">
        <v>9.03</v>
      </c>
      <c r="AB516" s="0" t="n">
        <v>4.85</v>
      </c>
      <c r="AC516" s="22" t="b">
        <f aca="false">FALSE()</f>
        <v>0</v>
      </c>
      <c r="AD516" s="0" t="n">
        <v>20.75</v>
      </c>
      <c r="AE516" s="0" t="n">
        <v>0.39</v>
      </c>
      <c r="AF516" s="0" t="n">
        <v>17.9</v>
      </c>
      <c r="AG516" s="22" t="b">
        <f aca="false">TRUE()</f>
        <v>1</v>
      </c>
      <c r="AH516" s="0" t="n">
        <v>1</v>
      </c>
    </row>
    <row r="517" customFormat="false" ht="15" hidden="false" customHeight="false" outlineLevel="0" collapsed="false">
      <c r="A517" s="0" t="s">
        <v>951</v>
      </c>
      <c r="B517" s="0" t="s">
        <v>3459</v>
      </c>
      <c r="C517" s="0" t="s">
        <v>3447</v>
      </c>
      <c r="D517" s="0" t="s">
        <v>3448</v>
      </c>
      <c r="E517" s="18" t="s">
        <v>24</v>
      </c>
      <c r="F517" s="23" t="s">
        <v>30</v>
      </c>
      <c r="G517" s="21" t="s">
        <v>30</v>
      </c>
      <c r="H517" s="21" t="s">
        <v>24</v>
      </c>
      <c r="I517" s="21" t="s">
        <v>24</v>
      </c>
      <c r="J517" s="21" t="s">
        <v>24</v>
      </c>
      <c r="K517" s="21" t="s">
        <v>24</v>
      </c>
      <c r="L517" s="21" t="s">
        <v>24</v>
      </c>
      <c r="M517" s="0" t="n">
        <v>182</v>
      </c>
      <c r="N517" s="0" t="n">
        <v>3</v>
      </c>
      <c r="O517" s="21" t="s">
        <v>3546</v>
      </c>
      <c r="P517" s="21" t="s">
        <v>4469</v>
      </c>
      <c r="Q517" s="0" t="n">
        <v>0</v>
      </c>
      <c r="S517" s="0" t="n">
        <v>3</v>
      </c>
      <c r="T517" s="21" t="s">
        <v>3546</v>
      </c>
      <c r="U517" s="22" t="b">
        <f aca="false">TRUE()</f>
        <v>1</v>
      </c>
      <c r="V517" s="0" t="n">
        <v>0.78</v>
      </c>
      <c r="W517" s="0" t="n">
        <v>0</v>
      </c>
      <c r="X517" s="0" t="n">
        <v>8.27</v>
      </c>
      <c r="Y517" s="0" t="n">
        <v>1.95</v>
      </c>
      <c r="Z517" s="0" t="n">
        <v>9.92</v>
      </c>
      <c r="AA517" s="0" t="n">
        <v>9.87</v>
      </c>
      <c r="AB517" s="0" t="n">
        <v>3.01</v>
      </c>
      <c r="AC517" s="22" t="b">
        <f aca="false">FALSE()</f>
        <v>0</v>
      </c>
      <c r="AD517" s="0" t="n">
        <v>9.45</v>
      </c>
      <c r="AE517" s="0" t="n">
        <v>0.67</v>
      </c>
      <c r="AF517" s="0" t="n">
        <v>7.77</v>
      </c>
      <c r="AG517" s="22" t="b">
        <f aca="false">FALSE()</f>
        <v>0</v>
      </c>
      <c r="AH517" s="0" t="n">
        <v>0</v>
      </c>
    </row>
    <row r="518" customFormat="false" ht="15" hidden="false" customHeight="false" outlineLevel="0" collapsed="false">
      <c r="A518" s="0" t="s">
        <v>958</v>
      </c>
      <c r="B518" s="0" t="s">
        <v>134</v>
      </c>
      <c r="C518" s="0" t="s">
        <v>3450</v>
      </c>
      <c r="D518" s="0" t="s">
        <v>3457</v>
      </c>
      <c r="E518" s="20" t="s">
        <v>25</v>
      </c>
      <c r="F518" s="23" t="s">
        <v>30</v>
      </c>
      <c r="G518" s="21" t="s">
        <v>183</v>
      </c>
      <c r="H518" s="21" t="s">
        <v>24</v>
      </c>
      <c r="I518" s="21" t="s">
        <v>25</v>
      </c>
      <c r="J518" s="21" t="s">
        <v>24</v>
      </c>
      <c r="K518" s="21" t="s">
        <v>25</v>
      </c>
      <c r="L518" s="21" t="s">
        <v>24</v>
      </c>
      <c r="M518" s="0" t="n">
        <v>183</v>
      </c>
      <c r="N518" s="0" t="n">
        <v>1</v>
      </c>
      <c r="O518" s="21" t="s">
        <v>69</v>
      </c>
      <c r="P518" s="21" t="s">
        <v>4275</v>
      </c>
      <c r="Q518" s="0" t="n">
        <v>1</v>
      </c>
      <c r="R518" s="21" t="s">
        <v>69</v>
      </c>
      <c r="S518" s="0" t="n">
        <v>1</v>
      </c>
      <c r="T518" s="21" t="s">
        <v>69</v>
      </c>
      <c r="U518" s="22" t="b">
        <f aca="false">TRUE()</f>
        <v>1</v>
      </c>
      <c r="V518" s="0" t="n">
        <v>0.7</v>
      </c>
      <c r="W518" s="0" t="n">
        <v>0.4</v>
      </c>
      <c r="X518" s="0" t="n">
        <v>7.48</v>
      </c>
      <c r="Y518" s="0" t="n">
        <v>309.49</v>
      </c>
      <c r="Z518" s="0" t="n">
        <v>10.75</v>
      </c>
      <c r="AA518" s="0" t="n">
        <v>5.25</v>
      </c>
      <c r="AB518" s="0" t="n">
        <v>2.75</v>
      </c>
      <c r="AC518" s="22" t="b">
        <f aca="false">FALSE()</f>
        <v>0</v>
      </c>
      <c r="AD518" s="0" t="n">
        <v>26.01</v>
      </c>
      <c r="AE518" s="0" t="n">
        <v>15.32</v>
      </c>
      <c r="AF518" s="0" t="n">
        <v>22.04</v>
      </c>
      <c r="AG518" s="22" t="b">
        <f aca="false">TRUE()</f>
        <v>1</v>
      </c>
      <c r="AH518" s="0" t="n">
        <v>1</v>
      </c>
    </row>
    <row r="519" customFormat="false" ht="15" hidden="false" customHeight="false" outlineLevel="0" collapsed="false">
      <c r="A519" s="0" t="s">
        <v>958</v>
      </c>
      <c r="B519" s="0" t="s">
        <v>134</v>
      </c>
      <c r="C519" s="0" t="s">
        <v>3450</v>
      </c>
      <c r="D519" s="0" t="s">
        <v>3448</v>
      </c>
      <c r="E519" s="20" t="s">
        <v>25</v>
      </c>
      <c r="F519" s="23" t="s">
        <v>30</v>
      </c>
      <c r="G519" s="21" t="s">
        <v>283</v>
      </c>
      <c r="H519" s="21" t="s">
        <v>24</v>
      </c>
      <c r="I519" s="21" t="s">
        <v>25</v>
      </c>
      <c r="J519" s="21" t="s">
        <v>24</v>
      </c>
      <c r="K519" s="21" t="s">
        <v>24</v>
      </c>
      <c r="L519" s="21" t="s">
        <v>24</v>
      </c>
      <c r="M519" s="0" t="n">
        <v>184</v>
      </c>
      <c r="N519" s="0" t="n">
        <v>1</v>
      </c>
      <c r="O519" s="21" t="s">
        <v>69</v>
      </c>
      <c r="P519" s="21" t="s">
        <v>4275</v>
      </c>
      <c r="Q519" s="0" t="n">
        <v>1</v>
      </c>
      <c r="R519" s="21" t="s">
        <v>69</v>
      </c>
      <c r="S519" s="0" t="n">
        <v>1</v>
      </c>
      <c r="T519" s="21" t="s">
        <v>69</v>
      </c>
      <c r="U519" s="22" t="b">
        <f aca="false">TRUE()</f>
        <v>1</v>
      </c>
      <c r="V519" s="0" t="n">
        <v>0.73</v>
      </c>
      <c r="W519" s="0" t="n">
        <v>0.6</v>
      </c>
      <c r="X519" s="0" t="n">
        <v>7.41</v>
      </c>
      <c r="Y519" s="0" t="n">
        <v>300.75</v>
      </c>
      <c r="Z519" s="0" t="n">
        <v>10.25</v>
      </c>
      <c r="AA519" s="0" t="n">
        <v>5.95</v>
      </c>
      <c r="AB519" s="0" t="n">
        <v>4.36</v>
      </c>
      <c r="AC519" s="22" t="b">
        <f aca="false">FALSE()</f>
        <v>0</v>
      </c>
      <c r="AD519" s="0" t="n">
        <v>19.95</v>
      </c>
      <c r="AE519" s="0" t="n">
        <v>8.4</v>
      </c>
      <c r="AF519" s="0" t="n">
        <v>17.18</v>
      </c>
      <c r="AG519" s="22" t="b">
        <f aca="false">TRUE()</f>
        <v>1</v>
      </c>
      <c r="AH519" s="0" t="n">
        <v>1</v>
      </c>
    </row>
    <row r="520" customFormat="false" ht="15" hidden="false" customHeight="false" outlineLevel="0" collapsed="false">
      <c r="A520" s="0" t="s">
        <v>958</v>
      </c>
      <c r="B520" s="0" t="s">
        <v>134</v>
      </c>
      <c r="C520" s="0" t="s">
        <v>3447</v>
      </c>
      <c r="D520" s="0" t="s">
        <v>3457</v>
      </c>
      <c r="E520" s="20" t="s">
        <v>25</v>
      </c>
      <c r="F520" s="23" t="s">
        <v>30</v>
      </c>
      <c r="G520" s="21" t="s">
        <v>992</v>
      </c>
      <c r="H520" s="21" t="s">
        <v>24</v>
      </c>
      <c r="I520" s="21" t="s">
        <v>24</v>
      </c>
      <c r="J520" s="21" t="s">
        <v>24</v>
      </c>
      <c r="K520" s="21" t="s">
        <v>25</v>
      </c>
      <c r="L520" s="21" t="s">
        <v>24</v>
      </c>
      <c r="M520" s="0" t="n">
        <v>184</v>
      </c>
      <c r="N520" s="0" t="n">
        <v>2</v>
      </c>
      <c r="O520" s="21" t="s">
        <v>3514</v>
      </c>
      <c r="P520" s="21" t="s">
        <v>4470</v>
      </c>
      <c r="Q520" s="0" t="n">
        <v>0</v>
      </c>
      <c r="S520" s="0" t="n">
        <v>2</v>
      </c>
      <c r="T520" s="21" t="s">
        <v>3514</v>
      </c>
      <c r="U520" s="22" t="b">
        <f aca="false">TRUE()</f>
        <v>1</v>
      </c>
      <c r="V520" s="0" t="n">
        <v>0.74</v>
      </c>
      <c r="W520" s="0" t="n">
        <v>0</v>
      </c>
      <c r="X520" s="0" t="n">
        <v>7.06</v>
      </c>
      <c r="Y520" s="0" t="n">
        <v>689.65</v>
      </c>
      <c r="Z520" s="0" t="n">
        <v>8</v>
      </c>
      <c r="AA520" s="0" t="n">
        <v>-1.43</v>
      </c>
      <c r="AB520" s="0" t="n">
        <v>2.75</v>
      </c>
      <c r="AC520" s="22" t="b">
        <f aca="false">FALSE()</f>
        <v>0</v>
      </c>
      <c r="AD520" s="0" t="n">
        <v>23.68</v>
      </c>
      <c r="AE520" s="0" t="n">
        <v>11.46</v>
      </c>
      <c r="AF520" s="0" t="n">
        <v>16.83</v>
      </c>
      <c r="AG520" s="22" t="b">
        <f aca="false">TRUE()</f>
        <v>1</v>
      </c>
      <c r="AH520" s="0" t="n">
        <v>1</v>
      </c>
    </row>
    <row r="521" customFormat="false" ht="15" hidden="false" customHeight="false" outlineLevel="0" collapsed="false">
      <c r="A521" s="0" t="s">
        <v>958</v>
      </c>
      <c r="B521" s="0" t="s">
        <v>134</v>
      </c>
      <c r="C521" s="0" t="s">
        <v>3447</v>
      </c>
      <c r="D521" s="0" t="s">
        <v>3448</v>
      </c>
      <c r="E521" s="18" t="s">
        <v>24</v>
      </c>
      <c r="F521" s="23" t="s">
        <v>30</v>
      </c>
      <c r="G521" s="21" t="s">
        <v>30</v>
      </c>
      <c r="H521" s="21" t="s">
        <v>24</v>
      </c>
      <c r="I521" s="21" t="s">
        <v>24</v>
      </c>
      <c r="J521" s="21" t="s">
        <v>24</v>
      </c>
      <c r="K521" s="21" t="s">
        <v>24</v>
      </c>
      <c r="L521" s="21" t="s">
        <v>24</v>
      </c>
      <c r="M521" s="0" t="n">
        <v>184</v>
      </c>
      <c r="N521" s="0" t="n">
        <v>3</v>
      </c>
      <c r="O521" s="21" t="s">
        <v>3541</v>
      </c>
      <c r="P521" s="21" t="s">
        <v>4368</v>
      </c>
      <c r="Q521" s="0" t="n">
        <v>0</v>
      </c>
      <c r="S521" s="0" t="n">
        <v>3</v>
      </c>
      <c r="T521" s="21" t="s">
        <v>3541</v>
      </c>
      <c r="U521" s="22" t="b">
        <f aca="false">TRUE()</f>
        <v>1</v>
      </c>
      <c r="V521" s="0" t="n">
        <v>0.8</v>
      </c>
      <c r="W521" s="0" t="n">
        <v>0</v>
      </c>
      <c r="X521" s="0" t="n">
        <v>10.68</v>
      </c>
      <c r="Y521" s="0" t="n">
        <v>454.72</v>
      </c>
      <c r="Z521" s="0" t="n">
        <v>8.83</v>
      </c>
      <c r="AA521" s="0" t="n">
        <v>-1.6</v>
      </c>
      <c r="AB521" s="0" t="n">
        <v>4.36</v>
      </c>
      <c r="AC521" s="22" t="b">
        <f aca="false">FALSE()</f>
        <v>0</v>
      </c>
      <c r="AD521" s="0" t="n">
        <v>17.98</v>
      </c>
      <c r="AE521" s="0" t="n">
        <v>5.76</v>
      </c>
      <c r="AF521" s="0" t="n">
        <v>14.25</v>
      </c>
      <c r="AG521" s="22" t="b">
        <f aca="false">TRUE()</f>
        <v>1</v>
      </c>
      <c r="AH521" s="0" t="n">
        <v>1</v>
      </c>
    </row>
    <row r="522" customFormat="false" ht="15" hidden="false" customHeight="false" outlineLevel="0" collapsed="false">
      <c r="A522" s="0" t="s">
        <v>964</v>
      </c>
      <c r="B522" s="0" t="s">
        <v>134</v>
      </c>
      <c r="C522" s="0" t="s">
        <v>3450</v>
      </c>
      <c r="D522" s="0" t="s">
        <v>3457</v>
      </c>
      <c r="E522" s="20" t="s">
        <v>25</v>
      </c>
      <c r="F522" s="20" t="s">
        <v>29</v>
      </c>
      <c r="G522" s="21" t="s">
        <v>62</v>
      </c>
      <c r="H522" s="21" t="s">
        <v>24</v>
      </c>
      <c r="I522" s="21" t="s">
        <v>24</v>
      </c>
      <c r="J522" s="21" t="s">
        <v>24</v>
      </c>
      <c r="K522" s="21" t="s">
        <v>25</v>
      </c>
      <c r="L522" s="21" t="s">
        <v>24</v>
      </c>
      <c r="M522" s="0" t="n">
        <v>183</v>
      </c>
      <c r="N522" s="0" t="n">
        <v>0</v>
      </c>
      <c r="Q522" s="0" t="n">
        <v>0</v>
      </c>
      <c r="S522" s="0" t="n">
        <v>0</v>
      </c>
      <c r="U522" s="22" t="b">
        <f aca="false">FALSE()</f>
        <v>0</v>
      </c>
      <c r="V522" s="0" t="n">
        <v>0.67</v>
      </c>
      <c r="W522" s="0" t="n">
        <v>0.44</v>
      </c>
      <c r="X522" s="0" t="n">
        <v>9.37</v>
      </c>
      <c r="Y522" s="0" t="n">
        <v>318.46</v>
      </c>
      <c r="Z522" s="0" t="n">
        <v>9.42</v>
      </c>
      <c r="AA522" s="0" t="n">
        <v>-1.21</v>
      </c>
      <c r="AB522" s="0" t="n">
        <v>1.62</v>
      </c>
      <c r="AC522" s="22" t="b">
        <f aca="false">FALSE()</f>
        <v>0</v>
      </c>
      <c r="AD522" s="0" t="n">
        <v>5.09</v>
      </c>
      <c r="AE522" s="0" t="n">
        <v>0.45</v>
      </c>
      <c r="AF522" s="0" t="n">
        <v>1.86</v>
      </c>
      <c r="AG522" s="22" t="b">
        <f aca="false">FALSE()</f>
        <v>0</v>
      </c>
      <c r="AH522" s="0" t="n">
        <v>1</v>
      </c>
    </row>
    <row r="523" customFormat="false" ht="15" hidden="false" customHeight="false" outlineLevel="0" collapsed="false">
      <c r="A523" s="0" t="s">
        <v>964</v>
      </c>
      <c r="B523" s="0" t="s">
        <v>134</v>
      </c>
      <c r="C523" s="0" t="s">
        <v>3450</v>
      </c>
      <c r="D523" s="0" t="s">
        <v>3448</v>
      </c>
      <c r="E523" s="20" t="s">
        <v>25</v>
      </c>
      <c r="F523" s="23" t="s">
        <v>30</v>
      </c>
      <c r="G523" s="21" t="s">
        <v>1230</v>
      </c>
      <c r="H523" s="21" t="s">
        <v>24</v>
      </c>
      <c r="I523" s="21" t="s">
        <v>25</v>
      </c>
      <c r="J523" s="21" t="s">
        <v>24</v>
      </c>
      <c r="K523" s="21" t="s">
        <v>25</v>
      </c>
      <c r="L523" s="21" t="s">
        <v>24</v>
      </c>
      <c r="M523" s="0" t="n">
        <v>188</v>
      </c>
      <c r="N523" s="0" t="n">
        <v>4</v>
      </c>
      <c r="O523" s="21" t="s">
        <v>3773</v>
      </c>
      <c r="P523" s="21" t="s">
        <v>4364</v>
      </c>
      <c r="Q523" s="0" t="n">
        <v>1</v>
      </c>
      <c r="R523" s="21" t="s">
        <v>69</v>
      </c>
      <c r="S523" s="0" t="n">
        <v>4</v>
      </c>
      <c r="T523" s="21" t="s">
        <v>3773</v>
      </c>
      <c r="U523" s="22" t="b">
        <f aca="false">TRUE()</f>
        <v>1</v>
      </c>
      <c r="V523" s="0" t="n">
        <v>0.63</v>
      </c>
      <c r="W523" s="0" t="n">
        <v>0.48</v>
      </c>
      <c r="X523" s="0" t="n">
        <v>13.95</v>
      </c>
      <c r="Y523" s="0" t="n">
        <v>334.4</v>
      </c>
      <c r="Z523" s="0" t="n">
        <v>9.83</v>
      </c>
      <c r="AA523" s="0" t="n">
        <v>1.26</v>
      </c>
      <c r="AB523" s="0" t="n">
        <v>3.48</v>
      </c>
      <c r="AC523" s="22" t="b">
        <f aca="false">FALSE()</f>
        <v>0</v>
      </c>
      <c r="AD523" s="0" t="n">
        <v>10.59</v>
      </c>
      <c r="AE523" s="0" t="n">
        <v>0.89</v>
      </c>
      <c r="AF523" s="0" t="n">
        <v>9.02</v>
      </c>
      <c r="AG523" s="22" t="b">
        <f aca="false">TRUE()</f>
        <v>1</v>
      </c>
      <c r="AH523" s="0" t="n">
        <v>1</v>
      </c>
    </row>
    <row r="524" customFormat="false" ht="15" hidden="false" customHeight="false" outlineLevel="0" collapsed="false">
      <c r="A524" s="0" t="s">
        <v>964</v>
      </c>
      <c r="B524" s="0" t="s">
        <v>134</v>
      </c>
      <c r="C524" s="0" t="s">
        <v>3447</v>
      </c>
      <c r="D524" s="0" t="s">
        <v>3457</v>
      </c>
      <c r="E524" s="18" t="s">
        <v>24</v>
      </c>
      <c r="F524" s="18" t="s">
        <v>28</v>
      </c>
      <c r="H524" s="21" t="s">
        <v>24</v>
      </c>
      <c r="I524" s="21" t="s">
        <v>24</v>
      </c>
      <c r="J524" s="21" t="s">
        <v>24</v>
      </c>
      <c r="K524" s="21" t="s">
        <v>24</v>
      </c>
      <c r="L524" s="21" t="s">
        <v>24</v>
      </c>
      <c r="M524" s="0" t="n">
        <v>186</v>
      </c>
      <c r="N524" s="0" t="n">
        <v>0</v>
      </c>
      <c r="Q524" s="0" t="n">
        <v>0</v>
      </c>
      <c r="S524" s="0" t="n">
        <v>0</v>
      </c>
      <c r="U524" s="22" t="b">
        <f aca="false">FALSE()</f>
        <v>0</v>
      </c>
      <c r="V524" s="0" t="n">
        <v>0.66</v>
      </c>
      <c r="W524" s="0" t="n">
        <v>0.44</v>
      </c>
      <c r="X524" s="0" t="n">
        <v>11.28</v>
      </c>
      <c r="Y524" s="0" t="n">
        <v>339.32</v>
      </c>
      <c r="Z524" s="0" t="n">
        <v>8.92</v>
      </c>
      <c r="AA524" s="0" t="n">
        <v>-0.89</v>
      </c>
      <c r="AB524" s="0" t="n">
        <v>1.62</v>
      </c>
      <c r="AC524" s="22" t="b">
        <f aca="false">FALSE()</f>
        <v>0</v>
      </c>
      <c r="AD524" s="0" t="n">
        <v>5.07</v>
      </c>
      <c r="AE524" s="0" t="n">
        <v>0.1</v>
      </c>
      <c r="AF524" s="0" t="n">
        <v>0.71</v>
      </c>
      <c r="AG524" s="22" t="b">
        <f aca="false">FALSE()</f>
        <v>0</v>
      </c>
      <c r="AH524" s="0" t="n">
        <v>1</v>
      </c>
    </row>
    <row r="525" customFormat="false" ht="15" hidden="false" customHeight="false" outlineLevel="0" collapsed="false">
      <c r="A525" s="0" t="s">
        <v>964</v>
      </c>
      <c r="B525" s="0" t="s">
        <v>134</v>
      </c>
      <c r="C525" s="0" t="s">
        <v>3447</v>
      </c>
      <c r="D525" s="0" t="s">
        <v>3448</v>
      </c>
      <c r="E525" s="19" t="s">
        <v>26</v>
      </c>
      <c r="F525" s="19" t="s">
        <v>32</v>
      </c>
      <c r="G525" s="21" t="s">
        <v>529</v>
      </c>
      <c r="H525" s="21" t="s">
        <v>24</v>
      </c>
      <c r="I525" s="21" t="s">
        <v>26</v>
      </c>
      <c r="J525" s="21" t="s">
        <v>24</v>
      </c>
      <c r="K525" s="21" t="s">
        <v>24</v>
      </c>
      <c r="L525" s="21" t="s">
        <v>24</v>
      </c>
      <c r="M525" s="0" t="n">
        <v>184</v>
      </c>
      <c r="N525" s="0" t="n">
        <v>9</v>
      </c>
      <c r="O525" s="21" t="s">
        <v>4042</v>
      </c>
      <c r="P525" s="21" t="s">
        <v>4471</v>
      </c>
      <c r="Q525" s="0" t="n">
        <v>1</v>
      </c>
      <c r="R525" s="21" t="s">
        <v>69</v>
      </c>
      <c r="S525" s="0" t="n">
        <v>9</v>
      </c>
      <c r="T525" s="21" t="s">
        <v>4042</v>
      </c>
      <c r="U525" s="22" t="b">
        <f aca="false">FALSE()</f>
        <v>0</v>
      </c>
      <c r="V525" s="0" t="n">
        <v>0.64</v>
      </c>
      <c r="W525" s="0" t="n">
        <v>0.12</v>
      </c>
      <c r="X525" s="0" t="n">
        <v>11.23</v>
      </c>
      <c r="Y525" s="0" t="n">
        <v>607.99</v>
      </c>
      <c r="Z525" s="0" t="n">
        <v>8.83</v>
      </c>
      <c r="AA525" s="0" t="n">
        <v>-1.47</v>
      </c>
      <c r="AB525" s="0" t="n">
        <v>3.48</v>
      </c>
      <c r="AC525" s="22" t="b">
        <f aca="false">FALSE()</f>
        <v>0</v>
      </c>
      <c r="AD525" s="0" t="n">
        <v>9.51</v>
      </c>
      <c r="AE525" s="0" t="n">
        <v>0.82</v>
      </c>
      <c r="AF525" s="0" t="n">
        <v>10.35</v>
      </c>
      <c r="AG525" s="22" t="b">
        <f aca="false">FALSE()</f>
        <v>0</v>
      </c>
      <c r="AH525" s="0" t="n">
        <v>1</v>
      </c>
    </row>
    <row r="526" customFormat="false" ht="15" hidden="false" customHeight="false" outlineLevel="0" collapsed="false">
      <c r="A526" s="0" t="s">
        <v>964</v>
      </c>
      <c r="B526" s="0" t="s">
        <v>3459</v>
      </c>
      <c r="C526" s="0" t="s">
        <v>3450</v>
      </c>
      <c r="D526" s="0" t="s">
        <v>3457</v>
      </c>
      <c r="E526" s="20" t="s">
        <v>25</v>
      </c>
      <c r="F526" s="23" t="s">
        <v>30</v>
      </c>
      <c r="G526" s="21" t="s">
        <v>1230</v>
      </c>
      <c r="H526" s="21" t="s">
        <v>24</v>
      </c>
      <c r="I526" s="21" t="s">
        <v>25</v>
      </c>
      <c r="J526" s="21" t="s">
        <v>24</v>
      </c>
      <c r="K526" s="21" t="s">
        <v>25</v>
      </c>
      <c r="L526" s="21" t="s">
        <v>24</v>
      </c>
      <c r="M526" s="0" t="n">
        <v>195</v>
      </c>
      <c r="N526" s="0" t="n">
        <v>3</v>
      </c>
      <c r="O526" s="21" t="s">
        <v>3664</v>
      </c>
      <c r="P526" s="21" t="s">
        <v>4331</v>
      </c>
      <c r="Q526" s="0" t="n">
        <v>1</v>
      </c>
      <c r="R526" s="21" t="s">
        <v>69</v>
      </c>
      <c r="S526" s="0" t="n">
        <v>3</v>
      </c>
      <c r="T526" s="21" t="s">
        <v>3664</v>
      </c>
      <c r="U526" s="22" t="b">
        <f aca="false">TRUE()</f>
        <v>1</v>
      </c>
      <c r="V526" s="0" t="n">
        <v>0.62</v>
      </c>
      <c r="W526" s="0" t="n">
        <v>0.24</v>
      </c>
      <c r="X526" s="0" t="n">
        <v>11.72</v>
      </c>
      <c r="Y526" s="0" t="n">
        <v>426.86</v>
      </c>
      <c r="Z526" s="0" t="n">
        <v>9.83</v>
      </c>
      <c r="AA526" s="0" t="n">
        <v>-0.97</v>
      </c>
      <c r="AB526" s="0" t="n">
        <v>1.85</v>
      </c>
      <c r="AC526" s="22" t="b">
        <f aca="false">FALSE()</f>
        <v>0</v>
      </c>
      <c r="AD526" s="0" t="n">
        <v>2.53</v>
      </c>
      <c r="AE526" s="0" t="n">
        <v>1.24</v>
      </c>
      <c r="AF526" s="0" t="n">
        <v>8.49</v>
      </c>
      <c r="AG526" s="22" t="b">
        <f aca="false">FALSE()</f>
        <v>0</v>
      </c>
      <c r="AH526" s="0" t="n">
        <v>1</v>
      </c>
    </row>
    <row r="527" customFormat="false" ht="15" hidden="false" customHeight="false" outlineLevel="0" collapsed="false">
      <c r="A527" s="0" t="s">
        <v>964</v>
      </c>
      <c r="B527" s="0" t="s">
        <v>3459</v>
      </c>
      <c r="C527" s="0" t="s">
        <v>3450</v>
      </c>
      <c r="D527" s="0" t="s">
        <v>3448</v>
      </c>
      <c r="E527" s="20" t="s">
        <v>25</v>
      </c>
      <c r="F527" s="23" t="s">
        <v>30</v>
      </c>
      <c r="G527" s="21" t="s">
        <v>3723</v>
      </c>
      <c r="H527" s="21" t="s">
        <v>25</v>
      </c>
      <c r="I527" s="21" t="s">
        <v>25</v>
      </c>
      <c r="J527" s="21" t="s">
        <v>24</v>
      </c>
      <c r="K527" s="21" t="s">
        <v>25</v>
      </c>
      <c r="L527" s="21" t="s">
        <v>24</v>
      </c>
      <c r="M527" s="0" t="n">
        <v>262</v>
      </c>
      <c r="N527" s="0" t="n">
        <v>2</v>
      </c>
      <c r="O527" s="21" t="s">
        <v>3575</v>
      </c>
      <c r="P527" s="21" t="s">
        <v>4265</v>
      </c>
      <c r="Q527" s="0" t="n">
        <v>1</v>
      </c>
      <c r="R527" s="21" t="s">
        <v>69</v>
      </c>
      <c r="S527" s="0" t="n">
        <v>2</v>
      </c>
      <c r="T527" s="21" t="s">
        <v>3575</v>
      </c>
      <c r="U527" s="22" t="b">
        <f aca="false">TRUE()</f>
        <v>1</v>
      </c>
      <c r="V527" s="0" t="n">
        <v>0.66</v>
      </c>
      <c r="W527" s="0" t="n">
        <v>0.52</v>
      </c>
      <c r="X527" s="0" t="n">
        <v>11.69</v>
      </c>
      <c r="Y527" s="0" t="n">
        <v>464.25</v>
      </c>
      <c r="Z527" s="0" t="n">
        <v>9.75</v>
      </c>
      <c r="AA527" s="0" t="n">
        <v>0.45</v>
      </c>
      <c r="AB527" s="0" t="n">
        <v>4.53</v>
      </c>
      <c r="AC527" s="22" t="b">
        <f aca="false">FALSE()</f>
        <v>0</v>
      </c>
      <c r="AD527" s="0" t="n">
        <v>5.55</v>
      </c>
      <c r="AE527" s="0" t="n">
        <v>0.72</v>
      </c>
      <c r="AF527" s="0" t="n">
        <v>3.8</v>
      </c>
      <c r="AG527" s="22" t="b">
        <f aca="false">FALSE()</f>
        <v>0</v>
      </c>
      <c r="AH527" s="0" t="n">
        <v>1</v>
      </c>
    </row>
    <row r="528" customFormat="false" ht="15" hidden="false" customHeight="false" outlineLevel="0" collapsed="false">
      <c r="A528" s="0" t="s">
        <v>964</v>
      </c>
      <c r="B528" s="0" t="s">
        <v>3459</v>
      </c>
      <c r="C528" s="0" t="s">
        <v>3447</v>
      </c>
      <c r="D528" s="0" t="s">
        <v>3457</v>
      </c>
      <c r="E528" s="20" t="s">
        <v>25</v>
      </c>
      <c r="F528" s="23" t="s">
        <v>30</v>
      </c>
      <c r="G528" s="21" t="s">
        <v>283</v>
      </c>
      <c r="H528" s="21" t="s">
        <v>24</v>
      </c>
      <c r="I528" s="21" t="s">
        <v>25</v>
      </c>
      <c r="J528" s="21" t="s">
        <v>24</v>
      </c>
      <c r="K528" s="21" t="s">
        <v>24</v>
      </c>
      <c r="L528" s="21" t="s">
        <v>24</v>
      </c>
      <c r="M528" s="0" t="n">
        <v>186</v>
      </c>
      <c r="N528" s="0" t="n">
        <v>6</v>
      </c>
      <c r="O528" s="21" t="s">
        <v>3863</v>
      </c>
      <c r="P528" s="21" t="s">
        <v>4472</v>
      </c>
      <c r="Q528" s="0" t="n">
        <v>1</v>
      </c>
      <c r="R528" s="21" t="s">
        <v>69</v>
      </c>
      <c r="S528" s="0" t="n">
        <v>6</v>
      </c>
      <c r="T528" s="21" t="s">
        <v>3863</v>
      </c>
      <c r="U528" s="22" t="b">
        <f aca="false">TRUE()</f>
        <v>1</v>
      </c>
      <c r="V528" s="0" t="n">
        <v>0.63</v>
      </c>
      <c r="W528" s="0" t="n">
        <v>0.44</v>
      </c>
      <c r="X528" s="0" t="n">
        <v>9.52</v>
      </c>
      <c r="Y528" s="0" t="n">
        <v>334.81</v>
      </c>
      <c r="Z528" s="0" t="n">
        <v>9.75</v>
      </c>
      <c r="AA528" s="0" t="n">
        <v>-0.52</v>
      </c>
      <c r="AB528" s="0" t="n">
        <v>1.85</v>
      </c>
      <c r="AC528" s="22" t="b">
        <f aca="false">FALSE()</f>
        <v>0</v>
      </c>
      <c r="AD528" s="0" t="n">
        <v>2.85</v>
      </c>
      <c r="AE528" s="0" t="n">
        <v>1.09</v>
      </c>
      <c r="AF528" s="0" t="n">
        <v>8.48</v>
      </c>
      <c r="AG528" s="22" t="b">
        <f aca="false">FALSE()</f>
        <v>0</v>
      </c>
      <c r="AH528" s="0" t="n">
        <v>1</v>
      </c>
    </row>
    <row r="529" customFormat="false" ht="15" hidden="false" customHeight="false" outlineLevel="0" collapsed="false">
      <c r="A529" s="0" t="s">
        <v>964</v>
      </c>
      <c r="B529" s="0" t="s">
        <v>3459</v>
      </c>
      <c r="C529" s="0" t="s">
        <v>3447</v>
      </c>
      <c r="D529" s="0" t="s">
        <v>3448</v>
      </c>
      <c r="E529" s="20" t="s">
        <v>25</v>
      </c>
      <c r="F529" s="23" t="s">
        <v>30</v>
      </c>
      <c r="G529" s="21" t="s">
        <v>283</v>
      </c>
      <c r="H529" s="21" t="s">
        <v>24</v>
      </c>
      <c r="I529" s="21" t="s">
        <v>25</v>
      </c>
      <c r="J529" s="21" t="s">
        <v>24</v>
      </c>
      <c r="K529" s="21" t="s">
        <v>24</v>
      </c>
      <c r="L529" s="21" t="s">
        <v>24</v>
      </c>
      <c r="M529" s="0" t="n">
        <v>185</v>
      </c>
      <c r="N529" s="0" t="n">
        <v>3</v>
      </c>
      <c r="O529" s="21" t="s">
        <v>3649</v>
      </c>
      <c r="P529" s="21" t="s">
        <v>4242</v>
      </c>
      <c r="Q529" s="0" t="n">
        <v>1</v>
      </c>
      <c r="R529" s="21" t="s">
        <v>69</v>
      </c>
      <c r="S529" s="0" t="n">
        <v>3</v>
      </c>
      <c r="T529" s="21" t="s">
        <v>3649</v>
      </c>
      <c r="U529" s="22" t="b">
        <f aca="false">TRUE()</f>
        <v>1</v>
      </c>
      <c r="V529" s="0" t="n">
        <v>0.67</v>
      </c>
      <c r="W529" s="0" t="n">
        <v>0.36</v>
      </c>
      <c r="X529" s="0" t="n">
        <v>11.1</v>
      </c>
      <c r="Y529" s="0" t="n">
        <v>372.31</v>
      </c>
      <c r="Z529" s="0" t="n">
        <v>8</v>
      </c>
      <c r="AA529" s="0" t="n">
        <v>-1.23</v>
      </c>
      <c r="AB529" s="0" t="n">
        <v>4.53</v>
      </c>
      <c r="AC529" s="22" t="b">
        <f aca="false">FALSE()</f>
        <v>0</v>
      </c>
      <c r="AD529" s="0" t="n">
        <v>5.9</v>
      </c>
      <c r="AE529" s="0" t="n">
        <v>1.36</v>
      </c>
      <c r="AF529" s="0" t="n">
        <v>3.06</v>
      </c>
      <c r="AG529" s="22" t="b">
        <f aca="false">FALSE()</f>
        <v>0</v>
      </c>
      <c r="AH529" s="0" t="n">
        <v>1</v>
      </c>
    </row>
    <row r="530" customFormat="false" ht="15" hidden="false" customHeight="false" outlineLevel="0" collapsed="false">
      <c r="A530" s="0" t="s">
        <v>971</v>
      </c>
      <c r="B530" s="0" t="s">
        <v>134</v>
      </c>
      <c r="C530" s="0" t="s">
        <v>3450</v>
      </c>
      <c r="D530" s="0" t="s">
        <v>3457</v>
      </c>
      <c r="E530" s="19" t="s">
        <v>26</v>
      </c>
      <c r="F530" s="19" t="s">
        <v>32</v>
      </c>
      <c r="G530" s="21" t="s">
        <v>529</v>
      </c>
      <c r="H530" s="21" t="s">
        <v>24</v>
      </c>
      <c r="I530" s="21" t="s">
        <v>26</v>
      </c>
      <c r="J530" s="21" t="s">
        <v>24</v>
      </c>
      <c r="K530" s="21" t="s">
        <v>24</v>
      </c>
      <c r="L530" s="21" t="s">
        <v>24</v>
      </c>
      <c r="M530" s="0" t="n">
        <v>185</v>
      </c>
      <c r="N530" s="0" t="n">
        <v>12</v>
      </c>
      <c r="O530" s="21" t="s">
        <v>4044</v>
      </c>
      <c r="P530" s="21" t="s">
        <v>4278</v>
      </c>
      <c r="Q530" s="0" t="n">
        <v>1</v>
      </c>
      <c r="R530" s="21" t="s">
        <v>69</v>
      </c>
      <c r="S530" s="0" t="n">
        <v>12</v>
      </c>
      <c r="T530" s="21" t="s">
        <v>4044</v>
      </c>
      <c r="U530" s="22" t="b">
        <f aca="false">FALSE()</f>
        <v>0</v>
      </c>
      <c r="V530" s="0" t="n">
        <v>0.64</v>
      </c>
      <c r="W530" s="0" t="n">
        <v>0.4</v>
      </c>
      <c r="X530" s="0" t="n">
        <v>10.69</v>
      </c>
      <c r="Y530" s="0" t="n">
        <v>356.22</v>
      </c>
      <c r="Z530" s="0" t="n">
        <v>10.25</v>
      </c>
      <c r="AA530" s="0" t="n">
        <v>20.65</v>
      </c>
      <c r="AB530" s="0" t="n">
        <v>4.51</v>
      </c>
      <c r="AC530" s="22" t="b">
        <f aca="false">FALSE()</f>
        <v>0</v>
      </c>
      <c r="AD530" s="0" t="n">
        <v>5.98</v>
      </c>
      <c r="AE530" s="0" t="n">
        <v>0.73</v>
      </c>
      <c r="AF530" s="0" t="n">
        <v>1.18</v>
      </c>
      <c r="AG530" s="22" t="b">
        <f aca="false">FALSE()</f>
        <v>0</v>
      </c>
      <c r="AH530" s="0" t="n">
        <v>1</v>
      </c>
    </row>
    <row r="531" customFormat="false" ht="15" hidden="false" customHeight="false" outlineLevel="0" collapsed="false">
      <c r="A531" s="0" t="s">
        <v>971</v>
      </c>
      <c r="B531" s="0" t="s">
        <v>134</v>
      </c>
      <c r="C531" s="0" t="s">
        <v>3450</v>
      </c>
      <c r="D531" s="0" t="s">
        <v>3448</v>
      </c>
      <c r="E531" s="20" t="s">
        <v>25</v>
      </c>
      <c r="F531" s="23" t="s">
        <v>30</v>
      </c>
      <c r="G531" s="21" t="s">
        <v>283</v>
      </c>
      <c r="H531" s="21" t="s">
        <v>24</v>
      </c>
      <c r="I531" s="21" t="s">
        <v>25</v>
      </c>
      <c r="J531" s="21" t="s">
        <v>24</v>
      </c>
      <c r="K531" s="21" t="s">
        <v>24</v>
      </c>
      <c r="L531" s="21" t="s">
        <v>24</v>
      </c>
      <c r="M531" s="0" t="n">
        <v>187</v>
      </c>
      <c r="N531" s="0" t="n">
        <v>3</v>
      </c>
      <c r="O531" s="21" t="s">
        <v>3649</v>
      </c>
      <c r="P531" s="21" t="s">
        <v>4242</v>
      </c>
      <c r="Q531" s="0" t="n">
        <v>1</v>
      </c>
      <c r="R531" s="21" t="s">
        <v>69</v>
      </c>
      <c r="S531" s="0" t="n">
        <v>3</v>
      </c>
      <c r="T531" s="21" t="s">
        <v>3649</v>
      </c>
      <c r="U531" s="22" t="b">
        <f aca="false">TRUE()</f>
        <v>1</v>
      </c>
      <c r="V531" s="0" t="n">
        <v>0.71</v>
      </c>
      <c r="W531" s="0" t="n">
        <v>0.88</v>
      </c>
      <c r="X531" s="0" t="n">
        <v>10.26</v>
      </c>
      <c r="Y531" s="0" t="n">
        <v>325.14</v>
      </c>
      <c r="Z531" s="0" t="n">
        <v>9.5</v>
      </c>
      <c r="AA531" s="0" t="n">
        <v>16.21</v>
      </c>
      <c r="AB531" s="0" t="n">
        <v>9.19</v>
      </c>
      <c r="AC531" s="22" t="b">
        <f aca="false">FALSE()</f>
        <v>0</v>
      </c>
      <c r="AD531" s="0" t="n">
        <v>10.3</v>
      </c>
      <c r="AE531" s="0" t="n">
        <v>0.52</v>
      </c>
      <c r="AF531" s="0" t="n">
        <v>2.21</v>
      </c>
      <c r="AG531" s="22" t="b">
        <f aca="false">TRUE()</f>
        <v>1</v>
      </c>
      <c r="AH531" s="0" t="n">
        <v>1</v>
      </c>
    </row>
    <row r="532" customFormat="false" ht="15" hidden="false" customHeight="false" outlineLevel="0" collapsed="false">
      <c r="A532" s="0" t="s">
        <v>971</v>
      </c>
      <c r="B532" s="0" t="s">
        <v>134</v>
      </c>
      <c r="C532" s="0" t="s">
        <v>3447</v>
      </c>
      <c r="D532" s="0" t="s">
        <v>3457</v>
      </c>
      <c r="E532" s="18" t="s">
        <v>24</v>
      </c>
      <c r="F532" s="23" t="s">
        <v>30</v>
      </c>
      <c r="G532" s="21" t="s">
        <v>30</v>
      </c>
      <c r="H532" s="21" t="s">
        <v>24</v>
      </c>
      <c r="I532" s="21" t="s">
        <v>24</v>
      </c>
      <c r="J532" s="21" t="s">
        <v>24</v>
      </c>
      <c r="K532" s="21" t="s">
        <v>24</v>
      </c>
      <c r="L532" s="21" t="s">
        <v>24</v>
      </c>
      <c r="M532" s="0" t="n">
        <v>184</v>
      </c>
      <c r="N532" s="0" t="n">
        <v>2</v>
      </c>
      <c r="O532" s="21" t="s">
        <v>3503</v>
      </c>
      <c r="P532" s="21" t="s">
        <v>4473</v>
      </c>
      <c r="Q532" s="0" t="n">
        <v>0</v>
      </c>
      <c r="S532" s="0" t="n">
        <v>2</v>
      </c>
      <c r="T532" s="21" t="s">
        <v>3503</v>
      </c>
      <c r="U532" s="22" t="b">
        <f aca="false">TRUE()</f>
        <v>1</v>
      </c>
      <c r="V532" s="0" t="n">
        <v>0.56</v>
      </c>
      <c r="W532" s="0" t="n">
        <v>0.6</v>
      </c>
      <c r="X532" s="0" t="n">
        <v>9.86</v>
      </c>
      <c r="Y532" s="0" t="n">
        <v>316.83</v>
      </c>
      <c r="Z532" s="0" t="n">
        <v>8</v>
      </c>
      <c r="AA532" s="0" t="n">
        <v>-0.68</v>
      </c>
      <c r="AB532" s="0" t="n">
        <v>4.51</v>
      </c>
      <c r="AC532" s="22" t="b">
        <f aca="false">FALSE()</f>
        <v>0</v>
      </c>
      <c r="AD532" s="0" t="n">
        <v>3.12</v>
      </c>
      <c r="AE532" s="0" t="n">
        <v>3</v>
      </c>
      <c r="AF532" s="0" t="n">
        <v>2.28</v>
      </c>
      <c r="AG532" s="22" t="b">
        <f aca="false">FALSE()</f>
        <v>0</v>
      </c>
      <c r="AH532" s="0" t="n">
        <v>1</v>
      </c>
    </row>
    <row r="533" customFormat="false" ht="15" hidden="false" customHeight="false" outlineLevel="0" collapsed="false">
      <c r="A533" s="0" t="s">
        <v>971</v>
      </c>
      <c r="B533" s="0" t="s">
        <v>134</v>
      </c>
      <c r="C533" s="0" t="s">
        <v>3447</v>
      </c>
      <c r="D533" s="0" t="s">
        <v>3448</v>
      </c>
      <c r="E533" s="18" t="s">
        <v>24</v>
      </c>
      <c r="F533" s="18" t="s">
        <v>28</v>
      </c>
      <c r="H533" s="21" t="s">
        <v>24</v>
      </c>
      <c r="I533" s="21" t="s">
        <v>24</v>
      </c>
      <c r="J533" s="21" t="s">
        <v>24</v>
      </c>
      <c r="K533" s="21" t="s">
        <v>24</v>
      </c>
      <c r="L533" s="21" t="s">
        <v>24</v>
      </c>
      <c r="M533" s="0" t="n">
        <v>183</v>
      </c>
      <c r="N533" s="0" t="n">
        <v>0</v>
      </c>
      <c r="Q533" s="0" t="n">
        <v>0</v>
      </c>
      <c r="S533" s="0" t="n">
        <v>0</v>
      </c>
      <c r="U533" s="22" t="b">
        <f aca="false">FALSE()</f>
        <v>0</v>
      </c>
      <c r="V533" s="0" t="n">
        <v>0.68</v>
      </c>
      <c r="W533" s="0" t="n">
        <v>0.56</v>
      </c>
      <c r="X533" s="0" t="n">
        <v>11.77</v>
      </c>
      <c r="Y533" s="0" t="n">
        <v>321.7</v>
      </c>
      <c r="Z533" s="0" t="n">
        <v>10.25</v>
      </c>
      <c r="AA533" s="0" t="n">
        <v>4.45</v>
      </c>
      <c r="AB533" s="0" t="n">
        <v>9.19</v>
      </c>
      <c r="AC533" s="22" t="b">
        <f aca="false">FALSE()</f>
        <v>0</v>
      </c>
      <c r="AD533" s="0" t="n">
        <v>5.81</v>
      </c>
      <c r="AE533" s="0" t="n">
        <v>2.08</v>
      </c>
      <c r="AF533" s="0" t="n">
        <v>1.62</v>
      </c>
      <c r="AG533" s="22" t="b">
        <f aca="false">FALSE()</f>
        <v>0</v>
      </c>
      <c r="AH533" s="0" t="n">
        <v>1</v>
      </c>
    </row>
    <row r="534" customFormat="false" ht="15" hidden="false" customHeight="false" outlineLevel="0" collapsed="false">
      <c r="A534" s="0" t="s">
        <v>977</v>
      </c>
      <c r="B534" s="0" t="s">
        <v>134</v>
      </c>
      <c r="C534" s="0" t="s">
        <v>3450</v>
      </c>
      <c r="D534" s="0" t="s">
        <v>3457</v>
      </c>
      <c r="E534" s="18" t="s">
        <v>24</v>
      </c>
      <c r="F534" s="18" t="s">
        <v>28</v>
      </c>
      <c r="H534" s="21" t="s">
        <v>24</v>
      </c>
      <c r="I534" s="21" t="s">
        <v>24</v>
      </c>
      <c r="J534" s="21" t="s">
        <v>24</v>
      </c>
      <c r="K534" s="21" t="s">
        <v>24</v>
      </c>
      <c r="L534" s="21" t="s">
        <v>24</v>
      </c>
      <c r="M534" s="0" t="n">
        <v>182</v>
      </c>
      <c r="N534" s="0" t="n">
        <v>0</v>
      </c>
      <c r="Q534" s="0" t="n">
        <v>0</v>
      </c>
      <c r="S534" s="0" t="n">
        <v>0</v>
      </c>
      <c r="U534" s="22" t="b">
        <f aca="false">FALSE()</f>
        <v>0</v>
      </c>
      <c r="V534" s="0" t="n">
        <v>0.78</v>
      </c>
      <c r="W534" s="0" t="n">
        <v>0.28</v>
      </c>
      <c r="X534" s="0" t="n">
        <v>7.13</v>
      </c>
      <c r="Y534" s="0" t="n">
        <v>383.66</v>
      </c>
      <c r="Z534" s="0" t="n">
        <v>9.25</v>
      </c>
      <c r="AA534" s="0" t="n">
        <v>14.45</v>
      </c>
      <c r="AB534" s="0" t="n">
        <v>11.58</v>
      </c>
      <c r="AC534" s="22" t="b">
        <f aca="false">FALSE()</f>
        <v>0</v>
      </c>
      <c r="AD534" s="0" t="n">
        <v>19.92</v>
      </c>
      <c r="AE534" s="0" t="n">
        <v>1.08</v>
      </c>
      <c r="AF534" s="0" t="n">
        <v>8.28</v>
      </c>
      <c r="AG534" s="22" t="b">
        <f aca="false">TRUE()</f>
        <v>1</v>
      </c>
      <c r="AH534" s="0" t="n">
        <v>1</v>
      </c>
    </row>
    <row r="535" customFormat="false" ht="15" hidden="false" customHeight="false" outlineLevel="0" collapsed="false">
      <c r="A535" s="0" t="s">
        <v>977</v>
      </c>
      <c r="B535" s="0" t="s">
        <v>134</v>
      </c>
      <c r="C535" s="0" t="s">
        <v>3450</v>
      </c>
      <c r="D535" s="0" t="s">
        <v>3448</v>
      </c>
      <c r="E535" s="18" t="s">
        <v>24</v>
      </c>
      <c r="F535" s="18" t="s">
        <v>28</v>
      </c>
      <c r="H535" s="21" t="s">
        <v>24</v>
      </c>
      <c r="I535" s="21" t="s">
        <v>24</v>
      </c>
      <c r="J535" s="21" t="s">
        <v>24</v>
      </c>
      <c r="K535" s="21" t="s">
        <v>24</v>
      </c>
      <c r="L535" s="21" t="s">
        <v>24</v>
      </c>
      <c r="M535" s="0" t="n">
        <v>185</v>
      </c>
      <c r="N535" s="0" t="n">
        <v>0</v>
      </c>
      <c r="Q535" s="0" t="n">
        <v>0</v>
      </c>
      <c r="S535" s="0" t="n">
        <v>0</v>
      </c>
      <c r="U535" s="22" t="b">
        <f aca="false">FALSE()</f>
        <v>0</v>
      </c>
      <c r="V535" s="0" t="n">
        <v>0.8</v>
      </c>
      <c r="W535" s="0" t="n">
        <v>0</v>
      </c>
      <c r="X535" s="0" t="n">
        <v>6.67</v>
      </c>
      <c r="Y535" s="0" t="n">
        <v>39.21</v>
      </c>
      <c r="Z535" s="0" t="n">
        <v>9.25</v>
      </c>
      <c r="AA535" s="0" t="n">
        <v>7.21</v>
      </c>
      <c r="AB535" s="0" t="n">
        <v>5.09</v>
      </c>
      <c r="AC535" s="22" t="b">
        <f aca="false">FALSE()</f>
        <v>0</v>
      </c>
      <c r="AD535" s="0" t="n">
        <v>15.67</v>
      </c>
      <c r="AE535" s="0" t="n">
        <v>4.46</v>
      </c>
      <c r="AF535" s="0" t="n">
        <v>10.83</v>
      </c>
      <c r="AG535" s="22" t="b">
        <f aca="false">TRUE()</f>
        <v>1</v>
      </c>
      <c r="AH535" s="0" t="n">
        <v>0</v>
      </c>
    </row>
    <row r="536" customFormat="false" ht="15" hidden="false" customHeight="false" outlineLevel="0" collapsed="false">
      <c r="A536" s="0" t="s">
        <v>977</v>
      </c>
      <c r="B536" s="0" t="s">
        <v>134</v>
      </c>
      <c r="C536" s="0" t="s">
        <v>3447</v>
      </c>
      <c r="D536" s="0" t="s">
        <v>3457</v>
      </c>
      <c r="E536" s="20" t="s">
        <v>25</v>
      </c>
      <c r="F536" s="23" t="s">
        <v>30</v>
      </c>
      <c r="G536" s="21" t="s">
        <v>283</v>
      </c>
      <c r="H536" s="21" t="s">
        <v>24</v>
      </c>
      <c r="I536" s="21" t="s">
        <v>25</v>
      </c>
      <c r="J536" s="21" t="s">
        <v>24</v>
      </c>
      <c r="K536" s="21" t="s">
        <v>24</v>
      </c>
      <c r="L536" s="21" t="s">
        <v>24</v>
      </c>
      <c r="M536" s="0" t="n">
        <v>183</v>
      </c>
      <c r="N536" s="0" t="n">
        <v>6</v>
      </c>
      <c r="O536" s="21" t="s">
        <v>3838</v>
      </c>
      <c r="P536" s="21" t="s">
        <v>4474</v>
      </c>
      <c r="Q536" s="0" t="n">
        <v>1</v>
      </c>
      <c r="R536" s="21" t="s">
        <v>69</v>
      </c>
      <c r="S536" s="0" t="n">
        <v>6</v>
      </c>
      <c r="T536" s="21" t="s">
        <v>3838</v>
      </c>
      <c r="U536" s="22" t="b">
        <f aca="false">TRUE()</f>
        <v>1</v>
      </c>
      <c r="V536" s="0" t="n">
        <v>0.77</v>
      </c>
      <c r="W536" s="0" t="n">
        <v>0.44</v>
      </c>
      <c r="X536" s="0" t="n">
        <v>7.08</v>
      </c>
      <c r="Y536" s="0" t="n">
        <v>328.48</v>
      </c>
      <c r="Z536" s="0" t="n">
        <v>9</v>
      </c>
      <c r="AA536" s="0" t="n">
        <v>1.32</v>
      </c>
      <c r="AB536" s="0" t="n">
        <v>11.58</v>
      </c>
      <c r="AC536" s="22" t="b">
        <f aca="false">FALSE()</f>
        <v>0</v>
      </c>
      <c r="AD536" s="0" t="n">
        <v>17.55</v>
      </c>
      <c r="AE536" s="0" t="n">
        <v>1.24</v>
      </c>
      <c r="AF536" s="0" t="n">
        <v>6.87</v>
      </c>
      <c r="AG536" s="22" t="b">
        <f aca="false">TRUE()</f>
        <v>1</v>
      </c>
      <c r="AH536" s="0" t="n">
        <v>1</v>
      </c>
    </row>
    <row r="537" customFormat="false" ht="15" hidden="false" customHeight="false" outlineLevel="0" collapsed="false">
      <c r="A537" s="0" t="s">
        <v>977</v>
      </c>
      <c r="B537" s="0" t="s">
        <v>134</v>
      </c>
      <c r="C537" s="0" t="s">
        <v>3447</v>
      </c>
      <c r="D537" s="0" t="s">
        <v>3448</v>
      </c>
      <c r="E537" s="19" t="s">
        <v>26</v>
      </c>
      <c r="F537" s="19" t="s">
        <v>32</v>
      </c>
      <c r="G537" s="21" t="s">
        <v>529</v>
      </c>
      <c r="H537" s="21" t="s">
        <v>24</v>
      </c>
      <c r="I537" s="21" t="s">
        <v>26</v>
      </c>
      <c r="J537" s="21" t="s">
        <v>24</v>
      </c>
      <c r="K537" s="21" t="s">
        <v>24</v>
      </c>
      <c r="L537" s="21" t="s">
        <v>24</v>
      </c>
      <c r="M537" s="0" t="n">
        <v>183</v>
      </c>
      <c r="N537" s="0" t="n">
        <v>9</v>
      </c>
      <c r="O537" s="21" t="s">
        <v>4032</v>
      </c>
      <c r="P537" s="21" t="s">
        <v>4475</v>
      </c>
      <c r="Q537" s="0" t="n">
        <v>1</v>
      </c>
      <c r="R537" s="21" t="s">
        <v>69</v>
      </c>
      <c r="S537" s="0" t="n">
        <v>9</v>
      </c>
      <c r="T537" s="21" t="s">
        <v>4032</v>
      </c>
      <c r="U537" s="22" t="b">
        <f aca="false">FALSE()</f>
        <v>0</v>
      </c>
      <c r="V537" s="0" t="n">
        <v>0.82</v>
      </c>
      <c r="W537" s="0" t="n">
        <v>0.2</v>
      </c>
      <c r="X537" s="0" t="n">
        <v>6.29</v>
      </c>
      <c r="Y537" s="0" t="n">
        <v>504.14</v>
      </c>
      <c r="Z537" s="0" t="n">
        <v>9.25</v>
      </c>
      <c r="AA537" s="0" t="n">
        <v>2.96</v>
      </c>
      <c r="AB537" s="0" t="n">
        <v>5.09</v>
      </c>
      <c r="AC537" s="22" t="b">
        <f aca="false">FALSE()</f>
        <v>0</v>
      </c>
      <c r="AD537" s="0" t="n">
        <v>13.55</v>
      </c>
      <c r="AE537" s="0" t="n">
        <v>0.68</v>
      </c>
      <c r="AF537" s="0" t="n">
        <v>8.73</v>
      </c>
      <c r="AG537" s="22" t="b">
        <f aca="false">TRUE()</f>
        <v>1</v>
      </c>
      <c r="AH537" s="0" t="n">
        <v>1</v>
      </c>
    </row>
    <row r="538" customFormat="false" ht="15" hidden="false" customHeight="false" outlineLevel="0" collapsed="false">
      <c r="A538" s="0" t="s">
        <v>977</v>
      </c>
      <c r="B538" s="0" t="s">
        <v>3459</v>
      </c>
      <c r="C538" s="0" t="s">
        <v>3450</v>
      </c>
      <c r="D538" s="0" t="s">
        <v>3457</v>
      </c>
      <c r="E538" s="18" t="s">
        <v>24</v>
      </c>
      <c r="F538" s="18" t="s">
        <v>28</v>
      </c>
      <c r="H538" s="21" t="s">
        <v>24</v>
      </c>
      <c r="I538" s="21" t="s">
        <v>24</v>
      </c>
      <c r="J538" s="21" t="s">
        <v>24</v>
      </c>
      <c r="K538" s="21" t="s">
        <v>24</v>
      </c>
      <c r="L538" s="21" t="s">
        <v>24</v>
      </c>
      <c r="M538" s="0" t="n">
        <v>183</v>
      </c>
      <c r="N538" s="0" t="n">
        <v>0</v>
      </c>
      <c r="Q538" s="0" t="n">
        <v>0</v>
      </c>
      <c r="S538" s="0" t="n">
        <v>0</v>
      </c>
      <c r="U538" s="22" t="b">
        <f aca="false">FALSE()</f>
        <v>0</v>
      </c>
      <c r="V538" s="0" t="n">
        <v>0.77</v>
      </c>
      <c r="W538" s="0" t="n">
        <v>0</v>
      </c>
      <c r="X538" s="0" t="n">
        <v>7.14</v>
      </c>
      <c r="Y538" s="0" t="n">
        <v>674.87</v>
      </c>
      <c r="Z538" s="0" t="n">
        <v>9</v>
      </c>
      <c r="AA538" s="0" t="n">
        <v>13.44</v>
      </c>
      <c r="AB538" s="0" t="n">
        <v>4.27</v>
      </c>
      <c r="AC538" s="22" t="b">
        <f aca="false">FALSE()</f>
        <v>0</v>
      </c>
      <c r="AD538" s="0" t="n">
        <v>19.21</v>
      </c>
      <c r="AE538" s="0" t="n">
        <v>8.5</v>
      </c>
      <c r="AF538" s="0" t="n">
        <v>19.34</v>
      </c>
      <c r="AG538" s="22" t="b">
        <f aca="false">TRUE()</f>
        <v>1</v>
      </c>
      <c r="AH538" s="0" t="n">
        <v>1</v>
      </c>
    </row>
    <row r="539" customFormat="false" ht="15" hidden="false" customHeight="false" outlineLevel="0" collapsed="false">
      <c r="A539" s="0" t="s">
        <v>977</v>
      </c>
      <c r="B539" s="0" t="s">
        <v>3459</v>
      </c>
      <c r="C539" s="0" t="s">
        <v>3450</v>
      </c>
      <c r="D539" s="0" t="s">
        <v>3448</v>
      </c>
      <c r="E539" s="20" t="s">
        <v>25</v>
      </c>
      <c r="F539" s="20" t="s">
        <v>29</v>
      </c>
      <c r="G539" s="21" t="s">
        <v>62</v>
      </c>
      <c r="H539" s="21" t="s">
        <v>24</v>
      </c>
      <c r="I539" s="21" t="s">
        <v>24</v>
      </c>
      <c r="J539" s="21" t="s">
        <v>24</v>
      </c>
      <c r="K539" s="21" t="s">
        <v>25</v>
      </c>
      <c r="L539" s="21" t="s">
        <v>24</v>
      </c>
      <c r="M539" s="0" t="n">
        <v>182</v>
      </c>
      <c r="N539" s="0" t="n">
        <v>0</v>
      </c>
      <c r="Q539" s="0" t="n">
        <v>0</v>
      </c>
      <c r="S539" s="0" t="n">
        <v>0</v>
      </c>
      <c r="U539" s="22" t="b">
        <f aca="false">FALSE()</f>
        <v>0</v>
      </c>
      <c r="V539" s="0" t="n">
        <v>0.79</v>
      </c>
      <c r="W539" s="0" t="n">
        <v>0.84</v>
      </c>
      <c r="X539" s="0" t="n">
        <v>7.29</v>
      </c>
      <c r="Y539" s="0" t="n">
        <v>316.43</v>
      </c>
      <c r="Z539" s="0" t="n">
        <v>9.25</v>
      </c>
      <c r="AA539" s="0" t="n">
        <v>0.77</v>
      </c>
      <c r="AB539" s="0" t="n">
        <v>14.59</v>
      </c>
      <c r="AC539" s="22" t="b">
        <f aca="false">FALSE()</f>
        <v>0</v>
      </c>
      <c r="AD539" s="0" t="n">
        <v>9.46</v>
      </c>
      <c r="AE539" s="0" t="n">
        <v>3.54</v>
      </c>
      <c r="AF539" s="0" t="n">
        <v>12.67</v>
      </c>
      <c r="AG539" s="22" t="b">
        <f aca="false">FALSE()</f>
        <v>0</v>
      </c>
      <c r="AH539" s="0" t="n">
        <v>1</v>
      </c>
    </row>
    <row r="540" customFormat="false" ht="15" hidden="false" customHeight="false" outlineLevel="0" collapsed="false">
      <c r="A540" s="0" t="s">
        <v>977</v>
      </c>
      <c r="B540" s="0" t="s">
        <v>3459</v>
      </c>
      <c r="C540" s="0" t="s">
        <v>3447</v>
      </c>
      <c r="D540" s="0" t="s">
        <v>3457</v>
      </c>
      <c r="E540" s="19" t="s">
        <v>26</v>
      </c>
      <c r="F540" s="19" t="s">
        <v>32</v>
      </c>
      <c r="G540" s="21" t="s">
        <v>529</v>
      </c>
      <c r="H540" s="21" t="s">
        <v>24</v>
      </c>
      <c r="I540" s="21" t="s">
        <v>26</v>
      </c>
      <c r="J540" s="21" t="s">
        <v>24</v>
      </c>
      <c r="K540" s="21" t="s">
        <v>24</v>
      </c>
      <c r="L540" s="21" t="s">
        <v>24</v>
      </c>
      <c r="M540" s="0" t="n">
        <v>185</v>
      </c>
      <c r="N540" s="0" t="n">
        <v>8</v>
      </c>
      <c r="O540" s="21" t="s">
        <v>4028</v>
      </c>
      <c r="P540" s="21" t="s">
        <v>4393</v>
      </c>
      <c r="Q540" s="0" t="n">
        <v>1</v>
      </c>
      <c r="R540" s="21" t="s">
        <v>69</v>
      </c>
      <c r="S540" s="0" t="n">
        <v>8</v>
      </c>
      <c r="T540" s="21" t="s">
        <v>4028</v>
      </c>
      <c r="U540" s="22" t="b">
        <f aca="false">FALSE()</f>
        <v>0</v>
      </c>
      <c r="V540" s="0" t="n">
        <v>0.79</v>
      </c>
      <c r="W540" s="0" t="n">
        <v>0</v>
      </c>
      <c r="X540" s="0" t="n">
        <v>6.94</v>
      </c>
      <c r="Y540" s="0" t="n">
        <v>730.51</v>
      </c>
      <c r="Z540" s="0" t="n">
        <v>9</v>
      </c>
      <c r="AA540" s="0" t="n">
        <v>5.81</v>
      </c>
      <c r="AB540" s="0" t="n">
        <v>4.27</v>
      </c>
      <c r="AC540" s="22" t="b">
        <f aca="false">FALSE()</f>
        <v>0</v>
      </c>
      <c r="AD540" s="0" t="n">
        <v>19.91</v>
      </c>
      <c r="AE540" s="0" t="n">
        <v>8.81</v>
      </c>
      <c r="AF540" s="0" t="n">
        <v>19.1</v>
      </c>
      <c r="AG540" s="22" t="b">
        <f aca="false">TRUE()</f>
        <v>1</v>
      </c>
      <c r="AH540" s="0" t="n">
        <v>1</v>
      </c>
    </row>
    <row r="541" customFormat="false" ht="15" hidden="false" customHeight="false" outlineLevel="0" collapsed="false">
      <c r="A541" s="0" t="s">
        <v>977</v>
      </c>
      <c r="B541" s="0" t="s">
        <v>3459</v>
      </c>
      <c r="C541" s="0" t="s">
        <v>3447</v>
      </c>
      <c r="D541" s="0" t="s">
        <v>3448</v>
      </c>
      <c r="E541" s="19" t="s">
        <v>26</v>
      </c>
      <c r="F541" s="19" t="s">
        <v>32</v>
      </c>
      <c r="G541" s="21" t="s">
        <v>60</v>
      </c>
      <c r="H541" s="21" t="s">
        <v>24</v>
      </c>
      <c r="I541" s="21" t="s">
        <v>26</v>
      </c>
      <c r="J541" s="21" t="s">
        <v>24</v>
      </c>
      <c r="K541" s="21" t="s">
        <v>24</v>
      </c>
      <c r="L541" s="21" t="s">
        <v>24</v>
      </c>
      <c r="M541" s="0" t="n">
        <v>183</v>
      </c>
      <c r="N541" s="0" t="n">
        <v>9</v>
      </c>
      <c r="O541" s="21" t="s">
        <v>3930</v>
      </c>
      <c r="P541" s="21" t="s">
        <v>4283</v>
      </c>
      <c r="Q541" s="0" t="n">
        <v>0</v>
      </c>
      <c r="S541" s="0" t="n">
        <v>9</v>
      </c>
      <c r="T541" s="21" t="s">
        <v>3930</v>
      </c>
      <c r="U541" s="22" t="b">
        <f aca="false">FALSE()</f>
        <v>0</v>
      </c>
      <c r="V541" s="0" t="n">
        <v>0.78</v>
      </c>
      <c r="W541" s="0" t="n">
        <v>0.24</v>
      </c>
      <c r="X541" s="0" t="n">
        <v>8.29</v>
      </c>
      <c r="Y541" s="0" t="n">
        <v>458.5</v>
      </c>
      <c r="Z541" s="0" t="n">
        <v>8.75</v>
      </c>
      <c r="AA541" s="0" t="n">
        <v>3.85</v>
      </c>
      <c r="AB541" s="0" t="n">
        <v>14.59</v>
      </c>
      <c r="AC541" s="22" t="b">
        <f aca="false">FALSE()</f>
        <v>0</v>
      </c>
      <c r="AD541" s="0" t="n">
        <v>12.76</v>
      </c>
      <c r="AE541" s="0" t="n">
        <v>3.43</v>
      </c>
      <c r="AF541" s="0" t="n">
        <v>12</v>
      </c>
      <c r="AG541" s="22" t="b">
        <f aca="false">TRUE()</f>
        <v>1</v>
      </c>
      <c r="AH541" s="0" t="n">
        <v>1</v>
      </c>
    </row>
    <row r="542" customFormat="false" ht="15" hidden="false" customHeight="false" outlineLevel="0" collapsed="false">
      <c r="A542" s="0" t="s">
        <v>983</v>
      </c>
      <c r="B542" s="0" t="s">
        <v>134</v>
      </c>
      <c r="C542" s="0" t="s">
        <v>3450</v>
      </c>
      <c r="D542" s="0" t="s">
        <v>3457</v>
      </c>
      <c r="E542" s="19" t="s">
        <v>26</v>
      </c>
      <c r="F542" s="19" t="s">
        <v>32</v>
      </c>
      <c r="G542" s="21" t="s">
        <v>60</v>
      </c>
      <c r="H542" s="21" t="s">
        <v>24</v>
      </c>
      <c r="I542" s="21" t="s">
        <v>26</v>
      </c>
      <c r="J542" s="21" t="s">
        <v>24</v>
      </c>
      <c r="K542" s="21" t="s">
        <v>24</v>
      </c>
      <c r="L542" s="21" t="s">
        <v>24</v>
      </c>
      <c r="M542" s="0" t="n">
        <v>185</v>
      </c>
      <c r="N542" s="0" t="n">
        <v>11</v>
      </c>
      <c r="O542" s="21" t="s">
        <v>3917</v>
      </c>
      <c r="P542" s="21" t="s">
        <v>4476</v>
      </c>
      <c r="Q542" s="0" t="n">
        <v>0</v>
      </c>
      <c r="S542" s="0" t="n">
        <v>11</v>
      </c>
      <c r="T542" s="21" t="s">
        <v>3917</v>
      </c>
      <c r="U542" s="22" t="b">
        <f aca="false">FALSE()</f>
        <v>0</v>
      </c>
      <c r="V542" s="0" t="n">
        <v>0.81</v>
      </c>
      <c r="W542" s="0" t="n">
        <v>0.12</v>
      </c>
      <c r="X542" s="0" t="n">
        <v>12.26</v>
      </c>
      <c r="Y542" s="0" t="n">
        <v>282.94</v>
      </c>
      <c r="Z542" s="0" t="n">
        <v>10.5</v>
      </c>
      <c r="AA542" s="0" t="n">
        <v>23.55</v>
      </c>
      <c r="AB542" s="0" t="n">
        <v>17.04</v>
      </c>
      <c r="AC542" s="22" t="b">
        <f aca="false">FALSE()</f>
        <v>0</v>
      </c>
      <c r="AD542" s="0" t="n">
        <v>15.61</v>
      </c>
      <c r="AE542" s="0" t="n">
        <v>5.23</v>
      </c>
      <c r="AF542" s="0" t="n">
        <v>10.4</v>
      </c>
      <c r="AG542" s="22" t="b">
        <f aca="false">TRUE()</f>
        <v>1</v>
      </c>
      <c r="AH542" s="0" t="n">
        <v>1</v>
      </c>
    </row>
    <row r="543" customFormat="false" ht="15" hidden="false" customHeight="false" outlineLevel="0" collapsed="false">
      <c r="A543" s="0" t="s">
        <v>983</v>
      </c>
      <c r="B543" s="0" t="s">
        <v>134</v>
      </c>
      <c r="C543" s="0" t="s">
        <v>3450</v>
      </c>
      <c r="D543" s="0" t="s">
        <v>3448</v>
      </c>
      <c r="E543" s="19" t="s">
        <v>26</v>
      </c>
      <c r="F543" s="19" t="s">
        <v>32</v>
      </c>
      <c r="G543" s="21" t="s">
        <v>60</v>
      </c>
      <c r="H543" s="21" t="s">
        <v>24</v>
      </c>
      <c r="I543" s="21" t="s">
        <v>26</v>
      </c>
      <c r="J543" s="21" t="s">
        <v>24</v>
      </c>
      <c r="K543" s="21" t="s">
        <v>24</v>
      </c>
      <c r="L543" s="21" t="s">
        <v>24</v>
      </c>
      <c r="M543" s="0" t="n">
        <v>185</v>
      </c>
      <c r="N543" s="0" t="n">
        <v>12</v>
      </c>
      <c r="O543" s="21" t="s">
        <v>3937</v>
      </c>
      <c r="P543" s="21" t="s">
        <v>4477</v>
      </c>
      <c r="Q543" s="0" t="n">
        <v>0</v>
      </c>
      <c r="S543" s="0" t="n">
        <v>12</v>
      </c>
      <c r="T543" s="21" t="s">
        <v>3937</v>
      </c>
      <c r="U543" s="22" t="b">
        <f aca="false">FALSE()</f>
        <v>0</v>
      </c>
      <c r="V543" s="0" t="n">
        <v>0.81</v>
      </c>
      <c r="W543" s="0" t="n">
        <v>0.8</v>
      </c>
      <c r="X543" s="0" t="n">
        <v>14.05</v>
      </c>
      <c r="Y543" s="0" t="n">
        <v>317.49</v>
      </c>
      <c r="Z543" s="0" t="n">
        <v>10.25</v>
      </c>
      <c r="AA543" s="0" t="n">
        <v>23.9</v>
      </c>
      <c r="AB543" s="0" t="n">
        <v>3.85</v>
      </c>
      <c r="AC543" s="22" t="b">
        <f aca="false">FALSE()</f>
        <v>0</v>
      </c>
      <c r="AD543" s="0" t="n">
        <v>18.04</v>
      </c>
      <c r="AE543" s="0" t="n">
        <v>6.78</v>
      </c>
      <c r="AF543" s="0" t="n">
        <v>12.76</v>
      </c>
      <c r="AG543" s="22" t="b">
        <f aca="false">TRUE()</f>
        <v>1</v>
      </c>
      <c r="AH543" s="0" t="n">
        <v>1</v>
      </c>
    </row>
    <row r="544" customFormat="false" ht="15" hidden="false" customHeight="false" outlineLevel="0" collapsed="false">
      <c r="A544" s="0" t="s">
        <v>983</v>
      </c>
      <c r="B544" s="0" t="s">
        <v>134</v>
      </c>
      <c r="C544" s="0" t="s">
        <v>3447</v>
      </c>
      <c r="D544" s="0" t="s">
        <v>3457</v>
      </c>
      <c r="E544" s="18" t="s">
        <v>24</v>
      </c>
      <c r="F544" s="23" t="s">
        <v>30</v>
      </c>
      <c r="G544" s="21" t="s">
        <v>30</v>
      </c>
      <c r="H544" s="21" t="s">
        <v>24</v>
      </c>
      <c r="I544" s="21" t="s">
        <v>24</v>
      </c>
      <c r="J544" s="21" t="s">
        <v>24</v>
      </c>
      <c r="K544" s="21" t="s">
        <v>24</v>
      </c>
      <c r="L544" s="21" t="s">
        <v>24</v>
      </c>
      <c r="M544" s="0" t="n">
        <v>184</v>
      </c>
      <c r="N544" s="0" t="n">
        <v>1</v>
      </c>
      <c r="O544" s="21" t="s">
        <v>3478</v>
      </c>
      <c r="P544" s="21" t="s">
        <v>4288</v>
      </c>
      <c r="Q544" s="0" t="n">
        <v>0</v>
      </c>
      <c r="S544" s="0" t="n">
        <v>1</v>
      </c>
      <c r="T544" s="21" t="s">
        <v>3478</v>
      </c>
      <c r="U544" s="22" t="b">
        <f aca="false">TRUE()</f>
        <v>1</v>
      </c>
      <c r="V544" s="0" t="n">
        <v>0.76</v>
      </c>
      <c r="W544" s="0" t="n">
        <v>0.8</v>
      </c>
      <c r="X544" s="0" t="n">
        <v>8.99</v>
      </c>
      <c r="Y544" s="0" t="n">
        <v>285.17</v>
      </c>
      <c r="Z544" s="0" t="n">
        <v>9.92</v>
      </c>
      <c r="AA544" s="0" t="n">
        <v>2.69</v>
      </c>
      <c r="AB544" s="0" t="n">
        <v>17.04</v>
      </c>
      <c r="AC544" s="22" t="b">
        <f aca="false">FALSE()</f>
        <v>0</v>
      </c>
      <c r="AD544" s="0" t="n">
        <v>13.45</v>
      </c>
      <c r="AE544" s="0" t="n">
        <v>4.15</v>
      </c>
      <c r="AF544" s="0" t="n">
        <v>8.59</v>
      </c>
      <c r="AG544" s="22" t="b">
        <f aca="false">TRUE()</f>
        <v>1</v>
      </c>
      <c r="AH544" s="0" t="n">
        <v>1</v>
      </c>
    </row>
    <row r="545" customFormat="false" ht="15" hidden="false" customHeight="false" outlineLevel="0" collapsed="false">
      <c r="A545" s="0" t="s">
        <v>983</v>
      </c>
      <c r="B545" s="0" t="s">
        <v>134</v>
      </c>
      <c r="C545" s="0" t="s">
        <v>3447</v>
      </c>
      <c r="D545" s="0" t="s">
        <v>3448</v>
      </c>
      <c r="E545" s="18" t="s">
        <v>24</v>
      </c>
      <c r="F545" s="23" t="s">
        <v>30</v>
      </c>
      <c r="G545" s="21" t="s">
        <v>30</v>
      </c>
      <c r="H545" s="21" t="s">
        <v>24</v>
      </c>
      <c r="I545" s="21" t="s">
        <v>24</v>
      </c>
      <c r="J545" s="21" t="s">
        <v>24</v>
      </c>
      <c r="K545" s="21" t="s">
        <v>24</v>
      </c>
      <c r="L545" s="21" t="s">
        <v>24</v>
      </c>
      <c r="M545" s="0" t="n">
        <v>182</v>
      </c>
      <c r="N545" s="0" t="n">
        <v>4</v>
      </c>
      <c r="O545" s="21" t="s">
        <v>3632</v>
      </c>
      <c r="P545" s="21" t="s">
        <v>4478</v>
      </c>
      <c r="Q545" s="0" t="n">
        <v>0</v>
      </c>
      <c r="S545" s="0" t="n">
        <v>4</v>
      </c>
      <c r="T545" s="21" t="s">
        <v>3632</v>
      </c>
      <c r="U545" s="22" t="b">
        <f aca="false">TRUE()</f>
        <v>1</v>
      </c>
      <c r="V545" s="0" t="n">
        <v>0.79</v>
      </c>
      <c r="W545" s="0" t="n">
        <v>0.72</v>
      </c>
      <c r="X545" s="0" t="n">
        <v>10.16</v>
      </c>
      <c r="Y545" s="0" t="n">
        <v>312.49</v>
      </c>
      <c r="Z545" s="0" t="n">
        <v>10.5</v>
      </c>
      <c r="AA545" s="0" t="n">
        <v>8.06</v>
      </c>
      <c r="AB545" s="0" t="n">
        <v>3.85</v>
      </c>
      <c r="AC545" s="22" t="b">
        <f aca="false">FALSE()</f>
        <v>0</v>
      </c>
      <c r="AD545" s="0" t="n">
        <v>12.7</v>
      </c>
      <c r="AE545" s="0" t="n">
        <v>5.03</v>
      </c>
      <c r="AF545" s="0" t="n">
        <v>9.26</v>
      </c>
      <c r="AG545" s="22" t="b">
        <f aca="false">TRUE()</f>
        <v>1</v>
      </c>
      <c r="AH545" s="0" t="n">
        <v>1</v>
      </c>
    </row>
    <row r="546" customFormat="false" ht="15" hidden="false" customHeight="false" outlineLevel="0" collapsed="false">
      <c r="A546" s="0" t="s">
        <v>989</v>
      </c>
      <c r="B546" s="0" t="s">
        <v>134</v>
      </c>
      <c r="C546" s="0" t="s">
        <v>3450</v>
      </c>
      <c r="D546" s="0" t="s">
        <v>3457</v>
      </c>
      <c r="E546" s="20" t="s">
        <v>25</v>
      </c>
      <c r="F546" s="20" t="s">
        <v>29</v>
      </c>
      <c r="G546" s="21" t="s">
        <v>61</v>
      </c>
      <c r="H546" s="21" t="s">
        <v>24</v>
      </c>
      <c r="I546" s="21" t="s">
        <v>24</v>
      </c>
      <c r="J546" s="21" t="s">
        <v>24</v>
      </c>
      <c r="K546" s="21" t="s">
        <v>25</v>
      </c>
      <c r="L546" s="21" t="s">
        <v>24</v>
      </c>
      <c r="M546" s="0" t="n">
        <v>181</v>
      </c>
      <c r="N546" s="0" t="n">
        <v>0</v>
      </c>
      <c r="Q546" s="0" t="n">
        <v>0</v>
      </c>
      <c r="S546" s="0" t="n">
        <v>0</v>
      </c>
      <c r="U546" s="22" t="b">
        <f aca="false">FALSE()</f>
        <v>0</v>
      </c>
      <c r="V546" s="0" t="n">
        <v>0.75</v>
      </c>
      <c r="W546" s="0" t="n">
        <v>0.88</v>
      </c>
      <c r="X546" s="0" t="n">
        <v>9.82</v>
      </c>
      <c r="Y546" s="0" t="n">
        <v>242.51</v>
      </c>
      <c r="Z546" s="0" t="n">
        <v>10.5</v>
      </c>
      <c r="AA546" s="0" t="n">
        <v>11.88</v>
      </c>
      <c r="AB546" s="0" t="n">
        <v>3.47</v>
      </c>
      <c r="AC546" s="22" t="b">
        <f aca="false">FALSE()</f>
        <v>0</v>
      </c>
      <c r="AD546" s="0" t="n">
        <v>21.76</v>
      </c>
      <c r="AE546" s="0" t="n">
        <v>12.34</v>
      </c>
      <c r="AF546" s="0" t="n">
        <v>20.43</v>
      </c>
      <c r="AG546" s="22" t="b">
        <f aca="false">TRUE()</f>
        <v>1</v>
      </c>
      <c r="AH546" s="0" t="n">
        <v>1</v>
      </c>
    </row>
    <row r="547" customFormat="false" ht="15" hidden="false" customHeight="false" outlineLevel="0" collapsed="false">
      <c r="A547" s="0" t="s">
        <v>989</v>
      </c>
      <c r="B547" s="0" t="s">
        <v>134</v>
      </c>
      <c r="C547" s="0" t="s">
        <v>3450</v>
      </c>
      <c r="D547" s="0" t="s">
        <v>3448</v>
      </c>
      <c r="E547" s="18" t="s">
        <v>24</v>
      </c>
      <c r="F547" s="18" t="s">
        <v>28</v>
      </c>
      <c r="H547" s="21" t="s">
        <v>24</v>
      </c>
      <c r="I547" s="21" t="s">
        <v>24</v>
      </c>
      <c r="J547" s="21" t="s">
        <v>24</v>
      </c>
      <c r="K547" s="21" t="s">
        <v>24</v>
      </c>
      <c r="L547" s="21" t="s">
        <v>24</v>
      </c>
      <c r="M547" s="0" t="n">
        <v>180</v>
      </c>
      <c r="N547" s="0" t="n">
        <v>0</v>
      </c>
      <c r="Q547" s="0" t="n">
        <v>0</v>
      </c>
      <c r="S547" s="0" t="n">
        <v>0</v>
      </c>
      <c r="U547" s="22" t="b">
        <f aca="false">FALSE()</f>
        <v>0</v>
      </c>
      <c r="V547" s="0" t="n">
        <v>0.7</v>
      </c>
      <c r="W547" s="0" t="n">
        <v>0.92</v>
      </c>
      <c r="X547" s="0" t="n">
        <v>9.19</v>
      </c>
      <c r="Y547" s="0" t="n">
        <v>300.4</v>
      </c>
      <c r="Z547" s="0" t="n">
        <v>10.25</v>
      </c>
      <c r="AA547" s="0" t="n">
        <v>4.08</v>
      </c>
      <c r="AB547" s="0" t="n">
        <v>3.44</v>
      </c>
      <c r="AC547" s="22" t="b">
        <f aca="false">FALSE()</f>
        <v>0</v>
      </c>
      <c r="AD547" s="0" t="n">
        <v>15.04</v>
      </c>
      <c r="AE547" s="0" t="n">
        <v>6.95</v>
      </c>
      <c r="AF547" s="0" t="n">
        <v>13.93</v>
      </c>
      <c r="AG547" s="22" t="b">
        <f aca="false">TRUE()</f>
        <v>1</v>
      </c>
      <c r="AH547" s="0" t="n">
        <v>1</v>
      </c>
    </row>
    <row r="548" customFormat="false" ht="15" hidden="false" customHeight="false" outlineLevel="0" collapsed="false">
      <c r="A548" s="0" t="s">
        <v>989</v>
      </c>
      <c r="B548" s="0" t="s">
        <v>134</v>
      </c>
      <c r="C548" s="0" t="s">
        <v>3447</v>
      </c>
      <c r="D548" s="0" t="s">
        <v>3457</v>
      </c>
      <c r="E548" s="20" t="s">
        <v>25</v>
      </c>
      <c r="F548" s="23" t="s">
        <v>30</v>
      </c>
      <c r="G548" s="21" t="s">
        <v>992</v>
      </c>
      <c r="H548" s="21" t="s">
        <v>24</v>
      </c>
      <c r="I548" s="21" t="s">
        <v>24</v>
      </c>
      <c r="J548" s="21" t="s">
        <v>24</v>
      </c>
      <c r="K548" s="21" t="s">
        <v>25</v>
      </c>
      <c r="L548" s="21" t="s">
        <v>24</v>
      </c>
      <c r="M548" s="0" t="n">
        <v>183</v>
      </c>
      <c r="N548" s="0" t="n">
        <v>2</v>
      </c>
      <c r="O548" s="21" t="s">
        <v>3503</v>
      </c>
      <c r="P548" s="21" t="s">
        <v>4473</v>
      </c>
      <c r="Q548" s="0" t="n">
        <v>0</v>
      </c>
      <c r="S548" s="0" t="n">
        <v>2</v>
      </c>
      <c r="T548" s="21" t="s">
        <v>3503</v>
      </c>
      <c r="U548" s="22" t="b">
        <f aca="false">TRUE()</f>
        <v>1</v>
      </c>
      <c r="V548" s="0" t="n">
        <v>0.81</v>
      </c>
      <c r="W548" s="0" t="n">
        <v>0.64</v>
      </c>
      <c r="X548" s="0" t="n">
        <v>11.19</v>
      </c>
      <c r="Y548" s="0" t="n">
        <v>271.92</v>
      </c>
      <c r="Z548" s="0" t="n">
        <v>10</v>
      </c>
      <c r="AA548" s="0" t="n">
        <v>4.32</v>
      </c>
      <c r="AB548" s="0" t="n">
        <v>3.47</v>
      </c>
      <c r="AC548" s="22" t="b">
        <f aca="false">FALSE()</f>
        <v>0</v>
      </c>
      <c r="AD548" s="0" t="n">
        <v>20.2</v>
      </c>
      <c r="AE548" s="0" t="n">
        <v>9.98</v>
      </c>
      <c r="AF548" s="0" t="n">
        <v>17.5</v>
      </c>
      <c r="AG548" s="22" t="b">
        <f aca="false">TRUE()</f>
        <v>1</v>
      </c>
      <c r="AH548" s="0" t="n">
        <v>1</v>
      </c>
    </row>
    <row r="549" customFormat="false" ht="15" hidden="false" customHeight="false" outlineLevel="0" collapsed="false">
      <c r="A549" s="0" t="s">
        <v>989</v>
      </c>
      <c r="B549" s="0" t="s">
        <v>134</v>
      </c>
      <c r="C549" s="0" t="s">
        <v>3447</v>
      </c>
      <c r="D549" s="0" t="s">
        <v>3448</v>
      </c>
      <c r="E549" s="18" t="s">
        <v>24</v>
      </c>
      <c r="F549" s="23" t="s">
        <v>30</v>
      </c>
      <c r="G549" s="21" t="s">
        <v>30</v>
      </c>
      <c r="H549" s="21" t="s">
        <v>24</v>
      </c>
      <c r="I549" s="21" t="s">
        <v>24</v>
      </c>
      <c r="J549" s="21" t="s">
        <v>24</v>
      </c>
      <c r="K549" s="21" t="s">
        <v>24</v>
      </c>
      <c r="L549" s="21" t="s">
        <v>24</v>
      </c>
      <c r="M549" s="0" t="n">
        <v>179</v>
      </c>
      <c r="N549" s="0" t="n">
        <v>5</v>
      </c>
      <c r="O549" s="21" t="s">
        <v>3663</v>
      </c>
      <c r="P549" s="21" t="s">
        <v>4479</v>
      </c>
      <c r="Q549" s="0" t="n">
        <v>0</v>
      </c>
      <c r="S549" s="0" t="n">
        <v>3</v>
      </c>
      <c r="T549" s="21" t="s">
        <v>3538</v>
      </c>
      <c r="U549" s="22" t="b">
        <f aca="false">TRUE()</f>
        <v>1</v>
      </c>
      <c r="V549" s="0" t="n">
        <v>0.78</v>
      </c>
      <c r="W549" s="0" t="n">
        <v>0.48</v>
      </c>
      <c r="X549" s="0" t="n">
        <v>15.21</v>
      </c>
      <c r="Y549" s="0" t="n">
        <v>309.5</v>
      </c>
      <c r="Z549" s="0" t="n">
        <v>10.42</v>
      </c>
      <c r="AA549" s="0" t="n">
        <v>2.85</v>
      </c>
      <c r="AB549" s="0" t="n">
        <v>3.44</v>
      </c>
      <c r="AC549" s="22" t="b">
        <f aca="false">FALSE()</f>
        <v>0</v>
      </c>
      <c r="AD549" s="0" t="n">
        <v>15.37</v>
      </c>
      <c r="AE549" s="0" t="n">
        <v>6.46</v>
      </c>
      <c r="AF549" s="0" t="n">
        <v>13.99</v>
      </c>
      <c r="AG549" s="22" t="b">
        <f aca="false">TRUE()</f>
        <v>1</v>
      </c>
      <c r="AH549" s="0" t="n">
        <v>1</v>
      </c>
    </row>
    <row r="550" customFormat="false" ht="15" hidden="false" customHeight="false" outlineLevel="0" collapsed="false">
      <c r="A550" s="0" t="s">
        <v>996</v>
      </c>
      <c r="B550" s="0" t="s">
        <v>134</v>
      </c>
      <c r="C550" s="0" t="s">
        <v>3450</v>
      </c>
      <c r="D550" s="0" t="s">
        <v>3457</v>
      </c>
      <c r="E550" s="20" t="s">
        <v>25</v>
      </c>
      <c r="F550" s="23" t="s">
        <v>30</v>
      </c>
      <c r="G550" s="21" t="s">
        <v>1230</v>
      </c>
      <c r="H550" s="21" t="s">
        <v>24</v>
      </c>
      <c r="I550" s="21" t="s">
        <v>25</v>
      </c>
      <c r="J550" s="21" t="s">
        <v>24</v>
      </c>
      <c r="K550" s="21" t="s">
        <v>25</v>
      </c>
      <c r="L550" s="21" t="s">
        <v>24</v>
      </c>
      <c r="M550" s="0" t="n">
        <v>184</v>
      </c>
      <c r="N550" s="0" t="n">
        <v>6</v>
      </c>
      <c r="O550" s="21" t="s">
        <v>3853</v>
      </c>
      <c r="P550" s="21" t="s">
        <v>4480</v>
      </c>
      <c r="Q550" s="0" t="n">
        <v>1</v>
      </c>
      <c r="R550" s="21" t="s">
        <v>69</v>
      </c>
      <c r="S550" s="0" t="n">
        <v>6</v>
      </c>
      <c r="T550" s="21" t="s">
        <v>3853</v>
      </c>
      <c r="U550" s="22" t="b">
        <f aca="false">TRUE()</f>
        <v>1</v>
      </c>
      <c r="V550" s="0" t="n">
        <v>0.71</v>
      </c>
      <c r="W550" s="0" t="n">
        <v>0.84</v>
      </c>
      <c r="X550" s="0" t="n">
        <v>5.11</v>
      </c>
      <c r="Y550" s="0" t="n">
        <v>317.39</v>
      </c>
      <c r="Z550" s="0" t="n">
        <v>8.25</v>
      </c>
      <c r="AA550" s="0" t="n">
        <v>-0.98</v>
      </c>
      <c r="AB550" s="0" t="n">
        <v>4.22</v>
      </c>
      <c r="AC550" s="22" t="b">
        <f aca="false">FALSE()</f>
        <v>0</v>
      </c>
      <c r="AD550" s="0" t="n">
        <v>5.96</v>
      </c>
      <c r="AE550" s="0" t="n">
        <v>0.57</v>
      </c>
      <c r="AF550" s="0" t="n">
        <v>7.68</v>
      </c>
      <c r="AG550" s="22" t="b">
        <f aca="false">FALSE()</f>
        <v>0</v>
      </c>
      <c r="AH550" s="0" t="n">
        <v>1</v>
      </c>
    </row>
    <row r="551" customFormat="false" ht="15" hidden="false" customHeight="false" outlineLevel="0" collapsed="false">
      <c r="A551" s="0" t="s">
        <v>996</v>
      </c>
      <c r="B551" s="0" t="s">
        <v>134</v>
      </c>
      <c r="C551" s="0" t="s">
        <v>3450</v>
      </c>
      <c r="D551" s="0" t="s">
        <v>3448</v>
      </c>
      <c r="E551" s="20" t="s">
        <v>25</v>
      </c>
      <c r="F551" s="23" t="s">
        <v>30</v>
      </c>
      <c r="G551" s="21" t="s">
        <v>357</v>
      </c>
      <c r="H551" s="21" t="s">
        <v>24</v>
      </c>
      <c r="I551" s="21" t="s">
        <v>25</v>
      </c>
      <c r="J551" s="21" t="s">
        <v>24</v>
      </c>
      <c r="K551" s="21" t="s">
        <v>25</v>
      </c>
      <c r="L551" s="21" t="s">
        <v>24</v>
      </c>
      <c r="M551" s="0" t="n">
        <v>185</v>
      </c>
      <c r="N551" s="0" t="n">
        <v>3</v>
      </c>
      <c r="O551" s="21" t="s">
        <v>3649</v>
      </c>
      <c r="P551" s="21" t="s">
        <v>4242</v>
      </c>
      <c r="Q551" s="0" t="n">
        <v>1</v>
      </c>
      <c r="R551" s="21" t="s">
        <v>69</v>
      </c>
      <c r="S551" s="0" t="n">
        <v>3</v>
      </c>
      <c r="T551" s="21" t="s">
        <v>3649</v>
      </c>
      <c r="U551" s="22" t="b">
        <f aca="false">TRUE()</f>
        <v>1</v>
      </c>
      <c r="V551" s="0" t="n">
        <v>0.7</v>
      </c>
      <c r="W551" s="0" t="n">
        <v>0.88</v>
      </c>
      <c r="X551" s="0" t="n">
        <v>5.15</v>
      </c>
      <c r="Y551" s="0" t="n">
        <v>320.41</v>
      </c>
      <c r="Z551" s="0" t="n">
        <v>11.5</v>
      </c>
      <c r="AA551" s="0" t="n">
        <v>1.72</v>
      </c>
      <c r="AB551" s="0" t="n">
        <v>1.26</v>
      </c>
      <c r="AC551" s="22" t="b">
        <f aca="false">TRUE()</f>
        <v>1</v>
      </c>
      <c r="AD551" s="0" t="n">
        <v>11.37</v>
      </c>
      <c r="AE551" s="0" t="n">
        <v>0.53</v>
      </c>
      <c r="AF551" s="0" t="n">
        <v>10.72</v>
      </c>
      <c r="AG551" s="22" t="b">
        <f aca="false">TRUE()</f>
        <v>1</v>
      </c>
      <c r="AH551" s="0" t="n">
        <v>1</v>
      </c>
    </row>
    <row r="552" customFormat="false" ht="15" hidden="false" customHeight="false" outlineLevel="0" collapsed="false">
      <c r="A552" s="0" t="s">
        <v>996</v>
      </c>
      <c r="B552" s="0" t="s">
        <v>134</v>
      </c>
      <c r="C552" s="0" t="s">
        <v>3447</v>
      </c>
      <c r="D552" s="0" t="s">
        <v>3457</v>
      </c>
      <c r="E552" s="18" t="s">
        <v>24</v>
      </c>
      <c r="F552" s="23" t="s">
        <v>30</v>
      </c>
      <c r="G552" s="21" t="s">
        <v>30</v>
      </c>
      <c r="H552" s="21" t="s">
        <v>24</v>
      </c>
      <c r="I552" s="21" t="s">
        <v>24</v>
      </c>
      <c r="J552" s="21" t="s">
        <v>24</v>
      </c>
      <c r="K552" s="21" t="s">
        <v>24</v>
      </c>
      <c r="L552" s="21" t="s">
        <v>24</v>
      </c>
      <c r="M552" s="0" t="n">
        <v>182</v>
      </c>
      <c r="N552" s="0" t="n">
        <v>2</v>
      </c>
      <c r="O552" s="21" t="s">
        <v>3511</v>
      </c>
      <c r="P552" s="21" t="s">
        <v>4387</v>
      </c>
      <c r="Q552" s="0" t="n">
        <v>0</v>
      </c>
      <c r="S552" s="0" t="n">
        <v>2</v>
      </c>
      <c r="T552" s="21" t="s">
        <v>3511</v>
      </c>
      <c r="U552" s="22" t="b">
        <f aca="false">TRUE()</f>
        <v>1</v>
      </c>
      <c r="V552" s="0" t="n">
        <v>0.78</v>
      </c>
      <c r="W552" s="0" t="n">
        <v>0</v>
      </c>
      <c r="X552" s="0" t="n">
        <v>6.39</v>
      </c>
      <c r="Y552" s="0" t="n">
        <v>675.33</v>
      </c>
      <c r="Z552" s="0" t="n">
        <v>8</v>
      </c>
      <c r="AA552" s="0" t="n">
        <v>-1.16</v>
      </c>
      <c r="AB552" s="0" t="n">
        <v>4.22</v>
      </c>
      <c r="AC552" s="22" t="b">
        <f aca="false">FALSE()</f>
        <v>0</v>
      </c>
      <c r="AD552" s="0" t="n">
        <v>10.89</v>
      </c>
      <c r="AE552" s="0" t="n">
        <v>0.07</v>
      </c>
      <c r="AF552" s="0" t="n">
        <v>8.88</v>
      </c>
      <c r="AG552" s="22" t="b">
        <f aca="false">TRUE()</f>
        <v>1</v>
      </c>
      <c r="AH552" s="0" t="n">
        <v>1</v>
      </c>
    </row>
    <row r="553" customFormat="false" ht="15" hidden="false" customHeight="false" outlineLevel="0" collapsed="false">
      <c r="A553" s="0" t="s">
        <v>996</v>
      </c>
      <c r="B553" s="0" t="s">
        <v>134</v>
      </c>
      <c r="C553" s="0" t="s">
        <v>3447</v>
      </c>
      <c r="D553" s="0" t="s">
        <v>3448</v>
      </c>
      <c r="E553" s="20" t="s">
        <v>25</v>
      </c>
      <c r="F553" s="23" t="s">
        <v>30</v>
      </c>
      <c r="G553" s="21" t="s">
        <v>2133</v>
      </c>
      <c r="H553" s="21" t="s">
        <v>24</v>
      </c>
      <c r="I553" s="21" t="s">
        <v>24</v>
      </c>
      <c r="J553" s="21" t="s">
        <v>24</v>
      </c>
      <c r="K553" s="21" t="s">
        <v>25</v>
      </c>
      <c r="L553" s="21" t="s">
        <v>24</v>
      </c>
      <c r="M553" s="0" t="n">
        <v>183</v>
      </c>
      <c r="N553" s="0" t="n">
        <v>4</v>
      </c>
      <c r="O553" s="21" t="s">
        <v>3628</v>
      </c>
      <c r="P553" s="21" t="s">
        <v>4481</v>
      </c>
      <c r="Q553" s="0" t="n">
        <v>0</v>
      </c>
      <c r="S553" s="0" t="n">
        <v>4</v>
      </c>
      <c r="T553" s="21" t="s">
        <v>3628</v>
      </c>
      <c r="U553" s="22" t="b">
        <f aca="false">TRUE()</f>
        <v>1</v>
      </c>
      <c r="V553" s="0" t="n">
        <v>0.78</v>
      </c>
      <c r="W553" s="0" t="n">
        <v>0.76</v>
      </c>
      <c r="X553" s="0" t="n">
        <v>8.41</v>
      </c>
      <c r="Y553" s="0" t="n">
        <v>312.47</v>
      </c>
      <c r="Z553" s="0" t="n">
        <v>8.17</v>
      </c>
      <c r="AA553" s="0" t="n">
        <v>-2.15</v>
      </c>
      <c r="AB553" s="0" t="n">
        <v>1.26</v>
      </c>
      <c r="AC553" s="22" t="b">
        <f aca="false">FALSE()</f>
        <v>0</v>
      </c>
      <c r="AD553" s="0" t="n">
        <v>8.15</v>
      </c>
      <c r="AE553" s="0" t="n">
        <v>0.73</v>
      </c>
      <c r="AF553" s="0" t="n">
        <v>4.11</v>
      </c>
      <c r="AG553" s="22" t="b">
        <f aca="false">FALSE()</f>
        <v>0</v>
      </c>
      <c r="AH553" s="0" t="n">
        <v>1</v>
      </c>
    </row>
    <row r="554" customFormat="false" ht="15" hidden="false" customHeight="false" outlineLevel="0" collapsed="false">
      <c r="A554" s="0" t="s">
        <v>1002</v>
      </c>
      <c r="B554" s="0" t="s">
        <v>134</v>
      </c>
      <c r="C554" s="0" t="s">
        <v>3450</v>
      </c>
      <c r="D554" s="0" t="s">
        <v>3457</v>
      </c>
      <c r="E554" s="18" t="s">
        <v>24</v>
      </c>
      <c r="F554" s="18" t="s">
        <v>28</v>
      </c>
      <c r="H554" s="21" t="s">
        <v>24</v>
      </c>
      <c r="I554" s="21" t="s">
        <v>24</v>
      </c>
      <c r="J554" s="21" t="s">
        <v>24</v>
      </c>
      <c r="K554" s="21" t="s">
        <v>24</v>
      </c>
      <c r="L554" s="21" t="s">
        <v>24</v>
      </c>
      <c r="M554" s="0" t="n">
        <v>183</v>
      </c>
      <c r="N554" s="0" t="n">
        <v>0</v>
      </c>
      <c r="Q554" s="0" t="n">
        <v>0</v>
      </c>
      <c r="S554" s="0" t="n">
        <v>0</v>
      </c>
      <c r="U554" s="22" t="b">
        <f aca="false">FALSE()</f>
        <v>0</v>
      </c>
      <c r="V554" s="0" t="n">
        <v>0.73</v>
      </c>
      <c r="W554" s="0" t="n">
        <v>0.28</v>
      </c>
      <c r="X554" s="0" t="n">
        <v>6.91</v>
      </c>
      <c r="Y554" s="0" t="n">
        <v>420.52</v>
      </c>
      <c r="Z554" s="0" t="n">
        <v>9.5</v>
      </c>
      <c r="AA554" s="0" t="n">
        <v>9.29</v>
      </c>
      <c r="AB554" s="0" t="n">
        <v>3.66</v>
      </c>
      <c r="AC554" s="22" t="b">
        <f aca="false">FALSE()</f>
        <v>0</v>
      </c>
      <c r="AD554" s="0" t="n">
        <v>12.26</v>
      </c>
      <c r="AE554" s="0" t="n">
        <v>2.52</v>
      </c>
      <c r="AF554" s="0" t="n">
        <v>7.31</v>
      </c>
      <c r="AG554" s="22" t="b">
        <f aca="false">TRUE()</f>
        <v>1</v>
      </c>
      <c r="AH554" s="0" t="n">
        <v>1</v>
      </c>
    </row>
    <row r="555" customFormat="false" ht="15" hidden="false" customHeight="false" outlineLevel="0" collapsed="false">
      <c r="A555" s="0" t="s">
        <v>1002</v>
      </c>
      <c r="B555" s="0" t="s">
        <v>134</v>
      </c>
      <c r="C555" s="0" t="s">
        <v>3450</v>
      </c>
      <c r="D555" s="0" t="s">
        <v>3448</v>
      </c>
      <c r="E555" s="18" t="s">
        <v>24</v>
      </c>
      <c r="F555" s="18" t="s">
        <v>28</v>
      </c>
      <c r="H555" s="21" t="s">
        <v>24</v>
      </c>
      <c r="I555" s="21" t="s">
        <v>24</v>
      </c>
      <c r="J555" s="21" t="s">
        <v>24</v>
      </c>
      <c r="K555" s="21" t="s">
        <v>24</v>
      </c>
      <c r="L555" s="21" t="s">
        <v>24</v>
      </c>
      <c r="M555" s="0" t="n">
        <v>183</v>
      </c>
      <c r="N555" s="0" t="n">
        <v>0</v>
      </c>
      <c r="Q555" s="0" t="n">
        <v>0</v>
      </c>
      <c r="S555" s="0" t="n">
        <v>0</v>
      </c>
      <c r="U555" s="22" t="b">
        <f aca="false">FALSE()</f>
        <v>0</v>
      </c>
      <c r="V555" s="0" t="n">
        <v>0.76</v>
      </c>
      <c r="W555" s="0" t="n">
        <v>0.96</v>
      </c>
      <c r="X555" s="0" t="n">
        <v>6.64</v>
      </c>
      <c r="Y555" s="0" t="n">
        <v>316.41</v>
      </c>
      <c r="Z555" s="0" t="n">
        <v>9.75</v>
      </c>
      <c r="AA555" s="0" t="n">
        <v>8.94</v>
      </c>
      <c r="AB555" s="0" t="n">
        <v>2.87</v>
      </c>
      <c r="AC555" s="22" t="b">
        <f aca="false">FALSE()</f>
        <v>0</v>
      </c>
      <c r="AD555" s="0" t="n">
        <v>19.01</v>
      </c>
      <c r="AE555" s="0" t="n">
        <v>0.98</v>
      </c>
      <c r="AF555" s="0" t="n">
        <v>9.73</v>
      </c>
      <c r="AG555" s="22" t="b">
        <f aca="false">TRUE()</f>
        <v>1</v>
      </c>
      <c r="AH555" s="0" t="n">
        <v>1</v>
      </c>
    </row>
    <row r="556" customFormat="false" ht="15" hidden="false" customHeight="false" outlineLevel="0" collapsed="false">
      <c r="A556" s="0" t="s">
        <v>1002</v>
      </c>
      <c r="B556" s="0" t="s">
        <v>134</v>
      </c>
      <c r="C556" s="0" t="s">
        <v>3447</v>
      </c>
      <c r="D556" s="0" t="s">
        <v>3457</v>
      </c>
      <c r="E556" s="18" t="s">
        <v>24</v>
      </c>
      <c r="F556" s="18" t="s">
        <v>28</v>
      </c>
      <c r="H556" s="21" t="s">
        <v>24</v>
      </c>
      <c r="I556" s="21" t="s">
        <v>24</v>
      </c>
      <c r="J556" s="21" t="s">
        <v>24</v>
      </c>
      <c r="K556" s="21" t="s">
        <v>24</v>
      </c>
      <c r="L556" s="21" t="s">
        <v>24</v>
      </c>
      <c r="M556" s="0" t="n">
        <v>189</v>
      </c>
      <c r="N556" s="0" t="n">
        <v>0</v>
      </c>
      <c r="Q556" s="0" t="n">
        <v>0</v>
      </c>
      <c r="S556" s="0" t="n">
        <v>0</v>
      </c>
      <c r="U556" s="22" t="b">
        <f aca="false">FALSE()</f>
        <v>0</v>
      </c>
      <c r="V556" s="0" t="n">
        <v>0.74</v>
      </c>
      <c r="W556" s="0" t="n">
        <v>0.92</v>
      </c>
      <c r="X556" s="0" t="n">
        <v>7.99</v>
      </c>
      <c r="Y556" s="0" t="n">
        <v>327.64</v>
      </c>
      <c r="Z556" s="0" t="n">
        <v>9.67</v>
      </c>
      <c r="AA556" s="0" t="n">
        <v>3.49</v>
      </c>
      <c r="AB556" s="0" t="n">
        <v>3.66</v>
      </c>
      <c r="AC556" s="22" t="b">
        <f aca="false">FALSE()</f>
        <v>0</v>
      </c>
      <c r="AD556" s="0" t="n">
        <v>12.29</v>
      </c>
      <c r="AE556" s="0" t="n">
        <v>1.01</v>
      </c>
      <c r="AF556" s="0" t="n">
        <v>9.11</v>
      </c>
      <c r="AG556" s="22" t="b">
        <f aca="false">TRUE()</f>
        <v>1</v>
      </c>
      <c r="AH556" s="0" t="n">
        <v>1</v>
      </c>
    </row>
    <row r="557" customFormat="false" ht="15" hidden="false" customHeight="false" outlineLevel="0" collapsed="false">
      <c r="A557" s="0" t="s">
        <v>1002</v>
      </c>
      <c r="B557" s="0" t="s">
        <v>134</v>
      </c>
      <c r="C557" s="0" t="s">
        <v>3447</v>
      </c>
      <c r="D557" s="0" t="s">
        <v>3448</v>
      </c>
      <c r="E557" s="18" t="s">
        <v>24</v>
      </c>
      <c r="F557" s="18" t="s">
        <v>28</v>
      </c>
      <c r="H557" s="21" t="s">
        <v>24</v>
      </c>
      <c r="I557" s="21" t="s">
        <v>24</v>
      </c>
      <c r="J557" s="21" t="s">
        <v>24</v>
      </c>
      <c r="K557" s="21" t="s">
        <v>24</v>
      </c>
      <c r="L557" s="21" t="s">
        <v>24</v>
      </c>
      <c r="M557" s="0" t="n">
        <v>184</v>
      </c>
      <c r="N557" s="0" t="n">
        <v>0</v>
      </c>
      <c r="Q557" s="0" t="n">
        <v>0</v>
      </c>
      <c r="S557" s="0" t="n">
        <v>0</v>
      </c>
      <c r="U557" s="22" t="b">
        <f aca="false">FALSE()</f>
        <v>0</v>
      </c>
      <c r="V557" s="0" t="n">
        <v>0.77</v>
      </c>
      <c r="W557" s="0" t="n">
        <v>0.24</v>
      </c>
      <c r="X557" s="0" t="n">
        <v>6.37</v>
      </c>
      <c r="Y557" s="0" t="n">
        <v>438.36</v>
      </c>
      <c r="Z557" s="0" t="n">
        <v>9.92</v>
      </c>
      <c r="AA557" s="0" t="n">
        <v>2.98</v>
      </c>
      <c r="AB557" s="0" t="n">
        <v>2.87</v>
      </c>
      <c r="AC557" s="22" t="b">
        <f aca="false">FALSE()</f>
        <v>0</v>
      </c>
      <c r="AD557" s="0" t="n">
        <v>19.3</v>
      </c>
      <c r="AE557" s="0" t="n">
        <v>1.49</v>
      </c>
      <c r="AF557" s="0" t="n">
        <v>8.6</v>
      </c>
      <c r="AG557" s="22" t="b">
        <f aca="false">TRUE()</f>
        <v>1</v>
      </c>
      <c r="AH557" s="0" t="n">
        <v>1</v>
      </c>
    </row>
    <row r="558" customFormat="false" ht="15" hidden="false" customHeight="false" outlineLevel="0" collapsed="false">
      <c r="A558" s="0" t="s">
        <v>1006</v>
      </c>
      <c r="B558" s="0" t="s">
        <v>134</v>
      </c>
      <c r="C558" s="0" t="s">
        <v>3450</v>
      </c>
      <c r="D558" s="0" t="s">
        <v>3457</v>
      </c>
      <c r="E558" s="20" t="s">
        <v>25</v>
      </c>
      <c r="F558" s="23" t="s">
        <v>30</v>
      </c>
      <c r="G558" s="21" t="s">
        <v>2328</v>
      </c>
      <c r="H558" s="21" t="s">
        <v>24</v>
      </c>
      <c r="I558" s="21" t="s">
        <v>24</v>
      </c>
      <c r="J558" s="21" t="s">
        <v>24</v>
      </c>
      <c r="K558" s="21" t="s">
        <v>25</v>
      </c>
      <c r="L558" s="21" t="s">
        <v>24</v>
      </c>
      <c r="M558" s="0" t="n">
        <v>186</v>
      </c>
      <c r="N558" s="0" t="n">
        <v>4</v>
      </c>
      <c r="O558" s="21" t="s">
        <v>3753</v>
      </c>
      <c r="P558" s="21" t="s">
        <v>4482</v>
      </c>
      <c r="Q558" s="0" t="n">
        <v>0</v>
      </c>
      <c r="S558" s="0" t="n">
        <v>4</v>
      </c>
      <c r="T558" s="21" t="s">
        <v>3753</v>
      </c>
      <c r="U558" s="22" t="b">
        <f aca="false">TRUE()</f>
        <v>1</v>
      </c>
      <c r="V558" s="0" t="n">
        <v>0.45</v>
      </c>
      <c r="W558" s="0" t="n">
        <v>0</v>
      </c>
      <c r="X558" s="0" t="n">
        <v>7.74</v>
      </c>
      <c r="Y558" s="0" t="n">
        <v>636.61</v>
      </c>
      <c r="Z558" s="0" t="n">
        <v>11.5</v>
      </c>
      <c r="AA558" s="0" t="n">
        <v>2.98</v>
      </c>
      <c r="AB558" s="0" t="n">
        <v>0.54</v>
      </c>
      <c r="AC558" s="22" t="b">
        <f aca="false">TRUE()</f>
        <v>1</v>
      </c>
      <c r="AD558" s="0" t="n">
        <v>3.19</v>
      </c>
      <c r="AE558" s="0" t="n">
        <v>0.09</v>
      </c>
      <c r="AF558" s="0" t="n">
        <v>0.22</v>
      </c>
      <c r="AG558" s="22" t="b">
        <f aca="false">FALSE()</f>
        <v>0</v>
      </c>
      <c r="AH558" s="0" t="n">
        <v>1</v>
      </c>
    </row>
    <row r="559" customFormat="false" ht="15" hidden="false" customHeight="false" outlineLevel="0" collapsed="false">
      <c r="A559" s="0" t="s">
        <v>1006</v>
      </c>
      <c r="B559" s="0" t="s">
        <v>134</v>
      </c>
      <c r="C559" s="0" t="s">
        <v>3450</v>
      </c>
      <c r="D559" s="0" t="s">
        <v>3448</v>
      </c>
      <c r="E559" s="20" t="s">
        <v>25</v>
      </c>
      <c r="F559" s="23" t="s">
        <v>30</v>
      </c>
      <c r="G559" s="21" t="s">
        <v>294</v>
      </c>
      <c r="H559" s="21" t="s">
        <v>24</v>
      </c>
      <c r="I559" s="21" t="s">
        <v>25</v>
      </c>
      <c r="J559" s="21" t="s">
        <v>24</v>
      </c>
      <c r="K559" s="21" t="s">
        <v>25</v>
      </c>
      <c r="L559" s="21" t="s">
        <v>24</v>
      </c>
      <c r="M559" s="0" t="n">
        <v>185</v>
      </c>
      <c r="N559" s="0" t="n">
        <v>2</v>
      </c>
      <c r="O559" s="21" t="s">
        <v>3575</v>
      </c>
      <c r="P559" s="21" t="s">
        <v>4265</v>
      </c>
      <c r="Q559" s="0" t="n">
        <v>1</v>
      </c>
      <c r="R559" s="21" t="s">
        <v>69</v>
      </c>
      <c r="S559" s="0" t="n">
        <v>2</v>
      </c>
      <c r="T559" s="21" t="s">
        <v>3575</v>
      </c>
      <c r="U559" s="22" t="b">
        <f aca="false">TRUE()</f>
        <v>1</v>
      </c>
      <c r="V559" s="0" t="n">
        <v>0.66</v>
      </c>
      <c r="W559" s="0" t="n">
        <v>0.28</v>
      </c>
      <c r="X559" s="0" t="n">
        <v>5.62</v>
      </c>
      <c r="Y559" s="0" t="n">
        <v>437.31</v>
      </c>
      <c r="Z559" s="0" t="n">
        <v>11.5</v>
      </c>
      <c r="AA559" s="0" t="n">
        <v>0.62</v>
      </c>
      <c r="AB559" s="0" t="n">
        <v>0.79</v>
      </c>
      <c r="AC559" s="22" t="b">
        <f aca="false">TRUE()</f>
        <v>1</v>
      </c>
      <c r="AD559" s="0" t="n">
        <v>21.82</v>
      </c>
      <c r="AE559" s="0" t="n">
        <v>12.92</v>
      </c>
      <c r="AF559" s="0" t="n">
        <v>19.59</v>
      </c>
      <c r="AG559" s="22" t="b">
        <f aca="false">TRUE()</f>
        <v>1</v>
      </c>
      <c r="AH559" s="0" t="n">
        <v>1</v>
      </c>
    </row>
    <row r="560" customFormat="false" ht="15" hidden="false" customHeight="false" outlineLevel="0" collapsed="false">
      <c r="A560" s="0" t="s">
        <v>1006</v>
      </c>
      <c r="B560" s="0" t="s">
        <v>134</v>
      </c>
      <c r="C560" s="0" t="s">
        <v>3447</v>
      </c>
      <c r="D560" s="0" t="s">
        <v>3457</v>
      </c>
      <c r="E560" s="20" t="s">
        <v>25</v>
      </c>
      <c r="F560" s="23" t="s">
        <v>30</v>
      </c>
      <c r="G560" s="21" t="s">
        <v>2610</v>
      </c>
      <c r="H560" s="21" t="s">
        <v>24</v>
      </c>
      <c r="I560" s="21" t="s">
        <v>24</v>
      </c>
      <c r="J560" s="21" t="s">
        <v>24</v>
      </c>
      <c r="K560" s="21" t="s">
        <v>25</v>
      </c>
      <c r="L560" s="21" t="s">
        <v>24</v>
      </c>
      <c r="M560" s="0" t="n">
        <v>183</v>
      </c>
      <c r="N560" s="0" t="n">
        <v>4</v>
      </c>
      <c r="O560" s="21" t="s">
        <v>3752</v>
      </c>
      <c r="P560" s="21" t="s">
        <v>4483</v>
      </c>
      <c r="Q560" s="0" t="n">
        <v>0</v>
      </c>
      <c r="S560" s="0" t="n">
        <v>4</v>
      </c>
      <c r="T560" s="21" t="s">
        <v>3752</v>
      </c>
      <c r="U560" s="22" t="b">
        <f aca="false">TRUE()</f>
        <v>1</v>
      </c>
      <c r="V560" s="0" t="n">
        <v>0.51</v>
      </c>
      <c r="W560" s="0" t="n">
        <v>0</v>
      </c>
      <c r="X560" s="0" t="n">
        <v>8.74</v>
      </c>
      <c r="Y560" s="0" t="n">
        <v>663.01</v>
      </c>
      <c r="Z560" s="0" t="n">
        <v>10.25</v>
      </c>
      <c r="AA560" s="0" t="n">
        <v>2.7</v>
      </c>
      <c r="AB560" s="0" t="n">
        <v>0.54</v>
      </c>
      <c r="AC560" s="22" t="b">
        <f aca="false">FALSE()</f>
        <v>0</v>
      </c>
      <c r="AD560" s="0" t="n">
        <v>3.14</v>
      </c>
      <c r="AE560" s="0" t="n">
        <v>0.44</v>
      </c>
      <c r="AF560" s="0" t="n">
        <v>1.18</v>
      </c>
      <c r="AG560" s="22" t="b">
        <f aca="false">FALSE()</f>
        <v>0</v>
      </c>
      <c r="AH560" s="0" t="n">
        <v>1</v>
      </c>
    </row>
    <row r="561" customFormat="false" ht="15" hidden="false" customHeight="false" outlineLevel="0" collapsed="false">
      <c r="A561" s="0" t="s">
        <v>1006</v>
      </c>
      <c r="B561" s="0" t="s">
        <v>134</v>
      </c>
      <c r="C561" s="0" t="s">
        <v>3447</v>
      </c>
      <c r="D561" s="0" t="s">
        <v>3448</v>
      </c>
      <c r="E561" s="20" t="s">
        <v>25</v>
      </c>
      <c r="F561" s="23" t="s">
        <v>30</v>
      </c>
      <c r="G561" s="21" t="s">
        <v>2610</v>
      </c>
      <c r="H561" s="21" t="s">
        <v>24</v>
      </c>
      <c r="I561" s="21" t="s">
        <v>24</v>
      </c>
      <c r="J561" s="21" t="s">
        <v>24</v>
      </c>
      <c r="K561" s="21" t="s">
        <v>25</v>
      </c>
      <c r="L561" s="21" t="s">
        <v>24</v>
      </c>
      <c r="M561" s="0" t="n">
        <v>184</v>
      </c>
      <c r="N561" s="0" t="n">
        <v>4</v>
      </c>
      <c r="O561" s="21" t="s">
        <v>3682</v>
      </c>
      <c r="P561" s="21" t="s">
        <v>4484</v>
      </c>
      <c r="Q561" s="0" t="n">
        <v>0</v>
      </c>
      <c r="S561" s="0" t="n">
        <v>4</v>
      </c>
      <c r="T561" s="21" t="s">
        <v>3682</v>
      </c>
      <c r="U561" s="22" t="b">
        <f aca="false">TRUE()</f>
        <v>1</v>
      </c>
      <c r="V561" s="0" t="n">
        <v>0.69</v>
      </c>
      <c r="W561" s="0" t="n">
        <v>0.12</v>
      </c>
      <c r="X561" s="0" t="n">
        <v>8.64</v>
      </c>
      <c r="Y561" s="0" t="n">
        <v>619.16</v>
      </c>
      <c r="Z561" s="0" t="n">
        <v>9.58</v>
      </c>
      <c r="AA561" s="0" t="n">
        <v>-0.22</v>
      </c>
      <c r="AB561" s="0" t="n">
        <v>0.79</v>
      </c>
      <c r="AC561" s="22" t="b">
        <f aca="false">FALSE()</f>
        <v>0</v>
      </c>
      <c r="AD561" s="0" t="n">
        <v>14.82</v>
      </c>
      <c r="AE561" s="0" t="n">
        <v>4.34</v>
      </c>
      <c r="AF561" s="0" t="n">
        <v>10.31</v>
      </c>
      <c r="AG561" s="22" t="b">
        <f aca="false">TRUE()</f>
        <v>1</v>
      </c>
      <c r="AH561" s="0" t="n">
        <v>1</v>
      </c>
    </row>
    <row r="562" customFormat="false" ht="15" hidden="false" customHeight="false" outlineLevel="0" collapsed="false">
      <c r="A562" s="0" t="s">
        <v>1011</v>
      </c>
      <c r="B562" s="0" t="s">
        <v>134</v>
      </c>
      <c r="C562" s="0" t="s">
        <v>3450</v>
      </c>
      <c r="D562" s="0" t="s">
        <v>3457</v>
      </c>
      <c r="E562" s="20" t="s">
        <v>25</v>
      </c>
      <c r="F562" s="23" t="s">
        <v>30</v>
      </c>
      <c r="G562" s="21" t="s">
        <v>283</v>
      </c>
      <c r="H562" s="21" t="s">
        <v>24</v>
      </c>
      <c r="I562" s="21" t="s">
        <v>25</v>
      </c>
      <c r="J562" s="21" t="s">
        <v>24</v>
      </c>
      <c r="K562" s="21" t="s">
        <v>24</v>
      </c>
      <c r="L562" s="21" t="s">
        <v>24</v>
      </c>
      <c r="M562" s="0" t="n">
        <v>183</v>
      </c>
      <c r="N562" s="0" t="n">
        <v>1</v>
      </c>
      <c r="O562" s="21" t="s">
        <v>69</v>
      </c>
      <c r="P562" s="21" t="s">
        <v>4275</v>
      </c>
      <c r="Q562" s="0" t="n">
        <v>1</v>
      </c>
      <c r="R562" s="21" t="s">
        <v>69</v>
      </c>
      <c r="S562" s="0" t="n">
        <v>1</v>
      </c>
      <c r="T562" s="21" t="s">
        <v>69</v>
      </c>
      <c r="U562" s="22" t="b">
        <f aca="false">TRUE()</f>
        <v>1</v>
      </c>
      <c r="V562" s="0" t="n">
        <v>0.77</v>
      </c>
      <c r="W562" s="0" t="n">
        <v>0.76</v>
      </c>
      <c r="X562" s="0" t="n">
        <v>6.12</v>
      </c>
      <c r="Y562" s="0" t="n">
        <v>306.67</v>
      </c>
      <c r="Z562" s="0" t="n">
        <v>10</v>
      </c>
      <c r="AA562" s="0" t="n">
        <v>9.43</v>
      </c>
      <c r="AB562" s="0" t="n">
        <v>1.66</v>
      </c>
      <c r="AC562" s="22" t="b">
        <f aca="false">FALSE()</f>
        <v>0</v>
      </c>
      <c r="AD562" s="0" t="n">
        <v>5.57</v>
      </c>
      <c r="AE562" s="0" t="n">
        <v>0.88</v>
      </c>
      <c r="AF562" s="0" t="n">
        <v>14.51</v>
      </c>
      <c r="AG562" s="22" t="b">
        <f aca="false">FALSE()</f>
        <v>0</v>
      </c>
      <c r="AH562" s="0" t="n">
        <v>1</v>
      </c>
    </row>
    <row r="563" customFormat="false" ht="15" hidden="false" customHeight="false" outlineLevel="0" collapsed="false">
      <c r="A563" s="0" t="s">
        <v>1011</v>
      </c>
      <c r="B563" s="0" t="s">
        <v>134</v>
      </c>
      <c r="C563" s="0" t="s">
        <v>3450</v>
      </c>
      <c r="D563" s="0" t="s">
        <v>3448</v>
      </c>
      <c r="E563" s="20" t="s">
        <v>25</v>
      </c>
      <c r="F563" s="23" t="s">
        <v>30</v>
      </c>
      <c r="G563" s="21" t="s">
        <v>1099</v>
      </c>
      <c r="H563" s="21" t="s">
        <v>24</v>
      </c>
      <c r="I563" s="21" t="s">
        <v>25</v>
      </c>
      <c r="J563" s="21" t="s">
        <v>24</v>
      </c>
      <c r="K563" s="21" t="s">
        <v>25</v>
      </c>
      <c r="L563" s="21" t="s">
        <v>24</v>
      </c>
      <c r="M563" s="0" t="n">
        <v>183</v>
      </c>
      <c r="N563" s="0" t="n">
        <v>1</v>
      </c>
      <c r="O563" s="21" t="s">
        <v>69</v>
      </c>
      <c r="P563" s="21" t="s">
        <v>4275</v>
      </c>
      <c r="Q563" s="0" t="n">
        <v>1</v>
      </c>
      <c r="R563" s="21" t="s">
        <v>69</v>
      </c>
      <c r="S563" s="0" t="n">
        <v>1</v>
      </c>
      <c r="T563" s="21" t="s">
        <v>69</v>
      </c>
      <c r="U563" s="22" t="b">
        <f aca="false">TRUE()</f>
        <v>1</v>
      </c>
      <c r="V563" s="0" t="n">
        <v>0.79</v>
      </c>
      <c r="W563" s="0" t="n">
        <v>0.4</v>
      </c>
      <c r="X563" s="0" t="n">
        <v>6.1</v>
      </c>
      <c r="Y563" s="0" t="n">
        <v>355.56</v>
      </c>
      <c r="Z563" s="0" t="n">
        <v>10.17</v>
      </c>
      <c r="AA563" s="0" t="n">
        <v>8.5</v>
      </c>
      <c r="AB563" s="0" t="n">
        <v>1.33</v>
      </c>
      <c r="AC563" s="22" t="b">
        <f aca="false">FALSE()</f>
        <v>0</v>
      </c>
      <c r="AD563" s="0" t="n">
        <v>10.53</v>
      </c>
      <c r="AE563" s="0" t="n">
        <v>0.75</v>
      </c>
      <c r="AF563" s="0" t="n">
        <v>19.92</v>
      </c>
      <c r="AG563" s="22" t="b">
        <f aca="false">TRUE()</f>
        <v>1</v>
      </c>
      <c r="AH563" s="0" t="n">
        <v>1</v>
      </c>
    </row>
    <row r="564" customFormat="false" ht="15" hidden="false" customHeight="false" outlineLevel="0" collapsed="false">
      <c r="A564" s="0" t="s">
        <v>1011</v>
      </c>
      <c r="B564" s="0" t="s">
        <v>134</v>
      </c>
      <c r="C564" s="0" t="s">
        <v>3447</v>
      </c>
      <c r="D564" s="0" t="s">
        <v>3457</v>
      </c>
      <c r="E564" s="19" t="s">
        <v>26</v>
      </c>
      <c r="F564" s="19" t="s">
        <v>32</v>
      </c>
      <c r="G564" s="21" t="s">
        <v>529</v>
      </c>
      <c r="H564" s="21" t="s">
        <v>24</v>
      </c>
      <c r="I564" s="21" t="s">
        <v>26</v>
      </c>
      <c r="J564" s="21" t="s">
        <v>24</v>
      </c>
      <c r="K564" s="21" t="s">
        <v>24</v>
      </c>
      <c r="L564" s="21" t="s">
        <v>24</v>
      </c>
      <c r="M564" s="0" t="n">
        <v>183</v>
      </c>
      <c r="N564" s="0" t="n">
        <v>12</v>
      </c>
      <c r="O564" s="21" t="s">
        <v>4044</v>
      </c>
      <c r="P564" s="21" t="s">
        <v>4278</v>
      </c>
      <c r="Q564" s="0" t="n">
        <v>1</v>
      </c>
      <c r="R564" s="21" t="s">
        <v>69</v>
      </c>
      <c r="S564" s="0" t="n">
        <v>12</v>
      </c>
      <c r="T564" s="21" t="s">
        <v>4044</v>
      </c>
      <c r="U564" s="22" t="b">
        <f aca="false">FALSE()</f>
        <v>0</v>
      </c>
      <c r="V564" s="0" t="n">
        <v>0.73</v>
      </c>
      <c r="W564" s="0" t="n">
        <v>0.24</v>
      </c>
      <c r="X564" s="0" t="n">
        <v>6.78</v>
      </c>
      <c r="Y564" s="0" t="n">
        <v>464.99</v>
      </c>
      <c r="Z564" s="0" t="n">
        <v>10.25</v>
      </c>
      <c r="AA564" s="0" t="n">
        <v>5.11</v>
      </c>
      <c r="AB564" s="0" t="n">
        <v>1.66</v>
      </c>
      <c r="AC564" s="22" t="b">
        <f aca="false">FALSE()</f>
        <v>0</v>
      </c>
      <c r="AD564" s="0" t="n">
        <v>8.28</v>
      </c>
      <c r="AE564" s="0" t="n">
        <v>-0.09</v>
      </c>
      <c r="AF564" s="0" t="n">
        <v>13.45</v>
      </c>
      <c r="AG564" s="22" t="b">
        <f aca="false">FALSE()</f>
        <v>0</v>
      </c>
      <c r="AH564" s="0" t="n">
        <v>1</v>
      </c>
    </row>
    <row r="565" customFormat="false" ht="15" hidden="false" customHeight="false" outlineLevel="0" collapsed="false">
      <c r="A565" s="0" t="s">
        <v>1011</v>
      </c>
      <c r="B565" s="0" t="s">
        <v>134</v>
      </c>
      <c r="C565" s="0" t="s">
        <v>3447</v>
      </c>
      <c r="D565" s="0" t="s">
        <v>3448</v>
      </c>
      <c r="E565" s="19" t="s">
        <v>26</v>
      </c>
      <c r="F565" s="19" t="s">
        <v>32</v>
      </c>
      <c r="G565" s="21" t="s">
        <v>3885</v>
      </c>
      <c r="H565" s="21" t="s">
        <v>24</v>
      </c>
      <c r="I565" s="21" t="s">
        <v>26</v>
      </c>
      <c r="J565" s="21" t="s">
        <v>24</v>
      </c>
      <c r="K565" s="21" t="s">
        <v>25</v>
      </c>
      <c r="L565" s="21" t="s">
        <v>24</v>
      </c>
      <c r="M565" s="0" t="n">
        <v>185</v>
      </c>
      <c r="N565" s="0" t="n">
        <v>11</v>
      </c>
      <c r="O565" s="21" t="s">
        <v>3925</v>
      </c>
      <c r="P565" s="21" t="s">
        <v>4253</v>
      </c>
      <c r="Q565" s="0" t="n">
        <v>0</v>
      </c>
      <c r="S565" s="0" t="n">
        <v>11</v>
      </c>
      <c r="T565" s="21" t="s">
        <v>3925</v>
      </c>
      <c r="U565" s="22" t="b">
        <f aca="false">FALSE()</f>
        <v>0</v>
      </c>
      <c r="V565" s="0" t="n">
        <v>0.79</v>
      </c>
      <c r="W565" s="0" t="n">
        <v>0.32</v>
      </c>
      <c r="X565" s="0" t="n">
        <v>7.59</v>
      </c>
      <c r="Y565" s="0" t="n">
        <v>402.08</v>
      </c>
      <c r="Z565" s="0" t="n">
        <v>10.33</v>
      </c>
      <c r="AA565" s="0" t="n">
        <v>5.81</v>
      </c>
      <c r="AB565" s="0" t="n">
        <v>1.33</v>
      </c>
      <c r="AC565" s="22" t="b">
        <f aca="false">FALSE()</f>
        <v>0</v>
      </c>
      <c r="AD565" s="0" t="n">
        <v>14.45</v>
      </c>
      <c r="AE565" s="0" t="n">
        <v>0.46</v>
      </c>
      <c r="AF565" s="0" t="n">
        <v>19.87</v>
      </c>
      <c r="AG565" s="22" t="b">
        <f aca="false">TRUE()</f>
        <v>1</v>
      </c>
      <c r="AH565" s="0" t="n">
        <v>1</v>
      </c>
    </row>
    <row r="566" customFormat="false" ht="15" hidden="false" customHeight="false" outlineLevel="0" collapsed="false">
      <c r="A566" s="0" t="s">
        <v>1016</v>
      </c>
      <c r="B566" s="0" t="s">
        <v>134</v>
      </c>
      <c r="C566" s="0" t="s">
        <v>3450</v>
      </c>
      <c r="D566" s="0" t="s">
        <v>3457</v>
      </c>
      <c r="E566" s="18" t="s">
        <v>24</v>
      </c>
      <c r="F566" s="18" t="s">
        <v>28</v>
      </c>
      <c r="H566" s="21" t="s">
        <v>24</v>
      </c>
      <c r="I566" s="21" t="s">
        <v>24</v>
      </c>
      <c r="J566" s="21" t="s">
        <v>24</v>
      </c>
      <c r="K566" s="21" t="s">
        <v>24</v>
      </c>
      <c r="L566" s="21" t="s">
        <v>24</v>
      </c>
      <c r="M566" s="0" t="n">
        <v>187</v>
      </c>
      <c r="N566" s="0" t="n">
        <v>0</v>
      </c>
      <c r="Q566" s="0" t="n">
        <v>0</v>
      </c>
      <c r="S566" s="0" t="n">
        <v>0</v>
      </c>
      <c r="U566" s="22" t="b">
        <f aca="false">FALSE()</f>
        <v>0</v>
      </c>
      <c r="V566" s="0" t="n">
        <v>0.71</v>
      </c>
      <c r="W566" s="0" t="n">
        <v>0.72</v>
      </c>
      <c r="X566" s="0" t="n">
        <v>8.04</v>
      </c>
      <c r="Y566" s="0" t="n">
        <v>325.5</v>
      </c>
      <c r="Z566" s="0" t="n">
        <v>9</v>
      </c>
      <c r="AA566" s="0" t="n">
        <v>8.47</v>
      </c>
      <c r="AB566" s="0" t="n">
        <v>2.82</v>
      </c>
      <c r="AC566" s="22" t="b">
        <f aca="false">FALSE()</f>
        <v>0</v>
      </c>
      <c r="AD566" s="0" t="n">
        <v>15.82</v>
      </c>
      <c r="AE566" s="0" t="n">
        <v>0.55</v>
      </c>
      <c r="AF566" s="0" t="n">
        <v>12.67</v>
      </c>
      <c r="AG566" s="22" t="b">
        <f aca="false">TRUE()</f>
        <v>1</v>
      </c>
      <c r="AH566" s="0" t="n">
        <v>1</v>
      </c>
    </row>
    <row r="567" customFormat="false" ht="15" hidden="false" customHeight="false" outlineLevel="0" collapsed="false">
      <c r="A567" s="0" t="s">
        <v>1016</v>
      </c>
      <c r="B567" s="0" t="s">
        <v>134</v>
      </c>
      <c r="C567" s="0" t="s">
        <v>3450</v>
      </c>
      <c r="D567" s="0" t="s">
        <v>3448</v>
      </c>
      <c r="E567" s="18" t="s">
        <v>24</v>
      </c>
      <c r="F567" s="18" t="s">
        <v>28</v>
      </c>
      <c r="H567" s="21" t="s">
        <v>24</v>
      </c>
      <c r="I567" s="21" t="s">
        <v>24</v>
      </c>
      <c r="J567" s="21" t="s">
        <v>24</v>
      </c>
      <c r="K567" s="21" t="s">
        <v>24</v>
      </c>
      <c r="L567" s="21" t="s">
        <v>24</v>
      </c>
      <c r="M567" s="0" t="n">
        <v>189</v>
      </c>
      <c r="N567" s="0" t="n">
        <v>0</v>
      </c>
      <c r="Q567" s="0" t="n">
        <v>0</v>
      </c>
      <c r="S567" s="0" t="n">
        <v>0</v>
      </c>
      <c r="U567" s="22" t="b">
        <f aca="false">FALSE()</f>
        <v>0</v>
      </c>
      <c r="V567" s="0" t="n">
        <v>0.71</v>
      </c>
      <c r="W567" s="0" t="n">
        <v>0.32</v>
      </c>
      <c r="X567" s="0" t="n">
        <v>7.93</v>
      </c>
      <c r="Y567" s="0" t="n">
        <v>416.44</v>
      </c>
      <c r="Z567" s="0" t="n">
        <v>9.25</v>
      </c>
      <c r="AA567" s="0" t="n">
        <v>9.07</v>
      </c>
      <c r="AB567" s="0" t="n">
        <v>3.66</v>
      </c>
      <c r="AC567" s="22" t="b">
        <f aca="false">FALSE()</f>
        <v>0</v>
      </c>
      <c r="AD567" s="0" t="n">
        <v>15.49</v>
      </c>
      <c r="AE567" s="0" t="n">
        <v>1.06</v>
      </c>
      <c r="AF567" s="0" t="n">
        <v>14.17</v>
      </c>
      <c r="AG567" s="22" t="b">
        <f aca="false">TRUE()</f>
        <v>1</v>
      </c>
      <c r="AH567" s="0" t="n">
        <v>1</v>
      </c>
    </row>
    <row r="568" customFormat="false" ht="15" hidden="false" customHeight="false" outlineLevel="0" collapsed="false">
      <c r="A568" s="0" t="s">
        <v>1016</v>
      </c>
      <c r="B568" s="0" t="s">
        <v>134</v>
      </c>
      <c r="C568" s="0" t="s">
        <v>3447</v>
      </c>
      <c r="D568" s="0" t="s">
        <v>3457</v>
      </c>
      <c r="E568" s="19" t="s">
        <v>26</v>
      </c>
      <c r="F568" s="19" t="s">
        <v>32</v>
      </c>
      <c r="G568" s="21" t="s">
        <v>529</v>
      </c>
      <c r="H568" s="21" t="s">
        <v>24</v>
      </c>
      <c r="I568" s="21" t="s">
        <v>26</v>
      </c>
      <c r="J568" s="21" t="s">
        <v>24</v>
      </c>
      <c r="K568" s="21" t="s">
        <v>24</v>
      </c>
      <c r="L568" s="21" t="s">
        <v>24</v>
      </c>
      <c r="M568" s="0" t="n">
        <v>189</v>
      </c>
      <c r="N568" s="0" t="n">
        <v>11</v>
      </c>
      <c r="O568" s="21" t="s">
        <v>4034</v>
      </c>
      <c r="P568" s="21" t="s">
        <v>4252</v>
      </c>
      <c r="Q568" s="0" t="n">
        <v>1</v>
      </c>
      <c r="R568" s="21" t="s">
        <v>69</v>
      </c>
      <c r="S568" s="0" t="n">
        <v>11</v>
      </c>
      <c r="T568" s="21" t="s">
        <v>4034</v>
      </c>
      <c r="U568" s="22" t="b">
        <f aca="false">FALSE()</f>
        <v>0</v>
      </c>
      <c r="V568" s="0" t="n">
        <v>0.74</v>
      </c>
      <c r="W568" s="0" t="n">
        <v>0.72</v>
      </c>
      <c r="X568" s="0" t="n">
        <v>8.92</v>
      </c>
      <c r="Y568" s="0" t="n">
        <v>327.86</v>
      </c>
      <c r="Z568" s="0" t="n">
        <v>9.83</v>
      </c>
      <c r="AA568" s="0" t="n">
        <v>0.84</v>
      </c>
      <c r="AB568" s="0" t="n">
        <v>2.82</v>
      </c>
      <c r="AC568" s="22" t="b">
        <f aca="false">FALSE()</f>
        <v>0</v>
      </c>
      <c r="AD568" s="0" t="n">
        <v>15.93</v>
      </c>
      <c r="AE568" s="0" t="n">
        <v>0.47</v>
      </c>
      <c r="AF568" s="0" t="n">
        <v>11.5</v>
      </c>
      <c r="AG568" s="22" t="b">
        <f aca="false">TRUE()</f>
        <v>1</v>
      </c>
      <c r="AH568" s="0" t="n">
        <v>1</v>
      </c>
    </row>
    <row r="569" customFormat="false" ht="15" hidden="false" customHeight="false" outlineLevel="0" collapsed="false">
      <c r="A569" s="0" t="s">
        <v>1016</v>
      </c>
      <c r="B569" s="0" t="s">
        <v>134</v>
      </c>
      <c r="C569" s="0" t="s">
        <v>3447</v>
      </c>
      <c r="D569" s="0" t="s">
        <v>3448</v>
      </c>
      <c r="E569" s="19" t="s">
        <v>26</v>
      </c>
      <c r="F569" s="19" t="s">
        <v>32</v>
      </c>
      <c r="G569" s="21" t="s">
        <v>60</v>
      </c>
      <c r="H569" s="21" t="s">
        <v>24</v>
      </c>
      <c r="I569" s="21" t="s">
        <v>26</v>
      </c>
      <c r="J569" s="21" t="s">
        <v>24</v>
      </c>
      <c r="K569" s="21" t="s">
        <v>24</v>
      </c>
      <c r="L569" s="21" t="s">
        <v>24</v>
      </c>
      <c r="M569" s="0" t="n">
        <v>185</v>
      </c>
      <c r="N569" s="0" t="n">
        <v>8</v>
      </c>
      <c r="O569" s="21" t="s">
        <v>3934</v>
      </c>
      <c r="P569" s="21" t="s">
        <v>4485</v>
      </c>
      <c r="Q569" s="0" t="n">
        <v>0</v>
      </c>
      <c r="S569" s="0" t="n">
        <v>8</v>
      </c>
      <c r="T569" s="21" t="s">
        <v>3934</v>
      </c>
      <c r="U569" s="22" t="b">
        <f aca="false">FALSE()</f>
        <v>0</v>
      </c>
      <c r="V569" s="0" t="n">
        <v>0.77</v>
      </c>
      <c r="W569" s="0" t="n">
        <v>0</v>
      </c>
      <c r="X569" s="0" t="n">
        <v>9.54</v>
      </c>
      <c r="Y569" s="0" t="n">
        <v>726.51</v>
      </c>
      <c r="Z569" s="0" t="n">
        <v>10.5</v>
      </c>
      <c r="AA569" s="0" t="n">
        <v>0.43</v>
      </c>
      <c r="AB569" s="0" t="n">
        <v>3.66</v>
      </c>
      <c r="AC569" s="22" t="b">
        <f aca="false">FALSE()</f>
        <v>0</v>
      </c>
      <c r="AD569" s="0" t="n">
        <v>14.56</v>
      </c>
      <c r="AE569" s="0" t="n">
        <v>0.97</v>
      </c>
      <c r="AF569" s="0" t="n">
        <v>11.49</v>
      </c>
      <c r="AG569" s="22" t="b">
        <f aca="false">TRUE()</f>
        <v>1</v>
      </c>
      <c r="AH569" s="0" t="n">
        <v>1</v>
      </c>
    </row>
    <row r="570" customFormat="false" ht="15" hidden="false" customHeight="false" outlineLevel="0" collapsed="false">
      <c r="A570" s="0" t="s">
        <v>1023</v>
      </c>
      <c r="B570" s="0" t="s">
        <v>134</v>
      </c>
      <c r="C570" s="0" t="s">
        <v>3450</v>
      </c>
      <c r="D570" s="0" t="s">
        <v>3457</v>
      </c>
      <c r="E570" s="20" t="s">
        <v>25</v>
      </c>
      <c r="F570" s="23" t="s">
        <v>30</v>
      </c>
      <c r="G570" s="21" t="s">
        <v>283</v>
      </c>
      <c r="H570" s="21" t="s">
        <v>24</v>
      </c>
      <c r="I570" s="21" t="s">
        <v>25</v>
      </c>
      <c r="J570" s="21" t="s">
        <v>24</v>
      </c>
      <c r="K570" s="21" t="s">
        <v>24</v>
      </c>
      <c r="L570" s="21" t="s">
        <v>24</v>
      </c>
      <c r="M570" s="0" t="n">
        <v>192</v>
      </c>
      <c r="N570" s="0" t="n">
        <v>2</v>
      </c>
      <c r="O570" s="21" t="s">
        <v>3584</v>
      </c>
      <c r="P570" s="21" t="s">
        <v>4486</v>
      </c>
      <c r="Q570" s="0" t="n">
        <v>1</v>
      </c>
      <c r="R570" s="21" t="s">
        <v>69</v>
      </c>
      <c r="S570" s="0" t="n">
        <v>1</v>
      </c>
      <c r="T570" s="21" t="s">
        <v>69</v>
      </c>
      <c r="U570" s="22" t="b">
        <f aca="false">TRUE()</f>
        <v>1</v>
      </c>
      <c r="V570" s="0" t="n">
        <v>0.76</v>
      </c>
      <c r="W570" s="0" t="n">
        <v>0.56</v>
      </c>
      <c r="X570" s="0" t="n">
        <v>11.88</v>
      </c>
      <c r="Y570" s="0" t="n">
        <v>332.61</v>
      </c>
      <c r="Z570" s="0" t="n">
        <v>10</v>
      </c>
      <c r="AA570" s="0" t="n">
        <v>11.85</v>
      </c>
      <c r="AB570" s="0" t="n">
        <v>2.11</v>
      </c>
      <c r="AC570" s="22" t="b">
        <f aca="false">FALSE()</f>
        <v>0</v>
      </c>
      <c r="AD570" s="0" t="n">
        <v>11.58</v>
      </c>
      <c r="AE570" s="0" t="n">
        <v>0.29</v>
      </c>
      <c r="AF570" s="0" t="n">
        <v>6.29</v>
      </c>
      <c r="AG570" s="22" t="b">
        <f aca="false">TRUE()</f>
        <v>1</v>
      </c>
      <c r="AH570" s="0" t="n">
        <v>1</v>
      </c>
    </row>
    <row r="571" customFormat="false" ht="15" hidden="false" customHeight="false" outlineLevel="0" collapsed="false">
      <c r="A571" s="0" t="s">
        <v>1023</v>
      </c>
      <c r="B571" s="0" t="s">
        <v>134</v>
      </c>
      <c r="C571" s="0" t="s">
        <v>3450</v>
      </c>
      <c r="D571" s="0" t="s">
        <v>3448</v>
      </c>
      <c r="E571" s="20" t="s">
        <v>25</v>
      </c>
      <c r="F571" s="23" t="s">
        <v>30</v>
      </c>
      <c r="G571" s="21" t="s">
        <v>283</v>
      </c>
      <c r="H571" s="21" t="s">
        <v>24</v>
      </c>
      <c r="I571" s="21" t="s">
        <v>25</v>
      </c>
      <c r="J571" s="21" t="s">
        <v>24</v>
      </c>
      <c r="K571" s="21" t="s">
        <v>24</v>
      </c>
      <c r="L571" s="21" t="s">
        <v>24</v>
      </c>
      <c r="M571" s="0" t="n">
        <v>218</v>
      </c>
      <c r="N571" s="0" t="n">
        <v>1</v>
      </c>
      <c r="O571" s="21" t="s">
        <v>69</v>
      </c>
      <c r="P571" s="21" t="s">
        <v>4275</v>
      </c>
      <c r="Q571" s="0" t="n">
        <v>1</v>
      </c>
      <c r="R571" s="21" t="s">
        <v>69</v>
      </c>
      <c r="S571" s="0" t="n">
        <v>1</v>
      </c>
      <c r="T571" s="21" t="s">
        <v>69</v>
      </c>
      <c r="U571" s="22" t="b">
        <f aca="false">TRUE()</f>
        <v>1</v>
      </c>
      <c r="V571" s="0" t="n">
        <v>0.76</v>
      </c>
      <c r="W571" s="0" t="n">
        <v>0.76</v>
      </c>
      <c r="X571" s="0" t="n">
        <v>11.48</v>
      </c>
      <c r="Y571" s="0" t="n">
        <v>375.71</v>
      </c>
      <c r="Z571" s="0" t="n">
        <v>9.75</v>
      </c>
      <c r="AA571" s="0" t="n">
        <v>3.71</v>
      </c>
      <c r="AB571" s="0" t="n">
        <v>2.71</v>
      </c>
      <c r="AC571" s="22" t="b">
        <f aca="false">FALSE()</f>
        <v>0</v>
      </c>
      <c r="AD571" s="0" t="n">
        <v>1.84</v>
      </c>
      <c r="AE571" s="0" t="n">
        <v>1.11</v>
      </c>
      <c r="AF571" s="0" t="n">
        <v>9.83</v>
      </c>
      <c r="AG571" s="22" t="b">
        <f aca="false">FALSE()</f>
        <v>0</v>
      </c>
      <c r="AH571" s="0" t="n">
        <v>2</v>
      </c>
    </row>
    <row r="572" customFormat="false" ht="15" hidden="false" customHeight="false" outlineLevel="0" collapsed="false">
      <c r="A572" s="0" t="s">
        <v>1023</v>
      </c>
      <c r="B572" s="0" t="s">
        <v>134</v>
      </c>
      <c r="C572" s="0" t="s">
        <v>3447</v>
      </c>
      <c r="D572" s="0" t="s">
        <v>3457</v>
      </c>
      <c r="E572" s="19" t="s">
        <v>26</v>
      </c>
      <c r="F572" s="19" t="s">
        <v>32</v>
      </c>
      <c r="G572" s="21" t="s">
        <v>60</v>
      </c>
      <c r="H572" s="21" t="s">
        <v>24</v>
      </c>
      <c r="I572" s="21" t="s">
        <v>26</v>
      </c>
      <c r="J572" s="21" t="s">
        <v>24</v>
      </c>
      <c r="K572" s="21" t="s">
        <v>24</v>
      </c>
      <c r="L572" s="21" t="s">
        <v>24</v>
      </c>
      <c r="M572" s="0" t="n">
        <v>187</v>
      </c>
      <c r="N572" s="0" t="n">
        <v>7</v>
      </c>
      <c r="O572" s="21" t="s">
        <v>3887</v>
      </c>
      <c r="P572" s="21" t="s">
        <v>4319</v>
      </c>
      <c r="Q572" s="0" t="n">
        <v>0</v>
      </c>
      <c r="S572" s="0" t="n">
        <v>7</v>
      </c>
      <c r="T572" s="21" t="s">
        <v>3887</v>
      </c>
      <c r="U572" s="22" t="b">
        <f aca="false">FALSE()</f>
        <v>0</v>
      </c>
      <c r="V572" s="0" t="n">
        <v>0.69</v>
      </c>
      <c r="W572" s="0" t="n">
        <v>0</v>
      </c>
      <c r="X572" s="0" t="n">
        <v>12.12</v>
      </c>
      <c r="Y572" s="0" t="n">
        <v>686.58</v>
      </c>
      <c r="Z572" s="0" t="n">
        <v>10</v>
      </c>
      <c r="AA572" s="0" t="n">
        <v>9.29</v>
      </c>
      <c r="AB572" s="0" t="n">
        <v>2.11</v>
      </c>
      <c r="AC572" s="22" t="b">
        <f aca="false">FALSE()</f>
        <v>0</v>
      </c>
      <c r="AD572" s="0" t="n">
        <v>10.68</v>
      </c>
      <c r="AE572" s="0" t="n">
        <v>0.73</v>
      </c>
      <c r="AF572" s="0" t="n">
        <v>6.05</v>
      </c>
      <c r="AG572" s="22" t="b">
        <f aca="false">TRUE()</f>
        <v>1</v>
      </c>
      <c r="AH572" s="0" t="n">
        <v>1</v>
      </c>
    </row>
    <row r="573" customFormat="false" ht="15" hidden="false" customHeight="false" outlineLevel="0" collapsed="false">
      <c r="A573" s="0" t="s">
        <v>1023</v>
      </c>
      <c r="B573" s="0" t="s">
        <v>134</v>
      </c>
      <c r="C573" s="0" t="s">
        <v>3447</v>
      </c>
      <c r="D573" s="0" t="s">
        <v>3448</v>
      </c>
      <c r="E573" s="18" t="s">
        <v>24</v>
      </c>
      <c r="F573" s="23" t="s">
        <v>30</v>
      </c>
      <c r="G573" s="21" t="s">
        <v>30</v>
      </c>
      <c r="H573" s="21" t="s">
        <v>24</v>
      </c>
      <c r="I573" s="21" t="s">
        <v>24</v>
      </c>
      <c r="J573" s="21" t="s">
        <v>24</v>
      </c>
      <c r="K573" s="21" t="s">
        <v>24</v>
      </c>
      <c r="L573" s="21" t="s">
        <v>24</v>
      </c>
      <c r="M573" s="0" t="n">
        <v>219</v>
      </c>
      <c r="N573" s="0" t="n">
        <v>2</v>
      </c>
      <c r="O573" s="21" t="s">
        <v>3506</v>
      </c>
      <c r="P573" s="21" t="s">
        <v>4449</v>
      </c>
      <c r="Q573" s="0" t="n">
        <v>0</v>
      </c>
      <c r="S573" s="0" t="n">
        <v>2</v>
      </c>
      <c r="T573" s="21" t="s">
        <v>3506</v>
      </c>
      <c r="U573" s="22" t="b">
        <f aca="false">TRUE()</f>
        <v>1</v>
      </c>
      <c r="V573" s="0" t="n">
        <v>0.76</v>
      </c>
      <c r="W573" s="0" t="n">
        <v>0.92</v>
      </c>
      <c r="X573" s="0" t="n">
        <v>13.37</v>
      </c>
      <c r="Y573" s="0" t="n">
        <v>371.55</v>
      </c>
      <c r="Z573" s="0" t="n">
        <v>9.75</v>
      </c>
      <c r="AA573" s="0" t="n">
        <v>10.6</v>
      </c>
      <c r="AB573" s="0" t="n">
        <v>2.71</v>
      </c>
      <c r="AC573" s="22" t="b">
        <f aca="false">FALSE()</f>
        <v>0</v>
      </c>
      <c r="AD573" s="0" t="n">
        <v>6.21</v>
      </c>
      <c r="AE573" s="0" t="n">
        <v>-0.37</v>
      </c>
      <c r="AF573" s="0" t="n">
        <v>8.76</v>
      </c>
      <c r="AG573" s="22" t="b">
        <f aca="false">FALSE()</f>
        <v>0</v>
      </c>
      <c r="AH573" s="0" t="n">
        <v>1</v>
      </c>
    </row>
    <row r="574" customFormat="false" ht="15" hidden="false" customHeight="false" outlineLevel="0" collapsed="false">
      <c r="A574" s="0" t="s">
        <v>1028</v>
      </c>
      <c r="B574" s="0" t="s">
        <v>134</v>
      </c>
      <c r="C574" s="0" t="s">
        <v>3450</v>
      </c>
      <c r="D574" s="0" t="s">
        <v>3457</v>
      </c>
      <c r="E574" s="18" t="s">
        <v>24</v>
      </c>
      <c r="F574" s="23" t="s">
        <v>30</v>
      </c>
      <c r="G574" s="21" t="s">
        <v>30</v>
      </c>
      <c r="H574" s="21" t="s">
        <v>24</v>
      </c>
      <c r="I574" s="21" t="s">
        <v>24</v>
      </c>
      <c r="J574" s="21" t="s">
        <v>24</v>
      </c>
      <c r="K574" s="21" t="s">
        <v>24</v>
      </c>
      <c r="L574" s="21" t="s">
        <v>24</v>
      </c>
      <c r="M574" s="0" t="n">
        <v>197</v>
      </c>
      <c r="N574" s="0" t="n">
        <v>1</v>
      </c>
      <c r="O574" s="21" t="s">
        <v>3476</v>
      </c>
      <c r="P574" s="21" t="s">
        <v>4228</v>
      </c>
      <c r="Q574" s="0" t="n">
        <v>0</v>
      </c>
      <c r="S574" s="0" t="n">
        <v>1</v>
      </c>
      <c r="T574" s="21" t="s">
        <v>3476</v>
      </c>
      <c r="U574" s="22" t="b">
        <f aca="false">TRUE()</f>
        <v>1</v>
      </c>
      <c r="V574" s="0" t="n">
        <v>0.73</v>
      </c>
      <c r="W574" s="0" t="n">
        <v>0.76</v>
      </c>
      <c r="X574" s="0" t="n">
        <v>6.03</v>
      </c>
      <c r="Y574" s="0" t="n">
        <v>344.38</v>
      </c>
      <c r="Z574" s="0" t="n">
        <v>10.5</v>
      </c>
      <c r="AA574" s="0" t="n">
        <v>7.15</v>
      </c>
      <c r="AB574" s="0" t="n">
        <v>4.33</v>
      </c>
      <c r="AC574" s="22" t="b">
        <f aca="false">FALSE()</f>
        <v>0</v>
      </c>
      <c r="AD574" s="0" t="n">
        <v>17.09</v>
      </c>
      <c r="AE574" s="0" t="n">
        <v>0.55</v>
      </c>
      <c r="AF574" s="0" t="n">
        <v>8.05</v>
      </c>
      <c r="AG574" s="22" t="b">
        <f aca="false">TRUE()</f>
        <v>1</v>
      </c>
      <c r="AH574" s="0" t="n">
        <v>1</v>
      </c>
    </row>
    <row r="575" customFormat="false" ht="15" hidden="false" customHeight="false" outlineLevel="0" collapsed="false">
      <c r="A575" s="0" t="s">
        <v>1028</v>
      </c>
      <c r="B575" s="0" t="s">
        <v>134</v>
      </c>
      <c r="C575" s="0" t="s">
        <v>3450</v>
      </c>
      <c r="D575" s="0" t="s">
        <v>3448</v>
      </c>
      <c r="E575" s="20" t="s">
        <v>25</v>
      </c>
      <c r="F575" s="23" t="s">
        <v>30</v>
      </c>
      <c r="G575" s="21" t="s">
        <v>283</v>
      </c>
      <c r="H575" s="21" t="s">
        <v>24</v>
      </c>
      <c r="I575" s="21" t="s">
        <v>25</v>
      </c>
      <c r="J575" s="21" t="s">
        <v>24</v>
      </c>
      <c r="K575" s="21" t="s">
        <v>24</v>
      </c>
      <c r="L575" s="21" t="s">
        <v>24</v>
      </c>
      <c r="M575" s="0" t="n">
        <v>182</v>
      </c>
      <c r="N575" s="0" t="n">
        <v>3</v>
      </c>
      <c r="O575" s="21" t="s">
        <v>3695</v>
      </c>
      <c r="P575" s="21" t="s">
        <v>4289</v>
      </c>
      <c r="Q575" s="0" t="n">
        <v>1</v>
      </c>
      <c r="R575" s="21" t="s">
        <v>69</v>
      </c>
      <c r="S575" s="0" t="n">
        <v>3</v>
      </c>
      <c r="T575" s="21" t="s">
        <v>3695</v>
      </c>
      <c r="U575" s="22" t="b">
        <f aca="false">TRUE()</f>
        <v>1</v>
      </c>
      <c r="V575" s="0" t="n">
        <v>0.74</v>
      </c>
      <c r="W575" s="0" t="n">
        <v>0.32</v>
      </c>
      <c r="X575" s="0" t="n">
        <v>5.81</v>
      </c>
      <c r="Y575" s="0" t="n">
        <v>366.3</v>
      </c>
      <c r="Z575" s="0" t="n">
        <v>10.67</v>
      </c>
      <c r="AA575" s="0" t="n">
        <v>7.53</v>
      </c>
      <c r="AB575" s="0" t="n">
        <v>2.55</v>
      </c>
      <c r="AC575" s="22" t="b">
        <f aca="false">FALSE()</f>
        <v>0</v>
      </c>
      <c r="AD575" s="0" t="n">
        <v>13.51</v>
      </c>
      <c r="AE575" s="0" t="n">
        <v>0.75</v>
      </c>
      <c r="AF575" s="0" t="n">
        <v>6.19</v>
      </c>
      <c r="AG575" s="22" t="b">
        <f aca="false">TRUE()</f>
        <v>1</v>
      </c>
      <c r="AH575" s="0" t="n">
        <v>1</v>
      </c>
    </row>
    <row r="576" customFormat="false" ht="15" hidden="false" customHeight="false" outlineLevel="0" collapsed="false">
      <c r="A576" s="0" t="s">
        <v>1028</v>
      </c>
      <c r="B576" s="0" t="s">
        <v>134</v>
      </c>
      <c r="C576" s="0" t="s">
        <v>3447</v>
      </c>
      <c r="D576" s="0" t="s">
        <v>3457</v>
      </c>
      <c r="E576" s="18" t="s">
        <v>24</v>
      </c>
      <c r="F576" s="23" t="s">
        <v>30</v>
      </c>
      <c r="G576" s="21" t="s">
        <v>30</v>
      </c>
      <c r="H576" s="21" t="s">
        <v>24</v>
      </c>
      <c r="I576" s="21" t="s">
        <v>24</v>
      </c>
      <c r="J576" s="21" t="s">
        <v>24</v>
      </c>
      <c r="K576" s="21" t="s">
        <v>24</v>
      </c>
      <c r="L576" s="21" t="s">
        <v>24</v>
      </c>
      <c r="M576" s="0" t="n">
        <v>187</v>
      </c>
      <c r="N576" s="0" t="n">
        <v>2</v>
      </c>
      <c r="O576" s="21" t="s">
        <v>3525</v>
      </c>
      <c r="P576" s="21" t="s">
        <v>4487</v>
      </c>
      <c r="Q576" s="0" t="n">
        <v>0</v>
      </c>
      <c r="S576" s="0" t="n">
        <v>2</v>
      </c>
      <c r="T576" s="21" t="s">
        <v>3525</v>
      </c>
      <c r="U576" s="22" t="b">
        <f aca="false">TRUE()</f>
        <v>1</v>
      </c>
      <c r="V576" s="0" t="n">
        <v>0.76</v>
      </c>
      <c r="W576" s="0" t="n">
        <v>0.2</v>
      </c>
      <c r="X576" s="0" t="n">
        <v>5.66</v>
      </c>
      <c r="Y576" s="0" t="n">
        <v>519.83</v>
      </c>
      <c r="Z576" s="0" t="n">
        <v>8.25</v>
      </c>
      <c r="AA576" s="0" t="n">
        <v>-0.5</v>
      </c>
      <c r="AB576" s="0" t="n">
        <v>4.33</v>
      </c>
      <c r="AC576" s="22" t="b">
        <f aca="false">FALSE()</f>
        <v>0</v>
      </c>
      <c r="AD576" s="0" t="n">
        <v>17.61</v>
      </c>
      <c r="AE576" s="0" t="n">
        <v>0.41</v>
      </c>
      <c r="AF576" s="0" t="n">
        <v>8.77</v>
      </c>
      <c r="AG576" s="22" t="b">
        <f aca="false">TRUE()</f>
        <v>1</v>
      </c>
      <c r="AH576" s="0" t="n">
        <v>1</v>
      </c>
    </row>
    <row r="577" customFormat="false" ht="15" hidden="false" customHeight="false" outlineLevel="0" collapsed="false">
      <c r="A577" s="0" t="s">
        <v>1028</v>
      </c>
      <c r="B577" s="0" t="s">
        <v>134</v>
      </c>
      <c r="C577" s="0" t="s">
        <v>3447</v>
      </c>
      <c r="D577" s="0" t="s">
        <v>3448</v>
      </c>
      <c r="E577" s="18" t="s">
        <v>24</v>
      </c>
      <c r="F577" s="23" t="s">
        <v>30</v>
      </c>
      <c r="G577" s="21" t="s">
        <v>30</v>
      </c>
      <c r="H577" s="21" t="s">
        <v>24</v>
      </c>
      <c r="I577" s="21" t="s">
        <v>24</v>
      </c>
      <c r="J577" s="21" t="s">
        <v>24</v>
      </c>
      <c r="K577" s="21" t="s">
        <v>24</v>
      </c>
      <c r="L577" s="21" t="s">
        <v>24</v>
      </c>
      <c r="M577" s="0" t="n">
        <v>182</v>
      </c>
      <c r="N577" s="0" t="n">
        <v>1</v>
      </c>
      <c r="O577" s="21" t="s">
        <v>3476</v>
      </c>
      <c r="P577" s="21" t="s">
        <v>4228</v>
      </c>
      <c r="Q577" s="0" t="n">
        <v>0</v>
      </c>
      <c r="S577" s="0" t="n">
        <v>1</v>
      </c>
      <c r="T577" s="21" t="s">
        <v>3476</v>
      </c>
      <c r="U577" s="22" t="b">
        <f aca="false">TRUE()</f>
        <v>1</v>
      </c>
      <c r="V577" s="0" t="n">
        <v>0.81</v>
      </c>
      <c r="W577" s="0" t="n">
        <v>0</v>
      </c>
      <c r="X577" s="0" t="n">
        <v>6.15</v>
      </c>
      <c r="Y577" s="0" t="n">
        <v>2.92</v>
      </c>
      <c r="Z577" s="0" t="n">
        <v>11.17</v>
      </c>
      <c r="AA577" s="0" t="n">
        <v>1.41</v>
      </c>
      <c r="AB577" s="0" t="n">
        <v>2.55</v>
      </c>
      <c r="AC577" s="22" t="b">
        <f aca="false">FALSE()</f>
        <v>0</v>
      </c>
      <c r="AD577" s="0" t="n">
        <v>16.04</v>
      </c>
      <c r="AE577" s="0" t="n">
        <v>0.78</v>
      </c>
      <c r="AF577" s="0" t="n">
        <v>8.82</v>
      </c>
      <c r="AG577" s="22" t="b">
        <f aca="false">TRUE()</f>
        <v>1</v>
      </c>
      <c r="AH577" s="0" t="n">
        <v>0</v>
      </c>
    </row>
    <row r="578" customFormat="false" ht="15" hidden="false" customHeight="false" outlineLevel="0" collapsed="false">
      <c r="A578" s="0" t="s">
        <v>1033</v>
      </c>
      <c r="B578" s="0" t="s">
        <v>134</v>
      </c>
      <c r="C578" s="0" t="s">
        <v>3450</v>
      </c>
      <c r="D578" s="0" t="s">
        <v>3457</v>
      </c>
      <c r="E578" s="20" t="s">
        <v>25</v>
      </c>
      <c r="F578" s="20" t="s">
        <v>29</v>
      </c>
      <c r="G578" s="21" t="s">
        <v>3451</v>
      </c>
      <c r="H578" s="21" t="s">
        <v>24</v>
      </c>
      <c r="I578" s="21" t="s">
        <v>24</v>
      </c>
      <c r="J578" s="21" t="s">
        <v>24</v>
      </c>
      <c r="K578" s="21" t="s">
        <v>25</v>
      </c>
      <c r="L578" s="21" t="s">
        <v>24</v>
      </c>
      <c r="M578" s="0" t="n">
        <v>187</v>
      </c>
      <c r="N578" s="0" t="n">
        <v>0</v>
      </c>
      <c r="Q578" s="0" t="n">
        <v>0</v>
      </c>
      <c r="S578" s="0" t="n">
        <v>0</v>
      </c>
      <c r="U578" s="22" t="b">
        <f aca="false">FALSE()</f>
        <v>0</v>
      </c>
      <c r="V578" s="0" t="n">
        <v>0.65</v>
      </c>
      <c r="W578" s="0" t="n">
        <v>0.6</v>
      </c>
      <c r="X578" s="0" t="n">
        <v>9.14</v>
      </c>
      <c r="Y578" s="0" t="n">
        <v>276.39</v>
      </c>
      <c r="Z578" s="0" t="n">
        <v>9.5</v>
      </c>
      <c r="AA578" s="0" t="n">
        <v>2.46</v>
      </c>
      <c r="AB578" s="0" t="n">
        <v>0.45</v>
      </c>
      <c r="AC578" s="22" t="b">
        <f aca="false">TRUE()</f>
        <v>1</v>
      </c>
      <c r="AD578" s="0" t="n">
        <v>3.05</v>
      </c>
      <c r="AE578" s="0" t="n">
        <v>0.51</v>
      </c>
      <c r="AF578" s="0" t="n">
        <v>5.3</v>
      </c>
      <c r="AG578" s="22" t="b">
        <f aca="false">FALSE()</f>
        <v>0</v>
      </c>
      <c r="AH578" s="0" t="n">
        <v>1</v>
      </c>
    </row>
    <row r="579" customFormat="false" ht="15" hidden="false" customHeight="false" outlineLevel="0" collapsed="false">
      <c r="A579" s="0" t="s">
        <v>1033</v>
      </c>
      <c r="B579" s="0" t="s">
        <v>134</v>
      </c>
      <c r="C579" s="0" t="s">
        <v>3450</v>
      </c>
      <c r="D579" s="0" t="s">
        <v>3448</v>
      </c>
      <c r="E579" s="20" t="s">
        <v>25</v>
      </c>
      <c r="F579" s="23" t="s">
        <v>30</v>
      </c>
      <c r="G579" s="21" t="s">
        <v>283</v>
      </c>
      <c r="H579" s="21" t="s">
        <v>24</v>
      </c>
      <c r="I579" s="21" t="s">
        <v>25</v>
      </c>
      <c r="J579" s="21" t="s">
        <v>24</v>
      </c>
      <c r="K579" s="21" t="s">
        <v>24</v>
      </c>
      <c r="L579" s="21" t="s">
        <v>24</v>
      </c>
      <c r="M579" s="0" t="n">
        <v>183</v>
      </c>
      <c r="N579" s="0" t="n">
        <v>1</v>
      </c>
      <c r="O579" s="21" t="s">
        <v>69</v>
      </c>
      <c r="P579" s="21" t="s">
        <v>4275</v>
      </c>
      <c r="Q579" s="0" t="n">
        <v>1</v>
      </c>
      <c r="R579" s="21" t="s">
        <v>69</v>
      </c>
      <c r="S579" s="0" t="n">
        <v>1</v>
      </c>
      <c r="T579" s="21" t="s">
        <v>69</v>
      </c>
      <c r="U579" s="22" t="b">
        <f aca="false">TRUE()</f>
        <v>1</v>
      </c>
      <c r="V579" s="0" t="n">
        <v>0.69</v>
      </c>
      <c r="W579" s="0" t="n">
        <v>0.28</v>
      </c>
      <c r="X579" s="0" t="n">
        <v>10.24</v>
      </c>
      <c r="Y579" s="0" t="n">
        <v>417.66</v>
      </c>
      <c r="Z579" s="0" t="n">
        <v>8.33</v>
      </c>
      <c r="AA579" s="0" t="n">
        <v>5.71</v>
      </c>
      <c r="AB579" s="0" t="n">
        <v>1.62</v>
      </c>
      <c r="AC579" s="22" t="b">
        <f aca="false">FALSE()</f>
        <v>0</v>
      </c>
      <c r="AD579" s="0" t="n">
        <v>13.15</v>
      </c>
      <c r="AE579" s="0" t="n">
        <v>0.58</v>
      </c>
      <c r="AF579" s="0" t="n">
        <v>5.97</v>
      </c>
      <c r="AG579" s="22" t="b">
        <f aca="false">TRUE()</f>
        <v>1</v>
      </c>
      <c r="AH579" s="0" t="n">
        <v>1</v>
      </c>
    </row>
    <row r="580" customFormat="false" ht="15" hidden="false" customHeight="false" outlineLevel="0" collapsed="false">
      <c r="A580" s="0" t="s">
        <v>1033</v>
      </c>
      <c r="B580" s="0" t="s">
        <v>134</v>
      </c>
      <c r="C580" s="0" t="s">
        <v>3447</v>
      </c>
      <c r="D580" s="0" t="s">
        <v>3457</v>
      </c>
      <c r="E580" s="19" t="s">
        <v>26</v>
      </c>
      <c r="F580" s="19" t="s">
        <v>32</v>
      </c>
      <c r="G580" s="21" t="s">
        <v>1311</v>
      </c>
      <c r="H580" s="21" t="s">
        <v>24</v>
      </c>
      <c r="I580" s="21" t="s">
        <v>26</v>
      </c>
      <c r="J580" s="21" t="s">
        <v>24</v>
      </c>
      <c r="K580" s="21" t="s">
        <v>25</v>
      </c>
      <c r="L580" s="21" t="s">
        <v>24</v>
      </c>
      <c r="M580" s="0" t="n">
        <v>184</v>
      </c>
      <c r="N580" s="0" t="n">
        <v>13</v>
      </c>
      <c r="O580" s="21" t="s">
        <v>4023</v>
      </c>
      <c r="P580" s="21" t="s">
        <v>4229</v>
      </c>
      <c r="Q580" s="0" t="n">
        <v>1</v>
      </c>
      <c r="R580" s="21" t="s">
        <v>69</v>
      </c>
      <c r="S580" s="0" t="n">
        <v>13</v>
      </c>
      <c r="T580" s="21" t="s">
        <v>4023</v>
      </c>
      <c r="U580" s="22" t="b">
        <f aca="false">FALSE()</f>
        <v>0</v>
      </c>
      <c r="V580" s="0" t="n">
        <v>0.69</v>
      </c>
      <c r="W580" s="0" t="n">
        <v>0.88</v>
      </c>
      <c r="X580" s="0" t="n">
        <v>10.33</v>
      </c>
      <c r="Y580" s="0" t="n">
        <v>296.06</v>
      </c>
      <c r="Z580" s="0" t="n">
        <v>8.25</v>
      </c>
      <c r="AA580" s="0" t="n">
        <v>0.12</v>
      </c>
      <c r="AB580" s="0" t="n">
        <v>0.45</v>
      </c>
      <c r="AC580" s="22" t="b">
        <f aca="false">FALSE()</f>
        <v>0</v>
      </c>
      <c r="AD580" s="0" t="n">
        <v>2.86</v>
      </c>
      <c r="AE580" s="0" t="n">
        <v>0.56</v>
      </c>
      <c r="AF580" s="0" t="n">
        <v>5.56</v>
      </c>
      <c r="AG580" s="22" t="b">
        <f aca="false">FALSE()</f>
        <v>0</v>
      </c>
      <c r="AH580" s="0" t="n">
        <v>1</v>
      </c>
    </row>
    <row r="581" customFormat="false" ht="15" hidden="false" customHeight="false" outlineLevel="0" collapsed="false">
      <c r="A581" s="0" t="s">
        <v>1033</v>
      </c>
      <c r="B581" s="0" t="s">
        <v>134</v>
      </c>
      <c r="C581" s="0" t="s">
        <v>3447</v>
      </c>
      <c r="D581" s="0" t="s">
        <v>3448</v>
      </c>
      <c r="E581" s="19" t="s">
        <v>26</v>
      </c>
      <c r="F581" s="19" t="s">
        <v>32</v>
      </c>
      <c r="G581" s="21" t="s">
        <v>529</v>
      </c>
      <c r="H581" s="21" t="s">
        <v>24</v>
      </c>
      <c r="I581" s="21" t="s">
        <v>26</v>
      </c>
      <c r="J581" s="21" t="s">
        <v>24</v>
      </c>
      <c r="K581" s="21" t="s">
        <v>24</v>
      </c>
      <c r="L581" s="21" t="s">
        <v>24</v>
      </c>
      <c r="M581" s="0" t="n">
        <v>183</v>
      </c>
      <c r="N581" s="0" t="n">
        <v>13</v>
      </c>
      <c r="O581" s="21" t="s">
        <v>4023</v>
      </c>
      <c r="P581" s="21" t="s">
        <v>4229</v>
      </c>
      <c r="Q581" s="0" t="n">
        <v>1</v>
      </c>
      <c r="R581" s="21" t="s">
        <v>69</v>
      </c>
      <c r="S581" s="0" t="n">
        <v>13</v>
      </c>
      <c r="T581" s="21" t="s">
        <v>4023</v>
      </c>
      <c r="U581" s="22" t="b">
        <f aca="false">FALSE()</f>
        <v>0</v>
      </c>
      <c r="V581" s="0" t="n">
        <v>0.7</v>
      </c>
      <c r="W581" s="0" t="n">
        <v>0.76</v>
      </c>
      <c r="X581" s="0" t="n">
        <v>11.83</v>
      </c>
      <c r="Y581" s="0" t="n">
        <v>306.29</v>
      </c>
      <c r="Z581" s="0" t="n">
        <v>8.25</v>
      </c>
      <c r="AA581" s="0" t="n">
        <v>3.48</v>
      </c>
      <c r="AB581" s="0" t="n">
        <v>1.62</v>
      </c>
      <c r="AC581" s="22" t="b">
        <f aca="false">FALSE()</f>
        <v>0</v>
      </c>
      <c r="AD581" s="0" t="n">
        <v>11.83</v>
      </c>
      <c r="AE581" s="0" t="n">
        <v>0.78</v>
      </c>
      <c r="AF581" s="0" t="n">
        <v>4.35</v>
      </c>
      <c r="AG581" s="22" t="b">
        <f aca="false">TRUE()</f>
        <v>1</v>
      </c>
      <c r="AH581" s="0" t="n">
        <v>1</v>
      </c>
    </row>
    <row r="582" customFormat="false" ht="15" hidden="false" customHeight="false" outlineLevel="0" collapsed="false">
      <c r="A582" s="0" t="s">
        <v>1038</v>
      </c>
      <c r="B582" s="0" t="s">
        <v>134</v>
      </c>
      <c r="C582" s="0" t="s">
        <v>3450</v>
      </c>
      <c r="D582" s="0" t="s">
        <v>3457</v>
      </c>
      <c r="E582" s="20" t="s">
        <v>25</v>
      </c>
      <c r="F582" s="23" t="s">
        <v>30</v>
      </c>
      <c r="G582" s="21" t="s">
        <v>283</v>
      </c>
      <c r="H582" s="21" t="s">
        <v>24</v>
      </c>
      <c r="I582" s="21" t="s">
        <v>25</v>
      </c>
      <c r="J582" s="21" t="s">
        <v>24</v>
      </c>
      <c r="K582" s="21" t="s">
        <v>24</v>
      </c>
      <c r="L582" s="21" t="s">
        <v>24</v>
      </c>
      <c r="M582" s="0" t="n">
        <v>183</v>
      </c>
      <c r="N582" s="0" t="n">
        <v>3</v>
      </c>
      <c r="O582" s="21" t="s">
        <v>3716</v>
      </c>
      <c r="P582" s="21" t="s">
        <v>4488</v>
      </c>
      <c r="Q582" s="0" t="n">
        <v>1</v>
      </c>
      <c r="R582" s="21" t="s">
        <v>69</v>
      </c>
      <c r="S582" s="0" t="n">
        <v>3</v>
      </c>
      <c r="T582" s="21" t="s">
        <v>3716</v>
      </c>
      <c r="U582" s="22" t="b">
        <f aca="false">TRUE()</f>
        <v>1</v>
      </c>
      <c r="V582" s="0" t="n">
        <v>0.67</v>
      </c>
      <c r="W582" s="0" t="n">
        <v>0.92</v>
      </c>
      <c r="X582" s="0" t="n">
        <v>11.62</v>
      </c>
      <c r="Y582" s="0" t="n">
        <v>283.7</v>
      </c>
      <c r="Z582" s="0" t="n">
        <v>8.33</v>
      </c>
      <c r="AA582" s="0" t="n">
        <v>12.18</v>
      </c>
      <c r="AB582" s="0" t="n">
        <v>2.54</v>
      </c>
      <c r="AC582" s="22" t="b">
        <f aca="false">FALSE()</f>
        <v>0</v>
      </c>
      <c r="AD582" s="0" t="n">
        <v>13.48</v>
      </c>
      <c r="AE582" s="0" t="n">
        <v>1.69</v>
      </c>
      <c r="AF582" s="0" t="n">
        <v>1.3</v>
      </c>
      <c r="AG582" s="22" t="b">
        <f aca="false">TRUE()</f>
        <v>1</v>
      </c>
      <c r="AH582" s="0" t="n">
        <v>1</v>
      </c>
    </row>
    <row r="583" customFormat="false" ht="15" hidden="false" customHeight="false" outlineLevel="0" collapsed="false">
      <c r="A583" s="0" t="s">
        <v>1038</v>
      </c>
      <c r="B583" s="0" t="s">
        <v>134</v>
      </c>
      <c r="C583" s="0" t="s">
        <v>3450</v>
      </c>
      <c r="D583" s="0" t="s">
        <v>3448</v>
      </c>
      <c r="E583" s="20" t="s">
        <v>25</v>
      </c>
      <c r="F583" s="23" t="s">
        <v>30</v>
      </c>
      <c r="G583" s="21" t="s">
        <v>283</v>
      </c>
      <c r="H583" s="21" t="s">
        <v>24</v>
      </c>
      <c r="I583" s="21" t="s">
        <v>25</v>
      </c>
      <c r="J583" s="21" t="s">
        <v>24</v>
      </c>
      <c r="K583" s="21" t="s">
        <v>24</v>
      </c>
      <c r="L583" s="21" t="s">
        <v>24</v>
      </c>
      <c r="M583" s="0" t="n">
        <v>192</v>
      </c>
      <c r="N583" s="0" t="n">
        <v>3</v>
      </c>
      <c r="O583" s="21" t="s">
        <v>3716</v>
      </c>
      <c r="P583" s="21" t="s">
        <v>4489</v>
      </c>
      <c r="Q583" s="0" t="n">
        <v>1</v>
      </c>
      <c r="R583" s="21" t="s">
        <v>69</v>
      </c>
      <c r="S583" s="0" t="n">
        <v>2</v>
      </c>
      <c r="T583" s="21" t="s">
        <v>3566</v>
      </c>
      <c r="U583" s="22" t="b">
        <f aca="false">TRUE()</f>
        <v>1</v>
      </c>
      <c r="V583" s="0" t="n">
        <v>0.71</v>
      </c>
      <c r="W583" s="0" t="n">
        <v>0.76</v>
      </c>
      <c r="X583" s="0" t="n">
        <v>12.85</v>
      </c>
      <c r="Y583" s="0" t="n">
        <v>305.94</v>
      </c>
      <c r="Z583" s="0" t="n">
        <v>8.5</v>
      </c>
      <c r="AA583" s="0" t="n">
        <v>9.26</v>
      </c>
      <c r="AB583" s="0" t="n">
        <v>1.65</v>
      </c>
      <c r="AC583" s="22" t="b">
        <f aca="false">FALSE()</f>
        <v>0</v>
      </c>
      <c r="AD583" s="0" t="n">
        <v>19.2</v>
      </c>
      <c r="AE583" s="0" t="n">
        <v>0.61</v>
      </c>
      <c r="AF583" s="0" t="n">
        <v>23.07</v>
      </c>
      <c r="AG583" s="22" t="b">
        <f aca="false">TRUE()</f>
        <v>1</v>
      </c>
      <c r="AH583" s="0" t="n">
        <v>1</v>
      </c>
    </row>
    <row r="584" customFormat="false" ht="15" hidden="false" customHeight="false" outlineLevel="0" collapsed="false">
      <c r="A584" s="0" t="s">
        <v>1038</v>
      </c>
      <c r="B584" s="0" t="s">
        <v>134</v>
      </c>
      <c r="C584" s="0" t="s">
        <v>3447</v>
      </c>
      <c r="D584" s="0" t="s">
        <v>3457</v>
      </c>
      <c r="E584" s="19" t="s">
        <v>26</v>
      </c>
      <c r="F584" s="19" t="s">
        <v>32</v>
      </c>
      <c r="G584" s="21" t="s">
        <v>529</v>
      </c>
      <c r="H584" s="21" t="s">
        <v>24</v>
      </c>
      <c r="I584" s="21" t="s">
        <v>26</v>
      </c>
      <c r="J584" s="21" t="s">
        <v>24</v>
      </c>
      <c r="K584" s="21" t="s">
        <v>24</v>
      </c>
      <c r="L584" s="21" t="s">
        <v>24</v>
      </c>
      <c r="M584" s="0" t="n">
        <v>189</v>
      </c>
      <c r="N584" s="0" t="n">
        <v>8</v>
      </c>
      <c r="O584" s="21" t="s">
        <v>4028</v>
      </c>
      <c r="P584" s="21" t="s">
        <v>4490</v>
      </c>
      <c r="Q584" s="0" t="n">
        <v>1</v>
      </c>
      <c r="R584" s="21" t="s">
        <v>69</v>
      </c>
      <c r="S584" s="0" t="n">
        <v>7</v>
      </c>
      <c r="T584" s="21" t="s">
        <v>3986</v>
      </c>
      <c r="U584" s="22" t="b">
        <f aca="false">FALSE()</f>
        <v>0</v>
      </c>
      <c r="V584" s="0" t="n">
        <v>0.71</v>
      </c>
      <c r="W584" s="0" t="n">
        <v>0.84</v>
      </c>
      <c r="X584" s="0" t="n">
        <v>9.15</v>
      </c>
      <c r="Y584" s="0" t="n">
        <v>320.25</v>
      </c>
      <c r="Z584" s="0" t="n">
        <v>8.75</v>
      </c>
      <c r="AA584" s="0" t="n">
        <v>9.9</v>
      </c>
      <c r="AB584" s="0" t="n">
        <v>2.54</v>
      </c>
      <c r="AC584" s="22" t="b">
        <f aca="false">FALSE()</f>
        <v>0</v>
      </c>
      <c r="AD584" s="0" t="n">
        <v>14.16</v>
      </c>
      <c r="AE584" s="0" t="n">
        <v>0.77</v>
      </c>
      <c r="AF584" s="0" t="n">
        <v>1.85</v>
      </c>
      <c r="AG584" s="22" t="b">
        <f aca="false">TRUE()</f>
        <v>1</v>
      </c>
      <c r="AH584" s="0" t="n">
        <v>1</v>
      </c>
    </row>
    <row r="585" customFormat="false" ht="15" hidden="false" customHeight="false" outlineLevel="0" collapsed="false">
      <c r="A585" s="0" t="s">
        <v>1038</v>
      </c>
      <c r="B585" s="0" t="s">
        <v>134</v>
      </c>
      <c r="C585" s="0" t="s">
        <v>3447</v>
      </c>
      <c r="D585" s="0" t="s">
        <v>3448</v>
      </c>
      <c r="E585" s="19" t="s">
        <v>26</v>
      </c>
      <c r="F585" s="19" t="s">
        <v>32</v>
      </c>
      <c r="G585" s="21" t="s">
        <v>1926</v>
      </c>
      <c r="H585" s="21" t="s">
        <v>24</v>
      </c>
      <c r="I585" s="21" t="s">
        <v>26</v>
      </c>
      <c r="J585" s="21" t="s">
        <v>24</v>
      </c>
      <c r="K585" s="21" t="s">
        <v>25</v>
      </c>
      <c r="L585" s="21" t="s">
        <v>24</v>
      </c>
      <c r="M585" s="0" t="n">
        <v>187</v>
      </c>
      <c r="N585" s="0" t="n">
        <v>7</v>
      </c>
      <c r="O585" s="21" t="s">
        <v>3983</v>
      </c>
      <c r="P585" s="21" t="s">
        <v>4491</v>
      </c>
      <c r="Q585" s="0" t="n">
        <v>1</v>
      </c>
      <c r="R585" s="21" t="s">
        <v>69</v>
      </c>
      <c r="S585" s="0" t="n">
        <v>6</v>
      </c>
      <c r="T585" s="21" t="s">
        <v>4492</v>
      </c>
      <c r="U585" s="22" t="b">
        <f aca="false">FALSE()</f>
        <v>0</v>
      </c>
      <c r="V585" s="0" t="n">
        <v>0.74</v>
      </c>
      <c r="W585" s="0" t="n">
        <v>0.8</v>
      </c>
      <c r="X585" s="0" t="n">
        <v>11.61</v>
      </c>
      <c r="Y585" s="0" t="n">
        <v>309.22</v>
      </c>
      <c r="Z585" s="0" t="n">
        <v>8.58</v>
      </c>
      <c r="AA585" s="0" t="n">
        <v>10.24</v>
      </c>
      <c r="AB585" s="0" t="n">
        <v>1.65</v>
      </c>
      <c r="AC585" s="22" t="b">
        <f aca="false">FALSE()</f>
        <v>0</v>
      </c>
      <c r="AD585" s="0" t="n">
        <v>22.97</v>
      </c>
      <c r="AE585" s="0" t="n">
        <v>0.27</v>
      </c>
      <c r="AF585" s="0" t="n">
        <v>24.38</v>
      </c>
      <c r="AG585" s="22" t="b">
        <f aca="false">TRUE()</f>
        <v>1</v>
      </c>
      <c r="AH585" s="0" t="n">
        <v>1</v>
      </c>
    </row>
    <row r="586" customFormat="false" ht="15" hidden="false" customHeight="false" outlineLevel="0" collapsed="false">
      <c r="A586" s="0" t="s">
        <v>1043</v>
      </c>
      <c r="B586" s="0" t="s">
        <v>134</v>
      </c>
      <c r="C586" s="0" t="s">
        <v>3450</v>
      </c>
      <c r="D586" s="0" t="s">
        <v>3457</v>
      </c>
      <c r="E586" s="20" t="s">
        <v>25</v>
      </c>
      <c r="F586" s="20" t="s">
        <v>29</v>
      </c>
      <c r="G586" s="21" t="s">
        <v>61</v>
      </c>
      <c r="H586" s="21" t="s">
        <v>24</v>
      </c>
      <c r="I586" s="21" t="s">
        <v>24</v>
      </c>
      <c r="J586" s="21" t="s">
        <v>24</v>
      </c>
      <c r="K586" s="21" t="s">
        <v>25</v>
      </c>
      <c r="L586" s="21" t="s">
        <v>24</v>
      </c>
      <c r="M586" s="0" t="n">
        <v>209</v>
      </c>
      <c r="N586" s="0" t="n">
        <v>0</v>
      </c>
      <c r="Q586" s="0" t="n">
        <v>0</v>
      </c>
      <c r="S586" s="0" t="n">
        <v>0</v>
      </c>
      <c r="U586" s="22" t="b">
        <f aca="false">FALSE()</f>
        <v>0</v>
      </c>
      <c r="V586" s="0" t="n">
        <v>0.75</v>
      </c>
      <c r="W586" s="0" t="n">
        <v>0.92</v>
      </c>
      <c r="X586" s="0" t="n">
        <v>5</v>
      </c>
      <c r="Y586" s="0" t="n">
        <v>364.31</v>
      </c>
      <c r="Z586" s="0" t="n">
        <v>10.75</v>
      </c>
      <c r="AA586" s="0" t="n">
        <v>4.28</v>
      </c>
      <c r="AB586" s="0" t="n">
        <v>1.94</v>
      </c>
      <c r="AC586" s="22" t="b">
        <f aca="false">FALSE()</f>
        <v>0</v>
      </c>
      <c r="AD586" s="0" t="n">
        <v>22.7</v>
      </c>
      <c r="AE586" s="0" t="n">
        <v>8.99</v>
      </c>
      <c r="AF586" s="0" t="n">
        <v>17.73</v>
      </c>
      <c r="AG586" s="22" t="b">
        <f aca="false">TRUE()</f>
        <v>1</v>
      </c>
      <c r="AH586" s="0" t="n">
        <v>1</v>
      </c>
    </row>
    <row r="587" customFormat="false" ht="15" hidden="false" customHeight="false" outlineLevel="0" collapsed="false">
      <c r="A587" s="0" t="s">
        <v>1043</v>
      </c>
      <c r="B587" s="0" t="s">
        <v>134</v>
      </c>
      <c r="C587" s="0" t="s">
        <v>3450</v>
      </c>
      <c r="D587" s="0" t="s">
        <v>3448</v>
      </c>
      <c r="E587" s="20" t="s">
        <v>25</v>
      </c>
      <c r="F587" s="23" t="s">
        <v>30</v>
      </c>
      <c r="G587" s="21" t="s">
        <v>283</v>
      </c>
      <c r="H587" s="21" t="s">
        <v>24</v>
      </c>
      <c r="I587" s="21" t="s">
        <v>25</v>
      </c>
      <c r="J587" s="21" t="s">
        <v>24</v>
      </c>
      <c r="K587" s="21" t="s">
        <v>24</v>
      </c>
      <c r="L587" s="21" t="s">
        <v>24</v>
      </c>
      <c r="M587" s="0" t="n">
        <v>183</v>
      </c>
      <c r="N587" s="0" t="n">
        <v>1</v>
      </c>
      <c r="O587" s="21" t="s">
        <v>69</v>
      </c>
      <c r="P587" s="21" t="s">
        <v>4275</v>
      </c>
      <c r="Q587" s="0" t="n">
        <v>1</v>
      </c>
      <c r="R587" s="21" t="s">
        <v>69</v>
      </c>
      <c r="S587" s="0" t="n">
        <v>1</v>
      </c>
      <c r="T587" s="21" t="s">
        <v>69</v>
      </c>
      <c r="U587" s="22" t="b">
        <f aca="false">TRUE()</f>
        <v>1</v>
      </c>
      <c r="V587" s="0" t="n">
        <v>0.75</v>
      </c>
      <c r="W587" s="0" t="n">
        <v>0.96</v>
      </c>
      <c r="X587" s="0" t="n">
        <v>4.38</v>
      </c>
      <c r="Y587" s="0" t="n">
        <v>317.29</v>
      </c>
      <c r="Z587" s="0" t="n">
        <v>10.42</v>
      </c>
      <c r="AA587" s="0" t="n">
        <v>3.02</v>
      </c>
      <c r="AB587" s="0" t="n">
        <v>1.52</v>
      </c>
      <c r="AC587" s="22" t="b">
        <f aca="false">FALSE()</f>
        <v>0</v>
      </c>
      <c r="AD587" s="0" t="n">
        <v>14.77</v>
      </c>
      <c r="AE587" s="0" t="n">
        <v>1.12</v>
      </c>
      <c r="AF587" s="0" t="n">
        <v>4.67</v>
      </c>
      <c r="AG587" s="22" t="b">
        <f aca="false">TRUE()</f>
        <v>1</v>
      </c>
      <c r="AH587" s="0" t="n">
        <v>1</v>
      </c>
    </row>
    <row r="588" customFormat="false" ht="15" hidden="false" customHeight="false" outlineLevel="0" collapsed="false">
      <c r="A588" s="0" t="s">
        <v>1043</v>
      </c>
      <c r="B588" s="0" t="s">
        <v>134</v>
      </c>
      <c r="C588" s="0" t="s">
        <v>3447</v>
      </c>
      <c r="D588" s="0" t="s">
        <v>3457</v>
      </c>
      <c r="E588" s="20" t="s">
        <v>25</v>
      </c>
      <c r="F588" s="23" t="s">
        <v>30</v>
      </c>
      <c r="G588" s="21" t="s">
        <v>992</v>
      </c>
      <c r="H588" s="21" t="s">
        <v>24</v>
      </c>
      <c r="I588" s="21" t="s">
        <v>24</v>
      </c>
      <c r="J588" s="21" t="s">
        <v>24</v>
      </c>
      <c r="K588" s="21" t="s">
        <v>25</v>
      </c>
      <c r="L588" s="21" t="s">
        <v>24</v>
      </c>
      <c r="M588" s="0" t="n">
        <v>183</v>
      </c>
      <c r="N588" s="0" t="n">
        <v>1</v>
      </c>
      <c r="O588" s="21" t="s">
        <v>3478</v>
      </c>
      <c r="P588" s="21" t="s">
        <v>4288</v>
      </c>
      <c r="Q588" s="0" t="n">
        <v>0</v>
      </c>
      <c r="S588" s="0" t="n">
        <v>1</v>
      </c>
      <c r="T588" s="21" t="s">
        <v>3478</v>
      </c>
      <c r="U588" s="22" t="b">
        <f aca="false">TRUE()</f>
        <v>1</v>
      </c>
      <c r="V588" s="0" t="n">
        <v>0.77</v>
      </c>
      <c r="W588" s="0" t="n">
        <v>0.48</v>
      </c>
      <c r="X588" s="0" t="n">
        <v>5.48</v>
      </c>
      <c r="Y588" s="0" t="n">
        <v>335.01</v>
      </c>
      <c r="Z588" s="0" t="n">
        <v>8</v>
      </c>
      <c r="AA588" s="0" t="n">
        <v>-0.46</v>
      </c>
      <c r="AB588" s="0" t="n">
        <v>1.94</v>
      </c>
      <c r="AC588" s="22" t="b">
        <f aca="false">FALSE()</f>
        <v>0</v>
      </c>
      <c r="AD588" s="0" t="n">
        <v>21.2</v>
      </c>
      <c r="AE588" s="0" t="n">
        <v>6.75</v>
      </c>
      <c r="AF588" s="0" t="n">
        <v>16.39</v>
      </c>
      <c r="AG588" s="22" t="b">
        <f aca="false">TRUE()</f>
        <v>1</v>
      </c>
      <c r="AH588" s="0" t="n">
        <v>1</v>
      </c>
    </row>
    <row r="589" customFormat="false" ht="15" hidden="false" customHeight="false" outlineLevel="0" collapsed="false">
      <c r="A589" s="0" t="s">
        <v>1043</v>
      </c>
      <c r="B589" s="0" t="s">
        <v>134</v>
      </c>
      <c r="C589" s="0" t="s">
        <v>3447</v>
      </c>
      <c r="D589" s="0" t="s">
        <v>3448</v>
      </c>
      <c r="E589" s="18" t="s">
        <v>24</v>
      </c>
      <c r="F589" s="23" t="s">
        <v>30</v>
      </c>
      <c r="G589" s="21" t="s">
        <v>30</v>
      </c>
      <c r="H589" s="21" t="s">
        <v>24</v>
      </c>
      <c r="I589" s="21" t="s">
        <v>24</v>
      </c>
      <c r="J589" s="21" t="s">
        <v>24</v>
      </c>
      <c r="K589" s="21" t="s">
        <v>24</v>
      </c>
      <c r="L589" s="21" t="s">
        <v>24</v>
      </c>
      <c r="M589" s="0" t="n">
        <v>185</v>
      </c>
      <c r="N589" s="0" t="n">
        <v>1</v>
      </c>
      <c r="O589" s="21" t="s">
        <v>3476</v>
      </c>
      <c r="P589" s="21" t="s">
        <v>4228</v>
      </c>
      <c r="Q589" s="0" t="n">
        <v>0</v>
      </c>
      <c r="S589" s="0" t="n">
        <v>1</v>
      </c>
      <c r="T589" s="21" t="s">
        <v>3476</v>
      </c>
      <c r="U589" s="22" t="b">
        <f aca="false">TRUE()</f>
        <v>1</v>
      </c>
      <c r="V589" s="0" t="n">
        <v>0.83</v>
      </c>
      <c r="W589" s="0" t="n">
        <v>0</v>
      </c>
      <c r="X589" s="0" t="n">
        <v>4.71</v>
      </c>
      <c r="Y589" s="0" t="n">
        <v>730.65</v>
      </c>
      <c r="Z589" s="0" t="n">
        <v>8.25</v>
      </c>
      <c r="AA589" s="0" t="n">
        <v>-0.62</v>
      </c>
      <c r="AB589" s="0" t="n">
        <v>1.52</v>
      </c>
      <c r="AC589" s="22" t="b">
        <f aca="false">FALSE()</f>
        <v>0</v>
      </c>
      <c r="AD589" s="0" t="n">
        <v>15.92</v>
      </c>
      <c r="AE589" s="0" t="n">
        <v>0.4</v>
      </c>
      <c r="AF589" s="0" t="n">
        <v>5.06</v>
      </c>
      <c r="AG589" s="22" t="b">
        <f aca="false">TRUE()</f>
        <v>1</v>
      </c>
      <c r="AH589" s="0" t="n">
        <v>1</v>
      </c>
    </row>
    <row r="590" customFormat="false" ht="15" hidden="false" customHeight="false" outlineLevel="0" collapsed="false">
      <c r="A590" s="0" t="s">
        <v>1043</v>
      </c>
      <c r="B590" s="0" t="s">
        <v>3459</v>
      </c>
      <c r="C590" s="0" t="s">
        <v>3450</v>
      </c>
      <c r="D590" s="0" t="s">
        <v>3457</v>
      </c>
      <c r="E590" s="18" t="s">
        <v>24</v>
      </c>
      <c r="F590" s="18" t="s">
        <v>28</v>
      </c>
      <c r="H590" s="21" t="s">
        <v>24</v>
      </c>
      <c r="I590" s="21" t="s">
        <v>24</v>
      </c>
      <c r="J590" s="21" t="s">
        <v>24</v>
      </c>
      <c r="K590" s="21" t="s">
        <v>24</v>
      </c>
      <c r="L590" s="21" t="s">
        <v>24</v>
      </c>
      <c r="M590" s="0" t="n">
        <v>187</v>
      </c>
      <c r="N590" s="0" t="n">
        <v>0</v>
      </c>
      <c r="Q590" s="0" t="n">
        <v>0</v>
      </c>
      <c r="S590" s="0" t="n">
        <v>0</v>
      </c>
      <c r="U590" s="22" t="b">
        <f aca="false">FALSE()</f>
        <v>0</v>
      </c>
      <c r="V590" s="0" t="n">
        <v>0.79</v>
      </c>
      <c r="W590" s="0" t="n">
        <v>0</v>
      </c>
      <c r="X590" s="0" t="n">
        <v>4.97</v>
      </c>
      <c r="Y590" s="0" t="n">
        <v>668.93</v>
      </c>
      <c r="Z590" s="0" t="n">
        <v>10.5</v>
      </c>
      <c r="AA590" s="0" t="n">
        <v>3.62</v>
      </c>
      <c r="AB590" s="0" t="n">
        <v>1.94</v>
      </c>
      <c r="AC590" s="22" t="b">
        <f aca="false">FALSE()</f>
        <v>0</v>
      </c>
      <c r="AD590" s="0" t="n">
        <v>19.12</v>
      </c>
      <c r="AE590" s="0" t="n">
        <v>8.84</v>
      </c>
      <c r="AF590" s="0" t="n">
        <v>11.82</v>
      </c>
      <c r="AG590" s="22" t="b">
        <f aca="false">TRUE()</f>
        <v>1</v>
      </c>
      <c r="AH590" s="0" t="n">
        <v>1</v>
      </c>
    </row>
    <row r="591" customFormat="false" ht="15" hidden="false" customHeight="false" outlineLevel="0" collapsed="false">
      <c r="A591" s="0" t="s">
        <v>1043</v>
      </c>
      <c r="B591" s="0" t="s">
        <v>3459</v>
      </c>
      <c r="C591" s="0" t="s">
        <v>3450</v>
      </c>
      <c r="D591" s="0" t="s">
        <v>3448</v>
      </c>
      <c r="E591" s="20" t="s">
        <v>25</v>
      </c>
      <c r="F591" s="23" t="s">
        <v>30</v>
      </c>
      <c r="G591" s="21" t="s">
        <v>1230</v>
      </c>
      <c r="H591" s="21" t="s">
        <v>24</v>
      </c>
      <c r="I591" s="21" t="s">
        <v>25</v>
      </c>
      <c r="J591" s="21" t="s">
        <v>24</v>
      </c>
      <c r="K591" s="21" t="s">
        <v>25</v>
      </c>
      <c r="L591" s="21" t="s">
        <v>24</v>
      </c>
      <c r="M591" s="0" t="n">
        <v>184</v>
      </c>
      <c r="N591" s="0" t="n">
        <v>1</v>
      </c>
      <c r="O591" s="21" t="s">
        <v>69</v>
      </c>
      <c r="P591" s="21" t="s">
        <v>4275</v>
      </c>
      <c r="Q591" s="0" t="n">
        <v>1</v>
      </c>
      <c r="R591" s="21" t="s">
        <v>69</v>
      </c>
      <c r="S591" s="0" t="n">
        <v>1</v>
      </c>
      <c r="T591" s="21" t="s">
        <v>69</v>
      </c>
      <c r="U591" s="22" t="b">
        <f aca="false">TRUE()</f>
        <v>1</v>
      </c>
      <c r="V591" s="0" t="n">
        <v>0.74</v>
      </c>
      <c r="W591" s="0" t="n">
        <v>0.4</v>
      </c>
      <c r="X591" s="0" t="n">
        <v>5.13</v>
      </c>
      <c r="Y591" s="0" t="n">
        <v>360.82</v>
      </c>
      <c r="Z591" s="0" t="n">
        <v>10.25</v>
      </c>
      <c r="AA591" s="0" t="n">
        <v>1.8</v>
      </c>
      <c r="AB591" s="0" t="n">
        <v>4.65</v>
      </c>
      <c r="AC591" s="22" t="b">
        <f aca="false">FALSE()</f>
        <v>0</v>
      </c>
      <c r="AD591" s="0" t="n">
        <v>15.63</v>
      </c>
      <c r="AE591" s="0" t="n">
        <v>5.83</v>
      </c>
      <c r="AF591" s="0" t="n">
        <v>10.13</v>
      </c>
      <c r="AG591" s="22" t="b">
        <f aca="false">TRUE()</f>
        <v>1</v>
      </c>
      <c r="AH591" s="0" t="n">
        <v>1</v>
      </c>
    </row>
    <row r="592" customFormat="false" ht="15" hidden="false" customHeight="false" outlineLevel="0" collapsed="false">
      <c r="A592" s="0" t="s">
        <v>1043</v>
      </c>
      <c r="B592" s="0" t="s">
        <v>3459</v>
      </c>
      <c r="C592" s="0" t="s">
        <v>3447</v>
      </c>
      <c r="D592" s="0" t="s">
        <v>3457</v>
      </c>
      <c r="E592" s="18" t="s">
        <v>24</v>
      </c>
      <c r="F592" s="18" t="s">
        <v>28</v>
      </c>
      <c r="H592" s="21" t="s">
        <v>24</v>
      </c>
      <c r="I592" s="21" t="s">
        <v>24</v>
      </c>
      <c r="J592" s="21" t="s">
        <v>24</v>
      </c>
      <c r="K592" s="21" t="s">
        <v>24</v>
      </c>
      <c r="L592" s="21" t="s">
        <v>24</v>
      </c>
      <c r="M592" s="0" t="n">
        <v>185</v>
      </c>
      <c r="N592" s="0" t="n">
        <v>0</v>
      </c>
      <c r="Q592" s="0" t="n">
        <v>0</v>
      </c>
      <c r="S592" s="0" t="n">
        <v>0</v>
      </c>
      <c r="U592" s="22" t="b">
        <f aca="false">FALSE()</f>
        <v>0</v>
      </c>
      <c r="V592" s="0" t="n">
        <v>0.8</v>
      </c>
      <c r="W592" s="0" t="n">
        <v>0.4</v>
      </c>
      <c r="X592" s="0" t="n">
        <v>5.22</v>
      </c>
      <c r="Y592" s="0" t="n">
        <v>358.48</v>
      </c>
      <c r="Z592" s="0" t="n">
        <v>8</v>
      </c>
      <c r="AA592" s="0" t="n">
        <v>0.61</v>
      </c>
      <c r="AB592" s="0" t="n">
        <v>1.94</v>
      </c>
      <c r="AC592" s="22" t="b">
        <f aca="false">FALSE()</f>
        <v>0</v>
      </c>
      <c r="AD592" s="0" t="n">
        <v>14.74</v>
      </c>
      <c r="AE592" s="0" t="n">
        <v>3.31</v>
      </c>
      <c r="AF592" s="0" t="n">
        <v>7.33</v>
      </c>
      <c r="AG592" s="22" t="b">
        <f aca="false">TRUE()</f>
        <v>1</v>
      </c>
      <c r="AH592" s="0" t="n">
        <v>1</v>
      </c>
    </row>
    <row r="593" customFormat="false" ht="15" hidden="false" customHeight="false" outlineLevel="0" collapsed="false">
      <c r="A593" s="0" t="s">
        <v>1043</v>
      </c>
      <c r="B593" s="0" t="s">
        <v>3459</v>
      </c>
      <c r="C593" s="0" t="s">
        <v>3447</v>
      </c>
      <c r="D593" s="0" t="s">
        <v>3448</v>
      </c>
      <c r="E593" s="18" t="s">
        <v>24</v>
      </c>
      <c r="F593" s="23" t="s">
        <v>30</v>
      </c>
      <c r="G593" s="21" t="s">
        <v>30</v>
      </c>
      <c r="H593" s="21" t="s">
        <v>24</v>
      </c>
      <c r="I593" s="21" t="s">
        <v>24</v>
      </c>
      <c r="J593" s="21" t="s">
        <v>24</v>
      </c>
      <c r="K593" s="21" t="s">
        <v>24</v>
      </c>
      <c r="L593" s="21" t="s">
        <v>24</v>
      </c>
      <c r="M593" s="0" t="n">
        <v>185</v>
      </c>
      <c r="N593" s="0" t="n">
        <v>3</v>
      </c>
      <c r="O593" s="21" t="s">
        <v>3540</v>
      </c>
      <c r="P593" s="21" t="s">
        <v>4493</v>
      </c>
      <c r="Q593" s="0" t="n">
        <v>0</v>
      </c>
      <c r="S593" s="0" t="n">
        <v>3</v>
      </c>
      <c r="T593" s="21" t="s">
        <v>3540</v>
      </c>
      <c r="U593" s="22" t="b">
        <f aca="false">TRUE()</f>
        <v>1</v>
      </c>
      <c r="V593" s="0" t="n">
        <v>0.8</v>
      </c>
      <c r="W593" s="0" t="n">
        <v>0.72</v>
      </c>
      <c r="X593" s="0" t="n">
        <v>6.42</v>
      </c>
      <c r="Y593" s="0" t="n">
        <v>321.97</v>
      </c>
      <c r="Z593" s="0" t="n">
        <v>8.83</v>
      </c>
      <c r="AA593" s="0" t="n">
        <v>-1.96</v>
      </c>
      <c r="AB593" s="0" t="n">
        <v>4.65</v>
      </c>
      <c r="AC593" s="22" t="b">
        <f aca="false">FALSE()</f>
        <v>0</v>
      </c>
      <c r="AD593" s="0" t="n">
        <v>17.39</v>
      </c>
      <c r="AE593" s="0" t="n">
        <v>5.98</v>
      </c>
      <c r="AF593" s="0" t="n">
        <v>10.56</v>
      </c>
      <c r="AG593" s="22" t="b">
        <f aca="false">TRUE()</f>
        <v>1</v>
      </c>
      <c r="AH593" s="0" t="n">
        <v>1</v>
      </c>
    </row>
    <row r="594" customFormat="false" ht="15" hidden="false" customHeight="false" outlineLevel="0" collapsed="false">
      <c r="A594" s="0" t="s">
        <v>1049</v>
      </c>
      <c r="B594" s="0" t="s">
        <v>134</v>
      </c>
      <c r="C594" s="0" t="s">
        <v>3450</v>
      </c>
      <c r="D594" s="0" t="s">
        <v>3457</v>
      </c>
      <c r="E594" s="20" t="s">
        <v>25</v>
      </c>
      <c r="F594" s="23" t="s">
        <v>30</v>
      </c>
      <c r="G594" s="21" t="s">
        <v>283</v>
      </c>
      <c r="H594" s="21" t="s">
        <v>24</v>
      </c>
      <c r="I594" s="21" t="s">
        <v>25</v>
      </c>
      <c r="J594" s="21" t="s">
        <v>24</v>
      </c>
      <c r="K594" s="21" t="s">
        <v>24</v>
      </c>
      <c r="L594" s="21" t="s">
        <v>24</v>
      </c>
      <c r="M594" s="0" t="n">
        <v>200</v>
      </c>
      <c r="N594" s="0" t="n">
        <v>1</v>
      </c>
      <c r="O594" s="21" t="s">
        <v>69</v>
      </c>
      <c r="P594" s="21" t="s">
        <v>4275</v>
      </c>
      <c r="Q594" s="0" t="n">
        <v>1</v>
      </c>
      <c r="R594" s="21" t="s">
        <v>69</v>
      </c>
      <c r="S594" s="0" t="n">
        <v>1</v>
      </c>
      <c r="T594" s="21" t="s">
        <v>69</v>
      </c>
      <c r="U594" s="22" t="b">
        <f aca="false">TRUE()</f>
        <v>1</v>
      </c>
      <c r="V594" s="0" t="n">
        <v>0.66</v>
      </c>
      <c r="W594" s="0" t="n">
        <v>0.64</v>
      </c>
      <c r="X594" s="0" t="n">
        <v>12.04</v>
      </c>
      <c r="Y594" s="0" t="n">
        <v>316.29</v>
      </c>
      <c r="Z594" s="0" t="n">
        <v>10.17</v>
      </c>
      <c r="AA594" s="0" t="n">
        <v>6.96</v>
      </c>
      <c r="AB594" s="0" t="n">
        <v>9.64</v>
      </c>
      <c r="AC594" s="22" t="b">
        <f aca="false">FALSE()</f>
        <v>0</v>
      </c>
      <c r="AD594" s="0" t="n">
        <v>9.4</v>
      </c>
      <c r="AE594" s="0" t="n">
        <v>0.66</v>
      </c>
      <c r="AF594" s="0" t="n">
        <v>1.59</v>
      </c>
      <c r="AG594" s="22" t="b">
        <f aca="false">FALSE()</f>
        <v>0</v>
      </c>
      <c r="AH594" s="0" t="n">
        <v>1</v>
      </c>
    </row>
    <row r="595" customFormat="false" ht="15" hidden="false" customHeight="false" outlineLevel="0" collapsed="false">
      <c r="A595" s="0" t="s">
        <v>1049</v>
      </c>
      <c r="B595" s="0" t="s">
        <v>134</v>
      </c>
      <c r="C595" s="0" t="s">
        <v>3450</v>
      </c>
      <c r="D595" s="0" t="s">
        <v>3448</v>
      </c>
      <c r="E595" s="18" t="s">
        <v>24</v>
      </c>
      <c r="F595" s="18" t="s">
        <v>28</v>
      </c>
      <c r="H595" s="21" t="s">
        <v>24</v>
      </c>
      <c r="I595" s="21" t="s">
        <v>24</v>
      </c>
      <c r="J595" s="21" t="s">
        <v>24</v>
      </c>
      <c r="K595" s="21" t="s">
        <v>24</v>
      </c>
      <c r="L595" s="21" t="s">
        <v>24</v>
      </c>
      <c r="M595" s="0" t="n">
        <v>194</v>
      </c>
      <c r="N595" s="0" t="n">
        <v>0</v>
      </c>
      <c r="Q595" s="0" t="n">
        <v>0</v>
      </c>
      <c r="S595" s="0" t="n">
        <v>0</v>
      </c>
      <c r="U595" s="22" t="b">
        <f aca="false">FALSE()</f>
        <v>0</v>
      </c>
      <c r="V595" s="0" t="n">
        <v>0.7</v>
      </c>
      <c r="W595" s="0" t="n">
        <v>0.84</v>
      </c>
      <c r="X595" s="0" t="n">
        <v>13.23</v>
      </c>
      <c r="Y595" s="0" t="n">
        <v>321.1</v>
      </c>
      <c r="Z595" s="0" t="n">
        <v>10</v>
      </c>
      <c r="AA595" s="0" t="n">
        <v>8.06</v>
      </c>
      <c r="AB595" s="0" t="n">
        <v>7.43</v>
      </c>
      <c r="AC595" s="22" t="b">
        <f aca="false">FALSE()</f>
        <v>0</v>
      </c>
      <c r="AD595" s="0" t="n">
        <v>8.14</v>
      </c>
      <c r="AE595" s="0" t="n">
        <v>0.7</v>
      </c>
      <c r="AF595" s="0" t="n">
        <v>2.66</v>
      </c>
      <c r="AG595" s="22" t="b">
        <f aca="false">FALSE()</f>
        <v>0</v>
      </c>
      <c r="AH595" s="0" t="n">
        <v>1</v>
      </c>
    </row>
    <row r="596" customFormat="false" ht="15" hidden="false" customHeight="false" outlineLevel="0" collapsed="false">
      <c r="A596" s="0" t="s">
        <v>1049</v>
      </c>
      <c r="B596" s="0" t="s">
        <v>134</v>
      </c>
      <c r="C596" s="0" t="s">
        <v>3447</v>
      </c>
      <c r="D596" s="0" t="s">
        <v>3457</v>
      </c>
      <c r="E596" s="20" t="s">
        <v>25</v>
      </c>
      <c r="F596" s="23" t="s">
        <v>30</v>
      </c>
      <c r="G596" s="21" t="s">
        <v>283</v>
      </c>
      <c r="H596" s="21" t="s">
        <v>24</v>
      </c>
      <c r="I596" s="21" t="s">
        <v>25</v>
      </c>
      <c r="J596" s="21" t="s">
        <v>24</v>
      </c>
      <c r="K596" s="21" t="s">
        <v>24</v>
      </c>
      <c r="L596" s="21" t="s">
        <v>24</v>
      </c>
      <c r="M596" s="0" t="n">
        <v>193</v>
      </c>
      <c r="N596" s="0" t="n">
        <v>4</v>
      </c>
      <c r="O596" s="21" t="s">
        <v>3784</v>
      </c>
      <c r="P596" s="21" t="s">
        <v>4401</v>
      </c>
      <c r="Q596" s="0" t="n">
        <v>1</v>
      </c>
      <c r="R596" s="21" t="s">
        <v>69</v>
      </c>
      <c r="S596" s="0" t="n">
        <v>4</v>
      </c>
      <c r="T596" s="21" t="s">
        <v>3784</v>
      </c>
      <c r="U596" s="22" t="b">
        <f aca="false">TRUE()</f>
        <v>1</v>
      </c>
      <c r="V596" s="0" t="n">
        <v>0.67</v>
      </c>
      <c r="W596" s="0" t="n">
        <v>0.68</v>
      </c>
      <c r="X596" s="0" t="n">
        <v>8.66</v>
      </c>
      <c r="Y596" s="0" t="n">
        <v>330.87</v>
      </c>
      <c r="Z596" s="0" t="n">
        <v>9.17</v>
      </c>
      <c r="AA596" s="0" t="n">
        <v>1.34</v>
      </c>
      <c r="AB596" s="0" t="n">
        <v>9.64</v>
      </c>
      <c r="AC596" s="22" t="b">
        <f aca="false">FALSE()</f>
        <v>0</v>
      </c>
      <c r="AD596" s="0" t="n">
        <v>9.58</v>
      </c>
      <c r="AE596" s="0" t="n">
        <v>0.72</v>
      </c>
      <c r="AF596" s="0" t="n">
        <v>2.2</v>
      </c>
      <c r="AG596" s="22" t="b">
        <f aca="false">FALSE()</f>
        <v>0</v>
      </c>
      <c r="AH596" s="0" t="n">
        <v>1</v>
      </c>
    </row>
    <row r="597" customFormat="false" ht="15" hidden="false" customHeight="false" outlineLevel="0" collapsed="false">
      <c r="A597" s="0" t="s">
        <v>1049</v>
      </c>
      <c r="B597" s="0" t="s">
        <v>134</v>
      </c>
      <c r="C597" s="0" t="s">
        <v>3447</v>
      </c>
      <c r="D597" s="0" t="s">
        <v>3448</v>
      </c>
      <c r="E597" s="19" t="s">
        <v>26</v>
      </c>
      <c r="F597" s="19" t="s">
        <v>32</v>
      </c>
      <c r="G597" s="21" t="s">
        <v>529</v>
      </c>
      <c r="H597" s="21" t="s">
        <v>24</v>
      </c>
      <c r="I597" s="21" t="s">
        <v>26</v>
      </c>
      <c r="J597" s="21" t="s">
        <v>24</v>
      </c>
      <c r="K597" s="21" t="s">
        <v>24</v>
      </c>
      <c r="L597" s="21" t="s">
        <v>24</v>
      </c>
      <c r="M597" s="0" t="n">
        <v>182</v>
      </c>
      <c r="N597" s="0" t="n">
        <v>8</v>
      </c>
      <c r="O597" s="21" t="s">
        <v>4105</v>
      </c>
      <c r="P597" s="21" t="s">
        <v>4494</v>
      </c>
      <c r="Q597" s="0" t="n">
        <v>1</v>
      </c>
      <c r="R597" s="21" t="s">
        <v>69</v>
      </c>
      <c r="S597" s="0" t="n">
        <v>8</v>
      </c>
      <c r="T597" s="21" t="s">
        <v>4105</v>
      </c>
      <c r="U597" s="22" t="b">
        <f aca="false">FALSE()</f>
        <v>0</v>
      </c>
      <c r="V597" s="0" t="n">
        <v>0.71</v>
      </c>
      <c r="W597" s="0" t="n">
        <v>0.32</v>
      </c>
      <c r="X597" s="0" t="n">
        <v>10.76</v>
      </c>
      <c r="Y597" s="0" t="n">
        <v>350.35</v>
      </c>
      <c r="Z597" s="0" t="n">
        <v>9.08</v>
      </c>
      <c r="AA597" s="0" t="n">
        <v>4.33</v>
      </c>
      <c r="AB597" s="0" t="n">
        <v>7.43</v>
      </c>
      <c r="AC597" s="22" t="b">
        <f aca="false">FALSE()</f>
        <v>0</v>
      </c>
      <c r="AD597" s="0" t="n">
        <v>13.03</v>
      </c>
      <c r="AE597" s="0" t="n">
        <v>0.57</v>
      </c>
      <c r="AF597" s="0" t="n">
        <v>2.94</v>
      </c>
      <c r="AG597" s="22" t="b">
        <f aca="false">TRUE()</f>
        <v>1</v>
      </c>
      <c r="AH597" s="0" t="n">
        <v>1</v>
      </c>
    </row>
    <row r="598" customFormat="false" ht="15" hidden="false" customHeight="false" outlineLevel="0" collapsed="false">
      <c r="A598" s="0" t="s">
        <v>1055</v>
      </c>
      <c r="B598" s="0" t="s">
        <v>134</v>
      </c>
      <c r="C598" s="0" t="s">
        <v>3450</v>
      </c>
      <c r="D598" s="0" t="s">
        <v>3457</v>
      </c>
      <c r="E598" s="19" t="s">
        <v>26</v>
      </c>
      <c r="F598" s="19" t="s">
        <v>32</v>
      </c>
      <c r="G598" s="21" t="s">
        <v>529</v>
      </c>
      <c r="H598" s="21" t="s">
        <v>24</v>
      </c>
      <c r="I598" s="21" t="s">
        <v>26</v>
      </c>
      <c r="J598" s="21" t="s">
        <v>24</v>
      </c>
      <c r="K598" s="21" t="s">
        <v>24</v>
      </c>
      <c r="L598" s="21" t="s">
        <v>24</v>
      </c>
      <c r="M598" s="0" t="n">
        <v>193</v>
      </c>
      <c r="N598" s="0" t="n">
        <v>7</v>
      </c>
      <c r="O598" s="21" t="s">
        <v>4035</v>
      </c>
      <c r="P598" s="21" t="s">
        <v>4495</v>
      </c>
      <c r="Q598" s="0" t="n">
        <v>1</v>
      </c>
      <c r="R598" s="21" t="s">
        <v>69</v>
      </c>
      <c r="S598" s="0" t="n">
        <v>7</v>
      </c>
      <c r="T598" s="21" t="s">
        <v>4035</v>
      </c>
      <c r="U598" s="22" t="b">
        <f aca="false">FALSE()</f>
        <v>0</v>
      </c>
      <c r="V598" s="0" t="n">
        <v>0.67</v>
      </c>
      <c r="W598" s="0" t="n">
        <v>0</v>
      </c>
      <c r="X598" s="0" t="n">
        <v>6.08</v>
      </c>
      <c r="Y598" s="0" t="n">
        <v>723.46</v>
      </c>
      <c r="Z598" s="0" t="n">
        <v>9.75</v>
      </c>
      <c r="AA598" s="0" t="n">
        <v>12.16</v>
      </c>
      <c r="AB598" s="0" t="n">
        <v>3.92</v>
      </c>
      <c r="AC598" s="22" t="b">
        <f aca="false">FALSE()</f>
        <v>0</v>
      </c>
      <c r="AD598" s="0" t="n">
        <v>12.39</v>
      </c>
      <c r="AE598" s="0" t="n">
        <v>1.67</v>
      </c>
      <c r="AF598" s="0" t="n">
        <v>1.37</v>
      </c>
      <c r="AG598" s="22" t="b">
        <f aca="false">TRUE()</f>
        <v>1</v>
      </c>
      <c r="AH598" s="0" t="n">
        <v>1</v>
      </c>
    </row>
    <row r="599" customFormat="false" ht="15" hidden="false" customHeight="false" outlineLevel="0" collapsed="false">
      <c r="A599" s="0" t="s">
        <v>1055</v>
      </c>
      <c r="B599" s="0" t="s">
        <v>134</v>
      </c>
      <c r="C599" s="0" t="s">
        <v>3450</v>
      </c>
      <c r="D599" s="0" t="s">
        <v>3448</v>
      </c>
      <c r="E599" s="20" t="s">
        <v>25</v>
      </c>
      <c r="F599" s="23" t="s">
        <v>30</v>
      </c>
      <c r="G599" s="21" t="s">
        <v>1230</v>
      </c>
      <c r="H599" s="21" t="s">
        <v>24</v>
      </c>
      <c r="I599" s="21" t="s">
        <v>25</v>
      </c>
      <c r="J599" s="21" t="s">
        <v>24</v>
      </c>
      <c r="K599" s="21" t="s">
        <v>25</v>
      </c>
      <c r="L599" s="21" t="s">
        <v>24</v>
      </c>
      <c r="M599" s="0" t="n">
        <v>200</v>
      </c>
      <c r="N599" s="0" t="n">
        <v>3</v>
      </c>
      <c r="O599" s="21" t="s">
        <v>3649</v>
      </c>
      <c r="P599" s="21" t="s">
        <v>4242</v>
      </c>
      <c r="Q599" s="0" t="n">
        <v>1</v>
      </c>
      <c r="R599" s="21" t="s">
        <v>69</v>
      </c>
      <c r="S599" s="0" t="n">
        <v>3</v>
      </c>
      <c r="T599" s="21" t="s">
        <v>3649</v>
      </c>
      <c r="U599" s="22" t="b">
        <f aca="false">TRUE()</f>
        <v>1</v>
      </c>
      <c r="V599" s="0" t="n">
        <v>0.68</v>
      </c>
      <c r="W599" s="0" t="n">
        <v>0.92</v>
      </c>
      <c r="X599" s="0" t="n">
        <v>7.05</v>
      </c>
      <c r="Y599" s="0" t="n">
        <v>345.69</v>
      </c>
      <c r="Z599" s="0" t="n">
        <v>8.33</v>
      </c>
      <c r="AA599" s="0" t="n">
        <v>0.91</v>
      </c>
      <c r="AB599" s="0" t="n">
        <v>23.97</v>
      </c>
      <c r="AC599" s="22" t="b">
        <f aca="false">FALSE()</f>
        <v>0</v>
      </c>
      <c r="AD599" s="0" t="n">
        <v>4.21</v>
      </c>
      <c r="AE599" s="0" t="n">
        <v>0.29</v>
      </c>
      <c r="AF599" s="0" t="n">
        <v>2.98</v>
      </c>
      <c r="AG599" s="22" t="b">
        <f aca="false">FALSE()</f>
        <v>0</v>
      </c>
      <c r="AH599" s="0" t="n">
        <v>1</v>
      </c>
    </row>
    <row r="600" customFormat="false" ht="15" hidden="false" customHeight="false" outlineLevel="0" collapsed="false">
      <c r="A600" s="0" t="s">
        <v>1055</v>
      </c>
      <c r="B600" s="0" t="s">
        <v>134</v>
      </c>
      <c r="C600" s="0" t="s">
        <v>3447</v>
      </c>
      <c r="D600" s="0" t="s">
        <v>3457</v>
      </c>
      <c r="E600" s="18" t="s">
        <v>24</v>
      </c>
      <c r="F600" s="23" t="s">
        <v>30</v>
      </c>
      <c r="G600" s="21" t="s">
        <v>30</v>
      </c>
      <c r="H600" s="21" t="s">
        <v>24</v>
      </c>
      <c r="I600" s="21" t="s">
        <v>24</v>
      </c>
      <c r="J600" s="21" t="s">
        <v>24</v>
      </c>
      <c r="K600" s="21" t="s">
        <v>24</v>
      </c>
      <c r="L600" s="21" t="s">
        <v>24</v>
      </c>
      <c r="M600" s="0" t="n">
        <v>183</v>
      </c>
      <c r="N600" s="0" t="n">
        <v>3</v>
      </c>
      <c r="O600" s="21" t="s">
        <v>3539</v>
      </c>
      <c r="P600" s="21" t="s">
        <v>4342</v>
      </c>
      <c r="Q600" s="0" t="n">
        <v>0</v>
      </c>
      <c r="S600" s="0" t="n">
        <v>3</v>
      </c>
      <c r="T600" s="21" t="s">
        <v>3539</v>
      </c>
      <c r="U600" s="22" t="b">
        <f aca="false">TRUE()</f>
        <v>1</v>
      </c>
      <c r="V600" s="0" t="n">
        <v>0.74</v>
      </c>
      <c r="W600" s="0" t="n">
        <v>0.84</v>
      </c>
      <c r="X600" s="0" t="n">
        <v>7.01</v>
      </c>
      <c r="Y600" s="0" t="n">
        <v>319.32</v>
      </c>
      <c r="Z600" s="0" t="n">
        <v>9.25</v>
      </c>
      <c r="AA600" s="0" t="n">
        <v>0.94</v>
      </c>
      <c r="AB600" s="0" t="n">
        <v>3.92</v>
      </c>
      <c r="AC600" s="22" t="b">
        <f aca="false">FALSE()</f>
        <v>0</v>
      </c>
      <c r="AD600" s="0" t="n">
        <v>12.37</v>
      </c>
      <c r="AE600" s="0" t="n">
        <v>0.26</v>
      </c>
      <c r="AF600" s="0" t="n">
        <v>0.9</v>
      </c>
      <c r="AG600" s="22" t="b">
        <f aca="false">TRUE()</f>
        <v>1</v>
      </c>
      <c r="AH600" s="0" t="n">
        <v>1</v>
      </c>
    </row>
    <row r="601" customFormat="false" ht="15" hidden="false" customHeight="false" outlineLevel="0" collapsed="false">
      <c r="A601" s="0" t="s">
        <v>1055</v>
      </c>
      <c r="B601" s="0" t="s">
        <v>134</v>
      </c>
      <c r="C601" s="0" t="s">
        <v>3447</v>
      </c>
      <c r="D601" s="0" t="s">
        <v>3448</v>
      </c>
      <c r="E601" s="18" t="s">
        <v>24</v>
      </c>
      <c r="F601" s="23" t="s">
        <v>30</v>
      </c>
      <c r="G601" s="21" t="s">
        <v>30</v>
      </c>
      <c r="H601" s="21" t="s">
        <v>24</v>
      </c>
      <c r="I601" s="21" t="s">
        <v>24</v>
      </c>
      <c r="J601" s="21" t="s">
        <v>24</v>
      </c>
      <c r="K601" s="21" t="s">
        <v>24</v>
      </c>
      <c r="L601" s="21" t="s">
        <v>24</v>
      </c>
      <c r="M601" s="0" t="n">
        <v>197</v>
      </c>
      <c r="N601" s="0" t="n">
        <v>4</v>
      </c>
      <c r="O601" s="21" t="s">
        <v>3600</v>
      </c>
      <c r="P601" s="21" t="s">
        <v>4496</v>
      </c>
      <c r="Q601" s="0" t="n">
        <v>0</v>
      </c>
      <c r="S601" s="0" t="n">
        <v>4</v>
      </c>
      <c r="T601" s="21" t="s">
        <v>3600</v>
      </c>
      <c r="U601" s="22" t="b">
        <f aca="false">TRUE()</f>
        <v>1</v>
      </c>
      <c r="V601" s="0" t="n">
        <v>0.82</v>
      </c>
      <c r="W601" s="0" t="n">
        <v>0.2</v>
      </c>
      <c r="X601" s="0" t="n">
        <v>7.56</v>
      </c>
      <c r="Y601" s="0" t="n">
        <v>541.16</v>
      </c>
      <c r="Z601" s="0" t="n">
        <v>9</v>
      </c>
      <c r="AA601" s="0" t="n">
        <v>2.55</v>
      </c>
      <c r="AB601" s="0" t="n">
        <v>23.97</v>
      </c>
      <c r="AC601" s="22" t="b">
        <f aca="false">FALSE()</f>
        <v>0</v>
      </c>
      <c r="AD601" s="0" t="n">
        <v>9.84</v>
      </c>
      <c r="AE601" s="0" t="n">
        <v>0.8</v>
      </c>
      <c r="AF601" s="0" t="n">
        <v>5.22</v>
      </c>
      <c r="AG601" s="22" t="b">
        <f aca="false">FALSE()</f>
        <v>0</v>
      </c>
      <c r="AH601" s="0" t="n">
        <v>1</v>
      </c>
    </row>
    <row r="602" customFormat="false" ht="15" hidden="false" customHeight="false" outlineLevel="0" collapsed="false">
      <c r="A602" s="0" t="s">
        <v>1060</v>
      </c>
      <c r="B602" s="0" t="s">
        <v>134</v>
      </c>
      <c r="C602" s="0" t="s">
        <v>3450</v>
      </c>
      <c r="D602" s="0" t="s">
        <v>3457</v>
      </c>
      <c r="E602" s="20" t="s">
        <v>25</v>
      </c>
      <c r="F602" s="23" t="s">
        <v>30</v>
      </c>
      <c r="G602" s="21" t="s">
        <v>283</v>
      </c>
      <c r="H602" s="21" t="s">
        <v>24</v>
      </c>
      <c r="I602" s="21" t="s">
        <v>25</v>
      </c>
      <c r="J602" s="21" t="s">
        <v>24</v>
      </c>
      <c r="K602" s="21" t="s">
        <v>24</v>
      </c>
      <c r="L602" s="21" t="s">
        <v>24</v>
      </c>
      <c r="M602" s="0" t="n">
        <v>183</v>
      </c>
      <c r="N602" s="0" t="n">
        <v>1</v>
      </c>
      <c r="O602" s="21" t="s">
        <v>69</v>
      </c>
      <c r="P602" s="21" t="s">
        <v>4275</v>
      </c>
      <c r="Q602" s="0" t="n">
        <v>1</v>
      </c>
      <c r="R602" s="21" t="s">
        <v>69</v>
      </c>
      <c r="S602" s="0" t="n">
        <v>1</v>
      </c>
      <c r="T602" s="21" t="s">
        <v>69</v>
      </c>
      <c r="U602" s="22" t="b">
        <f aca="false">TRUE()</f>
        <v>1</v>
      </c>
      <c r="V602" s="0" t="n">
        <v>0.77</v>
      </c>
      <c r="W602" s="0" t="n">
        <v>0.76</v>
      </c>
      <c r="X602" s="0" t="n">
        <v>11.15</v>
      </c>
      <c r="Y602" s="0" t="n">
        <v>311.08</v>
      </c>
      <c r="Z602" s="0" t="n">
        <v>10.33</v>
      </c>
      <c r="AA602" s="0" t="n">
        <v>12.05</v>
      </c>
      <c r="AB602" s="0" t="n">
        <v>3.35</v>
      </c>
      <c r="AC602" s="22" t="b">
        <f aca="false">FALSE()</f>
        <v>0</v>
      </c>
      <c r="AD602" s="0" t="n">
        <v>13.38</v>
      </c>
      <c r="AE602" s="0" t="n">
        <v>3.65</v>
      </c>
      <c r="AF602" s="0" t="n">
        <v>14.56</v>
      </c>
      <c r="AG602" s="22" t="b">
        <f aca="false">TRUE()</f>
        <v>1</v>
      </c>
      <c r="AH602" s="0" t="n">
        <v>1</v>
      </c>
    </row>
    <row r="603" customFormat="false" ht="15" hidden="false" customHeight="false" outlineLevel="0" collapsed="false">
      <c r="A603" s="0" t="s">
        <v>1060</v>
      </c>
      <c r="B603" s="0" t="s">
        <v>134</v>
      </c>
      <c r="C603" s="0" t="s">
        <v>3450</v>
      </c>
      <c r="D603" s="0" t="s">
        <v>3448</v>
      </c>
      <c r="E603" s="20" t="s">
        <v>25</v>
      </c>
      <c r="F603" s="23" t="s">
        <v>30</v>
      </c>
      <c r="G603" s="21" t="s">
        <v>1099</v>
      </c>
      <c r="H603" s="21" t="s">
        <v>24</v>
      </c>
      <c r="I603" s="21" t="s">
        <v>25</v>
      </c>
      <c r="J603" s="21" t="s">
        <v>24</v>
      </c>
      <c r="K603" s="21" t="s">
        <v>25</v>
      </c>
      <c r="L603" s="21" t="s">
        <v>24</v>
      </c>
      <c r="M603" s="0" t="n">
        <v>183</v>
      </c>
      <c r="N603" s="0" t="n">
        <v>1</v>
      </c>
      <c r="O603" s="21" t="s">
        <v>69</v>
      </c>
      <c r="P603" s="21" t="s">
        <v>4275</v>
      </c>
      <c r="Q603" s="0" t="n">
        <v>1</v>
      </c>
      <c r="R603" s="21" t="s">
        <v>69</v>
      </c>
      <c r="S603" s="0" t="n">
        <v>1</v>
      </c>
      <c r="T603" s="21" t="s">
        <v>69</v>
      </c>
      <c r="U603" s="22" t="b">
        <f aca="false">TRUE()</f>
        <v>1</v>
      </c>
      <c r="V603" s="0" t="n">
        <v>0.76</v>
      </c>
      <c r="W603" s="0" t="n">
        <v>0.32</v>
      </c>
      <c r="X603" s="0" t="n">
        <v>9.86</v>
      </c>
      <c r="Y603" s="0" t="n">
        <v>374.69</v>
      </c>
      <c r="Z603" s="0" t="n">
        <v>10</v>
      </c>
      <c r="AA603" s="0" t="n">
        <v>8.18</v>
      </c>
      <c r="AB603" s="0" t="n">
        <v>1.21</v>
      </c>
      <c r="AC603" s="22" t="b">
        <f aca="false">FALSE()</f>
        <v>0</v>
      </c>
      <c r="AD603" s="0" t="n">
        <v>17.66</v>
      </c>
      <c r="AE603" s="0" t="n">
        <v>7.18</v>
      </c>
      <c r="AF603" s="0" t="n">
        <v>17.5</v>
      </c>
      <c r="AG603" s="22" t="b">
        <f aca="false">TRUE()</f>
        <v>1</v>
      </c>
      <c r="AH603" s="0" t="n">
        <v>1</v>
      </c>
    </row>
    <row r="604" customFormat="false" ht="15" hidden="false" customHeight="false" outlineLevel="0" collapsed="false">
      <c r="A604" s="0" t="s">
        <v>1060</v>
      </c>
      <c r="B604" s="0" t="s">
        <v>134</v>
      </c>
      <c r="C604" s="0" t="s">
        <v>3447</v>
      </c>
      <c r="D604" s="0" t="s">
        <v>3457</v>
      </c>
      <c r="E604" s="19" t="s">
        <v>26</v>
      </c>
      <c r="F604" s="19" t="s">
        <v>32</v>
      </c>
      <c r="G604" s="21" t="s">
        <v>529</v>
      </c>
      <c r="H604" s="21" t="s">
        <v>24</v>
      </c>
      <c r="I604" s="21" t="s">
        <v>26</v>
      </c>
      <c r="J604" s="21" t="s">
        <v>24</v>
      </c>
      <c r="K604" s="21" t="s">
        <v>24</v>
      </c>
      <c r="L604" s="21" t="s">
        <v>24</v>
      </c>
      <c r="M604" s="0" t="n">
        <v>182</v>
      </c>
      <c r="N604" s="0" t="n">
        <v>9</v>
      </c>
      <c r="O604" s="21" t="s">
        <v>4030</v>
      </c>
      <c r="P604" s="21" t="s">
        <v>4287</v>
      </c>
      <c r="Q604" s="0" t="n">
        <v>1</v>
      </c>
      <c r="R604" s="21" t="s">
        <v>69</v>
      </c>
      <c r="S604" s="0" t="n">
        <v>9</v>
      </c>
      <c r="T604" s="21" t="s">
        <v>4030</v>
      </c>
      <c r="U604" s="22" t="b">
        <f aca="false">FALSE()</f>
        <v>0</v>
      </c>
      <c r="V604" s="0" t="n">
        <v>0.8</v>
      </c>
      <c r="W604" s="0" t="n">
        <v>0</v>
      </c>
      <c r="X604" s="0" t="n">
        <v>9.92</v>
      </c>
      <c r="Y604" s="0" t="n">
        <v>682.26</v>
      </c>
      <c r="Z604" s="0" t="n">
        <v>9.5</v>
      </c>
      <c r="AA604" s="0" t="n">
        <v>7.06</v>
      </c>
      <c r="AB604" s="0" t="n">
        <v>3.35</v>
      </c>
      <c r="AC604" s="22" t="b">
        <f aca="false">FALSE()</f>
        <v>0</v>
      </c>
      <c r="AD604" s="0" t="n">
        <v>15.83</v>
      </c>
      <c r="AE604" s="0" t="n">
        <v>6.27</v>
      </c>
      <c r="AF604" s="0" t="n">
        <v>16.15</v>
      </c>
      <c r="AG604" s="22" t="b">
        <f aca="false">TRUE()</f>
        <v>1</v>
      </c>
      <c r="AH604" s="0" t="n">
        <v>1</v>
      </c>
    </row>
    <row r="605" customFormat="false" ht="15" hidden="false" customHeight="false" outlineLevel="0" collapsed="false">
      <c r="A605" s="0" t="s">
        <v>1060</v>
      </c>
      <c r="B605" s="0" t="s">
        <v>134</v>
      </c>
      <c r="C605" s="0" t="s">
        <v>3447</v>
      </c>
      <c r="D605" s="0" t="s">
        <v>3448</v>
      </c>
      <c r="E605" s="20" t="s">
        <v>25</v>
      </c>
      <c r="F605" s="23" t="s">
        <v>30</v>
      </c>
      <c r="G605" s="21" t="s">
        <v>1099</v>
      </c>
      <c r="H605" s="21" t="s">
        <v>24</v>
      </c>
      <c r="I605" s="21" t="s">
        <v>25</v>
      </c>
      <c r="J605" s="21" t="s">
        <v>24</v>
      </c>
      <c r="K605" s="21" t="s">
        <v>25</v>
      </c>
      <c r="L605" s="21" t="s">
        <v>24</v>
      </c>
      <c r="M605" s="0" t="n">
        <v>183</v>
      </c>
      <c r="N605" s="0" t="n">
        <v>5</v>
      </c>
      <c r="O605" s="21" t="s">
        <v>3796</v>
      </c>
      <c r="P605" s="21" t="s">
        <v>4497</v>
      </c>
      <c r="Q605" s="0" t="n">
        <v>1</v>
      </c>
      <c r="R605" s="21" t="s">
        <v>69</v>
      </c>
      <c r="S605" s="0" t="n">
        <v>5</v>
      </c>
      <c r="T605" s="21" t="s">
        <v>3796</v>
      </c>
      <c r="U605" s="22" t="b">
        <f aca="false">TRUE()</f>
        <v>1</v>
      </c>
      <c r="V605" s="0" t="n">
        <v>0.79</v>
      </c>
      <c r="W605" s="0" t="n">
        <v>0.6</v>
      </c>
      <c r="X605" s="0" t="n">
        <v>10.95</v>
      </c>
      <c r="Y605" s="0" t="n">
        <v>299.39</v>
      </c>
      <c r="Z605" s="0" t="n">
        <v>10.5</v>
      </c>
      <c r="AA605" s="0" t="n">
        <v>6.8</v>
      </c>
      <c r="AB605" s="0" t="n">
        <v>1.21</v>
      </c>
      <c r="AC605" s="22" t="b">
        <f aca="false">FALSE()</f>
        <v>0</v>
      </c>
      <c r="AD605" s="0" t="n">
        <v>14.7</v>
      </c>
      <c r="AE605" s="0" t="n">
        <v>3.58</v>
      </c>
      <c r="AF605" s="0" t="n">
        <v>15.58</v>
      </c>
      <c r="AG605" s="22" t="b">
        <f aca="false">TRUE()</f>
        <v>1</v>
      </c>
      <c r="AH605" s="0" t="n">
        <v>1</v>
      </c>
    </row>
    <row r="606" customFormat="false" ht="15" hidden="false" customHeight="false" outlineLevel="0" collapsed="false">
      <c r="A606" s="0" t="s">
        <v>1068</v>
      </c>
      <c r="B606" s="0" t="s">
        <v>134</v>
      </c>
      <c r="C606" s="0" t="s">
        <v>3450</v>
      </c>
      <c r="D606" s="0" t="s">
        <v>3457</v>
      </c>
      <c r="E606" s="18" t="s">
        <v>24</v>
      </c>
      <c r="F606" s="18" t="s">
        <v>28</v>
      </c>
      <c r="H606" s="21" t="s">
        <v>24</v>
      </c>
      <c r="I606" s="21" t="s">
        <v>24</v>
      </c>
      <c r="J606" s="21" t="s">
        <v>24</v>
      </c>
      <c r="K606" s="21" t="s">
        <v>24</v>
      </c>
      <c r="L606" s="21" t="s">
        <v>24</v>
      </c>
      <c r="M606" s="0" t="n">
        <v>185</v>
      </c>
      <c r="N606" s="0" t="n">
        <v>0</v>
      </c>
      <c r="Q606" s="0" t="n">
        <v>0</v>
      </c>
      <c r="S606" s="0" t="n">
        <v>0</v>
      </c>
      <c r="U606" s="22" t="b">
        <f aca="false">FALSE()</f>
        <v>0</v>
      </c>
      <c r="V606" s="0" t="n">
        <v>0.71</v>
      </c>
      <c r="W606" s="0" t="n">
        <v>0.68</v>
      </c>
      <c r="X606" s="0" t="n">
        <v>8.22</v>
      </c>
      <c r="Y606" s="0" t="n">
        <v>308.15</v>
      </c>
      <c r="Z606" s="0" t="n">
        <v>8.75</v>
      </c>
      <c r="AA606" s="0" t="n">
        <v>8.95</v>
      </c>
      <c r="AB606" s="0" t="n">
        <v>5.61</v>
      </c>
      <c r="AC606" s="22" t="b">
        <f aca="false">FALSE()</f>
        <v>0</v>
      </c>
      <c r="AD606" s="0" t="n">
        <v>16.55</v>
      </c>
      <c r="AE606" s="0" t="n">
        <v>0.69</v>
      </c>
      <c r="AF606" s="0" t="n">
        <v>10.27</v>
      </c>
      <c r="AG606" s="22" t="b">
        <f aca="false">TRUE()</f>
        <v>1</v>
      </c>
      <c r="AH606" s="0" t="n">
        <v>1</v>
      </c>
    </row>
    <row r="607" customFormat="false" ht="15" hidden="false" customHeight="false" outlineLevel="0" collapsed="false">
      <c r="A607" s="0" t="s">
        <v>1068</v>
      </c>
      <c r="B607" s="0" t="s">
        <v>134</v>
      </c>
      <c r="C607" s="0" t="s">
        <v>3450</v>
      </c>
      <c r="D607" s="0" t="s">
        <v>3448</v>
      </c>
      <c r="E607" s="18" t="s">
        <v>24</v>
      </c>
      <c r="F607" s="18" t="s">
        <v>28</v>
      </c>
      <c r="H607" s="21" t="s">
        <v>24</v>
      </c>
      <c r="I607" s="21" t="s">
        <v>24</v>
      </c>
      <c r="J607" s="21" t="s">
        <v>24</v>
      </c>
      <c r="K607" s="21" t="s">
        <v>24</v>
      </c>
      <c r="L607" s="21" t="s">
        <v>24</v>
      </c>
      <c r="M607" s="0" t="n">
        <v>190</v>
      </c>
      <c r="N607" s="0" t="n">
        <v>0</v>
      </c>
      <c r="Q607" s="0" t="n">
        <v>0</v>
      </c>
      <c r="S607" s="0" t="n">
        <v>0</v>
      </c>
      <c r="U607" s="22" t="b">
        <f aca="false">FALSE()</f>
        <v>0</v>
      </c>
      <c r="V607" s="0" t="n">
        <v>0.74</v>
      </c>
      <c r="W607" s="0" t="n">
        <v>0.72</v>
      </c>
      <c r="X607" s="0" t="n">
        <v>8.09</v>
      </c>
      <c r="Y607" s="0" t="n">
        <v>328.88</v>
      </c>
      <c r="Z607" s="0" t="n">
        <v>8.75</v>
      </c>
      <c r="AA607" s="0" t="n">
        <v>5.42</v>
      </c>
      <c r="AB607" s="0" t="n">
        <v>4.78</v>
      </c>
      <c r="AC607" s="22" t="b">
        <f aca="false">FALSE()</f>
        <v>0</v>
      </c>
      <c r="AD607" s="0" t="n">
        <v>4.01</v>
      </c>
      <c r="AE607" s="0" t="n">
        <v>0.4</v>
      </c>
      <c r="AF607" s="0" t="n">
        <v>16.76</v>
      </c>
      <c r="AG607" s="22" t="b">
        <f aca="false">FALSE()</f>
        <v>0</v>
      </c>
      <c r="AH607" s="0" t="n">
        <v>1</v>
      </c>
    </row>
    <row r="608" customFormat="false" ht="15" hidden="false" customHeight="false" outlineLevel="0" collapsed="false">
      <c r="A608" s="0" t="s">
        <v>1068</v>
      </c>
      <c r="B608" s="0" t="s">
        <v>134</v>
      </c>
      <c r="C608" s="0" t="s">
        <v>3447</v>
      </c>
      <c r="D608" s="0" t="s">
        <v>3457</v>
      </c>
      <c r="E608" s="19" t="s">
        <v>26</v>
      </c>
      <c r="F608" s="19" t="s">
        <v>32</v>
      </c>
      <c r="G608" s="21" t="s">
        <v>529</v>
      </c>
      <c r="H608" s="21" t="s">
        <v>24</v>
      </c>
      <c r="I608" s="21" t="s">
        <v>26</v>
      </c>
      <c r="J608" s="21" t="s">
        <v>24</v>
      </c>
      <c r="K608" s="21" t="s">
        <v>24</v>
      </c>
      <c r="L608" s="21" t="s">
        <v>24</v>
      </c>
      <c r="M608" s="0" t="n">
        <v>183</v>
      </c>
      <c r="N608" s="0" t="n">
        <v>11</v>
      </c>
      <c r="O608" s="21" t="s">
        <v>4034</v>
      </c>
      <c r="P608" s="21" t="s">
        <v>4252</v>
      </c>
      <c r="Q608" s="0" t="n">
        <v>1</v>
      </c>
      <c r="R608" s="21" t="s">
        <v>69</v>
      </c>
      <c r="S608" s="0" t="n">
        <v>11</v>
      </c>
      <c r="T608" s="21" t="s">
        <v>4034</v>
      </c>
      <c r="U608" s="22" t="b">
        <f aca="false">FALSE()</f>
        <v>0</v>
      </c>
      <c r="V608" s="0" t="n">
        <v>0.72</v>
      </c>
      <c r="W608" s="0" t="n">
        <v>0.64</v>
      </c>
      <c r="X608" s="0" t="n">
        <v>8.79</v>
      </c>
      <c r="Y608" s="0" t="n">
        <v>312.44</v>
      </c>
      <c r="Z608" s="0" t="n">
        <v>8.75</v>
      </c>
      <c r="AA608" s="0" t="n">
        <v>2.9</v>
      </c>
      <c r="AB608" s="0" t="n">
        <v>5.61</v>
      </c>
      <c r="AC608" s="22" t="b">
        <f aca="false">FALSE()</f>
        <v>0</v>
      </c>
      <c r="AD608" s="0" t="n">
        <v>14.9</v>
      </c>
      <c r="AE608" s="0" t="n">
        <v>1.06</v>
      </c>
      <c r="AF608" s="0" t="n">
        <v>6.43</v>
      </c>
      <c r="AG608" s="22" t="b">
        <f aca="false">TRUE()</f>
        <v>1</v>
      </c>
      <c r="AH608" s="0" t="n">
        <v>1</v>
      </c>
    </row>
    <row r="609" customFormat="false" ht="15" hidden="false" customHeight="false" outlineLevel="0" collapsed="false">
      <c r="A609" s="0" t="s">
        <v>1068</v>
      </c>
      <c r="B609" s="0" t="s">
        <v>134</v>
      </c>
      <c r="C609" s="0" t="s">
        <v>3447</v>
      </c>
      <c r="D609" s="0" t="s">
        <v>3448</v>
      </c>
      <c r="E609" s="19" t="s">
        <v>26</v>
      </c>
      <c r="F609" s="19" t="s">
        <v>32</v>
      </c>
      <c r="G609" s="21" t="s">
        <v>529</v>
      </c>
      <c r="H609" s="21" t="s">
        <v>24</v>
      </c>
      <c r="I609" s="21" t="s">
        <v>26</v>
      </c>
      <c r="J609" s="21" t="s">
        <v>24</v>
      </c>
      <c r="K609" s="21" t="s">
        <v>24</v>
      </c>
      <c r="L609" s="21" t="s">
        <v>24</v>
      </c>
      <c r="M609" s="0" t="n">
        <v>188</v>
      </c>
      <c r="N609" s="0" t="n">
        <v>12</v>
      </c>
      <c r="O609" s="21" t="s">
        <v>4048</v>
      </c>
      <c r="P609" s="21" t="s">
        <v>4498</v>
      </c>
      <c r="Q609" s="0" t="n">
        <v>1</v>
      </c>
      <c r="R609" s="21" t="s">
        <v>69</v>
      </c>
      <c r="S609" s="0" t="n">
        <v>12</v>
      </c>
      <c r="T609" s="21" t="s">
        <v>4048</v>
      </c>
      <c r="U609" s="22" t="b">
        <f aca="false">FALSE()</f>
        <v>0</v>
      </c>
      <c r="V609" s="0" t="n">
        <v>0.76</v>
      </c>
      <c r="W609" s="0" t="n">
        <v>0.32</v>
      </c>
      <c r="X609" s="0" t="n">
        <v>9.79</v>
      </c>
      <c r="Y609" s="0" t="n">
        <v>402.91</v>
      </c>
      <c r="Z609" s="0" t="n">
        <v>9.5</v>
      </c>
      <c r="AA609" s="0" t="n">
        <v>2.08</v>
      </c>
      <c r="AB609" s="0" t="n">
        <v>4.78</v>
      </c>
      <c r="AC609" s="22" t="b">
        <f aca="false">FALSE()</f>
        <v>0</v>
      </c>
      <c r="AD609" s="0" t="n">
        <v>7.02</v>
      </c>
      <c r="AE609" s="0" t="n">
        <v>1.25</v>
      </c>
      <c r="AF609" s="0" t="n">
        <v>17.6</v>
      </c>
      <c r="AG609" s="22" t="b">
        <f aca="false">FALSE()</f>
        <v>0</v>
      </c>
      <c r="AH609" s="0" t="n">
        <v>1</v>
      </c>
    </row>
    <row r="610" customFormat="false" ht="15" hidden="false" customHeight="false" outlineLevel="0" collapsed="false">
      <c r="A610" s="0" t="s">
        <v>1068</v>
      </c>
      <c r="B610" s="0" t="s">
        <v>3459</v>
      </c>
      <c r="C610" s="0" t="s">
        <v>3450</v>
      </c>
      <c r="D610" s="0" t="s">
        <v>3457</v>
      </c>
      <c r="E610" s="20" t="s">
        <v>25</v>
      </c>
      <c r="F610" s="20" t="s">
        <v>29</v>
      </c>
      <c r="G610" s="21" t="s">
        <v>61</v>
      </c>
      <c r="H610" s="21" t="s">
        <v>24</v>
      </c>
      <c r="I610" s="21" t="s">
        <v>24</v>
      </c>
      <c r="J610" s="21" t="s">
        <v>24</v>
      </c>
      <c r="K610" s="21" t="s">
        <v>25</v>
      </c>
      <c r="L610" s="21" t="s">
        <v>24</v>
      </c>
      <c r="M610" s="0" t="n">
        <v>183</v>
      </c>
      <c r="N610" s="0" t="n">
        <v>0</v>
      </c>
      <c r="Q610" s="0" t="n">
        <v>0</v>
      </c>
      <c r="S610" s="0" t="n">
        <v>0</v>
      </c>
      <c r="U610" s="22" t="b">
        <f aca="false">FALSE()</f>
        <v>0</v>
      </c>
      <c r="V610" s="0" t="n">
        <v>0.73</v>
      </c>
      <c r="W610" s="0" t="n">
        <v>0.44</v>
      </c>
      <c r="X610" s="0" t="n">
        <v>9.1</v>
      </c>
      <c r="Y610" s="0" t="n">
        <v>256.76</v>
      </c>
      <c r="Z610" s="0" t="n">
        <v>8.75</v>
      </c>
      <c r="AA610" s="0" t="n">
        <v>10.83</v>
      </c>
      <c r="AB610" s="0" t="n">
        <v>5.08</v>
      </c>
      <c r="AC610" s="22" t="b">
        <f aca="false">FALSE()</f>
        <v>0</v>
      </c>
      <c r="AD610" s="0" t="n">
        <v>24.89</v>
      </c>
      <c r="AE610" s="0" t="n">
        <v>17.21</v>
      </c>
      <c r="AF610" s="0" t="n">
        <v>23.21</v>
      </c>
      <c r="AG610" s="22" t="b">
        <f aca="false">TRUE()</f>
        <v>1</v>
      </c>
      <c r="AH610" s="0" t="n">
        <v>1</v>
      </c>
    </row>
    <row r="611" customFormat="false" ht="15" hidden="false" customHeight="false" outlineLevel="0" collapsed="false">
      <c r="A611" s="0" t="s">
        <v>1068</v>
      </c>
      <c r="B611" s="0" t="s">
        <v>3459</v>
      </c>
      <c r="C611" s="0" t="s">
        <v>3450</v>
      </c>
      <c r="D611" s="0" t="s">
        <v>3448</v>
      </c>
      <c r="E611" s="18" t="s">
        <v>24</v>
      </c>
      <c r="F611" s="18" t="s">
        <v>28</v>
      </c>
      <c r="H611" s="21" t="s">
        <v>24</v>
      </c>
      <c r="I611" s="21" t="s">
        <v>24</v>
      </c>
      <c r="J611" s="21" t="s">
        <v>24</v>
      </c>
      <c r="K611" s="21" t="s">
        <v>24</v>
      </c>
      <c r="L611" s="21" t="s">
        <v>24</v>
      </c>
      <c r="M611" s="0" t="n">
        <v>183</v>
      </c>
      <c r="N611" s="0" t="n">
        <v>0</v>
      </c>
      <c r="Q611" s="0" t="n">
        <v>0</v>
      </c>
      <c r="S611" s="0" t="n">
        <v>0</v>
      </c>
      <c r="U611" s="22" t="b">
        <f aca="false">FALSE()</f>
        <v>0</v>
      </c>
      <c r="V611" s="0" t="n">
        <v>0.7</v>
      </c>
      <c r="W611" s="0" t="n">
        <v>0.28</v>
      </c>
      <c r="X611" s="0" t="n">
        <v>12.61</v>
      </c>
      <c r="Y611" s="0" t="n">
        <v>431.22</v>
      </c>
      <c r="Z611" s="0" t="n">
        <v>8.42</v>
      </c>
      <c r="AA611" s="0" t="n">
        <v>9.59</v>
      </c>
      <c r="AB611" s="0" t="n">
        <v>1.7</v>
      </c>
      <c r="AC611" s="22" t="b">
        <f aca="false">FALSE()</f>
        <v>0</v>
      </c>
      <c r="AD611" s="0" t="n">
        <v>18.48</v>
      </c>
      <c r="AE611" s="0" t="n">
        <v>7.75</v>
      </c>
      <c r="AF611" s="0" t="n">
        <v>16.94</v>
      </c>
      <c r="AG611" s="22" t="b">
        <f aca="false">TRUE()</f>
        <v>1</v>
      </c>
      <c r="AH611" s="0" t="n">
        <v>1</v>
      </c>
    </row>
    <row r="612" customFormat="false" ht="15" hidden="false" customHeight="false" outlineLevel="0" collapsed="false">
      <c r="A612" s="0" t="s">
        <v>1068</v>
      </c>
      <c r="B612" s="0" t="s">
        <v>3459</v>
      </c>
      <c r="C612" s="0" t="s">
        <v>3447</v>
      </c>
      <c r="D612" s="0" t="s">
        <v>3457</v>
      </c>
      <c r="E612" s="20" t="s">
        <v>25</v>
      </c>
      <c r="F612" s="23" t="s">
        <v>30</v>
      </c>
      <c r="G612" s="21" t="s">
        <v>183</v>
      </c>
      <c r="H612" s="21" t="s">
        <v>24</v>
      </c>
      <c r="I612" s="21" t="s">
        <v>25</v>
      </c>
      <c r="J612" s="21" t="s">
        <v>24</v>
      </c>
      <c r="K612" s="21" t="s">
        <v>25</v>
      </c>
      <c r="L612" s="21" t="s">
        <v>24</v>
      </c>
      <c r="M612" s="0" t="n">
        <v>183</v>
      </c>
      <c r="N612" s="0" t="n">
        <v>5</v>
      </c>
      <c r="O612" s="21" t="s">
        <v>3827</v>
      </c>
      <c r="P612" s="21" t="s">
        <v>4499</v>
      </c>
      <c r="Q612" s="0" t="n">
        <v>1</v>
      </c>
      <c r="R612" s="21" t="s">
        <v>69</v>
      </c>
      <c r="S612" s="0" t="n">
        <v>5</v>
      </c>
      <c r="T612" s="21" t="s">
        <v>3827</v>
      </c>
      <c r="U612" s="22" t="b">
        <f aca="false">TRUE()</f>
        <v>1</v>
      </c>
      <c r="V612" s="0" t="n">
        <v>0.74</v>
      </c>
      <c r="W612" s="0" t="n">
        <v>0.52</v>
      </c>
      <c r="X612" s="0" t="n">
        <v>8.69</v>
      </c>
      <c r="Y612" s="0" t="n">
        <v>295.41</v>
      </c>
      <c r="Z612" s="0" t="n">
        <v>9</v>
      </c>
      <c r="AA612" s="0" t="n">
        <v>2.88</v>
      </c>
      <c r="AB612" s="0" t="n">
        <v>5.08</v>
      </c>
      <c r="AC612" s="22" t="b">
        <f aca="false">FALSE()</f>
        <v>0</v>
      </c>
      <c r="AD612" s="0" t="n">
        <v>26.52</v>
      </c>
      <c r="AE612" s="0" t="n">
        <v>15.14</v>
      </c>
      <c r="AF612" s="0" t="n">
        <v>22.01</v>
      </c>
      <c r="AG612" s="22" t="b">
        <f aca="false">TRUE()</f>
        <v>1</v>
      </c>
      <c r="AH612" s="0" t="n">
        <v>1</v>
      </c>
    </row>
    <row r="613" customFormat="false" ht="15" hidden="false" customHeight="false" outlineLevel="0" collapsed="false">
      <c r="A613" s="0" t="s">
        <v>1068</v>
      </c>
      <c r="B613" s="0" t="s">
        <v>3459</v>
      </c>
      <c r="C613" s="0" t="s">
        <v>3447</v>
      </c>
      <c r="D613" s="0" t="s">
        <v>3448</v>
      </c>
      <c r="E613" s="20" t="s">
        <v>25</v>
      </c>
      <c r="F613" s="23" t="s">
        <v>30</v>
      </c>
      <c r="G613" s="21" t="s">
        <v>183</v>
      </c>
      <c r="H613" s="21" t="s">
        <v>24</v>
      </c>
      <c r="I613" s="21" t="s">
        <v>25</v>
      </c>
      <c r="J613" s="21" t="s">
        <v>24</v>
      </c>
      <c r="K613" s="21" t="s">
        <v>25</v>
      </c>
      <c r="L613" s="21" t="s">
        <v>24</v>
      </c>
      <c r="M613" s="0" t="n">
        <v>183</v>
      </c>
      <c r="N613" s="0" t="n">
        <v>2</v>
      </c>
      <c r="O613" s="21" t="s">
        <v>3575</v>
      </c>
      <c r="P613" s="21" t="s">
        <v>4265</v>
      </c>
      <c r="Q613" s="0" t="n">
        <v>1</v>
      </c>
      <c r="R613" s="21" t="s">
        <v>69</v>
      </c>
      <c r="S613" s="0" t="n">
        <v>2</v>
      </c>
      <c r="T613" s="21" t="s">
        <v>3575</v>
      </c>
      <c r="U613" s="22" t="b">
        <f aca="false">TRUE()</f>
        <v>1</v>
      </c>
      <c r="V613" s="0" t="n">
        <v>0.75</v>
      </c>
      <c r="W613" s="0" t="n">
        <v>0</v>
      </c>
      <c r="X613" s="0" t="n">
        <v>10.54</v>
      </c>
      <c r="Y613" s="0" t="n">
        <v>690.94</v>
      </c>
      <c r="Z613" s="0" t="n">
        <v>8.75</v>
      </c>
      <c r="AA613" s="0" t="n">
        <v>10.73</v>
      </c>
      <c r="AB613" s="0" t="n">
        <v>1.7</v>
      </c>
      <c r="AC613" s="22" t="b">
        <f aca="false">FALSE()</f>
        <v>0</v>
      </c>
      <c r="AD613" s="0" t="n">
        <v>20.7</v>
      </c>
      <c r="AE613" s="0" t="n">
        <v>11.41</v>
      </c>
      <c r="AF613" s="0" t="n">
        <v>18.75</v>
      </c>
      <c r="AG613" s="22" t="b">
        <f aca="false">TRUE()</f>
        <v>1</v>
      </c>
      <c r="AH613" s="0" t="n">
        <v>1</v>
      </c>
    </row>
    <row r="614" customFormat="false" ht="15" hidden="false" customHeight="false" outlineLevel="0" collapsed="false">
      <c r="A614" s="0" t="s">
        <v>1073</v>
      </c>
      <c r="B614" s="0" t="s">
        <v>134</v>
      </c>
      <c r="C614" s="0" t="s">
        <v>3450</v>
      </c>
      <c r="D614" s="0" t="s">
        <v>3457</v>
      </c>
      <c r="E614" s="18" t="s">
        <v>24</v>
      </c>
      <c r="F614" s="18" t="s">
        <v>28</v>
      </c>
      <c r="H614" s="21" t="s">
        <v>24</v>
      </c>
      <c r="I614" s="21" t="s">
        <v>24</v>
      </c>
      <c r="J614" s="21" t="s">
        <v>24</v>
      </c>
      <c r="K614" s="21" t="s">
        <v>24</v>
      </c>
      <c r="L614" s="21" t="s">
        <v>24</v>
      </c>
      <c r="M614" s="0" t="n">
        <v>184</v>
      </c>
      <c r="N614" s="0" t="n">
        <v>0</v>
      </c>
      <c r="Q614" s="0" t="n">
        <v>0</v>
      </c>
      <c r="S614" s="0" t="n">
        <v>0</v>
      </c>
      <c r="U614" s="22" t="b">
        <f aca="false">FALSE()</f>
        <v>0</v>
      </c>
      <c r="V614" s="0" t="n">
        <v>0.79</v>
      </c>
      <c r="W614" s="0" t="n">
        <v>0.16</v>
      </c>
      <c r="X614" s="0" t="n">
        <v>9.17</v>
      </c>
      <c r="Y614" s="0" t="n">
        <v>501.57</v>
      </c>
      <c r="Z614" s="0" t="n">
        <v>10.08</v>
      </c>
      <c r="AA614" s="0" t="n">
        <v>8.7</v>
      </c>
      <c r="AB614" s="0" t="n">
        <v>2.19</v>
      </c>
      <c r="AC614" s="22" t="b">
        <f aca="false">FALSE()</f>
        <v>0</v>
      </c>
      <c r="AD614" s="0" t="n">
        <v>15.54</v>
      </c>
      <c r="AE614" s="0" t="n">
        <v>0.51</v>
      </c>
      <c r="AF614" s="0" t="n">
        <v>9.97</v>
      </c>
      <c r="AG614" s="22" t="b">
        <f aca="false">TRUE()</f>
        <v>1</v>
      </c>
      <c r="AH614" s="0" t="n">
        <v>1</v>
      </c>
    </row>
    <row r="615" customFormat="false" ht="15" hidden="false" customHeight="false" outlineLevel="0" collapsed="false">
      <c r="A615" s="0" t="s">
        <v>1073</v>
      </c>
      <c r="B615" s="0" t="s">
        <v>134</v>
      </c>
      <c r="C615" s="0" t="s">
        <v>3450</v>
      </c>
      <c r="D615" s="0" t="s">
        <v>3448</v>
      </c>
      <c r="E615" s="20" t="s">
        <v>25</v>
      </c>
      <c r="F615" s="20" t="s">
        <v>29</v>
      </c>
      <c r="G615" s="21" t="s">
        <v>62</v>
      </c>
      <c r="H615" s="21" t="s">
        <v>24</v>
      </c>
      <c r="I615" s="21" t="s">
        <v>24</v>
      </c>
      <c r="J615" s="21" t="s">
        <v>24</v>
      </c>
      <c r="K615" s="21" t="s">
        <v>25</v>
      </c>
      <c r="L615" s="21" t="s">
        <v>24</v>
      </c>
      <c r="M615" s="0" t="n">
        <v>184</v>
      </c>
      <c r="N615" s="0" t="n">
        <v>0</v>
      </c>
      <c r="Q615" s="0" t="n">
        <v>0</v>
      </c>
      <c r="S615" s="0" t="n">
        <v>0</v>
      </c>
      <c r="U615" s="22" t="b">
        <f aca="false">FALSE()</f>
        <v>0</v>
      </c>
      <c r="V615" s="0" t="n">
        <v>0.8</v>
      </c>
      <c r="W615" s="0" t="n">
        <v>0.92</v>
      </c>
      <c r="X615" s="0" t="n">
        <v>10.18</v>
      </c>
      <c r="Y615" s="0" t="n">
        <v>319.53</v>
      </c>
      <c r="Z615" s="0" t="n">
        <v>8</v>
      </c>
      <c r="AA615" s="0" t="n">
        <v>-1.05</v>
      </c>
      <c r="AB615" s="0" t="n">
        <v>11.31</v>
      </c>
      <c r="AC615" s="22" t="b">
        <f aca="false">FALSE()</f>
        <v>0</v>
      </c>
      <c r="AD615" s="0" t="n">
        <v>3.18</v>
      </c>
      <c r="AE615" s="0" t="n">
        <v>0.18</v>
      </c>
      <c r="AF615" s="0" t="n">
        <v>2.94</v>
      </c>
      <c r="AG615" s="22" t="b">
        <f aca="false">FALSE()</f>
        <v>0</v>
      </c>
      <c r="AH615" s="0" t="n">
        <v>1</v>
      </c>
    </row>
    <row r="616" customFormat="false" ht="15" hidden="false" customHeight="false" outlineLevel="0" collapsed="false">
      <c r="A616" s="0" t="s">
        <v>1073</v>
      </c>
      <c r="B616" s="0" t="s">
        <v>134</v>
      </c>
      <c r="C616" s="0" t="s">
        <v>3447</v>
      </c>
      <c r="D616" s="0" t="s">
        <v>3457</v>
      </c>
      <c r="E616" s="18" t="s">
        <v>24</v>
      </c>
      <c r="F616" s="18" t="s">
        <v>28</v>
      </c>
      <c r="H616" s="21" t="s">
        <v>24</v>
      </c>
      <c r="I616" s="21" t="s">
        <v>24</v>
      </c>
      <c r="J616" s="21" t="s">
        <v>24</v>
      </c>
      <c r="K616" s="21" t="s">
        <v>24</v>
      </c>
      <c r="L616" s="21" t="s">
        <v>24</v>
      </c>
      <c r="M616" s="0" t="n">
        <v>186</v>
      </c>
      <c r="N616" s="0" t="n">
        <v>0</v>
      </c>
      <c r="Q616" s="0" t="n">
        <v>0</v>
      </c>
      <c r="S616" s="0" t="n">
        <v>0</v>
      </c>
      <c r="U616" s="22" t="b">
        <f aca="false">FALSE()</f>
        <v>0</v>
      </c>
      <c r="V616" s="0" t="n">
        <v>0.74</v>
      </c>
      <c r="W616" s="0" t="n">
        <v>0.28</v>
      </c>
      <c r="X616" s="0" t="n">
        <v>10.72</v>
      </c>
      <c r="Y616" s="0" t="n">
        <v>400.43</v>
      </c>
      <c r="Z616" s="0" t="n">
        <v>9.83</v>
      </c>
      <c r="AA616" s="0" t="n">
        <v>4.51</v>
      </c>
      <c r="AB616" s="0" t="n">
        <v>2.19</v>
      </c>
      <c r="AC616" s="22" t="b">
        <f aca="false">FALSE()</f>
        <v>0</v>
      </c>
      <c r="AD616" s="0" t="n">
        <v>10.85</v>
      </c>
      <c r="AE616" s="0" t="n">
        <v>0.42</v>
      </c>
      <c r="AF616" s="0" t="n">
        <v>3.78</v>
      </c>
      <c r="AG616" s="22" t="b">
        <f aca="false">TRUE()</f>
        <v>1</v>
      </c>
      <c r="AH616" s="0" t="n">
        <v>1</v>
      </c>
    </row>
    <row r="617" customFormat="false" ht="15" hidden="false" customHeight="false" outlineLevel="0" collapsed="false">
      <c r="A617" s="0" t="s">
        <v>1073</v>
      </c>
      <c r="B617" s="0" t="s">
        <v>134</v>
      </c>
      <c r="C617" s="0" t="s">
        <v>3447</v>
      </c>
      <c r="D617" s="0" t="s">
        <v>3448</v>
      </c>
      <c r="E617" s="19" t="s">
        <v>26</v>
      </c>
      <c r="F617" s="19" t="s">
        <v>32</v>
      </c>
      <c r="G617" s="21" t="s">
        <v>529</v>
      </c>
      <c r="H617" s="21" t="s">
        <v>24</v>
      </c>
      <c r="I617" s="21" t="s">
        <v>26</v>
      </c>
      <c r="J617" s="21" t="s">
        <v>24</v>
      </c>
      <c r="K617" s="21" t="s">
        <v>24</v>
      </c>
      <c r="L617" s="21" t="s">
        <v>24</v>
      </c>
      <c r="M617" s="0" t="n">
        <v>173</v>
      </c>
      <c r="N617" s="0" t="n">
        <v>11</v>
      </c>
      <c r="O617" s="21" t="s">
        <v>4034</v>
      </c>
      <c r="P617" s="21" t="s">
        <v>4252</v>
      </c>
      <c r="Q617" s="0" t="n">
        <v>1</v>
      </c>
      <c r="R617" s="21" t="s">
        <v>69</v>
      </c>
      <c r="S617" s="0" t="n">
        <v>11</v>
      </c>
      <c r="T617" s="21" t="s">
        <v>4034</v>
      </c>
      <c r="U617" s="22" t="b">
        <f aca="false">FALSE()</f>
        <v>0</v>
      </c>
      <c r="V617" s="0" t="n">
        <v>0.72</v>
      </c>
      <c r="W617" s="0" t="n">
        <v>2.76</v>
      </c>
      <c r="X617" s="0" t="n">
        <v>12.76</v>
      </c>
      <c r="Y617" s="0" t="n">
        <v>295.42</v>
      </c>
      <c r="Z617" s="0" t="n">
        <v>9.92</v>
      </c>
      <c r="AA617" s="0" t="n">
        <v>6.39</v>
      </c>
      <c r="AB617" s="0" t="n">
        <v>11.31</v>
      </c>
      <c r="AC617" s="22" t="b">
        <f aca="false">FALSE()</f>
        <v>0</v>
      </c>
      <c r="AD617" s="0" t="n">
        <v>13.44</v>
      </c>
      <c r="AE617" s="0" t="n">
        <v>0.57</v>
      </c>
      <c r="AF617" s="0" t="n">
        <v>6.38</v>
      </c>
      <c r="AG617" s="22" t="b">
        <f aca="false">TRUE()</f>
        <v>1</v>
      </c>
      <c r="AH617" s="0" t="n">
        <v>1</v>
      </c>
    </row>
    <row r="618" customFormat="false" ht="15" hidden="false" customHeight="false" outlineLevel="0" collapsed="false">
      <c r="A618" s="0" t="s">
        <v>1079</v>
      </c>
      <c r="B618" s="0" t="s">
        <v>134</v>
      </c>
      <c r="C618" s="0" t="s">
        <v>3450</v>
      </c>
      <c r="D618" s="0" t="s">
        <v>3457</v>
      </c>
      <c r="E618" s="19" t="s">
        <v>26</v>
      </c>
      <c r="F618" s="19" t="s">
        <v>32</v>
      </c>
      <c r="G618" s="21" t="s">
        <v>529</v>
      </c>
      <c r="H618" s="21" t="s">
        <v>24</v>
      </c>
      <c r="I618" s="21" t="s">
        <v>26</v>
      </c>
      <c r="J618" s="21" t="s">
        <v>24</v>
      </c>
      <c r="K618" s="21" t="s">
        <v>24</v>
      </c>
      <c r="L618" s="21" t="s">
        <v>24</v>
      </c>
      <c r="M618" s="0" t="n">
        <v>183</v>
      </c>
      <c r="N618" s="0" t="n">
        <v>9</v>
      </c>
      <c r="O618" s="21" t="s">
        <v>4166</v>
      </c>
      <c r="P618" s="21" t="s">
        <v>4500</v>
      </c>
      <c r="Q618" s="0" t="n">
        <v>1</v>
      </c>
      <c r="R618" s="21" t="s">
        <v>69</v>
      </c>
      <c r="S618" s="0" t="n">
        <v>9</v>
      </c>
      <c r="T618" s="21" t="s">
        <v>4166</v>
      </c>
      <c r="U618" s="22" t="b">
        <f aca="false">FALSE()</f>
        <v>0</v>
      </c>
      <c r="V618" s="0" t="n">
        <v>0.64</v>
      </c>
      <c r="W618" s="0" t="n">
        <v>0.6</v>
      </c>
      <c r="X618" s="0" t="n">
        <v>7.09</v>
      </c>
      <c r="Y618" s="0" t="n">
        <v>320.71</v>
      </c>
      <c r="Z618" s="0" t="n">
        <v>9.25</v>
      </c>
      <c r="AA618" s="0" t="n">
        <v>13.11</v>
      </c>
      <c r="AB618" s="0" t="n">
        <v>3.54</v>
      </c>
      <c r="AC618" s="22" t="b">
        <f aca="false">FALSE()</f>
        <v>0</v>
      </c>
      <c r="AD618" s="0" t="n">
        <v>14.13</v>
      </c>
      <c r="AE618" s="0" t="n">
        <v>0.88</v>
      </c>
      <c r="AF618" s="0" t="n">
        <v>2.8</v>
      </c>
      <c r="AG618" s="22" t="b">
        <f aca="false">TRUE()</f>
        <v>1</v>
      </c>
      <c r="AH618" s="0" t="n">
        <v>1</v>
      </c>
    </row>
    <row r="619" customFormat="false" ht="15" hidden="false" customHeight="false" outlineLevel="0" collapsed="false">
      <c r="A619" s="0" t="s">
        <v>1079</v>
      </c>
      <c r="B619" s="0" t="s">
        <v>134</v>
      </c>
      <c r="C619" s="0" t="s">
        <v>3450</v>
      </c>
      <c r="D619" s="0" t="s">
        <v>3448</v>
      </c>
      <c r="E619" s="20" t="s">
        <v>25</v>
      </c>
      <c r="F619" s="23" t="s">
        <v>30</v>
      </c>
      <c r="G619" s="21" t="s">
        <v>283</v>
      </c>
      <c r="H619" s="21" t="s">
        <v>24</v>
      </c>
      <c r="I619" s="21" t="s">
        <v>25</v>
      </c>
      <c r="J619" s="21" t="s">
        <v>24</v>
      </c>
      <c r="K619" s="21" t="s">
        <v>24</v>
      </c>
      <c r="L619" s="21" t="s">
        <v>24</v>
      </c>
      <c r="M619" s="0" t="n">
        <v>188</v>
      </c>
      <c r="N619" s="0" t="n">
        <v>4</v>
      </c>
      <c r="O619" s="21" t="s">
        <v>3749</v>
      </c>
      <c r="P619" s="21" t="s">
        <v>4501</v>
      </c>
      <c r="Q619" s="0" t="n">
        <v>1</v>
      </c>
      <c r="R619" s="21" t="s">
        <v>69</v>
      </c>
      <c r="S619" s="0" t="n">
        <v>4</v>
      </c>
      <c r="T619" s="21" t="s">
        <v>3749</v>
      </c>
      <c r="U619" s="22" t="b">
        <f aca="false">TRUE()</f>
        <v>1</v>
      </c>
      <c r="V619" s="0" t="n">
        <v>0.69</v>
      </c>
      <c r="W619" s="0" t="n">
        <v>0.32</v>
      </c>
      <c r="X619" s="0" t="n">
        <v>7.25</v>
      </c>
      <c r="Y619" s="0" t="n">
        <v>413.25</v>
      </c>
      <c r="Z619" s="0" t="n">
        <v>9</v>
      </c>
      <c r="AA619" s="0" t="n">
        <v>15.4</v>
      </c>
      <c r="AB619" s="0" t="n">
        <v>10.68</v>
      </c>
      <c r="AC619" s="22" t="b">
        <f aca="false">FALSE()</f>
        <v>0</v>
      </c>
      <c r="AD619" s="0" t="n">
        <v>16.94</v>
      </c>
      <c r="AE619" s="0" t="n">
        <v>0.9</v>
      </c>
      <c r="AF619" s="0" t="n">
        <v>1.45</v>
      </c>
      <c r="AG619" s="22" t="b">
        <f aca="false">TRUE()</f>
        <v>1</v>
      </c>
      <c r="AH619" s="0" t="n">
        <v>1</v>
      </c>
    </row>
    <row r="620" customFormat="false" ht="15" hidden="false" customHeight="false" outlineLevel="0" collapsed="false">
      <c r="A620" s="0" t="s">
        <v>1079</v>
      </c>
      <c r="B620" s="0" t="s">
        <v>134</v>
      </c>
      <c r="C620" s="0" t="s">
        <v>3447</v>
      </c>
      <c r="D620" s="0" t="s">
        <v>3457</v>
      </c>
      <c r="E620" s="19" t="s">
        <v>26</v>
      </c>
      <c r="F620" s="19" t="s">
        <v>32</v>
      </c>
      <c r="G620" s="21" t="s">
        <v>60</v>
      </c>
      <c r="H620" s="21" t="s">
        <v>24</v>
      </c>
      <c r="I620" s="21" t="s">
        <v>26</v>
      </c>
      <c r="J620" s="21" t="s">
        <v>24</v>
      </c>
      <c r="K620" s="21" t="s">
        <v>24</v>
      </c>
      <c r="L620" s="21" t="s">
        <v>24</v>
      </c>
      <c r="M620" s="0" t="n">
        <v>182</v>
      </c>
      <c r="N620" s="0" t="n">
        <v>10</v>
      </c>
      <c r="O620" s="21" t="s">
        <v>3981</v>
      </c>
      <c r="P620" s="21" t="s">
        <v>4502</v>
      </c>
      <c r="Q620" s="0" t="n">
        <v>0</v>
      </c>
      <c r="S620" s="0" t="n">
        <v>9</v>
      </c>
      <c r="T620" s="21" t="s">
        <v>4503</v>
      </c>
      <c r="U620" s="22" t="b">
        <f aca="false">FALSE()</f>
        <v>0</v>
      </c>
      <c r="V620" s="0" t="n">
        <v>0.69</v>
      </c>
      <c r="W620" s="0" t="n">
        <v>0.28</v>
      </c>
      <c r="X620" s="0" t="n">
        <v>14.28</v>
      </c>
      <c r="Y620" s="0" t="n">
        <v>422.24</v>
      </c>
      <c r="Z620" s="0" t="n">
        <v>8.5</v>
      </c>
      <c r="AA620" s="0" t="n">
        <v>1.11</v>
      </c>
      <c r="AB620" s="0" t="n">
        <v>3.54</v>
      </c>
      <c r="AC620" s="22" t="b">
        <f aca="false">FALSE()</f>
        <v>0</v>
      </c>
      <c r="AD620" s="0" t="n">
        <v>5.88</v>
      </c>
      <c r="AE620" s="0" t="n">
        <v>1.19</v>
      </c>
      <c r="AF620" s="0" t="n">
        <v>0.08</v>
      </c>
      <c r="AG620" s="22" t="b">
        <f aca="false">FALSE()</f>
        <v>0</v>
      </c>
      <c r="AH620" s="0" t="n">
        <v>1</v>
      </c>
    </row>
    <row r="621" customFormat="false" ht="15" hidden="false" customHeight="false" outlineLevel="0" collapsed="false">
      <c r="A621" s="0" t="s">
        <v>1079</v>
      </c>
      <c r="B621" s="0" t="s">
        <v>134</v>
      </c>
      <c r="C621" s="0" t="s">
        <v>3447</v>
      </c>
      <c r="D621" s="0" t="s">
        <v>3448</v>
      </c>
      <c r="E621" s="19" t="s">
        <v>26</v>
      </c>
      <c r="F621" s="19" t="s">
        <v>32</v>
      </c>
      <c r="G621" s="21" t="s">
        <v>60</v>
      </c>
      <c r="H621" s="21" t="s">
        <v>24</v>
      </c>
      <c r="I621" s="21" t="s">
        <v>26</v>
      </c>
      <c r="J621" s="21" t="s">
        <v>24</v>
      </c>
      <c r="K621" s="21" t="s">
        <v>24</v>
      </c>
      <c r="L621" s="21" t="s">
        <v>24</v>
      </c>
      <c r="M621" s="0" t="n">
        <v>195</v>
      </c>
      <c r="N621" s="0" t="n">
        <v>10</v>
      </c>
      <c r="O621" s="21" t="s">
        <v>3931</v>
      </c>
      <c r="P621" s="21" t="s">
        <v>4504</v>
      </c>
      <c r="Q621" s="0" t="n">
        <v>0</v>
      </c>
      <c r="S621" s="0" t="n">
        <v>8</v>
      </c>
      <c r="T621" s="21" t="s">
        <v>4505</v>
      </c>
      <c r="U621" s="22" t="b">
        <f aca="false">FALSE()</f>
        <v>0</v>
      </c>
      <c r="V621" s="0" t="n">
        <v>0.77</v>
      </c>
      <c r="W621" s="0" t="n">
        <v>0.36</v>
      </c>
      <c r="X621" s="0" t="n">
        <v>13.25</v>
      </c>
      <c r="Y621" s="0" t="n">
        <v>395.51</v>
      </c>
      <c r="Z621" s="0" t="n">
        <v>8.5</v>
      </c>
      <c r="AA621" s="0" t="n">
        <v>1.89</v>
      </c>
      <c r="AB621" s="0" t="n">
        <v>10.68</v>
      </c>
      <c r="AC621" s="22" t="b">
        <f aca="false">FALSE()</f>
        <v>0</v>
      </c>
      <c r="AD621" s="0" t="n">
        <v>8.71</v>
      </c>
      <c r="AE621" s="0" t="n">
        <v>0.42</v>
      </c>
      <c r="AF621" s="0" t="n">
        <v>0.17</v>
      </c>
      <c r="AG621" s="22" t="b">
        <f aca="false">FALSE()</f>
        <v>0</v>
      </c>
      <c r="AH621" s="0" t="n">
        <v>1</v>
      </c>
    </row>
    <row r="622" customFormat="false" ht="15" hidden="false" customHeight="false" outlineLevel="0" collapsed="false">
      <c r="A622" s="0" t="s">
        <v>1084</v>
      </c>
      <c r="B622" s="0" t="s">
        <v>134</v>
      </c>
      <c r="C622" s="0" t="s">
        <v>3450</v>
      </c>
      <c r="D622" s="0" t="s">
        <v>3457</v>
      </c>
      <c r="E622" s="20" t="s">
        <v>25</v>
      </c>
      <c r="F622" s="23" t="s">
        <v>30</v>
      </c>
      <c r="G622" s="21" t="s">
        <v>283</v>
      </c>
      <c r="H622" s="21" t="s">
        <v>24</v>
      </c>
      <c r="I622" s="21" t="s">
        <v>25</v>
      </c>
      <c r="J622" s="21" t="s">
        <v>24</v>
      </c>
      <c r="K622" s="21" t="s">
        <v>24</v>
      </c>
      <c r="L622" s="21" t="s">
        <v>24</v>
      </c>
      <c r="M622" s="0" t="n">
        <v>182</v>
      </c>
      <c r="N622" s="0" t="n">
        <v>1</v>
      </c>
      <c r="O622" s="21" t="s">
        <v>69</v>
      </c>
      <c r="P622" s="21" t="s">
        <v>4275</v>
      </c>
      <c r="Q622" s="0" t="n">
        <v>1</v>
      </c>
      <c r="R622" s="21" t="s">
        <v>69</v>
      </c>
      <c r="S622" s="0" t="n">
        <v>1</v>
      </c>
      <c r="T622" s="21" t="s">
        <v>69</v>
      </c>
      <c r="U622" s="22" t="b">
        <f aca="false">TRUE()</f>
        <v>1</v>
      </c>
      <c r="V622" s="0" t="n">
        <v>0.63</v>
      </c>
      <c r="W622" s="0" t="n">
        <v>0.32</v>
      </c>
      <c r="X622" s="0" t="n">
        <v>6.66</v>
      </c>
      <c r="Y622" s="0" t="n">
        <v>399.89</v>
      </c>
      <c r="Z622" s="0" t="n">
        <v>9.92</v>
      </c>
      <c r="AA622" s="0" t="n">
        <v>10.14</v>
      </c>
      <c r="AB622" s="0" t="n">
        <v>2.26</v>
      </c>
      <c r="AC622" s="22" t="b">
        <f aca="false">FALSE()</f>
        <v>0</v>
      </c>
      <c r="AD622" s="0" t="n">
        <v>18.73</v>
      </c>
      <c r="AE622" s="0" t="n">
        <v>0.81</v>
      </c>
      <c r="AF622" s="0" t="n">
        <v>9.22</v>
      </c>
      <c r="AG622" s="22" t="b">
        <f aca="false">TRUE()</f>
        <v>1</v>
      </c>
      <c r="AH622" s="0" t="n">
        <v>1</v>
      </c>
    </row>
    <row r="623" customFormat="false" ht="15" hidden="false" customHeight="false" outlineLevel="0" collapsed="false">
      <c r="A623" s="0" t="s">
        <v>1084</v>
      </c>
      <c r="B623" s="0" t="s">
        <v>134</v>
      </c>
      <c r="C623" s="0" t="s">
        <v>3450</v>
      </c>
      <c r="D623" s="0" t="s">
        <v>3448</v>
      </c>
      <c r="E623" s="20" t="s">
        <v>25</v>
      </c>
      <c r="F623" s="23" t="s">
        <v>30</v>
      </c>
      <c r="G623" s="21" t="s">
        <v>183</v>
      </c>
      <c r="H623" s="21" t="s">
        <v>24</v>
      </c>
      <c r="I623" s="21" t="s">
        <v>25</v>
      </c>
      <c r="J623" s="21" t="s">
        <v>24</v>
      </c>
      <c r="K623" s="21" t="s">
        <v>25</v>
      </c>
      <c r="L623" s="21" t="s">
        <v>24</v>
      </c>
      <c r="M623" s="0" t="n">
        <v>194</v>
      </c>
      <c r="N623" s="0" t="n">
        <v>1</v>
      </c>
      <c r="O623" s="21" t="s">
        <v>69</v>
      </c>
      <c r="P623" s="21" t="s">
        <v>4275</v>
      </c>
      <c r="Q623" s="0" t="n">
        <v>1</v>
      </c>
      <c r="R623" s="21" t="s">
        <v>69</v>
      </c>
      <c r="S623" s="0" t="n">
        <v>1</v>
      </c>
      <c r="T623" s="21" t="s">
        <v>69</v>
      </c>
      <c r="U623" s="22" t="b">
        <f aca="false">TRUE()</f>
        <v>1</v>
      </c>
      <c r="V623" s="0" t="n">
        <v>0.68</v>
      </c>
      <c r="W623" s="0" t="n">
        <v>0.16</v>
      </c>
      <c r="X623" s="0" t="n">
        <v>6.75</v>
      </c>
      <c r="Y623" s="0" t="n">
        <v>594.47</v>
      </c>
      <c r="Z623" s="0" t="n">
        <v>9.5</v>
      </c>
      <c r="AA623" s="0" t="n">
        <v>10.65</v>
      </c>
      <c r="AB623" s="0" t="n">
        <v>6.85</v>
      </c>
      <c r="AC623" s="22" t="b">
        <f aca="false">FALSE()</f>
        <v>0</v>
      </c>
      <c r="AD623" s="0" t="n">
        <v>22.4</v>
      </c>
      <c r="AE623" s="0" t="n">
        <v>0.4</v>
      </c>
      <c r="AF623" s="0" t="n">
        <v>14.94</v>
      </c>
      <c r="AG623" s="22" t="b">
        <f aca="false">TRUE()</f>
        <v>1</v>
      </c>
      <c r="AH623" s="0" t="n">
        <v>1</v>
      </c>
    </row>
    <row r="624" customFormat="false" ht="15" hidden="false" customHeight="false" outlineLevel="0" collapsed="false">
      <c r="A624" s="0" t="s">
        <v>1084</v>
      </c>
      <c r="B624" s="0" t="s">
        <v>134</v>
      </c>
      <c r="C624" s="0" t="s">
        <v>3447</v>
      </c>
      <c r="D624" s="0" t="s">
        <v>3457</v>
      </c>
      <c r="E624" s="18" t="s">
        <v>24</v>
      </c>
      <c r="F624" s="18" t="s">
        <v>28</v>
      </c>
      <c r="H624" s="21" t="s">
        <v>24</v>
      </c>
      <c r="I624" s="21" t="s">
        <v>24</v>
      </c>
      <c r="J624" s="21" t="s">
        <v>24</v>
      </c>
      <c r="K624" s="21" t="s">
        <v>24</v>
      </c>
      <c r="L624" s="21" t="s">
        <v>24</v>
      </c>
      <c r="M624" s="0" t="n">
        <v>182</v>
      </c>
      <c r="N624" s="0" t="n">
        <v>0</v>
      </c>
      <c r="Q624" s="0" t="n">
        <v>0</v>
      </c>
      <c r="S624" s="0" t="n">
        <v>0</v>
      </c>
      <c r="U624" s="22" t="b">
        <f aca="false">FALSE()</f>
        <v>0</v>
      </c>
      <c r="V624" s="0" t="n">
        <v>0.75</v>
      </c>
      <c r="W624" s="0" t="n">
        <v>0.6</v>
      </c>
      <c r="X624" s="0" t="n">
        <v>5.16</v>
      </c>
      <c r="Y624" s="0" t="n">
        <v>320.52</v>
      </c>
      <c r="Z624" s="0" t="n">
        <v>8</v>
      </c>
      <c r="AA624" s="0" t="n">
        <v>-0.84</v>
      </c>
      <c r="AB624" s="0" t="n">
        <v>2.26</v>
      </c>
      <c r="AC624" s="22" t="b">
        <f aca="false">FALSE()</f>
        <v>0</v>
      </c>
      <c r="AD624" s="0" t="n">
        <v>12.68</v>
      </c>
      <c r="AE624" s="0" t="n">
        <v>0.48</v>
      </c>
      <c r="AF624" s="0" t="n">
        <v>5.66</v>
      </c>
      <c r="AG624" s="22" t="b">
        <f aca="false">TRUE()</f>
        <v>1</v>
      </c>
      <c r="AH624" s="0" t="n">
        <v>1</v>
      </c>
    </row>
    <row r="625" customFormat="false" ht="15" hidden="false" customHeight="false" outlineLevel="0" collapsed="false">
      <c r="A625" s="0" t="s">
        <v>1084</v>
      </c>
      <c r="B625" s="0" t="s">
        <v>134</v>
      </c>
      <c r="C625" s="0" t="s">
        <v>3447</v>
      </c>
      <c r="D625" s="0" t="s">
        <v>3448</v>
      </c>
      <c r="E625" s="20" t="s">
        <v>25</v>
      </c>
      <c r="F625" s="23" t="s">
        <v>30</v>
      </c>
      <c r="G625" s="21" t="s">
        <v>992</v>
      </c>
      <c r="H625" s="21" t="s">
        <v>24</v>
      </c>
      <c r="I625" s="21" t="s">
        <v>24</v>
      </c>
      <c r="J625" s="21" t="s">
        <v>24</v>
      </c>
      <c r="K625" s="21" t="s">
        <v>25</v>
      </c>
      <c r="L625" s="21" t="s">
        <v>24</v>
      </c>
      <c r="M625" s="0" t="n">
        <v>186</v>
      </c>
      <c r="N625" s="0" t="n">
        <v>4</v>
      </c>
      <c r="O625" s="21" t="s">
        <v>3647</v>
      </c>
      <c r="P625" s="21" t="s">
        <v>4506</v>
      </c>
      <c r="Q625" s="0" t="n">
        <v>0</v>
      </c>
      <c r="S625" s="0" t="n">
        <v>4</v>
      </c>
      <c r="T625" s="21" t="s">
        <v>3647</v>
      </c>
      <c r="U625" s="22" t="b">
        <f aca="false">TRUE()</f>
        <v>1</v>
      </c>
      <c r="V625" s="0" t="n">
        <v>0.78</v>
      </c>
      <c r="W625" s="0" t="n">
        <v>0.2</v>
      </c>
      <c r="X625" s="0" t="n">
        <v>5.86</v>
      </c>
      <c r="Y625" s="0" t="n">
        <v>516.85</v>
      </c>
      <c r="Z625" s="0" t="n">
        <v>10.5</v>
      </c>
      <c r="AA625" s="0" t="n">
        <v>0.81</v>
      </c>
      <c r="AB625" s="0" t="n">
        <v>6.85</v>
      </c>
      <c r="AC625" s="22" t="b">
        <f aca="false">FALSE()</f>
        <v>0</v>
      </c>
      <c r="AD625" s="0" t="n">
        <v>22.38</v>
      </c>
      <c r="AE625" s="0" t="n">
        <v>0.83</v>
      </c>
      <c r="AF625" s="0" t="n">
        <v>14.98</v>
      </c>
      <c r="AG625" s="22" t="b">
        <f aca="false">TRUE()</f>
        <v>1</v>
      </c>
      <c r="AH625" s="0" t="n">
        <v>1</v>
      </c>
    </row>
    <row r="626" customFormat="false" ht="15" hidden="false" customHeight="false" outlineLevel="0" collapsed="false">
      <c r="A626" s="0" t="s">
        <v>1084</v>
      </c>
      <c r="B626" s="0" t="s">
        <v>3459</v>
      </c>
      <c r="C626" s="0" t="s">
        <v>3450</v>
      </c>
      <c r="D626" s="0" t="s">
        <v>3457</v>
      </c>
      <c r="E626" s="19" t="s">
        <v>26</v>
      </c>
      <c r="F626" s="19" t="s">
        <v>32</v>
      </c>
      <c r="G626" s="21" t="s">
        <v>1926</v>
      </c>
      <c r="H626" s="21" t="s">
        <v>24</v>
      </c>
      <c r="I626" s="21" t="s">
        <v>26</v>
      </c>
      <c r="J626" s="21" t="s">
        <v>24</v>
      </c>
      <c r="K626" s="21" t="s">
        <v>25</v>
      </c>
      <c r="L626" s="21" t="s">
        <v>24</v>
      </c>
      <c r="M626" s="0" t="n">
        <v>184</v>
      </c>
      <c r="N626" s="0" t="n">
        <v>8</v>
      </c>
      <c r="O626" s="21" t="s">
        <v>4063</v>
      </c>
      <c r="P626" s="21" t="s">
        <v>4306</v>
      </c>
      <c r="Q626" s="0" t="n">
        <v>1</v>
      </c>
      <c r="R626" s="21" t="s">
        <v>69</v>
      </c>
      <c r="S626" s="0" t="n">
        <v>8</v>
      </c>
      <c r="T626" s="21" t="s">
        <v>4063</v>
      </c>
      <c r="U626" s="22" t="b">
        <f aca="false">FALSE()</f>
        <v>0</v>
      </c>
      <c r="V626" s="0" t="n">
        <v>0.63</v>
      </c>
      <c r="W626" s="0" t="n">
        <v>0.68</v>
      </c>
      <c r="X626" s="0" t="n">
        <v>7.95</v>
      </c>
      <c r="Y626" s="0" t="n">
        <v>308.7</v>
      </c>
      <c r="Z626" s="0" t="n">
        <v>10.08</v>
      </c>
      <c r="AA626" s="0" t="n">
        <v>9.21</v>
      </c>
      <c r="AB626" s="0" t="n">
        <v>12.86</v>
      </c>
      <c r="AC626" s="22" t="b">
        <f aca="false">FALSE()</f>
        <v>0</v>
      </c>
      <c r="AD626" s="0" t="n">
        <v>26.44</v>
      </c>
      <c r="AE626" s="0" t="n">
        <v>12.44</v>
      </c>
      <c r="AF626" s="0" t="n">
        <v>21.71</v>
      </c>
      <c r="AG626" s="22" t="b">
        <f aca="false">TRUE()</f>
        <v>1</v>
      </c>
      <c r="AH626" s="0" t="n">
        <v>1</v>
      </c>
    </row>
    <row r="627" customFormat="false" ht="15" hidden="false" customHeight="false" outlineLevel="0" collapsed="false">
      <c r="A627" s="0" t="s">
        <v>1084</v>
      </c>
      <c r="B627" s="0" t="s">
        <v>3459</v>
      </c>
      <c r="C627" s="0" t="s">
        <v>3450</v>
      </c>
      <c r="D627" s="0" t="s">
        <v>3448</v>
      </c>
      <c r="E627" s="20" t="s">
        <v>25</v>
      </c>
      <c r="F627" s="23" t="s">
        <v>30</v>
      </c>
      <c r="G627" s="21" t="s">
        <v>163</v>
      </c>
      <c r="H627" s="21" t="s">
        <v>24</v>
      </c>
      <c r="I627" s="21" t="s">
        <v>25</v>
      </c>
      <c r="J627" s="21" t="s">
        <v>24</v>
      </c>
      <c r="K627" s="21" t="s">
        <v>25</v>
      </c>
      <c r="L627" s="21" t="s">
        <v>24</v>
      </c>
      <c r="M627" s="0" t="n">
        <v>186</v>
      </c>
      <c r="N627" s="0" t="n">
        <v>2</v>
      </c>
      <c r="O627" s="21" t="s">
        <v>3575</v>
      </c>
      <c r="P627" s="21" t="s">
        <v>4265</v>
      </c>
      <c r="Q627" s="0" t="n">
        <v>1</v>
      </c>
      <c r="R627" s="21" t="s">
        <v>69</v>
      </c>
      <c r="S627" s="0" t="n">
        <v>2</v>
      </c>
      <c r="T627" s="21" t="s">
        <v>3575</v>
      </c>
      <c r="U627" s="22" t="b">
        <f aca="false">TRUE()</f>
        <v>1</v>
      </c>
      <c r="V627" s="0" t="n">
        <v>0.67</v>
      </c>
      <c r="W627" s="0" t="n">
        <v>0.12</v>
      </c>
      <c r="X627" s="0" t="n">
        <v>7.45</v>
      </c>
      <c r="Y627" s="0" t="n">
        <v>639.07</v>
      </c>
      <c r="Z627" s="0" t="n">
        <v>9</v>
      </c>
      <c r="AA627" s="0" t="n">
        <v>13.17</v>
      </c>
      <c r="AB627" s="0" t="n">
        <v>0.45</v>
      </c>
      <c r="AC627" s="22" t="b">
        <f aca="false">FALSE()</f>
        <v>0</v>
      </c>
      <c r="AD627" s="0" t="n">
        <v>28.92</v>
      </c>
      <c r="AE627" s="0" t="n">
        <v>18.06</v>
      </c>
      <c r="AF627" s="0" t="n">
        <v>25.83</v>
      </c>
      <c r="AG627" s="22" t="b">
        <f aca="false">TRUE()</f>
        <v>1</v>
      </c>
      <c r="AH627" s="0" t="n">
        <v>1</v>
      </c>
    </row>
    <row r="628" customFormat="false" ht="15" hidden="false" customHeight="false" outlineLevel="0" collapsed="false">
      <c r="A628" s="0" t="s">
        <v>1084</v>
      </c>
      <c r="B628" s="0" t="s">
        <v>3459</v>
      </c>
      <c r="C628" s="0" t="s">
        <v>3447</v>
      </c>
      <c r="D628" s="0" t="s">
        <v>3457</v>
      </c>
      <c r="E628" s="20" t="s">
        <v>25</v>
      </c>
      <c r="F628" s="20" t="s">
        <v>29</v>
      </c>
      <c r="G628" s="21" t="s">
        <v>61</v>
      </c>
      <c r="H628" s="21" t="s">
        <v>24</v>
      </c>
      <c r="I628" s="21" t="s">
        <v>24</v>
      </c>
      <c r="J628" s="21" t="s">
        <v>24</v>
      </c>
      <c r="K628" s="21" t="s">
        <v>25</v>
      </c>
      <c r="L628" s="21" t="s">
        <v>24</v>
      </c>
      <c r="M628" s="0" t="n">
        <v>184</v>
      </c>
      <c r="N628" s="0" t="n">
        <v>0</v>
      </c>
      <c r="Q628" s="0" t="n">
        <v>0</v>
      </c>
      <c r="S628" s="0" t="n">
        <v>0</v>
      </c>
      <c r="U628" s="22" t="b">
        <f aca="false">FALSE()</f>
        <v>0</v>
      </c>
      <c r="V628" s="0" t="n">
        <v>0.77</v>
      </c>
      <c r="W628" s="0" t="n">
        <v>0.44</v>
      </c>
      <c r="X628" s="0" t="n">
        <v>6.36</v>
      </c>
      <c r="Y628" s="0" t="n">
        <v>336.51</v>
      </c>
      <c r="Z628" s="0" t="n">
        <v>8</v>
      </c>
      <c r="AA628" s="0" t="n">
        <v>0.15</v>
      </c>
      <c r="AB628" s="0" t="n">
        <v>12.86</v>
      </c>
      <c r="AC628" s="22" t="b">
        <f aca="false">FALSE()</f>
        <v>0</v>
      </c>
      <c r="AD628" s="0" t="n">
        <v>27.92</v>
      </c>
      <c r="AE628" s="0" t="n">
        <v>13.36</v>
      </c>
      <c r="AF628" s="0" t="n">
        <v>22.04</v>
      </c>
      <c r="AG628" s="22" t="b">
        <f aca="false">TRUE()</f>
        <v>1</v>
      </c>
      <c r="AH628" s="0" t="n">
        <v>1</v>
      </c>
    </row>
    <row r="629" customFormat="false" ht="15" hidden="false" customHeight="false" outlineLevel="0" collapsed="false">
      <c r="A629" s="0" t="s">
        <v>1084</v>
      </c>
      <c r="B629" s="0" t="s">
        <v>3459</v>
      </c>
      <c r="C629" s="0" t="s">
        <v>3447</v>
      </c>
      <c r="D629" s="0" t="s">
        <v>3448</v>
      </c>
      <c r="E629" s="20" t="s">
        <v>25</v>
      </c>
      <c r="F629" s="23" t="s">
        <v>30</v>
      </c>
      <c r="G629" s="21" t="s">
        <v>1152</v>
      </c>
      <c r="H629" s="21" t="s">
        <v>24</v>
      </c>
      <c r="I629" s="21" t="s">
        <v>25</v>
      </c>
      <c r="J629" s="21" t="s">
        <v>24</v>
      </c>
      <c r="K629" s="21" t="s">
        <v>25</v>
      </c>
      <c r="L629" s="21" t="s">
        <v>24</v>
      </c>
      <c r="M629" s="0" t="n">
        <v>188</v>
      </c>
      <c r="N629" s="0" t="n">
        <v>6</v>
      </c>
      <c r="O629" s="21" t="s">
        <v>3849</v>
      </c>
      <c r="P629" s="21" t="s">
        <v>4507</v>
      </c>
      <c r="Q629" s="0" t="n">
        <v>1</v>
      </c>
      <c r="R629" s="21" t="s">
        <v>69</v>
      </c>
      <c r="S629" s="0" t="n">
        <v>6</v>
      </c>
      <c r="T629" s="21" t="s">
        <v>3849</v>
      </c>
      <c r="U629" s="22" t="b">
        <f aca="false">TRUE()</f>
        <v>1</v>
      </c>
      <c r="V629" s="0" t="n">
        <v>0.74</v>
      </c>
      <c r="W629" s="0" t="n">
        <v>0.64</v>
      </c>
      <c r="X629" s="0" t="n">
        <v>7.37</v>
      </c>
      <c r="Y629" s="0" t="n">
        <v>330.33</v>
      </c>
      <c r="Z629" s="0" t="n">
        <v>8</v>
      </c>
      <c r="AA629" s="0" t="n">
        <v>-1.18</v>
      </c>
      <c r="AB629" s="0" t="n">
        <v>0.45</v>
      </c>
      <c r="AC629" s="22" t="b">
        <f aca="false">FALSE()</f>
        <v>0</v>
      </c>
      <c r="AD629" s="0" t="n">
        <v>12.69</v>
      </c>
      <c r="AE629" s="0" t="n">
        <v>5.21</v>
      </c>
      <c r="AF629" s="0" t="n">
        <v>12.73</v>
      </c>
      <c r="AG629" s="22" t="b">
        <f aca="false">TRUE()</f>
        <v>1</v>
      </c>
      <c r="AH629" s="0" t="n">
        <v>1</v>
      </c>
    </row>
    <row r="630" customFormat="false" ht="15" hidden="false" customHeight="false" outlineLevel="0" collapsed="false">
      <c r="A630" s="0" t="s">
        <v>1096</v>
      </c>
      <c r="B630" s="0" t="s">
        <v>134</v>
      </c>
      <c r="C630" s="0" t="s">
        <v>3450</v>
      </c>
      <c r="D630" s="0" t="s">
        <v>3457</v>
      </c>
      <c r="E630" s="18" t="s">
        <v>24</v>
      </c>
      <c r="F630" s="18" t="s">
        <v>28</v>
      </c>
      <c r="H630" s="21" t="s">
        <v>24</v>
      </c>
      <c r="I630" s="21" t="s">
        <v>24</v>
      </c>
      <c r="J630" s="21" t="s">
        <v>24</v>
      </c>
      <c r="K630" s="21" t="s">
        <v>24</v>
      </c>
      <c r="L630" s="21" t="s">
        <v>24</v>
      </c>
      <c r="M630" s="0" t="n">
        <v>183</v>
      </c>
      <c r="N630" s="0" t="n">
        <v>0</v>
      </c>
      <c r="Q630" s="0" t="n">
        <v>0</v>
      </c>
      <c r="S630" s="0" t="n">
        <v>0</v>
      </c>
      <c r="U630" s="22" t="b">
        <f aca="false">FALSE()</f>
        <v>0</v>
      </c>
      <c r="V630" s="0" t="n">
        <v>0.83</v>
      </c>
      <c r="W630" s="0" t="n">
        <v>0.16</v>
      </c>
      <c r="X630" s="0" t="n">
        <v>11.66</v>
      </c>
      <c r="Y630" s="0" t="n">
        <v>421.25</v>
      </c>
      <c r="Z630" s="0" t="n">
        <v>8</v>
      </c>
      <c r="AA630" s="0" t="n">
        <v>11.6</v>
      </c>
      <c r="AB630" s="0" t="n">
        <v>3.4</v>
      </c>
      <c r="AC630" s="22" t="b">
        <f aca="false">FALSE()</f>
        <v>0</v>
      </c>
      <c r="AD630" s="0" t="n">
        <v>11.64</v>
      </c>
      <c r="AE630" s="0" t="n">
        <v>0.03</v>
      </c>
      <c r="AF630" s="0" t="n">
        <v>4.04</v>
      </c>
      <c r="AG630" s="22" t="b">
        <f aca="false">TRUE()</f>
        <v>1</v>
      </c>
      <c r="AH630" s="0" t="n">
        <v>1</v>
      </c>
    </row>
    <row r="631" customFormat="false" ht="15" hidden="false" customHeight="false" outlineLevel="0" collapsed="false">
      <c r="A631" s="0" t="s">
        <v>1096</v>
      </c>
      <c r="B631" s="0" t="s">
        <v>134</v>
      </c>
      <c r="C631" s="0" t="s">
        <v>3450</v>
      </c>
      <c r="D631" s="0" t="s">
        <v>3448</v>
      </c>
      <c r="E631" s="18" t="s">
        <v>24</v>
      </c>
      <c r="F631" s="18" t="s">
        <v>28</v>
      </c>
      <c r="H631" s="21" t="s">
        <v>24</v>
      </c>
      <c r="I631" s="21" t="s">
        <v>24</v>
      </c>
      <c r="J631" s="21" t="s">
        <v>24</v>
      </c>
      <c r="K631" s="21" t="s">
        <v>24</v>
      </c>
      <c r="L631" s="21" t="s">
        <v>24</v>
      </c>
      <c r="M631" s="0" t="n">
        <v>183</v>
      </c>
      <c r="N631" s="0" t="n">
        <v>0</v>
      </c>
      <c r="Q631" s="0" t="n">
        <v>0</v>
      </c>
      <c r="S631" s="0" t="n">
        <v>0</v>
      </c>
      <c r="U631" s="22" t="b">
        <f aca="false">FALSE()</f>
        <v>0</v>
      </c>
      <c r="V631" s="0" t="n">
        <v>0.86</v>
      </c>
      <c r="W631" s="0" t="n">
        <v>0.32</v>
      </c>
      <c r="X631" s="0" t="n">
        <v>12.19</v>
      </c>
      <c r="Y631" s="0" t="n">
        <v>395.47</v>
      </c>
      <c r="Z631" s="0" t="n">
        <v>8</v>
      </c>
      <c r="AA631" s="0" t="n">
        <v>13.95</v>
      </c>
      <c r="AB631" s="0" t="n">
        <v>4.73</v>
      </c>
      <c r="AC631" s="22" t="b">
        <f aca="false">FALSE()</f>
        <v>0</v>
      </c>
      <c r="AD631" s="0" t="n">
        <v>12.76</v>
      </c>
      <c r="AE631" s="0" t="n">
        <v>0.56</v>
      </c>
      <c r="AF631" s="0" t="n">
        <v>6.34</v>
      </c>
      <c r="AG631" s="22" t="b">
        <f aca="false">TRUE()</f>
        <v>1</v>
      </c>
      <c r="AH631" s="0" t="n">
        <v>1</v>
      </c>
    </row>
    <row r="632" customFormat="false" ht="15" hidden="false" customHeight="false" outlineLevel="0" collapsed="false">
      <c r="A632" s="0" t="s">
        <v>1096</v>
      </c>
      <c r="B632" s="0" t="s">
        <v>134</v>
      </c>
      <c r="C632" s="0" t="s">
        <v>3447</v>
      </c>
      <c r="D632" s="0" t="s">
        <v>3457</v>
      </c>
      <c r="E632" s="18" t="s">
        <v>24</v>
      </c>
      <c r="F632" s="23" t="s">
        <v>30</v>
      </c>
      <c r="G632" s="21" t="s">
        <v>30</v>
      </c>
      <c r="H632" s="21" t="s">
        <v>24</v>
      </c>
      <c r="I632" s="21" t="s">
        <v>24</v>
      </c>
      <c r="J632" s="21" t="s">
        <v>24</v>
      </c>
      <c r="K632" s="21" t="s">
        <v>24</v>
      </c>
      <c r="L632" s="21" t="s">
        <v>24</v>
      </c>
      <c r="M632" s="0" t="n">
        <v>184</v>
      </c>
      <c r="N632" s="0" t="n">
        <v>4</v>
      </c>
      <c r="O632" s="21" t="s">
        <v>3643</v>
      </c>
      <c r="P632" s="21" t="s">
        <v>4508</v>
      </c>
      <c r="Q632" s="0" t="n">
        <v>0</v>
      </c>
      <c r="S632" s="0" t="n">
        <v>4</v>
      </c>
      <c r="T632" s="21" t="s">
        <v>3643</v>
      </c>
      <c r="U632" s="22" t="b">
        <f aca="false">TRUE()</f>
        <v>1</v>
      </c>
      <c r="V632" s="0" t="n">
        <v>0.76</v>
      </c>
      <c r="W632" s="0" t="n">
        <v>0.92</v>
      </c>
      <c r="X632" s="0" t="n">
        <v>10.82</v>
      </c>
      <c r="Y632" s="0" t="n">
        <v>291.71</v>
      </c>
      <c r="Z632" s="0" t="n">
        <v>8</v>
      </c>
      <c r="AA632" s="0" t="n">
        <v>3.88</v>
      </c>
      <c r="AB632" s="0" t="n">
        <v>3.4</v>
      </c>
      <c r="AC632" s="22" t="b">
        <f aca="false">FALSE()</f>
        <v>0</v>
      </c>
      <c r="AD632" s="0" t="n">
        <v>6.17</v>
      </c>
      <c r="AE632" s="0" t="n">
        <v>0.95</v>
      </c>
      <c r="AF632" s="0" t="n">
        <v>1.78</v>
      </c>
      <c r="AG632" s="22" t="b">
        <f aca="false">FALSE()</f>
        <v>0</v>
      </c>
      <c r="AH632" s="0" t="n">
        <v>1</v>
      </c>
    </row>
    <row r="633" customFormat="false" ht="15" hidden="false" customHeight="false" outlineLevel="0" collapsed="false">
      <c r="A633" s="0" t="s">
        <v>1096</v>
      </c>
      <c r="B633" s="0" t="s">
        <v>134</v>
      </c>
      <c r="C633" s="0" t="s">
        <v>3447</v>
      </c>
      <c r="D633" s="0" t="s">
        <v>3448</v>
      </c>
      <c r="E633" s="18" t="s">
        <v>24</v>
      </c>
      <c r="F633" s="23" t="s">
        <v>30</v>
      </c>
      <c r="G633" s="21" t="s">
        <v>30</v>
      </c>
      <c r="H633" s="21" t="s">
        <v>24</v>
      </c>
      <c r="I633" s="21" t="s">
        <v>24</v>
      </c>
      <c r="J633" s="21" t="s">
        <v>24</v>
      </c>
      <c r="K633" s="21" t="s">
        <v>24</v>
      </c>
      <c r="L633" s="21" t="s">
        <v>24</v>
      </c>
      <c r="M633" s="0" t="n">
        <v>183</v>
      </c>
      <c r="N633" s="0" t="n">
        <v>3</v>
      </c>
      <c r="O633" s="21" t="s">
        <v>3557</v>
      </c>
      <c r="P633" s="21" t="s">
        <v>4509</v>
      </c>
      <c r="Q633" s="0" t="n">
        <v>0</v>
      </c>
      <c r="S633" s="0" t="n">
        <v>3</v>
      </c>
      <c r="T633" s="21" t="s">
        <v>3557</v>
      </c>
      <c r="U633" s="22" t="b">
        <f aca="false">TRUE()</f>
        <v>1</v>
      </c>
      <c r="V633" s="0" t="n">
        <v>0.78</v>
      </c>
      <c r="W633" s="0" t="n">
        <v>0.32</v>
      </c>
      <c r="X633" s="0" t="n">
        <v>11.45</v>
      </c>
      <c r="Y633" s="0" t="n">
        <v>397.69</v>
      </c>
      <c r="Z633" s="0" t="n">
        <v>8.25</v>
      </c>
      <c r="AA633" s="0" t="n">
        <v>8.59</v>
      </c>
      <c r="AB633" s="0" t="n">
        <v>4.73</v>
      </c>
      <c r="AC633" s="22" t="b">
        <f aca="false">FALSE()</f>
        <v>0</v>
      </c>
      <c r="AD633" s="0" t="n">
        <v>11.36</v>
      </c>
      <c r="AE633" s="0" t="n">
        <v>1.27</v>
      </c>
      <c r="AF633" s="0" t="n">
        <v>6.02</v>
      </c>
      <c r="AG633" s="22" t="b">
        <f aca="false">TRUE()</f>
        <v>1</v>
      </c>
      <c r="AH633" s="0" t="n">
        <v>1</v>
      </c>
    </row>
    <row r="634" customFormat="false" ht="15" hidden="false" customHeight="false" outlineLevel="0" collapsed="false">
      <c r="A634" s="0" t="s">
        <v>1096</v>
      </c>
      <c r="B634" s="0" t="s">
        <v>3459</v>
      </c>
      <c r="C634" s="0" t="s">
        <v>3450</v>
      </c>
      <c r="D634" s="0" t="s">
        <v>3457</v>
      </c>
      <c r="E634" s="18" t="s">
        <v>24</v>
      </c>
      <c r="F634" s="18" t="s">
        <v>28</v>
      </c>
      <c r="H634" s="21" t="s">
        <v>24</v>
      </c>
      <c r="I634" s="21" t="s">
        <v>24</v>
      </c>
      <c r="J634" s="21" t="s">
        <v>24</v>
      </c>
      <c r="K634" s="21" t="s">
        <v>24</v>
      </c>
      <c r="L634" s="21" t="s">
        <v>24</v>
      </c>
      <c r="M634" s="0" t="n">
        <v>186</v>
      </c>
      <c r="N634" s="0" t="n">
        <v>0</v>
      </c>
      <c r="Q634" s="0" t="n">
        <v>0</v>
      </c>
      <c r="S634" s="0" t="n">
        <v>0</v>
      </c>
      <c r="U634" s="22" t="b">
        <f aca="false">FALSE()</f>
        <v>0</v>
      </c>
      <c r="V634" s="0" t="n">
        <v>0.81</v>
      </c>
      <c r="W634" s="0" t="n">
        <v>0.72</v>
      </c>
      <c r="X634" s="0" t="n">
        <v>11.19</v>
      </c>
      <c r="Y634" s="0" t="n">
        <v>321.29</v>
      </c>
      <c r="Z634" s="0" t="n">
        <v>8</v>
      </c>
      <c r="AA634" s="0" t="n">
        <v>4.53</v>
      </c>
      <c r="AB634" s="0" t="n">
        <v>5.58</v>
      </c>
      <c r="AC634" s="22" t="b">
        <f aca="false">FALSE()</f>
        <v>0</v>
      </c>
      <c r="AD634" s="0" t="n">
        <v>7.19</v>
      </c>
      <c r="AE634" s="0" t="n">
        <v>1.41</v>
      </c>
      <c r="AF634" s="0" t="n">
        <v>10.78</v>
      </c>
      <c r="AG634" s="22" t="b">
        <f aca="false">FALSE()</f>
        <v>0</v>
      </c>
      <c r="AH634" s="0" t="n">
        <v>1</v>
      </c>
    </row>
    <row r="635" customFormat="false" ht="15" hidden="false" customHeight="false" outlineLevel="0" collapsed="false">
      <c r="A635" s="0" t="s">
        <v>1096</v>
      </c>
      <c r="B635" s="0" t="s">
        <v>3459</v>
      </c>
      <c r="C635" s="0" t="s">
        <v>3450</v>
      </c>
      <c r="D635" s="0" t="s">
        <v>3448</v>
      </c>
      <c r="E635" s="20" t="s">
        <v>25</v>
      </c>
      <c r="F635" s="20" t="s">
        <v>29</v>
      </c>
      <c r="G635" s="21" t="s">
        <v>63</v>
      </c>
      <c r="H635" s="21" t="s">
        <v>24</v>
      </c>
      <c r="I635" s="21" t="s">
        <v>24</v>
      </c>
      <c r="J635" s="21" t="s">
        <v>24</v>
      </c>
      <c r="K635" s="21" t="s">
        <v>25</v>
      </c>
      <c r="L635" s="21" t="s">
        <v>24</v>
      </c>
      <c r="M635" s="0" t="n">
        <v>185</v>
      </c>
      <c r="N635" s="0" t="n">
        <v>0</v>
      </c>
      <c r="Q635" s="0" t="n">
        <v>0</v>
      </c>
      <c r="S635" s="0" t="n">
        <v>0</v>
      </c>
      <c r="U635" s="22" t="b">
        <f aca="false">FALSE()</f>
        <v>0</v>
      </c>
      <c r="V635" s="0" t="n">
        <v>0.85</v>
      </c>
      <c r="W635" s="0" t="n">
        <v>0.96</v>
      </c>
      <c r="X635" s="0" t="n">
        <v>12.48</v>
      </c>
      <c r="Y635" s="0" t="n">
        <v>304.79</v>
      </c>
      <c r="Z635" s="0" t="n">
        <v>8</v>
      </c>
      <c r="AA635" s="0" t="n">
        <v>11.75</v>
      </c>
      <c r="AB635" s="0" t="n">
        <v>1.25</v>
      </c>
      <c r="AC635" s="22" t="b">
        <f aca="false">FALSE()</f>
        <v>0</v>
      </c>
      <c r="AD635" s="0" t="n">
        <v>9.21</v>
      </c>
      <c r="AE635" s="0" t="n">
        <v>2.25</v>
      </c>
      <c r="AF635" s="0" t="n">
        <v>11.45</v>
      </c>
      <c r="AG635" s="22" t="b">
        <f aca="false">FALSE()</f>
        <v>0</v>
      </c>
      <c r="AH635" s="0" t="n">
        <v>1</v>
      </c>
    </row>
    <row r="636" customFormat="false" ht="15" hidden="false" customHeight="false" outlineLevel="0" collapsed="false">
      <c r="A636" s="0" t="s">
        <v>1096</v>
      </c>
      <c r="B636" s="0" t="s">
        <v>3459</v>
      </c>
      <c r="C636" s="0" t="s">
        <v>3447</v>
      </c>
      <c r="D636" s="0" t="s">
        <v>3457</v>
      </c>
      <c r="E636" s="20" t="s">
        <v>25</v>
      </c>
      <c r="F636" s="23" t="s">
        <v>30</v>
      </c>
      <c r="G636" s="21" t="s">
        <v>283</v>
      </c>
      <c r="H636" s="21" t="s">
        <v>24</v>
      </c>
      <c r="I636" s="21" t="s">
        <v>25</v>
      </c>
      <c r="J636" s="21" t="s">
        <v>24</v>
      </c>
      <c r="K636" s="21" t="s">
        <v>24</v>
      </c>
      <c r="L636" s="21" t="s">
        <v>24</v>
      </c>
      <c r="M636" s="0" t="n">
        <v>185</v>
      </c>
      <c r="N636" s="0" t="n">
        <v>4</v>
      </c>
      <c r="O636" s="21" t="s">
        <v>3751</v>
      </c>
      <c r="P636" s="21" t="s">
        <v>4510</v>
      </c>
      <c r="Q636" s="0" t="n">
        <v>1</v>
      </c>
      <c r="R636" s="21" t="s">
        <v>69</v>
      </c>
      <c r="S636" s="0" t="n">
        <v>4</v>
      </c>
      <c r="T636" s="21" t="s">
        <v>3751</v>
      </c>
      <c r="U636" s="22" t="b">
        <f aca="false">TRUE()</f>
        <v>1</v>
      </c>
      <c r="V636" s="0" t="n">
        <v>0.76</v>
      </c>
      <c r="W636" s="0" t="n">
        <v>0.64</v>
      </c>
      <c r="X636" s="0" t="n">
        <v>11.96</v>
      </c>
      <c r="Y636" s="0" t="n">
        <v>324.41</v>
      </c>
      <c r="Z636" s="0" t="n">
        <v>8.08</v>
      </c>
      <c r="AA636" s="0" t="n">
        <v>3.3</v>
      </c>
      <c r="AB636" s="0" t="n">
        <v>5.58</v>
      </c>
      <c r="AC636" s="22" t="b">
        <f aca="false">FALSE()</f>
        <v>0</v>
      </c>
      <c r="AD636" s="0" t="n">
        <v>11.99</v>
      </c>
      <c r="AE636" s="0" t="n">
        <v>3.18</v>
      </c>
      <c r="AF636" s="0" t="n">
        <v>13.08</v>
      </c>
      <c r="AG636" s="22" t="b">
        <f aca="false">TRUE()</f>
        <v>1</v>
      </c>
      <c r="AH636" s="0" t="n">
        <v>1</v>
      </c>
    </row>
    <row r="637" customFormat="false" ht="15" hidden="false" customHeight="false" outlineLevel="0" collapsed="false">
      <c r="A637" s="0" t="s">
        <v>1096</v>
      </c>
      <c r="B637" s="0" t="s">
        <v>3459</v>
      </c>
      <c r="C637" s="0" t="s">
        <v>3447</v>
      </c>
      <c r="D637" s="0" t="s">
        <v>3448</v>
      </c>
      <c r="E637" s="20" t="s">
        <v>25</v>
      </c>
      <c r="F637" s="23" t="s">
        <v>30</v>
      </c>
      <c r="G637" s="21" t="s">
        <v>1099</v>
      </c>
      <c r="H637" s="21" t="s">
        <v>24</v>
      </c>
      <c r="I637" s="21" t="s">
        <v>25</v>
      </c>
      <c r="J637" s="21" t="s">
        <v>24</v>
      </c>
      <c r="K637" s="21" t="s">
        <v>25</v>
      </c>
      <c r="L637" s="21" t="s">
        <v>24</v>
      </c>
      <c r="M637" s="0" t="n">
        <v>186</v>
      </c>
      <c r="N637" s="0" t="n">
        <v>1</v>
      </c>
      <c r="O637" s="21" t="s">
        <v>69</v>
      </c>
      <c r="P637" s="21" t="s">
        <v>4275</v>
      </c>
      <c r="Q637" s="0" t="n">
        <v>1</v>
      </c>
      <c r="R637" s="21" t="s">
        <v>69</v>
      </c>
      <c r="S637" s="0" t="n">
        <v>1</v>
      </c>
      <c r="T637" s="21" t="s">
        <v>69</v>
      </c>
      <c r="U637" s="22" t="b">
        <f aca="false">TRUE()</f>
        <v>1</v>
      </c>
      <c r="V637" s="0" t="n">
        <v>0.76</v>
      </c>
      <c r="W637" s="0" t="n">
        <v>0.84</v>
      </c>
      <c r="X637" s="0" t="n">
        <v>11.79</v>
      </c>
      <c r="Y637" s="0" t="n">
        <v>317.57</v>
      </c>
      <c r="Z637" s="0" t="n">
        <v>8</v>
      </c>
      <c r="AA637" s="0" t="n">
        <v>-0.54</v>
      </c>
      <c r="AB637" s="0" t="n">
        <v>1.25</v>
      </c>
      <c r="AC637" s="22" t="b">
        <f aca="false">FALSE()</f>
        <v>0</v>
      </c>
      <c r="AD637" s="0" t="n">
        <v>4.54</v>
      </c>
      <c r="AE637" s="0" t="n">
        <v>0.63</v>
      </c>
      <c r="AF637" s="0" t="n">
        <v>8.76</v>
      </c>
      <c r="AG637" s="22" t="b">
        <f aca="false">FALSE()</f>
        <v>0</v>
      </c>
      <c r="AH637" s="0" t="n">
        <v>1</v>
      </c>
    </row>
    <row r="638" customFormat="false" ht="15" hidden="false" customHeight="false" outlineLevel="0" collapsed="false">
      <c r="A638" s="0" t="s">
        <v>1103</v>
      </c>
      <c r="B638" s="0" t="s">
        <v>134</v>
      </c>
      <c r="C638" s="0" t="s">
        <v>3450</v>
      </c>
      <c r="D638" s="0" t="s">
        <v>3457</v>
      </c>
      <c r="E638" s="20" t="s">
        <v>25</v>
      </c>
      <c r="F638" s="20" t="s">
        <v>29</v>
      </c>
      <c r="G638" s="21" t="s">
        <v>63</v>
      </c>
      <c r="H638" s="21" t="s">
        <v>24</v>
      </c>
      <c r="I638" s="21" t="s">
        <v>24</v>
      </c>
      <c r="J638" s="21" t="s">
        <v>24</v>
      </c>
      <c r="K638" s="21" t="s">
        <v>25</v>
      </c>
      <c r="L638" s="21" t="s">
        <v>24</v>
      </c>
      <c r="M638" s="0" t="n">
        <v>185</v>
      </c>
      <c r="N638" s="0" t="n">
        <v>0</v>
      </c>
      <c r="Q638" s="0" t="n">
        <v>0</v>
      </c>
      <c r="S638" s="0" t="n">
        <v>0</v>
      </c>
      <c r="U638" s="22" t="b">
        <f aca="false">FALSE()</f>
        <v>0</v>
      </c>
      <c r="V638" s="0" t="n">
        <v>0.75</v>
      </c>
      <c r="W638" s="0" t="n">
        <v>0.32</v>
      </c>
      <c r="X638" s="0" t="n">
        <v>5.84</v>
      </c>
      <c r="Y638" s="0" t="n">
        <v>388.02</v>
      </c>
      <c r="Z638" s="0" t="n">
        <v>10.25</v>
      </c>
      <c r="AA638" s="0" t="n">
        <v>5.44</v>
      </c>
      <c r="AB638" s="0" t="n">
        <v>1.27</v>
      </c>
      <c r="AC638" s="22" t="b">
        <f aca="false">FALSE()</f>
        <v>0</v>
      </c>
      <c r="AD638" s="0" t="n">
        <v>8.13</v>
      </c>
      <c r="AE638" s="0" t="n">
        <v>1.8</v>
      </c>
      <c r="AF638" s="0" t="n">
        <v>4.99</v>
      </c>
      <c r="AG638" s="22" t="b">
        <f aca="false">FALSE()</f>
        <v>0</v>
      </c>
      <c r="AH638" s="0" t="n">
        <v>1</v>
      </c>
    </row>
    <row r="639" customFormat="false" ht="15" hidden="false" customHeight="false" outlineLevel="0" collapsed="false">
      <c r="A639" s="0" t="s">
        <v>1103</v>
      </c>
      <c r="B639" s="0" t="s">
        <v>134</v>
      </c>
      <c r="C639" s="0" t="s">
        <v>3450</v>
      </c>
      <c r="D639" s="0" t="s">
        <v>3448</v>
      </c>
      <c r="E639" s="20" t="s">
        <v>25</v>
      </c>
      <c r="F639" s="20" t="s">
        <v>29</v>
      </c>
      <c r="G639" s="21" t="s">
        <v>62</v>
      </c>
      <c r="H639" s="21" t="s">
        <v>24</v>
      </c>
      <c r="I639" s="21" t="s">
        <v>24</v>
      </c>
      <c r="J639" s="21" t="s">
        <v>24</v>
      </c>
      <c r="K639" s="21" t="s">
        <v>25</v>
      </c>
      <c r="L639" s="21" t="s">
        <v>24</v>
      </c>
      <c r="M639" s="0" t="n">
        <v>196</v>
      </c>
      <c r="N639" s="0" t="n">
        <v>0</v>
      </c>
      <c r="Q639" s="0" t="n">
        <v>0</v>
      </c>
      <c r="S639" s="0" t="n">
        <v>0</v>
      </c>
      <c r="U639" s="22" t="b">
        <f aca="false">FALSE()</f>
        <v>0</v>
      </c>
      <c r="V639" s="0" t="n">
        <v>0.77</v>
      </c>
      <c r="W639" s="0" t="n">
        <v>0.6</v>
      </c>
      <c r="X639" s="0" t="n">
        <v>5.6</v>
      </c>
      <c r="Y639" s="0" t="n">
        <v>344.28</v>
      </c>
      <c r="Z639" s="0" t="n">
        <v>8.25</v>
      </c>
      <c r="AA639" s="0" t="n">
        <v>-0.52</v>
      </c>
      <c r="AB639" s="0" t="n">
        <v>2.47</v>
      </c>
      <c r="AC639" s="22" t="b">
        <f aca="false">FALSE()</f>
        <v>0</v>
      </c>
      <c r="AD639" s="0" t="n">
        <v>5.42</v>
      </c>
      <c r="AE639" s="0" t="n">
        <v>0.61</v>
      </c>
      <c r="AF639" s="0" t="n">
        <v>5.2</v>
      </c>
      <c r="AG639" s="22" t="b">
        <f aca="false">FALSE()</f>
        <v>0</v>
      </c>
      <c r="AH639" s="0" t="n">
        <v>1</v>
      </c>
    </row>
    <row r="640" customFormat="false" ht="15" hidden="false" customHeight="false" outlineLevel="0" collapsed="false">
      <c r="A640" s="0" t="s">
        <v>1103</v>
      </c>
      <c r="B640" s="0" t="s">
        <v>134</v>
      </c>
      <c r="C640" s="0" t="s">
        <v>3447</v>
      </c>
      <c r="D640" s="0" t="s">
        <v>3457</v>
      </c>
      <c r="E640" s="20" t="s">
        <v>25</v>
      </c>
      <c r="F640" s="23" t="s">
        <v>30</v>
      </c>
      <c r="G640" s="21" t="s">
        <v>2133</v>
      </c>
      <c r="H640" s="21" t="s">
        <v>24</v>
      </c>
      <c r="I640" s="21" t="s">
        <v>24</v>
      </c>
      <c r="J640" s="21" t="s">
        <v>24</v>
      </c>
      <c r="K640" s="21" t="s">
        <v>25</v>
      </c>
      <c r="L640" s="21" t="s">
        <v>24</v>
      </c>
      <c r="M640" s="0" t="n">
        <v>187</v>
      </c>
      <c r="N640" s="0" t="n">
        <v>3</v>
      </c>
      <c r="O640" s="21" t="s">
        <v>3582</v>
      </c>
      <c r="P640" s="21" t="s">
        <v>4511</v>
      </c>
      <c r="Q640" s="0" t="n">
        <v>0</v>
      </c>
      <c r="S640" s="0" t="n">
        <v>3</v>
      </c>
      <c r="T640" s="21" t="s">
        <v>3582</v>
      </c>
      <c r="U640" s="22" t="b">
        <f aca="false">TRUE()</f>
        <v>1</v>
      </c>
      <c r="V640" s="0" t="n">
        <v>0.73</v>
      </c>
      <c r="W640" s="0" t="n">
        <v>0.68</v>
      </c>
      <c r="X640" s="0" t="n">
        <v>6.65</v>
      </c>
      <c r="Y640" s="0" t="n">
        <v>313.87</v>
      </c>
      <c r="Z640" s="0" t="n">
        <v>10.58</v>
      </c>
      <c r="AA640" s="0" t="n">
        <v>0.54</v>
      </c>
      <c r="AB640" s="0" t="n">
        <v>1.27</v>
      </c>
      <c r="AC640" s="22" t="b">
        <f aca="false">FALSE()</f>
        <v>0</v>
      </c>
      <c r="AD640" s="0" t="n">
        <v>9.68</v>
      </c>
      <c r="AE640" s="0" t="n">
        <v>-0.94</v>
      </c>
      <c r="AF640" s="0" t="n">
        <v>4.4</v>
      </c>
      <c r="AG640" s="22" t="b">
        <f aca="false">FALSE()</f>
        <v>0</v>
      </c>
      <c r="AH640" s="0" t="n">
        <v>1</v>
      </c>
    </row>
    <row r="641" customFormat="false" ht="15" hidden="false" customHeight="false" outlineLevel="0" collapsed="false">
      <c r="A641" s="0" t="s">
        <v>1103</v>
      </c>
      <c r="B641" s="0" t="s">
        <v>134</v>
      </c>
      <c r="C641" s="0" t="s">
        <v>3447</v>
      </c>
      <c r="D641" s="0" t="s">
        <v>3448</v>
      </c>
      <c r="E641" s="18" t="s">
        <v>24</v>
      </c>
      <c r="F641" s="18" t="s">
        <v>28</v>
      </c>
      <c r="H641" s="21" t="s">
        <v>24</v>
      </c>
      <c r="I641" s="21" t="s">
        <v>24</v>
      </c>
      <c r="J641" s="21" t="s">
        <v>24</v>
      </c>
      <c r="K641" s="21" t="s">
        <v>24</v>
      </c>
      <c r="L641" s="21" t="s">
        <v>24</v>
      </c>
      <c r="M641" s="0" t="n">
        <v>192</v>
      </c>
      <c r="N641" s="0" t="n">
        <v>0</v>
      </c>
      <c r="Q641" s="0" t="n">
        <v>0</v>
      </c>
      <c r="S641" s="0" t="n">
        <v>0</v>
      </c>
      <c r="U641" s="22" t="b">
        <f aca="false">FALSE()</f>
        <v>0</v>
      </c>
      <c r="V641" s="0" t="n">
        <v>0.75</v>
      </c>
      <c r="W641" s="0" t="n">
        <v>0.4</v>
      </c>
      <c r="X641" s="0" t="n">
        <v>6.66</v>
      </c>
      <c r="Y641" s="0" t="n">
        <v>375.37</v>
      </c>
      <c r="Z641" s="0" t="n">
        <v>8.25</v>
      </c>
      <c r="AA641" s="0" t="n">
        <v>0.28</v>
      </c>
      <c r="AB641" s="0" t="n">
        <v>2.47</v>
      </c>
      <c r="AC641" s="22" t="b">
        <f aca="false">FALSE()</f>
        <v>0</v>
      </c>
      <c r="AD641" s="0" t="n">
        <v>6.22</v>
      </c>
      <c r="AE641" s="0" t="n">
        <v>-0.53</v>
      </c>
      <c r="AF641" s="0" t="n">
        <v>5.41</v>
      </c>
      <c r="AG641" s="22" t="b">
        <f aca="false">FALSE()</f>
        <v>0</v>
      </c>
      <c r="AH641" s="0" t="n">
        <v>1</v>
      </c>
    </row>
    <row r="642" customFormat="false" ht="15" hidden="false" customHeight="false" outlineLevel="0" collapsed="false">
      <c r="A642" s="0" t="s">
        <v>1103</v>
      </c>
      <c r="B642" s="0" t="s">
        <v>3459</v>
      </c>
      <c r="C642" s="0" t="s">
        <v>3450</v>
      </c>
      <c r="D642" s="0" t="s">
        <v>3457</v>
      </c>
      <c r="E642" s="20" t="s">
        <v>25</v>
      </c>
      <c r="F642" s="20" t="s">
        <v>29</v>
      </c>
      <c r="G642" s="21" t="s">
        <v>62</v>
      </c>
      <c r="H642" s="21" t="s">
        <v>24</v>
      </c>
      <c r="I642" s="21" t="s">
        <v>24</v>
      </c>
      <c r="J642" s="21" t="s">
        <v>24</v>
      </c>
      <c r="K642" s="21" t="s">
        <v>25</v>
      </c>
      <c r="L642" s="21" t="s">
        <v>24</v>
      </c>
      <c r="M642" s="0" t="n">
        <v>194</v>
      </c>
      <c r="N642" s="0" t="n">
        <v>0</v>
      </c>
      <c r="Q642" s="0" t="n">
        <v>0</v>
      </c>
      <c r="S642" s="0" t="n">
        <v>0</v>
      </c>
      <c r="U642" s="22" t="b">
        <f aca="false">FALSE()</f>
        <v>0</v>
      </c>
      <c r="V642" s="0" t="n">
        <v>0.71</v>
      </c>
      <c r="W642" s="0" t="n">
        <v>0.68</v>
      </c>
      <c r="X642" s="0" t="n">
        <v>5.77</v>
      </c>
      <c r="Y642" s="0" t="n">
        <v>339.81</v>
      </c>
      <c r="Z642" s="0" t="n">
        <v>8</v>
      </c>
      <c r="AA642" s="0" t="n">
        <v>-0.83</v>
      </c>
      <c r="AB642" s="0" t="n">
        <v>7.56</v>
      </c>
      <c r="AC642" s="22" t="b">
        <f aca="false">FALSE()</f>
        <v>0</v>
      </c>
      <c r="AD642" s="0" t="n">
        <v>17.52</v>
      </c>
      <c r="AE642" s="0" t="n">
        <v>7.74</v>
      </c>
      <c r="AF642" s="0" t="n">
        <v>15.39</v>
      </c>
      <c r="AG642" s="22" t="b">
        <f aca="false">TRUE()</f>
        <v>1</v>
      </c>
      <c r="AH642" s="0" t="n">
        <v>1</v>
      </c>
    </row>
    <row r="643" customFormat="false" ht="15" hidden="false" customHeight="false" outlineLevel="0" collapsed="false">
      <c r="A643" s="0" t="s">
        <v>1103</v>
      </c>
      <c r="B643" s="0" t="s">
        <v>3459</v>
      </c>
      <c r="C643" s="0" t="s">
        <v>3450</v>
      </c>
      <c r="D643" s="0" t="s">
        <v>3448</v>
      </c>
      <c r="E643" s="20" t="s">
        <v>25</v>
      </c>
      <c r="F643" s="20" t="s">
        <v>29</v>
      </c>
      <c r="G643" s="21" t="s">
        <v>62</v>
      </c>
      <c r="H643" s="21" t="s">
        <v>24</v>
      </c>
      <c r="I643" s="21" t="s">
        <v>24</v>
      </c>
      <c r="J643" s="21" t="s">
        <v>24</v>
      </c>
      <c r="K643" s="21" t="s">
        <v>25</v>
      </c>
      <c r="L643" s="21" t="s">
        <v>24</v>
      </c>
      <c r="M643" s="0" t="n">
        <v>182</v>
      </c>
      <c r="N643" s="0" t="n">
        <v>0</v>
      </c>
      <c r="Q643" s="0" t="n">
        <v>0</v>
      </c>
      <c r="S643" s="0" t="n">
        <v>0</v>
      </c>
      <c r="U643" s="22" t="b">
        <f aca="false">FALSE()</f>
        <v>0</v>
      </c>
      <c r="V643" s="0" t="n">
        <v>0.73</v>
      </c>
      <c r="W643" s="0" t="n">
        <v>0.84</v>
      </c>
      <c r="X643" s="0" t="n">
        <v>4.99</v>
      </c>
      <c r="Y643" s="0" t="n">
        <v>317.78</v>
      </c>
      <c r="Z643" s="0" t="n">
        <v>8</v>
      </c>
      <c r="AA643" s="0" t="n">
        <v>-0.98</v>
      </c>
      <c r="AB643" s="0" t="n">
        <v>6.59</v>
      </c>
      <c r="AC643" s="22" t="b">
        <f aca="false">FALSE()</f>
        <v>0</v>
      </c>
      <c r="AD643" s="0" t="n">
        <v>13.92</v>
      </c>
      <c r="AE643" s="0" t="n">
        <v>5.5</v>
      </c>
      <c r="AF643" s="0" t="n">
        <v>13.24</v>
      </c>
      <c r="AG643" s="22" t="b">
        <f aca="false">TRUE()</f>
        <v>1</v>
      </c>
      <c r="AH643" s="0" t="n">
        <v>1</v>
      </c>
    </row>
    <row r="644" customFormat="false" ht="15" hidden="false" customHeight="false" outlineLevel="0" collapsed="false">
      <c r="A644" s="0" t="s">
        <v>1103</v>
      </c>
      <c r="B644" s="0" t="s">
        <v>3459</v>
      </c>
      <c r="C644" s="0" t="s">
        <v>3447</v>
      </c>
      <c r="D644" s="0" t="s">
        <v>3457</v>
      </c>
      <c r="E644" s="20" t="s">
        <v>25</v>
      </c>
      <c r="F644" s="20" t="s">
        <v>29</v>
      </c>
      <c r="G644" s="21" t="s">
        <v>61</v>
      </c>
      <c r="H644" s="21" t="s">
        <v>24</v>
      </c>
      <c r="I644" s="21" t="s">
        <v>24</v>
      </c>
      <c r="J644" s="21" t="s">
        <v>24</v>
      </c>
      <c r="K644" s="21" t="s">
        <v>25</v>
      </c>
      <c r="L644" s="21" t="s">
        <v>24</v>
      </c>
      <c r="M644" s="0" t="n">
        <v>183</v>
      </c>
      <c r="N644" s="0" t="n">
        <v>0</v>
      </c>
      <c r="Q644" s="0" t="n">
        <v>0</v>
      </c>
      <c r="S644" s="0" t="n">
        <v>0</v>
      </c>
      <c r="U644" s="22" t="b">
        <f aca="false">FALSE()</f>
        <v>0</v>
      </c>
      <c r="V644" s="0" t="n">
        <v>0.75</v>
      </c>
      <c r="W644" s="0" t="n">
        <v>0.92</v>
      </c>
      <c r="X644" s="0" t="n">
        <v>6.27</v>
      </c>
      <c r="Y644" s="0" t="n">
        <v>318.23</v>
      </c>
      <c r="Z644" s="0" t="n">
        <v>9.5</v>
      </c>
      <c r="AA644" s="0" t="n">
        <v>0.59</v>
      </c>
      <c r="AB644" s="0" t="n">
        <v>7.56</v>
      </c>
      <c r="AC644" s="22" t="b">
        <f aca="false">FALSE()</f>
        <v>0</v>
      </c>
      <c r="AD644" s="0" t="n">
        <v>22.28</v>
      </c>
      <c r="AE644" s="0" t="n">
        <v>8.72</v>
      </c>
      <c r="AF644" s="0" t="n">
        <v>15.35</v>
      </c>
      <c r="AG644" s="22" t="b">
        <f aca="false">TRUE()</f>
        <v>1</v>
      </c>
      <c r="AH644" s="0" t="n">
        <v>1</v>
      </c>
    </row>
    <row r="645" customFormat="false" ht="15" hidden="false" customHeight="false" outlineLevel="0" collapsed="false">
      <c r="A645" s="0" t="s">
        <v>1103</v>
      </c>
      <c r="B645" s="0" t="s">
        <v>3459</v>
      </c>
      <c r="C645" s="0" t="s">
        <v>3447</v>
      </c>
      <c r="D645" s="0" t="s">
        <v>3448</v>
      </c>
      <c r="E645" s="18" t="s">
        <v>24</v>
      </c>
      <c r="F645" s="18" t="s">
        <v>28</v>
      </c>
      <c r="H645" s="21" t="s">
        <v>24</v>
      </c>
      <c r="I645" s="21" t="s">
        <v>24</v>
      </c>
      <c r="J645" s="21" t="s">
        <v>24</v>
      </c>
      <c r="K645" s="21" t="s">
        <v>24</v>
      </c>
      <c r="L645" s="21" t="s">
        <v>24</v>
      </c>
      <c r="M645" s="0" t="n">
        <v>188</v>
      </c>
      <c r="N645" s="0" t="n">
        <v>0</v>
      </c>
      <c r="Q645" s="0" t="n">
        <v>0</v>
      </c>
      <c r="S645" s="0" t="n">
        <v>0</v>
      </c>
      <c r="U645" s="22" t="b">
        <f aca="false">FALSE()</f>
        <v>0</v>
      </c>
      <c r="V645" s="0" t="n">
        <v>0.74</v>
      </c>
      <c r="W645" s="0" t="n">
        <v>0.36</v>
      </c>
      <c r="X645" s="0" t="n">
        <v>6.95</v>
      </c>
      <c r="Y645" s="0" t="n">
        <v>383.71</v>
      </c>
      <c r="Z645" s="0" t="n">
        <v>8.25</v>
      </c>
      <c r="AA645" s="0" t="n">
        <v>0.17</v>
      </c>
      <c r="AB645" s="0" t="n">
        <v>6.59</v>
      </c>
      <c r="AC645" s="22" t="b">
        <f aca="false">FALSE()</f>
        <v>0</v>
      </c>
      <c r="AD645" s="0" t="n">
        <v>18</v>
      </c>
      <c r="AE645" s="0" t="n">
        <v>5.93</v>
      </c>
      <c r="AF645" s="0" t="n">
        <v>14.72</v>
      </c>
      <c r="AG645" s="22" t="b">
        <f aca="false">TRUE()</f>
        <v>1</v>
      </c>
      <c r="AH645" s="0" t="n">
        <v>1</v>
      </c>
    </row>
    <row r="646" customFormat="false" ht="15" hidden="false" customHeight="false" outlineLevel="0" collapsed="false">
      <c r="A646" s="0" t="s">
        <v>1110</v>
      </c>
      <c r="B646" s="0" t="s">
        <v>134</v>
      </c>
      <c r="C646" s="0" t="s">
        <v>3450</v>
      </c>
      <c r="D646" s="0" t="s">
        <v>3457</v>
      </c>
      <c r="E646" s="18" t="s">
        <v>24</v>
      </c>
      <c r="F646" s="23" t="s">
        <v>30</v>
      </c>
      <c r="G646" s="21" t="s">
        <v>30</v>
      </c>
      <c r="H646" s="21" t="s">
        <v>24</v>
      </c>
      <c r="I646" s="21" t="s">
        <v>24</v>
      </c>
      <c r="J646" s="21" t="s">
        <v>24</v>
      </c>
      <c r="K646" s="21" t="s">
        <v>24</v>
      </c>
      <c r="L646" s="21" t="s">
        <v>24</v>
      </c>
      <c r="M646" s="0" t="n">
        <v>182</v>
      </c>
      <c r="N646" s="0" t="n">
        <v>1</v>
      </c>
      <c r="O646" s="21" t="s">
        <v>3484</v>
      </c>
      <c r="P646" s="21" t="s">
        <v>4512</v>
      </c>
      <c r="Q646" s="0" t="n">
        <v>0</v>
      </c>
      <c r="S646" s="0" t="n">
        <v>1</v>
      </c>
      <c r="T646" s="21" t="s">
        <v>3484</v>
      </c>
      <c r="U646" s="22" t="b">
        <f aca="false">TRUE()</f>
        <v>1</v>
      </c>
      <c r="V646" s="0" t="n">
        <v>0.68</v>
      </c>
      <c r="W646" s="0" t="n">
        <v>0.36</v>
      </c>
      <c r="X646" s="0" t="n">
        <v>6.39</v>
      </c>
      <c r="Y646" s="0" t="n">
        <v>377.15</v>
      </c>
      <c r="Z646" s="0" t="n">
        <v>11</v>
      </c>
      <c r="AA646" s="0" t="n">
        <v>6.5</v>
      </c>
      <c r="AB646" s="0" t="n">
        <v>11.59</v>
      </c>
      <c r="AC646" s="22" t="b">
        <f aca="false">FALSE()</f>
        <v>0</v>
      </c>
      <c r="AD646" s="0" t="n">
        <v>10.59</v>
      </c>
      <c r="AE646" s="0" t="n">
        <v>0.97</v>
      </c>
      <c r="AF646" s="0" t="n">
        <v>2.89</v>
      </c>
      <c r="AG646" s="22" t="b">
        <f aca="false">TRUE()</f>
        <v>1</v>
      </c>
      <c r="AH646" s="0" t="n">
        <v>1</v>
      </c>
    </row>
    <row r="647" customFormat="false" ht="15" hidden="false" customHeight="false" outlineLevel="0" collapsed="false">
      <c r="A647" s="0" t="s">
        <v>1110</v>
      </c>
      <c r="B647" s="0" t="s">
        <v>134</v>
      </c>
      <c r="C647" s="0" t="s">
        <v>3450</v>
      </c>
      <c r="D647" s="0" t="s">
        <v>3448</v>
      </c>
      <c r="E647" s="19" t="s">
        <v>26</v>
      </c>
      <c r="F647" s="19" t="s">
        <v>32</v>
      </c>
      <c r="G647" s="21" t="s">
        <v>529</v>
      </c>
      <c r="H647" s="21" t="s">
        <v>24</v>
      </c>
      <c r="I647" s="21" t="s">
        <v>26</v>
      </c>
      <c r="J647" s="21" t="s">
        <v>24</v>
      </c>
      <c r="K647" s="21" t="s">
        <v>24</v>
      </c>
      <c r="L647" s="21" t="s">
        <v>24</v>
      </c>
      <c r="M647" s="0" t="n">
        <v>183</v>
      </c>
      <c r="N647" s="0" t="n">
        <v>11</v>
      </c>
      <c r="O647" s="21" t="s">
        <v>4158</v>
      </c>
      <c r="P647" s="21" t="s">
        <v>4513</v>
      </c>
      <c r="Q647" s="0" t="n">
        <v>1</v>
      </c>
      <c r="R647" s="21" t="s">
        <v>69</v>
      </c>
      <c r="S647" s="0" t="n">
        <v>11</v>
      </c>
      <c r="T647" s="21" t="s">
        <v>4158</v>
      </c>
      <c r="U647" s="22" t="b">
        <f aca="false">FALSE()</f>
        <v>0</v>
      </c>
      <c r="V647" s="0" t="n">
        <v>0.64</v>
      </c>
      <c r="W647" s="0" t="n">
        <v>0.16</v>
      </c>
      <c r="X647" s="0" t="n">
        <v>7.65</v>
      </c>
      <c r="Y647" s="0" t="n">
        <v>550.11</v>
      </c>
      <c r="Z647" s="0" t="n">
        <v>11.08</v>
      </c>
      <c r="AA647" s="0" t="n">
        <v>15.07</v>
      </c>
      <c r="AB647" s="0" t="n">
        <v>12.61</v>
      </c>
      <c r="AC647" s="22" t="b">
        <f aca="false">FALSE()</f>
        <v>0</v>
      </c>
      <c r="AD647" s="0" t="n">
        <v>14.25</v>
      </c>
      <c r="AE647" s="0" t="n">
        <v>0.06</v>
      </c>
      <c r="AF647" s="0" t="n">
        <v>3.05</v>
      </c>
      <c r="AG647" s="22" t="b">
        <f aca="false">TRUE()</f>
        <v>1</v>
      </c>
      <c r="AH647" s="0" t="n">
        <v>1</v>
      </c>
    </row>
    <row r="648" customFormat="false" ht="15" hidden="false" customHeight="false" outlineLevel="0" collapsed="false">
      <c r="A648" s="0" t="s">
        <v>1110</v>
      </c>
      <c r="B648" s="0" t="s">
        <v>134</v>
      </c>
      <c r="C648" s="0" t="s">
        <v>3447</v>
      </c>
      <c r="D648" s="0" t="s">
        <v>3457</v>
      </c>
      <c r="E648" s="18" t="s">
        <v>24</v>
      </c>
      <c r="F648" s="23" t="s">
        <v>30</v>
      </c>
      <c r="G648" s="21" t="s">
        <v>30</v>
      </c>
      <c r="H648" s="21" t="s">
        <v>24</v>
      </c>
      <c r="I648" s="21" t="s">
        <v>24</v>
      </c>
      <c r="J648" s="21" t="s">
        <v>24</v>
      </c>
      <c r="K648" s="21" t="s">
        <v>24</v>
      </c>
      <c r="L648" s="21" t="s">
        <v>24</v>
      </c>
      <c r="M648" s="0" t="n">
        <v>183</v>
      </c>
      <c r="N648" s="0" t="n">
        <v>1</v>
      </c>
      <c r="O648" s="21" t="s">
        <v>3495</v>
      </c>
      <c r="P648" s="21" t="s">
        <v>4514</v>
      </c>
      <c r="Q648" s="0" t="n">
        <v>0</v>
      </c>
      <c r="S648" s="0" t="n">
        <v>1</v>
      </c>
      <c r="T648" s="21" t="s">
        <v>3495</v>
      </c>
      <c r="U648" s="22" t="b">
        <f aca="false">TRUE()</f>
        <v>1</v>
      </c>
      <c r="V648" s="0" t="n">
        <v>0.73</v>
      </c>
      <c r="W648" s="0" t="n">
        <v>0.84</v>
      </c>
      <c r="X648" s="0" t="n">
        <v>9.49</v>
      </c>
      <c r="Y648" s="0" t="n">
        <v>319.68</v>
      </c>
      <c r="Z648" s="0" t="n">
        <v>9.17</v>
      </c>
      <c r="AA648" s="0" t="n">
        <v>-1.9</v>
      </c>
      <c r="AB648" s="0" t="n">
        <v>11.59</v>
      </c>
      <c r="AC648" s="22" t="b">
        <f aca="false">FALSE()</f>
        <v>0</v>
      </c>
      <c r="AD648" s="0" t="n">
        <v>10.41</v>
      </c>
      <c r="AE648" s="0" t="n">
        <v>1.87</v>
      </c>
      <c r="AF648" s="0" t="n">
        <v>1.39</v>
      </c>
      <c r="AG648" s="22" t="b">
        <f aca="false">TRUE()</f>
        <v>1</v>
      </c>
      <c r="AH648" s="0" t="n">
        <v>1</v>
      </c>
    </row>
    <row r="649" customFormat="false" ht="15" hidden="false" customHeight="false" outlineLevel="0" collapsed="false">
      <c r="A649" s="0" t="s">
        <v>1110</v>
      </c>
      <c r="B649" s="0" t="s">
        <v>134</v>
      </c>
      <c r="C649" s="0" t="s">
        <v>3447</v>
      </c>
      <c r="D649" s="0" t="s">
        <v>3448</v>
      </c>
      <c r="E649" s="18" t="s">
        <v>24</v>
      </c>
      <c r="F649" s="23" t="s">
        <v>30</v>
      </c>
      <c r="G649" s="21" t="s">
        <v>30</v>
      </c>
      <c r="H649" s="21" t="s">
        <v>24</v>
      </c>
      <c r="I649" s="21" t="s">
        <v>24</v>
      </c>
      <c r="J649" s="21" t="s">
        <v>24</v>
      </c>
      <c r="K649" s="21" t="s">
        <v>24</v>
      </c>
      <c r="L649" s="21" t="s">
        <v>24</v>
      </c>
      <c r="M649" s="0" t="n">
        <v>195</v>
      </c>
      <c r="N649" s="0" t="n">
        <v>6</v>
      </c>
      <c r="O649" s="21" t="s">
        <v>3750</v>
      </c>
      <c r="P649" s="21" t="s">
        <v>4515</v>
      </c>
      <c r="Q649" s="0" t="n">
        <v>0</v>
      </c>
      <c r="S649" s="0" t="n">
        <v>6</v>
      </c>
      <c r="T649" s="21" t="s">
        <v>3750</v>
      </c>
      <c r="U649" s="22" t="b">
        <f aca="false">TRUE()</f>
        <v>1</v>
      </c>
      <c r="V649" s="0" t="n">
        <v>0.84</v>
      </c>
      <c r="W649" s="0" t="n">
        <v>0.4</v>
      </c>
      <c r="X649" s="0" t="n">
        <v>12.18</v>
      </c>
      <c r="Y649" s="0" t="n">
        <v>370.99</v>
      </c>
      <c r="Z649" s="0" t="n">
        <v>8</v>
      </c>
      <c r="AA649" s="0" t="n">
        <v>-2.47</v>
      </c>
      <c r="AB649" s="0" t="n">
        <v>12.61</v>
      </c>
      <c r="AC649" s="22" t="b">
        <f aca="false">FALSE()</f>
        <v>0</v>
      </c>
      <c r="AD649" s="0" t="n">
        <v>11.76</v>
      </c>
      <c r="AE649" s="0" t="n">
        <v>2.96</v>
      </c>
      <c r="AF649" s="0" t="n">
        <v>1.26</v>
      </c>
      <c r="AG649" s="22" t="b">
        <f aca="false">TRUE()</f>
        <v>1</v>
      </c>
      <c r="AH649" s="0" t="n">
        <v>1</v>
      </c>
    </row>
    <row r="650" customFormat="false" ht="15" hidden="false" customHeight="false" outlineLevel="0" collapsed="false">
      <c r="A650" s="0" t="s">
        <v>1116</v>
      </c>
      <c r="B650" s="0" t="s">
        <v>134</v>
      </c>
      <c r="C650" s="0" t="s">
        <v>3450</v>
      </c>
      <c r="D650" s="0" t="s">
        <v>3457</v>
      </c>
      <c r="E650" s="20" t="s">
        <v>25</v>
      </c>
      <c r="F650" s="23" t="s">
        <v>30</v>
      </c>
      <c r="G650" s="21" t="s">
        <v>283</v>
      </c>
      <c r="H650" s="21" t="s">
        <v>24</v>
      </c>
      <c r="I650" s="21" t="s">
        <v>25</v>
      </c>
      <c r="J650" s="21" t="s">
        <v>24</v>
      </c>
      <c r="K650" s="21" t="s">
        <v>24</v>
      </c>
      <c r="L650" s="21" t="s">
        <v>24</v>
      </c>
      <c r="M650" s="0" t="n">
        <v>195</v>
      </c>
      <c r="N650" s="0" t="n">
        <v>2</v>
      </c>
      <c r="O650" s="21" t="s">
        <v>3566</v>
      </c>
      <c r="P650" s="21" t="s">
        <v>4238</v>
      </c>
      <c r="Q650" s="0" t="n">
        <v>1</v>
      </c>
      <c r="R650" s="21" t="s">
        <v>69</v>
      </c>
      <c r="S650" s="0" t="n">
        <v>2</v>
      </c>
      <c r="T650" s="21" t="s">
        <v>3566</v>
      </c>
      <c r="U650" s="22" t="b">
        <f aca="false">TRUE()</f>
        <v>1</v>
      </c>
      <c r="V650" s="0" t="n">
        <v>0.74</v>
      </c>
      <c r="W650" s="0" t="n">
        <v>0.84</v>
      </c>
      <c r="X650" s="0" t="n">
        <v>10.19</v>
      </c>
      <c r="Y650" s="0" t="n">
        <v>329.71</v>
      </c>
      <c r="Z650" s="0" t="n">
        <v>9.17</v>
      </c>
      <c r="AA650" s="0" t="n">
        <v>13.59</v>
      </c>
      <c r="AB650" s="0" t="n">
        <v>4.09</v>
      </c>
      <c r="AC650" s="22" t="b">
        <f aca="false">FALSE()</f>
        <v>0</v>
      </c>
      <c r="AD650" s="0" t="n">
        <v>8.46</v>
      </c>
      <c r="AE650" s="0" t="n">
        <v>0.47</v>
      </c>
      <c r="AF650" s="0" t="n">
        <v>8.13</v>
      </c>
      <c r="AG650" s="22" t="b">
        <f aca="false">FALSE()</f>
        <v>0</v>
      </c>
      <c r="AH650" s="0" t="n">
        <v>1</v>
      </c>
    </row>
    <row r="651" customFormat="false" ht="15" hidden="false" customHeight="false" outlineLevel="0" collapsed="false">
      <c r="A651" s="0" t="s">
        <v>1116</v>
      </c>
      <c r="B651" s="0" t="s">
        <v>134</v>
      </c>
      <c r="C651" s="0" t="s">
        <v>3450</v>
      </c>
      <c r="D651" s="0" t="s">
        <v>3448</v>
      </c>
      <c r="E651" s="18" t="s">
        <v>24</v>
      </c>
      <c r="F651" s="23" t="s">
        <v>30</v>
      </c>
      <c r="G651" s="21" t="s">
        <v>30</v>
      </c>
      <c r="H651" s="21" t="s">
        <v>24</v>
      </c>
      <c r="I651" s="21" t="s">
        <v>24</v>
      </c>
      <c r="J651" s="21" t="s">
        <v>24</v>
      </c>
      <c r="K651" s="21" t="s">
        <v>24</v>
      </c>
      <c r="L651" s="21" t="s">
        <v>24</v>
      </c>
      <c r="M651" s="0" t="n">
        <v>186</v>
      </c>
      <c r="N651" s="0" t="n">
        <v>1</v>
      </c>
      <c r="O651" s="21" t="s">
        <v>3476</v>
      </c>
      <c r="P651" s="21" t="s">
        <v>4228</v>
      </c>
      <c r="Q651" s="0" t="n">
        <v>0</v>
      </c>
      <c r="S651" s="0" t="n">
        <v>1</v>
      </c>
      <c r="T651" s="21" t="s">
        <v>3476</v>
      </c>
      <c r="U651" s="22" t="b">
        <f aca="false">TRUE()</f>
        <v>1</v>
      </c>
      <c r="V651" s="0" t="n">
        <v>0.76</v>
      </c>
      <c r="W651" s="0" t="n">
        <v>0.12</v>
      </c>
      <c r="X651" s="0" t="n">
        <v>9.76</v>
      </c>
      <c r="Y651" s="0" t="n">
        <v>630.14</v>
      </c>
      <c r="Z651" s="0" t="n">
        <v>9.25</v>
      </c>
      <c r="AA651" s="0" t="n">
        <v>12.32</v>
      </c>
      <c r="AB651" s="0" t="n">
        <v>1.68</v>
      </c>
      <c r="AC651" s="22" t="b">
        <f aca="false">FALSE()</f>
        <v>0</v>
      </c>
      <c r="AD651" s="0" t="n">
        <v>5.03</v>
      </c>
      <c r="AE651" s="0" t="n">
        <v>0.77</v>
      </c>
      <c r="AF651" s="0" t="n">
        <v>13.96</v>
      </c>
      <c r="AG651" s="22" t="b">
        <f aca="false">FALSE()</f>
        <v>0</v>
      </c>
      <c r="AH651" s="0" t="n">
        <v>1</v>
      </c>
    </row>
    <row r="652" customFormat="false" ht="15" hidden="false" customHeight="false" outlineLevel="0" collapsed="false">
      <c r="A652" s="0" t="s">
        <v>1116</v>
      </c>
      <c r="B652" s="0" t="s">
        <v>134</v>
      </c>
      <c r="C652" s="0" t="s">
        <v>3447</v>
      </c>
      <c r="D652" s="0" t="s">
        <v>3457</v>
      </c>
      <c r="E652" s="20" t="s">
        <v>25</v>
      </c>
      <c r="F652" s="23" t="s">
        <v>30</v>
      </c>
      <c r="G652" s="21" t="s">
        <v>283</v>
      </c>
      <c r="H652" s="21" t="s">
        <v>24</v>
      </c>
      <c r="I652" s="21" t="s">
        <v>25</v>
      </c>
      <c r="J652" s="21" t="s">
        <v>24</v>
      </c>
      <c r="K652" s="21" t="s">
        <v>24</v>
      </c>
      <c r="L652" s="21" t="s">
        <v>24</v>
      </c>
      <c r="M652" s="0" t="n">
        <v>187</v>
      </c>
      <c r="N652" s="0" t="n">
        <v>1</v>
      </c>
      <c r="O652" s="21" t="s">
        <v>69</v>
      </c>
      <c r="P652" s="21" t="s">
        <v>4275</v>
      </c>
      <c r="Q652" s="0" t="n">
        <v>1</v>
      </c>
      <c r="R652" s="21" t="s">
        <v>69</v>
      </c>
      <c r="S652" s="0" t="n">
        <v>1</v>
      </c>
      <c r="T652" s="21" t="s">
        <v>69</v>
      </c>
      <c r="U652" s="22" t="b">
        <f aca="false">TRUE()</f>
        <v>1</v>
      </c>
      <c r="V652" s="0" t="n">
        <v>0.74</v>
      </c>
      <c r="W652" s="0" t="n">
        <v>0.64</v>
      </c>
      <c r="X652" s="0" t="n">
        <v>7.34</v>
      </c>
      <c r="Y652" s="0" t="n">
        <v>324.74</v>
      </c>
      <c r="Z652" s="0" t="n">
        <v>10.75</v>
      </c>
      <c r="AA652" s="0" t="n">
        <v>10.75</v>
      </c>
      <c r="AB652" s="0" t="n">
        <v>4.09</v>
      </c>
      <c r="AC652" s="22" t="b">
        <f aca="false">FALSE()</f>
        <v>0</v>
      </c>
      <c r="AD652" s="0" t="n">
        <v>8.65</v>
      </c>
      <c r="AE652" s="0" t="n">
        <v>0.45</v>
      </c>
      <c r="AF652" s="0" t="n">
        <v>7.57</v>
      </c>
      <c r="AG652" s="22" t="b">
        <f aca="false">FALSE()</f>
        <v>0</v>
      </c>
      <c r="AH652" s="0" t="n">
        <v>1</v>
      </c>
    </row>
    <row r="653" customFormat="false" ht="15" hidden="false" customHeight="false" outlineLevel="0" collapsed="false">
      <c r="A653" s="0" t="s">
        <v>1116</v>
      </c>
      <c r="B653" s="0" t="s">
        <v>134</v>
      </c>
      <c r="C653" s="0" t="s">
        <v>3447</v>
      </c>
      <c r="D653" s="0" t="s">
        <v>3448</v>
      </c>
      <c r="E653" s="18" t="s">
        <v>24</v>
      </c>
      <c r="F653" s="23" t="s">
        <v>30</v>
      </c>
      <c r="G653" s="21" t="s">
        <v>30</v>
      </c>
      <c r="H653" s="21" t="s">
        <v>24</v>
      </c>
      <c r="I653" s="21" t="s">
        <v>24</v>
      </c>
      <c r="J653" s="21" t="s">
        <v>24</v>
      </c>
      <c r="K653" s="21" t="s">
        <v>24</v>
      </c>
      <c r="L653" s="21" t="s">
        <v>24</v>
      </c>
      <c r="M653" s="0" t="n">
        <v>186</v>
      </c>
      <c r="N653" s="0" t="n">
        <v>2</v>
      </c>
      <c r="O653" s="21" t="s">
        <v>3514</v>
      </c>
      <c r="P653" s="21" t="s">
        <v>4470</v>
      </c>
      <c r="Q653" s="0" t="n">
        <v>0</v>
      </c>
      <c r="S653" s="0" t="n">
        <v>2</v>
      </c>
      <c r="T653" s="21" t="s">
        <v>3514</v>
      </c>
      <c r="U653" s="22" t="b">
        <f aca="false">TRUE()</f>
        <v>1</v>
      </c>
      <c r="V653" s="0" t="n">
        <v>0.76</v>
      </c>
      <c r="W653" s="0" t="n">
        <v>0.28</v>
      </c>
      <c r="X653" s="0" t="n">
        <v>8.62</v>
      </c>
      <c r="Y653" s="0" t="n">
        <v>435.34</v>
      </c>
      <c r="Z653" s="0" t="n">
        <v>10.42</v>
      </c>
      <c r="AA653" s="0" t="n">
        <v>9.85</v>
      </c>
      <c r="AB653" s="0" t="n">
        <v>1.68</v>
      </c>
      <c r="AC653" s="22" t="b">
        <f aca="false">FALSE()</f>
        <v>0</v>
      </c>
      <c r="AD653" s="0" t="n">
        <v>4.58</v>
      </c>
      <c r="AE653" s="0" t="n">
        <v>0.4</v>
      </c>
      <c r="AF653" s="0" t="n">
        <v>12.48</v>
      </c>
      <c r="AG653" s="22" t="b">
        <f aca="false">FALSE()</f>
        <v>0</v>
      </c>
      <c r="AH653" s="0" t="n">
        <v>1</v>
      </c>
    </row>
    <row r="654" customFormat="false" ht="15" hidden="false" customHeight="false" outlineLevel="0" collapsed="false">
      <c r="A654" s="0" t="s">
        <v>1122</v>
      </c>
      <c r="B654" s="0" t="s">
        <v>134</v>
      </c>
      <c r="C654" s="0" t="s">
        <v>3450</v>
      </c>
      <c r="D654" s="0" t="s">
        <v>3457</v>
      </c>
      <c r="E654" s="20" t="s">
        <v>25</v>
      </c>
      <c r="F654" s="23" t="s">
        <v>30</v>
      </c>
      <c r="G654" s="21" t="s">
        <v>157</v>
      </c>
      <c r="H654" s="21" t="s">
        <v>24</v>
      </c>
      <c r="I654" s="21" t="s">
        <v>25</v>
      </c>
      <c r="J654" s="21" t="s">
        <v>24</v>
      </c>
      <c r="K654" s="21" t="s">
        <v>25</v>
      </c>
      <c r="L654" s="21" t="s">
        <v>24</v>
      </c>
      <c r="M654" s="0" t="n">
        <v>194</v>
      </c>
      <c r="N654" s="0" t="n">
        <v>2</v>
      </c>
      <c r="O654" s="21" t="s">
        <v>3575</v>
      </c>
      <c r="P654" s="21" t="s">
        <v>4265</v>
      </c>
      <c r="Q654" s="0" t="n">
        <v>1</v>
      </c>
      <c r="R654" s="21" t="s">
        <v>69</v>
      </c>
      <c r="S654" s="0" t="n">
        <v>2</v>
      </c>
      <c r="T654" s="21" t="s">
        <v>3575</v>
      </c>
      <c r="U654" s="22" t="b">
        <f aca="false">TRUE()</f>
        <v>1</v>
      </c>
      <c r="V654" s="0" t="n">
        <v>0.76</v>
      </c>
      <c r="W654" s="0" t="n">
        <v>0.16</v>
      </c>
      <c r="X654" s="0" t="n">
        <v>8.21</v>
      </c>
      <c r="Y654" s="0" t="n">
        <v>494.81</v>
      </c>
      <c r="Z654" s="0" t="n">
        <v>11.42</v>
      </c>
      <c r="AA654" s="0" t="n">
        <v>11.74</v>
      </c>
      <c r="AB654" s="0" t="n">
        <v>1.11</v>
      </c>
      <c r="AC654" s="22" t="b">
        <f aca="false">FALSE()</f>
        <v>0</v>
      </c>
      <c r="AD654" s="0" t="n">
        <v>22.24</v>
      </c>
      <c r="AE654" s="0" t="n">
        <v>12.04</v>
      </c>
      <c r="AF654" s="0" t="n">
        <v>18.94</v>
      </c>
      <c r="AG654" s="22" t="b">
        <f aca="false">TRUE()</f>
        <v>1</v>
      </c>
      <c r="AH654" s="0" t="n">
        <v>1</v>
      </c>
    </row>
    <row r="655" customFormat="false" ht="15" hidden="false" customHeight="false" outlineLevel="0" collapsed="false">
      <c r="A655" s="0" t="s">
        <v>1122</v>
      </c>
      <c r="B655" s="0" t="s">
        <v>134</v>
      </c>
      <c r="C655" s="0" t="s">
        <v>3450</v>
      </c>
      <c r="D655" s="0" t="s">
        <v>3448</v>
      </c>
      <c r="E655" s="20" t="s">
        <v>25</v>
      </c>
      <c r="F655" s="23" t="s">
        <v>30</v>
      </c>
      <c r="G655" s="21" t="s">
        <v>183</v>
      </c>
      <c r="H655" s="21" t="s">
        <v>24</v>
      </c>
      <c r="I655" s="21" t="s">
        <v>25</v>
      </c>
      <c r="J655" s="21" t="s">
        <v>24</v>
      </c>
      <c r="K655" s="21" t="s">
        <v>25</v>
      </c>
      <c r="L655" s="21" t="s">
        <v>24</v>
      </c>
      <c r="M655" s="0" t="n">
        <v>183</v>
      </c>
      <c r="N655" s="0" t="n">
        <v>2</v>
      </c>
      <c r="O655" s="21" t="s">
        <v>3575</v>
      </c>
      <c r="P655" s="21" t="s">
        <v>4265</v>
      </c>
      <c r="Q655" s="0" t="n">
        <v>1</v>
      </c>
      <c r="R655" s="21" t="s">
        <v>69</v>
      </c>
      <c r="S655" s="0" t="n">
        <v>2</v>
      </c>
      <c r="T655" s="21" t="s">
        <v>3575</v>
      </c>
      <c r="U655" s="22" t="b">
        <f aca="false">TRUE()</f>
        <v>1</v>
      </c>
      <c r="V655" s="0" t="n">
        <v>0.75</v>
      </c>
      <c r="W655" s="0" t="n">
        <v>0.12</v>
      </c>
      <c r="X655" s="0" t="n">
        <v>8.81</v>
      </c>
      <c r="Y655" s="0" t="n">
        <v>624.61</v>
      </c>
      <c r="Z655" s="0" t="n">
        <v>11.5</v>
      </c>
      <c r="AA655" s="0" t="n">
        <v>10.93</v>
      </c>
      <c r="AB655" s="0" t="n">
        <v>2.21</v>
      </c>
      <c r="AC655" s="22" t="b">
        <f aca="false">FALSE()</f>
        <v>0</v>
      </c>
      <c r="AD655" s="0" t="n">
        <v>24.16</v>
      </c>
      <c r="AE655" s="0" t="n">
        <v>11.97</v>
      </c>
      <c r="AF655" s="0" t="n">
        <v>19.35</v>
      </c>
      <c r="AG655" s="22" t="b">
        <f aca="false">TRUE()</f>
        <v>1</v>
      </c>
      <c r="AH655" s="0" t="n">
        <v>1</v>
      </c>
    </row>
    <row r="656" customFormat="false" ht="15" hidden="false" customHeight="false" outlineLevel="0" collapsed="false">
      <c r="A656" s="0" t="s">
        <v>1122</v>
      </c>
      <c r="B656" s="0" t="s">
        <v>134</v>
      </c>
      <c r="C656" s="0" t="s">
        <v>3447</v>
      </c>
      <c r="D656" s="0" t="s">
        <v>3457</v>
      </c>
      <c r="E656" s="20" t="s">
        <v>25</v>
      </c>
      <c r="F656" s="23" t="s">
        <v>30</v>
      </c>
      <c r="G656" s="21" t="s">
        <v>144</v>
      </c>
      <c r="H656" s="21" t="s">
        <v>24</v>
      </c>
      <c r="I656" s="21" t="s">
        <v>24</v>
      </c>
      <c r="J656" s="21" t="s">
        <v>24</v>
      </c>
      <c r="K656" s="21" t="s">
        <v>25</v>
      </c>
      <c r="L656" s="21" t="s">
        <v>24</v>
      </c>
      <c r="M656" s="0" t="n">
        <v>184</v>
      </c>
      <c r="N656" s="0" t="n">
        <v>5</v>
      </c>
      <c r="O656" s="21" t="s">
        <v>3717</v>
      </c>
      <c r="P656" s="21" t="s">
        <v>4516</v>
      </c>
      <c r="Q656" s="0" t="n">
        <v>0</v>
      </c>
      <c r="S656" s="0" t="n">
        <v>5</v>
      </c>
      <c r="T656" s="21" t="s">
        <v>3717</v>
      </c>
      <c r="U656" s="22" t="b">
        <f aca="false">TRUE()</f>
        <v>1</v>
      </c>
      <c r="V656" s="0" t="n">
        <v>0.79</v>
      </c>
      <c r="W656" s="0" t="n">
        <v>0.88</v>
      </c>
      <c r="X656" s="0" t="n">
        <v>8.66</v>
      </c>
      <c r="Y656" s="0" t="n">
        <v>294.63</v>
      </c>
      <c r="Z656" s="0" t="n">
        <v>11.33</v>
      </c>
      <c r="AA656" s="0" t="n">
        <v>7.58</v>
      </c>
      <c r="AB656" s="0" t="n">
        <v>1.11</v>
      </c>
      <c r="AC656" s="22" t="b">
        <f aca="false">FALSE()</f>
        <v>0</v>
      </c>
      <c r="AD656" s="0" t="n">
        <v>21</v>
      </c>
      <c r="AE656" s="0" t="n">
        <v>11.42</v>
      </c>
      <c r="AF656" s="0" t="n">
        <v>18.59</v>
      </c>
      <c r="AG656" s="22" t="b">
        <f aca="false">TRUE()</f>
        <v>1</v>
      </c>
      <c r="AH656" s="0" t="n">
        <v>1</v>
      </c>
    </row>
    <row r="657" customFormat="false" ht="15" hidden="false" customHeight="false" outlineLevel="0" collapsed="false">
      <c r="A657" s="0" t="s">
        <v>1122</v>
      </c>
      <c r="B657" s="0" t="s">
        <v>134</v>
      </c>
      <c r="C657" s="0" t="s">
        <v>3447</v>
      </c>
      <c r="D657" s="0" t="s">
        <v>3448</v>
      </c>
      <c r="E657" s="20" t="s">
        <v>25</v>
      </c>
      <c r="F657" s="23" t="s">
        <v>30</v>
      </c>
      <c r="G657" s="21" t="s">
        <v>992</v>
      </c>
      <c r="H657" s="21" t="s">
        <v>24</v>
      </c>
      <c r="I657" s="21" t="s">
        <v>24</v>
      </c>
      <c r="J657" s="21" t="s">
        <v>24</v>
      </c>
      <c r="K657" s="21" t="s">
        <v>25</v>
      </c>
      <c r="L657" s="21" t="s">
        <v>24</v>
      </c>
      <c r="M657" s="0" t="n">
        <v>189</v>
      </c>
      <c r="N657" s="0" t="n">
        <v>1</v>
      </c>
      <c r="O657" s="21" t="s">
        <v>3474</v>
      </c>
      <c r="P657" s="21" t="s">
        <v>4272</v>
      </c>
      <c r="Q657" s="0" t="n">
        <v>0</v>
      </c>
      <c r="S657" s="0" t="n">
        <v>1</v>
      </c>
      <c r="T657" s="21" t="s">
        <v>3474</v>
      </c>
      <c r="U657" s="22" t="b">
        <f aca="false">TRUE()</f>
        <v>1</v>
      </c>
      <c r="V657" s="0" t="n">
        <v>0.87</v>
      </c>
      <c r="W657" s="0" t="n">
        <v>0.64</v>
      </c>
      <c r="X657" s="0" t="n">
        <v>10.74</v>
      </c>
      <c r="Y657" s="0" t="n">
        <v>329.07</v>
      </c>
      <c r="Z657" s="0" t="n">
        <v>11.42</v>
      </c>
      <c r="AA657" s="0" t="n">
        <v>6.95</v>
      </c>
      <c r="AB657" s="0" t="n">
        <v>2.21</v>
      </c>
      <c r="AC657" s="22" t="b">
        <f aca="false">FALSE()</f>
        <v>0</v>
      </c>
      <c r="AD657" s="0" t="n">
        <v>23.25</v>
      </c>
      <c r="AE657" s="0" t="n">
        <v>12.57</v>
      </c>
      <c r="AF657" s="0" t="n">
        <v>20.03</v>
      </c>
      <c r="AG657" s="22" t="b">
        <f aca="false">TRUE()</f>
        <v>1</v>
      </c>
      <c r="AH657" s="0" t="n">
        <v>1</v>
      </c>
    </row>
    <row r="658" customFormat="false" ht="15" hidden="false" customHeight="false" outlineLevel="0" collapsed="false">
      <c r="A658" s="0" t="s">
        <v>1132</v>
      </c>
      <c r="B658" s="0" t="s">
        <v>134</v>
      </c>
      <c r="C658" s="0" t="s">
        <v>3450</v>
      </c>
      <c r="D658" s="0" t="s">
        <v>3457</v>
      </c>
      <c r="E658" s="19" t="s">
        <v>26</v>
      </c>
      <c r="F658" s="19" t="s">
        <v>32</v>
      </c>
      <c r="G658" s="21" t="s">
        <v>529</v>
      </c>
      <c r="H658" s="21" t="s">
        <v>24</v>
      </c>
      <c r="I658" s="21" t="s">
        <v>26</v>
      </c>
      <c r="J658" s="21" t="s">
        <v>24</v>
      </c>
      <c r="K658" s="21" t="s">
        <v>24</v>
      </c>
      <c r="L658" s="21" t="s">
        <v>24</v>
      </c>
      <c r="M658" s="0" t="n">
        <v>187</v>
      </c>
      <c r="N658" s="0" t="n">
        <v>7</v>
      </c>
      <c r="O658" s="21" t="s">
        <v>4015</v>
      </c>
      <c r="P658" s="21" t="s">
        <v>4307</v>
      </c>
      <c r="Q658" s="0" t="n">
        <v>1</v>
      </c>
      <c r="R658" s="21" t="s">
        <v>69</v>
      </c>
      <c r="S658" s="0" t="n">
        <v>7</v>
      </c>
      <c r="T658" s="21" t="s">
        <v>4015</v>
      </c>
      <c r="U658" s="22" t="b">
        <f aca="false">FALSE()</f>
        <v>0</v>
      </c>
      <c r="V658" s="0" t="n">
        <v>0.72</v>
      </c>
      <c r="W658" s="0" t="n">
        <v>0.84</v>
      </c>
      <c r="X658" s="0" t="n">
        <v>10.19</v>
      </c>
      <c r="Y658" s="0" t="n">
        <v>303.16</v>
      </c>
      <c r="Z658" s="0" t="n">
        <v>9.5</v>
      </c>
      <c r="AA658" s="0" t="n">
        <v>17.72</v>
      </c>
      <c r="AB658" s="0" t="n">
        <v>15.42</v>
      </c>
      <c r="AC658" s="22" t="b">
        <f aca="false">FALSE()</f>
        <v>0</v>
      </c>
      <c r="AD658" s="0" t="n">
        <v>6.32</v>
      </c>
      <c r="AE658" s="0" t="n">
        <v>1.15</v>
      </c>
      <c r="AF658" s="0" t="n">
        <v>2.06</v>
      </c>
      <c r="AG658" s="22" t="b">
        <f aca="false">FALSE()</f>
        <v>0</v>
      </c>
      <c r="AH658" s="0" t="n">
        <v>1</v>
      </c>
    </row>
    <row r="659" customFormat="false" ht="15" hidden="false" customHeight="false" outlineLevel="0" collapsed="false">
      <c r="A659" s="0" t="s">
        <v>1132</v>
      </c>
      <c r="B659" s="0" t="s">
        <v>134</v>
      </c>
      <c r="C659" s="0" t="s">
        <v>3450</v>
      </c>
      <c r="D659" s="0" t="s">
        <v>3448</v>
      </c>
      <c r="E659" s="19" t="s">
        <v>26</v>
      </c>
      <c r="F659" s="19" t="s">
        <v>32</v>
      </c>
      <c r="G659" s="21" t="s">
        <v>60</v>
      </c>
      <c r="H659" s="21" t="s">
        <v>24</v>
      </c>
      <c r="I659" s="21" t="s">
        <v>26</v>
      </c>
      <c r="J659" s="21" t="s">
        <v>24</v>
      </c>
      <c r="K659" s="21" t="s">
        <v>24</v>
      </c>
      <c r="L659" s="21" t="s">
        <v>24</v>
      </c>
      <c r="M659" s="0" t="n">
        <v>186</v>
      </c>
      <c r="N659" s="0" t="n">
        <v>8</v>
      </c>
      <c r="O659" s="21" t="s">
        <v>3910</v>
      </c>
      <c r="P659" s="21" t="s">
        <v>4517</v>
      </c>
      <c r="Q659" s="0" t="n">
        <v>0</v>
      </c>
      <c r="S659" s="0" t="n">
        <v>8</v>
      </c>
      <c r="T659" s="21" t="s">
        <v>3910</v>
      </c>
      <c r="U659" s="22" t="b">
        <f aca="false">FALSE()</f>
        <v>0</v>
      </c>
      <c r="V659" s="0" t="n">
        <v>0.8</v>
      </c>
      <c r="W659" s="0" t="n">
        <v>0.36</v>
      </c>
      <c r="X659" s="0" t="n">
        <v>14.75</v>
      </c>
      <c r="Y659" s="0" t="n">
        <v>383.88</v>
      </c>
      <c r="Z659" s="0" t="n">
        <v>9.75</v>
      </c>
      <c r="AA659" s="0" t="n">
        <v>15.21</v>
      </c>
      <c r="AB659" s="0" t="n">
        <v>42.45</v>
      </c>
      <c r="AC659" s="22" t="b">
        <f aca="false">FALSE()</f>
        <v>0</v>
      </c>
      <c r="AD659" s="0" t="n">
        <v>7.99</v>
      </c>
      <c r="AE659" s="0" t="n">
        <v>0.99</v>
      </c>
      <c r="AF659" s="0" t="n">
        <v>2.76</v>
      </c>
      <c r="AG659" s="22" t="b">
        <f aca="false">FALSE()</f>
        <v>0</v>
      </c>
      <c r="AH659" s="0" t="n">
        <v>1</v>
      </c>
    </row>
    <row r="660" customFormat="false" ht="15" hidden="false" customHeight="false" outlineLevel="0" collapsed="false">
      <c r="A660" s="0" t="s">
        <v>1132</v>
      </c>
      <c r="B660" s="0" t="s">
        <v>134</v>
      </c>
      <c r="C660" s="0" t="s">
        <v>3447</v>
      </c>
      <c r="D660" s="0" t="s">
        <v>3457</v>
      </c>
      <c r="E660" s="18" t="s">
        <v>24</v>
      </c>
      <c r="F660" s="18" t="s">
        <v>28</v>
      </c>
      <c r="H660" s="21" t="s">
        <v>24</v>
      </c>
      <c r="I660" s="21" t="s">
        <v>24</v>
      </c>
      <c r="J660" s="21" t="s">
        <v>24</v>
      </c>
      <c r="K660" s="21" t="s">
        <v>24</v>
      </c>
      <c r="L660" s="21" t="s">
        <v>24</v>
      </c>
      <c r="M660" s="0" t="n">
        <v>184</v>
      </c>
      <c r="N660" s="0" t="n">
        <v>0</v>
      </c>
      <c r="Q660" s="0" t="n">
        <v>0</v>
      </c>
      <c r="S660" s="0" t="n">
        <v>0</v>
      </c>
      <c r="U660" s="22" t="b">
        <f aca="false">FALSE()</f>
        <v>0</v>
      </c>
      <c r="V660" s="0" t="n">
        <v>0.61</v>
      </c>
      <c r="W660" s="0" t="n">
        <v>0.44</v>
      </c>
      <c r="X660" s="0" t="n">
        <v>7.52</v>
      </c>
      <c r="Y660" s="0" t="n">
        <v>342.61</v>
      </c>
      <c r="Z660" s="0" t="n">
        <v>10.5</v>
      </c>
      <c r="AA660" s="0" t="n">
        <v>-0.84</v>
      </c>
      <c r="AB660" s="0" t="n">
        <v>15.42</v>
      </c>
      <c r="AC660" s="22" t="b">
        <f aca="false">FALSE()</f>
        <v>0</v>
      </c>
      <c r="AD660" s="0" t="n">
        <v>5.78</v>
      </c>
      <c r="AE660" s="0" t="n">
        <v>0.65</v>
      </c>
      <c r="AF660" s="0" t="n">
        <v>2.99</v>
      </c>
      <c r="AG660" s="22" t="b">
        <f aca="false">FALSE()</f>
        <v>0</v>
      </c>
      <c r="AH660" s="0" t="n">
        <v>1</v>
      </c>
    </row>
    <row r="661" customFormat="false" ht="15" hidden="false" customHeight="false" outlineLevel="0" collapsed="false">
      <c r="A661" s="0" t="s">
        <v>1132</v>
      </c>
      <c r="B661" s="0" t="s">
        <v>134</v>
      </c>
      <c r="C661" s="0" t="s">
        <v>3447</v>
      </c>
      <c r="D661" s="0" t="s">
        <v>3448</v>
      </c>
      <c r="E661" s="18" t="s">
        <v>24</v>
      </c>
      <c r="F661" s="23" t="s">
        <v>30</v>
      </c>
      <c r="G661" s="21" t="s">
        <v>30</v>
      </c>
      <c r="H661" s="21" t="s">
        <v>24</v>
      </c>
      <c r="I661" s="21" t="s">
        <v>24</v>
      </c>
      <c r="J661" s="21" t="s">
        <v>24</v>
      </c>
      <c r="K661" s="21" t="s">
        <v>24</v>
      </c>
      <c r="L661" s="21" t="s">
        <v>24</v>
      </c>
      <c r="M661" s="0" t="n">
        <v>195</v>
      </c>
      <c r="N661" s="0" t="n">
        <v>2</v>
      </c>
      <c r="O661" s="21" t="s">
        <v>3577</v>
      </c>
      <c r="P661" s="21" t="s">
        <v>4518</v>
      </c>
      <c r="Q661" s="0" t="n">
        <v>0</v>
      </c>
      <c r="S661" s="0" t="n">
        <v>2</v>
      </c>
      <c r="T661" s="21" t="s">
        <v>3577</v>
      </c>
      <c r="U661" s="22" t="b">
        <f aca="false">TRUE()</f>
        <v>1</v>
      </c>
      <c r="V661" s="0" t="n">
        <v>0.64</v>
      </c>
      <c r="W661" s="0" t="n">
        <v>0.76</v>
      </c>
      <c r="X661" s="0" t="n">
        <v>9.08</v>
      </c>
      <c r="Y661" s="0" t="n">
        <v>342.3</v>
      </c>
      <c r="Z661" s="0" t="n">
        <v>11.92</v>
      </c>
      <c r="AA661" s="0" t="n">
        <v>1.49</v>
      </c>
      <c r="AB661" s="0" t="n">
        <v>42.45</v>
      </c>
      <c r="AC661" s="22" t="b">
        <f aca="false">FALSE()</f>
        <v>0</v>
      </c>
      <c r="AD661" s="0" t="n">
        <v>10.77</v>
      </c>
      <c r="AE661" s="0" t="n">
        <v>0.2</v>
      </c>
      <c r="AF661" s="0" t="n">
        <v>3.64</v>
      </c>
      <c r="AG661" s="22" t="b">
        <f aca="false">TRUE()</f>
        <v>1</v>
      </c>
      <c r="AH661" s="0" t="n">
        <v>1</v>
      </c>
    </row>
    <row r="662" customFormat="false" ht="15" hidden="false" customHeight="false" outlineLevel="0" collapsed="false">
      <c r="A662" s="0" t="s">
        <v>1137</v>
      </c>
      <c r="B662" s="0" t="s">
        <v>134</v>
      </c>
      <c r="C662" s="0" t="s">
        <v>3450</v>
      </c>
      <c r="D662" s="0" t="s">
        <v>3457</v>
      </c>
      <c r="E662" s="20" t="s">
        <v>25</v>
      </c>
      <c r="F662" s="23" t="s">
        <v>30</v>
      </c>
      <c r="G662" s="21" t="s">
        <v>1140</v>
      </c>
      <c r="H662" s="21" t="s">
        <v>24</v>
      </c>
      <c r="I662" s="21" t="s">
        <v>25</v>
      </c>
      <c r="J662" s="21" t="s">
        <v>24</v>
      </c>
      <c r="K662" s="21" t="s">
        <v>25</v>
      </c>
      <c r="L662" s="21" t="s">
        <v>24</v>
      </c>
      <c r="M662" s="0" t="n">
        <v>183</v>
      </c>
      <c r="N662" s="0" t="n">
        <v>1</v>
      </c>
      <c r="O662" s="21" t="s">
        <v>69</v>
      </c>
      <c r="P662" s="21" t="s">
        <v>4275</v>
      </c>
      <c r="Q662" s="0" t="n">
        <v>1</v>
      </c>
      <c r="R662" s="21" t="s">
        <v>69</v>
      </c>
      <c r="S662" s="0" t="n">
        <v>1</v>
      </c>
      <c r="T662" s="21" t="s">
        <v>69</v>
      </c>
      <c r="U662" s="22" t="b">
        <f aca="false">TRUE()</f>
        <v>1</v>
      </c>
      <c r="V662" s="0" t="n">
        <v>0.7</v>
      </c>
      <c r="W662" s="0" t="n">
        <v>0.44</v>
      </c>
      <c r="X662" s="0" t="n">
        <v>7.35</v>
      </c>
      <c r="Y662" s="0" t="n">
        <v>343.85</v>
      </c>
      <c r="Z662" s="0" t="n">
        <v>9.83</v>
      </c>
      <c r="AA662" s="0" t="n">
        <v>5.44</v>
      </c>
      <c r="AB662" s="0" t="n">
        <v>1.73</v>
      </c>
      <c r="AC662" s="22" t="b">
        <f aca="false">FALSE()</f>
        <v>0</v>
      </c>
      <c r="AD662" s="0" t="n">
        <v>30.71</v>
      </c>
      <c r="AE662" s="0" t="n">
        <v>22.4</v>
      </c>
      <c r="AF662" s="0" t="n">
        <v>26.59</v>
      </c>
      <c r="AG662" s="22" t="b">
        <f aca="false">TRUE()</f>
        <v>1</v>
      </c>
      <c r="AH662" s="0" t="n">
        <v>1</v>
      </c>
    </row>
    <row r="663" customFormat="false" ht="15" hidden="false" customHeight="false" outlineLevel="0" collapsed="false">
      <c r="A663" s="0" t="s">
        <v>1137</v>
      </c>
      <c r="B663" s="0" t="s">
        <v>134</v>
      </c>
      <c r="C663" s="0" t="s">
        <v>3450</v>
      </c>
      <c r="D663" s="0" t="s">
        <v>3448</v>
      </c>
      <c r="E663" s="18" t="s">
        <v>24</v>
      </c>
      <c r="F663" s="18" t="s">
        <v>28</v>
      </c>
      <c r="H663" s="21" t="s">
        <v>24</v>
      </c>
      <c r="I663" s="21" t="s">
        <v>24</v>
      </c>
      <c r="J663" s="21" t="s">
        <v>24</v>
      </c>
      <c r="K663" s="21" t="s">
        <v>24</v>
      </c>
      <c r="L663" s="21" t="s">
        <v>24</v>
      </c>
      <c r="M663" s="0" t="n">
        <v>186</v>
      </c>
      <c r="N663" s="0" t="n">
        <v>0</v>
      </c>
      <c r="Q663" s="0" t="n">
        <v>0</v>
      </c>
      <c r="S663" s="0" t="n">
        <v>0</v>
      </c>
      <c r="U663" s="22" t="b">
        <f aca="false">FALSE()</f>
        <v>0</v>
      </c>
      <c r="V663" s="0" t="n">
        <v>0.73</v>
      </c>
      <c r="W663" s="0" t="n">
        <v>0.32</v>
      </c>
      <c r="X663" s="0" t="n">
        <v>5.95</v>
      </c>
      <c r="Y663" s="0" t="n">
        <v>410.27</v>
      </c>
      <c r="Z663" s="0" t="n">
        <v>9.42</v>
      </c>
      <c r="AA663" s="0" t="n">
        <v>5.25</v>
      </c>
      <c r="AB663" s="0" t="n">
        <v>1.78</v>
      </c>
      <c r="AC663" s="22" t="b">
        <f aca="false">FALSE()</f>
        <v>0</v>
      </c>
      <c r="AD663" s="0" t="n">
        <v>13</v>
      </c>
      <c r="AE663" s="0" t="n">
        <v>5.09</v>
      </c>
      <c r="AF663" s="0" t="n">
        <v>2.1</v>
      </c>
      <c r="AG663" s="22" t="b">
        <f aca="false">TRUE()</f>
        <v>1</v>
      </c>
      <c r="AH663" s="0" t="n">
        <v>1</v>
      </c>
    </row>
    <row r="664" customFormat="false" ht="15" hidden="false" customHeight="false" outlineLevel="0" collapsed="false">
      <c r="A664" s="0" t="s">
        <v>1137</v>
      </c>
      <c r="B664" s="0" t="s">
        <v>134</v>
      </c>
      <c r="C664" s="0" t="s">
        <v>3447</v>
      </c>
      <c r="D664" s="0" t="s">
        <v>3457</v>
      </c>
      <c r="E664" s="20" t="s">
        <v>25</v>
      </c>
      <c r="F664" s="23" t="s">
        <v>30</v>
      </c>
      <c r="G664" s="21" t="s">
        <v>3492</v>
      </c>
      <c r="H664" s="21" t="s">
        <v>24</v>
      </c>
      <c r="I664" s="21" t="s">
        <v>24</v>
      </c>
      <c r="J664" s="21" t="s">
        <v>24</v>
      </c>
      <c r="K664" s="21" t="s">
        <v>25</v>
      </c>
      <c r="L664" s="21" t="s">
        <v>24</v>
      </c>
      <c r="M664" s="0" t="n">
        <v>184</v>
      </c>
      <c r="N664" s="0" t="n">
        <v>2</v>
      </c>
      <c r="O664" s="21" t="s">
        <v>3498</v>
      </c>
      <c r="P664" s="21" t="s">
        <v>4323</v>
      </c>
      <c r="Q664" s="0" t="n">
        <v>0</v>
      </c>
      <c r="S664" s="0" t="n">
        <v>2</v>
      </c>
      <c r="T664" s="21" t="s">
        <v>3498</v>
      </c>
      <c r="U664" s="22" t="b">
        <f aca="false">TRUE()</f>
        <v>1</v>
      </c>
      <c r="V664" s="0" t="n">
        <v>0.81</v>
      </c>
      <c r="W664" s="0" t="n">
        <v>0</v>
      </c>
      <c r="X664" s="0" t="n">
        <v>6.95</v>
      </c>
      <c r="Y664" s="0" t="n">
        <v>690.95</v>
      </c>
      <c r="Z664" s="0" t="n">
        <v>9.33</v>
      </c>
      <c r="AA664" s="0" t="n">
        <v>2.89</v>
      </c>
      <c r="AB664" s="0" t="n">
        <v>1.73</v>
      </c>
      <c r="AC664" s="22" t="b">
        <f aca="false">FALSE()</f>
        <v>0</v>
      </c>
      <c r="AD664" s="0" t="n">
        <v>30.41</v>
      </c>
      <c r="AE664" s="0" t="n">
        <v>21.3</v>
      </c>
      <c r="AF664" s="0" t="n">
        <v>25.82</v>
      </c>
      <c r="AG664" s="22" t="b">
        <f aca="false">TRUE()</f>
        <v>1</v>
      </c>
      <c r="AH664" s="0" t="n">
        <v>1</v>
      </c>
    </row>
    <row r="665" customFormat="false" ht="15" hidden="false" customHeight="false" outlineLevel="0" collapsed="false">
      <c r="A665" s="0" t="s">
        <v>1137</v>
      </c>
      <c r="B665" s="0" t="s">
        <v>134</v>
      </c>
      <c r="C665" s="0" t="s">
        <v>3447</v>
      </c>
      <c r="D665" s="0" t="s">
        <v>3448</v>
      </c>
      <c r="E665" s="18" t="s">
        <v>24</v>
      </c>
      <c r="F665" s="18" t="s">
        <v>28</v>
      </c>
      <c r="H665" s="21" t="s">
        <v>24</v>
      </c>
      <c r="I665" s="21" t="s">
        <v>24</v>
      </c>
      <c r="J665" s="21" t="s">
        <v>24</v>
      </c>
      <c r="K665" s="21" t="s">
        <v>24</v>
      </c>
      <c r="L665" s="21" t="s">
        <v>24</v>
      </c>
      <c r="M665" s="0" t="n">
        <v>189</v>
      </c>
      <c r="N665" s="0" t="n">
        <v>0</v>
      </c>
      <c r="Q665" s="0" t="n">
        <v>0</v>
      </c>
      <c r="S665" s="0" t="n">
        <v>0</v>
      </c>
      <c r="U665" s="22" t="b">
        <f aca="false">FALSE()</f>
        <v>0</v>
      </c>
      <c r="V665" s="0" t="n">
        <v>0.78</v>
      </c>
      <c r="W665" s="0" t="n">
        <v>0</v>
      </c>
      <c r="X665" s="0" t="n">
        <v>6.77</v>
      </c>
      <c r="Y665" s="0" t="n">
        <v>743.85</v>
      </c>
      <c r="Z665" s="0" t="n">
        <v>8.92</v>
      </c>
      <c r="AA665" s="0" t="n">
        <v>6.39</v>
      </c>
      <c r="AB665" s="0" t="n">
        <v>1.78</v>
      </c>
      <c r="AC665" s="22" t="b">
        <f aca="false">FALSE()</f>
        <v>0</v>
      </c>
      <c r="AD665" s="0" t="n">
        <v>16.37</v>
      </c>
      <c r="AE665" s="0" t="n">
        <v>1.23</v>
      </c>
      <c r="AF665" s="0" t="n">
        <v>3.78</v>
      </c>
      <c r="AG665" s="22" t="b">
        <f aca="false">TRUE()</f>
        <v>1</v>
      </c>
      <c r="AH665" s="0" t="n">
        <v>1</v>
      </c>
    </row>
    <row r="666" customFormat="false" ht="15" hidden="false" customHeight="false" outlineLevel="0" collapsed="false">
      <c r="A666" s="0" t="s">
        <v>1149</v>
      </c>
      <c r="B666" s="0" t="s">
        <v>134</v>
      </c>
      <c r="C666" s="0" t="s">
        <v>3450</v>
      </c>
      <c r="D666" s="0" t="s">
        <v>3457</v>
      </c>
      <c r="E666" s="20" t="s">
        <v>25</v>
      </c>
      <c r="F666" s="23" t="s">
        <v>30</v>
      </c>
      <c r="G666" s="21" t="s">
        <v>1152</v>
      </c>
      <c r="H666" s="21" t="s">
        <v>24</v>
      </c>
      <c r="I666" s="21" t="s">
        <v>25</v>
      </c>
      <c r="J666" s="21" t="s">
        <v>24</v>
      </c>
      <c r="K666" s="21" t="s">
        <v>25</v>
      </c>
      <c r="L666" s="21" t="s">
        <v>24</v>
      </c>
      <c r="M666" s="0" t="n">
        <v>183</v>
      </c>
      <c r="N666" s="0" t="n">
        <v>1</v>
      </c>
      <c r="O666" s="21" t="s">
        <v>69</v>
      </c>
      <c r="P666" s="21" t="s">
        <v>4275</v>
      </c>
      <c r="Q666" s="0" t="n">
        <v>1</v>
      </c>
      <c r="R666" s="21" t="s">
        <v>69</v>
      </c>
      <c r="S666" s="0" t="n">
        <v>1</v>
      </c>
      <c r="T666" s="21" t="s">
        <v>69</v>
      </c>
      <c r="U666" s="22" t="b">
        <f aca="false">TRUE()</f>
        <v>1</v>
      </c>
      <c r="V666" s="0" t="n">
        <v>0.66</v>
      </c>
      <c r="W666" s="0" t="n">
        <v>0.64</v>
      </c>
      <c r="X666" s="0" t="n">
        <v>8.83</v>
      </c>
      <c r="Y666" s="0" t="n">
        <v>320.89</v>
      </c>
      <c r="Z666" s="0" t="n">
        <v>9.67</v>
      </c>
      <c r="AA666" s="0" t="n">
        <v>14.33</v>
      </c>
      <c r="AB666" s="0" t="n">
        <v>0.7</v>
      </c>
      <c r="AC666" s="22" t="b">
        <f aca="false">FALSE()</f>
        <v>0</v>
      </c>
      <c r="AD666" s="0" t="n">
        <v>17.88</v>
      </c>
      <c r="AE666" s="0" t="n">
        <v>0.6</v>
      </c>
      <c r="AF666" s="0" t="n">
        <v>12.9</v>
      </c>
      <c r="AG666" s="22" t="b">
        <f aca="false">TRUE()</f>
        <v>1</v>
      </c>
      <c r="AH666" s="0" t="n">
        <v>1</v>
      </c>
    </row>
    <row r="667" customFormat="false" ht="15" hidden="false" customHeight="false" outlineLevel="0" collapsed="false">
      <c r="A667" s="0" t="s">
        <v>1149</v>
      </c>
      <c r="B667" s="0" t="s">
        <v>134</v>
      </c>
      <c r="C667" s="0" t="s">
        <v>3450</v>
      </c>
      <c r="D667" s="0" t="s">
        <v>3448</v>
      </c>
      <c r="E667" s="20" t="s">
        <v>25</v>
      </c>
      <c r="F667" s="23" t="s">
        <v>30</v>
      </c>
      <c r="G667" s="21" t="s">
        <v>283</v>
      </c>
      <c r="H667" s="21" t="s">
        <v>24</v>
      </c>
      <c r="I667" s="21" t="s">
        <v>25</v>
      </c>
      <c r="J667" s="21" t="s">
        <v>24</v>
      </c>
      <c r="K667" s="21" t="s">
        <v>24</v>
      </c>
      <c r="L667" s="21" t="s">
        <v>24</v>
      </c>
      <c r="M667" s="0" t="n">
        <v>187</v>
      </c>
      <c r="N667" s="0" t="n">
        <v>2</v>
      </c>
      <c r="O667" s="21" t="s">
        <v>3653</v>
      </c>
      <c r="P667" s="21" t="s">
        <v>4519</v>
      </c>
      <c r="Q667" s="0" t="n">
        <v>1</v>
      </c>
      <c r="R667" s="21" t="s">
        <v>69</v>
      </c>
      <c r="S667" s="0" t="n">
        <v>2</v>
      </c>
      <c r="T667" s="21" t="s">
        <v>3653</v>
      </c>
      <c r="U667" s="22" t="b">
        <f aca="false">TRUE()</f>
        <v>1</v>
      </c>
      <c r="V667" s="0" t="n">
        <v>0.7</v>
      </c>
      <c r="W667" s="0" t="n">
        <v>0</v>
      </c>
      <c r="X667" s="0" t="n">
        <v>9.39</v>
      </c>
      <c r="Y667" s="0" t="n">
        <v>740.49</v>
      </c>
      <c r="Z667" s="0" t="n">
        <v>8.83</v>
      </c>
      <c r="AA667" s="0" t="n">
        <v>14.82</v>
      </c>
      <c r="AB667" s="0" t="n">
        <v>4.52</v>
      </c>
      <c r="AC667" s="22" t="b">
        <f aca="false">FALSE()</f>
        <v>0</v>
      </c>
      <c r="AD667" s="0" t="n">
        <v>16.98</v>
      </c>
      <c r="AE667" s="0" t="n">
        <v>0.68</v>
      </c>
      <c r="AF667" s="0" t="n">
        <v>2.9</v>
      </c>
      <c r="AG667" s="22" t="b">
        <f aca="false">TRUE()</f>
        <v>1</v>
      </c>
      <c r="AH667" s="0" t="n">
        <v>1</v>
      </c>
    </row>
    <row r="668" customFormat="false" ht="15" hidden="false" customHeight="false" outlineLevel="0" collapsed="false">
      <c r="A668" s="0" t="s">
        <v>1149</v>
      </c>
      <c r="B668" s="0" t="s">
        <v>134</v>
      </c>
      <c r="C668" s="0" t="s">
        <v>3447</v>
      </c>
      <c r="D668" s="0" t="s">
        <v>3457</v>
      </c>
      <c r="E668" s="20" t="s">
        <v>25</v>
      </c>
      <c r="F668" s="23" t="s">
        <v>30</v>
      </c>
      <c r="G668" s="21" t="s">
        <v>2610</v>
      </c>
      <c r="H668" s="21" t="s">
        <v>24</v>
      </c>
      <c r="I668" s="21" t="s">
        <v>24</v>
      </c>
      <c r="J668" s="21" t="s">
        <v>24</v>
      </c>
      <c r="K668" s="21" t="s">
        <v>25</v>
      </c>
      <c r="L668" s="21" t="s">
        <v>24</v>
      </c>
      <c r="M668" s="0" t="n">
        <v>184</v>
      </c>
      <c r="N668" s="0" t="n">
        <v>2</v>
      </c>
      <c r="O668" s="21" t="s">
        <v>3499</v>
      </c>
      <c r="P668" s="21" t="s">
        <v>4250</v>
      </c>
      <c r="Q668" s="0" t="n">
        <v>0</v>
      </c>
      <c r="S668" s="0" t="n">
        <v>2</v>
      </c>
      <c r="T668" s="21" t="s">
        <v>3499</v>
      </c>
      <c r="U668" s="22" t="b">
        <f aca="false">TRUE()</f>
        <v>1</v>
      </c>
      <c r="V668" s="0" t="n">
        <v>0.85</v>
      </c>
      <c r="W668" s="0" t="n">
        <v>0.92</v>
      </c>
      <c r="X668" s="0" t="n">
        <v>9.68</v>
      </c>
      <c r="Y668" s="0" t="n">
        <v>318.63</v>
      </c>
      <c r="Z668" s="0" t="n">
        <v>8</v>
      </c>
      <c r="AA668" s="0" t="n">
        <v>-1.23</v>
      </c>
      <c r="AB668" s="0" t="n">
        <v>0.7</v>
      </c>
      <c r="AC668" s="22" t="b">
        <f aca="false">FALSE()</f>
        <v>0</v>
      </c>
      <c r="AD668" s="0" t="n">
        <v>5.15</v>
      </c>
      <c r="AE668" s="0" t="n">
        <v>0.26</v>
      </c>
      <c r="AF668" s="0" t="n">
        <v>3.27</v>
      </c>
      <c r="AG668" s="22" t="b">
        <f aca="false">FALSE()</f>
        <v>0</v>
      </c>
      <c r="AH668" s="0" t="n">
        <v>1</v>
      </c>
    </row>
    <row r="669" customFormat="false" ht="15" hidden="false" customHeight="false" outlineLevel="0" collapsed="false">
      <c r="A669" s="0" t="s">
        <v>1149</v>
      </c>
      <c r="B669" s="0" t="s">
        <v>134</v>
      </c>
      <c r="C669" s="0" t="s">
        <v>3447</v>
      </c>
      <c r="D669" s="0" t="s">
        <v>3448</v>
      </c>
      <c r="E669" s="18" t="s">
        <v>24</v>
      </c>
      <c r="F669" s="23" t="s">
        <v>30</v>
      </c>
      <c r="G669" s="21" t="s">
        <v>30</v>
      </c>
      <c r="H669" s="21" t="s">
        <v>24</v>
      </c>
      <c r="I669" s="21" t="s">
        <v>24</v>
      </c>
      <c r="J669" s="21" t="s">
        <v>24</v>
      </c>
      <c r="K669" s="21" t="s">
        <v>24</v>
      </c>
      <c r="L669" s="21" t="s">
        <v>24</v>
      </c>
      <c r="M669" s="0" t="n">
        <v>189</v>
      </c>
      <c r="N669" s="0" t="n">
        <v>1</v>
      </c>
      <c r="O669" s="21" t="s">
        <v>3477</v>
      </c>
      <c r="P669" s="21" t="s">
        <v>4520</v>
      </c>
      <c r="Q669" s="0" t="n">
        <v>0</v>
      </c>
      <c r="S669" s="0" t="n">
        <v>0</v>
      </c>
      <c r="U669" s="22" t="b">
        <f aca="false">TRUE()</f>
        <v>1</v>
      </c>
      <c r="V669" s="0" t="n">
        <v>0.84</v>
      </c>
      <c r="W669" s="0" t="n">
        <v>0.72</v>
      </c>
      <c r="X669" s="0" t="n">
        <v>11.57</v>
      </c>
      <c r="Y669" s="0" t="n">
        <v>331.16</v>
      </c>
      <c r="Z669" s="0" t="n">
        <v>10.5</v>
      </c>
      <c r="AA669" s="0" t="n">
        <v>7.26</v>
      </c>
      <c r="AB669" s="0" t="n">
        <v>4.52</v>
      </c>
      <c r="AC669" s="22" t="b">
        <f aca="false">FALSE()</f>
        <v>0</v>
      </c>
      <c r="AD669" s="0" t="n">
        <v>13.95</v>
      </c>
      <c r="AE669" s="0" t="n">
        <v>1.85</v>
      </c>
      <c r="AF669" s="0" t="n">
        <v>1.2</v>
      </c>
      <c r="AG669" s="22" t="b">
        <f aca="false">TRUE()</f>
        <v>1</v>
      </c>
      <c r="AH669" s="0" t="n">
        <v>1</v>
      </c>
    </row>
    <row r="670" customFormat="false" ht="15" hidden="false" customHeight="false" outlineLevel="0" collapsed="false">
      <c r="A670" s="0" t="s">
        <v>1156</v>
      </c>
      <c r="B670" s="0" t="s">
        <v>134</v>
      </c>
      <c r="C670" s="0" t="s">
        <v>3450</v>
      </c>
      <c r="D670" s="0" t="s">
        <v>3457</v>
      </c>
      <c r="E670" s="20" t="s">
        <v>25</v>
      </c>
      <c r="F670" s="23" t="s">
        <v>30</v>
      </c>
      <c r="G670" s="21" t="s">
        <v>163</v>
      </c>
      <c r="H670" s="21" t="s">
        <v>24</v>
      </c>
      <c r="I670" s="21" t="s">
        <v>25</v>
      </c>
      <c r="J670" s="21" t="s">
        <v>24</v>
      </c>
      <c r="K670" s="21" t="s">
        <v>25</v>
      </c>
      <c r="L670" s="21" t="s">
        <v>24</v>
      </c>
      <c r="M670" s="0" t="n">
        <v>187</v>
      </c>
      <c r="N670" s="0" t="n">
        <v>2</v>
      </c>
      <c r="O670" s="21" t="s">
        <v>3575</v>
      </c>
      <c r="P670" s="21" t="s">
        <v>4265</v>
      </c>
      <c r="Q670" s="0" t="n">
        <v>1</v>
      </c>
      <c r="R670" s="21" t="s">
        <v>69</v>
      </c>
      <c r="S670" s="0" t="n">
        <v>2</v>
      </c>
      <c r="T670" s="21" t="s">
        <v>3575</v>
      </c>
      <c r="U670" s="22" t="b">
        <f aca="false">TRUE()</f>
        <v>1</v>
      </c>
      <c r="V670" s="0" t="n">
        <v>0.72</v>
      </c>
      <c r="W670" s="0" t="n">
        <v>0.2</v>
      </c>
      <c r="X670" s="0" t="n">
        <v>6.45</v>
      </c>
      <c r="Y670" s="0" t="n">
        <v>520.87</v>
      </c>
      <c r="Z670" s="0" t="n">
        <v>10.58</v>
      </c>
      <c r="AA670" s="0" t="n">
        <v>14.65</v>
      </c>
      <c r="AB670" s="0" t="n">
        <v>0.68</v>
      </c>
      <c r="AC670" s="22" t="b">
        <f aca="false">FALSE()</f>
        <v>0</v>
      </c>
      <c r="AD670" s="0" t="n">
        <v>25.18</v>
      </c>
      <c r="AE670" s="0" t="n">
        <v>1.07</v>
      </c>
      <c r="AF670" s="0" t="n">
        <v>17.26</v>
      </c>
      <c r="AG670" s="22" t="b">
        <f aca="false">TRUE()</f>
        <v>1</v>
      </c>
      <c r="AH670" s="0" t="n">
        <v>1</v>
      </c>
    </row>
    <row r="671" customFormat="false" ht="15" hidden="false" customHeight="false" outlineLevel="0" collapsed="false">
      <c r="A671" s="0" t="s">
        <v>1156</v>
      </c>
      <c r="B671" s="0" t="s">
        <v>134</v>
      </c>
      <c r="C671" s="0" t="s">
        <v>3450</v>
      </c>
      <c r="D671" s="0" t="s">
        <v>3448</v>
      </c>
      <c r="E671" s="20" t="s">
        <v>25</v>
      </c>
      <c r="F671" s="20" t="s">
        <v>29</v>
      </c>
      <c r="G671" s="21" t="s">
        <v>3470</v>
      </c>
      <c r="H671" s="21" t="s">
        <v>24</v>
      </c>
      <c r="I671" s="21" t="s">
        <v>24</v>
      </c>
      <c r="J671" s="21" t="s">
        <v>24</v>
      </c>
      <c r="K671" s="21" t="s">
        <v>25</v>
      </c>
      <c r="L671" s="21" t="s">
        <v>24</v>
      </c>
      <c r="M671" s="0" t="n">
        <v>185</v>
      </c>
      <c r="N671" s="0" t="n">
        <v>0</v>
      </c>
      <c r="Q671" s="0" t="n">
        <v>0</v>
      </c>
      <c r="S671" s="0" t="n">
        <v>0</v>
      </c>
      <c r="U671" s="22" t="b">
        <f aca="false">FALSE()</f>
        <v>0</v>
      </c>
      <c r="V671" s="0" t="n">
        <v>0.73</v>
      </c>
      <c r="W671" s="0" t="n">
        <v>0.2</v>
      </c>
      <c r="X671" s="0" t="n">
        <v>6.05</v>
      </c>
      <c r="Y671" s="0" t="n">
        <v>514.2</v>
      </c>
      <c r="Z671" s="0" t="n">
        <v>10.75</v>
      </c>
      <c r="AA671" s="0" t="n">
        <v>11.35</v>
      </c>
      <c r="AB671" s="0" t="n">
        <v>1.17</v>
      </c>
      <c r="AC671" s="22" t="b">
        <f aca="false">FALSE()</f>
        <v>0</v>
      </c>
      <c r="AD671" s="0" t="n">
        <v>20.64</v>
      </c>
      <c r="AE671" s="0" t="n">
        <v>-0.16</v>
      </c>
      <c r="AF671" s="0" t="n">
        <v>11.03</v>
      </c>
      <c r="AG671" s="22" t="b">
        <f aca="false">TRUE()</f>
        <v>1</v>
      </c>
      <c r="AH671" s="0" t="n">
        <v>1</v>
      </c>
    </row>
    <row r="672" customFormat="false" ht="15" hidden="false" customHeight="false" outlineLevel="0" collapsed="false">
      <c r="A672" s="0" t="s">
        <v>1156</v>
      </c>
      <c r="B672" s="0" t="s">
        <v>134</v>
      </c>
      <c r="C672" s="0" t="s">
        <v>3447</v>
      </c>
      <c r="D672" s="0" t="s">
        <v>3457</v>
      </c>
      <c r="E672" s="20" t="s">
        <v>25</v>
      </c>
      <c r="F672" s="20" t="s">
        <v>29</v>
      </c>
      <c r="G672" s="21" t="s">
        <v>64</v>
      </c>
      <c r="H672" s="21" t="s">
        <v>24</v>
      </c>
      <c r="I672" s="21" t="s">
        <v>24</v>
      </c>
      <c r="J672" s="21" t="s">
        <v>24</v>
      </c>
      <c r="K672" s="21" t="s">
        <v>25</v>
      </c>
      <c r="L672" s="21" t="s">
        <v>24</v>
      </c>
      <c r="M672" s="0" t="n">
        <v>186</v>
      </c>
      <c r="N672" s="0" t="n">
        <v>0</v>
      </c>
      <c r="Q672" s="0" t="n">
        <v>0</v>
      </c>
      <c r="S672" s="0" t="n">
        <v>0</v>
      </c>
      <c r="U672" s="22" t="b">
        <f aca="false">FALSE()</f>
        <v>0</v>
      </c>
      <c r="V672" s="0" t="n">
        <v>0.71</v>
      </c>
      <c r="W672" s="0" t="n">
        <v>0.64</v>
      </c>
      <c r="X672" s="0" t="n">
        <v>5.27</v>
      </c>
      <c r="Y672" s="0" t="n">
        <v>327.21</v>
      </c>
      <c r="Z672" s="0" t="n">
        <v>8</v>
      </c>
      <c r="AA672" s="0" t="n">
        <v>-1.11</v>
      </c>
      <c r="AB672" s="0" t="n">
        <v>0.68</v>
      </c>
      <c r="AC672" s="22" t="b">
        <f aca="false">FALSE()</f>
        <v>0</v>
      </c>
      <c r="AD672" s="0" t="n">
        <v>11.75</v>
      </c>
      <c r="AE672" s="0" t="n">
        <v>0.28</v>
      </c>
      <c r="AF672" s="0" t="n">
        <v>7.88</v>
      </c>
      <c r="AG672" s="22" t="b">
        <f aca="false">TRUE()</f>
        <v>1</v>
      </c>
      <c r="AH672" s="0" t="n">
        <v>1</v>
      </c>
    </row>
    <row r="673" customFormat="false" ht="15" hidden="false" customHeight="false" outlineLevel="0" collapsed="false">
      <c r="A673" s="0" t="s">
        <v>1156</v>
      </c>
      <c r="B673" s="0" t="s">
        <v>134</v>
      </c>
      <c r="C673" s="0" t="s">
        <v>3447</v>
      </c>
      <c r="D673" s="0" t="s">
        <v>3448</v>
      </c>
      <c r="E673" s="20" t="s">
        <v>25</v>
      </c>
      <c r="F673" s="20" t="s">
        <v>29</v>
      </c>
      <c r="G673" s="21" t="s">
        <v>63</v>
      </c>
      <c r="H673" s="21" t="s">
        <v>24</v>
      </c>
      <c r="I673" s="21" t="s">
        <v>24</v>
      </c>
      <c r="J673" s="21" t="s">
        <v>24</v>
      </c>
      <c r="K673" s="21" t="s">
        <v>25</v>
      </c>
      <c r="L673" s="21" t="s">
        <v>24</v>
      </c>
      <c r="M673" s="0" t="n">
        <v>186</v>
      </c>
      <c r="N673" s="0" t="n">
        <v>0</v>
      </c>
      <c r="Q673" s="0" t="n">
        <v>0</v>
      </c>
      <c r="S673" s="0" t="n">
        <v>0</v>
      </c>
      <c r="U673" s="22" t="b">
        <f aca="false">FALSE()</f>
        <v>0</v>
      </c>
      <c r="V673" s="0" t="n">
        <v>0.8</v>
      </c>
      <c r="W673" s="0" t="n">
        <v>0.44</v>
      </c>
      <c r="X673" s="0" t="n">
        <v>5.72</v>
      </c>
      <c r="Y673" s="0" t="n">
        <v>351.32</v>
      </c>
      <c r="Z673" s="0" t="n">
        <v>8</v>
      </c>
      <c r="AA673" s="0" t="n">
        <v>-0.79</v>
      </c>
      <c r="AB673" s="0" t="n">
        <v>1.17</v>
      </c>
      <c r="AC673" s="22" t="b">
        <f aca="false">FALSE()</f>
        <v>0</v>
      </c>
      <c r="AD673" s="0" t="n">
        <v>18.1</v>
      </c>
      <c r="AE673" s="0" t="n">
        <v>0.42</v>
      </c>
      <c r="AF673" s="0" t="n">
        <v>12.19</v>
      </c>
      <c r="AG673" s="22" t="b">
        <f aca="false">TRUE()</f>
        <v>1</v>
      </c>
      <c r="AH673" s="0" t="n">
        <v>1</v>
      </c>
    </row>
    <row r="674" customFormat="false" ht="15" hidden="false" customHeight="false" outlineLevel="0" collapsed="false">
      <c r="A674" s="0" t="s">
        <v>1156</v>
      </c>
      <c r="B674" s="0" t="s">
        <v>3459</v>
      </c>
      <c r="C674" s="0" t="s">
        <v>3450</v>
      </c>
      <c r="D674" s="0" t="s">
        <v>3457</v>
      </c>
      <c r="E674" s="20" t="s">
        <v>25</v>
      </c>
      <c r="F674" s="20" t="s">
        <v>29</v>
      </c>
      <c r="G674" s="21" t="s">
        <v>61</v>
      </c>
      <c r="H674" s="21" t="s">
        <v>24</v>
      </c>
      <c r="I674" s="21" t="s">
        <v>24</v>
      </c>
      <c r="J674" s="21" t="s">
        <v>24</v>
      </c>
      <c r="K674" s="21" t="s">
        <v>25</v>
      </c>
      <c r="L674" s="21" t="s">
        <v>24</v>
      </c>
      <c r="M674" s="0" t="n">
        <v>182</v>
      </c>
      <c r="N674" s="0" t="n">
        <v>0</v>
      </c>
      <c r="Q674" s="0" t="n">
        <v>0</v>
      </c>
      <c r="S674" s="0" t="n">
        <v>0</v>
      </c>
      <c r="U674" s="22" t="b">
        <f aca="false">FALSE()</f>
        <v>0</v>
      </c>
      <c r="V674" s="0" t="n">
        <v>0.76</v>
      </c>
      <c r="W674" s="0" t="n">
        <v>0.56</v>
      </c>
      <c r="X674" s="0" t="n">
        <v>7.3</v>
      </c>
      <c r="Y674" s="0" t="n">
        <v>311.43</v>
      </c>
      <c r="Z674" s="0" t="n">
        <v>10.58</v>
      </c>
      <c r="AA674" s="0" t="n">
        <v>7.55</v>
      </c>
      <c r="AB674" s="0" t="n">
        <v>5.64</v>
      </c>
      <c r="AC674" s="22" t="b">
        <f aca="false">FALSE()</f>
        <v>0</v>
      </c>
      <c r="AD674" s="0" t="n">
        <v>26.19</v>
      </c>
      <c r="AE674" s="0" t="n">
        <v>15.88</v>
      </c>
      <c r="AF674" s="0" t="n">
        <v>24.13</v>
      </c>
      <c r="AG674" s="22" t="b">
        <f aca="false">TRUE()</f>
        <v>1</v>
      </c>
      <c r="AH674" s="0" t="n">
        <v>1</v>
      </c>
    </row>
    <row r="675" customFormat="false" ht="15" hidden="false" customHeight="false" outlineLevel="0" collapsed="false">
      <c r="A675" s="0" t="s">
        <v>1156</v>
      </c>
      <c r="B675" s="0" t="s">
        <v>3459</v>
      </c>
      <c r="C675" s="0" t="s">
        <v>3450</v>
      </c>
      <c r="D675" s="0" t="s">
        <v>3448</v>
      </c>
      <c r="E675" s="20" t="s">
        <v>25</v>
      </c>
      <c r="F675" s="20" t="s">
        <v>29</v>
      </c>
      <c r="G675" s="21" t="s">
        <v>61</v>
      </c>
      <c r="H675" s="21" t="s">
        <v>24</v>
      </c>
      <c r="I675" s="21" t="s">
        <v>24</v>
      </c>
      <c r="J675" s="21" t="s">
        <v>24</v>
      </c>
      <c r="K675" s="21" t="s">
        <v>25</v>
      </c>
      <c r="L675" s="21" t="s">
        <v>24</v>
      </c>
      <c r="M675" s="0" t="n">
        <v>182</v>
      </c>
      <c r="N675" s="0" t="n">
        <v>0</v>
      </c>
      <c r="Q675" s="0" t="n">
        <v>0</v>
      </c>
      <c r="S675" s="0" t="n">
        <v>0</v>
      </c>
      <c r="U675" s="22" t="b">
        <f aca="false">FALSE()</f>
        <v>0</v>
      </c>
      <c r="V675" s="0" t="n">
        <v>0.75</v>
      </c>
      <c r="W675" s="0" t="n">
        <v>0</v>
      </c>
      <c r="X675" s="0" t="n">
        <v>6.86</v>
      </c>
      <c r="Y675" s="0" t="n">
        <v>682.1</v>
      </c>
      <c r="Z675" s="0" t="n">
        <v>10.75</v>
      </c>
      <c r="AA675" s="0" t="n">
        <v>8.85</v>
      </c>
      <c r="AB675" s="0" t="n">
        <v>3.2</v>
      </c>
      <c r="AC675" s="22" t="b">
        <f aca="false">FALSE()</f>
        <v>0</v>
      </c>
      <c r="AD675" s="0" t="n">
        <v>23.64</v>
      </c>
      <c r="AE675" s="0" t="n">
        <v>9.74</v>
      </c>
      <c r="AF675" s="0" t="n">
        <v>18.45</v>
      </c>
      <c r="AG675" s="22" t="b">
        <f aca="false">TRUE()</f>
        <v>1</v>
      </c>
      <c r="AH675" s="0" t="n">
        <v>1</v>
      </c>
    </row>
    <row r="676" customFormat="false" ht="15" hidden="false" customHeight="false" outlineLevel="0" collapsed="false">
      <c r="A676" s="0" t="s">
        <v>1156</v>
      </c>
      <c r="B676" s="0" t="s">
        <v>3459</v>
      </c>
      <c r="C676" s="0" t="s">
        <v>3447</v>
      </c>
      <c r="D676" s="0" t="s">
        <v>3457</v>
      </c>
      <c r="E676" s="20" t="s">
        <v>25</v>
      </c>
      <c r="F676" s="20" t="s">
        <v>29</v>
      </c>
      <c r="G676" s="21" t="s">
        <v>61</v>
      </c>
      <c r="H676" s="21" t="s">
        <v>24</v>
      </c>
      <c r="I676" s="21" t="s">
        <v>24</v>
      </c>
      <c r="J676" s="21" t="s">
        <v>24</v>
      </c>
      <c r="K676" s="21" t="s">
        <v>25</v>
      </c>
      <c r="L676" s="21" t="s">
        <v>24</v>
      </c>
      <c r="M676" s="0" t="n">
        <v>183</v>
      </c>
      <c r="N676" s="0" t="n">
        <v>0</v>
      </c>
      <c r="Q676" s="0" t="n">
        <v>0</v>
      </c>
      <c r="S676" s="0" t="n">
        <v>0</v>
      </c>
      <c r="U676" s="22" t="b">
        <f aca="false">FALSE()</f>
        <v>0</v>
      </c>
      <c r="V676" s="0" t="n">
        <v>0.81</v>
      </c>
      <c r="W676" s="0" t="n">
        <v>0.64</v>
      </c>
      <c r="X676" s="0" t="n">
        <v>7.03</v>
      </c>
      <c r="Y676" s="0" t="n">
        <v>307.11</v>
      </c>
      <c r="Z676" s="0" t="n">
        <v>10</v>
      </c>
      <c r="AA676" s="0" t="n">
        <v>-0.04</v>
      </c>
      <c r="AB676" s="0" t="n">
        <v>5.64</v>
      </c>
      <c r="AC676" s="22" t="b">
        <f aca="false">FALSE()</f>
        <v>0</v>
      </c>
      <c r="AD676" s="0" t="n">
        <v>27.64</v>
      </c>
      <c r="AE676" s="0" t="n">
        <v>15.14</v>
      </c>
      <c r="AF676" s="0" t="n">
        <v>23.53</v>
      </c>
      <c r="AG676" s="22" t="b">
        <f aca="false">TRUE()</f>
        <v>1</v>
      </c>
      <c r="AH676" s="0" t="n">
        <v>1</v>
      </c>
    </row>
    <row r="677" customFormat="false" ht="15" hidden="false" customHeight="false" outlineLevel="0" collapsed="false">
      <c r="A677" s="0" t="s">
        <v>1156</v>
      </c>
      <c r="B677" s="0" t="s">
        <v>3459</v>
      </c>
      <c r="C677" s="0" t="s">
        <v>3447</v>
      </c>
      <c r="D677" s="0" t="s">
        <v>3448</v>
      </c>
      <c r="E677" s="20" t="s">
        <v>25</v>
      </c>
      <c r="F677" s="20" t="s">
        <v>29</v>
      </c>
      <c r="G677" s="21" t="s">
        <v>61</v>
      </c>
      <c r="H677" s="21" t="s">
        <v>24</v>
      </c>
      <c r="I677" s="21" t="s">
        <v>24</v>
      </c>
      <c r="J677" s="21" t="s">
        <v>24</v>
      </c>
      <c r="K677" s="21" t="s">
        <v>25</v>
      </c>
      <c r="L677" s="21" t="s">
        <v>24</v>
      </c>
      <c r="M677" s="0" t="n">
        <v>183</v>
      </c>
      <c r="N677" s="0" t="n">
        <v>0</v>
      </c>
      <c r="Q677" s="0" t="n">
        <v>0</v>
      </c>
      <c r="S677" s="0" t="n">
        <v>0</v>
      </c>
      <c r="U677" s="22" t="b">
        <f aca="false">FALSE()</f>
        <v>0</v>
      </c>
      <c r="V677" s="0" t="n">
        <v>0.77</v>
      </c>
      <c r="W677" s="0" t="n">
        <v>0.48</v>
      </c>
      <c r="X677" s="0" t="n">
        <v>6.74</v>
      </c>
      <c r="Y677" s="0" t="n">
        <v>333.41</v>
      </c>
      <c r="Z677" s="0" t="n">
        <v>9.5</v>
      </c>
      <c r="AA677" s="0" t="n">
        <v>2.22</v>
      </c>
      <c r="AB677" s="0" t="n">
        <v>3.2</v>
      </c>
      <c r="AC677" s="22" t="b">
        <f aca="false">FALSE()</f>
        <v>0</v>
      </c>
      <c r="AD677" s="0" t="n">
        <v>28.47</v>
      </c>
      <c r="AE677" s="0" t="n">
        <v>16.38</v>
      </c>
      <c r="AF677" s="0" t="n">
        <v>25.16</v>
      </c>
      <c r="AG677" s="22" t="b">
        <f aca="false">TRUE()</f>
        <v>1</v>
      </c>
      <c r="AH677" s="0" t="n">
        <v>1</v>
      </c>
    </row>
    <row r="678" customFormat="false" ht="15" hidden="false" customHeight="false" outlineLevel="0" collapsed="false">
      <c r="A678" s="0" t="s">
        <v>1170</v>
      </c>
      <c r="B678" s="0" t="s">
        <v>134</v>
      </c>
      <c r="C678" s="0" t="s">
        <v>3450</v>
      </c>
      <c r="D678" s="0" t="s">
        <v>3457</v>
      </c>
      <c r="E678" s="20" t="s">
        <v>25</v>
      </c>
      <c r="F678" s="23" t="s">
        <v>30</v>
      </c>
      <c r="G678" s="21" t="s">
        <v>183</v>
      </c>
      <c r="H678" s="21" t="s">
        <v>24</v>
      </c>
      <c r="I678" s="21" t="s">
        <v>25</v>
      </c>
      <c r="J678" s="21" t="s">
        <v>24</v>
      </c>
      <c r="K678" s="21" t="s">
        <v>25</v>
      </c>
      <c r="L678" s="21" t="s">
        <v>24</v>
      </c>
      <c r="M678" s="0" t="n">
        <v>197</v>
      </c>
      <c r="N678" s="0" t="n">
        <v>4</v>
      </c>
      <c r="O678" s="21" t="s">
        <v>3799</v>
      </c>
      <c r="P678" s="21" t="s">
        <v>4521</v>
      </c>
      <c r="Q678" s="0" t="n">
        <v>1</v>
      </c>
      <c r="R678" s="21" t="s">
        <v>69</v>
      </c>
      <c r="S678" s="0" t="n">
        <v>4</v>
      </c>
      <c r="T678" s="21" t="s">
        <v>3799</v>
      </c>
      <c r="U678" s="22" t="b">
        <f aca="false">TRUE()</f>
        <v>1</v>
      </c>
      <c r="V678" s="0" t="n">
        <v>0.7</v>
      </c>
      <c r="W678" s="0" t="n">
        <v>0.88</v>
      </c>
      <c r="X678" s="0" t="n">
        <v>6.02</v>
      </c>
      <c r="Y678" s="0" t="n">
        <v>330.2</v>
      </c>
      <c r="Z678" s="0" t="n">
        <v>11</v>
      </c>
      <c r="AA678" s="0" t="n">
        <v>11.95</v>
      </c>
      <c r="AB678" s="0" t="n">
        <v>2.63</v>
      </c>
      <c r="AC678" s="22" t="b">
        <f aca="false">FALSE()</f>
        <v>0</v>
      </c>
      <c r="AD678" s="0" t="n">
        <v>22.31</v>
      </c>
      <c r="AE678" s="0" t="n">
        <v>0.64</v>
      </c>
      <c r="AF678" s="0" t="n">
        <v>9.25</v>
      </c>
      <c r="AG678" s="22" t="b">
        <f aca="false">TRUE()</f>
        <v>1</v>
      </c>
      <c r="AH678" s="0" t="n">
        <v>1</v>
      </c>
    </row>
    <row r="679" customFormat="false" ht="15" hidden="false" customHeight="false" outlineLevel="0" collapsed="false">
      <c r="A679" s="0" t="s">
        <v>1170</v>
      </c>
      <c r="B679" s="0" t="s">
        <v>134</v>
      </c>
      <c r="C679" s="0" t="s">
        <v>3450</v>
      </c>
      <c r="D679" s="0" t="s">
        <v>3448</v>
      </c>
      <c r="E679" s="20" t="s">
        <v>25</v>
      </c>
      <c r="F679" s="23" t="s">
        <v>30</v>
      </c>
      <c r="G679" s="21" t="s">
        <v>283</v>
      </c>
      <c r="H679" s="21" t="s">
        <v>24</v>
      </c>
      <c r="I679" s="21" t="s">
        <v>25</v>
      </c>
      <c r="J679" s="21" t="s">
        <v>24</v>
      </c>
      <c r="K679" s="21" t="s">
        <v>24</v>
      </c>
      <c r="L679" s="21" t="s">
        <v>24</v>
      </c>
      <c r="M679" s="0" t="n">
        <v>184</v>
      </c>
      <c r="N679" s="0" t="n">
        <v>1</v>
      </c>
      <c r="O679" s="21" t="s">
        <v>69</v>
      </c>
      <c r="P679" s="21" t="s">
        <v>4275</v>
      </c>
      <c r="Q679" s="0" t="n">
        <v>1</v>
      </c>
      <c r="R679" s="21" t="s">
        <v>69</v>
      </c>
      <c r="S679" s="0" t="n">
        <v>1</v>
      </c>
      <c r="T679" s="21" t="s">
        <v>69</v>
      </c>
      <c r="U679" s="22" t="b">
        <f aca="false">TRUE()</f>
        <v>1</v>
      </c>
      <c r="V679" s="0" t="n">
        <v>0.69</v>
      </c>
      <c r="W679" s="0" t="n">
        <v>0</v>
      </c>
      <c r="X679" s="0" t="n">
        <v>6.08</v>
      </c>
      <c r="Y679" s="0" t="n">
        <v>1.25</v>
      </c>
      <c r="Z679" s="0" t="n">
        <v>10.42</v>
      </c>
      <c r="AA679" s="0" t="n">
        <v>10.99</v>
      </c>
      <c r="AB679" s="0" t="n">
        <v>5.65</v>
      </c>
      <c r="AC679" s="22" t="b">
        <f aca="false">FALSE()</f>
        <v>0</v>
      </c>
      <c r="AD679" s="0" t="n">
        <v>18.48</v>
      </c>
      <c r="AE679" s="0" t="n">
        <v>0.36</v>
      </c>
      <c r="AF679" s="0" t="n">
        <v>18.04</v>
      </c>
      <c r="AG679" s="22" t="b">
        <f aca="false">TRUE()</f>
        <v>1</v>
      </c>
      <c r="AH679" s="0" t="n">
        <v>0</v>
      </c>
    </row>
    <row r="680" customFormat="false" ht="15" hidden="false" customHeight="false" outlineLevel="0" collapsed="false">
      <c r="A680" s="0" t="s">
        <v>1170</v>
      </c>
      <c r="B680" s="0" t="s">
        <v>134</v>
      </c>
      <c r="C680" s="0" t="s">
        <v>3447</v>
      </c>
      <c r="D680" s="0" t="s">
        <v>3457</v>
      </c>
      <c r="E680" s="20" t="s">
        <v>25</v>
      </c>
      <c r="F680" s="20" t="s">
        <v>29</v>
      </c>
      <c r="G680" s="21" t="s">
        <v>61</v>
      </c>
      <c r="H680" s="21" t="s">
        <v>24</v>
      </c>
      <c r="I680" s="21" t="s">
        <v>24</v>
      </c>
      <c r="J680" s="21" t="s">
        <v>24</v>
      </c>
      <c r="K680" s="21" t="s">
        <v>25</v>
      </c>
      <c r="L680" s="21" t="s">
        <v>24</v>
      </c>
      <c r="M680" s="0" t="n">
        <v>186</v>
      </c>
      <c r="N680" s="0" t="n">
        <v>0</v>
      </c>
      <c r="Q680" s="0" t="n">
        <v>0</v>
      </c>
      <c r="S680" s="0" t="n">
        <v>0</v>
      </c>
      <c r="U680" s="22" t="b">
        <f aca="false">FALSE()</f>
        <v>0</v>
      </c>
      <c r="V680" s="0" t="n">
        <v>0.79</v>
      </c>
      <c r="W680" s="0" t="n">
        <v>0</v>
      </c>
      <c r="X680" s="0" t="n">
        <v>5.58</v>
      </c>
      <c r="Y680" s="0" t="n">
        <v>728.44</v>
      </c>
      <c r="Z680" s="0" t="n">
        <v>9.75</v>
      </c>
      <c r="AA680" s="0" t="n">
        <v>5.03</v>
      </c>
      <c r="AB680" s="0" t="n">
        <v>2.63</v>
      </c>
      <c r="AC680" s="22" t="b">
        <f aca="false">FALSE()</f>
        <v>0</v>
      </c>
      <c r="AD680" s="0" t="n">
        <v>21.75</v>
      </c>
      <c r="AE680" s="0" t="n">
        <v>0.99</v>
      </c>
      <c r="AF680" s="0" t="n">
        <v>10.44</v>
      </c>
      <c r="AG680" s="22" t="b">
        <f aca="false">TRUE()</f>
        <v>1</v>
      </c>
      <c r="AH680" s="0" t="n">
        <v>1</v>
      </c>
    </row>
    <row r="681" customFormat="false" ht="15" hidden="false" customHeight="false" outlineLevel="0" collapsed="false">
      <c r="A681" s="0" t="s">
        <v>1170</v>
      </c>
      <c r="B681" s="0" t="s">
        <v>134</v>
      </c>
      <c r="C681" s="0" t="s">
        <v>3447</v>
      </c>
      <c r="D681" s="0" t="s">
        <v>3448</v>
      </c>
      <c r="E681" s="18" t="s">
        <v>24</v>
      </c>
      <c r="F681" s="23" t="s">
        <v>30</v>
      </c>
      <c r="G681" s="21" t="s">
        <v>30</v>
      </c>
      <c r="H681" s="21" t="s">
        <v>24</v>
      </c>
      <c r="I681" s="21" t="s">
        <v>24</v>
      </c>
      <c r="J681" s="21" t="s">
        <v>24</v>
      </c>
      <c r="K681" s="21" t="s">
        <v>24</v>
      </c>
      <c r="L681" s="21" t="s">
        <v>24</v>
      </c>
      <c r="M681" s="0" t="n">
        <v>187</v>
      </c>
      <c r="N681" s="0" t="n">
        <v>1</v>
      </c>
      <c r="O681" s="21" t="s">
        <v>3478</v>
      </c>
      <c r="P681" s="21" t="s">
        <v>4288</v>
      </c>
      <c r="Q681" s="0" t="n">
        <v>0</v>
      </c>
      <c r="S681" s="0" t="n">
        <v>1</v>
      </c>
      <c r="T681" s="21" t="s">
        <v>3478</v>
      </c>
      <c r="U681" s="22" t="b">
        <f aca="false">TRUE()</f>
        <v>1</v>
      </c>
      <c r="V681" s="0" t="n">
        <v>0.82</v>
      </c>
      <c r="W681" s="0" t="n">
        <v>0.76</v>
      </c>
      <c r="X681" s="0" t="n">
        <v>5.54</v>
      </c>
      <c r="Y681" s="0" t="n">
        <v>288.63</v>
      </c>
      <c r="Z681" s="0" t="n">
        <v>10.25</v>
      </c>
      <c r="AA681" s="0" t="n">
        <v>3</v>
      </c>
      <c r="AB681" s="0" t="n">
        <v>5.65</v>
      </c>
      <c r="AC681" s="22" t="b">
        <f aca="false">FALSE()</f>
        <v>0</v>
      </c>
      <c r="AD681" s="0" t="n">
        <v>18.62</v>
      </c>
      <c r="AE681" s="0" t="n">
        <v>1.17</v>
      </c>
      <c r="AF681" s="0" t="n">
        <v>17.97</v>
      </c>
      <c r="AG681" s="22" t="b">
        <f aca="false">TRUE()</f>
        <v>1</v>
      </c>
      <c r="AH681" s="0" t="n">
        <v>1</v>
      </c>
    </row>
    <row r="682" customFormat="false" ht="15" hidden="false" customHeight="false" outlineLevel="0" collapsed="false">
      <c r="A682" s="0" t="s">
        <v>1170</v>
      </c>
      <c r="B682" s="0" t="s">
        <v>3459</v>
      </c>
      <c r="C682" s="0" t="s">
        <v>3450</v>
      </c>
      <c r="D682" s="0" t="s">
        <v>3457</v>
      </c>
      <c r="E682" s="19" t="s">
        <v>26</v>
      </c>
      <c r="F682" s="19" t="s">
        <v>32</v>
      </c>
      <c r="G682" s="21" t="s">
        <v>1178</v>
      </c>
      <c r="H682" s="21" t="s">
        <v>24</v>
      </c>
      <c r="I682" s="21" t="s">
        <v>26</v>
      </c>
      <c r="J682" s="21" t="s">
        <v>24</v>
      </c>
      <c r="K682" s="21" t="s">
        <v>25</v>
      </c>
      <c r="L682" s="21" t="s">
        <v>24</v>
      </c>
      <c r="M682" s="0" t="n">
        <v>183</v>
      </c>
      <c r="N682" s="0" t="n">
        <v>11</v>
      </c>
      <c r="O682" s="21" t="s">
        <v>4034</v>
      </c>
      <c r="P682" s="21" t="s">
        <v>4252</v>
      </c>
      <c r="Q682" s="0" t="n">
        <v>1</v>
      </c>
      <c r="R682" s="21" t="s">
        <v>69</v>
      </c>
      <c r="S682" s="0" t="n">
        <v>11</v>
      </c>
      <c r="T682" s="21" t="s">
        <v>4034</v>
      </c>
      <c r="U682" s="22" t="b">
        <f aca="false">FALSE()</f>
        <v>0</v>
      </c>
      <c r="V682" s="0" t="n">
        <v>0.75</v>
      </c>
      <c r="W682" s="0" t="n">
        <v>0.64</v>
      </c>
      <c r="X682" s="0" t="n">
        <v>5.71</v>
      </c>
      <c r="Y682" s="0" t="n">
        <v>286.05</v>
      </c>
      <c r="Z682" s="0" t="n">
        <v>11.08</v>
      </c>
      <c r="AA682" s="0" t="n">
        <v>5.28</v>
      </c>
      <c r="AB682" s="0" t="n">
        <v>1.03</v>
      </c>
      <c r="AC682" s="22" t="b">
        <f aca="false">FALSE()</f>
        <v>0</v>
      </c>
      <c r="AD682" s="0" t="n">
        <v>25.53</v>
      </c>
      <c r="AE682" s="0" t="n">
        <v>18.24</v>
      </c>
      <c r="AF682" s="0" t="n">
        <v>25.53</v>
      </c>
      <c r="AG682" s="22" t="b">
        <f aca="false">TRUE()</f>
        <v>1</v>
      </c>
      <c r="AH682" s="0" t="n">
        <v>1</v>
      </c>
    </row>
    <row r="683" customFormat="false" ht="15" hidden="false" customHeight="false" outlineLevel="0" collapsed="false">
      <c r="A683" s="0" t="s">
        <v>1170</v>
      </c>
      <c r="B683" s="0" t="s">
        <v>3459</v>
      </c>
      <c r="C683" s="0" t="s">
        <v>3450</v>
      </c>
      <c r="D683" s="0" t="s">
        <v>3448</v>
      </c>
      <c r="E683" s="19" t="s">
        <v>26</v>
      </c>
      <c r="F683" s="19" t="s">
        <v>32</v>
      </c>
      <c r="G683" s="21" t="s">
        <v>4005</v>
      </c>
      <c r="H683" s="21" t="s">
        <v>24</v>
      </c>
      <c r="I683" s="21" t="s">
        <v>26</v>
      </c>
      <c r="J683" s="21" t="s">
        <v>24</v>
      </c>
      <c r="K683" s="21" t="s">
        <v>25</v>
      </c>
      <c r="L683" s="21" t="s">
        <v>24</v>
      </c>
      <c r="M683" s="0" t="n">
        <v>183</v>
      </c>
      <c r="N683" s="0" t="n">
        <v>7</v>
      </c>
      <c r="O683" s="21" t="s">
        <v>4037</v>
      </c>
      <c r="P683" s="21" t="s">
        <v>4522</v>
      </c>
      <c r="Q683" s="0" t="n">
        <v>1</v>
      </c>
      <c r="R683" s="21" t="s">
        <v>69</v>
      </c>
      <c r="S683" s="0" t="n">
        <v>7</v>
      </c>
      <c r="T683" s="21" t="s">
        <v>4037</v>
      </c>
      <c r="U683" s="22" t="b">
        <f aca="false">FALSE()</f>
        <v>0</v>
      </c>
      <c r="V683" s="0" t="n">
        <v>0.73</v>
      </c>
      <c r="W683" s="0" t="n">
        <v>0.4</v>
      </c>
      <c r="X683" s="0" t="n">
        <v>5.45</v>
      </c>
      <c r="Y683" s="0" t="n">
        <v>360.31</v>
      </c>
      <c r="Z683" s="0" t="n">
        <v>11.08</v>
      </c>
      <c r="AA683" s="0" t="n">
        <v>9.07</v>
      </c>
      <c r="AB683" s="0" t="n">
        <v>0.07</v>
      </c>
      <c r="AC683" s="22" t="b">
        <f aca="false">FALSE()</f>
        <v>0</v>
      </c>
      <c r="AD683" s="0" t="n">
        <v>24.51</v>
      </c>
      <c r="AE683" s="0" t="n">
        <v>17.52</v>
      </c>
      <c r="AF683" s="0" t="n">
        <v>25.28</v>
      </c>
      <c r="AG683" s="22" t="b">
        <f aca="false">TRUE()</f>
        <v>1</v>
      </c>
      <c r="AH683" s="0" t="n">
        <v>1</v>
      </c>
    </row>
    <row r="684" customFormat="false" ht="15" hidden="false" customHeight="false" outlineLevel="0" collapsed="false">
      <c r="A684" s="0" t="s">
        <v>1170</v>
      </c>
      <c r="B684" s="0" t="s">
        <v>3459</v>
      </c>
      <c r="C684" s="0" t="s">
        <v>3447</v>
      </c>
      <c r="D684" s="0" t="s">
        <v>3457</v>
      </c>
      <c r="E684" s="20" t="s">
        <v>25</v>
      </c>
      <c r="F684" s="23" t="s">
        <v>30</v>
      </c>
      <c r="G684" s="21" t="s">
        <v>157</v>
      </c>
      <c r="H684" s="21" t="s">
        <v>24</v>
      </c>
      <c r="I684" s="21" t="s">
        <v>25</v>
      </c>
      <c r="J684" s="21" t="s">
        <v>24</v>
      </c>
      <c r="K684" s="21" t="s">
        <v>25</v>
      </c>
      <c r="L684" s="21" t="s">
        <v>24</v>
      </c>
      <c r="M684" s="0" t="n">
        <v>183</v>
      </c>
      <c r="N684" s="0" t="n">
        <v>2</v>
      </c>
      <c r="O684" s="21" t="s">
        <v>3575</v>
      </c>
      <c r="P684" s="21" t="s">
        <v>4265</v>
      </c>
      <c r="Q684" s="0" t="n">
        <v>1</v>
      </c>
      <c r="R684" s="21" t="s">
        <v>69</v>
      </c>
      <c r="S684" s="0" t="n">
        <v>2</v>
      </c>
      <c r="T684" s="21" t="s">
        <v>3575</v>
      </c>
      <c r="U684" s="22" t="b">
        <f aca="false">TRUE()</f>
        <v>1</v>
      </c>
      <c r="V684" s="0" t="n">
        <v>0.75</v>
      </c>
      <c r="W684" s="0" t="n">
        <v>0.32</v>
      </c>
      <c r="X684" s="0" t="n">
        <v>5.29</v>
      </c>
      <c r="Y684" s="0" t="n">
        <v>381.84</v>
      </c>
      <c r="Z684" s="0" t="n">
        <v>10</v>
      </c>
      <c r="AA684" s="0" t="n">
        <v>6.24</v>
      </c>
      <c r="AB684" s="0" t="n">
        <v>1.03</v>
      </c>
      <c r="AC684" s="22" t="b">
        <f aca="false">FALSE()</f>
        <v>0</v>
      </c>
      <c r="AD684" s="0" t="n">
        <v>25.17</v>
      </c>
      <c r="AE684" s="0" t="n">
        <v>17.92</v>
      </c>
      <c r="AF684" s="0" t="n">
        <v>25.45</v>
      </c>
      <c r="AG684" s="22" t="b">
        <f aca="false">TRUE()</f>
        <v>1</v>
      </c>
      <c r="AH684" s="0" t="n">
        <v>1</v>
      </c>
    </row>
    <row r="685" customFormat="false" ht="15" hidden="false" customHeight="false" outlineLevel="0" collapsed="false">
      <c r="A685" s="0" t="s">
        <v>1170</v>
      </c>
      <c r="B685" s="0" t="s">
        <v>3459</v>
      </c>
      <c r="C685" s="0" t="s">
        <v>3447</v>
      </c>
      <c r="D685" s="0" t="s">
        <v>3448</v>
      </c>
      <c r="E685" s="20" t="s">
        <v>25</v>
      </c>
      <c r="F685" s="23" t="s">
        <v>30</v>
      </c>
      <c r="G685" s="21" t="s">
        <v>1152</v>
      </c>
      <c r="H685" s="21" t="s">
        <v>24</v>
      </c>
      <c r="I685" s="21" t="s">
        <v>25</v>
      </c>
      <c r="J685" s="21" t="s">
        <v>24</v>
      </c>
      <c r="K685" s="21" t="s">
        <v>25</v>
      </c>
      <c r="L685" s="21" t="s">
        <v>24</v>
      </c>
      <c r="M685" s="0" t="n">
        <v>184</v>
      </c>
      <c r="N685" s="0" t="n">
        <v>1</v>
      </c>
      <c r="O685" s="21" t="s">
        <v>69</v>
      </c>
      <c r="P685" s="21" t="s">
        <v>4275</v>
      </c>
      <c r="Q685" s="0" t="n">
        <v>1</v>
      </c>
      <c r="R685" s="21" t="s">
        <v>69</v>
      </c>
      <c r="S685" s="0" t="n">
        <v>1</v>
      </c>
      <c r="T685" s="21" t="s">
        <v>69</v>
      </c>
      <c r="U685" s="22" t="b">
        <f aca="false">TRUE()</f>
        <v>1</v>
      </c>
      <c r="V685" s="0" t="n">
        <v>0.8</v>
      </c>
      <c r="W685" s="0" t="n">
        <v>0.72</v>
      </c>
      <c r="X685" s="0" t="n">
        <v>4.95</v>
      </c>
      <c r="Y685" s="0" t="n">
        <v>323.08</v>
      </c>
      <c r="Z685" s="0" t="n">
        <v>8</v>
      </c>
      <c r="AA685" s="0" t="n">
        <v>-1.19</v>
      </c>
      <c r="AB685" s="0" t="n">
        <v>0.07</v>
      </c>
      <c r="AC685" s="22" t="b">
        <f aca="false">FALSE()</f>
        <v>0</v>
      </c>
      <c r="AD685" s="0" t="n">
        <v>9.44</v>
      </c>
      <c r="AE685" s="0" t="n">
        <v>3.75</v>
      </c>
      <c r="AF685" s="0" t="n">
        <v>11.09</v>
      </c>
      <c r="AG685" s="22" t="b">
        <f aca="false">FALSE()</f>
        <v>0</v>
      </c>
      <c r="AH685" s="0" t="n">
        <v>1</v>
      </c>
    </row>
    <row r="686" customFormat="false" ht="15" hidden="false" customHeight="false" outlineLevel="0" collapsed="false">
      <c r="A686" s="0" t="s">
        <v>1175</v>
      </c>
      <c r="B686" s="0" t="s">
        <v>134</v>
      </c>
      <c r="C686" s="0" t="s">
        <v>3450</v>
      </c>
      <c r="D686" s="0" t="s">
        <v>3457</v>
      </c>
      <c r="E686" s="19" t="s">
        <v>26</v>
      </c>
      <c r="F686" s="19" t="s">
        <v>32</v>
      </c>
      <c r="G686" s="21" t="s">
        <v>1178</v>
      </c>
      <c r="H686" s="21" t="s">
        <v>24</v>
      </c>
      <c r="I686" s="21" t="s">
        <v>26</v>
      </c>
      <c r="J686" s="21" t="s">
        <v>24</v>
      </c>
      <c r="K686" s="21" t="s">
        <v>25</v>
      </c>
      <c r="L686" s="21" t="s">
        <v>24</v>
      </c>
      <c r="M686" s="0" t="n">
        <v>228</v>
      </c>
      <c r="N686" s="0" t="n">
        <v>12</v>
      </c>
      <c r="O686" s="21" t="s">
        <v>4153</v>
      </c>
      <c r="P686" s="21" t="s">
        <v>4523</v>
      </c>
      <c r="Q686" s="0" t="n">
        <v>1</v>
      </c>
      <c r="R686" s="21" t="s">
        <v>69</v>
      </c>
      <c r="S686" s="0" t="n">
        <v>12</v>
      </c>
      <c r="T686" s="21" t="s">
        <v>4153</v>
      </c>
      <c r="U686" s="22" t="b">
        <f aca="false">FALSE()</f>
        <v>0</v>
      </c>
      <c r="V686" s="0" t="n">
        <v>0.68</v>
      </c>
      <c r="W686" s="0" t="n">
        <v>0.24</v>
      </c>
      <c r="X686" s="0" t="n">
        <v>8.69</v>
      </c>
      <c r="Y686" s="0" t="n">
        <v>575.43</v>
      </c>
      <c r="Z686" s="0" t="n">
        <v>9.75</v>
      </c>
      <c r="AA686" s="0" t="n">
        <v>12.76</v>
      </c>
      <c r="AB686" s="0" t="n">
        <v>1.2</v>
      </c>
      <c r="AC686" s="22" t="b">
        <f aca="false">FALSE()</f>
        <v>0</v>
      </c>
      <c r="AD686" s="0" t="n">
        <v>25.73</v>
      </c>
      <c r="AE686" s="0" t="n">
        <v>11.75</v>
      </c>
      <c r="AF686" s="0" t="n">
        <v>20.87</v>
      </c>
      <c r="AG686" s="22" t="b">
        <f aca="false">TRUE()</f>
        <v>1</v>
      </c>
      <c r="AH686" s="0" t="n">
        <v>1</v>
      </c>
    </row>
    <row r="687" customFormat="false" ht="15" hidden="false" customHeight="false" outlineLevel="0" collapsed="false">
      <c r="A687" s="0" t="s">
        <v>1175</v>
      </c>
      <c r="B687" s="0" t="s">
        <v>134</v>
      </c>
      <c r="C687" s="0" t="s">
        <v>3450</v>
      </c>
      <c r="D687" s="0" t="s">
        <v>3448</v>
      </c>
      <c r="E687" s="19" t="s">
        <v>26</v>
      </c>
      <c r="F687" s="19" t="s">
        <v>32</v>
      </c>
      <c r="G687" s="21" t="s">
        <v>1926</v>
      </c>
      <c r="H687" s="21" t="s">
        <v>24</v>
      </c>
      <c r="I687" s="21" t="s">
        <v>26</v>
      </c>
      <c r="J687" s="21" t="s">
        <v>24</v>
      </c>
      <c r="K687" s="21" t="s">
        <v>25</v>
      </c>
      <c r="L687" s="21" t="s">
        <v>24</v>
      </c>
      <c r="M687" s="0" t="n">
        <v>195</v>
      </c>
      <c r="N687" s="0" t="n">
        <v>11</v>
      </c>
      <c r="O687" s="21" t="s">
        <v>4034</v>
      </c>
      <c r="P687" s="21" t="s">
        <v>4252</v>
      </c>
      <c r="Q687" s="0" t="n">
        <v>1</v>
      </c>
      <c r="R687" s="21" t="s">
        <v>69</v>
      </c>
      <c r="S687" s="0" t="n">
        <v>11</v>
      </c>
      <c r="T687" s="21" t="s">
        <v>4034</v>
      </c>
      <c r="U687" s="22" t="b">
        <f aca="false">FALSE()</f>
        <v>0</v>
      </c>
      <c r="V687" s="0" t="n">
        <v>0.75</v>
      </c>
      <c r="W687" s="0" t="n">
        <v>0.52</v>
      </c>
      <c r="X687" s="0" t="n">
        <v>8.41</v>
      </c>
      <c r="Y687" s="0" t="n">
        <v>347.88</v>
      </c>
      <c r="Z687" s="0" t="n">
        <v>10.25</v>
      </c>
      <c r="AA687" s="0" t="n">
        <v>13.49</v>
      </c>
      <c r="AB687" s="0" t="n">
        <v>7.95</v>
      </c>
      <c r="AC687" s="22" t="b">
        <f aca="false">FALSE()</f>
        <v>0</v>
      </c>
      <c r="AD687" s="0" t="n">
        <v>22.63</v>
      </c>
      <c r="AE687" s="0" t="n">
        <v>9.41</v>
      </c>
      <c r="AF687" s="0" t="n">
        <v>17.54</v>
      </c>
      <c r="AG687" s="22" t="b">
        <f aca="false">TRUE()</f>
        <v>1</v>
      </c>
      <c r="AH687" s="0" t="n">
        <v>1</v>
      </c>
    </row>
    <row r="688" customFormat="false" ht="15" hidden="false" customHeight="false" outlineLevel="0" collapsed="false">
      <c r="A688" s="0" t="s">
        <v>1175</v>
      </c>
      <c r="B688" s="0" t="s">
        <v>134</v>
      </c>
      <c r="C688" s="0" t="s">
        <v>3447</v>
      </c>
      <c r="D688" s="0" t="s">
        <v>3457</v>
      </c>
      <c r="E688" s="19" t="s">
        <v>26</v>
      </c>
      <c r="F688" s="19" t="s">
        <v>32</v>
      </c>
      <c r="G688" s="21" t="s">
        <v>1178</v>
      </c>
      <c r="H688" s="21" t="s">
        <v>24</v>
      </c>
      <c r="I688" s="21" t="s">
        <v>26</v>
      </c>
      <c r="J688" s="21" t="s">
        <v>24</v>
      </c>
      <c r="K688" s="21" t="s">
        <v>25</v>
      </c>
      <c r="L688" s="21" t="s">
        <v>24</v>
      </c>
      <c r="M688" s="0" t="n">
        <v>196</v>
      </c>
      <c r="N688" s="0" t="n">
        <v>11</v>
      </c>
      <c r="O688" s="21" t="s">
        <v>4147</v>
      </c>
      <c r="P688" s="21" t="s">
        <v>4524</v>
      </c>
      <c r="Q688" s="0" t="n">
        <v>1</v>
      </c>
      <c r="R688" s="21" t="s">
        <v>69</v>
      </c>
      <c r="S688" s="0" t="n">
        <v>11</v>
      </c>
      <c r="T688" s="21" t="s">
        <v>4147</v>
      </c>
      <c r="U688" s="22" t="b">
        <f aca="false">FALSE()</f>
        <v>0</v>
      </c>
      <c r="V688" s="0" t="n">
        <v>0.7</v>
      </c>
      <c r="W688" s="0" t="n">
        <v>0.64</v>
      </c>
      <c r="X688" s="0" t="n">
        <v>7.23</v>
      </c>
      <c r="Y688" s="0" t="n">
        <v>343.47</v>
      </c>
      <c r="Z688" s="0" t="n">
        <v>8.75</v>
      </c>
      <c r="AA688" s="0" t="n">
        <v>-0.93</v>
      </c>
      <c r="AB688" s="0" t="n">
        <v>1.2</v>
      </c>
      <c r="AC688" s="22" t="b">
        <f aca="false">FALSE()</f>
        <v>0</v>
      </c>
      <c r="AD688" s="0" t="n">
        <v>22.57</v>
      </c>
      <c r="AE688" s="0" t="n">
        <v>10.06</v>
      </c>
      <c r="AF688" s="0" t="n">
        <v>19.29</v>
      </c>
      <c r="AG688" s="22" t="b">
        <f aca="false">TRUE()</f>
        <v>1</v>
      </c>
      <c r="AH688" s="0" t="n">
        <v>1</v>
      </c>
    </row>
    <row r="689" customFormat="false" ht="15" hidden="false" customHeight="false" outlineLevel="0" collapsed="false">
      <c r="A689" s="0" t="s">
        <v>1175</v>
      </c>
      <c r="B689" s="0" t="s">
        <v>134</v>
      </c>
      <c r="C689" s="0" t="s">
        <v>3447</v>
      </c>
      <c r="D689" s="0" t="s">
        <v>3448</v>
      </c>
      <c r="E689" s="20" t="s">
        <v>25</v>
      </c>
      <c r="F689" s="20" t="s">
        <v>29</v>
      </c>
      <c r="G689" s="21" t="s">
        <v>61</v>
      </c>
      <c r="H689" s="21" t="s">
        <v>24</v>
      </c>
      <c r="I689" s="21" t="s">
        <v>24</v>
      </c>
      <c r="J689" s="21" t="s">
        <v>24</v>
      </c>
      <c r="K689" s="21" t="s">
        <v>25</v>
      </c>
      <c r="L689" s="21" t="s">
        <v>24</v>
      </c>
      <c r="M689" s="0" t="n">
        <v>190</v>
      </c>
      <c r="N689" s="0" t="n">
        <v>0</v>
      </c>
      <c r="Q689" s="0" t="n">
        <v>0</v>
      </c>
      <c r="S689" s="0" t="n">
        <v>0</v>
      </c>
      <c r="U689" s="22" t="b">
        <f aca="false">FALSE()</f>
        <v>0</v>
      </c>
      <c r="V689" s="0" t="n">
        <v>0.81</v>
      </c>
      <c r="W689" s="0" t="n">
        <v>0.28</v>
      </c>
      <c r="X689" s="0" t="n">
        <v>6.21</v>
      </c>
      <c r="Y689" s="0" t="n">
        <v>451.23</v>
      </c>
      <c r="Z689" s="0" t="n">
        <v>10</v>
      </c>
      <c r="AA689" s="0" t="n">
        <v>1.26</v>
      </c>
      <c r="AB689" s="0" t="n">
        <v>7.95</v>
      </c>
      <c r="AC689" s="22" t="b">
        <f aca="false">FALSE()</f>
        <v>0</v>
      </c>
      <c r="AD689" s="0" t="n">
        <v>25.62</v>
      </c>
      <c r="AE689" s="0" t="n">
        <v>12.31</v>
      </c>
      <c r="AF689" s="0" t="n">
        <v>19.55</v>
      </c>
      <c r="AG689" s="22" t="b">
        <f aca="false">TRUE()</f>
        <v>1</v>
      </c>
      <c r="AH689" s="0" t="n">
        <v>1</v>
      </c>
    </row>
    <row r="690" customFormat="false" ht="15" hidden="false" customHeight="false" outlineLevel="0" collapsed="false">
      <c r="A690" s="0" t="s">
        <v>1185</v>
      </c>
      <c r="B690" s="0" t="s">
        <v>134</v>
      </c>
      <c r="C690" s="0" t="s">
        <v>3450</v>
      </c>
      <c r="D690" s="0" t="s">
        <v>3457</v>
      </c>
      <c r="E690" s="20" t="s">
        <v>25</v>
      </c>
      <c r="F690" s="20" t="s">
        <v>29</v>
      </c>
      <c r="G690" s="21" t="s">
        <v>63</v>
      </c>
      <c r="H690" s="21" t="s">
        <v>24</v>
      </c>
      <c r="I690" s="21" t="s">
        <v>24</v>
      </c>
      <c r="J690" s="21" t="s">
        <v>24</v>
      </c>
      <c r="K690" s="21" t="s">
        <v>25</v>
      </c>
      <c r="L690" s="21" t="s">
        <v>24</v>
      </c>
      <c r="M690" s="0" t="n">
        <v>182</v>
      </c>
      <c r="N690" s="0" t="n">
        <v>0</v>
      </c>
      <c r="Q690" s="0" t="n">
        <v>0</v>
      </c>
      <c r="S690" s="0" t="n">
        <v>0</v>
      </c>
      <c r="U690" s="22" t="b">
        <f aca="false">FALSE()</f>
        <v>0</v>
      </c>
      <c r="V690" s="0" t="n">
        <v>0.73</v>
      </c>
      <c r="W690" s="0" t="n">
        <v>0.44</v>
      </c>
      <c r="X690" s="0" t="n">
        <v>7.87</v>
      </c>
      <c r="Y690" s="0" t="n">
        <v>289.1</v>
      </c>
      <c r="Z690" s="0" t="n">
        <v>10</v>
      </c>
      <c r="AA690" s="0" t="n">
        <v>18</v>
      </c>
      <c r="AB690" s="0" t="n">
        <v>0.88</v>
      </c>
      <c r="AC690" s="22" t="b">
        <f aca="false">FALSE()</f>
        <v>0</v>
      </c>
      <c r="AD690" s="0" t="n">
        <v>5.73</v>
      </c>
      <c r="AE690" s="0" t="n">
        <v>0.63</v>
      </c>
      <c r="AF690" s="0" t="n">
        <v>7.18</v>
      </c>
      <c r="AG690" s="22" t="b">
        <f aca="false">FALSE()</f>
        <v>0</v>
      </c>
      <c r="AH690" s="0" t="n">
        <v>1</v>
      </c>
    </row>
    <row r="691" customFormat="false" ht="15" hidden="false" customHeight="false" outlineLevel="0" collapsed="false">
      <c r="A691" s="0" t="s">
        <v>1185</v>
      </c>
      <c r="B691" s="0" t="s">
        <v>134</v>
      </c>
      <c r="C691" s="0" t="s">
        <v>3450</v>
      </c>
      <c r="D691" s="0" t="s">
        <v>3448</v>
      </c>
      <c r="E691" s="18" t="s">
        <v>24</v>
      </c>
      <c r="F691" s="18" t="s">
        <v>28</v>
      </c>
      <c r="H691" s="21" t="s">
        <v>24</v>
      </c>
      <c r="I691" s="21" t="s">
        <v>24</v>
      </c>
      <c r="J691" s="21" t="s">
        <v>24</v>
      </c>
      <c r="K691" s="21" t="s">
        <v>24</v>
      </c>
      <c r="L691" s="21" t="s">
        <v>24</v>
      </c>
      <c r="M691" s="0" t="n">
        <v>182</v>
      </c>
      <c r="N691" s="0" t="n">
        <v>0</v>
      </c>
      <c r="Q691" s="0" t="n">
        <v>0</v>
      </c>
      <c r="S691" s="0" t="n">
        <v>0</v>
      </c>
      <c r="U691" s="22" t="b">
        <f aca="false">FALSE()</f>
        <v>0</v>
      </c>
      <c r="V691" s="0" t="n">
        <v>0.73</v>
      </c>
      <c r="W691" s="0" t="n">
        <v>0.48</v>
      </c>
      <c r="X691" s="0" t="n">
        <v>6.91</v>
      </c>
      <c r="Y691" s="0" t="n">
        <v>333.69</v>
      </c>
      <c r="Z691" s="0" t="n">
        <v>10.08</v>
      </c>
      <c r="AA691" s="0" t="n">
        <v>5.03</v>
      </c>
      <c r="AB691" s="0" t="n">
        <v>1.85</v>
      </c>
      <c r="AC691" s="22" t="b">
        <f aca="false">FALSE()</f>
        <v>0</v>
      </c>
      <c r="AD691" s="0" t="n">
        <v>3.16</v>
      </c>
      <c r="AE691" s="0" t="n">
        <v>0.61</v>
      </c>
      <c r="AF691" s="0" t="n">
        <v>5.33</v>
      </c>
      <c r="AG691" s="22" t="b">
        <f aca="false">FALSE()</f>
        <v>0</v>
      </c>
      <c r="AH691" s="0" t="n">
        <v>1</v>
      </c>
    </row>
    <row r="692" customFormat="false" ht="15" hidden="false" customHeight="false" outlineLevel="0" collapsed="false">
      <c r="A692" s="0" t="s">
        <v>1185</v>
      </c>
      <c r="B692" s="0" t="s">
        <v>134</v>
      </c>
      <c r="C692" s="0" t="s">
        <v>3447</v>
      </c>
      <c r="D692" s="0" t="s">
        <v>3457</v>
      </c>
      <c r="E692" s="19" t="s">
        <v>26</v>
      </c>
      <c r="F692" s="19" t="s">
        <v>32</v>
      </c>
      <c r="G692" s="21" t="s">
        <v>1451</v>
      </c>
      <c r="H692" s="21" t="s">
        <v>24</v>
      </c>
      <c r="I692" s="21" t="s">
        <v>26</v>
      </c>
      <c r="J692" s="21" t="s">
        <v>24</v>
      </c>
      <c r="K692" s="21" t="s">
        <v>25</v>
      </c>
      <c r="L692" s="21" t="s">
        <v>24</v>
      </c>
      <c r="M692" s="0" t="n">
        <v>182</v>
      </c>
      <c r="N692" s="0" t="n">
        <v>11</v>
      </c>
      <c r="O692" s="21" t="s">
        <v>4041</v>
      </c>
      <c r="P692" s="21" t="s">
        <v>4459</v>
      </c>
      <c r="Q692" s="0" t="n">
        <v>1</v>
      </c>
      <c r="R692" s="21" t="s">
        <v>69</v>
      </c>
      <c r="S692" s="0" t="n">
        <v>11</v>
      </c>
      <c r="T692" s="21" t="s">
        <v>4041</v>
      </c>
      <c r="U692" s="22" t="b">
        <f aca="false">FALSE()</f>
        <v>0</v>
      </c>
      <c r="V692" s="0" t="n">
        <v>0.74</v>
      </c>
      <c r="W692" s="0" t="n">
        <v>0.76</v>
      </c>
      <c r="X692" s="0" t="n">
        <v>7.02</v>
      </c>
      <c r="Y692" s="0" t="n">
        <v>318.97</v>
      </c>
      <c r="Z692" s="0" t="n">
        <v>8</v>
      </c>
      <c r="AA692" s="0" t="n">
        <v>-1.12</v>
      </c>
      <c r="AB692" s="0" t="n">
        <v>0.88</v>
      </c>
      <c r="AC692" s="22" t="b">
        <f aca="false">FALSE()</f>
        <v>0</v>
      </c>
      <c r="AD692" s="0" t="n">
        <v>0.91</v>
      </c>
      <c r="AE692" s="0" t="n">
        <v>0.45</v>
      </c>
      <c r="AF692" s="0" t="n">
        <v>1.51</v>
      </c>
      <c r="AG692" s="22" t="b">
        <f aca="false">FALSE()</f>
        <v>0</v>
      </c>
      <c r="AH692" s="0" t="n">
        <v>1</v>
      </c>
    </row>
    <row r="693" customFormat="false" ht="15" hidden="false" customHeight="false" outlineLevel="0" collapsed="false">
      <c r="A693" s="0" t="s">
        <v>1185</v>
      </c>
      <c r="B693" s="0" t="s">
        <v>134</v>
      </c>
      <c r="C693" s="0" t="s">
        <v>3447</v>
      </c>
      <c r="D693" s="0" t="s">
        <v>3448</v>
      </c>
      <c r="E693" s="20" t="s">
        <v>25</v>
      </c>
      <c r="F693" s="23" t="s">
        <v>30</v>
      </c>
      <c r="G693" s="21" t="s">
        <v>283</v>
      </c>
      <c r="H693" s="21" t="s">
        <v>24</v>
      </c>
      <c r="I693" s="21" t="s">
        <v>25</v>
      </c>
      <c r="J693" s="21" t="s">
        <v>24</v>
      </c>
      <c r="K693" s="21" t="s">
        <v>24</v>
      </c>
      <c r="L693" s="21" t="s">
        <v>24</v>
      </c>
      <c r="M693" s="0" t="n">
        <v>183</v>
      </c>
      <c r="N693" s="0" t="n">
        <v>3</v>
      </c>
      <c r="O693" s="21" t="s">
        <v>3685</v>
      </c>
      <c r="P693" s="21" t="s">
        <v>4525</v>
      </c>
      <c r="Q693" s="0" t="n">
        <v>1</v>
      </c>
      <c r="R693" s="21" t="s">
        <v>69</v>
      </c>
      <c r="S693" s="0" t="n">
        <v>3</v>
      </c>
      <c r="T693" s="21" t="s">
        <v>3685</v>
      </c>
      <c r="U693" s="22" t="b">
        <f aca="false">TRUE()</f>
        <v>1</v>
      </c>
      <c r="V693" s="0" t="n">
        <v>0.74</v>
      </c>
      <c r="W693" s="0" t="n">
        <v>0.92</v>
      </c>
      <c r="X693" s="0" t="n">
        <v>7.78</v>
      </c>
      <c r="Y693" s="0" t="n">
        <v>315.27</v>
      </c>
      <c r="Z693" s="0" t="n">
        <v>10.5</v>
      </c>
      <c r="AA693" s="0" t="n">
        <v>9.06</v>
      </c>
      <c r="AB693" s="0" t="n">
        <v>1.85</v>
      </c>
      <c r="AC693" s="22" t="b">
        <f aca="false">FALSE()</f>
        <v>0</v>
      </c>
      <c r="AD693" s="0" t="n">
        <v>3.26</v>
      </c>
      <c r="AE693" s="0" t="n">
        <v>2.94</v>
      </c>
      <c r="AF693" s="0" t="n">
        <v>2.84</v>
      </c>
      <c r="AG693" s="22" t="b">
        <f aca="false">FALSE()</f>
        <v>0</v>
      </c>
      <c r="AH693" s="0" t="n">
        <v>1</v>
      </c>
    </row>
    <row r="694" customFormat="false" ht="15" hidden="false" customHeight="false" outlineLevel="0" collapsed="false">
      <c r="A694" s="0" t="s">
        <v>1190</v>
      </c>
      <c r="B694" s="0" t="s">
        <v>134</v>
      </c>
      <c r="C694" s="0" t="s">
        <v>3450</v>
      </c>
      <c r="D694" s="0" t="s">
        <v>3457</v>
      </c>
      <c r="E694" s="20" t="s">
        <v>25</v>
      </c>
      <c r="F694" s="23" t="s">
        <v>30</v>
      </c>
      <c r="G694" s="21" t="s">
        <v>283</v>
      </c>
      <c r="H694" s="21" t="s">
        <v>24</v>
      </c>
      <c r="I694" s="21" t="s">
        <v>25</v>
      </c>
      <c r="J694" s="21" t="s">
        <v>24</v>
      </c>
      <c r="K694" s="21" t="s">
        <v>24</v>
      </c>
      <c r="L694" s="21" t="s">
        <v>24</v>
      </c>
      <c r="M694" s="0" t="n">
        <v>184</v>
      </c>
      <c r="N694" s="0" t="n">
        <v>1</v>
      </c>
      <c r="O694" s="21" t="s">
        <v>69</v>
      </c>
      <c r="P694" s="21" t="s">
        <v>4275</v>
      </c>
      <c r="Q694" s="0" t="n">
        <v>1</v>
      </c>
      <c r="R694" s="21" t="s">
        <v>69</v>
      </c>
      <c r="S694" s="0" t="n">
        <v>1</v>
      </c>
      <c r="T694" s="21" t="s">
        <v>69</v>
      </c>
      <c r="U694" s="22" t="b">
        <f aca="false">TRUE()</f>
        <v>1</v>
      </c>
      <c r="V694" s="0" t="n">
        <v>0.74</v>
      </c>
      <c r="W694" s="0" t="n">
        <v>0.32</v>
      </c>
      <c r="X694" s="0" t="n">
        <v>7.06</v>
      </c>
      <c r="Y694" s="0" t="n">
        <v>365.03</v>
      </c>
      <c r="Z694" s="0" t="n">
        <v>9.5</v>
      </c>
      <c r="AA694" s="0" t="n">
        <v>15.13</v>
      </c>
      <c r="AB694" s="0" t="n">
        <v>6.54</v>
      </c>
      <c r="AC694" s="22" t="b">
        <f aca="false">FALSE()</f>
        <v>0</v>
      </c>
      <c r="AD694" s="0" t="n">
        <v>13.58</v>
      </c>
      <c r="AE694" s="0" t="n">
        <v>0.39</v>
      </c>
      <c r="AF694" s="0" t="n">
        <v>4.09</v>
      </c>
      <c r="AG694" s="22" t="b">
        <f aca="false">TRUE()</f>
        <v>1</v>
      </c>
      <c r="AH694" s="0" t="n">
        <v>1</v>
      </c>
    </row>
    <row r="695" customFormat="false" ht="15" hidden="false" customHeight="false" outlineLevel="0" collapsed="false">
      <c r="A695" s="0" t="s">
        <v>1190</v>
      </c>
      <c r="B695" s="0" t="s">
        <v>134</v>
      </c>
      <c r="C695" s="0" t="s">
        <v>3450</v>
      </c>
      <c r="D695" s="0" t="s">
        <v>3448</v>
      </c>
      <c r="E695" s="20" t="s">
        <v>25</v>
      </c>
      <c r="F695" s="23" t="s">
        <v>30</v>
      </c>
      <c r="G695" s="21" t="s">
        <v>283</v>
      </c>
      <c r="H695" s="21" t="s">
        <v>24</v>
      </c>
      <c r="I695" s="21" t="s">
        <v>25</v>
      </c>
      <c r="J695" s="21" t="s">
        <v>24</v>
      </c>
      <c r="K695" s="21" t="s">
        <v>24</v>
      </c>
      <c r="L695" s="21" t="s">
        <v>24</v>
      </c>
      <c r="M695" s="0" t="n">
        <v>188</v>
      </c>
      <c r="N695" s="0" t="n">
        <v>1</v>
      </c>
      <c r="O695" s="21" t="s">
        <v>69</v>
      </c>
      <c r="P695" s="21" t="s">
        <v>4275</v>
      </c>
      <c r="Q695" s="0" t="n">
        <v>1</v>
      </c>
      <c r="R695" s="21" t="s">
        <v>69</v>
      </c>
      <c r="S695" s="0" t="n">
        <v>1</v>
      </c>
      <c r="T695" s="21" t="s">
        <v>69</v>
      </c>
      <c r="U695" s="22" t="b">
        <f aca="false">TRUE()</f>
        <v>1</v>
      </c>
      <c r="V695" s="0" t="n">
        <v>0.65</v>
      </c>
      <c r="W695" s="0" t="n">
        <v>0.56</v>
      </c>
      <c r="X695" s="0" t="n">
        <v>8.5</v>
      </c>
      <c r="Y695" s="0" t="n">
        <v>332.09</v>
      </c>
      <c r="Z695" s="0" t="n">
        <v>9.42</v>
      </c>
      <c r="AA695" s="0" t="n">
        <v>8.17</v>
      </c>
      <c r="AB695" s="0" t="n">
        <v>17.17</v>
      </c>
      <c r="AC695" s="22" t="b">
        <f aca="false">FALSE()</f>
        <v>0</v>
      </c>
      <c r="AD695" s="0" t="n">
        <v>11.45</v>
      </c>
      <c r="AE695" s="0" t="n">
        <v>0.61</v>
      </c>
      <c r="AF695" s="0" t="n">
        <v>3.92</v>
      </c>
      <c r="AG695" s="22" t="b">
        <f aca="false">TRUE()</f>
        <v>1</v>
      </c>
      <c r="AH695" s="0" t="n">
        <v>1</v>
      </c>
    </row>
    <row r="696" customFormat="false" ht="15" hidden="false" customHeight="false" outlineLevel="0" collapsed="false">
      <c r="A696" s="0" t="s">
        <v>1190</v>
      </c>
      <c r="B696" s="0" t="s">
        <v>134</v>
      </c>
      <c r="C696" s="0" t="s">
        <v>3447</v>
      </c>
      <c r="D696" s="0" t="s">
        <v>3457</v>
      </c>
      <c r="E696" s="19" t="s">
        <v>26</v>
      </c>
      <c r="F696" s="19" t="s">
        <v>32</v>
      </c>
      <c r="G696" s="21" t="s">
        <v>60</v>
      </c>
      <c r="H696" s="21" t="s">
        <v>24</v>
      </c>
      <c r="I696" s="21" t="s">
        <v>26</v>
      </c>
      <c r="J696" s="21" t="s">
        <v>24</v>
      </c>
      <c r="K696" s="21" t="s">
        <v>24</v>
      </c>
      <c r="L696" s="21" t="s">
        <v>24</v>
      </c>
      <c r="M696" s="0" t="n">
        <v>184</v>
      </c>
      <c r="N696" s="0" t="n">
        <v>8</v>
      </c>
      <c r="O696" s="21" t="s">
        <v>3992</v>
      </c>
      <c r="P696" s="21" t="s">
        <v>4526</v>
      </c>
      <c r="Q696" s="0" t="n">
        <v>0</v>
      </c>
      <c r="S696" s="0" t="n">
        <v>8</v>
      </c>
      <c r="T696" s="21" t="s">
        <v>3992</v>
      </c>
      <c r="U696" s="22" t="b">
        <f aca="false">FALSE()</f>
        <v>0</v>
      </c>
      <c r="V696" s="0" t="n">
        <v>0.71</v>
      </c>
      <c r="W696" s="0" t="n">
        <v>0.76</v>
      </c>
      <c r="X696" s="0" t="n">
        <v>6.54</v>
      </c>
      <c r="Y696" s="0" t="n">
        <v>303.41</v>
      </c>
      <c r="Z696" s="0" t="n">
        <v>8.17</v>
      </c>
      <c r="AA696" s="0" t="n">
        <v>-0.51</v>
      </c>
      <c r="AB696" s="0" t="n">
        <v>6.54</v>
      </c>
      <c r="AC696" s="22" t="b">
        <f aca="false">FALSE()</f>
        <v>0</v>
      </c>
      <c r="AD696" s="0" t="n">
        <v>12.58</v>
      </c>
      <c r="AE696" s="0" t="n">
        <v>0.22</v>
      </c>
      <c r="AF696" s="0" t="n">
        <v>3.46</v>
      </c>
      <c r="AG696" s="22" t="b">
        <f aca="false">TRUE()</f>
        <v>1</v>
      </c>
      <c r="AH696" s="0" t="n">
        <v>1</v>
      </c>
    </row>
    <row r="697" customFormat="false" ht="15" hidden="false" customHeight="false" outlineLevel="0" collapsed="false">
      <c r="A697" s="0" t="s">
        <v>1190</v>
      </c>
      <c r="B697" s="0" t="s">
        <v>134</v>
      </c>
      <c r="C697" s="0" t="s">
        <v>3447</v>
      </c>
      <c r="D697" s="0" t="s">
        <v>3448</v>
      </c>
      <c r="E697" s="18" t="s">
        <v>24</v>
      </c>
      <c r="F697" s="23" t="s">
        <v>30</v>
      </c>
      <c r="G697" s="21" t="s">
        <v>30</v>
      </c>
      <c r="H697" s="21" t="s">
        <v>24</v>
      </c>
      <c r="I697" s="21" t="s">
        <v>24</v>
      </c>
      <c r="J697" s="21" t="s">
        <v>24</v>
      </c>
      <c r="K697" s="21" t="s">
        <v>24</v>
      </c>
      <c r="L697" s="21" t="s">
        <v>24</v>
      </c>
      <c r="M697" s="0" t="n">
        <v>189</v>
      </c>
      <c r="N697" s="0" t="n">
        <v>4</v>
      </c>
      <c r="O697" s="21" t="s">
        <v>3699</v>
      </c>
      <c r="P697" s="21" t="s">
        <v>4527</v>
      </c>
      <c r="Q697" s="0" t="n">
        <v>0</v>
      </c>
      <c r="S697" s="0" t="n">
        <v>4</v>
      </c>
      <c r="T697" s="21" t="s">
        <v>3699</v>
      </c>
      <c r="U697" s="22" t="b">
        <f aca="false">TRUE()</f>
        <v>1</v>
      </c>
      <c r="V697" s="0" t="n">
        <v>0.68</v>
      </c>
      <c r="W697" s="0" t="n">
        <v>0.84</v>
      </c>
      <c r="X697" s="0" t="n">
        <v>9.03</v>
      </c>
      <c r="Y697" s="0" t="n">
        <v>327.14</v>
      </c>
      <c r="Z697" s="0" t="n">
        <v>9.08</v>
      </c>
      <c r="AA697" s="0" t="n">
        <v>0.07</v>
      </c>
      <c r="AB697" s="0" t="n">
        <v>17.17</v>
      </c>
      <c r="AC697" s="22" t="b">
        <f aca="false">FALSE()</f>
        <v>0</v>
      </c>
      <c r="AD697" s="0" t="n">
        <v>10.4</v>
      </c>
      <c r="AE697" s="0" t="n">
        <v>0.58</v>
      </c>
      <c r="AF697" s="0" t="n">
        <v>3.19</v>
      </c>
      <c r="AG697" s="22" t="b">
        <f aca="false">TRUE()</f>
        <v>1</v>
      </c>
      <c r="AH697" s="0" t="n">
        <v>1</v>
      </c>
    </row>
    <row r="698" customFormat="false" ht="15" hidden="false" customHeight="false" outlineLevel="0" collapsed="false">
      <c r="A698" s="0" t="s">
        <v>1190</v>
      </c>
      <c r="B698" s="0" t="s">
        <v>3459</v>
      </c>
      <c r="C698" s="0" t="s">
        <v>3450</v>
      </c>
      <c r="D698" s="0" t="s">
        <v>3457</v>
      </c>
      <c r="E698" s="19" t="s">
        <v>26</v>
      </c>
      <c r="F698" s="19" t="s">
        <v>32</v>
      </c>
      <c r="G698" s="21" t="s">
        <v>1926</v>
      </c>
      <c r="H698" s="21" t="s">
        <v>24</v>
      </c>
      <c r="I698" s="21" t="s">
        <v>26</v>
      </c>
      <c r="J698" s="21" t="s">
        <v>24</v>
      </c>
      <c r="K698" s="21" t="s">
        <v>25</v>
      </c>
      <c r="L698" s="21" t="s">
        <v>24</v>
      </c>
      <c r="M698" s="0" t="n">
        <v>183</v>
      </c>
      <c r="N698" s="0" t="n">
        <v>9</v>
      </c>
      <c r="O698" s="21" t="s">
        <v>4080</v>
      </c>
      <c r="P698" s="21" t="s">
        <v>4528</v>
      </c>
      <c r="Q698" s="0" t="n">
        <v>1</v>
      </c>
      <c r="R698" s="21" t="s">
        <v>69</v>
      </c>
      <c r="S698" s="0" t="n">
        <v>9</v>
      </c>
      <c r="T698" s="21" t="s">
        <v>4080</v>
      </c>
      <c r="U698" s="22" t="b">
        <f aca="false">FALSE()</f>
        <v>0</v>
      </c>
      <c r="V698" s="0" t="n">
        <v>0.61</v>
      </c>
      <c r="W698" s="0" t="n">
        <v>0.4</v>
      </c>
      <c r="X698" s="0" t="n">
        <v>8.88</v>
      </c>
      <c r="Y698" s="0" t="n">
        <v>351.42</v>
      </c>
      <c r="Z698" s="0" t="n">
        <v>9.75</v>
      </c>
      <c r="AA698" s="0" t="n">
        <v>11.49</v>
      </c>
      <c r="AB698" s="0" t="n">
        <v>6.14</v>
      </c>
      <c r="AC698" s="22" t="b">
        <f aca="false">FALSE()</f>
        <v>0</v>
      </c>
      <c r="AD698" s="0" t="n">
        <v>22.83</v>
      </c>
      <c r="AE698" s="0" t="n">
        <v>13.86</v>
      </c>
      <c r="AF698" s="0" t="n">
        <v>21.15</v>
      </c>
      <c r="AG698" s="22" t="b">
        <f aca="false">TRUE()</f>
        <v>1</v>
      </c>
      <c r="AH698" s="0" t="n">
        <v>1</v>
      </c>
    </row>
    <row r="699" customFormat="false" ht="15" hidden="false" customHeight="false" outlineLevel="0" collapsed="false">
      <c r="A699" s="0" t="s">
        <v>1190</v>
      </c>
      <c r="B699" s="0" t="s">
        <v>3459</v>
      </c>
      <c r="C699" s="0" t="s">
        <v>3450</v>
      </c>
      <c r="D699" s="0" t="s">
        <v>3448</v>
      </c>
      <c r="E699" s="19" t="s">
        <v>26</v>
      </c>
      <c r="F699" s="19" t="s">
        <v>32</v>
      </c>
      <c r="G699" s="21" t="s">
        <v>1926</v>
      </c>
      <c r="H699" s="21" t="s">
        <v>24</v>
      </c>
      <c r="I699" s="21" t="s">
        <v>26</v>
      </c>
      <c r="J699" s="21" t="s">
        <v>24</v>
      </c>
      <c r="K699" s="21" t="s">
        <v>25</v>
      </c>
      <c r="L699" s="21" t="s">
        <v>24</v>
      </c>
      <c r="M699" s="0" t="n">
        <v>183</v>
      </c>
      <c r="N699" s="0" t="n">
        <v>7</v>
      </c>
      <c r="O699" s="21" t="s">
        <v>4134</v>
      </c>
      <c r="P699" s="21" t="s">
        <v>4529</v>
      </c>
      <c r="Q699" s="0" t="n">
        <v>1</v>
      </c>
      <c r="R699" s="21" t="s">
        <v>69</v>
      </c>
      <c r="S699" s="0" t="n">
        <v>7</v>
      </c>
      <c r="T699" s="21" t="s">
        <v>4134</v>
      </c>
      <c r="U699" s="22" t="b">
        <f aca="false">FALSE()</f>
        <v>0</v>
      </c>
      <c r="V699" s="0" t="n">
        <v>0.61</v>
      </c>
      <c r="W699" s="0" t="n">
        <v>0.68</v>
      </c>
      <c r="X699" s="0" t="n">
        <v>10.54</v>
      </c>
      <c r="Y699" s="0" t="n">
        <v>315.71</v>
      </c>
      <c r="Z699" s="0" t="n">
        <v>9.25</v>
      </c>
      <c r="AA699" s="0" t="n">
        <v>14.28</v>
      </c>
      <c r="AB699" s="0" t="n">
        <v>8.43</v>
      </c>
      <c r="AC699" s="22" t="b">
        <f aca="false">FALSE()</f>
        <v>0</v>
      </c>
      <c r="AD699" s="0" t="n">
        <v>22.11</v>
      </c>
      <c r="AE699" s="0" t="n">
        <v>11.63</v>
      </c>
      <c r="AF699" s="0" t="n">
        <v>20.74</v>
      </c>
      <c r="AG699" s="22" t="b">
        <f aca="false">TRUE()</f>
        <v>1</v>
      </c>
      <c r="AH699" s="0" t="n">
        <v>1</v>
      </c>
    </row>
    <row r="700" customFormat="false" ht="15" hidden="false" customHeight="false" outlineLevel="0" collapsed="false">
      <c r="A700" s="0" t="s">
        <v>1190</v>
      </c>
      <c r="B700" s="0" t="s">
        <v>3459</v>
      </c>
      <c r="C700" s="0" t="s">
        <v>3447</v>
      </c>
      <c r="D700" s="0" t="s">
        <v>3457</v>
      </c>
      <c r="E700" s="18" t="s">
        <v>24</v>
      </c>
      <c r="F700" s="23" t="s">
        <v>30</v>
      </c>
      <c r="G700" s="21" t="s">
        <v>30</v>
      </c>
      <c r="H700" s="21" t="s">
        <v>24</v>
      </c>
      <c r="I700" s="21" t="s">
        <v>24</v>
      </c>
      <c r="J700" s="21" t="s">
        <v>24</v>
      </c>
      <c r="K700" s="21" t="s">
        <v>24</v>
      </c>
      <c r="L700" s="21" t="s">
        <v>24</v>
      </c>
      <c r="M700" s="0" t="n">
        <v>183</v>
      </c>
      <c r="N700" s="0" t="n">
        <v>2</v>
      </c>
      <c r="O700" s="21" t="s">
        <v>3521</v>
      </c>
      <c r="P700" s="21" t="s">
        <v>4273</v>
      </c>
      <c r="Q700" s="0" t="n">
        <v>0</v>
      </c>
      <c r="S700" s="0" t="n">
        <v>2</v>
      </c>
      <c r="T700" s="21" t="s">
        <v>3521</v>
      </c>
      <c r="U700" s="22" t="b">
        <f aca="false">TRUE()</f>
        <v>1</v>
      </c>
      <c r="V700" s="0" t="n">
        <v>0.74</v>
      </c>
      <c r="W700" s="0" t="n">
        <v>0</v>
      </c>
      <c r="X700" s="0" t="n">
        <v>9.12</v>
      </c>
      <c r="Y700" s="0" t="n">
        <v>10.85</v>
      </c>
      <c r="Z700" s="0" t="n">
        <v>8</v>
      </c>
      <c r="AA700" s="0" t="n">
        <v>0.74</v>
      </c>
      <c r="AB700" s="0" t="n">
        <v>6.14</v>
      </c>
      <c r="AC700" s="22" t="b">
        <f aca="false">FALSE()</f>
        <v>0</v>
      </c>
      <c r="AD700" s="0" t="n">
        <v>18.71</v>
      </c>
      <c r="AE700" s="0" t="n">
        <v>6.74</v>
      </c>
      <c r="AF700" s="0" t="n">
        <v>12.06</v>
      </c>
      <c r="AG700" s="22" t="b">
        <f aca="false">TRUE()</f>
        <v>1</v>
      </c>
      <c r="AH700" s="0" t="n">
        <v>0</v>
      </c>
    </row>
    <row r="701" customFormat="false" ht="15" hidden="false" customHeight="false" outlineLevel="0" collapsed="false">
      <c r="A701" s="0" t="s">
        <v>1190</v>
      </c>
      <c r="B701" s="0" t="s">
        <v>3459</v>
      </c>
      <c r="C701" s="0" t="s">
        <v>3447</v>
      </c>
      <c r="D701" s="0" t="s">
        <v>3448</v>
      </c>
      <c r="E701" s="18" t="s">
        <v>24</v>
      </c>
      <c r="F701" s="23" t="s">
        <v>30</v>
      </c>
      <c r="G701" s="21" t="s">
        <v>30</v>
      </c>
      <c r="H701" s="21" t="s">
        <v>24</v>
      </c>
      <c r="I701" s="21" t="s">
        <v>24</v>
      </c>
      <c r="J701" s="21" t="s">
        <v>24</v>
      </c>
      <c r="K701" s="21" t="s">
        <v>24</v>
      </c>
      <c r="L701" s="21" t="s">
        <v>24</v>
      </c>
      <c r="M701" s="0" t="n">
        <v>183</v>
      </c>
      <c r="N701" s="0" t="n">
        <v>3</v>
      </c>
      <c r="O701" s="21" t="s">
        <v>3652</v>
      </c>
      <c r="P701" s="21" t="s">
        <v>4530</v>
      </c>
      <c r="Q701" s="0" t="n">
        <v>0</v>
      </c>
      <c r="S701" s="0" t="n">
        <v>3</v>
      </c>
      <c r="T701" s="21" t="s">
        <v>3652</v>
      </c>
      <c r="U701" s="22" t="b">
        <f aca="false">TRUE()</f>
        <v>1</v>
      </c>
      <c r="V701" s="0" t="n">
        <v>0.64</v>
      </c>
      <c r="W701" s="0" t="n">
        <v>0.16</v>
      </c>
      <c r="X701" s="0" t="n">
        <v>14.31</v>
      </c>
      <c r="Y701" s="0" t="n">
        <v>506.15</v>
      </c>
      <c r="Z701" s="0" t="n">
        <v>8.83</v>
      </c>
      <c r="AA701" s="0" t="n">
        <v>-0.93</v>
      </c>
      <c r="AB701" s="0" t="n">
        <v>8.43</v>
      </c>
      <c r="AC701" s="22" t="b">
        <f aca="false">FALSE()</f>
        <v>0</v>
      </c>
      <c r="AD701" s="0" t="n">
        <v>13.98</v>
      </c>
      <c r="AE701" s="0" t="n">
        <v>4.78</v>
      </c>
      <c r="AF701" s="0" t="n">
        <v>8.46</v>
      </c>
      <c r="AG701" s="22" t="b">
        <f aca="false">TRUE()</f>
        <v>1</v>
      </c>
      <c r="AH701" s="0" t="n">
        <v>1</v>
      </c>
    </row>
    <row r="702" customFormat="false" ht="15" hidden="false" customHeight="false" outlineLevel="0" collapsed="false">
      <c r="A702" s="0" t="s">
        <v>1197</v>
      </c>
      <c r="B702" s="0" t="s">
        <v>134</v>
      </c>
      <c r="C702" s="0" t="s">
        <v>3450</v>
      </c>
      <c r="D702" s="0" t="s">
        <v>3457</v>
      </c>
      <c r="E702" s="20" t="s">
        <v>25</v>
      </c>
      <c r="F702" s="23" t="s">
        <v>30</v>
      </c>
      <c r="G702" s="21" t="s">
        <v>183</v>
      </c>
      <c r="H702" s="21" t="s">
        <v>24</v>
      </c>
      <c r="I702" s="21" t="s">
        <v>25</v>
      </c>
      <c r="J702" s="21" t="s">
        <v>24</v>
      </c>
      <c r="K702" s="21" t="s">
        <v>25</v>
      </c>
      <c r="L702" s="21" t="s">
        <v>24</v>
      </c>
      <c r="M702" s="0" t="n">
        <v>186</v>
      </c>
      <c r="N702" s="0" t="n">
        <v>1</v>
      </c>
      <c r="O702" s="21" t="s">
        <v>69</v>
      </c>
      <c r="P702" s="21" t="s">
        <v>4275</v>
      </c>
      <c r="Q702" s="0" t="n">
        <v>1</v>
      </c>
      <c r="R702" s="21" t="s">
        <v>69</v>
      </c>
      <c r="S702" s="0" t="n">
        <v>1</v>
      </c>
      <c r="T702" s="21" t="s">
        <v>69</v>
      </c>
      <c r="U702" s="22" t="b">
        <f aca="false">TRUE()</f>
        <v>1</v>
      </c>
      <c r="V702" s="0" t="n">
        <v>0.64</v>
      </c>
      <c r="W702" s="0" t="n">
        <v>0.24</v>
      </c>
      <c r="X702" s="0" t="n">
        <v>7.37</v>
      </c>
      <c r="Y702" s="0" t="n">
        <v>464.05</v>
      </c>
      <c r="Z702" s="0" t="n">
        <v>10</v>
      </c>
      <c r="AA702" s="0" t="n">
        <v>7.45</v>
      </c>
      <c r="AB702" s="0" t="n">
        <v>2.35</v>
      </c>
      <c r="AC702" s="22" t="b">
        <f aca="false">FALSE()</f>
        <v>0</v>
      </c>
      <c r="AD702" s="0" t="n">
        <v>20.94</v>
      </c>
      <c r="AE702" s="0" t="n">
        <v>11.4</v>
      </c>
      <c r="AF702" s="0" t="n">
        <v>17.11</v>
      </c>
      <c r="AG702" s="22" t="b">
        <f aca="false">TRUE()</f>
        <v>1</v>
      </c>
      <c r="AH702" s="0" t="n">
        <v>1</v>
      </c>
    </row>
    <row r="703" customFormat="false" ht="15" hidden="false" customHeight="false" outlineLevel="0" collapsed="false">
      <c r="A703" s="0" t="s">
        <v>1197</v>
      </c>
      <c r="B703" s="0" t="s">
        <v>134</v>
      </c>
      <c r="C703" s="0" t="s">
        <v>3450</v>
      </c>
      <c r="D703" s="0" t="s">
        <v>3448</v>
      </c>
      <c r="E703" s="20" t="s">
        <v>25</v>
      </c>
      <c r="F703" s="20" t="s">
        <v>29</v>
      </c>
      <c r="G703" s="21" t="s">
        <v>64</v>
      </c>
      <c r="H703" s="21" t="s">
        <v>24</v>
      </c>
      <c r="I703" s="21" t="s">
        <v>24</v>
      </c>
      <c r="J703" s="21" t="s">
        <v>24</v>
      </c>
      <c r="K703" s="21" t="s">
        <v>25</v>
      </c>
      <c r="L703" s="21" t="s">
        <v>24</v>
      </c>
      <c r="M703" s="0" t="n">
        <v>185</v>
      </c>
      <c r="N703" s="0" t="n">
        <v>0</v>
      </c>
      <c r="Q703" s="0" t="n">
        <v>0</v>
      </c>
      <c r="S703" s="0" t="n">
        <v>0</v>
      </c>
      <c r="U703" s="22" t="b">
        <f aca="false">FALSE()</f>
        <v>0</v>
      </c>
      <c r="V703" s="0" t="n">
        <v>0.72</v>
      </c>
      <c r="W703" s="0" t="n">
        <v>0.68</v>
      </c>
      <c r="X703" s="0" t="n">
        <v>6.44</v>
      </c>
      <c r="Y703" s="0" t="n">
        <v>324.26</v>
      </c>
      <c r="Z703" s="0" t="n">
        <v>10.33</v>
      </c>
      <c r="AA703" s="0" t="n">
        <v>5.26</v>
      </c>
      <c r="AB703" s="0" t="n">
        <v>0.07</v>
      </c>
      <c r="AC703" s="22" t="b">
        <f aca="false">FALSE()</f>
        <v>0</v>
      </c>
      <c r="AD703" s="0" t="n">
        <v>9.34</v>
      </c>
      <c r="AE703" s="0" t="n">
        <v>0.08</v>
      </c>
      <c r="AF703" s="0" t="n">
        <v>1.83</v>
      </c>
      <c r="AG703" s="22" t="b">
        <f aca="false">FALSE()</f>
        <v>0</v>
      </c>
      <c r="AH703" s="0" t="n">
        <v>1</v>
      </c>
    </row>
    <row r="704" customFormat="false" ht="15" hidden="false" customHeight="false" outlineLevel="0" collapsed="false">
      <c r="A704" s="0" t="s">
        <v>1197</v>
      </c>
      <c r="B704" s="0" t="s">
        <v>134</v>
      </c>
      <c r="C704" s="0" t="s">
        <v>3447</v>
      </c>
      <c r="D704" s="0" t="s">
        <v>3457</v>
      </c>
      <c r="E704" s="19" t="s">
        <v>26</v>
      </c>
      <c r="F704" s="19" t="s">
        <v>32</v>
      </c>
      <c r="G704" s="21" t="s">
        <v>1926</v>
      </c>
      <c r="H704" s="21" t="s">
        <v>24</v>
      </c>
      <c r="I704" s="21" t="s">
        <v>26</v>
      </c>
      <c r="J704" s="21" t="s">
        <v>24</v>
      </c>
      <c r="K704" s="21" t="s">
        <v>25</v>
      </c>
      <c r="L704" s="21" t="s">
        <v>24</v>
      </c>
      <c r="M704" s="0" t="n">
        <v>187</v>
      </c>
      <c r="N704" s="0" t="n">
        <v>10</v>
      </c>
      <c r="O704" s="21" t="s">
        <v>4175</v>
      </c>
      <c r="P704" s="21" t="s">
        <v>4531</v>
      </c>
      <c r="Q704" s="0" t="n">
        <v>1</v>
      </c>
      <c r="R704" s="21" t="s">
        <v>69</v>
      </c>
      <c r="S704" s="0" t="n">
        <v>10</v>
      </c>
      <c r="T704" s="21" t="s">
        <v>4175</v>
      </c>
      <c r="U704" s="22" t="b">
        <f aca="false">FALSE()</f>
        <v>0</v>
      </c>
      <c r="V704" s="0" t="n">
        <v>0.58</v>
      </c>
      <c r="W704" s="0" t="n">
        <v>0</v>
      </c>
      <c r="X704" s="0" t="n">
        <v>9.55</v>
      </c>
      <c r="Y704" s="0" t="n">
        <v>729.66</v>
      </c>
      <c r="Z704" s="0" t="n">
        <v>10.17</v>
      </c>
      <c r="AA704" s="0" t="n">
        <v>0.82</v>
      </c>
      <c r="AB704" s="0" t="n">
        <v>2.35</v>
      </c>
      <c r="AC704" s="22" t="b">
        <f aca="false">FALSE()</f>
        <v>0</v>
      </c>
      <c r="AD704" s="0" t="n">
        <v>20.43</v>
      </c>
      <c r="AE704" s="0" t="n">
        <v>8.48</v>
      </c>
      <c r="AF704" s="0" t="n">
        <v>15.31</v>
      </c>
      <c r="AG704" s="22" t="b">
        <f aca="false">TRUE()</f>
        <v>1</v>
      </c>
      <c r="AH704" s="0" t="n">
        <v>1</v>
      </c>
    </row>
    <row r="705" customFormat="false" ht="15" hidden="false" customHeight="false" outlineLevel="0" collapsed="false">
      <c r="A705" s="0" t="s">
        <v>1197</v>
      </c>
      <c r="B705" s="0" t="s">
        <v>134</v>
      </c>
      <c r="C705" s="0" t="s">
        <v>3447</v>
      </c>
      <c r="D705" s="0" t="s">
        <v>3448</v>
      </c>
      <c r="E705" s="20" t="s">
        <v>25</v>
      </c>
      <c r="F705" s="23" t="s">
        <v>30</v>
      </c>
      <c r="G705" s="21" t="s">
        <v>2610</v>
      </c>
      <c r="H705" s="21" t="s">
        <v>24</v>
      </c>
      <c r="I705" s="21" t="s">
        <v>24</v>
      </c>
      <c r="J705" s="21" t="s">
        <v>24</v>
      </c>
      <c r="K705" s="21" t="s">
        <v>25</v>
      </c>
      <c r="L705" s="21" t="s">
        <v>24</v>
      </c>
      <c r="M705" s="0" t="n">
        <v>202</v>
      </c>
      <c r="N705" s="0" t="n">
        <v>3</v>
      </c>
      <c r="O705" s="21" t="s">
        <v>3538</v>
      </c>
      <c r="P705" s="21" t="s">
        <v>4235</v>
      </c>
      <c r="Q705" s="0" t="n">
        <v>0</v>
      </c>
      <c r="S705" s="0" t="n">
        <v>3</v>
      </c>
      <c r="T705" s="21" t="s">
        <v>3538</v>
      </c>
      <c r="U705" s="22" t="b">
        <f aca="false">TRUE()</f>
        <v>1</v>
      </c>
      <c r="V705" s="0" t="n">
        <v>0.72</v>
      </c>
      <c r="W705" s="0" t="n">
        <v>0.76</v>
      </c>
      <c r="X705" s="0" t="n">
        <v>9.93</v>
      </c>
      <c r="Y705" s="0" t="n">
        <v>352.01</v>
      </c>
      <c r="Z705" s="0" t="n">
        <v>8.08</v>
      </c>
      <c r="AA705" s="0" t="n">
        <v>-1.27</v>
      </c>
      <c r="AB705" s="0" t="n">
        <v>0.07</v>
      </c>
      <c r="AC705" s="22" t="b">
        <f aca="false">FALSE()</f>
        <v>0</v>
      </c>
      <c r="AD705" s="0" t="n">
        <v>2.02</v>
      </c>
      <c r="AE705" s="0" t="n">
        <v>0.99</v>
      </c>
      <c r="AF705" s="0" t="n">
        <v>1.71</v>
      </c>
      <c r="AG705" s="22" t="b">
        <f aca="false">FALSE()</f>
        <v>0</v>
      </c>
      <c r="AH705" s="0" t="n">
        <v>1</v>
      </c>
    </row>
    <row r="706" customFormat="false" ht="15" hidden="false" customHeight="false" outlineLevel="0" collapsed="false">
      <c r="A706" s="0" t="s">
        <v>1197</v>
      </c>
      <c r="B706" s="0" t="s">
        <v>3459</v>
      </c>
      <c r="C706" s="0" t="s">
        <v>3450</v>
      </c>
      <c r="D706" s="0" t="s">
        <v>3457</v>
      </c>
      <c r="E706" s="20" t="s">
        <v>25</v>
      </c>
      <c r="F706" s="20" t="s">
        <v>29</v>
      </c>
      <c r="G706" s="21" t="s">
        <v>62</v>
      </c>
      <c r="H706" s="21" t="s">
        <v>24</v>
      </c>
      <c r="I706" s="21" t="s">
        <v>24</v>
      </c>
      <c r="J706" s="21" t="s">
        <v>24</v>
      </c>
      <c r="K706" s="21" t="s">
        <v>25</v>
      </c>
      <c r="L706" s="21" t="s">
        <v>24</v>
      </c>
      <c r="M706" s="0" t="n">
        <v>182</v>
      </c>
      <c r="N706" s="0" t="n">
        <v>0</v>
      </c>
      <c r="Q706" s="0" t="n">
        <v>0</v>
      </c>
      <c r="S706" s="0" t="n">
        <v>0</v>
      </c>
      <c r="U706" s="22" t="b">
        <f aca="false">FALSE()</f>
        <v>0</v>
      </c>
      <c r="V706" s="0" t="n">
        <v>0.72</v>
      </c>
      <c r="W706" s="0" t="n">
        <v>0.52</v>
      </c>
      <c r="X706" s="0" t="n">
        <v>6.53</v>
      </c>
      <c r="Y706" s="0" t="n">
        <v>324.65</v>
      </c>
      <c r="Z706" s="0" t="n">
        <v>9.75</v>
      </c>
      <c r="AA706" s="0" t="n">
        <v>1.33</v>
      </c>
      <c r="AB706" s="0" t="n">
        <v>2.49</v>
      </c>
      <c r="AC706" s="22" t="b">
        <f aca="false">FALSE()</f>
        <v>0</v>
      </c>
      <c r="AD706" s="0" t="n">
        <v>17.63</v>
      </c>
      <c r="AE706" s="0" t="n">
        <v>7.67</v>
      </c>
      <c r="AF706" s="0" t="n">
        <v>14.96</v>
      </c>
      <c r="AG706" s="22" t="b">
        <f aca="false">TRUE()</f>
        <v>1</v>
      </c>
      <c r="AH706" s="0" t="n">
        <v>1</v>
      </c>
    </row>
    <row r="707" customFormat="false" ht="15" hidden="false" customHeight="false" outlineLevel="0" collapsed="false">
      <c r="A707" s="0" t="s">
        <v>1197</v>
      </c>
      <c r="B707" s="0" t="s">
        <v>3459</v>
      </c>
      <c r="C707" s="0" t="s">
        <v>3450</v>
      </c>
      <c r="D707" s="0" t="s">
        <v>3448</v>
      </c>
      <c r="E707" s="20" t="s">
        <v>25</v>
      </c>
      <c r="F707" s="20" t="s">
        <v>29</v>
      </c>
      <c r="G707" s="21" t="s">
        <v>64</v>
      </c>
      <c r="H707" s="21" t="s">
        <v>24</v>
      </c>
      <c r="I707" s="21" t="s">
        <v>24</v>
      </c>
      <c r="J707" s="21" t="s">
        <v>24</v>
      </c>
      <c r="K707" s="21" t="s">
        <v>25</v>
      </c>
      <c r="L707" s="21" t="s">
        <v>24</v>
      </c>
      <c r="M707" s="0" t="n">
        <v>181</v>
      </c>
      <c r="N707" s="0" t="n">
        <v>0</v>
      </c>
      <c r="Q707" s="0" t="n">
        <v>0</v>
      </c>
      <c r="S707" s="0" t="n">
        <v>0</v>
      </c>
      <c r="U707" s="22" t="b">
        <f aca="false">FALSE()</f>
        <v>0</v>
      </c>
      <c r="V707" s="0" t="n">
        <v>0.73</v>
      </c>
      <c r="W707" s="0" t="n">
        <v>0.12</v>
      </c>
      <c r="X707" s="0" t="n">
        <v>6.58</v>
      </c>
      <c r="Y707" s="0" t="n">
        <v>612.67</v>
      </c>
      <c r="Z707" s="0" t="n">
        <v>9.75</v>
      </c>
      <c r="AA707" s="0" t="n">
        <v>4.39</v>
      </c>
      <c r="AB707" s="0" t="n">
        <v>0.45</v>
      </c>
      <c r="AC707" s="22" t="b">
        <f aca="false">FALSE()</f>
        <v>0</v>
      </c>
      <c r="AD707" s="0" t="n">
        <v>10.81</v>
      </c>
      <c r="AE707" s="0" t="n">
        <v>2.94</v>
      </c>
      <c r="AF707" s="0" t="n">
        <v>9.01</v>
      </c>
      <c r="AG707" s="22" t="b">
        <f aca="false">TRUE()</f>
        <v>1</v>
      </c>
      <c r="AH707" s="0" t="n">
        <v>1</v>
      </c>
    </row>
    <row r="708" customFormat="false" ht="15" hidden="false" customHeight="false" outlineLevel="0" collapsed="false">
      <c r="A708" s="0" t="s">
        <v>1197</v>
      </c>
      <c r="B708" s="0" t="s">
        <v>3459</v>
      </c>
      <c r="C708" s="0" t="s">
        <v>3447</v>
      </c>
      <c r="D708" s="0" t="s">
        <v>3457</v>
      </c>
      <c r="E708" s="20" t="s">
        <v>25</v>
      </c>
      <c r="F708" s="23" t="s">
        <v>30</v>
      </c>
      <c r="G708" s="21" t="s">
        <v>283</v>
      </c>
      <c r="H708" s="21" t="s">
        <v>24</v>
      </c>
      <c r="I708" s="21" t="s">
        <v>25</v>
      </c>
      <c r="J708" s="21" t="s">
        <v>24</v>
      </c>
      <c r="K708" s="21" t="s">
        <v>24</v>
      </c>
      <c r="L708" s="21" t="s">
        <v>24</v>
      </c>
      <c r="M708" s="0" t="n">
        <v>183</v>
      </c>
      <c r="N708" s="0" t="n">
        <v>4</v>
      </c>
      <c r="O708" s="21" t="s">
        <v>3743</v>
      </c>
      <c r="P708" s="21" t="s">
        <v>4532</v>
      </c>
      <c r="Q708" s="0" t="n">
        <v>1</v>
      </c>
      <c r="R708" s="21" t="s">
        <v>69</v>
      </c>
      <c r="S708" s="0" t="n">
        <v>4</v>
      </c>
      <c r="T708" s="21" t="s">
        <v>3743</v>
      </c>
      <c r="U708" s="22" t="b">
        <f aca="false">TRUE()</f>
        <v>1</v>
      </c>
      <c r="V708" s="0" t="n">
        <v>0.75</v>
      </c>
      <c r="W708" s="0" t="n">
        <v>0.16</v>
      </c>
      <c r="X708" s="0" t="n">
        <v>6.77</v>
      </c>
      <c r="Y708" s="0" t="n">
        <v>554.44</v>
      </c>
      <c r="Z708" s="0" t="n">
        <v>9.83</v>
      </c>
      <c r="AA708" s="0" t="n">
        <v>0.72</v>
      </c>
      <c r="AB708" s="0" t="n">
        <v>2.49</v>
      </c>
      <c r="AC708" s="22" t="b">
        <f aca="false">FALSE()</f>
        <v>0</v>
      </c>
      <c r="AD708" s="0" t="n">
        <v>14.42</v>
      </c>
      <c r="AE708" s="0" t="n">
        <v>5.87</v>
      </c>
      <c r="AF708" s="0" t="n">
        <v>11.33</v>
      </c>
      <c r="AG708" s="22" t="b">
        <f aca="false">TRUE()</f>
        <v>1</v>
      </c>
      <c r="AH708" s="0" t="n">
        <v>1</v>
      </c>
    </row>
    <row r="709" customFormat="false" ht="15" hidden="false" customHeight="false" outlineLevel="0" collapsed="false">
      <c r="A709" s="0" t="s">
        <v>1197</v>
      </c>
      <c r="B709" s="0" t="s">
        <v>3459</v>
      </c>
      <c r="C709" s="0" t="s">
        <v>3447</v>
      </c>
      <c r="D709" s="0" t="s">
        <v>3448</v>
      </c>
      <c r="E709" s="19" t="s">
        <v>26</v>
      </c>
      <c r="F709" s="19" t="s">
        <v>32</v>
      </c>
      <c r="G709" s="21" t="s">
        <v>1311</v>
      </c>
      <c r="H709" s="21" t="s">
        <v>24</v>
      </c>
      <c r="I709" s="21" t="s">
        <v>26</v>
      </c>
      <c r="J709" s="21" t="s">
        <v>24</v>
      </c>
      <c r="K709" s="21" t="s">
        <v>25</v>
      </c>
      <c r="L709" s="21" t="s">
        <v>24</v>
      </c>
      <c r="M709" s="0" t="n">
        <v>184</v>
      </c>
      <c r="N709" s="0" t="n">
        <v>8</v>
      </c>
      <c r="O709" s="21" t="s">
        <v>4067</v>
      </c>
      <c r="P709" s="21" t="s">
        <v>4533</v>
      </c>
      <c r="Q709" s="0" t="n">
        <v>1</v>
      </c>
      <c r="R709" s="21" t="s">
        <v>69</v>
      </c>
      <c r="S709" s="0" t="n">
        <v>8</v>
      </c>
      <c r="T709" s="21" t="s">
        <v>4067</v>
      </c>
      <c r="U709" s="22" t="b">
        <f aca="false">FALSE()</f>
        <v>0</v>
      </c>
      <c r="V709" s="0" t="n">
        <v>0.76</v>
      </c>
      <c r="W709" s="0" t="n">
        <v>0.48</v>
      </c>
      <c r="X709" s="0" t="n">
        <v>8.14</v>
      </c>
      <c r="Y709" s="0" t="n">
        <v>333.92</v>
      </c>
      <c r="Z709" s="0" t="n">
        <v>8</v>
      </c>
      <c r="AA709" s="0" t="n">
        <v>-0.42</v>
      </c>
      <c r="AB709" s="0" t="n">
        <v>0.45</v>
      </c>
      <c r="AC709" s="22" t="b">
        <f aca="false">FALSE()</f>
        <v>0</v>
      </c>
      <c r="AD709" s="0" t="n">
        <v>12.98</v>
      </c>
      <c r="AE709" s="0" t="n">
        <v>2.8</v>
      </c>
      <c r="AF709" s="0" t="n">
        <v>13.42</v>
      </c>
      <c r="AG709" s="22" t="b">
        <f aca="false">TRUE()</f>
        <v>1</v>
      </c>
      <c r="AH709" s="0" t="n">
        <v>1</v>
      </c>
    </row>
    <row r="710" customFormat="false" ht="15" hidden="false" customHeight="false" outlineLevel="0" collapsed="false">
      <c r="A710" s="0" t="s">
        <v>1203</v>
      </c>
      <c r="B710" s="0" t="s">
        <v>134</v>
      </c>
      <c r="C710" s="0" t="s">
        <v>3450</v>
      </c>
      <c r="D710" s="0" t="s">
        <v>3457</v>
      </c>
      <c r="E710" s="20" t="s">
        <v>25</v>
      </c>
      <c r="F710" s="20" t="s">
        <v>29</v>
      </c>
      <c r="G710" s="21" t="s">
        <v>62</v>
      </c>
      <c r="H710" s="21" t="s">
        <v>24</v>
      </c>
      <c r="I710" s="21" t="s">
        <v>24</v>
      </c>
      <c r="J710" s="21" t="s">
        <v>24</v>
      </c>
      <c r="K710" s="21" t="s">
        <v>25</v>
      </c>
      <c r="L710" s="21" t="s">
        <v>24</v>
      </c>
      <c r="M710" s="0" t="n">
        <v>186</v>
      </c>
      <c r="N710" s="0" t="n">
        <v>0</v>
      </c>
      <c r="Q710" s="0" t="n">
        <v>0</v>
      </c>
      <c r="S710" s="0" t="n">
        <v>0</v>
      </c>
      <c r="U710" s="22" t="b">
        <f aca="false">FALSE()</f>
        <v>0</v>
      </c>
      <c r="V710" s="0" t="n">
        <v>0.71</v>
      </c>
      <c r="W710" s="0" t="n">
        <v>0.96</v>
      </c>
      <c r="X710" s="0" t="n">
        <v>7.41</v>
      </c>
      <c r="Y710" s="0" t="n">
        <v>321.22</v>
      </c>
      <c r="Z710" s="0" t="n">
        <v>8.75</v>
      </c>
      <c r="AA710" s="0" t="n">
        <v>-0.35</v>
      </c>
      <c r="AB710" s="0" t="n">
        <v>38.34</v>
      </c>
      <c r="AC710" s="22" t="b">
        <f aca="false">FALSE()</f>
        <v>0</v>
      </c>
      <c r="AD710" s="0" t="n">
        <v>0.4</v>
      </c>
      <c r="AE710" s="0" t="n">
        <v>0.14</v>
      </c>
      <c r="AF710" s="0" t="n">
        <v>0.7</v>
      </c>
      <c r="AG710" s="22" t="b">
        <f aca="false">FALSE()</f>
        <v>0</v>
      </c>
      <c r="AH710" s="0" t="n">
        <v>1</v>
      </c>
    </row>
    <row r="711" customFormat="false" ht="15" hidden="false" customHeight="false" outlineLevel="0" collapsed="false">
      <c r="A711" s="0" t="s">
        <v>1203</v>
      </c>
      <c r="B711" s="0" t="s">
        <v>134</v>
      </c>
      <c r="C711" s="0" t="s">
        <v>3450</v>
      </c>
      <c r="D711" s="0" t="s">
        <v>3448</v>
      </c>
      <c r="E711" s="18" t="s">
        <v>24</v>
      </c>
      <c r="F711" s="18" t="s">
        <v>28</v>
      </c>
      <c r="H711" s="21" t="s">
        <v>24</v>
      </c>
      <c r="I711" s="21" t="s">
        <v>24</v>
      </c>
      <c r="J711" s="21" t="s">
        <v>24</v>
      </c>
      <c r="K711" s="21" t="s">
        <v>24</v>
      </c>
      <c r="L711" s="21" t="s">
        <v>24</v>
      </c>
      <c r="M711" s="0" t="n">
        <v>185</v>
      </c>
      <c r="N711" s="0" t="n">
        <v>0</v>
      </c>
      <c r="Q711" s="0" t="n">
        <v>0</v>
      </c>
      <c r="S711" s="0" t="n">
        <v>0</v>
      </c>
      <c r="U711" s="22" t="b">
        <f aca="false">FALSE()</f>
        <v>0</v>
      </c>
      <c r="V711" s="0" t="n">
        <v>0.71</v>
      </c>
      <c r="W711" s="0" t="n">
        <v>0.12</v>
      </c>
      <c r="X711" s="0" t="n">
        <v>7.27</v>
      </c>
      <c r="Y711" s="0" t="n">
        <v>631.96</v>
      </c>
      <c r="Z711" s="0" t="n">
        <v>8.75</v>
      </c>
      <c r="AA711" s="0" t="n">
        <v>13.97</v>
      </c>
      <c r="AB711" s="0" t="n">
        <v>6.53</v>
      </c>
      <c r="AC711" s="22" t="b">
        <f aca="false">FALSE()</f>
        <v>0</v>
      </c>
      <c r="AD711" s="0" t="n">
        <v>12.54</v>
      </c>
      <c r="AE711" s="0" t="n">
        <v>0.95</v>
      </c>
      <c r="AF711" s="0" t="n">
        <v>9.11</v>
      </c>
      <c r="AG711" s="22" t="b">
        <f aca="false">TRUE()</f>
        <v>1</v>
      </c>
      <c r="AH711" s="0" t="n">
        <v>1</v>
      </c>
    </row>
    <row r="712" customFormat="false" ht="15" hidden="false" customHeight="false" outlineLevel="0" collapsed="false">
      <c r="A712" s="0" t="s">
        <v>1203</v>
      </c>
      <c r="B712" s="0" t="s">
        <v>134</v>
      </c>
      <c r="C712" s="0" t="s">
        <v>3447</v>
      </c>
      <c r="D712" s="0" t="s">
        <v>3457</v>
      </c>
      <c r="E712" s="18" t="s">
        <v>24</v>
      </c>
      <c r="F712" s="18" t="s">
        <v>28</v>
      </c>
      <c r="H712" s="21" t="s">
        <v>24</v>
      </c>
      <c r="I712" s="21" t="s">
        <v>24</v>
      </c>
      <c r="J712" s="21" t="s">
        <v>24</v>
      </c>
      <c r="K712" s="21" t="s">
        <v>24</v>
      </c>
      <c r="L712" s="21" t="s">
        <v>24</v>
      </c>
      <c r="M712" s="0" t="n">
        <v>183</v>
      </c>
      <c r="N712" s="0" t="n">
        <v>0</v>
      </c>
      <c r="Q712" s="0" t="n">
        <v>0</v>
      </c>
      <c r="S712" s="0" t="n">
        <v>0</v>
      </c>
      <c r="U712" s="22" t="b">
        <f aca="false">FALSE()</f>
        <v>0</v>
      </c>
      <c r="V712" s="0" t="n">
        <v>0.72</v>
      </c>
      <c r="W712" s="0" t="n">
        <v>0.56</v>
      </c>
      <c r="X712" s="0" t="n">
        <v>6.72</v>
      </c>
      <c r="Y712" s="0" t="n">
        <v>324.27</v>
      </c>
      <c r="Z712" s="0" t="n">
        <v>8</v>
      </c>
      <c r="AA712" s="0" t="n">
        <v>0.57</v>
      </c>
      <c r="AB712" s="0" t="n">
        <v>38.34</v>
      </c>
      <c r="AC712" s="22" t="b">
        <f aca="false">FALSE()</f>
        <v>0</v>
      </c>
      <c r="AD712" s="0" t="n">
        <v>7.65</v>
      </c>
      <c r="AE712" s="0" t="n">
        <v>0.43</v>
      </c>
      <c r="AF712" s="0" t="n">
        <v>5.25</v>
      </c>
      <c r="AG712" s="22" t="b">
        <f aca="false">FALSE()</f>
        <v>0</v>
      </c>
      <c r="AH712" s="0" t="n">
        <v>1</v>
      </c>
    </row>
    <row r="713" customFormat="false" ht="15" hidden="false" customHeight="false" outlineLevel="0" collapsed="false">
      <c r="A713" s="0" t="s">
        <v>1203</v>
      </c>
      <c r="B713" s="0" t="s">
        <v>134</v>
      </c>
      <c r="C713" s="0" t="s">
        <v>3447</v>
      </c>
      <c r="D713" s="0" t="s">
        <v>3448</v>
      </c>
      <c r="E713" s="20" t="s">
        <v>25</v>
      </c>
      <c r="F713" s="23" t="s">
        <v>30</v>
      </c>
      <c r="G713" s="21" t="s">
        <v>283</v>
      </c>
      <c r="H713" s="21" t="s">
        <v>24</v>
      </c>
      <c r="I713" s="21" t="s">
        <v>25</v>
      </c>
      <c r="J713" s="21" t="s">
        <v>24</v>
      </c>
      <c r="K713" s="21" t="s">
        <v>24</v>
      </c>
      <c r="L713" s="21" t="s">
        <v>24</v>
      </c>
      <c r="M713" s="0" t="n">
        <v>185</v>
      </c>
      <c r="N713" s="0" t="n">
        <v>4</v>
      </c>
      <c r="O713" s="21" t="s">
        <v>3722</v>
      </c>
      <c r="P713" s="21" t="s">
        <v>4534</v>
      </c>
      <c r="Q713" s="0" t="n">
        <v>1</v>
      </c>
      <c r="R713" s="21" t="s">
        <v>69</v>
      </c>
      <c r="S713" s="0" t="n">
        <v>4</v>
      </c>
      <c r="T713" s="21" t="s">
        <v>3722</v>
      </c>
      <c r="U713" s="22" t="b">
        <f aca="false">TRUE()</f>
        <v>1</v>
      </c>
      <c r="V713" s="0" t="n">
        <v>0.69</v>
      </c>
      <c r="W713" s="0" t="n">
        <v>0.72</v>
      </c>
      <c r="X713" s="0" t="n">
        <v>7.23</v>
      </c>
      <c r="Y713" s="0" t="n">
        <v>322.41</v>
      </c>
      <c r="Z713" s="0" t="n">
        <v>8</v>
      </c>
      <c r="AA713" s="0" t="n">
        <v>1.57</v>
      </c>
      <c r="AB713" s="0" t="n">
        <v>6.53</v>
      </c>
      <c r="AC713" s="22" t="b">
        <f aca="false">FALSE()</f>
        <v>0</v>
      </c>
      <c r="AD713" s="0" t="n">
        <v>11.74</v>
      </c>
      <c r="AE713" s="0" t="n">
        <v>1.4</v>
      </c>
      <c r="AF713" s="0" t="n">
        <v>6.75</v>
      </c>
      <c r="AG713" s="22" t="b">
        <f aca="false">TRUE()</f>
        <v>1</v>
      </c>
      <c r="AH713" s="0" t="n">
        <v>1</v>
      </c>
    </row>
    <row r="714" customFormat="false" ht="15" hidden="false" customHeight="false" outlineLevel="0" collapsed="false">
      <c r="A714" s="0" t="s">
        <v>1203</v>
      </c>
      <c r="B714" s="0" t="s">
        <v>3459</v>
      </c>
      <c r="C714" s="0" t="s">
        <v>3450</v>
      </c>
      <c r="D714" s="0" t="s">
        <v>3457</v>
      </c>
      <c r="E714" s="20" t="s">
        <v>25</v>
      </c>
      <c r="F714" s="23" t="s">
        <v>30</v>
      </c>
      <c r="G714" s="21" t="s">
        <v>283</v>
      </c>
      <c r="H714" s="21" t="s">
        <v>24</v>
      </c>
      <c r="I714" s="21" t="s">
        <v>25</v>
      </c>
      <c r="J714" s="21" t="s">
        <v>24</v>
      </c>
      <c r="K714" s="21" t="s">
        <v>24</v>
      </c>
      <c r="L714" s="21" t="s">
        <v>24</v>
      </c>
      <c r="M714" s="0" t="n">
        <v>182</v>
      </c>
      <c r="N714" s="0" t="n">
        <v>1</v>
      </c>
      <c r="O714" s="21" t="s">
        <v>69</v>
      </c>
      <c r="P714" s="21" t="s">
        <v>4275</v>
      </c>
      <c r="Q714" s="0" t="n">
        <v>1</v>
      </c>
      <c r="R714" s="21" t="s">
        <v>69</v>
      </c>
      <c r="S714" s="0" t="n">
        <v>1</v>
      </c>
      <c r="T714" s="21" t="s">
        <v>69</v>
      </c>
      <c r="U714" s="22" t="b">
        <f aca="false">TRUE()</f>
        <v>1</v>
      </c>
      <c r="V714" s="0" t="n">
        <v>0.74</v>
      </c>
      <c r="W714" s="0" t="n">
        <v>0</v>
      </c>
      <c r="X714" s="0" t="n">
        <v>6.53</v>
      </c>
      <c r="Y714" s="0" t="n">
        <v>678.38</v>
      </c>
      <c r="Z714" s="0" t="n">
        <v>8.75</v>
      </c>
      <c r="AA714" s="0" t="n">
        <v>13.97</v>
      </c>
      <c r="AB714" s="0" t="n">
        <v>6.94</v>
      </c>
      <c r="AC714" s="22" t="b">
        <f aca="false">FALSE()</f>
        <v>0</v>
      </c>
      <c r="AD714" s="0" t="n">
        <v>5.88</v>
      </c>
      <c r="AE714" s="0" t="n">
        <v>0.83</v>
      </c>
      <c r="AF714" s="0" t="n">
        <v>13.03</v>
      </c>
      <c r="AG714" s="22" t="b">
        <f aca="false">FALSE()</f>
        <v>0</v>
      </c>
      <c r="AH714" s="0" t="n">
        <v>1</v>
      </c>
    </row>
    <row r="715" customFormat="false" ht="15" hidden="false" customHeight="false" outlineLevel="0" collapsed="false">
      <c r="A715" s="0" t="s">
        <v>1203</v>
      </c>
      <c r="B715" s="0" t="s">
        <v>3459</v>
      </c>
      <c r="C715" s="0" t="s">
        <v>3450</v>
      </c>
      <c r="D715" s="0" t="s">
        <v>3448</v>
      </c>
      <c r="E715" s="20" t="s">
        <v>25</v>
      </c>
      <c r="F715" s="20" t="s">
        <v>29</v>
      </c>
      <c r="G715" s="21" t="s">
        <v>64</v>
      </c>
      <c r="H715" s="21" t="s">
        <v>24</v>
      </c>
      <c r="I715" s="21" t="s">
        <v>24</v>
      </c>
      <c r="J715" s="21" t="s">
        <v>24</v>
      </c>
      <c r="K715" s="21" t="s">
        <v>25</v>
      </c>
      <c r="L715" s="21" t="s">
        <v>24</v>
      </c>
      <c r="M715" s="0" t="n">
        <v>184</v>
      </c>
      <c r="N715" s="0" t="n">
        <v>0</v>
      </c>
      <c r="Q715" s="0" t="n">
        <v>0</v>
      </c>
      <c r="S715" s="0" t="n">
        <v>0</v>
      </c>
      <c r="U715" s="22" t="b">
        <f aca="false">FALSE()</f>
        <v>0</v>
      </c>
      <c r="V715" s="0" t="n">
        <v>0.75</v>
      </c>
      <c r="W715" s="0" t="n">
        <v>0.16</v>
      </c>
      <c r="X715" s="0" t="n">
        <v>7.15</v>
      </c>
      <c r="Y715" s="0" t="n">
        <v>561.89</v>
      </c>
      <c r="Z715" s="0" t="n">
        <v>8.5</v>
      </c>
      <c r="AA715" s="0" t="n">
        <v>15.24</v>
      </c>
      <c r="AB715" s="0" t="n">
        <v>0.26</v>
      </c>
      <c r="AC715" s="22" t="b">
        <f aca="false">FALSE()</f>
        <v>0</v>
      </c>
      <c r="AD715" s="0" t="n">
        <v>4.87</v>
      </c>
      <c r="AE715" s="0" t="n">
        <v>1.01</v>
      </c>
      <c r="AF715" s="0" t="n">
        <v>11.39</v>
      </c>
      <c r="AG715" s="22" t="b">
        <f aca="false">FALSE()</f>
        <v>0</v>
      </c>
      <c r="AH715" s="0" t="n">
        <v>1</v>
      </c>
    </row>
    <row r="716" customFormat="false" ht="15" hidden="false" customHeight="false" outlineLevel="0" collapsed="false">
      <c r="A716" s="0" t="s">
        <v>1203</v>
      </c>
      <c r="B716" s="0" t="s">
        <v>3459</v>
      </c>
      <c r="C716" s="0" t="s">
        <v>3447</v>
      </c>
      <c r="D716" s="0" t="s">
        <v>3457</v>
      </c>
      <c r="E716" s="18" t="s">
        <v>24</v>
      </c>
      <c r="F716" s="18" t="s">
        <v>28</v>
      </c>
      <c r="H716" s="21" t="s">
        <v>24</v>
      </c>
      <c r="I716" s="21" t="s">
        <v>24</v>
      </c>
      <c r="J716" s="21" t="s">
        <v>24</v>
      </c>
      <c r="K716" s="21" t="s">
        <v>24</v>
      </c>
      <c r="L716" s="21" t="s">
        <v>24</v>
      </c>
      <c r="M716" s="0" t="n">
        <v>184</v>
      </c>
      <c r="N716" s="0" t="n">
        <v>0</v>
      </c>
      <c r="Q716" s="0" t="n">
        <v>0</v>
      </c>
      <c r="S716" s="0" t="n">
        <v>0</v>
      </c>
      <c r="U716" s="22" t="b">
        <f aca="false">FALSE()</f>
        <v>0</v>
      </c>
      <c r="V716" s="0" t="n">
        <v>0.7</v>
      </c>
      <c r="W716" s="0" t="n">
        <v>0.16</v>
      </c>
      <c r="X716" s="0" t="n">
        <v>6.15</v>
      </c>
      <c r="Y716" s="0" t="n">
        <v>532.68</v>
      </c>
      <c r="Z716" s="0" t="n">
        <v>9.75</v>
      </c>
      <c r="AA716" s="0" t="n">
        <v>0.07</v>
      </c>
      <c r="AB716" s="0" t="n">
        <v>6.94</v>
      </c>
      <c r="AC716" s="22" t="b">
        <f aca="false">FALSE()</f>
        <v>0</v>
      </c>
      <c r="AD716" s="0" t="n">
        <v>6.08</v>
      </c>
      <c r="AE716" s="0" t="n">
        <v>0.98</v>
      </c>
      <c r="AF716" s="0" t="n">
        <v>12.09</v>
      </c>
      <c r="AG716" s="22" t="b">
        <f aca="false">FALSE()</f>
        <v>0</v>
      </c>
      <c r="AH716" s="0" t="n">
        <v>1</v>
      </c>
    </row>
    <row r="717" customFormat="false" ht="15" hidden="false" customHeight="false" outlineLevel="0" collapsed="false">
      <c r="A717" s="0" t="s">
        <v>1203</v>
      </c>
      <c r="B717" s="0" t="s">
        <v>3459</v>
      </c>
      <c r="C717" s="0" t="s">
        <v>3447</v>
      </c>
      <c r="D717" s="0" t="s">
        <v>3448</v>
      </c>
      <c r="E717" s="20" t="s">
        <v>25</v>
      </c>
      <c r="F717" s="20" t="s">
        <v>29</v>
      </c>
      <c r="G717" s="21" t="s">
        <v>64</v>
      </c>
      <c r="H717" s="21" t="s">
        <v>24</v>
      </c>
      <c r="I717" s="21" t="s">
        <v>24</v>
      </c>
      <c r="J717" s="21" t="s">
        <v>24</v>
      </c>
      <c r="K717" s="21" t="s">
        <v>25</v>
      </c>
      <c r="L717" s="21" t="s">
        <v>24</v>
      </c>
      <c r="M717" s="0" t="n">
        <v>184</v>
      </c>
      <c r="N717" s="0" t="n">
        <v>0</v>
      </c>
      <c r="Q717" s="0" t="n">
        <v>0</v>
      </c>
      <c r="S717" s="0" t="n">
        <v>0</v>
      </c>
      <c r="U717" s="22" t="b">
        <f aca="false">FALSE()</f>
        <v>0</v>
      </c>
      <c r="V717" s="0" t="n">
        <v>0.72</v>
      </c>
      <c r="W717" s="0" t="n">
        <v>0.88</v>
      </c>
      <c r="X717" s="0" t="n">
        <v>7.27</v>
      </c>
      <c r="Y717" s="0" t="n">
        <v>319.94</v>
      </c>
      <c r="Z717" s="0" t="n">
        <v>8</v>
      </c>
      <c r="AA717" s="0" t="n">
        <v>-0.93</v>
      </c>
      <c r="AB717" s="0" t="n">
        <v>0.26</v>
      </c>
      <c r="AC717" s="22" t="b">
        <f aca="false">FALSE()</f>
        <v>0</v>
      </c>
      <c r="AD717" s="0" t="n">
        <v>0.46</v>
      </c>
      <c r="AE717" s="0" t="n">
        <v>0.48</v>
      </c>
      <c r="AF717" s="0" t="n">
        <v>3.8</v>
      </c>
      <c r="AG717" s="22" t="b">
        <f aca="false">FALSE()</f>
        <v>0</v>
      </c>
      <c r="AH717" s="0" t="n">
        <v>1</v>
      </c>
    </row>
    <row r="718" customFormat="false" ht="15" hidden="false" customHeight="false" outlineLevel="0" collapsed="false">
      <c r="A718" s="0" t="s">
        <v>1209</v>
      </c>
      <c r="B718" s="0" t="s">
        <v>134</v>
      </c>
      <c r="C718" s="0" t="s">
        <v>3450</v>
      </c>
      <c r="D718" s="0" t="s">
        <v>3457</v>
      </c>
      <c r="E718" s="18" t="s">
        <v>24</v>
      </c>
      <c r="F718" s="18" t="s">
        <v>28</v>
      </c>
      <c r="H718" s="21" t="s">
        <v>24</v>
      </c>
      <c r="I718" s="21" t="s">
        <v>24</v>
      </c>
      <c r="J718" s="21" t="s">
        <v>24</v>
      </c>
      <c r="K718" s="21" t="s">
        <v>24</v>
      </c>
      <c r="L718" s="21" t="s">
        <v>24</v>
      </c>
      <c r="M718" s="0" t="n">
        <v>183</v>
      </c>
      <c r="N718" s="0" t="n">
        <v>0</v>
      </c>
      <c r="Q718" s="0" t="n">
        <v>0</v>
      </c>
      <c r="S718" s="0" t="n">
        <v>0</v>
      </c>
      <c r="U718" s="22" t="b">
        <f aca="false">FALSE()</f>
        <v>0</v>
      </c>
      <c r="V718" s="0" t="n">
        <v>0.62</v>
      </c>
      <c r="W718" s="0" t="n">
        <v>0.8</v>
      </c>
      <c r="X718" s="0" t="n">
        <v>10.07</v>
      </c>
      <c r="Y718" s="0" t="n">
        <v>312.43</v>
      </c>
      <c r="Z718" s="0" t="n">
        <v>9.25</v>
      </c>
      <c r="AA718" s="0" t="n">
        <v>15.29</v>
      </c>
      <c r="AB718" s="0" t="n">
        <v>8.51</v>
      </c>
      <c r="AC718" s="22" t="b">
        <f aca="false">FALSE()</f>
        <v>0</v>
      </c>
      <c r="AD718" s="0" t="n">
        <v>16.67</v>
      </c>
      <c r="AE718" s="0" t="n">
        <v>0.23</v>
      </c>
      <c r="AF718" s="0" t="n">
        <v>13.21</v>
      </c>
      <c r="AG718" s="22" t="b">
        <f aca="false">TRUE()</f>
        <v>1</v>
      </c>
      <c r="AH718" s="0" t="n">
        <v>1</v>
      </c>
    </row>
    <row r="719" customFormat="false" ht="15" hidden="false" customHeight="false" outlineLevel="0" collapsed="false">
      <c r="A719" s="0" t="s">
        <v>1209</v>
      </c>
      <c r="B719" s="0" t="s">
        <v>134</v>
      </c>
      <c r="C719" s="0" t="s">
        <v>3450</v>
      </c>
      <c r="D719" s="0" t="s">
        <v>3448</v>
      </c>
      <c r="E719" s="18" t="s">
        <v>24</v>
      </c>
      <c r="F719" s="18" t="s">
        <v>28</v>
      </c>
      <c r="H719" s="21" t="s">
        <v>24</v>
      </c>
      <c r="I719" s="21" t="s">
        <v>24</v>
      </c>
      <c r="J719" s="21" t="s">
        <v>24</v>
      </c>
      <c r="K719" s="21" t="s">
        <v>24</v>
      </c>
      <c r="L719" s="21" t="s">
        <v>24</v>
      </c>
      <c r="M719" s="0" t="n">
        <v>186</v>
      </c>
      <c r="N719" s="0" t="n">
        <v>0</v>
      </c>
      <c r="Q719" s="0" t="n">
        <v>0</v>
      </c>
      <c r="S719" s="0" t="n">
        <v>0</v>
      </c>
      <c r="U719" s="22" t="b">
        <f aca="false">FALSE()</f>
        <v>0</v>
      </c>
      <c r="V719" s="0" t="n">
        <v>0.65</v>
      </c>
      <c r="W719" s="0" t="n">
        <v>0.28</v>
      </c>
      <c r="X719" s="0" t="n">
        <v>12.4</v>
      </c>
      <c r="Y719" s="0" t="n">
        <v>419.3</v>
      </c>
      <c r="Z719" s="0" t="n">
        <v>9</v>
      </c>
      <c r="AA719" s="0" t="n">
        <v>14.42</v>
      </c>
      <c r="AB719" s="0" t="n">
        <v>2.85</v>
      </c>
      <c r="AC719" s="22" t="b">
        <f aca="false">FALSE()</f>
        <v>0</v>
      </c>
      <c r="AD719" s="0" t="n">
        <v>16.37</v>
      </c>
      <c r="AE719" s="0" t="n">
        <v>0.66</v>
      </c>
      <c r="AF719" s="0" t="n">
        <v>18.7</v>
      </c>
      <c r="AG719" s="22" t="b">
        <f aca="false">TRUE()</f>
        <v>1</v>
      </c>
      <c r="AH719" s="0" t="n">
        <v>1</v>
      </c>
    </row>
    <row r="720" customFormat="false" ht="15" hidden="false" customHeight="false" outlineLevel="0" collapsed="false">
      <c r="A720" s="0" t="s">
        <v>1209</v>
      </c>
      <c r="B720" s="0" t="s">
        <v>134</v>
      </c>
      <c r="C720" s="0" t="s">
        <v>3447</v>
      </c>
      <c r="D720" s="0" t="s">
        <v>3457</v>
      </c>
      <c r="E720" s="19" t="s">
        <v>26</v>
      </c>
      <c r="F720" s="19" t="s">
        <v>32</v>
      </c>
      <c r="G720" s="21" t="s">
        <v>529</v>
      </c>
      <c r="H720" s="21" t="s">
        <v>24</v>
      </c>
      <c r="I720" s="21" t="s">
        <v>26</v>
      </c>
      <c r="J720" s="21" t="s">
        <v>24</v>
      </c>
      <c r="K720" s="21" t="s">
        <v>24</v>
      </c>
      <c r="L720" s="21" t="s">
        <v>24</v>
      </c>
      <c r="M720" s="0" t="n">
        <v>183</v>
      </c>
      <c r="N720" s="0" t="n">
        <v>13</v>
      </c>
      <c r="O720" s="21" t="s">
        <v>4023</v>
      </c>
      <c r="P720" s="21" t="s">
        <v>4229</v>
      </c>
      <c r="Q720" s="0" t="n">
        <v>1</v>
      </c>
      <c r="R720" s="21" t="s">
        <v>69</v>
      </c>
      <c r="S720" s="0" t="n">
        <v>13</v>
      </c>
      <c r="T720" s="21" t="s">
        <v>4023</v>
      </c>
      <c r="U720" s="22" t="b">
        <f aca="false">FALSE()</f>
        <v>0</v>
      </c>
      <c r="V720" s="0" t="n">
        <v>0.71</v>
      </c>
      <c r="W720" s="0" t="n">
        <v>0.28</v>
      </c>
      <c r="X720" s="0" t="n">
        <v>10.07</v>
      </c>
      <c r="Y720" s="0" t="n">
        <v>429.16</v>
      </c>
      <c r="Z720" s="0" t="n">
        <v>10.17</v>
      </c>
      <c r="AA720" s="0" t="n">
        <v>2.4</v>
      </c>
      <c r="AB720" s="0" t="n">
        <v>8.51</v>
      </c>
      <c r="AC720" s="22" t="b">
        <f aca="false">FALSE()</f>
        <v>0</v>
      </c>
      <c r="AD720" s="0" t="n">
        <v>15.69</v>
      </c>
      <c r="AE720" s="0" t="n">
        <v>0.53</v>
      </c>
      <c r="AF720" s="0" t="n">
        <v>12.14</v>
      </c>
      <c r="AG720" s="22" t="b">
        <f aca="false">TRUE()</f>
        <v>1</v>
      </c>
      <c r="AH720" s="0" t="n">
        <v>1</v>
      </c>
    </row>
    <row r="721" customFormat="false" ht="15" hidden="false" customHeight="false" outlineLevel="0" collapsed="false">
      <c r="A721" s="0" t="s">
        <v>1209</v>
      </c>
      <c r="B721" s="0" t="s">
        <v>134</v>
      </c>
      <c r="C721" s="0" t="s">
        <v>3447</v>
      </c>
      <c r="D721" s="0" t="s">
        <v>3448</v>
      </c>
      <c r="E721" s="19" t="s">
        <v>26</v>
      </c>
      <c r="F721" s="19" t="s">
        <v>32</v>
      </c>
      <c r="G721" s="21" t="s">
        <v>529</v>
      </c>
      <c r="H721" s="21" t="s">
        <v>24</v>
      </c>
      <c r="I721" s="21" t="s">
        <v>26</v>
      </c>
      <c r="J721" s="21" t="s">
        <v>24</v>
      </c>
      <c r="K721" s="21" t="s">
        <v>24</v>
      </c>
      <c r="L721" s="21" t="s">
        <v>24</v>
      </c>
      <c r="M721" s="0" t="n">
        <v>182</v>
      </c>
      <c r="N721" s="0" t="n">
        <v>11</v>
      </c>
      <c r="O721" s="21" t="s">
        <v>4034</v>
      </c>
      <c r="P721" s="21" t="s">
        <v>4252</v>
      </c>
      <c r="Q721" s="0" t="n">
        <v>1</v>
      </c>
      <c r="R721" s="21" t="s">
        <v>69</v>
      </c>
      <c r="S721" s="0" t="n">
        <v>11</v>
      </c>
      <c r="T721" s="21" t="s">
        <v>4034</v>
      </c>
      <c r="U721" s="22" t="b">
        <f aca="false">FALSE()</f>
        <v>0</v>
      </c>
      <c r="V721" s="0" t="n">
        <v>0.7</v>
      </c>
      <c r="W721" s="0" t="n">
        <v>0.8</v>
      </c>
      <c r="X721" s="0" t="n">
        <v>11.48</v>
      </c>
      <c r="Y721" s="0" t="n">
        <v>307.68</v>
      </c>
      <c r="Z721" s="0" t="n">
        <v>8.42</v>
      </c>
      <c r="AA721" s="0" t="n">
        <v>0.12</v>
      </c>
      <c r="AB721" s="0" t="n">
        <v>2.85</v>
      </c>
      <c r="AC721" s="22" t="b">
        <f aca="false">FALSE()</f>
        <v>0</v>
      </c>
      <c r="AD721" s="0" t="n">
        <v>7.36</v>
      </c>
      <c r="AE721" s="0" t="n">
        <v>0.58</v>
      </c>
      <c r="AF721" s="0" t="n">
        <v>12.28</v>
      </c>
      <c r="AG721" s="22" t="b">
        <f aca="false">FALSE()</f>
        <v>0</v>
      </c>
      <c r="AH721" s="0" t="n">
        <v>1</v>
      </c>
    </row>
    <row r="722" customFormat="false" ht="15" hidden="false" customHeight="false" outlineLevel="0" collapsed="false">
      <c r="A722" s="0" t="s">
        <v>1215</v>
      </c>
      <c r="B722" s="0" t="s">
        <v>134</v>
      </c>
      <c r="C722" s="0" t="s">
        <v>3450</v>
      </c>
      <c r="D722" s="0" t="s">
        <v>3457</v>
      </c>
      <c r="E722" s="19" t="s">
        <v>26</v>
      </c>
      <c r="F722" s="19" t="s">
        <v>32</v>
      </c>
      <c r="G722" s="21" t="s">
        <v>529</v>
      </c>
      <c r="H722" s="21" t="s">
        <v>24</v>
      </c>
      <c r="I722" s="21" t="s">
        <v>26</v>
      </c>
      <c r="J722" s="21" t="s">
        <v>24</v>
      </c>
      <c r="K722" s="21" t="s">
        <v>24</v>
      </c>
      <c r="L722" s="21" t="s">
        <v>24</v>
      </c>
      <c r="M722" s="0" t="n">
        <v>186</v>
      </c>
      <c r="N722" s="0" t="n">
        <v>11</v>
      </c>
      <c r="O722" s="21" t="s">
        <v>4034</v>
      </c>
      <c r="P722" s="21" t="s">
        <v>4252</v>
      </c>
      <c r="Q722" s="0" t="n">
        <v>1</v>
      </c>
      <c r="R722" s="21" t="s">
        <v>69</v>
      </c>
      <c r="S722" s="0" t="n">
        <v>11</v>
      </c>
      <c r="T722" s="21" t="s">
        <v>4034</v>
      </c>
      <c r="U722" s="22" t="b">
        <f aca="false">FALSE()</f>
        <v>0</v>
      </c>
      <c r="V722" s="0" t="n">
        <v>0.69</v>
      </c>
      <c r="W722" s="0" t="n">
        <v>0.44</v>
      </c>
      <c r="X722" s="0" t="n">
        <v>9.96</v>
      </c>
      <c r="Y722" s="0" t="n">
        <v>342.51</v>
      </c>
      <c r="Z722" s="0" t="n">
        <v>10.75</v>
      </c>
      <c r="AA722" s="0" t="n">
        <v>14.15</v>
      </c>
      <c r="AB722" s="0" t="n">
        <v>10.63</v>
      </c>
      <c r="AC722" s="22" t="b">
        <f aca="false">FALSE()</f>
        <v>0</v>
      </c>
      <c r="AD722" s="0" t="n">
        <v>9.6</v>
      </c>
      <c r="AE722" s="0" t="n">
        <v>0.67</v>
      </c>
      <c r="AF722" s="0" t="n">
        <v>5.55</v>
      </c>
      <c r="AG722" s="22" t="b">
        <f aca="false">FALSE()</f>
        <v>0</v>
      </c>
      <c r="AH722" s="0" t="n">
        <v>1</v>
      </c>
    </row>
    <row r="723" customFormat="false" ht="15" hidden="false" customHeight="false" outlineLevel="0" collapsed="false">
      <c r="A723" s="0" t="s">
        <v>1215</v>
      </c>
      <c r="B723" s="0" t="s">
        <v>134</v>
      </c>
      <c r="C723" s="0" t="s">
        <v>3450</v>
      </c>
      <c r="D723" s="0" t="s">
        <v>3448</v>
      </c>
      <c r="E723" s="20" t="s">
        <v>25</v>
      </c>
      <c r="F723" s="23" t="s">
        <v>30</v>
      </c>
      <c r="G723" s="21" t="s">
        <v>283</v>
      </c>
      <c r="H723" s="21" t="s">
        <v>24</v>
      </c>
      <c r="I723" s="21" t="s">
        <v>25</v>
      </c>
      <c r="J723" s="21" t="s">
        <v>24</v>
      </c>
      <c r="K723" s="21" t="s">
        <v>24</v>
      </c>
      <c r="L723" s="21" t="s">
        <v>24</v>
      </c>
      <c r="M723" s="0" t="n">
        <v>207</v>
      </c>
      <c r="N723" s="0" t="n">
        <v>4</v>
      </c>
      <c r="O723" s="21" t="s">
        <v>3737</v>
      </c>
      <c r="P723" s="21" t="s">
        <v>4535</v>
      </c>
      <c r="Q723" s="0" t="n">
        <v>1</v>
      </c>
      <c r="R723" s="21" t="s">
        <v>69</v>
      </c>
      <c r="S723" s="0" t="n">
        <v>4</v>
      </c>
      <c r="T723" s="21" t="s">
        <v>3737</v>
      </c>
      <c r="U723" s="22" t="b">
        <f aca="false">TRUE()</f>
        <v>1</v>
      </c>
      <c r="V723" s="0" t="n">
        <v>0.74</v>
      </c>
      <c r="W723" s="0" t="n">
        <v>0</v>
      </c>
      <c r="X723" s="0" t="n">
        <v>8.47</v>
      </c>
      <c r="Y723" s="0" t="n">
        <v>817.86</v>
      </c>
      <c r="Z723" s="0" t="n">
        <v>10.75</v>
      </c>
      <c r="AA723" s="0" t="n">
        <v>18.51</v>
      </c>
      <c r="AB723" s="0" t="n">
        <v>3.93</v>
      </c>
      <c r="AC723" s="22" t="b">
        <f aca="false">FALSE()</f>
        <v>0</v>
      </c>
      <c r="AD723" s="0" t="n">
        <v>4.5</v>
      </c>
      <c r="AE723" s="0" t="n">
        <v>0.61</v>
      </c>
      <c r="AF723" s="0" t="n">
        <v>1.21</v>
      </c>
      <c r="AG723" s="22" t="b">
        <f aca="false">FALSE()</f>
        <v>0</v>
      </c>
      <c r="AH723" s="0" t="n">
        <v>1</v>
      </c>
    </row>
    <row r="724" customFormat="false" ht="15" hidden="false" customHeight="false" outlineLevel="0" collapsed="false">
      <c r="A724" s="0" t="s">
        <v>1215</v>
      </c>
      <c r="B724" s="0" t="s">
        <v>134</v>
      </c>
      <c r="C724" s="0" t="s">
        <v>3447</v>
      </c>
      <c r="D724" s="0" t="s">
        <v>3457</v>
      </c>
      <c r="E724" s="18" t="s">
        <v>24</v>
      </c>
      <c r="F724" s="18" t="s">
        <v>28</v>
      </c>
      <c r="H724" s="21" t="s">
        <v>24</v>
      </c>
      <c r="I724" s="21" t="s">
        <v>24</v>
      </c>
      <c r="J724" s="21" t="s">
        <v>24</v>
      </c>
      <c r="K724" s="21" t="s">
        <v>24</v>
      </c>
      <c r="L724" s="21" t="s">
        <v>24</v>
      </c>
      <c r="M724" s="0" t="n">
        <v>184</v>
      </c>
      <c r="N724" s="0" t="n">
        <v>0</v>
      </c>
      <c r="Q724" s="0" t="n">
        <v>0</v>
      </c>
      <c r="S724" s="0" t="n">
        <v>0</v>
      </c>
      <c r="U724" s="22" t="b">
        <f aca="false">FALSE()</f>
        <v>0</v>
      </c>
      <c r="V724" s="0" t="n">
        <v>0.76</v>
      </c>
      <c r="W724" s="0" t="n">
        <v>0</v>
      </c>
      <c r="X724" s="0" t="n">
        <v>7.24</v>
      </c>
      <c r="Y724" s="0" t="n">
        <v>687.88</v>
      </c>
      <c r="Z724" s="0" t="n">
        <v>11</v>
      </c>
      <c r="AA724" s="0" t="n">
        <v>6.05</v>
      </c>
      <c r="AB724" s="0" t="n">
        <v>10.63</v>
      </c>
      <c r="AC724" s="22" t="b">
        <f aca="false">FALSE()</f>
        <v>0</v>
      </c>
      <c r="AD724" s="0" t="n">
        <v>12.77</v>
      </c>
      <c r="AE724" s="0" t="n">
        <v>0.74</v>
      </c>
      <c r="AF724" s="0" t="n">
        <v>8.32</v>
      </c>
      <c r="AG724" s="22" t="b">
        <f aca="false">TRUE()</f>
        <v>1</v>
      </c>
      <c r="AH724" s="0" t="n">
        <v>1</v>
      </c>
    </row>
    <row r="725" customFormat="false" ht="15" hidden="false" customHeight="false" outlineLevel="0" collapsed="false">
      <c r="A725" s="0" t="s">
        <v>1215</v>
      </c>
      <c r="B725" s="0" t="s">
        <v>134</v>
      </c>
      <c r="C725" s="0" t="s">
        <v>3447</v>
      </c>
      <c r="D725" s="0" t="s">
        <v>3448</v>
      </c>
      <c r="E725" s="20" t="s">
        <v>25</v>
      </c>
      <c r="F725" s="23" t="s">
        <v>30</v>
      </c>
      <c r="G725" s="21" t="s">
        <v>283</v>
      </c>
      <c r="H725" s="21" t="s">
        <v>24</v>
      </c>
      <c r="I725" s="21" t="s">
        <v>25</v>
      </c>
      <c r="J725" s="21" t="s">
        <v>24</v>
      </c>
      <c r="K725" s="21" t="s">
        <v>24</v>
      </c>
      <c r="L725" s="21" t="s">
        <v>24</v>
      </c>
      <c r="M725" s="0" t="n">
        <v>182</v>
      </c>
      <c r="N725" s="0" t="n">
        <v>4</v>
      </c>
      <c r="O725" s="21" t="s">
        <v>3770</v>
      </c>
      <c r="P725" s="21" t="s">
        <v>4536</v>
      </c>
      <c r="Q725" s="0" t="n">
        <v>1</v>
      </c>
      <c r="R725" s="21" t="s">
        <v>69</v>
      </c>
      <c r="S725" s="0" t="n">
        <v>4</v>
      </c>
      <c r="T725" s="21" t="s">
        <v>3770</v>
      </c>
      <c r="U725" s="22" t="b">
        <f aca="false">TRUE()</f>
        <v>1</v>
      </c>
      <c r="V725" s="0" t="n">
        <v>0.71</v>
      </c>
      <c r="W725" s="0" t="n">
        <v>0.12</v>
      </c>
      <c r="X725" s="0" t="n">
        <v>8.19</v>
      </c>
      <c r="Y725" s="0" t="n">
        <v>623.5</v>
      </c>
      <c r="Z725" s="0" t="n">
        <v>11.25</v>
      </c>
      <c r="AA725" s="0" t="n">
        <v>11</v>
      </c>
      <c r="AB725" s="0" t="n">
        <v>3.93</v>
      </c>
      <c r="AC725" s="22" t="b">
        <f aca="false">FALSE()</f>
        <v>0</v>
      </c>
      <c r="AD725" s="0" t="n">
        <v>9.81</v>
      </c>
      <c r="AE725" s="0" t="n">
        <v>0.46</v>
      </c>
      <c r="AF725" s="0" t="n">
        <v>3.16</v>
      </c>
      <c r="AG725" s="22" t="b">
        <f aca="false">FALSE()</f>
        <v>0</v>
      </c>
      <c r="AH725" s="0" t="n">
        <v>1</v>
      </c>
    </row>
    <row r="726" customFormat="false" ht="15" hidden="false" customHeight="false" outlineLevel="0" collapsed="false">
      <c r="A726" s="0" t="s">
        <v>1221</v>
      </c>
      <c r="B726" s="0" t="s">
        <v>134</v>
      </c>
      <c r="C726" s="0" t="s">
        <v>3450</v>
      </c>
      <c r="D726" s="0" t="s">
        <v>3457</v>
      </c>
      <c r="E726" s="18" t="s">
        <v>24</v>
      </c>
      <c r="F726" s="23" t="s">
        <v>30</v>
      </c>
      <c r="G726" s="21" t="s">
        <v>30</v>
      </c>
      <c r="H726" s="21" t="s">
        <v>24</v>
      </c>
      <c r="I726" s="21" t="s">
        <v>24</v>
      </c>
      <c r="J726" s="21" t="s">
        <v>24</v>
      </c>
      <c r="K726" s="21" t="s">
        <v>24</v>
      </c>
      <c r="L726" s="21" t="s">
        <v>24</v>
      </c>
      <c r="M726" s="0" t="n">
        <v>183</v>
      </c>
      <c r="N726" s="0" t="n">
        <v>4</v>
      </c>
      <c r="O726" s="21" t="s">
        <v>3643</v>
      </c>
      <c r="P726" s="21" t="s">
        <v>4508</v>
      </c>
      <c r="Q726" s="0" t="n">
        <v>0</v>
      </c>
      <c r="S726" s="0" t="n">
        <v>4</v>
      </c>
      <c r="T726" s="21" t="s">
        <v>3643</v>
      </c>
      <c r="U726" s="22" t="b">
        <f aca="false">TRUE()</f>
        <v>1</v>
      </c>
      <c r="V726" s="0" t="n">
        <v>0.73</v>
      </c>
      <c r="W726" s="0" t="n">
        <v>0.84</v>
      </c>
      <c r="X726" s="0" t="n">
        <v>9.32</v>
      </c>
      <c r="Y726" s="0" t="n">
        <v>291.15</v>
      </c>
      <c r="Z726" s="0" t="n">
        <v>10</v>
      </c>
      <c r="AA726" s="0" t="n">
        <v>12.69</v>
      </c>
      <c r="AB726" s="0" t="n">
        <v>4.3</v>
      </c>
      <c r="AC726" s="22" t="b">
        <f aca="false">FALSE()</f>
        <v>0</v>
      </c>
      <c r="AD726" s="0" t="n">
        <v>18.11</v>
      </c>
      <c r="AE726" s="0" t="n">
        <v>0.93</v>
      </c>
      <c r="AF726" s="0" t="n">
        <v>10.24</v>
      </c>
      <c r="AG726" s="22" t="b">
        <f aca="false">TRUE()</f>
        <v>1</v>
      </c>
      <c r="AH726" s="0" t="n">
        <v>1</v>
      </c>
    </row>
    <row r="727" customFormat="false" ht="15" hidden="false" customHeight="false" outlineLevel="0" collapsed="false">
      <c r="A727" s="0" t="s">
        <v>1221</v>
      </c>
      <c r="B727" s="0" t="s">
        <v>134</v>
      </c>
      <c r="C727" s="0" t="s">
        <v>3450</v>
      </c>
      <c r="D727" s="0" t="s">
        <v>3448</v>
      </c>
      <c r="E727" s="18" t="s">
        <v>24</v>
      </c>
      <c r="F727" s="18" t="s">
        <v>28</v>
      </c>
      <c r="H727" s="21" t="s">
        <v>24</v>
      </c>
      <c r="I727" s="21" t="s">
        <v>24</v>
      </c>
      <c r="J727" s="21" t="s">
        <v>24</v>
      </c>
      <c r="K727" s="21" t="s">
        <v>24</v>
      </c>
      <c r="L727" s="21" t="s">
        <v>24</v>
      </c>
      <c r="M727" s="0" t="n">
        <v>183</v>
      </c>
      <c r="N727" s="0" t="n">
        <v>0</v>
      </c>
      <c r="Q727" s="0" t="n">
        <v>0</v>
      </c>
      <c r="S727" s="0" t="n">
        <v>0</v>
      </c>
      <c r="U727" s="22" t="b">
        <f aca="false">FALSE()</f>
        <v>0</v>
      </c>
      <c r="V727" s="0" t="n">
        <v>0.72</v>
      </c>
      <c r="W727" s="0" t="n">
        <v>0.64</v>
      </c>
      <c r="X727" s="0" t="n">
        <v>9.45</v>
      </c>
      <c r="Y727" s="0" t="n">
        <v>319.8</v>
      </c>
      <c r="Z727" s="0" t="n">
        <v>10</v>
      </c>
      <c r="AA727" s="0" t="n">
        <v>12.12</v>
      </c>
      <c r="AB727" s="0" t="n">
        <v>2.58</v>
      </c>
      <c r="AC727" s="22" t="b">
        <f aca="false">FALSE()</f>
        <v>0</v>
      </c>
      <c r="AD727" s="0" t="n">
        <v>5.22</v>
      </c>
      <c r="AE727" s="0" t="n">
        <v>0.1</v>
      </c>
      <c r="AF727" s="0" t="n">
        <v>4.21</v>
      </c>
      <c r="AG727" s="22" t="b">
        <f aca="false">FALSE()</f>
        <v>0</v>
      </c>
      <c r="AH727" s="0" t="n">
        <v>1</v>
      </c>
    </row>
    <row r="728" customFormat="false" ht="15" hidden="false" customHeight="false" outlineLevel="0" collapsed="false">
      <c r="A728" s="0" t="s">
        <v>1221</v>
      </c>
      <c r="B728" s="0" t="s">
        <v>134</v>
      </c>
      <c r="C728" s="0" t="s">
        <v>3447</v>
      </c>
      <c r="D728" s="0" t="s">
        <v>3457</v>
      </c>
      <c r="E728" s="20" t="s">
        <v>25</v>
      </c>
      <c r="F728" s="23" t="s">
        <v>30</v>
      </c>
      <c r="G728" s="21" t="s">
        <v>283</v>
      </c>
      <c r="H728" s="21" t="s">
        <v>24</v>
      </c>
      <c r="I728" s="21" t="s">
        <v>25</v>
      </c>
      <c r="J728" s="21" t="s">
        <v>24</v>
      </c>
      <c r="K728" s="21" t="s">
        <v>24</v>
      </c>
      <c r="L728" s="21" t="s">
        <v>24</v>
      </c>
      <c r="M728" s="0" t="n">
        <v>182</v>
      </c>
      <c r="N728" s="0" t="n">
        <v>3</v>
      </c>
      <c r="O728" s="21" t="s">
        <v>3664</v>
      </c>
      <c r="P728" s="21" t="s">
        <v>4331</v>
      </c>
      <c r="Q728" s="0" t="n">
        <v>1</v>
      </c>
      <c r="R728" s="21" t="s">
        <v>69</v>
      </c>
      <c r="S728" s="0" t="n">
        <v>3</v>
      </c>
      <c r="T728" s="21" t="s">
        <v>3664</v>
      </c>
      <c r="U728" s="22" t="b">
        <f aca="false">TRUE()</f>
        <v>1</v>
      </c>
      <c r="V728" s="0" t="n">
        <v>0.84</v>
      </c>
      <c r="W728" s="0" t="n">
        <v>0.48</v>
      </c>
      <c r="X728" s="0" t="n">
        <v>15.24</v>
      </c>
      <c r="Y728" s="0" t="n">
        <v>309.88</v>
      </c>
      <c r="Z728" s="0" t="n">
        <v>9.75</v>
      </c>
      <c r="AA728" s="0" t="n">
        <v>3.13</v>
      </c>
      <c r="AB728" s="0" t="n">
        <v>4.3</v>
      </c>
      <c r="AC728" s="22" t="b">
        <f aca="false">FALSE()</f>
        <v>0</v>
      </c>
      <c r="AD728" s="0" t="n">
        <v>15.67</v>
      </c>
      <c r="AE728" s="0" t="n">
        <v>0.94</v>
      </c>
      <c r="AF728" s="0" t="n">
        <v>7.74</v>
      </c>
      <c r="AG728" s="22" t="b">
        <f aca="false">TRUE()</f>
        <v>1</v>
      </c>
      <c r="AH728" s="0" t="n">
        <v>1</v>
      </c>
    </row>
    <row r="729" customFormat="false" ht="15" hidden="false" customHeight="false" outlineLevel="0" collapsed="false">
      <c r="A729" s="0" t="s">
        <v>1221</v>
      </c>
      <c r="B729" s="0" t="s">
        <v>134</v>
      </c>
      <c r="C729" s="0" t="s">
        <v>3447</v>
      </c>
      <c r="D729" s="0" t="s">
        <v>3448</v>
      </c>
      <c r="E729" s="18" t="s">
        <v>24</v>
      </c>
      <c r="F729" s="18" t="s">
        <v>28</v>
      </c>
      <c r="H729" s="21" t="s">
        <v>24</v>
      </c>
      <c r="I729" s="21" t="s">
        <v>24</v>
      </c>
      <c r="J729" s="21" t="s">
        <v>24</v>
      </c>
      <c r="K729" s="21" t="s">
        <v>24</v>
      </c>
      <c r="L729" s="21" t="s">
        <v>24</v>
      </c>
      <c r="M729" s="0" t="n">
        <v>191</v>
      </c>
      <c r="N729" s="0" t="n">
        <v>0</v>
      </c>
      <c r="Q729" s="0" t="n">
        <v>0</v>
      </c>
      <c r="S729" s="0" t="n">
        <v>0</v>
      </c>
      <c r="U729" s="22" t="b">
        <f aca="false">FALSE()</f>
        <v>0</v>
      </c>
      <c r="V729" s="0" t="n">
        <v>0.77</v>
      </c>
      <c r="W729" s="0" t="n">
        <v>0.12</v>
      </c>
      <c r="X729" s="0" t="n">
        <v>15.61</v>
      </c>
      <c r="Y729" s="0" t="n">
        <v>643.32</v>
      </c>
      <c r="Z729" s="0" t="n">
        <v>9.83</v>
      </c>
      <c r="AA729" s="0" t="n">
        <v>7.18</v>
      </c>
      <c r="AB729" s="0" t="n">
        <v>2.58</v>
      </c>
      <c r="AC729" s="22" t="b">
        <f aca="false">FALSE()</f>
        <v>0</v>
      </c>
      <c r="AD729" s="0" t="n">
        <v>7.49</v>
      </c>
      <c r="AE729" s="0" t="n">
        <v>2.03</v>
      </c>
      <c r="AF729" s="0" t="n">
        <v>1.9</v>
      </c>
      <c r="AG729" s="22" t="b">
        <f aca="false">FALSE()</f>
        <v>0</v>
      </c>
      <c r="AH729" s="0" t="n">
        <v>1</v>
      </c>
    </row>
    <row r="730" customFormat="false" ht="15" hidden="false" customHeight="false" outlineLevel="0" collapsed="false">
      <c r="A730" s="0" t="s">
        <v>1227</v>
      </c>
      <c r="B730" s="0" t="s">
        <v>134</v>
      </c>
      <c r="C730" s="0" t="s">
        <v>3450</v>
      </c>
      <c r="D730" s="0" t="s">
        <v>3457</v>
      </c>
      <c r="E730" s="20" t="s">
        <v>25</v>
      </c>
      <c r="F730" s="20" t="s">
        <v>29</v>
      </c>
      <c r="G730" s="21" t="s">
        <v>62</v>
      </c>
      <c r="H730" s="21" t="s">
        <v>24</v>
      </c>
      <c r="I730" s="21" t="s">
        <v>24</v>
      </c>
      <c r="J730" s="21" t="s">
        <v>24</v>
      </c>
      <c r="K730" s="21" t="s">
        <v>25</v>
      </c>
      <c r="L730" s="21" t="s">
        <v>24</v>
      </c>
      <c r="M730" s="0" t="n">
        <v>184</v>
      </c>
      <c r="N730" s="0" t="n">
        <v>0</v>
      </c>
      <c r="Q730" s="0" t="n">
        <v>0</v>
      </c>
      <c r="S730" s="0" t="n">
        <v>0</v>
      </c>
      <c r="U730" s="22" t="b">
        <f aca="false">FALSE()</f>
        <v>0</v>
      </c>
      <c r="V730" s="0" t="n">
        <v>0.81</v>
      </c>
      <c r="W730" s="0" t="n">
        <v>0.96</v>
      </c>
      <c r="X730" s="0" t="n">
        <v>6.73</v>
      </c>
      <c r="Y730" s="0" t="n">
        <v>318.47</v>
      </c>
      <c r="Z730" s="0" t="n">
        <v>8</v>
      </c>
      <c r="AA730" s="0" t="n">
        <v>-1.21</v>
      </c>
      <c r="AB730" s="0" t="n">
        <v>38.35</v>
      </c>
      <c r="AC730" s="22" t="b">
        <f aca="false">FALSE()</f>
        <v>0</v>
      </c>
      <c r="AD730" s="0" t="n">
        <v>2.73</v>
      </c>
      <c r="AE730" s="0" t="n">
        <v>0.07</v>
      </c>
      <c r="AF730" s="0" t="n">
        <v>5.24</v>
      </c>
      <c r="AG730" s="22" t="b">
        <f aca="false">FALSE()</f>
        <v>0</v>
      </c>
      <c r="AH730" s="0" t="n">
        <v>1</v>
      </c>
    </row>
    <row r="731" customFormat="false" ht="15" hidden="false" customHeight="false" outlineLevel="0" collapsed="false">
      <c r="A731" s="0" t="s">
        <v>1227</v>
      </c>
      <c r="B731" s="0" t="s">
        <v>134</v>
      </c>
      <c r="C731" s="0" t="s">
        <v>3450</v>
      </c>
      <c r="D731" s="0" t="s">
        <v>3448</v>
      </c>
      <c r="E731" s="20" t="s">
        <v>25</v>
      </c>
      <c r="F731" s="23" t="s">
        <v>30</v>
      </c>
      <c r="G731" s="21" t="s">
        <v>283</v>
      </c>
      <c r="H731" s="21" t="s">
        <v>24</v>
      </c>
      <c r="I731" s="21" t="s">
        <v>25</v>
      </c>
      <c r="J731" s="21" t="s">
        <v>24</v>
      </c>
      <c r="K731" s="21" t="s">
        <v>24</v>
      </c>
      <c r="L731" s="21" t="s">
        <v>24</v>
      </c>
      <c r="M731" s="0" t="n">
        <v>182</v>
      </c>
      <c r="N731" s="0" t="n">
        <v>1</v>
      </c>
      <c r="O731" s="21" t="s">
        <v>69</v>
      </c>
      <c r="P731" s="21" t="s">
        <v>4275</v>
      </c>
      <c r="Q731" s="0" t="n">
        <v>1</v>
      </c>
      <c r="R731" s="21" t="s">
        <v>69</v>
      </c>
      <c r="S731" s="0" t="n">
        <v>1</v>
      </c>
      <c r="T731" s="21" t="s">
        <v>69</v>
      </c>
      <c r="U731" s="22" t="b">
        <f aca="false">TRUE()</f>
        <v>1</v>
      </c>
      <c r="V731" s="0" t="n">
        <v>0.75</v>
      </c>
      <c r="W731" s="0" t="n">
        <v>0.16</v>
      </c>
      <c r="X731" s="0" t="n">
        <v>5.59</v>
      </c>
      <c r="Y731" s="0" t="n">
        <v>557.96</v>
      </c>
      <c r="Z731" s="0" t="n">
        <v>10.75</v>
      </c>
      <c r="AA731" s="0" t="n">
        <v>4.37</v>
      </c>
      <c r="AB731" s="0" t="n">
        <v>1.6</v>
      </c>
      <c r="AC731" s="22" t="b">
        <f aca="false">FALSE()</f>
        <v>0</v>
      </c>
      <c r="AD731" s="0" t="n">
        <v>14.94</v>
      </c>
      <c r="AE731" s="0" t="n">
        <v>0.68</v>
      </c>
      <c r="AF731" s="0" t="n">
        <v>12.08</v>
      </c>
      <c r="AG731" s="22" t="b">
        <f aca="false">TRUE()</f>
        <v>1</v>
      </c>
      <c r="AH731" s="0" t="n">
        <v>1</v>
      </c>
    </row>
    <row r="732" customFormat="false" ht="15" hidden="false" customHeight="false" outlineLevel="0" collapsed="false">
      <c r="A732" s="0" t="s">
        <v>1227</v>
      </c>
      <c r="B732" s="0" t="s">
        <v>134</v>
      </c>
      <c r="C732" s="0" t="s">
        <v>3447</v>
      </c>
      <c r="D732" s="0" t="s">
        <v>3457</v>
      </c>
      <c r="E732" s="18" t="s">
        <v>24</v>
      </c>
      <c r="F732" s="18" t="s">
        <v>28</v>
      </c>
      <c r="H732" s="21" t="s">
        <v>24</v>
      </c>
      <c r="I732" s="21" t="s">
        <v>24</v>
      </c>
      <c r="J732" s="21" t="s">
        <v>24</v>
      </c>
      <c r="K732" s="21" t="s">
        <v>24</v>
      </c>
      <c r="L732" s="21" t="s">
        <v>24</v>
      </c>
      <c r="M732" s="0" t="n">
        <v>183</v>
      </c>
      <c r="N732" s="0" t="n">
        <v>0</v>
      </c>
      <c r="Q732" s="0" t="n">
        <v>0</v>
      </c>
      <c r="S732" s="0" t="n">
        <v>0</v>
      </c>
      <c r="U732" s="22" t="b">
        <f aca="false">FALSE()</f>
        <v>0</v>
      </c>
      <c r="V732" s="0" t="n">
        <v>0.81</v>
      </c>
      <c r="W732" s="0" t="n">
        <v>0.96</v>
      </c>
      <c r="X732" s="0" t="n">
        <v>6.58</v>
      </c>
      <c r="Y732" s="0" t="n">
        <v>316.92</v>
      </c>
      <c r="Z732" s="0" t="n">
        <v>11.25</v>
      </c>
      <c r="AA732" s="0" t="n">
        <v>1.76</v>
      </c>
      <c r="AB732" s="0" t="n">
        <v>38.35</v>
      </c>
      <c r="AC732" s="22" t="b">
        <f aca="false">FALSE()</f>
        <v>0</v>
      </c>
      <c r="AD732" s="0" t="n">
        <v>15.83</v>
      </c>
      <c r="AE732" s="0" t="n">
        <v>0.36</v>
      </c>
      <c r="AF732" s="0" t="n">
        <v>15.8</v>
      </c>
      <c r="AG732" s="22" t="b">
        <f aca="false">TRUE()</f>
        <v>1</v>
      </c>
      <c r="AH732" s="0" t="n">
        <v>1</v>
      </c>
    </row>
    <row r="733" customFormat="false" ht="15" hidden="false" customHeight="false" outlineLevel="0" collapsed="false">
      <c r="A733" s="0" t="s">
        <v>1227</v>
      </c>
      <c r="B733" s="0" t="s">
        <v>134</v>
      </c>
      <c r="C733" s="0" t="s">
        <v>3447</v>
      </c>
      <c r="D733" s="0" t="s">
        <v>3448</v>
      </c>
      <c r="E733" s="20" t="s">
        <v>25</v>
      </c>
      <c r="F733" s="23" t="s">
        <v>30</v>
      </c>
      <c r="G733" s="21" t="s">
        <v>283</v>
      </c>
      <c r="H733" s="21" t="s">
        <v>24</v>
      </c>
      <c r="I733" s="21" t="s">
        <v>25</v>
      </c>
      <c r="J733" s="21" t="s">
        <v>24</v>
      </c>
      <c r="K733" s="21" t="s">
        <v>24</v>
      </c>
      <c r="L733" s="21" t="s">
        <v>24</v>
      </c>
      <c r="M733" s="0" t="n">
        <v>209</v>
      </c>
      <c r="N733" s="0" t="n">
        <v>4</v>
      </c>
      <c r="O733" s="21" t="s">
        <v>3737</v>
      </c>
      <c r="P733" s="21" t="s">
        <v>4535</v>
      </c>
      <c r="Q733" s="0" t="n">
        <v>1</v>
      </c>
      <c r="R733" s="21" t="s">
        <v>69</v>
      </c>
      <c r="S733" s="0" t="n">
        <v>4</v>
      </c>
      <c r="T733" s="21" t="s">
        <v>3737</v>
      </c>
      <c r="U733" s="22" t="b">
        <f aca="false">TRUE()</f>
        <v>1</v>
      </c>
      <c r="V733" s="0" t="n">
        <v>0.76</v>
      </c>
      <c r="W733" s="0" t="n">
        <v>0.8</v>
      </c>
      <c r="X733" s="0" t="n">
        <v>5.72</v>
      </c>
      <c r="Y733" s="0" t="n">
        <v>365.86</v>
      </c>
      <c r="Z733" s="0" t="n">
        <v>11</v>
      </c>
      <c r="AA733" s="0" t="n">
        <v>1.23</v>
      </c>
      <c r="AB733" s="0" t="n">
        <v>1.6</v>
      </c>
      <c r="AC733" s="22" t="b">
        <f aca="false">FALSE()</f>
        <v>0</v>
      </c>
      <c r="AD733" s="0" t="n">
        <v>14.81</v>
      </c>
      <c r="AE733" s="0" t="n">
        <v>1.14</v>
      </c>
      <c r="AF733" s="0" t="n">
        <v>12.08</v>
      </c>
      <c r="AG733" s="22" t="b">
        <f aca="false">TRUE()</f>
        <v>1</v>
      </c>
      <c r="AH733" s="0" t="n">
        <v>1</v>
      </c>
    </row>
    <row r="734" customFormat="false" ht="15" hidden="false" customHeight="false" outlineLevel="0" collapsed="false">
      <c r="A734" s="0" t="s">
        <v>1234</v>
      </c>
      <c r="B734" s="0" t="s">
        <v>134</v>
      </c>
      <c r="C734" s="0" t="s">
        <v>3450</v>
      </c>
      <c r="D734" s="0" t="s">
        <v>3457</v>
      </c>
      <c r="E734" s="18" t="s">
        <v>24</v>
      </c>
      <c r="F734" s="18" t="s">
        <v>28</v>
      </c>
      <c r="H734" s="21" t="s">
        <v>24</v>
      </c>
      <c r="I734" s="21" t="s">
        <v>24</v>
      </c>
      <c r="J734" s="21" t="s">
        <v>24</v>
      </c>
      <c r="K734" s="21" t="s">
        <v>24</v>
      </c>
      <c r="L734" s="21" t="s">
        <v>24</v>
      </c>
      <c r="M734" s="0" t="n">
        <v>182</v>
      </c>
      <c r="N734" s="0" t="n">
        <v>0</v>
      </c>
      <c r="Q734" s="0" t="n">
        <v>0</v>
      </c>
      <c r="S734" s="0" t="n">
        <v>0</v>
      </c>
      <c r="U734" s="22" t="b">
        <f aca="false">FALSE()</f>
        <v>0</v>
      </c>
      <c r="V734" s="0" t="n">
        <v>0.63</v>
      </c>
      <c r="W734" s="0" t="n">
        <v>0.6</v>
      </c>
      <c r="X734" s="0" t="n">
        <v>8.32</v>
      </c>
      <c r="Y734" s="0" t="n">
        <v>312.74</v>
      </c>
      <c r="Z734" s="0" t="n">
        <v>8.75</v>
      </c>
      <c r="AA734" s="0" t="n">
        <v>11.18</v>
      </c>
      <c r="AB734" s="0" t="n">
        <v>9</v>
      </c>
      <c r="AC734" s="22" t="b">
        <f aca="false">FALSE()</f>
        <v>0</v>
      </c>
      <c r="AD734" s="0" t="n">
        <v>9.02</v>
      </c>
      <c r="AE734" s="0" t="n">
        <v>0.81</v>
      </c>
      <c r="AF734" s="0" t="n">
        <v>1.52</v>
      </c>
      <c r="AG734" s="22" t="b">
        <f aca="false">FALSE()</f>
        <v>0</v>
      </c>
      <c r="AH734" s="0" t="n">
        <v>1</v>
      </c>
    </row>
    <row r="735" customFormat="false" ht="15" hidden="false" customHeight="false" outlineLevel="0" collapsed="false">
      <c r="A735" s="0" t="s">
        <v>1234</v>
      </c>
      <c r="B735" s="0" t="s">
        <v>134</v>
      </c>
      <c r="C735" s="0" t="s">
        <v>3450</v>
      </c>
      <c r="D735" s="0" t="s">
        <v>3448</v>
      </c>
      <c r="E735" s="18" t="s">
        <v>24</v>
      </c>
      <c r="F735" s="18" t="s">
        <v>28</v>
      </c>
      <c r="H735" s="21" t="s">
        <v>24</v>
      </c>
      <c r="I735" s="21" t="s">
        <v>24</v>
      </c>
      <c r="J735" s="21" t="s">
        <v>24</v>
      </c>
      <c r="K735" s="21" t="s">
        <v>24</v>
      </c>
      <c r="L735" s="21" t="s">
        <v>24</v>
      </c>
      <c r="M735" s="0" t="n">
        <v>191</v>
      </c>
      <c r="N735" s="0" t="n">
        <v>0</v>
      </c>
      <c r="Q735" s="0" t="n">
        <v>0</v>
      </c>
      <c r="S735" s="0" t="n">
        <v>0</v>
      </c>
      <c r="U735" s="22" t="b">
        <f aca="false">FALSE()</f>
        <v>0</v>
      </c>
      <c r="V735" s="0" t="n">
        <v>0.69</v>
      </c>
      <c r="W735" s="0" t="n">
        <v>0.88</v>
      </c>
      <c r="X735" s="0" t="n">
        <v>8.15</v>
      </c>
      <c r="Y735" s="0" t="n">
        <v>330.96</v>
      </c>
      <c r="Z735" s="0" t="n">
        <v>8.75</v>
      </c>
      <c r="AA735" s="0" t="n">
        <v>10.45</v>
      </c>
      <c r="AB735" s="0" t="n">
        <v>2.69</v>
      </c>
      <c r="AC735" s="22" t="b">
        <f aca="false">FALSE()</f>
        <v>0</v>
      </c>
      <c r="AD735" s="0" t="n">
        <v>10.58</v>
      </c>
      <c r="AE735" s="0" t="n">
        <v>0.91</v>
      </c>
      <c r="AF735" s="0" t="n">
        <v>7.5</v>
      </c>
      <c r="AG735" s="22" t="b">
        <f aca="false">TRUE()</f>
        <v>1</v>
      </c>
      <c r="AH735" s="0" t="n">
        <v>1</v>
      </c>
    </row>
    <row r="736" customFormat="false" ht="15" hidden="false" customHeight="false" outlineLevel="0" collapsed="false">
      <c r="A736" s="0" t="s">
        <v>1234</v>
      </c>
      <c r="B736" s="0" t="s">
        <v>134</v>
      </c>
      <c r="C736" s="0" t="s">
        <v>3447</v>
      </c>
      <c r="D736" s="0" t="s">
        <v>3457</v>
      </c>
      <c r="E736" s="19" t="s">
        <v>26</v>
      </c>
      <c r="F736" s="19" t="s">
        <v>32</v>
      </c>
      <c r="G736" s="21" t="s">
        <v>529</v>
      </c>
      <c r="H736" s="21" t="s">
        <v>24</v>
      </c>
      <c r="I736" s="21" t="s">
        <v>26</v>
      </c>
      <c r="J736" s="21" t="s">
        <v>24</v>
      </c>
      <c r="K736" s="21" t="s">
        <v>24</v>
      </c>
      <c r="L736" s="21" t="s">
        <v>24</v>
      </c>
      <c r="M736" s="0" t="n">
        <v>183</v>
      </c>
      <c r="N736" s="0" t="n">
        <v>12</v>
      </c>
      <c r="O736" s="21" t="s">
        <v>4044</v>
      </c>
      <c r="P736" s="21" t="s">
        <v>4278</v>
      </c>
      <c r="Q736" s="0" t="n">
        <v>1</v>
      </c>
      <c r="R736" s="21" t="s">
        <v>69</v>
      </c>
      <c r="S736" s="0" t="n">
        <v>12</v>
      </c>
      <c r="T736" s="21" t="s">
        <v>4044</v>
      </c>
      <c r="U736" s="22" t="b">
        <f aca="false">FALSE()</f>
        <v>0</v>
      </c>
      <c r="V736" s="0" t="n">
        <v>0.67</v>
      </c>
      <c r="W736" s="0" t="n">
        <v>0.32</v>
      </c>
      <c r="X736" s="0" t="n">
        <v>7.82</v>
      </c>
      <c r="Y736" s="0" t="n">
        <v>400.99</v>
      </c>
      <c r="Z736" s="0" t="n">
        <v>8.67</v>
      </c>
      <c r="AA736" s="0" t="n">
        <v>3.08</v>
      </c>
      <c r="AB736" s="0" t="n">
        <v>9</v>
      </c>
      <c r="AC736" s="22" t="b">
        <f aca="false">FALSE()</f>
        <v>0</v>
      </c>
      <c r="AD736" s="0" t="n">
        <v>9.89</v>
      </c>
      <c r="AE736" s="0" t="n">
        <v>-0.07</v>
      </c>
      <c r="AF736" s="0" t="n">
        <v>2.82</v>
      </c>
      <c r="AG736" s="22" t="b">
        <f aca="false">FALSE()</f>
        <v>0</v>
      </c>
      <c r="AH736" s="0" t="n">
        <v>1</v>
      </c>
    </row>
    <row r="737" customFormat="false" ht="15" hidden="false" customHeight="false" outlineLevel="0" collapsed="false">
      <c r="A737" s="0" t="s">
        <v>1234</v>
      </c>
      <c r="B737" s="0" t="s">
        <v>134</v>
      </c>
      <c r="C737" s="0" t="s">
        <v>3447</v>
      </c>
      <c r="D737" s="0" t="s">
        <v>3448</v>
      </c>
      <c r="E737" s="19" t="s">
        <v>26</v>
      </c>
      <c r="F737" s="19" t="s">
        <v>32</v>
      </c>
      <c r="G737" s="21" t="s">
        <v>529</v>
      </c>
      <c r="H737" s="21" t="s">
        <v>24</v>
      </c>
      <c r="I737" s="21" t="s">
        <v>26</v>
      </c>
      <c r="J737" s="21" t="s">
        <v>24</v>
      </c>
      <c r="K737" s="21" t="s">
        <v>24</v>
      </c>
      <c r="L737" s="21" t="s">
        <v>24</v>
      </c>
      <c r="M737" s="0" t="n">
        <v>188</v>
      </c>
      <c r="N737" s="0" t="n">
        <v>10</v>
      </c>
      <c r="O737" s="21" t="s">
        <v>4011</v>
      </c>
      <c r="P737" s="21" t="s">
        <v>4248</v>
      </c>
      <c r="Q737" s="0" t="n">
        <v>1</v>
      </c>
      <c r="R737" s="21" t="s">
        <v>69</v>
      </c>
      <c r="S737" s="0" t="n">
        <v>10</v>
      </c>
      <c r="T737" s="21" t="s">
        <v>4011</v>
      </c>
      <c r="U737" s="22" t="b">
        <f aca="false">FALSE()</f>
        <v>0</v>
      </c>
      <c r="V737" s="0" t="n">
        <v>0.68</v>
      </c>
      <c r="W737" s="0" t="n">
        <v>0.52</v>
      </c>
      <c r="X737" s="0" t="n">
        <v>9.08</v>
      </c>
      <c r="Y737" s="0" t="n">
        <v>334.24</v>
      </c>
      <c r="Z737" s="0" t="n">
        <v>8.25</v>
      </c>
      <c r="AA737" s="0" t="n">
        <v>0.55</v>
      </c>
      <c r="AB737" s="0" t="n">
        <v>2.69</v>
      </c>
      <c r="AC737" s="22" t="b">
        <f aca="false">FALSE()</f>
        <v>0</v>
      </c>
      <c r="AD737" s="0" t="n">
        <v>4.76</v>
      </c>
      <c r="AE737" s="0" t="n">
        <v>0.25</v>
      </c>
      <c r="AF737" s="0" t="n">
        <v>3.19</v>
      </c>
      <c r="AG737" s="22" t="b">
        <f aca="false">FALSE()</f>
        <v>0</v>
      </c>
      <c r="AH737" s="0" t="n">
        <v>1</v>
      </c>
    </row>
    <row r="738" customFormat="false" ht="15" hidden="false" customHeight="false" outlineLevel="0" collapsed="false">
      <c r="A738" s="0" t="s">
        <v>1234</v>
      </c>
      <c r="B738" s="0" t="s">
        <v>3459</v>
      </c>
      <c r="C738" s="0" t="s">
        <v>3450</v>
      </c>
      <c r="D738" s="0" t="s">
        <v>3457</v>
      </c>
      <c r="E738" s="20" t="s">
        <v>25</v>
      </c>
      <c r="F738" s="23" t="s">
        <v>30</v>
      </c>
      <c r="G738" s="21" t="s">
        <v>283</v>
      </c>
      <c r="H738" s="21" t="s">
        <v>24</v>
      </c>
      <c r="I738" s="21" t="s">
        <v>25</v>
      </c>
      <c r="J738" s="21" t="s">
        <v>24</v>
      </c>
      <c r="K738" s="21" t="s">
        <v>24</v>
      </c>
      <c r="L738" s="21" t="s">
        <v>24</v>
      </c>
      <c r="M738" s="0" t="n">
        <v>182</v>
      </c>
      <c r="N738" s="0" t="n">
        <v>1</v>
      </c>
      <c r="O738" s="21" t="s">
        <v>69</v>
      </c>
      <c r="P738" s="21" t="s">
        <v>4275</v>
      </c>
      <c r="Q738" s="0" t="n">
        <v>1</v>
      </c>
      <c r="R738" s="21" t="s">
        <v>69</v>
      </c>
      <c r="S738" s="0" t="n">
        <v>1</v>
      </c>
      <c r="T738" s="21" t="s">
        <v>69</v>
      </c>
      <c r="U738" s="22" t="b">
        <f aca="false">TRUE()</f>
        <v>1</v>
      </c>
      <c r="V738" s="0" t="n">
        <v>0.66</v>
      </c>
      <c r="W738" s="0" t="n">
        <v>0.56</v>
      </c>
      <c r="X738" s="0" t="n">
        <v>8.31</v>
      </c>
      <c r="Y738" s="0" t="n">
        <v>234.23</v>
      </c>
      <c r="Z738" s="0" t="n">
        <v>8.58</v>
      </c>
      <c r="AA738" s="0" t="n">
        <v>11.76</v>
      </c>
      <c r="AB738" s="0" t="n">
        <v>3.5</v>
      </c>
      <c r="AC738" s="22" t="b">
        <f aca="false">FALSE()</f>
        <v>0</v>
      </c>
      <c r="AD738" s="0" t="n">
        <v>15.57</v>
      </c>
      <c r="AE738" s="0" t="n">
        <v>4.34</v>
      </c>
      <c r="AF738" s="0" t="n">
        <v>13.85</v>
      </c>
      <c r="AG738" s="22" t="b">
        <f aca="false">TRUE()</f>
        <v>1</v>
      </c>
      <c r="AH738" s="0" t="n">
        <v>1</v>
      </c>
    </row>
    <row r="739" customFormat="false" ht="15" hidden="false" customHeight="false" outlineLevel="0" collapsed="false">
      <c r="A739" s="0" t="s">
        <v>1234</v>
      </c>
      <c r="B739" s="0" t="s">
        <v>3459</v>
      </c>
      <c r="C739" s="0" t="s">
        <v>3450</v>
      </c>
      <c r="D739" s="0" t="s">
        <v>3448</v>
      </c>
      <c r="E739" s="20" t="s">
        <v>25</v>
      </c>
      <c r="F739" s="23" t="s">
        <v>30</v>
      </c>
      <c r="G739" s="21" t="s">
        <v>283</v>
      </c>
      <c r="H739" s="21" t="s">
        <v>24</v>
      </c>
      <c r="I739" s="21" t="s">
        <v>25</v>
      </c>
      <c r="J739" s="21" t="s">
        <v>24</v>
      </c>
      <c r="K739" s="21" t="s">
        <v>24</v>
      </c>
      <c r="L739" s="21" t="s">
        <v>24</v>
      </c>
      <c r="M739" s="0" t="n">
        <v>183</v>
      </c>
      <c r="N739" s="0" t="n">
        <v>1</v>
      </c>
      <c r="O739" s="21" t="s">
        <v>69</v>
      </c>
      <c r="P739" s="21" t="s">
        <v>4275</v>
      </c>
      <c r="Q739" s="0" t="n">
        <v>1</v>
      </c>
      <c r="R739" s="21" t="s">
        <v>69</v>
      </c>
      <c r="S739" s="0" t="n">
        <v>1</v>
      </c>
      <c r="T739" s="21" t="s">
        <v>69</v>
      </c>
      <c r="U739" s="22" t="b">
        <f aca="false">TRUE()</f>
        <v>1</v>
      </c>
      <c r="V739" s="0" t="n">
        <v>0.69</v>
      </c>
      <c r="W739" s="0" t="n">
        <v>0.24</v>
      </c>
      <c r="X739" s="0" t="n">
        <v>9.2</v>
      </c>
      <c r="Y739" s="0" t="n">
        <v>467.37</v>
      </c>
      <c r="Z739" s="0" t="n">
        <v>8.5</v>
      </c>
      <c r="AA739" s="0" t="n">
        <v>9.78</v>
      </c>
      <c r="AB739" s="0" t="n">
        <v>2.72</v>
      </c>
      <c r="AC739" s="22" t="b">
        <f aca="false">FALSE()</f>
        <v>0</v>
      </c>
      <c r="AD739" s="0" t="n">
        <v>11.46</v>
      </c>
      <c r="AE739" s="0" t="n">
        <v>1.78</v>
      </c>
      <c r="AF739" s="0" t="n">
        <v>10.93</v>
      </c>
      <c r="AG739" s="22" t="b">
        <f aca="false">TRUE()</f>
        <v>1</v>
      </c>
      <c r="AH739" s="0" t="n">
        <v>1</v>
      </c>
    </row>
    <row r="740" customFormat="false" ht="15" hidden="false" customHeight="false" outlineLevel="0" collapsed="false">
      <c r="A740" s="0" t="s">
        <v>1234</v>
      </c>
      <c r="B740" s="0" t="s">
        <v>3459</v>
      </c>
      <c r="C740" s="0" t="s">
        <v>3447</v>
      </c>
      <c r="D740" s="0" t="s">
        <v>3457</v>
      </c>
      <c r="E740" s="19" t="s">
        <v>26</v>
      </c>
      <c r="F740" s="19" t="s">
        <v>32</v>
      </c>
      <c r="G740" s="21" t="s">
        <v>529</v>
      </c>
      <c r="H740" s="21" t="s">
        <v>24</v>
      </c>
      <c r="I740" s="21" t="s">
        <v>26</v>
      </c>
      <c r="J740" s="21" t="s">
        <v>24</v>
      </c>
      <c r="K740" s="21" t="s">
        <v>24</v>
      </c>
      <c r="L740" s="21" t="s">
        <v>24</v>
      </c>
      <c r="M740" s="0" t="n">
        <v>182</v>
      </c>
      <c r="N740" s="0" t="n">
        <v>11</v>
      </c>
      <c r="O740" s="21" t="s">
        <v>4041</v>
      </c>
      <c r="P740" s="21" t="s">
        <v>4459</v>
      </c>
      <c r="Q740" s="0" t="n">
        <v>1</v>
      </c>
      <c r="R740" s="21" t="s">
        <v>69</v>
      </c>
      <c r="S740" s="0" t="n">
        <v>11</v>
      </c>
      <c r="T740" s="21" t="s">
        <v>4041</v>
      </c>
      <c r="U740" s="22" t="b">
        <f aca="false">FALSE()</f>
        <v>0</v>
      </c>
      <c r="V740" s="0" t="n">
        <v>0.68</v>
      </c>
      <c r="W740" s="0" t="n">
        <v>0.48</v>
      </c>
      <c r="X740" s="0" t="n">
        <v>8.4</v>
      </c>
      <c r="Y740" s="0" t="n">
        <v>286.42</v>
      </c>
      <c r="Z740" s="0" t="n">
        <v>8.92</v>
      </c>
      <c r="AA740" s="0" t="n">
        <v>3.8</v>
      </c>
      <c r="AB740" s="0" t="n">
        <v>3.5</v>
      </c>
      <c r="AC740" s="22" t="b">
        <f aca="false">FALSE()</f>
        <v>0</v>
      </c>
      <c r="AD740" s="0" t="n">
        <v>11.83</v>
      </c>
      <c r="AE740" s="0" t="n">
        <v>2.13</v>
      </c>
      <c r="AF740" s="0" t="n">
        <v>11.92</v>
      </c>
      <c r="AG740" s="22" t="b">
        <f aca="false">TRUE()</f>
        <v>1</v>
      </c>
      <c r="AH740" s="0" t="n">
        <v>1</v>
      </c>
    </row>
    <row r="741" customFormat="false" ht="15" hidden="false" customHeight="false" outlineLevel="0" collapsed="false">
      <c r="A741" s="0" t="s">
        <v>1234</v>
      </c>
      <c r="B741" s="0" t="s">
        <v>3459</v>
      </c>
      <c r="C741" s="0" t="s">
        <v>3447</v>
      </c>
      <c r="D741" s="0" t="s">
        <v>3448</v>
      </c>
      <c r="E741" s="19" t="s">
        <v>26</v>
      </c>
      <c r="F741" s="19" t="s">
        <v>32</v>
      </c>
      <c r="G741" s="21" t="s">
        <v>529</v>
      </c>
      <c r="H741" s="21" t="s">
        <v>24</v>
      </c>
      <c r="I741" s="21" t="s">
        <v>26</v>
      </c>
      <c r="J741" s="21" t="s">
        <v>24</v>
      </c>
      <c r="K741" s="21" t="s">
        <v>24</v>
      </c>
      <c r="L741" s="21" t="s">
        <v>24</v>
      </c>
      <c r="M741" s="0" t="n">
        <v>182</v>
      </c>
      <c r="N741" s="0" t="n">
        <v>9</v>
      </c>
      <c r="O741" s="21" t="s">
        <v>4030</v>
      </c>
      <c r="P741" s="21" t="s">
        <v>4287</v>
      </c>
      <c r="Q741" s="0" t="n">
        <v>1</v>
      </c>
      <c r="R741" s="21" t="s">
        <v>69</v>
      </c>
      <c r="S741" s="0" t="n">
        <v>9</v>
      </c>
      <c r="T741" s="21" t="s">
        <v>4030</v>
      </c>
      <c r="U741" s="22" t="b">
        <f aca="false">FALSE()</f>
        <v>0</v>
      </c>
      <c r="V741" s="0" t="n">
        <v>0.71</v>
      </c>
      <c r="W741" s="0" t="n">
        <v>0.16</v>
      </c>
      <c r="X741" s="0" t="n">
        <v>9.27</v>
      </c>
      <c r="Y741" s="0" t="n">
        <v>557.94</v>
      </c>
      <c r="Z741" s="0" t="n">
        <v>8.17</v>
      </c>
      <c r="AA741" s="0" t="n">
        <v>5.78</v>
      </c>
      <c r="AB741" s="0" t="n">
        <v>2.72</v>
      </c>
      <c r="AC741" s="22" t="b">
        <f aca="false">FALSE()</f>
        <v>0</v>
      </c>
      <c r="AD741" s="0" t="n">
        <v>14.06</v>
      </c>
      <c r="AE741" s="0" t="n">
        <v>3.49</v>
      </c>
      <c r="AF741" s="0" t="n">
        <v>14.36</v>
      </c>
      <c r="AG741" s="22" t="b">
        <f aca="false">TRUE()</f>
        <v>1</v>
      </c>
      <c r="AH741" s="0" t="n">
        <v>1</v>
      </c>
    </row>
    <row r="742" customFormat="false" ht="15" hidden="false" customHeight="false" outlineLevel="0" collapsed="false">
      <c r="A742" s="0" t="s">
        <v>1240</v>
      </c>
      <c r="B742" s="0" t="s">
        <v>134</v>
      </c>
      <c r="C742" s="0" t="s">
        <v>3450</v>
      </c>
      <c r="D742" s="0" t="s">
        <v>3457</v>
      </c>
      <c r="E742" s="19" t="s">
        <v>26</v>
      </c>
      <c r="F742" s="19" t="s">
        <v>32</v>
      </c>
      <c r="G742" s="21" t="s">
        <v>4182</v>
      </c>
      <c r="H742" s="21" t="s">
        <v>24</v>
      </c>
      <c r="I742" s="21" t="s">
        <v>26</v>
      </c>
      <c r="J742" s="21" t="s">
        <v>24</v>
      </c>
      <c r="K742" s="21" t="s">
        <v>25</v>
      </c>
      <c r="L742" s="21" t="s">
        <v>24</v>
      </c>
      <c r="M742" s="0" t="n">
        <v>184</v>
      </c>
      <c r="N742" s="0" t="n">
        <v>7</v>
      </c>
      <c r="O742" s="21" t="s">
        <v>4181</v>
      </c>
      <c r="P742" s="21" t="s">
        <v>4537</v>
      </c>
      <c r="Q742" s="0" t="n">
        <v>2</v>
      </c>
      <c r="R742" s="21" t="s">
        <v>3871</v>
      </c>
      <c r="S742" s="0" t="n">
        <v>7</v>
      </c>
      <c r="T742" s="21" t="s">
        <v>4181</v>
      </c>
      <c r="U742" s="22" t="b">
        <f aca="false">FALSE()</f>
        <v>0</v>
      </c>
      <c r="V742" s="0" t="n">
        <v>0.63</v>
      </c>
      <c r="W742" s="0" t="n">
        <v>0.44</v>
      </c>
      <c r="X742" s="0" t="n">
        <v>8.5</v>
      </c>
      <c r="Y742" s="0" t="n">
        <v>235.3</v>
      </c>
      <c r="Z742" s="0" t="n">
        <v>9.5</v>
      </c>
      <c r="AA742" s="0" t="n">
        <v>19.83</v>
      </c>
      <c r="AB742" s="0" t="n">
        <v>15.83</v>
      </c>
      <c r="AC742" s="22" t="b">
        <f aca="false">FALSE()</f>
        <v>0</v>
      </c>
      <c r="AD742" s="0" t="n">
        <v>21.7</v>
      </c>
      <c r="AE742" s="0" t="n">
        <v>9.3</v>
      </c>
      <c r="AF742" s="0" t="n">
        <v>16.72</v>
      </c>
      <c r="AG742" s="22" t="b">
        <f aca="false">TRUE()</f>
        <v>1</v>
      </c>
      <c r="AH742" s="0" t="n">
        <v>1</v>
      </c>
    </row>
    <row r="743" customFormat="false" ht="15" hidden="false" customHeight="false" outlineLevel="0" collapsed="false">
      <c r="A743" s="0" t="s">
        <v>1240</v>
      </c>
      <c r="B743" s="0" t="s">
        <v>134</v>
      </c>
      <c r="C743" s="0" t="s">
        <v>3450</v>
      </c>
      <c r="D743" s="0" t="s">
        <v>3448</v>
      </c>
      <c r="E743" s="20" t="s">
        <v>25</v>
      </c>
      <c r="F743" s="23" t="s">
        <v>30</v>
      </c>
      <c r="G743" s="21" t="s">
        <v>183</v>
      </c>
      <c r="H743" s="21" t="s">
        <v>24</v>
      </c>
      <c r="I743" s="21" t="s">
        <v>25</v>
      </c>
      <c r="J743" s="21" t="s">
        <v>24</v>
      </c>
      <c r="K743" s="21" t="s">
        <v>25</v>
      </c>
      <c r="L743" s="21" t="s">
        <v>24</v>
      </c>
      <c r="M743" s="0" t="n">
        <v>183</v>
      </c>
      <c r="N743" s="0" t="n">
        <v>2</v>
      </c>
      <c r="O743" s="21" t="s">
        <v>3646</v>
      </c>
      <c r="P743" s="21" t="s">
        <v>4375</v>
      </c>
      <c r="Q743" s="0" t="n">
        <v>1</v>
      </c>
      <c r="R743" s="21" t="s">
        <v>69</v>
      </c>
      <c r="S743" s="0" t="n">
        <v>2</v>
      </c>
      <c r="T743" s="21" t="s">
        <v>3646</v>
      </c>
      <c r="U743" s="22" t="b">
        <f aca="false">TRUE()</f>
        <v>1</v>
      </c>
      <c r="V743" s="0" t="n">
        <v>0.71</v>
      </c>
      <c r="W743" s="0" t="n">
        <v>0.88</v>
      </c>
      <c r="X743" s="0" t="n">
        <v>8.09</v>
      </c>
      <c r="Y743" s="0" t="n">
        <v>317.26</v>
      </c>
      <c r="Z743" s="0" t="n">
        <v>9.25</v>
      </c>
      <c r="AA743" s="0" t="n">
        <v>21.75</v>
      </c>
      <c r="AB743" s="0" t="n">
        <v>25.95</v>
      </c>
      <c r="AC743" s="22" t="b">
        <f aca="false">FALSE()</f>
        <v>0</v>
      </c>
      <c r="AD743" s="0" t="n">
        <v>23.89</v>
      </c>
      <c r="AE743" s="0" t="n">
        <v>13.53</v>
      </c>
      <c r="AF743" s="0" t="n">
        <v>19.54</v>
      </c>
      <c r="AG743" s="22" t="b">
        <f aca="false">TRUE()</f>
        <v>1</v>
      </c>
      <c r="AH743" s="0" t="n">
        <v>1</v>
      </c>
    </row>
    <row r="744" customFormat="false" ht="15" hidden="false" customHeight="false" outlineLevel="0" collapsed="false">
      <c r="A744" s="0" t="s">
        <v>1240</v>
      </c>
      <c r="B744" s="0" t="s">
        <v>134</v>
      </c>
      <c r="C744" s="0" t="s">
        <v>3447</v>
      </c>
      <c r="D744" s="0" t="s">
        <v>3457</v>
      </c>
      <c r="E744" s="18" t="s">
        <v>24</v>
      </c>
      <c r="F744" s="23" t="s">
        <v>30</v>
      </c>
      <c r="G744" s="21" t="s">
        <v>30</v>
      </c>
      <c r="H744" s="21" t="s">
        <v>24</v>
      </c>
      <c r="I744" s="21" t="s">
        <v>24</v>
      </c>
      <c r="J744" s="21" t="s">
        <v>24</v>
      </c>
      <c r="K744" s="21" t="s">
        <v>24</v>
      </c>
      <c r="L744" s="21" t="s">
        <v>24</v>
      </c>
      <c r="M744" s="0" t="n">
        <v>185</v>
      </c>
      <c r="N744" s="0" t="n">
        <v>3</v>
      </c>
      <c r="O744" s="21" t="s">
        <v>3555</v>
      </c>
      <c r="P744" s="21" t="s">
        <v>4538</v>
      </c>
      <c r="Q744" s="0" t="n">
        <v>0</v>
      </c>
      <c r="S744" s="0" t="n">
        <v>3</v>
      </c>
      <c r="T744" s="21" t="s">
        <v>3555</v>
      </c>
      <c r="U744" s="22" t="b">
        <f aca="false">TRUE()</f>
        <v>1</v>
      </c>
      <c r="V744" s="0" t="n">
        <v>0.8</v>
      </c>
      <c r="W744" s="0" t="n">
        <v>0.32</v>
      </c>
      <c r="X744" s="0" t="n">
        <v>8.93</v>
      </c>
      <c r="Y744" s="0" t="n">
        <v>395.67</v>
      </c>
      <c r="Z744" s="0" t="n">
        <v>8</v>
      </c>
      <c r="AA744" s="0" t="n">
        <v>-1.17</v>
      </c>
      <c r="AB744" s="0" t="n">
        <v>15.83</v>
      </c>
      <c r="AC744" s="22" t="b">
        <f aca="false">FALSE()</f>
        <v>0</v>
      </c>
      <c r="AD744" s="0" t="n">
        <v>18.46</v>
      </c>
      <c r="AE744" s="0" t="n">
        <v>6.33</v>
      </c>
      <c r="AF744" s="0" t="n">
        <v>12.18</v>
      </c>
      <c r="AG744" s="22" t="b">
        <f aca="false">TRUE()</f>
        <v>1</v>
      </c>
      <c r="AH744" s="0" t="n">
        <v>1</v>
      </c>
    </row>
    <row r="745" customFormat="false" ht="15" hidden="false" customHeight="false" outlineLevel="0" collapsed="false">
      <c r="A745" s="0" t="s">
        <v>1240</v>
      </c>
      <c r="B745" s="0" t="s">
        <v>134</v>
      </c>
      <c r="C745" s="0" t="s">
        <v>3447</v>
      </c>
      <c r="D745" s="0" t="s">
        <v>3448</v>
      </c>
      <c r="E745" s="18" t="s">
        <v>24</v>
      </c>
      <c r="F745" s="23" t="s">
        <v>30</v>
      </c>
      <c r="G745" s="21" t="s">
        <v>30</v>
      </c>
      <c r="H745" s="21" t="s">
        <v>24</v>
      </c>
      <c r="I745" s="21" t="s">
        <v>24</v>
      </c>
      <c r="J745" s="21" t="s">
        <v>24</v>
      </c>
      <c r="K745" s="21" t="s">
        <v>24</v>
      </c>
      <c r="L745" s="21" t="s">
        <v>24</v>
      </c>
      <c r="M745" s="0" t="n">
        <v>192</v>
      </c>
      <c r="N745" s="0" t="n">
        <v>4</v>
      </c>
      <c r="O745" s="21" t="s">
        <v>3627</v>
      </c>
      <c r="P745" s="21" t="s">
        <v>4270</v>
      </c>
      <c r="Q745" s="0" t="n">
        <v>0</v>
      </c>
      <c r="S745" s="0" t="n">
        <v>4</v>
      </c>
      <c r="T745" s="21" t="s">
        <v>3627</v>
      </c>
      <c r="U745" s="22" t="b">
        <f aca="false">TRUE()</f>
        <v>1</v>
      </c>
      <c r="V745" s="0" t="n">
        <v>0.71</v>
      </c>
      <c r="W745" s="0" t="n">
        <v>0.12</v>
      </c>
      <c r="X745" s="0" t="n">
        <v>8.96</v>
      </c>
      <c r="Y745" s="0" t="n">
        <v>638.87</v>
      </c>
      <c r="Z745" s="0" t="n">
        <v>9.17</v>
      </c>
      <c r="AA745" s="0" t="n">
        <v>-1.04</v>
      </c>
      <c r="AB745" s="0" t="n">
        <v>25.95</v>
      </c>
      <c r="AC745" s="22" t="b">
        <f aca="false">FALSE()</f>
        <v>0</v>
      </c>
      <c r="AD745" s="0" t="n">
        <v>18.65</v>
      </c>
      <c r="AE745" s="0" t="n">
        <v>8.46</v>
      </c>
      <c r="AF745" s="0" t="n">
        <v>14.01</v>
      </c>
      <c r="AG745" s="22" t="b">
        <f aca="false">TRUE()</f>
        <v>1</v>
      </c>
      <c r="AH745" s="0" t="n">
        <v>1</v>
      </c>
    </row>
    <row r="746" customFormat="false" ht="15" hidden="false" customHeight="false" outlineLevel="0" collapsed="false">
      <c r="A746" s="0" t="s">
        <v>1247</v>
      </c>
      <c r="B746" s="0" t="s">
        <v>134</v>
      </c>
      <c r="C746" s="0" t="s">
        <v>3450</v>
      </c>
      <c r="D746" s="0" t="s">
        <v>3457</v>
      </c>
      <c r="E746" s="20" t="s">
        <v>25</v>
      </c>
      <c r="F746" s="23" t="s">
        <v>30</v>
      </c>
      <c r="G746" s="21" t="s">
        <v>1152</v>
      </c>
      <c r="H746" s="21" t="s">
        <v>24</v>
      </c>
      <c r="I746" s="21" t="s">
        <v>25</v>
      </c>
      <c r="J746" s="21" t="s">
        <v>24</v>
      </c>
      <c r="K746" s="21" t="s">
        <v>25</v>
      </c>
      <c r="L746" s="21" t="s">
        <v>24</v>
      </c>
      <c r="M746" s="0" t="n">
        <v>189</v>
      </c>
      <c r="N746" s="0" t="n">
        <v>3</v>
      </c>
      <c r="O746" s="21" t="s">
        <v>3695</v>
      </c>
      <c r="P746" s="21" t="s">
        <v>4289</v>
      </c>
      <c r="Q746" s="0" t="n">
        <v>1</v>
      </c>
      <c r="R746" s="21" t="s">
        <v>69</v>
      </c>
      <c r="S746" s="0" t="n">
        <v>3</v>
      </c>
      <c r="T746" s="21" t="s">
        <v>3695</v>
      </c>
      <c r="U746" s="22" t="b">
        <f aca="false">TRUE()</f>
        <v>1</v>
      </c>
      <c r="V746" s="0" t="n">
        <v>0.71</v>
      </c>
      <c r="W746" s="0" t="n">
        <v>0.8</v>
      </c>
      <c r="X746" s="0" t="n">
        <v>7.31</v>
      </c>
      <c r="Y746" s="0" t="n">
        <v>329.84</v>
      </c>
      <c r="Z746" s="0" t="n">
        <v>9.67</v>
      </c>
      <c r="AA746" s="0" t="n">
        <v>4.07</v>
      </c>
      <c r="AB746" s="0" t="n">
        <v>0.42</v>
      </c>
      <c r="AC746" s="22" t="b">
        <f aca="false">FALSE()</f>
        <v>0</v>
      </c>
      <c r="AD746" s="0" t="n">
        <v>9.42</v>
      </c>
      <c r="AE746" s="0" t="n">
        <v>0.28</v>
      </c>
      <c r="AF746" s="0" t="n">
        <v>19.41</v>
      </c>
      <c r="AG746" s="22" t="b">
        <f aca="false">FALSE()</f>
        <v>0</v>
      </c>
      <c r="AH746" s="0" t="n">
        <v>1</v>
      </c>
    </row>
    <row r="747" customFormat="false" ht="15" hidden="false" customHeight="false" outlineLevel="0" collapsed="false">
      <c r="A747" s="0" t="s">
        <v>1247</v>
      </c>
      <c r="B747" s="0" t="s">
        <v>134</v>
      </c>
      <c r="C747" s="0" t="s">
        <v>3450</v>
      </c>
      <c r="D747" s="0" t="s">
        <v>3448</v>
      </c>
      <c r="E747" s="20" t="s">
        <v>25</v>
      </c>
      <c r="F747" s="23" t="s">
        <v>30</v>
      </c>
      <c r="G747" s="21" t="s">
        <v>1099</v>
      </c>
      <c r="H747" s="21" t="s">
        <v>24</v>
      </c>
      <c r="I747" s="21" t="s">
        <v>25</v>
      </c>
      <c r="J747" s="21" t="s">
        <v>24</v>
      </c>
      <c r="K747" s="21" t="s">
        <v>25</v>
      </c>
      <c r="L747" s="21" t="s">
        <v>24</v>
      </c>
      <c r="M747" s="0" t="n">
        <v>183</v>
      </c>
      <c r="N747" s="0" t="n">
        <v>1</v>
      </c>
      <c r="O747" s="21" t="s">
        <v>69</v>
      </c>
      <c r="P747" s="21" t="s">
        <v>4275</v>
      </c>
      <c r="Q747" s="0" t="n">
        <v>1</v>
      </c>
      <c r="R747" s="21" t="s">
        <v>69</v>
      </c>
      <c r="S747" s="0" t="n">
        <v>1</v>
      </c>
      <c r="T747" s="21" t="s">
        <v>69</v>
      </c>
      <c r="U747" s="22" t="b">
        <f aca="false">TRUE()</f>
        <v>1</v>
      </c>
      <c r="V747" s="0" t="n">
        <v>0.75</v>
      </c>
      <c r="W747" s="0" t="n">
        <v>0.92</v>
      </c>
      <c r="X747" s="0" t="n">
        <v>7.41</v>
      </c>
      <c r="Y747" s="0" t="n">
        <v>311.83</v>
      </c>
      <c r="Z747" s="0" t="n">
        <v>8.75</v>
      </c>
      <c r="AA747" s="0" t="n">
        <v>7.3</v>
      </c>
      <c r="AB747" s="0" t="n">
        <v>1.27</v>
      </c>
      <c r="AC747" s="22" t="b">
        <f aca="false">FALSE()</f>
        <v>0</v>
      </c>
      <c r="AD747" s="0" t="n">
        <v>10.4</v>
      </c>
      <c r="AE747" s="0" t="n">
        <v>-0.18</v>
      </c>
      <c r="AF747" s="0" t="n">
        <v>23.85</v>
      </c>
      <c r="AG747" s="22" t="b">
        <f aca="false">TRUE()</f>
        <v>1</v>
      </c>
      <c r="AH747" s="0" t="n">
        <v>1</v>
      </c>
    </row>
    <row r="748" customFormat="false" ht="15" hidden="false" customHeight="false" outlineLevel="0" collapsed="false">
      <c r="A748" s="0" t="s">
        <v>1247</v>
      </c>
      <c r="B748" s="0" t="s">
        <v>134</v>
      </c>
      <c r="C748" s="0" t="s">
        <v>3447</v>
      </c>
      <c r="D748" s="0" t="s">
        <v>3457</v>
      </c>
      <c r="E748" s="20" t="s">
        <v>25</v>
      </c>
      <c r="F748" s="23" t="s">
        <v>30</v>
      </c>
      <c r="G748" s="21" t="s">
        <v>1152</v>
      </c>
      <c r="H748" s="21" t="s">
        <v>24</v>
      </c>
      <c r="I748" s="21" t="s">
        <v>25</v>
      </c>
      <c r="J748" s="21" t="s">
        <v>24</v>
      </c>
      <c r="K748" s="21" t="s">
        <v>25</v>
      </c>
      <c r="L748" s="21" t="s">
        <v>24</v>
      </c>
      <c r="M748" s="0" t="n">
        <v>182</v>
      </c>
      <c r="N748" s="0" t="n">
        <v>2</v>
      </c>
      <c r="O748" s="21" t="s">
        <v>3626</v>
      </c>
      <c r="P748" s="21" t="s">
        <v>4539</v>
      </c>
      <c r="Q748" s="0" t="n">
        <v>1</v>
      </c>
      <c r="R748" s="21" t="s">
        <v>69</v>
      </c>
      <c r="S748" s="0" t="n">
        <v>2</v>
      </c>
      <c r="T748" s="21" t="s">
        <v>3626</v>
      </c>
      <c r="U748" s="22" t="b">
        <f aca="false">TRUE()</f>
        <v>1</v>
      </c>
      <c r="V748" s="0" t="n">
        <v>0.72</v>
      </c>
      <c r="W748" s="0" t="n">
        <v>0.64</v>
      </c>
      <c r="X748" s="0" t="n">
        <v>7.12</v>
      </c>
      <c r="Y748" s="0" t="n">
        <v>318.3</v>
      </c>
      <c r="Z748" s="0" t="n">
        <v>8.17</v>
      </c>
      <c r="AA748" s="0" t="n">
        <v>-0.27</v>
      </c>
      <c r="AB748" s="0" t="n">
        <v>0.42</v>
      </c>
      <c r="AC748" s="22" t="b">
        <f aca="false">FALSE()</f>
        <v>0</v>
      </c>
      <c r="AD748" s="0" t="n">
        <v>4.65</v>
      </c>
      <c r="AE748" s="0" t="n">
        <v>0.41</v>
      </c>
      <c r="AF748" s="0" t="n">
        <v>17.61</v>
      </c>
      <c r="AG748" s="22" t="b">
        <f aca="false">FALSE()</f>
        <v>0</v>
      </c>
      <c r="AH748" s="0" t="n">
        <v>1</v>
      </c>
    </row>
    <row r="749" customFormat="false" ht="15" hidden="false" customHeight="false" outlineLevel="0" collapsed="false">
      <c r="A749" s="0" t="s">
        <v>1247</v>
      </c>
      <c r="B749" s="0" t="s">
        <v>134</v>
      </c>
      <c r="C749" s="0" t="s">
        <v>3447</v>
      </c>
      <c r="D749" s="0" t="s">
        <v>3448</v>
      </c>
      <c r="E749" s="20" t="s">
        <v>25</v>
      </c>
      <c r="F749" s="23" t="s">
        <v>30</v>
      </c>
      <c r="G749" s="21" t="s">
        <v>1099</v>
      </c>
      <c r="H749" s="21" t="s">
        <v>24</v>
      </c>
      <c r="I749" s="21" t="s">
        <v>25</v>
      </c>
      <c r="J749" s="21" t="s">
        <v>24</v>
      </c>
      <c r="K749" s="21" t="s">
        <v>25</v>
      </c>
      <c r="L749" s="21" t="s">
        <v>24</v>
      </c>
      <c r="M749" s="0" t="n">
        <v>183</v>
      </c>
      <c r="N749" s="0" t="n">
        <v>1</v>
      </c>
      <c r="O749" s="21" t="s">
        <v>69</v>
      </c>
      <c r="P749" s="21" t="s">
        <v>4275</v>
      </c>
      <c r="Q749" s="0" t="n">
        <v>1</v>
      </c>
      <c r="R749" s="21" t="s">
        <v>69</v>
      </c>
      <c r="S749" s="0" t="n">
        <v>1</v>
      </c>
      <c r="T749" s="21" t="s">
        <v>69</v>
      </c>
      <c r="U749" s="22" t="b">
        <f aca="false">TRUE()</f>
        <v>1</v>
      </c>
      <c r="V749" s="0" t="n">
        <v>0.75</v>
      </c>
      <c r="W749" s="0" t="n">
        <v>0.8</v>
      </c>
      <c r="X749" s="0" t="n">
        <v>8.32</v>
      </c>
      <c r="Y749" s="0" t="n">
        <v>317.85</v>
      </c>
      <c r="Z749" s="0" t="n">
        <v>9.17</v>
      </c>
      <c r="AA749" s="0" t="n">
        <v>4.43</v>
      </c>
      <c r="AB749" s="0" t="n">
        <v>1.27</v>
      </c>
      <c r="AC749" s="22" t="b">
        <f aca="false">FALSE()</f>
        <v>0</v>
      </c>
      <c r="AD749" s="0" t="n">
        <v>5.26</v>
      </c>
      <c r="AE749" s="0" t="n">
        <v>2.67</v>
      </c>
      <c r="AF749" s="0" t="n">
        <v>11.49</v>
      </c>
      <c r="AG749" s="22" t="b">
        <f aca="false">FALSE()</f>
        <v>0</v>
      </c>
      <c r="AH749" s="0" t="n">
        <v>1</v>
      </c>
    </row>
    <row r="750" customFormat="false" ht="15" hidden="false" customHeight="false" outlineLevel="0" collapsed="false">
      <c r="A750" s="0" t="s">
        <v>1253</v>
      </c>
      <c r="B750" s="0" t="s">
        <v>134</v>
      </c>
      <c r="C750" s="0" t="s">
        <v>3450</v>
      </c>
      <c r="D750" s="0" t="s">
        <v>3457</v>
      </c>
      <c r="E750" s="20" t="s">
        <v>25</v>
      </c>
      <c r="F750" s="23" t="s">
        <v>30</v>
      </c>
      <c r="G750" s="21" t="s">
        <v>283</v>
      </c>
      <c r="H750" s="21" t="s">
        <v>24</v>
      </c>
      <c r="I750" s="21" t="s">
        <v>25</v>
      </c>
      <c r="J750" s="21" t="s">
        <v>24</v>
      </c>
      <c r="K750" s="21" t="s">
        <v>24</v>
      </c>
      <c r="L750" s="21" t="s">
        <v>24</v>
      </c>
      <c r="M750" s="0" t="n">
        <v>183</v>
      </c>
      <c r="N750" s="0" t="n">
        <v>1</v>
      </c>
      <c r="O750" s="21" t="s">
        <v>70</v>
      </c>
      <c r="P750" s="21" t="s">
        <v>4378</v>
      </c>
      <c r="Q750" s="0" t="n">
        <v>1</v>
      </c>
      <c r="R750" s="21" t="s">
        <v>70</v>
      </c>
      <c r="S750" s="0" t="n">
        <v>1</v>
      </c>
      <c r="T750" s="21" t="s">
        <v>70</v>
      </c>
      <c r="U750" s="22" t="b">
        <f aca="false">TRUE()</f>
        <v>1</v>
      </c>
      <c r="V750" s="0" t="n">
        <v>0.67</v>
      </c>
      <c r="W750" s="0" t="n">
        <v>0</v>
      </c>
      <c r="X750" s="0" t="n">
        <v>6.46</v>
      </c>
      <c r="Y750" s="0" t="n">
        <v>628.93</v>
      </c>
      <c r="Z750" s="0" t="n">
        <v>10</v>
      </c>
      <c r="AA750" s="0" t="n">
        <v>5.44</v>
      </c>
      <c r="AB750" s="0" t="n">
        <v>2.09</v>
      </c>
      <c r="AC750" s="22" t="b">
        <f aca="false">FALSE()</f>
        <v>0</v>
      </c>
      <c r="AD750" s="0" t="n">
        <v>18.76</v>
      </c>
      <c r="AE750" s="0" t="n">
        <v>0.81</v>
      </c>
      <c r="AF750" s="0" t="n">
        <v>10.83</v>
      </c>
      <c r="AG750" s="22" t="b">
        <f aca="false">TRUE()</f>
        <v>1</v>
      </c>
      <c r="AH750" s="0" t="n">
        <v>1</v>
      </c>
    </row>
    <row r="751" customFormat="false" ht="15" hidden="false" customHeight="false" outlineLevel="0" collapsed="false">
      <c r="A751" s="0" t="s">
        <v>1253</v>
      </c>
      <c r="B751" s="0" t="s">
        <v>134</v>
      </c>
      <c r="C751" s="0" t="s">
        <v>3450</v>
      </c>
      <c r="D751" s="0" t="s">
        <v>3448</v>
      </c>
      <c r="E751" s="18" t="s">
        <v>24</v>
      </c>
      <c r="F751" s="18" t="s">
        <v>28</v>
      </c>
      <c r="H751" s="21" t="s">
        <v>24</v>
      </c>
      <c r="I751" s="21" t="s">
        <v>24</v>
      </c>
      <c r="J751" s="21" t="s">
        <v>24</v>
      </c>
      <c r="K751" s="21" t="s">
        <v>24</v>
      </c>
      <c r="L751" s="21" t="s">
        <v>24</v>
      </c>
      <c r="M751" s="0" t="n">
        <v>185</v>
      </c>
      <c r="N751" s="0" t="n">
        <v>0</v>
      </c>
      <c r="Q751" s="0" t="n">
        <v>0</v>
      </c>
      <c r="S751" s="0" t="n">
        <v>0</v>
      </c>
      <c r="U751" s="22" t="b">
        <f aca="false">FALSE()</f>
        <v>0</v>
      </c>
      <c r="V751" s="0" t="n">
        <v>0.66</v>
      </c>
      <c r="W751" s="0" t="n">
        <v>0.36</v>
      </c>
      <c r="X751" s="0" t="n">
        <v>7.27</v>
      </c>
      <c r="Y751" s="0" t="n">
        <v>372.82</v>
      </c>
      <c r="Z751" s="0" t="n">
        <v>9.75</v>
      </c>
      <c r="AA751" s="0" t="n">
        <v>10.53</v>
      </c>
      <c r="AB751" s="0" t="n">
        <v>3.42</v>
      </c>
      <c r="AC751" s="22" t="b">
        <f aca="false">FALSE()</f>
        <v>0</v>
      </c>
      <c r="AD751" s="0" t="n">
        <v>15.82</v>
      </c>
      <c r="AE751" s="0" t="n">
        <v>0.17</v>
      </c>
      <c r="AF751" s="0" t="n">
        <v>3.8</v>
      </c>
      <c r="AG751" s="22" t="b">
        <f aca="false">TRUE()</f>
        <v>1</v>
      </c>
      <c r="AH751" s="0" t="n">
        <v>1</v>
      </c>
    </row>
    <row r="752" customFormat="false" ht="15" hidden="false" customHeight="false" outlineLevel="0" collapsed="false">
      <c r="A752" s="0" t="s">
        <v>1253</v>
      </c>
      <c r="B752" s="0" t="s">
        <v>134</v>
      </c>
      <c r="C752" s="0" t="s">
        <v>3447</v>
      </c>
      <c r="D752" s="0" t="s">
        <v>3457</v>
      </c>
      <c r="E752" s="18" t="s">
        <v>24</v>
      </c>
      <c r="F752" s="23" t="s">
        <v>30</v>
      </c>
      <c r="G752" s="21" t="s">
        <v>30</v>
      </c>
      <c r="H752" s="21" t="s">
        <v>24</v>
      </c>
      <c r="I752" s="21" t="s">
        <v>24</v>
      </c>
      <c r="J752" s="21" t="s">
        <v>24</v>
      </c>
      <c r="K752" s="21" t="s">
        <v>24</v>
      </c>
      <c r="L752" s="21" t="s">
        <v>24</v>
      </c>
      <c r="M752" s="0" t="n">
        <v>185</v>
      </c>
      <c r="N752" s="0" t="n">
        <v>5</v>
      </c>
      <c r="O752" s="21" t="s">
        <v>3659</v>
      </c>
      <c r="P752" s="21" t="s">
        <v>4540</v>
      </c>
      <c r="Q752" s="0" t="n">
        <v>0</v>
      </c>
      <c r="S752" s="0" t="n">
        <v>3</v>
      </c>
      <c r="T752" s="21" t="s">
        <v>3550</v>
      </c>
      <c r="U752" s="22" t="b">
        <f aca="false">TRUE()</f>
        <v>1</v>
      </c>
      <c r="V752" s="0" t="n">
        <v>0.85</v>
      </c>
      <c r="W752" s="0" t="n">
        <v>0.76</v>
      </c>
      <c r="X752" s="0" t="n">
        <v>9.77</v>
      </c>
      <c r="Y752" s="0" t="n">
        <v>281.57</v>
      </c>
      <c r="Z752" s="0" t="n">
        <v>8</v>
      </c>
      <c r="AA752" s="0" t="n">
        <v>-1.36</v>
      </c>
      <c r="AB752" s="0" t="n">
        <v>2.09</v>
      </c>
      <c r="AC752" s="22" t="b">
        <f aca="false">FALSE()</f>
        <v>0</v>
      </c>
      <c r="AD752" s="0" t="n">
        <v>16.8</v>
      </c>
      <c r="AE752" s="0" t="n">
        <v>0.84</v>
      </c>
      <c r="AF752" s="0" t="n">
        <v>10.32</v>
      </c>
      <c r="AG752" s="22" t="b">
        <f aca="false">TRUE()</f>
        <v>1</v>
      </c>
      <c r="AH752" s="0" t="n">
        <v>1</v>
      </c>
    </row>
    <row r="753" customFormat="false" ht="15" hidden="false" customHeight="false" outlineLevel="0" collapsed="false">
      <c r="A753" s="0" t="s">
        <v>1253</v>
      </c>
      <c r="B753" s="0" t="s">
        <v>134</v>
      </c>
      <c r="C753" s="0" t="s">
        <v>3447</v>
      </c>
      <c r="D753" s="0" t="s">
        <v>3448</v>
      </c>
      <c r="E753" s="18" t="s">
        <v>24</v>
      </c>
      <c r="F753" s="23" t="s">
        <v>30</v>
      </c>
      <c r="G753" s="21" t="s">
        <v>30</v>
      </c>
      <c r="H753" s="21" t="s">
        <v>24</v>
      </c>
      <c r="I753" s="21" t="s">
        <v>24</v>
      </c>
      <c r="J753" s="21" t="s">
        <v>24</v>
      </c>
      <c r="K753" s="21" t="s">
        <v>24</v>
      </c>
      <c r="L753" s="21" t="s">
        <v>24</v>
      </c>
      <c r="M753" s="0" t="n">
        <v>187</v>
      </c>
      <c r="N753" s="0" t="n">
        <v>1</v>
      </c>
      <c r="O753" s="21" t="s">
        <v>3474</v>
      </c>
      <c r="P753" s="21" t="s">
        <v>4272</v>
      </c>
      <c r="Q753" s="0" t="n">
        <v>0</v>
      </c>
      <c r="S753" s="0" t="n">
        <v>1</v>
      </c>
      <c r="T753" s="21" t="s">
        <v>3474</v>
      </c>
      <c r="U753" s="22" t="b">
        <f aca="false">TRUE()</f>
        <v>1</v>
      </c>
      <c r="V753" s="0" t="n">
        <v>0.85</v>
      </c>
      <c r="W753" s="0" t="n">
        <v>0</v>
      </c>
      <c r="X753" s="0" t="n">
        <v>10.79</v>
      </c>
      <c r="Y753" s="0" t="n">
        <v>689.28</v>
      </c>
      <c r="Z753" s="0" t="n">
        <v>8.75</v>
      </c>
      <c r="AA753" s="0" t="n">
        <v>-1.25</v>
      </c>
      <c r="AB753" s="0" t="n">
        <v>3.42</v>
      </c>
      <c r="AC753" s="22" t="b">
        <f aca="false">FALSE()</f>
        <v>0</v>
      </c>
      <c r="AD753" s="0" t="n">
        <v>13.71</v>
      </c>
      <c r="AE753" s="0" t="n">
        <v>0.35</v>
      </c>
      <c r="AF753" s="0" t="n">
        <v>1.95</v>
      </c>
      <c r="AG753" s="22" t="b">
        <f aca="false">TRUE()</f>
        <v>1</v>
      </c>
      <c r="AH753" s="0" t="n">
        <v>1</v>
      </c>
    </row>
    <row r="754" customFormat="false" ht="15" hidden="false" customHeight="false" outlineLevel="0" collapsed="false">
      <c r="A754" s="0" t="s">
        <v>1253</v>
      </c>
      <c r="B754" s="0" t="s">
        <v>3459</v>
      </c>
      <c r="C754" s="0" t="s">
        <v>3450</v>
      </c>
      <c r="D754" s="0" t="s">
        <v>3457</v>
      </c>
      <c r="E754" s="20" t="s">
        <v>25</v>
      </c>
      <c r="F754" s="20" t="s">
        <v>29</v>
      </c>
      <c r="G754" s="21" t="s">
        <v>62</v>
      </c>
      <c r="H754" s="21" t="s">
        <v>24</v>
      </c>
      <c r="I754" s="21" t="s">
        <v>24</v>
      </c>
      <c r="J754" s="21" t="s">
        <v>24</v>
      </c>
      <c r="K754" s="21" t="s">
        <v>25</v>
      </c>
      <c r="L754" s="21" t="s">
        <v>24</v>
      </c>
      <c r="M754" s="0" t="n">
        <v>184</v>
      </c>
      <c r="N754" s="0" t="n">
        <v>0</v>
      </c>
      <c r="Q754" s="0" t="n">
        <v>0</v>
      </c>
      <c r="S754" s="0" t="n">
        <v>0</v>
      </c>
      <c r="U754" s="22" t="b">
        <f aca="false">FALSE()</f>
        <v>0</v>
      </c>
      <c r="V754" s="0" t="n">
        <v>0.69</v>
      </c>
      <c r="W754" s="0" t="n">
        <v>0.84</v>
      </c>
      <c r="X754" s="0" t="n">
        <v>6.64</v>
      </c>
      <c r="Y754" s="0" t="n">
        <v>311.68</v>
      </c>
      <c r="Z754" s="0" t="n">
        <v>9.75</v>
      </c>
      <c r="AA754" s="0" t="n">
        <v>-0.01</v>
      </c>
      <c r="AB754" s="0" t="n">
        <v>3.42</v>
      </c>
      <c r="AC754" s="22" t="b">
        <f aca="false">FALSE()</f>
        <v>0</v>
      </c>
      <c r="AD754" s="0" t="n">
        <v>9.56</v>
      </c>
      <c r="AE754" s="0" t="n">
        <v>1.34</v>
      </c>
      <c r="AF754" s="0" t="n">
        <v>15.19</v>
      </c>
      <c r="AG754" s="22" t="b">
        <f aca="false">FALSE()</f>
        <v>0</v>
      </c>
      <c r="AH754" s="0" t="n">
        <v>1</v>
      </c>
    </row>
    <row r="755" customFormat="false" ht="15" hidden="false" customHeight="false" outlineLevel="0" collapsed="false">
      <c r="A755" s="0" t="s">
        <v>1253</v>
      </c>
      <c r="B755" s="0" t="s">
        <v>3459</v>
      </c>
      <c r="C755" s="0" t="s">
        <v>3450</v>
      </c>
      <c r="D755" s="0" t="s">
        <v>3448</v>
      </c>
      <c r="E755" s="18" t="s">
        <v>24</v>
      </c>
      <c r="F755" s="18" t="s">
        <v>28</v>
      </c>
      <c r="H755" s="21" t="s">
        <v>24</v>
      </c>
      <c r="I755" s="21" t="s">
        <v>24</v>
      </c>
      <c r="J755" s="21" t="s">
        <v>24</v>
      </c>
      <c r="K755" s="21" t="s">
        <v>24</v>
      </c>
      <c r="L755" s="21" t="s">
        <v>24</v>
      </c>
      <c r="M755" s="0" t="n">
        <v>185</v>
      </c>
      <c r="N755" s="0" t="n">
        <v>0</v>
      </c>
      <c r="Q755" s="0" t="n">
        <v>0</v>
      </c>
      <c r="S755" s="0" t="n">
        <v>0</v>
      </c>
      <c r="U755" s="22" t="b">
        <f aca="false">FALSE()</f>
        <v>0</v>
      </c>
      <c r="V755" s="0" t="n">
        <v>0.69</v>
      </c>
      <c r="W755" s="0" t="n">
        <v>0</v>
      </c>
      <c r="X755" s="0" t="n">
        <v>7.13</v>
      </c>
      <c r="Y755" s="0" t="n">
        <v>434.35</v>
      </c>
      <c r="Z755" s="0" t="n">
        <v>10</v>
      </c>
      <c r="AA755" s="0" t="n">
        <v>4.13</v>
      </c>
      <c r="AB755" s="0" t="n">
        <v>1.75</v>
      </c>
      <c r="AC755" s="22" t="b">
        <f aca="false">FALSE()</f>
        <v>0</v>
      </c>
      <c r="AD755" s="0" t="n">
        <v>12.51</v>
      </c>
      <c r="AE755" s="0" t="n">
        <v>1.06</v>
      </c>
      <c r="AF755" s="0" t="n">
        <v>2.46</v>
      </c>
      <c r="AG755" s="22" t="b">
        <f aca="false">TRUE()</f>
        <v>1</v>
      </c>
      <c r="AH755" s="0" t="n">
        <v>1</v>
      </c>
    </row>
    <row r="756" customFormat="false" ht="15" hidden="false" customHeight="false" outlineLevel="0" collapsed="false">
      <c r="A756" s="0" t="s">
        <v>1253</v>
      </c>
      <c r="B756" s="0" t="s">
        <v>3459</v>
      </c>
      <c r="C756" s="0" t="s">
        <v>3447</v>
      </c>
      <c r="D756" s="0" t="s">
        <v>3457</v>
      </c>
      <c r="E756" s="18" t="s">
        <v>24</v>
      </c>
      <c r="F756" s="23" t="s">
        <v>30</v>
      </c>
      <c r="G756" s="21" t="s">
        <v>30</v>
      </c>
      <c r="H756" s="21" t="s">
        <v>24</v>
      </c>
      <c r="I756" s="21" t="s">
        <v>24</v>
      </c>
      <c r="J756" s="21" t="s">
        <v>24</v>
      </c>
      <c r="K756" s="21" t="s">
        <v>24</v>
      </c>
      <c r="L756" s="21" t="s">
        <v>24</v>
      </c>
      <c r="M756" s="0" t="n">
        <v>183</v>
      </c>
      <c r="N756" s="0" t="n">
        <v>6</v>
      </c>
      <c r="O756" s="21" t="s">
        <v>3792</v>
      </c>
      <c r="P756" s="21" t="s">
        <v>4541</v>
      </c>
      <c r="Q756" s="0" t="n">
        <v>0</v>
      </c>
      <c r="S756" s="0" t="n">
        <v>6</v>
      </c>
      <c r="T756" s="21" t="s">
        <v>3792</v>
      </c>
      <c r="U756" s="22" t="b">
        <f aca="false">TRUE()</f>
        <v>1</v>
      </c>
      <c r="V756" s="0" t="n">
        <v>0.74</v>
      </c>
      <c r="W756" s="0" t="n">
        <v>0.88</v>
      </c>
      <c r="X756" s="0" t="n">
        <v>6.14</v>
      </c>
      <c r="Y756" s="0" t="n">
        <v>314</v>
      </c>
      <c r="Z756" s="0" t="n">
        <v>8.25</v>
      </c>
      <c r="AA756" s="0" t="n">
        <v>-0.15</v>
      </c>
      <c r="AB756" s="0" t="n">
        <v>3.42</v>
      </c>
      <c r="AC756" s="22" t="b">
        <f aca="false">FALSE()</f>
        <v>0</v>
      </c>
      <c r="AD756" s="0" t="n">
        <v>13.46</v>
      </c>
      <c r="AE756" s="0" t="n">
        <v>0.53</v>
      </c>
      <c r="AF756" s="0" t="n">
        <v>17.76</v>
      </c>
      <c r="AG756" s="22" t="b">
        <f aca="false">TRUE()</f>
        <v>1</v>
      </c>
      <c r="AH756" s="0" t="n">
        <v>1</v>
      </c>
    </row>
    <row r="757" customFormat="false" ht="15" hidden="false" customHeight="false" outlineLevel="0" collapsed="false">
      <c r="A757" s="0" t="s">
        <v>1253</v>
      </c>
      <c r="B757" s="0" t="s">
        <v>3459</v>
      </c>
      <c r="C757" s="0" t="s">
        <v>3447</v>
      </c>
      <c r="D757" s="0" t="s">
        <v>3448</v>
      </c>
      <c r="E757" s="18" t="s">
        <v>24</v>
      </c>
      <c r="F757" s="23" t="s">
        <v>30</v>
      </c>
      <c r="G757" s="21" t="s">
        <v>30</v>
      </c>
      <c r="H757" s="21" t="s">
        <v>24</v>
      </c>
      <c r="I757" s="21" t="s">
        <v>24</v>
      </c>
      <c r="J757" s="21" t="s">
        <v>24</v>
      </c>
      <c r="K757" s="21" t="s">
        <v>24</v>
      </c>
      <c r="L757" s="21" t="s">
        <v>24</v>
      </c>
      <c r="M757" s="0" t="n">
        <v>186</v>
      </c>
      <c r="N757" s="0" t="n">
        <v>1</v>
      </c>
      <c r="O757" s="21" t="s">
        <v>3481</v>
      </c>
      <c r="P757" s="21" t="s">
        <v>4251</v>
      </c>
      <c r="Q757" s="0" t="n">
        <v>0</v>
      </c>
      <c r="S757" s="0" t="n">
        <v>1</v>
      </c>
      <c r="T757" s="21" t="s">
        <v>3481</v>
      </c>
      <c r="U757" s="22" t="b">
        <f aca="false">TRUE()</f>
        <v>1</v>
      </c>
      <c r="V757" s="0" t="n">
        <v>0.8</v>
      </c>
      <c r="W757" s="0" t="n">
        <v>0.36</v>
      </c>
      <c r="X757" s="0" t="n">
        <v>9.16</v>
      </c>
      <c r="Y757" s="0" t="n">
        <v>198.91</v>
      </c>
      <c r="Z757" s="0" t="n">
        <v>8.25</v>
      </c>
      <c r="AA757" s="0" t="n">
        <v>0.39</v>
      </c>
      <c r="AB757" s="0" t="n">
        <v>1.75</v>
      </c>
      <c r="AC757" s="22" t="b">
        <f aca="false">FALSE()</f>
        <v>0</v>
      </c>
      <c r="AD757" s="0" t="n">
        <v>11.67</v>
      </c>
      <c r="AE757" s="0" t="n">
        <v>0.83</v>
      </c>
      <c r="AF757" s="0" t="n">
        <v>1.62</v>
      </c>
      <c r="AG757" s="22" t="b">
        <f aca="false">TRUE()</f>
        <v>1</v>
      </c>
      <c r="AH757" s="0" t="n">
        <v>1</v>
      </c>
    </row>
    <row r="758" customFormat="false" ht="15" hidden="false" customHeight="false" outlineLevel="0" collapsed="false">
      <c r="A758" s="0" t="s">
        <v>1259</v>
      </c>
      <c r="B758" s="0" t="s">
        <v>134</v>
      </c>
      <c r="C758" s="0" t="s">
        <v>3450</v>
      </c>
      <c r="D758" s="0" t="s">
        <v>3457</v>
      </c>
      <c r="E758" s="20" t="s">
        <v>25</v>
      </c>
      <c r="F758" s="20" t="s">
        <v>29</v>
      </c>
      <c r="G758" s="21" t="s">
        <v>62</v>
      </c>
      <c r="H758" s="21" t="s">
        <v>24</v>
      </c>
      <c r="I758" s="21" t="s">
        <v>24</v>
      </c>
      <c r="J758" s="21" t="s">
        <v>24</v>
      </c>
      <c r="K758" s="21" t="s">
        <v>25</v>
      </c>
      <c r="L758" s="21" t="s">
        <v>24</v>
      </c>
      <c r="M758" s="0" t="n">
        <v>184</v>
      </c>
      <c r="N758" s="0" t="n">
        <v>0</v>
      </c>
      <c r="Q758" s="0" t="n">
        <v>0</v>
      </c>
      <c r="S758" s="0" t="n">
        <v>0</v>
      </c>
      <c r="U758" s="22" t="b">
        <f aca="false">FALSE()</f>
        <v>0</v>
      </c>
      <c r="V758" s="0" t="n">
        <v>0.7</v>
      </c>
      <c r="W758" s="0" t="n">
        <v>0.72</v>
      </c>
      <c r="X758" s="0" t="n">
        <v>7.04</v>
      </c>
      <c r="Y758" s="0" t="n">
        <v>318.72</v>
      </c>
      <c r="Z758" s="0" t="n">
        <v>8.17</v>
      </c>
      <c r="AA758" s="0" t="n">
        <v>-0.9</v>
      </c>
      <c r="AB758" s="0" t="n">
        <v>5.29</v>
      </c>
      <c r="AC758" s="22" t="b">
        <f aca="false">FALSE()</f>
        <v>0</v>
      </c>
      <c r="AD758" s="0" t="n">
        <v>8.91</v>
      </c>
      <c r="AE758" s="0" t="n">
        <v>1.67</v>
      </c>
      <c r="AF758" s="0" t="n">
        <v>9.78</v>
      </c>
      <c r="AG758" s="22" t="b">
        <f aca="false">FALSE()</f>
        <v>0</v>
      </c>
      <c r="AH758" s="0" t="n">
        <v>1</v>
      </c>
    </row>
    <row r="759" customFormat="false" ht="15" hidden="false" customHeight="false" outlineLevel="0" collapsed="false">
      <c r="A759" s="0" t="s">
        <v>1259</v>
      </c>
      <c r="B759" s="0" t="s">
        <v>134</v>
      </c>
      <c r="C759" s="0" t="s">
        <v>3450</v>
      </c>
      <c r="D759" s="0" t="s">
        <v>3448</v>
      </c>
      <c r="E759" s="20" t="s">
        <v>25</v>
      </c>
      <c r="F759" s="23" t="s">
        <v>30</v>
      </c>
      <c r="G759" s="21" t="s">
        <v>163</v>
      </c>
      <c r="H759" s="21" t="s">
        <v>24</v>
      </c>
      <c r="I759" s="21" t="s">
        <v>25</v>
      </c>
      <c r="J759" s="21" t="s">
        <v>24</v>
      </c>
      <c r="K759" s="21" t="s">
        <v>25</v>
      </c>
      <c r="L759" s="21" t="s">
        <v>24</v>
      </c>
      <c r="M759" s="0" t="n">
        <v>184</v>
      </c>
      <c r="N759" s="0" t="n">
        <v>1</v>
      </c>
      <c r="O759" s="21" t="s">
        <v>69</v>
      </c>
      <c r="P759" s="21" t="s">
        <v>4275</v>
      </c>
      <c r="Q759" s="0" t="n">
        <v>1</v>
      </c>
      <c r="R759" s="21" t="s">
        <v>69</v>
      </c>
      <c r="S759" s="0" t="n">
        <v>1</v>
      </c>
      <c r="T759" s="21" t="s">
        <v>69</v>
      </c>
      <c r="U759" s="22" t="b">
        <f aca="false">TRUE()</f>
        <v>1</v>
      </c>
      <c r="V759" s="0" t="n">
        <v>0.74</v>
      </c>
      <c r="W759" s="0" t="n">
        <v>0</v>
      </c>
      <c r="X759" s="0" t="n">
        <v>7.17</v>
      </c>
      <c r="Y759" s="0" t="n">
        <v>694.48</v>
      </c>
      <c r="Z759" s="0" t="n">
        <v>11.5</v>
      </c>
      <c r="AA759" s="0" t="n">
        <v>3.89</v>
      </c>
      <c r="AB759" s="0" t="n">
        <v>0.19</v>
      </c>
      <c r="AC759" s="22" t="b">
        <f aca="false">FALSE()</f>
        <v>0</v>
      </c>
      <c r="AD759" s="0" t="n">
        <v>21.15</v>
      </c>
      <c r="AE759" s="0" t="n">
        <v>8.83</v>
      </c>
      <c r="AF759" s="0" t="n">
        <v>15.81</v>
      </c>
      <c r="AG759" s="22" t="b">
        <f aca="false">TRUE()</f>
        <v>1</v>
      </c>
      <c r="AH759" s="0" t="n">
        <v>1</v>
      </c>
    </row>
    <row r="760" customFormat="false" ht="15" hidden="false" customHeight="false" outlineLevel="0" collapsed="false">
      <c r="A760" s="0" t="s">
        <v>1259</v>
      </c>
      <c r="B760" s="0" t="s">
        <v>134</v>
      </c>
      <c r="C760" s="0" t="s">
        <v>3447</v>
      </c>
      <c r="D760" s="0" t="s">
        <v>3457</v>
      </c>
      <c r="E760" s="18" t="s">
        <v>24</v>
      </c>
      <c r="F760" s="18" t="s">
        <v>28</v>
      </c>
      <c r="H760" s="21" t="s">
        <v>24</v>
      </c>
      <c r="I760" s="21" t="s">
        <v>24</v>
      </c>
      <c r="J760" s="21" t="s">
        <v>24</v>
      </c>
      <c r="K760" s="21" t="s">
        <v>24</v>
      </c>
      <c r="L760" s="21" t="s">
        <v>24</v>
      </c>
      <c r="M760" s="0" t="n">
        <v>182</v>
      </c>
      <c r="N760" s="0" t="n">
        <v>0</v>
      </c>
      <c r="Q760" s="0" t="n">
        <v>0</v>
      </c>
      <c r="S760" s="0" t="n">
        <v>0</v>
      </c>
      <c r="U760" s="22" t="b">
        <f aca="false">FALSE()</f>
        <v>0</v>
      </c>
      <c r="V760" s="0" t="n">
        <v>0.75</v>
      </c>
      <c r="W760" s="0" t="n">
        <v>0</v>
      </c>
      <c r="X760" s="0" t="n">
        <v>8.13</v>
      </c>
      <c r="Y760" s="0" t="n">
        <v>710.31</v>
      </c>
      <c r="Z760" s="0" t="n">
        <v>8</v>
      </c>
      <c r="AA760" s="0" t="n">
        <v>-0.62</v>
      </c>
      <c r="AB760" s="0" t="n">
        <v>5.29</v>
      </c>
      <c r="AC760" s="22" t="b">
        <f aca="false">FALSE()</f>
        <v>0</v>
      </c>
      <c r="AD760" s="0" t="n">
        <v>13.84</v>
      </c>
      <c r="AE760" s="0" t="n">
        <v>4.62</v>
      </c>
      <c r="AF760" s="0" t="n">
        <v>13.34</v>
      </c>
      <c r="AG760" s="22" t="b">
        <f aca="false">TRUE()</f>
        <v>1</v>
      </c>
      <c r="AH760" s="0" t="n">
        <v>1</v>
      </c>
    </row>
    <row r="761" customFormat="false" ht="15" hidden="false" customHeight="false" outlineLevel="0" collapsed="false">
      <c r="A761" s="0" t="s">
        <v>1259</v>
      </c>
      <c r="B761" s="0" t="s">
        <v>134</v>
      </c>
      <c r="C761" s="0" t="s">
        <v>3447</v>
      </c>
      <c r="D761" s="0" t="s">
        <v>3448</v>
      </c>
      <c r="E761" s="20" t="s">
        <v>25</v>
      </c>
      <c r="F761" s="23" t="s">
        <v>30</v>
      </c>
      <c r="G761" s="21" t="s">
        <v>2610</v>
      </c>
      <c r="H761" s="21" t="s">
        <v>24</v>
      </c>
      <c r="I761" s="21" t="s">
        <v>24</v>
      </c>
      <c r="J761" s="21" t="s">
        <v>24</v>
      </c>
      <c r="K761" s="21" t="s">
        <v>25</v>
      </c>
      <c r="L761" s="21" t="s">
        <v>24</v>
      </c>
      <c r="M761" s="0" t="n">
        <v>186</v>
      </c>
      <c r="N761" s="0" t="n">
        <v>2</v>
      </c>
      <c r="O761" s="21" t="s">
        <v>3526</v>
      </c>
      <c r="P761" s="21" t="s">
        <v>4412</v>
      </c>
      <c r="Q761" s="0" t="n">
        <v>0</v>
      </c>
      <c r="S761" s="0" t="n">
        <v>2</v>
      </c>
      <c r="T761" s="21" t="s">
        <v>3526</v>
      </c>
      <c r="U761" s="22" t="b">
        <f aca="false">TRUE()</f>
        <v>1</v>
      </c>
      <c r="V761" s="0" t="n">
        <v>0.76</v>
      </c>
      <c r="W761" s="0" t="n">
        <v>0.88</v>
      </c>
      <c r="X761" s="0" t="n">
        <v>11.17</v>
      </c>
      <c r="Y761" s="0" t="n">
        <v>320.79</v>
      </c>
      <c r="Z761" s="0" t="n">
        <v>8</v>
      </c>
      <c r="AA761" s="0" t="n">
        <v>-0.82</v>
      </c>
      <c r="AB761" s="0" t="n">
        <v>0.19</v>
      </c>
      <c r="AC761" s="22" t="b">
        <f aca="false">FALSE()</f>
        <v>0</v>
      </c>
      <c r="AD761" s="0" t="n">
        <v>14.31</v>
      </c>
      <c r="AE761" s="0" t="n">
        <v>4.66</v>
      </c>
      <c r="AF761" s="0" t="n">
        <v>11.57</v>
      </c>
      <c r="AG761" s="22" t="b">
        <f aca="false">TRUE()</f>
        <v>1</v>
      </c>
      <c r="AH761" s="0" t="n">
        <v>1</v>
      </c>
    </row>
    <row r="762" customFormat="false" ht="15" hidden="false" customHeight="false" outlineLevel="0" collapsed="false">
      <c r="A762" s="0" t="s">
        <v>1265</v>
      </c>
      <c r="B762" s="0" t="s">
        <v>134</v>
      </c>
      <c r="C762" s="0" t="s">
        <v>3450</v>
      </c>
      <c r="D762" s="0" t="s">
        <v>3457</v>
      </c>
      <c r="E762" s="20" t="s">
        <v>25</v>
      </c>
      <c r="F762" s="23" t="s">
        <v>30</v>
      </c>
      <c r="G762" s="21" t="s">
        <v>1152</v>
      </c>
      <c r="H762" s="21" t="s">
        <v>24</v>
      </c>
      <c r="I762" s="21" t="s">
        <v>25</v>
      </c>
      <c r="J762" s="21" t="s">
        <v>24</v>
      </c>
      <c r="K762" s="21" t="s">
        <v>25</v>
      </c>
      <c r="L762" s="21" t="s">
        <v>24</v>
      </c>
      <c r="M762" s="0" t="n">
        <v>184</v>
      </c>
      <c r="N762" s="0" t="n">
        <v>2</v>
      </c>
      <c r="O762" s="21" t="s">
        <v>3658</v>
      </c>
      <c r="P762" s="21" t="s">
        <v>4542</v>
      </c>
      <c r="Q762" s="0" t="n">
        <v>1</v>
      </c>
      <c r="R762" s="21" t="s">
        <v>69</v>
      </c>
      <c r="S762" s="0" t="n">
        <v>2</v>
      </c>
      <c r="T762" s="21" t="s">
        <v>3658</v>
      </c>
      <c r="U762" s="22" t="b">
        <f aca="false">TRUE()</f>
        <v>1</v>
      </c>
      <c r="V762" s="0" t="n">
        <v>0.68</v>
      </c>
      <c r="W762" s="0" t="n">
        <v>0.24</v>
      </c>
      <c r="X762" s="0" t="n">
        <v>5.75</v>
      </c>
      <c r="Y762" s="0" t="n">
        <v>467.83</v>
      </c>
      <c r="Z762" s="0" t="n">
        <v>8.25</v>
      </c>
      <c r="AA762" s="0" t="n">
        <v>6.21</v>
      </c>
      <c r="AB762" s="0" t="n">
        <v>0.53</v>
      </c>
      <c r="AC762" s="22" t="b">
        <f aca="false">FALSE()</f>
        <v>0</v>
      </c>
      <c r="AD762" s="0" t="n">
        <v>8.45</v>
      </c>
      <c r="AE762" s="0" t="n">
        <v>0.36</v>
      </c>
      <c r="AF762" s="0" t="n">
        <v>9.71</v>
      </c>
      <c r="AG762" s="22" t="b">
        <f aca="false">FALSE()</f>
        <v>0</v>
      </c>
      <c r="AH762" s="0" t="n">
        <v>1</v>
      </c>
    </row>
    <row r="763" customFormat="false" ht="15" hidden="false" customHeight="false" outlineLevel="0" collapsed="false">
      <c r="A763" s="0" t="s">
        <v>1265</v>
      </c>
      <c r="B763" s="0" t="s">
        <v>134</v>
      </c>
      <c r="C763" s="0" t="s">
        <v>3450</v>
      </c>
      <c r="D763" s="0" t="s">
        <v>3448</v>
      </c>
      <c r="E763" s="20" t="s">
        <v>25</v>
      </c>
      <c r="F763" s="23" t="s">
        <v>30</v>
      </c>
      <c r="G763" s="21" t="s">
        <v>1230</v>
      </c>
      <c r="H763" s="21" t="s">
        <v>24</v>
      </c>
      <c r="I763" s="21" t="s">
        <v>25</v>
      </c>
      <c r="J763" s="21" t="s">
        <v>24</v>
      </c>
      <c r="K763" s="21" t="s">
        <v>25</v>
      </c>
      <c r="L763" s="21" t="s">
        <v>24</v>
      </c>
      <c r="M763" s="0" t="n">
        <v>188</v>
      </c>
      <c r="N763" s="0" t="n">
        <v>1</v>
      </c>
      <c r="O763" s="21" t="s">
        <v>69</v>
      </c>
      <c r="P763" s="21" t="s">
        <v>4275</v>
      </c>
      <c r="Q763" s="0" t="n">
        <v>1</v>
      </c>
      <c r="R763" s="21" t="s">
        <v>69</v>
      </c>
      <c r="S763" s="0" t="n">
        <v>1</v>
      </c>
      <c r="T763" s="21" t="s">
        <v>69</v>
      </c>
      <c r="U763" s="22" t="b">
        <f aca="false">TRUE()</f>
        <v>1</v>
      </c>
      <c r="V763" s="0" t="n">
        <v>0.7</v>
      </c>
      <c r="W763" s="0" t="n">
        <v>0.76</v>
      </c>
      <c r="X763" s="0" t="n">
        <v>6</v>
      </c>
      <c r="Y763" s="0" t="n">
        <v>329.95</v>
      </c>
      <c r="Z763" s="0" t="n">
        <v>8.5</v>
      </c>
      <c r="AA763" s="0" t="n">
        <v>-0.6</v>
      </c>
      <c r="AB763" s="0" t="n">
        <v>15.32</v>
      </c>
      <c r="AC763" s="22" t="b">
        <f aca="false">FALSE()</f>
        <v>0</v>
      </c>
      <c r="AD763" s="0" t="n">
        <v>8.63</v>
      </c>
      <c r="AE763" s="0" t="n">
        <v>1.7</v>
      </c>
      <c r="AF763" s="0" t="n">
        <v>6.94</v>
      </c>
      <c r="AG763" s="22" t="b">
        <f aca="false">FALSE()</f>
        <v>0</v>
      </c>
      <c r="AH763" s="0" t="n">
        <v>1</v>
      </c>
    </row>
    <row r="764" customFormat="false" ht="15" hidden="false" customHeight="false" outlineLevel="0" collapsed="false">
      <c r="A764" s="0" t="s">
        <v>1265</v>
      </c>
      <c r="B764" s="0" t="s">
        <v>134</v>
      </c>
      <c r="C764" s="0" t="s">
        <v>3447</v>
      </c>
      <c r="D764" s="0" t="s">
        <v>3457</v>
      </c>
      <c r="E764" s="20" t="s">
        <v>25</v>
      </c>
      <c r="F764" s="23" t="s">
        <v>30</v>
      </c>
      <c r="G764" s="21" t="s">
        <v>1152</v>
      </c>
      <c r="H764" s="21" t="s">
        <v>24</v>
      </c>
      <c r="I764" s="21" t="s">
        <v>25</v>
      </c>
      <c r="J764" s="21" t="s">
        <v>24</v>
      </c>
      <c r="K764" s="21" t="s">
        <v>25</v>
      </c>
      <c r="L764" s="21" t="s">
        <v>24</v>
      </c>
      <c r="M764" s="0" t="n">
        <v>186</v>
      </c>
      <c r="N764" s="0" t="n">
        <v>4</v>
      </c>
      <c r="O764" s="21" t="s">
        <v>3769</v>
      </c>
      <c r="P764" s="21" t="s">
        <v>4543</v>
      </c>
      <c r="Q764" s="0" t="n">
        <v>1</v>
      </c>
      <c r="R764" s="21" t="s">
        <v>69</v>
      </c>
      <c r="S764" s="0" t="n">
        <v>4</v>
      </c>
      <c r="T764" s="21" t="s">
        <v>3769</v>
      </c>
      <c r="U764" s="22" t="b">
        <f aca="false">TRUE()</f>
        <v>1</v>
      </c>
      <c r="V764" s="0" t="n">
        <v>0.71</v>
      </c>
      <c r="W764" s="0" t="n">
        <v>0.48</v>
      </c>
      <c r="X764" s="0" t="n">
        <v>6.78</v>
      </c>
      <c r="Y764" s="0" t="n">
        <v>340.29</v>
      </c>
      <c r="Z764" s="0" t="n">
        <v>8.25</v>
      </c>
      <c r="AA764" s="0" t="n">
        <v>3.16</v>
      </c>
      <c r="AB764" s="0" t="n">
        <v>0.53</v>
      </c>
      <c r="AC764" s="22" t="b">
        <f aca="false">FALSE()</f>
        <v>0</v>
      </c>
      <c r="AD764" s="0" t="n">
        <v>5.49</v>
      </c>
      <c r="AE764" s="0" t="n">
        <v>0.63</v>
      </c>
      <c r="AF764" s="0" t="n">
        <v>6.17</v>
      </c>
      <c r="AG764" s="22" t="b">
        <f aca="false">FALSE()</f>
        <v>0</v>
      </c>
      <c r="AH764" s="0" t="n">
        <v>1</v>
      </c>
    </row>
    <row r="765" customFormat="false" ht="15" hidden="false" customHeight="false" outlineLevel="0" collapsed="false">
      <c r="A765" s="0" t="s">
        <v>1265</v>
      </c>
      <c r="B765" s="0" t="s">
        <v>134</v>
      </c>
      <c r="C765" s="0" t="s">
        <v>3447</v>
      </c>
      <c r="D765" s="0" t="s">
        <v>3448</v>
      </c>
      <c r="E765" s="20" t="s">
        <v>25</v>
      </c>
      <c r="F765" s="23" t="s">
        <v>30</v>
      </c>
      <c r="G765" s="21" t="s">
        <v>283</v>
      </c>
      <c r="H765" s="21" t="s">
        <v>24</v>
      </c>
      <c r="I765" s="21" t="s">
        <v>25</v>
      </c>
      <c r="J765" s="21" t="s">
        <v>24</v>
      </c>
      <c r="K765" s="21" t="s">
        <v>24</v>
      </c>
      <c r="L765" s="21" t="s">
        <v>24</v>
      </c>
      <c r="M765" s="0" t="n">
        <v>200</v>
      </c>
      <c r="N765" s="0" t="n">
        <v>6</v>
      </c>
      <c r="O765" s="21" t="s">
        <v>3858</v>
      </c>
      <c r="P765" s="21" t="s">
        <v>4544</v>
      </c>
      <c r="Q765" s="0" t="n">
        <v>1</v>
      </c>
      <c r="R765" s="21" t="s">
        <v>69</v>
      </c>
      <c r="S765" s="0" t="n">
        <v>6</v>
      </c>
      <c r="T765" s="21" t="s">
        <v>3858</v>
      </c>
      <c r="U765" s="22" t="b">
        <f aca="false">TRUE()</f>
        <v>1</v>
      </c>
      <c r="V765" s="0" t="n">
        <v>0.69</v>
      </c>
      <c r="W765" s="0" t="n">
        <v>0.24</v>
      </c>
      <c r="X765" s="0" t="n">
        <v>7.76</v>
      </c>
      <c r="Y765" s="0" t="n">
        <v>510.85</v>
      </c>
      <c r="Z765" s="0" t="n">
        <v>8.25</v>
      </c>
      <c r="AA765" s="0" t="n">
        <v>7.11</v>
      </c>
      <c r="AB765" s="0" t="n">
        <v>15.32</v>
      </c>
      <c r="AC765" s="22" t="b">
        <f aca="false">FALSE()</f>
        <v>0</v>
      </c>
      <c r="AD765" s="0" t="n">
        <v>19.95</v>
      </c>
      <c r="AE765" s="0" t="n">
        <v>6.92</v>
      </c>
      <c r="AF765" s="0" t="n">
        <v>14.04</v>
      </c>
      <c r="AG765" s="22" t="b">
        <f aca="false">TRUE()</f>
        <v>1</v>
      </c>
      <c r="AH765" s="0" t="n">
        <v>1</v>
      </c>
    </row>
    <row r="766" customFormat="false" ht="15" hidden="false" customHeight="false" outlineLevel="0" collapsed="false">
      <c r="A766" s="0" t="s">
        <v>1271</v>
      </c>
      <c r="B766" s="0" t="s">
        <v>134</v>
      </c>
      <c r="C766" s="0" t="s">
        <v>3450</v>
      </c>
      <c r="D766" s="0" t="s">
        <v>3457</v>
      </c>
      <c r="E766" s="20" t="s">
        <v>25</v>
      </c>
      <c r="F766" s="23" t="s">
        <v>30</v>
      </c>
      <c r="G766" s="21" t="s">
        <v>470</v>
      </c>
      <c r="H766" s="21" t="s">
        <v>24</v>
      </c>
      <c r="I766" s="21" t="s">
        <v>24</v>
      </c>
      <c r="J766" s="21" t="s">
        <v>24</v>
      </c>
      <c r="K766" s="21" t="s">
        <v>25</v>
      </c>
      <c r="L766" s="21" t="s">
        <v>24</v>
      </c>
      <c r="M766" s="0" t="n">
        <v>182</v>
      </c>
      <c r="N766" s="0" t="n">
        <v>2</v>
      </c>
      <c r="O766" s="21" t="s">
        <v>3506</v>
      </c>
      <c r="P766" s="21" t="s">
        <v>4449</v>
      </c>
      <c r="Q766" s="0" t="n">
        <v>0</v>
      </c>
      <c r="S766" s="0" t="n">
        <v>2</v>
      </c>
      <c r="T766" s="21" t="s">
        <v>3506</v>
      </c>
      <c r="U766" s="22" t="b">
        <f aca="false">TRUE()</f>
        <v>1</v>
      </c>
      <c r="V766" s="0" t="n">
        <v>0.78</v>
      </c>
      <c r="W766" s="0" t="n">
        <v>0.56</v>
      </c>
      <c r="X766" s="0" t="n">
        <v>5.72</v>
      </c>
      <c r="Y766" s="0" t="n">
        <v>306.21</v>
      </c>
      <c r="Z766" s="0" t="n">
        <v>10.75</v>
      </c>
      <c r="AA766" s="0" t="n">
        <v>-0.08</v>
      </c>
      <c r="AB766" s="0" t="n">
        <v>1.09</v>
      </c>
      <c r="AC766" s="22" t="b">
        <f aca="false">TRUE()</f>
        <v>1</v>
      </c>
      <c r="AD766" s="0" t="n">
        <v>10.73</v>
      </c>
      <c r="AE766" s="0" t="n">
        <v>0.6</v>
      </c>
      <c r="AF766" s="0" t="n">
        <v>12.12</v>
      </c>
      <c r="AG766" s="22" t="b">
        <f aca="false">TRUE()</f>
        <v>1</v>
      </c>
      <c r="AH766" s="0" t="n">
        <v>1</v>
      </c>
    </row>
    <row r="767" customFormat="false" ht="15" hidden="false" customHeight="false" outlineLevel="0" collapsed="false">
      <c r="A767" s="0" t="s">
        <v>1271</v>
      </c>
      <c r="B767" s="0" t="s">
        <v>134</v>
      </c>
      <c r="C767" s="0" t="s">
        <v>3450</v>
      </c>
      <c r="D767" s="0" t="s">
        <v>3448</v>
      </c>
      <c r="E767" s="19" t="s">
        <v>26</v>
      </c>
      <c r="F767" s="19" t="s">
        <v>32</v>
      </c>
      <c r="G767" s="21" t="s">
        <v>3885</v>
      </c>
      <c r="H767" s="21" t="s">
        <v>24</v>
      </c>
      <c r="I767" s="21" t="s">
        <v>26</v>
      </c>
      <c r="J767" s="21" t="s">
        <v>24</v>
      </c>
      <c r="K767" s="21" t="s">
        <v>25</v>
      </c>
      <c r="L767" s="21" t="s">
        <v>24</v>
      </c>
      <c r="M767" s="0" t="n">
        <v>182</v>
      </c>
      <c r="N767" s="0" t="n">
        <v>9</v>
      </c>
      <c r="O767" s="21" t="s">
        <v>3944</v>
      </c>
      <c r="P767" s="21" t="s">
        <v>4545</v>
      </c>
      <c r="Q767" s="0" t="n">
        <v>0</v>
      </c>
      <c r="S767" s="0" t="n">
        <v>9</v>
      </c>
      <c r="T767" s="21" t="s">
        <v>3944</v>
      </c>
      <c r="U767" s="22" t="b">
        <f aca="false">FALSE()</f>
        <v>0</v>
      </c>
      <c r="V767" s="0" t="n">
        <v>0.74</v>
      </c>
      <c r="W767" s="0" t="n">
        <v>0.32</v>
      </c>
      <c r="X767" s="0" t="n">
        <v>6.24</v>
      </c>
      <c r="Y767" s="0" t="n">
        <v>394.58</v>
      </c>
      <c r="Z767" s="0" t="n">
        <v>10.5</v>
      </c>
      <c r="AA767" s="0" t="n">
        <v>4.42</v>
      </c>
      <c r="AB767" s="0" t="n">
        <v>1.14</v>
      </c>
      <c r="AC767" s="22" t="b">
        <f aca="false">FALSE()</f>
        <v>0</v>
      </c>
      <c r="AD767" s="0" t="n">
        <v>5.43</v>
      </c>
      <c r="AE767" s="0" t="n">
        <v>1.32</v>
      </c>
      <c r="AF767" s="0" t="n">
        <v>11.08</v>
      </c>
      <c r="AG767" s="22" t="b">
        <f aca="false">FALSE()</f>
        <v>0</v>
      </c>
      <c r="AH767" s="0" t="n">
        <v>1</v>
      </c>
    </row>
    <row r="768" customFormat="false" ht="15" hidden="false" customHeight="false" outlineLevel="0" collapsed="false">
      <c r="A768" s="0" t="s">
        <v>1271</v>
      </c>
      <c r="B768" s="0" t="s">
        <v>134</v>
      </c>
      <c r="C768" s="0" t="s">
        <v>3447</v>
      </c>
      <c r="D768" s="0" t="s">
        <v>3457</v>
      </c>
      <c r="E768" s="20" t="s">
        <v>25</v>
      </c>
      <c r="F768" s="23" t="s">
        <v>30</v>
      </c>
      <c r="G768" s="21" t="s">
        <v>2133</v>
      </c>
      <c r="H768" s="21" t="s">
        <v>24</v>
      </c>
      <c r="I768" s="21" t="s">
        <v>24</v>
      </c>
      <c r="J768" s="21" t="s">
        <v>24</v>
      </c>
      <c r="K768" s="21" t="s">
        <v>25</v>
      </c>
      <c r="L768" s="21" t="s">
        <v>24</v>
      </c>
      <c r="M768" s="0" t="n">
        <v>183</v>
      </c>
      <c r="N768" s="0" t="n">
        <v>2</v>
      </c>
      <c r="O768" s="21" t="s">
        <v>3513</v>
      </c>
      <c r="P768" s="21" t="s">
        <v>4546</v>
      </c>
      <c r="Q768" s="0" t="n">
        <v>0</v>
      </c>
      <c r="S768" s="0" t="n">
        <v>2</v>
      </c>
      <c r="T768" s="21" t="s">
        <v>3513</v>
      </c>
      <c r="U768" s="22" t="b">
        <f aca="false">TRUE()</f>
        <v>1</v>
      </c>
      <c r="V768" s="0" t="n">
        <v>0.77</v>
      </c>
      <c r="W768" s="0" t="n">
        <v>0</v>
      </c>
      <c r="X768" s="0" t="n">
        <v>7.42</v>
      </c>
      <c r="Y768" s="0" t="n">
        <v>654.44</v>
      </c>
      <c r="Z768" s="0" t="n">
        <v>11</v>
      </c>
      <c r="AA768" s="0" t="n">
        <v>0.77</v>
      </c>
      <c r="AB768" s="0" t="n">
        <v>1.09</v>
      </c>
      <c r="AC768" s="22" t="b">
        <f aca="false">FALSE()</f>
        <v>0</v>
      </c>
      <c r="AD768" s="0" t="n">
        <v>10.04</v>
      </c>
      <c r="AE768" s="0" t="n">
        <v>0.78</v>
      </c>
      <c r="AF768" s="0" t="n">
        <v>9.74</v>
      </c>
      <c r="AG768" s="22" t="b">
        <f aca="false">TRUE()</f>
        <v>1</v>
      </c>
      <c r="AH768" s="0" t="n">
        <v>1</v>
      </c>
    </row>
    <row r="769" customFormat="false" ht="15" hidden="false" customHeight="false" outlineLevel="0" collapsed="false">
      <c r="A769" s="0" t="s">
        <v>1271</v>
      </c>
      <c r="B769" s="0" t="s">
        <v>134</v>
      </c>
      <c r="C769" s="0" t="s">
        <v>3447</v>
      </c>
      <c r="D769" s="0" t="s">
        <v>3448</v>
      </c>
      <c r="E769" s="20" t="s">
        <v>25</v>
      </c>
      <c r="F769" s="23" t="s">
        <v>30</v>
      </c>
      <c r="G769" s="21" t="s">
        <v>2133</v>
      </c>
      <c r="H769" s="21" t="s">
        <v>24</v>
      </c>
      <c r="I769" s="21" t="s">
        <v>24</v>
      </c>
      <c r="J769" s="21" t="s">
        <v>24</v>
      </c>
      <c r="K769" s="21" t="s">
        <v>25</v>
      </c>
      <c r="L769" s="21" t="s">
        <v>24</v>
      </c>
      <c r="M769" s="0" t="n">
        <v>183</v>
      </c>
      <c r="N769" s="0" t="n">
        <v>3</v>
      </c>
      <c r="O769" s="21" t="s">
        <v>3544</v>
      </c>
      <c r="P769" s="21" t="s">
        <v>4406</v>
      </c>
      <c r="Q769" s="0" t="n">
        <v>0</v>
      </c>
      <c r="S769" s="0" t="n">
        <v>3</v>
      </c>
      <c r="T769" s="21" t="s">
        <v>3544</v>
      </c>
      <c r="U769" s="22" t="b">
        <f aca="false">TRUE()</f>
        <v>1</v>
      </c>
      <c r="V769" s="0" t="n">
        <v>0.8</v>
      </c>
      <c r="W769" s="0" t="n">
        <v>0.8</v>
      </c>
      <c r="X769" s="0" t="n">
        <v>9.19</v>
      </c>
      <c r="Y769" s="0" t="n">
        <v>312.49</v>
      </c>
      <c r="Z769" s="0" t="n">
        <v>9.5</v>
      </c>
      <c r="AA769" s="0" t="n">
        <v>1.84</v>
      </c>
      <c r="AB769" s="0" t="n">
        <v>1.14</v>
      </c>
      <c r="AC769" s="22" t="b">
        <f aca="false">FALSE()</f>
        <v>0</v>
      </c>
      <c r="AD769" s="0" t="n">
        <v>6.33</v>
      </c>
      <c r="AE769" s="0" t="n">
        <v>2.05</v>
      </c>
      <c r="AF769" s="0" t="n">
        <v>6.68</v>
      </c>
      <c r="AG769" s="22" t="b">
        <f aca="false">FALSE()</f>
        <v>0</v>
      </c>
      <c r="AH769" s="0" t="n">
        <v>1</v>
      </c>
    </row>
    <row r="770" customFormat="false" ht="15" hidden="false" customHeight="false" outlineLevel="0" collapsed="false">
      <c r="A770" s="0" t="s">
        <v>1278</v>
      </c>
      <c r="B770" s="0" t="s">
        <v>134</v>
      </c>
      <c r="C770" s="0" t="s">
        <v>3450</v>
      </c>
      <c r="D770" s="0" t="s">
        <v>3457</v>
      </c>
      <c r="E770" s="19" t="s">
        <v>26</v>
      </c>
      <c r="F770" s="19" t="s">
        <v>32</v>
      </c>
      <c r="G770" s="21" t="s">
        <v>529</v>
      </c>
      <c r="H770" s="21" t="s">
        <v>24</v>
      </c>
      <c r="I770" s="21" t="s">
        <v>26</v>
      </c>
      <c r="J770" s="21" t="s">
        <v>24</v>
      </c>
      <c r="K770" s="21" t="s">
        <v>24</v>
      </c>
      <c r="L770" s="21" t="s">
        <v>24</v>
      </c>
      <c r="M770" s="0" t="n">
        <v>183</v>
      </c>
      <c r="N770" s="0" t="n">
        <v>9</v>
      </c>
      <c r="O770" s="21" t="s">
        <v>4080</v>
      </c>
      <c r="P770" s="21" t="s">
        <v>4528</v>
      </c>
      <c r="Q770" s="0" t="n">
        <v>1</v>
      </c>
      <c r="R770" s="21" t="s">
        <v>69</v>
      </c>
      <c r="S770" s="0" t="n">
        <v>9</v>
      </c>
      <c r="T770" s="21" t="s">
        <v>4080</v>
      </c>
      <c r="U770" s="22" t="b">
        <f aca="false">FALSE()</f>
        <v>0</v>
      </c>
      <c r="V770" s="0" t="n">
        <v>0.72</v>
      </c>
      <c r="W770" s="0" t="n">
        <v>0.48</v>
      </c>
      <c r="X770" s="0" t="n">
        <v>9.18</v>
      </c>
      <c r="Y770" s="0" t="n">
        <v>329.16</v>
      </c>
      <c r="Z770" s="0" t="n">
        <v>9.67</v>
      </c>
      <c r="AA770" s="0" t="n">
        <v>10.21</v>
      </c>
      <c r="AB770" s="0" t="n">
        <v>1.84</v>
      </c>
      <c r="AC770" s="22" t="b">
        <f aca="false">FALSE()</f>
        <v>0</v>
      </c>
      <c r="AD770" s="0" t="n">
        <v>6.47</v>
      </c>
      <c r="AE770" s="0" t="n">
        <v>-0.44</v>
      </c>
      <c r="AF770" s="0" t="n">
        <v>4.88</v>
      </c>
      <c r="AG770" s="22" t="b">
        <f aca="false">FALSE()</f>
        <v>0</v>
      </c>
      <c r="AH770" s="0" t="n">
        <v>1</v>
      </c>
    </row>
    <row r="771" customFormat="false" ht="15" hidden="false" customHeight="false" outlineLevel="0" collapsed="false">
      <c r="A771" s="0" t="s">
        <v>1278</v>
      </c>
      <c r="B771" s="0" t="s">
        <v>134</v>
      </c>
      <c r="C771" s="0" t="s">
        <v>3450</v>
      </c>
      <c r="D771" s="0" t="s">
        <v>3448</v>
      </c>
      <c r="E771" s="20" t="s">
        <v>25</v>
      </c>
      <c r="F771" s="23" t="s">
        <v>30</v>
      </c>
      <c r="G771" s="21" t="s">
        <v>283</v>
      </c>
      <c r="H771" s="21" t="s">
        <v>24</v>
      </c>
      <c r="I771" s="21" t="s">
        <v>25</v>
      </c>
      <c r="J771" s="21" t="s">
        <v>24</v>
      </c>
      <c r="K771" s="21" t="s">
        <v>24</v>
      </c>
      <c r="L771" s="21" t="s">
        <v>24</v>
      </c>
      <c r="M771" s="0" t="n">
        <v>184</v>
      </c>
      <c r="N771" s="0" t="n">
        <v>2</v>
      </c>
      <c r="O771" s="21" t="s">
        <v>3575</v>
      </c>
      <c r="P771" s="21" t="s">
        <v>4265</v>
      </c>
      <c r="Q771" s="0" t="n">
        <v>1</v>
      </c>
      <c r="R771" s="21" t="s">
        <v>69</v>
      </c>
      <c r="S771" s="0" t="n">
        <v>2</v>
      </c>
      <c r="T771" s="21" t="s">
        <v>3575</v>
      </c>
      <c r="U771" s="22" t="b">
        <f aca="false">TRUE()</f>
        <v>1</v>
      </c>
      <c r="V771" s="0" t="n">
        <v>0.71</v>
      </c>
      <c r="W771" s="0" t="n">
        <v>0.96</v>
      </c>
      <c r="X771" s="0" t="n">
        <v>9.3</v>
      </c>
      <c r="Y771" s="0" t="n">
        <v>284.88</v>
      </c>
      <c r="Z771" s="0" t="n">
        <v>9.42</v>
      </c>
      <c r="AA771" s="0" t="n">
        <v>8.24</v>
      </c>
      <c r="AB771" s="0" t="n">
        <v>2.82</v>
      </c>
      <c r="AC771" s="22" t="b">
        <f aca="false">FALSE()</f>
        <v>0</v>
      </c>
      <c r="AD771" s="0" t="n">
        <v>2.42</v>
      </c>
      <c r="AE771" s="0" t="n">
        <v>0.96</v>
      </c>
      <c r="AF771" s="0" t="n">
        <v>1.98</v>
      </c>
      <c r="AG771" s="22" t="b">
        <f aca="false">FALSE()</f>
        <v>0</v>
      </c>
      <c r="AH771" s="0" t="n">
        <v>1</v>
      </c>
    </row>
    <row r="772" customFormat="false" ht="15" hidden="false" customHeight="false" outlineLevel="0" collapsed="false">
      <c r="A772" s="0" t="s">
        <v>1278</v>
      </c>
      <c r="B772" s="0" t="s">
        <v>134</v>
      </c>
      <c r="C772" s="0" t="s">
        <v>3447</v>
      </c>
      <c r="D772" s="0" t="s">
        <v>3457</v>
      </c>
      <c r="E772" s="18" t="s">
        <v>24</v>
      </c>
      <c r="F772" s="18" t="s">
        <v>28</v>
      </c>
      <c r="H772" s="21" t="s">
        <v>24</v>
      </c>
      <c r="I772" s="21" t="s">
        <v>24</v>
      </c>
      <c r="J772" s="21" t="s">
        <v>24</v>
      </c>
      <c r="K772" s="21" t="s">
        <v>24</v>
      </c>
      <c r="L772" s="21" t="s">
        <v>24</v>
      </c>
      <c r="M772" s="0" t="n">
        <v>185</v>
      </c>
      <c r="N772" s="0" t="n">
        <v>0</v>
      </c>
      <c r="Q772" s="0" t="n">
        <v>0</v>
      </c>
      <c r="S772" s="0" t="n">
        <v>0</v>
      </c>
      <c r="U772" s="22" t="b">
        <f aca="false">FALSE()</f>
        <v>0</v>
      </c>
      <c r="V772" s="0" t="n">
        <v>0.76</v>
      </c>
      <c r="W772" s="0" t="n">
        <v>0.64</v>
      </c>
      <c r="X772" s="0" t="n">
        <v>7.78</v>
      </c>
      <c r="Y772" s="0" t="n">
        <v>322.47</v>
      </c>
      <c r="Z772" s="0" t="n">
        <v>9.67</v>
      </c>
      <c r="AA772" s="0" t="n">
        <v>7.97</v>
      </c>
      <c r="AB772" s="0" t="n">
        <v>1.84</v>
      </c>
      <c r="AC772" s="22" t="b">
        <f aca="false">FALSE()</f>
        <v>0</v>
      </c>
      <c r="AD772" s="0" t="n">
        <v>7.9</v>
      </c>
      <c r="AE772" s="0" t="n">
        <v>1.89</v>
      </c>
      <c r="AF772" s="0" t="n">
        <v>5.94</v>
      </c>
      <c r="AG772" s="22" t="b">
        <f aca="false">FALSE()</f>
        <v>0</v>
      </c>
      <c r="AH772" s="0" t="n">
        <v>1</v>
      </c>
    </row>
    <row r="773" customFormat="false" ht="15" hidden="false" customHeight="false" outlineLevel="0" collapsed="false">
      <c r="A773" s="0" t="s">
        <v>1278</v>
      </c>
      <c r="B773" s="0" t="s">
        <v>134</v>
      </c>
      <c r="C773" s="0" t="s">
        <v>3447</v>
      </c>
      <c r="D773" s="0" t="s">
        <v>3448</v>
      </c>
      <c r="E773" s="18" t="s">
        <v>24</v>
      </c>
      <c r="F773" s="18" t="s">
        <v>28</v>
      </c>
      <c r="H773" s="21" t="s">
        <v>24</v>
      </c>
      <c r="I773" s="21" t="s">
        <v>24</v>
      </c>
      <c r="J773" s="21" t="s">
        <v>24</v>
      </c>
      <c r="K773" s="21" t="s">
        <v>24</v>
      </c>
      <c r="L773" s="21" t="s">
        <v>24</v>
      </c>
      <c r="M773" s="0" t="n">
        <v>183</v>
      </c>
      <c r="N773" s="0" t="n">
        <v>0</v>
      </c>
      <c r="Q773" s="0" t="n">
        <v>0</v>
      </c>
      <c r="S773" s="0" t="n">
        <v>0</v>
      </c>
      <c r="U773" s="22" t="b">
        <f aca="false">FALSE()</f>
        <v>0</v>
      </c>
      <c r="V773" s="0" t="n">
        <v>0.75</v>
      </c>
      <c r="W773" s="0" t="n">
        <v>0.16</v>
      </c>
      <c r="X773" s="0" t="n">
        <v>8.74</v>
      </c>
      <c r="Y773" s="0" t="n">
        <v>498.86</v>
      </c>
      <c r="Z773" s="0" t="n">
        <v>9.25</v>
      </c>
      <c r="AA773" s="0" t="n">
        <v>8.63</v>
      </c>
      <c r="AB773" s="0" t="n">
        <v>2.82</v>
      </c>
      <c r="AC773" s="22" t="b">
        <f aca="false">FALSE()</f>
        <v>0</v>
      </c>
      <c r="AD773" s="0" t="n">
        <v>7.44</v>
      </c>
      <c r="AE773" s="0" t="n">
        <v>1.62</v>
      </c>
      <c r="AF773" s="0" t="n">
        <v>3.69</v>
      </c>
      <c r="AG773" s="22" t="b">
        <f aca="false">FALSE()</f>
        <v>0</v>
      </c>
      <c r="AH773" s="0" t="n">
        <v>1</v>
      </c>
    </row>
    <row r="774" customFormat="false" ht="15" hidden="false" customHeight="false" outlineLevel="0" collapsed="false">
      <c r="A774" s="0" t="s">
        <v>1286</v>
      </c>
      <c r="B774" s="0" t="s">
        <v>134</v>
      </c>
      <c r="C774" s="0" t="s">
        <v>3450</v>
      </c>
      <c r="D774" s="0" t="s">
        <v>3457</v>
      </c>
      <c r="E774" s="20" t="s">
        <v>25</v>
      </c>
      <c r="F774" s="23" t="s">
        <v>30</v>
      </c>
      <c r="G774" s="21" t="s">
        <v>183</v>
      </c>
      <c r="H774" s="21" t="s">
        <v>24</v>
      </c>
      <c r="I774" s="21" t="s">
        <v>25</v>
      </c>
      <c r="J774" s="21" t="s">
        <v>24</v>
      </c>
      <c r="K774" s="21" t="s">
        <v>25</v>
      </c>
      <c r="L774" s="21" t="s">
        <v>24</v>
      </c>
      <c r="M774" s="0" t="n">
        <v>183</v>
      </c>
      <c r="N774" s="0" t="n">
        <v>1</v>
      </c>
      <c r="O774" s="21" t="s">
        <v>69</v>
      </c>
      <c r="P774" s="21" t="s">
        <v>4275</v>
      </c>
      <c r="Q774" s="0" t="n">
        <v>1</v>
      </c>
      <c r="R774" s="21" t="s">
        <v>69</v>
      </c>
      <c r="S774" s="0" t="n">
        <v>1</v>
      </c>
      <c r="T774" s="21" t="s">
        <v>69</v>
      </c>
      <c r="U774" s="22" t="b">
        <f aca="false">TRUE()</f>
        <v>1</v>
      </c>
      <c r="V774" s="0" t="n">
        <v>0.7</v>
      </c>
      <c r="W774" s="0" t="n">
        <v>0.64</v>
      </c>
      <c r="X774" s="0" t="n">
        <v>5.73</v>
      </c>
      <c r="Y774" s="0" t="n">
        <v>321.62</v>
      </c>
      <c r="Z774" s="0" t="n">
        <v>9.5</v>
      </c>
      <c r="AA774" s="0" t="n">
        <v>12.03</v>
      </c>
      <c r="AB774" s="0" t="n">
        <v>4.42</v>
      </c>
      <c r="AC774" s="22" t="b">
        <f aca="false">FALSE()</f>
        <v>0</v>
      </c>
      <c r="AD774" s="0" t="n">
        <v>24.25</v>
      </c>
      <c r="AE774" s="0" t="n">
        <v>0.38</v>
      </c>
      <c r="AF774" s="0" t="n">
        <v>15.38</v>
      </c>
      <c r="AG774" s="22" t="b">
        <f aca="false">TRUE()</f>
        <v>1</v>
      </c>
      <c r="AH774" s="0" t="n">
        <v>1</v>
      </c>
    </row>
    <row r="775" customFormat="false" ht="15" hidden="false" customHeight="false" outlineLevel="0" collapsed="false">
      <c r="A775" s="0" t="s">
        <v>1286</v>
      </c>
      <c r="B775" s="0" t="s">
        <v>134</v>
      </c>
      <c r="C775" s="0" t="s">
        <v>3450</v>
      </c>
      <c r="D775" s="0" t="s">
        <v>3448</v>
      </c>
      <c r="E775" s="20" t="s">
        <v>25</v>
      </c>
      <c r="F775" s="20" t="s">
        <v>29</v>
      </c>
      <c r="G775" s="21" t="s">
        <v>62</v>
      </c>
      <c r="H775" s="21" t="s">
        <v>24</v>
      </c>
      <c r="I775" s="21" t="s">
        <v>24</v>
      </c>
      <c r="J775" s="21" t="s">
        <v>24</v>
      </c>
      <c r="K775" s="21" t="s">
        <v>25</v>
      </c>
      <c r="L775" s="21" t="s">
        <v>24</v>
      </c>
      <c r="M775" s="0" t="n">
        <v>194</v>
      </c>
      <c r="N775" s="0" t="n">
        <v>0</v>
      </c>
      <c r="Q775" s="0" t="n">
        <v>0</v>
      </c>
      <c r="S775" s="0" t="n">
        <v>0</v>
      </c>
      <c r="U775" s="22" t="b">
        <f aca="false">FALSE()</f>
        <v>0</v>
      </c>
      <c r="V775" s="0" t="n">
        <v>0.73</v>
      </c>
      <c r="W775" s="0" t="n">
        <v>0.96</v>
      </c>
      <c r="X775" s="0" t="n">
        <v>7.22</v>
      </c>
      <c r="Y775" s="0" t="n">
        <v>336.1</v>
      </c>
      <c r="Z775" s="0" t="n">
        <v>8</v>
      </c>
      <c r="AA775" s="0" t="n">
        <v>-1.24</v>
      </c>
      <c r="AB775" s="0" t="n">
        <v>64.38</v>
      </c>
      <c r="AC775" s="22" t="b">
        <f aca="false">FALSE()</f>
        <v>0</v>
      </c>
      <c r="AD775" s="0" t="n">
        <v>9.53</v>
      </c>
      <c r="AE775" s="0" t="n">
        <v>0.31</v>
      </c>
      <c r="AF775" s="0" t="n">
        <v>19.95</v>
      </c>
      <c r="AG775" s="22" t="b">
        <f aca="false">FALSE()</f>
        <v>0</v>
      </c>
      <c r="AH775" s="0" t="n">
        <v>1</v>
      </c>
    </row>
    <row r="776" customFormat="false" ht="15" hidden="false" customHeight="false" outlineLevel="0" collapsed="false">
      <c r="A776" s="0" t="s">
        <v>1286</v>
      </c>
      <c r="B776" s="0" t="s">
        <v>134</v>
      </c>
      <c r="C776" s="0" t="s">
        <v>3447</v>
      </c>
      <c r="D776" s="0" t="s">
        <v>3457</v>
      </c>
      <c r="E776" s="19" t="s">
        <v>26</v>
      </c>
      <c r="F776" s="19" t="s">
        <v>32</v>
      </c>
      <c r="G776" s="21" t="s">
        <v>1926</v>
      </c>
      <c r="H776" s="21" t="s">
        <v>24</v>
      </c>
      <c r="I776" s="21" t="s">
        <v>26</v>
      </c>
      <c r="J776" s="21" t="s">
        <v>24</v>
      </c>
      <c r="K776" s="21" t="s">
        <v>25</v>
      </c>
      <c r="L776" s="21" t="s">
        <v>24</v>
      </c>
      <c r="M776" s="0" t="n">
        <v>183</v>
      </c>
      <c r="N776" s="0" t="n">
        <v>8</v>
      </c>
      <c r="O776" s="21" t="s">
        <v>4133</v>
      </c>
      <c r="P776" s="21" t="s">
        <v>4547</v>
      </c>
      <c r="Q776" s="0" t="n">
        <v>1</v>
      </c>
      <c r="R776" s="21" t="s">
        <v>69</v>
      </c>
      <c r="S776" s="0" t="n">
        <v>8</v>
      </c>
      <c r="T776" s="21" t="s">
        <v>4133</v>
      </c>
      <c r="U776" s="22" t="b">
        <f aca="false">FALSE()</f>
        <v>0</v>
      </c>
      <c r="V776" s="0" t="n">
        <v>0.7</v>
      </c>
      <c r="W776" s="0" t="n">
        <v>0</v>
      </c>
      <c r="X776" s="0" t="n">
        <v>5.78</v>
      </c>
      <c r="Y776" s="0" t="n">
        <v>0.88</v>
      </c>
      <c r="Z776" s="0" t="n">
        <v>8</v>
      </c>
      <c r="AA776" s="0" t="n">
        <v>2.08</v>
      </c>
      <c r="AB776" s="0" t="n">
        <v>4.42</v>
      </c>
      <c r="AC776" s="22" t="b">
        <f aca="false">FALSE()</f>
        <v>0</v>
      </c>
      <c r="AD776" s="0" t="n">
        <v>23.62</v>
      </c>
      <c r="AE776" s="0" t="n">
        <v>1.07</v>
      </c>
      <c r="AF776" s="0" t="n">
        <v>15.53</v>
      </c>
      <c r="AG776" s="22" t="b">
        <f aca="false">TRUE()</f>
        <v>1</v>
      </c>
      <c r="AH776" s="0" t="n">
        <v>0</v>
      </c>
    </row>
    <row r="777" customFormat="false" ht="15" hidden="false" customHeight="false" outlineLevel="0" collapsed="false">
      <c r="A777" s="0" t="s">
        <v>1286</v>
      </c>
      <c r="B777" s="0" t="s">
        <v>134</v>
      </c>
      <c r="C777" s="0" t="s">
        <v>3447</v>
      </c>
      <c r="D777" s="0" t="s">
        <v>3448</v>
      </c>
      <c r="E777" s="19" t="s">
        <v>26</v>
      </c>
      <c r="F777" s="19" t="s">
        <v>32</v>
      </c>
      <c r="G777" s="21" t="s">
        <v>1926</v>
      </c>
      <c r="H777" s="21" t="s">
        <v>24</v>
      </c>
      <c r="I777" s="21" t="s">
        <v>26</v>
      </c>
      <c r="J777" s="21" t="s">
        <v>24</v>
      </c>
      <c r="K777" s="21" t="s">
        <v>25</v>
      </c>
      <c r="L777" s="21" t="s">
        <v>24</v>
      </c>
      <c r="M777" s="0" t="n">
        <v>183</v>
      </c>
      <c r="N777" s="0" t="n">
        <v>9</v>
      </c>
      <c r="O777" s="21" t="s">
        <v>4042</v>
      </c>
      <c r="P777" s="21" t="s">
        <v>4471</v>
      </c>
      <c r="Q777" s="0" t="n">
        <v>1</v>
      </c>
      <c r="R777" s="21" t="s">
        <v>69</v>
      </c>
      <c r="S777" s="0" t="n">
        <v>9</v>
      </c>
      <c r="T777" s="21" t="s">
        <v>4042</v>
      </c>
      <c r="U777" s="22" t="b">
        <f aca="false">FALSE()</f>
        <v>0</v>
      </c>
      <c r="V777" s="0" t="n">
        <v>0.74</v>
      </c>
      <c r="W777" s="0" t="n">
        <v>0.52</v>
      </c>
      <c r="X777" s="0" t="n">
        <v>8.34</v>
      </c>
      <c r="Y777" s="0" t="n">
        <v>328.34</v>
      </c>
      <c r="Z777" s="0" t="n">
        <v>8.5</v>
      </c>
      <c r="AA777" s="0" t="n">
        <v>0.51</v>
      </c>
      <c r="AB777" s="0" t="n">
        <v>64.38</v>
      </c>
      <c r="AC777" s="22" t="b">
        <f aca="false">FALSE()</f>
        <v>0</v>
      </c>
      <c r="AD777" s="0" t="n">
        <v>27.61</v>
      </c>
      <c r="AE777" s="0" t="n">
        <v>4.35</v>
      </c>
      <c r="AF777" s="0" t="n">
        <v>30.87</v>
      </c>
      <c r="AG777" s="22" t="b">
        <f aca="false">TRUE()</f>
        <v>1</v>
      </c>
      <c r="AH777" s="0" t="n">
        <v>1</v>
      </c>
    </row>
    <row r="778" customFormat="false" ht="15" hidden="false" customHeight="false" outlineLevel="0" collapsed="false">
      <c r="A778" s="0" t="s">
        <v>1302</v>
      </c>
      <c r="B778" s="0" t="s">
        <v>134</v>
      </c>
      <c r="C778" s="0" t="s">
        <v>3450</v>
      </c>
      <c r="D778" s="0" t="s">
        <v>3457</v>
      </c>
      <c r="E778" s="20" t="s">
        <v>25</v>
      </c>
      <c r="F778" s="23" t="s">
        <v>30</v>
      </c>
      <c r="G778" s="21" t="s">
        <v>283</v>
      </c>
      <c r="H778" s="21" t="s">
        <v>24</v>
      </c>
      <c r="I778" s="21" t="s">
        <v>25</v>
      </c>
      <c r="J778" s="21" t="s">
        <v>24</v>
      </c>
      <c r="K778" s="21" t="s">
        <v>24</v>
      </c>
      <c r="L778" s="21" t="s">
        <v>24</v>
      </c>
      <c r="M778" s="0" t="n">
        <v>187</v>
      </c>
      <c r="N778" s="0" t="n">
        <v>3</v>
      </c>
      <c r="O778" s="21" t="s">
        <v>3649</v>
      </c>
      <c r="P778" s="21" t="s">
        <v>4242</v>
      </c>
      <c r="Q778" s="0" t="n">
        <v>1</v>
      </c>
      <c r="R778" s="21" t="s">
        <v>69</v>
      </c>
      <c r="S778" s="0" t="n">
        <v>3</v>
      </c>
      <c r="T778" s="21" t="s">
        <v>3649</v>
      </c>
      <c r="U778" s="22" t="b">
        <f aca="false">TRUE()</f>
        <v>1</v>
      </c>
      <c r="V778" s="0" t="n">
        <v>0.68</v>
      </c>
      <c r="W778" s="0" t="n">
        <v>0.48</v>
      </c>
      <c r="X778" s="0" t="n">
        <v>10</v>
      </c>
      <c r="Y778" s="0" t="n">
        <v>332.43</v>
      </c>
      <c r="Z778" s="0" t="n">
        <v>9.75</v>
      </c>
      <c r="AA778" s="0" t="n">
        <v>16.74</v>
      </c>
      <c r="AB778" s="0" t="n">
        <v>2.44</v>
      </c>
      <c r="AC778" s="22" t="b">
        <f aca="false">FALSE()</f>
        <v>0</v>
      </c>
      <c r="AD778" s="0" t="n">
        <v>12.82</v>
      </c>
      <c r="AE778" s="0" t="n">
        <v>0.16</v>
      </c>
      <c r="AF778" s="0" t="n">
        <v>9.65</v>
      </c>
      <c r="AG778" s="22" t="b">
        <f aca="false">TRUE()</f>
        <v>1</v>
      </c>
      <c r="AH778" s="0" t="n">
        <v>1</v>
      </c>
    </row>
    <row r="779" customFormat="false" ht="15" hidden="false" customHeight="false" outlineLevel="0" collapsed="false">
      <c r="A779" s="0" t="s">
        <v>1302</v>
      </c>
      <c r="B779" s="0" t="s">
        <v>134</v>
      </c>
      <c r="C779" s="0" t="s">
        <v>3450</v>
      </c>
      <c r="D779" s="0" t="s">
        <v>3448</v>
      </c>
      <c r="E779" s="20" t="s">
        <v>25</v>
      </c>
      <c r="F779" s="20" t="s">
        <v>29</v>
      </c>
      <c r="G779" s="21" t="s">
        <v>3451</v>
      </c>
      <c r="H779" s="21" t="s">
        <v>24</v>
      </c>
      <c r="I779" s="21" t="s">
        <v>24</v>
      </c>
      <c r="J779" s="21" t="s">
        <v>24</v>
      </c>
      <c r="K779" s="21" t="s">
        <v>25</v>
      </c>
      <c r="L779" s="21" t="s">
        <v>24</v>
      </c>
      <c r="M779" s="0" t="n">
        <v>184</v>
      </c>
      <c r="N779" s="0" t="n">
        <v>0</v>
      </c>
      <c r="Q779" s="0" t="n">
        <v>0</v>
      </c>
      <c r="S779" s="0" t="n">
        <v>0</v>
      </c>
      <c r="U779" s="22" t="b">
        <f aca="false">FALSE()</f>
        <v>0</v>
      </c>
      <c r="V779" s="0" t="n">
        <v>0.74</v>
      </c>
      <c r="W779" s="0" t="n">
        <v>0.88</v>
      </c>
      <c r="X779" s="0" t="n">
        <v>8.22</v>
      </c>
      <c r="Y779" s="0" t="n">
        <v>320.32</v>
      </c>
      <c r="Z779" s="0" t="n">
        <v>9.58</v>
      </c>
      <c r="AA779" s="0" t="n">
        <v>0.61</v>
      </c>
      <c r="AB779" s="0" t="n">
        <v>0.84</v>
      </c>
      <c r="AC779" s="22" t="b">
        <f aca="false">TRUE()</f>
        <v>1</v>
      </c>
      <c r="AD779" s="0" t="n">
        <v>0.66</v>
      </c>
      <c r="AE779" s="0" t="n">
        <v>0.17</v>
      </c>
      <c r="AF779" s="0" t="n">
        <v>1.59</v>
      </c>
      <c r="AG779" s="22" t="b">
        <f aca="false">FALSE()</f>
        <v>0</v>
      </c>
      <c r="AH779" s="0" t="n">
        <v>1</v>
      </c>
    </row>
    <row r="780" customFormat="false" ht="15" hidden="false" customHeight="false" outlineLevel="0" collapsed="false">
      <c r="A780" s="0" t="s">
        <v>1302</v>
      </c>
      <c r="B780" s="0" t="s">
        <v>134</v>
      </c>
      <c r="C780" s="0" t="s">
        <v>3447</v>
      </c>
      <c r="D780" s="0" t="s">
        <v>3457</v>
      </c>
      <c r="E780" s="18" t="s">
        <v>24</v>
      </c>
      <c r="F780" s="23" t="s">
        <v>30</v>
      </c>
      <c r="G780" s="21" t="s">
        <v>30</v>
      </c>
      <c r="H780" s="21" t="s">
        <v>24</v>
      </c>
      <c r="I780" s="21" t="s">
        <v>24</v>
      </c>
      <c r="J780" s="21" t="s">
        <v>24</v>
      </c>
      <c r="K780" s="21" t="s">
        <v>24</v>
      </c>
      <c r="L780" s="21" t="s">
        <v>24</v>
      </c>
      <c r="M780" s="0" t="n">
        <v>184</v>
      </c>
      <c r="N780" s="0" t="n">
        <v>5</v>
      </c>
      <c r="O780" s="21" t="s">
        <v>3728</v>
      </c>
      <c r="P780" s="21" t="s">
        <v>4548</v>
      </c>
      <c r="Q780" s="0" t="n">
        <v>0</v>
      </c>
      <c r="S780" s="0" t="n">
        <v>5</v>
      </c>
      <c r="T780" s="21" t="s">
        <v>3728</v>
      </c>
      <c r="U780" s="22" t="b">
        <f aca="false">TRUE()</f>
        <v>1</v>
      </c>
      <c r="V780" s="0" t="n">
        <v>0.71</v>
      </c>
      <c r="W780" s="0" t="n">
        <v>0</v>
      </c>
      <c r="X780" s="0" t="n">
        <v>9.01</v>
      </c>
      <c r="Y780" s="0" t="n">
        <v>685.3</v>
      </c>
      <c r="Z780" s="0" t="n">
        <v>9.75</v>
      </c>
      <c r="AA780" s="0" t="n">
        <v>15.31</v>
      </c>
      <c r="AB780" s="0" t="n">
        <v>2.44</v>
      </c>
      <c r="AC780" s="22" t="b">
        <f aca="false">FALSE()</f>
        <v>0</v>
      </c>
      <c r="AD780" s="0" t="n">
        <v>10.2</v>
      </c>
      <c r="AE780" s="0" t="n">
        <v>1.06</v>
      </c>
      <c r="AF780" s="0" t="n">
        <v>8.57</v>
      </c>
      <c r="AG780" s="22" t="b">
        <f aca="false">TRUE()</f>
        <v>1</v>
      </c>
      <c r="AH780" s="0" t="n">
        <v>1</v>
      </c>
    </row>
    <row r="781" customFormat="false" ht="15" hidden="false" customHeight="false" outlineLevel="0" collapsed="false">
      <c r="A781" s="0" t="s">
        <v>1302</v>
      </c>
      <c r="B781" s="0" t="s">
        <v>134</v>
      </c>
      <c r="C781" s="0" t="s">
        <v>3447</v>
      </c>
      <c r="D781" s="0" t="s">
        <v>3448</v>
      </c>
      <c r="E781" s="19" t="s">
        <v>26</v>
      </c>
      <c r="F781" s="19" t="s">
        <v>32</v>
      </c>
      <c r="G781" s="21" t="s">
        <v>3879</v>
      </c>
      <c r="H781" s="21" t="s">
        <v>24</v>
      </c>
      <c r="I781" s="21" t="s">
        <v>26</v>
      </c>
      <c r="J781" s="21" t="s">
        <v>24</v>
      </c>
      <c r="K781" s="21" t="s">
        <v>25</v>
      </c>
      <c r="L781" s="21" t="s">
        <v>24</v>
      </c>
      <c r="M781" s="0" t="n">
        <v>184</v>
      </c>
      <c r="N781" s="0" t="n">
        <v>8</v>
      </c>
      <c r="O781" s="21" t="s">
        <v>3967</v>
      </c>
      <c r="P781" s="21" t="s">
        <v>4549</v>
      </c>
      <c r="Q781" s="0" t="n">
        <v>0</v>
      </c>
      <c r="S781" s="0" t="n">
        <v>8</v>
      </c>
      <c r="T781" s="21" t="s">
        <v>3967</v>
      </c>
      <c r="U781" s="22" t="b">
        <f aca="false">FALSE()</f>
        <v>0</v>
      </c>
      <c r="V781" s="0" t="n">
        <v>0.71</v>
      </c>
      <c r="W781" s="0" t="n">
        <v>0.92</v>
      </c>
      <c r="X781" s="0" t="n">
        <v>9.72</v>
      </c>
      <c r="Y781" s="0" t="n">
        <v>318.03</v>
      </c>
      <c r="Z781" s="0" t="n">
        <v>9.5</v>
      </c>
      <c r="AA781" s="0" t="n">
        <v>1.62</v>
      </c>
      <c r="AB781" s="0" t="n">
        <v>0.84</v>
      </c>
      <c r="AC781" s="22" t="b">
        <f aca="false">FALSE()</f>
        <v>0</v>
      </c>
      <c r="AD781" s="0" t="n">
        <v>0.5</v>
      </c>
      <c r="AE781" s="0" t="n">
        <v>0.14</v>
      </c>
      <c r="AF781" s="0" t="n">
        <v>1.29</v>
      </c>
      <c r="AG781" s="22" t="b">
        <f aca="false">FALSE()</f>
        <v>0</v>
      </c>
      <c r="AH781" s="0" t="n">
        <v>1</v>
      </c>
    </row>
    <row r="782" customFormat="false" ht="15" hidden="false" customHeight="false" outlineLevel="0" collapsed="false">
      <c r="A782" s="0" t="s">
        <v>1308</v>
      </c>
      <c r="B782" s="0" t="s">
        <v>134</v>
      </c>
      <c r="C782" s="0" t="s">
        <v>3450</v>
      </c>
      <c r="D782" s="0" t="s">
        <v>3457</v>
      </c>
      <c r="E782" s="20" t="s">
        <v>25</v>
      </c>
      <c r="F782" s="20" t="s">
        <v>29</v>
      </c>
      <c r="G782" s="21" t="s">
        <v>64</v>
      </c>
      <c r="H782" s="21" t="s">
        <v>24</v>
      </c>
      <c r="I782" s="21" t="s">
        <v>24</v>
      </c>
      <c r="J782" s="21" t="s">
        <v>24</v>
      </c>
      <c r="K782" s="21" t="s">
        <v>25</v>
      </c>
      <c r="L782" s="21" t="s">
        <v>24</v>
      </c>
      <c r="M782" s="0" t="n">
        <v>187</v>
      </c>
      <c r="N782" s="0" t="n">
        <v>0</v>
      </c>
      <c r="Q782" s="0" t="n">
        <v>0</v>
      </c>
      <c r="S782" s="0" t="n">
        <v>0</v>
      </c>
      <c r="U782" s="22" t="b">
        <f aca="false">FALSE()</f>
        <v>0</v>
      </c>
      <c r="V782" s="0" t="n">
        <v>0.73</v>
      </c>
      <c r="W782" s="0" t="n">
        <v>0.88</v>
      </c>
      <c r="X782" s="0" t="n">
        <v>7.57</v>
      </c>
      <c r="Y782" s="0" t="n">
        <v>323.53</v>
      </c>
      <c r="Z782" s="0" t="n">
        <v>10.83</v>
      </c>
      <c r="AA782" s="0" t="n">
        <v>4.97</v>
      </c>
      <c r="AB782" s="0" t="n">
        <v>0.81</v>
      </c>
      <c r="AC782" s="22" t="b">
        <f aca="false">FALSE()</f>
        <v>0</v>
      </c>
      <c r="AD782" s="0" t="n">
        <v>12.51</v>
      </c>
      <c r="AE782" s="0" t="n">
        <v>0.55</v>
      </c>
      <c r="AF782" s="0" t="n">
        <v>11.82</v>
      </c>
      <c r="AG782" s="22" t="b">
        <f aca="false">TRUE()</f>
        <v>1</v>
      </c>
      <c r="AH782" s="0" t="n">
        <v>1</v>
      </c>
    </row>
    <row r="783" customFormat="false" ht="15" hidden="false" customHeight="false" outlineLevel="0" collapsed="false">
      <c r="A783" s="0" t="s">
        <v>1308</v>
      </c>
      <c r="B783" s="0" t="s">
        <v>134</v>
      </c>
      <c r="C783" s="0" t="s">
        <v>3450</v>
      </c>
      <c r="D783" s="0" t="s">
        <v>3448</v>
      </c>
      <c r="E783" s="18" t="s">
        <v>24</v>
      </c>
      <c r="F783" s="18" t="s">
        <v>28</v>
      </c>
      <c r="H783" s="21" t="s">
        <v>24</v>
      </c>
      <c r="I783" s="21" t="s">
        <v>24</v>
      </c>
      <c r="J783" s="21" t="s">
        <v>24</v>
      </c>
      <c r="K783" s="21" t="s">
        <v>24</v>
      </c>
      <c r="L783" s="21" t="s">
        <v>24</v>
      </c>
      <c r="M783" s="0" t="n">
        <v>193</v>
      </c>
      <c r="N783" s="0" t="n">
        <v>0</v>
      </c>
      <c r="Q783" s="0" t="n">
        <v>0</v>
      </c>
      <c r="S783" s="0" t="n">
        <v>0</v>
      </c>
      <c r="U783" s="22" t="b">
        <f aca="false">FALSE()</f>
        <v>0</v>
      </c>
      <c r="V783" s="0" t="n">
        <v>0.74</v>
      </c>
      <c r="W783" s="0" t="n">
        <v>0.36</v>
      </c>
      <c r="X783" s="0" t="n">
        <v>7.86</v>
      </c>
      <c r="Y783" s="0" t="n">
        <v>400.41</v>
      </c>
      <c r="Z783" s="0" t="n">
        <v>10.75</v>
      </c>
      <c r="AA783" s="0" t="n">
        <v>6.24</v>
      </c>
      <c r="AB783" s="0" t="n">
        <v>2.1</v>
      </c>
      <c r="AC783" s="22" t="b">
        <f aca="false">FALSE()</f>
        <v>0</v>
      </c>
      <c r="AD783" s="0" t="n">
        <v>10.9</v>
      </c>
      <c r="AE783" s="0" t="n">
        <v>1.21</v>
      </c>
      <c r="AF783" s="0" t="n">
        <v>13.14</v>
      </c>
      <c r="AG783" s="22" t="b">
        <f aca="false">TRUE()</f>
        <v>1</v>
      </c>
      <c r="AH783" s="0" t="n">
        <v>1</v>
      </c>
    </row>
    <row r="784" customFormat="false" ht="15" hidden="false" customHeight="false" outlineLevel="0" collapsed="false">
      <c r="A784" s="0" t="s">
        <v>1308</v>
      </c>
      <c r="B784" s="0" t="s">
        <v>134</v>
      </c>
      <c r="C784" s="0" t="s">
        <v>3447</v>
      </c>
      <c r="D784" s="0" t="s">
        <v>3457</v>
      </c>
      <c r="E784" s="19" t="s">
        <v>26</v>
      </c>
      <c r="F784" s="19" t="s">
        <v>32</v>
      </c>
      <c r="G784" s="21" t="s">
        <v>1311</v>
      </c>
      <c r="H784" s="21" t="s">
        <v>24</v>
      </c>
      <c r="I784" s="21" t="s">
        <v>26</v>
      </c>
      <c r="J784" s="21" t="s">
        <v>24</v>
      </c>
      <c r="K784" s="21" t="s">
        <v>25</v>
      </c>
      <c r="L784" s="21" t="s">
        <v>24</v>
      </c>
      <c r="M784" s="0" t="n">
        <v>186</v>
      </c>
      <c r="N784" s="0" t="n">
        <v>8</v>
      </c>
      <c r="O784" s="21" t="s">
        <v>4028</v>
      </c>
      <c r="P784" s="21" t="s">
        <v>4393</v>
      </c>
      <c r="Q784" s="0" t="n">
        <v>1</v>
      </c>
      <c r="R784" s="21" t="s">
        <v>69</v>
      </c>
      <c r="S784" s="0" t="n">
        <v>8</v>
      </c>
      <c r="T784" s="21" t="s">
        <v>4028</v>
      </c>
      <c r="U784" s="22" t="b">
        <f aca="false">FALSE()</f>
        <v>0</v>
      </c>
      <c r="V784" s="0" t="n">
        <v>0.74</v>
      </c>
      <c r="W784" s="0" t="n">
        <v>0.52</v>
      </c>
      <c r="X784" s="0" t="n">
        <v>8.58</v>
      </c>
      <c r="Y784" s="0" t="n">
        <v>331.6</v>
      </c>
      <c r="Z784" s="0" t="n">
        <v>9.5</v>
      </c>
      <c r="AA784" s="0" t="n">
        <v>0.63</v>
      </c>
      <c r="AB784" s="0" t="n">
        <v>0.81</v>
      </c>
      <c r="AC784" s="22" t="b">
        <f aca="false">FALSE()</f>
        <v>0</v>
      </c>
      <c r="AD784" s="0" t="n">
        <v>8.65</v>
      </c>
      <c r="AE784" s="0" t="n">
        <v>0.88</v>
      </c>
      <c r="AF784" s="0" t="n">
        <v>8.95</v>
      </c>
      <c r="AG784" s="22" t="b">
        <f aca="false">FALSE()</f>
        <v>0</v>
      </c>
      <c r="AH784" s="0" t="n">
        <v>1</v>
      </c>
    </row>
    <row r="785" customFormat="false" ht="15" hidden="false" customHeight="false" outlineLevel="0" collapsed="false">
      <c r="A785" s="0" t="s">
        <v>1308</v>
      </c>
      <c r="B785" s="0" t="s">
        <v>134</v>
      </c>
      <c r="C785" s="0" t="s">
        <v>3447</v>
      </c>
      <c r="D785" s="0" t="s">
        <v>3448</v>
      </c>
      <c r="E785" s="19" t="s">
        <v>26</v>
      </c>
      <c r="F785" s="19" t="s">
        <v>32</v>
      </c>
      <c r="G785" s="21" t="s">
        <v>529</v>
      </c>
      <c r="H785" s="21" t="s">
        <v>24</v>
      </c>
      <c r="I785" s="21" t="s">
        <v>26</v>
      </c>
      <c r="J785" s="21" t="s">
        <v>24</v>
      </c>
      <c r="K785" s="21" t="s">
        <v>24</v>
      </c>
      <c r="L785" s="21" t="s">
        <v>24</v>
      </c>
      <c r="M785" s="0" t="n">
        <v>183</v>
      </c>
      <c r="N785" s="0" t="n">
        <v>10</v>
      </c>
      <c r="O785" s="21" t="s">
        <v>4060</v>
      </c>
      <c r="P785" s="21" t="s">
        <v>4282</v>
      </c>
      <c r="Q785" s="0" t="n">
        <v>1</v>
      </c>
      <c r="R785" s="21" t="s">
        <v>69</v>
      </c>
      <c r="S785" s="0" t="n">
        <v>10</v>
      </c>
      <c r="T785" s="21" t="s">
        <v>4060</v>
      </c>
      <c r="U785" s="22" t="b">
        <f aca="false">FALSE()</f>
        <v>0</v>
      </c>
      <c r="V785" s="0" t="n">
        <v>0.73</v>
      </c>
      <c r="W785" s="0" t="n">
        <v>0.28</v>
      </c>
      <c r="X785" s="0" t="n">
        <v>8.28</v>
      </c>
      <c r="Y785" s="0" t="n">
        <v>432.98</v>
      </c>
      <c r="Z785" s="0" t="n">
        <v>10.25</v>
      </c>
      <c r="AA785" s="0" t="n">
        <v>2.64</v>
      </c>
      <c r="AB785" s="0" t="n">
        <v>2.1</v>
      </c>
      <c r="AC785" s="22" t="b">
        <f aca="false">FALSE()</f>
        <v>0</v>
      </c>
      <c r="AD785" s="0" t="n">
        <v>10.91</v>
      </c>
      <c r="AE785" s="0" t="n">
        <v>0.28</v>
      </c>
      <c r="AF785" s="0" t="n">
        <v>12.05</v>
      </c>
      <c r="AG785" s="22" t="b">
        <f aca="false">TRUE()</f>
        <v>1</v>
      </c>
      <c r="AH785" s="0" t="n">
        <v>1</v>
      </c>
    </row>
    <row r="786" customFormat="false" ht="15" hidden="false" customHeight="false" outlineLevel="0" collapsed="false">
      <c r="A786" s="0" t="s">
        <v>1314</v>
      </c>
      <c r="B786" s="0" t="s">
        <v>134</v>
      </c>
      <c r="C786" s="0" t="s">
        <v>3450</v>
      </c>
      <c r="D786" s="0" t="s">
        <v>3457</v>
      </c>
      <c r="E786" s="18" t="s">
        <v>24</v>
      </c>
      <c r="F786" s="18" t="s">
        <v>28</v>
      </c>
      <c r="H786" s="21" t="s">
        <v>24</v>
      </c>
      <c r="I786" s="21" t="s">
        <v>24</v>
      </c>
      <c r="J786" s="21" t="s">
        <v>24</v>
      </c>
      <c r="K786" s="21" t="s">
        <v>24</v>
      </c>
      <c r="L786" s="21" t="s">
        <v>24</v>
      </c>
      <c r="M786" s="0" t="n">
        <v>183</v>
      </c>
      <c r="N786" s="0" t="n">
        <v>0</v>
      </c>
      <c r="Q786" s="0" t="n">
        <v>0</v>
      </c>
      <c r="S786" s="0" t="n">
        <v>0</v>
      </c>
      <c r="U786" s="22" t="b">
        <f aca="false">FALSE()</f>
        <v>0</v>
      </c>
      <c r="V786" s="0" t="n">
        <v>0.63</v>
      </c>
      <c r="W786" s="0" t="n">
        <v>0.56</v>
      </c>
      <c r="X786" s="0" t="n">
        <v>5.7</v>
      </c>
      <c r="Y786" s="0" t="n">
        <v>321.78</v>
      </c>
      <c r="Z786" s="0" t="n">
        <v>10.25</v>
      </c>
      <c r="AA786" s="0" t="n">
        <v>7.97</v>
      </c>
      <c r="AB786" s="0" t="n">
        <v>2.19</v>
      </c>
      <c r="AC786" s="22" t="b">
        <f aca="false">FALSE()</f>
        <v>0</v>
      </c>
      <c r="AD786" s="0" t="n">
        <v>5.28</v>
      </c>
      <c r="AE786" s="0" t="n">
        <v>0.28</v>
      </c>
      <c r="AF786" s="0" t="n">
        <v>9.68</v>
      </c>
      <c r="AG786" s="22" t="b">
        <f aca="false">FALSE()</f>
        <v>0</v>
      </c>
      <c r="AH786" s="0" t="n">
        <v>1</v>
      </c>
    </row>
    <row r="787" customFormat="false" ht="15" hidden="false" customHeight="false" outlineLevel="0" collapsed="false">
      <c r="A787" s="0" t="s">
        <v>1314</v>
      </c>
      <c r="B787" s="0" t="s">
        <v>134</v>
      </c>
      <c r="C787" s="0" t="s">
        <v>3450</v>
      </c>
      <c r="D787" s="0" t="s">
        <v>3448</v>
      </c>
      <c r="E787" s="20" t="s">
        <v>25</v>
      </c>
      <c r="F787" s="23" t="s">
        <v>30</v>
      </c>
      <c r="G787" s="21" t="s">
        <v>1099</v>
      </c>
      <c r="H787" s="21" t="s">
        <v>24</v>
      </c>
      <c r="I787" s="21" t="s">
        <v>25</v>
      </c>
      <c r="J787" s="21" t="s">
        <v>24</v>
      </c>
      <c r="K787" s="21" t="s">
        <v>25</v>
      </c>
      <c r="L787" s="21" t="s">
        <v>24</v>
      </c>
      <c r="M787" s="0" t="n">
        <v>183</v>
      </c>
      <c r="N787" s="0" t="n">
        <v>1</v>
      </c>
      <c r="O787" s="21" t="s">
        <v>69</v>
      </c>
      <c r="P787" s="21" t="s">
        <v>4275</v>
      </c>
      <c r="Q787" s="0" t="n">
        <v>1</v>
      </c>
      <c r="R787" s="21" t="s">
        <v>69</v>
      </c>
      <c r="S787" s="0" t="n">
        <v>1</v>
      </c>
      <c r="T787" s="21" t="s">
        <v>69</v>
      </c>
      <c r="U787" s="22" t="b">
        <f aca="false">TRUE()</f>
        <v>1</v>
      </c>
      <c r="V787" s="0" t="n">
        <v>0.63</v>
      </c>
      <c r="W787" s="0" t="n">
        <v>0.92</v>
      </c>
      <c r="X787" s="0" t="n">
        <v>6.04</v>
      </c>
      <c r="Y787" s="0" t="n">
        <v>318.42</v>
      </c>
      <c r="Z787" s="0" t="n">
        <v>10.5</v>
      </c>
      <c r="AA787" s="0" t="n">
        <v>5.02</v>
      </c>
      <c r="AB787" s="0" t="n">
        <v>0.92</v>
      </c>
      <c r="AC787" s="22" t="b">
        <f aca="false">FALSE()</f>
        <v>0</v>
      </c>
      <c r="AD787" s="0" t="n">
        <v>4.8</v>
      </c>
      <c r="AE787" s="0" t="n">
        <v>0.99</v>
      </c>
      <c r="AF787" s="0" t="n">
        <v>10.23</v>
      </c>
      <c r="AG787" s="22" t="b">
        <f aca="false">FALSE()</f>
        <v>0</v>
      </c>
      <c r="AH787" s="0" t="n">
        <v>1</v>
      </c>
    </row>
    <row r="788" customFormat="false" ht="15" hidden="false" customHeight="false" outlineLevel="0" collapsed="false">
      <c r="A788" s="0" t="s">
        <v>1314</v>
      </c>
      <c r="B788" s="0" t="s">
        <v>134</v>
      </c>
      <c r="C788" s="0" t="s">
        <v>3447</v>
      </c>
      <c r="D788" s="0" t="s">
        <v>3457</v>
      </c>
      <c r="E788" s="18" t="s">
        <v>24</v>
      </c>
      <c r="F788" s="23" t="s">
        <v>30</v>
      </c>
      <c r="G788" s="21" t="s">
        <v>30</v>
      </c>
      <c r="H788" s="21" t="s">
        <v>24</v>
      </c>
      <c r="I788" s="21" t="s">
        <v>24</v>
      </c>
      <c r="J788" s="21" t="s">
        <v>24</v>
      </c>
      <c r="K788" s="21" t="s">
        <v>24</v>
      </c>
      <c r="L788" s="21" t="s">
        <v>24</v>
      </c>
      <c r="M788" s="0" t="n">
        <v>183</v>
      </c>
      <c r="N788" s="0" t="n">
        <v>2</v>
      </c>
      <c r="O788" s="21" t="s">
        <v>3505</v>
      </c>
      <c r="P788" s="21" t="s">
        <v>4426</v>
      </c>
      <c r="Q788" s="0" t="n">
        <v>0</v>
      </c>
      <c r="S788" s="0" t="n">
        <v>2</v>
      </c>
      <c r="T788" s="21" t="s">
        <v>3505</v>
      </c>
      <c r="U788" s="22" t="b">
        <f aca="false">TRUE()</f>
        <v>1</v>
      </c>
      <c r="V788" s="0" t="n">
        <v>0.76</v>
      </c>
      <c r="W788" s="0" t="n">
        <v>0.12</v>
      </c>
      <c r="X788" s="0" t="n">
        <v>7.7</v>
      </c>
      <c r="Y788" s="0" t="n">
        <v>615.28</v>
      </c>
      <c r="Z788" s="0" t="n">
        <v>9.83</v>
      </c>
      <c r="AA788" s="0" t="n">
        <v>0.17</v>
      </c>
      <c r="AB788" s="0" t="n">
        <v>2.19</v>
      </c>
      <c r="AC788" s="22" t="b">
        <f aca="false">FALSE()</f>
        <v>0</v>
      </c>
      <c r="AD788" s="0" t="n">
        <v>5.36</v>
      </c>
      <c r="AE788" s="0" t="n">
        <v>0.64</v>
      </c>
      <c r="AF788" s="0" t="n">
        <v>7.53</v>
      </c>
      <c r="AG788" s="22" t="b">
        <f aca="false">FALSE()</f>
        <v>0</v>
      </c>
      <c r="AH788" s="0" t="n">
        <v>1</v>
      </c>
    </row>
    <row r="789" customFormat="false" ht="15" hidden="false" customHeight="false" outlineLevel="0" collapsed="false">
      <c r="A789" s="0" t="s">
        <v>1314</v>
      </c>
      <c r="B789" s="0" t="s">
        <v>134</v>
      </c>
      <c r="C789" s="0" t="s">
        <v>3447</v>
      </c>
      <c r="D789" s="0" t="s">
        <v>3448</v>
      </c>
      <c r="E789" s="20" t="s">
        <v>25</v>
      </c>
      <c r="F789" s="23" t="s">
        <v>30</v>
      </c>
      <c r="G789" s="21" t="s">
        <v>2133</v>
      </c>
      <c r="H789" s="21" t="s">
        <v>24</v>
      </c>
      <c r="I789" s="21" t="s">
        <v>24</v>
      </c>
      <c r="J789" s="21" t="s">
        <v>24</v>
      </c>
      <c r="K789" s="21" t="s">
        <v>25</v>
      </c>
      <c r="L789" s="21" t="s">
        <v>24</v>
      </c>
      <c r="M789" s="0" t="n">
        <v>183</v>
      </c>
      <c r="N789" s="0" t="n">
        <v>4</v>
      </c>
      <c r="O789" s="21" t="s">
        <v>3586</v>
      </c>
      <c r="P789" s="21" t="s">
        <v>4345</v>
      </c>
      <c r="Q789" s="0" t="n">
        <v>0</v>
      </c>
      <c r="S789" s="0" t="n">
        <v>4</v>
      </c>
      <c r="T789" s="21" t="s">
        <v>3586</v>
      </c>
      <c r="U789" s="22" t="b">
        <f aca="false">TRUE()</f>
        <v>1</v>
      </c>
      <c r="V789" s="0" t="n">
        <v>0.85</v>
      </c>
      <c r="W789" s="0" t="n">
        <v>0.28</v>
      </c>
      <c r="X789" s="0" t="n">
        <v>10.63</v>
      </c>
      <c r="Y789" s="0" t="n">
        <v>428.5</v>
      </c>
      <c r="Z789" s="0" t="n">
        <v>11</v>
      </c>
      <c r="AA789" s="0" t="n">
        <v>2.37</v>
      </c>
      <c r="AB789" s="0" t="n">
        <v>0.92</v>
      </c>
      <c r="AC789" s="22" t="b">
        <f aca="false">FALSE()</f>
        <v>0</v>
      </c>
      <c r="AD789" s="0" t="n">
        <v>3.41</v>
      </c>
      <c r="AE789" s="0" t="n">
        <v>0.65</v>
      </c>
      <c r="AF789" s="0" t="n">
        <v>8.18</v>
      </c>
      <c r="AG789" s="22" t="b">
        <f aca="false">FALSE()</f>
        <v>0</v>
      </c>
      <c r="AH789" s="0" t="n">
        <v>1</v>
      </c>
    </row>
    <row r="790" customFormat="false" ht="15" hidden="false" customHeight="false" outlineLevel="0" collapsed="false">
      <c r="A790" s="0" t="s">
        <v>1314</v>
      </c>
      <c r="B790" s="0" t="s">
        <v>3459</v>
      </c>
      <c r="C790" s="0" t="s">
        <v>3450</v>
      </c>
      <c r="D790" s="0" t="s">
        <v>3457</v>
      </c>
      <c r="E790" s="20" t="s">
        <v>25</v>
      </c>
      <c r="F790" s="23" t="s">
        <v>30</v>
      </c>
      <c r="G790" s="21" t="s">
        <v>163</v>
      </c>
      <c r="H790" s="21" t="s">
        <v>24</v>
      </c>
      <c r="I790" s="21" t="s">
        <v>25</v>
      </c>
      <c r="J790" s="21" t="s">
        <v>24</v>
      </c>
      <c r="K790" s="21" t="s">
        <v>25</v>
      </c>
      <c r="L790" s="21" t="s">
        <v>24</v>
      </c>
      <c r="M790" s="0" t="n">
        <v>183</v>
      </c>
      <c r="N790" s="0" t="n">
        <v>3</v>
      </c>
      <c r="O790" s="21" t="s">
        <v>3649</v>
      </c>
      <c r="P790" s="21" t="s">
        <v>4242</v>
      </c>
      <c r="Q790" s="0" t="n">
        <v>1</v>
      </c>
      <c r="R790" s="21" t="s">
        <v>69</v>
      </c>
      <c r="S790" s="0" t="n">
        <v>3</v>
      </c>
      <c r="T790" s="21" t="s">
        <v>3649</v>
      </c>
      <c r="U790" s="22" t="b">
        <f aca="false">TRUE()</f>
        <v>1</v>
      </c>
      <c r="V790" s="0" t="n">
        <v>0.61</v>
      </c>
      <c r="W790" s="0" t="n">
        <v>0.24</v>
      </c>
      <c r="X790" s="0" t="n">
        <v>5.2</v>
      </c>
      <c r="Y790" s="0" t="n">
        <v>460.28</v>
      </c>
      <c r="Z790" s="0" t="n">
        <v>9.75</v>
      </c>
      <c r="AA790" s="0" t="n">
        <v>8.34</v>
      </c>
      <c r="AB790" s="0" t="n">
        <v>0.09</v>
      </c>
      <c r="AC790" s="22" t="b">
        <f aca="false">FALSE()</f>
        <v>0</v>
      </c>
      <c r="AD790" s="0" t="n">
        <v>20.01</v>
      </c>
      <c r="AE790" s="0" t="n">
        <v>8.39</v>
      </c>
      <c r="AF790" s="0" t="n">
        <v>14.67</v>
      </c>
      <c r="AG790" s="22" t="b">
        <f aca="false">TRUE()</f>
        <v>1</v>
      </c>
      <c r="AH790" s="0" t="n">
        <v>1</v>
      </c>
    </row>
    <row r="791" customFormat="false" ht="15" hidden="false" customHeight="false" outlineLevel="0" collapsed="false">
      <c r="A791" s="0" t="s">
        <v>1314</v>
      </c>
      <c r="B791" s="0" t="s">
        <v>3459</v>
      </c>
      <c r="C791" s="0" t="s">
        <v>3450</v>
      </c>
      <c r="D791" s="0" t="s">
        <v>3448</v>
      </c>
      <c r="E791" s="20" t="s">
        <v>25</v>
      </c>
      <c r="F791" s="23" t="s">
        <v>30</v>
      </c>
      <c r="G791" s="21" t="s">
        <v>1099</v>
      </c>
      <c r="H791" s="21" t="s">
        <v>24</v>
      </c>
      <c r="I791" s="21" t="s">
        <v>25</v>
      </c>
      <c r="J791" s="21" t="s">
        <v>24</v>
      </c>
      <c r="K791" s="21" t="s">
        <v>25</v>
      </c>
      <c r="L791" s="21" t="s">
        <v>24</v>
      </c>
      <c r="M791" s="0" t="n">
        <v>185</v>
      </c>
      <c r="N791" s="0" t="n">
        <v>1</v>
      </c>
      <c r="O791" s="21" t="s">
        <v>69</v>
      </c>
      <c r="P791" s="21" t="s">
        <v>4275</v>
      </c>
      <c r="Q791" s="0" t="n">
        <v>1</v>
      </c>
      <c r="R791" s="21" t="s">
        <v>69</v>
      </c>
      <c r="S791" s="0" t="n">
        <v>1</v>
      </c>
      <c r="T791" s="21" t="s">
        <v>69</v>
      </c>
      <c r="U791" s="22" t="b">
        <f aca="false">TRUE()</f>
        <v>1</v>
      </c>
      <c r="V791" s="0" t="n">
        <v>0.57</v>
      </c>
      <c r="W791" s="0" t="n">
        <v>0.72</v>
      </c>
      <c r="X791" s="0" t="n">
        <v>6.62</v>
      </c>
      <c r="Y791" s="0" t="n">
        <v>310.3</v>
      </c>
      <c r="Z791" s="0" t="n">
        <v>9.67</v>
      </c>
      <c r="AA791" s="0" t="n">
        <v>7.04</v>
      </c>
      <c r="AB791" s="0" t="n">
        <v>1.24</v>
      </c>
      <c r="AC791" s="22" t="b">
        <f aca="false">FALSE()</f>
        <v>0</v>
      </c>
      <c r="AD791" s="0" t="n">
        <v>18.04</v>
      </c>
      <c r="AE791" s="0" t="n">
        <v>6.3</v>
      </c>
      <c r="AF791" s="0" t="n">
        <v>12.27</v>
      </c>
      <c r="AG791" s="22" t="b">
        <f aca="false">TRUE()</f>
        <v>1</v>
      </c>
      <c r="AH791" s="0" t="n">
        <v>1</v>
      </c>
    </row>
    <row r="792" customFormat="false" ht="15" hidden="false" customHeight="false" outlineLevel="0" collapsed="false">
      <c r="A792" s="0" t="s">
        <v>1314</v>
      </c>
      <c r="B792" s="0" t="s">
        <v>3459</v>
      </c>
      <c r="C792" s="0" t="s">
        <v>3447</v>
      </c>
      <c r="D792" s="0" t="s">
        <v>3457</v>
      </c>
      <c r="E792" s="20" t="s">
        <v>25</v>
      </c>
      <c r="F792" s="23" t="s">
        <v>30</v>
      </c>
      <c r="G792" s="21" t="s">
        <v>2610</v>
      </c>
      <c r="H792" s="21" t="s">
        <v>24</v>
      </c>
      <c r="I792" s="21" t="s">
        <v>24</v>
      </c>
      <c r="J792" s="21" t="s">
        <v>24</v>
      </c>
      <c r="K792" s="21" t="s">
        <v>25</v>
      </c>
      <c r="L792" s="21" t="s">
        <v>24</v>
      </c>
      <c r="M792" s="0" t="n">
        <v>186</v>
      </c>
      <c r="N792" s="0" t="n">
        <v>2</v>
      </c>
      <c r="O792" s="21" t="s">
        <v>3524</v>
      </c>
      <c r="P792" s="21" t="s">
        <v>4550</v>
      </c>
      <c r="Q792" s="0" t="n">
        <v>0</v>
      </c>
      <c r="S792" s="0" t="n">
        <v>2</v>
      </c>
      <c r="T792" s="21" t="s">
        <v>3524</v>
      </c>
      <c r="U792" s="22" t="b">
        <f aca="false">TRUE()</f>
        <v>1</v>
      </c>
      <c r="V792" s="0" t="n">
        <v>0.77</v>
      </c>
      <c r="W792" s="0" t="n">
        <v>0.88</v>
      </c>
      <c r="X792" s="0" t="n">
        <v>5.52</v>
      </c>
      <c r="Y792" s="0" t="n">
        <v>322.55</v>
      </c>
      <c r="Z792" s="0" t="n">
        <v>8.08</v>
      </c>
      <c r="AA792" s="0" t="n">
        <v>-1.23</v>
      </c>
      <c r="AB792" s="0" t="n">
        <v>0.09</v>
      </c>
      <c r="AC792" s="22" t="b">
        <f aca="false">FALSE()</f>
        <v>0</v>
      </c>
      <c r="AD792" s="0" t="n">
        <v>11.28</v>
      </c>
      <c r="AE792" s="0" t="n">
        <v>3.6</v>
      </c>
      <c r="AF792" s="0" t="n">
        <v>10.29</v>
      </c>
      <c r="AG792" s="22" t="b">
        <f aca="false">TRUE()</f>
        <v>1</v>
      </c>
      <c r="AH792" s="0" t="n">
        <v>1</v>
      </c>
    </row>
    <row r="793" customFormat="false" ht="15" hidden="false" customHeight="false" outlineLevel="0" collapsed="false">
      <c r="A793" s="0" t="s">
        <v>1314</v>
      </c>
      <c r="B793" s="0" t="s">
        <v>3459</v>
      </c>
      <c r="C793" s="0" t="s">
        <v>3447</v>
      </c>
      <c r="D793" s="0" t="s">
        <v>3448</v>
      </c>
      <c r="E793" s="20" t="s">
        <v>25</v>
      </c>
      <c r="F793" s="23" t="s">
        <v>30</v>
      </c>
      <c r="G793" s="21" t="s">
        <v>2133</v>
      </c>
      <c r="H793" s="21" t="s">
        <v>24</v>
      </c>
      <c r="I793" s="21" t="s">
        <v>24</v>
      </c>
      <c r="J793" s="21" t="s">
        <v>24</v>
      </c>
      <c r="K793" s="21" t="s">
        <v>25</v>
      </c>
      <c r="L793" s="21" t="s">
        <v>24</v>
      </c>
      <c r="M793" s="0" t="n">
        <v>183</v>
      </c>
      <c r="N793" s="0" t="n">
        <v>2</v>
      </c>
      <c r="O793" s="21" t="s">
        <v>3519</v>
      </c>
      <c r="P793" s="21" t="s">
        <v>4551</v>
      </c>
      <c r="Q793" s="0" t="n">
        <v>0</v>
      </c>
      <c r="S793" s="0" t="n">
        <v>2</v>
      </c>
      <c r="T793" s="21" t="s">
        <v>3519</v>
      </c>
      <c r="U793" s="22" t="b">
        <f aca="false">TRUE()</f>
        <v>1</v>
      </c>
      <c r="V793" s="0" t="n">
        <v>0.92</v>
      </c>
      <c r="W793" s="0" t="n">
        <v>0.52</v>
      </c>
      <c r="X793" s="0" t="n">
        <v>10.31</v>
      </c>
      <c r="Y793" s="0" t="n">
        <v>296.14</v>
      </c>
      <c r="Z793" s="0" t="n">
        <v>9.5</v>
      </c>
      <c r="AA793" s="0" t="n">
        <v>1.37</v>
      </c>
      <c r="AB793" s="0" t="n">
        <v>1.24</v>
      </c>
      <c r="AC793" s="22" t="b">
        <f aca="false">FALSE()</f>
        <v>0</v>
      </c>
      <c r="AD793" s="0" t="n">
        <v>19.58</v>
      </c>
      <c r="AE793" s="0" t="n">
        <v>7.73</v>
      </c>
      <c r="AF793" s="0" t="n">
        <v>13.66</v>
      </c>
      <c r="AG793" s="22" t="b">
        <f aca="false">TRUE()</f>
        <v>1</v>
      </c>
      <c r="AH793" s="0" t="n">
        <v>1</v>
      </c>
    </row>
    <row r="794" customFormat="false" ht="15" hidden="false" customHeight="false" outlineLevel="0" collapsed="false">
      <c r="A794" s="0" t="s">
        <v>1320</v>
      </c>
      <c r="B794" s="0" t="s">
        <v>134</v>
      </c>
      <c r="C794" s="0" t="s">
        <v>3450</v>
      </c>
      <c r="D794" s="0" t="s">
        <v>3457</v>
      </c>
      <c r="E794" s="18" t="s">
        <v>24</v>
      </c>
      <c r="F794" s="23" t="s">
        <v>30</v>
      </c>
      <c r="G794" s="21" t="s">
        <v>30</v>
      </c>
      <c r="H794" s="21" t="s">
        <v>24</v>
      </c>
      <c r="I794" s="21" t="s">
        <v>24</v>
      </c>
      <c r="J794" s="21" t="s">
        <v>24</v>
      </c>
      <c r="K794" s="21" t="s">
        <v>24</v>
      </c>
      <c r="L794" s="21" t="s">
        <v>24</v>
      </c>
      <c r="M794" s="0" t="n">
        <v>182</v>
      </c>
      <c r="N794" s="0" t="n">
        <v>1</v>
      </c>
      <c r="O794" s="21" t="s">
        <v>3474</v>
      </c>
      <c r="P794" s="21" t="s">
        <v>4272</v>
      </c>
      <c r="Q794" s="0" t="n">
        <v>0</v>
      </c>
      <c r="S794" s="0" t="n">
        <v>1</v>
      </c>
      <c r="T794" s="21" t="s">
        <v>3474</v>
      </c>
      <c r="U794" s="22" t="b">
        <f aca="false">TRUE()</f>
        <v>1</v>
      </c>
      <c r="V794" s="0" t="n">
        <v>0.65</v>
      </c>
      <c r="W794" s="0" t="n">
        <v>0.64</v>
      </c>
      <c r="X794" s="0" t="n">
        <v>13.71</v>
      </c>
      <c r="Y794" s="0" t="n">
        <v>108.04</v>
      </c>
      <c r="Z794" s="0" t="n">
        <v>9.5</v>
      </c>
      <c r="AA794" s="0" t="n">
        <v>7.22</v>
      </c>
      <c r="AB794" s="0" t="n">
        <v>1.75</v>
      </c>
      <c r="AC794" s="22" t="b">
        <f aca="false">FALSE()</f>
        <v>0</v>
      </c>
      <c r="AD794" s="0" t="n">
        <v>13.1</v>
      </c>
      <c r="AE794" s="0" t="n">
        <v>0.32</v>
      </c>
      <c r="AF794" s="0" t="n">
        <v>8.51</v>
      </c>
      <c r="AG794" s="22" t="b">
        <f aca="false">TRUE()</f>
        <v>1</v>
      </c>
      <c r="AH794" s="0" t="n">
        <v>1</v>
      </c>
    </row>
    <row r="795" customFormat="false" ht="15" hidden="false" customHeight="false" outlineLevel="0" collapsed="false">
      <c r="A795" s="0" t="s">
        <v>1320</v>
      </c>
      <c r="B795" s="0" t="s">
        <v>134</v>
      </c>
      <c r="C795" s="0" t="s">
        <v>3450</v>
      </c>
      <c r="D795" s="0" t="s">
        <v>3448</v>
      </c>
      <c r="E795" s="18" t="s">
        <v>24</v>
      </c>
      <c r="F795" s="18" t="s">
        <v>28</v>
      </c>
      <c r="H795" s="21" t="s">
        <v>24</v>
      </c>
      <c r="I795" s="21" t="s">
        <v>24</v>
      </c>
      <c r="J795" s="21" t="s">
        <v>24</v>
      </c>
      <c r="K795" s="21" t="s">
        <v>24</v>
      </c>
      <c r="L795" s="21" t="s">
        <v>24</v>
      </c>
      <c r="M795" s="0" t="n">
        <v>182</v>
      </c>
      <c r="N795" s="0" t="n">
        <v>0</v>
      </c>
      <c r="Q795" s="0" t="n">
        <v>0</v>
      </c>
      <c r="S795" s="0" t="n">
        <v>0</v>
      </c>
      <c r="U795" s="22" t="b">
        <f aca="false">FALSE()</f>
        <v>0</v>
      </c>
      <c r="V795" s="0" t="n">
        <v>0.55</v>
      </c>
      <c r="W795" s="0" t="n">
        <v>0.16</v>
      </c>
      <c r="X795" s="0" t="n">
        <v>17.28</v>
      </c>
      <c r="Y795" s="0" t="n">
        <v>517.99</v>
      </c>
      <c r="Z795" s="0" t="n">
        <v>9.75</v>
      </c>
      <c r="AA795" s="0" t="n">
        <v>8.67</v>
      </c>
      <c r="AB795" s="0" t="n">
        <v>2.86</v>
      </c>
      <c r="AC795" s="22" t="b">
        <f aca="false">FALSE()</f>
        <v>0</v>
      </c>
      <c r="AD795" s="0" t="n">
        <v>17.48</v>
      </c>
      <c r="AE795" s="0" t="n">
        <v>3.81</v>
      </c>
      <c r="AF795" s="0" t="n">
        <v>11.59</v>
      </c>
      <c r="AG795" s="22" t="b">
        <f aca="false">TRUE()</f>
        <v>1</v>
      </c>
      <c r="AH795" s="0" t="n">
        <v>1</v>
      </c>
    </row>
    <row r="796" customFormat="false" ht="15" hidden="false" customHeight="false" outlineLevel="0" collapsed="false">
      <c r="A796" s="0" t="s">
        <v>1320</v>
      </c>
      <c r="B796" s="0" t="s">
        <v>134</v>
      </c>
      <c r="C796" s="0" t="s">
        <v>3447</v>
      </c>
      <c r="D796" s="0" t="s">
        <v>3457</v>
      </c>
      <c r="E796" s="18" t="s">
        <v>24</v>
      </c>
      <c r="F796" s="23" t="s">
        <v>30</v>
      </c>
      <c r="G796" s="21" t="s">
        <v>30</v>
      </c>
      <c r="H796" s="21" t="s">
        <v>24</v>
      </c>
      <c r="I796" s="21" t="s">
        <v>24</v>
      </c>
      <c r="J796" s="21" t="s">
        <v>24</v>
      </c>
      <c r="K796" s="21" t="s">
        <v>24</v>
      </c>
      <c r="L796" s="21" t="s">
        <v>24</v>
      </c>
      <c r="M796" s="0" t="n">
        <v>184</v>
      </c>
      <c r="N796" s="0" t="n">
        <v>3</v>
      </c>
      <c r="O796" s="21" t="s">
        <v>3541</v>
      </c>
      <c r="P796" s="21" t="s">
        <v>4368</v>
      </c>
      <c r="Q796" s="0" t="n">
        <v>0</v>
      </c>
      <c r="S796" s="0" t="n">
        <v>3</v>
      </c>
      <c r="T796" s="21" t="s">
        <v>3541</v>
      </c>
      <c r="U796" s="22" t="b">
        <f aca="false">TRUE()</f>
        <v>1</v>
      </c>
      <c r="V796" s="0" t="n">
        <v>0.79</v>
      </c>
      <c r="W796" s="0" t="n">
        <v>0.68</v>
      </c>
      <c r="X796" s="0" t="n">
        <v>15.08</v>
      </c>
      <c r="Y796" s="0" t="n">
        <v>305.71</v>
      </c>
      <c r="Z796" s="0" t="n">
        <v>9.5</v>
      </c>
      <c r="AA796" s="0" t="n">
        <v>-0.59</v>
      </c>
      <c r="AB796" s="0" t="n">
        <v>1.75</v>
      </c>
      <c r="AC796" s="22" t="b">
        <f aca="false">FALSE()</f>
        <v>0</v>
      </c>
      <c r="AD796" s="0" t="n">
        <v>9.22</v>
      </c>
      <c r="AE796" s="0" t="n">
        <v>0.46</v>
      </c>
      <c r="AF796" s="0" t="n">
        <v>7.74</v>
      </c>
      <c r="AG796" s="22" t="b">
        <f aca="false">FALSE()</f>
        <v>0</v>
      </c>
      <c r="AH796" s="0" t="n">
        <v>1</v>
      </c>
    </row>
    <row r="797" customFormat="false" ht="15" hidden="false" customHeight="false" outlineLevel="0" collapsed="false">
      <c r="A797" s="0" t="s">
        <v>1320</v>
      </c>
      <c r="B797" s="0" t="s">
        <v>134</v>
      </c>
      <c r="C797" s="0" t="s">
        <v>3447</v>
      </c>
      <c r="D797" s="0" t="s">
        <v>3448</v>
      </c>
      <c r="E797" s="18" t="s">
        <v>24</v>
      </c>
      <c r="F797" s="23" t="s">
        <v>30</v>
      </c>
      <c r="G797" s="21" t="s">
        <v>30</v>
      </c>
      <c r="H797" s="21" t="s">
        <v>24</v>
      </c>
      <c r="I797" s="21" t="s">
        <v>24</v>
      </c>
      <c r="J797" s="21" t="s">
        <v>24</v>
      </c>
      <c r="K797" s="21" t="s">
        <v>24</v>
      </c>
      <c r="L797" s="21" t="s">
        <v>24</v>
      </c>
      <c r="M797" s="0" t="n">
        <v>183</v>
      </c>
      <c r="N797" s="0" t="n">
        <v>4</v>
      </c>
      <c r="O797" s="21" t="s">
        <v>3596</v>
      </c>
      <c r="P797" s="21" t="s">
        <v>4239</v>
      </c>
      <c r="Q797" s="0" t="n">
        <v>0</v>
      </c>
      <c r="S797" s="0" t="n">
        <v>4</v>
      </c>
      <c r="T797" s="21" t="s">
        <v>3596</v>
      </c>
      <c r="U797" s="22" t="b">
        <f aca="false">TRUE()</f>
        <v>1</v>
      </c>
      <c r="V797" s="0" t="n">
        <v>0.79</v>
      </c>
      <c r="W797" s="0" t="n">
        <v>0.12</v>
      </c>
      <c r="X797" s="0" t="n">
        <v>20.1</v>
      </c>
      <c r="Y797" s="0" t="n">
        <v>575.25</v>
      </c>
      <c r="Z797" s="0" t="n">
        <v>9</v>
      </c>
      <c r="AA797" s="0" t="n">
        <v>0.55</v>
      </c>
      <c r="AB797" s="0" t="n">
        <v>2.86</v>
      </c>
      <c r="AC797" s="22" t="b">
        <f aca="false">FALSE()</f>
        <v>0</v>
      </c>
      <c r="AD797" s="0" t="n">
        <v>17.93</v>
      </c>
      <c r="AE797" s="0" t="n">
        <v>4.46</v>
      </c>
      <c r="AF797" s="0" t="n">
        <v>12.57</v>
      </c>
      <c r="AG797" s="22" t="b">
        <f aca="false">TRUE()</f>
        <v>1</v>
      </c>
      <c r="AH797" s="0" t="n">
        <v>1</v>
      </c>
    </row>
    <row r="798" customFormat="false" ht="15" hidden="false" customHeight="false" outlineLevel="0" collapsed="false">
      <c r="A798" s="0" t="s">
        <v>1320</v>
      </c>
      <c r="B798" s="0" t="s">
        <v>3459</v>
      </c>
      <c r="C798" s="0" t="s">
        <v>3450</v>
      </c>
      <c r="D798" s="0" t="s">
        <v>3457</v>
      </c>
      <c r="E798" s="20" t="s">
        <v>25</v>
      </c>
      <c r="F798" s="23" t="s">
        <v>30</v>
      </c>
      <c r="G798" s="21" t="s">
        <v>283</v>
      </c>
      <c r="H798" s="21" t="s">
        <v>24</v>
      </c>
      <c r="I798" s="21" t="s">
        <v>25</v>
      </c>
      <c r="J798" s="21" t="s">
        <v>24</v>
      </c>
      <c r="K798" s="21" t="s">
        <v>24</v>
      </c>
      <c r="L798" s="21" t="s">
        <v>24</v>
      </c>
      <c r="M798" s="0" t="n">
        <v>184</v>
      </c>
      <c r="N798" s="0" t="n">
        <v>2</v>
      </c>
      <c r="O798" s="21" t="s">
        <v>3646</v>
      </c>
      <c r="P798" s="21" t="s">
        <v>4375</v>
      </c>
      <c r="Q798" s="0" t="n">
        <v>1</v>
      </c>
      <c r="R798" s="21" t="s">
        <v>69</v>
      </c>
      <c r="S798" s="0" t="n">
        <v>2</v>
      </c>
      <c r="T798" s="21" t="s">
        <v>3646</v>
      </c>
      <c r="U798" s="22" t="b">
        <f aca="false">TRUE()</f>
        <v>1</v>
      </c>
      <c r="V798" s="0" t="n">
        <v>0.6</v>
      </c>
      <c r="W798" s="0" t="n">
        <v>0.72</v>
      </c>
      <c r="X798" s="0" t="n">
        <v>16.15</v>
      </c>
      <c r="Y798" s="0" t="n">
        <v>300.36</v>
      </c>
      <c r="Z798" s="0" t="n">
        <v>9.5</v>
      </c>
      <c r="AA798" s="0" t="n">
        <v>6.42</v>
      </c>
      <c r="AB798" s="0" t="n">
        <v>3.67</v>
      </c>
      <c r="AC798" s="22" t="b">
        <f aca="false">FALSE()</f>
        <v>0</v>
      </c>
      <c r="AD798" s="0" t="n">
        <v>12.87</v>
      </c>
      <c r="AE798" s="0" t="n">
        <v>4.45</v>
      </c>
      <c r="AF798" s="0" t="n">
        <v>11.23</v>
      </c>
      <c r="AG798" s="22" t="b">
        <f aca="false">TRUE()</f>
        <v>1</v>
      </c>
      <c r="AH798" s="0" t="n">
        <v>1</v>
      </c>
    </row>
    <row r="799" customFormat="false" ht="15" hidden="false" customHeight="false" outlineLevel="0" collapsed="false">
      <c r="A799" s="0" t="s">
        <v>1320</v>
      </c>
      <c r="B799" s="0" t="s">
        <v>3459</v>
      </c>
      <c r="C799" s="0" t="s">
        <v>3450</v>
      </c>
      <c r="D799" s="0" t="s">
        <v>3448</v>
      </c>
      <c r="E799" s="18" t="s">
        <v>24</v>
      </c>
      <c r="F799" s="18" t="s">
        <v>28</v>
      </c>
      <c r="H799" s="21" t="s">
        <v>24</v>
      </c>
      <c r="I799" s="21" t="s">
        <v>24</v>
      </c>
      <c r="J799" s="21" t="s">
        <v>24</v>
      </c>
      <c r="K799" s="21" t="s">
        <v>24</v>
      </c>
      <c r="L799" s="21" t="s">
        <v>24</v>
      </c>
      <c r="M799" s="0" t="n">
        <v>183</v>
      </c>
      <c r="N799" s="0" t="n">
        <v>0</v>
      </c>
      <c r="Q799" s="0" t="n">
        <v>0</v>
      </c>
      <c r="S799" s="0" t="n">
        <v>0</v>
      </c>
      <c r="U799" s="22" t="b">
        <f aca="false">FALSE()</f>
        <v>0</v>
      </c>
      <c r="V799" s="0" t="n">
        <v>0.58</v>
      </c>
      <c r="W799" s="0" t="n">
        <v>0.56</v>
      </c>
      <c r="X799" s="0" t="n">
        <v>16.15</v>
      </c>
      <c r="Y799" s="0" t="n">
        <v>321.22</v>
      </c>
      <c r="Z799" s="0" t="n">
        <v>9.5</v>
      </c>
      <c r="AA799" s="0" t="n">
        <v>11.69</v>
      </c>
      <c r="AB799" s="0" t="n">
        <v>3.48</v>
      </c>
      <c r="AC799" s="22" t="b">
        <f aca="false">FALSE()</f>
        <v>0</v>
      </c>
      <c r="AD799" s="0" t="n">
        <v>13.42</v>
      </c>
      <c r="AE799" s="0" t="n">
        <v>6.82</v>
      </c>
      <c r="AF799" s="0" t="n">
        <v>12.97</v>
      </c>
      <c r="AG799" s="22" t="b">
        <f aca="false">TRUE()</f>
        <v>1</v>
      </c>
      <c r="AH799" s="0" t="n">
        <v>1</v>
      </c>
    </row>
    <row r="800" customFormat="false" ht="15" hidden="false" customHeight="false" outlineLevel="0" collapsed="false">
      <c r="A800" s="0" t="s">
        <v>1320</v>
      </c>
      <c r="B800" s="0" t="s">
        <v>3459</v>
      </c>
      <c r="C800" s="0" t="s">
        <v>3447</v>
      </c>
      <c r="D800" s="0" t="s">
        <v>3457</v>
      </c>
      <c r="E800" s="18" t="s">
        <v>24</v>
      </c>
      <c r="F800" s="23" t="s">
        <v>30</v>
      </c>
      <c r="G800" s="21" t="s">
        <v>30</v>
      </c>
      <c r="H800" s="21" t="s">
        <v>24</v>
      </c>
      <c r="I800" s="21" t="s">
        <v>24</v>
      </c>
      <c r="J800" s="21" t="s">
        <v>24</v>
      </c>
      <c r="K800" s="21" t="s">
        <v>24</v>
      </c>
      <c r="L800" s="21" t="s">
        <v>24</v>
      </c>
      <c r="M800" s="0" t="n">
        <v>227</v>
      </c>
      <c r="N800" s="0" t="n">
        <v>5</v>
      </c>
      <c r="O800" s="21" t="s">
        <v>3738</v>
      </c>
      <c r="P800" s="21" t="s">
        <v>4552</v>
      </c>
      <c r="Q800" s="0" t="n">
        <v>0</v>
      </c>
      <c r="S800" s="0" t="n">
        <v>5</v>
      </c>
      <c r="T800" s="21" t="s">
        <v>3738</v>
      </c>
      <c r="U800" s="22" t="b">
        <f aca="false">TRUE()</f>
        <v>1</v>
      </c>
      <c r="V800" s="0" t="n">
        <v>0.72</v>
      </c>
      <c r="W800" s="0" t="n">
        <v>0.32</v>
      </c>
      <c r="X800" s="0" t="n">
        <v>14.15</v>
      </c>
      <c r="Y800" s="0" t="n">
        <v>467.91</v>
      </c>
      <c r="Z800" s="0" t="n">
        <v>9.42</v>
      </c>
      <c r="AA800" s="0" t="n">
        <v>2.26</v>
      </c>
      <c r="AB800" s="0" t="n">
        <v>3.67</v>
      </c>
      <c r="AC800" s="22" t="b">
        <f aca="false">FALSE()</f>
        <v>0</v>
      </c>
      <c r="AD800" s="0" t="n">
        <v>17.16</v>
      </c>
      <c r="AE800" s="0" t="n">
        <v>11.37</v>
      </c>
      <c r="AF800" s="0" t="n">
        <v>19.18</v>
      </c>
      <c r="AG800" s="22" t="b">
        <f aca="false">TRUE()</f>
        <v>1</v>
      </c>
      <c r="AH800" s="0" t="n">
        <v>1</v>
      </c>
    </row>
    <row r="801" customFormat="false" ht="15" hidden="false" customHeight="false" outlineLevel="0" collapsed="false">
      <c r="A801" s="0" t="s">
        <v>1320</v>
      </c>
      <c r="B801" s="0" t="s">
        <v>3459</v>
      </c>
      <c r="C801" s="0" t="s">
        <v>3447</v>
      </c>
      <c r="D801" s="0" t="s">
        <v>3448</v>
      </c>
      <c r="E801" s="18" t="s">
        <v>24</v>
      </c>
      <c r="F801" s="23" t="s">
        <v>30</v>
      </c>
      <c r="G801" s="21" t="s">
        <v>30</v>
      </c>
      <c r="H801" s="21" t="s">
        <v>24</v>
      </c>
      <c r="I801" s="21" t="s">
        <v>24</v>
      </c>
      <c r="J801" s="21" t="s">
        <v>24</v>
      </c>
      <c r="K801" s="21" t="s">
        <v>24</v>
      </c>
      <c r="L801" s="21" t="s">
        <v>24</v>
      </c>
      <c r="M801" s="0" t="n">
        <v>184</v>
      </c>
      <c r="N801" s="0" t="n">
        <v>3</v>
      </c>
      <c r="O801" s="21" t="s">
        <v>3633</v>
      </c>
      <c r="P801" s="21" t="s">
        <v>4553</v>
      </c>
      <c r="Q801" s="0" t="n">
        <v>0</v>
      </c>
      <c r="S801" s="0" t="n">
        <v>3</v>
      </c>
      <c r="T801" s="21" t="s">
        <v>3633</v>
      </c>
      <c r="U801" s="22" t="b">
        <f aca="false">TRUE()</f>
        <v>1</v>
      </c>
      <c r="V801" s="0" t="n">
        <v>0.67</v>
      </c>
      <c r="W801" s="0" t="n">
        <v>0</v>
      </c>
      <c r="X801" s="0" t="n">
        <v>19.09</v>
      </c>
      <c r="Y801" s="0" t="n">
        <v>685.38</v>
      </c>
      <c r="Z801" s="0" t="n">
        <v>9</v>
      </c>
      <c r="AA801" s="0" t="n">
        <v>2.76</v>
      </c>
      <c r="AB801" s="0" t="n">
        <v>3.48</v>
      </c>
      <c r="AC801" s="22" t="b">
        <f aca="false">FALSE()</f>
        <v>0</v>
      </c>
      <c r="AD801" s="0" t="n">
        <v>14.83</v>
      </c>
      <c r="AE801" s="0" t="n">
        <v>6.41</v>
      </c>
      <c r="AF801" s="0" t="n">
        <v>13.24</v>
      </c>
      <c r="AG801" s="22" t="b">
        <f aca="false">TRUE()</f>
        <v>1</v>
      </c>
      <c r="AH801" s="0" t="n">
        <v>1</v>
      </c>
    </row>
    <row r="802" customFormat="false" ht="15" hidden="false" customHeight="false" outlineLevel="0" collapsed="false">
      <c r="A802" s="0" t="s">
        <v>1325</v>
      </c>
      <c r="B802" s="0" t="s">
        <v>134</v>
      </c>
      <c r="C802" s="0" t="s">
        <v>3450</v>
      </c>
      <c r="D802" s="0" t="s">
        <v>3457</v>
      </c>
      <c r="E802" s="20" t="s">
        <v>25</v>
      </c>
      <c r="F802" s="23" t="s">
        <v>30</v>
      </c>
      <c r="G802" s="21" t="s">
        <v>283</v>
      </c>
      <c r="H802" s="21" t="s">
        <v>24</v>
      </c>
      <c r="I802" s="21" t="s">
        <v>25</v>
      </c>
      <c r="J802" s="21" t="s">
        <v>24</v>
      </c>
      <c r="K802" s="21" t="s">
        <v>24</v>
      </c>
      <c r="L802" s="21" t="s">
        <v>24</v>
      </c>
      <c r="M802" s="0" t="n">
        <v>184</v>
      </c>
      <c r="N802" s="0" t="n">
        <v>1</v>
      </c>
      <c r="O802" s="21" t="s">
        <v>69</v>
      </c>
      <c r="P802" s="21" t="s">
        <v>4275</v>
      </c>
      <c r="Q802" s="0" t="n">
        <v>1</v>
      </c>
      <c r="R802" s="21" t="s">
        <v>69</v>
      </c>
      <c r="S802" s="0" t="n">
        <v>1</v>
      </c>
      <c r="T802" s="21" t="s">
        <v>69</v>
      </c>
      <c r="U802" s="22" t="b">
        <f aca="false">TRUE()</f>
        <v>1</v>
      </c>
      <c r="V802" s="0" t="n">
        <v>0.73</v>
      </c>
      <c r="W802" s="0" t="n">
        <v>0.64</v>
      </c>
      <c r="X802" s="0" t="n">
        <v>7.46</v>
      </c>
      <c r="Y802" s="0" t="n">
        <v>321.6</v>
      </c>
      <c r="Z802" s="0" t="n">
        <v>9.33</v>
      </c>
      <c r="AA802" s="0" t="n">
        <v>4.39</v>
      </c>
      <c r="AB802" s="0" t="n">
        <v>13.05</v>
      </c>
      <c r="AC802" s="22" t="b">
        <f aca="false">FALSE()</f>
        <v>0</v>
      </c>
      <c r="AD802" s="0" t="n">
        <v>4.93</v>
      </c>
      <c r="AE802" s="0" t="n">
        <v>0.91</v>
      </c>
      <c r="AF802" s="0" t="n">
        <v>6.74</v>
      </c>
      <c r="AG802" s="22" t="b">
        <f aca="false">FALSE()</f>
        <v>0</v>
      </c>
      <c r="AH802" s="0" t="n">
        <v>1</v>
      </c>
    </row>
    <row r="803" customFormat="false" ht="15" hidden="false" customHeight="false" outlineLevel="0" collapsed="false">
      <c r="A803" s="0" t="s">
        <v>1325</v>
      </c>
      <c r="B803" s="0" t="s">
        <v>134</v>
      </c>
      <c r="C803" s="0" t="s">
        <v>3450</v>
      </c>
      <c r="D803" s="0" t="s">
        <v>3448</v>
      </c>
      <c r="E803" s="20" t="s">
        <v>25</v>
      </c>
      <c r="F803" s="23" t="s">
        <v>30</v>
      </c>
      <c r="G803" s="21" t="s">
        <v>183</v>
      </c>
      <c r="H803" s="21" t="s">
        <v>24</v>
      </c>
      <c r="I803" s="21" t="s">
        <v>25</v>
      </c>
      <c r="J803" s="21" t="s">
        <v>24</v>
      </c>
      <c r="K803" s="21" t="s">
        <v>25</v>
      </c>
      <c r="L803" s="21" t="s">
        <v>24</v>
      </c>
      <c r="M803" s="0" t="n">
        <v>185</v>
      </c>
      <c r="N803" s="0" t="n">
        <v>1</v>
      </c>
      <c r="O803" s="21" t="s">
        <v>69</v>
      </c>
      <c r="P803" s="21" t="s">
        <v>4275</v>
      </c>
      <c r="Q803" s="0" t="n">
        <v>1</v>
      </c>
      <c r="R803" s="21" t="s">
        <v>69</v>
      </c>
      <c r="S803" s="0" t="n">
        <v>1</v>
      </c>
      <c r="T803" s="21" t="s">
        <v>69</v>
      </c>
      <c r="U803" s="22" t="b">
        <f aca="false">TRUE()</f>
        <v>1</v>
      </c>
      <c r="V803" s="0" t="n">
        <v>0.77</v>
      </c>
      <c r="W803" s="0" t="n">
        <v>0.84</v>
      </c>
      <c r="X803" s="0" t="n">
        <v>7.97</v>
      </c>
      <c r="Y803" s="0" t="n">
        <v>322.18</v>
      </c>
      <c r="Z803" s="0" t="n">
        <v>9.25</v>
      </c>
      <c r="AA803" s="0" t="n">
        <v>17.09</v>
      </c>
      <c r="AB803" s="0" t="n">
        <v>9.6</v>
      </c>
      <c r="AC803" s="22" t="b">
        <f aca="false">FALSE()</f>
        <v>0</v>
      </c>
      <c r="AD803" s="0" t="n">
        <v>20.28</v>
      </c>
      <c r="AE803" s="0" t="n">
        <v>0.26</v>
      </c>
      <c r="AF803" s="0" t="n">
        <v>12.68</v>
      </c>
      <c r="AG803" s="22" t="b">
        <f aca="false">TRUE()</f>
        <v>1</v>
      </c>
      <c r="AH803" s="0" t="n">
        <v>1</v>
      </c>
    </row>
    <row r="804" customFormat="false" ht="15" hidden="false" customHeight="false" outlineLevel="0" collapsed="false">
      <c r="A804" s="0" t="s">
        <v>1325</v>
      </c>
      <c r="B804" s="0" t="s">
        <v>134</v>
      </c>
      <c r="C804" s="0" t="s">
        <v>3447</v>
      </c>
      <c r="D804" s="0" t="s">
        <v>3457</v>
      </c>
      <c r="E804" s="20" t="s">
        <v>25</v>
      </c>
      <c r="F804" s="23" t="s">
        <v>30</v>
      </c>
      <c r="G804" s="21" t="s">
        <v>283</v>
      </c>
      <c r="H804" s="21" t="s">
        <v>24</v>
      </c>
      <c r="I804" s="21" t="s">
        <v>25</v>
      </c>
      <c r="J804" s="21" t="s">
        <v>24</v>
      </c>
      <c r="K804" s="21" t="s">
        <v>24</v>
      </c>
      <c r="L804" s="21" t="s">
        <v>24</v>
      </c>
      <c r="M804" s="0" t="n">
        <v>193</v>
      </c>
      <c r="N804" s="0" t="n">
        <v>1</v>
      </c>
      <c r="O804" s="21" t="s">
        <v>69</v>
      </c>
      <c r="P804" s="21" t="s">
        <v>4275</v>
      </c>
      <c r="Q804" s="0" t="n">
        <v>1</v>
      </c>
      <c r="R804" s="21" t="s">
        <v>69</v>
      </c>
      <c r="S804" s="0" t="n">
        <v>1</v>
      </c>
      <c r="T804" s="21" t="s">
        <v>69</v>
      </c>
      <c r="U804" s="22" t="b">
        <f aca="false">TRUE()</f>
        <v>1</v>
      </c>
      <c r="V804" s="0" t="n">
        <v>0.74</v>
      </c>
      <c r="W804" s="0" t="n">
        <v>0.72</v>
      </c>
      <c r="X804" s="0" t="n">
        <v>6.3</v>
      </c>
      <c r="Y804" s="0" t="n">
        <v>338.36</v>
      </c>
      <c r="Z804" s="0" t="n">
        <v>9.33</v>
      </c>
      <c r="AA804" s="0" t="n">
        <v>1.18</v>
      </c>
      <c r="AB804" s="0" t="n">
        <v>13.05</v>
      </c>
      <c r="AC804" s="22" t="b">
        <f aca="false">FALSE()</f>
        <v>0</v>
      </c>
      <c r="AD804" s="0" t="n">
        <v>12.45</v>
      </c>
      <c r="AE804" s="0" t="n">
        <v>0.06</v>
      </c>
      <c r="AF804" s="0" t="n">
        <v>8.14</v>
      </c>
      <c r="AG804" s="22" t="b">
        <f aca="false">TRUE()</f>
        <v>1</v>
      </c>
      <c r="AH804" s="0" t="n">
        <v>1</v>
      </c>
    </row>
    <row r="805" customFormat="false" ht="15" hidden="false" customHeight="false" outlineLevel="0" collapsed="false">
      <c r="A805" s="0" t="s">
        <v>1325</v>
      </c>
      <c r="B805" s="0" t="s">
        <v>134</v>
      </c>
      <c r="C805" s="0" t="s">
        <v>3447</v>
      </c>
      <c r="D805" s="0" t="s">
        <v>3448</v>
      </c>
      <c r="E805" s="18" t="s">
        <v>24</v>
      </c>
      <c r="F805" s="23" t="s">
        <v>30</v>
      </c>
      <c r="G805" s="21" t="s">
        <v>30</v>
      </c>
      <c r="H805" s="21" t="s">
        <v>24</v>
      </c>
      <c r="I805" s="21" t="s">
        <v>24</v>
      </c>
      <c r="J805" s="21" t="s">
        <v>24</v>
      </c>
      <c r="K805" s="21" t="s">
        <v>24</v>
      </c>
      <c r="L805" s="21" t="s">
        <v>24</v>
      </c>
      <c r="M805" s="0" t="n">
        <v>211</v>
      </c>
      <c r="N805" s="0" t="n">
        <v>1</v>
      </c>
      <c r="O805" s="21" t="s">
        <v>3486</v>
      </c>
      <c r="P805" s="21" t="s">
        <v>4554</v>
      </c>
      <c r="Q805" s="0" t="n">
        <v>0</v>
      </c>
      <c r="S805" s="0" t="n">
        <v>1</v>
      </c>
      <c r="T805" s="21" t="s">
        <v>3486</v>
      </c>
      <c r="U805" s="22" t="b">
        <f aca="false">TRUE()</f>
        <v>1</v>
      </c>
      <c r="V805" s="0" t="n">
        <v>0.76</v>
      </c>
      <c r="W805" s="0" t="n">
        <v>0.92</v>
      </c>
      <c r="X805" s="0" t="n">
        <v>7.19</v>
      </c>
      <c r="Y805" s="0" t="n">
        <v>366.32</v>
      </c>
      <c r="Z805" s="0" t="n">
        <v>9.75</v>
      </c>
      <c r="AA805" s="0" t="n">
        <v>3.48</v>
      </c>
      <c r="AB805" s="0" t="n">
        <v>9.6</v>
      </c>
      <c r="AC805" s="22" t="b">
        <f aca="false">FALSE()</f>
        <v>0</v>
      </c>
      <c r="AD805" s="0" t="n">
        <v>18.56</v>
      </c>
      <c r="AE805" s="0" t="n">
        <v>0.34</v>
      </c>
      <c r="AF805" s="0" t="n">
        <v>10.75</v>
      </c>
      <c r="AG805" s="22" t="b">
        <f aca="false">TRUE()</f>
        <v>1</v>
      </c>
      <c r="AH805" s="0" t="n">
        <v>1</v>
      </c>
    </row>
    <row r="806" customFormat="false" ht="15" hidden="false" customHeight="false" outlineLevel="0" collapsed="false">
      <c r="A806" s="0" t="s">
        <v>1334</v>
      </c>
      <c r="B806" s="0" t="s">
        <v>134</v>
      </c>
      <c r="C806" s="0" t="s">
        <v>3450</v>
      </c>
      <c r="D806" s="0" t="s">
        <v>3457</v>
      </c>
      <c r="E806" s="20" t="s">
        <v>25</v>
      </c>
      <c r="F806" s="20" t="s">
        <v>29</v>
      </c>
      <c r="G806" s="21" t="s">
        <v>3472</v>
      </c>
      <c r="H806" s="21" t="s">
        <v>25</v>
      </c>
      <c r="I806" s="21" t="s">
        <v>24</v>
      </c>
      <c r="J806" s="21" t="s">
        <v>24</v>
      </c>
      <c r="K806" s="21" t="s">
        <v>25</v>
      </c>
      <c r="L806" s="21" t="s">
        <v>24</v>
      </c>
      <c r="M806" s="0" t="n">
        <v>281</v>
      </c>
      <c r="N806" s="0" t="n">
        <v>0</v>
      </c>
      <c r="Q806" s="0" t="n">
        <v>0</v>
      </c>
      <c r="S806" s="0" t="n">
        <v>0</v>
      </c>
      <c r="U806" s="22" t="b">
        <f aca="false">FALSE()</f>
        <v>0</v>
      </c>
      <c r="V806" s="0" t="n">
        <v>0.82</v>
      </c>
      <c r="W806" s="0" t="n">
        <v>0.48</v>
      </c>
      <c r="X806" s="0" t="n">
        <v>8.08</v>
      </c>
      <c r="Y806" s="0" t="n">
        <v>462.64</v>
      </c>
      <c r="Z806" s="0" t="n">
        <v>8</v>
      </c>
      <c r="AA806" s="0" t="n">
        <v>2.23</v>
      </c>
      <c r="AB806" s="0" t="n">
        <v>1.2</v>
      </c>
      <c r="AC806" s="22" t="b">
        <f aca="false">TRUE()</f>
        <v>1</v>
      </c>
      <c r="AD806" s="0" t="n">
        <v>5.37</v>
      </c>
      <c r="AE806" s="0" t="n">
        <v>0.4</v>
      </c>
      <c r="AF806" s="0" t="n">
        <v>11.71</v>
      </c>
      <c r="AG806" s="22" t="b">
        <f aca="false">FALSE()</f>
        <v>0</v>
      </c>
      <c r="AH806" s="0" t="n">
        <v>1</v>
      </c>
    </row>
    <row r="807" customFormat="false" ht="15" hidden="false" customHeight="false" outlineLevel="0" collapsed="false">
      <c r="A807" s="0" t="s">
        <v>1334</v>
      </c>
      <c r="B807" s="0" t="s">
        <v>134</v>
      </c>
      <c r="C807" s="0" t="s">
        <v>3450</v>
      </c>
      <c r="D807" s="0" t="s">
        <v>3448</v>
      </c>
      <c r="E807" s="20" t="s">
        <v>25</v>
      </c>
      <c r="F807" s="20" t="s">
        <v>29</v>
      </c>
      <c r="G807" s="21" t="s">
        <v>3466</v>
      </c>
      <c r="H807" s="21" t="s">
        <v>24</v>
      </c>
      <c r="I807" s="21" t="s">
        <v>24</v>
      </c>
      <c r="J807" s="21" t="s">
        <v>24</v>
      </c>
      <c r="K807" s="21" t="s">
        <v>25</v>
      </c>
      <c r="L807" s="21" t="s">
        <v>24</v>
      </c>
      <c r="M807" s="0" t="n">
        <v>187</v>
      </c>
      <c r="N807" s="0" t="n">
        <v>0</v>
      </c>
      <c r="Q807" s="0" t="n">
        <v>0</v>
      </c>
      <c r="S807" s="0" t="n">
        <v>0</v>
      </c>
      <c r="U807" s="22" t="b">
        <f aca="false">FALSE()</f>
        <v>0</v>
      </c>
      <c r="V807" s="0" t="n">
        <v>0.85</v>
      </c>
      <c r="W807" s="0" t="n">
        <v>0.24</v>
      </c>
      <c r="X807" s="0" t="n">
        <v>11.41</v>
      </c>
      <c r="Y807" s="0" t="n">
        <v>403.92</v>
      </c>
      <c r="Z807" s="0" t="n">
        <v>8</v>
      </c>
      <c r="AA807" s="0" t="n">
        <v>-1.56</v>
      </c>
      <c r="AB807" s="0" t="n">
        <v>1.18</v>
      </c>
      <c r="AC807" s="22" t="b">
        <f aca="false">TRUE()</f>
        <v>1</v>
      </c>
      <c r="AD807" s="0" t="n">
        <v>9.63</v>
      </c>
      <c r="AE807" s="0" t="n">
        <v>0.54</v>
      </c>
      <c r="AF807" s="0" t="n">
        <v>9.09</v>
      </c>
      <c r="AG807" s="22" t="b">
        <f aca="false">FALSE()</f>
        <v>0</v>
      </c>
      <c r="AH807" s="0" t="n">
        <v>1</v>
      </c>
    </row>
    <row r="808" customFormat="false" ht="15" hidden="false" customHeight="false" outlineLevel="0" collapsed="false">
      <c r="A808" s="0" t="s">
        <v>1334</v>
      </c>
      <c r="B808" s="0" t="s">
        <v>134</v>
      </c>
      <c r="C808" s="0" t="s">
        <v>3447</v>
      </c>
      <c r="D808" s="0" t="s">
        <v>3457</v>
      </c>
      <c r="E808" s="19" t="s">
        <v>26</v>
      </c>
      <c r="F808" s="19" t="s">
        <v>32</v>
      </c>
      <c r="G808" s="21" t="s">
        <v>1451</v>
      </c>
      <c r="H808" s="21" t="s">
        <v>24</v>
      </c>
      <c r="I808" s="21" t="s">
        <v>26</v>
      </c>
      <c r="J808" s="21" t="s">
        <v>24</v>
      </c>
      <c r="K808" s="21" t="s">
        <v>25</v>
      </c>
      <c r="L808" s="21" t="s">
        <v>24</v>
      </c>
      <c r="M808" s="0" t="n">
        <v>183</v>
      </c>
      <c r="N808" s="0" t="n">
        <v>10</v>
      </c>
      <c r="O808" s="21" t="s">
        <v>4011</v>
      </c>
      <c r="P808" s="21" t="s">
        <v>4248</v>
      </c>
      <c r="Q808" s="0" t="n">
        <v>1</v>
      </c>
      <c r="R808" s="21" t="s">
        <v>69</v>
      </c>
      <c r="S808" s="0" t="n">
        <v>10</v>
      </c>
      <c r="T808" s="21" t="s">
        <v>4011</v>
      </c>
      <c r="U808" s="22" t="b">
        <f aca="false">FALSE()</f>
        <v>0</v>
      </c>
      <c r="V808" s="0" t="n">
        <v>0.79</v>
      </c>
      <c r="W808" s="0" t="n">
        <v>0.48</v>
      </c>
      <c r="X808" s="0" t="n">
        <v>10.08</v>
      </c>
      <c r="Y808" s="0" t="n">
        <v>309.87</v>
      </c>
      <c r="Z808" s="0" t="n">
        <v>8</v>
      </c>
      <c r="AA808" s="0" t="n">
        <v>2.62</v>
      </c>
      <c r="AB808" s="0" t="n">
        <v>1.2</v>
      </c>
      <c r="AC808" s="22" t="b">
        <f aca="false">FALSE()</f>
        <v>0</v>
      </c>
      <c r="AD808" s="0" t="n">
        <v>4.48</v>
      </c>
      <c r="AE808" s="0" t="n">
        <v>1.46</v>
      </c>
      <c r="AF808" s="0" t="n">
        <v>8.42</v>
      </c>
      <c r="AG808" s="22" t="b">
        <f aca="false">FALSE()</f>
        <v>0</v>
      </c>
      <c r="AH808" s="0" t="n">
        <v>1</v>
      </c>
    </row>
    <row r="809" customFormat="false" ht="15" hidden="false" customHeight="false" outlineLevel="0" collapsed="false">
      <c r="A809" s="0" t="s">
        <v>1334</v>
      </c>
      <c r="B809" s="0" t="s">
        <v>134</v>
      </c>
      <c r="C809" s="0" t="s">
        <v>3447</v>
      </c>
      <c r="D809" s="0" t="s">
        <v>3448</v>
      </c>
      <c r="E809" s="20" t="s">
        <v>25</v>
      </c>
      <c r="F809" s="20" t="s">
        <v>29</v>
      </c>
      <c r="G809" s="21" t="s">
        <v>63</v>
      </c>
      <c r="H809" s="21" t="s">
        <v>24</v>
      </c>
      <c r="I809" s="21" t="s">
        <v>24</v>
      </c>
      <c r="J809" s="21" t="s">
        <v>24</v>
      </c>
      <c r="K809" s="21" t="s">
        <v>25</v>
      </c>
      <c r="L809" s="21" t="s">
        <v>24</v>
      </c>
      <c r="M809" s="0" t="n">
        <v>189</v>
      </c>
      <c r="N809" s="0" t="n">
        <v>0</v>
      </c>
      <c r="Q809" s="0" t="n">
        <v>0</v>
      </c>
      <c r="S809" s="0" t="n">
        <v>0</v>
      </c>
      <c r="U809" s="22" t="b">
        <f aca="false">FALSE()</f>
        <v>0</v>
      </c>
      <c r="V809" s="0" t="n">
        <v>0.8</v>
      </c>
      <c r="W809" s="0" t="n">
        <v>0.8</v>
      </c>
      <c r="X809" s="0" t="n">
        <v>14.01</v>
      </c>
      <c r="Y809" s="0" t="n">
        <v>195.46</v>
      </c>
      <c r="Z809" s="0" t="n">
        <v>8</v>
      </c>
      <c r="AA809" s="0" t="n">
        <v>-1.36</v>
      </c>
      <c r="AB809" s="0" t="n">
        <v>1.18</v>
      </c>
      <c r="AC809" s="22" t="b">
        <f aca="false">FALSE()</f>
        <v>0</v>
      </c>
      <c r="AD809" s="0" t="n">
        <v>7.01</v>
      </c>
      <c r="AE809" s="0" t="n">
        <v>2.79</v>
      </c>
      <c r="AF809" s="0" t="n">
        <v>5.23</v>
      </c>
      <c r="AG809" s="22" t="b">
        <f aca="false">FALSE()</f>
        <v>0</v>
      </c>
      <c r="AH809" s="0" t="n">
        <v>1</v>
      </c>
    </row>
    <row r="810" customFormat="false" ht="15" hidden="false" customHeight="false" outlineLevel="0" collapsed="false">
      <c r="A810" s="0" t="s">
        <v>1340</v>
      </c>
      <c r="B810" s="0" t="s">
        <v>134</v>
      </c>
      <c r="C810" s="0" t="s">
        <v>3450</v>
      </c>
      <c r="D810" s="0" t="s">
        <v>3457</v>
      </c>
      <c r="E810" s="20" t="s">
        <v>25</v>
      </c>
      <c r="F810" s="23" t="s">
        <v>30</v>
      </c>
      <c r="G810" s="21" t="s">
        <v>283</v>
      </c>
      <c r="H810" s="21" t="s">
        <v>24</v>
      </c>
      <c r="I810" s="21" t="s">
        <v>25</v>
      </c>
      <c r="J810" s="21" t="s">
        <v>24</v>
      </c>
      <c r="K810" s="21" t="s">
        <v>24</v>
      </c>
      <c r="L810" s="21" t="s">
        <v>24</v>
      </c>
      <c r="M810" s="0" t="n">
        <v>184</v>
      </c>
      <c r="N810" s="0" t="n">
        <v>3</v>
      </c>
      <c r="O810" s="21" t="s">
        <v>3695</v>
      </c>
      <c r="P810" s="21" t="s">
        <v>4289</v>
      </c>
      <c r="Q810" s="0" t="n">
        <v>1</v>
      </c>
      <c r="R810" s="21" t="s">
        <v>69</v>
      </c>
      <c r="S810" s="0" t="n">
        <v>3</v>
      </c>
      <c r="T810" s="21" t="s">
        <v>3695</v>
      </c>
      <c r="U810" s="22" t="b">
        <f aca="false">TRUE()</f>
        <v>1</v>
      </c>
      <c r="V810" s="0" t="n">
        <v>0.67</v>
      </c>
      <c r="W810" s="0" t="n">
        <v>0.12</v>
      </c>
      <c r="X810" s="0" t="n">
        <v>6.45</v>
      </c>
      <c r="Y810" s="0" t="n">
        <v>623.51</v>
      </c>
      <c r="Z810" s="0" t="n">
        <v>10</v>
      </c>
      <c r="AA810" s="0" t="n">
        <v>18.21</v>
      </c>
      <c r="AB810" s="0" t="n">
        <v>1.63</v>
      </c>
      <c r="AC810" s="22" t="b">
        <f aca="false">FALSE()</f>
        <v>0</v>
      </c>
      <c r="AD810" s="0" t="n">
        <v>18.37</v>
      </c>
      <c r="AE810" s="0" t="n">
        <v>7.04</v>
      </c>
      <c r="AF810" s="0" t="n">
        <v>15.77</v>
      </c>
      <c r="AG810" s="22" t="b">
        <f aca="false">TRUE()</f>
        <v>1</v>
      </c>
      <c r="AH810" s="0" t="n">
        <v>1</v>
      </c>
    </row>
    <row r="811" customFormat="false" ht="15" hidden="false" customHeight="false" outlineLevel="0" collapsed="false">
      <c r="A811" s="0" t="s">
        <v>1340</v>
      </c>
      <c r="B811" s="0" t="s">
        <v>134</v>
      </c>
      <c r="C811" s="0" t="s">
        <v>3450</v>
      </c>
      <c r="D811" s="0" t="s">
        <v>3448</v>
      </c>
      <c r="E811" s="20" t="s">
        <v>25</v>
      </c>
      <c r="F811" s="23" t="s">
        <v>30</v>
      </c>
      <c r="G811" s="21" t="s">
        <v>1343</v>
      </c>
      <c r="H811" s="21" t="s">
        <v>25</v>
      </c>
      <c r="I811" s="21" t="s">
        <v>25</v>
      </c>
      <c r="J811" s="21" t="s">
        <v>24</v>
      </c>
      <c r="K811" s="21" t="s">
        <v>24</v>
      </c>
      <c r="L811" s="21" t="s">
        <v>24</v>
      </c>
      <c r="M811" s="0" t="n">
        <v>275</v>
      </c>
      <c r="N811" s="0" t="n">
        <v>2</v>
      </c>
      <c r="O811" s="21" t="s">
        <v>3566</v>
      </c>
      <c r="P811" s="21" t="s">
        <v>4238</v>
      </c>
      <c r="Q811" s="0" t="n">
        <v>1</v>
      </c>
      <c r="R811" s="21" t="s">
        <v>69</v>
      </c>
      <c r="S811" s="0" t="n">
        <v>2</v>
      </c>
      <c r="T811" s="21" t="s">
        <v>3566</v>
      </c>
      <c r="U811" s="22" t="b">
        <f aca="false">TRUE()</f>
        <v>1</v>
      </c>
      <c r="V811" s="0" t="n">
        <v>0.7</v>
      </c>
      <c r="W811" s="0" t="n">
        <v>0.84</v>
      </c>
      <c r="X811" s="0" t="n">
        <v>6.36</v>
      </c>
      <c r="Y811" s="0" t="n">
        <v>478.39</v>
      </c>
      <c r="Z811" s="0" t="n">
        <v>10</v>
      </c>
      <c r="AA811" s="0" t="n">
        <v>20.79</v>
      </c>
      <c r="AB811" s="0" t="n">
        <v>19.95</v>
      </c>
      <c r="AC811" s="22" t="b">
        <f aca="false">FALSE()</f>
        <v>0</v>
      </c>
      <c r="AD811" s="0" t="n">
        <v>15.8</v>
      </c>
      <c r="AE811" s="0" t="n">
        <v>5.17</v>
      </c>
      <c r="AF811" s="0" t="n">
        <v>15.4</v>
      </c>
      <c r="AG811" s="22" t="b">
        <f aca="false">TRUE()</f>
        <v>1</v>
      </c>
      <c r="AH811" s="0" t="n">
        <v>1</v>
      </c>
    </row>
    <row r="812" customFormat="false" ht="15" hidden="false" customHeight="false" outlineLevel="0" collapsed="false">
      <c r="A812" s="0" t="s">
        <v>1340</v>
      </c>
      <c r="B812" s="0" t="s">
        <v>134</v>
      </c>
      <c r="C812" s="0" t="s">
        <v>3447</v>
      </c>
      <c r="D812" s="0" t="s">
        <v>3457</v>
      </c>
      <c r="E812" s="18" t="s">
        <v>24</v>
      </c>
      <c r="F812" s="23" t="s">
        <v>30</v>
      </c>
      <c r="G812" s="21" t="s">
        <v>30</v>
      </c>
      <c r="H812" s="21" t="s">
        <v>24</v>
      </c>
      <c r="I812" s="21" t="s">
        <v>24</v>
      </c>
      <c r="J812" s="21" t="s">
        <v>24</v>
      </c>
      <c r="K812" s="21" t="s">
        <v>24</v>
      </c>
      <c r="L812" s="21" t="s">
        <v>24</v>
      </c>
      <c r="M812" s="0" t="n">
        <v>186</v>
      </c>
      <c r="N812" s="0" t="n">
        <v>2</v>
      </c>
      <c r="O812" s="21" t="s">
        <v>3499</v>
      </c>
      <c r="P812" s="21" t="s">
        <v>4250</v>
      </c>
      <c r="Q812" s="0" t="n">
        <v>0</v>
      </c>
      <c r="S812" s="0" t="n">
        <v>2</v>
      </c>
      <c r="T812" s="21" t="s">
        <v>3499</v>
      </c>
      <c r="U812" s="22" t="b">
        <f aca="false">TRUE()</f>
        <v>1</v>
      </c>
      <c r="V812" s="0" t="n">
        <v>0.74</v>
      </c>
      <c r="W812" s="0" t="n">
        <v>0.92</v>
      </c>
      <c r="X812" s="0" t="n">
        <v>7.29</v>
      </c>
      <c r="Y812" s="0" t="n">
        <v>314.03</v>
      </c>
      <c r="Z812" s="0" t="n">
        <v>8.5</v>
      </c>
      <c r="AA812" s="0" t="n">
        <v>-1.07</v>
      </c>
      <c r="AB812" s="0" t="n">
        <v>1.63</v>
      </c>
      <c r="AC812" s="22" t="b">
        <f aca="false">FALSE()</f>
        <v>0</v>
      </c>
      <c r="AD812" s="0" t="n">
        <v>13.19</v>
      </c>
      <c r="AE812" s="0" t="n">
        <v>4.18</v>
      </c>
      <c r="AF812" s="0" t="n">
        <v>12.6</v>
      </c>
      <c r="AG812" s="22" t="b">
        <f aca="false">TRUE()</f>
        <v>1</v>
      </c>
      <c r="AH812" s="0" t="n">
        <v>1</v>
      </c>
    </row>
    <row r="813" customFormat="false" ht="15" hidden="false" customHeight="false" outlineLevel="0" collapsed="false">
      <c r="A813" s="0" t="s">
        <v>1340</v>
      </c>
      <c r="B813" s="0" t="s">
        <v>134</v>
      </c>
      <c r="C813" s="0" t="s">
        <v>3447</v>
      </c>
      <c r="D813" s="0" t="s">
        <v>3448</v>
      </c>
      <c r="E813" s="18" t="s">
        <v>24</v>
      </c>
      <c r="F813" s="23" t="s">
        <v>30</v>
      </c>
      <c r="G813" s="21" t="s">
        <v>30</v>
      </c>
      <c r="H813" s="21" t="s">
        <v>24</v>
      </c>
      <c r="I813" s="21" t="s">
        <v>24</v>
      </c>
      <c r="J813" s="21" t="s">
        <v>24</v>
      </c>
      <c r="K813" s="21" t="s">
        <v>24</v>
      </c>
      <c r="L813" s="21" t="s">
        <v>24</v>
      </c>
      <c r="M813" s="0" t="n">
        <v>182</v>
      </c>
      <c r="N813" s="0" t="n">
        <v>4</v>
      </c>
      <c r="O813" s="21" t="s">
        <v>3651</v>
      </c>
      <c r="P813" s="21" t="s">
        <v>4555</v>
      </c>
      <c r="Q813" s="0" t="n">
        <v>0</v>
      </c>
      <c r="S813" s="0" t="n">
        <v>4</v>
      </c>
      <c r="T813" s="21" t="s">
        <v>3651</v>
      </c>
      <c r="U813" s="22" t="b">
        <f aca="false">TRUE()</f>
        <v>1</v>
      </c>
      <c r="V813" s="0" t="n">
        <v>0.74</v>
      </c>
      <c r="W813" s="0" t="n">
        <v>0</v>
      </c>
      <c r="X813" s="0" t="n">
        <v>7.83</v>
      </c>
      <c r="Y813" s="0" t="n">
        <v>677.56</v>
      </c>
      <c r="Z813" s="0" t="n">
        <v>8.67</v>
      </c>
      <c r="AA813" s="0" t="n">
        <v>1.47</v>
      </c>
      <c r="AB813" s="0" t="n">
        <v>19.95</v>
      </c>
      <c r="AC813" s="22" t="b">
        <f aca="false">FALSE()</f>
        <v>0</v>
      </c>
      <c r="AD813" s="0" t="n">
        <v>13.86</v>
      </c>
      <c r="AE813" s="0" t="n">
        <v>4.3</v>
      </c>
      <c r="AF813" s="0" t="n">
        <v>11.73</v>
      </c>
      <c r="AG813" s="22" t="b">
        <f aca="false">TRUE()</f>
        <v>1</v>
      </c>
      <c r="AH813" s="0" t="n">
        <v>1</v>
      </c>
    </row>
    <row r="814" customFormat="false" ht="15" hidden="false" customHeight="false" outlineLevel="0" collapsed="false">
      <c r="A814" s="0" t="s">
        <v>1346</v>
      </c>
      <c r="B814" s="0" t="s">
        <v>134</v>
      </c>
      <c r="C814" s="0" t="s">
        <v>3450</v>
      </c>
      <c r="D814" s="0" t="s">
        <v>3457</v>
      </c>
      <c r="E814" s="18" t="s">
        <v>24</v>
      </c>
      <c r="F814" s="18" t="s">
        <v>28</v>
      </c>
      <c r="H814" s="21" t="s">
        <v>24</v>
      </c>
      <c r="I814" s="21" t="s">
        <v>24</v>
      </c>
      <c r="J814" s="21" t="s">
        <v>24</v>
      </c>
      <c r="K814" s="21" t="s">
        <v>24</v>
      </c>
      <c r="L814" s="21" t="s">
        <v>24</v>
      </c>
      <c r="M814" s="0" t="n">
        <v>185</v>
      </c>
      <c r="N814" s="0" t="n">
        <v>0</v>
      </c>
      <c r="Q814" s="0" t="n">
        <v>0</v>
      </c>
      <c r="S814" s="0" t="n">
        <v>0</v>
      </c>
      <c r="U814" s="22" t="b">
        <f aca="false">FALSE()</f>
        <v>0</v>
      </c>
      <c r="V814" s="0" t="n">
        <v>0.81</v>
      </c>
      <c r="W814" s="0" t="n">
        <v>0.32</v>
      </c>
      <c r="X814" s="0" t="n">
        <v>9.25</v>
      </c>
      <c r="Y814" s="0" t="n">
        <v>360.83</v>
      </c>
      <c r="Z814" s="0" t="n">
        <v>9.67</v>
      </c>
      <c r="AA814" s="0" t="n">
        <v>10.34</v>
      </c>
      <c r="AB814" s="0" t="n">
        <v>3.2</v>
      </c>
      <c r="AC814" s="22" t="b">
        <f aca="false">FALSE()</f>
        <v>0</v>
      </c>
      <c r="AD814" s="0" t="n">
        <v>10.58</v>
      </c>
      <c r="AE814" s="0" t="n">
        <v>0.86</v>
      </c>
      <c r="AF814" s="0" t="n">
        <v>12.98</v>
      </c>
      <c r="AG814" s="22" t="b">
        <f aca="false">TRUE()</f>
        <v>1</v>
      </c>
      <c r="AH814" s="0" t="n">
        <v>1</v>
      </c>
    </row>
    <row r="815" customFormat="false" ht="15" hidden="false" customHeight="false" outlineLevel="0" collapsed="false">
      <c r="A815" s="0" t="s">
        <v>1346</v>
      </c>
      <c r="B815" s="0" t="s">
        <v>134</v>
      </c>
      <c r="C815" s="0" t="s">
        <v>3450</v>
      </c>
      <c r="D815" s="0" t="s">
        <v>3448</v>
      </c>
      <c r="E815" s="18" t="s">
        <v>24</v>
      </c>
      <c r="F815" s="18" t="s">
        <v>28</v>
      </c>
      <c r="H815" s="21" t="s">
        <v>24</v>
      </c>
      <c r="I815" s="21" t="s">
        <v>24</v>
      </c>
      <c r="J815" s="21" t="s">
        <v>24</v>
      </c>
      <c r="K815" s="21" t="s">
        <v>24</v>
      </c>
      <c r="L815" s="21" t="s">
        <v>24</v>
      </c>
      <c r="M815" s="0" t="n">
        <v>185</v>
      </c>
      <c r="N815" s="0" t="n">
        <v>0</v>
      </c>
      <c r="Q815" s="0" t="n">
        <v>0</v>
      </c>
      <c r="S815" s="0" t="n">
        <v>0</v>
      </c>
      <c r="U815" s="22" t="b">
        <f aca="false">FALSE()</f>
        <v>0</v>
      </c>
      <c r="V815" s="0" t="n">
        <v>0.83</v>
      </c>
      <c r="W815" s="0" t="n">
        <v>0.16</v>
      </c>
      <c r="X815" s="0" t="n">
        <v>9.43</v>
      </c>
      <c r="Y815" s="0" t="n">
        <v>506.86</v>
      </c>
      <c r="Z815" s="0" t="n">
        <v>10</v>
      </c>
      <c r="AA815" s="0" t="n">
        <v>11.14</v>
      </c>
      <c r="AB815" s="0" t="n">
        <v>2.31</v>
      </c>
      <c r="AC815" s="22" t="b">
        <f aca="false">FALSE()</f>
        <v>0</v>
      </c>
      <c r="AD815" s="0" t="n">
        <v>15.15</v>
      </c>
      <c r="AE815" s="0" t="n">
        <v>0.93</v>
      </c>
      <c r="AF815" s="0" t="n">
        <v>5.11</v>
      </c>
      <c r="AG815" s="22" t="b">
        <f aca="false">TRUE()</f>
        <v>1</v>
      </c>
      <c r="AH815" s="0" t="n">
        <v>1</v>
      </c>
    </row>
    <row r="816" customFormat="false" ht="15" hidden="false" customHeight="false" outlineLevel="0" collapsed="false">
      <c r="A816" s="0" t="s">
        <v>1346</v>
      </c>
      <c r="B816" s="0" t="s">
        <v>134</v>
      </c>
      <c r="C816" s="0" t="s">
        <v>3447</v>
      </c>
      <c r="D816" s="0" t="s">
        <v>3457</v>
      </c>
      <c r="E816" s="18" t="s">
        <v>24</v>
      </c>
      <c r="F816" s="18" t="s">
        <v>28</v>
      </c>
      <c r="H816" s="21" t="s">
        <v>24</v>
      </c>
      <c r="I816" s="21" t="s">
        <v>24</v>
      </c>
      <c r="J816" s="21" t="s">
        <v>24</v>
      </c>
      <c r="K816" s="21" t="s">
        <v>24</v>
      </c>
      <c r="L816" s="21" t="s">
        <v>24</v>
      </c>
      <c r="M816" s="0" t="n">
        <v>194</v>
      </c>
      <c r="N816" s="0" t="n">
        <v>0</v>
      </c>
      <c r="Q816" s="0" t="n">
        <v>0</v>
      </c>
      <c r="S816" s="0" t="n">
        <v>0</v>
      </c>
      <c r="U816" s="22" t="b">
        <f aca="false">FALSE()</f>
        <v>0</v>
      </c>
      <c r="V816" s="0" t="n">
        <v>0.81</v>
      </c>
      <c r="W816" s="0" t="n">
        <v>0</v>
      </c>
      <c r="X816" s="0" t="n">
        <v>7.99</v>
      </c>
      <c r="Y816" s="0" t="n">
        <v>704.64</v>
      </c>
      <c r="Z816" s="0" t="n">
        <v>8.75</v>
      </c>
      <c r="AA816" s="0" t="n">
        <v>4.05</v>
      </c>
      <c r="AB816" s="0" t="n">
        <v>3.2</v>
      </c>
      <c r="AC816" s="22" t="b">
        <f aca="false">FALSE()</f>
        <v>0</v>
      </c>
      <c r="AD816" s="0" t="n">
        <v>11.29</v>
      </c>
      <c r="AE816" s="0" t="n">
        <v>0.75</v>
      </c>
      <c r="AF816" s="0" t="n">
        <v>16.1</v>
      </c>
      <c r="AG816" s="22" t="b">
        <f aca="false">TRUE()</f>
        <v>1</v>
      </c>
      <c r="AH816" s="0" t="n">
        <v>1</v>
      </c>
    </row>
    <row r="817" customFormat="false" ht="15" hidden="false" customHeight="false" outlineLevel="0" collapsed="false">
      <c r="A817" s="0" t="s">
        <v>1346</v>
      </c>
      <c r="B817" s="0" t="s">
        <v>134</v>
      </c>
      <c r="C817" s="0" t="s">
        <v>3447</v>
      </c>
      <c r="D817" s="0" t="s">
        <v>3448</v>
      </c>
      <c r="E817" s="18" t="s">
        <v>24</v>
      </c>
      <c r="F817" s="23" t="s">
        <v>30</v>
      </c>
      <c r="G817" s="21" t="s">
        <v>30</v>
      </c>
      <c r="H817" s="21" t="s">
        <v>24</v>
      </c>
      <c r="I817" s="21" t="s">
        <v>24</v>
      </c>
      <c r="J817" s="21" t="s">
        <v>24</v>
      </c>
      <c r="K817" s="21" t="s">
        <v>24</v>
      </c>
      <c r="L817" s="21" t="s">
        <v>24</v>
      </c>
      <c r="M817" s="0" t="n">
        <v>201</v>
      </c>
      <c r="N817" s="0" t="n">
        <v>1</v>
      </c>
      <c r="O817" s="21" t="s">
        <v>3483</v>
      </c>
      <c r="P817" s="21" t="s">
        <v>4556</v>
      </c>
      <c r="Q817" s="0" t="n">
        <v>0</v>
      </c>
      <c r="S817" s="0" t="n">
        <v>1</v>
      </c>
      <c r="T817" s="21" t="s">
        <v>3483</v>
      </c>
      <c r="U817" s="22" t="b">
        <f aca="false">TRUE()</f>
        <v>1</v>
      </c>
      <c r="V817" s="0" t="n">
        <v>0.82</v>
      </c>
      <c r="W817" s="0" t="n">
        <v>0.72</v>
      </c>
      <c r="X817" s="0" t="n">
        <v>10.15</v>
      </c>
      <c r="Y817" s="0" t="n">
        <v>343.54</v>
      </c>
      <c r="Z817" s="0" t="n">
        <v>10.58</v>
      </c>
      <c r="AA817" s="0" t="n">
        <v>6.64</v>
      </c>
      <c r="AB817" s="0" t="n">
        <v>2.31</v>
      </c>
      <c r="AC817" s="22" t="b">
        <f aca="false">FALSE()</f>
        <v>0</v>
      </c>
      <c r="AD817" s="0" t="n">
        <v>8.84</v>
      </c>
      <c r="AE817" s="0" t="n">
        <v>0.52</v>
      </c>
      <c r="AF817" s="0" t="n">
        <v>3.29</v>
      </c>
      <c r="AG817" s="22" t="b">
        <f aca="false">FALSE()</f>
        <v>0</v>
      </c>
      <c r="AH817" s="0" t="n">
        <v>1</v>
      </c>
    </row>
    <row r="818" customFormat="false" ht="15" hidden="false" customHeight="false" outlineLevel="0" collapsed="false">
      <c r="A818" s="0" t="s">
        <v>1346</v>
      </c>
      <c r="B818" s="0" t="s">
        <v>3459</v>
      </c>
      <c r="C818" s="0" t="s">
        <v>3450</v>
      </c>
      <c r="D818" s="0" t="s">
        <v>3457</v>
      </c>
      <c r="E818" s="20" t="s">
        <v>25</v>
      </c>
      <c r="F818" s="20" t="s">
        <v>29</v>
      </c>
      <c r="G818" s="21" t="s">
        <v>61</v>
      </c>
      <c r="H818" s="21" t="s">
        <v>24</v>
      </c>
      <c r="I818" s="21" t="s">
        <v>24</v>
      </c>
      <c r="J818" s="21" t="s">
        <v>24</v>
      </c>
      <c r="K818" s="21" t="s">
        <v>25</v>
      </c>
      <c r="L818" s="21" t="s">
        <v>24</v>
      </c>
      <c r="M818" s="0" t="n">
        <v>184</v>
      </c>
      <c r="N818" s="0" t="n">
        <v>0</v>
      </c>
      <c r="Q818" s="0" t="n">
        <v>0</v>
      </c>
      <c r="S818" s="0" t="n">
        <v>0</v>
      </c>
      <c r="U818" s="22" t="b">
        <f aca="false">FALSE()</f>
        <v>0</v>
      </c>
      <c r="V818" s="0" t="n">
        <v>0.8</v>
      </c>
      <c r="W818" s="0" t="n">
        <v>0.88</v>
      </c>
      <c r="X818" s="0" t="n">
        <v>10.61</v>
      </c>
      <c r="Y818" s="0" t="n">
        <v>284.19</v>
      </c>
      <c r="Z818" s="0" t="n">
        <v>9.75</v>
      </c>
      <c r="AA818" s="0" t="n">
        <v>4.98</v>
      </c>
      <c r="AB818" s="0" t="n">
        <v>2.07</v>
      </c>
      <c r="AC818" s="22" t="b">
        <f aca="false">FALSE()</f>
        <v>0</v>
      </c>
      <c r="AD818" s="0" t="n">
        <v>21.49</v>
      </c>
      <c r="AE818" s="0" t="n">
        <v>8.09</v>
      </c>
      <c r="AF818" s="0" t="n">
        <v>21.4</v>
      </c>
      <c r="AG818" s="22" t="b">
        <f aca="false">TRUE()</f>
        <v>1</v>
      </c>
      <c r="AH818" s="0" t="n">
        <v>1</v>
      </c>
    </row>
    <row r="819" customFormat="false" ht="15" hidden="false" customHeight="false" outlineLevel="0" collapsed="false">
      <c r="A819" s="0" t="s">
        <v>1346</v>
      </c>
      <c r="B819" s="0" t="s">
        <v>3459</v>
      </c>
      <c r="C819" s="0" t="s">
        <v>3450</v>
      </c>
      <c r="D819" s="0" t="s">
        <v>3448</v>
      </c>
      <c r="E819" s="20" t="s">
        <v>25</v>
      </c>
      <c r="F819" s="20" t="s">
        <v>29</v>
      </c>
      <c r="G819" s="21" t="s">
        <v>3470</v>
      </c>
      <c r="H819" s="21" t="s">
        <v>24</v>
      </c>
      <c r="I819" s="21" t="s">
        <v>24</v>
      </c>
      <c r="J819" s="21" t="s">
        <v>24</v>
      </c>
      <c r="K819" s="21" t="s">
        <v>25</v>
      </c>
      <c r="L819" s="21" t="s">
        <v>24</v>
      </c>
      <c r="M819" s="0" t="n">
        <v>183</v>
      </c>
      <c r="N819" s="0" t="n">
        <v>0</v>
      </c>
      <c r="Q819" s="0" t="n">
        <v>0</v>
      </c>
      <c r="S819" s="0" t="n">
        <v>0</v>
      </c>
      <c r="U819" s="22" t="b">
        <f aca="false">FALSE()</f>
        <v>0</v>
      </c>
      <c r="V819" s="0" t="n">
        <v>0.8</v>
      </c>
      <c r="W819" s="0" t="n">
        <v>0.32</v>
      </c>
      <c r="X819" s="0" t="n">
        <v>9.07</v>
      </c>
      <c r="Y819" s="0" t="n">
        <v>395.49</v>
      </c>
      <c r="Z819" s="0" t="n">
        <v>10</v>
      </c>
      <c r="AA819" s="0" t="n">
        <v>11.63</v>
      </c>
      <c r="AB819" s="0" t="n">
        <v>1.18</v>
      </c>
      <c r="AC819" s="22" t="b">
        <f aca="false">FALSE()</f>
        <v>0</v>
      </c>
      <c r="AD819" s="0" t="n">
        <v>25.74</v>
      </c>
      <c r="AE819" s="0" t="n">
        <v>12.28</v>
      </c>
      <c r="AF819" s="0" t="n">
        <v>23.9</v>
      </c>
      <c r="AG819" s="22" t="b">
        <f aca="false">TRUE()</f>
        <v>1</v>
      </c>
      <c r="AH819" s="0" t="n">
        <v>1</v>
      </c>
    </row>
    <row r="820" customFormat="false" ht="15" hidden="false" customHeight="false" outlineLevel="0" collapsed="false">
      <c r="A820" s="0" t="s">
        <v>1346</v>
      </c>
      <c r="B820" s="0" t="s">
        <v>3459</v>
      </c>
      <c r="C820" s="0" t="s">
        <v>3447</v>
      </c>
      <c r="D820" s="0" t="s">
        <v>3457</v>
      </c>
      <c r="E820" s="19" t="s">
        <v>26</v>
      </c>
      <c r="F820" s="19" t="s">
        <v>32</v>
      </c>
      <c r="G820" s="21" t="s">
        <v>1926</v>
      </c>
      <c r="H820" s="21" t="s">
        <v>24</v>
      </c>
      <c r="I820" s="21" t="s">
        <v>26</v>
      </c>
      <c r="J820" s="21" t="s">
        <v>24</v>
      </c>
      <c r="K820" s="21" t="s">
        <v>25</v>
      </c>
      <c r="L820" s="21" t="s">
        <v>24</v>
      </c>
      <c r="M820" s="0" t="n">
        <v>183</v>
      </c>
      <c r="N820" s="0" t="n">
        <v>7</v>
      </c>
      <c r="O820" s="21" t="s">
        <v>3996</v>
      </c>
      <c r="P820" s="21" t="s">
        <v>4405</v>
      </c>
      <c r="Q820" s="0" t="n">
        <v>1</v>
      </c>
      <c r="R820" s="21" t="s">
        <v>69</v>
      </c>
      <c r="S820" s="0" t="n">
        <v>7</v>
      </c>
      <c r="T820" s="21" t="s">
        <v>3996</v>
      </c>
      <c r="U820" s="22" t="b">
        <f aca="false">FALSE()</f>
        <v>0</v>
      </c>
      <c r="V820" s="0" t="n">
        <v>0.86</v>
      </c>
      <c r="W820" s="0" t="n">
        <v>0.76</v>
      </c>
      <c r="X820" s="0" t="n">
        <v>10.96</v>
      </c>
      <c r="Y820" s="0" t="n">
        <v>297.15</v>
      </c>
      <c r="Z820" s="0" t="n">
        <v>8.5</v>
      </c>
      <c r="AA820" s="0" t="n">
        <v>5.06</v>
      </c>
      <c r="AB820" s="0" t="n">
        <v>2.07</v>
      </c>
      <c r="AC820" s="22" t="b">
        <f aca="false">FALSE()</f>
        <v>0</v>
      </c>
      <c r="AD820" s="0" t="n">
        <v>23.8</v>
      </c>
      <c r="AE820" s="0" t="n">
        <v>9.75</v>
      </c>
      <c r="AF820" s="0" t="n">
        <v>22.64</v>
      </c>
      <c r="AG820" s="22" t="b">
        <f aca="false">TRUE()</f>
        <v>1</v>
      </c>
      <c r="AH820" s="0" t="n">
        <v>1</v>
      </c>
    </row>
    <row r="821" customFormat="false" ht="15" hidden="false" customHeight="false" outlineLevel="0" collapsed="false">
      <c r="A821" s="0" t="s">
        <v>1346</v>
      </c>
      <c r="B821" s="0" t="s">
        <v>3459</v>
      </c>
      <c r="C821" s="0" t="s">
        <v>3447</v>
      </c>
      <c r="D821" s="0" t="s">
        <v>3448</v>
      </c>
      <c r="E821" s="20" t="s">
        <v>25</v>
      </c>
      <c r="F821" s="23" t="s">
        <v>30</v>
      </c>
      <c r="G821" s="21" t="s">
        <v>2133</v>
      </c>
      <c r="H821" s="21" t="s">
        <v>24</v>
      </c>
      <c r="I821" s="21" t="s">
        <v>24</v>
      </c>
      <c r="J821" s="21" t="s">
        <v>24</v>
      </c>
      <c r="K821" s="21" t="s">
        <v>25</v>
      </c>
      <c r="L821" s="21" t="s">
        <v>24</v>
      </c>
      <c r="M821" s="0" t="n">
        <v>182</v>
      </c>
      <c r="N821" s="0" t="n">
        <v>2</v>
      </c>
      <c r="O821" s="21" t="s">
        <v>3520</v>
      </c>
      <c r="P821" s="21" t="s">
        <v>4557</v>
      </c>
      <c r="Q821" s="0" t="n">
        <v>0</v>
      </c>
      <c r="S821" s="0" t="n">
        <v>2</v>
      </c>
      <c r="T821" s="21" t="s">
        <v>3520</v>
      </c>
      <c r="U821" s="22" t="b">
        <f aca="false">TRUE()</f>
        <v>1</v>
      </c>
      <c r="V821" s="0" t="n">
        <v>0.85</v>
      </c>
      <c r="W821" s="0" t="n">
        <v>0.64</v>
      </c>
      <c r="X821" s="0" t="n">
        <v>11.02</v>
      </c>
      <c r="Y821" s="0" t="n">
        <v>311.87</v>
      </c>
      <c r="Z821" s="0" t="n">
        <v>8.75</v>
      </c>
      <c r="AA821" s="0" t="n">
        <v>2.6</v>
      </c>
      <c r="AB821" s="0" t="n">
        <v>1.18</v>
      </c>
      <c r="AC821" s="22" t="b">
        <f aca="false">FALSE()</f>
        <v>0</v>
      </c>
      <c r="AD821" s="0" t="n">
        <v>19.21</v>
      </c>
      <c r="AE821" s="0" t="n">
        <v>8.97</v>
      </c>
      <c r="AF821" s="0" t="n">
        <v>22.93</v>
      </c>
      <c r="AG821" s="22" t="b">
        <f aca="false">TRUE()</f>
        <v>1</v>
      </c>
      <c r="AH821" s="0" t="n">
        <v>1</v>
      </c>
    </row>
    <row r="822" customFormat="false" ht="15" hidden="false" customHeight="false" outlineLevel="0" collapsed="false">
      <c r="A822" s="0" t="s">
        <v>1350</v>
      </c>
      <c r="B822" s="0" t="s">
        <v>134</v>
      </c>
      <c r="C822" s="0" t="s">
        <v>3450</v>
      </c>
      <c r="D822" s="0" t="s">
        <v>3457</v>
      </c>
      <c r="E822" s="20" t="s">
        <v>25</v>
      </c>
      <c r="F822" s="23" t="s">
        <v>30</v>
      </c>
      <c r="G822" s="21" t="s">
        <v>1230</v>
      </c>
      <c r="H822" s="21" t="s">
        <v>24</v>
      </c>
      <c r="I822" s="21" t="s">
        <v>25</v>
      </c>
      <c r="J822" s="21" t="s">
        <v>24</v>
      </c>
      <c r="K822" s="21" t="s">
        <v>25</v>
      </c>
      <c r="L822" s="21" t="s">
        <v>24</v>
      </c>
      <c r="M822" s="0" t="n">
        <v>184</v>
      </c>
      <c r="N822" s="0" t="n">
        <v>2</v>
      </c>
      <c r="O822" s="21" t="s">
        <v>3575</v>
      </c>
      <c r="P822" s="21" t="s">
        <v>4265</v>
      </c>
      <c r="Q822" s="0" t="n">
        <v>1</v>
      </c>
      <c r="R822" s="21" t="s">
        <v>69</v>
      </c>
      <c r="S822" s="0" t="n">
        <v>2</v>
      </c>
      <c r="T822" s="21" t="s">
        <v>3575</v>
      </c>
      <c r="U822" s="22" t="b">
        <f aca="false">TRUE()</f>
        <v>1</v>
      </c>
      <c r="V822" s="0" t="n">
        <v>0.68</v>
      </c>
      <c r="W822" s="0" t="n">
        <v>0.96</v>
      </c>
      <c r="X822" s="0" t="n">
        <v>8.14</v>
      </c>
      <c r="Y822" s="0" t="n">
        <v>310.77</v>
      </c>
      <c r="Z822" s="0" t="n">
        <v>9.75</v>
      </c>
      <c r="AA822" s="0" t="n">
        <v>0.44</v>
      </c>
      <c r="AB822" s="0" t="n">
        <v>9.51</v>
      </c>
      <c r="AC822" s="22" t="b">
        <f aca="false">FALSE()</f>
        <v>0</v>
      </c>
      <c r="AD822" s="0" t="n">
        <v>11.32</v>
      </c>
      <c r="AE822" s="0" t="n">
        <v>0.32</v>
      </c>
      <c r="AF822" s="0" t="n">
        <v>4.22</v>
      </c>
      <c r="AG822" s="22" t="b">
        <f aca="false">TRUE()</f>
        <v>1</v>
      </c>
      <c r="AH822" s="0" t="n">
        <v>1</v>
      </c>
    </row>
    <row r="823" customFormat="false" ht="15" hidden="false" customHeight="false" outlineLevel="0" collapsed="false">
      <c r="A823" s="0" t="s">
        <v>1350</v>
      </c>
      <c r="B823" s="0" t="s">
        <v>134</v>
      </c>
      <c r="C823" s="0" t="s">
        <v>3450</v>
      </c>
      <c r="D823" s="0" t="s">
        <v>3448</v>
      </c>
      <c r="E823" s="20" t="s">
        <v>25</v>
      </c>
      <c r="F823" s="23" t="s">
        <v>30</v>
      </c>
      <c r="G823" s="21" t="s">
        <v>283</v>
      </c>
      <c r="H823" s="21" t="s">
        <v>24</v>
      </c>
      <c r="I823" s="21" t="s">
        <v>25</v>
      </c>
      <c r="J823" s="21" t="s">
        <v>24</v>
      </c>
      <c r="K823" s="21" t="s">
        <v>24</v>
      </c>
      <c r="L823" s="21" t="s">
        <v>24</v>
      </c>
      <c r="M823" s="0" t="n">
        <v>185</v>
      </c>
      <c r="N823" s="0" t="n">
        <v>2</v>
      </c>
      <c r="O823" s="21" t="s">
        <v>3575</v>
      </c>
      <c r="P823" s="21" t="s">
        <v>4265</v>
      </c>
      <c r="Q823" s="0" t="n">
        <v>1</v>
      </c>
      <c r="R823" s="21" t="s">
        <v>69</v>
      </c>
      <c r="S823" s="0" t="n">
        <v>2</v>
      </c>
      <c r="T823" s="21" t="s">
        <v>3575</v>
      </c>
      <c r="U823" s="22" t="b">
        <f aca="false">TRUE()</f>
        <v>1</v>
      </c>
      <c r="V823" s="0" t="n">
        <v>0.67</v>
      </c>
      <c r="W823" s="0" t="n">
        <v>0.72</v>
      </c>
      <c r="X823" s="0" t="n">
        <v>12.06</v>
      </c>
      <c r="Y823" s="0" t="n">
        <v>323.94</v>
      </c>
      <c r="Z823" s="0" t="n">
        <v>10</v>
      </c>
      <c r="AA823" s="0" t="n">
        <v>9.89</v>
      </c>
      <c r="AB823" s="0" t="n">
        <v>5.1</v>
      </c>
      <c r="AC823" s="22" t="b">
        <f aca="false">FALSE()</f>
        <v>0</v>
      </c>
      <c r="AD823" s="0" t="n">
        <v>14.01</v>
      </c>
      <c r="AE823" s="0" t="n">
        <v>0.33</v>
      </c>
      <c r="AF823" s="0" t="n">
        <v>5.03</v>
      </c>
      <c r="AG823" s="22" t="b">
        <f aca="false">TRUE()</f>
        <v>1</v>
      </c>
      <c r="AH823" s="0" t="n">
        <v>1</v>
      </c>
    </row>
    <row r="824" customFormat="false" ht="15" hidden="false" customHeight="false" outlineLevel="0" collapsed="false">
      <c r="A824" s="0" t="s">
        <v>1350</v>
      </c>
      <c r="B824" s="0" t="s">
        <v>134</v>
      </c>
      <c r="C824" s="0" t="s">
        <v>3447</v>
      </c>
      <c r="D824" s="0" t="s">
        <v>3457</v>
      </c>
      <c r="E824" s="18" t="s">
        <v>24</v>
      </c>
      <c r="F824" s="23" t="s">
        <v>30</v>
      </c>
      <c r="G824" s="21" t="s">
        <v>30</v>
      </c>
      <c r="H824" s="21" t="s">
        <v>24</v>
      </c>
      <c r="I824" s="21" t="s">
        <v>24</v>
      </c>
      <c r="J824" s="21" t="s">
        <v>24</v>
      </c>
      <c r="K824" s="21" t="s">
        <v>24</v>
      </c>
      <c r="L824" s="21" t="s">
        <v>24</v>
      </c>
      <c r="M824" s="0" t="n">
        <v>187</v>
      </c>
      <c r="N824" s="0" t="n">
        <v>2</v>
      </c>
      <c r="O824" s="21" t="s">
        <v>3523</v>
      </c>
      <c r="P824" s="21" t="s">
        <v>4394</v>
      </c>
      <c r="Q824" s="0" t="n">
        <v>0</v>
      </c>
      <c r="S824" s="0" t="n">
        <v>2</v>
      </c>
      <c r="T824" s="21" t="s">
        <v>3523</v>
      </c>
      <c r="U824" s="22" t="b">
        <f aca="false">TRUE()</f>
        <v>1</v>
      </c>
      <c r="V824" s="0" t="n">
        <v>0.75</v>
      </c>
      <c r="W824" s="0" t="n">
        <v>0.8</v>
      </c>
      <c r="X824" s="0" t="n">
        <v>8.6</v>
      </c>
      <c r="Y824" s="0" t="n">
        <v>322.2</v>
      </c>
      <c r="Z824" s="0" t="n">
        <v>9</v>
      </c>
      <c r="AA824" s="0" t="n">
        <v>-0.47</v>
      </c>
      <c r="AB824" s="0" t="n">
        <v>9.51</v>
      </c>
      <c r="AC824" s="22" t="b">
        <f aca="false">FALSE()</f>
        <v>0</v>
      </c>
      <c r="AD824" s="0" t="n">
        <v>15.94</v>
      </c>
      <c r="AE824" s="0" t="n">
        <v>1.74</v>
      </c>
      <c r="AF824" s="0" t="n">
        <v>4.98</v>
      </c>
      <c r="AG824" s="22" t="b">
        <f aca="false">TRUE()</f>
        <v>1</v>
      </c>
      <c r="AH824" s="0" t="n">
        <v>1</v>
      </c>
    </row>
    <row r="825" customFormat="false" ht="15" hidden="false" customHeight="false" outlineLevel="0" collapsed="false">
      <c r="A825" s="0" t="s">
        <v>1350</v>
      </c>
      <c r="B825" s="0" t="s">
        <v>134</v>
      </c>
      <c r="C825" s="0" t="s">
        <v>3447</v>
      </c>
      <c r="D825" s="0" t="s">
        <v>3448</v>
      </c>
      <c r="E825" s="18" t="s">
        <v>24</v>
      </c>
      <c r="F825" s="23" t="s">
        <v>30</v>
      </c>
      <c r="G825" s="21" t="s">
        <v>30</v>
      </c>
      <c r="H825" s="21" t="s">
        <v>24</v>
      </c>
      <c r="I825" s="21" t="s">
        <v>24</v>
      </c>
      <c r="J825" s="21" t="s">
        <v>24</v>
      </c>
      <c r="K825" s="21" t="s">
        <v>24</v>
      </c>
      <c r="L825" s="21" t="s">
        <v>24</v>
      </c>
      <c r="M825" s="0" t="n">
        <v>191</v>
      </c>
      <c r="N825" s="0" t="n">
        <v>4</v>
      </c>
      <c r="O825" s="21" t="s">
        <v>3676</v>
      </c>
      <c r="P825" s="21" t="s">
        <v>4558</v>
      </c>
      <c r="Q825" s="0" t="n">
        <v>0</v>
      </c>
      <c r="S825" s="0" t="n">
        <v>4</v>
      </c>
      <c r="T825" s="21" t="s">
        <v>3676</v>
      </c>
      <c r="U825" s="22" t="b">
        <f aca="false">TRUE()</f>
        <v>1</v>
      </c>
      <c r="V825" s="0" t="n">
        <v>0.71</v>
      </c>
      <c r="W825" s="0" t="n">
        <v>0.6</v>
      </c>
      <c r="X825" s="0" t="n">
        <v>12.17</v>
      </c>
      <c r="Y825" s="0" t="n">
        <v>334.39</v>
      </c>
      <c r="Z825" s="0" t="n">
        <v>9.25</v>
      </c>
      <c r="AA825" s="0" t="n">
        <v>1.87</v>
      </c>
      <c r="AB825" s="0" t="n">
        <v>5.1</v>
      </c>
      <c r="AC825" s="22" t="b">
        <f aca="false">FALSE()</f>
        <v>0</v>
      </c>
      <c r="AD825" s="0" t="n">
        <v>12.59</v>
      </c>
      <c r="AE825" s="0" t="n">
        <v>0.52</v>
      </c>
      <c r="AF825" s="0" t="n">
        <v>2.62</v>
      </c>
      <c r="AG825" s="22" t="b">
        <f aca="false">TRUE()</f>
        <v>1</v>
      </c>
      <c r="AH825" s="0" t="n">
        <v>1</v>
      </c>
    </row>
    <row r="826" customFormat="false" ht="15" hidden="false" customHeight="false" outlineLevel="0" collapsed="false">
      <c r="A826" s="0" t="s">
        <v>1350</v>
      </c>
      <c r="B826" s="0" t="s">
        <v>3459</v>
      </c>
      <c r="C826" s="0" t="s">
        <v>3450</v>
      </c>
      <c r="D826" s="0" t="s">
        <v>3457</v>
      </c>
      <c r="E826" s="20" t="s">
        <v>25</v>
      </c>
      <c r="F826" s="23" t="s">
        <v>30</v>
      </c>
      <c r="G826" s="21" t="s">
        <v>163</v>
      </c>
      <c r="H826" s="21" t="s">
        <v>24</v>
      </c>
      <c r="I826" s="21" t="s">
        <v>25</v>
      </c>
      <c r="J826" s="21" t="s">
        <v>24</v>
      </c>
      <c r="K826" s="21" t="s">
        <v>25</v>
      </c>
      <c r="L826" s="21" t="s">
        <v>24</v>
      </c>
      <c r="M826" s="0" t="n">
        <v>183</v>
      </c>
      <c r="N826" s="0" t="n">
        <v>3</v>
      </c>
      <c r="O826" s="21" t="s">
        <v>3649</v>
      </c>
      <c r="P826" s="21" t="s">
        <v>4242</v>
      </c>
      <c r="Q826" s="0" t="n">
        <v>1</v>
      </c>
      <c r="R826" s="21" t="s">
        <v>69</v>
      </c>
      <c r="S826" s="0" t="n">
        <v>3</v>
      </c>
      <c r="T826" s="21" t="s">
        <v>3649</v>
      </c>
      <c r="U826" s="22" t="b">
        <f aca="false">TRUE()</f>
        <v>1</v>
      </c>
      <c r="V826" s="0" t="n">
        <v>0.72</v>
      </c>
      <c r="W826" s="0" t="n">
        <v>0.72</v>
      </c>
      <c r="X826" s="0" t="n">
        <v>8.72</v>
      </c>
      <c r="Y826" s="0" t="n">
        <v>293.4</v>
      </c>
      <c r="Z826" s="0" t="n">
        <v>9.75</v>
      </c>
      <c r="AA826" s="0" t="n">
        <v>6.88</v>
      </c>
      <c r="AB826" s="0" t="n">
        <v>0.3</v>
      </c>
      <c r="AC826" s="22" t="b">
        <f aca="false">FALSE()</f>
        <v>0</v>
      </c>
      <c r="AD826" s="0" t="n">
        <v>27.48</v>
      </c>
      <c r="AE826" s="0" t="n">
        <v>13.58</v>
      </c>
      <c r="AF826" s="0" t="n">
        <v>22.14</v>
      </c>
      <c r="AG826" s="22" t="b">
        <f aca="false">TRUE()</f>
        <v>1</v>
      </c>
      <c r="AH826" s="0" t="n">
        <v>1</v>
      </c>
    </row>
    <row r="827" customFormat="false" ht="15" hidden="false" customHeight="false" outlineLevel="0" collapsed="false">
      <c r="A827" s="0" t="s">
        <v>1350</v>
      </c>
      <c r="B827" s="0" t="s">
        <v>3459</v>
      </c>
      <c r="C827" s="0" t="s">
        <v>3450</v>
      </c>
      <c r="D827" s="0" t="s">
        <v>3448</v>
      </c>
      <c r="E827" s="20" t="s">
        <v>25</v>
      </c>
      <c r="F827" s="23" t="s">
        <v>30</v>
      </c>
      <c r="G827" s="21" t="s">
        <v>163</v>
      </c>
      <c r="H827" s="21" t="s">
        <v>24</v>
      </c>
      <c r="I827" s="21" t="s">
        <v>25</v>
      </c>
      <c r="J827" s="21" t="s">
        <v>24</v>
      </c>
      <c r="K827" s="21" t="s">
        <v>25</v>
      </c>
      <c r="L827" s="21" t="s">
        <v>24</v>
      </c>
      <c r="M827" s="0" t="n">
        <v>183</v>
      </c>
      <c r="N827" s="0" t="n">
        <v>2</v>
      </c>
      <c r="O827" s="21" t="s">
        <v>3575</v>
      </c>
      <c r="P827" s="21" t="s">
        <v>4265</v>
      </c>
      <c r="Q827" s="0" t="n">
        <v>1</v>
      </c>
      <c r="R827" s="21" t="s">
        <v>69</v>
      </c>
      <c r="S827" s="0" t="n">
        <v>2</v>
      </c>
      <c r="T827" s="21" t="s">
        <v>3575</v>
      </c>
      <c r="U827" s="22" t="b">
        <f aca="false">TRUE()</f>
        <v>1</v>
      </c>
      <c r="V827" s="0" t="n">
        <v>0.77</v>
      </c>
      <c r="W827" s="0" t="n">
        <v>0</v>
      </c>
      <c r="X827" s="0" t="n">
        <v>8.39</v>
      </c>
      <c r="Y827" s="0" t="n">
        <v>0.56</v>
      </c>
      <c r="Z827" s="0" t="n">
        <v>10</v>
      </c>
      <c r="AA827" s="0" t="n">
        <v>8.72</v>
      </c>
      <c r="AB827" s="0" t="n">
        <v>0.13</v>
      </c>
      <c r="AC827" s="22" t="b">
        <f aca="false">FALSE()</f>
        <v>0</v>
      </c>
      <c r="AD827" s="0" t="n">
        <v>27.89</v>
      </c>
      <c r="AE827" s="0" t="n">
        <v>15.76</v>
      </c>
      <c r="AF827" s="0" t="n">
        <v>24.23</v>
      </c>
      <c r="AG827" s="22" t="b">
        <f aca="false">TRUE()</f>
        <v>1</v>
      </c>
      <c r="AH827" s="0" t="n">
        <v>0</v>
      </c>
    </row>
    <row r="828" customFormat="false" ht="15" hidden="false" customHeight="false" outlineLevel="0" collapsed="false">
      <c r="A828" s="0" t="s">
        <v>1350</v>
      </c>
      <c r="B828" s="0" t="s">
        <v>3459</v>
      </c>
      <c r="C828" s="0" t="s">
        <v>3447</v>
      </c>
      <c r="D828" s="0" t="s">
        <v>3457</v>
      </c>
      <c r="E828" s="20" t="s">
        <v>25</v>
      </c>
      <c r="F828" s="23" t="s">
        <v>30</v>
      </c>
      <c r="G828" s="21" t="s">
        <v>2610</v>
      </c>
      <c r="H828" s="21" t="s">
        <v>24</v>
      </c>
      <c r="I828" s="21" t="s">
        <v>24</v>
      </c>
      <c r="J828" s="21" t="s">
        <v>24</v>
      </c>
      <c r="K828" s="21" t="s">
        <v>25</v>
      </c>
      <c r="L828" s="21" t="s">
        <v>24</v>
      </c>
      <c r="M828" s="0" t="n">
        <v>184</v>
      </c>
      <c r="N828" s="0" t="n">
        <v>3</v>
      </c>
      <c r="O828" s="21" t="s">
        <v>3564</v>
      </c>
      <c r="P828" s="21" t="s">
        <v>4559</v>
      </c>
      <c r="Q828" s="0" t="n">
        <v>0</v>
      </c>
      <c r="S828" s="0" t="n">
        <v>3</v>
      </c>
      <c r="T828" s="21" t="s">
        <v>3564</v>
      </c>
      <c r="U828" s="22" t="b">
        <f aca="false">TRUE()</f>
        <v>1</v>
      </c>
      <c r="V828" s="0" t="n">
        <v>0.75</v>
      </c>
      <c r="W828" s="0" t="n">
        <v>0.96</v>
      </c>
      <c r="X828" s="0" t="n">
        <v>8.78</v>
      </c>
      <c r="Y828" s="0" t="n">
        <v>306.74</v>
      </c>
      <c r="Z828" s="0" t="n">
        <v>8</v>
      </c>
      <c r="AA828" s="0" t="n">
        <v>-0.99</v>
      </c>
      <c r="AB828" s="0" t="n">
        <v>0.3</v>
      </c>
      <c r="AC828" s="22" t="b">
        <f aca="false">FALSE()</f>
        <v>0</v>
      </c>
      <c r="AD828" s="0" t="n">
        <v>17.18</v>
      </c>
      <c r="AE828" s="0" t="n">
        <v>7.38</v>
      </c>
      <c r="AF828" s="0" t="n">
        <v>15.84</v>
      </c>
      <c r="AG828" s="22" t="b">
        <f aca="false">TRUE()</f>
        <v>1</v>
      </c>
      <c r="AH828" s="0" t="n">
        <v>1</v>
      </c>
    </row>
    <row r="829" customFormat="false" ht="15" hidden="false" customHeight="false" outlineLevel="0" collapsed="false">
      <c r="A829" s="0" t="s">
        <v>1350</v>
      </c>
      <c r="B829" s="0" t="s">
        <v>3459</v>
      </c>
      <c r="C829" s="0" t="s">
        <v>3447</v>
      </c>
      <c r="D829" s="0" t="s">
        <v>3448</v>
      </c>
      <c r="E829" s="20" t="s">
        <v>25</v>
      </c>
      <c r="F829" s="23" t="s">
        <v>30</v>
      </c>
      <c r="G829" s="21" t="s">
        <v>2610</v>
      </c>
      <c r="H829" s="21" t="s">
        <v>24</v>
      </c>
      <c r="I829" s="21" t="s">
        <v>24</v>
      </c>
      <c r="J829" s="21" t="s">
        <v>24</v>
      </c>
      <c r="K829" s="21" t="s">
        <v>25</v>
      </c>
      <c r="L829" s="21" t="s">
        <v>24</v>
      </c>
      <c r="M829" s="0" t="n">
        <v>184</v>
      </c>
      <c r="N829" s="0" t="n">
        <v>3</v>
      </c>
      <c r="O829" s="21" t="s">
        <v>3564</v>
      </c>
      <c r="P829" s="21" t="s">
        <v>4559</v>
      </c>
      <c r="Q829" s="0" t="n">
        <v>0</v>
      </c>
      <c r="S829" s="0" t="n">
        <v>3</v>
      </c>
      <c r="T829" s="21" t="s">
        <v>3564</v>
      </c>
      <c r="U829" s="22" t="b">
        <f aca="false">TRUE()</f>
        <v>1</v>
      </c>
      <c r="V829" s="0" t="n">
        <v>0.72</v>
      </c>
      <c r="W829" s="0" t="n">
        <v>0.96</v>
      </c>
      <c r="X829" s="0" t="n">
        <v>9.99</v>
      </c>
      <c r="Y829" s="0" t="n">
        <v>317.71</v>
      </c>
      <c r="Z829" s="0" t="n">
        <v>8</v>
      </c>
      <c r="AA829" s="0" t="n">
        <v>-1.03</v>
      </c>
      <c r="AB829" s="0" t="n">
        <v>0.13</v>
      </c>
      <c r="AC829" s="22" t="b">
        <f aca="false">FALSE()</f>
        <v>0</v>
      </c>
      <c r="AD829" s="0" t="n">
        <v>11.31</v>
      </c>
      <c r="AE829" s="0" t="n">
        <v>3.93</v>
      </c>
      <c r="AF829" s="0" t="n">
        <v>11.26</v>
      </c>
      <c r="AG829" s="22" t="b">
        <f aca="false">TRUE()</f>
        <v>1</v>
      </c>
      <c r="AH829" s="0" t="n">
        <v>1</v>
      </c>
    </row>
    <row r="830" customFormat="false" ht="15" hidden="false" customHeight="false" outlineLevel="0" collapsed="false">
      <c r="A830" s="0" t="s">
        <v>1355</v>
      </c>
      <c r="B830" s="0" t="s">
        <v>134</v>
      </c>
      <c r="C830" s="0" t="s">
        <v>3450</v>
      </c>
      <c r="D830" s="0" t="s">
        <v>3457</v>
      </c>
      <c r="E830" s="20" t="s">
        <v>25</v>
      </c>
      <c r="F830" s="23" t="s">
        <v>30</v>
      </c>
      <c r="G830" s="21" t="s">
        <v>1099</v>
      </c>
      <c r="H830" s="21" t="s">
        <v>24</v>
      </c>
      <c r="I830" s="21" t="s">
        <v>25</v>
      </c>
      <c r="J830" s="21" t="s">
        <v>24</v>
      </c>
      <c r="K830" s="21" t="s">
        <v>25</v>
      </c>
      <c r="L830" s="21" t="s">
        <v>24</v>
      </c>
      <c r="M830" s="0" t="n">
        <v>186</v>
      </c>
      <c r="N830" s="0" t="n">
        <v>1</v>
      </c>
      <c r="O830" s="21" t="s">
        <v>69</v>
      </c>
      <c r="P830" s="21" t="s">
        <v>4275</v>
      </c>
      <c r="Q830" s="0" t="n">
        <v>1</v>
      </c>
      <c r="R830" s="21" t="s">
        <v>69</v>
      </c>
      <c r="S830" s="0" t="n">
        <v>1</v>
      </c>
      <c r="T830" s="21" t="s">
        <v>69</v>
      </c>
      <c r="U830" s="22" t="b">
        <f aca="false">TRUE()</f>
        <v>1</v>
      </c>
      <c r="V830" s="0" t="n">
        <v>0.7</v>
      </c>
      <c r="W830" s="0" t="n">
        <v>0.2</v>
      </c>
      <c r="X830" s="0" t="n">
        <v>8.03</v>
      </c>
      <c r="Y830" s="0" t="n">
        <v>492.35</v>
      </c>
      <c r="Z830" s="0" t="n">
        <v>9.5</v>
      </c>
      <c r="AA830" s="0" t="n">
        <v>9.68</v>
      </c>
      <c r="AB830" s="0" t="n">
        <v>0.92</v>
      </c>
      <c r="AC830" s="22" t="b">
        <f aca="false">FALSE()</f>
        <v>0</v>
      </c>
      <c r="AD830" s="0" t="n">
        <v>15.38</v>
      </c>
      <c r="AE830" s="0" t="n">
        <v>-0.09</v>
      </c>
      <c r="AF830" s="0" t="n">
        <v>11.85</v>
      </c>
      <c r="AG830" s="22" t="b">
        <f aca="false">TRUE()</f>
        <v>1</v>
      </c>
      <c r="AH830" s="0" t="n">
        <v>1</v>
      </c>
    </row>
    <row r="831" customFormat="false" ht="15" hidden="false" customHeight="false" outlineLevel="0" collapsed="false">
      <c r="A831" s="0" t="s">
        <v>1355</v>
      </c>
      <c r="B831" s="0" t="s">
        <v>134</v>
      </c>
      <c r="C831" s="0" t="s">
        <v>3450</v>
      </c>
      <c r="D831" s="0" t="s">
        <v>3448</v>
      </c>
      <c r="E831" s="20" t="s">
        <v>25</v>
      </c>
      <c r="F831" s="23" t="s">
        <v>30</v>
      </c>
      <c r="G831" s="21" t="s">
        <v>283</v>
      </c>
      <c r="H831" s="21" t="s">
        <v>24</v>
      </c>
      <c r="I831" s="21" t="s">
        <v>25</v>
      </c>
      <c r="J831" s="21" t="s">
        <v>24</v>
      </c>
      <c r="K831" s="21" t="s">
        <v>24</v>
      </c>
      <c r="L831" s="21" t="s">
        <v>24</v>
      </c>
      <c r="M831" s="0" t="n">
        <v>186</v>
      </c>
      <c r="N831" s="0" t="n">
        <v>3</v>
      </c>
      <c r="O831" s="21" t="s">
        <v>3695</v>
      </c>
      <c r="P831" s="21" t="s">
        <v>4289</v>
      </c>
      <c r="Q831" s="0" t="n">
        <v>1</v>
      </c>
      <c r="R831" s="21" t="s">
        <v>69</v>
      </c>
      <c r="S831" s="0" t="n">
        <v>3</v>
      </c>
      <c r="T831" s="21" t="s">
        <v>3695</v>
      </c>
      <c r="U831" s="22" t="b">
        <f aca="false">TRUE()</f>
        <v>1</v>
      </c>
      <c r="V831" s="0" t="n">
        <v>0.64</v>
      </c>
      <c r="W831" s="0" t="n">
        <v>0.84</v>
      </c>
      <c r="X831" s="0" t="n">
        <v>10</v>
      </c>
      <c r="Y831" s="0" t="n">
        <v>321.76</v>
      </c>
      <c r="Z831" s="0" t="n">
        <v>9.25</v>
      </c>
      <c r="AA831" s="0" t="n">
        <v>4.32</v>
      </c>
      <c r="AB831" s="0" t="n">
        <v>8.99</v>
      </c>
      <c r="AC831" s="22" t="b">
        <f aca="false">FALSE()</f>
        <v>0</v>
      </c>
      <c r="AD831" s="0" t="n">
        <v>6.6</v>
      </c>
      <c r="AE831" s="0" t="n">
        <v>0.15</v>
      </c>
      <c r="AF831" s="0" t="n">
        <v>2.6</v>
      </c>
      <c r="AG831" s="22" t="b">
        <f aca="false">FALSE()</f>
        <v>0</v>
      </c>
      <c r="AH831" s="0" t="n">
        <v>1</v>
      </c>
    </row>
    <row r="832" customFormat="false" ht="15" hidden="false" customHeight="false" outlineLevel="0" collapsed="false">
      <c r="A832" s="0" t="s">
        <v>1355</v>
      </c>
      <c r="B832" s="0" t="s">
        <v>134</v>
      </c>
      <c r="C832" s="0" t="s">
        <v>3447</v>
      </c>
      <c r="D832" s="0" t="s">
        <v>3457</v>
      </c>
      <c r="E832" s="19" t="s">
        <v>26</v>
      </c>
      <c r="F832" s="19" t="s">
        <v>32</v>
      </c>
      <c r="G832" s="21" t="s">
        <v>1451</v>
      </c>
      <c r="H832" s="21" t="s">
        <v>24</v>
      </c>
      <c r="I832" s="21" t="s">
        <v>26</v>
      </c>
      <c r="J832" s="21" t="s">
        <v>24</v>
      </c>
      <c r="K832" s="21" t="s">
        <v>25</v>
      </c>
      <c r="L832" s="21" t="s">
        <v>24</v>
      </c>
      <c r="M832" s="0" t="n">
        <v>188</v>
      </c>
      <c r="N832" s="0" t="n">
        <v>13</v>
      </c>
      <c r="O832" s="21" t="s">
        <v>4143</v>
      </c>
      <c r="P832" s="21" t="s">
        <v>4560</v>
      </c>
      <c r="Q832" s="0" t="n">
        <v>1</v>
      </c>
      <c r="R832" s="21" t="s">
        <v>69</v>
      </c>
      <c r="S832" s="0" t="n">
        <v>13</v>
      </c>
      <c r="T832" s="21" t="s">
        <v>4143</v>
      </c>
      <c r="U832" s="22" t="b">
        <f aca="false">FALSE()</f>
        <v>0</v>
      </c>
      <c r="V832" s="0" t="n">
        <v>0.66</v>
      </c>
      <c r="W832" s="0" t="n">
        <v>0.8</v>
      </c>
      <c r="X832" s="0" t="n">
        <v>9.73</v>
      </c>
      <c r="Y832" s="0" t="n">
        <v>324.1</v>
      </c>
      <c r="Z832" s="0" t="n">
        <v>8.08</v>
      </c>
      <c r="AA832" s="0" t="n">
        <v>-0.32</v>
      </c>
      <c r="AB832" s="0" t="n">
        <v>0.92</v>
      </c>
      <c r="AC832" s="22" t="b">
        <f aca="false">FALSE()</f>
        <v>0</v>
      </c>
      <c r="AD832" s="0" t="n">
        <v>5.2</v>
      </c>
      <c r="AE832" s="0" t="n">
        <v>0.38</v>
      </c>
      <c r="AF832" s="0" t="n">
        <v>3.49</v>
      </c>
      <c r="AG832" s="22" t="b">
        <f aca="false">FALSE()</f>
        <v>0</v>
      </c>
      <c r="AH832" s="0" t="n">
        <v>1</v>
      </c>
    </row>
    <row r="833" customFormat="false" ht="15" hidden="false" customHeight="false" outlineLevel="0" collapsed="false">
      <c r="A833" s="0" t="s">
        <v>1355</v>
      </c>
      <c r="B833" s="0" t="s">
        <v>134</v>
      </c>
      <c r="C833" s="0" t="s">
        <v>3447</v>
      </c>
      <c r="D833" s="0" t="s">
        <v>3448</v>
      </c>
      <c r="E833" s="19" t="s">
        <v>26</v>
      </c>
      <c r="F833" s="19" t="s">
        <v>32</v>
      </c>
      <c r="G833" s="21" t="s">
        <v>60</v>
      </c>
      <c r="H833" s="21" t="s">
        <v>24</v>
      </c>
      <c r="I833" s="21" t="s">
        <v>26</v>
      </c>
      <c r="J833" s="21" t="s">
        <v>24</v>
      </c>
      <c r="K833" s="21" t="s">
        <v>24</v>
      </c>
      <c r="L833" s="21" t="s">
        <v>24</v>
      </c>
      <c r="M833" s="0" t="n">
        <v>186</v>
      </c>
      <c r="N833" s="0" t="n">
        <v>14</v>
      </c>
      <c r="O833" s="21" t="s">
        <v>3995</v>
      </c>
      <c r="P833" s="21" t="s">
        <v>4561</v>
      </c>
      <c r="Q833" s="0" t="n">
        <v>0</v>
      </c>
      <c r="S833" s="0" t="n">
        <v>14</v>
      </c>
      <c r="T833" s="21" t="s">
        <v>3995</v>
      </c>
      <c r="U833" s="22" t="b">
        <f aca="false">FALSE()</f>
        <v>0</v>
      </c>
      <c r="V833" s="0" t="n">
        <v>0.7</v>
      </c>
      <c r="W833" s="0" t="n">
        <v>0.44</v>
      </c>
      <c r="X833" s="0" t="n">
        <v>8.69</v>
      </c>
      <c r="Y833" s="0" t="n">
        <v>348.13</v>
      </c>
      <c r="Z833" s="0" t="n">
        <v>8.25</v>
      </c>
      <c r="AA833" s="0" t="n">
        <v>0.05</v>
      </c>
      <c r="AB833" s="0" t="n">
        <v>8.99</v>
      </c>
      <c r="AC833" s="22" t="b">
        <f aca="false">FALSE()</f>
        <v>0</v>
      </c>
      <c r="AD833" s="0" t="n">
        <v>13.1</v>
      </c>
      <c r="AE833" s="0" t="n">
        <v>0.57</v>
      </c>
      <c r="AF833" s="0" t="n">
        <v>6.54</v>
      </c>
      <c r="AG833" s="22" t="b">
        <f aca="false">TRUE()</f>
        <v>1</v>
      </c>
      <c r="AH833" s="0" t="n">
        <v>1</v>
      </c>
    </row>
    <row r="834" customFormat="false" ht="15" hidden="false" customHeight="false" outlineLevel="0" collapsed="false">
      <c r="A834" s="0" t="s">
        <v>1360</v>
      </c>
      <c r="B834" s="0" t="s">
        <v>134</v>
      </c>
      <c r="C834" s="0" t="s">
        <v>3450</v>
      </c>
      <c r="D834" s="0" t="s">
        <v>3457</v>
      </c>
      <c r="E834" s="20" t="s">
        <v>25</v>
      </c>
      <c r="F834" s="23" t="s">
        <v>30</v>
      </c>
      <c r="G834" s="21" t="s">
        <v>283</v>
      </c>
      <c r="H834" s="21" t="s">
        <v>24</v>
      </c>
      <c r="I834" s="21" t="s">
        <v>25</v>
      </c>
      <c r="J834" s="21" t="s">
        <v>24</v>
      </c>
      <c r="K834" s="21" t="s">
        <v>24</v>
      </c>
      <c r="L834" s="21" t="s">
        <v>24</v>
      </c>
      <c r="M834" s="0" t="n">
        <v>183</v>
      </c>
      <c r="N834" s="0" t="n">
        <v>2</v>
      </c>
      <c r="O834" s="21" t="s">
        <v>3575</v>
      </c>
      <c r="P834" s="21" t="s">
        <v>4265</v>
      </c>
      <c r="Q834" s="0" t="n">
        <v>1</v>
      </c>
      <c r="R834" s="21" t="s">
        <v>69</v>
      </c>
      <c r="S834" s="0" t="n">
        <v>2</v>
      </c>
      <c r="T834" s="21" t="s">
        <v>3575</v>
      </c>
      <c r="U834" s="22" t="b">
        <f aca="false">TRUE()</f>
        <v>1</v>
      </c>
      <c r="V834" s="0" t="n">
        <v>0.7</v>
      </c>
      <c r="W834" s="0" t="n">
        <v>0.72</v>
      </c>
      <c r="X834" s="0" t="n">
        <v>7.89</v>
      </c>
      <c r="Y834" s="0" t="n">
        <v>318.56</v>
      </c>
      <c r="Z834" s="0" t="n">
        <v>10.75</v>
      </c>
      <c r="AA834" s="0" t="n">
        <v>11.41</v>
      </c>
      <c r="AB834" s="0" t="n">
        <v>4.49</v>
      </c>
      <c r="AC834" s="22" t="b">
        <f aca="false">FALSE()</f>
        <v>0</v>
      </c>
      <c r="AD834" s="0" t="n">
        <v>5.13</v>
      </c>
      <c r="AE834" s="0" t="n">
        <v>0.76</v>
      </c>
      <c r="AF834" s="0" t="n">
        <v>7.62</v>
      </c>
      <c r="AG834" s="22" t="b">
        <f aca="false">FALSE()</f>
        <v>0</v>
      </c>
      <c r="AH834" s="0" t="n">
        <v>1</v>
      </c>
    </row>
    <row r="835" customFormat="false" ht="15" hidden="false" customHeight="false" outlineLevel="0" collapsed="false">
      <c r="A835" s="0" t="s">
        <v>1360</v>
      </c>
      <c r="B835" s="0" t="s">
        <v>134</v>
      </c>
      <c r="C835" s="0" t="s">
        <v>3450</v>
      </c>
      <c r="D835" s="0" t="s">
        <v>3448</v>
      </c>
      <c r="E835" s="18" t="s">
        <v>24</v>
      </c>
      <c r="F835" s="18" t="s">
        <v>28</v>
      </c>
      <c r="H835" s="21" t="s">
        <v>24</v>
      </c>
      <c r="I835" s="21" t="s">
        <v>24</v>
      </c>
      <c r="J835" s="21" t="s">
        <v>24</v>
      </c>
      <c r="K835" s="21" t="s">
        <v>24</v>
      </c>
      <c r="L835" s="21" t="s">
        <v>24</v>
      </c>
      <c r="M835" s="0" t="n">
        <v>215</v>
      </c>
      <c r="N835" s="0" t="n">
        <v>0</v>
      </c>
      <c r="Q835" s="0" t="n">
        <v>0</v>
      </c>
      <c r="S835" s="0" t="n">
        <v>0</v>
      </c>
      <c r="U835" s="22" t="b">
        <f aca="false">FALSE()</f>
        <v>0</v>
      </c>
      <c r="V835" s="0" t="n">
        <v>0.79</v>
      </c>
      <c r="W835" s="0" t="n">
        <v>0.24</v>
      </c>
      <c r="X835" s="0" t="n">
        <v>7.97</v>
      </c>
      <c r="Y835" s="0" t="n">
        <v>509.82</v>
      </c>
      <c r="Z835" s="0" t="n">
        <v>10</v>
      </c>
      <c r="AA835" s="0" t="n">
        <v>9.42</v>
      </c>
      <c r="AB835" s="0" t="n">
        <v>3.7</v>
      </c>
      <c r="AC835" s="22" t="b">
        <f aca="false">FALSE()</f>
        <v>0</v>
      </c>
      <c r="AD835" s="0" t="n">
        <v>2.38</v>
      </c>
      <c r="AE835" s="0" t="n">
        <v>-0.35</v>
      </c>
      <c r="AF835" s="0" t="n">
        <v>9.84</v>
      </c>
      <c r="AG835" s="22" t="b">
        <f aca="false">FALSE()</f>
        <v>0</v>
      </c>
      <c r="AH835" s="0" t="n">
        <v>1</v>
      </c>
    </row>
    <row r="836" customFormat="false" ht="15" hidden="false" customHeight="false" outlineLevel="0" collapsed="false">
      <c r="A836" s="0" t="s">
        <v>1360</v>
      </c>
      <c r="B836" s="0" t="s">
        <v>134</v>
      </c>
      <c r="C836" s="0" t="s">
        <v>3447</v>
      </c>
      <c r="D836" s="0" t="s">
        <v>3457</v>
      </c>
      <c r="E836" s="20" t="s">
        <v>25</v>
      </c>
      <c r="F836" s="23" t="s">
        <v>30</v>
      </c>
      <c r="G836" s="21" t="s">
        <v>283</v>
      </c>
      <c r="H836" s="21" t="s">
        <v>24</v>
      </c>
      <c r="I836" s="21" t="s">
        <v>25</v>
      </c>
      <c r="J836" s="21" t="s">
        <v>24</v>
      </c>
      <c r="K836" s="21" t="s">
        <v>24</v>
      </c>
      <c r="L836" s="21" t="s">
        <v>24</v>
      </c>
      <c r="M836" s="0" t="n">
        <v>185</v>
      </c>
      <c r="N836" s="0" t="n">
        <v>1</v>
      </c>
      <c r="O836" s="21" t="s">
        <v>69</v>
      </c>
      <c r="P836" s="21" t="s">
        <v>4275</v>
      </c>
      <c r="Q836" s="0" t="n">
        <v>1</v>
      </c>
      <c r="R836" s="21" t="s">
        <v>69</v>
      </c>
      <c r="S836" s="0" t="n">
        <v>1</v>
      </c>
      <c r="T836" s="21" t="s">
        <v>69</v>
      </c>
      <c r="U836" s="22" t="b">
        <f aca="false">TRUE()</f>
        <v>1</v>
      </c>
      <c r="V836" s="0" t="n">
        <v>0.69</v>
      </c>
      <c r="W836" s="0" t="n">
        <v>0</v>
      </c>
      <c r="X836" s="0" t="n">
        <v>7.37</v>
      </c>
      <c r="Y836" s="0" t="n">
        <v>0.96</v>
      </c>
      <c r="Z836" s="0" t="n">
        <v>9.92</v>
      </c>
      <c r="AA836" s="0" t="n">
        <v>2.86</v>
      </c>
      <c r="AB836" s="0" t="n">
        <v>4.49</v>
      </c>
      <c r="AC836" s="22" t="b">
        <f aca="false">FALSE()</f>
        <v>0</v>
      </c>
      <c r="AD836" s="0" t="n">
        <v>7.88</v>
      </c>
      <c r="AE836" s="0" t="n">
        <v>0.88</v>
      </c>
      <c r="AF836" s="0" t="n">
        <v>7.43</v>
      </c>
      <c r="AG836" s="22" t="b">
        <f aca="false">FALSE()</f>
        <v>0</v>
      </c>
      <c r="AH836" s="0" t="n">
        <v>0</v>
      </c>
    </row>
    <row r="837" customFormat="false" ht="15" hidden="false" customHeight="false" outlineLevel="0" collapsed="false">
      <c r="A837" s="0" t="s">
        <v>1360</v>
      </c>
      <c r="B837" s="0" t="s">
        <v>134</v>
      </c>
      <c r="C837" s="0" t="s">
        <v>3447</v>
      </c>
      <c r="D837" s="0" t="s">
        <v>3448</v>
      </c>
      <c r="E837" s="20" t="s">
        <v>25</v>
      </c>
      <c r="F837" s="23" t="s">
        <v>30</v>
      </c>
      <c r="G837" s="21" t="s">
        <v>283</v>
      </c>
      <c r="H837" s="21" t="s">
        <v>24</v>
      </c>
      <c r="I837" s="21" t="s">
        <v>25</v>
      </c>
      <c r="J837" s="21" t="s">
        <v>24</v>
      </c>
      <c r="K837" s="21" t="s">
        <v>24</v>
      </c>
      <c r="L837" s="21" t="s">
        <v>24</v>
      </c>
      <c r="M837" s="0" t="n">
        <v>191</v>
      </c>
      <c r="N837" s="0" t="n">
        <v>3</v>
      </c>
      <c r="O837" s="21" t="s">
        <v>3649</v>
      </c>
      <c r="P837" s="21" t="s">
        <v>4242</v>
      </c>
      <c r="Q837" s="0" t="n">
        <v>1</v>
      </c>
      <c r="R837" s="21" t="s">
        <v>69</v>
      </c>
      <c r="S837" s="0" t="n">
        <v>3</v>
      </c>
      <c r="T837" s="21" t="s">
        <v>3649</v>
      </c>
      <c r="U837" s="22" t="b">
        <f aca="false">TRUE()</f>
        <v>1</v>
      </c>
      <c r="V837" s="0" t="n">
        <v>0.76</v>
      </c>
      <c r="W837" s="0" t="n">
        <v>0.4</v>
      </c>
      <c r="X837" s="0" t="n">
        <v>8.1</v>
      </c>
      <c r="Y837" s="0" t="n">
        <v>341.94</v>
      </c>
      <c r="Z837" s="0" t="n">
        <v>9.75</v>
      </c>
      <c r="AA837" s="0" t="n">
        <v>4.33</v>
      </c>
      <c r="AB837" s="0" t="n">
        <v>3.7</v>
      </c>
      <c r="AC837" s="22" t="b">
        <f aca="false">FALSE()</f>
        <v>0</v>
      </c>
      <c r="AD837" s="0" t="n">
        <v>2.04</v>
      </c>
      <c r="AE837" s="0" t="n">
        <v>0.87</v>
      </c>
      <c r="AF837" s="0" t="n">
        <v>6.28</v>
      </c>
      <c r="AG837" s="22" t="b">
        <f aca="false">FALSE()</f>
        <v>0</v>
      </c>
      <c r="AH837" s="0" t="n">
        <v>1</v>
      </c>
    </row>
    <row r="838" customFormat="false" ht="15" hidden="false" customHeight="false" outlineLevel="0" collapsed="false">
      <c r="A838" s="0" t="s">
        <v>1370</v>
      </c>
      <c r="B838" s="0" t="s">
        <v>134</v>
      </c>
      <c r="C838" s="0" t="s">
        <v>3450</v>
      </c>
      <c r="D838" s="0" t="s">
        <v>3457</v>
      </c>
      <c r="E838" s="20" t="s">
        <v>25</v>
      </c>
      <c r="F838" s="20" t="s">
        <v>29</v>
      </c>
      <c r="G838" s="21" t="s">
        <v>3470</v>
      </c>
      <c r="H838" s="21" t="s">
        <v>24</v>
      </c>
      <c r="I838" s="21" t="s">
        <v>24</v>
      </c>
      <c r="J838" s="21" t="s">
        <v>24</v>
      </c>
      <c r="K838" s="21" t="s">
        <v>25</v>
      </c>
      <c r="L838" s="21" t="s">
        <v>24</v>
      </c>
      <c r="M838" s="0" t="n">
        <v>182</v>
      </c>
      <c r="N838" s="0" t="n">
        <v>0</v>
      </c>
      <c r="Q838" s="0" t="n">
        <v>0</v>
      </c>
      <c r="S838" s="0" t="n">
        <v>0</v>
      </c>
      <c r="U838" s="22" t="b">
        <f aca="false">FALSE()</f>
        <v>0</v>
      </c>
      <c r="V838" s="0" t="n">
        <v>0.76</v>
      </c>
      <c r="W838" s="0" t="n">
        <v>0.48</v>
      </c>
      <c r="X838" s="0" t="n">
        <v>10.48</v>
      </c>
      <c r="Y838" s="0" t="n">
        <v>323.54</v>
      </c>
      <c r="Z838" s="0" t="n">
        <v>10.5</v>
      </c>
      <c r="AA838" s="0" t="n">
        <v>12.7</v>
      </c>
      <c r="AB838" s="0" t="n">
        <v>1.08</v>
      </c>
      <c r="AC838" s="22" t="b">
        <f aca="false">FALSE()</f>
        <v>0</v>
      </c>
      <c r="AD838" s="0" t="n">
        <v>20.01</v>
      </c>
      <c r="AE838" s="0" t="n">
        <v>12.19</v>
      </c>
      <c r="AF838" s="0" t="n">
        <v>20.39</v>
      </c>
      <c r="AG838" s="22" t="b">
        <f aca="false">TRUE()</f>
        <v>1</v>
      </c>
      <c r="AH838" s="0" t="n">
        <v>1</v>
      </c>
    </row>
    <row r="839" customFormat="false" ht="15" hidden="false" customHeight="false" outlineLevel="0" collapsed="false">
      <c r="A839" s="0" t="s">
        <v>1370</v>
      </c>
      <c r="B839" s="0" t="s">
        <v>134</v>
      </c>
      <c r="C839" s="0" t="s">
        <v>3450</v>
      </c>
      <c r="D839" s="0" t="s">
        <v>3448</v>
      </c>
      <c r="E839" s="20" t="s">
        <v>25</v>
      </c>
      <c r="F839" s="20" t="s">
        <v>29</v>
      </c>
      <c r="G839" s="21" t="s">
        <v>61</v>
      </c>
      <c r="H839" s="21" t="s">
        <v>24</v>
      </c>
      <c r="I839" s="21" t="s">
        <v>24</v>
      </c>
      <c r="J839" s="21" t="s">
        <v>24</v>
      </c>
      <c r="K839" s="21" t="s">
        <v>25</v>
      </c>
      <c r="L839" s="21" t="s">
        <v>24</v>
      </c>
      <c r="M839" s="0" t="n">
        <v>183</v>
      </c>
      <c r="N839" s="0" t="n">
        <v>0</v>
      </c>
      <c r="Q839" s="0" t="n">
        <v>0</v>
      </c>
      <c r="S839" s="0" t="n">
        <v>0</v>
      </c>
      <c r="U839" s="22" t="b">
        <f aca="false">FALSE()</f>
        <v>0</v>
      </c>
      <c r="V839" s="0" t="n">
        <v>0.76</v>
      </c>
      <c r="W839" s="0" t="n">
        <v>0.4</v>
      </c>
      <c r="X839" s="0" t="n">
        <v>10.57</v>
      </c>
      <c r="Y839" s="0" t="n">
        <v>355.79</v>
      </c>
      <c r="Z839" s="0" t="n">
        <v>10.5</v>
      </c>
      <c r="AA839" s="0" t="n">
        <v>12.68</v>
      </c>
      <c r="AB839" s="0" t="n">
        <v>1.76</v>
      </c>
      <c r="AC839" s="22" t="b">
        <f aca="false">FALSE()</f>
        <v>0</v>
      </c>
      <c r="AD839" s="0" t="n">
        <v>21.98</v>
      </c>
      <c r="AE839" s="0" t="n">
        <v>14.6</v>
      </c>
      <c r="AF839" s="0" t="n">
        <v>22.75</v>
      </c>
      <c r="AG839" s="22" t="b">
        <f aca="false">TRUE()</f>
        <v>1</v>
      </c>
      <c r="AH839" s="0" t="n">
        <v>1</v>
      </c>
    </row>
    <row r="840" customFormat="false" ht="15" hidden="false" customHeight="false" outlineLevel="0" collapsed="false">
      <c r="A840" s="0" t="s">
        <v>1370</v>
      </c>
      <c r="B840" s="0" t="s">
        <v>134</v>
      </c>
      <c r="C840" s="0" t="s">
        <v>3447</v>
      </c>
      <c r="D840" s="0" t="s">
        <v>3457</v>
      </c>
      <c r="E840" s="19" t="s">
        <v>26</v>
      </c>
      <c r="F840" s="19" t="s">
        <v>32</v>
      </c>
      <c r="G840" s="21" t="s">
        <v>1451</v>
      </c>
      <c r="H840" s="21" t="s">
        <v>24</v>
      </c>
      <c r="I840" s="21" t="s">
        <v>26</v>
      </c>
      <c r="J840" s="21" t="s">
        <v>24</v>
      </c>
      <c r="K840" s="21" t="s">
        <v>25</v>
      </c>
      <c r="L840" s="21" t="s">
        <v>24</v>
      </c>
      <c r="M840" s="0" t="n">
        <v>186</v>
      </c>
      <c r="N840" s="0" t="n">
        <v>10</v>
      </c>
      <c r="O840" s="21" t="s">
        <v>4011</v>
      </c>
      <c r="P840" s="21" t="s">
        <v>4248</v>
      </c>
      <c r="Q840" s="0" t="n">
        <v>1</v>
      </c>
      <c r="R840" s="21" t="s">
        <v>69</v>
      </c>
      <c r="S840" s="0" t="n">
        <v>10</v>
      </c>
      <c r="T840" s="21" t="s">
        <v>4011</v>
      </c>
      <c r="U840" s="22" t="b">
        <f aca="false">FALSE()</f>
        <v>0</v>
      </c>
      <c r="V840" s="0" t="n">
        <v>0.79</v>
      </c>
      <c r="W840" s="0" t="n">
        <v>0.88</v>
      </c>
      <c r="X840" s="0" t="n">
        <v>9.07</v>
      </c>
      <c r="Y840" s="0" t="n">
        <v>321.61</v>
      </c>
      <c r="Z840" s="0" t="n">
        <v>9.67</v>
      </c>
      <c r="AA840" s="0" t="n">
        <v>-0.52</v>
      </c>
      <c r="AB840" s="0" t="n">
        <v>1.08</v>
      </c>
      <c r="AC840" s="22" t="b">
        <f aca="false">FALSE()</f>
        <v>0</v>
      </c>
      <c r="AD840" s="0" t="n">
        <v>11.26</v>
      </c>
      <c r="AE840" s="0" t="n">
        <v>4.64</v>
      </c>
      <c r="AF840" s="0" t="n">
        <v>12.7</v>
      </c>
      <c r="AG840" s="22" t="b">
        <f aca="false">TRUE()</f>
        <v>1</v>
      </c>
      <c r="AH840" s="0" t="n">
        <v>1</v>
      </c>
    </row>
    <row r="841" customFormat="false" ht="15" hidden="false" customHeight="false" outlineLevel="0" collapsed="false">
      <c r="A841" s="0" t="s">
        <v>1370</v>
      </c>
      <c r="B841" s="0" t="s">
        <v>134</v>
      </c>
      <c r="C841" s="0" t="s">
        <v>3447</v>
      </c>
      <c r="D841" s="0" t="s">
        <v>3448</v>
      </c>
      <c r="E841" s="20" t="s">
        <v>25</v>
      </c>
      <c r="F841" s="23" t="s">
        <v>30</v>
      </c>
      <c r="G841" s="21" t="s">
        <v>992</v>
      </c>
      <c r="H841" s="21" t="s">
        <v>24</v>
      </c>
      <c r="I841" s="21" t="s">
        <v>24</v>
      </c>
      <c r="J841" s="21" t="s">
        <v>24</v>
      </c>
      <c r="K841" s="21" t="s">
        <v>25</v>
      </c>
      <c r="L841" s="21" t="s">
        <v>24</v>
      </c>
      <c r="M841" s="0" t="n">
        <v>184</v>
      </c>
      <c r="N841" s="0" t="n">
        <v>4</v>
      </c>
      <c r="O841" s="21" t="s">
        <v>3624</v>
      </c>
      <c r="P841" s="21" t="s">
        <v>4562</v>
      </c>
      <c r="Q841" s="0" t="n">
        <v>0</v>
      </c>
      <c r="S841" s="0" t="n">
        <v>4</v>
      </c>
      <c r="T841" s="21" t="s">
        <v>3624</v>
      </c>
      <c r="U841" s="22" t="b">
        <f aca="false">TRUE()</f>
        <v>1</v>
      </c>
      <c r="V841" s="0" t="n">
        <v>0.81</v>
      </c>
      <c r="W841" s="0" t="n">
        <v>0.12</v>
      </c>
      <c r="X841" s="0" t="n">
        <v>10.71</v>
      </c>
      <c r="Y841" s="0" t="n">
        <v>622.13</v>
      </c>
      <c r="Z841" s="0" t="n">
        <v>10.75</v>
      </c>
      <c r="AA841" s="0" t="n">
        <v>10.59</v>
      </c>
      <c r="AB841" s="0" t="n">
        <v>1.76</v>
      </c>
      <c r="AC841" s="22" t="b">
        <f aca="false">FALSE()</f>
        <v>0</v>
      </c>
      <c r="AD841" s="0" t="n">
        <v>20.49</v>
      </c>
      <c r="AE841" s="0" t="n">
        <v>12.88</v>
      </c>
      <c r="AF841" s="0" t="n">
        <v>21.35</v>
      </c>
      <c r="AG841" s="22" t="b">
        <f aca="false">TRUE()</f>
        <v>1</v>
      </c>
      <c r="AH841" s="0" t="n">
        <v>1</v>
      </c>
    </row>
    <row r="842" customFormat="false" ht="15" hidden="false" customHeight="false" outlineLevel="0" collapsed="false">
      <c r="A842" s="0" t="s">
        <v>1380</v>
      </c>
      <c r="B842" s="0" t="s">
        <v>134</v>
      </c>
      <c r="C842" s="0" t="s">
        <v>3450</v>
      </c>
      <c r="D842" s="0" t="s">
        <v>3457</v>
      </c>
      <c r="E842" s="20" t="s">
        <v>25</v>
      </c>
      <c r="F842" s="23" t="s">
        <v>30</v>
      </c>
      <c r="G842" s="21" t="s">
        <v>3492</v>
      </c>
      <c r="H842" s="21" t="s">
        <v>24</v>
      </c>
      <c r="I842" s="21" t="s">
        <v>24</v>
      </c>
      <c r="J842" s="21" t="s">
        <v>24</v>
      </c>
      <c r="K842" s="21" t="s">
        <v>25</v>
      </c>
      <c r="L842" s="21" t="s">
        <v>24</v>
      </c>
      <c r="M842" s="0" t="n">
        <v>189</v>
      </c>
      <c r="N842" s="0" t="n">
        <v>3</v>
      </c>
      <c r="O842" s="21" t="s">
        <v>3623</v>
      </c>
      <c r="P842" s="21" t="s">
        <v>4563</v>
      </c>
      <c r="Q842" s="0" t="n">
        <v>0</v>
      </c>
      <c r="S842" s="0" t="n">
        <v>3</v>
      </c>
      <c r="T842" s="21" t="s">
        <v>3623</v>
      </c>
      <c r="U842" s="22" t="b">
        <f aca="false">TRUE()</f>
        <v>1</v>
      </c>
      <c r="V842" s="0" t="n">
        <v>0.72</v>
      </c>
      <c r="W842" s="0" t="n">
        <v>0</v>
      </c>
      <c r="X842" s="0" t="n">
        <v>9.94</v>
      </c>
      <c r="Y842" s="0" t="n">
        <v>687.48</v>
      </c>
      <c r="Z842" s="0" t="n">
        <v>8.5</v>
      </c>
      <c r="AA842" s="0" t="n">
        <v>13.24</v>
      </c>
      <c r="AB842" s="0" t="n">
        <v>4.25</v>
      </c>
      <c r="AC842" s="22" t="b">
        <f aca="false">FALSE()</f>
        <v>0</v>
      </c>
      <c r="AD842" s="0" t="n">
        <v>31.29</v>
      </c>
      <c r="AE842" s="0" t="n">
        <v>4.44</v>
      </c>
      <c r="AF842" s="0" t="n">
        <v>34.39</v>
      </c>
      <c r="AG842" s="22" t="b">
        <f aca="false">TRUE()</f>
        <v>1</v>
      </c>
      <c r="AH842" s="0" t="n">
        <v>1</v>
      </c>
    </row>
    <row r="843" customFormat="false" ht="15" hidden="false" customHeight="false" outlineLevel="0" collapsed="false">
      <c r="A843" s="0" t="s">
        <v>1380</v>
      </c>
      <c r="B843" s="0" t="s">
        <v>134</v>
      </c>
      <c r="C843" s="0" t="s">
        <v>3450</v>
      </c>
      <c r="D843" s="0" t="s">
        <v>3448</v>
      </c>
      <c r="E843" s="20" t="s">
        <v>25</v>
      </c>
      <c r="F843" s="23" t="s">
        <v>30</v>
      </c>
      <c r="G843" s="21" t="s">
        <v>1140</v>
      </c>
      <c r="H843" s="21" t="s">
        <v>24</v>
      </c>
      <c r="I843" s="21" t="s">
        <v>25</v>
      </c>
      <c r="J843" s="21" t="s">
        <v>24</v>
      </c>
      <c r="K843" s="21" t="s">
        <v>25</v>
      </c>
      <c r="L843" s="21" t="s">
        <v>24</v>
      </c>
      <c r="M843" s="0" t="n">
        <v>240</v>
      </c>
      <c r="N843" s="0" t="n">
        <v>2</v>
      </c>
      <c r="O843" s="21" t="s">
        <v>3575</v>
      </c>
      <c r="P843" s="21" t="s">
        <v>4265</v>
      </c>
      <c r="Q843" s="0" t="n">
        <v>1</v>
      </c>
      <c r="R843" s="21" t="s">
        <v>69</v>
      </c>
      <c r="S843" s="0" t="n">
        <v>2</v>
      </c>
      <c r="T843" s="21" t="s">
        <v>3575</v>
      </c>
      <c r="U843" s="22" t="b">
        <f aca="false">TRUE()</f>
        <v>1</v>
      </c>
      <c r="V843" s="0" t="n">
        <v>0.74</v>
      </c>
      <c r="W843" s="0" t="n">
        <v>0.12</v>
      </c>
      <c r="X843" s="0" t="n">
        <v>11.49</v>
      </c>
      <c r="Y843" s="0" t="n">
        <v>820.86</v>
      </c>
      <c r="Z843" s="0" t="n">
        <v>8.5</v>
      </c>
      <c r="AA843" s="0" t="n">
        <v>13.46</v>
      </c>
      <c r="AB843" s="0" t="n">
        <v>4.08</v>
      </c>
      <c r="AC843" s="22" t="b">
        <f aca="false">FALSE()</f>
        <v>0</v>
      </c>
      <c r="AD843" s="0" t="n">
        <v>33.94</v>
      </c>
      <c r="AE843" s="0" t="n">
        <v>2.36</v>
      </c>
      <c r="AF843" s="0" t="n">
        <v>36.09</v>
      </c>
      <c r="AG843" s="22" t="b">
        <f aca="false">TRUE()</f>
        <v>1</v>
      </c>
      <c r="AH843" s="0" t="n">
        <v>1</v>
      </c>
    </row>
    <row r="844" customFormat="false" ht="15" hidden="false" customHeight="false" outlineLevel="0" collapsed="false">
      <c r="A844" s="0" t="s">
        <v>1380</v>
      </c>
      <c r="B844" s="0" t="s">
        <v>134</v>
      </c>
      <c r="C844" s="0" t="s">
        <v>3447</v>
      </c>
      <c r="D844" s="0" t="s">
        <v>3457</v>
      </c>
      <c r="E844" s="20" t="s">
        <v>25</v>
      </c>
      <c r="F844" s="23" t="s">
        <v>30</v>
      </c>
      <c r="G844" s="21" t="s">
        <v>3492</v>
      </c>
      <c r="H844" s="21" t="s">
        <v>24</v>
      </c>
      <c r="I844" s="21" t="s">
        <v>24</v>
      </c>
      <c r="J844" s="21" t="s">
        <v>24</v>
      </c>
      <c r="K844" s="21" t="s">
        <v>25</v>
      </c>
      <c r="L844" s="21" t="s">
        <v>24</v>
      </c>
      <c r="M844" s="0" t="n">
        <v>185</v>
      </c>
      <c r="N844" s="0" t="n">
        <v>2</v>
      </c>
      <c r="O844" s="21" t="s">
        <v>3530</v>
      </c>
      <c r="P844" s="21" t="s">
        <v>4440</v>
      </c>
      <c r="Q844" s="0" t="n">
        <v>0</v>
      </c>
      <c r="S844" s="0" t="n">
        <v>2</v>
      </c>
      <c r="T844" s="21" t="s">
        <v>3530</v>
      </c>
      <c r="U844" s="22" t="b">
        <f aca="false">TRUE()</f>
        <v>1</v>
      </c>
      <c r="V844" s="0" t="n">
        <v>0.72</v>
      </c>
      <c r="W844" s="0" t="n">
        <v>0.16</v>
      </c>
      <c r="X844" s="0" t="n">
        <v>9.8</v>
      </c>
      <c r="Y844" s="0" t="n">
        <v>532.5</v>
      </c>
      <c r="Z844" s="0" t="n">
        <v>9.33</v>
      </c>
      <c r="AA844" s="0" t="n">
        <v>10.4</v>
      </c>
      <c r="AB844" s="0" t="n">
        <v>4.25</v>
      </c>
      <c r="AC844" s="22" t="b">
        <f aca="false">FALSE()</f>
        <v>0</v>
      </c>
      <c r="AD844" s="0" t="n">
        <v>30.93</v>
      </c>
      <c r="AE844" s="0" t="n">
        <v>1.3</v>
      </c>
      <c r="AF844" s="0" t="n">
        <v>34.1</v>
      </c>
      <c r="AG844" s="22" t="b">
        <f aca="false">TRUE()</f>
        <v>1</v>
      </c>
      <c r="AH844" s="0" t="n">
        <v>1</v>
      </c>
    </row>
    <row r="845" customFormat="false" ht="15" hidden="false" customHeight="false" outlineLevel="0" collapsed="false">
      <c r="A845" s="0" t="s">
        <v>1380</v>
      </c>
      <c r="B845" s="0" t="s">
        <v>134</v>
      </c>
      <c r="C845" s="0" t="s">
        <v>3447</v>
      </c>
      <c r="D845" s="0" t="s">
        <v>3448</v>
      </c>
      <c r="E845" s="20" t="s">
        <v>25</v>
      </c>
      <c r="F845" s="23" t="s">
        <v>30</v>
      </c>
      <c r="G845" s="21" t="s">
        <v>3492</v>
      </c>
      <c r="H845" s="21" t="s">
        <v>24</v>
      </c>
      <c r="I845" s="21" t="s">
        <v>24</v>
      </c>
      <c r="J845" s="21" t="s">
        <v>24</v>
      </c>
      <c r="K845" s="21" t="s">
        <v>25</v>
      </c>
      <c r="L845" s="21" t="s">
        <v>24</v>
      </c>
      <c r="M845" s="0" t="n">
        <v>188</v>
      </c>
      <c r="N845" s="0" t="n">
        <v>2</v>
      </c>
      <c r="O845" s="21" t="s">
        <v>3537</v>
      </c>
      <c r="P845" s="21" t="s">
        <v>4564</v>
      </c>
      <c r="Q845" s="0" t="n">
        <v>0</v>
      </c>
      <c r="S845" s="0" t="n">
        <v>2</v>
      </c>
      <c r="T845" s="21" t="s">
        <v>3537</v>
      </c>
      <c r="U845" s="22" t="b">
        <f aca="false">TRUE()</f>
        <v>1</v>
      </c>
      <c r="V845" s="0" t="n">
        <v>0.76</v>
      </c>
      <c r="W845" s="0" t="n">
        <v>0.2</v>
      </c>
      <c r="X845" s="0" t="n">
        <v>10.85</v>
      </c>
      <c r="Y845" s="0" t="n">
        <v>520.42</v>
      </c>
      <c r="Z845" s="0" t="n">
        <v>8.92</v>
      </c>
      <c r="AA845" s="0" t="n">
        <v>8.06</v>
      </c>
      <c r="AB845" s="0" t="n">
        <v>4.08</v>
      </c>
      <c r="AC845" s="22" t="b">
        <f aca="false">FALSE()</f>
        <v>0</v>
      </c>
      <c r="AD845" s="0" t="n">
        <v>30.33</v>
      </c>
      <c r="AE845" s="0" t="n">
        <v>1.64</v>
      </c>
      <c r="AF845" s="0" t="n">
        <v>35.26</v>
      </c>
      <c r="AG845" s="22" t="b">
        <f aca="false">TRUE()</f>
        <v>1</v>
      </c>
      <c r="AH845" s="0" t="n">
        <v>1</v>
      </c>
    </row>
    <row r="846" customFormat="false" ht="15" hidden="false" customHeight="false" outlineLevel="0" collapsed="false">
      <c r="A846" s="0" t="s">
        <v>1385</v>
      </c>
      <c r="B846" s="0" t="s">
        <v>134</v>
      </c>
      <c r="C846" s="0" t="s">
        <v>3450</v>
      </c>
      <c r="D846" s="0" t="s">
        <v>3457</v>
      </c>
      <c r="E846" s="20" t="s">
        <v>25</v>
      </c>
      <c r="F846" s="23" t="s">
        <v>30</v>
      </c>
      <c r="G846" s="21" t="s">
        <v>992</v>
      </c>
      <c r="H846" s="21" t="s">
        <v>24</v>
      </c>
      <c r="I846" s="21" t="s">
        <v>24</v>
      </c>
      <c r="J846" s="21" t="s">
        <v>24</v>
      </c>
      <c r="K846" s="21" t="s">
        <v>25</v>
      </c>
      <c r="L846" s="21" t="s">
        <v>24</v>
      </c>
      <c r="M846" s="0" t="n">
        <v>185</v>
      </c>
      <c r="N846" s="0" t="n">
        <v>6</v>
      </c>
      <c r="O846" s="21" t="s">
        <v>3772</v>
      </c>
      <c r="P846" s="21" t="s">
        <v>4398</v>
      </c>
      <c r="Q846" s="0" t="n">
        <v>0</v>
      </c>
      <c r="S846" s="0" t="n">
        <v>6</v>
      </c>
      <c r="T846" s="21" t="s">
        <v>3772</v>
      </c>
      <c r="U846" s="22" t="b">
        <f aca="false">TRUE()</f>
        <v>1</v>
      </c>
      <c r="V846" s="0" t="n">
        <v>0.74</v>
      </c>
      <c r="W846" s="0" t="n">
        <v>0</v>
      </c>
      <c r="X846" s="0" t="n">
        <v>6.54</v>
      </c>
      <c r="Y846" s="0" t="n">
        <v>635.12</v>
      </c>
      <c r="Z846" s="0" t="n">
        <v>10.75</v>
      </c>
      <c r="AA846" s="0" t="n">
        <v>12.08</v>
      </c>
      <c r="AB846" s="0" t="n">
        <v>4.51</v>
      </c>
      <c r="AC846" s="22" t="b">
        <f aca="false">FALSE()</f>
        <v>0</v>
      </c>
      <c r="AD846" s="0" t="n">
        <v>21.72</v>
      </c>
      <c r="AE846" s="0" t="n">
        <v>5.53</v>
      </c>
      <c r="AF846" s="0" t="n">
        <v>17.69</v>
      </c>
      <c r="AG846" s="22" t="b">
        <f aca="false">TRUE()</f>
        <v>1</v>
      </c>
      <c r="AH846" s="0" t="n">
        <v>1</v>
      </c>
    </row>
    <row r="847" customFormat="false" ht="15" hidden="false" customHeight="false" outlineLevel="0" collapsed="false">
      <c r="A847" s="0" t="s">
        <v>1385</v>
      </c>
      <c r="B847" s="0" t="s">
        <v>134</v>
      </c>
      <c r="C847" s="0" t="s">
        <v>3450</v>
      </c>
      <c r="D847" s="0" t="s">
        <v>3448</v>
      </c>
      <c r="E847" s="20" t="s">
        <v>25</v>
      </c>
      <c r="F847" s="20" t="s">
        <v>29</v>
      </c>
      <c r="G847" s="21" t="s">
        <v>3470</v>
      </c>
      <c r="H847" s="21" t="s">
        <v>24</v>
      </c>
      <c r="I847" s="21" t="s">
        <v>24</v>
      </c>
      <c r="J847" s="21" t="s">
        <v>24</v>
      </c>
      <c r="K847" s="21" t="s">
        <v>25</v>
      </c>
      <c r="L847" s="21" t="s">
        <v>24</v>
      </c>
      <c r="M847" s="0" t="n">
        <v>185</v>
      </c>
      <c r="N847" s="0" t="n">
        <v>0</v>
      </c>
      <c r="Q847" s="0" t="n">
        <v>0</v>
      </c>
      <c r="S847" s="0" t="n">
        <v>0</v>
      </c>
      <c r="U847" s="22" t="b">
        <f aca="false">FALSE()</f>
        <v>0</v>
      </c>
      <c r="V847" s="0" t="n">
        <v>0.68</v>
      </c>
      <c r="W847" s="0" t="n">
        <v>0.72</v>
      </c>
      <c r="X847" s="0" t="n">
        <v>7.81</v>
      </c>
      <c r="Y847" s="0" t="n">
        <v>323.02</v>
      </c>
      <c r="Z847" s="0" t="n">
        <v>10.75</v>
      </c>
      <c r="AA847" s="0" t="n">
        <v>3.98</v>
      </c>
      <c r="AB847" s="0" t="n">
        <v>1.16</v>
      </c>
      <c r="AC847" s="22" t="b">
        <f aca="false">FALSE()</f>
        <v>0</v>
      </c>
      <c r="AD847" s="0" t="n">
        <v>22.9</v>
      </c>
      <c r="AE847" s="0" t="n">
        <v>0.73</v>
      </c>
      <c r="AF847" s="0" t="n">
        <v>22.05</v>
      </c>
      <c r="AG847" s="22" t="b">
        <f aca="false">TRUE()</f>
        <v>1</v>
      </c>
      <c r="AH847" s="0" t="n">
        <v>1</v>
      </c>
    </row>
    <row r="848" customFormat="false" ht="15" hidden="false" customHeight="false" outlineLevel="0" collapsed="false">
      <c r="A848" s="0" t="s">
        <v>1385</v>
      </c>
      <c r="B848" s="0" t="s">
        <v>134</v>
      </c>
      <c r="C848" s="0" t="s">
        <v>3447</v>
      </c>
      <c r="D848" s="0" t="s">
        <v>3457</v>
      </c>
      <c r="E848" s="18" t="s">
        <v>24</v>
      </c>
      <c r="F848" s="18" t="s">
        <v>28</v>
      </c>
      <c r="H848" s="21" t="s">
        <v>24</v>
      </c>
      <c r="I848" s="21" t="s">
        <v>24</v>
      </c>
      <c r="J848" s="21" t="s">
        <v>24</v>
      </c>
      <c r="K848" s="21" t="s">
        <v>24</v>
      </c>
      <c r="L848" s="21" t="s">
        <v>24</v>
      </c>
      <c r="M848" s="0" t="n">
        <v>185</v>
      </c>
      <c r="N848" s="0" t="n">
        <v>0</v>
      </c>
      <c r="Q848" s="0" t="n">
        <v>0</v>
      </c>
      <c r="S848" s="0" t="n">
        <v>0</v>
      </c>
      <c r="U848" s="22" t="b">
        <f aca="false">FALSE()</f>
        <v>0</v>
      </c>
      <c r="V848" s="0" t="n">
        <v>0.74</v>
      </c>
      <c r="W848" s="0" t="n">
        <v>0.32</v>
      </c>
      <c r="X848" s="0" t="n">
        <v>5.74</v>
      </c>
      <c r="Y848" s="0" t="n">
        <v>386.98</v>
      </c>
      <c r="Z848" s="0" t="n">
        <v>10.33</v>
      </c>
      <c r="AA848" s="0" t="n">
        <v>4.02</v>
      </c>
      <c r="AB848" s="0" t="n">
        <v>4.51</v>
      </c>
      <c r="AC848" s="22" t="b">
        <f aca="false">FALSE()</f>
        <v>0</v>
      </c>
      <c r="AD848" s="0" t="n">
        <v>18.41</v>
      </c>
      <c r="AE848" s="0" t="n">
        <v>5.89</v>
      </c>
      <c r="AF848" s="0" t="n">
        <v>14.14</v>
      </c>
      <c r="AG848" s="22" t="b">
        <f aca="false">TRUE()</f>
        <v>1</v>
      </c>
      <c r="AH848" s="0" t="n">
        <v>1</v>
      </c>
    </row>
    <row r="849" customFormat="false" ht="15" hidden="false" customHeight="false" outlineLevel="0" collapsed="false">
      <c r="A849" s="0" t="s">
        <v>1385</v>
      </c>
      <c r="B849" s="0" t="s">
        <v>134</v>
      </c>
      <c r="C849" s="0" t="s">
        <v>3447</v>
      </c>
      <c r="D849" s="0" t="s">
        <v>3448</v>
      </c>
      <c r="E849" s="20" t="s">
        <v>25</v>
      </c>
      <c r="F849" s="23" t="s">
        <v>30</v>
      </c>
      <c r="G849" s="21" t="s">
        <v>144</v>
      </c>
      <c r="H849" s="21" t="s">
        <v>24</v>
      </c>
      <c r="I849" s="21" t="s">
        <v>24</v>
      </c>
      <c r="J849" s="21" t="s">
        <v>24</v>
      </c>
      <c r="K849" s="21" t="s">
        <v>25</v>
      </c>
      <c r="L849" s="21" t="s">
        <v>24</v>
      </c>
      <c r="M849" s="0" t="n">
        <v>183</v>
      </c>
      <c r="N849" s="0" t="n">
        <v>2</v>
      </c>
      <c r="O849" s="21" t="s">
        <v>3501</v>
      </c>
      <c r="P849" s="21" t="s">
        <v>4367</v>
      </c>
      <c r="Q849" s="0" t="n">
        <v>0</v>
      </c>
      <c r="S849" s="0" t="n">
        <v>2</v>
      </c>
      <c r="T849" s="21" t="s">
        <v>3501</v>
      </c>
      <c r="U849" s="22" t="b">
        <f aca="false">TRUE()</f>
        <v>1</v>
      </c>
      <c r="V849" s="0" t="n">
        <v>0.86</v>
      </c>
      <c r="W849" s="0" t="n">
        <v>0.24</v>
      </c>
      <c r="X849" s="0" t="n">
        <v>12.29</v>
      </c>
      <c r="Y849" s="0" t="n">
        <v>445.03</v>
      </c>
      <c r="Z849" s="0" t="n">
        <v>11</v>
      </c>
      <c r="AA849" s="0" t="n">
        <v>2.47</v>
      </c>
      <c r="AB849" s="0" t="n">
        <v>1.16</v>
      </c>
      <c r="AC849" s="22" t="b">
        <f aca="false">FALSE()</f>
        <v>0</v>
      </c>
      <c r="AD849" s="0" t="n">
        <v>22.84</v>
      </c>
      <c r="AE849" s="0" t="n">
        <v>2</v>
      </c>
      <c r="AF849" s="0" t="n">
        <v>17.68</v>
      </c>
      <c r="AG849" s="22" t="b">
        <f aca="false">TRUE()</f>
        <v>1</v>
      </c>
      <c r="AH849" s="0" t="n">
        <v>1</v>
      </c>
    </row>
    <row r="850" customFormat="false" ht="15" hidden="false" customHeight="false" outlineLevel="0" collapsed="false">
      <c r="A850" s="0" t="s">
        <v>1390</v>
      </c>
      <c r="B850" s="0" t="s">
        <v>134</v>
      </c>
      <c r="C850" s="0" t="s">
        <v>3450</v>
      </c>
      <c r="D850" s="0" t="s">
        <v>3457</v>
      </c>
      <c r="E850" s="18" t="s">
        <v>24</v>
      </c>
      <c r="F850" s="18" t="s">
        <v>28</v>
      </c>
      <c r="H850" s="21" t="s">
        <v>24</v>
      </c>
      <c r="I850" s="21" t="s">
        <v>24</v>
      </c>
      <c r="J850" s="21" t="s">
        <v>24</v>
      </c>
      <c r="K850" s="21" t="s">
        <v>24</v>
      </c>
      <c r="L850" s="21" t="s">
        <v>24</v>
      </c>
      <c r="M850" s="0" t="n">
        <v>186</v>
      </c>
      <c r="N850" s="0" t="n">
        <v>0</v>
      </c>
      <c r="Q850" s="0" t="n">
        <v>0</v>
      </c>
      <c r="S850" s="0" t="n">
        <v>0</v>
      </c>
      <c r="U850" s="22" t="b">
        <f aca="false">FALSE()</f>
        <v>0</v>
      </c>
      <c r="V850" s="0" t="n">
        <v>0.75</v>
      </c>
      <c r="W850" s="0" t="n">
        <v>0</v>
      </c>
      <c r="X850" s="0" t="n">
        <v>5.93</v>
      </c>
      <c r="Y850" s="0" t="n">
        <v>1.3</v>
      </c>
      <c r="Z850" s="0" t="n">
        <v>9</v>
      </c>
      <c r="AA850" s="0" t="n">
        <v>13.94</v>
      </c>
      <c r="AB850" s="0" t="n">
        <v>7.14</v>
      </c>
      <c r="AC850" s="22" t="b">
        <f aca="false">FALSE()</f>
        <v>0</v>
      </c>
      <c r="AD850" s="0" t="n">
        <v>12.58</v>
      </c>
      <c r="AE850" s="0" t="n">
        <v>0.72</v>
      </c>
      <c r="AF850" s="0" t="n">
        <v>3.49</v>
      </c>
      <c r="AG850" s="22" t="b">
        <f aca="false">TRUE()</f>
        <v>1</v>
      </c>
      <c r="AH850" s="0" t="n">
        <v>0</v>
      </c>
    </row>
    <row r="851" customFormat="false" ht="15" hidden="false" customHeight="false" outlineLevel="0" collapsed="false">
      <c r="A851" s="0" t="s">
        <v>1390</v>
      </c>
      <c r="B851" s="0" t="s">
        <v>134</v>
      </c>
      <c r="C851" s="0" t="s">
        <v>3450</v>
      </c>
      <c r="D851" s="0" t="s">
        <v>3448</v>
      </c>
      <c r="E851" s="20" t="s">
        <v>25</v>
      </c>
      <c r="F851" s="23" t="s">
        <v>30</v>
      </c>
      <c r="G851" s="21" t="s">
        <v>1140</v>
      </c>
      <c r="H851" s="21" t="s">
        <v>24</v>
      </c>
      <c r="I851" s="21" t="s">
        <v>25</v>
      </c>
      <c r="J851" s="21" t="s">
        <v>24</v>
      </c>
      <c r="K851" s="21" t="s">
        <v>25</v>
      </c>
      <c r="L851" s="21" t="s">
        <v>24</v>
      </c>
      <c r="M851" s="0" t="n">
        <v>184</v>
      </c>
      <c r="N851" s="0" t="n">
        <v>5</v>
      </c>
      <c r="O851" s="21" t="s">
        <v>3824</v>
      </c>
      <c r="P851" s="21" t="s">
        <v>4565</v>
      </c>
      <c r="Q851" s="0" t="n">
        <v>1</v>
      </c>
      <c r="R851" s="21" t="s">
        <v>69</v>
      </c>
      <c r="S851" s="0" t="n">
        <v>5</v>
      </c>
      <c r="T851" s="21" t="s">
        <v>3824</v>
      </c>
      <c r="U851" s="22" t="b">
        <f aca="false">TRUE()</f>
        <v>1</v>
      </c>
      <c r="V851" s="0" t="n">
        <v>0.74</v>
      </c>
      <c r="W851" s="0" t="n">
        <v>0</v>
      </c>
      <c r="X851" s="0" t="n">
        <v>7.23</v>
      </c>
      <c r="Y851" s="0" t="n">
        <v>728.48</v>
      </c>
      <c r="Z851" s="0" t="n">
        <v>8.92</v>
      </c>
      <c r="AA851" s="0" t="n">
        <v>14.87</v>
      </c>
      <c r="AB851" s="0" t="n">
        <v>5.44</v>
      </c>
      <c r="AC851" s="22" t="b">
        <f aca="false">FALSE()</f>
        <v>0</v>
      </c>
      <c r="AD851" s="0" t="n">
        <v>31.76</v>
      </c>
      <c r="AE851" s="0" t="n">
        <v>17.71</v>
      </c>
      <c r="AF851" s="0" t="n">
        <v>27.01</v>
      </c>
      <c r="AG851" s="22" t="b">
        <f aca="false">TRUE()</f>
        <v>1</v>
      </c>
      <c r="AH851" s="0" t="n">
        <v>1</v>
      </c>
    </row>
    <row r="852" customFormat="false" ht="15" hidden="false" customHeight="false" outlineLevel="0" collapsed="false">
      <c r="A852" s="0" t="s">
        <v>1390</v>
      </c>
      <c r="B852" s="0" t="s">
        <v>134</v>
      </c>
      <c r="C852" s="0" t="s">
        <v>3447</v>
      </c>
      <c r="D852" s="0" t="s">
        <v>3457</v>
      </c>
      <c r="E852" s="18" t="s">
        <v>24</v>
      </c>
      <c r="F852" s="18" t="s">
        <v>28</v>
      </c>
      <c r="H852" s="21" t="s">
        <v>24</v>
      </c>
      <c r="I852" s="21" t="s">
        <v>24</v>
      </c>
      <c r="J852" s="21" t="s">
        <v>24</v>
      </c>
      <c r="K852" s="21" t="s">
        <v>24</v>
      </c>
      <c r="L852" s="21" t="s">
        <v>24</v>
      </c>
      <c r="M852" s="0" t="n">
        <v>192</v>
      </c>
      <c r="N852" s="0" t="n">
        <v>0</v>
      </c>
      <c r="Q852" s="0" t="n">
        <v>0</v>
      </c>
      <c r="S852" s="0" t="n">
        <v>0</v>
      </c>
      <c r="U852" s="22" t="b">
        <f aca="false">FALSE()</f>
        <v>0</v>
      </c>
      <c r="V852" s="0" t="n">
        <v>0.77</v>
      </c>
      <c r="W852" s="0" t="n">
        <v>0.48</v>
      </c>
      <c r="X852" s="0" t="n">
        <v>5.56</v>
      </c>
      <c r="Y852" s="0" t="n">
        <v>342.19</v>
      </c>
      <c r="Z852" s="0" t="n">
        <v>8.75</v>
      </c>
      <c r="AA852" s="0" t="n">
        <v>2.77</v>
      </c>
      <c r="AB852" s="0" t="n">
        <v>7.14</v>
      </c>
      <c r="AC852" s="22" t="b">
        <f aca="false">FALSE()</f>
        <v>0</v>
      </c>
      <c r="AD852" s="0" t="n">
        <v>10.57</v>
      </c>
      <c r="AE852" s="0" t="n">
        <v>1.02</v>
      </c>
      <c r="AF852" s="0" t="n">
        <v>4.33</v>
      </c>
      <c r="AG852" s="22" t="b">
        <f aca="false">TRUE()</f>
        <v>1</v>
      </c>
      <c r="AH852" s="0" t="n">
        <v>1</v>
      </c>
    </row>
    <row r="853" customFormat="false" ht="15" hidden="false" customHeight="false" outlineLevel="0" collapsed="false">
      <c r="A853" s="0" t="s">
        <v>1390</v>
      </c>
      <c r="B853" s="0" t="s">
        <v>134</v>
      </c>
      <c r="C853" s="0" t="s">
        <v>3447</v>
      </c>
      <c r="D853" s="0" t="s">
        <v>3448</v>
      </c>
      <c r="E853" s="20" t="s">
        <v>25</v>
      </c>
      <c r="F853" s="20" t="s">
        <v>29</v>
      </c>
      <c r="G853" s="21" t="s">
        <v>66</v>
      </c>
      <c r="H853" s="21" t="s">
        <v>24</v>
      </c>
      <c r="I853" s="21" t="s">
        <v>24</v>
      </c>
      <c r="J853" s="21" t="s">
        <v>24</v>
      </c>
      <c r="K853" s="21" t="s">
        <v>25</v>
      </c>
      <c r="L853" s="21" t="s">
        <v>24</v>
      </c>
      <c r="M853" s="0" t="n">
        <v>185</v>
      </c>
      <c r="N853" s="0" t="n">
        <v>0</v>
      </c>
      <c r="Q853" s="0" t="n">
        <v>0</v>
      </c>
      <c r="S853" s="0" t="n">
        <v>0</v>
      </c>
      <c r="U853" s="22" t="b">
        <f aca="false">FALSE()</f>
        <v>0</v>
      </c>
      <c r="V853" s="0" t="n">
        <v>0.77</v>
      </c>
      <c r="W853" s="0" t="n">
        <v>0.28</v>
      </c>
      <c r="X853" s="0" t="n">
        <v>6.76</v>
      </c>
      <c r="Y853" s="0" t="n">
        <v>437.73</v>
      </c>
      <c r="Z853" s="0" t="n">
        <v>8.5</v>
      </c>
      <c r="AA853" s="0" t="n">
        <v>9.06</v>
      </c>
      <c r="AB853" s="0" t="n">
        <v>5.44</v>
      </c>
      <c r="AC853" s="22" t="b">
        <f aca="false">FALSE()</f>
        <v>0</v>
      </c>
      <c r="AD853" s="0" t="n">
        <v>30.21</v>
      </c>
      <c r="AE853" s="0" t="n">
        <v>17.22</v>
      </c>
      <c r="AF853" s="0" t="n">
        <v>26.78</v>
      </c>
      <c r="AG853" s="22" t="b">
        <f aca="false">TRUE()</f>
        <v>1</v>
      </c>
      <c r="AH853" s="0" t="n">
        <v>1</v>
      </c>
    </row>
    <row r="854" customFormat="false" ht="15" hidden="false" customHeight="false" outlineLevel="0" collapsed="false">
      <c r="A854" s="0" t="s">
        <v>1390</v>
      </c>
      <c r="B854" s="0" t="s">
        <v>3459</v>
      </c>
      <c r="C854" s="0" t="s">
        <v>3450</v>
      </c>
      <c r="D854" s="0" t="s">
        <v>3457</v>
      </c>
      <c r="E854" s="20" t="s">
        <v>25</v>
      </c>
      <c r="F854" s="23" t="s">
        <v>30</v>
      </c>
      <c r="G854" s="21" t="s">
        <v>144</v>
      </c>
      <c r="H854" s="21" t="s">
        <v>24</v>
      </c>
      <c r="I854" s="21" t="s">
        <v>24</v>
      </c>
      <c r="J854" s="21" t="s">
        <v>24</v>
      </c>
      <c r="K854" s="21" t="s">
        <v>25</v>
      </c>
      <c r="L854" s="21" t="s">
        <v>24</v>
      </c>
      <c r="M854" s="0" t="n">
        <v>196</v>
      </c>
      <c r="N854" s="0" t="n">
        <v>1</v>
      </c>
      <c r="O854" s="21" t="s">
        <v>3482</v>
      </c>
      <c r="P854" s="21" t="s">
        <v>4566</v>
      </c>
      <c r="Q854" s="0" t="n">
        <v>0</v>
      </c>
      <c r="S854" s="0" t="n">
        <v>0</v>
      </c>
      <c r="U854" s="22" t="b">
        <f aca="false">TRUE()</f>
        <v>1</v>
      </c>
      <c r="V854" s="0" t="n">
        <v>0.74</v>
      </c>
      <c r="W854" s="0" t="n">
        <v>0.56</v>
      </c>
      <c r="X854" s="0" t="n">
        <v>6.74</v>
      </c>
      <c r="Y854" s="0" t="n">
        <v>322</v>
      </c>
      <c r="Z854" s="0" t="n">
        <v>8.75</v>
      </c>
      <c r="AA854" s="0" t="n">
        <v>11.27</v>
      </c>
      <c r="AB854" s="0" t="n">
        <v>1.32</v>
      </c>
      <c r="AC854" s="22" t="b">
        <f aca="false">FALSE()</f>
        <v>0</v>
      </c>
      <c r="AD854" s="0" t="n">
        <v>29.53</v>
      </c>
      <c r="AE854" s="0" t="n">
        <v>16.02</v>
      </c>
      <c r="AF854" s="0" t="n">
        <v>28.53</v>
      </c>
      <c r="AG854" s="22" t="b">
        <f aca="false">TRUE()</f>
        <v>1</v>
      </c>
      <c r="AH854" s="0" t="n">
        <v>1</v>
      </c>
    </row>
    <row r="855" customFormat="false" ht="15" hidden="false" customHeight="false" outlineLevel="0" collapsed="false">
      <c r="A855" s="0" t="s">
        <v>1390</v>
      </c>
      <c r="B855" s="0" t="s">
        <v>3459</v>
      </c>
      <c r="C855" s="0" t="s">
        <v>3450</v>
      </c>
      <c r="D855" s="0" t="s">
        <v>3448</v>
      </c>
      <c r="E855" s="20" t="s">
        <v>25</v>
      </c>
      <c r="F855" s="23" t="s">
        <v>30</v>
      </c>
      <c r="G855" s="21" t="s">
        <v>183</v>
      </c>
      <c r="H855" s="21" t="s">
        <v>24</v>
      </c>
      <c r="I855" s="21" t="s">
        <v>25</v>
      </c>
      <c r="J855" s="21" t="s">
        <v>24</v>
      </c>
      <c r="K855" s="21" t="s">
        <v>25</v>
      </c>
      <c r="L855" s="21" t="s">
        <v>24</v>
      </c>
      <c r="M855" s="0" t="n">
        <v>184</v>
      </c>
      <c r="N855" s="0" t="n">
        <v>3</v>
      </c>
      <c r="O855" s="21" t="s">
        <v>3649</v>
      </c>
      <c r="P855" s="21" t="s">
        <v>4242</v>
      </c>
      <c r="Q855" s="0" t="n">
        <v>1</v>
      </c>
      <c r="R855" s="21" t="s">
        <v>69</v>
      </c>
      <c r="S855" s="0" t="n">
        <v>3</v>
      </c>
      <c r="T855" s="21" t="s">
        <v>3649</v>
      </c>
      <c r="U855" s="22" t="b">
        <f aca="false">TRUE()</f>
        <v>1</v>
      </c>
      <c r="V855" s="0" t="n">
        <v>0.7</v>
      </c>
      <c r="W855" s="0" t="n">
        <v>0.16</v>
      </c>
      <c r="X855" s="0" t="n">
        <v>8.93</v>
      </c>
      <c r="Y855" s="0" t="n">
        <v>542.33</v>
      </c>
      <c r="Z855" s="0" t="n">
        <v>8.58</v>
      </c>
      <c r="AA855" s="0" t="n">
        <v>14.29</v>
      </c>
      <c r="AB855" s="0" t="n">
        <v>11.37</v>
      </c>
      <c r="AC855" s="22" t="b">
        <f aca="false">FALSE()</f>
        <v>0</v>
      </c>
      <c r="AD855" s="0" t="n">
        <v>27.51</v>
      </c>
      <c r="AE855" s="0" t="n">
        <v>10.86</v>
      </c>
      <c r="AF855" s="0" t="n">
        <v>30.07</v>
      </c>
      <c r="AG855" s="22" t="b">
        <f aca="false">TRUE()</f>
        <v>1</v>
      </c>
      <c r="AH855" s="0" t="n">
        <v>1</v>
      </c>
    </row>
    <row r="856" customFormat="false" ht="15" hidden="false" customHeight="false" outlineLevel="0" collapsed="false">
      <c r="A856" s="0" t="s">
        <v>1390</v>
      </c>
      <c r="B856" s="0" t="s">
        <v>3459</v>
      </c>
      <c r="C856" s="0" t="s">
        <v>3447</v>
      </c>
      <c r="D856" s="0" t="s">
        <v>3457</v>
      </c>
      <c r="E856" s="20" t="s">
        <v>25</v>
      </c>
      <c r="F856" s="23" t="s">
        <v>30</v>
      </c>
      <c r="G856" s="21" t="s">
        <v>144</v>
      </c>
      <c r="H856" s="21" t="s">
        <v>24</v>
      </c>
      <c r="I856" s="21" t="s">
        <v>24</v>
      </c>
      <c r="J856" s="21" t="s">
        <v>24</v>
      </c>
      <c r="K856" s="21" t="s">
        <v>25</v>
      </c>
      <c r="L856" s="21" t="s">
        <v>24</v>
      </c>
      <c r="M856" s="0" t="n">
        <v>186</v>
      </c>
      <c r="N856" s="0" t="n">
        <v>1</v>
      </c>
      <c r="O856" s="21" t="s">
        <v>3482</v>
      </c>
      <c r="P856" s="21" t="s">
        <v>4566</v>
      </c>
      <c r="Q856" s="0" t="n">
        <v>0</v>
      </c>
      <c r="S856" s="0" t="n">
        <v>0</v>
      </c>
      <c r="U856" s="22" t="b">
        <f aca="false">TRUE()</f>
        <v>1</v>
      </c>
      <c r="V856" s="0" t="n">
        <v>0.79</v>
      </c>
      <c r="W856" s="0" t="n">
        <v>0.96</v>
      </c>
      <c r="X856" s="0" t="n">
        <v>7.03</v>
      </c>
      <c r="Y856" s="0" t="n">
        <v>312.79</v>
      </c>
      <c r="Z856" s="0" t="n">
        <v>8.25</v>
      </c>
      <c r="AA856" s="0" t="n">
        <v>-0.73</v>
      </c>
      <c r="AB856" s="0" t="n">
        <v>1.32</v>
      </c>
      <c r="AC856" s="22" t="b">
        <f aca="false">FALSE()</f>
        <v>0</v>
      </c>
      <c r="AD856" s="0" t="n">
        <v>23.38</v>
      </c>
      <c r="AE856" s="0" t="n">
        <v>12.02</v>
      </c>
      <c r="AF856" s="0" t="n">
        <v>25.76</v>
      </c>
      <c r="AG856" s="22" t="b">
        <f aca="false">TRUE()</f>
        <v>1</v>
      </c>
      <c r="AH856" s="0" t="n">
        <v>1</v>
      </c>
    </row>
    <row r="857" customFormat="false" ht="15" hidden="false" customHeight="false" outlineLevel="0" collapsed="false">
      <c r="A857" s="0" t="s">
        <v>1390</v>
      </c>
      <c r="B857" s="0" t="s">
        <v>3459</v>
      </c>
      <c r="C857" s="0" t="s">
        <v>3447</v>
      </c>
      <c r="D857" s="0" t="s">
        <v>3448</v>
      </c>
      <c r="E857" s="20" t="s">
        <v>25</v>
      </c>
      <c r="F857" s="20" t="s">
        <v>29</v>
      </c>
      <c r="G857" s="21" t="s">
        <v>61</v>
      </c>
      <c r="H857" s="21" t="s">
        <v>24</v>
      </c>
      <c r="I857" s="21" t="s">
        <v>24</v>
      </c>
      <c r="J857" s="21" t="s">
        <v>24</v>
      </c>
      <c r="K857" s="21" t="s">
        <v>25</v>
      </c>
      <c r="L857" s="21" t="s">
        <v>24</v>
      </c>
      <c r="M857" s="0" t="n">
        <v>184</v>
      </c>
      <c r="N857" s="0" t="n">
        <v>0</v>
      </c>
      <c r="Q857" s="0" t="n">
        <v>0</v>
      </c>
      <c r="S857" s="0" t="n">
        <v>0</v>
      </c>
      <c r="U857" s="22" t="b">
        <f aca="false">FALSE()</f>
        <v>0</v>
      </c>
      <c r="V857" s="0" t="n">
        <v>0.76</v>
      </c>
      <c r="W857" s="0" t="n">
        <v>0.12</v>
      </c>
      <c r="X857" s="0" t="n">
        <v>7.3</v>
      </c>
      <c r="Y857" s="0" t="n">
        <v>606.39</v>
      </c>
      <c r="Z857" s="0" t="n">
        <v>8.5</v>
      </c>
      <c r="AA857" s="0" t="n">
        <v>5.06</v>
      </c>
      <c r="AB857" s="0" t="n">
        <v>11.37</v>
      </c>
      <c r="AC857" s="22" t="b">
        <f aca="false">FALSE()</f>
        <v>0</v>
      </c>
      <c r="AD857" s="0" t="n">
        <v>29.03</v>
      </c>
      <c r="AE857" s="0" t="n">
        <v>14.22</v>
      </c>
      <c r="AF857" s="0" t="n">
        <v>31.87</v>
      </c>
      <c r="AG857" s="22" t="b">
        <f aca="false">TRUE()</f>
        <v>1</v>
      </c>
      <c r="AH857" s="0" t="n">
        <v>1</v>
      </c>
    </row>
    <row r="858" customFormat="false" ht="15" hidden="false" customHeight="false" outlineLevel="0" collapsed="false">
      <c r="A858" s="0" t="s">
        <v>1400</v>
      </c>
      <c r="B858" s="0" t="s">
        <v>134</v>
      </c>
      <c r="C858" s="0" t="s">
        <v>3450</v>
      </c>
      <c r="D858" s="0" t="s">
        <v>3457</v>
      </c>
      <c r="E858" s="20" t="s">
        <v>25</v>
      </c>
      <c r="F858" s="23" t="s">
        <v>30</v>
      </c>
      <c r="G858" s="21" t="s">
        <v>1152</v>
      </c>
      <c r="H858" s="21" t="s">
        <v>24</v>
      </c>
      <c r="I858" s="21" t="s">
        <v>25</v>
      </c>
      <c r="J858" s="21" t="s">
        <v>24</v>
      </c>
      <c r="K858" s="21" t="s">
        <v>25</v>
      </c>
      <c r="L858" s="21" t="s">
        <v>24</v>
      </c>
      <c r="M858" s="0" t="n">
        <v>183</v>
      </c>
      <c r="N858" s="0" t="n">
        <v>1</v>
      </c>
      <c r="O858" s="21" t="s">
        <v>69</v>
      </c>
      <c r="P858" s="21" t="s">
        <v>4275</v>
      </c>
      <c r="Q858" s="0" t="n">
        <v>1</v>
      </c>
      <c r="R858" s="21" t="s">
        <v>69</v>
      </c>
      <c r="S858" s="0" t="n">
        <v>1</v>
      </c>
      <c r="T858" s="21" t="s">
        <v>69</v>
      </c>
      <c r="U858" s="22" t="b">
        <f aca="false">TRUE()</f>
        <v>1</v>
      </c>
      <c r="V858" s="0" t="n">
        <v>0.7</v>
      </c>
      <c r="W858" s="0" t="n">
        <v>0.96</v>
      </c>
      <c r="X858" s="0" t="n">
        <v>5.64</v>
      </c>
      <c r="Y858" s="0" t="n">
        <v>314.23</v>
      </c>
      <c r="Z858" s="0" t="n">
        <v>9.92</v>
      </c>
      <c r="AA858" s="0" t="n">
        <v>4.45</v>
      </c>
      <c r="AB858" s="0" t="n">
        <v>0.09</v>
      </c>
      <c r="AC858" s="22" t="b">
        <f aca="false">FALSE()</f>
        <v>0</v>
      </c>
      <c r="AD858" s="0" t="n">
        <v>17.42</v>
      </c>
      <c r="AE858" s="0" t="n">
        <v>0.45</v>
      </c>
      <c r="AF858" s="0" t="n">
        <v>9.63</v>
      </c>
      <c r="AG858" s="22" t="b">
        <f aca="false">TRUE()</f>
        <v>1</v>
      </c>
      <c r="AH858" s="0" t="n">
        <v>1</v>
      </c>
    </row>
    <row r="859" customFormat="false" ht="15" hidden="false" customHeight="false" outlineLevel="0" collapsed="false">
      <c r="A859" s="0" t="s">
        <v>1400</v>
      </c>
      <c r="B859" s="0" t="s">
        <v>134</v>
      </c>
      <c r="C859" s="0" t="s">
        <v>3450</v>
      </c>
      <c r="D859" s="0" t="s">
        <v>3448</v>
      </c>
      <c r="E859" s="20" t="s">
        <v>25</v>
      </c>
      <c r="F859" s="23" t="s">
        <v>30</v>
      </c>
      <c r="G859" s="21" t="s">
        <v>1152</v>
      </c>
      <c r="H859" s="21" t="s">
        <v>24</v>
      </c>
      <c r="I859" s="21" t="s">
        <v>25</v>
      </c>
      <c r="J859" s="21" t="s">
        <v>24</v>
      </c>
      <c r="K859" s="21" t="s">
        <v>25</v>
      </c>
      <c r="L859" s="21" t="s">
        <v>24</v>
      </c>
      <c r="M859" s="0" t="n">
        <v>183</v>
      </c>
      <c r="N859" s="0" t="n">
        <v>2</v>
      </c>
      <c r="O859" s="21" t="s">
        <v>3575</v>
      </c>
      <c r="P859" s="21" t="s">
        <v>4265</v>
      </c>
      <c r="Q859" s="0" t="n">
        <v>1</v>
      </c>
      <c r="R859" s="21" t="s">
        <v>69</v>
      </c>
      <c r="S859" s="0" t="n">
        <v>2</v>
      </c>
      <c r="T859" s="21" t="s">
        <v>3575</v>
      </c>
      <c r="U859" s="22" t="b">
        <f aca="false">TRUE()</f>
        <v>1</v>
      </c>
      <c r="V859" s="0" t="n">
        <v>0.72</v>
      </c>
      <c r="W859" s="0" t="n">
        <v>0.92</v>
      </c>
      <c r="X859" s="0" t="n">
        <v>5.04</v>
      </c>
      <c r="Y859" s="0" t="n">
        <v>318.76</v>
      </c>
      <c r="Z859" s="0" t="n">
        <v>8.75</v>
      </c>
      <c r="AA859" s="0" t="n">
        <v>4.7</v>
      </c>
      <c r="AB859" s="0" t="n">
        <v>0.97</v>
      </c>
      <c r="AC859" s="22" t="b">
        <f aca="false">FALSE()</f>
        <v>0</v>
      </c>
      <c r="AD859" s="0" t="n">
        <v>18.45</v>
      </c>
      <c r="AE859" s="0" t="n">
        <v>0.93</v>
      </c>
      <c r="AF859" s="0" t="n">
        <v>11.64</v>
      </c>
      <c r="AG859" s="22" t="b">
        <f aca="false">TRUE()</f>
        <v>1</v>
      </c>
      <c r="AH859" s="0" t="n">
        <v>1</v>
      </c>
    </row>
    <row r="860" customFormat="false" ht="15" hidden="false" customHeight="false" outlineLevel="0" collapsed="false">
      <c r="A860" s="0" t="s">
        <v>1400</v>
      </c>
      <c r="B860" s="0" t="s">
        <v>134</v>
      </c>
      <c r="C860" s="0" t="s">
        <v>3447</v>
      </c>
      <c r="D860" s="0" t="s">
        <v>3457</v>
      </c>
      <c r="E860" s="20" t="s">
        <v>25</v>
      </c>
      <c r="F860" s="23" t="s">
        <v>30</v>
      </c>
      <c r="G860" s="21" t="s">
        <v>1152</v>
      </c>
      <c r="H860" s="21" t="s">
        <v>24</v>
      </c>
      <c r="I860" s="21" t="s">
        <v>25</v>
      </c>
      <c r="J860" s="21" t="s">
        <v>24</v>
      </c>
      <c r="K860" s="21" t="s">
        <v>25</v>
      </c>
      <c r="L860" s="21" t="s">
        <v>24</v>
      </c>
      <c r="M860" s="0" t="n">
        <v>184</v>
      </c>
      <c r="N860" s="0" t="n">
        <v>1</v>
      </c>
      <c r="O860" s="21" t="s">
        <v>69</v>
      </c>
      <c r="P860" s="21" t="s">
        <v>4275</v>
      </c>
      <c r="Q860" s="0" t="n">
        <v>1</v>
      </c>
      <c r="R860" s="21" t="s">
        <v>69</v>
      </c>
      <c r="S860" s="0" t="n">
        <v>1</v>
      </c>
      <c r="T860" s="21" t="s">
        <v>69</v>
      </c>
      <c r="U860" s="22" t="b">
        <f aca="false">TRUE()</f>
        <v>1</v>
      </c>
      <c r="V860" s="0" t="n">
        <v>0.69</v>
      </c>
      <c r="W860" s="0" t="n">
        <v>0.92</v>
      </c>
      <c r="X860" s="0" t="n">
        <v>5.37</v>
      </c>
      <c r="Y860" s="0" t="n">
        <v>319.66</v>
      </c>
      <c r="Z860" s="0" t="n">
        <v>8</v>
      </c>
      <c r="AA860" s="0" t="n">
        <v>-1.06</v>
      </c>
      <c r="AB860" s="0" t="n">
        <v>0.09</v>
      </c>
      <c r="AC860" s="22" t="b">
        <f aca="false">FALSE()</f>
        <v>0</v>
      </c>
      <c r="AD860" s="0" t="n">
        <v>6.17</v>
      </c>
      <c r="AE860" s="0" t="n">
        <v>0.25</v>
      </c>
      <c r="AF860" s="0" t="n">
        <v>4.68</v>
      </c>
      <c r="AG860" s="22" t="b">
        <f aca="false">FALSE()</f>
        <v>0</v>
      </c>
      <c r="AH860" s="0" t="n">
        <v>1</v>
      </c>
    </row>
    <row r="861" customFormat="false" ht="15" hidden="false" customHeight="false" outlineLevel="0" collapsed="false">
      <c r="A861" s="0" t="s">
        <v>1400</v>
      </c>
      <c r="B861" s="0" t="s">
        <v>134</v>
      </c>
      <c r="C861" s="0" t="s">
        <v>3447</v>
      </c>
      <c r="D861" s="0" t="s">
        <v>3448</v>
      </c>
      <c r="E861" s="20" t="s">
        <v>25</v>
      </c>
      <c r="F861" s="23" t="s">
        <v>30</v>
      </c>
      <c r="G861" s="21" t="s">
        <v>1152</v>
      </c>
      <c r="H861" s="21" t="s">
        <v>24</v>
      </c>
      <c r="I861" s="21" t="s">
        <v>25</v>
      </c>
      <c r="J861" s="21" t="s">
        <v>24</v>
      </c>
      <c r="K861" s="21" t="s">
        <v>25</v>
      </c>
      <c r="L861" s="21" t="s">
        <v>24</v>
      </c>
      <c r="M861" s="0" t="n">
        <v>182</v>
      </c>
      <c r="N861" s="0" t="n">
        <v>2</v>
      </c>
      <c r="O861" s="21" t="s">
        <v>3575</v>
      </c>
      <c r="P861" s="21" t="s">
        <v>4265</v>
      </c>
      <c r="Q861" s="0" t="n">
        <v>1</v>
      </c>
      <c r="R861" s="21" t="s">
        <v>69</v>
      </c>
      <c r="S861" s="0" t="n">
        <v>2</v>
      </c>
      <c r="T861" s="21" t="s">
        <v>3575</v>
      </c>
      <c r="U861" s="22" t="b">
        <f aca="false">TRUE()</f>
        <v>1</v>
      </c>
      <c r="V861" s="0" t="n">
        <v>0.69</v>
      </c>
      <c r="W861" s="0" t="n">
        <v>0.24</v>
      </c>
      <c r="X861" s="0" t="n">
        <v>5.99</v>
      </c>
      <c r="Y861" s="0" t="n">
        <v>466.18</v>
      </c>
      <c r="Z861" s="0" t="n">
        <v>8</v>
      </c>
      <c r="AA861" s="0" t="n">
        <v>1.26</v>
      </c>
      <c r="AB861" s="0" t="n">
        <v>0.97</v>
      </c>
      <c r="AC861" s="22" t="b">
        <f aca="false">FALSE()</f>
        <v>0</v>
      </c>
      <c r="AD861" s="0" t="n">
        <v>15.22</v>
      </c>
      <c r="AE861" s="0" t="n">
        <v>0.59</v>
      </c>
      <c r="AF861" s="0" t="n">
        <v>9.96</v>
      </c>
      <c r="AG861" s="22" t="b">
        <f aca="false">TRUE()</f>
        <v>1</v>
      </c>
      <c r="AH861" s="0" t="n">
        <v>1</v>
      </c>
    </row>
    <row r="862" customFormat="false" ht="15" hidden="false" customHeight="false" outlineLevel="0" collapsed="false">
      <c r="A862" s="0" t="s">
        <v>1400</v>
      </c>
      <c r="B862" s="0" t="s">
        <v>3459</v>
      </c>
      <c r="C862" s="0" t="s">
        <v>3450</v>
      </c>
      <c r="D862" s="0" t="s">
        <v>3457</v>
      </c>
      <c r="E862" s="20" t="s">
        <v>25</v>
      </c>
      <c r="F862" s="20" t="s">
        <v>29</v>
      </c>
      <c r="G862" s="21" t="s">
        <v>3470</v>
      </c>
      <c r="H862" s="21" t="s">
        <v>24</v>
      </c>
      <c r="I862" s="21" t="s">
        <v>24</v>
      </c>
      <c r="J862" s="21" t="s">
        <v>24</v>
      </c>
      <c r="K862" s="21" t="s">
        <v>25</v>
      </c>
      <c r="L862" s="21" t="s">
        <v>24</v>
      </c>
      <c r="M862" s="0" t="n">
        <v>183</v>
      </c>
      <c r="N862" s="0" t="n">
        <v>0</v>
      </c>
      <c r="Q862" s="0" t="n">
        <v>0</v>
      </c>
      <c r="S862" s="0" t="n">
        <v>0</v>
      </c>
      <c r="U862" s="22" t="b">
        <f aca="false">FALSE()</f>
        <v>0</v>
      </c>
      <c r="V862" s="0" t="n">
        <v>0.71</v>
      </c>
      <c r="W862" s="0" t="n">
        <v>0.32</v>
      </c>
      <c r="X862" s="0" t="n">
        <v>6.08</v>
      </c>
      <c r="Y862" s="0" t="n">
        <v>391.11</v>
      </c>
      <c r="Z862" s="0" t="n">
        <v>8.75</v>
      </c>
      <c r="AA862" s="0" t="n">
        <v>4.04</v>
      </c>
      <c r="AB862" s="0" t="n">
        <v>1.36</v>
      </c>
      <c r="AC862" s="22" t="b">
        <f aca="false">FALSE()</f>
        <v>0</v>
      </c>
      <c r="AD862" s="0" t="n">
        <v>23.74</v>
      </c>
      <c r="AE862" s="0" t="n">
        <v>7.2</v>
      </c>
      <c r="AF862" s="0" t="n">
        <v>23.26</v>
      </c>
      <c r="AG862" s="22" t="b">
        <f aca="false">TRUE()</f>
        <v>1</v>
      </c>
      <c r="AH862" s="0" t="n">
        <v>1</v>
      </c>
    </row>
    <row r="863" customFormat="false" ht="15" hidden="false" customHeight="false" outlineLevel="0" collapsed="false">
      <c r="A863" s="0" t="s">
        <v>1400</v>
      </c>
      <c r="B863" s="0" t="s">
        <v>3459</v>
      </c>
      <c r="C863" s="0" t="s">
        <v>3450</v>
      </c>
      <c r="D863" s="0" t="s">
        <v>3448</v>
      </c>
      <c r="E863" s="20" t="s">
        <v>25</v>
      </c>
      <c r="F863" s="20" t="s">
        <v>29</v>
      </c>
      <c r="G863" s="21" t="s">
        <v>64</v>
      </c>
      <c r="H863" s="21" t="s">
        <v>24</v>
      </c>
      <c r="I863" s="21" t="s">
        <v>24</v>
      </c>
      <c r="J863" s="21" t="s">
        <v>24</v>
      </c>
      <c r="K863" s="21" t="s">
        <v>25</v>
      </c>
      <c r="L863" s="21" t="s">
        <v>24</v>
      </c>
      <c r="M863" s="0" t="n">
        <v>186</v>
      </c>
      <c r="N863" s="0" t="n">
        <v>0</v>
      </c>
      <c r="Q863" s="0" t="n">
        <v>0</v>
      </c>
      <c r="S863" s="0" t="n">
        <v>0</v>
      </c>
      <c r="U863" s="22" t="b">
        <f aca="false">FALSE()</f>
        <v>0</v>
      </c>
      <c r="V863" s="0" t="n">
        <v>0.7</v>
      </c>
      <c r="W863" s="0" t="n">
        <v>0.28</v>
      </c>
      <c r="X863" s="0" t="n">
        <v>5.92</v>
      </c>
      <c r="Y863" s="0" t="n">
        <v>440.55</v>
      </c>
      <c r="Z863" s="0" t="n">
        <v>8.25</v>
      </c>
      <c r="AA863" s="0" t="n">
        <v>3.5</v>
      </c>
      <c r="AB863" s="0" t="n">
        <v>0.05</v>
      </c>
      <c r="AC863" s="22" t="b">
        <f aca="false">FALSE()</f>
        <v>0</v>
      </c>
      <c r="AD863" s="0" t="n">
        <v>19.12</v>
      </c>
      <c r="AE863" s="0" t="n">
        <v>9.1</v>
      </c>
      <c r="AF863" s="0" t="n">
        <v>16.64</v>
      </c>
      <c r="AG863" s="22" t="b">
        <f aca="false">TRUE()</f>
        <v>1</v>
      </c>
      <c r="AH863" s="0" t="n">
        <v>1</v>
      </c>
    </row>
    <row r="864" customFormat="false" ht="15" hidden="false" customHeight="false" outlineLevel="0" collapsed="false">
      <c r="A864" s="0" t="s">
        <v>1400</v>
      </c>
      <c r="B864" s="0" t="s">
        <v>3459</v>
      </c>
      <c r="C864" s="0" t="s">
        <v>3447</v>
      </c>
      <c r="D864" s="0" t="s">
        <v>3457</v>
      </c>
      <c r="E864" s="20" t="s">
        <v>25</v>
      </c>
      <c r="F864" s="20" t="s">
        <v>29</v>
      </c>
      <c r="G864" s="21" t="s">
        <v>3470</v>
      </c>
      <c r="H864" s="21" t="s">
        <v>24</v>
      </c>
      <c r="I864" s="21" t="s">
        <v>24</v>
      </c>
      <c r="J864" s="21" t="s">
        <v>24</v>
      </c>
      <c r="K864" s="21" t="s">
        <v>25</v>
      </c>
      <c r="L864" s="21" t="s">
        <v>24</v>
      </c>
      <c r="M864" s="0" t="n">
        <v>184</v>
      </c>
      <c r="N864" s="0" t="n">
        <v>0</v>
      </c>
      <c r="Q864" s="0" t="n">
        <v>0</v>
      </c>
      <c r="S864" s="0" t="n">
        <v>0</v>
      </c>
      <c r="U864" s="22" t="b">
        <f aca="false">FALSE()</f>
        <v>0</v>
      </c>
      <c r="V864" s="0" t="n">
        <v>0.7</v>
      </c>
      <c r="W864" s="0" t="n">
        <v>0</v>
      </c>
      <c r="X864" s="0" t="n">
        <v>7.14</v>
      </c>
      <c r="Y864" s="0" t="n">
        <v>0.21</v>
      </c>
      <c r="Z864" s="0" t="n">
        <v>8.5</v>
      </c>
      <c r="AA864" s="0" t="n">
        <v>2.99</v>
      </c>
      <c r="AB864" s="0" t="n">
        <v>1.36</v>
      </c>
      <c r="AC864" s="22" t="b">
        <f aca="false">FALSE()</f>
        <v>0</v>
      </c>
      <c r="AD864" s="0" t="n">
        <v>24.58</v>
      </c>
      <c r="AE864" s="0" t="n">
        <v>7.15</v>
      </c>
      <c r="AF864" s="0" t="n">
        <v>22.13</v>
      </c>
      <c r="AG864" s="22" t="b">
        <f aca="false">TRUE()</f>
        <v>1</v>
      </c>
      <c r="AH864" s="0" t="n">
        <v>0</v>
      </c>
    </row>
    <row r="865" customFormat="false" ht="15" hidden="false" customHeight="false" outlineLevel="0" collapsed="false">
      <c r="A865" s="0" t="s">
        <v>1400</v>
      </c>
      <c r="B865" s="0" t="s">
        <v>3459</v>
      </c>
      <c r="C865" s="0" t="s">
        <v>3447</v>
      </c>
      <c r="D865" s="0" t="s">
        <v>3448</v>
      </c>
      <c r="E865" s="20" t="s">
        <v>25</v>
      </c>
      <c r="F865" s="20" t="s">
        <v>29</v>
      </c>
      <c r="G865" s="21" t="s">
        <v>64</v>
      </c>
      <c r="H865" s="21" t="s">
        <v>24</v>
      </c>
      <c r="I865" s="21" t="s">
        <v>24</v>
      </c>
      <c r="J865" s="21" t="s">
        <v>24</v>
      </c>
      <c r="K865" s="21" t="s">
        <v>25</v>
      </c>
      <c r="L865" s="21" t="s">
        <v>24</v>
      </c>
      <c r="M865" s="0" t="n">
        <v>186</v>
      </c>
      <c r="N865" s="0" t="n">
        <v>0</v>
      </c>
      <c r="Q865" s="0" t="n">
        <v>0</v>
      </c>
      <c r="S865" s="0" t="n">
        <v>0</v>
      </c>
      <c r="U865" s="22" t="b">
        <f aca="false">FALSE()</f>
        <v>0</v>
      </c>
      <c r="V865" s="0" t="n">
        <v>0.68</v>
      </c>
      <c r="W865" s="0" t="n">
        <v>0.96</v>
      </c>
      <c r="X865" s="0" t="n">
        <v>8.54</v>
      </c>
      <c r="Y865" s="0" t="n">
        <v>321.97</v>
      </c>
      <c r="Z865" s="0" t="n">
        <v>8</v>
      </c>
      <c r="AA865" s="0" t="n">
        <v>-1.08</v>
      </c>
      <c r="AB865" s="0" t="n">
        <v>0.05</v>
      </c>
      <c r="AC865" s="22" t="b">
        <f aca="false">FALSE()</f>
        <v>0</v>
      </c>
      <c r="AD865" s="0" t="n">
        <v>4.5</v>
      </c>
      <c r="AE865" s="0" t="n">
        <v>1.12</v>
      </c>
      <c r="AF865" s="0" t="n">
        <v>4.98</v>
      </c>
      <c r="AG865" s="22" t="b">
        <f aca="false">FALSE()</f>
        <v>0</v>
      </c>
      <c r="AH865" s="0" t="n">
        <v>1</v>
      </c>
    </row>
    <row r="866" customFormat="false" ht="15" hidden="false" customHeight="false" outlineLevel="0" collapsed="false">
      <c r="A866" s="0" t="s">
        <v>1406</v>
      </c>
      <c r="B866" s="0" t="s">
        <v>134</v>
      </c>
      <c r="C866" s="0" t="s">
        <v>3450</v>
      </c>
      <c r="D866" s="0" t="s">
        <v>3457</v>
      </c>
      <c r="E866" s="19" t="s">
        <v>26</v>
      </c>
      <c r="F866" s="19" t="s">
        <v>32</v>
      </c>
      <c r="G866" s="21" t="s">
        <v>1409</v>
      </c>
      <c r="H866" s="21" t="s">
        <v>24</v>
      </c>
      <c r="I866" s="21" t="s">
        <v>26</v>
      </c>
      <c r="J866" s="21" t="s">
        <v>24</v>
      </c>
      <c r="K866" s="21" t="s">
        <v>25</v>
      </c>
      <c r="L866" s="21" t="s">
        <v>24</v>
      </c>
      <c r="M866" s="0" t="n">
        <v>183</v>
      </c>
      <c r="N866" s="0" t="n">
        <v>11</v>
      </c>
      <c r="O866" s="21" t="s">
        <v>4078</v>
      </c>
      <c r="P866" s="21" t="s">
        <v>4567</v>
      </c>
      <c r="Q866" s="0" t="n">
        <v>1</v>
      </c>
      <c r="R866" s="21" t="s">
        <v>69</v>
      </c>
      <c r="S866" s="0" t="n">
        <v>11</v>
      </c>
      <c r="T866" s="21" t="s">
        <v>4078</v>
      </c>
      <c r="U866" s="22" t="b">
        <f aca="false">FALSE()</f>
        <v>0</v>
      </c>
      <c r="V866" s="0" t="n">
        <v>0.69</v>
      </c>
      <c r="W866" s="0" t="n">
        <v>0.52</v>
      </c>
      <c r="X866" s="0" t="n">
        <v>7.85</v>
      </c>
      <c r="Y866" s="0" t="n">
        <v>328.01</v>
      </c>
      <c r="Z866" s="0" t="n">
        <v>12</v>
      </c>
      <c r="AA866" s="0" t="n">
        <v>1.97</v>
      </c>
      <c r="AB866" s="0" t="n">
        <v>0.41</v>
      </c>
      <c r="AC866" s="22" t="b">
        <f aca="false">TRUE()</f>
        <v>1</v>
      </c>
      <c r="AD866" s="0" t="n">
        <v>12.99</v>
      </c>
      <c r="AE866" s="0" t="n">
        <v>0.71</v>
      </c>
      <c r="AF866" s="0" t="n">
        <v>5.39</v>
      </c>
      <c r="AG866" s="22" t="b">
        <f aca="false">TRUE()</f>
        <v>1</v>
      </c>
      <c r="AH866" s="0" t="n">
        <v>1</v>
      </c>
    </row>
    <row r="867" customFormat="false" ht="15" hidden="false" customHeight="false" outlineLevel="0" collapsed="false">
      <c r="A867" s="0" t="s">
        <v>1406</v>
      </c>
      <c r="B867" s="0" t="s">
        <v>134</v>
      </c>
      <c r="C867" s="0" t="s">
        <v>3450</v>
      </c>
      <c r="D867" s="0" t="s">
        <v>3448</v>
      </c>
      <c r="E867" s="19" t="s">
        <v>26</v>
      </c>
      <c r="F867" s="19" t="s">
        <v>32</v>
      </c>
      <c r="G867" s="21" t="s">
        <v>1409</v>
      </c>
      <c r="H867" s="21" t="s">
        <v>24</v>
      </c>
      <c r="I867" s="21" t="s">
        <v>26</v>
      </c>
      <c r="J867" s="21" t="s">
        <v>24</v>
      </c>
      <c r="K867" s="21" t="s">
        <v>25</v>
      </c>
      <c r="L867" s="21" t="s">
        <v>24</v>
      </c>
      <c r="M867" s="0" t="n">
        <v>191</v>
      </c>
      <c r="N867" s="0" t="n">
        <v>10</v>
      </c>
      <c r="O867" s="21" t="s">
        <v>4066</v>
      </c>
      <c r="P867" s="21" t="s">
        <v>4568</v>
      </c>
      <c r="Q867" s="0" t="n">
        <v>1</v>
      </c>
      <c r="R867" s="21" t="s">
        <v>69</v>
      </c>
      <c r="S867" s="0" t="n">
        <v>10</v>
      </c>
      <c r="T867" s="21" t="s">
        <v>4066</v>
      </c>
      <c r="U867" s="22" t="b">
        <f aca="false">FALSE()</f>
        <v>0</v>
      </c>
      <c r="V867" s="0" t="n">
        <v>0.67</v>
      </c>
      <c r="W867" s="0" t="n">
        <v>0.92</v>
      </c>
      <c r="X867" s="0" t="n">
        <v>6.89</v>
      </c>
      <c r="Y867" s="0" t="n">
        <v>331.79</v>
      </c>
      <c r="Z867" s="0" t="n">
        <v>9.25</v>
      </c>
      <c r="AA867" s="0" t="n">
        <v>-0.71</v>
      </c>
      <c r="AB867" s="0" t="n">
        <v>0.55</v>
      </c>
      <c r="AC867" s="22" t="b">
        <f aca="false">TRUE()</f>
        <v>1</v>
      </c>
      <c r="AD867" s="0" t="n">
        <v>18.3</v>
      </c>
      <c r="AE867" s="0" t="n">
        <v>0.89</v>
      </c>
      <c r="AF867" s="0" t="n">
        <v>8.35</v>
      </c>
      <c r="AG867" s="22" t="b">
        <f aca="false">TRUE()</f>
        <v>1</v>
      </c>
      <c r="AH867" s="0" t="n">
        <v>1</v>
      </c>
    </row>
    <row r="868" customFormat="false" ht="15" hidden="false" customHeight="false" outlineLevel="0" collapsed="false">
      <c r="A868" s="0" t="s">
        <v>1406</v>
      </c>
      <c r="B868" s="0" t="s">
        <v>134</v>
      </c>
      <c r="C868" s="0" t="s">
        <v>3447</v>
      </c>
      <c r="D868" s="0" t="s">
        <v>3457</v>
      </c>
      <c r="E868" s="20" t="s">
        <v>25</v>
      </c>
      <c r="F868" s="20" t="s">
        <v>29</v>
      </c>
      <c r="G868" s="21" t="s">
        <v>64</v>
      </c>
      <c r="H868" s="21" t="s">
        <v>24</v>
      </c>
      <c r="I868" s="21" t="s">
        <v>24</v>
      </c>
      <c r="J868" s="21" t="s">
        <v>24</v>
      </c>
      <c r="K868" s="21" t="s">
        <v>25</v>
      </c>
      <c r="L868" s="21" t="s">
        <v>24</v>
      </c>
      <c r="M868" s="0" t="n">
        <v>182</v>
      </c>
      <c r="N868" s="0" t="n">
        <v>0</v>
      </c>
      <c r="Q868" s="0" t="n">
        <v>0</v>
      </c>
      <c r="S868" s="0" t="n">
        <v>0</v>
      </c>
      <c r="U868" s="22" t="b">
        <f aca="false">FALSE()</f>
        <v>0</v>
      </c>
      <c r="V868" s="0" t="n">
        <v>0.63</v>
      </c>
      <c r="W868" s="0" t="n">
        <v>0.36</v>
      </c>
      <c r="X868" s="0" t="n">
        <v>8.16</v>
      </c>
      <c r="Y868" s="0" t="n">
        <v>375.46</v>
      </c>
      <c r="Z868" s="0" t="n">
        <v>8.25</v>
      </c>
      <c r="AA868" s="0" t="n">
        <v>-1.31</v>
      </c>
      <c r="AB868" s="0" t="n">
        <v>0.41</v>
      </c>
      <c r="AC868" s="22" t="b">
        <f aca="false">FALSE()</f>
        <v>0</v>
      </c>
      <c r="AD868" s="0" t="n">
        <v>9.97</v>
      </c>
      <c r="AE868" s="0" t="n">
        <v>0.58</v>
      </c>
      <c r="AF868" s="0" t="n">
        <v>4.64</v>
      </c>
      <c r="AG868" s="22" t="b">
        <f aca="false">FALSE()</f>
        <v>0</v>
      </c>
      <c r="AH868" s="0" t="n">
        <v>1</v>
      </c>
    </row>
    <row r="869" customFormat="false" ht="15" hidden="false" customHeight="false" outlineLevel="0" collapsed="false">
      <c r="A869" s="0" t="s">
        <v>1406</v>
      </c>
      <c r="B869" s="0" t="s">
        <v>134</v>
      </c>
      <c r="C869" s="0" t="s">
        <v>3447</v>
      </c>
      <c r="D869" s="0" t="s">
        <v>3448</v>
      </c>
      <c r="E869" s="20" t="s">
        <v>25</v>
      </c>
      <c r="F869" s="20" t="s">
        <v>29</v>
      </c>
      <c r="G869" s="21" t="s">
        <v>64</v>
      </c>
      <c r="H869" s="21" t="s">
        <v>24</v>
      </c>
      <c r="I869" s="21" t="s">
        <v>24</v>
      </c>
      <c r="J869" s="21" t="s">
        <v>24</v>
      </c>
      <c r="K869" s="21" t="s">
        <v>25</v>
      </c>
      <c r="L869" s="21" t="s">
        <v>24</v>
      </c>
      <c r="M869" s="0" t="n">
        <v>209</v>
      </c>
      <c r="N869" s="0" t="n">
        <v>0</v>
      </c>
      <c r="Q869" s="0" t="n">
        <v>0</v>
      </c>
      <c r="S869" s="0" t="n">
        <v>0</v>
      </c>
      <c r="U869" s="22" t="b">
        <f aca="false">FALSE()</f>
        <v>0</v>
      </c>
      <c r="V869" s="0" t="n">
        <v>0.71</v>
      </c>
      <c r="W869" s="0" t="n">
        <v>0.96</v>
      </c>
      <c r="X869" s="0" t="n">
        <v>8.22</v>
      </c>
      <c r="Y869" s="0" t="n">
        <v>358.4</v>
      </c>
      <c r="Z869" s="0" t="n">
        <v>8</v>
      </c>
      <c r="AA869" s="0" t="n">
        <v>-1.8</v>
      </c>
      <c r="AB869" s="0" t="n">
        <v>0.55</v>
      </c>
      <c r="AC869" s="22" t="b">
        <f aca="false">FALSE()</f>
        <v>0</v>
      </c>
      <c r="AD869" s="0" t="n">
        <v>14.12</v>
      </c>
      <c r="AE869" s="0" t="n">
        <v>0.42</v>
      </c>
      <c r="AF869" s="0" t="n">
        <v>7.03</v>
      </c>
      <c r="AG869" s="22" t="b">
        <f aca="false">TRUE()</f>
        <v>1</v>
      </c>
      <c r="AH869" s="0" t="n">
        <v>1</v>
      </c>
    </row>
    <row r="870" customFormat="false" ht="15" hidden="false" customHeight="false" outlineLevel="0" collapsed="false">
      <c r="A870" s="0" t="s">
        <v>1412</v>
      </c>
      <c r="B870" s="0" t="s">
        <v>134</v>
      </c>
      <c r="C870" s="0" t="s">
        <v>3450</v>
      </c>
      <c r="D870" s="0" t="s">
        <v>3457</v>
      </c>
      <c r="E870" s="18" t="s">
        <v>24</v>
      </c>
      <c r="F870" s="23" t="s">
        <v>30</v>
      </c>
      <c r="G870" s="21" t="s">
        <v>30</v>
      </c>
      <c r="H870" s="21" t="s">
        <v>24</v>
      </c>
      <c r="I870" s="21" t="s">
        <v>24</v>
      </c>
      <c r="J870" s="21" t="s">
        <v>24</v>
      </c>
      <c r="K870" s="21" t="s">
        <v>24</v>
      </c>
      <c r="L870" s="21" t="s">
        <v>24</v>
      </c>
      <c r="M870" s="0" t="n">
        <v>192</v>
      </c>
      <c r="N870" s="0" t="n">
        <v>5</v>
      </c>
      <c r="O870" s="21" t="s">
        <v>3727</v>
      </c>
      <c r="P870" s="21" t="s">
        <v>4569</v>
      </c>
      <c r="Q870" s="0" t="n">
        <v>0</v>
      </c>
      <c r="S870" s="0" t="n">
        <v>5</v>
      </c>
      <c r="T870" s="21" t="s">
        <v>3727</v>
      </c>
      <c r="U870" s="22" t="b">
        <f aca="false">TRUE()</f>
        <v>1</v>
      </c>
      <c r="V870" s="0" t="n">
        <v>0.74</v>
      </c>
      <c r="W870" s="0" t="n">
        <v>0.88</v>
      </c>
      <c r="X870" s="0" t="n">
        <v>9.43</v>
      </c>
      <c r="Y870" s="0" t="n">
        <v>260.17</v>
      </c>
      <c r="Z870" s="0" t="n">
        <v>8.33</v>
      </c>
      <c r="AA870" s="0" t="n">
        <v>3.75</v>
      </c>
      <c r="AB870" s="0" t="n">
        <v>4.41</v>
      </c>
      <c r="AC870" s="22" t="b">
        <f aca="false">FALSE()</f>
        <v>0</v>
      </c>
      <c r="AD870" s="0" t="n">
        <v>12.03</v>
      </c>
      <c r="AE870" s="0" t="n">
        <v>0.85</v>
      </c>
      <c r="AF870" s="0" t="n">
        <v>8.69</v>
      </c>
      <c r="AG870" s="22" t="b">
        <f aca="false">TRUE()</f>
        <v>1</v>
      </c>
      <c r="AH870" s="0" t="n">
        <v>1</v>
      </c>
    </row>
    <row r="871" customFormat="false" ht="15" hidden="false" customHeight="false" outlineLevel="0" collapsed="false">
      <c r="A871" s="0" t="s">
        <v>1412</v>
      </c>
      <c r="B871" s="0" t="s">
        <v>134</v>
      </c>
      <c r="C871" s="0" t="s">
        <v>3450</v>
      </c>
      <c r="D871" s="0" t="s">
        <v>3448</v>
      </c>
      <c r="E871" s="20" t="s">
        <v>25</v>
      </c>
      <c r="F871" s="23" t="s">
        <v>30</v>
      </c>
      <c r="G871" s="21" t="s">
        <v>283</v>
      </c>
      <c r="H871" s="21" t="s">
        <v>24</v>
      </c>
      <c r="I871" s="21" t="s">
        <v>25</v>
      </c>
      <c r="J871" s="21" t="s">
        <v>24</v>
      </c>
      <c r="K871" s="21" t="s">
        <v>24</v>
      </c>
      <c r="L871" s="21" t="s">
        <v>24</v>
      </c>
      <c r="M871" s="0" t="n">
        <v>200</v>
      </c>
      <c r="N871" s="0" t="n">
        <v>6</v>
      </c>
      <c r="O871" s="21" t="s">
        <v>3855</v>
      </c>
      <c r="P871" s="21" t="s">
        <v>4570</v>
      </c>
      <c r="Q871" s="0" t="n">
        <v>1</v>
      </c>
      <c r="R871" s="21" t="s">
        <v>69</v>
      </c>
      <c r="S871" s="0" t="n">
        <v>6</v>
      </c>
      <c r="T871" s="21" t="s">
        <v>3855</v>
      </c>
      <c r="U871" s="22" t="b">
        <f aca="false">TRUE()</f>
        <v>1</v>
      </c>
      <c r="V871" s="0" t="n">
        <v>0.67</v>
      </c>
      <c r="W871" s="0" t="n">
        <v>0.44</v>
      </c>
      <c r="X871" s="0" t="n">
        <v>6.98</v>
      </c>
      <c r="Y871" s="0" t="n">
        <v>378.26</v>
      </c>
      <c r="Z871" s="0" t="n">
        <v>9</v>
      </c>
      <c r="AA871" s="0" t="n">
        <v>3.55</v>
      </c>
      <c r="AB871" s="0" t="n">
        <v>6.54</v>
      </c>
      <c r="AC871" s="22" t="b">
        <f aca="false">FALSE()</f>
        <v>0</v>
      </c>
      <c r="AD871" s="0" t="n">
        <v>3.71</v>
      </c>
      <c r="AE871" s="0" t="n">
        <v>0.74</v>
      </c>
      <c r="AF871" s="0" t="n">
        <v>1.38</v>
      </c>
      <c r="AG871" s="22" t="b">
        <f aca="false">FALSE()</f>
        <v>0</v>
      </c>
      <c r="AH871" s="0" t="n">
        <v>1</v>
      </c>
    </row>
    <row r="872" customFormat="false" ht="15" hidden="false" customHeight="false" outlineLevel="0" collapsed="false">
      <c r="A872" s="0" t="s">
        <v>1412</v>
      </c>
      <c r="B872" s="0" t="s">
        <v>134</v>
      </c>
      <c r="C872" s="0" t="s">
        <v>3447</v>
      </c>
      <c r="D872" s="0" t="s">
        <v>3457</v>
      </c>
      <c r="E872" s="18" t="s">
        <v>24</v>
      </c>
      <c r="F872" s="23" t="s">
        <v>30</v>
      </c>
      <c r="G872" s="21" t="s">
        <v>30</v>
      </c>
      <c r="H872" s="21" t="s">
        <v>24</v>
      </c>
      <c r="I872" s="21" t="s">
        <v>24</v>
      </c>
      <c r="J872" s="21" t="s">
        <v>24</v>
      </c>
      <c r="K872" s="21" t="s">
        <v>24</v>
      </c>
      <c r="L872" s="21" t="s">
        <v>24</v>
      </c>
      <c r="M872" s="0" t="n">
        <v>187</v>
      </c>
      <c r="N872" s="0" t="n">
        <v>3</v>
      </c>
      <c r="O872" s="21" t="s">
        <v>3540</v>
      </c>
      <c r="P872" s="21" t="s">
        <v>4493</v>
      </c>
      <c r="Q872" s="0" t="n">
        <v>0</v>
      </c>
      <c r="S872" s="0" t="n">
        <v>3</v>
      </c>
      <c r="T872" s="21" t="s">
        <v>3540</v>
      </c>
      <c r="U872" s="22" t="b">
        <f aca="false">TRUE()</f>
        <v>1</v>
      </c>
      <c r="V872" s="0" t="n">
        <v>0.77</v>
      </c>
      <c r="W872" s="0" t="n">
        <v>0.4</v>
      </c>
      <c r="X872" s="0" t="n">
        <v>8.04</v>
      </c>
      <c r="Y872" s="0" t="n">
        <v>345.22</v>
      </c>
      <c r="Z872" s="0" t="n">
        <v>10.25</v>
      </c>
      <c r="AA872" s="0" t="n">
        <v>0.95</v>
      </c>
      <c r="AB872" s="0" t="n">
        <v>4.41</v>
      </c>
      <c r="AC872" s="22" t="b">
        <f aca="false">FALSE()</f>
        <v>0</v>
      </c>
      <c r="AD872" s="0" t="n">
        <v>11.64</v>
      </c>
      <c r="AE872" s="0" t="n">
        <v>0.46</v>
      </c>
      <c r="AF872" s="0" t="n">
        <v>8.24</v>
      </c>
      <c r="AG872" s="22" t="b">
        <f aca="false">TRUE()</f>
        <v>1</v>
      </c>
      <c r="AH872" s="0" t="n">
        <v>1</v>
      </c>
    </row>
    <row r="873" customFormat="false" ht="15" hidden="false" customHeight="false" outlineLevel="0" collapsed="false">
      <c r="A873" s="0" t="s">
        <v>1412</v>
      </c>
      <c r="B873" s="0" t="s">
        <v>134</v>
      </c>
      <c r="C873" s="0" t="s">
        <v>3447</v>
      </c>
      <c r="D873" s="0" t="s">
        <v>3448</v>
      </c>
      <c r="E873" s="18" t="s">
        <v>24</v>
      </c>
      <c r="F873" s="23" t="s">
        <v>30</v>
      </c>
      <c r="G873" s="21" t="s">
        <v>30</v>
      </c>
      <c r="H873" s="21" t="s">
        <v>24</v>
      </c>
      <c r="I873" s="21" t="s">
        <v>24</v>
      </c>
      <c r="J873" s="21" t="s">
        <v>24</v>
      </c>
      <c r="K873" s="21" t="s">
        <v>24</v>
      </c>
      <c r="L873" s="21" t="s">
        <v>24</v>
      </c>
      <c r="M873" s="0" t="n">
        <v>187</v>
      </c>
      <c r="N873" s="0" t="n">
        <v>1</v>
      </c>
      <c r="O873" s="21" t="s">
        <v>3481</v>
      </c>
      <c r="P873" s="21" t="s">
        <v>4251</v>
      </c>
      <c r="Q873" s="0" t="n">
        <v>0</v>
      </c>
      <c r="S873" s="0" t="n">
        <v>1</v>
      </c>
      <c r="T873" s="21" t="s">
        <v>3481</v>
      </c>
      <c r="U873" s="22" t="b">
        <f aca="false">TRUE()</f>
        <v>1</v>
      </c>
      <c r="V873" s="0" t="n">
        <v>0.75</v>
      </c>
      <c r="W873" s="0" t="n">
        <v>0</v>
      </c>
      <c r="X873" s="0" t="n">
        <v>7.63</v>
      </c>
      <c r="Y873" s="0" t="n">
        <v>5.11</v>
      </c>
      <c r="Z873" s="0" t="n">
        <v>9.67</v>
      </c>
      <c r="AA873" s="0" t="n">
        <v>3.24</v>
      </c>
      <c r="AB873" s="0" t="n">
        <v>6.54</v>
      </c>
      <c r="AC873" s="22" t="b">
        <f aca="false">FALSE()</f>
        <v>0</v>
      </c>
      <c r="AD873" s="0" t="n">
        <v>6.42</v>
      </c>
      <c r="AE873" s="0" t="n">
        <v>1.28</v>
      </c>
      <c r="AF873" s="0" t="n">
        <v>2.04</v>
      </c>
      <c r="AG873" s="22" t="b">
        <f aca="false">FALSE()</f>
        <v>0</v>
      </c>
      <c r="AH873" s="0" t="n">
        <v>0</v>
      </c>
    </row>
    <row r="874" customFormat="false" ht="15" hidden="false" customHeight="false" outlineLevel="0" collapsed="false">
      <c r="A874" s="0" t="s">
        <v>1417</v>
      </c>
      <c r="B874" s="0" t="s">
        <v>134</v>
      </c>
      <c r="C874" s="0" t="s">
        <v>3450</v>
      </c>
      <c r="D874" s="0" t="s">
        <v>3457</v>
      </c>
      <c r="E874" s="20" t="s">
        <v>25</v>
      </c>
      <c r="F874" s="23" t="s">
        <v>30</v>
      </c>
      <c r="G874" s="21" t="s">
        <v>3502</v>
      </c>
      <c r="H874" s="21" t="s">
        <v>25</v>
      </c>
      <c r="I874" s="21" t="s">
        <v>24</v>
      </c>
      <c r="J874" s="21" t="s">
        <v>24</v>
      </c>
      <c r="K874" s="21" t="s">
        <v>25</v>
      </c>
      <c r="L874" s="21" t="s">
        <v>24</v>
      </c>
      <c r="M874" s="0" t="n">
        <v>60</v>
      </c>
      <c r="N874" s="0" t="n">
        <v>1</v>
      </c>
      <c r="O874" s="21" t="s">
        <v>3483</v>
      </c>
      <c r="P874" s="21" t="s">
        <v>4556</v>
      </c>
      <c r="Q874" s="0" t="n">
        <v>0</v>
      </c>
      <c r="S874" s="0" t="n">
        <v>1</v>
      </c>
      <c r="T874" s="21" t="s">
        <v>3483</v>
      </c>
      <c r="U874" s="22" t="b">
        <f aca="false">TRUE()</f>
        <v>1</v>
      </c>
      <c r="V874" s="0" t="n">
        <v>0.78</v>
      </c>
      <c r="W874" s="0" t="n">
        <v>0.12</v>
      </c>
      <c r="X874" s="0" t="n">
        <v>9.1</v>
      </c>
      <c r="Y874" s="0" t="n">
        <v>199.73</v>
      </c>
      <c r="Z874" s="0" t="n">
        <v>8.58</v>
      </c>
      <c r="AA874" s="0" t="n">
        <v>0.63</v>
      </c>
      <c r="AB874" s="0" t="n">
        <v>1.57</v>
      </c>
      <c r="AC874" s="22" t="b">
        <f aca="false">FALSE()</f>
        <v>0</v>
      </c>
      <c r="AD874" s="0" t="n">
        <v>10.47</v>
      </c>
      <c r="AE874" s="0" t="n">
        <v>0.57</v>
      </c>
      <c r="AF874" s="0" t="n">
        <v>8.57</v>
      </c>
      <c r="AG874" s="22" t="b">
        <f aca="false">TRUE()</f>
        <v>1</v>
      </c>
      <c r="AH874" s="0" t="n">
        <v>1</v>
      </c>
    </row>
    <row r="875" customFormat="false" ht="15" hidden="false" customHeight="false" outlineLevel="0" collapsed="false">
      <c r="A875" s="0" t="s">
        <v>1417</v>
      </c>
      <c r="B875" s="0" t="s">
        <v>134</v>
      </c>
      <c r="C875" s="0" t="s">
        <v>3450</v>
      </c>
      <c r="D875" s="0" t="s">
        <v>3448</v>
      </c>
      <c r="E875" s="18" t="s">
        <v>24</v>
      </c>
      <c r="F875" s="18" t="s">
        <v>28</v>
      </c>
      <c r="H875" s="21" t="s">
        <v>24</v>
      </c>
      <c r="I875" s="21" t="s">
        <v>24</v>
      </c>
      <c r="J875" s="21" t="s">
        <v>24</v>
      </c>
      <c r="K875" s="21" t="s">
        <v>24</v>
      </c>
      <c r="L875" s="21" t="s">
        <v>24</v>
      </c>
      <c r="M875" s="0" t="n">
        <v>228</v>
      </c>
      <c r="N875" s="0" t="n">
        <v>0</v>
      </c>
      <c r="Q875" s="0" t="n">
        <v>0</v>
      </c>
      <c r="S875" s="0" t="n">
        <v>0</v>
      </c>
      <c r="U875" s="22" t="b">
        <f aca="false">FALSE()</f>
        <v>0</v>
      </c>
      <c r="V875" s="0" t="n">
        <v>0.79</v>
      </c>
      <c r="W875" s="0" t="n">
        <v>0.24</v>
      </c>
      <c r="X875" s="0" t="n">
        <v>6.59</v>
      </c>
      <c r="Y875" s="0" t="n">
        <v>570.82</v>
      </c>
      <c r="Z875" s="0" t="n">
        <v>9.58</v>
      </c>
      <c r="AA875" s="0" t="n">
        <v>7.2</v>
      </c>
      <c r="AB875" s="0" t="n">
        <v>2.19</v>
      </c>
      <c r="AC875" s="22" t="b">
        <f aca="false">FALSE()</f>
        <v>0</v>
      </c>
      <c r="AD875" s="0" t="n">
        <v>14.99</v>
      </c>
      <c r="AE875" s="0" t="n">
        <v>0.74</v>
      </c>
      <c r="AF875" s="0" t="n">
        <v>3.62</v>
      </c>
      <c r="AG875" s="22" t="b">
        <f aca="false">TRUE()</f>
        <v>1</v>
      </c>
      <c r="AH875" s="0" t="n">
        <v>1</v>
      </c>
    </row>
    <row r="876" customFormat="false" ht="15" hidden="false" customHeight="false" outlineLevel="0" collapsed="false">
      <c r="A876" s="0" t="s">
        <v>1417</v>
      </c>
      <c r="B876" s="0" t="s">
        <v>134</v>
      </c>
      <c r="C876" s="0" t="s">
        <v>3447</v>
      </c>
      <c r="D876" s="0" t="s">
        <v>3457</v>
      </c>
      <c r="E876" s="19" t="s">
        <v>26</v>
      </c>
      <c r="F876" s="19" t="s">
        <v>32</v>
      </c>
      <c r="G876" s="21" t="s">
        <v>529</v>
      </c>
      <c r="H876" s="21" t="s">
        <v>24</v>
      </c>
      <c r="I876" s="21" t="s">
        <v>26</v>
      </c>
      <c r="J876" s="21" t="s">
        <v>24</v>
      </c>
      <c r="K876" s="21" t="s">
        <v>24</v>
      </c>
      <c r="L876" s="21" t="s">
        <v>24</v>
      </c>
      <c r="M876" s="0" t="n">
        <v>183</v>
      </c>
      <c r="N876" s="0" t="n">
        <v>10</v>
      </c>
      <c r="O876" s="21" t="s">
        <v>4066</v>
      </c>
      <c r="P876" s="21" t="s">
        <v>4568</v>
      </c>
      <c r="Q876" s="0" t="n">
        <v>1</v>
      </c>
      <c r="R876" s="21" t="s">
        <v>69</v>
      </c>
      <c r="S876" s="0" t="n">
        <v>10</v>
      </c>
      <c r="T876" s="21" t="s">
        <v>4066</v>
      </c>
      <c r="U876" s="22" t="b">
        <f aca="false">FALSE()</f>
        <v>0</v>
      </c>
      <c r="V876" s="0" t="n">
        <v>0.77</v>
      </c>
      <c r="W876" s="0" t="n">
        <v>0.24</v>
      </c>
      <c r="X876" s="0" t="n">
        <v>7.01</v>
      </c>
      <c r="Y876" s="0" t="n">
        <v>467.14</v>
      </c>
      <c r="Z876" s="0" t="n">
        <v>8.75</v>
      </c>
      <c r="AA876" s="0" t="n">
        <v>1.08</v>
      </c>
      <c r="AB876" s="0" t="n">
        <v>1.57</v>
      </c>
      <c r="AC876" s="22" t="b">
        <f aca="false">FALSE()</f>
        <v>0</v>
      </c>
      <c r="AD876" s="0" t="n">
        <v>18.69</v>
      </c>
      <c r="AE876" s="0" t="n">
        <v>0.93</v>
      </c>
      <c r="AF876" s="0" t="n">
        <v>19.6</v>
      </c>
      <c r="AG876" s="22" t="b">
        <f aca="false">TRUE()</f>
        <v>1</v>
      </c>
      <c r="AH876" s="0" t="n">
        <v>1</v>
      </c>
    </row>
    <row r="877" customFormat="false" ht="15" hidden="false" customHeight="false" outlineLevel="0" collapsed="false">
      <c r="A877" s="0" t="s">
        <v>1417</v>
      </c>
      <c r="B877" s="0" t="s">
        <v>134</v>
      </c>
      <c r="C877" s="0" t="s">
        <v>3447</v>
      </c>
      <c r="D877" s="0" t="s">
        <v>3448</v>
      </c>
      <c r="E877" s="19" t="s">
        <v>26</v>
      </c>
      <c r="F877" s="19" t="s">
        <v>32</v>
      </c>
      <c r="G877" s="21" t="s">
        <v>60</v>
      </c>
      <c r="H877" s="21" t="s">
        <v>24</v>
      </c>
      <c r="I877" s="21" t="s">
        <v>26</v>
      </c>
      <c r="J877" s="21" t="s">
        <v>24</v>
      </c>
      <c r="K877" s="21" t="s">
        <v>24</v>
      </c>
      <c r="L877" s="21" t="s">
        <v>24</v>
      </c>
      <c r="M877" s="0" t="n">
        <v>187</v>
      </c>
      <c r="N877" s="0" t="n">
        <v>8</v>
      </c>
      <c r="O877" s="21" t="s">
        <v>3923</v>
      </c>
      <c r="P877" s="21" t="s">
        <v>4571</v>
      </c>
      <c r="Q877" s="0" t="n">
        <v>0</v>
      </c>
      <c r="S877" s="0" t="n">
        <v>8</v>
      </c>
      <c r="T877" s="21" t="s">
        <v>3923</v>
      </c>
      <c r="U877" s="22" t="b">
        <f aca="false">FALSE()</f>
        <v>0</v>
      </c>
      <c r="V877" s="0" t="n">
        <v>0.81</v>
      </c>
      <c r="W877" s="0" t="n">
        <v>0.64</v>
      </c>
      <c r="X877" s="0" t="n">
        <v>8.35</v>
      </c>
      <c r="Y877" s="0" t="n">
        <v>320.18</v>
      </c>
      <c r="Z877" s="0" t="n">
        <v>8.5</v>
      </c>
      <c r="AA877" s="0" t="n">
        <v>3.5</v>
      </c>
      <c r="AB877" s="0" t="n">
        <v>2.19</v>
      </c>
      <c r="AC877" s="22" t="b">
        <f aca="false">FALSE()</f>
        <v>0</v>
      </c>
      <c r="AD877" s="0" t="n">
        <v>14.38</v>
      </c>
      <c r="AE877" s="0" t="n">
        <v>1.22</v>
      </c>
      <c r="AF877" s="0" t="n">
        <v>1.1</v>
      </c>
      <c r="AG877" s="22" t="b">
        <f aca="false">TRUE()</f>
        <v>1</v>
      </c>
      <c r="AH877" s="0" t="n">
        <v>1</v>
      </c>
    </row>
    <row r="878" customFormat="false" ht="15" hidden="false" customHeight="false" outlineLevel="0" collapsed="false">
      <c r="A878" s="0" t="s">
        <v>1417</v>
      </c>
      <c r="B878" s="0" t="s">
        <v>3459</v>
      </c>
      <c r="C878" s="0" t="s">
        <v>3450</v>
      </c>
      <c r="D878" s="0" t="s">
        <v>3457</v>
      </c>
      <c r="E878" s="19" t="s">
        <v>26</v>
      </c>
      <c r="F878" s="19" t="s">
        <v>32</v>
      </c>
      <c r="G878" s="21" t="s">
        <v>1926</v>
      </c>
      <c r="H878" s="21" t="s">
        <v>24</v>
      </c>
      <c r="I878" s="21" t="s">
        <v>26</v>
      </c>
      <c r="J878" s="21" t="s">
        <v>24</v>
      </c>
      <c r="K878" s="21" t="s">
        <v>25</v>
      </c>
      <c r="L878" s="21" t="s">
        <v>24</v>
      </c>
      <c r="M878" s="0" t="n">
        <v>183</v>
      </c>
      <c r="N878" s="0" t="n">
        <v>8</v>
      </c>
      <c r="O878" s="21" t="s">
        <v>4093</v>
      </c>
      <c r="P878" s="21" t="s">
        <v>4572</v>
      </c>
      <c r="Q878" s="0" t="n">
        <v>1</v>
      </c>
      <c r="R878" s="21" t="s">
        <v>69</v>
      </c>
      <c r="S878" s="0" t="n">
        <v>8</v>
      </c>
      <c r="T878" s="21" t="s">
        <v>4093</v>
      </c>
      <c r="U878" s="22" t="b">
        <f aca="false">FALSE()</f>
        <v>0</v>
      </c>
      <c r="V878" s="0" t="n">
        <v>0.75</v>
      </c>
      <c r="W878" s="0" t="n">
        <v>0.36</v>
      </c>
      <c r="X878" s="0" t="n">
        <v>7.25</v>
      </c>
      <c r="Y878" s="0" t="n">
        <v>352.05</v>
      </c>
      <c r="Z878" s="0" t="n">
        <v>9.5</v>
      </c>
      <c r="AA878" s="0" t="n">
        <v>10.29</v>
      </c>
      <c r="AB878" s="0" t="n">
        <v>4.44</v>
      </c>
      <c r="AC878" s="22" t="b">
        <f aca="false">FALSE()</f>
        <v>0</v>
      </c>
      <c r="AD878" s="0" t="n">
        <v>24.24</v>
      </c>
      <c r="AE878" s="0" t="n">
        <v>10.66</v>
      </c>
      <c r="AF878" s="0" t="n">
        <v>19.52</v>
      </c>
      <c r="AG878" s="22" t="b">
        <f aca="false">TRUE()</f>
        <v>1</v>
      </c>
      <c r="AH878" s="0" t="n">
        <v>1</v>
      </c>
    </row>
    <row r="879" customFormat="false" ht="15" hidden="false" customHeight="false" outlineLevel="0" collapsed="false">
      <c r="A879" s="0" t="s">
        <v>1417</v>
      </c>
      <c r="B879" s="0" t="s">
        <v>3459</v>
      </c>
      <c r="C879" s="0" t="s">
        <v>3450</v>
      </c>
      <c r="D879" s="0" t="s">
        <v>3448</v>
      </c>
      <c r="E879" s="20" t="s">
        <v>25</v>
      </c>
      <c r="F879" s="23" t="s">
        <v>30</v>
      </c>
      <c r="G879" s="21" t="s">
        <v>163</v>
      </c>
      <c r="H879" s="21" t="s">
        <v>24</v>
      </c>
      <c r="I879" s="21" t="s">
        <v>25</v>
      </c>
      <c r="J879" s="21" t="s">
        <v>24</v>
      </c>
      <c r="K879" s="21" t="s">
        <v>25</v>
      </c>
      <c r="L879" s="21" t="s">
        <v>24</v>
      </c>
      <c r="M879" s="0" t="n">
        <v>183</v>
      </c>
      <c r="N879" s="0" t="n">
        <v>5</v>
      </c>
      <c r="O879" s="21" t="s">
        <v>3817</v>
      </c>
      <c r="P879" s="21" t="s">
        <v>4573</v>
      </c>
      <c r="Q879" s="0" t="n">
        <v>1</v>
      </c>
      <c r="R879" s="21" t="s">
        <v>69</v>
      </c>
      <c r="S879" s="0" t="n">
        <v>5</v>
      </c>
      <c r="T879" s="21" t="s">
        <v>3817</v>
      </c>
      <c r="U879" s="22" t="b">
        <f aca="false">TRUE()</f>
        <v>1</v>
      </c>
      <c r="V879" s="0" t="n">
        <v>0.76</v>
      </c>
      <c r="W879" s="0" t="n">
        <v>0.48</v>
      </c>
      <c r="X879" s="0" t="n">
        <v>6.78</v>
      </c>
      <c r="Y879" s="0" t="n">
        <v>335.06</v>
      </c>
      <c r="Z879" s="0" t="n">
        <v>9</v>
      </c>
      <c r="AA879" s="0" t="n">
        <v>7.63</v>
      </c>
      <c r="AB879" s="0" t="n">
        <v>0.09</v>
      </c>
      <c r="AC879" s="22" t="b">
        <f aca="false">FALSE()</f>
        <v>0</v>
      </c>
      <c r="AD879" s="0" t="n">
        <v>25.4</v>
      </c>
      <c r="AE879" s="0" t="n">
        <v>13.76</v>
      </c>
      <c r="AF879" s="0" t="n">
        <v>21.54</v>
      </c>
      <c r="AG879" s="22" t="b">
        <f aca="false">TRUE()</f>
        <v>1</v>
      </c>
      <c r="AH879" s="0" t="n">
        <v>1</v>
      </c>
    </row>
    <row r="880" customFormat="false" ht="15" hidden="false" customHeight="false" outlineLevel="0" collapsed="false">
      <c r="A880" s="0" t="s">
        <v>1417</v>
      </c>
      <c r="B880" s="0" t="s">
        <v>3459</v>
      </c>
      <c r="C880" s="0" t="s">
        <v>3447</v>
      </c>
      <c r="D880" s="0" t="s">
        <v>3457</v>
      </c>
      <c r="E880" s="20" t="s">
        <v>25</v>
      </c>
      <c r="F880" s="23" t="s">
        <v>30</v>
      </c>
      <c r="G880" s="21" t="s">
        <v>992</v>
      </c>
      <c r="H880" s="21" t="s">
        <v>24</v>
      </c>
      <c r="I880" s="21" t="s">
        <v>24</v>
      </c>
      <c r="J880" s="21" t="s">
        <v>24</v>
      </c>
      <c r="K880" s="21" t="s">
        <v>25</v>
      </c>
      <c r="L880" s="21" t="s">
        <v>24</v>
      </c>
      <c r="M880" s="0" t="n">
        <v>185</v>
      </c>
      <c r="N880" s="0" t="n">
        <v>4</v>
      </c>
      <c r="O880" s="21" t="s">
        <v>3621</v>
      </c>
      <c r="P880" s="21" t="s">
        <v>4381</v>
      </c>
      <c r="Q880" s="0" t="n">
        <v>0</v>
      </c>
      <c r="S880" s="0" t="n">
        <v>4</v>
      </c>
      <c r="T880" s="21" t="s">
        <v>3621</v>
      </c>
      <c r="U880" s="22" t="b">
        <f aca="false">TRUE()</f>
        <v>1</v>
      </c>
      <c r="V880" s="0" t="n">
        <v>0.8</v>
      </c>
      <c r="W880" s="0" t="n">
        <v>0.16</v>
      </c>
      <c r="X880" s="0" t="n">
        <v>7.29</v>
      </c>
      <c r="Y880" s="0" t="n">
        <v>511.14</v>
      </c>
      <c r="Z880" s="0" t="n">
        <v>8.17</v>
      </c>
      <c r="AA880" s="0" t="n">
        <v>1.41</v>
      </c>
      <c r="AB880" s="0" t="n">
        <v>4.44</v>
      </c>
      <c r="AC880" s="22" t="b">
        <f aca="false">FALSE()</f>
        <v>0</v>
      </c>
      <c r="AD880" s="0" t="n">
        <v>22.42</v>
      </c>
      <c r="AE880" s="0" t="n">
        <v>9.34</v>
      </c>
      <c r="AF880" s="0" t="n">
        <v>19.63</v>
      </c>
      <c r="AG880" s="22" t="b">
        <f aca="false">TRUE()</f>
        <v>1</v>
      </c>
      <c r="AH880" s="0" t="n">
        <v>1</v>
      </c>
    </row>
    <row r="881" customFormat="false" ht="15" hidden="false" customHeight="false" outlineLevel="0" collapsed="false">
      <c r="A881" s="0" t="s">
        <v>1417</v>
      </c>
      <c r="B881" s="0" t="s">
        <v>3459</v>
      </c>
      <c r="C881" s="0" t="s">
        <v>3447</v>
      </c>
      <c r="D881" s="0" t="s">
        <v>3448</v>
      </c>
      <c r="E881" s="20" t="s">
        <v>25</v>
      </c>
      <c r="F881" s="23" t="s">
        <v>30</v>
      </c>
      <c r="G881" s="21" t="s">
        <v>2610</v>
      </c>
      <c r="H881" s="21" t="s">
        <v>24</v>
      </c>
      <c r="I881" s="21" t="s">
        <v>24</v>
      </c>
      <c r="J881" s="21" t="s">
        <v>24</v>
      </c>
      <c r="K881" s="21" t="s">
        <v>25</v>
      </c>
      <c r="L881" s="21" t="s">
        <v>24</v>
      </c>
      <c r="M881" s="0" t="n">
        <v>184</v>
      </c>
      <c r="N881" s="0" t="n">
        <v>4</v>
      </c>
      <c r="O881" s="21" t="s">
        <v>3618</v>
      </c>
      <c r="P881" s="21" t="s">
        <v>4574</v>
      </c>
      <c r="Q881" s="0" t="n">
        <v>0</v>
      </c>
      <c r="S881" s="0" t="n">
        <v>4</v>
      </c>
      <c r="T881" s="21" t="s">
        <v>3618</v>
      </c>
      <c r="U881" s="22" t="b">
        <f aca="false">TRUE()</f>
        <v>1</v>
      </c>
      <c r="V881" s="0" t="n">
        <v>0.83</v>
      </c>
      <c r="W881" s="0" t="n">
        <v>0.8</v>
      </c>
      <c r="X881" s="0" t="n">
        <v>7.88</v>
      </c>
      <c r="Y881" s="0" t="n">
        <v>321.97</v>
      </c>
      <c r="Z881" s="0" t="n">
        <v>8.25</v>
      </c>
      <c r="AA881" s="0" t="n">
        <v>-1.12</v>
      </c>
      <c r="AB881" s="0" t="n">
        <v>0.09</v>
      </c>
      <c r="AC881" s="22" t="b">
        <f aca="false">FALSE()</f>
        <v>0</v>
      </c>
      <c r="AD881" s="0" t="n">
        <v>11.79</v>
      </c>
      <c r="AE881" s="0" t="n">
        <v>4.79</v>
      </c>
      <c r="AF881" s="0" t="n">
        <v>13.34</v>
      </c>
      <c r="AG881" s="22" t="b">
        <f aca="false">TRUE()</f>
        <v>1</v>
      </c>
      <c r="AH881" s="0" t="n">
        <v>1</v>
      </c>
    </row>
    <row r="882" customFormat="false" ht="15" hidden="false" customHeight="false" outlineLevel="0" collapsed="false">
      <c r="A882" s="0" t="s">
        <v>1423</v>
      </c>
      <c r="B882" s="0" t="s">
        <v>134</v>
      </c>
      <c r="C882" s="0" t="s">
        <v>3450</v>
      </c>
      <c r="D882" s="0" t="s">
        <v>3457</v>
      </c>
      <c r="E882" s="18" t="s">
        <v>24</v>
      </c>
      <c r="F882" s="18" t="s">
        <v>28</v>
      </c>
      <c r="H882" s="21" t="s">
        <v>24</v>
      </c>
      <c r="I882" s="21" t="s">
        <v>24</v>
      </c>
      <c r="J882" s="21" t="s">
        <v>24</v>
      </c>
      <c r="K882" s="21" t="s">
        <v>24</v>
      </c>
      <c r="L882" s="21" t="s">
        <v>24</v>
      </c>
      <c r="M882" s="0" t="n">
        <v>182</v>
      </c>
      <c r="N882" s="0" t="n">
        <v>0</v>
      </c>
      <c r="Q882" s="0" t="n">
        <v>0</v>
      </c>
      <c r="S882" s="0" t="n">
        <v>0</v>
      </c>
      <c r="U882" s="22" t="b">
        <f aca="false">FALSE()</f>
        <v>0</v>
      </c>
      <c r="V882" s="0" t="n">
        <v>0.69</v>
      </c>
      <c r="W882" s="0" t="n">
        <v>0</v>
      </c>
      <c r="X882" s="0" t="n">
        <v>8.88</v>
      </c>
      <c r="Y882" s="0" t="n">
        <v>669.2</v>
      </c>
      <c r="Z882" s="0" t="n">
        <v>9.75</v>
      </c>
      <c r="AA882" s="0" t="n">
        <v>14.92</v>
      </c>
      <c r="AB882" s="0" t="n">
        <v>9.87</v>
      </c>
      <c r="AC882" s="22" t="b">
        <f aca="false">FALSE()</f>
        <v>0</v>
      </c>
      <c r="AD882" s="0" t="n">
        <v>18.69</v>
      </c>
      <c r="AE882" s="0" t="n">
        <v>1</v>
      </c>
      <c r="AF882" s="0" t="n">
        <v>16.87</v>
      </c>
      <c r="AG882" s="22" t="b">
        <f aca="false">TRUE()</f>
        <v>1</v>
      </c>
      <c r="AH882" s="0" t="n">
        <v>1</v>
      </c>
    </row>
    <row r="883" customFormat="false" ht="15" hidden="false" customHeight="false" outlineLevel="0" collapsed="false">
      <c r="A883" s="0" t="s">
        <v>1423</v>
      </c>
      <c r="B883" s="0" t="s">
        <v>134</v>
      </c>
      <c r="C883" s="0" t="s">
        <v>3450</v>
      </c>
      <c r="D883" s="0" t="s">
        <v>3448</v>
      </c>
      <c r="E883" s="20" t="s">
        <v>25</v>
      </c>
      <c r="F883" s="23" t="s">
        <v>30</v>
      </c>
      <c r="G883" s="21" t="s">
        <v>283</v>
      </c>
      <c r="H883" s="21" t="s">
        <v>24</v>
      </c>
      <c r="I883" s="21" t="s">
        <v>25</v>
      </c>
      <c r="J883" s="21" t="s">
        <v>24</v>
      </c>
      <c r="K883" s="21" t="s">
        <v>24</v>
      </c>
      <c r="L883" s="21" t="s">
        <v>24</v>
      </c>
      <c r="M883" s="0" t="n">
        <v>183</v>
      </c>
      <c r="N883" s="0" t="n">
        <v>2</v>
      </c>
      <c r="O883" s="21" t="s">
        <v>3575</v>
      </c>
      <c r="P883" s="21" t="s">
        <v>4265</v>
      </c>
      <c r="Q883" s="0" t="n">
        <v>1</v>
      </c>
      <c r="R883" s="21" t="s">
        <v>69</v>
      </c>
      <c r="S883" s="0" t="n">
        <v>2</v>
      </c>
      <c r="T883" s="21" t="s">
        <v>3575</v>
      </c>
      <c r="U883" s="22" t="b">
        <f aca="false">TRUE()</f>
        <v>1</v>
      </c>
      <c r="V883" s="0" t="n">
        <v>0.71</v>
      </c>
      <c r="W883" s="0" t="n">
        <v>0.76</v>
      </c>
      <c r="X883" s="0" t="n">
        <v>9.61</v>
      </c>
      <c r="Y883" s="0" t="n">
        <v>320.3</v>
      </c>
      <c r="Z883" s="0" t="n">
        <v>10.5</v>
      </c>
      <c r="AA883" s="0" t="n">
        <v>14.55</v>
      </c>
      <c r="AB883" s="0" t="n">
        <v>13.96</v>
      </c>
      <c r="AC883" s="22" t="b">
        <f aca="false">FALSE()</f>
        <v>0</v>
      </c>
      <c r="AD883" s="0" t="n">
        <v>12.38</v>
      </c>
      <c r="AE883" s="0" t="n">
        <v>0.24</v>
      </c>
      <c r="AF883" s="0" t="n">
        <v>11.55</v>
      </c>
      <c r="AG883" s="22" t="b">
        <f aca="false">TRUE()</f>
        <v>1</v>
      </c>
      <c r="AH883" s="0" t="n">
        <v>1</v>
      </c>
    </row>
    <row r="884" customFormat="false" ht="15" hidden="false" customHeight="false" outlineLevel="0" collapsed="false">
      <c r="A884" s="0" t="s">
        <v>1423</v>
      </c>
      <c r="B884" s="0" t="s">
        <v>134</v>
      </c>
      <c r="C884" s="0" t="s">
        <v>3447</v>
      </c>
      <c r="D884" s="0" t="s">
        <v>3457</v>
      </c>
      <c r="E884" s="18" t="s">
        <v>24</v>
      </c>
      <c r="F884" s="18" t="s">
        <v>28</v>
      </c>
      <c r="H884" s="21" t="s">
        <v>24</v>
      </c>
      <c r="I884" s="21" t="s">
        <v>24</v>
      </c>
      <c r="J884" s="21" t="s">
        <v>24</v>
      </c>
      <c r="K884" s="21" t="s">
        <v>24</v>
      </c>
      <c r="L884" s="21" t="s">
        <v>24</v>
      </c>
      <c r="M884" s="0" t="n">
        <v>187</v>
      </c>
      <c r="N884" s="0" t="n">
        <v>0</v>
      </c>
      <c r="Q884" s="0" t="n">
        <v>0</v>
      </c>
      <c r="S884" s="0" t="n">
        <v>0</v>
      </c>
      <c r="U884" s="22" t="b">
        <f aca="false">FALSE()</f>
        <v>0</v>
      </c>
      <c r="V884" s="0" t="n">
        <v>0.79</v>
      </c>
      <c r="W884" s="0" t="n">
        <v>0.28</v>
      </c>
      <c r="X884" s="0" t="n">
        <v>7.73</v>
      </c>
      <c r="Y884" s="0" t="n">
        <v>437.32</v>
      </c>
      <c r="Z884" s="0" t="n">
        <v>10.25</v>
      </c>
      <c r="AA884" s="0" t="n">
        <v>2.19</v>
      </c>
      <c r="AB884" s="0" t="n">
        <v>9.87</v>
      </c>
      <c r="AC884" s="22" t="b">
        <f aca="false">FALSE()</f>
        <v>0</v>
      </c>
      <c r="AD884" s="0" t="n">
        <v>18.97</v>
      </c>
      <c r="AE884" s="0" t="n">
        <v>0.44</v>
      </c>
      <c r="AF884" s="0" t="n">
        <v>16.88</v>
      </c>
      <c r="AG884" s="22" t="b">
        <f aca="false">TRUE()</f>
        <v>1</v>
      </c>
      <c r="AH884" s="0" t="n">
        <v>1</v>
      </c>
    </row>
    <row r="885" customFormat="false" ht="15" hidden="false" customHeight="false" outlineLevel="0" collapsed="false">
      <c r="A885" s="0" t="s">
        <v>1423</v>
      </c>
      <c r="B885" s="0" t="s">
        <v>134</v>
      </c>
      <c r="C885" s="0" t="s">
        <v>3447</v>
      </c>
      <c r="D885" s="0" t="s">
        <v>3448</v>
      </c>
      <c r="E885" s="20" t="s">
        <v>25</v>
      </c>
      <c r="F885" s="23" t="s">
        <v>30</v>
      </c>
      <c r="G885" s="21" t="s">
        <v>283</v>
      </c>
      <c r="H885" s="21" t="s">
        <v>24</v>
      </c>
      <c r="I885" s="21" t="s">
        <v>25</v>
      </c>
      <c r="J885" s="21" t="s">
        <v>24</v>
      </c>
      <c r="K885" s="21" t="s">
        <v>24</v>
      </c>
      <c r="L885" s="21" t="s">
        <v>24</v>
      </c>
      <c r="M885" s="0" t="n">
        <v>183</v>
      </c>
      <c r="N885" s="0" t="n">
        <v>1</v>
      </c>
      <c r="O885" s="21" t="s">
        <v>69</v>
      </c>
      <c r="P885" s="21" t="s">
        <v>4275</v>
      </c>
      <c r="Q885" s="0" t="n">
        <v>1</v>
      </c>
      <c r="R885" s="21" t="s">
        <v>69</v>
      </c>
      <c r="S885" s="0" t="n">
        <v>1</v>
      </c>
      <c r="T885" s="21" t="s">
        <v>69</v>
      </c>
      <c r="U885" s="22" t="b">
        <f aca="false">TRUE()</f>
        <v>1</v>
      </c>
      <c r="V885" s="0" t="n">
        <v>0.77</v>
      </c>
      <c r="W885" s="0" t="n">
        <v>0.36</v>
      </c>
      <c r="X885" s="0" t="n">
        <v>7.12</v>
      </c>
      <c r="Y885" s="0" t="n">
        <v>379.02</v>
      </c>
      <c r="Z885" s="0" t="n">
        <v>9.5</v>
      </c>
      <c r="AA885" s="0" t="n">
        <v>1.44</v>
      </c>
      <c r="AB885" s="0" t="n">
        <v>13.96</v>
      </c>
      <c r="AC885" s="22" t="b">
        <f aca="false">FALSE()</f>
        <v>0</v>
      </c>
      <c r="AD885" s="0" t="n">
        <v>8.75</v>
      </c>
      <c r="AE885" s="0" t="n">
        <v>3.14</v>
      </c>
      <c r="AF885" s="0" t="n">
        <v>8</v>
      </c>
      <c r="AG885" s="22" t="b">
        <f aca="false">FALSE()</f>
        <v>0</v>
      </c>
      <c r="AH885" s="0" t="n">
        <v>1</v>
      </c>
    </row>
    <row r="886" customFormat="false" ht="15" hidden="false" customHeight="false" outlineLevel="0" collapsed="false">
      <c r="A886" s="0" t="s">
        <v>1423</v>
      </c>
      <c r="B886" s="0" t="s">
        <v>3459</v>
      </c>
      <c r="C886" s="0" t="s">
        <v>3450</v>
      </c>
      <c r="D886" s="0" t="s">
        <v>3457</v>
      </c>
      <c r="E886" s="20" t="s">
        <v>25</v>
      </c>
      <c r="F886" s="23" t="s">
        <v>30</v>
      </c>
      <c r="G886" s="21" t="s">
        <v>283</v>
      </c>
      <c r="H886" s="21" t="s">
        <v>24</v>
      </c>
      <c r="I886" s="21" t="s">
        <v>25</v>
      </c>
      <c r="J886" s="21" t="s">
        <v>24</v>
      </c>
      <c r="K886" s="21" t="s">
        <v>24</v>
      </c>
      <c r="L886" s="21" t="s">
        <v>24</v>
      </c>
      <c r="M886" s="0" t="n">
        <v>182</v>
      </c>
      <c r="N886" s="0" t="n">
        <v>1</v>
      </c>
      <c r="O886" s="21" t="s">
        <v>69</v>
      </c>
      <c r="P886" s="21" t="s">
        <v>4275</v>
      </c>
      <c r="Q886" s="0" t="n">
        <v>1</v>
      </c>
      <c r="R886" s="21" t="s">
        <v>69</v>
      </c>
      <c r="S886" s="0" t="n">
        <v>1</v>
      </c>
      <c r="T886" s="21" t="s">
        <v>69</v>
      </c>
      <c r="U886" s="22" t="b">
        <f aca="false">TRUE()</f>
        <v>1</v>
      </c>
      <c r="V886" s="0" t="n">
        <v>0.71</v>
      </c>
      <c r="W886" s="0" t="n">
        <v>0</v>
      </c>
      <c r="X886" s="0" t="n">
        <v>8.41</v>
      </c>
      <c r="Y886" s="0" t="n">
        <v>0.6</v>
      </c>
      <c r="Z886" s="0" t="n">
        <v>9.5</v>
      </c>
      <c r="AA886" s="0" t="n">
        <v>14.64</v>
      </c>
      <c r="AB886" s="0" t="n">
        <v>9.78</v>
      </c>
      <c r="AC886" s="22" t="b">
        <f aca="false">FALSE()</f>
        <v>0</v>
      </c>
      <c r="AD886" s="0" t="n">
        <v>19.62</v>
      </c>
      <c r="AE886" s="0" t="n">
        <v>7.92</v>
      </c>
      <c r="AF886" s="0" t="n">
        <v>16.07</v>
      </c>
      <c r="AG886" s="22" t="b">
        <f aca="false">TRUE()</f>
        <v>1</v>
      </c>
      <c r="AH886" s="0" t="n">
        <v>0</v>
      </c>
    </row>
    <row r="887" customFormat="false" ht="15" hidden="false" customHeight="false" outlineLevel="0" collapsed="false">
      <c r="A887" s="0" t="s">
        <v>1423</v>
      </c>
      <c r="B887" s="0" t="s">
        <v>3459</v>
      </c>
      <c r="C887" s="0" t="s">
        <v>3450</v>
      </c>
      <c r="D887" s="0" t="s">
        <v>3448</v>
      </c>
      <c r="E887" s="20" t="s">
        <v>25</v>
      </c>
      <c r="F887" s="23" t="s">
        <v>30</v>
      </c>
      <c r="G887" s="21" t="s">
        <v>1230</v>
      </c>
      <c r="H887" s="21" t="s">
        <v>24</v>
      </c>
      <c r="I887" s="21" t="s">
        <v>25</v>
      </c>
      <c r="J887" s="21" t="s">
        <v>24</v>
      </c>
      <c r="K887" s="21" t="s">
        <v>25</v>
      </c>
      <c r="L887" s="21" t="s">
        <v>24</v>
      </c>
      <c r="M887" s="0" t="n">
        <v>184</v>
      </c>
      <c r="N887" s="0" t="n">
        <v>2</v>
      </c>
      <c r="O887" s="21" t="s">
        <v>3566</v>
      </c>
      <c r="P887" s="21" t="s">
        <v>4238</v>
      </c>
      <c r="Q887" s="0" t="n">
        <v>1</v>
      </c>
      <c r="R887" s="21" t="s">
        <v>69</v>
      </c>
      <c r="S887" s="0" t="n">
        <v>2</v>
      </c>
      <c r="T887" s="21" t="s">
        <v>3566</v>
      </c>
      <c r="U887" s="22" t="b">
        <f aca="false">TRUE()</f>
        <v>1</v>
      </c>
      <c r="V887" s="0" t="n">
        <v>0.71</v>
      </c>
      <c r="W887" s="0" t="n">
        <v>0.92</v>
      </c>
      <c r="X887" s="0" t="n">
        <v>9.04</v>
      </c>
      <c r="Y887" s="0" t="n">
        <v>320.03</v>
      </c>
      <c r="Z887" s="0" t="n">
        <v>9</v>
      </c>
      <c r="AA887" s="0" t="n">
        <v>-0.9</v>
      </c>
      <c r="AB887" s="0" t="n">
        <v>10.4</v>
      </c>
      <c r="AC887" s="22" t="b">
        <f aca="false">FALSE()</f>
        <v>0</v>
      </c>
      <c r="AD887" s="0" t="n">
        <v>4.11</v>
      </c>
      <c r="AE887" s="0" t="n">
        <v>0.87</v>
      </c>
      <c r="AF887" s="0" t="n">
        <v>5.1</v>
      </c>
      <c r="AG887" s="22" t="b">
        <f aca="false">FALSE()</f>
        <v>0</v>
      </c>
      <c r="AH887" s="0" t="n">
        <v>1</v>
      </c>
    </row>
    <row r="888" customFormat="false" ht="15" hidden="false" customHeight="false" outlineLevel="0" collapsed="false">
      <c r="A888" s="0" t="s">
        <v>1423</v>
      </c>
      <c r="B888" s="0" t="s">
        <v>3459</v>
      </c>
      <c r="C888" s="0" t="s">
        <v>3447</v>
      </c>
      <c r="D888" s="0" t="s">
        <v>3457</v>
      </c>
      <c r="E888" s="20" t="s">
        <v>25</v>
      </c>
      <c r="F888" s="23" t="s">
        <v>30</v>
      </c>
      <c r="G888" s="21" t="s">
        <v>283</v>
      </c>
      <c r="H888" s="21" t="s">
        <v>24</v>
      </c>
      <c r="I888" s="21" t="s">
        <v>25</v>
      </c>
      <c r="J888" s="21" t="s">
        <v>24</v>
      </c>
      <c r="K888" s="21" t="s">
        <v>24</v>
      </c>
      <c r="L888" s="21" t="s">
        <v>24</v>
      </c>
      <c r="M888" s="0" t="n">
        <v>189</v>
      </c>
      <c r="N888" s="0" t="n">
        <v>2</v>
      </c>
      <c r="O888" s="21" t="s">
        <v>3575</v>
      </c>
      <c r="P888" s="21" t="s">
        <v>4265</v>
      </c>
      <c r="Q888" s="0" t="n">
        <v>1</v>
      </c>
      <c r="R888" s="21" t="s">
        <v>69</v>
      </c>
      <c r="S888" s="0" t="n">
        <v>2</v>
      </c>
      <c r="T888" s="21" t="s">
        <v>3575</v>
      </c>
      <c r="U888" s="22" t="b">
        <f aca="false">TRUE()</f>
        <v>1</v>
      </c>
      <c r="V888" s="0" t="n">
        <v>0.75</v>
      </c>
      <c r="W888" s="0" t="n">
        <v>0.84</v>
      </c>
      <c r="X888" s="0" t="n">
        <v>7.38</v>
      </c>
      <c r="Y888" s="0" t="n">
        <v>327.41</v>
      </c>
      <c r="Z888" s="0" t="n">
        <v>8.75</v>
      </c>
      <c r="AA888" s="0" t="n">
        <v>0.54</v>
      </c>
      <c r="AB888" s="0" t="n">
        <v>9.78</v>
      </c>
      <c r="AC888" s="22" t="b">
        <f aca="false">FALSE()</f>
        <v>0</v>
      </c>
      <c r="AD888" s="0" t="n">
        <v>14.44</v>
      </c>
      <c r="AE888" s="0" t="n">
        <v>3.95</v>
      </c>
      <c r="AF888" s="0" t="n">
        <v>10.85</v>
      </c>
      <c r="AG888" s="22" t="b">
        <f aca="false">TRUE()</f>
        <v>1</v>
      </c>
      <c r="AH888" s="0" t="n">
        <v>1</v>
      </c>
    </row>
    <row r="889" customFormat="false" ht="15" hidden="false" customHeight="false" outlineLevel="0" collapsed="false">
      <c r="A889" s="0" t="s">
        <v>1423</v>
      </c>
      <c r="B889" s="0" t="s">
        <v>3459</v>
      </c>
      <c r="C889" s="0" t="s">
        <v>3447</v>
      </c>
      <c r="D889" s="0" t="s">
        <v>3448</v>
      </c>
      <c r="E889" s="20" t="s">
        <v>25</v>
      </c>
      <c r="F889" s="23" t="s">
        <v>30</v>
      </c>
      <c r="G889" s="21" t="s">
        <v>283</v>
      </c>
      <c r="H889" s="21" t="s">
        <v>24</v>
      </c>
      <c r="I889" s="21" t="s">
        <v>25</v>
      </c>
      <c r="J889" s="21" t="s">
        <v>24</v>
      </c>
      <c r="K889" s="21" t="s">
        <v>24</v>
      </c>
      <c r="L889" s="21" t="s">
        <v>24</v>
      </c>
      <c r="M889" s="0" t="n">
        <v>184</v>
      </c>
      <c r="N889" s="0" t="n">
        <v>3</v>
      </c>
      <c r="O889" s="21" t="s">
        <v>3649</v>
      </c>
      <c r="P889" s="21" t="s">
        <v>4242</v>
      </c>
      <c r="Q889" s="0" t="n">
        <v>1</v>
      </c>
      <c r="R889" s="21" t="s">
        <v>69</v>
      </c>
      <c r="S889" s="0" t="n">
        <v>3</v>
      </c>
      <c r="T889" s="21" t="s">
        <v>3649</v>
      </c>
      <c r="U889" s="22" t="b">
        <f aca="false">TRUE()</f>
        <v>1</v>
      </c>
      <c r="V889" s="0" t="n">
        <v>0.79</v>
      </c>
      <c r="W889" s="0" t="n">
        <v>0.44</v>
      </c>
      <c r="X889" s="0" t="n">
        <v>7.95</v>
      </c>
      <c r="Y889" s="0" t="n">
        <v>347.56</v>
      </c>
      <c r="Z889" s="0" t="n">
        <v>9</v>
      </c>
      <c r="AA889" s="0" t="n">
        <v>-0.49</v>
      </c>
      <c r="AB889" s="0" t="n">
        <v>10.4</v>
      </c>
      <c r="AC889" s="22" t="b">
        <f aca="false">FALSE()</f>
        <v>0</v>
      </c>
      <c r="AD889" s="0" t="n">
        <v>11.8</v>
      </c>
      <c r="AE889" s="0" t="n">
        <v>3.66</v>
      </c>
      <c r="AF889" s="0" t="n">
        <v>11.91</v>
      </c>
      <c r="AG889" s="22" t="b">
        <f aca="false">TRUE()</f>
        <v>1</v>
      </c>
      <c r="AH889" s="0" t="n">
        <v>1</v>
      </c>
    </row>
    <row r="890" customFormat="false" ht="15" hidden="false" customHeight="false" outlineLevel="0" collapsed="false">
      <c r="A890" s="0" t="s">
        <v>1429</v>
      </c>
      <c r="B890" s="0" t="s">
        <v>134</v>
      </c>
      <c r="C890" s="0" t="s">
        <v>3450</v>
      </c>
      <c r="D890" s="0" t="s">
        <v>3457</v>
      </c>
      <c r="E890" s="20" t="s">
        <v>25</v>
      </c>
      <c r="F890" s="23" t="s">
        <v>30</v>
      </c>
      <c r="G890" s="21" t="s">
        <v>283</v>
      </c>
      <c r="H890" s="21" t="s">
        <v>24</v>
      </c>
      <c r="I890" s="21" t="s">
        <v>25</v>
      </c>
      <c r="J890" s="21" t="s">
        <v>24</v>
      </c>
      <c r="K890" s="21" t="s">
        <v>24</v>
      </c>
      <c r="L890" s="21" t="s">
        <v>24</v>
      </c>
      <c r="M890" s="0" t="n">
        <v>184</v>
      </c>
      <c r="N890" s="0" t="n">
        <v>6</v>
      </c>
      <c r="O890" s="21" t="s">
        <v>3835</v>
      </c>
      <c r="P890" s="21" t="s">
        <v>4575</v>
      </c>
      <c r="Q890" s="0" t="n">
        <v>1</v>
      </c>
      <c r="R890" s="21" t="s">
        <v>69</v>
      </c>
      <c r="S890" s="0" t="n">
        <v>6</v>
      </c>
      <c r="T890" s="21" t="s">
        <v>3835</v>
      </c>
      <c r="U890" s="22" t="b">
        <f aca="false">TRUE()</f>
        <v>1</v>
      </c>
      <c r="V890" s="0" t="n">
        <v>0.78</v>
      </c>
      <c r="W890" s="0" t="n">
        <v>0.12</v>
      </c>
      <c r="X890" s="0" t="n">
        <v>9.72</v>
      </c>
      <c r="Y890" s="0" t="n">
        <v>630.42</v>
      </c>
      <c r="Z890" s="0" t="n">
        <v>10.5</v>
      </c>
      <c r="AA890" s="0" t="n">
        <v>22.96</v>
      </c>
      <c r="AB890" s="0" t="n">
        <v>15.03</v>
      </c>
      <c r="AC890" s="22" t="b">
        <f aca="false">FALSE()</f>
        <v>0</v>
      </c>
      <c r="AD890" s="0" t="n">
        <v>17.89</v>
      </c>
      <c r="AE890" s="0" t="n">
        <v>1.54</v>
      </c>
      <c r="AF890" s="0" t="n">
        <v>10.99</v>
      </c>
      <c r="AG890" s="22" t="b">
        <f aca="false">TRUE()</f>
        <v>1</v>
      </c>
      <c r="AH890" s="0" t="n">
        <v>1</v>
      </c>
    </row>
    <row r="891" customFormat="false" ht="15" hidden="false" customHeight="false" outlineLevel="0" collapsed="false">
      <c r="A891" s="0" t="s">
        <v>1429</v>
      </c>
      <c r="B891" s="0" t="s">
        <v>134</v>
      </c>
      <c r="C891" s="0" t="s">
        <v>3450</v>
      </c>
      <c r="D891" s="0" t="s">
        <v>3448</v>
      </c>
      <c r="E891" s="20" t="s">
        <v>25</v>
      </c>
      <c r="F891" s="23" t="s">
        <v>30</v>
      </c>
      <c r="G891" s="21" t="s">
        <v>1152</v>
      </c>
      <c r="H891" s="21" t="s">
        <v>24</v>
      </c>
      <c r="I891" s="21" t="s">
        <v>25</v>
      </c>
      <c r="J891" s="21" t="s">
        <v>24</v>
      </c>
      <c r="K891" s="21" t="s">
        <v>25</v>
      </c>
      <c r="L891" s="21" t="s">
        <v>24</v>
      </c>
      <c r="M891" s="0" t="n">
        <v>183</v>
      </c>
      <c r="N891" s="0" t="n">
        <v>6</v>
      </c>
      <c r="O891" s="21" t="s">
        <v>3856</v>
      </c>
      <c r="P891" s="21" t="s">
        <v>4576</v>
      </c>
      <c r="Q891" s="0" t="n">
        <v>1</v>
      </c>
      <c r="R891" s="21" t="s">
        <v>69</v>
      </c>
      <c r="S891" s="0" t="n">
        <v>6</v>
      </c>
      <c r="T891" s="21" t="s">
        <v>3856</v>
      </c>
      <c r="U891" s="22" t="b">
        <f aca="false">TRUE()</f>
        <v>1</v>
      </c>
      <c r="V891" s="0" t="n">
        <v>0.7</v>
      </c>
      <c r="W891" s="0" t="n">
        <v>0.84</v>
      </c>
      <c r="X891" s="0" t="n">
        <v>8.11</v>
      </c>
      <c r="Y891" s="0" t="n">
        <v>319.44</v>
      </c>
      <c r="Z891" s="0" t="n">
        <v>10.75</v>
      </c>
      <c r="AA891" s="0" t="n">
        <v>19.88</v>
      </c>
      <c r="AB891" s="0" t="n">
        <v>0.46</v>
      </c>
      <c r="AC891" s="22" t="b">
        <f aca="false">FALSE()</f>
        <v>0</v>
      </c>
      <c r="AD891" s="0" t="n">
        <v>10.51</v>
      </c>
      <c r="AE891" s="0" t="n">
        <v>3.56</v>
      </c>
      <c r="AF891" s="0" t="n">
        <v>11.56</v>
      </c>
      <c r="AG891" s="22" t="b">
        <f aca="false">TRUE()</f>
        <v>1</v>
      </c>
      <c r="AH891" s="0" t="n">
        <v>1</v>
      </c>
    </row>
    <row r="892" customFormat="false" ht="15" hidden="false" customHeight="false" outlineLevel="0" collapsed="false">
      <c r="A892" s="0" t="s">
        <v>1429</v>
      </c>
      <c r="B892" s="0" t="s">
        <v>134</v>
      </c>
      <c r="C892" s="0" t="s">
        <v>3447</v>
      </c>
      <c r="D892" s="0" t="s">
        <v>3457</v>
      </c>
      <c r="E892" s="18" t="s">
        <v>24</v>
      </c>
      <c r="F892" s="23" t="s">
        <v>30</v>
      </c>
      <c r="G892" s="21" t="s">
        <v>30</v>
      </c>
      <c r="H892" s="21" t="s">
        <v>24</v>
      </c>
      <c r="I892" s="21" t="s">
        <v>24</v>
      </c>
      <c r="J892" s="21" t="s">
        <v>24</v>
      </c>
      <c r="K892" s="21" t="s">
        <v>24</v>
      </c>
      <c r="L892" s="21" t="s">
        <v>24</v>
      </c>
      <c r="M892" s="0" t="n">
        <v>185</v>
      </c>
      <c r="N892" s="0" t="n">
        <v>2</v>
      </c>
      <c r="O892" s="21" t="s">
        <v>3524</v>
      </c>
      <c r="P892" s="21" t="s">
        <v>4550</v>
      </c>
      <c r="Q892" s="0" t="n">
        <v>0</v>
      </c>
      <c r="S892" s="0" t="n">
        <v>2</v>
      </c>
      <c r="T892" s="21" t="s">
        <v>3524</v>
      </c>
      <c r="U892" s="22" t="b">
        <f aca="false">TRUE()</f>
        <v>1</v>
      </c>
      <c r="V892" s="0" t="n">
        <v>0.71</v>
      </c>
      <c r="W892" s="0" t="n">
        <v>0.56</v>
      </c>
      <c r="X892" s="0" t="n">
        <v>6.92</v>
      </c>
      <c r="Y892" s="0" t="n">
        <v>328.74</v>
      </c>
      <c r="Z892" s="0" t="n">
        <v>10.5</v>
      </c>
      <c r="AA892" s="0" t="n">
        <v>9.87</v>
      </c>
      <c r="AB892" s="0" t="n">
        <v>15.03</v>
      </c>
      <c r="AC892" s="22" t="b">
        <f aca="false">FALSE()</f>
        <v>0</v>
      </c>
      <c r="AD892" s="0" t="n">
        <v>12.78</v>
      </c>
      <c r="AE892" s="0" t="n">
        <v>1.82</v>
      </c>
      <c r="AF892" s="0" t="n">
        <v>7.09</v>
      </c>
      <c r="AG892" s="22" t="b">
        <f aca="false">TRUE()</f>
        <v>1</v>
      </c>
      <c r="AH892" s="0" t="n">
        <v>1</v>
      </c>
    </row>
    <row r="893" customFormat="false" ht="15" hidden="false" customHeight="false" outlineLevel="0" collapsed="false">
      <c r="A893" s="0" t="s">
        <v>1429</v>
      </c>
      <c r="B893" s="0" t="s">
        <v>134</v>
      </c>
      <c r="C893" s="0" t="s">
        <v>3447</v>
      </c>
      <c r="D893" s="0" t="s">
        <v>3448</v>
      </c>
      <c r="E893" s="20" t="s">
        <v>25</v>
      </c>
      <c r="F893" s="23" t="s">
        <v>30</v>
      </c>
      <c r="G893" s="21" t="s">
        <v>2610</v>
      </c>
      <c r="H893" s="21" t="s">
        <v>24</v>
      </c>
      <c r="I893" s="21" t="s">
        <v>24</v>
      </c>
      <c r="J893" s="21" t="s">
        <v>24</v>
      </c>
      <c r="K893" s="21" t="s">
        <v>25</v>
      </c>
      <c r="L893" s="21" t="s">
        <v>24</v>
      </c>
      <c r="M893" s="0" t="n">
        <v>184</v>
      </c>
      <c r="N893" s="0" t="n">
        <v>3</v>
      </c>
      <c r="O893" s="21" t="s">
        <v>3561</v>
      </c>
      <c r="P893" s="21" t="s">
        <v>4304</v>
      </c>
      <c r="Q893" s="0" t="n">
        <v>0</v>
      </c>
      <c r="S893" s="0" t="n">
        <v>3</v>
      </c>
      <c r="T893" s="21" t="s">
        <v>3561</v>
      </c>
      <c r="U893" s="22" t="b">
        <f aca="false">TRUE()</f>
        <v>1</v>
      </c>
      <c r="V893" s="0" t="n">
        <v>0.67</v>
      </c>
      <c r="W893" s="0" t="n">
        <v>0.96</v>
      </c>
      <c r="X893" s="0" t="n">
        <v>11.16</v>
      </c>
      <c r="Y893" s="0" t="n">
        <v>315.42</v>
      </c>
      <c r="Z893" s="0" t="n">
        <v>10.5</v>
      </c>
      <c r="AA893" s="0" t="n">
        <v>-0.71</v>
      </c>
      <c r="AB893" s="0" t="n">
        <v>0.46</v>
      </c>
      <c r="AC893" s="22" t="b">
        <f aca="false">FALSE()</f>
        <v>0</v>
      </c>
      <c r="AD893" s="0" t="n">
        <v>0.24</v>
      </c>
      <c r="AE893" s="0" t="n">
        <v>0.05</v>
      </c>
      <c r="AF893" s="0" t="n">
        <v>1.7</v>
      </c>
      <c r="AG893" s="22" t="b">
        <f aca="false">FALSE()</f>
        <v>0</v>
      </c>
      <c r="AH893" s="0" t="n">
        <v>1</v>
      </c>
    </row>
    <row r="894" customFormat="false" ht="15" hidden="false" customHeight="false" outlineLevel="0" collapsed="false">
      <c r="A894" s="0" t="s">
        <v>1443</v>
      </c>
      <c r="B894" s="0" t="s">
        <v>134</v>
      </c>
      <c r="C894" s="0" t="s">
        <v>3450</v>
      </c>
      <c r="D894" s="0" t="s">
        <v>3457</v>
      </c>
      <c r="E894" s="20" t="s">
        <v>25</v>
      </c>
      <c r="F894" s="23" t="s">
        <v>30</v>
      </c>
      <c r="G894" s="21" t="s">
        <v>283</v>
      </c>
      <c r="H894" s="21" t="s">
        <v>24</v>
      </c>
      <c r="I894" s="21" t="s">
        <v>25</v>
      </c>
      <c r="J894" s="21" t="s">
        <v>24</v>
      </c>
      <c r="K894" s="21" t="s">
        <v>24</v>
      </c>
      <c r="L894" s="21" t="s">
        <v>24</v>
      </c>
      <c r="M894" s="0" t="n">
        <v>182</v>
      </c>
      <c r="N894" s="0" t="n">
        <v>1</v>
      </c>
      <c r="O894" s="21" t="s">
        <v>69</v>
      </c>
      <c r="P894" s="21" t="s">
        <v>4275</v>
      </c>
      <c r="Q894" s="0" t="n">
        <v>1</v>
      </c>
      <c r="R894" s="21" t="s">
        <v>69</v>
      </c>
      <c r="S894" s="0" t="n">
        <v>1</v>
      </c>
      <c r="T894" s="21" t="s">
        <v>69</v>
      </c>
      <c r="U894" s="22" t="b">
        <f aca="false">TRUE()</f>
        <v>1</v>
      </c>
      <c r="V894" s="0" t="n">
        <v>0.74</v>
      </c>
      <c r="W894" s="0" t="n">
        <v>0.4</v>
      </c>
      <c r="X894" s="0" t="n">
        <v>7.34</v>
      </c>
      <c r="Y894" s="0" t="n">
        <v>354.11</v>
      </c>
      <c r="Z894" s="0" t="n">
        <v>10.5</v>
      </c>
      <c r="AA894" s="0" t="n">
        <v>17.69</v>
      </c>
      <c r="AB894" s="0" t="n">
        <v>18.36</v>
      </c>
      <c r="AC894" s="22" t="b">
        <f aca="false">FALSE()</f>
        <v>0</v>
      </c>
      <c r="AD894" s="0" t="n">
        <v>11.96</v>
      </c>
      <c r="AE894" s="0" t="n">
        <v>0.67</v>
      </c>
      <c r="AF894" s="0" t="n">
        <v>3.45</v>
      </c>
      <c r="AG894" s="22" t="b">
        <f aca="false">TRUE()</f>
        <v>1</v>
      </c>
      <c r="AH894" s="0" t="n">
        <v>1</v>
      </c>
    </row>
    <row r="895" customFormat="false" ht="15" hidden="false" customHeight="false" outlineLevel="0" collapsed="false">
      <c r="A895" s="0" t="s">
        <v>1443</v>
      </c>
      <c r="B895" s="0" t="s">
        <v>134</v>
      </c>
      <c r="C895" s="0" t="s">
        <v>3450</v>
      </c>
      <c r="D895" s="0" t="s">
        <v>3448</v>
      </c>
      <c r="E895" s="20" t="s">
        <v>25</v>
      </c>
      <c r="F895" s="20" t="s">
        <v>29</v>
      </c>
      <c r="G895" s="21" t="s">
        <v>64</v>
      </c>
      <c r="H895" s="21" t="s">
        <v>24</v>
      </c>
      <c r="I895" s="21" t="s">
        <v>24</v>
      </c>
      <c r="J895" s="21" t="s">
        <v>24</v>
      </c>
      <c r="K895" s="21" t="s">
        <v>25</v>
      </c>
      <c r="L895" s="21" t="s">
        <v>24</v>
      </c>
      <c r="M895" s="0" t="n">
        <v>187</v>
      </c>
      <c r="N895" s="0" t="n">
        <v>0</v>
      </c>
      <c r="Q895" s="0" t="n">
        <v>0</v>
      </c>
      <c r="S895" s="0" t="n">
        <v>0</v>
      </c>
      <c r="U895" s="22" t="b">
        <f aca="false">FALSE()</f>
        <v>0</v>
      </c>
      <c r="V895" s="0" t="n">
        <v>0.74</v>
      </c>
      <c r="W895" s="0" t="n">
        <v>0</v>
      </c>
      <c r="X895" s="0" t="n">
        <v>7.37</v>
      </c>
      <c r="Y895" s="0" t="n">
        <v>738.02</v>
      </c>
      <c r="Z895" s="0" t="n">
        <v>10.5</v>
      </c>
      <c r="AA895" s="0" t="n">
        <v>19.67</v>
      </c>
      <c r="AB895" s="0" t="n">
        <v>0.56</v>
      </c>
      <c r="AC895" s="22" t="b">
        <f aca="false">FALSE()</f>
        <v>0</v>
      </c>
      <c r="AD895" s="0" t="n">
        <v>15.14</v>
      </c>
      <c r="AE895" s="0" t="n">
        <v>0.59</v>
      </c>
      <c r="AF895" s="0" t="n">
        <v>2.35</v>
      </c>
      <c r="AG895" s="22" t="b">
        <f aca="false">TRUE()</f>
        <v>1</v>
      </c>
      <c r="AH895" s="0" t="n">
        <v>1</v>
      </c>
    </row>
    <row r="896" customFormat="false" ht="15" hidden="false" customHeight="false" outlineLevel="0" collapsed="false">
      <c r="A896" s="0" t="s">
        <v>1443</v>
      </c>
      <c r="B896" s="0" t="s">
        <v>134</v>
      </c>
      <c r="C896" s="0" t="s">
        <v>3447</v>
      </c>
      <c r="D896" s="0" t="s">
        <v>3457</v>
      </c>
      <c r="E896" s="18" t="s">
        <v>24</v>
      </c>
      <c r="F896" s="18" t="s">
        <v>28</v>
      </c>
      <c r="H896" s="21" t="s">
        <v>24</v>
      </c>
      <c r="I896" s="21" t="s">
        <v>24</v>
      </c>
      <c r="J896" s="21" t="s">
        <v>24</v>
      </c>
      <c r="K896" s="21" t="s">
        <v>24</v>
      </c>
      <c r="L896" s="21" t="s">
        <v>24</v>
      </c>
      <c r="M896" s="0" t="n">
        <v>183</v>
      </c>
      <c r="N896" s="0" t="n">
        <v>0</v>
      </c>
      <c r="Q896" s="0" t="n">
        <v>0</v>
      </c>
      <c r="S896" s="0" t="n">
        <v>0</v>
      </c>
      <c r="U896" s="22" t="b">
        <f aca="false">FALSE()</f>
        <v>0</v>
      </c>
      <c r="V896" s="0" t="n">
        <v>0.72</v>
      </c>
      <c r="W896" s="0" t="n">
        <v>0</v>
      </c>
      <c r="X896" s="0" t="n">
        <v>6.44</v>
      </c>
      <c r="Y896" s="0" t="n">
        <v>0.58</v>
      </c>
      <c r="Z896" s="0" t="n">
        <v>10.5</v>
      </c>
      <c r="AA896" s="0" t="n">
        <v>7.24</v>
      </c>
      <c r="AB896" s="0" t="n">
        <v>18.36</v>
      </c>
      <c r="AC896" s="22" t="b">
        <f aca="false">FALSE()</f>
        <v>0</v>
      </c>
      <c r="AD896" s="0" t="n">
        <v>12.38</v>
      </c>
      <c r="AE896" s="0" t="n">
        <v>0.65</v>
      </c>
      <c r="AF896" s="0" t="n">
        <v>2.98</v>
      </c>
      <c r="AG896" s="22" t="b">
        <f aca="false">TRUE()</f>
        <v>1</v>
      </c>
      <c r="AH896" s="0" t="n">
        <v>0</v>
      </c>
    </row>
    <row r="897" customFormat="false" ht="15" hidden="false" customHeight="false" outlineLevel="0" collapsed="false">
      <c r="A897" s="0" t="s">
        <v>1443</v>
      </c>
      <c r="B897" s="0" t="s">
        <v>134</v>
      </c>
      <c r="C897" s="0" t="s">
        <v>3447</v>
      </c>
      <c r="D897" s="0" t="s">
        <v>3448</v>
      </c>
      <c r="E897" s="20" t="s">
        <v>25</v>
      </c>
      <c r="F897" s="23" t="s">
        <v>30</v>
      </c>
      <c r="G897" s="21" t="s">
        <v>1152</v>
      </c>
      <c r="H897" s="21" t="s">
        <v>24</v>
      </c>
      <c r="I897" s="21" t="s">
        <v>25</v>
      </c>
      <c r="J897" s="21" t="s">
        <v>24</v>
      </c>
      <c r="K897" s="21" t="s">
        <v>25</v>
      </c>
      <c r="L897" s="21" t="s">
        <v>24</v>
      </c>
      <c r="M897" s="0" t="n">
        <v>184</v>
      </c>
      <c r="N897" s="0" t="n">
        <v>2</v>
      </c>
      <c r="O897" s="21" t="s">
        <v>3566</v>
      </c>
      <c r="P897" s="21" t="s">
        <v>4238</v>
      </c>
      <c r="Q897" s="0" t="n">
        <v>1</v>
      </c>
      <c r="R897" s="21" t="s">
        <v>69</v>
      </c>
      <c r="S897" s="0" t="n">
        <v>2</v>
      </c>
      <c r="T897" s="21" t="s">
        <v>3566</v>
      </c>
      <c r="U897" s="22" t="b">
        <f aca="false">TRUE()</f>
        <v>1</v>
      </c>
      <c r="V897" s="0" t="n">
        <v>0.75</v>
      </c>
      <c r="W897" s="0" t="n">
        <v>0.88</v>
      </c>
      <c r="X897" s="0" t="n">
        <v>7.26</v>
      </c>
      <c r="Y897" s="0" t="n">
        <v>321.46</v>
      </c>
      <c r="Z897" s="0" t="n">
        <v>8</v>
      </c>
      <c r="AA897" s="0" t="n">
        <v>-1.2</v>
      </c>
      <c r="AB897" s="0" t="n">
        <v>0.56</v>
      </c>
      <c r="AC897" s="22" t="b">
        <f aca="false">FALSE()</f>
        <v>0</v>
      </c>
      <c r="AD897" s="0" t="n">
        <v>2.2</v>
      </c>
      <c r="AE897" s="0" t="n">
        <v>0.32</v>
      </c>
      <c r="AF897" s="0" t="n">
        <v>0.38</v>
      </c>
      <c r="AG897" s="22" t="b">
        <f aca="false">FALSE()</f>
        <v>0</v>
      </c>
      <c r="AH897" s="0" t="n">
        <v>1</v>
      </c>
    </row>
    <row r="898" customFormat="false" ht="15" hidden="false" customHeight="false" outlineLevel="0" collapsed="false">
      <c r="A898" s="0" t="s">
        <v>1443</v>
      </c>
      <c r="B898" s="0" t="s">
        <v>3459</v>
      </c>
      <c r="C898" s="0" t="s">
        <v>3450</v>
      </c>
      <c r="D898" s="0" t="s">
        <v>3457</v>
      </c>
      <c r="E898" s="19" t="s">
        <v>26</v>
      </c>
      <c r="F898" s="19" t="s">
        <v>32</v>
      </c>
      <c r="G898" s="21" t="s">
        <v>529</v>
      </c>
      <c r="H898" s="21" t="s">
        <v>24</v>
      </c>
      <c r="I898" s="21" t="s">
        <v>26</v>
      </c>
      <c r="J898" s="21" t="s">
        <v>24</v>
      </c>
      <c r="K898" s="21" t="s">
        <v>24</v>
      </c>
      <c r="L898" s="21" t="s">
        <v>24</v>
      </c>
      <c r="M898" s="0" t="n">
        <v>182</v>
      </c>
      <c r="N898" s="0" t="n">
        <v>7</v>
      </c>
      <c r="O898" s="21" t="s">
        <v>3986</v>
      </c>
      <c r="P898" s="21" t="s">
        <v>4577</v>
      </c>
      <c r="Q898" s="0" t="n">
        <v>1</v>
      </c>
      <c r="R898" s="21" t="s">
        <v>69</v>
      </c>
      <c r="S898" s="0" t="n">
        <v>7</v>
      </c>
      <c r="T898" s="21" t="s">
        <v>3986</v>
      </c>
      <c r="U898" s="22" t="b">
        <f aca="false">FALSE()</f>
        <v>0</v>
      </c>
      <c r="V898" s="0" t="n">
        <v>0.75</v>
      </c>
      <c r="W898" s="0" t="n">
        <v>0.8</v>
      </c>
      <c r="X898" s="0" t="n">
        <v>7.15</v>
      </c>
      <c r="Y898" s="0" t="n">
        <v>315.53</v>
      </c>
      <c r="Z898" s="0" t="n">
        <v>10.75</v>
      </c>
      <c r="AA898" s="0" t="n">
        <v>8.16</v>
      </c>
      <c r="AB898" s="0" t="n">
        <v>36.6</v>
      </c>
      <c r="AC898" s="22" t="b">
        <f aca="false">FALSE()</f>
        <v>0</v>
      </c>
      <c r="AD898" s="0" t="n">
        <v>17.09</v>
      </c>
      <c r="AE898" s="0" t="n">
        <v>8.69</v>
      </c>
      <c r="AF898" s="0" t="n">
        <v>16.4</v>
      </c>
      <c r="AG898" s="22" t="b">
        <f aca="false">TRUE()</f>
        <v>1</v>
      </c>
      <c r="AH898" s="0" t="n">
        <v>1</v>
      </c>
    </row>
    <row r="899" customFormat="false" ht="15" hidden="false" customHeight="false" outlineLevel="0" collapsed="false">
      <c r="A899" s="0" t="s">
        <v>1443</v>
      </c>
      <c r="B899" s="0" t="s">
        <v>3459</v>
      </c>
      <c r="C899" s="0" t="s">
        <v>3450</v>
      </c>
      <c r="D899" s="0" t="s">
        <v>3448</v>
      </c>
      <c r="E899" s="20" t="s">
        <v>25</v>
      </c>
      <c r="F899" s="23" t="s">
        <v>30</v>
      </c>
      <c r="G899" s="21" t="s">
        <v>183</v>
      </c>
      <c r="H899" s="21" t="s">
        <v>24</v>
      </c>
      <c r="I899" s="21" t="s">
        <v>25</v>
      </c>
      <c r="J899" s="21" t="s">
        <v>24</v>
      </c>
      <c r="K899" s="21" t="s">
        <v>25</v>
      </c>
      <c r="L899" s="21" t="s">
        <v>24</v>
      </c>
      <c r="M899" s="0" t="n">
        <v>209</v>
      </c>
      <c r="N899" s="0" t="n">
        <v>5</v>
      </c>
      <c r="O899" s="21" t="s">
        <v>3798</v>
      </c>
      <c r="P899" s="21" t="s">
        <v>4578</v>
      </c>
      <c r="Q899" s="0" t="n">
        <v>1</v>
      </c>
      <c r="R899" s="21" t="s">
        <v>69</v>
      </c>
      <c r="S899" s="0" t="n">
        <v>5</v>
      </c>
      <c r="T899" s="21" t="s">
        <v>3798</v>
      </c>
      <c r="U899" s="22" t="b">
        <f aca="false">TRUE()</f>
        <v>1</v>
      </c>
      <c r="V899" s="0" t="n">
        <v>0.79</v>
      </c>
      <c r="W899" s="0" t="n">
        <v>0</v>
      </c>
      <c r="X899" s="0" t="n">
        <v>7.61</v>
      </c>
      <c r="Y899" s="0" t="n">
        <v>827.93</v>
      </c>
      <c r="Z899" s="0" t="n">
        <v>10.5</v>
      </c>
      <c r="AA899" s="0" t="n">
        <v>13.97</v>
      </c>
      <c r="AB899" s="0" t="n">
        <v>1.91</v>
      </c>
      <c r="AC899" s="22" t="b">
        <f aca="false">FALSE()</f>
        <v>0</v>
      </c>
      <c r="AD899" s="0" t="n">
        <v>24.53</v>
      </c>
      <c r="AE899" s="0" t="n">
        <v>13.98</v>
      </c>
      <c r="AF899" s="0" t="n">
        <v>20.49</v>
      </c>
      <c r="AG899" s="22" t="b">
        <f aca="false">TRUE()</f>
        <v>1</v>
      </c>
      <c r="AH899" s="0" t="n">
        <v>1</v>
      </c>
    </row>
    <row r="900" customFormat="false" ht="15" hidden="false" customHeight="false" outlineLevel="0" collapsed="false">
      <c r="A900" s="0" t="s">
        <v>1443</v>
      </c>
      <c r="B900" s="0" t="s">
        <v>3459</v>
      </c>
      <c r="C900" s="0" t="s">
        <v>3447</v>
      </c>
      <c r="D900" s="0" t="s">
        <v>3457</v>
      </c>
      <c r="E900" s="20" t="s">
        <v>25</v>
      </c>
      <c r="F900" s="20" t="s">
        <v>29</v>
      </c>
      <c r="G900" s="21" t="s">
        <v>61</v>
      </c>
      <c r="H900" s="21" t="s">
        <v>24</v>
      </c>
      <c r="I900" s="21" t="s">
        <v>24</v>
      </c>
      <c r="J900" s="21" t="s">
        <v>24</v>
      </c>
      <c r="K900" s="21" t="s">
        <v>25</v>
      </c>
      <c r="L900" s="21" t="s">
        <v>24</v>
      </c>
      <c r="M900" s="0" t="n">
        <v>181</v>
      </c>
      <c r="N900" s="0" t="n">
        <v>0</v>
      </c>
      <c r="Q900" s="0" t="n">
        <v>0</v>
      </c>
      <c r="S900" s="0" t="n">
        <v>0</v>
      </c>
      <c r="U900" s="22" t="b">
        <f aca="false">FALSE()</f>
        <v>0</v>
      </c>
      <c r="V900" s="0" t="n">
        <v>0.81</v>
      </c>
      <c r="W900" s="0" t="n">
        <v>0</v>
      </c>
      <c r="X900" s="0" t="n">
        <v>6.63</v>
      </c>
      <c r="Y900" s="0" t="n">
        <v>681.72</v>
      </c>
      <c r="Z900" s="0" t="n">
        <v>11</v>
      </c>
      <c r="AA900" s="0" t="n">
        <v>3.95</v>
      </c>
      <c r="AB900" s="0" t="n">
        <v>36.6</v>
      </c>
      <c r="AC900" s="22" t="b">
        <f aca="false">FALSE()</f>
        <v>0</v>
      </c>
      <c r="AD900" s="0" t="n">
        <v>25.77</v>
      </c>
      <c r="AE900" s="0" t="n">
        <v>13.98</v>
      </c>
      <c r="AF900" s="0" t="n">
        <v>21.16</v>
      </c>
      <c r="AG900" s="22" t="b">
        <f aca="false">TRUE()</f>
        <v>1</v>
      </c>
      <c r="AH900" s="0" t="n">
        <v>1</v>
      </c>
    </row>
    <row r="901" customFormat="false" ht="15" hidden="false" customHeight="false" outlineLevel="0" collapsed="false">
      <c r="A901" s="0" t="s">
        <v>1443</v>
      </c>
      <c r="B901" s="0" t="s">
        <v>3459</v>
      </c>
      <c r="C901" s="0" t="s">
        <v>3447</v>
      </c>
      <c r="D901" s="0" t="s">
        <v>3448</v>
      </c>
      <c r="E901" s="20" t="s">
        <v>25</v>
      </c>
      <c r="F901" s="20" t="s">
        <v>29</v>
      </c>
      <c r="G901" s="21" t="s">
        <v>61</v>
      </c>
      <c r="H901" s="21" t="s">
        <v>24</v>
      </c>
      <c r="I901" s="21" t="s">
        <v>24</v>
      </c>
      <c r="J901" s="21" t="s">
        <v>24</v>
      </c>
      <c r="K901" s="21" t="s">
        <v>25</v>
      </c>
      <c r="L901" s="21" t="s">
        <v>24</v>
      </c>
      <c r="M901" s="0" t="n">
        <v>185</v>
      </c>
      <c r="N901" s="0" t="n">
        <v>0</v>
      </c>
      <c r="Q901" s="0" t="n">
        <v>0</v>
      </c>
      <c r="S901" s="0" t="n">
        <v>0</v>
      </c>
      <c r="U901" s="22" t="b">
        <f aca="false">FALSE()</f>
        <v>0</v>
      </c>
      <c r="V901" s="0" t="n">
        <v>0.81</v>
      </c>
      <c r="W901" s="0" t="n">
        <v>0.4</v>
      </c>
      <c r="X901" s="0" t="n">
        <v>8.2</v>
      </c>
      <c r="Y901" s="0" t="n">
        <v>363.86</v>
      </c>
      <c r="Z901" s="0" t="n">
        <v>10.75</v>
      </c>
      <c r="AA901" s="0" t="n">
        <v>11.66</v>
      </c>
      <c r="AB901" s="0" t="n">
        <v>1.91</v>
      </c>
      <c r="AC901" s="22" t="b">
        <f aca="false">FALSE()</f>
        <v>0</v>
      </c>
      <c r="AD901" s="0" t="n">
        <v>23.95</v>
      </c>
      <c r="AE901" s="0" t="n">
        <v>10.93</v>
      </c>
      <c r="AF901" s="0" t="n">
        <v>16.25</v>
      </c>
      <c r="AG901" s="22" t="b">
        <f aca="false">TRUE()</f>
        <v>1</v>
      </c>
      <c r="AH901" s="0" t="n">
        <v>1</v>
      </c>
    </row>
    <row r="902" customFormat="false" ht="15" hidden="false" customHeight="false" outlineLevel="0" collapsed="false">
      <c r="A902" s="0" t="s">
        <v>1448</v>
      </c>
      <c r="B902" s="0" t="s">
        <v>134</v>
      </c>
      <c r="C902" s="0" t="s">
        <v>3450</v>
      </c>
      <c r="D902" s="0" t="s">
        <v>3457</v>
      </c>
      <c r="E902" s="18" t="s">
        <v>24</v>
      </c>
      <c r="F902" s="18" t="s">
        <v>28</v>
      </c>
      <c r="H902" s="21" t="s">
        <v>24</v>
      </c>
      <c r="I902" s="21" t="s">
        <v>24</v>
      </c>
      <c r="J902" s="21" t="s">
        <v>24</v>
      </c>
      <c r="K902" s="21" t="s">
        <v>24</v>
      </c>
      <c r="L902" s="21" t="s">
        <v>24</v>
      </c>
      <c r="M902" s="0" t="n">
        <v>182</v>
      </c>
      <c r="N902" s="0" t="n">
        <v>0</v>
      </c>
      <c r="Q902" s="0" t="n">
        <v>0</v>
      </c>
      <c r="S902" s="0" t="n">
        <v>0</v>
      </c>
      <c r="U902" s="22" t="b">
        <f aca="false">FALSE()</f>
        <v>0</v>
      </c>
      <c r="V902" s="0" t="n">
        <v>0.7</v>
      </c>
      <c r="W902" s="0" t="n">
        <v>0.48</v>
      </c>
      <c r="X902" s="0" t="n">
        <v>11.77</v>
      </c>
      <c r="Y902" s="0" t="n">
        <v>313.96</v>
      </c>
      <c r="Z902" s="0" t="n">
        <v>10.17</v>
      </c>
      <c r="AA902" s="0" t="n">
        <v>6.43</v>
      </c>
      <c r="AB902" s="0" t="n">
        <v>1.77</v>
      </c>
      <c r="AC902" s="22" t="b">
        <f aca="false">FALSE()</f>
        <v>0</v>
      </c>
      <c r="AD902" s="0" t="n">
        <v>1.33</v>
      </c>
      <c r="AE902" s="0" t="n">
        <v>0.75</v>
      </c>
      <c r="AF902" s="0" t="n">
        <v>2.83</v>
      </c>
      <c r="AG902" s="22" t="b">
        <f aca="false">FALSE()</f>
        <v>0</v>
      </c>
      <c r="AH902" s="0" t="n">
        <v>1</v>
      </c>
    </row>
    <row r="903" customFormat="false" ht="15" hidden="false" customHeight="false" outlineLevel="0" collapsed="false">
      <c r="A903" s="0" t="s">
        <v>1448</v>
      </c>
      <c r="B903" s="0" t="s">
        <v>134</v>
      </c>
      <c r="C903" s="0" t="s">
        <v>3450</v>
      </c>
      <c r="D903" s="0" t="s">
        <v>3448</v>
      </c>
      <c r="E903" s="20" t="s">
        <v>25</v>
      </c>
      <c r="F903" s="20" t="s">
        <v>29</v>
      </c>
      <c r="G903" s="21" t="s">
        <v>63</v>
      </c>
      <c r="H903" s="21" t="s">
        <v>24</v>
      </c>
      <c r="I903" s="21" t="s">
        <v>24</v>
      </c>
      <c r="J903" s="21" t="s">
        <v>24</v>
      </c>
      <c r="K903" s="21" t="s">
        <v>25</v>
      </c>
      <c r="L903" s="21" t="s">
        <v>24</v>
      </c>
      <c r="M903" s="0" t="n">
        <v>182</v>
      </c>
      <c r="N903" s="0" t="n">
        <v>0</v>
      </c>
      <c r="Q903" s="0" t="n">
        <v>0</v>
      </c>
      <c r="S903" s="0" t="n">
        <v>0</v>
      </c>
      <c r="U903" s="22" t="b">
        <f aca="false">FALSE()</f>
        <v>0</v>
      </c>
      <c r="V903" s="0" t="n">
        <v>0.71</v>
      </c>
      <c r="W903" s="0" t="n">
        <v>0.32</v>
      </c>
      <c r="X903" s="0" t="n">
        <v>13.24</v>
      </c>
      <c r="Y903" s="0" t="n">
        <v>399.75</v>
      </c>
      <c r="Z903" s="0" t="n">
        <v>9.92</v>
      </c>
      <c r="AA903" s="0" t="n">
        <v>5.91</v>
      </c>
      <c r="AB903" s="0" t="n">
        <v>1.34</v>
      </c>
      <c r="AC903" s="22" t="b">
        <f aca="false">FALSE()</f>
        <v>0</v>
      </c>
      <c r="AD903" s="0" t="n">
        <v>1.85</v>
      </c>
      <c r="AE903" s="0" t="n">
        <v>0.96</v>
      </c>
      <c r="AF903" s="0" t="n">
        <v>1.23</v>
      </c>
      <c r="AG903" s="22" t="b">
        <f aca="false">FALSE()</f>
        <v>0</v>
      </c>
      <c r="AH903" s="0" t="n">
        <v>1</v>
      </c>
    </row>
    <row r="904" customFormat="false" ht="15" hidden="false" customHeight="false" outlineLevel="0" collapsed="false">
      <c r="A904" s="0" t="s">
        <v>1448</v>
      </c>
      <c r="B904" s="0" t="s">
        <v>134</v>
      </c>
      <c r="C904" s="0" t="s">
        <v>3447</v>
      </c>
      <c r="D904" s="0" t="s">
        <v>3457</v>
      </c>
      <c r="E904" s="19" t="s">
        <v>26</v>
      </c>
      <c r="F904" s="19" t="s">
        <v>32</v>
      </c>
      <c r="G904" s="21" t="s">
        <v>529</v>
      </c>
      <c r="H904" s="21" t="s">
        <v>24</v>
      </c>
      <c r="I904" s="21" t="s">
        <v>26</v>
      </c>
      <c r="J904" s="21" t="s">
        <v>24</v>
      </c>
      <c r="K904" s="21" t="s">
        <v>24</v>
      </c>
      <c r="L904" s="21" t="s">
        <v>24</v>
      </c>
      <c r="M904" s="0" t="n">
        <v>182</v>
      </c>
      <c r="N904" s="0" t="n">
        <v>7</v>
      </c>
      <c r="O904" s="21" t="s">
        <v>3986</v>
      </c>
      <c r="P904" s="21" t="s">
        <v>4577</v>
      </c>
      <c r="Q904" s="0" t="n">
        <v>1</v>
      </c>
      <c r="R904" s="21" t="s">
        <v>69</v>
      </c>
      <c r="S904" s="0" t="n">
        <v>7</v>
      </c>
      <c r="T904" s="21" t="s">
        <v>3986</v>
      </c>
      <c r="U904" s="22" t="b">
        <f aca="false">FALSE()</f>
        <v>0</v>
      </c>
      <c r="V904" s="0" t="n">
        <v>0.74</v>
      </c>
      <c r="W904" s="0" t="n">
        <v>0.72</v>
      </c>
      <c r="X904" s="0" t="n">
        <v>11.76</v>
      </c>
      <c r="Y904" s="0" t="n">
        <v>310.37</v>
      </c>
      <c r="Z904" s="0" t="n">
        <v>8</v>
      </c>
      <c r="AA904" s="0" t="n">
        <v>-0.96</v>
      </c>
      <c r="AB904" s="0" t="n">
        <v>1.77</v>
      </c>
      <c r="AC904" s="22" t="b">
        <f aca="false">FALSE()</f>
        <v>0</v>
      </c>
      <c r="AD904" s="0" t="n">
        <v>0.26</v>
      </c>
      <c r="AE904" s="0" t="n">
        <v>0.37</v>
      </c>
      <c r="AF904" s="0" t="n">
        <v>1.87</v>
      </c>
      <c r="AG904" s="22" t="b">
        <f aca="false">FALSE()</f>
        <v>0</v>
      </c>
      <c r="AH904" s="0" t="n">
        <v>1</v>
      </c>
    </row>
    <row r="905" customFormat="false" ht="15" hidden="false" customHeight="false" outlineLevel="0" collapsed="false">
      <c r="A905" s="0" t="s">
        <v>1448</v>
      </c>
      <c r="B905" s="0" t="s">
        <v>134</v>
      </c>
      <c r="C905" s="0" t="s">
        <v>3447</v>
      </c>
      <c r="D905" s="0" t="s">
        <v>3448</v>
      </c>
      <c r="E905" s="19" t="s">
        <v>26</v>
      </c>
      <c r="F905" s="19" t="s">
        <v>32</v>
      </c>
      <c r="G905" s="21" t="s">
        <v>1451</v>
      </c>
      <c r="H905" s="21" t="s">
        <v>24</v>
      </c>
      <c r="I905" s="21" t="s">
        <v>26</v>
      </c>
      <c r="J905" s="21" t="s">
        <v>24</v>
      </c>
      <c r="K905" s="21" t="s">
        <v>25</v>
      </c>
      <c r="L905" s="21" t="s">
        <v>24</v>
      </c>
      <c r="M905" s="0" t="n">
        <v>182</v>
      </c>
      <c r="N905" s="0" t="n">
        <v>7</v>
      </c>
      <c r="O905" s="21" t="s">
        <v>3986</v>
      </c>
      <c r="P905" s="21" t="s">
        <v>4577</v>
      </c>
      <c r="Q905" s="0" t="n">
        <v>1</v>
      </c>
      <c r="R905" s="21" t="s">
        <v>69</v>
      </c>
      <c r="S905" s="0" t="n">
        <v>7</v>
      </c>
      <c r="T905" s="21" t="s">
        <v>3986</v>
      </c>
      <c r="U905" s="22" t="b">
        <f aca="false">FALSE()</f>
        <v>0</v>
      </c>
      <c r="V905" s="0" t="n">
        <v>0.74</v>
      </c>
      <c r="W905" s="0" t="n">
        <v>0.48</v>
      </c>
      <c r="X905" s="0" t="n">
        <v>11.91</v>
      </c>
      <c r="Y905" s="0" t="n">
        <v>332.9</v>
      </c>
      <c r="Z905" s="0" t="n">
        <v>8.25</v>
      </c>
      <c r="AA905" s="0" t="n">
        <v>-0.41</v>
      </c>
      <c r="AB905" s="0" t="n">
        <v>1.34</v>
      </c>
      <c r="AC905" s="22" t="b">
        <f aca="false">FALSE()</f>
        <v>0</v>
      </c>
      <c r="AD905" s="0" t="n">
        <v>1.16</v>
      </c>
      <c r="AE905" s="0" t="n">
        <v>1.19</v>
      </c>
      <c r="AF905" s="0" t="n">
        <v>1.37</v>
      </c>
      <c r="AG905" s="22" t="b">
        <f aca="false">FALSE()</f>
        <v>0</v>
      </c>
      <c r="AH905" s="0" t="n">
        <v>1</v>
      </c>
    </row>
    <row r="906" customFormat="false" ht="15" hidden="false" customHeight="false" outlineLevel="0" collapsed="false">
      <c r="A906" s="0" t="s">
        <v>1458</v>
      </c>
      <c r="B906" s="0" t="s">
        <v>134</v>
      </c>
      <c r="C906" s="0" t="s">
        <v>3450</v>
      </c>
      <c r="D906" s="0" t="s">
        <v>3457</v>
      </c>
      <c r="E906" s="19" t="s">
        <v>26</v>
      </c>
      <c r="F906" s="19" t="s">
        <v>32</v>
      </c>
      <c r="G906" s="21" t="s">
        <v>3894</v>
      </c>
      <c r="H906" s="21" t="s">
        <v>24</v>
      </c>
      <c r="I906" s="21" t="s">
        <v>26</v>
      </c>
      <c r="J906" s="21" t="s">
        <v>24</v>
      </c>
      <c r="K906" s="21" t="s">
        <v>25</v>
      </c>
      <c r="L906" s="21" t="s">
        <v>24</v>
      </c>
      <c r="M906" s="0" t="n">
        <v>184</v>
      </c>
      <c r="N906" s="0" t="n">
        <v>4</v>
      </c>
      <c r="O906" s="21" t="s">
        <v>3893</v>
      </c>
      <c r="P906" s="21" t="s">
        <v>4579</v>
      </c>
      <c r="Q906" s="0" t="n">
        <v>2</v>
      </c>
      <c r="R906" s="21" t="s">
        <v>3871</v>
      </c>
      <c r="S906" s="0" t="n">
        <v>4</v>
      </c>
      <c r="T906" s="21" t="s">
        <v>3893</v>
      </c>
      <c r="U906" s="22" t="b">
        <f aca="false">FALSE()</f>
        <v>0</v>
      </c>
      <c r="V906" s="0" t="n">
        <v>0.8</v>
      </c>
      <c r="W906" s="0" t="n">
        <v>0</v>
      </c>
      <c r="X906" s="0" t="n">
        <v>8.57</v>
      </c>
      <c r="Y906" s="0" t="n">
        <v>695.84</v>
      </c>
      <c r="Z906" s="0" t="n">
        <v>10</v>
      </c>
      <c r="AA906" s="0" t="n">
        <v>14.23</v>
      </c>
      <c r="AB906" s="0" t="n">
        <v>0.5</v>
      </c>
      <c r="AC906" s="22" t="b">
        <f aca="false">FALSE()</f>
        <v>0</v>
      </c>
      <c r="AD906" s="0" t="n">
        <v>20.91</v>
      </c>
      <c r="AE906" s="0" t="n">
        <v>0.48</v>
      </c>
      <c r="AF906" s="0" t="n">
        <v>13.88</v>
      </c>
      <c r="AG906" s="22" t="b">
        <f aca="false">TRUE()</f>
        <v>1</v>
      </c>
      <c r="AH906" s="0" t="n">
        <v>1</v>
      </c>
    </row>
    <row r="907" customFormat="false" ht="15" hidden="false" customHeight="false" outlineLevel="0" collapsed="false">
      <c r="A907" s="0" t="s">
        <v>1458</v>
      </c>
      <c r="B907" s="0" t="s">
        <v>134</v>
      </c>
      <c r="C907" s="0" t="s">
        <v>3450</v>
      </c>
      <c r="D907" s="0" t="s">
        <v>3448</v>
      </c>
      <c r="E907" s="19" t="s">
        <v>26</v>
      </c>
      <c r="F907" s="19" t="s">
        <v>32</v>
      </c>
      <c r="G907" s="21" t="s">
        <v>65</v>
      </c>
      <c r="H907" s="21" t="s">
        <v>24</v>
      </c>
      <c r="I907" s="21" t="s">
        <v>26</v>
      </c>
      <c r="J907" s="21" t="s">
        <v>24</v>
      </c>
      <c r="K907" s="21" t="s">
        <v>24</v>
      </c>
      <c r="L907" s="21" t="s">
        <v>24</v>
      </c>
      <c r="M907" s="0" t="n">
        <v>186</v>
      </c>
      <c r="N907" s="0" t="n">
        <v>4</v>
      </c>
      <c r="O907" s="21" t="s">
        <v>3889</v>
      </c>
      <c r="P907" s="21" t="s">
        <v>4580</v>
      </c>
      <c r="Q907" s="0" t="n">
        <v>2</v>
      </c>
      <c r="R907" s="21" t="s">
        <v>3871</v>
      </c>
      <c r="S907" s="0" t="n">
        <v>4</v>
      </c>
      <c r="T907" s="21" t="s">
        <v>3889</v>
      </c>
      <c r="U907" s="22" t="b">
        <f aca="false">FALSE()</f>
        <v>0</v>
      </c>
      <c r="V907" s="0" t="n">
        <v>0.81</v>
      </c>
      <c r="W907" s="0" t="n">
        <v>0</v>
      </c>
      <c r="X907" s="0" t="n">
        <v>7.99</v>
      </c>
      <c r="Y907" s="0" t="n">
        <v>0.89</v>
      </c>
      <c r="Z907" s="0" t="n">
        <v>9.5</v>
      </c>
      <c r="AA907" s="0" t="n">
        <v>11.41</v>
      </c>
      <c r="AB907" s="0" t="n">
        <v>6.06</v>
      </c>
      <c r="AC907" s="22" t="b">
        <f aca="false">FALSE()</f>
        <v>0</v>
      </c>
      <c r="AD907" s="0" t="n">
        <v>19.03</v>
      </c>
      <c r="AE907" s="0" t="n">
        <v>0.59</v>
      </c>
      <c r="AF907" s="0" t="n">
        <v>13.65</v>
      </c>
      <c r="AG907" s="22" t="b">
        <f aca="false">TRUE()</f>
        <v>1</v>
      </c>
      <c r="AH907" s="0" t="n">
        <v>0</v>
      </c>
    </row>
    <row r="908" customFormat="false" ht="15" hidden="false" customHeight="false" outlineLevel="0" collapsed="false">
      <c r="A908" s="0" t="s">
        <v>1458</v>
      </c>
      <c r="B908" s="0" t="s">
        <v>134</v>
      </c>
      <c r="C908" s="0" t="s">
        <v>3447</v>
      </c>
      <c r="D908" s="0" t="s">
        <v>3457</v>
      </c>
      <c r="E908" s="20" t="s">
        <v>25</v>
      </c>
      <c r="F908" s="23" t="s">
        <v>30</v>
      </c>
      <c r="G908" s="21" t="s">
        <v>1152</v>
      </c>
      <c r="H908" s="21" t="s">
        <v>24</v>
      </c>
      <c r="I908" s="21" t="s">
        <v>25</v>
      </c>
      <c r="J908" s="21" t="s">
        <v>24</v>
      </c>
      <c r="K908" s="21" t="s">
        <v>25</v>
      </c>
      <c r="L908" s="21" t="s">
        <v>24</v>
      </c>
      <c r="M908" s="0" t="n">
        <v>184</v>
      </c>
      <c r="N908" s="0" t="n">
        <v>1</v>
      </c>
      <c r="O908" s="21" t="s">
        <v>70</v>
      </c>
      <c r="P908" s="21" t="s">
        <v>4378</v>
      </c>
      <c r="Q908" s="0" t="n">
        <v>1</v>
      </c>
      <c r="R908" s="21" t="s">
        <v>70</v>
      </c>
      <c r="S908" s="0" t="n">
        <v>1</v>
      </c>
      <c r="T908" s="21" t="s">
        <v>70</v>
      </c>
      <c r="U908" s="22" t="b">
        <f aca="false">TRUE()</f>
        <v>1</v>
      </c>
      <c r="V908" s="0" t="n">
        <v>0.8</v>
      </c>
      <c r="W908" s="0" t="n">
        <v>0.68</v>
      </c>
      <c r="X908" s="0" t="n">
        <v>5.75</v>
      </c>
      <c r="Y908" s="0" t="n">
        <v>323.34</v>
      </c>
      <c r="Z908" s="0" t="n">
        <v>8</v>
      </c>
      <c r="AA908" s="0" t="n">
        <v>-1.19</v>
      </c>
      <c r="AB908" s="0" t="n">
        <v>0.5</v>
      </c>
      <c r="AC908" s="22" t="b">
        <f aca="false">FALSE()</f>
        <v>0</v>
      </c>
      <c r="AD908" s="0" t="n">
        <v>5.3</v>
      </c>
      <c r="AE908" s="0" t="n">
        <v>0.09</v>
      </c>
      <c r="AF908" s="0" t="n">
        <v>4.4</v>
      </c>
      <c r="AG908" s="22" t="b">
        <f aca="false">FALSE()</f>
        <v>0</v>
      </c>
      <c r="AH908" s="0" t="n">
        <v>1</v>
      </c>
    </row>
    <row r="909" customFormat="false" ht="15" hidden="false" customHeight="false" outlineLevel="0" collapsed="false">
      <c r="A909" s="0" t="s">
        <v>1458</v>
      </c>
      <c r="B909" s="0" t="s">
        <v>134</v>
      </c>
      <c r="C909" s="0" t="s">
        <v>3447</v>
      </c>
      <c r="D909" s="0" t="s">
        <v>3448</v>
      </c>
      <c r="E909" s="19" t="s">
        <v>26</v>
      </c>
      <c r="F909" s="19" t="s">
        <v>32</v>
      </c>
      <c r="G909" s="21" t="s">
        <v>65</v>
      </c>
      <c r="H909" s="21" t="s">
        <v>24</v>
      </c>
      <c r="I909" s="21" t="s">
        <v>26</v>
      </c>
      <c r="J909" s="21" t="s">
        <v>24</v>
      </c>
      <c r="K909" s="21" t="s">
        <v>24</v>
      </c>
      <c r="L909" s="21" t="s">
        <v>24</v>
      </c>
      <c r="M909" s="0" t="n">
        <v>184</v>
      </c>
      <c r="N909" s="0" t="n">
        <v>5</v>
      </c>
      <c r="O909" s="21" t="s">
        <v>3938</v>
      </c>
      <c r="P909" s="21" t="s">
        <v>4581</v>
      </c>
      <c r="Q909" s="0" t="n">
        <v>2</v>
      </c>
      <c r="R909" s="21" t="s">
        <v>3871</v>
      </c>
      <c r="S909" s="0" t="n">
        <v>5</v>
      </c>
      <c r="T909" s="21" t="s">
        <v>3938</v>
      </c>
      <c r="U909" s="22" t="b">
        <f aca="false">FALSE()</f>
        <v>0</v>
      </c>
      <c r="V909" s="0" t="n">
        <v>0.8</v>
      </c>
      <c r="W909" s="0" t="n">
        <v>0</v>
      </c>
      <c r="X909" s="0" t="n">
        <v>6.81</v>
      </c>
      <c r="Y909" s="0" t="n">
        <v>2.27</v>
      </c>
      <c r="Z909" s="0" t="n">
        <v>9</v>
      </c>
      <c r="AA909" s="0" t="n">
        <v>5.81</v>
      </c>
      <c r="AB909" s="0" t="n">
        <v>6.06</v>
      </c>
      <c r="AC909" s="22" t="b">
        <f aca="false">FALSE()</f>
        <v>0</v>
      </c>
      <c r="AD909" s="0" t="n">
        <v>19.44</v>
      </c>
      <c r="AE909" s="0" t="n">
        <v>0.62</v>
      </c>
      <c r="AF909" s="0" t="n">
        <v>13.36</v>
      </c>
      <c r="AG909" s="22" t="b">
        <f aca="false">TRUE()</f>
        <v>1</v>
      </c>
      <c r="AH909" s="0" t="n">
        <v>0</v>
      </c>
    </row>
    <row r="910" customFormat="false" ht="15" hidden="false" customHeight="false" outlineLevel="0" collapsed="false">
      <c r="A910" s="0" t="s">
        <v>1458</v>
      </c>
      <c r="B910" s="0" t="s">
        <v>3459</v>
      </c>
      <c r="C910" s="0" t="s">
        <v>3450</v>
      </c>
      <c r="D910" s="0" t="s">
        <v>3457</v>
      </c>
      <c r="E910" s="20" t="s">
        <v>25</v>
      </c>
      <c r="F910" s="23" t="s">
        <v>30</v>
      </c>
      <c r="G910" s="21" t="s">
        <v>283</v>
      </c>
      <c r="H910" s="21" t="s">
        <v>24</v>
      </c>
      <c r="I910" s="21" t="s">
        <v>25</v>
      </c>
      <c r="J910" s="21" t="s">
        <v>24</v>
      </c>
      <c r="K910" s="21" t="s">
        <v>24</v>
      </c>
      <c r="L910" s="21" t="s">
        <v>24</v>
      </c>
      <c r="M910" s="0" t="n">
        <v>183</v>
      </c>
      <c r="N910" s="0" t="n">
        <v>2</v>
      </c>
      <c r="O910" s="21" t="s">
        <v>3566</v>
      </c>
      <c r="P910" s="21" t="s">
        <v>4238</v>
      </c>
      <c r="Q910" s="0" t="n">
        <v>1</v>
      </c>
      <c r="R910" s="21" t="s">
        <v>69</v>
      </c>
      <c r="S910" s="0" t="n">
        <v>2</v>
      </c>
      <c r="T910" s="21" t="s">
        <v>3566</v>
      </c>
      <c r="U910" s="22" t="b">
        <f aca="false">TRUE()</f>
        <v>1</v>
      </c>
      <c r="V910" s="0" t="n">
        <v>0.8</v>
      </c>
      <c r="W910" s="0" t="n">
        <v>0</v>
      </c>
      <c r="X910" s="0" t="n">
        <v>8.03</v>
      </c>
      <c r="Y910" s="0" t="n">
        <v>0.73</v>
      </c>
      <c r="Z910" s="0" t="n">
        <v>10.08</v>
      </c>
      <c r="AA910" s="0" t="n">
        <v>16.4</v>
      </c>
      <c r="AB910" s="0" t="n">
        <v>28.36</v>
      </c>
      <c r="AC910" s="22" t="b">
        <f aca="false">FALSE()</f>
        <v>0</v>
      </c>
      <c r="AD910" s="0" t="n">
        <v>19.84</v>
      </c>
      <c r="AE910" s="0" t="n">
        <v>8.69</v>
      </c>
      <c r="AF910" s="0" t="n">
        <v>14.42</v>
      </c>
      <c r="AG910" s="22" t="b">
        <f aca="false">TRUE()</f>
        <v>1</v>
      </c>
      <c r="AH910" s="0" t="n">
        <v>0</v>
      </c>
    </row>
    <row r="911" customFormat="false" ht="15" hidden="false" customHeight="false" outlineLevel="0" collapsed="false">
      <c r="A911" s="0" t="s">
        <v>1458</v>
      </c>
      <c r="B911" s="0" t="s">
        <v>3459</v>
      </c>
      <c r="C911" s="0" t="s">
        <v>3450</v>
      </c>
      <c r="D911" s="0" t="s">
        <v>3448</v>
      </c>
      <c r="E911" s="20" t="s">
        <v>25</v>
      </c>
      <c r="F911" s="23" t="s">
        <v>30</v>
      </c>
      <c r="G911" s="21" t="s">
        <v>283</v>
      </c>
      <c r="H911" s="21" t="s">
        <v>24</v>
      </c>
      <c r="I911" s="21" t="s">
        <v>25</v>
      </c>
      <c r="J911" s="21" t="s">
        <v>24</v>
      </c>
      <c r="K911" s="21" t="s">
        <v>24</v>
      </c>
      <c r="L911" s="21" t="s">
        <v>24</v>
      </c>
      <c r="M911" s="0" t="n">
        <v>212</v>
      </c>
      <c r="N911" s="0" t="n">
        <v>2</v>
      </c>
      <c r="O911" s="21" t="s">
        <v>3566</v>
      </c>
      <c r="P911" s="21" t="s">
        <v>4238</v>
      </c>
      <c r="Q911" s="0" t="n">
        <v>1</v>
      </c>
      <c r="R911" s="21" t="s">
        <v>69</v>
      </c>
      <c r="S911" s="0" t="n">
        <v>2</v>
      </c>
      <c r="T911" s="21" t="s">
        <v>3566</v>
      </c>
      <c r="U911" s="22" t="b">
        <f aca="false">TRUE()</f>
        <v>1</v>
      </c>
      <c r="V911" s="0" t="n">
        <v>0.81</v>
      </c>
      <c r="W911" s="0" t="n">
        <v>0</v>
      </c>
      <c r="X911" s="0" t="n">
        <v>8.06</v>
      </c>
      <c r="Y911" s="0" t="n">
        <v>795.99</v>
      </c>
      <c r="Z911" s="0" t="n">
        <v>10</v>
      </c>
      <c r="AA911" s="0" t="n">
        <v>10.42</v>
      </c>
      <c r="AB911" s="0" t="n">
        <v>5.63</v>
      </c>
      <c r="AC911" s="22" t="b">
        <f aca="false">FALSE()</f>
        <v>0</v>
      </c>
      <c r="AD911" s="0" t="n">
        <v>12.22</v>
      </c>
      <c r="AE911" s="0" t="n">
        <v>2.94</v>
      </c>
      <c r="AF911" s="0" t="n">
        <v>9.64</v>
      </c>
      <c r="AG911" s="22" t="b">
        <f aca="false">TRUE()</f>
        <v>1</v>
      </c>
      <c r="AH911" s="0" t="n">
        <v>1</v>
      </c>
    </row>
    <row r="912" customFormat="false" ht="15" hidden="false" customHeight="false" outlineLevel="0" collapsed="false">
      <c r="A912" s="0" t="s">
        <v>1458</v>
      </c>
      <c r="B912" s="0" t="s">
        <v>3459</v>
      </c>
      <c r="C912" s="0" t="s">
        <v>3447</v>
      </c>
      <c r="D912" s="0" t="s">
        <v>3457</v>
      </c>
      <c r="E912" s="20" t="s">
        <v>25</v>
      </c>
      <c r="F912" s="23" t="s">
        <v>30</v>
      </c>
      <c r="G912" s="21" t="s">
        <v>283</v>
      </c>
      <c r="H912" s="21" t="s">
        <v>24</v>
      </c>
      <c r="I912" s="21" t="s">
        <v>25</v>
      </c>
      <c r="J912" s="21" t="s">
        <v>24</v>
      </c>
      <c r="K912" s="21" t="s">
        <v>24</v>
      </c>
      <c r="L912" s="21" t="s">
        <v>24</v>
      </c>
      <c r="M912" s="0" t="n">
        <v>186</v>
      </c>
      <c r="N912" s="0" t="n">
        <v>2</v>
      </c>
      <c r="O912" s="21" t="s">
        <v>3566</v>
      </c>
      <c r="P912" s="21" t="s">
        <v>4238</v>
      </c>
      <c r="Q912" s="0" t="n">
        <v>1</v>
      </c>
      <c r="R912" s="21" t="s">
        <v>69</v>
      </c>
      <c r="S912" s="0" t="n">
        <v>2</v>
      </c>
      <c r="T912" s="21" t="s">
        <v>3566</v>
      </c>
      <c r="U912" s="22" t="b">
        <f aca="false">TRUE()</f>
        <v>1</v>
      </c>
      <c r="V912" s="0" t="n">
        <v>0.76</v>
      </c>
      <c r="W912" s="0" t="n">
        <v>0.12</v>
      </c>
      <c r="X912" s="0" t="n">
        <v>6.17</v>
      </c>
      <c r="Y912" s="0" t="n">
        <v>620.08</v>
      </c>
      <c r="Z912" s="0" t="n">
        <v>8</v>
      </c>
      <c r="AA912" s="0" t="n">
        <v>1.36</v>
      </c>
      <c r="AB912" s="0" t="n">
        <v>28.36</v>
      </c>
      <c r="AC912" s="22" t="b">
        <f aca="false">FALSE()</f>
        <v>0</v>
      </c>
      <c r="AD912" s="0" t="n">
        <v>17.59</v>
      </c>
      <c r="AE912" s="0" t="n">
        <v>6.42</v>
      </c>
      <c r="AF912" s="0" t="n">
        <v>11.48</v>
      </c>
      <c r="AG912" s="22" t="b">
        <f aca="false">TRUE()</f>
        <v>1</v>
      </c>
      <c r="AH912" s="0" t="n">
        <v>1</v>
      </c>
    </row>
    <row r="913" customFormat="false" ht="15" hidden="false" customHeight="false" outlineLevel="0" collapsed="false">
      <c r="A913" s="0" t="s">
        <v>1458</v>
      </c>
      <c r="B913" s="0" t="s">
        <v>3459</v>
      </c>
      <c r="C913" s="0" t="s">
        <v>3447</v>
      </c>
      <c r="D913" s="0" t="s">
        <v>3448</v>
      </c>
      <c r="E913" s="20" t="s">
        <v>25</v>
      </c>
      <c r="F913" s="23" t="s">
        <v>30</v>
      </c>
      <c r="G913" s="21" t="s">
        <v>283</v>
      </c>
      <c r="H913" s="21" t="s">
        <v>24</v>
      </c>
      <c r="I913" s="21" t="s">
        <v>25</v>
      </c>
      <c r="J913" s="21" t="s">
        <v>24</v>
      </c>
      <c r="K913" s="21" t="s">
        <v>24</v>
      </c>
      <c r="L913" s="21" t="s">
        <v>24</v>
      </c>
      <c r="M913" s="0" t="n">
        <v>185</v>
      </c>
      <c r="N913" s="0" t="n">
        <v>1</v>
      </c>
      <c r="O913" s="21" t="s">
        <v>69</v>
      </c>
      <c r="P913" s="21" t="s">
        <v>4275</v>
      </c>
      <c r="Q913" s="0" t="n">
        <v>1</v>
      </c>
      <c r="R913" s="21" t="s">
        <v>69</v>
      </c>
      <c r="S913" s="0" t="n">
        <v>1</v>
      </c>
      <c r="T913" s="21" t="s">
        <v>69</v>
      </c>
      <c r="U913" s="22" t="b">
        <f aca="false">TRUE()</f>
        <v>1</v>
      </c>
      <c r="V913" s="0" t="n">
        <v>0.81</v>
      </c>
      <c r="W913" s="0" t="n">
        <v>0.2</v>
      </c>
      <c r="X913" s="0" t="n">
        <v>8.65</v>
      </c>
      <c r="Y913" s="0" t="n">
        <v>419.46</v>
      </c>
      <c r="Z913" s="0" t="n">
        <v>9.92</v>
      </c>
      <c r="AA913" s="0" t="n">
        <v>4.41</v>
      </c>
      <c r="AB913" s="0" t="n">
        <v>5.63</v>
      </c>
      <c r="AC913" s="22" t="b">
        <f aca="false">FALSE()</f>
        <v>0</v>
      </c>
      <c r="AD913" s="0" t="n">
        <v>15.88</v>
      </c>
      <c r="AE913" s="0" t="n">
        <v>3.49</v>
      </c>
      <c r="AF913" s="0" t="n">
        <v>10.02</v>
      </c>
      <c r="AG913" s="22" t="b">
        <f aca="false">TRUE()</f>
        <v>1</v>
      </c>
      <c r="AH913" s="0" t="n">
        <v>1</v>
      </c>
    </row>
    <row r="914" customFormat="false" ht="15" hidden="false" customHeight="false" outlineLevel="0" collapsed="false">
      <c r="A914" s="0" t="s">
        <v>1465</v>
      </c>
      <c r="B914" s="0" t="s">
        <v>134</v>
      </c>
      <c r="C914" s="0" t="s">
        <v>3450</v>
      </c>
      <c r="D914" s="0" t="s">
        <v>3457</v>
      </c>
      <c r="E914" s="20" t="s">
        <v>25</v>
      </c>
      <c r="F914" s="20" t="s">
        <v>29</v>
      </c>
      <c r="G914" s="21" t="s">
        <v>61</v>
      </c>
      <c r="H914" s="21" t="s">
        <v>24</v>
      </c>
      <c r="I914" s="21" t="s">
        <v>24</v>
      </c>
      <c r="J914" s="21" t="s">
        <v>24</v>
      </c>
      <c r="K914" s="21" t="s">
        <v>25</v>
      </c>
      <c r="L914" s="21" t="s">
        <v>24</v>
      </c>
      <c r="M914" s="0" t="n">
        <v>187</v>
      </c>
      <c r="N914" s="0" t="n">
        <v>0</v>
      </c>
      <c r="Q914" s="0" t="n">
        <v>0</v>
      </c>
      <c r="S914" s="0" t="n">
        <v>0</v>
      </c>
      <c r="U914" s="22" t="b">
        <f aca="false">FALSE()</f>
        <v>0</v>
      </c>
      <c r="V914" s="0" t="n">
        <v>0.69</v>
      </c>
      <c r="W914" s="0" t="n">
        <v>0.28</v>
      </c>
      <c r="X914" s="0" t="n">
        <v>8.68</v>
      </c>
      <c r="Y914" s="0" t="n">
        <v>432.96</v>
      </c>
      <c r="Z914" s="0" t="n">
        <v>9.75</v>
      </c>
      <c r="AA914" s="0" t="n">
        <v>13.21</v>
      </c>
      <c r="AB914" s="0" t="n">
        <v>4.01</v>
      </c>
      <c r="AC914" s="22" t="b">
        <f aca="false">FALSE()</f>
        <v>0</v>
      </c>
      <c r="AD914" s="0" t="n">
        <v>24.31</v>
      </c>
      <c r="AE914" s="0" t="n">
        <v>10.46</v>
      </c>
      <c r="AF914" s="0" t="n">
        <v>19.04</v>
      </c>
      <c r="AG914" s="22" t="b">
        <f aca="false">TRUE()</f>
        <v>1</v>
      </c>
      <c r="AH914" s="0" t="n">
        <v>1</v>
      </c>
    </row>
    <row r="915" customFormat="false" ht="15" hidden="false" customHeight="false" outlineLevel="0" collapsed="false">
      <c r="A915" s="0" t="s">
        <v>1465</v>
      </c>
      <c r="B915" s="0" t="s">
        <v>134</v>
      </c>
      <c r="C915" s="0" t="s">
        <v>3450</v>
      </c>
      <c r="D915" s="0" t="s">
        <v>3448</v>
      </c>
      <c r="E915" s="20" t="s">
        <v>25</v>
      </c>
      <c r="F915" s="20" t="s">
        <v>29</v>
      </c>
      <c r="G915" s="21" t="s">
        <v>62</v>
      </c>
      <c r="H915" s="21" t="s">
        <v>24</v>
      </c>
      <c r="I915" s="21" t="s">
        <v>24</v>
      </c>
      <c r="J915" s="21" t="s">
        <v>24</v>
      </c>
      <c r="K915" s="21" t="s">
        <v>25</v>
      </c>
      <c r="L915" s="21" t="s">
        <v>24</v>
      </c>
      <c r="M915" s="0" t="n">
        <v>184</v>
      </c>
      <c r="N915" s="0" t="n">
        <v>0</v>
      </c>
      <c r="Q915" s="0" t="n">
        <v>0</v>
      </c>
      <c r="S915" s="0" t="n">
        <v>0</v>
      </c>
      <c r="U915" s="22" t="b">
        <f aca="false">FALSE()</f>
        <v>0</v>
      </c>
      <c r="V915" s="0" t="n">
        <v>0.69</v>
      </c>
      <c r="W915" s="0" t="n">
        <v>0.96</v>
      </c>
      <c r="X915" s="0" t="n">
        <v>7.66</v>
      </c>
      <c r="Y915" s="0" t="n">
        <v>316.04</v>
      </c>
      <c r="Z915" s="0" t="n">
        <v>8</v>
      </c>
      <c r="AA915" s="0" t="n">
        <v>-1.12</v>
      </c>
      <c r="AB915" s="0" t="n">
        <v>12.74</v>
      </c>
      <c r="AC915" s="22" t="b">
        <f aca="false">FALSE()</f>
        <v>0</v>
      </c>
      <c r="AD915" s="0" t="n">
        <v>3.12</v>
      </c>
      <c r="AE915" s="0" t="n">
        <v>0.09</v>
      </c>
      <c r="AF915" s="0" t="n">
        <v>1.9</v>
      </c>
      <c r="AG915" s="22" t="b">
        <f aca="false">FALSE()</f>
        <v>0</v>
      </c>
      <c r="AH915" s="0" t="n">
        <v>1</v>
      </c>
    </row>
    <row r="916" customFormat="false" ht="15" hidden="false" customHeight="false" outlineLevel="0" collapsed="false">
      <c r="A916" s="0" t="s">
        <v>1465</v>
      </c>
      <c r="B916" s="0" t="s">
        <v>134</v>
      </c>
      <c r="C916" s="0" t="s">
        <v>3447</v>
      </c>
      <c r="D916" s="0" t="s">
        <v>3457</v>
      </c>
      <c r="E916" s="20" t="s">
        <v>25</v>
      </c>
      <c r="F916" s="20" t="s">
        <v>29</v>
      </c>
      <c r="G916" s="21" t="s">
        <v>61</v>
      </c>
      <c r="H916" s="21" t="s">
        <v>24</v>
      </c>
      <c r="I916" s="21" t="s">
        <v>24</v>
      </c>
      <c r="J916" s="21" t="s">
        <v>24</v>
      </c>
      <c r="K916" s="21" t="s">
        <v>25</v>
      </c>
      <c r="L916" s="21" t="s">
        <v>24</v>
      </c>
      <c r="M916" s="0" t="n">
        <v>187</v>
      </c>
      <c r="N916" s="0" t="n">
        <v>0</v>
      </c>
      <c r="Q916" s="0" t="n">
        <v>0</v>
      </c>
      <c r="S916" s="0" t="n">
        <v>0</v>
      </c>
      <c r="U916" s="22" t="b">
        <f aca="false">FALSE()</f>
        <v>0</v>
      </c>
      <c r="V916" s="0" t="n">
        <v>0.79</v>
      </c>
      <c r="W916" s="0" t="n">
        <v>0.16</v>
      </c>
      <c r="X916" s="0" t="n">
        <v>7.95</v>
      </c>
      <c r="Y916" s="0" t="n">
        <v>559.57</v>
      </c>
      <c r="Z916" s="0" t="n">
        <v>10.5</v>
      </c>
      <c r="AA916" s="0" t="n">
        <v>5.05</v>
      </c>
      <c r="AB916" s="0" t="n">
        <v>4.01</v>
      </c>
      <c r="AC916" s="22" t="b">
        <f aca="false">FALSE()</f>
        <v>0</v>
      </c>
      <c r="AD916" s="0" t="n">
        <v>23.64</v>
      </c>
      <c r="AE916" s="0" t="n">
        <v>9.16</v>
      </c>
      <c r="AF916" s="0" t="n">
        <v>18.37</v>
      </c>
      <c r="AG916" s="22" t="b">
        <f aca="false">TRUE()</f>
        <v>1</v>
      </c>
      <c r="AH916" s="0" t="n">
        <v>1</v>
      </c>
    </row>
    <row r="917" customFormat="false" ht="15" hidden="false" customHeight="false" outlineLevel="0" collapsed="false">
      <c r="A917" s="0" t="s">
        <v>1465</v>
      </c>
      <c r="B917" s="0" t="s">
        <v>134</v>
      </c>
      <c r="C917" s="0" t="s">
        <v>3447</v>
      </c>
      <c r="D917" s="0" t="s">
        <v>3448</v>
      </c>
      <c r="E917" s="18" t="s">
        <v>24</v>
      </c>
      <c r="F917" s="23" t="s">
        <v>30</v>
      </c>
      <c r="G917" s="21" t="s">
        <v>30</v>
      </c>
      <c r="H917" s="21" t="s">
        <v>24</v>
      </c>
      <c r="I917" s="21" t="s">
        <v>24</v>
      </c>
      <c r="J917" s="21" t="s">
        <v>24</v>
      </c>
      <c r="K917" s="21" t="s">
        <v>24</v>
      </c>
      <c r="L917" s="21" t="s">
        <v>24</v>
      </c>
      <c r="M917" s="0" t="n">
        <v>216</v>
      </c>
      <c r="N917" s="0" t="n">
        <v>1</v>
      </c>
      <c r="O917" s="21" t="s">
        <v>3480</v>
      </c>
      <c r="P917" s="21" t="s">
        <v>4354</v>
      </c>
      <c r="Q917" s="0" t="n">
        <v>0</v>
      </c>
      <c r="S917" s="0" t="n">
        <v>1</v>
      </c>
      <c r="T917" s="21" t="s">
        <v>3480</v>
      </c>
      <c r="U917" s="22" t="b">
        <f aca="false">TRUE()</f>
        <v>1</v>
      </c>
      <c r="V917" s="0" t="n">
        <v>0.83</v>
      </c>
      <c r="W917" s="0" t="n">
        <v>0.4</v>
      </c>
      <c r="X917" s="0" t="n">
        <v>9.03</v>
      </c>
      <c r="Y917" s="0" t="n">
        <v>419</v>
      </c>
      <c r="Z917" s="0" t="n">
        <v>8</v>
      </c>
      <c r="AA917" s="0" t="n">
        <v>-0.68</v>
      </c>
      <c r="AB917" s="0" t="n">
        <v>12.74</v>
      </c>
      <c r="AC917" s="22" t="b">
        <f aca="false">FALSE()</f>
        <v>0</v>
      </c>
      <c r="AD917" s="0" t="n">
        <v>9.4</v>
      </c>
      <c r="AE917" s="0" t="n">
        <v>0.68</v>
      </c>
      <c r="AF917" s="0" t="n">
        <v>6.18</v>
      </c>
      <c r="AG917" s="22" t="b">
        <f aca="false">FALSE()</f>
        <v>0</v>
      </c>
      <c r="AH917" s="0" t="n">
        <v>1</v>
      </c>
    </row>
    <row r="918" customFormat="false" ht="15" hidden="false" customHeight="false" outlineLevel="0" collapsed="false">
      <c r="A918" s="0" t="s">
        <v>1465</v>
      </c>
      <c r="B918" s="0" t="s">
        <v>3459</v>
      </c>
      <c r="C918" s="0" t="s">
        <v>3450</v>
      </c>
      <c r="D918" s="0" t="s">
        <v>3457</v>
      </c>
      <c r="E918" s="18" t="s">
        <v>24</v>
      </c>
      <c r="F918" s="18" t="s">
        <v>28</v>
      </c>
      <c r="H918" s="21" t="s">
        <v>24</v>
      </c>
      <c r="I918" s="21" t="s">
        <v>24</v>
      </c>
      <c r="J918" s="21" t="s">
        <v>24</v>
      </c>
      <c r="K918" s="21" t="s">
        <v>24</v>
      </c>
      <c r="L918" s="21" t="s">
        <v>24</v>
      </c>
      <c r="M918" s="0" t="n">
        <v>183</v>
      </c>
      <c r="N918" s="0" t="n">
        <v>0</v>
      </c>
      <c r="Q918" s="0" t="n">
        <v>0</v>
      </c>
      <c r="S918" s="0" t="n">
        <v>0</v>
      </c>
      <c r="U918" s="22" t="b">
        <f aca="false">FALSE()</f>
        <v>0</v>
      </c>
      <c r="V918" s="0" t="n">
        <v>0.74</v>
      </c>
      <c r="W918" s="0" t="n">
        <v>0.52</v>
      </c>
      <c r="X918" s="0" t="n">
        <v>6.69</v>
      </c>
      <c r="Y918" s="0" t="n">
        <v>306.73</v>
      </c>
      <c r="Z918" s="0" t="n">
        <v>10</v>
      </c>
      <c r="AA918" s="0" t="n">
        <v>14.7</v>
      </c>
      <c r="AB918" s="0" t="n">
        <v>2.83</v>
      </c>
      <c r="AC918" s="22" t="b">
        <f aca="false">FALSE()</f>
        <v>0</v>
      </c>
      <c r="AD918" s="0" t="n">
        <v>9.49</v>
      </c>
      <c r="AE918" s="0" t="n">
        <v>0.45</v>
      </c>
      <c r="AF918" s="0" t="n">
        <v>7.47</v>
      </c>
      <c r="AG918" s="22" t="b">
        <f aca="false">FALSE()</f>
        <v>0</v>
      </c>
      <c r="AH918" s="0" t="n">
        <v>1</v>
      </c>
    </row>
    <row r="919" customFormat="false" ht="15" hidden="false" customHeight="false" outlineLevel="0" collapsed="false">
      <c r="A919" s="0" t="s">
        <v>1465</v>
      </c>
      <c r="B919" s="0" t="s">
        <v>3459</v>
      </c>
      <c r="C919" s="0" t="s">
        <v>3450</v>
      </c>
      <c r="D919" s="0" t="s">
        <v>3448</v>
      </c>
      <c r="E919" s="20" t="s">
        <v>25</v>
      </c>
      <c r="F919" s="20" t="s">
        <v>29</v>
      </c>
      <c r="G919" s="21" t="s">
        <v>64</v>
      </c>
      <c r="H919" s="21" t="s">
        <v>24</v>
      </c>
      <c r="I919" s="21" t="s">
        <v>24</v>
      </c>
      <c r="J919" s="21" t="s">
        <v>24</v>
      </c>
      <c r="K919" s="21" t="s">
        <v>25</v>
      </c>
      <c r="L919" s="21" t="s">
        <v>24</v>
      </c>
      <c r="M919" s="0" t="n">
        <v>193</v>
      </c>
      <c r="N919" s="0" t="n">
        <v>0</v>
      </c>
      <c r="Q919" s="0" t="n">
        <v>0</v>
      </c>
      <c r="S919" s="0" t="n">
        <v>0</v>
      </c>
      <c r="U919" s="22" t="b">
        <f aca="false">FALSE()</f>
        <v>0</v>
      </c>
      <c r="V919" s="0" t="n">
        <v>0.79</v>
      </c>
      <c r="W919" s="0" t="n">
        <v>0.24</v>
      </c>
      <c r="X919" s="0" t="n">
        <v>6.51</v>
      </c>
      <c r="Y919" s="0" t="n">
        <v>492.26</v>
      </c>
      <c r="Z919" s="0" t="n">
        <v>10.5</v>
      </c>
      <c r="AA919" s="0" t="n">
        <v>7.5</v>
      </c>
      <c r="AB919" s="0" t="n">
        <v>0.6</v>
      </c>
      <c r="AC919" s="22" t="b">
        <f aca="false">FALSE()</f>
        <v>0</v>
      </c>
      <c r="AD919" s="0" t="n">
        <v>8.91</v>
      </c>
      <c r="AE919" s="0" t="n">
        <v>0.45</v>
      </c>
      <c r="AF919" s="0" t="n">
        <v>6.92</v>
      </c>
      <c r="AG919" s="22" t="b">
        <f aca="false">FALSE()</f>
        <v>0</v>
      </c>
      <c r="AH919" s="0" t="n">
        <v>1</v>
      </c>
    </row>
    <row r="920" customFormat="false" ht="15" hidden="false" customHeight="false" outlineLevel="0" collapsed="false">
      <c r="A920" s="0" t="s">
        <v>1465</v>
      </c>
      <c r="B920" s="0" t="s">
        <v>3459</v>
      </c>
      <c r="C920" s="0" t="s">
        <v>3447</v>
      </c>
      <c r="D920" s="0" t="s">
        <v>3457</v>
      </c>
      <c r="E920" s="18" t="s">
        <v>24</v>
      </c>
      <c r="F920" s="18" t="s">
        <v>28</v>
      </c>
      <c r="H920" s="21" t="s">
        <v>24</v>
      </c>
      <c r="I920" s="21" t="s">
        <v>24</v>
      </c>
      <c r="J920" s="21" t="s">
        <v>24</v>
      </c>
      <c r="K920" s="21" t="s">
        <v>24</v>
      </c>
      <c r="L920" s="21" t="s">
        <v>24</v>
      </c>
      <c r="M920" s="0" t="n">
        <v>182</v>
      </c>
      <c r="N920" s="0" t="n">
        <v>0</v>
      </c>
      <c r="Q920" s="0" t="n">
        <v>0</v>
      </c>
      <c r="S920" s="0" t="n">
        <v>0</v>
      </c>
      <c r="U920" s="22" t="b">
        <f aca="false">FALSE()</f>
        <v>0</v>
      </c>
      <c r="V920" s="0" t="n">
        <v>0.77</v>
      </c>
      <c r="W920" s="0" t="n">
        <v>0</v>
      </c>
      <c r="X920" s="0" t="n">
        <v>6.83</v>
      </c>
      <c r="Y920" s="0" t="n">
        <v>683.78</v>
      </c>
      <c r="Z920" s="0" t="n">
        <v>10.5</v>
      </c>
      <c r="AA920" s="0" t="n">
        <v>7.83</v>
      </c>
      <c r="AB920" s="0" t="n">
        <v>2.83</v>
      </c>
      <c r="AC920" s="22" t="b">
        <f aca="false">FALSE()</f>
        <v>0</v>
      </c>
      <c r="AD920" s="0" t="n">
        <v>4.86</v>
      </c>
      <c r="AE920" s="0" t="n">
        <v>1.24</v>
      </c>
      <c r="AF920" s="0" t="n">
        <v>4.03</v>
      </c>
      <c r="AG920" s="22" t="b">
        <f aca="false">FALSE()</f>
        <v>0</v>
      </c>
      <c r="AH920" s="0" t="n">
        <v>1</v>
      </c>
    </row>
    <row r="921" customFormat="false" ht="15" hidden="false" customHeight="false" outlineLevel="0" collapsed="false">
      <c r="A921" s="0" t="s">
        <v>1465</v>
      </c>
      <c r="B921" s="0" t="s">
        <v>3459</v>
      </c>
      <c r="C921" s="0" t="s">
        <v>3447</v>
      </c>
      <c r="D921" s="0" t="s">
        <v>3448</v>
      </c>
      <c r="E921" s="20" t="s">
        <v>25</v>
      </c>
      <c r="F921" s="23" t="s">
        <v>30</v>
      </c>
      <c r="G921" s="21" t="s">
        <v>2610</v>
      </c>
      <c r="H921" s="21" t="s">
        <v>24</v>
      </c>
      <c r="I921" s="21" t="s">
        <v>24</v>
      </c>
      <c r="J921" s="21" t="s">
        <v>24</v>
      </c>
      <c r="K921" s="21" t="s">
        <v>25</v>
      </c>
      <c r="L921" s="21" t="s">
        <v>24</v>
      </c>
      <c r="M921" s="0" t="n">
        <v>184</v>
      </c>
      <c r="N921" s="0" t="n">
        <v>4</v>
      </c>
      <c r="O921" s="21" t="s">
        <v>3598</v>
      </c>
      <c r="P921" s="21" t="s">
        <v>4582</v>
      </c>
      <c r="Q921" s="0" t="n">
        <v>0</v>
      </c>
      <c r="S921" s="0" t="n">
        <v>4</v>
      </c>
      <c r="T921" s="21" t="s">
        <v>3598</v>
      </c>
      <c r="U921" s="22" t="b">
        <f aca="false">TRUE()</f>
        <v>1</v>
      </c>
      <c r="V921" s="0" t="n">
        <v>0.79</v>
      </c>
      <c r="W921" s="0" t="n">
        <v>0.48</v>
      </c>
      <c r="X921" s="0" t="n">
        <v>8.54</v>
      </c>
      <c r="Y921" s="0" t="n">
        <v>335.3</v>
      </c>
      <c r="Z921" s="0" t="n">
        <v>10.5</v>
      </c>
      <c r="AA921" s="0" t="n">
        <v>-0.78</v>
      </c>
      <c r="AB921" s="0" t="n">
        <v>0.6</v>
      </c>
      <c r="AC921" s="22" t="b">
        <f aca="false">FALSE()</f>
        <v>0</v>
      </c>
      <c r="AD921" s="0" t="n">
        <v>3.17</v>
      </c>
      <c r="AE921" s="0" t="n">
        <v>0.79</v>
      </c>
      <c r="AF921" s="0" t="n">
        <v>4.17</v>
      </c>
      <c r="AG921" s="22" t="b">
        <f aca="false">FALSE()</f>
        <v>0</v>
      </c>
      <c r="AH921" s="0" t="n">
        <v>1</v>
      </c>
    </row>
    <row r="922" customFormat="false" ht="15" hidden="false" customHeight="false" outlineLevel="0" collapsed="false">
      <c r="A922" s="0" t="s">
        <v>1472</v>
      </c>
      <c r="B922" s="0" t="s">
        <v>134</v>
      </c>
      <c r="C922" s="0" t="s">
        <v>3450</v>
      </c>
      <c r="D922" s="0" t="s">
        <v>3457</v>
      </c>
      <c r="E922" s="20" t="s">
        <v>25</v>
      </c>
      <c r="F922" s="23" t="s">
        <v>30</v>
      </c>
      <c r="G922" s="21" t="s">
        <v>283</v>
      </c>
      <c r="H922" s="21" t="s">
        <v>24</v>
      </c>
      <c r="I922" s="21" t="s">
        <v>25</v>
      </c>
      <c r="J922" s="21" t="s">
        <v>24</v>
      </c>
      <c r="K922" s="21" t="s">
        <v>24</v>
      </c>
      <c r="L922" s="21" t="s">
        <v>24</v>
      </c>
      <c r="M922" s="0" t="n">
        <v>184</v>
      </c>
      <c r="N922" s="0" t="n">
        <v>2</v>
      </c>
      <c r="O922" s="21" t="s">
        <v>3566</v>
      </c>
      <c r="P922" s="21" t="s">
        <v>4238</v>
      </c>
      <c r="Q922" s="0" t="n">
        <v>1</v>
      </c>
      <c r="R922" s="21" t="s">
        <v>69</v>
      </c>
      <c r="S922" s="0" t="n">
        <v>2</v>
      </c>
      <c r="T922" s="21" t="s">
        <v>3566</v>
      </c>
      <c r="U922" s="22" t="b">
        <f aca="false">TRUE()</f>
        <v>1</v>
      </c>
      <c r="V922" s="0" t="n">
        <v>0.68</v>
      </c>
      <c r="W922" s="0" t="n">
        <v>0.8</v>
      </c>
      <c r="X922" s="0" t="n">
        <v>7.63</v>
      </c>
      <c r="Y922" s="0" t="n">
        <v>316.39</v>
      </c>
      <c r="Z922" s="0" t="n">
        <v>10.67</v>
      </c>
      <c r="AA922" s="0" t="n">
        <v>9.03</v>
      </c>
      <c r="AB922" s="0" t="n">
        <v>25.92</v>
      </c>
      <c r="AC922" s="22" t="b">
        <f aca="false">FALSE()</f>
        <v>0</v>
      </c>
      <c r="AD922" s="0" t="n">
        <v>12.03</v>
      </c>
      <c r="AE922" s="0" t="n">
        <v>4.27</v>
      </c>
      <c r="AF922" s="0" t="n">
        <v>11.03</v>
      </c>
      <c r="AG922" s="22" t="b">
        <f aca="false">TRUE()</f>
        <v>1</v>
      </c>
      <c r="AH922" s="0" t="n">
        <v>1</v>
      </c>
    </row>
    <row r="923" customFormat="false" ht="15" hidden="false" customHeight="false" outlineLevel="0" collapsed="false">
      <c r="A923" s="0" t="s">
        <v>1472</v>
      </c>
      <c r="B923" s="0" t="s">
        <v>134</v>
      </c>
      <c r="C923" s="0" t="s">
        <v>3450</v>
      </c>
      <c r="D923" s="0" t="s">
        <v>3448</v>
      </c>
      <c r="E923" s="20" t="s">
        <v>25</v>
      </c>
      <c r="F923" s="23" t="s">
        <v>30</v>
      </c>
      <c r="G923" s="21" t="s">
        <v>283</v>
      </c>
      <c r="H923" s="21" t="s">
        <v>24</v>
      </c>
      <c r="I923" s="21" t="s">
        <v>25</v>
      </c>
      <c r="J923" s="21" t="s">
        <v>24</v>
      </c>
      <c r="K923" s="21" t="s">
        <v>24</v>
      </c>
      <c r="L923" s="21" t="s">
        <v>24</v>
      </c>
      <c r="M923" s="0" t="n">
        <v>189</v>
      </c>
      <c r="N923" s="0" t="n">
        <v>1</v>
      </c>
      <c r="O923" s="21" t="s">
        <v>69</v>
      </c>
      <c r="P923" s="21" t="s">
        <v>4275</v>
      </c>
      <c r="Q923" s="0" t="n">
        <v>1</v>
      </c>
      <c r="R923" s="21" t="s">
        <v>69</v>
      </c>
      <c r="S923" s="0" t="n">
        <v>1</v>
      </c>
      <c r="T923" s="21" t="s">
        <v>69</v>
      </c>
      <c r="U923" s="22" t="b">
        <f aca="false">TRUE()</f>
        <v>1</v>
      </c>
      <c r="V923" s="0" t="n">
        <v>0.7</v>
      </c>
      <c r="W923" s="0" t="n">
        <v>0.32</v>
      </c>
      <c r="X923" s="0" t="n">
        <v>8.84</v>
      </c>
      <c r="Y923" s="0" t="n">
        <v>416.74</v>
      </c>
      <c r="Z923" s="0" t="n">
        <v>11</v>
      </c>
      <c r="AA923" s="0" t="n">
        <v>18.66</v>
      </c>
      <c r="AB923" s="0" t="n">
        <v>12.16</v>
      </c>
      <c r="AC923" s="22" t="b">
        <f aca="false">FALSE()</f>
        <v>0</v>
      </c>
      <c r="AD923" s="0" t="n">
        <v>12.63</v>
      </c>
      <c r="AE923" s="0" t="n">
        <v>0.43</v>
      </c>
      <c r="AF923" s="0" t="n">
        <v>8.2</v>
      </c>
      <c r="AG923" s="22" t="b">
        <f aca="false">TRUE()</f>
        <v>1</v>
      </c>
      <c r="AH923" s="0" t="n">
        <v>1</v>
      </c>
    </row>
    <row r="924" customFormat="false" ht="15" hidden="false" customHeight="false" outlineLevel="0" collapsed="false">
      <c r="A924" s="0" t="s">
        <v>1472</v>
      </c>
      <c r="B924" s="0" t="s">
        <v>134</v>
      </c>
      <c r="C924" s="0" t="s">
        <v>3447</v>
      </c>
      <c r="D924" s="0" t="s">
        <v>3457</v>
      </c>
      <c r="E924" s="20" t="s">
        <v>25</v>
      </c>
      <c r="F924" s="23" t="s">
        <v>30</v>
      </c>
      <c r="G924" s="21" t="s">
        <v>283</v>
      </c>
      <c r="H924" s="21" t="s">
        <v>24</v>
      </c>
      <c r="I924" s="21" t="s">
        <v>25</v>
      </c>
      <c r="J924" s="21" t="s">
        <v>24</v>
      </c>
      <c r="K924" s="21" t="s">
        <v>24</v>
      </c>
      <c r="L924" s="21" t="s">
        <v>24</v>
      </c>
      <c r="M924" s="0" t="n">
        <v>189</v>
      </c>
      <c r="N924" s="0" t="n">
        <v>1</v>
      </c>
      <c r="O924" s="21" t="s">
        <v>69</v>
      </c>
      <c r="P924" s="21" t="s">
        <v>4275</v>
      </c>
      <c r="Q924" s="0" t="n">
        <v>1</v>
      </c>
      <c r="R924" s="21" t="s">
        <v>69</v>
      </c>
      <c r="S924" s="0" t="n">
        <v>1</v>
      </c>
      <c r="T924" s="21" t="s">
        <v>69</v>
      </c>
      <c r="U924" s="22" t="b">
        <f aca="false">TRUE()</f>
        <v>1</v>
      </c>
      <c r="V924" s="0" t="n">
        <v>0.71</v>
      </c>
      <c r="W924" s="0" t="n">
        <v>0.72</v>
      </c>
      <c r="X924" s="0" t="n">
        <v>6.44</v>
      </c>
      <c r="Y924" s="0" t="n">
        <v>329.51</v>
      </c>
      <c r="Z924" s="0" t="n">
        <v>11</v>
      </c>
      <c r="AA924" s="0" t="n">
        <v>1.73</v>
      </c>
      <c r="AB924" s="0" t="n">
        <v>25.92</v>
      </c>
      <c r="AC924" s="22" t="b">
        <f aca="false">FALSE()</f>
        <v>0</v>
      </c>
      <c r="AD924" s="0" t="n">
        <v>16.74</v>
      </c>
      <c r="AE924" s="0" t="n">
        <v>6.69</v>
      </c>
      <c r="AF924" s="0" t="n">
        <v>15.55</v>
      </c>
      <c r="AG924" s="22" t="b">
        <f aca="false">TRUE()</f>
        <v>1</v>
      </c>
      <c r="AH924" s="0" t="n">
        <v>1</v>
      </c>
    </row>
    <row r="925" customFormat="false" ht="15" hidden="false" customHeight="false" outlineLevel="0" collapsed="false">
      <c r="A925" s="0" t="s">
        <v>1472</v>
      </c>
      <c r="B925" s="0" t="s">
        <v>134</v>
      </c>
      <c r="C925" s="0" t="s">
        <v>3447</v>
      </c>
      <c r="D925" s="0" t="s">
        <v>3448</v>
      </c>
      <c r="E925" s="20" t="s">
        <v>25</v>
      </c>
      <c r="F925" s="23" t="s">
        <v>30</v>
      </c>
      <c r="G925" s="21" t="s">
        <v>283</v>
      </c>
      <c r="H925" s="21" t="s">
        <v>24</v>
      </c>
      <c r="I925" s="21" t="s">
        <v>25</v>
      </c>
      <c r="J925" s="21" t="s">
        <v>24</v>
      </c>
      <c r="K925" s="21" t="s">
        <v>24</v>
      </c>
      <c r="L925" s="21" t="s">
        <v>24</v>
      </c>
      <c r="M925" s="0" t="n">
        <v>191</v>
      </c>
      <c r="N925" s="0" t="n">
        <v>1</v>
      </c>
      <c r="O925" s="21" t="s">
        <v>69</v>
      </c>
      <c r="P925" s="21" t="s">
        <v>4275</v>
      </c>
      <c r="Q925" s="0" t="n">
        <v>1</v>
      </c>
      <c r="R925" s="21" t="s">
        <v>69</v>
      </c>
      <c r="S925" s="0" t="n">
        <v>1</v>
      </c>
      <c r="T925" s="21" t="s">
        <v>69</v>
      </c>
      <c r="U925" s="22" t="b">
        <f aca="false">TRUE()</f>
        <v>1</v>
      </c>
      <c r="V925" s="0" t="n">
        <v>0.69</v>
      </c>
      <c r="W925" s="0" t="n">
        <v>0.28</v>
      </c>
      <c r="X925" s="0" t="n">
        <v>7.13</v>
      </c>
      <c r="Y925" s="0" t="n">
        <v>452.58</v>
      </c>
      <c r="Z925" s="0" t="n">
        <v>11.25</v>
      </c>
      <c r="AA925" s="0" t="n">
        <v>9.32</v>
      </c>
      <c r="AB925" s="0" t="n">
        <v>12.16</v>
      </c>
      <c r="AC925" s="22" t="b">
        <f aca="false">FALSE()</f>
        <v>0</v>
      </c>
      <c r="AD925" s="0" t="n">
        <v>12.54</v>
      </c>
      <c r="AE925" s="0" t="n">
        <v>0.46</v>
      </c>
      <c r="AF925" s="0" t="n">
        <v>7.77</v>
      </c>
      <c r="AG925" s="22" t="b">
        <f aca="false">TRUE()</f>
        <v>1</v>
      </c>
      <c r="AH925" s="0" t="n">
        <v>1</v>
      </c>
    </row>
    <row r="926" customFormat="false" ht="15" hidden="false" customHeight="false" outlineLevel="0" collapsed="false">
      <c r="A926" s="0" t="s">
        <v>1481</v>
      </c>
      <c r="B926" s="0" t="s">
        <v>134</v>
      </c>
      <c r="C926" s="0" t="s">
        <v>3450</v>
      </c>
      <c r="D926" s="0" t="s">
        <v>3457</v>
      </c>
      <c r="E926" s="19" t="s">
        <v>26</v>
      </c>
      <c r="F926" s="19" t="s">
        <v>32</v>
      </c>
      <c r="G926" s="21" t="s">
        <v>529</v>
      </c>
      <c r="H926" s="21" t="s">
        <v>24</v>
      </c>
      <c r="I926" s="21" t="s">
        <v>26</v>
      </c>
      <c r="J926" s="21" t="s">
        <v>24</v>
      </c>
      <c r="K926" s="21" t="s">
        <v>24</v>
      </c>
      <c r="L926" s="21" t="s">
        <v>24</v>
      </c>
      <c r="M926" s="0" t="n">
        <v>194</v>
      </c>
      <c r="N926" s="0" t="n">
        <v>9</v>
      </c>
      <c r="O926" s="21" t="s">
        <v>4174</v>
      </c>
      <c r="P926" s="21" t="s">
        <v>4583</v>
      </c>
      <c r="Q926" s="0" t="n">
        <v>1</v>
      </c>
      <c r="R926" s="21" t="s">
        <v>69</v>
      </c>
      <c r="S926" s="0" t="n">
        <v>9</v>
      </c>
      <c r="T926" s="21" t="s">
        <v>4174</v>
      </c>
      <c r="U926" s="22" t="b">
        <f aca="false">FALSE()</f>
        <v>0</v>
      </c>
      <c r="V926" s="0" t="n">
        <v>0.57</v>
      </c>
      <c r="W926" s="0" t="n">
        <v>0.32</v>
      </c>
      <c r="X926" s="0" t="n">
        <v>7.49</v>
      </c>
      <c r="Y926" s="0" t="n">
        <v>424.99</v>
      </c>
      <c r="Z926" s="0" t="n">
        <v>9.5</v>
      </c>
      <c r="AA926" s="0" t="n">
        <v>15.32</v>
      </c>
      <c r="AB926" s="0" t="n">
        <v>7.89</v>
      </c>
      <c r="AC926" s="22" t="b">
        <f aca="false">FALSE()</f>
        <v>0</v>
      </c>
      <c r="AD926" s="0" t="n">
        <v>8.25</v>
      </c>
      <c r="AE926" s="0" t="n">
        <v>0.79</v>
      </c>
      <c r="AF926" s="0" t="n">
        <v>2.44</v>
      </c>
      <c r="AG926" s="22" t="b">
        <f aca="false">FALSE()</f>
        <v>0</v>
      </c>
      <c r="AH926" s="0" t="n">
        <v>1</v>
      </c>
    </row>
    <row r="927" customFormat="false" ht="15" hidden="false" customHeight="false" outlineLevel="0" collapsed="false">
      <c r="A927" s="0" t="s">
        <v>1481</v>
      </c>
      <c r="B927" s="0" t="s">
        <v>134</v>
      </c>
      <c r="C927" s="0" t="s">
        <v>3450</v>
      </c>
      <c r="D927" s="0" t="s">
        <v>3448</v>
      </c>
      <c r="E927" s="20" t="s">
        <v>25</v>
      </c>
      <c r="F927" s="23" t="s">
        <v>30</v>
      </c>
      <c r="G927" s="21" t="s">
        <v>1099</v>
      </c>
      <c r="H927" s="21" t="s">
        <v>24</v>
      </c>
      <c r="I927" s="21" t="s">
        <v>25</v>
      </c>
      <c r="J927" s="21" t="s">
        <v>24</v>
      </c>
      <c r="K927" s="21" t="s">
        <v>25</v>
      </c>
      <c r="L927" s="21" t="s">
        <v>24</v>
      </c>
      <c r="M927" s="0" t="n">
        <v>185</v>
      </c>
      <c r="N927" s="0" t="n">
        <v>3</v>
      </c>
      <c r="O927" s="21" t="s">
        <v>3649</v>
      </c>
      <c r="P927" s="21" t="s">
        <v>4242</v>
      </c>
      <c r="Q927" s="0" t="n">
        <v>1</v>
      </c>
      <c r="R927" s="21" t="s">
        <v>69</v>
      </c>
      <c r="S927" s="0" t="n">
        <v>3</v>
      </c>
      <c r="T927" s="21" t="s">
        <v>3649</v>
      </c>
      <c r="U927" s="22" t="b">
        <f aca="false">TRUE()</f>
        <v>1</v>
      </c>
      <c r="V927" s="0" t="n">
        <v>0.65</v>
      </c>
      <c r="W927" s="0" t="n">
        <v>0.96</v>
      </c>
      <c r="X927" s="0" t="n">
        <v>6.35</v>
      </c>
      <c r="Y927" s="0" t="n">
        <v>315</v>
      </c>
      <c r="Z927" s="0" t="n">
        <v>9.5</v>
      </c>
      <c r="AA927" s="0" t="n">
        <v>14.84</v>
      </c>
      <c r="AB927" s="0" t="n">
        <v>1.45</v>
      </c>
      <c r="AC927" s="22" t="b">
        <f aca="false">FALSE()</f>
        <v>0</v>
      </c>
      <c r="AD927" s="0" t="n">
        <v>4.44</v>
      </c>
      <c r="AE927" s="0" t="n">
        <v>0.69</v>
      </c>
      <c r="AF927" s="0" t="n">
        <v>10.03</v>
      </c>
      <c r="AG927" s="22" t="b">
        <f aca="false">FALSE()</f>
        <v>0</v>
      </c>
      <c r="AH927" s="0" t="n">
        <v>1</v>
      </c>
    </row>
    <row r="928" customFormat="false" ht="15" hidden="false" customHeight="false" outlineLevel="0" collapsed="false">
      <c r="A928" s="0" t="s">
        <v>1481</v>
      </c>
      <c r="B928" s="0" t="s">
        <v>134</v>
      </c>
      <c r="C928" s="0" t="s">
        <v>3447</v>
      </c>
      <c r="D928" s="0" t="s">
        <v>3457</v>
      </c>
      <c r="E928" s="20" t="s">
        <v>25</v>
      </c>
      <c r="F928" s="23" t="s">
        <v>30</v>
      </c>
      <c r="G928" s="21" t="s">
        <v>283</v>
      </c>
      <c r="H928" s="21" t="s">
        <v>24</v>
      </c>
      <c r="I928" s="21" t="s">
        <v>25</v>
      </c>
      <c r="J928" s="21" t="s">
        <v>24</v>
      </c>
      <c r="K928" s="21" t="s">
        <v>24</v>
      </c>
      <c r="L928" s="21" t="s">
        <v>24</v>
      </c>
      <c r="M928" s="0" t="n">
        <v>189</v>
      </c>
      <c r="N928" s="0" t="n">
        <v>1</v>
      </c>
      <c r="O928" s="21" t="s">
        <v>69</v>
      </c>
      <c r="P928" s="21" t="s">
        <v>4275</v>
      </c>
      <c r="Q928" s="0" t="n">
        <v>1</v>
      </c>
      <c r="R928" s="21" t="s">
        <v>69</v>
      </c>
      <c r="S928" s="0" t="n">
        <v>1</v>
      </c>
      <c r="T928" s="21" t="s">
        <v>69</v>
      </c>
      <c r="U928" s="22" t="b">
        <f aca="false">TRUE()</f>
        <v>1</v>
      </c>
      <c r="V928" s="0" t="n">
        <v>0.58</v>
      </c>
      <c r="W928" s="0" t="n">
        <v>0.24</v>
      </c>
      <c r="X928" s="0" t="n">
        <v>5.27</v>
      </c>
      <c r="Y928" s="0" t="n">
        <v>483.11</v>
      </c>
      <c r="Z928" s="0" t="n">
        <v>9.25</v>
      </c>
      <c r="AA928" s="0" t="n">
        <v>10.96</v>
      </c>
      <c r="AB928" s="0" t="n">
        <v>7.89</v>
      </c>
      <c r="AC928" s="22" t="b">
        <f aca="false">FALSE()</f>
        <v>0</v>
      </c>
      <c r="AD928" s="0" t="n">
        <v>9.52</v>
      </c>
      <c r="AE928" s="0" t="n">
        <v>0.79</v>
      </c>
      <c r="AF928" s="0" t="n">
        <v>1.64</v>
      </c>
      <c r="AG928" s="22" t="b">
        <f aca="false">FALSE()</f>
        <v>0</v>
      </c>
      <c r="AH928" s="0" t="n">
        <v>1</v>
      </c>
    </row>
    <row r="929" customFormat="false" ht="15" hidden="false" customHeight="false" outlineLevel="0" collapsed="false">
      <c r="A929" s="0" t="s">
        <v>1481</v>
      </c>
      <c r="B929" s="0" t="s">
        <v>134</v>
      </c>
      <c r="C929" s="0" t="s">
        <v>3447</v>
      </c>
      <c r="D929" s="0" t="s">
        <v>3448</v>
      </c>
      <c r="E929" s="20" t="s">
        <v>25</v>
      </c>
      <c r="F929" s="23" t="s">
        <v>30</v>
      </c>
      <c r="G929" s="21" t="s">
        <v>2133</v>
      </c>
      <c r="H929" s="21" t="s">
        <v>24</v>
      </c>
      <c r="I929" s="21" t="s">
        <v>24</v>
      </c>
      <c r="J929" s="21" t="s">
        <v>24</v>
      </c>
      <c r="K929" s="21" t="s">
        <v>25</v>
      </c>
      <c r="L929" s="21" t="s">
        <v>24</v>
      </c>
      <c r="M929" s="0" t="n">
        <v>191</v>
      </c>
      <c r="N929" s="0" t="n">
        <v>4</v>
      </c>
      <c r="O929" s="21" t="s">
        <v>3696</v>
      </c>
      <c r="P929" s="21" t="s">
        <v>4584</v>
      </c>
      <c r="Q929" s="0" t="n">
        <v>0</v>
      </c>
      <c r="S929" s="0" t="n">
        <v>4</v>
      </c>
      <c r="T929" s="21" t="s">
        <v>3696</v>
      </c>
      <c r="U929" s="22" t="b">
        <f aca="false">TRUE()</f>
        <v>1</v>
      </c>
      <c r="V929" s="0" t="n">
        <v>0.64</v>
      </c>
      <c r="W929" s="0" t="n">
        <v>0</v>
      </c>
      <c r="X929" s="0" t="n">
        <v>6.33</v>
      </c>
      <c r="Y929" s="0" t="n">
        <v>2.26</v>
      </c>
      <c r="Z929" s="0" t="n">
        <v>9.25</v>
      </c>
      <c r="AA929" s="0" t="n">
        <v>16.41</v>
      </c>
      <c r="AB929" s="0" t="n">
        <v>1.45</v>
      </c>
      <c r="AC929" s="22" t="b">
        <f aca="false">FALSE()</f>
        <v>0</v>
      </c>
      <c r="AD929" s="0" t="n">
        <v>3.83</v>
      </c>
      <c r="AE929" s="0" t="n">
        <v>0.2</v>
      </c>
      <c r="AF929" s="0" t="n">
        <v>7.69</v>
      </c>
      <c r="AG929" s="22" t="b">
        <f aca="false">FALSE()</f>
        <v>0</v>
      </c>
      <c r="AH929" s="0" t="n">
        <v>0</v>
      </c>
    </row>
    <row r="930" customFormat="false" ht="15" hidden="false" customHeight="false" outlineLevel="0" collapsed="false">
      <c r="A930" s="0" t="s">
        <v>1481</v>
      </c>
      <c r="B930" s="0" t="s">
        <v>3459</v>
      </c>
      <c r="C930" s="0" t="s">
        <v>3450</v>
      </c>
      <c r="D930" s="0" t="s">
        <v>3457</v>
      </c>
      <c r="E930" s="20" t="s">
        <v>25</v>
      </c>
      <c r="F930" s="23" t="s">
        <v>30</v>
      </c>
      <c r="G930" s="21" t="s">
        <v>283</v>
      </c>
      <c r="H930" s="21" t="s">
        <v>24</v>
      </c>
      <c r="I930" s="21" t="s">
        <v>25</v>
      </c>
      <c r="J930" s="21" t="s">
        <v>24</v>
      </c>
      <c r="K930" s="21" t="s">
        <v>24</v>
      </c>
      <c r="L930" s="21" t="s">
        <v>24</v>
      </c>
      <c r="M930" s="0" t="n">
        <v>184</v>
      </c>
      <c r="N930" s="0" t="n">
        <v>4</v>
      </c>
      <c r="O930" s="21" t="s">
        <v>3785</v>
      </c>
      <c r="P930" s="21" t="s">
        <v>4353</v>
      </c>
      <c r="Q930" s="0" t="n">
        <v>1</v>
      </c>
      <c r="R930" s="21" t="s">
        <v>69</v>
      </c>
      <c r="S930" s="0" t="n">
        <v>4</v>
      </c>
      <c r="T930" s="21" t="s">
        <v>3785</v>
      </c>
      <c r="U930" s="22" t="b">
        <f aca="false">TRUE()</f>
        <v>1</v>
      </c>
      <c r="V930" s="0" t="n">
        <v>0.69</v>
      </c>
      <c r="W930" s="0" t="n">
        <v>0.72</v>
      </c>
      <c r="X930" s="0" t="n">
        <v>6.39</v>
      </c>
      <c r="Y930" s="0" t="n">
        <v>312.27</v>
      </c>
      <c r="Z930" s="0" t="n">
        <v>9</v>
      </c>
      <c r="AA930" s="0" t="n">
        <v>10.59</v>
      </c>
      <c r="AB930" s="0" t="n">
        <v>9.42</v>
      </c>
      <c r="AC930" s="22" t="b">
        <f aca="false">FALSE()</f>
        <v>0</v>
      </c>
      <c r="AD930" s="0" t="n">
        <v>7.77</v>
      </c>
      <c r="AE930" s="0" t="n">
        <v>0.8</v>
      </c>
      <c r="AF930" s="0" t="n">
        <v>6.57</v>
      </c>
      <c r="AG930" s="22" t="b">
        <f aca="false">FALSE()</f>
        <v>0</v>
      </c>
      <c r="AH930" s="0" t="n">
        <v>1</v>
      </c>
    </row>
    <row r="931" customFormat="false" ht="15" hidden="false" customHeight="false" outlineLevel="0" collapsed="false">
      <c r="A931" s="0" t="s">
        <v>1481</v>
      </c>
      <c r="B931" s="0" t="s">
        <v>3459</v>
      </c>
      <c r="C931" s="0" t="s">
        <v>3450</v>
      </c>
      <c r="D931" s="0" t="s">
        <v>3448</v>
      </c>
      <c r="E931" s="19" t="s">
        <v>26</v>
      </c>
      <c r="F931" s="19" t="s">
        <v>32</v>
      </c>
      <c r="G931" s="21" t="s">
        <v>3879</v>
      </c>
      <c r="H931" s="21" t="s">
        <v>24</v>
      </c>
      <c r="I931" s="21" t="s">
        <v>26</v>
      </c>
      <c r="J931" s="21" t="s">
        <v>24</v>
      </c>
      <c r="K931" s="21" t="s">
        <v>25</v>
      </c>
      <c r="L931" s="21" t="s">
        <v>24</v>
      </c>
      <c r="M931" s="0" t="n">
        <v>183</v>
      </c>
      <c r="N931" s="0" t="n">
        <v>9</v>
      </c>
      <c r="O931" s="21" t="s">
        <v>4026</v>
      </c>
      <c r="P931" s="21" t="s">
        <v>4585</v>
      </c>
      <c r="Q931" s="0" t="n">
        <v>0</v>
      </c>
      <c r="S931" s="0" t="n">
        <v>9</v>
      </c>
      <c r="T931" s="21" t="s">
        <v>4026</v>
      </c>
      <c r="U931" s="22" t="b">
        <f aca="false">FALSE()</f>
        <v>0</v>
      </c>
      <c r="V931" s="0" t="n">
        <v>0.62</v>
      </c>
      <c r="W931" s="0" t="n">
        <v>0</v>
      </c>
      <c r="X931" s="0" t="n">
        <v>7.99</v>
      </c>
      <c r="Y931" s="0" t="n">
        <v>1.99</v>
      </c>
      <c r="Z931" s="0" t="n">
        <v>9.25</v>
      </c>
      <c r="AA931" s="0" t="n">
        <v>16.8</v>
      </c>
      <c r="AB931" s="0" t="n">
        <v>0.78</v>
      </c>
      <c r="AC931" s="22" t="b">
        <f aca="false">FALSE()</f>
        <v>0</v>
      </c>
      <c r="AD931" s="0" t="n">
        <v>8.43</v>
      </c>
      <c r="AE931" s="0" t="n">
        <v>0.17</v>
      </c>
      <c r="AF931" s="0" t="n">
        <v>5.84</v>
      </c>
      <c r="AG931" s="22" t="b">
        <f aca="false">FALSE()</f>
        <v>0</v>
      </c>
      <c r="AH931" s="0" t="n">
        <v>0</v>
      </c>
    </row>
    <row r="932" customFormat="false" ht="15" hidden="false" customHeight="false" outlineLevel="0" collapsed="false">
      <c r="A932" s="0" t="s">
        <v>1481</v>
      </c>
      <c r="B932" s="0" t="s">
        <v>3459</v>
      </c>
      <c r="C932" s="0" t="s">
        <v>3447</v>
      </c>
      <c r="D932" s="0" t="s">
        <v>3457</v>
      </c>
      <c r="E932" s="18" t="s">
        <v>24</v>
      </c>
      <c r="F932" s="23" t="s">
        <v>30</v>
      </c>
      <c r="G932" s="21" t="s">
        <v>30</v>
      </c>
      <c r="H932" s="21" t="s">
        <v>24</v>
      </c>
      <c r="I932" s="21" t="s">
        <v>24</v>
      </c>
      <c r="J932" s="21" t="s">
        <v>24</v>
      </c>
      <c r="K932" s="21" t="s">
        <v>24</v>
      </c>
      <c r="L932" s="21" t="s">
        <v>24</v>
      </c>
      <c r="M932" s="0" t="n">
        <v>183</v>
      </c>
      <c r="N932" s="0" t="n">
        <v>6</v>
      </c>
      <c r="O932" s="21" t="s">
        <v>3783</v>
      </c>
      <c r="P932" s="21" t="s">
        <v>4586</v>
      </c>
      <c r="Q932" s="0" t="n">
        <v>0</v>
      </c>
      <c r="S932" s="0" t="n">
        <v>6</v>
      </c>
      <c r="T932" s="21" t="s">
        <v>3783</v>
      </c>
      <c r="U932" s="22" t="b">
        <f aca="false">TRUE()</f>
        <v>1</v>
      </c>
      <c r="V932" s="0" t="n">
        <v>0.66</v>
      </c>
      <c r="W932" s="0" t="n">
        <v>0.72</v>
      </c>
      <c r="X932" s="0" t="n">
        <v>6.37</v>
      </c>
      <c r="Y932" s="0" t="n">
        <v>317.97</v>
      </c>
      <c r="Z932" s="0" t="n">
        <v>9.25</v>
      </c>
      <c r="AA932" s="0" t="n">
        <v>6.3</v>
      </c>
      <c r="AB932" s="0" t="n">
        <v>9.42</v>
      </c>
      <c r="AC932" s="22" t="b">
        <f aca="false">FALSE()</f>
        <v>0</v>
      </c>
      <c r="AD932" s="0" t="n">
        <v>5.76</v>
      </c>
      <c r="AE932" s="0" t="n">
        <v>0.94</v>
      </c>
      <c r="AF932" s="0" t="n">
        <v>4.61</v>
      </c>
      <c r="AG932" s="22" t="b">
        <f aca="false">FALSE()</f>
        <v>0</v>
      </c>
      <c r="AH932" s="0" t="n">
        <v>1</v>
      </c>
    </row>
    <row r="933" customFormat="false" ht="15" hidden="false" customHeight="false" outlineLevel="0" collapsed="false">
      <c r="A933" s="0" t="s">
        <v>1481</v>
      </c>
      <c r="B933" s="0" t="s">
        <v>3459</v>
      </c>
      <c r="C933" s="0" t="s">
        <v>3447</v>
      </c>
      <c r="D933" s="0" t="s">
        <v>3448</v>
      </c>
      <c r="E933" s="20" t="s">
        <v>25</v>
      </c>
      <c r="F933" s="23" t="s">
        <v>30</v>
      </c>
      <c r="G933" s="21" t="s">
        <v>2610</v>
      </c>
      <c r="H933" s="21" t="s">
        <v>24</v>
      </c>
      <c r="I933" s="21" t="s">
        <v>24</v>
      </c>
      <c r="J933" s="21" t="s">
        <v>24</v>
      </c>
      <c r="K933" s="21" t="s">
        <v>25</v>
      </c>
      <c r="L933" s="21" t="s">
        <v>24</v>
      </c>
      <c r="M933" s="0" t="n">
        <v>200</v>
      </c>
      <c r="N933" s="0" t="n">
        <v>4</v>
      </c>
      <c r="O933" s="21" t="s">
        <v>3748</v>
      </c>
      <c r="P933" s="21" t="s">
        <v>4587</v>
      </c>
      <c r="Q933" s="0" t="n">
        <v>0</v>
      </c>
      <c r="S933" s="0" t="n">
        <v>4</v>
      </c>
      <c r="T933" s="21" t="s">
        <v>3748</v>
      </c>
      <c r="U933" s="22" t="b">
        <f aca="false">TRUE()</f>
        <v>1</v>
      </c>
      <c r="V933" s="0" t="n">
        <v>0.58</v>
      </c>
      <c r="W933" s="0" t="n">
        <v>0.64</v>
      </c>
      <c r="X933" s="0" t="n">
        <v>6.92</v>
      </c>
      <c r="Y933" s="0" t="n">
        <v>350.55</v>
      </c>
      <c r="Z933" s="0" t="n">
        <v>9</v>
      </c>
      <c r="AA933" s="0" t="n">
        <v>0.78</v>
      </c>
      <c r="AB933" s="0" t="n">
        <v>0.78</v>
      </c>
      <c r="AC933" s="22" t="b">
        <f aca="false">FALSE()</f>
        <v>0</v>
      </c>
      <c r="AD933" s="0" t="n">
        <v>4.26</v>
      </c>
      <c r="AE933" s="0" t="n">
        <v>1.29</v>
      </c>
      <c r="AF933" s="0" t="n">
        <v>4.97</v>
      </c>
      <c r="AG933" s="22" t="b">
        <f aca="false">FALSE()</f>
        <v>0</v>
      </c>
      <c r="AH933" s="0" t="n">
        <v>1</v>
      </c>
    </row>
    <row r="934" customFormat="false" ht="15" hidden="false" customHeight="false" outlineLevel="0" collapsed="false">
      <c r="A934" s="0" t="s">
        <v>1487</v>
      </c>
      <c r="B934" s="0" t="s">
        <v>134</v>
      </c>
      <c r="C934" s="0" t="s">
        <v>3450</v>
      </c>
      <c r="D934" s="0" t="s">
        <v>3457</v>
      </c>
      <c r="E934" s="20" t="s">
        <v>25</v>
      </c>
      <c r="F934" s="23" t="s">
        <v>30</v>
      </c>
      <c r="G934" s="21" t="s">
        <v>2328</v>
      </c>
      <c r="H934" s="21" t="s">
        <v>24</v>
      </c>
      <c r="I934" s="21" t="s">
        <v>24</v>
      </c>
      <c r="J934" s="21" t="s">
        <v>24</v>
      </c>
      <c r="K934" s="21" t="s">
        <v>25</v>
      </c>
      <c r="L934" s="21" t="s">
        <v>24</v>
      </c>
      <c r="M934" s="0" t="n">
        <v>187</v>
      </c>
      <c r="N934" s="0" t="n">
        <v>1</v>
      </c>
      <c r="O934" s="21" t="s">
        <v>3489</v>
      </c>
      <c r="P934" s="21" t="s">
        <v>4588</v>
      </c>
      <c r="Q934" s="0" t="n">
        <v>0</v>
      </c>
      <c r="S934" s="0" t="n">
        <v>0</v>
      </c>
      <c r="U934" s="22" t="b">
        <f aca="false">TRUE()</f>
        <v>1</v>
      </c>
      <c r="V934" s="0" t="n">
        <v>0.73</v>
      </c>
      <c r="W934" s="0" t="n">
        <v>0.36</v>
      </c>
      <c r="X934" s="0" t="n">
        <v>6.79</v>
      </c>
      <c r="Y934" s="0" t="n">
        <v>381.29</v>
      </c>
      <c r="Z934" s="0" t="n">
        <v>11.67</v>
      </c>
      <c r="AA934" s="0" t="n">
        <v>2.72</v>
      </c>
      <c r="AB934" s="0" t="n">
        <v>0.85</v>
      </c>
      <c r="AC934" s="22" t="b">
        <f aca="false">TRUE()</f>
        <v>1</v>
      </c>
      <c r="AD934" s="0" t="n">
        <v>16.41</v>
      </c>
      <c r="AE934" s="0" t="n">
        <v>0.78</v>
      </c>
      <c r="AF934" s="0" t="n">
        <v>6.42</v>
      </c>
      <c r="AG934" s="22" t="b">
        <f aca="false">TRUE()</f>
        <v>1</v>
      </c>
      <c r="AH934" s="0" t="n">
        <v>1</v>
      </c>
    </row>
    <row r="935" customFormat="false" ht="15" hidden="false" customHeight="false" outlineLevel="0" collapsed="false">
      <c r="A935" s="0" t="s">
        <v>1487</v>
      </c>
      <c r="B935" s="0" t="s">
        <v>134</v>
      </c>
      <c r="C935" s="0" t="s">
        <v>3450</v>
      </c>
      <c r="D935" s="0" t="s">
        <v>3448</v>
      </c>
      <c r="E935" s="20" t="s">
        <v>25</v>
      </c>
      <c r="F935" s="23" t="s">
        <v>30</v>
      </c>
      <c r="G935" s="21" t="s">
        <v>357</v>
      </c>
      <c r="H935" s="21" t="s">
        <v>24</v>
      </c>
      <c r="I935" s="21" t="s">
        <v>25</v>
      </c>
      <c r="J935" s="21" t="s">
        <v>24</v>
      </c>
      <c r="K935" s="21" t="s">
        <v>25</v>
      </c>
      <c r="L935" s="21" t="s">
        <v>24</v>
      </c>
      <c r="M935" s="0" t="n">
        <v>184</v>
      </c>
      <c r="N935" s="0" t="n">
        <v>1</v>
      </c>
      <c r="O935" s="21" t="s">
        <v>70</v>
      </c>
      <c r="P935" s="21" t="s">
        <v>4378</v>
      </c>
      <c r="Q935" s="0" t="n">
        <v>1</v>
      </c>
      <c r="R935" s="21" t="s">
        <v>70</v>
      </c>
      <c r="S935" s="0" t="n">
        <v>1</v>
      </c>
      <c r="T935" s="21" t="s">
        <v>70</v>
      </c>
      <c r="U935" s="22" t="b">
        <f aca="false">TRUE()</f>
        <v>1</v>
      </c>
      <c r="V935" s="0" t="n">
        <v>0.71</v>
      </c>
      <c r="W935" s="0" t="n">
        <v>0.28</v>
      </c>
      <c r="X935" s="0" t="n">
        <v>7.37</v>
      </c>
      <c r="Y935" s="0" t="n">
        <v>435.98</v>
      </c>
      <c r="Z935" s="0" t="n">
        <v>11.83</v>
      </c>
      <c r="AA935" s="0" t="n">
        <v>1.6</v>
      </c>
      <c r="AB935" s="0" t="n">
        <v>1.45</v>
      </c>
      <c r="AC935" s="22" t="b">
        <f aca="false">TRUE()</f>
        <v>1</v>
      </c>
      <c r="AD935" s="0" t="n">
        <v>11.1</v>
      </c>
      <c r="AE935" s="0" t="n">
        <v>0.68</v>
      </c>
      <c r="AF935" s="0" t="n">
        <v>15.73</v>
      </c>
      <c r="AG935" s="22" t="b">
        <f aca="false">TRUE()</f>
        <v>1</v>
      </c>
      <c r="AH935" s="0" t="n">
        <v>1</v>
      </c>
    </row>
    <row r="936" customFormat="false" ht="15" hidden="false" customHeight="false" outlineLevel="0" collapsed="false">
      <c r="A936" s="0" t="s">
        <v>1487</v>
      </c>
      <c r="B936" s="0" t="s">
        <v>134</v>
      </c>
      <c r="C936" s="0" t="s">
        <v>3447</v>
      </c>
      <c r="D936" s="0" t="s">
        <v>3457</v>
      </c>
      <c r="E936" s="20" t="s">
        <v>25</v>
      </c>
      <c r="F936" s="23" t="s">
        <v>30</v>
      </c>
      <c r="G936" s="21" t="s">
        <v>1152</v>
      </c>
      <c r="H936" s="21" t="s">
        <v>24</v>
      </c>
      <c r="I936" s="21" t="s">
        <v>25</v>
      </c>
      <c r="J936" s="21" t="s">
        <v>24</v>
      </c>
      <c r="K936" s="21" t="s">
        <v>25</v>
      </c>
      <c r="L936" s="21" t="s">
        <v>24</v>
      </c>
      <c r="M936" s="0" t="n">
        <v>184</v>
      </c>
      <c r="N936" s="0" t="n">
        <v>5</v>
      </c>
      <c r="O936" s="21" t="s">
        <v>3813</v>
      </c>
      <c r="P936" s="21" t="s">
        <v>4589</v>
      </c>
      <c r="Q936" s="0" t="n">
        <v>1</v>
      </c>
      <c r="R936" s="21" t="s">
        <v>69</v>
      </c>
      <c r="S936" s="0" t="n">
        <v>4</v>
      </c>
      <c r="T936" s="21" t="s">
        <v>4590</v>
      </c>
      <c r="U936" s="22" t="b">
        <f aca="false">TRUE()</f>
        <v>1</v>
      </c>
      <c r="V936" s="0" t="n">
        <v>0.7</v>
      </c>
      <c r="W936" s="0" t="n">
        <v>0.2</v>
      </c>
      <c r="X936" s="0" t="n">
        <v>7.13</v>
      </c>
      <c r="Y936" s="0" t="n">
        <v>506.88</v>
      </c>
      <c r="Z936" s="0" t="n">
        <v>11.25</v>
      </c>
      <c r="AA936" s="0" t="n">
        <v>2.36</v>
      </c>
      <c r="AB936" s="0" t="n">
        <v>0.85</v>
      </c>
      <c r="AC936" s="22" t="b">
        <f aca="false">FALSE()</f>
        <v>0</v>
      </c>
      <c r="AD936" s="0" t="n">
        <v>16.51</v>
      </c>
      <c r="AE936" s="0" t="n">
        <v>0.46</v>
      </c>
      <c r="AF936" s="0" t="n">
        <v>5.96</v>
      </c>
      <c r="AG936" s="22" t="b">
        <f aca="false">TRUE()</f>
        <v>1</v>
      </c>
      <c r="AH936" s="0" t="n">
        <v>1</v>
      </c>
    </row>
    <row r="937" customFormat="false" ht="15" hidden="false" customHeight="false" outlineLevel="0" collapsed="false">
      <c r="A937" s="0" t="s">
        <v>1487</v>
      </c>
      <c r="B937" s="0" t="s">
        <v>134</v>
      </c>
      <c r="C937" s="0" t="s">
        <v>3447</v>
      </c>
      <c r="D937" s="0" t="s">
        <v>3448</v>
      </c>
      <c r="E937" s="19" t="s">
        <v>26</v>
      </c>
      <c r="F937" s="19" t="s">
        <v>32</v>
      </c>
      <c r="G937" s="21" t="s">
        <v>1451</v>
      </c>
      <c r="H937" s="21" t="s">
        <v>24</v>
      </c>
      <c r="I937" s="21" t="s">
        <v>26</v>
      </c>
      <c r="J937" s="21" t="s">
        <v>24</v>
      </c>
      <c r="K937" s="21" t="s">
        <v>25</v>
      </c>
      <c r="L937" s="21" t="s">
        <v>24</v>
      </c>
      <c r="M937" s="0" t="n">
        <v>185</v>
      </c>
      <c r="N937" s="0" t="n">
        <v>13</v>
      </c>
      <c r="O937" s="21" t="s">
        <v>4068</v>
      </c>
      <c r="P937" s="21" t="s">
        <v>4591</v>
      </c>
      <c r="Q937" s="0" t="n">
        <v>1</v>
      </c>
      <c r="R937" s="21" t="s">
        <v>69</v>
      </c>
      <c r="S937" s="0" t="n">
        <v>13</v>
      </c>
      <c r="T937" s="21" t="s">
        <v>4068</v>
      </c>
      <c r="U937" s="22" t="b">
        <f aca="false">FALSE()</f>
        <v>0</v>
      </c>
      <c r="V937" s="0" t="n">
        <v>0.72</v>
      </c>
      <c r="W937" s="0" t="n">
        <v>0.64</v>
      </c>
      <c r="X937" s="0" t="n">
        <v>7.84</v>
      </c>
      <c r="Y937" s="0" t="n">
        <v>325.53</v>
      </c>
      <c r="Z937" s="0" t="n">
        <v>11.25</v>
      </c>
      <c r="AA937" s="0" t="n">
        <v>2.39</v>
      </c>
      <c r="AB937" s="0" t="n">
        <v>1.45</v>
      </c>
      <c r="AC937" s="22" t="b">
        <f aca="false">FALSE()</f>
        <v>0</v>
      </c>
      <c r="AD937" s="0" t="n">
        <v>10.37</v>
      </c>
      <c r="AE937" s="0" t="n">
        <v>0.9</v>
      </c>
      <c r="AF937" s="0" t="n">
        <v>15.58</v>
      </c>
      <c r="AG937" s="22" t="b">
        <f aca="false">TRUE()</f>
        <v>1</v>
      </c>
      <c r="AH937" s="0" t="n">
        <v>1</v>
      </c>
    </row>
    <row r="938" customFormat="false" ht="15" hidden="false" customHeight="false" outlineLevel="0" collapsed="false">
      <c r="A938" s="0" t="s">
        <v>1503</v>
      </c>
      <c r="B938" s="0" t="s">
        <v>134</v>
      </c>
      <c r="C938" s="0" t="s">
        <v>3450</v>
      </c>
      <c r="D938" s="0" t="s">
        <v>3457</v>
      </c>
      <c r="E938" s="20" t="s">
        <v>25</v>
      </c>
      <c r="F938" s="23" t="s">
        <v>30</v>
      </c>
      <c r="G938" s="21" t="s">
        <v>183</v>
      </c>
      <c r="H938" s="21" t="s">
        <v>24</v>
      </c>
      <c r="I938" s="21" t="s">
        <v>25</v>
      </c>
      <c r="J938" s="21" t="s">
        <v>24</v>
      </c>
      <c r="K938" s="21" t="s">
        <v>25</v>
      </c>
      <c r="L938" s="21" t="s">
        <v>24</v>
      </c>
      <c r="M938" s="0" t="n">
        <v>183</v>
      </c>
      <c r="N938" s="0" t="n">
        <v>3</v>
      </c>
      <c r="O938" s="21" t="s">
        <v>3649</v>
      </c>
      <c r="P938" s="21" t="s">
        <v>4242</v>
      </c>
      <c r="Q938" s="0" t="n">
        <v>1</v>
      </c>
      <c r="R938" s="21" t="s">
        <v>69</v>
      </c>
      <c r="S938" s="0" t="n">
        <v>3</v>
      </c>
      <c r="T938" s="21" t="s">
        <v>3649</v>
      </c>
      <c r="U938" s="22" t="b">
        <f aca="false">TRUE()</f>
        <v>1</v>
      </c>
      <c r="V938" s="0" t="n">
        <v>0.76</v>
      </c>
      <c r="W938" s="0" t="n">
        <v>0.28</v>
      </c>
      <c r="X938" s="0" t="n">
        <v>7.58</v>
      </c>
      <c r="Y938" s="0" t="n">
        <v>427.04</v>
      </c>
      <c r="Z938" s="0" t="n">
        <v>11.25</v>
      </c>
      <c r="AA938" s="0" t="n">
        <v>18.87</v>
      </c>
      <c r="AB938" s="0" t="n">
        <v>22.75</v>
      </c>
      <c r="AC938" s="22" t="b">
        <f aca="false">FALSE()</f>
        <v>0</v>
      </c>
      <c r="AD938" s="0" t="n">
        <v>21.78</v>
      </c>
      <c r="AE938" s="0" t="n">
        <v>10.36</v>
      </c>
      <c r="AF938" s="0" t="n">
        <v>14.41</v>
      </c>
      <c r="AG938" s="22" t="b">
        <f aca="false">TRUE()</f>
        <v>1</v>
      </c>
      <c r="AH938" s="0" t="n">
        <v>1</v>
      </c>
    </row>
    <row r="939" customFormat="false" ht="15" hidden="false" customHeight="false" outlineLevel="0" collapsed="false">
      <c r="A939" s="0" t="s">
        <v>1503</v>
      </c>
      <c r="B939" s="0" t="s">
        <v>134</v>
      </c>
      <c r="C939" s="0" t="s">
        <v>3450</v>
      </c>
      <c r="D939" s="0" t="s">
        <v>3448</v>
      </c>
      <c r="E939" s="20" t="s">
        <v>25</v>
      </c>
      <c r="F939" s="23" t="s">
        <v>30</v>
      </c>
      <c r="G939" s="21" t="s">
        <v>283</v>
      </c>
      <c r="H939" s="21" t="s">
        <v>24</v>
      </c>
      <c r="I939" s="21" t="s">
        <v>25</v>
      </c>
      <c r="J939" s="21" t="s">
        <v>24</v>
      </c>
      <c r="K939" s="21" t="s">
        <v>24</v>
      </c>
      <c r="L939" s="21" t="s">
        <v>24</v>
      </c>
      <c r="M939" s="0" t="n">
        <v>226</v>
      </c>
      <c r="N939" s="0" t="n">
        <v>3</v>
      </c>
      <c r="O939" s="21" t="s">
        <v>3649</v>
      </c>
      <c r="P939" s="21" t="s">
        <v>4242</v>
      </c>
      <c r="Q939" s="0" t="n">
        <v>1</v>
      </c>
      <c r="R939" s="21" t="s">
        <v>69</v>
      </c>
      <c r="S939" s="0" t="n">
        <v>3</v>
      </c>
      <c r="T939" s="21" t="s">
        <v>3649</v>
      </c>
      <c r="U939" s="22" t="b">
        <f aca="false">TRUE()</f>
        <v>1</v>
      </c>
      <c r="V939" s="0" t="n">
        <v>0.75</v>
      </c>
      <c r="W939" s="0" t="n">
        <v>0.96</v>
      </c>
      <c r="X939" s="0" t="n">
        <v>8.11</v>
      </c>
      <c r="Y939" s="0" t="n">
        <v>387.29</v>
      </c>
      <c r="Z939" s="0" t="n">
        <v>11</v>
      </c>
      <c r="AA939" s="0" t="n">
        <v>3.92</v>
      </c>
      <c r="AB939" s="0" t="n">
        <v>50.82</v>
      </c>
      <c r="AC939" s="22" t="b">
        <f aca="false">FALSE()</f>
        <v>0</v>
      </c>
      <c r="AD939" s="0" t="n">
        <v>15.02</v>
      </c>
      <c r="AE939" s="0" t="n">
        <v>5.8</v>
      </c>
      <c r="AF939" s="0" t="n">
        <v>13.22</v>
      </c>
      <c r="AG939" s="22" t="b">
        <f aca="false">TRUE()</f>
        <v>1</v>
      </c>
      <c r="AH939" s="0" t="n">
        <v>1</v>
      </c>
    </row>
    <row r="940" customFormat="false" ht="15" hidden="false" customHeight="false" outlineLevel="0" collapsed="false">
      <c r="A940" s="0" t="s">
        <v>1503</v>
      </c>
      <c r="B940" s="0" t="s">
        <v>134</v>
      </c>
      <c r="C940" s="0" t="s">
        <v>3447</v>
      </c>
      <c r="D940" s="0" t="s">
        <v>3457</v>
      </c>
      <c r="E940" s="18" t="s">
        <v>24</v>
      </c>
      <c r="F940" s="23" t="s">
        <v>30</v>
      </c>
      <c r="G940" s="21" t="s">
        <v>30</v>
      </c>
      <c r="H940" s="21" t="s">
        <v>24</v>
      </c>
      <c r="I940" s="21" t="s">
        <v>24</v>
      </c>
      <c r="J940" s="21" t="s">
        <v>24</v>
      </c>
      <c r="K940" s="21" t="s">
        <v>24</v>
      </c>
      <c r="L940" s="21" t="s">
        <v>24</v>
      </c>
      <c r="M940" s="0" t="n">
        <v>185</v>
      </c>
      <c r="N940" s="0" t="n">
        <v>3</v>
      </c>
      <c r="O940" s="21" t="s">
        <v>3583</v>
      </c>
      <c r="P940" s="21" t="s">
        <v>4437</v>
      </c>
      <c r="Q940" s="0" t="n">
        <v>0</v>
      </c>
      <c r="S940" s="0" t="n">
        <v>3</v>
      </c>
      <c r="T940" s="21" t="s">
        <v>3583</v>
      </c>
      <c r="U940" s="22" t="b">
        <f aca="false">TRUE()</f>
        <v>1</v>
      </c>
      <c r="V940" s="0" t="n">
        <v>0.7</v>
      </c>
      <c r="W940" s="0" t="n">
        <v>0.64</v>
      </c>
      <c r="X940" s="0" t="n">
        <v>8.42</v>
      </c>
      <c r="Y940" s="0" t="n">
        <v>322.02</v>
      </c>
      <c r="Z940" s="0" t="n">
        <v>11.33</v>
      </c>
      <c r="AA940" s="0" t="n">
        <v>1.19</v>
      </c>
      <c r="AB940" s="0" t="n">
        <v>22.75</v>
      </c>
      <c r="AC940" s="22" t="b">
        <f aca="false">FALSE()</f>
        <v>0</v>
      </c>
      <c r="AD940" s="0" t="n">
        <v>19.69</v>
      </c>
      <c r="AE940" s="0" t="n">
        <v>9.36</v>
      </c>
      <c r="AF940" s="0" t="n">
        <v>12.62</v>
      </c>
      <c r="AG940" s="22" t="b">
        <f aca="false">TRUE()</f>
        <v>1</v>
      </c>
      <c r="AH940" s="0" t="n">
        <v>1</v>
      </c>
    </row>
    <row r="941" customFormat="false" ht="15" hidden="false" customHeight="false" outlineLevel="0" collapsed="false">
      <c r="A941" s="0" t="s">
        <v>1503</v>
      </c>
      <c r="B941" s="0" t="s">
        <v>134</v>
      </c>
      <c r="C941" s="0" t="s">
        <v>3447</v>
      </c>
      <c r="D941" s="0" t="s">
        <v>3448</v>
      </c>
      <c r="E941" s="20" t="s">
        <v>25</v>
      </c>
      <c r="F941" s="23" t="s">
        <v>30</v>
      </c>
      <c r="G941" s="21" t="s">
        <v>992</v>
      </c>
      <c r="H941" s="21" t="s">
        <v>24</v>
      </c>
      <c r="I941" s="21" t="s">
        <v>24</v>
      </c>
      <c r="J941" s="21" t="s">
        <v>24</v>
      </c>
      <c r="K941" s="21" t="s">
        <v>25</v>
      </c>
      <c r="L941" s="21" t="s">
        <v>24</v>
      </c>
      <c r="M941" s="0" t="n">
        <v>185</v>
      </c>
      <c r="N941" s="0" t="n">
        <v>3</v>
      </c>
      <c r="O941" s="21" t="s">
        <v>3576</v>
      </c>
      <c r="P941" s="21" t="s">
        <v>4592</v>
      </c>
      <c r="Q941" s="0" t="n">
        <v>0</v>
      </c>
      <c r="S941" s="0" t="n">
        <v>3</v>
      </c>
      <c r="T941" s="21" t="s">
        <v>3576</v>
      </c>
      <c r="U941" s="22" t="b">
        <f aca="false">TRUE()</f>
        <v>1</v>
      </c>
      <c r="V941" s="0" t="n">
        <v>0.75</v>
      </c>
      <c r="W941" s="0" t="n">
        <v>0.44</v>
      </c>
      <c r="X941" s="0" t="n">
        <v>7.62</v>
      </c>
      <c r="Y941" s="0" t="n">
        <v>343.2</v>
      </c>
      <c r="Z941" s="0" t="n">
        <v>11</v>
      </c>
      <c r="AA941" s="0" t="n">
        <v>0.22</v>
      </c>
      <c r="AB941" s="0" t="n">
        <v>50.82</v>
      </c>
      <c r="AC941" s="22" t="b">
        <f aca="false">FALSE()</f>
        <v>0</v>
      </c>
      <c r="AD941" s="0" t="n">
        <v>22.17</v>
      </c>
      <c r="AE941" s="0" t="n">
        <v>9.11</v>
      </c>
      <c r="AF941" s="0" t="n">
        <v>13.68</v>
      </c>
      <c r="AG941" s="22" t="b">
        <f aca="false">TRUE()</f>
        <v>1</v>
      </c>
      <c r="AH941" s="0" t="n">
        <v>1</v>
      </c>
    </row>
    <row r="942" customFormat="false" ht="15" hidden="false" customHeight="false" outlineLevel="0" collapsed="false">
      <c r="A942" s="0" t="s">
        <v>1509</v>
      </c>
      <c r="B942" s="0" t="s">
        <v>134</v>
      </c>
      <c r="C942" s="0" t="s">
        <v>3450</v>
      </c>
      <c r="D942" s="0" t="s">
        <v>3457</v>
      </c>
      <c r="E942" s="19" t="s">
        <v>26</v>
      </c>
      <c r="F942" s="19" t="s">
        <v>32</v>
      </c>
      <c r="G942" s="21" t="s">
        <v>529</v>
      </c>
      <c r="H942" s="21" t="s">
        <v>24</v>
      </c>
      <c r="I942" s="21" t="s">
        <v>26</v>
      </c>
      <c r="J942" s="21" t="s">
        <v>24</v>
      </c>
      <c r="K942" s="21" t="s">
        <v>24</v>
      </c>
      <c r="L942" s="21" t="s">
        <v>24</v>
      </c>
      <c r="M942" s="0" t="n">
        <v>184</v>
      </c>
      <c r="N942" s="0" t="n">
        <v>9</v>
      </c>
      <c r="O942" s="21" t="s">
        <v>4042</v>
      </c>
      <c r="P942" s="21" t="s">
        <v>4471</v>
      </c>
      <c r="Q942" s="0" t="n">
        <v>1</v>
      </c>
      <c r="R942" s="21" t="s">
        <v>69</v>
      </c>
      <c r="S942" s="0" t="n">
        <v>9</v>
      </c>
      <c r="T942" s="21" t="s">
        <v>4042</v>
      </c>
      <c r="U942" s="22" t="b">
        <f aca="false">FALSE()</f>
        <v>0</v>
      </c>
      <c r="V942" s="0" t="n">
        <v>0.68</v>
      </c>
      <c r="W942" s="0" t="n">
        <v>0.68</v>
      </c>
      <c r="X942" s="0" t="n">
        <v>12.83</v>
      </c>
      <c r="Y942" s="0" t="n">
        <v>289.75</v>
      </c>
      <c r="Z942" s="0" t="n">
        <v>10</v>
      </c>
      <c r="AA942" s="0" t="n">
        <v>15.06</v>
      </c>
      <c r="AB942" s="0" t="n">
        <v>3.27</v>
      </c>
      <c r="AC942" s="22" t="b">
        <f aca="false">FALSE()</f>
        <v>0</v>
      </c>
      <c r="AD942" s="0" t="n">
        <v>1.88</v>
      </c>
      <c r="AE942" s="0" t="n">
        <v>1.54</v>
      </c>
      <c r="AF942" s="0" t="n">
        <v>7.67</v>
      </c>
      <c r="AG942" s="22" t="b">
        <f aca="false">FALSE()</f>
        <v>0</v>
      </c>
      <c r="AH942" s="0" t="n">
        <v>1</v>
      </c>
    </row>
    <row r="943" customFormat="false" ht="15" hidden="false" customHeight="false" outlineLevel="0" collapsed="false">
      <c r="A943" s="0" t="s">
        <v>1509</v>
      </c>
      <c r="B943" s="0" t="s">
        <v>134</v>
      </c>
      <c r="C943" s="0" t="s">
        <v>3450</v>
      </c>
      <c r="D943" s="0" t="s">
        <v>3448</v>
      </c>
      <c r="E943" s="19" t="s">
        <v>26</v>
      </c>
      <c r="F943" s="19" t="s">
        <v>32</v>
      </c>
      <c r="G943" s="21" t="s">
        <v>1451</v>
      </c>
      <c r="H943" s="21" t="s">
        <v>24</v>
      </c>
      <c r="I943" s="21" t="s">
        <v>26</v>
      </c>
      <c r="J943" s="21" t="s">
        <v>24</v>
      </c>
      <c r="K943" s="21" t="s">
        <v>25</v>
      </c>
      <c r="L943" s="21" t="s">
        <v>24</v>
      </c>
      <c r="M943" s="0" t="n">
        <v>196</v>
      </c>
      <c r="N943" s="0" t="n">
        <v>10</v>
      </c>
      <c r="O943" s="21" t="s">
        <v>4081</v>
      </c>
      <c r="P943" s="21" t="s">
        <v>4593</v>
      </c>
      <c r="Q943" s="0" t="n">
        <v>1</v>
      </c>
      <c r="R943" s="21" t="s">
        <v>69</v>
      </c>
      <c r="S943" s="0" t="n">
        <v>10</v>
      </c>
      <c r="T943" s="21" t="s">
        <v>4081</v>
      </c>
      <c r="U943" s="22" t="b">
        <f aca="false">FALSE()</f>
        <v>0</v>
      </c>
      <c r="V943" s="0" t="n">
        <v>0.7</v>
      </c>
      <c r="W943" s="0" t="n">
        <v>0.32</v>
      </c>
      <c r="X943" s="0" t="n">
        <v>12.65</v>
      </c>
      <c r="Y943" s="0" t="n">
        <v>421.01</v>
      </c>
      <c r="Z943" s="0" t="n">
        <v>9.83</v>
      </c>
      <c r="AA943" s="0" t="n">
        <v>15.16</v>
      </c>
      <c r="AB943" s="0" t="n">
        <v>1.41</v>
      </c>
      <c r="AC943" s="22" t="b">
        <f aca="false">FALSE()</f>
        <v>0</v>
      </c>
      <c r="AD943" s="0" t="n">
        <v>2</v>
      </c>
      <c r="AE943" s="0" t="n">
        <v>-0.6</v>
      </c>
      <c r="AF943" s="0" t="n">
        <v>3.57</v>
      </c>
      <c r="AG943" s="22" t="b">
        <f aca="false">FALSE()</f>
        <v>0</v>
      </c>
      <c r="AH943" s="0" t="n">
        <v>1</v>
      </c>
    </row>
    <row r="944" customFormat="false" ht="15" hidden="false" customHeight="false" outlineLevel="0" collapsed="false">
      <c r="A944" s="0" t="s">
        <v>1509</v>
      </c>
      <c r="B944" s="0" t="s">
        <v>134</v>
      </c>
      <c r="C944" s="0" t="s">
        <v>3447</v>
      </c>
      <c r="D944" s="0" t="s">
        <v>3457</v>
      </c>
      <c r="E944" s="18" t="s">
        <v>24</v>
      </c>
      <c r="F944" s="23" t="s">
        <v>30</v>
      </c>
      <c r="G944" s="21" t="s">
        <v>30</v>
      </c>
      <c r="H944" s="21" t="s">
        <v>24</v>
      </c>
      <c r="I944" s="21" t="s">
        <v>24</v>
      </c>
      <c r="J944" s="21" t="s">
        <v>24</v>
      </c>
      <c r="K944" s="21" t="s">
        <v>24</v>
      </c>
      <c r="L944" s="21" t="s">
        <v>24</v>
      </c>
      <c r="M944" s="0" t="n">
        <v>184</v>
      </c>
      <c r="N944" s="0" t="n">
        <v>6</v>
      </c>
      <c r="O944" s="21" t="s">
        <v>3755</v>
      </c>
      <c r="P944" s="21" t="s">
        <v>4594</v>
      </c>
      <c r="Q944" s="0" t="n">
        <v>0</v>
      </c>
      <c r="S944" s="0" t="n">
        <v>6</v>
      </c>
      <c r="T944" s="21" t="s">
        <v>3755</v>
      </c>
      <c r="U944" s="22" t="b">
        <f aca="false">TRUE()</f>
        <v>1</v>
      </c>
      <c r="V944" s="0" t="n">
        <v>0.77</v>
      </c>
      <c r="W944" s="0" t="n">
        <v>0.96</v>
      </c>
      <c r="X944" s="0" t="n">
        <v>11.5</v>
      </c>
      <c r="Y944" s="0" t="n">
        <v>276.87</v>
      </c>
      <c r="Z944" s="0" t="n">
        <v>10.42</v>
      </c>
      <c r="AA944" s="0" t="n">
        <v>1.08</v>
      </c>
      <c r="AB944" s="0" t="n">
        <v>3.27</v>
      </c>
      <c r="AC944" s="22" t="b">
        <f aca="false">FALSE()</f>
        <v>0</v>
      </c>
      <c r="AD944" s="0" t="n">
        <v>-0.83</v>
      </c>
      <c r="AE944" s="0" t="n">
        <v>0.7</v>
      </c>
      <c r="AF944" s="0" t="n">
        <v>2.19</v>
      </c>
      <c r="AG944" s="22" t="b">
        <f aca="false">FALSE()</f>
        <v>0</v>
      </c>
      <c r="AH944" s="0" t="n">
        <v>1</v>
      </c>
    </row>
    <row r="945" customFormat="false" ht="15" hidden="false" customHeight="false" outlineLevel="0" collapsed="false">
      <c r="A945" s="0" t="s">
        <v>1509</v>
      </c>
      <c r="B945" s="0" t="s">
        <v>134</v>
      </c>
      <c r="C945" s="0" t="s">
        <v>3447</v>
      </c>
      <c r="D945" s="0" t="s">
        <v>3448</v>
      </c>
      <c r="E945" s="20" t="s">
        <v>25</v>
      </c>
      <c r="F945" s="23" t="s">
        <v>30</v>
      </c>
      <c r="G945" s="21" t="s">
        <v>2133</v>
      </c>
      <c r="H945" s="21" t="s">
        <v>24</v>
      </c>
      <c r="I945" s="21" t="s">
        <v>24</v>
      </c>
      <c r="J945" s="21" t="s">
        <v>24</v>
      </c>
      <c r="K945" s="21" t="s">
        <v>25</v>
      </c>
      <c r="L945" s="21" t="s">
        <v>24</v>
      </c>
      <c r="M945" s="0" t="n">
        <v>186</v>
      </c>
      <c r="N945" s="0" t="n">
        <v>3</v>
      </c>
      <c r="O945" s="21" t="s">
        <v>3547</v>
      </c>
      <c r="P945" s="21" t="s">
        <v>4390</v>
      </c>
      <c r="Q945" s="0" t="n">
        <v>0</v>
      </c>
      <c r="S945" s="0" t="n">
        <v>3</v>
      </c>
      <c r="T945" s="21" t="s">
        <v>3547</v>
      </c>
      <c r="U945" s="22" t="b">
        <f aca="false">TRUE()</f>
        <v>1</v>
      </c>
      <c r="V945" s="0" t="n">
        <v>0.72</v>
      </c>
      <c r="W945" s="0" t="n">
        <v>0.84</v>
      </c>
      <c r="X945" s="0" t="n">
        <v>9.88</v>
      </c>
      <c r="Y945" s="0" t="n">
        <v>318.83</v>
      </c>
      <c r="Z945" s="0" t="n">
        <v>8</v>
      </c>
      <c r="AA945" s="0" t="n">
        <v>-1.25</v>
      </c>
      <c r="AB945" s="0" t="n">
        <v>1.41</v>
      </c>
      <c r="AC945" s="22" t="b">
        <f aca="false">FALSE()</f>
        <v>0</v>
      </c>
      <c r="AD945" s="0" t="n">
        <v>0.49</v>
      </c>
      <c r="AE945" s="0" t="n">
        <v>-0.14</v>
      </c>
      <c r="AF945" s="0" t="n">
        <v>-0.25</v>
      </c>
      <c r="AG945" s="22" t="b">
        <f aca="false">FALSE()</f>
        <v>0</v>
      </c>
      <c r="AH945" s="0" t="n">
        <v>1</v>
      </c>
    </row>
    <row r="946" customFormat="false" ht="15" hidden="false" customHeight="false" outlineLevel="0" collapsed="false">
      <c r="A946" s="0" t="s">
        <v>1509</v>
      </c>
      <c r="B946" s="0" t="s">
        <v>3459</v>
      </c>
      <c r="C946" s="0" t="s">
        <v>3450</v>
      </c>
      <c r="D946" s="0" t="s">
        <v>3457</v>
      </c>
      <c r="E946" s="19" t="s">
        <v>26</v>
      </c>
      <c r="F946" s="19" t="s">
        <v>32</v>
      </c>
      <c r="G946" s="21" t="s">
        <v>3896</v>
      </c>
      <c r="H946" s="21" t="s">
        <v>24</v>
      </c>
      <c r="I946" s="21" t="s">
        <v>26</v>
      </c>
      <c r="J946" s="21" t="s">
        <v>24</v>
      </c>
      <c r="K946" s="21" t="s">
        <v>25</v>
      </c>
      <c r="L946" s="21" t="s">
        <v>24</v>
      </c>
      <c r="M946" s="0" t="n">
        <v>183</v>
      </c>
      <c r="N946" s="0" t="n">
        <v>10</v>
      </c>
      <c r="O946" s="21" t="s">
        <v>4007</v>
      </c>
      <c r="P946" s="21" t="s">
        <v>4595</v>
      </c>
      <c r="Q946" s="0" t="n">
        <v>0</v>
      </c>
      <c r="S946" s="0" t="n">
        <v>10</v>
      </c>
      <c r="T946" s="21" t="s">
        <v>4007</v>
      </c>
      <c r="U946" s="22" t="b">
        <f aca="false">FALSE()</f>
        <v>0</v>
      </c>
      <c r="V946" s="0" t="n">
        <v>0.71</v>
      </c>
      <c r="W946" s="0" t="n">
        <v>0.6</v>
      </c>
      <c r="X946" s="0" t="n">
        <v>13.6</v>
      </c>
      <c r="Y946" s="0" t="n">
        <v>280.47</v>
      </c>
      <c r="Z946" s="0" t="n">
        <v>10</v>
      </c>
      <c r="AA946" s="0" t="n">
        <v>15.82</v>
      </c>
      <c r="AB946" s="0" t="n">
        <v>8.61</v>
      </c>
      <c r="AC946" s="22" t="b">
        <f aca="false">FALSE()</f>
        <v>0</v>
      </c>
      <c r="AD946" s="0" t="n">
        <v>23.5</v>
      </c>
      <c r="AE946" s="0" t="n">
        <v>10.21</v>
      </c>
      <c r="AF946" s="0" t="n">
        <v>18.03</v>
      </c>
      <c r="AG946" s="22" t="b">
        <f aca="false">TRUE()</f>
        <v>1</v>
      </c>
      <c r="AH946" s="0" t="n">
        <v>1</v>
      </c>
    </row>
    <row r="947" customFormat="false" ht="15" hidden="false" customHeight="false" outlineLevel="0" collapsed="false">
      <c r="A947" s="0" t="s">
        <v>1509</v>
      </c>
      <c r="B947" s="0" t="s">
        <v>3459</v>
      </c>
      <c r="C947" s="0" t="s">
        <v>3450</v>
      </c>
      <c r="D947" s="0" t="s">
        <v>3448</v>
      </c>
      <c r="E947" s="19" t="s">
        <v>26</v>
      </c>
      <c r="F947" s="19" t="s">
        <v>32</v>
      </c>
      <c r="G947" s="21" t="s">
        <v>4054</v>
      </c>
      <c r="H947" s="21" t="s">
        <v>25</v>
      </c>
      <c r="I947" s="21" t="s">
        <v>26</v>
      </c>
      <c r="J947" s="21" t="s">
        <v>24</v>
      </c>
      <c r="K947" s="21" t="s">
        <v>25</v>
      </c>
      <c r="L947" s="21" t="s">
        <v>24</v>
      </c>
      <c r="M947" s="0" t="n">
        <v>264</v>
      </c>
      <c r="N947" s="0" t="n">
        <v>10</v>
      </c>
      <c r="O947" s="21" t="s">
        <v>4003</v>
      </c>
      <c r="P947" s="21" t="s">
        <v>4596</v>
      </c>
      <c r="Q947" s="0" t="n">
        <v>0</v>
      </c>
      <c r="S947" s="0" t="n">
        <v>10</v>
      </c>
      <c r="T947" s="21" t="s">
        <v>4003</v>
      </c>
      <c r="U947" s="22" t="b">
        <f aca="false">FALSE()</f>
        <v>0</v>
      </c>
      <c r="V947" s="0" t="n">
        <v>0.71</v>
      </c>
      <c r="W947" s="0" t="n">
        <v>0.48</v>
      </c>
      <c r="X947" s="0" t="n">
        <v>14.3</v>
      </c>
      <c r="Y947" s="0" t="n">
        <v>410.79</v>
      </c>
      <c r="Z947" s="0" t="n">
        <v>9.75</v>
      </c>
      <c r="AA947" s="0" t="n">
        <v>18.15</v>
      </c>
      <c r="AB947" s="0" t="n">
        <v>8.81</v>
      </c>
      <c r="AC947" s="22" t="b">
        <f aca="false">FALSE()</f>
        <v>0</v>
      </c>
      <c r="AD947" s="0" t="n">
        <v>20.32</v>
      </c>
      <c r="AE947" s="0" t="n">
        <v>8.15</v>
      </c>
      <c r="AF947" s="0" t="n">
        <v>15.92</v>
      </c>
      <c r="AG947" s="22" t="b">
        <f aca="false">TRUE()</f>
        <v>1</v>
      </c>
      <c r="AH947" s="0" t="n">
        <v>1</v>
      </c>
    </row>
    <row r="948" customFormat="false" ht="15" hidden="false" customHeight="false" outlineLevel="0" collapsed="false">
      <c r="A948" s="0" t="s">
        <v>1509</v>
      </c>
      <c r="B948" s="0" t="s">
        <v>3459</v>
      </c>
      <c r="C948" s="0" t="s">
        <v>3447</v>
      </c>
      <c r="D948" s="0" t="s">
        <v>3457</v>
      </c>
      <c r="E948" s="20" t="s">
        <v>25</v>
      </c>
      <c r="F948" s="23" t="s">
        <v>30</v>
      </c>
      <c r="G948" s="21" t="s">
        <v>992</v>
      </c>
      <c r="H948" s="21" t="s">
        <v>24</v>
      </c>
      <c r="I948" s="21" t="s">
        <v>24</v>
      </c>
      <c r="J948" s="21" t="s">
        <v>24</v>
      </c>
      <c r="K948" s="21" t="s">
        <v>25</v>
      </c>
      <c r="L948" s="21" t="s">
        <v>24</v>
      </c>
      <c r="M948" s="0" t="n">
        <v>184</v>
      </c>
      <c r="N948" s="0" t="n">
        <v>3</v>
      </c>
      <c r="O948" s="21" t="s">
        <v>3551</v>
      </c>
      <c r="P948" s="21" t="s">
        <v>4343</v>
      </c>
      <c r="Q948" s="0" t="n">
        <v>0</v>
      </c>
      <c r="S948" s="0" t="n">
        <v>3</v>
      </c>
      <c r="T948" s="21" t="s">
        <v>3551</v>
      </c>
      <c r="U948" s="22" t="b">
        <f aca="false">TRUE()</f>
        <v>1</v>
      </c>
      <c r="V948" s="0" t="n">
        <v>0.81</v>
      </c>
      <c r="W948" s="0" t="n">
        <v>0.16</v>
      </c>
      <c r="X948" s="0" t="n">
        <v>11.35</v>
      </c>
      <c r="Y948" s="0" t="n">
        <v>521.05</v>
      </c>
      <c r="Z948" s="0" t="n">
        <v>10.5</v>
      </c>
      <c r="AA948" s="0" t="n">
        <v>3.48</v>
      </c>
      <c r="AB948" s="0" t="n">
        <v>8.61</v>
      </c>
      <c r="AC948" s="22" t="b">
        <f aca="false">FALSE()</f>
        <v>0</v>
      </c>
      <c r="AD948" s="0" t="n">
        <v>22.82</v>
      </c>
      <c r="AE948" s="0" t="n">
        <v>9.6</v>
      </c>
      <c r="AF948" s="0" t="n">
        <v>18.92</v>
      </c>
      <c r="AG948" s="22" t="b">
        <f aca="false">TRUE()</f>
        <v>1</v>
      </c>
      <c r="AH948" s="0" t="n">
        <v>1</v>
      </c>
    </row>
    <row r="949" customFormat="false" ht="15" hidden="false" customHeight="false" outlineLevel="0" collapsed="false">
      <c r="A949" s="0" t="s">
        <v>1509</v>
      </c>
      <c r="B949" s="0" t="s">
        <v>3459</v>
      </c>
      <c r="C949" s="0" t="s">
        <v>3447</v>
      </c>
      <c r="D949" s="0" t="s">
        <v>3448</v>
      </c>
      <c r="E949" s="20" t="s">
        <v>25</v>
      </c>
      <c r="F949" s="23" t="s">
        <v>30</v>
      </c>
      <c r="G949" s="21" t="s">
        <v>992</v>
      </c>
      <c r="H949" s="21" t="s">
        <v>24</v>
      </c>
      <c r="I949" s="21" t="s">
        <v>24</v>
      </c>
      <c r="J949" s="21" t="s">
        <v>24</v>
      </c>
      <c r="K949" s="21" t="s">
        <v>25</v>
      </c>
      <c r="L949" s="21" t="s">
        <v>24</v>
      </c>
      <c r="M949" s="0" t="n">
        <v>188</v>
      </c>
      <c r="N949" s="0" t="n">
        <v>3</v>
      </c>
      <c r="O949" s="21" t="s">
        <v>3551</v>
      </c>
      <c r="P949" s="21" t="s">
        <v>4343</v>
      </c>
      <c r="Q949" s="0" t="n">
        <v>0</v>
      </c>
      <c r="S949" s="0" t="n">
        <v>3</v>
      </c>
      <c r="T949" s="21" t="s">
        <v>3551</v>
      </c>
      <c r="U949" s="22" t="b">
        <f aca="false">TRUE()</f>
        <v>1</v>
      </c>
      <c r="V949" s="0" t="n">
        <v>0.81</v>
      </c>
      <c r="W949" s="0" t="n">
        <v>0.32</v>
      </c>
      <c r="X949" s="0" t="n">
        <v>10.91</v>
      </c>
      <c r="Y949" s="0" t="n">
        <v>371.79</v>
      </c>
      <c r="Z949" s="0" t="n">
        <v>10.25</v>
      </c>
      <c r="AA949" s="0" t="n">
        <v>6.13</v>
      </c>
      <c r="AB949" s="0" t="n">
        <v>8.81</v>
      </c>
      <c r="AC949" s="22" t="b">
        <f aca="false">FALSE()</f>
        <v>0</v>
      </c>
      <c r="AD949" s="0" t="n">
        <v>23.15</v>
      </c>
      <c r="AE949" s="0" t="n">
        <v>11.35</v>
      </c>
      <c r="AF949" s="0" t="n">
        <v>19.76</v>
      </c>
      <c r="AG949" s="22" t="b">
        <f aca="false">TRUE()</f>
        <v>1</v>
      </c>
      <c r="AH949" s="0" t="n">
        <v>1</v>
      </c>
    </row>
    <row r="950" customFormat="false" ht="15" hidden="false" customHeight="false" outlineLevel="0" collapsed="false">
      <c r="A950" s="0" t="s">
        <v>1515</v>
      </c>
      <c r="B950" s="0" t="s">
        <v>134</v>
      </c>
      <c r="C950" s="0" t="s">
        <v>3450</v>
      </c>
      <c r="D950" s="0" t="s">
        <v>3457</v>
      </c>
      <c r="E950" s="18" t="s">
        <v>24</v>
      </c>
      <c r="F950" s="18" t="s">
        <v>28</v>
      </c>
      <c r="H950" s="21" t="s">
        <v>24</v>
      </c>
      <c r="I950" s="21" t="s">
        <v>24</v>
      </c>
      <c r="J950" s="21" t="s">
        <v>24</v>
      </c>
      <c r="K950" s="21" t="s">
        <v>24</v>
      </c>
      <c r="L950" s="21" t="s">
        <v>24</v>
      </c>
      <c r="M950" s="0" t="n">
        <v>182</v>
      </c>
      <c r="N950" s="0" t="n">
        <v>0</v>
      </c>
      <c r="Q950" s="0" t="n">
        <v>0</v>
      </c>
      <c r="S950" s="0" t="n">
        <v>0</v>
      </c>
      <c r="U950" s="22" t="b">
        <f aca="false">FALSE()</f>
        <v>0</v>
      </c>
      <c r="V950" s="0" t="n">
        <v>0.75</v>
      </c>
      <c r="W950" s="0" t="n">
        <v>0</v>
      </c>
      <c r="X950" s="0" t="n">
        <v>8.22</v>
      </c>
      <c r="Y950" s="0" t="n">
        <v>688.23</v>
      </c>
      <c r="Z950" s="0" t="n">
        <v>10.75</v>
      </c>
      <c r="AA950" s="0" t="n">
        <v>4.85</v>
      </c>
      <c r="AB950" s="0" t="n">
        <v>1.68</v>
      </c>
      <c r="AC950" s="22" t="b">
        <f aca="false">FALSE()</f>
        <v>0</v>
      </c>
      <c r="AD950" s="0" t="n">
        <v>10.07</v>
      </c>
      <c r="AE950" s="0" t="n">
        <v>0.94</v>
      </c>
      <c r="AF950" s="0" t="n">
        <v>10.75</v>
      </c>
      <c r="AG950" s="22" t="b">
        <f aca="false">TRUE()</f>
        <v>1</v>
      </c>
      <c r="AH950" s="0" t="n">
        <v>1</v>
      </c>
    </row>
    <row r="951" customFormat="false" ht="15" hidden="false" customHeight="false" outlineLevel="0" collapsed="false">
      <c r="A951" s="0" t="s">
        <v>1515</v>
      </c>
      <c r="B951" s="0" t="s">
        <v>134</v>
      </c>
      <c r="C951" s="0" t="s">
        <v>3450</v>
      </c>
      <c r="D951" s="0" t="s">
        <v>3448</v>
      </c>
      <c r="E951" s="18" t="s">
        <v>24</v>
      </c>
      <c r="F951" s="18" t="s">
        <v>28</v>
      </c>
      <c r="H951" s="21" t="s">
        <v>24</v>
      </c>
      <c r="I951" s="21" t="s">
        <v>24</v>
      </c>
      <c r="J951" s="21" t="s">
        <v>24</v>
      </c>
      <c r="K951" s="21" t="s">
        <v>24</v>
      </c>
      <c r="L951" s="21" t="s">
        <v>24</v>
      </c>
      <c r="M951" s="0" t="n">
        <v>183</v>
      </c>
      <c r="N951" s="0" t="n">
        <v>0</v>
      </c>
      <c r="Q951" s="0" t="n">
        <v>0</v>
      </c>
      <c r="S951" s="0" t="n">
        <v>0</v>
      </c>
      <c r="U951" s="22" t="b">
        <f aca="false">FALSE()</f>
        <v>0</v>
      </c>
      <c r="V951" s="0" t="n">
        <v>0.74</v>
      </c>
      <c r="W951" s="0" t="n">
        <v>0.56</v>
      </c>
      <c r="X951" s="0" t="n">
        <v>8.08</v>
      </c>
      <c r="Y951" s="0" t="n">
        <v>318.21</v>
      </c>
      <c r="Z951" s="0" t="n">
        <v>10.75</v>
      </c>
      <c r="AA951" s="0" t="n">
        <v>5.11</v>
      </c>
      <c r="AB951" s="0" t="n">
        <v>1.64</v>
      </c>
      <c r="AC951" s="22" t="b">
        <f aca="false">FALSE()</f>
        <v>0</v>
      </c>
      <c r="AD951" s="0" t="n">
        <v>8.17</v>
      </c>
      <c r="AE951" s="0" t="n">
        <v>0.79</v>
      </c>
      <c r="AF951" s="0" t="n">
        <v>15.86</v>
      </c>
      <c r="AG951" s="22" t="b">
        <f aca="false">FALSE()</f>
        <v>0</v>
      </c>
      <c r="AH951" s="0" t="n">
        <v>1</v>
      </c>
    </row>
    <row r="952" customFormat="false" ht="15" hidden="false" customHeight="false" outlineLevel="0" collapsed="false">
      <c r="A952" s="0" t="s">
        <v>1515</v>
      </c>
      <c r="B952" s="0" t="s">
        <v>134</v>
      </c>
      <c r="C952" s="0" t="s">
        <v>3447</v>
      </c>
      <c r="D952" s="0" t="s">
        <v>3457</v>
      </c>
      <c r="E952" s="19" t="s">
        <v>26</v>
      </c>
      <c r="F952" s="19" t="s">
        <v>32</v>
      </c>
      <c r="G952" s="21" t="s">
        <v>529</v>
      </c>
      <c r="H952" s="21" t="s">
        <v>24</v>
      </c>
      <c r="I952" s="21" t="s">
        <v>26</v>
      </c>
      <c r="J952" s="21" t="s">
        <v>24</v>
      </c>
      <c r="K952" s="21" t="s">
        <v>24</v>
      </c>
      <c r="L952" s="21" t="s">
        <v>24</v>
      </c>
      <c r="M952" s="0" t="n">
        <v>183</v>
      </c>
      <c r="N952" s="0" t="n">
        <v>8</v>
      </c>
      <c r="O952" s="21" t="s">
        <v>4028</v>
      </c>
      <c r="P952" s="21" t="s">
        <v>4393</v>
      </c>
      <c r="Q952" s="0" t="n">
        <v>1</v>
      </c>
      <c r="R952" s="21" t="s">
        <v>69</v>
      </c>
      <c r="S952" s="0" t="n">
        <v>8</v>
      </c>
      <c r="T952" s="21" t="s">
        <v>4028</v>
      </c>
      <c r="U952" s="22" t="b">
        <f aca="false">FALSE()</f>
        <v>0</v>
      </c>
      <c r="V952" s="0" t="n">
        <v>0.78</v>
      </c>
      <c r="W952" s="0" t="n">
        <v>0</v>
      </c>
      <c r="X952" s="0" t="n">
        <v>8.71</v>
      </c>
      <c r="Y952" s="0" t="n">
        <v>0.49</v>
      </c>
      <c r="Z952" s="0" t="n">
        <v>10</v>
      </c>
      <c r="AA952" s="0" t="n">
        <v>4.51</v>
      </c>
      <c r="AB952" s="0" t="n">
        <v>1.68</v>
      </c>
      <c r="AC952" s="22" t="b">
        <f aca="false">FALSE()</f>
        <v>0</v>
      </c>
      <c r="AD952" s="0" t="n">
        <v>6.76</v>
      </c>
      <c r="AE952" s="0" t="n">
        <v>1.04</v>
      </c>
      <c r="AF952" s="0" t="n">
        <v>8.72</v>
      </c>
      <c r="AG952" s="22" t="b">
        <f aca="false">FALSE()</f>
        <v>0</v>
      </c>
      <c r="AH952" s="0" t="n">
        <v>0</v>
      </c>
    </row>
    <row r="953" customFormat="false" ht="15" hidden="false" customHeight="false" outlineLevel="0" collapsed="false">
      <c r="A953" s="0" t="s">
        <v>1515</v>
      </c>
      <c r="B953" s="0" t="s">
        <v>134</v>
      </c>
      <c r="C953" s="0" t="s">
        <v>3447</v>
      </c>
      <c r="D953" s="0" t="s">
        <v>3448</v>
      </c>
      <c r="E953" s="19" t="s">
        <v>26</v>
      </c>
      <c r="F953" s="19" t="s">
        <v>32</v>
      </c>
      <c r="G953" s="21" t="s">
        <v>529</v>
      </c>
      <c r="H953" s="21" t="s">
        <v>24</v>
      </c>
      <c r="I953" s="21" t="s">
        <v>26</v>
      </c>
      <c r="J953" s="21" t="s">
        <v>24</v>
      </c>
      <c r="K953" s="21" t="s">
        <v>24</v>
      </c>
      <c r="L953" s="21" t="s">
        <v>24</v>
      </c>
      <c r="M953" s="0" t="n">
        <v>181</v>
      </c>
      <c r="N953" s="0" t="n">
        <v>11</v>
      </c>
      <c r="O953" s="21" t="s">
        <v>4034</v>
      </c>
      <c r="P953" s="21" t="s">
        <v>4252</v>
      </c>
      <c r="Q953" s="0" t="n">
        <v>1</v>
      </c>
      <c r="R953" s="21" t="s">
        <v>69</v>
      </c>
      <c r="S953" s="0" t="n">
        <v>11</v>
      </c>
      <c r="T953" s="21" t="s">
        <v>4034</v>
      </c>
      <c r="U953" s="22" t="b">
        <f aca="false">FALSE()</f>
        <v>0</v>
      </c>
      <c r="V953" s="0" t="n">
        <v>0.76</v>
      </c>
      <c r="W953" s="0" t="n">
        <v>0.2</v>
      </c>
      <c r="X953" s="0" t="n">
        <v>10.27</v>
      </c>
      <c r="Y953" s="0" t="n">
        <v>477.04</v>
      </c>
      <c r="Z953" s="0" t="n">
        <v>9.75</v>
      </c>
      <c r="AA953" s="0" t="n">
        <v>4.18</v>
      </c>
      <c r="AB953" s="0" t="n">
        <v>1.64</v>
      </c>
      <c r="AC953" s="22" t="b">
        <f aca="false">FALSE()</f>
        <v>0</v>
      </c>
      <c r="AD953" s="0" t="n">
        <v>6.81</v>
      </c>
      <c r="AE953" s="0" t="n">
        <v>0.66</v>
      </c>
      <c r="AF953" s="0" t="n">
        <v>11.42</v>
      </c>
      <c r="AG953" s="22" t="b">
        <f aca="false">FALSE()</f>
        <v>0</v>
      </c>
      <c r="AH953" s="0" t="n">
        <v>1</v>
      </c>
    </row>
    <row r="954" customFormat="false" ht="15" hidden="false" customHeight="false" outlineLevel="0" collapsed="false">
      <c r="A954" s="0" t="s">
        <v>1521</v>
      </c>
      <c r="B954" s="0" t="s">
        <v>134</v>
      </c>
      <c r="C954" s="0" t="s">
        <v>3450</v>
      </c>
      <c r="D954" s="0" t="s">
        <v>3457</v>
      </c>
      <c r="E954" s="19" t="s">
        <v>26</v>
      </c>
      <c r="F954" s="19" t="s">
        <v>32</v>
      </c>
      <c r="G954" s="21" t="s">
        <v>4138</v>
      </c>
      <c r="H954" s="21" t="s">
        <v>24</v>
      </c>
      <c r="I954" s="21" t="s">
        <v>26</v>
      </c>
      <c r="J954" s="21" t="s">
        <v>24</v>
      </c>
      <c r="K954" s="21" t="s">
        <v>25</v>
      </c>
      <c r="L954" s="21" t="s">
        <v>24</v>
      </c>
      <c r="M954" s="0" t="n">
        <v>183</v>
      </c>
      <c r="N954" s="0" t="n">
        <v>8</v>
      </c>
      <c r="O954" s="21" t="s">
        <v>4137</v>
      </c>
      <c r="P954" s="21" t="s">
        <v>4597</v>
      </c>
      <c r="Q954" s="0" t="n">
        <v>1</v>
      </c>
      <c r="R954" s="21" t="s">
        <v>69</v>
      </c>
      <c r="S954" s="0" t="n">
        <v>8</v>
      </c>
      <c r="T954" s="21" t="s">
        <v>4137</v>
      </c>
      <c r="U954" s="22" t="b">
        <f aca="false">FALSE()</f>
        <v>0</v>
      </c>
      <c r="V954" s="0" t="n">
        <v>0.73</v>
      </c>
      <c r="W954" s="0" t="n">
        <v>0.68</v>
      </c>
      <c r="X954" s="0" t="n">
        <v>7.55</v>
      </c>
      <c r="Y954" s="0" t="n">
        <v>310.39</v>
      </c>
      <c r="Z954" s="0" t="n">
        <v>9.08</v>
      </c>
      <c r="AA954" s="0" t="n">
        <v>15.72</v>
      </c>
      <c r="AB954" s="0" t="n">
        <v>19.09</v>
      </c>
      <c r="AC954" s="22" t="b">
        <f aca="false">FALSE()</f>
        <v>0</v>
      </c>
      <c r="AD954" s="0" t="n">
        <v>31.34</v>
      </c>
      <c r="AE954" s="0" t="n">
        <v>18.18</v>
      </c>
      <c r="AF954" s="0" t="n">
        <v>26.11</v>
      </c>
      <c r="AG954" s="22" t="b">
        <f aca="false">TRUE()</f>
        <v>1</v>
      </c>
      <c r="AH954" s="0" t="n">
        <v>1</v>
      </c>
    </row>
    <row r="955" customFormat="false" ht="15" hidden="false" customHeight="false" outlineLevel="0" collapsed="false">
      <c r="A955" s="0" t="s">
        <v>1521</v>
      </c>
      <c r="B955" s="0" t="s">
        <v>134</v>
      </c>
      <c r="C955" s="0" t="s">
        <v>3450</v>
      </c>
      <c r="D955" s="0" t="s">
        <v>3448</v>
      </c>
      <c r="E955" s="19" t="s">
        <v>26</v>
      </c>
      <c r="F955" s="19" t="s">
        <v>32</v>
      </c>
      <c r="G955" s="21" t="s">
        <v>1926</v>
      </c>
      <c r="H955" s="21" t="s">
        <v>24</v>
      </c>
      <c r="I955" s="21" t="s">
        <v>26</v>
      </c>
      <c r="J955" s="21" t="s">
        <v>24</v>
      </c>
      <c r="K955" s="21" t="s">
        <v>25</v>
      </c>
      <c r="L955" s="21" t="s">
        <v>24</v>
      </c>
      <c r="M955" s="0" t="n">
        <v>186</v>
      </c>
      <c r="N955" s="0" t="n">
        <v>10</v>
      </c>
      <c r="O955" s="21" t="s">
        <v>4096</v>
      </c>
      <c r="P955" s="21" t="s">
        <v>4598</v>
      </c>
      <c r="Q955" s="0" t="n">
        <v>1</v>
      </c>
      <c r="R955" s="21" t="s">
        <v>69</v>
      </c>
      <c r="S955" s="0" t="n">
        <v>10</v>
      </c>
      <c r="T955" s="21" t="s">
        <v>4096</v>
      </c>
      <c r="U955" s="22" t="b">
        <f aca="false">FALSE()</f>
        <v>0</v>
      </c>
      <c r="V955" s="0" t="n">
        <v>0.75</v>
      </c>
      <c r="W955" s="0" t="n">
        <v>0.84</v>
      </c>
      <c r="X955" s="0" t="n">
        <v>8.51</v>
      </c>
      <c r="Y955" s="0" t="n">
        <v>312.83</v>
      </c>
      <c r="Z955" s="0" t="n">
        <v>8.75</v>
      </c>
      <c r="AA955" s="0" t="n">
        <v>10.72</v>
      </c>
      <c r="AB955" s="0" t="n">
        <v>41.78</v>
      </c>
      <c r="AC955" s="22" t="b">
        <f aca="false">FALSE()</f>
        <v>0</v>
      </c>
      <c r="AD955" s="0" t="n">
        <v>20.14</v>
      </c>
      <c r="AE955" s="0" t="n">
        <v>10.51</v>
      </c>
      <c r="AF955" s="0" t="n">
        <v>18.99</v>
      </c>
      <c r="AG955" s="22" t="b">
        <f aca="false">TRUE()</f>
        <v>1</v>
      </c>
      <c r="AH955" s="0" t="n">
        <v>1</v>
      </c>
    </row>
    <row r="956" customFormat="false" ht="15" hidden="false" customHeight="false" outlineLevel="0" collapsed="false">
      <c r="A956" s="0" t="s">
        <v>1521</v>
      </c>
      <c r="B956" s="0" t="s">
        <v>134</v>
      </c>
      <c r="C956" s="0" t="s">
        <v>3447</v>
      </c>
      <c r="D956" s="0" t="s">
        <v>3457</v>
      </c>
      <c r="E956" s="20" t="s">
        <v>25</v>
      </c>
      <c r="F956" s="23" t="s">
        <v>30</v>
      </c>
      <c r="G956" s="21" t="s">
        <v>3492</v>
      </c>
      <c r="H956" s="21" t="s">
        <v>24</v>
      </c>
      <c r="I956" s="21" t="s">
        <v>24</v>
      </c>
      <c r="J956" s="21" t="s">
        <v>24</v>
      </c>
      <c r="K956" s="21" t="s">
        <v>25</v>
      </c>
      <c r="L956" s="21" t="s">
        <v>24</v>
      </c>
      <c r="M956" s="0" t="n">
        <v>185</v>
      </c>
      <c r="N956" s="0" t="n">
        <v>5</v>
      </c>
      <c r="O956" s="21" t="s">
        <v>3732</v>
      </c>
      <c r="P956" s="21" t="s">
        <v>4599</v>
      </c>
      <c r="Q956" s="0" t="n">
        <v>0</v>
      </c>
      <c r="S956" s="0" t="n">
        <v>5</v>
      </c>
      <c r="T956" s="21" t="s">
        <v>3732</v>
      </c>
      <c r="U956" s="22" t="b">
        <f aca="false">TRUE()</f>
        <v>1</v>
      </c>
      <c r="V956" s="0" t="n">
        <v>0.76</v>
      </c>
      <c r="W956" s="0" t="n">
        <v>0.2</v>
      </c>
      <c r="X956" s="0" t="n">
        <v>6.1</v>
      </c>
      <c r="Y956" s="0" t="n">
        <v>510.23</v>
      </c>
      <c r="Z956" s="0" t="n">
        <v>10.75</v>
      </c>
      <c r="AA956" s="0" t="n">
        <v>1.3</v>
      </c>
      <c r="AB956" s="0" t="n">
        <v>19.09</v>
      </c>
      <c r="AC956" s="22" t="b">
        <f aca="false">FALSE()</f>
        <v>0</v>
      </c>
      <c r="AD956" s="0" t="n">
        <v>30.63</v>
      </c>
      <c r="AE956" s="0" t="n">
        <v>17.53</v>
      </c>
      <c r="AF956" s="0" t="n">
        <v>25.13</v>
      </c>
      <c r="AG956" s="22" t="b">
        <f aca="false">TRUE()</f>
        <v>1</v>
      </c>
      <c r="AH956" s="0" t="n">
        <v>1</v>
      </c>
    </row>
    <row r="957" customFormat="false" ht="15" hidden="false" customHeight="false" outlineLevel="0" collapsed="false">
      <c r="A957" s="0" t="s">
        <v>1521</v>
      </c>
      <c r="B957" s="0" t="s">
        <v>134</v>
      </c>
      <c r="C957" s="0" t="s">
        <v>3447</v>
      </c>
      <c r="D957" s="0" t="s">
        <v>3448</v>
      </c>
      <c r="E957" s="20" t="s">
        <v>25</v>
      </c>
      <c r="F957" s="23" t="s">
        <v>30</v>
      </c>
      <c r="G957" s="21" t="s">
        <v>992</v>
      </c>
      <c r="H957" s="21" t="s">
        <v>24</v>
      </c>
      <c r="I957" s="21" t="s">
        <v>24</v>
      </c>
      <c r="J957" s="21" t="s">
        <v>24</v>
      </c>
      <c r="K957" s="21" t="s">
        <v>25</v>
      </c>
      <c r="L957" s="21" t="s">
        <v>24</v>
      </c>
      <c r="M957" s="0" t="n">
        <v>183</v>
      </c>
      <c r="N957" s="0" t="n">
        <v>3</v>
      </c>
      <c r="O957" s="21" t="s">
        <v>3581</v>
      </c>
      <c r="P957" s="21" t="s">
        <v>4600</v>
      </c>
      <c r="Q957" s="0" t="n">
        <v>0</v>
      </c>
      <c r="S957" s="0" t="n">
        <v>3</v>
      </c>
      <c r="T957" s="21" t="s">
        <v>3581</v>
      </c>
      <c r="U957" s="22" t="b">
        <f aca="false">TRUE()</f>
        <v>1</v>
      </c>
      <c r="V957" s="0" t="n">
        <v>0.78</v>
      </c>
      <c r="W957" s="0" t="n">
        <v>0.44</v>
      </c>
      <c r="X957" s="0" t="n">
        <v>6.27</v>
      </c>
      <c r="Y957" s="0" t="n">
        <v>340.17</v>
      </c>
      <c r="Z957" s="0" t="n">
        <v>10.33</v>
      </c>
      <c r="AA957" s="0" t="n">
        <v>0.39</v>
      </c>
      <c r="AB957" s="0" t="n">
        <v>41.78</v>
      </c>
      <c r="AC957" s="22" t="b">
        <f aca="false">FALSE()</f>
        <v>0</v>
      </c>
      <c r="AD957" s="0" t="n">
        <v>29.47</v>
      </c>
      <c r="AE957" s="0" t="n">
        <v>16.22</v>
      </c>
      <c r="AF957" s="0" t="n">
        <v>23.85</v>
      </c>
      <c r="AG957" s="22" t="b">
        <f aca="false">TRUE()</f>
        <v>1</v>
      </c>
      <c r="AH957" s="0" t="n">
        <v>1</v>
      </c>
    </row>
    <row r="958" customFormat="false" ht="15" hidden="false" customHeight="false" outlineLevel="0" collapsed="false">
      <c r="A958" s="0" t="s">
        <v>1527</v>
      </c>
      <c r="B958" s="0" t="s">
        <v>134</v>
      </c>
      <c r="C958" s="0" t="s">
        <v>3450</v>
      </c>
      <c r="D958" s="0" t="s">
        <v>3457</v>
      </c>
      <c r="E958" s="20" t="s">
        <v>25</v>
      </c>
      <c r="F958" s="20" t="s">
        <v>29</v>
      </c>
      <c r="G958" s="21" t="s">
        <v>63</v>
      </c>
      <c r="H958" s="21" t="s">
        <v>24</v>
      </c>
      <c r="I958" s="21" t="s">
        <v>24</v>
      </c>
      <c r="J958" s="21" t="s">
        <v>24</v>
      </c>
      <c r="K958" s="21" t="s">
        <v>25</v>
      </c>
      <c r="L958" s="21" t="s">
        <v>24</v>
      </c>
      <c r="M958" s="0" t="n">
        <v>191</v>
      </c>
      <c r="N958" s="0" t="n">
        <v>0</v>
      </c>
      <c r="Q958" s="0" t="n">
        <v>0</v>
      </c>
      <c r="S958" s="0" t="n">
        <v>0</v>
      </c>
      <c r="U958" s="22" t="b">
        <f aca="false">FALSE()</f>
        <v>0</v>
      </c>
      <c r="V958" s="0" t="n">
        <v>0.85</v>
      </c>
      <c r="W958" s="0" t="n">
        <v>0.88</v>
      </c>
      <c r="X958" s="0" t="n">
        <v>5.41</v>
      </c>
      <c r="Y958" s="0" t="n">
        <v>311.6</v>
      </c>
      <c r="Z958" s="0" t="n">
        <v>10.5</v>
      </c>
      <c r="AA958" s="0" t="n">
        <v>4.97</v>
      </c>
      <c r="AB958" s="0" t="n">
        <v>1.33</v>
      </c>
      <c r="AC958" s="22" t="b">
        <f aca="false">FALSE()</f>
        <v>0</v>
      </c>
      <c r="AD958" s="0" t="n">
        <v>15.6</v>
      </c>
      <c r="AE958" s="0" t="n">
        <v>1.14</v>
      </c>
      <c r="AF958" s="0" t="n">
        <v>7.97</v>
      </c>
      <c r="AG958" s="22" t="b">
        <f aca="false">TRUE()</f>
        <v>1</v>
      </c>
      <c r="AH958" s="0" t="n">
        <v>1</v>
      </c>
    </row>
    <row r="959" customFormat="false" ht="15" hidden="false" customHeight="false" outlineLevel="0" collapsed="false">
      <c r="A959" s="0" t="s">
        <v>1527</v>
      </c>
      <c r="B959" s="0" t="s">
        <v>134</v>
      </c>
      <c r="C959" s="0" t="s">
        <v>3450</v>
      </c>
      <c r="D959" s="0" t="s">
        <v>3448</v>
      </c>
      <c r="E959" s="20" t="s">
        <v>25</v>
      </c>
      <c r="F959" s="23" t="s">
        <v>30</v>
      </c>
      <c r="G959" s="21" t="s">
        <v>1099</v>
      </c>
      <c r="H959" s="21" t="s">
        <v>24</v>
      </c>
      <c r="I959" s="21" t="s">
        <v>25</v>
      </c>
      <c r="J959" s="21" t="s">
        <v>24</v>
      </c>
      <c r="K959" s="21" t="s">
        <v>25</v>
      </c>
      <c r="L959" s="21" t="s">
        <v>24</v>
      </c>
      <c r="M959" s="0" t="n">
        <v>183</v>
      </c>
      <c r="N959" s="0" t="n">
        <v>2</v>
      </c>
      <c r="O959" s="21" t="s">
        <v>3575</v>
      </c>
      <c r="P959" s="21" t="s">
        <v>4265</v>
      </c>
      <c r="Q959" s="0" t="n">
        <v>1</v>
      </c>
      <c r="R959" s="21" t="s">
        <v>69</v>
      </c>
      <c r="S959" s="0" t="n">
        <v>2</v>
      </c>
      <c r="T959" s="21" t="s">
        <v>3575</v>
      </c>
      <c r="U959" s="22" t="b">
        <f aca="false">TRUE()</f>
        <v>1</v>
      </c>
      <c r="V959" s="0" t="n">
        <v>0.68</v>
      </c>
      <c r="W959" s="0" t="n">
        <v>0.64</v>
      </c>
      <c r="X959" s="0" t="n">
        <v>4.69</v>
      </c>
      <c r="Y959" s="0" t="n">
        <v>321.64</v>
      </c>
      <c r="Z959" s="0" t="n">
        <v>10.33</v>
      </c>
      <c r="AA959" s="0" t="n">
        <v>5.55</v>
      </c>
      <c r="AB959" s="0" t="n">
        <v>1.17</v>
      </c>
      <c r="AC959" s="22" t="b">
        <f aca="false">FALSE()</f>
        <v>0</v>
      </c>
      <c r="AD959" s="0" t="n">
        <v>14.3</v>
      </c>
      <c r="AE959" s="0" t="n">
        <v>0.81</v>
      </c>
      <c r="AF959" s="0" t="n">
        <v>6.28</v>
      </c>
      <c r="AG959" s="22" t="b">
        <f aca="false">TRUE()</f>
        <v>1</v>
      </c>
      <c r="AH959" s="0" t="n">
        <v>1</v>
      </c>
    </row>
    <row r="960" customFormat="false" ht="15" hidden="false" customHeight="false" outlineLevel="0" collapsed="false">
      <c r="A960" s="0" t="s">
        <v>1527</v>
      </c>
      <c r="B960" s="0" t="s">
        <v>134</v>
      </c>
      <c r="C960" s="0" t="s">
        <v>3447</v>
      </c>
      <c r="D960" s="0" t="s">
        <v>3457</v>
      </c>
      <c r="E960" s="20" t="s">
        <v>25</v>
      </c>
      <c r="F960" s="20" t="s">
        <v>29</v>
      </c>
      <c r="G960" s="21" t="s">
        <v>63</v>
      </c>
      <c r="H960" s="21" t="s">
        <v>24</v>
      </c>
      <c r="I960" s="21" t="s">
        <v>24</v>
      </c>
      <c r="J960" s="21" t="s">
        <v>24</v>
      </c>
      <c r="K960" s="21" t="s">
        <v>25</v>
      </c>
      <c r="L960" s="21" t="s">
        <v>24</v>
      </c>
      <c r="M960" s="0" t="n">
        <v>187</v>
      </c>
      <c r="N960" s="0" t="n">
        <v>0</v>
      </c>
      <c r="Q960" s="0" t="n">
        <v>0</v>
      </c>
      <c r="S960" s="0" t="n">
        <v>0</v>
      </c>
      <c r="U960" s="22" t="b">
        <f aca="false">FALSE()</f>
        <v>0</v>
      </c>
      <c r="V960" s="0" t="n">
        <v>0.76</v>
      </c>
      <c r="W960" s="0" t="n">
        <v>0.8</v>
      </c>
      <c r="X960" s="0" t="n">
        <v>4.89</v>
      </c>
      <c r="Y960" s="0" t="n">
        <v>325.01</v>
      </c>
      <c r="Z960" s="0" t="n">
        <v>10</v>
      </c>
      <c r="AA960" s="0" t="n">
        <v>6.42</v>
      </c>
      <c r="AB960" s="0" t="n">
        <v>1.33</v>
      </c>
      <c r="AC960" s="22" t="b">
        <f aca="false">FALSE()</f>
        <v>0</v>
      </c>
      <c r="AD960" s="0" t="n">
        <v>16.15</v>
      </c>
      <c r="AE960" s="0" t="n">
        <v>0.64</v>
      </c>
      <c r="AF960" s="0" t="n">
        <v>9.36</v>
      </c>
      <c r="AG960" s="22" t="b">
        <f aca="false">TRUE()</f>
        <v>1</v>
      </c>
      <c r="AH960" s="0" t="n">
        <v>1</v>
      </c>
    </row>
    <row r="961" customFormat="false" ht="15" hidden="false" customHeight="false" outlineLevel="0" collapsed="false">
      <c r="A961" s="0" t="s">
        <v>1527</v>
      </c>
      <c r="B961" s="0" t="s">
        <v>134</v>
      </c>
      <c r="C961" s="0" t="s">
        <v>3447</v>
      </c>
      <c r="D961" s="0" t="s">
        <v>3448</v>
      </c>
      <c r="E961" s="20" t="s">
        <v>25</v>
      </c>
      <c r="F961" s="23" t="s">
        <v>30</v>
      </c>
      <c r="G961" s="21" t="s">
        <v>1099</v>
      </c>
      <c r="H961" s="21" t="s">
        <v>24</v>
      </c>
      <c r="I961" s="21" t="s">
        <v>25</v>
      </c>
      <c r="J961" s="21" t="s">
        <v>24</v>
      </c>
      <c r="K961" s="21" t="s">
        <v>25</v>
      </c>
      <c r="L961" s="21" t="s">
        <v>24</v>
      </c>
      <c r="M961" s="0" t="n">
        <v>187</v>
      </c>
      <c r="N961" s="0" t="n">
        <v>5</v>
      </c>
      <c r="O961" s="21" t="s">
        <v>3833</v>
      </c>
      <c r="P961" s="21" t="s">
        <v>4601</v>
      </c>
      <c r="Q961" s="0" t="n">
        <v>1</v>
      </c>
      <c r="R961" s="21" t="s">
        <v>69</v>
      </c>
      <c r="S961" s="0" t="n">
        <v>5</v>
      </c>
      <c r="T961" s="21" t="s">
        <v>3833</v>
      </c>
      <c r="U961" s="22" t="b">
        <f aca="false">TRUE()</f>
        <v>1</v>
      </c>
      <c r="V961" s="0" t="n">
        <v>0.69</v>
      </c>
      <c r="W961" s="0" t="n">
        <v>0.72</v>
      </c>
      <c r="X961" s="0" t="n">
        <v>4.84</v>
      </c>
      <c r="Y961" s="0" t="n">
        <v>328.19</v>
      </c>
      <c r="Z961" s="0" t="n">
        <v>9.58</v>
      </c>
      <c r="AA961" s="0" t="n">
        <v>5.61</v>
      </c>
      <c r="AB961" s="0" t="n">
        <v>1.17</v>
      </c>
      <c r="AC961" s="22" t="b">
        <f aca="false">FALSE()</f>
        <v>0</v>
      </c>
      <c r="AD961" s="0" t="n">
        <v>14.09</v>
      </c>
      <c r="AE961" s="0" t="n">
        <v>-0.12</v>
      </c>
      <c r="AF961" s="0" t="n">
        <v>6.61</v>
      </c>
      <c r="AG961" s="22" t="b">
        <f aca="false">TRUE()</f>
        <v>1</v>
      </c>
      <c r="AH961" s="0" t="n">
        <v>1</v>
      </c>
    </row>
    <row r="962" customFormat="false" ht="15" hidden="false" customHeight="false" outlineLevel="0" collapsed="false">
      <c r="A962" s="0" t="s">
        <v>1533</v>
      </c>
      <c r="B962" s="0" t="s">
        <v>134</v>
      </c>
      <c r="C962" s="0" t="s">
        <v>3450</v>
      </c>
      <c r="D962" s="0" t="s">
        <v>3457</v>
      </c>
      <c r="E962" s="20" t="s">
        <v>25</v>
      </c>
      <c r="F962" s="23" t="s">
        <v>30</v>
      </c>
      <c r="G962" s="21" t="s">
        <v>157</v>
      </c>
      <c r="H962" s="21" t="s">
        <v>24</v>
      </c>
      <c r="I962" s="21" t="s">
        <v>25</v>
      </c>
      <c r="J962" s="21" t="s">
        <v>24</v>
      </c>
      <c r="K962" s="21" t="s">
        <v>25</v>
      </c>
      <c r="L962" s="21" t="s">
        <v>24</v>
      </c>
      <c r="M962" s="0" t="n">
        <v>191</v>
      </c>
      <c r="N962" s="0" t="n">
        <v>4</v>
      </c>
      <c r="O962" s="21" t="s">
        <v>3734</v>
      </c>
      <c r="P962" s="21" t="s">
        <v>4327</v>
      </c>
      <c r="Q962" s="0" t="n">
        <v>1</v>
      </c>
      <c r="R962" s="21" t="s">
        <v>69</v>
      </c>
      <c r="S962" s="0" t="n">
        <v>4</v>
      </c>
      <c r="T962" s="21" t="s">
        <v>3734</v>
      </c>
      <c r="U962" s="22" t="b">
        <f aca="false">TRUE()</f>
        <v>1</v>
      </c>
      <c r="V962" s="0" t="n">
        <v>0.67</v>
      </c>
      <c r="W962" s="0" t="n">
        <v>0.2</v>
      </c>
      <c r="X962" s="0" t="n">
        <v>6.82</v>
      </c>
      <c r="Y962" s="0" t="n">
        <v>529.02</v>
      </c>
      <c r="Z962" s="0" t="n">
        <v>9</v>
      </c>
      <c r="AA962" s="0" t="n">
        <v>12.18</v>
      </c>
      <c r="AB962" s="0" t="n">
        <v>0.7</v>
      </c>
      <c r="AC962" s="22" t="b">
        <f aca="false">FALSE()</f>
        <v>0</v>
      </c>
      <c r="AD962" s="0" t="n">
        <v>20.36</v>
      </c>
      <c r="AE962" s="0" t="n">
        <v>0.12</v>
      </c>
      <c r="AF962" s="0" t="n">
        <v>9.76</v>
      </c>
      <c r="AG962" s="22" t="b">
        <f aca="false">TRUE()</f>
        <v>1</v>
      </c>
      <c r="AH962" s="0" t="n">
        <v>1</v>
      </c>
    </row>
    <row r="963" customFormat="false" ht="15" hidden="false" customHeight="false" outlineLevel="0" collapsed="false">
      <c r="A963" s="0" t="s">
        <v>1533</v>
      </c>
      <c r="B963" s="0" t="s">
        <v>134</v>
      </c>
      <c r="C963" s="0" t="s">
        <v>3450</v>
      </c>
      <c r="D963" s="0" t="s">
        <v>3448</v>
      </c>
      <c r="E963" s="20" t="s">
        <v>25</v>
      </c>
      <c r="F963" s="23" t="s">
        <v>30</v>
      </c>
      <c r="G963" s="21" t="s">
        <v>283</v>
      </c>
      <c r="H963" s="21" t="s">
        <v>24</v>
      </c>
      <c r="I963" s="21" t="s">
        <v>25</v>
      </c>
      <c r="J963" s="21" t="s">
        <v>24</v>
      </c>
      <c r="K963" s="21" t="s">
        <v>24</v>
      </c>
      <c r="L963" s="21" t="s">
        <v>24</v>
      </c>
      <c r="M963" s="0" t="n">
        <v>184</v>
      </c>
      <c r="N963" s="0" t="n">
        <v>5</v>
      </c>
      <c r="O963" s="21" t="s">
        <v>3816</v>
      </c>
      <c r="P963" s="21" t="s">
        <v>4328</v>
      </c>
      <c r="Q963" s="0" t="n">
        <v>1</v>
      </c>
      <c r="R963" s="21" t="s">
        <v>69</v>
      </c>
      <c r="S963" s="0" t="n">
        <v>5</v>
      </c>
      <c r="T963" s="21" t="s">
        <v>3816</v>
      </c>
      <c r="U963" s="22" t="b">
        <f aca="false">TRUE()</f>
        <v>1</v>
      </c>
      <c r="V963" s="0" t="n">
        <v>0.65</v>
      </c>
      <c r="W963" s="0" t="n">
        <v>0.32</v>
      </c>
      <c r="X963" s="0" t="n">
        <v>8.36</v>
      </c>
      <c r="Y963" s="0" t="n">
        <v>405.01</v>
      </c>
      <c r="Z963" s="0" t="n">
        <v>8.75</v>
      </c>
      <c r="AA963" s="0" t="n">
        <v>8.75</v>
      </c>
      <c r="AB963" s="0" t="n">
        <v>2.27</v>
      </c>
      <c r="AC963" s="22" t="b">
        <f aca="false">FALSE()</f>
        <v>0</v>
      </c>
      <c r="AD963" s="0" t="n">
        <v>16.69</v>
      </c>
      <c r="AE963" s="0" t="n">
        <v>0.46</v>
      </c>
      <c r="AF963" s="0" t="n">
        <v>10</v>
      </c>
      <c r="AG963" s="22" t="b">
        <f aca="false">TRUE()</f>
        <v>1</v>
      </c>
      <c r="AH963" s="0" t="n">
        <v>1</v>
      </c>
    </row>
    <row r="964" customFormat="false" ht="15" hidden="false" customHeight="false" outlineLevel="0" collapsed="false">
      <c r="A964" s="0" t="s">
        <v>1533</v>
      </c>
      <c r="B964" s="0" t="s">
        <v>134</v>
      </c>
      <c r="C964" s="0" t="s">
        <v>3447</v>
      </c>
      <c r="D964" s="0" t="s">
        <v>3457</v>
      </c>
      <c r="E964" s="20" t="s">
        <v>25</v>
      </c>
      <c r="F964" s="23" t="s">
        <v>30</v>
      </c>
      <c r="G964" s="21" t="s">
        <v>2133</v>
      </c>
      <c r="H964" s="21" t="s">
        <v>24</v>
      </c>
      <c r="I964" s="21" t="s">
        <v>24</v>
      </c>
      <c r="J964" s="21" t="s">
        <v>24</v>
      </c>
      <c r="K964" s="21" t="s">
        <v>25</v>
      </c>
      <c r="L964" s="21" t="s">
        <v>24</v>
      </c>
      <c r="M964" s="0" t="n">
        <v>188</v>
      </c>
      <c r="N964" s="0" t="n">
        <v>6</v>
      </c>
      <c r="O964" s="21" t="s">
        <v>3805</v>
      </c>
      <c r="P964" s="21" t="s">
        <v>4602</v>
      </c>
      <c r="Q964" s="0" t="n">
        <v>0</v>
      </c>
      <c r="S964" s="0" t="n">
        <v>6</v>
      </c>
      <c r="T964" s="21" t="s">
        <v>3805</v>
      </c>
      <c r="U964" s="22" t="b">
        <f aca="false">TRUE()</f>
        <v>1</v>
      </c>
      <c r="V964" s="0" t="n">
        <v>0.68</v>
      </c>
      <c r="W964" s="0" t="n">
        <v>0.6</v>
      </c>
      <c r="X964" s="0" t="n">
        <v>7.48</v>
      </c>
      <c r="Y964" s="0" t="n">
        <v>330.69</v>
      </c>
      <c r="Z964" s="0" t="n">
        <v>8.75</v>
      </c>
      <c r="AA964" s="0" t="n">
        <v>-0.02</v>
      </c>
      <c r="AB964" s="0" t="n">
        <v>0.7</v>
      </c>
      <c r="AC964" s="22" t="b">
        <f aca="false">FALSE()</f>
        <v>0</v>
      </c>
      <c r="AD964" s="0" t="n">
        <v>12.14</v>
      </c>
      <c r="AE964" s="0" t="n">
        <v>0.45</v>
      </c>
      <c r="AF964" s="0" t="n">
        <v>6.04</v>
      </c>
      <c r="AG964" s="22" t="b">
        <f aca="false">TRUE()</f>
        <v>1</v>
      </c>
      <c r="AH964" s="0" t="n">
        <v>1</v>
      </c>
    </row>
    <row r="965" customFormat="false" ht="15" hidden="false" customHeight="false" outlineLevel="0" collapsed="false">
      <c r="A965" s="0" t="s">
        <v>1533</v>
      </c>
      <c r="B965" s="0" t="s">
        <v>134</v>
      </c>
      <c r="C965" s="0" t="s">
        <v>3447</v>
      </c>
      <c r="D965" s="0" t="s">
        <v>3448</v>
      </c>
      <c r="E965" s="18" t="s">
        <v>24</v>
      </c>
      <c r="F965" s="23" t="s">
        <v>30</v>
      </c>
      <c r="G965" s="21" t="s">
        <v>30</v>
      </c>
      <c r="H965" s="21" t="s">
        <v>24</v>
      </c>
      <c r="I965" s="21" t="s">
        <v>24</v>
      </c>
      <c r="J965" s="21" t="s">
        <v>24</v>
      </c>
      <c r="K965" s="21" t="s">
        <v>24</v>
      </c>
      <c r="L965" s="21" t="s">
        <v>24</v>
      </c>
      <c r="M965" s="0" t="n">
        <v>188</v>
      </c>
      <c r="N965" s="0" t="n">
        <v>5</v>
      </c>
      <c r="O965" s="21" t="s">
        <v>3747</v>
      </c>
      <c r="P965" s="21" t="s">
        <v>4603</v>
      </c>
      <c r="Q965" s="0" t="n">
        <v>0</v>
      </c>
      <c r="S965" s="0" t="n">
        <v>5</v>
      </c>
      <c r="T965" s="21" t="s">
        <v>3747</v>
      </c>
      <c r="U965" s="22" t="b">
        <f aca="false">TRUE()</f>
        <v>1</v>
      </c>
      <c r="V965" s="0" t="n">
        <v>0.7</v>
      </c>
      <c r="W965" s="0" t="n">
        <v>0.2</v>
      </c>
      <c r="X965" s="0" t="n">
        <v>8.22</v>
      </c>
      <c r="Y965" s="0" t="n">
        <v>520.77</v>
      </c>
      <c r="Z965" s="0" t="n">
        <v>8.83</v>
      </c>
      <c r="AA965" s="0" t="n">
        <v>8.19</v>
      </c>
      <c r="AB965" s="0" t="n">
        <v>2.27</v>
      </c>
      <c r="AC965" s="22" t="b">
        <f aca="false">FALSE()</f>
        <v>0</v>
      </c>
      <c r="AD965" s="0" t="n">
        <v>14.31</v>
      </c>
      <c r="AE965" s="0" t="n">
        <v>1.11</v>
      </c>
      <c r="AF965" s="0" t="n">
        <v>9.93</v>
      </c>
      <c r="AG965" s="22" t="b">
        <f aca="false">TRUE()</f>
        <v>1</v>
      </c>
      <c r="AH965" s="0" t="n">
        <v>1</v>
      </c>
    </row>
    <row r="966" customFormat="false" ht="15" hidden="false" customHeight="false" outlineLevel="0" collapsed="false">
      <c r="A966" s="0" t="s">
        <v>1533</v>
      </c>
      <c r="B966" s="0" t="s">
        <v>3459</v>
      </c>
      <c r="C966" s="0" t="s">
        <v>3450</v>
      </c>
      <c r="D966" s="0" t="s">
        <v>3457</v>
      </c>
      <c r="E966" s="19" t="s">
        <v>26</v>
      </c>
      <c r="F966" s="19" t="s">
        <v>32</v>
      </c>
      <c r="G966" s="21" t="s">
        <v>1926</v>
      </c>
      <c r="H966" s="21" t="s">
        <v>24</v>
      </c>
      <c r="I966" s="21" t="s">
        <v>26</v>
      </c>
      <c r="J966" s="21" t="s">
        <v>24</v>
      </c>
      <c r="K966" s="21" t="s">
        <v>25</v>
      </c>
      <c r="L966" s="21" t="s">
        <v>24</v>
      </c>
      <c r="M966" s="0" t="n">
        <v>184</v>
      </c>
      <c r="N966" s="0" t="n">
        <v>7</v>
      </c>
      <c r="O966" s="21" t="s">
        <v>4079</v>
      </c>
      <c r="P966" s="21" t="s">
        <v>4301</v>
      </c>
      <c r="Q966" s="0" t="n">
        <v>1</v>
      </c>
      <c r="R966" s="21" t="s">
        <v>69</v>
      </c>
      <c r="S966" s="0" t="n">
        <v>7</v>
      </c>
      <c r="T966" s="21" t="s">
        <v>4079</v>
      </c>
      <c r="U966" s="22" t="b">
        <f aca="false">FALSE()</f>
        <v>0</v>
      </c>
      <c r="V966" s="0" t="n">
        <v>0.65</v>
      </c>
      <c r="W966" s="0" t="n">
        <v>0.28</v>
      </c>
      <c r="X966" s="0" t="n">
        <v>9.91</v>
      </c>
      <c r="Y966" s="0" t="n">
        <v>436.02</v>
      </c>
      <c r="Z966" s="0" t="n">
        <v>9</v>
      </c>
      <c r="AA966" s="0" t="n">
        <v>6.7</v>
      </c>
      <c r="AB966" s="0" t="n">
        <v>2.39</v>
      </c>
      <c r="AC966" s="22" t="b">
        <f aca="false">FALSE()</f>
        <v>0</v>
      </c>
      <c r="AD966" s="0" t="n">
        <v>20.67</v>
      </c>
      <c r="AE966" s="0" t="n">
        <v>9.73</v>
      </c>
      <c r="AF966" s="0" t="n">
        <v>20.04</v>
      </c>
      <c r="AG966" s="22" t="b">
        <f aca="false">TRUE()</f>
        <v>1</v>
      </c>
      <c r="AH966" s="0" t="n">
        <v>1</v>
      </c>
    </row>
    <row r="967" customFormat="false" ht="15" hidden="false" customHeight="false" outlineLevel="0" collapsed="false">
      <c r="A967" s="0" t="s">
        <v>1533</v>
      </c>
      <c r="B967" s="0" t="s">
        <v>3459</v>
      </c>
      <c r="C967" s="0" t="s">
        <v>3450</v>
      </c>
      <c r="D967" s="0" t="s">
        <v>3448</v>
      </c>
      <c r="E967" s="20" t="s">
        <v>25</v>
      </c>
      <c r="F967" s="23" t="s">
        <v>30</v>
      </c>
      <c r="G967" s="21" t="s">
        <v>283</v>
      </c>
      <c r="H967" s="21" t="s">
        <v>24</v>
      </c>
      <c r="I967" s="21" t="s">
        <v>25</v>
      </c>
      <c r="J967" s="21" t="s">
        <v>24</v>
      </c>
      <c r="K967" s="21" t="s">
        <v>24</v>
      </c>
      <c r="L967" s="21" t="s">
        <v>24</v>
      </c>
      <c r="M967" s="0" t="n">
        <v>184</v>
      </c>
      <c r="N967" s="0" t="n">
        <v>5</v>
      </c>
      <c r="O967" s="21" t="s">
        <v>3837</v>
      </c>
      <c r="P967" s="21" t="s">
        <v>4604</v>
      </c>
      <c r="Q967" s="0" t="n">
        <v>1</v>
      </c>
      <c r="R967" s="21" t="s">
        <v>69</v>
      </c>
      <c r="S967" s="0" t="n">
        <v>5</v>
      </c>
      <c r="T967" s="21" t="s">
        <v>3837</v>
      </c>
      <c r="U967" s="22" t="b">
        <f aca="false">TRUE()</f>
        <v>1</v>
      </c>
      <c r="V967" s="0" t="n">
        <v>0.68</v>
      </c>
      <c r="W967" s="0" t="n">
        <v>0.92</v>
      </c>
      <c r="X967" s="0" t="n">
        <v>11.75</v>
      </c>
      <c r="Y967" s="0" t="n">
        <v>315.95</v>
      </c>
      <c r="Z967" s="0" t="n">
        <v>8.75</v>
      </c>
      <c r="AA967" s="0" t="n">
        <v>3.78</v>
      </c>
      <c r="AB967" s="0" t="n">
        <v>2.99</v>
      </c>
      <c r="AC967" s="22" t="b">
        <f aca="false">FALSE()</f>
        <v>0</v>
      </c>
      <c r="AD967" s="0" t="n">
        <v>17.33</v>
      </c>
      <c r="AE967" s="0" t="n">
        <v>5.62</v>
      </c>
      <c r="AF967" s="0" t="n">
        <v>14.18</v>
      </c>
      <c r="AG967" s="22" t="b">
        <f aca="false">TRUE()</f>
        <v>1</v>
      </c>
      <c r="AH967" s="0" t="n">
        <v>1</v>
      </c>
    </row>
    <row r="968" customFormat="false" ht="15" hidden="false" customHeight="false" outlineLevel="0" collapsed="false">
      <c r="A968" s="0" t="s">
        <v>1533</v>
      </c>
      <c r="B968" s="0" t="s">
        <v>3459</v>
      </c>
      <c r="C968" s="0" t="s">
        <v>3447</v>
      </c>
      <c r="D968" s="0" t="s">
        <v>3457</v>
      </c>
      <c r="E968" s="20" t="s">
        <v>25</v>
      </c>
      <c r="F968" s="23" t="s">
        <v>30</v>
      </c>
      <c r="G968" s="21" t="s">
        <v>183</v>
      </c>
      <c r="H968" s="21" t="s">
        <v>24</v>
      </c>
      <c r="I968" s="21" t="s">
        <v>25</v>
      </c>
      <c r="J968" s="21" t="s">
        <v>24</v>
      </c>
      <c r="K968" s="21" t="s">
        <v>25</v>
      </c>
      <c r="L968" s="21" t="s">
        <v>24</v>
      </c>
      <c r="M968" s="0" t="n">
        <v>183</v>
      </c>
      <c r="N968" s="0" t="n">
        <v>4</v>
      </c>
      <c r="O968" s="21" t="s">
        <v>3790</v>
      </c>
      <c r="P968" s="21" t="s">
        <v>4434</v>
      </c>
      <c r="Q968" s="0" t="n">
        <v>1</v>
      </c>
      <c r="R968" s="21" t="s">
        <v>69</v>
      </c>
      <c r="S968" s="0" t="n">
        <v>4</v>
      </c>
      <c r="T968" s="21" t="s">
        <v>3790</v>
      </c>
      <c r="U968" s="22" t="b">
        <f aca="false">TRUE()</f>
        <v>1</v>
      </c>
      <c r="V968" s="0" t="n">
        <v>0.71</v>
      </c>
      <c r="W968" s="0" t="n">
        <v>0.56</v>
      </c>
      <c r="X968" s="0" t="n">
        <v>9.2</v>
      </c>
      <c r="Y968" s="0" t="n">
        <v>324.95</v>
      </c>
      <c r="Z968" s="0" t="n">
        <v>8.58</v>
      </c>
      <c r="AA968" s="0" t="n">
        <v>6.22</v>
      </c>
      <c r="AB968" s="0" t="n">
        <v>2.39</v>
      </c>
      <c r="AC968" s="22" t="b">
        <f aca="false">FALSE()</f>
        <v>0</v>
      </c>
      <c r="AD968" s="0" t="n">
        <v>24.46</v>
      </c>
      <c r="AE968" s="0" t="n">
        <v>12.29</v>
      </c>
      <c r="AF968" s="0" t="n">
        <v>22.77</v>
      </c>
      <c r="AG968" s="22" t="b">
        <f aca="false">TRUE()</f>
        <v>1</v>
      </c>
      <c r="AH968" s="0" t="n">
        <v>1</v>
      </c>
    </row>
    <row r="969" customFormat="false" ht="15" hidden="false" customHeight="false" outlineLevel="0" collapsed="false">
      <c r="A969" s="0" t="s">
        <v>1533</v>
      </c>
      <c r="B969" s="0" t="s">
        <v>3459</v>
      </c>
      <c r="C969" s="0" t="s">
        <v>3447</v>
      </c>
      <c r="D969" s="0" t="s">
        <v>3448</v>
      </c>
      <c r="E969" s="20" t="s">
        <v>25</v>
      </c>
      <c r="F969" s="23" t="s">
        <v>30</v>
      </c>
      <c r="G969" s="21" t="s">
        <v>183</v>
      </c>
      <c r="H969" s="21" t="s">
        <v>24</v>
      </c>
      <c r="I969" s="21" t="s">
        <v>25</v>
      </c>
      <c r="J969" s="21" t="s">
        <v>24</v>
      </c>
      <c r="K969" s="21" t="s">
        <v>25</v>
      </c>
      <c r="L969" s="21" t="s">
        <v>24</v>
      </c>
      <c r="M969" s="0" t="n">
        <v>183</v>
      </c>
      <c r="N969" s="0" t="n">
        <v>4</v>
      </c>
      <c r="O969" s="21" t="s">
        <v>3790</v>
      </c>
      <c r="P969" s="21" t="s">
        <v>4434</v>
      </c>
      <c r="Q969" s="0" t="n">
        <v>1</v>
      </c>
      <c r="R969" s="21" t="s">
        <v>69</v>
      </c>
      <c r="S969" s="0" t="n">
        <v>4</v>
      </c>
      <c r="T969" s="21" t="s">
        <v>3790</v>
      </c>
      <c r="U969" s="22" t="b">
        <f aca="false">TRUE()</f>
        <v>1</v>
      </c>
      <c r="V969" s="0" t="n">
        <v>0.72</v>
      </c>
      <c r="W969" s="0" t="n">
        <v>0.8</v>
      </c>
      <c r="X969" s="0" t="n">
        <v>10.57</v>
      </c>
      <c r="Y969" s="0" t="n">
        <v>317.49</v>
      </c>
      <c r="Z969" s="0" t="n">
        <v>8.92</v>
      </c>
      <c r="AA969" s="0" t="n">
        <v>8.58</v>
      </c>
      <c r="AB969" s="0" t="n">
        <v>2.99</v>
      </c>
      <c r="AC969" s="22" t="b">
        <f aca="false">FALSE()</f>
        <v>0</v>
      </c>
      <c r="AD969" s="0" t="n">
        <v>23.05</v>
      </c>
      <c r="AE969" s="0" t="n">
        <v>9.14</v>
      </c>
      <c r="AF969" s="0" t="n">
        <v>17.95</v>
      </c>
      <c r="AG969" s="22" t="b">
        <f aca="false">TRUE()</f>
        <v>1</v>
      </c>
      <c r="AH969" s="0" t="n">
        <v>1</v>
      </c>
    </row>
    <row r="970" customFormat="false" ht="15" hidden="false" customHeight="false" outlineLevel="0" collapsed="false">
      <c r="A970" s="0" t="s">
        <v>1547</v>
      </c>
      <c r="B970" s="0" t="s">
        <v>134</v>
      </c>
      <c r="C970" s="0" t="s">
        <v>3450</v>
      </c>
      <c r="D970" s="0" t="s">
        <v>3457</v>
      </c>
      <c r="E970" s="20" t="s">
        <v>25</v>
      </c>
      <c r="F970" s="20" t="s">
        <v>29</v>
      </c>
      <c r="G970" s="21" t="s">
        <v>63</v>
      </c>
      <c r="H970" s="21" t="s">
        <v>24</v>
      </c>
      <c r="I970" s="21" t="s">
        <v>24</v>
      </c>
      <c r="J970" s="21" t="s">
        <v>24</v>
      </c>
      <c r="K970" s="21" t="s">
        <v>25</v>
      </c>
      <c r="L970" s="21" t="s">
        <v>24</v>
      </c>
      <c r="M970" s="0" t="n">
        <v>182</v>
      </c>
      <c r="N970" s="0" t="n">
        <v>0</v>
      </c>
      <c r="Q970" s="0" t="n">
        <v>0</v>
      </c>
      <c r="S970" s="0" t="n">
        <v>0</v>
      </c>
      <c r="U970" s="22" t="b">
        <f aca="false">FALSE()</f>
        <v>0</v>
      </c>
      <c r="V970" s="0" t="n">
        <v>0.78</v>
      </c>
      <c r="W970" s="0" t="n">
        <v>0.56</v>
      </c>
      <c r="X970" s="0" t="n">
        <v>9.43</v>
      </c>
      <c r="Y970" s="0" t="n">
        <v>310.1</v>
      </c>
      <c r="Z970" s="0" t="n">
        <v>10.08</v>
      </c>
      <c r="AA970" s="0" t="n">
        <v>5.08</v>
      </c>
      <c r="AB970" s="0" t="n">
        <v>1.05</v>
      </c>
      <c r="AC970" s="22" t="b">
        <f aca="false">FALSE()</f>
        <v>0</v>
      </c>
      <c r="AD970" s="0" t="n">
        <v>14.1</v>
      </c>
      <c r="AE970" s="0" t="n">
        <v>5.88</v>
      </c>
      <c r="AF970" s="0" t="n">
        <v>9.27</v>
      </c>
      <c r="AG970" s="22" t="b">
        <f aca="false">TRUE()</f>
        <v>1</v>
      </c>
      <c r="AH970" s="0" t="n">
        <v>1</v>
      </c>
    </row>
    <row r="971" customFormat="false" ht="15" hidden="false" customHeight="false" outlineLevel="0" collapsed="false">
      <c r="A971" s="0" t="s">
        <v>1547</v>
      </c>
      <c r="B971" s="0" t="s">
        <v>134</v>
      </c>
      <c r="C971" s="0" t="s">
        <v>3450</v>
      </c>
      <c r="D971" s="0" t="s">
        <v>3448</v>
      </c>
      <c r="E971" s="20" t="s">
        <v>25</v>
      </c>
      <c r="F971" s="20" t="s">
        <v>29</v>
      </c>
      <c r="G971" s="21" t="s">
        <v>62</v>
      </c>
      <c r="H971" s="21" t="s">
        <v>24</v>
      </c>
      <c r="I971" s="21" t="s">
        <v>24</v>
      </c>
      <c r="J971" s="21" t="s">
        <v>24</v>
      </c>
      <c r="K971" s="21" t="s">
        <v>25</v>
      </c>
      <c r="L971" s="21" t="s">
        <v>24</v>
      </c>
      <c r="M971" s="0" t="n">
        <v>184</v>
      </c>
      <c r="N971" s="0" t="n">
        <v>0</v>
      </c>
      <c r="Q971" s="0" t="n">
        <v>0</v>
      </c>
      <c r="S971" s="0" t="n">
        <v>0</v>
      </c>
      <c r="U971" s="22" t="b">
        <f aca="false">FALSE()</f>
        <v>0</v>
      </c>
      <c r="V971" s="0" t="n">
        <v>0.78</v>
      </c>
      <c r="W971" s="0" t="n">
        <v>0.76</v>
      </c>
      <c r="X971" s="0" t="n">
        <v>10.75</v>
      </c>
      <c r="Y971" s="0" t="n">
        <v>320.92</v>
      </c>
      <c r="Z971" s="0" t="n">
        <v>10.5</v>
      </c>
      <c r="AA971" s="0" t="n">
        <v>0.94</v>
      </c>
      <c r="AB971" s="0" t="n">
        <v>6.14</v>
      </c>
      <c r="AC971" s="22" t="b">
        <f aca="false">FALSE()</f>
        <v>0</v>
      </c>
      <c r="AD971" s="0" t="n">
        <v>6.71</v>
      </c>
      <c r="AE971" s="0" t="n">
        <v>2.48</v>
      </c>
      <c r="AF971" s="0" t="n">
        <v>6.32</v>
      </c>
      <c r="AG971" s="22" t="b">
        <f aca="false">FALSE()</f>
        <v>0</v>
      </c>
      <c r="AH971" s="0" t="n">
        <v>1</v>
      </c>
    </row>
    <row r="972" customFormat="false" ht="15" hidden="false" customHeight="false" outlineLevel="0" collapsed="false">
      <c r="A972" s="0" t="s">
        <v>1547</v>
      </c>
      <c r="B972" s="0" t="s">
        <v>134</v>
      </c>
      <c r="C972" s="0" t="s">
        <v>3447</v>
      </c>
      <c r="D972" s="0" t="s">
        <v>3457</v>
      </c>
      <c r="E972" s="20" t="s">
        <v>25</v>
      </c>
      <c r="F972" s="23" t="s">
        <v>30</v>
      </c>
      <c r="G972" s="21" t="s">
        <v>2133</v>
      </c>
      <c r="H972" s="21" t="s">
        <v>24</v>
      </c>
      <c r="I972" s="21" t="s">
        <v>24</v>
      </c>
      <c r="J972" s="21" t="s">
        <v>24</v>
      </c>
      <c r="K972" s="21" t="s">
        <v>25</v>
      </c>
      <c r="L972" s="21" t="s">
        <v>24</v>
      </c>
      <c r="M972" s="0" t="n">
        <v>184</v>
      </c>
      <c r="N972" s="0" t="n">
        <v>3</v>
      </c>
      <c r="O972" s="21" t="s">
        <v>3552</v>
      </c>
      <c r="P972" s="21" t="s">
        <v>4605</v>
      </c>
      <c r="Q972" s="0" t="n">
        <v>0</v>
      </c>
      <c r="S972" s="0" t="n">
        <v>3</v>
      </c>
      <c r="T972" s="21" t="s">
        <v>3552</v>
      </c>
      <c r="U972" s="22" t="b">
        <f aca="false">TRUE()</f>
        <v>1</v>
      </c>
      <c r="V972" s="0" t="n">
        <v>0.8</v>
      </c>
      <c r="W972" s="0" t="n">
        <v>0.72</v>
      </c>
      <c r="X972" s="0" t="n">
        <v>9.38</v>
      </c>
      <c r="Y972" s="0" t="n">
        <v>315.95</v>
      </c>
      <c r="Z972" s="0" t="n">
        <v>9</v>
      </c>
      <c r="AA972" s="0" t="n">
        <v>2.17</v>
      </c>
      <c r="AB972" s="0" t="n">
        <v>1.05</v>
      </c>
      <c r="AC972" s="22" t="b">
        <f aca="false">FALSE()</f>
        <v>0</v>
      </c>
      <c r="AD972" s="0" t="n">
        <v>13.54</v>
      </c>
      <c r="AE972" s="0" t="n">
        <v>5.55</v>
      </c>
      <c r="AF972" s="0" t="n">
        <v>11.27</v>
      </c>
      <c r="AG972" s="22" t="b">
        <f aca="false">TRUE()</f>
        <v>1</v>
      </c>
      <c r="AH972" s="0" t="n">
        <v>1</v>
      </c>
    </row>
    <row r="973" customFormat="false" ht="15" hidden="false" customHeight="false" outlineLevel="0" collapsed="false">
      <c r="A973" s="0" t="s">
        <v>1547</v>
      </c>
      <c r="B973" s="0" t="s">
        <v>134</v>
      </c>
      <c r="C973" s="0" t="s">
        <v>3447</v>
      </c>
      <c r="D973" s="0" t="s">
        <v>3448</v>
      </c>
      <c r="E973" s="19" t="s">
        <v>26</v>
      </c>
      <c r="F973" s="19" t="s">
        <v>32</v>
      </c>
      <c r="G973" s="21" t="s">
        <v>529</v>
      </c>
      <c r="H973" s="21" t="s">
        <v>24</v>
      </c>
      <c r="I973" s="21" t="s">
        <v>26</v>
      </c>
      <c r="J973" s="21" t="s">
        <v>24</v>
      </c>
      <c r="K973" s="21" t="s">
        <v>24</v>
      </c>
      <c r="L973" s="21" t="s">
        <v>24</v>
      </c>
      <c r="M973" s="0" t="n">
        <v>181</v>
      </c>
      <c r="N973" s="0" t="n">
        <v>8</v>
      </c>
      <c r="O973" s="21" t="s">
        <v>4040</v>
      </c>
      <c r="P973" s="21" t="s">
        <v>4606</v>
      </c>
      <c r="Q973" s="0" t="n">
        <v>1</v>
      </c>
      <c r="R973" s="21" t="s">
        <v>69</v>
      </c>
      <c r="S973" s="0" t="n">
        <v>8</v>
      </c>
      <c r="T973" s="21" t="s">
        <v>4040</v>
      </c>
      <c r="U973" s="22" t="b">
        <f aca="false">FALSE()</f>
        <v>0</v>
      </c>
      <c r="V973" s="0" t="n">
        <v>0.8</v>
      </c>
      <c r="W973" s="0" t="n">
        <v>0</v>
      </c>
      <c r="X973" s="0" t="n">
        <v>9.88</v>
      </c>
      <c r="Y973" s="0" t="n">
        <v>682.7</v>
      </c>
      <c r="Z973" s="0" t="n">
        <v>9.92</v>
      </c>
      <c r="AA973" s="0" t="n">
        <v>7.02</v>
      </c>
      <c r="AB973" s="0" t="n">
        <v>6.14</v>
      </c>
      <c r="AC973" s="22" t="b">
        <f aca="false">FALSE()</f>
        <v>0</v>
      </c>
      <c r="AD973" s="0" t="n">
        <v>18.2</v>
      </c>
      <c r="AE973" s="0" t="n">
        <v>10.59</v>
      </c>
      <c r="AF973" s="0" t="n">
        <v>17.03</v>
      </c>
      <c r="AG973" s="22" t="b">
        <f aca="false">TRUE()</f>
        <v>1</v>
      </c>
      <c r="AH973" s="0" t="n">
        <v>1</v>
      </c>
    </row>
    <row r="974" customFormat="false" ht="15" hidden="false" customHeight="false" outlineLevel="0" collapsed="false">
      <c r="A974" s="0" t="s">
        <v>1553</v>
      </c>
      <c r="B974" s="0" t="s">
        <v>134</v>
      </c>
      <c r="C974" s="0" t="s">
        <v>3450</v>
      </c>
      <c r="D974" s="0" t="s">
        <v>3457</v>
      </c>
      <c r="E974" s="20" t="s">
        <v>25</v>
      </c>
      <c r="F974" s="20" t="s">
        <v>29</v>
      </c>
      <c r="G974" s="21" t="s">
        <v>63</v>
      </c>
      <c r="H974" s="21" t="s">
        <v>24</v>
      </c>
      <c r="I974" s="21" t="s">
        <v>24</v>
      </c>
      <c r="J974" s="21" t="s">
        <v>24</v>
      </c>
      <c r="K974" s="21" t="s">
        <v>25</v>
      </c>
      <c r="L974" s="21" t="s">
        <v>24</v>
      </c>
      <c r="M974" s="0" t="n">
        <v>184</v>
      </c>
      <c r="N974" s="0" t="n">
        <v>0</v>
      </c>
      <c r="Q974" s="0" t="n">
        <v>0</v>
      </c>
      <c r="S974" s="0" t="n">
        <v>0</v>
      </c>
      <c r="U974" s="22" t="b">
        <f aca="false">FALSE()</f>
        <v>0</v>
      </c>
      <c r="V974" s="0" t="n">
        <v>0.73</v>
      </c>
      <c r="W974" s="0" t="n">
        <v>0.12</v>
      </c>
      <c r="X974" s="0" t="n">
        <v>9.29</v>
      </c>
      <c r="Y974" s="0" t="n">
        <v>606.76</v>
      </c>
      <c r="Z974" s="0" t="n">
        <v>11</v>
      </c>
      <c r="AA974" s="0" t="n">
        <v>5.27</v>
      </c>
      <c r="AB974" s="0" t="n">
        <v>0.61</v>
      </c>
      <c r="AC974" s="22" t="b">
        <f aca="false">FALSE()</f>
        <v>0</v>
      </c>
      <c r="AD974" s="0" t="n">
        <v>12.8</v>
      </c>
      <c r="AE974" s="0" t="n">
        <v>0.2</v>
      </c>
      <c r="AF974" s="0" t="n">
        <v>12.63</v>
      </c>
      <c r="AG974" s="22" t="b">
        <f aca="false">TRUE()</f>
        <v>1</v>
      </c>
      <c r="AH974" s="0" t="n">
        <v>1</v>
      </c>
    </row>
    <row r="975" customFormat="false" ht="15" hidden="false" customHeight="false" outlineLevel="0" collapsed="false">
      <c r="A975" s="0" t="s">
        <v>1553</v>
      </c>
      <c r="B975" s="0" t="s">
        <v>134</v>
      </c>
      <c r="C975" s="0" t="s">
        <v>3450</v>
      </c>
      <c r="D975" s="0" t="s">
        <v>3448</v>
      </c>
      <c r="E975" s="18" t="s">
        <v>24</v>
      </c>
      <c r="F975" s="18" t="s">
        <v>28</v>
      </c>
      <c r="H975" s="21" t="s">
        <v>24</v>
      </c>
      <c r="I975" s="21" t="s">
        <v>24</v>
      </c>
      <c r="J975" s="21" t="s">
        <v>24</v>
      </c>
      <c r="K975" s="21" t="s">
        <v>24</v>
      </c>
      <c r="L975" s="21" t="s">
        <v>24</v>
      </c>
      <c r="M975" s="0" t="n">
        <v>187</v>
      </c>
      <c r="N975" s="0" t="n">
        <v>0</v>
      </c>
      <c r="Q975" s="0" t="n">
        <v>0</v>
      </c>
      <c r="S975" s="0" t="n">
        <v>0</v>
      </c>
      <c r="U975" s="22" t="b">
        <f aca="false">FALSE()</f>
        <v>0</v>
      </c>
      <c r="V975" s="0" t="n">
        <v>0.72</v>
      </c>
      <c r="W975" s="0" t="n">
        <v>0.2</v>
      </c>
      <c r="X975" s="0" t="n">
        <v>8.74</v>
      </c>
      <c r="Y975" s="0" t="n">
        <v>507.33</v>
      </c>
      <c r="Z975" s="0" t="n">
        <v>10.5</v>
      </c>
      <c r="AA975" s="0" t="n">
        <v>11.29</v>
      </c>
      <c r="AB975" s="0" t="n">
        <v>5.07</v>
      </c>
      <c r="AC975" s="22" t="b">
        <f aca="false">FALSE()</f>
        <v>0</v>
      </c>
      <c r="AD975" s="0" t="n">
        <v>14.02</v>
      </c>
      <c r="AE975" s="0" t="n">
        <v>1.09</v>
      </c>
      <c r="AF975" s="0" t="n">
        <v>10.81</v>
      </c>
      <c r="AG975" s="22" t="b">
        <f aca="false">TRUE()</f>
        <v>1</v>
      </c>
      <c r="AH975" s="0" t="n">
        <v>1</v>
      </c>
    </row>
    <row r="976" customFormat="false" ht="15" hidden="false" customHeight="false" outlineLevel="0" collapsed="false">
      <c r="A976" s="0" t="s">
        <v>1553</v>
      </c>
      <c r="B976" s="0" t="s">
        <v>134</v>
      </c>
      <c r="C976" s="0" t="s">
        <v>3447</v>
      </c>
      <c r="D976" s="0" t="s">
        <v>3457</v>
      </c>
      <c r="E976" s="20" t="s">
        <v>25</v>
      </c>
      <c r="F976" s="20" t="s">
        <v>29</v>
      </c>
      <c r="G976" s="21" t="s">
        <v>63</v>
      </c>
      <c r="H976" s="21" t="s">
        <v>24</v>
      </c>
      <c r="I976" s="21" t="s">
        <v>24</v>
      </c>
      <c r="J976" s="21" t="s">
        <v>24</v>
      </c>
      <c r="K976" s="21" t="s">
        <v>25</v>
      </c>
      <c r="L976" s="21" t="s">
        <v>24</v>
      </c>
      <c r="M976" s="0" t="n">
        <v>186</v>
      </c>
      <c r="N976" s="0" t="n">
        <v>0</v>
      </c>
      <c r="Q976" s="0" t="n">
        <v>0</v>
      </c>
      <c r="S976" s="0" t="n">
        <v>0</v>
      </c>
      <c r="U976" s="22" t="b">
        <f aca="false">FALSE()</f>
        <v>0</v>
      </c>
      <c r="V976" s="0" t="n">
        <v>0.73</v>
      </c>
      <c r="W976" s="0" t="n">
        <v>0.8</v>
      </c>
      <c r="X976" s="0" t="n">
        <v>7.92</v>
      </c>
      <c r="Y976" s="0" t="n">
        <v>322.12</v>
      </c>
      <c r="Z976" s="0" t="n">
        <v>8.5</v>
      </c>
      <c r="AA976" s="0" t="n">
        <v>-1.31</v>
      </c>
      <c r="AB976" s="0" t="n">
        <v>0.61</v>
      </c>
      <c r="AC976" s="22" t="b">
        <f aca="false">FALSE()</f>
        <v>0</v>
      </c>
      <c r="AD976" s="0" t="n">
        <v>10.36</v>
      </c>
      <c r="AE976" s="0" t="n">
        <v>0.68</v>
      </c>
      <c r="AF976" s="0" t="n">
        <v>10.74</v>
      </c>
      <c r="AG976" s="22" t="b">
        <f aca="false">TRUE()</f>
        <v>1</v>
      </c>
      <c r="AH976" s="0" t="n">
        <v>1</v>
      </c>
    </row>
    <row r="977" customFormat="false" ht="15" hidden="false" customHeight="false" outlineLevel="0" collapsed="false">
      <c r="A977" s="0" t="s">
        <v>1553</v>
      </c>
      <c r="B977" s="0" t="s">
        <v>134</v>
      </c>
      <c r="C977" s="0" t="s">
        <v>3447</v>
      </c>
      <c r="D977" s="0" t="s">
        <v>3448</v>
      </c>
      <c r="E977" s="18" t="s">
        <v>24</v>
      </c>
      <c r="F977" s="18" t="s">
        <v>28</v>
      </c>
      <c r="H977" s="21" t="s">
        <v>24</v>
      </c>
      <c r="I977" s="21" t="s">
        <v>24</v>
      </c>
      <c r="J977" s="21" t="s">
        <v>24</v>
      </c>
      <c r="K977" s="21" t="s">
        <v>24</v>
      </c>
      <c r="L977" s="21" t="s">
        <v>24</v>
      </c>
      <c r="M977" s="0" t="n">
        <v>191</v>
      </c>
      <c r="N977" s="0" t="n">
        <v>0</v>
      </c>
      <c r="Q977" s="0" t="n">
        <v>0</v>
      </c>
      <c r="S977" s="0" t="n">
        <v>0</v>
      </c>
      <c r="U977" s="22" t="b">
        <f aca="false">FALSE()</f>
        <v>0</v>
      </c>
      <c r="V977" s="0" t="n">
        <v>0.75</v>
      </c>
      <c r="W977" s="0" t="n">
        <v>0.76</v>
      </c>
      <c r="X977" s="0" t="n">
        <v>7.52</v>
      </c>
      <c r="Y977" s="0" t="n">
        <v>330.95</v>
      </c>
      <c r="Z977" s="0" t="n">
        <v>10.33</v>
      </c>
      <c r="AA977" s="0" t="n">
        <v>4.7</v>
      </c>
      <c r="AB977" s="0" t="n">
        <v>5.07</v>
      </c>
      <c r="AC977" s="22" t="b">
        <f aca="false">FALSE()</f>
        <v>0</v>
      </c>
      <c r="AD977" s="0" t="n">
        <v>12.65</v>
      </c>
      <c r="AE977" s="0" t="n">
        <v>0.44</v>
      </c>
      <c r="AF977" s="0" t="n">
        <v>10.95</v>
      </c>
      <c r="AG977" s="22" t="b">
        <f aca="false">TRUE()</f>
        <v>1</v>
      </c>
      <c r="AH977" s="0" t="n">
        <v>1</v>
      </c>
    </row>
    <row r="978" customFormat="false" ht="15" hidden="false" customHeight="false" outlineLevel="0" collapsed="false">
      <c r="A978" s="0" t="s">
        <v>1553</v>
      </c>
      <c r="B978" s="0" t="s">
        <v>3459</v>
      </c>
      <c r="C978" s="0" t="s">
        <v>3450</v>
      </c>
      <c r="D978" s="0" t="s">
        <v>3457</v>
      </c>
      <c r="E978" s="20" t="s">
        <v>25</v>
      </c>
      <c r="F978" s="20" t="s">
        <v>29</v>
      </c>
      <c r="G978" s="21" t="s">
        <v>61</v>
      </c>
      <c r="H978" s="21" t="s">
        <v>24</v>
      </c>
      <c r="I978" s="21" t="s">
        <v>24</v>
      </c>
      <c r="J978" s="21" t="s">
        <v>24</v>
      </c>
      <c r="K978" s="21" t="s">
        <v>25</v>
      </c>
      <c r="L978" s="21" t="s">
        <v>24</v>
      </c>
      <c r="M978" s="0" t="n">
        <v>182</v>
      </c>
      <c r="N978" s="0" t="n">
        <v>0</v>
      </c>
      <c r="Q978" s="0" t="n">
        <v>0</v>
      </c>
      <c r="S978" s="0" t="n">
        <v>0</v>
      </c>
      <c r="U978" s="22" t="b">
        <f aca="false">FALSE()</f>
        <v>0</v>
      </c>
      <c r="V978" s="0" t="n">
        <v>0.76</v>
      </c>
      <c r="W978" s="0" t="n">
        <v>0</v>
      </c>
      <c r="X978" s="0" t="n">
        <v>10.1</v>
      </c>
      <c r="Y978" s="0" t="n">
        <v>629.66</v>
      </c>
      <c r="Z978" s="0" t="n">
        <v>10</v>
      </c>
      <c r="AA978" s="0" t="n">
        <v>9.59</v>
      </c>
      <c r="AB978" s="0" t="n">
        <v>2.94</v>
      </c>
      <c r="AC978" s="22" t="b">
        <f aca="false">FALSE()</f>
        <v>0</v>
      </c>
      <c r="AD978" s="0" t="n">
        <v>20.47</v>
      </c>
      <c r="AE978" s="0" t="n">
        <v>6.75</v>
      </c>
      <c r="AF978" s="0" t="n">
        <v>17.37</v>
      </c>
      <c r="AG978" s="22" t="b">
        <f aca="false">TRUE()</f>
        <v>1</v>
      </c>
      <c r="AH978" s="0" t="n">
        <v>1</v>
      </c>
    </row>
    <row r="979" customFormat="false" ht="15" hidden="false" customHeight="false" outlineLevel="0" collapsed="false">
      <c r="A979" s="0" t="s">
        <v>1553</v>
      </c>
      <c r="B979" s="0" t="s">
        <v>3459</v>
      </c>
      <c r="C979" s="0" t="s">
        <v>3450</v>
      </c>
      <c r="D979" s="0" t="s">
        <v>3448</v>
      </c>
      <c r="E979" s="20" t="s">
        <v>25</v>
      </c>
      <c r="F979" s="20" t="s">
        <v>29</v>
      </c>
      <c r="G979" s="21" t="s">
        <v>61</v>
      </c>
      <c r="H979" s="21" t="s">
        <v>24</v>
      </c>
      <c r="I979" s="21" t="s">
        <v>24</v>
      </c>
      <c r="J979" s="21" t="s">
        <v>24</v>
      </c>
      <c r="K979" s="21" t="s">
        <v>25</v>
      </c>
      <c r="L979" s="21" t="s">
        <v>24</v>
      </c>
      <c r="M979" s="0" t="n">
        <v>185</v>
      </c>
      <c r="N979" s="0" t="n">
        <v>0</v>
      </c>
      <c r="Q979" s="0" t="n">
        <v>0</v>
      </c>
      <c r="S979" s="0" t="n">
        <v>0</v>
      </c>
      <c r="U979" s="22" t="b">
        <f aca="false">FALSE()</f>
        <v>0</v>
      </c>
      <c r="V979" s="0" t="n">
        <v>0.78</v>
      </c>
      <c r="W979" s="0" t="n">
        <v>0.36</v>
      </c>
      <c r="X979" s="0" t="n">
        <v>9.58</v>
      </c>
      <c r="Y979" s="0" t="n">
        <v>381.6</v>
      </c>
      <c r="Z979" s="0" t="n">
        <v>10</v>
      </c>
      <c r="AA979" s="0" t="n">
        <v>11.54</v>
      </c>
      <c r="AB979" s="0" t="n">
        <v>3.71</v>
      </c>
      <c r="AC979" s="22" t="b">
        <f aca="false">FALSE()</f>
        <v>0</v>
      </c>
      <c r="AD979" s="0" t="n">
        <v>21.48</v>
      </c>
      <c r="AE979" s="0" t="n">
        <v>6.93</v>
      </c>
      <c r="AF979" s="0" t="n">
        <v>17.15</v>
      </c>
      <c r="AG979" s="22" t="b">
        <f aca="false">TRUE()</f>
        <v>1</v>
      </c>
      <c r="AH979" s="0" t="n">
        <v>1</v>
      </c>
    </row>
    <row r="980" customFormat="false" ht="15" hidden="false" customHeight="false" outlineLevel="0" collapsed="false">
      <c r="A980" s="0" t="s">
        <v>1553</v>
      </c>
      <c r="B980" s="0" t="s">
        <v>3459</v>
      </c>
      <c r="C980" s="0" t="s">
        <v>3447</v>
      </c>
      <c r="D980" s="0" t="s">
        <v>3457</v>
      </c>
      <c r="E980" s="19" t="s">
        <v>26</v>
      </c>
      <c r="F980" s="19" t="s">
        <v>32</v>
      </c>
      <c r="G980" s="21" t="s">
        <v>1926</v>
      </c>
      <c r="H980" s="21" t="s">
        <v>24</v>
      </c>
      <c r="I980" s="21" t="s">
        <v>26</v>
      </c>
      <c r="J980" s="21" t="s">
        <v>24</v>
      </c>
      <c r="K980" s="21" t="s">
        <v>25</v>
      </c>
      <c r="L980" s="21" t="s">
        <v>24</v>
      </c>
      <c r="M980" s="0" t="n">
        <v>185</v>
      </c>
      <c r="N980" s="0" t="n">
        <v>13</v>
      </c>
      <c r="O980" s="21" t="s">
        <v>4057</v>
      </c>
      <c r="P980" s="21" t="s">
        <v>4379</v>
      </c>
      <c r="Q980" s="0" t="n">
        <v>1</v>
      </c>
      <c r="R980" s="21" t="s">
        <v>69</v>
      </c>
      <c r="S980" s="0" t="n">
        <v>13</v>
      </c>
      <c r="T980" s="21" t="s">
        <v>4057</v>
      </c>
      <c r="U980" s="22" t="b">
        <f aca="false">FALSE()</f>
        <v>0</v>
      </c>
      <c r="V980" s="0" t="n">
        <v>0.78</v>
      </c>
      <c r="W980" s="0" t="n">
        <v>0.24</v>
      </c>
      <c r="X980" s="0" t="n">
        <v>11.6</v>
      </c>
      <c r="Y980" s="0" t="n">
        <v>462.18</v>
      </c>
      <c r="Z980" s="0" t="n">
        <v>10.75</v>
      </c>
      <c r="AA980" s="0" t="n">
        <v>4.04</v>
      </c>
      <c r="AB980" s="0" t="n">
        <v>2.94</v>
      </c>
      <c r="AC980" s="22" t="b">
        <f aca="false">FALSE()</f>
        <v>0</v>
      </c>
      <c r="AD980" s="0" t="n">
        <v>20.06</v>
      </c>
      <c r="AE980" s="0" t="n">
        <v>7.37</v>
      </c>
      <c r="AF980" s="0" t="n">
        <v>18</v>
      </c>
      <c r="AG980" s="22" t="b">
        <f aca="false">TRUE()</f>
        <v>1</v>
      </c>
      <c r="AH980" s="0" t="n">
        <v>1</v>
      </c>
    </row>
    <row r="981" customFormat="false" ht="15" hidden="false" customHeight="false" outlineLevel="0" collapsed="false">
      <c r="A981" s="0" t="s">
        <v>1553</v>
      </c>
      <c r="B981" s="0" t="s">
        <v>3459</v>
      </c>
      <c r="C981" s="0" t="s">
        <v>3447</v>
      </c>
      <c r="D981" s="0" t="s">
        <v>3448</v>
      </c>
      <c r="E981" s="19" t="s">
        <v>26</v>
      </c>
      <c r="F981" s="19" t="s">
        <v>32</v>
      </c>
      <c r="G981" s="21" t="s">
        <v>529</v>
      </c>
      <c r="H981" s="21" t="s">
        <v>24</v>
      </c>
      <c r="I981" s="21" t="s">
        <v>26</v>
      </c>
      <c r="J981" s="21" t="s">
        <v>24</v>
      </c>
      <c r="K981" s="21" t="s">
        <v>24</v>
      </c>
      <c r="L981" s="21" t="s">
        <v>24</v>
      </c>
      <c r="M981" s="0" t="n">
        <v>183</v>
      </c>
      <c r="N981" s="0" t="n">
        <v>11</v>
      </c>
      <c r="O981" s="21" t="s">
        <v>4034</v>
      </c>
      <c r="P981" s="21" t="s">
        <v>4252</v>
      </c>
      <c r="Q981" s="0" t="n">
        <v>1</v>
      </c>
      <c r="R981" s="21" t="s">
        <v>69</v>
      </c>
      <c r="S981" s="0" t="n">
        <v>11</v>
      </c>
      <c r="T981" s="21" t="s">
        <v>4034</v>
      </c>
      <c r="U981" s="22" t="b">
        <f aca="false">FALSE()</f>
        <v>0</v>
      </c>
      <c r="V981" s="0" t="n">
        <v>0.81</v>
      </c>
      <c r="W981" s="0" t="n">
        <v>0.96</v>
      </c>
      <c r="X981" s="0" t="n">
        <v>9.95</v>
      </c>
      <c r="Y981" s="0" t="n">
        <v>315.26</v>
      </c>
      <c r="Z981" s="0" t="n">
        <v>11</v>
      </c>
      <c r="AA981" s="0" t="n">
        <v>3.88</v>
      </c>
      <c r="AB981" s="0" t="n">
        <v>3.71</v>
      </c>
      <c r="AC981" s="22" t="b">
        <f aca="false">FALSE()</f>
        <v>0</v>
      </c>
      <c r="AD981" s="0" t="n">
        <v>16.54</v>
      </c>
      <c r="AE981" s="0" t="n">
        <v>3</v>
      </c>
      <c r="AF981" s="0" t="n">
        <v>16.78</v>
      </c>
      <c r="AG981" s="22" t="b">
        <f aca="false">TRUE()</f>
        <v>1</v>
      </c>
      <c r="AH981" s="0" t="n">
        <v>1</v>
      </c>
    </row>
    <row r="982" customFormat="false" ht="15" hidden="false" customHeight="false" outlineLevel="0" collapsed="false">
      <c r="A982" s="0" t="s">
        <v>1559</v>
      </c>
      <c r="B982" s="0" t="s">
        <v>134</v>
      </c>
      <c r="C982" s="0" t="s">
        <v>3450</v>
      </c>
      <c r="D982" s="0" t="s">
        <v>3457</v>
      </c>
      <c r="E982" s="20" t="s">
        <v>25</v>
      </c>
      <c r="F982" s="23" t="s">
        <v>30</v>
      </c>
      <c r="G982" s="21" t="s">
        <v>294</v>
      </c>
      <c r="H982" s="21" t="s">
        <v>24</v>
      </c>
      <c r="I982" s="21" t="s">
        <v>25</v>
      </c>
      <c r="J982" s="21" t="s">
        <v>24</v>
      </c>
      <c r="K982" s="21" t="s">
        <v>25</v>
      </c>
      <c r="L982" s="21" t="s">
        <v>24</v>
      </c>
      <c r="M982" s="0" t="n">
        <v>185</v>
      </c>
      <c r="N982" s="0" t="n">
        <v>3</v>
      </c>
      <c r="O982" s="21" t="s">
        <v>3782</v>
      </c>
      <c r="P982" s="21" t="s">
        <v>4607</v>
      </c>
      <c r="Q982" s="0" t="n">
        <v>1</v>
      </c>
      <c r="R982" s="21" t="s">
        <v>70</v>
      </c>
      <c r="S982" s="0" t="n">
        <v>3</v>
      </c>
      <c r="T982" s="21" t="s">
        <v>3782</v>
      </c>
      <c r="U982" s="22" t="b">
        <f aca="false">TRUE()</f>
        <v>1</v>
      </c>
      <c r="V982" s="0" t="n">
        <v>0.65</v>
      </c>
      <c r="W982" s="0" t="n">
        <v>0.36</v>
      </c>
      <c r="X982" s="0" t="n">
        <v>6.9</v>
      </c>
      <c r="Y982" s="0" t="n">
        <v>382.16</v>
      </c>
      <c r="Z982" s="0" t="n">
        <v>8.17</v>
      </c>
      <c r="AA982" s="0" t="n">
        <v>-0.29</v>
      </c>
      <c r="AB982" s="0" t="n">
        <v>0.39</v>
      </c>
      <c r="AC982" s="22" t="b">
        <f aca="false">TRUE()</f>
        <v>1</v>
      </c>
      <c r="AD982" s="0" t="n">
        <v>29.42</v>
      </c>
      <c r="AE982" s="0" t="n">
        <v>12.86</v>
      </c>
      <c r="AF982" s="0" t="n">
        <v>25.08</v>
      </c>
      <c r="AG982" s="22" t="b">
        <f aca="false">TRUE()</f>
        <v>1</v>
      </c>
      <c r="AH982" s="0" t="n">
        <v>1</v>
      </c>
    </row>
    <row r="983" customFormat="false" ht="15" hidden="false" customHeight="false" outlineLevel="0" collapsed="false">
      <c r="A983" s="0" t="s">
        <v>1559</v>
      </c>
      <c r="B983" s="0" t="s">
        <v>134</v>
      </c>
      <c r="C983" s="0" t="s">
        <v>3450</v>
      </c>
      <c r="D983" s="0" t="s">
        <v>3448</v>
      </c>
      <c r="E983" s="19" t="s">
        <v>26</v>
      </c>
      <c r="F983" s="19" t="s">
        <v>32</v>
      </c>
      <c r="G983" s="21" t="s">
        <v>1337</v>
      </c>
      <c r="H983" s="21" t="s">
        <v>25</v>
      </c>
      <c r="I983" s="21" t="s">
        <v>26</v>
      </c>
      <c r="J983" s="21" t="s">
        <v>24</v>
      </c>
      <c r="K983" s="21" t="s">
        <v>25</v>
      </c>
      <c r="L983" s="21" t="s">
        <v>24</v>
      </c>
      <c r="M983" s="0" t="n">
        <v>285</v>
      </c>
      <c r="N983" s="0" t="n">
        <v>10</v>
      </c>
      <c r="O983" s="21" t="s">
        <v>4191</v>
      </c>
      <c r="P983" s="21" t="s">
        <v>4608</v>
      </c>
      <c r="Q983" s="0" t="n">
        <v>1</v>
      </c>
      <c r="R983" s="21" t="s">
        <v>69</v>
      </c>
      <c r="S983" s="0" t="n">
        <v>10</v>
      </c>
      <c r="T983" s="21" t="s">
        <v>4191</v>
      </c>
      <c r="U983" s="22" t="b">
        <f aca="false">FALSE()</f>
        <v>0</v>
      </c>
      <c r="V983" s="0" t="n">
        <v>0.61</v>
      </c>
      <c r="W983" s="0" t="n">
        <v>0.88</v>
      </c>
      <c r="X983" s="0" t="n">
        <v>7.56</v>
      </c>
      <c r="Y983" s="0" t="n">
        <v>492.37</v>
      </c>
      <c r="Z983" s="0" t="n">
        <v>10.08</v>
      </c>
      <c r="AA983" s="0" t="n">
        <v>-0.18</v>
      </c>
      <c r="AB983" s="0" t="n">
        <v>1.07</v>
      </c>
      <c r="AC983" s="22" t="b">
        <f aca="false">TRUE()</f>
        <v>1</v>
      </c>
      <c r="AD983" s="0" t="n">
        <v>19.04</v>
      </c>
      <c r="AE983" s="0" t="n">
        <v>7.63</v>
      </c>
      <c r="AF983" s="0" t="n">
        <v>11.46</v>
      </c>
      <c r="AG983" s="22" t="b">
        <f aca="false">TRUE()</f>
        <v>1</v>
      </c>
      <c r="AH983" s="0" t="n">
        <v>1</v>
      </c>
    </row>
    <row r="984" customFormat="false" ht="15" hidden="false" customHeight="false" outlineLevel="0" collapsed="false">
      <c r="A984" s="0" t="s">
        <v>1559</v>
      </c>
      <c r="B984" s="0" t="s">
        <v>134</v>
      </c>
      <c r="C984" s="0" t="s">
        <v>3447</v>
      </c>
      <c r="D984" s="0" t="s">
        <v>3457</v>
      </c>
      <c r="E984" s="20" t="s">
        <v>25</v>
      </c>
      <c r="F984" s="23" t="s">
        <v>30</v>
      </c>
      <c r="G984" s="21" t="s">
        <v>3487</v>
      </c>
      <c r="H984" s="21" t="s">
        <v>24</v>
      </c>
      <c r="I984" s="21" t="s">
        <v>24</v>
      </c>
      <c r="J984" s="21" t="s">
        <v>24</v>
      </c>
      <c r="K984" s="21" t="s">
        <v>25</v>
      </c>
      <c r="L984" s="21" t="s">
        <v>24</v>
      </c>
      <c r="M984" s="0" t="n">
        <v>186</v>
      </c>
      <c r="N984" s="0" t="n">
        <v>3</v>
      </c>
      <c r="O984" s="21" t="s">
        <v>3541</v>
      </c>
      <c r="P984" s="21" t="s">
        <v>4368</v>
      </c>
      <c r="Q984" s="0" t="n">
        <v>0</v>
      </c>
      <c r="S984" s="0" t="n">
        <v>3</v>
      </c>
      <c r="T984" s="21" t="s">
        <v>3541</v>
      </c>
      <c r="U984" s="22" t="b">
        <f aca="false">TRUE()</f>
        <v>1</v>
      </c>
      <c r="V984" s="0" t="n">
        <v>0.86</v>
      </c>
      <c r="W984" s="0" t="n">
        <v>0.36</v>
      </c>
      <c r="X984" s="0" t="n">
        <v>8.42</v>
      </c>
      <c r="Y984" s="0" t="n">
        <v>381.47</v>
      </c>
      <c r="Z984" s="0" t="n">
        <v>8.08</v>
      </c>
      <c r="AA984" s="0" t="n">
        <v>-1.96</v>
      </c>
      <c r="AB984" s="0" t="n">
        <v>0.39</v>
      </c>
      <c r="AC984" s="22" t="b">
        <f aca="false">FALSE()</f>
        <v>0</v>
      </c>
      <c r="AD984" s="0" t="n">
        <v>25.47</v>
      </c>
      <c r="AE984" s="0" t="n">
        <v>9.63</v>
      </c>
      <c r="AF984" s="0" t="n">
        <v>22.67</v>
      </c>
      <c r="AG984" s="22" t="b">
        <f aca="false">TRUE()</f>
        <v>1</v>
      </c>
      <c r="AH984" s="0" t="n">
        <v>1</v>
      </c>
    </row>
    <row r="985" customFormat="false" ht="15" hidden="false" customHeight="false" outlineLevel="0" collapsed="false">
      <c r="A985" s="0" t="s">
        <v>1559</v>
      </c>
      <c r="B985" s="0" t="s">
        <v>134</v>
      </c>
      <c r="C985" s="0" t="s">
        <v>3447</v>
      </c>
      <c r="D985" s="0" t="s">
        <v>3448</v>
      </c>
      <c r="E985" s="20" t="s">
        <v>25</v>
      </c>
      <c r="F985" s="23" t="s">
        <v>30</v>
      </c>
      <c r="G985" s="21" t="s">
        <v>2133</v>
      </c>
      <c r="H985" s="21" t="s">
        <v>24</v>
      </c>
      <c r="I985" s="21" t="s">
        <v>24</v>
      </c>
      <c r="J985" s="21" t="s">
        <v>24</v>
      </c>
      <c r="K985" s="21" t="s">
        <v>25</v>
      </c>
      <c r="L985" s="21" t="s">
        <v>24</v>
      </c>
      <c r="M985" s="0" t="n">
        <v>185</v>
      </c>
      <c r="N985" s="0" t="n">
        <v>3</v>
      </c>
      <c r="O985" s="21" t="s">
        <v>3541</v>
      </c>
      <c r="P985" s="21" t="s">
        <v>4368</v>
      </c>
      <c r="Q985" s="0" t="n">
        <v>0</v>
      </c>
      <c r="S985" s="0" t="n">
        <v>3</v>
      </c>
      <c r="T985" s="21" t="s">
        <v>3541</v>
      </c>
      <c r="U985" s="22" t="b">
        <f aca="false">TRUE()</f>
        <v>1</v>
      </c>
      <c r="V985" s="0" t="n">
        <v>0.84</v>
      </c>
      <c r="W985" s="0" t="n">
        <v>0</v>
      </c>
      <c r="X985" s="0" t="n">
        <v>10.5</v>
      </c>
      <c r="Y985" s="0" t="n">
        <v>715.33</v>
      </c>
      <c r="Z985" s="0" t="n">
        <v>8</v>
      </c>
      <c r="AA985" s="0" t="n">
        <v>-2.03</v>
      </c>
      <c r="AB985" s="0" t="n">
        <v>1.07</v>
      </c>
      <c r="AC985" s="22" t="b">
        <f aca="false">FALSE()</f>
        <v>0</v>
      </c>
      <c r="AD985" s="0" t="n">
        <v>14.09</v>
      </c>
      <c r="AE985" s="0" t="n">
        <v>5.08</v>
      </c>
      <c r="AF985" s="0" t="n">
        <v>7.24</v>
      </c>
      <c r="AG985" s="22" t="b">
        <f aca="false">TRUE()</f>
        <v>1</v>
      </c>
      <c r="AH985" s="0" t="n">
        <v>1</v>
      </c>
    </row>
    <row r="986" customFormat="false" ht="15" hidden="false" customHeight="false" outlineLevel="0" collapsed="false">
      <c r="A986" s="0" t="s">
        <v>1566</v>
      </c>
      <c r="B986" s="0" t="s">
        <v>134</v>
      </c>
      <c r="C986" s="0" t="s">
        <v>3450</v>
      </c>
      <c r="D986" s="0" t="s">
        <v>3457</v>
      </c>
      <c r="E986" s="18" t="s">
        <v>24</v>
      </c>
      <c r="F986" s="18" t="s">
        <v>28</v>
      </c>
      <c r="H986" s="21" t="s">
        <v>24</v>
      </c>
      <c r="I986" s="21" t="s">
        <v>24</v>
      </c>
      <c r="J986" s="21" t="s">
        <v>24</v>
      </c>
      <c r="K986" s="21" t="s">
        <v>24</v>
      </c>
      <c r="L986" s="21" t="s">
        <v>24</v>
      </c>
      <c r="M986" s="0" t="n">
        <v>182</v>
      </c>
      <c r="N986" s="0" t="n">
        <v>0</v>
      </c>
      <c r="Q986" s="0" t="n">
        <v>0</v>
      </c>
      <c r="S986" s="0" t="n">
        <v>0</v>
      </c>
      <c r="U986" s="22" t="b">
        <f aca="false">FALSE()</f>
        <v>0</v>
      </c>
      <c r="V986" s="0" t="n">
        <v>0.79</v>
      </c>
      <c r="W986" s="0" t="n">
        <v>0.92</v>
      </c>
      <c r="X986" s="0" t="n">
        <v>10.22</v>
      </c>
      <c r="Y986" s="0" t="n">
        <v>303.22</v>
      </c>
      <c r="Z986" s="0" t="n">
        <v>10.5</v>
      </c>
      <c r="AA986" s="0" t="n">
        <v>3.18</v>
      </c>
      <c r="AB986" s="0" t="n">
        <v>5.33</v>
      </c>
      <c r="AC986" s="22" t="b">
        <f aca="false">FALSE()</f>
        <v>0</v>
      </c>
      <c r="AD986" s="0" t="n">
        <v>7.09</v>
      </c>
      <c r="AE986" s="0" t="n">
        <v>0.59</v>
      </c>
      <c r="AF986" s="0" t="n">
        <v>1.01</v>
      </c>
      <c r="AG986" s="22" t="b">
        <f aca="false">FALSE()</f>
        <v>0</v>
      </c>
      <c r="AH986" s="0" t="n">
        <v>1</v>
      </c>
    </row>
    <row r="987" customFormat="false" ht="15" hidden="false" customHeight="false" outlineLevel="0" collapsed="false">
      <c r="A987" s="0" t="s">
        <v>1566</v>
      </c>
      <c r="B987" s="0" t="s">
        <v>134</v>
      </c>
      <c r="C987" s="0" t="s">
        <v>3450</v>
      </c>
      <c r="D987" s="0" t="s">
        <v>3448</v>
      </c>
      <c r="E987" s="18" t="s">
        <v>24</v>
      </c>
      <c r="F987" s="18" t="s">
        <v>28</v>
      </c>
      <c r="H987" s="21" t="s">
        <v>24</v>
      </c>
      <c r="I987" s="21" t="s">
        <v>24</v>
      </c>
      <c r="J987" s="21" t="s">
        <v>24</v>
      </c>
      <c r="K987" s="21" t="s">
        <v>24</v>
      </c>
      <c r="L987" s="21" t="s">
        <v>24</v>
      </c>
      <c r="M987" s="0" t="n">
        <v>184</v>
      </c>
      <c r="N987" s="0" t="n">
        <v>0</v>
      </c>
      <c r="Q987" s="0" t="n">
        <v>0</v>
      </c>
      <c r="S987" s="0" t="n">
        <v>0</v>
      </c>
      <c r="U987" s="22" t="b">
        <f aca="false">FALSE()</f>
        <v>0</v>
      </c>
      <c r="V987" s="0" t="n">
        <v>0.8</v>
      </c>
      <c r="W987" s="0" t="n">
        <v>0.6</v>
      </c>
      <c r="X987" s="0" t="n">
        <v>10.42</v>
      </c>
      <c r="Y987" s="0" t="n">
        <v>321.73</v>
      </c>
      <c r="Z987" s="0" t="n">
        <v>10.5</v>
      </c>
      <c r="AA987" s="0" t="n">
        <v>3.41</v>
      </c>
      <c r="AB987" s="0" t="n">
        <v>3.89</v>
      </c>
      <c r="AC987" s="22" t="b">
        <f aca="false">FALSE()</f>
        <v>0</v>
      </c>
      <c r="AD987" s="0" t="n">
        <v>6.28</v>
      </c>
      <c r="AE987" s="0" t="n">
        <v>0.11</v>
      </c>
      <c r="AF987" s="0" t="n">
        <v>3.39</v>
      </c>
      <c r="AG987" s="22" t="b">
        <f aca="false">FALSE()</f>
        <v>0</v>
      </c>
      <c r="AH987" s="0" t="n">
        <v>1</v>
      </c>
    </row>
    <row r="988" customFormat="false" ht="15" hidden="false" customHeight="false" outlineLevel="0" collapsed="false">
      <c r="A988" s="0" t="s">
        <v>1566</v>
      </c>
      <c r="B988" s="0" t="s">
        <v>134</v>
      </c>
      <c r="C988" s="0" t="s">
        <v>3447</v>
      </c>
      <c r="D988" s="0" t="s">
        <v>3457</v>
      </c>
      <c r="E988" s="18" t="s">
        <v>24</v>
      </c>
      <c r="F988" s="23" t="s">
        <v>30</v>
      </c>
      <c r="G988" s="21" t="s">
        <v>30</v>
      </c>
      <c r="H988" s="21" t="s">
        <v>24</v>
      </c>
      <c r="I988" s="21" t="s">
        <v>24</v>
      </c>
      <c r="J988" s="21" t="s">
        <v>24</v>
      </c>
      <c r="K988" s="21" t="s">
        <v>24</v>
      </c>
      <c r="L988" s="21" t="s">
        <v>24</v>
      </c>
      <c r="M988" s="0" t="n">
        <v>182</v>
      </c>
      <c r="N988" s="0" t="n">
        <v>2</v>
      </c>
      <c r="O988" s="21" t="s">
        <v>3494</v>
      </c>
      <c r="P988" s="21" t="s">
        <v>4609</v>
      </c>
      <c r="Q988" s="0" t="n">
        <v>0</v>
      </c>
      <c r="S988" s="0" t="n">
        <v>2</v>
      </c>
      <c r="T988" s="21" t="s">
        <v>3494</v>
      </c>
      <c r="U988" s="22" t="b">
        <f aca="false">TRUE()</f>
        <v>1</v>
      </c>
      <c r="V988" s="0" t="n">
        <v>0.82</v>
      </c>
      <c r="W988" s="0" t="n">
        <v>0.32</v>
      </c>
      <c r="X988" s="0" t="n">
        <v>9.31</v>
      </c>
      <c r="Y988" s="0" t="n">
        <v>398.96</v>
      </c>
      <c r="Z988" s="0" t="n">
        <v>10.5</v>
      </c>
      <c r="AA988" s="0" t="n">
        <v>0.49</v>
      </c>
      <c r="AB988" s="0" t="n">
        <v>5.33</v>
      </c>
      <c r="AC988" s="22" t="b">
        <f aca="false">FALSE()</f>
        <v>0</v>
      </c>
      <c r="AD988" s="0" t="n">
        <v>11.15</v>
      </c>
      <c r="AE988" s="0" t="n">
        <v>0.68</v>
      </c>
      <c r="AF988" s="0" t="n">
        <v>2.01</v>
      </c>
      <c r="AG988" s="22" t="b">
        <f aca="false">TRUE()</f>
        <v>1</v>
      </c>
      <c r="AH988" s="0" t="n">
        <v>1</v>
      </c>
    </row>
    <row r="989" customFormat="false" ht="15" hidden="false" customHeight="false" outlineLevel="0" collapsed="false">
      <c r="A989" s="0" t="s">
        <v>1566</v>
      </c>
      <c r="B989" s="0" t="s">
        <v>134</v>
      </c>
      <c r="C989" s="0" t="s">
        <v>3447</v>
      </c>
      <c r="D989" s="0" t="s">
        <v>3448</v>
      </c>
      <c r="E989" s="19" t="s">
        <v>26</v>
      </c>
      <c r="F989" s="19" t="s">
        <v>32</v>
      </c>
      <c r="G989" s="21" t="s">
        <v>529</v>
      </c>
      <c r="H989" s="21" t="s">
        <v>24</v>
      </c>
      <c r="I989" s="21" t="s">
        <v>26</v>
      </c>
      <c r="J989" s="21" t="s">
        <v>24</v>
      </c>
      <c r="K989" s="21" t="s">
        <v>24</v>
      </c>
      <c r="L989" s="21" t="s">
        <v>24</v>
      </c>
      <c r="M989" s="0" t="n">
        <v>183</v>
      </c>
      <c r="N989" s="0" t="n">
        <v>7</v>
      </c>
      <c r="O989" s="21" t="s">
        <v>3965</v>
      </c>
      <c r="P989" s="21" t="s">
        <v>4610</v>
      </c>
      <c r="Q989" s="0" t="n">
        <v>1</v>
      </c>
      <c r="R989" s="21" t="s">
        <v>69</v>
      </c>
      <c r="S989" s="0" t="n">
        <v>7</v>
      </c>
      <c r="T989" s="21" t="s">
        <v>3965</v>
      </c>
      <c r="U989" s="22" t="b">
        <f aca="false">FALSE()</f>
        <v>0</v>
      </c>
      <c r="V989" s="0" t="n">
        <v>0.81</v>
      </c>
      <c r="W989" s="0" t="n">
        <v>0.92</v>
      </c>
      <c r="X989" s="0" t="n">
        <v>11.11</v>
      </c>
      <c r="Y989" s="0" t="n">
        <v>316.53</v>
      </c>
      <c r="Z989" s="0" t="n">
        <v>10.25</v>
      </c>
      <c r="AA989" s="0" t="n">
        <v>3.24</v>
      </c>
      <c r="AB989" s="0" t="n">
        <v>3.89</v>
      </c>
      <c r="AC989" s="22" t="b">
        <f aca="false">FALSE()</f>
        <v>0</v>
      </c>
      <c r="AD989" s="0" t="n">
        <v>9.19</v>
      </c>
      <c r="AE989" s="0" t="n">
        <v>0.43</v>
      </c>
      <c r="AF989" s="0" t="n">
        <v>3.24</v>
      </c>
      <c r="AG989" s="22" t="b">
        <f aca="false">FALSE()</f>
        <v>0</v>
      </c>
      <c r="AH989" s="0" t="n">
        <v>1</v>
      </c>
    </row>
    <row r="990" customFormat="false" ht="15" hidden="false" customHeight="false" outlineLevel="0" collapsed="false">
      <c r="A990" s="0" t="s">
        <v>1572</v>
      </c>
      <c r="B990" s="0" t="s">
        <v>134</v>
      </c>
      <c r="C990" s="0" t="s">
        <v>3450</v>
      </c>
      <c r="D990" s="0" t="s">
        <v>3457</v>
      </c>
      <c r="E990" s="19" t="s">
        <v>26</v>
      </c>
      <c r="F990" s="19" t="s">
        <v>32</v>
      </c>
      <c r="G990" s="21" t="s">
        <v>60</v>
      </c>
      <c r="H990" s="21" t="s">
        <v>24</v>
      </c>
      <c r="I990" s="21" t="s">
        <v>26</v>
      </c>
      <c r="J990" s="21" t="s">
        <v>24</v>
      </c>
      <c r="K990" s="21" t="s">
        <v>24</v>
      </c>
      <c r="L990" s="21" t="s">
        <v>24</v>
      </c>
      <c r="M990" s="0" t="n">
        <v>182</v>
      </c>
      <c r="N990" s="0" t="n">
        <v>10</v>
      </c>
      <c r="O990" s="21" t="s">
        <v>3958</v>
      </c>
      <c r="P990" s="21" t="s">
        <v>4418</v>
      </c>
      <c r="Q990" s="0" t="n">
        <v>0</v>
      </c>
      <c r="S990" s="0" t="n">
        <v>10</v>
      </c>
      <c r="T990" s="21" t="s">
        <v>3958</v>
      </c>
      <c r="U990" s="22" t="b">
        <f aca="false">FALSE()</f>
        <v>0</v>
      </c>
      <c r="V990" s="0" t="n">
        <v>0.68</v>
      </c>
      <c r="W990" s="0" t="n">
        <v>0.36</v>
      </c>
      <c r="X990" s="0" t="n">
        <v>7.96</v>
      </c>
      <c r="Y990" s="0" t="n">
        <v>369.44</v>
      </c>
      <c r="Z990" s="0" t="n">
        <v>9.83</v>
      </c>
      <c r="AA990" s="0" t="n">
        <v>14.28</v>
      </c>
      <c r="AB990" s="0" t="n">
        <v>3.64</v>
      </c>
      <c r="AC990" s="22" t="b">
        <f aca="false">FALSE()</f>
        <v>0</v>
      </c>
      <c r="AD990" s="0" t="n">
        <v>12.4</v>
      </c>
      <c r="AE990" s="0" t="n">
        <v>1.33</v>
      </c>
      <c r="AF990" s="0" t="n">
        <v>10.49</v>
      </c>
      <c r="AG990" s="22" t="b">
        <f aca="false">TRUE()</f>
        <v>1</v>
      </c>
      <c r="AH990" s="0" t="n">
        <v>1</v>
      </c>
    </row>
    <row r="991" customFormat="false" ht="15" hidden="false" customHeight="false" outlineLevel="0" collapsed="false">
      <c r="A991" s="0" t="s">
        <v>1572</v>
      </c>
      <c r="B991" s="0" t="s">
        <v>134</v>
      </c>
      <c r="C991" s="0" t="s">
        <v>3450</v>
      </c>
      <c r="D991" s="0" t="s">
        <v>3448</v>
      </c>
      <c r="E991" s="19" t="s">
        <v>26</v>
      </c>
      <c r="F991" s="19" t="s">
        <v>32</v>
      </c>
      <c r="G991" s="21" t="s">
        <v>60</v>
      </c>
      <c r="H991" s="21" t="s">
        <v>24</v>
      </c>
      <c r="I991" s="21" t="s">
        <v>26</v>
      </c>
      <c r="J991" s="21" t="s">
        <v>24</v>
      </c>
      <c r="K991" s="21" t="s">
        <v>24</v>
      </c>
      <c r="L991" s="21" t="s">
        <v>24</v>
      </c>
      <c r="M991" s="0" t="n">
        <v>187</v>
      </c>
      <c r="N991" s="0" t="n">
        <v>9</v>
      </c>
      <c r="O991" s="21" t="s">
        <v>3999</v>
      </c>
      <c r="P991" s="21" t="s">
        <v>4611</v>
      </c>
      <c r="Q991" s="0" t="n">
        <v>0</v>
      </c>
      <c r="S991" s="0" t="n">
        <v>9</v>
      </c>
      <c r="T991" s="21" t="s">
        <v>3999</v>
      </c>
      <c r="U991" s="22" t="b">
        <f aca="false">FALSE()</f>
        <v>0</v>
      </c>
      <c r="V991" s="0" t="n">
        <v>0.69</v>
      </c>
      <c r="W991" s="0" t="n">
        <v>0.56</v>
      </c>
      <c r="X991" s="0" t="n">
        <v>8.61</v>
      </c>
      <c r="Y991" s="0" t="n">
        <v>330.71</v>
      </c>
      <c r="Z991" s="0" t="n">
        <v>10</v>
      </c>
      <c r="AA991" s="0" t="n">
        <v>14.3</v>
      </c>
      <c r="AB991" s="0" t="n">
        <v>2.54</v>
      </c>
      <c r="AC991" s="22" t="b">
        <f aca="false">FALSE()</f>
        <v>0</v>
      </c>
      <c r="AD991" s="0" t="n">
        <v>10.42</v>
      </c>
      <c r="AE991" s="0" t="n">
        <v>0.62</v>
      </c>
      <c r="AF991" s="0" t="n">
        <v>9.4</v>
      </c>
      <c r="AG991" s="22" t="b">
        <f aca="false">TRUE()</f>
        <v>1</v>
      </c>
      <c r="AH991" s="0" t="n">
        <v>1</v>
      </c>
    </row>
    <row r="992" customFormat="false" ht="15" hidden="false" customHeight="false" outlineLevel="0" collapsed="false">
      <c r="A992" s="0" t="s">
        <v>1572</v>
      </c>
      <c r="B992" s="0" t="s">
        <v>134</v>
      </c>
      <c r="C992" s="0" t="s">
        <v>3447</v>
      </c>
      <c r="D992" s="0" t="s">
        <v>3457</v>
      </c>
      <c r="E992" s="18" t="s">
        <v>24</v>
      </c>
      <c r="F992" s="23" t="s">
        <v>30</v>
      </c>
      <c r="G992" s="21" t="s">
        <v>30</v>
      </c>
      <c r="H992" s="21" t="s">
        <v>24</v>
      </c>
      <c r="I992" s="21" t="s">
        <v>24</v>
      </c>
      <c r="J992" s="21" t="s">
        <v>24</v>
      </c>
      <c r="K992" s="21" t="s">
        <v>24</v>
      </c>
      <c r="L992" s="21" t="s">
        <v>24</v>
      </c>
      <c r="M992" s="0" t="n">
        <v>183</v>
      </c>
      <c r="N992" s="0" t="n">
        <v>4</v>
      </c>
      <c r="O992" s="21" t="s">
        <v>3618</v>
      </c>
      <c r="P992" s="21" t="s">
        <v>4574</v>
      </c>
      <c r="Q992" s="0" t="n">
        <v>0</v>
      </c>
      <c r="S992" s="0" t="n">
        <v>4</v>
      </c>
      <c r="T992" s="21" t="s">
        <v>3618</v>
      </c>
      <c r="U992" s="22" t="b">
        <f aca="false">TRUE()</f>
        <v>1</v>
      </c>
      <c r="V992" s="0" t="n">
        <v>0.74</v>
      </c>
      <c r="W992" s="0" t="n">
        <v>0.2</v>
      </c>
      <c r="X992" s="0" t="n">
        <v>7.18</v>
      </c>
      <c r="Y992" s="0" t="n">
        <v>502.96</v>
      </c>
      <c r="Z992" s="0" t="n">
        <v>8.5</v>
      </c>
      <c r="AA992" s="0" t="n">
        <v>8.19</v>
      </c>
      <c r="AB992" s="0" t="n">
        <v>3.64</v>
      </c>
      <c r="AC992" s="22" t="b">
        <f aca="false">FALSE()</f>
        <v>0</v>
      </c>
      <c r="AD992" s="0" t="n">
        <v>14.21</v>
      </c>
      <c r="AE992" s="0" t="n">
        <v>0.04</v>
      </c>
      <c r="AF992" s="0" t="n">
        <v>9.91</v>
      </c>
      <c r="AG992" s="22" t="b">
        <f aca="false">TRUE()</f>
        <v>1</v>
      </c>
      <c r="AH992" s="0" t="n">
        <v>1</v>
      </c>
    </row>
    <row r="993" customFormat="false" ht="15" hidden="false" customHeight="false" outlineLevel="0" collapsed="false">
      <c r="A993" s="0" t="s">
        <v>1572</v>
      </c>
      <c r="B993" s="0" t="s">
        <v>134</v>
      </c>
      <c r="C993" s="0" t="s">
        <v>3447</v>
      </c>
      <c r="D993" s="0" t="s">
        <v>3448</v>
      </c>
      <c r="E993" s="18" t="s">
        <v>24</v>
      </c>
      <c r="F993" s="23" t="s">
        <v>30</v>
      </c>
      <c r="G993" s="21" t="s">
        <v>30</v>
      </c>
      <c r="H993" s="21" t="s">
        <v>24</v>
      </c>
      <c r="I993" s="21" t="s">
        <v>24</v>
      </c>
      <c r="J993" s="21" t="s">
        <v>24</v>
      </c>
      <c r="K993" s="21" t="s">
        <v>24</v>
      </c>
      <c r="L993" s="21" t="s">
        <v>24</v>
      </c>
      <c r="M993" s="0" t="n">
        <v>183</v>
      </c>
      <c r="N993" s="0" t="n">
        <v>4</v>
      </c>
      <c r="O993" s="21" t="s">
        <v>3618</v>
      </c>
      <c r="P993" s="21" t="s">
        <v>4574</v>
      </c>
      <c r="Q993" s="0" t="n">
        <v>0</v>
      </c>
      <c r="S993" s="0" t="n">
        <v>4</v>
      </c>
      <c r="T993" s="21" t="s">
        <v>3618</v>
      </c>
      <c r="U993" s="22" t="b">
        <f aca="false">TRUE()</f>
        <v>1</v>
      </c>
      <c r="V993" s="0" t="n">
        <v>0.71</v>
      </c>
      <c r="W993" s="0" t="n">
        <v>0.24</v>
      </c>
      <c r="X993" s="0" t="n">
        <v>8.67</v>
      </c>
      <c r="Y993" s="0" t="n">
        <v>467.29</v>
      </c>
      <c r="Z993" s="0" t="n">
        <v>8.5</v>
      </c>
      <c r="AA993" s="0" t="n">
        <v>9.66</v>
      </c>
      <c r="AB993" s="0" t="n">
        <v>2.54</v>
      </c>
      <c r="AC993" s="22" t="b">
        <f aca="false">FALSE()</f>
        <v>0</v>
      </c>
      <c r="AD993" s="0" t="n">
        <v>11.37</v>
      </c>
      <c r="AE993" s="0" t="n">
        <v>1.54</v>
      </c>
      <c r="AF993" s="0" t="n">
        <v>9.26</v>
      </c>
      <c r="AG993" s="22" t="b">
        <f aca="false">TRUE()</f>
        <v>1</v>
      </c>
      <c r="AH993" s="0" t="n">
        <v>1</v>
      </c>
    </row>
    <row r="994" customFormat="false" ht="15" hidden="false" customHeight="false" outlineLevel="0" collapsed="false">
      <c r="A994" s="0" t="s">
        <v>1583</v>
      </c>
      <c r="B994" s="0" t="s">
        <v>134</v>
      </c>
      <c r="C994" s="0" t="s">
        <v>3450</v>
      </c>
      <c r="D994" s="0" t="s">
        <v>3457</v>
      </c>
      <c r="E994" s="18" t="s">
        <v>24</v>
      </c>
      <c r="F994" s="18" t="s">
        <v>28</v>
      </c>
      <c r="H994" s="21" t="s">
        <v>24</v>
      </c>
      <c r="I994" s="21" t="s">
        <v>24</v>
      </c>
      <c r="J994" s="21" t="s">
        <v>24</v>
      </c>
      <c r="K994" s="21" t="s">
        <v>24</v>
      </c>
      <c r="L994" s="21" t="s">
        <v>24</v>
      </c>
      <c r="M994" s="0" t="n">
        <v>190</v>
      </c>
      <c r="N994" s="0" t="n">
        <v>0</v>
      </c>
      <c r="Q994" s="0" t="n">
        <v>0</v>
      </c>
      <c r="S994" s="0" t="n">
        <v>0</v>
      </c>
      <c r="U994" s="22" t="b">
        <f aca="false">FALSE()</f>
        <v>0</v>
      </c>
      <c r="V994" s="0" t="n">
        <v>0.69</v>
      </c>
      <c r="W994" s="0" t="n">
        <v>0.72</v>
      </c>
      <c r="X994" s="0" t="n">
        <v>12.16</v>
      </c>
      <c r="Y994" s="0" t="n">
        <v>295.19</v>
      </c>
      <c r="Z994" s="0" t="n">
        <v>9.25</v>
      </c>
      <c r="AA994" s="0" t="n">
        <v>13.81</v>
      </c>
      <c r="AB994" s="0" t="n">
        <v>2.15</v>
      </c>
      <c r="AC994" s="22" t="b">
        <f aca="false">FALSE()</f>
        <v>0</v>
      </c>
      <c r="AD994" s="0" t="n">
        <v>17.88</v>
      </c>
      <c r="AE994" s="0" t="n">
        <v>1.07</v>
      </c>
      <c r="AF994" s="0" t="n">
        <v>12.67</v>
      </c>
      <c r="AG994" s="22" t="b">
        <f aca="false">TRUE()</f>
        <v>1</v>
      </c>
      <c r="AH994" s="0" t="n">
        <v>1</v>
      </c>
    </row>
    <row r="995" customFormat="false" ht="15" hidden="false" customHeight="false" outlineLevel="0" collapsed="false">
      <c r="A995" s="0" t="s">
        <v>1583</v>
      </c>
      <c r="B995" s="0" t="s">
        <v>134</v>
      </c>
      <c r="C995" s="0" t="s">
        <v>3450</v>
      </c>
      <c r="D995" s="0" t="s">
        <v>3448</v>
      </c>
      <c r="E995" s="18" t="s">
        <v>24</v>
      </c>
      <c r="F995" s="18" t="s">
        <v>28</v>
      </c>
      <c r="H995" s="21" t="s">
        <v>24</v>
      </c>
      <c r="I995" s="21" t="s">
        <v>24</v>
      </c>
      <c r="J995" s="21" t="s">
        <v>24</v>
      </c>
      <c r="K995" s="21" t="s">
        <v>24</v>
      </c>
      <c r="L995" s="21" t="s">
        <v>24</v>
      </c>
      <c r="M995" s="0" t="n">
        <v>191</v>
      </c>
      <c r="N995" s="0" t="n">
        <v>0</v>
      </c>
      <c r="Q995" s="0" t="n">
        <v>0</v>
      </c>
      <c r="S995" s="0" t="n">
        <v>0</v>
      </c>
      <c r="U995" s="22" t="b">
        <f aca="false">FALSE()</f>
        <v>0</v>
      </c>
      <c r="V995" s="0" t="n">
        <v>0.72</v>
      </c>
      <c r="W995" s="0" t="n">
        <v>0.6</v>
      </c>
      <c r="X995" s="0" t="n">
        <v>13.21</v>
      </c>
      <c r="Y995" s="0" t="n">
        <v>323.47</v>
      </c>
      <c r="Z995" s="0" t="n">
        <v>9.25</v>
      </c>
      <c r="AA995" s="0" t="n">
        <v>15.17</v>
      </c>
      <c r="AB995" s="0" t="n">
        <v>1.98</v>
      </c>
      <c r="AC995" s="22" t="b">
        <f aca="false">FALSE()</f>
        <v>0</v>
      </c>
      <c r="AD995" s="0" t="n">
        <v>15.41</v>
      </c>
      <c r="AE995" s="0" t="n">
        <v>1.01</v>
      </c>
      <c r="AF995" s="0" t="n">
        <v>16.01</v>
      </c>
      <c r="AG995" s="22" t="b">
        <f aca="false">TRUE()</f>
        <v>1</v>
      </c>
      <c r="AH995" s="0" t="n">
        <v>1</v>
      </c>
    </row>
    <row r="996" customFormat="false" ht="15" hidden="false" customHeight="false" outlineLevel="0" collapsed="false">
      <c r="A996" s="0" t="s">
        <v>1583</v>
      </c>
      <c r="B996" s="0" t="s">
        <v>134</v>
      </c>
      <c r="C996" s="0" t="s">
        <v>3447</v>
      </c>
      <c r="D996" s="0" t="s">
        <v>3457</v>
      </c>
      <c r="E996" s="20" t="s">
        <v>25</v>
      </c>
      <c r="F996" s="23" t="s">
        <v>30</v>
      </c>
      <c r="G996" s="21" t="s">
        <v>992</v>
      </c>
      <c r="H996" s="21" t="s">
        <v>24</v>
      </c>
      <c r="I996" s="21" t="s">
        <v>24</v>
      </c>
      <c r="J996" s="21" t="s">
        <v>24</v>
      </c>
      <c r="K996" s="21" t="s">
        <v>25</v>
      </c>
      <c r="L996" s="21" t="s">
        <v>24</v>
      </c>
      <c r="M996" s="0" t="n">
        <v>189</v>
      </c>
      <c r="N996" s="0" t="n">
        <v>4</v>
      </c>
      <c r="O996" s="21" t="s">
        <v>3621</v>
      </c>
      <c r="P996" s="21" t="s">
        <v>4381</v>
      </c>
      <c r="Q996" s="0" t="n">
        <v>0</v>
      </c>
      <c r="S996" s="0" t="n">
        <v>4</v>
      </c>
      <c r="T996" s="21" t="s">
        <v>3621</v>
      </c>
      <c r="U996" s="22" t="b">
        <f aca="false">TRUE()</f>
        <v>1</v>
      </c>
      <c r="V996" s="0" t="n">
        <v>0.76</v>
      </c>
      <c r="W996" s="0" t="n">
        <v>0.76</v>
      </c>
      <c r="X996" s="0" t="n">
        <v>13.02</v>
      </c>
      <c r="Y996" s="0" t="n">
        <v>304.6</v>
      </c>
      <c r="Z996" s="0" t="n">
        <v>9.58</v>
      </c>
      <c r="AA996" s="0" t="n">
        <v>10.96</v>
      </c>
      <c r="AB996" s="0" t="n">
        <v>2.15</v>
      </c>
      <c r="AC996" s="22" t="b">
        <f aca="false">FALSE()</f>
        <v>0</v>
      </c>
      <c r="AD996" s="0" t="n">
        <v>20.11</v>
      </c>
      <c r="AE996" s="0" t="n">
        <v>1.25</v>
      </c>
      <c r="AF996" s="0" t="n">
        <v>14.03</v>
      </c>
      <c r="AG996" s="22" t="b">
        <f aca="false">TRUE()</f>
        <v>1</v>
      </c>
      <c r="AH996" s="0" t="n">
        <v>1</v>
      </c>
    </row>
    <row r="997" customFormat="false" ht="15" hidden="false" customHeight="false" outlineLevel="0" collapsed="false">
      <c r="A997" s="0" t="s">
        <v>1583</v>
      </c>
      <c r="B997" s="0" t="s">
        <v>134</v>
      </c>
      <c r="C997" s="0" t="s">
        <v>3447</v>
      </c>
      <c r="D997" s="0" t="s">
        <v>3448</v>
      </c>
      <c r="E997" s="18" t="s">
        <v>24</v>
      </c>
      <c r="F997" s="23" t="s">
        <v>30</v>
      </c>
      <c r="G997" s="21" t="s">
        <v>30</v>
      </c>
      <c r="H997" s="21" t="s">
        <v>24</v>
      </c>
      <c r="I997" s="21" t="s">
        <v>24</v>
      </c>
      <c r="J997" s="21" t="s">
        <v>24</v>
      </c>
      <c r="K997" s="21" t="s">
        <v>24</v>
      </c>
      <c r="L997" s="21" t="s">
        <v>24</v>
      </c>
      <c r="M997" s="0" t="n">
        <v>188</v>
      </c>
      <c r="N997" s="0" t="n">
        <v>3</v>
      </c>
      <c r="O997" s="21" t="s">
        <v>3539</v>
      </c>
      <c r="P997" s="21" t="s">
        <v>4342</v>
      </c>
      <c r="Q997" s="0" t="n">
        <v>0</v>
      </c>
      <c r="S997" s="0" t="n">
        <v>3</v>
      </c>
      <c r="T997" s="21" t="s">
        <v>3539</v>
      </c>
      <c r="U997" s="22" t="b">
        <f aca="false">TRUE()</f>
        <v>1</v>
      </c>
      <c r="V997" s="0" t="n">
        <v>0.8</v>
      </c>
      <c r="W997" s="0" t="n">
        <v>0.84</v>
      </c>
      <c r="X997" s="0" t="n">
        <v>14.67</v>
      </c>
      <c r="Y997" s="0" t="n">
        <v>316.01</v>
      </c>
      <c r="Z997" s="0" t="n">
        <v>9.5</v>
      </c>
      <c r="AA997" s="0" t="n">
        <v>2.63</v>
      </c>
      <c r="AB997" s="0" t="n">
        <v>1.98</v>
      </c>
      <c r="AC997" s="22" t="b">
        <f aca="false">FALSE()</f>
        <v>0</v>
      </c>
      <c r="AD997" s="0" t="n">
        <v>4.77</v>
      </c>
      <c r="AE997" s="0" t="n">
        <v>0.43</v>
      </c>
      <c r="AF997" s="0" t="n">
        <v>7.54</v>
      </c>
      <c r="AG997" s="22" t="b">
        <f aca="false">FALSE()</f>
        <v>0</v>
      </c>
      <c r="AH997" s="0" t="n">
        <v>1</v>
      </c>
    </row>
    <row r="998" customFormat="false" ht="15" hidden="false" customHeight="false" outlineLevel="0" collapsed="false">
      <c r="A998" s="0" t="s">
        <v>1589</v>
      </c>
      <c r="B998" s="0" t="s">
        <v>134</v>
      </c>
      <c r="C998" s="0" t="s">
        <v>3450</v>
      </c>
      <c r="D998" s="0" t="s">
        <v>3457</v>
      </c>
      <c r="E998" s="18" t="s">
        <v>24</v>
      </c>
      <c r="F998" s="18" t="s">
        <v>28</v>
      </c>
      <c r="H998" s="21" t="s">
        <v>24</v>
      </c>
      <c r="I998" s="21" t="s">
        <v>24</v>
      </c>
      <c r="J998" s="21" t="s">
        <v>24</v>
      </c>
      <c r="K998" s="21" t="s">
        <v>24</v>
      </c>
      <c r="L998" s="21" t="s">
        <v>24</v>
      </c>
      <c r="M998" s="0" t="n">
        <v>184</v>
      </c>
      <c r="N998" s="0" t="n">
        <v>0</v>
      </c>
      <c r="Q998" s="0" t="n">
        <v>0</v>
      </c>
      <c r="S998" s="0" t="n">
        <v>0</v>
      </c>
      <c r="U998" s="22" t="b">
        <f aca="false">FALSE()</f>
        <v>0</v>
      </c>
      <c r="V998" s="0" t="n">
        <v>0.69</v>
      </c>
      <c r="W998" s="0" t="n">
        <v>0.92</v>
      </c>
      <c r="X998" s="0" t="n">
        <v>6.6</v>
      </c>
      <c r="Y998" s="0" t="n">
        <v>317.55</v>
      </c>
      <c r="Z998" s="0" t="n">
        <v>10</v>
      </c>
      <c r="AA998" s="0" t="n">
        <v>8.39</v>
      </c>
      <c r="AB998" s="0" t="n">
        <v>8.82</v>
      </c>
      <c r="AC998" s="22" t="b">
        <f aca="false">FALSE()</f>
        <v>0</v>
      </c>
      <c r="AD998" s="0" t="n">
        <v>11.83</v>
      </c>
      <c r="AE998" s="0" t="n">
        <v>1.04</v>
      </c>
      <c r="AF998" s="0" t="n">
        <v>20.46</v>
      </c>
      <c r="AG998" s="22" t="b">
        <f aca="false">TRUE()</f>
        <v>1</v>
      </c>
      <c r="AH998" s="0" t="n">
        <v>1</v>
      </c>
    </row>
    <row r="999" customFormat="false" ht="15" hidden="false" customHeight="false" outlineLevel="0" collapsed="false">
      <c r="A999" s="0" t="s">
        <v>1589</v>
      </c>
      <c r="B999" s="0" t="s">
        <v>134</v>
      </c>
      <c r="C999" s="0" t="s">
        <v>3450</v>
      </c>
      <c r="D999" s="0" t="s">
        <v>3448</v>
      </c>
      <c r="E999" s="18" t="s">
        <v>24</v>
      </c>
      <c r="F999" s="18" t="s">
        <v>28</v>
      </c>
      <c r="H999" s="21" t="s">
        <v>24</v>
      </c>
      <c r="I999" s="21" t="s">
        <v>24</v>
      </c>
      <c r="J999" s="21" t="s">
        <v>24</v>
      </c>
      <c r="K999" s="21" t="s">
        <v>24</v>
      </c>
      <c r="L999" s="21" t="s">
        <v>24</v>
      </c>
      <c r="M999" s="0" t="n">
        <v>192</v>
      </c>
      <c r="N999" s="0" t="n">
        <v>0</v>
      </c>
      <c r="Q999" s="0" t="n">
        <v>0</v>
      </c>
      <c r="S999" s="0" t="n">
        <v>0</v>
      </c>
      <c r="U999" s="22" t="b">
        <f aca="false">FALSE()</f>
        <v>0</v>
      </c>
      <c r="V999" s="0" t="n">
        <v>0.7</v>
      </c>
      <c r="W999" s="0" t="n">
        <v>0.48</v>
      </c>
      <c r="X999" s="0" t="n">
        <v>6.42</v>
      </c>
      <c r="Y999" s="0" t="n">
        <v>350.4</v>
      </c>
      <c r="Z999" s="0" t="n">
        <v>9.5</v>
      </c>
      <c r="AA999" s="0" t="n">
        <v>4.65</v>
      </c>
      <c r="AB999" s="0" t="n">
        <v>6.66</v>
      </c>
      <c r="AC999" s="22" t="b">
        <f aca="false">FALSE()</f>
        <v>0</v>
      </c>
      <c r="AD999" s="0" t="n">
        <v>7.23</v>
      </c>
      <c r="AE999" s="0" t="n">
        <v>0.86</v>
      </c>
      <c r="AF999" s="0" t="n">
        <v>13.54</v>
      </c>
      <c r="AG999" s="22" t="b">
        <f aca="false">FALSE()</f>
        <v>0</v>
      </c>
      <c r="AH999" s="0" t="n">
        <v>1</v>
      </c>
    </row>
    <row r="1000" customFormat="false" ht="15" hidden="false" customHeight="false" outlineLevel="0" collapsed="false">
      <c r="A1000" s="0" t="s">
        <v>1589</v>
      </c>
      <c r="B1000" s="0" t="s">
        <v>134</v>
      </c>
      <c r="C1000" s="0" t="s">
        <v>3447</v>
      </c>
      <c r="D1000" s="0" t="s">
        <v>3457</v>
      </c>
      <c r="E1000" s="18" t="s">
        <v>24</v>
      </c>
      <c r="F1000" s="18" t="s">
        <v>28</v>
      </c>
      <c r="H1000" s="21" t="s">
        <v>24</v>
      </c>
      <c r="I1000" s="21" t="s">
        <v>24</v>
      </c>
      <c r="J1000" s="21" t="s">
        <v>24</v>
      </c>
      <c r="K1000" s="21" t="s">
        <v>24</v>
      </c>
      <c r="L1000" s="21" t="s">
        <v>24</v>
      </c>
      <c r="M1000" s="0" t="n">
        <v>186</v>
      </c>
      <c r="N1000" s="0" t="n">
        <v>0</v>
      </c>
      <c r="Q1000" s="0" t="n">
        <v>0</v>
      </c>
      <c r="S1000" s="0" t="n">
        <v>0</v>
      </c>
      <c r="U1000" s="22" t="b">
        <f aca="false">FALSE()</f>
        <v>0</v>
      </c>
      <c r="V1000" s="0" t="n">
        <v>0.72</v>
      </c>
      <c r="W1000" s="0" t="n">
        <v>0.4</v>
      </c>
      <c r="X1000" s="0" t="n">
        <v>5.95</v>
      </c>
      <c r="Y1000" s="0" t="n">
        <v>365.39</v>
      </c>
      <c r="Z1000" s="0" t="n">
        <v>9</v>
      </c>
      <c r="AA1000" s="0" t="n">
        <v>1.37</v>
      </c>
      <c r="AB1000" s="0" t="n">
        <v>8.82</v>
      </c>
      <c r="AC1000" s="22" t="b">
        <f aca="false">FALSE()</f>
        <v>0</v>
      </c>
      <c r="AD1000" s="0" t="n">
        <v>11.66</v>
      </c>
      <c r="AE1000" s="0" t="n">
        <v>1.07</v>
      </c>
      <c r="AF1000" s="0" t="n">
        <v>21.06</v>
      </c>
      <c r="AG1000" s="22" t="b">
        <f aca="false">TRUE()</f>
        <v>1</v>
      </c>
      <c r="AH1000" s="0" t="n">
        <v>1</v>
      </c>
    </row>
    <row r="1001" customFormat="false" ht="15" hidden="false" customHeight="false" outlineLevel="0" collapsed="false">
      <c r="A1001" s="0" t="s">
        <v>1589</v>
      </c>
      <c r="B1001" s="0" t="s">
        <v>134</v>
      </c>
      <c r="C1001" s="0" t="s">
        <v>3447</v>
      </c>
      <c r="D1001" s="0" t="s">
        <v>3448</v>
      </c>
      <c r="E1001" s="18" t="s">
        <v>24</v>
      </c>
      <c r="F1001" s="18" t="s">
        <v>28</v>
      </c>
      <c r="H1001" s="21" t="s">
        <v>24</v>
      </c>
      <c r="I1001" s="21" t="s">
        <v>24</v>
      </c>
      <c r="J1001" s="21" t="s">
        <v>24</v>
      </c>
      <c r="K1001" s="21" t="s">
        <v>24</v>
      </c>
      <c r="L1001" s="21" t="s">
        <v>24</v>
      </c>
      <c r="M1001" s="0" t="n">
        <v>183</v>
      </c>
      <c r="N1001" s="0" t="n">
        <v>0</v>
      </c>
      <c r="Q1001" s="0" t="n">
        <v>0</v>
      </c>
      <c r="S1001" s="0" t="n">
        <v>0</v>
      </c>
      <c r="U1001" s="22" t="b">
        <f aca="false">FALSE()</f>
        <v>0</v>
      </c>
      <c r="V1001" s="0" t="n">
        <v>0.72</v>
      </c>
      <c r="W1001" s="0" t="n">
        <v>0</v>
      </c>
      <c r="X1001" s="0" t="n">
        <v>5.96</v>
      </c>
      <c r="Y1001" s="0" t="n">
        <v>683.87</v>
      </c>
      <c r="Z1001" s="0" t="n">
        <v>9.75</v>
      </c>
      <c r="AA1001" s="0" t="n">
        <v>1.65</v>
      </c>
      <c r="AB1001" s="0" t="n">
        <v>6.66</v>
      </c>
      <c r="AC1001" s="22" t="b">
        <f aca="false">FALSE()</f>
        <v>0</v>
      </c>
      <c r="AD1001" s="0" t="n">
        <v>19.65</v>
      </c>
      <c r="AE1001" s="0" t="n">
        <v>0.39</v>
      </c>
      <c r="AF1001" s="0" t="n">
        <v>12.71</v>
      </c>
      <c r="AG1001" s="22" t="b">
        <f aca="false">TRUE()</f>
        <v>1</v>
      </c>
      <c r="AH1001" s="0" t="n">
        <v>1</v>
      </c>
    </row>
    <row r="1002" customFormat="false" ht="15" hidden="false" customHeight="false" outlineLevel="0" collapsed="false">
      <c r="A1002" s="0" t="s">
        <v>1589</v>
      </c>
      <c r="B1002" s="0" t="s">
        <v>3459</v>
      </c>
      <c r="C1002" s="0" t="s">
        <v>3450</v>
      </c>
      <c r="D1002" s="0" t="s">
        <v>3457</v>
      </c>
      <c r="E1002" s="18" t="s">
        <v>24</v>
      </c>
      <c r="F1002" s="18" t="s">
        <v>28</v>
      </c>
      <c r="H1002" s="21" t="s">
        <v>24</v>
      </c>
      <c r="I1002" s="21" t="s">
        <v>24</v>
      </c>
      <c r="J1002" s="21" t="s">
        <v>24</v>
      </c>
      <c r="K1002" s="21" t="s">
        <v>24</v>
      </c>
      <c r="L1002" s="21" t="s">
        <v>24</v>
      </c>
      <c r="M1002" s="0" t="n">
        <v>183</v>
      </c>
      <c r="N1002" s="0" t="n">
        <v>0</v>
      </c>
      <c r="Q1002" s="0" t="n">
        <v>0</v>
      </c>
      <c r="S1002" s="0" t="n">
        <v>0</v>
      </c>
      <c r="U1002" s="22" t="b">
        <f aca="false">FALSE()</f>
        <v>0</v>
      </c>
      <c r="V1002" s="0" t="n">
        <v>0.68</v>
      </c>
      <c r="W1002" s="0" t="n">
        <v>0.36</v>
      </c>
      <c r="X1002" s="0" t="n">
        <v>7.2</v>
      </c>
      <c r="Y1002" s="0" t="n">
        <v>289.55</v>
      </c>
      <c r="Z1002" s="0" t="n">
        <v>9.92</v>
      </c>
      <c r="AA1002" s="0" t="n">
        <v>14.77</v>
      </c>
      <c r="AB1002" s="0" t="n">
        <v>8</v>
      </c>
      <c r="AC1002" s="22" t="b">
        <f aca="false">FALSE()</f>
        <v>0</v>
      </c>
      <c r="AD1002" s="0" t="n">
        <v>15.14</v>
      </c>
      <c r="AE1002" s="0" t="n">
        <v>1.51</v>
      </c>
      <c r="AF1002" s="0" t="n">
        <v>6.05</v>
      </c>
      <c r="AG1002" s="22" t="b">
        <f aca="false">TRUE()</f>
        <v>1</v>
      </c>
      <c r="AH1002" s="0" t="n">
        <v>1</v>
      </c>
    </row>
    <row r="1003" customFormat="false" ht="15" hidden="false" customHeight="false" outlineLevel="0" collapsed="false">
      <c r="A1003" s="0" t="s">
        <v>1589</v>
      </c>
      <c r="B1003" s="0" t="s">
        <v>3459</v>
      </c>
      <c r="C1003" s="0" t="s">
        <v>3450</v>
      </c>
      <c r="D1003" s="0" t="s">
        <v>3448</v>
      </c>
      <c r="E1003" s="20" t="s">
        <v>25</v>
      </c>
      <c r="F1003" s="20" t="s">
        <v>29</v>
      </c>
      <c r="G1003" s="21" t="s">
        <v>61</v>
      </c>
      <c r="H1003" s="21" t="s">
        <v>24</v>
      </c>
      <c r="I1003" s="21" t="s">
        <v>24</v>
      </c>
      <c r="J1003" s="21" t="s">
        <v>24</v>
      </c>
      <c r="K1003" s="21" t="s">
        <v>25</v>
      </c>
      <c r="L1003" s="21" t="s">
        <v>24</v>
      </c>
      <c r="M1003" s="0" t="n">
        <v>183</v>
      </c>
      <c r="N1003" s="0" t="n">
        <v>0</v>
      </c>
      <c r="Q1003" s="0" t="n">
        <v>0</v>
      </c>
      <c r="S1003" s="0" t="n">
        <v>0</v>
      </c>
      <c r="U1003" s="22" t="b">
        <f aca="false">FALSE()</f>
        <v>0</v>
      </c>
      <c r="V1003" s="0" t="n">
        <v>0.72</v>
      </c>
      <c r="W1003" s="0" t="n">
        <v>0.24</v>
      </c>
      <c r="X1003" s="0" t="n">
        <v>7.7</v>
      </c>
      <c r="Y1003" s="0" t="n">
        <v>467.39</v>
      </c>
      <c r="Z1003" s="0" t="n">
        <v>9.25</v>
      </c>
      <c r="AA1003" s="0" t="n">
        <v>9.12</v>
      </c>
      <c r="AB1003" s="0" t="n">
        <v>3.29</v>
      </c>
      <c r="AC1003" s="22" t="b">
        <f aca="false">FALSE()</f>
        <v>0</v>
      </c>
      <c r="AD1003" s="0" t="n">
        <v>25.18</v>
      </c>
      <c r="AE1003" s="0" t="n">
        <v>14.05</v>
      </c>
      <c r="AF1003" s="0" t="n">
        <v>21.72</v>
      </c>
      <c r="AG1003" s="22" t="b">
        <f aca="false">TRUE()</f>
        <v>1</v>
      </c>
      <c r="AH1003" s="0" t="n">
        <v>1</v>
      </c>
    </row>
    <row r="1004" customFormat="false" ht="15" hidden="false" customHeight="false" outlineLevel="0" collapsed="false">
      <c r="A1004" s="0" t="s">
        <v>1589</v>
      </c>
      <c r="B1004" s="0" t="s">
        <v>3459</v>
      </c>
      <c r="C1004" s="0" t="s">
        <v>3447</v>
      </c>
      <c r="D1004" s="0" t="s">
        <v>3457</v>
      </c>
      <c r="E1004" s="18" t="s">
        <v>24</v>
      </c>
      <c r="F1004" s="18" t="s">
        <v>28</v>
      </c>
      <c r="H1004" s="21" t="s">
        <v>24</v>
      </c>
      <c r="I1004" s="21" t="s">
        <v>24</v>
      </c>
      <c r="J1004" s="21" t="s">
        <v>24</v>
      </c>
      <c r="K1004" s="21" t="s">
        <v>24</v>
      </c>
      <c r="L1004" s="21" t="s">
        <v>24</v>
      </c>
      <c r="M1004" s="0" t="n">
        <v>185</v>
      </c>
      <c r="N1004" s="0" t="n">
        <v>0</v>
      </c>
      <c r="Q1004" s="0" t="n">
        <v>0</v>
      </c>
      <c r="S1004" s="0" t="n">
        <v>0</v>
      </c>
      <c r="U1004" s="22" t="b">
        <f aca="false">FALSE()</f>
        <v>0</v>
      </c>
      <c r="V1004" s="0" t="n">
        <v>0.7</v>
      </c>
      <c r="W1004" s="0" t="n">
        <v>0.4</v>
      </c>
      <c r="X1004" s="0" t="n">
        <v>6.3</v>
      </c>
      <c r="Y1004" s="0" t="n">
        <v>318.45</v>
      </c>
      <c r="Z1004" s="0" t="n">
        <v>8.25</v>
      </c>
      <c r="AA1004" s="0" t="n">
        <v>1.92</v>
      </c>
      <c r="AB1004" s="0" t="n">
        <v>8</v>
      </c>
      <c r="AC1004" s="22" t="b">
        <f aca="false">FALSE()</f>
        <v>0</v>
      </c>
      <c r="AD1004" s="0" t="n">
        <v>13.51</v>
      </c>
      <c r="AE1004" s="0" t="n">
        <v>2.47</v>
      </c>
      <c r="AF1004" s="0" t="n">
        <v>3.14</v>
      </c>
      <c r="AG1004" s="22" t="b">
        <f aca="false">TRUE()</f>
        <v>1</v>
      </c>
      <c r="AH1004" s="0" t="n">
        <v>1</v>
      </c>
    </row>
    <row r="1005" customFormat="false" ht="15" hidden="false" customHeight="false" outlineLevel="0" collapsed="false">
      <c r="A1005" s="0" t="s">
        <v>1589</v>
      </c>
      <c r="B1005" s="0" t="s">
        <v>3459</v>
      </c>
      <c r="C1005" s="0" t="s">
        <v>3447</v>
      </c>
      <c r="D1005" s="0" t="s">
        <v>3448</v>
      </c>
      <c r="E1005" s="20" t="s">
        <v>25</v>
      </c>
      <c r="F1005" s="20" t="s">
        <v>29</v>
      </c>
      <c r="G1005" s="21" t="s">
        <v>61</v>
      </c>
      <c r="H1005" s="21" t="s">
        <v>24</v>
      </c>
      <c r="I1005" s="21" t="s">
        <v>24</v>
      </c>
      <c r="J1005" s="21" t="s">
        <v>24</v>
      </c>
      <c r="K1005" s="21" t="s">
        <v>25</v>
      </c>
      <c r="L1005" s="21" t="s">
        <v>24</v>
      </c>
      <c r="M1005" s="0" t="n">
        <v>183</v>
      </c>
      <c r="N1005" s="0" t="n">
        <v>0</v>
      </c>
      <c r="Q1005" s="0" t="n">
        <v>0</v>
      </c>
      <c r="S1005" s="0" t="n">
        <v>0</v>
      </c>
      <c r="U1005" s="22" t="b">
        <f aca="false">FALSE()</f>
        <v>0</v>
      </c>
      <c r="V1005" s="0" t="n">
        <v>0.67</v>
      </c>
      <c r="W1005" s="0" t="n">
        <v>0.28</v>
      </c>
      <c r="X1005" s="0" t="n">
        <v>9.43</v>
      </c>
      <c r="Y1005" s="0" t="n">
        <v>431.05</v>
      </c>
      <c r="Z1005" s="0" t="n">
        <v>10</v>
      </c>
      <c r="AA1005" s="0" t="n">
        <v>2.43</v>
      </c>
      <c r="AB1005" s="0" t="n">
        <v>3.29</v>
      </c>
      <c r="AC1005" s="22" t="b">
        <f aca="false">FALSE()</f>
        <v>0</v>
      </c>
      <c r="AD1005" s="0" t="n">
        <v>24.4</v>
      </c>
      <c r="AE1005" s="0" t="n">
        <v>9.36</v>
      </c>
      <c r="AF1005" s="0" t="n">
        <v>16.27</v>
      </c>
      <c r="AG1005" s="22" t="b">
        <f aca="false">TRUE()</f>
        <v>1</v>
      </c>
      <c r="AH1005" s="0" t="n">
        <v>1</v>
      </c>
    </row>
    <row r="1006" customFormat="false" ht="15" hidden="false" customHeight="false" outlineLevel="0" collapsed="false">
      <c r="A1006" s="0" t="s">
        <v>1594</v>
      </c>
      <c r="B1006" s="0" t="s">
        <v>134</v>
      </c>
      <c r="C1006" s="0" t="s">
        <v>3450</v>
      </c>
      <c r="D1006" s="0" t="s">
        <v>3457</v>
      </c>
      <c r="E1006" s="20" t="s">
        <v>25</v>
      </c>
      <c r="F1006" s="20" t="s">
        <v>29</v>
      </c>
      <c r="G1006" s="21" t="s">
        <v>3466</v>
      </c>
      <c r="H1006" s="21" t="s">
        <v>24</v>
      </c>
      <c r="I1006" s="21" t="s">
        <v>24</v>
      </c>
      <c r="J1006" s="21" t="s">
        <v>24</v>
      </c>
      <c r="K1006" s="21" t="s">
        <v>25</v>
      </c>
      <c r="L1006" s="21" t="s">
        <v>24</v>
      </c>
      <c r="M1006" s="0" t="n">
        <v>191</v>
      </c>
      <c r="N1006" s="0" t="n">
        <v>0</v>
      </c>
      <c r="Q1006" s="0" t="n">
        <v>0</v>
      </c>
      <c r="S1006" s="0" t="n">
        <v>0</v>
      </c>
      <c r="U1006" s="22" t="b">
        <f aca="false">FALSE()</f>
        <v>0</v>
      </c>
      <c r="V1006" s="0" t="n">
        <v>0.75</v>
      </c>
      <c r="W1006" s="0" t="n">
        <v>0.32</v>
      </c>
      <c r="X1006" s="0" t="n">
        <v>6.99</v>
      </c>
      <c r="Y1006" s="0" t="n">
        <v>419.52</v>
      </c>
      <c r="Z1006" s="0" t="n">
        <v>9.5</v>
      </c>
      <c r="AA1006" s="0" t="n">
        <v>0.76</v>
      </c>
      <c r="AB1006" s="0" t="n">
        <v>1.21</v>
      </c>
      <c r="AC1006" s="22" t="b">
        <f aca="false">TRUE()</f>
        <v>1</v>
      </c>
      <c r="AD1006" s="0" t="n">
        <v>13.03</v>
      </c>
      <c r="AE1006" s="0" t="n">
        <v>1.38</v>
      </c>
      <c r="AF1006" s="0" t="n">
        <v>13.57</v>
      </c>
      <c r="AG1006" s="22" t="b">
        <f aca="false">TRUE()</f>
        <v>1</v>
      </c>
      <c r="AH1006" s="0" t="n">
        <v>1</v>
      </c>
    </row>
    <row r="1007" customFormat="false" ht="15" hidden="false" customHeight="false" outlineLevel="0" collapsed="false">
      <c r="A1007" s="0" t="s">
        <v>1594</v>
      </c>
      <c r="B1007" s="0" t="s">
        <v>134</v>
      </c>
      <c r="C1007" s="0" t="s">
        <v>3450</v>
      </c>
      <c r="D1007" s="0" t="s">
        <v>3448</v>
      </c>
      <c r="E1007" s="20" t="s">
        <v>25</v>
      </c>
      <c r="F1007" s="20" t="s">
        <v>29</v>
      </c>
      <c r="G1007" s="21" t="s">
        <v>3451</v>
      </c>
      <c r="H1007" s="21" t="s">
        <v>24</v>
      </c>
      <c r="I1007" s="21" t="s">
        <v>24</v>
      </c>
      <c r="J1007" s="21" t="s">
        <v>24</v>
      </c>
      <c r="K1007" s="21" t="s">
        <v>25</v>
      </c>
      <c r="L1007" s="21" t="s">
        <v>24</v>
      </c>
      <c r="M1007" s="0" t="n">
        <v>186</v>
      </c>
      <c r="N1007" s="0" t="n">
        <v>0</v>
      </c>
      <c r="Q1007" s="0" t="n">
        <v>0</v>
      </c>
      <c r="S1007" s="0" t="n">
        <v>0</v>
      </c>
      <c r="U1007" s="22" t="b">
        <f aca="false">FALSE()</f>
        <v>0</v>
      </c>
      <c r="V1007" s="0" t="n">
        <v>0.76</v>
      </c>
      <c r="W1007" s="0" t="n">
        <v>0.36</v>
      </c>
      <c r="X1007" s="0" t="n">
        <v>5.91</v>
      </c>
      <c r="Y1007" s="0" t="n">
        <v>363.92</v>
      </c>
      <c r="Z1007" s="0" t="n">
        <v>8.83</v>
      </c>
      <c r="AA1007" s="0" t="n">
        <v>1.65</v>
      </c>
      <c r="AB1007" s="0" t="n">
        <v>0.84</v>
      </c>
      <c r="AC1007" s="22" t="b">
        <f aca="false">TRUE()</f>
        <v>1</v>
      </c>
      <c r="AD1007" s="0" t="n">
        <v>9.6</v>
      </c>
      <c r="AE1007" s="0" t="n">
        <v>0.96</v>
      </c>
      <c r="AF1007" s="0" t="n">
        <v>14.66</v>
      </c>
      <c r="AG1007" s="22" t="b">
        <f aca="false">FALSE()</f>
        <v>0</v>
      </c>
      <c r="AH1007" s="0" t="n">
        <v>1</v>
      </c>
    </row>
    <row r="1008" customFormat="false" ht="15" hidden="false" customHeight="false" outlineLevel="0" collapsed="false">
      <c r="A1008" s="0" t="s">
        <v>1594</v>
      </c>
      <c r="B1008" s="0" t="s">
        <v>134</v>
      </c>
      <c r="C1008" s="0" t="s">
        <v>3447</v>
      </c>
      <c r="D1008" s="0" t="s">
        <v>3457</v>
      </c>
      <c r="E1008" s="20" t="s">
        <v>25</v>
      </c>
      <c r="F1008" s="20" t="s">
        <v>29</v>
      </c>
      <c r="G1008" s="21" t="s">
        <v>63</v>
      </c>
      <c r="H1008" s="21" t="s">
        <v>24</v>
      </c>
      <c r="I1008" s="21" t="s">
        <v>24</v>
      </c>
      <c r="J1008" s="21" t="s">
        <v>24</v>
      </c>
      <c r="K1008" s="21" t="s">
        <v>25</v>
      </c>
      <c r="L1008" s="21" t="s">
        <v>24</v>
      </c>
      <c r="M1008" s="0" t="n">
        <v>185</v>
      </c>
      <c r="N1008" s="0" t="n">
        <v>0</v>
      </c>
      <c r="Q1008" s="0" t="n">
        <v>0</v>
      </c>
      <c r="S1008" s="0" t="n">
        <v>0</v>
      </c>
      <c r="U1008" s="22" t="b">
        <f aca="false">FALSE()</f>
        <v>0</v>
      </c>
      <c r="V1008" s="0" t="n">
        <v>0.75</v>
      </c>
      <c r="W1008" s="0" t="n">
        <v>0.4</v>
      </c>
      <c r="X1008" s="0" t="n">
        <v>6.9</v>
      </c>
      <c r="Y1008" s="0" t="n">
        <v>363.06</v>
      </c>
      <c r="Z1008" s="0" t="n">
        <v>9</v>
      </c>
      <c r="AA1008" s="0" t="n">
        <v>-0.11</v>
      </c>
      <c r="AB1008" s="0" t="n">
        <v>1.21</v>
      </c>
      <c r="AC1008" s="22" t="b">
        <f aca="false">FALSE()</f>
        <v>0</v>
      </c>
      <c r="AD1008" s="0" t="n">
        <v>13.08</v>
      </c>
      <c r="AE1008" s="0" t="n">
        <v>0.99</v>
      </c>
      <c r="AF1008" s="0" t="n">
        <v>12.98</v>
      </c>
      <c r="AG1008" s="22" t="b">
        <f aca="false">TRUE()</f>
        <v>1</v>
      </c>
      <c r="AH1008" s="0" t="n">
        <v>1</v>
      </c>
    </row>
    <row r="1009" customFormat="false" ht="15" hidden="false" customHeight="false" outlineLevel="0" collapsed="false">
      <c r="A1009" s="0" t="s">
        <v>1594</v>
      </c>
      <c r="B1009" s="0" t="s">
        <v>134</v>
      </c>
      <c r="C1009" s="0" t="s">
        <v>3447</v>
      </c>
      <c r="D1009" s="0" t="s">
        <v>3448</v>
      </c>
      <c r="E1009" s="19" t="s">
        <v>26</v>
      </c>
      <c r="F1009" s="19" t="s">
        <v>32</v>
      </c>
      <c r="G1009" s="21" t="s">
        <v>1311</v>
      </c>
      <c r="H1009" s="21" t="s">
        <v>24</v>
      </c>
      <c r="I1009" s="21" t="s">
        <v>26</v>
      </c>
      <c r="J1009" s="21" t="s">
        <v>24</v>
      </c>
      <c r="K1009" s="21" t="s">
        <v>25</v>
      </c>
      <c r="L1009" s="21" t="s">
        <v>24</v>
      </c>
      <c r="M1009" s="0" t="n">
        <v>188</v>
      </c>
      <c r="N1009" s="0" t="n">
        <v>9</v>
      </c>
      <c r="O1009" s="21" t="s">
        <v>4031</v>
      </c>
      <c r="P1009" s="21" t="s">
        <v>4612</v>
      </c>
      <c r="Q1009" s="0" t="n">
        <v>1</v>
      </c>
      <c r="R1009" s="21" t="s">
        <v>69</v>
      </c>
      <c r="S1009" s="0" t="n">
        <v>9</v>
      </c>
      <c r="T1009" s="21" t="s">
        <v>4031</v>
      </c>
      <c r="U1009" s="22" t="b">
        <f aca="false">FALSE()</f>
        <v>0</v>
      </c>
      <c r="V1009" s="0" t="n">
        <v>0.79</v>
      </c>
      <c r="W1009" s="0" t="n">
        <v>0.16</v>
      </c>
      <c r="X1009" s="0" t="n">
        <v>7.02</v>
      </c>
      <c r="Y1009" s="0" t="n">
        <v>461.58</v>
      </c>
      <c r="Z1009" s="0" t="n">
        <v>8.58</v>
      </c>
      <c r="AA1009" s="0" t="n">
        <v>1.75</v>
      </c>
      <c r="AB1009" s="0" t="n">
        <v>0.84</v>
      </c>
      <c r="AC1009" s="22" t="b">
        <f aca="false">FALSE()</f>
        <v>0</v>
      </c>
      <c r="AD1009" s="0" t="n">
        <v>10.23</v>
      </c>
      <c r="AE1009" s="0" t="n">
        <v>1.13</v>
      </c>
      <c r="AF1009" s="0" t="n">
        <v>15.22</v>
      </c>
      <c r="AG1009" s="22" t="b">
        <f aca="false">TRUE()</f>
        <v>1</v>
      </c>
      <c r="AH1009" s="0" t="n">
        <v>1</v>
      </c>
    </row>
    <row r="1010" customFormat="false" ht="15" hidden="false" customHeight="false" outlineLevel="0" collapsed="false">
      <c r="A1010" s="0" t="s">
        <v>1594</v>
      </c>
      <c r="B1010" s="0" t="s">
        <v>3459</v>
      </c>
      <c r="C1010" s="0" t="s">
        <v>3450</v>
      </c>
      <c r="D1010" s="0" t="s">
        <v>3457</v>
      </c>
      <c r="E1010" s="20" t="s">
        <v>25</v>
      </c>
      <c r="F1010" s="23" t="s">
        <v>30</v>
      </c>
      <c r="G1010" s="21" t="s">
        <v>294</v>
      </c>
      <c r="H1010" s="21" t="s">
        <v>24</v>
      </c>
      <c r="I1010" s="21" t="s">
        <v>25</v>
      </c>
      <c r="J1010" s="21" t="s">
        <v>24</v>
      </c>
      <c r="K1010" s="21" t="s">
        <v>25</v>
      </c>
      <c r="L1010" s="21" t="s">
        <v>24</v>
      </c>
      <c r="M1010" s="0" t="n">
        <v>211</v>
      </c>
      <c r="N1010" s="0" t="n">
        <v>1</v>
      </c>
      <c r="O1010" s="21" t="s">
        <v>69</v>
      </c>
      <c r="P1010" s="21" t="s">
        <v>4275</v>
      </c>
      <c r="Q1010" s="0" t="n">
        <v>1</v>
      </c>
      <c r="R1010" s="21" t="s">
        <v>69</v>
      </c>
      <c r="S1010" s="0" t="n">
        <v>1</v>
      </c>
      <c r="T1010" s="21" t="s">
        <v>69</v>
      </c>
      <c r="U1010" s="22" t="b">
        <f aca="false">TRUE()</f>
        <v>1</v>
      </c>
      <c r="V1010" s="0" t="n">
        <v>0.74</v>
      </c>
      <c r="W1010" s="0" t="n">
        <v>0.12</v>
      </c>
      <c r="X1010" s="0" t="n">
        <v>6.17</v>
      </c>
      <c r="Y1010" s="0" t="n">
        <v>666.65</v>
      </c>
      <c r="Z1010" s="0" t="n">
        <v>9.75</v>
      </c>
      <c r="AA1010" s="0" t="n">
        <v>-0.24</v>
      </c>
      <c r="AB1010" s="0" t="n">
        <v>0.11</v>
      </c>
      <c r="AC1010" s="22" t="b">
        <f aca="false">TRUE()</f>
        <v>1</v>
      </c>
      <c r="AD1010" s="0" t="n">
        <v>25.63</v>
      </c>
      <c r="AE1010" s="0" t="n">
        <v>13.98</v>
      </c>
      <c r="AF1010" s="0" t="n">
        <v>20.62</v>
      </c>
      <c r="AG1010" s="22" t="b">
        <f aca="false">TRUE()</f>
        <v>1</v>
      </c>
      <c r="AH1010" s="0" t="n">
        <v>1</v>
      </c>
    </row>
    <row r="1011" customFormat="false" ht="15" hidden="false" customHeight="false" outlineLevel="0" collapsed="false">
      <c r="A1011" s="0" t="s">
        <v>1594</v>
      </c>
      <c r="B1011" s="0" t="s">
        <v>3459</v>
      </c>
      <c r="C1011" s="0" t="s">
        <v>3450</v>
      </c>
      <c r="D1011" s="0" t="s">
        <v>3448</v>
      </c>
      <c r="E1011" s="20" t="s">
        <v>25</v>
      </c>
      <c r="F1011" s="23" t="s">
        <v>30</v>
      </c>
      <c r="G1011" s="21" t="s">
        <v>1046</v>
      </c>
      <c r="H1011" s="21" t="s">
        <v>24</v>
      </c>
      <c r="I1011" s="21" t="s">
        <v>25</v>
      </c>
      <c r="J1011" s="21" t="s">
        <v>24</v>
      </c>
      <c r="K1011" s="21" t="s">
        <v>25</v>
      </c>
      <c r="L1011" s="21" t="s">
        <v>24</v>
      </c>
      <c r="M1011" s="0" t="n">
        <v>184</v>
      </c>
      <c r="N1011" s="0" t="n">
        <v>2</v>
      </c>
      <c r="O1011" s="21" t="s">
        <v>3575</v>
      </c>
      <c r="P1011" s="21" t="s">
        <v>4265</v>
      </c>
      <c r="Q1011" s="0" t="n">
        <v>1</v>
      </c>
      <c r="R1011" s="21" t="s">
        <v>69</v>
      </c>
      <c r="S1011" s="0" t="n">
        <v>2</v>
      </c>
      <c r="T1011" s="21" t="s">
        <v>3575</v>
      </c>
      <c r="U1011" s="22" t="b">
        <f aca="false">TRUE()</f>
        <v>1</v>
      </c>
      <c r="V1011" s="0" t="n">
        <v>0.75</v>
      </c>
      <c r="W1011" s="0" t="n">
        <v>0.84</v>
      </c>
      <c r="X1011" s="0" t="n">
        <v>6.55</v>
      </c>
      <c r="Y1011" s="0" t="n">
        <v>319.46</v>
      </c>
      <c r="Z1011" s="0" t="n">
        <v>8</v>
      </c>
      <c r="AA1011" s="0" t="n">
        <v>-0.91</v>
      </c>
      <c r="AB1011" s="0" t="n">
        <v>12.83</v>
      </c>
      <c r="AC1011" s="22" t="b">
        <f aca="false">FALSE()</f>
        <v>0</v>
      </c>
      <c r="AD1011" s="0" t="n">
        <v>22.91</v>
      </c>
      <c r="AE1011" s="0" t="n">
        <v>14.1</v>
      </c>
      <c r="AF1011" s="0" t="n">
        <v>23.28</v>
      </c>
      <c r="AG1011" s="22" t="b">
        <f aca="false">TRUE()</f>
        <v>1</v>
      </c>
      <c r="AH1011" s="0" t="n">
        <v>1</v>
      </c>
    </row>
    <row r="1012" customFormat="false" ht="15" hidden="false" customHeight="false" outlineLevel="0" collapsed="false">
      <c r="A1012" s="0" t="s">
        <v>1594</v>
      </c>
      <c r="B1012" s="0" t="s">
        <v>3459</v>
      </c>
      <c r="C1012" s="0" t="s">
        <v>3447</v>
      </c>
      <c r="D1012" s="0" t="s">
        <v>3457</v>
      </c>
      <c r="E1012" s="20" t="s">
        <v>25</v>
      </c>
      <c r="F1012" s="23" t="s">
        <v>30</v>
      </c>
      <c r="G1012" s="21" t="s">
        <v>1152</v>
      </c>
      <c r="H1012" s="21" t="s">
        <v>24</v>
      </c>
      <c r="I1012" s="21" t="s">
        <v>25</v>
      </c>
      <c r="J1012" s="21" t="s">
        <v>24</v>
      </c>
      <c r="K1012" s="21" t="s">
        <v>25</v>
      </c>
      <c r="L1012" s="21" t="s">
        <v>24</v>
      </c>
      <c r="M1012" s="0" t="n">
        <v>184</v>
      </c>
      <c r="N1012" s="0" t="n">
        <v>1</v>
      </c>
      <c r="O1012" s="21" t="s">
        <v>69</v>
      </c>
      <c r="P1012" s="21" t="s">
        <v>4275</v>
      </c>
      <c r="Q1012" s="0" t="n">
        <v>1</v>
      </c>
      <c r="R1012" s="21" t="s">
        <v>69</v>
      </c>
      <c r="S1012" s="0" t="n">
        <v>1</v>
      </c>
      <c r="T1012" s="21" t="s">
        <v>69</v>
      </c>
      <c r="U1012" s="22" t="b">
        <f aca="false">TRUE()</f>
        <v>1</v>
      </c>
      <c r="V1012" s="0" t="n">
        <v>0.75</v>
      </c>
      <c r="W1012" s="0" t="n">
        <v>0.88</v>
      </c>
      <c r="X1012" s="0" t="n">
        <v>6.48</v>
      </c>
      <c r="Y1012" s="0" t="n">
        <v>316.03</v>
      </c>
      <c r="Z1012" s="0" t="n">
        <v>8</v>
      </c>
      <c r="AA1012" s="0" t="n">
        <v>-1.04</v>
      </c>
      <c r="AB1012" s="0" t="n">
        <v>0.11</v>
      </c>
      <c r="AC1012" s="22" t="b">
        <f aca="false">FALSE()</f>
        <v>0</v>
      </c>
      <c r="AD1012" s="0" t="n">
        <v>16.32</v>
      </c>
      <c r="AE1012" s="0" t="n">
        <v>9.19</v>
      </c>
      <c r="AF1012" s="0" t="n">
        <v>17.05</v>
      </c>
      <c r="AG1012" s="22" t="b">
        <f aca="false">TRUE()</f>
        <v>1</v>
      </c>
      <c r="AH1012" s="0" t="n">
        <v>1</v>
      </c>
    </row>
    <row r="1013" customFormat="false" ht="15" hidden="false" customHeight="false" outlineLevel="0" collapsed="false">
      <c r="A1013" s="0" t="s">
        <v>1594</v>
      </c>
      <c r="B1013" s="0" t="s">
        <v>3459</v>
      </c>
      <c r="C1013" s="0" t="s">
        <v>3447</v>
      </c>
      <c r="D1013" s="0" t="s">
        <v>3448</v>
      </c>
      <c r="E1013" s="20" t="s">
        <v>25</v>
      </c>
      <c r="F1013" s="23" t="s">
        <v>30</v>
      </c>
      <c r="G1013" s="21" t="s">
        <v>183</v>
      </c>
      <c r="H1013" s="21" t="s">
        <v>24</v>
      </c>
      <c r="I1013" s="21" t="s">
        <v>25</v>
      </c>
      <c r="J1013" s="21" t="s">
        <v>24</v>
      </c>
      <c r="K1013" s="21" t="s">
        <v>25</v>
      </c>
      <c r="L1013" s="21" t="s">
        <v>24</v>
      </c>
      <c r="M1013" s="0" t="n">
        <v>181</v>
      </c>
      <c r="N1013" s="0" t="n">
        <v>2</v>
      </c>
      <c r="O1013" s="21" t="s">
        <v>3575</v>
      </c>
      <c r="P1013" s="21" t="s">
        <v>4265</v>
      </c>
      <c r="Q1013" s="0" t="n">
        <v>1</v>
      </c>
      <c r="R1013" s="21" t="s">
        <v>69</v>
      </c>
      <c r="S1013" s="0" t="n">
        <v>2</v>
      </c>
      <c r="T1013" s="21" t="s">
        <v>3575</v>
      </c>
      <c r="U1013" s="22" t="b">
        <f aca="false">TRUE()</f>
        <v>1</v>
      </c>
      <c r="V1013" s="0" t="n">
        <v>0.77</v>
      </c>
      <c r="W1013" s="0" t="n">
        <v>0.76</v>
      </c>
      <c r="X1013" s="0" t="n">
        <v>6.76</v>
      </c>
      <c r="Y1013" s="0" t="n">
        <v>313.56</v>
      </c>
      <c r="Z1013" s="0" t="n">
        <v>8.42</v>
      </c>
      <c r="AA1013" s="0" t="n">
        <v>-0.16</v>
      </c>
      <c r="AB1013" s="0" t="n">
        <v>12.83</v>
      </c>
      <c r="AC1013" s="22" t="b">
        <f aca="false">FALSE()</f>
        <v>0</v>
      </c>
      <c r="AD1013" s="0" t="n">
        <v>28.71</v>
      </c>
      <c r="AE1013" s="0" t="n">
        <v>16.1</v>
      </c>
      <c r="AF1013" s="0" t="n">
        <v>23.7</v>
      </c>
      <c r="AG1013" s="22" t="b">
        <f aca="false">TRUE()</f>
        <v>1</v>
      </c>
      <c r="AH1013" s="0" t="n">
        <v>1</v>
      </c>
    </row>
    <row r="1014" customFormat="false" ht="15" hidden="false" customHeight="false" outlineLevel="0" collapsed="false">
      <c r="A1014" s="0" t="s">
        <v>1600</v>
      </c>
      <c r="B1014" s="0" t="s">
        <v>134</v>
      </c>
      <c r="C1014" s="0" t="s">
        <v>3450</v>
      </c>
      <c r="D1014" s="0" t="s">
        <v>3457</v>
      </c>
      <c r="E1014" s="20" t="s">
        <v>25</v>
      </c>
      <c r="F1014" s="23" t="s">
        <v>30</v>
      </c>
      <c r="G1014" s="21" t="s">
        <v>1152</v>
      </c>
      <c r="H1014" s="21" t="s">
        <v>24</v>
      </c>
      <c r="I1014" s="21" t="s">
        <v>25</v>
      </c>
      <c r="J1014" s="21" t="s">
        <v>24</v>
      </c>
      <c r="K1014" s="21" t="s">
        <v>25</v>
      </c>
      <c r="L1014" s="21" t="s">
        <v>24</v>
      </c>
      <c r="M1014" s="0" t="n">
        <v>183</v>
      </c>
      <c r="N1014" s="0" t="n">
        <v>2</v>
      </c>
      <c r="O1014" s="21" t="s">
        <v>3566</v>
      </c>
      <c r="P1014" s="21" t="s">
        <v>4238</v>
      </c>
      <c r="Q1014" s="0" t="n">
        <v>1</v>
      </c>
      <c r="R1014" s="21" t="s">
        <v>69</v>
      </c>
      <c r="S1014" s="0" t="n">
        <v>2</v>
      </c>
      <c r="T1014" s="21" t="s">
        <v>3566</v>
      </c>
      <c r="U1014" s="22" t="b">
        <f aca="false">TRUE()</f>
        <v>1</v>
      </c>
      <c r="V1014" s="0" t="n">
        <v>0.8</v>
      </c>
      <c r="W1014" s="0" t="n">
        <v>0.84</v>
      </c>
      <c r="X1014" s="0" t="n">
        <v>6.71</v>
      </c>
      <c r="Y1014" s="0" t="n">
        <v>320.76</v>
      </c>
      <c r="Z1014" s="0" t="n">
        <v>9.25</v>
      </c>
      <c r="AA1014" s="0" t="n">
        <v>5.18</v>
      </c>
      <c r="AB1014" s="0" t="n">
        <v>0.07</v>
      </c>
      <c r="AC1014" s="22" t="b">
        <f aca="false">FALSE()</f>
        <v>0</v>
      </c>
      <c r="AD1014" s="0" t="n">
        <v>12.32</v>
      </c>
      <c r="AE1014" s="0" t="n">
        <v>0.09</v>
      </c>
      <c r="AF1014" s="0" t="n">
        <v>11.13</v>
      </c>
      <c r="AG1014" s="22" t="b">
        <f aca="false">TRUE()</f>
        <v>1</v>
      </c>
      <c r="AH1014" s="0" t="n">
        <v>1</v>
      </c>
    </row>
    <row r="1015" customFormat="false" ht="15" hidden="false" customHeight="false" outlineLevel="0" collapsed="false">
      <c r="A1015" s="0" t="s">
        <v>1600</v>
      </c>
      <c r="B1015" s="0" t="s">
        <v>134</v>
      </c>
      <c r="C1015" s="0" t="s">
        <v>3450</v>
      </c>
      <c r="D1015" s="0" t="s">
        <v>3448</v>
      </c>
      <c r="E1015" s="20" t="s">
        <v>25</v>
      </c>
      <c r="F1015" s="23" t="s">
        <v>30</v>
      </c>
      <c r="G1015" s="21" t="s">
        <v>1152</v>
      </c>
      <c r="H1015" s="21" t="s">
        <v>24</v>
      </c>
      <c r="I1015" s="21" t="s">
        <v>25</v>
      </c>
      <c r="J1015" s="21" t="s">
        <v>24</v>
      </c>
      <c r="K1015" s="21" t="s">
        <v>25</v>
      </c>
      <c r="L1015" s="21" t="s">
        <v>24</v>
      </c>
      <c r="M1015" s="0" t="n">
        <v>183</v>
      </c>
      <c r="N1015" s="0" t="n">
        <v>2</v>
      </c>
      <c r="O1015" s="21" t="s">
        <v>3566</v>
      </c>
      <c r="P1015" s="21" t="s">
        <v>4238</v>
      </c>
      <c r="Q1015" s="0" t="n">
        <v>1</v>
      </c>
      <c r="R1015" s="21" t="s">
        <v>69</v>
      </c>
      <c r="S1015" s="0" t="n">
        <v>2</v>
      </c>
      <c r="T1015" s="21" t="s">
        <v>3566</v>
      </c>
      <c r="U1015" s="22" t="b">
        <f aca="false">TRUE()</f>
        <v>1</v>
      </c>
      <c r="V1015" s="0" t="n">
        <v>0.81</v>
      </c>
      <c r="W1015" s="0" t="n">
        <v>0.24</v>
      </c>
      <c r="X1015" s="0" t="n">
        <v>7.16</v>
      </c>
      <c r="Y1015" s="0" t="n">
        <v>468.18</v>
      </c>
      <c r="Z1015" s="0" t="n">
        <v>9.25</v>
      </c>
      <c r="AA1015" s="0" t="n">
        <v>3.46</v>
      </c>
      <c r="AB1015" s="0" t="n">
        <v>0.92</v>
      </c>
      <c r="AC1015" s="22" t="b">
        <f aca="false">FALSE()</f>
        <v>0</v>
      </c>
      <c r="AD1015" s="0" t="n">
        <v>8.76</v>
      </c>
      <c r="AE1015" s="0" t="n">
        <v>2</v>
      </c>
      <c r="AF1015" s="0" t="n">
        <v>5.33</v>
      </c>
      <c r="AG1015" s="22" t="b">
        <f aca="false">FALSE()</f>
        <v>0</v>
      </c>
      <c r="AH1015" s="0" t="n">
        <v>1</v>
      </c>
    </row>
    <row r="1016" customFormat="false" ht="15" hidden="false" customHeight="false" outlineLevel="0" collapsed="false">
      <c r="A1016" s="0" t="s">
        <v>1600</v>
      </c>
      <c r="B1016" s="0" t="s">
        <v>134</v>
      </c>
      <c r="C1016" s="0" t="s">
        <v>3447</v>
      </c>
      <c r="D1016" s="0" t="s">
        <v>3457</v>
      </c>
      <c r="E1016" s="20" t="s">
        <v>25</v>
      </c>
      <c r="F1016" s="23" t="s">
        <v>30</v>
      </c>
      <c r="G1016" s="21" t="s">
        <v>2610</v>
      </c>
      <c r="H1016" s="21" t="s">
        <v>24</v>
      </c>
      <c r="I1016" s="21" t="s">
        <v>24</v>
      </c>
      <c r="J1016" s="21" t="s">
        <v>24</v>
      </c>
      <c r="K1016" s="21" t="s">
        <v>25</v>
      </c>
      <c r="L1016" s="21" t="s">
        <v>24</v>
      </c>
      <c r="M1016" s="0" t="n">
        <v>182</v>
      </c>
      <c r="N1016" s="0" t="n">
        <v>4</v>
      </c>
      <c r="O1016" s="21" t="s">
        <v>3588</v>
      </c>
      <c r="P1016" s="21" t="s">
        <v>4613</v>
      </c>
      <c r="Q1016" s="0" t="n">
        <v>0</v>
      </c>
      <c r="S1016" s="0" t="n">
        <v>4</v>
      </c>
      <c r="T1016" s="21" t="s">
        <v>3588</v>
      </c>
      <c r="U1016" s="22" t="b">
        <f aca="false">TRUE()</f>
        <v>1</v>
      </c>
      <c r="V1016" s="0" t="n">
        <v>0.8</v>
      </c>
      <c r="W1016" s="0" t="n">
        <v>0.8</v>
      </c>
      <c r="X1016" s="0" t="n">
        <v>9.62</v>
      </c>
      <c r="Y1016" s="0" t="n">
        <v>318.07</v>
      </c>
      <c r="Z1016" s="0" t="n">
        <v>8</v>
      </c>
      <c r="AA1016" s="0" t="n">
        <v>-0.88</v>
      </c>
      <c r="AB1016" s="0" t="n">
        <v>0.07</v>
      </c>
      <c r="AC1016" s="22" t="b">
        <f aca="false">FALSE()</f>
        <v>0</v>
      </c>
      <c r="AD1016" s="0" t="n">
        <v>0.63</v>
      </c>
      <c r="AE1016" s="0" t="n">
        <v>0.32</v>
      </c>
      <c r="AF1016" s="0" t="n">
        <v>1.15</v>
      </c>
      <c r="AG1016" s="22" t="b">
        <f aca="false">FALSE()</f>
        <v>0</v>
      </c>
      <c r="AH1016" s="0" t="n">
        <v>1</v>
      </c>
    </row>
    <row r="1017" customFormat="false" ht="15" hidden="false" customHeight="false" outlineLevel="0" collapsed="false">
      <c r="A1017" s="0" t="s">
        <v>1600</v>
      </c>
      <c r="B1017" s="0" t="s">
        <v>134</v>
      </c>
      <c r="C1017" s="0" t="s">
        <v>3447</v>
      </c>
      <c r="D1017" s="0" t="s">
        <v>3448</v>
      </c>
      <c r="E1017" s="20" t="s">
        <v>25</v>
      </c>
      <c r="F1017" s="23" t="s">
        <v>30</v>
      </c>
      <c r="G1017" s="21" t="s">
        <v>2610</v>
      </c>
      <c r="H1017" s="21" t="s">
        <v>24</v>
      </c>
      <c r="I1017" s="21" t="s">
        <v>24</v>
      </c>
      <c r="J1017" s="21" t="s">
        <v>24</v>
      </c>
      <c r="K1017" s="21" t="s">
        <v>25</v>
      </c>
      <c r="L1017" s="21" t="s">
        <v>24</v>
      </c>
      <c r="M1017" s="0" t="n">
        <v>182</v>
      </c>
      <c r="N1017" s="0" t="n">
        <v>5</v>
      </c>
      <c r="O1017" s="21" t="s">
        <v>3680</v>
      </c>
      <c r="P1017" s="21" t="s">
        <v>4614</v>
      </c>
      <c r="Q1017" s="0" t="n">
        <v>0</v>
      </c>
      <c r="S1017" s="0" t="n">
        <v>5</v>
      </c>
      <c r="T1017" s="21" t="s">
        <v>3680</v>
      </c>
      <c r="U1017" s="22" t="b">
        <f aca="false">TRUE()</f>
        <v>1</v>
      </c>
      <c r="V1017" s="0" t="n">
        <v>0.77</v>
      </c>
      <c r="W1017" s="0" t="n">
        <v>0</v>
      </c>
      <c r="X1017" s="0" t="n">
        <v>9.11</v>
      </c>
      <c r="Y1017" s="0" t="n">
        <v>4.03</v>
      </c>
      <c r="Z1017" s="0" t="n">
        <v>9.25</v>
      </c>
      <c r="AA1017" s="0" t="n">
        <v>4.35</v>
      </c>
      <c r="AB1017" s="0" t="n">
        <v>0.92</v>
      </c>
      <c r="AC1017" s="22" t="b">
        <f aca="false">FALSE()</f>
        <v>0</v>
      </c>
      <c r="AD1017" s="0" t="n">
        <v>6.26</v>
      </c>
      <c r="AE1017" s="0" t="n">
        <v>2</v>
      </c>
      <c r="AF1017" s="0" t="n">
        <v>3.17</v>
      </c>
      <c r="AG1017" s="22" t="b">
        <f aca="false">FALSE()</f>
        <v>0</v>
      </c>
      <c r="AH1017" s="0" t="n">
        <v>0</v>
      </c>
    </row>
    <row r="1018" customFormat="false" ht="15" hidden="false" customHeight="false" outlineLevel="0" collapsed="false">
      <c r="A1018" s="0" t="s">
        <v>1608</v>
      </c>
      <c r="B1018" s="0" t="s">
        <v>134</v>
      </c>
      <c r="C1018" s="0" t="s">
        <v>3450</v>
      </c>
      <c r="D1018" s="0" t="s">
        <v>3457</v>
      </c>
      <c r="E1018" s="18" t="s">
        <v>24</v>
      </c>
      <c r="F1018" s="18" t="s">
        <v>28</v>
      </c>
      <c r="H1018" s="21" t="s">
        <v>24</v>
      </c>
      <c r="I1018" s="21" t="s">
        <v>24</v>
      </c>
      <c r="J1018" s="21" t="s">
        <v>24</v>
      </c>
      <c r="K1018" s="21" t="s">
        <v>24</v>
      </c>
      <c r="L1018" s="21" t="s">
        <v>24</v>
      </c>
      <c r="M1018" s="0" t="n">
        <v>185</v>
      </c>
      <c r="N1018" s="0" t="n">
        <v>0</v>
      </c>
      <c r="Q1018" s="0" t="n">
        <v>0</v>
      </c>
      <c r="S1018" s="0" t="n">
        <v>0</v>
      </c>
      <c r="U1018" s="22" t="b">
        <f aca="false">FALSE()</f>
        <v>0</v>
      </c>
      <c r="V1018" s="0" t="n">
        <v>0.83</v>
      </c>
      <c r="W1018" s="0" t="n">
        <v>0.72</v>
      </c>
      <c r="X1018" s="0" t="n">
        <v>9.67</v>
      </c>
      <c r="Y1018" s="0" t="n">
        <v>312.59</v>
      </c>
      <c r="Z1018" s="0" t="n">
        <v>10.75</v>
      </c>
      <c r="AA1018" s="0" t="n">
        <v>11.56</v>
      </c>
      <c r="AB1018" s="0" t="n">
        <v>2.34</v>
      </c>
      <c r="AC1018" s="22" t="b">
        <f aca="false">FALSE()</f>
        <v>0</v>
      </c>
      <c r="AD1018" s="0" t="n">
        <v>4.19</v>
      </c>
      <c r="AE1018" s="0" t="n">
        <v>0.58</v>
      </c>
      <c r="AF1018" s="0" t="n">
        <v>1.7</v>
      </c>
      <c r="AG1018" s="22" t="b">
        <f aca="false">FALSE()</f>
        <v>0</v>
      </c>
      <c r="AH1018" s="0" t="n">
        <v>1</v>
      </c>
    </row>
    <row r="1019" customFormat="false" ht="15" hidden="false" customHeight="false" outlineLevel="0" collapsed="false">
      <c r="A1019" s="0" t="s">
        <v>1608</v>
      </c>
      <c r="B1019" s="0" t="s">
        <v>134</v>
      </c>
      <c r="C1019" s="0" t="s">
        <v>3450</v>
      </c>
      <c r="D1019" s="0" t="s">
        <v>3448</v>
      </c>
      <c r="E1019" s="18" t="s">
        <v>24</v>
      </c>
      <c r="F1019" s="18" t="s">
        <v>28</v>
      </c>
      <c r="H1019" s="21" t="s">
        <v>24</v>
      </c>
      <c r="I1019" s="21" t="s">
        <v>24</v>
      </c>
      <c r="J1019" s="21" t="s">
        <v>24</v>
      </c>
      <c r="K1019" s="21" t="s">
        <v>24</v>
      </c>
      <c r="L1019" s="21" t="s">
        <v>24</v>
      </c>
      <c r="M1019" s="0" t="n">
        <v>185</v>
      </c>
      <c r="N1019" s="0" t="n">
        <v>0</v>
      </c>
      <c r="Q1019" s="0" t="n">
        <v>0</v>
      </c>
      <c r="S1019" s="0" t="n">
        <v>0</v>
      </c>
      <c r="U1019" s="22" t="b">
        <f aca="false">FALSE()</f>
        <v>0</v>
      </c>
      <c r="V1019" s="0" t="n">
        <v>0.84</v>
      </c>
      <c r="W1019" s="0" t="n">
        <v>0.44</v>
      </c>
      <c r="X1019" s="0" t="n">
        <v>9.26</v>
      </c>
      <c r="Y1019" s="0" t="n">
        <v>347.89</v>
      </c>
      <c r="Z1019" s="0" t="n">
        <v>10.75</v>
      </c>
      <c r="AA1019" s="0" t="n">
        <v>7.79</v>
      </c>
      <c r="AB1019" s="0" t="n">
        <v>1.71</v>
      </c>
      <c r="AC1019" s="22" t="b">
        <f aca="false">FALSE()</f>
        <v>0</v>
      </c>
      <c r="AD1019" s="0" t="n">
        <v>5.1</v>
      </c>
      <c r="AE1019" s="0" t="n">
        <v>0.65</v>
      </c>
      <c r="AF1019" s="0" t="n">
        <v>4.44</v>
      </c>
      <c r="AG1019" s="22" t="b">
        <f aca="false">FALSE()</f>
        <v>0</v>
      </c>
      <c r="AH1019" s="0" t="n">
        <v>1</v>
      </c>
    </row>
    <row r="1020" customFormat="false" ht="15" hidden="false" customHeight="false" outlineLevel="0" collapsed="false">
      <c r="A1020" s="0" t="s">
        <v>1608</v>
      </c>
      <c r="B1020" s="0" t="s">
        <v>134</v>
      </c>
      <c r="C1020" s="0" t="s">
        <v>3447</v>
      </c>
      <c r="D1020" s="0" t="s">
        <v>3457</v>
      </c>
      <c r="E1020" s="19" t="s">
        <v>26</v>
      </c>
      <c r="F1020" s="19" t="s">
        <v>32</v>
      </c>
      <c r="G1020" s="21" t="s">
        <v>529</v>
      </c>
      <c r="H1020" s="21" t="s">
        <v>24</v>
      </c>
      <c r="I1020" s="21" t="s">
        <v>26</v>
      </c>
      <c r="J1020" s="21" t="s">
        <v>24</v>
      </c>
      <c r="K1020" s="21" t="s">
        <v>24</v>
      </c>
      <c r="L1020" s="21" t="s">
        <v>24</v>
      </c>
      <c r="M1020" s="0" t="n">
        <v>187</v>
      </c>
      <c r="N1020" s="0" t="n">
        <v>10</v>
      </c>
      <c r="O1020" s="21" t="s">
        <v>4011</v>
      </c>
      <c r="P1020" s="21" t="s">
        <v>4248</v>
      </c>
      <c r="Q1020" s="0" t="n">
        <v>1</v>
      </c>
      <c r="R1020" s="21" t="s">
        <v>69</v>
      </c>
      <c r="S1020" s="0" t="n">
        <v>10</v>
      </c>
      <c r="T1020" s="21" t="s">
        <v>4011</v>
      </c>
      <c r="U1020" s="22" t="b">
        <f aca="false">FALSE()</f>
        <v>0</v>
      </c>
      <c r="V1020" s="0" t="n">
        <v>0.84</v>
      </c>
      <c r="W1020" s="0" t="n">
        <v>0</v>
      </c>
      <c r="X1020" s="0" t="n">
        <v>10.26</v>
      </c>
      <c r="Y1020" s="0" t="n">
        <v>710.84</v>
      </c>
      <c r="Z1020" s="0" t="n">
        <v>10.5</v>
      </c>
      <c r="AA1020" s="0" t="n">
        <v>3.84</v>
      </c>
      <c r="AB1020" s="0" t="n">
        <v>2.34</v>
      </c>
      <c r="AC1020" s="22" t="b">
        <f aca="false">FALSE()</f>
        <v>0</v>
      </c>
      <c r="AD1020" s="0" t="n">
        <v>3.99</v>
      </c>
      <c r="AE1020" s="0" t="n">
        <v>0.43</v>
      </c>
      <c r="AF1020" s="0" t="n">
        <v>0.92</v>
      </c>
      <c r="AG1020" s="22" t="b">
        <f aca="false">FALSE()</f>
        <v>0</v>
      </c>
      <c r="AH1020" s="0" t="n">
        <v>1</v>
      </c>
    </row>
    <row r="1021" customFormat="false" ht="15" hidden="false" customHeight="false" outlineLevel="0" collapsed="false">
      <c r="A1021" s="0" t="s">
        <v>1608</v>
      </c>
      <c r="B1021" s="0" t="s">
        <v>134</v>
      </c>
      <c r="C1021" s="0" t="s">
        <v>3447</v>
      </c>
      <c r="D1021" s="0" t="s">
        <v>3448</v>
      </c>
      <c r="E1021" s="19" t="s">
        <v>26</v>
      </c>
      <c r="F1021" s="19" t="s">
        <v>32</v>
      </c>
      <c r="G1021" s="21" t="s">
        <v>529</v>
      </c>
      <c r="H1021" s="21" t="s">
        <v>24</v>
      </c>
      <c r="I1021" s="21" t="s">
        <v>26</v>
      </c>
      <c r="J1021" s="21" t="s">
        <v>24</v>
      </c>
      <c r="K1021" s="21" t="s">
        <v>24</v>
      </c>
      <c r="L1021" s="21" t="s">
        <v>24</v>
      </c>
      <c r="M1021" s="0" t="n">
        <v>184</v>
      </c>
      <c r="N1021" s="0" t="n">
        <v>12</v>
      </c>
      <c r="O1021" s="21" t="s">
        <v>4017</v>
      </c>
      <c r="P1021" s="21" t="s">
        <v>4414</v>
      </c>
      <c r="Q1021" s="0" t="n">
        <v>1</v>
      </c>
      <c r="R1021" s="21" t="s">
        <v>69</v>
      </c>
      <c r="S1021" s="0" t="n">
        <v>12</v>
      </c>
      <c r="T1021" s="21" t="s">
        <v>4017</v>
      </c>
      <c r="U1021" s="22" t="b">
        <f aca="false">FALSE()</f>
        <v>0</v>
      </c>
      <c r="V1021" s="0" t="n">
        <v>0.84</v>
      </c>
      <c r="W1021" s="0" t="n">
        <v>0.2</v>
      </c>
      <c r="X1021" s="0" t="n">
        <v>10.17</v>
      </c>
      <c r="Y1021" s="0" t="n">
        <v>505.34</v>
      </c>
      <c r="Z1021" s="0" t="n">
        <v>10.75</v>
      </c>
      <c r="AA1021" s="0" t="n">
        <v>3.56</v>
      </c>
      <c r="AB1021" s="0" t="n">
        <v>1.71</v>
      </c>
      <c r="AC1021" s="22" t="b">
        <f aca="false">FALSE()</f>
        <v>0</v>
      </c>
      <c r="AD1021" s="0" t="n">
        <v>5.24</v>
      </c>
      <c r="AE1021" s="0" t="n">
        <v>1.55</v>
      </c>
      <c r="AF1021" s="0" t="n">
        <v>3.04</v>
      </c>
      <c r="AG1021" s="22" t="b">
        <f aca="false">FALSE()</f>
        <v>0</v>
      </c>
      <c r="AH1021" s="0" t="n">
        <v>1</v>
      </c>
    </row>
    <row r="1022" customFormat="false" ht="15" hidden="false" customHeight="false" outlineLevel="0" collapsed="false">
      <c r="A1022" s="0" t="s">
        <v>1608</v>
      </c>
      <c r="B1022" s="0" t="s">
        <v>3459</v>
      </c>
      <c r="C1022" s="0" t="s">
        <v>3450</v>
      </c>
      <c r="D1022" s="0" t="s">
        <v>3457</v>
      </c>
      <c r="E1022" s="20" t="s">
        <v>25</v>
      </c>
      <c r="F1022" s="23" t="s">
        <v>30</v>
      </c>
      <c r="G1022" s="21" t="s">
        <v>283</v>
      </c>
      <c r="H1022" s="21" t="s">
        <v>24</v>
      </c>
      <c r="I1022" s="21" t="s">
        <v>25</v>
      </c>
      <c r="J1022" s="21" t="s">
        <v>24</v>
      </c>
      <c r="K1022" s="21" t="s">
        <v>24</v>
      </c>
      <c r="L1022" s="21" t="s">
        <v>24</v>
      </c>
      <c r="M1022" s="0" t="n">
        <v>188</v>
      </c>
      <c r="N1022" s="0" t="n">
        <v>2</v>
      </c>
      <c r="O1022" s="21" t="s">
        <v>3575</v>
      </c>
      <c r="P1022" s="21" t="s">
        <v>4265</v>
      </c>
      <c r="Q1022" s="0" t="n">
        <v>1</v>
      </c>
      <c r="R1022" s="21" t="s">
        <v>69</v>
      </c>
      <c r="S1022" s="0" t="n">
        <v>2</v>
      </c>
      <c r="T1022" s="21" t="s">
        <v>3575</v>
      </c>
      <c r="U1022" s="22" t="b">
        <f aca="false">TRUE()</f>
        <v>1</v>
      </c>
      <c r="V1022" s="0" t="n">
        <v>0.79</v>
      </c>
      <c r="W1022" s="0" t="n">
        <v>0.48</v>
      </c>
      <c r="X1022" s="0" t="n">
        <v>9.33</v>
      </c>
      <c r="Y1022" s="0" t="n">
        <v>329.42</v>
      </c>
      <c r="Z1022" s="0" t="n">
        <v>11.25</v>
      </c>
      <c r="AA1022" s="0" t="n">
        <v>11.16</v>
      </c>
      <c r="AB1022" s="0" t="n">
        <v>2.51</v>
      </c>
      <c r="AC1022" s="22" t="b">
        <f aca="false">FALSE()</f>
        <v>0</v>
      </c>
      <c r="AD1022" s="0" t="n">
        <v>18.37</v>
      </c>
      <c r="AE1022" s="0" t="n">
        <v>7.75</v>
      </c>
      <c r="AF1022" s="0" t="n">
        <v>15.46</v>
      </c>
      <c r="AG1022" s="22" t="b">
        <f aca="false">TRUE()</f>
        <v>1</v>
      </c>
      <c r="AH1022" s="0" t="n">
        <v>1</v>
      </c>
    </row>
    <row r="1023" customFormat="false" ht="15" hidden="false" customHeight="false" outlineLevel="0" collapsed="false">
      <c r="A1023" s="0" t="s">
        <v>1608</v>
      </c>
      <c r="B1023" s="0" t="s">
        <v>3459</v>
      </c>
      <c r="C1023" s="0" t="s">
        <v>3450</v>
      </c>
      <c r="D1023" s="0" t="s">
        <v>3448</v>
      </c>
      <c r="E1023" s="20" t="s">
        <v>25</v>
      </c>
      <c r="F1023" s="20" t="s">
        <v>29</v>
      </c>
      <c r="G1023" s="21" t="s">
        <v>63</v>
      </c>
      <c r="H1023" s="21" t="s">
        <v>24</v>
      </c>
      <c r="I1023" s="21" t="s">
        <v>24</v>
      </c>
      <c r="J1023" s="21" t="s">
        <v>24</v>
      </c>
      <c r="K1023" s="21" t="s">
        <v>25</v>
      </c>
      <c r="L1023" s="21" t="s">
        <v>24</v>
      </c>
      <c r="M1023" s="0" t="n">
        <v>182</v>
      </c>
      <c r="N1023" s="0" t="n">
        <v>0</v>
      </c>
      <c r="Q1023" s="0" t="n">
        <v>0</v>
      </c>
      <c r="S1023" s="0" t="n">
        <v>0</v>
      </c>
      <c r="U1023" s="22" t="b">
        <f aca="false">FALSE()</f>
        <v>0</v>
      </c>
      <c r="V1023" s="0" t="n">
        <v>0.81</v>
      </c>
      <c r="W1023" s="0" t="n">
        <v>0.4</v>
      </c>
      <c r="X1023" s="0" t="n">
        <v>9.1</v>
      </c>
      <c r="Y1023" s="0" t="n">
        <v>357.7</v>
      </c>
      <c r="Z1023" s="0" t="n">
        <v>11</v>
      </c>
      <c r="AA1023" s="0" t="n">
        <v>6.34</v>
      </c>
      <c r="AB1023" s="0" t="n">
        <v>1.05</v>
      </c>
      <c r="AC1023" s="22" t="b">
        <f aca="false">FALSE()</f>
        <v>0</v>
      </c>
      <c r="AD1023" s="0" t="n">
        <v>14.83</v>
      </c>
      <c r="AE1023" s="0" t="n">
        <v>6.92</v>
      </c>
      <c r="AF1023" s="0" t="n">
        <v>14.31</v>
      </c>
      <c r="AG1023" s="22" t="b">
        <f aca="false">TRUE()</f>
        <v>1</v>
      </c>
      <c r="AH1023" s="0" t="n">
        <v>1</v>
      </c>
    </row>
    <row r="1024" customFormat="false" ht="15" hidden="false" customHeight="false" outlineLevel="0" collapsed="false">
      <c r="A1024" s="0" t="s">
        <v>1608</v>
      </c>
      <c r="B1024" s="0" t="s">
        <v>3459</v>
      </c>
      <c r="C1024" s="0" t="s">
        <v>3447</v>
      </c>
      <c r="D1024" s="0" t="s">
        <v>3457</v>
      </c>
      <c r="E1024" s="18" t="s">
        <v>24</v>
      </c>
      <c r="F1024" s="18" t="s">
        <v>28</v>
      </c>
      <c r="H1024" s="21" t="s">
        <v>24</v>
      </c>
      <c r="I1024" s="21" t="s">
        <v>24</v>
      </c>
      <c r="J1024" s="21" t="s">
        <v>24</v>
      </c>
      <c r="K1024" s="21" t="s">
        <v>24</v>
      </c>
      <c r="L1024" s="21" t="s">
        <v>24</v>
      </c>
      <c r="M1024" s="0" t="n">
        <v>184</v>
      </c>
      <c r="N1024" s="0" t="n">
        <v>0</v>
      </c>
      <c r="Q1024" s="0" t="n">
        <v>0</v>
      </c>
      <c r="S1024" s="0" t="n">
        <v>0</v>
      </c>
      <c r="U1024" s="22" t="b">
        <f aca="false">FALSE()</f>
        <v>0</v>
      </c>
      <c r="V1024" s="0" t="n">
        <v>0.81</v>
      </c>
      <c r="W1024" s="0" t="n">
        <v>0.68</v>
      </c>
      <c r="X1024" s="0" t="n">
        <v>8.91</v>
      </c>
      <c r="Y1024" s="0" t="n">
        <v>312.81</v>
      </c>
      <c r="Z1024" s="0" t="n">
        <v>9.92</v>
      </c>
      <c r="AA1024" s="0" t="n">
        <v>-0.1</v>
      </c>
      <c r="AB1024" s="0" t="n">
        <v>2.51</v>
      </c>
      <c r="AC1024" s="22" t="b">
        <f aca="false">FALSE()</f>
        <v>0</v>
      </c>
      <c r="AD1024" s="0" t="n">
        <v>17.3</v>
      </c>
      <c r="AE1024" s="0" t="n">
        <v>8.65</v>
      </c>
      <c r="AF1024" s="0" t="n">
        <v>17.25</v>
      </c>
      <c r="AG1024" s="22" t="b">
        <f aca="false">TRUE()</f>
        <v>1</v>
      </c>
      <c r="AH1024" s="0" t="n">
        <v>1</v>
      </c>
    </row>
    <row r="1025" customFormat="false" ht="15" hidden="false" customHeight="false" outlineLevel="0" collapsed="false">
      <c r="A1025" s="0" t="s">
        <v>1608</v>
      </c>
      <c r="B1025" s="0" t="s">
        <v>3459</v>
      </c>
      <c r="C1025" s="0" t="s">
        <v>3447</v>
      </c>
      <c r="D1025" s="0" t="s">
        <v>3448</v>
      </c>
      <c r="E1025" s="20" t="s">
        <v>25</v>
      </c>
      <c r="F1025" s="23" t="s">
        <v>30</v>
      </c>
      <c r="G1025" s="21" t="s">
        <v>1099</v>
      </c>
      <c r="H1025" s="21" t="s">
        <v>24</v>
      </c>
      <c r="I1025" s="21" t="s">
        <v>25</v>
      </c>
      <c r="J1025" s="21" t="s">
        <v>24</v>
      </c>
      <c r="K1025" s="21" t="s">
        <v>25</v>
      </c>
      <c r="L1025" s="21" t="s">
        <v>24</v>
      </c>
      <c r="M1025" s="0" t="n">
        <v>190</v>
      </c>
      <c r="N1025" s="0" t="n">
        <v>6</v>
      </c>
      <c r="O1025" s="21" t="s">
        <v>3828</v>
      </c>
      <c r="P1025" s="21" t="s">
        <v>4615</v>
      </c>
      <c r="Q1025" s="0" t="n">
        <v>1</v>
      </c>
      <c r="R1025" s="21" t="s">
        <v>69</v>
      </c>
      <c r="S1025" s="0" t="n">
        <v>6</v>
      </c>
      <c r="T1025" s="21" t="s">
        <v>3828</v>
      </c>
      <c r="U1025" s="22" t="b">
        <f aca="false">TRUE()</f>
        <v>1</v>
      </c>
      <c r="V1025" s="0" t="n">
        <v>0.83</v>
      </c>
      <c r="W1025" s="0" t="n">
        <v>0.52</v>
      </c>
      <c r="X1025" s="0" t="n">
        <v>9.56</v>
      </c>
      <c r="Y1025" s="0" t="n">
        <v>341.04</v>
      </c>
      <c r="Z1025" s="0" t="n">
        <v>8.25</v>
      </c>
      <c r="AA1025" s="0" t="n">
        <v>-0.86</v>
      </c>
      <c r="AB1025" s="0" t="n">
        <v>1.05</v>
      </c>
      <c r="AC1025" s="22" t="b">
        <f aca="false">FALSE()</f>
        <v>0</v>
      </c>
      <c r="AD1025" s="0" t="n">
        <v>10.96</v>
      </c>
      <c r="AE1025" s="0" t="n">
        <v>3.88</v>
      </c>
      <c r="AF1025" s="0" t="n">
        <v>11.34</v>
      </c>
      <c r="AG1025" s="22" t="b">
        <f aca="false">TRUE()</f>
        <v>1</v>
      </c>
      <c r="AH1025" s="0" t="n">
        <v>1</v>
      </c>
    </row>
    <row r="1026" customFormat="false" ht="15" hidden="false" customHeight="false" outlineLevel="0" collapsed="false">
      <c r="A1026" s="0" t="s">
        <v>1614</v>
      </c>
      <c r="B1026" s="0" t="s">
        <v>134</v>
      </c>
      <c r="C1026" s="0" t="s">
        <v>3450</v>
      </c>
      <c r="D1026" s="0" t="s">
        <v>3457</v>
      </c>
      <c r="E1026" s="20" t="s">
        <v>25</v>
      </c>
      <c r="F1026" s="20" t="s">
        <v>29</v>
      </c>
      <c r="G1026" s="21" t="s">
        <v>62</v>
      </c>
      <c r="H1026" s="21" t="s">
        <v>24</v>
      </c>
      <c r="I1026" s="21" t="s">
        <v>24</v>
      </c>
      <c r="J1026" s="21" t="s">
        <v>24</v>
      </c>
      <c r="K1026" s="21" t="s">
        <v>25</v>
      </c>
      <c r="L1026" s="21" t="s">
        <v>24</v>
      </c>
      <c r="M1026" s="0" t="n">
        <v>182</v>
      </c>
      <c r="N1026" s="0" t="n">
        <v>0</v>
      </c>
      <c r="Q1026" s="0" t="n">
        <v>0</v>
      </c>
      <c r="S1026" s="0" t="n">
        <v>0</v>
      </c>
      <c r="U1026" s="22" t="b">
        <f aca="false">FALSE()</f>
        <v>0</v>
      </c>
      <c r="V1026" s="0" t="n">
        <v>0.7</v>
      </c>
      <c r="W1026" s="0" t="n">
        <v>0.84</v>
      </c>
      <c r="X1026" s="0" t="n">
        <v>7.63</v>
      </c>
      <c r="Y1026" s="0" t="n">
        <v>318.34</v>
      </c>
      <c r="Z1026" s="0" t="n">
        <v>9.5</v>
      </c>
      <c r="AA1026" s="0" t="n">
        <v>1.29</v>
      </c>
      <c r="AB1026" s="0" t="n">
        <v>67.3</v>
      </c>
      <c r="AC1026" s="22" t="b">
        <f aca="false">FALSE()</f>
        <v>0</v>
      </c>
      <c r="AD1026" s="0" t="n">
        <v>3.97</v>
      </c>
      <c r="AE1026" s="0" t="n">
        <v>0.13</v>
      </c>
      <c r="AF1026" s="0" t="n">
        <v>0.81</v>
      </c>
      <c r="AG1026" s="22" t="b">
        <f aca="false">FALSE()</f>
        <v>0</v>
      </c>
      <c r="AH1026" s="0" t="n">
        <v>1</v>
      </c>
    </row>
    <row r="1027" customFormat="false" ht="15" hidden="false" customHeight="false" outlineLevel="0" collapsed="false">
      <c r="A1027" s="0" t="s">
        <v>1614</v>
      </c>
      <c r="B1027" s="0" t="s">
        <v>134</v>
      </c>
      <c r="C1027" s="0" t="s">
        <v>3450</v>
      </c>
      <c r="D1027" s="0" t="s">
        <v>3448</v>
      </c>
      <c r="E1027" s="18" t="s">
        <v>24</v>
      </c>
      <c r="F1027" s="18" t="s">
        <v>28</v>
      </c>
      <c r="H1027" s="21" t="s">
        <v>24</v>
      </c>
      <c r="I1027" s="21" t="s">
        <v>24</v>
      </c>
      <c r="J1027" s="21" t="s">
        <v>24</v>
      </c>
      <c r="K1027" s="21" t="s">
        <v>24</v>
      </c>
      <c r="L1027" s="21" t="s">
        <v>24</v>
      </c>
      <c r="M1027" s="0" t="n">
        <v>182</v>
      </c>
      <c r="N1027" s="0" t="n">
        <v>0</v>
      </c>
      <c r="Q1027" s="0" t="n">
        <v>0</v>
      </c>
      <c r="S1027" s="0" t="n">
        <v>0</v>
      </c>
      <c r="U1027" s="22" t="b">
        <f aca="false">FALSE()</f>
        <v>0</v>
      </c>
      <c r="V1027" s="0" t="n">
        <v>0.78</v>
      </c>
      <c r="W1027" s="0" t="n">
        <v>0.4</v>
      </c>
      <c r="X1027" s="0" t="n">
        <v>6.78</v>
      </c>
      <c r="Y1027" s="0" t="n">
        <v>357.81</v>
      </c>
      <c r="Z1027" s="0" t="n">
        <v>10</v>
      </c>
      <c r="AA1027" s="0" t="n">
        <v>8.21</v>
      </c>
      <c r="AB1027" s="0" t="n">
        <v>6.19</v>
      </c>
      <c r="AC1027" s="22" t="b">
        <f aca="false">FALSE()</f>
        <v>0</v>
      </c>
      <c r="AD1027" s="0" t="n">
        <v>17.96</v>
      </c>
      <c r="AE1027" s="0" t="n">
        <v>7.57</v>
      </c>
      <c r="AF1027" s="0" t="n">
        <v>16.42</v>
      </c>
      <c r="AG1027" s="22" t="b">
        <f aca="false">TRUE()</f>
        <v>1</v>
      </c>
      <c r="AH1027" s="0" t="n">
        <v>1</v>
      </c>
    </row>
    <row r="1028" customFormat="false" ht="15" hidden="false" customHeight="false" outlineLevel="0" collapsed="false">
      <c r="A1028" s="0" t="s">
        <v>1614</v>
      </c>
      <c r="B1028" s="0" t="s">
        <v>134</v>
      </c>
      <c r="C1028" s="0" t="s">
        <v>3447</v>
      </c>
      <c r="D1028" s="0" t="s">
        <v>3457</v>
      </c>
      <c r="E1028" s="18" t="s">
        <v>24</v>
      </c>
      <c r="F1028" s="23" t="s">
        <v>30</v>
      </c>
      <c r="G1028" s="21" t="s">
        <v>30</v>
      </c>
      <c r="H1028" s="21" t="s">
        <v>24</v>
      </c>
      <c r="I1028" s="21" t="s">
        <v>24</v>
      </c>
      <c r="J1028" s="21" t="s">
        <v>24</v>
      </c>
      <c r="K1028" s="21" t="s">
        <v>24</v>
      </c>
      <c r="L1028" s="21" t="s">
        <v>24</v>
      </c>
      <c r="M1028" s="0" t="n">
        <v>191</v>
      </c>
      <c r="N1028" s="0" t="n">
        <v>4</v>
      </c>
      <c r="O1028" s="21" t="s">
        <v>3674</v>
      </c>
      <c r="P1028" s="21" t="s">
        <v>4616</v>
      </c>
      <c r="Q1028" s="0" t="n">
        <v>0</v>
      </c>
      <c r="S1028" s="0" t="n">
        <v>4</v>
      </c>
      <c r="T1028" s="21" t="s">
        <v>3674</v>
      </c>
      <c r="U1028" s="22" t="b">
        <f aca="false">TRUE()</f>
        <v>1</v>
      </c>
      <c r="V1028" s="0" t="n">
        <v>0.69</v>
      </c>
      <c r="W1028" s="0" t="n">
        <v>0.12</v>
      </c>
      <c r="X1028" s="0" t="n">
        <v>8.66</v>
      </c>
      <c r="Y1028" s="0" t="n">
        <v>653.01</v>
      </c>
      <c r="Z1028" s="0" t="n">
        <v>11.08</v>
      </c>
      <c r="AA1028" s="0" t="n">
        <v>0.31</v>
      </c>
      <c r="AB1028" s="0" t="n">
        <v>67.3</v>
      </c>
      <c r="AC1028" s="22" t="b">
        <f aca="false">FALSE()</f>
        <v>0</v>
      </c>
      <c r="AD1028" s="0" t="n">
        <v>7.44</v>
      </c>
      <c r="AE1028" s="0" t="n">
        <v>1.83</v>
      </c>
      <c r="AF1028" s="0" t="n">
        <v>1.46</v>
      </c>
      <c r="AG1028" s="22" t="b">
        <f aca="false">FALSE()</f>
        <v>0</v>
      </c>
      <c r="AH1028" s="0" t="n">
        <v>1</v>
      </c>
    </row>
    <row r="1029" customFormat="false" ht="15" hidden="false" customHeight="false" outlineLevel="0" collapsed="false">
      <c r="A1029" s="0" t="s">
        <v>1614</v>
      </c>
      <c r="B1029" s="0" t="s">
        <v>134</v>
      </c>
      <c r="C1029" s="0" t="s">
        <v>3447</v>
      </c>
      <c r="D1029" s="0" t="s">
        <v>3448</v>
      </c>
      <c r="E1029" s="20" t="s">
        <v>25</v>
      </c>
      <c r="F1029" s="23" t="s">
        <v>30</v>
      </c>
      <c r="G1029" s="21" t="s">
        <v>183</v>
      </c>
      <c r="H1029" s="21" t="s">
        <v>24</v>
      </c>
      <c r="I1029" s="21" t="s">
        <v>25</v>
      </c>
      <c r="J1029" s="21" t="s">
        <v>24</v>
      </c>
      <c r="K1029" s="21" t="s">
        <v>25</v>
      </c>
      <c r="L1029" s="21" t="s">
        <v>24</v>
      </c>
      <c r="M1029" s="0" t="n">
        <v>182</v>
      </c>
      <c r="N1029" s="0" t="n">
        <v>6</v>
      </c>
      <c r="O1029" s="21" t="s">
        <v>3836</v>
      </c>
      <c r="P1029" s="21" t="s">
        <v>4617</v>
      </c>
      <c r="Q1029" s="0" t="n">
        <v>1</v>
      </c>
      <c r="R1029" s="21" t="s">
        <v>69</v>
      </c>
      <c r="S1029" s="0" t="n">
        <v>6</v>
      </c>
      <c r="T1029" s="21" t="s">
        <v>3836</v>
      </c>
      <c r="U1029" s="22" t="b">
        <f aca="false">TRUE()</f>
        <v>1</v>
      </c>
      <c r="V1029" s="0" t="n">
        <v>0.78</v>
      </c>
      <c r="W1029" s="0" t="n">
        <v>0</v>
      </c>
      <c r="X1029" s="0" t="n">
        <v>7.61</v>
      </c>
      <c r="Y1029" s="0" t="n">
        <v>718.34</v>
      </c>
      <c r="Z1029" s="0" t="n">
        <v>10.75</v>
      </c>
      <c r="AA1029" s="0" t="n">
        <v>4.61</v>
      </c>
      <c r="AB1029" s="0" t="n">
        <v>6.19</v>
      </c>
      <c r="AC1029" s="22" t="b">
        <f aca="false">FALSE()</f>
        <v>0</v>
      </c>
      <c r="AD1029" s="0" t="n">
        <v>21.94</v>
      </c>
      <c r="AE1029" s="0" t="n">
        <v>9.49</v>
      </c>
      <c r="AF1029" s="0" t="n">
        <v>16.81</v>
      </c>
      <c r="AG1029" s="22" t="b">
        <f aca="false">TRUE()</f>
        <v>1</v>
      </c>
      <c r="AH1029" s="0" t="n">
        <v>1</v>
      </c>
    </row>
    <row r="1030" customFormat="false" ht="15" hidden="false" customHeight="false" outlineLevel="0" collapsed="false">
      <c r="A1030" s="0" t="s">
        <v>1614</v>
      </c>
      <c r="B1030" s="0" t="s">
        <v>3459</v>
      </c>
      <c r="C1030" s="0" t="s">
        <v>3450</v>
      </c>
      <c r="D1030" s="0" t="s">
        <v>3457</v>
      </c>
      <c r="E1030" s="20" t="s">
        <v>25</v>
      </c>
      <c r="F1030" s="23" t="s">
        <v>30</v>
      </c>
      <c r="G1030" s="21" t="s">
        <v>183</v>
      </c>
      <c r="H1030" s="21" t="s">
        <v>24</v>
      </c>
      <c r="I1030" s="21" t="s">
        <v>25</v>
      </c>
      <c r="J1030" s="21" t="s">
        <v>24</v>
      </c>
      <c r="K1030" s="21" t="s">
        <v>25</v>
      </c>
      <c r="L1030" s="21" t="s">
        <v>24</v>
      </c>
      <c r="M1030" s="0" t="n">
        <v>192</v>
      </c>
      <c r="N1030" s="0" t="n">
        <v>1</v>
      </c>
      <c r="O1030" s="21" t="s">
        <v>69</v>
      </c>
      <c r="P1030" s="21" t="s">
        <v>4275</v>
      </c>
      <c r="Q1030" s="0" t="n">
        <v>1</v>
      </c>
      <c r="R1030" s="21" t="s">
        <v>69</v>
      </c>
      <c r="S1030" s="0" t="n">
        <v>1</v>
      </c>
      <c r="T1030" s="21" t="s">
        <v>69</v>
      </c>
      <c r="U1030" s="22" t="b">
        <f aca="false">TRUE()</f>
        <v>1</v>
      </c>
      <c r="V1030" s="0" t="n">
        <v>0.73</v>
      </c>
      <c r="W1030" s="0" t="n">
        <v>0.24</v>
      </c>
      <c r="X1030" s="0" t="n">
        <v>6.73</v>
      </c>
      <c r="Y1030" s="0" t="n">
        <v>431.11</v>
      </c>
      <c r="Z1030" s="0" t="n">
        <v>9.5</v>
      </c>
      <c r="AA1030" s="0" t="n">
        <v>20.93</v>
      </c>
      <c r="AB1030" s="0" t="n">
        <v>4.86</v>
      </c>
      <c r="AC1030" s="22" t="b">
        <f aca="false">FALSE()</f>
        <v>0</v>
      </c>
      <c r="AD1030" s="0" t="n">
        <v>24.14</v>
      </c>
      <c r="AE1030" s="0" t="n">
        <v>13.19</v>
      </c>
      <c r="AF1030" s="0" t="n">
        <v>22.91</v>
      </c>
      <c r="AG1030" s="22" t="b">
        <f aca="false">TRUE()</f>
        <v>1</v>
      </c>
      <c r="AH1030" s="0" t="n">
        <v>1</v>
      </c>
    </row>
    <row r="1031" customFormat="false" ht="15" hidden="false" customHeight="false" outlineLevel="0" collapsed="false">
      <c r="A1031" s="0" t="s">
        <v>1614</v>
      </c>
      <c r="B1031" s="0" t="s">
        <v>3459</v>
      </c>
      <c r="C1031" s="0" t="s">
        <v>3450</v>
      </c>
      <c r="D1031" s="0" t="s">
        <v>3448</v>
      </c>
      <c r="E1031" s="20" t="s">
        <v>25</v>
      </c>
      <c r="F1031" s="20" t="s">
        <v>29</v>
      </c>
      <c r="G1031" s="21" t="s">
        <v>61</v>
      </c>
      <c r="H1031" s="21" t="s">
        <v>24</v>
      </c>
      <c r="I1031" s="21" t="s">
        <v>24</v>
      </c>
      <c r="J1031" s="21" t="s">
        <v>24</v>
      </c>
      <c r="K1031" s="21" t="s">
        <v>25</v>
      </c>
      <c r="L1031" s="21" t="s">
        <v>24</v>
      </c>
      <c r="M1031" s="0" t="n">
        <v>183</v>
      </c>
      <c r="N1031" s="0" t="n">
        <v>0</v>
      </c>
      <c r="Q1031" s="0" t="n">
        <v>0</v>
      </c>
      <c r="S1031" s="0" t="n">
        <v>0</v>
      </c>
      <c r="U1031" s="22" t="b">
        <f aca="false">FALSE()</f>
        <v>0</v>
      </c>
      <c r="V1031" s="0" t="n">
        <v>0.79</v>
      </c>
      <c r="W1031" s="0" t="n">
        <v>0.44</v>
      </c>
      <c r="X1031" s="0" t="n">
        <v>7.98</v>
      </c>
      <c r="Y1031" s="0" t="n">
        <v>344.28</v>
      </c>
      <c r="Z1031" s="0" t="n">
        <v>9.5</v>
      </c>
      <c r="AA1031" s="0" t="n">
        <v>19.24</v>
      </c>
      <c r="AB1031" s="0" t="n">
        <v>1.82</v>
      </c>
      <c r="AC1031" s="22" t="b">
        <f aca="false">FALSE()</f>
        <v>0</v>
      </c>
      <c r="AD1031" s="0" t="n">
        <v>22.85</v>
      </c>
      <c r="AE1031" s="0" t="n">
        <v>12.88</v>
      </c>
      <c r="AF1031" s="0" t="n">
        <v>22.09</v>
      </c>
      <c r="AG1031" s="22" t="b">
        <f aca="false">TRUE()</f>
        <v>1</v>
      </c>
      <c r="AH1031" s="0" t="n">
        <v>1</v>
      </c>
    </row>
    <row r="1032" customFormat="false" ht="15" hidden="false" customHeight="false" outlineLevel="0" collapsed="false">
      <c r="A1032" s="0" t="s">
        <v>1614</v>
      </c>
      <c r="B1032" s="0" t="s">
        <v>3459</v>
      </c>
      <c r="C1032" s="0" t="s">
        <v>3447</v>
      </c>
      <c r="D1032" s="0" t="s">
        <v>3457</v>
      </c>
      <c r="E1032" s="18" t="s">
        <v>24</v>
      </c>
      <c r="F1032" s="23" t="s">
        <v>30</v>
      </c>
      <c r="G1032" s="21" t="s">
        <v>30</v>
      </c>
      <c r="H1032" s="21" t="s">
        <v>24</v>
      </c>
      <c r="I1032" s="21" t="s">
        <v>24</v>
      </c>
      <c r="J1032" s="21" t="s">
        <v>24</v>
      </c>
      <c r="K1032" s="21" t="s">
        <v>24</v>
      </c>
      <c r="L1032" s="21" t="s">
        <v>24</v>
      </c>
      <c r="M1032" s="0" t="n">
        <v>188</v>
      </c>
      <c r="N1032" s="0" t="n">
        <v>4</v>
      </c>
      <c r="O1032" s="21" t="s">
        <v>3688</v>
      </c>
      <c r="P1032" s="21" t="s">
        <v>4618</v>
      </c>
      <c r="Q1032" s="0" t="n">
        <v>0</v>
      </c>
      <c r="S1032" s="0" t="n">
        <v>4</v>
      </c>
      <c r="T1032" s="21" t="s">
        <v>3688</v>
      </c>
      <c r="U1032" s="22" t="b">
        <f aca="false">TRUE()</f>
        <v>1</v>
      </c>
      <c r="V1032" s="0" t="n">
        <v>0.7</v>
      </c>
      <c r="W1032" s="0" t="n">
        <v>0.64</v>
      </c>
      <c r="X1032" s="0" t="n">
        <v>7.5</v>
      </c>
      <c r="Y1032" s="0" t="n">
        <v>327.26</v>
      </c>
      <c r="Z1032" s="0" t="n">
        <v>9.17</v>
      </c>
      <c r="AA1032" s="0" t="n">
        <v>-0.01</v>
      </c>
      <c r="AB1032" s="0" t="n">
        <v>4.86</v>
      </c>
      <c r="AC1032" s="22" t="b">
        <f aca="false">FALSE()</f>
        <v>0</v>
      </c>
      <c r="AD1032" s="0" t="n">
        <v>15.74</v>
      </c>
      <c r="AE1032" s="0" t="n">
        <v>6.73</v>
      </c>
      <c r="AF1032" s="0" t="n">
        <v>16.66</v>
      </c>
      <c r="AG1032" s="22" t="b">
        <f aca="false">TRUE()</f>
        <v>1</v>
      </c>
      <c r="AH1032" s="0" t="n">
        <v>1</v>
      </c>
    </row>
    <row r="1033" customFormat="false" ht="15" hidden="false" customHeight="false" outlineLevel="0" collapsed="false">
      <c r="A1033" s="0" t="s">
        <v>1614</v>
      </c>
      <c r="B1033" s="0" t="s">
        <v>3459</v>
      </c>
      <c r="C1033" s="0" t="s">
        <v>3447</v>
      </c>
      <c r="D1033" s="0" t="s">
        <v>3448</v>
      </c>
      <c r="E1033" s="19" t="s">
        <v>26</v>
      </c>
      <c r="F1033" s="19" t="s">
        <v>32</v>
      </c>
      <c r="G1033" s="21" t="s">
        <v>60</v>
      </c>
      <c r="H1033" s="21" t="s">
        <v>24</v>
      </c>
      <c r="I1033" s="21" t="s">
        <v>26</v>
      </c>
      <c r="J1033" s="21" t="s">
        <v>24</v>
      </c>
      <c r="K1033" s="21" t="s">
        <v>24</v>
      </c>
      <c r="L1033" s="21" t="s">
        <v>24</v>
      </c>
      <c r="M1033" s="0" t="n">
        <v>184</v>
      </c>
      <c r="N1033" s="0" t="n">
        <v>9</v>
      </c>
      <c r="O1033" s="21" t="s">
        <v>3924</v>
      </c>
      <c r="P1033" s="21" t="s">
        <v>4619</v>
      </c>
      <c r="Q1033" s="0" t="n">
        <v>0</v>
      </c>
      <c r="S1033" s="0" t="n">
        <v>9</v>
      </c>
      <c r="T1033" s="21" t="s">
        <v>3924</v>
      </c>
      <c r="U1033" s="22" t="b">
        <f aca="false">FALSE()</f>
        <v>0</v>
      </c>
      <c r="V1033" s="0" t="n">
        <v>0.79</v>
      </c>
      <c r="W1033" s="0" t="n">
        <v>0.76</v>
      </c>
      <c r="X1033" s="0" t="n">
        <v>6.75</v>
      </c>
      <c r="Y1033" s="0" t="n">
        <v>322.47</v>
      </c>
      <c r="Z1033" s="0" t="n">
        <v>8</v>
      </c>
      <c r="AA1033" s="0" t="n">
        <v>-1.16</v>
      </c>
      <c r="AB1033" s="0" t="n">
        <v>1.82</v>
      </c>
      <c r="AC1033" s="22" t="b">
        <f aca="false">FALSE()</f>
        <v>0</v>
      </c>
      <c r="AD1033" s="0" t="n">
        <v>9.75</v>
      </c>
      <c r="AE1033" s="0" t="n">
        <v>3.7</v>
      </c>
      <c r="AF1033" s="0" t="n">
        <v>11.92</v>
      </c>
      <c r="AG1033" s="22" t="b">
        <f aca="false">FALSE()</f>
        <v>0</v>
      </c>
      <c r="AH1033" s="0" t="n">
        <v>1</v>
      </c>
    </row>
    <row r="1034" customFormat="false" ht="15" hidden="false" customHeight="false" outlineLevel="0" collapsed="false">
      <c r="A1034" s="0" t="s">
        <v>1620</v>
      </c>
      <c r="B1034" s="0" t="s">
        <v>134</v>
      </c>
      <c r="C1034" s="0" t="s">
        <v>3450</v>
      </c>
      <c r="D1034" s="0" t="s">
        <v>3457</v>
      </c>
      <c r="E1034" s="19" t="s">
        <v>26</v>
      </c>
      <c r="F1034" s="19" t="s">
        <v>32</v>
      </c>
      <c r="G1034" s="21" t="s">
        <v>3882</v>
      </c>
      <c r="H1034" s="21" t="s">
        <v>24</v>
      </c>
      <c r="I1034" s="21" t="s">
        <v>26</v>
      </c>
      <c r="J1034" s="21" t="s">
        <v>24</v>
      </c>
      <c r="K1034" s="21" t="s">
        <v>25</v>
      </c>
      <c r="L1034" s="21" t="s">
        <v>24</v>
      </c>
      <c r="M1034" s="0" t="n">
        <v>184</v>
      </c>
      <c r="N1034" s="0" t="n">
        <v>6</v>
      </c>
      <c r="O1034" s="21" t="s">
        <v>4104</v>
      </c>
      <c r="P1034" s="21" t="s">
        <v>4620</v>
      </c>
      <c r="Q1034" s="0" t="n">
        <v>2</v>
      </c>
      <c r="R1034" s="21" t="s">
        <v>3871</v>
      </c>
      <c r="S1034" s="0" t="n">
        <v>6</v>
      </c>
      <c r="T1034" s="21" t="s">
        <v>4104</v>
      </c>
      <c r="U1034" s="22" t="b">
        <f aca="false">FALSE()</f>
        <v>0</v>
      </c>
      <c r="V1034" s="0" t="n">
        <v>0.7</v>
      </c>
      <c r="W1034" s="0" t="n">
        <v>0.84</v>
      </c>
      <c r="X1034" s="0" t="n">
        <v>6.51</v>
      </c>
      <c r="Y1034" s="0" t="n">
        <v>318.85</v>
      </c>
      <c r="Z1034" s="0" t="n">
        <v>8.08</v>
      </c>
      <c r="AA1034" s="0" t="n">
        <v>-1.2</v>
      </c>
      <c r="AB1034" s="0" t="n">
        <v>2.42</v>
      </c>
      <c r="AC1034" s="22" t="b">
        <f aca="false">FALSE()</f>
        <v>0</v>
      </c>
      <c r="AD1034" s="0" t="n">
        <v>19.07</v>
      </c>
      <c r="AE1034" s="0" t="n">
        <v>9.57</v>
      </c>
      <c r="AF1034" s="0" t="n">
        <v>18.73</v>
      </c>
      <c r="AG1034" s="22" t="b">
        <f aca="false">TRUE()</f>
        <v>1</v>
      </c>
      <c r="AH1034" s="0" t="n">
        <v>1</v>
      </c>
    </row>
    <row r="1035" customFormat="false" ht="15" hidden="false" customHeight="false" outlineLevel="0" collapsed="false">
      <c r="A1035" s="0" t="s">
        <v>1620</v>
      </c>
      <c r="B1035" s="0" t="s">
        <v>134</v>
      </c>
      <c r="C1035" s="0" t="s">
        <v>3450</v>
      </c>
      <c r="D1035" s="0" t="s">
        <v>3448</v>
      </c>
      <c r="E1035" s="20" t="s">
        <v>25</v>
      </c>
      <c r="F1035" s="20" t="s">
        <v>29</v>
      </c>
      <c r="G1035" s="21" t="s">
        <v>3473</v>
      </c>
      <c r="H1035" s="21" t="s">
        <v>24</v>
      </c>
      <c r="I1035" s="21" t="s">
        <v>24</v>
      </c>
      <c r="J1035" s="21" t="s">
        <v>24</v>
      </c>
      <c r="K1035" s="21" t="s">
        <v>25</v>
      </c>
      <c r="L1035" s="21" t="s">
        <v>24</v>
      </c>
      <c r="M1035" s="0" t="n">
        <v>183</v>
      </c>
      <c r="N1035" s="0" t="n">
        <v>0</v>
      </c>
      <c r="Q1035" s="0" t="n">
        <v>0</v>
      </c>
      <c r="S1035" s="0" t="n">
        <v>0</v>
      </c>
      <c r="U1035" s="22" t="b">
        <f aca="false">FALSE()</f>
        <v>0</v>
      </c>
      <c r="V1035" s="0" t="n">
        <v>0.72</v>
      </c>
      <c r="W1035" s="0" t="n">
        <v>0.68</v>
      </c>
      <c r="X1035" s="0" t="n">
        <v>5.8</v>
      </c>
      <c r="Y1035" s="0" t="n">
        <v>320.85</v>
      </c>
      <c r="Z1035" s="0" t="n">
        <v>10.67</v>
      </c>
      <c r="AA1035" s="0" t="n">
        <v>2.18</v>
      </c>
      <c r="AB1035" s="0" t="n">
        <v>0.03</v>
      </c>
      <c r="AC1035" s="22" t="b">
        <f aca="false">TRUE()</f>
        <v>1</v>
      </c>
      <c r="AD1035" s="0" t="n">
        <v>26.57</v>
      </c>
      <c r="AE1035" s="0" t="n">
        <v>14.54</v>
      </c>
      <c r="AF1035" s="0" t="n">
        <v>22.17</v>
      </c>
      <c r="AG1035" s="22" t="b">
        <f aca="false">TRUE()</f>
        <v>1</v>
      </c>
      <c r="AH1035" s="0" t="n">
        <v>1</v>
      </c>
    </row>
    <row r="1036" customFormat="false" ht="15" hidden="false" customHeight="false" outlineLevel="0" collapsed="false">
      <c r="A1036" s="0" t="s">
        <v>1620</v>
      </c>
      <c r="B1036" s="0" t="s">
        <v>134</v>
      </c>
      <c r="C1036" s="0" t="s">
        <v>3447</v>
      </c>
      <c r="D1036" s="0" t="s">
        <v>3457</v>
      </c>
      <c r="E1036" s="19" t="s">
        <v>26</v>
      </c>
      <c r="F1036" s="19" t="s">
        <v>32</v>
      </c>
      <c r="G1036" s="21" t="s">
        <v>3875</v>
      </c>
      <c r="H1036" s="21" t="s">
        <v>24</v>
      </c>
      <c r="I1036" s="21" t="s">
        <v>26</v>
      </c>
      <c r="J1036" s="21" t="s">
        <v>24</v>
      </c>
      <c r="K1036" s="21" t="s">
        <v>25</v>
      </c>
      <c r="L1036" s="21" t="s">
        <v>24</v>
      </c>
      <c r="M1036" s="0" t="n">
        <v>186</v>
      </c>
      <c r="N1036" s="0" t="n">
        <v>5</v>
      </c>
      <c r="O1036" s="21" t="s">
        <v>4014</v>
      </c>
      <c r="P1036" s="21" t="s">
        <v>4621</v>
      </c>
      <c r="Q1036" s="0" t="n">
        <v>2</v>
      </c>
      <c r="R1036" s="21" t="s">
        <v>3871</v>
      </c>
      <c r="S1036" s="0" t="n">
        <v>5</v>
      </c>
      <c r="T1036" s="21" t="s">
        <v>4014</v>
      </c>
      <c r="U1036" s="22" t="b">
        <f aca="false">FALSE()</f>
        <v>0</v>
      </c>
      <c r="V1036" s="0" t="n">
        <v>0.72</v>
      </c>
      <c r="W1036" s="0" t="n">
        <v>0.6</v>
      </c>
      <c r="X1036" s="0" t="n">
        <v>6.12</v>
      </c>
      <c r="Y1036" s="0" t="n">
        <v>325.21</v>
      </c>
      <c r="Z1036" s="0" t="n">
        <v>8</v>
      </c>
      <c r="AA1036" s="0" t="n">
        <v>-0.54</v>
      </c>
      <c r="AB1036" s="0" t="n">
        <v>2.42</v>
      </c>
      <c r="AC1036" s="22" t="b">
        <f aca="false">FALSE()</f>
        <v>0</v>
      </c>
      <c r="AD1036" s="0" t="n">
        <v>23.31</v>
      </c>
      <c r="AE1036" s="0" t="n">
        <v>11.94</v>
      </c>
      <c r="AF1036" s="0" t="n">
        <v>20.92</v>
      </c>
      <c r="AG1036" s="22" t="b">
        <f aca="false">TRUE()</f>
        <v>1</v>
      </c>
      <c r="AH1036" s="0" t="n">
        <v>1</v>
      </c>
    </row>
    <row r="1037" customFormat="false" ht="15" hidden="false" customHeight="false" outlineLevel="0" collapsed="false">
      <c r="A1037" s="0" t="s">
        <v>1620</v>
      </c>
      <c r="B1037" s="0" t="s">
        <v>134</v>
      </c>
      <c r="C1037" s="0" t="s">
        <v>3447</v>
      </c>
      <c r="D1037" s="0" t="s">
        <v>3448</v>
      </c>
      <c r="E1037" s="20" t="s">
        <v>25</v>
      </c>
      <c r="F1037" s="20" t="s">
        <v>29</v>
      </c>
      <c r="G1037" s="21" t="s">
        <v>64</v>
      </c>
      <c r="H1037" s="21" t="s">
        <v>24</v>
      </c>
      <c r="I1037" s="21" t="s">
        <v>24</v>
      </c>
      <c r="J1037" s="21" t="s">
        <v>24</v>
      </c>
      <c r="K1037" s="21" t="s">
        <v>25</v>
      </c>
      <c r="L1037" s="21" t="s">
        <v>24</v>
      </c>
      <c r="M1037" s="0" t="n">
        <v>184</v>
      </c>
      <c r="N1037" s="0" t="n">
        <v>0</v>
      </c>
      <c r="Q1037" s="0" t="n">
        <v>0</v>
      </c>
      <c r="S1037" s="0" t="n">
        <v>0</v>
      </c>
      <c r="U1037" s="22" t="b">
        <f aca="false">FALSE()</f>
        <v>0</v>
      </c>
      <c r="V1037" s="0" t="n">
        <v>0.72</v>
      </c>
      <c r="W1037" s="0" t="n">
        <v>0.88</v>
      </c>
      <c r="X1037" s="0" t="n">
        <v>6.92</v>
      </c>
      <c r="Y1037" s="0" t="n">
        <v>320.74</v>
      </c>
      <c r="Z1037" s="0" t="n">
        <v>8</v>
      </c>
      <c r="AA1037" s="0" t="n">
        <v>-1.11</v>
      </c>
      <c r="AB1037" s="0" t="n">
        <v>0.03</v>
      </c>
      <c r="AC1037" s="22" t="b">
        <f aca="false">FALSE()</f>
        <v>0</v>
      </c>
      <c r="AD1037" s="0" t="n">
        <v>10.81</v>
      </c>
      <c r="AE1037" s="0" t="n">
        <v>3.45</v>
      </c>
      <c r="AF1037" s="0" t="n">
        <v>11.03</v>
      </c>
      <c r="AG1037" s="22" t="b">
        <f aca="false">TRUE()</f>
        <v>1</v>
      </c>
      <c r="AH1037" s="0" t="n">
        <v>1</v>
      </c>
    </row>
    <row r="1038" customFormat="false" ht="15" hidden="false" customHeight="false" outlineLevel="0" collapsed="false">
      <c r="A1038" s="0" t="s">
        <v>1627</v>
      </c>
      <c r="B1038" s="0" t="s">
        <v>134</v>
      </c>
      <c r="C1038" s="0" t="s">
        <v>3450</v>
      </c>
      <c r="D1038" s="0" t="s">
        <v>3457</v>
      </c>
      <c r="E1038" s="20" t="s">
        <v>25</v>
      </c>
      <c r="F1038" s="20" t="s">
        <v>29</v>
      </c>
      <c r="G1038" s="21" t="s">
        <v>64</v>
      </c>
      <c r="H1038" s="21" t="s">
        <v>24</v>
      </c>
      <c r="I1038" s="21" t="s">
        <v>24</v>
      </c>
      <c r="J1038" s="21" t="s">
        <v>24</v>
      </c>
      <c r="K1038" s="21" t="s">
        <v>25</v>
      </c>
      <c r="L1038" s="21" t="s">
        <v>24</v>
      </c>
      <c r="M1038" s="0" t="n">
        <v>185</v>
      </c>
      <c r="N1038" s="0" t="n">
        <v>0</v>
      </c>
      <c r="Q1038" s="0" t="n">
        <v>0</v>
      </c>
      <c r="S1038" s="0" t="n">
        <v>0</v>
      </c>
      <c r="U1038" s="22" t="b">
        <f aca="false">FALSE()</f>
        <v>0</v>
      </c>
      <c r="V1038" s="0" t="n">
        <v>0.66</v>
      </c>
      <c r="W1038" s="0" t="n">
        <v>0.76</v>
      </c>
      <c r="X1038" s="0" t="n">
        <v>6.52</v>
      </c>
      <c r="Y1038" s="0" t="n">
        <v>324.21</v>
      </c>
      <c r="Z1038" s="0" t="n">
        <v>9.5</v>
      </c>
      <c r="AA1038" s="0" t="n">
        <v>10.23</v>
      </c>
      <c r="AB1038" s="0" t="n">
        <v>0.08</v>
      </c>
      <c r="AC1038" s="22" t="b">
        <f aca="false">FALSE()</f>
        <v>0</v>
      </c>
      <c r="AD1038" s="0" t="n">
        <v>13.54</v>
      </c>
      <c r="AE1038" s="0" t="n">
        <v>0.48</v>
      </c>
      <c r="AF1038" s="0" t="n">
        <v>6.8</v>
      </c>
      <c r="AG1038" s="22" t="b">
        <f aca="false">TRUE()</f>
        <v>1</v>
      </c>
      <c r="AH1038" s="0" t="n">
        <v>1</v>
      </c>
    </row>
    <row r="1039" customFormat="false" ht="15" hidden="false" customHeight="false" outlineLevel="0" collapsed="false">
      <c r="A1039" s="0" t="s">
        <v>1627</v>
      </c>
      <c r="B1039" s="0" t="s">
        <v>134</v>
      </c>
      <c r="C1039" s="0" t="s">
        <v>3450</v>
      </c>
      <c r="D1039" s="0" t="s">
        <v>3448</v>
      </c>
      <c r="E1039" s="20" t="s">
        <v>25</v>
      </c>
      <c r="F1039" s="20" t="s">
        <v>29</v>
      </c>
      <c r="G1039" s="21" t="s">
        <v>63</v>
      </c>
      <c r="H1039" s="21" t="s">
        <v>24</v>
      </c>
      <c r="I1039" s="21" t="s">
        <v>24</v>
      </c>
      <c r="J1039" s="21" t="s">
        <v>24</v>
      </c>
      <c r="K1039" s="21" t="s">
        <v>25</v>
      </c>
      <c r="L1039" s="21" t="s">
        <v>24</v>
      </c>
      <c r="M1039" s="0" t="n">
        <v>187</v>
      </c>
      <c r="N1039" s="0" t="n">
        <v>0</v>
      </c>
      <c r="Q1039" s="0" t="n">
        <v>0</v>
      </c>
      <c r="S1039" s="0" t="n">
        <v>0</v>
      </c>
      <c r="U1039" s="22" t="b">
        <f aca="false">FALSE()</f>
        <v>0</v>
      </c>
      <c r="V1039" s="0" t="n">
        <v>0.72</v>
      </c>
      <c r="W1039" s="0" t="n">
        <v>0.56</v>
      </c>
      <c r="X1039" s="0" t="n">
        <v>7.17</v>
      </c>
      <c r="Y1039" s="0" t="n">
        <v>324.02</v>
      </c>
      <c r="Z1039" s="0" t="n">
        <v>8.83</v>
      </c>
      <c r="AA1039" s="0" t="n">
        <v>6.51</v>
      </c>
      <c r="AB1039" s="0" t="n">
        <v>1.05</v>
      </c>
      <c r="AC1039" s="22" t="b">
        <f aca="false">FALSE()</f>
        <v>0</v>
      </c>
      <c r="AD1039" s="0" t="n">
        <v>10.5</v>
      </c>
      <c r="AE1039" s="0" t="n">
        <v>0.43</v>
      </c>
      <c r="AF1039" s="0" t="n">
        <v>11.87</v>
      </c>
      <c r="AG1039" s="22" t="b">
        <f aca="false">TRUE()</f>
        <v>1</v>
      </c>
      <c r="AH1039" s="0" t="n">
        <v>1</v>
      </c>
    </row>
    <row r="1040" customFormat="false" ht="15" hidden="false" customHeight="false" outlineLevel="0" collapsed="false">
      <c r="A1040" s="0" t="s">
        <v>1627</v>
      </c>
      <c r="B1040" s="0" t="s">
        <v>134</v>
      </c>
      <c r="C1040" s="0" t="s">
        <v>3447</v>
      </c>
      <c r="D1040" s="0" t="s">
        <v>3457</v>
      </c>
      <c r="E1040" s="20" t="s">
        <v>25</v>
      </c>
      <c r="F1040" s="20" t="s">
        <v>29</v>
      </c>
      <c r="G1040" s="21" t="s">
        <v>64</v>
      </c>
      <c r="H1040" s="21" t="s">
        <v>24</v>
      </c>
      <c r="I1040" s="21" t="s">
        <v>24</v>
      </c>
      <c r="J1040" s="21" t="s">
        <v>24</v>
      </c>
      <c r="K1040" s="21" t="s">
        <v>25</v>
      </c>
      <c r="L1040" s="21" t="s">
        <v>24</v>
      </c>
      <c r="M1040" s="0" t="n">
        <v>184</v>
      </c>
      <c r="N1040" s="0" t="n">
        <v>0</v>
      </c>
      <c r="Q1040" s="0" t="n">
        <v>0</v>
      </c>
      <c r="S1040" s="0" t="n">
        <v>0</v>
      </c>
      <c r="U1040" s="22" t="b">
        <f aca="false">FALSE()</f>
        <v>0</v>
      </c>
      <c r="V1040" s="0" t="n">
        <v>0.7</v>
      </c>
      <c r="W1040" s="0" t="n">
        <v>0.88</v>
      </c>
      <c r="X1040" s="0" t="n">
        <v>6.35</v>
      </c>
      <c r="Y1040" s="0" t="n">
        <v>321.08</v>
      </c>
      <c r="Z1040" s="0" t="n">
        <v>8</v>
      </c>
      <c r="AA1040" s="0" t="n">
        <v>-1.15</v>
      </c>
      <c r="AB1040" s="0" t="n">
        <v>0.08</v>
      </c>
      <c r="AC1040" s="22" t="b">
        <f aca="false">FALSE()</f>
        <v>0</v>
      </c>
      <c r="AD1040" s="0" t="n">
        <v>2.05</v>
      </c>
      <c r="AE1040" s="0" t="n">
        <v>0.32</v>
      </c>
      <c r="AF1040" s="0" t="n">
        <v>1.47</v>
      </c>
      <c r="AG1040" s="22" t="b">
        <f aca="false">FALSE()</f>
        <v>0</v>
      </c>
      <c r="AH1040" s="0" t="n">
        <v>1</v>
      </c>
    </row>
    <row r="1041" customFormat="false" ht="15" hidden="false" customHeight="false" outlineLevel="0" collapsed="false">
      <c r="A1041" s="0" t="s">
        <v>1627</v>
      </c>
      <c r="B1041" s="0" t="s">
        <v>134</v>
      </c>
      <c r="C1041" s="0" t="s">
        <v>3447</v>
      </c>
      <c r="D1041" s="0" t="s">
        <v>3448</v>
      </c>
      <c r="E1041" s="20" t="s">
        <v>25</v>
      </c>
      <c r="F1041" s="20" t="s">
        <v>29</v>
      </c>
      <c r="G1041" s="21" t="s">
        <v>63</v>
      </c>
      <c r="H1041" s="21" t="s">
        <v>24</v>
      </c>
      <c r="I1041" s="21" t="s">
        <v>24</v>
      </c>
      <c r="J1041" s="21" t="s">
        <v>24</v>
      </c>
      <c r="K1041" s="21" t="s">
        <v>25</v>
      </c>
      <c r="L1041" s="21" t="s">
        <v>24</v>
      </c>
      <c r="M1041" s="0" t="n">
        <v>184</v>
      </c>
      <c r="N1041" s="0" t="n">
        <v>0</v>
      </c>
      <c r="Q1041" s="0" t="n">
        <v>0</v>
      </c>
      <c r="S1041" s="0" t="n">
        <v>0</v>
      </c>
      <c r="U1041" s="22" t="b">
        <f aca="false">FALSE()</f>
        <v>0</v>
      </c>
      <c r="V1041" s="0" t="n">
        <v>0.78</v>
      </c>
      <c r="W1041" s="0" t="n">
        <v>0.56</v>
      </c>
      <c r="X1041" s="0" t="n">
        <v>6.72</v>
      </c>
      <c r="Y1041" s="0" t="n">
        <v>315.47</v>
      </c>
      <c r="Z1041" s="0" t="n">
        <v>8.5</v>
      </c>
      <c r="AA1041" s="0" t="n">
        <v>2.07</v>
      </c>
      <c r="AB1041" s="0" t="n">
        <v>1.05</v>
      </c>
      <c r="AC1041" s="22" t="b">
        <f aca="false">FALSE()</f>
        <v>0</v>
      </c>
      <c r="AD1041" s="0" t="n">
        <v>9.21</v>
      </c>
      <c r="AE1041" s="0" t="n">
        <v>0.36</v>
      </c>
      <c r="AF1041" s="0" t="n">
        <v>11.19</v>
      </c>
      <c r="AG1041" s="22" t="b">
        <f aca="false">FALSE()</f>
        <v>0</v>
      </c>
      <c r="AH1041" s="0" t="n">
        <v>1</v>
      </c>
    </row>
    <row r="1042" customFormat="false" ht="15" hidden="false" customHeight="false" outlineLevel="0" collapsed="false">
      <c r="A1042" s="0" t="s">
        <v>1639</v>
      </c>
      <c r="B1042" s="0" t="s">
        <v>134</v>
      </c>
      <c r="C1042" s="0" t="s">
        <v>3450</v>
      </c>
      <c r="D1042" s="0" t="s">
        <v>3457</v>
      </c>
      <c r="E1042" s="19" t="s">
        <v>26</v>
      </c>
      <c r="F1042" s="19" t="s">
        <v>32</v>
      </c>
      <c r="G1042" s="21" t="s">
        <v>65</v>
      </c>
      <c r="H1042" s="21" t="s">
        <v>24</v>
      </c>
      <c r="I1042" s="21" t="s">
        <v>26</v>
      </c>
      <c r="J1042" s="21" t="s">
        <v>24</v>
      </c>
      <c r="K1042" s="21" t="s">
        <v>24</v>
      </c>
      <c r="L1042" s="21" t="s">
        <v>24</v>
      </c>
      <c r="M1042" s="0" t="n">
        <v>193</v>
      </c>
      <c r="N1042" s="0" t="n">
        <v>4</v>
      </c>
      <c r="O1042" s="21" t="s">
        <v>3951</v>
      </c>
      <c r="P1042" s="21" t="s">
        <v>4622</v>
      </c>
      <c r="Q1042" s="0" t="n">
        <v>2</v>
      </c>
      <c r="R1042" s="21" t="s">
        <v>3871</v>
      </c>
      <c r="S1042" s="0" t="n">
        <v>4</v>
      </c>
      <c r="T1042" s="21" t="s">
        <v>3951</v>
      </c>
      <c r="U1042" s="22" t="b">
        <f aca="false">FALSE()</f>
        <v>0</v>
      </c>
      <c r="V1042" s="0" t="n">
        <v>0.66</v>
      </c>
      <c r="W1042" s="0" t="n">
        <v>0.76</v>
      </c>
      <c r="X1042" s="0" t="n">
        <v>8.67</v>
      </c>
      <c r="Y1042" s="0" t="n">
        <v>330.82</v>
      </c>
      <c r="Z1042" s="0" t="n">
        <v>10.25</v>
      </c>
      <c r="AA1042" s="0" t="n">
        <v>15.5</v>
      </c>
      <c r="AB1042" s="0" t="n">
        <v>2.97</v>
      </c>
      <c r="AC1042" s="22" t="b">
        <f aca="false">FALSE()</f>
        <v>0</v>
      </c>
      <c r="AD1042" s="0" t="n">
        <v>8.76</v>
      </c>
      <c r="AE1042" s="0" t="n">
        <v>0.19</v>
      </c>
      <c r="AF1042" s="0" t="n">
        <v>1.83</v>
      </c>
      <c r="AG1042" s="22" t="b">
        <f aca="false">FALSE()</f>
        <v>0</v>
      </c>
      <c r="AH1042" s="0" t="n">
        <v>1</v>
      </c>
    </row>
    <row r="1043" customFormat="false" ht="15" hidden="false" customHeight="false" outlineLevel="0" collapsed="false">
      <c r="A1043" s="0" t="s">
        <v>1639</v>
      </c>
      <c r="B1043" s="0" t="s">
        <v>134</v>
      </c>
      <c r="C1043" s="0" t="s">
        <v>3450</v>
      </c>
      <c r="D1043" s="0" t="s">
        <v>3448</v>
      </c>
      <c r="E1043" s="19" t="s">
        <v>26</v>
      </c>
      <c r="F1043" s="19" t="s">
        <v>32</v>
      </c>
      <c r="G1043" s="21" t="s">
        <v>65</v>
      </c>
      <c r="H1043" s="21" t="s">
        <v>24</v>
      </c>
      <c r="I1043" s="21" t="s">
        <v>26</v>
      </c>
      <c r="J1043" s="21" t="s">
        <v>24</v>
      </c>
      <c r="K1043" s="21" t="s">
        <v>24</v>
      </c>
      <c r="L1043" s="21" t="s">
        <v>24</v>
      </c>
      <c r="M1043" s="0" t="n">
        <v>213</v>
      </c>
      <c r="N1043" s="0" t="n">
        <v>4</v>
      </c>
      <c r="O1043" s="21" t="s">
        <v>3951</v>
      </c>
      <c r="P1043" s="21" t="s">
        <v>4622</v>
      </c>
      <c r="Q1043" s="0" t="n">
        <v>2</v>
      </c>
      <c r="R1043" s="21" t="s">
        <v>3871</v>
      </c>
      <c r="S1043" s="0" t="n">
        <v>4</v>
      </c>
      <c r="T1043" s="21" t="s">
        <v>3951</v>
      </c>
      <c r="U1043" s="22" t="b">
        <f aca="false">FALSE()</f>
        <v>0</v>
      </c>
      <c r="V1043" s="0" t="n">
        <v>0.68</v>
      </c>
      <c r="W1043" s="0" t="n">
        <v>0.52</v>
      </c>
      <c r="X1043" s="0" t="n">
        <v>8.69</v>
      </c>
      <c r="Y1043" s="0" t="n">
        <v>380.2</v>
      </c>
      <c r="Z1043" s="0" t="n">
        <v>10.25</v>
      </c>
      <c r="AA1043" s="0" t="n">
        <v>16.73</v>
      </c>
      <c r="AB1043" s="0" t="n">
        <v>1.82</v>
      </c>
      <c r="AC1043" s="22" t="b">
        <f aca="false">FALSE()</f>
        <v>0</v>
      </c>
      <c r="AD1043" s="0" t="n">
        <v>14.24</v>
      </c>
      <c r="AE1043" s="0" t="n">
        <v>0.28</v>
      </c>
      <c r="AF1043" s="0" t="n">
        <v>5.24</v>
      </c>
      <c r="AG1043" s="22" t="b">
        <f aca="false">TRUE()</f>
        <v>1</v>
      </c>
      <c r="AH1043" s="0" t="n">
        <v>1</v>
      </c>
    </row>
    <row r="1044" customFormat="false" ht="15" hidden="false" customHeight="false" outlineLevel="0" collapsed="false">
      <c r="A1044" s="0" t="s">
        <v>1639</v>
      </c>
      <c r="B1044" s="0" t="s">
        <v>134</v>
      </c>
      <c r="C1044" s="0" t="s">
        <v>3447</v>
      </c>
      <c r="D1044" s="0" t="s">
        <v>3457</v>
      </c>
      <c r="E1044" s="19" t="s">
        <v>26</v>
      </c>
      <c r="F1044" s="19" t="s">
        <v>32</v>
      </c>
      <c r="G1044" s="21" t="s">
        <v>405</v>
      </c>
      <c r="H1044" s="21" t="s">
        <v>24</v>
      </c>
      <c r="I1044" s="21" t="s">
        <v>26</v>
      </c>
      <c r="J1044" s="21" t="s">
        <v>24</v>
      </c>
      <c r="K1044" s="21" t="s">
        <v>24</v>
      </c>
      <c r="L1044" s="21" t="s">
        <v>24</v>
      </c>
      <c r="M1044" s="0" t="n">
        <v>196</v>
      </c>
      <c r="N1044" s="0" t="n">
        <v>8</v>
      </c>
      <c r="O1044" s="21" t="s">
        <v>4178</v>
      </c>
      <c r="P1044" s="21" t="s">
        <v>4623</v>
      </c>
      <c r="Q1044" s="0" t="n">
        <v>2</v>
      </c>
      <c r="R1044" s="21" t="s">
        <v>3871</v>
      </c>
      <c r="S1044" s="0" t="n">
        <v>8</v>
      </c>
      <c r="T1044" s="21" t="s">
        <v>4178</v>
      </c>
      <c r="U1044" s="22" t="b">
        <f aca="false">FALSE()</f>
        <v>0</v>
      </c>
      <c r="V1044" s="0" t="n">
        <v>0.7</v>
      </c>
      <c r="W1044" s="0" t="n">
        <v>0.6</v>
      </c>
      <c r="X1044" s="0" t="n">
        <v>8.36</v>
      </c>
      <c r="Y1044" s="0" t="n">
        <v>342.73</v>
      </c>
      <c r="Z1044" s="0" t="n">
        <v>9</v>
      </c>
      <c r="AA1044" s="0" t="n">
        <v>-0.88</v>
      </c>
      <c r="AB1044" s="0" t="n">
        <v>2.97</v>
      </c>
      <c r="AC1044" s="22" t="b">
        <f aca="false">FALSE()</f>
        <v>0</v>
      </c>
      <c r="AD1044" s="0" t="n">
        <v>3.88</v>
      </c>
      <c r="AE1044" s="0" t="n">
        <v>0.58</v>
      </c>
      <c r="AF1044" s="0" t="n">
        <v>0.84</v>
      </c>
      <c r="AG1044" s="22" t="b">
        <f aca="false">FALSE()</f>
        <v>0</v>
      </c>
      <c r="AH1044" s="0" t="n">
        <v>1</v>
      </c>
    </row>
    <row r="1045" customFormat="false" ht="15" hidden="false" customHeight="false" outlineLevel="0" collapsed="false">
      <c r="A1045" s="0" t="s">
        <v>1639</v>
      </c>
      <c r="B1045" s="0" t="s">
        <v>134</v>
      </c>
      <c r="C1045" s="0" t="s">
        <v>3447</v>
      </c>
      <c r="D1045" s="0" t="s">
        <v>3448</v>
      </c>
      <c r="E1045" s="19" t="s">
        <v>26</v>
      </c>
      <c r="F1045" s="19" t="s">
        <v>32</v>
      </c>
      <c r="G1045" s="21" t="s">
        <v>405</v>
      </c>
      <c r="H1045" s="21" t="s">
        <v>24</v>
      </c>
      <c r="I1045" s="21" t="s">
        <v>26</v>
      </c>
      <c r="J1045" s="21" t="s">
        <v>24</v>
      </c>
      <c r="K1045" s="21" t="s">
        <v>24</v>
      </c>
      <c r="L1045" s="21" t="s">
        <v>24</v>
      </c>
      <c r="M1045" s="0" t="n">
        <v>196</v>
      </c>
      <c r="N1045" s="0" t="n">
        <v>12</v>
      </c>
      <c r="O1045" s="21" t="s">
        <v>4189</v>
      </c>
      <c r="P1045" s="21" t="s">
        <v>4624</v>
      </c>
      <c r="Q1045" s="0" t="n">
        <v>2</v>
      </c>
      <c r="R1045" s="21" t="s">
        <v>3871</v>
      </c>
      <c r="S1045" s="0" t="n">
        <v>12</v>
      </c>
      <c r="T1045" s="21" t="s">
        <v>4189</v>
      </c>
      <c r="U1045" s="22" t="b">
        <f aca="false">FALSE()</f>
        <v>0</v>
      </c>
      <c r="V1045" s="0" t="n">
        <v>0.69</v>
      </c>
      <c r="W1045" s="0" t="n">
        <v>0.76</v>
      </c>
      <c r="X1045" s="0" t="n">
        <v>9.11</v>
      </c>
      <c r="Y1045" s="0" t="n">
        <v>342.13</v>
      </c>
      <c r="Z1045" s="0" t="n">
        <v>8.33</v>
      </c>
      <c r="AA1045" s="0" t="n">
        <v>-1.01</v>
      </c>
      <c r="AB1045" s="0" t="n">
        <v>1.82</v>
      </c>
      <c r="AC1045" s="22" t="b">
        <f aca="false">FALSE()</f>
        <v>0</v>
      </c>
      <c r="AD1045" s="0" t="n">
        <v>7.04</v>
      </c>
      <c r="AE1045" s="0" t="n">
        <v>0.62</v>
      </c>
      <c r="AF1045" s="0" t="n">
        <v>3.44</v>
      </c>
      <c r="AG1045" s="22" t="b">
        <f aca="false">FALSE()</f>
        <v>0</v>
      </c>
      <c r="AH1045" s="0" t="n">
        <v>1</v>
      </c>
    </row>
    <row r="1046" customFormat="false" ht="15" hidden="false" customHeight="false" outlineLevel="0" collapsed="false">
      <c r="A1046" s="0" t="s">
        <v>1639</v>
      </c>
      <c r="B1046" s="0" t="s">
        <v>3459</v>
      </c>
      <c r="C1046" s="0" t="s">
        <v>3450</v>
      </c>
      <c r="D1046" s="0" t="s">
        <v>3457</v>
      </c>
      <c r="E1046" s="18" t="s">
        <v>24</v>
      </c>
      <c r="F1046" s="18" t="s">
        <v>28</v>
      </c>
      <c r="H1046" s="21" t="s">
        <v>24</v>
      </c>
      <c r="I1046" s="21" t="s">
        <v>24</v>
      </c>
      <c r="J1046" s="21" t="s">
        <v>24</v>
      </c>
      <c r="K1046" s="21" t="s">
        <v>24</v>
      </c>
      <c r="L1046" s="21" t="s">
        <v>24</v>
      </c>
      <c r="M1046" s="0" t="n">
        <v>184</v>
      </c>
      <c r="N1046" s="0" t="n">
        <v>0</v>
      </c>
      <c r="Q1046" s="0" t="n">
        <v>0</v>
      </c>
      <c r="S1046" s="0" t="n">
        <v>0</v>
      </c>
      <c r="U1046" s="22" t="b">
        <f aca="false">FALSE()</f>
        <v>0</v>
      </c>
      <c r="V1046" s="0" t="n">
        <v>0.72</v>
      </c>
      <c r="W1046" s="0" t="n">
        <v>0.48</v>
      </c>
      <c r="X1046" s="0" t="n">
        <v>9.78</v>
      </c>
      <c r="Y1046" s="0" t="n">
        <v>321.73</v>
      </c>
      <c r="Z1046" s="0" t="n">
        <v>10.25</v>
      </c>
      <c r="AA1046" s="0" t="n">
        <v>11.7</v>
      </c>
      <c r="AB1046" s="0" t="n">
        <v>7.22</v>
      </c>
      <c r="AC1046" s="22" t="b">
        <f aca="false">FALSE()</f>
        <v>0</v>
      </c>
      <c r="AD1046" s="0" t="n">
        <v>18.75</v>
      </c>
      <c r="AE1046" s="0" t="n">
        <v>7.29</v>
      </c>
      <c r="AF1046" s="0" t="n">
        <v>14.75</v>
      </c>
      <c r="AG1046" s="22" t="b">
        <f aca="false">TRUE()</f>
        <v>1</v>
      </c>
      <c r="AH1046" s="0" t="n">
        <v>1</v>
      </c>
    </row>
    <row r="1047" customFormat="false" ht="15" hidden="false" customHeight="false" outlineLevel="0" collapsed="false">
      <c r="A1047" s="0" t="s">
        <v>1639</v>
      </c>
      <c r="B1047" s="0" t="s">
        <v>3459</v>
      </c>
      <c r="C1047" s="0" t="s">
        <v>3450</v>
      </c>
      <c r="D1047" s="0" t="s">
        <v>3448</v>
      </c>
      <c r="E1047" s="20" t="s">
        <v>25</v>
      </c>
      <c r="F1047" s="23" t="s">
        <v>30</v>
      </c>
      <c r="G1047" s="21" t="s">
        <v>283</v>
      </c>
      <c r="H1047" s="21" t="s">
        <v>24</v>
      </c>
      <c r="I1047" s="21" t="s">
        <v>25</v>
      </c>
      <c r="J1047" s="21" t="s">
        <v>24</v>
      </c>
      <c r="K1047" s="21" t="s">
        <v>24</v>
      </c>
      <c r="L1047" s="21" t="s">
        <v>24</v>
      </c>
      <c r="M1047" s="0" t="n">
        <v>184</v>
      </c>
      <c r="N1047" s="0" t="n">
        <v>3</v>
      </c>
      <c r="O1047" s="21" t="s">
        <v>3664</v>
      </c>
      <c r="P1047" s="21" t="s">
        <v>4331</v>
      </c>
      <c r="Q1047" s="0" t="n">
        <v>1</v>
      </c>
      <c r="R1047" s="21" t="s">
        <v>69</v>
      </c>
      <c r="S1047" s="0" t="n">
        <v>3</v>
      </c>
      <c r="T1047" s="21" t="s">
        <v>3664</v>
      </c>
      <c r="U1047" s="22" t="b">
        <f aca="false">TRUE()</f>
        <v>1</v>
      </c>
      <c r="V1047" s="0" t="n">
        <v>0.71</v>
      </c>
      <c r="W1047" s="0" t="n">
        <v>0.76</v>
      </c>
      <c r="X1047" s="0" t="n">
        <v>10.6</v>
      </c>
      <c r="Y1047" s="0" t="n">
        <v>321.01</v>
      </c>
      <c r="Z1047" s="0" t="n">
        <v>10</v>
      </c>
      <c r="AA1047" s="0" t="n">
        <v>4.06</v>
      </c>
      <c r="AB1047" s="0" t="n">
        <v>9.14</v>
      </c>
      <c r="AC1047" s="22" t="b">
        <f aca="false">FALSE()</f>
        <v>0</v>
      </c>
      <c r="AD1047" s="0" t="n">
        <v>8.47</v>
      </c>
      <c r="AE1047" s="0" t="n">
        <v>1.64</v>
      </c>
      <c r="AF1047" s="0" t="n">
        <v>8.68</v>
      </c>
      <c r="AG1047" s="22" t="b">
        <f aca="false">FALSE()</f>
        <v>0</v>
      </c>
      <c r="AH1047" s="0" t="n">
        <v>1</v>
      </c>
    </row>
    <row r="1048" customFormat="false" ht="15" hidden="false" customHeight="false" outlineLevel="0" collapsed="false">
      <c r="A1048" s="0" t="s">
        <v>1639</v>
      </c>
      <c r="B1048" s="0" t="s">
        <v>3459</v>
      </c>
      <c r="C1048" s="0" t="s">
        <v>3447</v>
      </c>
      <c r="D1048" s="0" t="s">
        <v>3457</v>
      </c>
      <c r="E1048" s="19" t="s">
        <v>26</v>
      </c>
      <c r="F1048" s="19" t="s">
        <v>32</v>
      </c>
      <c r="G1048" s="21" t="s">
        <v>1926</v>
      </c>
      <c r="H1048" s="21" t="s">
        <v>24</v>
      </c>
      <c r="I1048" s="21" t="s">
        <v>26</v>
      </c>
      <c r="J1048" s="21" t="s">
        <v>24</v>
      </c>
      <c r="K1048" s="21" t="s">
        <v>25</v>
      </c>
      <c r="L1048" s="21" t="s">
        <v>24</v>
      </c>
      <c r="M1048" s="0" t="n">
        <v>183</v>
      </c>
      <c r="N1048" s="0" t="n">
        <v>12</v>
      </c>
      <c r="O1048" s="21" t="s">
        <v>4118</v>
      </c>
      <c r="P1048" s="21" t="s">
        <v>4268</v>
      </c>
      <c r="Q1048" s="0" t="n">
        <v>1</v>
      </c>
      <c r="R1048" s="21" t="s">
        <v>69</v>
      </c>
      <c r="S1048" s="0" t="n">
        <v>12</v>
      </c>
      <c r="T1048" s="21" t="s">
        <v>4118</v>
      </c>
      <c r="U1048" s="22" t="b">
        <f aca="false">FALSE()</f>
        <v>0</v>
      </c>
      <c r="V1048" s="0" t="n">
        <v>0.72</v>
      </c>
      <c r="W1048" s="0" t="n">
        <v>0.68</v>
      </c>
      <c r="X1048" s="0" t="n">
        <v>10.18</v>
      </c>
      <c r="Y1048" s="0" t="n">
        <v>314.37</v>
      </c>
      <c r="Z1048" s="0" t="n">
        <v>9</v>
      </c>
      <c r="AA1048" s="0" t="n">
        <v>1.19</v>
      </c>
      <c r="AB1048" s="0" t="n">
        <v>7.22</v>
      </c>
      <c r="AC1048" s="22" t="b">
        <f aca="false">FALSE()</f>
        <v>0</v>
      </c>
      <c r="AD1048" s="0" t="n">
        <v>20.48</v>
      </c>
      <c r="AE1048" s="0" t="n">
        <v>8.72</v>
      </c>
      <c r="AF1048" s="0" t="n">
        <v>16.01</v>
      </c>
      <c r="AG1048" s="22" t="b">
        <f aca="false">TRUE()</f>
        <v>1</v>
      </c>
      <c r="AH1048" s="0" t="n">
        <v>1</v>
      </c>
    </row>
    <row r="1049" customFormat="false" ht="15" hidden="false" customHeight="false" outlineLevel="0" collapsed="false">
      <c r="A1049" s="0" t="s">
        <v>1639</v>
      </c>
      <c r="B1049" s="0" t="s">
        <v>3459</v>
      </c>
      <c r="C1049" s="0" t="s">
        <v>3447</v>
      </c>
      <c r="D1049" s="0" t="s">
        <v>3448</v>
      </c>
      <c r="E1049" s="20" t="s">
        <v>25</v>
      </c>
      <c r="F1049" s="23" t="s">
        <v>30</v>
      </c>
      <c r="G1049" s="21" t="s">
        <v>283</v>
      </c>
      <c r="H1049" s="21" t="s">
        <v>24</v>
      </c>
      <c r="I1049" s="21" t="s">
        <v>25</v>
      </c>
      <c r="J1049" s="21" t="s">
        <v>24</v>
      </c>
      <c r="K1049" s="21" t="s">
        <v>24</v>
      </c>
      <c r="L1049" s="21" t="s">
        <v>24</v>
      </c>
      <c r="M1049" s="0" t="n">
        <v>183</v>
      </c>
      <c r="N1049" s="0" t="n">
        <v>3</v>
      </c>
      <c r="O1049" s="21" t="s">
        <v>3649</v>
      </c>
      <c r="P1049" s="21" t="s">
        <v>4242</v>
      </c>
      <c r="Q1049" s="0" t="n">
        <v>1</v>
      </c>
      <c r="R1049" s="21" t="s">
        <v>69</v>
      </c>
      <c r="S1049" s="0" t="n">
        <v>3</v>
      </c>
      <c r="T1049" s="21" t="s">
        <v>3649</v>
      </c>
      <c r="U1049" s="22" t="b">
        <f aca="false">TRUE()</f>
        <v>1</v>
      </c>
      <c r="V1049" s="0" t="n">
        <v>0.69</v>
      </c>
      <c r="W1049" s="0" t="n">
        <v>0.76</v>
      </c>
      <c r="X1049" s="0" t="n">
        <v>10.19</v>
      </c>
      <c r="Y1049" s="0" t="n">
        <v>319.2</v>
      </c>
      <c r="Z1049" s="0" t="n">
        <v>9.75</v>
      </c>
      <c r="AA1049" s="0" t="n">
        <v>5.77</v>
      </c>
      <c r="AB1049" s="0" t="n">
        <v>9.14</v>
      </c>
      <c r="AC1049" s="22" t="b">
        <f aca="false">FALSE()</f>
        <v>0</v>
      </c>
      <c r="AD1049" s="0" t="n">
        <v>18.04</v>
      </c>
      <c r="AE1049" s="0" t="n">
        <v>6.2</v>
      </c>
      <c r="AF1049" s="0" t="n">
        <v>13.8</v>
      </c>
      <c r="AG1049" s="22" t="b">
        <f aca="false">TRUE()</f>
        <v>1</v>
      </c>
      <c r="AH1049" s="0" t="n">
        <v>1</v>
      </c>
    </row>
    <row r="1050" customFormat="false" ht="15" hidden="false" customHeight="false" outlineLevel="0" collapsed="false">
      <c r="A1050" s="0" t="s">
        <v>1645</v>
      </c>
      <c r="B1050" s="0" t="s">
        <v>134</v>
      </c>
      <c r="C1050" s="0" t="s">
        <v>3450</v>
      </c>
      <c r="D1050" s="0" t="s">
        <v>3457</v>
      </c>
      <c r="E1050" s="20" t="s">
        <v>25</v>
      </c>
      <c r="F1050" s="20" t="s">
        <v>29</v>
      </c>
      <c r="G1050" s="21" t="s">
        <v>61</v>
      </c>
      <c r="H1050" s="21" t="s">
        <v>24</v>
      </c>
      <c r="I1050" s="21" t="s">
        <v>24</v>
      </c>
      <c r="J1050" s="21" t="s">
        <v>24</v>
      </c>
      <c r="K1050" s="21" t="s">
        <v>25</v>
      </c>
      <c r="L1050" s="21" t="s">
        <v>24</v>
      </c>
      <c r="M1050" s="0" t="n">
        <v>183</v>
      </c>
      <c r="N1050" s="0" t="n">
        <v>0</v>
      </c>
      <c r="Q1050" s="0" t="n">
        <v>0</v>
      </c>
      <c r="S1050" s="0" t="n">
        <v>0</v>
      </c>
      <c r="U1050" s="22" t="b">
        <f aca="false">FALSE()</f>
        <v>0</v>
      </c>
      <c r="V1050" s="0" t="n">
        <v>0.77</v>
      </c>
      <c r="W1050" s="0" t="n">
        <v>0.72</v>
      </c>
      <c r="X1050" s="0" t="n">
        <v>9.71</v>
      </c>
      <c r="Y1050" s="0" t="n">
        <v>261.91</v>
      </c>
      <c r="Z1050" s="0" t="n">
        <v>10.58</v>
      </c>
      <c r="AA1050" s="0" t="n">
        <v>11.42</v>
      </c>
      <c r="AB1050" s="0" t="n">
        <v>2.39</v>
      </c>
      <c r="AC1050" s="22" t="b">
        <f aca="false">FALSE()</f>
        <v>0</v>
      </c>
      <c r="AD1050" s="0" t="n">
        <v>23.1</v>
      </c>
      <c r="AE1050" s="0" t="n">
        <v>11.69</v>
      </c>
      <c r="AF1050" s="0" t="n">
        <v>20.93</v>
      </c>
      <c r="AG1050" s="22" t="b">
        <f aca="false">TRUE()</f>
        <v>1</v>
      </c>
      <c r="AH1050" s="0" t="n">
        <v>1</v>
      </c>
    </row>
    <row r="1051" customFormat="false" ht="15" hidden="false" customHeight="false" outlineLevel="0" collapsed="false">
      <c r="A1051" s="0" t="s">
        <v>1645</v>
      </c>
      <c r="B1051" s="0" t="s">
        <v>134</v>
      </c>
      <c r="C1051" s="0" t="s">
        <v>3450</v>
      </c>
      <c r="D1051" s="0" t="s">
        <v>3448</v>
      </c>
      <c r="E1051" s="20" t="s">
        <v>25</v>
      </c>
      <c r="F1051" s="20" t="s">
        <v>29</v>
      </c>
      <c r="G1051" s="21" t="s">
        <v>3470</v>
      </c>
      <c r="H1051" s="21" t="s">
        <v>24</v>
      </c>
      <c r="I1051" s="21" t="s">
        <v>24</v>
      </c>
      <c r="J1051" s="21" t="s">
        <v>24</v>
      </c>
      <c r="K1051" s="21" t="s">
        <v>25</v>
      </c>
      <c r="L1051" s="21" t="s">
        <v>24</v>
      </c>
      <c r="M1051" s="0" t="n">
        <v>186</v>
      </c>
      <c r="N1051" s="0" t="n">
        <v>0</v>
      </c>
      <c r="Q1051" s="0" t="n">
        <v>0</v>
      </c>
      <c r="S1051" s="0" t="n">
        <v>0</v>
      </c>
      <c r="U1051" s="22" t="b">
        <f aca="false">FALSE()</f>
        <v>0</v>
      </c>
      <c r="V1051" s="0" t="n">
        <v>0.74</v>
      </c>
      <c r="W1051" s="0" t="n">
        <v>0</v>
      </c>
      <c r="X1051" s="0" t="n">
        <v>10.36</v>
      </c>
      <c r="Y1051" s="0" t="n">
        <v>1.39</v>
      </c>
      <c r="Z1051" s="0" t="n">
        <v>10.33</v>
      </c>
      <c r="AA1051" s="0" t="n">
        <v>12.27</v>
      </c>
      <c r="AB1051" s="0" t="n">
        <v>1.29</v>
      </c>
      <c r="AC1051" s="22" t="b">
        <f aca="false">FALSE()</f>
        <v>0</v>
      </c>
      <c r="AD1051" s="0" t="n">
        <v>20.34</v>
      </c>
      <c r="AE1051" s="0" t="n">
        <v>11.45</v>
      </c>
      <c r="AF1051" s="0" t="n">
        <v>17.79</v>
      </c>
      <c r="AG1051" s="22" t="b">
        <f aca="false">TRUE()</f>
        <v>1</v>
      </c>
      <c r="AH1051" s="0" t="n">
        <v>0</v>
      </c>
    </row>
    <row r="1052" customFormat="false" ht="15" hidden="false" customHeight="false" outlineLevel="0" collapsed="false">
      <c r="A1052" s="0" t="s">
        <v>1645</v>
      </c>
      <c r="B1052" s="0" t="s">
        <v>134</v>
      </c>
      <c r="C1052" s="0" t="s">
        <v>3447</v>
      </c>
      <c r="D1052" s="0" t="s">
        <v>3457</v>
      </c>
      <c r="E1052" s="20" t="s">
        <v>25</v>
      </c>
      <c r="F1052" s="23" t="s">
        <v>30</v>
      </c>
      <c r="G1052" s="21" t="s">
        <v>283</v>
      </c>
      <c r="H1052" s="21" t="s">
        <v>24</v>
      </c>
      <c r="I1052" s="21" t="s">
        <v>25</v>
      </c>
      <c r="J1052" s="21" t="s">
        <v>24</v>
      </c>
      <c r="K1052" s="21" t="s">
        <v>24</v>
      </c>
      <c r="L1052" s="21" t="s">
        <v>24</v>
      </c>
      <c r="M1052" s="0" t="n">
        <v>188</v>
      </c>
      <c r="N1052" s="0" t="n">
        <v>5</v>
      </c>
      <c r="O1052" s="21" t="s">
        <v>3810</v>
      </c>
      <c r="P1052" s="21" t="s">
        <v>4625</v>
      </c>
      <c r="Q1052" s="0" t="n">
        <v>1</v>
      </c>
      <c r="R1052" s="21" t="s">
        <v>69</v>
      </c>
      <c r="S1052" s="0" t="n">
        <v>5</v>
      </c>
      <c r="T1052" s="21" t="s">
        <v>3810</v>
      </c>
      <c r="U1052" s="22" t="b">
        <f aca="false">TRUE()</f>
        <v>1</v>
      </c>
      <c r="V1052" s="0" t="n">
        <v>0.76</v>
      </c>
      <c r="W1052" s="0" t="n">
        <v>0.84</v>
      </c>
      <c r="X1052" s="0" t="n">
        <v>9.59</v>
      </c>
      <c r="Y1052" s="0" t="n">
        <v>296.79</v>
      </c>
      <c r="Z1052" s="0" t="n">
        <v>11.5</v>
      </c>
      <c r="AA1052" s="0" t="n">
        <v>5.87</v>
      </c>
      <c r="AB1052" s="0" t="n">
        <v>2.39</v>
      </c>
      <c r="AC1052" s="22" t="b">
        <f aca="false">FALSE()</f>
        <v>0</v>
      </c>
      <c r="AD1052" s="0" t="n">
        <v>19.44</v>
      </c>
      <c r="AE1052" s="0" t="n">
        <v>8.15</v>
      </c>
      <c r="AF1052" s="0" t="n">
        <v>16.92</v>
      </c>
      <c r="AG1052" s="22" t="b">
        <f aca="false">TRUE()</f>
        <v>1</v>
      </c>
      <c r="AH1052" s="0" t="n">
        <v>1</v>
      </c>
    </row>
    <row r="1053" customFormat="false" ht="15" hidden="false" customHeight="false" outlineLevel="0" collapsed="false">
      <c r="A1053" s="0" t="s">
        <v>1645</v>
      </c>
      <c r="B1053" s="0" t="s">
        <v>134</v>
      </c>
      <c r="C1053" s="0" t="s">
        <v>3447</v>
      </c>
      <c r="D1053" s="0" t="s">
        <v>3448</v>
      </c>
      <c r="E1053" s="20" t="s">
        <v>25</v>
      </c>
      <c r="F1053" s="23" t="s">
        <v>30</v>
      </c>
      <c r="G1053" s="21" t="s">
        <v>1099</v>
      </c>
      <c r="H1053" s="21" t="s">
        <v>24</v>
      </c>
      <c r="I1053" s="21" t="s">
        <v>25</v>
      </c>
      <c r="J1053" s="21" t="s">
        <v>24</v>
      </c>
      <c r="K1053" s="21" t="s">
        <v>25</v>
      </c>
      <c r="L1053" s="21" t="s">
        <v>24</v>
      </c>
      <c r="M1053" s="0" t="n">
        <v>184</v>
      </c>
      <c r="N1053" s="0" t="n">
        <v>1</v>
      </c>
      <c r="O1053" s="21" t="s">
        <v>69</v>
      </c>
      <c r="P1053" s="21" t="s">
        <v>4275</v>
      </c>
      <c r="Q1053" s="0" t="n">
        <v>1</v>
      </c>
      <c r="R1053" s="21" t="s">
        <v>69</v>
      </c>
      <c r="S1053" s="0" t="n">
        <v>1</v>
      </c>
      <c r="T1053" s="21" t="s">
        <v>69</v>
      </c>
      <c r="U1053" s="22" t="b">
        <f aca="false">TRUE()</f>
        <v>1</v>
      </c>
      <c r="V1053" s="0" t="n">
        <v>0.74</v>
      </c>
      <c r="W1053" s="0" t="n">
        <v>0.76</v>
      </c>
      <c r="X1053" s="0" t="n">
        <v>10.12</v>
      </c>
      <c r="Y1053" s="0" t="n">
        <v>318.92</v>
      </c>
      <c r="Z1053" s="0" t="n">
        <v>11.25</v>
      </c>
      <c r="AA1053" s="0" t="n">
        <v>-0.06</v>
      </c>
      <c r="AB1053" s="0" t="n">
        <v>1.29</v>
      </c>
      <c r="AC1053" s="22" t="b">
        <f aca="false">FALSE()</f>
        <v>0</v>
      </c>
      <c r="AD1053" s="0" t="n">
        <v>11.17</v>
      </c>
      <c r="AE1053" s="0" t="n">
        <v>5.12</v>
      </c>
      <c r="AF1053" s="0" t="n">
        <v>11.2</v>
      </c>
      <c r="AG1053" s="22" t="b">
        <f aca="false">TRUE()</f>
        <v>1</v>
      </c>
      <c r="AH1053" s="0" t="n">
        <v>1</v>
      </c>
    </row>
    <row r="1054" customFormat="false" ht="15" hidden="false" customHeight="false" outlineLevel="0" collapsed="false">
      <c r="A1054" s="0" t="s">
        <v>1651</v>
      </c>
      <c r="B1054" s="0" t="s">
        <v>134</v>
      </c>
      <c r="C1054" s="0" t="s">
        <v>3450</v>
      </c>
      <c r="D1054" s="0" t="s">
        <v>3457</v>
      </c>
      <c r="E1054" s="20" t="s">
        <v>25</v>
      </c>
      <c r="F1054" s="23" t="s">
        <v>30</v>
      </c>
      <c r="G1054" s="21" t="s">
        <v>1099</v>
      </c>
      <c r="H1054" s="21" t="s">
        <v>24</v>
      </c>
      <c r="I1054" s="21" t="s">
        <v>25</v>
      </c>
      <c r="J1054" s="21" t="s">
        <v>24</v>
      </c>
      <c r="K1054" s="21" t="s">
        <v>25</v>
      </c>
      <c r="L1054" s="21" t="s">
        <v>24</v>
      </c>
      <c r="M1054" s="0" t="n">
        <v>183</v>
      </c>
      <c r="N1054" s="0" t="n">
        <v>3</v>
      </c>
      <c r="O1054" s="21" t="s">
        <v>3669</v>
      </c>
      <c r="P1054" s="21" t="s">
        <v>4626</v>
      </c>
      <c r="Q1054" s="0" t="n">
        <v>1</v>
      </c>
      <c r="R1054" s="21" t="s">
        <v>69</v>
      </c>
      <c r="S1054" s="0" t="n">
        <v>3</v>
      </c>
      <c r="T1054" s="21" t="s">
        <v>3669</v>
      </c>
      <c r="U1054" s="22" t="b">
        <f aca="false">TRUE()</f>
        <v>1</v>
      </c>
      <c r="V1054" s="0" t="n">
        <v>0.61</v>
      </c>
      <c r="W1054" s="0" t="n">
        <v>0.68</v>
      </c>
      <c r="X1054" s="0" t="n">
        <v>6.93</v>
      </c>
      <c r="Y1054" s="0" t="n">
        <v>300.55</v>
      </c>
      <c r="Z1054" s="0" t="n">
        <v>11.5</v>
      </c>
      <c r="AA1054" s="0" t="n">
        <v>8.04</v>
      </c>
      <c r="AB1054" s="0" t="n">
        <v>1.05</v>
      </c>
      <c r="AC1054" s="22" t="b">
        <f aca="false">FALSE()</f>
        <v>0</v>
      </c>
      <c r="AD1054" s="0" t="n">
        <v>15.53</v>
      </c>
      <c r="AE1054" s="0" t="n">
        <v>1.14</v>
      </c>
      <c r="AF1054" s="0" t="n">
        <v>3.74</v>
      </c>
      <c r="AG1054" s="22" t="b">
        <f aca="false">TRUE()</f>
        <v>1</v>
      </c>
      <c r="AH1054" s="0" t="n">
        <v>1</v>
      </c>
    </row>
    <row r="1055" customFormat="false" ht="15" hidden="false" customHeight="false" outlineLevel="0" collapsed="false">
      <c r="A1055" s="0" t="s">
        <v>1651</v>
      </c>
      <c r="B1055" s="0" t="s">
        <v>134</v>
      </c>
      <c r="C1055" s="0" t="s">
        <v>3450</v>
      </c>
      <c r="D1055" s="0" t="s">
        <v>3448</v>
      </c>
      <c r="E1055" s="20" t="s">
        <v>25</v>
      </c>
      <c r="F1055" s="23" t="s">
        <v>30</v>
      </c>
      <c r="G1055" s="21" t="s">
        <v>1152</v>
      </c>
      <c r="H1055" s="21" t="s">
        <v>24</v>
      </c>
      <c r="I1055" s="21" t="s">
        <v>25</v>
      </c>
      <c r="J1055" s="21" t="s">
        <v>24</v>
      </c>
      <c r="K1055" s="21" t="s">
        <v>25</v>
      </c>
      <c r="L1055" s="21" t="s">
        <v>24</v>
      </c>
      <c r="M1055" s="0" t="n">
        <v>220</v>
      </c>
      <c r="N1055" s="0" t="n">
        <v>2</v>
      </c>
      <c r="O1055" s="21" t="s">
        <v>3566</v>
      </c>
      <c r="P1055" s="21" t="s">
        <v>4238</v>
      </c>
      <c r="Q1055" s="0" t="n">
        <v>1</v>
      </c>
      <c r="R1055" s="21" t="s">
        <v>69</v>
      </c>
      <c r="S1055" s="0" t="n">
        <v>2</v>
      </c>
      <c r="T1055" s="21" t="s">
        <v>3566</v>
      </c>
      <c r="U1055" s="22" t="b">
        <f aca="false">TRUE()</f>
        <v>1</v>
      </c>
      <c r="V1055" s="0" t="n">
        <v>0.75</v>
      </c>
      <c r="W1055" s="0" t="n">
        <v>0.16</v>
      </c>
      <c r="X1055" s="0" t="n">
        <v>6.62</v>
      </c>
      <c r="Y1055" s="0" t="n">
        <v>676.07</v>
      </c>
      <c r="Z1055" s="0" t="n">
        <v>11</v>
      </c>
      <c r="AA1055" s="0" t="n">
        <v>4.85</v>
      </c>
      <c r="AB1055" s="0" t="n">
        <v>0.84</v>
      </c>
      <c r="AC1055" s="22" t="b">
        <f aca="false">FALSE()</f>
        <v>0</v>
      </c>
      <c r="AD1055" s="0" t="n">
        <v>15.43</v>
      </c>
      <c r="AE1055" s="0" t="n">
        <v>0.43</v>
      </c>
      <c r="AF1055" s="0" t="n">
        <v>7.09</v>
      </c>
      <c r="AG1055" s="22" t="b">
        <f aca="false">TRUE()</f>
        <v>1</v>
      </c>
      <c r="AH1055" s="0" t="n">
        <v>1</v>
      </c>
    </row>
    <row r="1056" customFormat="false" ht="15" hidden="false" customHeight="false" outlineLevel="0" collapsed="false">
      <c r="A1056" s="0" t="s">
        <v>1651</v>
      </c>
      <c r="B1056" s="0" t="s">
        <v>134</v>
      </c>
      <c r="C1056" s="0" t="s">
        <v>3447</v>
      </c>
      <c r="D1056" s="0" t="s">
        <v>3457</v>
      </c>
      <c r="E1056" s="20" t="s">
        <v>25</v>
      </c>
      <c r="F1056" s="23" t="s">
        <v>30</v>
      </c>
      <c r="G1056" s="21" t="s">
        <v>2133</v>
      </c>
      <c r="H1056" s="21" t="s">
        <v>24</v>
      </c>
      <c r="I1056" s="21" t="s">
        <v>24</v>
      </c>
      <c r="J1056" s="21" t="s">
        <v>24</v>
      </c>
      <c r="K1056" s="21" t="s">
        <v>25</v>
      </c>
      <c r="L1056" s="21" t="s">
        <v>24</v>
      </c>
      <c r="M1056" s="0" t="n">
        <v>183</v>
      </c>
      <c r="N1056" s="0" t="n">
        <v>4</v>
      </c>
      <c r="O1056" s="21" t="s">
        <v>3641</v>
      </c>
      <c r="P1056" s="21" t="s">
        <v>4627</v>
      </c>
      <c r="Q1056" s="0" t="n">
        <v>0</v>
      </c>
      <c r="S1056" s="0" t="n">
        <v>4</v>
      </c>
      <c r="T1056" s="21" t="s">
        <v>3641</v>
      </c>
      <c r="U1056" s="22" t="b">
        <f aca="false">TRUE()</f>
        <v>1</v>
      </c>
      <c r="V1056" s="0" t="n">
        <v>0.76</v>
      </c>
      <c r="W1056" s="0" t="n">
        <v>0</v>
      </c>
      <c r="X1056" s="0" t="n">
        <v>8.29</v>
      </c>
      <c r="Y1056" s="0" t="n">
        <v>614.5</v>
      </c>
      <c r="Z1056" s="0" t="n">
        <v>10.75</v>
      </c>
      <c r="AA1056" s="0" t="n">
        <v>5.91</v>
      </c>
      <c r="AB1056" s="0" t="n">
        <v>1.05</v>
      </c>
      <c r="AC1056" s="22" t="b">
        <f aca="false">FALSE()</f>
        <v>0</v>
      </c>
      <c r="AD1056" s="0" t="n">
        <v>15.14</v>
      </c>
      <c r="AE1056" s="0" t="n">
        <v>0.16</v>
      </c>
      <c r="AF1056" s="0" t="n">
        <v>5.06</v>
      </c>
      <c r="AG1056" s="22" t="b">
        <f aca="false">TRUE()</f>
        <v>1</v>
      </c>
      <c r="AH1056" s="0" t="n">
        <v>1</v>
      </c>
    </row>
    <row r="1057" customFormat="false" ht="15" hidden="false" customHeight="false" outlineLevel="0" collapsed="false">
      <c r="A1057" s="0" t="s">
        <v>1651</v>
      </c>
      <c r="B1057" s="0" t="s">
        <v>134</v>
      </c>
      <c r="C1057" s="0" t="s">
        <v>3447</v>
      </c>
      <c r="D1057" s="0" t="s">
        <v>3448</v>
      </c>
      <c r="E1057" s="20" t="s">
        <v>25</v>
      </c>
      <c r="F1057" s="23" t="s">
        <v>30</v>
      </c>
      <c r="G1057" s="21" t="s">
        <v>2610</v>
      </c>
      <c r="H1057" s="21" t="s">
        <v>24</v>
      </c>
      <c r="I1057" s="21" t="s">
        <v>24</v>
      </c>
      <c r="J1057" s="21" t="s">
        <v>24</v>
      </c>
      <c r="K1057" s="21" t="s">
        <v>25</v>
      </c>
      <c r="L1057" s="21" t="s">
        <v>24</v>
      </c>
      <c r="M1057" s="0" t="n">
        <v>183</v>
      </c>
      <c r="N1057" s="0" t="n">
        <v>3</v>
      </c>
      <c r="O1057" s="21" t="s">
        <v>3567</v>
      </c>
      <c r="P1057" s="21" t="s">
        <v>4628</v>
      </c>
      <c r="Q1057" s="0" t="n">
        <v>0</v>
      </c>
      <c r="S1057" s="0" t="n">
        <v>3</v>
      </c>
      <c r="T1057" s="21" t="s">
        <v>3567</v>
      </c>
      <c r="U1057" s="22" t="b">
        <f aca="false">TRUE()</f>
        <v>1</v>
      </c>
      <c r="V1057" s="0" t="n">
        <v>0.77</v>
      </c>
      <c r="W1057" s="0" t="n">
        <v>0.52</v>
      </c>
      <c r="X1057" s="0" t="n">
        <v>8.17</v>
      </c>
      <c r="Y1057" s="0" t="n">
        <v>327.77</v>
      </c>
      <c r="Z1057" s="0" t="n">
        <v>10.33</v>
      </c>
      <c r="AA1057" s="0" t="n">
        <v>9.36</v>
      </c>
      <c r="AB1057" s="0" t="n">
        <v>0.84</v>
      </c>
      <c r="AC1057" s="22" t="b">
        <f aca="false">FALSE()</f>
        <v>0</v>
      </c>
      <c r="AD1057" s="0" t="n">
        <v>12.09</v>
      </c>
      <c r="AE1057" s="0" t="n">
        <v>-0.58</v>
      </c>
      <c r="AF1057" s="0" t="n">
        <v>1.81</v>
      </c>
      <c r="AG1057" s="22" t="b">
        <f aca="false">TRUE()</f>
        <v>1</v>
      </c>
      <c r="AH1057" s="0" t="n">
        <v>1</v>
      </c>
    </row>
    <row r="1058" customFormat="false" ht="15" hidden="false" customHeight="false" outlineLevel="0" collapsed="false">
      <c r="A1058" s="0" t="s">
        <v>1657</v>
      </c>
      <c r="B1058" s="0" t="s">
        <v>134</v>
      </c>
      <c r="C1058" s="0" t="s">
        <v>3450</v>
      </c>
      <c r="D1058" s="0" t="s">
        <v>3457</v>
      </c>
      <c r="E1058" s="20" t="s">
        <v>25</v>
      </c>
      <c r="F1058" s="23" t="s">
        <v>30</v>
      </c>
      <c r="G1058" s="21" t="s">
        <v>1230</v>
      </c>
      <c r="H1058" s="21" t="s">
        <v>24</v>
      </c>
      <c r="I1058" s="21" t="s">
        <v>25</v>
      </c>
      <c r="J1058" s="21" t="s">
        <v>24</v>
      </c>
      <c r="K1058" s="21" t="s">
        <v>25</v>
      </c>
      <c r="L1058" s="21" t="s">
        <v>24</v>
      </c>
      <c r="M1058" s="0" t="n">
        <v>182</v>
      </c>
      <c r="N1058" s="0" t="n">
        <v>3</v>
      </c>
      <c r="O1058" s="21" t="s">
        <v>3649</v>
      </c>
      <c r="P1058" s="21" t="s">
        <v>4242</v>
      </c>
      <c r="Q1058" s="0" t="n">
        <v>1</v>
      </c>
      <c r="R1058" s="21" t="s">
        <v>69</v>
      </c>
      <c r="S1058" s="0" t="n">
        <v>3</v>
      </c>
      <c r="T1058" s="21" t="s">
        <v>3649</v>
      </c>
      <c r="U1058" s="22" t="b">
        <f aca="false">TRUE()</f>
        <v>1</v>
      </c>
      <c r="V1058" s="0" t="n">
        <v>0.75</v>
      </c>
      <c r="W1058" s="0" t="n">
        <v>0.68</v>
      </c>
      <c r="X1058" s="0" t="n">
        <v>8.18</v>
      </c>
      <c r="Y1058" s="0" t="n">
        <v>316.01</v>
      </c>
      <c r="Z1058" s="0" t="n">
        <v>8</v>
      </c>
      <c r="AA1058" s="0" t="n">
        <v>-1.44</v>
      </c>
      <c r="AB1058" s="0" t="n">
        <v>4.89</v>
      </c>
      <c r="AC1058" s="22" t="b">
        <f aca="false">FALSE()</f>
        <v>0</v>
      </c>
      <c r="AD1058" s="0" t="n">
        <v>19.16</v>
      </c>
      <c r="AE1058" s="0" t="n">
        <v>9.48</v>
      </c>
      <c r="AF1058" s="0" t="n">
        <v>18.42</v>
      </c>
      <c r="AG1058" s="22" t="b">
        <f aca="false">TRUE()</f>
        <v>1</v>
      </c>
      <c r="AH1058" s="0" t="n">
        <v>1</v>
      </c>
    </row>
    <row r="1059" customFormat="false" ht="15" hidden="false" customHeight="false" outlineLevel="0" collapsed="false">
      <c r="A1059" s="0" t="s">
        <v>1657</v>
      </c>
      <c r="B1059" s="0" t="s">
        <v>134</v>
      </c>
      <c r="C1059" s="0" t="s">
        <v>3450</v>
      </c>
      <c r="D1059" s="0" t="s">
        <v>3448</v>
      </c>
      <c r="E1059" s="20" t="s">
        <v>25</v>
      </c>
      <c r="F1059" s="23" t="s">
        <v>30</v>
      </c>
      <c r="G1059" s="21" t="s">
        <v>1046</v>
      </c>
      <c r="H1059" s="21" t="s">
        <v>24</v>
      </c>
      <c r="I1059" s="21" t="s">
        <v>25</v>
      </c>
      <c r="J1059" s="21" t="s">
        <v>24</v>
      </c>
      <c r="K1059" s="21" t="s">
        <v>25</v>
      </c>
      <c r="L1059" s="21" t="s">
        <v>24</v>
      </c>
      <c r="M1059" s="0" t="n">
        <v>182</v>
      </c>
      <c r="N1059" s="0" t="n">
        <v>5</v>
      </c>
      <c r="O1059" s="21" t="s">
        <v>3802</v>
      </c>
      <c r="P1059" s="21" t="s">
        <v>4629</v>
      </c>
      <c r="Q1059" s="0" t="n">
        <v>1</v>
      </c>
      <c r="R1059" s="21" t="s">
        <v>69</v>
      </c>
      <c r="S1059" s="0" t="n">
        <v>5</v>
      </c>
      <c r="T1059" s="21" t="s">
        <v>3802</v>
      </c>
      <c r="U1059" s="22" t="b">
        <f aca="false">TRUE()</f>
        <v>1</v>
      </c>
      <c r="V1059" s="0" t="n">
        <v>0.78</v>
      </c>
      <c r="W1059" s="0" t="n">
        <v>0.32</v>
      </c>
      <c r="X1059" s="0" t="n">
        <v>8.1</v>
      </c>
      <c r="Y1059" s="0" t="n">
        <v>401.63</v>
      </c>
      <c r="Z1059" s="0" t="n">
        <v>8.92</v>
      </c>
      <c r="AA1059" s="0" t="n">
        <v>-1.73</v>
      </c>
      <c r="AB1059" s="0" t="n">
        <v>3.01</v>
      </c>
      <c r="AC1059" s="22" t="b">
        <f aca="false">FALSE()</f>
        <v>0</v>
      </c>
      <c r="AD1059" s="0" t="n">
        <v>20.65</v>
      </c>
      <c r="AE1059" s="0" t="n">
        <v>12.14</v>
      </c>
      <c r="AF1059" s="0" t="n">
        <v>21.35</v>
      </c>
      <c r="AG1059" s="22" t="b">
        <f aca="false">TRUE()</f>
        <v>1</v>
      </c>
      <c r="AH1059" s="0" t="n">
        <v>1</v>
      </c>
    </row>
    <row r="1060" customFormat="false" ht="15" hidden="false" customHeight="false" outlineLevel="0" collapsed="false">
      <c r="A1060" s="0" t="s">
        <v>1657</v>
      </c>
      <c r="B1060" s="0" t="s">
        <v>134</v>
      </c>
      <c r="C1060" s="0" t="s">
        <v>3447</v>
      </c>
      <c r="D1060" s="0" t="s">
        <v>3457</v>
      </c>
      <c r="E1060" s="20" t="s">
        <v>25</v>
      </c>
      <c r="F1060" s="23" t="s">
        <v>30</v>
      </c>
      <c r="G1060" s="21" t="s">
        <v>183</v>
      </c>
      <c r="H1060" s="21" t="s">
        <v>24</v>
      </c>
      <c r="I1060" s="21" t="s">
        <v>25</v>
      </c>
      <c r="J1060" s="21" t="s">
        <v>24</v>
      </c>
      <c r="K1060" s="21" t="s">
        <v>25</v>
      </c>
      <c r="L1060" s="21" t="s">
        <v>24</v>
      </c>
      <c r="M1060" s="0" t="n">
        <v>185</v>
      </c>
      <c r="N1060" s="0" t="n">
        <v>3</v>
      </c>
      <c r="O1060" s="21" t="s">
        <v>3649</v>
      </c>
      <c r="P1060" s="21" t="s">
        <v>4242</v>
      </c>
      <c r="Q1060" s="0" t="n">
        <v>1</v>
      </c>
      <c r="R1060" s="21" t="s">
        <v>69</v>
      </c>
      <c r="S1060" s="0" t="n">
        <v>3</v>
      </c>
      <c r="T1060" s="21" t="s">
        <v>3649</v>
      </c>
      <c r="U1060" s="22" t="b">
        <f aca="false">TRUE()</f>
        <v>1</v>
      </c>
      <c r="V1060" s="0" t="n">
        <v>0.75</v>
      </c>
      <c r="W1060" s="0" t="n">
        <v>0</v>
      </c>
      <c r="X1060" s="0" t="n">
        <v>7.76</v>
      </c>
      <c r="Y1060" s="0" t="n">
        <v>0.36</v>
      </c>
      <c r="Z1060" s="0" t="n">
        <v>8.33</v>
      </c>
      <c r="AA1060" s="0" t="n">
        <v>-2.25</v>
      </c>
      <c r="AB1060" s="0" t="n">
        <v>4.89</v>
      </c>
      <c r="AC1060" s="22" t="b">
        <f aca="false">FALSE()</f>
        <v>0</v>
      </c>
      <c r="AD1060" s="0" t="n">
        <v>24.85</v>
      </c>
      <c r="AE1060" s="0" t="n">
        <v>15.53</v>
      </c>
      <c r="AF1060" s="0" t="n">
        <v>23.29</v>
      </c>
      <c r="AG1060" s="22" t="b">
        <f aca="false">TRUE()</f>
        <v>1</v>
      </c>
      <c r="AH1060" s="0" t="n">
        <v>0</v>
      </c>
    </row>
    <row r="1061" customFormat="false" ht="15" hidden="false" customHeight="false" outlineLevel="0" collapsed="false">
      <c r="A1061" s="0" t="s">
        <v>1657</v>
      </c>
      <c r="B1061" s="0" t="s">
        <v>134</v>
      </c>
      <c r="C1061" s="0" t="s">
        <v>3447</v>
      </c>
      <c r="D1061" s="0" t="s">
        <v>3448</v>
      </c>
      <c r="E1061" s="18" t="s">
        <v>24</v>
      </c>
      <c r="F1061" s="23" t="s">
        <v>30</v>
      </c>
      <c r="G1061" s="21" t="s">
        <v>30</v>
      </c>
      <c r="H1061" s="21" t="s">
        <v>24</v>
      </c>
      <c r="I1061" s="21" t="s">
        <v>24</v>
      </c>
      <c r="J1061" s="21" t="s">
        <v>24</v>
      </c>
      <c r="K1061" s="21" t="s">
        <v>24</v>
      </c>
      <c r="L1061" s="21" t="s">
        <v>24</v>
      </c>
      <c r="M1061" s="0" t="n">
        <v>182</v>
      </c>
      <c r="N1061" s="0" t="n">
        <v>6</v>
      </c>
      <c r="O1061" s="21" t="s">
        <v>3768</v>
      </c>
      <c r="P1061" s="21" t="s">
        <v>4630</v>
      </c>
      <c r="Q1061" s="0" t="n">
        <v>0</v>
      </c>
      <c r="S1061" s="0" t="n">
        <v>6</v>
      </c>
      <c r="T1061" s="21" t="s">
        <v>3768</v>
      </c>
      <c r="U1061" s="22" t="b">
        <f aca="false">TRUE()</f>
        <v>1</v>
      </c>
      <c r="V1061" s="0" t="n">
        <v>0.78</v>
      </c>
      <c r="W1061" s="0" t="n">
        <v>0.12</v>
      </c>
      <c r="X1061" s="0" t="n">
        <v>9.74</v>
      </c>
      <c r="Y1061" s="0" t="n">
        <v>623.11</v>
      </c>
      <c r="Z1061" s="0" t="n">
        <v>8.83</v>
      </c>
      <c r="AA1061" s="0" t="n">
        <v>-1.84</v>
      </c>
      <c r="AB1061" s="0" t="n">
        <v>3.01</v>
      </c>
      <c r="AC1061" s="22" t="b">
        <f aca="false">FALSE()</f>
        <v>0</v>
      </c>
      <c r="AD1061" s="0" t="n">
        <v>19.2</v>
      </c>
      <c r="AE1061" s="0" t="n">
        <v>7.19</v>
      </c>
      <c r="AF1061" s="0" t="n">
        <v>15.1</v>
      </c>
      <c r="AG1061" s="22" t="b">
        <f aca="false">TRUE()</f>
        <v>1</v>
      </c>
      <c r="AH1061" s="0" t="n">
        <v>1</v>
      </c>
    </row>
    <row r="1062" customFormat="false" ht="15" hidden="false" customHeight="false" outlineLevel="0" collapsed="false">
      <c r="A1062" s="0" t="s">
        <v>1663</v>
      </c>
      <c r="B1062" s="0" t="s">
        <v>134</v>
      </c>
      <c r="C1062" s="0" t="s">
        <v>3450</v>
      </c>
      <c r="D1062" s="0" t="s">
        <v>3457</v>
      </c>
      <c r="E1062" s="20" t="s">
        <v>25</v>
      </c>
      <c r="F1062" s="23" t="s">
        <v>30</v>
      </c>
      <c r="G1062" s="21" t="s">
        <v>283</v>
      </c>
      <c r="H1062" s="21" t="s">
        <v>24</v>
      </c>
      <c r="I1062" s="21" t="s">
        <v>25</v>
      </c>
      <c r="J1062" s="21" t="s">
        <v>24</v>
      </c>
      <c r="K1062" s="21" t="s">
        <v>24</v>
      </c>
      <c r="L1062" s="21" t="s">
        <v>24</v>
      </c>
      <c r="M1062" s="0" t="n">
        <v>185</v>
      </c>
      <c r="N1062" s="0" t="n">
        <v>2</v>
      </c>
      <c r="O1062" s="21" t="s">
        <v>3566</v>
      </c>
      <c r="P1062" s="21" t="s">
        <v>4238</v>
      </c>
      <c r="Q1062" s="0" t="n">
        <v>1</v>
      </c>
      <c r="R1062" s="21" t="s">
        <v>69</v>
      </c>
      <c r="S1062" s="0" t="n">
        <v>2</v>
      </c>
      <c r="T1062" s="21" t="s">
        <v>3566</v>
      </c>
      <c r="U1062" s="22" t="b">
        <f aca="false">TRUE()</f>
        <v>1</v>
      </c>
      <c r="V1062" s="0" t="n">
        <v>0.75</v>
      </c>
      <c r="W1062" s="0" t="n">
        <v>0.8</v>
      </c>
      <c r="X1062" s="0" t="n">
        <v>10.93</v>
      </c>
      <c r="Y1062" s="0" t="n">
        <v>213.47</v>
      </c>
      <c r="Z1062" s="0" t="n">
        <v>9.75</v>
      </c>
      <c r="AA1062" s="0" t="n">
        <v>14.31</v>
      </c>
      <c r="AB1062" s="0" t="n">
        <v>4.57</v>
      </c>
      <c r="AC1062" s="22" t="b">
        <f aca="false">FALSE()</f>
        <v>0</v>
      </c>
      <c r="AD1062" s="0" t="n">
        <v>9.52</v>
      </c>
      <c r="AE1062" s="0" t="n">
        <v>0.58</v>
      </c>
      <c r="AF1062" s="0" t="n">
        <v>3.64</v>
      </c>
      <c r="AG1062" s="22" t="b">
        <f aca="false">FALSE()</f>
        <v>0</v>
      </c>
      <c r="AH1062" s="0" t="n">
        <v>1</v>
      </c>
    </row>
    <row r="1063" customFormat="false" ht="15" hidden="false" customHeight="false" outlineLevel="0" collapsed="false">
      <c r="A1063" s="0" t="s">
        <v>1663</v>
      </c>
      <c r="B1063" s="0" t="s">
        <v>134</v>
      </c>
      <c r="C1063" s="0" t="s">
        <v>3450</v>
      </c>
      <c r="D1063" s="0" t="s">
        <v>3448</v>
      </c>
      <c r="E1063" s="20" t="s">
        <v>25</v>
      </c>
      <c r="F1063" s="23" t="s">
        <v>30</v>
      </c>
      <c r="G1063" s="21" t="s">
        <v>283</v>
      </c>
      <c r="H1063" s="21" t="s">
        <v>24</v>
      </c>
      <c r="I1063" s="21" t="s">
        <v>25</v>
      </c>
      <c r="J1063" s="21" t="s">
        <v>24</v>
      </c>
      <c r="K1063" s="21" t="s">
        <v>24</v>
      </c>
      <c r="L1063" s="21" t="s">
        <v>24</v>
      </c>
      <c r="M1063" s="0" t="n">
        <v>184</v>
      </c>
      <c r="N1063" s="0" t="n">
        <v>1</v>
      </c>
      <c r="O1063" s="21" t="s">
        <v>69</v>
      </c>
      <c r="P1063" s="21" t="s">
        <v>4275</v>
      </c>
      <c r="Q1063" s="0" t="n">
        <v>1</v>
      </c>
      <c r="R1063" s="21" t="s">
        <v>69</v>
      </c>
      <c r="S1063" s="0" t="n">
        <v>1</v>
      </c>
      <c r="T1063" s="21" t="s">
        <v>69</v>
      </c>
      <c r="U1063" s="22" t="b">
        <f aca="false">TRUE()</f>
        <v>1</v>
      </c>
      <c r="V1063" s="0" t="n">
        <v>0.73</v>
      </c>
      <c r="W1063" s="0" t="n">
        <v>0.12</v>
      </c>
      <c r="X1063" s="0" t="n">
        <v>10.84</v>
      </c>
      <c r="Y1063" s="0" t="n">
        <v>621.07</v>
      </c>
      <c r="Z1063" s="0" t="n">
        <v>9.75</v>
      </c>
      <c r="AA1063" s="0" t="n">
        <v>14.04</v>
      </c>
      <c r="AB1063" s="0" t="n">
        <v>4.69</v>
      </c>
      <c r="AC1063" s="22" t="b">
        <f aca="false">FALSE()</f>
        <v>0</v>
      </c>
      <c r="AD1063" s="0" t="n">
        <v>13.98</v>
      </c>
      <c r="AE1063" s="0" t="n">
        <v>0.62</v>
      </c>
      <c r="AF1063" s="0" t="n">
        <v>5.04</v>
      </c>
      <c r="AG1063" s="22" t="b">
        <f aca="false">TRUE()</f>
        <v>1</v>
      </c>
      <c r="AH1063" s="0" t="n">
        <v>1</v>
      </c>
    </row>
    <row r="1064" customFormat="false" ht="15" hidden="false" customHeight="false" outlineLevel="0" collapsed="false">
      <c r="A1064" s="0" t="s">
        <v>1663</v>
      </c>
      <c r="B1064" s="0" t="s">
        <v>134</v>
      </c>
      <c r="C1064" s="0" t="s">
        <v>3447</v>
      </c>
      <c r="D1064" s="0" t="s">
        <v>3457</v>
      </c>
      <c r="E1064" s="18" t="s">
        <v>24</v>
      </c>
      <c r="F1064" s="23" t="s">
        <v>30</v>
      </c>
      <c r="G1064" s="21" t="s">
        <v>30</v>
      </c>
      <c r="H1064" s="21" t="s">
        <v>24</v>
      </c>
      <c r="I1064" s="21" t="s">
        <v>24</v>
      </c>
      <c r="J1064" s="21" t="s">
        <v>24</v>
      </c>
      <c r="K1064" s="21" t="s">
        <v>24</v>
      </c>
      <c r="L1064" s="21" t="s">
        <v>24</v>
      </c>
      <c r="M1064" s="0" t="n">
        <v>190</v>
      </c>
      <c r="N1064" s="0" t="n">
        <v>5</v>
      </c>
      <c r="O1064" s="21" t="s">
        <v>3679</v>
      </c>
      <c r="P1064" s="21" t="s">
        <v>4274</v>
      </c>
      <c r="Q1064" s="0" t="n">
        <v>0</v>
      </c>
      <c r="S1064" s="0" t="n">
        <v>5</v>
      </c>
      <c r="T1064" s="21" t="s">
        <v>3679</v>
      </c>
      <c r="U1064" s="22" t="b">
        <f aca="false">TRUE()</f>
        <v>1</v>
      </c>
      <c r="V1064" s="0" t="n">
        <v>0.73</v>
      </c>
      <c r="W1064" s="0" t="n">
        <v>0.96</v>
      </c>
      <c r="X1064" s="0" t="n">
        <v>10.16</v>
      </c>
      <c r="Y1064" s="0" t="n">
        <v>295.78</v>
      </c>
      <c r="Z1064" s="0" t="n">
        <v>8.42</v>
      </c>
      <c r="AA1064" s="0" t="n">
        <v>5.19</v>
      </c>
      <c r="AB1064" s="0" t="n">
        <v>4.57</v>
      </c>
      <c r="AC1064" s="22" t="b">
        <f aca="false">FALSE()</f>
        <v>0</v>
      </c>
      <c r="AD1064" s="0" t="n">
        <v>8.88</v>
      </c>
      <c r="AE1064" s="0" t="n">
        <v>0.32</v>
      </c>
      <c r="AF1064" s="0" t="n">
        <v>2.24</v>
      </c>
      <c r="AG1064" s="22" t="b">
        <f aca="false">FALSE()</f>
        <v>0</v>
      </c>
      <c r="AH1064" s="0" t="n">
        <v>1</v>
      </c>
    </row>
    <row r="1065" customFormat="false" ht="15" hidden="false" customHeight="false" outlineLevel="0" collapsed="false">
      <c r="A1065" s="0" t="s">
        <v>1663</v>
      </c>
      <c r="B1065" s="0" t="s">
        <v>134</v>
      </c>
      <c r="C1065" s="0" t="s">
        <v>3447</v>
      </c>
      <c r="D1065" s="0" t="s">
        <v>3448</v>
      </c>
      <c r="E1065" s="20" t="s">
        <v>25</v>
      </c>
      <c r="F1065" s="23" t="s">
        <v>30</v>
      </c>
      <c r="G1065" s="21" t="s">
        <v>283</v>
      </c>
      <c r="H1065" s="21" t="s">
        <v>24</v>
      </c>
      <c r="I1065" s="21" t="s">
        <v>25</v>
      </c>
      <c r="J1065" s="21" t="s">
        <v>24</v>
      </c>
      <c r="K1065" s="21" t="s">
        <v>24</v>
      </c>
      <c r="L1065" s="21" t="s">
        <v>24</v>
      </c>
      <c r="M1065" s="0" t="n">
        <v>187</v>
      </c>
      <c r="N1065" s="0" t="n">
        <v>4</v>
      </c>
      <c r="O1065" s="21" t="s">
        <v>3737</v>
      </c>
      <c r="P1065" s="21" t="s">
        <v>4535</v>
      </c>
      <c r="Q1065" s="0" t="n">
        <v>1</v>
      </c>
      <c r="R1065" s="21" t="s">
        <v>69</v>
      </c>
      <c r="S1065" s="0" t="n">
        <v>4</v>
      </c>
      <c r="T1065" s="21" t="s">
        <v>3737</v>
      </c>
      <c r="U1065" s="22" t="b">
        <f aca="false">TRUE()</f>
        <v>1</v>
      </c>
      <c r="V1065" s="0" t="n">
        <v>0.73</v>
      </c>
      <c r="W1065" s="0" t="n">
        <v>0.76</v>
      </c>
      <c r="X1065" s="0" t="n">
        <v>11.15</v>
      </c>
      <c r="Y1065" s="0" t="n">
        <v>323.95</v>
      </c>
      <c r="Z1065" s="0" t="n">
        <v>8.25</v>
      </c>
      <c r="AA1065" s="0" t="n">
        <v>13.41</v>
      </c>
      <c r="AB1065" s="0" t="n">
        <v>4.69</v>
      </c>
      <c r="AC1065" s="22" t="b">
        <f aca="false">FALSE()</f>
        <v>0</v>
      </c>
      <c r="AD1065" s="0" t="n">
        <v>6.25</v>
      </c>
      <c r="AE1065" s="0" t="n">
        <v>1</v>
      </c>
      <c r="AF1065" s="0" t="n">
        <v>0.67</v>
      </c>
      <c r="AG1065" s="22" t="b">
        <f aca="false">FALSE()</f>
        <v>0</v>
      </c>
      <c r="AH1065" s="0" t="n">
        <v>1</v>
      </c>
    </row>
    <row r="1066" customFormat="false" ht="15" hidden="false" customHeight="false" outlineLevel="0" collapsed="false">
      <c r="A1066" s="0" t="s">
        <v>1669</v>
      </c>
      <c r="B1066" s="0" t="s">
        <v>134</v>
      </c>
      <c r="C1066" s="0" t="s">
        <v>3450</v>
      </c>
      <c r="D1066" s="0" t="s">
        <v>3457</v>
      </c>
      <c r="E1066" s="20" t="s">
        <v>25</v>
      </c>
      <c r="F1066" s="23" t="s">
        <v>30</v>
      </c>
      <c r="G1066" s="21" t="s">
        <v>197</v>
      </c>
      <c r="H1066" s="21" t="s">
        <v>24</v>
      </c>
      <c r="I1066" s="21" t="s">
        <v>25</v>
      </c>
      <c r="J1066" s="21" t="s">
        <v>24</v>
      </c>
      <c r="K1066" s="21" t="s">
        <v>25</v>
      </c>
      <c r="L1066" s="21" t="s">
        <v>24</v>
      </c>
      <c r="M1066" s="0" t="n">
        <v>182</v>
      </c>
      <c r="N1066" s="0" t="n">
        <v>2</v>
      </c>
      <c r="O1066" s="21" t="s">
        <v>3566</v>
      </c>
      <c r="P1066" s="21" t="s">
        <v>4238</v>
      </c>
      <c r="Q1066" s="0" t="n">
        <v>1</v>
      </c>
      <c r="R1066" s="21" t="s">
        <v>69</v>
      </c>
      <c r="S1066" s="0" t="n">
        <v>2</v>
      </c>
      <c r="T1066" s="21" t="s">
        <v>3566</v>
      </c>
      <c r="U1066" s="22" t="b">
        <f aca="false">TRUE()</f>
        <v>1</v>
      </c>
      <c r="V1066" s="0" t="n">
        <v>0.7</v>
      </c>
      <c r="W1066" s="0" t="n">
        <v>0.12</v>
      </c>
      <c r="X1066" s="0" t="n">
        <v>4.89</v>
      </c>
      <c r="Y1066" s="0" t="n">
        <v>623.19</v>
      </c>
      <c r="Z1066" s="0" t="n">
        <v>10.08</v>
      </c>
      <c r="AA1066" s="0" t="n">
        <v>1.25</v>
      </c>
      <c r="AB1066" s="0" t="n">
        <v>0.92</v>
      </c>
      <c r="AC1066" s="22" t="b">
        <f aca="false">TRUE()</f>
        <v>1</v>
      </c>
      <c r="AD1066" s="0" t="n">
        <v>17.19</v>
      </c>
      <c r="AE1066" s="0" t="n">
        <v>0.63</v>
      </c>
      <c r="AF1066" s="0" t="n">
        <v>9.73</v>
      </c>
      <c r="AG1066" s="22" t="b">
        <f aca="false">TRUE()</f>
        <v>1</v>
      </c>
      <c r="AH1066" s="0" t="n">
        <v>1</v>
      </c>
    </row>
    <row r="1067" customFormat="false" ht="15" hidden="false" customHeight="false" outlineLevel="0" collapsed="false">
      <c r="A1067" s="0" t="s">
        <v>1669</v>
      </c>
      <c r="B1067" s="0" t="s">
        <v>134</v>
      </c>
      <c r="C1067" s="0" t="s">
        <v>3450</v>
      </c>
      <c r="D1067" s="0" t="s">
        <v>3448</v>
      </c>
      <c r="E1067" s="20" t="s">
        <v>25</v>
      </c>
      <c r="F1067" s="23" t="s">
        <v>30</v>
      </c>
      <c r="G1067" s="21" t="s">
        <v>357</v>
      </c>
      <c r="H1067" s="21" t="s">
        <v>24</v>
      </c>
      <c r="I1067" s="21" t="s">
        <v>25</v>
      </c>
      <c r="J1067" s="21" t="s">
        <v>24</v>
      </c>
      <c r="K1067" s="21" t="s">
        <v>25</v>
      </c>
      <c r="L1067" s="21" t="s">
        <v>24</v>
      </c>
      <c r="M1067" s="0" t="n">
        <v>183</v>
      </c>
      <c r="N1067" s="0" t="n">
        <v>4</v>
      </c>
      <c r="O1067" s="21" t="s">
        <v>3778</v>
      </c>
      <c r="P1067" s="21" t="s">
        <v>4631</v>
      </c>
      <c r="Q1067" s="0" t="n">
        <v>1</v>
      </c>
      <c r="R1067" s="21" t="s">
        <v>69</v>
      </c>
      <c r="S1067" s="0" t="n">
        <v>4</v>
      </c>
      <c r="T1067" s="21" t="s">
        <v>3778</v>
      </c>
      <c r="U1067" s="22" t="b">
        <f aca="false">TRUE()</f>
        <v>1</v>
      </c>
      <c r="V1067" s="0" t="n">
        <v>0.72</v>
      </c>
      <c r="W1067" s="0" t="n">
        <v>0.8</v>
      </c>
      <c r="X1067" s="0" t="n">
        <v>5.5</v>
      </c>
      <c r="Y1067" s="0" t="n">
        <v>284</v>
      </c>
      <c r="Z1067" s="0" t="n">
        <v>9.42</v>
      </c>
      <c r="AA1067" s="0" t="n">
        <v>1.47</v>
      </c>
      <c r="AB1067" s="0" t="n">
        <v>1.01</v>
      </c>
      <c r="AC1067" s="22" t="b">
        <f aca="false">TRUE()</f>
        <v>1</v>
      </c>
      <c r="AD1067" s="0" t="n">
        <v>14.77</v>
      </c>
      <c r="AE1067" s="0" t="n">
        <v>1.04</v>
      </c>
      <c r="AF1067" s="0" t="n">
        <v>4.08</v>
      </c>
      <c r="AG1067" s="22" t="b">
        <f aca="false">TRUE()</f>
        <v>1</v>
      </c>
      <c r="AH1067" s="0" t="n">
        <v>1</v>
      </c>
    </row>
    <row r="1068" customFormat="false" ht="15" hidden="false" customHeight="false" outlineLevel="0" collapsed="false">
      <c r="A1068" s="0" t="s">
        <v>1669</v>
      </c>
      <c r="B1068" s="0" t="s">
        <v>134</v>
      </c>
      <c r="C1068" s="0" t="s">
        <v>3447</v>
      </c>
      <c r="D1068" s="0" t="s">
        <v>3457</v>
      </c>
      <c r="E1068" s="20" t="s">
        <v>25</v>
      </c>
      <c r="F1068" s="23" t="s">
        <v>30</v>
      </c>
      <c r="G1068" s="21" t="s">
        <v>2610</v>
      </c>
      <c r="H1068" s="21" t="s">
        <v>24</v>
      </c>
      <c r="I1068" s="21" t="s">
        <v>24</v>
      </c>
      <c r="J1068" s="21" t="s">
        <v>24</v>
      </c>
      <c r="K1068" s="21" t="s">
        <v>25</v>
      </c>
      <c r="L1068" s="21" t="s">
        <v>24</v>
      </c>
      <c r="M1068" s="0" t="n">
        <v>189</v>
      </c>
      <c r="N1068" s="0" t="n">
        <v>2</v>
      </c>
      <c r="O1068" s="21" t="s">
        <v>3549</v>
      </c>
      <c r="P1068" s="21" t="s">
        <v>4632</v>
      </c>
      <c r="Q1068" s="0" t="n">
        <v>0</v>
      </c>
      <c r="S1068" s="0" t="n">
        <v>2</v>
      </c>
      <c r="T1068" s="21" t="s">
        <v>3549</v>
      </c>
      <c r="U1068" s="22" t="b">
        <f aca="false">TRUE()</f>
        <v>1</v>
      </c>
      <c r="V1068" s="0" t="n">
        <v>0.7</v>
      </c>
      <c r="W1068" s="0" t="n">
        <v>0.36</v>
      </c>
      <c r="X1068" s="0" t="n">
        <v>5.44</v>
      </c>
      <c r="Y1068" s="0" t="n">
        <v>390.8</v>
      </c>
      <c r="Z1068" s="0" t="n">
        <v>9.75</v>
      </c>
      <c r="AA1068" s="0" t="n">
        <v>1.29</v>
      </c>
      <c r="AB1068" s="0" t="n">
        <v>0.92</v>
      </c>
      <c r="AC1068" s="22" t="b">
        <f aca="false">FALSE()</f>
        <v>0</v>
      </c>
      <c r="AD1068" s="0" t="n">
        <v>17.86</v>
      </c>
      <c r="AE1068" s="0" t="n">
        <v>1.11</v>
      </c>
      <c r="AF1068" s="0" t="n">
        <v>9.46</v>
      </c>
      <c r="AG1068" s="22" t="b">
        <f aca="false">TRUE()</f>
        <v>1</v>
      </c>
      <c r="AH1068" s="0" t="n">
        <v>1</v>
      </c>
    </row>
    <row r="1069" customFormat="false" ht="15" hidden="false" customHeight="false" outlineLevel="0" collapsed="false">
      <c r="A1069" s="0" t="s">
        <v>1669</v>
      </c>
      <c r="B1069" s="0" t="s">
        <v>134</v>
      </c>
      <c r="C1069" s="0" t="s">
        <v>3447</v>
      </c>
      <c r="D1069" s="0" t="s">
        <v>3448</v>
      </c>
      <c r="E1069" s="20" t="s">
        <v>25</v>
      </c>
      <c r="F1069" s="23" t="s">
        <v>30</v>
      </c>
      <c r="G1069" s="21" t="s">
        <v>1099</v>
      </c>
      <c r="H1069" s="21" t="s">
        <v>24</v>
      </c>
      <c r="I1069" s="21" t="s">
        <v>25</v>
      </c>
      <c r="J1069" s="21" t="s">
        <v>24</v>
      </c>
      <c r="K1069" s="21" t="s">
        <v>25</v>
      </c>
      <c r="L1069" s="21" t="s">
        <v>24</v>
      </c>
      <c r="M1069" s="0" t="n">
        <v>202</v>
      </c>
      <c r="N1069" s="0" t="n">
        <v>2</v>
      </c>
      <c r="O1069" s="21" t="s">
        <v>3566</v>
      </c>
      <c r="P1069" s="21" t="s">
        <v>4238</v>
      </c>
      <c r="Q1069" s="0" t="n">
        <v>1</v>
      </c>
      <c r="R1069" s="21" t="s">
        <v>69</v>
      </c>
      <c r="S1069" s="0" t="n">
        <v>2</v>
      </c>
      <c r="T1069" s="21" t="s">
        <v>3566</v>
      </c>
      <c r="U1069" s="22" t="b">
        <f aca="false">TRUE()</f>
        <v>1</v>
      </c>
      <c r="V1069" s="0" t="n">
        <v>0.73</v>
      </c>
      <c r="W1069" s="0" t="n">
        <v>0</v>
      </c>
      <c r="X1069" s="0" t="n">
        <v>5.38</v>
      </c>
      <c r="Y1069" s="0" t="n">
        <v>768.34</v>
      </c>
      <c r="Z1069" s="0" t="n">
        <v>8.75</v>
      </c>
      <c r="AA1069" s="0" t="n">
        <v>1.51</v>
      </c>
      <c r="AB1069" s="0" t="n">
        <v>1.01</v>
      </c>
      <c r="AC1069" s="22" t="b">
        <f aca="false">FALSE()</f>
        <v>0</v>
      </c>
      <c r="AD1069" s="0" t="n">
        <v>13.54</v>
      </c>
      <c r="AE1069" s="0" t="n">
        <v>0.63</v>
      </c>
      <c r="AF1069" s="0" t="n">
        <v>3.04</v>
      </c>
      <c r="AG1069" s="22" t="b">
        <f aca="false">TRUE()</f>
        <v>1</v>
      </c>
      <c r="AH1069" s="0" t="n">
        <v>1</v>
      </c>
    </row>
    <row r="1070" customFormat="false" ht="15" hidden="false" customHeight="false" outlineLevel="0" collapsed="false">
      <c r="A1070" s="0" t="s">
        <v>1669</v>
      </c>
      <c r="B1070" s="0" t="s">
        <v>3459</v>
      </c>
      <c r="C1070" s="0" t="s">
        <v>3450</v>
      </c>
      <c r="D1070" s="0" t="s">
        <v>3457</v>
      </c>
      <c r="E1070" s="19" t="s">
        <v>26</v>
      </c>
      <c r="F1070" s="19" t="s">
        <v>32</v>
      </c>
      <c r="G1070" s="21" t="s">
        <v>1076</v>
      </c>
      <c r="H1070" s="21" t="s">
        <v>24</v>
      </c>
      <c r="I1070" s="21" t="s">
        <v>26</v>
      </c>
      <c r="J1070" s="21" t="s">
        <v>24</v>
      </c>
      <c r="K1070" s="21" t="s">
        <v>25</v>
      </c>
      <c r="L1070" s="21" t="s">
        <v>24</v>
      </c>
      <c r="M1070" s="0" t="n">
        <v>184</v>
      </c>
      <c r="N1070" s="0" t="n">
        <v>10</v>
      </c>
      <c r="O1070" s="21" t="s">
        <v>4060</v>
      </c>
      <c r="P1070" s="21" t="s">
        <v>4282</v>
      </c>
      <c r="Q1070" s="0" t="n">
        <v>1</v>
      </c>
      <c r="R1070" s="21" t="s">
        <v>69</v>
      </c>
      <c r="S1070" s="0" t="n">
        <v>10</v>
      </c>
      <c r="T1070" s="21" t="s">
        <v>4060</v>
      </c>
      <c r="U1070" s="22" t="b">
        <f aca="false">FALSE()</f>
        <v>0</v>
      </c>
      <c r="V1070" s="0" t="n">
        <v>0.76</v>
      </c>
      <c r="W1070" s="0" t="n">
        <v>0.56</v>
      </c>
      <c r="X1070" s="0" t="n">
        <v>5.31</v>
      </c>
      <c r="Y1070" s="0" t="n">
        <v>322.01</v>
      </c>
      <c r="Z1070" s="0" t="n">
        <v>9.08</v>
      </c>
      <c r="AA1070" s="0" t="n">
        <v>-0.83</v>
      </c>
      <c r="AB1070" s="0" t="n">
        <v>2.65</v>
      </c>
      <c r="AC1070" s="22" t="b">
        <f aca="false">FALSE()</f>
        <v>0</v>
      </c>
      <c r="AD1070" s="0" t="n">
        <v>15.74</v>
      </c>
      <c r="AE1070" s="0" t="n">
        <v>7.35</v>
      </c>
      <c r="AF1070" s="0" t="n">
        <v>12.43</v>
      </c>
      <c r="AG1070" s="22" t="b">
        <f aca="false">TRUE()</f>
        <v>1</v>
      </c>
      <c r="AH1070" s="0" t="n">
        <v>1</v>
      </c>
    </row>
    <row r="1071" customFormat="false" ht="15" hidden="false" customHeight="false" outlineLevel="0" collapsed="false">
      <c r="A1071" s="0" t="s">
        <v>1669</v>
      </c>
      <c r="B1071" s="0" t="s">
        <v>3459</v>
      </c>
      <c r="C1071" s="0" t="s">
        <v>3450</v>
      </c>
      <c r="D1071" s="0" t="s">
        <v>3448</v>
      </c>
      <c r="E1071" s="19" t="s">
        <v>26</v>
      </c>
      <c r="F1071" s="19" t="s">
        <v>32</v>
      </c>
      <c r="G1071" s="21" t="s">
        <v>1409</v>
      </c>
      <c r="H1071" s="21" t="s">
        <v>24</v>
      </c>
      <c r="I1071" s="21" t="s">
        <v>26</v>
      </c>
      <c r="J1071" s="21" t="s">
        <v>24</v>
      </c>
      <c r="K1071" s="21" t="s">
        <v>25</v>
      </c>
      <c r="L1071" s="21" t="s">
        <v>24</v>
      </c>
      <c r="M1071" s="0" t="n">
        <v>184</v>
      </c>
      <c r="N1071" s="0" t="n">
        <v>9</v>
      </c>
      <c r="O1071" s="21" t="s">
        <v>4062</v>
      </c>
      <c r="P1071" s="21" t="s">
        <v>4633</v>
      </c>
      <c r="Q1071" s="0" t="n">
        <v>1</v>
      </c>
      <c r="R1071" s="21" t="s">
        <v>69</v>
      </c>
      <c r="S1071" s="0" t="n">
        <v>9</v>
      </c>
      <c r="T1071" s="21" t="s">
        <v>4062</v>
      </c>
      <c r="U1071" s="22" t="b">
        <f aca="false">FALSE()</f>
        <v>0</v>
      </c>
      <c r="V1071" s="0" t="n">
        <v>0.76</v>
      </c>
      <c r="W1071" s="0" t="n">
        <v>0.48</v>
      </c>
      <c r="X1071" s="0" t="n">
        <v>5.83</v>
      </c>
      <c r="Y1071" s="0" t="n">
        <v>337.89</v>
      </c>
      <c r="Z1071" s="0" t="n">
        <v>8</v>
      </c>
      <c r="AA1071" s="0" t="n">
        <v>-1.11</v>
      </c>
      <c r="AB1071" s="0" t="n">
        <v>0.97</v>
      </c>
      <c r="AC1071" s="22" t="b">
        <f aca="false">TRUE()</f>
        <v>1</v>
      </c>
      <c r="AD1071" s="0" t="n">
        <v>11.83</v>
      </c>
      <c r="AE1071" s="0" t="n">
        <v>4.73</v>
      </c>
      <c r="AF1071" s="0" t="n">
        <v>10.56</v>
      </c>
      <c r="AG1071" s="22" t="b">
        <f aca="false">TRUE()</f>
        <v>1</v>
      </c>
      <c r="AH1071" s="0" t="n">
        <v>1</v>
      </c>
    </row>
    <row r="1072" customFormat="false" ht="15" hidden="false" customHeight="false" outlineLevel="0" collapsed="false">
      <c r="A1072" s="0" t="s">
        <v>1669</v>
      </c>
      <c r="B1072" s="0" t="s">
        <v>3459</v>
      </c>
      <c r="C1072" s="0" t="s">
        <v>3447</v>
      </c>
      <c r="D1072" s="0" t="s">
        <v>3457</v>
      </c>
      <c r="E1072" s="18" t="s">
        <v>24</v>
      </c>
      <c r="F1072" s="23" t="s">
        <v>30</v>
      </c>
      <c r="G1072" s="21" t="s">
        <v>30</v>
      </c>
      <c r="H1072" s="21" t="s">
        <v>24</v>
      </c>
      <c r="I1072" s="21" t="s">
        <v>24</v>
      </c>
      <c r="J1072" s="21" t="s">
        <v>24</v>
      </c>
      <c r="K1072" s="21" t="s">
        <v>24</v>
      </c>
      <c r="L1072" s="21" t="s">
        <v>24</v>
      </c>
      <c r="M1072" s="0" t="n">
        <v>187</v>
      </c>
      <c r="N1072" s="0" t="n">
        <v>1</v>
      </c>
      <c r="O1072" s="21" t="s">
        <v>3480</v>
      </c>
      <c r="P1072" s="21" t="s">
        <v>4354</v>
      </c>
      <c r="Q1072" s="0" t="n">
        <v>0</v>
      </c>
      <c r="S1072" s="0" t="n">
        <v>1</v>
      </c>
      <c r="T1072" s="21" t="s">
        <v>3480</v>
      </c>
      <c r="U1072" s="22" t="b">
        <f aca="false">TRUE()</f>
        <v>1</v>
      </c>
      <c r="V1072" s="0" t="n">
        <v>0.85</v>
      </c>
      <c r="W1072" s="0" t="n">
        <v>0.56</v>
      </c>
      <c r="X1072" s="0" t="n">
        <v>5.74</v>
      </c>
      <c r="Y1072" s="0" t="n">
        <v>329.39</v>
      </c>
      <c r="Z1072" s="0" t="n">
        <v>10</v>
      </c>
      <c r="AA1072" s="0" t="n">
        <v>1.71</v>
      </c>
      <c r="AB1072" s="0" t="n">
        <v>2.65</v>
      </c>
      <c r="AC1072" s="22" t="b">
        <f aca="false">FALSE()</f>
        <v>0</v>
      </c>
      <c r="AD1072" s="0" t="n">
        <v>19.71</v>
      </c>
      <c r="AE1072" s="0" t="n">
        <v>10.82</v>
      </c>
      <c r="AF1072" s="0" t="n">
        <v>15.39</v>
      </c>
      <c r="AG1072" s="22" t="b">
        <f aca="false">TRUE()</f>
        <v>1</v>
      </c>
      <c r="AH1072" s="0" t="n">
        <v>1</v>
      </c>
    </row>
    <row r="1073" customFormat="false" ht="15" hidden="false" customHeight="false" outlineLevel="0" collapsed="false">
      <c r="A1073" s="0" t="s">
        <v>1669</v>
      </c>
      <c r="B1073" s="0" t="s">
        <v>3459</v>
      </c>
      <c r="C1073" s="0" t="s">
        <v>3447</v>
      </c>
      <c r="D1073" s="0" t="s">
        <v>3448</v>
      </c>
      <c r="E1073" s="20" t="s">
        <v>25</v>
      </c>
      <c r="F1073" s="20" t="s">
        <v>29</v>
      </c>
      <c r="G1073" s="21" t="s">
        <v>64</v>
      </c>
      <c r="H1073" s="21" t="s">
        <v>24</v>
      </c>
      <c r="I1073" s="21" t="s">
        <v>24</v>
      </c>
      <c r="J1073" s="21" t="s">
        <v>24</v>
      </c>
      <c r="K1073" s="21" t="s">
        <v>25</v>
      </c>
      <c r="L1073" s="21" t="s">
        <v>24</v>
      </c>
      <c r="M1073" s="0" t="n">
        <v>184</v>
      </c>
      <c r="N1073" s="0" t="n">
        <v>0</v>
      </c>
      <c r="Q1073" s="0" t="n">
        <v>0</v>
      </c>
      <c r="S1073" s="0" t="n">
        <v>0</v>
      </c>
      <c r="U1073" s="22" t="b">
        <f aca="false">FALSE()</f>
        <v>0</v>
      </c>
      <c r="V1073" s="0" t="n">
        <v>0.79</v>
      </c>
      <c r="W1073" s="0" t="n">
        <v>0.48</v>
      </c>
      <c r="X1073" s="0" t="n">
        <v>7.17</v>
      </c>
      <c r="Y1073" s="0" t="n">
        <v>337.12</v>
      </c>
      <c r="Z1073" s="0" t="n">
        <v>8</v>
      </c>
      <c r="AA1073" s="0" t="n">
        <v>-1.02</v>
      </c>
      <c r="AB1073" s="0" t="n">
        <v>0.97</v>
      </c>
      <c r="AC1073" s="22" t="b">
        <f aca="false">FALSE()</f>
        <v>0</v>
      </c>
      <c r="AD1073" s="0" t="n">
        <v>11.29</v>
      </c>
      <c r="AE1073" s="0" t="n">
        <v>4.04</v>
      </c>
      <c r="AF1073" s="0" t="n">
        <v>9.64</v>
      </c>
      <c r="AG1073" s="22" t="b">
        <f aca="false">TRUE()</f>
        <v>1</v>
      </c>
      <c r="AH1073" s="0" t="n">
        <v>1</v>
      </c>
    </row>
    <row r="1074" customFormat="false" ht="15" hidden="false" customHeight="false" outlineLevel="0" collapsed="false">
      <c r="A1074" s="0" t="s">
        <v>1685</v>
      </c>
      <c r="B1074" s="0" t="s">
        <v>134</v>
      </c>
      <c r="C1074" s="0" t="s">
        <v>3450</v>
      </c>
      <c r="D1074" s="0" t="s">
        <v>3457</v>
      </c>
      <c r="E1074" s="20" t="s">
        <v>25</v>
      </c>
      <c r="F1074" s="23" t="s">
        <v>30</v>
      </c>
      <c r="G1074" s="21" t="s">
        <v>283</v>
      </c>
      <c r="H1074" s="21" t="s">
        <v>24</v>
      </c>
      <c r="I1074" s="21" t="s">
        <v>25</v>
      </c>
      <c r="J1074" s="21" t="s">
        <v>24</v>
      </c>
      <c r="K1074" s="21" t="s">
        <v>24</v>
      </c>
      <c r="L1074" s="21" t="s">
        <v>24</v>
      </c>
      <c r="M1074" s="0" t="n">
        <v>189</v>
      </c>
      <c r="N1074" s="0" t="n">
        <v>1</v>
      </c>
      <c r="O1074" s="21" t="s">
        <v>69</v>
      </c>
      <c r="P1074" s="21" t="s">
        <v>4275</v>
      </c>
      <c r="Q1074" s="0" t="n">
        <v>1</v>
      </c>
      <c r="R1074" s="21" t="s">
        <v>69</v>
      </c>
      <c r="S1074" s="0" t="n">
        <v>1</v>
      </c>
      <c r="T1074" s="21" t="s">
        <v>69</v>
      </c>
      <c r="U1074" s="22" t="b">
        <f aca="false">TRUE()</f>
        <v>1</v>
      </c>
      <c r="V1074" s="0" t="n">
        <v>0.78</v>
      </c>
      <c r="W1074" s="0" t="n">
        <v>0.28</v>
      </c>
      <c r="X1074" s="0" t="n">
        <v>7.75</v>
      </c>
      <c r="Y1074" s="0" t="n">
        <v>443.08</v>
      </c>
      <c r="Z1074" s="0" t="n">
        <v>9.75</v>
      </c>
      <c r="AA1074" s="0" t="n">
        <v>16.12</v>
      </c>
      <c r="AB1074" s="0" t="n">
        <v>6.34</v>
      </c>
      <c r="AC1074" s="22" t="b">
        <f aca="false">FALSE()</f>
        <v>0</v>
      </c>
      <c r="AD1074" s="0" t="n">
        <v>13.46</v>
      </c>
      <c r="AE1074" s="0" t="n">
        <v>0.86</v>
      </c>
      <c r="AF1074" s="0" t="n">
        <v>1.96</v>
      </c>
      <c r="AG1074" s="22" t="b">
        <f aca="false">TRUE()</f>
        <v>1</v>
      </c>
      <c r="AH1074" s="0" t="n">
        <v>1</v>
      </c>
    </row>
    <row r="1075" customFormat="false" ht="15" hidden="false" customHeight="false" outlineLevel="0" collapsed="false">
      <c r="A1075" s="0" t="s">
        <v>1685</v>
      </c>
      <c r="B1075" s="0" t="s">
        <v>134</v>
      </c>
      <c r="C1075" s="0" t="s">
        <v>3450</v>
      </c>
      <c r="D1075" s="0" t="s">
        <v>3448</v>
      </c>
      <c r="E1075" s="20" t="s">
        <v>25</v>
      </c>
      <c r="F1075" s="23" t="s">
        <v>30</v>
      </c>
      <c r="G1075" s="21" t="s">
        <v>283</v>
      </c>
      <c r="H1075" s="21" t="s">
        <v>24</v>
      </c>
      <c r="I1075" s="21" t="s">
        <v>25</v>
      </c>
      <c r="J1075" s="21" t="s">
        <v>24</v>
      </c>
      <c r="K1075" s="21" t="s">
        <v>24</v>
      </c>
      <c r="L1075" s="21" t="s">
        <v>24</v>
      </c>
      <c r="M1075" s="0" t="n">
        <v>187</v>
      </c>
      <c r="N1075" s="0" t="n">
        <v>2</v>
      </c>
      <c r="O1075" s="21" t="s">
        <v>3566</v>
      </c>
      <c r="P1075" s="21" t="s">
        <v>4238</v>
      </c>
      <c r="Q1075" s="0" t="n">
        <v>1</v>
      </c>
      <c r="R1075" s="21" t="s">
        <v>69</v>
      </c>
      <c r="S1075" s="0" t="n">
        <v>2</v>
      </c>
      <c r="T1075" s="21" t="s">
        <v>3566</v>
      </c>
      <c r="U1075" s="22" t="b">
        <f aca="false">TRUE()</f>
        <v>1</v>
      </c>
      <c r="V1075" s="0" t="n">
        <v>0.79</v>
      </c>
      <c r="W1075" s="0" t="n">
        <v>0.72</v>
      </c>
      <c r="X1075" s="0" t="n">
        <v>10.17</v>
      </c>
      <c r="Y1075" s="0" t="n">
        <v>328.3</v>
      </c>
      <c r="Z1075" s="0" t="n">
        <v>10</v>
      </c>
      <c r="AA1075" s="0" t="n">
        <v>17.19</v>
      </c>
      <c r="AB1075" s="0" t="n">
        <v>5.94</v>
      </c>
      <c r="AC1075" s="22" t="b">
        <f aca="false">FALSE()</f>
        <v>0</v>
      </c>
      <c r="AD1075" s="0" t="n">
        <v>12.18</v>
      </c>
      <c r="AE1075" s="0" t="n">
        <v>0.74</v>
      </c>
      <c r="AF1075" s="0" t="n">
        <v>1.19</v>
      </c>
      <c r="AG1075" s="22" t="b">
        <f aca="false">TRUE()</f>
        <v>1</v>
      </c>
      <c r="AH1075" s="0" t="n">
        <v>1</v>
      </c>
    </row>
    <row r="1076" customFormat="false" ht="15" hidden="false" customHeight="false" outlineLevel="0" collapsed="false">
      <c r="A1076" s="0" t="s">
        <v>1685</v>
      </c>
      <c r="B1076" s="0" t="s">
        <v>134</v>
      </c>
      <c r="C1076" s="0" t="s">
        <v>3447</v>
      </c>
      <c r="D1076" s="0" t="s">
        <v>3457</v>
      </c>
      <c r="E1076" s="19" t="s">
        <v>26</v>
      </c>
      <c r="F1076" s="19" t="s">
        <v>32</v>
      </c>
      <c r="G1076" s="21" t="s">
        <v>60</v>
      </c>
      <c r="H1076" s="21" t="s">
        <v>24</v>
      </c>
      <c r="I1076" s="21" t="s">
        <v>26</v>
      </c>
      <c r="J1076" s="21" t="s">
        <v>24</v>
      </c>
      <c r="K1076" s="21" t="s">
        <v>24</v>
      </c>
      <c r="L1076" s="21" t="s">
        <v>24</v>
      </c>
      <c r="M1076" s="0" t="n">
        <v>186</v>
      </c>
      <c r="N1076" s="0" t="n">
        <v>7</v>
      </c>
      <c r="O1076" s="21" t="s">
        <v>3942</v>
      </c>
      <c r="P1076" s="21" t="s">
        <v>4634</v>
      </c>
      <c r="Q1076" s="0" t="n">
        <v>0</v>
      </c>
      <c r="S1076" s="0" t="n">
        <v>7</v>
      </c>
      <c r="T1076" s="21" t="s">
        <v>3942</v>
      </c>
      <c r="U1076" s="22" t="b">
        <f aca="false">FALSE()</f>
        <v>0</v>
      </c>
      <c r="V1076" s="0" t="n">
        <v>0.65</v>
      </c>
      <c r="W1076" s="0" t="n">
        <v>0.4</v>
      </c>
      <c r="X1076" s="0" t="n">
        <v>8.54</v>
      </c>
      <c r="Y1076" s="0" t="n">
        <v>363.97</v>
      </c>
      <c r="Z1076" s="0" t="n">
        <v>9.75</v>
      </c>
      <c r="AA1076" s="0" t="n">
        <v>0.24</v>
      </c>
      <c r="AB1076" s="0" t="n">
        <v>6.34</v>
      </c>
      <c r="AC1076" s="22" t="b">
        <f aca="false">FALSE()</f>
        <v>0</v>
      </c>
      <c r="AD1076" s="0" t="n">
        <v>8.76</v>
      </c>
      <c r="AE1076" s="0" t="n">
        <v>0.78</v>
      </c>
      <c r="AF1076" s="0" t="n">
        <v>0.59</v>
      </c>
      <c r="AG1076" s="22" t="b">
        <f aca="false">FALSE()</f>
        <v>0</v>
      </c>
      <c r="AH1076" s="0" t="n">
        <v>1</v>
      </c>
    </row>
    <row r="1077" customFormat="false" ht="15" hidden="false" customHeight="false" outlineLevel="0" collapsed="false">
      <c r="A1077" s="0" t="s">
        <v>1685</v>
      </c>
      <c r="B1077" s="0" t="s">
        <v>134</v>
      </c>
      <c r="C1077" s="0" t="s">
        <v>3447</v>
      </c>
      <c r="D1077" s="0" t="s">
        <v>3448</v>
      </c>
      <c r="E1077" s="18" t="s">
        <v>24</v>
      </c>
      <c r="F1077" s="23" t="s">
        <v>30</v>
      </c>
      <c r="G1077" s="21" t="s">
        <v>30</v>
      </c>
      <c r="H1077" s="21" t="s">
        <v>24</v>
      </c>
      <c r="I1077" s="21" t="s">
        <v>24</v>
      </c>
      <c r="J1077" s="21" t="s">
        <v>24</v>
      </c>
      <c r="K1077" s="21" t="s">
        <v>24</v>
      </c>
      <c r="L1077" s="21" t="s">
        <v>24</v>
      </c>
      <c r="M1077" s="0" t="n">
        <v>193</v>
      </c>
      <c r="N1077" s="0" t="n">
        <v>2</v>
      </c>
      <c r="O1077" s="21" t="s">
        <v>3508</v>
      </c>
      <c r="P1077" s="21" t="s">
        <v>4280</v>
      </c>
      <c r="Q1077" s="0" t="n">
        <v>0</v>
      </c>
      <c r="S1077" s="0" t="n">
        <v>2</v>
      </c>
      <c r="T1077" s="21" t="s">
        <v>3508</v>
      </c>
      <c r="U1077" s="22" t="b">
        <f aca="false">TRUE()</f>
        <v>1</v>
      </c>
      <c r="V1077" s="0" t="n">
        <v>0.74</v>
      </c>
      <c r="W1077" s="0" t="n">
        <v>0.48</v>
      </c>
      <c r="X1077" s="0" t="n">
        <v>9.03</v>
      </c>
      <c r="Y1077" s="0" t="n">
        <v>354.08</v>
      </c>
      <c r="Z1077" s="0" t="n">
        <v>10</v>
      </c>
      <c r="AA1077" s="0" t="n">
        <v>6.81</v>
      </c>
      <c r="AB1077" s="0" t="n">
        <v>5.94</v>
      </c>
      <c r="AC1077" s="22" t="b">
        <f aca="false">FALSE()</f>
        <v>0</v>
      </c>
      <c r="AD1077" s="0" t="n">
        <v>11.04</v>
      </c>
      <c r="AE1077" s="0" t="n">
        <v>0.58</v>
      </c>
      <c r="AF1077" s="0" t="n">
        <v>0.6</v>
      </c>
      <c r="AG1077" s="22" t="b">
        <f aca="false">TRUE()</f>
        <v>1</v>
      </c>
      <c r="AH1077" s="0" t="n">
        <v>1</v>
      </c>
    </row>
    <row r="1078" customFormat="false" ht="15" hidden="false" customHeight="false" outlineLevel="0" collapsed="false">
      <c r="A1078" s="0" t="s">
        <v>1685</v>
      </c>
      <c r="B1078" s="0" t="s">
        <v>3459</v>
      </c>
      <c r="C1078" s="0" t="s">
        <v>3450</v>
      </c>
      <c r="D1078" s="0" t="s">
        <v>3457</v>
      </c>
      <c r="E1078" s="18" t="s">
        <v>24</v>
      </c>
      <c r="F1078" s="18" t="s">
        <v>28</v>
      </c>
      <c r="H1078" s="21" t="s">
        <v>24</v>
      </c>
      <c r="I1078" s="21" t="s">
        <v>24</v>
      </c>
      <c r="J1078" s="21" t="s">
        <v>24</v>
      </c>
      <c r="K1078" s="21" t="s">
        <v>24</v>
      </c>
      <c r="L1078" s="21" t="s">
        <v>24</v>
      </c>
      <c r="M1078" s="0" t="n">
        <v>184</v>
      </c>
      <c r="N1078" s="0" t="n">
        <v>0</v>
      </c>
      <c r="Q1078" s="0" t="n">
        <v>0</v>
      </c>
      <c r="S1078" s="0" t="n">
        <v>0</v>
      </c>
      <c r="U1078" s="22" t="b">
        <f aca="false">FALSE()</f>
        <v>0</v>
      </c>
      <c r="V1078" s="0" t="n">
        <v>0.73</v>
      </c>
      <c r="W1078" s="0" t="n">
        <v>0.84</v>
      </c>
      <c r="X1078" s="0" t="n">
        <v>7.79</v>
      </c>
      <c r="Y1078" s="0" t="n">
        <v>316.71</v>
      </c>
      <c r="Z1078" s="0" t="n">
        <v>9.5</v>
      </c>
      <c r="AA1078" s="0" t="n">
        <v>6.68</v>
      </c>
      <c r="AB1078" s="0" t="n">
        <v>11.81</v>
      </c>
      <c r="AC1078" s="22" t="b">
        <f aca="false">FALSE()</f>
        <v>0</v>
      </c>
      <c r="AD1078" s="0" t="n">
        <v>15.8</v>
      </c>
      <c r="AE1078" s="0" t="n">
        <v>6.98</v>
      </c>
      <c r="AF1078" s="0" t="n">
        <v>13.78</v>
      </c>
      <c r="AG1078" s="22" t="b">
        <f aca="false">TRUE()</f>
        <v>1</v>
      </c>
      <c r="AH1078" s="0" t="n">
        <v>1</v>
      </c>
    </row>
    <row r="1079" customFormat="false" ht="15" hidden="false" customHeight="false" outlineLevel="0" collapsed="false">
      <c r="A1079" s="0" t="s">
        <v>1685</v>
      </c>
      <c r="B1079" s="0" t="s">
        <v>3459</v>
      </c>
      <c r="C1079" s="0" t="s">
        <v>3450</v>
      </c>
      <c r="D1079" s="0" t="s">
        <v>3448</v>
      </c>
      <c r="E1079" s="20" t="s">
        <v>25</v>
      </c>
      <c r="F1079" s="23" t="s">
        <v>30</v>
      </c>
      <c r="G1079" s="21" t="s">
        <v>283</v>
      </c>
      <c r="H1079" s="21" t="s">
        <v>24</v>
      </c>
      <c r="I1079" s="21" t="s">
        <v>25</v>
      </c>
      <c r="J1079" s="21" t="s">
        <v>24</v>
      </c>
      <c r="K1079" s="21" t="s">
        <v>24</v>
      </c>
      <c r="L1079" s="21" t="s">
        <v>24</v>
      </c>
      <c r="M1079" s="0" t="n">
        <v>185</v>
      </c>
      <c r="N1079" s="0" t="n">
        <v>2</v>
      </c>
      <c r="O1079" s="21" t="s">
        <v>3575</v>
      </c>
      <c r="P1079" s="21" t="s">
        <v>4265</v>
      </c>
      <c r="Q1079" s="0" t="n">
        <v>1</v>
      </c>
      <c r="R1079" s="21" t="s">
        <v>69</v>
      </c>
      <c r="S1079" s="0" t="n">
        <v>2</v>
      </c>
      <c r="T1079" s="21" t="s">
        <v>3575</v>
      </c>
      <c r="U1079" s="22" t="b">
        <f aca="false">TRUE()</f>
        <v>1</v>
      </c>
      <c r="V1079" s="0" t="n">
        <v>0.79</v>
      </c>
      <c r="W1079" s="0" t="n">
        <v>0.92</v>
      </c>
      <c r="X1079" s="0" t="n">
        <v>8.77</v>
      </c>
      <c r="Y1079" s="0" t="n">
        <v>317.82</v>
      </c>
      <c r="Z1079" s="0" t="n">
        <v>9.75</v>
      </c>
      <c r="AA1079" s="0" t="n">
        <v>15.12</v>
      </c>
      <c r="AB1079" s="0" t="n">
        <v>2.94</v>
      </c>
      <c r="AC1079" s="22" t="b">
        <f aca="false">FALSE()</f>
        <v>0</v>
      </c>
      <c r="AD1079" s="0" t="n">
        <v>19.65</v>
      </c>
      <c r="AE1079" s="0" t="n">
        <v>7.4</v>
      </c>
      <c r="AF1079" s="0" t="n">
        <v>13.72</v>
      </c>
      <c r="AG1079" s="22" t="b">
        <f aca="false">TRUE()</f>
        <v>1</v>
      </c>
      <c r="AH1079" s="0" t="n">
        <v>1</v>
      </c>
    </row>
    <row r="1080" customFormat="false" ht="15" hidden="false" customHeight="false" outlineLevel="0" collapsed="false">
      <c r="A1080" s="0" t="s">
        <v>1685</v>
      </c>
      <c r="B1080" s="0" t="s">
        <v>3459</v>
      </c>
      <c r="C1080" s="0" t="s">
        <v>3447</v>
      </c>
      <c r="D1080" s="0" t="s">
        <v>3457</v>
      </c>
      <c r="E1080" s="19" t="s">
        <v>26</v>
      </c>
      <c r="F1080" s="19" t="s">
        <v>32</v>
      </c>
      <c r="G1080" s="21" t="s">
        <v>1926</v>
      </c>
      <c r="H1080" s="21" t="s">
        <v>24</v>
      </c>
      <c r="I1080" s="21" t="s">
        <v>26</v>
      </c>
      <c r="J1080" s="21" t="s">
        <v>24</v>
      </c>
      <c r="K1080" s="21" t="s">
        <v>25</v>
      </c>
      <c r="L1080" s="21" t="s">
        <v>24</v>
      </c>
      <c r="M1080" s="0" t="n">
        <v>183</v>
      </c>
      <c r="N1080" s="0" t="n">
        <v>10</v>
      </c>
      <c r="O1080" s="21" t="s">
        <v>4089</v>
      </c>
      <c r="P1080" s="21" t="s">
        <v>4635</v>
      </c>
      <c r="Q1080" s="0" t="n">
        <v>1</v>
      </c>
      <c r="R1080" s="21" t="s">
        <v>69</v>
      </c>
      <c r="S1080" s="0" t="n">
        <v>10</v>
      </c>
      <c r="T1080" s="21" t="s">
        <v>4089</v>
      </c>
      <c r="U1080" s="22" t="b">
        <f aca="false">FALSE()</f>
        <v>0</v>
      </c>
      <c r="V1080" s="0" t="n">
        <v>0.74</v>
      </c>
      <c r="W1080" s="0" t="n">
        <v>0.12</v>
      </c>
      <c r="X1080" s="0" t="n">
        <v>7.54</v>
      </c>
      <c r="Y1080" s="0" t="n">
        <v>623.84</v>
      </c>
      <c r="Z1080" s="0" t="n">
        <v>9.25</v>
      </c>
      <c r="AA1080" s="0" t="n">
        <v>3.37</v>
      </c>
      <c r="AB1080" s="0" t="n">
        <v>11.81</v>
      </c>
      <c r="AC1080" s="22" t="b">
        <f aca="false">FALSE()</f>
        <v>0</v>
      </c>
      <c r="AD1080" s="0" t="n">
        <v>22.18</v>
      </c>
      <c r="AE1080" s="0" t="n">
        <v>9.85</v>
      </c>
      <c r="AF1080" s="0" t="n">
        <v>17.15</v>
      </c>
      <c r="AG1080" s="22" t="b">
        <f aca="false">TRUE()</f>
        <v>1</v>
      </c>
      <c r="AH1080" s="0" t="n">
        <v>1</v>
      </c>
    </row>
    <row r="1081" customFormat="false" ht="15" hidden="false" customHeight="false" outlineLevel="0" collapsed="false">
      <c r="A1081" s="0" t="s">
        <v>1685</v>
      </c>
      <c r="B1081" s="0" t="s">
        <v>3459</v>
      </c>
      <c r="C1081" s="0" t="s">
        <v>3447</v>
      </c>
      <c r="D1081" s="0" t="s">
        <v>3448</v>
      </c>
      <c r="E1081" s="20" t="s">
        <v>25</v>
      </c>
      <c r="F1081" s="23" t="s">
        <v>30</v>
      </c>
      <c r="G1081" s="21" t="s">
        <v>992</v>
      </c>
      <c r="H1081" s="21" t="s">
        <v>24</v>
      </c>
      <c r="I1081" s="21" t="s">
        <v>24</v>
      </c>
      <c r="J1081" s="21" t="s">
        <v>24</v>
      </c>
      <c r="K1081" s="21" t="s">
        <v>25</v>
      </c>
      <c r="L1081" s="21" t="s">
        <v>24</v>
      </c>
      <c r="M1081" s="0" t="n">
        <v>182</v>
      </c>
      <c r="N1081" s="0" t="n">
        <v>4</v>
      </c>
      <c r="O1081" s="21" t="s">
        <v>3636</v>
      </c>
      <c r="P1081" s="21" t="s">
        <v>4636</v>
      </c>
      <c r="Q1081" s="0" t="n">
        <v>0</v>
      </c>
      <c r="S1081" s="0" t="n">
        <v>4</v>
      </c>
      <c r="T1081" s="21" t="s">
        <v>3636</v>
      </c>
      <c r="U1081" s="22" t="b">
        <f aca="false">TRUE()</f>
        <v>1</v>
      </c>
      <c r="V1081" s="0" t="n">
        <v>0.79</v>
      </c>
      <c r="W1081" s="0" t="n">
        <v>0.2</v>
      </c>
      <c r="X1081" s="0" t="n">
        <v>9.38</v>
      </c>
      <c r="Y1081" s="0" t="n">
        <v>484.84</v>
      </c>
      <c r="Z1081" s="0" t="n">
        <v>10</v>
      </c>
      <c r="AA1081" s="0" t="n">
        <v>8.87</v>
      </c>
      <c r="AB1081" s="0" t="n">
        <v>2.94</v>
      </c>
      <c r="AC1081" s="22" t="b">
        <f aca="false">FALSE()</f>
        <v>0</v>
      </c>
      <c r="AD1081" s="0" t="n">
        <v>20.65</v>
      </c>
      <c r="AE1081" s="0" t="n">
        <v>8.3</v>
      </c>
      <c r="AF1081" s="0" t="n">
        <v>13.94</v>
      </c>
      <c r="AG1081" s="22" t="b">
        <f aca="false">TRUE()</f>
        <v>1</v>
      </c>
      <c r="AH1081" s="0" t="n">
        <v>1</v>
      </c>
    </row>
    <row r="1082" customFormat="false" ht="15" hidden="false" customHeight="false" outlineLevel="0" collapsed="false">
      <c r="A1082" s="0" t="s">
        <v>1691</v>
      </c>
      <c r="B1082" s="0" t="s">
        <v>134</v>
      </c>
      <c r="C1082" s="0" t="s">
        <v>3450</v>
      </c>
      <c r="D1082" s="0" t="s">
        <v>3457</v>
      </c>
      <c r="E1082" s="20" t="s">
        <v>25</v>
      </c>
      <c r="F1082" s="23" t="s">
        <v>30</v>
      </c>
      <c r="G1082" s="21" t="s">
        <v>283</v>
      </c>
      <c r="H1082" s="21" t="s">
        <v>24</v>
      </c>
      <c r="I1082" s="21" t="s">
        <v>25</v>
      </c>
      <c r="J1082" s="21" t="s">
        <v>24</v>
      </c>
      <c r="K1082" s="21" t="s">
        <v>24</v>
      </c>
      <c r="L1082" s="21" t="s">
        <v>24</v>
      </c>
      <c r="M1082" s="0" t="n">
        <v>187</v>
      </c>
      <c r="N1082" s="0" t="n">
        <v>2</v>
      </c>
      <c r="O1082" s="21" t="s">
        <v>3566</v>
      </c>
      <c r="P1082" s="21" t="s">
        <v>4238</v>
      </c>
      <c r="Q1082" s="0" t="n">
        <v>1</v>
      </c>
      <c r="R1082" s="21" t="s">
        <v>69</v>
      </c>
      <c r="S1082" s="0" t="n">
        <v>2</v>
      </c>
      <c r="T1082" s="21" t="s">
        <v>3566</v>
      </c>
      <c r="U1082" s="22" t="b">
        <f aca="false">TRUE()</f>
        <v>1</v>
      </c>
      <c r="V1082" s="0" t="n">
        <v>0.74</v>
      </c>
      <c r="W1082" s="0" t="n">
        <v>0.72</v>
      </c>
      <c r="X1082" s="0" t="n">
        <v>6.93</v>
      </c>
      <c r="Y1082" s="0" t="n">
        <v>325.16</v>
      </c>
      <c r="Z1082" s="0" t="n">
        <v>10.5</v>
      </c>
      <c r="AA1082" s="0" t="n">
        <v>15.93</v>
      </c>
      <c r="AB1082" s="0" t="n">
        <v>11.75</v>
      </c>
      <c r="AC1082" s="22" t="b">
        <f aca="false">FALSE()</f>
        <v>0</v>
      </c>
      <c r="AD1082" s="0" t="n">
        <v>18.28</v>
      </c>
      <c r="AE1082" s="0" t="n">
        <v>0.27</v>
      </c>
      <c r="AF1082" s="0" t="n">
        <v>9.94</v>
      </c>
      <c r="AG1082" s="22" t="b">
        <f aca="false">TRUE()</f>
        <v>1</v>
      </c>
      <c r="AH1082" s="0" t="n">
        <v>1</v>
      </c>
    </row>
    <row r="1083" customFormat="false" ht="15" hidden="false" customHeight="false" outlineLevel="0" collapsed="false">
      <c r="A1083" s="0" t="s">
        <v>1691</v>
      </c>
      <c r="B1083" s="0" t="s">
        <v>134</v>
      </c>
      <c r="C1083" s="0" t="s">
        <v>3450</v>
      </c>
      <c r="D1083" s="0" t="s">
        <v>3448</v>
      </c>
      <c r="E1083" s="20" t="s">
        <v>25</v>
      </c>
      <c r="F1083" s="23" t="s">
        <v>30</v>
      </c>
      <c r="G1083" s="21" t="s">
        <v>283</v>
      </c>
      <c r="H1083" s="21" t="s">
        <v>24</v>
      </c>
      <c r="I1083" s="21" t="s">
        <v>25</v>
      </c>
      <c r="J1083" s="21" t="s">
        <v>24</v>
      </c>
      <c r="K1083" s="21" t="s">
        <v>24</v>
      </c>
      <c r="L1083" s="21" t="s">
        <v>24</v>
      </c>
      <c r="M1083" s="0" t="n">
        <v>184</v>
      </c>
      <c r="N1083" s="0" t="n">
        <v>1</v>
      </c>
      <c r="O1083" s="21" t="s">
        <v>69</v>
      </c>
      <c r="P1083" s="21" t="s">
        <v>4275</v>
      </c>
      <c r="Q1083" s="0" t="n">
        <v>1</v>
      </c>
      <c r="R1083" s="21" t="s">
        <v>69</v>
      </c>
      <c r="S1083" s="0" t="n">
        <v>1</v>
      </c>
      <c r="T1083" s="21" t="s">
        <v>69</v>
      </c>
      <c r="U1083" s="22" t="b">
        <f aca="false">TRUE()</f>
        <v>1</v>
      </c>
      <c r="V1083" s="0" t="n">
        <v>0.76</v>
      </c>
      <c r="W1083" s="0" t="n">
        <v>0.72</v>
      </c>
      <c r="X1083" s="0" t="n">
        <v>6.66</v>
      </c>
      <c r="Y1083" s="0" t="n">
        <v>259.49</v>
      </c>
      <c r="Z1083" s="0" t="n">
        <v>10.5</v>
      </c>
      <c r="AA1083" s="0" t="n">
        <v>17.04</v>
      </c>
      <c r="AB1083" s="0" t="n">
        <v>8.92</v>
      </c>
      <c r="AC1083" s="22" t="b">
        <f aca="false">FALSE()</f>
        <v>0</v>
      </c>
      <c r="AD1083" s="0" t="n">
        <v>11.64</v>
      </c>
      <c r="AE1083" s="0" t="n">
        <v>1.03</v>
      </c>
      <c r="AF1083" s="0" t="n">
        <v>2.07</v>
      </c>
      <c r="AG1083" s="22" t="b">
        <f aca="false">TRUE()</f>
        <v>1</v>
      </c>
      <c r="AH1083" s="0" t="n">
        <v>1</v>
      </c>
    </row>
    <row r="1084" customFormat="false" ht="15" hidden="false" customHeight="false" outlineLevel="0" collapsed="false">
      <c r="A1084" s="0" t="s">
        <v>1691</v>
      </c>
      <c r="B1084" s="0" t="s">
        <v>134</v>
      </c>
      <c r="C1084" s="0" t="s">
        <v>3447</v>
      </c>
      <c r="D1084" s="0" t="s">
        <v>3457</v>
      </c>
      <c r="E1084" s="18" t="s">
        <v>24</v>
      </c>
      <c r="F1084" s="23" t="s">
        <v>30</v>
      </c>
      <c r="G1084" s="21" t="s">
        <v>30</v>
      </c>
      <c r="H1084" s="21" t="s">
        <v>24</v>
      </c>
      <c r="I1084" s="21" t="s">
        <v>24</v>
      </c>
      <c r="J1084" s="21" t="s">
        <v>24</v>
      </c>
      <c r="K1084" s="21" t="s">
        <v>24</v>
      </c>
      <c r="L1084" s="21" t="s">
        <v>24</v>
      </c>
      <c r="M1084" s="0" t="n">
        <v>183</v>
      </c>
      <c r="N1084" s="0" t="n">
        <v>1</v>
      </c>
      <c r="O1084" s="21" t="s">
        <v>3476</v>
      </c>
      <c r="P1084" s="21" t="s">
        <v>4228</v>
      </c>
      <c r="Q1084" s="0" t="n">
        <v>0</v>
      </c>
      <c r="S1084" s="0" t="n">
        <v>1</v>
      </c>
      <c r="T1084" s="21" t="s">
        <v>3476</v>
      </c>
      <c r="U1084" s="22" t="b">
        <f aca="false">TRUE()</f>
        <v>1</v>
      </c>
      <c r="V1084" s="0" t="n">
        <v>0.83</v>
      </c>
      <c r="W1084" s="0" t="n">
        <v>0.88</v>
      </c>
      <c r="X1084" s="0" t="n">
        <v>6.32</v>
      </c>
      <c r="Y1084" s="0" t="n">
        <v>316.57</v>
      </c>
      <c r="Z1084" s="0" t="n">
        <v>9</v>
      </c>
      <c r="AA1084" s="0" t="n">
        <v>-1.04</v>
      </c>
      <c r="AB1084" s="0" t="n">
        <v>11.75</v>
      </c>
      <c r="AC1084" s="22" t="b">
        <f aca="false">FALSE()</f>
        <v>0</v>
      </c>
      <c r="AD1084" s="0" t="n">
        <v>17.75</v>
      </c>
      <c r="AE1084" s="0" t="n">
        <v>1.14</v>
      </c>
      <c r="AF1084" s="0" t="n">
        <v>7.52</v>
      </c>
      <c r="AG1084" s="22" t="b">
        <f aca="false">TRUE()</f>
        <v>1</v>
      </c>
      <c r="AH1084" s="0" t="n">
        <v>1</v>
      </c>
    </row>
    <row r="1085" customFormat="false" ht="15" hidden="false" customHeight="false" outlineLevel="0" collapsed="false">
      <c r="A1085" s="0" t="s">
        <v>1691</v>
      </c>
      <c r="B1085" s="0" t="s">
        <v>134</v>
      </c>
      <c r="C1085" s="0" t="s">
        <v>3447</v>
      </c>
      <c r="D1085" s="0" t="s">
        <v>3448</v>
      </c>
      <c r="E1085" s="18" t="s">
        <v>24</v>
      </c>
      <c r="F1085" s="18" t="s">
        <v>28</v>
      </c>
      <c r="H1085" s="21" t="s">
        <v>24</v>
      </c>
      <c r="I1085" s="21" t="s">
        <v>24</v>
      </c>
      <c r="J1085" s="21" t="s">
        <v>24</v>
      </c>
      <c r="K1085" s="21" t="s">
        <v>24</v>
      </c>
      <c r="L1085" s="21" t="s">
        <v>24</v>
      </c>
      <c r="M1085" s="0" t="n">
        <v>182</v>
      </c>
      <c r="N1085" s="0" t="n">
        <v>0</v>
      </c>
      <c r="Q1085" s="0" t="n">
        <v>0</v>
      </c>
      <c r="S1085" s="0" t="n">
        <v>0</v>
      </c>
      <c r="U1085" s="22" t="b">
        <f aca="false">FALSE()</f>
        <v>0</v>
      </c>
      <c r="V1085" s="0" t="n">
        <v>0.83</v>
      </c>
      <c r="W1085" s="0" t="n">
        <v>0.28</v>
      </c>
      <c r="X1085" s="0" t="n">
        <v>6.63</v>
      </c>
      <c r="Y1085" s="0" t="n">
        <v>322.44</v>
      </c>
      <c r="Z1085" s="0" t="n">
        <v>10.5</v>
      </c>
      <c r="AA1085" s="0" t="n">
        <v>0.91</v>
      </c>
      <c r="AB1085" s="0" t="n">
        <v>8.92</v>
      </c>
      <c r="AC1085" s="22" t="b">
        <f aca="false">FALSE()</f>
        <v>0</v>
      </c>
      <c r="AD1085" s="0" t="n">
        <v>10.33</v>
      </c>
      <c r="AE1085" s="0" t="n">
        <v>0.75</v>
      </c>
      <c r="AF1085" s="0" t="n">
        <v>2.52</v>
      </c>
      <c r="AG1085" s="22" t="b">
        <f aca="false">TRUE()</f>
        <v>1</v>
      </c>
      <c r="AH1085" s="0" t="n">
        <v>1</v>
      </c>
    </row>
    <row r="1086" customFormat="false" ht="15" hidden="false" customHeight="false" outlineLevel="0" collapsed="false">
      <c r="A1086" s="0" t="s">
        <v>1697</v>
      </c>
      <c r="B1086" s="0" t="s">
        <v>134</v>
      </c>
      <c r="C1086" s="0" t="s">
        <v>3450</v>
      </c>
      <c r="D1086" s="0" t="s">
        <v>3457</v>
      </c>
      <c r="E1086" s="20" t="s">
        <v>25</v>
      </c>
      <c r="F1086" s="23" t="s">
        <v>30</v>
      </c>
      <c r="G1086" s="21" t="s">
        <v>163</v>
      </c>
      <c r="H1086" s="21" t="s">
        <v>24</v>
      </c>
      <c r="I1086" s="21" t="s">
        <v>25</v>
      </c>
      <c r="J1086" s="21" t="s">
        <v>24</v>
      </c>
      <c r="K1086" s="21" t="s">
        <v>25</v>
      </c>
      <c r="L1086" s="21" t="s">
        <v>24</v>
      </c>
      <c r="M1086" s="0" t="n">
        <v>184</v>
      </c>
      <c r="N1086" s="0" t="n">
        <v>2</v>
      </c>
      <c r="O1086" s="21" t="s">
        <v>3566</v>
      </c>
      <c r="P1086" s="21" t="s">
        <v>4238</v>
      </c>
      <c r="Q1086" s="0" t="n">
        <v>1</v>
      </c>
      <c r="R1086" s="21" t="s">
        <v>69</v>
      </c>
      <c r="S1086" s="0" t="n">
        <v>2</v>
      </c>
      <c r="T1086" s="21" t="s">
        <v>3566</v>
      </c>
      <c r="U1086" s="22" t="b">
        <f aca="false">TRUE()</f>
        <v>1</v>
      </c>
      <c r="V1086" s="0" t="n">
        <v>0.72</v>
      </c>
      <c r="W1086" s="0" t="n">
        <v>0.12</v>
      </c>
      <c r="X1086" s="0" t="n">
        <v>7.15</v>
      </c>
      <c r="Y1086" s="0" t="n">
        <v>627.82</v>
      </c>
      <c r="Z1086" s="0" t="n">
        <v>10.33</v>
      </c>
      <c r="AA1086" s="0" t="n">
        <v>9.85</v>
      </c>
      <c r="AB1086" s="0" t="n">
        <v>0.37</v>
      </c>
      <c r="AC1086" s="22" t="b">
        <f aca="false">FALSE()</f>
        <v>0</v>
      </c>
      <c r="AD1086" s="0" t="n">
        <v>28.71</v>
      </c>
      <c r="AE1086" s="0" t="n">
        <v>15.57</v>
      </c>
      <c r="AF1086" s="0" t="n">
        <v>24.2</v>
      </c>
      <c r="AG1086" s="22" t="b">
        <f aca="false">TRUE()</f>
        <v>1</v>
      </c>
      <c r="AH1086" s="0" t="n">
        <v>1</v>
      </c>
    </row>
    <row r="1087" customFormat="false" ht="15" hidden="false" customHeight="false" outlineLevel="0" collapsed="false">
      <c r="A1087" s="0" t="s">
        <v>1697</v>
      </c>
      <c r="B1087" s="0" t="s">
        <v>134</v>
      </c>
      <c r="C1087" s="0" t="s">
        <v>3450</v>
      </c>
      <c r="D1087" s="0" t="s">
        <v>3448</v>
      </c>
      <c r="E1087" s="20" t="s">
        <v>25</v>
      </c>
      <c r="F1087" s="23" t="s">
        <v>30</v>
      </c>
      <c r="G1087" s="21" t="s">
        <v>283</v>
      </c>
      <c r="H1087" s="21" t="s">
        <v>24</v>
      </c>
      <c r="I1087" s="21" t="s">
        <v>25</v>
      </c>
      <c r="J1087" s="21" t="s">
        <v>24</v>
      </c>
      <c r="K1087" s="21" t="s">
        <v>24</v>
      </c>
      <c r="L1087" s="21" t="s">
        <v>24</v>
      </c>
      <c r="M1087" s="0" t="n">
        <v>184</v>
      </c>
      <c r="N1087" s="0" t="n">
        <v>2</v>
      </c>
      <c r="O1087" s="21" t="s">
        <v>3566</v>
      </c>
      <c r="P1087" s="21" t="s">
        <v>4238</v>
      </c>
      <c r="Q1087" s="0" t="n">
        <v>1</v>
      </c>
      <c r="R1087" s="21" t="s">
        <v>69</v>
      </c>
      <c r="S1087" s="0" t="n">
        <v>2</v>
      </c>
      <c r="T1087" s="21" t="s">
        <v>3566</v>
      </c>
      <c r="U1087" s="22" t="b">
        <f aca="false">TRUE()</f>
        <v>1</v>
      </c>
      <c r="V1087" s="0" t="n">
        <v>0.67</v>
      </c>
      <c r="W1087" s="0" t="n">
        <v>0</v>
      </c>
      <c r="X1087" s="0" t="n">
        <v>6.44</v>
      </c>
      <c r="Y1087" s="0" t="n">
        <v>715.43</v>
      </c>
      <c r="Z1087" s="0" t="n">
        <v>10.25</v>
      </c>
      <c r="AA1087" s="0" t="n">
        <v>13.12</v>
      </c>
      <c r="AB1087" s="0" t="n">
        <v>4.49</v>
      </c>
      <c r="AC1087" s="22" t="b">
        <f aca="false">FALSE()</f>
        <v>0</v>
      </c>
      <c r="AD1087" s="0" t="n">
        <v>12.34</v>
      </c>
      <c r="AE1087" s="0" t="n">
        <v>4.86</v>
      </c>
      <c r="AF1087" s="0" t="n">
        <v>4.74</v>
      </c>
      <c r="AG1087" s="22" t="b">
        <f aca="false">TRUE()</f>
        <v>1</v>
      </c>
      <c r="AH1087" s="0" t="n">
        <v>1</v>
      </c>
    </row>
    <row r="1088" customFormat="false" ht="15" hidden="false" customHeight="false" outlineLevel="0" collapsed="false">
      <c r="A1088" s="0" t="s">
        <v>1697</v>
      </c>
      <c r="B1088" s="0" t="s">
        <v>134</v>
      </c>
      <c r="C1088" s="0" t="s">
        <v>3447</v>
      </c>
      <c r="D1088" s="0" t="s">
        <v>3457</v>
      </c>
      <c r="E1088" s="19" t="s">
        <v>26</v>
      </c>
      <c r="F1088" s="19" t="s">
        <v>32</v>
      </c>
      <c r="G1088" s="21" t="s">
        <v>3969</v>
      </c>
      <c r="H1088" s="21" t="s">
        <v>24</v>
      </c>
      <c r="I1088" s="21" t="s">
        <v>26</v>
      </c>
      <c r="J1088" s="21" t="s">
        <v>24</v>
      </c>
      <c r="K1088" s="21" t="s">
        <v>25</v>
      </c>
      <c r="L1088" s="21" t="s">
        <v>24</v>
      </c>
      <c r="M1088" s="0" t="n">
        <v>186</v>
      </c>
      <c r="N1088" s="0" t="n">
        <v>11</v>
      </c>
      <c r="O1088" s="21" t="s">
        <v>4008</v>
      </c>
      <c r="P1088" s="21" t="s">
        <v>4637</v>
      </c>
      <c r="Q1088" s="0" t="n">
        <v>0</v>
      </c>
      <c r="S1088" s="0" t="n">
        <v>11</v>
      </c>
      <c r="T1088" s="21" t="s">
        <v>4008</v>
      </c>
      <c r="U1088" s="22" t="b">
        <f aca="false">FALSE()</f>
        <v>0</v>
      </c>
      <c r="V1088" s="0" t="n">
        <v>0.7</v>
      </c>
      <c r="W1088" s="0" t="n">
        <v>0.52</v>
      </c>
      <c r="X1088" s="0" t="n">
        <v>9.24</v>
      </c>
      <c r="Y1088" s="0" t="n">
        <v>332.74</v>
      </c>
      <c r="Z1088" s="0" t="n">
        <v>8</v>
      </c>
      <c r="AA1088" s="0" t="n">
        <v>-0.86</v>
      </c>
      <c r="AB1088" s="0" t="n">
        <v>0.37</v>
      </c>
      <c r="AC1088" s="22" t="b">
        <f aca="false">FALSE()</f>
        <v>0</v>
      </c>
      <c r="AD1088" s="0" t="n">
        <v>20.72</v>
      </c>
      <c r="AE1088" s="0" t="n">
        <v>9.93</v>
      </c>
      <c r="AF1088" s="0" t="n">
        <v>19.38</v>
      </c>
      <c r="AG1088" s="22" t="b">
        <f aca="false">TRUE()</f>
        <v>1</v>
      </c>
      <c r="AH1088" s="0" t="n">
        <v>1</v>
      </c>
    </row>
    <row r="1089" customFormat="false" ht="15" hidden="false" customHeight="false" outlineLevel="0" collapsed="false">
      <c r="A1089" s="0" t="s">
        <v>1697</v>
      </c>
      <c r="B1089" s="0" t="s">
        <v>134</v>
      </c>
      <c r="C1089" s="0" t="s">
        <v>3447</v>
      </c>
      <c r="D1089" s="0" t="s">
        <v>3448</v>
      </c>
      <c r="E1089" s="19" t="s">
        <v>26</v>
      </c>
      <c r="F1089" s="19" t="s">
        <v>32</v>
      </c>
      <c r="G1089" s="21" t="s">
        <v>60</v>
      </c>
      <c r="H1089" s="21" t="s">
        <v>24</v>
      </c>
      <c r="I1089" s="21" t="s">
        <v>26</v>
      </c>
      <c r="J1089" s="21" t="s">
        <v>24</v>
      </c>
      <c r="K1089" s="21" t="s">
        <v>24</v>
      </c>
      <c r="L1089" s="21" t="s">
        <v>24</v>
      </c>
      <c r="M1089" s="0" t="n">
        <v>187</v>
      </c>
      <c r="N1089" s="0" t="n">
        <v>18</v>
      </c>
      <c r="O1089" s="21" t="s">
        <v>4022</v>
      </c>
      <c r="P1089" s="21" t="s">
        <v>4638</v>
      </c>
      <c r="Q1089" s="0" t="n">
        <v>0</v>
      </c>
      <c r="S1089" s="0" t="n">
        <v>18</v>
      </c>
      <c r="T1089" s="21" t="s">
        <v>4022</v>
      </c>
      <c r="U1089" s="22" t="b">
        <f aca="false">FALSE()</f>
        <v>0</v>
      </c>
      <c r="V1089" s="0" t="n">
        <v>0.65</v>
      </c>
      <c r="W1089" s="0" t="n">
        <v>0.52</v>
      </c>
      <c r="X1089" s="0" t="n">
        <v>7.81</v>
      </c>
      <c r="Y1089" s="0" t="n">
        <v>328.51</v>
      </c>
      <c r="Z1089" s="0" t="n">
        <v>9</v>
      </c>
      <c r="AA1089" s="0" t="n">
        <v>2.49</v>
      </c>
      <c r="AB1089" s="0" t="n">
        <v>4.49</v>
      </c>
      <c r="AC1089" s="22" t="b">
        <f aca="false">FALSE()</f>
        <v>0</v>
      </c>
      <c r="AD1089" s="0" t="n">
        <v>12</v>
      </c>
      <c r="AE1089" s="0" t="n">
        <v>0.63</v>
      </c>
      <c r="AF1089" s="0" t="n">
        <v>3.53</v>
      </c>
      <c r="AG1089" s="22" t="b">
        <f aca="false">TRUE()</f>
        <v>1</v>
      </c>
      <c r="AH1089" s="0" t="n">
        <v>1</v>
      </c>
    </row>
    <row r="1090" customFormat="false" ht="15" hidden="false" customHeight="false" outlineLevel="0" collapsed="false">
      <c r="A1090" s="0" t="s">
        <v>1697</v>
      </c>
      <c r="B1090" s="0" t="s">
        <v>3459</v>
      </c>
      <c r="C1090" s="0" t="s">
        <v>3450</v>
      </c>
      <c r="D1090" s="0" t="s">
        <v>3457</v>
      </c>
      <c r="E1090" s="20" t="s">
        <v>25</v>
      </c>
      <c r="F1090" s="23" t="s">
        <v>30</v>
      </c>
      <c r="G1090" s="21" t="s">
        <v>294</v>
      </c>
      <c r="H1090" s="21" t="s">
        <v>24</v>
      </c>
      <c r="I1090" s="21" t="s">
        <v>25</v>
      </c>
      <c r="J1090" s="21" t="s">
        <v>24</v>
      </c>
      <c r="K1090" s="21" t="s">
        <v>25</v>
      </c>
      <c r="L1090" s="21" t="s">
        <v>24</v>
      </c>
      <c r="M1090" s="0" t="n">
        <v>183</v>
      </c>
      <c r="N1090" s="0" t="n">
        <v>2</v>
      </c>
      <c r="O1090" s="21" t="s">
        <v>3575</v>
      </c>
      <c r="P1090" s="21" t="s">
        <v>4265</v>
      </c>
      <c r="Q1090" s="0" t="n">
        <v>1</v>
      </c>
      <c r="R1090" s="21" t="s">
        <v>69</v>
      </c>
      <c r="S1090" s="0" t="n">
        <v>2</v>
      </c>
      <c r="T1090" s="21" t="s">
        <v>3575</v>
      </c>
      <c r="U1090" s="22" t="b">
        <f aca="false">TRUE()</f>
        <v>1</v>
      </c>
      <c r="V1090" s="0" t="n">
        <v>0.68</v>
      </c>
      <c r="W1090" s="0" t="n">
        <v>0.84</v>
      </c>
      <c r="X1090" s="0" t="n">
        <v>7.77</v>
      </c>
      <c r="Y1090" s="0" t="n">
        <v>306.37</v>
      </c>
      <c r="Z1090" s="0" t="n">
        <v>9.42</v>
      </c>
      <c r="AA1090" s="0" t="n">
        <v>2.15</v>
      </c>
      <c r="AB1090" s="0" t="n">
        <v>0.9</v>
      </c>
      <c r="AC1090" s="22" t="b">
        <f aca="false">TRUE()</f>
        <v>1</v>
      </c>
      <c r="AD1090" s="0" t="n">
        <v>20.43</v>
      </c>
      <c r="AE1090" s="0" t="n">
        <v>8.41</v>
      </c>
      <c r="AF1090" s="0" t="n">
        <v>15.26</v>
      </c>
      <c r="AG1090" s="22" t="b">
        <f aca="false">TRUE()</f>
        <v>1</v>
      </c>
      <c r="AH1090" s="0" t="n">
        <v>1</v>
      </c>
    </row>
    <row r="1091" customFormat="false" ht="15" hidden="false" customHeight="false" outlineLevel="0" collapsed="false">
      <c r="A1091" s="0" t="s">
        <v>1697</v>
      </c>
      <c r="B1091" s="0" t="s">
        <v>3459</v>
      </c>
      <c r="C1091" s="0" t="s">
        <v>3450</v>
      </c>
      <c r="D1091" s="0" t="s">
        <v>3448</v>
      </c>
      <c r="E1091" s="20" t="s">
        <v>25</v>
      </c>
      <c r="F1091" s="23" t="s">
        <v>30</v>
      </c>
      <c r="G1091" s="21" t="s">
        <v>283</v>
      </c>
      <c r="H1091" s="21" t="s">
        <v>24</v>
      </c>
      <c r="I1091" s="21" t="s">
        <v>25</v>
      </c>
      <c r="J1091" s="21" t="s">
        <v>24</v>
      </c>
      <c r="K1091" s="21" t="s">
        <v>24</v>
      </c>
      <c r="L1091" s="21" t="s">
        <v>24</v>
      </c>
      <c r="M1091" s="0" t="n">
        <v>184</v>
      </c>
      <c r="N1091" s="0" t="n">
        <v>4</v>
      </c>
      <c r="O1091" s="21" t="s">
        <v>3773</v>
      </c>
      <c r="P1091" s="21" t="s">
        <v>4364</v>
      </c>
      <c r="Q1091" s="0" t="n">
        <v>1</v>
      </c>
      <c r="R1091" s="21" t="s">
        <v>69</v>
      </c>
      <c r="S1091" s="0" t="n">
        <v>4</v>
      </c>
      <c r="T1091" s="21" t="s">
        <v>3773</v>
      </c>
      <c r="U1091" s="22" t="b">
        <f aca="false">TRUE()</f>
        <v>1</v>
      </c>
      <c r="V1091" s="0" t="n">
        <v>0.7</v>
      </c>
      <c r="W1091" s="0" t="n">
        <v>0.56</v>
      </c>
      <c r="X1091" s="0" t="n">
        <v>8.73</v>
      </c>
      <c r="Y1091" s="0" t="n">
        <v>323.77</v>
      </c>
      <c r="Z1091" s="0" t="n">
        <v>9.92</v>
      </c>
      <c r="AA1091" s="0" t="n">
        <v>3.05</v>
      </c>
      <c r="AB1091" s="0" t="n">
        <v>4.56</v>
      </c>
      <c r="AC1091" s="22" t="b">
        <f aca="false">FALSE()</f>
        <v>0</v>
      </c>
      <c r="AD1091" s="0" t="n">
        <v>18.11</v>
      </c>
      <c r="AE1091" s="0" t="n">
        <v>7.46</v>
      </c>
      <c r="AF1091" s="0" t="n">
        <v>20.74</v>
      </c>
      <c r="AG1091" s="22" t="b">
        <f aca="false">TRUE()</f>
        <v>1</v>
      </c>
      <c r="AH1091" s="0" t="n">
        <v>1</v>
      </c>
    </row>
    <row r="1092" customFormat="false" ht="15" hidden="false" customHeight="false" outlineLevel="0" collapsed="false">
      <c r="A1092" s="0" t="s">
        <v>1697</v>
      </c>
      <c r="B1092" s="0" t="s">
        <v>3459</v>
      </c>
      <c r="C1092" s="0" t="s">
        <v>3447</v>
      </c>
      <c r="D1092" s="0" t="s">
        <v>3457</v>
      </c>
      <c r="E1092" s="19" t="s">
        <v>26</v>
      </c>
      <c r="F1092" s="19" t="s">
        <v>32</v>
      </c>
      <c r="G1092" s="21" t="s">
        <v>1311</v>
      </c>
      <c r="H1092" s="21" t="s">
        <v>24</v>
      </c>
      <c r="I1092" s="21" t="s">
        <v>26</v>
      </c>
      <c r="J1092" s="21" t="s">
        <v>24</v>
      </c>
      <c r="K1092" s="21" t="s">
        <v>25</v>
      </c>
      <c r="L1092" s="21" t="s">
        <v>24</v>
      </c>
      <c r="M1092" s="0" t="n">
        <v>187</v>
      </c>
      <c r="N1092" s="0" t="n">
        <v>12</v>
      </c>
      <c r="O1092" s="21" t="s">
        <v>4118</v>
      </c>
      <c r="P1092" s="21" t="s">
        <v>4268</v>
      </c>
      <c r="Q1092" s="0" t="n">
        <v>1</v>
      </c>
      <c r="R1092" s="21" t="s">
        <v>69</v>
      </c>
      <c r="S1092" s="0" t="n">
        <v>12</v>
      </c>
      <c r="T1092" s="21" t="s">
        <v>4118</v>
      </c>
      <c r="U1092" s="22" t="b">
        <f aca="false">FALSE()</f>
        <v>0</v>
      </c>
      <c r="V1092" s="0" t="n">
        <v>0.59</v>
      </c>
      <c r="W1092" s="0" t="n">
        <v>0.44</v>
      </c>
      <c r="X1092" s="0" t="n">
        <v>10.92</v>
      </c>
      <c r="Y1092" s="0" t="n">
        <v>342.84</v>
      </c>
      <c r="Z1092" s="0" t="n">
        <v>9.5</v>
      </c>
      <c r="AA1092" s="0" t="n">
        <v>4.49</v>
      </c>
      <c r="AB1092" s="0" t="n">
        <v>0.9</v>
      </c>
      <c r="AC1092" s="22" t="b">
        <f aca="false">FALSE()</f>
        <v>0</v>
      </c>
      <c r="AD1092" s="0" t="n">
        <v>18</v>
      </c>
      <c r="AE1092" s="0" t="n">
        <v>6.63</v>
      </c>
      <c r="AF1092" s="0" t="n">
        <v>12.1</v>
      </c>
      <c r="AG1092" s="22" t="b">
        <f aca="false">TRUE()</f>
        <v>1</v>
      </c>
      <c r="AH1092" s="0" t="n">
        <v>1</v>
      </c>
    </row>
    <row r="1093" customFormat="false" ht="15" hidden="false" customHeight="false" outlineLevel="0" collapsed="false">
      <c r="A1093" s="0" t="s">
        <v>1697</v>
      </c>
      <c r="B1093" s="0" t="s">
        <v>3459</v>
      </c>
      <c r="C1093" s="0" t="s">
        <v>3447</v>
      </c>
      <c r="D1093" s="0" t="s">
        <v>3448</v>
      </c>
      <c r="E1093" s="19" t="s">
        <v>26</v>
      </c>
      <c r="F1093" s="19" t="s">
        <v>32</v>
      </c>
      <c r="G1093" s="21" t="s">
        <v>1926</v>
      </c>
      <c r="H1093" s="21" t="s">
        <v>24</v>
      </c>
      <c r="I1093" s="21" t="s">
        <v>26</v>
      </c>
      <c r="J1093" s="21" t="s">
        <v>24</v>
      </c>
      <c r="K1093" s="21" t="s">
        <v>25</v>
      </c>
      <c r="L1093" s="21" t="s">
        <v>24</v>
      </c>
      <c r="M1093" s="0" t="n">
        <v>183</v>
      </c>
      <c r="N1093" s="0" t="n">
        <v>11</v>
      </c>
      <c r="O1093" s="21" t="s">
        <v>4144</v>
      </c>
      <c r="P1093" s="21" t="s">
        <v>4639</v>
      </c>
      <c r="Q1093" s="0" t="n">
        <v>1</v>
      </c>
      <c r="R1093" s="21" t="s">
        <v>69</v>
      </c>
      <c r="S1093" s="0" t="n">
        <v>11</v>
      </c>
      <c r="T1093" s="21" t="s">
        <v>4144</v>
      </c>
      <c r="U1093" s="22" t="b">
        <f aca="false">FALSE()</f>
        <v>0</v>
      </c>
      <c r="V1093" s="0" t="n">
        <v>0.7</v>
      </c>
      <c r="W1093" s="0" t="n">
        <v>0.48</v>
      </c>
      <c r="X1093" s="0" t="n">
        <v>8.75</v>
      </c>
      <c r="Y1093" s="0" t="n">
        <v>328.77</v>
      </c>
      <c r="Z1093" s="0" t="n">
        <v>8</v>
      </c>
      <c r="AA1093" s="0" t="n">
        <v>3.96</v>
      </c>
      <c r="AB1093" s="0" t="n">
        <v>4.56</v>
      </c>
      <c r="AC1093" s="22" t="b">
        <f aca="false">FALSE()</f>
        <v>0</v>
      </c>
      <c r="AD1093" s="0" t="n">
        <v>22.79</v>
      </c>
      <c r="AE1093" s="0" t="n">
        <v>10.11</v>
      </c>
      <c r="AF1093" s="0" t="n">
        <v>21.77</v>
      </c>
      <c r="AG1093" s="22" t="b">
        <f aca="false">TRUE()</f>
        <v>1</v>
      </c>
      <c r="AH1093" s="0" t="n">
        <v>1</v>
      </c>
    </row>
    <row r="1094" customFormat="false" ht="15" hidden="false" customHeight="false" outlineLevel="0" collapsed="false">
      <c r="A1094" s="0" t="s">
        <v>1706</v>
      </c>
      <c r="B1094" s="0" t="s">
        <v>134</v>
      </c>
      <c r="C1094" s="0" t="s">
        <v>3450</v>
      </c>
      <c r="D1094" s="0" t="s">
        <v>3457</v>
      </c>
      <c r="E1094" s="18" t="s">
        <v>24</v>
      </c>
      <c r="F1094" s="18" t="s">
        <v>28</v>
      </c>
      <c r="H1094" s="21" t="s">
        <v>24</v>
      </c>
      <c r="I1094" s="21" t="s">
        <v>24</v>
      </c>
      <c r="J1094" s="21" t="s">
        <v>24</v>
      </c>
      <c r="K1094" s="21" t="s">
        <v>24</v>
      </c>
      <c r="L1094" s="21" t="s">
        <v>24</v>
      </c>
      <c r="M1094" s="0" t="n">
        <v>184</v>
      </c>
      <c r="N1094" s="0" t="n">
        <v>0</v>
      </c>
      <c r="Q1094" s="0" t="n">
        <v>0</v>
      </c>
      <c r="S1094" s="0" t="n">
        <v>0</v>
      </c>
      <c r="U1094" s="22" t="b">
        <f aca="false">FALSE()</f>
        <v>0</v>
      </c>
      <c r="V1094" s="0" t="n">
        <v>0.74</v>
      </c>
      <c r="W1094" s="0" t="n">
        <v>0.8</v>
      </c>
      <c r="X1094" s="0" t="n">
        <v>11.49</v>
      </c>
      <c r="Y1094" s="0" t="n">
        <v>283.65</v>
      </c>
      <c r="Z1094" s="0" t="n">
        <v>9.75</v>
      </c>
      <c r="AA1094" s="0" t="n">
        <v>15.73</v>
      </c>
      <c r="AB1094" s="0" t="n">
        <v>5.28</v>
      </c>
      <c r="AC1094" s="22" t="b">
        <f aca="false">FALSE()</f>
        <v>0</v>
      </c>
      <c r="AD1094" s="0" t="n">
        <v>6.43</v>
      </c>
      <c r="AE1094" s="0" t="n">
        <v>0.61</v>
      </c>
      <c r="AF1094" s="0" t="n">
        <v>2.36</v>
      </c>
      <c r="AG1094" s="22" t="b">
        <f aca="false">FALSE()</f>
        <v>0</v>
      </c>
      <c r="AH1094" s="0" t="n">
        <v>1</v>
      </c>
    </row>
    <row r="1095" customFormat="false" ht="15" hidden="false" customHeight="false" outlineLevel="0" collapsed="false">
      <c r="A1095" s="0" t="s">
        <v>1706</v>
      </c>
      <c r="B1095" s="0" t="s">
        <v>134</v>
      </c>
      <c r="C1095" s="0" t="s">
        <v>3450</v>
      </c>
      <c r="D1095" s="0" t="s">
        <v>3448</v>
      </c>
      <c r="E1095" s="18" t="s">
        <v>24</v>
      </c>
      <c r="F1095" s="18" t="s">
        <v>28</v>
      </c>
      <c r="H1095" s="21" t="s">
        <v>24</v>
      </c>
      <c r="I1095" s="21" t="s">
        <v>24</v>
      </c>
      <c r="J1095" s="21" t="s">
        <v>24</v>
      </c>
      <c r="K1095" s="21" t="s">
        <v>24</v>
      </c>
      <c r="L1095" s="21" t="s">
        <v>24</v>
      </c>
      <c r="M1095" s="0" t="n">
        <v>187</v>
      </c>
      <c r="N1095" s="0" t="n">
        <v>0</v>
      </c>
      <c r="Q1095" s="0" t="n">
        <v>0</v>
      </c>
      <c r="S1095" s="0" t="n">
        <v>0</v>
      </c>
      <c r="U1095" s="22" t="b">
        <f aca="false">FALSE()</f>
        <v>0</v>
      </c>
      <c r="V1095" s="0" t="n">
        <v>0.78</v>
      </c>
      <c r="W1095" s="0" t="n">
        <v>0</v>
      </c>
      <c r="X1095" s="0" t="n">
        <v>12.75</v>
      </c>
      <c r="Y1095" s="0" t="n">
        <v>723.88</v>
      </c>
      <c r="Z1095" s="0" t="n">
        <v>9.83</v>
      </c>
      <c r="AA1095" s="0" t="n">
        <v>16.89</v>
      </c>
      <c r="AB1095" s="0" t="n">
        <v>1.9</v>
      </c>
      <c r="AC1095" s="22" t="b">
        <f aca="false">FALSE()</f>
        <v>0</v>
      </c>
      <c r="AD1095" s="0" t="n">
        <v>7.49</v>
      </c>
      <c r="AE1095" s="0" t="n">
        <v>0.56</v>
      </c>
      <c r="AF1095" s="0" t="n">
        <v>2.29</v>
      </c>
      <c r="AG1095" s="22" t="b">
        <f aca="false">FALSE()</f>
        <v>0</v>
      </c>
      <c r="AH1095" s="0" t="n">
        <v>1</v>
      </c>
    </row>
    <row r="1096" customFormat="false" ht="15" hidden="false" customHeight="false" outlineLevel="0" collapsed="false">
      <c r="A1096" s="0" t="s">
        <v>1706</v>
      </c>
      <c r="B1096" s="0" t="s">
        <v>134</v>
      </c>
      <c r="C1096" s="0" t="s">
        <v>3447</v>
      </c>
      <c r="D1096" s="0" t="s">
        <v>3457</v>
      </c>
      <c r="E1096" s="19" t="s">
        <v>26</v>
      </c>
      <c r="F1096" s="19" t="s">
        <v>32</v>
      </c>
      <c r="G1096" s="21" t="s">
        <v>529</v>
      </c>
      <c r="H1096" s="21" t="s">
        <v>24</v>
      </c>
      <c r="I1096" s="21" t="s">
        <v>26</v>
      </c>
      <c r="J1096" s="21" t="s">
        <v>24</v>
      </c>
      <c r="K1096" s="21" t="s">
        <v>24</v>
      </c>
      <c r="L1096" s="21" t="s">
        <v>24</v>
      </c>
      <c r="M1096" s="0" t="n">
        <v>183</v>
      </c>
      <c r="N1096" s="0" t="n">
        <v>10</v>
      </c>
      <c r="O1096" s="21" t="s">
        <v>4011</v>
      </c>
      <c r="P1096" s="21" t="s">
        <v>4248</v>
      </c>
      <c r="Q1096" s="0" t="n">
        <v>1</v>
      </c>
      <c r="R1096" s="21" t="s">
        <v>69</v>
      </c>
      <c r="S1096" s="0" t="n">
        <v>10</v>
      </c>
      <c r="T1096" s="21" t="s">
        <v>4011</v>
      </c>
      <c r="U1096" s="22" t="b">
        <f aca="false">FALSE()</f>
        <v>0</v>
      </c>
      <c r="V1096" s="0" t="n">
        <v>0.73</v>
      </c>
      <c r="W1096" s="0" t="n">
        <v>0.8</v>
      </c>
      <c r="X1096" s="0" t="n">
        <v>8.76</v>
      </c>
      <c r="Y1096" s="0" t="n">
        <v>316.12</v>
      </c>
      <c r="Z1096" s="0" t="n">
        <v>9.92</v>
      </c>
      <c r="AA1096" s="0" t="n">
        <v>13.63</v>
      </c>
      <c r="AB1096" s="0" t="n">
        <v>5.28</v>
      </c>
      <c r="AC1096" s="22" t="b">
        <f aca="false">FALSE()</f>
        <v>0</v>
      </c>
      <c r="AD1096" s="0" t="n">
        <v>10.24</v>
      </c>
      <c r="AE1096" s="0" t="n">
        <v>1.1</v>
      </c>
      <c r="AF1096" s="0" t="n">
        <v>3.96</v>
      </c>
      <c r="AG1096" s="22" t="b">
        <f aca="false">TRUE()</f>
        <v>1</v>
      </c>
      <c r="AH1096" s="0" t="n">
        <v>1</v>
      </c>
    </row>
    <row r="1097" customFormat="false" ht="15" hidden="false" customHeight="false" outlineLevel="0" collapsed="false">
      <c r="A1097" s="0" t="s">
        <v>1706</v>
      </c>
      <c r="B1097" s="0" t="s">
        <v>134</v>
      </c>
      <c r="C1097" s="0" t="s">
        <v>3447</v>
      </c>
      <c r="D1097" s="0" t="s">
        <v>3448</v>
      </c>
      <c r="E1097" s="20" t="s">
        <v>25</v>
      </c>
      <c r="F1097" s="23" t="s">
        <v>30</v>
      </c>
      <c r="G1097" s="21" t="s">
        <v>283</v>
      </c>
      <c r="H1097" s="21" t="s">
        <v>24</v>
      </c>
      <c r="I1097" s="21" t="s">
        <v>25</v>
      </c>
      <c r="J1097" s="21" t="s">
        <v>24</v>
      </c>
      <c r="K1097" s="21" t="s">
        <v>24</v>
      </c>
      <c r="L1097" s="21" t="s">
        <v>24</v>
      </c>
      <c r="M1097" s="0" t="n">
        <v>185</v>
      </c>
      <c r="N1097" s="0" t="n">
        <v>2</v>
      </c>
      <c r="O1097" s="21" t="s">
        <v>3566</v>
      </c>
      <c r="P1097" s="21" t="s">
        <v>4238</v>
      </c>
      <c r="Q1097" s="0" t="n">
        <v>1</v>
      </c>
      <c r="R1097" s="21" t="s">
        <v>69</v>
      </c>
      <c r="S1097" s="0" t="n">
        <v>2</v>
      </c>
      <c r="T1097" s="21" t="s">
        <v>3566</v>
      </c>
      <c r="U1097" s="22" t="b">
        <f aca="false">TRUE()</f>
        <v>1</v>
      </c>
      <c r="V1097" s="0" t="n">
        <v>0.75</v>
      </c>
      <c r="W1097" s="0" t="n">
        <v>0.52</v>
      </c>
      <c r="X1097" s="0" t="n">
        <v>11.5</v>
      </c>
      <c r="Y1097" s="0" t="n">
        <v>325.86</v>
      </c>
      <c r="Z1097" s="0" t="n">
        <v>10.08</v>
      </c>
      <c r="AA1097" s="0" t="n">
        <v>16.71</v>
      </c>
      <c r="AB1097" s="0" t="n">
        <v>1.9</v>
      </c>
      <c r="AC1097" s="22" t="b">
        <f aca="false">FALSE()</f>
        <v>0</v>
      </c>
      <c r="AD1097" s="0" t="n">
        <v>7.42</v>
      </c>
      <c r="AE1097" s="0" t="n">
        <v>0.55</v>
      </c>
      <c r="AF1097" s="0" t="n">
        <v>2.11</v>
      </c>
      <c r="AG1097" s="22" t="b">
        <f aca="false">FALSE()</f>
        <v>0</v>
      </c>
      <c r="AH1097" s="0" t="n">
        <v>1</v>
      </c>
    </row>
    <row r="1098" customFormat="false" ht="15" hidden="false" customHeight="false" outlineLevel="0" collapsed="false">
      <c r="A1098" s="0" t="s">
        <v>1712</v>
      </c>
      <c r="B1098" s="0" t="s">
        <v>134</v>
      </c>
      <c r="C1098" s="0" t="s">
        <v>3450</v>
      </c>
      <c r="D1098" s="0" t="s">
        <v>3457</v>
      </c>
      <c r="E1098" s="20" t="s">
        <v>25</v>
      </c>
      <c r="F1098" s="23" t="s">
        <v>30</v>
      </c>
      <c r="G1098" s="21" t="s">
        <v>1099</v>
      </c>
      <c r="H1098" s="21" t="s">
        <v>24</v>
      </c>
      <c r="I1098" s="21" t="s">
        <v>25</v>
      </c>
      <c r="J1098" s="21" t="s">
        <v>24</v>
      </c>
      <c r="K1098" s="21" t="s">
        <v>25</v>
      </c>
      <c r="L1098" s="21" t="s">
        <v>24</v>
      </c>
      <c r="M1098" s="0" t="n">
        <v>185</v>
      </c>
      <c r="N1098" s="0" t="n">
        <v>3</v>
      </c>
      <c r="O1098" s="21" t="s">
        <v>3649</v>
      </c>
      <c r="P1098" s="21" t="s">
        <v>4242</v>
      </c>
      <c r="Q1098" s="0" t="n">
        <v>1</v>
      </c>
      <c r="R1098" s="21" t="s">
        <v>69</v>
      </c>
      <c r="S1098" s="0" t="n">
        <v>3</v>
      </c>
      <c r="T1098" s="21" t="s">
        <v>3649</v>
      </c>
      <c r="U1098" s="22" t="b">
        <f aca="false">TRUE()</f>
        <v>1</v>
      </c>
      <c r="V1098" s="0" t="n">
        <v>0.71</v>
      </c>
      <c r="W1098" s="0" t="n">
        <v>0.6</v>
      </c>
      <c r="X1098" s="0" t="n">
        <v>7.39</v>
      </c>
      <c r="Y1098" s="0" t="n">
        <v>311.5</v>
      </c>
      <c r="Z1098" s="0" t="n">
        <v>8</v>
      </c>
      <c r="AA1098" s="0" t="n">
        <v>6.8</v>
      </c>
      <c r="AB1098" s="0" t="n">
        <v>0.98</v>
      </c>
      <c r="AC1098" s="22" t="b">
        <f aca="false">FALSE()</f>
        <v>0</v>
      </c>
      <c r="AD1098" s="0" t="n">
        <v>18.49</v>
      </c>
      <c r="AE1098" s="0" t="n">
        <v>0.69</v>
      </c>
      <c r="AF1098" s="0" t="n">
        <v>15.43</v>
      </c>
      <c r="AG1098" s="22" t="b">
        <f aca="false">TRUE()</f>
        <v>1</v>
      </c>
      <c r="AH1098" s="0" t="n">
        <v>1</v>
      </c>
    </row>
    <row r="1099" customFormat="false" ht="15" hidden="false" customHeight="false" outlineLevel="0" collapsed="false">
      <c r="A1099" s="0" t="s">
        <v>1712</v>
      </c>
      <c r="B1099" s="0" t="s">
        <v>134</v>
      </c>
      <c r="C1099" s="0" t="s">
        <v>3450</v>
      </c>
      <c r="D1099" s="0" t="s">
        <v>3448</v>
      </c>
      <c r="E1099" s="20" t="s">
        <v>25</v>
      </c>
      <c r="F1099" s="23" t="s">
        <v>30</v>
      </c>
      <c r="G1099" s="21" t="s">
        <v>197</v>
      </c>
      <c r="H1099" s="21" t="s">
        <v>24</v>
      </c>
      <c r="I1099" s="21" t="s">
        <v>25</v>
      </c>
      <c r="J1099" s="21" t="s">
        <v>24</v>
      </c>
      <c r="K1099" s="21" t="s">
        <v>25</v>
      </c>
      <c r="L1099" s="21" t="s">
        <v>24</v>
      </c>
      <c r="M1099" s="0" t="n">
        <v>216</v>
      </c>
      <c r="N1099" s="0" t="n">
        <v>3</v>
      </c>
      <c r="O1099" s="21" t="s">
        <v>3694</v>
      </c>
      <c r="P1099" s="21" t="s">
        <v>4448</v>
      </c>
      <c r="Q1099" s="0" t="n">
        <v>1</v>
      </c>
      <c r="R1099" s="21" t="s">
        <v>69</v>
      </c>
      <c r="S1099" s="0" t="n">
        <v>3</v>
      </c>
      <c r="T1099" s="21" t="s">
        <v>3694</v>
      </c>
      <c r="U1099" s="22" t="b">
        <f aca="false">TRUE()</f>
        <v>1</v>
      </c>
      <c r="V1099" s="0" t="n">
        <v>0.72</v>
      </c>
      <c r="W1099" s="0" t="n">
        <v>0.64</v>
      </c>
      <c r="X1099" s="0" t="n">
        <v>7.88</v>
      </c>
      <c r="Y1099" s="0" t="n">
        <v>380.33</v>
      </c>
      <c r="Z1099" s="0" t="n">
        <v>8.25</v>
      </c>
      <c r="AA1099" s="0" t="n">
        <v>-0.9</v>
      </c>
      <c r="AB1099" s="0" t="n">
        <v>0.67</v>
      </c>
      <c r="AC1099" s="22" t="b">
        <f aca="false">TRUE()</f>
        <v>1</v>
      </c>
      <c r="AD1099" s="0" t="n">
        <v>2.65</v>
      </c>
      <c r="AE1099" s="0" t="n">
        <v>0.49</v>
      </c>
      <c r="AF1099" s="0" t="n">
        <v>1.97</v>
      </c>
      <c r="AG1099" s="22" t="b">
        <f aca="false">FALSE()</f>
        <v>0</v>
      </c>
      <c r="AH1099" s="0" t="n">
        <v>1</v>
      </c>
    </row>
    <row r="1100" customFormat="false" ht="15" hidden="false" customHeight="false" outlineLevel="0" collapsed="false">
      <c r="A1100" s="0" t="s">
        <v>1712</v>
      </c>
      <c r="B1100" s="0" t="s">
        <v>134</v>
      </c>
      <c r="C1100" s="0" t="s">
        <v>3447</v>
      </c>
      <c r="D1100" s="0" t="s">
        <v>3457</v>
      </c>
      <c r="E1100" s="19" t="s">
        <v>26</v>
      </c>
      <c r="F1100" s="19" t="s">
        <v>32</v>
      </c>
      <c r="G1100" s="21" t="s">
        <v>1451</v>
      </c>
      <c r="H1100" s="21" t="s">
        <v>24</v>
      </c>
      <c r="I1100" s="21" t="s">
        <v>26</v>
      </c>
      <c r="J1100" s="21" t="s">
        <v>24</v>
      </c>
      <c r="K1100" s="21" t="s">
        <v>25</v>
      </c>
      <c r="L1100" s="21" t="s">
        <v>24</v>
      </c>
      <c r="M1100" s="0" t="n">
        <v>186</v>
      </c>
      <c r="N1100" s="0" t="n">
        <v>10</v>
      </c>
      <c r="O1100" s="21" t="s">
        <v>4115</v>
      </c>
      <c r="P1100" s="21" t="s">
        <v>4423</v>
      </c>
      <c r="Q1100" s="0" t="n">
        <v>1</v>
      </c>
      <c r="R1100" s="21" t="s">
        <v>69</v>
      </c>
      <c r="S1100" s="0" t="n">
        <v>10</v>
      </c>
      <c r="T1100" s="21" t="s">
        <v>4115</v>
      </c>
      <c r="U1100" s="22" t="b">
        <f aca="false">FALSE()</f>
        <v>0</v>
      </c>
      <c r="V1100" s="0" t="n">
        <v>0.71</v>
      </c>
      <c r="W1100" s="0" t="n">
        <v>0.84</v>
      </c>
      <c r="X1100" s="0" t="n">
        <v>7.84</v>
      </c>
      <c r="Y1100" s="0" t="n">
        <v>312.38</v>
      </c>
      <c r="Z1100" s="0" t="n">
        <v>8</v>
      </c>
      <c r="AA1100" s="0" t="n">
        <v>0.37</v>
      </c>
      <c r="AB1100" s="0" t="n">
        <v>0.98</v>
      </c>
      <c r="AC1100" s="22" t="b">
        <f aca="false">FALSE()</f>
        <v>0</v>
      </c>
      <c r="AD1100" s="0" t="n">
        <v>13.48</v>
      </c>
      <c r="AE1100" s="0" t="n">
        <v>0.08</v>
      </c>
      <c r="AF1100" s="0" t="n">
        <v>12.49</v>
      </c>
      <c r="AG1100" s="22" t="b">
        <f aca="false">TRUE()</f>
        <v>1</v>
      </c>
      <c r="AH1100" s="0" t="n">
        <v>1</v>
      </c>
    </row>
    <row r="1101" customFormat="false" ht="15" hidden="false" customHeight="false" outlineLevel="0" collapsed="false">
      <c r="A1101" s="0" t="s">
        <v>1712</v>
      </c>
      <c r="B1101" s="0" t="s">
        <v>134</v>
      </c>
      <c r="C1101" s="0" t="s">
        <v>3447</v>
      </c>
      <c r="D1101" s="0" t="s">
        <v>3448</v>
      </c>
      <c r="E1101" s="20" t="s">
        <v>25</v>
      </c>
      <c r="F1101" s="23" t="s">
        <v>30</v>
      </c>
      <c r="G1101" s="21" t="s">
        <v>2610</v>
      </c>
      <c r="H1101" s="21" t="s">
        <v>24</v>
      </c>
      <c r="I1101" s="21" t="s">
        <v>24</v>
      </c>
      <c r="J1101" s="21" t="s">
        <v>24</v>
      </c>
      <c r="K1101" s="21" t="s">
        <v>25</v>
      </c>
      <c r="L1101" s="21" t="s">
        <v>24</v>
      </c>
      <c r="M1101" s="0" t="n">
        <v>236</v>
      </c>
      <c r="N1101" s="0" t="n">
        <v>4</v>
      </c>
      <c r="O1101" s="21" t="s">
        <v>3675</v>
      </c>
      <c r="P1101" s="21" t="s">
        <v>4640</v>
      </c>
      <c r="Q1101" s="0" t="n">
        <v>0</v>
      </c>
      <c r="S1101" s="0" t="n">
        <v>4</v>
      </c>
      <c r="T1101" s="21" t="s">
        <v>3675</v>
      </c>
      <c r="U1101" s="22" t="b">
        <f aca="false">TRUE()</f>
        <v>1</v>
      </c>
      <c r="V1101" s="0" t="n">
        <v>0.69</v>
      </c>
      <c r="W1101" s="0" t="n">
        <v>0.72</v>
      </c>
      <c r="X1101" s="0" t="n">
        <v>9.4</v>
      </c>
      <c r="Y1101" s="0" t="n">
        <v>415.45</v>
      </c>
      <c r="Z1101" s="0" t="n">
        <v>8</v>
      </c>
      <c r="AA1101" s="0" t="n">
        <v>-1.24</v>
      </c>
      <c r="AB1101" s="0" t="n">
        <v>0.67</v>
      </c>
      <c r="AC1101" s="22" t="b">
        <f aca="false">FALSE()</f>
        <v>0</v>
      </c>
      <c r="AD1101" s="0" t="n">
        <v>1.55</v>
      </c>
      <c r="AE1101" s="0" t="n">
        <v>0.22</v>
      </c>
      <c r="AF1101" s="0" t="n">
        <v>0.87</v>
      </c>
      <c r="AG1101" s="22" t="b">
        <f aca="false">FALSE()</f>
        <v>0</v>
      </c>
      <c r="AH1101" s="0" t="n">
        <v>1</v>
      </c>
    </row>
    <row r="1102" customFormat="false" ht="15" hidden="false" customHeight="false" outlineLevel="0" collapsed="false">
      <c r="A1102" s="0" t="s">
        <v>1726</v>
      </c>
      <c r="B1102" s="0" t="s">
        <v>134</v>
      </c>
      <c r="C1102" s="0" t="s">
        <v>3450</v>
      </c>
      <c r="D1102" s="0" t="s">
        <v>3457</v>
      </c>
      <c r="E1102" s="18" t="s">
        <v>24</v>
      </c>
      <c r="F1102" s="18" t="s">
        <v>28</v>
      </c>
      <c r="H1102" s="21" t="s">
        <v>24</v>
      </c>
      <c r="I1102" s="21" t="s">
        <v>24</v>
      </c>
      <c r="J1102" s="21" t="s">
        <v>24</v>
      </c>
      <c r="K1102" s="21" t="s">
        <v>24</v>
      </c>
      <c r="L1102" s="21" t="s">
        <v>24</v>
      </c>
      <c r="M1102" s="0" t="n">
        <v>184</v>
      </c>
      <c r="N1102" s="0" t="n">
        <v>0</v>
      </c>
      <c r="Q1102" s="0" t="n">
        <v>0</v>
      </c>
      <c r="S1102" s="0" t="n">
        <v>0</v>
      </c>
      <c r="U1102" s="22" t="b">
        <f aca="false">FALSE()</f>
        <v>0</v>
      </c>
      <c r="V1102" s="0" t="n">
        <v>0.65</v>
      </c>
      <c r="W1102" s="0" t="n">
        <v>0.32</v>
      </c>
      <c r="X1102" s="0" t="n">
        <v>6.49</v>
      </c>
      <c r="Y1102" s="0" t="n">
        <v>400.64</v>
      </c>
      <c r="Z1102" s="0" t="n">
        <v>9.25</v>
      </c>
      <c r="AA1102" s="0" t="n">
        <v>6.25</v>
      </c>
      <c r="AB1102" s="0" t="n">
        <v>3.6</v>
      </c>
      <c r="AC1102" s="22" t="b">
        <f aca="false">FALSE()</f>
        <v>0</v>
      </c>
      <c r="AD1102" s="0" t="n">
        <v>16.64</v>
      </c>
      <c r="AE1102" s="0" t="n">
        <v>0.6</v>
      </c>
      <c r="AF1102" s="0" t="n">
        <v>2.68</v>
      </c>
      <c r="AG1102" s="22" t="b">
        <f aca="false">TRUE()</f>
        <v>1</v>
      </c>
      <c r="AH1102" s="0" t="n">
        <v>1</v>
      </c>
    </row>
    <row r="1103" customFormat="false" ht="15" hidden="false" customHeight="false" outlineLevel="0" collapsed="false">
      <c r="A1103" s="0" t="s">
        <v>1726</v>
      </c>
      <c r="B1103" s="0" t="s">
        <v>134</v>
      </c>
      <c r="C1103" s="0" t="s">
        <v>3450</v>
      </c>
      <c r="D1103" s="0" t="s">
        <v>3448</v>
      </c>
      <c r="E1103" s="20" t="s">
        <v>25</v>
      </c>
      <c r="F1103" s="20" t="s">
        <v>29</v>
      </c>
      <c r="G1103" s="21" t="s">
        <v>61</v>
      </c>
      <c r="H1103" s="21" t="s">
        <v>24</v>
      </c>
      <c r="I1103" s="21" t="s">
        <v>24</v>
      </c>
      <c r="J1103" s="21" t="s">
        <v>24</v>
      </c>
      <c r="K1103" s="21" t="s">
        <v>25</v>
      </c>
      <c r="L1103" s="21" t="s">
        <v>24</v>
      </c>
      <c r="M1103" s="0" t="n">
        <v>206</v>
      </c>
      <c r="N1103" s="0" t="n">
        <v>0</v>
      </c>
      <c r="Q1103" s="0" t="n">
        <v>0</v>
      </c>
      <c r="S1103" s="0" t="n">
        <v>0</v>
      </c>
      <c r="U1103" s="22" t="b">
        <f aca="false">FALSE()</f>
        <v>0</v>
      </c>
      <c r="V1103" s="0" t="n">
        <v>0.7</v>
      </c>
      <c r="W1103" s="0" t="n">
        <v>0.36</v>
      </c>
      <c r="X1103" s="0" t="n">
        <v>6.83</v>
      </c>
      <c r="Y1103" s="0" t="n">
        <v>424.51</v>
      </c>
      <c r="Z1103" s="0" t="n">
        <v>8.75</v>
      </c>
      <c r="AA1103" s="0" t="n">
        <v>3.02</v>
      </c>
      <c r="AB1103" s="0" t="n">
        <v>2.03</v>
      </c>
      <c r="AC1103" s="22" t="b">
        <f aca="false">FALSE()</f>
        <v>0</v>
      </c>
      <c r="AD1103" s="0" t="n">
        <v>21</v>
      </c>
      <c r="AE1103" s="0" t="n">
        <v>1.13</v>
      </c>
      <c r="AF1103" s="0" t="n">
        <v>5.96</v>
      </c>
      <c r="AG1103" s="22" t="b">
        <f aca="false">TRUE()</f>
        <v>1</v>
      </c>
      <c r="AH1103" s="0" t="n">
        <v>1</v>
      </c>
    </row>
    <row r="1104" customFormat="false" ht="15" hidden="false" customHeight="false" outlineLevel="0" collapsed="false">
      <c r="A1104" s="0" t="s">
        <v>1726</v>
      </c>
      <c r="B1104" s="0" t="s">
        <v>134</v>
      </c>
      <c r="C1104" s="0" t="s">
        <v>3447</v>
      </c>
      <c r="D1104" s="0" t="s">
        <v>3457</v>
      </c>
      <c r="E1104" s="18" t="s">
        <v>24</v>
      </c>
      <c r="F1104" s="23" t="s">
        <v>30</v>
      </c>
      <c r="G1104" s="21" t="s">
        <v>30</v>
      </c>
      <c r="H1104" s="21" t="s">
        <v>24</v>
      </c>
      <c r="I1104" s="21" t="s">
        <v>24</v>
      </c>
      <c r="J1104" s="21" t="s">
        <v>24</v>
      </c>
      <c r="K1104" s="21" t="s">
        <v>24</v>
      </c>
      <c r="L1104" s="21" t="s">
        <v>24</v>
      </c>
      <c r="M1104" s="0" t="n">
        <v>189</v>
      </c>
      <c r="N1104" s="0" t="n">
        <v>6</v>
      </c>
      <c r="O1104" s="21" t="s">
        <v>3811</v>
      </c>
      <c r="P1104" s="21" t="s">
        <v>4641</v>
      </c>
      <c r="Q1104" s="0" t="n">
        <v>0</v>
      </c>
      <c r="S1104" s="0" t="n">
        <v>6</v>
      </c>
      <c r="T1104" s="21" t="s">
        <v>3811</v>
      </c>
      <c r="U1104" s="22" t="b">
        <f aca="false">TRUE()</f>
        <v>1</v>
      </c>
      <c r="V1104" s="0" t="n">
        <v>0.68</v>
      </c>
      <c r="W1104" s="0" t="n">
        <v>0.72</v>
      </c>
      <c r="X1104" s="0" t="n">
        <v>7.17</v>
      </c>
      <c r="Y1104" s="0" t="n">
        <v>331.66</v>
      </c>
      <c r="Z1104" s="0" t="n">
        <v>8</v>
      </c>
      <c r="AA1104" s="0" t="n">
        <v>1.45</v>
      </c>
      <c r="AB1104" s="0" t="n">
        <v>3.6</v>
      </c>
      <c r="AC1104" s="22" t="b">
        <f aca="false">FALSE()</f>
        <v>0</v>
      </c>
      <c r="AD1104" s="0" t="n">
        <v>15.05</v>
      </c>
      <c r="AE1104" s="0" t="n">
        <v>0.41</v>
      </c>
      <c r="AF1104" s="0" t="n">
        <v>3.75</v>
      </c>
      <c r="AG1104" s="22" t="b">
        <f aca="false">TRUE()</f>
        <v>1</v>
      </c>
      <c r="AH1104" s="0" t="n">
        <v>1</v>
      </c>
    </row>
    <row r="1105" customFormat="false" ht="15" hidden="false" customHeight="false" outlineLevel="0" collapsed="false">
      <c r="A1105" s="0" t="s">
        <v>1726</v>
      </c>
      <c r="B1105" s="0" t="s">
        <v>134</v>
      </c>
      <c r="C1105" s="0" t="s">
        <v>3447</v>
      </c>
      <c r="D1105" s="0" t="s">
        <v>3448</v>
      </c>
      <c r="E1105" s="19" t="s">
        <v>26</v>
      </c>
      <c r="F1105" s="19" t="s">
        <v>32</v>
      </c>
      <c r="G1105" s="21" t="s">
        <v>60</v>
      </c>
      <c r="H1105" s="21" t="s">
        <v>24</v>
      </c>
      <c r="I1105" s="21" t="s">
        <v>26</v>
      </c>
      <c r="J1105" s="21" t="s">
        <v>24</v>
      </c>
      <c r="K1105" s="21" t="s">
        <v>24</v>
      </c>
      <c r="L1105" s="21" t="s">
        <v>24</v>
      </c>
      <c r="M1105" s="0" t="n">
        <v>188</v>
      </c>
      <c r="N1105" s="0" t="n">
        <v>7</v>
      </c>
      <c r="O1105" s="21" t="s">
        <v>3898</v>
      </c>
      <c r="P1105" s="21" t="s">
        <v>4642</v>
      </c>
      <c r="Q1105" s="0" t="n">
        <v>0</v>
      </c>
      <c r="S1105" s="0" t="n">
        <v>6</v>
      </c>
      <c r="T1105" s="21" t="s">
        <v>4643</v>
      </c>
      <c r="U1105" s="22" t="b">
        <f aca="false">FALSE()</f>
        <v>0</v>
      </c>
      <c r="V1105" s="0" t="n">
        <v>0.74</v>
      </c>
      <c r="W1105" s="0" t="n">
        <v>0.28</v>
      </c>
      <c r="X1105" s="0" t="n">
        <v>9.35</v>
      </c>
      <c r="Y1105" s="0" t="n">
        <v>439.2</v>
      </c>
      <c r="Z1105" s="0" t="n">
        <v>8</v>
      </c>
      <c r="AA1105" s="0" t="n">
        <v>1.93</v>
      </c>
      <c r="AB1105" s="0" t="n">
        <v>2.03</v>
      </c>
      <c r="AC1105" s="22" t="b">
        <f aca="false">FALSE()</f>
        <v>0</v>
      </c>
      <c r="AD1105" s="0" t="n">
        <v>17.77</v>
      </c>
      <c r="AE1105" s="0" t="n">
        <v>0.33</v>
      </c>
      <c r="AF1105" s="0" t="n">
        <v>3.5</v>
      </c>
      <c r="AG1105" s="22" t="b">
        <f aca="false">TRUE()</f>
        <v>1</v>
      </c>
      <c r="AH1105" s="0" t="n">
        <v>1</v>
      </c>
    </row>
    <row r="1106" customFormat="false" ht="15" hidden="false" customHeight="false" outlineLevel="0" collapsed="false">
      <c r="A1106" s="0" t="s">
        <v>1726</v>
      </c>
      <c r="B1106" s="0" t="s">
        <v>3459</v>
      </c>
      <c r="C1106" s="0" t="s">
        <v>3450</v>
      </c>
      <c r="D1106" s="0" t="s">
        <v>3457</v>
      </c>
      <c r="E1106" s="20" t="s">
        <v>25</v>
      </c>
      <c r="F1106" s="23" t="s">
        <v>30</v>
      </c>
      <c r="G1106" s="21" t="s">
        <v>183</v>
      </c>
      <c r="H1106" s="21" t="s">
        <v>24</v>
      </c>
      <c r="I1106" s="21" t="s">
        <v>25</v>
      </c>
      <c r="J1106" s="21" t="s">
        <v>24</v>
      </c>
      <c r="K1106" s="21" t="s">
        <v>25</v>
      </c>
      <c r="L1106" s="21" t="s">
        <v>24</v>
      </c>
      <c r="M1106" s="0" t="n">
        <v>183</v>
      </c>
      <c r="N1106" s="0" t="n">
        <v>2</v>
      </c>
      <c r="O1106" s="21" t="s">
        <v>3646</v>
      </c>
      <c r="P1106" s="21" t="s">
        <v>4375</v>
      </c>
      <c r="Q1106" s="0" t="n">
        <v>1</v>
      </c>
      <c r="R1106" s="21" t="s">
        <v>69</v>
      </c>
      <c r="S1106" s="0" t="n">
        <v>2</v>
      </c>
      <c r="T1106" s="21" t="s">
        <v>3646</v>
      </c>
      <c r="U1106" s="22" t="b">
        <f aca="false">TRUE()</f>
        <v>1</v>
      </c>
      <c r="V1106" s="0" t="n">
        <v>0.67</v>
      </c>
      <c r="W1106" s="0" t="n">
        <v>0</v>
      </c>
      <c r="X1106" s="0" t="n">
        <v>6.58</v>
      </c>
      <c r="Y1106" s="0" t="n">
        <v>713.71</v>
      </c>
      <c r="Z1106" s="0" t="n">
        <v>8.67</v>
      </c>
      <c r="AA1106" s="0" t="n">
        <v>5.15</v>
      </c>
      <c r="AB1106" s="0" t="n">
        <v>2.3</v>
      </c>
      <c r="AC1106" s="22" t="b">
        <f aca="false">FALSE()</f>
        <v>0</v>
      </c>
      <c r="AD1106" s="0" t="n">
        <v>23.79</v>
      </c>
      <c r="AE1106" s="0" t="n">
        <v>10.79</v>
      </c>
      <c r="AF1106" s="0" t="n">
        <v>17.02</v>
      </c>
      <c r="AG1106" s="22" t="b">
        <f aca="false">TRUE()</f>
        <v>1</v>
      </c>
      <c r="AH1106" s="0" t="n">
        <v>1</v>
      </c>
    </row>
    <row r="1107" customFormat="false" ht="15" hidden="false" customHeight="false" outlineLevel="0" collapsed="false">
      <c r="A1107" s="0" t="s">
        <v>1726</v>
      </c>
      <c r="B1107" s="0" t="s">
        <v>3459</v>
      </c>
      <c r="C1107" s="0" t="s">
        <v>3450</v>
      </c>
      <c r="D1107" s="0" t="s">
        <v>3448</v>
      </c>
      <c r="E1107" s="20" t="s">
        <v>25</v>
      </c>
      <c r="F1107" s="20" t="s">
        <v>29</v>
      </c>
      <c r="G1107" s="21" t="s">
        <v>3113</v>
      </c>
      <c r="H1107" s="21" t="s">
        <v>24</v>
      </c>
      <c r="I1107" s="21" t="s">
        <v>24</v>
      </c>
      <c r="J1107" s="21" t="s">
        <v>24</v>
      </c>
      <c r="K1107" s="21" t="s">
        <v>25</v>
      </c>
      <c r="L1107" s="21" t="s">
        <v>24</v>
      </c>
      <c r="M1107" s="0" t="n">
        <v>194</v>
      </c>
      <c r="N1107" s="0" t="n">
        <v>0</v>
      </c>
      <c r="Q1107" s="0" t="n">
        <v>0</v>
      </c>
      <c r="S1107" s="0" t="n">
        <v>0</v>
      </c>
      <c r="U1107" s="22" t="b">
        <f aca="false">FALSE()</f>
        <v>0</v>
      </c>
      <c r="V1107" s="0" t="n">
        <v>0.72</v>
      </c>
      <c r="W1107" s="0" t="n">
        <v>0.84</v>
      </c>
      <c r="X1107" s="0" t="n">
        <v>8.08</v>
      </c>
      <c r="Y1107" s="0" t="n">
        <v>284.74</v>
      </c>
      <c r="Z1107" s="0" t="n">
        <v>8.17</v>
      </c>
      <c r="AA1107" s="0" t="n">
        <v>2.98</v>
      </c>
      <c r="AB1107" s="0" t="n">
        <v>1.53</v>
      </c>
      <c r="AC1107" s="22" t="b">
        <f aca="false">FALSE()</f>
        <v>0</v>
      </c>
      <c r="AD1107" s="0" t="n">
        <v>20.89</v>
      </c>
      <c r="AE1107" s="0" t="n">
        <v>11.23</v>
      </c>
      <c r="AF1107" s="0" t="n">
        <v>16.75</v>
      </c>
      <c r="AG1107" s="22" t="b">
        <f aca="false">TRUE()</f>
        <v>1</v>
      </c>
      <c r="AH1107" s="0" t="n">
        <v>1</v>
      </c>
    </row>
    <row r="1108" customFormat="false" ht="15" hidden="false" customHeight="false" outlineLevel="0" collapsed="false">
      <c r="A1108" s="0" t="s">
        <v>1726</v>
      </c>
      <c r="B1108" s="0" t="s">
        <v>3459</v>
      </c>
      <c r="C1108" s="0" t="s">
        <v>3447</v>
      </c>
      <c r="D1108" s="0" t="s">
        <v>3457</v>
      </c>
      <c r="E1108" s="20" t="s">
        <v>25</v>
      </c>
      <c r="F1108" s="23" t="s">
        <v>30</v>
      </c>
      <c r="G1108" s="21" t="s">
        <v>183</v>
      </c>
      <c r="H1108" s="21" t="s">
        <v>24</v>
      </c>
      <c r="I1108" s="21" t="s">
        <v>25</v>
      </c>
      <c r="J1108" s="21" t="s">
        <v>24</v>
      </c>
      <c r="K1108" s="21" t="s">
        <v>25</v>
      </c>
      <c r="L1108" s="21" t="s">
        <v>24</v>
      </c>
      <c r="M1108" s="0" t="n">
        <v>213</v>
      </c>
      <c r="N1108" s="0" t="n">
        <v>5</v>
      </c>
      <c r="O1108" s="21" t="s">
        <v>3844</v>
      </c>
      <c r="P1108" s="21" t="s">
        <v>4644</v>
      </c>
      <c r="Q1108" s="0" t="n">
        <v>1</v>
      </c>
      <c r="R1108" s="21" t="s">
        <v>69</v>
      </c>
      <c r="S1108" s="0" t="n">
        <v>5</v>
      </c>
      <c r="T1108" s="21" t="s">
        <v>3844</v>
      </c>
      <c r="U1108" s="22" t="b">
        <f aca="false">TRUE()</f>
        <v>1</v>
      </c>
      <c r="V1108" s="0" t="n">
        <v>0.67</v>
      </c>
      <c r="W1108" s="0" t="n">
        <v>0.56</v>
      </c>
      <c r="X1108" s="0" t="n">
        <v>7.47</v>
      </c>
      <c r="Y1108" s="0" t="n">
        <v>375.78</v>
      </c>
      <c r="Z1108" s="0" t="n">
        <v>9</v>
      </c>
      <c r="AA1108" s="0" t="n">
        <v>1.13</v>
      </c>
      <c r="AB1108" s="0" t="n">
        <v>2.3</v>
      </c>
      <c r="AC1108" s="22" t="b">
        <f aca="false">FALSE()</f>
        <v>0</v>
      </c>
      <c r="AD1108" s="0" t="n">
        <v>20.6</v>
      </c>
      <c r="AE1108" s="0" t="n">
        <v>8.16</v>
      </c>
      <c r="AF1108" s="0" t="n">
        <v>14.09</v>
      </c>
      <c r="AG1108" s="22" t="b">
        <f aca="false">TRUE()</f>
        <v>1</v>
      </c>
      <c r="AH1108" s="0" t="n">
        <v>1</v>
      </c>
    </row>
    <row r="1109" customFormat="false" ht="15" hidden="false" customHeight="false" outlineLevel="0" collapsed="false">
      <c r="A1109" s="0" t="s">
        <v>1726</v>
      </c>
      <c r="B1109" s="0" t="s">
        <v>3459</v>
      </c>
      <c r="C1109" s="0" t="s">
        <v>3447</v>
      </c>
      <c r="D1109" s="0" t="s">
        <v>3448</v>
      </c>
      <c r="E1109" s="19" t="s">
        <v>26</v>
      </c>
      <c r="F1109" s="19" t="s">
        <v>32</v>
      </c>
      <c r="G1109" s="21" t="s">
        <v>1926</v>
      </c>
      <c r="H1109" s="21" t="s">
        <v>24</v>
      </c>
      <c r="I1109" s="21" t="s">
        <v>26</v>
      </c>
      <c r="J1109" s="21" t="s">
        <v>24</v>
      </c>
      <c r="K1109" s="21" t="s">
        <v>25</v>
      </c>
      <c r="L1109" s="21" t="s">
        <v>24</v>
      </c>
      <c r="M1109" s="0" t="n">
        <v>184</v>
      </c>
      <c r="N1109" s="0" t="n">
        <v>7</v>
      </c>
      <c r="O1109" s="21" t="s">
        <v>4019</v>
      </c>
      <c r="P1109" s="21" t="s">
        <v>4645</v>
      </c>
      <c r="Q1109" s="0" t="n">
        <v>1</v>
      </c>
      <c r="R1109" s="21" t="s">
        <v>69</v>
      </c>
      <c r="S1109" s="0" t="n">
        <v>6</v>
      </c>
      <c r="T1109" s="21" t="s">
        <v>3869</v>
      </c>
      <c r="U1109" s="22" t="b">
        <f aca="false">FALSE()</f>
        <v>0</v>
      </c>
      <c r="V1109" s="0" t="n">
        <v>0.72</v>
      </c>
      <c r="W1109" s="0" t="n">
        <v>0.8</v>
      </c>
      <c r="X1109" s="0" t="n">
        <v>9.18</v>
      </c>
      <c r="Y1109" s="0" t="n">
        <v>280.89</v>
      </c>
      <c r="Z1109" s="0" t="n">
        <v>8.5</v>
      </c>
      <c r="AA1109" s="0" t="n">
        <v>0.42</v>
      </c>
      <c r="AB1109" s="0" t="n">
        <v>1.53</v>
      </c>
      <c r="AC1109" s="22" t="b">
        <f aca="false">FALSE()</f>
        <v>0</v>
      </c>
      <c r="AD1109" s="0" t="n">
        <v>20.42</v>
      </c>
      <c r="AE1109" s="0" t="n">
        <v>8.97</v>
      </c>
      <c r="AF1109" s="0" t="n">
        <v>15.25</v>
      </c>
      <c r="AG1109" s="22" t="b">
        <f aca="false">TRUE()</f>
        <v>1</v>
      </c>
      <c r="AH1109" s="0" t="n">
        <v>1</v>
      </c>
    </row>
    <row r="1110" customFormat="false" ht="15" hidden="false" customHeight="false" outlineLevel="0" collapsed="false">
      <c r="A1110" s="0" t="s">
        <v>1732</v>
      </c>
      <c r="B1110" s="0" t="s">
        <v>134</v>
      </c>
      <c r="C1110" s="0" t="s">
        <v>3450</v>
      </c>
      <c r="D1110" s="0" t="s">
        <v>3457</v>
      </c>
      <c r="E1110" s="20" t="s">
        <v>25</v>
      </c>
      <c r="F1110" s="20" t="s">
        <v>29</v>
      </c>
      <c r="G1110" s="21" t="s">
        <v>63</v>
      </c>
      <c r="H1110" s="21" t="s">
        <v>24</v>
      </c>
      <c r="I1110" s="21" t="s">
        <v>24</v>
      </c>
      <c r="J1110" s="21" t="s">
        <v>24</v>
      </c>
      <c r="K1110" s="21" t="s">
        <v>25</v>
      </c>
      <c r="L1110" s="21" t="s">
        <v>24</v>
      </c>
      <c r="M1110" s="0" t="n">
        <v>208</v>
      </c>
      <c r="N1110" s="0" t="n">
        <v>0</v>
      </c>
      <c r="Q1110" s="0" t="n">
        <v>0</v>
      </c>
      <c r="S1110" s="0" t="n">
        <v>0</v>
      </c>
      <c r="U1110" s="22" t="b">
        <f aca="false">FALSE()</f>
        <v>0</v>
      </c>
      <c r="V1110" s="0" t="n">
        <v>0.69</v>
      </c>
      <c r="W1110" s="0" t="n">
        <v>0.48</v>
      </c>
      <c r="X1110" s="0" t="n">
        <v>7.08</v>
      </c>
      <c r="Y1110" s="0" t="n">
        <v>378.63</v>
      </c>
      <c r="Z1110" s="0" t="n">
        <v>10.17</v>
      </c>
      <c r="AA1110" s="0" t="n">
        <v>6.31</v>
      </c>
      <c r="AB1110" s="0" t="n">
        <v>0.88</v>
      </c>
      <c r="AC1110" s="22" t="b">
        <f aca="false">FALSE()</f>
        <v>0</v>
      </c>
      <c r="AD1110" s="0" t="n">
        <v>8.92</v>
      </c>
      <c r="AE1110" s="0" t="n">
        <v>0.27</v>
      </c>
      <c r="AF1110" s="0" t="n">
        <v>11.07</v>
      </c>
      <c r="AG1110" s="22" t="b">
        <f aca="false">FALSE()</f>
        <v>0</v>
      </c>
      <c r="AH1110" s="0" t="n">
        <v>1</v>
      </c>
    </row>
    <row r="1111" customFormat="false" ht="15" hidden="false" customHeight="false" outlineLevel="0" collapsed="false">
      <c r="A1111" s="0" t="s">
        <v>1732</v>
      </c>
      <c r="B1111" s="0" t="s">
        <v>134</v>
      </c>
      <c r="C1111" s="0" t="s">
        <v>3450</v>
      </c>
      <c r="D1111" s="0" t="s">
        <v>3448</v>
      </c>
      <c r="E1111" s="18" t="s">
        <v>24</v>
      </c>
      <c r="F1111" s="18" t="s">
        <v>28</v>
      </c>
      <c r="H1111" s="21" t="s">
        <v>24</v>
      </c>
      <c r="I1111" s="21" t="s">
        <v>24</v>
      </c>
      <c r="J1111" s="21" t="s">
        <v>24</v>
      </c>
      <c r="K1111" s="21" t="s">
        <v>24</v>
      </c>
      <c r="L1111" s="21" t="s">
        <v>24</v>
      </c>
      <c r="M1111" s="0" t="n">
        <v>191</v>
      </c>
      <c r="N1111" s="0" t="n">
        <v>0</v>
      </c>
      <c r="Q1111" s="0" t="n">
        <v>0</v>
      </c>
      <c r="S1111" s="0" t="n">
        <v>0</v>
      </c>
      <c r="U1111" s="22" t="b">
        <f aca="false">FALSE()</f>
        <v>0</v>
      </c>
      <c r="V1111" s="0" t="n">
        <v>0.71</v>
      </c>
      <c r="W1111" s="0" t="n">
        <v>0.52</v>
      </c>
      <c r="X1111" s="0" t="n">
        <v>6.96</v>
      </c>
      <c r="Y1111" s="0" t="n">
        <v>342.45</v>
      </c>
      <c r="Z1111" s="0" t="n">
        <v>9.75</v>
      </c>
      <c r="AA1111" s="0" t="n">
        <v>13</v>
      </c>
      <c r="AB1111" s="0" t="n">
        <v>4.8</v>
      </c>
      <c r="AC1111" s="22" t="b">
        <f aca="false">FALSE()</f>
        <v>0</v>
      </c>
      <c r="AD1111" s="0" t="n">
        <v>11.51</v>
      </c>
      <c r="AE1111" s="0" t="n">
        <v>1.38</v>
      </c>
      <c r="AF1111" s="0" t="n">
        <v>10.93</v>
      </c>
      <c r="AG1111" s="22" t="b">
        <f aca="false">TRUE()</f>
        <v>1</v>
      </c>
      <c r="AH1111" s="0" t="n">
        <v>1</v>
      </c>
    </row>
    <row r="1112" customFormat="false" ht="15" hidden="false" customHeight="false" outlineLevel="0" collapsed="false">
      <c r="A1112" s="0" t="s">
        <v>1732</v>
      </c>
      <c r="B1112" s="0" t="s">
        <v>134</v>
      </c>
      <c r="C1112" s="0" t="s">
        <v>3447</v>
      </c>
      <c r="D1112" s="0" t="s">
        <v>3457</v>
      </c>
      <c r="E1112" s="20" t="s">
        <v>25</v>
      </c>
      <c r="F1112" s="20" t="s">
        <v>29</v>
      </c>
      <c r="G1112" s="21" t="s">
        <v>63</v>
      </c>
      <c r="H1112" s="21" t="s">
        <v>24</v>
      </c>
      <c r="I1112" s="21" t="s">
        <v>24</v>
      </c>
      <c r="J1112" s="21" t="s">
        <v>24</v>
      </c>
      <c r="K1112" s="21" t="s">
        <v>25</v>
      </c>
      <c r="L1112" s="21" t="s">
        <v>24</v>
      </c>
      <c r="M1112" s="0" t="n">
        <v>188</v>
      </c>
      <c r="N1112" s="0" t="n">
        <v>0</v>
      </c>
      <c r="Q1112" s="0" t="n">
        <v>0</v>
      </c>
      <c r="S1112" s="0" t="n">
        <v>0</v>
      </c>
      <c r="U1112" s="22" t="b">
        <f aca="false">FALSE()</f>
        <v>0</v>
      </c>
      <c r="V1112" s="0" t="n">
        <v>0.71</v>
      </c>
      <c r="W1112" s="0" t="n">
        <v>0.72</v>
      </c>
      <c r="X1112" s="0" t="n">
        <v>5.58</v>
      </c>
      <c r="Y1112" s="0" t="n">
        <v>329.35</v>
      </c>
      <c r="Z1112" s="0" t="n">
        <v>8</v>
      </c>
      <c r="AA1112" s="0" t="n">
        <v>-1.21</v>
      </c>
      <c r="AB1112" s="0" t="n">
        <v>0.88</v>
      </c>
      <c r="AC1112" s="22" t="b">
        <f aca="false">FALSE()</f>
        <v>0</v>
      </c>
      <c r="AD1112" s="0" t="n">
        <v>3.6</v>
      </c>
      <c r="AE1112" s="0" t="n">
        <v>0.5</v>
      </c>
      <c r="AF1112" s="0" t="n">
        <v>10.31</v>
      </c>
      <c r="AG1112" s="22" t="b">
        <f aca="false">FALSE()</f>
        <v>0</v>
      </c>
      <c r="AH1112" s="0" t="n">
        <v>1</v>
      </c>
    </row>
    <row r="1113" customFormat="false" ht="15" hidden="false" customHeight="false" outlineLevel="0" collapsed="false">
      <c r="A1113" s="0" t="s">
        <v>1732</v>
      </c>
      <c r="B1113" s="0" t="s">
        <v>134</v>
      </c>
      <c r="C1113" s="0" t="s">
        <v>3447</v>
      </c>
      <c r="D1113" s="0" t="s">
        <v>3448</v>
      </c>
      <c r="E1113" s="18" t="s">
        <v>24</v>
      </c>
      <c r="F1113" s="18" t="s">
        <v>28</v>
      </c>
      <c r="H1113" s="21" t="s">
        <v>24</v>
      </c>
      <c r="I1113" s="21" t="s">
        <v>24</v>
      </c>
      <c r="J1113" s="21" t="s">
        <v>24</v>
      </c>
      <c r="K1113" s="21" t="s">
        <v>24</v>
      </c>
      <c r="L1113" s="21" t="s">
        <v>24</v>
      </c>
      <c r="M1113" s="0" t="n">
        <v>189</v>
      </c>
      <c r="N1113" s="0" t="n">
        <v>0</v>
      </c>
      <c r="Q1113" s="0" t="n">
        <v>0</v>
      </c>
      <c r="S1113" s="0" t="n">
        <v>0</v>
      </c>
      <c r="U1113" s="22" t="b">
        <f aca="false">FALSE()</f>
        <v>0</v>
      </c>
      <c r="V1113" s="0" t="n">
        <v>0.74</v>
      </c>
      <c r="W1113" s="0" t="n">
        <v>0.16</v>
      </c>
      <c r="X1113" s="0" t="n">
        <v>6.31</v>
      </c>
      <c r="Y1113" s="0" t="n">
        <v>579.76</v>
      </c>
      <c r="Z1113" s="0" t="n">
        <v>9.92</v>
      </c>
      <c r="AA1113" s="0" t="n">
        <v>3.32</v>
      </c>
      <c r="AB1113" s="0" t="n">
        <v>4.8</v>
      </c>
      <c r="AC1113" s="22" t="b">
        <f aca="false">FALSE()</f>
        <v>0</v>
      </c>
      <c r="AD1113" s="0" t="n">
        <v>11.3</v>
      </c>
      <c r="AE1113" s="0" t="n">
        <v>0.97</v>
      </c>
      <c r="AF1113" s="0" t="n">
        <v>12.37</v>
      </c>
      <c r="AG1113" s="22" t="b">
        <f aca="false">TRUE()</f>
        <v>1</v>
      </c>
      <c r="AH1113" s="0" t="n">
        <v>1</v>
      </c>
    </row>
    <row r="1114" customFormat="false" ht="15" hidden="false" customHeight="false" outlineLevel="0" collapsed="false">
      <c r="A1114" s="0" t="s">
        <v>1737</v>
      </c>
      <c r="B1114" s="0" t="s">
        <v>134</v>
      </c>
      <c r="C1114" s="0" t="s">
        <v>3450</v>
      </c>
      <c r="D1114" s="0" t="s">
        <v>3457</v>
      </c>
      <c r="E1114" s="20" t="s">
        <v>25</v>
      </c>
      <c r="F1114" s="23" t="s">
        <v>30</v>
      </c>
      <c r="G1114" s="21" t="s">
        <v>183</v>
      </c>
      <c r="H1114" s="21" t="s">
        <v>24</v>
      </c>
      <c r="I1114" s="21" t="s">
        <v>25</v>
      </c>
      <c r="J1114" s="21" t="s">
        <v>24</v>
      </c>
      <c r="K1114" s="21" t="s">
        <v>25</v>
      </c>
      <c r="L1114" s="21" t="s">
        <v>24</v>
      </c>
      <c r="M1114" s="0" t="n">
        <v>182</v>
      </c>
      <c r="N1114" s="0" t="n">
        <v>3</v>
      </c>
      <c r="O1114" s="21" t="s">
        <v>3649</v>
      </c>
      <c r="P1114" s="21" t="s">
        <v>4242</v>
      </c>
      <c r="Q1114" s="0" t="n">
        <v>1</v>
      </c>
      <c r="R1114" s="21" t="s">
        <v>69</v>
      </c>
      <c r="S1114" s="0" t="n">
        <v>3</v>
      </c>
      <c r="T1114" s="21" t="s">
        <v>3649</v>
      </c>
      <c r="U1114" s="22" t="b">
        <f aca="false">TRUE()</f>
        <v>1</v>
      </c>
      <c r="V1114" s="0" t="n">
        <v>0.7</v>
      </c>
      <c r="W1114" s="0" t="n">
        <v>0</v>
      </c>
      <c r="X1114" s="0" t="n">
        <v>7.67</v>
      </c>
      <c r="Y1114" s="0" t="n">
        <v>702.28</v>
      </c>
      <c r="Z1114" s="0" t="n">
        <v>9.25</v>
      </c>
      <c r="AA1114" s="0" t="n">
        <v>11.55</v>
      </c>
      <c r="AB1114" s="0" t="n">
        <v>4.54</v>
      </c>
      <c r="AC1114" s="22" t="b">
        <f aca="false">FALSE()</f>
        <v>0</v>
      </c>
      <c r="AD1114" s="0" t="n">
        <v>26.55</v>
      </c>
      <c r="AE1114" s="0" t="n">
        <v>15.05</v>
      </c>
      <c r="AF1114" s="0" t="n">
        <v>21.98</v>
      </c>
      <c r="AG1114" s="22" t="b">
        <f aca="false">TRUE()</f>
        <v>1</v>
      </c>
      <c r="AH1114" s="0" t="n">
        <v>1</v>
      </c>
    </row>
    <row r="1115" customFormat="false" ht="15" hidden="false" customHeight="false" outlineLevel="0" collapsed="false">
      <c r="A1115" s="0" t="s">
        <v>1737</v>
      </c>
      <c r="B1115" s="0" t="s">
        <v>134</v>
      </c>
      <c r="C1115" s="0" t="s">
        <v>3450</v>
      </c>
      <c r="D1115" s="0" t="s">
        <v>3448</v>
      </c>
      <c r="E1115" s="19" t="s">
        <v>26</v>
      </c>
      <c r="F1115" s="19" t="s">
        <v>32</v>
      </c>
      <c r="G1115" s="21" t="s">
        <v>231</v>
      </c>
      <c r="H1115" s="21" t="s">
        <v>24</v>
      </c>
      <c r="I1115" s="21" t="s">
        <v>26</v>
      </c>
      <c r="J1115" s="21" t="s">
        <v>24</v>
      </c>
      <c r="K1115" s="21" t="s">
        <v>25</v>
      </c>
      <c r="L1115" s="21" t="s">
        <v>24</v>
      </c>
      <c r="M1115" s="0" t="n">
        <v>184</v>
      </c>
      <c r="N1115" s="0" t="n">
        <v>7</v>
      </c>
      <c r="O1115" s="21" t="s">
        <v>3986</v>
      </c>
      <c r="P1115" s="21" t="s">
        <v>4577</v>
      </c>
      <c r="Q1115" s="0" t="n">
        <v>1</v>
      </c>
      <c r="R1115" s="21" t="s">
        <v>69</v>
      </c>
      <c r="S1115" s="0" t="n">
        <v>7</v>
      </c>
      <c r="T1115" s="21" t="s">
        <v>3986</v>
      </c>
      <c r="U1115" s="22" t="b">
        <f aca="false">FALSE()</f>
        <v>0</v>
      </c>
      <c r="V1115" s="0" t="n">
        <v>0.67</v>
      </c>
      <c r="W1115" s="0" t="n">
        <v>0.84</v>
      </c>
      <c r="X1115" s="0" t="n">
        <v>9.63</v>
      </c>
      <c r="Y1115" s="0" t="n">
        <v>297.67</v>
      </c>
      <c r="Z1115" s="0" t="n">
        <v>9.5</v>
      </c>
      <c r="AA1115" s="0" t="n">
        <v>1.16</v>
      </c>
      <c r="AB1115" s="0" t="n">
        <v>0.98</v>
      </c>
      <c r="AC1115" s="22" t="b">
        <f aca="false">TRUE()</f>
        <v>1</v>
      </c>
      <c r="AD1115" s="0" t="n">
        <v>10.39</v>
      </c>
      <c r="AE1115" s="0" t="n">
        <v>2.21</v>
      </c>
      <c r="AF1115" s="0" t="n">
        <v>6.62</v>
      </c>
      <c r="AG1115" s="22" t="b">
        <f aca="false">TRUE()</f>
        <v>1</v>
      </c>
      <c r="AH1115" s="0" t="n">
        <v>1</v>
      </c>
    </row>
    <row r="1116" customFormat="false" ht="15" hidden="false" customHeight="false" outlineLevel="0" collapsed="false">
      <c r="A1116" s="0" t="s">
        <v>1737</v>
      </c>
      <c r="B1116" s="0" t="s">
        <v>134</v>
      </c>
      <c r="C1116" s="0" t="s">
        <v>3447</v>
      </c>
      <c r="D1116" s="0" t="s">
        <v>3457</v>
      </c>
      <c r="E1116" s="20" t="s">
        <v>25</v>
      </c>
      <c r="F1116" s="23" t="s">
        <v>30</v>
      </c>
      <c r="G1116" s="21" t="s">
        <v>992</v>
      </c>
      <c r="H1116" s="21" t="s">
        <v>24</v>
      </c>
      <c r="I1116" s="21" t="s">
        <v>24</v>
      </c>
      <c r="J1116" s="21" t="s">
        <v>24</v>
      </c>
      <c r="K1116" s="21" t="s">
        <v>25</v>
      </c>
      <c r="L1116" s="21" t="s">
        <v>24</v>
      </c>
      <c r="M1116" s="0" t="n">
        <v>183</v>
      </c>
      <c r="N1116" s="0" t="n">
        <v>6</v>
      </c>
      <c r="O1116" s="21" t="s">
        <v>3807</v>
      </c>
      <c r="P1116" s="21" t="s">
        <v>4646</v>
      </c>
      <c r="Q1116" s="0" t="n">
        <v>0</v>
      </c>
      <c r="S1116" s="0" t="n">
        <v>6</v>
      </c>
      <c r="T1116" s="21" t="s">
        <v>3807</v>
      </c>
      <c r="U1116" s="22" t="b">
        <f aca="false">TRUE()</f>
        <v>1</v>
      </c>
      <c r="V1116" s="0" t="n">
        <v>0.71</v>
      </c>
      <c r="W1116" s="0" t="n">
        <v>0.64</v>
      </c>
      <c r="X1116" s="0" t="n">
        <v>7.65</v>
      </c>
      <c r="Y1116" s="0" t="n">
        <v>314.13</v>
      </c>
      <c r="Z1116" s="0" t="n">
        <v>11</v>
      </c>
      <c r="AA1116" s="0" t="n">
        <v>2.45</v>
      </c>
      <c r="AB1116" s="0" t="n">
        <v>4.54</v>
      </c>
      <c r="AC1116" s="22" t="b">
        <f aca="false">FALSE()</f>
        <v>0</v>
      </c>
      <c r="AD1116" s="0" t="n">
        <v>23.28</v>
      </c>
      <c r="AE1116" s="0" t="n">
        <v>9.54</v>
      </c>
      <c r="AF1116" s="0" t="n">
        <v>14.24</v>
      </c>
      <c r="AG1116" s="22" t="b">
        <f aca="false">TRUE()</f>
        <v>1</v>
      </c>
      <c r="AH1116" s="0" t="n">
        <v>1</v>
      </c>
    </row>
    <row r="1117" customFormat="false" ht="15" hidden="false" customHeight="false" outlineLevel="0" collapsed="false">
      <c r="A1117" s="0" t="s">
        <v>1737</v>
      </c>
      <c r="B1117" s="0" t="s">
        <v>134</v>
      </c>
      <c r="C1117" s="0" t="s">
        <v>3447</v>
      </c>
      <c r="D1117" s="0" t="s">
        <v>3448</v>
      </c>
      <c r="E1117" s="20" t="s">
        <v>25</v>
      </c>
      <c r="F1117" s="23" t="s">
        <v>30</v>
      </c>
      <c r="G1117" s="21" t="s">
        <v>2133</v>
      </c>
      <c r="H1117" s="21" t="s">
        <v>24</v>
      </c>
      <c r="I1117" s="21" t="s">
        <v>24</v>
      </c>
      <c r="J1117" s="21" t="s">
        <v>24</v>
      </c>
      <c r="K1117" s="21" t="s">
        <v>25</v>
      </c>
      <c r="L1117" s="21" t="s">
        <v>24</v>
      </c>
      <c r="M1117" s="0" t="n">
        <v>184</v>
      </c>
      <c r="N1117" s="0" t="n">
        <v>1</v>
      </c>
      <c r="O1117" s="21" t="s">
        <v>3474</v>
      </c>
      <c r="P1117" s="21" t="s">
        <v>4272</v>
      </c>
      <c r="Q1117" s="0" t="n">
        <v>0</v>
      </c>
      <c r="S1117" s="0" t="n">
        <v>1</v>
      </c>
      <c r="T1117" s="21" t="s">
        <v>3474</v>
      </c>
      <c r="U1117" s="22" t="b">
        <f aca="false">TRUE()</f>
        <v>1</v>
      </c>
      <c r="V1117" s="0" t="n">
        <v>0.73</v>
      </c>
      <c r="W1117" s="0" t="n">
        <v>0.92</v>
      </c>
      <c r="X1117" s="0" t="n">
        <v>8.83</v>
      </c>
      <c r="Y1117" s="0" t="n">
        <v>306.96</v>
      </c>
      <c r="Z1117" s="0" t="n">
        <v>8</v>
      </c>
      <c r="AA1117" s="0" t="n">
        <v>-0.91</v>
      </c>
      <c r="AB1117" s="0" t="n">
        <v>0.98</v>
      </c>
      <c r="AC1117" s="22" t="b">
        <f aca="false">FALSE()</f>
        <v>0</v>
      </c>
      <c r="AD1117" s="0" t="n">
        <v>11.92</v>
      </c>
      <c r="AE1117" s="0" t="n">
        <v>3.75</v>
      </c>
      <c r="AF1117" s="0" t="n">
        <v>10.26</v>
      </c>
      <c r="AG1117" s="22" t="b">
        <f aca="false">TRUE()</f>
        <v>1</v>
      </c>
      <c r="AH1117" s="0" t="n">
        <v>1</v>
      </c>
    </row>
    <row r="1118" customFormat="false" ht="15" hidden="false" customHeight="false" outlineLevel="0" collapsed="false">
      <c r="A1118" s="0" t="s">
        <v>1744</v>
      </c>
      <c r="B1118" s="0" t="s">
        <v>134</v>
      </c>
      <c r="C1118" s="0" t="s">
        <v>3450</v>
      </c>
      <c r="D1118" s="0" t="s">
        <v>3457</v>
      </c>
      <c r="E1118" s="20" t="s">
        <v>25</v>
      </c>
      <c r="F1118" s="20" t="s">
        <v>29</v>
      </c>
      <c r="G1118" s="21" t="s">
        <v>61</v>
      </c>
      <c r="H1118" s="21" t="s">
        <v>24</v>
      </c>
      <c r="I1118" s="21" t="s">
        <v>24</v>
      </c>
      <c r="J1118" s="21" t="s">
        <v>24</v>
      </c>
      <c r="K1118" s="21" t="s">
        <v>25</v>
      </c>
      <c r="L1118" s="21" t="s">
        <v>24</v>
      </c>
      <c r="M1118" s="0" t="n">
        <v>187</v>
      </c>
      <c r="N1118" s="0" t="n">
        <v>0</v>
      </c>
      <c r="Q1118" s="0" t="n">
        <v>0</v>
      </c>
      <c r="S1118" s="0" t="n">
        <v>0</v>
      </c>
      <c r="U1118" s="22" t="b">
        <f aca="false">FALSE()</f>
        <v>0</v>
      </c>
      <c r="V1118" s="0" t="n">
        <v>0.7</v>
      </c>
      <c r="W1118" s="0" t="n">
        <v>0.6</v>
      </c>
      <c r="X1118" s="0" t="n">
        <v>5.75</v>
      </c>
      <c r="Y1118" s="0" t="n">
        <v>325.73</v>
      </c>
      <c r="Z1118" s="0" t="n">
        <v>9.75</v>
      </c>
      <c r="AA1118" s="0" t="n">
        <v>3.86</v>
      </c>
      <c r="AB1118" s="0" t="n">
        <v>1.63</v>
      </c>
      <c r="AC1118" s="22" t="b">
        <f aca="false">FALSE()</f>
        <v>0</v>
      </c>
      <c r="AD1118" s="0" t="n">
        <v>20.81</v>
      </c>
      <c r="AE1118" s="0" t="n">
        <v>0.41</v>
      </c>
      <c r="AF1118" s="0" t="n">
        <v>10.64</v>
      </c>
      <c r="AG1118" s="22" t="b">
        <f aca="false">TRUE()</f>
        <v>1</v>
      </c>
      <c r="AH1118" s="0" t="n">
        <v>1</v>
      </c>
    </row>
    <row r="1119" customFormat="false" ht="15" hidden="false" customHeight="false" outlineLevel="0" collapsed="false">
      <c r="A1119" s="0" t="s">
        <v>1744</v>
      </c>
      <c r="B1119" s="0" t="s">
        <v>134</v>
      </c>
      <c r="C1119" s="0" t="s">
        <v>3450</v>
      </c>
      <c r="D1119" s="0" t="s">
        <v>3448</v>
      </c>
      <c r="E1119" s="20" t="s">
        <v>25</v>
      </c>
      <c r="F1119" s="23" t="s">
        <v>30</v>
      </c>
      <c r="G1119" s="21" t="s">
        <v>283</v>
      </c>
      <c r="H1119" s="21" t="s">
        <v>24</v>
      </c>
      <c r="I1119" s="21" t="s">
        <v>25</v>
      </c>
      <c r="J1119" s="21" t="s">
        <v>24</v>
      </c>
      <c r="K1119" s="21" t="s">
        <v>24</v>
      </c>
      <c r="L1119" s="21" t="s">
        <v>24</v>
      </c>
      <c r="M1119" s="0" t="n">
        <v>185</v>
      </c>
      <c r="N1119" s="0" t="n">
        <v>3</v>
      </c>
      <c r="O1119" s="21" t="s">
        <v>3649</v>
      </c>
      <c r="P1119" s="21" t="s">
        <v>4242</v>
      </c>
      <c r="Q1119" s="0" t="n">
        <v>1</v>
      </c>
      <c r="R1119" s="21" t="s">
        <v>69</v>
      </c>
      <c r="S1119" s="0" t="n">
        <v>3</v>
      </c>
      <c r="T1119" s="21" t="s">
        <v>3649</v>
      </c>
      <c r="U1119" s="22" t="b">
        <f aca="false">TRUE()</f>
        <v>1</v>
      </c>
      <c r="V1119" s="0" t="n">
        <v>0.69</v>
      </c>
      <c r="W1119" s="0" t="n">
        <v>0.68</v>
      </c>
      <c r="X1119" s="0" t="n">
        <v>5.71</v>
      </c>
      <c r="Y1119" s="0" t="n">
        <v>314.69</v>
      </c>
      <c r="Z1119" s="0" t="n">
        <v>9.5</v>
      </c>
      <c r="AA1119" s="0" t="n">
        <v>6.83</v>
      </c>
      <c r="AB1119" s="0" t="n">
        <v>1.96</v>
      </c>
      <c r="AC1119" s="22" t="b">
        <f aca="false">FALSE()</f>
        <v>0</v>
      </c>
      <c r="AD1119" s="0" t="n">
        <v>13.8</v>
      </c>
      <c r="AE1119" s="0" t="n">
        <v>4.26</v>
      </c>
      <c r="AF1119" s="0" t="n">
        <v>5.32</v>
      </c>
      <c r="AG1119" s="22" t="b">
        <f aca="false">TRUE()</f>
        <v>1</v>
      </c>
      <c r="AH1119" s="0" t="n">
        <v>1</v>
      </c>
    </row>
    <row r="1120" customFormat="false" ht="15" hidden="false" customHeight="false" outlineLevel="0" collapsed="false">
      <c r="A1120" s="0" t="s">
        <v>1744</v>
      </c>
      <c r="B1120" s="0" t="s">
        <v>134</v>
      </c>
      <c r="C1120" s="0" t="s">
        <v>3447</v>
      </c>
      <c r="D1120" s="0" t="s">
        <v>3457</v>
      </c>
      <c r="E1120" s="18" t="s">
        <v>24</v>
      </c>
      <c r="F1120" s="23" t="s">
        <v>30</v>
      </c>
      <c r="G1120" s="21" t="s">
        <v>30</v>
      </c>
      <c r="H1120" s="21" t="s">
        <v>24</v>
      </c>
      <c r="I1120" s="21" t="s">
        <v>24</v>
      </c>
      <c r="J1120" s="21" t="s">
        <v>24</v>
      </c>
      <c r="K1120" s="21" t="s">
        <v>24</v>
      </c>
      <c r="L1120" s="21" t="s">
        <v>24</v>
      </c>
      <c r="M1120" s="0" t="n">
        <v>187</v>
      </c>
      <c r="N1120" s="0" t="n">
        <v>6</v>
      </c>
      <c r="O1120" s="21" t="s">
        <v>3780</v>
      </c>
      <c r="P1120" s="21" t="s">
        <v>4647</v>
      </c>
      <c r="Q1120" s="0" t="n">
        <v>0</v>
      </c>
      <c r="S1120" s="0" t="n">
        <v>6</v>
      </c>
      <c r="T1120" s="21" t="s">
        <v>3780</v>
      </c>
      <c r="U1120" s="22" t="b">
        <f aca="false">TRUE()</f>
        <v>1</v>
      </c>
      <c r="V1120" s="0" t="n">
        <v>0.78</v>
      </c>
      <c r="W1120" s="0" t="n">
        <v>0.88</v>
      </c>
      <c r="X1120" s="0" t="n">
        <v>7.77</v>
      </c>
      <c r="Y1120" s="0" t="n">
        <v>323.73</v>
      </c>
      <c r="Z1120" s="0" t="n">
        <v>8.25</v>
      </c>
      <c r="AA1120" s="0" t="n">
        <v>-1.59</v>
      </c>
      <c r="AB1120" s="0" t="n">
        <v>1.63</v>
      </c>
      <c r="AC1120" s="22" t="b">
        <f aca="false">FALSE()</f>
        <v>0</v>
      </c>
      <c r="AD1120" s="0" t="n">
        <v>17.51</v>
      </c>
      <c r="AE1120" s="0" t="n">
        <v>0.96</v>
      </c>
      <c r="AF1120" s="0" t="n">
        <v>4</v>
      </c>
      <c r="AG1120" s="22" t="b">
        <f aca="false">TRUE()</f>
        <v>1</v>
      </c>
      <c r="AH1120" s="0" t="n">
        <v>1</v>
      </c>
    </row>
    <row r="1121" customFormat="false" ht="15" hidden="false" customHeight="false" outlineLevel="0" collapsed="false">
      <c r="A1121" s="0" t="s">
        <v>1744</v>
      </c>
      <c r="B1121" s="0" t="s">
        <v>134</v>
      </c>
      <c r="C1121" s="0" t="s">
        <v>3447</v>
      </c>
      <c r="D1121" s="0" t="s">
        <v>3448</v>
      </c>
      <c r="E1121" s="18" t="s">
        <v>24</v>
      </c>
      <c r="F1121" s="23" t="s">
        <v>30</v>
      </c>
      <c r="G1121" s="21" t="s">
        <v>30</v>
      </c>
      <c r="H1121" s="21" t="s">
        <v>24</v>
      </c>
      <c r="I1121" s="21" t="s">
        <v>24</v>
      </c>
      <c r="J1121" s="21" t="s">
        <v>24</v>
      </c>
      <c r="K1121" s="21" t="s">
        <v>24</v>
      </c>
      <c r="L1121" s="21" t="s">
        <v>24</v>
      </c>
      <c r="M1121" s="0" t="n">
        <v>186</v>
      </c>
      <c r="N1121" s="0" t="n">
        <v>6</v>
      </c>
      <c r="O1121" s="21" t="s">
        <v>3781</v>
      </c>
      <c r="P1121" s="21" t="s">
        <v>4648</v>
      </c>
      <c r="Q1121" s="0" t="n">
        <v>0</v>
      </c>
      <c r="S1121" s="0" t="n">
        <v>6</v>
      </c>
      <c r="T1121" s="21" t="s">
        <v>3781</v>
      </c>
      <c r="U1121" s="22" t="b">
        <f aca="false">TRUE()</f>
        <v>1</v>
      </c>
      <c r="V1121" s="0" t="n">
        <v>0.74</v>
      </c>
      <c r="W1121" s="0" t="n">
        <v>0.32</v>
      </c>
      <c r="X1121" s="0" t="n">
        <v>9.93</v>
      </c>
      <c r="Y1121" s="0" t="n">
        <v>357.88</v>
      </c>
      <c r="Z1121" s="0" t="n">
        <v>8.5</v>
      </c>
      <c r="AA1121" s="0" t="n">
        <v>-1.66</v>
      </c>
      <c r="AB1121" s="0" t="n">
        <v>1.96</v>
      </c>
      <c r="AC1121" s="22" t="b">
        <f aca="false">FALSE()</f>
        <v>0</v>
      </c>
      <c r="AD1121" s="0" t="n">
        <v>9</v>
      </c>
      <c r="AE1121" s="0" t="n">
        <v>-1.99</v>
      </c>
      <c r="AF1121" s="0" t="n">
        <v>4.38</v>
      </c>
      <c r="AG1121" s="22" t="b">
        <f aca="false">FALSE()</f>
        <v>0</v>
      </c>
      <c r="AH1121" s="0" t="n">
        <v>1</v>
      </c>
    </row>
    <row r="1122" customFormat="false" ht="15" hidden="false" customHeight="false" outlineLevel="0" collapsed="false">
      <c r="A1122" s="0" t="s">
        <v>1750</v>
      </c>
      <c r="B1122" s="0" t="s">
        <v>134</v>
      </c>
      <c r="C1122" s="0" t="s">
        <v>3450</v>
      </c>
      <c r="D1122" s="0" t="s">
        <v>3457</v>
      </c>
      <c r="E1122" s="20" t="s">
        <v>25</v>
      </c>
      <c r="F1122" s="23" t="s">
        <v>30</v>
      </c>
      <c r="G1122" s="21" t="s">
        <v>283</v>
      </c>
      <c r="H1122" s="21" t="s">
        <v>24</v>
      </c>
      <c r="I1122" s="21" t="s">
        <v>25</v>
      </c>
      <c r="J1122" s="21" t="s">
        <v>24</v>
      </c>
      <c r="K1122" s="21" t="s">
        <v>24</v>
      </c>
      <c r="L1122" s="21" t="s">
        <v>24</v>
      </c>
      <c r="M1122" s="0" t="n">
        <v>183</v>
      </c>
      <c r="N1122" s="0" t="n">
        <v>4</v>
      </c>
      <c r="O1122" s="21" t="s">
        <v>3734</v>
      </c>
      <c r="P1122" s="21" t="s">
        <v>4327</v>
      </c>
      <c r="Q1122" s="0" t="n">
        <v>1</v>
      </c>
      <c r="R1122" s="21" t="s">
        <v>69</v>
      </c>
      <c r="S1122" s="0" t="n">
        <v>4</v>
      </c>
      <c r="T1122" s="21" t="s">
        <v>3734</v>
      </c>
      <c r="U1122" s="22" t="b">
        <f aca="false">TRUE()</f>
        <v>1</v>
      </c>
      <c r="V1122" s="0" t="n">
        <v>0.73</v>
      </c>
      <c r="W1122" s="0" t="n">
        <v>0.28</v>
      </c>
      <c r="X1122" s="0" t="n">
        <v>10.01</v>
      </c>
      <c r="Y1122" s="0" t="n">
        <v>424.01</v>
      </c>
      <c r="Z1122" s="0" t="n">
        <v>9.5</v>
      </c>
      <c r="AA1122" s="0" t="n">
        <v>15.69</v>
      </c>
      <c r="AB1122" s="0" t="n">
        <v>6.88</v>
      </c>
      <c r="AC1122" s="22" t="b">
        <f aca="false">FALSE()</f>
        <v>0</v>
      </c>
      <c r="AD1122" s="0" t="n">
        <v>10.74</v>
      </c>
      <c r="AE1122" s="0" t="n">
        <v>0.52</v>
      </c>
      <c r="AF1122" s="0" t="n">
        <v>0.51</v>
      </c>
      <c r="AG1122" s="22" t="b">
        <f aca="false">TRUE()</f>
        <v>1</v>
      </c>
      <c r="AH1122" s="0" t="n">
        <v>1</v>
      </c>
    </row>
    <row r="1123" customFormat="false" ht="15" hidden="false" customHeight="false" outlineLevel="0" collapsed="false">
      <c r="A1123" s="0" t="s">
        <v>1750</v>
      </c>
      <c r="B1123" s="0" t="s">
        <v>134</v>
      </c>
      <c r="C1123" s="0" t="s">
        <v>3450</v>
      </c>
      <c r="D1123" s="0" t="s">
        <v>3448</v>
      </c>
      <c r="E1123" s="18" t="s">
        <v>24</v>
      </c>
      <c r="F1123" s="23" t="s">
        <v>30</v>
      </c>
      <c r="G1123" s="21" t="s">
        <v>30</v>
      </c>
      <c r="H1123" s="21" t="s">
        <v>24</v>
      </c>
      <c r="I1123" s="21" t="s">
        <v>24</v>
      </c>
      <c r="J1123" s="21" t="s">
        <v>24</v>
      </c>
      <c r="K1123" s="21" t="s">
        <v>24</v>
      </c>
      <c r="L1123" s="21" t="s">
        <v>24</v>
      </c>
      <c r="M1123" s="0" t="n">
        <v>187</v>
      </c>
      <c r="N1123" s="0" t="n">
        <v>2</v>
      </c>
      <c r="O1123" s="21" t="s">
        <v>3516</v>
      </c>
      <c r="P1123" s="21" t="s">
        <v>4649</v>
      </c>
      <c r="Q1123" s="0" t="n">
        <v>0</v>
      </c>
      <c r="S1123" s="0" t="n">
        <v>2</v>
      </c>
      <c r="T1123" s="21" t="s">
        <v>3516</v>
      </c>
      <c r="U1123" s="22" t="b">
        <f aca="false">TRUE()</f>
        <v>1</v>
      </c>
      <c r="V1123" s="0" t="n">
        <v>0.78</v>
      </c>
      <c r="W1123" s="0" t="n">
        <v>0.24</v>
      </c>
      <c r="X1123" s="0" t="n">
        <v>9.05</v>
      </c>
      <c r="Y1123" s="0" t="n">
        <v>478.57</v>
      </c>
      <c r="Z1123" s="0" t="n">
        <v>8.75</v>
      </c>
      <c r="AA1123" s="0" t="n">
        <v>14.46</v>
      </c>
      <c r="AB1123" s="0" t="n">
        <v>5.56</v>
      </c>
      <c r="AC1123" s="22" t="b">
        <f aca="false">FALSE()</f>
        <v>0</v>
      </c>
      <c r="AD1123" s="0" t="n">
        <v>14.31</v>
      </c>
      <c r="AE1123" s="0" t="n">
        <v>0.29</v>
      </c>
      <c r="AF1123" s="0" t="n">
        <v>3.78</v>
      </c>
      <c r="AG1123" s="22" t="b">
        <f aca="false">TRUE()</f>
        <v>1</v>
      </c>
      <c r="AH1123" s="0" t="n">
        <v>1</v>
      </c>
    </row>
    <row r="1124" customFormat="false" ht="15" hidden="false" customHeight="false" outlineLevel="0" collapsed="false">
      <c r="A1124" s="0" t="s">
        <v>1750</v>
      </c>
      <c r="B1124" s="0" t="s">
        <v>134</v>
      </c>
      <c r="C1124" s="0" t="s">
        <v>3447</v>
      </c>
      <c r="D1124" s="0" t="s">
        <v>3457</v>
      </c>
      <c r="E1124" s="18" t="s">
        <v>24</v>
      </c>
      <c r="F1124" s="23" t="s">
        <v>30</v>
      </c>
      <c r="G1124" s="21" t="s">
        <v>30</v>
      </c>
      <c r="H1124" s="21" t="s">
        <v>24</v>
      </c>
      <c r="I1124" s="21" t="s">
        <v>24</v>
      </c>
      <c r="J1124" s="21" t="s">
        <v>24</v>
      </c>
      <c r="K1124" s="21" t="s">
        <v>24</v>
      </c>
      <c r="L1124" s="21" t="s">
        <v>24</v>
      </c>
      <c r="M1124" s="0" t="n">
        <v>183</v>
      </c>
      <c r="N1124" s="0" t="n">
        <v>5</v>
      </c>
      <c r="O1124" s="21" t="s">
        <v>3744</v>
      </c>
      <c r="P1124" s="21" t="s">
        <v>4650</v>
      </c>
      <c r="Q1124" s="0" t="n">
        <v>0</v>
      </c>
      <c r="S1124" s="0" t="n">
        <v>5</v>
      </c>
      <c r="T1124" s="21" t="s">
        <v>3744</v>
      </c>
      <c r="U1124" s="22" t="b">
        <f aca="false">TRUE()</f>
        <v>1</v>
      </c>
      <c r="V1124" s="0" t="n">
        <v>0.7</v>
      </c>
      <c r="W1124" s="0" t="n">
        <v>0.16</v>
      </c>
      <c r="X1124" s="0" t="n">
        <v>8.22</v>
      </c>
      <c r="Y1124" s="0" t="n">
        <v>551.28</v>
      </c>
      <c r="Z1124" s="0" t="n">
        <v>8.5</v>
      </c>
      <c r="AA1124" s="0" t="n">
        <v>5.01</v>
      </c>
      <c r="AB1124" s="0" t="n">
        <v>6.88</v>
      </c>
      <c r="AC1124" s="22" t="b">
        <f aca="false">FALSE()</f>
        <v>0</v>
      </c>
      <c r="AD1124" s="0" t="n">
        <v>12.76</v>
      </c>
      <c r="AE1124" s="0" t="n">
        <v>0.69</v>
      </c>
      <c r="AF1124" s="0" t="n">
        <v>0.01</v>
      </c>
      <c r="AG1124" s="22" t="b">
        <f aca="false">TRUE()</f>
        <v>1</v>
      </c>
      <c r="AH1124" s="0" t="n">
        <v>1</v>
      </c>
    </row>
    <row r="1125" customFormat="false" ht="15" hidden="false" customHeight="false" outlineLevel="0" collapsed="false">
      <c r="A1125" s="0" t="s">
        <v>1750</v>
      </c>
      <c r="B1125" s="0" t="s">
        <v>134</v>
      </c>
      <c r="C1125" s="0" t="s">
        <v>3447</v>
      </c>
      <c r="D1125" s="0" t="s">
        <v>3448</v>
      </c>
      <c r="E1125" s="19" t="s">
        <v>26</v>
      </c>
      <c r="F1125" s="19" t="s">
        <v>32</v>
      </c>
      <c r="G1125" s="21" t="s">
        <v>60</v>
      </c>
      <c r="H1125" s="21" t="s">
        <v>24</v>
      </c>
      <c r="I1125" s="21" t="s">
        <v>26</v>
      </c>
      <c r="J1125" s="21" t="s">
        <v>24</v>
      </c>
      <c r="K1125" s="21" t="s">
        <v>24</v>
      </c>
      <c r="L1125" s="21" t="s">
        <v>24</v>
      </c>
      <c r="M1125" s="0" t="n">
        <v>183</v>
      </c>
      <c r="N1125" s="0" t="n">
        <v>9</v>
      </c>
      <c r="O1125" s="21" t="s">
        <v>3960</v>
      </c>
      <c r="P1125" s="21" t="s">
        <v>4651</v>
      </c>
      <c r="Q1125" s="0" t="n">
        <v>0</v>
      </c>
      <c r="S1125" s="0" t="n">
        <v>9</v>
      </c>
      <c r="T1125" s="21" t="s">
        <v>3960</v>
      </c>
      <c r="U1125" s="22" t="b">
        <f aca="false">FALSE()</f>
        <v>0</v>
      </c>
      <c r="V1125" s="0" t="n">
        <v>0.74</v>
      </c>
      <c r="W1125" s="0" t="n">
        <v>0.48</v>
      </c>
      <c r="X1125" s="0" t="n">
        <v>9.4</v>
      </c>
      <c r="Y1125" s="0" t="n">
        <v>335.59</v>
      </c>
      <c r="Z1125" s="0" t="n">
        <v>9</v>
      </c>
      <c r="AA1125" s="0" t="n">
        <v>6.08</v>
      </c>
      <c r="AB1125" s="0" t="n">
        <v>5.56</v>
      </c>
      <c r="AC1125" s="22" t="b">
        <f aca="false">FALSE()</f>
        <v>0</v>
      </c>
      <c r="AD1125" s="0" t="n">
        <v>11.07</v>
      </c>
      <c r="AE1125" s="0" t="n">
        <v>1.72</v>
      </c>
      <c r="AF1125" s="0" t="n">
        <v>1.72</v>
      </c>
      <c r="AG1125" s="22" t="b">
        <f aca="false">TRUE()</f>
        <v>1</v>
      </c>
      <c r="AH1125" s="0" t="n">
        <v>1</v>
      </c>
    </row>
    <row r="1126" customFormat="false" ht="15" hidden="false" customHeight="false" outlineLevel="0" collapsed="false">
      <c r="A1126" s="0" t="s">
        <v>1761</v>
      </c>
      <c r="B1126" s="0" t="s">
        <v>134</v>
      </c>
      <c r="C1126" s="0" t="s">
        <v>3450</v>
      </c>
      <c r="D1126" s="0" t="s">
        <v>3457</v>
      </c>
      <c r="E1126" s="19" t="s">
        <v>26</v>
      </c>
      <c r="F1126" s="19" t="s">
        <v>32</v>
      </c>
      <c r="G1126" s="21" t="s">
        <v>1926</v>
      </c>
      <c r="H1126" s="21" t="s">
        <v>24</v>
      </c>
      <c r="I1126" s="21" t="s">
        <v>26</v>
      </c>
      <c r="J1126" s="21" t="s">
        <v>24</v>
      </c>
      <c r="K1126" s="21" t="s">
        <v>25</v>
      </c>
      <c r="L1126" s="21" t="s">
        <v>24</v>
      </c>
      <c r="M1126" s="0" t="n">
        <v>183</v>
      </c>
      <c r="N1126" s="0" t="n">
        <v>11</v>
      </c>
      <c r="O1126" s="21" t="s">
        <v>4034</v>
      </c>
      <c r="P1126" s="21" t="s">
        <v>4252</v>
      </c>
      <c r="Q1126" s="0" t="n">
        <v>1</v>
      </c>
      <c r="R1126" s="21" t="s">
        <v>69</v>
      </c>
      <c r="S1126" s="0" t="n">
        <v>11</v>
      </c>
      <c r="T1126" s="21" t="s">
        <v>4034</v>
      </c>
      <c r="U1126" s="22" t="b">
        <f aca="false">FALSE()</f>
        <v>0</v>
      </c>
      <c r="V1126" s="0" t="n">
        <v>0.6</v>
      </c>
      <c r="W1126" s="0" t="n">
        <v>0.52</v>
      </c>
      <c r="X1126" s="0" t="n">
        <v>13.03</v>
      </c>
      <c r="Y1126" s="0" t="n">
        <v>304.12</v>
      </c>
      <c r="Z1126" s="0" t="n">
        <v>11.58</v>
      </c>
      <c r="AA1126" s="0" t="n">
        <v>13.67</v>
      </c>
      <c r="AB1126" s="0" t="n">
        <v>7.83</v>
      </c>
      <c r="AC1126" s="22" t="b">
        <f aca="false">FALSE()</f>
        <v>0</v>
      </c>
      <c r="AD1126" s="0" t="n">
        <v>25.47</v>
      </c>
      <c r="AE1126" s="0" t="n">
        <v>11.55</v>
      </c>
      <c r="AF1126" s="0" t="n">
        <v>20.28</v>
      </c>
      <c r="AG1126" s="22" t="b">
        <f aca="false">TRUE()</f>
        <v>1</v>
      </c>
      <c r="AH1126" s="0" t="n">
        <v>1</v>
      </c>
    </row>
    <row r="1127" customFormat="false" ht="15" hidden="false" customHeight="false" outlineLevel="0" collapsed="false">
      <c r="A1127" s="0" t="s">
        <v>1761</v>
      </c>
      <c r="B1127" s="0" t="s">
        <v>134</v>
      </c>
      <c r="C1127" s="0" t="s">
        <v>3450</v>
      </c>
      <c r="D1127" s="0" t="s">
        <v>3448</v>
      </c>
      <c r="E1127" s="19" t="s">
        <v>26</v>
      </c>
      <c r="F1127" s="19" t="s">
        <v>32</v>
      </c>
      <c r="G1127" s="21" t="s">
        <v>1178</v>
      </c>
      <c r="H1127" s="21" t="s">
        <v>24</v>
      </c>
      <c r="I1127" s="21" t="s">
        <v>26</v>
      </c>
      <c r="J1127" s="21" t="s">
        <v>24</v>
      </c>
      <c r="K1127" s="21" t="s">
        <v>25</v>
      </c>
      <c r="L1127" s="21" t="s">
        <v>24</v>
      </c>
      <c r="M1127" s="0" t="n">
        <v>226</v>
      </c>
      <c r="N1127" s="0" t="n">
        <v>11</v>
      </c>
      <c r="O1127" s="21" t="s">
        <v>4034</v>
      </c>
      <c r="P1127" s="21" t="s">
        <v>4252</v>
      </c>
      <c r="Q1127" s="0" t="n">
        <v>1</v>
      </c>
      <c r="R1127" s="21" t="s">
        <v>69</v>
      </c>
      <c r="S1127" s="0" t="n">
        <v>11</v>
      </c>
      <c r="T1127" s="21" t="s">
        <v>4034</v>
      </c>
      <c r="U1127" s="22" t="b">
        <f aca="false">FALSE()</f>
        <v>0</v>
      </c>
      <c r="V1127" s="0" t="n">
        <v>0.59</v>
      </c>
      <c r="W1127" s="0" t="n">
        <v>0</v>
      </c>
      <c r="X1127" s="0" t="n">
        <v>12.66</v>
      </c>
      <c r="Y1127" s="0" t="n">
        <v>2.59</v>
      </c>
      <c r="Z1127" s="0" t="n">
        <v>10.67</v>
      </c>
      <c r="AA1127" s="0" t="n">
        <v>11.82</v>
      </c>
      <c r="AB1127" s="0" t="n">
        <v>1.28</v>
      </c>
      <c r="AC1127" s="22" t="b">
        <f aca="false">FALSE()</f>
        <v>0</v>
      </c>
      <c r="AD1127" s="0" t="n">
        <v>23.62</v>
      </c>
      <c r="AE1127" s="0" t="n">
        <v>8.81</v>
      </c>
      <c r="AF1127" s="0" t="n">
        <v>18.03</v>
      </c>
      <c r="AG1127" s="22" t="b">
        <f aca="false">TRUE()</f>
        <v>1</v>
      </c>
      <c r="AH1127" s="0" t="n">
        <v>0</v>
      </c>
    </row>
    <row r="1128" customFormat="false" ht="15" hidden="false" customHeight="false" outlineLevel="0" collapsed="false">
      <c r="A1128" s="0" t="s">
        <v>1761</v>
      </c>
      <c r="B1128" s="0" t="s">
        <v>134</v>
      </c>
      <c r="C1128" s="0" t="s">
        <v>3447</v>
      </c>
      <c r="D1128" s="0" t="s">
        <v>3457</v>
      </c>
      <c r="E1128" s="20" t="s">
        <v>25</v>
      </c>
      <c r="F1128" s="23" t="s">
        <v>30</v>
      </c>
      <c r="G1128" s="21" t="s">
        <v>992</v>
      </c>
      <c r="H1128" s="21" t="s">
        <v>24</v>
      </c>
      <c r="I1128" s="21" t="s">
        <v>24</v>
      </c>
      <c r="J1128" s="21" t="s">
        <v>24</v>
      </c>
      <c r="K1128" s="21" t="s">
        <v>25</v>
      </c>
      <c r="L1128" s="21" t="s">
        <v>24</v>
      </c>
      <c r="M1128" s="0" t="n">
        <v>184</v>
      </c>
      <c r="N1128" s="0" t="n">
        <v>3</v>
      </c>
      <c r="O1128" s="21" t="s">
        <v>3585</v>
      </c>
      <c r="P1128" s="21" t="s">
        <v>4652</v>
      </c>
      <c r="Q1128" s="0" t="n">
        <v>0</v>
      </c>
      <c r="S1128" s="0" t="n">
        <v>3</v>
      </c>
      <c r="T1128" s="21" t="s">
        <v>3585</v>
      </c>
      <c r="U1128" s="22" t="b">
        <f aca="false">TRUE()</f>
        <v>1</v>
      </c>
      <c r="V1128" s="0" t="n">
        <v>0.75</v>
      </c>
      <c r="W1128" s="0" t="n">
        <v>0</v>
      </c>
      <c r="X1128" s="0" t="n">
        <v>10.58</v>
      </c>
      <c r="Y1128" s="0" t="n">
        <v>1.9</v>
      </c>
      <c r="Z1128" s="0" t="n">
        <v>12</v>
      </c>
      <c r="AA1128" s="0" t="n">
        <v>2.31</v>
      </c>
      <c r="AB1128" s="0" t="n">
        <v>7.83</v>
      </c>
      <c r="AC1128" s="22" t="b">
        <f aca="false">FALSE()</f>
        <v>0</v>
      </c>
      <c r="AD1128" s="0" t="n">
        <v>25.57</v>
      </c>
      <c r="AE1128" s="0" t="n">
        <v>12.9</v>
      </c>
      <c r="AF1128" s="0" t="n">
        <v>21.63</v>
      </c>
      <c r="AG1128" s="22" t="b">
        <f aca="false">TRUE()</f>
        <v>1</v>
      </c>
      <c r="AH1128" s="0" t="n">
        <v>0</v>
      </c>
    </row>
    <row r="1129" customFormat="false" ht="15" hidden="false" customHeight="false" outlineLevel="0" collapsed="false">
      <c r="A1129" s="0" t="s">
        <v>1761</v>
      </c>
      <c r="B1129" s="0" t="s">
        <v>134</v>
      </c>
      <c r="C1129" s="0" t="s">
        <v>3447</v>
      </c>
      <c r="D1129" s="0" t="s">
        <v>3448</v>
      </c>
      <c r="E1129" s="20" t="s">
        <v>25</v>
      </c>
      <c r="F1129" s="20" t="s">
        <v>29</v>
      </c>
      <c r="G1129" s="21" t="s">
        <v>3470</v>
      </c>
      <c r="H1129" s="21" t="s">
        <v>24</v>
      </c>
      <c r="I1129" s="21" t="s">
        <v>24</v>
      </c>
      <c r="J1129" s="21" t="s">
        <v>24</v>
      </c>
      <c r="K1129" s="21" t="s">
        <v>25</v>
      </c>
      <c r="L1129" s="21" t="s">
        <v>24</v>
      </c>
      <c r="M1129" s="0" t="n">
        <v>192</v>
      </c>
      <c r="N1129" s="0" t="n">
        <v>0</v>
      </c>
      <c r="Q1129" s="0" t="n">
        <v>0</v>
      </c>
      <c r="S1129" s="0" t="n">
        <v>0</v>
      </c>
      <c r="U1129" s="22" t="b">
        <f aca="false">FALSE()</f>
        <v>0</v>
      </c>
      <c r="V1129" s="0" t="n">
        <v>0.79</v>
      </c>
      <c r="W1129" s="0" t="n">
        <v>0.64</v>
      </c>
      <c r="X1129" s="0" t="n">
        <v>13.58</v>
      </c>
      <c r="Y1129" s="0" t="n">
        <v>330.19</v>
      </c>
      <c r="Z1129" s="0" t="n">
        <v>9.33</v>
      </c>
      <c r="AA1129" s="0" t="n">
        <v>-1.25</v>
      </c>
      <c r="AB1129" s="0" t="n">
        <v>1.28</v>
      </c>
      <c r="AC1129" s="22" t="b">
        <f aca="false">FALSE()</f>
        <v>0</v>
      </c>
      <c r="AD1129" s="0" t="n">
        <v>20.01</v>
      </c>
      <c r="AE1129" s="0" t="n">
        <v>6.76</v>
      </c>
      <c r="AF1129" s="0" t="n">
        <v>17.05</v>
      </c>
      <c r="AG1129" s="22" t="b">
        <f aca="false">TRUE()</f>
        <v>1</v>
      </c>
      <c r="AH1129" s="0" t="n">
        <v>1</v>
      </c>
    </row>
    <row r="1130" customFormat="false" ht="15" hidden="false" customHeight="false" outlineLevel="0" collapsed="false">
      <c r="A1130" s="0" t="s">
        <v>1761</v>
      </c>
      <c r="B1130" s="0" t="s">
        <v>3459</v>
      </c>
      <c r="C1130" s="0" t="s">
        <v>3450</v>
      </c>
      <c r="D1130" s="0" t="s">
        <v>3457</v>
      </c>
      <c r="E1130" s="19" t="s">
        <v>26</v>
      </c>
      <c r="F1130" s="19" t="s">
        <v>32</v>
      </c>
      <c r="G1130" s="21" t="s">
        <v>529</v>
      </c>
      <c r="H1130" s="21" t="s">
        <v>24</v>
      </c>
      <c r="I1130" s="21" t="s">
        <v>26</v>
      </c>
      <c r="J1130" s="21" t="s">
        <v>24</v>
      </c>
      <c r="K1130" s="21" t="s">
        <v>24</v>
      </c>
      <c r="L1130" s="21" t="s">
        <v>24</v>
      </c>
      <c r="M1130" s="0" t="n">
        <v>182</v>
      </c>
      <c r="N1130" s="0" t="n">
        <v>7</v>
      </c>
      <c r="O1130" s="21" t="s">
        <v>4035</v>
      </c>
      <c r="P1130" s="21" t="s">
        <v>4495</v>
      </c>
      <c r="Q1130" s="0" t="n">
        <v>1</v>
      </c>
      <c r="R1130" s="21" t="s">
        <v>69</v>
      </c>
      <c r="S1130" s="0" t="n">
        <v>7</v>
      </c>
      <c r="T1130" s="21" t="s">
        <v>4035</v>
      </c>
      <c r="U1130" s="22" t="b">
        <f aca="false">FALSE()</f>
        <v>0</v>
      </c>
      <c r="V1130" s="0" t="n">
        <v>0.64</v>
      </c>
      <c r="W1130" s="0" t="n">
        <v>0.56</v>
      </c>
      <c r="X1130" s="0" t="n">
        <v>15.59</v>
      </c>
      <c r="Y1130" s="0" t="n">
        <v>230.02</v>
      </c>
      <c r="Z1130" s="0" t="n">
        <v>10.67</v>
      </c>
      <c r="AA1130" s="0" t="n">
        <v>14.33</v>
      </c>
      <c r="AB1130" s="0" t="n">
        <v>7.69</v>
      </c>
      <c r="AC1130" s="22" t="b">
        <f aca="false">FALSE()</f>
        <v>0</v>
      </c>
      <c r="AD1130" s="0" t="n">
        <v>19.33</v>
      </c>
      <c r="AE1130" s="0" t="n">
        <v>9.3</v>
      </c>
      <c r="AF1130" s="0" t="n">
        <v>17.4</v>
      </c>
      <c r="AG1130" s="22" t="b">
        <f aca="false">TRUE()</f>
        <v>1</v>
      </c>
      <c r="AH1130" s="0" t="n">
        <v>1</v>
      </c>
    </row>
    <row r="1131" customFormat="false" ht="15" hidden="false" customHeight="false" outlineLevel="0" collapsed="false">
      <c r="A1131" s="0" t="s">
        <v>1761</v>
      </c>
      <c r="B1131" s="0" t="s">
        <v>3459</v>
      </c>
      <c r="C1131" s="0" t="s">
        <v>3450</v>
      </c>
      <c r="D1131" s="0" t="s">
        <v>3448</v>
      </c>
      <c r="E1131" s="20" t="s">
        <v>25</v>
      </c>
      <c r="F1131" s="23" t="s">
        <v>30</v>
      </c>
      <c r="G1131" s="21" t="s">
        <v>183</v>
      </c>
      <c r="H1131" s="21" t="s">
        <v>24</v>
      </c>
      <c r="I1131" s="21" t="s">
        <v>25</v>
      </c>
      <c r="J1131" s="21" t="s">
        <v>24</v>
      </c>
      <c r="K1131" s="21" t="s">
        <v>25</v>
      </c>
      <c r="L1131" s="21" t="s">
        <v>24</v>
      </c>
      <c r="M1131" s="0" t="n">
        <v>183</v>
      </c>
      <c r="N1131" s="0" t="n">
        <v>3</v>
      </c>
      <c r="O1131" s="21" t="s">
        <v>3649</v>
      </c>
      <c r="P1131" s="21" t="s">
        <v>4242</v>
      </c>
      <c r="Q1131" s="0" t="n">
        <v>1</v>
      </c>
      <c r="R1131" s="21" t="s">
        <v>69</v>
      </c>
      <c r="S1131" s="0" t="n">
        <v>3</v>
      </c>
      <c r="T1131" s="21" t="s">
        <v>3649</v>
      </c>
      <c r="U1131" s="22" t="b">
        <f aca="false">TRUE()</f>
        <v>1</v>
      </c>
      <c r="V1131" s="0" t="n">
        <v>0.68</v>
      </c>
      <c r="W1131" s="0" t="n">
        <v>0.76</v>
      </c>
      <c r="X1131" s="0" t="n">
        <v>14.09</v>
      </c>
      <c r="Y1131" s="0" t="n">
        <v>318.1</v>
      </c>
      <c r="Z1131" s="0" t="n">
        <v>10</v>
      </c>
      <c r="AA1131" s="0" t="n">
        <v>11.06</v>
      </c>
      <c r="AB1131" s="0" t="n">
        <v>2.37</v>
      </c>
      <c r="AC1131" s="22" t="b">
        <f aca="false">FALSE()</f>
        <v>0</v>
      </c>
      <c r="AD1131" s="0" t="n">
        <v>21.91</v>
      </c>
      <c r="AE1131" s="0" t="n">
        <v>12.33</v>
      </c>
      <c r="AF1131" s="0" t="n">
        <v>21.39</v>
      </c>
      <c r="AG1131" s="22" t="b">
        <f aca="false">TRUE()</f>
        <v>1</v>
      </c>
      <c r="AH1131" s="0" t="n">
        <v>1</v>
      </c>
    </row>
    <row r="1132" customFormat="false" ht="15" hidden="false" customHeight="false" outlineLevel="0" collapsed="false">
      <c r="A1132" s="0" t="s">
        <v>1761</v>
      </c>
      <c r="B1132" s="0" t="s">
        <v>3459</v>
      </c>
      <c r="C1132" s="0" t="s">
        <v>3447</v>
      </c>
      <c r="D1132" s="0" t="s">
        <v>3457</v>
      </c>
      <c r="E1132" s="18" t="s">
        <v>24</v>
      </c>
      <c r="F1132" s="23" t="s">
        <v>30</v>
      </c>
      <c r="G1132" s="21" t="s">
        <v>30</v>
      </c>
      <c r="H1132" s="21" t="s">
        <v>24</v>
      </c>
      <c r="I1132" s="21" t="s">
        <v>24</v>
      </c>
      <c r="J1132" s="21" t="s">
        <v>24</v>
      </c>
      <c r="K1132" s="21" t="s">
        <v>24</v>
      </c>
      <c r="L1132" s="21" t="s">
        <v>24</v>
      </c>
      <c r="M1132" s="0" t="n">
        <v>183</v>
      </c>
      <c r="N1132" s="0" t="n">
        <v>4</v>
      </c>
      <c r="O1132" s="21" t="s">
        <v>3618</v>
      </c>
      <c r="P1132" s="21" t="s">
        <v>4574</v>
      </c>
      <c r="Q1132" s="0" t="n">
        <v>0</v>
      </c>
      <c r="S1132" s="0" t="n">
        <v>4</v>
      </c>
      <c r="T1132" s="21" t="s">
        <v>3618</v>
      </c>
      <c r="U1132" s="22" t="b">
        <f aca="false">TRUE()</f>
        <v>1</v>
      </c>
      <c r="V1132" s="0" t="n">
        <v>0.72</v>
      </c>
      <c r="W1132" s="0" t="n">
        <v>0.68</v>
      </c>
      <c r="X1132" s="0" t="n">
        <v>11.95</v>
      </c>
      <c r="Y1132" s="0" t="n">
        <v>293.81</v>
      </c>
      <c r="Z1132" s="0" t="n">
        <v>10.67</v>
      </c>
      <c r="AA1132" s="0" t="n">
        <v>4.95</v>
      </c>
      <c r="AB1132" s="0" t="n">
        <v>7.69</v>
      </c>
      <c r="AC1132" s="22" t="b">
        <f aca="false">FALSE()</f>
        <v>0</v>
      </c>
      <c r="AD1132" s="0" t="n">
        <v>18.46</v>
      </c>
      <c r="AE1132" s="0" t="n">
        <v>8.73</v>
      </c>
      <c r="AF1132" s="0" t="n">
        <v>18.16</v>
      </c>
      <c r="AG1132" s="22" t="b">
        <f aca="false">TRUE()</f>
        <v>1</v>
      </c>
      <c r="AH1132" s="0" t="n">
        <v>1</v>
      </c>
    </row>
    <row r="1133" customFormat="false" ht="15" hidden="false" customHeight="false" outlineLevel="0" collapsed="false">
      <c r="A1133" s="0" t="s">
        <v>1761</v>
      </c>
      <c r="B1133" s="0" t="s">
        <v>3459</v>
      </c>
      <c r="C1133" s="0" t="s">
        <v>3447</v>
      </c>
      <c r="D1133" s="0" t="s">
        <v>3448</v>
      </c>
      <c r="E1133" s="20" t="s">
        <v>25</v>
      </c>
      <c r="F1133" s="23" t="s">
        <v>30</v>
      </c>
      <c r="G1133" s="21" t="s">
        <v>992</v>
      </c>
      <c r="H1133" s="21" t="s">
        <v>24</v>
      </c>
      <c r="I1133" s="21" t="s">
        <v>24</v>
      </c>
      <c r="J1133" s="21" t="s">
        <v>24</v>
      </c>
      <c r="K1133" s="21" t="s">
        <v>25</v>
      </c>
      <c r="L1133" s="21" t="s">
        <v>24</v>
      </c>
      <c r="M1133" s="0" t="n">
        <v>183</v>
      </c>
      <c r="N1133" s="0" t="n">
        <v>4</v>
      </c>
      <c r="O1133" s="21" t="s">
        <v>3624</v>
      </c>
      <c r="P1133" s="21" t="s">
        <v>4562</v>
      </c>
      <c r="Q1133" s="0" t="n">
        <v>0</v>
      </c>
      <c r="S1133" s="0" t="n">
        <v>4</v>
      </c>
      <c r="T1133" s="21" t="s">
        <v>3624</v>
      </c>
      <c r="U1133" s="22" t="b">
        <f aca="false">TRUE()</f>
        <v>1</v>
      </c>
      <c r="V1133" s="0" t="n">
        <v>0.72</v>
      </c>
      <c r="W1133" s="0" t="n">
        <v>0.88</v>
      </c>
      <c r="X1133" s="0" t="n">
        <v>13.79</v>
      </c>
      <c r="Y1133" s="0" t="n">
        <v>315.61</v>
      </c>
      <c r="Z1133" s="0" t="n">
        <v>10.33</v>
      </c>
      <c r="AA1133" s="0" t="n">
        <v>9.8</v>
      </c>
      <c r="AB1133" s="0" t="n">
        <v>2.37</v>
      </c>
      <c r="AC1133" s="22" t="b">
        <f aca="false">FALSE()</f>
        <v>0</v>
      </c>
      <c r="AD1133" s="0" t="n">
        <v>23.37</v>
      </c>
      <c r="AE1133" s="0" t="n">
        <v>9.43</v>
      </c>
      <c r="AF1133" s="0" t="n">
        <v>20.4</v>
      </c>
      <c r="AG1133" s="22" t="b">
        <f aca="false">TRUE()</f>
        <v>1</v>
      </c>
      <c r="AH1133" s="0" t="n">
        <v>1</v>
      </c>
    </row>
    <row r="1134" customFormat="false" ht="15" hidden="false" customHeight="false" outlineLevel="0" collapsed="false">
      <c r="A1134" s="0" t="s">
        <v>1775</v>
      </c>
      <c r="B1134" s="0" t="s">
        <v>134</v>
      </c>
      <c r="C1134" s="0" t="s">
        <v>3450</v>
      </c>
      <c r="D1134" s="0" t="s">
        <v>3457</v>
      </c>
      <c r="E1134" s="20" t="s">
        <v>25</v>
      </c>
      <c r="F1134" s="20" t="s">
        <v>29</v>
      </c>
      <c r="G1134" s="21" t="s">
        <v>3470</v>
      </c>
      <c r="H1134" s="21" t="s">
        <v>24</v>
      </c>
      <c r="I1134" s="21" t="s">
        <v>24</v>
      </c>
      <c r="J1134" s="21" t="s">
        <v>24</v>
      </c>
      <c r="K1134" s="21" t="s">
        <v>25</v>
      </c>
      <c r="L1134" s="21" t="s">
        <v>24</v>
      </c>
      <c r="M1134" s="0" t="n">
        <v>185</v>
      </c>
      <c r="N1134" s="0" t="n">
        <v>0</v>
      </c>
      <c r="Q1134" s="0" t="n">
        <v>0</v>
      </c>
      <c r="S1134" s="0" t="n">
        <v>0</v>
      </c>
      <c r="U1134" s="22" t="b">
        <f aca="false">FALSE()</f>
        <v>0</v>
      </c>
      <c r="V1134" s="0" t="n">
        <v>0.76</v>
      </c>
      <c r="W1134" s="0" t="n">
        <v>0.12</v>
      </c>
      <c r="X1134" s="0" t="n">
        <v>6.45</v>
      </c>
      <c r="Y1134" s="0" t="n">
        <v>633.25</v>
      </c>
      <c r="Z1134" s="0" t="n">
        <v>11.17</v>
      </c>
      <c r="AA1134" s="0" t="n">
        <v>4.24</v>
      </c>
      <c r="AB1134" s="0" t="n">
        <v>1.08</v>
      </c>
      <c r="AC1134" s="22" t="b">
        <f aca="false">FALSE()</f>
        <v>0</v>
      </c>
      <c r="AD1134" s="0" t="n">
        <v>24.78</v>
      </c>
      <c r="AE1134" s="0" t="n">
        <v>0.96</v>
      </c>
      <c r="AF1134" s="0" t="n">
        <v>26.86</v>
      </c>
      <c r="AG1134" s="22" t="b">
        <f aca="false">TRUE()</f>
        <v>1</v>
      </c>
      <c r="AH1134" s="0" t="n">
        <v>1</v>
      </c>
    </row>
    <row r="1135" customFormat="false" ht="15" hidden="false" customHeight="false" outlineLevel="0" collapsed="false">
      <c r="A1135" s="0" t="s">
        <v>1775</v>
      </c>
      <c r="B1135" s="0" t="s">
        <v>134</v>
      </c>
      <c r="C1135" s="0" t="s">
        <v>3450</v>
      </c>
      <c r="D1135" s="0" t="s">
        <v>3448</v>
      </c>
      <c r="E1135" s="20" t="s">
        <v>25</v>
      </c>
      <c r="F1135" s="20" t="s">
        <v>29</v>
      </c>
      <c r="G1135" s="21" t="s">
        <v>61</v>
      </c>
      <c r="H1135" s="21" t="s">
        <v>24</v>
      </c>
      <c r="I1135" s="21" t="s">
        <v>24</v>
      </c>
      <c r="J1135" s="21" t="s">
        <v>24</v>
      </c>
      <c r="K1135" s="21" t="s">
        <v>25</v>
      </c>
      <c r="L1135" s="21" t="s">
        <v>24</v>
      </c>
      <c r="M1135" s="0" t="n">
        <v>187</v>
      </c>
      <c r="N1135" s="0" t="n">
        <v>0</v>
      </c>
      <c r="Q1135" s="0" t="n">
        <v>0</v>
      </c>
      <c r="S1135" s="0" t="n">
        <v>0</v>
      </c>
      <c r="U1135" s="22" t="b">
        <f aca="false">FALSE()</f>
        <v>0</v>
      </c>
      <c r="V1135" s="0" t="n">
        <v>0.63</v>
      </c>
      <c r="W1135" s="0" t="n">
        <v>0.12</v>
      </c>
      <c r="X1135" s="0" t="n">
        <v>9.46</v>
      </c>
      <c r="Y1135" s="0" t="n">
        <v>640.4</v>
      </c>
      <c r="Z1135" s="0" t="n">
        <v>11</v>
      </c>
      <c r="AA1135" s="0" t="n">
        <v>10.66</v>
      </c>
      <c r="AB1135" s="0" t="n">
        <v>4.18</v>
      </c>
      <c r="AC1135" s="22" t="b">
        <f aca="false">FALSE()</f>
        <v>0</v>
      </c>
      <c r="AD1135" s="0" t="n">
        <v>28.05</v>
      </c>
      <c r="AE1135" s="0" t="n">
        <v>0.52</v>
      </c>
      <c r="AF1135" s="0" t="n">
        <v>27.12</v>
      </c>
      <c r="AG1135" s="22" t="b">
        <f aca="false">TRUE()</f>
        <v>1</v>
      </c>
      <c r="AH1135" s="0" t="n">
        <v>1</v>
      </c>
    </row>
    <row r="1136" customFormat="false" ht="15" hidden="false" customHeight="false" outlineLevel="0" collapsed="false">
      <c r="A1136" s="0" t="s">
        <v>1775</v>
      </c>
      <c r="B1136" s="0" t="s">
        <v>134</v>
      </c>
      <c r="C1136" s="0" t="s">
        <v>3447</v>
      </c>
      <c r="D1136" s="0" t="s">
        <v>3457</v>
      </c>
      <c r="E1136" s="20" t="s">
        <v>25</v>
      </c>
      <c r="F1136" s="20" t="s">
        <v>29</v>
      </c>
      <c r="G1136" s="21" t="s">
        <v>3470</v>
      </c>
      <c r="H1136" s="21" t="s">
        <v>24</v>
      </c>
      <c r="I1136" s="21" t="s">
        <v>24</v>
      </c>
      <c r="J1136" s="21" t="s">
        <v>24</v>
      </c>
      <c r="K1136" s="21" t="s">
        <v>25</v>
      </c>
      <c r="L1136" s="21" t="s">
        <v>24</v>
      </c>
      <c r="M1136" s="0" t="n">
        <v>188</v>
      </c>
      <c r="N1136" s="0" t="n">
        <v>0</v>
      </c>
      <c r="Q1136" s="0" t="n">
        <v>0</v>
      </c>
      <c r="S1136" s="0" t="n">
        <v>0</v>
      </c>
      <c r="U1136" s="22" t="b">
        <f aca="false">FALSE()</f>
        <v>0</v>
      </c>
      <c r="V1136" s="0" t="n">
        <v>0.72</v>
      </c>
      <c r="W1136" s="0" t="n">
        <v>0.4</v>
      </c>
      <c r="X1136" s="0" t="n">
        <v>7.57</v>
      </c>
      <c r="Y1136" s="0" t="n">
        <v>367.73</v>
      </c>
      <c r="Z1136" s="0" t="n">
        <v>8</v>
      </c>
      <c r="AA1136" s="0" t="n">
        <v>-0.77</v>
      </c>
      <c r="AB1136" s="0" t="n">
        <v>1.08</v>
      </c>
      <c r="AC1136" s="22" t="b">
        <f aca="false">FALSE()</f>
        <v>0</v>
      </c>
      <c r="AD1136" s="0" t="n">
        <v>22.77</v>
      </c>
      <c r="AE1136" s="0" t="n">
        <v>0.93</v>
      </c>
      <c r="AF1136" s="0" t="n">
        <v>24.49</v>
      </c>
      <c r="AG1136" s="22" t="b">
        <f aca="false">TRUE()</f>
        <v>1</v>
      </c>
      <c r="AH1136" s="0" t="n">
        <v>1</v>
      </c>
    </row>
    <row r="1137" customFormat="false" ht="15" hidden="false" customHeight="false" outlineLevel="0" collapsed="false">
      <c r="A1137" s="0" t="s">
        <v>1775</v>
      </c>
      <c r="B1137" s="0" t="s">
        <v>134</v>
      </c>
      <c r="C1137" s="0" t="s">
        <v>3447</v>
      </c>
      <c r="D1137" s="0" t="s">
        <v>3448</v>
      </c>
      <c r="E1137" s="20" t="s">
        <v>25</v>
      </c>
      <c r="F1137" s="23" t="s">
        <v>30</v>
      </c>
      <c r="G1137" s="21" t="s">
        <v>992</v>
      </c>
      <c r="H1137" s="21" t="s">
        <v>24</v>
      </c>
      <c r="I1137" s="21" t="s">
        <v>24</v>
      </c>
      <c r="J1137" s="21" t="s">
        <v>24</v>
      </c>
      <c r="K1137" s="21" t="s">
        <v>25</v>
      </c>
      <c r="L1137" s="21" t="s">
        <v>24</v>
      </c>
      <c r="M1137" s="0" t="n">
        <v>185</v>
      </c>
      <c r="N1137" s="0" t="n">
        <v>3</v>
      </c>
      <c r="O1137" s="21" t="s">
        <v>3570</v>
      </c>
      <c r="P1137" s="21" t="s">
        <v>4653</v>
      </c>
      <c r="Q1137" s="0" t="n">
        <v>0</v>
      </c>
      <c r="S1137" s="0" t="n">
        <v>3</v>
      </c>
      <c r="T1137" s="21" t="s">
        <v>3570</v>
      </c>
      <c r="U1137" s="22" t="b">
        <f aca="false">TRUE()</f>
        <v>1</v>
      </c>
      <c r="V1137" s="0" t="n">
        <v>0.75</v>
      </c>
      <c r="W1137" s="0" t="n">
        <v>0.76</v>
      </c>
      <c r="X1137" s="0" t="n">
        <v>10.29</v>
      </c>
      <c r="Y1137" s="0" t="n">
        <v>323.74</v>
      </c>
      <c r="Z1137" s="0" t="n">
        <v>10.33</v>
      </c>
      <c r="AA1137" s="0" t="n">
        <v>-1.46</v>
      </c>
      <c r="AB1137" s="0" t="n">
        <v>4.18</v>
      </c>
      <c r="AC1137" s="22" t="b">
        <f aca="false">FALSE()</f>
        <v>0</v>
      </c>
      <c r="AD1137" s="0" t="n">
        <v>28.67</v>
      </c>
      <c r="AE1137" s="0" t="n">
        <v>0.77</v>
      </c>
      <c r="AF1137" s="0" t="n">
        <v>27.5</v>
      </c>
      <c r="AG1137" s="22" t="b">
        <f aca="false">TRUE()</f>
        <v>1</v>
      </c>
      <c r="AH1137" s="0" t="n">
        <v>1</v>
      </c>
    </row>
    <row r="1138" customFormat="false" ht="15" hidden="false" customHeight="false" outlineLevel="0" collapsed="false">
      <c r="A1138" s="0" t="s">
        <v>1781</v>
      </c>
      <c r="B1138" s="0" t="s">
        <v>134</v>
      </c>
      <c r="C1138" s="0" t="s">
        <v>3450</v>
      </c>
      <c r="D1138" s="0" t="s">
        <v>3457</v>
      </c>
      <c r="E1138" s="20" t="s">
        <v>25</v>
      </c>
      <c r="F1138" s="20" t="s">
        <v>29</v>
      </c>
      <c r="G1138" s="21" t="s">
        <v>3466</v>
      </c>
      <c r="H1138" s="21" t="s">
        <v>24</v>
      </c>
      <c r="I1138" s="21" t="s">
        <v>24</v>
      </c>
      <c r="J1138" s="21" t="s">
        <v>24</v>
      </c>
      <c r="K1138" s="21" t="s">
        <v>25</v>
      </c>
      <c r="L1138" s="21" t="s">
        <v>24</v>
      </c>
      <c r="M1138" s="0" t="n">
        <v>194</v>
      </c>
      <c r="N1138" s="0" t="n">
        <v>0</v>
      </c>
      <c r="Q1138" s="0" t="n">
        <v>0</v>
      </c>
      <c r="S1138" s="0" t="n">
        <v>0</v>
      </c>
      <c r="U1138" s="22" t="b">
        <f aca="false">FALSE()</f>
        <v>0</v>
      </c>
      <c r="V1138" s="0" t="n">
        <v>0.8</v>
      </c>
      <c r="W1138" s="0" t="n">
        <v>0.52</v>
      </c>
      <c r="X1138" s="0" t="n">
        <v>7.83</v>
      </c>
      <c r="Y1138" s="0" t="n">
        <v>340.19</v>
      </c>
      <c r="Z1138" s="0" t="n">
        <v>8</v>
      </c>
      <c r="AA1138" s="0" t="n">
        <v>-1.01</v>
      </c>
      <c r="AB1138" s="0" t="n">
        <v>0.87</v>
      </c>
      <c r="AC1138" s="22" t="b">
        <f aca="false">TRUE()</f>
        <v>1</v>
      </c>
      <c r="AD1138" s="0" t="n">
        <v>9.26</v>
      </c>
      <c r="AE1138" s="0" t="n">
        <v>0.47</v>
      </c>
      <c r="AF1138" s="0" t="n">
        <v>4.75</v>
      </c>
      <c r="AG1138" s="22" t="b">
        <f aca="false">FALSE()</f>
        <v>0</v>
      </c>
      <c r="AH1138" s="0" t="n">
        <v>1</v>
      </c>
    </row>
    <row r="1139" customFormat="false" ht="15" hidden="false" customHeight="false" outlineLevel="0" collapsed="false">
      <c r="A1139" s="0" t="s">
        <v>1781</v>
      </c>
      <c r="B1139" s="0" t="s">
        <v>134</v>
      </c>
      <c r="C1139" s="0" t="s">
        <v>3450</v>
      </c>
      <c r="D1139" s="0" t="s">
        <v>3448</v>
      </c>
      <c r="E1139" s="20" t="s">
        <v>25</v>
      </c>
      <c r="F1139" s="20" t="s">
        <v>29</v>
      </c>
      <c r="G1139" s="21" t="s">
        <v>62</v>
      </c>
      <c r="H1139" s="21" t="s">
        <v>24</v>
      </c>
      <c r="I1139" s="21" t="s">
        <v>24</v>
      </c>
      <c r="J1139" s="21" t="s">
        <v>24</v>
      </c>
      <c r="K1139" s="21" t="s">
        <v>25</v>
      </c>
      <c r="L1139" s="21" t="s">
        <v>24</v>
      </c>
      <c r="M1139" s="0" t="n">
        <v>186</v>
      </c>
      <c r="N1139" s="0" t="n">
        <v>0</v>
      </c>
      <c r="Q1139" s="0" t="n">
        <v>0</v>
      </c>
      <c r="S1139" s="0" t="n">
        <v>0</v>
      </c>
      <c r="U1139" s="22" t="b">
        <f aca="false">FALSE()</f>
        <v>0</v>
      </c>
      <c r="V1139" s="0" t="n">
        <v>0.79</v>
      </c>
      <c r="W1139" s="0" t="n">
        <v>0.64</v>
      </c>
      <c r="X1139" s="0" t="n">
        <v>7.38</v>
      </c>
      <c r="Y1139" s="0" t="n">
        <v>325.74</v>
      </c>
      <c r="Z1139" s="0" t="n">
        <v>8.25</v>
      </c>
      <c r="AA1139" s="0" t="n">
        <v>-0.97</v>
      </c>
      <c r="AB1139" s="0" t="n">
        <v>5.51</v>
      </c>
      <c r="AC1139" s="22" t="b">
        <f aca="false">FALSE()</f>
        <v>0</v>
      </c>
      <c r="AD1139" s="0" t="n">
        <v>1.72</v>
      </c>
      <c r="AE1139" s="0" t="n">
        <v>1.11</v>
      </c>
      <c r="AF1139" s="0" t="n">
        <v>2.1</v>
      </c>
      <c r="AG1139" s="22" t="b">
        <f aca="false">FALSE()</f>
        <v>0</v>
      </c>
      <c r="AH1139" s="0" t="n">
        <v>1</v>
      </c>
    </row>
    <row r="1140" customFormat="false" ht="15" hidden="false" customHeight="false" outlineLevel="0" collapsed="false">
      <c r="A1140" s="0" t="s">
        <v>1781</v>
      </c>
      <c r="B1140" s="0" t="s">
        <v>134</v>
      </c>
      <c r="C1140" s="0" t="s">
        <v>3447</v>
      </c>
      <c r="D1140" s="0" t="s">
        <v>3457</v>
      </c>
      <c r="E1140" s="19" t="s">
        <v>26</v>
      </c>
      <c r="F1140" s="19" t="s">
        <v>32</v>
      </c>
      <c r="G1140" s="21" t="s">
        <v>1451</v>
      </c>
      <c r="H1140" s="21" t="s">
        <v>24</v>
      </c>
      <c r="I1140" s="21" t="s">
        <v>26</v>
      </c>
      <c r="J1140" s="21" t="s">
        <v>24</v>
      </c>
      <c r="K1140" s="21" t="s">
        <v>25</v>
      </c>
      <c r="L1140" s="21" t="s">
        <v>24</v>
      </c>
      <c r="M1140" s="0" t="n">
        <v>184</v>
      </c>
      <c r="N1140" s="0" t="n">
        <v>10</v>
      </c>
      <c r="O1140" s="21" t="s">
        <v>4060</v>
      </c>
      <c r="P1140" s="21" t="s">
        <v>4282</v>
      </c>
      <c r="Q1140" s="0" t="n">
        <v>1</v>
      </c>
      <c r="R1140" s="21" t="s">
        <v>69</v>
      </c>
      <c r="S1140" s="0" t="n">
        <v>10</v>
      </c>
      <c r="T1140" s="21" t="s">
        <v>4060</v>
      </c>
      <c r="U1140" s="22" t="b">
        <f aca="false">FALSE()</f>
        <v>0</v>
      </c>
      <c r="V1140" s="0" t="n">
        <v>0.74</v>
      </c>
      <c r="W1140" s="0" t="n">
        <v>0.6</v>
      </c>
      <c r="X1140" s="0" t="n">
        <v>8.08</v>
      </c>
      <c r="Y1140" s="0" t="n">
        <v>318.55</v>
      </c>
      <c r="Z1140" s="0" t="n">
        <v>9.42</v>
      </c>
      <c r="AA1140" s="0" t="n">
        <v>-1.23</v>
      </c>
      <c r="AB1140" s="0" t="n">
        <v>0.87</v>
      </c>
      <c r="AC1140" s="22" t="b">
        <f aca="false">FALSE()</f>
        <v>0</v>
      </c>
      <c r="AD1140" s="0" t="n">
        <v>9.39</v>
      </c>
      <c r="AE1140" s="0" t="n">
        <v>1.18</v>
      </c>
      <c r="AF1140" s="0" t="n">
        <v>4.88</v>
      </c>
      <c r="AG1140" s="22" t="b">
        <f aca="false">FALSE()</f>
        <v>0</v>
      </c>
      <c r="AH1140" s="0" t="n">
        <v>1</v>
      </c>
    </row>
    <row r="1141" customFormat="false" ht="15" hidden="false" customHeight="false" outlineLevel="0" collapsed="false">
      <c r="A1141" s="0" t="s">
        <v>1781</v>
      </c>
      <c r="B1141" s="0" t="s">
        <v>134</v>
      </c>
      <c r="C1141" s="0" t="s">
        <v>3447</v>
      </c>
      <c r="D1141" s="0" t="s">
        <v>3448</v>
      </c>
      <c r="E1141" s="18" t="s">
        <v>24</v>
      </c>
      <c r="F1141" s="23" t="s">
        <v>30</v>
      </c>
      <c r="G1141" s="21" t="s">
        <v>30</v>
      </c>
      <c r="H1141" s="21" t="s">
        <v>24</v>
      </c>
      <c r="I1141" s="21" t="s">
        <v>24</v>
      </c>
      <c r="J1141" s="21" t="s">
        <v>24</v>
      </c>
      <c r="K1141" s="21" t="s">
        <v>24</v>
      </c>
      <c r="L1141" s="21" t="s">
        <v>24</v>
      </c>
      <c r="M1141" s="0" t="n">
        <v>195</v>
      </c>
      <c r="N1141" s="0" t="n">
        <v>6</v>
      </c>
      <c r="O1141" s="21" t="s">
        <v>3774</v>
      </c>
      <c r="P1141" s="21" t="s">
        <v>4654</v>
      </c>
      <c r="Q1141" s="0" t="n">
        <v>0</v>
      </c>
      <c r="S1141" s="0" t="n">
        <v>6</v>
      </c>
      <c r="T1141" s="21" t="s">
        <v>3774</v>
      </c>
      <c r="U1141" s="22" t="b">
        <f aca="false">TRUE()</f>
        <v>1</v>
      </c>
      <c r="V1141" s="0" t="n">
        <v>0.73</v>
      </c>
      <c r="W1141" s="0" t="n">
        <v>0.36</v>
      </c>
      <c r="X1141" s="0" t="n">
        <v>8.91</v>
      </c>
      <c r="Y1141" s="0" t="n">
        <v>400</v>
      </c>
      <c r="Z1141" s="0" t="n">
        <v>10.5</v>
      </c>
      <c r="AA1141" s="0" t="n">
        <v>0.24</v>
      </c>
      <c r="AB1141" s="0" t="n">
        <v>5.51</v>
      </c>
      <c r="AC1141" s="22" t="b">
        <f aca="false">FALSE()</f>
        <v>0</v>
      </c>
      <c r="AD1141" s="0" t="n">
        <v>1.17</v>
      </c>
      <c r="AE1141" s="0" t="n">
        <v>0.15</v>
      </c>
      <c r="AF1141" s="0" t="n">
        <v>3.78</v>
      </c>
      <c r="AG1141" s="22" t="b">
        <f aca="false">FALSE()</f>
        <v>0</v>
      </c>
      <c r="AH1141" s="0" t="n">
        <v>1</v>
      </c>
    </row>
    <row r="1142" customFormat="false" ht="15" hidden="false" customHeight="false" outlineLevel="0" collapsed="false">
      <c r="A1142" s="0" t="s">
        <v>1787</v>
      </c>
      <c r="B1142" s="0" t="s">
        <v>134</v>
      </c>
      <c r="C1142" s="0" t="s">
        <v>3450</v>
      </c>
      <c r="D1142" s="0" t="s">
        <v>3457</v>
      </c>
      <c r="E1142" s="20" t="s">
        <v>25</v>
      </c>
      <c r="F1142" s="23" t="s">
        <v>30</v>
      </c>
      <c r="G1142" s="21" t="s">
        <v>283</v>
      </c>
      <c r="H1142" s="21" t="s">
        <v>24</v>
      </c>
      <c r="I1142" s="21" t="s">
        <v>25</v>
      </c>
      <c r="J1142" s="21" t="s">
        <v>24</v>
      </c>
      <c r="K1142" s="21" t="s">
        <v>24</v>
      </c>
      <c r="L1142" s="21" t="s">
        <v>24</v>
      </c>
      <c r="M1142" s="0" t="n">
        <v>184</v>
      </c>
      <c r="N1142" s="0" t="n">
        <v>1</v>
      </c>
      <c r="O1142" s="21" t="s">
        <v>69</v>
      </c>
      <c r="P1142" s="21" t="s">
        <v>4275</v>
      </c>
      <c r="Q1142" s="0" t="n">
        <v>1</v>
      </c>
      <c r="R1142" s="21" t="s">
        <v>69</v>
      </c>
      <c r="S1142" s="0" t="n">
        <v>1</v>
      </c>
      <c r="T1142" s="21" t="s">
        <v>69</v>
      </c>
      <c r="U1142" s="22" t="b">
        <f aca="false">TRUE()</f>
        <v>1</v>
      </c>
      <c r="V1142" s="0" t="n">
        <v>0.69</v>
      </c>
      <c r="W1142" s="0" t="n">
        <v>0.4</v>
      </c>
      <c r="X1142" s="0" t="n">
        <v>6.69</v>
      </c>
      <c r="Y1142" s="0" t="n">
        <v>316.93</v>
      </c>
      <c r="Z1142" s="0" t="n">
        <v>10.25</v>
      </c>
      <c r="AA1142" s="0" t="n">
        <v>10.53</v>
      </c>
      <c r="AB1142" s="0" t="n">
        <v>4.62</v>
      </c>
      <c r="AC1142" s="22" t="b">
        <f aca="false">FALSE()</f>
        <v>0</v>
      </c>
      <c r="AD1142" s="0" t="n">
        <v>3.59</v>
      </c>
      <c r="AE1142" s="0" t="n">
        <v>0.05</v>
      </c>
      <c r="AF1142" s="0" t="n">
        <v>10.39</v>
      </c>
      <c r="AG1142" s="22" t="b">
        <f aca="false">FALSE()</f>
        <v>0</v>
      </c>
      <c r="AH1142" s="0" t="n">
        <v>1</v>
      </c>
    </row>
    <row r="1143" customFormat="false" ht="15" hidden="false" customHeight="false" outlineLevel="0" collapsed="false">
      <c r="A1143" s="0" t="s">
        <v>1787</v>
      </c>
      <c r="B1143" s="0" t="s">
        <v>134</v>
      </c>
      <c r="C1143" s="0" t="s">
        <v>3450</v>
      </c>
      <c r="D1143" s="0" t="s">
        <v>3448</v>
      </c>
      <c r="E1143" s="20" t="s">
        <v>25</v>
      </c>
      <c r="F1143" s="23" t="s">
        <v>30</v>
      </c>
      <c r="G1143" s="21" t="s">
        <v>283</v>
      </c>
      <c r="H1143" s="21" t="s">
        <v>24</v>
      </c>
      <c r="I1143" s="21" t="s">
        <v>25</v>
      </c>
      <c r="J1143" s="21" t="s">
        <v>24</v>
      </c>
      <c r="K1143" s="21" t="s">
        <v>24</v>
      </c>
      <c r="L1143" s="21" t="s">
        <v>24</v>
      </c>
      <c r="M1143" s="0" t="n">
        <v>191</v>
      </c>
      <c r="N1143" s="0" t="n">
        <v>1</v>
      </c>
      <c r="O1143" s="21" t="s">
        <v>69</v>
      </c>
      <c r="P1143" s="21" t="s">
        <v>4275</v>
      </c>
      <c r="Q1143" s="0" t="n">
        <v>1</v>
      </c>
      <c r="R1143" s="21" t="s">
        <v>69</v>
      </c>
      <c r="S1143" s="0" t="n">
        <v>1</v>
      </c>
      <c r="T1143" s="21" t="s">
        <v>69</v>
      </c>
      <c r="U1143" s="22" t="b">
        <f aca="false">TRUE()</f>
        <v>1</v>
      </c>
      <c r="V1143" s="0" t="n">
        <v>0.68</v>
      </c>
      <c r="W1143" s="0" t="n">
        <v>0.6</v>
      </c>
      <c r="X1143" s="0" t="n">
        <v>6.91</v>
      </c>
      <c r="Y1143" s="0" t="n">
        <v>336.79</v>
      </c>
      <c r="Z1143" s="0" t="n">
        <v>10.75</v>
      </c>
      <c r="AA1143" s="0" t="n">
        <v>13.66</v>
      </c>
      <c r="AB1143" s="0" t="n">
        <v>8.46</v>
      </c>
      <c r="AC1143" s="22" t="b">
        <f aca="false">FALSE()</f>
        <v>0</v>
      </c>
      <c r="AD1143" s="0" t="n">
        <v>7.07</v>
      </c>
      <c r="AE1143" s="0" t="n">
        <v>0.45</v>
      </c>
      <c r="AF1143" s="0" t="n">
        <v>8.18</v>
      </c>
      <c r="AG1143" s="22" t="b">
        <f aca="false">FALSE()</f>
        <v>0</v>
      </c>
      <c r="AH1143" s="0" t="n">
        <v>1</v>
      </c>
    </row>
    <row r="1144" customFormat="false" ht="15" hidden="false" customHeight="false" outlineLevel="0" collapsed="false">
      <c r="A1144" s="0" t="s">
        <v>1787</v>
      </c>
      <c r="B1144" s="0" t="s">
        <v>134</v>
      </c>
      <c r="C1144" s="0" t="s">
        <v>3447</v>
      </c>
      <c r="D1144" s="0" t="s">
        <v>3457</v>
      </c>
      <c r="E1144" s="18" t="s">
        <v>24</v>
      </c>
      <c r="F1144" s="23" t="s">
        <v>30</v>
      </c>
      <c r="G1144" s="21" t="s">
        <v>30</v>
      </c>
      <c r="H1144" s="21" t="s">
        <v>24</v>
      </c>
      <c r="I1144" s="21" t="s">
        <v>24</v>
      </c>
      <c r="J1144" s="21" t="s">
        <v>24</v>
      </c>
      <c r="K1144" s="21" t="s">
        <v>24</v>
      </c>
      <c r="L1144" s="21" t="s">
        <v>24</v>
      </c>
      <c r="M1144" s="0" t="n">
        <v>186</v>
      </c>
      <c r="N1144" s="0" t="n">
        <v>5</v>
      </c>
      <c r="O1144" s="21" t="s">
        <v>3677</v>
      </c>
      <c r="P1144" s="21" t="s">
        <v>4655</v>
      </c>
      <c r="Q1144" s="0" t="n">
        <v>0</v>
      </c>
      <c r="S1144" s="0" t="n">
        <v>5</v>
      </c>
      <c r="T1144" s="21" t="s">
        <v>3677</v>
      </c>
      <c r="U1144" s="22" t="b">
        <f aca="false">TRUE()</f>
        <v>1</v>
      </c>
      <c r="V1144" s="0" t="n">
        <v>0.82</v>
      </c>
      <c r="W1144" s="0" t="n">
        <v>0.72</v>
      </c>
      <c r="X1144" s="0" t="n">
        <v>6.61</v>
      </c>
      <c r="Y1144" s="0" t="n">
        <v>286.56</v>
      </c>
      <c r="Z1144" s="0" t="n">
        <v>8</v>
      </c>
      <c r="AA1144" s="0" t="n">
        <v>-1.43</v>
      </c>
      <c r="AB1144" s="0" t="n">
        <v>4.62</v>
      </c>
      <c r="AC1144" s="22" t="b">
        <f aca="false">FALSE()</f>
        <v>0</v>
      </c>
      <c r="AD1144" s="0" t="n">
        <v>6.45</v>
      </c>
      <c r="AE1144" s="0" t="n">
        <v>0.68</v>
      </c>
      <c r="AF1144" s="0" t="n">
        <v>9.37</v>
      </c>
      <c r="AG1144" s="22" t="b">
        <f aca="false">FALSE()</f>
        <v>0</v>
      </c>
      <c r="AH1144" s="0" t="n">
        <v>1</v>
      </c>
    </row>
    <row r="1145" customFormat="false" ht="15" hidden="false" customHeight="false" outlineLevel="0" collapsed="false">
      <c r="A1145" s="0" t="s">
        <v>1787</v>
      </c>
      <c r="B1145" s="0" t="s">
        <v>134</v>
      </c>
      <c r="C1145" s="0" t="s">
        <v>3447</v>
      </c>
      <c r="D1145" s="0" t="s">
        <v>3448</v>
      </c>
      <c r="E1145" s="18" t="s">
        <v>24</v>
      </c>
      <c r="F1145" s="23" t="s">
        <v>30</v>
      </c>
      <c r="G1145" s="21" t="s">
        <v>30</v>
      </c>
      <c r="H1145" s="21" t="s">
        <v>24</v>
      </c>
      <c r="I1145" s="21" t="s">
        <v>24</v>
      </c>
      <c r="J1145" s="21" t="s">
        <v>24</v>
      </c>
      <c r="K1145" s="21" t="s">
        <v>24</v>
      </c>
      <c r="L1145" s="21" t="s">
        <v>24</v>
      </c>
      <c r="M1145" s="0" t="n">
        <v>185</v>
      </c>
      <c r="N1145" s="0" t="n">
        <v>4</v>
      </c>
      <c r="O1145" s="21" t="s">
        <v>3606</v>
      </c>
      <c r="P1145" s="21" t="s">
        <v>4297</v>
      </c>
      <c r="Q1145" s="0" t="n">
        <v>0</v>
      </c>
      <c r="S1145" s="0" t="n">
        <v>4</v>
      </c>
      <c r="T1145" s="21" t="s">
        <v>3606</v>
      </c>
      <c r="U1145" s="22" t="b">
        <f aca="false">TRUE()</f>
        <v>1</v>
      </c>
      <c r="V1145" s="0" t="n">
        <v>0.83</v>
      </c>
      <c r="W1145" s="0" t="n">
        <v>0.76</v>
      </c>
      <c r="X1145" s="0" t="n">
        <v>7.31</v>
      </c>
      <c r="Y1145" s="0" t="n">
        <v>290.04</v>
      </c>
      <c r="Z1145" s="0" t="n">
        <v>11.5</v>
      </c>
      <c r="AA1145" s="0" t="n">
        <v>2.14</v>
      </c>
      <c r="AB1145" s="0" t="n">
        <v>8.46</v>
      </c>
      <c r="AC1145" s="22" t="b">
        <f aca="false">FALSE()</f>
        <v>0</v>
      </c>
      <c r="AD1145" s="0" t="n">
        <v>9.22</v>
      </c>
      <c r="AE1145" s="0" t="n">
        <v>0.53</v>
      </c>
      <c r="AF1145" s="0" t="n">
        <v>8.42</v>
      </c>
      <c r="AG1145" s="22" t="b">
        <f aca="false">FALSE()</f>
        <v>0</v>
      </c>
      <c r="AH1145" s="0" t="n">
        <v>1</v>
      </c>
    </row>
    <row r="1146" customFormat="false" ht="15" hidden="false" customHeight="false" outlineLevel="0" collapsed="false">
      <c r="A1146" s="0" t="s">
        <v>1787</v>
      </c>
      <c r="B1146" s="0" t="s">
        <v>3459</v>
      </c>
      <c r="C1146" s="0" t="s">
        <v>3450</v>
      </c>
      <c r="D1146" s="0" t="s">
        <v>3457</v>
      </c>
      <c r="E1146" s="20" t="s">
        <v>25</v>
      </c>
      <c r="F1146" s="23" t="s">
        <v>30</v>
      </c>
      <c r="G1146" s="21" t="s">
        <v>283</v>
      </c>
      <c r="H1146" s="21" t="s">
        <v>24</v>
      </c>
      <c r="I1146" s="21" t="s">
        <v>25</v>
      </c>
      <c r="J1146" s="21" t="s">
        <v>24</v>
      </c>
      <c r="K1146" s="21" t="s">
        <v>24</v>
      </c>
      <c r="L1146" s="21" t="s">
        <v>24</v>
      </c>
      <c r="M1146" s="0" t="n">
        <v>184</v>
      </c>
      <c r="N1146" s="0" t="n">
        <v>3</v>
      </c>
      <c r="O1146" s="21" t="s">
        <v>3649</v>
      </c>
      <c r="P1146" s="21" t="s">
        <v>4242</v>
      </c>
      <c r="Q1146" s="0" t="n">
        <v>1</v>
      </c>
      <c r="R1146" s="21" t="s">
        <v>69</v>
      </c>
      <c r="S1146" s="0" t="n">
        <v>3</v>
      </c>
      <c r="T1146" s="21" t="s">
        <v>3649</v>
      </c>
      <c r="U1146" s="22" t="b">
        <f aca="false">TRUE()</f>
        <v>1</v>
      </c>
      <c r="V1146" s="0" t="n">
        <v>0.65</v>
      </c>
      <c r="W1146" s="0" t="n">
        <v>0.48</v>
      </c>
      <c r="X1146" s="0" t="n">
        <v>6.86</v>
      </c>
      <c r="Y1146" s="0" t="n">
        <v>322.71</v>
      </c>
      <c r="Z1146" s="0" t="n">
        <v>10</v>
      </c>
      <c r="AA1146" s="0" t="n">
        <v>12.27</v>
      </c>
      <c r="AB1146" s="0" t="n">
        <v>2.42</v>
      </c>
      <c r="AC1146" s="22" t="b">
        <f aca="false">FALSE()</f>
        <v>0</v>
      </c>
      <c r="AD1146" s="0" t="n">
        <v>17.4</v>
      </c>
      <c r="AE1146" s="0" t="n">
        <v>6.41</v>
      </c>
      <c r="AF1146" s="0" t="n">
        <v>10.28</v>
      </c>
      <c r="AG1146" s="22" t="b">
        <f aca="false">TRUE()</f>
        <v>1</v>
      </c>
      <c r="AH1146" s="0" t="n">
        <v>1</v>
      </c>
    </row>
    <row r="1147" customFormat="false" ht="15" hidden="false" customHeight="false" outlineLevel="0" collapsed="false">
      <c r="A1147" s="0" t="s">
        <v>1787</v>
      </c>
      <c r="B1147" s="0" t="s">
        <v>3459</v>
      </c>
      <c r="C1147" s="0" t="s">
        <v>3450</v>
      </c>
      <c r="D1147" s="0" t="s">
        <v>3448</v>
      </c>
      <c r="E1147" s="20" t="s">
        <v>25</v>
      </c>
      <c r="F1147" s="23" t="s">
        <v>30</v>
      </c>
      <c r="G1147" s="21" t="s">
        <v>1099</v>
      </c>
      <c r="H1147" s="21" t="s">
        <v>24</v>
      </c>
      <c r="I1147" s="21" t="s">
        <v>25</v>
      </c>
      <c r="J1147" s="21" t="s">
        <v>24</v>
      </c>
      <c r="K1147" s="21" t="s">
        <v>25</v>
      </c>
      <c r="L1147" s="21" t="s">
        <v>24</v>
      </c>
      <c r="M1147" s="0" t="n">
        <v>182</v>
      </c>
      <c r="N1147" s="0" t="n">
        <v>3</v>
      </c>
      <c r="O1147" s="21" t="s">
        <v>3649</v>
      </c>
      <c r="P1147" s="21" t="s">
        <v>4242</v>
      </c>
      <c r="Q1147" s="0" t="n">
        <v>1</v>
      </c>
      <c r="R1147" s="21" t="s">
        <v>69</v>
      </c>
      <c r="S1147" s="0" t="n">
        <v>3</v>
      </c>
      <c r="T1147" s="21" t="s">
        <v>3649</v>
      </c>
      <c r="U1147" s="22" t="b">
        <f aca="false">TRUE()</f>
        <v>1</v>
      </c>
      <c r="V1147" s="0" t="n">
        <v>0.7</v>
      </c>
      <c r="W1147" s="0" t="n">
        <v>0.6</v>
      </c>
      <c r="X1147" s="0" t="n">
        <v>5.99</v>
      </c>
      <c r="Y1147" s="0" t="n">
        <v>317.52</v>
      </c>
      <c r="Z1147" s="0" t="n">
        <v>10.75</v>
      </c>
      <c r="AA1147" s="0" t="n">
        <v>5.17</v>
      </c>
      <c r="AB1147" s="0" t="n">
        <v>0.99</v>
      </c>
      <c r="AC1147" s="22" t="b">
        <f aca="false">FALSE()</f>
        <v>0</v>
      </c>
      <c r="AD1147" s="0" t="n">
        <v>17.31</v>
      </c>
      <c r="AE1147" s="0" t="n">
        <v>8.23</v>
      </c>
      <c r="AF1147" s="0" t="n">
        <v>14.94</v>
      </c>
      <c r="AG1147" s="22" t="b">
        <f aca="false">TRUE()</f>
        <v>1</v>
      </c>
      <c r="AH1147" s="0" t="n">
        <v>1</v>
      </c>
    </row>
    <row r="1148" customFormat="false" ht="15" hidden="false" customHeight="false" outlineLevel="0" collapsed="false">
      <c r="A1148" s="0" t="s">
        <v>1787</v>
      </c>
      <c r="B1148" s="0" t="s">
        <v>3459</v>
      </c>
      <c r="C1148" s="0" t="s">
        <v>3447</v>
      </c>
      <c r="D1148" s="0" t="s">
        <v>3457</v>
      </c>
      <c r="E1148" s="20" t="s">
        <v>25</v>
      </c>
      <c r="F1148" s="23" t="s">
        <v>30</v>
      </c>
      <c r="G1148" s="21" t="s">
        <v>283</v>
      </c>
      <c r="H1148" s="21" t="s">
        <v>24</v>
      </c>
      <c r="I1148" s="21" t="s">
        <v>25</v>
      </c>
      <c r="J1148" s="21" t="s">
        <v>24</v>
      </c>
      <c r="K1148" s="21" t="s">
        <v>24</v>
      </c>
      <c r="L1148" s="21" t="s">
        <v>24</v>
      </c>
      <c r="M1148" s="0" t="n">
        <v>184</v>
      </c>
      <c r="N1148" s="0" t="n">
        <v>1</v>
      </c>
      <c r="O1148" s="21" t="s">
        <v>69</v>
      </c>
      <c r="P1148" s="21" t="s">
        <v>4275</v>
      </c>
      <c r="Q1148" s="0" t="n">
        <v>1</v>
      </c>
      <c r="R1148" s="21" t="s">
        <v>69</v>
      </c>
      <c r="S1148" s="0" t="n">
        <v>1</v>
      </c>
      <c r="T1148" s="21" t="s">
        <v>69</v>
      </c>
      <c r="U1148" s="22" t="b">
        <f aca="false">TRUE()</f>
        <v>1</v>
      </c>
      <c r="V1148" s="0" t="n">
        <v>0.73</v>
      </c>
      <c r="W1148" s="0" t="n">
        <v>0.8</v>
      </c>
      <c r="X1148" s="0" t="n">
        <v>5.71</v>
      </c>
      <c r="Y1148" s="0" t="n">
        <v>317.36</v>
      </c>
      <c r="Z1148" s="0" t="n">
        <v>8</v>
      </c>
      <c r="AA1148" s="0" t="n">
        <v>-1.21</v>
      </c>
      <c r="AB1148" s="0" t="n">
        <v>2.42</v>
      </c>
      <c r="AC1148" s="22" t="b">
        <f aca="false">FALSE()</f>
        <v>0</v>
      </c>
      <c r="AD1148" s="0" t="n">
        <v>11.9</v>
      </c>
      <c r="AE1148" s="0" t="n">
        <v>4.08</v>
      </c>
      <c r="AF1148" s="0" t="n">
        <v>7.82</v>
      </c>
      <c r="AG1148" s="22" t="b">
        <f aca="false">TRUE()</f>
        <v>1</v>
      </c>
      <c r="AH1148" s="0" t="n">
        <v>1</v>
      </c>
    </row>
    <row r="1149" customFormat="false" ht="15" hidden="false" customHeight="false" outlineLevel="0" collapsed="false">
      <c r="A1149" s="0" t="s">
        <v>1787</v>
      </c>
      <c r="B1149" s="0" t="s">
        <v>3459</v>
      </c>
      <c r="C1149" s="0" t="s">
        <v>3447</v>
      </c>
      <c r="D1149" s="0" t="s">
        <v>3448</v>
      </c>
      <c r="E1149" s="20" t="s">
        <v>25</v>
      </c>
      <c r="F1149" s="23" t="s">
        <v>30</v>
      </c>
      <c r="G1149" s="21" t="s">
        <v>1099</v>
      </c>
      <c r="H1149" s="21" t="s">
        <v>24</v>
      </c>
      <c r="I1149" s="21" t="s">
        <v>25</v>
      </c>
      <c r="J1149" s="21" t="s">
        <v>24</v>
      </c>
      <c r="K1149" s="21" t="s">
        <v>25</v>
      </c>
      <c r="L1149" s="21" t="s">
        <v>24</v>
      </c>
      <c r="M1149" s="0" t="n">
        <v>184</v>
      </c>
      <c r="N1149" s="0" t="n">
        <v>1</v>
      </c>
      <c r="O1149" s="21" t="s">
        <v>69</v>
      </c>
      <c r="P1149" s="21" t="s">
        <v>4275</v>
      </c>
      <c r="Q1149" s="0" t="n">
        <v>1</v>
      </c>
      <c r="R1149" s="21" t="s">
        <v>69</v>
      </c>
      <c r="S1149" s="0" t="n">
        <v>1</v>
      </c>
      <c r="T1149" s="21" t="s">
        <v>69</v>
      </c>
      <c r="U1149" s="22" t="b">
        <f aca="false">TRUE()</f>
        <v>1</v>
      </c>
      <c r="V1149" s="0" t="n">
        <v>0.79</v>
      </c>
      <c r="W1149" s="0" t="n">
        <v>0.8</v>
      </c>
      <c r="X1149" s="0" t="n">
        <v>5.59</v>
      </c>
      <c r="Y1149" s="0" t="n">
        <v>319.01</v>
      </c>
      <c r="Z1149" s="0" t="n">
        <v>8</v>
      </c>
      <c r="AA1149" s="0" t="n">
        <v>-1.04</v>
      </c>
      <c r="AB1149" s="0" t="n">
        <v>0.99</v>
      </c>
      <c r="AC1149" s="22" t="b">
        <f aca="false">FALSE()</f>
        <v>0</v>
      </c>
      <c r="AD1149" s="0" t="n">
        <v>14.32</v>
      </c>
      <c r="AE1149" s="0" t="n">
        <v>5.24</v>
      </c>
      <c r="AF1149" s="0" t="n">
        <v>12.85</v>
      </c>
      <c r="AG1149" s="22" t="b">
        <f aca="false">TRUE()</f>
        <v>1</v>
      </c>
      <c r="AH1149" s="0" t="n">
        <v>1</v>
      </c>
    </row>
    <row r="1150" customFormat="false" ht="15" hidden="false" customHeight="false" outlineLevel="0" collapsed="false">
      <c r="A1150" s="0" t="s">
        <v>1793</v>
      </c>
      <c r="B1150" s="0" t="s">
        <v>134</v>
      </c>
      <c r="C1150" s="0" t="s">
        <v>3450</v>
      </c>
      <c r="D1150" s="0" t="s">
        <v>3457</v>
      </c>
      <c r="E1150" s="18" t="s">
        <v>24</v>
      </c>
      <c r="F1150" s="18" t="s">
        <v>28</v>
      </c>
      <c r="H1150" s="21" t="s">
        <v>24</v>
      </c>
      <c r="I1150" s="21" t="s">
        <v>24</v>
      </c>
      <c r="J1150" s="21" t="s">
        <v>24</v>
      </c>
      <c r="K1150" s="21" t="s">
        <v>24</v>
      </c>
      <c r="L1150" s="21" t="s">
        <v>24</v>
      </c>
      <c r="M1150" s="0" t="n">
        <v>184</v>
      </c>
      <c r="N1150" s="0" t="n">
        <v>0</v>
      </c>
      <c r="Q1150" s="0" t="n">
        <v>0</v>
      </c>
      <c r="S1150" s="0" t="n">
        <v>0</v>
      </c>
      <c r="U1150" s="22" t="b">
        <f aca="false">FALSE()</f>
        <v>0</v>
      </c>
      <c r="V1150" s="0" t="n">
        <v>0.65</v>
      </c>
      <c r="W1150" s="0" t="n">
        <v>0.4</v>
      </c>
      <c r="X1150" s="0" t="n">
        <v>7.74</v>
      </c>
      <c r="Y1150" s="0" t="n">
        <v>338.47</v>
      </c>
      <c r="Z1150" s="0" t="n">
        <v>11.5</v>
      </c>
      <c r="AA1150" s="0" t="n">
        <v>9.26</v>
      </c>
      <c r="AB1150" s="0" t="n">
        <v>3.8</v>
      </c>
      <c r="AC1150" s="22" t="b">
        <f aca="false">FALSE()</f>
        <v>0</v>
      </c>
      <c r="AD1150" s="0" t="n">
        <v>8.32</v>
      </c>
      <c r="AE1150" s="0" t="n">
        <v>0.54</v>
      </c>
      <c r="AF1150" s="0" t="n">
        <v>4.39</v>
      </c>
      <c r="AG1150" s="22" t="b">
        <f aca="false">FALSE()</f>
        <v>0</v>
      </c>
      <c r="AH1150" s="0" t="n">
        <v>1</v>
      </c>
    </row>
    <row r="1151" customFormat="false" ht="15" hidden="false" customHeight="false" outlineLevel="0" collapsed="false">
      <c r="A1151" s="0" t="s">
        <v>1793</v>
      </c>
      <c r="B1151" s="0" t="s">
        <v>134</v>
      </c>
      <c r="C1151" s="0" t="s">
        <v>3450</v>
      </c>
      <c r="D1151" s="0" t="s">
        <v>3448</v>
      </c>
      <c r="E1151" s="18" t="s">
        <v>24</v>
      </c>
      <c r="F1151" s="18" t="s">
        <v>28</v>
      </c>
      <c r="H1151" s="21" t="s">
        <v>24</v>
      </c>
      <c r="I1151" s="21" t="s">
        <v>24</v>
      </c>
      <c r="J1151" s="21" t="s">
        <v>24</v>
      </c>
      <c r="K1151" s="21" t="s">
        <v>24</v>
      </c>
      <c r="L1151" s="21" t="s">
        <v>24</v>
      </c>
      <c r="M1151" s="0" t="n">
        <v>189</v>
      </c>
      <c r="N1151" s="0" t="n">
        <v>0</v>
      </c>
      <c r="Q1151" s="0" t="n">
        <v>0</v>
      </c>
      <c r="S1151" s="0" t="n">
        <v>0</v>
      </c>
      <c r="U1151" s="22" t="b">
        <f aca="false">FALSE()</f>
        <v>0</v>
      </c>
      <c r="V1151" s="0" t="n">
        <v>0.71</v>
      </c>
      <c r="W1151" s="0" t="n">
        <v>0.48</v>
      </c>
      <c r="X1151" s="0" t="n">
        <v>7.8</v>
      </c>
      <c r="Y1151" s="0" t="n">
        <v>344.39</v>
      </c>
      <c r="Z1151" s="0" t="n">
        <v>11.5</v>
      </c>
      <c r="AA1151" s="0" t="n">
        <v>7.1</v>
      </c>
      <c r="AB1151" s="0" t="n">
        <v>2.71</v>
      </c>
      <c r="AC1151" s="22" t="b">
        <f aca="false">FALSE()</f>
        <v>0</v>
      </c>
      <c r="AD1151" s="0" t="n">
        <v>9.8</v>
      </c>
      <c r="AE1151" s="0" t="n">
        <v>0.46</v>
      </c>
      <c r="AF1151" s="0" t="n">
        <v>3.14</v>
      </c>
      <c r="AG1151" s="22" t="b">
        <f aca="false">FALSE()</f>
        <v>0</v>
      </c>
      <c r="AH1151" s="0" t="n">
        <v>1</v>
      </c>
    </row>
    <row r="1152" customFormat="false" ht="15" hidden="false" customHeight="false" outlineLevel="0" collapsed="false">
      <c r="A1152" s="0" t="s">
        <v>1793</v>
      </c>
      <c r="B1152" s="0" t="s">
        <v>134</v>
      </c>
      <c r="C1152" s="0" t="s">
        <v>3447</v>
      </c>
      <c r="D1152" s="0" t="s">
        <v>3457</v>
      </c>
      <c r="E1152" s="18" t="s">
        <v>24</v>
      </c>
      <c r="F1152" s="18" t="s">
        <v>28</v>
      </c>
      <c r="H1152" s="21" t="s">
        <v>24</v>
      </c>
      <c r="I1152" s="21" t="s">
        <v>24</v>
      </c>
      <c r="J1152" s="21" t="s">
        <v>24</v>
      </c>
      <c r="K1152" s="21" t="s">
        <v>24</v>
      </c>
      <c r="L1152" s="21" t="s">
        <v>24</v>
      </c>
      <c r="M1152" s="0" t="n">
        <v>186</v>
      </c>
      <c r="N1152" s="0" t="n">
        <v>0</v>
      </c>
      <c r="Q1152" s="0" t="n">
        <v>0</v>
      </c>
      <c r="S1152" s="0" t="n">
        <v>0</v>
      </c>
      <c r="U1152" s="22" t="b">
        <f aca="false">FALSE()</f>
        <v>0</v>
      </c>
      <c r="V1152" s="0" t="n">
        <v>0.73</v>
      </c>
      <c r="W1152" s="0" t="n">
        <v>0.2</v>
      </c>
      <c r="X1152" s="0" t="n">
        <v>6.99</v>
      </c>
      <c r="Y1152" s="0" t="n">
        <v>500.29</v>
      </c>
      <c r="Z1152" s="0" t="n">
        <v>10.25</v>
      </c>
      <c r="AA1152" s="0" t="n">
        <v>0.7</v>
      </c>
      <c r="AB1152" s="0" t="n">
        <v>3.8</v>
      </c>
      <c r="AC1152" s="22" t="b">
        <f aca="false">FALSE()</f>
        <v>0</v>
      </c>
      <c r="AD1152" s="0" t="n">
        <v>9.1</v>
      </c>
      <c r="AE1152" s="0" t="n">
        <v>0.61</v>
      </c>
      <c r="AF1152" s="0" t="n">
        <v>3.59</v>
      </c>
      <c r="AG1152" s="22" t="b">
        <f aca="false">FALSE()</f>
        <v>0</v>
      </c>
      <c r="AH1152" s="0" t="n">
        <v>1</v>
      </c>
    </row>
    <row r="1153" customFormat="false" ht="15" hidden="false" customHeight="false" outlineLevel="0" collapsed="false">
      <c r="A1153" s="0" t="s">
        <v>1793</v>
      </c>
      <c r="B1153" s="0" t="s">
        <v>134</v>
      </c>
      <c r="C1153" s="0" t="s">
        <v>3447</v>
      </c>
      <c r="D1153" s="0" t="s">
        <v>3448</v>
      </c>
      <c r="E1153" s="19" t="s">
        <v>26</v>
      </c>
      <c r="F1153" s="19" t="s">
        <v>32</v>
      </c>
      <c r="G1153" s="21" t="s">
        <v>60</v>
      </c>
      <c r="H1153" s="21" t="s">
        <v>24</v>
      </c>
      <c r="I1153" s="21" t="s">
        <v>26</v>
      </c>
      <c r="J1153" s="21" t="s">
        <v>24</v>
      </c>
      <c r="K1153" s="21" t="s">
        <v>24</v>
      </c>
      <c r="L1153" s="21" t="s">
        <v>24</v>
      </c>
      <c r="M1153" s="0" t="n">
        <v>183</v>
      </c>
      <c r="N1153" s="0" t="n">
        <v>9</v>
      </c>
      <c r="O1153" s="21" t="s">
        <v>4012</v>
      </c>
      <c r="P1153" s="21" t="s">
        <v>4656</v>
      </c>
      <c r="Q1153" s="0" t="n">
        <v>0</v>
      </c>
      <c r="S1153" s="0" t="n">
        <v>9</v>
      </c>
      <c r="T1153" s="21" t="s">
        <v>4012</v>
      </c>
      <c r="U1153" s="22" t="b">
        <f aca="false">FALSE()</f>
        <v>0</v>
      </c>
      <c r="V1153" s="0" t="n">
        <v>0.65</v>
      </c>
      <c r="W1153" s="0" t="n">
        <v>0.6</v>
      </c>
      <c r="X1153" s="0" t="n">
        <v>8.79</v>
      </c>
      <c r="Y1153" s="0" t="n">
        <v>316.48</v>
      </c>
      <c r="Z1153" s="0" t="n">
        <v>11.17</v>
      </c>
      <c r="AA1153" s="0" t="n">
        <v>-0.38</v>
      </c>
      <c r="AB1153" s="0" t="n">
        <v>2.71</v>
      </c>
      <c r="AC1153" s="22" t="b">
        <f aca="false">FALSE()</f>
        <v>0</v>
      </c>
      <c r="AD1153" s="0" t="n">
        <v>4.06</v>
      </c>
      <c r="AE1153" s="0" t="n">
        <v>1.3</v>
      </c>
      <c r="AF1153" s="0" t="n">
        <v>2.04</v>
      </c>
      <c r="AG1153" s="22" t="b">
        <f aca="false">FALSE()</f>
        <v>0</v>
      </c>
      <c r="AH1153" s="0" t="n">
        <v>1</v>
      </c>
    </row>
    <row r="1154" customFormat="false" ht="15" hidden="false" customHeight="false" outlineLevel="0" collapsed="false">
      <c r="A1154" s="0" t="s">
        <v>1793</v>
      </c>
      <c r="B1154" s="0" t="s">
        <v>3459</v>
      </c>
      <c r="C1154" s="0" t="s">
        <v>3450</v>
      </c>
      <c r="D1154" s="0" t="s">
        <v>3457</v>
      </c>
      <c r="E1154" s="20" t="s">
        <v>25</v>
      </c>
      <c r="F1154" s="23" t="s">
        <v>30</v>
      </c>
      <c r="G1154" s="21" t="s">
        <v>1230</v>
      </c>
      <c r="H1154" s="21" t="s">
        <v>24</v>
      </c>
      <c r="I1154" s="21" t="s">
        <v>25</v>
      </c>
      <c r="J1154" s="21" t="s">
        <v>24</v>
      </c>
      <c r="K1154" s="21" t="s">
        <v>25</v>
      </c>
      <c r="L1154" s="21" t="s">
        <v>24</v>
      </c>
      <c r="M1154" s="0" t="n">
        <v>184</v>
      </c>
      <c r="N1154" s="0" t="n">
        <v>1</v>
      </c>
      <c r="O1154" s="21" t="s">
        <v>69</v>
      </c>
      <c r="P1154" s="21" t="s">
        <v>4275</v>
      </c>
      <c r="Q1154" s="0" t="n">
        <v>1</v>
      </c>
      <c r="R1154" s="21" t="s">
        <v>69</v>
      </c>
      <c r="S1154" s="0" t="n">
        <v>1</v>
      </c>
      <c r="T1154" s="21" t="s">
        <v>69</v>
      </c>
      <c r="U1154" s="22" t="b">
        <f aca="false">TRUE()</f>
        <v>1</v>
      </c>
      <c r="V1154" s="0" t="n">
        <v>0.71</v>
      </c>
      <c r="W1154" s="0" t="n">
        <v>0.8</v>
      </c>
      <c r="X1154" s="0" t="n">
        <v>7.51</v>
      </c>
      <c r="Y1154" s="0" t="n">
        <v>307.23</v>
      </c>
      <c r="Z1154" s="0" t="n">
        <v>9.08</v>
      </c>
      <c r="AA1154" s="0" t="n">
        <v>-0.72</v>
      </c>
      <c r="AB1154" s="0" t="n">
        <v>2.06</v>
      </c>
      <c r="AC1154" s="22" t="b">
        <f aca="false">FALSE()</f>
        <v>0</v>
      </c>
      <c r="AD1154" s="0" t="n">
        <v>19.48</v>
      </c>
      <c r="AE1154" s="0" t="n">
        <v>7.89</v>
      </c>
      <c r="AF1154" s="0" t="n">
        <v>14.01</v>
      </c>
      <c r="AG1154" s="22" t="b">
        <f aca="false">TRUE()</f>
        <v>1</v>
      </c>
      <c r="AH1154" s="0" t="n">
        <v>1</v>
      </c>
    </row>
    <row r="1155" customFormat="false" ht="15" hidden="false" customHeight="false" outlineLevel="0" collapsed="false">
      <c r="A1155" s="0" t="s">
        <v>1793</v>
      </c>
      <c r="B1155" s="0" t="s">
        <v>3459</v>
      </c>
      <c r="C1155" s="0" t="s">
        <v>3450</v>
      </c>
      <c r="D1155" s="0" t="s">
        <v>3448</v>
      </c>
      <c r="E1155" s="20" t="s">
        <v>25</v>
      </c>
      <c r="F1155" s="20" t="s">
        <v>29</v>
      </c>
      <c r="G1155" s="21" t="s">
        <v>3473</v>
      </c>
      <c r="H1155" s="21" t="s">
        <v>24</v>
      </c>
      <c r="I1155" s="21" t="s">
        <v>24</v>
      </c>
      <c r="J1155" s="21" t="s">
        <v>24</v>
      </c>
      <c r="K1155" s="21" t="s">
        <v>25</v>
      </c>
      <c r="L1155" s="21" t="s">
        <v>24</v>
      </c>
      <c r="M1155" s="0" t="n">
        <v>185</v>
      </c>
      <c r="N1155" s="0" t="n">
        <v>0</v>
      </c>
      <c r="Q1155" s="0" t="n">
        <v>0</v>
      </c>
      <c r="S1155" s="0" t="n">
        <v>0</v>
      </c>
      <c r="U1155" s="22" t="b">
        <f aca="false">FALSE()</f>
        <v>0</v>
      </c>
      <c r="V1155" s="0" t="n">
        <v>0.78</v>
      </c>
      <c r="W1155" s="0" t="n">
        <v>0.92</v>
      </c>
      <c r="X1155" s="0" t="n">
        <v>7.99</v>
      </c>
      <c r="Y1155" s="0" t="n">
        <v>321.66</v>
      </c>
      <c r="Z1155" s="0" t="n">
        <v>10.75</v>
      </c>
      <c r="AA1155" s="0" t="n">
        <v>2.11</v>
      </c>
      <c r="AB1155" s="0" t="n">
        <v>0.1</v>
      </c>
      <c r="AC1155" s="22" t="b">
        <f aca="false">TRUE()</f>
        <v>1</v>
      </c>
      <c r="AD1155" s="0" t="n">
        <v>24.28</v>
      </c>
      <c r="AE1155" s="0" t="n">
        <v>11.82</v>
      </c>
      <c r="AF1155" s="0" t="n">
        <v>20.44</v>
      </c>
      <c r="AG1155" s="22" t="b">
        <f aca="false">TRUE()</f>
        <v>1</v>
      </c>
      <c r="AH1155" s="0" t="n">
        <v>1</v>
      </c>
    </row>
    <row r="1156" customFormat="false" ht="15" hidden="false" customHeight="false" outlineLevel="0" collapsed="false">
      <c r="A1156" s="0" t="s">
        <v>1793</v>
      </c>
      <c r="B1156" s="0" t="s">
        <v>3459</v>
      </c>
      <c r="C1156" s="0" t="s">
        <v>3447</v>
      </c>
      <c r="D1156" s="0" t="s">
        <v>3457</v>
      </c>
      <c r="E1156" s="19" t="s">
        <v>26</v>
      </c>
      <c r="F1156" s="19" t="s">
        <v>32</v>
      </c>
      <c r="G1156" s="21" t="s">
        <v>529</v>
      </c>
      <c r="H1156" s="21" t="s">
        <v>24</v>
      </c>
      <c r="I1156" s="21" t="s">
        <v>26</v>
      </c>
      <c r="J1156" s="21" t="s">
        <v>24</v>
      </c>
      <c r="K1156" s="21" t="s">
        <v>24</v>
      </c>
      <c r="L1156" s="21" t="s">
        <v>24</v>
      </c>
      <c r="M1156" s="0" t="n">
        <v>184</v>
      </c>
      <c r="N1156" s="0" t="n">
        <v>7</v>
      </c>
      <c r="O1156" s="21" t="s">
        <v>4075</v>
      </c>
      <c r="P1156" s="21" t="s">
        <v>4657</v>
      </c>
      <c r="Q1156" s="0" t="n">
        <v>1</v>
      </c>
      <c r="R1156" s="21" t="s">
        <v>69</v>
      </c>
      <c r="S1156" s="0" t="n">
        <v>7</v>
      </c>
      <c r="T1156" s="21" t="s">
        <v>4075</v>
      </c>
      <c r="U1156" s="22" t="b">
        <f aca="false">FALSE()</f>
        <v>0</v>
      </c>
      <c r="V1156" s="0" t="n">
        <v>0.65</v>
      </c>
      <c r="W1156" s="0" t="n">
        <v>0.4</v>
      </c>
      <c r="X1156" s="0" t="n">
        <v>11.56</v>
      </c>
      <c r="Y1156" s="0" t="n">
        <v>338.74</v>
      </c>
      <c r="Z1156" s="0" t="n">
        <v>8</v>
      </c>
      <c r="AA1156" s="0" t="n">
        <v>-0.35</v>
      </c>
      <c r="AB1156" s="0" t="n">
        <v>2.06</v>
      </c>
      <c r="AC1156" s="22" t="b">
        <f aca="false">FALSE()</f>
        <v>0</v>
      </c>
      <c r="AD1156" s="0" t="n">
        <v>16.73</v>
      </c>
      <c r="AE1156" s="0" t="n">
        <v>6.64</v>
      </c>
      <c r="AF1156" s="0" t="n">
        <v>12.71</v>
      </c>
      <c r="AG1156" s="22" t="b">
        <f aca="false">TRUE()</f>
        <v>1</v>
      </c>
      <c r="AH1156" s="0" t="n">
        <v>1</v>
      </c>
    </row>
    <row r="1157" customFormat="false" ht="15" hidden="false" customHeight="false" outlineLevel="0" collapsed="false">
      <c r="A1157" s="0" t="s">
        <v>1793</v>
      </c>
      <c r="B1157" s="0" t="s">
        <v>3459</v>
      </c>
      <c r="C1157" s="0" t="s">
        <v>3447</v>
      </c>
      <c r="D1157" s="0" t="s">
        <v>3448</v>
      </c>
      <c r="E1157" s="19" t="s">
        <v>26</v>
      </c>
      <c r="F1157" s="19" t="s">
        <v>32</v>
      </c>
      <c r="G1157" s="21" t="s">
        <v>3879</v>
      </c>
      <c r="H1157" s="21" t="s">
        <v>24</v>
      </c>
      <c r="I1157" s="21" t="s">
        <v>26</v>
      </c>
      <c r="J1157" s="21" t="s">
        <v>24</v>
      </c>
      <c r="K1157" s="21" t="s">
        <v>25</v>
      </c>
      <c r="L1157" s="21" t="s">
        <v>24</v>
      </c>
      <c r="M1157" s="0" t="n">
        <v>184</v>
      </c>
      <c r="N1157" s="0" t="n">
        <v>12</v>
      </c>
      <c r="O1157" s="21" t="s">
        <v>3978</v>
      </c>
      <c r="P1157" s="21" t="s">
        <v>4658</v>
      </c>
      <c r="Q1157" s="0" t="n">
        <v>0</v>
      </c>
      <c r="S1157" s="0" t="n">
        <v>12</v>
      </c>
      <c r="T1157" s="21" t="s">
        <v>3978</v>
      </c>
      <c r="U1157" s="22" t="b">
        <f aca="false">FALSE()</f>
        <v>0</v>
      </c>
      <c r="V1157" s="0" t="n">
        <v>0.73</v>
      </c>
      <c r="W1157" s="0" t="n">
        <v>0.76</v>
      </c>
      <c r="X1157" s="0" t="n">
        <v>12.54</v>
      </c>
      <c r="Y1157" s="0" t="n">
        <v>319.62</v>
      </c>
      <c r="Z1157" s="0" t="n">
        <v>8</v>
      </c>
      <c r="AA1157" s="0" t="n">
        <v>-1.16</v>
      </c>
      <c r="AB1157" s="0" t="n">
        <v>0.1</v>
      </c>
      <c r="AC1157" s="22" t="b">
        <f aca="false">FALSE()</f>
        <v>0</v>
      </c>
      <c r="AD1157" s="0" t="n">
        <v>12.53</v>
      </c>
      <c r="AE1157" s="0" t="n">
        <v>3.46</v>
      </c>
      <c r="AF1157" s="0" t="n">
        <v>10.32</v>
      </c>
      <c r="AG1157" s="22" t="b">
        <f aca="false">TRUE()</f>
        <v>1</v>
      </c>
      <c r="AH1157" s="0" t="n">
        <v>1</v>
      </c>
    </row>
    <row r="1158" customFormat="false" ht="15" hidden="false" customHeight="false" outlineLevel="0" collapsed="false">
      <c r="A1158" s="0" t="s">
        <v>1799</v>
      </c>
      <c r="B1158" s="0" t="s">
        <v>134</v>
      </c>
      <c r="C1158" s="0" t="s">
        <v>3450</v>
      </c>
      <c r="D1158" s="0" t="s">
        <v>3457</v>
      </c>
      <c r="E1158" s="20" t="s">
        <v>25</v>
      </c>
      <c r="F1158" s="23" t="s">
        <v>30</v>
      </c>
      <c r="G1158" s="21" t="s">
        <v>283</v>
      </c>
      <c r="H1158" s="21" t="s">
        <v>24</v>
      </c>
      <c r="I1158" s="21" t="s">
        <v>25</v>
      </c>
      <c r="J1158" s="21" t="s">
        <v>24</v>
      </c>
      <c r="K1158" s="21" t="s">
        <v>24</v>
      </c>
      <c r="L1158" s="21" t="s">
        <v>24</v>
      </c>
      <c r="M1158" s="0" t="n">
        <v>192</v>
      </c>
      <c r="N1158" s="0" t="n">
        <v>5</v>
      </c>
      <c r="O1158" s="21" t="s">
        <v>3829</v>
      </c>
      <c r="P1158" s="21" t="s">
        <v>4291</v>
      </c>
      <c r="Q1158" s="0" t="n">
        <v>1</v>
      </c>
      <c r="R1158" s="21" t="s">
        <v>69</v>
      </c>
      <c r="S1158" s="0" t="n">
        <v>5</v>
      </c>
      <c r="T1158" s="21" t="s">
        <v>3829</v>
      </c>
      <c r="U1158" s="22" t="b">
        <f aca="false">TRUE()</f>
        <v>1</v>
      </c>
      <c r="V1158" s="0" t="n">
        <v>0.65</v>
      </c>
      <c r="W1158" s="0" t="n">
        <v>0</v>
      </c>
      <c r="X1158" s="0" t="n">
        <v>14.46</v>
      </c>
      <c r="Y1158" s="0" t="n">
        <v>660.67</v>
      </c>
      <c r="Z1158" s="0" t="n">
        <v>11.33</v>
      </c>
      <c r="AA1158" s="0" t="n">
        <v>16.13</v>
      </c>
      <c r="AB1158" s="0" t="n">
        <v>6.4</v>
      </c>
      <c r="AC1158" s="22" t="b">
        <f aca="false">FALSE()</f>
        <v>0</v>
      </c>
      <c r="AD1158" s="0" t="n">
        <v>1.08</v>
      </c>
      <c r="AE1158" s="0" t="n">
        <v>0.33</v>
      </c>
      <c r="AF1158" s="0" t="n">
        <v>0.29</v>
      </c>
      <c r="AG1158" s="22" t="b">
        <f aca="false">FALSE()</f>
        <v>0</v>
      </c>
      <c r="AH1158" s="0" t="n">
        <v>1</v>
      </c>
    </row>
    <row r="1159" customFormat="false" ht="15" hidden="false" customHeight="false" outlineLevel="0" collapsed="false">
      <c r="A1159" s="0" t="s">
        <v>1799</v>
      </c>
      <c r="B1159" s="0" t="s">
        <v>134</v>
      </c>
      <c r="C1159" s="0" t="s">
        <v>3450</v>
      </c>
      <c r="D1159" s="0" t="s">
        <v>3448</v>
      </c>
      <c r="E1159" s="20" t="s">
        <v>25</v>
      </c>
      <c r="F1159" s="23" t="s">
        <v>30</v>
      </c>
      <c r="G1159" s="21" t="s">
        <v>1152</v>
      </c>
      <c r="H1159" s="21" t="s">
        <v>24</v>
      </c>
      <c r="I1159" s="21" t="s">
        <v>25</v>
      </c>
      <c r="J1159" s="21" t="s">
        <v>24</v>
      </c>
      <c r="K1159" s="21" t="s">
        <v>25</v>
      </c>
      <c r="L1159" s="21" t="s">
        <v>24</v>
      </c>
      <c r="M1159" s="0" t="n">
        <v>184</v>
      </c>
      <c r="N1159" s="0" t="n">
        <v>4</v>
      </c>
      <c r="O1159" s="21" t="s">
        <v>3759</v>
      </c>
      <c r="P1159" s="21" t="s">
        <v>4659</v>
      </c>
      <c r="Q1159" s="0" t="n">
        <v>1</v>
      </c>
      <c r="R1159" s="21" t="s">
        <v>69</v>
      </c>
      <c r="S1159" s="0" t="n">
        <v>4</v>
      </c>
      <c r="T1159" s="21" t="s">
        <v>3759</v>
      </c>
      <c r="U1159" s="22" t="b">
        <f aca="false">TRUE()</f>
        <v>1</v>
      </c>
      <c r="V1159" s="0" t="n">
        <v>0.72</v>
      </c>
      <c r="W1159" s="0" t="n">
        <v>0.72</v>
      </c>
      <c r="X1159" s="0" t="n">
        <v>13.21</v>
      </c>
      <c r="Y1159" s="0" t="n">
        <v>318.73</v>
      </c>
      <c r="Z1159" s="0" t="n">
        <v>11.5</v>
      </c>
      <c r="AA1159" s="0" t="n">
        <v>4.41</v>
      </c>
      <c r="AB1159" s="0" t="n">
        <v>0.88</v>
      </c>
      <c r="AC1159" s="22" t="b">
        <f aca="false">FALSE()</f>
        <v>0</v>
      </c>
      <c r="AD1159" s="0" t="n">
        <v>0.41</v>
      </c>
      <c r="AE1159" s="0" t="n">
        <v>-0.07</v>
      </c>
      <c r="AF1159" s="0" t="n">
        <v>1.39</v>
      </c>
      <c r="AG1159" s="22" t="b">
        <f aca="false">FALSE()</f>
        <v>0</v>
      </c>
      <c r="AH1159" s="0" t="n">
        <v>1</v>
      </c>
    </row>
    <row r="1160" customFormat="false" ht="15" hidden="false" customHeight="false" outlineLevel="0" collapsed="false">
      <c r="A1160" s="0" t="s">
        <v>1799</v>
      </c>
      <c r="B1160" s="0" t="s">
        <v>134</v>
      </c>
      <c r="C1160" s="0" t="s">
        <v>3447</v>
      </c>
      <c r="D1160" s="0" t="s">
        <v>3457</v>
      </c>
      <c r="E1160" s="19" t="s">
        <v>26</v>
      </c>
      <c r="F1160" s="19" t="s">
        <v>32</v>
      </c>
      <c r="G1160" s="21" t="s">
        <v>60</v>
      </c>
      <c r="H1160" s="21" t="s">
        <v>24</v>
      </c>
      <c r="I1160" s="21" t="s">
        <v>26</v>
      </c>
      <c r="J1160" s="21" t="s">
        <v>24</v>
      </c>
      <c r="K1160" s="21" t="s">
        <v>24</v>
      </c>
      <c r="L1160" s="21" t="s">
        <v>24</v>
      </c>
      <c r="M1160" s="0" t="n">
        <v>185</v>
      </c>
      <c r="N1160" s="0" t="n">
        <v>7</v>
      </c>
      <c r="O1160" s="21" t="s">
        <v>3975</v>
      </c>
      <c r="P1160" s="21" t="s">
        <v>4660</v>
      </c>
      <c r="Q1160" s="0" t="n">
        <v>0</v>
      </c>
      <c r="S1160" s="0" t="n">
        <v>7</v>
      </c>
      <c r="T1160" s="21" t="s">
        <v>3975</v>
      </c>
      <c r="U1160" s="22" t="b">
        <f aca="false">FALSE()</f>
        <v>0</v>
      </c>
      <c r="V1160" s="0" t="n">
        <v>0.6</v>
      </c>
      <c r="W1160" s="0" t="n">
        <v>0.88</v>
      </c>
      <c r="X1160" s="0" t="n">
        <v>15.54</v>
      </c>
      <c r="Y1160" s="0" t="n">
        <v>287.44</v>
      </c>
      <c r="Z1160" s="0" t="n">
        <v>11.42</v>
      </c>
      <c r="AA1160" s="0" t="n">
        <v>9.89</v>
      </c>
      <c r="AB1160" s="0" t="n">
        <v>6.4</v>
      </c>
      <c r="AC1160" s="22" t="b">
        <f aca="false">FALSE()</f>
        <v>0</v>
      </c>
      <c r="AD1160" s="0" t="n">
        <v>0.79</v>
      </c>
      <c r="AE1160" s="0" t="n">
        <v>2.03</v>
      </c>
      <c r="AF1160" s="0" t="n">
        <v>1.66</v>
      </c>
      <c r="AG1160" s="22" t="b">
        <f aca="false">FALSE()</f>
        <v>0</v>
      </c>
      <c r="AH1160" s="0" t="n">
        <v>1</v>
      </c>
    </row>
    <row r="1161" customFormat="false" ht="15" hidden="false" customHeight="false" outlineLevel="0" collapsed="false">
      <c r="A1161" s="0" t="s">
        <v>1799</v>
      </c>
      <c r="B1161" s="0" t="s">
        <v>134</v>
      </c>
      <c r="C1161" s="0" t="s">
        <v>3447</v>
      </c>
      <c r="D1161" s="0" t="s">
        <v>3448</v>
      </c>
      <c r="E1161" s="19" t="s">
        <v>26</v>
      </c>
      <c r="F1161" s="19" t="s">
        <v>32</v>
      </c>
      <c r="G1161" s="21" t="s">
        <v>3879</v>
      </c>
      <c r="H1161" s="21" t="s">
        <v>24</v>
      </c>
      <c r="I1161" s="21" t="s">
        <v>26</v>
      </c>
      <c r="J1161" s="21" t="s">
        <v>24</v>
      </c>
      <c r="K1161" s="21" t="s">
        <v>25</v>
      </c>
      <c r="L1161" s="21" t="s">
        <v>24</v>
      </c>
      <c r="M1161" s="0" t="n">
        <v>186</v>
      </c>
      <c r="N1161" s="0" t="n">
        <v>7</v>
      </c>
      <c r="O1161" s="21" t="s">
        <v>3955</v>
      </c>
      <c r="P1161" s="21" t="s">
        <v>4661</v>
      </c>
      <c r="Q1161" s="0" t="n">
        <v>0</v>
      </c>
      <c r="S1161" s="0" t="n">
        <v>7</v>
      </c>
      <c r="T1161" s="21" t="s">
        <v>3955</v>
      </c>
      <c r="U1161" s="22" t="b">
        <f aca="false">FALSE()</f>
        <v>0</v>
      </c>
      <c r="V1161" s="0" t="n">
        <v>0.63</v>
      </c>
      <c r="W1161" s="0" t="n">
        <v>0.96</v>
      </c>
      <c r="X1161" s="0" t="n">
        <v>18.19</v>
      </c>
      <c r="Y1161" s="0" t="n">
        <v>316.6</v>
      </c>
      <c r="Z1161" s="0" t="n">
        <v>10.75</v>
      </c>
      <c r="AA1161" s="0" t="n">
        <v>-0.03</v>
      </c>
      <c r="AB1161" s="0" t="n">
        <v>0.88</v>
      </c>
      <c r="AC1161" s="22" t="b">
        <f aca="false">FALSE()</f>
        <v>0</v>
      </c>
      <c r="AD1161" s="0" t="n">
        <v>0.85</v>
      </c>
      <c r="AE1161" s="0" t="n">
        <v>0.57</v>
      </c>
      <c r="AF1161" s="0" t="n">
        <v>1.61</v>
      </c>
      <c r="AG1161" s="22" t="b">
        <f aca="false">FALSE()</f>
        <v>0</v>
      </c>
      <c r="AH1161" s="0" t="n">
        <v>1</v>
      </c>
    </row>
    <row r="1162" customFormat="false" ht="15" hidden="false" customHeight="false" outlineLevel="0" collapsed="false">
      <c r="A1162" s="0" t="s">
        <v>1806</v>
      </c>
      <c r="B1162" s="0" t="s">
        <v>134</v>
      </c>
      <c r="C1162" s="0" t="s">
        <v>3450</v>
      </c>
      <c r="D1162" s="0" t="s">
        <v>3457</v>
      </c>
      <c r="E1162" s="20" t="s">
        <v>25</v>
      </c>
      <c r="F1162" s="23" t="s">
        <v>30</v>
      </c>
      <c r="G1162" s="21" t="s">
        <v>357</v>
      </c>
      <c r="H1162" s="21" t="s">
        <v>24</v>
      </c>
      <c r="I1162" s="21" t="s">
        <v>25</v>
      </c>
      <c r="J1162" s="21" t="s">
        <v>24</v>
      </c>
      <c r="K1162" s="21" t="s">
        <v>25</v>
      </c>
      <c r="L1162" s="21" t="s">
        <v>24</v>
      </c>
      <c r="M1162" s="0" t="n">
        <v>182</v>
      </c>
      <c r="N1162" s="0" t="n">
        <v>1</v>
      </c>
      <c r="O1162" s="21" t="s">
        <v>69</v>
      </c>
      <c r="P1162" s="21" t="s">
        <v>4662</v>
      </c>
      <c r="Q1162" s="0" t="n">
        <v>1</v>
      </c>
      <c r="R1162" s="21" t="s">
        <v>69</v>
      </c>
      <c r="S1162" s="0" t="n">
        <v>1</v>
      </c>
      <c r="T1162" s="21" t="s">
        <v>69</v>
      </c>
      <c r="U1162" s="22" t="b">
        <f aca="false">TRUE()</f>
        <v>1</v>
      </c>
      <c r="V1162" s="0" t="n">
        <v>0.69</v>
      </c>
      <c r="W1162" s="0" t="n">
        <v>0.8</v>
      </c>
      <c r="X1162" s="0" t="n">
        <v>5.06</v>
      </c>
      <c r="Y1162" s="0" t="n">
        <v>316.55</v>
      </c>
      <c r="Z1162" s="0" t="n">
        <v>8.25</v>
      </c>
      <c r="AA1162" s="0" t="n">
        <v>-0.43</v>
      </c>
      <c r="AB1162" s="0" t="n">
        <v>0.75</v>
      </c>
      <c r="AC1162" s="22" t="b">
        <f aca="false">TRUE()</f>
        <v>1</v>
      </c>
      <c r="AD1162" s="0" t="n">
        <v>12.93</v>
      </c>
      <c r="AE1162" s="0" t="n">
        <v>0.46</v>
      </c>
      <c r="AF1162" s="0" t="n">
        <v>3.64</v>
      </c>
      <c r="AG1162" s="22" t="b">
        <f aca="false">TRUE()</f>
        <v>1</v>
      </c>
      <c r="AH1162" s="0" t="n">
        <v>1</v>
      </c>
    </row>
    <row r="1163" customFormat="false" ht="15" hidden="false" customHeight="false" outlineLevel="0" collapsed="false">
      <c r="A1163" s="0" t="s">
        <v>1806</v>
      </c>
      <c r="B1163" s="0" t="s">
        <v>134</v>
      </c>
      <c r="C1163" s="0" t="s">
        <v>3450</v>
      </c>
      <c r="D1163" s="0" t="s">
        <v>3448</v>
      </c>
      <c r="E1163" s="20" t="s">
        <v>25</v>
      </c>
      <c r="F1163" s="23" t="s">
        <v>30</v>
      </c>
      <c r="G1163" s="21" t="s">
        <v>183</v>
      </c>
      <c r="H1163" s="21" t="s">
        <v>24</v>
      </c>
      <c r="I1163" s="21" t="s">
        <v>25</v>
      </c>
      <c r="J1163" s="21" t="s">
        <v>24</v>
      </c>
      <c r="K1163" s="21" t="s">
        <v>25</v>
      </c>
      <c r="L1163" s="21" t="s">
        <v>24</v>
      </c>
      <c r="M1163" s="0" t="n">
        <v>182</v>
      </c>
      <c r="N1163" s="0" t="n">
        <v>1</v>
      </c>
      <c r="O1163" s="21" t="s">
        <v>69</v>
      </c>
      <c r="P1163" s="21" t="s">
        <v>4275</v>
      </c>
      <c r="Q1163" s="0" t="n">
        <v>1</v>
      </c>
      <c r="R1163" s="21" t="s">
        <v>69</v>
      </c>
      <c r="S1163" s="0" t="n">
        <v>1</v>
      </c>
      <c r="T1163" s="21" t="s">
        <v>69</v>
      </c>
      <c r="U1163" s="22" t="b">
        <f aca="false">TRUE()</f>
        <v>1</v>
      </c>
      <c r="V1163" s="0" t="n">
        <v>0.75</v>
      </c>
      <c r="W1163" s="0" t="n">
        <v>0.16</v>
      </c>
      <c r="X1163" s="0" t="n">
        <v>4.46</v>
      </c>
      <c r="Y1163" s="0" t="n">
        <v>541.82</v>
      </c>
      <c r="Z1163" s="0" t="n">
        <v>9.42</v>
      </c>
      <c r="AA1163" s="0" t="n">
        <v>6.3</v>
      </c>
      <c r="AB1163" s="0" t="n">
        <v>1.8</v>
      </c>
      <c r="AC1163" s="22" t="b">
        <f aca="false">FALSE()</f>
        <v>0</v>
      </c>
      <c r="AD1163" s="0" t="n">
        <v>20.64</v>
      </c>
      <c r="AE1163" s="0" t="n">
        <v>0.51</v>
      </c>
      <c r="AF1163" s="0" t="n">
        <v>3.52</v>
      </c>
      <c r="AG1163" s="22" t="b">
        <f aca="false">TRUE()</f>
        <v>1</v>
      </c>
      <c r="AH1163" s="0" t="n">
        <v>1</v>
      </c>
    </row>
    <row r="1164" customFormat="false" ht="15" hidden="false" customHeight="false" outlineLevel="0" collapsed="false">
      <c r="A1164" s="0" t="s">
        <v>1806</v>
      </c>
      <c r="B1164" s="0" t="s">
        <v>134</v>
      </c>
      <c r="C1164" s="0" t="s">
        <v>3447</v>
      </c>
      <c r="D1164" s="0" t="s">
        <v>3457</v>
      </c>
      <c r="E1164" s="20" t="s">
        <v>25</v>
      </c>
      <c r="F1164" s="23" t="s">
        <v>30</v>
      </c>
      <c r="G1164" s="21" t="s">
        <v>1099</v>
      </c>
      <c r="H1164" s="21" t="s">
        <v>24</v>
      </c>
      <c r="I1164" s="21" t="s">
        <v>25</v>
      </c>
      <c r="J1164" s="21" t="s">
        <v>24</v>
      </c>
      <c r="K1164" s="21" t="s">
        <v>25</v>
      </c>
      <c r="L1164" s="21" t="s">
        <v>24</v>
      </c>
      <c r="M1164" s="0" t="n">
        <v>182</v>
      </c>
      <c r="N1164" s="0" t="n">
        <v>2</v>
      </c>
      <c r="O1164" s="21" t="s">
        <v>3575</v>
      </c>
      <c r="P1164" s="21" t="s">
        <v>4663</v>
      </c>
      <c r="Q1164" s="0" t="n">
        <v>1</v>
      </c>
      <c r="R1164" s="21" t="s">
        <v>69</v>
      </c>
      <c r="S1164" s="0" t="n">
        <v>2</v>
      </c>
      <c r="T1164" s="21" t="s">
        <v>3575</v>
      </c>
      <c r="U1164" s="22" t="b">
        <f aca="false">TRUE()</f>
        <v>1</v>
      </c>
      <c r="V1164" s="0" t="n">
        <v>0.67</v>
      </c>
      <c r="W1164" s="0" t="n">
        <v>0.92</v>
      </c>
      <c r="X1164" s="0" t="n">
        <v>5.03</v>
      </c>
      <c r="Y1164" s="0" t="n">
        <v>311.3</v>
      </c>
      <c r="Z1164" s="0" t="n">
        <v>8.25</v>
      </c>
      <c r="AA1164" s="0" t="n">
        <v>-0.72</v>
      </c>
      <c r="AB1164" s="0" t="n">
        <v>0.75</v>
      </c>
      <c r="AC1164" s="22" t="b">
        <f aca="false">FALSE()</f>
        <v>0</v>
      </c>
      <c r="AD1164" s="0" t="n">
        <v>8.22</v>
      </c>
      <c r="AE1164" s="0" t="n">
        <v>0.54</v>
      </c>
      <c r="AF1164" s="0" t="n">
        <v>5.46</v>
      </c>
      <c r="AG1164" s="22" t="b">
        <f aca="false">FALSE()</f>
        <v>0</v>
      </c>
      <c r="AH1164" s="0" t="n">
        <v>1</v>
      </c>
    </row>
    <row r="1165" customFormat="false" ht="15" hidden="false" customHeight="false" outlineLevel="0" collapsed="false">
      <c r="A1165" s="0" t="s">
        <v>1806</v>
      </c>
      <c r="B1165" s="0" t="s">
        <v>134</v>
      </c>
      <c r="C1165" s="0" t="s">
        <v>3447</v>
      </c>
      <c r="D1165" s="0" t="s">
        <v>3448</v>
      </c>
      <c r="E1165" s="20" t="s">
        <v>25</v>
      </c>
      <c r="F1165" s="23" t="s">
        <v>30</v>
      </c>
      <c r="G1165" s="21" t="s">
        <v>283</v>
      </c>
      <c r="H1165" s="21" t="s">
        <v>24</v>
      </c>
      <c r="I1165" s="21" t="s">
        <v>25</v>
      </c>
      <c r="J1165" s="21" t="s">
        <v>24</v>
      </c>
      <c r="K1165" s="21" t="s">
        <v>24</v>
      </c>
      <c r="L1165" s="21" t="s">
        <v>24</v>
      </c>
      <c r="M1165" s="0" t="n">
        <v>183</v>
      </c>
      <c r="N1165" s="0" t="n">
        <v>1</v>
      </c>
      <c r="O1165" s="21" t="s">
        <v>69</v>
      </c>
      <c r="P1165" s="21" t="s">
        <v>4275</v>
      </c>
      <c r="Q1165" s="0" t="n">
        <v>1</v>
      </c>
      <c r="R1165" s="21" t="s">
        <v>69</v>
      </c>
      <c r="S1165" s="0" t="n">
        <v>1</v>
      </c>
      <c r="T1165" s="21" t="s">
        <v>69</v>
      </c>
      <c r="U1165" s="22" t="b">
        <f aca="false">TRUE()</f>
        <v>1</v>
      </c>
      <c r="V1165" s="0" t="n">
        <v>0.75</v>
      </c>
      <c r="W1165" s="0" t="n">
        <v>0.44</v>
      </c>
      <c r="X1165" s="0" t="n">
        <v>4.68</v>
      </c>
      <c r="Y1165" s="0" t="n">
        <v>339.97</v>
      </c>
      <c r="Z1165" s="0" t="n">
        <v>8.25</v>
      </c>
      <c r="AA1165" s="0" t="n">
        <v>4.62</v>
      </c>
      <c r="AB1165" s="0" t="n">
        <v>1.8</v>
      </c>
      <c r="AC1165" s="22" t="b">
        <f aca="false">FALSE()</f>
        <v>0</v>
      </c>
      <c r="AD1165" s="0" t="n">
        <v>19.62</v>
      </c>
      <c r="AE1165" s="0" t="n">
        <v>0.71</v>
      </c>
      <c r="AF1165" s="0" t="n">
        <v>4.14</v>
      </c>
      <c r="AG1165" s="22" t="b">
        <f aca="false">TRUE()</f>
        <v>1</v>
      </c>
      <c r="AH1165" s="0" t="n">
        <v>1</v>
      </c>
    </row>
    <row r="1166" customFormat="false" ht="15" hidden="false" customHeight="false" outlineLevel="0" collapsed="false">
      <c r="A1166" s="0" t="s">
        <v>1813</v>
      </c>
      <c r="B1166" s="0" t="s">
        <v>134</v>
      </c>
      <c r="C1166" s="0" t="s">
        <v>3450</v>
      </c>
      <c r="D1166" s="0" t="s">
        <v>3457</v>
      </c>
      <c r="E1166" s="20" t="s">
        <v>25</v>
      </c>
      <c r="F1166" s="23" t="s">
        <v>30</v>
      </c>
      <c r="G1166" s="21" t="s">
        <v>1046</v>
      </c>
      <c r="H1166" s="21" t="s">
        <v>24</v>
      </c>
      <c r="I1166" s="21" t="s">
        <v>25</v>
      </c>
      <c r="J1166" s="21" t="s">
        <v>24</v>
      </c>
      <c r="K1166" s="21" t="s">
        <v>25</v>
      </c>
      <c r="L1166" s="21" t="s">
        <v>24</v>
      </c>
      <c r="M1166" s="0" t="n">
        <v>183</v>
      </c>
      <c r="N1166" s="0" t="n">
        <v>1</v>
      </c>
      <c r="O1166" s="21" t="s">
        <v>69</v>
      </c>
      <c r="P1166" s="21" t="s">
        <v>4275</v>
      </c>
      <c r="Q1166" s="0" t="n">
        <v>1</v>
      </c>
      <c r="R1166" s="21" t="s">
        <v>69</v>
      </c>
      <c r="S1166" s="0" t="n">
        <v>1</v>
      </c>
      <c r="T1166" s="21" t="s">
        <v>69</v>
      </c>
      <c r="U1166" s="22" t="b">
        <f aca="false">TRUE()</f>
        <v>1</v>
      </c>
      <c r="V1166" s="0" t="n">
        <v>0.72</v>
      </c>
      <c r="W1166" s="0" t="n">
        <v>0</v>
      </c>
      <c r="X1166" s="0" t="n">
        <v>6.21</v>
      </c>
      <c r="Y1166" s="0" t="n">
        <v>0.53</v>
      </c>
      <c r="Z1166" s="0" t="n">
        <v>11.92</v>
      </c>
      <c r="AA1166" s="0" t="n">
        <v>2.31</v>
      </c>
      <c r="AB1166" s="0" t="n">
        <v>2.03</v>
      </c>
      <c r="AC1166" s="22" t="b">
        <f aca="false">FALSE()</f>
        <v>0</v>
      </c>
      <c r="AD1166" s="0" t="n">
        <v>20.62</v>
      </c>
      <c r="AE1166" s="0" t="n">
        <v>0.65</v>
      </c>
      <c r="AF1166" s="0" t="n">
        <v>13.98</v>
      </c>
      <c r="AG1166" s="22" t="b">
        <f aca="false">TRUE()</f>
        <v>1</v>
      </c>
      <c r="AH1166" s="0" t="n">
        <v>0</v>
      </c>
    </row>
    <row r="1167" customFormat="false" ht="15" hidden="false" customHeight="false" outlineLevel="0" collapsed="false">
      <c r="A1167" s="0" t="s">
        <v>1813</v>
      </c>
      <c r="B1167" s="0" t="s">
        <v>134</v>
      </c>
      <c r="C1167" s="0" t="s">
        <v>3450</v>
      </c>
      <c r="D1167" s="0" t="s">
        <v>3448</v>
      </c>
      <c r="E1167" s="20" t="s">
        <v>25</v>
      </c>
      <c r="F1167" s="23" t="s">
        <v>30</v>
      </c>
      <c r="G1167" s="21" t="s">
        <v>1230</v>
      </c>
      <c r="H1167" s="21" t="s">
        <v>24</v>
      </c>
      <c r="I1167" s="21" t="s">
        <v>25</v>
      </c>
      <c r="J1167" s="21" t="s">
        <v>24</v>
      </c>
      <c r="K1167" s="21" t="s">
        <v>25</v>
      </c>
      <c r="L1167" s="21" t="s">
        <v>24</v>
      </c>
      <c r="M1167" s="0" t="n">
        <v>189</v>
      </c>
      <c r="N1167" s="0" t="n">
        <v>1</v>
      </c>
      <c r="O1167" s="21" t="s">
        <v>69</v>
      </c>
      <c r="P1167" s="21" t="s">
        <v>4275</v>
      </c>
      <c r="Q1167" s="0" t="n">
        <v>1</v>
      </c>
      <c r="R1167" s="21" t="s">
        <v>69</v>
      </c>
      <c r="S1167" s="0" t="n">
        <v>1</v>
      </c>
      <c r="T1167" s="21" t="s">
        <v>69</v>
      </c>
      <c r="U1167" s="22" t="b">
        <f aca="false">TRUE()</f>
        <v>1</v>
      </c>
      <c r="V1167" s="0" t="n">
        <v>0.74</v>
      </c>
      <c r="W1167" s="0" t="n">
        <v>0.72</v>
      </c>
      <c r="X1167" s="0" t="n">
        <v>6.36</v>
      </c>
      <c r="Y1167" s="0" t="n">
        <v>331.45</v>
      </c>
      <c r="Z1167" s="0" t="n">
        <v>11</v>
      </c>
      <c r="AA1167" s="0" t="n">
        <v>2.33</v>
      </c>
      <c r="AB1167" s="0" t="n">
        <v>1.53</v>
      </c>
      <c r="AC1167" s="22" t="b">
        <f aca="false">FALSE()</f>
        <v>0</v>
      </c>
      <c r="AD1167" s="0" t="n">
        <v>17.36</v>
      </c>
      <c r="AE1167" s="0" t="n">
        <v>0.16</v>
      </c>
      <c r="AF1167" s="0" t="n">
        <v>15.43</v>
      </c>
      <c r="AG1167" s="22" t="b">
        <f aca="false">TRUE()</f>
        <v>1</v>
      </c>
      <c r="AH1167" s="0" t="n">
        <v>1</v>
      </c>
    </row>
    <row r="1168" customFormat="false" ht="15" hidden="false" customHeight="false" outlineLevel="0" collapsed="false">
      <c r="A1168" s="0" t="s">
        <v>1813</v>
      </c>
      <c r="B1168" s="0" t="s">
        <v>134</v>
      </c>
      <c r="C1168" s="0" t="s">
        <v>3447</v>
      </c>
      <c r="D1168" s="0" t="s">
        <v>3457</v>
      </c>
      <c r="E1168" s="19" t="s">
        <v>26</v>
      </c>
      <c r="F1168" s="19" t="s">
        <v>32</v>
      </c>
      <c r="G1168" s="21" t="s">
        <v>529</v>
      </c>
      <c r="H1168" s="21" t="s">
        <v>24</v>
      </c>
      <c r="I1168" s="21" t="s">
        <v>26</v>
      </c>
      <c r="J1168" s="21" t="s">
        <v>24</v>
      </c>
      <c r="K1168" s="21" t="s">
        <v>24</v>
      </c>
      <c r="L1168" s="21" t="s">
        <v>24</v>
      </c>
      <c r="M1168" s="0" t="n">
        <v>185</v>
      </c>
      <c r="N1168" s="0" t="n">
        <v>13</v>
      </c>
      <c r="O1168" s="21" t="s">
        <v>4023</v>
      </c>
      <c r="P1168" s="21" t="s">
        <v>4229</v>
      </c>
      <c r="Q1168" s="0" t="n">
        <v>1</v>
      </c>
      <c r="R1168" s="21" t="s">
        <v>69</v>
      </c>
      <c r="S1168" s="0" t="n">
        <v>13</v>
      </c>
      <c r="T1168" s="21" t="s">
        <v>4023</v>
      </c>
      <c r="U1168" s="22" t="b">
        <f aca="false">FALSE()</f>
        <v>0</v>
      </c>
      <c r="V1168" s="0" t="n">
        <v>0.72</v>
      </c>
      <c r="W1168" s="0" t="n">
        <v>0.92</v>
      </c>
      <c r="X1168" s="0" t="n">
        <v>6.84</v>
      </c>
      <c r="Y1168" s="0" t="n">
        <v>320.47</v>
      </c>
      <c r="Z1168" s="0" t="n">
        <v>8</v>
      </c>
      <c r="AA1168" s="0" t="n">
        <v>-0.52</v>
      </c>
      <c r="AB1168" s="0" t="n">
        <v>2.03</v>
      </c>
      <c r="AC1168" s="22" t="b">
        <f aca="false">FALSE()</f>
        <v>0</v>
      </c>
      <c r="AD1168" s="0" t="n">
        <v>19.49</v>
      </c>
      <c r="AE1168" s="0" t="n">
        <v>0.72</v>
      </c>
      <c r="AF1168" s="0" t="n">
        <v>11.39</v>
      </c>
      <c r="AG1168" s="22" t="b">
        <f aca="false">TRUE()</f>
        <v>1</v>
      </c>
      <c r="AH1168" s="0" t="n">
        <v>1</v>
      </c>
    </row>
    <row r="1169" customFormat="false" ht="15" hidden="false" customHeight="false" outlineLevel="0" collapsed="false">
      <c r="A1169" s="0" t="s">
        <v>1813</v>
      </c>
      <c r="B1169" s="0" t="s">
        <v>134</v>
      </c>
      <c r="C1169" s="0" t="s">
        <v>3447</v>
      </c>
      <c r="D1169" s="0" t="s">
        <v>3448</v>
      </c>
      <c r="E1169" s="18" t="s">
        <v>24</v>
      </c>
      <c r="F1169" s="23" t="s">
        <v>30</v>
      </c>
      <c r="G1169" s="21" t="s">
        <v>30</v>
      </c>
      <c r="H1169" s="21" t="s">
        <v>24</v>
      </c>
      <c r="I1169" s="21" t="s">
        <v>24</v>
      </c>
      <c r="J1169" s="21" t="s">
        <v>24</v>
      </c>
      <c r="K1169" s="21" t="s">
        <v>24</v>
      </c>
      <c r="L1169" s="21" t="s">
        <v>24</v>
      </c>
      <c r="M1169" s="0" t="n">
        <v>199</v>
      </c>
      <c r="N1169" s="0" t="n">
        <v>4</v>
      </c>
      <c r="O1169" s="21" t="s">
        <v>3607</v>
      </c>
      <c r="P1169" s="21" t="s">
        <v>4294</v>
      </c>
      <c r="Q1169" s="0" t="n">
        <v>0</v>
      </c>
      <c r="S1169" s="0" t="n">
        <v>4</v>
      </c>
      <c r="T1169" s="21" t="s">
        <v>3607</v>
      </c>
      <c r="U1169" s="22" t="b">
        <f aca="false">TRUE()</f>
        <v>1</v>
      </c>
      <c r="V1169" s="0" t="n">
        <v>0.75</v>
      </c>
      <c r="W1169" s="0" t="n">
        <v>0.92</v>
      </c>
      <c r="X1169" s="0" t="n">
        <v>8.53</v>
      </c>
      <c r="Y1169" s="0" t="n">
        <v>344.67</v>
      </c>
      <c r="Z1169" s="0" t="n">
        <v>8</v>
      </c>
      <c r="AA1169" s="0" t="n">
        <v>-0.05</v>
      </c>
      <c r="AB1169" s="0" t="n">
        <v>1.53</v>
      </c>
      <c r="AC1169" s="22" t="b">
        <f aca="false">FALSE()</f>
        <v>0</v>
      </c>
      <c r="AD1169" s="0" t="n">
        <v>18.19</v>
      </c>
      <c r="AE1169" s="0" t="n">
        <v>1.14</v>
      </c>
      <c r="AF1169" s="0" t="n">
        <v>12.53</v>
      </c>
      <c r="AG1169" s="22" t="b">
        <f aca="false">TRUE()</f>
        <v>1</v>
      </c>
      <c r="AH1169" s="0" t="n">
        <v>1</v>
      </c>
    </row>
    <row r="1170" customFormat="false" ht="15" hidden="false" customHeight="false" outlineLevel="0" collapsed="false">
      <c r="A1170" s="0" t="s">
        <v>1819</v>
      </c>
      <c r="B1170" s="0" t="s">
        <v>134</v>
      </c>
      <c r="C1170" s="0" t="s">
        <v>3450</v>
      </c>
      <c r="D1170" s="0" t="s">
        <v>3457</v>
      </c>
      <c r="E1170" s="20" t="s">
        <v>25</v>
      </c>
      <c r="F1170" s="23" t="s">
        <v>30</v>
      </c>
      <c r="G1170" s="21" t="s">
        <v>197</v>
      </c>
      <c r="H1170" s="21" t="s">
        <v>24</v>
      </c>
      <c r="I1170" s="21" t="s">
        <v>25</v>
      </c>
      <c r="J1170" s="21" t="s">
        <v>24</v>
      </c>
      <c r="K1170" s="21" t="s">
        <v>25</v>
      </c>
      <c r="L1170" s="21" t="s">
        <v>24</v>
      </c>
      <c r="M1170" s="0" t="n">
        <v>185</v>
      </c>
      <c r="N1170" s="0" t="n">
        <v>1</v>
      </c>
      <c r="O1170" s="21" t="s">
        <v>69</v>
      </c>
      <c r="P1170" s="21" t="s">
        <v>4275</v>
      </c>
      <c r="Q1170" s="0" t="n">
        <v>1</v>
      </c>
      <c r="R1170" s="21" t="s">
        <v>69</v>
      </c>
      <c r="S1170" s="0" t="n">
        <v>1</v>
      </c>
      <c r="T1170" s="21" t="s">
        <v>69</v>
      </c>
      <c r="U1170" s="22" t="b">
        <f aca="false">TRUE()</f>
        <v>1</v>
      </c>
      <c r="V1170" s="0" t="n">
        <v>0.72</v>
      </c>
      <c r="W1170" s="0" t="n">
        <v>0</v>
      </c>
      <c r="X1170" s="0" t="n">
        <v>5.88</v>
      </c>
      <c r="Y1170" s="0" t="n">
        <v>1.75</v>
      </c>
      <c r="Z1170" s="0" t="n">
        <v>8.25</v>
      </c>
      <c r="AA1170" s="0" t="n">
        <v>1.55</v>
      </c>
      <c r="AB1170" s="0" t="n">
        <v>0.98</v>
      </c>
      <c r="AC1170" s="22" t="b">
        <f aca="false">TRUE()</f>
        <v>1</v>
      </c>
      <c r="AD1170" s="0" t="n">
        <v>13.62</v>
      </c>
      <c r="AE1170" s="0" t="n">
        <v>0.97</v>
      </c>
      <c r="AF1170" s="0" t="n">
        <v>4.01</v>
      </c>
      <c r="AG1170" s="22" t="b">
        <f aca="false">TRUE()</f>
        <v>1</v>
      </c>
      <c r="AH1170" s="0" t="n">
        <v>0</v>
      </c>
    </row>
    <row r="1171" customFormat="false" ht="15" hidden="false" customHeight="false" outlineLevel="0" collapsed="false">
      <c r="A1171" s="0" t="s">
        <v>1819</v>
      </c>
      <c r="B1171" s="0" t="s">
        <v>134</v>
      </c>
      <c r="C1171" s="0" t="s">
        <v>3450</v>
      </c>
      <c r="D1171" s="0" t="s">
        <v>3448</v>
      </c>
      <c r="E1171" s="20" t="s">
        <v>25</v>
      </c>
      <c r="F1171" s="23" t="s">
        <v>30</v>
      </c>
      <c r="G1171" s="21" t="s">
        <v>357</v>
      </c>
      <c r="H1171" s="21" t="s">
        <v>24</v>
      </c>
      <c r="I1171" s="21" t="s">
        <v>25</v>
      </c>
      <c r="J1171" s="21" t="s">
        <v>24</v>
      </c>
      <c r="K1171" s="21" t="s">
        <v>25</v>
      </c>
      <c r="L1171" s="21" t="s">
        <v>24</v>
      </c>
      <c r="M1171" s="0" t="n">
        <v>189</v>
      </c>
      <c r="N1171" s="0" t="n">
        <v>1</v>
      </c>
      <c r="O1171" s="21" t="s">
        <v>69</v>
      </c>
      <c r="P1171" s="21" t="s">
        <v>4275</v>
      </c>
      <c r="Q1171" s="0" t="n">
        <v>1</v>
      </c>
      <c r="R1171" s="21" t="s">
        <v>69</v>
      </c>
      <c r="S1171" s="0" t="n">
        <v>1</v>
      </c>
      <c r="T1171" s="21" t="s">
        <v>69</v>
      </c>
      <c r="U1171" s="22" t="b">
        <f aca="false">TRUE()</f>
        <v>1</v>
      </c>
      <c r="V1171" s="0" t="n">
        <v>0.73</v>
      </c>
      <c r="W1171" s="0" t="n">
        <v>0.76</v>
      </c>
      <c r="X1171" s="0" t="n">
        <v>5.62</v>
      </c>
      <c r="Y1171" s="0" t="n">
        <v>332.19</v>
      </c>
      <c r="Z1171" s="0" t="n">
        <v>8.75</v>
      </c>
      <c r="AA1171" s="0" t="n">
        <v>1.46</v>
      </c>
      <c r="AB1171" s="0" t="n">
        <v>0.89</v>
      </c>
      <c r="AC1171" s="22" t="b">
        <f aca="false">TRUE()</f>
        <v>1</v>
      </c>
      <c r="AD1171" s="0" t="n">
        <v>9.96</v>
      </c>
      <c r="AE1171" s="0" t="n">
        <v>0.66</v>
      </c>
      <c r="AF1171" s="0" t="n">
        <v>2.79</v>
      </c>
      <c r="AG1171" s="22" t="b">
        <f aca="false">FALSE()</f>
        <v>0</v>
      </c>
      <c r="AH1171" s="0" t="n">
        <v>1</v>
      </c>
    </row>
    <row r="1172" customFormat="false" ht="15" hidden="false" customHeight="false" outlineLevel="0" collapsed="false">
      <c r="A1172" s="0" t="s">
        <v>1819</v>
      </c>
      <c r="B1172" s="0" t="s">
        <v>134</v>
      </c>
      <c r="C1172" s="0" t="s">
        <v>3447</v>
      </c>
      <c r="D1172" s="0" t="s">
        <v>3457</v>
      </c>
      <c r="E1172" s="20" t="s">
        <v>25</v>
      </c>
      <c r="F1172" s="23" t="s">
        <v>30</v>
      </c>
      <c r="G1172" s="21" t="s">
        <v>1152</v>
      </c>
      <c r="H1172" s="21" t="s">
        <v>24</v>
      </c>
      <c r="I1172" s="21" t="s">
        <v>25</v>
      </c>
      <c r="J1172" s="21" t="s">
        <v>24</v>
      </c>
      <c r="K1172" s="21" t="s">
        <v>25</v>
      </c>
      <c r="L1172" s="21" t="s">
        <v>24</v>
      </c>
      <c r="M1172" s="0" t="n">
        <v>201</v>
      </c>
      <c r="N1172" s="0" t="n">
        <v>1</v>
      </c>
      <c r="O1172" s="21" t="s">
        <v>69</v>
      </c>
      <c r="P1172" s="21" t="s">
        <v>4275</v>
      </c>
      <c r="Q1172" s="0" t="n">
        <v>1</v>
      </c>
      <c r="R1172" s="21" t="s">
        <v>69</v>
      </c>
      <c r="S1172" s="0" t="n">
        <v>1</v>
      </c>
      <c r="T1172" s="21" t="s">
        <v>69</v>
      </c>
      <c r="U1172" s="22" t="b">
        <f aca="false">TRUE()</f>
        <v>1</v>
      </c>
      <c r="V1172" s="0" t="n">
        <v>0.73</v>
      </c>
      <c r="W1172" s="0" t="n">
        <v>0.8</v>
      </c>
      <c r="X1172" s="0" t="n">
        <v>6.55</v>
      </c>
      <c r="Y1172" s="0" t="n">
        <v>340.97</v>
      </c>
      <c r="Z1172" s="0" t="n">
        <v>8</v>
      </c>
      <c r="AA1172" s="0" t="n">
        <v>0.8</v>
      </c>
      <c r="AB1172" s="0" t="n">
        <v>0.98</v>
      </c>
      <c r="AC1172" s="22" t="b">
        <f aca="false">FALSE()</f>
        <v>0</v>
      </c>
      <c r="AD1172" s="0" t="n">
        <v>13.54</v>
      </c>
      <c r="AE1172" s="0" t="n">
        <v>0.39</v>
      </c>
      <c r="AF1172" s="0" t="n">
        <v>4.19</v>
      </c>
      <c r="AG1172" s="22" t="b">
        <f aca="false">TRUE()</f>
        <v>1</v>
      </c>
      <c r="AH1172" s="0" t="n">
        <v>1</v>
      </c>
    </row>
    <row r="1173" customFormat="false" ht="15" hidden="false" customHeight="false" outlineLevel="0" collapsed="false">
      <c r="A1173" s="0" t="s">
        <v>1819</v>
      </c>
      <c r="B1173" s="0" t="s">
        <v>134</v>
      </c>
      <c r="C1173" s="0" t="s">
        <v>3447</v>
      </c>
      <c r="D1173" s="0" t="s">
        <v>3448</v>
      </c>
      <c r="E1173" s="20" t="s">
        <v>25</v>
      </c>
      <c r="F1173" s="23" t="s">
        <v>30</v>
      </c>
      <c r="G1173" s="21" t="s">
        <v>1099</v>
      </c>
      <c r="H1173" s="21" t="s">
        <v>24</v>
      </c>
      <c r="I1173" s="21" t="s">
        <v>25</v>
      </c>
      <c r="J1173" s="21" t="s">
        <v>24</v>
      </c>
      <c r="K1173" s="21" t="s">
        <v>25</v>
      </c>
      <c r="L1173" s="21" t="s">
        <v>24</v>
      </c>
      <c r="M1173" s="0" t="n">
        <v>186</v>
      </c>
      <c r="N1173" s="0" t="n">
        <v>1</v>
      </c>
      <c r="O1173" s="21" t="s">
        <v>69</v>
      </c>
      <c r="P1173" s="21" t="s">
        <v>4275</v>
      </c>
      <c r="Q1173" s="0" t="n">
        <v>1</v>
      </c>
      <c r="R1173" s="21" t="s">
        <v>69</v>
      </c>
      <c r="S1173" s="0" t="n">
        <v>1</v>
      </c>
      <c r="T1173" s="21" t="s">
        <v>69</v>
      </c>
      <c r="U1173" s="22" t="b">
        <f aca="false">TRUE()</f>
        <v>1</v>
      </c>
      <c r="V1173" s="0" t="n">
        <v>0.72</v>
      </c>
      <c r="W1173" s="0" t="n">
        <v>0.2</v>
      </c>
      <c r="X1173" s="0" t="n">
        <v>5.89</v>
      </c>
      <c r="Y1173" s="0" t="n">
        <v>517.46</v>
      </c>
      <c r="Z1173" s="0" t="n">
        <v>8.58</v>
      </c>
      <c r="AA1173" s="0" t="n">
        <v>0.38</v>
      </c>
      <c r="AB1173" s="0" t="n">
        <v>0.89</v>
      </c>
      <c r="AC1173" s="22" t="b">
        <f aca="false">FALSE()</f>
        <v>0</v>
      </c>
      <c r="AD1173" s="0" t="n">
        <v>11.48</v>
      </c>
      <c r="AE1173" s="0" t="n">
        <v>0.83</v>
      </c>
      <c r="AF1173" s="0" t="n">
        <v>4.38</v>
      </c>
      <c r="AG1173" s="22" t="b">
        <f aca="false">TRUE()</f>
        <v>1</v>
      </c>
      <c r="AH1173" s="0" t="n">
        <v>1</v>
      </c>
    </row>
    <row r="1174" customFormat="false" ht="15" hidden="false" customHeight="false" outlineLevel="0" collapsed="false">
      <c r="A1174" s="0" t="s">
        <v>1825</v>
      </c>
      <c r="B1174" s="0" t="s">
        <v>134</v>
      </c>
      <c r="C1174" s="0" t="s">
        <v>3450</v>
      </c>
      <c r="D1174" s="0" t="s">
        <v>3457</v>
      </c>
      <c r="E1174" s="20" t="s">
        <v>25</v>
      </c>
      <c r="F1174" s="23" t="s">
        <v>30</v>
      </c>
      <c r="G1174" s="21" t="s">
        <v>283</v>
      </c>
      <c r="H1174" s="21" t="s">
        <v>24</v>
      </c>
      <c r="I1174" s="21" t="s">
        <v>25</v>
      </c>
      <c r="J1174" s="21" t="s">
        <v>24</v>
      </c>
      <c r="K1174" s="21" t="s">
        <v>24</v>
      </c>
      <c r="L1174" s="21" t="s">
        <v>24</v>
      </c>
      <c r="M1174" s="0" t="n">
        <v>183</v>
      </c>
      <c r="N1174" s="0" t="n">
        <v>1</v>
      </c>
      <c r="O1174" s="21" t="s">
        <v>69</v>
      </c>
      <c r="P1174" s="21" t="s">
        <v>4275</v>
      </c>
      <c r="Q1174" s="0" t="n">
        <v>1</v>
      </c>
      <c r="R1174" s="21" t="s">
        <v>69</v>
      </c>
      <c r="S1174" s="0" t="n">
        <v>1</v>
      </c>
      <c r="T1174" s="21" t="s">
        <v>69</v>
      </c>
      <c r="U1174" s="22" t="b">
        <f aca="false">TRUE()</f>
        <v>1</v>
      </c>
      <c r="V1174" s="0" t="n">
        <v>0.66</v>
      </c>
      <c r="W1174" s="0" t="n">
        <v>0.72</v>
      </c>
      <c r="X1174" s="0" t="n">
        <v>6.5</v>
      </c>
      <c r="Y1174" s="0" t="n">
        <v>319.4</v>
      </c>
      <c r="Z1174" s="0" t="n">
        <v>10.25</v>
      </c>
      <c r="AA1174" s="0" t="n">
        <v>7.76</v>
      </c>
      <c r="AB1174" s="0" t="n">
        <v>2.44</v>
      </c>
      <c r="AC1174" s="22" t="b">
        <f aca="false">FALSE()</f>
        <v>0</v>
      </c>
      <c r="AD1174" s="0" t="n">
        <v>11.28</v>
      </c>
      <c r="AE1174" s="0" t="n">
        <v>0.68</v>
      </c>
      <c r="AF1174" s="0" t="n">
        <v>12.26</v>
      </c>
      <c r="AG1174" s="22" t="b">
        <f aca="false">TRUE()</f>
        <v>1</v>
      </c>
      <c r="AH1174" s="0" t="n">
        <v>1</v>
      </c>
    </row>
    <row r="1175" customFormat="false" ht="15" hidden="false" customHeight="false" outlineLevel="0" collapsed="false">
      <c r="A1175" s="0" t="s">
        <v>1825</v>
      </c>
      <c r="B1175" s="0" t="s">
        <v>134</v>
      </c>
      <c r="C1175" s="0" t="s">
        <v>3450</v>
      </c>
      <c r="D1175" s="0" t="s">
        <v>3448</v>
      </c>
      <c r="E1175" s="20" t="s">
        <v>25</v>
      </c>
      <c r="F1175" s="23" t="s">
        <v>30</v>
      </c>
      <c r="G1175" s="21" t="s">
        <v>1152</v>
      </c>
      <c r="H1175" s="21" t="s">
        <v>24</v>
      </c>
      <c r="I1175" s="21" t="s">
        <v>25</v>
      </c>
      <c r="J1175" s="21" t="s">
        <v>24</v>
      </c>
      <c r="K1175" s="21" t="s">
        <v>25</v>
      </c>
      <c r="L1175" s="21" t="s">
        <v>24</v>
      </c>
      <c r="M1175" s="0" t="n">
        <v>183</v>
      </c>
      <c r="N1175" s="0" t="n">
        <v>5</v>
      </c>
      <c r="O1175" s="21" t="s">
        <v>3816</v>
      </c>
      <c r="P1175" s="21" t="s">
        <v>4328</v>
      </c>
      <c r="Q1175" s="0" t="n">
        <v>1</v>
      </c>
      <c r="R1175" s="21" t="s">
        <v>69</v>
      </c>
      <c r="S1175" s="0" t="n">
        <v>5</v>
      </c>
      <c r="T1175" s="21" t="s">
        <v>3816</v>
      </c>
      <c r="U1175" s="22" t="b">
        <f aca="false">TRUE()</f>
        <v>1</v>
      </c>
      <c r="V1175" s="0" t="n">
        <v>0.66</v>
      </c>
      <c r="W1175" s="0" t="n">
        <v>0</v>
      </c>
      <c r="X1175" s="0" t="n">
        <v>7.72</v>
      </c>
      <c r="Y1175" s="0" t="n">
        <v>719.36</v>
      </c>
      <c r="Z1175" s="0" t="n">
        <v>10.25</v>
      </c>
      <c r="AA1175" s="0" t="n">
        <v>6.21</v>
      </c>
      <c r="AB1175" s="0" t="n">
        <v>0.66</v>
      </c>
      <c r="AC1175" s="22" t="b">
        <f aca="false">FALSE()</f>
        <v>0</v>
      </c>
      <c r="AD1175" s="0" t="n">
        <v>10.14</v>
      </c>
      <c r="AE1175" s="0" t="n">
        <v>2.11</v>
      </c>
      <c r="AF1175" s="0" t="n">
        <v>3.81</v>
      </c>
      <c r="AG1175" s="22" t="b">
        <f aca="false">TRUE()</f>
        <v>1</v>
      </c>
      <c r="AH1175" s="0" t="n">
        <v>1</v>
      </c>
    </row>
    <row r="1176" customFormat="false" ht="15" hidden="false" customHeight="false" outlineLevel="0" collapsed="false">
      <c r="A1176" s="0" t="s">
        <v>1825</v>
      </c>
      <c r="B1176" s="0" t="s">
        <v>134</v>
      </c>
      <c r="C1176" s="0" t="s">
        <v>3447</v>
      </c>
      <c r="D1176" s="0" t="s">
        <v>3457</v>
      </c>
      <c r="E1176" s="18" t="s">
        <v>24</v>
      </c>
      <c r="F1176" s="23" t="s">
        <v>30</v>
      </c>
      <c r="G1176" s="21" t="s">
        <v>30</v>
      </c>
      <c r="H1176" s="21" t="s">
        <v>24</v>
      </c>
      <c r="I1176" s="21" t="s">
        <v>24</v>
      </c>
      <c r="J1176" s="21" t="s">
        <v>24</v>
      </c>
      <c r="K1176" s="21" t="s">
        <v>24</v>
      </c>
      <c r="L1176" s="21" t="s">
        <v>24</v>
      </c>
      <c r="M1176" s="0" t="n">
        <v>184</v>
      </c>
      <c r="N1176" s="0" t="n">
        <v>1</v>
      </c>
      <c r="O1176" s="21" t="s">
        <v>3476</v>
      </c>
      <c r="P1176" s="21" t="s">
        <v>4228</v>
      </c>
      <c r="Q1176" s="0" t="n">
        <v>0</v>
      </c>
      <c r="S1176" s="0" t="n">
        <v>1</v>
      </c>
      <c r="T1176" s="21" t="s">
        <v>3476</v>
      </c>
      <c r="U1176" s="22" t="b">
        <f aca="false">TRUE()</f>
        <v>1</v>
      </c>
      <c r="V1176" s="0" t="n">
        <v>0.67</v>
      </c>
      <c r="W1176" s="0" t="n">
        <v>0.2</v>
      </c>
      <c r="X1176" s="0" t="n">
        <v>7.37</v>
      </c>
      <c r="Y1176" s="0" t="n">
        <v>503.81</v>
      </c>
      <c r="Z1176" s="0" t="n">
        <v>8.5</v>
      </c>
      <c r="AA1176" s="0" t="n">
        <v>-0.84</v>
      </c>
      <c r="AB1176" s="0" t="n">
        <v>2.44</v>
      </c>
      <c r="AC1176" s="22" t="b">
        <f aca="false">FALSE()</f>
        <v>0</v>
      </c>
      <c r="AD1176" s="0" t="n">
        <v>9.4</v>
      </c>
      <c r="AE1176" s="0" t="n">
        <v>0.25</v>
      </c>
      <c r="AF1176" s="0" t="n">
        <v>10.91</v>
      </c>
      <c r="AG1176" s="22" t="b">
        <f aca="false">FALSE()</f>
        <v>0</v>
      </c>
      <c r="AH1176" s="0" t="n">
        <v>1</v>
      </c>
    </row>
    <row r="1177" customFormat="false" ht="15" hidden="false" customHeight="false" outlineLevel="0" collapsed="false">
      <c r="A1177" s="0" t="s">
        <v>1825</v>
      </c>
      <c r="B1177" s="0" t="s">
        <v>134</v>
      </c>
      <c r="C1177" s="0" t="s">
        <v>3447</v>
      </c>
      <c r="D1177" s="0" t="s">
        <v>3448</v>
      </c>
      <c r="E1177" s="20" t="s">
        <v>25</v>
      </c>
      <c r="F1177" s="23" t="s">
        <v>30</v>
      </c>
      <c r="G1177" s="21" t="s">
        <v>2610</v>
      </c>
      <c r="H1177" s="21" t="s">
        <v>24</v>
      </c>
      <c r="I1177" s="21" t="s">
        <v>24</v>
      </c>
      <c r="J1177" s="21" t="s">
        <v>24</v>
      </c>
      <c r="K1177" s="21" t="s">
        <v>25</v>
      </c>
      <c r="L1177" s="21" t="s">
        <v>24</v>
      </c>
      <c r="M1177" s="0" t="n">
        <v>190</v>
      </c>
      <c r="N1177" s="0" t="n">
        <v>4</v>
      </c>
      <c r="O1177" s="21" t="s">
        <v>3586</v>
      </c>
      <c r="P1177" s="21" t="s">
        <v>4345</v>
      </c>
      <c r="Q1177" s="0" t="n">
        <v>0</v>
      </c>
      <c r="S1177" s="0" t="n">
        <v>4</v>
      </c>
      <c r="T1177" s="21" t="s">
        <v>3586</v>
      </c>
      <c r="U1177" s="22" t="b">
        <f aca="false">TRUE()</f>
        <v>1</v>
      </c>
      <c r="V1177" s="0" t="n">
        <v>0.75</v>
      </c>
      <c r="W1177" s="0" t="n">
        <v>0.4</v>
      </c>
      <c r="X1177" s="0" t="n">
        <v>8.53</v>
      </c>
      <c r="Y1177" s="0" t="n">
        <v>369.15</v>
      </c>
      <c r="Z1177" s="0" t="n">
        <v>8</v>
      </c>
      <c r="AA1177" s="0" t="n">
        <v>-0.53</v>
      </c>
      <c r="AB1177" s="0" t="n">
        <v>0.66</v>
      </c>
      <c r="AC1177" s="22" t="b">
        <f aca="false">FALSE()</f>
        <v>0</v>
      </c>
      <c r="AD1177" s="0" t="n">
        <v>9.13</v>
      </c>
      <c r="AE1177" s="0" t="n">
        <v>0.31</v>
      </c>
      <c r="AF1177" s="0" t="n">
        <v>6.07</v>
      </c>
      <c r="AG1177" s="22" t="b">
        <f aca="false">FALSE()</f>
        <v>0</v>
      </c>
      <c r="AH1177" s="0" t="n">
        <v>1</v>
      </c>
    </row>
    <row r="1178" customFormat="false" ht="15" hidden="false" customHeight="false" outlineLevel="0" collapsed="false">
      <c r="A1178" s="0" t="s">
        <v>1825</v>
      </c>
      <c r="B1178" s="0" t="s">
        <v>3459</v>
      </c>
      <c r="C1178" s="0" t="s">
        <v>3450</v>
      </c>
      <c r="D1178" s="0" t="s">
        <v>3457</v>
      </c>
      <c r="E1178" s="20" t="s">
        <v>25</v>
      </c>
      <c r="F1178" s="23" t="s">
        <v>30</v>
      </c>
      <c r="G1178" s="21" t="s">
        <v>283</v>
      </c>
      <c r="H1178" s="21" t="s">
        <v>24</v>
      </c>
      <c r="I1178" s="21" t="s">
        <v>25</v>
      </c>
      <c r="J1178" s="21" t="s">
        <v>24</v>
      </c>
      <c r="K1178" s="21" t="s">
        <v>24</v>
      </c>
      <c r="L1178" s="21" t="s">
        <v>24</v>
      </c>
      <c r="M1178" s="0" t="n">
        <v>211</v>
      </c>
      <c r="N1178" s="0" t="n">
        <v>5</v>
      </c>
      <c r="O1178" s="21" t="s">
        <v>3812</v>
      </c>
      <c r="P1178" s="21" t="s">
        <v>4324</v>
      </c>
      <c r="Q1178" s="0" t="n">
        <v>1</v>
      </c>
      <c r="R1178" s="21" t="s">
        <v>69</v>
      </c>
      <c r="S1178" s="0" t="n">
        <v>5</v>
      </c>
      <c r="T1178" s="21" t="s">
        <v>3812</v>
      </c>
      <c r="U1178" s="22" t="b">
        <f aca="false">TRUE()</f>
        <v>1</v>
      </c>
      <c r="V1178" s="0" t="n">
        <v>0.49</v>
      </c>
      <c r="W1178" s="0" t="n">
        <v>0.64</v>
      </c>
      <c r="X1178" s="0" t="n">
        <v>8.31</v>
      </c>
      <c r="Y1178" s="0" t="n">
        <v>366.63</v>
      </c>
      <c r="Z1178" s="0" t="n">
        <v>10.58</v>
      </c>
      <c r="AA1178" s="0" t="n">
        <v>6.26</v>
      </c>
      <c r="AB1178" s="0" t="n">
        <v>2.43</v>
      </c>
      <c r="AC1178" s="22" t="b">
        <f aca="false">FALSE()</f>
        <v>0</v>
      </c>
      <c r="AD1178" s="0" t="n">
        <v>8.82</v>
      </c>
      <c r="AE1178" s="0" t="n">
        <v>2.36</v>
      </c>
      <c r="AF1178" s="0" t="n">
        <v>6.14</v>
      </c>
      <c r="AG1178" s="22" t="b">
        <f aca="false">FALSE()</f>
        <v>0</v>
      </c>
      <c r="AH1178" s="0" t="n">
        <v>1</v>
      </c>
    </row>
    <row r="1179" customFormat="false" ht="15" hidden="false" customHeight="false" outlineLevel="0" collapsed="false">
      <c r="A1179" s="0" t="s">
        <v>1825</v>
      </c>
      <c r="B1179" s="0" t="s">
        <v>3459</v>
      </c>
      <c r="C1179" s="0" t="s">
        <v>3450</v>
      </c>
      <c r="D1179" s="0" t="s">
        <v>3448</v>
      </c>
      <c r="E1179" s="20" t="s">
        <v>25</v>
      </c>
      <c r="F1179" s="23" t="s">
        <v>30</v>
      </c>
      <c r="G1179" s="21" t="s">
        <v>1152</v>
      </c>
      <c r="H1179" s="21" t="s">
        <v>24</v>
      </c>
      <c r="I1179" s="21" t="s">
        <v>25</v>
      </c>
      <c r="J1179" s="21" t="s">
        <v>24</v>
      </c>
      <c r="K1179" s="21" t="s">
        <v>25</v>
      </c>
      <c r="L1179" s="21" t="s">
        <v>24</v>
      </c>
      <c r="M1179" s="0" t="n">
        <v>187</v>
      </c>
      <c r="N1179" s="0" t="n">
        <v>4</v>
      </c>
      <c r="O1179" s="21" t="s">
        <v>3734</v>
      </c>
      <c r="P1179" s="21" t="s">
        <v>4327</v>
      </c>
      <c r="Q1179" s="0" t="n">
        <v>1</v>
      </c>
      <c r="R1179" s="21" t="s">
        <v>69</v>
      </c>
      <c r="S1179" s="0" t="n">
        <v>4</v>
      </c>
      <c r="T1179" s="21" t="s">
        <v>3734</v>
      </c>
      <c r="U1179" s="22" t="b">
        <f aca="false">TRUE()</f>
        <v>1</v>
      </c>
      <c r="V1179" s="0" t="n">
        <v>0.5</v>
      </c>
      <c r="W1179" s="0" t="n">
        <v>0.16</v>
      </c>
      <c r="X1179" s="0" t="n">
        <v>11.8</v>
      </c>
      <c r="Y1179" s="0" t="n">
        <v>569.63</v>
      </c>
      <c r="Z1179" s="0" t="n">
        <v>10.25</v>
      </c>
      <c r="AA1179" s="0" t="n">
        <v>3.74</v>
      </c>
      <c r="AB1179" s="0" t="n">
        <v>0.03</v>
      </c>
      <c r="AC1179" s="22" t="b">
        <f aca="false">FALSE()</f>
        <v>0</v>
      </c>
      <c r="AD1179" s="0" t="n">
        <v>9.6</v>
      </c>
      <c r="AE1179" s="0" t="n">
        <v>0.51</v>
      </c>
      <c r="AF1179" s="0" t="n">
        <v>5.29</v>
      </c>
      <c r="AG1179" s="22" t="b">
        <f aca="false">FALSE()</f>
        <v>0</v>
      </c>
      <c r="AH1179" s="0" t="n">
        <v>1</v>
      </c>
    </row>
    <row r="1180" customFormat="false" ht="15" hidden="false" customHeight="false" outlineLevel="0" collapsed="false">
      <c r="A1180" s="0" t="s">
        <v>1825</v>
      </c>
      <c r="B1180" s="0" t="s">
        <v>3459</v>
      </c>
      <c r="C1180" s="0" t="s">
        <v>3447</v>
      </c>
      <c r="D1180" s="0" t="s">
        <v>3457</v>
      </c>
      <c r="E1180" s="18" t="s">
        <v>24</v>
      </c>
      <c r="F1180" s="23" t="s">
        <v>30</v>
      </c>
      <c r="G1180" s="21" t="s">
        <v>30</v>
      </c>
      <c r="H1180" s="21" t="s">
        <v>24</v>
      </c>
      <c r="I1180" s="21" t="s">
        <v>24</v>
      </c>
      <c r="J1180" s="21" t="s">
        <v>24</v>
      </c>
      <c r="K1180" s="21" t="s">
        <v>24</v>
      </c>
      <c r="L1180" s="21" t="s">
        <v>24</v>
      </c>
      <c r="M1180" s="0" t="n">
        <v>183</v>
      </c>
      <c r="N1180" s="0" t="n">
        <v>1</v>
      </c>
      <c r="O1180" s="21" t="s">
        <v>3476</v>
      </c>
      <c r="P1180" s="21" t="s">
        <v>4228</v>
      </c>
      <c r="Q1180" s="0" t="n">
        <v>0</v>
      </c>
      <c r="S1180" s="0" t="n">
        <v>1</v>
      </c>
      <c r="T1180" s="21" t="s">
        <v>3476</v>
      </c>
      <c r="U1180" s="22" t="b">
        <f aca="false">TRUE()</f>
        <v>1</v>
      </c>
      <c r="V1180" s="0" t="n">
        <v>0.61</v>
      </c>
      <c r="W1180" s="0" t="n">
        <v>0.68</v>
      </c>
      <c r="X1180" s="0" t="n">
        <v>7.54</v>
      </c>
      <c r="Y1180" s="0" t="n">
        <v>320.33</v>
      </c>
      <c r="Z1180" s="0" t="n">
        <v>9.25</v>
      </c>
      <c r="AA1180" s="0" t="n">
        <v>0.46</v>
      </c>
      <c r="AB1180" s="0" t="n">
        <v>2.43</v>
      </c>
      <c r="AC1180" s="22" t="b">
        <f aca="false">FALSE()</f>
        <v>0</v>
      </c>
      <c r="AD1180" s="0" t="n">
        <v>6.96</v>
      </c>
      <c r="AE1180" s="0" t="n">
        <v>2.14</v>
      </c>
      <c r="AF1180" s="0" t="n">
        <v>6.33</v>
      </c>
      <c r="AG1180" s="22" t="b">
        <f aca="false">FALSE()</f>
        <v>0</v>
      </c>
      <c r="AH1180" s="0" t="n">
        <v>1</v>
      </c>
    </row>
    <row r="1181" customFormat="false" ht="15" hidden="false" customHeight="false" outlineLevel="0" collapsed="false">
      <c r="A1181" s="0" t="s">
        <v>1825</v>
      </c>
      <c r="B1181" s="0" t="s">
        <v>3459</v>
      </c>
      <c r="C1181" s="0" t="s">
        <v>3447</v>
      </c>
      <c r="D1181" s="0" t="s">
        <v>3448</v>
      </c>
      <c r="E1181" s="20" t="s">
        <v>25</v>
      </c>
      <c r="F1181" s="23" t="s">
        <v>30</v>
      </c>
      <c r="G1181" s="21" t="s">
        <v>2610</v>
      </c>
      <c r="H1181" s="21" t="s">
        <v>24</v>
      </c>
      <c r="I1181" s="21" t="s">
        <v>24</v>
      </c>
      <c r="J1181" s="21" t="s">
        <v>24</v>
      </c>
      <c r="K1181" s="21" t="s">
        <v>25</v>
      </c>
      <c r="L1181" s="21" t="s">
        <v>24</v>
      </c>
      <c r="M1181" s="0" t="n">
        <v>184</v>
      </c>
      <c r="N1181" s="0" t="n">
        <v>6</v>
      </c>
      <c r="O1181" s="21" t="s">
        <v>3776</v>
      </c>
      <c r="P1181" s="21" t="s">
        <v>4664</v>
      </c>
      <c r="Q1181" s="0" t="n">
        <v>0</v>
      </c>
      <c r="S1181" s="0" t="n">
        <v>6</v>
      </c>
      <c r="T1181" s="21" t="s">
        <v>3776</v>
      </c>
      <c r="U1181" s="22" t="b">
        <f aca="false">TRUE()</f>
        <v>1</v>
      </c>
      <c r="V1181" s="0" t="n">
        <v>0.57</v>
      </c>
      <c r="W1181" s="0" t="n">
        <v>0.68</v>
      </c>
      <c r="X1181" s="0" t="n">
        <v>11.07</v>
      </c>
      <c r="Y1181" s="0" t="n">
        <v>320.94</v>
      </c>
      <c r="Z1181" s="0" t="n">
        <v>8</v>
      </c>
      <c r="AA1181" s="0" t="n">
        <v>-1.17</v>
      </c>
      <c r="AB1181" s="0" t="n">
        <v>0.03</v>
      </c>
      <c r="AC1181" s="22" t="b">
        <f aca="false">FALSE()</f>
        <v>0</v>
      </c>
      <c r="AD1181" s="0" t="n">
        <v>6.5</v>
      </c>
      <c r="AE1181" s="0" t="n">
        <v>1.45</v>
      </c>
      <c r="AF1181" s="0" t="n">
        <v>5.66</v>
      </c>
      <c r="AG1181" s="22" t="b">
        <f aca="false">FALSE()</f>
        <v>0</v>
      </c>
      <c r="AH1181" s="0" t="n">
        <v>1</v>
      </c>
    </row>
    <row r="1182" customFormat="false" ht="15" hidden="false" customHeight="false" outlineLevel="0" collapsed="false">
      <c r="A1182" s="0" t="s">
        <v>1836</v>
      </c>
      <c r="B1182" s="0" t="s">
        <v>134</v>
      </c>
      <c r="C1182" s="0" t="s">
        <v>3450</v>
      </c>
      <c r="D1182" s="0" t="s">
        <v>3457</v>
      </c>
      <c r="E1182" s="20" t="s">
        <v>25</v>
      </c>
      <c r="F1182" s="20" t="s">
        <v>29</v>
      </c>
      <c r="G1182" s="21" t="s">
        <v>63</v>
      </c>
      <c r="H1182" s="21" t="s">
        <v>24</v>
      </c>
      <c r="I1182" s="21" t="s">
        <v>24</v>
      </c>
      <c r="J1182" s="21" t="s">
        <v>24</v>
      </c>
      <c r="K1182" s="21" t="s">
        <v>25</v>
      </c>
      <c r="L1182" s="21" t="s">
        <v>24</v>
      </c>
      <c r="M1182" s="0" t="n">
        <v>187</v>
      </c>
      <c r="N1182" s="0" t="n">
        <v>0</v>
      </c>
      <c r="Q1182" s="0" t="n">
        <v>0</v>
      </c>
      <c r="S1182" s="0" t="n">
        <v>0</v>
      </c>
      <c r="U1182" s="22" t="b">
        <f aca="false">FALSE()</f>
        <v>0</v>
      </c>
      <c r="V1182" s="0" t="n">
        <v>0.77</v>
      </c>
      <c r="W1182" s="0" t="n">
        <v>0.44</v>
      </c>
      <c r="X1182" s="0" t="n">
        <v>10.62</v>
      </c>
      <c r="Y1182" s="0" t="n">
        <v>314.03</v>
      </c>
      <c r="Z1182" s="0" t="n">
        <v>8.5</v>
      </c>
      <c r="AA1182" s="0" t="n">
        <v>17.08</v>
      </c>
      <c r="AB1182" s="0" t="n">
        <v>1.22</v>
      </c>
      <c r="AC1182" s="22" t="b">
        <f aca="false">FALSE()</f>
        <v>0</v>
      </c>
      <c r="AD1182" s="0" t="n">
        <v>17.12</v>
      </c>
      <c r="AE1182" s="0" t="n">
        <v>0.94</v>
      </c>
      <c r="AF1182" s="0" t="n">
        <v>19.67</v>
      </c>
      <c r="AG1182" s="22" t="b">
        <f aca="false">TRUE()</f>
        <v>1</v>
      </c>
      <c r="AH1182" s="0" t="n">
        <v>1</v>
      </c>
    </row>
    <row r="1183" customFormat="false" ht="15" hidden="false" customHeight="false" outlineLevel="0" collapsed="false">
      <c r="A1183" s="0" t="s">
        <v>1836</v>
      </c>
      <c r="B1183" s="0" t="s">
        <v>134</v>
      </c>
      <c r="C1183" s="0" t="s">
        <v>3450</v>
      </c>
      <c r="D1183" s="0" t="s">
        <v>3448</v>
      </c>
      <c r="E1183" s="20" t="s">
        <v>25</v>
      </c>
      <c r="F1183" s="20" t="s">
        <v>29</v>
      </c>
      <c r="G1183" s="21" t="s">
        <v>63</v>
      </c>
      <c r="H1183" s="21" t="s">
        <v>24</v>
      </c>
      <c r="I1183" s="21" t="s">
        <v>24</v>
      </c>
      <c r="J1183" s="21" t="s">
        <v>24</v>
      </c>
      <c r="K1183" s="21" t="s">
        <v>25</v>
      </c>
      <c r="L1183" s="21" t="s">
        <v>24</v>
      </c>
      <c r="M1183" s="0" t="n">
        <v>198</v>
      </c>
      <c r="N1183" s="0" t="n">
        <v>0</v>
      </c>
      <c r="Q1183" s="0" t="n">
        <v>0</v>
      </c>
      <c r="S1183" s="0" t="n">
        <v>0</v>
      </c>
      <c r="U1183" s="22" t="b">
        <f aca="false">FALSE()</f>
        <v>0</v>
      </c>
      <c r="V1183" s="0" t="n">
        <v>0.8</v>
      </c>
      <c r="W1183" s="0" t="n">
        <v>0</v>
      </c>
      <c r="X1183" s="0" t="n">
        <v>10.33</v>
      </c>
      <c r="Y1183" s="0" t="n">
        <v>731.74</v>
      </c>
      <c r="Z1183" s="0" t="n">
        <v>8.75</v>
      </c>
      <c r="AA1183" s="0" t="n">
        <v>13.57</v>
      </c>
      <c r="AB1183" s="0" t="n">
        <v>1.14</v>
      </c>
      <c r="AC1183" s="22" t="b">
        <f aca="false">FALSE()</f>
        <v>0</v>
      </c>
      <c r="AD1183" s="0" t="n">
        <v>10.4</v>
      </c>
      <c r="AE1183" s="0" t="n">
        <v>0.62</v>
      </c>
      <c r="AF1183" s="0" t="n">
        <v>22.89</v>
      </c>
      <c r="AG1183" s="22" t="b">
        <f aca="false">TRUE()</f>
        <v>1</v>
      </c>
      <c r="AH1183" s="0" t="n">
        <v>1</v>
      </c>
    </row>
    <row r="1184" customFormat="false" ht="15" hidden="false" customHeight="false" outlineLevel="0" collapsed="false">
      <c r="A1184" s="0" t="s">
        <v>1836</v>
      </c>
      <c r="B1184" s="0" t="s">
        <v>134</v>
      </c>
      <c r="C1184" s="0" t="s">
        <v>3447</v>
      </c>
      <c r="D1184" s="0" t="s">
        <v>3457</v>
      </c>
      <c r="E1184" s="20" t="s">
        <v>25</v>
      </c>
      <c r="F1184" s="20" t="s">
        <v>29</v>
      </c>
      <c r="G1184" s="21" t="s">
        <v>63</v>
      </c>
      <c r="H1184" s="21" t="s">
        <v>24</v>
      </c>
      <c r="I1184" s="21" t="s">
        <v>24</v>
      </c>
      <c r="J1184" s="21" t="s">
        <v>24</v>
      </c>
      <c r="K1184" s="21" t="s">
        <v>25</v>
      </c>
      <c r="L1184" s="21" t="s">
        <v>24</v>
      </c>
      <c r="M1184" s="0" t="n">
        <v>190</v>
      </c>
      <c r="N1184" s="0" t="n">
        <v>0</v>
      </c>
      <c r="Q1184" s="0" t="n">
        <v>0</v>
      </c>
      <c r="S1184" s="0" t="n">
        <v>0</v>
      </c>
      <c r="U1184" s="22" t="b">
        <f aca="false">FALSE()</f>
        <v>0</v>
      </c>
      <c r="V1184" s="0" t="n">
        <v>0.81</v>
      </c>
      <c r="W1184" s="0" t="n">
        <v>0.88</v>
      </c>
      <c r="X1184" s="0" t="n">
        <v>11.64</v>
      </c>
      <c r="Y1184" s="0" t="n">
        <v>311.98</v>
      </c>
      <c r="Z1184" s="0" t="n">
        <v>8.75</v>
      </c>
      <c r="AA1184" s="0" t="n">
        <v>5.76</v>
      </c>
      <c r="AB1184" s="0" t="n">
        <v>1.22</v>
      </c>
      <c r="AC1184" s="22" t="b">
        <f aca="false">FALSE()</f>
        <v>0</v>
      </c>
      <c r="AD1184" s="0" t="n">
        <v>13.02</v>
      </c>
      <c r="AE1184" s="0" t="n">
        <v>0.63</v>
      </c>
      <c r="AF1184" s="0" t="n">
        <v>18.99</v>
      </c>
      <c r="AG1184" s="22" t="b">
        <f aca="false">TRUE()</f>
        <v>1</v>
      </c>
      <c r="AH1184" s="0" t="n">
        <v>1</v>
      </c>
    </row>
    <row r="1185" customFormat="false" ht="15" hidden="false" customHeight="false" outlineLevel="0" collapsed="false">
      <c r="A1185" s="0" t="s">
        <v>1836</v>
      </c>
      <c r="B1185" s="0" t="s">
        <v>134</v>
      </c>
      <c r="C1185" s="0" t="s">
        <v>3447</v>
      </c>
      <c r="D1185" s="0" t="s">
        <v>3448</v>
      </c>
      <c r="E1185" s="20" t="s">
        <v>25</v>
      </c>
      <c r="F1185" s="23" t="s">
        <v>30</v>
      </c>
      <c r="G1185" s="21" t="s">
        <v>1099</v>
      </c>
      <c r="H1185" s="21" t="s">
        <v>24</v>
      </c>
      <c r="I1185" s="21" t="s">
        <v>25</v>
      </c>
      <c r="J1185" s="21" t="s">
        <v>24</v>
      </c>
      <c r="K1185" s="21" t="s">
        <v>25</v>
      </c>
      <c r="L1185" s="21" t="s">
        <v>24</v>
      </c>
      <c r="M1185" s="0" t="n">
        <v>199</v>
      </c>
      <c r="N1185" s="0" t="n">
        <v>2</v>
      </c>
      <c r="O1185" s="21" t="s">
        <v>3566</v>
      </c>
      <c r="P1185" s="21" t="s">
        <v>4238</v>
      </c>
      <c r="Q1185" s="0" t="n">
        <v>1</v>
      </c>
      <c r="R1185" s="21" t="s">
        <v>69</v>
      </c>
      <c r="S1185" s="0" t="n">
        <v>2</v>
      </c>
      <c r="T1185" s="21" t="s">
        <v>3566</v>
      </c>
      <c r="U1185" s="22" t="b">
        <f aca="false">TRUE()</f>
        <v>1</v>
      </c>
      <c r="V1185" s="0" t="n">
        <v>0.78</v>
      </c>
      <c r="W1185" s="0" t="n">
        <v>0.16</v>
      </c>
      <c r="X1185" s="0" t="n">
        <v>11.85</v>
      </c>
      <c r="Y1185" s="0" t="n">
        <v>595.53</v>
      </c>
      <c r="Z1185" s="0" t="n">
        <v>8.83</v>
      </c>
      <c r="AA1185" s="0" t="n">
        <v>14.25</v>
      </c>
      <c r="AB1185" s="0" t="n">
        <v>1.14</v>
      </c>
      <c r="AC1185" s="22" t="b">
        <f aca="false">FALSE()</f>
        <v>0</v>
      </c>
      <c r="AD1185" s="0" t="n">
        <v>10.68</v>
      </c>
      <c r="AE1185" s="0" t="n">
        <v>1.18</v>
      </c>
      <c r="AF1185" s="0" t="n">
        <v>21.06</v>
      </c>
      <c r="AG1185" s="22" t="b">
        <f aca="false">TRUE()</f>
        <v>1</v>
      </c>
      <c r="AH1185" s="0" t="n">
        <v>1</v>
      </c>
    </row>
    <row r="1186" customFormat="false" ht="15" hidden="false" customHeight="false" outlineLevel="0" collapsed="false">
      <c r="A1186" s="0" t="s">
        <v>1842</v>
      </c>
      <c r="B1186" s="0" t="s">
        <v>134</v>
      </c>
      <c r="C1186" s="0" t="s">
        <v>3450</v>
      </c>
      <c r="D1186" s="0" t="s">
        <v>3457</v>
      </c>
      <c r="E1186" s="18" t="s">
        <v>24</v>
      </c>
      <c r="F1186" s="18" t="s">
        <v>28</v>
      </c>
      <c r="H1186" s="21" t="s">
        <v>24</v>
      </c>
      <c r="I1186" s="21" t="s">
        <v>24</v>
      </c>
      <c r="J1186" s="21" t="s">
        <v>24</v>
      </c>
      <c r="K1186" s="21" t="s">
        <v>24</v>
      </c>
      <c r="L1186" s="21" t="s">
        <v>24</v>
      </c>
      <c r="M1186" s="0" t="n">
        <v>183</v>
      </c>
      <c r="N1186" s="0" t="n">
        <v>0</v>
      </c>
      <c r="Q1186" s="0" t="n">
        <v>0</v>
      </c>
      <c r="S1186" s="0" t="n">
        <v>0</v>
      </c>
      <c r="U1186" s="22" t="b">
        <f aca="false">FALSE()</f>
        <v>0</v>
      </c>
      <c r="V1186" s="0" t="n">
        <v>0.72</v>
      </c>
      <c r="W1186" s="0" t="n">
        <v>0.56</v>
      </c>
      <c r="X1186" s="0" t="n">
        <v>8.36</v>
      </c>
      <c r="Y1186" s="0" t="n">
        <v>316.77</v>
      </c>
      <c r="Z1186" s="0" t="n">
        <v>10.75</v>
      </c>
      <c r="AA1186" s="0" t="n">
        <v>13.7</v>
      </c>
      <c r="AB1186" s="0" t="n">
        <v>1.65</v>
      </c>
      <c r="AC1186" s="22" t="b">
        <f aca="false">FALSE()</f>
        <v>0</v>
      </c>
      <c r="AD1186" s="0" t="n">
        <v>3.26</v>
      </c>
      <c r="AE1186" s="0" t="n">
        <v>0.74</v>
      </c>
      <c r="AF1186" s="0" t="n">
        <v>8.82</v>
      </c>
      <c r="AG1186" s="22" t="b">
        <f aca="false">FALSE()</f>
        <v>0</v>
      </c>
      <c r="AH1186" s="0" t="n">
        <v>1</v>
      </c>
    </row>
    <row r="1187" customFormat="false" ht="15" hidden="false" customHeight="false" outlineLevel="0" collapsed="false">
      <c r="A1187" s="0" t="s">
        <v>1842</v>
      </c>
      <c r="B1187" s="0" t="s">
        <v>134</v>
      </c>
      <c r="C1187" s="0" t="s">
        <v>3450</v>
      </c>
      <c r="D1187" s="0" t="s">
        <v>3448</v>
      </c>
      <c r="E1187" s="20" t="s">
        <v>25</v>
      </c>
      <c r="F1187" s="20" t="s">
        <v>29</v>
      </c>
      <c r="G1187" s="21" t="s">
        <v>62</v>
      </c>
      <c r="H1187" s="21" t="s">
        <v>24</v>
      </c>
      <c r="I1187" s="21" t="s">
        <v>24</v>
      </c>
      <c r="J1187" s="21" t="s">
        <v>24</v>
      </c>
      <c r="K1187" s="21" t="s">
        <v>25</v>
      </c>
      <c r="L1187" s="21" t="s">
        <v>24</v>
      </c>
      <c r="M1187" s="0" t="n">
        <v>184</v>
      </c>
      <c r="N1187" s="0" t="n">
        <v>0</v>
      </c>
      <c r="Q1187" s="0" t="n">
        <v>0</v>
      </c>
      <c r="S1187" s="0" t="n">
        <v>0</v>
      </c>
      <c r="U1187" s="22" t="b">
        <f aca="false">FALSE()</f>
        <v>0</v>
      </c>
      <c r="V1187" s="0" t="n">
        <v>0.73</v>
      </c>
      <c r="W1187" s="0" t="n">
        <v>0.96</v>
      </c>
      <c r="X1187" s="0" t="n">
        <v>9.5</v>
      </c>
      <c r="Y1187" s="0" t="n">
        <v>317.07</v>
      </c>
      <c r="Z1187" s="0" t="n">
        <v>9.83</v>
      </c>
      <c r="AA1187" s="0" t="n">
        <v>-0.04</v>
      </c>
      <c r="AB1187" s="0" t="n">
        <v>1.83</v>
      </c>
      <c r="AC1187" s="22" t="b">
        <f aca="false">FALSE()</f>
        <v>0</v>
      </c>
      <c r="AD1187" s="0" t="n">
        <v>10.79</v>
      </c>
      <c r="AE1187" s="0" t="n">
        <v>0.2</v>
      </c>
      <c r="AF1187" s="0" t="n">
        <v>19.07</v>
      </c>
      <c r="AG1187" s="22" t="b">
        <f aca="false">TRUE()</f>
        <v>1</v>
      </c>
      <c r="AH1187" s="0" t="n">
        <v>1</v>
      </c>
    </row>
    <row r="1188" customFormat="false" ht="15" hidden="false" customHeight="false" outlineLevel="0" collapsed="false">
      <c r="A1188" s="0" t="s">
        <v>1842</v>
      </c>
      <c r="B1188" s="0" t="s">
        <v>134</v>
      </c>
      <c r="C1188" s="0" t="s">
        <v>3447</v>
      </c>
      <c r="D1188" s="0" t="s">
        <v>3457</v>
      </c>
      <c r="E1188" s="19" t="s">
        <v>26</v>
      </c>
      <c r="F1188" s="19" t="s">
        <v>32</v>
      </c>
      <c r="G1188" s="21" t="s">
        <v>60</v>
      </c>
      <c r="H1188" s="21" t="s">
        <v>24</v>
      </c>
      <c r="I1188" s="21" t="s">
        <v>26</v>
      </c>
      <c r="J1188" s="21" t="s">
        <v>24</v>
      </c>
      <c r="K1188" s="21" t="s">
        <v>24</v>
      </c>
      <c r="L1188" s="21" t="s">
        <v>24</v>
      </c>
      <c r="M1188" s="0" t="n">
        <v>210</v>
      </c>
      <c r="N1188" s="0" t="n">
        <v>8</v>
      </c>
      <c r="O1188" s="21" t="s">
        <v>3922</v>
      </c>
      <c r="P1188" s="21" t="s">
        <v>4665</v>
      </c>
      <c r="Q1188" s="0" t="n">
        <v>0</v>
      </c>
      <c r="S1188" s="0" t="n">
        <v>8</v>
      </c>
      <c r="T1188" s="21" t="s">
        <v>3922</v>
      </c>
      <c r="U1188" s="22" t="b">
        <f aca="false">FALSE()</f>
        <v>0</v>
      </c>
      <c r="V1188" s="0" t="n">
        <v>0.77</v>
      </c>
      <c r="W1188" s="0" t="n">
        <v>0.48</v>
      </c>
      <c r="X1188" s="0" t="n">
        <v>8.71</v>
      </c>
      <c r="Y1188" s="0" t="n">
        <v>377.65</v>
      </c>
      <c r="Z1188" s="0" t="n">
        <v>10.5</v>
      </c>
      <c r="AA1188" s="0" t="n">
        <v>5.63</v>
      </c>
      <c r="AB1188" s="0" t="n">
        <v>1.65</v>
      </c>
      <c r="AC1188" s="22" t="b">
        <f aca="false">FALSE()</f>
        <v>0</v>
      </c>
      <c r="AD1188" s="0" t="n">
        <v>4.15</v>
      </c>
      <c r="AE1188" s="0" t="n">
        <v>0.5</v>
      </c>
      <c r="AF1188" s="0" t="n">
        <v>7.66</v>
      </c>
      <c r="AG1188" s="22" t="b">
        <f aca="false">FALSE()</f>
        <v>0</v>
      </c>
      <c r="AH1188" s="0" t="n">
        <v>1</v>
      </c>
    </row>
    <row r="1189" customFormat="false" ht="15" hidden="false" customHeight="false" outlineLevel="0" collapsed="false">
      <c r="A1189" s="0" t="s">
        <v>1842</v>
      </c>
      <c r="B1189" s="0" t="s">
        <v>134</v>
      </c>
      <c r="C1189" s="0" t="s">
        <v>3447</v>
      </c>
      <c r="D1189" s="0" t="s">
        <v>3448</v>
      </c>
      <c r="E1189" s="19" t="s">
        <v>26</v>
      </c>
      <c r="F1189" s="19" t="s">
        <v>32</v>
      </c>
      <c r="G1189" s="21" t="s">
        <v>60</v>
      </c>
      <c r="H1189" s="21" t="s">
        <v>24</v>
      </c>
      <c r="I1189" s="21" t="s">
        <v>26</v>
      </c>
      <c r="J1189" s="21" t="s">
        <v>24</v>
      </c>
      <c r="K1189" s="21" t="s">
        <v>24</v>
      </c>
      <c r="L1189" s="21" t="s">
        <v>24</v>
      </c>
      <c r="M1189" s="0" t="n">
        <v>184</v>
      </c>
      <c r="N1189" s="0" t="n">
        <v>8</v>
      </c>
      <c r="O1189" s="21" t="s">
        <v>3939</v>
      </c>
      <c r="P1189" s="21" t="s">
        <v>4666</v>
      </c>
      <c r="Q1189" s="0" t="n">
        <v>0</v>
      </c>
      <c r="S1189" s="0" t="n">
        <v>8</v>
      </c>
      <c r="T1189" s="21" t="s">
        <v>3939</v>
      </c>
      <c r="U1189" s="22" t="b">
        <f aca="false">FALSE()</f>
        <v>0</v>
      </c>
      <c r="V1189" s="0" t="n">
        <v>0.78</v>
      </c>
      <c r="W1189" s="0" t="n">
        <v>0.8</v>
      </c>
      <c r="X1189" s="0" t="n">
        <v>9.64</v>
      </c>
      <c r="Y1189" s="0" t="n">
        <v>320.24</v>
      </c>
      <c r="Z1189" s="0" t="n">
        <v>8</v>
      </c>
      <c r="AA1189" s="0" t="n">
        <v>-0.65</v>
      </c>
      <c r="AB1189" s="0" t="n">
        <v>1.83</v>
      </c>
      <c r="AC1189" s="22" t="b">
        <f aca="false">FALSE()</f>
        <v>0</v>
      </c>
      <c r="AD1189" s="0" t="n">
        <v>12.82</v>
      </c>
      <c r="AE1189" s="0" t="n">
        <v>0.48</v>
      </c>
      <c r="AF1189" s="0" t="n">
        <v>20.94</v>
      </c>
      <c r="AG1189" s="22" t="b">
        <f aca="false">TRUE()</f>
        <v>1</v>
      </c>
      <c r="AH1189" s="0" t="n">
        <v>1</v>
      </c>
    </row>
    <row r="1190" customFormat="false" ht="15" hidden="false" customHeight="false" outlineLevel="0" collapsed="false">
      <c r="A1190" s="0" t="s">
        <v>1842</v>
      </c>
      <c r="B1190" s="0" t="s">
        <v>3459</v>
      </c>
      <c r="C1190" s="0" t="s">
        <v>3450</v>
      </c>
      <c r="D1190" s="0" t="s">
        <v>3457</v>
      </c>
      <c r="E1190" s="20" t="s">
        <v>25</v>
      </c>
      <c r="F1190" s="20" t="s">
        <v>29</v>
      </c>
      <c r="G1190" s="21" t="s">
        <v>63</v>
      </c>
      <c r="H1190" s="21" t="s">
        <v>24</v>
      </c>
      <c r="I1190" s="21" t="s">
        <v>24</v>
      </c>
      <c r="J1190" s="21" t="s">
        <v>24</v>
      </c>
      <c r="K1190" s="21" t="s">
        <v>25</v>
      </c>
      <c r="L1190" s="21" t="s">
        <v>24</v>
      </c>
      <c r="M1190" s="0" t="n">
        <v>184</v>
      </c>
      <c r="N1190" s="0" t="n">
        <v>0</v>
      </c>
      <c r="Q1190" s="0" t="n">
        <v>0</v>
      </c>
      <c r="S1190" s="0" t="n">
        <v>0</v>
      </c>
      <c r="U1190" s="22" t="b">
        <f aca="false">FALSE()</f>
        <v>0</v>
      </c>
      <c r="V1190" s="0" t="n">
        <v>0.75</v>
      </c>
      <c r="W1190" s="0" t="n">
        <v>0.4</v>
      </c>
      <c r="X1190" s="0" t="n">
        <v>9.34</v>
      </c>
      <c r="Y1190" s="0" t="n">
        <v>299.7</v>
      </c>
      <c r="Z1190" s="0" t="n">
        <v>11</v>
      </c>
      <c r="AA1190" s="0" t="n">
        <v>11.41</v>
      </c>
      <c r="AB1190" s="0" t="n">
        <v>1.5</v>
      </c>
      <c r="AC1190" s="22" t="b">
        <f aca="false">FALSE()</f>
        <v>0</v>
      </c>
      <c r="AD1190" s="0" t="n">
        <v>11.83</v>
      </c>
      <c r="AE1190" s="0" t="n">
        <v>7.32</v>
      </c>
      <c r="AF1190" s="0" t="n">
        <v>15.38</v>
      </c>
      <c r="AG1190" s="22" t="b">
        <f aca="false">TRUE()</f>
        <v>1</v>
      </c>
      <c r="AH1190" s="0" t="n">
        <v>1</v>
      </c>
    </row>
    <row r="1191" customFormat="false" ht="15" hidden="false" customHeight="false" outlineLevel="0" collapsed="false">
      <c r="A1191" s="0" t="s">
        <v>1842</v>
      </c>
      <c r="B1191" s="0" t="s">
        <v>3459</v>
      </c>
      <c r="C1191" s="0" t="s">
        <v>3450</v>
      </c>
      <c r="D1191" s="0" t="s">
        <v>3448</v>
      </c>
      <c r="E1191" s="20" t="s">
        <v>25</v>
      </c>
      <c r="F1191" s="23" t="s">
        <v>30</v>
      </c>
      <c r="G1191" s="21" t="s">
        <v>283</v>
      </c>
      <c r="H1191" s="21" t="s">
        <v>24</v>
      </c>
      <c r="I1191" s="21" t="s">
        <v>25</v>
      </c>
      <c r="J1191" s="21" t="s">
        <v>24</v>
      </c>
      <c r="K1191" s="21" t="s">
        <v>24</v>
      </c>
      <c r="L1191" s="21" t="s">
        <v>24</v>
      </c>
      <c r="M1191" s="0" t="n">
        <v>184</v>
      </c>
      <c r="N1191" s="0" t="n">
        <v>1</v>
      </c>
      <c r="O1191" s="21" t="s">
        <v>69</v>
      </c>
      <c r="P1191" s="21" t="s">
        <v>4275</v>
      </c>
      <c r="Q1191" s="0" t="n">
        <v>1</v>
      </c>
      <c r="R1191" s="21" t="s">
        <v>69</v>
      </c>
      <c r="S1191" s="0" t="n">
        <v>1</v>
      </c>
      <c r="T1191" s="21" t="s">
        <v>69</v>
      </c>
      <c r="U1191" s="22" t="b">
        <f aca="false">TRUE()</f>
        <v>1</v>
      </c>
      <c r="V1191" s="0" t="n">
        <v>0.78</v>
      </c>
      <c r="W1191" s="0" t="n">
        <v>0.52</v>
      </c>
      <c r="X1191" s="0" t="n">
        <v>8.85</v>
      </c>
      <c r="Y1191" s="0" t="n">
        <v>329.13</v>
      </c>
      <c r="Z1191" s="0" t="n">
        <v>11</v>
      </c>
      <c r="AA1191" s="0" t="n">
        <v>4.81</v>
      </c>
      <c r="AB1191" s="0" t="n">
        <v>1.77</v>
      </c>
      <c r="AC1191" s="22" t="b">
        <f aca="false">FALSE()</f>
        <v>0</v>
      </c>
      <c r="AD1191" s="0" t="n">
        <v>7.88</v>
      </c>
      <c r="AE1191" s="0" t="n">
        <v>2.95</v>
      </c>
      <c r="AF1191" s="0" t="n">
        <v>6.83</v>
      </c>
      <c r="AG1191" s="22" t="b">
        <f aca="false">FALSE()</f>
        <v>0</v>
      </c>
      <c r="AH1191" s="0" t="n">
        <v>1</v>
      </c>
    </row>
    <row r="1192" customFormat="false" ht="15" hidden="false" customHeight="false" outlineLevel="0" collapsed="false">
      <c r="A1192" s="0" t="s">
        <v>1842</v>
      </c>
      <c r="B1192" s="0" t="s">
        <v>3459</v>
      </c>
      <c r="C1192" s="0" t="s">
        <v>3447</v>
      </c>
      <c r="D1192" s="0" t="s">
        <v>3457</v>
      </c>
      <c r="E1192" s="19" t="s">
        <v>26</v>
      </c>
      <c r="F1192" s="19" t="s">
        <v>32</v>
      </c>
      <c r="G1192" s="21" t="s">
        <v>1451</v>
      </c>
      <c r="H1192" s="21" t="s">
        <v>24</v>
      </c>
      <c r="I1192" s="21" t="s">
        <v>26</v>
      </c>
      <c r="J1192" s="21" t="s">
        <v>24</v>
      </c>
      <c r="K1192" s="21" t="s">
        <v>25</v>
      </c>
      <c r="L1192" s="21" t="s">
        <v>24</v>
      </c>
      <c r="M1192" s="0" t="n">
        <v>188</v>
      </c>
      <c r="N1192" s="0" t="n">
        <v>9</v>
      </c>
      <c r="O1192" s="21" t="s">
        <v>4042</v>
      </c>
      <c r="P1192" s="21" t="s">
        <v>4471</v>
      </c>
      <c r="Q1192" s="0" t="n">
        <v>1</v>
      </c>
      <c r="R1192" s="21" t="s">
        <v>69</v>
      </c>
      <c r="S1192" s="0" t="n">
        <v>9</v>
      </c>
      <c r="T1192" s="21" t="s">
        <v>4042</v>
      </c>
      <c r="U1192" s="22" t="b">
        <f aca="false">FALSE()</f>
        <v>0</v>
      </c>
      <c r="V1192" s="0" t="n">
        <v>0.78</v>
      </c>
      <c r="W1192" s="0" t="n">
        <v>0.12</v>
      </c>
      <c r="X1192" s="0" t="n">
        <v>10.81</v>
      </c>
      <c r="Y1192" s="0" t="n">
        <v>561.09</v>
      </c>
      <c r="Z1192" s="0" t="n">
        <v>10.33</v>
      </c>
      <c r="AA1192" s="0" t="n">
        <v>7.32</v>
      </c>
      <c r="AB1192" s="0" t="n">
        <v>1.5</v>
      </c>
      <c r="AC1192" s="22" t="b">
        <f aca="false">FALSE()</f>
        <v>0</v>
      </c>
      <c r="AD1192" s="0" t="n">
        <v>11.45</v>
      </c>
      <c r="AE1192" s="0" t="n">
        <v>6.93</v>
      </c>
      <c r="AF1192" s="0" t="n">
        <v>15.79</v>
      </c>
      <c r="AG1192" s="22" t="b">
        <f aca="false">TRUE()</f>
        <v>1</v>
      </c>
      <c r="AH1192" s="0" t="n">
        <v>1</v>
      </c>
    </row>
    <row r="1193" customFormat="false" ht="15" hidden="false" customHeight="false" outlineLevel="0" collapsed="false">
      <c r="A1193" s="0" t="s">
        <v>1842</v>
      </c>
      <c r="B1193" s="0" t="s">
        <v>3459</v>
      </c>
      <c r="C1193" s="0" t="s">
        <v>3447</v>
      </c>
      <c r="D1193" s="0" t="s">
        <v>3448</v>
      </c>
      <c r="E1193" s="18" t="s">
        <v>24</v>
      </c>
      <c r="F1193" s="23" t="s">
        <v>30</v>
      </c>
      <c r="G1193" s="21" t="s">
        <v>30</v>
      </c>
      <c r="H1193" s="21" t="s">
        <v>24</v>
      </c>
      <c r="I1193" s="21" t="s">
        <v>24</v>
      </c>
      <c r="J1193" s="21" t="s">
        <v>24</v>
      </c>
      <c r="K1193" s="21" t="s">
        <v>24</v>
      </c>
      <c r="L1193" s="21" t="s">
        <v>24</v>
      </c>
      <c r="M1193" s="0" t="n">
        <v>184</v>
      </c>
      <c r="N1193" s="0" t="n">
        <v>6</v>
      </c>
      <c r="O1193" s="21" t="s">
        <v>3735</v>
      </c>
      <c r="P1193" s="21" t="s">
        <v>4667</v>
      </c>
      <c r="Q1193" s="0" t="n">
        <v>0</v>
      </c>
      <c r="S1193" s="0" t="n">
        <v>6</v>
      </c>
      <c r="T1193" s="21" t="s">
        <v>3735</v>
      </c>
      <c r="U1193" s="22" t="b">
        <f aca="false">TRUE()</f>
        <v>1</v>
      </c>
      <c r="V1193" s="0" t="n">
        <v>0.8</v>
      </c>
      <c r="W1193" s="0" t="n">
        <v>0</v>
      </c>
      <c r="X1193" s="0" t="n">
        <v>11.07</v>
      </c>
      <c r="Y1193" s="0" t="n">
        <v>711.19</v>
      </c>
      <c r="Z1193" s="0" t="n">
        <v>11</v>
      </c>
      <c r="AA1193" s="0" t="n">
        <v>5.99</v>
      </c>
      <c r="AB1193" s="0" t="n">
        <v>1.77</v>
      </c>
      <c r="AC1193" s="22" t="b">
        <f aca="false">FALSE()</f>
        <v>0</v>
      </c>
      <c r="AD1193" s="0" t="n">
        <v>11.02</v>
      </c>
      <c r="AE1193" s="0" t="n">
        <v>6.36</v>
      </c>
      <c r="AF1193" s="0" t="n">
        <v>9.9</v>
      </c>
      <c r="AG1193" s="22" t="b">
        <f aca="false">TRUE()</f>
        <v>1</v>
      </c>
      <c r="AH1193" s="0" t="n">
        <v>1</v>
      </c>
    </row>
    <row r="1194" customFormat="false" ht="15" hidden="false" customHeight="false" outlineLevel="0" collapsed="false">
      <c r="A1194" s="0" t="s">
        <v>1848</v>
      </c>
      <c r="B1194" s="0" t="s">
        <v>134</v>
      </c>
      <c r="C1194" s="0" t="s">
        <v>3450</v>
      </c>
      <c r="D1194" s="0" t="s">
        <v>3457</v>
      </c>
      <c r="E1194" s="20" t="s">
        <v>25</v>
      </c>
      <c r="F1194" s="20" t="s">
        <v>29</v>
      </c>
      <c r="G1194" s="21" t="s">
        <v>3451</v>
      </c>
      <c r="H1194" s="21" t="s">
        <v>24</v>
      </c>
      <c r="I1194" s="21" t="s">
        <v>24</v>
      </c>
      <c r="J1194" s="21" t="s">
        <v>24</v>
      </c>
      <c r="K1194" s="21" t="s">
        <v>25</v>
      </c>
      <c r="L1194" s="21" t="s">
        <v>24</v>
      </c>
      <c r="M1194" s="0" t="n">
        <v>182</v>
      </c>
      <c r="N1194" s="0" t="n">
        <v>0</v>
      </c>
      <c r="Q1194" s="0" t="n">
        <v>0</v>
      </c>
      <c r="S1194" s="0" t="n">
        <v>0</v>
      </c>
      <c r="U1194" s="22" t="b">
        <f aca="false">FALSE()</f>
        <v>0</v>
      </c>
      <c r="V1194" s="0" t="n">
        <v>0.69</v>
      </c>
      <c r="W1194" s="0" t="n">
        <v>0.4</v>
      </c>
      <c r="X1194" s="0" t="n">
        <v>5.84</v>
      </c>
      <c r="Y1194" s="0" t="n">
        <v>349.01</v>
      </c>
      <c r="Z1194" s="0" t="n">
        <v>10.25</v>
      </c>
      <c r="AA1194" s="0" t="n">
        <v>0.63</v>
      </c>
      <c r="AB1194" s="0" t="n">
        <v>0.81</v>
      </c>
      <c r="AC1194" s="22" t="b">
        <f aca="false">TRUE()</f>
        <v>1</v>
      </c>
      <c r="AD1194" s="0" t="n">
        <v>15.16</v>
      </c>
      <c r="AE1194" s="0" t="n">
        <v>1.17</v>
      </c>
      <c r="AF1194" s="0" t="n">
        <v>2.38</v>
      </c>
      <c r="AG1194" s="22" t="b">
        <f aca="false">TRUE()</f>
        <v>1</v>
      </c>
      <c r="AH1194" s="0" t="n">
        <v>1</v>
      </c>
    </row>
    <row r="1195" customFormat="false" ht="15" hidden="false" customHeight="false" outlineLevel="0" collapsed="false">
      <c r="A1195" s="0" t="s">
        <v>1848</v>
      </c>
      <c r="B1195" s="0" t="s">
        <v>134</v>
      </c>
      <c r="C1195" s="0" t="s">
        <v>3450</v>
      </c>
      <c r="D1195" s="0" t="s">
        <v>3448</v>
      </c>
      <c r="E1195" s="20" t="s">
        <v>25</v>
      </c>
      <c r="F1195" s="20" t="s">
        <v>29</v>
      </c>
      <c r="G1195" s="21" t="s">
        <v>3466</v>
      </c>
      <c r="H1195" s="21" t="s">
        <v>24</v>
      </c>
      <c r="I1195" s="21" t="s">
        <v>24</v>
      </c>
      <c r="J1195" s="21" t="s">
        <v>24</v>
      </c>
      <c r="K1195" s="21" t="s">
        <v>25</v>
      </c>
      <c r="L1195" s="21" t="s">
        <v>24</v>
      </c>
      <c r="M1195" s="0" t="n">
        <v>225</v>
      </c>
      <c r="N1195" s="0" t="n">
        <v>0</v>
      </c>
      <c r="Q1195" s="0" t="n">
        <v>0</v>
      </c>
      <c r="S1195" s="0" t="n">
        <v>0</v>
      </c>
      <c r="U1195" s="22" t="b">
        <f aca="false">FALSE()</f>
        <v>0</v>
      </c>
      <c r="V1195" s="0" t="n">
        <v>0.72</v>
      </c>
      <c r="W1195" s="0" t="n">
        <v>0.6</v>
      </c>
      <c r="X1195" s="0" t="n">
        <v>5.37</v>
      </c>
      <c r="Y1195" s="0" t="n">
        <v>395.86</v>
      </c>
      <c r="Z1195" s="0" t="n">
        <v>9.83</v>
      </c>
      <c r="AA1195" s="0" t="n">
        <v>0.25</v>
      </c>
      <c r="AB1195" s="0" t="n">
        <v>1.14</v>
      </c>
      <c r="AC1195" s="22" t="b">
        <f aca="false">TRUE()</f>
        <v>1</v>
      </c>
      <c r="AD1195" s="0" t="n">
        <v>12.93</v>
      </c>
      <c r="AE1195" s="0" t="n">
        <v>0.54</v>
      </c>
      <c r="AF1195" s="0" t="n">
        <v>8.2</v>
      </c>
      <c r="AG1195" s="22" t="b">
        <f aca="false">TRUE()</f>
        <v>1</v>
      </c>
      <c r="AH1195" s="0" t="n">
        <v>1</v>
      </c>
    </row>
    <row r="1196" customFormat="false" ht="15" hidden="false" customHeight="false" outlineLevel="0" collapsed="false">
      <c r="A1196" s="0" t="s">
        <v>1848</v>
      </c>
      <c r="B1196" s="0" t="s">
        <v>134</v>
      </c>
      <c r="C1196" s="0" t="s">
        <v>3447</v>
      </c>
      <c r="D1196" s="0" t="s">
        <v>3457</v>
      </c>
      <c r="E1196" s="20" t="s">
        <v>25</v>
      </c>
      <c r="F1196" s="20" t="s">
        <v>29</v>
      </c>
      <c r="G1196" s="21" t="s">
        <v>64</v>
      </c>
      <c r="H1196" s="21" t="s">
        <v>24</v>
      </c>
      <c r="I1196" s="21" t="s">
        <v>24</v>
      </c>
      <c r="J1196" s="21" t="s">
        <v>24</v>
      </c>
      <c r="K1196" s="21" t="s">
        <v>25</v>
      </c>
      <c r="L1196" s="21" t="s">
        <v>24</v>
      </c>
      <c r="M1196" s="0" t="n">
        <v>184</v>
      </c>
      <c r="N1196" s="0" t="n">
        <v>0</v>
      </c>
      <c r="Q1196" s="0" t="n">
        <v>0</v>
      </c>
      <c r="S1196" s="0" t="n">
        <v>0</v>
      </c>
      <c r="U1196" s="22" t="b">
        <f aca="false">FALSE()</f>
        <v>0</v>
      </c>
      <c r="V1196" s="0" t="n">
        <v>0.75</v>
      </c>
      <c r="W1196" s="0" t="n">
        <v>0.4</v>
      </c>
      <c r="X1196" s="0" t="n">
        <v>4.56</v>
      </c>
      <c r="Y1196" s="0" t="n">
        <v>359.82</v>
      </c>
      <c r="Z1196" s="0" t="n">
        <v>8.33</v>
      </c>
      <c r="AA1196" s="0" t="n">
        <v>-1.29</v>
      </c>
      <c r="AB1196" s="0" t="n">
        <v>0.81</v>
      </c>
      <c r="AC1196" s="22" t="b">
        <f aca="false">FALSE()</f>
        <v>0</v>
      </c>
      <c r="AD1196" s="0" t="n">
        <v>15.96</v>
      </c>
      <c r="AE1196" s="0" t="n">
        <v>0.55</v>
      </c>
      <c r="AF1196" s="0" t="n">
        <v>4.27</v>
      </c>
      <c r="AG1196" s="22" t="b">
        <f aca="false">TRUE()</f>
        <v>1</v>
      </c>
      <c r="AH1196" s="0" t="n">
        <v>1</v>
      </c>
    </row>
    <row r="1197" customFormat="false" ht="15" hidden="false" customHeight="false" outlineLevel="0" collapsed="false">
      <c r="A1197" s="0" t="s">
        <v>1848</v>
      </c>
      <c r="B1197" s="0" t="s">
        <v>134</v>
      </c>
      <c r="C1197" s="0" t="s">
        <v>3447</v>
      </c>
      <c r="D1197" s="0" t="s">
        <v>3448</v>
      </c>
      <c r="E1197" s="20" t="s">
        <v>25</v>
      </c>
      <c r="F1197" s="20" t="s">
        <v>29</v>
      </c>
      <c r="G1197" s="21" t="s">
        <v>63</v>
      </c>
      <c r="H1197" s="21" t="s">
        <v>24</v>
      </c>
      <c r="I1197" s="21" t="s">
        <v>24</v>
      </c>
      <c r="J1197" s="21" t="s">
        <v>24</v>
      </c>
      <c r="K1197" s="21" t="s">
        <v>25</v>
      </c>
      <c r="L1197" s="21" t="s">
        <v>24</v>
      </c>
      <c r="M1197" s="0" t="n">
        <v>185</v>
      </c>
      <c r="N1197" s="0" t="n">
        <v>0</v>
      </c>
      <c r="Q1197" s="0" t="n">
        <v>0</v>
      </c>
      <c r="S1197" s="0" t="n">
        <v>0</v>
      </c>
      <c r="U1197" s="22" t="b">
        <f aca="false">FALSE()</f>
        <v>0</v>
      </c>
      <c r="V1197" s="0" t="n">
        <v>0.77</v>
      </c>
      <c r="W1197" s="0" t="n">
        <v>0.28</v>
      </c>
      <c r="X1197" s="0" t="n">
        <v>5.47</v>
      </c>
      <c r="Y1197" s="0" t="n">
        <v>431.36</v>
      </c>
      <c r="Z1197" s="0" t="n">
        <v>8.08</v>
      </c>
      <c r="AA1197" s="0" t="n">
        <v>-0.87</v>
      </c>
      <c r="AB1197" s="0" t="n">
        <v>1.14</v>
      </c>
      <c r="AC1197" s="22" t="b">
        <f aca="false">FALSE()</f>
        <v>0</v>
      </c>
      <c r="AD1197" s="0" t="n">
        <v>7.39</v>
      </c>
      <c r="AE1197" s="0" t="n">
        <v>2.59</v>
      </c>
      <c r="AF1197" s="0" t="n">
        <v>1.24</v>
      </c>
      <c r="AG1197" s="22" t="b">
        <f aca="false">FALSE()</f>
        <v>0</v>
      </c>
      <c r="AH1197" s="0" t="n">
        <v>1</v>
      </c>
    </row>
    <row r="1198" customFormat="false" ht="15" hidden="false" customHeight="false" outlineLevel="0" collapsed="false">
      <c r="A1198" s="0" t="s">
        <v>1854</v>
      </c>
      <c r="B1198" s="0" t="s">
        <v>134</v>
      </c>
      <c r="C1198" s="0" t="s">
        <v>3450</v>
      </c>
      <c r="D1198" s="0" t="s">
        <v>3457</v>
      </c>
      <c r="E1198" s="19" t="s">
        <v>26</v>
      </c>
      <c r="F1198" s="19" t="s">
        <v>32</v>
      </c>
      <c r="G1198" s="21" t="s">
        <v>60</v>
      </c>
      <c r="H1198" s="21" t="s">
        <v>24</v>
      </c>
      <c r="I1198" s="21" t="s">
        <v>26</v>
      </c>
      <c r="J1198" s="21" t="s">
        <v>24</v>
      </c>
      <c r="K1198" s="21" t="s">
        <v>24</v>
      </c>
      <c r="L1198" s="21" t="s">
        <v>24</v>
      </c>
      <c r="M1198" s="0" t="n">
        <v>184</v>
      </c>
      <c r="N1198" s="0" t="n">
        <v>12</v>
      </c>
      <c r="O1198" s="21" t="s">
        <v>3937</v>
      </c>
      <c r="P1198" s="21" t="s">
        <v>4477</v>
      </c>
      <c r="Q1198" s="0" t="n">
        <v>0</v>
      </c>
      <c r="S1198" s="0" t="n">
        <v>12</v>
      </c>
      <c r="T1198" s="21" t="s">
        <v>3937</v>
      </c>
      <c r="U1198" s="22" t="b">
        <f aca="false">FALSE()</f>
        <v>0</v>
      </c>
      <c r="V1198" s="0" t="n">
        <v>0.69</v>
      </c>
      <c r="W1198" s="0" t="n">
        <v>0.96</v>
      </c>
      <c r="X1198" s="0" t="n">
        <v>8.28</v>
      </c>
      <c r="Y1198" s="0" t="n">
        <v>315.7</v>
      </c>
      <c r="Z1198" s="0" t="n">
        <v>9.25</v>
      </c>
      <c r="AA1198" s="0" t="n">
        <v>4.75</v>
      </c>
      <c r="AB1198" s="0" t="n">
        <v>7.3</v>
      </c>
      <c r="AC1198" s="22" t="b">
        <f aca="false">FALSE()</f>
        <v>0</v>
      </c>
      <c r="AD1198" s="0" t="n">
        <v>0.68</v>
      </c>
      <c r="AE1198" s="0" t="n">
        <v>0.07</v>
      </c>
      <c r="AF1198" s="0" t="n">
        <v>8.86</v>
      </c>
      <c r="AG1198" s="22" t="b">
        <f aca="false">FALSE()</f>
        <v>0</v>
      </c>
      <c r="AH1198" s="0" t="n">
        <v>1</v>
      </c>
    </row>
    <row r="1199" customFormat="false" ht="15" hidden="false" customHeight="false" outlineLevel="0" collapsed="false">
      <c r="A1199" s="0" t="s">
        <v>1854</v>
      </c>
      <c r="B1199" s="0" t="s">
        <v>134</v>
      </c>
      <c r="C1199" s="0" t="s">
        <v>3450</v>
      </c>
      <c r="D1199" s="0" t="s">
        <v>3448</v>
      </c>
      <c r="E1199" s="19" t="s">
        <v>26</v>
      </c>
      <c r="F1199" s="19" t="s">
        <v>32</v>
      </c>
      <c r="G1199" s="21" t="s">
        <v>529</v>
      </c>
      <c r="H1199" s="21" t="s">
        <v>24</v>
      </c>
      <c r="I1199" s="21" t="s">
        <v>26</v>
      </c>
      <c r="J1199" s="21" t="s">
        <v>24</v>
      </c>
      <c r="K1199" s="21" t="s">
        <v>24</v>
      </c>
      <c r="L1199" s="21" t="s">
        <v>24</v>
      </c>
      <c r="M1199" s="0" t="n">
        <v>182</v>
      </c>
      <c r="N1199" s="0" t="n">
        <v>10</v>
      </c>
      <c r="O1199" s="21" t="s">
        <v>4125</v>
      </c>
      <c r="P1199" s="21" t="s">
        <v>4668</v>
      </c>
      <c r="Q1199" s="0" t="n">
        <v>1</v>
      </c>
      <c r="R1199" s="21" t="s">
        <v>69</v>
      </c>
      <c r="S1199" s="0" t="n">
        <v>10</v>
      </c>
      <c r="T1199" s="21" t="s">
        <v>4125</v>
      </c>
      <c r="U1199" s="22" t="b">
        <f aca="false">FALSE()</f>
        <v>0</v>
      </c>
      <c r="V1199" s="0" t="n">
        <v>0.68</v>
      </c>
      <c r="W1199" s="0" t="n">
        <v>0</v>
      </c>
      <c r="X1199" s="0" t="n">
        <v>7.41</v>
      </c>
      <c r="Y1199" s="0" t="n">
        <v>0.9</v>
      </c>
      <c r="Z1199" s="0" t="n">
        <v>9.58</v>
      </c>
      <c r="AA1199" s="0" t="n">
        <v>17.34</v>
      </c>
      <c r="AB1199" s="0" t="n">
        <v>3.18</v>
      </c>
      <c r="AC1199" s="22" t="b">
        <f aca="false">FALSE()</f>
        <v>0</v>
      </c>
      <c r="AD1199" s="0" t="n">
        <v>14.48</v>
      </c>
      <c r="AE1199" s="0" t="n">
        <v>0.13</v>
      </c>
      <c r="AF1199" s="0" t="n">
        <v>4.35</v>
      </c>
      <c r="AG1199" s="22" t="b">
        <f aca="false">TRUE()</f>
        <v>1</v>
      </c>
      <c r="AH1199" s="0" t="n">
        <v>0</v>
      </c>
    </row>
    <row r="1200" customFormat="false" ht="15" hidden="false" customHeight="false" outlineLevel="0" collapsed="false">
      <c r="A1200" s="0" t="s">
        <v>1854</v>
      </c>
      <c r="B1200" s="0" t="s">
        <v>134</v>
      </c>
      <c r="C1200" s="0" t="s">
        <v>3447</v>
      </c>
      <c r="D1200" s="0" t="s">
        <v>3457</v>
      </c>
      <c r="E1200" s="18" t="s">
        <v>24</v>
      </c>
      <c r="F1200" s="23" t="s">
        <v>30</v>
      </c>
      <c r="G1200" s="21" t="s">
        <v>30</v>
      </c>
      <c r="H1200" s="21" t="s">
        <v>24</v>
      </c>
      <c r="I1200" s="21" t="s">
        <v>24</v>
      </c>
      <c r="J1200" s="21" t="s">
        <v>24</v>
      </c>
      <c r="K1200" s="21" t="s">
        <v>24</v>
      </c>
      <c r="L1200" s="21" t="s">
        <v>24</v>
      </c>
      <c r="M1200" s="0" t="n">
        <v>187</v>
      </c>
      <c r="N1200" s="0" t="n">
        <v>2</v>
      </c>
      <c r="O1200" s="21" t="s">
        <v>3514</v>
      </c>
      <c r="P1200" s="21" t="s">
        <v>4470</v>
      </c>
      <c r="Q1200" s="0" t="n">
        <v>0</v>
      </c>
      <c r="S1200" s="0" t="n">
        <v>2</v>
      </c>
      <c r="T1200" s="21" t="s">
        <v>3514</v>
      </c>
      <c r="U1200" s="22" t="b">
        <f aca="false">TRUE()</f>
        <v>1</v>
      </c>
      <c r="V1200" s="0" t="n">
        <v>0.75</v>
      </c>
      <c r="W1200" s="0" t="n">
        <v>0.6</v>
      </c>
      <c r="X1200" s="0" t="n">
        <v>7.39</v>
      </c>
      <c r="Y1200" s="0" t="n">
        <v>329.49</v>
      </c>
      <c r="Z1200" s="0" t="n">
        <v>9.75</v>
      </c>
      <c r="AA1200" s="0" t="n">
        <v>10.15</v>
      </c>
      <c r="AB1200" s="0" t="n">
        <v>7.3</v>
      </c>
      <c r="AC1200" s="22" t="b">
        <f aca="false">FALSE()</f>
        <v>0</v>
      </c>
      <c r="AD1200" s="0" t="n">
        <v>3.2</v>
      </c>
      <c r="AE1200" s="0" t="n">
        <v>0.61</v>
      </c>
      <c r="AF1200" s="0" t="n">
        <v>17.26</v>
      </c>
      <c r="AG1200" s="22" t="b">
        <f aca="false">FALSE()</f>
        <v>0</v>
      </c>
      <c r="AH1200" s="0" t="n">
        <v>1</v>
      </c>
    </row>
    <row r="1201" customFormat="false" ht="15" hidden="false" customHeight="false" outlineLevel="0" collapsed="false">
      <c r="A1201" s="0" t="s">
        <v>1854</v>
      </c>
      <c r="B1201" s="0" t="s">
        <v>134</v>
      </c>
      <c r="C1201" s="0" t="s">
        <v>3447</v>
      </c>
      <c r="D1201" s="0" t="s">
        <v>3448</v>
      </c>
      <c r="E1201" s="18" t="s">
        <v>24</v>
      </c>
      <c r="F1201" s="23" t="s">
        <v>30</v>
      </c>
      <c r="G1201" s="21" t="s">
        <v>30</v>
      </c>
      <c r="H1201" s="21" t="s">
        <v>24</v>
      </c>
      <c r="I1201" s="21" t="s">
        <v>24</v>
      </c>
      <c r="J1201" s="21" t="s">
        <v>24</v>
      </c>
      <c r="K1201" s="21" t="s">
        <v>24</v>
      </c>
      <c r="L1201" s="21" t="s">
        <v>24</v>
      </c>
      <c r="M1201" s="0" t="n">
        <v>182</v>
      </c>
      <c r="N1201" s="0" t="n">
        <v>3</v>
      </c>
      <c r="O1201" s="21" t="s">
        <v>3592</v>
      </c>
      <c r="P1201" s="21" t="s">
        <v>4669</v>
      </c>
      <c r="Q1201" s="0" t="n">
        <v>0</v>
      </c>
      <c r="S1201" s="0" t="n">
        <v>3</v>
      </c>
      <c r="T1201" s="21" t="s">
        <v>3592</v>
      </c>
      <c r="U1201" s="22" t="b">
        <f aca="false">TRUE()</f>
        <v>1</v>
      </c>
      <c r="V1201" s="0" t="n">
        <v>0.71</v>
      </c>
      <c r="W1201" s="0" t="n">
        <v>0.48</v>
      </c>
      <c r="X1201" s="0" t="n">
        <v>9.68</v>
      </c>
      <c r="Y1201" s="0" t="n">
        <v>317.02</v>
      </c>
      <c r="Z1201" s="0" t="n">
        <v>9.25</v>
      </c>
      <c r="AA1201" s="0" t="n">
        <v>6.16</v>
      </c>
      <c r="AB1201" s="0" t="n">
        <v>3.18</v>
      </c>
      <c r="AC1201" s="22" t="b">
        <f aca="false">FALSE()</f>
        <v>0</v>
      </c>
      <c r="AD1201" s="0" t="n">
        <v>10.55</v>
      </c>
      <c r="AE1201" s="0" t="n">
        <v>0.71</v>
      </c>
      <c r="AF1201" s="0" t="n">
        <v>1.24</v>
      </c>
      <c r="AG1201" s="22" t="b">
        <f aca="false">TRUE()</f>
        <v>1</v>
      </c>
      <c r="AH1201" s="0" t="n">
        <v>1</v>
      </c>
    </row>
    <row r="1202" customFormat="false" ht="15" hidden="false" customHeight="false" outlineLevel="0" collapsed="false">
      <c r="A1202" s="0" t="s">
        <v>1859</v>
      </c>
      <c r="B1202" s="0" t="s">
        <v>134</v>
      </c>
      <c r="C1202" s="0" t="s">
        <v>3450</v>
      </c>
      <c r="D1202" s="0" t="s">
        <v>3457</v>
      </c>
      <c r="E1202" s="19" t="s">
        <v>26</v>
      </c>
      <c r="F1202" s="19" t="s">
        <v>32</v>
      </c>
      <c r="G1202" s="21" t="s">
        <v>1409</v>
      </c>
      <c r="H1202" s="21" t="s">
        <v>24</v>
      </c>
      <c r="I1202" s="21" t="s">
        <v>26</v>
      </c>
      <c r="J1202" s="21" t="s">
        <v>24</v>
      </c>
      <c r="K1202" s="21" t="s">
        <v>25</v>
      </c>
      <c r="L1202" s="21" t="s">
        <v>24</v>
      </c>
      <c r="M1202" s="0" t="n">
        <v>183</v>
      </c>
      <c r="N1202" s="0" t="n">
        <v>14</v>
      </c>
      <c r="O1202" s="21" t="s">
        <v>4151</v>
      </c>
      <c r="P1202" s="21" t="s">
        <v>4670</v>
      </c>
      <c r="Q1202" s="0" t="n">
        <v>1</v>
      </c>
      <c r="R1202" s="21" t="s">
        <v>69</v>
      </c>
      <c r="S1202" s="0" t="n">
        <v>14</v>
      </c>
      <c r="T1202" s="21" t="s">
        <v>4151</v>
      </c>
      <c r="U1202" s="22" t="b">
        <f aca="false">FALSE()</f>
        <v>0</v>
      </c>
      <c r="V1202" s="0" t="n">
        <v>0.65</v>
      </c>
      <c r="W1202" s="0" t="n">
        <v>0.12</v>
      </c>
      <c r="X1202" s="0" t="n">
        <v>6.8</v>
      </c>
      <c r="Y1202" s="0" t="n">
        <v>503.65</v>
      </c>
      <c r="Z1202" s="0" t="n">
        <v>9.58</v>
      </c>
      <c r="AA1202" s="0" t="n">
        <v>-0.98</v>
      </c>
      <c r="AB1202" s="0" t="n">
        <v>0.79</v>
      </c>
      <c r="AC1202" s="22" t="b">
        <f aca="false">TRUE()</f>
        <v>1</v>
      </c>
      <c r="AD1202" s="0" t="n">
        <v>13.67</v>
      </c>
      <c r="AE1202" s="0" t="n">
        <v>0.76</v>
      </c>
      <c r="AF1202" s="0" t="n">
        <v>11.84</v>
      </c>
      <c r="AG1202" s="22" t="b">
        <f aca="false">TRUE()</f>
        <v>1</v>
      </c>
      <c r="AH1202" s="0" t="n">
        <v>1</v>
      </c>
    </row>
    <row r="1203" customFormat="false" ht="15" hidden="false" customHeight="false" outlineLevel="0" collapsed="false">
      <c r="A1203" s="0" t="s">
        <v>1859</v>
      </c>
      <c r="B1203" s="0" t="s">
        <v>134</v>
      </c>
      <c r="C1203" s="0" t="s">
        <v>3450</v>
      </c>
      <c r="D1203" s="0" t="s">
        <v>3448</v>
      </c>
      <c r="E1203" s="20" t="s">
        <v>25</v>
      </c>
      <c r="F1203" s="20" t="s">
        <v>29</v>
      </c>
      <c r="G1203" s="21" t="s">
        <v>62</v>
      </c>
      <c r="H1203" s="21" t="s">
        <v>24</v>
      </c>
      <c r="I1203" s="21" t="s">
        <v>24</v>
      </c>
      <c r="J1203" s="21" t="s">
        <v>24</v>
      </c>
      <c r="K1203" s="21" t="s">
        <v>25</v>
      </c>
      <c r="L1203" s="21" t="s">
        <v>24</v>
      </c>
      <c r="M1203" s="0" t="n">
        <v>188</v>
      </c>
      <c r="N1203" s="0" t="n">
        <v>0</v>
      </c>
      <c r="Q1203" s="0" t="n">
        <v>0</v>
      </c>
      <c r="S1203" s="0" t="n">
        <v>0</v>
      </c>
      <c r="U1203" s="22" t="b">
        <f aca="false">FALSE()</f>
        <v>0</v>
      </c>
      <c r="V1203" s="0" t="n">
        <v>0.61</v>
      </c>
      <c r="W1203" s="0" t="n">
        <v>0.44</v>
      </c>
      <c r="X1203" s="0" t="n">
        <v>10.57</v>
      </c>
      <c r="Y1203" s="0" t="n">
        <v>349.27</v>
      </c>
      <c r="Z1203" s="0" t="n">
        <v>8</v>
      </c>
      <c r="AA1203" s="0" t="n">
        <v>-0.64</v>
      </c>
      <c r="AB1203" s="0" t="n">
        <v>2.13</v>
      </c>
      <c r="AC1203" s="22" t="b">
        <f aca="false">FALSE()</f>
        <v>0</v>
      </c>
      <c r="AD1203" s="0" t="n">
        <v>10.93</v>
      </c>
      <c r="AE1203" s="0" t="n">
        <v>3.77</v>
      </c>
      <c r="AF1203" s="0" t="n">
        <v>9.88</v>
      </c>
      <c r="AG1203" s="22" t="b">
        <f aca="false">TRUE()</f>
        <v>1</v>
      </c>
      <c r="AH1203" s="0" t="n">
        <v>1</v>
      </c>
    </row>
    <row r="1204" customFormat="false" ht="15" hidden="false" customHeight="false" outlineLevel="0" collapsed="false">
      <c r="A1204" s="0" t="s">
        <v>1859</v>
      </c>
      <c r="B1204" s="0" t="s">
        <v>134</v>
      </c>
      <c r="C1204" s="0" t="s">
        <v>3447</v>
      </c>
      <c r="D1204" s="0" t="s">
        <v>3457</v>
      </c>
      <c r="E1204" s="20" t="s">
        <v>25</v>
      </c>
      <c r="F1204" s="23" t="s">
        <v>30</v>
      </c>
      <c r="G1204" s="21" t="s">
        <v>2610</v>
      </c>
      <c r="H1204" s="21" t="s">
        <v>24</v>
      </c>
      <c r="I1204" s="21" t="s">
        <v>24</v>
      </c>
      <c r="J1204" s="21" t="s">
        <v>24</v>
      </c>
      <c r="K1204" s="21" t="s">
        <v>25</v>
      </c>
      <c r="L1204" s="21" t="s">
        <v>24</v>
      </c>
      <c r="M1204" s="0" t="n">
        <v>184</v>
      </c>
      <c r="N1204" s="0" t="n">
        <v>5</v>
      </c>
      <c r="O1204" s="21" t="s">
        <v>3686</v>
      </c>
      <c r="P1204" s="21" t="s">
        <v>4671</v>
      </c>
      <c r="Q1204" s="0" t="n">
        <v>0</v>
      </c>
      <c r="S1204" s="0" t="n">
        <v>5</v>
      </c>
      <c r="T1204" s="21" t="s">
        <v>3686</v>
      </c>
      <c r="U1204" s="22" t="b">
        <f aca="false">TRUE()</f>
        <v>1</v>
      </c>
      <c r="V1204" s="0" t="n">
        <v>0.79</v>
      </c>
      <c r="W1204" s="0" t="n">
        <v>0.28</v>
      </c>
      <c r="X1204" s="0" t="n">
        <v>10.69</v>
      </c>
      <c r="Y1204" s="0" t="n">
        <v>369.48</v>
      </c>
      <c r="Z1204" s="0" t="n">
        <v>8</v>
      </c>
      <c r="AA1204" s="0" t="n">
        <v>0.07</v>
      </c>
      <c r="AB1204" s="0" t="n">
        <v>0.79</v>
      </c>
      <c r="AC1204" s="22" t="b">
        <f aca="false">FALSE()</f>
        <v>0</v>
      </c>
      <c r="AD1204" s="0" t="n">
        <v>13.22</v>
      </c>
      <c r="AE1204" s="0" t="n">
        <v>0.22</v>
      </c>
      <c r="AF1204" s="0" t="n">
        <v>9.94</v>
      </c>
      <c r="AG1204" s="22" t="b">
        <f aca="false">TRUE()</f>
        <v>1</v>
      </c>
      <c r="AH1204" s="0" t="n">
        <v>1</v>
      </c>
    </row>
    <row r="1205" customFormat="false" ht="15" hidden="false" customHeight="false" outlineLevel="0" collapsed="false">
      <c r="A1205" s="0" t="s">
        <v>1859</v>
      </c>
      <c r="B1205" s="0" t="s">
        <v>134</v>
      </c>
      <c r="C1205" s="0" t="s">
        <v>3447</v>
      </c>
      <c r="D1205" s="0" t="s">
        <v>3448</v>
      </c>
      <c r="E1205" s="19" t="s">
        <v>26</v>
      </c>
      <c r="F1205" s="19" t="s">
        <v>32</v>
      </c>
      <c r="G1205" s="21" t="s">
        <v>60</v>
      </c>
      <c r="H1205" s="21" t="s">
        <v>24</v>
      </c>
      <c r="I1205" s="21" t="s">
        <v>26</v>
      </c>
      <c r="J1205" s="21" t="s">
        <v>24</v>
      </c>
      <c r="K1205" s="21" t="s">
        <v>24</v>
      </c>
      <c r="L1205" s="21" t="s">
        <v>24</v>
      </c>
      <c r="M1205" s="0" t="n">
        <v>189</v>
      </c>
      <c r="N1205" s="0" t="n">
        <v>7</v>
      </c>
      <c r="O1205" s="21" t="s">
        <v>3873</v>
      </c>
      <c r="P1205" s="21" t="s">
        <v>4672</v>
      </c>
      <c r="Q1205" s="0" t="n">
        <v>0</v>
      </c>
      <c r="S1205" s="0" t="n">
        <v>5</v>
      </c>
      <c r="T1205" s="21" t="s">
        <v>4673</v>
      </c>
      <c r="U1205" s="22" t="b">
        <f aca="false">FALSE()</f>
        <v>0</v>
      </c>
      <c r="V1205" s="0" t="n">
        <v>0.8</v>
      </c>
      <c r="W1205" s="0" t="n">
        <v>0.96</v>
      </c>
      <c r="X1205" s="0" t="n">
        <v>13.21</v>
      </c>
      <c r="Y1205" s="0" t="n">
        <v>318.62</v>
      </c>
      <c r="Z1205" s="0" t="n">
        <v>8</v>
      </c>
      <c r="AA1205" s="0" t="n">
        <v>1.04</v>
      </c>
      <c r="AB1205" s="0" t="n">
        <v>2.13</v>
      </c>
      <c r="AC1205" s="22" t="b">
        <f aca="false">FALSE()</f>
        <v>0</v>
      </c>
      <c r="AD1205" s="0" t="n">
        <v>10.87</v>
      </c>
      <c r="AE1205" s="0" t="n">
        <v>3.27</v>
      </c>
      <c r="AF1205" s="0" t="n">
        <v>6.4</v>
      </c>
      <c r="AG1205" s="22" t="b">
        <f aca="false">TRUE()</f>
        <v>1</v>
      </c>
      <c r="AH1205" s="0" t="n">
        <v>1</v>
      </c>
    </row>
    <row r="1206" customFormat="false" ht="15" hidden="false" customHeight="false" outlineLevel="0" collapsed="false">
      <c r="A1206" s="0" t="s">
        <v>1867</v>
      </c>
      <c r="B1206" s="0" t="s">
        <v>134</v>
      </c>
      <c r="C1206" s="0" t="s">
        <v>3450</v>
      </c>
      <c r="D1206" s="0" t="s">
        <v>3457</v>
      </c>
      <c r="E1206" s="20" t="s">
        <v>25</v>
      </c>
      <c r="F1206" s="23" t="s">
        <v>30</v>
      </c>
      <c r="G1206" s="21" t="s">
        <v>2328</v>
      </c>
      <c r="H1206" s="21" t="s">
        <v>24</v>
      </c>
      <c r="I1206" s="21" t="s">
        <v>24</v>
      </c>
      <c r="J1206" s="21" t="s">
        <v>24</v>
      </c>
      <c r="K1206" s="21" t="s">
        <v>25</v>
      </c>
      <c r="L1206" s="21" t="s">
        <v>24</v>
      </c>
      <c r="M1206" s="0" t="n">
        <v>193</v>
      </c>
      <c r="N1206" s="0" t="n">
        <v>2</v>
      </c>
      <c r="O1206" s="21" t="s">
        <v>3503</v>
      </c>
      <c r="P1206" s="21" t="s">
        <v>4473</v>
      </c>
      <c r="Q1206" s="0" t="n">
        <v>0</v>
      </c>
      <c r="S1206" s="0" t="n">
        <v>2</v>
      </c>
      <c r="T1206" s="21" t="s">
        <v>3503</v>
      </c>
      <c r="U1206" s="22" t="b">
        <f aca="false">TRUE()</f>
        <v>1</v>
      </c>
      <c r="V1206" s="0" t="n">
        <v>0.76</v>
      </c>
      <c r="W1206" s="0" t="n">
        <v>0</v>
      </c>
      <c r="X1206" s="0" t="n">
        <v>8.64</v>
      </c>
      <c r="Y1206" s="0" t="n">
        <v>2.39</v>
      </c>
      <c r="Z1206" s="0" t="n">
        <v>8</v>
      </c>
      <c r="AA1206" s="0" t="n">
        <v>-0.41</v>
      </c>
      <c r="AB1206" s="0" t="n">
        <v>0.07</v>
      </c>
      <c r="AC1206" s="22" t="b">
        <f aca="false">TRUE()</f>
        <v>1</v>
      </c>
      <c r="AD1206" s="0" t="n">
        <v>5.61</v>
      </c>
      <c r="AE1206" s="0" t="n">
        <v>0.9</v>
      </c>
      <c r="AF1206" s="0" t="n">
        <v>0.45</v>
      </c>
      <c r="AG1206" s="22" t="b">
        <f aca="false">FALSE()</f>
        <v>0</v>
      </c>
      <c r="AH1206" s="0" t="n">
        <v>0</v>
      </c>
    </row>
    <row r="1207" customFormat="false" ht="15" hidden="false" customHeight="false" outlineLevel="0" collapsed="false">
      <c r="A1207" s="0" t="s">
        <v>1867</v>
      </c>
      <c r="B1207" s="0" t="s">
        <v>134</v>
      </c>
      <c r="C1207" s="0" t="s">
        <v>3450</v>
      </c>
      <c r="D1207" s="0" t="s">
        <v>3448</v>
      </c>
      <c r="E1207" s="19" t="s">
        <v>26</v>
      </c>
      <c r="F1207" s="19" t="s">
        <v>32</v>
      </c>
      <c r="G1207" s="21" t="s">
        <v>3912</v>
      </c>
      <c r="H1207" s="21" t="s">
        <v>24</v>
      </c>
      <c r="I1207" s="21" t="s">
        <v>26</v>
      </c>
      <c r="J1207" s="21" t="s">
        <v>24</v>
      </c>
      <c r="K1207" s="21" t="s">
        <v>25</v>
      </c>
      <c r="L1207" s="21" t="s">
        <v>24</v>
      </c>
      <c r="M1207" s="0" t="n">
        <v>184</v>
      </c>
      <c r="N1207" s="0" t="n">
        <v>12</v>
      </c>
      <c r="O1207" s="21" t="s">
        <v>3911</v>
      </c>
      <c r="P1207" s="21" t="s">
        <v>4674</v>
      </c>
      <c r="Q1207" s="0" t="n">
        <v>0</v>
      </c>
      <c r="S1207" s="0" t="n">
        <v>12</v>
      </c>
      <c r="T1207" s="21" t="s">
        <v>3911</v>
      </c>
      <c r="U1207" s="22" t="b">
        <f aca="false">FALSE()</f>
        <v>0</v>
      </c>
      <c r="V1207" s="0" t="n">
        <v>0.79</v>
      </c>
      <c r="W1207" s="0" t="n">
        <v>0.28</v>
      </c>
      <c r="X1207" s="0" t="n">
        <v>7.57</v>
      </c>
      <c r="Y1207" s="0" t="n">
        <v>433.74</v>
      </c>
      <c r="Z1207" s="0" t="n">
        <v>9.5</v>
      </c>
      <c r="AA1207" s="0" t="n">
        <v>2.56</v>
      </c>
      <c r="AB1207" s="0" t="n">
        <v>1.87</v>
      </c>
      <c r="AC1207" s="22" t="b">
        <f aca="false">FALSE()</f>
        <v>0</v>
      </c>
      <c r="AD1207" s="0" t="n">
        <v>6.48</v>
      </c>
      <c r="AE1207" s="0" t="n">
        <v>0.34</v>
      </c>
      <c r="AF1207" s="0" t="n">
        <v>0.62</v>
      </c>
      <c r="AG1207" s="22" t="b">
        <f aca="false">FALSE()</f>
        <v>0</v>
      </c>
      <c r="AH1207" s="0" t="n">
        <v>1</v>
      </c>
    </row>
    <row r="1208" customFormat="false" ht="15" hidden="false" customHeight="false" outlineLevel="0" collapsed="false">
      <c r="A1208" s="0" t="s">
        <v>1867</v>
      </c>
      <c r="B1208" s="0" t="s">
        <v>134</v>
      </c>
      <c r="C1208" s="0" t="s">
        <v>3447</v>
      </c>
      <c r="D1208" s="0" t="s">
        <v>3457</v>
      </c>
      <c r="E1208" s="19" t="s">
        <v>26</v>
      </c>
      <c r="F1208" s="19" t="s">
        <v>32</v>
      </c>
      <c r="G1208" s="21" t="s">
        <v>3879</v>
      </c>
      <c r="H1208" s="21" t="s">
        <v>24</v>
      </c>
      <c r="I1208" s="21" t="s">
        <v>26</v>
      </c>
      <c r="J1208" s="21" t="s">
        <v>24</v>
      </c>
      <c r="K1208" s="21" t="s">
        <v>25</v>
      </c>
      <c r="L1208" s="21" t="s">
        <v>24</v>
      </c>
      <c r="M1208" s="0" t="n">
        <v>188</v>
      </c>
      <c r="N1208" s="0" t="n">
        <v>7</v>
      </c>
      <c r="O1208" s="21" t="s">
        <v>3878</v>
      </c>
      <c r="P1208" s="21" t="s">
        <v>4675</v>
      </c>
      <c r="Q1208" s="0" t="n">
        <v>0</v>
      </c>
      <c r="S1208" s="0" t="n">
        <v>7</v>
      </c>
      <c r="T1208" s="21" t="s">
        <v>3878</v>
      </c>
      <c r="U1208" s="22" t="b">
        <f aca="false">FALSE()</f>
        <v>0</v>
      </c>
      <c r="V1208" s="0" t="n">
        <v>0.8</v>
      </c>
      <c r="W1208" s="0" t="n">
        <v>0.92</v>
      </c>
      <c r="X1208" s="0" t="n">
        <v>9.87</v>
      </c>
      <c r="Y1208" s="0" t="n">
        <v>323.11</v>
      </c>
      <c r="Z1208" s="0" t="n">
        <v>8.25</v>
      </c>
      <c r="AA1208" s="0" t="n">
        <v>-1.29</v>
      </c>
      <c r="AB1208" s="0" t="n">
        <v>0.07</v>
      </c>
      <c r="AC1208" s="22" t="b">
        <f aca="false">FALSE()</f>
        <v>0</v>
      </c>
      <c r="AD1208" s="0" t="n">
        <v>2.3</v>
      </c>
      <c r="AE1208" s="0" t="n">
        <v>0.3</v>
      </c>
      <c r="AF1208" s="0" t="n">
        <v>0.43</v>
      </c>
      <c r="AG1208" s="22" t="b">
        <f aca="false">FALSE()</f>
        <v>0</v>
      </c>
      <c r="AH1208" s="0" t="n">
        <v>1</v>
      </c>
    </row>
    <row r="1209" customFormat="false" ht="15" hidden="false" customHeight="false" outlineLevel="0" collapsed="false">
      <c r="A1209" s="0" t="s">
        <v>1867</v>
      </c>
      <c r="B1209" s="0" t="s">
        <v>134</v>
      </c>
      <c r="C1209" s="0" t="s">
        <v>3447</v>
      </c>
      <c r="D1209" s="0" t="s">
        <v>3448</v>
      </c>
      <c r="E1209" s="18" t="s">
        <v>24</v>
      </c>
      <c r="F1209" s="23" t="s">
        <v>30</v>
      </c>
      <c r="G1209" s="21" t="s">
        <v>30</v>
      </c>
      <c r="H1209" s="21" t="s">
        <v>24</v>
      </c>
      <c r="I1209" s="21" t="s">
        <v>24</v>
      </c>
      <c r="J1209" s="21" t="s">
        <v>24</v>
      </c>
      <c r="K1209" s="21" t="s">
        <v>24</v>
      </c>
      <c r="L1209" s="21" t="s">
        <v>24</v>
      </c>
      <c r="M1209" s="0" t="n">
        <v>189</v>
      </c>
      <c r="N1209" s="0" t="n">
        <v>2</v>
      </c>
      <c r="O1209" s="21" t="s">
        <v>3503</v>
      </c>
      <c r="P1209" s="21" t="s">
        <v>4473</v>
      </c>
      <c r="Q1209" s="0" t="n">
        <v>0</v>
      </c>
      <c r="S1209" s="0" t="n">
        <v>2</v>
      </c>
      <c r="T1209" s="21" t="s">
        <v>3503</v>
      </c>
      <c r="U1209" s="22" t="b">
        <f aca="false">TRUE()</f>
        <v>1</v>
      </c>
      <c r="V1209" s="0" t="n">
        <v>0.78</v>
      </c>
      <c r="W1209" s="0" t="n">
        <v>0.64</v>
      </c>
      <c r="X1209" s="0" t="n">
        <v>10.56</v>
      </c>
      <c r="Y1209" s="0" t="n">
        <v>329.09</v>
      </c>
      <c r="Z1209" s="0" t="n">
        <v>8</v>
      </c>
      <c r="AA1209" s="0" t="n">
        <v>0.1</v>
      </c>
      <c r="AB1209" s="0" t="n">
        <v>1.87</v>
      </c>
      <c r="AC1209" s="22" t="b">
        <f aca="false">FALSE()</f>
        <v>0</v>
      </c>
      <c r="AD1209" s="0" t="n">
        <v>4.64</v>
      </c>
      <c r="AE1209" s="0" t="n">
        <v>1.06</v>
      </c>
      <c r="AF1209" s="0" t="n">
        <v>1.19</v>
      </c>
      <c r="AG1209" s="22" t="b">
        <f aca="false">FALSE()</f>
        <v>0</v>
      </c>
      <c r="AH1209" s="0" t="n">
        <v>1</v>
      </c>
    </row>
    <row r="1210" customFormat="false" ht="15" hidden="false" customHeight="false" outlineLevel="0" collapsed="false">
      <c r="A1210" s="0" t="s">
        <v>1876</v>
      </c>
      <c r="B1210" s="0" t="s">
        <v>134</v>
      </c>
      <c r="C1210" s="0" t="s">
        <v>3450</v>
      </c>
      <c r="D1210" s="0" t="s">
        <v>3457</v>
      </c>
      <c r="E1210" s="20" t="s">
        <v>25</v>
      </c>
      <c r="F1210" s="23" t="s">
        <v>30</v>
      </c>
      <c r="G1210" s="21" t="s">
        <v>283</v>
      </c>
      <c r="H1210" s="21" t="s">
        <v>24</v>
      </c>
      <c r="I1210" s="21" t="s">
        <v>25</v>
      </c>
      <c r="J1210" s="21" t="s">
        <v>24</v>
      </c>
      <c r="K1210" s="21" t="s">
        <v>24</v>
      </c>
      <c r="L1210" s="21" t="s">
        <v>24</v>
      </c>
      <c r="M1210" s="0" t="n">
        <v>183</v>
      </c>
      <c r="N1210" s="0" t="n">
        <v>2</v>
      </c>
      <c r="O1210" s="21" t="s">
        <v>3575</v>
      </c>
      <c r="P1210" s="21" t="s">
        <v>4265</v>
      </c>
      <c r="Q1210" s="0" t="n">
        <v>1</v>
      </c>
      <c r="R1210" s="21" t="s">
        <v>69</v>
      </c>
      <c r="S1210" s="0" t="n">
        <v>2</v>
      </c>
      <c r="T1210" s="21" t="s">
        <v>3575</v>
      </c>
      <c r="U1210" s="22" t="b">
        <f aca="false">TRUE()</f>
        <v>1</v>
      </c>
      <c r="V1210" s="0" t="n">
        <v>0.72</v>
      </c>
      <c r="W1210" s="0" t="n">
        <v>0.52</v>
      </c>
      <c r="X1210" s="0" t="n">
        <v>13.07</v>
      </c>
      <c r="Y1210" s="0" t="n">
        <v>301.15</v>
      </c>
      <c r="Z1210" s="0" t="n">
        <v>9.5</v>
      </c>
      <c r="AA1210" s="0" t="n">
        <v>12.95</v>
      </c>
      <c r="AB1210" s="0" t="n">
        <v>6.66</v>
      </c>
      <c r="AC1210" s="22" t="b">
        <f aca="false">FALSE()</f>
        <v>0</v>
      </c>
      <c r="AD1210" s="0" t="n">
        <v>6.08</v>
      </c>
      <c r="AE1210" s="0" t="n">
        <v>0.61</v>
      </c>
      <c r="AF1210" s="0" t="n">
        <v>0.61</v>
      </c>
      <c r="AG1210" s="22" t="b">
        <f aca="false">FALSE()</f>
        <v>0</v>
      </c>
      <c r="AH1210" s="0" t="n">
        <v>1</v>
      </c>
    </row>
    <row r="1211" customFormat="false" ht="15" hidden="false" customHeight="false" outlineLevel="0" collapsed="false">
      <c r="A1211" s="0" t="s">
        <v>1876</v>
      </c>
      <c r="B1211" s="0" t="s">
        <v>134</v>
      </c>
      <c r="C1211" s="0" t="s">
        <v>3450</v>
      </c>
      <c r="D1211" s="0" t="s">
        <v>3448</v>
      </c>
      <c r="E1211" s="20" t="s">
        <v>25</v>
      </c>
      <c r="F1211" s="23" t="s">
        <v>30</v>
      </c>
      <c r="G1211" s="21" t="s">
        <v>283</v>
      </c>
      <c r="H1211" s="21" t="s">
        <v>24</v>
      </c>
      <c r="I1211" s="21" t="s">
        <v>25</v>
      </c>
      <c r="J1211" s="21" t="s">
        <v>24</v>
      </c>
      <c r="K1211" s="21" t="s">
        <v>24</v>
      </c>
      <c r="L1211" s="21" t="s">
        <v>24</v>
      </c>
      <c r="M1211" s="0" t="n">
        <v>183</v>
      </c>
      <c r="N1211" s="0" t="n">
        <v>2</v>
      </c>
      <c r="O1211" s="21" t="s">
        <v>3575</v>
      </c>
      <c r="P1211" s="21" t="s">
        <v>4265</v>
      </c>
      <c r="Q1211" s="0" t="n">
        <v>1</v>
      </c>
      <c r="R1211" s="21" t="s">
        <v>69</v>
      </c>
      <c r="S1211" s="0" t="n">
        <v>2</v>
      </c>
      <c r="T1211" s="21" t="s">
        <v>3575</v>
      </c>
      <c r="U1211" s="22" t="b">
        <f aca="false">TRUE()</f>
        <v>1</v>
      </c>
      <c r="V1211" s="0" t="n">
        <v>0.73</v>
      </c>
      <c r="W1211" s="0" t="n">
        <v>0.96</v>
      </c>
      <c r="X1211" s="0" t="n">
        <v>12.93</v>
      </c>
      <c r="Y1211" s="0" t="n">
        <v>186.7</v>
      </c>
      <c r="Z1211" s="0" t="n">
        <v>10.5</v>
      </c>
      <c r="AA1211" s="0" t="n">
        <v>12.95</v>
      </c>
      <c r="AB1211" s="0" t="n">
        <v>3.24</v>
      </c>
      <c r="AC1211" s="22" t="b">
        <f aca="false">FALSE()</f>
        <v>0</v>
      </c>
      <c r="AD1211" s="0" t="n">
        <v>8.54</v>
      </c>
      <c r="AE1211" s="0" t="n">
        <v>0.65</v>
      </c>
      <c r="AF1211" s="0" t="n">
        <v>1.23</v>
      </c>
      <c r="AG1211" s="22" t="b">
        <f aca="false">FALSE()</f>
        <v>0</v>
      </c>
      <c r="AH1211" s="0" t="n">
        <v>1</v>
      </c>
    </row>
    <row r="1212" customFormat="false" ht="15" hidden="false" customHeight="false" outlineLevel="0" collapsed="false">
      <c r="A1212" s="0" t="s">
        <v>1876</v>
      </c>
      <c r="B1212" s="0" t="s">
        <v>134</v>
      </c>
      <c r="C1212" s="0" t="s">
        <v>3447</v>
      </c>
      <c r="D1212" s="0" t="s">
        <v>3457</v>
      </c>
      <c r="E1212" s="20" t="s">
        <v>25</v>
      </c>
      <c r="F1212" s="23" t="s">
        <v>30</v>
      </c>
      <c r="G1212" s="21" t="s">
        <v>283</v>
      </c>
      <c r="H1212" s="21" t="s">
        <v>24</v>
      </c>
      <c r="I1212" s="21" t="s">
        <v>25</v>
      </c>
      <c r="J1212" s="21" t="s">
        <v>24</v>
      </c>
      <c r="K1212" s="21" t="s">
        <v>24</v>
      </c>
      <c r="L1212" s="21" t="s">
        <v>24</v>
      </c>
      <c r="M1212" s="0" t="n">
        <v>185</v>
      </c>
      <c r="N1212" s="0" t="n">
        <v>3</v>
      </c>
      <c r="O1212" s="21" t="s">
        <v>3649</v>
      </c>
      <c r="P1212" s="21" t="s">
        <v>4242</v>
      </c>
      <c r="Q1212" s="0" t="n">
        <v>1</v>
      </c>
      <c r="R1212" s="21" t="s">
        <v>69</v>
      </c>
      <c r="S1212" s="0" t="n">
        <v>3</v>
      </c>
      <c r="T1212" s="21" t="s">
        <v>3649</v>
      </c>
      <c r="U1212" s="22" t="b">
        <f aca="false">TRUE()</f>
        <v>1</v>
      </c>
      <c r="V1212" s="0" t="n">
        <v>0.69</v>
      </c>
      <c r="W1212" s="0" t="n">
        <v>0.68</v>
      </c>
      <c r="X1212" s="0" t="n">
        <v>9.55</v>
      </c>
      <c r="Y1212" s="0" t="n">
        <v>314.33</v>
      </c>
      <c r="Z1212" s="0" t="n">
        <v>9.25</v>
      </c>
      <c r="AA1212" s="0" t="n">
        <v>8.65</v>
      </c>
      <c r="AB1212" s="0" t="n">
        <v>6.66</v>
      </c>
      <c r="AC1212" s="22" t="b">
        <f aca="false">FALSE()</f>
        <v>0</v>
      </c>
      <c r="AD1212" s="0" t="n">
        <v>9.42</v>
      </c>
      <c r="AE1212" s="0" t="n">
        <v>0.75</v>
      </c>
      <c r="AF1212" s="0" t="n">
        <v>0.62</v>
      </c>
      <c r="AG1212" s="22" t="b">
        <f aca="false">FALSE()</f>
        <v>0</v>
      </c>
      <c r="AH1212" s="0" t="n">
        <v>1</v>
      </c>
    </row>
    <row r="1213" customFormat="false" ht="15" hidden="false" customHeight="false" outlineLevel="0" collapsed="false">
      <c r="A1213" s="0" t="s">
        <v>1876</v>
      </c>
      <c r="B1213" s="0" t="s">
        <v>134</v>
      </c>
      <c r="C1213" s="0" t="s">
        <v>3447</v>
      </c>
      <c r="D1213" s="0" t="s">
        <v>3448</v>
      </c>
      <c r="E1213" s="20" t="s">
        <v>25</v>
      </c>
      <c r="F1213" s="23" t="s">
        <v>30</v>
      </c>
      <c r="G1213" s="21" t="s">
        <v>283</v>
      </c>
      <c r="H1213" s="21" t="s">
        <v>24</v>
      </c>
      <c r="I1213" s="21" t="s">
        <v>25</v>
      </c>
      <c r="J1213" s="21" t="s">
        <v>24</v>
      </c>
      <c r="K1213" s="21" t="s">
        <v>24</v>
      </c>
      <c r="L1213" s="21" t="s">
        <v>24</v>
      </c>
      <c r="M1213" s="0" t="n">
        <v>193</v>
      </c>
      <c r="N1213" s="0" t="n">
        <v>1</v>
      </c>
      <c r="O1213" s="21" t="s">
        <v>69</v>
      </c>
      <c r="P1213" s="21" t="s">
        <v>4275</v>
      </c>
      <c r="Q1213" s="0" t="n">
        <v>1</v>
      </c>
      <c r="R1213" s="21" t="s">
        <v>69</v>
      </c>
      <c r="S1213" s="0" t="n">
        <v>1</v>
      </c>
      <c r="T1213" s="21" t="s">
        <v>69</v>
      </c>
      <c r="U1213" s="22" t="b">
        <f aca="false">TRUE()</f>
        <v>1</v>
      </c>
      <c r="V1213" s="0" t="n">
        <v>0.67</v>
      </c>
      <c r="W1213" s="0" t="n">
        <v>0.4</v>
      </c>
      <c r="X1213" s="0" t="n">
        <v>8.97</v>
      </c>
      <c r="Y1213" s="0" t="n">
        <v>264.61</v>
      </c>
      <c r="Z1213" s="0" t="n">
        <v>8.17</v>
      </c>
      <c r="AA1213" s="0" t="n">
        <v>8.29</v>
      </c>
      <c r="AB1213" s="0" t="n">
        <v>3.24</v>
      </c>
      <c r="AC1213" s="22" t="b">
        <f aca="false">FALSE()</f>
        <v>0</v>
      </c>
      <c r="AD1213" s="0" t="n">
        <v>3.87</v>
      </c>
      <c r="AE1213" s="0" t="n">
        <v>0.49</v>
      </c>
      <c r="AF1213" s="0" t="n">
        <v>1.44</v>
      </c>
      <c r="AG1213" s="22" t="b">
        <f aca="false">FALSE()</f>
        <v>0</v>
      </c>
      <c r="AH1213" s="0" t="n">
        <v>1</v>
      </c>
    </row>
    <row r="1214" customFormat="false" ht="15" hidden="false" customHeight="false" outlineLevel="0" collapsed="false">
      <c r="A1214" s="0" t="s">
        <v>1876</v>
      </c>
      <c r="B1214" s="0" t="s">
        <v>3459</v>
      </c>
      <c r="C1214" s="0" t="s">
        <v>3450</v>
      </c>
      <c r="D1214" s="0" t="s">
        <v>3457</v>
      </c>
      <c r="E1214" s="20" t="s">
        <v>25</v>
      </c>
      <c r="F1214" s="23" t="s">
        <v>30</v>
      </c>
      <c r="G1214" s="21" t="s">
        <v>283</v>
      </c>
      <c r="H1214" s="21" t="s">
        <v>24</v>
      </c>
      <c r="I1214" s="21" t="s">
        <v>25</v>
      </c>
      <c r="J1214" s="21" t="s">
        <v>24</v>
      </c>
      <c r="K1214" s="21" t="s">
        <v>24</v>
      </c>
      <c r="L1214" s="21" t="s">
        <v>24</v>
      </c>
      <c r="M1214" s="0" t="n">
        <v>182</v>
      </c>
      <c r="N1214" s="0" t="n">
        <v>1</v>
      </c>
      <c r="O1214" s="21" t="s">
        <v>69</v>
      </c>
      <c r="P1214" s="21" t="s">
        <v>4275</v>
      </c>
      <c r="Q1214" s="0" t="n">
        <v>1</v>
      </c>
      <c r="R1214" s="21" t="s">
        <v>69</v>
      </c>
      <c r="S1214" s="0" t="n">
        <v>1</v>
      </c>
      <c r="T1214" s="21" t="s">
        <v>69</v>
      </c>
      <c r="U1214" s="22" t="b">
        <f aca="false">TRUE()</f>
        <v>1</v>
      </c>
      <c r="V1214" s="0" t="n">
        <v>0.66</v>
      </c>
      <c r="W1214" s="0" t="n">
        <v>0.84</v>
      </c>
      <c r="X1214" s="0" t="n">
        <v>10.87</v>
      </c>
      <c r="Y1214" s="0" t="n">
        <v>271.09</v>
      </c>
      <c r="Z1214" s="0" t="n">
        <v>10.33</v>
      </c>
      <c r="AA1214" s="0" t="n">
        <v>9.94</v>
      </c>
      <c r="AB1214" s="0" t="n">
        <v>8.21</v>
      </c>
      <c r="AC1214" s="22" t="b">
        <f aca="false">FALSE()</f>
        <v>0</v>
      </c>
      <c r="AD1214" s="0" t="n">
        <v>14.55</v>
      </c>
      <c r="AE1214" s="0" t="n">
        <v>4.42</v>
      </c>
      <c r="AF1214" s="0" t="n">
        <v>13.51</v>
      </c>
      <c r="AG1214" s="22" t="b">
        <f aca="false">TRUE()</f>
        <v>1</v>
      </c>
      <c r="AH1214" s="0" t="n">
        <v>1</v>
      </c>
    </row>
    <row r="1215" customFormat="false" ht="15" hidden="false" customHeight="false" outlineLevel="0" collapsed="false">
      <c r="A1215" s="0" t="s">
        <v>1876</v>
      </c>
      <c r="B1215" s="0" t="s">
        <v>3459</v>
      </c>
      <c r="C1215" s="0" t="s">
        <v>3450</v>
      </c>
      <c r="D1215" s="0" t="s">
        <v>3448</v>
      </c>
      <c r="E1215" s="20" t="s">
        <v>25</v>
      </c>
      <c r="F1215" s="23" t="s">
        <v>30</v>
      </c>
      <c r="G1215" s="21" t="s">
        <v>283</v>
      </c>
      <c r="H1215" s="21" t="s">
        <v>24</v>
      </c>
      <c r="I1215" s="21" t="s">
        <v>25</v>
      </c>
      <c r="J1215" s="21" t="s">
        <v>24</v>
      </c>
      <c r="K1215" s="21" t="s">
        <v>24</v>
      </c>
      <c r="L1215" s="21" t="s">
        <v>24</v>
      </c>
      <c r="M1215" s="0" t="n">
        <v>183</v>
      </c>
      <c r="N1215" s="0" t="n">
        <v>1</v>
      </c>
      <c r="O1215" s="21" t="s">
        <v>69</v>
      </c>
      <c r="P1215" s="21" t="s">
        <v>4275</v>
      </c>
      <c r="Q1215" s="0" t="n">
        <v>1</v>
      </c>
      <c r="R1215" s="21" t="s">
        <v>69</v>
      </c>
      <c r="S1215" s="0" t="n">
        <v>1</v>
      </c>
      <c r="T1215" s="21" t="s">
        <v>69</v>
      </c>
      <c r="U1215" s="22" t="b">
        <f aca="false">TRUE()</f>
        <v>1</v>
      </c>
      <c r="V1215" s="0" t="n">
        <v>0.69</v>
      </c>
      <c r="W1215" s="0" t="n">
        <v>0.48</v>
      </c>
      <c r="X1215" s="0" t="n">
        <v>11.33</v>
      </c>
      <c r="Y1215" s="0" t="n">
        <v>128.43</v>
      </c>
      <c r="Z1215" s="0" t="n">
        <v>10.25</v>
      </c>
      <c r="AA1215" s="0" t="n">
        <v>15.33</v>
      </c>
      <c r="AB1215" s="0" t="n">
        <v>4.98</v>
      </c>
      <c r="AC1215" s="22" t="b">
        <f aca="false">FALSE()</f>
        <v>0</v>
      </c>
      <c r="AD1215" s="0" t="n">
        <v>16.41</v>
      </c>
      <c r="AE1215" s="0" t="n">
        <v>6.58</v>
      </c>
      <c r="AF1215" s="0" t="n">
        <v>13.98</v>
      </c>
      <c r="AG1215" s="22" t="b">
        <f aca="false">TRUE()</f>
        <v>1</v>
      </c>
      <c r="AH1215" s="0" t="n">
        <v>1</v>
      </c>
    </row>
    <row r="1216" customFormat="false" ht="15" hidden="false" customHeight="false" outlineLevel="0" collapsed="false">
      <c r="A1216" s="0" t="s">
        <v>1876</v>
      </c>
      <c r="B1216" s="0" t="s">
        <v>3459</v>
      </c>
      <c r="C1216" s="0" t="s">
        <v>3447</v>
      </c>
      <c r="D1216" s="0" t="s">
        <v>3457</v>
      </c>
      <c r="E1216" s="20" t="s">
        <v>25</v>
      </c>
      <c r="F1216" s="23" t="s">
        <v>30</v>
      </c>
      <c r="G1216" s="21" t="s">
        <v>283</v>
      </c>
      <c r="H1216" s="21" t="s">
        <v>24</v>
      </c>
      <c r="I1216" s="21" t="s">
        <v>25</v>
      </c>
      <c r="J1216" s="21" t="s">
        <v>24</v>
      </c>
      <c r="K1216" s="21" t="s">
        <v>24</v>
      </c>
      <c r="L1216" s="21" t="s">
        <v>24</v>
      </c>
      <c r="M1216" s="0" t="n">
        <v>183</v>
      </c>
      <c r="N1216" s="0" t="n">
        <v>1</v>
      </c>
      <c r="O1216" s="21" t="s">
        <v>69</v>
      </c>
      <c r="P1216" s="21" t="s">
        <v>4275</v>
      </c>
      <c r="Q1216" s="0" t="n">
        <v>1</v>
      </c>
      <c r="R1216" s="21" t="s">
        <v>69</v>
      </c>
      <c r="S1216" s="0" t="n">
        <v>1</v>
      </c>
      <c r="T1216" s="21" t="s">
        <v>69</v>
      </c>
      <c r="U1216" s="22" t="b">
        <f aca="false">TRUE()</f>
        <v>1</v>
      </c>
      <c r="V1216" s="0" t="n">
        <v>0.67</v>
      </c>
      <c r="W1216" s="0" t="n">
        <v>0.8</v>
      </c>
      <c r="X1216" s="0" t="n">
        <v>9.41</v>
      </c>
      <c r="Y1216" s="0" t="n">
        <v>310.13</v>
      </c>
      <c r="Z1216" s="0" t="n">
        <v>9.83</v>
      </c>
      <c r="AA1216" s="0" t="n">
        <v>7.29</v>
      </c>
      <c r="AB1216" s="0" t="n">
        <v>8.21</v>
      </c>
      <c r="AC1216" s="22" t="b">
        <f aca="false">FALSE()</f>
        <v>0</v>
      </c>
      <c r="AD1216" s="0" t="n">
        <v>19.27</v>
      </c>
      <c r="AE1216" s="0" t="n">
        <v>7.98</v>
      </c>
      <c r="AF1216" s="0" t="n">
        <v>15.83</v>
      </c>
      <c r="AG1216" s="22" t="b">
        <f aca="false">TRUE()</f>
        <v>1</v>
      </c>
      <c r="AH1216" s="0" t="n">
        <v>1</v>
      </c>
    </row>
    <row r="1217" customFormat="false" ht="15" hidden="false" customHeight="false" outlineLevel="0" collapsed="false">
      <c r="A1217" s="0" t="s">
        <v>1876</v>
      </c>
      <c r="B1217" s="0" t="s">
        <v>3459</v>
      </c>
      <c r="C1217" s="0" t="s">
        <v>3447</v>
      </c>
      <c r="D1217" s="0" t="s">
        <v>3448</v>
      </c>
      <c r="E1217" s="20" t="s">
        <v>25</v>
      </c>
      <c r="F1217" s="23" t="s">
        <v>30</v>
      </c>
      <c r="G1217" s="21" t="s">
        <v>183</v>
      </c>
      <c r="H1217" s="21" t="s">
        <v>24</v>
      </c>
      <c r="I1217" s="21" t="s">
        <v>25</v>
      </c>
      <c r="J1217" s="21" t="s">
        <v>24</v>
      </c>
      <c r="K1217" s="21" t="s">
        <v>25</v>
      </c>
      <c r="L1217" s="21" t="s">
        <v>24</v>
      </c>
      <c r="M1217" s="0" t="n">
        <v>182</v>
      </c>
      <c r="N1217" s="0" t="n">
        <v>5</v>
      </c>
      <c r="O1217" s="21" t="s">
        <v>3831</v>
      </c>
      <c r="P1217" s="21" t="s">
        <v>4676</v>
      </c>
      <c r="Q1217" s="0" t="n">
        <v>1</v>
      </c>
      <c r="R1217" s="21" t="s">
        <v>69</v>
      </c>
      <c r="S1217" s="0" t="n">
        <v>5</v>
      </c>
      <c r="T1217" s="21" t="s">
        <v>3831</v>
      </c>
      <c r="U1217" s="22" t="b">
        <f aca="false">TRUE()</f>
        <v>1</v>
      </c>
      <c r="V1217" s="0" t="n">
        <v>0.7</v>
      </c>
      <c r="W1217" s="0" t="n">
        <v>0.12</v>
      </c>
      <c r="X1217" s="0" t="n">
        <v>10.74</v>
      </c>
      <c r="Y1217" s="0" t="n">
        <v>138.16</v>
      </c>
      <c r="Z1217" s="0" t="n">
        <v>8.17</v>
      </c>
      <c r="AA1217" s="0" t="n">
        <v>8.58</v>
      </c>
      <c r="AB1217" s="0" t="n">
        <v>4.98</v>
      </c>
      <c r="AC1217" s="22" t="b">
        <f aca="false">FALSE()</f>
        <v>0</v>
      </c>
      <c r="AD1217" s="0" t="n">
        <v>21.12</v>
      </c>
      <c r="AE1217" s="0" t="n">
        <v>8.93</v>
      </c>
      <c r="AF1217" s="0" t="n">
        <v>14.79</v>
      </c>
      <c r="AG1217" s="22" t="b">
        <f aca="false">TRUE()</f>
        <v>1</v>
      </c>
      <c r="AH1217" s="0" t="n">
        <v>1</v>
      </c>
    </row>
    <row r="1218" customFormat="false" ht="15" hidden="false" customHeight="false" outlineLevel="0" collapsed="false">
      <c r="A1218" s="0" t="s">
        <v>1899</v>
      </c>
      <c r="B1218" s="0" t="s">
        <v>134</v>
      </c>
      <c r="C1218" s="0" t="s">
        <v>3450</v>
      </c>
      <c r="D1218" s="0" t="s">
        <v>3457</v>
      </c>
      <c r="E1218" s="20" t="s">
        <v>25</v>
      </c>
      <c r="F1218" s="23" t="s">
        <v>30</v>
      </c>
      <c r="G1218" s="21" t="s">
        <v>283</v>
      </c>
      <c r="H1218" s="21" t="s">
        <v>24</v>
      </c>
      <c r="I1218" s="21" t="s">
        <v>25</v>
      </c>
      <c r="J1218" s="21" t="s">
        <v>24</v>
      </c>
      <c r="K1218" s="21" t="s">
        <v>24</v>
      </c>
      <c r="L1218" s="21" t="s">
        <v>24</v>
      </c>
      <c r="M1218" s="0" t="n">
        <v>187</v>
      </c>
      <c r="N1218" s="0" t="n">
        <v>1</v>
      </c>
      <c r="O1218" s="21" t="s">
        <v>69</v>
      </c>
      <c r="P1218" s="21" t="s">
        <v>4275</v>
      </c>
      <c r="Q1218" s="0" t="n">
        <v>1</v>
      </c>
      <c r="R1218" s="21" t="s">
        <v>69</v>
      </c>
      <c r="S1218" s="0" t="n">
        <v>1</v>
      </c>
      <c r="T1218" s="21" t="s">
        <v>69</v>
      </c>
      <c r="U1218" s="22" t="b">
        <f aca="false">TRUE()</f>
        <v>1</v>
      </c>
      <c r="V1218" s="0" t="n">
        <v>0.78</v>
      </c>
      <c r="W1218" s="0" t="n">
        <v>0.76</v>
      </c>
      <c r="X1218" s="0" t="n">
        <v>16.31</v>
      </c>
      <c r="Y1218" s="0" t="n">
        <v>306.82</v>
      </c>
      <c r="Z1218" s="0" t="n">
        <v>8.5</v>
      </c>
      <c r="AA1218" s="0" t="n">
        <v>15.01</v>
      </c>
      <c r="AB1218" s="0" t="n">
        <v>4.67</v>
      </c>
      <c r="AC1218" s="22" t="b">
        <f aca="false">FALSE()</f>
        <v>0</v>
      </c>
      <c r="AD1218" s="0" t="n">
        <v>14.05</v>
      </c>
      <c r="AE1218" s="0" t="n">
        <v>0.8</v>
      </c>
      <c r="AF1218" s="0" t="n">
        <v>3.08</v>
      </c>
      <c r="AG1218" s="22" t="b">
        <f aca="false">TRUE()</f>
        <v>1</v>
      </c>
      <c r="AH1218" s="0" t="n">
        <v>1</v>
      </c>
    </row>
    <row r="1219" customFormat="false" ht="15" hidden="false" customHeight="false" outlineLevel="0" collapsed="false">
      <c r="A1219" s="0" t="s">
        <v>1899</v>
      </c>
      <c r="B1219" s="0" t="s">
        <v>134</v>
      </c>
      <c r="C1219" s="0" t="s">
        <v>3450</v>
      </c>
      <c r="D1219" s="0" t="s">
        <v>3448</v>
      </c>
      <c r="E1219" s="20" t="s">
        <v>25</v>
      </c>
      <c r="F1219" s="23" t="s">
        <v>30</v>
      </c>
      <c r="G1219" s="21" t="s">
        <v>283</v>
      </c>
      <c r="H1219" s="21" t="s">
        <v>24</v>
      </c>
      <c r="I1219" s="21" t="s">
        <v>25</v>
      </c>
      <c r="J1219" s="21" t="s">
        <v>24</v>
      </c>
      <c r="K1219" s="21" t="s">
        <v>24</v>
      </c>
      <c r="L1219" s="21" t="s">
        <v>24</v>
      </c>
      <c r="M1219" s="0" t="n">
        <v>204</v>
      </c>
      <c r="N1219" s="0" t="n">
        <v>1</v>
      </c>
      <c r="O1219" s="21" t="s">
        <v>69</v>
      </c>
      <c r="P1219" s="21" t="s">
        <v>4275</v>
      </c>
      <c r="Q1219" s="0" t="n">
        <v>1</v>
      </c>
      <c r="R1219" s="21" t="s">
        <v>69</v>
      </c>
      <c r="S1219" s="0" t="n">
        <v>1</v>
      </c>
      <c r="T1219" s="21" t="s">
        <v>69</v>
      </c>
      <c r="U1219" s="22" t="b">
        <f aca="false">TRUE()</f>
        <v>1</v>
      </c>
      <c r="V1219" s="0" t="n">
        <v>0.77</v>
      </c>
      <c r="W1219" s="0" t="n">
        <v>0.72</v>
      </c>
      <c r="X1219" s="0" t="n">
        <v>16.66</v>
      </c>
      <c r="Y1219" s="0" t="n">
        <v>347.64</v>
      </c>
      <c r="Z1219" s="0" t="n">
        <v>8.5</v>
      </c>
      <c r="AA1219" s="0" t="n">
        <v>9.78</v>
      </c>
      <c r="AB1219" s="0" t="n">
        <v>5.85</v>
      </c>
      <c r="AC1219" s="22" t="b">
        <f aca="false">FALSE()</f>
        <v>0</v>
      </c>
      <c r="AD1219" s="0" t="n">
        <v>4.3</v>
      </c>
      <c r="AE1219" s="0" t="n">
        <v>0.24</v>
      </c>
      <c r="AF1219" s="0" t="n">
        <v>2.16</v>
      </c>
      <c r="AG1219" s="22" t="b">
        <f aca="false">FALSE()</f>
        <v>0</v>
      </c>
      <c r="AH1219" s="0" t="n">
        <v>1</v>
      </c>
    </row>
    <row r="1220" customFormat="false" ht="15" hidden="false" customHeight="false" outlineLevel="0" collapsed="false">
      <c r="A1220" s="0" t="s">
        <v>1899</v>
      </c>
      <c r="B1220" s="0" t="s">
        <v>134</v>
      </c>
      <c r="C1220" s="0" t="s">
        <v>3447</v>
      </c>
      <c r="D1220" s="0" t="s">
        <v>3457</v>
      </c>
      <c r="E1220" s="19" t="s">
        <v>26</v>
      </c>
      <c r="F1220" s="19" t="s">
        <v>32</v>
      </c>
      <c r="G1220" s="21" t="s">
        <v>529</v>
      </c>
      <c r="H1220" s="21" t="s">
        <v>24</v>
      </c>
      <c r="I1220" s="21" t="s">
        <v>26</v>
      </c>
      <c r="J1220" s="21" t="s">
        <v>24</v>
      </c>
      <c r="K1220" s="21" t="s">
        <v>24</v>
      </c>
      <c r="L1220" s="21" t="s">
        <v>24</v>
      </c>
      <c r="M1220" s="0" t="n">
        <v>189</v>
      </c>
      <c r="N1220" s="0" t="n">
        <v>10</v>
      </c>
      <c r="O1220" s="21" t="s">
        <v>4064</v>
      </c>
      <c r="P1220" s="21" t="s">
        <v>4677</v>
      </c>
      <c r="Q1220" s="0" t="n">
        <v>1</v>
      </c>
      <c r="R1220" s="21" t="s">
        <v>69</v>
      </c>
      <c r="S1220" s="0" t="n">
        <v>10</v>
      </c>
      <c r="T1220" s="21" t="s">
        <v>4064</v>
      </c>
      <c r="U1220" s="22" t="b">
        <f aca="false">FALSE()</f>
        <v>0</v>
      </c>
      <c r="V1220" s="0" t="n">
        <v>0.76</v>
      </c>
      <c r="W1220" s="0" t="n">
        <v>0.44</v>
      </c>
      <c r="X1220" s="0" t="n">
        <v>13.75</v>
      </c>
      <c r="Y1220" s="0" t="n">
        <v>339.06</v>
      </c>
      <c r="Z1220" s="0" t="n">
        <v>8</v>
      </c>
      <c r="AA1220" s="0" t="n">
        <v>13.33</v>
      </c>
      <c r="AB1220" s="0" t="n">
        <v>4.67</v>
      </c>
      <c r="AC1220" s="22" t="b">
        <f aca="false">FALSE()</f>
        <v>0</v>
      </c>
      <c r="AD1220" s="0" t="n">
        <v>12.74</v>
      </c>
      <c r="AE1220" s="0" t="n">
        <v>0.27</v>
      </c>
      <c r="AF1220" s="0" t="n">
        <v>3.4</v>
      </c>
      <c r="AG1220" s="22" t="b">
        <f aca="false">TRUE()</f>
        <v>1</v>
      </c>
      <c r="AH1220" s="0" t="n">
        <v>1</v>
      </c>
    </row>
    <row r="1221" customFormat="false" ht="15" hidden="false" customHeight="false" outlineLevel="0" collapsed="false">
      <c r="A1221" s="0" t="s">
        <v>1899</v>
      </c>
      <c r="B1221" s="0" t="s">
        <v>134</v>
      </c>
      <c r="C1221" s="0" t="s">
        <v>3447</v>
      </c>
      <c r="D1221" s="0" t="s">
        <v>3448</v>
      </c>
      <c r="E1221" s="19" t="s">
        <v>26</v>
      </c>
      <c r="F1221" s="19" t="s">
        <v>32</v>
      </c>
      <c r="G1221" s="21" t="s">
        <v>60</v>
      </c>
      <c r="H1221" s="21" t="s">
        <v>24</v>
      </c>
      <c r="I1221" s="21" t="s">
        <v>26</v>
      </c>
      <c r="J1221" s="21" t="s">
        <v>24</v>
      </c>
      <c r="K1221" s="21" t="s">
        <v>24</v>
      </c>
      <c r="L1221" s="21" t="s">
        <v>24</v>
      </c>
      <c r="M1221" s="0" t="n">
        <v>189</v>
      </c>
      <c r="N1221" s="0" t="n">
        <v>11</v>
      </c>
      <c r="O1221" s="21" t="s">
        <v>3921</v>
      </c>
      <c r="P1221" s="21" t="s">
        <v>4678</v>
      </c>
      <c r="Q1221" s="0" t="n">
        <v>0</v>
      </c>
      <c r="S1221" s="0" t="n">
        <v>11</v>
      </c>
      <c r="T1221" s="21" t="s">
        <v>3921</v>
      </c>
      <c r="U1221" s="22" t="b">
        <f aca="false">FALSE()</f>
        <v>0</v>
      </c>
      <c r="V1221" s="0" t="n">
        <v>0.8</v>
      </c>
      <c r="W1221" s="0" t="n">
        <v>0.84</v>
      </c>
      <c r="X1221" s="0" t="n">
        <v>13.13</v>
      </c>
      <c r="Y1221" s="0" t="n">
        <v>310.67</v>
      </c>
      <c r="Z1221" s="0" t="n">
        <v>8.25</v>
      </c>
      <c r="AA1221" s="0" t="n">
        <v>9.87</v>
      </c>
      <c r="AB1221" s="0" t="n">
        <v>5.85</v>
      </c>
      <c r="AC1221" s="22" t="b">
        <f aca="false">FALSE()</f>
        <v>0</v>
      </c>
      <c r="AD1221" s="0" t="n">
        <v>10.78</v>
      </c>
      <c r="AE1221" s="0" t="n">
        <v>2.9</v>
      </c>
      <c r="AF1221" s="0" t="n">
        <v>5.24</v>
      </c>
      <c r="AG1221" s="22" t="b">
        <f aca="false">TRUE()</f>
        <v>1</v>
      </c>
      <c r="AH1221" s="0" t="n">
        <v>1</v>
      </c>
    </row>
    <row r="1222" customFormat="false" ht="15" hidden="false" customHeight="false" outlineLevel="0" collapsed="false">
      <c r="A1222" s="0" t="s">
        <v>1908</v>
      </c>
      <c r="B1222" s="0" t="s">
        <v>134</v>
      </c>
      <c r="C1222" s="0" t="s">
        <v>3450</v>
      </c>
      <c r="D1222" s="0" t="s">
        <v>3457</v>
      </c>
      <c r="E1222" s="20" t="s">
        <v>25</v>
      </c>
      <c r="F1222" s="23" t="s">
        <v>30</v>
      </c>
      <c r="G1222" s="21" t="s">
        <v>2559</v>
      </c>
      <c r="H1222" s="21" t="s">
        <v>24</v>
      </c>
      <c r="I1222" s="21" t="s">
        <v>24</v>
      </c>
      <c r="J1222" s="21" t="s">
        <v>24</v>
      </c>
      <c r="K1222" s="21" t="s">
        <v>25</v>
      </c>
      <c r="L1222" s="21" t="s">
        <v>24</v>
      </c>
      <c r="M1222" s="0" t="n">
        <v>188</v>
      </c>
      <c r="N1222" s="0" t="n">
        <v>2</v>
      </c>
      <c r="O1222" s="21" t="s">
        <v>3494</v>
      </c>
      <c r="P1222" s="21" t="s">
        <v>4609</v>
      </c>
      <c r="Q1222" s="0" t="n">
        <v>0</v>
      </c>
      <c r="S1222" s="0" t="n">
        <v>2</v>
      </c>
      <c r="T1222" s="21" t="s">
        <v>3494</v>
      </c>
      <c r="U1222" s="22" t="b">
        <f aca="false">TRUE()</f>
        <v>1</v>
      </c>
      <c r="V1222" s="0" t="n">
        <v>0.71</v>
      </c>
      <c r="W1222" s="0" t="n">
        <v>0.92</v>
      </c>
      <c r="X1222" s="0" t="n">
        <v>5.14</v>
      </c>
      <c r="Y1222" s="0" t="n">
        <v>311.11</v>
      </c>
      <c r="Z1222" s="0" t="n">
        <v>8.17</v>
      </c>
      <c r="AA1222" s="0" t="n">
        <v>-1.12</v>
      </c>
      <c r="AB1222" s="0" t="n">
        <v>4.04</v>
      </c>
      <c r="AC1222" s="22" t="b">
        <f aca="false">FALSE()</f>
        <v>0</v>
      </c>
      <c r="AD1222" s="0" t="n">
        <v>5.3</v>
      </c>
      <c r="AE1222" s="0" t="n">
        <v>0.81</v>
      </c>
      <c r="AF1222" s="0" t="n">
        <v>10.5</v>
      </c>
      <c r="AG1222" s="22" t="b">
        <f aca="false">FALSE()</f>
        <v>0</v>
      </c>
      <c r="AH1222" s="0" t="n">
        <v>1</v>
      </c>
    </row>
    <row r="1223" customFormat="false" ht="15" hidden="false" customHeight="false" outlineLevel="0" collapsed="false">
      <c r="A1223" s="0" t="s">
        <v>1908</v>
      </c>
      <c r="B1223" s="0" t="s">
        <v>134</v>
      </c>
      <c r="C1223" s="0" t="s">
        <v>3450</v>
      </c>
      <c r="D1223" s="0" t="s">
        <v>3448</v>
      </c>
      <c r="E1223" s="20" t="s">
        <v>25</v>
      </c>
      <c r="F1223" s="23" t="s">
        <v>30</v>
      </c>
      <c r="G1223" s="21" t="s">
        <v>294</v>
      </c>
      <c r="H1223" s="21" t="s">
        <v>24</v>
      </c>
      <c r="I1223" s="21" t="s">
        <v>25</v>
      </c>
      <c r="J1223" s="21" t="s">
        <v>24</v>
      </c>
      <c r="K1223" s="21" t="s">
        <v>25</v>
      </c>
      <c r="L1223" s="21" t="s">
        <v>24</v>
      </c>
      <c r="M1223" s="0" t="n">
        <v>191</v>
      </c>
      <c r="N1223" s="0" t="n">
        <v>3</v>
      </c>
      <c r="O1223" s="21" t="s">
        <v>3649</v>
      </c>
      <c r="P1223" s="21" t="s">
        <v>4242</v>
      </c>
      <c r="Q1223" s="0" t="n">
        <v>1</v>
      </c>
      <c r="R1223" s="21" t="s">
        <v>69</v>
      </c>
      <c r="S1223" s="0" t="n">
        <v>3</v>
      </c>
      <c r="T1223" s="21" t="s">
        <v>3649</v>
      </c>
      <c r="U1223" s="22" t="b">
        <f aca="false">TRUE()</f>
        <v>1</v>
      </c>
      <c r="V1223" s="0" t="n">
        <v>0.71</v>
      </c>
      <c r="W1223" s="0" t="n">
        <v>0</v>
      </c>
      <c r="X1223" s="0" t="n">
        <v>5.55</v>
      </c>
      <c r="Y1223" s="0" t="n">
        <v>756.88</v>
      </c>
      <c r="Z1223" s="0" t="n">
        <v>8.5</v>
      </c>
      <c r="AA1223" s="0" t="n">
        <v>1.75</v>
      </c>
      <c r="AB1223" s="0" t="n">
        <v>0.08</v>
      </c>
      <c r="AC1223" s="22" t="b">
        <f aca="false">TRUE()</f>
        <v>1</v>
      </c>
      <c r="AD1223" s="0" t="n">
        <v>29.3</v>
      </c>
      <c r="AE1223" s="0" t="n">
        <v>16.7</v>
      </c>
      <c r="AF1223" s="0" t="n">
        <v>22.12</v>
      </c>
      <c r="AG1223" s="22" t="b">
        <f aca="false">TRUE()</f>
        <v>1</v>
      </c>
      <c r="AH1223" s="0" t="n">
        <v>1</v>
      </c>
    </row>
    <row r="1224" customFormat="false" ht="15" hidden="false" customHeight="false" outlineLevel="0" collapsed="false">
      <c r="A1224" s="0" t="s">
        <v>1908</v>
      </c>
      <c r="B1224" s="0" t="s">
        <v>134</v>
      </c>
      <c r="C1224" s="0" t="s">
        <v>3447</v>
      </c>
      <c r="D1224" s="0" t="s">
        <v>3457</v>
      </c>
      <c r="E1224" s="18" t="s">
        <v>24</v>
      </c>
      <c r="F1224" s="23" t="s">
        <v>30</v>
      </c>
      <c r="G1224" s="21" t="s">
        <v>30</v>
      </c>
      <c r="H1224" s="21" t="s">
        <v>24</v>
      </c>
      <c r="I1224" s="21" t="s">
        <v>24</v>
      </c>
      <c r="J1224" s="21" t="s">
        <v>24</v>
      </c>
      <c r="K1224" s="21" t="s">
        <v>24</v>
      </c>
      <c r="L1224" s="21" t="s">
        <v>24</v>
      </c>
      <c r="M1224" s="0" t="n">
        <v>187</v>
      </c>
      <c r="N1224" s="0" t="n">
        <v>2</v>
      </c>
      <c r="O1224" s="21" t="s">
        <v>3500</v>
      </c>
      <c r="P1224" s="21" t="s">
        <v>4679</v>
      </c>
      <c r="Q1224" s="0" t="n">
        <v>0</v>
      </c>
      <c r="S1224" s="0" t="n">
        <v>2</v>
      </c>
      <c r="T1224" s="21" t="s">
        <v>3500</v>
      </c>
      <c r="U1224" s="22" t="b">
        <f aca="false">TRUE()</f>
        <v>1</v>
      </c>
      <c r="V1224" s="0" t="n">
        <v>0.87</v>
      </c>
      <c r="W1224" s="0" t="n">
        <v>0.4</v>
      </c>
      <c r="X1224" s="0" t="n">
        <v>8.26</v>
      </c>
      <c r="Y1224" s="0" t="n">
        <v>329.82</v>
      </c>
      <c r="Z1224" s="0" t="n">
        <v>8.17</v>
      </c>
      <c r="AA1224" s="0" t="n">
        <v>-2.06</v>
      </c>
      <c r="AB1224" s="0" t="n">
        <v>4.04</v>
      </c>
      <c r="AC1224" s="22" t="b">
        <f aca="false">FALSE()</f>
        <v>0</v>
      </c>
      <c r="AD1224" s="0" t="n">
        <v>6.44</v>
      </c>
      <c r="AE1224" s="0" t="n">
        <v>0.92</v>
      </c>
      <c r="AF1224" s="0" t="n">
        <v>13.1</v>
      </c>
      <c r="AG1224" s="22" t="b">
        <f aca="false">FALSE()</f>
        <v>0</v>
      </c>
      <c r="AH1224" s="0" t="n">
        <v>1</v>
      </c>
    </row>
    <row r="1225" customFormat="false" ht="15" hidden="false" customHeight="false" outlineLevel="0" collapsed="false">
      <c r="A1225" s="0" t="s">
        <v>1908</v>
      </c>
      <c r="B1225" s="0" t="s">
        <v>134</v>
      </c>
      <c r="C1225" s="0" t="s">
        <v>3447</v>
      </c>
      <c r="D1225" s="0" t="s">
        <v>3448</v>
      </c>
      <c r="E1225" s="20" t="s">
        <v>25</v>
      </c>
      <c r="F1225" s="23" t="s">
        <v>30</v>
      </c>
      <c r="G1225" s="21" t="s">
        <v>2610</v>
      </c>
      <c r="H1225" s="21" t="s">
        <v>24</v>
      </c>
      <c r="I1225" s="21" t="s">
        <v>24</v>
      </c>
      <c r="J1225" s="21" t="s">
        <v>24</v>
      </c>
      <c r="K1225" s="21" t="s">
        <v>25</v>
      </c>
      <c r="L1225" s="21" t="s">
        <v>24</v>
      </c>
      <c r="M1225" s="0" t="n">
        <v>188</v>
      </c>
      <c r="N1225" s="0" t="n">
        <v>4</v>
      </c>
      <c r="O1225" s="21" t="s">
        <v>3622</v>
      </c>
      <c r="P1225" s="21" t="s">
        <v>4293</v>
      </c>
      <c r="Q1225" s="0" t="n">
        <v>0</v>
      </c>
      <c r="S1225" s="0" t="n">
        <v>4</v>
      </c>
      <c r="T1225" s="21" t="s">
        <v>3622</v>
      </c>
      <c r="U1225" s="22" t="b">
        <f aca="false">TRUE()</f>
        <v>1</v>
      </c>
      <c r="V1225" s="0" t="n">
        <v>0.92</v>
      </c>
      <c r="W1225" s="0" t="n">
        <v>0.4</v>
      </c>
      <c r="X1225" s="0" t="n">
        <v>11.51</v>
      </c>
      <c r="Y1225" s="0" t="n">
        <v>368.59</v>
      </c>
      <c r="Z1225" s="0" t="n">
        <v>8</v>
      </c>
      <c r="AA1225" s="0" t="n">
        <v>-1.62</v>
      </c>
      <c r="AB1225" s="0" t="n">
        <v>0.08</v>
      </c>
      <c r="AC1225" s="22" t="b">
        <f aca="false">FALSE()</f>
        <v>0</v>
      </c>
      <c r="AD1225" s="0" t="n">
        <v>19.5</v>
      </c>
      <c r="AE1225" s="0" t="n">
        <v>9.78</v>
      </c>
      <c r="AF1225" s="0" t="n">
        <v>15.49</v>
      </c>
      <c r="AG1225" s="22" t="b">
        <f aca="false">TRUE()</f>
        <v>1</v>
      </c>
      <c r="AH1225" s="0" t="n">
        <v>1</v>
      </c>
    </row>
    <row r="1226" customFormat="false" ht="15" hidden="false" customHeight="false" outlineLevel="0" collapsed="false">
      <c r="A1226" s="0" t="s">
        <v>1908</v>
      </c>
      <c r="B1226" s="0" t="s">
        <v>3459</v>
      </c>
      <c r="C1226" s="0" t="s">
        <v>3450</v>
      </c>
      <c r="D1226" s="0" t="s">
        <v>3457</v>
      </c>
      <c r="E1226" s="20" t="s">
        <v>25</v>
      </c>
      <c r="F1226" s="23" t="s">
        <v>30</v>
      </c>
      <c r="G1226" s="21" t="s">
        <v>357</v>
      </c>
      <c r="H1226" s="21" t="s">
        <v>24</v>
      </c>
      <c r="I1226" s="21" t="s">
        <v>25</v>
      </c>
      <c r="J1226" s="21" t="s">
        <v>24</v>
      </c>
      <c r="K1226" s="21" t="s">
        <v>25</v>
      </c>
      <c r="L1226" s="21" t="s">
        <v>24</v>
      </c>
      <c r="M1226" s="0" t="n">
        <v>182</v>
      </c>
      <c r="N1226" s="0" t="n">
        <v>6</v>
      </c>
      <c r="O1226" s="21" t="s">
        <v>3860</v>
      </c>
      <c r="P1226" s="21" t="s">
        <v>4419</v>
      </c>
      <c r="Q1226" s="0" t="n">
        <v>1</v>
      </c>
      <c r="R1226" s="21" t="s">
        <v>69</v>
      </c>
      <c r="S1226" s="0" t="n">
        <v>6</v>
      </c>
      <c r="T1226" s="21" t="s">
        <v>3860</v>
      </c>
      <c r="U1226" s="22" t="b">
        <f aca="false">TRUE()</f>
        <v>1</v>
      </c>
      <c r="V1226" s="0" t="n">
        <v>0.65</v>
      </c>
      <c r="W1226" s="0" t="n">
        <v>0.72</v>
      </c>
      <c r="X1226" s="0" t="n">
        <v>4.97</v>
      </c>
      <c r="Y1226" s="0" t="n">
        <v>312.27</v>
      </c>
      <c r="Z1226" s="0" t="n">
        <v>8</v>
      </c>
      <c r="AA1226" s="0" t="n">
        <v>-0.92</v>
      </c>
      <c r="AB1226" s="0" t="n">
        <v>1.1</v>
      </c>
      <c r="AC1226" s="22" t="b">
        <f aca="false">TRUE()</f>
        <v>1</v>
      </c>
      <c r="AD1226" s="0" t="n">
        <v>11.45</v>
      </c>
      <c r="AE1226" s="0" t="n">
        <v>0.49</v>
      </c>
      <c r="AF1226" s="0" t="n">
        <v>11.72</v>
      </c>
      <c r="AG1226" s="22" t="b">
        <f aca="false">TRUE()</f>
        <v>1</v>
      </c>
      <c r="AH1226" s="0" t="n">
        <v>1</v>
      </c>
    </row>
    <row r="1227" customFormat="false" ht="15" hidden="false" customHeight="false" outlineLevel="0" collapsed="false">
      <c r="A1227" s="0" t="s">
        <v>1908</v>
      </c>
      <c r="B1227" s="0" t="s">
        <v>3459</v>
      </c>
      <c r="C1227" s="0" t="s">
        <v>3450</v>
      </c>
      <c r="D1227" s="0" t="s">
        <v>3448</v>
      </c>
      <c r="E1227" s="20" t="s">
        <v>25</v>
      </c>
      <c r="F1227" s="23" t="s">
        <v>30</v>
      </c>
      <c r="G1227" s="21" t="s">
        <v>197</v>
      </c>
      <c r="H1227" s="21" t="s">
        <v>24</v>
      </c>
      <c r="I1227" s="21" t="s">
        <v>25</v>
      </c>
      <c r="J1227" s="21" t="s">
        <v>24</v>
      </c>
      <c r="K1227" s="21" t="s">
        <v>25</v>
      </c>
      <c r="L1227" s="21" t="s">
        <v>24</v>
      </c>
      <c r="M1227" s="0" t="n">
        <v>201</v>
      </c>
      <c r="N1227" s="0" t="n">
        <v>2</v>
      </c>
      <c r="O1227" s="21" t="s">
        <v>3575</v>
      </c>
      <c r="P1227" s="21" t="s">
        <v>4265</v>
      </c>
      <c r="Q1227" s="0" t="n">
        <v>1</v>
      </c>
      <c r="R1227" s="21" t="s">
        <v>69</v>
      </c>
      <c r="S1227" s="0" t="n">
        <v>2</v>
      </c>
      <c r="T1227" s="21" t="s">
        <v>3575</v>
      </c>
      <c r="U1227" s="22" t="b">
        <f aca="false">TRUE()</f>
        <v>1</v>
      </c>
      <c r="V1227" s="0" t="n">
        <v>0.68</v>
      </c>
      <c r="W1227" s="0" t="n">
        <v>0.68</v>
      </c>
      <c r="X1227" s="0" t="n">
        <v>4.7</v>
      </c>
      <c r="Y1227" s="0" t="n">
        <v>353.26</v>
      </c>
      <c r="Z1227" s="0" t="n">
        <v>8.58</v>
      </c>
      <c r="AA1227" s="0" t="n">
        <v>1.34</v>
      </c>
      <c r="AB1227" s="0" t="n">
        <v>0.62</v>
      </c>
      <c r="AC1227" s="22" t="b">
        <f aca="false">TRUE()</f>
        <v>1</v>
      </c>
      <c r="AD1227" s="0" t="n">
        <v>13.87</v>
      </c>
      <c r="AE1227" s="0" t="n">
        <v>-1.5</v>
      </c>
      <c r="AF1227" s="0" t="n">
        <v>11.38</v>
      </c>
      <c r="AG1227" s="22" t="b">
        <f aca="false">TRUE()</f>
        <v>1</v>
      </c>
      <c r="AH1227" s="0" t="n">
        <v>1</v>
      </c>
    </row>
    <row r="1228" customFormat="false" ht="15" hidden="false" customHeight="false" outlineLevel="0" collapsed="false">
      <c r="A1228" s="0" t="s">
        <v>1908</v>
      </c>
      <c r="B1228" s="0" t="s">
        <v>3459</v>
      </c>
      <c r="C1228" s="0" t="s">
        <v>3447</v>
      </c>
      <c r="D1228" s="0" t="s">
        <v>3457</v>
      </c>
      <c r="E1228" s="20" t="s">
        <v>25</v>
      </c>
      <c r="F1228" s="23" t="s">
        <v>30</v>
      </c>
      <c r="G1228" s="21" t="s">
        <v>2133</v>
      </c>
      <c r="H1228" s="21" t="s">
        <v>24</v>
      </c>
      <c r="I1228" s="21" t="s">
        <v>24</v>
      </c>
      <c r="J1228" s="21" t="s">
        <v>24</v>
      </c>
      <c r="K1228" s="21" t="s">
        <v>25</v>
      </c>
      <c r="L1228" s="21" t="s">
        <v>24</v>
      </c>
      <c r="M1228" s="0" t="n">
        <v>182</v>
      </c>
      <c r="N1228" s="0" t="n">
        <v>3</v>
      </c>
      <c r="O1228" s="21" t="s">
        <v>3548</v>
      </c>
      <c r="P1228" s="21" t="s">
        <v>4680</v>
      </c>
      <c r="Q1228" s="0" t="n">
        <v>0</v>
      </c>
      <c r="S1228" s="0" t="n">
        <v>3</v>
      </c>
      <c r="T1228" s="21" t="s">
        <v>3548</v>
      </c>
      <c r="U1228" s="22" t="b">
        <f aca="false">TRUE()</f>
        <v>1</v>
      </c>
      <c r="V1228" s="0" t="n">
        <v>0.83</v>
      </c>
      <c r="W1228" s="0" t="n">
        <v>0.64</v>
      </c>
      <c r="X1228" s="0" t="n">
        <v>7.27</v>
      </c>
      <c r="Y1228" s="0" t="n">
        <v>302.7</v>
      </c>
      <c r="Z1228" s="0" t="n">
        <v>8.33</v>
      </c>
      <c r="AA1228" s="0" t="n">
        <v>-1.49</v>
      </c>
      <c r="AB1228" s="0" t="n">
        <v>1.1</v>
      </c>
      <c r="AC1228" s="22" t="b">
        <f aca="false">FALSE()</f>
        <v>0</v>
      </c>
      <c r="AD1228" s="0" t="n">
        <v>13.49</v>
      </c>
      <c r="AE1228" s="0" t="n">
        <v>0.74</v>
      </c>
      <c r="AF1228" s="0" t="n">
        <v>13.66</v>
      </c>
      <c r="AG1228" s="22" t="b">
        <f aca="false">TRUE()</f>
        <v>1</v>
      </c>
      <c r="AH1228" s="0" t="n">
        <v>1</v>
      </c>
    </row>
    <row r="1229" customFormat="false" ht="15" hidden="false" customHeight="false" outlineLevel="0" collapsed="false">
      <c r="A1229" s="0" t="s">
        <v>1908</v>
      </c>
      <c r="B1229" s="0" t="s">
        <v>3459</v>
      </c>
      <c r="C1229" s="0" t="s">
        <v>3447</v>
      </c>
      <c r="D1229" s="0" t="s">
        <v>3448</v>
      </c>
      <c r="E1229" s="20" t="s">
        <v>25</v>
      </c>
      <c r="F1229" s="20" t="s">
        <v>29</v>
      </c>
      <c r="G1229" s="21" t="s">
        <v>64</v>
      </c>
      <c r="H1229" s="21" t="s">
        <v>24</v>
      </c>
      <c r="I1229" s="21" t="s">
        <v>24</v>
      </c>
      <c r="J1229" s="21" t="s">
        <v>24</v>
      </c>
      <c r="K1229" s="21" t="s">
        <v>25</v>
      </c>
      <c r="L1229" s="21" t="s">
        <v>24</v>
      </c>
      <c r="M1229" s="0" t="n">
        <v>185</v>
      </c>
      <c r="N1229" s="0" t="n">
        <v>0</v>
      </c>
      <c r="Q1229" s="0" t="n">
        <v>0</v>
      </c>
      <c r="S1229" s="0" t="n">
        <v>0</v>
      </c>
      <c r="U1229" s="22" t="b">
        <f aca="false">FALSE()</f>
        <v>0</v>
      </c>
      <c r="V1229" s="0" t="n">
        <v>0.89</v>
      </c>
      <c r="W1229" s="0" t="n">
        <v>0.92</v>
      </c>
      <c r="X1229" s="0" t="n">
        <v>9.52</v>
      </c>
      <c r="Y1229" s="0" t="n">
        <v>320.26</v>
      </c>
      <c r="Z1229" s="0" t="n">
        <v>8</v>
      </c>
      <c r="AA1229" s="0" t="n">
        <v>-3.28</v>
      </c>
      <c r="AB1229" s="0" t="n">
        <v>0.62</v>
      </c>
      <c r="AC1229" s="22" t="b">
        <f aca="false">FALSE()</f>
        <v>0</v>
      </c>
      <c r="AD1229" s="0" t="n">
        <v>7.58</v>
      </c>
      <c r="AE1229" s="0" t="n">
        <v>-1.91</v>
      </c>
      <c r="AF1229" s="0" t="n">
        <v>4.76</v>
      </c>
      <c r="AG1229" s="22" t="b">
        <f aca="false">FALSE()</f>
        <v>0</v>
      </c>
      <c r="AH1229" s="0" t="n">
        <v>1</v>
      </c>
    </row>
    <row r="1230" customFormat="false" ht="15" hidden="false" customHeight="false" outlineLevel="0" collapsed="false">
      <c r="A1230" s="0" t="s">
        <v>1918</v>
      </c>
      <c r="B1230" s="0" t="s">
        <v>134</v>
      </c>
      <c r="C1230" s="0" t="s">
        <v>3450</v>
      </c>
      <c r="D1230" s="0" t="s">
        <v>3457</v>
      </c>
      <c r="E1230" s="18" t="s">
        <v>24</v>
      </c>
      <c r="F1230" s="18" t="s">
        <v>28</v>
      </c>
      <c r="H1230" s="21" t="s">
        <v>24</v>
      </c>
      <c r="I1230" s="21" t="s">
        <v>24</v>
      </c>
      <c r="J1230" s="21" t="s">
        <v>24</v>
      </c>
      <c r="K1230" s="21" t="s">
        <v>24</v>
      </c>
      <c r="L1230" s="21" t="s">
        <v>24</v>
      </c>
      <c r="M1230" s="0" t="n">
        <v>184</v>
      </c>
      <c r="N1230" s="0" t="n">
        <v>0</v>
      </c>
      <c r="Q1230" s="0" t="n">
        <v>0</v>
      </c>
      <c r="S1230" s="0" t="n">
        <v>0</v>
      </c>
      <c r="U1230" s="22" t="b">
        <f aca="false">FALSE()</f>
        <v>0</v>
      </c>
      <c r="V1230" s="0" t="n">
        <v>0.65</v>
      </c>
      <c r="W1230" s="0" t="n">
        <v>0.84</v>
      </c>
      <c r="X1230" s="0" t="n">
        <v>7.82</v>
      </c>
      <c r="Y1230" s="0" t="n">
        <v>300.75</v>
      </c>
      <c r="Z1230" s="0" t="n">
        <v>9.58</v>
      </c>
      <c r="AA1230" s="0" t="n">
        <v>9.43</v>
      </c>
      <c r="AB1230" s="0" t="n">
        <v>4.53</v>
      </c>
      <c r="AC1230" s="22" t="b">
        <f aca="false">FALSE()</f>
        <v>0</v>
      </c>
      <c r="AD1230" s="0" t="n">
        <v>2.41</v>
      </c>
      <c r="AE1230" s="0" t="n">
        <v>1.09</v>
      </c>
      <c r="AF1230" s="0" t="n">
        <v>10.19</v>
      </c>
      <c r="AG1230" s="22" t="b">
        <f aca="false">FALSE()</f>
        <v>0</v>
      </c>
      <c r="AH1230" s="0" t="n">
        <v>1</v>
      </c>
    </row>
    <row r="1231" customFormat="false" ht="15" hidden="false" customHeight="false" outlineLevel="0" collapsed="false">
      <c r="A1231" s="0" t="s">
        <v>1918</v>
      </c>
      <c r="B1231" s="0" t="s">
        <v>134</v>
      </c>
      <c r="C1231" s="0" t="s">
        <v>3450</v>
      </c>
      <c r="D1231" s="0" t="s">
        <v>3448</v>
      </c>
      <c r="E1231" s="18" t="s">
        <v>24</v>
      </c>
      <c r="F1231" s="18" t="s">
        <v>28</v>
      </c>
      <c r="H1231" s="21" t="s">
        <v>24</v>
      </c>
      <c r="I1231" s="21" t="s">
        <v>24</v>
      </c>
      <c r="J1231" s="21" t="s">
        <v>24</v>
      </c>
      <c r="K1231" s="21" t="s">
        <v>24</v>
      </c>
      <c r="L1231" s="21" t="s">
        <v>24</v>
      </c>
      <c r="M1231" s="0" t="n">
        <v>195</v>
      </c>
      <c r="N1231" s="0" t="n">
        <v>0</v>
      </c>
      <c r="Q1231" s="0" t="n">
        <v>0</v>
      </c>
      <c r="S1231" s="0" t="n">
        <v>0</v>
      </c>
      <c r="U1231" s="22" t="b">
        <f aca="false">FALSE()</f>
        <v>0</v>
      </c>
      <c r="V1231" s="0" t="n">
        <v>0.72</v>
      </c>
      <c r="W1231" s="0" t="n">
        <v>0</v>
      </c>
      <c r="X1231" s="0" t="n">
        <v>7.66</v>
      </c>
      <c r="Y1231" s="0" t="n">
        <v>771.72</v>
      </c>
      <c r="Z1231" s="0" t="n">
        <v>8.92</v>
      </c>
      <c r="AA1231" s="0" t="n">
        <v>11.62</v>
      </c>
      <c r="AB1231" s="0" t="n">
        <v>4.85</v>
      </c>
      <c r="AC1231" s="22" t="b">
        <f aca="false">FALSE()</f>
        <v>0</v>
      </c>
      <c r="AD1231" s="0" t="n">
        <v>3.56</v>
      </c>
      <c r="AE1231" s="0" t="n">
        <v>0.77</v>
      </c>
      <c r="AF1231" s="0" t="n">
        <v>4.7</v>
      </c>
      <c r="AG1231" s="22" t="b">
        <f aca="false">FALSE()</f>
        <v>0</v>
      </c>
      <c r="AH1231" s="0" t="n">
        <v>1</v>
      </c>
    </row>
    <row r="1232" customFormat="false" ht="15" hidden="false" customHeight="false" outlineLevel="0" collapsed="false">
      <c r="A1232" s="0" t="s">
        <v>1918</v>
      </c>
      <c r="B1232" s="0" t="s">
        <v>134</v>
      </c>
      <c r="C1232" s="0" t="s">
        <v>3447</v>
      </c>
      <c r="D1232" s="0" t="s">
        <v>3457</v>
      </c>
      <c r="E1232" s="18" t="s">
        <v>24</v>
      </c>
      <c r="F1232" s="18" t="s">
        <v>28</v>
      </c>
      <c r="H1232" s="21" t="s">
        <v>24</v>
      </c>
      <c r="I1232" s="21" t="s">
        <v>24</v>
      </c>
      <c r="J1232" s="21" t="s">
        <v>24</v>
      </c>
      <c r="K1232" s="21" t="s">
        <v>24</v>
      </c>
      <c r="L1232" s="21" t="s">
        <v>24</v>
      </c>
      <c r="M1232" s="0" t="n">
        <v>183</v>
      </c>
      <c r="N1232" s="0" t="n">
        <v>0</v>
      </c>
      <c r="Q1232" s="0" t="n">
        <v>0</v>
      </c>
      <c r="S1232" s="0" t="n">
        <v>0</v>
      </c>
      <c r="U1232" s="22" t="b">
        <f aca="false">FALSE()</f>
        <v>0</v>
      </c>
      <c r="V1232" s="0" t="n">
        <v>0.72</v>
      </c>
      <c r="W1232" s="0" t="n">
        <v>0.6</v>
      </c>
      <c r="X1232" s="0" t="n">
        <v>6.14</v>
      </c>
      <c r="Y1232" s="0" t="n">
        <v>313.6</v>
      </c>
      <c r="Z1232" s="0" t="n">
        <v>10.08</v>
      </c>
      <c r="AA1232" s="0" t="n">
        <v>2.5</v>
      </c>
      <c r="AB1232" s="0" t="n">
        <v>4.53</v>
      </c>
      <c r="AC1232" s="22" t="b">
        <f aca="false">FALSE()</f>
        <v>0</v>
      </c>
      <c r="AD1232" s="0" t="n">
        <v>5.08</v>
      </c>
      <c r="AE1232" s="0" t="n">
        <v>0.75</v>
      </c>
      <c r="AF1232" s="0" t="n">
        <v>12.11</v>
      </c>
      <c r="AG1232" s="22" t="b">
        <f aca="false">FALSE()</f>
        <v>0</v>
      </c>
      <c r="AH1232" s="0" t="n">
        <v>1</v>
      </c>
    </row>
    <row r="1233" customFormat="false" ht="15" hidden="false" customHeight="false" outlineLevel="0" collapsed="false">
      <c r="A1233" s="0" t="s">
        <v>1918</v>
      </c>
      <c r="B1233" s="0" t="s">
        <v>134</v>
      </c>
      <c r="C1233" s="0" t="s">
        <v>3447</v>
      </c>
      <c r="D1233" s="0" t="s">
        <v>3448</v>
      </c>
      <c r="E1233" s="18" t="s">
        <v>24</v>
      </c>
      <c r="F1233" s="18" t="s">
        <v>28</v>
      </c>
      <c r="H1233" s="21" t="s">
        <v>24</v>
      </c>
      <c r="I1233" s="21" t="s">
        <v>24</v>
      </c>
      <c r="J1233" s="21" t="s">
        <v>24</v>
      </c>
      <c r="K1233" s="21" t="s">
        <v>24</v>
      </c>
      <c r="L1233" s="21" t="s">
        <v>24</v>
      </c>
      <c r="M1233" s="0" t="n">
        <v>183</v>
      </c>
      <c r="N1233" s="0" t="n">
        <v>0</v>
      </c>
      <c r="Q1233" s="0" t="n">
        <v>0</v>
      </c>
      <c r="S1233" s="0" t="n">
        <v>0</v>
      </c>
      <c r="U1233" s="22" t="b">
        <f aca="false">FALSE()</f>
        <v>0</v>
      </c>
      <c r="V1233" s="0" t="n">
        <v>0.77</v>
      </c>
      <c r="W1233" s="0" t="n">
        <v>0.32</v>
      </c>
      <c r="X1233" s="0" t="n">
        <v>5.74</v>
      </c>
      <c r="Y1233" s="0" t="n">
        <v>402.53</v>
      </c>
      <c r="Z1233" s="0" t="n">
        <v>9.5</v>
      </c>
      <c r="AA1233" s="0" t="n">
        <v>3.73</v>
      </c>
      <c r="AB1233" s="0" t="n">
        <v>4.85</v>
      </c>
      <c r="AC1233" s="22" t="b">
        <f aca="false">FALSE()</f>
        <v>0</v>
      </c>
      <c r="AD1233" s="0" t="n">
        <v>3.85</v>
      </c>
      <c r="AE1233" s="0" t="n">
        <v>0.23</v>
      </c>
      <c r="AF1233" s="0" t="n">
        <v>4.85</v>
      </c>
      <c r="AG1233" s="22" t="b">
        <f aca="false">FALSE()</f>
        <v>0</v>
      </c>
      <c r="AH1233" s="0" t="n">
        <v>1</v>
      </c>
    </row>
    <row r="1234" customFormat="false" ht="15" hidden="false" customHeight="false" outlineLevel="0" collapsed="false">
      <c r="A1234" s="0" t="s">
        <v>1923</v>
      </c>
      <c r="B1234" s="0" t="s">
        <v>134</v>
      </c>
      <c r="C1234" s="0" t="s">
        <v>3450</v>
      </c>
      <c r="D1234" s="0" t="s">
        <v>3457</v>
      </c>
      <c r="E1234" s="19" t="s">
        <v>26</v>
      </c>
      <c r="F1234" s="19" t="s">
        <v>32</v>
      </c>
      <c r="G1234" s="21" t="s">
        <v>1926</v>
      </c>
      <c r="H1234" s="21" t="s">
        <v>24</v>
      </c>
      <c r="I1234" s="21" t="s">
        <v>26</v>
      </c>
      <c r="J1234" s="21" t="s">
        <v>24</v>
      </c>
      <c r="K1234" s="21" t="s">
        <v>25</v>
      </c>
      <c r="L1234" s="21" t="s">
        <v>24</v>
      </c>
      <c r="M1234" s="0" t="n">
        <v>192</v>
      </c>
      <c r="N1234" s="0" t="n">
        <v>10</v>
      </c>
      <c r="O1234" s="21" t="s">
        <v>4011</v>
      </c>
      <c r="P1234" s="21" t="s">
        <v>4248</v>
      </c>
      <c r="Q1234" s="0" t="n">
        <v>1</v>
      </c>
      <c r="R1234" s="21" t="s">
        <v>69</v>
      </c>
      <c r="S1234" s="0" t="n">
        <v>10</v>
      </c>
      <c r="T1234" s="21" t="s">
        <v>4011</v>
      </c>
      <c r="U1234" s="22" t="b">
        <f aca="false">FALSE()</f>
        <v>0</v>
      </c>
      <c r="V1234" s="0" t="n">
        <v>0.68</v>
      </c>
      <c r="W1234" s="0" t="n">
        <v>0.6</v>
      </c>
      <c r="X1234" s="0" t="n">
        <v>13.67</v>
      </c>
      <c r="Y1234" s="0" t="n">
        <v>304.35</v>
      </c>
      <c r="Z1234" s="0" t="n">
        <v>10.5</v>
      </c>
      <c r="AA1234" s="0" t="n">
        <v>13.37</v>
      </c>
      <c r="AB1234" s="0" t="n">
        <v>6.77</v>
      </c>
      <c r="AC1234" s="22" t="b">
        <f aca="false">FALSE()</f>
        <v>0</v>
      </c>
      <c r="AD1234" s="0" t="n">
        <v>21.82</v>
      </c>
      <c r="AE1234" s="0" t="n">
        <v>10.83</v>
      </c>
      <c r="AF1234" s="0" t="n">
        <v>20.81</v>
      </c>
      <c r="AG1234" s="22" t="b">
        <f aca="false">TRUE()</f>
        <v>1</v>
      </c>
      <c r="AH1234" s="0" t="n">
        <v>1</v>
      </c>
    </row>
    <row r="1235" customFormat="false" ht="15" hidden="false" customHeight="false" outlineLevel="0" collapsed="false">
      <c r="A1235" s="0" t="s">
        <v>1923</v>
      </c>
      <c r="B1235" s="0" t="s">
        <v>134</v>
      </c>
      <c r="C1235" s="0" t="s">
        <v>3450</v>
      </c>
      <c r="D1235" s="0" t="s">
        <v>3448</v>
      </c>
      <c r="E1235" s="19" t="s">
        <v>26</v>
      </c>
      <c r="F1235" s="19" t="s">
        <v>32</v>
      </c>
      <c r="G1235" s="21" t="s">
        <v>529</v>
      </c>
      <c r="H1235" s="21" t="s">
        <v>24</v>
      </c>
      <c r="I1235" s="21" t="s">
        <v>26</v>
      </c>
      <c r="J1235" s="21" t="s">
        <v>24</v>
      </c>
      <c r="K1235" s="21" t="s">
        <v>24</v>
      </c>
      <c r="L1235" s="21" t="s">
        <v>24</v>
      </c>
      <c r="M1235" s="0" t="n">
        <v>182</v>
      </c>
      <c r="N1235" s="0" t="n">
        <v>8</v>
      </c>
      <c r="O1235" s="21" t="s">
        <v>4146</v>
      </c>
      <c r="P1235" s="21" t="s">
        <v>4249</v>
      </c>
      <c r="Q1235" s="0" t="n">
        <v>1</v>
      </c>
      <c r="R1235" s="21" t="s">
        <v>69</v>
      </c>
      <c r="S1235" s="0" t="n">
        <v>8</v>
      </c>
      <c r="T1235" s="21" t="s">
        <v>4146</v>
      </c>
      <c r="U1235" s="22" t="b">
        <f aca="false">FALSE()</f>
        <v>0</v>
      </c>
      <c r="V1235" s="0" t="n">
        <v>0.68</v>
      </c>
      <c r="W1235" s="0" t="n">
        <v>0.96</v>
      </c>
      <c r="X1235" s="0" t="n">
        <v>15.54</v>
      </c>
      <c r="Y1235" s="0" t="n">
        <v>290.21</v>
      </c>
      <c r="Z1235" s="0" t="n">
        <v>10.17</v>
      </c>
      <c r="AA1235" s="0" t="n">
        <v>6.26</v>
      </c>
      <c r="AB1235" s="0" t="n">
        <v>3.57</v>
      </c>
      <c r="AC1235" s="22" t="b">
        <f aca="false">FALSE()</f>
        <v>0</v>
      </c>
      <c r="AD1235" s="0" t="n">
        <v>11.31</v>
      </c>
      <c r="AE1235" s="0" t="n">
        <v>3.04</v>
      </c>
      <c r="AF1235" s="0" t="n">
        <v>11.33</v>
      </c>
      <c r="AG1235" s="22" t="b">
        <f aca="false">TRUE()</f>
        <v>1</v>
      </c>
      <c r="AH1235" s="0" t="n">
        <v>1</v>
      </c>
    </row>
    <row r="1236" customFormat="false" ht="15" hidden="false" customHeight="false" outlineLevel="0" collapsed="false">
      <c r="A1236" s="0" t="s">
        <v>1923</v>
      </c>
      <c r="B1236" s="0" t="s">
        <v>134</v>
      </c>
      <c r="C1236" s="0" t="s">
        <v>3447</v>
      </c>
      <c r="D1236" s="0" t="s">
        <v>3457</v>
      </c>
      <c r="E1236" s="19" t="s">
        <v>26</v>
      </c>
      <c r="F1236" s="19" t="s">
        <v>32</v>
      </c>
      <c r="G1236" s="21" t="s">
        <v>1926</v>
      </c>
      <c r="H1236" s="21" t="s">
        <v>24</v>
      </c>
      <c r="I1236" s="21" t="s">
        <v>26</v>
      </c>
      <c r="J1236" s="21" t="s">
        <v>24</v>
      </c>
      <c r="K1236" s="21" t="s">
        <v>25</v>
      </c>
      <c r="L1236" s="21" t="s">
        <v>24</v>
      </c>
      <c r="M1236" s="0" t="n">
        <v>197</v>
      </c>
      <c r="N1236" s="0" t="n">
        <v>10</v>
      </c>
      <c r="O1236" s="21" t="s">
        <v>4011</v>
      </c>
      <c r="P1236" s="21" t="s">
        <v>4248</v>
      </c>
      <c r="Q1236" s="0" t="n">
        <v>1</v>
      </c>
      <c r="R1236" s="21" t="s">
        <v>69</v>
      </c>
      <c r="S1236" s="0" t="n">
        <v>10</v>
      </c>
      <c r="T1236" s="21" t="s">
        <v>4011</v>
      </c>
      <c r="U1236" s="22" t="b">
        <f aca="false">FALSE()</f>
        <v>0</v>
      </c>
      <c r="V1236" s="0" t="n">
        <v>0.75</v>
      </c>
      <c r="W1236" s="0" t="n">
        <v>0.28</v>
      </c>
      <c r="X1236" s="0" t="n">
        <v>11.45</v>
      </c>
      <c r="Y1236" s="0" t="n">
        <v>438.81</v>
      </c>
      <c r="Z1236" s="0" t="n">
        <v>10.67</v>
      </c>
      <c r="AA1236" s="0" t="n">
        <v>7.11</v>
      </c>
      <c r="AB1236" s="0" t="n">
        <v>6.77</v>
      </c>
      <c r="AC1236" s="22" t="b">
        <f aca="false">FALSE()</f>
        <v>0</v>
      </c>
      <c r="AD1236" s="0" t="n">
        <v>22.29</v>
      </c>
      <c r="AE1236" s="0" t="n">
        <v>9.66</v>
      </c>
      <c r="AF1236" s="0" t="n">
        <v>18.32</v>
      </c>
      <c r="AG1236" s="22" t="b">
        <f aca="false">TRUE()</f>
        <v>1</v>
      </c>
      <c r="AH1236" s="0" t="n">
        <v>1</v>
      </c>
    </row>
    <row r="1237" customFormat="false" ht="15" hidden="false" customHeight="false" outlineLevel="0" collapsed="false">
      <c r="A1237" s="0" t="s">
        <v>1923</v>
      </c>
      <c r="B1237" s="0" t="s">
        <v>134</v>
      </c>
      <c r="C1237" s="0" t="s">
        <v>3447</v>
      </c>
      <c r="D1237" s="0" t="s">
        <v>3448</v>
      </c>
      <c r="E1237" s="19" t="s">
        <v>26</v>
      </c>
      <c r="F1237" s="19" t="s">
        <v>32</v>
      </c>
      <c r="G1237" s="21" t="s">
        <v>529</v>
      </c>
      <c r="H1237" s="21" t="s">
        <v>24</v>
      </c>
      <c r="I1237" s="21" t="s">
        <v>26</v>
      </c>
      <c r="J1237" s="21" t="s">
        <v>24</v>
      </c>
      <c r="K1237" s="21" t="s">
        <v>24</v>
      </c>
      <c r="L1237" s="21" t="s">
        <v>24</v>
      </c>
      <c r="M1237" s="0" t="n">
        <v>182</v>
      </c>
      <c r="N1237" s="0" t="n">
        <v>13</v>
      </c>
      <c r="O1237" s="21" t="s">
        <v>4023</v>
      </c>
      <c r="P1237" s="21" t="s">
        <v>4229</v>
      </c>
      <c r="Q1237" s="0" t="n">
        <v>1</v>
      </c>
      <c r="R1237" s="21" t="s">
        <v>69</v>
      </c>
      <c r="S1237" s="0" t="n">
        <v>13</v>
      </c>
      <c r="T1237" s="21" t="s">
        <v>4023</v>
      </c>
      <c r="U1237" s="22" t="b">
        <f aca="false">FALSE()</f>
        <v>0</v>
      </c>
      <c r="V1237" s="0" t="n">
        <v>0.73</v>
      </c>
      <c r="W1237" s="0" t="n">
        <v>0.52</v>
      </c>
      <c r="X1237" s="0" t="n">
        <v>13.68</v>
      </c>
      <c r="Y1237" s="0" t="n">
        <v>154.81</v>
      </c>
      <c r="Z1237" s="0" t="n">
        <v>10.25</v>
      </c>
      <c r="AA1237" s="0" t="n">
        <v>11.31</v>
      </c>
      <c r="AB1237" s="0" t="n">
        <v>3.57</v>
      </c>
      <c r="AC1237" s="22" t="b">
        <f aca="false">FALSE()</f>
        <v>0</v>
      </c>
      <c r="AD1237" s="0" t="n">
        <v>15.93</v>
      </c>
      <c r="AE1237" s="0" t="n">
        <v>4</v>
      </c>
      <c r="AF1237" s="0" t="n">
        <v>10.5</v>
      </c>
      <c r="AG1237" s="22" t="b">
        <f aca="false">TRUE()</f>
        <v>1</v>
      </c>
      <c r="AH1237" s="0" t="n">
        <v>1</v>
      </c>
    </row>
    <row r="1238" customFormat="false" ht="15" hidden="false" customHeight="false" outlineLevel="0" collapsed="false">
      <c r="A1238" s="0" t="s">
        <v>1923</v>
      </c>
      <c r="B1238" s="0" t="s">
        <v>3459</v>
      </c>
      <c r="C1238" s="0" t="s">
        <v>3450</v>
      </c>
      <c r="D1238" s="0" t="s">
        <v>3457</v>
      </c>
      <c r="E1238" s="19" t="s">
        <v>26</v>
      </c>
      <c r="F1238" s="19" t="s">
        <v>32</v>
      </c>
      <c r="G1238" s="21" t="s">
        <v>529</v>
      </c>
      <c r="H1238" s="21" t="s">
        <v>24</v>
      </c>
      <c r="I1238" s="21" t="s">
        <v>26</v>
      </c>
      <c r="J1238" s="21" t="s">
        <v>24</v>
      </c>
      <c r="K1238" s="21" t="s">
        <v>24</v>
      </c>
      <c r="L1238" s="21" t="s">
        <v>24</v>
      </c>
      <c r="M1238" s="0" t="n">
        <v>184</v>
      </c>
      <c r="N1238" s="0" t="n">
        <v>12</v>
      </c>
      <c r="O1238" s="21" t="s">
        <v>4117</v>
      </c>
      <c r="P1238" s="21" t="s">
        <v>4359</v>
      </c>
      <c r="Q1238" s="0" t="n">
        <v>1</v>
      </c>
      <c r="R1238" s="21" t="s">
        <v>69</v>
      </c>
      <c r="S1238" s="0" t="n">
        <v>12</v>
      </c>
      <c r="T1238" s="21" t="s">
        <v>4117</v>
      </c>
      <c r="U1238" s="22" t="b">
        <f aca="false">FALSE()</f>
        <v>0</v>
      </c>
      <c r="V1238" s="0" t="n">
        <v>0.7</v>
      </c>
      <c r="W1238" s="0" t="n">
        <v>0.56</v>
      </c>
      <c r="X1238" s="0" t="n">
        <v>14.7</v>
      </c>
      <c r="Y1238" s="0" t="n">
        <v>315.41</v>
      </c>
      <c r="Z1238" s="0" t="n">
        <v>10.75</v>
      </c>
      <c r="AA1238" s="0" t="n">
        <v>9.84</v>
      </c>
      <c r="AB1238" s="0" t="n">
        <v>7.74</v>
      </c>
      <c r="AC1238" s="22" t="b">
        <f aca="false">FALSE()</f>
        <v>0</v>
      </c>
      <c r="AD1238" s="0" t="n">
        <v>13.59</v>
      </c>
      <c r="AE1238" s="0" t="n">
        <v>4.56</v>
      </c>
      <c r="AF1238" s="0" t="n">
        <v>10.91</v>
      </c>
      <c r="AG1238" s="22" t="b">
        <f aca="false">TRUE()</f>
        <v>1</v>
      </c>
      <c r="AH1238" s="0" t="n">
        <v>1</v>
      </c>
    </row>
    <row r="1239" customFormat="false" ht="15" hidden="false" customHeight="false" outlineLevel="0" collapsed="false">
      <c r="A1239" s="0" t="s">
        <v>1923</v>
      </c>
      <c r="B1239" s="0" t="s">
        <v>3459</v>
      </c>
      <c r="C1239" s="0" t="s">
        <v>3450</v>
      </c>
      <c r="D1239" s="0" t="s">
        <v>3448</v>
      </c>
      <c r="E1239" s="19" t="s">
        <v>26</v>
      </c>
      <c r="F1239" s="19" t="s">
        <v>32</v>
      </c>
      <c r="G1239" s="21" t="s">
        <v>529</v>
      </c>
      <c r="H1239" s="21" t="s">
        <v>24</v>
      </c>
      <c r="I1239" s="21" t="s">
        <v>26</v>
      </c>
      <c r="J1239" s="21" t="s">
        <v>24</v>
      </c>
      <c r="K1239" s="21" t="s">
        <v>24</v>
      </c>
      <c r="L1239" s="21" t="s">
        <v>24</v>
      </c>
      <c r="M1239" s="0" t="n">
        <v>182</v>
      </c>
      <c r="N1239" s="0" t="n">
        <v>11</v>
      </c>
      <c r="O1239" s="21" t="s">
        <v>4034</v>
      </c>
      <c r="P1239" s="21" t="s">
        <v>4252</v>
      </c>
      <c r="Q1239" s="0" t="n">
        <v>1</v>
      </c>
      <c r="R1239" s="21" t="s">
        <v>69</v>
      </c>
      <c r="S1239" s="0" t="n">
        <v>11</v>
      </c>
      <c r="T1239" s="21" t="s">
        <v>4034</v>
      </c>
      <c r="U1239" s="22" t="b">
        <f aca="false">FALSE()</f>
        <v>0</v>
      </c>
      <c r="V1239" s="0" t="n">
        <v>0.72</v>
      </c>
      <c r="W1239" s="0" t="n">
        <v>0.44</v>
      </c>
      <c r="X1239" s="0" t="n">
        <v>15.62</v>
      </c>
      <c r="Y1239" s="0" t="n">
        <v>338.56</v>
      </c>
      <c r="Z1239" s="0" t="n">
        <v>10.5</v>
      </c>
      <c r="AA1239" s="0" t="n">
        <v>8.85</v>
      </c>
      <c r="AB1239" s="0" t="n">
        <v>3.5</v>
      </c>
      <c r="AC1239" s="22" t="b">
        <f aca="false">FALSE()</f>
        <v>0</v>
      </c>
      <c r="AD1239" s="0" t="n">
        <v>11.24</v>
      </c>
      <c r="AE1239" s="0" t="n">
        <v>3.62</v>
      </c>
      <c r="AF1239" s="0" t="n">
        <v>11.98</v>
      </c>
      <c r="AG1239" s="22" t="b">
        <f aca="false">TRUE()</f>
        <v>1</v>
      </c>
      <c r="AH1239" s="0" t="n">
        <v>1</v>
      </c>
    </row>
    <row r="1240" customFormat="false" ht="15" hidden="false" customHeight="false" outlineLevel="0" collapsed="false">
      <c r="A1240" s="0" t="s">
        <v>1923</v>
      </c>
      <c r="B1240" s="0" t="s">
        <v>3459</v>
      </c>
      <c r="C1240" s="0" t="s">
        <v>3447</v>
      </c>
      <c r="D1240" s="0" t="s">
        <v>3457</v>
      </c>
      <c r="E1240" s="19" t="s">
        <v>26</v>
      </c>
      <c r="F1240" s="19" t="s">
        <v>32</v>
      </c>
      <c r="G1240" s="21" t="s">
        <v>529</v>
      </c>
      <c r="H1240" s="21" t="s">
        <v>24</v>
      </c>
      <c r="I1240" s="21" t="s">
        <v>26</v>
      </c>
      <c r="J1240" s="21" t="s">
        <v>24</v>
      </c>
      <c r="K1240" s="21" t="s">
        <v>24</v>
      </c>
      <c r="L1240" s="21" t="s">
        <v>24</v>
      </c>
      <c r="M1240" s="0" t="n">
        <v>183</v>
      </c>
      <c r="N1240" s="0" t="n">
        <v>11</v>
      </c>
      <c r="O1240" s="21" t="s">
        <v>4034</v>
      </c>
      <c r="P1240" s="21" t="s">
        <v>4252</v>
      </c>
      <c r="Q1240" s="0" t="n">
        <v>1</v>
      </c>
      <c r="R1240" s="21" t="s">
        <v>69</v>
      </c>
      <c r="S1240" s="0" t="n">
        <v>11</v>
      </c>
      <c r="T1240" s="21" t="s">
        <v>4034</v>
      </c>
      <c r="U1240" s="22" t="b">
        <f aca="false">FALSE()</f>
        <v>0</v>
      </c>
      <c r="V1240" s="0" t="n">
        <v>0.73</v>
      </c>
      <c r="W1240" s="0" t="n">
        <v>0.36</v>
      </c>
      <c r="X1240" s="0" t="n">
        <v>10.78</v>
      </c>
      <c r="Y1240" s="0" t="n">
        <v>376.28</v>
      </c>
      <c r="Z1240" s="0" t="n">
        <v>10.67</v>
      </c>
      <c r="AA1240" s="0" t="n">
        <v>3.81</v>
      </c>
      <c r="AB1240" s="0" t="n">
        <v>7.74</v>
      </c>
      <c r="AC1240" s="22" t="b">
        <f aca="false">FALSE()</f>
        <v>0</v>
      </c>
      <c r="AD1240" s="0" t="n">
        <v>17.35</v>
      </c>
      <c r="AE1240" s="0" t="n">
        <v>6.75</v>
      </c>
      <c r="AF1240" s="0" t="n">
        <v>13.15</v>
      </c>
      <c r="AG1240" s="22" t="b">
        <f aca="false">TRUE()</f>
        <v>1</v>
      </c>
      <c r="AH1240" s="0" t="n">
        <v>1</v>
      </c>
    </row>
    <row r="1241" customFormat="false" ht="15" hidden="false" customHeight="false" outlineLevel="0" collapsed="false">
      <c r="A1241" s="0" t="s">
        <v>1923</v>
      </c>
      <c r="B1241" s="0" t="s">
        <v>3459</v>
      </c>
      <c r="C1241" s="0" t="s">
        <v>3447</v>
      </c>
      <c r="D1241" s="0" t="s">
        <v>3448</v>
      </c>
      <c r="E1241" s="19" t="s">
        <v>26</v>
      </c>
      <c r="F1241" s="19" t="s">
        <v>32</v>
      </c>
      <c r="G1241" s="21" t="s">
        <v>529</v>
      </c>
      <c r="H1241" s="21" t="s">
        <v>24</v>
      </c>
      <c r="I1241" s="21" t="s">
        <v>26</v>
      </c>
      <c r="J1241" s="21" t="s">
        <v>24</v>
      </c>
      <c r="K1241" s="21" t="s">
        <v>24</v>
      </c>
      <c r="L1241" s="21" t="s">
        <v>24</v>
      </c>
      <c r="M1241" s="0" t="n">
        <v>182</v>
      </c>
      <c r="N1241" s="0" t="n">
        <v>11</v>
      </c>
      <c r="O1241" s="21" t="s">
        <v>4034</v>
      </c>
      <c r="P1241" s="21" t="s">
        <v>4252</v>
      </c>
      <c r="Q1241" s="0" t="n">
        <v>1</v>
      </c>
      <c r="R1241" s="21" t="s">
        <v>69</v>
      </c>
      <c r="S1241" s="0" t="n">
        <v>11</v>
      </c>
      <c r="T1241" s="21" t="s">
        <v>4034</v>
      </c>
      <c r="U1241" s="22" t="b">
        <f aca="false">FALSE()</f>
        <v>0</v>
      </c>
      <c r="V1241" s="0" t="n">
        <v>0.76</v>
      </c>
      <c r="W1241" s="0" t="n">
        <v>0</v>
      </c>
      <c r="X1241" s="0" t="n">
        <v>13.34</v>
      </c>
      <c r="Y1241" s="0" t="n">
        <v>4.88</v>
      </c>
      <c r="Z1241" s="0" t="n">
        <v>10.25</v>
      </c>
      <c r="AA1241" s="0" t="n">
        <v>7.97</v>
      </c>
      <c r="AB1241" s="0" t="n">
        <v>3.5</v>
      </c>
      <c r="AC1241" s="22" t="b">
        <f aca="false">FALSE()</f>
        <v>0</v>
      </c>
      <c r="AD1241" s="0" t="n">
        <v>15.32</v>
      </c>
      <c r="AE1241" s="0" t="n">
        <v>4.52</v>
      </c>
      <c r="AF1241" s="0" t="n">
        <v>13.32</v>
      </c>
      <c r="AG1241" s="22" t="b">
        <f aca="false">TRUE()</f>
        <v>1</v>
      </c>
      <c r="AH1241" s="0" t="n">
        <v>0</v>
      </c>
    </row>
    <row r="1242" customFormat="false" ht="15" hidden="false" customHeight="false" outlineLevel="0" collapsed="false">
      <c r="A1242" s="0" t="s">
        <v>1935</v>
      </c>
      <c r="B1242" s="0" t="s">
        <v>134</v>
      </c>
      <c r="C1242" s="0" t="s">
        <v>3450</v>
      </c>
      <c r="D1242" s="0" t="s">
        <v>3457</v>
      </c>
      <c r="E1242" s="20" t="s">
        <v>25</v>
      </c>
      <c r="F1242" s="23" t="s">
        <v>30</v>
      </c>
      <c r="G1242" s="21" t="s">
        <v>283</v>
      </c>
      <c r="H1242" s="21" t="s">
        <v>24</v>
      </c>
      <c r="I1242" s="21" t="s">
        <v>25</v>
      </c>
      <c r="J1242" s="21" t="s">
        <v>24</v>
      </c>
      <c r="K1242" s="21" t="s">
        <v>24</v>
      </c>
      <c r="L1242" s="21" t="s">
        <v>24</v>
      </c>
      <c r="M1242" s="0" t="n">
        <v>193</v>
      </c>
      <c r="N1242" s="0" t="n">
        <v>1</v>
      </c>
      <c r="O1242" s="21" t="s">
        <v>69</v>
      </c>
      <c r="P1242" s="21" t="s">
        <v>4275</v>
      </c>
      <c r="Q1242" s="0" t="n">
        <v>1</v>
      </c>
      <c r="R1242" s="21" t="s">
        <v>69</v>
      </c>
      <c r="S1242" s="0" t="n">
        <v>1</v>
      </c>
      <c r="T1242" s="21" t="s">
        <v>69</v>
      </c>
      <c r="U1242" s="22" t="b">
        <f aca="false">TRUE()</f>
        <v>1</v>
      </c>
      <c r="V1242" s="0" t="n">
        <v>0.72</v>
      </c>
      <c r="W1242" s="0" t="n">
        <v>0.64</v>
      </c>
      <c r="X1242" s="0" t="n">
        <v>5.67</v>
      </c>
      <c r="Y1242" s="0" t="n">
        <v>329.8</v>
      </c>
      <c r="Z1242" s="0" t="n">
        <v>10.25</v>
      </c>
      <c r="AA1242" s="0" t="n">
        <v>3.88</v>
      </c>
      <c r="AB1242" s="0" t="n">
        <v>2.63</v>
      </c>
      <c r="AC1242" s="22" t="b">
        <f aca="false">FALSE()</f>
        <v>0</v>
      </c>
      <c r="AD1242" s="0" t="n">
        <v>17.07</v>
      </c>
      <c r="AE1242" s="0" t="n">
        <v>1.29</v>
      </c>
      <c r="AF1242" s="0" t="n">
        <v>11.5</v>
      </c>
      <c r="AG1242" s="22" t="b">
        <f aca="false">TRUE()</f>
        <v>1</v>
      </c>
      <c r="AH1242" s="0" t="n">
        <v>1</v>
      </c>
    </row>
    <row r="1243" customFormat="false" ht="15" hidden="false" customHeight="false" outlineLevel="0" collapsed="false">
      <c r="A1243" s="0" t="s">
        <v>1935</v>
      </c>
      <c r="B1243" s="0" t="s">
        <v>134</v>
      </c>
      <c r="C1243" s="0" t="s">
        <v>3450</v>
      </c>
      <c r="D1243" s="0" t="s">
        <v>3448</v>
      </c>
      <c r="E1243" s="20" t="s">
        <v>25</v>
      </c>
      <c r="F1243" s="20" t="s">
        <v>29</v>
      </c>
      <c r="G1243" s="21" t="s">
        <v>61</v>
      </c>
      <c r="H1243" s="21" t="s">
        <v>24</v>
      </c>
      <c r="I1243" s="21" t="s">
        <v>24</v>
      </c>
      <c r="J1243" s="21" t="s">
        <v>24</v>
      </c>
      <c r="K1243" s="21" t="s">
        <v>25</v>
      </c>
      <c r="L1243" s="21" t="s">
        <v>24</v>
      </c>
      <c r="M1243" s="0" t="n">
        <v>192</v>
      </c>
      <c r="N1243" s="0" t="n">
        <v>0</v>
      </c>
      <c r="Q1243" s="0" t="n">
        <v>0</v>
      </c>
      <c r="S1243" s="0" t="n">
        <v>0</v>
      </c>
      <c r="U1243" s="22" t="b">
        <f aca="false">FALSE()</f>
        <v>0</v>
      </c>
      <c r="V1243" s="0" t="n">
        <v>0.73</v>
      </c>
      <c r="W1243" s="0" t="n">
        <v>0.48</v>
      </c>
      <c r="X1243" s="0" t="n">
        <v>6.43</v>
      </c>
      <c r="Y1243" s="0" t="n">
        <v>345.35</v>
      </c>
      <c r="Z1243" s="0" t="n">
        <v>10.17</v>
      </c>
      <c r="AA1243" s="0" t="n">
        <v>3.52</v>
      </c>
      <c r="AB1243" s="0" t="n">
        <v>2.94</v>
      </c>
      <c r="AC1243" s="22" t="b">
        <f aca="false">FALSE()</f>
        <v>0</v>
      </c>
      <c r="AD1243" s="0" t="n">
        <v>23.31</v>
      </c>
      <c r="AE1243" s="0" t="n">
        <v>1.28</v>
      </c>
      <c r="AF1243" s="0" t="n">
        <v>6.31</v>
      </c>
      <c r="AG1243" s="22" t="b">
        <f aca="false">TRUE()</f>
        <v>1</v>
      </c>
      <c r="AH1243" s="0" t="n">
        <v>1</v>
      </c>
    </row>
    <row r="1244" customFormat="false" ht="15" hidden="false" customHeight="false" outlineLevel="0" collapsed="false">
      <c r="A1244" s="0" t="s">
        <v>1935</v>
      </c>
      <c r="B1244" s="0" t="s">
        <v>134</v>
      </c>
      <c r="C1244" s="0" t="s">
        <v>3447</v>
      </c>
      <c r="D1244" s="0" t="s">
        <v>3457</v>
      </c>
      <c r="E1244" s="18" t="s">
        <v>24</v>
      </c>
      <c r="F1244" s="23" t="s">
        <v>30</v>
      </c>
      <c r="G1244" s="21" t="s">
        <v>30</v>
      </c>
      <c r="H1244" s="21" t="s">
        <v>24</v>
      </c>
      <c r="I1244" s="21" t="s">
        <v>24</v>
      </c>
      <c r="J1244" s="21" t="s">
        <v>24</v>
      </c>
      <c r="K1244" s="21" t="s">
        <v>24</v>
      </c>
      <c r="L1244" s="21" t="s">
        <v>24</v>
      </c>
      <c r="M1244" s="0" t="n">
        <v>189</v>
      </c>
      <c r="N1244" s="0" t="n">
        <v>1</v>
      </c>
      <c r="O1244" s="21" t="s">
        <v>3478</v>
      </c>
      <c r="P1244" s="21" t="s">
        <v>4288</v>
      </c>
      <c r="Q1244" s="0" t="n">
        <v>0</v>
      </c>
      <c r="S1244" s="0" t="n">
        <v>1</v>
      </c>
      <c r="T1244" s="21" t="s">
        <v>3478</v>
      </c>
      <c r="U1244" s="22" t="b">
        <f aca="false">TRUE()</f>
        <v>1</v>
      </c>
      <c r="V1244" s="0" t="n">
        <v>0.84</v>
      </c>
      <c r="W1244" s="0" t="n">
        <v>0.16</v>
      </c>
      <c r="X1244" s="0" t="n">
        <v>7.08</v>
      </c>
      <c r="Y1244" s="0" t="n">
        <v>563.14</v>
      </c>
      <c r="Z1244" s="0" t="n">
        <v>10</v>
      </c>
      <c r="AA1244" s="0" t="n">
        <v>-3.76</v>
      </c>
      <c r="AB1244" s="0" t="n">
        <v>2.63</v>
      </c>
      <c r="AC1244" s="22" t="b">
        <f aca="false">FALSE()</f>
        <v>0</v>
      </c>
      <c r="AD1244" s="0" t="n">
        <v>13.62</v>
      </c>
      <c r="AE1244" s="0" t="n">
        <v>0.51</v>
      </c>
      <c r="AF1244" s="0" t="n">
        <v>7.02</v>
      </c>
      <c r="AG1244" s="22" t="b">
        <f aca="false">TRUE()</f>
        <v>1</v>
      </c>
      <c r="AH1244" s="0" t="n">
        <v>1</v>
      </c>
    </row>
    <row r="1245" customFormat="false" ht="15" hidden="false" customHeight="false" outlineLevel="0" collapsed="false">
      <c r="A1245" s="0" t="s">
        <v>1935</v>
      </c>
      <c r="B1245" s="0" t="s">
        <v>134</v>
      </c>
      <c r="C1245" s="0" t="s">
        <v>3447</v>
      </c>
      <c r="D1245" s="0" t="s">
        <v>3448</v>
      </c>
      <c r="E1245" s="18" t="s">
        <v>24</v>
      </c>
      <c r="F1245" s="23" t="s">
        <v>30</v>
      </c>
      <c r="G1245" s="21" t="s">
        <v>30</v>
      </c>
      <c r="H1245" s="21" t="s">
        <v>24</v>
      </c>
      <c r="I1245" s="21" t="s">
        <v>24</v>
      </c>
      <c r="J1245" s="21" t="s">
        <v>24</v>
      </c>
      <c r="K1245" s="21" t="s">
        <v>24</v>
      </c>
      <c r="L1245" s="21" t="s">
        <v>24</v>
      </c>
      <c r="M1245" s="0" t="n">
        <v>193</v>
      </c>
      <c r="N1245" s="0" t="n">
        <v>4</v>
      </c>
      <c r="O1245" s="21" t="s">
        <v>3638</v>
      </c>
      <c r="P1245" s="21" t="s">
        <v>4681</v>
      </c>
      <c r="Q1245" s="0" t="n">
        <v>0</v>
      </c>
      <c r="S1245" s="0" t="n">
        <v>4</v>
      </c>
      <c r="T1245" s="21" t="s">
        <v>3638</v>
      </c>
      <c r="U1245" s="22" t="b">
        <f aca="false">TRUE()</f>
        <v>1</v>
      </c>
      <c r="V1245" s="0" t="n">
        <v>0.79</v>
      </c>
      <c r="W1245" s="0" t="n">
        <v>0.72</v>
      </c>
      <c r="X1245" s="0" t="n">
        <v>9.2</v>
      </c>
      <c r="Y1245" s="0" t="n">
        <v>314.04</v>
      </c>
      <c r="Z1245" s="0" t="n">
        <v>8</v>
      </c>
      <c r="AA1245" s="0" t="n">
        <v>0.63</v>
      </c>
      <c r="AB1245" s="0" t="n">
        <v>2.94</v>
      </c>
      <c r="AC1245" s="22" t="b">
        <f aca="false">FALSE()</f>
        <v>0</v>
      </c>
      <c r="AD1245" s="0" t="n">
        <v>16.38</v>
      </c>
      <c r="AE1245" s="0" t="n">
        <v>0.14</v>
      </c>
      <c r="AF1245" s="0" t="n">
        <v>2.16</v>
      </c>
      <c r="AG1245" s="22" t="b">
        <f aca="false">TRUE()</f>
        <v>1</v>
      </c>
      <c r="AH1245" s="0" t="n">
        <v>1</v>
      </c>
    </row>
    <row r="1246" customFormat="false" ht="15" hidden="false" customHeight="false" outlineLevel="0" collapsed="false">
      <c r="A1246" s="0" t="s">
        <v>1946</v>
      </c>
      <c r="B1246" s="0" t="s">
        <v>134</v>
      </c>
      <c r="C1246" s="0" t="s">
        <v>3450</v>
      </c>
      <c r="D1246" s="0" t="s">
        <v>3457</v>
      </c>
      <c r="E1246" s="20" t="s">
        <v>25</v>
      </c>
      <c r="F1246" s="23" t="s">
        <v>30</v>
      </c>
      <c r="G1246" s="21" t="s">
        <v>283</v>
      </c>
      <c r="H1246" s="21" t="s">
        <v>24</v>
      </c>
      <c r="I1246" s="21" t="s">
        <v>25</v>
      </c>
      <c r="J1246" s="21" t="s">
        <v>24</v>
      </c>
      <c r="K1246" s="21" t="s">
        <v>24</v>
      </c>
      <c r="L1246" s="21" t="s">
        <v>24</v>
      </c>
      <c r="M1246" s="0" t="n">
        <v>226</v>
      </c>
      <c r="N1246" s="0" t="n">
        <v>2</v>
      </c>
      <c r="O1246" s="21" t="s">
        <v>3566</v>
      </c>
      <c r="P1246" s="21" t="s">
        <v>4238</v>
      </c>
      <c r="Q1246" s="0" t="n">
        <v>1</v>
      </c>
      <c r="R1246" s="21" t="s">
        <v>69</v>
      </c>
      <c r="S1246" s="0" t="n">
        <v>2</v>
      </c>
      <c r="T1246" s="21" t="s">
        <v>3566</v>
      </c>
      <c r="U1246" s="22" t="b">
        <f aca="false">TRUE()</f>
        <v>1</v>
      </c>
      <c r="V1246" s="0" t="n">
        <v>0.83</v>
      </c>
      <c r="W1246" s="0" t="n">
        <v>0.44</v>
      </c>
      <c r="X1246" s="0" t="n">
        <v>8.19</v>
      </c>
      <c r="Y1246" s="0" t="n">
        <v>421.48</v>
      </c>
      <c r="Z1246" s="0" t="n">
        <v>9.25</v>
      </c>
      <c r="AA1246" s="0" t="n">
        <v>19.16</v>
      </c>
      <c r="AB1246" s="0" t="n">
        <v>2.38</v>
      </c>
      <c r="AC1246" s="22" t="b">
        <f aca="false">FALSE()</f>
        <v>0</v>
      </c>
      <c r="AD1246" s="0" t="n">
        <v>15.96</v>
      </c>
      <c r="AE1246" s="0" t="n">
        <v>0.62</v>
      </c>
      <c r="AF1246" s="0" t="n">
        <v>19.76</v>
      </c>
      <c r="AG1246" s="22" t="b">
        <f aca="false">TRUE()</f>
        <v>1</v>
      </c>
      <c r="AH1246" s="0" t="n">
        <v>1</v>
      </c>
    </row>
    <row r="1247" customFormat="false" ht="15" hidden="false" customHeight="false" outlineLevel="0" collapsed="false">
      <c r="A1247" s="0" t="s">
        <v>1946</v>
      </c>
      <c r="B1247" s="0" t="s">
        <v>134</v>
      </c>
      <c r="C1247" s="0" t="s">
        <v>3450</v>
      </c>
      <c r="D1247" s="0" t="s">
        <v>3448</v>
      </c>
      <c r="E1247" s="20" t="s">
        <v>25</v>
      </c>
      <c r="F1247" s="23" t="s">
        <v>30</v>
      </c>
      <c r="G1247" s="21" t="s">
        <v>283</v>
      </c>
      <c r="H1247" s="21" t="s">
        <v>24</v>
      </c>
      <c r="I1247" s="21" t="s">
        <v>25</v>
      </c>
      <c r="J1247" s="21" t="s">
        <v>24</v>
      </c>
      <c r="K1247" s="21" t="s">
        <v>24</v>
      </c>
      <c r="L1247" s="21" t="s">
        <v>24</v>
      </c>
      <c r="M1247" s="0" t="n">
        <v>187</v>
      </c>
      <c r="N1247" s="0" t="n">
        <v>3</v>
      </c>
      <c r="O1247" s="21" t="s">
        <v>3649</v>
      </c>
      <c r="P1247" s="21" t="s">
        <v>4242</v>
      </c>
      <c r="Q1247" s="0" t="n">
        <v>1</v>
      </c>
      <c r="R1247" s="21" t="s">
        <v>69</v>
      </c>
      <c r="S1247" s="0" t="n">
        <v>3</v>
      </c>
      <c r="T1247" s="21" t="s">
        <v>3649</v>
      </c>
      <c r="U1247" s="22" t="b">
        <f aca="false">TRUE()</f>
        <v>1</v>
      </c>
      <c r="V1247" s="0" t="n">
        <v>0.83</v>
      </c>
      <c r="W1247" s="0" t="n">
        <v>0.16</v>
      </c>
      <c r="X1247" s="0" t="n">
        <v>8.11</v>
      </c>
      <c r="Y1247" s="0" t="n">
        <v>571.04</v>
      </c>
      <c r="Z1247" s="0" t="n">
        <v>9.5</v>
      </c>
      <c r="AA1247" s="0" t="n">
        <v>20.3</v>
      </c>
      <c r="AB1247" s="0" t="n">
        <v>8.35</v>
      </c>
      <c r="AC1247" s="22" t="b">
        <f aca="false">FALSE()</f>
        <v>0</v>
      </c>
      <c r="AD1247" s="0" t="n">
        <v>18.55</v>
      </c>
      <c r="AE1247" s="0" t="n">
        <v>0.88</v>
      </c>
      <c r="AF1247" s="0" t="n">
        <v>13.24</v>
      </c>
      <c r="AG1247" s="22" t="b">
        <f aca="false">TRUE()</f>
        <v>1</v>
      </c>
      <c r="AH1247" s="0" t="n">
        <v>1</v>
      </c>
    </row>
    <row r="1248" customFormat="false" ht="15" hidden="false" customHeight="false" outlineLevel="0" collapsed="false">
      <c r="A1248" s="0" t="s">
        <v>1946</v>
      </c>
      <c r="B1248" s="0" t="s">
        <v>134</v>
      </c>
      <c r="C1248" s="0" t="s">
        <v>3447</v>
      </c>
      <c r="D1248" s="0" t="s">
        <v>3457</v>
      </c>
      <c r="E1248" s="18" t="s">
        <v>24</v>
      </c>
      <c r="F1248" s="18" t="s">
        <v>28</v>
      </c>
      <c r="H1248" s="21" t="s">
        <v>24</v>
      </c>
      <c r="I1248" s="21" t="s">
        <v>24</v>
      </c>
      <c r="J1248" s="21" t="s">
        <v>24</v>
      </c>
      <c r="K1248" s="21" t="s">
        <v>24</v>
      </c>
      <c r="L1248" s="21" t="s">
        <v>24</v>
      </c>
      <c r="M1248" s="0" t="n">
        <v>186</v>
      </c>
      <c r="N1248" s="0" t="n">
        <v>0</v>
      </c>
      <c r="Q1248" s="0" t="n">
        <v>0</v>
      </c>
      <c r="S1248" s="0" t="n">
        <v>0</v>
      </c>
      <c r="U1248" s="22" t="b">
        <f aca="false">FALSE()</f>
        <v>0</v>
      </c>
      <c r="V1248" s="0" t="n">
        <v>0.77</v>
      </c>
      <c r="W1248" s="0" t="n">
        <v>0.84</v>
      </c>
      <c r="X1248" s="0" t="n">
        <v>7.67</v>
      </c>
      <c r="Y1248" s="0" t="n">
        <v>323.19</v>
      </c>
      <c r="Z1248" s="0" t="n">
        <v>8.75</v>
      </c>
      <c r="AA1248" s="0" t="n">
        <v>-0.38</v>
      </c>
      <c r="AB1248" s="0" t="n">
        <v>2.38</v>
      </c>
      <c r="AC1248" s="22" t="b">
        <f aca="false">FALSE()</f>
        <v>0</v>
      </c>
      <c r="AD1248" s="0" t="n">
        <v>6.85</v>
      </c>
      <c r="AE1248" s="0" t="n">
        <v>0.32</v>
      </c>
      <c r="AF1248" s="0" t="n">
        <v>10.53</v>
      </c>
      <c r="AG1248" s="22" t="b">
        <f aca="false">FALSE()</f>
        <v>0</v>
      </c>
      <c r="AH1248" s="0" t="n">
        <v>1</v>
      </c>
    </row>
    <row r="1249" customFormat="false" ht="15" hidden="false" customHeight="false" outlineLevel="0" collapsed="false">
      <c r="A1249" s="0" t="s">
        <v>1946</v>
      </c>
      <c r="B1249" s="0" t="s">
        <v>134</v>
      </c>
      <c r="C1249" s="0" t="s">
        <v>3447</v>
      </c>
      <c r="D1249" s="0" t="s">
        <v>3448</v>
      </c>
      <c r="E1249" s="18" t="s">
        <v>24</v>
      </c>
      <c r="F1249" s="18" t="s">
        <v>28</v>
      </c>
      <c r="H1249" s="21" t="s">
        <v>24</v>
      </c>
      <c r="I1249" s="21" t="s">
        <v>24</v>
      </c>
      <c r="J1249" s="21" t="s">
        <v>24</v>
      </c>
      <c r="K1249" s="21" t="s">
        <v>24</v>
      </c>
      <c r="L1249" s="21" t="s">
        <v>24</v>
      </c>
      <c r="M1249" s="0" t="n">
        <v>188</v>
      </c>
      <c r="N1249" s="0" t="n">
        <v>0</v>
      </c>
      <c r="Q1249" s="0" t="n">
        <v>0</v>
      </c>
      <c r="S1249" s="0" t="n">
        <v>0</v>
      </c>
      <c r="U1249" s="22" t="b">
        <f aca="false">FALSE()</f>
        <v>0</v>
      </c>
      <c r="V1249" s="0" t="n">
        <v>0.73</v>
      </c>
      <c r="W1249" s="0" t="n">
        <v>0.56</v>
      </c>
      <c r="X1249" s="0" t="n">
        <v>8.58</v>
      </c>
      <c r="Y1249" s="0" t="n">
        <v>331.59</v>
      </c>
      <c r="Z1249" s="0" t="n">
        <v>9</v>
      </c>
      <c r="AA1249" s="0" t="n">
        <v>1.28</v>
      </c>
      <c r="AB1249" s="0" t="n">
        <v>8.35</v>
      </c>
      <c r="AC1249" s="22" t="b">
        <f aca="false">FALSE()</f>
        <v>0</v>
      </c>
      <c r="AD1249" s="0" t="n">
        <v>10.45</v>
      </c>
      <c r="AE1249" s="0" t="n">
        <v>0</v>
      </c>
      <c r="AF1249" s="0" t="n">
        <v>6.56</v>
      </c>
      <c r="AG1249" s="22" t="b">
        <f aca="false">TRUE()</f>
        <v>1</v>
      </c>
      <c r="AH1249" s="0" t="n">
        <v>1</v>
      </c>
    </row>
    <row r="1250" customFormat="false" ht="15" hidden="false" customHeight="false" outlineLevel="0" collapsed="false">
      <c r="A1250" s="0" t="s">
        <v>1955</v>
      </c>
      <c r="B1250" s="0" t="s">
        <v>134</v>
      </c>
      <c r="C1250" s="0" t="s">
        <v>3450</v>
      </c>
      <c r="D1250" s="0" t="s">
        <v>3457</v>
      </c>
      <c r="E1250" s="18" t="s">
        <v>24</v>
      </c>
      <c r="F1250" s="18" t="s">
        <v>28</v>
      </c>
      <c r="H1250" s="21" t="s">
        <v>24</v>
      </c>
      <c r="I1250" s="21" t="s">
        <v>24</v>
      </c>
      <c r="J1250" s="21" t="s">
        <v>24</v>
      </c>
      <c r="K1250" s="21" t="s">
        <v>24</v>
      </c>
      <c r="L1250" s="21" t="s">
        <v>24</v>
      </c>
      <c r="M1250" s="0" t="n">
        <v>195</v>
      </c>
      <c r="N1250" s="0" t="n">
        <v>0</v>
      </c>
      <c r="Q1250" s="0" t="n">
        <v>0</v>
      </c>
      <c r="S1250" s="0" t="n">
        <v>0</v>
      </c>
      <c r="U1250" s="22" t="b">
        <f aca="false">FALSE()</f>
        <v>0</v>
      </c>
      <c r="V1250" s="0" t="n">
        <v>0.69</v>
      </c>
      <c r="W1250" s="0" t="n">
        <v>0.92</v>
      </c>
      <c r="X1250" s="0" t="n">
        <v>11.17</v>
      </c>
      <c r="Y1250" s="0" t="n">
        <v>324.19</v>
      </c>
      <c r="Z1250" s="0" t="n">
        <v>11.75</v>
      </c>
      <c r="AA1250" s="0" t="n">
        <v>13.6</v>
      </c>
      <c r="AB1250" s="0" t="n">
        <v>3.55</v>
      </c>
      <c r="AC1250" s="22" t="b">
        <f aca="false">FALSE()</f>
        <v>0</v>
      </c>
      <c r="AD1250" s="0" t="n">
        <v>3.53</v>
      </c>
      <c r="AE1250" s="0" t="n">
        <v>1.33</v>
      </c>
      <c r="AF1250" s="0" t="n">
        <v>1.25</v>
      </c>
      <c r="AG1250" s="22" t="b">
        <f aca="false">FALSE()</f>
        <v>0</v>
      </c>
      <c r="AH1250" s="0" t="n">
        <v>1</v>
      </c>
    </row>
    <row r="1251" customFormat="false" ht="15" hidden="false" customHeight="false" outlineLevel="0" collapsed="false">
      <c r="A1251" s="0" t="s">
        <v>1955</v>
      </c>
      <c r="B1251" s="0" t="s">
        <v>134</v>
      </c>
      <c r="C1251" s="0" t="s">
        <v>3450</v>
      </c>
      <c r="D1251" s="0" t="s">
        <v>3448</v>
      </c>
      <c r="E1251" s="20" t="s">
        <v>25</v>
      </c>
      <c r="F1251" s="20" t="s">
        <v>29</v>
      </c>
      <c r="G1251" s="21" t="s">
        <v>61</v>
      </c>
      <c r="H1251" s="21" t="s">
        <v>24</v>
      </c>
      <c r="I1251" s="21" t="s">
        <v>24</v>
      </c>
      <c r="J1251" s="21" t="s">
        <v>24</v>
      </c>
      <c r="K1251" s="21" t="s">
        <v>25</v>
      </c>
      <c r="L1251" s="21" t="s">
        <v>24</v>
      </c>
      <c r="M1251" s="0" t="n">
        <v>185</v>
      </c>
      <c r="N1251" s="0" t="n">
        <v>0</v>
      </c>
      <c r="Q1251" s="0" t="n">
        <v>0</v>
      </c>
      <c r="S1251" s="0" t="n">
        <v>0</v>
      </c>
      <c r="U1251" s="22" t="b">
        <f aca="false">FALSE()</f>
        <v>0</v>
      </c>
      <c r="V1251" s="0" t="n">
        <v>0.7</v>
      </c>
      <c r="W1251" s="0" t="n">
        <v>0.64</v>
      </c>
      <c r="X1251" s="0" t="n">
        <v>12.55</v>
      </c>
      <c r="Y1251" s="0" t="n">
        <v>322.87</v>
      </c>
      <c r="Z1251" s="0" t="n">
        <v>11.25</v>
      </c>
      <c r="AA1251" s="0" t="n">
        <v>14.39</v>
      </c>
      <c r="AB1251" s="0" t="n">
        <v>7.15</v>
      </c>
      <c r="AC1251" s="22" t="b">
        <f aca="false">FALSE()</f>
        <v>0</v>
      </c>
      <c r="AD1251" s="0" t="n">
        <v>22.71</v>
      </c>
      <c r="AE1251" s="0" t="n">
        <v>0.39</v>
      </c>
      <c r="AF1251" s="0" t="n">
        <v>16.84</v>
      </c>
      <c r="AG1251" s="22" t="b">
        <f aca="false">TRUE()</f>
        <v>1</v>
      </c>
      <c r="AH1251" s="0" t="n">
        <v>1</v>
      </c>
    </row>
    <row r="1252" customFormat="false" ht="15" hidden="false" customHeight="false" outlineLevel="0" collapsed="false">
      <c r="A1252" s="0" t="s">
        <v>1955</v>
      </c>
      <c r="B1252" s="0" t="s">
        <v>134</v>
      </c>
      <c r="C1252" s="0" t="s">
        <v>3447</v>
      </c>
      <c r="D1252" s="0" t="s">
        <v>3457</v>
      </c>
      <c r="E1252" s="19" t="s">
        <v>26</v>
      </c>
      <c r="F1252" s="19" t="s">
        <v>32</v>
      </c>
      <c r="G1252" s="21" t="s">
        <v>529</v>
      </c>
      <c r="H1252" s="21" t="s">
        <v>24</v>
      </c>
      <c r="I1252" s="21" t="s">
        <v>26</v>
      </c>
      <c r="J1252" s="21" t="s">
        <v>24</v>
      </c>
      <c r="K1252" s="21" t="s">
        <v>24</v>
      </c>
      <c r="L1252" s="21" t="s">
        <v>24</v>
      </c>
      <c r="M1252" s="0" t="n">
        <v>184</v>
      </c>
      <c r="N1252" s="0" t="n">
        <v>11</v>
      </c>
      <c r="O1252" s="21" t="s">
        <v>4078</v>
      </c>
      <c r="P1252" s="21" t="s">
        <v>4567</v>
      </c>
      <c r="Q1252" s="0" t="n">
        <v>1</v>
      </c>
      <c r="R1252" s="21" t="s">
        <v>69</v>
      </c>
      <c r="S1252" s="0" t="n">
        <v>11</v>
      </c>
      <c r="T1252" s="21" t="s">
        <v>4078</v>
      </c>
      <c r="U1252" s="22" t="b">
        <f aca="false">FALSE()</f>
        <v>0</v>
      </c>
      <c r="V1252" s="0" t="n">
        <v>0.72</v>
      </c>
      <c r="W1252" s="0" t="n">
        <v>0.48</v>
      </c>
      <c r="X1252" s="0" t="n">
        <v>11.18</v>
      </c>
      <c r="Y1252" s="0" t="n">
        <v>331.68</v>
      </c>
      <c r="Z1252" s="0" t="n">
        <v>11.25</v>
      </c>
      <c r="AA1252" s="0" t="n">
        <v>2.79</v>
      </c>
      <c r="AB1252" s="0" t="n">
        <v>3.55</v>
      </c>
      <c r="AC1252" s="22" t="b">
        <f aca="false">FALSE()</f>
        <v>0</v>
      </c>
      <c r="AD1252" s="0" t="n">
        <v>5.4</v>
      </c>
      <c r="AE1252" s="0" t="n">
        <v>0.43</v>
      </c>
      <c r="AF1252" s="0" t="n">
        <v>0.49</v>
      </c>
      <c r="AG1252" s="22" t="b">
        <f aca="false">FALSE()</f>
        <v>0</v>
      </c>
      <c r="AH1252" s="0" t="n">
        <v>1</v>
      </c>
    </row>
    <row r="1253" customFormat="false" ht="15" hidden="false" customHeight="false" outlineLevel="0" collapsed="false">
      <c r="A1253" s="0" t="s">
        <v>1955</v>
      </c>
      <c r="B1253" s="0" t="s">
        <v>134</v>
      </c>
      <c r="C1253" s="0" t="s">
        <v>3447</v>
      </c>
      <c r="D1253" s="0" t="s">
        <v>3448</v>
      </c>
      <c r="E1253" s="19" t="s">
        <v>26</v>
      </c>
      <c r="F1253" s="19" t="s">
        <v>32</v>
      </c>
      <c r="G1253" s="21" t="s">
        <v>1926</v>
      </c>
      <c r="H1253" s="21" t="s">
        <v>24</v>
      </c>
      <c r="I1253" s="21" t="s">
        <v>26</v>
      </c>
      <c r="J1253" s="21" t="s">
        <v>24</v>
      </c>
      <c r="K1253" s="21" t="s">
        <v>25</v>
      </c>
      <c r="L1253" s="21" t="s">
        <v>24</v>
      </c>
      <c r="M1253" s="0" t="n">
        <v>187</v>
      </c>
      <c r="N1253" s="0" t="n">
        <v>9</v>
      </c>
      <c r="O1253" s="21" t="s">
        <v>4030</v>
      </c>
      <c r="P1253" s="21" t="s">
        <v>4287</v>
      </c>
      <c r="Q1253" s="0" t="n">
        <v>1</v>
      </c>
      <c r="R1253" s="21" t="s">
        <v>69</v>
      </c>
      <c r="S1253" s="0" t="n">
        <v>9</v>
      </c>
      <c r="T1253" s="21" t="s">
        <v>4030</v>
      </c>
      <c r="U1253" s="22" t="b">
        <f aca="false">FALSE()</f>
        <v>0</v>
      </c>
      <c r="V1253" s="0" t="n">
        <v>0.71</v>
      </c>
      <c r="W1253" s="0" t="n">
        <v>0.52</v>
      </c>
      <c r="X1253" s="0" t="n">
        <v>12.8</v>
      </c>
      <c r="Y1253" s="0" t="n">
        <v>334.01</v>
      </c>
      <c r="Z1253" s="0" t="n">
        <v>11.25</v>
      </c>
      <c r="AA1253" s="0" t="n">
        <v>6.13</v>
      </c>
      <c r="AB1253" s="0" t="n">
        <v>7.15</v>
      </c>
      <c r="AC1253" s="22" t="b">
        <f aca="false">FALSE()</f>
        <v>0</v>
      </c>
      <c r="AD1253" s="0" t="n">
        <v>21.91</v>
      </c>
      <c r="AE1253" s="0" t="n">
        <v>2.36</v>
      </c>
      <c r="AF1253" s="0" t="n">
        <v>15.52</v>
      </c>
      <c r="AG1253" s="22" t="b">
        <f aca="false">TRUE()</f>
        <v>1</v>
      </c>
      <c r="AH1253" s="0" t="n">
        <v>1</v>
      </c>
    </row>
    <row r="1254" customFormat="false" ht="15" hidden="false" customHeight="false" outlineLevel="0" collapsed="false">
      <c r="A1254" s="0" t="s">
        <v>1955</v>
      </c>
      <c r="B1254" s="0" t="s">
        <v>3459</v>
      </c>
      <c r="C1254" s="0" t="s">
        <v>3450</v>
      </c>
      <c r="D1254" s="0" t="s">
        <v>3457</v>
      </c>
      <c r="E1254" s="18" t="s">
        <v>24</v>
      </c>
      <c r="F1254" s="18" t="s">
        <v>28</v>
      </c>
      <c r="H1254" s="21" t="s">
        <v>24</v>
      </c>
      <c r="I1254" s="21" t="s">
        <v>24</v>
      </c>
      <c r="J1254" s="21" t="s">
        <v>24</v>
      </c>
      <c r="K1254" s="21" t="s">
        <v>24</v>
      </c>
      <c r="L1254" s="21" t="s">
        <v>24</v>
      </c>
      <c r="M1254" s="0" t="n">
        <v>184</v>
      </c>
      <c r="N1254" s="0" t="n">
        <v>0</v>
      </c>
      <c r="Q1254" s="0" t="n">
        <v>0</v>
      </c>
      <c r="S1254" s="0" t="n">
        <v>0</v>
      </c>
      <c r="U1254" s="22" t="b">
        <f aca="false">FALSE()</f>
        <v>0</v>
      </c>
      <c r="V1254" s="0" t="n">
        <v>0.71</v>
      </c>
      <c r="W1254" s="0" t="n">
        <v>0.96</v>
      </c>
      <c r="X1254" s="0" t="n">
        <v>11.93</v>
      </c>
      <c r="Y1254" s="0" t="n">
        <v>257.36</v>
      </c>
      <c r="Z1254" s="0" t="n">
        <v>12</v>
      </c>
      <c r="AA1254" s="0" t="n">
        <v>8.35</v>
      </c>
      <c r="AB1254" s="0" t="n">
        <v>6.85</v>
      </c>
      <c r="AC1254" s="22" t="b">
        <f aca="false">FALSE()</f>
        <v>0</v>
      </c>
      <c r="AD1254" s="0" t="n">
        <v>14.72</v>
      </c>
      <c r="AE1254" s="0" t="n">
        <v>3.51</v>
      </c>
      <c r="AF1254" s="0" t="n">
        <v>6.85</v>
      </c>
      <c r="AG1254" s="22" t="b">
        <f aca="false">TRUE()</f>
        <v>1</v>
      </c>
      <c r="AH1254" s="0" t="n">
        <v>1</v>
      </c>
    </row>
    <row r="1255" customFormat="false" ht="15" hidden="false" customHeight="false" outlineLevel="0" collapsed="false">
      <c r="A1255" s="0" t="s">
        <v>1955</v>
      </c>
      <c r="B1255" s="0" t="s">
        <v>3459</v>
      </c>
      <c r="C1255" s="0" t="s">
        <v>3450</v>
      </c>
      <c r="D1255" s="0" t="s">
        <v>3448</v>
      </c>
      <c r="E1255" s="20" t="s">
        <v>25</v>
      </c>
      <c r="F1255" s="23" t="s">
        <v>30</v>
      </c>
      <c r="G1255" s="21" t="s">
        <v>283</v>
      </c>
      <c r="H1255" s="21" t="s">
        <v>24</v>
      </c>
      <c r="I1255" s="21" t="s">
        <v>25</v>
      </c>
      <c r="J1255" s="21" t="s">
        <v>24</v>
      </c>
      <c r="K1255" s="21" t="s">
        <v>24</v>
      </c>
      <c r="L1255" s="21" t="s">
        <v>24</v>
      </c>
      <c r="M1255" s="0" t="n">
        <v>189</v>
      </c>
      <c r="N1255" s="0" t="n">
        <v>1</v>
      </c>
      <c r="O1255" s="21" t="s">
        <v>70</v>
      </c>
      <c r="P1255" s="21" t="s">
        <v>4378</v>
      </c>
      <c r="Q1255" s="0" t="n">
        <v>1</v>
      </c>
      <c r="R1255" s="21" t="s">
        <v>70</v>
      </c>
      <c r="S1255" s="0" t="n">
        <v>1</v>
      </c>
      <c r="T1255" s="21" t="s">
        <v>70</v>
      </c>
      <c r="U1255" s="22" t="b">
        <f aca="false">TRUE()</f>
        <v>1</v>
      </c>
      <c r="V1255" s="0" t="n">
        <v>0.71</v>
      </c>
      <c r="W1255" s="0" t="n">
        <v>0.76</v>
      </c>
      <c r="X1255" s="0" t="n">
        <v>11.07</v>
      </c>
      <c r="Y1255" s="0" t="n">
        <v>325.72</v>
      </c>
      <c r="Z1255" s="0" t="n">
        <v>11.5</v>
      </c>
      <c r="AA1255" s="0" t="n">
        <v>12.24</v>
      </c>
      <c r="AB1255" s="0" t="n">
        <v>2.59</v>
      </c>
      <c r="AC1255" s="22" t="b">
        <f aca="false">FALSE()</f>
        <v>0</v>
      </c>
      <c r="AD1255" s="0" t="n">
        <v>19.3</v>
      </c>
      <c r="AE1255" s="0" t="n">
        <v>7.19</v>
      </c>
      <c r="AF1255" s="0" t="n">
        <v>14.88</v>
      </c>
      <c r="AG1255" s="22" t="b">
        <f aca="false">TRUE()</f>
        <v>1</v>
      </c>
      <c r="AH1255" s="0" t="n">
        <v>1</v>
      </c>
    </row>
    <row r="1256" customFormat="false" ht="15" hidden="false" customHeight="false" outlineLevel="0" collapsed="false">
      <c r="A1256" s="0" t="s">
        <v>1955</v>
      </c>
      <c r="B1256" s="0" t="s">
        <v>3459</v>
      </c>
      <c r="C1256" s="0" t="s">
        <v>3447</v>
      </c>
      <c r="D1256" s="0" t="s">
        <v>3457</v>
      </c>
      <c r="E1256" s="18" t="s">
        <v>24</v>
      </c>
      <c r="F1256" s="23" t="s">
        <v>30</v>
      </c>
      <c r="G1256" s="21" t="s">
        <v>30</v>
      </c>
      <c r="H1256" s="21" t="s">
        <v>24</v>
      </c>
      <c r="I1256" s="21" t="s">
        <v>24</v>
      </c>
      <c r="J1256" s="21" t="s">
        <v>24</v>
      </c>
      <c r="K1256" s="21" t="s">
        <v>24</v>
      </c>
      <c r="L1256" s="21" t="s">
        <v>24</v>
      </c>
      <c r="M1256" s="0" t="n">
        <v>183</v>
      </c>
      <c r="N1256" s="0" t="n">
        <v>1</v>
      </c>
      <c r="O1256" s="21" t="s">
        <v>3481</v>
      </c>
      <c r="P1256" s="21" t="s">
        <v>4251</v>
      </c>
      <c r="Q1256" s="0" t="n">
        <v>0</v>
      </c>
      <c r="S1256" s="0" t="n">
        <v>1</v>
      </c>
      <c r="T1256" s="21" t="s">
        <v>3481</v>
      </c>
      <c r="U1256" s="22" t="b">
        <f aca="false">TRUE()</f>
        <v>1</v>
      </c>
      <c r="V1256" s="0" t="n">
        <v>0.78</v>
      </c>
      <c r="W1256" s="0" t="n">
        <v>0.28</v>
      </c>
      <c r="X1256" s="0" t="n">
        <v>11.35</v>
      </c>
      <c r="Y1256" s="0" t="n">
        <v>380.61</v>
      </c>
      <c r="Z1256" s="0" t="n">
        <v>11.25</v>
      </c>
      <c r="AA1256" s="0" t="n">
        <v>3.05</v>
      </c>
      <c r="AB1256" s="0" t="n">
        <v>6.85</v>
      </c>
      <c r="AC1256" s="22" t="b">
        <f aca="false">FALSE()</f>
        <v>0</v>
      </c>
      <c r="AD1256" s="0" t="n">
        <v>17.19</v>
      </c>
      <c r="AE1256" s="0" t="n">
        <v>4.27</v>
      </c>
      <c r="AF1256" s="0" t="n">
        <v>8.67</v>
      </c>
      <c r="AG1256" s="22" t="b">
        <f aca="false">TRUE()</f>
        <v>1</v>
      </c>
      <c r="AH1256" s="0" t="n">
        <v>1</v>
      </c>
    </row>
    <row r="1257" customFormat="false" ht="15" hidden="false" customHeight="false" outlineLevel="0" collapsed="false">
      <c r="A1257" s="0" t="s">
        <v>1955</v>
      </c>
      <c r="B1257" s="0" t="s">
        <v>3459</v>
      </c>
      <c r="C1257" s="0" t="s">
        <v>3447</v>
      </c>
      <c r="D1257" s="0" t="s">
        <v>3448</v>
      </c>
      <c r="E1257" s="19" t="s">
        <v>26</v>
      </c>
      <c r="F1257" s="19" t="s">
        <v>32</v>
      </c>
      <c r="G1257" s="21" t="s">
        <v>529</v>
      </c>
      <c r="H1257" s="21" t="s">
        <v>24</v>
      </c>
      <c r="I1257" s="21" t="s">
        <v>26</v>
      </c>
      <c r="J1257" s="21" t="s">
        <v>24</v>
      </c>
      <c r="K1257" s="21" t="s">
        <v>24</v>
      </c>
      <c r="L1257" s="21" t="s">
        <v>24</v>
      </c>
      <c r="M1257" s="0" t="n">
        <v>183</v>
      </c>
      <c r="N1257" s="0" t="n">
        <v>8</v>
      </c>
      <c r="O1257" s="21" t="s">
        <v>4053</v>
      </c>
      <c r="P1257" s="21" t="s">
        <v>4682</v>
      </c>
      <c r="Q1257" s="0" t="n">
        <v>1</v>
      </c>
      <c r="R1257" s="21" t="s">
        <v>69</v>
      </c>
      <c r="S1257" s="0" t="n">
        <v>8</v>
      </c>
      <c r="T1257" s="21" t="s">
        <v>4053</v>
      </c>
      <c r="U1257" s="22" t="b">
        <f aca="false">FALSE()</f>
        <v>0</v>
      </c>
      <c r="V1257" s="0" t="n">
        <v>0.78</v>
      </c>
      <c r="W1257" s="0" t="n">
        <v>0.2</v>
      </c>
      <c r="X1257" s="0" t="n">
        <v>12.24</v>
      </c>
      <c r="Y1257" s="0" t="n">
        <v>489.84</v>
      </c>
      <c r="Z1257" s="0" t="n">
        <v>11.5</v>
      </c>
      <c r="AA1257" s="0" t="n">
        <v>8.52</v>
      </c>
      <c r="AB1257" s="0" t="n">
        <v>2.59</v>
      </c>
      <c r="AC1257" s="22" t="b">
        <f aca="false">FALSE()</f>
        <v>0</v>
      </c>
      <c r="AD1257" s="0" t="n">
        <v>17.75</v>
      </c>
      <c r="AE1257" s="0" t="n">
        <v>5.26</v>
      </c>
      <c r="AF1257" s="0" t="n">
        <v>12.06</v>
      </c>
      <c r="AG1257" s="22" t="b">
        <f aca="false">TRUE()</f>
        <v>1</v>
      </c>
      <c r="AH1257" s="0" t="n">
        <v>1</v>
      </c>
    </row>
    <row r="1258" customFormat="false" ht="15" hidden="false" customHeight="false" outlineLevel="0" collapsed="false">
      <c r="A1258" s="0" t="s">
        <v>1961</v>
      </c>
      <c r="B1258" s="0" t="s">
        <v>134</v>
      </c>
      <c r="C1258" s="0" t="s">
        <v>3450</v>
      </c>
      <c r="D1258" s="0" t="s">
        <v>3457</v>
      </c>
      <c r="E1258" s="19" t="s">
        <v>26</v>
      </c>
      <c r="F1258" s="19" t="s">
        <v>32</v>
      </c>
      <c r="G1258" s="21" t="s">
        <v>65</v>
      </c>
      <c r="H1258" s="21" t="s">
        <v>24</v>
      </c>
      <c r="I1258" s="21" t="s">
        <v>26</v>
      </c>
      <c r="J1258" s="21" t="s">
        <v>24</v>
      </c>
      <c r="K1258" s="21" t="s">
        <v>24</v>
      </c>
      <c r="L1258" s="21" t="s">
        <v>24</v>
      </c>
      <c r="M1258" s="0" t="n">
        <v>182</v>
      </c>
      <c r="N1258" s="0" t="n">
        <v>2</v>
      </c>
      <c r="O1258" s="21" t="s">
        <v>3871</v>
      </c>
      <c r="P1258" s="21" t="s">
        <v>4245</v>
      </c>
      <c r="Q1258" s="0" t="n">
        <v>2</v>
      </c>
      <c r="R1258" s="21" t="s">
        <v>3871</v>
      </c>
      <c r="S1258" s="0" t="n">
        <v>2</v>
      </c>
      <c r="T1258" s="21" t="s">
        <v>3871</v>
      </c>
      <c r="U1258" s="22" t="b">
        <f aca="false">FALSE()</f>
        <v>0</v>
      </c>
      <c r="V1258" s="0" t="n">
        <v>0.64</v>
      </c>
      <c r="W1258" s="0" t="n">
        <v>0.2</v>
      </c>
      <c r="X1258" s="0" t="n">
        <v>4.78</v>
      </c>
      <c r="Y1258" s="0" t="n">
        <v>494.79</v>
      </c>
      <c r="Z1258" s="0" t="n">
        <v>10.25</v>
      </c>
      <c r="AA1258" s="0" t="n">
        <v>7.65</v>
      </c>
      <c r="AB1258" s="0" t="n">
        <v>2.68</v>
      </c>
      <c r="AC1258" s="22" t="b">
        <f aca="false">FALSE()</f>
        <v>0</v>
      </c>
      <c r="AD1258" s="0" t="n">
        <v>14.82</v>
      </c>
      <c r="AE1258" s="0" t="n">
        <v>1.02</v>
      </c>
      <c r="AF1258" s="0" t="n">
        <v>11.07</v>
      </c>
      <c r="AG1258" s="22" t="b">
        <f aca="false">TRUE()</f>
        <v>1</v>
      </c>
      <c r="AH1258" s="0" t="n">
        <v>1</v>
      </c>
    </row>
    <row r="1259" customFormat="false" ht="15" hidden="false" customHeight="false" outlineLevel="0" collapsed="false">
      <c r="A1259" s="0" t="s">
        <v>1961</v>
      </c>
      <c r="B1259" s="0" t="s">
        <v>134</v>
      </c>
      <c r="C1259" s="0" t="s">
        <v>3450</v>
      </c>
      <c r="D1259" s="0" t="s">
        <v>3448</v>
      </c>
      <c r="E1259" s="20" t="s">
        <v>25</v>
      </c>
      <c r="F1259" s="23" t="s">
        <v>30</v>
      </c>
      <c r="G1259" s="21" t="s">
        <v>1230</v>
      </c>
      <c r="H1259" s="21" t="s">
        <v>24</v>
      </c>
      <c r="I1259" s="21" t="s">
        <v>25</v>
      </c>
      <c r="J1259" s="21" t="s">
        <v>24</v>
      </c>
      <c r="K1259" s="21" t="s">
        <v>25</v>
      </c>
      <c r="L1259" s="21" t="s">
        <v>24</v>
      </c>
      <c r="M1259" s="0" t="n">
        <v>186</v>
      </c>
      <c r="N1259" s="0" t="n">
        <v>1</v>
      </c>
      <c r="O1259" s="21" t="s">
        <v>69</v>
      </c>
      <c r="P1259" s="21" t="s">
        <v>4275</v>
      </c>
      <c r="Q1259" s="0" t="n">
        <v>1</v>
      </c>
      <c r="R1259" s="21" t="s">
        <v>69</v>
      </c>
      <c r="S1259" s="0" t="n">
        <v>1</v>
      </c>
      <c r="T1259" s="21" t="s">
        <v>69</v>
      </c>
      <c r="U1259" s="22" t="b">
        <f aca="false">TRUE()</f>
        <v>1</v>
      </c>
      <c r="V1259" s="0" t="n">
        <v>0.7</v>
      </c>
      <c r="W1259" s="0" t="n">
        <v>0.2</v>
      </c>
      <c r="X1259" s="0" t="n">
        <v>3.94</v>
      </c>
      <c r="Y1259" s="0" t="n">
        <v>518.83</v>
      </c>
      <c r="Z1259" s="0" t="n">
        <v>9.5</v>
      </c>
      <c r="AA1259" s="0" t="n">
        <v>2.13</v>
      </c>
      <c r="AB1259" s="0" t="n">
        <v>2.03</v>
      </c>
      <c r="AC1259" s="22" t="b">
        <f aca="false">FALSE()</f>
        <v>0</v>
      </c>
      <c r="AD1259" s="0" t="n">
        <v>14.67</v>
      </c>
      <c r="AE1259" s="0" t="n">
        <v>0.52</v>
      </c>
      <c r="AF1259" s="0" t="n">
        <v>6.7</v>
      </c>
      <c r="AG1259" s="22" t="b">
        <f aca="false">TRUE()</f>
        <v>1</v>
      </c>
      <c r="AH1259" s="0" t="n">
        <v>1</v>
      </c>
    </row>
    <row r="1260" customFormat="false" ht="15" hidden="false" customHeight="false" outlineLevel="0" collapsed="false">
      <c r="A1260" s="0" t="s">
        <v>1961</v>
      </c>
      <c r="B1260" s="0" t="s">
        <v>134</v>
      </c>
      <c r="C1260" s="0" t="s">
        <v>3447</v>
      </c>
      <c r="D1260" s="0" t="s">
        <v>3457</v>
      </c>
      <c r="E1260" s="18" t="s">
        <v>24</v>
      </c>
      <c r="F1260" s="23" t="s">
        <v>30</v>
      </c>
      <c r="G1260" s="21" t="s">
        <v>30</v>
      </c>
      <c r="H1260" s="21" t="s">
        <v>24</v>
      </c>
      <c r="I1260" s="21" t="s">
        <v>24</v>
      </c>
      <c r="J1260" s="21" t="s">
        <v>24</v>
      </c>
      <c r="K1260" s="21" t="s">
        <v>24</v>
      </c>
      <c r="L1260" s="21" t="s">
        <v>24</v>
      </c>
      <c r="M1260" s="0" t="n">
        <v>182</v>
      </c>
      <c r="N1260" s="0" t="n">
        <v>4</v>
      </c>
      <c r="O1260" s="21" t="s">
        <v>3648</v>
      </c>
      <c r="P1260" s="21" t="s">
        <v>4269</v>
      </c>
      <c r="Q1260" s="0" t="n">
        <v>0</v>
      </c>
      <c r="S1260" s="0" t="n">
        <v>4</v>
      </c>
      <c r="T1260" s="21" t="s">
        <v>3648</v>
      </c>
      <c r="U1260" s="22" t="b">
        <f aca="false">TRUE()</f>
        <v>1</v>
      </c>
      <c r="V1260" s="0" t="n">
        <v>0.73</v>
      </c>
      <c r="W1260" s="0" t="n">
        <v>0.2</v>
      </c>
      <c r="X1260" s="0" t="n">
        <v>6.55</v>
      </c>
      <c r="Y1260" s="0" t="n">
        <v>498.59</v>
      </c>
      <c r="Z1260" s="0" t="n">
        <v>8</v>
      </c>
      <c r="AA1260" s="0" t="n">
        <v>-1.16</v>
      </c>
      <c r="AB1260" s="0" t="n">
        <v>2.68</v>
      </c>
      <c r="AC1260" s="22" t="b">
        <f aca="false">FALSE()</f>
        <v>0</v>
      </c>
      <c r="AD1260" s="0" t="n">
        <v>10.07</v>
      </c>
      <c r="AE1260" s="0" t="n">
        <v>0.93</v>
      </c>
      <c r="AF1260" s="0" t="n">
        <v>3.84</v>
      </c>
      <c r="AG1260" s="22" t="b">
        <f aca="false">TRUE()</f>
        <v>1</v>
      </c>
      <c r="AH1260" s="0" t="n">
        <v>1</v>
      </c>
    </row>
    <row r="1261" customFormat="false" ht="15" hidden="false" customHeight="false" outlineLevel="0" collapsed="false">
      <c r="A1261" s="0" t="s">
        <v>1961</v>
      </c>
      <c r="B1261" s="0" t="s">
        <v>134</v>
      </c>
      <c r="C1261" s="0" t="s">
        <v>3447</v>
      </c>
      <c r="D1261" s="0" t="s">
        <v>3448</v>
      </c>
      <c r="E1261" s="18" t="s">
        <v>24</v>
      </c>
      <c r="F1261" s="23" t="s">
        <v>30</v>
      </c>
      <c r="G1261" s="21" t="s">
        <v>30</v>
      </c>
      <c r="H1261" s="21" t="s">
        <v>24</v>
      </c>
      <c r="I1261" s="21" t="s">
        <v>24</v>
      </c>
      <c r="J1261" s="21" t="s">
        <v>24</v>
      </c>
      <c r="K1261" s="21" t="s">
        <v>24</v>
      </c>
      <c r="L1261" s="21" t="s">
        <v>24</v>
      </c>
      <c r="M1261" s="0" t="n">
        <v>183</v>
      </c>
      <c r="N1261" s="0" t="n">
        <v>1</v>
      </c>
      <c r="O1261" s="21" t="s">
        <v>3476</v>
      </c>
      <c r="P1261" s="21" t="s">
        <v>4228</v>
      </c>
      <c r="Q1261" s="0" t="n">
        <v>0</v>
      </c>
      <c r="S1261" s="0" t="n">
        <v>1</v>
      </c>
      <c r="T1261" s="21" t="s">
        <v>3476</v>
      </c>
      <c r="U1261" s="22" t="b">
        <f aca="false">TRUE()</f>
        <v>1</v>
      </c>
      <c r="V1261" s="0" t="n">
        <v>0.82</v>
      </c>
      <c r="W1261" s="0" t="n">
        <v>0.6</v>
      </c>
      <c r="X1261" s="0" t="n">
        <v>8.42</v>
      </c>
      <c r="Y1261" s="0" t="n">
        <v>321.04</v>
      </c>
      <c r="Z1261" s="0" t="n">
        <v>8</v>
      </c>
      <c r="AA1261" s="0" t="n">
        <v>-0.88</v>
      </c>
      <c r="AB1261" s="0" t="n">
        <v>2.03</v>
      </c>
      <c r="AC1261" s="22" t="b">
        <f aca="false">FALSE()</f>
        <v>0</v>
      </c>
      <c r="AD1261" s="0" t="n">
        <v>4.68</v>
      </c>
      <c r="AE1261" s="0" t="n">
        <v>0.89</v>
      </c>
      <c r="AF1261" s="0" t="n">
        <v>0.9</v>
      </c>
      <c r="AG1261" s="22" t="b">
        <f aca="false">FALSE()</f>
        <v>0</v>
      </c>
      <c r="AH1261" s="0" t="n">
        <v>1</v>
      </c>
    </row>
    <row r="1262" customFormat="false" ht="15" hidden="false" customHeight="false" outlineLevel="0" collapsed="false">
      <c r="A1262" s="0" t="s">
        <v>1968</v>
      </c>
      <c r="B1262" s="0" t="s">
        <v>134</v>
      </c>
      <c r="C1262" s="0" t="s">
        <v>3450</v>
      </c>
      <c r="D1262" s="0" t="s">
        <v>3457</v>
      </c>
      <c r="E1262" s="20" t="s">
        <v>25</v>
      </c>
      <c r="F1262" s="23" t="s">
        <v>30</v>
      </c>
      <c r="G1262" s="21" t="s">
        <v>283</v>
      </c>
      <c r="H1262" s="21" t="s">
        <v>24</v>
      </c>
      <c r="I1262" s="21" t="s">
        <v>25</v>
      </c>
      <c r="J1262" s="21" t="s">
        <v>24</v>
      </c>
      <c r="K1262" s="21" t="s">
        <v>24</v>
      </c>
      <c r="L1262" s="21" t="s">
        <v>24</v>
      </c>
      <c r="M1262" s="0" t="n">
        <v>184</v>
      </c>
      <c r="N1262" s="0" t="n">
        <v>2</v>
      </c>
      <c r="O1262" s="21" t="s">
        <v>3639</v>
      </c>
      <c r="P1262" s="21" t="s">
        <v>4231</v>
      </c>
      <c r="Q1262" s="0" t="n">
        <v>1</v>
      </c>
      <c r="R1262" s="21" t="s">
        <v>70</v>
      </c>
      <c r="S1262" s="0" t="n">
        <v>2</v>
      </c>
      <c r="T1262" s="21" t="s">
        <v>3639</v>
      </c>
      <c r="U1262" s="22" t="b">
        <f aca="false">TRUE()</f>
        <v>1</v>
      </c>
      <c r="V1262" s="0" t="n">
        <v>0.57</v>
      </c>
      <c r="W1262" s="0" t="n">
        <v>0.32</v>
      </c>
      <c r="X1262" s="0" t="n">
        <v>6.28</v>
      </c>
      <c r="Y1262" s="0" t="n">
        <v>398.29</v>
      </c>
      <c r="Z1262" s="0" t="n">
        <v>10.75</v>
      </c>
      <c r="AA1262" s="0" t="n">
        <v>9.76</v>
      </c>
      <c r="AB1262" s="0" t="n">
        <v>1.62</v>
      </c>
      <c r="AC1262" s="22" t="b">
        <f aca="false">FALSE()</f>
        <v>0</v>
      </c>
      <c r="AD1262" s="0" t="n">
        <v>17.44</v>
      </c>
      <c r="AE1262" s="0" t="n">
        <v>0.63</v>
      </c>
      <c r="AF1262" s="0" t="n">
        <v>18.35</v>
      </c>
      <c r="AG1262" s="22" t="b">
        <f aca="false">TRUE()</f>
        <v>1</v>
      </c>
      <c r="AH1262" s="0" t="n">
        <v>1</v>
      </c>
    </row>
    <row r="1263" customFormat="false" ht="15" hidden="false" customHeight="false" outlineLevel="0" collapsed="false">
      <c r="A1263" s="0" t="s">
        <v>1968</v>
      </c>
      <c r="B1263" s="0" t="s">
        <v>134</v>
      </c>
      <c r="C1263" s="0" t="s">
        <v>3450</v>
      </c>
      <c r="D1263" s="0" t="s">
        <v>3448</v>
      </c>
      <c r="E1263" s="18" t="s">
        <v>24</v>
      </c>
      <c r="F1263" s="23" t="s">
        <v>30</v>
      </c>
      <c r="G1263" s="21" t="s">
        <v>30</v>
      </c>
      <c r="H1263" s="21" t="s">
        <v>24</v>
      </c>
      <c r="I1263" s="21" t="s">
        <v>24</v>
      </c>
      <c r="J1263" s="21" t="s">
        <v>24</v>
      </c>
      <c r="K1263" s="21" t="s">
        <v>24</v>
      </c>
      <c r="L1263" s="21" t="s">
        <v>24</v>
      </c>
      <c r="M1263" s="0" t="n">
        <v>193</v>
      </c>
      <c r="N1263" s="0" t="n">
        <v>2</v>
      </c>
      <c r="O1263" s="21" t="s">
        <v>3524</v>
      </c>
      <c r="P1263" s="21" t="s">
        <v>4550</v>
      </c>
      <c r="Q1263" s="0" t="n">
        <v>0</v>
      </c>
      <c r="S1263" s="0" t="n">
        <v>2</v>
      </c>
      <c r="T1263" s="21" t="s">
        <v>3524</v>
      </c>
      <c r="U1263" s="22" t="b">
        <f aca="false">TRUE()</f>
        <v>1</v>
      </c>
      <c r="V1263" s="0" t="n">
        <v>0.61</v>
      </c>
      <c r="W1263" s="0" t="n">
        <v>0</v>
      </c>
      <c r="X1263" s="0" t="n">
        <v>6.48</v>
      </c>
      <c r="Y1263" s="0" t="n">
        <v>727.77</v>
      </c>
      <c r="Z1263" s="0" t="n">
        <v>10.5</v>
      </c>
      <c r="AA1263" s="0" t="n">
        <v>7.19</v>
      </c>
      <c r="AB1263" s="0" t="n">
        <v>2.58</v>
      </c>
      <c r="AC1263" s="22" t="b">
        <f aca="false">FALSE()</f>
        <v>0</v>
      </c>
      <c r="AD1263" s="0" t="n">
        <v>10.59</v>
      </c>
      <c r="AE1263" s="0" t="n">
        <v>0.47</v>
      </c>
      <c r="AF1263" s="0" t="n">
        <v>14.46</v>
      </c>
      <c r="AG1263" s="22" t="b">
        <f aca="false">TRUE()</f>
        <v>1</v>
      </c>
      <c r="AH1263" s="0" t="n">
        <v>1</v>
      </c>
    </row>
    <row r="1264" customFormat="false" ht="15" hidden="false" customHeight="false" outlineLevel="0" collapsed="false">
      <c r="A1264" s="0" t="s">
        <v>1968</v>
      </c>
      <c r="B1264" s="0" t="s">
        <v>134</v>
      </c>
      <c r="C1264" s="0" t="s">
        <v>3447</v>
      </c>
      <c r="D1264" s="0" t="s">
        <v>3457</v>
      </c>
      <c r="E1264" s="18" t="s">
        <v>24</v>
      </c>
      <c r="F1264" s="23" t="s">
        <v>30</v>
      </c>
      <c r="G1264" s="21" t="s">
        <v>30</v>
      </c>
      <c r="H1264" s="21" t="s">
        <v>24</v>
      </c>
      <c r="I1264" s="21" t="s">
        <v>24</v>
      </c>
      <c r="J1264" s="21" t="s">
        <v>24</v>
      </c>
      <c r="K1264" s="21" t="s">
        <v>24</v>
      </c>
      <c r="L1264" s="21" t="s">
        <v>24</v>
      </c>
      <c r="M1264" s="0" t="n">
        <v>184</v>
      </c>
      <c r="N1264" s="0" t="n">
        <v>1</v>
      </c>
      <c r="O1264" s="21" t="s">
        <v>3474</v>
      </c>
      <c r="P1264" s="21" t="s">
        <v>4272</v>
      </c>
      <c r="Q1264" s="0" t="n">
        <v>0</v>
      </c>
      <c r="S1264" s="0" t="n">
        <v>1</v>
      </c>
      <c r="T1264" s="21" t="s">
        <v>3474</v>
      </c>
      <c r="U1264" s="22" t="b">
        <f aca="false">TRUE()</f>
        <v>1</v>
      </c>
      <c r="V1264" s="0" t="n">
        <v>0.58</v>
      </c>
      <c r="W1264" s="0" t="n">
        <v>0.64</v>
      </c>
      <c r="X1264" s="0" t="n">
        <v>5.88</v>
      </c>
      <c r="Y1264" s="0" t="n">
        <v>319.89</v>
      </c>
      <c r="Z1264" s="0" t="n">
        <v>8.17</v>
      </c>
      <c r="AA1264" s="0" t="n">
        <v>-1.44</v>
      </c>
      <c r="AB1264" s="0" t="n">
        <v>1.62</v>
      </c>
      <c r="AC1264" s="22" t="b">
        <f aca="false">FALSE()</f>
        <v>0</v>
      </c>
      <c r="AD1264" s="0" t="n">
        <v>11.13</v>
      </c>
      <c r="AE1264" s="0" t="n">
        <v>0.49</v>
      </c>
      <c r="AF1264" s="0" t="n">
        <v>13.74</v>
      </c>
      <c r="AG1264" s="22" t="b">
        <f aca="false">TRUE()</f>
        <v>1</v>
      </c>
      <c r="AH1264" s="0" t="n">
        <v>1</v>
      </c>
    </row>
    <row r="1265" customFormat="false" ht="15" hidden="false" customHeight="false" outlineLevel="0" collapsed="false">
      <c r="A1265" s="0" t="s">
        <v>1968</v>
      </c>
      <c r="B1265" s="0" t="s">
        <v>134</v>
      </c>
      <c r="C1265" s="0" t="s">
        <v>3447</v>
      </c>
      <c r="D1265" s="0" t="s">
        <v>3448</v>
      </c>
      <c r="E1265" s="18" t="s">
        <v>24</v>
      </c>
      <c r="F1265" s="23" t="s">
        <v>30</v>
      </c>
      <c r="G1265" s="21" t="s">
        <v>30</v>
      </c>
      <c r="H1265" s="21" t="s">
        <v>24</v>
      </c>
      <c r="I1265" s="21" t="s">
        <v>24</v>
      </c>
      <c r="J1265" s="21" t="s">
        <v>24</v>
      </c>
      <c r="K1265" s="21" t="s">
        <v>24</v>
      </c>
      <c r="L1265" s="21" t="s">
        <v>24</v>
      </c>
      <c r="M1265" s="0" t="n">
        <v>199</v>
      </c>
      <c r="N1265" s="0" t="n">
        <v>2</v>
      </c>
      <c r="O1265" s="21" t="s">
        <v>3531</v>
      </c>
      <c r="P1265" s="21" t="s">
        <v>4683</v>
      </c>
      <c r="Q1265" s="0" t="n">
        <v>0</v>
      </c>
      <c r="S1265" s="0" t="n">
        <v>2</v>
      </c>
      <c r="T1265" s="21" t="s">
        <v>3531</v>
      </c>
      <c r="U1265" s="22" t="b">
        <f aca="false">TRUE()</f>
        <v>1</v>
      </c>
      <c r="V1265" s="0" t="n">
        <v>0.65</v>
      </c>
      <c r="W1265" s="0" t="n">
        <v>0.16</v>
      </c>
      <c r="X1265" s="0" t="n">
        <v>7.12</v>
      </c>
      <c r="Y1265" s="0" t="n">
        <v>610.89</v>
      </c>
      <c r="Z1265" s="0" t="n">
        <v>9</v>
      </c>
      <c r="AA1265" s="0" t="n">
        <v>-0.35</v>
      </c>
      <c r="AB1265" s="0" t="n">
        <v>2.58</v>
      </c>
      <c r="AC1265" s="22" t="b">
        <f aca="false">FALSE()</f>
        <v>0</v>
      </c>
      <c r="AD1265" s="0" t="n">
        <v>11.2</v>
      </c>
      <c r="AE1265" s="0" t="n">
        <v>0.39</v>
      </c>
      <c r="AF1265" s="0" t="n">
        <v>12.74</v>
      </c>
      <c r="AG1265" s="22" t="b">
        <f aca="false">TRUE()</f>
        <v>1</v>
      </c>
      <c r="AH1265" s="0" t="n">
        <v>1</v>
      </c>
    </row>
    <row r="1266" customFormat="false" ht="15" hidden="false" customHeight="false" outlineLevel="0" collapsed="false">
      <c r="A1266" s="0" t="s">
        <v>1968</v>
      </c>
      <c r="B1266" s="0" t="s">
        <v>3459</v>
      </c>
      <c r="C1266" s="0" t="s">
        <v>3450</v>
      </c>
      <c r="D1266" s="0" t="s">
        <v>3457</v>
      </c>
      <c r="E1266" s="20" t="s">
        <v>25</v>
      </c>
      <c r="F1266" s="23" t="s">
        <v>30</v>
      </c>
      <c r="G1266" s="21" t="s">
        <v>3487</v>
      </c>
      <c r="H1266" s="21" t="s">
        <v>24</v>
      </c>
      <c r="I1266" s="21" t="s">
        <v>24</v>
      </c>
      <c r="J1266" s="21" t="s">
        <v>24</v>
      </c>
      <c r="K1266" s="21" t="s">
        <v>25</v>
      </c>
      <c r="L1266" s="21" t="s">
        <v>24</v>
      </c>
      <c r="M1266" s="0" t="n">
        <v>181</v>
      </c>
      <c r="N1266" s="0" t="n">
        <v>1</v>
      </c>
      <c r="O1266" s="21" t="s">
        <v>3476</v>
      </c>
      <c r="P1266" s="21" t="s">
        <v>4228</v>
      </c>
      <c r="Q1266" s="0" t="n">
        <v>0</v>
      </c>
      <c r="S1266" s="0" t="n">
        <v>1</v>
      </c>
      <c r="T1266" s="21" t="s">
        <v>3476</v>
      </c>
      <c r="U1266" s="22" t="b">
        <f aca="false">TRUE()</f>
        <v>1</v>
      </c>
      <c r="V1266" s="0" t="n">
        <v>0.68</v>
      </c>
      <c r="W1266" s="0" t="n">
        <v>0</v>
      </c>
      <c r="X1266" s="0" t="n">
        <v>6.74</v>
      </c>
      <c r="Y1266" s="0" t="n">
        <v>0.3</v>
      </c>
      <c r="Z1266" s="0" t="n">
        <v>10.5</v>
      </c>
      <c r="AA1266" s="0" t="n">
        <v>9.73</v>
      </c>
      <c r="AB1266" s="0" t="n">
        <v>0.76</v>
      </c>
      <c r="AC1266" s="22" t="b">
        <f aca="false">FALSE()</f>
        <v>0</v>
      </c>
      <c r="AD1266" s="0" t="n">
        <v>25.92</v>
      </c>
      <c r="AE1266" s="0" t="n">
        <v>16.59</v>
      </c>
      <c r="AF1266" s="0" t="n">
        <v>21.66</v>
      </c>
      <c r="AG1266" s="22" t="b">
        <f aca="false">TRUE()</f>
        <v>1</v>
      </c>
      <c r="AH1266" s="0" t="n">
        <v>0</v>
      </c>
    </row>
    <row r="1267" customFormat="false" ht="15" hidden="false" customHeight="false" outlineLevel="0" collapsed="false">
      <c r="A1267" s="0" t="s">
        <v>1968</v>
      </c>
      <c r="B1267" s="0" t="s">
        <v>3459</v>
      </c>
      <c r="C1267" s="0" t="s">
        <v>3450</v>
      </c>
      <c r="D1267" s="0" t="s">
        <v>3448</v>
      </c>
      <c r="E1267" s="20" t="s">
        <v>25</v>
      </c>
      <c r="F1267" s="23" t="s">
        <v>30</v>
      </c>
      <c r="G1267" s="21" t="s">
        <v>3487</v>
      </c>
      <c r="H1267" s="21" t="s">
        <v>24</v>
      </c>
      <c r="I1267" s="21" t="s">
        <v>24</v>
      </c>
      <c r="J1267" s="21" t="s">
        <v>24</v>
      </c>
      <c r="K1267" s="21" t="s">
        <v>25</v>
      </c>
      <c r="L1267" s="21" t="s">
        <v>24</v>
      </c>
      <c r="M1267" s="0" t="n">
        <v>193</v>
      </c>
      <c r="N1267" s="0" t="n">
        <v>1</v>
      </c>
      <c r="O1267" s="21" t="s">
        <v>3476</v>
      </c>
      <c r="P1267" s="21" t="s">
        <v>4228</v>
      </c>
      <c r="Q1267" s="0" t="n">
        <v>0</v>
      </c>
      <c r="S1267" s="0" t="n">
        <v>1</v>
      </c>
      <c r="T1267" s="21" t="s">
        <v>3476</v>
      </c>
      <c r="U1267" s="22" t="b">
        <f aca="false">TRUE()</f>
        <v>1</v>
      </c>
      <c r="V1267" s="0" t="n">
        <v>0.67</v>
      </c>
      <c r="W1267" s="0" t="n">
        <v>0.48</v>
      </c>
      <c r="X1267" s="0" t="n">
        <v>7.11</v>
      </c>
      <c r="Y1267" s="0" t="n">
        <v>348.93</v>
      </c>
      <c r="Z1267" s="0" t="n">
        <v>8.92</v>
      </c>
      <c r="AA1267" s="0" t="n">
        <v>3.64</v>
      </c>
      <c r="AB1267" s="0" t="n">
        <v>0.49</v>
      </c>
      <c r="AC1267" s="22" t="b">
        <f aca="false">FALSE()</f>
        <v>0</v>
      </c>
      <c r="AD1267" s="0" t="n">
        <v>25.4</v>
      </c>
      <c r="AE1267" s="0" t="n">
        <v>15.76</v>
      </c>
      <c r="AF1267" s="0" t="n">
        <v>25.62</v>
      </c>
      <c r="AG1267" s="22" t="b">
        <f aca="false">TRUE()</f>
        <v>1</v>
      </c>
      <c r="AH1267" s="0" t="n">
        <v>1</v>
      </c>
    </row>
    <row r="1268" customFormat="false" ht="15" hidden="false" customHeight="false" outlineLevel="0" collapsed="false">
      <c r="A1268" s="0" t="s">
        <v>1968</v>
      </c>
      <c r="B1268" s="0" t="s">
        <v>3459</v>
      </c>
      <c r="C1268" s="0" t="s">
        <v>3447</v>
      </c>
      <c r="D1268" s="0" t="s">
        <v>3457</v>
      </c>
      <c r="E1268" s="20" t="s">
        <v>25</v>
      </c>
      <c r="F1268" s="23" t="s">
        <v>30</v>
      </c>
      <c r="G1268" s="21" t="s">
        <v>1152</v>
      </c>
      <c r="H1268" s="21" t="s">
        <v>24</v>
      </c>
      <c r="I1268" s="21" t="s">
        <v>25</v>
      </c>
      <c r="J1268" s="21" t="s">
        <v>24</v>
      </c>
      <c r="K1268" s="21" t="s">
        <v>25</v>
      </c>
      <c r="L1268" s="21" t="s">
        <v>24</v>
      </c>
      <c r="M1268" s="0" t="n">
        <v>188</v>
      </c>
      <c r="N1268" s="0" t="n">
        <v>2</v>
      </c>
      <c r="O1268" s="21" t="s">
        <v>3626</v>
      </c>
      <c r="P1268" s="21" t="s">
        <v>4539</v>
      </c>
      <c r="Q1268" s="0" t="n">
        <v>1</v>
      </c>
      <c r="R1268" s="21" t="s">
        <v>69</v>
      </c>
      <c r="S1268" s="0" t="n">
        <v>2</v>
      </c>
      <c r="T1268" s="21" t="s">
        <v>3626</v>
      </c>
      <c r="U1268" s="22" t="b">
        <f aca="false">TRUE()</f>
        <v>1</v>
      </c>
      <c r="V1268" s="0" t="n">
        <v>0.68</v>
      </c>
      <c r="W1268" s="0" t="n">
        <v>0.72</v>
      </c>
      <c r="X1268" s="0" t="n">
        <v>6.15</v>
      </c>
      <c r="Y1268" s="0" t="n">
        <v>328.22</v>
      </c>
      <c r="Z1268" s="0" t="n">
        <v>8</v>
      </c>
      <c r="AA1268" s="0" t="n">
        <v>-1.16</v>
      </c>
      <c r="AB1268" s="0" t="n">
        <v>0.76</v>
      </c>
      <c r="AC1268" s="22" t="b">
        <f aca="false">FALSE()</f>
        <v>0</v>
      </c>
      <c r="AD1268" s="0" t="n">
        <v>16.09</v>
      </c>
      <c r="AE1268" s="0" t="n">
        <v>7.96</v>
      </c>
      <c r="AF1268" s="0" t="n">
        <v>14.76</v>
      </c>
      <c r="AG1268" s="22" t="b">
        <f aca="false">TRUE()</f>
        <v>1</v>
      </c>
      <c r="AH1268" s="0" t="n">
        <v>1</v>
      </c>
    </row>
    <row r="1269" customFormat="false" ht="15" hidden="false" customHeight="false" outlineLevel="0" collapsed="false">
      <c r="A1269" s="0" t="s">
        <v>1968</v>
      </c>
      <c r="B1269" s="0" t="s">
        <v>3459</v>
      </c>
      <c r="C1269" s="0" t="s">
        <v>3447</v>
      </c>
      <c r="D1269" s="0" t="s">
        <v>3448</v>
      </c>
      <c r="E1269" s="20" t="s">
        <v>25</v>
      </c>
      <c r="F1269" s="23" t="s">
        <v>30</v>
      </c>
      <c r="G1269" s="21" t="s">
        <v>2610</v>
      </c>
      <c r="H1269" s="21" t="s">
        <v>24</v>
      </c>
      <c r="I1269" s="21" t="s">
        <v>24</v>
      </c>
      <c r="J1269" s="21" t="s">
        <v>24</v>
      </c>
      <c r="K1269" s="21" t="s">
        <v>25</v>
      </c>
      <c r="L1269" s="21" t="s">
        <v>24</v>
      </c>
      <c r="M1269" s="0" t="n">
        <v>184</v>
      </c>
      <c r="N1269" s="0" t="n">
        <v>2</v>
      </c>
      <c r="O1269" s="21" t="s">
        <v>3524</v>
      </c>
      <c r="P1269" s="21" t="s">
        <v>4550</v>
      </c>
      <c r="Q1269" s="0" t="n">
        <v>0</v>
      </c>
      <c r="S1269" s="0" t="n">
        <v>2</v>
      </c>
      <c r="T1269" s="21" t="s">
        <v>3524</v>
      </c>
      <c r="U1269" s="22" t="b">
        <f aca="false">TRUE()</f>
        <v>1</v>
      </c>
      <c r="V1269" s="0" t="n">
        <v>0.71</v>
      </c>
      <c r="W1269" s="0" t="n">
        <v>0.84</v>
      </c>
      <c r="X1269" s="0" t="n">
        <v>7.17</v>
      </c>
      <c r="Y1269" s="0" t="n">
        <v>308.88</v>
      </c>
      <c r="Z1269" s="0" t="n">
        <v>8.17</v>
      </c>
      <c r="AA1269" s="0" t="n">
        <v>-0.77</v>
      </c>
      <c r="AB1269" s="0" t="n">
        <v>0.49</v>
      </c>
      <c r="AC1269" s="22" t="b">
        <f aca="false">FALSE()</f>
        <v>0</v>
      </c>
      <c r="AD1269" s="0" t="n">
        <v>18.6</v>
      </c>
      <c r="AE1269" s="0" t="n">
        <v>10.09</v>
      </c>
      <c r="AF1269" s="0" t="n">
        <v>20.82</v>
      </c>
      <c r="AG1269" s="22" t="b">
        <f aca="false">TRUE()</f>
        <v>1</v>
      </c>
      <c r="AH1269" s="0" t="n">
        <v>1</v>
      </c>
    </row>
    <row r="1270" customFormat="false" ht="15" hidden="false" customHeight="false" outlineLevel="0" collapsed="false">
      <c r="A1270" s="0" t="s">
        <v>1982</v>
      </c>
      <c r="B1270" s="0" t="s">
        <v>134</v>
      </c>
      <c r="C1270" s="0" t="s">
        <v>3450</v>
      </c>
      <c r="D1270" s="0" t="s">
        <v>3457</v>
      </c>
      <c r="E1270" s="18" t="s">
        <v>24</v>
      </c>
      <c r="F1270" s="18" t="s">
        <v>28</v>
      </c>
      <c r="H1270" s="21" t="s">
        <v>24</v>
      </c>
      <c r="I1270" s="21" t="s">
        <v>24</v>
      </c>
      <c r="J1270" s="21" t="s">
        <v>24</v>
      </c>
      <c r="K1270" s="21" t="s">
        <v>24</v>
      </c>
      <c r="L1270" s="21" t="s">
        <v>24</v>
      </c>
      <c r="M1270" s="0" t="n">
        <v>182</v>
      </c>
      <c r="N1270" s="0" t="n">
        <v>0</v>
      </c>
      <c r="Q1270" s="0" t="n">
        <v>0</v>
      </c>
      <c r="S1270" s="0" t="n">
        <v>0</v>
      </c>
      <c r="U1270" s="22" t="b">
        <f aca="false">FALSE()</f>
        <v>0</v>
      </c>
      <c r="V1270" s="0" t="n">
        <v>0.7</v>
      </c>
      <c r="W1270" s="0" t="n">
        <v>0.44</v>
      </c>
      <c r="X1270" s="0" t="n">
        <v>4.96</v>
      </c>
      <c r="Y1270" s="0" t="n">
        <v>340.98</v>
      </c>
      <c r="Z1270" s="0" t="n">
        <v>10.75</v>
      </c>
      <c r="AA1270" s="0" t="n">
        <v>8.41</v>
      </c>
      <c r="AB1270" s="0" t="n">
        <v>4.43</v>
      </c>
      <c r="AC1270" s="22" t="b">
        <f aca="false">FALSE()</f>
        <v>0</v>
      </c>
      <c r="AD1270" s="0" t="n">
        <v>6.84</v>
      </c>
      <c r="AE1270" s="0" t="n">
        <v>3.53</v>
      </c>
      <c r="AF1270" s="0" t="n">
        <v>17.03</v>
      </c>
      <c r="AG1270" s="22" t="b">
        <f aca="false">FALSE()</f>
        <v>0</v>
      </c>
      <c r="AH1270" s="0" t="n">
        <v>1</v>
      </c>
    </row>
    <row r="1271" customFormat="false" ht="15" hidden="false" customHeight="false" outlineLevel="0" collapsed="false">
      <c r="A1271" s="0" t="s">
        <v>1982</v>
      </c>
      <c r="B1271" s="0" t="s">
        <v>134</v>
      </c>
      <c r="C1271" s="0" t="s">
        <v>3450</v>
      </c>
      <c r="D1271" s="0" t="s">
        <v>3448</v>
      </c>
      <c r="E1271" s="18" t="s">
        <v>24</v>
      </c>
      <c r="F1271" s="18" t="s">
        <v>28</v>
      </c>
      <c r="H1271" s="21" t="s">
        <v>24</v>
      </c>
      <c r="I1271" s="21" t="s">
        <v>24</v>
      </c>
      <c r="J1271" s="21" t="s">
        <v>24</v>
      </c>
      <c r="K1271" s="21" t="s">
        <v>24</v>
      </c>
      <c r="L1271" s="21" t="s">
        <v>24</v>
      </c>
      <c r="M1271" s="0" t="n">
        <v>183</v>
      </c>
      <c r="N1271" s="0" t="n">
        <v>0</v>
      </c>
      <c r="Q1271" s="0" t="n">
        <v>0</v>
      </c>
      <c r="S1271" s="0" t="n">
        <v>0</v>
      </c>
      <c r="U1271" s="22" t="b">
        <f aca="false">FALSE()</f>
        <v>0</v>
      </c>
      <c r="V1271" s="0" t="n">
        <v>0.72</v>
      </c>
      <c r="W1271" s="0" t="n">
        <v>0.44</v>
      </c>
      <c r="X1271" s="0" t="n">
        <v>5.21</v>
      </c>
      <c r="Y1271" s="0" t="n">
        <v>343.44</v>
      </c>
      <c r="Z1271" s="0" t="n">
        <v>10.5</v>
      </c>
      <c r="AA1271" s="0" t="n">
        <v>13.73</v>
      </c>
      <c r="AB1271" s="0" t="n">
        <v>2.07</v>
      </c>
      <c r="AC1271" s="22" t="b">
        <f aca="false">FALSE()</f>
        <v>0</v>
      </c>
      <c r="AD1271" s="0" t="n">
        <v>14.17</v>
      </c>
      <c r="AE1271" s="0" t="n">
        <v>4.98</v>
      </c>
      <c r="AF1271" s="0" t="n">
        <v>18.88</v>
      </c>
      <c r="AG1271" s="22" t="b">
        <f aca="false">TRUE()</f>
        <v>1</v>
      </c>
      <c r="AH1271" s="0" t="n">
        <v>1</v>
      </c>
    </row>
    <row r="1272" customFormat="false" ht="15" hidden="false" customHeight="false" outlineLevel="0" collapsed="false">
      <c r="A1272" s="0" t="s">
        <v>1982</v>
      </c>
      <c r="B1272" s="0" t="s">
        <v>134</v>
      </c>
      <c r="C1272" s="0" t="s">
        <v>3447</v>
      </c>
      <c r="D1272" s="0" t="s">
        <v>3457</v>
      </c>
      <c r="E1272" s="18" t="s">
        <v>24</v>
      </c>
      <c r="F1272" s="18" t="s">
        <v>28</v>
      </c>
      <c r="H1272" s="21" t="s">
        <v>24</v>
      </c>
      <c r="I1272" s="21" t="s">
        <v>24</v>
      </c>
      <c r="J1272" s="21" t="s">
        <v>24</v>
      </c>
      <c r="K1272" s="21" t="s">
        <v>24</v>
      </c>
      <c r="L1272" s="21" t="s">
        <v>24</v>
      </c>
      <c r="M1272" s="0" t="n">
        <v>183</v>
      </c>
      <c r="N1272" s="0" t="n">
        <v>0</v>
      </c>
      <c r="Q1272" s="0" t="n">
        <v>0</v>
      </c>
      <c r="S1272" s="0" t="n">
        <v>0</v>
      </c>
      <c r="U1272" s="22" t="b">
        <f aca="false">FALSE()</f>
        <v>0</v>
      </c>
      <c r="V1272" s="0" t="n">
        <v>0.73</v>
      </c>
      <c r="W1272" s="0" t="n">
        <v>0</v>
      </c>
      <c r="X1272" s="0" t="n">
        <v>4.58</v>
      </c>
      <c r="Y1272" s="0" t="n">
        <v>684.94</v>
      </c>
      <c r="Z1272" s="0" t="n">
        <v>10.75</v>
      </c>
      <c r="AA1272" s="0" t="n">
        <v>3.71</v>
      </c>
      <c r="AB1272" s="0" t="n">
        <v>4.43</v>
      </c>
      <c r="AC1272" s="22" t="b">
        <f aca="false">FALSE()</f>
        <v>0</v>
      </c>
      <c r="AD1272" s="0" t="n">
        <v>12.54</v>
      </c>
      <c r="AE1272" s="0" t="n">
        <v>4.74</v>
      </c>
      <c r="AF1272" s="0" t="n">
        <v>18.1</v>
      </c>
      <c r="AG1272" s="22" t="b">
        <f aca="false">TRUE()</f>
        <v>1</v>
      </c>
      <c r="AH1272" s="0" t="n">
        <v>1</v>
      </c>
    </row>
    <row r="1273" customFormat="false" ht="15" hidden="false" customHeight="false" outlineLevel="0" collapsed="false">
      <c r="A1273" s="0" t="s">
        <v>1982</v>
      </c>
      <c r="B1273" s="0" t="s">
        <v>134</v>
      </c>
      <c r="C1273" s="0" t="s">
        <v>3447</v>
      </c>
      <c r="D1273" s="0" t="s">
        <v>3448</v>
      </c>
      <c r="E1273" s="18" t="s">
        <v>24</v>
      </c>
      <c r="F1273" s="18" t="s">
        <v>28</v>
      </c>
      <c r="H1273" s="21" t="s">
        <v>24</v>
      </c>
      <c r="I1273" s="21" t="s">
        <v>24</v>
      </c>
      <c r="J1273" s="21" t="s">
        <v>24</v>
      </c>
      <c r="K1273" s="21" t="s">
        <v>24</v>
      </c>
      <c r="L1273" s="21" t="s">
        <v>24</v>
      </c>
      <c r="M1273" s="0" t="n">
        <v>182</v>
      </c>
      <c r="N1273" s="0" t="n">
        <v>0</v>
      </c>
      <c r="Q1273" s="0" t="n">
        <v>0</v>
      </c>
      <c r="S1273" s="0" t="n">
        <v>0</v>
      </c>
      <c r="U1273" s="22" t="b">
        <f aca="false">FALSE()</f>
        <v>0</v>
      </c>
      <c r="V1273" s="0" t="n">
        <v>0.71</v>
      </c>
      <c r="W1273" s="0" t="n">
        <v>0.52</v>
      </c>
      <c r="X1273" s="0" t="n">
        <v>4.67</v>
      </c>
      <c r="Y1273" s="0" t="n">
        <v>325.66</v>
      </c>
      <c r="Z1273" s="0" t="n">
        <v>10</v>
      </c>
      <c r="AA1273" s="0" t="n">
        <v>-0.94</v>
      </c>
      <c r="AB1273" s="0" t="n">
        <v>2.07</v>
      </c>
      <c r="AC1273" s="22" t="b">
        <f aca="false">FALSE()</f>
        <v>0</v>
      </c>
      <c r="AD1273" s="0" t="n">
        <v>8.21</v>
      </c>
      <c r="AE1273" s="0" t="n">
        <v>2.72</v>
      </c>
      <c r="AF1273" s="0" t="n">
        <v>17.03</v>
      </c>
      <c r="AG1273" s="22" t="b">
        <f aca="false">FALSE()</f>
        <v>0</v>
      </c>
      <c r="AH1273" s="0" t="n">
        <v>1</v>
      </c>
    </row>
    <row r="1274" customFormat="false" ht="15" hidden="false" customHeight="false" outlineLevel="0" collapsed="false">
      <c r="A1274" s="0" t="s">
        <v>1987</v>
      </c>
      <c r="B1274" s="0" t="s">
        <v>134</v>
      </c>
      <c r="C1274" s="0" t="s">
        <v>3450</v>
      </c>
      <c r="D1274" s="0" t="s">
        <v>3457</v>
      </c>
      <c r="E1274" s="20" t="s">
        <v>25</v>
      </c>
      <c r="F1274" s="20" t="s">
        <v>29</v>
      </c>
      <c r="G1274" s="21" t="s">
        <v>64</v>
      </c>
      <c r="H1274" s="21" t="s">
        <v>24</v>
      </c>
      <c r="I1274" s="21" t="s">
        <v>24</v>
      </c>
      <c r="J1274" s="21" t="s">
        <v>24</v>
      </c>
      <c r="K1274" s="21" t="s">
        <v>25</v>
      </c>
      <c r="L1274" s="21" t="s">
        <v>24</v>
      </c>
      <c r="M1274" s="0" t="n">
        <v>187</v>
      </c>
      <c r="N1274" s="0" t="n">
        <v>0</v>
      </c>
      <c r="Q1274" s="0" t="n">
        <v>0</v>
      </c>
      <c r="S1274" s="0" t="n">
        <v>0</v>
      </c>
      <c r="U1274" s="22" t="b">
        <f aca="false">FALSE()</f>
        <v>0</v>
      </c>
      <c r="V1274" s="0" t="n">
        <v>0.69</v>
      </c>
      <c r="W1274" s="0" t="n">
        <v>0.24</v>
      </c>
      <c r="X1274" s="0" t="n">
        <v>6.97</v>
      </c>
      <c r="Y1274" s="0" t="n">
        <v>473.82</v>
      </c>
      <c r="Z1274" s="0" t="n">
        <v>9.75</v>
      </c>
      <c r="AA1274" s="0" t="n">
        <v>9.35</v>
      </c>
      <c r="AB1274" s="0" t="n">
        <v>0.79</v>
      </c>
      <c r="AC1274" s="22" t="b">
        <f aca="false">FALSE()</f>
        <v>0</v>
      </c>
      <c r="AD1274" s="0" t="n">
        <v>19.71</v>
      </c>
      <c r="AE1274" s="0" t="n">
        <v>1.25</v>
      </c>
      <c r="AF1274" s="0" t="n">
        <v>1.76</v>
      </c>
      <c r="AG1274" s="22" t="b">
        <f aca="false">TRUE()</f>
        <v>1</v>
      </c>
      <c r="AH1274" s="0" t="n">
        <v>1</v>
      </c>
    </row>
    <row r="1275" customFormat="false" ht="15" hidden="false" customHeight="false" outlineLevel="0" collapsed="false">
      <c r="A1275" s="0" t="s">
        <v>1987</v>
      </c>
      <c r="B1275" s="0" t="s">
        <v>134</v>
      </c>
      <c r="C1275" s="0" t="s">
        <v>3450</v>
      </c>
      <c r="D1275" s="0" t="s">
        <v>3448</v>
      </c>
      <c r="E1275" s="20" t="s">
        <v>25</v>
      </c>
      <c r="F1275" s="23" t="s">
        <v>30</v>
      </c>
      <c r="G1275" s="21" t="s">
        <v>1152</v>
      </c>
      <c r="H1275" s="21" t="s">
        <v>24</v>
      </c>
      <c r="I1275" s="21" t="s">
        <v>25</v>
      </c>
      <c r="J1275" s="21" t="s">
        <v>24</v>
      </c>
      <c r="K1275" s="21" t="s">
        <v>25</v>
      </c>
      <c r="L1275" s="21" t="s">
        <v>24</v>
      </c>
      <c r="M1275" s="0" t="n">
        <v>187</v>
      </c>
      <c r="N1275" s="0" t="n">
        <v>3</v>
      </c>
      <c r="O1275" s="21" t="s">
        <v>3649</v>
      </c>
      <c r="P1275" s="21" t="s">
        <v>4242</v>
      </c>
      <c r="Q1275" s="0" t="n">
        <v>1</v>
      </c>
      <c r="R1275" s="21" t="s">
        <v>69</v>
      </c>
      <c r="S1275" s="0" t="n">
        <v>3</v>
      </c>
      <c r="T1275" s="21" t="s">
        <v>3649</v>
      </c>
      <c r="U1275" s="22" t="b">
        <f aca="false">TRUE()</f>
        <v>1</v>
      </c>
      <c r="V1275" s="0" t="n">
        <v>0.71</v>
      </c>
      <c r="W1275" s="0" t="n">
        <v>0.52</v>
      </c>
      <c r="X1275" s="0" t="n">
        <v>5.72</v>
      </c>
      <c r="Y1275" s="0" t="n">
        <v>334.91</v>
      </c>
      <c r="Z1275" s="0" t="n">
        <v>10</v>
      </c>
      <c r="AA1275" s="0" t="n">
        <v>5.68</v>
      </c>
      <c r="AB1275" s="0" t="n">
        <v>0.86</v>
      </c>
      <c r="AC1275" s="22" t="b">
        <f aca="false">FALSE()</f>
        <v>0</v>
      </c>
      <c r="AD1275" s="0" t="n">
        <v>8.17</v>
      </c>
      <c r="AE1275" s="0" t="n">
        <v>0.3</v>
      </c>
      <c r="AF1275" s="0" t="n">
        <v>8.87</v>
      </c>
      <c r="AG1275" s="22" t="b">
        <f aca="false">FALSE()</f>
        <v>0</v>
      </c>
      <c r="AH1275" s="0" t="n">
        <v>1</v>
      </c>
    </row>
    <row r="1276" customFormat="false" ht="15" hidden="false" customHeight="false" outlineLevel="0" collapsed="false">
      <c r="A1276" s="0" t="s">
        <v>1987</v>
      </c>
      <c r="B1276" s="0" t="s">
        <v>134</v>
      </c>
      <c r="C1276" s="0" t="s">
        <v>3447</v>
      </c>
      <c r="D1276" s="0" t="s">
        <v>3457</v>
      </c>
      <c r="E1276" s="20" t="s">
        <v>25</v>
      </c>
      <c r="F1276" s="23" t="s">
        <v>30</v>
      </c>
      <c r="G1276" s="21" t="s">
        <v>2610</v>
      </c>
      <c r="H1276" s="21" t="s">
        <v>24</v>
      </c>
      <c r="I1276" s="21" t="s">
        <v>24</v>
      </c>
      <c r="J1276" s="21" t="s">
        <v>24</v>
      </c>
      <c r="K1276" s="21" t="s">
        <v>25</v>
      </c>
      <c r="L1276" s="21" t="s">
        <v>24</v>
      </c>
      <c r="M1276" s="0" t="n">
        <v>192</v>
      </c>
      <c r="N1276" s="0" t="n">
        <v>5</v>
      </c>
      <c r="O1276" s="21" t="s">
        <v>3712</v>
      </c>
      <c r="P1276" s="21" t="s">
        <v>4684</v>
      </c>
      <c r="Q1276" s="0" t="n">
        <v>0</v>
      </c>
      <c r="S1276" s="0" t="n">
        <v>5</v>
      </c>
      <c r="T1276" s="21" t="s">
        <v>3712</v>
      </c>
      <c r="U1276" s="22" t="b">
        <f aca="false">TRUE()</f>
        <v>1</v>
      </c>
      <c r="V1276" s="0" t="n">
        <v>0.77</v>
      </c>
      <c r="W1276" s="0" t="n">
        <v>0.6</v>
      </c>
      <c r="X1276" s="0" t="n">
        <v>6.62</v>
      </c>
      <c r="Y1276" s="0" t="n">
        <v>336.2</v>
      </c>
      <c r="Z1276" s="0" t="n">
        <v>8.75</v>
      </c>
      <c r="AA1276" s="0" t="n">
        <v>-1.06</v>
      </c>
      <c r="AB1276" s="0" t="n">
        <v>0.79</v>
      </c>
      <c r="AC1276" s="22" t="b">
        <f aca="false">FALSE()</f>
        <v>0</v>
      </c>
      <c r="AD1276" s="0" t="n">
        <v>12.76</v>
      </c>
      <c r="AE1276" s="0" t="n">
        <v>0.82</v>
      </c>
      <c r="AF1276" s="0" t="n">
        <v>0.02</v>
      </c>
      <c r="AG1276" s="22" t="b">
        <f aca="false">TRUE()</f>
        <v>1</v>
      </c>
      <c r="AH1276" s="0" t="n">
        <v>1</v>
      </c>
    </row>
    <row r="1277" customFormat="false" ht="15" hidden="false" customHeight="false" outlineLevel="0" collapsed="false">
      <c r="A1277" s="0" t="s">
        <v>1987</v>
      </c>
      <c r="B1277" s="0" t="s">
        <v>134</v>
      </c>
      <c r="C1277" s="0" t="s">
        <v>3447</v>
      </c>
      <c r="D1277" s="0" t="s">
        <v>3448</v>
      </c>
      <c r="E1277" s="20" t="s">
        <v>25</v>
      </c>
      <c r="F1277" s="23" t="s">
        <v>30</v>
      </c>
      <c r="G1277" s="21" t="s">
        <v>2610</v>
      </c>
      <c r="H1277" s="21" t="s">
        <v>24</v>
      </c>
      <c r="I1277" s="21" t="s">
        <v>24</v>
      </c>
      <c r="J1277" s="21" t="s">
        <v>24</v>
      </c>
      <c r="K1277" s="21" t="s">
        <v>25</v>
      </c>
      <c r="L1277" s="21" t="s">
        <v>24</v>
      </c>
      <c r="M1277" s="0" t="n">
        <v>206</v>
      </c>
      <c r="N1277" s="0" t="n">
        <v>4</v>
      </c>
      <c r="O1277" s="21" t="s">
        <v>3596</v>
      </c>
      <c r="P1277" s="21" t="s">
        <v>4239</v>
      </c>
      <c r="Q1277" s="0" t="n">
        <v>0</v>
      </c>
      <c r="S1277" s="0" t="n">
        <v>4</v>
      </c>
      <c r="T1277" s="21" t="s">
        <v>3596</v>
      </c>
      <c r="U1277" s="22" t="b">
        <f aca="false">TRUE()</f>
        <v>1</v>
      </c>
      <c r="V1277" s="0" t="n">
        <v>0.81</v>
      </c>
      <c r="W1277" s="0" t="n">
        <v>0.36</v>
      </c>
      <c r="X1277" s="0" t="n">
        <v>7.46</v>
      </c>
      <c r="Y1277" s="0" t="n">
        <v>422.46</v>
      </c>
      <c r="Z1277" s="0" t="n">
        <v>10.17</v>
      </c>
      <c r="AA1277" s="0" t="n">
        <v>2.58</v>
      </c>
      <c r="AB1277" s="0" t="n">
        <v>0.86</v>
      </c>
      <c r="AC1277" s="22" t="b">
        <f aca="false">FALSE()</f>
        <v>0</v>
      </c>
      <c r="AD1277" s="0" t="n">
        <v>7.75</v>
      </c>
      <c r="AE1277" s="0" t="n">
        <v>-0.79</v>
      </c>
      <c r="AF1277" s="0" t="n">
        <v>6.34</v>
      </c>
      <c r="AG1277" s="22" t="b">
        <f aca="false">FALSE()</f>
        <v>0</v>
      </c>
      <c r="AH1277" s="0" t="n">
        <v>1</v>
      </c>
    </row>
    <row r="1278" customFormat="false" ht="15" hidden="false" customHeight="false" outlineLevel="0" collapsed="false">
      <c r="A1278" s="0" t="s">
        <v>1996</v>
      </c>
      <c r="B1278" s="0" t="s">
        <v>134</v>
      </c>
      <c r="C1278" s="0" t="s">
        <v>3450</v>
      </c>
      <c r="D1278" s="0" t="s">
        <v>3457</v>
      </c>
      <c r="E1278" s="19" t="s">
        <v>26</v>
      </c>
      <c r="F1278" s="19" t="s">
        <v>32</v>
      </c>
      <c r="G1278" s="21" t="s">
        <v>60</v>
      </c>
      <c r="H1278" s="21" t="s">
        <v>24</v>
      </c>
      <c r="I1278" s="21" t="s">
        <v>26</v>
      </c>
      <c r="J1278" s="21" t="s">
        <v>24</v>
      </c>
      <c r="K1278" s="21" t="s">
        <v>24</v>
      </c>
      <c r="L1278" s="21" t="s">
        <v>24</v>
      </c>
      <c r="M1278" s="0" t="n">
        <v>184</v>
      </c>
      <c r="N1278" s="0" t="n">
        <v>7</v>
      </c>
      <c r="O1278" s="21" t="s">
        <v>3897</v>
      </c>
      <c r="P1278" s="21" t="s">
        <v>4685</v>
      </c>
      <c r="Q1278" s="0" t="n">
        <v>0</v>
      </c>
      <c r="S1278" s="0" t="n">
        <v>7</v>
      </c>
      <c r="T1278" s="21" t="s">
        <v>3897</v>
      </c>
      <c r="U1278" s="22" t="b">
        <f aca="false">FALSE()</f>
        <v>0</v>
      </c>
      <c r="V1278" s="0" t="n">
        <v>0.77</v>
      </c>
      <c r="W1278" s="0" t="n">
        <v>0</v>
      </c>
      <c r="X1278" s="0" t="n">
        <v>5.43</v>
      </c>
      <c r="Y1278" s="0" t="n">
        <v>694.4</v>
      </c>
      <c r="Z1278" s="0" t="n">
        <v>11.33</v>
      </c>
      <c r="AA1278" s="0" t="n">
        <v>4.88</v>
      </c>
      <c r="AB1278" s="0" t="n">
        <v>2.08</v>
      </c>
      <c r="AC1278" s="22" t="b">
        <f aca="false">FALSE()</f>
        <v>0</v>
      </c>
      <c r="AD1278" s="0" t="n">
        <v>18.94</v>
      </c>
      <c r="AE1278" s="0" t="n">
        <v>-0.59</v>
      </c>
      <c r="AF1278" s="0" t="n">
        <v>1.93</v>
      </c>
      <c r="AG1278" s="22" t="b">
        <f aca="false">TRUE()</f>
        <v>1</v>
      </c>
      <c r="AH1278" s="0" t="n">
        <v>1</v>
      </c>
    </row>
    <row r="1279" customFormat="false" ht="15" hidden="false" customHeight="false" outlineLevel="0" collapsed="false">
      <c r="A1279" s="0" t="s">
        <v>1996</v>
      </c>
      <c r="B1279" s="0" t="s">
        <v>134</v>
      </c>
      <c r="C1279" s="0" t="s">
        <v>3450</v>
      </c>
      <c r="D1279" s="0" t="s">
        <v>3448</v>
      </c>
      <c r="E1279" s="19" t="s">
        <v>26</v>
      </c>
      <c r="F1279" s="19" t="s">
        <v>32</v>
      </c>
      <c r="G1279" s="21" t="s">
        <v>1311</v>
      </c>
      <c r="H1279" s="21" t="s">
        <v>24</v>
      </c>
      <c r="I1279" s="21" t="s">
        <v>26</v>
      </c>
      <c r="J1279" s="21" t="s">
        <v>24</v>
      </c>
      <c r="K1279" s="21" t="s">
        <v>25</v>
      </c>
      <c r="L1279" s="21" t="s">
        <v>24</v>
      </c>
      <c r="M1279" s="0" t="n">
        <v>183</v>
      </c>
      <c r="N1279" s="0" t="n">
        <v>8</v>
      </c>
      <c r="O1279" s="21" t="s">
        <v>4152</v>
      </c>
      <c r="P1279" s="21" t="s">
        <v>4686</v>
      </c>
      <c r="Q1279" s="0" t="n">
        <v>1</v>
      </c>
      <c r="R1279" s="21" t="s">
        <v>69</v>
      </c>
      <c r="S1279" s="0" t="n">
        <v>8</v>
      </c>
      <c r="T1279" s="21" t="s">
        <v>4152</v>
      </c>
      <c r="U1279" s="22" t="b">
        <f aca="false">FALSE()</f>
        <v>0</v>
      </c>
      <c r="V1279" s="0" t="n">
        <v>0.66</v>
      </c>
      <c r="W1279" s="0" t="n">
        <v>0.68</v>
      </c>
      <c r="X1279" s="0" t="n">
        <v>8.74</v>
      </c>
      <c r="Y1279" s="0" t="n">
        <v>317.11</v>
      </c>
      <c r="Z1279" s="0" t="n">
        <v>10.17</v>
      </c>
      <c r="AA1279" s="0" t="n">
        <v>8.87</v>
      </c>
      <c r="AB1279" s="0" t="n">
        <v>0.14</v>
      </c>
      <c r="AC1279" s="22" t="b">
        <f aca="false">FALSE()</f>
        <v>0</v>
      </c>
      <c r="AD1279" s="0" t="n">
        <v>12.35</v>
      </c>
      <c r="AE1279" s="0" t="n">
        <v>1.19</v>
      </c>
      <c r="AF1279" s="0" t="n">
        <v>3.18</v>
      </c>
      <c r="AG1279" s="22" t="b">
        <f aca="false">TRUE()</f>
        <v>1</v>
      </c>
      <c r="AH1279" s="0" t="n">
        <v>1</v>
      </c>
    </row>
    <row r="1280" customFormat="false" ht="15" hidden="false" customHeight="false" outlineLevel="0" collapsed="false">
      <c r="A1280" s="0" t="s">
        <v>1996</v>
      </c>
      <c r="B1280" s="0" t="s">
        <v>134</v>
      </c>
      <c r="C1280" s="0" t="s">
        <v>3447</v>
      </c>
      <c r="D1280" s="0" t="s">
        <v>3457</v>
      </c>
      <c r="E1280" s="18" t="s">
        <v>24</v>
      </c>
      <c r="F1280" s="18" t="s">
        <v>28</v>
      </c>
      <c r="H1280" s="21" t="s">
        <v>24</v>
      </c>
      <c r="I1280" s="21" t="s">
        <v>24</v>
      </c>
      <c r="J1280" s="21" t="s">
        <v>24</v>
      </c>
      <c r="K1280" s="21" t="s">
        <v>24</v>
      </c>
      <c r="L1280" s="21" t="s">
        <v>24</v>
      </c>
      <c r="M1280" s="0" t="n">
        <v>185</v>
      </c>
      <c r="N1280" s="0" t="n">
        <v>0</v>
      </c>
      <c r="Q1280" s="0" t="n">
        <v>0</v>
      </c>
      <c r="S1280" s="0" t="n">
        <v>0</v>
      </c>
      <c r="U1280" s="22" t="b">
        <f aca="false">FALSE()</f>
        <v>0</v>
      </c>
      <c r="V1280" s="0" t="n">
        <v>0.77</v>
      </c>
      <c r="W1280" s="0" t="n">
        <v>0.48</v>
      </c>
      <c r="X1280" s="0" t="n">
        <v>5.57</v>
      </c>
      <c r="Y1280" s="0" t="n">
        <v>336.42</v>
      </c>
      <c r="Z1280" s="0" t="n">
        <v>8.25</v>
      </c>
      <c r="AA1280" s="0" t="n">
        <v>-0.94</v>
      </c>
      <c r="AB1280" s="0" t="n">
        <v>2.08</v>
      </c>
      <c r="AC1280" s="22" t="b">
        <f aca="false">FALSE()</f>
        <v>0</v>
      </c>
      <c r="AD1280" s="0" t="n">
        <v>14.01</v>
      </c>
      <c r="AE1280" s="0" t="n">
        <v>-0.9</v>
      </c>
      <c r="AF1280" s="0" t="n">
        <v>3.36</v>
      </c>
      <c r="AG1280" s="22" t="b">
        <f aca="false">TRUE()</f>
        <v>1</v>
      </c>
      <c r="AH1280" s="0" t="n">
        <v>1</v>
      </c>
    </row>
    <row r="1281" customFormat="false" ht="15" hidden="false" customHeight="false" outlineLevel="0" collapsed="false">
      <c r="A1281" s="0" t="s">
        <v>1996</v>
      </c>
      <c r="B1281" s="0" t="s">
        <v>134</v>
      </c>
      <c r="C1281" s="0" t="s">
        <v>3447</v>
      </c>
      <c r="D1281" s="0" t="s">
        <v>3448</v>
      </c>
      <c r="E1281" s="20" t="s">
        <v>25</v>
      </c>
      <c r="F1281" s="23" t="s">
        <v>30</v>
      </c>
      <c r="G1281" s="21" t="s">
        <v>2610</v>
      </c>
      <c r="H1281" s="21" t="s">
        <v>24</v>
      </c>
      <c r="I1281" s="21" t="s">
        <v>24</v>
      </c>
      <c r="J1281" s="21" t="s">
        <v>24</v>
      </c>
      <c r="K1281" s="21" t="s">
        <v>25</v>
      </c>
      <c r="L1281" s="21" t="s">
        <v>24</v>
      </c>
      <c r="M1281" s="0" t="n">
        <v>192</v>
      </c>
      <c r="N1281" s="0" t="n">
        <v>5</v>
      </c>
      <c r="O1281" s="21" t="s">
        <v>3710</v>
      </c>
      <c r="P1281" s="21" t="s">
        <v>4687</v>
      </c>
      <c r="Q1281" s="0" t="n">
        <v>0</v>
      </c>
      <c r="S1281" s="0" t="n">
        <v>5</v>
      </c>
      <c r="T1281" s="21" t="s">
        <v>3710</v>
      </c>
      <c r="U1281" s="22" t="b">
        <f aca="false">TRUE()</f>
        <v>1</v>
      </c>
      <c r="V1281" s="0" t="n">
        <v>0.76</v>
      </c>
      <c r="W1281" s="0" t="n">
        <v>0.96</v>
      </c>
      <c r="X1281" s="0" t="n">
        <v>9.39</v>
      </c>
      <c r="Y1281" s="0" t="n">
        <v>323.31</v>
      </c>
      <c r="Z1281" s="0" t="n">
        <v>8</v>
      </c>
      <c r="AA1281" s="0" t="n">
        <v>-1.17</v>
      </c>
      <c r="AB1281" s="0" t="n">
        <v>0.14</v>
      </c>
      <c r="AC1281" s="22" t="b">
        <f aca="false">FALSE()</f>
        <v>0</v>
      </c>
      <c r="AD1281" s="0" t="n">
        <v>4.76</v>
      </c>
      <c r="AE1281" s="0" t="n">
        <v>0.78</v>
      </c>
      <c r="AF1281" s="0" t="n">
        <v>1.96</v>
      </c>
      <c r="AG1281" s="22" t="b">
        <f aca="false">FALSE()</f>
        <v>0</v>
      </c>
      <c r="AH1281" s="0" t="n">
        <v>1</v>
      </c>
    </row>
    <row r="1282" customFormat="false" ht="15" hidden="false" customHeight="false" outlineLevel="0" collapsed="false">
      <c r="A1282" s="0" t="s">
        <v>1996</v>
      </c>
      <c r="B1282" s="0" t="s">
        <v>3459</v>
      </c>
      <c r="C1282" s="0" t="s">
        <v>3450</v>
      </c>
      <c r="D1282" s="0" t="s">
        <v>3457</v>
      </c>
      <c r="E1282" s="20" t="s">
        <v>25</v>
      </c>
      <c r="F1282" s="23" t="s">
        <v>30</v>
      </c>
      <c r="G1282" s="21" t="s">
        <v>183</v>
      </c>
      <c r="H1282" s="21" t="s">
        <v>24</v>
      </c>
      <c r="I1282" s="21" t="s">
        <v>25</v>
      </c>
      <c r="J1282" s="21" t="s">
        <v>24</v>
      </c>
      <c r="K1282" s="21" t="s">
        <v>25</v>
      </c>
      <c r="L1282" s="21" t="s">
        <v>24</v>
      </c>
      <c r="M1282" s="0" t="n">
        <v>183</v>
      </c>
      <c r="N1282" s="0" t="n">
        <v>3</v>
      </c>
      <c r="O1282" s="21" t="s">
        <v>3649</v>
      </c>
      <c r="P1282" s="21" t="s">
        <v>4242</v>
      </c>
      <c r="Q1282" s="0" t="n">
        <v>1</v>
      </c>
      <c r="R1282" s="21" t="s">
        <v>69</v>
      </c>
      <c r="S1282" s="0" t="n">
        <v>3</v>
      </c>
      <c r="T1282" s="21" t="s">
        <v>3649</v>
      </c>
      <c r="U1282" s="22" t="b">
        <f aca="false">TRUE()</f>
        <v>1</v>
      </c>
      <c r="V1282" s="0" t="n">
        <v>0.67</v>
      </c>
      <c r="W1282" s="0" t="n">
        <v>0.88</v>
      </c>
      <c r="X1282" s="0" t="n">
        <v>5.43</v>
      </c>
      <c r="Y1282" s="0" t="n">
        <v>306.53</v>
      </c>
      <c r="Z1282" s="0" t="n">
        <v>10.67</v>
      </c>
      <c r="AA1282" s="0" t="n">
        <v>8.04</v>
      </c>
      <c r="AB1282" s="0" t="n">
        <v>1.7</v>
      </c>
      <c r="AC1282" s="22" t="b">
        <f aca="false">FALSE()</f>
        <v>0</v>
      </c>
      <c r="AD1282" s="0" t="n">
        <v>25.07</v>
      </c>
      <c r="AE1282" s="0" t="n">
        <v>12.02</v>
      </c>
      <c r="AF1282" s="0" t="n">
        <v>18.56</v>
      </c>
      <c r="AG1282" s="22" t="b">
        <f aca="false">TRUE()</f>
        <v>1</v>
      </c>
      <c r="AH1282" s="0" t="n">
        <v>1</v>
      </c>
    </row>
    <row r="1283" customFormat="false" ht="15" hidden="false" customHeight="false" outlineLevel="0" collapsed="false">
      <c r="A1283" s="0" t="s">
        <v>1996</v>
      </c>
      <c r="B1283" s="0" t="s">
        <v>3459</v>
      </c>
      <c r="C1283" s="0" t="s">
        <v>3450</v>
      </c>
      <c r="D1283" s="0" t="s">
        <v>3448</v>
      </c>
      <c r="E1283" s="19" t="s">
        <v>26</v>
      </c>
      <c r="F1283" s="19" t="s">
        <v>32</v>
      </c>
      <c r="G1283" s="21" t="s">
        <v>1311</v>
      </c>
      <c r="H1283" s="21" t="s">
        <v>24</v>
      </c>
      <c r="I1283" s="21" t="s">
        <v>26</v>
      </c>
      <c r="J1283" s="21" t="s">
        <v>24</v>
      </c>
      <c r="K1283" s="21" t="s">
        <v>25</v>
      </c>
      <c r="L1283" s="21" t="s">
        <v>24</v>
      </c>
      <c r="M1283" s="0" t="n">
        <v>183</v>
      </c>
      <c r="N1283" s="0" t="n">
        <v>9</v>
      </c>
      <c r="O1283" s="21" t="s">
        <v>4099</v>
      </c>
      <c r="P1283" s="21" t="s">
        <v>4688</v>
      </c>
      <c r="Q1283" s="0" t="n">
        <v>1</v>
      </c>
      <c r="R1283" s="21" t="s">
        <v>69</v>
      </c>
      <c r="S1283" s="0" t="n">
        <v>9</v>
      </c>
      <c r="T1283" s="21" t="s">
        <v>4099</v>
      </c>
      <c r="U1283" s="22" t="b">
        <f aca="false">FALSE()</f>
        <v>0</v>
      </c>
      <c r="V1283" s="0" t="n">
        <v>0.72</v>
      </c>
      <c r="W1283" s="0" t="n">
        <v>0.12</v>
      </c>
      <c r="X1283" s="0" t="n">
        <v>8.59</v>
      </c>
      <c r="Y1283" s="0" t="n">
        <v>615.84</v>
      </c>
      <c r="Z1283" s="0" t="n">
        <v>9.33</v>
      </c>
      <c r="AA1283" s="0" t="n">
        <v>3.41</v>
      </c>
      <c r="AB1283" s="0" t="n">
        <v>0.74</v>
      </c>
      <c r="AC1283" s="22" t="b">
        <f aca="false">FALSE()</f>
        <v>0</v>
      </c>
      <c r="AD1283" s="0" t="n">
        <v>17.53</v>
      </c>
      <c r="AE1283" s="0" t="n">
        <v>4.28</v>
      </c>
      <c r="AF1283" s="0" t="n">
        <v>12.78</v>
      </c>
      <c r="AG1283" s="22" t="b">
        <f aca="false">TRUE()</f>
        <v>1</v>
      </c>
      <c r="AH1283" s="0" t="n">
        <v>1</v>
      </c>
    </row>
    <row r="1284" customFormat="false" ht="15" hidden="false" customHeight="false" outlineLevel="0" collapsed="false">
      <c r="A1284" s="0" t="s">
        <v>1996</v>
      </c>
      <c r="B1284" s="0" t="s">
        <v>3459</v>
      </c>
      <c r="C1284" s="0" t="s">
        <v>3447</v>
      </c>
      <c r="D1284" s="0" t="s">
        <v>3457</v>
      </c>
      <c r="E1284" s="19" t="s">
        <v>26</v>
      </c>
      <c r="F1284" s="19" t="s">
        <v>32</v>
      </c>
      <c r="G1284" s="21" t="s">
        <v>529</v>
      </c>
      <c r="H1284" s="21" t="s">
        <v>24</v>
      </c>
      <c r="I1284" s="21" t="s">
        <v>26</v>
      </c>
      <c r="J1284" s="21" t="s">
        <v>24</v>
      </c>
      <c r="K1284" s="21" t="s">
        <v>24</v>
      </c>
      <c r="L1284" s="21" t="s">
        <v>24</v>
      </c>
      <c r="M1284" s="0" t="n">
        <v>183</v>
      </c>
      <c r="N1284" s="0" t="n">
        <v>8</v>
      </c>
      <c r="O1284" s="21" t="s">
        <v>4154</v>
      </c>
      <c r="P1284" s="21" t="s">
        <v>4689</v>
      </c>
      <c r="Q1284" s="0" t="n">
        <v>1</v>
      </c>
      <c r="R1284" s="21" t="s">
        <v>69</v>
      </c>
      <c r="S1284" s="0" t="n">
        <v>8</v>
      </c>
      <c r="T1284" s="21" t="s">
        <v>4154</v>
      </c>
      <c r="U1284" s="22" t="b">
        <f aca="false">FALSE()</f>
        <v>0</v>
      </c>
      <c r="V1284" s="0" t="n">
        <v>0.68</v>
      </c>
      <c r="W1284" s="0" t="n">
        <v>0.96</v>
      </c>
      <c r="X1284" s="0" t="n">
        <v>9.18</v>
      </c>
      <c r="Y1284" s="0" t="n">
        <v>305.74</v>
      </c>
      <c r="Z1284" s="0" t="n">
        <v>10.08</v>
      </c>
      <c r="AA1284" s="0" t="n">
        <v>4.39</v>
      </c>
      <c r="AB1284" s="0" t="n">
        <v>1.7</v>
      </c>
      <c r="AC1284" s="22" t="b">
        <f aca="false">FALSE()</f>
        <v>0</v>
      </c>
      <c r="AD1284" s="0" t="n">
        <v>19.34</v>
      </c>
      <c r="AE1284" s="0" t="n">
        <v>9.49</v>
      </c>
      <c r="AF1284" s="0" t="n">
        <v>17.78</v>
      </c>
      <c r="AG1284" s="22" t="b">
        <f aca="false">TRUE()</f>
        <v>1</v>
      </c>
      <c r="AH1284" s="0" t="n">
        <v>1</v>
      </c>
    </row>
    <row r="1285" customFormat="false" ht="15" hidden="false" customHeight="false" outlineLevel="0" collapsed="false">
      <c r="A1285" s="0" t="s">
        <v>1996</v>
      </c>
      <c r="B1285" s="0" t="s">
        <v>3459</v>
      </c>
      <c r="C1285" s="0" t="s">
        <v>3447</v>
      </c>
      <c r="D1285" s="0" t="s">
        <v>3448</v>
      </c>
      <c r="E1285" s="20" t="s">
        <v>25</v>
      </c>
      <c r="F1285" s="23" t="s">
        <v>30</v>
      </c>
      <c r="G1285" s="21" t="s">
        <v>2610</v>
      </c>
      <c r="H1285" s="21" t="s">
        <v>24</v>
      </c>
      <c r="I1285" s="21" t="s">
        <v>24</v>
      </c>
      <c r="J1285" s="21" t="s">
        <v>24</v>
      </c>
      <c r="K1285" s="21" t="s">
        <v>25</v>
      </c>
      <c r="L1285" s="21" t="s">
        <v>24</v>
      </c>
      <c r="M1285" s="0" t="n">
        <v>182</v>
      </c>
      <c r="N1285" s="0" t="n">
        <v>5</v>
      </c>
      <c r="O1285" s="21" t="s">
        <v>3745</v>
      </c>
      <c r="P1285" s="21" t="s">
        <v>4690</v>
      </c>
      <c r="Q1285" s="0" t="n">
        <v>0</v>
      </c>
      <c r="S1285" s="0" t="n">
        <v>5</v>
      </c>
      <c r="T1285" s="21" t="s">
        <v>3745</v>
      </c>
      <c r="U1285" s="22" t="b">
        <f aca="false">TRUE()</f>
        <v>1</v>
      </c>
      <c r="V1285" s="0" t="n">
        <v>0.72</v>
      </c>
      <c r="W1285" s="0" t="n">
        <v>0.36</v>
      </c>
      <c r="X1285" s="0" t="n">
        <v>9.49</v>
      </c>
      <c r="Y1285" s="0" t="n">
        <v>371.4</v>
      </c>
      <c r="Z1285" s="0" t="n">
        <v>10</v>
      </c>
      <c r="AA1285" s="0" t="n">
        <v>0.34</v>
      </c>
      <c r="AB1285" s="0" t="n">
        <v>0.74</v>
      </c>
      <c r="AC1285" s="22" t="b">
        <f aca="false">FALSE()</f>
        <v>0</v>
      </c>
      <c r="AD1285" s="0" t="n">
        <v>18.16</v>
      </c>
      <c r="AE1285" s="0" t="n">
        <v>4.55</v>
      </c>
      <c r="AF1285" s="0" t="n">
        <v>13.75</v>
      </c>
      <c r="AG1285" s="22" t="b">
        <f aca="false">TRUE()</f>
        <v>1</v>
      </c>
      <c r="AH1285" s="0" t="n">
        <v>1</v>
      </c>
    </row>
    <row r="1286" customFormat="false" ht="15" hidden="false" customHeight="false" outlineLevel="0" collapsed="false">
      <c r="A1286" s="0" t="s">
        <v>2001</v>
      </c>
      <c r="B1286" s="0" t="s">
        <v>134</v>
      </c>
      <c r="C1286" s="0" t="s">
        <v>3450</v>
      </c>
      <c r="D1286" s="0" t="s">
        <v>3457</v>
      </c>
      <c r="E1286" s="20" t="s">
        <v>25</v>
      </c>
      <c r="F1286" s="20" t="s">
        <v>29</v>
      </c>
      <c r="G1286" s="21" t="s">
        <v>3470</v>
      </c>
      <c r="H1286" s="21" t="s">
        <v>24</v>
      </c>
      <c r="I1286" s="21" t="s">
        <v>24</v>
      </c>
      <c r="J1286" s="21" t="s">
        <v>24</v>
      </c>
      <c r="K1286" s="21" t="s">
        <v>25</v>
      </c>
      <c r="L1286" s="21" t="s">
        <v>24</v>
      </c>
      <c r="M1286" s="0" t="n">
        <v>184</v>
      </c>
      <c r="N1286" s="0" t="n">
        <v>0</v>
      </c>
      <c r="Q1286" s="0" t="n">
        <v>0</v>
      </c>
      <c r="S1286" s="0" t="n">
        <v>0</v>
      </c>
      <c r="U1286" s="22" t="b">
        <f aca="false">FALSE()</f>
        <v>0</v>
      </c>
      <c r="V1286" s="0" t="n">
        <v>0.8</v>
      </c>
      <c r="W1286" s="0" t="n">
        <v>0.4</v>
      </c>
      <c r="X1286" s="0" t="n">
        <v>8.49</v>
      </c>
      <c r="Y1286" s="0" t="n">
        <v>345.13</v>
      </c>
      <c r="Z1286" s="0" t="n">
        <v>8.5</v>
      </c>
      <c r="AA1286" s="0" t="n">
        <v>3.82</v>
      </c>
      <c r="AB1286" s="0" t="n">
        <v>1.31</v>
      </c>
      <c r="AC1286" s="22" t="b">
        <f aca="false">FALSE()</f>
        <v>0</v>
      </c>
      <c r="AD1286" s="0" t="n">
        <v>23.3</v>
      </c>
      <c r="AE1286" s="0" t="n">
        <v>12.66</v>
      </c>
      <c r="AF1286" s="0" t="n">
        <v>17.55</v>
      </c>
      <c r="AG1286" s="22" t="b">
        <f aca="false">TRUE()</f>
        <v>1</v>
      </c>
      <c r="AH1286" s="0" t="n">
        <v>1</v>
      </c>
    </row>
    <row r="1287" customFormat="false" ht="15" hidden="false" customHeight="false" outlineLevel="0" collapsed="false">
      <c r="A1287" s="0" t="s">
        <v>2001</v>
      </c>
      <c r="B1287" s="0" t="s">
        <v>134</v>
      </c>
      <c r="C1287" s="0" t="s">
        <v>3450</v>
      </c>
      <c r="D1287" s="0" t="s">
        <v>3448</v>
      </c>
      <c r="E1287" s="20" t="s">
        <v>25</v>
      </c>
      <c r="F1287" s="23" t="s">
        <v>30</v>
      </c>
      <c r="G1287" s="21" t="s">
        <v>163</v>
      </c>
      <c r="H1287" s="21" t="s">
        <v>24</v>
      </c>
      <c r="I1287" s="21" t="s">
        <v>25</v>
      </c>
      <c r="J1287" s="21" t="s">
        <v>24</v>
      </c>
      <c r="K1287" s="21" t="s">
        <v>25</v>
      </c>
      <c r="L1287" s="21" t="s">
        <v>24</v>
      </c>
      <c r="M1287" s="0" t="n">
        <v>185</v>
      </c>
      <c r="N1287" s="0" t="n">
        <v>1</v>
      </c>
      <c r="O1287" s="21" t="s">
        <v>69</v>
      </c>
      <c r="P1287" s="21" t="s">
        <v>4275</v>
      </c>
      <c r="Q1287" s="0" t="n">
        <v>1</v>
      </c>
      <c r="R1287" s="21" t="s">
        <v>69</v>
      </c>
      <c r="S1287" s="0" t="n">
        <v>1</v>
      </c>
      <c r="T1287" s="21" t="s">
        <v>69</v>
      </c>
      <c r="U1287" s="22" t="b">
        <f aca="false">TRUE()</f>
        <v>1</v>
      </c>
      <c r="V1287" s="0" t="n">
        <v>0.81</v>
      </c>
      <c r="W1287" s="0" t="n">
        <v>0.44</v>
      </c>
      <c r="X1287" s="0" t="n">
        <v>8.87</v>
      </c>
      <c r="Y1287" s="0" t="n">
        <v>347.44</v>
      </c>
      <c r="Z1287" s="0" t="n">
        <v>9.08</v>
      </c>
      <c r="AA1287" s="0" t="n">
        <v>5.44</v>
      </c>
      <c r="AB1287" s="0" t="n">
        <v>0.44</v>
      </c>
      <c r="AC1287" s="22" t="b">
        <f aca="false">FALSE()</f>
        <v>0</v>
      </c>
      <c r="AD1287" s="0" t="n">
        <v>26.49</v>
      </c>
      <c r="AE1287" s="0" t="n">
        <v>13.54</v>
      </c>
      <c r="AF1287" s="0" t="n">
        <v>21.89</v>
      </c>
      <c r="AG1287" s="22" t="b">
        <f aca="false">TRUE()</f>
        <v>1</v>
      </c>
      <c r="AH1287" s="0" t="n">
        <v>1</v>
      </c>
    </row>
    <row r="1288" customFormat="false" ht="15" hidden="false" customHeight="false" outlineLevel="0" collapsed="false">
      <c r="A1288" s="0" t="s">
        <v>2001</v>
      </c>
      <c r="B1288" s="0" t="s">
        <v>134</v>
      </c>
      <c r="C1288" s="0" t="s">
        <v>3447</v>
      </c>
      <c r="D1288" s="0" t="s">
        <v>3457</v>
      </c>
      <c r="E1288" s="20" t="s">
        <v>25</v>
      </c>
      <c r="F1288" s="20" t="s">
        <v>29</v>
      </c>
      <c r="G1288" s="21" t="s">
        <v>3470</v>
      </c>
      <c r="H1288" s="21" t="s">
        <v>24</v>
      </c>
      <c r="I1288" s="21" t="s">
        <v>24</v>
      </c>
      <c r="J1288" s="21" t="s">
        <v>24</v>
      </c>
      <c r="K1288" s="21" t="s">
        <v>25</v>
      </c>
      <c r="L1288" s="21" t="s">
        <v>24</v>
      </c>
      <c r="M1288" s="0" t="n">
        <v>193</v>
      </c>
      <c r="N1288" s="0" t="n">
        <v>0</v>
      </c>
      <c r="Q1288" s="0" t="n">
        <v>0</v>
      </c>
      <c r="S1288" s="0" t="n">
        <v>0</v>
      </c>
      <c r="U1288" s="22" t="b">
        <f aca="false">FALSE()</f>
        <v>0</v>
      </c>
      <c r="V1288" s="0" t="n">
        <v>0.8</v>
      </c>
      <c r="W1288" s="0" t="n">
        <v>0.96</v>
      </c>
      <c r="X1288" s="0" t="n">
        <v>8.38</v>
      </c>
      <c r="Y1288" s="0" t="n">
        <v>328.18</v>
      </c>
      <c r="Z1288" s="0" t="n">
        <v>8.42</v>
      </c>
      <c r="AA1288" s="0" t="n">
        <v>2.99</v>
      </c>
      <c r="AB1288" s="0" t="n">
        <v>1.31</v>
      </c>
      <c r="AC1288" s="22" t="b">
        <f aca="false">FALSE()</f>
        <v>0</v>
      </c>
      <c r="AD1288" s="0" t="n">
        <v>23.64</v>
      </c>
      <c r="AE1288" s="0" t="n">
        <v>13.05</v>
      </c>
      <c r="AF1288" s="0" t="n">
        <v>19.06</v>
      </c>
      <c r="AG1288" s="22" t="b">
        <f aca="false">TRUE()</f>
        <v>1</v>
      </c>
      <c r="AH1288" s="0" t="n">
        <v>1</v>
      </c>
    </row>
    <row r="1289" customFormat="false" ht="15" hidden="false" customHeight="false" outlineLevel="0" collapsed="false">
      <c r="A1289" s="0" t="s">
        <v>2001</v>
      </c>
      <c r="B1289" s="0" t="s">
        <v>134</v>
      </c>
      <c r="C1289" s="0" t="s">
        <v>3447</v>
      </c>
      <c r="D1289" s="0" t="s">
        <v>3448</v>
      </c>
      <c r="E1289" s="20" t="s">
        <v>25</v>
      </c>
      <c r="F1289" s="23" t="s">
        <v>30</v>
      </c>
      <c r="G1289" s="21" t="s">
        <v>1152</v>
      </c>
      <c r="H1289" s="21" t="s">
        <v>24</v>
      </c>
      <c r="I1289" s="21" t="s">
        <v>25</v>
      </c>
      <c r="J1289" s="21" t="s">
        <v>24</v>
      </c>
      <c r="K1289" s="21" t="s">
        <v>25</v>
      </c>
      <c r="L1289" s="21" t="s">
        <v>24</v>
      </c>
      <c r="M1289" s="0" t="n">
        <v>186</v>
      </c>
      <c r="N1289" s="0" t="n">
        <v>1</v>
      </c>
      <c r="O1289" s="21" t="s">
        <v>69</v>
      </c>
      <c r="P1289" s="21" t="s">
        <v>4275</v>
      </c>
      <c r="Q1289" s="0" t="n">
        <v>1</v>
      </c>
      <c r="R1289" s="21" t="s">
        <v>69</v>
      </c>
      <c r="S1289" s="0" t="n">
        <v>1</v>
      </c>
      <c r="T1289" s="21" t="s">
        <v>69</v>
      </c>
      <c r="U1289" s="22" t="b">
        <f aca="false">TRUE()</f>
        <v>1</v>
      </c>
      <c r="V1289" s="0" t="n">
        <v>0.79</v>
      </c>
      <c r="W1289" s="0" t="n">
        <v>0.6</v>
      </c>
      <c r="X1289" s="0" t="n">
        <v>9.27</v>
      </c>
      <c r="Y1289" s="0" t="n">
        <v>325.78</v>
      </c>
      <c r="Z1289" s="0" t="n">
        <v>8.42</v>
      </c>
      <c r="AA1289" s="0" t="n">
        <v>-0.27</v>
      </c>
      <c r="AB1289" s="0" t="n">
        <v>0.44</v>
      </c>
      <c r="AC1289" s="22" t="b">
        <f aca="false">FALSE()</f>
        <v>0</v>
      </c>
      <c r="AD1289" s="0" t="n">
        <v>19.16</v>
      </c>
      <c r="AE1289" s="0" t="n">
        <v>7.67</v>
      </c>
      <c r="AF1289" s="0" t="n">
        <v>16.6</v>
      </c>
      <c r="AG1289" s="22" t="b">
        <f aca="false">TRUE()</f>
        <v>1</v>
      </c>
      <c r="AH1289" s="0" t="n">
        <v>1</v>
      </c>
    </row>
    <row r="1290" customFormat="false" ht="15" hidden="false" customHeight="false" outlineLevel="0" collapsed="false">
      <c r="A1290" s="0" t="s">
        <v>2001</v>
      </c>
      <c r="B1290" s="0" t="s">
        <v>3459</v>
      </c>
      <c r="C1290" s="0" t="s">
        <v>3450</v>
      </c>
      <c r="D1290" s="0" t="s">
        <v>3457</v>
      </c>
      <c r="E1290" s="20" t="s">
        <v>25</v>
      </c>
      <c r="F1290" s="20" t="s">
        <v>29</v>
      </c>
      <c r="G1290" s="21" t="s">
        <v>3470</v>
      </c>
      <c r="H1290" s="21" t="s">
        <v>24</v>
      </c>
      <c r="I1290" s="21" t="s">
        <v>24</v>
      </c>
      <c r="J1290" s="21" t="s">
        <v>24</v>
      </c>
      <c r="K1290" s="21" t="s">
        <v>25</v>
      </c>
      <c r="L1290" s="21" t="s">
        <v>24</v>
      </c>
      <c r="M1290" s="0" t="n">
        <v>184</v>
      </c>
      <c r="N1290" s="0" t="n">
        <v>0</v>
      </c>
      <c r="Q1290" s="0" t="n">
        <v>0</v>
      </c>
      <c r="S1290" s="0" t="n">
        <v>0</v>
      </c>
      <c r="U1290" s="22" t="b">
        <f aca="false">FALSE()</f>
        <v>0</v>
      </c>
      <c r="V1290" s="0" t="n">
        <v>0.83</v>
      </c>
      <c r="W1290" s="0" t="n">
        <v>0.48</v>
      </c>
      <c r="X1290" s="0" t="n">
        <v>8.03</v>
      </c>
      <c r="Y1290" s="0" t="n">
        <v>310.82</v>
      </c>
      <c r="Z1290" s="0" t="n">
        <v>8.75</v>
      </c>
      <c r="AA1290" s="0" t="n">
        <v>3.06</v>
      </c>
      <c r="AB1290" s="0" t="n">
        <v>1.32</v>
      </c>
      <c r="AC1290" s="22" t="b">
        <f aca="false">FALSE()</f>
        <v>0</v>
      </c>
      <c r="AD1290" s="0" t="n">
        <v>20.84</v>
      </c>
      <c r="AE1290" s="0" t="n">
        <v>7.21</v>
      </c>
      <c r="AF1290" s="0" t="n">
        <v>17.27</v>
      </c>
      <c r="AG1290" s="22" t="b">
        <f aca="false">TRUE()</f>
        <v>1</v>
      </c>
      <c r="AH1290" s="0" t="n">
        <v>1</v>
      </c>
    </row>
    <row r="1291" customFormat="false" ht="15" hidden="false" customHeight="false" outlineLevel="0" collapsed="false">
      <c r="A1291" s="0" t="s">
        <v>2001</v>
      </c>
      <c r="B1291" s="0" t="s">
        <v>3459</v>
      </c>
      <c r="C1291" s="0" t="s">
        <v>3450</v>
      </c>
      <c r="D1291" s="0" t="s">
        <v>3448</v>
      </c>
      <c r="E1291" s="20" t="s">
        <v>25</v>
      </c>
      <c r="F1291" s="20" t="s">
        <v>29</v>
      </c>
      <c r="G1291" s="21" t="s">
        <v>3470</v>
      </c>
      <c r="H1291" s="21" t="s">
        <v>24</v>
      </c>
      <c r="I1291" s="21" t="s">
        <v>24</v>
      </c>
      <c r="J1291" s="21" t="s">
        <v>24</v>
      </c>
      <c r="K1291" s="21" t="s">
        <v>25</v>
      </c>
      <c r="L1291" s="21" t="s">
        <v>24</v>
      </c>
      <c r="M1291" s="0" t="n">
        <v>184</v>
      </c>
      <c r="N1291" s="0" t="n">
        <v>0</v>
      </c>
      <c r="Q1291" s="0" t="n">
        <v>0</v>
      </c>
      <c r="S1291" s="0" t="n">
        <v>0</v>
      </c>
      <c r="U1291" s="22" t="b">
        <f aca="false">FALSE()</f>
        <v>0</v>
      </c>
      <c r="V1291" s="0" t="n">
        <v>0.85</v>
      </c>
      <c r="W1291" s="0" t="n">
        <v>0.16</v>
      </c>
      <c r="X1291" s="0" t="n">
        <v>8.72</v>
      </c>
      <c r="Y1291" s="0" t="n">
        <v>560.16</v>
      </c>
      <c r="Z1291" s="0" t="n">
        <v>8.33</v>
      </c>
      <c r="AA1291" s="0" t="n">
        <v>3.22</v>
      </c>
      <c r="AB1291" s="0" t="n">
        <v>1.38</v>
      </c>
      <c r="AC1291" s="22" t="b">
        <f aca="false">FALSE()</f>
        <v>0</v>
      </c>
      <c r="AD1291" s="0" t="n">
        <v>23.01</v>
      </c>
      <c r="AE1291" s="0" t="n">
        <v>13.17</v>
      </c>
      <c r="AF1291" s="0" t="n">
        <v>22.01</v>
      </c>
      <c r="AG1291" s="22" t="b">
        <f aca="false">TRUE()</f>
        <v>1</v>
      </c>
      <c r="AH1291" s="0" t="n">
        <v>1</v>
      </c>
    </row>
    <row r="1292" customFormat="false" ht="15" hidden="false" customHeight="false" outlineLevel="0" collapsed="false">
      <c r="A1292" s="0" t="s">
        <v>2001</v>
      </c>
      <c r="B1292" s="0" t="s">
        <v>3459</v>
      </c>
      <c r="C1292" s="0" t="s">
        <v>3447</v>
      </c>
      <c r="D1292" s="0" t="s">
        <v>3457</v>
      </c>
      <c r="E1292" s="20" t="s">
        <v>25</v>
      </c>
      <c r="F1292" s="20" t="s">
        <v>29</v>
      </c>
      <c r="G1292" s="21" t="s">
        <v>3470</v>
      </c>
      <c r="H1292" s="21" t="s">
        <v>24</v>
      </c>
      <c r="I1292" s="21" t="s">
        <v>24</v>
      </c>
      <c r="J1292" s="21" t="s">
        <v>24</v>
      </c>
      <c r="K1292" s="21" t="s">
        <v>25</v>
      </c>
      <c r="L1292" s="21" t="s">
        <v>24</v>
      </c>
      <c r="M1292" s="0" t="n">
        <v>184</v>
      </c>
      <c r="N1292" s="0" t="n">
        <v>0</v>
      </c>
      <c r="Q1292" s="0" t="n">
        <v>0</v>
      </c>
      <c r="S1292" s="0" t="n">
        <v>0</v>
      </c>
      <c r="U1292" s="22" t="b">
        <f aca="false">FALSE()</f>
        <v>0</v>
      </c>
      <c r="V1292" s="0" t="n">
        <v>0.83</v>
      </c>
      <c r="W1292" s="0" t="n">
        <v>0.2</v>
      </c>
      <c r="X1292" s="0" t="n">
        <v>7.68</v>
      </c>
      <c r="Y1292" s="0" t="n">
        <v>501.78</v>
      </c>
      <c r="Z1292" s="0" t="n">
        <v>9</v>
      </c>
      <c r="AA1292" s="0" t="n">
        <v>2.06</v>
      </c>
      <c r="AB1292" s="0" t="n">
        <v>1.32</v>
      </c>
      <c r="AC1292" s="22" t="b">
        <f aca="false">FALSE()</f>
        <v>0</v>
      </c>
      <c r="AD1292" s="0" t="n">
        <v>21.1</v>
      </c>
      <c r="AE1292" s="0" t="n">
        <v>7.8</v>
      </c>
      <c r="AF1292" s="0" t="n">
        <v>19.46</v>
      </c>
      <c r="AG1292" s="22" t="b">
        <f aca="false">TRUE()</f>
        <v>1</v>
      </c>
      <c r="AH1292" s="0" t="n">
        <v>1</v>
      </c>
    </row>
    <row r="1293" customFormat="false" ht="15" hidden="false" customHeight="false" outlineLevel="0" collapsed="false">
      <c r="A1293" s="0" t="s">
        <v>2001</v>
      </c>
      <c r="B1293" s="0" t="s">
        <v>3459</v>
      </c>
      <c r="C1293" s="0" t="s">
        <v>3447</v>
      </c>
      <c r="D1293" s="0" t="s">
        <v>3448</v>
      </c>
      <c r="E1293" s="20" t="s">
        <v>25</v>
      </c>
      <c r="F1293" s="20" t="s">
        <v>29</v>
      </c>
      <c r="G1293" s="21" t="s">
        <v>3470</v>
      </c>
      <c r="H1293" s="21" t="s">
        <v>24</v>
      </c>
      <c r="I1293" s="21" t="s">
        <v>24</v>
      </c>
      <c r="J1293" s="21" t="s">
        <v>24</v>
      </c>
      <c r="K1293" s="21" t="s">
        <v>25</v>
      </c>
      <c r="L1293" s="21" t="s">
        <v>24</v>
      </c>
      <c r="M1293" s="0" t="n">
        <v>184</v>
      </c>
      <c r="N1293" s="0" t="n">
        <v>0</v>
      </c>
      <c r="Q1293" s="0" t="n">
        <v>0</v>
      </c>
      <c r="S1293" s="0" t="n">
        <v>0</v>
      </c>
      <c r="U1293" s="22" t="b">
        <f aca="false">FALSE()</f>
        <v>0</v>
      </c>
      <c r="V1293" s="0" t="n">
        <v>0.87</v>
      </c>
      <c r="W1293" s="0" t="n">
        <v>0.24</v>
      </c>
      <c r="X1293" s="0" t="n">
        <v>8.97</v>
      </c>
      <c r="Y1293" s="0" t="n">
        <v>467.07</v>
      </c>
      <c r="Z1293" s="0" t="n">
        <v>8.33</v>
      </c>
      <c r="AA1293" s="0" t="n">
        <v>-0.95</v>
      </c>
      <c r="AB1293" s="0" t="n">
        <v>1.38</v>
      </c>
      <c r="AC1293" s="22" t="b">
        <f aca="false">FALSE()</f>
        <v>0</v>
      </c>
      <c r="AD1293" s="0" t="n">
        <v>21.89</v>
      </c>
      <c r="AE1293" s="0" t="n">
        <v>12.1</v>
      </c>
      <c r="AF1293" s="0" t="n">
        <v>21.53</v>
      </c>
      <c r="AG1293" s="22" t="b">
        <f aca="false">TRUE()</f>
        <v>1</v>
      </c>
      <c r="AH1293" s="0" t="n">
        <v>1</v>
      </c>
    </row>
    <row r="1294" customFormat="false" ht="15" hidden="false" customHeight="false" outlineLevel="0" collapsed="false">
      <c r="A1294" s="0" t="s">
        <v>2010</v>
      </c>
      <c r="B1294" s="0" t="s">
        <v>134</v>
      </c>
      <c r="C1294" s="0" t="s">
        <v>3450</v>
      </c>
      <c r="D1294" s="0" t="s">
        <v>3457</v>
      </c>
      <c r="E1294" s="18" t="s">
        <v>24</v>
      </c>
      <c r="F1294" s="18" t="s">
        <v>28</v>
      </c>
      <c r="H1294" s="21" t="s">
        <v>24</v>
      </c>
      <c r="I1294" s="21" t="s">
        <v>24</v>
      </c>
      <c r="J1294" s="21" t="s">
        <v>24</v>
      </c>
      <c r="K1294" s="21" t="s">
        <v>24</v>
      </c>
      <c r="L1294" s="21" t="s">
        <v>24</v>
      </c>
      <c r="M1294" s="0" t="n">
        <v>190</v>
      </c>
      <c r="N1294" s="0" t="n">
        <v>0</v>
      </c>
      <c r="Q1294" s="0" t="n">
        <v>0</v>
      </c>
      <c r="S1294" s="0" t="n">
        <v>0</v>
      </c>
      <c r="U1294" s="22" t="b">
        <f aca="false">FALSE()</f>
        <v>0</v>
      </c>
      <c r="V1294" s="0" t="n">
        <v>0.76</v>
      </c>
      <c r="W1294" s="0" t="n">
        <v>0.76</v>
      </c>
      <c r="X1294" s="0" t="n">
        <v>7.21</v>
      </c>
      <c r="Y1294" s="0" t="n">
        <v>293.62</v>
      </c>
      <c r="Z1294" s="0" t="n">
        <v>10</v>
      </c>
      <c r="AA1294" s="0" t="n">
        <v>7.53</v>
      </c>
      <c r="AB1294" s="0" t="n">
        <v>4.16</v>
      </c>
      <c r="AC1294" s="22" t="b">
        <f aca="false">FALSE()</f>
        <v>0</v>
      </c>
      <c r="AD1294" s="0" t="n">
        <v>8.77</v>
      </c>
      <c r="AE1294" s="0" t="n">
        <v>1.01</v>
      </c>
      <c r="AF1294" s="0" t="n">
        <v>9.65</v>
      </c>
      <c r="AG1294" s="22" t="b">
        <f aca="false">FALSE()</f>
        <v>0</v>
      </c>
      <c r="AH1294" s="0" t="n">
        <v>1</v>
      </c>
    </row>
    <row r="1295" customFormat="false" ht="15" hidden="false" customHeight="false" outlineLevel="0" collapsed="false">
      <c r="A1295" s="0" t="s">
        <v>2010</v>
      </c>
      <c r="B1295" s="0" t="s">
        <v>134</v>
      </c>
      <c r="C1295" s="0" t="s">
        <v>3450</v>
      </c>
      <c r="D1295" s="0" t="s">
        <v>3448</v>
      </c>
      <c r="E1295" s="20" t="s">
        <v>25</v>
      </c>
      <c r="F1295" s="20" t="s">
        <v>29</v>
      </c>
      <c r="G1295" s="21" t="s">
        <v>64</v>
      </c>
      <c r="H1295" s="21" t="s">
        <v>24</v>
      </c>
      <c r="I1295" s="21" t="s">
        <v>24</v>
      </c>
      <c r="J1295" s="21" t="s">
        <v>24</v>
      </c>
      <c r="K1295" s="21" t="s">
        <v>25</v>
      </c>
      <c r="L1295" s="21" t="s">
        <v>24</v>
      </c>
      <c r="M1295" s="0" t="n">
        <v>184</v>
      </c>
      <c r="N1295" s="0" t="n">
        <v>0</v>
      </c>
      <c r="Q1295" s="0" t="n">
        <v>0</v>
      </c>
      <c r="S1295" s="0" t="n">
        <v>0</v>
      </c>
      <c r="U1295" s="22" t="b">
        <f aca="false">FALSE()</f>
        <v>0</v>
      </c>
      <c r="V1295" s="0" t="n">
        <v>0.77</v>
      </c>
      <c r="W1295" s="0" t="n">
        <v>0.12</v>
      </c>
      <c r="X1295" s="0" t="n">
        <v>6.53</v>
      </c>
      <c r="Y1295" s="0" t="n">
        <v>543.16</v>
      </c>
      <c r="Z1295" s="0" t="n">
        <v>10.25</v>
      </c>
      <c r="AA1295" s="0" t="n">
        <v>5.63</v>
      </c>
      <c r="AB1295" s="0" t="n">
        <v>0.93</v>
      </c>
      <c r="AC1295" s="22" t="b">
        <f aca="false">FALSE()</f>
        <v>0</v>
      </c>
      <c r="AD1295" s="0" t="n">
        <v>12.9</v>
      </c>
      <c r="AE1295" s="0" t="n">
        <v>1.96</v>
      </c>
      <c r="AF1295" s="0" t="n">
        <v>13.04</v>
      </c>
      <c r="AG1295" s="22" t="b">
        <f aca="false">TRUE()</f>
        <v>1</v>
      </c>
      <c r="AH1295" s="0" t="n">
        <v>1</v>
      </c>
    </row>
    <row r="1296" customFormat="false" ht="15" hidden="false" customHeight="false" outlineLevel="0" collapsed="false">
      <c r="A1296" s="0" t="s">
        <v>2010</v>
      </c>
      <c r="B1296" s="0" t="s">
        <v>134</v>
      </c>
      <c r="C1296" s="0" t="s">
        <v>3447</v>
      </c>
      <c r="D1296" s="0" t="s">
        <v>3457</v>
      </c>
      <c r="E1296" s="19" t="s">
        <v>26</v>
      </c>
      <c r="F1296" s="19" t="s">
        <v>32</v>
      </c>
      <c r="G1296" s="21" t="s">
        <v>529</v>
      </c>
      <c r="H1296" s="21" t="s">
        <v>24</v>
      </c>
      <c r="I1296" s="21" t="s">
        <v>26</v>
      </c>
      <c r="J1296" s="21" t="s">
        <v>24</v>
      </c>
      <c r="K1296" s="21" t="s">
        <v>24</v>
      </c>
      <c r="L1296" s="21" t="s">
        <v>24</v>
      </c>
      <c r="M1296" s="0" t="n">
        <v>183</v>
      </c>
      <c r="N1296" s="0" t="n">
        <v>13</v>
      </c>
      <c r="O1296" s="21" t="s">
        <v>4023</v>
      </c>
      <c r="P1296" s="21" t="s">
        <v>4229</v>
      </c>
      <c r="Q1296" s="0" t="n">
        <v>1</v>
      </c>
      <c r="R1296" s="21" t="s">
        <v>69</v>
      </c>
      <c r="S1296" s="0" t="n">
        <v>13</v>
      </c>
      <c r="T1296" s="21" t="s">
        <v>4023</v>
      </c>
      <c r="U1296" s="22" t="b">
        <f aca="false">FALSE()</f>
        <v>0</v>
      </c>
      <c r="V1296" s="0" t="n">
        <v>0.81</v>
      </c>
      <c r="W1296" s="0" t="n">
        <v>0.52</v>
      </c>
      <c r="X1296" s="0" t="n">
        <v>7.9</v>
      </c>
      <c r="Y1296" s="0" t="n">
        <v>306.76</v>
      </c>
      <c r="Z1296" s="0" t="n">
        <v>11.33</v>
      </c>
      <c r="AA1296" s="0" t="n">
        <v>2.49</v>
      </c>
      <c r="AB1296" s="0" t="n">
        <v>4.16</v>
      </c>
      <c r="AC1296" s="22" t="b">
        <f aca="false">FALSE()</f>
        <v>0</v>
      </c>
      <c r="AD1296" s="0" t="n">
        <v>11.05</v>
      </c>
      <c r="AE1296" s="0" t="n">
        <v>1.06</v>
      </c>
      <c r="AF1296" s="0" t="n">
        <v>12.65</v>
      </c>
      <c r="AG1296" s="22" t="b">
        <f aca="false">TRUE()</f>
        <v>1</v>
      </c>
      <c r="AH1296" s="0" t="n">
        <v>1</v>
      </c>
    </row>
    <row r="1297" customFormat="false" ht="15" hidden="false" customHeight="false" outlineLevel="0" collapsed="false">
      <c r="A1297" s="0" t="s">
        <v>2010</v>
      </c>
      <c r="B1297" s="0" t="s">
        <v>134</v>
      </c>
      <c r="C1297" s="0" t="s">
        <v>3447</v>
      </c>
      <c r="D1297" s="0" t="s">
        <v>3448</v>
      </c>
      <c r="E1297" s="20" t="s">
        <v>25</v>
      </c>
      <c r="F1297" s="23" t="s">
        <v>30</v>
      </c>
      <c r="G1297" s="21" t="s">
        <v>2610</v>
      </c>
      <c r="H1297" s="21" t="s">
        <v>24</v>
      </c>
      <c r="I1297" s="21" t="s">
        <v>24</v>
      </c>
      <c r="J1297" s="21" t="s">
        <v>24</v>
      </c>
      <c r="K1297" s="21" t="s">
        <v>25</v>
      </c>
      <c r="L1297" s="21" t="s">
        <v>24</v>
      </c>
      <c r="M1297" s="0" t="n">
        <v>184</v>
      </c>
      <c r="N1297" s="0" t="n">
        <v>4</v>
      </c>
      <c r="O1297" s="21" t="s">
        <v>3597</v>
      </c>
      <c r="P1297" s="21" t="s">
        <v>4344</v>
      </c>
      <c r="Q1297" s="0" t="n">
        <v>0</v>
      </c>
      <c r="S1297" s="0" t="n">
        <v>4</v>
      </c>
      <c r="T1297" s="21" t="s">
        <v>3597</v>
      </c>
      <c r="U1297" s="22" t="b">
        <f aca="false">TRUE()</f>
        <v>1</v>
      </c>
      <c r="V1297" s="0" t="n">
        <v>0.83</v>
      </c>
      <c r="W1297" s="0" t="n">
        <v>0.92</v>
      </c>
      <c r="X1297" s="0" t="n">
        <v>8.08</v>
      </c>
      <c r="Y1297" s="0" t="n">
        <v>251.8</v>
      </c>
      <c r="Z1297" s="0" t="n">
        <v>9.75</v>
      </c>
      <c r="AA1297" s="0" t="n">
        <v>-1.29</v>
      </c>
      <c r="AB1297" s="0" t="n">
        <v>0.93</v>
      </c>
      <c r="AC1297" s="22" t="b">
        <f aca="false">FALSE()</f>
        <v>0</v>
      </c>
      <c r="AD1297" s="0" t="n">
        <v>11.53</v>
      </c>
      <c r="AE1297" s="0" t="n">
        <v>0.63</v>
      </c>
      <c r="AF1297" s="0" t="n">
        <v>13.37</v>
      </c>
      <c r="AG1297" s="22" t="b">
        <f aca="false">TRUE()</f>
        <v>1</v>
      </c>
      <c r="AH1297" s="0" t="n">
        <v>1</v>
      </c>
    </row>
    <row r="1298" customFormat="false" ht="15" hidden="false" customHeight="false" outlineLevel="0" collapsed="false">
      <c r="A1298" s="0" t="s">
        <v>2016</v>
      </c>
      <c r="B1298" s="0" t="s">
        <v>134</v>
      </c>
      <c r="C1298" s="0" t="s">
        <v>3450</v>
      </c>
      <c r="D1298" s="0" t="s">
        <v>3457</v>
      </c>
      <c r="E1298" s="18" t="s">
        <v>24</v>
      </c>
      <c r="F1298" s="23" t="s">
        <v>30</v>
      </c>
      <c r="G1298" s="21" t="s">
        <v>30</v>
      </c>
      <c r="H1298" s="21" t="s">
        <v>24</v>
      </c>
      <c r="I1298" s="21" t="s">
        <v>24</v>
      </c>
      <c r="J1298" s="21" t="s">
        <v>24</v>
      </c>
      <c r="K1298" s="21" t="s">
        <v>24</v>
      </c>
      <c r="L1298" s="21" t="s">
        <v>24</v>
      </c>
      <c r="M1298" s="0" t="n">
        <v>220</v>
      </c>
      <c r="N1298" s="0" t="n">
        <v>1</v>
      </c>
      <c r="O1298" s="21" t="s">
        <v>3507</v>
      </c>
      <c r="P1298" s="21" t="s">
        <v>4691</v>
      </c>
      <c r="Q1298" s="0" t="n">
        <v>0</v>
      </c>
      <c r="S1298" s="0" t="n">
        <v>1</v>
      </c>
      <c r="T1298" s="21" t="s">
        <v>3507</v>
      </c>
      <c r="U1298" s="22" t="b">
        <f aca="false">TRUE()</f>
        <v>1</v>
      </c>
      <c r="V1298" s="0" t="n">
        <v>0.7</v>
      </c>
      <c r="W1298" s="0" t="n">
        <v>0.28</v>
      </c>
      <c r="X1298" s="0" t="n">
        <v>7.27</v>
      </c>
      <c r="Y1298" s="0" t="n">
        <v>502.09</v>
      </c>
      <c r="Z1298" s="0" t="n">
        <v>10</v>
      </c>
      <c r="AA1298" s="0" t="n">
        <v>10.95</v>
      </c>
      <c r="AB1298" s="0" t="n">
        <v>6.49</v>
      </c>
      <c r="AC1298" s="22" t="b">
        <f aca="false">FALSE()</f>
        <v>0</v>
      </c>
      <c r="AD1298" s="0" t="n">
        <v>12.67</v>
      </c>
      <c r="AE1298" s="0" t="n">
        <v>0.57</v>
      </c>
      <c r="AF1298" s="0" t="n">
        <v>3.91</v>
      </c>
      <c r="AG1298" s="22" t="b">
        <f aca="false">TRUE()</f>
        <v>1</v>
      </c>
      <c r="AH1298" s="0" t="n">
        <v>1</v>
      </c>
    </row>
    <row r="1299" customFormat="false" ht="15" hidden="false" customHeight="false" outlineLevel="0" collapsed="false">
      <c r="A1299" s="0" t="s">
        <v>2016</v>
      </c>
      <c r="B1299" s="0" t="s">
        <v>134</v>
      </c>
      <c r="C1299" s="0" t="s">
        <v>3450</v>
      </c>
      <c r="D1299" s="0" t="s">
        <v>3448</v>
      </c>
      <c r="E1299" s="18" t="s">
        <v>24</v>
      </c>
      <c r="F1299" s="18" t="s">
        <v>28</v>
      </c>
      <c r="H1299" s="21" t="s">
        <v>24</v>
      </c>
      <c r="I1299" s="21" t="s">
        <v>24</v>
      </c>
      <c r="J1299" s="21" t="s">
        <v>24</v>
      </c>
      <c r="K1299" s="21" t="s">
        <v>24</v>
      </c>
      <c r="L1299" s="21" t="s">
        <v>24</v>
      </c>
      <c r="M1299" s="0" t="n">
        <v>185</v>
      </c>
      <c r="N1299" s="0" t="n">
        <v>0</v>
      </c>
      <c r="Q1299" s="0" t="n">
        <v>0</v>
      </c>
      <c r="S1299" s="0" t="n">
        <v>0</v>
      </c>
      <c r="U1299" s="22" t="b">
        <f aca="false">FALSE()</f>
        <v>0</v>
      </c>
      <c r="V1299" s="0" t="n">
        <v>0.76</v>
      </c>
      <c r="W1299" s="0" t="n">
        <v>0.12</v>
      </c>
      <c r="X1299" s="0" t="n">
        <v>7.03</v>
      </c>
      <c r="Y1299" s="0" t="n">
        <v>624.23</v>
      </c>
      <c r="Z1299" s="0" t="n">
        <v>10</v>
      </c>
      <c r="AA1299" s="0" t="n">
        <v>11.73</v>
      </c>
      <c r="AB1299" s="0" t="n">
        <v>7.49</v>
      </c>
      <c r="AC1299" s="22" t="b">
        <f aca="false">FALSE()</f>
        <v>0</v>
      </c>
      <c r="AD1299" s="0" t="n">
        <v>11.23</v>
      </c>
      <c r="AE1299" s="0" t="n">
        <v>0.95</v>
      </c>
      <c r="AF1299" s="0" t="n">
        <v>0.51</v>
      </c>
      <c r="AG1299" s="22" t="b">
        <f aca="false">TRUE()</f>
        <v>1</v>
      </c>
      <c r="AH1299" s="0" t="n">
        <v>1</v>
      </c>
    </row>
    <row r="1300" customFormat="false" ht="15" hidden="false" customHeight="false" outlineLevel="0" collapsed="false">
      <c r="A1300" s="0" t="s">
        <v>2016</v>
      </c>
      <c r="B1300" s="0" t="s">
        <v>134</v>
      </c>
      <c r="C1300" s="0" t="s">
        <v>3447</v>
      </c>
      <c r="D1300" s="0" t="s">
        <v>3457</v>
      </c>
      <c r="E1300" s="18" t="s">
        <v>24</v>
      </c>
      <c r="F1300" s="18" t="s">
        <v>28</v>
      </c>
      <c r="H1300" s="21" t="s">
        <v>24</v>
      </c>
      <c r="I1300" s="21" t="s">
        <v>24</v>
      </c>
      <c r="J1300" s="21" t="s">
        <v>24</v>
      </c>
      <c r="K1300" s="21" t="s">
        <v>24</v>
      </c>
      <c r="L1300" s="21" t="s">
        <v>24</v>
      </c>
      <c r="M1300" s="0" t="n">
        <v>184</v>
      </c>
      <c r="N1300" s="0" t="n">
        <v>0</v>
      </c>
      <c r="Q1300" s="0" t="n">
        <v>0</v>
      </c>
      <c r="S1300" s="0" t="n">
        <v>0</v>
      </c>
      <c r="U1300" s="22" t="b">
        <f aca="false">FALSE()</f>
        <v>0</v>
      </c>
      <c r="V1300" s="0" t="n">
        <v>0.72</v>
      </c>
      <c r="W1300" s="0" t="n">
        <v>0.12</v>
      </c>
      <c r="X1300" s="0" t="n">
        <v>6.34</v>
      </c>
      <c r="Y1300" s="0" t="n">
        <v>611.59</v>
      </c>
      <c r="Z1300" s="0" t="n">
        <v>8.08</v>
      </c>
      <c r="AA1300" s="0" t="n">
        <v>0.63</v>
      </c>
      <c r="AB1300" s="0" t="n">
        <v>6.49</v>
      </c>
      <c r="AC1300" s="22" t="b">
        <f aca="false">FALSE()</f>
        <v>0</v>
      </c>
      <c r="AD1300" s="0" t="n">
        <v>14.89</v>
      </c>
      <c r="AE1300" s="0" t="n">
        <v>0.76</v>
      </c>
      <c r="AF1300" s="0" t="n">
        <v>5.58</v>
      </c>
      <c r="AG1300" s="22" t="b">
        <f aca="false">TRUE()</f>
        <v>1</v>
      </c>
      <c r="AH1300" s="0" t="n">
        <v>1</v>
      </c>
    </row>
    <row r="1301" customFormat="false" ht="15" hidden="false" customHeight="false" outlineLevel="0" collapsed="false">
      <c r="A1301" s="0" t="s">
        <v>2016</v>
      </c>
      <c r="B1301" s="0" t="s">
        <v>134</v>
      </c>
      <c r="C1301" s="0" t="s">
        <v>3447</v>
      </c>
      <c r="D1301" s="0" t="s">
        <v>3448</v>
      </c>
      <c r="E1301" s="18" t="s">
        <v>24</v>
      </c>
      <c r="F1301" s="18" t="s">
        <v>28</v>
      </c>
      <c r="H1301" s="21" t="s">
        <v>24</v>
      </c>
      <c r="I1301" s="21" t="s">
        <v>24</v>
      </c>
      <c r="J1301" s="21" t="s">
        <v>24</v>
      </c>
      <c r="K1301" s="21" t="s">
        <v>24</v>
      </c>
      <c r="L1301" s="21" t="s">
        <v>24</v>
      </c>
      <c r="M1301" s="0" t="n">
        <v>217</v>
      </c>
      <c r="N1301" s="0" t="n">
        <v>0</v>
      </c>
      <c r="Q1301" s="0" t="n">
        <v>0</v>
      </c>
      <c r="S1301" s="0" t="n">
        <v>0</v>
      </c>
      <c r="U1301" s="22" t="b">
        <f aca="false">FALSE()</f>
        <v>0</v>
      </c>
      <c r="V1301" s="0" t="n">
        <v>0.74</v>
      </c>
      <c r="W1301" s="0" t="n">
        <v>0.36</v>
      </c>
      <c r="X1301" s="0" t="n">
        <v>5.95</v>
      </c>
      <c r="Y1301" s="0" t="n">
        <v>440.77</v>
      </c>
      <c r="Z1301" s="0" t="n">
        <v>8.08</v>
      </c>
      <c r="AA1301" s="0" t="n">
        <v>0.05</v>
      </c>
      <c r="AB1301" s="0" t="n">
        <v>7.49</v>
      </c>
      <c r="AC1301" s="22" t="b">
        <f aca="false">FALSE()</f>
        <v>0</v>
      </c>
      <c r="AD1301" s="0" t="n">
        <v>11.26</v>
      </c>
      <c r="AE1301" s="0" t="n">
        <v>0.72</v>
      </c>
      <c r="AF1301" s="0" t="n">
        <v>1.26</v>
      </c>
      <c r="AG1301" s="22" t="b">
        <f aca="false">TRUE()</f>
        <v>1</v>
      </c>
      <c r="AH1301" s="0" t="n">
        <v>1</v>
      </c>
    </row>
    <row r="1302" customFormat="false" ht="15" hidden="false" customHeight="false" outlineLevel="0" collapsed="false">
      <c r="A1302" s="0" t="s">
        <v>2021</v>
      </c>
      <c r="B1302" s="0" t="s">
        <v>134</v>
      </c>
      <c r="C1302" s="0" t="s">
        <v>3450</v>
      </c>
      <c r="D1302" s="0" t="s">
        <v>3457</v>
      </c>
      <c r="E1302" s="20" t="s">
        <v>25</v>
      </c>
      <c r="F1302" s="20" t="s">
        <v>29</v>
      </c>
      <c r="G1302" s="21" t="s">
        <v>3466</v>
      </c>
      <c r="H1302" s="21" t="s">
        <v>24</v>
      </c>
      <c r="I1302" s="21" t="s">
        <v>24</v>
      </c>
      <c r="J1302" s="21" t="s">
        <v>24</v>
      </c>
      <c r="K1302" s="21" t="s">
        <v>25</v>
      </c>
      <c r="L1302" s="21" t="s">
        <v>24</v>
      </c>
      <c r="M1302" s="0" t="n">
        <v>183</v>
      </c>
      <c r="N1302" s="0" t="n">
        <v>0</v>
      </c>
      <c r="Q1302" s="0" t="n">
        <v>0</v>
      </c>
      <c r="S1302" s="0" t="n">
        <v>0</v>
      </c>
      <c r="U1302" s="22" t="b">
        <f aca="false">FALSE()</f>
        <v>0</v>
      </c>
      <c r="V1302" s="0" t="n">
        <v>0.71</v>
      </c>
      <c r="W1302" s="0" t="n">
        <v>0.36</v>
      </c>
      <c r="X1302" s="0" t="n">
        <v>5.8</v>
      </c>
      <c r="Y1302" s="0" t="n">
        <v>355.25</v>
      </c>
      <c r="Z1302" s="0" t="n">
        <v>11.5</v>
      </c>
      <c r="AA1302" s="0" t="n">
        <v>1.71</v>
      </c>
      <c r="AB1302" s="0" t="n">
        <v>0.92</v>
      </c>
      <c r="AC1302" s="22" t="b">
        <f aca="false">TRUE()</f>
        <v>1</v>
      </c>
      <c r="AD1302" s="0" t="n">
        <v>10.66</v>
      </c>
      <c r="AE1302" s="0" t="n">
        <v>2.65</v>
      </c>
      <c r="AF1302" s="0" t="n">
        <v>10.3</v>
      </c>
      <c r="AG1302" s="22" t="b">
        <f aca="false">TRUE()</f>
        <v>1</v>
      </c>
      <c r="AH1302" s="0" t="n">
        <v>1</v>
      </c>
    </row>
    <row r="1303" customFormat="false" ht="15" hidden="false" customHeight="false" outlineLevel="0" collapsed="false">
      <c r="A1303" s="0" t="s">
        <v>2021</v>
      </c>
      <c r="B1303" s="0" t="s">
        <v>134</v>
      </c>
      <c r="C1303" s="0" t="s">
        <v>3450</v>
      </c>
      <c r="D1303" s="0" t="s">
        <v>3448</v>
      </c>
      <c r="E1303" s="18" t="s">
        <v>24</v>
      </c>
      <c r="F1303" s="18" t="s">
        <v>28</v>
      </c>
      <c r="H1303" s="21" t="s">
        <v>24</v>
      </c>
      <c r="I1303" s="21" t="s">
        <v>24</v>
      </c>
      <c r="J1303" s="21" t="s">
        <v>24</v>
      </c>
      <c r="K1303" s="21" t="s">
        <v>24</v>
      </c>
      <c r="L1303" s="21" t="s">
        <v>24</v>
      </c>
      <c r="M1303" s="0" t="n">
        <v>183</v>
      </c>
      <c r="N1303" s="0" t="n">
        <v>0</v>
      </c>
      <c r="Q1303" s="0" t="n">
        <v>0</v>
      </c>
      <c r="S1303" s="0" t="n">
        <v>0</v>
      </c>
      <c r="U1303" s="22" t="b">
        <f aca="false">FALSE()</f>
        <v>0</v>
      </c>
      <c r="V1303" s="0" t="n">
        <v>0.75</v>
      </c>
      <c r="W1303" s="0" t="n">
        <v>0</v>
      </c>
      <c r="X1303" s="0" t="n">
        <v>5.77</v>
      </c>
      <c r="Y1303" s="0" t="n">
        <v>693.07</v>
      </c>
      <c r="Z1303" s="0" t="n">
        <v>11.08</v>
      </c>
      <c r="AA1303" s="0" t="n">
        <v>4.59</v>
      </c>
      <c r="AB1303" s="0" t="n">
        <v>2.14</v>
      </c>
      <c r="AC1303" s="22" t="b">
        <f aca="false">FALSE()</f>
        <v>0</v>
      </c>
      <c r="AD1303" s="0" t="n">
        <v>7.27</v>
      </c>
      <c r="AE1303" s="0" t="n">
        <v>1.57</v>
      </c>
      <c r="AF1303" s="0" t="n">
        <v>14.45</v>
      </c>
      <c r="AG1303" s="22" t="b">
        <f aca="false">FALSE()</f>
        <v>0</v>
      </c>
      <c r="AH1303" s="0" t="n">
        <v>1</v>
      </c>
    </row>
    <row r="1304" customFormat="false" ht="15" hidden="false" customHeight="false" outlineLevel="0" collapsed="false">
      <c r="A1304" s="0" t="s">
        <v>2021</v>
      </c>
      <c r="B1304" s="0" t="s">
        <v>134</v>
      </c>
      <c r="C1304" s="0" t="s">
        <v>3447</v>
      </c>
      <c r="D1304" s="0" t="s">
        <v>3457</v>
      </c>
      <c r="E1304" s="19" t="s">
        <v>26</v>
      </c>
      <c r="F1304" s="19" t="s">
        <v>32</v>
      </c>
      <c r="G1304" s="21" t="s">
        <v>3885</v>
      </c>
      <c r="H1304" s="21" t="s">
        <v>24</v>
      </c>
      <c r="I1304" s="21" t="s">
        <v>26</v>
      </c>
      <c r="J1304" s="21" t="s">
        <v>24</v>
      </c>
      <c r="K1304" s="21" t="s">
        <v>25</v>
      </c>
      <c r="L1304" s="21" t="s">
        <v>24</v>
      </c>
      <c r="M1304" s="0" t="n">
        <v>182</v>
      </c>
      <c r="N1304" s="0" t="n">
        <v>7</v>
      </c>
      <c r="O1304" s="21" t="s">
        <v>3900</v>
      </c>
      <c r="P1304" s="21" t="s">
        <v>4692</v>
      </c>
      <c r="Q1304" s="0" t="n">
        <v>0</v>
      </c>
      <c r="S1304" s="0" t="n">
        <v>7</v>
      </c>
      <c r="T1304" s="21" t="s">
        <v>3900</v>
      </c>
      <c r="U1304" s="22" t="b">
        <f aca="false">FALSE()</f>
        <v>0</v>
      </c>
      <c r="V1304" s="0" t="n">
        <v>0.74</v>
      </c>
      <c r="W1304" s="0" t="n">
        <v>0.36</v>
      </c>
      <c r="X1304" s="0" t="n">
        <v>7.36</v>
      </c>
      <c r="Y1304" s="0" t="n">
        <v>357.84</v>
      </c>
      <c r="Z1304" s="0" t="n">
        <v>8</v>
      </c>
      <c r="AA1304" s="0" t="n">
        <v>-0.2</v>
      </c>
      <c r="AB1304" s="0" t="n">
        <v>0.92</v>
      </c>
      <c r="AC1304" s="22" t="b">
        <f aca="false">FALSE()</f>
        <v>0</v>
      </c>
      <c r="AD1304" s="0" t="n">
        <v>8.57</v>
      </c>
      <c r="AE1304" s="0" t="n">
        <v>2.86</v>
      </c>
      <c r="AF1304" s="0" t="n">
        <v>10.54</v>
      </c>
      <c r="AG1304" s="22" t="b">
        <f aca="false">FALSE()</f>
        <v>0</v>
      </c>
      <c r="AH1304" s="0" t="n">
        <v>1</v>
      </c>
    </row>
    <row r="1305" customFormat="false" ht="15" hidden="false" customHeight="false" outlineLevel="0" collapsed="false">
      <c r="A1305" s="0" t="s">
        <v>2021</v>
      </c>
      <c r="B1305" s="0" t="s">
        <v>134</v>
      </c>
      <c r="C1305" s="0" t="s">
        <v>3447</v>
      </c>
      <c r="D1305" s="0" t="s">
        <v>3448</v>
      </c>
      <c r="E1305" s="18" t="s">
        <v>24</v>
      </c>
      <c r="F1305" s="23" t="s">
        <v>30</v>
      </c>
      <c r="G1305" s="21" t="s">
        <v>30</v>
      </c>
      <c r="H1305" s="21" t="s">
        <v>24</v>
      </c>
      <c r="I1305" s="21" t="s">
        <v>24</v>
      </c>
      <c r="J1305" s="21" t="s">
        <v>24</v>
      </c>
      <c r="K1305" s="21" t="s">
        <v>24</v>
      </c>
      <c r="L1305" s="21" t="s">
        <v>24</v>
      </c>
      <c r="M1305" s="0" t="n">
        <v>183</v>
      </c>
      <c r="N1305" s="0" t="n">
        <v>2</v>
      </c>
      <c r="O1305" s="21" t="s">
        <v>3499</v>
      </c>
      <c r="P1305" s="21" t="s">
        <v>4250</v>
      </c>
      <c r="Q1305" s="0" t="n">
        <v>0</v>
      </c>
      <c r="S1305" s="0" t="n">
        <v>2</v>
      </c>
      <c r="T1305" s="21" t="s">
        <v>3499</v>
      </c>
      <c r="U1305" s="22" t="b">
        <f aca="false">TRUE()</f>
        <v>1</v>
      </c>
      <c r="V1305" s="0" t="n">
        <v>0.82</v>
      </c>
      <c r="W1305" s="0" t="n">
        <v>0.88</v>
      </c>
      <c r="X1305" s="0" t="n">
        <v>7.35</v>
      </c>
      <c r="Y1305" s="0" t="n">
        <v>319.25</v>
      </c>
      <c r="Z1305" s="0" t="n">
        <v>10</v>
      </c>
      <c r="AA1305" s="0" t="n">
        <v>-1.78</v>
      </c>
      <c r="AB1305" s="0" t="n">
        <v>2.14</v>
      </c>
      <c r="AC1305" s="22" t="b">
        <f aca="false">FALSE()</f>
        <v>0</v>
      </c>
      <c r="AD1305" s="0" t="n">
        <v>7.82</v>
      </c>
      <c r="AE1305" s="0" t="n">
        <v>2.68</v>
      </c>
      <c r="AF1305" s="0" t="n">
        <v>15.38</v>
      </c>
      <c r="AG1305" s="22" t="b">
        <f aca="false">FALSE()</f>
        <v>0</v>
      </c>
      <c r="AH1305" s="0" t="n">
        <v>1</v>
      </c>
    </row>
    <row r="1306" customFormat="false" ht="15" hidden="false" customHeight="false" outlineLevel="0" collapsed="false">
      <c r="A1306" s="0" t="s">
        <v>2027</v>
      </c>
      <c r="B1306" s="0" t="s">
        <v>134</v>
      </c>
      <c r="C1306" s="0" t="s">
        <v>3450</v>
      </c>
      <c r="D1306" s="0" t="s">
        <v>3457</v>
      </c>
      <c r="E1306" s="20" t="s">
        <v>25</v>
      </c>
      <c r="F1306" s="23" t="s">
        <v>30</v>
      </c>
      <c r="G1306" s="21" t="s">
        <v>1099</v>
      </c>
      <c r="H1306" s="21" t="s">
        <v>24</v>
      </c>
      <c r="I1306" s="21" t="s">
        <v>25</v>
      </c>
      <c r="J1306" s="21" t="s">
        <v>24</v>
      </c>
      <c r="K1306" s="21" t="s">
        <v>25</v>
      </c>
      <c r="L1306" s="21" t="s">
        <v>24</v>
      </c>
      <c r="M1306" s="0" t="n">
        <v>182</v>
      </c>
      <c r="N1306" s="0" t="n">
        <v>2</v>
      </c>
      <c r="O1306" s="21" t="s">
        <v>3673</v>
      </c>
      <c r="P1306" s="21" t="s">
        <v>4693</v>
      </c>
      <c r="Q1306" s="0" t="n">
        <v>1</v>
      </c>
      <c r="R1306" s="21" t="s">
        <v>69</v>
      </c>
      <c r="S1306" s="0" t="n">
        <v>2</v>
      </c>
      <c r="T1306" s="21" t="s">
        <v>3673</v>
      </c>
      <c r="U1306" s="22" t="b">
        <f aca="false">TRUE()</f>
        <v>1</v>
      </c>
      <c r="V1306" s="0" t="n">
        <v>0.68</v>
      </c>
      <c r="W1306" s="0" t="n">
        <v>0.16</v>
      </c>
      <c r="X1306" s="0" t="n">
        <v>5.79</v>
      </c>
      <c r="Y1306" s="0" t="n">
        <v>556.27</v>
      </c>
      <c r="Z1306" s="0" t="n">
        <v>9.58</v>
      </c>
      <c r="AA1306" s="0" t="n">
        <v>3.08</v>
      </c>
      <c r="AB1306" s="0" t="n">
        <v>1.44</v>
      </c>
      <c r="AC1306" s="22" t="b">
        <f aca="false">FALSE()</f>
        <v>0</v>
      </c>
      <c r="AD1306" s="0" t="n">
        <v>18.18</v>
      </c>
      <c r="AE1306" s="0" t="n">
        <v>6.88</v>
      </c>
      <c r="AF1306" s="0" t="n">
        <v>13.43</v>
      </c>
      <c r="AG1306" s="22" t="b">
        <f aca="false">TRUE()</f>
        <v>1</v>
      </c>
      <c r="AH1306" s="0" t="n">
        <v>1</v>
      </c>
    </row>
    <row r="1307" customFormat="false" ht="15" hidden="false" customHeight="false" outlineLevel="0" collapsed="false">
      <c r="A1307" s="0" t="s">
        <v>2027</v>
      </c>
      <c r="B1307" s="0" t="s">
        <v>134</v>
      </c>
      <c r="C1307" s="0" t="s">
        <v>3450</v>
      </c>
      <c r="D1307" s="0" t="s">
        <v>3448</v>
      </c>
      <c r="E1307" s="20" t="s">
        <v>25</v>
      </c>
      <c r="F1307" s="23" t="s">
        <v>30</v>
      </c>
      <c r="G1307" s="21" t="s">
        <v>197</v>
      </c>
      <c r="H1307" s="21" t="s">
        <v>24</v>
      </c>
      <c r="I1307" s="21" t="s">
        <v>25</v>
      </c>
      <c r="J1307" s="21" t="s">
        <v>24</v>
      </c>
      <c r="K1307" s="21" t="s">
        <v>25</v>
      </c>
      <c r="L1307" s="21" t="s">
        <v>24</v>
      </c>
      <c r="M1307" s="0" t="n">
        <v>187</v>
      </c>
      <c r="N1307" s="0" t="n">
        <v>1</v>
      </c>
      <c r="O1307" s="21" t="s">
        <v>69</v>
      </c>
      <c r="P1307" s="21" t="s">
        <v>4275</v>
      </c>
      <c r="Q1307" s="0" t="n">
        <v>1</v>
      </c>
      <c r="R1307" s="21" t="s">
        <v>69</v>
      </c>
      <c r="S1307" s="0" t="n">
        <v>1</v>
      </c>
      <c r="T1307" s="21" t="s">
        <v>69</v>
      </c>
      <c r="U1307" s="22" t="b">
        <f aca="false">TRUE()</f>
        <v>1</v>
      </c>
      <c r="V1307" s="0" t="n">
        <v>0.68</v>
      </c>
      <c r="W1307" s="0" t="n">
        <v>0.24</v>
      </c>
      <c r="X1307" s="0" t="n">
        <v>5</v>
      </c>
      <c r="Y1307" s="0" t="n">
        <v>453.76</v>
      </c>
      <c r="Z1307" s="0" t="n">
        <v>8.42</v>
      </c>
      <c r="AA1307" s="0" t="n">
        <v>1.93</v>
      </c>
      <c r="AB1307" s="0" t="n">
        <v>0.49</v>
      </c>
      <c r="AC1307" s="22" t="b">
        <f aca="false">TRUE()</f>
        <v>1</v>
      </c>
      <c r="AD1307" s="0" t="n">
        <v>14.98</v>
      </c>
      <c r="AE1307" s="0" t="n">
        <v>0.3</v>
      </c>
      <c r="AF1307" s="0" t="n">
        <v>8.43</v>
      </c>
      <c r="AG1307" s="22" t="b">
        <f aca="false">TRUE()</f>
        <v>1</v>
      </c>
      <c r="AH1307" s="0" t="n">
        <v>1</v>
      </c>
    </row>
    <row r="1308" customFormat="false" ht="15" hidden="false" customHeight="false" outlineLevel="0" collapsed="false">
      <c r="A1308" s="0" t="s">
        <v>2027</v>
      </c>
      <c r="B1308" s="0" t="s">
        <v>134</v>
      </c>
      <c r="C1308" s="0" t="s">
        <v>3447</v>
      </c>
      <c r="D1308" s="0" t="s">
        <v>3457</v>
      </c>
      <c r="E1308" s="20" t="s">
        <v>25</v>
      </c>
      <c r="F1308" s="23" t="s">
        <v>30</v>
      </c>
      <c r="G1308" s="21" t="s">
        <v>2133</v>
      </c>
      <c r="H1308" s="21" t="s">
        <v>24</v>
      </c>
      <c r="I1308" s="21" t="s">
        <v>24</v>
      </c>
      <c r="J1308" s="21" t="s">
        <v>24</v>
      </c>
      <c r="K1308" s="21" t="s">
        <v>25</v>
      </c>
      <c r="L1308" s="21" t="s">
        <v>24</v>
      </c>
      <c r="M1308" s="0" t="n">
        <v>183</v>
      </c>
      <c r="N1308" s="0" t="n">
        <v>1</v>
      </c>
      <c r="O1308" s="21" t="s">
        <v>3475</v>
      </c>
      <c r="P1308" s="21" t="s">
        <v>4433</v>
      </c>
      <c r="Q1308" s="0" t="n">
        <v>0</v>
      </c>
      <c r="S1308" s="0" t="n">
        <v>1</v>
      </c>
      <c r="T1308" s="21" t="s">
        <v>3475</v>
      </c>
      <c r="U1308" s="22" t="b">
        <f aca="false">TRUE()</f>
        <v>1</v>
      </c>
      <c r="V1308" s="0" t="n">
        <v>0.77</v>
      </c>
      <c r="W1308" s="0" t="n">
        <v>0.64</v>
      </c>
      <c r="X1308" s="0" t="n">
        <v>5.26</v>
      </c>
      <c r="Y1308" s="0" t="n">
        <v>320.1</v>
      </c>
      <c r="Z1308" s="0" t="n">
        <v>8</v>
      </c>
      <c r="AA1308" s="0" t="n">
        <v>-0.09</v>
      </c>
      <c r="AB1308" s="0" t="n">
        <v>1.44</v>
      </c>
      <c r="AC1308" s="22" t="b">
        <f aca="false">FALSE()</f>
        <v>0</v>
      </c>
      <c r="AD1308" s="0" t="n">
        <v>18.09</v>
      </c>
      <c r="AE1308" s="0" t="n">
        <v>5.9</v>
      </c>
      <c r="AF1308" s="0" t="n">
        <v>13.24</v>
      </c>
      <c r="AG1308" s="22" t="b">
        <f aca="false">TRUE()</f>
        <v>1</v>
      </c>
      <c r="AH1308" s="0" t="n">
        <v>1</v>
      </c>
    </row>
    <row r="1309" customFormat="false" ht="15" hidden="false" customHeight="false" outlineLevel="0" collapsed="false">
      <c r="A1309" s="0" t="s">
        <v>2027</v>
      </c>
      <c r="B1309" s="0" t="s">
        <v>134</v>
      </c>
      <c r="C1309" s="0" t="s">
        <v>3447</v>
      </c>
      <c r="D1309" s="0" t="s">
        <v>3448</v>
      </c>
      <c r="E1309" s="20" t="s">
        <v>25</v>
      </c>
      <c r="F1309" s="23" t="s">
        <v>30</v>
      </c>
      <c r="G1309" s="21" t="s">
        <v>2610</v>
      </c>
      <c r="H1309" s="21" t="s">
        <v>24</v>
      </c>
      <c r="I1309" s="21" t="s">
        <v>24</v>
      </c>
      <c r="J1309" s="21" t="s">
        <v>24</v>
      </c>
      <c r="K1309" s="21" t="s">
        <v>25</v>
      </c>
      <c r="L1309" s="21" t="s">
        <v>24</v>
      </c>
      <c r="M1309" s="0" t="n">
        <v>186</v>
      </c>
      <c r="N1309" s="0" t="n">
        <v>5</v>
      </c>
      <c r="O1309" s="21" t="s">
        <v>3681</v>
      </c>
      <c r="P1309" s="21" t="s">
        <v>4694</v>
      </c>
      <c r="Q1309" s="0" t="n">
        <v>0</v>
      </c>
      <c r="S1309" s="0" t="n">
        <v>5</v>
      </c>
      <c r="T1309" s="21" t="s">
        <v>3681</v>
      </c>
      <c r="U1309" s="22" t="b">
        <f aca="false">TRUE()</f>
        <v>1</v>
      </c>
      <c r="V1309" s="0" t="n">
        <v>0.86</v>
      </c>
      <c r="W1309" s="0" t="n">
        <v>0.6</v>
      </c>
      <c r="X1309" s="0" t="n">
        <v>8.87</v>
      </c>
      <c r="Y1309" s="0" t="n">
        <v>294.04</v>
      </c>
      <c r="Z1309" s="0" t="n">
        <v>8</v>
      </c>
      <c r="AA1309" s="0" t="n">
        <v>-1.6</v>
      </c>
      <c r="AB1309" s="0" t="n">
        <v>0.49</v>
      </c>
      <c r="AC1309" s="22" t="b">
        <f aca="false">FALSE()</f>
        <v>0</v>
      </c>
      <c r="AD1309" s="0" t="n">
        <v>11.92</v>
      </c>
      <c r="AE1309" s="0" t="n">
        <v>0.56</v>
      </c>
      <c r="AF1309" s="0" t="n">
        <v>7.75</v>
      </c>
      <c r="AG1309" s="22" t="b">
        <f aca="false">TRUE()</f>
        <v>1</v>
      </c>
      <c r="AH1309" s="0" t="n">
        <v>1</v>
      </c>
    </row>
    <row r="1310" customFormat="false" ht="15" hidden="false" customHeight="false" outlineLevel="0" collapsed="false">
      <c r="A1310" s="0" t="s">
        <v>2033</v>
      </c>
      <c r="B1310" s="0" t="s">
        <v>134</v>
      </c>
      <c r="C1310" s="0" t="s">
        <v>3450</v>
      </c>
      <c r="D1310" s="0" t="s">
        <v>3457</v>
      </c>
      <c r="E1310" s="19" t="s">
        <v>26</v>
      </c>
      <c r="F1310" s="19" t="s">
        <v>32</v>
      </c>
      <c r="G1310" s="21" t="s">
        <v>529</v>
      </c>
      <c r="H1310" s="21" t="s">
        <v>24</v>
      </c>
      <c r="I1310" s="21" t="s">
        <v>26</v>
      </c>
      <c r="J1310" s="21" t="s">
        <v>24</v>
      </c>
      <c r="K1310" s="21" t="s">
        <v>24</v>
      </c>
      <c r="L1310" s="21" t="s">
        <v>24</v>
      </c>
      <c r="M1310" s="0" t="n">
        <v>187</v>
      </c>
      <c r="N1310" s="0" t="n">
        <v>7</v>
      </c>
      <c r="O1310" s="21" t="s">
        <v>4046</v>
      </c>
      <c r="P1310" s="21" t="s">
        <v>4695</v>
      </c>
      <c r="Q1310" s="0" t="n">
        <v>1</v>
      </c>
      <c r="R1310" s="21" t="s">
        <v>69</v>
      </c>
      <c r="S1310" s="0" t="n">
        <v>7</v>
      </c>
      <c r="T1310" s="21" t="s">
        <v>4046</v>
      </c>
      <c r="U1310" s="22" t="b">
        <f aca="false">FALSE()</f>
        <v>0</v>
      </c>
      <c r="V1310" s="0" t="n">
        <v>0.66</v>
      </c>
      <c r="W1310" s="0" t="n">
        <v>0.16</v>
      </c>
      <c r="X1310" s="0" t="n">
        <v>6.47</v>
      </c>
      <c r="Y1310" s="0" t="n">
        <v>515.49</v>
      </c>
      <c r="Z1310" s="0" t="n">
        <v>10</v>
      </c>
      <c r="AA1310" s="0" t="n">
        <v>6.92</v>
      </c>
      <c r="AB1310" s="0" t="n">
        <v>1.82</v>
      </c>
      <c r="AC1310" s="22" t="b">
        <f aca="false">FALSE()</f>
        <v>0</v>
      </c>
      <c r="AD1310" s="0" t="n">
        <v>9.17</v>
      </c>
      <c r="AE1310" s="0" t="n">
        <v>1.21</v>
      </c>
      <c r="AF1310" s="0" t="n">
        <v>7.74</v>
      </c>
      <c r="AG1310" s="22" t="b">
        <f aca="false">FALSE()</f>
        <v>0</v>
      </c>
      <c r="AH1310" s="0" t="n">
        <v>1</v>
      </c>
    </row>
    <row r="1311" customFormat="false" ht="15" hidden="false" customHeight="false" outlineLevel="0" collapsed="false">
      <c r="A1311" s="0" t="s">
        <v>2033</v>
      </c>
      <c r="B1311" s="0" t="s">
        <v>134</v>
      </c>
      <c r="C1311" s="0" t="s">
        <v>3450</v>
      </c>
      <c r="D1311" s="0" t="s">
        <v>3448</v>
      </c>
      <c r="E1311" s="20" t="s">
        <v>25</v>
      </c>
      <c r="F1311" s="23" t="s">
        <v>30</v>
      </c>
      <c r="G1311" s="21" t="s">
        <v>1230</v>
      </c>
      <c r="H1311" s="21" t="s">
        <v>24</v>
      </c>
      <c r="I1311" s="21" t="s">
        <v>25</v>
      </c>
      <c r="J1311" s="21" t="s">
        <v>24</v>
      </c>
      <c r="K1311" s="21" t="s">
        <v>25</v>
      </c>
      <c r="L1311" s="21" t="s">
        <v>24</v>
      </c>
      <c r="M1311" s="0" t="n">
        <v>194</v>
      </c>
      <c r="N1311" s="0" t="n">
        <v>3</v>
      </c>
      <c r="O1311" s="21" t="s">
        <v>3649</v>
      </c>
      <c r="P1311" s="21" t="s">
        <v>4242</v>
      </c>
      <c r="Q1311" s="0" t="n">
        <v>1</v>
      </c>
      <c r="R1311" s="21" t="s">
        <v>69</v>
      </c>
      <c r="S1311" s="0" t="n">
        <v>3</v>
      </c>
      <c r="T1311" s="21" t="s">
        <v>3649</v>
      </c>
      <c r="U1311" s="22" t="b">
        <f aca="false">TRUE()</f>
        <v>1</v>
      </c>
      <c r="V1311" s="0" t="n">
        <v>0.74</v>
      </c>
      <c r="W1311" s="0" t="n">
        <v>0.76</v>
      </c>
      <c r="X1311" s="0" t="n">
        <v>7.77</v>
      </c>
      <c r="Y1311" s="0" t="n">
        <v>340.98</v>
      </c>
      <c r="Z1311" s="0" t="n">
        <v>8</v>
      </c>
      <c r="AA1311" s="0" t="n">
        <v>-1.18</v>
      </c>
      <c r="AB1311" s="0" t="n">
        <v>94.62</v>
      </c>
      <c r="AC1311" s="22" t="b">
        <f aca="false">FALSE()</f>
        <v>0</v>
      </c>
      <c r="AD1311" s="0" t="n">
        <v>0.07</v>
      </c>
      <c r="AE1311" s="0" t="n">
        <v>0.17</v>
      </c>
      <c r="AF1311" s="0" t="n">
        <v>1.58</v>
      </c>
      <c r="AG1311" s="22" t="b">
        <f aca="false">FALSE()</f>
        <v>0</v>
      </c>
      <c r="AH1311" s="0" t="n">
        <v>1</v>
      </c>
    </row>
    <row r="1312" customFormat="false" ht="15" hidden="false" customHeight="false" outlineLevel="0" collapsed="false">
      <c r="A1312" s="0" t="s">
        <v>2033</v>
      </c>
      <c r="B1312" s="0" t="s">
        <v>134</v>
      </c>
      <c r="C1312" s="0" t="s">
        <v>3447</v>
      </c>
      <c r="D1312" s="0" t="s">
        <v>3457</v>
      </c>
      <c r="E1312" s="18" t="s">
        <v>24</v>
      </c>
      <c r="F1312" s="23" t="s">
        <v>30</v>
      </c>
      <c r="G1312" s="21" t="s">
        <v>30</v>
      </c>
      <c r="H1312" s="21" t="s">
        <v>24</v>
      </c>
      <c r="I1312" s="21" t="s">
        <v>24</v>
      </c>
      <c r="J1312" s="21" t="s">
        <v>24</v>
      </c>
      <c r="K1312" s="21" t="s">
        <v>24</v>
      </c>
      <c r="L1312" s="21" t="s">
        <v>24</v>
      </c>
      <c r="M1312" s="0" t="n">
        <v>188</v>
      </c>
      <c r="N1312" s="0" t="n">
        <v>1</v>
      </c>
      <c r="O1312" s="21" t="s">
        <v>3484</v>
      </c>
      <c r="P1312" s="21" t="s">
        <v>4512</v>
      </c>
      <c r="Q1312" s="0" t="n">
        <v>0</v>
      </c>
      <c r="S1312" s="0" t="n">
        <v>1</v>
      </c>
      <c r="T1312" s="21" t="s">
        <v>3484</v>
      </c>
      <c r="U1312" s="22" t="b">
        <f aca="false">TRUE()</f>
        <v>1</v>
      </c>
      <c r="V1312" s="0" t="n">
        <v>0.68</v>
      </c>
      <c r="W1312" s="0" t="n">
        <v>0</v>
      </c>
      <c r="X1312" s="0" t="n">
        <v>7.18</v>
      </c>
      <c r="Y1312" s="0" t="n">
        <v>656.86</v>
      </c>
      <c r="Z1312" s="0" t="n">
        <v>9.33</v>
      </c>
      <c r="AA1312" s="0" t="n">
        <v>0.73</v>
      </c>
      <c r="AB1312" s="0" t="n">
        <v>1.82</v>
      </c>
      <c r="AC1312" s="22" t="b">
        <f aca="false">FALSE()</f>
        <v>0</v>
      </c>
      <c r="AD1312" s="0" t="n">
        <v>5.63</v>
      </c>
      <c r="AE1312" s="0" t="n">
        <v>0.37</v>
      </c>
      <c r="AF1312" s="0" t="n">
        <v>3.93</v>
      </c>
      <c r="AG1312" s="22" t="b">
        <f aca="false">FALSE()</f>
        <v>0</v>
      </c>
      <c r="AH1312" s="0" t="n">
        <v>1</v>
      </c>
    </row>
    <row r="1313" customFormat="false" ht="15" hidden="false" customHeight="false" outlineLevel="0" collapsed="false">
      <c r="A1313" s="0" t="s">
        <v>2033</v>
      </c>
      <c r="B1313" s="0" t="s">
        <v>134</v>
      </c>
      <c r="C1313" s="0" t="s">
        <v>3447</v>
      </c>
      <c r="D1313" s="0" t="s">
        <v>3448</v>
      </c>
      <c r="E1313" s="18" t="s">
        <v>24</v>
      </c>
      <c r="F1313" s="18" t="s">
        <v>28</v>
      </c>
      <c r="H1313" s="21" t="s">
        <v>24</v>
      </c>
      <c r="I1313" s="21" t="s">
        <v>24</v>
      </c>
      <c r="J1313" s="21" t="s">
        <v>24</v>
      </c>
      <c r="K1313" s="21" t="s">
        <v>24</v>
      </c>
      <c r="L1313" s="21" t="s">
        <v>24</v>
      </c>
      <c r="M1313" s="0" t="n">
        <v>192</v>
      </c>
      <c r="N1313" s="0" t="n">
        <v>0</v>
      </c>
      <c r="Q1313" s="0" t="n">
        <v>0</v>
      </c>
      <c r="S1313" s="0" t="n">
        <v>0</v>
      </c>
      <c r="U1313" s="22" t="b">
        <f aca="false">FALSE()</f>
        <v>0</v>
      </c>
      <c r="V1313" s="0" t="n">
        <v>0.76</v>
      </c>
      <c r="W1313" s="0" t="n">
        <v>0</v>
      </c>
      <c r="X1313" s="0" t="n">
        <v>8.04</v>
      </c>
      <c r="Y1313" s="0" t="n">
        <v>725.14</v>
      </c>
      <c r="Z1313" s="0" t="n">
        <v>10.75</v>
      </c>
      <c r="AA1313" s="0" t="n">
        <v>3.73</v>
      </c>
      <c r="AB1313" s="0" t="n">
        <v>94.62</v>
      </c>
      <c r="AC1313" s="22" t="b">
        <f aca="false">FALSE()</f>
        <v>0</v>
      </c>
      <c r="AD1313" s="0" t="n">
        <v>4.31</v>
      </c>
      <c r="AE1313" s="0" t="n">
        <v>0.99</v>
      </c>
      <c r="AF1313" s="0" t="n">
        <v>1.1</v>
      </c>
      <c r="AG1313" s="22" t="b">
        <f aca="false">FALSE()</f>
        <v>0</v>
      </c>
      <c r="AH1313" s="0" t="n">
        <v>1</v>
      </c>
    </row>
    <row r="1314" customFormat="false" ht="15" hidden="false" customHeight="false" outlineLevel="0" collapsed="false">
      <c r="A1314" s="0" t="s">
        <v>2033</v>
      </c>
      <c r="B1314" s="0" t="s">
        <v>3459</v>
      </c>
      <c r="C1314" s="0" t="s">
        <v>3450</v>
      </c>
      <c r="D1314" s="0" t="s">
        <v>3457</v>
      </c>
      <c r="E1314" s="20" t="s">
        <v>25</v>
      </c>
      <c r="F1314" s="20" t="s">
        <v>29</v>
      </c>
      <c r="G1314" s="21" t="s">
        <v>61</v>
      </c>
      <c r="H1314" s="21" t="s">
        <v>24</v>
      </c>
      <c r="I1314" s="21" t="s">
        <v>24</v>
      </c>
      <c r="J1314" s="21" t="s">
        <v>24</v>
      </c>
      <c r="K1314" s="21" t="s">
        <v>25</v>
      </c>
      <c r="L1314" s="21" t="s">
        <v>24</v>
      </c>
      <c r="M1314" s="0" t="n">
        <v>182</v>
      </c>
      <c r="N1314" s="0" t="n">
        <v>0</v>
      </c>
      <c r="Q1314" s="0" t="n">
        <v>0</v>
      </c>
      <c r="S1314" s="0" t="n">
        <v>0</v>
      </c>
      <c r="U1314" s="22" t="b">
        <f aca="false">FALSE()</f>
        <v>0</v>
      </c>
      <c r="V1314" s="0" t="n">
        <v>0.74</v>
      </c>
      <c r="W1314" s="0" t="n">
        <v>0.64</v>
      </c>
      <c r="X1314" s="0" t="n">
        <v>6.57</v>
      </c>
      <c r="Y1314" s="0" t="n">
        <v>295.34</v>
      </c>
      <c r="Z1314" s="0" t="n">
        <v>10.42</v>
      </c>
      <c r="AA1314" s="0" t="n">
        <v>7.39</v>
      </c>
      <c r="AB1314" s="0" t="n">
        <v>2.29</v>
      </c>
      <c r="AC1314" s="22" t="b">
        <f aca="false">FALSE()</f>
        <v>0</v>
      </c>
      <c r="AD1314" s="0" t="n">
        <v>20.48</v>
      </c>
      <c r="AE1314" s="0" t="n">
        <v>9.52</v>
      </c>
      <c r="AF1314" s="0" t="n">
        <v>16.08</v>
      </c>
      <c r="AG1314" s="22" t="b">
        <f aca="false">TRUE()</f>
        <v>1</v>
      </c>
      <c r="AH1314" s="0" t="n">
        <v>1</v>
      </c>
    </row>
    <row r="1315" customFormat="false" ht="15" hidden="false" customHeight="false" outlineLevel="0" collapsed="false">
      <c r="A1315" s="0" t="s">
        <v>2033</v>
      </c>
      <c r="B1315" s="0" t="s">
        <v>3459</v>
      </c>
      <c r="C1315" s="0" t="s">
        <v>3450</v>
      </c>
      <c r="D1315" s="0" t="s">
        <v>3448</v>
      </c>
      <c r="E1315" s="20" t="s">
        <v>25</v>
      </c>
      <c r="F1315" s="23" t="s">
        <v>30</v>
      </c>
      <c r="G1315" s="21" t="s">
        <v>163</v>
      </c>
      <c r="H1315" s="21" t="s">
        <v>24</v>
      </c>
      <c r="I1315" s="21" t="s">
        <v>25</v>
      </c>
      <c r="J1315" s="21" t="s">
        <v>24</v>
      </c>
      <c r="K1315" s="21" t="s">
        <v>25</v>
      </c>
      <c r="L1315" s="21" t="s">
        <v>24</v>
      </c>
      <c r="M1315" s="0" t="n">
        <v>183</v>
      </c>
      <c r="N1315" s="0" t="n">
        <v>2</v>
      </c>
      <c r="O1315" s="21" t="s">
        <v>3566</v>
      </c>
      <c r="P1315" s="21" t="s">
        <v>4238</v>
      </c>
      <c r="Q1315" s="0" t="n">
        <v>1</v>
      </c>
      <c r="R1315" s="21" t="s">
        <v>69</v>
      </c>
      <c r="S1315" s="0" t="n">
        <v>2</v>
      </c>
      <c r="T1315" s="21" t="s">
        <v>3566</v>
      </c>
      <c r="U1315" s="22" t="b">
        <f aca="false">TRUE()</f>
        <v>1</v>
      </c>
      <c r="V1315" s="0" t="n">
        <v>0.74</v>
      </c>
      <c r="W1315" s="0" t="n">
        <v>0</v>
      </c>
      <c r="X1315" s="0" t="n">
        <v>6.5</v>
      </c>
      <c r="Y1315" s="0" t="n">
        <v>692.43</v>
      </c>
      <c r="Z1315" s="0" t="n">
        <v>10.5</v>
      </c>
      <c r="AA1315" s="0" t="n">
        <v>11.75</v>
      </c>
      <c r="AB1315" s="0" t="n">
        <v>0.28</v>
      </c>
      <c r="AC1315" s="22" t="b">
        <f aca="false">FALSE()</f>
        <v>0</v>
      </c>
      <c r="AD1315" s="0" t="n">
        <v>25.68</v>
      </c>
      <c r="AE1315" s="0" t="n">
        <v>12.89</v>
      </c>
      <c r="AF1315" s="0" t="n">
        <v>20.86</v>
      </c>
      <c r="AG1315" s="22" t="b">
        <f aca="false">TRUE()</f>
        <v>1</v>
      </c>
      <c r="AH1315" s="0" t="n">
        <v>1</v>
      </c>
    </row>
    <row r="1316" customFormat="false" ht="15" hidden="false" customHeight="false" outlineLevel="0" collapsed="false">
      <c r="A1316" s="0" t="s">
        <v>2033</v>
      </c>
      <c r="B1316" s="0" t="s">
        <v>3459</v>
      </c>
      <c r="C1316" s="0" t="s">
        <v>3447</v>
      </c>
      <c r="D1316" s="0" t="s">
        <v>3457</v>
      </c>
      <c r="E1316" s="19" t="s">
        <v>26</v>
      </c>
      <c r="F1316" s="19" t="s">
        <v>32</v>
      </c>
      <c r="G1316" s="21" t="s">
        <v>1926</v>
      </c>
      <c r="H1316" s="21" t="s">
        <v>24</v>
      </c>
      <c r="I1316" s="21" t="s">
        <v>26</v>
      </c>
      <c r="J1316" s="21" t="s">
        <v>24</v>
      </c>
      <c r="K1316" s="21" t="s">
        <v>25</v>
      </c>
      <c r="L1316" s="21" t="s">
        <v>24</v>
      </c>
      <c r="M1316" s="0" t="n">
        <v>188</v>
      </c>
      <c r="N1316" s="0" t="n">
        <v>8</v>
      </c>
      <c r="O1316" s="21" t="s">
        <v>4076</v>
      </c>
      <c r="P1316" s="21" t="s">
        <v>4696</v>
      </c>
      <c r="Q1316" s="0" t="n">
        <v>1</v>
      </c>
      <c r="R1316" s="21" t="s">
        <v>69</v>
      </c>
      <c r="S1316" s="0" t="n">
        <v>8</v>
      </c>
      <c r="T1316" s="21" t="s">
        <v>4076</v>
      </c>
      <c r="U1316" s="22" t="b">
        <f aca="false">FALSE()</f>
        <v>0</v>
      </c>
      <c r="V1316" s="0" t="n">
        <v>0.77</v>
      </c>
      <c r="W1316" s="0" t="n">
        <v>0.76</v>
      </c>
      <c r="X1316" s="0" t="n">
        <v>6.55</v>
      </c>
      <c r="Y1316" s="0" t="n">
        <v>317.58</v>
      </c>
      <c r="Z1316" s="0" t="n">
        <v>8.17</v>
      </c>
      <c r="AA1316" s="0" t="n">
        <v>-0.38</v>
      </c>
      <c r="AB1316" s="0" t="n">
        <v>2.29</v>
      </c>
      <c r="AC1316" s="22" t="b">
        <f aca="false">FALSE()</f>
        <v>0</v>
      </c>
      <c r="AD1316" s="0" t="n">
        <v>20.25</v>
      </c>
      <c r="AE1316" s="0" t="n">
        <v>9.46</v>
      </c>
      <c r="AF1316" s="0" t="n">
        <v>15.43</v>
      </c>
      <c r="AG1316" s="22" t="b">
        <f aca="false">TRUE()</f>
        <v>1</v>
      </c>
      <c r="AH1316" s="0" t="n">
        <v>1</v>
      </c>
    </row>
    <row r="1317" customFormat="false" ht="15" hidden="false" customHeight="false" outlineLevel="0" collapsed="false">
      <c r="A1317" s="0" t="s">
        <v>2033</v>
      </c>
      <c r="B1317" s="0" t="s">
        <v>3459</v>
      </c>
      <c r="C1317" s="0" t="s">
        <v>3447</v>
      </c>
      <c r="D1317" s="0" t="s">
        <v>3448</v>
      </c>
      <c r="E1317" s="20" t="s">
        <v>25</v>
      </c>
      <c r="F1317" s="23" t="s">
        <v>30</v>
      </c>
      <c r="G1317" s="21" t="s">
        <v>2610</v>
      </c>
      <c r="H1317" s="21" t="s">
        <v>24</v>
      </c>
      <c r="I1317" s="21" t="s">
        <v>24</v>
      </c>
      <c r="J1317" s="21" t="s">
        <v>24</v>
      </c>
      <c r="K1317" s="21" t="s">
        <v>25</v>
      </c>
      <c r="L1317" s="21" t="s">
        <v>24</v>
      </c>
      <c r="M1317" s="0" t="n">
        <v>184</v>
      </c>
      <c r="N1317" s="0" t="n">
        <v>2</v>
      </c>
      <c r="O1317" s="21" t="s">
        <v>3533</v>
      </c>
      <c r="P1317" s="21" t="s">
        <v>4697</v>
      </c>
      <c r="Q1317" s="0" t="n">
        <v>0</v>
      </c>
      <c r="S1317" s="0" t="n">
        <v>2</v>
      </c>
      <c r="T1317" s="21" t="s">
        <v>3533</v>
      </c>
      <c r="U1317" s="22" t="b">
        <f aca="false">TRUE()</f>
        <v>1</v>
      </c>
      <c r="V1317" s="0" t="n">
        <v>0.74</v>
      </c>
      <c r="W1317" s="0" t="n">
        <v>0.6</v>
      </c>
      <c r="X1317" s="0" t="n">
        <v>8.12</v>
      </c>
      <c r="Y1317" s="0" t="n">
        <v>323.23</v>
      </c>
      <c r="Z1317" s="0" t="n">
        <v>8</v>
      </c>
      <c r="AA1317" s="0" t="n">
        <v>-1.21</v>
      </c>
      <c r="AB1317" s="0" t="n">
        <v>0.28</v>
      </c>
      <c r="AC1317" s="22" t="b">
        <f aca="false">FALSE()</f>
        <v>0</v>
      </c>
      <c r="AD1317" s="0" t="n">
        <v>13.84</v>
      </c>
      <c r="AE1317" s="0" t="n">
        <v>3.71</v>
      </c>
      <c r="AF1317" s="0" t="n">
        <v>10.35</v>
      </c>
      <c r="AG1317" s="22" t="b">
        <f aca="false">TRUE()</f>
        <v>1</v>
      </c>
      <c r="AH1317" s="0" t="n">
        <v>1</v>
      </c>
    </row>
    <row r="1318" customFormat="false" ht="15" hidden="false" customHeight="false" outlineLevel="0" collapsed="false">
      <c r="A1318" s="0" t="s">
        <v>2039</v>
      </c>
      <c r="B1318" s="0" t="s">
        <v>134</v>
      </c>
      <c r="C1318" s="0" t="s">
        <v>3450</v>
      </c>
      <c r="D1318" s="0" t="s">
        <v>3457</v>
      </c>
      <c r="E1318" s="20" t="s">
        <v>25</v>
      </c>
      <c r="F1318" s="23" t="s">
        <v>30</v>
      </c>
      <c r="G1318" s="21" t="s">
        <v>1099</v>
      </c>
      <c r="H1318" s="21" t="s">
        <v>24</v>
      </c>
      <c r="I1318" s="21" t="s">
        <v>25</v>
      </c>
      <c r="J1318" s="21" t="s">
        <v>24</v>
      </c>
      <c r="K1318" s="21" t="s">
        <v>25</v>
      </c>
      <c r="L1318" s="21" t="s">
        <v>24</v>
      </c>
      <c r="M1318" s="0" t="n">
        <v>229</v>
      </c>
      <c r="N1318" s="0" t="n">
        <v>3</v>
      </c>
      <c r="O1318" s="21" t="s">
        <v>3765</v>
      </c>
      <c r="P1318" s="21" t="s">
        <v>4698</v>
      </c>
      <c r="Q1318" s="0" t="n">
        <v>1</v>
      </c>
      <c r="R1318" s="21" t="s">
        <v>69</v>
      </c>
      <c r="S1318" s="0" t="n">
        <v>3</v>
      </c>
      <c r="T1318" s="21" t="s">
        <v>3765</v>
      </c>
      <c r="U1318" s="22" t="b">
        <f aca="false">TRUE()</f>
        <v>1</v>
      </c>
      <c r="V1318" s="0" t="n">
        <v>0.64</v>
      </c>
      <c r="W1318" s="0" t="n">
        <v>0.2</v>
      </c>
      <c r="X1318" s="0" t="n">
        <v>6.42</v>
      </c>
      <c r="Y1318" s="0" t="n">
        <v>571.17</v>
      </c>
      <c r="Z1318" s="0" t="n">
        <v>8.17</v>
      </c>
      <c r="AA1318" s="0" t="n">
        <v>4.14</v>
      </c>
      <c r="AB1318" s="0" t="n">
        <v>1.42</v>
      </c>
      <c r="AC1318" s="22" t="b">
        <f aca="false">FALSE()</f>
        <v>0</v>
      </c>
      <c r="AD1318" s="0" t="n">
        <v>18.01</v>
      </c>
      <c r="AE1318" s="0" t="n">
        <v>0.7</v>
      </c>
      <c r="AF1318" s="0" t="n">
        <v>2.4</v>
      </c>
      <c r="AG1318" s="22" t="b">
        <f aca="false">TRUE()</f>
        <v>1</v>
      </c>
      <c r="AH1318" s="0" t="n">
        <v>1</v>
      </c>
    </row>
    <row r="1319" customFormat="false" ht="15" hidden="false" customHeight="false" outlineLevel="0" collapsed="false">
      <c r="A1319" s="0" t="s">
        <v>2039</v>
      </c>
      <c r="B1319" s="0" t="s">
        <v>134</v>
      </c>
      <c r="C1319" s="0" t="s">
        <v>3450</v>
      </c>
      <c r="D1319" s="0" t="s">
        <v>3448</v>
      </c>
      <c r="E1319" s="20" t="s">
        <v>25</v>
      </c>
      <c r="F1319" s="20" t="s">
        <v>29</v>
      </c>
      <c r="G1319" s="21" t="s">
        <v>66</v>
      </c>
      <c r="H1319" s="21" t="s">
        <v>24</v>
      </c>
      <c r="I1319" s="21" t="s">
        <v>24</v>
      </c>
      <c r="J1319" s="21" t="s">
        <v>24</v>
      </c>
      <c r="K1319" s="21" t="s">
        <v>25</v>
      </c>
      <c r="L1319" s="21" t="s">
        <v>24</v>
      </c>
      <c r="M1319" s="0" t="n">
        <v>182</v>
      </c>
      <c r="N1319" s="0" t="n">
        <v>0</v>
      </c>
      <c r="Q1319" s="0" t="n">
        <v>0</v>
      </c>
      <c r="S1319" s="0" t="n">
        <v>0</v>
      </c>
      <c r="U1319" s="22" t="b">
        <f aca="false">FALSE()</f>
        <v>0</v>
      </c>
      <c r="V1319" s="0" t="n">
        <v>0.77</v>
      </c>
      <c r="W1319" s="0" t="n">
        <v>0</v>
      </c>
      <c r="X1319" s="0" t="n">
        <v>7.99</v>
      </c>
      <c r="Y1319" s="0" t="n">
        <v>641.18</v>
      </c>
      <c r="Z1319" s="0" t="n">
        <v>10</v>
      </c>
      <c r="AA1319" s="0" t="n">
        <v>6.27</v>
      </c>
      <c r="AB1319" s="0" t="n">
        <v>2.22</v>
      </c>
      <c r="AC1319" s="22" t="b">
        <f aca="false">FALSE()</f>
        <v>0</v>
      </c>
      <c r="AD1319" s="0" t="n">
        <v>31.39</v>
      </c>
      <c r="AE1319" s="0" t="n">
        <v>2.82</v>
      </c>
      <c r="AF1319" s="0" t="n">
        <v>28.22</v>
      </c>
      <c r="AG1319" s="22" t="b">
        <f aca="false">TRUE()</f>
        <v>1</v>
      </c>
      <c r="AH1319" s="0" t="n">
        <v>1</v>
      </c>
    </row>
    <row r="1320" customFormat="false" ht="15" hidden="false" customHeight="false" outlineLevel="0" collapsed="false">
      <c r="A1320" s="0" t="s">
        <v>2039</v>
      </c>
      <c r="B1320" s="0" t="s">
        <v>134</v>
      </c>
      <c r="C1320" s="0" t="s">
        <v>3447</v>
      </c>
      <c r="D1320" s="0" t="s">
        <v>3457</v>
      </c>
      <c r="E1320" s="19" t="s">
        <v>26</v>
      </c>
      <c r="F1320" s="19" t="s">
        <v>32</v>
      </c>
      <c r="G1320" s="21" t="s">
        <v>3885</v>
      </c>
      <c r="H1320" s="21" t="s">
        <v>24</v>
      </c>
      <c r="I1320" s="21" t="s">
        <v>26</v>
      </c>
      <c r="J1320" s="21" t="s">
        <v>24</v>
      </c>
      <c r="K1320" s="21" t="s">
        <v>25</v>
      </c>
      <c r="L1320" s="21" t="s">
        <v>24</v>
      </c>
      <c r="M1320" s="0" t="n">
        <v>193</v>
      </c>
      <c r="N1320" s="0" t="n">
        <v>15</v>
      </c>
      <c r="O1320" s="21" t="s">
        <v>3971</v>
      </c>
      <c r="P1320" s="21" t="s">
        <v>4699</v>
      </c>
      <c r="Q1320" s="0" t="n">
        <v>0</v>
      </c>
      <c r="S1320" s="0" t="n">
        <v>15</v>
      </c>
      <c r="T1320" s="21" t="s">
        <v>3971</v>
      </c>
      <c r="U1320" s="22" t="b">
        <f aca="false">FALSE()</f>
        <v>0</v>
      </c>
      <c r="V1320" s="0" t="n">
        <v>0.73</v>
      </c>
      <c r="W1320" s="0" t="n">
        <v>0.12</v>
      </c>
      <c r="X1320" s="0" t="n">
        <v>6.7</v>
      </c>
      <c r="Y1320" s="0" t="n">
        <v>627.21</v>
      </c>
      <c r="Z1320" s="0" t="n">
        <v>8</v>
      </c>
      <c r="AA1320" s="0" t="n">
        <v>0.88</v>
      </c>
      <c r="AB1320" s="0" t="n">
        <v>1.42</v>
      </c>
      <c r="AC1320" s="22" t="b">
        <f aca="false">FALSE()</f>
        <v>0</v>
      </c>
      <c r="AD1320" s="0" t="n">
        <v>16.5</v>
      </c>
      <c r="AE1320" s="0" t="n">
        <v>1.01</v>
      </c>
      <c r="AF1320" s="0" t="n">
        <v>1.71</v>
      </c>
      <c r="AG1320" s="22" t="b">
        <f aca="false">TRUE()</f>
        <v>1</v>
      </c>
      <c r="AH1320" s="0" t="n">
        <v>1</v>
      </c>
    </row>
    <row r="1321" customFormat="false" ht="15" hidden="false" customHeight="false" outlineLevel="0" collapsed="false">
      <c r="A1321" s="0" t="s">
        <v>2039</v>
      </c>
      <c r="B1321" s="0" t="s">
        <v>134</v>
      </c>
      <c r="C1321" s="0" t="s">
        <v>3447</v>
      </c>
      <c r="D1321" s="0" t="s">
        <v>3448</v>
      </c>
      <c r="E1321" s="19" t="s">
        <v>26</v>
      </c>
      <c r="F1321" s="19" t="s">
        <v>32</v>
      </c>
      <c r="G1321" s="21" t="s">
        <v>1926</v>
      </c>
      <c r="H1321" s="21" t="s">
        <v>24</v>
      </c>
      <c r="I1321" s="21" t="s">
        <v>26</v>
      </c>
      <c r="J1321" s="21" t="s">
        <v>24</v>
      </c>
      <c r="K1321" s="21" t="s">
        <v>25</v>
      </c>
      <c r="L1321" s="21" t="s">
        <v>24</v>
      </c>
      <c r="M1321" s="0" t="n">
        <v>186</v>
      </c>
      <c r="N1321" s="0" t="n">
        <v>11</v>
      </c>
      <c r="O1321" s="21" t="s">
        <v>4119</v>
      </c>
      <c r="P1321" s="21" t="s">
        <v>4700</v>
      </c>
      <c r="Q1321" s="0" t="n">
        <v>1</v>
      </c>
      <c r="R1321" s="21" t="s">
        <v>69</v>
      </c>
      <c r="S1321" s="0" t="n">
        <v>11</v>
      </c>
      <c r="T1321" s="21" t="s">
        <v>4119</v>
      </c>
      <c r="U1321" s="22" t="b">
        <f aca="false">FALSE()</f>
        <v>0</v>
      </c>
      <c r="V1321" s="0" t="n">
        <v>0.74</v>
      </c>
      <c r="W1321" s="0" t="n">
        <v>0.68</v>
      </c>
      <c r="X1321" s="0" t="n">
        <v>9.3</v>
      </c>
      <c r="Y1321" s="0" t="n">
        <v>277.32</v>
      </c>
      <c r="Z1321" s="0" t="n">
        <v>8.25</v>
      </c>
      <c r="AA1321" s="0" t="n">
        <v>0.79</v>
      </c>
      <c r="AB1321" s="0" t="n">
        <v>2.22</v>
      </c>
      <c r="AC1321" s="22" t="b">
        <f aca="false">FALSE()</f>
        <v>0</v>
      </c>
      <c r="AD1321" s="0" t="n">
        <v>27.38</v>
      </c>
      <c r="AE1321" s="0" t="n">
        <v>0.17</v>
      </c>
      <c r="AF1321" s="0" t="n">
        <v>22.22</v>
      </c>
      <c r="AG1321" s="22" t="b">
        <f aca="false">TRUE()</f>
        <v>1</v>
      </c>
      <c r="AH1321" s="0" t="n">
        <v>1</v>
      </c>
    </row>
    <row r="1322" customFormat="false" ht="15" hidden="false" customHeight="false" outlineLevel="0" collapsed="false">
      <c r="A1322" s="0" t="s">
        <v>2039</v>
      </c>
      <c r="B1322" s="0" t="s">
        <v>3459</v>
      </c>
      <c r="C1322" s="0" t="s">
        <v>3450</v>
      </c>
      <c r="D1322" s="0" t="s">
        <v>3457</v>
      </c>
      <c r="E1322" s="20" t="s">
        <v>25</v>
      </c>
      <c r="F1322" s="23" t="s">
        <v>30</v>
      </c>
      <c r="G1322" s="21" t="s">
        <v>157</v>
      </c>
      <c r="H1322" s="21" t="s">
        <v>24</v>
      </c>
      <c r="I1322" s="21" t="s">
        <v>25</v>
      </c>
      <c r="J1322" s="21" t="s">
        <v>24</v>
      </c>
      <c r="K1322" s="21" t="s">
        <v>25</v>
      </c>
      <c r="L1322" s="21" t="s">
        <v>24</v>
      </c>
      <c r="M1322" s="0" t="n">
        <v>183</v>
      </c>
      <c r="N1322" s="0" t="n">
        <v>2</v>
      </c>
      <c r="O1322" s="21" t="s">
        <v>3566</v>
      </c>
      <c r="P1322" s="21" t="s">
        <v>4238</v>
      </c>
      <c r="Q1322" s="0" t="n">
        <v>1</v>
      </c>
      <c r="R1322" s="21" t="s">
        <v>69</v>
      </c>
      <c r="S1322" s="0" t="n">
        <v>2</v>
      </c>
      <c r="T1322" s="21" t="s">
        <v>3566</v>
      </c>
      <c r="U1322" s="22" t="b">
        <f aca="false">TRUE()</f>
        <v>1</v>
      </c>
      <c r="V1322" s="0" t="n">
        <v>0.66</v>
      </c>
      <c r="W1322" s="0" t="n">
        <v>0.52</v>
      </c>
      <c r="X1322" s="0" t="n">
        <v>7.72</v>
      </c>
      <c r="Y1322" s="0" t="n">
        <v>321.4</v>
      </c>
      <c r="Z1322" s="0" t="n">
        <v>8.17</v>
      </c>
      <c r="AA1322" s="0" t="n">
        <v>3.01</v>
      </c>
      <c r="AB1322" s="0" t="n">
        <v>1.06</v>
      </c>
      <c r="AC1322" s="22" t="b">
        <f aca="false">FALSE()</f>
        <v>0</v>
      </c>
      <c r="AD1322" s="0" t="n">
        <v>20.61</v>
      </c>
      <c r="AE1322" s="0" t="n">
        <v>9.25</v>
      </c>
      <c r="AF1322" s="0" t="n">
        <v>14.12</v>
      </c>
      <c r="AG1322" s="22" t="b">
        <f aca="false">TRUE()</f>
        <v>1</v>
      </c>
      <c r="AH1322" s="0" t="n">
        <v>1</v>
      </c>
    </row>
    <row r="1323" customFormat="false" ht="15" hidden="false" customHeight="false" outlineLevel="0" collapsed="false">
      <c r="A1323" s="0" t="s">
        <v>2039</v>
      </c>
      <c r="B1323" s="0" t="s">
        <v>3459</v>
      </c>
      <c r="C1323" s="0" t="s">
        <v>3450</v>
      </c>
      <c r="D1323" s="0" t="s">
        <v>3448</v>
      </c>
      <c r="E1323" s="20" t="s">
        <v>25</v>
      </c>
      <c r="F1323" s="23" t="s">
        <v>30</v>
      </c>
      <c r="G1323" s="21" t="s">
        <v>183</v>
      </c>
      <c r="H1323" s="21" t="s">
        <v>24</v>
      </c>
      <c r="I1323" s="21" t="s">
        <v>25</v>
      </c>
      <c r="J1323" s="21" t="s">
        <v>24</v>
      </c>
      <c r="K1323" s="21" t="s">
        <v>25</v>
      </c>
      <c r="L1323" s="21" t="s">
        <v>24</v>
      </c>
      <c r="M1323" s="0" t="n">
        <v>181</v>
      </c>
      <c r="N1323" s="0" t="n">
        <v>3</v>
      </c>
      <c r="O1323" s="21" t="s">
        <v>3649</v>
      </c>
      <c r="P1323" s="21" t="s">
        <v>4242</v>
      </c>
      <c r="Q1323" s="0" t="n">
        <v>1</v>
      </c>
      <c r="R1323" s="21" t="s">
        <v>69</v>
      </c>
      <c r="S1323" s="0" t="n">
        <v>3</v>
      </c>
      <c r="T1323" s="21" t="s">
        <v>3649</v>
      </c>
      <c r="U1323" s="22" t="b">
        <f aca="false">TRUE()</f>
        <v>1</v>
      </c>
      <c r="V1323" s="0" t="n">
        <v>0.76</v>
      </c>
      <c r="W1323" s="0" t="n">
        <v>0</v>
      </c>
      <c r="X1323" s="0" t="n">
        <v>8.58</v>
      </c>
      <c r="Y1323" s="0" t="n">
        <v>684.55</v>
      </c>
      <c r="Z1323" s="0" t="n">
        <v>8</v>
      </c>
      <c r="AA1323" s="0" t="n">
        <v>5.85</v>
      </c>
      <c r="AB1323" s="0" t="n">
        <v>1.87</v>
      </c>
      <c r="AC1323" s="22" t="b">
        <f aca="false">FALSE()</f>
        <v>0</v>
      </c>
      <c r="AD1323" s="0" t="n">
        <v>24.99</v>
      </c>
      <c r="AE1323" s="0" t="n">
        <v>13.89</v>
      </c>
      <c r="AF1323" s="0" t="n">
        <v>21.86</v>
      </c>
      <c r="AG1323" s="22" t="b">
        <f aca="false">TRUE()</f>
        <v>1</v>
      </c>
      <c r="AH1323" s="0" t="n">
        <v>1</v>
      </c>
    </row>
    <row r="1324" customFormat="false" ht="15" hidden="false" customHeight="false" outlineLevel="0" collapsed="false">
      <c r="A1324" s="0" t="s">
        <v>2039</v>
      </c>
      <c r="B1324" s="0" t="s">
        <v>3459</v>
      </c>
      <c r="C1324" s="0" t="s">
        <v>3447</v>
      </c>
      <c r="D1324" s="0" t="s">
        <v>3457</v>
      </c>
      <c r="E1324" s="20" t="s">
        <v>25</v>
      </c>
      <c r="F1324" s="23" t="s">
        <v>30</v>
      </c>
      <c r="G1324" s="21" t="s">
        <v>144</v>
      </c>
      <c r="H1324" s="21" t="s">
        <v>24</v>
      </c>
      <c r="I1324" s="21" t="s">
        <v>24</v>
      </c>
      <c r="J1324" s="21" t="s">
        <v>24</v>
      </c>
      <c r="K1324" s="21" t="s">
        <v>25</v>
      </c>
      <c r="L1324" s="21" t="s">
        <v>24</v>
      </c>
      <c r="M1324" s="0" t="n">
        <v>185</v>
      </c>
      <c r="N1324" s="0" t="n">
        <v>4</v>
      </c>
      <c r="O1324" s="21" t="s">
        <v>3624</v>
      </c>
      <c r="P1324" s="21" t="s">
        <v>4562</v>
      </c>
      <c r="Q1324" s="0" t="n">
        <v>0</v>
      </c>
      <c r="S1324" s="0" t="n">
        <v>4</v>
      </c>
      <c r="T1324" s="21" t="s">
        <v>3624</v>
      </c>
      <c r="U1324" s="22" t="b">
        <f aca="false">TRUE()</f>
        <v>1</v>
      </c>
      <c r="V1324" s="0" t="n">
        <v>0.72</v>
      </c>
      <c r="W1324" s="0" t="n">
        <v>0.52</v>
      </c>
      <c r="X1324" s="0" t="n">
        <v>8.03</v>
      </c>
      <c r="Y1324" s="0" t="n">
        <v>328.79</v>
      </c>
      <c r="Z1324" s="0" t="n">
        <v>8.67</v>
      </c>
      <c r="AA1324" s="0" t="n">
        <v>0.91</v>
      </c>
      <c r="AB1324" s="0" t="n">
        <v>1.06</v>
      </c>
      <c r="AC1324" s="22" t="b">
        <f aca="false">FALSE()</f>
        <v>0</v>
      </c>
      <c r="AD1324" s="0" t="n">
        <v>20.84</v>
      </c>
      <c r="AE1324" s="0" t="n">
        <v>9.9</v>
      </c>
      <c r="AF1324" s="0" t="n">
        <v>13.96</v>
      </c>
      <c r="AG1324" s="22" t="b">
        <f aca="false">TRUE()</f>
        <v>1</v>
      </c>
      <c r="AH1324" s="0" t="n">
        <v>1</v>
      </c>
    </row>
    <row r="1325" customFormat="false" ht="15" hidden="false" customHeight="false" outlineLevel="0" collapsed="false">
      <c r="A1325" s="0" t="s">
        <v>2039</v>
      </c>
      <c r="B1325" s="0" t="s">
        <v>3459</v>
      </c>
      <c r="C1325" s="0" t="s">
        <v>3447</v>
      </c>
      <c r="D1325" s="0" t="s">
        <v>3448</v>
      </c>
      <c r="E1325" s="19" t="s">
        <v>26</v>
      </c>
      <c r="F1325" s="19" t="s">
        <v>32</v>
      </c>
      <c r="G1325" s="21" t="s">
        <v>529</v>
      </c>
      <c r="H1325" s="21" t="s">
        <v>24</v>
      </c>
      <c r="I1325" s="21" t="s">
        <v>26</v>
      </c>
      <c r="J1325" s="21" t="s">
        <v>24</v>
      </c>
      <c r="K1325" s="21" t="s">
        <v>24</v>
      </c>
      <c r="L1325" s="21" t="s">
        <v>24</v>
      </c>
      <c r="M1325" s="0" t="n">
        <v>183</v>
      </c>
      <c r="N1325" s="0" t="n">
        <v>7</v>
      </c>
      <c r="O1325" s="21" t="s">
        <v>4020</v>
      </c>
      <c r="P1325" s="21" t="s">
        <v>4701</v>
      </c>
      <c r="Q1325" s="0" t="n">
        <v>1</v>
      </c>
      <c r="R1325" s="21" t="s">
        <v>69</v>
      </c>
      <c r="S1325" s="0" t="n">
        <v>7</v>
      </c>
      <c r="T1325" s="21" t="s">
        <v>4020</v>
      </c>
      <c r="U1325" s="22" t="b">
        <f aca="false">FALSE()</f>
        <v>0</v>
      </c>
      <c r="V1325" s="0" t="n">
        <v>0.73</v>
      </c>
      <c r="W1325" s="0" t="n">
        <v>0.24</v>
      </c>
      <c r="X1325" s="0" t="n">
        <v>9.63</v>
      </c>
      <c r="Y1325" s="0" t="n">
        <v>467.5</v>
      </c>
      <c r="Z1325" s="0" t="n">
        <v>8.5</v>
      </c>
      <c r="AA1325" s="0" t="n">
        <v>2.13</v>
      </c>
      <c r="AB1325" s="0" t="n">
        <v>1.87</v>
      </c>
      <c r="AC1325" s="22" t="b">
        <f aca="false">FALSE()</f>
        <v>0</v>
      </c>
      <c r="AD1325" s="0" t="n">
        <v>19.13</v>
      </c>
      <c r="AE1325" s="0" t="n">
        <v>7.78</v>
      </c>
      <c r="AF1325" s="0" t="n">
        <v>15.45</v>
      </c>
      <c r="AG1325" s="22" t="b">
        <f aca="false">TRUE()</f>
        <v>1</v>
      </c>
      <c r="AH1325" s="0" t="n">
        <v>1</v>
      </c>
    </row>
    <row r="1326" customFormat="false" ht="15" hidden="false" customHeight="false" outlineLevel="0" collapsed="false">
      <c r="A1326" s="0" t="s">
        <v>2049</v>
      </c>
      <c r="B1326" s="0" t="s">
        <v>134</v>
      </c>
      <c r="C1326" s="0" t="s">
        <v>3450</v>
      </c>
      <c r="D1326" s="0" t="s">
        <v>3457</v>
      </c>
      <c r="E1326" s="20" t="s">
        <v>25</v>
      </c>
      <c r="F1326" s="23" t="s">
        <v>30</v>
      </c>
      <c r="G1326" s="21" t="s">
        <v>183</v>
      </c>
      <c r="H1326" s="21" t="s">
        <v>24</v>
      </c>
      <c r="I1326" s="21" t="s">
        <v>25</v>
      </c>
      <c r="J1326" s="21" t="s">
        <v>24</v>
      </c>
      <c r="K1326" s="21" t="s">
        <v>25</v>
      </c>
      <c r="L1326" s="21" t="s">
        <v>24</v>
      </c>
      <c r="M1326" s="0" t="n">
        <v>184</v>
      </c>
      <c r="N1326" s="0" t="n">
        <v>1</v>
      </c>
      <c r="O1326" s="21" t="s">
        <v>69</v>
      </c>
      <c r="P1326" s="21" t="s">
        <v>4275</v>
      </c>
      <c r="Q1326" s="0" t="n">
        <v>1</v>
      </c>
      <c r="R1326" s="21" t="s">
        <v>69</v>
      </c>
      <c r="S1326" s="0" t="n">
        <v>1</v>
      </c>
      <c r="T1326" s="21" t="s">
        <v>69</v>
      </c>
      <c r="U1326" s="22" t="b">
        <f aca="false">TRUE()</f>
        <v>1</v>
      </c>
      <c r="V1326" s="0" t="n">
        <v>0.75</v>
      </c>
      <c r="W1326" s="0" t="n">
        <v>0.28</v>
      </c>
      <c r="X1326" s="0" t="n">
        <v>8.94</v>
      </c>
      <c r="Y1326" s="0" t="n">
        <v>419.7</v>
      </c>
      <c r="Z1326" s="0" t="n">
        <v>11.08</v>
      </c>
      <c r="AA1326" s="0" t="n">
        <v>10.06</v>
      </c>
      <c r="AB1326" s="0" t="n">
        <v>2.62</v>
      </c>
      <c r="AC1326" s="22" t="b">
        <f aca="false">FALSE()</f>
        <v>0</v>
      </c>
      <c r="AD1326" s="0" t="n">
        <v>20.65</v>
      </c>
      <c r="AE1326" s="0" t="n">
        <v>0.83</v>
      </c>
      <c r="AF1326" s="0" t="n">
        <v>17.93</v>
      </c>
      <c r="AG1326" s="22" t="b">
        <f aca="false">TRUE()</f>
        <v>1</v>
      </c>
      <c r="AH1326" s="0" t="n">
        <v>1</v>
      </c>
    </row>
    <row r="1327" customFormat="false" ht="15" hidden="false" customHeight="false" outlineLevel="0" collapsed="false">
      <c r="A1327" s="0" t="s">
        <v>2049</v>
      </c>
      <c r="B1327" s="0" t="s">
        <v>134</v>
      </c>
      <c r="C1327" s="0" t="s">
        <v>3450</v>
      </c>
      <c r="D1327" s="0" t="s">
        <v>3448</v>
      </c>
      <c r="E1327" s="20" t="s">
        <v>25</v>
      </c>
      <c r="F1327" s="23" t="s">
        <v>30</v>
      </c>
      <c r="G1327" s="21" t="s">
        <v>157</v>
      </c>
      <c r="H1327" s="21" t="s">
        <v>24</v>
      </c>
      <c r="I1327" s="21" t="s">
        <v>25</v>
      </c>
      <c r="J1327" s="21" t="s">
        <v>24</v>
      </c>
      <c r="K1327" s="21" t="s">
        <v>25</v>
      </c>
      <c r="L1327" s="21" t="s">
        <v>24</v>
      </c>
      <c r="M1327" s="0" t="n">
        <v>187</v>
      </c>
      <c r="N1327" s="0" t="n">
        <v>2</v>
      </c>
      <c r="O1327" s="21" t="s">
        <v>3566</v>
      </c>
      <c r="P1327" s="21" t="s">
        <v>4238</v>
      </c>
      <c r="Q1327" s="0" t="n">
        <v>1</v>
      </c>
      <c r="R1327" s="21" t="s">
        <v>69</v>
      </c>
      <c r="S1327" s="0" t="n">
        <v>2</v>
      </c>
      <c r="T1327" s="21" t="s">
        <v>3566</v>
      </c>
      <c r="U1327" s="22" t="b">
        <f aca="false">TRUE()</f>
        <v>1</v>
      </c>
      <c r="V1327" s="0" t="n">
        <v>0.75</v>
      </c>
      <c r="W1327" s="0" t="n">
        <v>0.96</v>
      </c>
      <c r="X1327" s="0" t="n">
        <v>9.28</v>
      </c>
      <c r="Y1327" s="0" t="n">
        <v>323.52</v>
      </c>
      <c r="Z1327" s="0" t="n">
        <v>10.25</v>
      </c>
      <c r="AA1327" s="0" t="n">
        <v>7.8</v>
      </c>
      <c r="AB1327" s="0" t="n">
        <v>1.09</v>
      </c>
      <c r="AC1327" s="22" t="b">
        <f aca="false">FALSE()</f>
        <v>0</v>
      </c>
      <c r="AD1327" s="0" t="n">
        <v>20.12</v>
      </c>
      <c r="AE1327" s="0" t="n">
        <v>0.51</v>
      </c>
      <c r="AF1327" s="0" t="n">
        <v>16.82</v>
      </c>
      <c r="AG1327" s="22" t="b">
        <f aca="false">TRUE()</f>
        <v>1</v>
      </c>
      <c r="AH1327" s="0" t="n">
        <v>1</v>
      </c>
    </row>
    <row r="1328" customFormat="false" ht="15" hidden="false" customHeight="false" outlineLevel="0" collapsed="false">
      <c r="A1328" s="0" t="s">
        <v>2049</v>
      </c>
      <c r="B1328" s="0" t="s">
        <v>134</v>
      </c>
      <c r="C1328" s="0" t="s">
        <v>3447</v>
      </c>
      <c r="D1328" s="0" t="s">
        <v>3457</v>
      </c>
      <c r="E1328" s="19" t="s">
        <v>26</v>
      </c>
      <c r="F1328" s="19" t="s">
        <v>32</v>
      </c>
      <c r="G1328" s="21" t="s">
        <v>3896</v>
      </c>
      <c r="H1328" s="21" t="s">
        <v>24</v>
      </c>
      <c r="I1328" s="21" t="s">
        <v>26</v>
      </c>
      <c r="J1328" s="21" t="s">
        <v>24</v>
      </c>
      <c r="K1328" s="21" t="s">
        <v>25</v>
      </c>
      <c r="L1328" s="21" t="s">
        <v>24</v>
      </c>
      <c r="M1328" s="0" t="n">
        <v>185</v>
      </c>
      <c r="N1328" s="0" t="n">
        <v>9</v>
      </c>
      <c r="O1328" s="21" t="s">
        <v>3940</v>
      </c>
      <c r="P1328" s="21" t="s">
        <v>4702</v>
      </c>
      <c r="Q1328" s="0" t="n">
        <v>0</v>
      </c>
      <c r="S1328" s="0" t="n">
        <v>9</v>
      </c>
      <c r="T1328" s="21" t="s">
        <v>3940</v>
      </c>
      <c r="U1328" s="22" t="b">
        <f aca="false">FALSE()</f>
        <v>0</v>
      </c>
      <c r="V1328" s="0" t="n">
        <v>0.78</v>
      </c>
      <c r="W1328" s="0" t="n">
        <v>0.16</v>
      </c>
      <c r="X1328" s="0" t="n">
        <v>10.23</v>
      </c>
      <c r="Y1328" s="0" t="n">
        <v>541.21</v>
      </c>
      <c r="Z1328" s="0" t="n">
        <v>10.08</v>
      </c>
      <c r="AA1328" s="0" t="n">
        <v>3.31</v>
      </c>
      <c r="AB1328" s="0" t="n">
        <v>2.62</v>
      </c>
      <c r="AC1328" s="22" t="b">
        <f aca="false">FALSE()</f>
        <v>0</v>
      </c>
      <c r="AD1328" s="0" t="n">
        <v>20.26</v>
      </c>
      <c r="AE1328" s="0" t="n">
        <v>1.71</v>
      </c>
      <c r="AF1328" s="0" t="n">
        <v>14.24</v>
      </c>
      <c r="AG1328" s="22" t="b">
        <f aca="false">TRUE()</f>
        <v>1</v>
      </c>
      <c r="AH1328" s="0" t="n">
        <v>1</v>
      </c>
    </row>
    <row r="1329" customFormat="false" ht="15" hidden="false" customHeight="false" outlineLevel="0" collapsed="false">
      <c r="A1329" s="0" t="s">
        <v>2049</v>
      </c>
      <c r="B1329" s="0" t="s">
        <v>134</v>
      </c>
      <c r="C1329" s="0" t="s">
        <v>3447</v>
      </c>
      <c r="D1329" s="0" t="s">
        <v>3448</v>
      </c>
      <c r="E1329" s="19" t="s">
        <v>26</v>
      </c>
      <c r="F1329" s="19" t="s">
        <v>32</v>
      </c>
      <c r="G1329" s="21" t="s">
        <v>3885</v>
      </c>
      <c r="H1329" s="21" t="s">
        <v>24</v>
      </c>
      <c r="I1329" s="21" t="s">
        <v>26</v>
      </c>
      <c r="J1329" s="21" t="s">
        <v>24</v>
      </c>
      <c r="K1329" s="21" t="s">
        <v>25</v>
      </c>
      <c r="L1329" s="21" t="s">
        <v>24</v>
      </c>
      <c r="M1329" s="0" t="n">
        <v>186</v>
      </c>
      <c r="N1329" s="0" t="n">
        <v>9</v>
      </c>
      <c r="O1329" s="21" t="s">
        <v>3932</v>
      </c>
      <c r="P1329" s="21" t="s">
        <v>4703</v>
      </c>
      <c r="Q1329" s="0" t="n">
        <v>0</v>
      </c>
      <c r="S1329" s="0" t="n">
        <v>9</v>
      </c>
      <c r="T1329" s="21" t="s">
        <v>3932</v>
      </c>
      <c r="U1329" s="22" t="b">
        <f aca="false">FALSE()</f>
        <v>0</v>
      </c>
      <c r="V1329" s="0" t="n">
        <v>0.78</v>
      </c>
      <c r="W1329" s="0" t="n">
        <v>0.36</v>
      </c>
      <c r="X1329" s="0" t="n">
        <v>12.2</v>
      </c>
      <c r="Y1329" s="0" t="n">
        <v>383.74</v>
      </c>
      <c r="Z1329" s="0" t="n">
        <v>9.33</v>
      </c>
      <c r="AA1329" s="0" t="n">
        <v>1.5</v>
      </c>
      <c r="AB1329" s="0" t="n">
        <v>1.09</v>
      </c>
      <c r="AC1329" s="22" t="b">
        <f aca="false">FALSE()</f>
        <v>0</v>
      </c>
      <c r="AD1329" s="0" t="n">
        <v>12.5</v>
      </c>
      <c r="AE1329" s="0" t="n">
        <v>1.26</v>
      </c>
      <c r="AF1329" s="0" t="n">
        <v>11.24</v>
      </c>
      <c r="AG1329" s="22" t="b">
        <f aca="false">TRUE()</f>
        <v>1</v>
      </c>
      <c r="AH1329" s="0" t="n">
        <v>1</v>
      </c>
    </row>
    <row r="1330" customFormat="false" ht="15" hidden="false" customHeight="false" outlineLevel="0" collapsed="false">
      <c r="A1330" s="0" t="s">
        <v>2055</v>
      </c>
      <c r="B1330" s="0" t="s">
        <v>134</v>
      </c>
      <c r="C1330" s="0" t="s">
        <v>3450</v>
      </c>
      <c r="D1330" s="0" t="s">
        <v>3457</v>
      </c>
      <c r="E1330" s="19" t="s">
        <v>26</v>
      </c>
      <c r="F1330" s="19" t="s">
        <v>32</v>
      </c>
      <c r="G1330" s="21" t="s">
        <v>1926</v>
      </c>
      <c r="H1330" s="21" t="s">
        <v>24</v>
      </c>
      <c r="I1330" s="21" t="s">
        <v>26</v>
      </c>
      <c r="J1330" s="21" t="s">
        <v>24</v>
      </c>
      <c r="K1330" s="21" t="s">
        <v>25</v>
      </c>
      <c r="L1330" s="21" t="s">
        <v>24</v>
      </c>
      <c r="M1330" s="0" t="n">
        <v>188</v>
      </c>
      <c r="N1330" s="0" t="n">
        <v>9</v>
      </c>
      <c r="O1330" s="21" t="s">
        <v>4155</v>
      </c>
      <c r="P1330" s="21" t="s">
        <v>4704</v>
      </c>
      <c r="Q1330" s="0" t="n">
        <v>1</v>
      </c>
      <c r="R1330" s="21" t="s">
        <v>69</v>
      </c>
      <c r="S1330" s="0" t="n">
        <v>9</v>
      </c>
      <c r="T1330" s="21" t="s">
        <v>4155</v>
      </c>
      <c r="U1330" s="22" t="b">
        <f aca="false">FALSE()</f>
        <v>0</v>
      </c>
      <c r="V1330" s="0" t="n">
        <v>0.52</v>
      </c>
      <c r="W1330" s="0" t="n">
        <v>0.64</v>
      </c>
      <c r="X1330" s="0" t="n">
        <v>10.86</v>
      </c>
      <c r="Y1330" s="0" t="n">
        <v>293.44</v>
      </c>
      <c r="Z1330" s="0" t="n">
        <v>9.5</v>
      </c>
      <c r="AA1330" s="0" t="n">
        <v>9.04</v>
      </c>
      <c r="AB1330" s="0" t="n">
        <v>6.59</v>
      </c>
      <c r="AC1330" s="22" t="b">
        <f aca="false">FALSE()</f>
        <v>0</v>
      </c>
      <c r="AD1330" s="0" t="n">
        <v>22.41</v>
      </c>
      <c r="AE1330" s="0" t="n">
        <v>12.95</v>
      </c>
      <c r="AF1330" s="0" t="n">
        <v>20.57</v>
      </c>
      <c r="AG1330" s="22" t="b">
        <f aca="false">TRUE()</f>
        <v>1</v>
      </c>
      <c r="AH1330" s="0" t="n">
        <v>1</v>
      </c>
    </row>
    <row r="1331" customFormat="false" ht="15" hidden="false" customHeight="false" outlineLevel="0" collapsed="false">
      <c r="A1331" s="0" t="s">
        <v>2055</v>
      </c>
      <c r="B1331" s="0" t="s">
        <v>134</v>
      </c>
      <c r="C1331" s="0" t="s">
        <v>3450</v>
      </c>
      <c r="D1331" s="0" t="s">
        <v>3448</v>
      </c>
      <c r="E1331" s="20" t="s">
        <v>25</v>
      </c>
      <c r="F1331" s="23" t="s">
        <v>30</v>
      </c>
      <c r="G1331" s="21" t="s">
        <v>283</v>
      </c>
      <c r="H1331" s="21" t="s">
        <v>24</v>
      </c>
      <c r="I1331" s="21" t="s">
        <v>25</v>
      </c>
      <c r="J1331" s="21" t="s">
        <v>24</v>
      </c>
      <c r="K1331" s="21" t="s">
        <v>24</v>
      </c>
      <c r="L1331" s="21" t="s">
        <v>24</v>
      </c>
      <c r="M1331" s="0" t="n">
        <v>187</v>
      </c>
      <c r="N1331" s="0" t="n">
        <v>3</v>
      </c>
      <c r="O1331" s="21" t="s">
        <v>3695</v>
      </c>
      <c r="P1331" s="21" t="s">
        <v>4289</v>
      </c>
      <c r="Q1331" s="0" t="n">
        <v>1</v>
      </c>
      <c r="R1331" s="21" t="s">
        <v>69</v>
      </c>
      <c r="S1331" s="0" t="n">
        <v>3</v>
      </c>
      <c r="T1331" s="21" t="s">
        <v>3695</v>
      </c>
      <c r="U1331" s="22" t="b">
        <f aca="false">TRUE()</f>
        <v>1</v>
      </c>
      <c r="V1331" s="0" t="n">
        <v>0.61</v>
      </c>
      <c r="W1331" s="0" t="n">
        <v>0.6</v>
      </c>
      <c r="X1331" s="0" t="n">
        <v>12.14</v>
      </c>
      <c r="Y1331" s="0" t="n">
        <v>326.18</v>
      </c>
      <c r="Z1331" s="0" t="n">
        <v>9.33</v>
      </c>
      <c r="AA1331" s="0" t="n">
        <v>12.99</v>
      </c>
      <c r="AB1331" s="0" t="n">
        <v>6.89</v>
      </c>
      <c r="AC1331" s="22" t="b">
        <f aca="false">FALSE()</f>
        <v>0</v>
      </c>
      <c r="AD1331" s="0" t="n">
        <v>18.49</v>
      </c>
      <c r="AE1331" s="0" t="n">
        <v>1.12</v>
      </c>
      <c r="AF1331" s="0" t="n">
        <v>12.83</v>
      </c>
      <c r="AG1331" s="22" t="b">
        <f aca="false">TRUE()</f>
        <v>1</v>
      </c>
      <c r="AH1331" s="0" t="n">
        <v>1</v>
      </c>
    </row>
    <row r="1332" customFormat="false" ht="15" hidden="false" customHeight="false" outlineLevel="0" collapsed="false">
      <c r="A1332" s="0" t="s">
        <v>2055</v>
      </c>
      <c r="B1332" s="0" t="s">
        <v>134</v>
      </c>
      <c r="C1332" s="0" t="s">
        <v>3447</v>
      </c>
      <c r="D1332" s="0" t="s">
        <v>3457</v>
      </c>
      <c r="E1332" s="20" t="s">
        <v>25</v>
      </c>
      <c r="F1332" s="23" t="s">
        <v>30</v>
      </c>
      <c r="G1332" s="21" t="s">
        <v>183</v>
      </c>
      <c r="H1332" s="21" t="s">
        <v>24</v>
      </c>
      <c r="I1332" s="21" t="s">
        <v>25</v>
      </c>
      <c r="J1332" s="21" t="s">
        <v>24</v>
      </c>
      <c r="K1332" s="21" t="s">
        <v>25</v>
      </c>
      <c r="L1332" s="21" t="s">
        <v>24</v>
      </c>
      <c r="M1332" s="0" t="n">
        <v>185</v>
      </c>
      <c r="N1332" s="0" t="n">
        <v>1</v>
      </c>
      <c r="O1332" s="21" t="s">
        <v>69</v>
      </c>
      <c r="P1332" s="21" t="s">
        <v>4275</v>
      </c>
      <c r="Q1332" s="0" t="n">
        <v>1</v>
      </c>
      <c r="R1332" s="21" t="s">
        <v>69</v>
      </c>
      <c r="S1332" s="0" t="n">
        <v>1</v>
      </c>
      <c r="T1332" s="21" t="s">
        <v>69</v>
      </c>
      <c r="U1332" s="22" t="b">
        <f aca="false">TRUE()</f>
        <v>1</v>
      </c>
      <c r="V1332" s="0" t="n">
        <v>0.61</v>
      </c>
      <c r="W1332" s="0" t="n">
        <v>0</v>
      </c>
      <c r="X1332" s="0" t="n">
        <v>7.33</v>
      </c>
      <c r="Y1332" s="0" t="n">
        <v>1.41</v>
      </c>
      <c r="Z1332" s="0" t="n">
        <v>8.25</v>
      </c>
      <c r="AA1332" s="0" t="n">
        <v>5.58</v>
      </c>
      <c r="AB1332" s="0" t="n">
        <v>6.59</v>
      </c>
      <c r="AC1332" s="22" t="b">
        <f aca="false">FALSE()</f>
        <v>0</v>
      </c>
      <c r="AD1332" s="0" t="n">
        <v>23.07</v>
      </c>
      <c r="AE1332" s="0" t="n">
        <v>13.44</v>
      </c>
      <c r="AF1332" s="0" t="n">
        <v>21.17</v>
      </c>
      <c r="AG1332" s="22" t="b">
        <f aca="false">TRUE()</f>
        <v>1</v>
      </c>
      <c r="AH1332" s="0" t="n">
        <v>0</v>
      </c>
    </row>
    <row r="1333" customFormat="false" ht="15" hidden="false" customHeight="false" outlineLevel="0" collapsed="false">
      <c r="A1333" s="0" t="s">
        <v>2055</v>
      </c>
      <c r="B1333" s="0" t="s">
        <v>134</v>
      </c>
      <c r="C1333" s="0" t="s">
        <v>3447</v>
      </c>
      <c r="D1333" s="0" t="s">
        <v>3448</v>
      </c>
      <c r="E1333" s="18" t="s">
        <v>24</v>
      </c>
      <c r="F1333" s="23" t="s">
        <v>30</v>
      </c>
      <c r="G1333" s="21" t="s">
        <v>30</v>
      </c>
      <c r="H1333" s="21" t="s">
        <v>24</v>
      </c>
      <c r="I1333" s="21" t="s">
        <v>24</v>
      </c>
      <c r="J1333" s="21" t="s">
        <v>24</v>
      </c>
      <c r="K1333" s="21" t="s">
        <v>24</v>
      </c>
      <c r="L1333" s="21" t="s">
        <v>24</v>
      </c>
      <c r="M1333" s="0" t="n">
        <v>191</v>
      </c>
      <c r="N1333" s="0" t="n">
        <v>3</v>
      </c>
      <c r="O1333" s="21" t="s">
        <v>3561</v>
      </c>
      <c r="P1333" s="21" t="s">
        <v>4304</v>
      </c>
      <c r="Q1333" s="0" t="n">
        <v>0</v>
      </c>
      <c r="S1333" s="0" t="n">
        <v>3</v>
      </c>
      <c r="T1333" s="21" t="s">
        <v>3561</v>
      </c>
      <c r="U1333" s="22" t="b">
        <f aca="false">TRUE()</f>
        <v>1</v>
      </c>
      <c r="V1333" s="0" t="n">
        <v>0.76</v>
      </c>
      <c r="W1333" s="0" t="n">
        <v>0.76</v>
      </c>
      <c r="X1333" s="0" t="n">
        <v>10.26</v>
      </c>
      <c r="Y1333" s="0" t="n">
        <v>330.7</v>
      </c>
      <c r="Z1333" s="0" t="n">
        <v>8.5</v>
      </c>
      <c r="AA1333" s="0" t="n">
        <v>5.69</v>
      </c>
      <c r="AB1333" s="0" t="n">
        <v>6.89</v>
      </c>
      <c r="AC1333" s="22" t="b">
        <f aca="false">FALSE()</f>
        <v>0</v>
      </c>
      <c r="AD1333" s="0" t="n">
        <v>19.26</v>
      </c>
      <c r="AE1333" s="0" t="n">
        <v>1.35</v>
      </c>
      <c r="AF1333" s="0" t="n">
        <v>13.1</v>
      </c>
      <c r="AG1333" s="22" t="b">
        <f aca="false">TRUE()</f>
        <v>1</v>
      </c>
      <c r="AH1333" s="0" t="n">
        <v>1</v>
      </c>
    </row>
    <row r="1334" customFormat="false" ht="15" hidden="false" customHeight="false" outlineLevel="0" collapsed="false">
      <c r="A1334" s="0" t="s">
        <v>2055</v>
      </c>
      <c r="B1334" s="0" t="s">
        <v>3459</v>
      </c>
      <c r="C1334" s="0" t="s">
        <v>3450</v>
      </c>
      <c r="D1334" s="0" t="s">
        <v>3457</v>
      </c>
      <c r="E1334" s="20" t="s">
        <v>25</v>
      </c>
      <c r="F1334" s="23" t="s">
        <v>30</v>
      </c>
      <c r="G1334" s="21" t="s">
        <v>183</v>
      </c>
      <c r="H1334" s="21" t="s">
        <v>24</v>
      </c>
      <c r="I1334" s="21" t="s">
        <v>25</v>
      </c>
      <c r="J1334" s="21" t="s">
        <v>24</v>
      </c>
      <c r="K1334" s="21" t="s">
        <v>25</v>
      </c>
      <c r="L1334" s="21" t="s">
        <v>24</v>
      </c>
      <c r="M1334" s="0" t="n">
        <v>183</v>
      </c>
      <c r="N1334" s="0" t="n">
        <v>4</v>
      </c>
      <c r="O1334" s="21" t="s">
        <v>3773</v>
      </c>
      <c r="P1334" s="21" t="s">
        <v>4364</v>
      </c>
      <c r="Q1334" s="0" t="n">
        <v>1</v>
      </c>
      <c r="R1334" s="21" t="s">
        <v>69</v>
      </c>
      <c r="S1334" s="0" t="n">
        <v>4</v>
      </c>
      <c r="T1334" s="21" t="s">
        <v>3773</v>
      </c>
      <c r="U1334" s="22" t="b">
        <f aca="false">TRUE()</f>
        <v>1</v>
      </c>
      <c r="V1334" s="0" t="n">
        <v>0.6</v>
      </c>
      <c r="W1334" s="0" t="n">
        <v>0</v>
      </c>
      <c r="X1334" s="0" t="n">
        <v>12.58</v>
      </c>
      <c r="Y1334" s="0" t="n">
        <v>640.04</v>
      </c>
      <c r="Z1334" s="0" t="n">
        <v>9.5</v>
      </c>
      <c r="AA1334" s="0" t="n">
        <v>10.16</v>
      </c>
      <c r="AB1334" s="0" t="n">
        <v>4.64</v>
      </c>
      <c r="AC1334" s="22" t="b">
        <f aca="false">FALSE()</f>
        <v>0</v>
      </c>
      <c r="AD1334" s="0" t="n">
        <v>25.38</v>
      </c>
      <c r="AE1334" s="0" t="n">
        <v>14.99</v>
      </c>
      <c r="AF1334" s="0" t="n">
        <v>21.64</v>
      </c>
      <c r="AG1334" s="22" t="b">
        <f aca="false">TRUE()</f>
        <v>1</v>
      </c>
      <c r="AH1334" s="0" t="n">
        <v>1</v>
      </c>
    </row>
    <row r="1335" customFormat="false" ht="15" hidden="false" customHeight="false" outlineLevel="0" collapsed="false">
      <c r="A1335" s="0" t="s">
        <v>2055</v>
      </c>
      <c r="B1335" s="0" t="s">
        <v>3459</v>
      </c>
      <c r="C1335" s="0" t="s">
        <v>3450</v>
      </c>
      <c r="D1335" s="0" t="s">
        <v>3448</v>
      </c>
      <c r="E1335" s="20" t="s">
        <v>25</v>
      </c>
      <c r="F1335" s="23" t="s">
        <v>30</v>
      </c>
      <c r="G1335" s="21" t="s">
        <v>183</v>
      </c>
      <c r="H1335" s="21" t="s">
        <v>24</v>
      </c>
      <c r="I1335" s="21" t="s">
        <v>25</v>
      </c>
      <c r="J1335" s="21" t="s">
        <v>24</v>
      </c>
      <c r="K1335" s="21" t="s">
        <v>25</v>
      </c>
      <c r="L1335" s="21" t="s">
        <v>24</v>
      </c>
      <c r="M1335" s="0" t="n">
        <v>187</v>
      </c>
      <c r="N1335" s="0" t="n">
        <v>4</v>
      </c>
      <c r="O1335" s="21" t="s">
        <v>3785</v>
      </c>
      <c r="P1335" s="21" t="s">
        <v>4353</v>
      </c>
      <c r="Q1335" s="0" t="n">
        <v>1</v>
      </c>
      <c r="R1335" s="21" t="s">
        <v>69</v>
      </c>
      <c r="S1335" s="0" t="n">
        <v>4</v>
      </c>
      <c r="T1335" s="21" t="s">
        <v>3785</v>
      </c>
      <c r="U1335" s="22" t="b">
        <f aca="false">TRUE()</f>
        <v>1</v>
      </c>
      <c r="V1335" s="0" t="n">
        <v>0.64</v>
      </c>
      <c r="W1335" s="0" t="n">
        <v>0.76</v>
      </c>
      <c r="X1335" s="0" t="n">
        <v>13.34</v>
      </c>
      <c r="Y1335" s="0" t="n">
        <v>290.68</v>
      </c>
      <c r="Z1335" s="0" t="n">
        <v>8.25</v>
      </c>
      <c r="AA1335" s="0" t="n">
        <v>10.16</v>
      </c>
      <c r="AB1335" s="0" t="n">
        <v>3.35</v>
      </c>
      <c r="AC1335" s="22" t="b">
        <f aca="false">FALSE()</f>
        <v>0</v>
      </c>
      <c r="AD1335" s="0" t="n">
        <v>20.33</v>
      </c>
      <c r="AE1335" s="0" t="n">
        <v>11.13</v>
      </c>
      <c r="AF1335" s="0" t="n">
        <v>17.72</v>
      </c>
      <c r="AG1335" s="22" t="b">
        <f aca="false">TRUE()</f>
        <v>1</v>
      </c>
      <c r="AH1335" s="0" t="n">
        <v>1</v>
      </c>
    </row>
    <row r="1336" customFormat="false" ht="15" hidden="false" customHeight="false" outlineLevel="0" collapsed="false">
      <c r="A1336" s="0" t="s">
        <v>2055</v>
      </c>
      <c r="B1336" s="0" t="s">
        <v>3459</v>
      </c>
      <c r="C1336" s="0" t="s">
        <v>3447</v>
      </c>
      <c r="D1336" s="0" t="s">
        <v>3457</v>
      </c>
      <c r="E1336" s="20" t="s">
        <v>25</v>
      </c>
      <c r="F1336" s="23" t="s">
        <v>30</v>
      </c>
      <c r="G1336" s="21" t="s">
        <v>992</v>
      </c>
      <c r="H1336" s="21" t="s">
        <v>24</v>
      </c>
      <c r="I1336" s="21" t="s">
        <v>24</v>
      </c>
      <c r="J1336" s="21" t="s">
        <v>24</v>
      </c>
      <c r="K1336" s="21" t="s">
        <v>25</v>
      </c>
      <c r="L1336" s="21" t="s">
        <v>24</v>
      </c>
      <c r="M1336" s="0" t="n">
        <v>183</v>
      </c>
      <c r="N1336" s="0" t="n">
        <v>5</v>
      </c>
      <c r="O1336" s="21" t="s">
        <v>3705</v>
      </c>
      <c r="P1336" s="21" t="s">
        <v>4705</v>
      </c>
      <c r="Q1336" s="0" t="n">
        <v>0</v>
      </c>
      <c r="S1336" s="0" t="n">
        <v>5</v>
      </c>
      <c r="T1336" s="21" t="s">
        <v>3705</v>
      </c>
      <c r="U1336" s="22" t="b">
        <f aca="false">TRUE()</f>
        <v>1</v>
      </c>
      <c r="V1336" s="0" t="n">
        <v>0.68</v>
      </c>
      <c r="W1336" s="0" t="n">
        <v>0.72</v>
      </c>
      <c r="X1336" s="0" t="n">
        <v>10.54</v>
      </c>
      <c r="Y1336" s="0" t="n">
        <v>306.74</v>
      </c>
      <c r="Z1336" s="0" t="n">
        <v>8</v>
      </c>
      <c r="AA1336" s="0" t="n">
        <v>4</v>
      </c>
      <c r="AB1336" s="0" t="n">
        <v>4.64</v>
      </c>
      <c r="AC1336" s="22" t="b">
        <f aca="false">FALSE()</f>
        <v>0</v>
      </c>
      <c r="AD1336" s="0" t="n">
        <v>25.59</v>
      </c>
      <c r="AE1336" s="0" t="n">
        <v>15.48</v>
      </c>
      <c r="AF1336" s="0" t="n">
        <v>21.56</v>
      </c>
      <c r="AG1336" s="22" t="b">
        <f aca="false">TRUE()</f>
        <v>1</v>
      </c>
      <c r="AH1336" s="0" t="n">
        <v>1</v>
      </c>
    </row>
    <row r="1337" customFormat="false" ht="15" hidden="false" customHeight="false" outlineLevel="0" collapsed="false">
      <c r="A1337" s="0" t="s">
        <v>2055</v>
      </c>
      <c r="B1337" s="0" t="s">
        <v>3459</v>
      </c>
      <c r="C1337" s="0" t="s">
        <v>3447</v>
      </c>
      <c r="D1337" s="0" t="s">
        <v>3448</v>
      </c>
      <c r="E1337" s="20" t="s">
        <v>25</v>
      </c>
      <c r="F1337" s="23" t="s">
        <v>30</v>
      </c>
      <c r="G1337" s="21" t="s">
        <v>992</v>
      </c>
      <c r="H1337" s="21" t="s">
        <v>24</v>
      </c>
      <c r="I1337" s="21" t="s">
        <v>24</v>
      </c>
      <c r="J1337" s="21" t="s">
        <v>24</v>
      </c>
      <c r="K1337" s="21" t="s">
        <v>25</v>
      </c>
      <c r="L1337" s="21" t="s">
        <v>24</v>
      </c>
      <c r="M1337" s="0" t="n">
        <v>197</v>
      </c>
      <c r="N1337" s="0" t="n">
        <v>2</v>
      </c>
      <c r="O1337" s="21" t="s">
        <v>3499</v>
      </c>
      <c r="P1337" s="21" t="s">
        <v>4250</v>
      </c>
      <c r="Q1337" s="0" t="n">
        <v>0</v>
      </c>
      <c r="S1337" s="0" t="n">
        <v>2</v>
      </c>
      <c r="T1337" s="21" t="s">
        <v>3499</v>
      </c>
      <c r="U1337" s="22" t="b">
        <f aca="false">TRUE()</f>
        <v>1</v>
      </c>
      <c r="V1337" s="0" t="n">
        <v>0.72</v>
      </c>
      <c r="W1337" s="0" t="n">
        <v>0.52</v>
      </c>
      <c r="X1337" s="0" t="n">
        <v>12.05</v>
      </c>
      <c r="Y1337" s="0" t="n">
        <v>311.67</v>
      </c>
      <c r="Z1337" s="0" t="n">
        <v>8</v>
      </c>
      <c r="AA1337" s="0" t="n">
        <v>6.86</v>
      </c>
      <c r="AB1337" s="0" t="n">
        <v>3.35</v>
      </c>
      <c r="AC1337" s="22" t="b">
        <f aca="false">FALSE()</f>
        <v>0</v>
      </c>
      <c r="AD1337" s="0" t="n">
        <v>23.86</v>
      </c>
      <c r="AE1337" s="0" t="n">
        <v>15.9</v>
      </c>
      <c r="AF1337" s="0" t="n">
        <v>23.7</v>
      </c>
      <c r="AG1337" s="22" t="b">
        <f aca="false">TRUE()</f>
        <v>1</v>
      </c>
      <c r="AH1337" s="0" t="n">
        <v>1</v>
      </c>
    </row>
    <row r="1338" customFormat="false" ht="15" hidden="false" customHeight="false" outlineLevel="0" collapsed="false">
      <c r="A1338" s="0" t="s">
        <v>2061</v>
      </c>
      <c r="B1338" s="0" t="s">
        <v>134</v>
      </c>
      <c r="C1338" s="0" t="s">
        <v>3450</v>
      </c>
      <c r="D1338" s="0" t="s">
        <v>3457</v>
      </c>
      <c r="E1338" s="20" t="s">
        <v>25</v>
      </c>
      <c r="F1338" s="23" t="s">
        <v>30</v>
      </c>
      <c r="G1338" s="21" t="s">
        <v>183</v>
      </c>
      <c r="H1338" s="21" t="s">
        <v>24</v>
      </c>
      <c r="I1338" s="21" t="s">
        <v>25</v>
      </c>
      <c r="J1338" s="21" t="s">
        <v>24</v>
      </c>
      <c r="K1338" s="21" t="s">
        <v>25</v>
      </c>
      <c r="L1338" s="21" t="s">
        <v>24</v>
      </c>
      <c r="M1338" s="0" t="n">
        <v>183</v>
      </c>
      <c r="N1338" s="0" t="n">
        <v>1</v>
      </c>
      <c r="O1338" s="21" t="s">
        <v>69</v>
      </c>
      <c r="P1338" s="21" t="s">
        <v>4275</v>
      </c>
      <c r="Q1338" s="0" t="n">
        <v>1</v>
      </c>
      <c r="R1338" s="21" t="s">
        <v>69</v>
      </c>
      <c r="S1338" s="0" t="n">
        <v>1</v>
      </c>
      <c r="T1338" s="21" t="s">
        <v>69</v>
      </c>
      <c r="U1338" s="22" t="b">
        <f aca="false">TRUE()</f>
        <v>1</v>
      </c>
      <c r="V1338" s="0" t="n">
        <v>0.66</v>
      </c>
      <c r="W1338" s="0" t="n">
        <v>0.8</v>
      </c>
      <c r="X1338" s="0" t="n">
        <v>9.76</v>
      </c>
      <c r="Y1338" s="0" t="n">
        <v>316.12</v>
      </c>
      <c r="Z1338" s="0" t="n">
        <v>9</v>
      </c>
      <c r="AA1338" s="0" t="n">
        <v>6.17</v>
      </c>
      <c r="AB1338" s="0" t="n">
        <v>2.49</v>
      </c>
      <c r="AC1338" s="22" t="b">
        <f aca="false">FALSE()</f>
        <v>0</v>
      </c>
      <c r="AD1338" s="0" t="n">
        <v>26.88</v>
      </c>
      <c r="AE1338" s="0" t="n">
        <v>16.05</v>
      </c>
      <c r="AF1338" s="0" t="n">
        <v>25.6</v>
      </c>
      <c r="AG1338" s="22" t="b">
        <f aca="false">TRUE()</f>
        <v>1</v>
      </c>
      <c r="AH1338" s="0" t="n">
        <v>1</v>
      </c>
    </row>
    <row r="1339" customFormat="false" ht="15" hidden="false" customHeight="false" outlineLevel="0" collapsed="false">
      <c r="A1339" s="0" t="s">
        <v>2061</v>
      </c>
      <c r="B1339" s="0" t="s">
        <v>134</v>
      </c>
      <c r="C1339" s="0" t="s">
        <v>3450</v>
      </c>
      <c r="D1339" s="0" t="s">
        <v>3448</v>
      </c>
      <c r="E1339" s="20" t="s">
        <v>25</v>
      </c>
      <c r="F1339" s="23" t="s">
        <v>30</v>
      </c>
      <c r="G1339" s="21" t="s">
        <v>183</v>
      </c>
      <c r="H1339" s="21" t="s">
        <v>24</v>
      </c>
      <c r="I1339" s="21" t="s">
        <v>25</v>
      </c>
      <c r="J1339" s="21" t="s">
        <v>24</v>
      </c>
      <c r="K1339" s="21" t="s">
        <v>25</v>
      </c>
      <c r="L1339" s="21" t="s">
        <v>24</v>
      </c>
      <c r="M1339" s="0" t="n">
        <v>185</v>
      </c>
      <c r="N1339" s="0" t="n">
        <v>1</v>
      </c>
      <c r="O1339" s="21" t="s">
        <v>69</v>
      </c>
      <c r="P1339" s="21" t="s">
        <v>4275</v>
      </c>
      <c r="Q1339" s="0" t="n">
        <v>1</v>
      </c>
      <c r="R1339" s="21" t="s">
        <v>69</v>
      </c>
      <c r="S1339" s="0" t="n">
        <v>1</v>
      </c>
      <c r="T1339" s="21" t="s">
        <v>69</v>
      </c>
      <c r="U1339" s="22" t="b">
        <f aca="false">TRUE()</f>
        <v>1</v>
      </c>
      <c r="V1339" s="0" t="n">
        <v>0.7</v>
      </c>
      <c r="W1339" s="0" t="n">
        <v>0.36</v>
      </c>
      <c r="X1339" s="0" t="n">
        <v>11.14</v>
      </c>
      <c r="Y1339" s="0" t="n">
        <v>376.71</v>
      </c>
      <c r="Z1339" s="0" t="n">
        <v>9.08</v>
      </c>
      <c r="AA1339" s="0" t="n">
        <v>7.81</v>
      </c>
      <c r="AB1339" s="0" t="n">
        <v>1.86</v>
      </c>
      <c r="AC1339" s="22" t="b">
        <f aca="false">FALSE()</f>
        <v>0</v>
      </c>
      <c r="AD1339" s="0" t="n">
        <v>25.81</v>
      </c>
      <c r="AE1339" s="0" t="n">
        <v>14.86</v>
      </c>
      <c r="AF1339" s="0" t="n">
        <v>22.98</v>
      </c>
      <c r="AG1339" s="22" t="b">
        <f aca="false">TRUE()</f>
        <v>1</v>
      </c>
      <c r="AH1339" s="0" t="n">
        <v>1</v>
      </c>
    </row>
    <row r="1340" customFormat="false" ht="15" hidden="false" customHeight="false" outlineLevel="0" collapsed="false">
      <c r="A1340" s="0" t="s">
        <v>2061</v>
      </c>
      <c r="B1340" s="0" t="s">
        <v>134</v>
      </c>
      <c r="C1340" s="0" t="s">
        <v>3447</v>
      </c>
      <c r="D1340" s="0" t="s">
        <v>3457</v>
      </c>
      <c r="E1340" s="20" t="s">
        <v>25</v>
      </c>
      <c r="F1340" s="23" t="s">
        <v>30</v>
      </c>
      <c r="G1340" s="21" t="s">
        <v>183</v>
      </c>
      <c r="H1340" s="21" t="s">
        <v>24</v>
      </c>
      <c r="I1340" s="21" t="s">
        <v>25</v>
      </c>
      <c r="J1340" s="21" t="s">
        <v>24</v>
      </c>
      <c r="K1340" s="21" t="s">
        <v>25</v>
      </c>
      <c r="L1340" s="21" t="s">
        <v>24</v>
      </c>
      <c r="M1340" s="0" t="n">
        <v>183</v>
      </c>
      <c r="N1340" s="0" t="n">
        <v>2</v>
      </c>
      <c r="O1340" s="21" t="s">
        <v>3566</v>
      </c>
      <c r="P1340" s="21" t="s">
        <v>4238</v>
      </c>
      <c r="Q1340" s="0" t="n">
        <v>1</v>
      </c>
      <c r="R1340" s="21" t="s">
        <v>69</v>
      </c>
      <c r="S1340" s="0" t="n">
        <v>2</v>
      </c>
      <c r="T1340" s="21" t="s">
        <v>3566</v>
      </c>
      <c r="U1340" s="22" t="b">
        <f aca="false">TRUE()</f>
        <v>1</v>
      </c>
      <c r="V1340" s="0" t="n">
        <v>0.72</v>
      </c>
      <c r="W1340" s="0" t="n">
        <v>0</v>
      </c>
      <c r="X1340" s="0" t="n">
        <v>8.82</v>
      </c>
      <c r="Y1340" s="0" t="n">
        <v>683.26</v>
      </c>
      <c r="Z1340" s="0" t="n">
        <v>9.5</v>
      </c>
      <c r="AA1340" s="0" t="n">
        <v>7.34</v>
      </c>
      <c r="AB1340" s="0" t="n">
        <v>2.49</v>
      </c>
      <c r="AC1340" s="22" t="b">
        <f aca="false">FALSE()</f>
        <v>0</v>
      </c>
      <c r="AD1340" s="0" t="n">
        <v>26.47</v>
      </c>
      <c r="AE1340" s="0" t="n">
        <v>15.02</v>
      </c>
      <c r="AF1340" s="0" t="n">
        <v>25.67</v>
      </c>
      <c r="AG1340" s="22" t="b">
        <f aca="false">TRUE()</f>
        <v>1</v>
      </c>
      <c r="AH1340" s="0" t="n">
        <v>1</v>
      </c>
    </row>
    <row r="1341" customFormat="false" ht="15" hidden="false" customHeight="false" outlineLevel="0" collapsed="false">
      <c r="A1341" s="0" t="s">
        <v>2061</v>
      </c>
      <c r="B1341" s="0" t="s">
        <v>134</v>
      </c>
      <c r="C1341" s="0" t="s">
        <v>3447</v>
      </c>
      <c r="D1341" s="0" t="s">
        <v>3448</v>
      </c>
      <c r="E1341" s="20" t="s">
        <v>25</v>
      </c>
      <c r="F1341" s="23" t="s">
        <v>30</v>
      </c>
      <c r="G1341" s="21" t="s">
        <v>183</v>
      </c>
      <c r="H1341" s="21" t="s">
        <v>24</v>
      </c>
      <c r="I1341" s="21" t="s">
        <v>25</v>
      </c>
      <c r="J1341" s="21" t="s">
        <v>24</v>
      </c>
      <c r="K1341" s="21" t="s">
        <v>25</v>
      </c>
      <c r="L1341" s="21" t="s">
        <v>24</v>
      </c>
      <c r="M1341" s="0" t="n">
        <v>186</v>
      </c>
      <c r="N1341" s="0" t="n">
        <v>2</v>
      </c>
      <c r="O1341" s="21" t="s">
        <v>3566</v>
      </c>
      <c r="P1341" s="21" t="s">
        <v>4238</v>
      </c>
      <c r="Q1341" s="0" t="n">
        <v>1</v>
      </c>
      <c r="R1341" s="21" t="s">
        <v>69</v>
      </c>
      <c r="S1341" s="0" t="n">
        <v>2</v>
      </c>
      <c r="T1341" s="21" t="s">
        <v>3566</v>
      </c>
      <c r="U1341" s="22" t="b">
        <f aca="false">TRUE()</f>
        <v>1</v>
      </c>
      <c r="V1341" s="0" t="n">
        <v>0.73</v>
      </c>
      <c r="W1341" s="0" t="n">
        <v>0</v>
      </c>
      <c r="X1341" s="0" t="n">
        <v>10.78</v>
      </c>
      <c r="Y1341" s="0" t="n">
        <v>0.88</v>
      </c>
      <c r="Z1341" s="0" t="n">
        <v>9.5</v>
      </c>
      <c r="AA1341" s="0" t="n">
        <v>9.29</v>
      </c>
      <c r="AB1341" s="0" t="n">
        <v>1.86</v>
      </c>
      <c r="AC1341" s="22" t="b">
        <f aca="false">FALSE()</f>
        <v>0</v>
      </c>
      <c r="AD1341" s="0" t="n">
        <v>24.93</v>
      </c>
      <c r="AE1341" s="0" t="n">
        <v>12.93</v>
      </c>
      <c r="AF1341" s="0" t="n">
        <v>21.98</v>
      </c>
      <c r="AG1341" s="22" t="b">
        <f aca="false">TRUE()</f>
        <v>1</v>
      </c>
      <c r="AH1341" s="0" t="n">
        <v>0</v>
      </c>
    </row>
    <row r="1342" customFormat="false" ht="15" hidden="false" customHeight="false" outlineLevel="0" collapsed="false">
      <c r="A1342" s="0" t="s">
        <v>2061</v>
      </c>
      <c r="B1342" s="0" t="s">
        <v>3459</v>
      </c>
      <c r="C1342" s="0" t="s">
        <v>3450</v>
      </c>
      <c r="D1342" s="0" t="s">
        <v>3457</v>
      </c>
      <c r="E1342" s="20" t="s">
        <v>25</v>
      </c>
      <c r="F1342" s="20" t="s">
        <v>29</v>
      </c>
      <c r="G1342" s="21" t="s">
        <v>63</v>
      </c>
      <c r="H1342" s="21" t="s">
        <v>24</v>
      </c>
      <c r="I1342" s="21" t="s">
        <v>24</v>
      </c>
      <c r="J1342" s="21" t="s">
        <v>24</v>
      </c>
      <c r="K1342" s="21" t="s">
        <v>25</v>
      </c>
      <c r="L1342" s="21" t="s">
        <v>24</v>
      </c>
      <c r="M1342" s="0" t="n">
        <v>187</v>
      </c>
      <c r="N1342" s="0" t="n">
        <v>0</v>
      </c>
      <c r="Q1342" s="0" t="n">
        <v>0</v>
      </c>
      <c r="S1342" s="0" t="n">
        <v>0</v>
      </c>
      <c r="U1342" s="22" t="b">
        <f aca="false">FALSE()</f>
        <v>0</v>
      </c>
      <c r="V1342" s="0" t="n">
        <v>0.7</v>
      </c>
      <c r="W1342" s="0" t="n">
        <v>0.92</v>
      </c>
      <c r="X1342" s="0" t="n">
        <v>12.67</v>
      </c>
      <c r="Y1342" s="0" t="n">
        <v>315.05</v>
      </c>
      <c r="Z1342" s="0" t="n">
        <v>8.58</v>
      </c>
      <c r="AA1342" s="0" t="n">
        <v>5.21</v>
      </c>
      <c r="AB1342" s="0" t="n">
        <v>1.36</v>
      </c>
      <c r="AC1342" s="22" t="b">
        <f aca="false">FALSE()</f>
        <v>0</v>
      </c>
      <c r="AD1342" s="0" t="n">
        <v>18.37</v>
      </c>
      <c r="AE1342" s="0" t="n">
        <v>9.61</v>
      </c>
      <c r="AF1342" s="0" t="n">
        <v>20.9</v>
      </c>
      <c r="AG1342" s="22" t="b">
        <f aca="false">TRUE()</f>
        <v>1</v>
      </c>
      <c r="AH1342" s="0" t="n">
        <v>1</v>
      </c>
    </row>
    <row r="1343" customFormat="false" ht="15" hidden="false" customHeight="false" outlineLevel="0" collapsed="false">
      <c r="A1343" s="0" t="s">
        <v>2061</v>
      </c>
      <c r="B1343" s="0" t="s">
        <v>3459</v>
      </c>
      <c r="C1343" s="0" t="s">
        <v>3450</v>
      </c>
      <c r="D1343" s="0" t="s">
        <v>3448</v>
      </c>
      <c r="E1343" s="20" t="s">
        <v>25</v>
      </c>
      <c r="F1343" s="20" t="s">
        <v>29</v>
      </c>
      <c r="G1343" s="21" t="s">
        <v>3113</v>
      </c>
      <c r="H1343" s="21" t="s">
        <v>24</v>
      </c>
      <c r="I1343" s="21" t="s">
        <v>24</v>
      </c>
      <c r="J1343" s="21" t="s">
        <v>24</v>
      </c>
      <c r="K1343" s="21" t="s">
        <v>25</v>
      </c>
      <c r="L1343" s="21" t="s">
        <v>24</v>
      </c>
      <c r="M1343" s="0" t="n">
        <v>193</v>
      </c>
      <c r="N1343" s="0" t="n">
        <v>0</v>
      </c>
      <c r="Q1343" s="0" t="n">
        <v>0</v>
      </c>
      <c r="S1343" s="0" t="n">
        <v>0</v>
      </c>
      <c r="U1343" s="22" t="b">
        <f aca="false">FALSE()</f>
        <v>0</v>
      </c>
      <c r="V1343" s="0" t="n">
        <v>0.72</v>
      </c>
      <c r="W1343" s="0" t="n">
        <v>0.24</v>
      </c>
      <c r="X1343" s="0" t="n">
        <v>16.3</v>
      </c>
      <c r="Y1343" s="0" t="n">
        <v>440.62</v>
      </c>
      <c r="Z1343" s="0" t="n">
        <v>8.5</v>
      </c>
      <c r="AA1343" s="0" t="n">
        <v>2.8</v>
      </c>
      <c r="AB1343" s="0" t="n">
        <v>2.57</v>
      </c>
      <c r="AC1343" s="22" t="b">
        <f aca="false">FALSE()</f>
        <v>0</v>
      </c>
      <c r="AD1343" s="0" t="n">
        <v>21.86</v>
      </c>
      <c r="AE1343" s="0" t="n">
        <v>12.97</v>
      </c>
      <c r="AF1343" s="0" t="n">
        <v>25.04</v>
      </c>
      <c r="AG1343" s="22" t="b">
        <f aca="false">TRUE()</f>
        <v>1</v>
      </c>
      <c r="AH1343" s="0" t="n">
        <v>1</v>
      </c>
    </row>
    <row r="1344" customFormat="false" ht="15" hidden="false" customHeight="false" outlineLevel="0" collapsed="false">
      <c r="A1344" s="0" t="s">
        <v>2061</v>
      </c>
      <c r="B1344" s="0" t="s">
        <v>3459</v>
      </c>
      <c r="C1344" s="0" t="s">
        <v>3447</v>
      </c>
      <c r="D1344" s="0" t="s">
        <v>3457</v>
      </c>
      <c r="E1344" s="20" t="s">
        <v>25</v>
      </c>
      <c r="F1344" s="20" t="s">
        <v>29</v>
      </c>
      <c r="G1344" s="21" t="s">
        <v>63</v>
      </c>
      <c r="H1344" s="21" t="s">
        <v>24</v>
      </c>
      <c r="I1344" s="21" t="s">
        <v>24</v>
      </c>
      <c r="J1344" s="21" t="s">
        <v>24</v>
      </c>
      <c r="K1344" s="21" t="s">
        <v>25</v>
      </c>
      <c r="L1344" s="21" t="s">
        <v>24</v>
      </c>
      <c r="M1344" s="0" t="n">
        <v>186</v>
      </c>
      <c r="N1344" s="0" t="n">
        <v>0</v>
      </c>
      <c r="Q1344" s="0" t="n">
        <v>0</v>
      </c>
      <c r="S1344" s="0" t="n">
        <v>0</v>
      </c>
      <c r="U1344" s="22" t="b">
        <f aca="false">FALSE()</f>
        <v>0</v>
      </c>
      <c r="V1344" s="0" t="n">
        <v>0.71</v>
      </c>
      <c r="W1344" s="0" t="n">
        <v>0.52</v>
      </c>
      <c r="X1344" s="0" t="n">
        <v>10</v>
      </c>
      <c r="Y1344" s="0" t="n">
        <v>330.16</v>
      </c>
      <c r="Z1344" s="0" t="n">
        <v>8.83</v>
      </c>
      <c r="AA1344" s="0" t="n">
        <v>5.11</v>
      </c>
      <c r="AB1344" s="0" t="n">
        <v>1.36</v>
      </c>
      <c r="AC1344" s="22" t="b">
        <f aca="false">FALSE()</f>
        <v>0</v>
      </c>
      <c r="AD1344" s="0" t="n">
        <v>13.34</v>
      </c>
      <c r="AE1344" s="0" t="n">
        <v>5.08</v>
      </c>
      <c r="AF1344" s="0" t="n">
        <v>16.3</v>
      </c>
      <c r="AG1344" s="22" t="b">
        <f aca="false">TRUE()</f>
        <v>1</v>
      </c>
      <c r="AH1344" s="0" t="n">
        <v>1</v>
      </c>
    </row>
    <row r="1345" customFormat="false" ht="15" hidden="false" customHeight="false" outlineLevel="0" collapsed="false">
      <c r="A1345" s="0" t="s">
        <v>2061</v>
      </c>
      <c r="B1345" s="0" t="s">
        <v>3459</v>
      </c>
      <c r="C1345" s="0" t="s">
        <v>3447</v>
      </c>
      <c r="D1345" s="0" t="s">
        <v>3448</v>
      </c>
      <c r="E1345" s="20" t="s">
        <v>25</v>
      </c>
      <c r="F1345" s="23" t="s">
        <v>30</v>
      </c>
      <c r="G1345" s="21" t="s">
        <v>283</v>
      </c>
      <c r="H1345" s="21" t="s">
        <v>24</v>
      </c>
      <c r="I1345" s="21" t="s">
        <v>25</v>
      </c>
      <c r="J1345" s="21" t="s">
        <v>24</v>
      </c>
      <c r="K1345" s="21" t="s">
        <v>24</v>
      </c>
      <c r="L1345" s="21" t="s">
        <v>24</v>
      </c>
      <c r="M1345" s="0" t="n">
        <v>186</v>
      </c>
      <c r="N1345" s="0" t="n">
        <v>3</v>
      </c>
      <c r="O1345" s="21" t="s">
        <v>3649</v>
      </c>
      <c r="P1345" s="21" t="s">
        <v>4242</v>
      </c>
      <c r="Q1345" s="0" t="n">
        <v>1</v>
      </c>
      <c r="R1345" s="21" t="s">
        <v>69</v>
      </c>
      <c r="S1345" s="0" t="n">
        <v>3</v>
      </c>
      <c r="T1345" s="21" t="s">
        <v>3649</v>
      </c>
      <c r="U1345" s="22" t="b">
        <f aca="false">TRUE()</f>
        <v>1</v>
      </c>
      <c r="V1345" s="0" t="n">
        <v>0.76</v>
      </c>
      <c r="W1345" s="0" t="n">
        <v>0</v>
      </c>
      <c r="X1345" s="0" t="n">
        <v>10.72</v>
      </c>
      <c r="Y1345" s="0" t="n">
        <v>662.98</v>
      </c>
      <c r="Z1345" s="0" t="n">
        <v>8</v>
      </c>
      <c r="AA1345" s="0" t="n">
        <v>4.1</v>
      </c>
      <c r="AB1345" s="0" t="n">
        <v>2.57</v>
      </c>
      <c r="AC1345" s="22" t="b">
        <f aca="false">FALSE()</f>
        <v>0</v>
      </c>
      <c r="AD1345" s="0" t="n">
        <v>17.34</v>
      </c>
      <c r="AE1345" s="0" t="n">
        <v>9.54</v>
      </c>
      <c r="AF1345" s="0" t="n">
        <v>22.94</v>
      </c>
      <c r="AG1345" s="22" t="b">
        <f aca="false">TRUE()</f>
        <v>1</v>
      </c>
      <c r="AH1345" s="0" t="n">
        <v>1</v>
      </c>
    </row>
    <row r="1346" customFormat="false" ht="15" hidden="false" customHeight="false" outlineLevel="0" collapsed="false">
      <c r="A1346" s="0" t="s">
        <v>2067</v>
      </c>
      <c r="B1346" s="0" t="s">
        <v>134</v>
      </c>
      <c r="C1346" s="0" t="s">
        <v>3450</v>
      </c>
      <c r="D1346" s="0" t="s">
        <v>3457</v>
      </c>
      <c r="E1346" s="20" t="s">
        <v>25</v>
      </c>
      <c r="F1346" s="23" t="s">
        <v>30</v>
      </c>
      <c r="G1346" s="21" t="s">
        <v>283</v>
      </c>
      <c r="H1346" s="21" t="s">
        <v>24</v>
      </c>
      <c r="I1346" s="21" t="s">
        <v>25</v>
      </c>
      <c r="J1346" s="21" t="s">
        <v>24</v>
      </c>
      <c r="K1346" s="21" t="s">
        <v>24</v>
      </c>
      <c r="L1346" s="21" t="s">
        <v>24</v>
      </c>
      <c r="M1346" s="0" t="n">
        <v>190</v>
      </c>
      <c r="N1346" s="0" t="n">
        <v>1</v>
      </c>
      <c r="O1346" s="21" t="s">
        <v>73</v>
      </c>
      <c r="P1346" s="21" t="s">
        <v>4706</v>
      </c>
      <c r="Q1346" s="0" t="n">
        <v>1</v>
      </c>
      <c r="R1346" s="21" t="s">
        <v>73</v>
      </c>
      <c r="S1346" s="0" t="n">
        <v>1</v>
      </c>
      <c r="T1346" s="21" t="s">
        <v>73</v>
      </c>
      <c r="U1346" s="22" t="b">
        <f aca="false">TRUE()</f>
        <v>1</v>
      </c>
      <c r="V1346" s="0" t="n">
        <v>0.72</v>
      </c>
      <c r="W1346" s="0" t="n">
        <v>0.6</v>
      </c>
      <c r="X1346" s="0" t="n">
        <v>12.71</v>
      </c>
      <c r="Y1346" s="0" t="n">
        <v>289.1</v>
      </c>
      <c r="Z1346" s="0" t="n">
        <v>9.5</v>
      </c>
      <c r="AA1346" s="0" t="n">
        <v>18.56</v>
      </c>
      <c r="AB1346" s="0" t="n">
        <v>4.47</v>
      </c>
      <c r="AC1346" s="22" t="b">
        <f aca="false">FALSE()</f>
        <v>0</v>
      </c>
      <c r="AD1346" s="0" t="n">
        <v>15.55</v>
      </c>
      <c r="AE1346" s="0" t="n">
        <v>0.55</v>
      </c>
      <c r="AF1346" s="0" t="n">
        <v>14.78</v>
      </c>
      <c r="AG1346" s="22" t="b">
        <f aca="false">TRUE()</f>
        <v>1</v>
      </c>
      <c r="AH1346" s="0" t="n">
        <v>1</v>
      </c>
    </row>
    <row r="1347" customFormat="false" ht="15" hidden="false" customHeight="false" outlineLevel="0" collapsed="false">
      <c r="A1347" s="0" t="s">
        <v>2067</v>
      </c>
      <c r="B1347" s="0" t="s">
        <v>134</v>
      </c>
      <c r="C1347" s="0" t="s">
        <v>3450</v>
      </c>
      <c r="D1347" s="0" t="s">
        <v>3448</v>
      </c>
      <c r="E1347" s="20" t="s">
        <v>25</v>
      </c>
      <c r="F1347" s="23" t="s">
        <v>30</v>
      </c>
      <c r="G1347" s="21" t="s">
        <v>283</v>
      </c>
      <c r="H1347" s="21" t="s">
        <v>24</v>
      </c>
      <c r="I1347" s="21" t="s">
        <v>25</v>
      </c>
      <c r="J1347" s="21" t="s">
        <v>24</v>
      </c>
      <c r="K1347" s="21" t="s">
        <v>24</v>
      </c>
      <c r="L1347" s="21" t="s">
        <v>24</v>
      </c>
      <c r="M1347" s="0" t="n">
        <v>182</v>
      </c>
      <c r="N1347" s="0" t="n">
        <v>1</v>
      </c>
      <c r="O1347" s="21" t="s">
        <v>73</v>
      </c>
      <c r="P1347" s="21" t="s">
        <v>4707</v>
      </c>
      <c r="Q1347" s="0" t="n">
        <v>1</v>
      </c>
      <c r="R1347" s="21" t="s">
        <v>73</v>
      </c>
      <c r="S1347" s="0" t="n">
        <v>0</v>
      </c>
      <c r="U1347" s="22" t="b">
        <f aca="false">TRUE()</f>
        <v>1</v>
      </c>
      <c r="V1347" s="0" t="n">
        <v>0.7</v>
      </c>
      <c r="W1347" s="0" t="n">
        <v>0.68</v>
      </c>
      <c r="X1347" s="0" t="n">
        <v>13.69</v>
      </c>
      <c r="Y1347" s="0" t="n">
        <v>307.05</v>
      </c>
      <c r="Z1347" s="0" t="n">
        <v>9.33</v>
      </c>
      <c r="AA1347" s="0" t="n">
        <v>16.14</v>
      </c>
      <c r="AB1347" s="0" t="n">
        <v>2.16</v>
      </c>
      <c r="AC1347" s="22" t="b">
        <f aca="false">FALSE()</f>
        <v>0</v>
      </c>
      <c r="AD1347" s="0" t="n">
        <v>3.39</v>
      </c>
      <c r="AE1347" s="0" t="n">
        <v>0.31</v>
      </c>
      <c r="AF1347" s="0" t="n">
        <v>2.52</v>
      </c>
      <c r="AG1347" s="22" t="b">
        <f aca="false">FALSE()</f>
        <v>0</v>
      </c>
      <c r="AH1347" s="0" t="n">
        <v>1</v>
      </c>
    </row>
    <row r="1348" customFormat="false" ht="15" hidden="false" customHeight="false" outlineLevel="0" collapsed="false">
      <c r="A1348" s="0" t="s">
        <v>2067</v>
      </c>
      <c r="B1348" s="0" t="s">
        <v>134</v>
      </c>
      <c r="C1348" s="0" t="s">
        <v>3447</v>
      </c>
      <c r="D1348" s="0" t="s">
        <v>3457</v>
      </c>
      <c r="E1348" s="19" t="s">
        <v>26</v>
      </c>
      <c r="F1348" s="19" t="s">
        <v>32</v>
      </c>
      <c r="G1348" s="21" t="s">
        <v>65</v>
      </c>
      <c r="H1348" s="21" t="s">
        <v>24</v>
      </c>
      <c r="I1348" s="21" t="s">
        <v>26</v>
      </c>
      <c r="J1348" s="21" t="s">
        <v>24</v>
      </c>
      <c r="K1348" s="21" t="s">
        <v>24</v>
      </c>
      <c r="L1348" s="21" t="s">
        <v>24</v>
      </c>
      <c r="M1348" s="0" t="n">
        <v>182</v>
      </c>
      <c r="N1348" s="0" t="n">
        <v>4</v>
      </c>
      <c r="O1348" s="21" t="s">
        <v>3908</v>
      </c>
      <c r="P1348" s="21" t="s">
        <v>4708</v>
      </c>
      <c r="Q1348" s="0" t="n">
        <v>2</v>
      </c>
      <c r="R1348" s="21" t="s">
        <v>2070</v>
      </c>
      <c r="S1348" s="0" t="n">
        <v>4</v>
      </c>
      <c r="T1348" s="21" t="s">
        <v>3908</v>
      </c>
      <c r="U1348" s="22" t="b">
        <f aca="false">FALSE()</f>
        <v>0</v>
      </c>
      <c r="V1348" s="0" t="n">
        <v>0.74</v>
      </c>
      <c r="W1348" s="0" t="n">
        <v>0.28</v>
      </c>
      <c r="X1348" s="0" t="n">
        <v>11.29</v>
      </c>
      <c r="Y1348" s="0" t="n">
        <v>403.65</v>
      </c>
      <c r="Z1348" s="0" t="n">
        <v>9.33</v>
      </c>
      <c r="AA1348" s="0" t="n">
        <v>11.58</v>
      </c>
      <c r="AB1348" s="0" t="n">
        <v>4.47</v>
      </c>
      <c r="AC1348" s="22" t="b">
        <f aca="false">FALSE()</f>
        <v>0</v>
      </c>
      <c r="AD1348" s="0" t="n">
        <v>16.35</v>
      </c>
      <c r="AE1348" s="0" t="n">
        <v>1.15</v>
      </c>
      <c r="AF1348" s="0" t="n">
        <v>14.27</v>
      </c>
      <c r="AG1348" s="22" t="b">
        <f aca="false">TRUE()</f>
        <v>1</v>
      </c>
      <c r="AH1348" s="0" t="n">
        <v>1</v>
      </c>
    </row>
    <row r="1349" customFormat="false" ht="15" hidden="false" customHeight="false" outlineLevel="0" collapsed="false">
      <c r="A1349" s="0" t="s">
        <v>2067</v>
      </c>
      <c r="B1349" s="0" t="s">
        <v>134</v>
      </c>
      <c r="C1349" s="0" t="s">
        <v>3447</v>
      </c>
      <c r="D1349" s="0" t="s">
        <v>3448</v>
      </c>
      <c r="E1349" s="20" t="s">
        <v>25</v>
      </c>
      <c r="F1349" s="23" t="s">
        <v>30</v>
      </c>
      <c r="G1349" s="21" t="s">
        <v>283</v>
      </c>
      <c r="H1349" s="21" t="s">
        <v>24</v>
      </c>
      <c r="I1349" s="21" t="s">
        <v>25</v>
      </c>
      <c r="J1349" s="21" t="s">
        <v>24</v>
      </c>
      <c r="K1349" s="21" t="s">
        <v>24</v>
      </c>
      <c r="L1349" s="21" t="s">
        <v>24</v>
      </c>
      <c r="M1349" s="0" t="n">
        <v>184</v>
      </c>
      <c r="N1349" s="0" t="n">
        <v>3</v>
      </c>
      <c r="O1349" s="21" t="s">
        <v>3654</v>
      </c>
      <c r="P1349" s="21" t="s">
        <v>4709</v>
      </c>
      <c r="Q1349" s="0" t="n">
        <v>1</v>
      </c>
      <c r="R1349" s="21" t="s">
        <v>73</v>
      </c>
      <c r="S1349" s="0" t="n">
        <v>2</v>
      </c>
      <c r="T1349" s="21" t="s">
        <v>3494</v>
      </c>
      <c r="U1349" s="22" t="b">
        <f aca="false">TRUE()</f>
        <v>1</v>
      </c>
      <c r="V1349" s="0" t="n">
        <v>0.75</v>
      </c>
      <c r="W1349" s="0" t="n">
        <v>0.32</v>
      </c>
      <c r="X1349" s="0" t="n">
        <v>12.31</v>
      </c>
      <c r="Y1349" s="0" t="n">
        <v>378.56</v>
      </c>
      <c r="Z1349" s="0" t="n">
        <v>9.5</v>
      </c>
      <c r="AA1349" s="0" t="n">
        <v>17.81</v>
      </c>
      <c r="AB1349" s="0" t="n">
        <v>2.16</v>
      </c>
      <c r="AC1349" s="22" t="b">
        <f aca="false">FALSE()</f>
        <v>0</v>
      </c>
      <c r="AD1349" s="0" t="n">
        <v>5.67</v>
      </c>
      <c r="AE1349" s="0" t="n">
        <v>1.86</v>
      </c>
      <c r="AF1349" s="0" t="n">
        <v>3.14</v>
      </c>
      <c r="AG1349" s="22" t="b">
        <f aca="false">FALSE()</f>
        <v>0</v>
      </c>
      <c r="AH1349" s="0" t="n">
        <v>1</v>
      </c>
    </row>
    <row r="1350" customFormat="false" ht="15" hidden="false" customHeight="false" outlineLevel="0" collapsed="false">
      <c r="A1350" s="0" t="s">
        <v>2067</v>
      </c>
      <c r="B1350" s="0" t="s">
        <v>3459</v>
      </c>
      <c r="C1350" s="0" t="s">
        <v>3450</v>
      </c>
      <c r="D1350" s="0" t="s">
        <v>3457</v>
      </c>
      <c r="E1350" s="18" t="s">
        <v>24</v>
      </c>
      <c r="F1350" s="18" t="s">
        <v>28</v>
      </c>
      <c r="H1350" s="21" t="s">
        <v>24</v>
      </c>
      <c r="I1350" s="21" t="s">
        <v>24</v>
      </c>
      <c r="J1350" s="21" t="s">
        <v>24</v>
      </c>
      <c r="K1350" s="21" t="s">
        <v>24</v>
      </c>
      <c r="L1350" s="21" t="s">
        <v>24</v>
      </c>
      <c r="M1350" s="0" t="n">
        <v>182</v>
      </c>
      <c r="N1350" s="0" t="n">
        <v>0</v>
      </c>
      <c r="Q1350" s="0" t="n">
        <v>0</v>
      </c>
      <c r="S1350" s="0" t="n">
        <v>0</v>
      </c>
      <c r="U1350" s="22" t="b">
        <f aca="false">FALSE()</f>
        <v>0</v>
      </c>
      <c r="V1350" s="0" t="n">
        <v>0.78</v>
      </c>
      <c r="W1350" s="0" t="n">
        <v>0.52</v>
      </c>
      <c r="X1350" s="0" t="n">
        <v>10.33</v>
      </c>
      <c r="Y1350" s="0" t="n">
        <v>256.7</v>
      </c>
      <c r="Z1350" s="0" t="n">
        <v>10.25</v>
      </c>
      <c r="AA1350" s="0" t="n">
        <v>21.77</v>
      </c>
      <c r="AB1350" s="0" t="n">
        <v>10.21</v>
      </c>
      <c r="AC1350" s="22" t="b">
        <f aca="false">FALSE()</f>
        <v>0</v>
      </c>
      <c r="AD1350" s="0" t="n">
        <v>6.9</v>
      </c>
      <c r="AE1350" s="0" t="n">
        <v>0.6</v>
      </c>
      <c r="AF1350" s="0" t="n">
        <v>12</v>
      </c>
      <c r="AG1350" s="22" t="b">
        <f aca="false">FALSE()</f>
        <v>0</v>
      </c>
      <c r="AH1350" s="0" t="n">
        <v>1</v>
      </c>
    </row>
    <row r="1351" customFormat="false" ht="15" hidden="false" customHeight="false" outlineLevel="0" collapsed="false">
      <c r="A1351" s="0" t="s">
        <v>2067</v>
      </c>
      <c r="B1351" s="0" t="s">
        <v>3459</v>
      </c>
      <c r="C1351" s="0" t="s">
        <v>3450</v>
      </c>
      <c r="D1351" s="0" t="s">
        <v>3448</v>
      </c>
      <c r="E1351" s="20" t="s">
        <v>25</v>
      </c>
      <c r="F1351" s="20" t="s">
        <v>29</v>
      </c>
      <c r="G1351" s="21" t="s">
        <v>61</v>
      </c>
      <c r="H1351" s="21" t="s">
        <v>24</v>
      </c>
      <c r="I1351" s="21" t="s">
        <v>24</v>
      </c>
      <c r="J1351" s="21" t="s">
        <v>24</v>
      </c>
      <c r="K1351" s="21" t="s">
        <v>25</v>
      </c>
      <c r="L1351" s="21" t="s">
        <v>24</v>
      </c>
      <c r="M1351" s="0" t="n">
        <v>191</v>
      </c>
      <c r="N1351" s="0" t="n">
        <v>0</v>
      </c>
      <c r="Q1351" s="0" t="n">
        <v>0</v>
      </c>
      <c r="S1351" s="0" t="n">
        <v>0</v>
      </c>
      <c r="U1351" s="22" t="b">
        <f aca="false">FALSE()</f>
        <v>0</v>
      </c>
      <c r="V1351" s="0" t="n">
        <v>0.8</v>
      </c>
      <c r="W1351" s="0" t="n">
        <v>0.8</v>
      </c>
      <c r="X1351" s="0" t="n">
        <v>15.79</v>
      </c>
      <c r="Y1351" s="0" t="n">
        <v>308.93</v>
      </c>
      <c r="Z1351" s="0" t="n">
        <v>10.25</v>
      </c>
      <c r="AA1351" s="0" t="n">
        <v>19.66</v>
      </c>
      <c r="AB1351" s="0" t="n">
        <v>3.31</v>
      </c>
      <c r="AC1351" s="22" t="b">
        <f aca="false">FALSE()</f>
        <v>0</v>
      </c>
      <c r="AD1351" s="0" t="n">
        <v>29.66</v>
      </c>
      <c r="AE1351" s="0" t="n">
        <v>14.59</v>
      </c>
      <c r="AF1351" s="0" t="n">
        <v>20.34</v>
      </c>
      <c r="AG1351" s="22" t="b">
        <f aca="false">TRUE()</f>
        <v>1</v>
      </c>
      <c r="AH1351" s="0" t="n">
        <v>1</v>
      </c>
    </row>
    <row r="1352" customFormat="false" ht="15" hidden="false" customHeight="false" outlineLevel="0" collapsed="false">
      <c r="A1352" s="0" t="s">
        <v>2067</v>
      </c>
      <c r="B1352" s="0" t="s">
        <v>3459</v>
      </c>
      <c r="C1352" s="0" t="s">
        <v>3447</v>
      </c>
      <c r="D1352" s="0" t="s">
        <v>3457</v>
      </c>
      <c r="E1352" s="20" t="s">
        <v>25</v>
      </c>
      <c r="F1352" s="23" t="s">
        <v>30</v>
      </c>
      <c r="G1352" s="21" t="s">
        <v>283</v>
      </c>
      <c r="H1352" s="21" t="s">
        <v>24</v>
      </c>
      <c r="I1352" s="21" t="s">
        <v>25</v>
      </c>
      <c r="J1352" s="21" t="s">
        <v>24</v>
      </c>
      <c r="K1352" s="21" t="s">
        <v>24</v>
      </c>
      <c r="L1352" s="21" t="s">
        <v>24</v>
      </c>
      <c r="M1352" s="0" t="n">
        <v>183</v>
      </c>
      <c r="N1352" s="0" t="n">
        <v>1</v>
      </c>
      <c r="O1352" s="21" t="s">
        <v>69</v>
      </c>
      <c r="P1352" s="21" t="s">
        <v>4275</v>
      </c>
      <c r="Q1352" s="0" t="n">
        <v>1</v>
      </c>
      <c r="R1352" s="21" t="s">
        <v>69</v>
      </c>
      <c r="S1352" s="0" t="n">
        <v>1</v>
      </c>
      <c r="T1352" s="21" t="s">
        <v>69</v>
      </c>
      <c r="U1352" s="22" t="b">
        <f aca="false">TRUE()</f>
        <v>1</v>
      </c>
      <c r="V1352" s="0" t="n">
        <v>0.77</v>
      </c>
      <c r="W1352" s="0" t="n">
        <v>0.4</v>
      </c>
      <c r="X1352" s="0" t="n">
        <v>9.42</v>
      </c>
      <c r="Y1352" s="0" t="n">
        <v>338.62</v>
      </c>
      <c r="Z1352" s="0" t="n">
        <v>10</v>
      </c>
      <c r="AA1352" s="0" t="n">
        <v>10.04</v>
      </c>
      <c r="AB1352" s="0" t="n">
        <v>10.21</v>
      </c>
      <c r="AC1352" s="22" t="b">
        <f aca="false">FALSE()</f>
        <v>0</v>
      </c>
      <c r="AD1352" s="0" t="n">
        <v>9.08</v>
      </c>
      <c r="AE1352" s="0" t="n">
        <v>1.36</v>
      </c>
      <c r="AF1352" s="0" t="n">
        <v>12.41</v>
      </c>
      <c r="AG1352" s="22" t="b">
        <f aca="false">FALSE()</f>
        <v>0</v>
      </c>
      <c r="AH1352" s="0" t="n">
        <v>1</v>
      </c>
    </row>
    <row r="1353" customFormat="false" ht="15" hidden="false" customHeight="false" outlineLevel="0" collapsed="false">
      <c r="A1353" s="0" t="s">
        <v>2067</v>
      </c>
      <c r="B1353" s="0" t="s">
        <v>3459</v>
      </c>
      <c r="C1353" s="0" t="s">
        <v>3447</v>
      </c>
      <c r="D1353" s="0" t="s">
        <v>3448</v>
      </c>
      <c r="E1353" s="20" t="s">
        <v>25</v>
      </c>
      <c r="F1353" s="23" t="s">
        <v>30</v>
      </c>
      <c r="G1353" s="21" t="s">
        <v>183</v>
      </c>
      <c r="H1353" s="21" t="s">
        <v>24</v>
      </c>
      <c r="I1353" s="21" t="s">
        <v>25</v>
      </c>
      <c r="J1353" s="21" t="s">
        <v>24</v>
      </c>
      <c r="K1353" s="21" t="s">
        <v>25</v>
      </c>
      <c r="L1353" s="21" t="s">
        <v>24</v>
      </c>
      <c r="M1353" s="0" t="n">
        <v>186</v>
      </c>
      <c r="N1353" s="0" t="n">
        <v>6</v>
      </c>
      <c r="O1353" s="21" t="s">
        <v>3848</v>
      </c>
      <c r="P1353" s="21" t="s">
        <v>4710</v>
      </c>
      <c r="Q1353" s="0" t="n">
        <v>1</v>
      </c>
      <c r="R1353" s="21" t="s">
        <v>69</v>
      </c>
      <c r="S1353" s="0" t="n">
        <v>6</v>
      </c>
      <c r="T1353" s="21" t="s">
        <v>3848</v>
      </c>
      <c r="U1353" s="22" t="b">
        <f aca="false">TRUE()</f>
        <v>1</v>
      </c>
      <c r="V1353" s="0" t="n">
        <v>0.78</v>
      </c>
      <c r="W1353" s="0" t="n">
        <v>0.32</v>
      </c>
      <c r="X1353" s="0" t="n">
        <v>14.82</v>
      </c>
      <c r="Y1353" s="0" t="n">
        <v>383.59</v>
      </c>
      <c r="Z1353" s="0" t="n">
        <v>10</v>
      </c>
      <c r="AA1353" s="0" t="n">
        <v>16.36</v>
      </c>
      <c r="AB1353" s="0" t="n">
        <v>3.31</v>
      </c>
      <c r="AC1353" s="22" t="b">
        <f aca="false">FALSE()</f>
        <v>0</v>
      </c>
      <c r="AD1353" s="0" t="n">
        <v>29.89</v>
      </c>
      <c r="AE1353" s="0" t="n">
        <v>14.08</v>
      </c>
      <c r="AF1353" s="0" t="n">
        <v>21.77</v>
      </c>
      <c r="AG1353" s="22" t="b">
        <f aca="false">TRUE()</f>
        <v>1</v>
      </c>
      <c r="AH1353" s="0" t="n">
        <v>1</v>
      </c>
    </row>
    <row r="1354" customFormat="false" ht="15" hidden="false" customHeight="false" outlineLevel="0" collapsed="false">
      <c r="A1354" s="0" t="s">
        <v>2074</v>
      </c>
      <c r="B1354" s="0" t="s">
        <v>134</v>
      </c>
      <c r="C1354" s="0" t="s">
        <v>3450</v>
      </c>
      <c r="D1354" s="0" t="s">
        <v>3457</v>
      </c>
      <c r="E1354" s="20" t="s">
        <v>25</v>
      </c>
      <c r="F1354" s="20" t="s">
        <v>29</v>
      </c>
      <c r="G1354" s="21" t="s">
        <v>62</v>
      </c>
      <c r="H1354" s="21" t="s">
        <v>24</v>
      </c>
      <c r="I1354" s="21" t="s">
        <v>24</v>
      </c>
      <c r="J1354" s="21" t="s">
        <v>24</v>
      </c>
      <c r="K1354" s="21" t="s">
        <v>25</v>
      </c>
      <c r="L1354" s="21" t="s">
        <v>24</v>
      </c>
      <c r="M1354" s="0" t="n">
        <v>184</v>
      </c>
      <c r="N1354" s="0" t="n">
        <v>0</v>
      </c>
      <c r="Q1354" s="0" t="n">
        <v>0</v>
      </c>
      <c r="S1354" s="0" t="n">
        <v>0</v>
      </c>
      <c r="U1354" s="22" t="b">
        <f aca="false">FALSE()</f>
        <v>0</v>
      </c>
      <c r="V1354" s="0" t="n">
        <v>0.7</v>
      </c>
      <c r="W1354" s="0" t="n">
        <v>0.72</v>
      </c>
      <c r="X1354" s="0" t="n">
        <v>7.11</v>
      </c>
      <c r="Y1354" s="0" t="n">
        <v>321.29</v>
      </c>
      <c r="Z1354" s="0" t="n">
        <v>8.17</v>
      </c>
      <c r="AA1354" s="0" t="n">
        <v>-0.71</v>
      </c>
      <c r="AB1354" s="0" t="n">
        <v>9.63</v>
      </c>
      <c r="AC1354" s="22" t="b">
        <f aca="false">FALSE()</f>
        <v>0</v>
      </c>
      <c r="AD1354" s="0" t="n">
        <v>9.99</v>
      </c>
      <c r="AE1354" s="0" t="n">
        <v>1.18</v>
      </c>
      <c r="AF1354" s="0" t="n">
        <v>9.47</v>
      </c>
      <c r="AG1354" s="22" t="b">
        <f aca="false">FALSE()</f>
        <v>0</v>
      </c>
      <c r="AH1354" s="0" t="n">
        <v>1</v>
      </c>
    </row>
    <row r="1355" customFormat="false" ht="15" hidden="false" customHeight="false" outlineLevel="0" collapsed="false">
      <c r="A1355" s="0" t="s">
        <v>2074</v>
      </c>
      <c r="B1355" s="0" t="s">
        <v>134</v>
      </c>
      <c r="C1355" s="0" t="s">
        <v>3450</v>
      </c>
      <c r="D1355" s="0" t="s">
        <v>3448</v>
      </c>
      <c r="E1355" s="20" t="s">
        <v>25</v>
      </c>
      <c r="F1355" s="23" t="s">
        <v>30</v>
      </c>
      <c r="G1355" s="21" t="s">
        <v>197</v>
      </c>
      <c r="H1355" s="21" t="s">
        <v>24</v>
      </c>
      <c r="I1355" s="21" t="s">
        <v>25</v>
      </c>
      <c r="J1355" s="21" t="s">
        <v>24</v>
      </c>
      <c r="K1355" s="21" t="s">
        <v>25</v>
      </c>
      <c r="L1355" s="21" t="s">
        <v>24</v>
      </c>
      <c r="M1355" s="0" t="n">
        <v>210</v>
      </c>
      <c r="N1355" s="0" t="n">
        <v>1</v>
      </c>
      <c r="O1355" s="21" t="s">
        <v>69</v>
      </c>
      <c r="P1355" s="21" t="s">
        <v>4275</v>
      </c>
      <c r="Q1355" s="0" t="n">
        <v>1</v>
      </c>
      <c r="R1355" s="21" t="s">
        <v>69</v>
      </c>
      <c r="S1355" s="0" t="n">
        <v>1</v>
      </c>
      <c r="T1355" s="21" t="s">
        <v>69</v>
      </c>
      <c r="U1355" s="22" t="b">
        <f aca="false">TRUE()</f>
        <v>1</v>
      </c>
      <c r="V1355" s="0" t="n">
        <v>0.76</v>
      </c>
      <c r="W1355" s="0" t="n">
        <v>0.32</v>
      </c>
      <c r="X1355" s="0" t="n">
        <v>5.88</v>
      </c>
      <c r="Y1355" s="0" t="n">
        <v>463.68</v>
      </c>
      <c r="Z1355" s="0" t="n">
        <v>8.33</v>
      </c>
      <c r="AA1355" s="0" t="n">
        <v>-0.94</v>
      </c>
      <c r="AB1355" s="0" t="n">
        <v>0.04</v>
      </c>
      <c r="AC1355" s="22" t="b">
        <f aca="false">TRUE()</f>
        <v>1</v>
      </c>
      <c r="AD1355" s="0" t="n">
        <v>10.55</v>
      </c>
      <c r="AE1355" s="0" t="n">
        <v>1.02</v>
      </c>
      <c r="AF1355" s="0" t="n">
        <v>16.77</v>
      </c>
      <c r="AG1355" s="22" t="b">
        <f aca="false">TRUE()</f>
        <v>1</v>
      </c>
      <c r="AH1355" s="0" t="n">
        <v>1</v>
      </c>
    </row>
    <row r="1356" customFormat="false" ht="15" hidden="false" customHeight="false" outlineLevel="0" collapsed="false">
      <c r="A1356" s="0" t="s">
        <v>2074</v>
      </c>
      <c r="B1356" s="0" t="s">
        <v>134</v>
      </c>
      <c r="C1356" s="0" t="s">
        <v>3447</v>
      </c>
      <c r="D1356" s="0" t="s">
        <v>3457</v>
      </c>
      <c r="E1356" s="19" t="s">
        <v>26</v>
      </c>
      <c r="F1356" s="19" t="s">
        <v>32</v>
      </c>
      <c r="G1356" s="21" t="s">
        <v>529</v>
      </c>
      <c r="H1356" s="21" t="s">
        <v>24</v>
      </c>
      <c r="I1356" s="21" t="s">
        <v>26</v>
      </c>
      <c r="J1356" s="21" t="s">
        <v>24</v>
      </c>
      <c r="K1356" s="21" t="s">
        <v>24</v>
      </c>
      <c r="L1356" s="21" t="s">
        <v>24</v>
      </c>
      <c r="M1356" s="0" t="n">
        <v>190</v>
      </c>
      <c r="N1356" s="0" t="n">
        <v>9</v>
      </c>
      <c r="O1356" s="21" t="s">
        <v>4062</v>
      </c>
      <c r="P1356" s="21" t="s">
        <v>4633</v>
      </c>
      <c r="Q1356" s="0" t="n">
        <v>1</v>
      </c>
      <c r="R1356" s="21" t="s">
        <v>69</v>
      </c>
      <c r="S1356" s="0" t="n">
        <v>9</v>
      </c>
      <c r="T1356" s="21" t="s">
        <v>4062</v>
      </c>
      <c r="U1356" s="22" t="b">
        <f aca="false">FALSE()</f>
        <v>0</v>
      </c>
      <c r="V1356" s="0" t="n">
        <v>0.71</v>
      </c>
      <c r="W1356" s="0" t="n">
        <v>0</v>
      </c>
      <c r="X1356" s="0" t="n">
        <v>6.94</v>
      </c>
      <c r="Y1356" s="0" t="n">
        <v>749.41</v>
      </c>
      <c r="Z1356" s="0" t="n">
        <v>8.58</v>
      </c>
      <c r="AA1356" s="0" t="n">
        <v>0.54</v>
      </c>
      <c r="AB1356" s="0" t="n">
        <v>9.63</v>
      </c>
      <c r="AC1356" s="22" t="b">
        <f aca="false">FALSE()</f>
        <v>0</v>
      </c>
      <c r="AD1356" s="0" t="n">
        <v>12.08</v>
      </c>
      <c r="AE1356" s="0" t="n">
        <v>0.44</v>
      </c>
      <c r="AF1356" s="0" t="n">
        <v>11.53</v>
      </c>
      <c r="AG1356" s="22" t="b">
        <f aca="false">TRUE()</f>
        <v>1</v>
      </c>
      <c r="AH1356" s="0" t="n">
        <v>1</v>
      </c>
    </row>
    <row r="1357" customFormat="false" ht="15" hidden="false" customHeight="false" outlineLevel="0" collapsed="false">
      <c r="A1357" s="0" t="s">
        <v>2074</v>
      </c>
      <c r="B1357" s="0" t="s">
        <v>134</v>
      </c>
      <c r="C1357" s="0" t="s">
        <v>3447</v>
      </c>
      <c r="D1357" s="0" t="s">
        <v>3448</v>
      </c>
      <c r="E1357" s="20" t="s">
        <v>25</v>
      </c>
      <c r="F1357" s="23" t="s">
        <v>30</v>
      </c>
      <c r="G1357" s="21" t="s">
        <v>2610</v>
      </c>
      <c r="H1357" s="21" t="s">
        <v>24</v>
      </c>
      <c r="I1357" s="21" t="s">
        <v>24</v>
      </c>
      <c r="J1357" s="21" t="s">
        <v>24</v>
      </c>
      <c r="K1357" s="21" t="s">
        <v>25</v>
      </c>
      <c r="L1357" s="21" t="s">
        <v>24</v>
      </c>
      <c r="M1357" s="0" t="n">
        <v>230</v>
      </c>
      <c r="N1357" s="0" t="n">
        <v>5</v>
      </c>
      <c r="O1357" s="21" t="s">
        <v>3729</v>
      </c>
      <c r="P1357" s="21" t="s">
        <v>4711</v>
      </c>
      <c r="Q1357" s="0" t="n">
        <v>0</v>
      </c>
      <c r="S1357" s="0" t="n">
        <v>5</v>
      </c>
      <c r="T1357" s="21" t="s">
        <v>3729</v>
      </c>
      <c r="U1357" s="22" t="b">
        <f aca="false">TRUE()</f>
        <v>1</v>
      </c>
      <c r="V1357" s="0" t="n">
        <v>0.71</v>
      </c>
      <c r="W1357" s="0" t="n">
        <v>0.84</v>
      </c>
      <c r="X1357" s="0" t="n">
        <v>7.38</v>
      </c>
      <c r="Y1357" s="0" t="n">
        <v>402.19</v>
      </c>
      <c r="Z1357" s="0" t="n">
        <v>8</v>
      </c>
      <c r="AA1357" s="0" t="n">
        <v>-1.28</v>
      </c>
      <c r="AB1357" s="0" t="n">
        <v>0.04</v>
      </c>
      <c r="AC1357" s="22" t="b">
        <f aca="false">FALSE()</f>
        <v>0</v>
      </c>
      <c r="AD1357" s="0" t="n">
        <v>1.98</v>
      </c>
      <c r="AE1357" s="0" t="n">
        <v>0.53</v>
      </c>
      <c r="AF1357" s="0" t="n">
        <v>8.62</v>
      </c>
      <c r="AG1357" s="22" t="b">
        <f aca="false">FALSE()</f>
        <v>0</v>
      </c>
      <c r="AH1357" s="0" t="n">
        <v>1</v>
      </c>
    </row>
    <row r="1358" customFormat="false" ht="15" hidden="false" customHeight="false" outlineLevel="0" collapsed="false">
      <c r="A1358" s="0" t="s">
        <v>2080</v>
      </c>
      <c r="B1358" s="0" t="s">
        <v>134</v>
      </c>
      <c r="C1358" s="0" t="s">
        <v>3450</v>
      </c>
      <c r="D1358" s="0" t="s">
        <v>3457</v>
      </c>
      <c r="E1358" s="20" t="s">
        <v>25</v>
      </c>
      <c r="F1358" s="23" t="s">
        <v>30</v>
      </c>
      <c r="G1358" s="21" t="s">
        <v>283</v>
      </c>
      <c r="H1358" s="21" t="s">
        <v>24</v>
      </c>
      <c r="I1358" s="21" t="s">
        <v>25</v>
      </c>
      <c r="J1358" s="21" t="s">
        <v>24</v>
      </c>
      <c r="K1358" s="21" t="s">
        <v>24</v>
      </c>
      <c r="L1358" s="21" t="s">
        <v>24</v>
      </c>
      <c r="M1358" s="0" t="n">
        <v>182</v>
      </c>
      <c r="N1358" s="0" t="n">
        <v>1</v>
      </c>
      <c r="O1358" s="21" t="s">
        <v>69</v>
      </c>
      <c r="P1358" s="21" t="s">
        <v>4275</v>
      </c>
      <c r="Q1358" s="0" t="n">
        <v>1</v>
      </c>
      <c r="R1358" s="21" t="s">
        <v>69</v>
      </c>
      <c r="S1358" s="0" t="n">
        <v>1</v>
      </c>
      <c r="T1358" s="21" t="s">
        <v>69</v>
      </c>
      <c r="U1358" s="22" t="b">
        <f aca="false">TRUE()</f>
        <v>1</v>
      </c>
      <c r="V1358" s="0" t="n">
        <v>0.71</v>
      </c>
      <c r="W1358" s="0" t="n">
        <v>0.76</v>
      </c>
      <c r="X1358" s="0" t="n">
        <v>7.48</v>
      </c>
      <c r="Y1358" s="0" t="n">
        <v>315.48</v>
      </c>
      <c r="Z1358" s="0" t="n">
        <v>9.75</v>
      </c>
      <c r="AA1358" s="0" t="n">
        <v>9.65</v>
      </c>
      <c r="AB1358" s="0" t="n">
        <v>8.44</v>
      </c>
      <c r="AC1358" s="22" t="b">
        <f aca="false">FALSE()</f>
        <v>0</v>
      </c>
      <c r="AD1358" s="0" t="n">
        <v>16.92</v>
      </c>
      <c r="AE1358" s="0" t="n">
        <v>9.41</v>
      </c>
      <c r="AF1358" s="0" t="n">
        <v>17.31</v>
      </c>
      <c r="AG1358" s="22" t="b">
        <f aca="false">TRUE()</f>
        <v>1</v>
      </c>
      <c r="AH1358" s="0" t="n">
        <v>1</v>
      </c>
    </row>
    <row r="1359" customFormat="false" ht="15" hidden="false" customHeight="false" outlineLevel="0" collapsed="false">
      <c r="A1359" s="0" t="s">
        <v>2080</v>
      </c>
      <c r="B1359" s="0" t="s">
        <v>134</v>
      </c>
      <c r="C1359" s="0" t="s">
        <v>3450</v>
      </c>
      <c r="D1359" s="0" t="s">
        <v>3448</v>
      </c>
      <c r="E1359" s="18" t="s">
        <v>24</v>
      </c>
      <c r="F1359" s="18" t="s">
        <v>28</v>
      </c>
      <c r="H1359" s="21" t="s">
        <v>24</v>
      </c>
      <c r="I1359" s="21" t="s">
        <v>24</v>
      </c>
      <c r="J1359" s="21" t="s">
        <v>24</v>
      </c>
      <c r="K1359" s="21" t="s">
        <v>24</v>
      </c>
      <c r="L1359" s="21" t="s">
        <v>24</v>
      </c>
      <c r="M1359" s="0" t="n">
        <v>183</v>
      </c>
      <c r="N1359" s="0" t="n">
        <v>0</v>
      </c>
      <c r="Q1359" s="0" t="n">
        <v>0</v>
      </c>
      <c r="S1359" s="0" t="n">
        <v>0</v>
      </c>
      <c r="U1359" s="22" t="b">
        <f aca="false">FALSE()</f>
        <v>0</v>
      </c>
      <c r="V1359" s="0" t="n">
        <v>0.7</v>
      </c>
      <c r="W1359" s="0" t="n">
        <v>0.64</v>
      </c>
      <c r="X1359" s="0" t="n">
        <v>8.01</v>
      </c>
      <c r="Y1359" s="0" t="n">
        <v>315.66</v>
      </c>
      <c r="Z1359" s="0" t="n">
        <v>9.42</v>
      </c>
      <c r="AA1359" s="0" t="n">
        <v>18.46</v>
      </c>
      <c r="AB1359" s="0" t="n">
        <v>10.28</v>
      </c>
      <c r="AC1359" s="22" t="b">
        <f aca="false">FALSE()</f>
        <v>0</v>
      </c>
      <c r="AD1359" s="0" t="n">
        <v>18.33</v>
      </c>
      <c r="AE1359" s="0" t="n">
        <v>13.07</v>
      </c>
      <c r="AF1359" s="0" t="n">
        <v>19.61</v>
      </c>
      <c r="AG1359" s="22" t="b">
        <f aca="false">TRUE()</f>
        <v>1</v>
      </c>
      <c r="AH1359" s="0" t="n">
        <v>1</v>
      </c>
    </row>
    <row r="1360" customFormat="false" ht="15" hidden="false" customHeight="false" outlineLevel="0" collapsed="false">
      <c r="A1360" s="0" t="s">
        <v>2080</v>
      </c>
      <c r="B1360" s="0" t="s">
        <v>134</v>
      </c>
      <c r="C1360" s="0" t="s">
        <v>3447</v>
      </c>
      <c r="D1360" s="0" t="s">
        <v>3457</v>
      </c>
      <c r="E1360" s="19" t="s">
        <v>26</v>
      </c>
      <c r="F1360" s="19" t="s">
        <v>32</v>
      </c>
      <c r="G1360" s="21" t="s">
        <v>1926</v>
      </c>
      <c r="H1360" s="21" t="s">
        <v>24</v>
      </c>
      <c r="I1360" s="21" t="s">
        <v>26</v>
      </c>
      <c r="J1360" s="21" t="s">
        <v>24</v>
      </c>
      <c r="K1360" s="21" t="s">
        <v>25</v>
      </c>
      <c r="L1360" s="21" t="s">
        <v>24</v>
      </c>
      <c r="M1360" s="0" t="n">
        <v>183</v>
      </c>
      <c r="N1360" s="0" t="n">
        <v>9</v>
      </c>
      <c r="O1360" s="21" t="s">
        <v>4030</v>
      </c>
      <c r="P1360" s="21" t="s">
        <v>4287</v>
      </c>
      <c r="Q1360" s="0" t="n">
        <v>1</v>
      </c>
      <c r="R1360" s="21" t="s">
        <v>69</v>
      </c>
      <c r="S1360" s="0" t="n">
        <v>9</v>
      </c>
      <c r="T1360" s="21" t="s">
        <v>4030</v>
      </c>
      <c r="U1360" s="22" t="b">
        <f aca="false">FALSE()</f>
        <v>0</v>
      </c>
      <c r="V1360" s="0" t="n">
        <v>0.77</v>
      </c>
      <c r="W1360" s="0" t="n">
        <v>0.44</v>
      </c>
      <c r="X1360" s="0" t="n">
        <v>6.88</v>
      </c>
      <c r="Y1360" s="0" t="n">
        <v>342.2</v>
      </c>
      <c r="Z1360" s="0" t="n">
        <v>8.92</v>
      </c>
      <c r="AA1360" s="0" t="n">
        <v>3.22</v>
      </c>
      <c r="AB1360" s="0" t="n">
        <v>8.44</v>
      </c>
      <c r="AC1360" s="22" t="b">
        <f aca="false">FALSE()</f>
        <v>0</v>
      </c>
      <c r="AD1360" s="0" t="n">
        <v>23.36</v>
      </c>
      <c r="AE1360" s="0" t="n">
        <v>14.65</v>
      </c>
      <c r="AF1360" s="0" t="n">
        <v>22.53</v>
      </c>
      <c r="AG1360" s="22" t="b">
        <f aca="false">TRUE()</f>
        <v>1</v>
      </c>
      <c r="AH1360" s="0" t="n">
        <v>1</v>
      </c>
    </row>
    <row r="1361" customFormat="false" ht="15" hidden="false" customHeight="false" outlineLevel="0" collapsed="false">
      <c r="A1361" s="0" t="s">
        <v>2080</v>
      </c>
      <c r="B1361" s="0" t="s">
        <v>134</v>
      </c>
      <c r="C1361" s="0" t="s">
        <v>3447</v>
      </c>
      <c r="D1361" s="0" t="s">
        <v>3448</v>
      </c>
      <c r="E1361" s="19" t="s">
        <v>26</v>
      </c>
      <c r="F1361" s="19" t="s">
        <v>32</v>
      </c>
      <c r="G1361" s="21" t="s">
        <v>60</v>
      </c>
      <c r="H1361" s="21" t="s">
        <v>24</v>
      </c>
      <c r="I1361" s="21" t="s">
        <v>26</v>
      </c>
      <c r="J1361" s="21" t="s">
        <v>24</v>
      </c>
      <c r="K1361" s="21" t="s">
        <v>24</v>
      </c>
      <c r="L1361" s="21" t="s">
        <v>24</v>
      </c>
      <c r="M1361" s="0" t="n">
        <v>183</v>
      </c>
      <c r="N1361" s="0" t="n">
        <v>10</v>
      </c>
      <c r="O1361" s="21" t="s">
        <v>3954</v>
      </c>
      <c r="P1361" s="21" t="s">
        <v>4712</v>
      </c>
      <c r="Q1361" s="0" t="n">
        <v>0</v>
      </c>
      <c r="S1361" s="0" t="n">
        <v>10</v>
      </c>
      <c r="T1361" s="21" t="s">
        <v>3954</v>
      </c>
      <c r="U1361" s="22" t="b">
        <f aca="false">FALSE()</f>
        <v>0</v>
      </c>
      <c r="V1361" s="0" t="n">
        <v>0.76</v>
      </c>
      <c r="W1361" s="0" t="n">
        <v>0.12</v>
      </c>
      <c r="X1361" s="0" t="n">
        <v>8.22</v>
      </c>
      <c r="Y1361" s="0" t="n">
        <v>602.38</v>
      </c>
      <c r="Z1361" s="0" t="n">
        <v>9.08</v>
      </c>
      <c r="AA1361" s="0" t="n">
        <v>3.35</v>
      </c>
      <c r="AB1361" s="0" t="n">
        <v>10.28</v>
      </c>
      <c r="AC1361" s="22" t="b">
        <f aca="false">FALSE()</f>
        <v>0</v>
      </c>
      <c r="AD1361" s="0" t="n">
        <v>18.26</v>
      </c>
      <c r="AE1361" s="0" t="n">
        <v>13.63</v>
      </c>
      <c r="AF1361" s="0" t="n">
        <v>20.37</v>
      </c>
      <c r="AG1361" s="22" t="b">
        <f aca="false">TRUE()</f>
        <v>1</v>
      </c>
      <c r="AH1361" s="0" t="n">
        <v>1</v>
      </c>
    </row>
    <row r="1362" customFormat="false" ht="15" hidden="false" customHeight="false" outlineLevel="0" collapsed="false">
      <c r="A1362" s="0" t="s">
        <v>2096</v>
      </c>
      <c r="B1362" s="0" t="s">
        <v>134</v>
      </c>
      <c r="C1362" s="0" t="s">
        <v>3450</v>
      </c>
      <c r="D1362" s="0" t="s">
        <v>3457</v>
      </c>
      <c r="E1362" s="20" t="s">
        <v>25</v>
      </c>
      <c r="F1362" s="20" t="s">
        <v>29</v>
      </c>
      <c r="G1362" s="21" t="s">
        <v>61</v>
      </c>
      <c r="H1362" s="21" t="s">
        <v>24</v>
      </c>
      <c r="I1362" s="21" t="s">
        <v>24</v>
      </c>
      <c r="J1362" s="21" t="s">
        <v>24</v>
      </c>
      <c r="K1362" s="21" t="s">
        <v>25</v>
      </c>
      <c r="L1362" s="21" t="s">
        <v>24</v>
      </c>
      <c r="M1362" s="0" t="n">
        <v>185</v>
      </c>
      <c r="N1362" s="0" t="n">
        <v>0</v>
      </c>
      <c r="Q1362" s="0" t="n">
        <v>0</v>
      </c>
      <c r="S1362" s="0" t="n">
        <v>0</v>
      </c>
      <c r="U1362" s="22" t="b">
        <f aca="false">FALSE()</f>
        <v>0</v>
      </c>
      <c r="V1362" s="0" t="n">
        <v>0.72</v>
      </c>
      <c r="W1362" s="0" t="n">
        <v>0.92</v>
      </c>
      <c r="X1362" s="0" t="n">
        <v>11.17</v>
      </c>
      <c r="Y1362" s="0" t="n">
        <v>291.07</v>
      </c>
      <c r="Z1362" s="0" t="n">
        <v>10.58</v>
      </c>
      <c r="AA1362" s="0" t="n">
        <v>13.6</v>
      </c>
      <c r="AB1362" s="0" t="n">
        <v>1.77</v>
      </c>
      <c r="AC1362" s="22" t="b">
        <f aca="false">FALSE()</f>
        <v>0</v>
      </c>
      <c r="AD1362" s="0" t="n">
        <v>23.76</v>
      </c>
      <c r="AE1362" s="0" t="n">
        <v>12.08</v>
      </c>
      <c r="AF1362" s="0" t="n">
        <v>21.73</v>
      </c>
      <c r="AG1362" s="22" t="b">
        <f aca="false">TRUE()</f>
        <v>1</v>
      </c>
      <c r="AH1362" s="0" t="n">
        <v>1</v>
      </c>
    </row>
    <row r="1363" customFormat="false" ht="15" hidden="false" customHeight="false" outlineLevel="0" collapsed="false">
      <c r="A1363" s="0" t="s">
        <v>2096</v>
      </c>
      <c r="B1363" s="0" t="s">
        <v>134</v>
      </c>
      <c r="C1363" s="0" t="s">
        <v>3450</v>
      </c>
      <c r="D1363" s="0" t="s">
        <v>3448</v>
      </c>
      <c r="E1363" s="20" t="s">
        <v>25</v>
      </c>
      <c r="F1363" s="20" t="s">
        <v>29</v>
      </c>
      <c r="G1363" s="21" t="s">
        <v>66</v>
      </c>
      <c r="H1363" s="21" t="s">
        <v>24</v>
      </c>
      <c r="I1363" s="21" t="s">
        <v>24</v>
      </c>
      <c r="J1363" s="21" t="s">
        <v>24</v>
      </c>
      <c r="K1363" s="21" t="s">
        <v>25</v>
      </c>
      <c r="L1363" s="21" t="s">
        <v>24</v>
      </c>
      <c r="M1363" s="0" t="n">
        <v>185</v>
      </c>
      <c r="N1363" s="0" t="n">
        <v>0</v>
      </c>
      <c r="Q1363" s="0" t="n">
        <v>0</v>
      </c>
      <c r="S1363" s="0" t="n">
        <v>0</v>
      </c>
      <c r="U1363" s="22" t="b">
        <f aca="false">FALSE()</f>
        <v>0</v>
      </c>
      <c r="V1363" s="0" t="n">
        <v>0.74</v>
      </c>
      <c r="W1363" s="0" t="n">
        <v>0</v>
      </c>
      <c r="X1363" s="0" t="n">
        <v>13.22</v>
      </c>
      <c r="Y1363" s="0" t="n">
        <v>0.36</v>
      </c>
      <c r="Z1363" s="0" t="n">
        <v>10.17</v>
      </c>
      <c r="AA1363" s="0" t="n">
        <v>10.92</v>
      </c>
      <c r="AB1363" s="0" t="n">
        <v>1.53</v>
      </c>
      <c r="AC1363" s="22" t="b">
        <f aca="false">FALSE()</f>
        <v>0</v>
      </c>
      <c r="AD1363" s="0" t="n">
        <v>31.88</v>
      </c>
      <c r="AE1363" s="0" t="n">
        <v>2.23</v>
      </c>
      <c r="AF1363" s="0" t="n">
        <v>32.24</v>
      </c>
      <c r="AG1363" s="22" t="b">
        <f aca="false">TRUE()</f>
        <v>1</v>
      </c>
      <c r="AH1363" s="0" t="n">
        <v>0</v>
      </c>
    </row>
    <row r="1364" customFormat="false" ht="15" hidden="false" customHeight="false" outlineLevel="0" collapsed="false">
      <c r="A1364" s="0" t="s">
        <v>2096</v>
      </c>
      <c r="B1364" s="0" t="s">
        <v>134</v>
      </c>
      <c r="C1364" s="0" t="s">
        <v>3447</v>
      </c>
      <c r="D1364" s="0" t="s">
        <v>3457</v>
      </c>
      <c r="E1364" s="19" t="s">
        <v>26</v>
      </c>
      <c r="F1364" s="19" t="s">
        <v>32</v>
      </c>
      <c r="G1364" s="21" t="s">
        <v>1926</v>
      </c>
      <c r="H1364" s="21" t="s">
        <v>24</v>
      </c>
      <c r="I1364" s="21" t="s">
        <v>26</v>
      </c>
      <c r="J1364" s="21" t="s">
        <v>24</v>
      </c>
      <c r="K1364" s="21" t="s">
        <v>25</v>
      </c>
      <c r="L1364" s="21" t="s">
        <v>24</v>
      </c>
      <c r="M1364" s="0" t="n">
        <v>186</v>
      </c>
      <c r="N1364" s="0" t="n">
        <v>13</v>
      </c>
      <c r="O1364" s="21" t="s">
        <v>4023</v>
      </c>
      <c r="P1364" s="21" t="s">
        <v>4229</v>
      </c>
      <c r="Q1364" s="0" t="n">
        <v>1</v>
      </c>
      <c r="R1364" s="21" t="s">
        <v>69</v>
      </c>
      <c r="S1364" s="0" t="n">
        <v>13</v>
      </c>
      <c r="T1364" s="21" t="s">
        <v>4023</v>
      </c>
      <c r="U1364" s="22" t="b">
        <f aca="false">FALSE()</f>
        <v>0</v>
      </c>
      <c r="V1364" s="0" t="n">
        <v>0.75</v>
      </c>
      <c r="W1364" s="0" t="n">
        <v>0.32</v>
      </c>
      <c r="X1364" s="0" t="n">
        <v>12.6</v>
      </c>
      <c r="Y1364" s="0" t="n">
        <v>351.03</v>
      </c>
      <c r="Z1364" s="0" t="n">
        <v>10.25</v>
      </c>
      <c r="AA1364" s="0" t="n">
        <v>9.84</v>
      </c>
      <c r="AB1364" s="0" t="n">
        <v>1.77</v>
      </c>
      <c r="AC1364" s="22" t="b">
        <f aca="false">FALSE()</f>
        <v>0</v>
      </c>
      <c r="AD1364" s="0" t="n">
        <v>22.99</v>
      </c>
      <c r="AE1364" s="0" t="n">
        <v>11.9</v>
      </c>
      <c r="AF1364" s="0" t="n">
        <v>21.51</v>
      </c>
      <c r="AG1364" s="22" t="b">
        <f aca="false">TRUE()</f>
        <v>1</v>
      </c>
      <c r="AH1364" s="0" t="n">
        <v>2</v>
      </c>
    </row>
    <row r="1365" customFormat="false" ht="15" hidden="false" customHeight="false" outlineLevel="0" collapsed="false">
      <c r="A1365" s="0" t="s">
        <v>2096</v>
      </c>
      <c r="B1365" s="0" t="s">
        <v>134</v>
      </c>
      <c r="C1365" s="0" t="s">
        <v>3447</v>
      </c>
      <c r="D1365" s="0" t="s">
        <v>3448</v>
      </c>
      <c r="E1365" s="19" t="s">
        <v>26</v>
      </c>
      <c r="F1365" s="19" t="s">
        <v>32</v>
      </c>
      <c r="G1365" s="21" t="s">
        <v>1926</v>
      </c>
      <c r="H1365" s="21" t="s">
        <v>24</v>
      </c>
      <c r="I1365" s="21" t="s">
        <v>26</v>
      </c>
      <c r="J1365" s="21" t="s">
        <v>24</v>
      </c>
      <c r="K1365" s="21" t="s">
        <v>25</v>
      </c>
      <c r="L1365" s="21" t="s">
        <v>24</v>
      </c>
      <c r="M1365" s="0" t="n">
        <v>184</v>
      </c>
      <c r="N1365" s="0" t="n">
        <v>12</v>
      </c>
      <c r="O1365" s="21" t="s">
        <v>4044</v>
      </c>
      <c r="P1365" s="21" t="s">
        <v>4278</v>
      </c>
      <c r="Q1365" s="0" t="n">
        <v>1</v>
      </c>
      <c r="R1365" s="21" t="s">
        <v>69</v>
      </c>
      <c r="S1365" s="0" t="n">
        <v>12</v>
      </c>
      <c r="T1365" s="21" t="s">
        <v>4044</v>
      </c>
      <c r="U1365" s="22" t="b">
        <f aca="false">FALSE()</f>
        <v>0</v>
      </c>
      <c r="V1365" s="0" t="n">
        <v>0.78</v>
      </c>
      <c r="W1365" s="0" t="n">
        <v>0.4</v>
      </c>
      <c r="X1365" s="0" t="n">
        <v>13.9</v>
      </c>
      <c r="Y1365" s="0" t="n">
        <v>359.57</v>
      </c>
      <c r="Z1365" s="0" t="n">
        <v>10.42</v>
      </c>
      <c r="AA1365" s="0" t="n">
        <v>4.08</v>
      </c>
      <c r="AB1365" s="0" t="n">
        <v>1.53</v>
      </c>
      <c r="AC1365" s="22" t="b">
        <f aca="false">FALSE()</f>
        <v>0</v>
      </c>
      <c r="AD1365" s="0" t="n">
        <v>24.92</v>
      </c>
      <c r="AE1365" s="0" t="n">
        <v>0.16</v>
      </c>
      <c r="AF1365" s="0" t="n">
        <v>24.14</v>
      </c>
      <c r="AG1365" s="22" t="b">
        <f aca="false">TRUE()</f>
        <v>1</v>
      </c>
      <c r="AH1365" s="0" t="n">
        <v>1</v>
      </c>
    </row>
    <row r="1366" customFormat="false" ht="15" hidden="false" customHeight="false" outlineLevel="0" collapsed="false">
      <c r="A1366" s="0" t="s">
        <v>2113</v>
      </c>
      <c r="B1366" s="0" t="s">
        <v>134</v>
      </c>
      <c r="C1366" s="0" t="s">
        <v>3450</v>
      </c>
      <c r="D1366" s="0" t="s">
        <v>3457</v>
      </c>
      <c r="E1366" s="20" t="s">
        <v>25</v>
      </c>
      <c r="F1366" s="23" t="s">
        <v>30</v>
      </c>
      <c r="G1366" s="21" t="s">
        <v>283</v>
      </c>
      <c r="H1366" s="21" t="s">
        <v>24</v>
      </c>
      <c r="I1366" s="21" t="s">
        <v>25</v>
      </c>
      <c r="J1366" s="21" t="s">
        <v>24</v>
      </c>
      <c r="K1366" s="21" t="s">
        <v>24</v>
      </c>
      <c r="L1366" s="21" t="s">
        <v>24</v>
      </c>
      <c r="M1366" s="0" t="n">
        <v>187</v>
      </c>
      <c r="N1366" s="0" t="n">
        <v>3</v>
      </c>
      <c r="O1366" s="21" t="s">
        <v>3649</v>
      </c>
      <c r="P1366" s="21" t="s">
        <v>4242</v>
      </c>
      <c r="Q1366" s="0" t="n">
        <v>1</v>
      </c>
      <c r="R1366" s="21" t="s">
        <v>69</v>
      </c>
      <c r="S1366" s="0" t="n">
        <v>3</v>
      </c>
      <c r="T1366" s="21" t="s">
        <v>3649</v>
      </c>
      <c r="U1366" s="22" t="b">
        <f aca="false">TRUE()</f>
        <v>1</v>
      </c>
      <c r="V1366" s="0" t="n">
        <v>0.74</v>
      </c>
      <c r="W1366" s="0" t="n">
        <v>0.48</v>
      </c>
      <c r="X1366" s="0" t="n">
        <v>5.76</v>
      </c>
      <c r="Y1366" s="0" t="n">
        <v>340.76</v>
      </c>
      <c r="Z1366" s="0" t="n">
        <v>9.75</v>
      </c>
      <c r="AA1366" s="0" t="n">
        <v>13.01</v>
      </c>
      <c r="AB1366" s="0" t="n">
        <v>9.56</v>
      </c>
      <c r="AC1366" s="22" t="b">
        <f aca="false">FALSE()</f>
        <v>0</v>
      </c>
      <c r="AD1366" s="0" t="n">
        <v>16.09</v>
      </c>
      <c r="AE1366" s="0" t="n">
        <v>1.3</v>
      </c>
      <c r="AF1366" s="0" t="n">
        <v>8.67</v>
      </c>
      <c r="AG1366" s="22" t="b">
        <f aca="false">TRUE()</f>
        <v>1</v>
      </c>
      <c r="AH1366" s="0" t="n">
        <v>1</v>
      </c>
    </row>
    <row r="1367" customFormat="false" ht="15" hidden="false" customHeight="false" outlineLevel="0" collapsed="false">
      <c r="A1367" s="0" t="s">
        <v>2113</v>
      </c>
      <c r="B1367" s="0" t="s">
        <v>134</v>
      </c>
      <c r="C1367" s="0" t="s">
        <v>3450</v>
      </c>
      <c r="D1367" s="0" t="s">
        <v>3448</v>
      </c>
      <c r="E1367" s="20" t="s">
        <v>25</v>
      </c>
      <c r="F1367" s="23" t="s">
        <v>30</v>
      </c>
      <c r="G1367" s="21" t="s">
        <v>1230</v>
      </c>
      <c r="H1367" s="21" t="s">
        <v>24</v>
      </c>
      <c r="I1367" s="21" t="s">
        <v>25</v>
      </c>
      <c r="J1367" s="21" t="s">
        <v>24</v>
      </c>
      <c r="K1367" s="21" t="s">
        <v>25</v>
      </c>
      <c r="L1367" s="21" t="s">
        <v>24</v>
      </c>
      <c r="M1367" s="0" t="n">
        <v>182</v>
      </c>
      <c r="N1367" s="0" t="n">
        <v>1</v>
      </c>
      <c r="O1367" s="21" t="s">
        <v>69</v>
      </c>
      <c r="P1367" s="21" t="s">
        <v>4275</v>
      </c>
      <c r="Q1367" s="0" t="n">
        <v>1</v>
      </c>
      <c r="R1367" s="21" t="s">
        <v>69</v>
      </c>
      <c r="S1367" s="0" t="n">
        <v>1</v>
      </c>
      <c r="T1367" s="21" t="s">
        <v>69</v>
      </c>
      <c r="U1367" s="22" t="b">
        <f aca="false">TRUE()</f>
        <v>1</v>
      </c>
      <c r="V1367" s="0" t="n">
        <v>0.77</v>
      </c>
      <c r="W1367" s="0" t="n">
        <v>0.8</v>
      </c>
      <c r="X1367" s="0" t="n">
        <v>7.37</v>
      </c>
      <c r="Y1367" s="0" t="n">
        <v>318.42</v>
      </c>
      <c r="Z1367" s="0" t="n">
        <v>9.25</v>
      </c>
      <c r="AA1367" s="0" t="n">
        <v>0.46</v>
      </c>
      <c r="AB1367" s="0" t="n">
        <v>27.01</v>
      </c>
      <c r="AC1367" s="22" t="b">
        <f aca="false">FALSE()</f>
        <v>0</v>
      </c>
      <c r="AD1367" s="0" t="n">
        <v>14.66</v>
      </c>
      <c r="AE1367" s="0" t="n">
        <v>4.91</v>
      </c>
      <c r="AF1367" s="0" t="n">
        <v>12.1</v>
      </c>
      <c r="AG1367" s="22" t="b">
        <f aca="false">TRUE()</f>
        <v>1</v>
      </c>
      <c r="AH1367" s="0" t="n">
        <v>1</v>
      </c>
    </row>
    <row r="1368" customFormat="false" ht="15" hidden="false" customHeight="false" outlineLevel="0" collapsed="false">
      <c r="A1368" s="0" t="s">
        <v>2113</v>
      </c>
      <c r="B1368" s="0" t="s">
        <v>134</v>
      </c>
      <c r="C1368" s="0" t="s">
        <v>3447</v>
      </c>
      <c r="D1368" s="0" t="s">
        <v>3457</v>
      </c>
      <c r="E1368" s="20" t="s">
        <v>25</v>
      </c>
      <c r="F1368" s="23" t="s">
        <v>30</v>
      </c>
      <c r="G1368" s="21" t="s">
        <v>283</v>
      </c>
      <c r="H1368" s="21" t="s">
        <v>24</v>
      </c>
      <c r="I1368" s="21" t="s">
        <v>25</v>
      </c>
      <c r="J1368" s="21" t="s">
        <v>24</v>
      </c>
      <c r="K1368" s="21" t="s">
        <v>24</v>
      </c>
      <c r="L1368" s="21" t="s">
        <v>24</v>
      </c>
      <c r="M1368" s="0" t="n">
        <v>185</v>
      </c>
      <c r="N1368" s="0" t="n">
        <v>2</v>
      </c>
      <c r="O1368" s="21" t="s">
        <v>3566</v>
      </c>
      <c r="P1368" s="21" t="s">
        <v>4238</v>
      </c>
      <c r="Q1368" s="0" t="n">
        <v>1</v>
      </c>
      <c r="R1368" s="21" t="s">
        <v>69</v>
      </c>
      <c r="S1368" s="0" t="n">
        <v>2</v>
      </c>
      <c r="T1368" s="21" t="s">
        <v>3566</v>
      </c>
      <c r="U1368" s="22" t="b">
        <f aca="false">TRUE()</f>
        <v>1</v>
      </c>
      <c r="V1368" s="0" t="n">
        <v>0.77</v>
      </c>
      <c r="W1368" s="0" t="n">
        <v>0.8</v>
      </c>
      <c r="X1368" s="0" t="n">
        <v>5.09</v>
      </c>
      <c r="Y1368" s="0" t="n">
        <v>323.51</v>
      </c>
      <c r="Z1368" s="0" t="n">
        <v>8.67</v>
      </c>
      <c r="AA1368" s="0" t="n">
        <v>0.51</v>
      </c>
      <c r="AB1368" s="0" t="n">
        <v>9.56</v>
      </c>
      <c r="AC1368" s="22" t="b">
        <f aca="false">FALSE()</f>
        <v>0</v>
      </c>
      <c r="AD1368" s="0" t="n">
        <v>15.16</v>
      </c>
      <c r="AE1368" s="0" t="n">
        <v>0.85</v>
      </c>
      <c r="AF1368" s="0" t="n">
        <v>8.37</v>
      </c>
      <c r="AG1368" s="22" t="b">
        <f aca="false">TRUE()</f>
        <v>1</v>
      </c>
      <c r="AH1368" s="0" t="n">
        <v>1</v>
      </c>
    </row>
    <row r="1369" customFormat="false" ht="15" hidden="false" customHeight="false" outlineLevel="0" collapsed="false">
      <c r="A1369" s="0" t="s">
        <v>2113</v>
      </c>
      <c r="B1369" s="0" t="s">
        <v>134</v>
      </c>
      <c r="C1369" s="0" t="s">
        <v>3447</v>
      </c>
      <c r="D1369" s="0" t="s">
        <v>3448</v>
      </c>
      <c r="E1369" s="20" t="s">
        <v>25</v>
      </c>
      <c r="F1369" s="20" t="s">
        <v>29</v>
      </c>
      <c r="G1369" s="21" t="s">
        <v>61</v>
      </c>
      <c r="H1369" s="21" t="s">
        <v>24</v>
      </c>
      <c r="I1369" s="21" t="s">
        <v>24</v>
      </c>
      <c r="J1369" s="21" t="s">
        <v>24</v>
      </c>
      <c r="K1369" s="21" t="s">
        <v>25</v>
      </c>
      <c r="L1369" s="21" t="s">
        <v>24</v>
      </c>
      <c r="M1369" s="0" t="n">
        <v>192</v>
      </c>
      <c r="N1369" s="0" t="n">
        <v>0</v>
      </c>
      <c r="Q1369" s="0" t="n">
        <v>0</v>
      </c>
      <c r="S1369" s="0" t="n">
        <v>0</v>
      </c>
      <c r="U1369" s="22" t="b">
        <f aca="false">FALSE()</f>
        <v>0</v>
      </c>
      <c r="V1369" s="0" t="n">
        <v>0.81</v>
      </c>
      <c r="W1369" s="0" t="n">
        <v>0</v>
      </c>
      <c r="X1369" s="0" t="n">
        <v>7.49</v>
      </c>
      <c r="Y1369" s="0" t="n">
        <v>725.22</v>
      </c>
      <c r="Z1369" s="0" t="n">
        <v>9.25</v>
      </c>
      <c r="AA1369" s="0" t="n">
        <v>2.84</v>
      </c>
      <c r="AB1369" s="0" t="n">
        <v>27.01</v>
      </c>
      <c r="AC1369" s="22" t="b">
        <f aca="false">FALSE()</f>
        <v>0</v>
      </c>
      <c r="AD1369" s="0" t="n">
        <v>28.66</v>
      </c>
      <c r="AE1369" s="0" t="n">
        <v>13.88</v>
      </c>
      <c r="AF1369" s="0" t="n">
        <v>19.39</v>
      </c>
      <c r="AG1369" s="22" t="b">
        <f aca="false">TRUE()</f>
        <v>1</v>
      </c>
      <c r="AH1369" s="0" t="n">
        <v>1</v>
      </c>
    </row>
    <row r="1370" customFormat="false" ht="15" hidden="false" customHeight="false" outlineLevel="0" collapsed="false">
      <c r="A1370" s="0" t="s">
        <v>2124</v>
      </c>
      <c r="B1370" s="0" t="s">
        <v>134</v>
      </c>
      <c r="C1370" s="0" t="s">
        <v>3450</v>
      </c>
      <c r="D1370" s="0" t="s">
        <v>3457</v>
      </c>
      <c r="E1370" s="19" t="s">
        <v>26</v>
      </c>
      <c r="F1370" s="19" t="s">
        <v>32</v>
      </c>
      <c r="G1370" s="21" t="s">
        <v>231</v>
      </c>
      <c r="H1370" s="21" t="s">
        <v>24</v>
      </c>
      <c r="I1370" s="21" t="s">
        <v>26</v>
      </c>
      <c r="J1370" s="21" t="s">
        <v>24</v>
      </c>
      <c r="K1370" s="21" t="s">
        <v>25</v>
      </c>
      <c r="L1370" s="21" t="s">
        <v>24</v>
      </c>
      <c r="M1370" s="0" t="n">
        <v>185</v>
      </c>
      <c r="N1370" s="0" t="n">
        <v>11</v>
      </c>
      <c r="O1370" s="21" t="s">
        <v>4078</v>
      </c>
      <c r="P1370" s="21" t="s">
        <v>4567</v>
      </c>
      <c r="Q1370" s="0" t="n">
        <v>1</v>
      </c>
      <c r="R1370" s="21" t="s">
        <v>69</v>
      </c>
      <c r="S1370" s="0" t="n">
        <v>11</v>
      </c>
      <c r="T1370" s="21" t="s">
        <v>4078</v>
      </c>
      <c r="U1370" s="22" t="b">
        <f aca="false">FALSE()</f>
        <v>0</v>
      </c>
      <c r="V1370" s="0" t="n">
        <v>0.68</v>
      </c>
      <c r="W1370" s="0" t="n">
        <v>0.96</v>
      </c>
      <c r="X1370" s="0" t="n">
        <v>9.64</v>
      </c>
      <c r="Y1370" s="0" t="n">
        <v>299.23</v>
      </c>
      <c r="Z1370" s="0" t="n">
        <v>11.75</v>
      </c>
      <c r="AA1370" s="0" t="n">
        <v>-0.32</v>
      </c>
      <c r="AB1370" s="0" t="n">
        <v>1.07</v>
      </c>
      <c r="AC1370" s="22" t="b">
        <f aca="false">TRUE()</f>
        <v>1</v>
      </c>
      <c r="AD1370" s="0" t="n">
        <v>15.05</v>
      </c>
      <c r="AE1370" s="0" t="n">
        <v>0.64</v>
      </c>
      <c r="AF1370" s="0" t="n">
        <v>3.24</v>
      </c>
      <c r="AG1370" s="22" t="b">
        <f aca="false">TRUE()</f>
        <v>1</v>
      </c>
      <c r="AH1370" s="0" t="n">
        <v>1</v>
      </c>
    </row>
    <row r="1371" customFormat="false" ht="15" hidden="false" customHeight="false" outlineLevel="0" collapsed="false">
      <c r="A1371" s="0" t="s">
        <v>2124</v>
      </c>
      <c r="B1371" s="0" t="s">
        <v>134</v>
      </c>
      <c r="C1371" s="0" t="s">
        <v>3450</v>
      </c>
      <c r="D1371" s="0" t="s">
        <v>3448</v>
      </c>
      <c r="E1371" s="19" t="s">
        <v>26</v>
      </c>
      <c r="F1371" s="19" t="s">
        <v>32</v>
      </c>
      <c r="G1371" s="21" t="s">
        <v>231</v>
      </c>
      <c r="H1371" s="21" t="s">
        <v>24</v>
      </c>
      <c r="I1371" s="21" t="s">
        <v>26</v>
      </c>
      <c r="J1371" s="21" t="s">
        <v>24</v>
      </c>
      <c r="K1371" s="21" t="s">
        <v>25</v>
      </c>
      <c r="L1371" s="21" t="s">
        <v>24</v>
      </c>
      <c r="M1371" s="0" t="n">
        <v>187</v>
      </c>
      <c r="N1371" s="0" t="n">
        <v>9</v>
      </c>
      <c r="O1371" s="21" t="s">
        <v>4030</v>
      </c>
      <c r="P1371" s="21" t="s">
        <v>4287</v>
      </c>
      <c r="Q1371" s="0" t="n">
        <v>1</v>
      </c>
      <c r="R1371" s="21" t="s">
        <v>69</v>
      </c>
      <c r="S1371" s="0" t="n">
        <v>9</v>
      </c>
      <c r="T1371" s="21" t="s">
        <v>4030</v>
      </c>
      <c r="U1371" s="22" t="b">
        <f aca="false">FALSE()</f>
        <v>0</v>
      </c>
      <c r="V1371" s="0" t="n">
        <v>0.67</v>
      </c>
      <c r="W1371" s="0" t="n">
        <v>0.64</v>
      </c>
      <c r="X1371" s="0" t="n">
        <v>9.69</v>
      </c>
      <c r="Y1371" s="0" t="n">
        <v>328.23</v>
      </c>
      <c r="Z1371" s="0" t="n">
        <v>12</v>
      </c>
      <c r="AA1371" s="0" t="n">
        <v>-0.21</v>
      </c>
      <c r="AB1371" s="0" t="n">
        <v>1.17</v>
      </c>
      <c r="AC1371" s="22" t="b">
        <f aca="false">TRUE()</f>
        <v>1</v>
      </c>
      <c r="AD1371" s="0" t="n">
        <v>14.08</v>
      </c>
      <c r="AE1371" s="0" t="n">
        <v>0.93</v>
      </c>
      <c r="AF1371" s="0" t="n">
        <v>10.49</v>
      </c>
      <c r="AG1371" s="22" t="b">
        <f aca="false">TRUE()</f>
        <v>1</v>
      </c>
      <c r="AH1371" s="0" t="n">
        <v>1</v>
      </c>
    </row>
    <row r="1372" customFormat="false" ht="15" hidden="false" customHeight="false" outlineLevel="0" collapsed="false">
      <c r="A1372" s="0" t="s">
        <v>2124</v>
      </c>
      <c r="B1372" s="0" t="s">
        <v>134</v>
      </c>
      <c r="C1372" s="0" t="s">
        <v>3447</v>
      </c>
      <c r="D1372" s="0" t="s">
        <v>3457</v>
      </c>
      <c r="E1372" s="19" t="s">
        <v>26</v>
      </c>
      <c r="F1372" s="19" t="s">
        <v>32</v>
      </c>
      <c r="G1372" s="21" t="s">
        <v>3885</v>
      </c>
      <c r="H1372" s="21" t="s">
        <v>24</v>
      </c>
      <c r="I1372" s="21" t="s">
        <v>26</v>
      </c>
      <c r="J1372" s="21" t="s">
        <v>24</v>
      </c>
      <c r="K1372" s="21" t="s">
        <v>25</v>
      </c>
      <c r="L1372" s="21" t="s">
        <v>24</v>
      </c>
      <c r="M1372" s="0" t="n">
        <v>190</v>
      </c>
      <c r="N1372" s="0" t="n">
        <v>9</v>
      </c>
      <c r="O1372" s="21" t="s">
        <v>3970</v>
      </c>
      <c r="P1372" s="21" t="s">
        <v>4713</v>
      </c>
      <c r="Q1372" s="0" t="n">
        <v>0</v>
      </c>
      <c r="S1372" s="0" t="n">
        <v>9</v>
      </c>
      <c r="T1372" s="21" t="s">
        <v>3970</v>
      </c>
      <c r="U1372" s="22" t="b">
        <f aca="false">FALSE()</f>
        <v>0</v>
      </c>
      <c r="V1372" s="0" t="n">
        <v>0.73</v>
      </c>
      <c r="W1372" s="0" t="n">
        <v>0.32</v>
      </c>
      <c r="X1372" s="0" t="n">
        <v>10.05</v>
      </c>
      <c r="Y1372" s="0" t="n">
        <v>402.8</v>
      </c>
      <c r="Z1372" s="0" t="n">
        <v>8</v>
      </c>
      <c r="AA1372" s="0" t="n">
        <v>-1.27</v>
      </c>
      <c r="AB1372" s="0" t="n">
        <v>1.07</v>
      </c>
      <c r="AC1372" s="22" t="b">
        <f aca="false">FALSE()</f>
        <v>0</v>
      </c>
      <c r="AD1372" s="0" t="n">
        <v>14.12</v>
      </c>
      <c r="AE1372" s="0" t="n">
        <v>1.19</v>
      </c>
      <c r="AF1372" s="0" t="n">
        <v>1.3</v>
      </c>
      <c r="AG1372" s="22" t="b">
        <f aca="false">TRUE()</f>
        <v>1</v>
      </c>
      <c r="AH1372" s="0" t="n">
        <v>1</v>
      </c>
    </row>
    <row r="1373" customFormat="false" ht="15" hidden="false" customHeight="false" outlineLevel="0" collapsed="false">
      <c r="A1373" s="0" t="s">
        <v>2124</v>
      </c>
      <c r="B1373" s="0" t="s">
        <v>134</v>
      </c>
      <c r="C1373" s="0" t="s">
        <v>3447</v>
      </c>
      <c r="D1373" s="0" t="s">
        <v>3448</v>
      </c>
      <c r="E1373" s="20" t="s">
        <v>25</v>
      </c>
      <c r="F1373" s="23" t="s">
        <v>30</v>
      </c>
      <c r="G1373" s="21" t="s">
        <v>2133</v>
      </c>
      <c r="H1373" s="21" t="s">
        <v>24</v>
      </c>
      <c r="I1373" s="21" t="s">
        <v>24</v>
      </c>
      <c r="J1373" s="21" t="s">
        <v>24</v>
      </c>
      <c r="K1373" s="21" t="s">
        <v>25</v>
      </c>
      <c r="L1373" s="21" t="s">
        <v>24</v>
      </c>
      <c r="M1373" s="0" t="n">
        <v>188</v>
      </c>
      <c r="N1373" s="0" t="n">
        <v>6</v>
      </c>
      <c r="O1373" s="21" t="s">
        <v>3794</v>
      </c>
      <c r="P1373" s="21" t="s">
        <v>4714</v>
      </c>
      <c r="Q1373" s="0" t="n">
        <v>0</v>
      </c>
      <c r="S1373" s="0" t="n">
        <v>6</v>
      </c>
      <c r="T1373" s="21" t="s">
        <v>3794</v>
      </c>
      <c r="U1373" s="22" t="b">
        <f aca="false">TRUE()</f>
        <v>1</v>
      </c>
      <c r="V1373" s="0" t="n">
        <v>0.71</v>
      </c>
      <c r="W1373" s="0" t="n">
        <v>0</v>
      </c>
      <c r="X1373" s="0" t="n">
        <v>11.08</v>
      </c>
      <c r="Y1373" s="0" t="n">
        <v>742.45</v>
      </c>
      <c r="Z1373" s="0" t="n">
        <v>9</v>
      </c>
      <c r="AA1373" s="0" t="n">
        <v>-0.61</v>
      </c>
      <c r="AB1373" s="0" t="n">
        <v>1.17</v>
      </c>
      <c r="AC1373" s="22" t="b">
        <f aca="false">FALSE()</f>
        <v>0</v>
      </c>
      <c r="AD1373" s="0" t="n">
        <v>13.77</v>
      </c>
      <c r="AE1373" s="0" t="n">
        <v>0.19</v>
      </c>
      <c r="AF1373" s="0" t="n">
        <v>9.15</v>
      </c>
      <c r="AG1373" s="22" t="b">
        <f aca="false">TRUE()</f>
        <v>1</v>
      </c>
      <c r="AH1373" s="0" t="n">
        <v>1</v>
      </c>
    </row>
    <row r="1374" customFormat="false" ht="15" hidden="false" customHeight="false" outlineLevel="0" collapsed="false">
      <c r="A1374" s="0" t="s">
        <v>2130</v>
      </c>
      <c r="B1374" s="0" t="s">
        <v>134</v>
      </c>
      <c r="C1374" s="0" t="s">
        <v>3450</v>
      </c>
      <c r="D1374" s="0" t="s">
        <v>3457</v>
      </c>
      <c r="E1374" s="20" t="s">
        <v>25</v>
      </c>
      <c r="F1374" s="20" t="s">
        <v>29</v>
      </c>
      <c r="G1374" s="21" t="s">
        <v>63</v>
      </c>
      <c r="H1374" s="21" t="s">
        <v>24</v>
      </c>
      <c r="I1374" s="21" t="s">
        <v>24</v>
      </c>
      <c r="J1374" s="21" t="s">
        <v>24</v>
      </c>
      <c r="K1374" s="21" t="s">
        <v>25</v>
      </c>
      <c r="L1374" s="21" t="s">
        <v>24</v>
      </c>
      <c r="M1374" s="0" t="n">
        <v>189</v>
      </c>
      <c r="N1374" s="0" t="n">
        <v>0</v>
      </c>
      <c r="Q1374" s="0" t="n">
        <v>0</v>
      </c>
      <c r="S1374" s="0" t="n">
        <v>0</v>
      </c>
      <c r="U1374" s="22" t="b">
        <f aca="false">FALSE()</f>
        <v>0</v>
      </c>
      <c r="V1374" s="0" t="n">
        <v>0.73</v>
      </c>
      <c r="W1374" s="0" t="n">
        <v>0.88</v>
      </c>
      <c r="X1374" s="0" t="n">
        <v>6.15</v>
      </c>
      <c r="Y1374" s="0" t="n">
        <v>306.5</v>
      </c>
      <c r="Z1374" s="0" t="n">
        <v>11</v>
      </c>
      <c r="AA1374" s="0" t="n">
        <v>4.32</v>
      </c>
      <c r="AB1374" s="0" t="n">
        <v>0.68</v>
      </c>
      <c r="AC1374" s="22" t="b">
        <f aca="false">FALSE()</f>
        <v>0</v>
      </c>
      <c r="AD1374" s="0" t="n">
        <v>18.16</v>
      </c>
      <c r="AE1374" s="0" t="n">
        <v>1.17</v>
      </c>
      <c r="AF1374" s="0" t="n">
        <v>10.66</v>
      </c>
      <c r="AG1374" s="22" t="b">
        <f aca="false">TRUE()</f>
        <v>1</v>
      </c>
      <c r="AH1374" s="0" t="n">
        <v>1</v>
      </c>
    </row>
    <row r="1375" customFormat="false" ht="15" hidden="false" customHeight="false" outlineLevel="0" collapsed="false">
      <c r="A1375" s="0" t="s">
        <v>2130</v>
      </c>
      <c r="B1375" s="0" t="s">
        <v>134</v>
      </c>
      <c r="C1375" s="0" t="s">
        <v>3450</v>
      </c>
      <c r="D1375" s="0" t="s">
        <v>3448</v>
      </c>
      <c r="E1375" s="20" t="s">
        <v>25</v>
      </c>
      <c r="F1375" s="20" t="s">
        <v>29</v>
      </c>
      <c r="G1375" s="21" t="s">
        <v>63</v>
      </c>
      <c r="H1375" s="21" t="s">
        <v>24</v>
      </c>
      <c r="I1375" s="21" t="s">
        <v>24</v>
      </c>
      <c r="J1375" s="21" t="s">
        <v>24</v>
      </c>
      <c r="K1375" s="21" t="s">
        <v>25</v>
      </c>
      <c r="L1375" s="21" t="s">
        <v>24</v>
      </c>
      <c r="M1375" s="0" t="n">
        <v>208</v>
      </c>
      <c r="N1375" s="0" t="n">
        <v>0</v>
      </c>
      <c r="Q1375" s="0" t="n">
        <v>0</v>
      </c>
      <c r="S1375" s="0" t="n">
        <v>0</v>
      </c>
      <c r="U1375" s="22" t="b">
        <f aca="false">FALSE()</f>
        <v>0</v>
      </c>
      <c r="V1375" s="0" t="n">
        <v>0.76</v>
      </c>
      <c r="W1375" s="0" t="n">
        <v>0.16</v>
      </c>
      <c r="X1375" s="0" t="n">
        <v>6.88</v>
      </c>
      <c r="Y1375" s="0" t="n">
        <v>607.75</v>
      </c>
      <c r="Z1375" s="0" t="n">
        <v>9.75</v>
      </c>
      <c r="AA1375" s="0" t="n">
        <v>4.98</v>
      </c>
      <c r="AB1375" s="0" t="n">
        <v>1.48</v>
      </c>
      <c r="AC1375" s="22" t="b">
        <f aca="false">FALSE()</f>
        <v>0</v>
      </c>
      <c r="AD1375" s="0" t="n">
        <v>4.83</v>
      </c>
      <c r="AE1375" s="0" t="n">
        <v>0.66</v>
      </c>
      <c r="AF1375" s="0" t="n">
        <v>6.05</v>
      </c>
      <c r="AG1375" s="22" t="b">
        <f aca="false">FALSE()</f>
        <v>0</v>
      </c>
      <c r="AH1375" s="0" t="n">
        <v>1</v>
      </c>
    </row>
    <row r="1376" customFormat="false" ht="15" hidden="false" customHeight="false" outlineLevel="0" collapsed="false">
      <c r="A1376" s="0" t="s">
        <v>2130</v>
      </c>
      <c r="B1376" s="0" t="s">
        <v>134</v>
      </c>
      <c r="C1376" s="0" t="s">
        <v>3447</v>
      </c>
      <c r="D1376" s="0" t="s">
        <v>3457</v>
      </c>
      <c r="E1376" s="20" t="s">
        <v>25</v>
      </c>
      <c r="F1376" s="23" t="s">
        <v>30</v>
      </c>
      <c r="G1376" s="21" t="s">
        <v>2133</v>
      </c>
      <c r="H1376" s="21" t="s">
        <v>24</v>
      </c>
      <c r="I1376" s="21" t="s">
        <v>24</v>
      </c>
      <c r="J1376" s="21" t="s">
        <v>24</v>
      </c>
      <c r="K1376" s="21" t="s">
        <v>25</v>
      </c>
      <c r="L1376" s="21" t="s">
        <v>24</v>
      </c>
      <c r="M1376" s="0" t="n">
        <v>188</v>
      </c>
      <c r="N1376" s="0" t="n">
        <v>4</v>
      </c>
      <c r="O1376" s="21" t="s">
        <v>3670</v>
      </c>
      <c r="P1376" s="21" t="s">
        <v>4715</v>
      </c>
      <c r="Q1376" s="0" t="n">
        <v>0</v>
      </c>
      <c r="S1376" s="0" t="n">
        <v>4</v>
      </c>
      <c r="T1376" s="21" t="s">
        <v>3670</v>
      </c>
      <c r="U1376" s="22" t="b">
        <f aca="false">TRUE()</f>
        <v>1</v>
      </c>
      <c r="V1376" s="0" t="n">
        <v>0.74</v>
      </c>
      <c r="W1376" s="0" t="n">
        <v>0.92</v>
      </c>
      <c r="X1376" s="0" t="n">
        <v>7.07</v>
      </c>
      <c r="Y1376" s="0" t="n">
        <v>312.19</v>
      </c>
      <c r="Z1376" s="0" t="n">
        <v>9.08</v>
      </c>
      <c r="AA1376" s="0" t="n">
        <v>-1.29</v>
      </c>
      <c r="AB1376" s="0" t="n">
        <v>0.68</v>
      </c>
      <c r="AC1376" s="22" t="b">
        <f aca="false">FALSE()</f>
        <v>0</v>
      </c>
      <c r="AD1376" s="0" t="n">
        <v>16.14</v>
      </c>
      <c r="AE1376" s="0" t="n">
        <v>0.5</v>
      </c>
      <c r="AF1376" s="0" t="n">
        <v>11.67</v>
      </c>
      <c r="AG1376" s="22" t="b">
        <f aca="false">TRUE()</f>
        <v>1</v>
      </c>
      <c r="AH1376" s="0" t="n">
        <v>1</v>
      </c>
    </row>
    <row r="1377" customFormat="false" ht="15" hidden="false" customHeight="false" outlineLevel="0" collapsed="false">
      <c r="A1377" s="0" t="s">
        <v>2130</v>
      </c>
      <c r="B1377" s="0" t="s">
        <v>134</v>
      </c>
      <c r="C1377" s="0" t="s">
        <v>3447</v>
      </c>
      <c r="D1377" s="0" t="s">
        <v>3448</v>
      </c>
      <c r="E1377" s="20" t="s">
        <v>25</v>
      </c>
      <c r="F1377" s="23" t="s">
        <v>30</v>
      </c>
      <c r="G1377" s="21" t="s">
        <v>2133</v>
      </c>
      <c r="H1377" s="21" t="s">
        <v>24</v>
      </c>
      <c r="I1377" s="21" t="s">
        <v>24</v>
      </c>
      <c r="J1377" s="21" t="s">
        <v>24</v>
      </c>
      <c r="K1377" s="21" t="s">
        <v>25</v>
      </c>
      <c r="L1377" s="21" t="s">
        <v>24</v>
      </c>
      <c r="M1377" s="0" t="n">
        <v>192</v>
      </c>
      <c r="N1377" s="0" t="n">
        <v>1</v>
      </c>
      <c r="O1377" s="21" t="s">
        <v>3484</v>
      </c>
      <c r="P1377" s="21" t="s">
        <v>4512</v>
      </c>
      <c r="Q1377" s="0" t="n">
        <v>0</v>
      </c>
      <c r="S1377" s="0" t="n">
        <v>1</v>
      </c>
      <c r="T1377" s="21" t="s">
        <v>3484</v>
      </c>
      <c r="U1377" s="22" t="b">
        <f aca="false">TRUE()</f>
        <v>1</v>
      </c>
      <c r="V1377" s="0" t="n">
        <v>0.75</v>
      </c>
      <c r="W1377" s="0" t="n">
        <v>0.44</v>
      </c>
      <c r="X1377" s="0" t="n">
        <v>7.76</v>
      </c>
      <c r="Y1377" s="0" t="n">
        <v>340.74</v>
      </c>
      <c r="Z1377" s="0" t="n">
        <v>11.08</v>
      </c>
      <c r="AA1377" s="0" t="n">
        <v>2.35</v>
      </c>
      <c r="AB1377" s="0" t="n">
        <v>1.48</v>
      </c>
      <c r="AC1377" s="22" t="b">
        <f aca="false">FALSE()</f>
        <v>0</v>
      </c>
      <c r="AD1377" s="0" t="n">
        <v>4.84</v>
      </c>
      <c r="AE1377" s="0" t="n">
        <v>0.24</v>
      </c>
      <c r="AF1377" s="0" t="n">
        <v>4.84</v>
      </c>
      <c r="AG1377" s="22" t="b">
        <f aca="false">FALSE()</f>
        <v>0</v>
      </c>
      <c r="AH1377" s="0" t="n">
        <v>1</v>
      </c>
    </row>
    <row r="1378" customFormat="false" ht="15" hidden="false" customHeight="false" outlineLevel="0" collapsed="false">
      <c r="A1378" s="0" t="s">
        <v>2137</v>
      </c>
      <c r="B1378" s="0" t="s">
        <v>134</v>
      </c>
      <c r="C1378" s="0" t="s">
        <v>3450</v>
      </c>
      <c r="D1378" s="0" t="s">
        <v>3457</v>
      </c>
      <c r="E1378" s="20" t="s">
        <v>25</v>
      </c>
      <c r="F1378" s="20" t="s">
        <v>29</v>
      </c>
      <c r="G1378" s="21" t="s">
        <v>63</v>
      </c>
      <c r="H1378" s="21" t="s">
        <v>24</v>
      </c>
      <c r="I1378" s="21" t="s">
        <v>24</v>
      </c>
      <c r="J1378" s="21" t="s">
        <v>24</v>
      </c>
      <c r="K1378" s="21" t="s">
        <v>25</v>
      </c>
      <c r="L1378" s="21" t="s">
        <v>24</v>
      </c>
      <c r="M1378" s="0" t="n">
        <v>196</v>
      </c>
      <c r="N1378" s="0" t="n">
        <v>0</v>
      </c>
      <c r="Q1378" s="0" t="n">
        <v>0</v>
      </c>
      <c r="S1378" s="0" t="n">
        <v>0</v>
      </c>
      <c r="U1378" s="22" t="b">
        <f aca="false">FALSE()</f>
        <v>0</v>
      </c>
      <c r="V1378" s="0" t="n">
        <v>0.74</v>
      </c>
      <c r="W1378" s="0" t="n">
        <v>0.6</v>
      </c>
      <c r="X1378" s="0" t="n">
        <v>8.79</v>
      </c>
      <c r="Y1378" s="0" t="n">
        <v>342.86</v>
      </c>
      <c r="Z1378" s="0" t="n">
        <v>10</v>
      </c>
      <c r="AA1378" s="0" t="n">
        <v>7.55</v>
      </c>
      <c r="AB1378" s="0" t="n">
        <v>1.01</v>
      </c>
      <c r="AC1378" s="22" t="b">
        <f aca="false">FALSE()</f>
        <v>0</v>
      </c>
      <c r="AD1378" s="0" t="n">
        <v>1.71</v>
      </c>
      <c r="AE1378" s="0" t="n">
        <v>0.48</v>
      </c>
      <c r="AF1378" s="0" t="n">
        <v>10.58</v>
      </c>
      <c r="AG1378" s="22" t="b">
        <f aca="false">FALSE()</f>
        <v>0</v>
      </c>
      <c r="AH1378" s="0" t="n">
        <v>1</v>
      </c>
    </row>
    <row r="1379" customFormat="false" ht="15" hidden="false" customHeight="false" outlineLevel="0" collapsed="false">
      <c r="A1379" s="0" t="s">
        <v>2137</v>
      </c>
      <c r="B1379" s="0" t="s">
        <v>134</v>
      </c>
      <c r="C1379" s="0" t="s">
        <v>3450</v>
      </c>
      <c r="D1379" s="0" t="s">
        <v>3448</v>
      </c>
      <c r="E1379" s="20" t="s">
        <v>25</v>
      </c>
      <c r="F1379" s="20" t="s">
        <v>29</v>
      </c>
      <c r="G1379" s="21" t="s">
        <v>3466</v>
      </c>
      <c r="H1379" s="21" t="s">
        <v>24</v>
      </c>
      <c r="I1379" s="21" t="s">
        <v>24</v>
      </c>
      <c r="J1379" s="21" t="s">
        <v>24</v>
      </c>
      <c r="K1379" s="21" t="s">
        <v>25</v>
      </c>
      <c r="L1379" s="21" t="s">
        <v>24</v>
      </c>
      <c r="M1379" s="0" t="n">
        <v>184</v>
      </c>
      <c r="N1379" s="0" t="n">
        <v>0</v>
      </c>
      <c r="Q1379" s="0" t="n">
        <v>0</v>
      </c>
      <c r="S1379" s="0" t="n">
        <v>0</v>
      </c>
      <c r="U1379" s="22" t="b">
        <f aca="false">FALSE()</f>
        <v>0</v>
      </c>
      <c r="V1379" s="0" t="n">
        <v>0.78</v>
      </c>
      <c r="W1379" s="0" t="n">
        <v>0.8</v>
      </c>
      <c r="X1379" s="0" t="n">
        <v>7.37</v>
      </c>
      <c r="Y1379" s="0" t="n">
        <v>322.69</v>
      </c>
      <c r="Z1379" s="0" t="n">
        <v>9.5</v>
      </c>
      <c r="AA1379" s="0" t="n">
        <v>-0.77</v>
      </c>
      <c r="AB1379" s="0" t="n">
        <v>1.03</v>
      </c>
      <c r="AC1379" s="22" t="b">
        <f aca="false">TRUE()</f>
        <v>1</v>
      </c>
      <c r="AD1379" s="0" t="n">
        <v>1.92</v>
      </c>
      <c r="AE1379" s="0" t="n">
        <v>0.17</v>
      </c>
      <c r="AF1379" s="0" t="n">
        <v>5.74</v>
      </c>
      <c r="AG1379" s="22" t="b">
        <f aca="false">FALSE()</f>
        <v>0</v>
      </c>
      <c r="AH1379" s="0" t="n">
        <v>1</v>
      </c>
    </row>
    <row r="1380" customFormat="false" ht="15" hidden="false" customHeight="false" outlineLevel="0" collapsed="false">
      <c r="A1380" s="0" t="s">
        <v>2137</v>
      </c>
      <c r="B1380" s="0" t="s">
        <v>134</v>
      </c>
      <c r="C1380" s="0" t="s">
        <v>3447</v>
      </c>
      <c r="D1380" s="0" t="s">
        <v>3457</v>
      </c>
      <c r="E1380" s="20" t="s">
        <v>25</v>
      </c>
      <c r="F1380" s="20" t="s">
        <v>29</v>
      </c>
      <c r="G1380" s="21" t="s">
        <v>63</v>
      </c>
      <c r="H1380" s="21" t="s">
        <v>24</v>
      </c>
      <c r="I1380" s="21" t="s">
        <v>24</v>
      </c>
      <c r="J1380" s="21" t="s">
        <v>24</v>
      </c>
      <c r="K1380" s="21" t="s">
        <v>25</v>
      </c>
      <c r="L1380" s="21" t="s">
        <v>24</v>
      </c>
      <c r="M1380" s="0" t="n">
        <v>186</v>
      </c>
      <c r="N1380" s="0" t="n">
        <v>0</v>
      </c>
      <c r="Q1380" s="0" t="n">
        <v>0</v>
      </c>
      <c r="S1380" s="0" t="n">
        <v>0</v>
      </c>
      <c r="U1380" s="22" t="b">
        <f aca="false">FALSE()</f>
        <v>0</v>
      </c>
      <c r="V1380" s="0" t="n">
        <v>0.75</v>
      </c>
      <c r="W1380" s="0" t="n">
        <v>0.92</v>
      </c>
      <c r="X1380" s="0" t="n">
        <v>6.11</v>
      </c>
      <c r="Y1380" s="0" t="n">
        <v>323.57</v>
      </c>
      <c r="Z1380" s="0" t="n">
        <v>8</v>
      </c>
      <c r="AA1380" s="0" t="n">
        <v>-1.07</v>
      </c>
      <c r="AB1380" s="0" t="n">
        <v>1.01</v>
      </c>
      <c r="AC1380" s="22" t="b">
        <f aca="false">FALSE()</f>
        <v>0</v>
      </c>
      <c r="AD1380" s="0" t="n">
        <v>0.51</v>
      </c>
      <c r="AE1380" s="0" t="n">
        <v>0.19</v>
      </c>
      <c r="AF1380" s="0" t="n">
        <v>5.2</v>
      </c>
      <c r="AG1380" s="22" t="b">
        <f aca="false">FALSE()</f>
        <v>0</v>
      </c>
      <c r="AH1380" s="0" t="n">
        <v>1</v>
      </c>
    </row>
    <row r="1381" customFormat="false" ht="15" hidden="false" customHeight="false" outlineLevel="0" collapsed="false">
      <c r="A1381" s="0" t="s">
        <v>2137</v>
      </c>
      <c r="B1381" s="0" t="s">
        <v>134</v>
      </c>
      <c r="C1381" s="0" t="s">
        <v>3447</v>
      </c>
      <c r="D1381" s="0" t="s">
        <v>3448</v>
      </c>
      <c r="E1381" s="20" t="s">
        <v>25</v>
      </c>
      <c r="F1381" s="20" t="s">
        <v>29</v>
      </c>
      <c r="G1381" s="21" t="s">
        <v>63</v>
      </c>
      <c r="H1381" s="21" t="s">
        <v>24</v>
      </c>
      <c r="I1381" s="21" t="s">
        <v>24</v>
      </c>
      <c r="J1381" s="21" t="s">
        <v>24</v>
      </c>
      <c r="K1381" s="21" t="s">
        <v>25</v>
      </c>
      <c r="L1381" s="21" t="s">
        <v>24</v>
      </c>
      <c r="M1381" s="0" t="n">
        <v>184</v>
      </c>
      <c r="N1381" s="0" t="n">
        <v>0</v>
      </c>
      <c r="Q1381" s="0" t="n">
        <v>0</v>
      </c>
      <c r="S1381" s="0" t="n">
        <v>0</v>
      </c>
      <c r="U1381" s="22" t="b">
        <f aca="false">FALSE()</f>
        <v>0</v>
      </c>
      <c r="V1381" s="0" t="n">
        <v>0.79</v>
      </c>
      <c r="W1381" s="0" t="n">
        <v>0.84</v>
      </c>
      <c r="X1381" s="0" t="n">
        <v>6.73</v>
      </c>
      <c r="Y1381" s="0" t="n">
        <v>321.82</v>
      </c>
      <c r="Z1381" s="0" t="n">
        <v>8</v>
      </c>
      <c r="AA1381" s="0" t="n">
        <v>-1.32</v>
      </c>
      <c r="AB1381" s="0" t="n">
        <v>1.03</v>
      </c>
      <c r="AC1381" s="22" t="b">
        <f aca="false">FALSE()</f>
        <v>0</v>
      </c>
      <c r="AD1381" s="0" t="n">
        <v>1.37</v>
      </c>
      <c r="AE1381" s="0" t="n">
        <v>0.22</v>
      </c>
      <c r="AF1381" s="0" t="n">
        <v>5.75</v>
      </c>
      <c r="AG1381" s="22" t="b">
        <f aca="false">FALSE()</f>
        <v>0</v>
      </c>
      <c r="AH1381" s="0" t="n">
        <v>1</v>
      </c>
    </row>
    <row r="1382" customFormat="false" ht="15" hidden="false" customHeight="false" outlineLevel="0" collapsed="false">
      <c r="A1382" s="0" t="s">
        <v>2137</v>
      </c>
      <c r="B1382" s="0" t="s">
        <v>3459</v>
      </c>
      <c r="C1382" s="0" t="s">
        <v>3450</v>
      </c>
      <c r="D1382" s="0" t="s">
        <v>3457</v>
      </c>
      <c r="E1382" s="20" t="s">
        <v>25</v>
      </c>
      <c r="F1382" s="23" t="s">
        <v>30</v>
      </c>
      <c r="G1382" s="21" t="s">
        <v>183</v>
      </c>
      <c r="H1382" s="21" t="s">
        <v>24</v>
      </c>
      <c r="I1382" s="21" t="s">
        <v>25</v>
      </c>
      <c r="J1382" s="21" t="s">
        <v>24</v>
      </c>
      <c r="K1382" s="21" t="s">
        <v>25</v>
      </c>
      <c r="L1382" s="21" t="s">
        <v>24</v>
      </c>
      <c r="M1382" s="0" t="n">
        <v>183</v>
      </c>
      <c r="N1382" s="0" t="n">
        <v>1</v>
      </c>
      <c r="O1382" s="21" t="s">
        <v>69</v>
      </c>
      <c r="P1382" s="21" t="s">
        <v>4275</v>
      </c>
      <c r="Q1382" s="0" t="n">
        <v>1</v>
      </c>
      <c r="R1382" s="21" t="s">
        <v>69</v>
      </c>
      <c r="S1382" s="0" t="n">
        <v>1</v>
      </c>
      <c r="T1382" s="21" t="s">
        <v>69</v>
      </c>
      <c r="U1382" s="22" t="b">
        <f aca="false">TRUE()</f>
        <v>1</v>
      </c>
      <c r="V1382" s="0" t="n">
        <v>0.76</v>
      </c>
      <c r="W1382" s="0" t="n">
        <v>0.24</v>
      </c>
      <c r="X1382" s="0" t="n">
        <v>8.18</v>
      </c>
      <c r="Y1382" s="0" t="n">
        <v>388.48</v>
      </c>
      <c r="Z1382" s="0" t="n">
        <v>9.67</v>
      </c>
      <c r="AA1382" s="0" t="n">
        <v>17.51</v>
      </c>
      <c r="AB1382" s="0" t="n">
        <v>17.31</v>
      </c>
      <c r="AC1382" s="22" t="b">
        <f aca="false">FALSE()</f>
        <v>0</v>
      </c>
      <c r="AD1382" s="0" t="n">
        <v>23.64</v>
      </c>
      <c r="AE1382" s="0" t="n">
        <v>11.9</v>
      </c>
      <c r="AF1382" s="0" t="n">
        <v>18.35</v>
      </c>
      <c r="AG1382" s="22" t="b">
        <f aca="false">TRUE()</f>
        <v>1</v>
      </c>
      <c r="AH1382" s="0" t="n">
        <v>1</v>
      </c>
    </row>
    <row r="1383" customFormat="false" ht="15" hidden="false" customHeight="false" outlineLevel="0" collapsed="false">
      <c r="A1383" s="0" t="s">
        <v>2137</v>
      </c>
      <c r="B1383" s="0" t="s">
        <v>3459</v>
      </c>
      <c r="C1383" s="0" t="s">
        <v>3450</v>
      </c>
      <c r="D1383" s="0" t="s">
        <v>3448</v>
      </c>
      <c r="E1383" s="20" t="s">
        <v>25</v>
      </c>
      <c r="F1383" s="23" t="s">
        <v>30</v>
      </c>
      <c r="G1383" s="21" t="s">
        <v>283</v>
      </c>
      <c r="H1383" s="21" t="s">
        <v>24</v>
      </c>
      <c r="I1383" s="21" t="s">
        <v>25</v>
      </c>
      <c r="J1383" s="21" t="s">
        <v>24</v>
      </c>
      <c r="K1383" s="21" t="s">
        <v>24</v>
      </c>
      <c r="L1383" s="21" t="s">
        <v>24</v>
      </c>
      <c r="M1383" s="0" t="n">
        <v>188</v>
      </c>
      <c r="N1383" s="0" t="n">
        <v>1</v>
      </c>
      <c r="O1383" s="21" t="s">
        <v>69</v>
      </c>
      <c r="P1383" s="21" t="s">
        <v>4275</v>
      </c>
      <c r="Q1383" s="0" t="n">
        <v>1</v>
      </c>
      <c r="R1383" s="21" t="s">
        <v>69</v>
      </c>
      <c r="S1383" s="0" t="n">
        <v>1</v>
      </c>
      <c r="T1383" s="21" t="s">
        <v>69</v>
      </c>
      <c r="U1383" s="22" t="b">
        <f aca="false">TRUE()</f>
        <v>1</v>
      </c>
      <c r="V1383" s="0" t="n">
        <v>0.78</v>
      </c>
      <c r="W1383" s="0" t="n">
        <v>0.48</v>
      </c>
      <c r="X1383" s="0" t="n">
        <v>7.04</v>
      </c>
      <c r="Y1383" s="0" t="n">
        <v>343.27</v>
      </c>
      <c r="Z1383" s="0" t="n">
        <v>9.5</v>
      </c>
      <c r="AA1383" s="0" t="n">
        <v>9.19</v>
      </c>
      <c r="AB1383" s="0" t="n">
        <v>4.14</v>
      </c>
      <c r="AC1383" s="22" t="b">
        <f aca="false">FALSE()</f>
        <v>0</v>
      </c>
      <c r="AD1383" s="0" t="n">
        <v>19.25</v>
      </c>
      <c r="AE1383" s="0" t="n">
        <v>11.17</v>
      </c>
      <c r="AF1383" s="0" t="n">
        <v>17.32</v>
      </c>
      <c r="AG1383" s="22" t="b">
        <f aca="false">TRUE()</f>
        <v>1</v>
      </c>
      <c r="AH1383" s="0" t="n">
        <v>1</v>
      </c>
    </row>
    <row r="1384" customFormat="false" ht="15" hidden="false" customHeight="false" outlineLevel="0" collapsed="false">
      <c r="A1384" s="0" t="s">
        <v>2137</v>
      </c>
      <c r="B1384" s="0" t="s">
        <v>3459</v>
      </c>
      <c r="C1384" s="0" t="s">
        <v>3447</v>
      </c>
      <c r="D1384" s="0" t="s">
        <v>3457</v>
      </c>
      <c r="E1384" s="20" t="s">
        <v>25</v>
      </c>
      <c r="F1384" s="20" t="s">
        <v>29</v>
      </c>
      <c r="G1384" s="21" t="s">
        <v>61</v>
      </c>
      <c r="H1384" s="21" t="s">
        <v>24</v>
      </c>
      <c r="I1384" s="21" t="s">
        <v>24</v>
      </c>
      <c r="J1384" s="21" t="s">
        <v>24</v>
      </c>
      <c r="K1384" s="21" t="s">
        <v>25</v>
      </c>
      <c r="L1384" s="21" t="s">
        <v>24</v>
      </c>
      <c r="M1384" s="0" t="n">
        <v>184</v>
      </c>
      <c r="N1384" s="0" t="n">
        <v>0</v>
      </c>
      <c r="Q1384" s="0" t="n">
        <v>0</v>
      </c>
      <c r="S1384" s="0" t="n">
        <v>0</v>
      </c>
      <c r="U1384" s="22" t="b">
        <f aca="false">FALSE()</f>
        <v>0</v>
      </c>
      <c r="V1384" s="0" t="n">
        <v>0.75</v>
      </c>
      <c r="W1384" s="0" t="n">
        <v>0.76</v>
      </c>
      <c r="X1384" s="0" t="n">
        <v>5.72</v>
      </c>
      <c r="Y1384" s="0" t="n">
        <v>304.42</v>
      </c>
      <c r="Z1384" s="0" t="n">
        <v>8.33</v>
      </c>
      <c r="AA1384" s="0" t="n">
        <v>0.28</v>
      </c>
      <c r="AB1384" s="0" t="n">
        <v>17.31</v>
      </c>
      <c r="AC1384" s="22" t="b">
        <f aca="false">FALSE()</f>
        <v>0</v>
      </c>
      <c r="AD1384" s="0" t="n">
        <v>21.34</v>
      </c>
      <c r="AE1384" s="0" t="n">
        <v>10.72</v>
      </c>
      <c r="AF1384" s="0" t="n">
        <v>17.87</v>
      </c>
      <c r="AG1384" s="22" t="b">
        <f aca="false">TRUE()</f>
        <v>1</v>
      </c>
      <c r="AH1384" s="0" t="n">
        <v>1</v>
      </c>
    </row>
    <row r="1385" customFormat="false" ht="15" hidden="false" customHeight="false" outlineLevel="0" collapsed="false">
      <c r="A1385" s="0" t="s">
        <v>2137</v>
      </c>
      <c r="B1385" s="0" t="s">
        <v>3459</v>
      </c>
      <c r="C1385" s="0" t="s">
        <v>3447</v>
      </c>
      <c r="D1385" s="0" t="s">
        <v>3448</v>
      </c>
      <c r="E1385" s="20" t="s">
        <v>25</v>
      </c>
      <c r="F1385" s="23" t="s">
        <v>30</v>
      </c>
      <c r="G1385" s="21" t="s">
        <v>992</v>
      </c>
      <c r="H1385" s="21" t="s">
        <v>24</v>
      </c>
      <c r="I1385" s="21" t="s">
        <v>24</v>
      </c>
      <c r="J1385" s="21" t="s">
        <v>24</v>
      </c>
      <c r="K1385" s="21" t="s">
        <v>25</v>
      </c>
      <c r="L1385" s="21" t="s">
        <v>24</v>
      </c>
      <c r="M1385" s="0" t="n">
        <v>228</v>
      </c>
      <c r="N1385" s="0" t="n">
        <v>1</v>
      </c>
      <c r="O1385" s="21" t="s">
        <v>3474</v>
      </c>
      <c r="P1385" s="21" t="s">
        <v>4272</v>
      </c>
      <c r="Q1385" s="0" t="n">
        <v>0</v>
      </c>
      <c r="S1385" s="0" t="n">
        <v>1</v>
      </c>
      <c r="T1385" s="21" t="s">
        <v>3474</v>
      </c>
      <c r="U1385" s="22" t="b">
        <f aca="false">TRUE()</f>
        <v>1</v>
      </c>
      <c r="V1385" s="0" t="n">
        <v>0.82</v>
      </c>
      <c r="W1385" s="0" t="n">
        <v>0.36</v>
      </c>
      <c r="X1385" s="0" t="n">
        <v>6</v>
      </c>
      <c r="Y1385" s="0" t="n">
        <v>470.92</v>
      </c>
      <c r="Z1385" s="0" t="n">
        <v>9.83</v>
      </c>
      <c r="AA1385" s="0" t="n">
        <v>5.78</v>
      </c>
      <c r="AB1385" s="0" t="n">
        <v>4.14</v>
      </c>
      <c r="AC1385" s="22" t="b">
        <f aca="false">FALSE()</f>
        <v>0</v>
      </c>
      <c r="AD1385" s="0" t="n">
        <v>20.99</v>
      </c>
      <c r="AE1385" s="0" t="n">
        <v>12.57</v>
      </c>
      <c r="AF1385" s="0" t="n">
        <v>17.67</v>
      </c>
      <c r="AG1385" s="22" t="b">
        <f aca="false">TRUE()</f>
        <v>1</v>
      </c>
      <c r="AH1385" s="0" t="n">
        <v>1</v>
      </c>
    </row>
    <row r="1386" customFormat="false" ht="15" hidden="false" customHeight="false" outlineLevel="0" collapsed="false">
      <c r="A1386" s="0" t="s">
        <v>2143</v>
      </c>
      <c r="B1386" s="0" t="s">
        <v>134</v>
      </c>
      <c r="C1386" s="0" t="s">
        <v>3450</v>
      </c>
      <c r="D1386" s="0" t="s">
        <v>3457</v>
      </c>
      <c r="E1386" s="18" t="s">
        <v>24</v>
      </c>
      <c r="F1386" s="23" t="s">
        <v>30</v>
      </c>
      <c r="G1386" s="21" t="s">
        <v>30</v>
      </c>
      <c r="H1386" s="21" t="s">
        <v>24</v>
      </c>
      <c r="I1386" s="21" t="s">
        <v>24</v>
      </c>
      <c r="J1386" s="21" t="s">
        <v>24</v>
      </c>
      <c r="K1386" s="21" t="s">
        <v>24</v>
      </c>
      <c r="L1386" s="21" t="s">
        <v>24</v>
      </c>
      <c r="M1386" s="0" t="n">
        <v>189</v>
      </c>
      <c r="N1386" s="0" t="n">
        <v>1</v>
      </c>
      <c r="O1386" s="21" t="s">
        <v>3482</v>
      </c>
      <c r="P1386" s="21" t="s">
        <v>4716</v>
      </c>
      <c r="Q1386" s="0" t="n">
        <v>0</v>
      </c>
      <c r="S1386" s="0" t="n">
        <v>1</v>
      </c>
      <c r="T1386" s="21" t="s">
        <v>3482</v>
      </c>
      <c r="U1386" s="22" t="b">
        <f aca="false">TRUE()</f>
        <v>1</v>
      </c>
      <c r="V1386" s="0" t="n">
        <v>0.71</v>
      </c>
      <c r="W1386" s="0" t="n">
        <v>0.48</v>
      </c>
      <c r="X1386" s="0" t="n">
        <v>5.41</v>
      </c>
      <c r="Y1386" s="0" t="n">
        <v>327.7</v>
      </c>
      <c r="Z1386" s="0" t="n">
        <v>8.5</v>
      </c>
      <c r="AA1386" s="0" t="n">
        <v>6.34</v>
      </c>
      <c r="AB1386" s="0" t="n">
        <v>1.78</v>
      </c>
      <c r="AC1386" s="22" t="b">
        <f aca="false">FALSE()</f>
        <v>0</v>
      </c>
      <c r="AD1386" s="0" t="n">
        <v>16.85</v>
      </c>
      <c r="AE1386" s="0" t="n">
        <v>2.07</v>
      </c>
      <c r="AF1386" s="0" t="n">
        <v>13.98</v>
      </c>
      <c r="AG1386" s="22" t="b">
        <f aca="false">TRUE()</f>
        <v>1</v>
      </c>
      <c r="AH1386" s="0" t="n">
        <v>1</v>
      </c>
    </row>
    <row r="1387" customFormat="false" ht="15" hidden="false" customHeight="false" outlineLevel="0" collapsed="false">
      <c r="A1387" s="0" t="s">
        <v>2143</v>
      </c>
      <c r="B1387" s="0" t="s">
        <v>134</v>
      </c>
      <c r="C1387" s="0" t="s">
        <v>3450</v>
      </c>
      <c r="D1387" s="0" t="s">
        <v>3448</v>
      </c>
      <c r="E1387" s="20" t="s">
        <v>25</v>
      </c>
      <c r="F1387" s="20" t="s">
        <v>29</v>
      </c>
      <c r="G1387" s="21" t="s">
        <v>3466</v>
      </c>
      <c r="H1387" s="21" t="s">
        <v>24</v>
      </c>
      <c r="I1387" s="21" t="s">
        <v>24</v>
      </c>
      <c r="J1387" s="21" t="s">
        <v>24</v>
      </c>
      <c r="K1387" s="21" t="s">
        <v>25</v>
      </c>
      <c r="L1387" s="21" t="s">
        <v>24</v>
      </c>
      <c r="M1387" s="0" t="n">
        <v>206</v>
      </c>
      <c r="N1387" s="0" t="n">
        <v>0</v>
      </c>
      <c r="Q1387" s="0" t="n">
        <v>0</v>
      </c>
      <c r="S1387" s="0" t="n">
        <v>0</v>
      </c>
      <c r="U1387" s="22" t="b">
        <f aca="false">FALSE()</f>
        <v>0</v>
      </c>
      <c r="V1387" s="0" t="n">
        <v>0.7</v>
      </c>
      <c r="W1387" s="0" t="n">
        <v>0.76</v>
      </c>
      <c r="X1387" s="0" t="n">
        <v>5.3</v>
      </c>
      <c r="Y1387" s="0" t="n">
        <v>351.18</v>
      </c>
      <c r="Z1387" s="0" t="n">
        <v>8</v>
      </c>
      <c r="AA1387" s="0" t="n">
        <v>-0.36</v>
      </c>
      <c r="AB1387" s="0" t="n">
        <v>1.27</v>
      </c>
      <c r="AC1387" s="22" t="b">
        <f aca="false">TRUE()</f>
        <v>1</v>
      </c>
      <c r="AD1387" s="0" t="n">
        <v>13.15</v>
      </c>
      <c r="AE1387" s="0" t="n">
        <v>0.74</v>
      </c>
      <c r="AF1387" s="0" t="n">
        <v>13.29</v>
      </c>
      <c r="AG1387" s="22" t="b">
        <f aca="false">TRUE()</f>
        <v>1</v>
      </c>
      <c r="AH1387" s="0" t="n">
        <v>1</v>
      </c>
    </row>
    <row r="1388" customFormat="false" ht="15" hidden="false" customHeight="false" outlineLevel="0" collapsed="false">
      <c r="A1388" s="0" t="s">
        <v>2143</v>
      </c>
      <c r="B1388" s="0" t="s">
        <v>134</v>
      </c>
      <c r="C1388" s="0" t="s">
        <v>3447</v>
      </c>
      <c r="D1388" s="0" t="s">
        <v>3457</v>
      </c>
      <c r="E1388" s="18" t="s">
        <v>24</v>
      </c>
      <c r="F1388" s="18" t="s">
        <v>28</v>
      </c>
      <c r="H1388" s="21" t="s">
        <v>24</v>
      </c>
      <c r="I1388" s="21" t="s">
        <v>24</v>
      </c>
      <c r="J1388" s="21" t="s">
        <v>24</v>
      </c>
      <c r="K1388" s="21" t="s">
        <v>24</v>
      </c>
      <c r="L1388" s="21" t="s">
        <v>24</v>
      </c>
      <c r="M1388" s="0" t="n">
        <v>189</v>
      </c>
      <c r="N1388" s="0" t="n">
        <v>0</v>
      </c>
      <c r="Q1388" s="0" t="n">
        <v>0</v>
      </c>
      <c r="S1388" s="0" t="n">
        <v>0</v>
      </c>
      <c r="U1388" s="22" t="b">
        <f aca="false">FALSE()</f>
        <v>0</v>
      </c>
      <c r="V1388" s="0" t="n">
        <v>0.78</v>
      </c>
      <c r="W1388" s="0" t="n">
        <v>0.24</v>
      </c>
      <c r="X1388" s="0" t="n">
        <v>5.35</v>
      </c>
      <c r="Y1388" s="0" t="n">
        <v>461.45</v>
      </c>
      <c r="Z1388" s="0" t="n">
        <v>8</v>
      </c>
      <c r="AA1388" s="0" t="n">
        <v>0.46</v>
      </c>
      <c r="AB1388" s="0" t="n">
        <v>1.78</v>
      </c>
      <c r="AC1388" s="22" t="b">
        <f aca="false">FALSE()</f>
        <v>0</v>
      </c>
      <c r="AD1388" s="0" t="n">
        <v>18.83</v>
      </c>
      <c r="AE1388" s="0" t="n">
        <v>0.8</v>
      </c>
      <c r="AF1388" s="0" t="n">
        <v>17.41</v>
      </c>
      <c r="AG1388" s="22" t="b">
        <f aca="false">TRUE()</f>
        <v>1</v>
      </c>
      <c r="AH1388" s="0" t="n">
        <v>1</v>
      </c>
    </row>
    <row r="1389" customFormat="false" ht="15" hidden="false" customHeight="false" outlineLevel="0" collapsed="false">
      <c r="A1389" s="0" t="s">
        <v>2143</v>
      </c>
      <c r="B1389" s="0" t="s">
        <v>134</v>
      </c>
      <c r="C1389" s="0" t="s">
        <v>3447</v>
      </c>
      <c r="D1389" s="0" t="s">
        <v>3448</v>
      </c>
      <c r="E1389" s="20" t="s">
        <v>25</v>
      </c>
      <c r="F1389" s="20" t="s">
        <v>29</v>
      </c>
      <c r="G1389" s="21" t="s">
        <v>63</v>
      </c>
      <c r="H1389" s="21" t="s">
        <v>24</v>
      </c>
      <c r="I1389" s="21" t="s">
        <v>24</v>
      </c>
      <c r="J1389" s="21" t="s">
        <v>24</v>
      </c>
      <c r="K1389" s="21" t="s">
        <v>25</v>
      </c>
      <c r="L1389" s="21" t="s">
        <v>24</v>
      </c>
      <c r="M1389" s="0" t="n">
        <v>186</v>
      </c>
      <c r="N1389" s="0" t="n">
        <v>0</v>
      </c>
      <c r="Q1389" s="0" t="n">
        <v>0</v>
      </c>
      <c r="S1389" s="0" t="n">
        <v>0</v>
      </c>
      <c r="U1389" s="22" t="b">
        <f aca="false">FALSE()</f>
        <v>0</v>
      </c>
      <c r="V1389" s="0" t="n">
        <v>0.75</v>
      </c>
      <c r="W1389" s="0" t="n">
        <v>0.64</v>
      </c>
      <c r="X1389" s="0" t="n">
        <v>5.45</v>
      </c>
      <c r="Y1389" s="0" t="n">
        <v>311.75</v>
      </c>
      <c r="Z1389" s="0" t="n">
        <v>8.17</v>
      </c>
      <c r="AA1389" s="0" t="n">
        <v>-0.6</v>
      </c>
      <c r="AB1389" s="0" t="n">
        <v>1.27</v>
      </c>
      <c r="AC1389" s="22" t="b">
        <f aca="false">FALSE()</f>
        <v>0</v>
      </c>
      <c r="AD1389" s="0" t="n">
        <v>11.36</v>
      </c>
      <c r="AE1389" s="0" t="n">
        <v>0.53</v>
      </c>
      <c r="AF1389" s="0" t="n">
        <v>12.7</v>
      </c>
      <c r="AG1389" s="22" t="b">
        <f aca="false">TRUE()</f>
        <v>1</v>
      </c>
      <c r="AH1389" s="0" t="n">
        <v>1</v>
      </c>
    </row>
    <row r="1390" customFormat="false" ht="15" hidden="false" customHeight="false" outlineLevel="0" collapsed="false">
      <c r="A1390" s="0" t="s">
        <v>2149</v>
      </c>
      <c r="B1390" s="0" t="s">
        <v>134</v>
      </c>
      <c r="C1390" s="0" t="s">
        <v>3450</v>
      </c>
      <c r="D1390" s="0" t="s">
        <v>3457</v>
      </c>
      <c r="E1390" s="20" t="s">
        <v>25</v>
      </c>
      <c r="F1390" s="23" t="s">
        <v>30</v>
      </c>
      <c r="G1390" s="21" t="s">
        <v>183</v>
      </c>
      <c r="H1390" s="21" t="s">
        <v>24</v>
      </c>
      <c r="I1390" s="21" t="s">
        <v>25</v>
      </c>
      <c r="J1390" s="21" t="s">
        <v>24</v>
      </c>
      <c r="K1390" s="21" t="s">
        <v>25</v>
      </c>
      <c r="L1390" s="21" t="s">
        <v>24</v>
      </c>
      <c r="M1390" s="0" t="n">
        <v>183</v>
      </c>
      <c r="N1390" s="0" t="n">
        <v>1</v>
      </c>
      <c r="O1390" s="21" t="s">
        <v>70</v>
      </c>
      <c r="P1390" s="21" t="s">
        <v>4378</v>
      </c>
      <c r="Q1390" s="0" t="n">
        <v>1</v>
      </c>
      <c r="R1390" s="21" t="s">
        <v>70</v>
      </c>
      <c r="S1390" s="0" t="n">
        <v>1</v>
      </c>
      <c r="T1390" s="21" t="s">
        <v>70</v>
      </c>
      <c r="U1390" s="22" t="b">
        <f aca="false">TRUE()</f>
        <v>1</v>
      </c>
      <c r="V1390" s="0" t="n">
        <v>0.64</v>
      </c>
      <c r="W1390" s="0" t="n">
        <v>0.64</v>
      </c>
      <c r="X1390" s="0" t="n">
        <v>10.22</v>
      </c>
      <c r="Y1390" s="0" t="n">
        <v>320.96</v>
      </c>
      <c r="Z1390" s="0" t="n">
        <v>9.25</v>
      </c>
      <c r="AA1390" s="0" t="n">
        <v>7.16</v>
      </c>
      <c r="AB1390" s="0" t="n">
        <v>2.57</v>
      </c>
      <c r="AC1390" s="22" t="b">
        <f aca="false">FALSE()</f>
        <v>0</v>
      </c>
      <c r="AD1390" s="0" t="n">
        <v>20.34</v>
      </c>
      <c r="AE1390" s="0" t="n">
        <v>0.48</v>
      </c>
      <c r="AF1390" s="0" t="n">
        <v>18.88</v>
      </c>
      <c r="AG1390" s="22" t="b">
        <f aca="false">TRUE()</f>
        <v>1</v>
      </c>
      <c r="AH1390" s="0" t="n">
        <v>1</v>
      </c>
    </row>
    <row r="1391" customFormat="false" ht="15" hidden="false" customHeight="false" outlineLevel="0" collapsed="false">
      <c r="A1391" s="0" t="s">
        <v>2149</v>
      </c>
      <c r="B1391" s="0" t="s">
        <v>134</v>
      </c>
      <c r="C1391" s="0" t="s">
        <v>3450</v>
      </c>
      <c r="D1391" s="0" t="s">
        <v>3448</v>
      </c>
      <c r="E1391" s="19" t="s">
        <v>26</v>
      </c>
      <c r="F1391" s="19" t="s">
        <v>32</v>
      </c>
      <c r="G1391" s="21" t="s">
        <v>65</v>
      </c>
      <c r="H1391" s="21" t="s">
        <v>24</v>
      </c>
      <c r="I1391" s="21" t="s">
        <v>26</v>
      </c>
      <c r="J1391" s="21" t="s">
        <v>24</v>
      </c>
      <c r="K1391" s="21" t="s">
        <v>24</v>
      </c>
      <c r="L1391" s="21" t="s">
        <v>24</v>
      </c>
      <c r="M1391" s="0" t="n">
        <v>182</v>
      </c>
      <c r="N1391" s="0" t="n">
        <v>2</v>
      </c>
      <c r="O1391" s="21" t="s">
        <v>3871</v>
      </c>
      <c r="P1391" s="21" t="s">
        <v>4245</v>
      </c>
      <c r="Q1391" s="0" t="n">
        <v>2</v>
      </c>
      <c r="R1391" s="21" t="s">
        <v>3871</v>
      </c>
      <c r="S1391" s="0" t="n">
        <v>2</v>
      </c>
      <c r="T1391" s="21" t="s">
        <v>3871</v>
      </c>
      <c r="U1391" s="22" t="b">
        <f aca="false">FALSE()</f>
        <v>0</v>
      </c>
      <c r="V1391" s="0" t="n">
        <v>0.66</v>
      </c>
      <c r="W1391" s="0" t="n">
        <v>0</v>
      </c>
      <c r="X1391" s="0" t="n">
        <v>11.17</v>
      </c>
      <c r="Y1391" s="0" t="n">
        <v>0.91</v>
      </c>
      <c r="Z1391" s="0" t="n">
        <v>9.08</v>
      </c>
      <c r="AA1391" s="0" t="n">
        <v>9.31</v>
      </c>
      <c r="AB1391" s="0" t="n">
        <v>2.87</v>
      </c>
      <c r="AC1391" s="22" t="b">
        <f aca="false">FALSE()</f>
        <v>0</v>
      </c>
      <c r="AD1391" s="0" t="n">
        <v>18.8</v>
      </c>
      <c r="AE1391" s="0" t="n">
        <v>1</v>
      </c>
      <c r="AF1391" s="0" t="n">
        <v>15.03</v>
      </c>
      <c r="AG1391" s="22" t="b">
        <f aca="false">TRUE()</f>
        <v>1</v>
      </c>
      <c r="AH1391" s="0" t="n">
        <v>0</v>
      </c>
    </row>
    <row r="1392" customFormat="false" ht="15" hidden="false" customHeight="false" outlineLevel="0" collapsed="false">
      <c r="A1392" s="0" t="s">
        <v>2149</v>
      </c>
      <c r="B1392" s="0" t="s">
        <v>134</v>
      </c>
      <c r="C1392" s="0" t="s">
        <v>3447</v>
      </c>
      <c r="D1392" s="0" t="s">
        <v>3457</v>
      </c>
      <c r="E1392" s="19" t="s">
        <v>26</v>
      </c>
      <c r="F1392" s="19" t="s">
        <v>32</v>
      </c>
      <c r="G1392" s="21" t="s">
        <v>529</v>
      </c>
      <c r="H1392" s="21" t="s">
        <v>24</v>
      </c>
      <c r="I1392" s="21" t="s">
        <v>26</v>
      </c>
      <c r="J1392" s="21" t="s">
        <v>24</v>
      </c>
      <c r="K1392" s="21" t="s">
        <v>24</v>
      </c>
      <c r="L1392" s="21" t="s">
        <v>24</v>
      </c>
      <c r="M1392" s="0" t="n">
        <v>183</v>
      </c>
      <c r="N1392" s="0" t="n">
        <v>13</v>
      </c>
      <c r="O1392" s="21" t="s">
        <v>4057</v>
      </c>
      <c r="P1392" s="21" t="s">
        <v>4379</v>
      </c>
      <c r="Q1392" s="0" t="n">
        <v>1</v>
      </c>
      <c r="R1392" s="21" t="s">
        <v>69</v>
      </c>
      <c r="S1392" s="0" t="n">
        <v>13</v>
      </c>
      <c r="T1392" s="21" t="s">
        <v>4057</v>
      </c>
      <c r="U1392" s="22" t="b">
        <f aca="false">FALSE()</f>
        <v>0</v>
      </c>
      <c r="V1392" s="0" t="n">
        <v>0.66</v>
      </c>
      <c r="W1392" s="0" t="n">
        <v>0.64</v>
      </c>
      <c r="X1392" s="0" t="n">
        <v>11.48</v>
      </c>
      <c r="Y1392" s="0" t="n">
        <v>320.77</v>
      </c>
      <c r="Z1392" s="0" t="n">
        <v>9.5</v>
      </c>
      <c r="AA1392" s="0" t="n">
        <v>3.89</v>
      </c>
      <c r="AB1392" s="0" t="n">
        <v>2.57</v>
      </c>
      <c r="AC1392" s="22" t="b">
        <f aca="false">FALSE()</f>
        <v>0</v>
      </c>
      <c r="AD1392" s="0" t="n">
        <v>15.31</v>
      </c>
      <c r="AE1392" s="0" t="n">
        <v>0.59</v>
      </c>
      <c r="AF1392" s="0" t="n">
        <v>13.81</v>
      </c>
      <c r="AG1392" s="22" t="b">
        <f aca="false">TRUE()</f>
        <v>1</v>
      </c>
      <c r="AH1392" s="0" t="n">
        <v>1</v>
      </c>
    </row>
    <row r="1393" customFormat="false" ht="15" hidden="false" customHeight="false" outlineLevel="0" collapsed="false">
      <c r="A1393" s="0" t="s">
        <v>2149</v>
      </c>
      <c r="B1393" s="0" t="s">
        <v>134</v>
      </c>
      <c r="C1393" s="0" t="s">
        <v>3447</v>
      </c>
      <c r="D1393" s="0" t="s">
        <v>3448</v>
      </c>
      <c r="E1393" s="19" t="s">
        <v>26</v>
      </c>
      <c r="F1393" s="19" t="s">
        <v>32</v>
      </c>
      <c r="G1393" s="21" t="s">
        <v>60</v>
      </c>
      <c r="H1393" s="21" t="s">
        <v>24</v>
      </c>
      <c r="I1393" s="21" t="s">
        <v>26</v>
      </c>
      <c r="J1393" s="21" t="s">
        <v>24</v>
      </c>
      <c r="K1393" s="21" t="s">
        <v>24</v>
      </c>
      <c r="L1393" s="21" t="s">
        <v>24</v>
      </c>
      <c r="M1393" s="0" t="n">
        <v>183</v>
      </c>
      <c r="N1393" s="0" t="n">
        <v>12</v>
      </c>
      <c r="O1393" s="21" t="s">
        <v>4033</v>
      </c>
      <c r="P1393" s="21" t="s">
        <v>4717</v>
      </c>
      <c r="Q1393" s="0" t="n">
        <v>0</v>
      </c>
      <c r="S1393" s="0" t="n">
        <v>12</v>
      </c>
      <c r="T1393" s="21" t="s">
        <v>4033</v>
      </c>
      <c r="U1393" s="22" t="b">
        <f aca="false">FALSE()</f>
        <v>0</v>
      </c>
      <c r="V1393" s="0" t="n">
        <v>0.64</v>
      </c>
      <c r="W1393" s="0" t="n">
        <v>0.12</v>
      </c>
      <c r="X1393" s="0" t="n">
        <v>12.72</v>
      </c>
      <c r="Y1393" s="0" t="n">
        <v>582.07</v>
      </c>
      <c r="Z1393" s="0" t="n">
        <v>9</v>
      </c>
      <c r="AA1393" s="0" t="n">
        <v>5.47</v>
      </c>
      <c r="AB1393" s="0" t="n">
        <v>2.87</v>
      </c>
      <c r="AC1393" s="22" t="b">
        <f aca="false">FALSE()</f>
        <v>0</v>
      </c>
      <c r="AD1393" s="0" t="n">
        <v>16.89</v>
      </c>
      <c r="AE1393" s="0" t="n">
        <v>0.98</v>
      </c>
      <c r="AF1393" s="0" t="n">
        <v>11.67</v>
      </c>
      <c r="AG1393" s="22" t="b">
        <f aca="false">TRUE()</f>
        <v>1</v>
      </c>
      <c r="AH1393" s="0" t="n">
        <v>1</v>
      </c>
    </row>
    <row r="1394" customFormat="false" ht="15" hidden="false" customHeight="false" outlineLevel="0" collapsed="false">
      <c r="A1394" s="0" t="s">
        <v>2149</v>
      </c>
      <c r="B1394" s="0" t="s">
        <v>3459</v>
      </c>
      <c r="C1394" s="0" t="s">
        <v>3450</v>
      </c>
      <c r="D1394" s="0" t="s">
        <v>3457</v>
      </c>
      <c r="E1394" s="20" t="s">
        <v>25</v>
      </c>
      <c r="F1394" s="23" t="s">
        <v>30</v>
      </c>
      <c r="G1394" s="21" t="s">
        <v>183</v>
      </c>
      <c r="H1394" s="21" t="s">
        <v>24</v>
      </c>
      <c r="I1394" s="21" t="s">
        <v>25</v>
      </c>
      <c r="J1394" s="21" t="s">
        <v>24</v>
      </c>
      <c r="K1394" s="21" t="s">
        <v>25</v>
      </c>
      <c r="L1394" s="21" t="s">
        <v>24</v>
      </c>
      <c r="M1394" s="0" t="n">
        <v>184</v>
      </c>
      <c r="N1394" s="0" t="n">
        <v>1</v>
      </c>
      <c r="O1394" s="21" t="s">
        <v>69</v>
      </c>
      <c r="P1394" s="21" t="s">
        <v>4275</v>
      </c>
      <c r="Q1394" s="0" t="n">
        <v>1</v>
      </c>
      <c r="R1394" s="21" t="s">
        <v>69</v>
      </c>
      <c r="S1394" s="0" t="n">
        <v>1</v>
      </c>
      <c r="T1394" s="21" t="s">
        <v>69</v>
      </c>
      <c r="U1394" s="22" t="b">
        <f aca="false">TRUE()</f>
        <v>1</v>
      </c>
      <c r="V1394" s="0" t="n">
        <v>0.68</v>
      </c>
      <c r="W1394" s="0" t="n">
        <v>0.16</v>
      </c>
      <c r="X1394" s="0" t="n">
        <v>10.68</v>
      </c>
      <c r="Y1394" s="0" t="n">
        <v>410.97</v>
      </c>
      <c r="Z1394" s="0" t="n">
        <v>9</v>
      </c>
      <c r="AA1394" s="0" t="n">
        <v>7.33</v>
      </c>
      <c r="AB1394" s="0" t="n">
        <v>1.66</v>
      </c>
      <c r="AC1394" s="22" t="b">
        <f aca="false">FALSE()</f>
        <v>0</v>
      </c>
      <c r="AD1394" s="0" t="n">
        <v>26.99</v>
      </c>
      <c r="AE1394" s="0" t="n">
        <v>15.05</v>
      </c>
      <c r="AF1394" s="0" t="n">
        <v>22.09</v>
      </c>
      <c r="AG1394" s="22" t="b">
        <f aca="false">TRUE()</f>
        <v>1</v>
      </c>
      <c r="AH1394" s="0" t="n">
        <v>1</v>
      </c>
    </row>
    <row r="1395" customFormat="false" ht="15" hidden="false" customHeight="false" outlineLevel="0" collapsed="false">
      <c r="A1395" s="0" t="s">
        <v>2149</v>
      </c>
      <c r="B1395" s="0" t="s">
        <v>3459</v>
      </c>
      <c r="C1395" s="0" t="s">
        <v>3450</v>
      </c>
      <c r="D1395" s="0" t="s">
        <v>3448</v>
      </c>
      <c r="E1395" s="20" t="s">
        <v>25</v>
      </c>
      <c r="F1395" s="23" t="s">
        <v>30</v>
      </c>
      <c r="G1395" s="21" t="s">
        <v>183</v>
      </c>
      <c r="H1395" s="21" t="s">
        <v>24</v>
      </c>
      <c r="I1395" s="21" t="s">
        <v>25</v>
      </c>
      <c r="J1395" s="21" t="s">
        <v>24</v>
      </c>
      <c r="K1395" s="21" t="s">
        <v>25</v>
      </c>
      <c r="L1395" s="21" t="s">
        <v>24</v>
      </c>
      <c r="M1395" s="0" t="n">
        <v>183</v>
      </c>
      <c r="N1395" s="0" t="n">
        <v>1</v>
      </c>
      <c r="O1395" s="21" t="s">
        <v>70</v>
      </c>
      <c r="P1395" s="21" t="s">
        <v>4378</v>
      </c>
      <c r="Q1395" s="0" t="n">
        <v>1</v>
      </c>
      <c r="R1395" s="21" t="s">
        <v>70</v>
      </c>
      <c r="S1395" s="0" t="n">
        <v>1</v>
      </c>
      <c r="T1395" s="21" t="s">
        <v>70</v>
      </c>
      <c r="U1395" s="22" t="b">
        <f aca="false">TRUE()</f>
        <v>1</v>
      </c>
      <c r="V1395" s="0" t="n">
        <v>0.68</v>
      </c>
      <c r="W1395" s="0" t="n">
        <v>0.44</v>
      </c>
      <c r="X1395" s="0" t="n">
        <v>10.81</v>
      </c>
      <c r="Y1395" s="0" t="n">
        <v>335.33</v>
      </c>
      <c r="Z1395" s="0" t="n">
        <v>9.25</v>
      </c>
      <c r="AA1395" s="0" t="n">
        <v>8.98</v>
      </c>
      <c r="AB1395" s="0" t="n">
        <v>1.62</v>
      </c>
      <c r="AC1395" s="22" t="b">
        <f aca="false">FALSE()</f>
        <v>0</v>
      </c>
      <c r="AD1395" s="0" t="n">
        <v>28.88</v>
      </c>
      <c r="AE1395" s="0" t="n">
        <v>16.86</v>
      </c>
      <c r="AF1395" s="0" t="n">
        <v>27.65</v>
      </c>
      <c r="AG1395" s="22" t="b">
        <f aca="false">TRUE()</f>
        <v>1</v>
      </c>
      <c r="AH1395" s="0" t="n">
        <v>1</v>
      </c>
    </row>
    <row r="1396" customFormat="false" ht="15" hidden="false" customHeight="false" outlineLevel="0" collapsed="false">
      <c r="A1396" s="0" t="s">
        <v>2149</v>
      </c>
      <c r="B1396" s="0" t="s">
        <v>3459</v>
      </c>
      <c r="C1396" s="0" t="s">
        <v>3447</v>
      </c>
      <c r="D1396" s="0" t="s">
        <v>3457</v>
      </c>
      <c r="E1396" s="19" t="s">
        <v>26</v>
      </c>
      <c r="F1396" s="19" t="s">
        <v>32</v>
      </c>
      <c r="G1396" s="21" t="s">
        <v>1926</v>
      </c>
      <c r="H1396" s="21" t="s">
        <v>24</v>
      </c>
      <c r="I1396" s="21" t="s">
        <v>26</v>
      </c>
      <c r="J1396" s="21" t="s">
        <v>24</v>
      </c>
      <c r="K1396" s="21" t="s">
        <v>25</v>
      </c>
      <c r="L1396" s="21" t="s">
        <v>24</v>
      </c>
      <c r="M1396" s="0" t="n">
        <v>185</v>
      </c>
      <c r="N1396" s="0" t="n">
        <v>9</v>
      </c>
      <c r="O1396" s="21" t="s">
        <v>4030</v>
      </c>
      <c r="P1396" s="21" t="s">
        <v>4287</v>
      </c>
      <c r="Q1396" s="0" t="n">
        <v>1</v>
      </c>
      <c r="R1396" s="21" t="s">
        <v>69</v>
      </c>
      <c r="S1396" s="0" t="n">
        <v>9</v>
      </c>
      <c r="T1396" s="21" t="s">
        <v>4030</v>
      </c>
      <c r="U1396" s="22" t="b">
        <f aca="false">FALSE()</f>
        <v>0</v>
      </c>
      <c r="V1396" s="0" t="n">
        <v>0.69</v>
      </c>
      <c r="W1396" s="0" t="n">
        <v>0.76</v>
      </c>
      <c r="X1396" s="0" t="n">
        <v>11.56</v>
      </c>
      <c r="Y1396" s="0" t="n">
        <v>301.21</v>
      </c>
      <c r="Z1396" s="0" t="n">
        <v>9</v>
      </c>
      <c r="AA1396" s="0" t="n">
        <v>5.68</v>
      </c>
      <c r="AB1396" s="0" t="n">
        <v>1.66</v>
      </c>
      <c r="AC1396" s="22" t="b">
        <f aca="false">FALSE()</f>
        <v>0</v>
      </c>
      <c r="AD1396" s="0" t="n">
        <v>24.84</v>
      </c>
      <c r="AE1396" s="0" t="n">
        <v>11.94</v>
      </c>
      <c r="AF1396" s="0" t="n">
        <v>18.97</v>
      </c>
      <c r="AG1396" s="22" t="b">
        <f aca="false">TRUE()</f>
        <v>1</v>
      </c>
      <c r="AH1396" s="0" t="n">
        <v>1</v>
      </c>
    </row>
    <row r="1397" customFormat="false" ht="15" hidden="false" customHeight="false" outlineLevel="0" collapsed="false">
      <c r="A1397" s="0" t="s">
        <v>2149</v>
      </c>
      <c r="B1397" s="0" t="s">
        <v>3459</v>
      </c>
      <c r="C1397" s="0" t="s">
        <v>3447</v>
      </c>
      <c r="D1397" s="0" t="s">
        <v>3448</v>
      </c>
      <c r="E1397" s="20" t="s">
        <v>25</v>
      </c>
      <c r="F1397" s="23" t="s">
        <v>30</v>
      </c>
      <c r="G1397" s="21" t="s">
        <v>183</v>
      </c>
      <c r="H1397" s="21" t="s">
        <v>24</v>
      </c>
      <c r="I1397" s="21" t="s">
        <v>25</v>
      </c>
      <c r="J1397" s="21" t="s">
        <v>24</v>
      </c>
      <c r="K1397" s="21" t="s">
        <v>25</v>
      </c>
      <c r="L1397" s="21" t="s">
        <v>24</v>
      </c>
      <c r="M1397" s="0" t="n">
        <v>192</v>
      </c>
      <c r="N1397" s="0" t="n">
        <v>4</v>
      </c>
      <c r="O1397" s="21" t="s">
        <v>3778</v>
      </c>
      <c r="P1397" s="21" t="s">
        <v>4631</v>
      </c>
      <c r="Q1397" s="0" t="n">
        <v>1</v>
      </c>
      <c r="R1397" s="21" t="s">
        <v>69</v>
      </c>
      <c r="S1397" s="0" t="n">
        <v>4</v>
      </c>
      <c r="T1397" s="21" t="s">
        <v>3778</v>
      </c>
      <c r="U1397" s="22" t="b">
        <f aca="false">TRUE()</f>
        <v>1</v>
      </c>
      <c r="V1397" s="0" t="n">
        <v>0.72</v>
      </c>
      <c r="W1397" s="0" t="n">
        <v>0.52</v>
      </c>
      <c r="X1397" s="0" t="n">
        <v>11.49</v>
      </c>
      <c r="Y1397" s="0" t="n">
        <v>334.52</v>
      </c>
      <c r="Z1397" s="0" t="n">
        <v>9</v>
      </c>
      <c r="AA1397" s="0" t="n">
        <v>4.93</v>
      </c>
      <c r="AB1397" s="0" t="n">
        <v>1.62</v>
      </c>
      <c r="AC1397" s="22" t="b">
        <f aca="false">FALSE()</f>
        <v>0</v>
      </c>
      <c r="AD1397" s="0" t="n">
        <v>22.41</v>
      </c>
      <c r="AE1397" s="0" t="n">
        <v>10.3</v>
      </c>
      <c r="AF1397" s="0" t="n">
        <v>19.11</v>
      </c>
      <c r="AG1397" s="22" t="b">
        <f aca="false">TRUE()</f>
        <v>1</v>
      </c>
      <c r="AH1397" s="0" t="n">
        <v>1</v>
      </c>
    </row>
    <row r="1398" customFormat="false" ht="15" hidden="false" customHeight="false" outlineLevel="0" collapsed="false">
      <c r="A1398" s="0" t="s">
        <v>2155</v>
      </c>
      <c r="B1398" s="0" t="s">
        <v>134</v>
      </c>
      <c r="C1398" s="0" t="s">
        <v>3450</v>
      </c>
      <c r="D1398" s="0" t="s">
        <v>3457</v>
      </c>
      <c r="E1398" s="20" t="s">
        <v>25</v>
      </c>
      <c r="F1398" s="23" t="s">
        <v>30</v>
      </c>
      <c r="G1398" s="21" t="s">
        <v>294</v>
      </c>
      <c r="H1398" s="21" t="s">
        <v>24</v>
      </c>
      <c r="I1398" s="21" t="s">
        <v>25</v>
      </c>
      <c r="J1398" s="21" t="s">
        <v>24</v>
      </c>
      <c r="K1398" s="21" t="s">
        <v>25</v>
      </c>
      <c r="L1398" s="21" t="s">
        <v>24</v>
      </c>
      <c r="M1398" s="0" t="n">
        <v>183</v>
      </c>
      <c r="N1398" s="0" t="n">
        <v>2</v>
      </c>
      <c r="O1398" s="21" t="s">
        <v>3575</v>
      </c>
      <c r="P1398" s="21" t="s">
        <v>4265</v>
      </c>
      <c r="Q1398" s="0" t="n">
        <v>1</v>
      </c>
      <c r="R1398" s="21" t="s">
        <v>69</v>
      </c>
      <c r="S1398" s="0" t="n">
        <v>2</v>
      </c>
      <c r="T1398" s="21" t="s">
        <v>3575</v>
      </c>
      <c r="U1398" s="22" t="b">
        <f aca="false">TRUE()</f>
        <v>1</v>
      </c>
      <c r="V1398" s="0" t="n">
        <v>0.76</v>
      </c>
      <c r="W1398" s="0" t="n">
        <v>0.56</v>
      </c>
      <c r="X1398" s="0" t="n">
        <v>6.03</v>
      </c>
      <c r="Y1398" s="0" t="n">
        <v>315.89</v>
      </c>
      <c r="Z1398" s="0" t="n">
        <v>8.92</v>
      </c>
      <c r="AA1398" s="0" t="n">
        <v>0.29</v>
      </c>
      <c r="AB1398" s="0" t="n">
        <v>0.69</v>
      </c>
      <c r="AC1398" s="22" t="b">
        <f aca="false">TRUE()</f>
        <v>1</v>
      </c>
      <c r="AD1398" s="0" t="n">
        <v>26.01</v>
      </c>
      <c r="AE1398" s="0" t="n">
        <v>12.56</v>
      </c>
      <c r="AF1398" s="0" t="n">
        <v>19.36</v>
      </c>
      <c r="AG1398" s="22" t="b">
        <f aca="false">TRUE()</f>
        <v>1</v>
      </c>
      <c r="AH1398" s="0" t="n">
        <v>1</v>
      </c>
    </row>
    <row r="1399" customFormat="false" ht="15" hidden="false" customHeight="false" outlineLevel="0" collapsed="false">
      <c r="A1399" s="0" t="s">
        <v>2155</v>
      </c>
      <c r="B1399" s="0" t="s">
        <v>134</v>
      </c>
      <c r="C1399" s="0" t="s">
        <v>3450</v>
      </c>
      <c r="D1399" s="0" t="s">
        <v>3448</v>
      </c>
      <c r="E1399" s="20" t="s">
        <v>25</v>
      </c>
      <c r="F1399" s="23" t="s">
        <v>30</v>
      </c>
      <c r="G1399" s="21" t="s">
        <v>183</v>
      </c>
      <c r="H1399" s="21" t="s">
        <v>24</v>
      </c>
      <c r="I1399" s="21" t="s">
        <v>25</v>
      </c>
      <c r="J1399" s="21" t="s">
        <v>24</v>
      </c>
      <c r="K1399" s="21" t="s">
        <v>25</v>
      </c>
      <c r="L1399" s="21" t="s">
        <v>24</v>
      </c>
      <c r="M1399" s="0" t="n">
        <v>185</v>
      </c>
      <c r="N1399" s="0" t="n">
        <v>1</v>
      </c>
      <c r="O1399" s="21" t="s">
        <v>70</v>
      </c>
      <c r="P1399" s="21" t="s">
        <v>4378</v>
      </c>
      <c r="Q1399" s="0" t="n">
        <v>1</v>
      </c>
      <c r="R1399" s="21" t="s">
        <v>70</v>
      </c>
      <c r="S1399" s="0" t="n">
        <v>1</v>
      </c>
      <c r="T1399" s="21" t="s">
        <v>70</v>
      </c>
      <c r="U1399" s="22" t="b">
        <f aca="false">TRUE()</f>
        <v>1</v>
      </c>
      <c r="V1399" s="0" t="n">
        <v>0.8</v>
      </c>
      <c r="W1399" s="0" t="n">
        <v>0</v>
      </c>
      <c r="X1399" s="0" t="n">
        <v>6.09</v>
      </c>
      <c r="Y1399" s="0" t="n">
        <v>0.24</v>
      </c>
      <c r="Z1399" s="0" t="n">
        <v>9.67</v>
      </c>
      <c r="AA1399" s="0" t="n">
        <v>5.84</v>
      </c>
      <c r="AB1399" s="0" t="n">
        <v>2.28</v>
      </c>
      <c r="AC1399" s="22" t="b">
        <f aca="false">FALSE()</f>
        <v>0</v>
      </c>
      <c r="AD1399" s="0" t="n">
        <v>28.42</v>
      </c>
      <c r="AE1399" s="0" t="n">
        <v>17.83</v>
      </c>
      <c r="AF1399" s="0" t="n">
        <v>27.72</v>
      </c>
      <c r="AG1399" s="22" t="b">
        <f aca="false">TRUE()</f>
        <v>1</v>
      </c>
      <c r="AH1399" s="0" t="n">
        <v>0</v>
      </c>
    </row>
    <row r="1400" customFormat="false" ht="15" hidden="false" customHeight="false" outlineLevel="0" collapsed="false">
      <c r="A1400" s="0" t="s">
        <v>2155</v>
      </c>
      <c r="B1400" s="0" t="s">
        <v>134</v>
      </c>
      <c r="C1400" s="0" t="s">
        <v>3447</v>
      </c>
      <c r="D1400" s="0" t="s">
        <v>3457</v>
      </c>
      <c r="E1400" s="20" t="s">
        <v>25</v>
      </c>
      <c r="F1400" s="23" t="s">
        <v>30</v>
      </c>
      <c r="G1400" s="21" t="s">
        <v>3487</v>
      </c>
      <c r="H1400" s="21" t="s">
        <v>24</v>
      </c>
      <c r="I1400" s="21" t="s">
        <v>24</v>
      </c>
      <c r="J1400" s="21" t="s">
        <v>24</v>
      </c>
      <c r="K1400" s="21" t="s">
        <v>25</v>
      </c>
      <c r="L1400" s="21" t="s">
        <v>24</v>
      </c>
      <c r="M1400" s="0" t="n">
        <v>189</v>
      </c>
      <c r="N1400" s="0" t="n">
        <v>6</v>
      </c>
      <c r="O1400" s="21" t="s">
        <v>3788</v>
      </c>
      <c r="P1400" s="21" t="s">
        <v>4718</v>
      </c>
      <c r="Q1400" s="0" t="n">
        <v>0</v>
      </c>
      <c r="S1400" s="0" t="n">
        <v>6</v>
      </c>
      <c r="T1400" s="21" t="s">
        <v>3788</v>
      </c>
      <c r="U1400" s="22" t="b">
        <f aca="false">TRUE()</f>
        <v>1</v>
      </c>
      <c r="V1400" s="0" t="n">
        <v>0.76</v>
      </c>
      <c r="W1400" s="0" t="n">
        <v>0.28</v>
      </c>
      <c r="X1400" s="0" t="n">
        <v>7.08</v>
      </c>
      <c r="Y1400" s="0" t="n">
        <v>434.82</v>
      </c>
      <c r="Z1400" s="0" t="n">
        <v>8</v>
      </c>
      <c r="AA1400" s="0" t="n">
        <v>-0.15</v>
      </c>
      <c r="AB1400" s="0" t="n">
        <v>0.69</v>
      </c>
      <c r="AC1400" s="22" t="b">
        <f aca="false">FALSE()</f>
        <v>0</v>
      </c>
      <c r="AD1400" s="0" t="n">
        <v>25.34</v>
      </c>
      <c r="AE1400" s="0" t="n">
        <v>13.58</v>
      </c>
      <c r="AF1400" s="0" t="n">
        <v>21.25</v>
      </c>
      <c r="AG1400" s="22" t="b">
        <f aca="false">TRUE()</f>
        <v>1</v>
      </c>
      <c r="AH1400" s="0" t="n">
        <v>1</v>
      </c>
    </row>
    <row r="1401" customFormat="false" ht="15" hidden="false" customHeight="false" outlineLevel="0" collapsed="false">
      <c r="A1401" s="0" t="s">
        <v>2155</v>
      </c>
      <c r="B1401" s="0" t="s">
        <v>134</v>
      </c>
      <c r="C1401" s="0" t="s">
        <v>3447</v>
      </c>
      <c r="D1401" s="0" t="s">
        <v>3448</v>
      </c>
      <c r="E1401" s="20" t="s">
        <v>25</v>
      </c>
      <c r="F1401" s="23" t="s">
        <v>30</v>
      </c>
      <c r="G1401" s="21" t="s">
        <v>183</v>
      </c>
      <c r="H1401" s="21" t="s">
        <v>24</v>
      </c>
      <c r="I1401" s="21" t="s">
        <v>25</v>
      </c>
      <c r="J1401" s="21" t="s">
        <v>24</v>
      </c>
      <c r="K1401" s="21" t="s">
        <v>25</v>
      </c>
      <c r="L1401" s="21" t="s">
        <v>24</v>
      </c>
      <c r="M1401" s="0" t="n">
        <v>191</v>
      </c>
      <c r="N1401" s="0" t="n">
        <v>1</v>
      </c>
      <c r="O1401" s="21" t="s">
        <v>69</v>
      </c>
      <c r="P1401" s="21" t="s">
        <v>4275</v>
      </c>
      <c r="Q1401" s="0" t="n">
        <v>1</v>
      </c>
      <c r="R1401" s="21" t="s">
        <v>69</v>
      </c>
      <c r="S1401" s="0" t="n">
        <v>1</v>
      </c>
      <c r="T1401" s="21" t="s">
        <v>69</v>
      </c>
      <c r="U1401" s="22" t="b">
        <f aca="false">TRUE()</f>
        <v>1</v>
      </c>
      <c r="V1401" s="0" t="n">
        <v>0.8</v>
      </c>
      <c r="W1401" s="0" t="n">
        <v>0.44</v>
      </c>
      <c r="X1401" s="0" t="n">
        <v>6.02</v>
      </c>
      <c r="Y1401" s="0" t="n">
        <v>361.1</v>
      </c>
      <c r="Z1401" s="0" t="n">
        <v>8</v>
      </c>
      <c r="AA1401" s="0" t="n">
        <v>0.31</v>
      </c>
      <c r="AB1401" s="0" t="n">
        <v>2.28</v>
      </c>
      <c r="AC1401" s="22" t="b">
        <f aca="false">FALSE()</f>
        <v>0</v>
      </c>
      <c r="AD1401" s="0" t="n">
        <v>27.4</v>
      </c>
      <c r="AE1401" s="0" t="n">
        <v>16.23</v>
      </c>
      <c r="AF1401" s="0" t="n">
        <v>26.67</v>
      </c>
      <c r="AG1401" s="22" t="b">
        <f aca="false">TRUE()</f>
        <v>1</v>
      </c>
      <c r="AH1401" s="0" t="n">
        <v>1</v>
      </c>
    </row>
    <row r="1402" customFormat="false" ht="15" hidden="false" customHeight="false" outlineLevel="0" collapsed="false">
      <c r="A1402" s="0" t="s">
        <v>2155</v>
      </c>
      <c r="B1402" s="0" t="s">
        <v>3459</v>
      </c>
      <c r="C1402" s="0" t="s">
        <v>3450</v>
      </c>
      <c r="D1402" s="0" t="s">
        <v>3457</v>
      </c>
      <c r="E1402" s="20" t="s">
        <v>25</v>
      </c>
      <c r="F1402" s="23" t="s">
        <v>30</v>
      </c>
      <c r="G1402" s="21" t="s">
        <v>283</v>
      </c>
      <c r="H1402" s="21" t="s">
        <v>24</v>
      </c>
      <c r="I1402" s="21" t="s">
        <v>25</v>
      </c>
      <c r="J1402" s="21" t="s">
        <v>24</v>
      </c>
      <c r="K1402" s="21" t="s">
        <v>24</v>
      </c>
      <c r="L1402" s="21" t="s">
        <v>24</v>
      </c>
      <c r="M1402" s="0" t="n">
        <v>182</v>
      </c>
      <c r="N1402" s="0" t="n">
        <v>1</v>
      </c>
      <c r="O1402" s="21" t="s">
        <v>70</v>
      </c>
      <c r="P1402" s="21" t="s">
        <v>4378</v>
      </c>
      <c r="Q1402" s="0" t="n">
        <v>1</v>
      </c>
      <c r="R1402" s="21" t="s">
        <v>70</v>
      </c>
      <c r="S1402" s="0" t="n">
        <v>1</v>
      </c>
      <c r="T1402" s="21" t="s">
        <v>70</v>
      </c>
      <c r="U1402" s="22" t="b">
        <f aca="false">TRUE()</f>
        <v>1</v>
      </c>
      <c r="V1402" s="0" t="n">
        <v>0.78</v>
      </c>
      <c r="W1402" s="0" t="n">
        <v>0.56</v>
      </c>
      <c r="X1402" s="0" t="n">
        <v>6.63</v>
      </c>
      <c r="Y1402" s="0" t="n">
        <v>304.99</v>
      </c>
      <c r="Z1402" s="0" t="n">
        <v>9.33</v>
      </c>
      <c r="AA1402" s="0" t="n">
        <v>6.35</v>
      </c>
      <c r="AB1402" s="0" t="n">
        <v>3.81</v>
      </c>
      <c r="AC1402" s="22" t="b">
        <f aca="false">FALSE()</f>
        <v>0</v>
      </c>
      <c r="AD1402" s="0" t="n">
        <v>8.81</v>
      </c>
      <c r="AE1402" s="0" t="n">
        <v>4.57</v>
      </c>
      <c r="AF1402" s="0" t="n">
        <v>7.06</v>
      </c>
      <c r="AG1402" s="22" t="b">
        <f aca="false">FALSE()</f>
        <v>0</v>
      </c>
      <c r="AH1402" s="0" t="n">
        <v>1</v>
      </c>
    </row>
    <row r="1403" customFormat="false" ht="15" hidden="false" customHeight="false" outlineLevel="0" collapsed="false">
      <c r="A1403" s="0" t="s">
        <v>2155</v>
      </c>
      <c r="B1403" s="0" t="s">
        <v>3459</v>
      </c>
      <c r="C1403" s="0" t="s">
        <v>3450</v>
      </c>
      <c r="D1403" s="0" t="s">
        <v>3448</v>
      </c>
      <c r="E1403" s="20" t="s">
        <v>25</v>
      </c>
      <c r="F1403" s="23" t="s">
        <v>30</v>
      </c>
      <c r="G1403" s="21" t="s">
        <v>1152</v>
      </c>
      <c r="H1403" s="21" t="s">
        <v>24</v>
      </c>
      <c r="I1403" s="21" t="s">
        <v>25</v>
      </c>
      <c r="J1403" s="21" t="s">
        <v>24</v>
      </c>
      <c r="K1403" s="21" t="s">
        <v>25</v>
      </c>
      <c r="L1403" s="21" t="s">
        <v>24</v>
      </c>
      <c r="M1403" s="0" t="n">
        <v>183</v>
      </c>
      <c r="N1403" s="0" t="n">
        <v>1</v>
      </c>
      <c r="O1403" s="21" t="s">
        <v>70</v>
      </c>
      <c r="P1403" s="21" t="s">
        <v>4378</v>
      </c>
      <c r="Q1403" s="0" t="n">
        <v>1</v>
      </c>
      <c r="R1403" s="21" t="s">
        <v>70</v>
      </c>
      <c r="S1403" s="0" t="n">
        <v>1</v>
      </c>
      <c r="T1403" s="21" t="s">
        <v>70</v>
      </c>
      <c r="U1403" s="22" t="b">
        <f aca="false">TRUE()</f>
        <v>1</v>
      </c>
      <c r="V1403" s="0" t="n">
        <v>0.81</v>
      </c>
      <c r="W1403" s="0" t="n">
        <v>0</v>
      </c>
      <c r="X1403" s="0" t="n">
        <v>8.47</v>
      </c>
      <c r="Y1403" s="0" t="n">
        <v>686.94</v>
      </c>
      <c r="Z1403" s="0" t="n">
        <v>8.67</v>
      </c>
      <c r="AA1403" s="0" t="n">
        <v>6.14</v>
      </c>
      <c r="AB1403" s="0" t="n">
        <v>0.23</v>
      </c>
      <c r="AC1403" s="22" t="b">
        <f aca="false">FALSE()</f>
        <v>0</v>
      </c>
      <c r="AD1403" s="0" t="n">
        <v>15.59</v>
      </c>
      <c r="AE1403" s="0" t="n">
        <v>2.23</v>
      </c>
      <c r="AF1403" s="0" t="n">
        <v>29.9</v>
      </c>
      <c r="AG1403" s="22" t="b">
        <f aca="false">TRUE()</f>
        <v>1</v>
      </c>
      <c r="AH1403" s="0" t="n">
        <v>1</v>
      </c>
    </row>
    <row r="1404" customFormat="false" ht="15" hidden="false" customHeight="false" outlineLevel="0" collapsed="false">
      <c r="A1404" s="0" t="s">
        <v>2155</v>
      </c>
      <c r="B1404" s="0" t="s">
        <v>3459</v>
      </c>
      <c r="C1404" s="0" t="s">
        <v>3447</v>
      </c>
      <c r="D1404" s="0" t="s">
        <v>3457</v>
      </c>
      <c r="E1404" s="18" t="s">
        <v>24</v>
      </c>
      <c r="F1404" s="18" t="s">
        <v>28</v>
      </c>
      <c r="H1404" s="21" t="s">
        <v>24</v>
      </c>
      <c r="I1404" s="21" t="s">
        <v>24</v>
      </c>
      <c r="J1404" s="21" t="s">
        <v>24</v>
      </c>
      <c r="K1404" s="21" t="s">
        <v>24</v>
      </c>
      <c r="L1404" s="21" t="s">
        <v>24</v>
      </c>
      <c r="M1404" s="0" t="n">
        <v>183</v>
      </c>
      <c r="N1404" s="0" t="n">
        <v>0</v>
      </c>
      <c r="Q1404" s="0" t="n">
        <v>0</v>
      </c>
      <c r="S1404" s="0" t="n">
        <v>0</v>
      </c>
      <c r="U1404" s="22" t="b">
        <f aca="false">FALSE()</f>
        <v>0</v>
      </c>
      <c r="V1404" s="0" t="n">
        <v>0.81</v>
      </c>
      <c r="W1404" s="0" t="n">
        <v>0.12</v>
      </c>
      <c r="X1404" s="0" t="n">
        <v>6.06</v>
      </c>
      <c r="Y1404" s="0" t="n">
        <v>610.63</v>
      </c>
      <c r="Z1404" s="0" t="n">
        <v>9.75</v>
      </c>
      <c r="AA1404" s="0" t="n">
        <v>1.5</v>
      </c>
      <c r="AB1404" s="0" t="n">
        <v>3.81</v>
      </c>
      <c r="AC1404" s="22" t="b">
        <f aca="false">FALSE()</f>
        <v>0</v>
      </c>
      <c r="AD1404" s="0" t="n">
        <v>7.79</v>
      </c>
      <c r="AE1404" s="0" t="n">
        <v>2.66</v>
      </c>
      <c r="AF1404" s="0" t="n">
        <v>6.02</v>
      </c>
      <c r="AG1404" s="22" t="b">
        <f aca="false">FALSE()</f>
        <v>0</v>
      </c>
      <c r="AH1404" s="0" t="n">
        <v>1</v>
      </c>
    </row>
    <row r="1405" customFormat="false" ht="15" hidden="false" customHeight="false" outlineLevel="0" collapsed="false">
      <c r="A1405" s="0" t="s">
        <v>2155</v>
      </c>
      <c r="B1405" s="0" t="s">
        <v>3459</v>
      </c>
      <c r="C1405" s="0" t="s">
        <v>3447</v>
      </c>
      <c r="D1405" s="0" t="s">
        <v>3448</v>
      </c>
      <c r="E1405" s="20" t="s">
        <v>25</v>
      </c>
      <c r="F1405" s="20" t="s">
        <v>29</v>
      </c>
      <c r="G1405" s="21" t="s">
        <v>64</v>
      </c>
      <c r="H1405" s="21" t="s">
        <v>24</v>
      </c>
      <c r="I1405" s="21" t="s">
        <v>24</v>
      </c>
      <c r="J1405" s="21" t="s">
        <v>24</v>
      </c>
      <c r="K1405" s="21" t="s">
        <v>25</v>
      </c>
      <c r="L1405" s="21" t="s">
        <v>24</v>
      </c>
      <c r="M1405" s="0" t="n">
        <v>184</v>
      </c>
      <c r="N1405" s="0" t="n">
        <v>0</v>
      </c>
      <c r="Q1405" s="0" t="n">
        <v>0</v>
      </c>
      <c r="S1405" s="0" t="n">
        <v>0</v>
      </c>
      <c r="U1405" s="22" t="b">
        <f aca="false">FALSE()</f>
        <v>0</v>
      </c>
      <c r="V1405" s="0" t="n">
        <v>0.82</v>
      </c>
      <c r="W1405" s="0" t="n">
        <v>0.8</v>
      </c>
      <c r="X1405" s="0" t="n">
        <v>7.81</v>
      </c>
      <c r="Y1405" s="0" t="n">
        <v>319.13</v>
      </c>
      <c r="Z1405" s="0" t="n">
        <v>8</v>
      </c>
      <c r="AA1405" s="0" t="n">
        <v>-1.24</v>
      </c>
      <c r="AB1405" s="0" t="n">
        <v>0.23</v>
      </c>
      <c r="AC1405" s="22" t="b">
        <f aca="false">FALSE()</f>
        <v>0</v>
      </c>
      <c r="AD1405" s="0" t="n">
        <v>11.67</v>
      </c>
      <c r="AE1405" s="0" t="n">
        <v>2.04</v>
      </c>
      <c r="AF1405" s="0" t="n">
        <v>20.51</v>
      </c>
      <c r="AG1405" s="22" t="b">
        <f aca="false">TRUE()</f>
        <v>1</v>
      </c>
      <c r="AH1405" s="0" t="n">
        <v>1</v>
      </c>
    </row>
    <row r="1406" customFormat="false" ht="15" hidden="false" customHeight="false" outlineLevel="0" collapsed="false">
      <c r="A1406" s="0" t="s">
        <v>2169</v>
      </c>
      <c r="B1406" s="0" t="s">
        <v>134</v>
      </c>
      <c r="C1406" s="0" t="s">
        <v>3450</v>
      </c>
      <c r="D1406" s="0" t="s">
        <v>3457</v>
      </c>
      <c r="E1406" s="18" t="s">
        <v>24</v>
      </c>
      <c r="F1406" s="23" t="s">
        <v>30</v>
      </c>
      <c r="G1406" s="21" t="s">
        <v>30</v>
      </c>
      <c r="H1406" s="21" t="s">
        <v>24</v>
      </c>
      <c r="I1406" s="21" t="s">
        <v>24</v>
      </c>
      <c r="J1406" s="21" t="s">
        <v>24</v>
      </c>
      <c r="K1406" s="21" t="s">
        <v>24</v>
      </c>
      <c r="L1406" s="21" t="s">
        <v>24</v>
      </c>
      <c r="M1406" s="0" t="n">
        <v>186</v>
      </c>
      <c r="N1406" s="0" t="n">
        <v>3</v>
      </c>
      <c r="O1406" s="21" t="s">
        <v>3562</v>
      </c>
      <c r="P1406" s="21" t="s">
        <v>4719</v>
      </c>
      <c r="Q1406" s="0" t="n">
        <v>0</v>
      </c>
      <c r="S1406" s="0" t="n">
        <v>3</v>
      </c>
      <c r="T1406" s="21" t="s">
        <v>3562</v>
      </c>
      <c r="U1406" s="22" t="b">
        <f aca="false">TRUE()</f>
        <v>1</v>
      </c>
      <c r="V1406" s="0" t="n">
        <v>0.74</v>
      </c>
      <c r="W1406" s="0" t="n">
        <v>0.4</v>
      </c>
      <c r="X1406" s="0" t="n">
        <v>11.33</v>
      </c>
      <c r="Y1406" s="0" t="n">
        <v>359.55</v>
      </c>
      <c r="Z1406" s="0" t="n">
        <v>9.75</v>
      </c>
      <c r="AA1406" s="0" t="n">
        <v>14.67</v>
      </c>
      <c r="AB1406" s="0" t="n">
        <v>2.41</v>
      </c>
      <c r="AC1406" s="22" t="b">
        <f aca="false">FALSE()</f>
        <v>0</v>
      </c>
      <c r="AD1406" s="0" t="n">
        <v>4.56</v>
      </c>
      <c r="AE1406" s="0" t="n">
        <v>1.01</v>
      </c>
      <c r="AF1406" s="0" t="n">
        <v>9.11</v>
      </c>
      <c r="AG1406" s="22" t="b">
        <f aca="false">FALSE()</f>
        <v>0</v>
      </c>
      <c r="AH1406" s="0" t="n">
        <v>1</v>
      </c>
    </row>
    <row r="1407" customFormat="false" ht="15" hidden="false" customHeight="false" outlineLevel="0" collapsed="false">
      <c r="A1407" s="0" t="s">
        <v>2169</v>
      </c>
      <c r="B1407" s="0" t="s">
        <v>134</v>
      </c>
      <c r="C1407" s="0" t="s">
        <v>3450</v>
      </c>
      <c r="D1407" s="0" t="s">
        <v>3448</v>
      </c>
      <c r="E1407" s="18" t="s">
        <v>24</v>
      </c>
      <c r="F1407" s="23" t="s">
        <v>30</v>
      </c>
      <c r="G1407" s="21" t="s">
        <v>30</v>
      </c>
      <c r="H1407" s="21" t="s">
        <v>24</v>
      </c>
      <c r="I1407" s="21" t="s">
        <v>24</v>
      </c>
      <c r="J1407" s="21" t="s">
        <v>24</v>
      </c>
      <c r="K1407" s="21" t="s">
        <v>24</v>
      </c>
      <c r="L1407" s="21" t="s">
        <v>24</v>
      </c>
      <c r="M1407" s="0" t="n">
        <v>187</v>
      </c>
      <c r="N1407" s="0" t="n">
        <v>3</v>
      </c>
      <c r="O1407" s="21" t="s">
        <v>3562</v>
      </c>
      <c r="P1407" s="21" t="s">
        <v>4719</v>
      </c>
      <c r="Q1407" s="0" t="n">
        <v>0</v>
      </c>
      <c r="S1407" s="0" t="n">
        <v>3</v>
      </c>
      <c r="T1407" s="21" t="s">
        <v>3562</v>
      </c>
      <c r="U1407" s="22" t="b">
        <f aca="false">TRUE()</f>
        <v>1</v>
      </c>
      <c r="V1407" s="0" t="n">
        <v>0.77</v>
      </c>
      <c r="W1407" s="0" t="n">
        <v>0.36</v>
      </c>
      <c r="X1407" s="0" t="n">
        <v>12.24</v>
      </c>
      <c r="Y1407" s="0" t="n">
        <v>383.38</v>
      </c>
      <c r="Z1407" s="0" t="n">
        <v>10</v>
      </c>
      <c r="AA1407" s="0" t="n">
        <v>14.52</v>
      </c>
      <c r="AB1407" s="0" t="n">
        <v>2.44</v>
      </c>
      <c r="AC1407" s="22" t="b">
        <f aca="false">FALSE()</f>
        <v>0</v>
      </c>
      <c r="AD1407" s="0" t="n">
        <v>10.33</v>
      </c>
      <c r="AE1407" s="0" t="n">
        <v>1.08</v>
      </c>
      <c r="AF1407" s="0" t="n">
        <v>7.46</v>
      </c>
      <c r="AG1407" s="22" t="b">
        <f aca="false">TRUE()</f>
        <v>1</v>
      </c>
      <c r="AH1407" s="0" t="n">
        <v>1</v>
      </c>
    </row>
    <row r="1408" customFormat="false" ht="15" hidden="false" customHeight="false" outlineLevel="0" collapsed="false">
      <c r="A1408" s="0" t="s">
        <v>2169</v>
      </c>
      <c r="B1408" s="0" t="s">
        <v>134</v>
      </c>
      <c r="C1408" s="0" t="s">
        <v>3447</v>
      </c>
      <c r="D1408" s="0" t="s">
        <v>3457</v>
      </c>
      <c r="E1408" s="18" t="s">
        <v>24</v>
      </c>
      <c r="F1408" s="18" t="s">
        <v>28</v>
      </c>
      <c r="H1408" s="21" t="s">
        <v>24</v>
      </c>
      <c r="I1408" s="21" t="s">
        <v>24</v>
      </c>
      <c r="J1408" s="21" t="s">
        <v>24</v>
      </c>
      <c r="K1408" s="21" t="s">
        <v>24</v>
      </c>
      <c r="L1408" s="21" t="s">
        <v>24</v>
      </c>
      <c r="M1408" s="0" t="n">
        <v>185</v>
      </c>
      <c r="N1408" s="0" t="n">
        <v>0</v>
      </c>
      <c r="Q1408" s="0" t="n">
        <v>0</v>
      </c>
      <c r="S1408" s="0" t="n">
        <v>0</v>
      </c>
      <c r="U1408" s="22" t="b">
        <f aca="false">FALSE()</f>
        <v>0</v>
      </c>
      <c r="V1408" s="0" t="n">
        <v>0.76</v>
      </c>
      <c r="W1408" s="0" t="n">
        <v>0.16</v>
      </c>
      <c r="X1408" s="0" t="n">
        <v>10.4</v>
      </c>
      <c r="Y1408" s="0" t="n">
        <v>562.27</v>
      </c>
      <c r="Z1408" s="0" t="n">
        <v>10.17</v>
      </c>
      <c r="AA1408" s="0" t="n">
        <v>12.54</v>
      </c>
      <c r="AB1408" s="0" t="n">
        <v>2.41</v>
      </c>
      <c r="AC1408" s="22" t="b">
        <f aca="false">FALSE()</f>
        <v>0</v>
      </c>
      <c r="AD1408" s="0" t="n">
        <v>4.45</v>
      </c>
      <c r="AE1408" s="0" t="n">
        <v>0.91</v>
      </c>
      <c r="AF1408" s="0" t="n">
        <v>10.89</v>
      </c>
      <c r="AG1408" s="22" t="b">
        <f aca="false">FALSE()</f>
        <v>0</v>
      </c>
      <c r="AH1408" s="0" t="n">
        <v>1</v>
      </c>
    </row>
    <row r="1409" customFormat="false" ht="15" hidden="false" customHeight="false" outlineLevel="0" collapsed="false">
      <c r="A1409" s="0" t="s">
        <v>2169</v>
      </c>
      <c r="B1409" s="0" t="s">
        <v>134</v>
      </c>
      <c r="C1409" s="0" t="s">
        <v>3447</v>
      </c>
      <c r="D1409" s="0" t="s">
        <v>3448</v>
      </c>
      <c r="E1409" s="18" t="s">
        <v>24</v>
      </c>
      <c r="F1409" s="23" t="s">
        <v>30</v>
      </c>
      <c r="G1409" s="21" t="s">
        <v>30</v>
      </c>
      <c r="H1409" s="21" t="s">
        <v>24</v>
      </c>
      <c r="I1409" s="21" t="s">
        <v>24</v>
      </c>
      <c r="J1409" s="21" t="s">
        <v>24</v>
      </c>
      <c r="K1409" s="21" t="s">
        <v>24</v>
      </c>
      <c r="L1409" s="21" t="s">
        <v>24</v>
      </c>
      <c r="M1409" s="0" t="n">
        <v>187</v>
      </c>
      <c r="N1409" s="0" t="n">
        <v>1</v>
      </c>
      <c r="O1409" s="21" t="s">
        <v>3490</v>
      </c>
      <c r="P1409" s="21" t="s">
        <v>4720</v>
      </c>
      <c r="Q1409" s="0" t="n">
        <v>0</v>
      </c>
      <c r="S1409" s="0" t="n">
        <v>1</v>
      </c>
      <c r="T1409" s="21" t="s">
        <v>3490</v>
      </c>
      <c r="U1409" s="22" t="b">
        <f aca="false">TRUE()</f>
        <v>1</v>
      </c>
      <c r="V1409" s="0" t="n">
        <v>0.75</v>
      </c>
      <c r="W1409" s="0" t="n">
        <v>0.92</v>
      </c>
      <c r="X1409" s="0" t="n">
        <v>11.34</v>
      </c>
      <c r="Y1409" s="0" t="n">
        <v>322.84</v>
      </c>
      <c r="Z1409" s="0" t="n">
        <v>9.75</v>
      </c>
      <c r="AA1409" s="0" t="n">
        <v>12.37</v>
      </c>
      <c r="AB1409" s="0" t="n">
        <v>2.44</v>
      </c>
      <c r="AC1409" s="22" t="b">
        <f aca="false">FALSE()</f>
        <v>0</v>
      </c>
      <c r="AD1409" s="0" t="n">
        <v>8.06</v>
      </c>
      <c r="AE1409" s="0" t="n">
        <v>1.34</v>
      </c>
      <c r="AF1409" s="0" t="n">
        <v>3.69</v>
      </c>
      <c r="AG1409" s="22" t="b">
        <f aca="false">FALSE()</f>
        <v>0</v>
      </c>
      <c r="AH1409" s="0" t="n">
        <v>1</v>
      </c>
    </row>
    <row r="1410" customFormat="false" ht="15" hidden="false" customHeight="false" outlineLevel="0" collapsed="false">
      <c r="A1410" s="0" t="s">
        <v>2180</v>
      </c>
      <c r="B1410" s="0" t="s">
        <v>134</v>
      </c>
      <c r="C1410" s="0" t="s">
        <v>3450</v>
      </c>
      <c r="D1410" s="0" t="s">
        <v>3457</v>
      </c>
      <c r="E1410" s="20" t="s">
        <v>25</v>
      </c>
      <c r="F1410" s="23" t="s">
        <v>30</v>
      </c>
      <c r="G1410" s="21" t="s">
        <v>283</v>
      </c>
      <c r="H1410" s="21" t="s">
        <v>24</v>
      </c>
      <c r="I1410" s="21" t="s">
        <v>25</v>
      </c>
      <c r="J1410" s="21" t="s">
        <v>24</v>
      </c>
      <c r="K1410" s="21" t="s">
        <v>24</v>
      </c>
      <c r="L1410" s="21" t="s">
        <v>24</v>
      </c>
      <c r="M1410" s="0" t="n">
        <v>200</v>
      </c>
      <c r="N1410" s="0" t="n">
        <v>1</v>
      </c>
      <c r="O1410" s="21" t="s">
        <v>70</v>
      </c>
      <c r="P1410" s="21" t="s">
        <v>4378</v>
      </c>
      <c r="Q1410" s="0" t="n">
        <v>1</v>
      </c>
      <c r="R1410" s="21" t="s">
        <v>70</v>
      </c>
      <c r="S1410" s="0" t="n">
        <v>1</v>
      </c>
      <c r="T1410" s="21" t="s">
        <v>70</v>
      </c>
      <c r="U1410" s="22" t="b">
        <f aca="false">TRUE()</f>
        <v>1</v>
      </c>
      <c r="V1410" s="0" t="n">
        <v>0.74</v>
      </c>
      <c r="W1410" s="0" t="n">
        <v>0.2</v>
      </c>
      <c r="X1410" s="0" t="n">
        <v>9.14</v>
      </c>
      <c r="Y1410" s="0" t="n">
        <v>552.31</v>
      </c>
      <c r="Z1410" s="0" t="n">
        <v>10.42</v>
      </c>
      <c r="AA1410" s="0" t="n">
        <v>18.69</v>
      </c>
      <c r="AB1410" s="0" t="n">
        <v>2.38</v>
      </c>
      <c r="AC1410" s="22" t="b">
        <f aca="false">FALSE()</f>
        <v>0</v>
      </c>
      <c r="AD1410" s="0" t="n">
        <v>11.78</v>
      </c>
      <c r="AE1410" s="0" t="n">
        <v>0.56</v>
      </c>
      <c r="AF1410" s="0" t="n">
        <v>13.05</v>
      </c>
      <c r="AG1410" s="22" t="b">
        <f aca="false">TRUE()</f>
        <v>1</v>
      </c>
      <c r="AH1410" s="0" t="n">
        <v>1</v>
      </c>
    </row>
    <row r="1411" customFormat="false" ht="15" hidden="false" customHeight="false" outlineLevel="0" collapsed="false">
      <c r="A1411" s="0" t="s">
        <v>2180</v>
      </c>
      <c r="B1411" s="0" t="s">
        <v>134</v>
      </c>
      <c r="C1411" s="0" t="s">
        <v>3450</v>
      </c>
      <c r="D1411" s="0" t="s">
        <v>3448</v>
      </c>
      <c r="E1411" s="20" t="s">
        <v>25</v>
      </c>
      <c r="F1411" s="23" t="s">
        <v>30</v>
      </c>
      <c r="G1411" s="21" t="s">
        <v>183</v>
      </c>
      <c r="H1411" s="21" t="s">
        <v>24</v>
      </c>
      <c r="I1411" s="21" t="s">
        <v>25</v>
      </c>
      <c r="J1411" s="21" t="s">
        <v>24</v>
      </c>
      <c r="K1411" s="21" t="s">
        <v>25</v>
      </c>
      <c r="L1411" s="21" t="s">
        <v>24</v>
      </c>
      <c r="M1411" s="0" t="n">
        <v>183</v>
      </c>
      <c r="N1411" s="0" t="n">
        <v>1</v>
      </c>
      <c r="O1411" s="21" t="s">
        <v>69</v>
      </c>
      <c r="P1411" s="21" t="s">
        <v>4275</v>
      </c>
      <c r="Q1411" s="0" t="n">
        <v>1</v>
      </c>
      <c r="R1411" s="21" t="s">
        <v>69</v>
      </c>
      <c r="S1411" s="0" t="n">
        <v>1</v>
      </c>
      <c r="T1411" s="21" t="s">
        <v>69</v>
      </c>
      <c r="U1411" s="22" t="b">
        <f aca="false">TRUE()</f>
        <v>1</v>
      </c>
      <c r="V1411" s="0" t="n">
        <v>0.74</v>
      </c>
      <c r="W1411" s="0" t="n">
        <v>0.28</v>
      </c>
      <c r="X1411" s="0" t="n">
        <v>10.26</v>
      </c>
      <c r="Y1411" s="0" t="n">
        <v>429.81</v>
      </c>
      <c r="Z1411" s="0" t="n">
        <v>10.5</v>
      </c>
      <c r="AA1411" s="0" t="n">
        <v>16.71</v>
      </c>
      <c r="AB1411" s="0" t="n">
        <v>1.54</v>
      </c>
      <c r="AC1411" s="22" t="b">
        <f aca="false">FALSE()</f>
        <v>0</v>
      </c>
      <c r="AD1411" s="0" t="n">
        <v>28.4</v>
      </c>
      <c r="AE1411" s="0" t="n">
        <v>18.03</v>
      </c>
      <c r="AF1411" s="0" t="n">
        <v>26.14</v>
      </c>
      <c r="AG1411" s="22" t="b">
        <f aca="false">TRUE()</f>
        <v>1</v>
      </c>
      <c r="AH1411" s="0" t="n">
        <v>1</v>
      </c>
    </row>
    <row r="1412" customFormat="false" ht="15" hidden="false" customHeight="false" outlineLevel="0" collapsed="false">
      <c r="A1412" s="0" t="s">
        <v>2180</v>
      </c>
      <c r="B1412" s="0" t="s">
        <v>134</v>
      </c>
      <c r="C1412" s="0" t="s">
        <v>3447</v>
      </c>
      <c r="D1412" s="0" t="s">
        <v>3457</v>
      </c>
      <c r="E1412" s="18" t="s">
        <v>24</v>
      </c>
      <c r="F1412" s="18" t="s">
        <v>28</v>
      </c>
      <c r="H1412" s="21" t="s">
        <v>24</v>
      </c>
      <c r="I1412" s="21" t="s">
        <v>24</v>
      </c>
      <c r="J1412" s="21" t="s">
        <v>24</v>
      </c>
      <c r="K1412" s="21" t="s">
        <v>24</v>
      </c>
      <c r="L1412" s="21" t="s">
        <v>24</v>
      </c>
      <c r="M1412" s="0" t="n">
        <v>186</v>
      </c>
      <c r="N1412" s="0" t="n">
        <v>0</v>
      </c>
      <c r="Q1412" s="0" t="n">
        <v>0</v>
      </c>
      <c r="S1412" s="0" t="n">
        <v>0</v>
      </c>
      <c r="U1412" s="22" t="b">
        <f aca="false">FALSE()</f>
        <v>0</v>
      </c>
      <c r="V1412" s="0" t="n">
        <v>0.71</v>
      </c>
      <c r="W1412" s="0" t="n">
        <v>0.8</v>
      </c>
      <c r="X1412" s="0" t="n">
        <v>6.99</v>
      </c>
      <c r="Y1412" s="0" t="n">
        <v>326.06</v>
      </c>
      <c r="Z1412" s="0" t="n">
        <v>8.08</v>
      </c>
      <c r="AA1412" s="0" t="n">
        <v>-1.31</v>
      </c>
      <c r="AB1412" s="0" t="n">
        <v>2.38</v>
      </c>
      <c r="AC1412" s="22" t="b">
        <f aca="false">FALSE()</f>
        <v>0</v>
      </c>
      <c r="AD1412" s="0" t="n">
        <v>0.9</v>
      </c>
      <c r="AE1412" s="0" t="n">
        <v>0.07</v>
      </c>
      <c r="AF1412" s="0" t="n">
        <v>3.28</v>
      </c>
      <c r="AG1412" s="22" t="b">
        <f aca="false">FALSE()</f>
        <v>0</v>
      </c>
      <c r="AH1412" s="0" t="n">
        <v>1</v>
      </c>
    </row>
    <row r="1413" customFormat="false" ht="15" hidden="false" customHeight="false" outlineLevel="0" collapsed="false">
      <c r="A1413" s="0" t="s">
        <v>2180</v>
      </c>
      <c r="B1413" s="0" t="s">
        <v>134</v>
      </c>
      <c r="C1413" s="0" t="s">
        <v>3447</v>
      </c>
      <c r="D1413" s="0" t="s">
        <v>3448</v>
      </c>
      <c r="E1413" s="20" t="s">
        <v>25</v>
      </c>
      <c r="F1413" s="23" t="s">
        <v>30</v>
      </c>
      <c r="G1413" s="21" t="s">
        <v>283</v>
      </c>
      <c r="H1413" s="21" t="s">
        <v>24</v>
      </c>
      <c r="I1413" s="21" t="s">
        <v>25</v>
      </c>
      <c r="J1413" s="21" t="s">
        <v>24</v>
      </c>
      <c r="K1413" s="21" t="s">
        <v>24</v>
      </c>
      <c r="L1413" s="21" t="s">
        <v>24</v>
      </c>
      <c r="M1413" s="0" t="n">
        <v>186</v>
      </c>
      <c r="N1413" s="0" t="n">
        <v>1</v>
      </c>
      <c r="O1413" s="21" t="s">
        <v>69</v>
      </c>
      <c r="P1413" s="21" t="s">
        <v>4275</v>
      </c>
      <c r="Q1413" s="0" t="n">
        <v>1</v>
      </c>
      <c r="R1413" s="21" t="s">
        <v>69</v>
      </c>
      <c r="S1413" s="0" t="n">
        <v>1</v>
      </c>
      <c r="T1413" s="21" t="s">
        <v>69</v>
      </c>
      <c r="U1413" s="22" t="b">
        <f aca="false">TRUE()</f>
        <v>1</v>
      </c>
      <c r="V1413" s="0" t="n">
        <v>0.7</v>
      </c>
      <c r="W1413" s="0" t="n">
        <v>0.88</v>
      </c>
      <c r="X1413" s="0" t="n">
        <v>7.67</v>
      </c>
      <c r="Y1413" s="0" t="n">
        <v>324.37</v>
      </c>
      <c r="Z1413" s="0" t="n">
        <v>8</v>
      </c>
      <c r="AA1413" s="0" t="n">
        <v>-1.06</v>
      </c>
      <c r="AB1413" s="0" t="n">
        <v>1.54</v>
      </c>
      <c r="AC1413" s="22" t="b">
        <f aca="false">FALSE()</f>
        <v>0</v>
      </c>
      <c r="AD1413" s="0" t="n">
        <v>13.59</v>
      </c>
      <c r="AE1413" s="0" t="n">
        <v>6.04</v>
      </c>
      <c r="AF1413" s="0" t="n">
        <v>14.36</v>
      </c>
      <c r="AG1413" s="22" t="b">
        <f aca="false">TRUE()</f>
        <v>1</v>
      </c>
      <c r="AH1413" s="0" t="n">
        <v>1</v>
      </c>
    </row>
    <row r="1414" customFormat="false" ht="15" hidden="false" customHeight="false" outlineLevel="0" collapsed="false">
      <c r="A1414" s="0" t="s">
        <v>2186</v>
      </c>
      <c r="B1414" s="0" t="s">
        <v>134</v>
      </c>
      <c r="C1414" s="0" t="s">
        <v>3450</v>
      </c>
      <c r="D1414" s="0" t="s">
        <v>3457</v>
      </c>
      <c r="E1414" s="20" t="s">
        <v>25</v>
      </c>
      <c r="F1414" s="23" t="s">
        <v>30</v>
      </c>
      <c r="G1414" s="21" t="s">
        <v>183</v>
      </c>
      <c r="H1414" s="21" t="s">
        <v>24</v>
      </c>
      <c r="I1414" s="21" t="s">
        <v>25</v>
      </c>
      <c r="J1414" s="21" t="s">
        <v>24</v>
      </c>
      <c r="K1414" s="21" t="s">
        <v>25</v>
      </c>
      <c r="L1414" s="21" t="s">
        <v>24</v>
      </c>
      <c r="M1414" s="0" t="n">
        <v>185</v>
      </c>
      <c r="N1414" s="0" t="n">
        <v>1</v>
      </c>
      <c r="O1414" s="21" t="s">
        <v>69</v>
      </c>
      <c r="P1414" s="21" t="s">
        <v>4275</v>
      </c>
      <c r="Q1414" s="0" t="n">
        <v>1</v>
      </c>
      <c r="R1414" s="21" t="s">
        <v>69</v>
      </c>
      <c r="S1414" s="0" t="n">
        <v>1</v>
      </c>
      <c r="T1414" s="21" t="s">
        <v>69</v>
      </c>
      <c r="U1414" s="22" t="b">
        <f aca="false">TRUE()</f>
        <v>1</v>
      </c>
      <c r="V1414" s="0" t="n">
        <v>0.71</v>
      </c>
      <c r="W1414" s="0" t="n">
        <v>0.6</v>
      </c>
      <c r="X1414" s="0" t="n">
        <v>10.01</v>
      </c>
      <c r="Y1414" s="0" t="n">
        <v>325.73</v>
      </c>
      <c r="Z1414" s="0" t="n">
        <v>8.25</v>
      </c>
      <c r="AA1414" s="0" t="n">
        <v>12.09</v>
      </c>
      <c r="AB1414" s="0" t="n">
        <v>2.27</v>
      </c>
      <c r="AC1414" s="22" t="b">
        <f aca="false">FALSE()</f>
        <v>0</v>
      </c>
      <c r="AD1414" s="0" t="n">
        <v>20.79</v>
      </c>
      <c r="AE1414" s="0" t="n">
        <v>0.76</v>
      </c>
      <c r="AF1414" s="0" t="n">
        <v>16.58</v>
      </c>
      <c r="AG1414" s="22" t="b">
        <f aca="false">TRUE()</f>
        <v>1</v>
      </c>
      <c r="AH1414" s="0" t="n">
        <v>1</v>
      </c>
    </row>
    <row r="1415" customFormat="false" ht="15" hidden="false" customHeight="false" outlineLevel="0" collapsed="false">
      <c r="A1415" s="0" t="s">
        <v>2186</v>
      </c>
      <c r="B1415" s="0" t="s">
        <v>134</v>
      </c>
      <c r="C1415" s="0" t="s">
        <v>3450</v>
      </c>
      <c r="D1415" s="0" t="s">
        <v>3448</v>
      </c>
      <c r="E1415" s="18" t="s">
        <v>24</v>
      </c>
      <c r="F1415" s="18" t="s">
        <v>28</v>
      </c>
      <c r="H1415" s="21" t="s">
        <v>24</v>
      </c>
      <c r="I1415" s="21" t="s">
        <v>24</v>
      </c>
      <c r="J1415" s="21" t="s">
        <v>24</v>
      </c>
      <c r="K1415" s="21" t="s">
        <v>24</v>
      </c>
      <c r="L1415" s="21" t="s">
        <v>24</v>
      </c>
      <c r="M1415" s="0" t="n">
        <v>183</v>
      </c>
      <c r="N1415" s="0" t="n">
        <v>0</v>
      </c>
      <c r="Q1415" s="0" t="n">
        <v>0</v>
      </c>
      <c r="S1415" s="0" t="n">
        <v>0</v>
      </c>
      <c r="U1415" s="22" t="b">
        <f aca="false">FALSE()</f>
        <v>0</v>
      </c>
      <c r="V1415" s="0" t="n">
        <v>0.75</v>
      </c>
      <c r="W1415" s="0" t="n">
        <v>0.52</v>
      </c>
      <c r="X1415" s="0" t="n">
        <v>11.04</v>
      </c>
      <c r="Y1415" s="0" t="n">
        <v>326.3</v>
      </c>
      <c r="Z1415" s="0" t="n">
        <v>8.25</v>
      </c>
      <c r="AA1415" s="0" t="n">
        <v>11.86</v>
      </c>
      <c r="AB1415" s="0" t="n">
        <v>2.04</v>
      </c>
      <c r="AC1415" s="22" t="b">
        <f aca="false">FALSE()</f>
        <v>0</v>
      </c>
      <c r="AD1415" s="0" t="n">
        <v>19.01</v>
      </c>
      <c r="AE1415" s="0" t="n">
        <v>0.16</v>
      </c>
      <c r="AF1415" s="0" t="n">
        <v>17.07</v>
      </c>
      <c r="AG1415" s="22" t="b">
        <f aca="false">TRUE()</f>
        <v>1</v>
      </c>
      <c r="AH1415" s="0" t="n">
        <v>1</v>
      </c>
    </row>
    <row r="1416" customFormat="false" ht="15" hidden="false" customHeight="false" outlineLevel="0" collapsed="false">
      <c r="A1416" s="0" t="s">
        <v>2186</v>
      </c>
      <c r="B1416" s="0" t="s">
        <v>134</v>
      </c>
      <c r="C1416" s="0" t="s">
        <v>3447</v>
      </c>
      <c r="D1416" s="0" t="s">
        <v>3457</v>
      </c>
      <c r="E1416" s="18" t="s">
        <v>24</v>
      </c>
      <c r="F1416" s="23" t="s">
        <v>30</v>
      </c>
      <c r="G1416" s="21" t="s">
        <v>30</v>
      </c>
      <c r="H1416" s="21" t="s">
        <v>24</v>
      </c>
      <c r="I1416" s="21" t="s">
        <v>24</v>
      </c>
      <c r="J1416" s="21" t="s">
        <v>24</v>
      </c>
      <c r="K1416" s="21" t="s">
        <v>24</v>
      </c>
      <c r="L1416" s="21" t="s">
        <v>24</v>
      </c>
      <c r="M1416" s="0" t="n">
        <v>185</v>
      </c>
      <c r="N1416" s="0" t="n">
        <v>3</v>
      </c>
      <c r="O1416" s="21" t="s">
        <v>3599</v>
      </c>
      <c r="P1416" s="21" t="s">
        <v>4721</v>
      </c>
      <c r="Q1416" s="0" t="n">
        <v>0</v>
      </c>
      <c r="S1416" s="0" t="n">
        <v>3</v>
      </c>
      <c r="T1416" s="21" t="s">
        <v>3599</v>
      </c>
      <c r="U1416" s="22" t="b">
        <f aca="false">TRUE()</f>
        <v>1</v>
      </c>
      <c r="V1416" s="0" t="n">
        <v>0.74</v>
      </c>
      <c r="W1416" s="0" t="n">
        <v>0.8</v>
      </c>
      <c r="X1416" s="0" t="n">
        <v>9.31</v>
      </c>
      <c r="Y1416" s="0" t="n">
        <v>323.48</v>
      </c>
      <c r="Z1416" s="0" t="n">
        <v>8.5</v>
      </c>
      <c r="AA1416" s="0" t="n">
        <v>10.82</v>
      </c>
      <c r="AB1416" s="0" t="n">
        <v>2.27</v>
      </c>
      <c r="AC1416" s="22" t="b">
        <f aca="false">FALSE()</f>
        <v>0</v>
      </c>
      <c r="AD1416" s="0" t="n">
        <v>19.66</v>
      </c>
      <c r="AE1416" s="0" t="n">
        <v>0.81</v>
      </c>
      <c r="AF1416" s="0" t="n">
        <v>15.9</v>
      </c>
      <c r="AG1416" s="22" t="b">
        <f aca="false">TRUE()</f>
        <v>1</v>
      </c>
      <c r="AH1416" s="0" t="n">
        <v>1</v>
      </c>
    </row>
    <row r="1417" customFormat="false" ht="15" hidden="false" customHeight="false" outlineLevel="0" collapsed="false">
      <c r="A1417" s="0" t="s">
        <v>2186</v>
      </c>
      <c r="B1417" s="0" t="s">
        <v>134</v>
      </c>
      <c r="C1417" s="0" t="s">
        <v>3447</v>
      </c>
      <c r="D1417" s="0" t="s">
        <v>3448</v>
      </c>
      <c r="E1417" s="20" t="s">
        <v>25</v>
      </c>
      <c r="F1417" s="23" t="s">
        <v>30</v>
      </c>
      <c r="G1417" s="21" t="s">
        <v>283</v>
      </c>
      <c r="H1417" s="21" t="s">
        <v>24</v>
      </c>
      <c r="I1417" s="21" t="s">
        <v>25</v>
      </c>
      <c r="J1417" s="21" t="s">
        <v>24</v>
      </c>
      <c r="K1417" s="21" t="s">
        <v>24</v>
      </c>
      <c r="L1417" s="21" t="s">
        <v>24</v>
      </c>
      <c r="M1417" s="0" t="n">
        <v>184</v>
      </c>
      <c r="N1417" s="0" t="n">
        <v>4</v>
      </c>
      <c r="O1417" s="21" t="s">
        <v>3743</v>
      </c>
      <c r="P1417" s="21" t="s">
        <v>4532</v>
      </c>
      <c r="Q1417" s="0" t="n">
        <v>1</v>
      </c>
      <c r="R1417" s="21" t="s">
        <v>69</v>
      </c>
      <c r="S1417" s="0" t="n">
        <v>4</v>
      </c>
      <c r="T1417" s="21" t="s">
        <v>3743</v>
      </c>
      <c r="U1417" s="22" t="b">
        <f aca="false">TRUE()</f>
        <v>1</v>
      </c>
      <c r="V1417" s="0" t="n">
        <v>0.78</v>
      </c>
      <c r="W1417" s="0" t="n">
        <v>0.36</v>
      </c>
      <c r="X1417" s="0" t="n">
        <v>8.89</v>
      </c>
      <c r="Y1417" s="0" t="n">
        <v>378.65</v>
      </c>
      <c r="Z1417" s="0" t="n">
        <v>8.67</v>
      </c>
      <c r="AA1417" s="0" t="n">
        <v>9.01</v>
      </c>
      <c r="AB1417" s="0" t="n">
        <v>2.04</v>
      </c>
      <c r="AC1417" s="22" t="b">
        <f aca="false">FALSE()</f>
        <v>0</v>
      </c>
      <c r="AD1417" s="0" t="n">
        <v>16.72</v>
      </c>
      <c r="AE1417" s="0" t="n">
        <v>1.26</v>
      </c>
      <c r="AF1417" s="0" t="n">
        <v>12.99</v>
      </c>
      <c r="AG1417" s="22" t="b">
        <f aca="false">TRUE()</f>
        <v>1</v>
      </c>
      <c r="AH1417" s="0" t="n">
        <v>1</v>
      </c>
    </row>
    <row r="1418" customFormat="false" ht="15" hidden="false" customHeight="false" outlineLevel="0" collapsed="false">
      <c r="A1418" s="0" t="s">
        <v>2186</v>
      </c>
      <c r="B1418" s="0" t="s">
        <v>3459</v>
      </c>
      <c r="C1418" s="0" t="s">
        <v>3450</v>
      </c>
      <c r="D1418" s="0" t="s">
        <v>3457</v>
      </c>
      <c r="E1418" s="20" t="s">
        <v>25</v>
      </c>
      <c r="F1418" s="23" t="s">
        <v>30</v>
      </c>
      <c r="G1418" s="21" t="s">
        <v>183</v>
      </c>
      <c r="H1418" s="21" t="s">
        <v>24</v>
      </c>
      <c r="I1418" s="21" t="s">
        <v>25</v>
      </c>
      <c r="J1418" s="21" t="s">
        <v>24</v>
      </c>
      <c r="K1418" s="21" t="s">
        <v>25</v>
      </c>
      <c r="L1418" s="21" t="s">
        <v>24</v>
      </c>
      <c r="M1418" s="0" t="n">
        <v>183</v>
      </c>
      <c r="N1418" s="0" t="n">
        <v>5</v>
      </c>
      <c r="O1418" s="21" t="s">
        <v>3824</v>
      </c>
      <c r="P1418" s="21" t="s">
        <v>4565</v>
      </c>
      <c r="Q1418" s="0" t="n">
        <v>1</v>
      </c>
      <c r="R1418" s="21" t="s">
        <v>69</v>
      </c>
      <c r="S1418" s="0" t="n">
        <v>5</v>
      </c>
      <c r="T1418" s="21" t="s">
        <v>3824</v>
      </c>
      <c r="U1418" s="22" t="b">
        <f aca="false">TRUE()</f>
        <v>1</v>
      </c>
      <c r="V1418" s="0" t="n">
        <v>0.68</v>
      </c>
      <c r="W1418" s="0" t="n">
        <v>0.64</v>
      </c>
      <c r="X1418" s="0" t="n">
        <v>9.77</v>
      </c>
      <c r="Y1418" s="0" t="n">
        <v>316.32</v>
      </c>
      <c r="Z1418" s="0" t="n">
        <v>9.33</v>
      </c>
      <c r="AA1418" s="0" t="n">
        <v>12.66</v>
      </c>
      <c r="AB1418" s="0" t="n">
        <v>1.63</v>
      </c>
      <c r="AC1418" s="22" t="b">
        <f aca="false">FALSE()</f>
        <v>0</v>
      </c>
      <c r="AD1418" s="0" t="n">
        <v>20.02</v>
      </c>
      <c r="AE1418" s="0" t="n">
        <v>0.63</v>
      </c>
      <c r="AF1418" s="0" t="n">
        <v>24.09</v>
      </c>
      <c r="AG1418" s="22" t="b">
        <f aca="false">TRUE()</f>
        <v>1</v>
      </c>
      <c r="AH1418" s="0" t="n">
        <v>1</v>
      </c>
    </row>
    <row r="1419" customFormat="false" ht="15" hidden="false" customHeight="false" outlineLevel="0" collapsed="false">
      <c r="A1419" s="0" t="s">
        <v>2186</v>
      </c>
      <c r="B1419" s="0" t="s">
        <v>3459</v>
      </c>
      <c r="C1419" s="0" t="s">
        <v>3450</v>
      </c>
      <c r="D1419" s="0" t="s">
        <v>3448</v>
      </c>
      <c r="E1419" s="20" t="s">
        <v>25</v>
      </c>
      <c r="F1419" s="23" t="s">
        <v>30</v>
      </c>
      <c r="G1419" s="21" t="s">
        <v>1099</v>
      </c>
      <c r="H1419" s="21" t="s">
        <v>24</v>
      </c>
      <c r="I1419" s="21" t="s">
        <v>25</v>
      </c>
      <c r="J1419" s="21" t="s">
        <v>24</v>
      </c>
      <c r="K1419" s="21" t="s">
        <v>25</v>
      </c>
      <c r="L1419" s="21" t="s">
        <v>24</v>
      </c>
      <c r="M1419" s="0" t="n">
        <v>183</v>
      </c>
      <c r="N1419" s="0" t="n">
        <v>1</v>
      </c>
      <c r="O1419" s="21" t="s">
        <v>69</v>
      </c>
      <c r="P1419" s="21" t="s">
        <v>4275</v>
      </c>
      <c r="Q1419" s="0" t="n">
        <v>1</v>
      </c>
      <c r="R1419" s="21" t="s">
        <v>69</v>
      </c>
      <c r="S1419" s="0" t="n">
        <v>1</v>
      </c>
      <c r="T1419" s="21" t="s">
        <v>69</v>
      </c>
      <c r="U1419" s="22" t="b">
        <f aca="false">TRUE()</f>
        <v>1</v>
      </c>
      <c r="V1419" s="0" t="n">
        <v>0.74</v>
      </c>
      <c r="W1419" s="0" t="n">
        <v>0.2</v>
      </c>
      <c r="X1419" s="0" t="n">
        <v>10.36</v>
      </c>
      <c r="Y1419" s="0" t="n">
        <v>479.13</v>
      </c>
      <c r="Z1419" s="0" t="n">
        <v>8.58</v>
      </c>
      <c r="AA1419" s="0" t="n">
        <v>11.23</v>
      </c>
      <c r="AB1419" s="0" t="n">
        <v>1.37</v>
      </c>
      <c r="AC1419" s="22" t="b">
        <f aca="false">FALSE()</f>
        <v>0</v>
      </c>
      <c r="AD1419" s="0" t="n">
        <v>12.91</v>
      </c>
      <c r="AE1419" s="0" t="n">
        <v>0.37</v>
      </c>
      <c r="AF1419" s="0" t="n">
        <v>19.27</v>
      </c>
      <c r="AG1419" s="22" t="b">
        <f aca="false">TRUE()</f>
        <v>1</v>
      </c>
      <c r="AH1419" s="0" t="n">
        <v>1</v>
      </c>
    </row>
    <row r="1420" customFormat="false" ht="15" hidden="false" customHeight="false" outlineLevel="0" collapsed="false">
      <c r="A1420" s="0" t="s">
        <v>2186</v>
      </c>
      <c r="B1420" s="0" t="s">
        <v>3459</v>
      </c>
      <c r="C1420" s="0" t="s">
        <v>3447</v>
      </c>
      <c r="D1420" s="0" t="s">
        <v>3457</v>
      </c>
      <c r="E1420" s="18" t="s">
        <v>24</v>
      </c>
      <c r="F1420" s="18" t="s">
        <v>28</v>
      </c>
      <c r="H1420" s="21" t="s">
        <v>24</v>
      </c>
      <c r="I1420" s="21" t="s">
        <v>24</v>
      </c>
      <c r="J1420" s="21" t="s">
        <v>24</v>
      </c>
      <c r="K1420" s="21" t="s">
        <v>24</v>
      </c>
      <c r="L1420" s="21" t="s">
        <v>24</v>
      </c>
      <c r="M1420" s="0" t="n">
        <v>182</v>
      </c>
      <c r="N1420" s="0" t="n">
        <v>0</v>
      </c>
      <c r="Q1420" s="0" t="n">
        <v>0</v>
      </c>
      <c r="S1420" s="0" t="n">
        <v>0</v>
      </c>
      <c r="U1420" s="22" t="b">
        <f aca="false">FALSE()</f>
        <v>0</v>
      </c>
      <c r="V1420" s="0" t="n">
        <v>0.77</v>
      </c>
      <c r="W1420" s="0" t="n">
        <v>0.72</v>
      </c>
      <c r="X1420" s="0" t="n">
        <v>8.44</v>
      </c>
      <c r="Y1420" s="0" t="n">
        <v>315.45</v>
      </c>
      <c r="Z1420" s="0" t="n">
        <v>8.75</v>
      </c>
      <c r="AA1420" s="0" t="n">
        <v>0.58</v>
      </c>
      <c r="AB1420" s="0" t="n">
        <v>1.63</v>
      </c>
      <c r="AC1420" s="22" t="b">
        <f aca="false">FALSE()</f>
        <v>0</v>
      </c>
      <c r="AD1420" s="0" t="n">
        <v>12.66</v>
      </c>
      <c r="AE1420" s="0" t="n">
        <v>0.56</v>
      </c>
      <c r="AF1420" s="0" t="n">
        <v>17.08</v>
      </c>
      <c r="AG1420" s="22" t="b">
        <f aca="false">TRUE()</f>
        <v>1</v>
      </c>
      <c r="AH1420" s="0" t="n">
        <v>1</v>
      </c>
    </row>
    <row r="1421" customFormat="false" ht="15" hidden="false" customHeight="false" outlineLevel="0" collapsed="false">
      <c r="A1421" s="0" t="s">
        <v>2186</v>
      </c>
      <c r="B1421" s="0" t="s">
        <v>3459</v>
      </c>
      <c r="C1421" s="0" t="s">
        <v>3447</v>
      </c>
      <c r="D1421" s="0" t="s">
        <v>3448</v>
      </c>
      <c r="E1421" s="19" t="s">
        <v>26</v>
      </c>
      <c r="F1421" s="19" t="s">
        <v>32</v>
      </c>
      <c r="G1421" s="21" t="s">
        <v>3885</v>
      </c>
      <c r="H1421" s="21" t="s">
        <v>24</v>
      </c>
      <c r="I1421" s="21" t="s">
        <v>26</v>
      </c>
      <c r="J1421" s="21" t="s">
        <v>24</v>
      </c>
      <c r="K1421" s="21" t="s">
        <v>25</v>
      </c>
      <c r="L1421" s="21" t="s">
        <v>24</v>
      </c>
      <c r="M1421" s="0" t="n">
        <v>183</v>
      </c>
      <c r="N1421" s="0" t="n">
        <v>12</v>
      </c>
      <c r="O1421" s="21" t="s">
        <v>3950</v>
      </c>
      <c r="P1421" s="21" t="s">
        <v>4722</v>
      </c>
      <c r="Q1421" s="0" t="n">
        <v>0</v>
      </c>
      <c r="S1421" s="0" t="n">
        <v>12</v>
      </c>
      <c r="T1421" s="21" t="s">
        <v>3950</v>
      </c>
      <c r="U1421" s="22" t="b">
        <f aca="false">FALSE()</f>
        <v>0</v>
      </c>
      <c r="V1421" s="0" t="n">
        <v>0.76</v>
      </c>
      <c r="W1421" s="0" t="n">
        <v>0.4</v>
      </c>
      <c r="X1421" s="0" t="n">
        <v>11.1</v>
      </c>
      <c r="Y1421" s="0" t="n">
        <v>346.4</v>
      </c>
      <c r="Z1421" s="0" t="n">
        <v>9.58</v>
      </c>
      <c r="AA1421" s="0" t="n">
        <v>11.37</v>
      </c>
      <c r="AB1421" s="0" t="n">
        <v>1.37</v>
      </c>
      <c r="AC1421" s="22" t="b">
        <f aca="false">FALSE()</f>
        <v>0</v>
      </c>
      <c r="AD1421" s="0" t="n">
        <v>13.83</v>
      </c>
      <c r="AE1421" s="0" t="n">
        <v>1.37</v>
      </c>
      <c r="AF1421" s="0" t="n">
        <v>19.84</v>
      </c>
      <c r="AG1421" s="22" t="b">
        <f aca="false">TRUE()</f>
        <v>1</v>
      </c>
      <c r="AH1421" s="0" t="n">
        <v>1</v>
      </c>
    </row>
    <row r="1422" customFormat="false" ht="15" hidden="false" customHeight="false" outlineLevel="0" collapsed="false">
      <c r="A1422" s="0" t="s">
        <v>2192</v>
      </c>
      <c r="B1422" s="0" t="s">
        <v>134</v>
      </c>
      <c r="C1422" s="0" t="s">
        <v>3450</v>
      </c>
      <c r="D1422" s="0" t="s">
        <v>3457</v>
      </c>
      <c r="E1422" s="20" t="s">
        <v>25</v>
      </c>
      <c r="F1422" s="23" t="s">
        <v>30</v>
      </c>
      <c r="G1422" s="21" t="s">
        <v>283</v>
      </c>
      <c r="H1422" s="21" t="s">
        <v>24</v>
      </c>
      <c r="I1422" s="21" t="s">
        <v>25</v>
      </c>
      <c r="J1422" s="21" t="s">
        <v>24</v>
      </c>
      <c r="K1422" s="21" t="s">
        <v>24</v>
      </c>
      <c r="L1422" s="21" t="s">
        <v>24</v>
      </c>
      <c r="M1422" s="0" t="n">
        <v>185</v>
      </c>
      <c r="N1422" s="0" t="n">
        <v>2</v>
      </c>
      <c r="O1422" s="21" t="s">
        <v>3575</v>
      </c>
      <c r="P1422" s="21" t="s">
        <v>4265</v>
      </c>
      <c r="Q1422" s="0" t="n">
        <v>1</v>
      </c>
      <c r="R1422" s="21" t="s">
        <v>69</v>
      </c>
      <c r="S1422" s="0" t="n">
        <v>2</v>
      </c>
      <c r="T1422" s="21" t="s">
        <v>3575</v>
      </c>
      <c r="U1422" s="22" t="b">
        <f aca="false">TRUE()</f>
        <v>1</v>
      </c>
      <c r="V1422" s="0" t="n">
        <v>0.67</v>
      </c>
      <c r="W1422" s="0" t="n">
        <v>0.4</v>
      </c>
      <c r="X1422" s="0" t="n">
        <v>6.66</v>
      </c>
      <c r="Y1422" s="0" t="n">
        <v>359.13</v>
      </c>
      <c r="Z1422" s="0" t="n">
        <v>10</v>
      </c>
      <c r="AA1422" s="0" t="n">
        <v>12.01</v>
      </c>
      <c r="AB1422" s="0" t="n">
        <v>3.28</v>
      </c>
      <c r="AC1422" s="22" t="b">
        <f aca="false">FALSE()</f>
        <v>0</v>
      </c>
      <c r="AD1422" s="0" t="n">
        <v>11.14</v>
      </c>
      <c r="AE1422" s="0" t="n">
        <v>1.24</v>
      </c>
      <c r="AF1422" s="0" t="n">
        <v>2.58</v>
      </c>
      <c r="AG1422" s="22" t="b">
        <f aca="false">TRUE()</f>
        <v>1</v>
      </c>
      <c r="AH1422" s="0" t="n">
        <v>1</v>
      </c>
    </row>
    <row r="1423" customFormat="false" ht="15" hidden="false" customHeight="false" outlineLevel="0" collapsed="false">
      <c r="A1423" s="0" t="s">
        <v>2192</v>
      </c>
      <c r="B1423" s="0" t="s">
        <v>134</v>
      </c>
      <c r="C1423" s="0" t="s">
        <v>3450</v>
      </c>
      <c r="D1423" s="0" t="s">
        <v>3448</v>
      </c>
      <c r="E1423" s="20" t="s">
        <v>25</v>
      </c>
      <c r="F1423" s="23" t="s">
        <v>30</v>
      </c>
      <c r="G1423" s="21" t="s">
        <v>1152</v>
      </c>
      <c r="H1423" s="21" t="s">
        <v>24</v>
      </c>
      <c r="I1423" s="21" t="s">
        <v>25</v>
      </c>
      <c r="J1423" s="21" t="s">
        <v>24</v>
      </c>
      <c r="K1423" s="21" t="s">
        <v>25</v>
      </c>
      <c r="L1423" s="21" t="s">
        <v>24</v>
      </c>
      <c r="M1423" s="0" t="n">
        <v>183</v>
      </c>
      <c r="N1423" s="0" t="n">
        <v>3</v>
      </c>
      <c r="O1423" s="21" t="s">
        <v>3649</v>
      </c>
      <c r="P1423" s="21" t="s">
        <v>4242</v>
      </c>
      <c r="Q1423" s="0" t="n">
        <v>1</v>
      </c>
      <c r="R1423" s="21" t="s">
        <v>69</v>
      </c>
      <c r="S1423" s="0" t="n">
        <v>3</v>
      </c>
      <c r="T1423" s="21" t="s">
        <v>3649</v>
      </c>
      <c r="U1423" s="22" t="b">
        <f aca="false">TRUE()</f>
        <v>1</v>
      </c>
      <c r="V1423" s="0" t="n">
        <v>0.7</v>
      </c>
      <c r="W1423" s="0" t="n">
        <v>0.32</v>
      </c>
      <c r="X1423" s="0" t="n">
        <v>6.6</v>
      </c>
      <c r="Y1423" s="0" t="n">
        <v>402.83</v>
      </c>
      <c r="Z1423" s="0" t="n">
        <v>9.25</v>
      </c>
      <c r="AA1423" s="0" t="n">
        <v>12.2</v>
      </c>
      <c r="AB1423" s="0" t="n">
        <v>0.15</v>
      </c>
      <c r="AC1423" s="22" t="b">
        <f aca="false">FALSE()</f>
        <v>0</v>
      </c>
      <c r="AD1423" s="0" t="n">
        <v>6.75</v>
      </c>
      <c r="AE1423" s="0" t="n">
        <v>0.88</v>
      </c>
      <c r="AF1423" s="0" t="n">
        <v>1.2</v>
      </c>
      <c r="AG1423" s="22" t="b">
        <f aca="false">FALSE()</f>
        <v>0</v>
      </c>
      <c r="AH1423" s="0" t="n">
        <v>1</v>
      </c>
    </row>
    <row r="1424" customFormat="false" ht="15" hidden="false" customHeight="false" outlineLevel="0" collapsed="false">
      <c r="A1424" s="0" t="s">
        <v>2192</v>
      </c>
      <c r="B1424" s="0" t="s">
        <v>134</v>
      </c>
      <c r="C1424" s="0" t="s">
        <v>3447</v>
      </c>
      <c r="D1424" s="0" t="s">
        <v>3457</v>
      </c>
      <c r="E1424" s="18" t="s">
        <v>24</v>
      </c>
      <c r="F1424" s="23" t="s">
        <v>30</v>
      </c>
      <c r="G1424" s="21" t="s">
        <v>30</v>
      </c>
      <c r="H1424" s="21" t="s">
        <v>24</v>
      </c>
      <c r="I1424" s="21" t="s">
        <v>24</v>
      </c>
      <c r="J1424" s="21" t="s">
        <v>24</v>
      </c>
      <c r="K1424" s="21" t="s">
        <v>24</v>
      </c>
      <c r="L1424" s="21" t="s">
        <v>24</v>
      </c>
      <c r="M1424" s="0" t="n">
        <v>183</v>
      </c>
      <c r="N1424" s="0" t="n">
        <v>5</v>
      </c>
      <c r="O1424" s="21" t="s">
        <v>3713</v>
      </c>
      <c r="P1424" s="21" t="s">
        <v>4723</v>
      </c>
      <c r="Q1424" s="0" t="n">
        <v>0</v>
      </c>
      <c r="S1424" s="0" t="n">
        <v>5</v>
      </c>
      <c r="T1424" s="21" t="s">
        <v>3713</v>
      </c>
      <c r="U1424" s="22" t="b">
        <f aca="false">TRUE()</f>
        <v>1</v>
      </c>
      <c r="V1424" s="0" t="n">
        <v>0.75</v>
      </c>
      <c r="W1424" s="0" t="n">
        <v>0.44</v>
      </c>
      <c r="X1424" s="0" t="n">
        <v>8.74</v>
      </c>
      <c r="Y1424" s="0" t="n">
        <v>344.4</v>
      </c>
      <c r="Z1424" s="0" t="n">
        <v>10.5</v>
      </c>
      <c r="AA1424" s="0" t="n">
        <v>1.09</v>
      </c>
      <c r="AB1424" s="0" t="n">
        <v>3.28</v>
      </c>
      <c r="AC1424" s="22" t="b">
        <f aca="false">FALSE()</f>
        <v>0</v>
      </c>
      <c r="AD1424" s="0" t="n">
        <v>7.53</v>
      </c>
      <c r="AE1424" s="0" t="n">
        <v>3.81</v>
      </c>
      <c r="AF1424" s="0" t="n">
        <v>4.93</v>
      </c>
      <c r="AG1424" s="22" t="b">
        <f aca="false">FALSE()</f>
        <v>0</v>
      </c>
      <c r="AH1424" s="0" t="n">
        <v>1</v>
      </c>
    </row>
    <row r="1425" customFormat="false" ht="15" hidden="false" customHeight="false" outlineLevel="0" collapsed="false">
      <c r="A1425" s="0" t="s">
        <v>2192</v>
      </c>
      <c r="B1425" s="0" t="s">
        <v>134</v>
      </c>
      <c r="C1425" s="0" t="s">
        <v>3447</v>
      </c>
      <c r="D1425" s="0" t="s">
        <v>3448</v>
      </c>
      <c r="E1425" s="20" t="s">
        <v>25</v>
      </c>
      <c r="F1425" s="23" t="s">
        <v>30</v>
      </c>
      <c r="G1425" s="21" t="s">
        <v>2610</v>
      </c>
      <c r="H1425" s="21" t="s">
        <v>24</v>
      </c>
      <c r="I1425" s="21" t="s">
        <v>24</v>
      </c>
      <c r="J1425" s="21" t="s">
        <v>24</v>
      </c>
      <c r="K1425" s="21" t="s">
        <v>25</v>
      </c>
      <c r="L1425" s="21" t="s">
        <v>24</v>
      </c>
      <c r="M1425" s="0" t="n">
        <v>188</v>
      </c>
      <c r="N1425" s="0" t="n">
        <v>4</v>
      </c>
      <c r="O1425" s="21" t="s">
        <v>3656</v>
      </c>
      <c r="P1425" s="21" t="s">
        <v>4724</v>
      </c>
      <c r="Q1425" s="0" t="n">
        <v>0</v>
      </c>
      <c r="S1425" s="0" t="n">
        <v>4</v>
      </c>
      <c r="T1425" s="21" t="s">
        <v>3656</v>
      </c>
      <c r="U1425" s="22" t="b">
        <f aca="false">TRUE()</f>
        <v>1</v>
      </c>
      <c r="V1425" s="0" t="n">
        <v>0.72</v>
      </c>
      <c r="W1425" s="0" t="n">
        <v>0.8</v>
      </c>
      <c r="X1425" s="0" t="n">
        <v>11.62</v>
      </c>
      <c r="Y1425" s="0" t="n">
        <v>324.09</v>
      </c>
      <c r="Z1425" s="0" t="n">
        <v>8</v>
      </c>
      <c r="AA1425" s="0" t="n">
        <v>-1.09</v>
      </c>
      <c r="AB1425" s="0" t="n">
        <v>0.15</v>
      </c>
      <c r="AC1425" s="22" t="b">
        <f aca="false">FALSE()</f>
        <v>0</v>
      </c>
      <c r="AD1425" s="0" t="n">
        <v>1.53</v>
      </c>
      <c r="AE1425" s="0" t="n">
        <v>0.69</v>
      </c>
      <c r="AF1425" s="0" t="n">
        <v>1.58</v>
      </c>
      <c r="AG1425" s="22" t="b">
        <f aca="false">FALSE()</f>
        <v>0</v>
      </c>
      <c r="AH1425" s="0" t="n">
        <v>1</v>
      </c>
    </row>
    <row r="1426" customFormat="false" ht="15" hidden="false" customHeight="false" outlineLevel="0" collapsed="false">
      <c r="A1426" s="0" t="s">
        <v>2198</v>
      </c>
      <c r="B1426" s="0" t="s">
        <v>134</v>
      </c>
      <c r="C1426" s="0" t="s">
        <v>3450</v>
      </c>
      <c r="D1426" s="0" t="s">
        <v>3457</v>
      </c>
      <c r="E1426" s="20" t="s">
        <v>25</v>
      </c>
      <c r="F1426" s="20" t="s">
        <v>29</v>
      </c>
      <c r="G1426" s="21" t="s">
        <v>64</v>
      </c>
      <c r="H1426" s="21" t="s">
        <v>24</v>
      </c>
      <c r="I1426" s="21" t="s">
        <v>24</v>
      </c>
      <c r="J1426" s="21" t="s">
        <v>24</v>
      </c>
      <c r="K1426" s="21" t="s">
        <v>25</v>
      </c>
      <c r="L1426" s="21" t="s">
        <v>24</v>
      </c>
      <c r="M1426" s="0" t="n">
        <v>184</v>
      </c>
      <c r="N1426" s="0" t="n">
        <v>0</v>
      </c>
      <c r="Q1426" s="0" t="n">
        <v>0</v>
      </c>
      <c r="S1426" s="0" t="n">
        <v>0</v>
      </c>
      <c r="U1426" s="22" t="b">
        <f aca="false">FALSE()</f>
        <v>0</v>
      </c>
      <c r="V1426" s="0" t="n">
        <v>0.72</v>
      </c>
      <c r="W1426" s="0" t="n">
        <v>0.24</v>
      </c>
      <c r="X1426" s="0" t="n">
        <v>5.17</v>
      </c>
      <c r="Y1426" s="0" t="n">
        <v>468.04</v>
      </c>
      <c r="Z1426" s="0" t="n">
        <v>10.5</v>
      </c>
      <c r="AA1426" s="0" t="n">
        <v>8.44</v>
      </c>
      <c r="AB1426" s="0" t="n">
        <v>0.24</v>
      </c>
      <c r="AC1426" s="22" t="b">
        <f aca="false">FALSE()</f>
        <v>0</v>
      </c>
      <c r="AD1426" s="0" t="n">
        <v>6.47</v>
      </c>
      <c r="AE1426" s="0" t="n">
        <v>0.51</v>
      </c>
      <c r="AF1426" s="0" t="n">
        <v>11.43</v>
      </c>
      <c r="AG1426" s="22" t="b">
        <f aca="false">FALSE()</f>
        <v>0</v>
      </c>
      <c r="AH1426" s="0" t="n">
        <v>1</v>
      </c>
    </row>
    <row r="1427" customFormat="false" ht="15" hidden="false" customHeight="false" outlineLevel="0" collapsed="false">
      <c r="A1427" s="0" t="s">
        <v>2198</v>
      </c>
      <c r="B1427" s="0" t="s">
        <v>134</v>
      </c>
      <c r="C1427" s="0" t="s">
        <v>3450</v>
      </c>
      <c r="D1427" s="0" t="s">
        <v>3448</v>
      </c>
      <c r="E1427" s="20" t="s">
        <v>25</v>
      </c>
      <c r="F1427" s="23" t="s">
        <v>30</v>
      </c>
      <c r="G1427" s="21" t="s">
        <v>283</v>
      </c>
      <c r="H1427" s="21" t="s">
        <v>24</v>
      </c>
      <c r="I1427" s="21" t="s">
        <v>25</v>
      </c>
      <c r="J1427" s="21" t="s">
        <v>24</v>
      </c>
      <c r="K1427" s="21" t="s">
        <v>24</v>
      </c>
      <c r="L1427" s="21" t="s">
        <v>24</v>
      </c>
      <c r="M1427" s="0" t="n">
        <v>184</v>
      </c>
      <c r="N1427" s="0" t="n">
        <v>1</v>
      </c>
      <c r="O1427" s="21" t="s">
        <v>69</v>
      </c>
      <c r="P1427" s="21" t="s">
        <v>4275</v>
      </c>
      <c r="Q1427" s="0" t="n">
        <v>1</v>
      </c>
      <c r="R1427" s="21" t="s">
        <v>69</v>
      </c>
      <c r="S1427" s="0" t="n">
        <v>1</v>
      </c>
      <c r="T1427" s="21" t="s">
        <v>69</v>
      </c>
      <c r="U1427" s="22" t="b">
        <f aca="false">TRUE()</f>
        <v>1</v>
      </c>
      <c r="V1427" s="0" t="n">
        <v>0.71</v>
      </c>
      <c r="W1427" s="0" t="n">
        <v>0.28</v>
      </c>
      <c r="X1427" s="0" t="n">
        <v>5.39</v>
      </c>
      <c r="Y1427" s="0" t="n">
        <v>436.16</v>
      </c>
      <c r="Z1427" s="0" t="n">
        <v>10.33</v>
      </c>
      <c r="AA1427" s="0" t="n">
        <v>9.69</v>
      </c>
      <c r="AB1427" s="0" t="n">
        <v>7.25</v>
      </c>
      <c r="AC1427" s="22" t="b">
        <f aca="false">FALSE()</f>
        <v>0</v>
      </c>
      <c r="AD1427" s="0" t="n">
        <v>13.77</v>
      </c>
      <c r="AE1427" s="0" t="n">
        <v>0.56</v>
      </c>
      <c r="AF1427" s="0" t="n">
        <v>2.02</v>
      </c>
      <c r="AG1427" s="22" t="b">
        <f aca="false">TRUE()</f>
        <v>1</v>
      </c>
      <c r="AH1427" s="0" t="n">
        <v>1</v>
      </c>
    </row>
    <row r="1428" customFormat="false" ht="15" hidden="false" customHeight="false" outlineLevel="0" collapsed="false">
      <c r="A1428" s="0" t="s">
        <v>2198</v>
      </c>
      <c r="B1428" s="0" t="s">
        <v>134</v>
      </c>
      <c r="C1428" s="0" t="s">
        <v>3447</v>
      </c>
      <c r="D1428" s="0" t="s">
        <v>3457</v>
      </c>
      <c r="E1428" s="20" t="s">
        <v>25</v>
      </c>
      <c r="F1428" s="23" t="s">
        <v>30</v>
      </c>
      <c r="G1428" s="21" t="s">
        <v>2610</v>
      </c>
      <c r="H1428" s="21" t="s">
        <v>24</v>
      </c>
      <c r="I1428" s="21" t="s">
        <v>24</v>
      </c>
      <c r="J1428" s="21" t="s">
        <v>24</v>
      </c>
      <c r="K1428" s="21" t="s">
        <v>25</v>
      </c>
      <c r="L1428" s="21" t="s">
        <v>24</v>
      </c>
      <c r="M1428" s="0" t="n">
        <v>184</v>
      </c>
      <c r="N1428" s="0" t="n">
        <v>1</v>
      </c>
      <c r="O1428" s="21" t="s">
        <v>3485</v>
      </c>
      <c r="P1428" s="21" t="s">
        <v>4457</v>
      </c>
      <c r="Q1428" s="0" t="n">
        <v>0</v>
      </c>
      <c r="S1428" s="0" t="n">
        <v>1</v>
      </c>
      <c r="T1428" s="21" t="s">
        <v>3485</v>
      </c>
      <c r="U1428" s="22" t="b">
        <f aca="false">TRUE()</f>
        <v>1</v>
      </c>
      <c r="V1428" s="0" t="n">
        <v>0.71</v>
      </c>
      <c r="W1428" s="0" t="n">
        <v>0.8</v>
      </c>
      <c r="X1428" s="0" t="n">
        <v>5.27</v>
      </c>
      <c r="Y1428" s="0" t="n">
        <v>321.47</v>
      </c>
      <c r="Z1428" s="0" t="n">
        <v>8</v>
      </c>
      <c r="AA1428" s="0" t="n">
        <v>-0.93</v>
      </c>
      <c r="AB1428" s="0" t="n">
        <v>0.24</v>
      </c>
      <c r="AC1428" s="22" t="b">
        <f aca="false">FALSE()</f>
        <v>0</v>
      </c>
      <c r="AD1428" s="0" t="n">
        <v>0.55</v>
      </c>
      <c r="AE1428" s="0" t="n">
        <v>0.37</v>
      </c>
      <c r="AF1428" s="0" t="n">
        <v>5.52</v>
      </c>
      <c r="AG1428" s="22" t="b">
        <f aca="false">FALSE()</f>
        <v>0</v>
      </c>
      <c r="AH1428" s="0" t="n">
        <v>1</v>
      </c>
    </row>
    <row r="1429" customFormat="false" ht="15" hidden="false" customHeight="false" outlineLevel="0" collapsed="false">
      <c r="A1429" s="0" t="s">
        <v>2198</v>
      </c>
      <c r="B1429" s="0" t="s">
        <v>134</v>
      </c>
      <c r="C1429" s="0" t="s">
        <v>3447</v>
      </c>
      <c r="D1429" s="0" t="s">
        <v>3448</v>
      </c>
      <c r="E1429" s="18" t="s">
        <v>24</v>
      </c>
      <c r="F1429" s="23" t="s">
        <v>30</v>
      </c>
      <c r="G1429" s="21" t="s">
        <v>30</v>
      </c>
      <c r="H1429" s="21" t="s">
        <v>24</v>
      </c>
      <c r="I1429" s="21" t="s">
        <v>24</v>
      </c>
      <c r="J1429" s="21" t="s">
        <v>24</v>
      </c>
      <c r="K1429" s="21" t="s">
        <v>24</v>
      </c>
      <c r="L1429" s="21" t="s">
        <v>24</v>
      </c>
      <c r="M1429" s="0" t="n">
        <v>183</v>
      </c>
      <c r="N1429" s="0" t="n">
        <v>2</v>
      </c>
      <c r="O1429" s="21" t="s">
        <v>3501</v>
      </c>
      <c r="P1429" s="21" t="s">
        <v>4367</v>
      </c>
      <c r="Q1429" s="0" t="n">
        <v>0</v>
      </c>
      <c r="S1429" s="0" t="n">
        <v>2</v>
      </c>
      <c r="T1429" s="21" t="s">
        <v>3501</v>
      </c>
      <c r="U1429" s="22" t="b">
        <f aca="false">TRUE()</f>
        <v>1</v>
      </c>
      <c r="V1429" s="0" t="n">
        <v>0.86</v>
      </c>
      <c r="W1429" s="0" t="n">
        <v>0.6</v>
      </c>
      <c r="X1429" s="0" t="n">
        <v>7.91</v>
      </c>
      <c r="Y1429" s="0" t="n">
        <v>321.73</v>
      </c>
      <c r="Z1429" s="0" t="n">
        <v>8.33</v>
      </c>
      <c r="AA1429" s="0" t="n">
        <v>-0.58</v>
      </c>
      <c r="AB1429" s="0" t="n">
        <v>7.25</v>
      </c>
      <c r="AC1429" s="22" t="b">
        <f aca="false">FALSE()</f>
        <v>0</v>
      </c>
      <c r="AD1429" s="0" t="n">
        <v>14.88</v>
      </c>
      <c r="AE1429" s="0" t="n">
        <v>0.92</v>
      </c>
      <c r="AF1429" s="0" t="n">
        <v>2.72</v>
      </c>
      <c r="AG1429" s="22" t="b">
        <f aca="false">TRUE()</f>
        <v>1</v>
      </c>
      <c r="AH1429" s="0" t="n">
        <v>1</v>
      </c>
    </row>
    <row r="1430" customFormat="false" ht="15" hidden="false" customHeight="false" outlineLevel="0" collapsed="false">
      <c r="A1430" s="0" t="s">
        <v>2204</v>
      </c>
      <c r="B1430" s="0" t="s">
        <v>134</v>
      </c>
      <c r="C1430" s="0" t="s">
        <v>3450</v>
      </c>
      <c r="D1430" s="0" t="s">
        <v>3457</v>
      </c>
      <c r="E1430" s="19" t="s">
        <v>26</v>
      </c>
      <c r="F1430" s="19" t="s">
        <v>32</v>
      </c>
      <c r="G1430" s="21" t="s">
        <v>3912</v>
      </c>
      <c r="H1430" s="21" t="s">
        <v>24</v>
      </c>
      <c r="I1430" s="21" t="s">
        <v>26</v>
      </c>
      <c r="J1430" s="21" t="s">
        <v>24</v>
      </c>
      <c r="K1430" s="21" t="s">
        <v>25</v>
      </c>
      <c r="L1430" s="21" t="s">
        <v>24</v>
      </c>
      <c r="M1430" s="0" t="n">
        <v>184</v>
      </c>
      <c r="N1430" s="0" t="n">
        <v>12</v>
      </c>
      <c r="O1430" s="21" t="s">
        <v>4027</v>
      </c>
      <c r="P1430" s="21" t="s">
        <v>4725</v>
      </c>
      <c r="Q1430" s="0" t="n">
        <v>0</v>
      </c>
      <c r="S1430" s="0" t="n">
        <v>12</v>
      </c>
      <c r="T1430" s="21" t="s">
        <v>4027</v>
      </c>
      <c r="U1430" s="22" t="b">
        <f aca="false">FALSE()</f>
        <v>0</v>
      </c>
      <c r="V1430" s="0" t="n">
        <v>0.67</v>
      </c>
      <c r="W1430" s="0" t="n">
        <v>0.8</v>
      </c>
      <c r="X1430" s="0" t="n">
        <v>5.5</v>
      </c>
      <c r="Y1430" s="0" t="n">
        <v>298.33</v>
      </c>
      <c r="Z1430" s="0" t="n">
        <v>8.58</v>
      </c>
      <c r="AA1430" s="0" t="n">
        <v>1.29</v>
      </c>
      <c r="AB1430" s="0" t="n">
        <v>3</v>
      </c>
      <c r="AC1430" s="22" t="b">
        <f aca="false">FALSE()</f>
        <v>0</v>
      </c>
      <c r="AD1430" s="0" t="n">
        <v>19.12</v>
      </c>
      <c r="AE1430" s="0" t="n">
        <v>0.56</v>
      </c>
      <c r="AF1430" s="0" t="n">
        <v>12.19</v>
      </c>
      <c r="AG1430" s="22" t="b">
        <f aca="false">TRUE()</f>
        <v>1</v>
      </c>
      <c r="AH1430" s="0" t="n">
        <v>1</v>
      </c>
    </row>
    <row r="1431" customFormat="false" ht="15" hidden="false" customHeight="false" outlineLevel="0" collapsed="false">
      <c r="A1431" s="0" t="s">
        <v>2204</v>
      </c>
      <c r="B1431" s="0" t="s">
        <v>134</v>
      </c>
      <c r="C1431" s="0" t="s">
        <v>3450</v>
      </c>
      <c r="D1431" s="0" t="s">
        <v>3448</v>
      </c>
      <c r="E1431" s="20" t="s">
        <v>25</v>
      </c>
      <c r="F1431" s="23" t="s">
        <v>30</v>
      </c>
      <c r="G1431" s="21" t="s">
        <v>283</v>
      </c>
      <c r="H1431" s="21" t="s">
        <v>24</v>
      </c>
      <c r="I1431" s="21" t="s">
        <v>25</v>
      </c>
      <c r="J1431" s="21" t="s">
        <v>24</v>
      </c>
      <c r="K1431" s="21" t="s">
        <v>24</v>
      </c>
      <c r="L1431" s="21" t="s">
        <v>24</v>
      </c>
      <c r="M1431" s="0" t="n">
        <v>191</v>
      </c>
      <c r="N1431" s="0" t="n">
        <v>4</v>
      </c>
      <c r="O1431" s="21" t="s">
        <v>3793</v>
      </c>
      <c r="P1431" s="21" t="s">
        <v>4726</v>
      </c>
      <c r="Q1431" s="0" t="n">
        <v>1</v>
      </c>
      <c r="R1431" s="21" t="s">
        <v>69</v>
      </c>
      <c r="S1431" s="0" t="n">
        <v>4</v>
      </c>
      <c r="T1431" s="21" t="s">
        <v>3793</v>
      </c>
      <c r="U1431" s="22" t="b">
        <f aca="false">TRUE()</f>
        <v>1</v>
      </c>
      <c r="V1431" s="0" t="n">
        <v>0.69</v>
      </c>
      <c r="W1431" s="0" t="n">
        <v>0.12</v>
      </c>
      <c r="X1431" s="0" t="n">
        <v>4.95</v>
      </c>
      <c r="Y1431" s="0" t="n">
        <v>657.37</v>
      </c>
      <c r="Z1431" s="0" t="n">
        <v>9</v>
      </c>
      <c r="AA1431" s="0" t="n">
        <v>6.74</v>
      </c>
      <c r="AB1431" s="0" t="n">
        <v>1.97</v>
      </c>
      <c r="AC1431" s="22" t="b">
        <f aca="false">FALSE()</f>
        <v>0</v>
      </c>
      <c r="AD1431" s="0" t="n">
        <v>19.55</v>
      </c>
      <c r="AE1431" s="0" t="n">
        <v>1.18</v>
      </c>
      <c r="AF1431" s="0" t="n">
        <v>10.31</v>
      </c>
      <c r="AG1431" s="22" t="b">
        <f aca="false">TRUE()</f>
        <v>1</v>
      </c>
      <c r="AH1431" s="0" t="n">
        <v>1</v>
      </c>
    </row>
    <row r="1432" customFormat="false" ht="15" hidden="false" customHeight="false" outlineLevel="0" collapsed="false">
      <c r="A1432" s="0" t="s">
        <v>2204</v>
      </c>
      <c r="B1432" s="0" t="s">
        <v>134</v>
      </c>
      <c r="C1432" s="0" t="s">
        <v>3447</v>
      </c>
      <c r="D1432" s="0" t="s">
        <v>3457</v>
      </c>
      <c r="E1432" s="20" t="s">
        <v>25</v>
      </c>
      <c r="F1432" s="23" t="s">
        <v>30</v>
      </c>
      <c r="G1432" s="21" t="s">
        <v>992</v>
      </c>
      <c r="H1432" s="21" t="s">
        <v>24</v>
      </c>
      <c r="I1432" s="21" t="s">
        <v>24</v>
      </c>
      <c r="J1432" s="21" t="s">
        <v>24</v>
      </c>
      <c r="K1432" s="21" t="s">
        <v>25</v>
      </c>
      <c r="L1432" s="21" t="s">
        <v>24</v>
      </c>
      <c r="M1432" s="0" t="n">
        <v>191</v>
      </c>
      <c r="N1432" s="0" t="n">
        <v>3</v>
      </c>
      <c r="O1432" s="21" t="s">
        <v>3563</v>
      </c>
      <c r="P1432" s="21" t="s">
        <v>4461</v>
      </c>
      <c r="Q1432" s="0" t="n">
        <v>0</v>
      </c>
      <c r="S1432" s="0" t="n">
        <v>3</v>
      </c>
      <c r="T1432" s="21" t="s">
        <v>3563</v>
      </c>
      <c r="U1432" s="22" t="b">
        <f aca="false">TRUE()</f>
        <v>1</v>
      </c>
      <c r="V1432" s="0" t="n">
        <v>0.87</v>
      </c>
      <c r="W1432" s="0" t="n">
        <v>0.68</v>
      </c>
      <c r="X1432" s="0" t="n">
        <v>5.68</v>
      </c>
      <c r="Y1432" s="0" t="n">
        <v>326.07</v>
      </c>
      <c r="Z1432" s="0" t="n">
        <v>8</v>
      </c>
      <c r="AA1432" s="0" t="n">
        <v>-0.79</v>
      </c>
      <c r="AB1432" s="0" t="n">
        <v>3</v>
      </c>
      <c r="AC1432" s="22" t="b">
        <f aca="false">FALSE()</f>
        <v>0</v>
      </c>
      <c r="AD1432" s="0" t="n">
        <v>20.31</v>
      </c>
      <c r="AE1432" s="0" t="n">
        <v>1.35</v>
      </c>
      <c r="AF1432" s="0" t="n">
        <v>14.4</v>
      </c>
      <c r="AG1432" s="22" t="b">
        <f aca="false">TRUE()</f>
        <v>1</v>
      </c>
      <c r="AH1432" s="0" t="n">
        <v>1</v>
      </c>
    </row>
    <row r="1433" customFormat="false" ht="15" hidden="false" customHeight="false" outlineLevel="0" collapsed="false">
      <c r="A1433" s="0" t="s">
        <v>2204</v>
      </c>
      <c r="B1433" s="0" t="s">
        <v>134</v>
      </c>
      <c r="C1433" s="0" t="s">
        <v>3447</v>
      </c>
      <c r="D1433" s="0" t="s">
        <v>3448</v>
      </c>
      <c r="E1433" s="18" t="s">
        <v>24</v>
      </c>
      <c r="F1433" s="23" t="s">
        <v>30</v>
      </c>
      <c r="G1433" s="21" t="s">
        <v>30</v>
      </c>
      <c r="H1433" s="21" t="s">
        <v>24</v>
      </c>
      <c r="I1433" s="21" t="s">
        <v>24</v>
      </c>
      <c r="J1433" s="21" t="s">
        <v>24</v>
      </c>
      <c r="K1433" s="21" t="s">
        <v>24</v>
      </c>
      <c r="L1433" s="21" t="s">
        <v>24</v>
      </c>
      <c r="M1433" s="0" t="n">
        <v>187</v>
      </c>
      <c r="N1433" s="0" t="n">
        <v>2</v>
      </c>
      <c r="O1433" s="21" t="s">
        <v>3518</v>
      </c>
      <c r="P1433" s="21" t="s">
        <v>4727</v>
      </c>
      <c r="Q1433" s="0" t="n">
        <v>0</v>
      </c>
      <c r="S1433" s="0" t="n">
        <v>2</v>
      </c>
      <c r="T1433" s="21" t="s">
        <v>3518</v>
      </c>
      <c r="U1433" s="22" t="b">
        <f aca="false">TRUE()</f>
        <v>1</v>
      </c>
      <c r="V1433" s="0" t="n">
        <v>0.92</v>
      </c>
      <c r="W1433" s="0" t="n">
        <v>0.92</v>
      </c>
      <c r="X1433" s="0" t="n">
        <v>10.98</v>
      </c>
      <c r="Y1433" s="0" t="n">
        <v>324.26</v>
      </c>
      <c r="Z1433" s="0" t="n">
        <v>8</v>
      </c>
      <c r="AA1433" s="0" t="n">
        <v>-2.41</v>
      </c>
      <c r="AB1433" s="0" t="n">
        <v>1.97</v>
      </c>
      <c r="AC1433" s="22" t="b">
        <f aca="false">FALSE()</f>
        <v>0</v>
      </c>
      <c r="AD1433" s="0" t="n">
        <v>18.76</v>
      </c>
      <c r="AE1433" s="0" t="n">
        <v>0.46</v>
      </c>
      <c r="AF1433" s="0" t="n">
        <v>9.22</v>
      </c>
      <c r="AG1433" s="22" t="b">
        <f aca="false">TRUE()</f>
        <v>1</v>
      </c>
      <c r="AH1433" s="0" t="n">
        <v>1</v>
      </c>
    </row>
    <row r="1434" customFormat="false" ht="15" hidden="false" customHeight="false" outlineLevel="0" collapsed="false">
      <c r="A1434" s="0" t="s">
        <v>2204</v>
      </c>
      <c r="B1434" s="0" t="s">
        <v>3459</v>
      </c>
      <c r="C1434" s="0" t="s">
        <v>3450</v>
      </c>
      <c r="D1434" s="0" t="s">
        <v>3457</v>
      </c>
      <c r="E1434" s="19" t="s">
        <v>26</v>
      </c>
      <c r="F1434" s="19" t="s">
        <v>32</v>
      </c>
      <c r="G1434" s="21" t="s">
        <v>1076</v>
      </c>
      <c r="H1434" s="21" t="s">
        <v>24</v>
      </c>
      <c r="I1434" s="21" t="s">
        <v>26</v>
      </c>
      <c r="J1434" s="21" t="s">
        <v>24</v>
      </c>
      <c r="K1434" s="21" t="s">
        <v>25</v>
      </c>
      <c r="L1434" s="21" t="s">
        <v>24</v>
      </c>
      <c r="M1434" s="0" t="n">
        <v>184</v>
      </c>
      <c r="N1434" s="0" t="n">
        <v>10</v>
      </c>
      <c r="O1434" s="21" t="s">
        <v>4011</v>
      </c>
      <c r="P1434" s="21" t="s">
        <v>4248</v>
      </c>
      <c r="Q1434" s="0" t="n">
        <v>1</v>
      </c>
      <c r="R1434" s="21" t="s">
        <v>69</v>
      </c>
      <c r="S1434" s="0" t="n">
        <v>10</v>
      </c>
      <c r="T1434" s="21" t="s">
        <v>4011</v>
      </c>
      <c r="U1434" s="22" t="b">
        <f aca="false">FALSE()</f>
        <v>0</v>
      </c>
      <c r="V1434" s="0" t="n">
        <v>0.7</v>
      </c>
      <c r="W1434" s="0" t="n">
        <v>0.92</v>
      </c>
      <c r="X1434" s="0" t="n">
        <v>6.69</v>
      </c>
      <c r="Y1434" s="0" t="n">
        <v>319.23</v>
      </c>
      <c r="Z1434" s="0" t="n">
        <v>8</v>
      </c>
      <c r="AA1434" s="0" t="n">
        <v>-0.93</v>
      </c>
      <c r="AB1434" s="0" t="n">
        <v>18.87</v>
      </c>
      <c r="AC1434" s="22" t="b">
        <f aca="false">FALSE()</f>
        <v>0</v>
      </c>
      <c r="AD1434" s="0" t="n">
        <v>12.05</v>
      </c>
      <c r="AE1434" s="0" t="n">
        <v>4.76</v>
      </c>
      <c r="AF1434" s="0" t="n">
        <v>15.35</v>
      </c>
      <c r="AG1434" s="22" t="b">
        <f aca="false">TRUE()</f>
        <v>1</v>
      </c>
      <c r="AH1434" s="0" t="n">
        <v>1</v>
      </c>
    </row>
    <row r="1435" customFormat="false" ht="15" hidden="false" customHeight="false" outlineLevel="0" collapsed="false">
      <c r="A1435" s="0" t="s">
        <v>2204</v>
      </c>
      <c r="B1435" s="0" t="s">
        <v>3459</v>
      </c>
      <c r="C1435" s="0" t="s">
        <v>3450</v>
      </c>
      <c r="D1435" s="0" t="s">
        <v>3448</v>
      </c>
      <c r="E1435" s="20" t="s">
        <v>25</v>
      </c>
      <c r="F1435" s="23" t="s">
        <v>30</v>
      </c>
      <c r="G1435" s="21" t="s">
        <v>157</v>
      </c>
      <c r="H1435" s="21" t="s">
        <v>24</v>
      </c>
      <c r="I1435" s="21" t="s">
        <v>25</v>
      </c>
      <c r="J1435" s="21" t="s">
        <v>24</v>
      </c>
      <c r="K1435" s="21" t="s">
        <v>25</v>
      </c>
      <c r="L1435" s="21" t="s">
        <v>24</v>
      </c>
      <c r="M1435" s="0" t="n">
        <v>184</v>
      </c>
      <c r="N1435" s="0" t="n">
        <v>1</v>
      </c>
      <c r="O1435" s="21" t="s">
        <v>69</v>
      </c>
      <c r="P1435" s="21" t="s">
        <v>4275</v>
      </c>
      <c r="Q1435" s="0" t="n">
        <v>1</v>
      </c>
      <c r="R1435" s="21" t="s">
        <v>69</v>
      </c>
      <c r="S1435" s="0" t="n">
        <v>1</v>
      </c>
      <c r="T1435" s="21" t="s">
        <v>69</v>
      </c>
      <c r="U1435" s="22" t="b">
        <f aca="false">TRUE()</f>
        <v>1</v>
      </c>
      <c r="V1435" s="0" t="n">
        <v>0.74</v>
      </c>
      <c r="W1435" s="0" t="n">
        <v>0</v>
      </c>
      <c r="X1435" s="0" t="n">
        <v>6.53</v>
      </c>
      <c r="Y1435" s="0" t="n">
        <v>719.69</v>
      </c>
      <c r="Z1435" s="0" t="n">
        <v>8.5</v>
      </c>
      <c r="AA1435" s="0" t="n">
        <v>5.79</v>
      </c>
      <c r="AB1435" s="0" t="n">
        <v>1.34</v>
      </c>
      <c r="AC1435" s="22" t="b">
        <f aca="false">FALSE()</f>
        <v>0</v>
      </c>
      <c r="AD1435" s="0" t="n">
        <v>25.84</v>
      </c>
      <c r="AE1435" s="0" t="n">
        <v>15.53</v>
      </c>
      <c r="AF1435" s="0" t="n">
        <v>25.18</v>
      </c>
      <c r="AG1435" s="22" t="b">
        <f aca="false">TRUE()</f>
        <v>1</v>
      </c>
      <c r="AH1435" s="0" t="n">
        <v>1</v>
      </c>
    </row>
    <row r="1436" customFormat="false" ht="15" hidden="false" customHeight="false" outlineLevel="0" collapsed="false">
      <c r="A1436" s="0" t="s">
        <v>2204</v>
      </c>
      <c r="B1436" s="0" t="s">
        <v>3459</v>
      </c>
      <c r="C1436" s="0" t="s">
        <v>3447</v>
      </c>
      <c r="D1436" s="0" t="s">
        <v>3457</v>
      </c>
      <c r="E1436" s="20" t="s">
        <v>25</v>
      </c>
      <c r="F1436" s="23" t="s">
        <v>30</v>
      </c>
      <c r="G1436" s="21" t="s">
        <v>992</v>
      </c>
      <c r="H1436" s="21" t="s">
        <v>24</v>
      </c>
      <c r="I1436" s="21" t="s">
        <v>24</v>
      </c>
      <c r="J1436" s="21" t="s">
        <v>24</v>
      </c>
      <c r="K1436" s="21" t="s">
        <v>25</v>
      </c>
      <c r="L1436" s="21" t="s">
        <v>24</v>
      </c>
      <c r="M1436" s="0" t="n">
        <v>185</v>
      </c>
      <c r="N1436" s="0" t="n">
        <v>2</v>
      </c>
      <c r="O1436" s="21" t="s">
        <v>3505</v>
      </c>
      <c r="P1436" s="21" t="s">
        <v>4426</v>
      </c>
      <c r="Q1436" s="0" t="n">
        <v>0</v>
      </c>
      <c r="S1436" s="0" t="n">
        <v>2</v>
      </c>
      <c r="T1436" s="21" t="s">
        <v>3505</v>
      </c>
      <c r="U1436" s="22" t="b">
        <f aca="false">TRUE()</f>
        <v>1</v>
      </c>
      <c r="V1436" s="0" t="n">
        <v>0.77</v>
      </c>
      <c r="W1436" s="0" t="n">
        <v>0.72</v>
      </c>
      <c r="X1436" s="0" t="n">
        <v>7.43</v>
      </c>
      <c r="Y1436" s="0" t="n">
        <v>320.17</v>
      </c>
      <c r="Z1436" s="0" t="n">
        <v>8</v>
      </c>
      <c r="AA1436" s="0" t="n">
        <v>0.78</v>
      </c>
      <c r="AB1436" s="0" t="n">
        <v>18.87</v>
      </c>
      <c r="AC1436" s="22" t="b">
        <f aca="false">FALSE()</f>
        <v>0</v>
      </c>
      <c r="AD1436" s="0" t="n">
        <v>23.11</v>
      </c>
      <c r="AE1436" s="0" t="n">
        <v>12.3</v>
      </c>
      <c r="AF1436" s="0" t="n">
        <v>22.58</v>
      </c>
      <c r="AG1436" s="22" t="b">
        <f aca="false">TRUE()</f>
        <v>1</v>
      </c>
      <c r="AH1436" s="0" t="n">
        <v>1</v>
      </c>
    </row>
    <row r="1437" customFormat="false" ht="15" hidden="false" customHeight="false" outlineLevel="0" collapsed="false">
      <c r="A1437" s="0" t="s">
        <v>2204</v>
      </c>
      <c r="B1437" s="0" t="s">
        <v>3459</v>
      </c>
      <c r="C1437" s="0" t="s">
        <v>3447</v>
      </c>
      <c r="D1437" s="0" t="s">
        <v>3448</v>
      </c>
      <c r="E1437" s="20" t="s">
        <v>25</v>
      </c>
      <c r="F1437" s="23" t="s">
        <v>30</v>
      </c>
      <c r="G1437" s="21" t="s">
        <v>144</v>
      </c>
      <c r="H1437" s="21" t="s">
        <v>24</v>
      </c>
      <c r="I1437" s="21" t="s">
        <v>24</v>
      </c>
      <c r="J1437" s="21" t="s">
        <v>24</v>
      </c>
      <c r="K1437" s="21" t="s">
        <v>25</v>
      </c>
      <c r="L1437" s="21" t="s">
        <v>24</v>
      </c>
      <c r="M1437" s="0" t="n">
        <v>186</v>
      </c>
      <c r="N1437" s="0" t="n">
        <v>4</v>
      </c>
      <c r="O1437" s="21" t="s">
        <v>3593</v>
      </c>
      <c r="P1437" s="21" t="s">
        <v>4266</v>
      </c>
      <c r="Q1437" s="0" t="n">
        <v>0</v>
      </c>
      <c r="S1437" s="0" t="n">
        <v>4</v>
      </c>
      <c r="T1437" s="21" t="s">
        <v>3593</v>
      </c>
      <c r="U1437" s="22" t="b">
        <f aca="false">TRUE()</f>
        <v>1</v>
      </c>
      <c r="V1437" s="0" t="n">
        <v>0.84</v>
      </c>
      <c r="W1437" s="0" t="n">
        <v>0.16</v>
      </c>
      <c r="X1437" s="0" t="n">
        <v>10.74</v>
      </c>
      <c r="Y1437" s="0" t="n">
        <v>538.02</v>
      </c>
      <c r="Z1437" s="0" t="n">
        <v>8.5</v>
      </c>
      <c r="AA1437" s="0" t="n">
        <v>0.72</v>
      </c>
      <c r="AB1437" s="0" t="n">
        <v>1.34</v>
      </c>
      <c r="AC1437" s="22" t="b">
        <f aca="false">FALSE()</f>
        <v>0</v>
      </c>
      <c r="AD1437" s="0" t="n">
        <v>22.62</v>
      </c>
      <c r="AE1437" s="0" t="n">
        <v>9.26</v>
      </c>
      <c r="AF1437" s="0" t="n">
        <v>19.4</v>
      </c>
      <c r="AG1437" s="22" t="b">
        <f aca="false">TRUE()</f>
        <v>1</v>
      </c>
      <c r="AH1437" s="0" t="n">
        <v>1</v>
      </c>
    </row>
    <row r="1438" customFormat="false" ht="15" hidden="false" customHeight="false" outlineLevel="0" collapsed="false">
      <c r="A1438" s="0" t="s">
        <v>2210</v>
      </c>
      <c r="B1438" s="0" t="s">
        <v>134</v>
      </c>
      <c r="C1438" s="0" t="s">
        <v>3450</v>
      </c>
      <c r="D1438" s="0" t="s">
        <v>3457</v>
      </c>
      <c r="E1438" s="18" t="s">
        <v>24</v>
      </c>
      <c r="F1438" s="23" t="s">
        <v>30</v>
      </c>
      <c r="G1438" s="21" t="s">
        <v>30</v>
      </c>
      <c r="H1438" s="21" t="s">
        <v>24</v>
      </c>
      <c r="I1438" s="21" t="s">
        <v>24</v>
      </c>
      <c r="J1438" s="21" t="s">
        <v>24</v>
      </c>
      <c r="K1438" s="21" t="s">
        <v>24</v>
      </c>
      <c r="L1438" s="21" t="s">
        <v>24</v>
      </c>
      <c r="M1438" s="0" t="n">
        <v>189</v>
      </c>
      <c r="N1438" s="0" t="n">
        <v>2</v>
      </c>
      <c r="O1438" s="21" t="s">
        <v>3518</v>
      </c>
      <c r="P1438" s="21" t="s">
        <v>4727</v>
      </c>
      <c r="Q1438" s="0" t="n">
        <v>0</v>
      </c>
      <c r="S1438" s="0" t="n">
        <v>2</v>
      </c>
      <c r="T1438" s="21" t="s">
        <v>3518</v>
      </c>
      <c r="U1438" s="22" t="b">
        <f aca="false">TRUE()</f>
        <v>1</v>
      </c>
      <c r="V1438" s="0" t="n">
        <v>0.78</v>
      </c>
      <c r="W1438" s="0" t="n">
        <v>0.88</v>
      </c>
      <c r="X1438" s="0" t="n">
        <v>13.07</v>
      </c>
      <c r="Y1438" s="0" t="n">
        <v>323.87</v>
      </c>
      <c r="Z1438" s="0" t="n">
        <v>9.75</v>
      </c>
      <c r="AA1438" s="0" t="n">
        <v>9.47</v>
      </c>
      <c r="AB1438" s="0" t="n">
        <v>5.31</v>
      </c>
      <c r="AC1438" s="22" t="b">
        <f aca="false">FALSE()</f>
        <v>0</v>
      </c>
      <c r="AD1438" s="0" t="n">
        <v>8.47</v>
      </c>
      <c r="AE1438" s="0" t="n">
        <v>1.28</v>
      </c>
      <c r="AF1438" s="0" t="n">
        <v>1.2</v>
      </c>
      <c r="AG1438" s="22" t="b">
        <f aca="false">FALSE()</f>
        <v>0</v>
      </c>
      <c r="AH1438" s="0" t="n">
        <v>1</v>
      </c>
    </row>
    <row r="1439" customFormat="false" ht="15" hidden="false" customHeight="false" outlineLevel="0" collapsed="false">
      <c r="A1439" s="0" t="s">
        <v>2210</v>
      </c>
      <c r="B1439" s="0" t="s">
        <v>134</v>
      </c>
      <c r="C1439" s="0" t="s">
        <v>3450</v>
      </c>
      <c r="D1439" s="0" t="s">
        <v>3448</v>
      </c>
      <c r="E1439" s="20" t="s">
        <v>25</v>
      </c>
      <c r="F1439" s="23" t="s">
        <v>30</v>
      </c>
      <c r="G1439" s="21" t="s">
        <v>283</v>
      </c>
      <c r="H1439" s="21" t="s">
        <v>24</v>
      </c>
      <c r="I1439" s="21" t="s">
        <v>25</v>
      </c>
      <c r="J1439" s="21" t="s">
        <v>24</v>
      </c>
      <c r="K1439" s="21" t="s">
        <v>24</v>
      </c>
      <c r="L1439" s="21" t="s">
        <v>24</v>
      </c>
      <c r="M1439" s="0" t="n">
        <v>189</v>
      </c>
      <c r="N1439" s="0" t="n">
        <v>2</v>
      </c>
      <c r="O1439" s="21" t="s">
        <v>3631</v>
      </c>
      <c r="P1439" s="21" t="s">
        <v>4728</v>
      </c>
      <c r="Q1439" s="0" t="n">
        <v>1</v>
      </c>
      <c r="R1439" s="21" t="s">
        <v>70</v>
      </c>
      <c r="S1439" s="0" t="n">
        <v>2</v>
      </c>
      <c r="T1439" s="21" t="s">
        <v>3631</v>
      </c>
      <c r="U1439" s="22" t="b">
        <f aca="false">TRUE()</f>
        <v>1</v>
      </c>
      <c r="V1439" s="0" t="n">
        <v>0.75</v>
      </c>
      <c r="W1439" s="0" t="n">
        <v>0.84</v>
      </c>
      <c r="X1439" s="0" t="n">
        <v>9.21</v>
      </c>
      <c r="Y1439" s="0" t="n">
        <v>329.65</v>
      </c>
      <c r="Z1439" s="0" t="n">
        <v>10.25</v>
      </c>
      <c r="AA1439" s="0" t="n">
        <v>15.49</v>
      </c>
      <c r="AB1439" s="0" t="n">
        <v>1.86</v>
      </c>
      <c r="AC1439" s="22" t="b">
        <f aca="false">FALSE()</f>
        <v>0</v>
      </c>
      <c r="AD1439" s="0" t="n">
        <v>12.08</v>
      </c>
      <c r="AE1439" s="0" t="n">
        <v>0.56</v>
      </c>
      <c r="AF1439" s="0" t="n">
        <v>4.99</v>
      </c>
      <c r="AG1439" s="22" t="b">
        <f aca="false">TRUE()</f>
        <v>1</v>
      </c>
      <c r="AH1439" s="0" t="n">
        <v>1</v>
      </c>
    </row>
    <row r="1440" customFormat="false" ht="15" hidden="false" customHeight="false" outlineLevel="0" collapsed="false">
      <c r="A1440" s="0" t="s">
        <v>2210</v>
      </c>
      <c r="B1440" s="0" t="s">
        <v>134</v>
      </c>
      <c r="C1440" s="0" t="s">
        <v>3447</v>
      </c>
      <c r="D1440" s="0" t="s">
        <v>3457</v>
      </c>
      <c r="E1440" s="18" t="s">
        <v>24</v>
      </c>
      <c r="F1440" s="18" t="s">
        <v>28</v>
      </c>
      <c r="H1440" s="21" t="s">
        <v>24</v>
      </c>
      <c r="I1440" s="21" t="s">
        <v>24</v>
      </c>
      <c r="J1440" s="21" t="s">
        <v>24</v>
      </c>
      <c r="K1440" s="21" t="s">
        <v>24</v>
      </c>
      <c r="L1440" s="21" t="s">
        <v>24</v>
      </c>
      <c r="M1440" s="0" t="n">
        <v>191</v>
      </c>
      <c r="N1440" s="0" t="n">
        <v>0</v>
      </c>
      <c r="Q1440" s="0" t="n">
        <v>0</v>
      </c>
      <c r="S1440" s="0" t="n">
        <v>0</v>
      </c>
      <c r="U1440" s="22" t="b">
        <f aca="false">FALSE()</f>
        <v>0</v>
      </c>
      <c r="V1440" s="0" t="n">
        <v>0.78</v>
      </c>
      <c r="W1440" s="0" t="n">
        <v>0.68</v>
      </c>
      <c r="X1440" s="0" t="n">
        <v>5.91</v>
      </c>
      <c r="Y1440" s="0" t="n">
        <v>335.58</v>
      </c>
      <c r="Z1440" s="0" t="n">
        <v>9.25</v>
      </c>
      <c r="AA1440" s="0" t="n">
        <v>2.75</v>
      </c>
      <c r="AB1440" s="0" t="n">
        <v>5.31</v>
      </c>
      <c r="AC1440" s="22" t="b">
        <f aca="false">FALSE()</f>
        <v>0</v>
      </c>
      <c r="AD1440" s="0" t="n">
        <v>11.98</v>
      </c>
      <c r="AE1440" s="0" t="n">
        <v>0.41</v>
      </c>
      <c r="AF1440" s="0" t="n">
        <v>3.35</v>
      </c>
      <c r="AG1440" s="22" t="b">
        <f aca="false">TRUE()</f>
        <v>1</v>
      </c>
      <c r="AH1440" s="0" t="n">
        <v>1</v>
      </c>
    </row>
    <row r="1441" customFormat="false" ht="15" hidden="false" customHeight="false" outlineLevel="0" collapsed="false">
      <c r="A1441" s="0" t="s">
        <v>2210</v>
      </c>
      <c r="B1441" s="0" t="s">
        <v>134</v>
      </c>
      <c r="C1441" s="0" t="s">
        <v>3447</v>
      </c>
      <c r="D1441" s="0" t="s">
        <v>3448</v>
      </c>
      <c r="E1441" s="20" t="s">
        <v>25</v>
      </c>
      <c r="F1441" s="23" t="s">
        <v>30</v>
      </c>
      <c r="G1441" s="21" t="s">
        <v>283</v>
      </c>
      <c r="H1441" s="21" t="s">
        <v>24</v>
      </c>
      <c r="I1441" s="21" t="s">
        <v>25</v>
      </c>
      <c r="J1441" s="21" t="s">
        <v>24</v>
      </c>
      <c r="K1441" s="21" t="s">
        <v>24</v>
      </c>
      <c r="L1441" s="21" t="s">
        <v>24</v>
      </c>
      <c r="M1441" s="0" t="n">
        <v>190</v>
      </c>
      <c r="N1441" s="0" t="n">
        <v>1</v>
      </c>
      <c r="O1441" s="21" t="s">
        <v>70</v>
      </c>
      <c r="P1441" s="21" t="s">
        <v>4378</v>
      </c>
      <c r="Q1441" s="0" t="n">
        <v>1</v>
      </c>
      <c r="R1441" s="21" t="s">
        <v>70</v>
      </c>
      <c r="S1441" s="0" t="n">
        <v>1</v>
      </c>
      <c r="T1441" s="21" t="s">
        <v>70</v>
      </c>
      <c r="U1441" s="22" t="b">
        <f aca="false">TRUE()</f>
        <v>1</v>
      </c>
      <c r="V1441" s="0" t="n">
        <v>0.77</v>
      </c>
      <c r="W1441" s="0" t="n">
        <v>0.48</v>
      </c>
      <c r="X1441" s="0" t="n">
        <v>5.91</v>
      </c>
      <c r="Y1441" s="0" t="n">
        <v>348.19</v>
      </c>
      <c r="Z1441" s="0" t="n">
        <v>10.17</v>
      </c>
      <c r="AA1441" s="0" t="n">
        <v>0.21</v>
      </c>
      <c r="AB1441" s="0" t="n">
        <v>1.86</v>
      </c>
      <c r="AC1441" s="22" t="b">
        <f aca="false">FALSE()</f>
        <v>0</v>
      </c>
      <c r="AD1441" s="0" t="n">
        <v>7.46</v>
      </c>
      <c r="AE1441" s="0" t="n">
        <v>0.64</v>
      </c>
      <c r="AF1441" s="0" t="n">
        <v>5.55</v>
      </c>
      <c r="AG1441" s="22" t="b">
        <f aca="false">FALSE()</f>
        <v>0</v>
      </c>
      <c r="AH1441" s="0" t="n">
        <v>1</v>
      </c>
    </row>
    <row r="1442" customFormat="false" ht="15" hidden="false" customHeight="false" outlineLevel="0" collapsed="false">
      <c r="A1442" s="0" t="s">
        <v>2216</v>
      </c>
      <c r="B1442" s="0" t="s">
        <v>134</v>
      </c>
      <c r="C1442" s="0" t="s">
        <v>3450</v>
      </c>
      <c r="D1442" s="0" t="s">
        <v>3457</v>
      </c>
      <c r="E1442" s="20" t="s">
        <v>25</v>
      </c>
      <c r="F1442" s="23" t="s">
        <v>30</v>
      </c>
      <c r="G1442" s="21" t="s">
        <v>283</v>
      </c>
      <c r="H1442" s="21" t="s">
        <v>24</v>
      </c>
      <c r="I1442" s="21" t="s">
        <v>25</v>
      </c>
      <c r="J1442" s="21" t="s">
        <v>24</v>
      </c>
      <c r="K1442" s="21" t="s">
        <v>24</v>
      </c>
      <c r="L1442" s="21" t="s">
        <v>24</v>
      </c>
      <c r="M1442" s="0" t="n">
        <v>184</v>
      </c>
      <c r="N1442" s="0" t="n">
        <v>6</v>
      </c>
      <c r="O1442" s="21" t="s">
        <v>3832</v>
      </c>
      <c r="P1442" s="21" t="s">
        <v>4729</v>
      </c>
      <c r="Q1442" s="0" t="n">
        <v>1</v>
      </c>
      <c r="R1442" s="21" t="s">
        <v>69</v>
      </c>
      <c r="S1442" s="0" t="n">
        <v>6</v>
      </c>
      <c r="T1442" s="21" t="s">
        <v>3832</v>
      </c>
      <c r="U1442" s="22" t="b">
        <f aca="false">TRUE()</f>
        <v>1</v>
      </c>
      <c r="V1442" s="0" t="n">
        <v>0.78</v>
      </c>
      <c r="W1442" s="0" t="n">
        <v>0.68</v>
      </c>
      <c r="X1442" s="0" t="n">
        <v>13.27</v>
      </c>
      <c r="Y1442" s="0" t="n">
        <v>318.44</v>
      </c>
      <c r="Z1442" s="0" t="n">
        <v>9.75</v>
      </c>
      <c r="AA1442" s="0" t="n">
        <v>12.43</v>
      </c>
      <c r="AB1442" s="0" t="n">
        <v>13.38</v>
      </c>
      <c r="AC1442" s="22" t="b">
        <f aca="false">FALSE()</f>
        <v>0</v>
      </c>
      <c r="AD1442" s="0" t="n">
        <v>8.67</v>
      </c>
      <c r="AE1442" s="0" t="n">
        <v>0.79</v>
      </c>
      <c r="AF1442" s="0" t="n">
        <v>0.94</v>
      </c>
      <c r="AG1442" s="22" t="b">
        <f aca="false">FALSE()</f>
        <v>0</v>
      </c>
      <c r="AH1442" s="0" t="n">
        <v>1</v>
      </c>
    </row>
    <row r="1443" customFormat="false" ht="15" hidden="false" customHeight="false" outlineLevel="0" collapsed="false">
      <c r="A1443" s="0" t="s">
        <v>2216</v>
      </c>
      <c r="B1443" s="0" t="s">
        <v>134</v>
      </c>
      <c r="C1443" s="0" t="s">
        <v>3450</v>
      </c>
      <c r="D1443" s="0" t="s">
        <v>3448</v>
      </c>
      <c r="E1443" s="19" t="s">
        <v>26</v>
      </c>
      <c r="F1443" s="19" t="s">
        <v>32</v>
      </c>
      <c r="G1443" s="21" t="s">
        <v>60</v>
      </c>
      <c r="H1443" s="21" t="s">
        <v>24</v>
      </c>
      <c r="I1443" s="21" t="s">
        <v>26</v>
      </c>
      <c r="J1443" s="21" t="s">
        <v>24</v>
      </c>
      <c r="K1443" s="21" t="s">
        <v>24</v>
      </c>
      <c r="L1443" s="21" t="s">
        <v>24</v>
      </c>
      <c r="M1443" s="0" t="n">
        <v>185</v>
      </c>
      <c r="N1443" s="0" t="n">
        <v>7</v>
      </c>
      <c r="O1443" s="21" t="s">
        <v>3886</v>
      </c>
      <c r="P1443" s="21" t="s">
        <v>4730</v>
      </c>
      <c r="Q1443" s="0" t="n">
        <v>0</v>
      </c>
      <c r="S1443" s="0" t="n">
        <v>7</v>
      </c>
      <c r="T1443" s="21" t="s">
        <v>3886</v>
      </c>
      <c r="U1443" s="22" t="b">
        <f aca="false">FALSE()</f>
        <v>0</v>
      </c>
      <c r="V1443" s="0" t="n">
        <v>0.78</v>
      </c>
      <c r="W1443" s="0" t="n">
        <v>0</v>
      </c>
      <c r="X1443" s="0" t="n">
        <v>12.19</v>
      </c>
      <c r="Y1443" s="0" t="n">
        <v>726.99</v>
      </c>
      <c r="Z1443" s="0" t="n">
        <v>9.25</v>
      </c>
      <c r="AA1443" s="0" t="n">
        <v>19.65</v>
      </c>
      <c r="AB1443" s="0" t="n">
        <v>2.03</v>
      </c>
      <c r="AC1443" s="22" t="b">
        <f aca="false">FALSE()</f>
        <v>0</v>
      </c>
      <c r="AD1443" s="0" t="n">
        <v>14.58</v>
      </c>
      <c r="AE1443" s="0" t="n">
        <v>0.54</v>
      </c>
      <c r="AF1443" s="0" t="n">
        <v>1.93</v>
      </c>
      <c r="AG1443" s="22" t="b">
        <f aca="false">TRUE()</f>
        <v>1</v>
      </c>
      <c r="AH1443" s="0" t="n">
        <v>1</v>
      </c>
    </row>
    <row r="1444" customFormat="false" ht="15" hidden="false" customHeight="false" outlineLevel="0" collapsed="false">
      <c r="A1444" s="0" t="s">
        <v>2216</v>
      </c>
      <c r="B1444" s="0" t="s">
        <v>134</v>
      </c>
      <c r="C1444" s="0" t="s">
        <v>3447</v>
      </c>
      <c r="D1444" s="0" t="s">
        <v>3457</v>
      </c>
      <c r="E1444" s="20" t="s">
        <v>25</v>
      </c>
      <c r="F1444" s="23" t="s">
        <v>30</v>
      </c>
      <c r="G1444" s="21" t="s">
        <v>283</v>
      </c>
      <c r="H1444" s="21" t="s">
        <v>24</v>
      </c>
      <c r="I1444" s="21" t="s">
        <v>25</v>
      </c>
      <c r="J1444" s="21" t="s">
        <v>24</v>
      </c>
      <c r="K1444" s="21" t="s">
        <v>24</v>
      </c>
      <c r="L1444" s="21" t="s">
        <v>24</v>
      </c>
      <c r="M1444" s="0" t="n">
        <v>183</v>
      </c>
      <c r="N1444" s="0" t="n">
        <v>4</v>
      </c>
      <c r="O1444" s="21" t="s">
        <v>3737</v>
      </c>
      <c r="P1444" s="21" t="s">
        <v>4535</v>
      </c>
      <c r="Q1444" s="0" t="n">
        <v>1</v>
      </c>
      <c r="R1444" s="21" t="s">
        <v>69</v>
      </c>
      <c r="S1444" s="0" t="n">
        <v>4</v>
      </c>
      <c r="T1444" s="21" t="s">
        <v>3737</v>
      </c>
      <c r="U1444" s="22" t="b">
        <f aca="false">TRUE()</f>
        <v>1</v>
      </c>
      <c r="V1444" s="0" t="n">
        <v>0.76</v>
      </c>
      <c r="W1444" s="0" t="n">
        <v>0.32</v>
      </c>
      <c r="X1444" s="0" t="n">
        <v>8.65</v>
      </c>
      <c r="Y1444" s="0" t="n">
        <v>402.26</v>
      </c>
      <c r="Z1444" s="0" t="n">
        <v>9.92</v>
      </c>
      <c r="AA1444" s="0" t="n">
        <v>7.37</v>
      </c>
      <c r="AB1444" s="0" t="n">
        <v>13.38</v>
      </c>
      <c r="AC1444" s="22" t="b">
        <f aca="false">FALSE()</f>
        <v>0</v>
      </c>
      <c r="AD1444" s="0" t="n">
        <v>14.93</v>
      </c>
      <c r="AE1444" s="0" t="n">
        <v>0.25</v>
      </c>
      <c r="AF1444" s="0" t="n">
        <v>1.69</v>
      </c>
      <c r="AG1444" s="22" t="b">
        <f aca="false">TRUE()</f>
        <v>1</v>
      </c>
      <c r="AH1444" s="0" t="n">
        <v>1</v>
      </c>
    </row>
    <row r="1445" customFormat="false" ht="15" hidden="false" customHeight="false" outlineLevel="0" collapsed="false">
      <c r="A1445" s="0" t="s">
        <v>2216</v>
      </c>
      <c r="B1445" s="0" t="s">
        <v>134</v>
      </c>
      <c r="C1445" s="0" t="s">
        <v>3447</v>
      </c>
      <c r="D1445" s="0" t="s">
        <v>3448</v>
      </c>
      <c r="E1445" s="19" t="s">
        <v>26</v>
      </c>
      <c r="F1445" s="19" t="s">
        <v>32</v>
      </c>
      <c r="G1445" s="21" t="s">
        <v>60</v>
      </c>
      <c r="H1445" s="21" t="s">
        <v>24</v>
      </c>
      <c r="I1445" s="21" t="s">
        <v>26</v>
      </c>
      <c r="J1445" s="21" t="s">
        <v>24</v>
      </c>
      <c r="K1445" s="21" t="s">
        <v>24</v>
      </c>
      <c r="L1445" s="21" t="s">
        <v>24</v>
      </c>
      <c r="M1445" s="0" t="n">
        <v>185</v>
      </c>
      <c r="N1445" s="0" t="n">
        <v>10</v>
      </c>
      <c r="O1445" s="21" t="s">
        <v>3956</v>
      </c>
      <c r="P1445" s="21" t="s">
        <v>4403</v>
      </c>
      <c r="Q1445" s="0" t="n">
        <v>0</v>
      </c>
      <c r="S1445" s="0" t="n">
        <v>10</v>
      </c>
      <c r="T1445" s="21" t="s">
        <v>3956</v>
      </c>
      <c r="U1445" s="22" t="b">
        <f aca="false">FALSE()</f>
        <v>0</v>
      </c>
      <c r="V1445" s="0" t="n">
        <v>0.76</v>
      </c>
      <c r="W1445" s="0" t="n">
        <v>0.68</v>
      </c>
      <c r="X1445" s="0" t="n">
        <v>11.21</v>
      </c>
      <c r="Y1445" s="0" t="n">
        <v>322.11</v>
      </c>
      <c r="Z1445" s="0" t="n">
        <v>9</v>
      </c>
      <c r="AA1445" s="0" t="n">
        <v>17.39</v>
      </c>
      <c r="AB1445" s="0" t="n">
        <v>2.03</v>
      </c>
      <c r="AC1445" s="22" t="b">
        <f aca="false">FALSE()</f>
        <v>0</v>
      </c>
      <c r="AD1445" s="0" t="n">
        <v>13.84</v>
      </c>
      <c r="AE1445" s="0" t="n">
        <v>0.79</v>
      </c>
      <c r="AF1445" s="0" t="n">
        <v>1.64</v>
      </c>
      <c r="AG1445" s="22" t="b">
        <f aca="false">TRUE()</f>
        <v>1</v>
      </c>
      <c r="AH1445" s="0" t="n">
        <v>1</v>
      </c>
    </row>
    <row r="1446" customFormat="false" ht="15" hidden="false" customHeight="false" outlineLevel="0" collapsed="false">
      <c r="A1446" s="0" t="s">
        <v>2227</v>
      </c>
      <c r="B1446" s="0" t="s">
        <v>134</v>
      </c>
      <c r="C1446" s="0" t="s">
        <v>3450</v>
      </c>
      <c r="D1446" s="0" t="s">
        <v>3457</v>
      </c>
      <c r="E1446" s="18" t="s">
        <v>24</v>
      </c>
      <c r="F1446" s="23" t="s">
        <v>30</v>
      </c>
      <c r="G1446" s="21" t="s">
        <v>30</v>
      </c>
      <c r="H1446" s="21" t="s">
        <v>24</v>
      </c>
      <c r="I1446" s="21" t="s">
        <v>24</v>
      </c>
      <c r="J1446" s="21" t="s">
        <v>24</v>
      </c>
      <c r="K1446" s="21" t="s">
        <v>24</v>
      </c>
      <c r="L1446" s="21" t="s">
        <v>24</v>
      </c>
      <c r="M1446" s="0" t="n">
        <v>185</v>
      </c>
      <c r="N1446" s="0" t="n">
        <v>2</v>
      </c>
      <c r="O1446" s="21" t="s">
        <v>3527</v>
      </c>
      <c r="P1446" s="21" t="s">
        <v>4382</v>
      </c>
      <c r="Q1446" s="0" t="n">
        <v>0</v>
      </c>
      <c r="S1446" s="0" t="n">
        <v>2</v>
      </c>
      <c r="T1446" s="21" t="s">
        <v>3527</v>
      </c>
      <c r="U1446" s="22" t="b">
        <f aca="false">TRUE()</f>
        <v>1</v>
      </c>
      <c r="V1446" s="0" t="n">
        <v>0.73</v>
      </c>
      <c r="W1446" s="0" t="n">
        <v>0.12</v>
      </c>
      <c r="X1446" s="0" t="n">
        <v>8.18</v>
      </c>
      <c r="Y1446" s="0" t="n">
        <v>625.18</v>
      </c>
      <c r="Z1446" s="0" t="n">
        <v>10.25</v>
      </c>
      <c r="AA1446" s="0" t="n">
        <v>9.14</v>
      </c>
      <c r="AB1446" s="0" t="n">
        <v>1.95</v>
      </c>
      <c r="AC1446" s="22" t="b">
        <f aca="false">FALSE()</f>
        <v>0</v>
      </c>
      <c r="AD1446" s="0" t="n">
        <v>12.76</v>
      </c>
      <c r="AE1446" s="0" t="n">
        <v>1.14</v>
      </c>
      <c r="AF1446" s="0" t="n">
        <v>1.19</v>
      </c>
      <c r="AG1446" s="22" t="b">
        <f aca="false">TRUE()</f>
        <v>1</v>
      </c>
      <c r="AH1446" s="0" t="n">
        <v>1</v>
      </c>
    </row>
    <row r="1447" customFormat="false" ht="15" hidden="false" customHeight="false" outlineLevel="0" collapsed="false">
      <c r="A1447" s="0" t="s">
        <v>2227</v>
      </c>
      <c r="B1447" s="0" t="s">
        <v>134</v>
      </c>
      <c r="C1447" s="0" t="s">
        <v>3450</v>
      </c>
      <c r="D1447" s="0" t="s">
        <v>3448</v>
      </c>
      <c r="E1447" s="20" t="s">
        <v>25</v>
      </c>
      <c r="F1447" s="23" t="s">
        <v>30</v>
      </c>
      <c r="G1447" s="21" t="s">
        <v>1099</v>
      </c>
      <c r="H1447" s="21" t="s">
        <v>24</v>
      </c>
      <c r="I1447" s="21" t="s">
        <v>25</v>
      </c>
      <c r="J1447" s="21" t="s">
        <v>24</v>
      </c>
      <c r="K1447" s="21" t="s">
        <v>25</v>
      </c>
      <c r="L1447" s="21" t="s">
        <v>24</v>
      </c>
      <c r="M1447" s="0" t="n">
        <v>199</v>
      </c>
      <c r="N1447" s="0" t="n">
        <v>3</v>
      </c>
      <c r="O1447" s="21" t="s">
        <v>3649</v>
      </c>
      <c r="P1447" s="21" t="s">
        <v>4242</v>
      </c>
      <c r="Q1447" s="0" t="n">
        <v>1</v>
      </c>
      <c r="R1447" s="21" t="s">
        <v>69</v>
      </c>
      <c r="S1447" s="0" t="n">
        <v>3</v>
      </c>
      <c r="T1447" s="21" t="s">
        <v>3649</v>
      </c>
      <c r="U1447" s="22" t="b">
        <f aca="false">TRUE()</f>
        <v>1</v>
      </c>
      <c r="V1447" s="0" t="n">
        <v>0.76</v>
      </c>
      <c r="W1447" s="0" t="n">
        <v>0.52</v>
      </c>
      <c r="X1447" s="0" t="n">
        <v>7.84</v>
      </c>
      <c r="Y1447" s="0" t="n">
        <v>357.74</v>
      </c>
      <c r="Z1447" s="0" t="n">
        <v>9.83</v>
      </c>
      <c r="AA1447" s="0" t="n">
        <v>14.45</v>
      </c>
      <c r="AB1447" s="0" t="n">
        <v>0.79</v>
      </c>
      <c r="AC1447" s="22" t="b">
        <f aca="false">FALSE()</f>
        <v>0</v>
      </c>
      <c r="AD1447" s="0" t="n">
        <v>10.73</v>
      </c>
      <c r="AE1447" s="0" t="n">
        <v>0.36</v>
      </c>
      <c r="AF1447" s="0" t="n">
        <v>2.71</v>
      </c>
      <c r="AG1447" s="22" t="b">
        <f aca="false">TRUE()</f>
        <v>1</v>
      </c>
      <c r="AH1447" s="0" t="n">
        <v>1</v>
      </c>
    </row>
    <row r="1448" customFormat="false" ht="15" hidden="false" customHeight="false" outlineLevel="0" collapsed="false">
      <c r="A1448" s="0" t="s">
        <v>2227</v>
      </c>
      <c r="B1448" s="0" t="s">
        <v>134</v>
      </c>
      <c r="C1448" s="0" t="s">
        <v>3447</v>
      </c>
      <c r="D1448" s="0" t="s">
        <v>3457</v>
      </c>
      <c r="E1448" s="20" t="s">
        <v>25</v>
      </c>
      <c r="F1448" s="23" t="s">
        <v>30</v>
      </c>
      <c r="G1448" s="21" t="s">
        <v>283</v>
      </c>
      <c r="H1448" s="21" t="s">
        <v>24</v>
      </c>
      <c r="I1448" s="21" t="s">
        <v>25</v>
      </c>
      <c r="J1448" s="21" t="s">
        <v>24</v>
      </c>
      <c r="K1448" s="21" t="s">
        <v>24</v>
      </c>
      <c r="L1448" s="21" t="s">
        <v>24</v>
      </c>
      <c r="M1448" s="0" t="n">
        <v>186</v>
      </c>
      <c r="N1448" s="0" t="n">
        <v>5</v>
      </c>
      <c r="O1448" s="21" t="s">
        <v>3837</v>
      </c>
      <c r="P1448" s="21" t="s">
        <v>4604</v>
      </c>
      <c r="Q1448" s="0" t="n">
        <v>1</v>
      </c>
      <c r="R1448" s="21" t="s">
        <v>69</v>
      </c>
      <c r="S1448" s="0" t="n">
        <v>5</v>
      </c>
      <c r="T1448" s="21" t="s">
        <v>3837</v>
      </c>
      <c r="U1448" s="22" t="b">
        <f aca="false">TRUE()</f>
        <v>1</v>
      </c>
      <c r="V1448" s="0" t="n">
        <v>0.65</v>
      </c>
      <c r="W1448" s="0" t="n">
        <v>0</v>
      </c>
      <c r="X1448" s="0" t="n">
        <v>6.45</v>
      </c>
      <c r="Y1448" s="0" t="n">
        <v>735.4</v>
      </c>
      <c r="Z1448" s="0" t="n">
        <v>9.92</v>
      </c>
      <c r="AA1448" s="0" t="n">
        <v>5.81</v>
      </c>
      <c r="AB1448" s="0" t="n">
        <v>1.95</v>
      </c>
      <c r="AC1448" s="22" t="b">
        <f aca="false">FALSE()</f>
        <v>0</v>
      </c>
      <c r="AD1448" s="0" t="n">
        <v>13.19</v>
      </c>
      <c r="AE1448" s="0" t="n">
        <v>1.02</v>
      </c>
      <c r="AF1448" s="0" t="n">
        <v>1.19</v>
      </c>
      <c r="AG1448" s="22" t="b">
        <f aca="false">TRUE()</f>
        <v>1</v>
      </c>
      <c r="AH1448" s="0" t="n">
        <v>1</v>
      </c>
    </row>
    <row r="1449" customFormat="false" ht="15" hidden="false" customHeight="false" outlineLevel="0" collapsed="false">
      <c r="A1449" s="0" t="s">
        <v>2227</v>
      </c>
      <c r="B1449" s="0" t="s">
        <v>134</v>
      </c>
      <c r="C1449" s="0" t="s">
        <v>3447</v>
      </c>
      <c r="D1449" s="0" t="s">
        <v>3448</v>
      </c>
      <c r="E1449" s="20" t="s">
        <v>25</v>
      </c>
      <c r="F1449" s="23" t="s">
        <v>30</v>
      </c>
      <c r="G1449" s="21" t="s">
        <v>1099</v>
      </c>
      <c r="H1449" s="21" t="s">
        <v>24</v>
      </c>
      <c r="I1449" s="21" t="s">
        <v>25</v>
      </c>
      <c r="J1449" s="21" t="s">
        <v>24</v>
      </c>
      <c r="K1449" s="21" t="s">
        <v>25</v>
      </c>
      <c r="L1449" s="21" t="s">
        <v>24</v>
      </c>
      <c r="M1449" s="0" t="n">
        <v>186</v>
      </c>
      <c r="N1449" s="0" t="n">
        <v>3</v>
      </c>
      <c r="O1449" s="21" t="s">
        <v>3649</v>
      </c>
      <c r="P1449" s="21" t="s">
        <v>4242</v>
      </c>
      <c r="Q1449" s="0" t="n">
        <v>1</v>
      </c>
      <c r="R1449" s="21" t="s">
        <v>69</v>
      </c>
      <c r="S1449" s="0" t="n">
        <v>3</v>
      </c>
      <c r="T1449" s="21" t="s">
        <v>3649</v>
      </c>
      <c r="U1449" s="22" t="b">
        <f aca="false">TRUE()</f>
        <v>1</v>
      </c>
      <c r="V1449" s="0" t="n">
        <v>0.74</v>
      </c>
      <c r="W1449" s="0" t="n">
        <v>0.68</v>
      </c>
      <c r="X1449" s="0" t="n">
        <v>7.87</v>
      </c>
      <c r="Y1449" s="0" t="n">
        <v>326.33</v>
      </c>
      <c r="Z1449" s="0" t="n">
        <v>9.75</v>
      </c>
      <c r="AA1449" s="0" t="n">
        <v>1.5</v>
      </c>
      <c r="AB1449" s="0" t="n">
        <v>0.79</v>
      </c>
      <c r="AC1449" s="22" t="b">
        <f aca="false">FALSE()</f>
        <v>0</v>
      </c>
      <c r="AD1449" s="0" t="n">
        <v>3.94</v>
      </c>
      <c r="AE1449" s="0" t="n">
        <v>0.21</v>
      </c>
      <c r="AF1449" s="0" t="n">
        <v>0.91</v>
      </c>
      <c r="AG1449" s="22" t="b">
        <f aca="false">FALSE()</f>
        <v>0</v>
      </c>
      <c r="AH1449" s="0" t="n">
        <v>1</v>
      </c>
    </row>
    <row r="1450" customFormat="false" ht="15" hidden="false" customHeight="false" outlineLevel="0" collapsed="false">
      <c r="A1450" s="0" t="s">
        <v>2236</v>
      </c>
      <c r="B1450" s="0" t="s">
        <v>134</v>
      </c>
      <c r="C1450" s="0" t="s">
        <v>3450</v>
      </c>
      <c r="D1450" s="0" t="s">
        <v>3457</v>
      </c>
      <c r="E1450" s="20" t="s">
        <v>25</v>
      </c>
      <c r="F1450" s="20" t="s">
        <v>29</v>
      </c>
      <c r="G1450" s="21" t="s">
        <v>3451</v>
      </c>
      <c r="H1450" s="21" t="s">
        <v>24</v>
      </c>
      <c r="I1450" s="21" t="s">
        <v>24</v>
      </c>
      <c r="J1450" s="21" t="s">
        <v>24</v>
      </c>
      <c r="K1450" s="21" t="s">
        <v>25</v>
      </c>
      <c r="L1450" s="21" t="s">
        <v>24</v>
      </c>
      <c r="M1450" s="0" t="n">
        <v>186</v>
      </c>
      <c r="N1450" s="0" t="n">
        <v>0</v>
      </c>
      <c r="Q1450" s="0" t="n">
        <v>0</v>
      </c>
      <c r="S1450" s="0" t="n">
        <v>0</v>
      </c>
      <c r="U1450" s="22" t="b">
        <f aca="false">FALSE()</f>
        <v>0</v>
      </c>
      <c r="V1450" s="0" t="n">
        <v>0.7</v>
      </c>
      <c r="W1450" s="0" t="n">
        <v>0.76</v>
      </c>
      <c r="X1450" s="0" t="n">
        <v>9.2</v>
      </c>
      <c r="Y1450" s="0" t="n">
        <v>326.72</v>
      </c>
      <c r="Z1450" s="0" t="n">
        <v>8.42</v>
      </c>
      <c r="AA1450" s="0" t="n">
        <v>-1.13</v>
      </c>
      <c r="AB1450" s="0" t="n">
        <v>0.74</v>
      </c>
      <c r="AC1450" s="22" t="b">
        <f aca="false">TRUE()</f>
        <v>1</v>
      </c>
      <c r="AD1450" s="0" t="n">
        <v>12.44</v>
      </c>
      <c r="AE1450" s="0" t="n">
        <v>0.1</v>
      </c>
      <c r="AF1450" s="0" t="n">
        <v>11.83</v>
      </c>
      <c r="AG1450" s="22" t="b">
        <f aca="false">TRUE()</f>
        <v>1</v>
      </c>
      <c r="AH1450" s="0" t="n">
        <v>1</v>
      </c>
    </row>
    <row r="1451" customFormat="false" ht="15" hidden="false" customHeight="false" outlineLevel="0" collapsed="false">
      <c r="A1451" s="0" t="s">
        <v>2236</v>
      </c>
      <c r="B1451" s="0" t="s">
        <v>134</v>
      </c>
      <c r="C1451" s="0" t="s">
        <v>3450</v>
      </c>
      <c r="D1451" s="0" t="s">
        <v>3448</v>
      </c>
      <c r="E1451" s="20" t="s">
        <v>25</v>
      </c>
      <c r="F1451" s="20" t="s">
        <v>29</v>
      </c>
      <c r="G1451" s="21" t="s">
        <v>63</v>
      </c>
      <c r="H1451" s="21" t="s">
        <v>24</v>
      </c>
      <c r="I1451" s="21" t="s">
        <v>24</v>
      </c>
      <c r="J1451" s="21" t="s">
        <v>24</v>
      </c>
      <c r="K1451" s="21" t="s">
        <v>25</v>
      </c>
      <c r="L1451" s="21" t="s">
        <v>24</v>
      </c>
      <c r="M1451" s="0" t="n">
        <v>185</v>
      </c>
      <c r="N1451" s="0" t="n">
        <v>0</v>
      </c>
      <c r="Q1451" s="0" t="n">
        <v>0</v>
      </c>
      <c r="S1451" s="0" t="n">
        <v>0</v>
      </c>
      <c r="U1451" s="22" t="b">
        <f aca="false">FALSE()</f>
        <v>0</v>
      </c>
      <c r="V1451" s="0" t="n">
        <v>0.66</v>
      </c>
      <c r="W1451" s="0" t="n">
        <v>0.56</v>
      </c>
      <c r="X1451" s="0" t="n">
        <v>9.7</v>
      </c>
      <c r="Y1451" s="0" t="n">
        <v>326.04</v>
      </c>
      <c r="Z1451" s="0" t="n">
        <v>9.5</v>
      </c>
      <c r="AA1451" s="0" t="n">
        <v>17.09</v>
      </c>
      <c r="AB1451" s="0" t="n">
        <v>1.12</v>
      </c>
      <c r="AC1451" s="22" t="b">
        <f aca="false">FALSE()</f>
        <v>0</v>
      </c>
      <c r="AD1451" s="0" t="n">
        <v>18.09</v>
      </c>
      <c r="AE1451" s="0" t="n">
        <v>0.69</v>
      </c>
      <c r="AF1451" s="0" t="n">
        <v>11.73</v>
      </c>
      <c r="AG1451" s="22" t="b">
        <f aca="false">TRUE()</f>
        <v>1</v>
      </c>
      <c r="AH1451" s="0" t="n">
        <v>1</v>
      </c>
    </row>
    <row r="1452" customFormat="false" ht="15" hidden="false" customHeight="false" outlineLevel="0" collapsed="false">
      <c r="A1452" s="0" t="s">
        <v>2236</v>
      </c>
      <c r="B1452" s="0" t="s">
        <v>134</v>
      </c>
      <c r="C1452" s="0" t="s">
        <v>3447</v>
      </c>
      <c r="D1452" s="0" t="s">
        <v>3457</v>
      </c>
      <c r="E1452" s="20" t="s">
        <v>25</v>
      </c>
      <c r="F1452" s="23" t="s">
        <v>30</v>
      </c>
      <c r="G1452" s="21" t="s">
        <v>2610</v>
      </c>
      <c r="H1452" s="21" t="s">
        <v>24</v>
      </c>
      <c r="I1452" s="21" t="s">
        <v>24</v>
      </c>
      <c r="J1452" s="21" t="s">
        <v>24</v>
      </c>
      <c r="K1452" s="21" t="s">
        <v>25</v>
      </c>
      <c r="L1452" s="21" t="s">
        <v>24</v>
      </c>
      <c r="M1452" s="0" t="n">
        <v>184</v>
      </c>
      <c r="N1452" s="0" t="n">
        <v>4</v>
      </c>
      <c r="O1452" s="21" t="s">
        <v>3667</v>
      </c>
      <c r="P1452" s="21" t="s">
        <v>4731</v>
      </c>
      <c r="Q1452" s="0" t="n">
        <v>0</v>
      </c>
      <c r="S1452" s="0" t="n">
        <v>4</v>
      </c>
      <c r="T1452" s="21" t="s">
        <v>3667</v>
      </c>
      <c r="U1452" s="22" t="b">
        <f aca="false">TRUE()</f>
        <v>1</v>
      </c>
      <c r="V1452" s="0" t="n">
        <v>0.73</v>
      </c>
      <c r="W1452" s="0" t="n">
        <v>0.84</v>
      </c>
      <c r="X1452" s="0" t="n">
        <v>9.04</v>
      </c>
      <c r="Y1452" s="0" t="n">
        <v>322.17</v>
      </c>
      <c r="Z1452" s="0" t="n">
        <v>8</v>
      </c>
      <c r="AA1452" s="0" t="n">
        <v>-1.2</v>
      </c>
      <c r="AB1452" s="0" t="n">
        <v>0.74</v>
      </c>
      <c r="AC1452" s="22" t="b">
        <f aca="false">FALSE()</f>
        <v>0</v>
      </c>
      <c r="AD1452" s="0" t="n">
        <v>10.72</v>
      </c>
      <c r="AE1452" s="0" t="n">
        <v>0.04</v>
      </c>
      <c r="AF1452" s="0" t="n">
        <v>10.02</v>
      </c>
      <c r="AG1452" s="22" t="b">
        <f aca="false">TRUE()</f>
        <v>1</v>
      </c>
      <c r="AH1452" s="0" t="n">
        <v>1</v>
      </c>
    </row>
    <row r="1453" customFormat="false" ht="15" hidden="false" customHeight="false" outlineLevel="0" collapsed="false">
      <c r="A1453" s="0" t="s">
        <v>2236</v>
      </c>
      <c r="B1453" s="0" t="s">
        <v>134</v>
      </c>
      <c r="C1453" s="0" t="s">
        <v>3447</v>
      </c>
      <c r="D1453" s="0" t="s">
        <v>3448</v>
      </c>
      <c r="E1453" s="19" t="s">
        <v>26</v>
      </c>
      <c r="F1453" s="19" t="s">
        <v>32</v>
      </c>
      <c r="G1453" s="21" t="s">
        <v>1451</v>
      </c>
      <c r="H1453" s="21" t="s">
        <v>24</v>
      </c>
      <c r="I1453" s="21" t="s">
        <v>26</v>
      </c>
      <c r="J1453" s="21" t="s">
        <v>24</v>
      </c>
      <c r="K1453" s="21" t="s">
        <v>25</v>
      </c>
      <c r="L1453" s="21" t="s">
        <v>24</v>
      </c>
      <c r="M1453" s="0" t="n">
        <v>184</v>
      </c>
      <c r="N1453" s="0" t="n">
        <v>9</v>
      </c>
      <c r="O1453" s="21" t="s">
        <v>4100</v>
      </c>
      <c r="P1453" s="21" t="s">
        <v>4732</v>
      </c>
      <c r="Q1453" s="0" t="n">
        <v>1</v>
      </c>
      <c r="R1453" s="21" t="s">
        <v>69</v>
      </c>
      <c r="S1453" s="0" t="n">
        <v>9</v>
      </c>
      <c r="T1453" s="21" t="s">
        <v>4100</v>
      </c>
      <c r="U1453" s="22" t="b">
        <f aca="false">FALSE()</f>
        <v>0</v>
      </c>
      <c r="V1453" s="0" t="n">
        <v>0.71</v>
      </c>
      <c r="W1453" s="0" t="n">
        <v>0.76</v>
      </c>
      <c r="X1453" s="0" t="n">
        <v>8.87</v>
      </c>
      <c r="Y1453" s="0" t="n">
        <v>321.51</v>
      </c>
      <c r="Z1453" s="0" t="n">
        <v>8</v>
      </c>
      <c r="AA1453" s="0" t="n">
        <v>-1.35</v>
      </c>
      <c r="AB1453" s="0" t="n">
        <v>1.12</v>
      </c>
      <c r="AC1453" s="22" t="b">
        <f aca="false">FALSE()</f>
        <v>0</v>
      </c>
      <c r="AD1453" s="0" t="n">
        <v>7.53</v>
      </c>
      <c r="AE1453" s="0" t="n">
        <v>0.48</v>
      </c>
      <c r="AF1453" s="0" t="n">
        <v>6.38</v>
      </c>
      <c r="AG1453" s="22" t="b">
        <f aca="false">FALSE()</f>
        <v>0</v>
      </c>
      <c r="AH1453" s="0" t="n">
        <v>1</v>
      </c>
    </row>
    <row r="1454" customFormat="false" ht="15" hidden="false" customHeight="false" outlineLevel="0" collapsed="false">
      <c r="A1454" s="0" t="s">
        <v>2247</v>
      </c>
      <c r="B1454" s="0" t="s">
        <v>134</v>
      </c>
      <c r="C1454" s="0" t="s">
        <v>3450</v>
      </c>
      <c r="D1454" s="0" t="s">
        <v>3457</v>
      </c>
      <c r="E1454" s="20" t="s">
        <v>25</v>
      </c>
      <c r="F1454" s="23" t="s">
        <v>30</v>
      </c>
      <c r="G1454" s="21" t="s">
        <v>283</v>
      </c>
      <c r="H1454" s="21" t="s">
        <v>24</v>
      </c>
      <c r="I1454" s="21" t="s">
        <v>25</v>
      </c>
      <c r="J1454" s="21" t="s">
        <v>24</v>
      </c>
      <c r="K1454" s="21" t="s">
        <v>24</v>
      </c>
      <c r="L1454" s="21" t="s">
        <v>24</v>
      </c>
      <c r="M1454" s="0" t="n">
        <v>186</v>
      </c>
      <c r="N1454" s="0" t="n">
        <v>1</v>
      </c>
      <c r="O1454" s="21" t="s">
        <v>69</v>
      </c>
      <c r="P1454" s="21" t="s">
        <v>4275</v>
      </c>
      <c r="Q1454" s="0" t="n">
        <v>1</v>
      </c>
      <c r="R1454" s="21" t="s">
        <v>69</v>
      </c>
      <c r="S1454" s="0" t="n">
        <v>1</v>
      </c>
      <c r="T1454" s="21" t="s">
        <v>69</v>
      </c>
      <c r="U1454" s="22" t="b">
        <f aca="false">TRUE()</f>
        <v>1</v>
      </c>
      <c r="V1454" s="0" t="n">
        <v>0.7</v>
      </c>
      <c r="W1454" s="0" t="n">
        <v>0.24</v>
      </c>
      <c r="X1454" s="0" t="n">
        <v>9.4</v>
      </c>
      <c r="Y1454" s="0" t="n">
        <v>316.53</v>
      </c>
      <c r="Z1454" s="0" t="n">
        <v>10</v>
      </c>
      <c r="AA1454" s="0" t="n">
        <v>21.79</v>
      </c>
      <c r="AB1454" s="0" t="n">
        <v>12.24</v>
      </c>
      <c r="AC1454" s="22" t="b">
        <f aca="false">FALSE()</f>
        <v>0</v>
      </c>
      <c r="AD1454" s="0" t="n">
        <v>9.87</v>
      </c>
      <c r="AE1454" s="0" t="n">
        <v>0.06</v>
      </c>
      <c r="AF1454" s="0" t="n">
        <v>5.93</v>
      </c>
      <c r="AG1454" s="22" t="b">
        <f aca="false">FALSE()</f>
        <v>0</v>
      </c>
      <c r="AH1454" s="0" t="n">
        <v>1</v>
      </c>
    </row>
    <row r="1455" customFormat="false" ht="15" hidden="false" customHeight="false" outlineLevel="0" collapsed="false">
      <c r="A1455" s="0" t="s">
        <v>2247</v>
      </c>
      <c r="B1455" s="0" t="s">
        <v>134</v>
      </c>
      <c r="C1455" s="0" t="s">
        <v>3450</v>
      </c>
      <c r="D1455" s="0" t="s">
        <v>3448</v>
      </c>
      <c r="E1455" s="20" t="s">
        <v>25</v>
      </c>
      <c r="F1455" s="23" t="s">
        <v>30</v>
      </c>
      <c r="G1455" s="21" t="s">
        <v>283</v>
      </c>
      <c r="H1455" s="21" t="s">
        <v>24</v>
      </c>
      <c r="I1455" s="21" t="s">
        <v>25</v>
      </c>
      <c r="J1455" s="21" t="s">
        <v>24</v>
      </c>
      <c r="K1455" s="21" t="s">
        <v>24</v>
      </c>
      <c r="L1455" s="21" t="s">
        <v>24</v>
      </c>
      <c r="M1455" s="0" t="n">
        <v>185</v>
      </c>
      <c r="N1455" s="0" t="n">
        <v>2</v>
      </c>
      <c r="O1455" s="21" t="s">
        <v>3575</v>
      </c>
      <c r="P1455" s="21" t="s">
        <v>4265</v>
      </c>
      <c r="Q1455" s="0" t="n">
        <v>1</v>
      </c>
      <c r="R1455" s="21" t="s">
        <v>69</v>
      </c>
      <c r="S1455" s="0" t="n">
        <v>2</v>
      </c>
      <c r="T1455" s="21" t="s">
        <v>3575</v>
      </c>
      <c r="U1455" s="22" t="b">
        <f aca="false">TRUE()</f>
        <v>1</v>
      </c>
      <c r="V1455" s="0" t="n">
        <v>0.72</v>
      </c>
      <c r="W1455" s="0" t="n">
        <v>0</v>
      </c>
      <c r="X1455" s="0" t="n">
        <v>9.28</v>
      </c>
      <c r="Y1455" s="0" t="n">
        <v>714.35</v>
      </c>
      <c r="Z1455" s="0" t="n">
        <v>9.75</v>
      </c>
      <c r="AA1455" s="0" t="n">
        <v>21.53</v>
      </c>
      <c r="AB1455" s="0" t="n">
        <v>3.03</v>
      </c>
      <c r="AC1455" s="22" t="b">
        <f aca="false">FALSE()</f>
        <v>0</v>
      </c>
      <c r="AD1455" s="0" t="n">
        <v>10.24</v>
      </c>
      <c r="AE1455" s="0" t="n">
        <v>1.71</v>
      </c>
      <c r="AF1455" s="0" t="n">
        <v>6.82</v>
      </c>
      <c r="AG1455" s="22" t="b">
        <f aca="false">TRUE()</f>
        <v>1</v>
      </c>
      <c r="AH1455" s="0" t="n">
        <v>1</v>
      </c>
    </row>
    <row r="1456" customFormat="false" ht="15" hidden="false" customHeight="false" outlineLevel="0" collapsed="false">
      <c r="A1456" s="0" t="s">
        <v>2247</v>
      </c>
      <c r="B1456" s="0" t="s">
        <v>134</v>
      </c>
      <c r="C1456" s="0" t="s">
        <v>3447</v>
      </c>
      <c r="D1456" s="0" t="s">
        <v>3457</v>
      </c>
      <c r="E1456" s="19" t="s">
        <v>26</v>
      </c>
      <c r="F1456" s="19" t="s">
        <v>32</v>
      </c>
      <c r="G1456" s="21" t="s">
        <v>529</v>
      </c>
      <c r="H1456" s="21" t="s">
        <v>24</v>
      </c>
      <c r="I1456" s="21" t="s">
        <v>26</v>
      </c>
      <c r="J1456" s="21" t="s">
        <v>24</v>
      </c>
      <c r="K1456" s="21" t="s">
        <v>24</v>
      </c>
      <c r="L1456" s="21" t="s">
        <v>24</v>
      </c>
      <c r="M1456" s="0" t="n">
        <v>184</v>
      </c>
      <c r="N1456" s="0" t="n">
        <v>11</v>
      </c>
      <c r="O1456" s="21" t="s">
        <v>4041</v>
      </c>
      <c r="P1456" s="21" t="s">
        <v>4459</v>
      </c>
      <c r="Q1456" s="0" t="n">
        <v>1</v>
      </c>
      <c r="R1456" s="21" t="s">
        <v>69</v>
      </c>
      <c r="S1456" s="0" t="n">
        <v>11</v>
      </c>
      <c r="T1456" s="21" t="s">
        <v>4041</v>
      </c>
      <c r="U1456" s="22" t="b">
        <f aca="false">FALSE()</f>
        <v>0</v>
      </c>
      <c r="V1456" s="0" t="n">
        <v>0.74</v>
      </c>
      <c r="W1456" s="0" t="n">
        <v>0.76</v>
      </c>
      <c r="X1456" s="0" t="n">
        <v>6.93</v>
      </c>
      <c r="Y1456" s="0" t="n">
        <v>288.96</v>
      </c>
      <c r="Z1456" s="0" t="n">
        <v>10.5</v>
      </c>
      <c r="AA1456" s="0" t="n">
        <v>8.36</v>
      </c>
      <c r="AB1456" s="0" t="n">
        <v>12.24</v>
      </c>
      <c r="AC1456" s="22" t="b">
        <f aca="false">FALSE()</f>
        <v>0</v>
      </c>
      <c r="AD1456" s="0" t="n">
        <v>11</v>
      </c>
      <c r="AE1456" s="0" t="n">
        <v>1.04</v>
      </c>
      <c r="AF1456" s="0" t="n">
        <v>5.46</v>
      </c>
      <c r="AG1456" s="22" t="b">
        <f aca="false">TRUE()</f>
        <v>1</v>
      </c>
      <c r="AH1456" s="0" t="n">
        <v>1</v>
      </c>
    </row>
    <row r="1457" customFormat="false" ht="15" hidden="false" customHeight="false" outlineLevel="0" collapsed="false">
      <c r="A1457" s="0" t="s">
        <v>2247</v>
      </c>
      <c r="B1457" s="0" t="s">
        <v>134</v>
      </c>
      <c r="C1457" s="0" t="s">
        <v>3447</v>
      </c>
      <c r="D1457" s="0" t="s">
        <v>3448</v>
      </c>
      <c r="E1457" s="18" t="s">
        <v>24</v>
      </c>
      <c r="F1457" s="23" t="s">
        <v>30</v>
      </c>
      <c r="G1457" s="21" t="s">
        <v>30</v>
      </c>
      <c r="H1457" s="21" t="s">
        <v>24</v>
      </c>
      <c r="I1457" s="21" t="s">
        <v>24</v>
      </c>
      <c r="J1457" s="21" t="s">
        <v>24</v>
      </c>
      <c r="K1457" s="21" t="s">
        <v>24</v>
      </c>
      <c r="L1457" s="21" t="s">
        <v>24</v>
      </c>
      <c r="M1457" s="0" t="n">
        <v>188</v>
      </c>
      <c r="N1457" s="0" t="n">
        <v>2</v>
      </c>
      <c r="O1457" s="21" t="s">
        <v>3517</v>
      </c>
      <c r="P1457" s="21" t="s">
        <v>4451</v>
      </c>
      <c r="Q1457" s="0" t="n">
        <v>0</v>
      </c>
      <c r="S1457" s="0" t="n">
        <v>2</v>
      </c>
      <c r="T1457" s="21" t="s">
        <v>3517</v>
      </c>
      <c r="U1457" s="22" t="b">
        <f aca="false">TRUE()</f>
        <v>1</v>
      </c>
      <c r="V1457" s="0" t="n">
        <v>0.75</v>
      </c>
      <c r="W1457" s="0" t="n">
        <v>0.6</v>
      </c>
      <c r="X1457" s="0" t="n">
        <v>8.81</v>
      </c>
      <c r="Y1457" s="0" t="n">
        <v>320.74</v>
      </c>
      <c r="Z1457" s="0" t="n">
        <v>10.5</v>
      </c>
      <c r="AA1457" s="0" t="n">
        <v>12.41</v>
      </c>
      <c r="AB1457" s="0" t="n">
        <v>3.03</v>
      </c>
      <c r="AC1457" s="22" t="b">
        <f aca="false">FALSE()</f>
        <v>0</v>
      </c>
      <c r="AD1457" s="0" t="n">
        <v>5.04</v>
      </c>
      <c r="AE1457" s="0" t="n">
        <v>0.62</v>
      </c>
      <c r="AF1457" s="0" t="n">
        <v>1.61</v>
      </c>
      <c r="AG1457" s="22" t="b">
        <f aca="false">FALSE()</f>
        <v>0</v>
      </c>
      <c r="AH1457" s="0" t="n">
        <v>1</v>
      </c>
    </row>
    <row r="1458" customFormat="false" ht="15" hidden="false" customHeight="false" outlineLevel="0" collapsed="false">
      <c r="A1458" s="0" t="s">
        <v>2247</v>
      </c>
      <c r="B1458" s="0" t="s">
        <v>3459</v>
      </c>
      <c r="C1458" s="0" t="s">
        <v>3450</v>
      </c>
      <c r="D1458" s="0" t="s">
        <v>3457</v>
      </c>
      <c r="E1458" s="20" t="s">
        <v>25</v>
      </c>
      <c r="F1458" s="23" t="s">
        <v>30</v>
      </c>
      <c r="G1458" s="21" t="s">
        <v>183</v>
      </c>
      <c r="H1458" s="21" t="s">
        <v>24</v>
      </c>
      <c r="I1458" s="21" t="s">
        <v>25</v>
      </c>
      <c r="J1458" s="21" t="s">
        <v>24</v>
      </c>
      <c r="K1458" s="21" t="s">
        <v>25</v>
      </c>
      <c r="L1458" s="21" t="s">
        <v>24</v>
      </c>
      <c r="M1458" s="0" t="n">
        <v>182</v>
      </c>
      <c r="N1458" s="0" t="n">
        <v>1</v>
      </c>
      <c r="O1458" s="21" t="s">
        <v>69</v>
      </c>
      <c r="P1458" s="21" t="s">
        <v>4275</v>
      </c>
      <c r="Q1458" s="0" t="n">
        <v>1</v>
      </c>
      <c r="R1458" s="21" t="s">
        <v>69</v>
      </c>
      <c r="S1458" s="0" t="n">
        <v>1</v>
      </c>
      <c r="T1458" s="21" t="s">
        <v>69</v>
      </c>
      <c r="U1458" s="22" t="b">
        <f aca="false">TRUE()</f>
        <v>1</v>
      </c>
      <c r="V1458" s="0" t="n">
        <v>0.71</v>
      </c>
      <c r="W1458" s="0" t="n">
        <v>0.84</v>
      </c>
      <c r="X1458" s="0" t="n">
        <v>11.14</v>
      </c>
      <c r="Y1458" s="0" t="n">
        <v>308.89</v>
      </c>
      <c r="Z1458" s="0" t="n">
        <v>10</v>
      </c>
      <c r="AA1458" s="0" t="n">
        <v>16.12</v>
      </c>
      <c r="AB1458" s="0" t="n">
        <v>25.26</v>
      </c>
      <c r="AC1458" s="22" t="b">
        <f aca="false">FALSE()</f>
        <v>0</v>
      </c>
      <c r="AD1458" s="0" t="n">
        <v>22.73</v>
      </c>
      <c r="AE1458" s="0" t="n">
        <v>13.19</v>
      </c>
      <c r="AF1458" s="0" t="n">
        <v>21.9</v>
      </c>
      <c r="AG1458" s="22" t="b">
        <f aca="false">TRUE()</f>
        <v>1</v>
      </c>
      <c r="AH1458" s="0" t="n">
        <v>1</v>
      </c>
    </row>
    <row r="1459" customFormat="false" ht="15" hidden="false" customHeight="false" outlineLevel="0" collapsed="false">
      <c r="A1459" s="0" t="s">
        <v>2247</v>
      </c>
      <c r="B1459" s="0" t="s">
        <v>3459</v>
      </c>
      <c r="C1459" s="0" t="s">
        <v>3450</v>
      </c>
      <c r="D1459" s="0" t="s">
        <v>3448</v>
      </c>
      <c r="E1459" s="20" t="s">
        <v>25</v>
      </c>
      <c r="F1459" s="23" t="s">
        <v>30</v>
      </c>
      <c r="G1459" s="21" t="s">
        <v>183</v>
      </c>
      <c r="H1459" s="21" t="s">
        <v>24</v>
      </c>
      <c r="I1459" s="21" t="s">
        <v>25</v>
      </c>
      <c r="J1459" s="21" t="s">
        <v>24</v>
      </c>
      <c r="K1459" s="21" t="s">
        <v>25</v>
      </c>
      <c r="L1459" s="21" t="s">
        <v>24</v>
      </c>
      <c r="M1459" s="0" t="n">
        <v>183</v>
      </c>
      <c r="N1459" s="0" t="n">
        <v>2</v>
      </c>
      <c r="O1459" s="21" t="s">
        <v>3575</v>
      </c>
      <c r="P1459" s="21" t="s">
        <v>4265</v>
      </c>
      <c r="Q1459" s="0" t="n">
        <v>1</v>
      </c>
      <c r="R1459" s="21" t="s">
        <v>69</v>
      </c>
      <c r="S1459" s="0" t="n">
        <v>2</v>
      </c>
      <c r="T1459" s="21" t="s">
        <v>3575</v>
      </c>
      <c r="U1459" s="22" t="b">
        <f aca="false">TRUE()</f>
        <v>1</v>
      </c>
      <c r="V1459" s="0" t="n">
        <v>0.7</v>
      </c>
      <c r="W1459" s="0" t="n">
        <v>0.12</v>
      </c>
      <c r="X1459" s="0" t="n">
        <v>11.95</v>
      </c>
      <c r="Y1459" s="0" t="n">
        <v>624.01</v>
      </c>
      <c r="Z1459" s="0" t="n">
        <v>9.75</v>
      </c>
      <c r="AA1459" s="0" t="n">
        <v>21.58</v>
      </c>
      <c r="AB1459" s="0" t="n">
        <v>5.81</v>
      </c>
      <c r="AC1459" s="22" t="b">
        <f aca="false">FALSE()</f>
        <v>0</v>
      </c>
      <c r="AD1459" s="0" t="n">
        <v>24.15</v>
      </c>
      <c r="AE1459" s="0" t="n">
        <v>10.47</v>
      </c>
      <c r="AF1459" s="0" t="n">
        <v>19.48</v>
      </c>
      <c r="AG1459" s="22" t="b">
        <f aca="false">TRUE()</f>
        <v>1</v>
      </c>
      <c r="AH1459" s="0" t="n">
        <v>1</v>
      </c>
    </row>
    <row r="1460" customFormat="false" ht="15" hidden="false" customHeight="false" outlineLevel="0" collapsed="false">
      <c r="A1460" s="0" t="s">
        <v>2247</v>
      </c>
      <c r="B1460" s="0" t="s">
        <v>3459</v>
      </c>
      <c r="C1460" s="0" t="s">
        <v>3447</v>
      </c>
      <c r="D1460" s="0" t="s">
        <v>3457</v>
      </c>
      <c r="E1460" s="19" t="s">
        <v>26</v>
      </c>
      <c r="F1460" s="19" t="s">
        <v>32</v>
      </c>
      <c r="G1460" s="21" t="s">
        <v>3896</v>
      </c>
      <c r="H1460" s="21" t="s">
        <v>24</v>
      </c>
      <c r="I1460" s="21" t="s">
        <v>26</v>
      </c>
      <c r="J1460" s="21" t="s">
        <v>24</v>
      </c>
      <c r="K1460" s="21" t="s">
        <v>25</v>
      </c>
      <c r="L1460" s="21" t="s">
        <v>24</v>
      </c>
      <c r="M1460" s="0" t="n">
        <v>183</v>
      </c>
      <c r="N1460" s="0" t="n">
        <v>9</v>
      </c>
      <c r="O1460" s="21" t="s">
        <v>3973</v>
      </c>
      <c r="P1460" s="21" t="s">
        <v>4733</v>
      </c>
      <c r="Q1460" s="0" t="n">
        <v>0</v>
      </c>
      <c r="S1460" s="0" t="n">
        <v>9</v>
      </c>
      <c r="T1460" s="21" t="s">
        <v>3973</v>
      </c>
      <c r="U1460" s="22" t="b">
        <f aca="false">FALSE()</f>
        <v>0</v>
      </c>
      <c r="V1460" s="0" t="n">
        <v>0.76</v>
      </c>
      <c r="W1460" s="0" t="n">
        <v>0.52</v>
      </c>
      <c r="X1460" s="0" t="n">
        <v>9.42</v>
      </c>
      <c r="Y1460" s="0" t="n">
        <v>322.99</v>
      </c>
      <c r="Z1460" s="0" t="n">
        <v>10.25</v>
      </c>
      <c r="AA1460" s="0" t="n">
        <v>8.73</v>
      </c>
      <c r="AB1460" s="0" t="n">
        <v>25.26</v>
      </c>
      <c r="AC1460" s="22" t="b">
        <f aca="false">FALSE()</f>
        <v>0</v>
      </c>
      <c r="AD1460" s="0" t="n">
        <v>23.49</v>
      </c>
      <c r="AE1460" s="0" t="n">
        <v>12.76</v>
      </c>
      <c r="AF1460" s="0" t="n">
        <v>20.74</v>
      </c>
      <c r="AG1460" s="22" t="b">
        <f aca="false">TRUE()</f>
        <v>1</v>
      </c>
      <c r="AH1460" s="0" t="n">
        <v>1</v>
      </c>
    </row>
    <row r="1461" customFormat="false" ht="15" hidden="false" customHeight="false" outlineLevel="0" collapsed="false">
      <c r="A1461" s="0" t="s">
        <v>2247</v>
      </c>
      <c r="B1461" s="0" t="s">
        <v>3459</v>
      </c>
      <c r="C1461" s="0" t="s">
        <v>3447</v>
      </c>
      <c r="D1461" s="0" t="s">
        <v>3448</v>
      </c>
      <c r="E1461" s="19" t="s">
        <v>26</v>
      </c>
      <c r="F1461" s="19" t="s">
        <v>32</v>
      </c>
      <c r="G1461" s="21" t="s">
        <v>60</v>
      </c>
      <c r="H1461" s="21" t="s">
        <v>24</v>
      </c>
      <c r="I1461" s="21" t="s">
        <v>26</v>
      </c>
      <c r="J1461" s="21" t="s">
        <v>24</v>
      </c>
      <c r="K1461" s="21" t="s">
        <v>24</v>
      </c>
      <c r="L1461" s="21" t="s">
        <v>24</v>
      </c>
      <c r="M1461" s="0" t="n">
        <v>185</v>
      </c>
      <c r="N1461" s="0" t="n">
        <v>9</v>
      </c>
      <c r="O1461" s="21" t="s">
        <v>3961</v>
      </c>
      <c r="P1461" s="21" t="s">
        <v>4734</v>
      </c>
      <c r="Q1461" s="0" t="n">
        <v>0</v>
      </c>
      <c r="S1461" s="0" t="n">
        <v>9</v>
      </c>
      <c r="T1461" s="21" t="s">
        <v>3961</v>
      </c>
      <c r="U1461" s="22" t="b">
        <f aca="false">FALSE()</f>
        <v>0</v>
      </c>
      <c r="V1461" s="0" t="n">
        <v>0.77</v>
      </c>
      <c r="W1461" s="0" t="n">
        <v>0.8</v>
      </c>
      <c r="X1461" s="0" t="n">
        <v>10.4</v>
      </c>
      <c r="Y1461" s="0" t="n">
        <v>323.93</v>
      </c>
      <c r="Z1461" s="0" t="n">
        <v>10.25</v>
      </c>
      <c r="AA1461" s="0" t="n">
        <v>13.93</v>
      </c>
      <c r="AB1461" s="0" t="n">
        <v>5.81</v>
      </c>
      <c r="AC1461" s="22" t="b">
        <f aca="false">FALSE()</f>
        <v>0</v>
      </c>
      <c r="AD1461" s="0" t="n">
        <v>19.63</v>
      </c>
      <c r="AE1461" s="0" t="n">
        <v>6.77</v>
      </c>
      <c r="AF1461" s="0" t="n">
        <v>16.36</v>
      </c>
      <c r="AG1461" s="22" t="b">
        <f aca="false">TRUE()</f>
        <v>1</v>
      </c>
      <c r="AH1461" s="0" t="n">
        <v>1</v>
      </c>
    </row>
    <row r="1462" customFormat="false" ht="15" hidden="false" customHeight="false" outlineLevel="0" collapsed="false">
      <c r="A1462" s="0" t="s">
        <v>2253</v>
      </c>
      <c r="B1462" s="0" t="s">
        <v>134</v>
      </c>
      <c r="C1462" s="0" t="s">
        <v>3450</v>
      </c>
      <c r="D1462" s="0" t="s">
        <v>3457</v>
      </c>
      <c r="E1462" s="20" t="s">
        <v>25</v>
      </c>
      <c r="F1462" s="23" t="s">
        <v>30</v>
      </c>
      <c r="G1462" s="21" t="s">
        <v>1230</v>
      </c>
      <c r="H1462" s="21" t="s">
        <v>24</v>
      </c>
      <c r="I1462" s="21" t="s">
        <v>25</v>
      </c>
      <c r="J1462" s="21" t="s">
        <v>24</v>
      </c>
      <c r="K1462" s="21" t="s">
        <v>25</v>
      </c>
      <c r="L1462" s="21" t="s">
        <v>24</v>
      </c>
      <c r="M1462" s="0" t="n">
        <v>182</v>
      </c>
      <c r="N1462" s="0" t="n">
        <v>4</v>
      </c>
      <c r="O1462" s="21" t="s">
        <v>3773</v>
      </c>
      <c r="P1462" s="21" t="s">
        <v>4364</v>
      </c>
      <c r="Q1462" s="0" t="n">
        <v>1</v>
      </c>
      <c r="R1462" s="21" t="s">
        <v>69</v>
      </c>
      <c r="S1462" s="0" t="n">
        <v>4</v>
      </c>
      <c r="T1462" s="21" t="s">
        <v>3773</v>
      </c>
      <c r="U1462" s="22" t="b">
        <f aca="false">TRUE()</f>
        <v>1</v>
      </c>
      <c r="V1462" s="0" t="n">
        <v>0.71</v>
      </c>
      <c r="W1462" s="0" t="n">
        <v>0.84</v>
      </c>
      <c r="X1462" s="0" t="n">
        <v>7.75</v>
      </c>
      <c r="Y1462" s="0" t="n">
        <v>314.12</v>
      </c>
      <c r="Z1462" s="0" t="n">
        <v>10.08</v>
      </c>
      <c r="AA1462" s="0" t="n">
        <v>0.89</v>
      </c>
      <c r="AB1462" s="0" t="n">
        <v>8.02</v>
      </c>
      <c r="AC1462" s="22" t="b">
        <f aca="false">FALSE()</f>
        <v>0</v>
      </c>
      <c r="AD1462" s="0" t="n">
        <v>3.81</v>
      </c>
      <c r="AE1462" s="0" t="n">
        <v>0.11</v>
      </c>
      <c r="AF1462" s="0" t="n">
        <v>7.92</v>
      </c>
      <c r="AG1462" s="22" t="b">
        <f aca="false">FALSE()</f>
        <v>0</v>
      </c>
      <c r="AH1462" s="0" t="n">
        <v>1</v>
      </c>
    </row>
    <row r="1463" customFormat="false" ht="15" hidden="false" customHeight="false" outlineLevel="0" collapsed="false">
      <c r="A1463" s="0" t="s">
        <v>2253</v>
      </c>
      <c r="B1463" s="0" t="s">
        <v>134</v>
      </c>
      <c r="C1463" s="0" t="s">
        <v>3450</v>
      </c>
      <c r="D1463" s="0" t="s">
        <v>3448</v>
      </c>
      <c r="E1463" s="20" t="s">
        <v>25</v>
      </c>
      <c r="F1463" s="23" t="s">
        <v>30</v>
      </c>
      <c r="G1463" s="21" t="s">
        <v>1230</v>
      </c>
      <c r="H1463" s="21" t="s">
        <v>24</v>
      </c>
      <c r="I1463" s="21" t="s">
        <v>25</v>
      </c>
      <c r="J1463" s="21" t="s">
        <v>24</v>
      </c>
      <c r="K1463" s="21" t="s">
        <v>25</v>
      </c>
      <c r="L1463" s="21" t="s">
        <v>24</v>
      </c>
      <c r="M1463" s="0" t="n">
        <v>182</v>
      </c>
      <c r="N1463" s="0" t="n">
        <v>3</v>
      </c>
      <c r="O1463" s="21" t="s">
        <v>3649</v>
      </c>
      <c r="P1463" s="21" t="s">
        <v>4242</v>
      </c>
      <c r="Q1463" s="0" t="n">
        <v>1</v>
      </c>
      <c r="R1463" s="21" t="s">
        <v>69</v>
      </c>
      <c r="S1463" s="0" t="n">
        <v>3</v>
      </c>
      <c r="T1463" s="21" t="s">
        <v>3649</v>
      </c>
      <c r="U1463" s="22" t="b">
        <f aca="false">TRUE()</f>
        <v>1</v>
      </c>
      <c r="V1463" s="0" t="n">
        <v>0.7</v>
      </c>
      <c r="W1463" s="0" t="n">
        <v>0.76</v>
      </c>
      <c r="X1463" s="0" t="n">
        <v>8.32</v>
      </c>
      <c r="Y1463" s="0" t="n">
        <v>318.43</v>
      </c>
      <c r="Z1463" s="0" t="n">
        <v>9.92</v>
      </c>
      <c r="AA1463" s="0" t="n">
        <v>-0.55</v>
      </c>
      <c r="AB1463" s="0" t="n">
        <v>8.44</v>
      </c>
      <c r="AC1463" s="22" t="b">
        <f aca="false">FALSE()</f>
        <v>0</v>
      </c>
      <c r="AD1463" s="0" t="n">
        <v>1.59</v>
      </c>
      <c r="AE1463" s="0" t="n">
        <v>0.22</v>
      </c>
      <c r="AF1463" s="0" t="n">
        <v>9.13</v>
      </c>
      <c r="AG1463" s="22" t="b">
        <f aca="false">FALSE()</f>
        <v>0</v>
      </c>
      <c r="AH1463" s="0" t="n">
        <v>1</v>
      </c>
    </row>
    <row r="1464" customFormat="false" ht="15" hidden="false" customHeight="false" outlineLevel="0" collapsed="false">
      <c r="A1464" s="0" t="s">
        <v>2253</v>
      </c>
      <c r="B1464" s="0" t="s">
        <v>134</v>
      </c>
      <c r="C1464" s="0" t="s">
        <v>3447</v>
      </c>
      <c r="D1464" s="0" t="s">
        <v>3457</v>
      </c>
      <c r="E1464" s="18" t="s">
        <v>24</v>
      </c>
      <c r="F1464" s="23" t="s">
        <v>30</v>
      </c>
      <c r="G1464" s="21" t="s">
        <v>30</v>
      </c>
      <c r="H1464" s="21" t="s">
        <v>24</v>
      </c>
      <c r="I1464" s="21" t="s">
        <v>24</v>
      </c>
      <c r="J1464" s="21" t="s">
        <v>24</v>
      </c>
      <c r="K1464" s="21" t="s">
        <v>24</v>
      </c>
      <c r="L1464" s="21" t="s">
        <v>24</v>
      </c>
      <c r="M1464" s="0" t="n">
        <v>183</v>
      </c>
      <c r="N1464" s="0" t="n">
        <v>5</v>
      </c>
      <c r="O1464" s="21" t="s">
        <v>3731</v>
      </c>
      <c r="P1464" s="21" t="s">
        <v>4735</v>
      </c>
      <c r="Q1464" s="0" t="n">
        <v>0</v>
      </c>
      <c r="S1464" s="0" t="n">
        <v>5</v>
      </c>
      <c r="T1464" s="21" t="s">
        <v>3731</v>
      </c>
      <c r="U1464" s="22" t="b">
        <f aca="false">TRUE()</f>
        <v>1</v>
      </c>
      <c r="V1464" s="0" t="n">
        <v>0.73</v>
      </c>
      <c r="W1464" s="0" t="n">
        <v>0.96</v>
      </c>
      <c r="X1464" s="0" t="n">
        <v>8.39</v>
      </c>
      <c r="Y1464" s="0" t="n">
        <v>315.4</v>
      </c>
      <c r="Z1464" s="0" t="n">
        <v>8.25</v>
      </c>
      <c r="AA1464" s="0" t="n">
        <v>1.91</v>
      </c>
      <c r="AB1464" s="0" t="n">
        <v>8.02</v>
      </c>
      <c r="AC1464" s="22" t="b">
        <f aca="false">FALSE()</f>
        <v>0</v>
      </c>
      <c r="AD1464" s="0" t="n">
        <v>10.79</v>
      </c>
      <c r="AE1464" s="0" t="n">
        <v>0.59</v>
      </c>
      <c r="AF1464" s="0" t="n">
        <v>12.01</v>
      </c>
      <c r="AG1464" s="22" t="b">
        <f aca="false">TRUE()</f>
        <v>1</v>
      </c>
      <c r="AH1464" s="0" t="n">
        <v>1</v>
      </c>
    </row>
    <row r="1465" customFormat="false" ht="15" hidden="false" customHeight="false" outlineLevel="0" collapsed="false">
      <c r="A1465" s="0" t="s">
        <v>2253</v>
      </c>
      <c r="B1465" s="0" t="s">
        <v>134</v>
      </c>
      <c r="C1465" s="0" t="s">
        <v>3447</v>
      </c>
      <c r="D1465" s="0" t="s">
        <v>3448</v>
      </c>
      <c r="E1465" s="18" t="s">
        <v>24</v>
      </c>
      <c r="F1465" s="23" t="s">
        <v>30</v>
      </c>
      <c r="G1465" s="21" t="s">
        <v>30</v>
      </c>
      <c r="H1465" s="21" t="s">
        <v>24</v>
      </c>
      <c r="I1465" s="21" t="s">
        <v>24</v>
      </c>
      <c r="J1465" s="21" t="s">
        <v>24</v>
      </c>
      <c r="K1465" s="21" t="s">
        <v>24</v>
      </c>
      <c r="L1465" s="21" t="s">
        <v>24</v>
      </c>
      <c r="M1465" s="0" t="n">
        <v>182</v>
      </c>
      <c r="N1465" s="0" t="n">
        <v>6</v>
      </c>
      <c r="O1465" s="21" t="s">
        <v>3783</v>
      </c>
      <c r="P1465" s="21" t="s">
        <v>4586</v>
      </c>
      <c r="Q1465" s="0" t="n">
        <v>0</v>
      </c>
      <c r="S1465" s="0" t="n">
        <v>6</v>
      </c>
      <c r="T1465" s="21" t="s">
        <v>3783</v>
      </c>
      <c r="U1465" s="22" t="b">
        <f aca="false">TRUE()</f>
        <v>1</v>
      </c>
      <c r="V1465" s="0" t="n">
        <v>0.72</v>
      </c>
      <c r="W1465" s="0" t="n">
        <v>0.24</v>
      </c>
      <c r="X1465" s="0" t="n">
        <v>10.06</v>
      </c>
      <c r="Y1465" s="0" t="n">
        <v>459.49</v>
      </c>
      <c r="Z1465" s="0" t="n">
        <v>9</v>
      </c>
      <c r="AA1465" s="0" t="n">
        <v>2.06</v>
      </c>
      <c r="AB1465" s="0" t="n">
        <v>8.44</v>
      </c>
      <c r="AC1465" s="22" t="b">
        <f aca="false">FALSE()</f>
        <v>0</v>
      </c>
      <c r="AD1465" s="0" t="n">
        <v>6.59</v>
      </c>
      <c r="AE1465" s="0" t="n">
        <v>1.01</v>
      </c>
      <c r="AF1465" s="0" t="n">
        <v>15.07</v>
      </c>
      <c r="AG1465" s="22" t="b">
        <f aca="false">FALSE()</f>
        <v>0</v>
      </c>
      <c r="AH1465" s="0" t="n">
        <v>1</v>
      </c>
    </row>
    <row r="1466" customFormat="false" ht="15" hidden="false" customHeight="false" outlineLevel="0" collapsed="false">
      <c r="A1466" s="0" t="s">
        <v>2259</v>
      </c>
      <c r="B1466" s="0" t="s">
        <v>134</v>
      </c>
      <c r="C1466" s="0" t="s">
        <v>3450</v>
      </c>
      <c r="D1466" s="0" t="s">
        <v>3457</v>
      </c>
      <c r="E1466" s="20" t="s">
        <v>25</v>
      </c>
      <c r="F1466" s="20" t="s">
        <v>29</v>
      </c>
      <c r="G1466" s="21" t="s">
        <v>3470</v>
      </c>
      <c r="H1466" s="21" t="s">
        <v>24</v>
      </c>
      <c r="I1466" s="21" t="s">
        <v>24</v>
      </c>
      <c r="J1466" s="21" t="s">
        <v>24</v>
      </c>
      <c r="K1466" s="21" t="s">
        <v>25</v>
      </c>
      <c r="L1466" s="21" t="s">
        <v>24</v>
      </c>
      <c r="M1466" s="0" t="n">
        <v>189</v>
      </c>
      <c r="N1466" s="0" t="n">
        <v>0</v>
      </c>
      <c r="Q1466" s="0" t="n">
        <v>0</v>
      </c>
      <c r="S1466" s="0" t="n">
        <v>0</v>
      </c>
      <c r="U1466" s="22" t="b">
        <f aca="false">FALSE()</f>
        <v>0</v>
      </c>
      <c r="V1466" s="0" t="n">
        <v>0.8</v>
      </c>
      <c r="W1466" s="0" t="n">
        <v>0.24</v>
      </c>
      <c r="X1466" s="0" t="n">
        <v>8.63</v>
      </c>
      <c r="Y1466" s="0" t="n">
        <v>480.93</v>
      </c>
      <c r="Z1466" s="0" t="n">
        <v>11.75</v>
      </c>
      <c r="AA1466" s="0" t="n">
        <v>7.14</v>
      </c>
      <c r="AB1466" s="0" t="n">
        <v>1.35</v>
      </c>
      <c r="AC1466" s="22" t="b">
        <f aca="false">FALSE()</f>
        <v>0</v>
      </c>
      <c r="AD1466" s="0" t="n">
        <v>22.18</v>
      </c>
      <c r="AE1466" s="0" t="n">
        <v>10.33</v>
      </c>
      <c r="AF1466" s="0" t="n">
        <v>19.87</v>
      </c>
      <c r="AG1466" s="22" t="b">
        <f aca="false">TRUE()</f>
        <v>1</v>
      </c>
      <c r="AH1466" s="0" t="n">
        <v>1</v>
      </c>
    </row>
    <row r="1467" customFormat="false" ht="15" hidden="false" customHeight="false" outlineLevel="0" collapsed="false">
      <c r="A1467" s="0" t="s">
        <v>2259</v>
      </c>
      <c r="B1467" s="0" t="s">
        <v>134</v>
      </c>
      <c r="C1467" s="0" t="s">
        <v>3450</v>
      </c>
      <c r="D1467" s="0" t="s">
        <v>3448</v>
      </c>
      <c r="E1467" s="20" t="s">
        <v>25</v>
      </c>
      <c r="F1467" s="23" t="s">
        <v>30</v>
      </c>
      <c r="G1467" s="21" t="s">
        <v>283</v>
      </c>
      <c r="H1467" s="21" t="s">
        <v>24</v>
      </c>
      <c r="I1467" s="21" t="s">
        <v>25</v>
      </c>
      <c r="J1467" s="21" t="s">
        <v>24</v>
      </c>
      <c r="K1467" s="21" t="s">
        <v>24</v>
      </c>
      <c r="L1467" s="21" t="s">
        <v>24</v>
      </c>
      <c r="M1467" s="0" t="n">
        <v>208</v>
      </c>
      <c r="N1467" s="0" t="n">
        <v>1</v>
      </c>
      <c r="O1467" s="21" t="s">
        <v>69</v>
      </c>
      <c r="P1467" s="21" t="s">
        <v>4275</v>
      </c>
      <c r="Q1467" s="0" t="n">
        <v>1</v>
      </c>
      <c r="R1467" s="21" t="s">
        <v>69</v>
      </c>
      <c r="S1467" s="0" t="n">
        <v>1</v>
      </c>
      <c r="T1467" s="21" t="s">
        <v>69</v>
      </c>
      <c r="U1467" s="22" t="b">
        <f aca="false">TRUE()</f>
        <v>1</v>
      </c>
      <c r="V1467" s="0" t="n">
        <v>0.83</v>
      </c>
      <c r="W1467" s="0" t="n">
        <v>0.64</v>
      </c>
      <c r="X1467" s="0" t="n">
        <v>8.34</v>
      </c>
      <c r="Y1467" s="0" t="n">
        <v>357.45</v>
      </c>
      <c r="Z1467" s="0" t="n">
        <v>11.75</v>
      </c>
      <c r="AA1467" s="0" t="n">
        <v>4.04</v>
      </c>
      <c r="AB1467" s="0" t="n">
        <v>1.75</v>
      </c>
      <c r="AC1467" s="22" t="b">
        <f aca="false">FALSE()</f>
        <v>0</v>
      </c>
      <c r="AD1467" s="0" t="n">
        <v>10.16</v>
      </c>
      <c r="AE1467" s="0" t="n">
        <v>0.42</v>
      </c>
      <c r="AF1467" s="0" t="n">
        <v>2.99</v>
      </c>
      <c r="AG1467" s="22" t="b">
        <f aca="false">TRUE()</f>
        <v>1</v>
      </c>
      <c r="AH1467" s="0" t="n">
        <v>1</v>
      </c>
    </row>
    <row r="1468" customFormat="false" ht="15" hidden="false" customHeight="false" outlineLevel="0" collapsed="false">
      <c r="A1468" s="0" t="s">
        <v>2259</v>
      </c>
      <c r="B1468" s="0" t="s">
        <v>134</v>
      </c>
      <c r="C1468" s="0" t="s">
        <v>3447</v>
      </c>
      <c r="D1468" s="0" t="s">
        <v>3457</v>
      </c>
      <c r="E1468" s="19" t="s">
        <v>26</v>
      </c>
      <c r="F1468" s="19" t="s">
        <v>32</v>
      </c>
      <c r="G1468" s="21" t="s">
        <v>1178</v>
      </c>
      <c r="H1468" s="21" t="s">
        <v>24</v>
      </c>
      <c r="I1468" s="21" t="s">
        <v>26</v>
      </c>
      <c r="J1468" s="21" t="s">
        <v>24</v>
      </c>
      <c r="K1468" s="21" t="s">
        <v>25</v>
      </c>
      <c r="L1468" s="21" t="s">
        <v>24</v>
      </c>
      <c r="M1468" s="0" t="n">
        <v>188</v>
      </c>
      <c r="N1468" s="0" t="n">
        <v>9</v>
      </c>
      <c r="O1468" s="21" t="s">
        <v>4030</v>
      </c>
      <c r="P1468" s="21" t="s">
        <v>4287</v>
      </c>
      <c r="Q1468" s="0" t="n">
        <v>1</v>
      </c>
      <c r="R1468" s="21" t="s">
        <v>69</v>
      </c>
      <c r="S1468" s="0" t="n">
        <v>9</v>
      </c>
      <c r="T1468" s="21" t="s">
        <v>4030</v>
      </c>
      <c r="U1468" s="22" t="b">
        <f aca="false">FALSE()</f>
        <v>0</v>
      </c>
      <c r="V1468" s="0" t="n">
        <v>0.78</v>
      </c>
      <c r="W1468" s="0" t="n">
        <v>0.24</v>
      </c>
      <c r="X1468" s="0" t="n">
        <v>10.03</v>
      </c>
      <c r="Y1468" s="0" t="n">
        <v>477.33</v>
      </c>
      <c r="Z1468" s="0" t="n">
        <v>12</v>
      </c>
      <c r="AA1468" s="0" t="n">
        <v>1.73</v>
      </c>
      <c r="AB1468" s="0" t="n">
        <v>1.35</v>
      </c>
      <c r="AC1468" s="22" t="b">
        <f aca="false">FALSE()</f>
        <v>0</v>
      </c>
      <c r="AD1468" s="0" t="n">
        <v>21.12</v>
      </c>
      <c r="AE1468" s="0" t="n">
        <v>8.69</v>
      </c>
      <c r="AF1468" s="0" t="n">
        <v>19.02</v>
      </c>
      <c r="AG1468" s="22" t="b">
        <f aca="false">TRUE()</f>
        <v>1</v>
      </c>
      <c r="AH1468" s="0" t="n">
        <v>1</v>
      </c>
    </row>
    <row r="1469" customFormat="false" ht="15" hidden="false" customHeight="false" outlineLevel="0" collapsed="false">
      <c r="A1469" s="0" t="s">
        <v>2259</v>
      </c>
      <c r="B1469" s="0" t="s">
        <v>134</v>
      </c>
      <c r="C1469" s="0" t="s">
        <v>3447</v>
      </c>
      <c r="D1469" s="0" t="s">
        <v>3448</v>
      </c>
      <c r="E1469" s="19" t="s">
        <v>26</v>
      </c>
      <c r="F1469" s="19" t="s">
        <v>32</v>
      </c>
      <c r="G1469" s="21" t="s">
        <v>529</v>
      </c>
      <c r="H1469" s="21" t="s">
        <v>24</v>
      </c>
      <c r="I1469" s="21" t="s">
        <v>26</v>
      </c>
      <c r="J1469" s="21" t="s">
        <v>24</v>
      </c>
      <c r="K1469" s="21" t="s">
        <v>24</v>
      </c>
      <c r="L1469" s="21" t="s">
        <v>24</v>
      </c>
      <c r="M1469" s="0" t="n">
        <v>190</v>
      </c>
      <c r="N1469" s="0" t="n">
        <v>9</v>
      </c>
      <c r="O1469" s="21" t="s">
        <v>4030</v>
      </c>
      <c r="P1469" s="21" t="s">
        <v>4287</v>
      </c>
      <c r="Q1469" s="0" t="n">
        <v>1</v>
      </c>
      <c r="R1469" s="21" t="s">
        <v>69</v>
      </c>
      <c r="S1469" s="0" t="n">
        <v>9</v>
      </c>
      <c r="T1469" s="21" t="s">
        <v>4030</v>
      </c>
      <c r="U1469" s="22" t="b">
        <f aca="false">FALSE()</f>
        <v>0</v>
      </c>
      <c r="V1469" s="0" t="n">
        <v>0.84</v>
      </c>
      <c r="W1469" s="0" t="n">
        <v>0.4</v>
      </c>
      <c r="X1469" s="0" t="n">
        <v>8.77</v>
      </c>
      <c r="Y1469" s="0" t="n">
        <v>365.48</v>
      </c>
      <c r="Z1469" s="0" t="n">
        <v>11.67</v>
      </c>
      <c r="AA1469" s="0" t="n">
        <v>3.01</v>
      </c>
      <c r="AB1469" s="0" t="n">
        <v>1.75</v>
      </c>
      <c r="AC1469" s="22" t="b">
        <f aca="false">FALSE()</f>
        <v>0</v>
      </c>
      <c r="AD1469" s="0" t="n">
        <v>11.37</v>
      </c>
      <c r="AE1469" s="0" t="n">
        <v>1.38</v>
      </c>
      <c r="AF1469" s="0" t="n">
        <v>2.67</v>
      </c>
      <c r="AG1469" s="22" t="b">
        <f aca="false">TRUE()</f>
        <v>1</v>
      </c>
      <c r="AH1469" s="0" t="n">
        <v>1</v>
      </c>
    </row>
    <row r="1470" customFormat="false" ht="15" hidden="false" customHeight="false" outlineLevel="0" collapsed="false">
      <c r="A1470" s="0" t="s">
        <v>2265</v>
      </c>
      <c r="B1470" s="0" t="s">
        <v>134</v>
      </c>
      <c r="C1470" s="0" t="s">
        <v>3450</v>
      </c>
      <c r="D1470" s="0" t="s">
        <v>3457</v>
      </c>
      <c r="E1470" s="19" t="s">
        <v>26</v>
      </c>
      <c r="F1470" s="19" t="s">
        <v>32</v>
      </c>
      <c r="G1470" s="21" t="s">
        <v>1926</v>
      </c>
      <c r="H1470" s="21" t="s">
        <v>24</v>
      </c>
      <c r="I1470" s="21" t="s">
        <v>26</v>
      </c>
      <c r="J1470" s="21" t="s">
        <v>24</v>
      </c>
      <c r="K1470" s="21" t="s">
        <v>25</v>
      </c>
      <c r="L1470" s="21" t="s">
        <v>24</v>
      </c>
      <c r="M1470" s="0" t="n">
        <v>183</v>
      </c>
      <c r="N1470" s="0" t="n">
        <v>7</v>
      </c>
      <c r="O1470" s="21" t="s">
        <v>4009</v>
      </c>
      <c r="P1470" s="21" t="s">
        <v>4736</v>
      </c>
      <c r="Q1470" s="0" t="n">
        <v>1</v>
      </c>
      <c r="R1470" s="21" t="s">
        <v>69</v>
      </c>
      <c r="S1470" s="0" t="n">
        <v>7</v>
      </c>
      <c r="T1470" s="21" t="s">
        <v>4009</v>
      </c>
      <c r="U1470" s="22" t="b">
        <f aca="false">FALSE()</f>
        <v>0</v>
      </c>
      <c r="V1470" s="0" t="n">
        <v>0.77</v>
      </c>
      <c r="W1470" s="0" t="n">
        <v>0.68</v>
      </c>
      <c r="X1470" s="0" t="n">
        <v>8</v>
      </c>
      <c r="Y1470" s="0" t="n">
        <v>307.36</v>
      </c>
      <c r="Z1470" s="0" t="n">
        <v>10.17</v>
      </c>
      <c r="AA1470" s="0" t="n">
        <v>5.2</v>
      </c>
      <c r="AB1470" s="0" t="n">
        <v>2.59</v>
      </c>
      <c r="AC1470" s="22" t="b">
        <f aca="false">FALSE()</f>
        <v>0</v>
      </c>
      <c r="AD1470" s="0" t="n">
        <v>23.21</v>
      </c>
      <c r="AE1470" s="0" t="n">
        <v>1.02</v>
      </c>
      <c r="AF1470" s="0" t="n">
        <v>21.97</v>
      </c>
      <c r="AG1470" s="22" t="b">
        <f aca="false">TRUE()</f>
        <v>1</v>
      </c>
      <c r="AH1470" s="0" t="n">
        <v>1</v>
      </c>
    </row>
    <row r="1471" customFormat="false" ht="15" hidden="false" customHeight="false" outlineLevel="0" collapsed="false">
      <c r="A1471" s="0" t="s">
        <v>2265</v>
      </c>
      <c r="B1471" s="0" t="s">
        <v>134</v>
      </c>
      <c r="C1471" s="0" t="s">
        <v>3450</v>
      </c>
      <c r="D1471" s="0" t="s">
        <v>3448</v>
      </c>
      <c r="E1471" s="20" t="s">
        <v>25</v>
      </c>
      <c r="F1471" s="23" t="s">
        <v>30</v>
      </c>
      <c r="G1471" s="21" t="s">
        <v>992</v>
      </c>
      <c r="H1471" s="21" t="s">
        <v>24</v>
      </c>
      <c r="I1471" s="21" t="s">
        <v>24</v>
      </c>
      <c r="J1471" s="21" t="s">
        <v>24</v>
      </c>
      <c r="K1471" s="21" t="s">
        <v>25</v>
      </c>
      <c r="L1471" s="21" t="s">
        <v>24</v>
      </c>
      <c r="M1471" s="0" t="n">
        <v>185</v>
      </c>
      <c r="N1471" s="0" t="n">
        <v>1</v>
      </c>
      <c r="O1471" s="21" t="s">
        <v>3512</v>
      </c>
      <c r="P1471" s="21" t="s">
        <v>4737</v>
      </c>
      <c r="Q1471" s="0" t="n">
        <v>0</v>
      </c>
      <c r="S1471" s="0" t="n">
        <v>1</v>
      </c>
      <c r="T1471" s="21" t="s">
        <v>3512</v>
      </c>
      <c r="U1471" s="22" t="b">
        <f aca="false">TRUE()</f>
        <v>1</v>
      </c>
      <c r="V1471" s="0" t="n">
        <v>0.74</v>
      </c>
      <c r="W1471" s="0" t="n">
        <v>0.72</v>
      </c>
      <c r="X1471" s="0" t="n">
        <v>11.69</v>
      </c>
      <c r="Y1471" s="0" t="n">
        <v>304.18</v>
      </c>
      <c r="Z1471" s="0" t="n">
        <v>9.17</v>
      </c>
      <c r="AA1471" s="0" t="n">
        <v>12.85</v>
      </c>
      <c r="AB1471" s="0" t="n">
        <v>10.45</v>
      </c>
      <c r="AC1471" s="22" t="b">
        <f aca="false">FALSE()</f>
        <v>0</v>
      </c>
      <c r="AD1471" s="0" t="n">
        <v>27.8</v>
      </c>
      <c r="AE1471" s="0" t="n">
        <v>1.66</v>
      </c>
      <c r="AF1471" s="0" t="n">
        <v>28.51</v>
      </c>
      <c r="AG1471" s="22" t="b">
        <f aca="false">TRUE()</f>
        <v>1</v>
      </c>
      <c r="AH1471" s="0" t="n">
        <v>1</v>
      </c>
    </row>
    <row r="1472" customFormat="false" ht="15" hidden="false" customHeight="false" outlineLevel="0" collapsed="false">
      <c r="A1472" s="0" t="s">
        <v>2265</v>
      </c>
      <c r="B1472" s="0" t="s">
        <v>134</v>
      </c>
      <c r="C1472" s="0" t="s">
        <v>3447</v>
      </c>
      <c r="D1472" s="0" t="s">
        <v>3457</v>
      </c>
      <c r="E1472" s="20" t="s">
        <v>25</v>
      </c>
      <c r="F1472" s="23" t="s">
        <v>30</v>
      </c>
      <c r="G1472" s="21" t="s">
        <v>992</v>
      </c>
      <c r="H1472" s="21" t="s">
        <v>24</v>
      </c>
      <c r="I1472" s="21" t="s">
        <v>24</v>
      </c>
      <c r="J1472" s="21" t="s">
        <v>24</v>
      </c>
      <c r="K1472" s="21" t="s">
        <v>25</v>
      </c>
      <c r="L1472" s="21" t="s">
        <v>24</v>
      </c>
      <c r="M1472" s="0" t="n">
        <v>183</v>
      </c>
      <c r="N1472" s="0" t="n">
        <v>5</v>
      </c>
      <c r="O1472" s="21" t="s">
        <v>3693</v>
      </c>
      <c r="P1472" s="21" t="s">
        <v>4738</v>
      </c>
      <c r="Q1472" s="0" t="n">
        <v>0</v>
      </c>
      <c r="S1472" s="0" t="n">
        <v>4</v>
      </c>
      <c r="T1472" s="21" t="s">
        <v>3591</v>
      </c>
      <c r="U1472" s="22" t="b">
        <f aca="false">TRUE()</f>
        <v>1</v>
      </c>
      <c r="V1472" s="0" t="n">
        <v>0.79</v>
      </c>
      <c r="W1472" s="0" t="n">
        <v>0.96</v>
      </c>
      <c r="X1472" s="0" t="n">
        <v>11.75</v>
      </c>
      <c r="Y1472" s="0" t="n">
        <v>307.85</v>
      </c>
      <c r="Z1472" s="0" t="n">
        <v>8</v>
      </c>
      <c r="AA1472" s="0" t="n">
        <v>-1</v>
      </c>
      <c r="AB1472" s="0" t="n">
        <v>2.59</v>
      </c>
      <c r="AC1472" s="22" t="b">
        <f aca="false">FALSE()</f>
        <v>0</v>
      </c>
      <c r="AD1472" s="0" t="n">
        <v>20.86</v>
      </c>
      <c r="AE1472" s="0" t="n">
        <v>1.13</v>
      </c>
      <c r="AF1472" s="0" t="n">
        <v>19.08</v>
      </c>
      <c r="AG1472" s="22" t="b">
        <f aca="false">TRUE()</f>
        <v>1</v>
      </c>
      <c r="AH1472" s="0" t="n">
        <v>1</v>
      </c>
    </row>
    <row r="1473" customFormat="false" ht="15" hidden="false" customHeight="false" outlineLevel="0" collapsed="false">
      <c r="A1473" s="0" t="s">
        <v>2265</v>
      </c>
      <c r="B1473" s="0" t="s">
        <v>134</v>
      </c>
      <c r="C1473" s="0" t="s">
        <v>3447</v>
      </c>
      <c r="D1473" s="0" t="s">
        <v>3448</v>
      </c>
      <c r="E1473" s="19" t="s">
        <v>26</v>
      </c>
      <c r="F1473" s="19" t="s">
        <v>32</v>
      </c>
      <c r="G1473" s="21" t="s">
        <v>3896</v>
      </c>
      <c r="H1473" s="21" t="s">
        <v>24</v>
      </c>
      <c r="I1473" s="21" t="s">
        <v>26</v>
      </c>
      <c r="J1473" s="21" t="s">
        <v>24</v>
      </c>
      <c r="K1473" s="21" t="s">
        <v>25</v>
      </c>
      <c r="L1473" s="21" t="s">
        <v>24</v>
      </c>
      <c r="M1473" s="0" t="n">
        <v>183</v>
      </c>
      <c r="N1473" s="0" t="n">
        <v>9</v>
      </c>
      <c r="O1473" s="21" t="s">
        <v>4016</v>
      </c>
      <c r="P1473" s="21" t="s">
        <v>4739</v>
      </c>
      <c r="Q1473" s="0" t="n">
        <v>0</v>
      </c>
      <c r="S1473" s="0" t="n">
        <v>8</v>
      </c>
      <c r="T1473" s="21" t="s">
        <v>4740</v>
      </c>
      <c r="U1473" s="22" t="b">
        <f aca="false">FALSE()</f>
        <v>0</v>
      </c>
      <c r="V1473" s="0" t="n">
        <v>0.71</v>
      </c>
      <c r="W1473" s="0" t="n">
        <v>0.68</v>
      </c>
      <c r="X1473" s="0" t="n">
        <v>11.72</v>
      </c>
      <c r="Y1473" s="0" t="n">
        <v>299.24</v>
      </c>
      <c r="Z1473" s="0" t="n">
        <v>9.75</v>
      </c>
      <c r="AA1473" s="0" t="n">
        <v>0.8</v>
      </c>
      <c r="AB1473" s="0" t="n">
        <v>10.45</v>
      </c>
      <c r="AC1473" s="22" t="b">
        <f aca="false">FALSE()</f>
        <v>0</v>
      </c>
      <c r="AD1473" s="0" t="n">
        <v>27.62</v>
      </c>
      <c r="AE1473" s="0" t="n">
        <v>1.58</v>
      </c>
      <c r="AF1473" s="0" t="n">
        <v>27.11</v>
      </c>
      <c r="AG1473" s="22" t="b">
        <f aca="false">TRUE()</f>
        <v>1</v>
      </c>
      <c r="AH1473" s="0" t="n">
        <v>1</v>
      </c>
    </row>
    <row r="1474" customFormat="false" ht="15" hidden="false" customHeight="false" outlineLevel="0" collapsed="false">
      <c r="A1474" s="0" t="s">
        <v>2274</v>
      </c>
      <c r="B1474" s="0" t="s">
        <v>134</v>
      </c>
      <c r="C1474" s="0" t="s">
        <v>3450</v>
      </c>
      <c r="D1474" s="0" t="s">
        <v>3457</v>
      </c>
      <c r="E1474" s="20" t="s">
        <v>25</v>
      </c>
      <c r="F1474" s="23" t="s">
        <v>30</v>
      </c>
      <c r="G1474" s="21" t="s">
        <v>283</v>
      </c>
      <c r="H1474" s="21" t="s">
        <v>24</v>
      </c>
      <c r="I1474" s="21" t="s">
        <v>25</v>
      </c>
      <c r="J1474" s="21" t="s">
        <v>24</v>
      </c>
      <c r="K1474" s="21" t="s">
        <v>24</v>
      </c>
      <c r="L1474" s="21" t="s">
        <v>24</v>
      </c>
      <c r="M1474" s="0" t="n">
        <v>182</v>
      </c>
      <c r="N1474" s="0" t="n">
        <v>1</v>
      </c>
      <c r="O1474" s="21" t="s">
        <v>69</v>
      </c>
      <c r="P1474" s="21" t="s">
        <v>4275</v>
      </c>
      <c r="Q1474" s="0" t="n">
        <v>1</v>
      </c>
      <c r="R1474" s="21" t="s">
        <v>69</v>
      </c>
      <c r="S1474" s="0" t="n">
        <v>1</v>
      </c>
      <c r="T1474" s="21" t="s">
        <v>69</v>
      </c>
      <c r="U1474" s="22" t="b">
        <f aca="false">TRUE()</f>
        <v>1</v>
      </c>
      <c r="V1474" s="0" t="n">
        <v>0.69</v>
      </c>
      <c r="W1474" s="0" t="n">
        <v>0</v>
      </c>
      <c r="X1474" s="0" t="n">
        <v>6.95</v>
      </c>
      <c r="Y1474" s="0" t="n">
        <v>651.47</v>
      </c>
      <c r="Z1474" s="0" t="n">
        <v>9.5</v>
      </c>
      <c r="AA1474" s="0" t="n">
        <v>11.24</v>
      </c>
      <c r="AB1474" s="0" t="n">
        <v>11.24</v>
      </c>
      <c r="AC1474" s="22" t="b">
        <f aca="false">FALSE()</f>
        <v>0</v>
      </c>
      <c r="AD1474" s="0" t="n">
        <v>10.04</v>
      </c>
      <c r="AE1474" s="0" t="n">
        <v>0.22</v>
      </c>
      <c r="AF1474" s="0" t="n">
        <v>1.59</v>
      </c>
      <c r="AG1474" s="22" t="b">
        <f aca="false">TRUE()</f>
        <v>1</v>
      </c>
      <c r="AH1474" s="0" t="n">
        <v>1</v>
      </c>
    </row>
    <row r="1475" customFormat="false" ht="15" hidden="false" customHeight="false" outlineLevel="0" collapsed="false">
      <c r="A1475" s="0" t="s">
        <v>2274</v>
      </c>
      <c r="B1475" s="0" t="s">
        <v>134</v>
      </c>
      <c r="C1475" s="0" t="s">
        <v>3450</v>
      </c>
      <c r="D1475" s="0" t="s">
        <v>3448</v>
      </c>
      <c r="E1475" s="18" t="s">
        <v>24</v>
      </c>
      <c r="F1475" s="18" t="s">
        <v>28</v>
      </c>
      <c r="H1475" s="21" t="s">
        <v>24</v>
      </c>
      <c r="I1475" s="21" t="s">
        <v>24</v>
      </c>
      <c r="J1475" s="21" t="s">
        <v>24</v>
      </c>
      <c r="K1475" s="21" t="s">
        <v>24</v>
      </c>
      <c r="L1475" s="21" t="s">
        <v>24</v>
      </c>
      <c r="M1475" s="0" t="n">
        <v>187</v>
      </c>
      <c r="N1475" s="0" t="n">
        <v>0</v>
      </c>
      <c r="Q1475" s="0" t="n">
        <v>0</v>
      </c>
      <c r="S1475" s="0" t="n">
        <v>0</v>
      </c>
      <c r="U1475" s="22" t="b">
        <f aca="false">FALSE()</f>
        <v>0</v>
      </c>
      <c r="V1475" s="0" t="n">
        <v>0.73</v>
      </c>
      <c r="W1475" s="0" t="n">
        <v>0.84</v>
      </c>
      <c r="X1475" s="0" t="n">
        <v>7.05</v>
      </c>
      <c r="Y1475" s="0" t="n">
        <v>326.5</v>
      </c>
      <c r="Z1475" s="0" t="n">
        <v>10</v>
      </c>
      <c r="AA1475" s="0" t="n">
        <v>6.45</v>
      </c>
      <c r="AB1475" s="0" t="n">
        <v>2.06</v>
      </c>
      <c r="AC1475" s="22" t="b">
        <f aca="false">FALSE()</f>
        <v>0</v>
      </c>
      <c r="AD1475" s="0" t="n">
        <v>5.86</v>
      </c>
      <c r="AE1475" s="0" t="n">
        <v>0.69</v>
      </c>
      <c r="AF1475" s="0" t="n">
        <v>1.46</v>
      </c>
      <c r="AG1475" s="22" t="b">
        <f aca="false">FALSE()</f>
        <v>0</v>
      </c>
      <c r="AH1475" s="0" t="n">
        <v>1</v>
      </c>
    </row>
    <row r="1476" customFormat="false" ht="15" hidden="false" customHeight="false" outlineLevel="0" collapsed="false">
      <c r="A1476" s="0" t="s">
        <v>2274</v>
      </c>
      <c r="B1476" s="0" t="s">
        <v>134</v>
      </c>
      <c r="C1476" s="0" t="s">
        <v>3447</v>
      </c>
      <c r="D1476" s="0" t="s">
        <v>3457</v>
      </c>
      <c r="E1476" s="18" t="s">
        <v>24</v>
      </c>
      <c r="F1476" s="23" t="s">
        <v>30</v>
      </c>
      <c r="G1476" s="21" t="s">
        <v>30</v>
      </c>
      <c r="H1476" s="21" t="s">
        <v>24</v>
      </c>
      <c r="I1476" s="21" t="s">
        <v>24</v>
      </c>
      <c r="J1476" s="21" t="s">
        <v>24</v>
      </c>
      <c r="K1476" s="21" t="s">
        <v>24</v>
      </c>
      <c r="L1476" s="21" t="s">
        <v>24</v>
      </c>
      <c r="M1476" s="0" t="n">
        <v>183</v>
      </c>
      <c r="N1476" s="0" t="n">
        <v>1</v>
      </c>
      <c r="O1476" s="21" t="s">
        <v>3483</v>
      </c>
      <c r="P1476" s="21" t="s">
        <v>4556</v>
      </c>
      <c r="Q1476" s="0" t="n">
        <v>0</v>
      </c>
      <c r="S1476" s="0" t="n">
        <v>1</v>
      </c>
      <c r="T1476" s="21" t="s">
        <v>3483</v>
      </c>
      <c r="U1476" s="22" t="b">
        <f aca="false">TRUE()</f>
        <v>1</v>
      </c>
      <c r="V1476" s="0" t="n">
        <v>0.74</v>
      </c>
      <c r="W1476" s="0" t="n">
        <v>0.44</v>
      </c>
      <c r="X1476" s="0" t="n">
        <v>6.16</v>
      </c>
      <c r="Y1476" s="0" t="n">
        <v>332.54</v>
      </c>
      <c r="Z1476" s="0" t="n">
        <v>8.42</v>
      </c>
      <c r="AA1476" s="0" t="n">
        <v>-0.48</v>
      </c>
      <c r="AB1476" s="0" t="n">
        <v>11.24</v>
      </c>
      <c r="AC1476" s="22" t="b">
        <f aca="false">FALSE()</f>
        <v>0</v>
      </c>
      <c r="AD1476" s="0" t="n">
        <v>11.75</v>
      </c>
      <c r="AE1476" s="0" t="n">
        <v>0.6</v>
      </c>
      <c r="AF1476" s="0" t="n">
        <v>2.31</v>
      </c>
      <c r="AG1476" s="22" t="b">
        <f aca="false">TRUE()</f>
        <v>1</v>
      </c>
      <c r="AH1476" s="0" t="n">
        <v>1</v>
      </c>
    </row>
    <row r="1477" customFormat="false" ht="15" hidden="false" customHeight="false" outlineLevel="0" collapsed="false">
      <c r="A1477" s="0" t="s">
        <v>2274</v>
      </c>
      <c r="B1477" s="0" t="s">
        <v>134</v>
      </c>
      <c r="C1477" s="0" t="s">
        <v>3447</v>
      </c>
      <c r="D1477" s="0" t="s">
        <v>3448</v>
      </c>
      <c r="E1477" s="18" t="s">
        <v>24</v>
      </c>
      <c r="F1477" s="23" t="s">
        <v>30</v>
      </c>
      <c r="G1477" s="21" t="s">
        <v>30</v>
      </c>
      <c r="H1477" s="21" t="s">
        <v>24</v>
      </c>
      <c r="I1477" s="21" t="s">
        <v>24</v>
      </c>
      <c r="J1477" s="21" t="s">
        <v>24</v>
      </c>
      <c r="K1477" s="21" t="s">
        <v>24</v>
      </c>
      <c r="L1477" s="21" t="s">
        <v>24</v>
      </c>
      <c r="M1477" s="0" t="n">
        <v>182</v>
      </c>
      <c r="N1477" s="0" t="n">
        <v>3</v>
      </c>
      <c r="O1477" s="21" t="s">
        <v>3559</v>
      </c>
      <c r="P1477" s="21" t="s">
        <v>4741</v>
      </c>
      <c r="Q1477" s="0" t="n">
        <v>0</v>
      </c>
      <c r="S1477" s="0" t="n">
        <v>3</v>
      </c>
      <c r="T1477" s="21" t="s">
        <v>3559</v>
      </c>
      <c r="U1477" s="22" t="b">
        <f aca="false">TRUE()</f>
        <v>1</v>
      </c>
      <c r="V1477" s="0" t="n">
        <v>0.76</v>
      </c>
      <c r="W1477" s="0" t="n">
        <v>0.36</v>
      </c>
      <c r="X1477" s="0" t="n">
        <v>8.11</v>
      </c>
      <c r="Y1477" s="0" t="n">
        <v>374.99</v>
      </c>
      <c r="Z1477" s="0" t="n">
        <v>8</v>
      </c>
      <c r="AA1477" s="0" t="n">
        <v>-0.78</v>
      </c>
      <c r="AB1477" s="0" t="n">
        <v>2.06</v>
      </c>
      <c r="AC1477" s="22" t="b">
        <f aca="false">FALSE()</f>
        <v>0</v>
      </c>
      <c r="AD1477" s="0" t="n">
        <v>6.1</v>
      </c>
      <c r="AE1477" s="0" t="n">
        <v>0.72</v>
      </c>
      <c r="AF1477" s="0" t="n">
        <v>2.56</v>
      </c>
      <c r="AG1477" s="22" t="b">
        <f aca="false">FALSE()</f>
        <v>0</v>
      </c>
      <c r="AH1477" s="0" t="n">
        <v>1</v>
      </c>
    </row>
    <row r="1478" customFormat="false" ht="15" hidden="false" customHeight="false" outlineLevel="0" collapsed="false">
      <c r="A1478" s="0" t="s">
        <v>2280</v>
      </c>
      <c r="B1478" s="0" t="s">
        <v>134</v>
      </c>
      <c r="C1478" s="0" t="s">
        <v>3450</v>
      </c>
      <c r="D1478" s="0" t="s">
        <v>3457</v>
      </c>
      <c r="E1478" s="18" t="s">
        <v>24</v>
      </c>
      <c r="F1478" s="18" t="s">
        <v>28</v>
      </c>
      <c r="H1478" s="21" t="s">
        <v>24</v>
      </c>
      <c r="I1478" s="21" t="s">
        <v>24</v>
      </c>
      <c r="J1478" s="21" t="s">
        <v>24</v>
      </c>
      <c r="K1478" s="21" t="s">
        <v>24</v>
      </c>
      <c r="L1478" s="21" t="s">
        <v>24</v>
      </c>
      <c r="M1478" s="0" t="n">
        <v>185</v>
      </c>
      <c r="N1478" s="0" t="n">
        <v>0</v>
      </c>
      <c r="Q1478" s="0" t="n">
        <v>0</v>
      </c>
      <c r="S1478" s="0" t="n">
        <v>0</v>
      </c>
      <c r="U1478" s="22" t="b">
        <f aca="false">FALSE()</f>
        <v>0</v>
      </c>
      <c r="V1478" s="0" t="n">
        <v>0.71</v>
      </c>
      <c r="W1478" s="0" t="n">
        <v>0.76</v>
      </c>
      <c r="X1478" s="0" t="n">
        <v>7.52</v>
      </c>
      <c r="Y1478" s="0" t="n">
        <v>291.21</v>
      </c>
      <c r="Z1478" s="0" t="n">
        <v>9.08</v>
      </c>
      <c r="AA1478" s="0" t="n">
        <v>14.55</v>
      </c>
      <c r="AB1478" s="0" t="n">
        <v>8.1</v>
      </c>
      <c r="AC1478" s="22" t="b">
        <f aca="false">FALSE()</f>
        <v>0</v>
      </c>
      <c r="AD1478" s="0" t="n">
        <v>13.72</v>
      </c>
      <c r="AE1478" s="0" t="n">
        <v>0.07</v>
      </c>
      <c r="AF1478" s="0" t="n">
        <v>5.82</v>
      </c>
      <c r="AG1478" s="22" t="b">
        <f aca="false">TRUE()</f>
        <v>1</v>
      </c>
      <c r="AH1478" s="0" t="n">
        <v>1</v>
      </c>
    </row>
    <row r="1479" customFormat="false" ht="15" hidden="false" customHeight="false" outlineLevel="0" collapsed="false">
      <c r="A1479" s="0" t="s">
        <v>2280</v>
      </c>
      <c r="B1479" s="0" t="s">
        <v>134</v>
      </c>
      <c r="C1479" s="0" t="s">
        <v>3450</v>
      </c>
      <c r="D1479" s="0" t="s">
        <v>3448</v>
      </c>
      <c r="E1479" s="18" t="s">
        <v>24</v>
      </c>
      <c r="F1479" s="18" t="s">
        <v>28</v>
      </c>
      <c r="H1479" s="21" t="s">
        <v>24</v>
      </c>
      <c r="I1479" s="21" t="s">
        <v>24</v>
      </c>
      <c r="J1479" s="21" t="s">
        <v>24</v>
      </c>
      <c r="K1479" s="21" t="s">
        <v>24</v>
      </c>
      <c r="L1479" s="21" t="s">
        <v>24</v>
      </c>
      <c r="M1479" s="0" t="n">
        <v>183</v>
      </c>
      <c r="N1479" s="0" t="n">
        <v>0</v>
      </c>
      <c r="Q1479" s="0" t="n">
        <v>0</v>
      </c>
      <c r="S1479" s="0" t="n">
        <v>0</v>
      </c>
      <c r="U1479" s="22" t="b">
        <f aca="false">FALSE()</f>
        <v>0</v>
      </c>
      <c r="V1479" s="0" t="n">
        <v>0.66</v>
      </c>
      <c r="W1479" s="0" t="n">
        <v>0.72</v>
      </c>
      <c r="X1479" s="0" t="n">
        <v>9.76</v>
      </c>
      <c r="Y1479" s="0" t="n">
        <v>318.34</v>
      </c>
      <c r="Z1479" s="0" t="n">
        <v>9.17</v>
      </c>
      <c r="AA1479" s="0" t="n">
        <v>17.2</v>
      </c>
      <c r="AB1479" s="0" t="n">
        <v>8.95</v>
      </c>
      <c r="AC1479" s="22" t="b">
        <f aca="false">FALSE()</f>
        <v>0</v>
      </c>
      <c r="AD1479" s="0" t="n">
        <v>16.15</v>
      </c>
      <c r="AE1479" s="0" t="n">
        <v>1.85</v>
      </c>
      <c r="AF1479" s="0" t="n">
        <v>18.75</v>
      </c>
      <c r="AG1479" s="22" t="b">
        <f aca="false">TRUE()</f>
        <v>1</v>
      </c>
      <c r="AH1479" s="0" t="n">
        <v>1</v>
      </c>
    </row>
    <row r="1480" customFormat="false" ht="15" hidden="false" customHeight="false" outlineLevel="0" collapsed="false">
      <c r="A1480" s="0" t="s">
        <v>2280</v>
      </c>
      <c r="B1480" s="0" t="s">
        <v>134</v>
      </c>
      <c r="C1480" s="0" t="s">
        <v>3447</v>
      </c>
      <c r="D1480" s="0" t="s">
        <v>3457</v>
      </c>
      <c r="E1480" s="19" t="s">
        <v>26</v>
      </c>
      <c r="F1480" s="19" t="s">
        <v>32</v>
      </c>
      <c r="G1480" s="21" t="s">
        <v>529</v>
      </c>
      <c r="H1480" s="21" t="s">
        <v>24</v>
      </c>
      <c r="I1480" s="21" t="s">
        <v>26</v>
      </c>
      <c r="J1480" s="21" t="s">
        <v>24</v>
      </c>
      <c r="K1480" s="21" t="s">
        <v>24</v>
      </c>
      <c r="L1480" s="21" t="s">
        <v>24</v>
      </c>
      <c r="M1480" s="0" t="n">
        <v>187</v>
      </c>
      <c r="N1480" s="0" t="n">
        <v>11</v>
      </c>
      <c r="O1480" s="21" t="s">
        <v>4103</v>
      </c>
      <c r="P1480" s="21" t="s">
        <v>4742</v>
      </c>
      <c r="Q1480" s="0" t="n">
        <v>1</v>
      </c>
      <c r="R1480" s="21" t="s">
        <v>69</v>
      </c>
      <c r="S1480" s="0" t="n">
        <v>11</v>
      </c>
      <c r="T1480" s="21" t="s">
        <v>4103</v>
      </c>
      <c r="U1480" s="22" t="b">
        <f aca="false">FALSE()</f>
        <v>0</v>
      </c>
      <c r="V1480" s="0" t="n">
        <v>0.7</v>
      </c>
      <c r="W1480" s="0" t="n">
        <v>0</v>
      </c>
      <c r="X1480" s="0" t="n">
        <v>7.61</v>
      </c>
      <c r="Y1480" s="0" t="n">
        <v>688.1</v>
      </c>
      <c r="Z1480" s="0" t="n">
        <v>9.17</v>
      </c>
      <c r="AA1480" s="0" t="n">
        <v>3.45</v>
      </c>
      <c r="AB1480" s="0" t="n">
        <v>8.1</v>
      </c>
      <c r="AC1480" s="22" t="b">
        <f aca="false">FALSE()</f>
        <v>0</v>
      </c>
      <c r="AD1480" s="0" t="n">
        <v>12.42</v>
      </c>
      <c r="AE1480" s="0" t="n">
        <v>1.69</v>
      </c>
      <c r="AF1480" s="0" t="n">
        <v>3.59</v>
      </c>
      <c r="AG1480" s="22" t="b">
        <f aca="false">TRUE()</f>
        <v>1</v>
      </c>
      <c r="AH1480" s="0" t="n">
        <v>1</v>
      </c>
    </row>
    <row r="1481" customFormat="false" ht="15" hidden="false" customHeight="false" outlineLevel="0" collapsed="false">
      <c r="A1481" s="0" t="s">
        <v>2280</v>
      </c>
      <c r="B1481" s="0" t="s">
        <v>134</v>
      </c>
      <c r="C1481" s="0" t="s">
        <v>3447</v>
      </c>
      <c r="D1481" s="0" t="s">
        <v>3448</v>
      </c>
      <c r="E1481" s="19" t="s">
        <v>26</v>
      </c>
      <c r="F1481" s="19" t="s">
        <v>32</v>
      </c>
      <c r="G1481" s="21" t="s">
        <v>60</v>
      </c>
      <c r="H1481" s="21" t="s">
        <v>24</v>
      </c>
      <c r="I1481" s="21" t="s">
        <v>26</v>
      </c>
      <c r="J1481" s="21" t="s">
        <v>24</v>
      </c>
      <c r="K1481" s="21" t="s">
        <v>24</v>
      </c>
      <c r="L1481" s="21" t="s">
        <v>24</v>
      </c>
      <c r="M1481" s="0" t="n">
        <v>184</v>
      </c>
      <c r="N1481" s="0" t="n">
        <v>7</v>
      </c>
      <c r="O1481" s="21" t="s">
        <v>3957</v>
      </c>
      <c r="P1481" s="21" t="s">
        <v>4743</v>
      </c>
      <c r="Q1481" s="0" t="n">
        <v>0</v>
      </c>
      <c r="S1481" s="0" t="n">
        <v>7</v>
      </c>
      <c r="T1481" s="21" t="s">
        <v>3957</v>
      </c>
      <c r="U1481" s="22" t="b">
        <f aca="false">FALSE()</f>
        <v>0</v>
      </c>
      <c r="V1481" s="0" t="n">
        <v>0.64</v>
      </c>
      <c r="W1481" s="0" t="n">
        <v>0</v>
      </c>
      <c r="X1481" s="0" t="n">
        <v>11.27</v>
      </c>
      <c r="Y1481" s="0" t="n">
        <v>6.35</v>
      </c>
      <c r="Z1481" s="0" t="n">
        <v>8.33</v>
      </c>
      <c r="AA1481" s="0" t="n">
        <v>2.27</v>
      </c>
      <c r="AB1481" s="0" t="n">
        <v>8.95</v>
      </c>
      <c r="AC1481" s="22" t="b">
        <f aca="false">FALSE()</f>
        <v>0</v>
      </c>
      <c r="AD1481" s="0" t="n">
        <v>15.05</v>
      </c>
      <c r="AE1481" s="0" t="n">
        <v>0.46</v>
      </c>
      <c r="AF1481" s="0" t="n">
        <v>18.15</v>
      </c>
      <c r="AG1481" s="22" t="b">
        <f aca="false">TRUE()</f>
        <v>1</v>
      </c>
      <c r="AH1481" s="0" t="n">
        <v>0</v>
      </c>
    </row>
    <row r="1482" customFormat="false" ht="15" hidden="false" customHeight="false" outlineLevel="0" collapsed="false">
      <c r="A1482" s="0" t="s">
        <v>2280</v>
      </c>
      <c r="B1482" s="0" t="s">
        <v>3459</v>
      </c>
      <c r="C1482" s="0" t="s">
        <v>3450</v>
      </c>
      <c r="D1482" s="0" t="s">
        <v>3457</v>
      </c>
      <c r="E1482" s="18" t="s">
        <v>24</v>
      </c>
      <c r="F1482" s="18" t="s">
        <v>28</v>
      </c>
      <c r="H1482" s="21" t="s">
        <v>24</v>
      </c>
      <c r="I1482" s="21" t="s">
        <v>24</v>
      </c>
      <c r="J1482" s="21" t="s">
        <v>24</v>
      </c>
      <c r="K1482" s="21" t="s">
        <v>24</v>
      </c>
      <c r="L1482" s="21" t="s">
        <v>24</v>
      </c>
      <c r="M1482" s="0" t="n">
        <v>183</v>
      </c>
      <c r="N1482" s="0" t="n">
        <v>0</v>
      </c>
      <c r="Q1482" s="0" t="n">
        <v>0</v>
      </c>
      <c r="S1482" s="0" t="n">
        <v>0</v>
      </c>
      <c r="U1482" s="22" t="b">
        <f aca="false">FALSE()</f>
        <v>0</v>
      </c>
      <c r="V1482" s="0" t="n">
        <v>0.7</v>
      </c>
      <c r="W1482" s="0" t="n">
        <v>0</v>
      </c>
      <c r="X1482" s="0" t="n">
        <v>8.37</v>
      </c>
      <c r="Y1482" s="0" t="n">
        <v>12.46</v>
      </c>
      <c r="Z1482" s="0" t="n">
        <v>9</v>
      </c>
      <c r="AA1482" s="0" t="n">
        <v>13.9</v>
      </c>
      <c r="AB1482" s="0" t="n">
        <v>3.8</v>
      </c>
      <c r="AC1482" s="22" t="b">
        <f aca="false">FALSE()</f>
        <v>0</v>
      </c>
      <c r="AD1482" s="0" t="n">
        <v>18</v>
      </c>
      <c r="AE1482" s="0" t="n">
        <v>5.81</v>
      </c>
      <c r="AF1482" s="0" t="n">
        <v>10.27</v>
      </c>
      <c r="AG1482" s="22" t="b">
        <f aca="false">TRUE()</f>
        <v>1</v>
      </c>
      <c r="AH1482" s="0" t="n">
        <v>0</v>
      </c>
    </row>
    <row r="1483" customFormat="false" ht="15" hidden="false" customHeight="false" outlineLevel="0" collapsed="false">
      <c r="A1483" s="0" t="s">
        <v>2280</v>
      </c>
      <c r="B1483" s="0" t="s">
        <v>3459</v>
      </c>
      <c r="C1483" s="0" t="s">
        <v>3450</v>
      </c>
      <c r="D1483" s="0" t="s">
        <v>3448</v>
      </c>
      <c r="E1483" s="20" t="s">
        <v>25</v>
      </c>
      <c r="F1483" s="20" t="s">
        <v>29</v>
      </c>
      <c r="G1483" s="21" t="s">
        <v>62</v>
      </c>
      <c r="H1483" s="21" t="s">
        <v>24</v>
      </c>
      <c r="I1483" s="21" t="s">
        <v>24</v>
      </c>
      <c r="J1483" s="21" t="s">
        <v>24</v>
      </c>
      <c r="K1483" s="21" t="s">
        <v>25</v>
      </c>
      <c r="L1483" s="21" t="s">
        <v>24</v>
      </c>
      <c r="M1483" s="0" t="n">
        <v>182</v>
      </c>
      <c r="N1483" s="0" t="n">
        <v>0</v>
      </c>
      <c r="Q1483" s="0" t="n">
        <v>0</v>
      </c>
      <c r="S1483" s="0" t="n">
        <v>0</v>
      </c>
      <c r="U1483" s="22" t="b">
        <f aca="false">FALSE()</f>
        <v>0</v>
      </c>
      <c r="V1483" s="0" t="n">
        <v>0.68</v>
      </c>
      <c r="W1483" s="0" t="n">
        <v>0.8</v>
      </c>
      <c r="X1483" s="0" t="n">
        <v>11.61</v>
      </c>
      <c r="Y1483" s="0" t="n">
        <v>317.11</v>
      </c>
      <c r="Z1483" s="0" t="n">
        <v>8.92</v>
      </c>
      <c r="AA1483" s="0" t="n">
        <v>1.75</v>
      </c>
      <c r="AB1483" s="0" t="n">
        <v>19.63</v>
      </c>
      <c r="AC1483" s="22" t="b">
        <f aca="false">FALSE()</f>
        <v>0</v>
      </c>
      <c r="AD1483" s="0" t="n">
        <v>9.18</v>
      </c>
      <c r="AE1483" s="0" t="n">
        <v>2.73</v>
      </c>
      <c r="AF1483" s="0" t="n">
        <v>9.19</v>
      </c>
      <c r="AG1483" s="22" t="b">
        <f aca="false">FALSE()</f>
        <v>0</v>
      </c>
      <c r="AH1483" s="0" t="n">
        <v>1</v>
      </c>
    </row>
    <row r="1484" customFormat="false" ht="15" hidden="false" customHeight="false" outlineLevel="0" collapsed="false">
      <c r="A1484" s="0" t="s">
        <v>2280</v>
      </c>
      <c r="B1484" s="0" t="s">
        <v>3459</v>
      </c>
      <c r="C1484" s="0" t="s">
        <v>3447</v>
      </c>
      <c r="D1484" s="0" t="s">
        <v>3457</v>
      </c>
      <c r="E1484" s="19" t="s">
        <v>26</v>
      </c>
      <c r="F1484" s="19" t="s">
        <v>32</v>
      </c>
      <c r="G1484" s="21" t="s">
        <v>529</v>
      </c>
      <c r="H1484" s="21" t="s">
        <v>24</v>
      </c>
      <c r="I1484" s="21" t="s">
        <v>26</v>
      </c>
      <c r="J1484" s="21" t="s">
        <v>24</v>
      </c>
      <c r="K1484" s="21" t="s">
        <v>24</v>
      </c>
      <c r="L1484" s="21" t="s">
        <v>24</v>
      </c>
      <c r="M1484" s="0" t="n">
        <v>190</v>
      </c>
      <c r="N1484" s="0" t="n">
        <v>12</v>
      </c>
      <c r="O1484" s="21" t="s">
        <v>4085</v>
      </c>
      <c r="P1484" s="21" t="s">
        <v>4744</v>
      </c>
      <c r="Q1484" s="0" t="n">
        <v>1</v>
      </c>
      <c r="R1484" s="21" t="s">
        <v>69</v>
      </c>
      <c r="S1484" s="0" t="n">
        <v>12</v>
      </c>
      <c r="T1484" s="21" t="s">
        <v>4085</v>
      </c>
      <c r="U1484" s="22" t="b">
        <f aca="false">FALSE()</f>
        <v>0</v>
      </c>
      <c r="V1484" s="0" t="n">
        <v>0.75</v>
      </c>
      <c r="W1484" s="0" t="n">
        <v>0.76</v>
      </c>
      <c r="X1484" s="0" t="n">
        <v>7.99</v>
      </c>
      <c r="Y1484" s="0" t="n">
        <v>312.04</v>
      </c>
      <c r="Z1484" s="0" t="n">
        <v>8.83</v>
      </c>
      <c r="AA1484" s="0" t="n">
        <v>1.13</v>
      </c>
      <c r="AB1484" s="0" t="n">
        <v>3.8</v>
      </c>
      <c r="AC1484" s="22" t="b">
        <f aca="false">FALSE()</f>
        <v>0</v>
      </c>
      <c r="AD1484" s="0" t="n">
        <v>17.72</v>
      </c>
      <c r="AE1484" s="0" t="n">
        <v>5.64</v>
      </c>
      <c r="AF1484" s="0" t="n">
        <v>11.65</v>
      </c>
      <c r="AG1484" s="22" t="b">
        <f aca="false">TRUE()</f>
        <v>1</v>
      </c>
      <c r="AH1484" s="0" t="n">
        <v>1</v>
      </c>
    </row>
    <row r="1485" customFormat="false" ht="15" hidden="false" customHeight="false" outlineLevel="0" collapsed="false">
      <c r="A1485" s="0" t="s">
        <v>2280</v>
      </c>
      <c r="B1485" s="0" t="s">
        <v>3459</v>
      </c>
      <c r="C1485" s="0" t="s">
        <v>3447</v>
      </c>
      <c r="D1485" s="0" t="s">
        <v>3448</v>
      </c>
      <c r="E1485" s="19" t="s">
        <v>26</v>
      </c>
      <c r="F1485" s="19" t="s">
        <v>32</v>
      </c>
      <c r="G1485" s="21" t="s">
        <v>60</v>
      </c>
      <c r="H1485" s="21" t="s">
        <v>24</v>
      </c>
      <c r="I1485" s="21" t="s">
        <v>26</v>
      </c>
      <c r="J1485" s="21" t="s">
        <v>24</v>
      </c>
      <c r="K1485" s="21" t="s">
        <v>24</v>
      </c>
      <c r="L1485" s="21" t="s">
        <v>24</v>
      </c>
      <c r="M1485" s="0" t="n">
        <v>183</v>
      </c>
      <c r="N1485" s="0" t="n">
        <v>13</v>
      </c>
      <c r="O1485" s="21" t="s">
        <v>3989</v>
      </c>
      <c r="P1485" s="21" t="s">
        <v>4745</v>
      </c>
      <c r="Q1485" s="0" t="n">
        <v>0</v>
      </c>
      <c r="S1485" s="0" t="n">
        <v>13</v>
      </c>
      <c r="T1485" s="21" t="s">
        <v>3989</v>
      </c>
      <c r="U1485" s="22" t="b">
        <f aca="false">FALSE()</f>
        <v>0</v>
      </c>
      <c r="V1485" s="0" t="n">
        <v>0.71</v>
      </c>
      <c r="W1485" s="0" t="n">
        <v>0.4</v>
      </c>
      <c r="X1485" s="0" t="n">
        <v>10.69</v>
      </c>
      <c r="Y1485" s="0" t="n">
        <v>357.11</v>
      </c>
      <c r="Z1485" s="0" t="n">
        <v>9.33</v>
      </c>
      <c r="AA1485" s="0" t="n">
        <v>4.18</v>
      </c>
      <c r="AB1485" s="0" t="n">
        <v>19.63</v>
      </c>
      <c r="AC1485" s="22" t="b">
        <f aca="false">FALSE()</f>
        <v>0</v>
      </c>
      <c r="AD1485" s="0" t="n">
        <v>14.95</v>
      </c>
      <c r="AE1485" s="0" t="n">
        <v>3.24</v>
      </c>
      <c r="AF1485" s="0" t="n">
        <v>9.31</v>
      </c>
      <c r="AG1485" s="22" t="b">
        <f aca="false">TRUE()</f>
        <v>1</v>
      </c>
      <c r="AH1485" s="0" t="n">
        <v>1</v>
      </c>
    </row>
    <row r="1486" customFormat="false" ht="15" hidden="false" customHeight="false" outlineLevel="0" collapsed="false">
      <c r="A1486" s="0" t="s">
        <v>2296</v>
      </c>
      <c r="B1486" s="0" t="s">
        <v>134</v>
      </c>
      <c r="C1486" s="0" t="s">
        <v>3450</v>
      </c>
      <c r="D1486" s="0" t="s">
        <v>3457</v>
      </c>
      <c r="E1486" s="20" t="s">
        <v>25</v>
      </c>
      <c r="F1486" s="23" t="s">
        <v>30</v>
      </c>
      <c r="G1486" s="21" t="s">
        <v>283</v>
      </c>
      <c r="H1486" s="21" t="s">
        <v>24</v>
      </c>
      <c r="I1486" s="21" t="s">
        <v>25</v>
      </c>
      <c r="J1486" s="21" t="s">
        <v>24</v>
      </c>
      <c r="K1486" s="21" t="s">
        <v>24</v>
      </c>
      <c r="L1486" s="21" t="s">
        <v>24</v>
      </c>
      <c r="M1486" s="0" t="n">
        <v>184</v>
      </c>
      <c r="N1486" s="0" t="n">
        <v>3</v>
      </c>
      <c r="O1486" s="21" t="s">
        <v>3649</v>
      </c>
      <c r="P1486" s="21" t="s">
        <v>4242</v>
      </c>
      <c r="Q1486" s="0" t="n">
        <v>1</v>
      </c>
      <c r="R1486" s="21" t="s">
        <v>69</v>
      </c>
      <c r="S1486" s="0" t="n">
        <v>3</v>
      </c>
      <c r="T1486" s="21" t="s">
        <v>3649</v>
      </c>
      <c r="U1486" s="22" t="b">
        <f aca="false">TRUE()</f>
        <v>1</v>
      </c>
      <c r="V1486" s="0" t="n">
        <v>0.68</v>
      </c>
      <c r="W1486" s="0" t="n">
        <v>0.8</v>
      </c>
      <c r="X1486" s="0" t="n">
        <v>10.93</v>
      </c>
      <c r="Y1486" s="0" t="n">
        <v>320.34</v>
      </c>
      <c r="Z1486" s="0" t="n">
        <v>10.42</v>
      </c>
      <c r="AA1486" s="0" t="n">
        <v>5.28</v>
      </c>
      <c r="AB1486" s="0" t="n">
        <v>12.61</v>
      </c>
      <c r="AC1486" s="22" t="b">
        <f aca="false">FALSE()</f>
        <v>0</v>
      </c>
      <c r="AD1486" s="0" t="n">
        <v>4.27</v>
      </c>
      <c r="AE1486" s="0" t="n">
        <v>0.23</v>
      </c>
      <c r="AF1486" s="0" t="n">
        <v>0.18</v>
      </c>
      <c r="AG1486" s="22" t="b">
        <f aca="false">FALSE()</f>
        <v>0</v>
      </c>
      <c r="AH1486" s="0" t="n">
        <v>1</v>
      </c>
    </row>
    <row r="1487" customFormat="false" ht="15" hidden="false" customHeight="false" outlineLevel="0" collapsed="false">
      <c r="A1487" s="0" t="s">
        <v>2296</v>
      </c>
      <c r="B1487" s="0" t="s">
        <v>134</v>
      </c>
      <c r="C1487" s="0" t="s">
        <v>3450</v>
      </c>
      <c r="D1487" s="0" t="s">
        <v>3448</v>
      </c>
      <c r="E1487" s="20" t="s">
        <v>25</v>
      </c>
      <c r="F1487" s="23" t="s">
        <v>30</v>
      </c>
      <c r="G1487" s="21" t="s">
        <v>283</v>
      </c>
      <c r="H1487" s="21" t="s">
        <v>24</v>
      </c>
      <c r="I1487" s="21" t="s">
        <v>25</v>
      </c>
      <c r="J1487" s="21" t="s">
        <v>24</v>
      </c>
      <c r="K1487" s="21" t="s">
        <v>24</v>
      </c>
      <c r="L1487" s="21" t="s">
        <v>24</v>
      </c>
      <c r="M1487" s="0" t="n">
        <v>183</v>
      </c>
      <c r="N1487" s="0" t="n">
        <v>6</v>
      </c>
      <c r="O1487" s="21" t="s">
        <v>3845</v>
      </c>
      <c r="P1487" s="21" t="s">
        <v>4262</v>
      </c>
      <c r="Q1487" s="0" t="n">
        <v>1</v>
      </c>
      <c r="R1487" s="21" t="s">
        <v>69</v>
      </c>
      <c r="S1487" s="0" t="n">
        <v>6</v>
      </c>
      <c r="T1487" s="21" t="s">
        <v>3845</v>
      </c>
      <c r="U1487" s="22" t="b">
        <f aca="false">TRUE()</f>
        <v>1</v>
      </c>
      <c r="V1487" s="0" t="n">
        <v>0.68</v>
      </c>
      <c r="W1487" s="0" t="n">
        <v>0.44</v>
      </c>
      <c r="X1487" s="0" t="n">
        <v>10.11</v>
      </c>
      <c r="Y1487" s="0" t="n">
        <v>343.32</v>
      </c>
      <c r="Z1487" s="0" t="n">
        <v>10</v>
      </c>
      <c r="AA1487" s="0" t="n">
        <v>15.8</v>
      </c>
      <c r="AB1487" s="0" t="n">
        <v>6.27</v>
      </c>
      <c r="AC1487" s="22" t="b">
        <f aca="false">FALSE()</f>
        <v>0</v>
      </c>
      <c r="AD1487" s="0" t="n">
        <v>10.78</v>
      </c>
      <c r="AE1487" s="0" t="n">
        <v>0.51</v>
      </c>
      <c r="AF1487" s="0" t="n">
        <v>9.56</v>
      </c>
      <c r="AG1487" s="22" t="b">
        <f aca="false">TRUE()</f>
        <v>1</v>
      </c>
      <c r="AH1487" s="0" t="n">
        <v>1</v>
      </c>
    </row>
    <row r="1488" customFormat="false" ht="15" hidden="false" customHeight="false" outlineLevel="0" collapsed="false">
      <c r="A1488" s="0" t="s">
        <v>2296</v>
      </c>
      <c r="B1488" s="0" t="s">
        <v>134</v>
      </c>
      <c r="C1488" s="0" t="s">
        <v>3447</v>
      </c>
      <c r="D1488" s="0" t="s">
        <v>3457</v>
      </c>
      <c r="E1488" s="18" t="s">
        <v>24</v>
      </c>
      <c r="F1488" s="18" t="s">
        <v>28</v>
      </c>
      <c r="H1488" s="21" t="s">
        <v>24</v>
      </c>
      <c r="I1488" s="21" t="s">
        <v>24</v>
      </c>
      <c r="J1488" s="21" t="s">
        <v>24</v>
      </c>
      <c r="K1488" s="21" t="s">
        <v>24</v>
      </c>
      <c r="L1488" s="21" t="s">
        <v>24</v>
      </c>
      <c r="M1488" s="0" t="n">
        <v>183</v>
      </c>
      <c r="N1488" s="0" t="n">
        <v>0</v>
      </c>
      <c r="Q1488" s="0" t="n">
        <v>0</v>
      </c>
      <c r="S1488" s="0" t="n">
        <v>0</v>
      </c>
      <c r="U1488" s="22" t="b">
        <f aca="false">FALSE()</f>
        <v>0</v>
      </c>
      <c r="V1488" s="0" t="n">
        <v>0.67</v>
      </c>
      <c r="W1488" s="0" t="n">
        <v>0.44</v>
      </c>
      <c r="X1488" s="0" t="n">
        <v>9.22</v>
      </c>
      <c r="Y1488" s="0" t="n">
        <v>345.15</v>
      </c>
      <c r="Z1488" s="0" t="n">
        <v>10.25</v>
      </c>
      <c r="AA1488" s="0" t="n">
        <v>8.18</v>
      </c>
      <c r="AB1488" s="0" t="n">
        <v>12.61</v>
      </c>
      <c r="AC1488" s="22" t="b">
        <f aca="false">FALSE()</f>
        <v>0</v>
      </c>
      <c r="AD1488" s="0" t="n">
        <v>9.68</v>
      </c>
      <c r="AE1488" s="0" t="n">
        <v>0.32</v>
      </c>
      <c r="AF1488" s="0" t="n">
        <v>0.73</v>
      </c>
      <c r="AG1488" s="22" t="b">
        <f aca="false">FALSE()</f>
        <v>0</v>
      </c>
      <c r="AH1488" s="0" t="n">
        <v>1</v>
      </c>
    </row>
    <row r="1489" customFormat="false" ht="15" hidden="false" customHeight="false" outlineLevel="0" collapsed="false">
      <c r="A1489" s="0" t="s">
        <v>2296</v>
      </c>
      <c r="B1489" s="0" t="s">
        <v>134</v>
      </c>
      <c r="C1489" s="0" t="s">
        <v>3447</v>
      </c>
      <c r="D1489" s="0" t="s">
        <v>3448</v>
      </c>
      <c r="E1489" s="20" t="s">
        <v>25</v>
      </c>
      <c r="F1489" s="23" t="s">
        <v>30</v>
      </c>
      <c r="G1489" s="21" t="s">
        <v>283</v>
      </c>
      <c r="H1489" s="21" t="s">
        <v>24</v>
      </c>
      <c r="I1489" s="21" t="s">
        <v>25</v>
      </c>
      <c r="J1489" s="21" t="s">
        <v>24</v>
      </c>
      <c r="K1489" s="21" t="s">
        <v>24</v>
      </c>
      <c r="L1489" s="21" t="s">
        <v>24</v>
      </c>
      <c r="M1489" s="0" t="n">
        <v>182</v>
      </c>
      <c r="N1489" s="0" t="n">
        <v>4</v>
      </c>
      <c r="O1489" s="21" t="s">
        <v>3737</v>
      </c>
      <c r="P1489" s="21" t="s">
        <v>4535</v>
      </c>
      <c r="Q1489" s="0" t="n">
        <v>1</v>
      </c>
      <c r="R1489" s="21" t="s">
        <v>69</v>
      </c>
      <c r="S1489" s="0" t="n">
        <v>4</v>
      </c>
      <c r="T1489" s="21" t="s">
        <v>3737</v>
      </c>
      <c r="U1489" s="22" t="b">
        <f aca="false">TRUE()</f>
        <v>1</v>
      </c>
      <c r="V1489" s="0" t="n">
        <v>0.65</v>
      </c>
      <c r="W1489" s="0" t="n">
        <v>0.4</v>
      </c>
      <c r="X1489" s="0" t="n">
        <v>9.98</v>
      </c>
      <c r="Y1489" s="0" t="n">
        <v>353.41</v>
      </c>
      <c r="Z1489" s="0" t="n">
        <v>10.25</v>
      </c>
      <c r="AA1489" s="0" t="n">
        <v>4.47</v>
      </c>
      <c r="AB1489" s="0" t="n">
        <v>6.27</v>
      </c>
      <c r="AC1489" s="22" t="b">
        <f aca="false">FALSE()</f>
        <v>0</v>
      </c>
      <c r="AD1489" s="0" t="n">
        <v>5.13</v>
      </c>
      <c r="AE1489" s="0" t="n">
        <v>0.09</v>
      </c>
      <c r="AF1489" s="0" t="n">
        <v>2.33</v>
      </c>
      <c r="AG1489" s="22" t="b">
        <f aca="false">FALSE()</f>
        <v>0</v>
      </c>
      <c r="AH1489" s="0" t="n">
        <v>1</v>
      </c>
    </row>
    <row r="1490" customFormat="false" ht="15" hidden="false" customHeight="false" outlineLevel="0" collapsed="false">
      <c r="A1490" s="0" t="s">
        <v>2296</v>
      </c>
      <c r="B1490" s="0" t="s">
        <v>3459</v>
      </c>
      <c r="C1490" s="0" t="s">
        <v>3450</v>
      </c>
      <c r="D1490" s="0" t="s">
        <v>3457</v>
      </c>
      <c r="E1490" s="20" t="s">
        <v>25</v>
      </c>
      <c r="F1490" s="23" t="s">
        <v>30</v>
      </c>
      <c r="G1490" s="21" t="s">
        <v>283</v>
      </c>
      <c r="H1490" s="21" t="s">
        <v>24</v>
      </c>
      <c r="I1490" s="21" t="s">
        <v>25</v>
      </c>
      <c r="J1490" s="21" t="s">
        <v>24</v>
      </c>
      <c r="K1490" s="21" t="s">
        <v>24</v>
      </c>
      <c r="L1490" s="21" t="s">
        <v>24</v>
      </c>
      <c r="M1490" s="0" t="n">
        <v>183</v>
      </c>
      <c r="N1490" s="0" t="n">
        <v>6</v>
      </c>
      <c r="O1490" s="21" t="s">
        <v>3869</v>
      </c>
      <c r="P1490" s="21" t="s">
        <v>4746</v>
      </c>
      <c r="Q1490" s="0" t="n">
        <v>1</v>
      </c>
      <c r="R1490" s="21" t="s">
        <v>69</v>
      </c>
      <c r="S1490" s="0" t="n">
        <v>6</v>
      </c>
      <c r="T1490" s="21" t="s">
        <v>3869</v>
      </c>
      <c r="U1490" s="22" t="b">
        <f aca="false">TRUE()</f>
        <v>1</v>
      </c>
      <c r="V1490" s="0" t="n">
        <v>0.65</v>
      </c>
      <c r="W1490" s="0" t="n">
        <v>0.8</v>
      </c>
      <c r="X1490" s="0" t="n">
        <v>11.94</v>
      </c>
      <c r="Y1490" s="0" t="n">
        <v>314.77</v>
      </c>
      <c r="Z1490" s="0" t="n">
        <v>10</v>
      </c>
      <c r="AA1490" s="0" t="n">
        <v>13.93</v>
      </c>
      <c r="AB1490" s="0" t="n">
        <v>5.68</v>
      </c>
      <c r="AC1490" s="22" t="b">
        <f aca="false">FALSE()</f>
        <v>0</v>
      </c>
      <c r="AD1490" s="0" t="n">
        <v>19.77</v>
      </c>
      <c r="AE1490" s="0" t="n">
        <v>8.37</v>
      </c>
      <c r="AF1490" s="0" t="n">
        <v>14.27</v>
      </c>
      <c r="AG1490" s="22" t="b">
        <f aca="false">TRUE()</f>
        <v>1</v>
      </c>
      <c r="AH1490" s="0" t="n">
        <v>1</v>
      </c>
    </row>
    <row r="1491" customFormat="false" ht="15" hidden="false" customHeight="false" outlineLevel="0" collapsed="false">
      <c r="A1491" s="0" t="s">
        <v>2296</v>
      </c>
      <c r="B1491" s="0" t="s">
        <v>3459</v>
      </c>
      <c r="C1491" s="0" t="s">
        <v>3450</v>
      </c>
      <c r="D1491" s="0" t="s">
        <v>3448</v>
      </c>
      <c r="E1491" s="20" t="s">
        <v>25</v>
      </c>
      <c r="F1491" s="23" t="s">
        <v>30</v>
      </c>
      <c r="G1491" s="21" t="s">
        <v>183</v>
      </c>
      <c r="H1491" s="21" t="s">
        <v>24</v>
      </c>
      <c r="I1491" s="21" t="s">
        <v>25</v>
      </c>
      <c r="J1491" s="21" t="s">
        <v>24</v>
      </c>
      <c r="K1491" s="21" t="s">
        <v>25</v>
      </c>
      <c r="L1491" s="21" t="s">
        <v>24</v>
      </c>
      <c r="M1491" s="0" t="n">
        <v>183</v>
      </c>
      <c r="N1491" s="0" t="n">
        <v>6</v>
      </c>
      <c r="O1491" s="21" t="s">
        <v>3869</v>
      </c>
      <c r="P1491" s="21" t="s">
        <v>4746</v>
      </c>
      <c r="Q1491" s="0" t="n">
        <v>1</v>
      </c>
      <c r="R1491" s="21" t="s">
        <v>69</v>
      </c>
      <c r="S1491" s="0" t="n">
        <v>6</v>
      </c>
      <c r="T1491" s="21" t="s">
        <v>3869</v>
      </c>
      <c r="U1491" s="22" t="b">
        <f aca="false">TRUE()</f>
        <v>1</v>
      </c>
      <c r="V1491" s="0" t="n">
        <v>0.65</v>
      </c>
      <c r="W1491" s="0" t="n">
        <v>0.72</v>
      </c>
      <c r="X1491" s="0" t="n">
        <v>11.8</v>
      </c>
      <c r="Y1491" s="0" t="n">
        <v>246.08</v>
      </c>
      <c r="Z1491" s="0" t="n">
        <v>9.75</v>
      </c>
      <c r="AA1491" s="0" t="n">
        <v>13.24</v>
      </c>
      <c r="AB1491" s="0" t="n">
        <v>1.71</v>
      </c>
      <c r="AC1491" s="22" t="b">
        <f aca="false">FALSE()</f>
        <v>0</v>
      </c>
      <c r="AD1491" s="0" t="n">
        <v>21.6</v>
      </c>
      <c r="AE1491" s="0" t="n">
        <v>8.13</v>
      </c>
      <c r="AF1491" s="0" t="n">
        <v>15.19</v>
      </c>
      <c r="AG1491" s="22" t="b">
        <f aca="false">TRUE()</f>
        <v>1</v>
      </c>
      <c r="AH1491" s="0" t="n">
        <v>1</v>
      </c>
    </row>
    <row r="1492" customFormat="false" ht="15" hidden="false" customHeight="false" outlineLevel="0" collapsed="false">
      <c r="A1492" s="0" t="s">
        <v>2296</v>
      </c>
      <c r="B1492" s="0" t="s">
        <v>3459</v>
      </c>
      <c r="C1492" s="0" t="s">
        <v>3447</v>
      </c>
      <c r="D1492" s="0" t="s">
        <v>3457</v>
      </c>
      <c r="E1492" s="20" t="s">
        <v>25</v>
      </c>
      <c r="F1492" s="23" t="s">
        <v>30</v>
      </c>
      <c r="G1492" s="21" t="s">
        <v>183</v>
      </c>
      <c r="H1492" s="21" t="s">
        <v>24</v>
      </c>
      <c r="I1492" s="21" t="s">
        <v>25</v>
      </c>
      <c r="J1492" s="21" t="s">
        <v>24</v>
      </c>
      <c r="K1492" s="21" t="s">
        <v>25</v>
      </c>
      <c r="L1492" s="21" t="s">
        <v>24</v>
      </c>
      <c r="M1492" s="0" t="n">
        <v>183</v>
      </c>
      <c r="N1492" s="0" t="n">
        <v>4</v>
      </c>
      <c r="O1492" s="21" t="s">
        <v>3773</v>
      </c>
      <c r="P1492" s="21" t="s">
        <v>4364</v>
      </c>
      <c r="Q1492" s="0" t="n">
        <v>1</v>
      </c>
      <c r="R1492" s="21" t="s">
        <v>69</v>
      </c>
      <c r="S1492" s="0" t="n">
        <v>4</v>
      </c>
      <c r="T1492" s="21" t="s">
        <v>3773</v>
      </c>
      <c r="U1492" s="22" t="b">
        <f aca="false">TRUE()</f>
        <v>1</v>
      </c>
      <c r="V1492" s="0" t="n">
        <v>0.68</v>
      </c>
      <c r="W1492" s="0" t="n">
        <v>0.76</v>
      </c>
      <c r="X1492" s="0" t="n">
        <v>8.31</v>
      </c>
      <c r="Y1492" s="0" t="n">
        <v>313.08</v>
      </c>
      <c r="Z1492" s="0" t="n">
        <v>10.33</v>
      </c>
      <c r="AA1492" s="0" t="n">
        <v>8.26</v>
      </c>
      <c r="AB1492" s="0" t="n">
        <v>5.68</v>
      </c>
      <c r="AC1492" s="22" t="b">
        <f aca="false">FALSE()</f>
        <v>0</v>
      </c>
      <c r="AD1492" s="0" t="n">
        <v>23.68</v>
      </c>
      <c r="AE1492" s="0" t="n">
        <v>12.01</v>
      </c>
      <c r="AF1492" s="0" t="n">
        <v>18.91</v>
      </c>
      <c r="AG1492" s="22" t="b">
        <f aca="false">TRUE()</f>
        <v>1</v>
      </c>
      <c r="AH1492" s="0" t="n">
        <v>1</v>
      </c>
    </row>
    <row r="1493" customFormat="false" ht="15" hidden="false" customHeight="false" outlineLevel="0" collapsed="false">
      <c r="A1493" s="0" t="s">
        <v>2296</v>
      </c>
      <c r="B1493" s="0" t="s">
        <v>3459</v>
      </c>
      <c r="C1493" s="0" t="s">
        <v>3447</v>
      </c>
      <c r="D1493" s="0" t="s">
        <v>3448</v>
      </c>
      <c r="E1493" s="20" t="s">
        <v>25</v>
      </c>
      <c r="F1493" s="23" t="s">
        <v>30</v>
      </c>
      <c r="G1493" s="21" t="s">
        <v>283</v>
      </c>
      <c r="H1493" s="21" t="s">
        <v>24</v>
      </c>
      <c r="I1493" s="21" t="s">
        <v>25</v>
      </c>
      <c r="J1493" s="21" t="s">
        <v>24</v>
      </c>
      <c r="K1493" s="21" t="s">
        <v>24</v>
      </c>
      <c r="L1493" s="21" t="s">
        <v>24</v>
      </c>
      <c r="M1493" s="0" t="n">
        <v>183</v>
      </c>
      <c r="N1493" s="0" t="n">
        <v>6</v>
      </c>
      <c r="O1493" s="21" t="s">
        <v>3869</v>
      </c>
      <c r="P1493" s="21" t="s">
        <v>4746</v>
      </c>
      <c r="Q1493" s="0" t="n">
        <v>1</v>
      </c>
      <c r="R1493" s="21" t="s">
        <v>69</v>
      </c>
      <c r="S1493" s="0" t="n">
        <v>6</v>
      </c>
      <c r="T1493" s="21" t="s">
        <v>3869</v>
      </c>
      <c r="U1493" s="22" t="b">
        <f aca="false">TRUE()</f>
        <v>1</v>
      </c>
      <c r="V1493" s="0" t="n">
        <v>0.64</v>
      </c>
      <c r="W1493" s="0" t="n">
        <v>0.32</v>
      </c>
      <c r="X1493" s="0" t="n">
        <v>12.22</v>
      </c>
      <c r="Y1493" s="0" t="n">
        <v>307.73</v>
      </c>
      <c r="Z1493" s="0" t="n">
        <v>10.17</v>
      </c>
      <c r="AA1493" s="0" t="n">
        <v>11.34</v>
      </c>
      <c r="AB1493" s="0" t="n">
        <v>1.71</v>
      </c>
      <c r="AC1493" s="22" t="b">
        <f aca="false">FALSE()</f>
        <v>0</v>
      </c>
      <c r="AD1493" s="0" t="n">
        <v>18.98</v>
      </c>
      <c r="AE1493" s="0" t="n">
        <v>7.26</v>
      </c>
      <c r="AF1493" s="0" t="n">
        <v>13.38</v>
      </c>
      <c r="AG1493" s="22" t="b">
        <f aca="false">TRUE()</f>
        <v>1</v>
      </c>
      <c r="AH1493" s="0" t="n">
        <v>1</v>
      </c>
    </row>
    <row r="1494" customFormat="false" ht="15" hidden="false" customHeight="false" outlineLevel="0" collapsed="false">
      <c r="A1494" s="0" t="s">
        <v>2302</v>
      </c>
      <c r="B1494" s="0" t="s">
        <v>134</v>
      </c>
      <c r="C1494" s="0" t="s">
        <v>3450</v>
      </c>
      <c r="D1494" s="0" t="s">
        <v>3457</v>
      </c>
      <c r="E1494" s="20" t="s">
        <v>25</v>
      </c>
      <c r="F1494" s="23" t="s">
        <v>30</v>
      </c>
      <c r="G1494" s="21" t="s">
        <v>283</v>
      </c>
      <c r="H1494" s="21" t="s">
        <v>24</v>
      </c>
      <c r="I1494" s="21" t="s">
        <v>25</v>
      </c>
      <c r="J1494" s="21" t="s">
        <v>24</v>
      </c>
      <c r="K1494" s="21" t="s">
        <v>24</v>
      </c>
      <c r="L1494" s="21" t="s">
        <v>24</v>
      </c>
      <c r="M1494" s="0" t="n">
        <v>182</v>
      </c>
      <c r="N1494" s="0" t="n">
        <v>1</v>
      </c>
      <c r="O1494" s="21" t="s">
        <v>69</v>
      </c>
      <c r="P1494" s="21" t="s">
        <v>4275</v>
      </c>
      <c r="Q1494" s="0" t="n">
        <v>1</v>
      </c>
      <c r="R1494" s="21" t="s">
        <v>69</v>
      </c>
      <c r="S1494" s="0" t="n">
        <v>1</v>
      </c>
      <c r="T1494" s="21" t="s">
        <v>69</v>
      </c>
      <c r="U1494" s="22" t="b">
        <f aca="false">TRUE()</f>
        <v>1</v>
      </c>
      <c r="V1494" s="0" t="n">
        <v>0.73</v>
      </c>
      <c r="W1494" s="0" t="n">
        <v>0.48</v>
      </c>
      <c r="X1494" s="0" t="n">
        <v>7.66</v>
      </c>
      <c r="Y1494" s="0" t="n">
        <v>326.79</v>
      </c>
      <c r="Z1494" s="0" t="n">
        <v>11.5</v>
      </c>
      <c r="AA1494" s="0" t="n">
        <v>8.25</v>
      </c>
      <c r="AB1494" s="0" t="n">
        <v>3.32</v>
      </c>
      <c r="AC1494" s="22" t="b">
        <f aca="false">FALSE()</f>
        <v>0</v>
      </c>
      <c r="AD1494" s="0" t="n">
        <v>7.48</v>
      </c>
      <c r="AE1494" s="0" t="n">
        <v>0.6</v>
      </c>
      <c r="AF1494" s="0" t="n">
        <v>8.26</v>
      </c>
      <c r="AG1494" s="22" t="b">
        <f aca="false">FALSE()</f>
        <v>0</v>
      </c>
      <c r="AH1494" s="0" t="n">
        <v>1</v>
      </c>
    </row>
    <row r="1495" customFormat="false" ht="15" hidden="false" customHeight="false" outlineLevel="0" collapsed="false">
      <c r="A1495" s="0" t="s">
        <v>2302</v>
      </c>
      <c r="B1495" s="0" t="s">
        <v>134</v>
      </c>
      <c r="C1495" s="0" t="s">
        <v>3450</v>
      </c>
      <c r="D1495" s="0" t="s">
        <v>3448</v>
      </c>
      <c r="E1495" s="20" t="s">
        <v>25</v>
      </c>
      <c r="F1495" s="23" t="s">
        <v>30</v>
      </c>
      <c r="G1495" s="21" t="s">
        <v>283</v>
      </c>
      <c r="H1495" s="21" t="s">
        <v>24</v>
      </c>
      <c r="I1495" s="21" t="s">
        <v>25</v>
      </c>
      <c r="J1495" s="21" t="s">
        <v>24</v>
      </c>
      <c r="K1495" s="21" t="s">
        <v>24</v>
      </c>
      <c r="L1495" s="21" t="s">
        <v>24</v>
      </c>
      <c r="M1495" s="0" t="n">
        <v>187</v>
      </c>
      <c r="N1495" s="0" t="n">
        <v>1</v>
      </c>
      <c r="O1495" s="21" t="s">
        <v>69</v>
      </c>
      <c r="P1495" s="21" t="s">
        <v>4275</v>
      </c>
      <c r="Q1495" s="0" t="n">
        <v>1</v>
      </c>
      <c r="R1495" s="21" t="s">
        <v>69</v>
      </c>
      <c r="S1495" s="0" t="n">
        <v>1</v>
      </c>
      <c r="T1495" s="21" t="s">
        <v>69</v>
      </c>
      <c r="U1495" s="22" t="b">
        <f aca="false">TRUE()</f>
        <v>1</v>
      </c>
      <c r="V1495" s="0" t="n">
        <v>0.78</v>
      </c>
      <c r="W1495" s="0" t="n">
        <v>0.64</v>
      </c>
      <c r="X1495" s="0" t="n">
        <v>7.64</v>
      </c>
      <c r="Y1495" s="0" t="n">
        <v>327.55</v>
      </c>
      <c r="Z1495" s="0" t="n">
        <v>10.75</v>
      </c>
      <c r="AA1495" s="0" t="n">
        <v>6.05</v>
      </c>
      <c r="AB1495" s="0" t="n">
        <v>1.71</v>
      </c>
      <c r="AC1495" s="22" t="b">
        <f aca="false">FALSE()</f>
        <v>0</v>
      </c>
      <c r="AD1495" s="0" t="n">
        <v>6.45</v>
      </c>
      <c r="AE1495" s="0" t="n">
        <v>0.91</v>
      </c>
      <c r="AF1495" s="0" t="n">
        <v>6.9</v>
      </c>
      <c r="AG1495" s="22" t="b">
        <f aca="false">FALSE()</f>
        <v>0</v>
      </c>
      <c r="AH1495" s="0" t="n">
        <v>1</v>
      </c>
    </row>
    <row r="1496" customFormat="false" ht="15" hidden="false" customHeight="false" outlineLevel="0" collapsed="false">
      <c r="A1496" s="0" t="s">
        <v>2302</v>
      </c>
      <c r="B1496" s="0" t="s">
        <v>134</v>
      </c>
      <c r="C1496" s="0" t="s">
        <v>3447</v>
      </c>
      <c r="D1496" s="0" t="s">
        <v>3457</v>
      </c>
      <c r="E1496" s="18" t="s">
        <v>24</v>
      </c>
      <c r="F1496" s="23" t="s">
        <v>30</v>
      </c>
      <c r="G1496" s="21" t="s">
        <v>30</v>
      </c>
      <c r="H1496" s="21" t="s">
        <v>24</v>
      </c>
      <c r="I1496" s="21" t="s">
        <v>24</v>
      </c>
      <c r="J1496" s="21" t="s">
        <v>24</v>
      </c>
      <c r="K1496" s="21" t="s">
        <v>24</v>
      </c>
      <c r="L1496" s="21" t="s">
        <v>24</v>
      </c>
      <c r="M1496" s="0" t="n">
        <v>183</v>
      </c>
      <c r="N1496" s="0" t="n">
        <v>2</v>
      </c>
      <c r="O1496" s="21" t="s">
        <v>3505</v>
      </c>
      <c r="P1496" s="21" t="s">
        <v>4426</v>
      </c>
      <c r="Q1496" s="0" t="n">
        <v>0</v>
      </c>
      <c r="S1496" s="0" t="n">
        <v>2</v>
      </c>
      <c r="T1496" s="21" t="s">
        <v>3505</v>
      </c>
      <c r="U1496" s="22" t="b">
        <f aca="false">TRUE()</f>
        <v>1</v>
      </c>
      <c r="V1496" s="0" t="n">
        <v>0.81</v>
      </c>
      <c r="W1496" s="0" t="n">
        <v>0.68</v>
      </c>
      <c r="X1496" s="0" t="n">
        <v>8.44</v>
      </c>
      <c r="Y1496" s="0" t="n">
        <v>315.99</v>
      </c>
      <c r="Z1496" s="0" t="n">
        <v>11.83</v>
      </c>
      <c r="AA1496" s="0" t="n">
        <v>4.46</v>
      </c>
      <c r="AB1496" s="0" t="n">
        <v>3.32</v>
      </c>
      <c r="AC1496" s="22" t="b">
        <f aca="false">FALSE()</f>
        <v>0</v>
      </c>
      <c r="AD1496" s="0" t="n">
        <v>6.63</v>
      </c>
      <c r="AE1496" s="0" t="n">
        <v>0.48</v>
      </c>
      <c r="AF1496" s="0" t="n">
        <v>7.62</v>
      </c>
      <c r="AG1496" s="22" t="b">
        <f aca="false">FALSE()</f>
        <v>0</v>
      </c>
      <c r="AH1496" s="0" t="n">
        <v>1</v>
      </c>
    </row>
    <row r="1497" customFormat="false" ht="15" hidden="false" customHeight="false" outlineLevel="0" collapsed="false">
      <c r="A1497" s="0" t="s">
        <v>2302</v>
      </c>
      <c r="B1497" s="0" t="s">
        <v>134</v>
      </c>
      <c r="C1497" s="0" t="s">
        <v>3447</v>
      </c>
      <c r="D1497" s="0" t="s">
        <v>3448</v>
      </c>
      <c r="E1497" s="18" t="s">
        <v>24</v>
      </c>
      <c r="F1497" s="18" t="s">
        <v>28</v>
      </c>
      <c r="H1497" s="21" t="s">
        <v>24</v>
      </c>
      <c r="I1497" s="21" t="s">
        <v>24</v>
      </c>
      <c r="J1497" s="21" t="s">
        <v>24</v>
      </c>
      <c r="K1497" s="21" t="s">
        <v>24</v>
      </c>
      <c r="L1497" s="21" t="s">
        <v>24</v>
      </c>
      <c r="M1497" s="0" t="n">
        <v>185</v>
      </c>
      <c r="N1497" s="0" t="n">
        <v>0</v>
      </c>
      <c r="Q1497" s="0" t="n">
        <v>0</v>
      </c>
      <c r="S1497" s="0" t="n">
        <v>0</v>
      </c>
      <c r="U1497" s="22" t="b">
        <f aca="false">FALSE()</f>
        <v>0</v>
      </c>
      <c r="V1497" s="0" t="n">
        <v>0.78</v>
      </c>
      <c r="W1497" s="0" t="n">
        <v>0.6</v>
      </c>
      <c r="X1497" s="0" t="n">
        <v>8.29</v>
      </c>
      <c r="Y1497" s="0" t="n">
        <v>324.66</v>
      </c>
      <c r="Z1497" s="0" t="n">
        <v>10.67</v>
      </c>
      <c r="AA1497" s="0" t="n">
        <v>4.93</v>
      </c>
      <c r="AB1497" s="0" t="n">
        <v>1.71</v>
      </c>
      <c r="AC1497" s="22" t="b">
        <f aca="false">FALSE()</f>
        <v>0</v>
      </c>
      <c r="AD1497" s="0" t="n">
        <v>4.29</v>
      </c>
      <c r="AE1497" s="0" t="n">
        <v>0.14</v>
      </c>
      <c r="AF1497" s="0" t="n">
        <v>5.27</v>
      </c>
      <c r="AG1497" s="22" t="b">
        <f aca="false">FALSE()</f>
        <v>0</v>
      </c>
      <c r="AH1497" s="0" t="n">
        <v>1</v>
      </c>
    </row>
    <row r="1498" customFormat="false" ht="15" hidden="false" customHeight="false" outlineLevel="0" collapsed="false">
      <c r="A1498" s="0" t="s">
        <v>2302</v>
      </c>
      <c r="B1498" s="0" t="s">
        <v>3459</v>
      </c>
      <c r="C1498" s="0" t="s">
        <v>3450</v>
      </c>
      <c r="D1498" s="0" t="s">
        <v>3457</v>
      </c>
      <c r="E1498" s="20" t="s">
        <v>25</v>
      </c>
      <c r="F1498" s="23" t="s">
        <v>30</v>
      </c>
      <c r="G1498" s="21" t="s">
        <v>1099</v>
      </c>
      <c r="H1498" s="21" t="s">
        <v>24</v>
      </c>
      <c r="I1498" s="21" t="s">
        <v>25</v>
      </c>
      <c r="J1498" s="21" t="s">
        <v>24</v>
      </c>
      <c r="K1498" s="21" t="s">
        <v>25</v>
      </c>
      <c r="L1498" s="21" t="s">
        <v>24</v>
      </c>
      <c r="M1498" s="0" t="n">
        <v>184</v>
      </c>
      <c r="N1498" s="0" t="n">
        <v>2</v>
      </c>
      <c r="O1498" s="21" t="s">
        <v>3610</v>
      </c>
      <c r="P1498" s="21" t="s">
        <v>4747</v>
      </c>
      <c r="Q1498" s="0" t="n">
        <v>1</v>
      </c>
      <c r="R1498" s="21" t="s">
        <v>69</v>
      </c>
      <c r="S1498" s="0" t="n">
        <v>2</v>
      </c>
      <c r="T1498" s="21" t="s">
        <v>3610</v>
      </c>
      <c r="U1498" s="22" t="b">
        <f aca="false">TRUE()</f>
        <v>1</v>
      </c>
      <c r="V1498" s="0" t="n">
        <v>0.78</v>
      </c>
      <c r="W1498" s="0" t="n">
        <v>0.84</v>
      </c>
      <c r="X1498" s="0" t="n">
        <v>7.01</v>
      </c>
      <c r="Y1498" s="0" t="n">
        <v>261.55</v>
      </c>
      <c r="Z1498" s="0" t="n">
        <v>10.75</v>
      </c>
      <c r="AA1498" s="0" t="n">
        <v>5.08</v>
      </c>
      <c r="AB1498" s="0" t="n">
        <v>1.16</v>
      </c>
      <c r="AC1498" s="22" t="b">
        <f aca="false">FALSE()</f>
        <v>0</v>
      </c>
      <c r="AD1498" s="0" t="n">
        <v>17.29</v>
      </c>
      <c r="AE1498" s="0" t="n">
        <v>6.33</v>
      </c>
      <c r="AF1498" s="0" t="n">
        <v>18.8</v>
      </c>
      <c r="AG1498" s="22" t="b">
        <f aca="false">TRUE()</f>
        <v>1</v>
      </c>
      <c r="AH1498" s="0" t="n">
        <v>1</v>
      </c>
    </row>
    <row r="1499" customFormat="false" ht="15" hidden="false" customHeight="false" outlineLevel="0" collapsed="false">
      <c r="A1499" s="0" t="s">
        <v>2302</v>
      </c>
      <c r="B1499" s="0" t="s">
        <v>3459</v>
      </c>
      <c r="C1499" s="0" t="s">
        <v>3450</v>
      </c>
      <c r="D1499" s="0" t="s">
        <v>3448</v>
      </c>
      <c r="E1499" s="20" t="s">
        <v>25</v>
      </c>
      <c r="F1499" s="23" t="s">
        <v>30</v>
      </c>
      <c r="G1499" s="21" t="s">
        <v>1230</v>
      </c>
      <c r="H1499" s="21" t="s">
        <v>24</v>
      </c>
      <c r="I1499" s="21" t="s">
        <v>25</v>
      </c>
      <c r="J1499" s="21" t="s">
        <v>24</v>
      </c>
      <c r="K1499" s="21" t="s">
        <v>25</v>
      </c>
      <c r="L1499" s="21" t="s">
        <v>24</v>
      </c>
      <c r="M1499" s="0" t="n">
        <v>192</v>
      </c>
      <c r="N1499" s="0" t="n">
        <v>3</v>
      </c>
      <c r="O1499" s="21" t="s">
        <v>3691</v>
      </c>
      <c r="P1499" s="21" t="s">
        <v>4748</v>
      </c>
      <c r="Q1499" s="0" t="n">
        <v>1</v>
      </c>
      <c r="R1499" s="21" t="s">
        <v>69</v>
      </c>
      <c r="S1499" s="0" t="n">
        <v>2</v>
      </c>
      <c r="T1499" s="21" t="s">
        <v>3575</v>
      </c>
      <c r="U1499" s="22" t="b">
        <f aca="false">TRUE()</f>
        <v>1</v>
      </c>
      <c r="V1499" s="0" t="n">
        <v>0.73</v>
      </c>
      <c r="W1499" s="0" t="n">
        <v>0.6</v>
      </c>
      <c r="X1499" s="0" t="n">
        <v>6.89</v>
      </c>
      <c r="Y1499" s="0" t="n">
        <v>336.76</v>
      </c>
      <c r="Z1499" s="0" t="n">
        <v>10.5</v>
      </c>
      <c r="AA1499" s="0" t="n">
        <v>0.6</v>
      </c>
      <c r="AB1499" s="0" t="n">
        <v>2.35</v>
      </c>
      <c r="AC1499" s="22" t="b">
        <f aca="false">FALSE()</f>
        <v>0</v>
      </c>
      <c r="AD1499" s="0" t="n">
        <v>17.23</v>
      </c>
      <c r="AE1499" s="0" t="n">
        <v>7.53</v>
      </c>
      <c r="AF1499" s="0" t="n">
        <v>14.94</v>
      </c>
      <c r="AG1499" s="22" t="b">
        <f aca="false">TRUE()</f>
        <v>1</v>
      </c>
      <c r="AH1499" s="0" t="n">
        <v>1</v>
      </c>
    </row>
    <row r="1500" customFormat="false" ht="15" hidden="false" customHeight="false" outlineLevel="0" collapsed="false">
      <c r="A1500" s="0" t="s">
        <v>2302</v>
      </c>
      <c r="B1500" s="0" t="s">
        <v>3459</v>
      </c>
      <c r="C1500" s="0" t="s">
        <v>3447</v>
      </c>
      <c r="D1500" s="0" t="s">
        <v>3457</v>
      </c>
      <c r="E1500" s="20" t="s">
        <v>25</v>
      </c>
      <c r="F1500" s="23" t="s">
        <v>30</v>
      </c>
      <c r="G1500" s="21" t="s">
        <v>2133</v>
      </c>
      <c r="H1500" s="21" t="s">
        <v>24</v>
      </c>
      <c r="I1500" s="21" t="s">
        <v>24</v>
      </c>
      <c r="J1500" s="21" t="s">
        <v>24</v>
      </c>
      <c r="K1500" s="21" t="s">
        <v>25</v>
      </c>
      <c r="L1500" s="21" t="s">
        <v>24</v>
      </c>
      <c r="M1500" s="0" t="n">
        <v>184</v>
      </c>
      <c r="N1500" s="0" t="n">
        <v>2</v>
      </c>
      <c r="O1500" s="21" t="s">
        <v>3504</v>
      </c>
      <c r="P1500" s="21" t="s">
        <v>4749</v>
      </c>
      <c r="Q1500" s="0" t="n">
        <v>0</v>
      </c>
      <c r="S1500" s="0" t="n">
        <v>1</v>
      </c>
      <c r="T1500" s="21" t="s">
        <v>3474</v>
      </c>
      <c r="U1500" s="22" t="b">
        <f aca="false">TRUE()</f>
        <v>1</v>
      </c>
      <c r="V1500" s="0" t="n">
        <v>0.81</v>
      </c>
      <c r="W1500" s="0" t="n">
        <v>0.88</v>
      </c>
      <c r="X1500" s="0" t="n">
        <v>8.03</v>
      </c>
      <c r="Y1500" s="0" t="n">
        <v>269.55</v>
      </c>
      <c r="Z1500" s="0" t="n">
        <v>11.08</v>
      </c>
      <c r="AA1500" s="0" t="n">
        <v>3.49</v>
      </c>
      <c r="AB1500" s="0" t="n">
        <v>1.16</v>
      </c>
      <c r="AC1500" s="22" t="b">
        <f aca="false">FALSE()</f>
        <v>0</v>
      </c>
      <c r="AD1500" s="0" t="n">
        <v>16.45</v>
      </c>
      <c r="AE1500" s="0" t="n">
        <v>4.98</v>
      </c>
      <c r="AF1500" s="0" t="n">
        <v>14.94</v>
      </c>
      <c r="AG1500" s="22" t="b">
        <f aca="false">TRUE()</f>
        <v>1</v>
      </c>
      <c r="AH1500" s="0" t="n">
        <v>1</v>
      </c>
    </row>
    <row r="1501" customFormat="false" ht="15" hidden="false" customHeight="false" outlineLevel="0" collapsed="false">
      <c r="A1501" s="0" t="s">
        <v>2302</v>
      </c>
      <c r="B1501" s="0" t="s">
        <v>3459</v>
      </c>
      <c r="C1501" s="0" t="s">
        <v>3447</v>
      </c>
      <c r="D1501" s="0" t="s">
        <v>3448</v>
      </c>
      <c r="E1501" s="18" t="s">
        <v>24</v>
      </c>
      <c r="F1501" s="23" t="s">
        <v>30</v>
      </c>
      <c r="G1501" s="21" t="s">
        <v>30</v>
      </c>
      <c r="H1501" s="21" t="s">
        <v>24</v>
      </c>
      <c r="I1501" s="21" t="s">
        <v>24</v>
      </c>
      <c r="J1501" s="21" t="s">
        <v>24</v>
      </c>
      <c r="K1501" s="21" t="s">
        <v>24</v>
      </c>
      <c r="L1501" s="21" t="s">
        <v>24</v>
      </c>
      <c r="M1501" s="0" t="n">
        <v>186</v>
      </c>
      <c r="N1501" s="0" t="n">
        <v>2</v>
      </c>
      <c r="O1501" s="21" t="s">
        <v>3504</v>
      </c>
      <c r="P1501" s="21" t="s">
        <v>4749</v>
      </c>
      <c r="Q1501" s="0" t="n">
        <v>0</v>
      </c>
      <c r="S1501" s="0" t="n">
        <v>1</v>
      </c>
      <c r="T1501" s="21" t="s">
        <v>3474</v>
      </c>
      <c r="U1501" s="22" t="b">
        <f aca="false">TRUE()</f>
        <v>1</v>
      </c>
      <c r="V1501" s="0" t="n">
        <v>0.79</v>
      </c>
      <c r="W1501" s="0" t="n">
        <v>0.48</v>
      </c>
      <c r="X1501" s="0" t="n">
        <v>7.04</v>
      </c>
      <c r="Y1501" s="0" t="n">
        <v>339.36</v>
      </c>
      <c r="Z1501" s="0" t="n">
        <v>10</v>
      </c>
      <c r="AA1501" s="0" t="n">
        <v>-0.04</v>
      </c>
      <c r="AB1501" s="0" t="n">
        <v>2.35</v>
      </c>
      <c r="AC1501" s="22" t="b">
        <f aca="false">FALSE()</f>
        <v>0</v>
      </c>
      <c r="AD1501" s="0" t="n">
        <v>15.27</v>
      </c>
      <c r="AE1501" s="0" t="n">
        <v>4.92</v>
      </c>
      <c r="AF1501" s="0" t="n">
        <v>9.97</v>
      </c>
      <c r="AG1501" s="22" t="b">
        <f aca="false">TRUE()</f>
        <v>1</v>
      </c>
      <c r="AH1501" s="0" t="n">
        <v>1</v>
      </c>
    </row>
    <row r="1502" customFormat="false" ht="15" hidden="false" customHeight="false" outlineLevel="0" collapsed="false">
      <c r="A1502" s="0" t="s">
        <v>2308</v>
      </c>
      <c r="B1502" s="0" t="s">
        <v>134</v>
      </c>
      <c r="C1502" s="0" t="s">
        <v>3450</v>
      </c>
      <c r="D1502" s="0" t="s">
        <v>3457</v>
      </c>
      <c r="E1502" s="20" t="s">
        <v>25</v>
      </c>
      <c r="F1502" s="20" t="s">
        <v>29</v>
      </c>
      <c r="G1502" s="21" t="s">
        <v>62</v>
      </c>
      <c r="H1502" s="21" t="s">
        <v>24</v>
      </c>
      <c r="I1502" s="21" t="s">
        <v>24</v>
      </c>
      <c r="J1502" s="21" t="s">
        <v>24</v>
      </c>
      <c r="K1502" s="21" t="s">
        <v>25</v>
      </c>
      <c r="L1502" s="21" t="s">
        <v>24</v>
      </c>
      <c r="M1502" s="0" t="n">
        <v>183</v>
      </c>
      <c r="N1502" s="0" t="n">
        <v>0</v>
      </c>
      <c r="Q1502" s="0" t="n">
        <v>0</v>
      </c>
      <c r="S1502" s="0" t="n">
        <v>0</v>
      </c>
      <c r="U1502" s="22" t="b">
        <f aca="false">FALSE()</f>
        <v>0</v>
      </c>
      <c r="V1502" s="0" t="n">
        <v>0.73</v>
      </c>
      <c r="W1502" s="0" t="n">
        <v>0.72</v>
      </c>
      <c r="X1502" s="0" t="n">
        <v>7.65</v>
      </c>
      <c r="Y1502" s="0" t="n">
        <v>316.08</v>
      </c>
      <c r="Z1502" s="0" t="n">
        <v>11.75</v>
      </c>
      <c r="AA1502" s="0" t="n">
        <v>1.21</v>
      </c>
      <c r="AB1502" s="0" t="n">
        <v>1.75</v>
      </c>
      <c r="AC1502" s="22" t="b">
        <f aca="false">FALSE()</f>
        <v>0</v>
      </c>
      <c r="AD1502" s="0" t="n">
        <v>19.79</v>
      </c>
      <c r="AE1502" s="0" t="n">
        <v>0.33</v>
      </c>
      <c r="AF1502" s="0" t="n">
        <v>21.54</v>
      </c>
      <c r="AG1502" s="22" t="b">
        <f aca="false">TRUE()</f>
        <v>1</v>
      </c>
      <c r="AH1502" s="0" t="n">
        <v>1</v>
      </c>
    </row>
    <row r="1503" customFormat="false" ht="15" hidden="false" customHeight="false" outlineLevel="0" collapsed="false">
      <c r="A1503" s="0" t="s">
        <v>2308</v>
      </c>
      <c r="B1503" s="0" t="s">
        <v>134</v>
      </c>
      <c r="C1503" s="0" t="s">
        <v>3450</v>
      </c>
      <c r="D1503" s="0" t="s">
        <v>3448</v>
      </c>
      <c r="E1503" s="20" t="s">
        <v>25</v>
      </c>
      <c r="F1503" s="20" t="s">
        <v>29</v>
      </c>
      <c r="G1503" s="21" t="s">
        <v>3466</v>
      </c>
      <c r="H1503" s="21" t="s">
        <v>24</v>
      </c>
      <c r="I1503" s="21" t="s">
        <v>24</v>
      </c>
      <c r="J1503" s="21" t="s">
        <v>24</v>
      </c>
      <c r="K1503" s="21" t="s">
        <v>25</v>
      </c>
      <c r="L1503" s="21" t="s">
        <v>24</v>
      </c>
      <c r="M1503" s="0" t="n">
        <v>210</v>
      </c>
      <c r="N1503" s="0" t="n">
        <v>0</v>
      </c>
      <c r="Q1503" s="0" t="n">
        <v>0</v>
      </c>
      <c r="S1503" s="0" t="n">
        <v>0</v>
      </c>
      <c r="U1503" s="22" t="b">
        <f aca="false">FALSE()</f>
        <v>0</v>
      </c>
      <c r="V1503" s="0" t="n">
        <v>0.75</v>
      </c>
      <c r="W1503" s="0" t="n">
        <v>0</v>
      </c>
      <c r="X1503" s="0" t="n">
        <v>9</v>
      </c>
      <c r="Y1503" s="0" t="n">
        <v>1.51</v>
      </c>
      <c r="Z1503" s="0" t="n">
        <v>12</v>
      </c>
      <c r="AA1503" s="0" t="n">
        <v>1.32</v>
      </c>
      <c r="AB1503" s="0" t="n">
        <v>1.45</v>
      </c>
      <c r="AC1503" s="22" t="b">
        <f aca="false">TRUE()</f>
        <v>1</v>
      </c>
      <c r="AD1503" s="0" t="n">
        <v>14.41</v>
      </c>
      <c r="AE1503" s="0" t="n">
        <v>0.81</v>
      </c>
      <c r="AF1503" s="0" t="n">
        <v>14.54</v>
      </c>
      <c r="AG1503" s="22" t="b">
        <f aca="false">TRUE()</f>
        <v>1</v>
      </c>
      <c r="AH1503" s="0" t="n">
        <v>0</v>
      </c>
    </row>
    <row r="1504" customFormat="false" ht="15" hidden="false" customHeight="false" outlineLevel="0" collapsed="false">
      <c r="A1504" s="0" t="s">
        <v>2308</v>
      </c>
      <c r="B1504" s="0" t="s">
        <v>134</v>
      </c>
      <c r="C1504" s="0" t="s">
        <v>3447</v>
      </c>
      <c r="D1504" s="0" t="s">
        <v>3457</v>
      </c>
      <c r="E1504" s="19" t="s">
        <v>26</v>
      </c>
      <c r="F1504" s="19" t="s">
        <v>32</v>
      </c>
      <c r="G1504" s="21" t="s">
        <v>529</v>
      </c>
      <c r="H1504" s="21" t="s">
        <v>24</v>
      </c>
      <c r="I1504" s="21" t="s">
        <v>26</v>
      </c>
      <c r="J1504" s="21" t="s">
        <v>24</v>
      </c>
      <c r="K1504" s="21" t="s">
        <v>24</v>
      </c>
      <c r="L1504" s="21" t="s">
        <v>24</v>
      </c>
      <c r="M1504" s="0" t="n">
        <v>183</v>
      </c>
      <c r="N1504" s="0" t="n">
        <v>8</v>
      </c>
      <c r="O1504" s="21" t="s">
        <v>4098</v>
      </c>
      <c r="P1504" s="21" t="s">
        <v>4750</v>
      </c>
      <c r="Q1504" s="0" t="n">
        <v>1</v>
      </c>
      <c r="R1504" s="21" t="s">
        <v>69</v>
      </c>
      <c r="S1504" s="0" t="n">
        <v>8</v>
      </c>
      <c r="T1504" s="21" t="s">
        <v>4098</v>
      </c>
      <c r="U1504" s="22" t="b">
        <f aca="false">FALSE()</f>
        <v>0</v>
      </c>
      <c r="V1504" s="0" t="n">
        <v>0.74</v>
      </c>
      <c r="W1504" s="0" t="n">
        <v>0.6</v>
      </c>
      <c r="X1504" s="0" t="n">
        <v>7.31</v>
      </c>
      <c r="Y1504" s="0" t="n">
        <v>319.38</v>
      </c>
      <c r="Z1504" s="0" t="n">
        <v>11.75</v>
      </c>
      <c r="AA1504" s="0" t="n">
        <v>-1.42</v>
      </c>
      <c r="AB1504" s="0" t="n">
        <v>1.75</v>
      </c>
      <c r="AC1504" s="22" t="b">
        <f aca="false">FALSE()</f>
        <v>0</v>
      </c>
      <c r="AD1504" s="0" t="n">
        <v>19.53</v>
      </c>
      <c r="AE1504" s="0" t="n">
        <v>0.52</v>
      </c>
      <c r="AF1504" s="0" t="n">
        <v>22.3</v>
      </c>
      <c r="AG1504" s="22" t="b">
        <f aca="false">TRUE()</f>
        <v>1</v>
      </c>
      <c r="AH1504" s="0" t="n">
        <v>1</v>
      </c>
    </row>
    <row r="1505" customFormat="false" ht="15" hidden="false" customHeight="false" outlineLevel="0" collapsed="false">
      <c r="A1505" s="0" t="s">
        <v>2308</v>
      </c>
      <c r="B1505" s="0" t="s">
        <v>134</v>
      </c>
      <c r="C1505" s="0" t="s">
        <v>3447</v>
      </c>
      <c r="D1505" s="0" t="s">
        <v>3448</v>
      </c>
      <c r="E1505" s="20" t="s">
        <v>25</v>
      </c>
      <c r="F1505" s="23" t="s">
        <v>30</v>
      </c>
      <c r="G1505" s="21" t="s">
        <v>2133</v>
      </c>
      <c r="H1505" s="21" t="s">
        <v>24</v>
      </c>
      <c r="I1505" s="21" t="s">
        <v>24</v>
      </c>
      <c r="J1505" s="21" t="s">
        <v>24</v>
      </c>
      <c r="K1505" s="21" t="s">
        <v>25</v>
      </c>
      <c r="L1505" s="21" t="s">
        <v>24</v>
      </c>
      <c r="M1505" s="0" t="n">
        <v>183</v>
      </c>
      <c r="N1505" s="0" t="n">
        <v>3</v>
      </c>
      <c r="O1505" s="21" t="s">
        <v>3579</v>
      </c>
      <c r="P1505" s="21" t="s">
        <v>4751</v>
      </c>
      <c r="Q1505" s="0" t="n">
        <v>0</v>
      </c>
      <c r="S1505" s="0" t="n">
        <v>3</v>
      </c>
      <c r="T1505" s="21" t="s">
        <v>3579</v>
      </c>
      <c r="U1505" s="22" t="b">
        <f aca="false">TRUE()</f>
        <v>1</v>
      </c>
      <c r="V1505" s="0" t="n">
        <v>0.75</v>
      </c>
      <c r="W1505" s="0" t="n">
        <v>0.68</v>
      </c>
      <c r="X1505" s="0" t="n">
        <v>8.06</v>
      </c>
      <c r="Y1505" s="0" t="n">
        <v>287.21</v>
      </c>
      <c r="Z1505" s="0" t="n">
        <v>10.67</v>
      </c>
      <c r="AA1505" s="0" t="n">
        <v>-0.71</v>
      </c>
      <c r="AB1505" s="0" t="n">
        <v>1.45</v>
      </c>
      <c r="AC1505" s="22" t="b">
        <f aca="false">FALSE()</f>
        <v>0</v>
      </c>
      <c r="AD1505" s="0" t="n">
        <v>15.06</v>
      </c>
      <c r="AE1505" s="0" t="n">
        <v>1.44</v>
      </c>
      <c r="AF1505" s="0" t="n">
        <v>16.85</v>
      </c>
      <c r="AG1505" s="22" t="b">
        <f aca="false">TRUE()</f>
        <v>1</v>
      </c>
      <c r="AH1505" s="0" t="n">
        <v>1</v>
      </c>
    </row>
    <row r="1506" customFormat="false" ht="15" hidden="false" customHeight="false" outlineLevel="0" collapsed="false">
      <c r="A1506" s="0" t="s">
        <v>2314</v>
      </c>
      <c r="B1506" s="0" t="s">
        <v>134</v>
      </c>
      <c r="C1506" s="0" t="s">
        <v>3450</v>
      </c>
      <c r="D1506" s="0" t="s">
        <v>3457</v>
      </c>
      <c r="E1506" s="18" t="s">
        <v>24</v>
      </c>
      <c r="F1506" s="18" t="s">
        <v>28</v>
      </c>
      <c r="H1506" s="21" t="s">
        <v>24</v>
      </c>
      <c r="I1506" s="21" t="s">
        <v>24</v>
      </c>
      <c r="J1506" s="21" t="s">
        <v>24</v>
      </c>
      <c r="K1506" s="21" t="s">
        <v>24</v>
      </c>
      <c r="L1506" s="21" t="s">
        <v>24</v>
      </c>
      <c r="M1506" s="0" t="n">
        <v>184</v>
      </c>
      <c r="N1506" s="0" t="n">
        <v>0</v>
      </c>
      <c r="Q1506" s="0" t="n">
        <v>0</v>
      </c>
      <c r="S1506" s="0" t="n">
        <v>0</v>
      </c>
      <c r="U1506" s="22" t="b">
        <f aca="false">FALSE()</f>
        <v>0</v>
      </c>
      <c r="V1506" s="0" t="n">
        <v>0.75</v>
      </c>
      <c r="W1506" s="0" t="n">
        <v>0.64</v>
      </c>
      <c r="X1506" s="0" t="n">
        <v>7.46</v>
      </c>
      <c r="Y1506" s="0" t="n">
        <v>294.51</v>
      </c>
      <c r="Z1506" s="0" t="n">
        <v>10.92</v>
      </c>
      <c r="AA1506" s="0" t="n">
        <v>5.06</v>
      </c>
      <c r="AB1506" s="0" t="n">
        <v>3.77</v>
      </c>
      <c r="AC1506" s="22" t="b">
        <f aca="false">FALSE()</f>
        <v>0</v>
      </c>
      <c r="AD1506" s="0" t="n">
        <v>10.96</v>
      </c>
      <c r="AE1506" s="0" t="n">
        <v>0.38</v>
      </c>
      <c r="AF1506" s="0" t="n">
        <v>8.35</v>
      </c>
      <c r="AG1506" s="22" t="b">
        <f aca="false">TRUE()</f>
        <v>1</v>
      </c>
      <c r="AH1506" s="0" t="n">
        <v>1</v>
      </c>
    </row>
    <row r="1507" customFormat="false" ht="15" hidden="false" customHeight="false" outlineLevel="0" collapsed="false">
      <c r="A1507" s="0" t="s">
        <v>2314</v>
      </c>
      <c r="B1507" s="0" t="s">
        <v>134</v>
      </c>
      <c r="C1507" s="0" t="s">
        <v>3450</v>
      </c>
      <c r="D1507" s="0" t="s">
        <v>3448</v>
      </c>
      <c r="E1507" s="18" t="s">
        <v>24</v>
      </c>
      <c r="F1507" s="18" t="s">
        <v>28</v>
      </c>
      <c r="H1507" s="21" t="s">
        <v>24</v>
      </c>
      <c r="I1507" s="21" t="s">
        <v>24</v>
      </c>
      <c r="J1507" s="21" t="s">
        <v>24</v>
      </c>
      <c r="K1507" s="21" t="s">
        <v>24</v>
      </c>
      <c r="L1507" s="21" t="s">
        <v>24</v>
      </c>
      <c r="M1507" s="0" t="n">
        <v>183</v>
      </c>
      <c r="N1507" s="0" t="n">
        <v>0</v>
      </c>
      <c r="Q1507" s="0" t="n">
        <v>0</v>
      </c>
      <c r="S1507" s="0" t="n">
        <v>0</v>
      </c>
      <c r="U1507" s="22" t="b">
        <f aca="false">FALSE()</f>
        <v>0</v>
      </c>
      <c r="V1507" s="0" t="n">
        <v>0.77</v>
      </c>
      <c r="W1507" s="0" t="n">
        <v>0.16</v>
      </c>
      <c r="X1507" s="0" t="n">
        <v>7.42</v>
      </c>
      <c r="Y1507" s="0" t="n">
        <v>561.07</v>
      </c>
      <c r="Z1507" s="0" t="n">
        <v>9.92</v>
      </c>
      <c r="AA1507" s="0" t="n">
        <v>4.91</v>
      </c>
      <c r="AB1507" s="0" t="n">
        <v>2.55</v>
      </c>
      <c r="AC1507" s="22" t="b">
        <f aca="false">FALSE()</f>
        <v>0</v>
      </c>
      <c r="AD1507" s="0" t="n">
        <v>7.5</v>
      </c>
      <c r="AE1507" s="0" t="n">
        <v>0.72</v>
      </c>
      <c r="AF1507" s="0" t="n">
        <v>10.35</v>
      </c>
      <c r="AG1507" s="22" t="b">
        <f aca="false">FALSE()</f>
        <v>0</v>
      </c>
      <c r="AH1507" s="0" t="n">
        <v>1</v>
      </c>
    </row>
    <row r="1508" customFormat="false" ht="15" hidden="false" customHeight="false" outlineLevel="0" collapsed="false">
      <c r="A1508" s="0" t="s">
        <v>2314</v>
      </c>
      <c r="B1508" s="0" t="s">
        <v>134</v>
      </c>
      <c r="C1508" s="0" t="s">
        <v>3447</v>
      </c>
      <c r="D1508" s="0" t="s">
        <v>3457</v>
      </c>
      <c r="E1508" s="19" t="s">
        <v>26</v>
      </c>
      <c r="F1508" s="19" t="s">
        <v>32</v>
      </c>
      <c r="G1508" s="21" t="s">
        <v>529</v>
      </c>
      <c r="H1508" s="21" t="s">
        <v>24</v>
      </c>
      <c r="I1508" s="21" t="s">
        <v>26</v>
      </c>
      <c r="J1508" s="21" t="s">
        <v>24</v>
      </c>
      <c r="K1508" s="21" t="s">
        <v>24</v>
      </c>
      <c r="L1508" s="21" t="s">
        <v>24</v>
      </c>
      <c r="M1508" s="0" t="n">
        <v>183</v>
      </c>
      <c r="N1508" s="0" t="n">
        <v>9</v>
      </c>
      <c r="O1508" s="21" t="s">
        <v>4030</v>
      </c>
      <c r="P1508" s="21" t="s">
        <v>4287</v>
      </c>
      <c r="Q1508" s="0" t="n">
        <v>1</v>
      </c>
      <c r="R1508" s="21" t="s">
        <v>69</v>
      </c>
      <c r="S1508" s="0" t="n">
        <v>9</v>
      </c>
      <c r="T1508" s="21" t="s">
        <v>4030</v>
      </c>
      <c r="U1508" s="22" t="b">
        <f aca="false">FALSE()</f>
        <v>0</v>
      </c>
      <c r="V1508" s="0" t="n">
        <v>0.79</v>
      </c>
      <c r="W1508" s="0" t="n">
        <v>0.96</v>
      </c>
      <c r="X1508" s="0" t="n">
        <v>8.15</v>
      </c>
      <c r="Y1508" s="0" t="n">
        <v>309.07</v>
      </c>
      <c r="Z1508" s="0" t="n">
        <v>8</v>
      </c>
      <c r="AA1508" s="0" t="n">
        <v>0.51</v>
      </c>
      <c r="AB1508" s="0" t="n">
        <v>3.77</v>
      </c>
      <c r="AC1508" s="22" t="b">
        <f aca="false">FALSE()</f>
        <v>0</v>
      </c>
      <c r="AD1508" s="0" t="n">
        <v>11.14</v>
      </c>
      <c r="AE1508" s="0" t="n">
        <v>1.14</v>
      </c>
      <c r="AF1508" s="0" t="n">
        <v>3.85</v>
      </c>
      <c r="AG1508" s="22" t="b">
        <f aca="false">TRUE()</f>
        <v>1</v>
      </c>
      <c r="AH1508" s="0" t="n">
        <v>1</v>
      </c>
    </row>
    <row r="1509" customFormat="false" ht="15" hidden="false" customHeight="false" outlineLevel="0" collapsed="false">
      <c r="A1509" s="0" t="s">
        <v>2314</v>
      </c>
      <c r="B1509" s="0" t="s">
        <v>134</v>
      </c>
      <c r="C1509" s="0" t="s">
        <v>3447</v>
      </c>
      <c r="D1509" s="0" t="s">
        <v>3448</v>
      </c>
      <c r="E1509" s="19" t="s">
        <v>26</v>
      </c>
      <c r="F1509" s="19" t="s">
        <v>32</v>
      </c>
      <c r="G1509" s="21" t="s">
        <v>529</v>
      </c>
      <c r="H1509" s="21" t="s">
        <v>24</v>
      </c>
      <c r="I1509" s="21" t="s">
        <v>26</v>
      </c>
      <c r="J1509" s="21" t="s">
        <v>24</v>
      </c>
      <c r="K1509" s="21" t="s">
        <v>24</v>
      </c>
      <c r="L1509" s="21" t="s">
        <v>24</v>
      </c>
      <c r="M1509" s="0" t="n">
        <v>183</v>
      </c>
      <c r="N1509" s="0" t="n">
        <v>10</v>
      </c>
      <c r="O1509" s="21" t="s">
        <v>4029</v>
      </c>
      <c r="P1509" s="21" t="s">
        <v>4752</v>
      </c>
      <c r="Q1509" s="0" t="n">
        <v>1</v>
      </c>
      <c r="R1509" s="21" t="s">
        <v>69</v>
      </c>
      <c r="S1509" s="0" t="n">
        <v>10</v>
      </c>
      <c r="T1509" s="21" t="s">
        <v>4029</v>
      </c>
      <c r="U1509" s="22" t="b">
        <f aca="false">FALSE()</f>
        <v>0</v>
      </c>
      <c r="V1509" s="0" t="n">
        <v>0.78</v>
      </c>
      <c r="W1509" s="0" t="n">
        <v>0.2</v>
      </c>
      <c r="X1509" s="0" t="n">
        <v>9.67</v>
      </c>
      <c r="Y1509" s="0" t="n">
        <v>504.8</v>
      </c>
      <c r="Z1509" s="0" t="n">
        <v>8.83</v>
      </c>
      <c r="AA1509" s="0" t="n">
        <v>1.55</v>
      </c>
      <c r="AB1509" s="0" t="n">
        <v>2.55</v>
      </c>
      <c r="AC1509" s="22" t="b">
        <f aca="false">FALSE()</f>
        <v>0</v>
      </c>
      <c r="AD1509" s="0" t="n">
        <v>5.41</v>
      </c>
      <c r="AE1509" s="0" t="n">
        <v>0.34</v>
      </c>
      <c r="AF1509" s="0" t="n">
        <v>4.47</v>
      </c>
      <c r="AG1509" s="22" t="b">
        <f aca="false">FALSE()</f>
        <v>0</v>
      </c>
      <c r="AH1509" s="0" t="n">
        <v>1</v>
      </c>
    </row>
    <row r="1510" customFormat="false" ht="15" hidden="false" customHeight="false" outlineLevel="0" collapsed="false">
      <c r="A1510" s="0" t="s">
        <v>2325</v>
      </c>
      <c r="B1510" s="0" t="s">
        <v>134</v>
      </c>
      <c r="C1510" s="0" t="s">
        <v>3450</v>
      </c>
      <c r="D1510" s="0" t="s">
        <v>3457</v>
      </c>
      <c r="E1510" s="20" t="s">
        <v>25</v>
      </c>
      <c r="F1510" s="20" t="s">
        <v>29</v>
      </c>
      <c r="G1510" s="21" t="s">
        <v>3451</v>
      </c>
      <c r="H1510" s="21" t="s">
        <v>24</v>
      </c>
      <c r="I1510" s="21" t="s">
        <v>24</v>
      </c>
      <c r="J1510" s="21" t="s">
        <v>24</v>
      </c>
      <c r="K1510" s="21" t="s">
        <v>25</v>
      </c>
      <c r="L1510" s="21" t="s">
        <v>24</v>
      </c>
      <c r="M1510" s="0" t="n">
        <v>184</v>
      </c>
      <c r="N1510" s="0" t="n">
        <v>0</v>
      </c>
      <c r="Q1510" s="0" t="n">
        <v>0</v>
      </c>
      <c r="S1510" s="0" t="n">
        <v>0</v>
      </c>
      <c r="U1510" s="22" t="b">
        <f aca="false">FALSE()</f>
        <v>0</v>
      </c>
      <c r="V1510" s="0" t="n">
        <v>0.79</v>
      </c>
      <c r="W1510" s="0" t="n">
        <v>0.96</v>
      </c>
      <c r="X1510" s="0" t="n">
        <v>6.69</v>
      </c>
      <c r="Y1510" s="0" t="n">
        <v>316.88</v>
      </c>
      <c r="Z1510" s="0" t="n">
        <v>8</v>
      </c>
      <c r="AA1510" s="0" t="n">
        <v>-1.17</v>
      </c>
      <c r="AB1510" s="0" t="n">
        <v>0.59</v>
      </c>
      <c r="AC1510" s="22" t="b">
        <f aca="false">TRUE()</f>
        <v>1</v>
      </c>
      <c r="AD1510" s="0" t="n">
        <v>2.95</v>
      </c>
      <c r="AE1510" s="0" t="n">
        <v>2.12</v>
      </c>
      <c r="AF1510" s="0" t="n">
        <v>0.9</v>
      </c>
      <c r="AG1510" s="22" t="b">
        <f aca="false">FALSE()</f>
        <v>0</v>
      </c>
      <c r="AH1510" s="0" t="n">
        <v>1</v>
      </c>
    </row>
    <row r="1511" customFormat="false" ht="15" hidden="false" customHeight="false" outlineLevel="0" collapsed="false">
      <c r="A1511" s="0" t="s">
        <v>2325</v>
      </c>
      <c r="B1511" s="0" t="s">
        <v>134</v>
      </c>
      <c r="C1511" s="0" t="s">
        <v>3450</v>
      </c>
      <c r="D1511" s="0" t="s">
        <v>3448</v>
      </c>
      <c r="E1511" s="20" t="s">
        <v>25</v>
      </c>
      <c r="F1511" s="20" t="s">
        <v>29</v>
      </c>
      <c r="G1511" s="21" t="s">
        <v>62</v>
      </c>
      <c r="H1511" s="21" t="s">
        <v>24</v>
      </c>
      <c r="I1511" s="21" t="s">
        <v>24</v>
      </c>
      <c r="J1511" s="21" t="s">
        <v>24</v>
      </c>
      <c r="K1511" s="21" t="s">
        <v>25</v>
      </c>
      <c r="L1511" s="21" t="s">
        <v>24</v>
      </c>
      <c r="M1511" s="0" t="n">
        <v>184</v>
      </c>
      <c r="N1511" s="0" t="n">
        <v>0</v>
      </c>
      <c r="Q1511" s="0" t="n">
        <v>0</v>
      </c>
      <c r="S1511" s="0" t="n">
        <v>0</v>
      </c>
      <c r="U1511" s="22" t="b">
        <f aca="false">FALSE()</f>
        <v>0</v>
      </c>
      <c r="V1511" s="0" t="n">
        <v>0.81</v>
      </c>
      <c r="W1511" s="0" t="n">
        <v>0.64</v>
      </c>
      <c r="X1511" s="0" t="n">
        <v>7.51</v>
      </c>
      <c r="Y1511" s="0" t="n">
        <v>322.85</v>
      </c>
      <c r="Z1511" s="0" t="n">
        <v>8</v>
      </c>
      <c r="AA1511" s="0" t="n">
        <v>-1.08</v>
      </c>
      <c r="AB1511" s="0" t="n">
        <v>22.5</v>
      </c>
      <c r="AC1511" s="22" t="b">
        <f aca="false">FALSE()</f>
        <v>0</v>
      </c>
      <c r="AD1511" s="0" t="n">
        <v>3.87</v>
      </c>
      <c r="AE1511" s="0" t="n">
        <v>0.87</v>
      </c>
      <c r="AF1511" s="0" t="n">
        <v>5.75</v>
      </c>
      <c r="AG1511" s="22" t="b">
        <f aca="false">FALSE()</f>
        <v>0</v>
      </c>
      <c r="AH1511" s="0" t="n">
        <v>1</v>
      </c>
    </row>
    <row r="1512" customFormat="false" ht="15" hidden="false" customHeight="false" outlineLevel="0" collapsed="false">
      <c r="A1512" s="0" t="s">
        <v>2325</v>
      </c>
      <c r="B1512" s="0" t="s">
        <v>134</v>
      </c>
      <c r="C1512" s="0" t="s">
        <v>3447</v>
      </c>
      <c r="D1512" s="0" t="s">
        <v>3457</v>
      </c>
      <c r="E1512" s="20" t="s">
        <v>25</v>
      </c>
      <c r="F1512" s="23" t="s">
        <v>30</v>
      </c>
      <c r="G1512" s="21" t="s">
        <v>2610</v>
      </c>
      <c r="H1512" s="21" t="s">
        <v>24</v>
      </c>
      <c r="I1512" s="21" t="s">
        <v>24</v>
      </c>
      <c r="J1512" s="21" t="s">
        <v>24</v>
      </c>
      <c r="K1512" s="21" t="s">
        <v>25</v>
      </c>
      <c r="L1512" s="21" t="s">
        <v>24</v>
      </c>
      <c r="M1512" s="0" t="n">
        <v>182</v>
      </c>
      <c r="N1512" s="0" t="n">
        <v>3</v>
      </c>
      <c r="O1512" s="21" t="s">
        <v>3571</v>
      </c>
      <c r="P1512" s="21" t="s">
        <v>4753</v>
      </c>
      <c r="Q1512" s="0" t="n">
        <v>0</v>
      </c>
      <c r="S1512" s="0" t="n">
        <v>3</v>
      </c>
      <c r="T1512" s="21" t="s">
        <v>3571</v>
      </c>
      <c r="U1512" s="22" t="b">
        <f aca="false">TRUE()</f>
        <v>1</v>
      </c>
      <c r="V1512" s="0" t="n">
        <v>0.74</v>
      </c>
      <c r="W1512" s="0" t="n">
        <v>0.96</v>
      </c>
      <c r="X1512" s="0" t="n">
        <v>9.38</v>
      </c>
      <c r="Y1512" s="0" t="n">
        <v>308.37</v>
      </c>
      <c r="Z1512" s="0" t="n">
        <v>8</v>
      </c>
      <c r="AA1512" s="0" t="n">
        <v>-1.23</v>
      </c>
      <c r="AB1512" s="0" t="n">
        <v>0.59</v>
      </c>
      <c r="AC1512" s="22" t="b">
        <f aca="false">FALSE()</f>
        <v>0</v>
      </c>
      <c r="AD1512" s="0" t="n">
        <v>1.5</v>
      </c>
      <c r="AE1512" s="0" t="n">
        <v>0.91</v>
      </c>
      <c r="AF1512" s="0" t="n">
        <v>1.24</v>
      </c>
      <c r="AG1512" s="22" t="b">
        <f aca="false">FALSE()</f>
        <v>0</v>
      </c>
      <c r="AH1512" s="0" t="n">
        <v>1</v>
      </c>
    </row>
    <row r="1513" customFormat="false" ht="15" hidden="false" customHeight="false" outlineLevel="0" collapsed="false">
      <c r="A1513" s="0" t="s">
        <v>2325</v>
      </c>
      <c r="B1513" s="0" t="s">
        <v>134</v>
      </c>
      <c r="C1513" s="0" t="s">
        <v>3447</v>
      </c>
      <c r="D1513" s="0" t="s">
        <v>3448</v>
      </c>
      <c r="E1513" s="18" t="s">
        <v>24</v>
      </c>
      <c r="F1513" s="23" t="s">
        <v>30</v>
      </c>
      <c r="G1513" s="21" t="s">
        <v>30</v>
      </c>
      <c r="H1513" s="21" t="s">
        <v>24</v>
      </c>
      <c r="I1513" s="21" t="s">
        <v>24</v>
      </c>
      <c r="J1513" s="21" t="s">
        <v>24</v>
      </c>
      <c r="K1513" s="21" t="s">
        <v>24</v>
      </c>
      <c r="L1513" s="21" t="s">
        <v>24</v>
      </c>
      <c r="M1513" s="0" t="n">
        <v>183</v>
      </c>
      <c r="N1513" s="0" t="n">
        <v>1</v>
      </c>
      <c r="O1513" s="21" t="s">
        <v>3476</v>
      </c>
      <c r="P1513" s="21" t="s">
        <v>4228</v>
      </c>
      <c r="Q1513" s="0" t="n">
        <v>0</v>
      </c>
      <c r="S1513" s="0" t="n">
        <v>1</v>
      </c>
      <c r="T1513" s="21" t="s">
        <v>3476</v>
      </c>
      <c r="U1513" s="22" t="b">
        <f aca="false">TRUE()</f>
        <v>1</v>
      </c>
      <c r="V1513" s="0" t="n">
        <v>0.75</v>
      </c>
      <c r="W1513" s="0" t="n">
        <v>0.88</v>
      </c>
      <c r="X1513" s="0" t="n">
        <v>10.02</v>
      </c>
      <c r="Y1513" s="0" t="n">
        <v>316.13</v>
      </c>
      <c r="Z1513" s="0" t="n">
        <v>8</v>
      </c>
      <c r="AA1513" s="0" t="n">
        <v>-0.46</v>
      </c>
      <c r="AB1513" s="0" t="n">
        <v>22.5</v>
      </c>
      <c r="AC1513" s="22" t="b">
        <f aca="false">FALSE()</f>
        <v>0</v>
      </c>
      <c r="AD1513" s="0" t="n">
        <v>5.98</v>
      </c>
      <c r="AE1513" s="0" t="n">
        <v>0.43</v>
      </c>
      <c r="AF1513" s="0" t="n">
        <v>4.57</v>
      </c>
      <c r="AG1513" s="22" t="b">
        <f aca="false">FALSE()</f>
        <v>0</v>
      </c>
      <c r="AH1513" s="0" t="n">
        <v>1</v>
      </c>
    </row>
    <row r="1514" customFormat="false" ht="15" hidden="false" customHeight="false" outlineLevel="0" collapsed="false">
      <c r="A1514" s="0" t="s">
        <v>2332</v>
      </c>
      <c r="B1514" s="0" t="s">
        <v>134</v>
      </c>
      <c r="C1514" s="0" t="s">
        <v>3450</v>
      </c>
      <c r="D1514" s="0" t="s">
        <v>3457</v>
      </c>
      <c r="E1514" s="20" t="s">
        <v>25</v>
      </c>
      <c r="F1514" s="23" t="s">
        <v>30</v>
      </c>
      <c r="G1514" s="21" t="s">
        <v>1152</v>
      </c>
      <c r="H1514" s="21" t="s">
        <v>24</v>
      </c>
      <c r="I1514" s="21" t="s">
        <v>25</v>
      </c>
      <c r="J1514" s="21" t="s">
        <v>24</v>
      </c>
      <c r="K1514" s="21" t="s">
        <v>25</v>
      </c>
      <c r="L1514" s="21" t="s">
        <v>24</v>
      </c>
      <c r="M1514" s="0" t="n">
        <v>186</v>
      </c>
      <c r="N1514" s="0" t="n">
        <v>2</v>
      </c>
      <c r="O1514" s="21" t="s">
        <v>3646</v>
      </c>
      <c r="P1514" s="21" t="s">
        <v>4375</v>
      </c>
      <c r="Q1514" s="0" t="n">
        <v>1</v>
      </c>
      <c r="R1514" s="21" t="s">
        <v>69</v>
      </c>
      <c r="S1514" s="0" t="n">
        <v>2</v>
      </c>
      <c r="T1514" s="21" t="s">
        <v>3646</v>
      </c>
      <c r="U1514" s="22" t="b">
        <f aca="false">TRUE()</f>
        <v>1</v>
      </c>
      <c r="V1514" s="0" t="n">
        <v>0.69</v>
      </c>
      <c r="W1514" s="0" t="n">
        <v>0.32</v>
      </c>
      <c r="X1514" s="0" t="n">
        <v>7.24</v>
      </c>
      <c r="Y1514" s="0" t="n">
        <v>407</v>
      </c>
      <c r="Z1514" s="0" t="n">
        <v>11</v>
      </c>
      <c r="AA1514" s="0" t="n">
        <v>10.76</v>
      </c>
      <c r="AB1514" s="0" t="n">
        <v>0.27</v>
      </c>
      <c r="AC1514" s="22" t="b">
        <f aca="false">FALSE()</f>
        <v>0</v>
      </c>
      <c r="AD1514" s="0" t="n">
        <v>12.02</v>
      </c>
      <c r="AE1514" s="0" t="n">
        <v>0.88</v>
      </c>
      <c r="AF1514" s="0" t="n">
        <v>-0.88</v>
      </c>
      <c r="AG1514" s="22" t="b">
        <f aca="false">TRUE()</f>
        <v>1</v>
      </c>
      <c r="AH1514" s="0" t="n">
        <v>1</v>
      </c>
    </row>
    <row r="1515" customFormat="false" ht="15" hidden="false" customHeight="false" outlineLevel="0" collapsed="false">
      <c r="A1515" s="0" t="s">
        <v>2332</v>
      </c>
      <c r="B1515" s="0" t="s">
        <v>134</v>
      </c>
      <c r="C1515" s="0" t="s">
        <v>3450</v>
      </c>
      <c r="D1515" s="0" t="s">
        <v>3448</v>
      </c>
      <c r="E1515" s="20" t="s">
        <v>25</v>
      </c>
      <c r="F1515" s="23" t="s">
        <v>30</v>
      </c>
      <c r="G1515" s="21" t="s">
        <v>1099</v>
      </c>
      <c r="H1515" s="21" t="s">
        <v>24</v>
      </c>
      <c r="I1515" s="21" t="s">
        <v>25</v>
      </c>
      <c r="J1515" s="21" t="s">
        <v>24</v>
      </c>
      <c r="K1515" s="21" t="s">
        <v>25</v>
      </c>
      <c r="L1515" s="21" t="s">
        <v>24</v>
      </c>
      <c r="M1515" s="0" t="n">
        <v>185</v>
      </c>
      <c r="N1515" s="0" t="n">
        <v>2</v>
      </c>
      <c r="O1515" s="21" t="s">
        <v>3646</v>
      </c>
      <c r="P1515" s="21" t="s">
        <v>4375</v>
      </c>
      <c r="Q1515" s="0" t="n">
        <v>1</v>
      </c>
      <c r="R1515" s="21" t="s">
        <v>69</v>
      </c>
      <c r="S1515" s="0" t="n">
        <v>2</v>
      </c>
      <c r="T1515" s="21" t="s">
        <v>3646</v>
      </c>
      <c r="U1515" s="22" t="b">
        <f aca="false">TRUE()</f>
        <v>1</v>
      </c>
      <c r="V1515" s="0" t="n">
        <v>0.72</v>
      </c>
      <c r="W1515" s="0" t="n">
        <v>0.68</v>
      </c>
      <c r="X1515" s="0" t="n">
        <v>6.75</v>
      </c>
      <c r="Y1515" s="0" t="n">
        <v>316.37</v>
      </c>
      <c r="Z1515" s="0" t="n">
        <v>10.75</v>
      </c>
      <c r="AA1515" s="0" t="n">
        <v>16.61</v>
      </c>
      <c r="AB1515" s="0" t="n">
        <v>1.5</v>
      </c>
      <c r="AC1515" s="22" t="b">
        <f aca="false">FALSE()</f>
        <v>0</v>
      </c>
      <c r="AD1515" s="0" t="n">
        <v>10.29</v>
      </c>
      <c r="AE1515" s="0" t="n">
        <v>0.23</v>
      </c>
      <c r="AF1515" s="0" t="n">
        <v>6.85</v>
      </c>
      <c r="AG1515" s="22" t="b">
        <f aca="false">TRUE()</f>
        <v>1</v>
      </c>
      <c r="AH1515" s="0" t="n">
        <v>1</v>
      </c>
    </row>
    <row r="1516" customFormat="false" ht="15" hidden="false" customHeight="false" outlineLevel="0" collapsed="false">
      <c r="A1516" s="0" t="s">
        <v>2332</v>
      </c>
      <c r="B1516" s="0" t="s">
        <v>134</v>
      </c>
      <c r="C1516" s="0" t="s">
        <v>3447</v>
      </c>
      <c r="D1516" s="0" t="s">
        <v>3457</v>
      </c>
      <c r="E1516" s="20" t="s">
        <v>25</v>
      </c>
      <c r="F1516" s="23" t="s">
        <v>30</v>
      </c>
      <c r="G1516" s="21" t="s">
        <v>2610</v>
      </c>
      <c r="H1516" s="21" t="s">
        <v>24</v>
      </c>
      <c r="I1516" s="21" t="s">
        <v>24</v>
      </c>
      <c r="J1516" s="21" t="s">
        <v>24</v>
      </c>
      <c r="K1516" s="21" t="s">
        <v>25</v>
      </c>
      <c r="L1516" s="21" t="s">
        <v>24</v>
      </c>
      <c r="M1516" s="0" t="n">
        <v>188</v>
      </c>
      <c r="N1516" s="0" t="n">
        <v>4</v>
      </c>
      <c r="O1516" s="21" t="s">
        <v>3593</v>
      </c>
      <c r="P1516" s="21" t="s">
        <v>4266</v>
      </c>
      <c r="Q1516" s="0" t="n">
        <v>0</v>
      </c>
      <c r="S1516" s="0" t="n">
        <v>4</v>
      </c>
      <c r="T1516" s="21" t="s">
        <v>3593</v>
      </c>
      <c r="U1516" s="22" t="b">
        <f aca="false">TRUE()</f>
        <v>1</v>
      </c>
      <c r="V1516" s="0" t="n">
        <v>0.81</v>
      </c>
      <c r="W1516" s="0" t="n">
        <v>0.84</v>
      </c>
      <c r="X1516" s="0" t="n">
        <v>7.91</v>
      </c>
      <c r="Y1516" s="0" t="n">
        <v>329.25</v>
      </c>
      <c r="Z1516" s="0" t="n">
        <v>8</v>
      </c>
      <c r="AA1516" s="0" t="n">
        <v>-1.02</v>
      </c>
      <c r="AB1516" s="0" t="n">
        <v>0.27</v>
      </c>
      <c r="AC1516" s="22" t="b">
        <f aca="false">FALSE()</f>
        <v>0</v>
      </c>
      <c r="AD1516" s="0" t="n">
        <v>1.88</v>
      </c>
      <c r="AE1516" s="0" t="n">
        <v>0.64</v>
      </c>
      <c r="AF1516" s="0" t="n">
        <v>1.09</v>
      </c>
      <c r="AG1516" s="22" t="b">
        <f aca="false">FALSE()</f>
        <v>0</v>
      </c>
      <c r="AH1516" s="0" t="n">
        <v>1</v>
      </c>
    </row>
    <row r="1517" customFormat="false" ht="15" hidden="false" customHeight="false" outlineLevel="0" collapsed="false">
      <c r="A1517" s="0" t="s">
        <v>2332</v>
      </c>
      <c r="B1517" s="0" t="s">
        <v>134</v>
      </c>
      <c r="C1517" s="0" t="s">
        <v>3447</v>
      </c>
      <c r="D1517" s="0" t="s">
        <v>3448</v>
      </c>
      <c r="E1517" s="20" t="s">
        <v>25</v>
      </c>
      <c r="F1517" s="23" t="s">
        <v>30</v>
      </c>
      <c r="G1517" s="21" t="s">
        <v>2133</v>
      </c>
      <c r="H1517" s="21" t="s">
        <v>24</v>
      </c>
      <c r="I1517" s="21" t="s">
        <v>24</v>
      </c>
      <c r="J1517" s="21" t="s">
        <v>24</v>
      </c>
      <c r="K1517" s="21" t="s">
        <v>25</v>
      </c>
      <c r="L1517" s="21" t="s">
        <v>24</v>
      </c>
      <c r="M1517" s="0" t="n">
        <v>184</v>
      </c>
      <c r="N1517" s="0" t="n">
        <v>3</v>
      </c>
      <c r="O1517" s="21" t="s">
        <v>3540</v>
      </c>
      <c r="P1517" s="21" t="s">
        <v>4493</v>
      </c>
      <c r="Q1517" s="0" t="n">
        <v>0</v>
      </c>
      <c r="S1517" s="0" t="n">
        <v>3</v>
      </c>
      <c r="T1517" s="21" t="s">
        <v>3540</v>
      </c>
      <c r="U1517" s="22" t="b">
        <f aca="false">TRUE()</f>
        <v>1</v>
      </c>
      <c r="V1517" s="0" t="n">
        <v>0.8</v>
      </c>
      <c r="W1517" s="0" t="n">
        <v>0.88</v>
      </c>
      <c r="X1517" s="0" t="n">
        <v>8.71</v>
      </c>
      <c r="Y1517" s="0" t="n">
        <v>309.3</v>
      </c>
      <c r="Z1517" s="0" t="n">
        <v>11</v>
      </c>
      <c r="AA1517" s="0" t="n">
        <v>0.92</v>
      </c>
      <c r="AB1517" s="0" t="n">
        <v>1.5</v>
      </c>
      <c r="AC1517" s="22" t="b">
        <f aca="false">FALSE()</f>
        <v>0</v>
      </c>
      <c r="AD1517" s="0" t="n">
        <v>2.42</v>
      </c>
      <c r="AE1517" s="0" t="n">
        <v>2.99</v>
      </c>
      <c r="AF1517" s="0" t="n">
        <v>3.9</v>
      </c>
      <c r="AG1517" s="22" t="b">
        <f aca="false">FALSE()</f>
        <v>0</v>
      </c>
      <c r="AH1517" s="0" t="n">
        <v>1</v>
      </c>
    </row>
    <row r="1518" customFormat="false" ht="15" hidden="false" customHeight="false" outlineLevel="0" collapsed="false">
      <c r="A1518" s="0" t="s">
        <v>2332</v>
      </c>
      <c r="B1518" s="0" t="s">
        <v>3459</v>
      </c>
      <c r="C1518" s="0" t="s">
        <v>3450</v>
      </c>
      <c r="D1518" s="0" t="s">
        <v>3457</v>
      </c>
      <c r="E1518" s="20" t="s">
        <v>25</v>
      </c>
      <c r="F1518" s="23" t="s">
        <v>30</v>
      </c>
      <c r="G1518" s="21" t="s">
        <v>283</v>
      </c>
      <c r="H1518" s="21" t="s">
        <v>24</v>
      </c>
      <c r="I1518" s="21" t="s">
        <v>25</v>
      </c>
      <c r="J1518" s="21" t="s">
        <v>24</v>
      </c>
      <c r="K1518" s="21" t="s">
        <v>24</v>
      </c>
      <c r="L1518" s="21" t="s">
        <v>24</v>
      </c>
      <c r="M1518" s="0" t="n">
        <v>183</v>
      </c>
      <c r="N1518" s="0" t="n">
        <v>4</v>
      </c>
      <c r="O1518" s="21" t="s">
        <v>3766</v>
      </c>
      <c r="P1518" s="21" t="s">
        <v>4754</v>
      </c>
      <c r="Q1518" s="0" t="n">
        <v>1</v>
      </c>
      <c r="R1518" s="21" t="s">
        <v>69</v>
      </c>
      <c r="S1518" s="0" t="n">
        <v>4</v>
      </c>
      <c r="T1518" s="21" t="s">
        <v>3766</v>
      </c>
      <c r="U1518" s="22" t="b">
        <f aca="false">TRUE()</f>
        <v>1</v>
      </c>
      <c r="V1518" s="0" t="n">
        <v>0.71</v>
      </c>
      <c r="W1518" s="0" t="n">
        <v>0.48</v>
      </c>
      <c r="X1518" s="0" t="n">
        <v>6.55</v>
      </c>
      <c r="Y1518" s="0" t="n">
        <v>326.11</v>
      </c>
      <c r="Z1518" s="0" t="n">
        <v>11</v>
      </c>
      <c r="AA1518" s="0" t="n">
        <v>13.28</v>
      </c>
      <c r="AB1518" s="0" t="n">
        <v>3.23</v>
      </c>
      <c r="AC1518" s="22" t="b">
        <f aca="false">FALSE()</f>
        <v>0</v>
      </c>
      <c r="AD1518" s="0" t="n">
        <v>17.52</v>
      </c>
      <c r="AE1518" s="0" t="n">
        <v>7.31</v>
      </c>
      <c r="AF1518" s="0" t="n">
        <v>13.98</v>
      </c>
      <c r="AG1518" s="22" t="b">
        <f aca="false">TRUE()</f>
        <v>1</v>
      </c>
      <c r="AH1518" s="0" t="n">
        <v>1</v>
      </c>
    </row>
    <row r="1519" customFormat="false" ht="15" hidden="false" customHeight="false" outlineLevel="0" collapsed="false">
      <c r="A1519" s="0" t="s">
        <v>2332</v>
      </c>
      <c r="B1519" s="0" t="s">
        <v>3459</v>
      </c>
      <c r="C1519" s="0" t="s">
        <v>3450</v>
      </c>
      <c r="D1519" s="0" t="s">
        <v>3448</v>
      </c>
      <c r="E1519" s="20" t="s">
        <v>25</v>
      </c>
      <c r="F1519" s="23" t="s">
        <v>30</v>
      </c>
      <c r="G1519" s="21" t="s">
        <v>1152</v>
      </c>
      <c r="H1519" s="21" t="s">
        <v>24</v>
      </c>
      <c r="I1519" s="21" t="s">
        <v>25</v>
      </c>
      <c r="J1519" s="21" t="s">
        <v>24</v>
      </c>
      <c r="K1519" s="21" t="s">
        <v>25</v>
      </c>
      <c r="L1519" s="21" t="s">
        <v>24</v>
      </c>
      <c r="M1519" s="0" t="n">
        <v>182</v>
      </c>
      <c r="N1519" s="0" t="n">
        <v>2</v>
      </c>
      <c r="O1519" s="21" t="s">
        <v>3575</v>
      </c>
      <c r="P1519" s="21" t="s">
        <v>4265</v>
      </c>
      <c r="Q1519" s="0" t="n">
        <v>1</v>
      </c>
      <c r="R1519" s="21" t="s">
        <v>69</v>
      </c>
      <c r="S1519" s="0" t="n">
        <v>2</v>
      </c>
      <c r="T1519" s="21" t="s">
        <v>3575</v>
      </c>
      <c r="U1519" s="22" t="b">
        <f aca="false">TRUE()</f>
        <v>1</v>
      </c>
      <c r="V1519" s="0" t="n">
        <v>0.69</v>
      </c>
      <c r="W1519" s="0" t="n">
        <v>0.36</v>
      </c>
      <c r="X1519" s="0" t="n">
        <v>7.17</v>
      </c>
      <c r="Y1519" s="0" t="n">
        <v>375.35</v>
      </c>
      <c r="Z1519" s="0" t="n">
        <v>10.75</v>
      </c>
      <c r="AA1519" s="0" t="n">
        <v>8.81</v>
      </c>
      <c r="AB1519" s="0" t="n">
        <v>0.32</v>
      </c>
      <c r="AC1519" s="22" t="b">
        <f aca="false">FALSE()</f>
        <v>0</v>
      </c>
      <c r="AD1519" s="0" t="n">
        <v>12.64</v>
      </c>
      <c r="AE1519" s="0" t="n">
        <v>3.33</v>
      </c>
      <c r="AF1519" s="0" t="n">
        <v>10.09</v>
      </c>
      <c r="AG1519" s="22" t="b">
        <f aca="false">TRUE()</f>
        <v>1</v>
      </c>
      <c r="AH1519" s="0" t="n">
        <v>1</v>
      </c>
    </row>
    <row r="1520" customFormat="false" ht="15" hidden="false" customHeight="false" outlineLevel="0" collapsed="false">
      <c r="A1520" s="0" t="s">
        <v>2332</v>
      </c>
      <c r="B1520" s="0" t="s">
        <v>3459</v>
      </c>
      <c r="C1520" s="0" t="s">
        <v>3447</v>
      </c>
      <c r="D1520" s="0" t="s">
        <v>3457</v>
      </c>
      <c r="E1520" s="18" t="s">
        <v>24</v>
      </c>
      <c r="F1520" s="18" t="s">
        <v>28</v>
      </c>
      <c r="H1520" s="21" t="s">
        <v>24</v>
      </c>
      <c r="I1520" s="21" t="s">
        <v>24</v>
      </c>
      <c r="J1520" s="21" t="s">
        <v>24</v>
      </c>
      <c r="K1520" s="21" t="s">
        <v>24</v>
      </c>
      <c r="L1520" s="21" t="s">
        <v>24</v>
      </c>
      <c r="M1520" s="0" t="n">
        <v>183</v>
      </c>
      <c r="N1520" s="0" t="n">
        <v>0</v>
      </c>
      <c r="Q1520" s="0" t="n">
        <v>0</v>
      </c>
      <c r="S1520" s="0" t="n">
        <v>0</v>
      </c>
      <c r="U1520" s="22" t="b">
        <f aca="false">FALSE()</f>
        <v>0</v>
      </c>
      <c r="V1520" s="0" t="n">
        <v>0.76</v>
      </c>
      <c r="W1520" s="0" t="n">
        <v>0.16</v>
      </c>
      <c r="X1520" s="0" t="n">
        <v>6.51</v>
      </c>
      <c r="Y1520" s="0" t="n">
        <v>538.32</v>
      </c>
      <c r="Z1520" s="0" t="n">
        <v>10.75</v>
      </c>
      <c r="AA1520" s="0" t="n">
        <v>6.13</v>
      </c>
      <c r="AB1520" s="0" t="n">
        <v>3.23</v>
      </c>
      <c r="AC1520" s="22" t="b">
        <f aca="false">FALSE()</f>
        <v>0</v>
      </c>
      <c r="AD1520" s="0" t="n">
        <v>15.89</v>
      </c>
      <c r="AE1520" s="0" t="n">
        <v>3.33</v>
      </c>
      <c r="AF1520" s="0" t="n">
        <v>11.04</v>
      </c>
      <c r="AG1520" s="22" t="b">
        <f aca="false">TRUE()</f>
        <v>1</v>
      </c>
      <c r="AH1520" s="0" t="n">
        <v>1</v>
      </c>
    </row>
    <row r="1521" customFormat="false" ht="15" hidden="false" customHeight="false" outlineLevel="0" collapsed="false">
      <c r="A1521" s="0" t="s">
        <v>2332</v>
      </c>
      <c r="B1521" s="0" t="s">
        <v>3459</v>
      </c>
      <c r="C1521" s="0" t="s">
        <v>3447</v>
      </c>
      <c r="D1521" s="0" t="s">
        <v>3448</v>
      </c>
      <c r="E1521" s="20" t="s">
        <v>25</v>
      </c>
      <c r="F1521" s="20" t="s">
        <v>29</v>
      </c>
      <c r="G1521" s="21" t="s">
        <v>64</v>
      </c>
      <c r="H1521" s="21" t="s">
        <v>24</v>
      </c>
      <c r="I1521" s="21" t="s">
        <v>24</v>
      </c>
      <c r="J1521" s="21" t="s">
        <v>24</v>
      </c>
      <c r="K1521" s="21" t="s">
        <v>25</v>
      </c>
      <c r="L1521" s="21" t="s">
        <v>24</v>
      </c>
      <c r="M1521" s="0" t="n">
        <v>184</v>
      </c>
      <c r="N1521" s="0" t="n">
        <v>0</v>
      </c>
      <c r="Q1521" s="0" t="n">
        <v>0</v>
      </c>
      <c r="S1521" s="0" t="n">
        <v>0</v>
      </c>
      <c r="U1521" s="22" t="b">
        <f aca="false">FALSE()</f>
        <v>0</v>
      </c>
      <c r="V1521" s="0" t="n">
        <v>0.76</v>
      </c>
      <c r="W1521" s="0" t="n">
        <v>0.84</v>
      </c>
      <c r="X1521" s="0" t="n">
        <v>9.13</v>
      </c>
      <c r="Y1521" s="0" t="n">
        <v>319.8</v>
      </c>
      <c r="Z1521" s="0" t="n">
        <v>8</v>
      </c>
      <c r="AA1521" s="0" t="n">
        <v>-1.2</v>
      </c>
      <c r="AB1521" s="0" t="n">
        <v>0.32</v>
      </c>
      <c r="AC1521" s="22" t="b">
        <f aca="false">FALSE()</f>
        <v>0</v>
      </c>
      <c r="AD1521" s="0" t="n">
        <v>6.82</v>
      </c>
      <c r="AE1521" s="0" t="n">
        <v>1.28</v>
      </c>
      <c r="AF1521" s="0" t="n">
        <v>6.49</v>
      </c>
      <c r="AG1521" s="22" t="b">
        <f aca="false">FALSE()</f>
        <v>0</v>
      </c>
      <c r="AH1521" s="0" t="n">
        <v>1</v>
      </c>
    </row>
    <row r="1522" customFormat="false" ht="15" hidden="false" customHeight="false" outlineLevel="0" collapsed="false">
      <c r="A1522" s="0" t="s">
        <v>2338</v>
      </c>
      <c r="B1522" s="0" t="s">
        <v>134</v>
      </c>
      <c r="C1522" s="0" t="s">
        <v>3450</v>
      </c>
      <c r="D1522" s="0" t="s">
        <v>3457</v>
      </c>
      <c r="E1522" s="19" t="s">
        <v>26</v>
      </c>
      <c r="F1522" s="19" t="s">
        <v>32</v>
      </c>
      <c r="G1522" s="21" t="s">
        <v>1178</v>
      </c>
      <c r="H1522" s="21" t="s">
        <v>24</v>
      </c>
      <c r="I1522" s="21" t="s">
        <v>26</v>
      </c>
      <c r="J1522" s="21" t="s">
        <v>24</v>
      </c>
      <c r="K1522" s="21" t="s">
        <v>25</v>
      </c>
      <c r="L1522" s="21" t="s">
        <v>24</v>
      </c>
      <c r="M1522" s="0" t="n">
        <v>183</v>
      </c>
      <c r="N1522" s="0" t="n">
        <v>9</v>
      </c>
      <c r="O1522" s="21" t="s">
        <v>4107</v>
      </c>
      <c r="P1522" s="21" t="s">
        <v>4755</v>
      </c>
      <c r="Q1522" s="0" t="n">
        <v>1</v>
      </c>
      <c r="R1522" s="21" t="s">
        <v>69</v>
      </c>
      <c r="S1522" s="0" t="n">
        <v>9</v>
      </c>
      <c r="T1522" s="21" t="s">
        <v>4107</v>
      </c>
      <c r="U1522" s="22" t="b">
        <f aca="false">FALSE()</f>
        <v>0</v>
      </c>
      <c r="V1522" s="0" t="n">
        <v>0.74</v>
      </c>
      <c r="W1522" s="0" t="n">
        <v>0.56</v>
      </c>
      <c r="X1522" s="0" t="n">
        <v>4.63</v>
      </c>
      <c r="Y1522" s="0" t="n">
        <v>319.76</v>
      </c>
      <c r="Z1522" s="0" t="n">
        <v>9.75</v>
      </c>
      <c r="AA1522" s="0" t="n">
        <v>4.89</v>
      </c>
      <c r="AB1522" s="0" t="n">
        <v>1.09</v>
      </c>
      <c r="AC1522" s="22" t="b">
        <f aca="false">FALSE()</f>
        <v>0</v>
      </c>
      <c r="AD1522" s="0" t="n">
        <v>21.63</v>
      </c>
      <c r="AE1522" s="0" t="n">
        <v>9.15</v>
      </c>
      <c r="AF1522" s="0" t="n">
        <v>16.78</v>
      </c>
      <c r="AG1522" s="22" t="b">
        <f aca="false">TRUE()</f>
        <v>1</v>
      </c>
      <c r="AH1522" s="0" t="n">
        <v>1</v>
      </c>
    </row>
    <row r="1523" customFormat="false" ht="15" hidden="false" customHeight="false" outlineLevel="0" collapsed="false">
      <c r="A1523" s="0" t="s">
        <v>2338</v>
      </c>
      <c r="B1523" s="0" t="s">
        <v>134</v>
      </c>
      <c r="C1523" s="0" t="s">
        <v>3450</v>
      </c>
      <c r="D1523" s="0" t="s">
        <v>3448</v>
      </c>
      <c r="E1523" s="20" t="s">
        <v>25</v>
      </c>
      <c r="F1523" s="23" t="s">
        <v>30</v>
      </c>
      <c r="G1523" s="21" t="s">
        <v>1099</v>
      </c>
      <c r="H1523" s="21" t="s">
        <v>24</v>
      </c>
      <c r="I1523" s="21" t="s">
        <v>25</v>
      </c>
      <c r="J1523" s="21" t="s">
        <v>24</v>
      </c>
      <c r="K1523" s="21" t="s">
        <v>25</v>
      </c>
      <c r="L1523" s="21" t="s">
        <v>24</v>
      </c>
      <c r="M1523" s="0" t="n">
        <v>189</v>
      </c>
      <c r="N1523" s="0" t="n">
        <v>3</v>
      </c>
      <c r="O1523" s="21" t="s">
        <v>3649</v>
      </c>
      <c r="P1523" s="21" t="s">
        <v>4242</v>
      </c>
      <c r="Q1523" s="0" t="n">
        <v>1</v>
      </c>
      <c r="R1523" s="21" t="s">
        <v>69</v>
      </c>
      <c r="S1523" s="0" t="n">
        <v>3</v>
      </c>
      <c r="T1523" s="21" t="s">
        <v>3649</v>
      </c>
      <c r="U1523" s="22" t="b">
        <f aca="false">TRUE()</f>
        <v>1</v>
      </c>
      <c r="V1523" s="0" t="n">
        <v>0.79</v>
      </c>
      <c r="W1523" s="0" t="n">
        <v>0.16</v>
      </c>
      <c r="X1523" s="0" t="n">
        <v>5.51</v>
      </c>
      <c r="Y1523" s="0" t="n">
        <v>576.1</v>
      </c>
      <c r="Z1523" s="0" t="n">
        <v>9</v>
      </c>
      <c r="AA1523" s="0" t="n">
        <v>5.66</v>
      </c>
      <c r="AB1523" s="0" t="n">
        <v>1.02</v>
      </c>
      <c r="AC1523" s="22" t="b">
        <f aca="false">FALSE()</f>
        <v>0</v>
      </c>
      <c r="AD1523" s="0" t="n">
        <v>12.46</v>
      </c>
      <c r="AE1523" s="0" t="n">
        <v>0.58</v>
      </c>
      <c r="AF1523" s="0" t="n">
        <v>6.94</v>
      </c>
      <c r="AG1523" s="22" t="b">
        <f aca="false">TRUE()</f>
        <v>1</v>
      </c>
      <c r="AH1523" s="0" t="n">
        <v>1</v>
      </c>
    </row>
    <row r="1524" customFormat="false" ht="15" hidden="false" customHeight="false" outlineLevel="0" collapsed="false">
      <c r="A1524" s="0" t="s">
        <v>2338</v>
      </c>
      <c r="B1524" s="0" t="s">
        <v>134</v>
      </c>
      <c r="C1524" s="0" t="s">
        <v>3447</v>
      </c>
      <c r="D1524" s="0" t="s">
        <v>3457</v>
      </c>
      <c r="E1524" s="20" t="s">
        <v>25</v>
      </c>
      <c r="F1524" s="23" t="s">
        <v>30</v>
      </c>
      <c r="G1524" s="21" t="s">
        <v>157</v>
      </c>
      <c r="H1524" s="21" t="s">
        <v>24</v>
      </c>
      <c r="I1524" s="21" t="s">
        <v>25</v>
      </c>
      <c r="J1524" s="21" t="s">
        <v>24</v>
      </c>
      <c r="K1524" s="21" t="s">
        <v>25</v>
      </c>
      <c r="L1524" s="21" t="s">
        <v>24</v>
      </c>
      <c r="M1524" s="0" t="n">
        <v>185</v>
      </c>
      <c r="N1524" s="0" t="n">
        <v>3</v>
      </c>
      <c r="O1524" s="21" t="s">
        <v>3695</v>
      </c>
      <c r="P1524" s="21" t="s">
        <v>4289</v>
      </c>
      <c r="Q1524" s="0" t="n">
        <v>1</v>
      </c>
      <c r="R1524" s="21" t="s">
        <v>69</v>
      </c>
      <c r="S1524" s="0" t="n">
        <v>3</v>
      </c>
      <c r="T1524" s="21" t="s">
        <v>3695</v>
      </c>
      <c r="U1524" s="22" t="b">
        <f aca="false">TRUE()</f>
        <v>1</v>
      </c>
      <c r="V1524" s="0" t="n">
        <v>0.74</v>
      </c>
      <c r="W1524" s="0" t="n">
        <v>0.68</v>
      </c>
      <c r="X1524" s="0" t="n">
        <v>4.45</v>
      </c>
      <c r="Y1524" s="0" t="n">
        <v>320.82</v>
      </c>
      <c r="Z1524" s="0" t="n">
        <v>9.5</v>
      </c>
      <c r="AA1524" s="0" t="n">
        <v>2.78</v>
      </c>
      <c r="AB1524" s="0" t="n">
        <v>1.09</v>
      </c>
      <c r="AC1524" s="22" t="b">
        <f aca="false">FALSE()</f>
        <v>0</v>
      </c>
      <c r="AD1524" s="0" t="n">
        <v>21.82</v>
      </c>
      <c r="AE1524" s="0" t="n">
        <v>10.2</v>
      </c>
      <c r="AF1524" s="0" t="n">
        <v>18.08</v>
      </c>
      <c r="AG1524" s="22" t="b">
        <f aca="false">TRUE()</f>
        <v>1</v>
      </c>
      <c r="AH1524" s="0" t="n">
        <v>1</v>
      </c>
    </row>
    <row r="1525" customFormat="false" ht="15" hidden="false" customHeight="false" outlineLevel="0" collapsed="false">
      <c r="A1525" s="0" t="s">
        <v>2338</v>
      </c>
      <c r="B1525" s="0" t="s">
        <v>134</v>
      </c>
      <c r="C1525" s="0" t="s">
        <v>3447</v>
      </c>
      <c r="D1525" s="0" t="s">
        <v>3448</v>
      </c>
      <c r="E1525" s="20" t="s">
        <v>25</v>
      </c>
      <c r="F1525" s="23" t="s">
        <v>30</v>
      </c>
      <c r="G1525" s="21" t="s">
        <v>2133</v>
      </c>
      <c r="H1525" s="21" t="s">
        <v>24</v>
      </c>
      <c r="I1525" s="21" t="s">
        <v>24</v>
      </c>
      <c r="J1525" s="21" t="s">
        <v>24</v>
      </c>
      <c r="K1525" s="21" t="s">
        <v>25</v>
      </c>
      <c r="L1525" s="21" t="s">
        <v>24</v>
      </c>
      <c r="M1525" s="0" t="n">
        <v>184</v>
      </c>
      <c r="N1525" s="0" t="n">
        <v>2</v>
      </c>
      <c r="O1525" s="21" t="s">
        <v>3505</v>
      </c>
      <c r="P1525" s="21" t="s">
        <v>4426</v>
      </c>
      <c r="Q1525" s="0" t="n">
        <v>0</v>
      </c>
      <c r="S1525" s="0" t="n">
        <v>2</v>
      </c>
      <c r="T1525" s="21" t="s">
        <v>3505</v>
      </c>
      <c r="U1525" s="22" t="b">
        <f aca="false">TRUE()</f>
        <v>1</v>
      </c>
      <c r="V1525" s="0" t="n">
        <v>0.67</v>
      </c>
      <c r="W1525" s="0" t="n">
        <v>0</v>
      </c>
      <c r="X1525" s="0" t="n">
        <v>10.22</v>
      </c>
      <c r="Y1525" s="0" t="n">
        <v>25.5</v>
      </c>
      <c r="Z1525" s="0" t="n">
        <v>8.75</v>
      </c>
      <c r="AA1525" s="0" t="n">
        <v>1.96</v>
      </c>
      <c r="AB1525" s="0" t="n">
        <v>1.02</v>
      </c>
      <c r="AC1525" s="22" t="b">
        <f aca="false">FALSE()</f>
        <v>0</v>
      </c>
      <c r="AD1525" s="0" t="n">
        <v>11.37</v>
      </c>
      <c r="AE1525" s="0" t="n">
        <v>1.66</v>
      </c>
      <c r="AF1525" s="0" t="n">
        <v>6.8</v>
      </c>
      <c r="AG1525" s="22" t="b">
        <f aca="false">TRUE()</f>
        <v>1</v>
      </c>
      <c r="AH1525" s="0" t="n">
        <v>0</v>
      </c>
    </row>
    <row r="1526" customFormat="false" ht="15" hidden="false" customHeight="false" outlineLevel="0" collapsed="false">
      <c r="A1526" s="0" t="s">
        <v>2344</v>
      </c>
      <c r="B1526" s="0" t="s">
        <v>134</v>
      </c>
      <c r="C1526" s="0" t="s">
        <v>3450</v>
      </c>
      <c r="D1526" s="0" t="s">
        <v>3457</v>
      </c>
      <c r="E1526" s="20" t="s">
        <v>25</v>
      </c>
      <c r="F1526" s="23" t="s">
        <v>30</v>
      </c>
      <c r="G1526" s="21" t="s">
        <v>183</v>
      </c>
      <c r="H1526" s="21" t="s">
        <v>24</v>
      </c>
      <c r="I1526" s="21" t="s">
        <v>25</v>
      </c>
      <c r="J1526" s="21" t="s">
        <v>24</v>
      </c>
      <c r="K1526" s="21" t="s">
        <v>25</v>
      </c>
      <c r="L1526" s="21" t="s">
        <v>24</v>
      </c>
      <c r="M1526" s="0" t="n">
        <v>187</v>
      </c>
      <c r="N1526" s="0" t="n">
        <v>1</v>
      </c>
      <c r="O1526" s="21" t="s">
        <v>70</v>
      </c>
      <c r="P1526" s="21" t="s">
        <v>4378</v>
      </c>
      <c r="Q1526" s="0" t="n">
        <v>1</v>
      </c>
      <c r="R1526" s="21" t="s">
        <v>70</v>
      </c>
      <c r="S1526" s="0" t="n">
        <v>1</v>
      </c>
      <c r="T1526" s="21" t="s">
        <v>70</v>
      </c>
      <c r="U1526" s="22" t="b">
        <f aca="false">TRUE()</f>
        <v>1</v>
      </c>
      <c r="V1526" s="0" t="n">
        <v>0.69</v>
      </c>
      <c r="W1526" s="0" t="n">
        <v>0.24</v>
      </c>
      <c r="X1526" s="0" t="n">
        <v>7.23</v>
      </c>
      <c r="Y1526" s="0" t="n">
        <v>475.13</v>
      </c>
      <c r="Z1526" s="0" t="n">
        <v>8.92</v>
      </c>
      <c r="AA1526" s="0" t="n">
        <v>6.53</v>
      </c>
      <c r="AB1526" s="0" t="n">
        <v>1.88</v>
      </c>
      <c r="AC1526" s="22" t="b">
        <f aca="false">FALSE()</f>
        <v>0</v>
      </c>
      <c r="AD1526" s="0" t="n">
        <v>21.07</v>
      </c>
      <c r="AE1526" s="0" t="n">
        <v>1.44</v>
      </c>
      <c r="AF1526" s="0" t="n">
        <v>10.98</v>
      </c>
      <c r="AG1526" s="22" t="b">
        <f aca="false">TRUE()</f>
        <v>1</v>
      </c>
      <c r="AH1526" s="0" t="n">
        <v>1</v>
      </c>
    </row>
    <row r="1527" customFormat="false" ht="15" hidden="false" customHeight="false" outlineLevel="0" collapsed="false">
      <c r="A1527" s="0" t="s">
        <v>2344</v>
      </c>
      <c r="B1527" s="0" t="s">
        <v>134</v>
      </c>
      <c r="C1527" s="0" t="s">
        <v>3450</v>
      </c>
      <c r="D1527" s="0" t="s">
        <v>3448</v>
      </c>
      <c r="E1527" s="20" t="s">
        <v>25</v>
      </c>
      <c r="F1527" s="23" t="s">
        <v>30</v>
      </c>
      <c r="G1527" s="21" t="s">
        <v>1099</v>
      </c>
      <c r="H1527" s="21" t="s">
        <v>24</v>
      </c>
      <c r="I1527" s="21" t="s">
        <v>25</v>
      </c>
      <c r="J1527" s="21" t="s">
        <v>24</v>
      </c>
      <c r="K1527" s="21" t="s">
        <v>25</v>
      </c>
      <c r="L1527" s="21" t="s">
        <v>24</v>
      </c>
      <c r="M1527" s="0" t="n">
        <v>201</v>
      </c>
      <c r="N1527" s="0" t="n">
        <v>1</v>
      </c>
      <c r="O1527" s="21" t="s">
        <v>70</v>
      </c>
      <c r="P1527" s="21" t="s">
        <v>4378</v>
      </c>
      <c r="Q1527" s="0" t="n">
        <v>1</v>
      </c>
      <c r="R1527" s="21" t="s">
        <v>70</v>
      </c>
      <c r="S1527" s="0" t="n">
        <v>1</v>
      </c>
      <c r="T1527" s="21" t="s">
        <v>70</v>
      </c>
      <c r="U1527" s="22" t="b">
        <f aca="false">TRUE()</f>
        <v>1</v>
      </c>
      <c r="V1527" s="0" t="n">
        <v>0.73</v>
      </c>
      <c r="W1527" s="0" t="n">
        <v>0</v>
      </c>
      <c r="X1527" s="0" t="n">
        <v>7.14</v>
      </c>
      <c r="Y1527" s="0" t="n">
        <v>746.23</v>
      </c>
      <c r="Z1527" s="0" t="n">
        <v>10.42</v>
      </c>
      <c r="AA1527" s="0" t="n">
        <v>6.79</v>
      </c>
      <c r="AB1527" s="0" t="n">
        <v>1.4</v>
      </c>
      <c r="AC1527" s="22" t="b">
        <f aca="false">FALSE()</f>
        <v>0</v>
      </c>
      <c r="AD1527" s="0" t="n">
        <v>14.86</v>
      </c>
      <c r="AE1527" s="0" t="n">
        <v>1.85</v>
      </c>
      <c r="AF1527" s="0" t="n">
        <v>19.08</v>
      </c>
      <c r="AG1527" s="22" t="b">
        <f aca="false">TRUE()</f>
        <v>1</v>
      </c>
      <c r="AH1527" s="0" t="n">
        <v>1</v>
      </c>
    </row>
    <row r="1528" customFormat="false" ht="15" hidden="false" customHeight="false" outlineLevel="0" collapsed="false">
      <c r="A1528" s="0" t="s">
        <v>2344</v>
      </c>
      <c r="B1528" s="0" t="s">
        <v>134</v>
      </c>
      <c r="C1528" s="0" t="s">
        <v>3447</v>
      </c>
      <c r="D1528" s="0" t="s">
        <v>3457</v>
      </c>
      <c r="E1528" s="18" t="s">
        <v>24</v>
      </c>
      <c r="F1528" s="18" t="s">
        <v>28</v>
      </c>
      <c r="H1528" s="21" t="s">
        <v>24</v>
      </c>
      <c r="I1528" s="21" t="s">
        <v>24</v>
      </c>
      <c r="J1528" s="21" t="s">
        <v>24</v>
      </c>
      <c r="K1528" s="21" t="s">
        <v>24</v>
      </c>
      <c r="L1528" s="21" t="s">
        <v>24</v>
      </c>
      <c r="M1528" s="0" t="n">
        <v>186</v>
      </c>
      <c r="N1528" s="0" t="n">
        <v>0</v>
      </c>
      <c r="Q1528" s="0" t="n">
        <v>0</v>
      </c>
      <c r="S1528" s="0" t="n">
        <v>0</v>
      </c>
      <c r="U1528" s="22" t="b">
        <f aca="false">FALSE()</f>
        <v>0</v>
      </c>
      <c r="V1528" s="0" t="n">
        <v>0.75</v>
      </c>
      <c r="W1528" s="0" t="n">
        <v>0.36</v>
      </c>
      <c r="X1528" s="0" t="n">
        <v>7.91</v>
      </c>
      <c r="Y1528" s="0" t="n">
        <v>382.47</v>
      </c>
      <c r="Z1528" s="0" t="n">
        <v>9</v>
      </c>
      <c r="AA1528" s="0" t="n">
        <v>2.02</v>
      </c>
      <c r="AB1528" s="0" t="n">
        <v>1.88</v>
      </c>
      <c r="AC1528" s="22" t="b">
        <f aca="false">FALSE()</f>
        <v>0</v>
      </c>
      <c r="AD1528" s="0" t="n">
        <v>18.5</v>
      </c>
      <c r="AE1528" s="0" t="n">
        <v>1.14</v>
      </c>
      <c r="AF1528" s="0" t="n">
        <v>10.03</v>
      </c>
      <c r="AG1528" s="22" t="b">
        <f aca="false">TRUE()</f>
        <v>1</v>
      </c>
      <c r="AH1528" s="0" t="n">
        <v>1</v>
      </c>
    </row>
    <row r="1529" customFormat="false" ht="15" hidden="false" customHeight="false" outlineLevel="0" collapsed="false">
      <c r="A1529" s="0" t="s">
        <v>2344</v>
      </c>
      <c r="B1529" s="0" t="s">
        <v>134</v>
      </c>
      <c r="C1529" s="0" t="s">
        <v>3447</v>
      </c>
      <c r="D1529" s="0" t="s">
        <v>3448</v>
      </c>
      <c r="E1529" s="20" t="s">
        <v>25</v>
      </c>
      <c r="F1529" s="23" t="s">
        <v>30</v>
      </c>
      <c r="G1529" s="21" t="s">
        <v>2133</v>
      </c>
      <c r="H1529" s="21" t="s">
        <v>24</v>
      </c>
      <c r="I1529" s="21" t="s">
        <v>24</v>
      </c>
      <c r="J1529" s="21" t="s">
        <v>24</v>
      </c>
      <c r="K1529" s="21" t="s">
        <v>25</v>
      </c>
      <c r="L1529" s="21" t="s">
        <v>24</v>
      </c>
      <c r="M1529" s="0" t="n">
        <v>187</v>
      </c>
      <c r="N1529" s="0" t="n">
        <v>1</v>
      </c>
      <c r="O1529" s="21" t="s">
        <v>3493</v>
      </c>
      <c r="P1529" s="21" t="s">
        <v>4756</v>
      </c>
      <c r="Q1529" s="0" t="n">
        <v>0</v>
      </c>
      <c r="S1529" s="0" t="n">
        <v>1</v>
      </c>
      <c r="T1529" s="21" t="s">
        <v>3493</v>
      </c>
      <c r="U1529" s="22" t="b">
        <f aca="false">TRUE()</f>
        <v>1</v>
      </c>
      <c r="V1529" s="0" t="n">
        <v>0.73</v>
      </c>
      <c r="W1529" s="0" t="n">
        <v>0.56</v>
      </c>
      <c r="X1529" s="0" t="n">
        <v>9.28</v>
      </c>
      <c r="Y1529" s="0" t="n">
        <v>318.77</v>
      </c>
      <c r="Z1529" s="0" t="n">
        <v>10.33</v>
      </c>
      <c r="AA1529" s="0" t="n">
        <v>3.67</v>
      </c>
      <c r="AB1529" s="0" t="n">
        <v>1.4</v>
      </c>
      <c r="AC1529" s="22" t="b">
        <f aca="false">FALSE()</f>
        <v>0</v>
      </c>
      <c r="AD1529" s="0" t="n">
        <v>9.65</v>
      </c>
      <c r="AE1529" s="0" t="n">
        <v>4.47</v>
      </c>
      <c r="AF1529" s="0" t="n">
        <v>12.23</v>
      </c>
      <c r="AG1529" s="22" t="b">
        <f aca="false">FALSE()</f>
        <v>0</v>
      </c>
      <c r="AH1529" s="0" t="n">
        <v>1</v>
      </c>
    </row>
    <row r="1530" customFormat="false" ht="15" hidden="false" customHeight="false" outlineLevel="0" collapsed="false">
      <c r="A1530" s="0" t="s">
        <v>2355</v>
      </c>
      <c r="B1530" s="0" t="s">
        <v>134</v>
      </c>
      <c r="C1530" s="0" t="s">
        <v>3450</v>
      </c>
      <c r="D1530" s="0" t="s">
        <v>3457</v>
      </c>
      <c r="E1530" s="20" t="s">
        <v>25</v>
      </c>
      <c r="F1530" s="20" t="s">
        <v>29</v>
      </c>
      <c r="G1530" s="21" t="s">
        <v>66</v>
      </c>
      <c r="H1530" s="21" t="s">
        <v>24</v>
      </c>
      <c r="I1530" s="21" t="s">
        <v>24</v>
      </c>
      <c r="J1530" s="21" t="s">
        <v>24</v>
      </c>
      <c r="K1530" s="21" t="s">
        <v>25</v>
      </c>
      <c r="L1530" s="21" t="s">
        <v>24</v>
      </c>
      <c r="M1530" s="0" t="n">
        <v>191</v>
      </c>
      <c r="N1530" s="0" t="n">
        <v>0</v>
      </c>
      <c r="Q1530" s="0" t="n">
        <v>0</v>
      </c>
      <c r="S1530" s="0" t="n">
        <v>0</v>
      </c>
      <c r="U1530" s="22" t="b">
        <f aca="false">FALSE()</f>
        <v>0</v>
      </c>
      <c r="V1530" s="0" t="n">
        <v>0.75</v>
      </c>
      <c r="W1530" s="0" t="n">
        <v>0.6</v>
      </c>
      <c r="X1530" s="0" t="n">
        <v>14.78</v>
      </c>
      <c r="Y1530" s="0" t="n">
        <v>211.08</v>
      </c>
      <c r="Z1530" s="0" t="n">
        <v>9.25</v>
      </c>
      <c r="AA1530" s="0" t="n">
        <v>15.3</v>
      </c>
      <c r="AB1530" s="0" t="n">
        <v>10.86</v>
      </c>
      <c r="AC1530" s="22" t="b">
        <f aca="false">FALSE()</f>
        <v>0</v>
      </c>
      <c r="AD1530" s="0" t="n">
        <v>40.83</v>
      </c>
      <c r="AE1530" s="0" t="n">
        <v>11.5</v>
      </c>
      <c r="AF1530" s="0" t="n">
        <v>20.93</v>
      </c>
      <c r="AG1530" s="22" t="b">
        <f aca="false">TRUE()</f>
        <v>1</v>
      </c>
      <c r="AH1530" s="0" t="n">
        <v>1</v>
      </c>
    </row>
    <row r="1531" customFormat="false" ht="15" hidden="false" customHeight="false" outlineLevel="0" collapsed="false">
      <c r="A1531" s="0" t="s">
        <v>2355</v>
      </c>
      <c r="B1531" s="0" t="s">
        <v>134</v>
      </c>
      <c r="C1531" s="0" t="s">
        <v>3450</v>
      </c>
      <c r="D1531" s="0" t="s">
        <v>3448</v>
      </c>
      <c r="E1531" s="20" t="s">
        <v>25</v>
      </c>
      <c r="F1531" s="20" t="s">
        <v>29</v>
      </c>
      <c r="G1531" s="21" t="s">
        <v>66</v>
      </c>
      <c r="H1531" s="21" t="s">
        <v>24</v>
      </c>
      <c r="I1531" s="21" t="s">
        <v>24</v>
      </c>
      <c r="J1531" s="21" t="s">
        <v>24</v>
      </c>
      <c r="K1531" s="21" t="s">
        <v>25</v>
      </c>
      <c r="L1531" s="21" t="s">
        <v>24</v>
      </c>
      <c r="M1531" s="0" t="n">
        <v>184</v>
      </c>
      <c r="N1531" s="0" t="n">
        <v>0</v>
      </c>
      <c r="Q1531" s="0" t="n">
        <v>0</v>
      </c>
      <c r="S1531" s="0" t="n">
        <v>0</v>
      </c>
      <c r="U1531" s="22" t="b">
        <f aca="false">FALSE()</f>
        <v>0</v>
      </c>
      <c r="V1531" s="0" t="n">
        <v>0.74</v>
      </c>
      <c r="W1531" s="0" t="n">
        <v>0.72</v>
      </c>
      <c r="X1531" s="0" t="n">
        <v>11.79</v>
      </c>
      <c r="Y1531" s="0" t="n">
        <v>250.8</v>
      </c>
      <c r="Z1531" s="0" t="n">
        <v>9</v>
      </c>
      <c r="AA1531" s="0" t="n">
        <v>14.12</v>
      </c>
      <c r="AB1531" s="0" t="n">
        <v>12.39</v>
      </c>
      <c r="AC1531" s="22" t="b">
        <f aca="false">FALSE()</f>
        <v>0</v>
      </c>
      <c r="AD1531" s="0" t="n">
        <v>36.2</v>
      </c>
      <c r="AE1531" s="0" t="n">
        <v>8.24</v>
      </c>
      <c r="AF1531" s="0" t="n">
        <v>4.92</v>
      </c>
      <c r="AG1531" s="22" t="b">
        <f aca="false">TRUE()</f>
        <v>1</v>
      </c>
      <c r="AH1531" s="0" t="n">
        <v>1</v>
      </c>
    </row>
    <row r="1532" customFormat="false" ht="15" hidden="false" customHeight="false" outlineLevel="0" collapsed="false">
      <c r="A1532" s="0" t="s">
        <v>2355</v>
      </c>
      <c r="B1532" s="0" t="s">
        <v>134</v>
      </c>
      <c r="C1532" s="0" t="s">
        <v>3447</v>
      </c>
      <c r="D1532" s="0" t="s">
        <v>3457</v>
      </c>
      <c r="E1532" s="20" t="s">
        <v>25</v>
      </c>
      <c r="F1532" s="20" t="s">
        <v>29</v>
      </c>
      <c r="G1532" s="21" t="s">
        <v>66</v>
      </c>
      <c r="H1532" s="21" t="s">
        <v>24</v>
      </c>
      <c r="I1532" s="21" t="s">
        <v>24</v>
      </c>
      <c r="J1532" s="21" t="s">
        <v>24</v>
      </c>
      <c r="K1532" s="21" t="s">
        <v>25</v>
      </c>
      <c r="L1532" s="21" t="s">
        <v>24</v>
      </c>
      <c r="M1532" s="0" t="n">
        <v>184</v>
      </c>
      <c r="N1532" s="0" t="n">
        <v>0</v>
      </c>
      <c r="Q1532" s="0" t="n">
        <v>0</v>
      </c>
      <c r="S1532" s="0" t="n">
        <v>0</v>
      </c>
      <c r="U1532" s="22" t="b">
        <f aca="false">FALSE()</f>
        <v>0</v>
      </c>
      <c r="V1532" s="0" t="n">
        <v>0.86</v>
      </c>
      <c r="W1532" s="0" t="n">
        <v>0.52</v>
      </c>
      <c r="X1532" s="0" t="n">
        <v>14.27</v>
      </c>
      <c r="Y1532" s="0" t="n">
        <v>283.17</v>
      </c>
      <c r="Z1532" s="0" t="n">
        <v>8.25</v>
      </c>
      <c r="AA1532" s="0" t="n">
        <v>0.39</v>
      </c>
      <c r="AB1532" s="0" t="n">
        <v>10.86</v>
      </c>
      <c r="AC1532" s="22" t="b">
        <f aca="false">FALSE()</f>
        <v>0</v>
      </c>
      <c r="AD1532" s="0" t="n">
        <v>37.81</v>
      </c>
      <c r="AE1532" s="0" t="n">
        <v>8.89</v>
      </c>
      <c r="AF1532" s="0" t="n">
        <v>19.43</v>
      </c>
      <c r="AG1532" s="22" t="b">
        <f aca="false">TRUE()</f>
        <v>1</v>
      </c>
      <c r="AH1532" s="0" t="n">
        <v>1</v>
      </c>
    </row>
    <row r="1533" customFormat="false" ht="15" hidden="false" customHeight="false" outlineLevel="0" collapsed="false">
      <c r="A1533" s="0" t="s">
        <v>2355</v>
      </c>
      <c r="B1533" s="0" t="s">
        <v>134</v>
      </c>
      <c r="C1533" s="0" t="s">
        <v>3447</v>
      </c>
      <c r="D1533" s="0" t="s">
        <v>3448</v>
      </c>
      <c r="E1533" s="20" t="s">
        <v>25</v>
      </c>
      <c r="F1533" s="20" t="s">
        <v>29</v>
      </c>
      <c r="G1533" s="21" t="s">
        <v>66</v>
      </c>
      <c r="H1533" s="21" t="s">
        <v>24</v>
      </c>
      <c r="I1533" s="21" t="s">
        <v>24</v>
      </c>
      <c r="J1533" s="21" t="s">
        <v>24</v>
      </c>
      <c r="K1533" s="21" t="s">
        <v>25</v>
      </c>
      <c r="L1533" s="21" t="s">
        <v>24</v>
      </c>
      <c r="M1533" s="0" t="n">
        <v>190</v>
      </c>
      <c r="N1533" s="0" t="n">
        <v>0</v>
      </c>
      <c r="Q1533" s="0" t="n">
        <v>0</v>
      </c>
      <c r="S1533" s="0" t="n">
        <v>0</v>
      </c>
      <c r="U1533" s="22" t="b">
        <f aca="false">FALSE()</f>
        <v>0</v>
      </c>
      <c r="V1533" s="0" t="n">
        <v>0.85</v>
      </c>
      <c r="W1533" s="0" t="n">
        <v>0.64</v>
      </c>
      <c r="X1533" s="0" t="n">
        <v>11.2</v>
      </c>
      <c r="Y1533" s="0" t="n">
        <v>302.29</v>
      </c>
      <c r="Z1533" s="0" t="n">
        <v>9.08</v>
      </c>
      <c r="AA1533" s="0" t="n">
        <v>0.77</v>
      </c>
      <c r="AB1533" s="0" t="n">
        <v>12.39</v>
      </c>
      <c r="AC1533" s="22" t="b">
        <f aca="false">FALSE()</f>
        <v>0</v>
      </c>
      <c r="AD1533" s="0" t="n">
        <v>35.09</v>
      </c>
      <c r="AE1533" s="0" t="n">
        <v>8.49</v>
      </c>
      <c r="AF1533" s="0" t="n">
        <v>7.86</v>
      </c>
      <c r="AG1533" s="22" t="b">
        <f aca="false">TRUE()</f>
        <v>1</v>
      </c>
      <c r="AH1533" s="0" t="n">
        <v>1</v>
      </c>
    </row>
    <row r="1534" customFormat="false" ht="15" hidden="false" customHeight="false" outlineLevel="0" collapsed="false">
      <c r="A1534" s="0" t="s">
        <v>2355</v>
      </c>
      <c r="B1534" s="0" t="s">
        <v>3459</v>
      </c>
      <c r="C1534" s="0" t="s">
        <v>3450</v>
      </c>
      <c r="D1534" s="0" t="s">
        <v>3457</v>
      </c>
      <c r="E1534" s="20" t="s">
        <v>25</v>
      </c>
      <c r="F1534" s="23" t="s">
        <v>30</v>
      </c>
      <c r="G1534" s="21" t="s">
        <v>183</v>
      </c>
      <c r="H1534" s="21" t="s">
        <v>24</v>
      </c>
      <c r="I1534" s="21" t="s">
        <v>25</v>
      </c>
      <c r="J1534" s="21" t="s">
        <v>24</v>
      </c>
      <c r="K1534" s="21" t="s">
        <v>25</v>
      </c>
      <c r="L1534" s="21" t="s">
        <v>24</v>
      </c>
      <c r="M1534" s="0" t="n">
        <v>183</v>
      </c>
      <c r="N1534" s="0" t="n">
        <v>2</v>
      </c>
      <c r="O1534" s="21" t="s">
        <v>3575</v>
      </c>
      <c r="P1534" s="21" t="s">
        <v>4265</v>
      </c>
      <c r="Q1534" s="0" t="n">
        <v>1</v>
      </c>
      <c r="R1534" s="21" t="s">
        <v>69</v>
      </c>
      <c r="S1534" s="0" t="n">
        <v>2</v>
      </c>
      <c r="T1534" s="21" t="s">
        <v>3575</v>
      </c>
      <c r="U1534" s="22" t="b">
        <f aca="false">TRUE()</f>
        <v>1</v>
      </c>
      <c r="V1534" s="0" t="n">
        <v>0.7</v>
      </c>
      <c r="W1534" s="0" t="n">
        <v>0.64</v>
      </c>
      <c r="X1534" s="0" t="n">
        <v>7.31</v>
      </c>
      <c r="Y1534" s="0" t="n">
        <v>277.22</v>
      </c>
      <c r="Z1534" s="0" t="n">
        <v>9.17</v>
      </c>
      <c r="AA1534" s="0" t="n">
        <v>13.06</v>
      </c>
      <c r="AB1534" s="0" t="n">
        <v>7.34</v>
      </c>
      <c r="AC1534" s="22" t="b">
        <f aca="false">FALSE()</f>
        <v>0</v>
      </c>
      <c r="AD1534" s="0" t="n">
        <v>25.23</v>
      </c>
      <c r="AE1534" s="0" t="n">
        <v>14.25</v>
      </c>
      <c r="AF1534" s="0" t="n">
        <v>23.34</v>
      </c>
      <c r="AG1534" s="22" t="b">
        <f aca="false">TRUE()</f>
        <v>1</v>
      </c>
      <c r="AH1534" s="0" t="n">
        <v>1</v>
      </c>
    </row>
    <row r="1535" customFormat="false" ht="15" hidden="false" customHeight="false" outlineLevel="0" collapsed="false">
      <c r="A1535" s="0" t="s">
        <v>2355</v>
      </c>
      <c r="B1535" s="0" t="s">
        <v>3459</v>
      </c>
      <c r="C1535" s="0" t="s">
        <v>3450</v>
      </c>
      <c r="D1535" s="0" t="s">
        <v>3448</v>
      </c>
      <c r="E1535" s="20" t="s">
        <v>25</v>
      </c>
      <c r="F1535" s="23" t="s">
        <v>30</v>
      </c>
      <c r="G1535" s="21" t="s">
        <v>157</v>
      </c>
      <c r="H1535" s="21" t="s">
        <v>24</v>
      </c>
      <c r="I1535" s="21" t="s">
        <v>25</v>
      </c>
      <c r="J1535" s="21" t="s">
        <v>24</v>
      </c>
      <c r="K1535" s="21" t="s">
        <v>25</v>
      </c>
      <c r="L1535" s="21" t="s">
        <v>24</v>
      </c>
      <c r="M1535" s="0" t="n">
        <v>193</v>
      </c>
      <c r="N1535" s="0" t="n">
        <v>2</v>
      </c>
      <c r="O1535" s="21" t="s">
        <v>3575</v>
      </c>
      <c r="P1535" s="21" t="s">
        <v>4265</v>
      </c>
      <c r="Q1535" s="0" t="n">
        <v>1</v>
      </c>
      <c r="R1535" s="21" t="s">
        <v>69</v>
      </c>
      <c r="S1535" s="0" t="n">
        <v>2</v>
      </c>
      <c r="T1535" s="21" t="s">
        <v>3575</v>
      </c>
      <c r="U1535" s="22" t="b">
        <f aca="false">TRUE()</f>
        <v>1</v>
      </c>
      <c r="V1535" s="0" t="n">
        <v>0.7</v>
      </c>
      <c r="W1535" s="0" t="n">
        <v>0.8</v>
      </c>
      <c r="X1535" s="0" t="n">
        <v>7.4</v>
      </c>
      <c r="Y1535" s="0" t="n">
        <v>336.98</v>
      </c>
      <c r="Z1535" s="0" t="n">
        <v>9</v>
      </c>
      <c r="AA1535" s="0" t="n">
        <v>12.99</v>
      </c>
      <c r="AB1535" s="0" t="n">
        <v>0.6</v>
      </c>
      <c r="AC1535" s="22" t="b">
        <f aca="false">FALSE()</f>
        <v>0</v>
      </c>
      <c r="AD1535" s="0" t="n">
        <v>22.49</v>
      </c>
      <c r="AE1535" s="0" t="n">
        <v>9.91</v>
      </c>
      <c r="AF1535" s="0" t="n">
        <v>18.16</v>
      </c>
      <c r="AG1535" s="22" t="b">
        <f aca="false">TRUE()</f>
        <v>1</v>
      </c>
      <c r="AH1535" s="0" t="n">
        <v>1</v>
      </c>
    </row>
    <row r="1536" customFormat="false" ht="15" hidden="false" customHeight="false" outlineLevel="0" collapsed="false">
      <c r="A1536" s="0" t="s">
        <v>2355</v>
      </c>
      <c r="B1536" s="0" t="s">
        <v>3459</v>
      </c>
      <c r="C1536" s="0" t="s">
        <v>3447</v>
      </c>
      <c r="D1536" s="0" t="s">
        <v>3457</v>
      </c>
      <c r="E1536" s="20" t="s">
        <v>25</v>
      </c>
      <c r="F1536" s="23" t="s">
        <v>30</v>
      </c>
      <c r="G1536" s="21" t="s">
        <v>183</v>
      </c>
      <c r="H1536" s="21" t="s">
        <v>24</v>
      </c>
      <c r="I1536" s="21" t="s">
        <v>25</v>
      </c>
      <c r="J1536" s="21" t="s">
        <v>24</v>
      </c>
      <c r="K1536" s="21" t="s">
        <v>25</v>
      </c>
      <c r="L1536" s="21" t="s">
        <v>24</v>
      </c>
      <c r="M1536" s="0" t="n">
        <v>198</v>
      </c>
      <c r="N1536" s="0" t="n">
        <v>4</v>
      </c>
      <c r="O1536" s="21" t="s">
        <v>3734</v>
      </c>
      <c r="P1536" s="21" t="s">
        <v>4327</v>
      </c>
      <c r="Q1536" s="0" t="n">
        <v>1</v>
      </c>
      <c r="R1536" s="21" t="s">
        <v>69</v>
      </c>
      <c r="S1536" s="0" t="n">
        <v>4</v>
      </c>
      <c r="T1536" s="21" t="s">
        <v>3734</v>
      </c>
      <c r="U1536" s="22" t="b">
        <f aca="false">TRUE()</f>
        <v>1</v>
      </c>
      <c r="V1536" s="0" t="n">
        <v>0.78</v>
      </c>
      <c r="W1536" s="0" t="n">
        <v>0.64</v>
      </c>
      <c r="X1536" s="0" t="n">
        <v>6.37</v>
      </c>
      <c r="Y1536" s="0" t="n">
        <v>331.98</v>
      </c>
      <c r="Z1536" s="0" t="n">
        <v>9.25</v>
      </c>
      <c r="AA1536" s="0" t="n">
        <v>0.87</v>
      </c>
      <c r="AB1536" s="0" t="n">
        <v>7.34</v>
      </c>
      <c r="AC1536" s="22" t="b">
        <f aca="false">FALSE()</f>
        <v>0</v>
      </c>
      <c r="AD1536" s="0" t="n">
        <v>27.4</v>
      </c>
      <c r="AE1536" s="0" t="n">
        <v>17.15</v>
      </c>
      <c r="AF1536" s="0" t="n">
        <v>25.36</v>
      </c>
      <c r="AG1536" s="22" t="b">
        <f aca="false">TRUE()</f>
        <v>1</v>
      </c>
      <c r="AH1536" s="0" t="n">
        <v>1</v>
      </c>
    </row>
    <row r="1537" customFormat="false" ht="15" hidden="false" customHeight="false" outlineLevel="0" collapsed="false">
      <c r="A1537" s="0" t="s">
        <v>2355</v>
      </c>
      <c r="B1537" s="0" t="s">
        <v>3459</v>
      </c>
      <c r="C1537" s="0" t="s">
        <v>3447</v>
      </c>
      <c r="D1537" s="0" t="s">
        <v>3448</v>
      </c>
      <c r="E1537" s="20" t="s">
        <v>25</v>
      </c>
      <c r="F1537" s="23" t="s">
        <v>30</v>
      </c>
      <c r="G1537" s="21" t="s">
        <v>1099</v>
      </c>
      <c r="H1537" s="21" t="s">
        <v>24</v>
      </c>
      <c r="I1537" s="21" t="s">
        <v>25</v>
      </c>
      <c r="J1537" s="21" t="s">
        <v>24</v>
      </c>
      <c r="K1537" s="21" t="s">
        <v>25</v>
      </c>
      <c r="L1537" s="21" t="s">
        <v>24</v>
      </c>
      <c r="M1537" s="0" t="n">
        <v>184</v>
      </c>
      <c r="N1537" s="0" t="n">
        <v>4</v>
      </c>
      <c r="O1537" s="21" t="s">
        <v>3734</v>
      </c>
      <c r="P1537" s="21" t="s">
        <v>4327</v>
      </c>
      <c r="Q1537" s="0" t="n">
        <v>1</v>
      </c>
      <c r="R1537" s="21" t="s">
        <v>69</v>
      </c>
      <c r="S1537" s="0" t="n">
        <v>4</v>
      </c>
      <c r="T1537" s="21" t="s">
        <v>3734</v>
      </c>
      <c r="U1537" s="22" t="b">
        <f aca="false">TRUE()</f>
        <v>1</v>
      </c>
      <c r="V1537" s="0" t="n">
        <v>0.79</v>
      </c>
      <c r="W1537" s="0" t="n">
        <v>0.76</v>
      </c>
      <c r="X1537" s="0" t="n">
        <v>6.3</v>
      </c>
      <c r="Y1537" s="0" t="n">
        <v>322.09</v>
      </c>
      <c r="Z1537" s="0" t="n">
        <v>8.08</v>
      </c>
      <c r="AA1537" s="0" t="n">
        <v>-1.19</v>
      </c>
      <c r="AB1537" s="0" t="n">
        <v>0.6</v>
      </c>
      <c r="AC1537" s="22" t="b">
        <f aca="false">FALSE()</f>
        <v>0</v>
      </c>
      <c r="AD1537" s="0" t="n">
        <v>14.32</v>
      </c>
      <c r="AE1537" s="0" t="n">
        <v>5.83</v>
      </c>
      <c r="AF1537" s="0" t="n">
        <v>14.15</v>
      </c>
      <c r="AG1537" s="22" t="b">
        <f aca="false">TRUE()</f>
        <v>1</v>
      </c>
      <c r="AH1537" s="0" t="n">
        <v>1</v>
      </c>
    </row>
    <row r="1538" customFormat="false" ht="15" hidden="false" customHeight="false" outlineLevel="0" collapsed="false">
      <c r="A1538" s="0" t="s">
        <v>2361</v>
      </c>
      <c r="B1538" s="0" t="s">
        <v>134</v>
      </c>
      <c r="C1538" s="0" t="s">
        <v>3450</v>
      </c>
      <c r="D1538" s="0" t="s">
        <v>3457</v>
      </c>
      <c r="E1538" s="19" t="s">
        <v>26</v>
      </c>
      <c r="F1538" s="19" t="s">
        <v>32</v>
      </c>
      <c r="G1538" s="21" t="s">
        <v>1926</v>
      </c>
      <c r="H1538" s="21" t="s">
        <v>24</v>
      </c>
      <c r="I1538" s="21" t="s">
        <v>26</v>
      </c>
      <c r="J1538" s="21" t="s">
        <v>24</v>
      </c>
      <c r="K1538" s="21" t="s">
        <v>25</v>
      </c>
      <c r="L1538" s="21" t="s">
        <v>24</v>
      </c>
      <c r="M1538" s="0" t="n">
        <v>196</v>
      </c>
      <c r="N1538" s="0" t="n">
        <v>10</v>
      </c>
      <c r="O1538" s="21" t="s">
        <v>4121</v>
      </c>
      <c r="P1538" s="21" t="s">
        <v>4757</v>
      </c>
      <c r="Q1538" s="0" t="n">
        <v>1</v>
      </c>
      <c r="R1538" s="21" t="s">
        <v>69</v>
      </c>
      <c r="S1538" s="0" t="n">
        <v>10</v>
      </c>
      <c r="T1538" s="21" t="s">
        <v>4121</v>
      </c>
      <c r="U1538" s="22" t="b">
        <f aca="false">FALSE()</f>
        <v>0</v>
      </c>
      <c r="V1538" s="0" t="n">
        <v>0.71</v>
      </c>
      <c r="W1538" s="0" t="n">
        <v>0.24</v>
      </c>
      <c r="X1538" s="0" t="n">
        <v>6.81</v>
      </c>
      <c r="Y1538" s="0" t="n">
        <v>453.14</v>
      </c>
      <c r="Z1538" s="0" t="n">
        <v>9</v>
      </c>
      <c r="AA1538" s="0" t="n">
        <v>10.48</v>
      </c>
      <c r="AB1538" s="0" t="n">
        <v>4.89</v>
      </c>
      <c r="AC1538" s="22" t="b">
        <f aca="false">FALSE()</f>
        <v>0</v>
      </c>
      <c r="AD1538" s="0" t="n">
        <v>21.73</v>
      </c>
      <c r="AE1538" s="0" t="n">
        <v>0.62</v>
      </c>
      <c r="AF1538" s="0" t="n">
        <v>12.03</v>
      </c>
      <c r="AG1538" s="22" t="b">
        <f aca="false">TRUE()</f>
        <v>1</v>
      </c>
      <c r="AH1538" s="0" t="n">
        <v>1</v>
      </c>
    </row>
    <row r="1539" customFormat="false" ht="15" hidden="false" customHeight="false" outlineLevel="0" collapsed="false">
      <c r="A1539" s="0" t="s">
        <v>2361</v>
      </c>
      <c r="B1539" s="0" t="s">
        <v>134</v>
      </c>
      <c r="C1539" s="0" t="s">
        <v>3450</v>
      </c>
      <c r="D1539" s="0" t="s">
        <v>3448</v>
      </c>
      <c r="E1539" s="20" t="s">
        <v>25</v>
      </c>
      <c r="F1539" s="23" t="s">
        <v>30</v>
      </c>
      <c r="G1539" s="21" t="s">
        <v>1230</v>
      </c>
      <c r="H1539" s="21" t="s">
        <v>24</v>
      </c>
      <c r="I1539" s="21" t="s">
        <v>25</v>
      </c>
      <c r="J1539" s="21" t="s">
        <v>24</v>
      </c>
      <c r="K1539" s="21" t="s">
        <v>25</v>
      </c>
      <c r="L1539" s="21" t="s">
        <v>24</v>
      </c>
      <c r="M1539" s="0" t="n">
        <v>188</v>
      </c>
      <c r="N1539" s="0" t="n">
        <v>6</v>
      </c>
      <c r="O1539" s="21" t="s">
        <v>3850</v>
      </c>
      <c r="P1539" s="21" t="s">
        <v>4758</v>
      </c>
      <c r="Q1539" s="0" t="n">
        <v>1</v>
      </c>
      <c r="R1539" s="21" t="s">
        <v>69</v>
      </c>
      <c r="S1539" s="0" t="n">
        <v>6</v>
      </c>
      <c r="T1539" s="21" t="s">
        <v>3850</v>
      </c>
      <c r="U1539" s="22" t="b">
        <f aca="false">TRUE()</f>
        <v>1</v>
      </c>
      <c r="V1539" s="0" t="n">
        <v>0.72</v>
      </c>
      <c r="W1539" s="0" t="n">
        <v>0.92</v>
      </c>
      <c r="X1539" s="0" t="n">
        <v>7.51</v>
      </c>
      <c r="Y1539" s="0" t="n">
        <v>326.05</v>
      </c>
      <c r="Z1539" s="0" t="n">
        <v>9.25</v>
      </c>
      <c r="AA1539" s="0" t="n">
        <v>0.36</v>
      </c>
      <c r="AB1539" s="0" t="n">
        <v>49.2</v>
      </c>
      <c r="AC1539" s="22" t="b">
        <f aca="false">FALSE()</f>
        <v>0</v>
      </c>
      <c r="AD1539" s="0" t="n">
        <v>3.52</v>
      </c>
      <c r="AE1539" s="0" t="n">
        <v>0.4</v>
      </c>
      <c r="AF1539" s="0" t="n">
        <v>4.22</v>
      </c>
      <c r="AG1539" s="22" t="b">
        <f aca="false">FALSE()</f>
        <v>0</v>
      </c>
      <c r="AH1539" s="0" t="n">
        <v>1</v>
      </c>
    </row>
    <row r="1540" customFormat="false" ht="15" hidden="false" customHeight="false" outlineLevel="0" collapsed="false">
      <c r="A1540" s="0" t="s">
        <v>2361</v>
      </c>
      <c r="B1540" s="0" t="s">
        <v>134</v>
      </c>
      <c r="C1540" s="0" t="s">
        <v>3447</v>
      </c>
      <c r="D1540" s="0" t="s">
        <v>3457</v>
      </c>
      <c r="E1540" s="18" t="s">
        <v>24</v>
      </c>
      <c r="F1540" s="23" t="s">
        <v>30</v>
      </c>
      <c r="G1540" s="21" t="s">
        <v>30</v>
      </c>
      <c r="H1540" s="21" t="s">
        <v>24</v>
      </c>
      <c r="I1540" s="21" t="s">
        <v>24</v>
      </c>
      <c r="J1540" s="21" t="s">
        <v>24</v>
      </c>
      <c r="K1540" s="21" t="s">
        <v>24</v>
      </c>
      <c r="L1540" s="21" t="s">
        <v>24</v>
      </c>
      <c r="M1540" s="0" t="n">
        <v>213</v>
      </c>
      <c r="N1540" s="0" t="n">
        <v>3</v>
      </c>
      <c r="O1540" s="21" t="s">
        <v>3560</v>
      </c>
      <c r="P1540" s="21" t="s">
        <v>4759</v>
      </c>
      <c r="Q1540" s="0" t="n">
        <v>0</v>
      </c>
      <c r="S1540" s="0" t="n">
        <v>3</v>
      </c>
      <c r="T1540" s="21" t="s">
        <v>3560</v>
      </c>
      <c r="U1540" s="22" t="b">
        <f aca="false">TRUE()</f>
        <v>1</v>
      </c>
      <c r="V1540" s="0" t="n">
        <v>0.8</v>
      </c>
      <c r="W1540" s="0" t="n">
        <v>0.52</v>
      </c>
      <c r="X1540" s="0" t="n">
        <v>8.74</v>
      </c>
      <c r="Y1540" s="0" t="n">
        <v>355.76</v>
      </c>
      <c r="Z1540" s="0" t="n">
        <v>8</v>
      </c>
      <c r="AA1540" s="0" t="n">
        <v>-0.68</v>
      </c>
      <c r="AB1540" s="0" t="n">
        <v>4.89</v>
      </c>
      <c r="AC1540" s="22" t="b">
        <f aca="false">FALSE()</f>
        <v>0</v>
      </c>
      <c r="AD1540" s="0" t="n">
        <v>19.22</v>
      </c>
      <c r="AE1540" s="0" t="n">
        <v>0.1</v>
      </c>
      <c r="AF1540" s="0" t="n">
        <v>10.6</v>
      </c>
      <c r="AG1540" s="22" t="b">
        <f aca="false">TRUE()</f>
        <v>1</v>
      </c>
      <c r="AH1540" s="0" t="n">
        <v>1</v>
      </c>
    </row>
    <row r="1541" customFormat="false" ht="15" hidden="false" customHeight="false" outlineLevel="0" collapsed="false">
      <c r="A1541" s="0" t="s">
        <v>2361</v>
      </c>
      <c r="B1541" s="0" t="s">
        <v>134</v>
      </c>
      <c r="C1541" s="0" t="s">
        <v>3447</v>
      </c>
      <c r="D1541" s="0" t="s">
        <v>3448</v>
      </c>
      <c r="E1541" s="18" t="s">
        <v>24</v>
      </c>
      <c r="F1541" s="18" t="s">
        <v>28</v>
      </c>
      <c r="H1541" s="21" t="s">
        <v>24</v>
      </c>
      <c r="I1541" s="21" t="s">
        <v>24</v>
      </c>
      <c r="J1541" s="21" t="s">
        <v>24</v>
      </c>
      <c r="K1541" s="21" t="s">
        <v>24</v>
      </c>
      <c r="L1541" s="21" t="s">
        <v>24</v>
      </c>
      <c r="M1541" s="0" t="n">
        <v>185</v>
      </c>
      <c r="N1541" s="0" t="n">
        <v>0</v>
      </c>
      <c r="Q1541" s="0" t="n">
        <v>0</v>
      </c>
      <c r="S1541" s="0" t="n">
        <v>0</v>
      </c>
      <c r="U1541" s="22" t="b">
        <f aca="false">FALSE()</f>
        <v>0</v>
      </c>
      <c r="V1541" s="0" t="n">
        <v>0.84</v>
      </c>
      <c r="W1541" s="0" t="n">
        <v>0</v>
      </c>
      <c r="X1541" s="0" t="n">
        <v>6.92</v>
      </c>
      <c r="Y1541" s="0" t="n">
        <v>694.86</v>
      </c>
      <c r="Z1541" s="0" t="n">
        <v>8</v>
      </c>
      <c r="AA1541" s="0" t="n">
        <v>-0.59</v>
      </c>
      <c r="AB1541" s="0" t="n">
        <v>49.2</v>
      </c>
      <c r="AC1541" s="22" t="b">
        <f aca="false">FALSE()</f>
        <v>0</v>
      </c>
      <c r="AD1541" s="0" t="n">
        <v>14.09</v>
      </c>
      <c r="AE1541" s="0" t="n">
        <v>0.79</v>
      </c>
      <c r="AF1541" s="0" t="n">
        <v>8.71</v>
      </c>
      <c r="AG1541" s="22" t="b">
        <f aca="false">TRUE()</f>
        <v>1</v>
      </c>
      <c r="AH1541" s="0" t="n">
        <v>1</v>
      </c>
    </row>
    <row r="1542" customFormat="false" ht="15" hidden="false" customHeight="false" outlineLevel="0" collapsed="false">
      <c r="A1542" s="0" t="s">
        <v>2367</v>
      </c>
      <c r="B1542" s="0" t="s">
        <v>134</v>
      </c>
      <c r="C1542" s="0" t="s">
        <v>3450</v>
      </c>
      <c r="D1542" s="0" t="s">
        <v>3457</v>
      </c>
      <c r="E1542" s="19" t="s">
        <v>26</v>
      </c>
      <c r="F1542" s="19" t="s">
        <v>32</v>
      </c>
      <c r="G1542" s="21" t="s">
        <v>529</v>
      </c>
      <c r="H1542" s="21" t="s">
        <v>24</v>
      </c>
      <c r="I1542" s="21" t="s">
        <v>26</v>
      </c>
      <c r="J1542" s="21" t="s">
        <v>24</v>
      </c>
      <c r="K1542" s="21" t="s">
        <v>24</v>
      </c>
      <c r="L1542" s="21" t="s">
        <v>24</v>
      </c>
      <c r="M1542" s="0" t="n">
        <v>190</v>
      </c>
      <c r="N1542" s="0" t="n">
        <v>10</v>
      </c>
      <c r="O1542" s="21" t="s">
        <v>4060</v>
      </c>
      <c r="P1542" s="21" t="s">
        <v>4282</v>
      </c>
      <c r="Q1542" s="0" t="n">
        <v>1</v>
      </c>
      <c r="R1542" s="21" t="s">
        <v>69</v>
      </c>
      <c r="S1542" s="0" t="n">
        <v>10</v>
      </c>
      <c r="T1542" s="21" t="s">
        <v>4060</v>
      </c>
      <c r="U1542" s="22" t="b">
        <f aca="false">FALSE()</f>
        <v>0</v>
      </c>
      <c r="V1542" s="0" t="n">
        <v>0.72</v>
      </c>
      <c r="W1542" s="0" t="n">
        <v>0.12</v>
      </c>
      <c r="X1542" s="0" t="n">
        <v>8.77</v>
      </c>
      <c r="Y1542" s="0" t="n">
        <v>618.46</v>
      </c>
      <c r="Z1542" s="0" t="n">
        <v>8</v>
      </c>
      <c r="AA1542" s="0" t="n">
        <v>6.34</v>
      </c>
      <c r="AB1542" s="0" t="n">
        <v>1.75</v>
      </c>
      <c r="AC1542" s="22" t="b">
        <f aca="false">FALSE()</f>
        <v>0</v>
      </c>
      <c r="AD1542" s="0" t="n">
        <v>11.31</v>
      </c>
      <c r="AE1542" s="0" t="n">
        <v>0.54</v>
      </c>
      <c r="AF1542" s="0" t="n">
        <v>2.38</v>
      </c>
      <c r="AG1542" s="22" t="b">
        <f aca="false">TRUE()</f>
        <v>1</v>
      </c>
      <c r="AH1542" s="0" t="n">
        <v>1</v>
      </c>
    </row>
    <row r="1543" customFormat="false" ht="15" hidden="false" customHeight="false" outlineLevel="0" collapsed="false">
      <c r="A1543" s="0" t="s">
        <v>2367</v>
      </c>
      <c r="B1543" s="0" t="s">
        <v>134</v>
      </c>
      <c r="C1543" s="0" t="s">
        <v>3450</v>
      </c>
      <c r="D1543" s="0" t="s">
        <v>3448</v>
      </c>
      <c r="E1543" s="20" t="s">
        <v>25</v>
      </c>
      <c r="F1543" s="23" t="s">
        <v>30</v>
      </c>
      <c r="G1543" s="21" t="s">
        <v>283</v>
      </c>
      <c r="H1543" s="21" t="s">
        <v>24</v>
      </c>
      <c r="I1543" s="21" t="s">
        <v>25</v>
      </c>
      <c r="J1543" s="21" t="s">
        <v>24</v>
      </c>
      <c r="K1543" s="21" t="s">
        <v>24</v>
      </c>
      <c r="L1543" s="21" t="s">
        <v>24</v>
      </c>
      <c r="M1543" s="0" t="n">
        <v>183</v>
      </c>
      <c r="N1543" s="0" t="n">
        <v>4</v>
      </c>
      <c r="O1543" s="21" t="s">
        <v>3790</v>
      </c>
      <c r="P1543" s="21" t="s">
        <v>4434</v>
      </c>
      <c r="Q1543" s="0" t="n">
        <v>1</v>
      </c>
      <c r="R1543" s="21" t="s">
        <v>69</v>
      </c>
      <c r="S1543" s="0" t="n">
        <v>4</v>
      </c>
      <c r="T1543" s="21" t="s">
        <v>3790</v>
      </c>
      <c r="U1543" s="22" t="b">
        <f aca="false">TRUE()</f>
        <v>1</v>
      </c>
      <c r="V1543" s="0" t="n">
        <v>0.65</v>
      </c>
      <c r="W1543" s="0" t="n">
        <v>0.68</v>
      </c>
      <c r="X1543" s="0" t="n">
        <v>9.59</v>
      </c>
      <c r="Y1543" s="0" t="n">
        <v>309.97</v>
      </c>
      <c r="Z1543" s="0" t="n">
        <v>8.25</v>
      </c>
      <c r="AA1543" s="0" t="n">
        <v>6.84</v>
      </c>
      <c r="AB1543" s="0" t="n">
        <v>1.93</v>
      </c>
      <c r="AC1543" s="22" t="b">
        <f aca="false">FALSE()</f>
        <v>0</v>
      </c>
      <c r="AD1543" s="0" t="n">
        <v>12.29</v>
      </c>
      <c r="AE1543" s="0" t="n">
        <v>1.31</v>
      </c>
      <c r="AF1543" s="0" t="n">
        <v>7.27</v>
      </c>
      <c r="AG1543" s="22" t="b">
        <f aca="false">TRUE()</f>
        <v>1</v>
      </c>
      <c r="AH1543" s="0" t="n">
        <v>1</v>
      </c>
    </row>
    <row r="1544" customFormat="false" ht="15" hidden="false" customHeight="false" outlineLevel="0" collapsed="false">
      <c r="A1544" s="0" t="s">
        <v>2367</v>
      </c>
      <c r="B1544" s="0" t="s">
        <v>134</v>
      </c>
      <c r="C1544" s="0" t="s">
        <v>3447</v>
      </c>
      <c r="D1544" s="0" t="s">
        <v>3457</v>
      </c>
      <c r="E1544" s="20" t="s">
        <v>25</v>
      </c>
      <c r="F1544" s="23" t="s">
        <v>30</v>
      </c>
      <c r="G1544" s="21" t="s">
        <v>283</v>
      </c>
      <c r="H1544" s="21" t="s">
        <v>24</v>
      </c>
      <c r="I1544" s="21" t="s">
        <v>25</v>
      </c>
      <c r="J1544" s="21" t="s">
        <v>24</v>
      </c>
      <c r="K1544" s="21" t="s">
        <v>24</v>
      </c>
      <c r="L1544" s="21" t="s">
        <v>24</v>
      </c>
      <c r="M1544" s="0" t="n">
        <v>185</v>
      </c>
      <c r="N1544" s="0" t="n">
        <v>4</v>
      </c>
      <c r="O1544" s="21" t="s">
        <v>3737</v>
      </c>
      <c r="P1544" s="21" t="s">
        <v>4535</v>
      </c>
      <c r="Q1544" s="0" t="n">
        <v>1</v>
      </c>
      <c r="R1544" s="21" t="s">
        <v>69</v>
      </c>
      <c r="S1544" s="0" t="n">
        <v>4</v>
      </c>
      <c r="T1544" s="21" t="s">
        <v>3737</v>
      </c>
      <c r="U1544" s="22" t="b">
        <f aca="false">TRUE()</f>
        <v>1</v>
      </c>
      <c r="V1544" s="0" t="n">
        <v>0.67</v>
      </c>
      <c r="W1544" s="0" t="n">
        <v>0.44</v>
      </c>
      <c r="X1544" s="0" t="n">
        <v>8.59</v>
      </c>
      <c r="Y1544" s="0" t="n">
        <v>341.61</v>
      </c>
      <c r="Z1544" s="0" t="n">
        <v>8.42</v>
      </c>
      <c r="AA1544" s="0" t="n">
        <v>4.6</v>
      </c>
      <c r="AB1544" s="0" t="n">
        <v>1.75</v>
      </c>
      <c r="AC1544" s="22" t="b">
        <f aca="false">FALSE()</f>
        <v>0</v>
      </c>
      <c r="AD1544" s="0" t="n">
        <v>11.05</v>
      </c>
      <c r="AE1544" s="0" t="n">
        <v>0.95</v>
      </c>
      <c r="AF1544" s="0" t="n">
        <v>4.02</v>
      </c>
      <c r="AG1544" s="22" t="b">
        <f aca="false">TRUE()</f>
        <v>1</v>
      </c>
      <c r="AH1544" s="0" t="n">
        <v>1</v>
      </c>
    </row>
    <row r="1545" customFormat="false" ht="15" hidden="false" customHeight="false" outlineLevel="0" collapsed="false">
      <c r="A1545" s="0" t="s">
        <v>2367</v>
      </c>
      <c r="B1545" s="0" t="s">
        <v>134</v>
      </c>
      <c r="C1545" s="0" t="s">
        <v>3447</v>
      </c>
      <c r="D1545" s="0" t="s">
        <v>3448</v>
      </c>
      <c r="E1545" s="20" t="s">
        <v>25</v>
      </c>
      <c r="F1545" s="23" t="s">
        <v>30</v>
      </c>
      <c r="G1545" s="21" t="s">
        <v>283</v>
      </c>
      <c r="H1545" s="21" t="s">
        <v>24</v>
      </c>
      <c r="I1545" s="21" t="s">
        <v>25</v>
      </c>
      <c r="J1545" s="21" t="s">
        <v>24</v>
      </c>
      <c r="K1545" s="21" t="s">
        <v>24</v>
      </c>
      <c r="L1545" s="21" t="s">
        <v>24</v>
      </c>
      <c r="M1545" s="0" t="n">
        <v>184</v>
      </c>
      <c r="N1545" s="0" t="n">
        <v>3</v>
      </c>
      <c r="O1545" s="21" t="s">
        <v>3649</v>
      </c>
      <c r="P1545" s="21" t="s">
        <v>4242</v>
      </c>
      <c r="Q1545" s="0" t="n">
        <v>1</v>
      </c>
      <c r="R1545" s="21" t="s">
        <v>69</v>
      </c>
      <c r="S1545" s="0" t="n">
        <v>3</v>
      </c>
      <c r="T1545" s="21" t="s">
        <v>3649</v>
      </c>
      <c r="U1545" s="22" t="b">
        <f aca="false">TRUE()</f>
        <v>1</v>
      </c>
      <c r="V1545" s="0" t="n">
        <v>0.6</v>
      </c>
      <c r="W1545" s="0" t="n">
        <v>0</v>
      </c>
      <c r="X1545" s="0" t="n">
        <v>10.18</v>
      </c>
      <c r="Y1545" s="0" t="n">
        <v>0.71</v>
      </c>
      <c r="Z1545" s="0" t="n">
        <v>8</v>
      </c>
      <c r="AA1545" s="0" t="n">
        <v>5.14</v>
      </c>
      <c r="AB1545" s="0" t="n">
        <v>1.93</v>
      </c>
      <c r="AC1545" s="22" t="b">
        <f aca="false">FALSE()</f>
        <v>0</v>
      </c>
      <c r="AD1545" s="0" t="n">
        <v>9.83</v>
      </c>
      <c r="AE1545" s="0" t="n">
        <v>1.13</v>
      </c>
      <c r="AF1545" s="0" t="n">
        <v>3.47</v>
      </c>
      <c r="AG1545" s="22" t="b">
        <f aca="false">FALSE()</f>
        <v>0</v>
      </c>
      <c r="AH1545" s="0" t="n">
        <v>0</v>
      </c>
    </row>
    <row r="1546" customFormat="false" ht="15" hidden="false" customHeight="false" outlineLevel="0" collapsed="false">
      <c r="A1546" s="0" t="s">
        <v>2373</v>
      </c>
      <c r="B1546" s="0" t="s">
        <v>134</v>
      </c>
      <c r="C1546" s="0" t="s">
        <v>3450</v>
      </c>
      <c r="D1546" s="0" t="s">
        <v>3457</v>
      </c>
      <c r="E1546" s="18" t="s">
        <v>24</v>
      </c>
      <c r="F1546" s="18" t="s">
        <v>28</v>
      </c>
      <c r="H1546" s="21" t="s">
        <v>24</v>
      </c>
      <c r="I1546" s="21" t="s">
        <v>24</v>
      </c>
      <c r="J1546" s="21" t="s">
        <v>24</v>
      </c>
      <c r="K1546" s="21" t="s">
        <v>24</v>
      </c>
      <c r="L1546" s="21" t="s">
        <v>24</v>
      </c>
      <c r="M1546" s="0" t="n">
        <v>183</v>
      </c>
      <c r="N1546" s="0" t="n">
        <v>0</v>
      </c>
      <c r="Q1546" s="0" t="n">
        <v>0</v>
      </c>
      <c r="S1546" s="0" t="n">
        <v>0</v>
      </c>
      <c r="U1546" s="22" t="b">
        <f aca="false">FALSE()</f>
        <v>0</v>
      </c>
      <c r="V1546" s="0" t="n">
        <v>0.69</v>
      </c>
      <c r="W1546" s="0" t="n">
        <v>0.64</v>
      </c>
      <c r="X1546" s="0" t="n">
        <v>7.66</v>
      </c>
      <c r="Y1546" s="0" t="n">
        <v>314.14</v>
      </c>
      <c r="Z1546" s="0" t="n">
        <v>10.83</v>
      </c>
      <c r="AA1546" s="0" t="n">
        <v>9.43</v>
      </c>
      <c r="AB1546" s="0" t="n">
        <v>2.43</v>
      </c>
      <c r="AC1546" s="22" t="b">
        <f aca="false">FALSE()</f>
        <v>0</v>
      </c>
      <c r="AD1546" s="0" t="n">
        <v>13.49</v>
      </c>
      <c r="AE1546" s="0" t="n">
        <v>0.47</v>
      </c>
      <c r="AF1546" s="0" t="n">
        <v>11.15</v>
      </c>
      <c r="AG1546" s="22" t="b">
        <f aca="false">TRUE()</f>
        <v>1</v>
      </c>
      <c r="AH1546" s="0" t="n">
        <v>1</v>
      </c>
    </row>
    <row r="1547" customFormat="false" ht="15" hidden="false" customHeight="false" outlineLevel="0" collapsed="false">
      <c r="A1547" s="0" t="s">
        <v>2373</v>
      </c>
      <c r="B1547" s="0" t="s">
        <v>134</v>
      </c>
      <c r="C1547" s="0" t="s">
        <v>3450</v>
      </c>
      <c r="D1547" s="0" t="s">
        <v>3448</v>
      </c>
      <c r="E1547" s="18" t="s">
        <v>24</v>
      </c>
      <c r="F1547" s="18" t="s">
        <v>28</v>
      </c>
      <c r="H1547" s="21" t="s">
        <v>24</v>
      </c>
      <c r="I1547" s="21" t="s">
        <v>24</v>
      </c>
      <c r="J1547" s="21" t="s">
        <v>24</v>
      </c>
      <c r="K1547" s="21" t="s">
        <v>24</v>
      </c>
      <c r="L1547" s="21" t="s">
        <v>24</v>
      </c>
      <c r="M1547" s="0" t="n">
        <v>183</v>
      </c>
      <c r="N1547" s="0" t="n">
        <v>0</v>
      </c>
      <c r="Q1547" s="0" t="n">
        <v>0</v>
      </c>
      <c r="S1547" s="0" t="n">
        <v>0</v>
      </c>
      <c r="U1547" s="22" t="b">
        <f aca="false">FALSE()</f>
        <v>0</v>
      </c>
      <c r="V1547" s="0" t="n">
        <v>0.71</v>
      </c>
      <c r="W1547" s="0" t="n">
        <v>0.64</v>
      </c>
      <c r="X1547" s="0" t="n">
        <v>8.09</v>
      </c>
      <c r="Y1547" s="0" t="n">
        <v>320.8</v>
      </c>
      <c r="Z1547" s="0" t="n">
        <v>11</v>
      </c>
      <c r="AA1547" s="0" t="n">
        <v>12.09</v>
      </c>
      <c r="AB1547" s="0" t="n">
        <v>1.94</v>
      </c>
      <c r="AC1547" s="22" t="b">
        <f aca="false">FALSE()</f>
        <v>0</v>
      </c>
      <c r="AD1547" s="0" t="n">
        <v>13.71</v>
      </c>
      <c r="AE1547" s="0" t="n">
        <v>0.61</v>
      </c>
      <c r="AF1547" s="0" t="n">
        <v>14.95</v>
      </c>
      <c r="AG1547" s="22" t="b">
        <f aca="false">TRUE()</f>
        <v>1</v>
      </c>
      <c r="AH1547" s="0" t="n">
        <v>1</v>
      </c>
    </row>
    <row r="1548" customFormat="false" ht="15" hidden="false" customHeight="false" outlineLevel="0" collapsed="false">
      <c r="A1548" s="0" t="s">
        <v>2373</v>
      </c>
      <c r="B1548" s="0" t="s">
        <v>134</v>
      </c>
      <c r="C1548" s="0" t="s">
        <v>3447</v>
      </c>
      <c r="D1548" s="0" t="s">
        <v>3457</v>
      </c>
      <c r="E1548" s="20" t="s">
        <v>25</v>
      </c>
      <c r="F1548" s="23" t="s">
        <v>30</v>
      </c>
      <c r="G1548" s="21" t="s">
        <v>283</v>
      </c>
      <c r="H1548" s="21" t="s">
        <v>24</v>
      </c>
      <c r="I1548" s="21" t="s">
        <v>25</v>
      </c>
      <c r="J1548" s="21" t="s">
        <v>24</v>
      </c>
      <c r="K1548" s="21" t="s">
        <v>24</v>
      </c>
      <c r="L1548" s="21" t="s">
        <v>24</v>
      </c>
      <c r="M1548" s="0" t="n">
        <v>184</v>
      </c>
      <c r="N1548" s="0" t="n">
        <v>5</v>
      </c>
      <c r="O1548" s="21" t="s">
        <v>3814</v>
      </c>
      <c r="P1548" s="21" t="s">
        <v>4760</v>
      </c>
      <c r="Q1548" s="0" t="n">
        <v>1</v>
      </c>
      <c r="R1548" s="21" t="s">
        <v>69</v>
      </c>
      <c r="S1548" s="0" t="n">
        <v>5</v>
      </c>
      <c r="T1548" s="21" t="s">
        <v>3814</v>
      </c>
      <c r="U1548" s="22" t="b">
        <f aca="false">TRUE()</f>
        <v>1</v>
      </c>
      <c r="V1548" s="0" t="n">
        <v>0.72</v>
      </c>
      <c r="W1548" s="0" t="n">
        <v>0.44</v>
      </c>
      <c r="X1548" s="0" t="n">
        <v>8.41</v>
      </c>
      <c r="Y1548" s="0" t="n">
        <v>343.02</v>
      </c>
      <c r="Z1548" s="0" t="n">
        <v>11</v>
      </c>
      <c r="AA1548" s="0" t="n">
        <v>3.64</v>
      </c>
      <c r="AB1548" s="0" t="n">
        <v>2.43</v>
      </c>
      <c r="AC1548" s="22" t="b">
        <f aca="false">FALSE()</f>
        <v>0</v>
      </c>
      <c r="AD1548" s="0" t="n">
        <v>10.22</v>
      </c>
      <c r="AE1548" s="0" t="n">
        <v>0.44</v>
      </c>
      <c r="AF1548" s="0" t="n">
        <v>9.69</v>
      </c>
      <c r="AG1548" s="22" t="b">
        <f aca="false">TRUE()</f>
        <v>1</v>
      </c>
      <c r="AH1548" s="0" t="n">
        <v>1</v>
      </c>
    </row>
    <row r="1549" customFormat="false" ht="15" hidden="false" customHeight="false" outlineLevel="0" collapsed="false">
      <c r="A1549" s="0" t="s">
        <v>2373</v>
      </c>
      <c r="B1549" s="0" t="s">
        <v>134</v>
      </c>
      <c r="C1549" s="0" t="s">
        <v>3447</v>
      </c>
      <c r="D1549" s="0" t="s">
        <v>3448</v>
      </c>
      <c r="E1549" s="18" t="s">
        <v>24</v>
      </c>
      <c r="F1549" s="23" t="s">
        <v>30</v>
      </c>
      <c r="G1549" s="21" t="s">
        <v>30</v>
      </c>
      <c r="H1549" s="21" t="s">
        <v>24</v>
      </c>
      <c r="I1549" s="21" t="s">
        <v>24</v>
      </c>
      <c r="J1549" s="21" t="s">
        <v>24</v>
      </c>
      <c r="K1549" s="21" t="s">
        <v>24</v>
      </c>
      <c r="L1549" s="21" t="s">
        <v>24</v>
      </c>
      <c r="M1549" s="0" t="n">
        <v>183</v>
      </c>
      <c r="N1549" s="0" t="n">
        <v>3</v>
      </c>
      <c r="O1549" s="21" t="s">
        <v>3574</v>
      </c>
      <c r="P1549" s="21" t="s">
        <v>4761</v>
      </c>
      <c r="Q1549" s="0" t="n">
        <v>0</v>
      </c>
      <c r="S1549" s="0" t="n">
        <v>3</v>
      </c>
      <c r="T1549" s="21" t="s">
        <v>3574</v>
      </c>
      <c r="U1549" s="22" t="b">
        <f aca="false">TRUE()</f>
        <v>1</v>
      </c>
      <c r="V1549" s="0" t="n">
        <v>0.74</v>
      </c>
      <c r="W1549" s="0" t="n">
        <v>0.36</v>
      </c>
      <c r="X1549" s="0" t="n">
        <v>8.81</v>
      </c>
      <c r="Y1549" s="0" t="n">
        <v>378.55</v>
      </c>
      <c r="Z1549" s="0" t="n">
        <v>10.83</v>
      </c>
      <c r="AA1549" s="0" t="n">
        <v>10.38</v>
      </c>
      <c r="AB1549" s="0" t="n">
        <v>1.94</v>
      </c>
      <c r="AC1549" s="22" t="b">
        <f aca="false">FALSE()</f>
        <v>0</v>
      </c>
      <c r="AD1549" s="0" t="n">
        <v>12.26</v>
      </c>
      <c r="AE1549" s="0" t="n">
        <v>0.82</v>
      </c>
      <c r="AF1549" s="0" t="n">
        <v>15.77</v>
      </c>
      <c r="AG1549" s="22" t="b">
        <f aca="false">TRUE()</f>
        <v>1</v>
      </c>
      <c r="AH1549" s="0" t="n">
        <v>1</v>
      </c>
    </row>
    <row r="1550" customFormat="false" ht="15" hidden="false" customHeight="false" outlineLevel="0" collapsed="false">
      <c r="A1550" s="0" t="s">
        <v>2379</v>
      </c>
      <c r="B1550" s="0" t="s">
        <v>134</v>
      </c>
      <c r="C1550" s="0" t="s">
        <v>3450</v>
      </c>
      <c r="D1550" s="0" t="s">
        <v>3457</v>
      </c>
      <c r="E1550" s="18" t="s">
        <v>24</v>
      </c>
      <c r="F1550" s="18" t="s">
        <v>28</v>
      </c>
      <c r="H1550" s="21" t="s">
        <v>24</v>
      </c>
      <c r="I1550" s="21" t="s">
        <v>24</v>
      </c>
      <c r="J1550" s="21" t="s">
        <v>24</v>
      </c>
      <c r="K1550" s="21" t="s">
        <v>24</v>
      </c>
      <c r="L1550" s="21" t="s">
        <v>24</v>
      </c>
      <c r="M1550" s="0" t="n">
        <v>183</v>
      </c>
      <c r="N1550" s="0" t="n">
        <v>0</v>
      </c>
      <c r="Q1550" s="0" t="n">
        <v>0</v>
      </c>
      <c r="S1550" s="0" t="n">
        <v>0</v>
      </c>
      <c r="U1550" s="22" t="b">
        <f aca="false">FALSE()</f>
        <v>0</v>
      </c>
      <c r="V1550" s="0" t="n">
        <v>0.72</v>
      </c>
      <c r="W1550" s="0" t="n">
        <v>0.32</v>
      </c>
      <c r="X1550" s="0" t="n">
        <v>9.77</v>
      </c>
      <c r="Y1550" s="0" t="n">
        <v>393.48</v>
      </c>
      <c r="Z1550" s="0" t="n">
        <v>9.5</v>
      </c>
      <c r="AA1550" s="0" t="n">
        <v>14.42</v>
      </c>
      <c r="AB1550" s="0" t="n">
        <v>5.75</v>
      </c>
      <c r="AC1550" s="22" t="b">
        <f aca="false">FALSE()</f>
        <v>0</v>
      </c>
      <c r="AD1550" s="0" t="n">
        <v>3.23</v>
      </c>
      <c r="AE1550" s="0" t="n">
        <v>1.22</v>
      </c>
      <c r="AF1550" s="0" t="n">
        <v>12.61</v>
      </c>
      <c r="AG1550" s="22" t="b">
        <f aca="false">FALSE()</f>
        <v>0</v>
      </c>
      <c r="AH1550" s="0" t="n">
        <v>1</v>
      </c>
    </row>
    <row r="1551" customFormat="false" ht="15" hidden="false" customHeight="false" outlineLevel="0" collapsed="false">
      <c r="A1551" s="0" t="s">
        <v>2379</v>
      </c>
      <c r="B1551" s="0" t="s">
        <v>134</v>
      </c>
      <c r="C1551" s="0" t="s">
        <v>3450</v>
      </c>
      <c r="D1551" s="0" t="s">
        <v>3448</v>
      </c>
      <c r="E1551" s="18" t="s">
        <v>24</v>
      </c>
      <c r="F1551" s="18" t="s">
        <v>28</v>
      </c>
      <c r="H1551" s="21" t="s">
        <v>24</v>
      </c>
      <c r="I1551" s="21" t="s">
        <v>24</v>
      </c>
      <c r="J1551" s="21" t="s">
        <v>24</v>
      </c>
      <c r="K1551" s="21" t="s">
        <v>24</v>
      </c>
      <c r="L1551" s="21" t="s">
        <v>24</v>
      </c>
      <c r="M1551" s="0" t="n">
        <v>183</v>
      </c>
      <c r="N1551" s="0" t="n">
        <v>0</v>
      </c>
      <c r="Q1551" s="0" t="n">
        <v>0</v>
      </c>
      <c r="S1551" s="0" t="n">
        <v>0</v>
      </c>
      <c r="U1551" s="22" t="b">
        <f aca="false">FALSE()</f>
        <v>0</v>
      </c>
      <c r="V1551" s="0" t="n">
        <v>0.71</v>
      </c>
      <c r="W1551" s="0" t="n">
        <v>0.64</v>
      </c>
      <c r="X1551" s="0" t="n">
        <v>9.59</v>
      </c>
      <c r="Y1551" s="0" t="n">
        <v>307.86</v>
      </c>
      <c r="Z1551" s="0" t="n">
        <v>9.42</v>
      </c>
      <c r="AA1551" s="0" t="n">
        <v>14.74</v>
      </c>
      <c r="AB1551" s="0" t="n">
        <v>12.59</v>
      </c>
      <c r="AC1551" s="22" t="b">
        <f aca="false">FALSE()</f>
        <v>0</v>
      </c>
      <c r="AD1551" s="0" t="n">
        <v>7.8</v>
      </c>
      <c r="AE1551" s="0" t="n">
        <v>0.9</v>
      </c>
      <c r="AF1551" s="0" t="n">
        <v>4.25</v>
      </c>
      <c r="AG1551" s="22" t="b">
        <f aca="false">FALSE()</f>
        <v>0</v>
      </c>
      <c r="AH1551" s="0" t="n">
        <v>1</v>
      </c>
    </row>
    <row r="1552" customFormat="false" ht="15" hidden="false" customHeight="false" outlineLevel="0" collapsed="false">
      <c r="A1552" s="0" t="s">
        <v>2379</v>
      </c>
      <c r="B1552" s="0" t="s">
        <v>134</v>
      </c>
      <c r="C1552" s="0" t="s">
        <v>3447</v>
      </c>
      <c r="D1552" s="0" t="s">
        <v>3457</v>
      </c>
      <c r="E1552" s="19" t="s">
        <v>26</v>
      </c>
      <c r="F1552" s="19" t="s">
        <v>32</v>
      </c>
      <c r="G1552" s="21" t="s">
        <v>529</v>
      </c>
      <c r="H1552" s="21" t="s">
        <v>24</v>
      </c>
      <c r="I1552" s="21" t="s">
        <v>26</v>
      </c>
      <c r="J1552" s="21" t="s">
        <v>24</v>
      </c>
      <c r="K1552" s="21" t="s">
        <v>24</v>
      </c>
      <c r="L1552" s="21" t="s">
        <v>24</v>
      </c>
      <c r="M1552" s="0" t="n">
        <v>184</v>
      </c>
      <c r="N1552" s="0" t="n">
        <v>10</v>
      </c>
      <c r="O1552" s="21" t="s">
        <v>4077</v>
      </c>
      <c r="P1552" s="21" t="s">
        <v>4762</v>
      </c>
      <c r="Q1552" s="0" t="n">
        <v>1</v>
      </c>
      <c r="R1552" s="21" t="s">
        <v>69</v>
      </c>
      <c r="S1552" s="0" t="n">
        <v>10</v>
      </c>
      <c r="T1552" s="21" t="s">
        <v>4077</v>
      </c>
      <c r="U1552" s="22" t="b">
        <f aca="false">FALSE()</f>
        <v>0</v>
      </c>
      <c r="V1552" s="0" t="n">
        <v>0.71</v>
      </c>
      <c r="W1552" s="0" t="n">
        <v>0.48</v>
      </c>
      <c r="X1552" s="0" t="n">
        <v>8.77</v>
      </c>
      <c r="Y1552" s="0" t="n">
        <v>334.88</v>
      </c>
      <c r="Z1552" s="0" t="n">
        <v>11.75</v>
      </c>
      <c r="AA1552" s="0" t="n">
        <v>2.53</v>
      </c>
      <c r="AB1552" s="0" t="n">
        <v>5.75</v>
      </c>
      <c r="AC1552" s="22" t="b">
        <f aca="false">FALSE()</f>
        <v>0</v>
      </c>
      <c r="AD1552" s="0" t="n">
        <v>1.48</v>
      </c>
      <c r="AE1552" s="0" t="n">
        <v>0.64</v>
      </c>
      <c r="AF1552" s="0" t="n">
        <v>8.17</v>
      </c>
      <c r="AG1552" s="22" t="b">
        <f aca="false">FALSE()</f>
        <v>0</v>
      </c>
      <c r="AH1552" s="0" t="n">
        <v>1</v>
      </c>
    </row>
    <row r="1553" customFormat="false" ht="15" hidden="false" customHeight="false" outlineLevel="0" collapsed="false">
      <c r="A1553" s="0" t="s">
        <v>2379</v>
      </c>
      <c r="B1553" s="0" t="s">
        <v>134</v>
      </c>
      <c r="C1553" s="0" t="s">
        <v>3447</v>
      </c>
      <c r="D1553" s="0" t="s">
        <v>3448</v>
      </c>
      <c r="E1553" s="19" t="s">
        <v>26</v>
      </c>
      <c r="F1553" s="19" t="s">
        <v>32</v>
      </c>
      <c r="G1553" s="21" t="s">
        <v>60</v>
      </c>
      <c r="H1553" s="21" t="s">
        <v>24</v>
      </c>
      <c r="I1553" s="21" t="s">
        <v>26</v>
      </c>
      <c r="J1553" s="21" t="s">
        <v>24</v>
      </c>
      <c r="K1553" s="21" t="s">
        <v>24</v>
      </c>
      <c r="L1553" s="21" t="s">
        <v>24</v>
      </c>
      <c r="M1553" s="0" t="n">
        <v>187</v>
      </c>
      <c r="N1553" s="0" t="n">
        <v>10</v>
      </c>
      <c r="O1553" s="21" t="s">
        <v>3972</v>
      </c>
      <c r="P1553" s="21" t="s">
        <v>4763</v>
      </c>
      <c r="Q1553" s="0" t="n">
        <v>0</v>
      </c>
      <c r="S1553" s="0" t="n">
        <v>10</v>
      </c>
      <c r="T1553" s="21" t="s">
        <v>3972</v>
      </c>
      <c r="U1553" s="22" t="b">
        <f aca="false">FALSE()</f>
        <v>0</v>
      </c>
      <c r="V1553" s="0" t="n">
        <v>0.71</v>
      </c>
      <c r="W1553" s="0" t="n">
        <v>0.16</v>
      </c>
      <c r="X1553" s="0" t="n">
        <v>9.33</v>
      </c>
      <c r="Y1553" s="0" t="n">
        <v>539.7</v>
      </c>
      <c r="Z1553" s="0" t="n">
        <v>11.42</v>
      </c>
      <c r="AA1553" s="0" t="n">
        <v>3.04</v>
      </c>
      <c r="AB1553" s="0" t="n">
        <v>12.59</v>
      </c>
      <c r="AC1553" s="22" t="b">
        <f aca="false">FALSE()</f>
        <v>0</v>
      </c>
      <c r="AD1553" s="0" t="n">
        <v>8.9</v>
      </c>
      <c r="AE1553" s="0" t="n">
        <v>0.86</v>
      </c>
      <c r="AF1553" s="0" t="n">
        <v>4.18</v>
      </c>
      <c r="AG1553" s="22" t="b">
        <f aca="false">FALSE()</f>
        <v>0</v>
      </c>
      <c r="AH1553" s="0" t="n">
        <v>1</v>
      </c>
    </row>
    <row r="1554" customFormat="false" ht="15" hidden="false" customHeight="false" outlineLevel="0" collapsed="false">
      <c r="A1554" s="0" t="s">
        <v>2385</v>
      </c>
      <c r="B1554" s="0" t="s">
        <v>134</v>
      </c>
      <c r="C1554" s="0" t="s">
        <v>3450</v>
      </c>
      <c r="D1554" s="0" t="s">
        <v>3457</v>
      </c>
      <c r="E1554" s="18" t="s">
        <v>24</v>
      </c>
      <c r="F1554" s="18" t="s">
        <v>28</v>
      </c>
      <c r="H1554" s="21" t="s">
        <v>24</v>
      </c>
      <c r="I1554" s="21" t="s">
        <v>24</v>
      </c>
      <c r="J1554" s="21" t="s">
        <v>24</v>
      </c>
      <c r="K1554" s="21" t="s">
        <v>24</v>
      </c>
      <c r="L1554" s="21" t="s">
        <v>24</v>
      </c>
      <c r="M1554" s="0" t="n">
        <v>201</v>
      </c>
      <c r="N1554" s="0" t="n">
        <v>0</v>
      </c>
      <c r="Q1554" s="0" t="n">
        <v>0</v>
      </c>
      <c r="S1554" s="0" t="n">
        <v>0</v>
      </c>
      <c r="U1554" s="22" t="b">
        <f aca="false">FALSE()</f>
        <v>0</v>
      </c>
      <c r="V1554" s="0" t="n">
        <v>0.71</v>
      </c>
      <c r="W1554" s="0" t="n">
        <v>0.4</v>
      </c>
      <c r="X1554" s="0" t="n">
        <v>9.14</v>
      </c>
      <c r="Y1554" s="0" t="n">
        <v>388.74</v>
      </c>
      <c r="Z1554" s="0" t="n">
        <v>10.17</v>
      </c>
      <c r="AA1554" s="0" t="n">
        <v>20.04</v>
      </c>
      <c r="AB1554" s="0" t="n">
        <v>19.18</v>
      </c>
      <c r="AC1554" s="22" t="b">
        <f aca="false">FALSE()</f>
        <v>0</v>
      </c>
      <c r="AD1554" s="0" t="n">
        <v>18.09</v>
      </c>
      <c r="AE1554" s="0" t="n">
        <v>1.01</v>
      </c>
      <c r="AF1554" s="0" t="n">
        <v>11.37</v>
      </c>
      <c r="AG1554" s="22" t="b">
        <f aca="false">TRUE()</f>
        <v>1</v>
      </c>
      <c r="AH1554" s="0" t="n">
        <v>1</v>
      </c>
    </row>
    <row r="1555" customFormat="false" ht="15" hidden="false" customHeight="false" outlineLevel="0" collapsed="false">
      <c r="A1555" s="0" t="s">
        <v>2385</v>
      </c>
      <c r="B1555" s="0" t="s">
        <v>134</v>
      </c>
      <c r="C1555" s="0" t="s">
        <v>3450</v>
      </c>
      <c r="D1555" s="0" t="s">
        <v>3448</v>
      </c>
      <c r="E1555" s="18" t="s">
        <v>24</v>
      </c>
      <c r="F1555" s="18" t="s">
        <v>28</v>
      </c>
      <c r="H1555" s="21" t="s">
        <v>24</v>
      </c>
      <c r="I1555" s="21" t="s">
        <v>24</v>
      </c>
      <c r="J1555" s="21" t="s">
        <v>24</v>
      </c>
      <c r="K1555" s="21" t="s">
        <v>24</v>
      </c>
      <c r="L1555" s="21" t="s">
        <v>24</v>
      </c>
      <c r="M1555" s="0" t="n">
        <v>188</v>
      </c>
      <c r="N1555" s="0" t="n">
        <v>0</v>
      </c>
      <c r="Q1555" s="0" t="n">
        <v>0</v>
      </c>
      <c r="S1555" s="0" t="n">
        <v>0</v>
      </c>
      <c r="U1555" s="22" t="b">
        <f aca="false">FALSE()</f>
        <v>0</v>
      </c>
      <c r="V1555" s="0" t="n">
        <v>0.75</v>
      </c>
      <c r="W1555" s="0" t="n">
        <v>0.6</v>
      </c>
      <c r="X1555" s="0" t="n">
        <v>7.48</v>
      </c>
      <c r="Y1555" s="0" t="n">
        <v>307.07</v>
      </c>
      <c r="Z1555" s="0" t="n">
        <v>10</v>
      </c>
      <c r="AA1555" s="0" t="n">
        <v>18.24</v>
      </c>
      <c r="AB1555" s="0" t="n">
        <v>3.48</v>
      </c>
      <c r="AC1555" s="22" t="b">
        <f aca="false">FALSE()</f>
        <v>0</v>
      </c>
      <c r="AD1555" s="0" t="n">
        <v>10.68</v>
      </c>
      <c r="AE1555" s="0" t="n">
        <v>0.42</v>
      </c>
      <c r="AF1555" s="0" t="n">
        <v>9.23</v>
      </c>
      <c r="AG1555" s="22" t="b">
        <f aca="false">TRUE()</f>
        <v>1</v>
      </c>
      <c r="AH1555" s="0" t="n">
        <v>1</v>
      </c>
    </row>
    <row r="1556" customFormat="false" ht="15" hidden="false" customHeight="false" outlineLevel="0" collapsed="false">
      <c r="A1556" s="0" t="s">
        <v>2385</v>
      </c>
      <c r="B1556" s="0" t="s">
        <v>134</v>
      </c>
      <c r="C1556" s="0" t="s">
        <v>3447</v>
      </c>
      <c r="D1556" s="0" t="s">
        <v>3457</v>
      </c>
      <c r="E1556" s="18" t="s">
        <v>24</v>
      </c>
      <c r="F1556" s="18" t="s">
        <v>28</v>
      </c>
      <c r="H1556" s="21" t="s">
        <v>24</v>
      </c>
      <c r="I1556" s="21" t="s">
        <v>24</v>
      </c>
      <c r="J1556" s="21" t="s">
        <v>24</v>
      </c>
      <c r="K1556" s="21" t="s">
        <v>24</v>
      </c>
      <c r="L1556" s="21" t="s">
        <v>24</v>
      </c>
      <c r="M1556" s="0" t="n">
        <v>189</v>
      </c>
      <c r="N1556" s="0" t="n">
        <v>0</v>
      </c>
      <c r="Q1556" s="0" t="n">
        <v>0</v>
      </c>
      <c r="S1556" s="0" t="n">
        <v>0</v>
      </c>
      <c r="U1556" s="22" t="b">
        <f aca="false">FALSE()</f>
        <v>0</v>
      </c>
      <c r="V1556" s="0" t="n">
        <v>0.72</v>
      </c>
      <c r="W1556" s="0" t="n">
        <v>0.16</v>
      </c>
      <c r="X1556" s="0" t="n">
        <v>6.14</v>
      </c>
      <c r="Y1556" s="0" t="n">
        <v>577.7</v>
      </c>
      <c r="Z1556" s="0" t="n">
        <v>10.25</v>
      </c>
      <c r="AA1556" s="0" t="n">
        <v>6.77</v>
      </c>
      <c r="AB1556" s="0" t="n">
        <v>19.18</v>
      </c>
      <c r="AC1556" s="22" t="b">
        <f aca="false">FALSE()</f>
        <v>0</v>
      </c>
      <c r="AD1556" s="0" t="n">
        <v>18.67</v>
      </c>
      <c r="AE1556" s="0" t="n">
        <v>0.82</v>
      </c>
      <c r="AF1556" s="0" t="n">
        <v>12.87</v>
      </c>
      <c r="AG1556" s="22" t="b">
        <f aca="false">TRUE()</f>
        <v>1</v>
      </c>
      <c r="AH1556" s="0" t="n">
        <v>1</v>
      </c>
    </row>
    <row r="1557" customFormat="false" ht="15" hidden="false" customHeight="false" outlineLevel="0" collapsed="false">
      <c r="A1557" s="0" t="s">
        <v>2385</v>
      </c>
      <c r="B1557" s="0" t="s">
        <v>134</v>
      </c>
      <c r="C1557" s="0" t="s">
        <v>3447</v>
      </c>
      <c r="D1557" s="0" t="s">
        <v>3448</v>
      </c>
      <c r="E1557" s="19" t="s">
        <v>26</v>
      </c>
      <c r="F1557" s="19" t="s">
        <v>32</v>
      </c>
      <c r="G1557" s="21" t="s">
        <v>529</v>
      </c>
      <c r="H1557" s="21" t="s">
        <v>24</v>
      </c>
      <c r="I1557" s="21" t="s">
        <v>26</v>
      </c>
      <c r="J1557" s="21" t="s">
        <v>24</v>
      </c>
      <c r="K1557" s="21" t="s">
        <v>24</v>
      </c>
      <c r="L1557" s="21" t="s">
        <v>24</v>
      </c>
      <c r="M1557" s="0" t="n">
        <v>189</v>
      </c>
      <c r="N1557" s="0" t="n">
        <v>8</v>
      </c>
      <c r="O1557" s="21" t="s">
        <v>4097</v>
      </c>
      <c r="P1557" s="21" t="s">
        <v>4764</v>
      </c>
      <c r="Q1557" s="0" t="n">
        <v>1</v>
      </c>
      <c r="R1557" s="21" t="s">
        <v>69</v>
      </c>
      <c r="S1557" s="0" t="n">
        <v>8</v>
      </c>
      <c r="T1557" s="21" t="s">
        <v>4097</v>
      </c>
      <c r="U1557" s="22" t="b">
        <f aca="false">FALSE()</f>
        <v>0</v>
      </c>
      <c r="V1557" s="0" t="n">
        <v>0.71</v>
      </c>
      <c r="W1557" s="0" t="n">
        <v>0.56</v>
      </c>
      <c r="X1557" s="0" t="n">
        <v>7.78</v>
      </c>
      <c r="Y1557" s="0" t="n">
        <v>305.87</v>
      </c>
      <c r="Z1557" s="0" t="n">
        <v>9.92</v>
      </c>
      <c r="AA1557" s="0" t="n">
        <v>14.42</v>
      </c>
      <c r="AB1557" s="0" t="n">
        <v>3.48</v>
      </c>
      <c r="AC1557" s="22" t="b">
        <f aca="false">FALSE()</f>
        <v>0</v>
      </c>
      <c r="AD1557" s="0" t="n">
        <v>8.64</v>
      </c>
      <c r="AE1557" s="0" t="n">
        <v>1.14</v>
      </c>
      <c r="AF1557" s="0" t="n">
        <v>6.69</v>
      </c>
      <c r="AG1557" s="22" t="b">
        <f aca="false">FALSE()</f>
        <v>0</v>
      </c>
      <c r="AH1557" s="0" t="n">
        <v>1</v>
      </c>
    </row>
    <row r="1558" customFormat="false" ht="15" hidden="false" customHeight="false" outlineLevel="0" collapsed="false">
      <c r="A1558" s="0" t="s">
        <v>2391</v>
      </c>
      <c r="B1558" s="0" t="s">
        <v>134</v>
      </c>
      <c r="C1558" s="0" t="s">
        <v>3450</v>
      </c>
      <c r="D1558" s="0" t="s">
        <v>3457</v>
      </c>
      <c r="E1558" s="18" t="s">
        <v>24</v>
      </c>
      <c r="F1558" s="18" t="s">
        <v>28</v>
      </c>
      <c r="H1558" s="21" t="s">
        <v>24</v>
      </c>
      <c r="I1558" s="21" t="s">
        <v>24</v>
      </c>
      <c r="J1558" s="21" t="s">
        <v>24</v>
      </c>
      <c r="K1558" s="21" t="s">
        <v>24</v>
      </c>
      <c r="L1558" s="21" t="s">
        <v>24</v>
      </c>
      <c r="M1558" s="0" t="n">
        <v>186</v>
      </c>
      <c r="N1558" s="0" t="n">
        <v>0</v>
      </c>
      <c r="Q1558" s="0" t="n">
        <v>0</v>
      </c>
      <c r="S1558" s="0" t="n">
        <v>0</v>
      </c>
      <c r="U1558" s="22" t="b">
        <f aca="false">FALSE()</f>
        <v>0</v>
      </c>
      <c r="V1558" s="0" t="n">
        <v>0.73</v>
      </c>
      <c r="W1558" s="0" t="n">
        <v>0.44</v>
      </c>
      <c r="X1558" s="0" t="n">
        <v>11.09</v>
      </c>
      <c r="Y1558" s="0" t="n">
        <v>338.43</v>
      </c>
      <c r="Z1558" s="0" t="n">
        <v>8.83</v>
      </c>
      <c r="AA1558" s="0" t="n">
        <v>9.97</v>
      </c>
      <c r="AB1558" s="0" t="n">
        <v>4.48</v>
      </c>
      <c r="AC1558" s="22" t="b">
        <f aca="false">FALSE()</f>
        <v>0</v>
      </c>
      <c r="AD1558" s="0" t="n">
        <v>14.15</v>
      </c>
      <c r="AE1558" s="0" t="n">
        <v>1.27</v>
      </c>
      <c r="AF1558" s="0" t="n">
        <v>4.38</v>
      </c>
      <c r="AG1558" s="22" t="b">
        <f aca="false">TRUE()</f>
        <v>1</v>
      </c>
      <c r="AH1558" s="0" t="n">
        <v>1</v>
      </c>
    </row>
    <row r="1559" customFormat="false" ht="15" hidden="false" customHeight="false" outlineLevel="0" collapsed="false">
      <c r="A1559" s="0" t="s">
        <v>2391</v>
      </c>
      <c r="B1559" s="0" t="s">
        <v>134</v>
      </c>
      <c r="C1559" s="0" t="s">
        <v>3450</v>
      </c>
      <c r="D1559" s="0" t="s">
        <v>3448</v>
      </c>
      <c r="E1559" s="18" t="s">
        <v>24</v>
      </c>
      <c r="F1559" s="18" t="s">
        <v>28</v>
      </c>
      <c r="H1559" s="21" t="s">
        <v>24</v>
      </c>
      <c r="I1559" s="21" t="s">
        <v>24</v>
      </c>
      <c r="J1559" s="21" t="s">
        <v>24</v>
      </c>
      <c r="K1559" s="21" t="s">
        <v>24</v>
      </c>
      <c r="L1559" s="21" t="s">
        <v>24</v>
      </c>
      <c r="M1559" s="0" t="n">
        <v>184</v>
      </c>
      <c r="N1559" s="0" t="n">
        <v>0</v>
      </c>
      <c r="Q1559" s="0" t="n">
        <v>0</v>
      </c>
      <c r="S1559" s="0" t="n">
        <v>0</v>
      </c>
      <c r="U1559" s="22" t="b">
        <f aca="false">FALSE()</f>
        <v>0</v>
      </c>
      <c r="V1559" s="0" t="n">
        <v>0.77</v>
      </c>
      <c r="W1559" s="0" t="n">
        <v>0.72</v>
      </c>
      <c r="X1559" s="0" t="n">
        <v>13.83</v>
      </c>
      <c r="Y1559" s="0" t="n">
        <v>320.76</v>
      </c>
      <c r="Z1559" s="0" t="n">
        <v>8.08</v>
      </c>
      <c r="AA1559" s="0" t="n">
        <v>3.18</v>
      </c>
      <c r="AB1559" s="0" t="n">
        <v>7.47</v>
      </c>
      <c r="AC1559" s="22" t="b">
        <f aca="false">FALSE()</f>
        <v>0</v>
      </c>
      <c r="AD1559" s="0" t="n">
        <v>3.29</v>
      </c>
      <c r="AE1559" s="0" t="n">
        <v>0.33</v>
      </c>
      <c r="AF1559" s="0" t="n">
        <v>1.5</v>
      </c>
      <c r="AG1559" s="22" t="b">
        <f aca="false">FALSE()</f>
        <v>0</v>
      </c>
      <c r="AH1559" s="0" t="n">
        <v>1</v>
      </c>
    </row>
    <row r="1560" customFormat="false" ht="15" hidden="false" customHeight="false" outlineLevel="0" collapsed="false">
      <c r="A1560" s="0" t="s">
        <v>2391</v>
      </c>
      <c r="B1560" s="0" t="s">
        <v>134</v>
      </c>
      <c r="C1560" s="0" t="s">
        <v>3447</v>
      </c>
      <c r="D1560" s="0" t="s">
        <v>3457</v>
      </c>
      <c r="E1560" s="20" t="s">
        <v>25</v>
      </c>
      <c r="F1560" s="23" t="s">
        <v>30</v>
      </c>
      <c r="G1560" s="21" t="s">
        <v>283</v>
      </c>
      <c r="H1560" s="21" t="s">
        <v>24</v>
      </c>
      <c r="I1560" s="21" t="s">
        <v>25</v>
      </c>
      <c r="J1560" s="21" t="s">
        <v>24</v>
      </c>
      <c r="K1560" s="21" t="s">
        <v>24</v>
      </c>
      <c r="L1560" s="21" t="s">
        <v>24</v>
      </c>
      <c r="M1560" s="0" t="n">
        <v>186</v>
      </c>
      <c r="N1560" s="0" t="n">
        <v>1</v>
      </c>
      <c r="O1560" s="21" t="s">
        <v>69</v>
      </c>
      <c r="P1560" s="21" t="s">
        <v>4275</v>
      </c>
      <c r="Q1560" s="0" t="n">
        <v>1</v>
      </c>
      <c r="R1560" s="21" t="s">
        <v>69</v>
      </c>
      <c r="S1560" s="0" t="n">
        <v>1</v>
      </c>
      <c r="T1560" s="21" t="s">
        <v>69</v>
      </c>
      <c r="U1560" s="22" t="b">
        <f aca="false">TRUE()</f>
        <v>1</v>
      </c>
      <c r="V1560" s="0" t="n">
        <v>0.74</v>
      </c>
      <c r="W1560" s="0" t="n">
        <v>0.6</v>
      </c>
      <c r="X1560" s="0" t="n">
        <v>9.2</v>
      </c>
      <c r="Y1560" s="0" t="n">
        <v>318.72</v>
      </c>
      <c r="Z1560" s="0" t="n">
        <v>8.67</v>
      </c>
      <c r="AA1560" s="0" t="n">
        <v>1.93</v>
      </c>
      <c r="AB1560" s="0" t="n">
        <v>4.48</v>
      </c>
      <c r="AC1560" s="22" t="b">
        <f aca="false">FALSE()</f>
        <v>0</v>
      </c>
      <c r="AD1560" s="0" t="n">
        <v>10.97</v>
      </c>
      <c r="AE1560" s="0" t="n">
        <v>0.99</v>
      </c>
      <c r="AF1560" s="0" t="n">
        <v>2.76</v>
      </c>
      <c r="AG1560" s="22" t="b">
        <f aca="false">TRUE()</f>
        <v>1</v>
      </c>
      <c r="AH1560" s="0" t="n">
        <v>1</v>
      </c>
    </row>
    <row r="1561" customFormat="false" ht="15" hidden="false" customHeight="false" outlineLevel="0" collapsed="false">
      <c r="A1561" s="0" t="s">
        <v>2391</v>
      </c>
      <c r="B1561" s="0" t="s">
        <v>134</v>
      </c>
      <c r="C1561" s="0" t="s">
        <v>3447</v>
      </c>
      <c r="D1561" s="0" t="s">
        <v>3448</v>
      </c>
      <c r="E1561" s="18" t="s">
        <v>24</v>
      </c>
      <c r="F1561" s="18" t="s">
        <v>28</v>
      </c>
      <c r="H1561" s="21" t="s">
        <v>24</v>
      </c>
      <c r="I1561" s="21" t="s">
        <v>24</v>
      </c>
      <c r="J1561" s="21" t="s">
        <v>24</v>
      </c>
      <c r="K1561" s="21" t="s">
        <v>24</v>
      </c>
      <c r="L1561" s="21" t="s">
        <v>24</v>
      </c>
      <c r="M1561" s="0" t="n">
        <v>183</v>
      </c>
      <c r="N1561" s="0" t="n">
        <v>0</v>
      </c>
      <c r="Q1561" s="0" t="n">
        <v>0</v>
      </c>
      <c r="S1561" s="0" t="n">
        <v>0</v>
      </c>
      <c r="U1561" s="22" t="b">
        <f aca="false">FALSE()</f>
        <v>0</v>
      </c>
      <c r="V1561" s="0" t="n">
        <v>0.77</v>
      </c>
      <c r="W1561" s="0" t="n">
        <v>0.48</v>
      </c>
      <c r="X1561" s="0" t="n">
        <v>10.73</v>
      </c>
      <c r="Y1561" s="0" t="n">
        <v>335.08</v>
      </c>
      <c r="Z1561" s="0" t="n">
        <v>8</v>
      </c>
      <c r="AA1561" s="0" t="n">
        <v>6.93</v>
      </c>
      <c r="AB1561" s="0" t="n">
        <v>7.47</v>
      </c>
      <c r="AC1561" s="22" t="b">
        <f aca="false">FALSE()</f>
        <v>0</v>
      </c>
      <c r="AD1561" s="0" t="n">
        <v>13.02</v>
      </c>
      <c r="AE1561" s="0" t="n">
        <v>0</v>
      </c>
      <c r="AF1561" s="0" t="n">
        <v>8.86</v>
      </c>
      <c r="AG1561" s="22" t="b">
        <f aca="false">TRUE()</f>
        <v>1</v>
      </c>
      <c r="AH1561" s="0" t="n">
        <v>1</v>
      </c>
    </row>
    <row r="1562" customFormat="false" ht="15" hidden="false" customHeight="false" outlineLevel="0" collapsed="false">
      <c r="A1562" s="0" t="s">
        <v>2391</v>
      </c>
      <c r="B1562" s="0" t="s">
        <v>3459</v>
      </c>
      <c r="C1562" s="0" t="s">
        <v>3450</v>
      </c>
      <c r="D1562" s="0" t="s">
        <v>3457</v>
      </c>
      <c r="E1562" s="18" t="s">
        <v>24</v>
      </c>
      <c r="F1562" s="23" t="s">
        <v>30</v>
      </c>
      <c r="G1562" s="21" t="s">
        <v>30</v>
      </c>
      <c r="H1562" s="21" t="s">
        <v>24</v>
      </c>
      <c r="I1562" s="21" t="s">
        <v>24</v>
      </c>
      <c r="J1562" s="21" t="s">
        <v>24</v>
      </c>
      <c r="K1562" s="21" t="s">
        <v>24</v>
      </c>
      <c r="L1562" s="21" t="s">
        <v>24</v>
      </c>
      <c r="M1562" s="0" t="n">
        <v>183</v>
      </c>
      <c r="N1562" s="0" t="n">
        <v>1</v>
      </c>
      <c r="O1562" s="21" t="s">
        <v>3480</v>
      </c>
      <c r="P1562" s="21" t="s">
        <v>4765</v>
      </c>
      <c r="Q1562" s="0" t="n">
        <v>0</v>
      </c>
      <c r="S1562" s="0" t="n">
        <v>0</v>
      </c>
      <c r="U1562" s="22" t="b">
        <f aca="false">TRUE()</f>
        <v>1</v>
      </c>
      <c r="V1562" s="0" t="n">
        <v>0.73</v>
      </c>
      <c r="W1562" s="0" t="n">
        <v>0.12</v>
      </c>
      <c r="X1562" s="0" t="n">
        <v>15.36</v>
      </c>
      <c r="Y1562" s="0" t="n">
        <v>537.1</v>
      </c>
      <c r="Z1562" s="0" t="n">
        <v>8.75</v>
      </c>
      <c r="AA1562" s="0" t="n">
        <v>10.85</v>
      </c>
      <c r="AB1562" s="0" t="n">
        <v>5.13</v>
      </c>
      <c r="AC1562" s="22" t="b">
        <f aca="false">FALSE()</f>
        <v>0</v>
      </c>
      <c r="AD1562" s="0" t="n">
        <v>19.56</v>
      </c>
      <c r="AE1562" s="0" t="n">
        <v>5.44</v>
      </c>
      <c r="AF1562" s="0" t="n">
        <v>11.8</v>
      </c>
      <c r="AG1562" s="22" t="b">
        <f aca="false">TRUE()</f>
        <v>1</v>
      </c>
      <c r="AH1562" s="0" t="n">
        <v>1</v>
      </c>
    </row>
    <row r="1563" customFormat="false" ht="15" hidden="false" customHeight="false" outlineLevel="0" collapsed="false">
      <c r="A1563" s="0" t="s">
        <v>2391</v>
      </c>
      <c r="B1563" s="0" t="s">
        <v>3459</v>
      </c>
      <c r="C1563" s="0" t="s">
        <v>3450</v>
      </c>
      <c r="D1563" s="0" t="s">
        <v>3448</v>
      </c>
      <c r="E1563" s="20" t="s">
        <v>25</v>
      </c>
      <c r="F1563" s="20" t="s">
        <v>29</v>
      </c>
      <c r="G1563" s="21" t="s">
        <v>61</v>
      </c>
      <c r="H1563" s="21" t="s">
        <v>24</v>
      </c>
      <c r="I1563" s="21" t="s">
        <v>24</v>
      </c>
      <c r="J1563" s="21" t="s">
        <v>24</v>
      </c>
      <c r="K1563" s="21" t="s">
        <v>25</v>
      </c>
      <c r="L1563" s="21" t="s">
        <v>24</v>
      </c>
      <c r="M1563" s="0" t="n">
        <v>183</v>
      </c>
      <c r="N1563" s="0" t="n">
        <v>0</v>
      </c>
      <c r="Q1563" s="0" t="n">
        <v>0</v>
      </c>
      <c r="S1563" s="0" t="n">
        <v>0</v>
      </c>
      <c r="U1563" s="22" t="b">
        <f aca="false">FALSE()</f>
        <v>0</v>
      </c>
      <c r="V1563" s="0" t="n">
        <v>0.78</v>
      </c>
      <c r="W1563" s="0" t="n">
        <v>0.44</v>
      </c>
      <c r="X1563" s="0" t="n">
        <v>15.23</v>
      </c>
      <c r="Y1563" s="0" t="n">
        <v>345.11</v>
      </c>
      <c r="Z1563" s="0" t="n">
        <v>8.5</v>
      </c>
      <c r="AA1563" s="0" t="n">
        <v>7.64</v>
      </c>
      <c r="AB1563" s="0" t="n">
        <v>1.85</v>
      </c>
      <c r="AC1563" s="22" t="b">
        <f aca="false">FALSE()</f>
        <v>0</v>
      </c>
      <c r="AD1563" s="0" t="n">
        <v>20.99</v>
      </c>
      <c r="AE1563" s="0" t="n">
        <v>9.08</v>
      </c>
      <c r="AF1563" s="0" t="n">
        <v>17.57</v>
      </c>
      <c r="AG1563" s="22" t="b">
        <f aca="false">TRUE()</f>
        <v>1</v>
      </c>
      <c r="AH1563" s="0" t="n">
        <v>1</v>
      </c>
    </row>
    <row r="1564" customFormat="false" ht="15" hidden="false" customHeight="false" outlineLevel="0" collapsed="false">
      <c r="A1564" s="0" t="s">
        <v>2391</v>
      </c>
      <c r="B1564" s="0" t="s">
        <v>3459</v>
      </c>
      <c r="C1564" s="0" t="s">
        <v>3447</v>
      </c>
      <c r="D1564" s="0" t="s">
        <v>3457</v>
      </c>
      <c r="E1564" s="18" t="s">
        <v>24</v>
      </c>
      <c r="F1564" s="18" t="s">
        <v>28</v>
      </c>
      <c r="H1564" s="21" t="s">
        <v>24</v>
      </c>
      <c r="I1564" s="21" t="s">
        <v>24</v>
      </c>
      <c r="J1564" s="21" t="s">
        <v>24</v>
      </c>
      <c r="K1564" s="21" t="s">
        <v>24</v>
      </c>
      <c r="L1564" s="21" t="s">
        <v>24</v>
      </c>
      <c r="M1564" s="0" t="n">
        <v>183</v>
      </c>
      <c r="N1564" s="0" t="n">
        <v>0</v>
      </c>
      <c r="Q1564" s="0" t="n">
        <v>0</v>
      </c>
      <c r="S1564" s="0" t="n">
        <v>0</v>
      </c>
      <c r="U1564" s="22" t="b">
        <f aca="false">FALSE()</f>
        <v>0</v>
      </c>
      <c r="V1564" s="0" t="n">
        <v>0.79</v>
      </c>
      <c r="W1564" s="0" t="n">
        <v>0.36</v>
      </c>
      <c r="X1564" s="0" t="n">
        <v>11.96</v>
      </c>
      <c r="Y1564" s="0" t="n">
        <v>369.5</v>
      </c>
      <c r="Z1564" s="0" t="n">
        <v>8.58</v>
      </c>
      <c r="AA1564" s="0" t="n">
        <v>4.55</v>
      </c>
      <c r="AB1564" s="0" t="n">
        <v>5.13</v>
      </c>
      <c r="AC1564" s="22" t="b">
        <f aca="false">FALSE()</f>
        <v>0</v>
      </c>
      <c r="AD1564" s="0" t="n">
        <v>18.8</v>
      </c>
      <c r="AE1564" s="0" t="n">
        <v>5.98</v>
      </c>
      <c r="AF1564" s="0" t="n">
        <v>12.07</v>
      </c>
      <c r="AG1564" s="22" t="b">
        <f aca="false">TRUE()</f>
        <v>1</v>
      </c>
      <c r="AH1564" s="0" t="n">
        <v>1</v>
      </c>
    </row>
    <row r="1565" customFormat="false" ht="15" hidden="false" customHeight="false" outlineLevel="0" collapsed="false">
      <c r="A1565" s="0" t="s">
        <v>2391</v>
      </c>
      <c r="B1565" s="0" t="s">
        <v>3459</v>
      </c>
      <c r="C1565" s="0" t="s">
        <v>3447</v>
      </c>
      <c r="D1565" s="0" t="s">
        <v>3448</v>
      </c>
      <c r="E1565" s="20" t="s">
        <v>25</v>
      </c>
      <c r="F1565" s="23" t="s">
        <v>30</v>
      </c>
      <c r="G1565" s="21" t="s">
        <v>183</v>
      </c>
      <c r="H1565" s="21" t="s">
        <v>24</v>
      </c>
      <c r="I1565" s="21" t="s">
        <v>25</v>
      </c>
      <c r="J1565" s="21" t="s">
        <v>24</v>
      </c>
      <c r="K1565" s="21" t="s">
        <v>25</v>
      </c>
      <c r="L1565" s="21" t="s">
        <v>24</v>
      </c>
      <c r="M1565" s="0" t="n">
        <v>183</v>
      </c>
      <c r="N1565" s="0" t="n">
        <v>1</v>
      </c>
      <c r="O1565" s="21" t="s">
        <v>69</v>
      </c>
      <c r="P1565" s="21" t="s">
        <v>4275</v>
      </c>
      <c r="Q1565" s="0" t="n">
        <v>1</v>
      </c>
      <c r="R1565" s="21" t="s">
        <v>69</v>
      </c>
      <c r="S1565" s="0" t="n">
        <v>1</v>
      </c>
      <c r="T1565" s="21" t="s">
        <v>69</v>
      </c>
      <c r="U1565" s="22" t="b">
        <f aca="false">TRUE()</f>
        <v>1</v>
      </c>
      <c r="V1565" s="0" t="n">
        <v>0.79</v>
      </c>
      <c r="W1565" s="0" t="n">
        <v>0.32</v>
      </c>
      <c r="X1565" s="0" t="n">
        <v>12.16</v>
      </c>
      <c r="Y1565" s="0" t="n">
        <v>402.3</v>
      </c>
      <c r="Z1565" s="0" t="n">
        <v>8.58</v>
      </c>
      <c r="AA1565" s="0" t="n">
        <v>8.37</v>
      </c>
      <c r="AB1565" s="0" t="n">
        <v>1.85</v>
      </c>
      <c r="AC1565" s="22" t="b">
        <f aca="false">FALSE()</f>
        <v>0</v>
      </c>
      <c r="AD1565" s="0" t="n">
        <v>20.53</v>
      </c>
      <c r="AE1565" s="0" t="n">
        <v>9.2</v>
      </c>
      <c r="AF1565" s="0" t="n">
        <v>16.07</v>
      </c>
      <c r="AG1565" s="22" t="b">
        <f aca="false">TRUE()</f>
        <v>1</v>
      </c>
      <c r="AH1565" s="0" t="n">
        <v>1</v>
      </c>
    </row>
    <row r="1566" customFormat="false" ht="15" hidden="false" customHeight="false" outlineLevel="0" collapsed="false">
      <c r="A1566" s="0" t="s">
        <v>2397</v>
      </c>
      <c r="B1566" s="0" t="s">
        <v>134</v>
      </c>
      <c r="C1566" s="0" t="s">
        <v>3450</v>
      </c>
      <c r="D1566" s="0" t="s">
        <v>3457</v>
      </c>
      <c r="E1566" s="18" t="s">
        <v>24</v>
      </c>
      <c r="F1566" s="18" t="s">
        <v>28</v>
      </c>
      <c r="H1566" s="21" t="s">
        <v>24</v>
      </c>
      <c r="I1566" s="21" t="s">
        <v>24</v>
      </c>
      <c r="J1566" s="21" t="s">
        <v>24</v>
      </c>
      <c r="K1566" s="21" t="s">
        <v>24</v>
      </c>
      <c r="L1566" s="21" t="s">
        <v>24</v>
      </c>
      <c r="M1566" s="0" t="n">
        <v>185</v>
      </c>
      <c r="N1566" s="0" t="n">
        <v>0</v>
      </c>
      <c r="Q1566" s="0" t="n">
        <v>0</v>
      </c>
      <c r="S1566" s="0" t="n">
        <v>0</v>
      </c>
      <c r="U1566" s="22" t="b">
        <f aca="false">FALSE()</f>
        <v>0</v>
      </c>
      <c r="V1566" s="0" t="n">
        <v>0.71</v>
      </c>
      <c r="W1566" s="0" t="n">
        <v>0.72</v>
      </c>
      <c r="X1566" s="0" t="n">
        <v>11.22</v>
      </c>
      <c r="Y1566" s="0" t="n">
        <v>319.03</v>
      </c>
      <c r="Z1566" s="0" t="n">
        <v>9.25</v>
      </c>
      <c r="AA1566" s="0" t="n">
        <v>17</v>
      </c>
      <c r="AB1566" s="0" t="n">
        <v>6.45</v>
      </c>
      <c r="AC1566" s="22" t="b">
        <f aca="false">FALSE()</f>
        <v>0</v>
      </c>
      <c r="AD1566" s="0" t="n">
        <v>14.39</v>
      </c>
      <c r="AE1566" s="0" t="n">
        <v>0.15</v>
      </c>
      <c r="AF1566" s="0" t="n">
        <v>16.3</v>
      </c>
      <c r="AG1566" s="22" t="b">
        <f aca="false">TRUE()</f>
        <v>1</v>
      </c>
      <c r="AH1566" s="0" t="n">
        <v>1</v>
      </c>
    </row>
    <row r="1567" customFormat="false" ht="15" hidden="false" customHeight="false" outlineLevel="0" collapsed="false">
      <c r="A1567" s="0" t="s">
        <v>2397</v>
      </c>
      <c r="B1567" s="0" t="s">
        <v>134</v>
      </c>
      <c r="C1567" s="0" t="s">
        <v>3450</v>
      </c>
      <c r="D1567" s="0" t="s">
        <v>3448</v>
      </c>
      <c r="E1567" s="18" t="s">
        <v>24</v>
      </c>
      <c r="F1567" s="18" t="s">
        <v>28</v>
      </c>
      <c r="H1567" s="21" t="s">
        <v>24</v>
      </c>
      <c r="I1567" s="21" t="s">
        <v>24</v>
      </c>
      <c r="J1567" s="21" t="s">
        <v>24</v>
      </c>
      <c r="K1567" s="21" t="s">
        <v>24</v>
      </c>
      <c r="L1567" s="21" t="s">
        <v>24</v>
      </c>
      <c r="M1567" s="0" t="n">
        <v>184</v>
      </c>
      <c r="N1567" s="0" t="n">
        <v>0</v>
      </c>
      <c r="Q1567" s="0" t="n">
        <v>0</v>
      </c>
      <c r="S1567" s="0" t="n">
        <v>0</v>
      </c>
      <c r="U1567" s="22" t="b">
        <f aca="false">FALSE()</f>
        <v>0</v>
      </c>
      <c r="V1567" s="0" t="n">
        <v>0.82</v>
      </c>
      <c r="W1567" s="0" t="n">
        <v>0.56</v>
      </c>
      <c r="X1567" s="0" t="n">
        <v>12.98</v>
      </c>
      <c r="Y1567" s="0" t="n">
        <v>281.8</v>
      </c>
      <c r="Z1567" s="0" t="n">
        <v>8.75</v>
      </c>
      <c r="AA1567" s="0" t="n">
        <v>7.92</v>
      </c>
      <c r="AB1567" s="0" t="n">
        <v>1.73</v>
      </c>
      <c r="AC1567" s="22" t="b">
        <f aca="false">FALSE()</f>
        <v>0</v>
      </c>
      <c r="AD1567" s="0" t="n">
        <v>6.04</v>
      </c>
      <c r="AE1567" s="0" t="n">
        <v>-0.05</v>
      </c>
      <c r="AF1567" s="0" t="n">
        <v>2.29</v>
      </c>
      <c r="AG1567" s="22" t="b">
        <f aca="false">FALSE()</f>
        <v>0</v>
      </c>
      <c r="AH1567" s="0" t="n">
        <v>1</v>
      </c>
    </row>
    <row r="1568" customFormat="false" ht="15" hidden="false" customHeight="false" outlineLevel="0" collapsed="false">
      <c r="A1568" s="0" t="s">
        <v>2397</v>
      </c>
      <c r="B1568" s="0" t="s">
        <v>134</v>
      </c>
      <c r="C1568" s="0" t="s">
        <v>3447</v>
      </c>
      <c r="D1568" s="0" t="s">
        <v>3457</v>
      </c>
      <c r="E1568" s="18" t="s">
        <v>24</v>
      </c>
      <c r="F1568" s="18" t="s">
        <v>28</v>
      </c>
      <c r="H1568" s="21" t="s">
        <v>24</v>
      </c>
      <c r="I1568" s="21" t="s">
        <v>24</v>
      </c>
      <c r="J1568" s="21" t="s">
        <v>24</v>
      </c>
      <c r="K1568" s="21" t="s">
        <v>24</v>
      </c>
      <c r="L1568" s="21" t="s">
        <v>24</v>
      </c>
      <c r="M1568" s="0" t="n">
        <v>195</v>
      </c>
      <c r="N1568" s="0" t="n">
        <v>0</v>
      </c>
      <c r="Q1568" s="0" t="n">
        <v>0</v>
      </c>
      <c r="S1568" s="0" t="n">
        <v>0</v>
      </c>
      <c r="U1568" s="22" t="b">
        <f aca="false">FALSE()</f>
        <v>0</v>
      </c>
      <c r="V1568" s="0" t="n">
        <v>0.71</v>
      </c>
      <c r="W1568" s="0" t="n">
        <v>0.88</v>
      </c>
      <c r="X1568" s="0" t="n">
        <v>8.8</v>
      </c>
      <c r="Y1568" s="0" t="n">
        <v>338.1</v>
      </c>
      <c r="Z1568" s="0" t="n">
        <v>9.75</v>
      </c>
      <c r="AA1568" s="0" t="n">
        <v>11.05</v>
      </c>
      <c r="AB1568" s="0" t="n">
        <v>6.45</v>
      </c>
      <c r="AC1568" s="22" t="b">
        <f aca="false">FALSE()</f>
        <v>0</v>
      </c>
      <c r="AD1568" s="0" t="n">
        <v>12.93</v>
      </c>
      <c r="AE1568" s="0" t="n">
        <v>0.68</v>
      </c>
      <c r="AF1568" s="0" t="n">
        <v>16.63</v>
      </c>
      <c r="AG1568" s="22" t="b">
        <f aca="false">TRUE()</f>
        <v>1</v>
      </c>
      <c r="AH1568" s="0" t="n">
        <v>1</v>
      </c>
    </row>
    <row r="1569" customFormat="false" ht="15" hidden="false" customHeight="false" outlineLevel="0" collapsed="false">
      <c r="A1569" s="0" t="s">
        <v>2397</v>
      </c>
      <c r="B1569" s="0" t="s">
        <v>134</v>
      </c>
      <c r="C1569" s="0" t="s">
        <v>3447</v>
      </c>
      <c r="D1569" s="0" t="s">
        <v>3448</v>
      </c>
      <c r="E1569" s="18" t="s">
        <v>24</v>
      </c>
      <c r="F1569" s="18" t="s">
        <v>28</v>
      </c>
      <c r="H1569" s="21" t="s">
        <v>24</v>
      </c>
      <c r="I1569" s="21" t="s">
        <v>24</v>
      </c>
      <c r="J1569" s="21" t="s">
        <v>24</v>
      </c>
      <c r="K1569" s="21" t="s">
        <v>24</v>
      </c>
      <c r="L1569" s="21" t="s">
        <v>24</v>
      </c>
      <c r="M1569" s="0" t="n">
        <v>183</v>
      </c>
      <c r="N1569" s="0" t="n">
        <v>0</v>
      </c>
      <c r="Q1569" s="0" t="n">
        <v>0</v>
      </c>
      <c r="S1569" s="0" t="n">
        <v>0</v>
      </c>
      <c r="U1569" s="22" t="b">
        <f aca="false">FALSE()</f>
        <v>0</v>
      </c>
      <c r="V1569" s="0" t="n">
        <v>0.82</v>
      </c>
      <c r="W1569" s="0" t="n">
        <v>0.44</v>
      </c>
      <c r="X1569" s="0" t="n">
        <v>13.46</v>
      </c>
      <c r="Y1569" s="0" t="n">
        <v>304.87</v>
      </c>
      <c r="Z1569" s="0" t="n">
        <v>10</v>
      </c>
      <c r="AA1569" s="0" t="n">
        <v>6.88</v>
      </c>
      <c r="AB1569" s="0" t="n">
        <v>1.73</v>
      </c>
      <c r="AC1569" s="22" t="b">
        <f aca="false">FALSE()</f>
        <v>0</v>
      </c>
      <c r="AD1569" s="0" t="n">
        <v>6.03</v>
      </c>
      <c r="AE1569" s="0" t="n">
        <v>-0.58</v>
      </c>
      <c r="AF1569" s="0" t="n">
        <v>4.15</v>
      </c>
      <c r="AG1569" s="22" t="b">
        <f aca="false">FALSE()</f>
        <v>0</v>
      </c>
      <c r="AH1569" s="0" t="n">
        <v>1</v>
      </c>
    </row>
    <row r="1570" customFormat="false" ht="15" hidden="false" customHeight="false" outlineLevel="0" collapsed="false">
      <c r="A1570" s="0" t="s">
        <v>2397</v>
      </c>
      <c r="B1570" s="0" t="s">
        <v>3459</v>
      </c>
      <c r="C1570" s="0" t="s">
        <v>3450</v>
      </c>
      <c r="D1570" s="0" t="s">
        <v>3457</v>
      </c>
      <c r="E1570" s="20" t="s">
        <v>25</v>
      </c>
      <c r="F1570" s="23" t="s">
        <v>30</v>
      </c>
      <c r="G1570" s="21" t="s">
        <v>283</v>
      </c>
      <c r="H1570" s="21" t="s">
        <v>24</v>
      </c>
      <c r="I1570" s="21" t="s">
        <v>25</v>
      </c>
      <c r="J1570" s="21" t="s">
        <v>24</v>
      </c>
      <c r="K1570" s="21" t="s">
        <v>24</v>
      </c>
      <c r="L1570" s="21" t="s">
        <v>24</v>
      </c>
      <c r="M1570" s="0" t="n">
        <v>184</v>
      </c>
      <c r="N1570" s="0" t="n">
        <v>4</v>
      </c>
      <c r="O1570" s="21" t="s">
        <v>3773</v>
      </c>
      <c r="P1570" s="21" t="s">
        <v>4364</v>
      </c>
      <c r="Q1570" s="0" t="n">
        <v>1</v>
      </c>
      <c r="R1570" s="21" t="s">
        <v>69</v>
      </c>
      <c r="S1570" s="0" t="n">
        <v>4</v>
      </c>
      <c r="T1570" s="21" t="s">
        <v>3773</v>
      </c>
      <c r="U1570" s="22" t="b">
        <f aca="false">TRUE()</f>
        <v>1</v>
      </c>
      <c r="V1570" s="0" t="n">
        <v>0.6</v>
      </c>
      <c r="W1570" s="0" t="n">
        <v>0.48</v>
      </c>
      <c r="X1570" s="0" t="n">
        <v>9.13</v>
      </c>
      <c r="Y1570" s="0" t="n">
        <v>325.23</v>
      </c>
      <c r="Z1570" s="0" t="n">
        <v>9.67</v>
      </c>
      <c r="AA1570" s="0" t="n">
        <v>16.13</v>
      </c>
      <c r="AB1570" s="0" t="n">
        <v>5.74</v>
      </c>
      <c r="AC1570" s="22" t="b">
        <f aca="false">FALSE()</f>
        <v>0</v>
      </c>
      <c r="AD1570" s="0" t="n">
        <v>13.06</v>
      </c>
      <c r="AE1570" s="0" t="n">
        <v>4.75</v>
      </c>
      <c r="AF1570" s="0" t="n">
        <v>12.79</v>
      </c>
      <c r="AG1570" s="22" t="b">
        <f aca="false">TRUE()</f>
        <v>1</v>
      </c>
      <c r="AH1570" s="0" t="n">
        <v>1</v>
      </c>
    </row>
    <row r="1571" customFormat="false" ht="15" hidden="false" customHeight="false" outlineLevel="0" collapsed="false">
      <c r="A1571" s="0" t="s">
        <v>2397</v>
      </c>
      <c r="B1571" s="0" t="s">
        <v>3459</v>
      </c>
      <c r="C1571" s="0" t="s">
        <v>3450</v>
      </c>
      <c r="D1571" s="0" t="s">
        <v>3448</v>
      </c>
      <c r="E1571" s="19" t="s">
        <v>26</v>
      </c>
      <c r="F1571" s="19" t="s">
        <v>32</v>
      </c>
      <c r="G1571" s="21" t="s">
        <v>65</v>
      </c>
      <c r="H1571" s="21" t="s">
        <v>24</v>
      </c>
      <c r="I1571" s="21" t="s">
        <v>26</v>
      </c>
      <c r="J1571" s="21" t="s">
        <v>24</v>
      </c>
      <c r="K1571" s="21" t="s">
        <v>24</v>
      </c>
      <c r="L1571" s="21" t="s">
        <v>24</v>
      </c>
      <c r="M1571" s="0" t="n">
        <v>183</v>
      </c>
      <c r="N1571" s="0" t="n">
        <v>3</v>
      </c>
      <c r="O1571" s="21" t="s">
        <v>3874</v>
      </c>
      <c r="P1571" s="21" t="s">
        <v>4766</v>
      </c>
      <c r="Q1571" s="0" t="n">
        <v>2</v>
      </c>
      <c r="R1571" s="21" t="s">
        <v>3871</v>
      </c>
      <c r="S1571" s="0" t="n">
        <v>3</v>
      </c>
      <c r="T1571" s="21" t="s">
        <v>3874</v>
      </c>
      <c r="U1571" s="22" t="b">
        <f aca="false">FALSE()</f>
        <v>0</v>
      </c>
      <c r="V1571" s="0" t="n">
        <v>0.77</v>
      </c>
      <c r="W1571" s="0" t="n">
        <v>0.76</v>
      </c>
      <c r="X1571" s="0" t="n">
        <v>10.53</v>
      </c>
      <c r="Y1571" s="0" t="n">
        <v>283.46</v>
      </c>
      <c r="Z1571" s="0" t="n">
        <v>9.25</v>
      </c>
      <c r="AA1571" s="0" t="n">
        <v>9.64</v>
      </c>
      <c r="AB1571" s="0" t="n">
        <v>2.47</v>
      </c>
      <c r="AC1571" s="22" t="b">
        <f aca="false">FALSE()</f>
        <v>0</v>
      </c>
      <c r="AD1571" s="0" t="n">
        <v>12.03</v>
      </c>
      <c r="AE1571" s="0" t="n">
        <v>3.86</v>
      </c>
      <c r="AF1571" s="0" t="n">
        <v>9.06</v>
      </c>
      <c r="AG1571" s="22" t="b">
        <f aca="false">TRUE()</f>
        <v>1</v>
      </c>
      <c r="AH1571" s="0" t="n">
        <v>1</v>
      </c>
    </row>
    <row r="1572" customFormat="false" ht="15" hidden="false" customHeight="false" outlineLevel="0" collapsed="false">
      <c r="A1572" s="0" t="s">
        <v>2397</v>
      </c>
      <c r="B1572" s="0" t="s">
        <v>3459</v>
      </c>
      <c r="C1572" s="0" t="s">
        <v>3447</v>
      </c>
      <c r="D1572" s="0" t="s">
        <v>3457</v>
      </c>
      <c r="E1572" s="19" t="s">
        <v>26</v>
      </c>
      <c r="F1572" s="19" t="s">
        <v>32</v>
      </c>
      <c r="G1572" s="21" t="s">
        <v>529</v>
      </c>
      <c r="H1572" s="21" t="s">
        <v>24</v>
      </c>
      <c r="I1572" s="21" t="s">
        <v>26</v>
      </c>
      <c r="J1572" s="21" t="s">
        <v>24</v>
      </c>
      <c r="K1572" s="21" t="s">
        <v>24</v>
      </c>
      <c r="L1572" s="21" t="s">
        <v>24</v>
      </c>
      <c r="M1572" s="0" t="n">
        <v>186</v>
      </c>
      <c r="N1572" s="0" t="n">
        <v>8</v>
      </c>
      <c r="O1572" s="21" t="s">
        <v>4162</v>
      </c>
      <c r="P1572" s="21" t="s">
        <v>4767</v>
      </c>
      <c r="Q1572" s="0" t="n">
        <v>1</v>
      </c>
      <c r="R1572" s="21" t="s">
        <v>69</v>
      </c>
      <c r="S1572" s="0" t="n">
        <v>8</v>
      </c>
      <c r="T1572" s="21" t="s">
        <v>4162</v>
      </c>
      <c r="U1572" s="22" t="b">
        <f aca="false">FALSE()</f>
        <v>0</v>
      </c>
      <c r="V1572" s="0" t="n">
        <v>0.64</v>
      </c>
      <c r="W1572" s="0" t="n">
        <v>0.28</v>
      </c>
      <c r="X1572" s="0" t="n">
        <v>8.07</v>
      </c>
      <c r="Y1572" s="0" t="n">
        <v>425.04</v>
      </c>
      <c r="Z1572" s="0" t="n">
        <v>9.67</v>
      </c>
      <c r="AA1572" s="0" t="n">
        <v>9.78</v>
      </c>
      <c r="AB1572" s="0" t="n">
        <v>5.74</v>
      </c>
      <c r="AC1572" s="22" t="b">
        <f aca="false">FALSE()</f>
        <v>0</v>
      </c>
      <c r="AD1572" s="0" t="n">
        <v>13.84</v>
      </c>
      <c r="AE1572" s="0" t="n">
        <v>4.41</v>
      </c>
      <c r="AF1572" s="0" t="n">
        <v>11.63</v>
      </c>
      <c r="AG1572" s="22" t="b">
        <f aca="false">TRUE()</f>
        <v>1</v>
      </c>
      <c r="AH1572" s="0" t="n">
        <v>1</v>
      </c>
    </row>
    <row r="1573" customFormat="false" ht="15" hidden="false" customHeight="false" outlineLevel="0" collapsed="false">
      <c r="A1573" s="0" t="s">
        <v>2397</v>
      </c>
      <c r="B1573" s="0" t="s">
        <v>3459</v>
      </c>
      <c r="C1573" s="0" t="s">
        <v>3447</v>
      </c>
      <c r="D1573" s="0" t="s">
        <v>3448</v>
      </c>
      <c r="E1573" s="19" t="s">
        <v>26</v>
      </c>
      <c r="F1573" s="19" t="s">
        <v>32</v>
      </c>
      <c r="G1573" s="21" t="s">
        <v>65</v>
      </c>
      <c r="H1573" s="21" t="s">
        <v>24</v>
      </c>
      <c r="I1573" s="21" t="s">
        <v>26</v>
      </c>
      <c r="J1573" s="21" t="s">
        <v>24</v>
      </c>
      <c r="K1573" s="21" t="s">
        <v>24</v>
      </c>
      <c r="L1573" s="21" t="s">
        <v>24</v>
      </c>
      <c r="M1573" s="0" t="n">
        <v>184</v>
      </c>
      <c r="N1573" s="0" t="n">
        <v>5</v>
      </c>
      <c r="O1573" s="21" t="s">
        <v>3943</v>
      </c>
      <c r="P1573" s="21" t="s">
        <v>4768</v>
      </c>
      <c r="Q1573" s="0" t="n">
        <v>2</v>
      </c>
      <c r="R1573" s="21" t="s">
        <v>3871</v>
      </c>
      <c r="S1573" s="0" t="n">
        <v>5</v>
      </c>
      <c r="T1573" s="21" t="s">
        <v>3943</v>
      </c>
      <c r="U1573" s="22" t="b">
        <f aca="false">FALSE()</f>
        <v>0</v>
      </c>
      <c r="V1573" s="0" t="n">
        <v>0.78</v>
      </c>
      <c r="W1573" s="0" t="n">
        <v>0</v>
      </c>
      <c r="X1573" s="0" t="n">
        <v>11.62</v>
      </c>
      <c r="Y1573" s="0" t="n">
        <v>649.54</v>
      </c>
      <c r="Z1573" s="0" t="n">
        <v>9</v>
      </c>
      <c r="AA1573" s="0" t="n">
        <v>7.25</v>
      </c>
      <c r="AB1573" s="0" t="n">
        <v>2.47</v>
      </c>
      <c r="AC1573" s="22" t="b">
        <f aca="false">FALSE()</f>
        <v>0</v>
      </c>
      <c r="AD1573" s="0" t="n">
        <v>14.79</v>
      </c>
      <c r="AE1573" s="0" t="n">
        <v>4.69</v>
      </c>
      <c r="AF1573" s="0" t="n">
        <v>11.12</v>
      </c>
      <c r="AG1573" s="22" t="b">
        <f aca="false">TRUE()</f>
        <v>1</v>
      </c>
      <c r="AH1573" s="0" t="n">
        <v>1</v>
      </c>
    </row>
    <row r="1574" customFormat="false" ht="15" hidden="false" customHeight="false" outlineLevel="0" collapsed="false">
      <c r="A1574" s="0" t="s">
        <v>2407</v>
      </c>
      <c r="B1574" s="0" t="s">
        <v>134</v>
      </c>
      <c r="C1574" s="0" t="s">
        <v>3450</v>
      </c>
      <c r="D1574" s="0" t="s">
        <v>3457</v>
      </c>
      <c r="E1574" s="20" t="s">
        <v>25</v>
      </c>
      <c r="F1574" s="23" t="s">
        <v>30</v>
      </c>
      <c r="G1574" s="21" t="s">
        <v>283</v>
      </c>
      <c r="H1574" s="21" t="s">
        <v>24</v>
      </c>
      <c r="I1574" s="21" t="s">
        <v>25</v>
      </c>
      <c r="J1574" s="21" t="s">
        <v>24</v>
      </c>
      <c r="K1574" s="21" t="s">
        <v>24</v>
      </c>
      <c r="L1574" s="21" t="s">
        <v>24</v>
      </c>
      <c r="M1574" s="0" t="n">
        <v>215</v>
      </c>
      <c r="N1574" s="0" t="n">
        <v>1</v>
      </c>
      <c r="O1574" s="21" t="s">
        <v>69</v>
      </c>
      <c r="P1574" s="21" t="s">
        <v>4275</v>
      </c>
      <c r="Q1574" s="0" t="n">
        <v>1</v>
      </c>
      <c r="R1574" s="21" t="s">
        <v>69</v>
      </c>
      <c r="S1574" s="0" t="n">
        <v>1</v>
      </c>
      <c r="T1574" s="21" t="s">
        <v>69</v>
      </c>
      <c r="U1574" s="22" t="b">
        <f aca="false">TRUE()</f>
        <v>1</v>
      </c>
      <c r="V1574" s="0" t="n">
        <v>0.73</v>
      </c>
      <c r="W1574" s="0" t="n">
        <v>0.96</v>
      </c>
      <c r="X1574" s="0" t="n">
        <v>9.78</v>
      </c>
      <c r="Y1574" s="0" t="n">
        <v>337.97</v>
      </c>
      <c r="Z1574" s="0" t="n">
        <v>9.25</v>
      </c>
      <c r="AA1574" s="0" t="n">
        <v>16.69</v>
      </c>
      <c r="AB1574" s="0" t="n">
        <v>12.37</v>
      </c>
      <c r="AC1574" s="22" t="b">
        <f aca="false">FALSE()</f>
        <v>0</v>
      </c>
      <c r="AD1574" s="0" t="n">
        <v>13.03</v>
      </c>
      <c r="AE1574" s="0" t="n">
        <v>0.34</v>
      </c>
      <c r="AF1574" s="0" t="n">
        <v>2.19</v>
      </c>
      <c r="AG1574" s="22" t="b">
        <f aca="false">TRUE()</f>
        <v>1</v>
      </c>
      <c r="AH1574" s="0" t="n">
        <v>1</v>
      </c>
    </row>
    <row r="1575" customFormat="false" ht="15" hidden="false" customHeight="false" outlineLevel="0" collapsed="false">
      <c r="A1575" s="0" t="s">
        <v>2407</v>
      </c>
      <c r="B1575" s="0" t="s">
        <v>134</v>
      </c>
      <c r="C1575" s="0" t="s">
        <v>3450</v>
      </c>
      <c r="D1575" s="0" t="s">
        <v>3448</v>
      </c>
      <c r="E1575" s="18" t="s">
        <v>24</v>
      </c>
      <c r="F1575" s="18" t="s">
        <v>28</v>
      </c>
      <c r="H1575" s="21" t="s">
        <v>24</v>
      </c>
      <c r="I1575" s="21" t="s">
        <v>24</v>
      </c>
      <c r="J1575" s="21" t="s">
        <v>24</v>
      </c>
      <c r="K1575" s="21" t="s">
        <v>24</v>
      </c>
      <c r="L1575" s="21" t="s">
        <v>24</v>
      </c>
      <c r="M1575" s="0" t="n">
        <v>197</v>
      </c>
      <c r="N1575" s="0" t="n">
        <v>0</v>
      </c>
      <c r="Q1575" s="0" t="n">
        <v>0</v>
      </c>
      <c r="S1575" s="0" t="n">
        <v>0</v>
      </c>
      <c r="U1575" s="22" t="b">
        <f aca="false">FALSE()</f>
        <v>0</v>
      </c>
      <c r="V1575" s="0" t="n">
        <v>0.75</v>
      </c>
      <c r="W1575" s="0" t="n">
        <v>0.24</v>
      </c>
      <c r="X1575" s="0" t="n">
        <v>11.46</v>
      </c>
      <c r="Y1575" s="0" t="n">
        <v>468.59</v>
      </c>
      <c r="Z1575" s="0" t="n">
        <v>9</v>
      </c>
      <c r="AA1575" s="0" t="n">
        <v>18.83</v>
      </c>
      <c r="AB1575" s="0" t="n">
        <v>5.57</v>
      </c>
      <c r="AC1575" s="22" t="b">
        <f aca="false">FALSE()</f>
        <v>0</v>
      </c>
      <c r="AD1575" s="0" t="n">
        <v>0.44</v>
      </c>
      <c r="AE1575" s="0" t="n">
        <v>1.09</v>
      </c>
      <c r="AF1575" s="0" t="n">
        <v>2.65</v>
      </c>
      <c r="AG1575" s="22" t="b">
        <f aca="false">FALSE()</f>
        <v>0</v>
      </c>
      <c r="AH1575" s="0" t="n">
        <v>1</v>
      </c>
    </row>
    <row r="1576" customFormat="false" ht="15" hidden="false" customHeight="false" outlineLevel="0" collapsed="false">
      <c r="A1576" s="0" t="s">
        <v>2407</v>
      </c>
      <c r="B1576" s="0" t="s">
        <v>134</v>
      </c>
      <c r="C1576" s="0" t="s">
        <v>3447</v>
      </c>
      <c r="D1576" s="0" t="s">
        <v>3457</v>
      </c>
      <c r="E1576" s="19" t="s">
        <v>26</v>
      </c>
      <c r="F1576" s="19" t="s">
        <v>32</v>
      </c>
      <c r="G1576" s="21" t="s">
        <v>60</v>
      </c>
      <c r="H1576" s="21" t="s">
        <v>24</v>
      </c>
      <c r="I1576" s="21" t="s">
        <v>26</v>
      </c>
      <c r="J1576" s="21" t="s">
        <v>24</v>
      </c>
      <c r="K1576" s="21" t="s">
        <v>24</v>
      </c>
      <c r="L1576" s="21" t="s">
        <v>24</v>
      </c>
      <c r="M1576" s="0" t="n">
        <v>191</v>
      </c>
      <c r="N1576" s="0" t="n">
        <v>12</v>
      </c>
      <c r="O1576" s="21" t="s">
        <v>3997</v>
      </c>
      <c r="P1576" s="21" t="s">
        <v>4769</v>
      </c>
      <c r="Q1576" s="0" t="n">
        <v>0</v>
      </c>
      <c r="S1576" s="0" t="n">
        <v>12</v>
      </c>
      <c r="T1576" s="21" t="s">
        <v>3997</v>
      </c>
      <c r="U1576" s="22" t="b">
        <f aca="false">FALSE()</f>
        <v>0</v>
      </c>
      <c r="V1576" s="0" t="n">
        <v>0.71</v>
      </c>
      <c r="W1576" s="0" t="n">
        <v>0.88</v>
      </c>
      <c r="X1576" s="0" t="n">
        <v>10.51</v>
      </c>
      <c r="Y1576" s="0" t="n">
        <v>321.72</v>
      </c>
      <c r="Z1576" s="0" t="n">
        <v>9.75</v>
      </c>
      <c r="AA1576" s="0" t="n">
        <v>2.84</v>
      </c>
      <c r="AB1576" s="0" t="n">
        <v>12.37</v>
      </c>
      <c r="AC1576" s="22" t="b">
        <f aca="false">FALSE()</f>
        <v>0</v>
      </c>
      <c r="AD1576" s="0" t="n">
        <v>13.24</v>
      </c>
      <c r="AE1576" s="0" t="n">
        <v>0.65</v>
      </c>
      <c r="AF1576" s="0" t="n">
        <v>1.64</v>
      </c>
      <c r="AG1576" s="22" t="b">
        <f aca="false">TRUE()</f>
        <v>1</v>
      </c>
      <c r="AH1576" s="0" t="n">
        <v>1</v>
      </c>
    </row>
    <row r="1577" customFormat="false" ht="15" hidden="false" customHeight="false" outlineLevel="0" collapsed="false">
      <c r="A1577" s="0" t="s">
        <v>2407</v>
      </c>
      <c r="B1577" s="0" t="s">
        <v>134</v>
      </c>
      <c r="C1577" s="0" t="s">
        <v>3447</v>
      </c>
      <c r="D1577" s="0" t="s">
        <v>3448</v>
      </c>
      <c r="E1577" s="19" t="s">
        <v>26</v>
      </c>
      <c r="F1577" s="19" t="s">
        <v>32</v>
      </c>
      <c r="G1577" s="21" t="s">
        <v>60</v>
      </c>
      <c r="H1577" s="21" t="s">
        <v>24</v>
      </c>
      <c r="I1577" s="21" t="s">
        <v>26</v>
      </c>
      <c r="J1577" s="21" t="s">
        <v>24</v>
      </c>
      <c r="K1577" s="21" t="s">
        <v>24</v>
      </c>
      <c r="L1577" s="21" t="s">
        <v>24</v>
      </c>
      <c r="M1577" s="0" t="n">
        <v>194</v>
      </c>
      <c r="N1577" s="0" t="n">
        <v>8</v>
      </c>
      <c r="O1577" s="21" t="s">
        <v>3964</v>
      </c>
      <c r="P1577" s="21" t="s">
        <v>4770</v>
      </c>
      <c r="Q1577" s="0" t="n">
        <v>0</v>
      </c>
      <c r="S1577" s="0" t="n">
        <v>8</v>
      </c>
      <c r="T1577" s="21" t="s">
        <v>3964</v>
      </c>
      <c r="U1577" s="22" t="b">
        <f aca="false">FALSE()</f>
        <v>0</v>
      </c>
      <c r="V1577" s="0" t="n">
        <v>0.7</v>
      </c>
      <c r="W1577" s="0" t="n">
        <v>0.24</v>
      </c>
      <c r="X1577" s="0" t="n">
        <v>12.84</v>
      </c>
      <c r="Y1577" s="0" t="n">
        <v>459.57</v>
      </c>
      <c r="Z1577" s="0" t="n">
        <v>9.33</v>
      </c>
      <c r="AA1577" s="0" t="n">
        <v>7.86</v>
      </c>
      <c r="AB1577" s="0" t="n">
        <v>5.57</v>
      </c>
      <c r="AC1577" s="22" t="b">
        <f aca="false">FALSE()</f>
        <v>0</v>
      </c>
      <c r="AD1577" s="0" t="n">
        <v>1.87</v>
      </c>
      <c r="AE1577" s="0" t="n">
        <v>0.4</v>
      </c>
      <c r="AF1577" s="0" t="n">
        <v>3.69</v>
      </c>
      <c r="AG1577" s="22" t="b">
        <f aca="false">FALSE()</f>
        <v>0</v>
      </c>
      <c r="AH1577" s="0" t="n">
        <v>1</v>
      </c>
    </row>
    <row r="1578" customFormat="false" ht="15" hidden="false" customHeight="false" outlineLevel="0" collapsed="false">
      <c r="A1578" s="0" t="s">
        <v>2407</v>
      </c>
      <c r="B1578" s="0" t="s">
        <v>3459</v>
      </c>
      <c r="C1578" s="0" t="s">
        <v>3450</v>
      </c>
      <c r="D1578" s="0" t="s">
        <v>3457</v>
      </c>
      <c r="E1578" s="20" t="s">
        <v>25</v>
      </c>
      <c r="F1578" s="23" t="s">
        <v>30</v>
      </c>
      <c r="G1578" s="21" t="s">
        <v>283</v>
      </c>
      <c r="H1578" s="21" t="s">
        <v>24</v>
      </c>
      <c r="I1578" s="21" t="s">
        <v>25</v>
      </c>
      <c r="J1578" s="21" t="s">
        <v>24</v>
      </c>
      <c r="K1578" s="21" t="s">
        <v>24</v>
      </c>
      <c r="L1578" s="21" t="s">
        <v>24</v>
      </c>
      <c r="M1578" s="0" t="n">
        <v>182</v>
      </c>
      <c r="N1578" s="0" t="n">
        <v>1</v>
      </c>
      <c r="O1578" s="21" t="s">
        <v>69</v>
      </c>
      <c r="P1578" s="21" t="s">
        <v>4275</v>
      </c>
      <c r="Q1578" s="0" t="n">
        <v>1</v>
      </c>
      <c r="R1578" s="21" t="s">
        <v>69</v>
      </c>
      <c r="S1578" s="0" t="n">
        <v>1</v>
      </c>
      <c r="T1578" s="21" t="s">
        <v>69</v>
      </c>
      <c r="U1578" s="22" t="b">
        <f aca="false">TRUE()</f>
        <v>1</v>
      </c>
      <c r="V1578" s="0" t="n">
        <v>0.79</v>
      </c>
      <c r="W1578" s="0" t="n">
        <v>0.52</v>
      </c>
      <c r="X1578" s="0" t="n">
        <v>7.78</v>
      </c>
      <c r="Y1578" s="0" t="n">
        <v>325.29</v>
      </c>
      <c r="Z1578" s="0" t="n">
        <v>9.25</v>
      </c>
      <c r="AA1578" s="0" t="n">
        <v>8.6</v>
      </c>
      <c r="AB1578" s="0" t="n">
        <v>3.54</v>
      </c>
      <c r="AC1578" s="22" t="b">
        <f aca="false">FALSE()</f>
        <v>0</v>
      </c>
      <c r="AD1578" s="0" t="n">
        <v>8.81</v>
      </c>
      <c r="AE1578" s="0" t="n">
        <v>0.19</v>
      </c>
      <c r="AF1578" s="0" t="n">
        <v>6.46</v>
      </c>
      <c r="AG1578" s="22" t="b">
        <f aca="false">FALSE()</f>
        <v>0</v>
      </c>
      <c r="AH1578" s="0" t="n">
        <v>1</v>
      </c>
    </row>
    <row r="1579" customFormat="false" ht="15" hidden="false" customHeight="false" outlineLevel="0" collapsed="false">
      <c r="A1579" s="0" t="s">
        <v>2407</v>
      </c>
      <c r="B1579" s="0" t="s">
        <v>3459</v>
      </c>
      <c r="C1579" s="0" t="s">
        <v>3450</v>
      </c>
      <c r="D1579" s="0" t="s">
        <v>3448</v>
      </c>
      <c r="E1579" s="20" t="s">
        <v>25</v>
      </c>
      <c r="F1579" s="23" t="s">
        <v>30</v>
      </c>
      <c r="G1579" s="21" t="s">
        <v>283</v>
      </c>
      <c r="H1579" s="21" t="s">
        <v>24</v>
      </c>
      <c r="I1579" s="21" t="s">
        <v>25</v>
      </c>
      <c r="J1579" s="21" t="s">
        <v>24</v>
      </c>
      <c r="K1579" s="21" t="s">
        <v>24</v>
      </c>
      <c r="L1579" s="21" t="s">
        <v>24</v>
      </c>
      <c r="M1579" s="0" t="n">
        <v>218</v>
      </c>
      <c r="N1579" s="0" t="n">
        <v>1</v>
      </c>
      <c r="O1579" s="21" t="s">
        <v>69</v>
      </c>
      <c r="P1579" s="21" t="s">
        <v>4275</v>
      </c>
      <c r="Q1579" s="0" t="n">
        <v>1</v>
      </c>
      <c r="R1579" s="21" t="s">
        <v>69</v>
      </c>
      <c r="S1579" s="0" t="n">
        <v>1</v>
      </c>
      <c r="T1579" s="21" t="s">
        <v>69</v>
      </c>
      <c r="U1579" s="22" t="b">
        <f aca="false">TRUE()</f>
        <v>1</v>
      </c>
      <c r="V1579" s="0" t="n">
        <v>0.79</v>
      </c>
      <c r="W1579" s="0" t="n">
        <v>0.24</v>
      </c>
      <c r="X1579" s="0" t="n">
        <v>8.64</v>
      </c>
      <c r="Y1579" s="0" t="n">
        <v>556.75</v>
      </c>
      <c r="Z1579" s="0" t="n">
        <v>9</v>
      </c>
      <c r="AA1579" s="0" t="n">
        <v>15.35</v>
      </c>
      <c r="AB1579" s="0" t="n">
        <v>1.63</v>
      </c>
      <c r="AC1579" s="22" t="b">
        <f aca="false">FALSE()</f>
        <v>0</v>
      </c>
      <c r="AD1579" s="0" t="n">
        <v>8.46</v>
      </c>
      <c r="AE1579" s="0" t="n">
        <v>0.6</v>
      </c>
      <c r="AF1579" s="0" t="n">
        <v>8</v>
      </c>
      <c r="AG1579" s="22" t="b">
        <f aca="false">FALSE()</f>
        <v>0</v>
      </c>
      <c r="AH1579" s="0" t="n">
        <v>1</v>
      </c>
    </row>
    <row r="1580" customFormat="false" ht="15" hidden="false" customHeight="false" outlineLevel="0" collapsed="false">
      <c r="A1580" s="0" t="s">
        <v>2407</v>
      </c>
      <c r="B1580" s="0" t="s">
        <v>3459</v>
      </c>
      <c r="C1580" s="0" t="s">
        <v>3447</v>
      </c>
      <c r="D1580" s="0" t="s">
        <v>3457</v>
      </c>
      <c r="E1580" s="19" t="s">
        <v>26</v>
      </c>
      <c r="F1580" s="19" t="s">
        <v>32</v>
      </c>
      <c r="G1580" s="21" t="s">
        <v>529</v>
      </c>
      <c r="H1580" s="21" t="s">
        <v>24</v>
      </c>
      <c r="I1580" s="21" t="s">
        <v>26</v>
      </c>
      <c r="J1580" s="21" t="s">
        <v>24</v>
      </c>
      <c r="K1580" s="21" t="s">
        <v>24</v>
      </c>
      <c r="L1580" s="21" t="s">
        <v>24</v>
      </c>
      <c r="M1580" s="0" t="n">
        <v>184</v>
      </c>
      <c r="N1580" s="0" t="n">
        <v>11</v>
      </c>
      <c r="O1580" s="21" t="s">
        <v>4034</v>
      </c>
      <c r="P1580" s="21" t="s">
        <v>4252</v>
      </c>
      <c r="Q1580" s="0" t="n">
        <v>1</v>
      </c>
      <c r="R1580" s="21" t="s">
        <v>69</v>
      </c>
      <c r="S1580" s="0" t="n">
        <v>11</v>
      </c>
      <c r="T1580" s="21" t="s">
        <v>4034</v>
      </c>
      <c r="U1580" s="22" t="b">
        <f aca="false">FALSE()</f>
        <v>0</v>
      </c>
      <c r="V1580" s="0" t="n">
        <v>0.76</v>
      </c>
      <c r="W1580" s="0" t="n">
        <v>0.84</v>
      </c>
      <c r="X1580" s="0" t="n">
        <v>8.18</v>
      </c>
      <c r="Y1580" s="0" t="n">
        <v>305.78</v>
      </c>
      <c r="Z1580" s="0" t="n">
        <v>9.08</v>
      </c>
      <c r="AA1580" s="0" t="n">
        <v>5.1</v>
      </c>
      <c r="AB1580" s="0" t="n">
        <v>3.54</v>
      </c>
      <c r="AC1580" s="22" t="b">
        <f aca="false">FALSE()</f>
        <v>0</v>
      </c>
      <c r="AD1580" s="0" t="n">
        <v>11.27</v>
      </c>
      <c r="AE1580" s="0" t="n">
        <v>2.88</v>
      </c>
      <c r="AF1580" s="0" t="n">
        <v>5.82</v>
      </c>
      <c r="AG1580" s="22" t="b">
        <f aca="false">TRUE()</f>
        <v>1</v>
      </c>
      <c r="AH1580" s="0" t="n">
        <v>1</v>
      </c>
    </row>
    <row r="1581" customFormat="false" ht="15" hidden="false" customHeight="false" outlineLevel="0" collapsed="false">
      <c r="A1581" s="0" t="s">
        <v>2407</v>
      </c>
      <c r="B1581" s="0" t="s">
        <v>3459</v>
      </c>
      <c r="C1581" s="0" t="s">
        <v>3447</v>
      </c>
      <c r="D1581" s="0" t="s">
        <v>3448</v>
      </c>
      <c r="E1581" s="18" t="s">
        <v>24</v>
      </c>
      <c r="F1581" s="23" t="s">
        <v>30</v>
      </c>
      <c r="G1581" s="21" t="s">
        <v>30</v>
      </c>
      <c r="H1581" s="21" t="s">
        <v>24</v>
      </c>
      <c r="I1581" s="21" t="s">
        <v>24</v>
      </c>
      <c r="J1581" s="21" t="s">
        <v>24</v>
      </c>
      <c r="K1581" s="21" t="s">
        <v>24</v>
      </c>
      <c r="L1581" s="21" t="s">
        <v>24</v>
      </c>
      <c r="M1581" s="0" t="n">
        <v>186</v>
      </c>
      <c r="N1581" s="0" t="n">
        <v>1</v>
      </c>
      <c r="O1581" s="21" t="s">
        <v>3481</v>
      </c>
      <c r="P1581" s="21" t="s">
        <v>4251</v>
      </c>
      <c r="Q1581" s="0" t="n">
        <v>0</v>
      </c>
      <c r="S1581" s="0" t="n">
        <v>1</v>
      </c>
      <c r="T1581" s="21" t="s">
        <v>3481</v>
      </c>
      <c r="U1581" s="22" t="b">
        <f aca="false">TRUE()</f>
        <v>1</v>
      </c>
      <c r="V1581" s="0" t="n">
        <v>0.75</v>
      </c>
      <c r="W1581" s="0" t="n">
        <v>0.6</v>
      </c>
      <c r="X1581" s="0" t="n">
        <v>9.32</v>
      </c>
      <c r="Y1581" s="0" t="n">
        <v>326.71</v>
      </c>
      <c r="Z1581" s="0" t="n">
        <v>9.25</v>
      </c>
      <c r="AA1581" s="0" t="n">
        <v>0.16</v>
      </c>
      <c r="AB1581" s="0" t="n">
        <v>1.63</v>
      </c>
      <c r="AC1581" s="22" t="b">
        <f aca="false">FALSE()</f>
        <v>0</v>
      </c>
      <c r="AD1581" s="0" t="n">
        <v>4.91</v>
      </c>
      <c r="AE1581" s="0" t="n">
        <v>0.95</v>
      </c>
      <c r="AF1581" s="0" t="n">
        <v>5.33</v>
      </c>
      <c r="AG1581" s="22" t="b">
        <f aca="false">FALSE()</f>
        <v>0</v>
      </c>
      <c r="AH1581" s="0" t="n">
        <v>1</v>
      </c>
    </row>
    <row r="1582" customFormat="false" ht="15" hidden="false" customHeight="false" outlineLevel="0" collapsed="false">
      <c r="A1582" s="0" t="s">
        <v>2413</v>
      </c>
      <c r="B1582" s="0" t="s">
        <v>134</v>
      </c>
      <c r="C1582" s="0" t="s">
        <v>3450</v>
      </c>
      <c r="D1582" s="0" t="s">
        <v>3457</v>
      </c>
      <c r="E1582" s="20" t="s">
        <v>25</v>
      </c>
      <c r="F1582" s="20" t="s">
        <v>29</v>
      </c>
      <c r="G1582" s="21" t="s">
        <v>62</v>
      </c>
      <c r="H1582" s="21" t="s">
        <v>24</v>
      </c>
      <c r="I1582" s="21" t="s">
        <v>24</v>
      </c>
      <c r="J1582" s="21" t="s">
        <v>24</v>
      </c>
      <c r="K1582" s="21" t="s">
        <v>25</v>
      </c>
      <c r="L1582" s="21" t="s">
        <v>24</v>
      </c>
      <c r="M1582" s="0" t="n">
        <v>185</v>
      </c>
      <c r="N1582" s="0" t="n">
        <v>0</v>
      </c>
      <c r="Q1582" s="0" t="n">
        <v>0</v>
      </c>
      <c r="S1582" s="0" t="n">
        <v>0</v>
      </c>
      <c r="U1582" s="22" t="b">
        <f aca="false">FALSE()</f>
        <v>0</v>
      </c>
      <c r="V1582" s="0" t="n">
        <v>0.79</v>
      </c>
      <c r="W1582" s="0" t="n">
        <v>0.16</v>
      </c>
      <c r="X1582" s="0" t="n">
        <v>7.49</v>
      </c>
      <c r="Y1582" s="0" t="n">
        <v>560.95</v>
      </c>
      <c r="Z1582" s="0" t="n">
        <v>8.75</v>
      </c>
      <c r="AA1582" s="0" t="n">
        <v>1.16</v>
      </c>
      <c r="AB1582" s="0" t="n">
        <v>1.82</v>
      </c>
      <c r="AC1582" s="22" t="b">
        <f aca="false">FALSE()</f>
        <v>0</v>
      </c>
      <c r="AD1582" s="0" t="n">
        <v>10.19</v>
      </c>
      <c r="AE1582" s="0" t="n">
        <v>0.5</v>
      </c>
      <c r="AF1582" s="0" t="n">
        <v>8.72</v>
      </c>
      <c r="AG1582" s="22" t="b">
        <f aca="false">TRUE()</f>
        <v>1</v>
      </c>
      <c r="AH1582" s="0" t="n">
        <v>1</v>
      </c>
    </row>
    <row r="1583" customFormat="false" ht="15" hidden="false" customHeight="false" outlineLevel="0" collapsed="false">
      <c r="A1583" s="0" t="s">
        <v>2413</v>
      </c>
      <c r="B1583" s="0" t="s">
        <v>134</v>
      </c>
      <c r="C1583" s="0" t="s">
        <v>3450</v>
      </c>
      <c r="D1583" s="0" t="s">
        <v>3448</v>
      </c>
      <c r="E1583" s="20" t="s">
        <v>25</v>
      </c>
      <c r="F1583" s="20" t="s">
        <v>29</v>
      </c>
      <c r="G1583" s="21" t="s">
        <v>63</v>
      </c>
      <c r="H1583" s="21" t="s">
        <v>24</v>
      </c>
      <c r="I1583" s="21" t="s">
        <v>24</v>
      </c>
      <c r="J1583" s="21" t="s">
        <v>24</v>
      </c>
      <c r="K1583" s="21" t="s">
        <v>25</v>
      </c>
      <c r="L1583" s="21" t="s">
        <v>24</v>
      </c>
      <c r="M1583" s="0" t="n">
        <v>189</v>
      </c>
      <c r="N1583" s="0" t="n">
        <v>0</v>
      </c>
      <c r="Q1583" s="0" t="n">
        <v>0</v>
      </c>
      <c r="S1583" s="0" t="n">
        <v>0</v>
      </c>
      <c r="U1583" s="22" t="b">
        <f aca="false">FALSE()</f>
        <v>0</v>
      </c>
      <c r="V1583" s="0" t="n">
        <v>0.78</v>
      </c>
      <c r="W1583" s="0" t="n">
        <v>0.2</v>
      </c>
      <c r="X1583" s="0" t="n">
        <v>8.57</v>
      </c>
      <c r="Y1583" s="0" t="n">
        <v>484.77</v>
      </c>
      <c r="Z1583" s="0" t="n">
        <v>9.25</v>
      </c>
      <c r="AA1583" s="0" t="n">
        <v>7.32</v>
      </c>
      <c r="AB1583" s="0" t="n">
        <v>1.21</v>
      </c>
      <c r="AC1583" s="22" t="b">
        <f aca="false">FALSE()</f>
        <v>0</v>
      </c>
      <c r="AD1583" s="0" t="n">
        <v>12.05</v>
      </c>
      <c r="AE1583" s="0" t="n">
        <v>0.4</v>
      </c>
      <c r="AF1583" s="0" t="n">
        <v>1.74</v>
      </c>
      <c r="AG1583" s="22" t="b">
        <f aca="false">TRUE()</f>
        <v>1</v>
      </c>
      <c r="AH1583" s="0" t="n">
        <v>1</v>
      </c>
    </row>
    <row r="1584" customFormat="false" ht="15" hidden="false" customHeight="false" outlineLevel="0" collapsed="false">
      <c r="A1584" s="0" t="s">
        <v>2413</v>
      </c>
      <c r="B1584" s="0" t="s">
        <v>134</v>
      </c>
      <c r="C1584" s="0" t="s">
        <v>3447</v>
      </c>
      <c r="D1584" s="0" t="s">
        <v>3457</v>
      </c>
      <c r="E1584" s="18" t="s">
        <v>24</v>
      </c>
      <c r="F1584" s="18" t="s">
        <v>28</v>
      </c>
      <c r="H1584" s="21" t="s">
        <v>24</v>
      </c>
      <c r="I1584" s="21" t="s">
        <v>24</v>
      </c>
      <c r="J1584" s="21" t="s">
        <v>24</v>
      </c>
      <c r="K1584" s="21" t="s">
        <v>24</v>
      </c>
      <c r="L1584" s="21" t="s">
        <v>24</v>
      </c>
      <c r="M1584" s="0" t="n">
        <v>183</v>
      </c>
      <c r="N1584" s="0" t="n">
        <v>0</v>
      </c>
      <c r="Q1584" s="0" t="n">
        <v>0</v>
      </c>
      <c r="S1584" s="0" t="n">
        <v>0</v>
      </c>
      <c r="U1584" s="22" t="b">
        <f aca="false">FALSE()</f>
        <v>0</v>
      </c>
      <c r="V1584" s="0" t="n">
        <v>0.79</v>
      </c>
      <c r="W1584" s="0" t="n">
        <v>0.96</v>
      </c>
      <c r="X1584" s="0" t="n">
        <v>7.08</v>
      </c>
      <c r="Y1584" s="0" t="n">
        <v>315.79</v>
      </c>
      <c r="Z1584" s="0" t="n">
        <v>8.42</v>
      </c>
      <c r="AA1584" s="0" t="n">
        <v>-0.93</v>
      </c>
      <c r="AB1584" s="0" t="n">
        <v>1.82</v>
      </c>
      <c r="AC1584" s="22" t="b">
        <f aca="false">FALSE()</f>
        <v>0</v>
      </c>
      <c r="AD1584" s="0" t="n">
        <v>9.71</v>
      </c>
      <c r="AE1584" s="0" t="n">
        <v>1.14</v>
      </c>
      <c r="AF1584" s="0" t="n">
        <v>7.09</v>
      </c>
      <c r="AG1584" s="22" t="b">
        <f aca="false">FALSE()</f>
        <v>0</v>
      </c>
      <c r="AH1584" s="0" t="n">
        <v>1</v>
      </c>
    </row>
    <row r="1585" customFormat="false" ht="15" hidden="false" customHeight="false" outlineLevel="0" collapsed="false">
      <c r="A1585" s="0" t="s">
        <v>2413</v>
      </c>
      <c r="B1585" s="0" t="s">
        <v>134</v>
      </c>
      <c r="C1585" s="0" t="s">
        <v>3447</v>
      </c>
      <c r="D1585" s="0" t="s">
        <v>3448</v>
      </c>
      <c r="E1585" s="20" t="s">
        <v>25</v>
      </c>
      <c r="F1585" s="23" t="s">
        <v>30</v>
      </c>
      <c r="G1585" s="21" t="s">
        <v>1099</v>
      </c>
      <c r="H1585" s="21" t="s">
        <v>24</v>
      </c>
      <c r="I1585" s="21" t="s">
        <v>25</v>
      </c>
      <c r="J1585" s="21" t="s">
        <v>24</v>
      </c>
      <c r="K1585" s="21" t="s">
        <v>25</v>
      </c>
      <c r="L1585" s="21" t="s">
        <v>24</v>
      </c>
      <c r="M1585" s="0" t="n">
        <v>184</v>
      </c>
      <c r="N1585" s="0" t="n">
        <v>1</v>
      </c>
      <c r="O1585" s="21" t="s">
        <v>69</v>
      </c>
      <c r="P1585" s="21" t="s">
        <v>4275</v>
      </c>
      <c r="Q1585" s="0" t="n">
        <v>1</v>
      </c>
      <c r="R1585" s="21" t="s">
        <v>69</v>
      </c>
      <c r="S1585" s="0" t="n">
        <v>1</v>
      </c>
      <c r="T1585" s="21" t="s">
        <v>69</v>
      </c>
      <c r="U1585" s="22" t="b">
        <f aca="false">TRUE()</f>
        <v>1</v>
      </c>
      <c r="V1585" s="0" t="n">
        <v>0.76</v>
      </c>
      <c r="W1585" s="0" t="n">
        <v>0.84</v>
      </c>
      <c r="X1585" s="0" t="n">
        <v>8.56</v>
      </c>
      <c r="Y1585" s="0" t="n">
        <v>295.09</v>
      </c>
      <c r="Z1585" s="0" t="n">
        <v>8</v>
      </c>
      <c r="AA1585" s="0" t="n">
        <v>-0.27</v>
      </c>
      <c r="AB1585" s="0" t="n">
        <v>1.21</v>
      </c>
      <c r="AC1585" s="22" t="b">
        <f aca="false">FALSE()</f>
        <v>0</v>
      </c>
      <c r="AD1585" s="0" t="n">
        <v>7.4</v>
      </c>
      <c r="AE1585" s="0" t="n">
        <v>0.69</v>
      </c>
      <c r="AF1585" s="0" t="n">
        <v>0.6</v>
      </c>
      <c r="AG1585" s="22" t="b">
        <f aca="false">FALSE()</f>
        <v>0</v>
      </c>
      <c r="AH1585" s="0" t="n">
        <v>1</v>
      </c>
    </row>
    <row r="1586" customFormat="false" ht="15" hidden="false" customHeight="false" outlineLevel="0" collapsed="false">
      <c r="A1586" s="0" t="s">
        <v>2423</v>
      </c>
      <c r="B1586" s="0" t="s">
        <v>134</v>
      </c>
      <c r="C1586" s="0" t="s">
        <v>3450</v>
      </c>
      <c r="D1586" s="0" t="s">
        <v>3457</v>
      </c>
      <c r="E1586" s="18" t="s">
        <v>24</v>
      </c>
      <c r="F1586" s="18" t="s">
        <v>28</v>
      </c>
      <c r="H1586" s="21" t="s">
        <v>24</v>
      </c>
      <c r="I1586" s="21" t="s">
        <v>24</v>
      </c>
      <c r="J1586" s="21" t="s">
        <v>24</v>
      </c>
      <c r="K1586" s="21" t="s">
        <v>24</v>
      </c>
      <c r="L1586" s="21" t="s">
        <v>24</v>
      </c>
      <c r="M1586" s="0" t="n">
        <v>185</v>
      </c>
      <c r="N1586" s="0" t="n">
        <v>0</v>
      </c>
      <c r="Q1586" s="0" t="n">
        <v>0</v>
      </c>
      <c r="S1586" s="0" t="n">
        <v>0</v>
      </c>
      <c r="U1586" s="22" t="b">
        <f aca="false">FALSE()</f>
        <v>0</v>
      </c>
      <c r="V1586" s="0" t="n">
        <v>0.76</v>
      </c>
      <c r="W1586" s="0" t="n">
        <v>0.76</v>
      </c>
      <c r="X1586" s="0" t="n">
        <v>14.13</v>
      </c>
      <c r="Y1586" s="0" t="n">
        <v>323.1</v>
      </c>
      <c r="Z1586" s="0" t="n">
        <v>9.5</v>
      </c>
      <c r="AA1586" s="0" t="n">
        <v>10.85</v>
      </c>
      <c r="AB1586" s="0" t="n">
        <v>2.35</v>
      </c>
      <c r="AC1586" s="22" t="b">
        <f aca="false">FALSE()</f>
        <v>0</v>
      </c>
      <c r="AD1586" s="0" t="n">
        <v>6.85</v>
      </c>
      <c r="AE1586" s="0" t="n">
        <v>0.2</v>
      </c>
      <c r="AF1586" s="0" t="n">
        <v>0.89</v>
      </c>
      <c r="AG1586" s="22" t="b">
        <f aca="false">FALSE()</f>
        <v>0</v>
      </c>
      <c r="AH1586" s="0" t="n">
        <v>1</v>
      </c>
    </row>
    <row r="1587" customFormat="false" ht="15" hidden="false" customHeight="false" outlineLevel="0" collapsed="false">
      <c r="A1587" s="0" t="s">
        <v>2423</v>
      </c>
      <c r="B1587" s="0" t="s">
        <v>134</v>
      </c>
      <c r="C1587" s="0" t="s">
        <v>3450</v>
      </c>
      <c r="D1587" s="0" t="s">
        <v>3448</v>
      </c>
      <c r="E1587" s="18" t="s">
        <v>24</v>
      </c>
      <c r="F1587" s="18" t="s">
        <v>28</v>
      </c>
      <c r="H1587" s="21" t="s">
        <v>24</v>
      </c>
      <c r="I1587" s="21" t="s">
        <v>24</v>
      </c>
      <c r="J1587" s="21" t="s">
        <v>24</v>
      </c>
      <c r="K1587" s="21" t="s">
        <v>24</v>
      </c>
      <c r="L1587" s="21" t="s">
        <v>24</v>
      </c>
      <c r="M1587" s="0" t="n">
        <v>183</v>
      </c>
      <c r="N1587" s="0" t="n">
        <v>0</v>
      </c>
      <c r="Q1587" s="0" t="n">
        <v>0</v>
      </c>
      <c r="S1587" s="0" t="n">
        <v>0</v>
      </c>
      <c r="U1587" s="22" t="b">
        <f aca="false">FALSE()</f>
        <v>0</v>
      </c>
      <c r="V1587" s="0" t="n">
        <v>0.75</v>
      </c>
      <c r="W1587" s="0" t="n">
        <v>0.28</v>
      </c>
      <c r="X1587" s="0" t="n">
        <v>16.87</v>
      </c>
      <c r="Y1587" s="0" t="n">
        <v>425.46</v>
      </c>
      <c r="Z1587" s="0" t="n">
        <v>9.75</v>
      </c>
      <c r="AA1587" s="0" t="n">
        <v>11.46</v>
      </c>
      <c r="AB1587" s="0" t="n">
        <v>1.79</v>
      </c>
      <c r="AC1587" s="22" t="b">
        <f aca="false">FALSE()</f>
        <v>0</v>
      </c>
      <c r="AD1587" s="0" t="n">
        <v>5.12</v>
      </c>
      <c r="AE1587" s="0" t="n">
        <v>0.21</v>
      </c>
      <c r="AF1587" s="0" t="n">
        <v>4.58</v>
      </c>
      <c r="AG1587" s="22" t="b">
        <f aca="false">FALSE()</f>
        <v>0</v>
      </c>
      <c r="AH1587" s="0" t="n">
        <v>1</v>
      </c>
    </row>
    <row r="1588" customFormat="false" ht="15" hidden="false" customHeight="false" outlineLevel="0" collapsed="false">
      <c r="A1588" s="0" t="s">
        <v>2423</v>
      </c>
      <c r="B1588" s="0" t="s">
        <v>134</v>
      </c>
      <c r="C1588" s="0" t="s">
        <v>3447</v>
      </c>
      <c r="D1588" s="0" t="s">
        <v>3457</v>
      </c>
      <c r="E1588" s="20" t="s">
        <v>25</v>
      </c>
      <c r="F1588" s="23" t="s">
        <v>30</v>
      </c>
      <c r="G1588" s="21" t="s">
        <v>283</v>
      </c>
      <c r="H1588" s="21" t="s">
        <v>24</v>
      </c>
      <c r="I1588" s="21" t="s">
        <v>25</v>
      </c>
      <c r="J1588" s="21" t="s">
        <v>24</v>
      </c>
      <c r="K1588" s="21" t="s">
        <v>24</v>
      </c>
      <c r="L1588" s="21" t="s">
        <v>24</v>
      </c>
      <c r="M1588" s="0" t="n">
        <v>195</v>
      </c>
      <c r="N1588" s="0" t="n">
        <v>4</v>
      </c>
      <c r="O1588" s="21" t="s">
        <v>3722</v>
      </c>
      <c r="P1588" s="21" t="s">
        <v>4534</v>
      </c>
      <c r="Q1588" s="0" t="n">
        <v>1</v>
      </c>
      <c r="R1588" s="21" t="s">
        <v>69</v>
      </c>
      <c r="S1588" s="0" t="n">
        <v>4</v>
      </c>
      <c r="T1588" s="21" t="s">
        <v>3722</v>
      </c>
      <c r="U1588" s="22" t="b">
        <f aca="false">TRUE()</f>
        <v>1</v>
      </c>
      <c r="V1588" s="0" t="n">
        <v>0.78</v>
      </c>
      <c r="W1588" s="0" t="n">
        <v>0.24</v>
      </c>
      <c r="X1588" s="0" t="n">
        <v>12.3</v>
      </c>
      <c r="Y1588" s="0" t="n">
        <v>495.79</v>
      </c>
      <c r="Z1588" s="0" t="n">
        <v>8.75</v>
      </c>
      <c r="AA1588" s="0" t="n">
        <v>9.93</v>
      </c>
      <c r="AB1588" s="0" t="n">
        <v>2.35</v>
      </c>
      <c r="AC1588" s="22" t="b">
        <f aca="false">FALSE()</f>
        <v>0</v>
      </c>
      <c r="AD1588" s="0" t="n">
        <v>6.4</v>
      </c>
      <c r="AE1588" s="0" t="n">
        <v>1.08</v>
      </c>
      <c r="AF1588" s="0" t="n">
        <v>0.29</v>
      </c>
      <c r="AG1588" s="22" t="b">
        <f aca="false">FALSE()</f>
        <v>0</v>
      </c>
      <c r="AH1588" s="0" t="n">
        <v>1</v>
      </c>
    </row>
    <row r="1589" customFormat="false" ht="15" hidden="false" customHeight="false" outlineLevel="0" collapsed="false">
      <c r="A1589" s="0" t="s">
        <v>2423</v>
      </c>
      <c r="B1589" s="0" t="s">
        <v>134</v>
      </c>
      <c r="C1589" s="0" t="s">
        <v>3447</v>
      </c>
      <c r="D1589" s="0" t="s">
        <v>3448</v>
      </c>
      <c r="E1589" s="20" t="s">
        <v>25</v>
      </c>
      <c r="F1589" s="23" t="s">
        <v>30</v>
      </c>
      <c r="G1589" s="21" t="s">
        <v>283</v>
      </c>
      <c r="H1589" s="21" t="s">
        <v>24</v>
      </c>
      <c r="I1589" s="21" t="s">
        <v>25</v>
      </c>
      <c r="J1589" s="21" t="s">
        <v>24</v>
      </c>
      <c r="K1589" s="21" t="s">
        <v>24</v>
      </c>
      <c r="L1589" s="21" t="s">
        <v>24</v>
      </c>
      <c r="M1589" s="0" t="n">
        <v>187</v>
      </c>
      <c r="N1589" s="0" t="n">
        <v>2</v>
      </c>
      <c r="O1589" s="21" t="s">
        <v>3566</v>
      </c>
      <c r="P1589" s="21" t="s">
        <v>4238</v>
      </c>
      <c r="Q1589" s="0" t="n">
        <v>1</v>
      </c>
      <c r="R1589" s="21" t="s">
        <v>69</v>
      </c>
      <c r="S1589" s="0" t="n">
        <v>2</v>
      </c>
      <c r="T1589" s="21" t="s">
        <v>3566</v>
      </c>
      <c r="U1589" s="22" t="b">
        <f aca="false">TRUE()</f>
        <v>1</v>
      </c>
      <c r="V1589" s="0" t="n">
        <v>0.81</v>
      </c>
      <c r="W1589" s="0" t="n">
        <v>0.16</v>
      </c>
      <c r="X1589" s="0" t="n">
        <v>14.72</v>
      </c>
      <c r="Y1589" s="0" t="n">
        <v>559.42</v>
      </c>
      <c r="Z1589" s="0" t="n">
        <v>8.5</v>
      </c>
      <c r="AA1589" s="0" t="n">
        <v>12.69</v>
      </c>
      <c r="AB1589" s="0" t="n">
        <v>1.79</v>
      </c>
      <c r="AC1589" s="22" t="b">
        <f aca="false">FALSE()</f>
        <v>0</v>
      </c>
      <c r="AD1589" s="0" t="n">
        <v>3.86</v>
      </c>
      <c r="AE1589" s="0" t="n">
        <v>0.48</v>
      </c>
      <c r="AF1589" s="0" t="n">
        <v>2.89</v>
      </c>
      <c r="AG1589" s="22" t="b">
        <f aca="false">FALSE()</f>
        <v>0</v>
      </c>
      <c r="AH1589" s="0" t="n">
        <v>1</v>
      </c>
    </row>
    <row r="1590" customFormat="false" ht="15" hidden="false" customHeight="false" outlineLevel="0" collapsed="false">
      <c r="A1590" s="0" t="s">
        <v>2429</v>
      </c>
      <c r="B1590" s="0" t="s">
        <v>134</v>
      </c>
      <c r="C1590" s="0" t="s">
        <v>3450</v>
      </c>
      <c r="D1590" s="0" t="s">
        <v>3457</v>
      </c>
      <c r="E1590" s="20" t="s">
        <v>25</v>
      </c>
      <c r="F1590" s="23" t="s">
        <v>30</v>
      </c>
      <c r="G1590" s="21" t="s">
        <v>283</v>
      </c>
      <c r="H1590" s="21" t="s">
        <v>24</v>
      </c>
      <c r="I1590" s="21" t="s">
        <v>25</v>
      </c>
      <c r="J1590" s="21" t="s">
        <v>24</v>
      </c>
      <c r="K1590" s="21" t="s">
        <v>24</v>
      </c>
      <c r="L1590" s="21" t="s">
        <v>24</v>
      </c>
      <c r="M1590" s="0" t="n">
        <v>182</v>
      </c>
      <c r="N1590" s="0" t="n">
        <v>1</v>
      </c>
      <c r="O1590" s="21" t="s">
        <v>69</v>
      </c>
      <c r="P1590" s="21" t="s">
        <v>4275</v>
      </c>
      <c r="Q1590" s="0" t="n">
        <v>1</v>
      </c>
      <c r="R1590" s="21" t="s">
        <v>69</v>
      </c>
      <c r="S1590" s="0" t="n">
        <v>1</v>
      </c>
      <c r="T1590" s="21" t="s">
        <v>69</v>
      </c>
      <c r="U1590" s="22" t="b">
        <f aca="false">TRUE()</f>
        <v>1</v>
      </c>
      <c r="V1590" s="0" t="n">
        <v>0.71</v>
      </c>
      <c r="W1590" s="0" t="n">
        <v>0</v>
      </c>
      <c r="X1590" s="0" t="n">
        <v>10.46</v>
      </c>
      <c r="Y1590" s="0" t="n">
        <v>594.23</v>
      </c>
      <c r="Z1590" s="0" t="n">
        <v>10.5</v>
      </c>
      <c r="AA1590" s="0" t="n">
        <v>6.05</v>
      </c>
      <c r="AB1590" s="0" t="n">
        <v>3.78</v>
      </c>
      <c r="AC1590" s="22" t="b">
        <f aca="false">FALSE()</f>
        <v>0</v>
      </c>
      <c r="AD1590" s="0" t="n">
        <v>14.72</v>
      </c>
      <c r="AE1590" s="0" t="n">
        <v>1.27</v>
      </c>
      <c r="AF1590" s="0" t="n">
        <v>10.92</v>
      </c>
      <c r="AG1590" s="22" t="b">
        <f aca="false">TRUE()</f>
        <v>1</v>
      </c>
      <c r="AH1590" s="0" t="n">
        <v>1</v>
      </c>
    </row>
    <row r="1591" customFormat="false" ht="15" hidden="false" customHeight="false" outlineLevel="0" collapsed="false">
      <c r="A1591" s="0" t="s">
        <v>2429</v>
      </c>
      <c r="B1591" s="0" t="s">
        <v>134</v>
      </c>
      <c r="C1591" s="0" t="s">
        <v>3450</v>
      </c>
      <c r="D1591" s="0" t="s">
        <v>3448</v>
      </c>
      <c r="E1591" s="20" t="s">
        <v>25</v>
      </c>
      <c r="F1591" s="23" t="s">
        <v>30</v>
      </c>
      <c r="G1591" s="21" t="s">
        <v>1230</v>
      </c>
      <c r="H1591" s="21" t="s">
        <v>24</v>
      </c>
      <c r="I1591" s="21" t="s">
        <v>25</v>
      </c>
      <c r="J1591" s="21" t="s">
        <v>24</v>
      </c>
      <c r="K1591" s="21" t="s">
        <v>25</v>
      </c>
      <c r="L1591" s="21" t="s">
        <v>24</v>
      </c>
      <c r="M1591" s="0" t="n">
        <v>186</v>
      </c>
      <c r="N1591" s="0" t="n">
        <v>1</v>
      </c>
      <c r="O1591" s="21" t="s">
        <v>69</v>
      </c>
      <c r="P1591" s="21" t="s">
        <v>4275</v>
      </c>
      <c r="Q1591" s="0" t="n">
        <v>1</v>
      </c>
      <c r="R1591" s="21" t="s">
        <v>69</v>
      </c>
      <c r="S1591" s="0" t="n">
        <v>1</v>
      </c>
      <c r="T1591" s="21" t="s">
        <v>69</v>
      </c>
      <c r="U1591" s="22" t="b">
        <f aca="false">TRUE()</f>
        <v>1</v>
      </c>
      <c r="V1591" s="0" t="n">
        <v>0.78</v>
      </c>
      <c r="W1591" s="0" t="n">
        <v>0.76</v>
      </c>
      <c r="X1591" s="0" t="n">
        <v>10.4</v>
      </c>
      <c r="Y1591" s="0" t="n">
        <v>323.51</v>
      </c>
      <c r="Z1591" s="0" t="n">
        <v>9.33</v>
      </c>
      <c r="AA1591" s="0" t="n">
        <v>0.67</v>
      </c>
      <c r="AB1591" s="0" t="n">
        <v>3.65</v>
      </c>
      <c r="AC1591" s="22" t="b">
        <f aca="false">FALSE()</f>
        <v>0</v>
      </c>
      <c r="AD1591" s="0" t="n">
        <v>4.38</v>
      </c>
      <c r="AE1591" s="0" t="n">
        <v>0.37</v>
      </c>
      <c r="AF1591" s="0" t="n">
        <v>2.11</v>
      </c>
      <c r="AG1591" s="22" t="b">
        <f aca="false">FALSE()</f>
        <v>0</v>
      </c>
      <c r="AH1591" s="0" t="n">
        <v>1</v>
      </c>
    </row>
    <row r="1592" customFormat="false" ht="15" hidden="false" customHeight="false" outlineLevel="0" collapsed="false">
      <c r="A1592" s="0" t="s">
        <v>2429</v>
      </c>
      <c r="B1592" s="0" t="s">
        <v>134</v>
      </c>
      <c r="C1592" s="0" t="s">
        <v>3447</v>
      </c>
      <c r="D1592" s="0" t="s">
        <v>3457</v>
      </c>
      <c r="E1592" s="20" t="s">
        <v>25</v>
      </c>
      <c r="F1592" s="23" t="s">
        <v>30</v>
      </c>
      <c r="G1592" s="21" t="s">
        <v>283</v>
      </c>
      <c r="H1592" s="21" t="s">
        <v>24</v>
      </c>
      <c r="I1592" s="21" t="s">
        <v>25</v>
      </c>
      <c r="J1592" s="21" t="s">
        <v>24</v>
      </c>
      <c r="K1592" s="21" t="s">
        <v>24</v>
      </c>
      <c r="L1592" s="21" t="s">
        <v>24</v>
      </c>
      <c r="M1592" s="0" t="n">
        <v>183</v>
      </c>
      <c r="N1592" s="0" t="n">
        <v>1</v>
      </c>
      <c r="O1592" s="21" t="s">
        <v>69</v>
      </c>
      <c r="P1592" s="21" t="s">
        <v>4275</v>
      </c>
      <c r="Q1592" s="0" t="n">
        <v>1</v>
      </c>
      <c r="R1592" s="21" t="s">
        <v>69</v>
      </c>
      <c r="S1592" s="0" t="n">
        <v>1</v>
      </c>
      <c r="T1592" s="21" t="s">
        <v>69</v>
      </c>
      <c r="U1592" s="22" t="b">
        <f aca="false">TRUE()</f>
        <v>1</v>
      </c>
      <c r="V1592" s="0" t="n">
        <v>0.78</v>
      </c>
      <c r="W1592" s="0" t="n">
        <v>0.72</v>
      </c>
      <c r="X1592" s="0" t="n">
        <v>9.29</v>
      </c>
      <c r="Y1592" s="0" t="n">
        <v>307.5</v>
      </c>
      <c r="Z1592" s="0" t="n">
        <v>8</v>
      </c>
      <c r="AA1592" s="0" t="n">
        <v>3.8</v>
      </c>
      <c r="AB1592" s="0" t="n">
        <v>3.78</v>
      </c>
      <c r="AC1592" s="22" t="b">
        <f aca="false">FALSE()</f>
        <v>0</v>
      </c>
      <c r="AD1592" s="0" t="n">
        <v>16.71</v>
      </c>
      <c r="AE1592" s="0" t="n">
        <v>0.89</v>
      </c>
      <c r="AF1592" s="0" t="n">
        <v>12.06</v>
      </c>
      <c r="AG1592" s="22" t="b">
        <f aca="false">TRUE()</f>
        <v>1</v>
      </c>
      <c r="AH1592" s="0" t="n">
        <v>1</v>
      </c>
    </row>
    <row r="1593" customFormat="false" ht="15" hidden="false" customHeight="false" outlineLevel="0" collapsed="false">
      <c r="A1593" s="0" t="s">
        <v>2429</v>
      </c>
      <c r="B1593" s="0" t="s">
        <v>134</v>
      </c>
      <c r="C1593" s="0" t="s">
        <v>3447</v>
      </c>
      <c r="D1593" s="0" t="s">
        <v>3448</v>
      </c>
      <c r="E1593" s="20" t="s">
        <v>25</v>
      </c>
      <c r="F1593" s="23" t="s">
        <v>30</v>
      </c>
      <c r="G1593" s="21" t="s">
        <v>283</v>
      </c>
      <c r="H1593" s="21" t="s">
        <v>24</v>
      </c>
      <c r="I1593" s="21" t="s">
        <v>25</v>
      </c>
      <c r="J1593" s="21" t="s">
        <v>24</v>
      </c>
      <c r="K1593" s="21" t="s">
        <v>24</v>
      </c>
      <c r="L1593" s="21" t="s">
        <v>24</v>
      </c>
      <c r="M1593" s="0" t="n">
        <v>188</v>
      </c>
      <c r="N1593" s="0" t="n">
        <v>6</v>
      </c>
      <c r="O1593" s="21" t="s">
        <v>3823</v>
      </c>
      <c r="P1593" s="21" t="s">
        <v>4771</v>
      </c>
      <c r="Q1593" s="0" t="n">
        <v>1</v>
      </c>
      <c r="R1593" s="21" t="s">
        <v>69</v>
      </c>
      <c r="S1593" s="0" t="n">
        <v>6</v>
      </c>
      <c r="T1593" s="21" t="s">
        <v>3823</v>
      </c>
      <c r="U1593" s="22" t="b">
        <f aca="false">TRUE()</f>
        <v>1</v>
      </c>
      <c r="V1593" s="0" t="n">
        <v>0.8</v>
      </c>
      <c r="W1593" s="0" t="n">
        <v>0.48</v>
      </c>
      <c r="X1593" s="0" t="n">
        <v>9.73</v>
      </c>
      <c r="Y1593" s="0" t="n">
        <v>341.3</v>
      </c>
      <c r="Z1593" s="0" t="n">
        <v>8</v>
      </c>
      <c r="AA1593" s="0" t="n">
        <v>2.94</v>
      </c>
      <c r="AB1593" s="0" t="n">
        <v>3.65</v>
      </c>
      <c r="AC1593" s="22" t="b">
        <f aca="false">FALSE()</f>
        <v>0</v>
      </c>
      <c r="AD1593" s="0" t="n">
        <v>8.45</v>
      </c>
      <c r="AE1593" s="0" t="n">
        <v>0.62</v>
      </c>
      <c r="AF1593" s="0" t="n">
        <v>1.65</v>
      </c>
      <c r="AG1593" s="22" t="b">
        <f aca="false">FALSE()</f>
        <v>0</v>
      </c>
      <c r="AH1593" s="0" t="n">
        <v>1</v>
      </c>
    </row>
    <row r="1594" customFormat="false" ht="15" hidden="false" customHeight="false" outlineLevel="0" collapsed="false">
      <c r="A1594" s="0" t="s">
        <v>2429</v>
      </c>
      <c r="B1594" s="0" t="s">
        <v>3459</v>
      </c>
      <c r="C1594" s="0" t="s">
        <v>3450</v>
      </c>
      <c r="D1594" s="0" t="s">
        <v>3457</v>
      </c>
      <c r="E1594" s="18" t="s">
        <v>24</v>
      </c>
      <c r="F1594" s="23" t="s">
        <v>30</v>
      </c>
      <c r="G1594" s="21" t="s">
        <v>30</v>
      </c>
      <c r="H1594" s="21" t="s">
        <v>24</v>
      </c>
      <c r="I1594" s="21" t="s">
        <v>24</v>
      </c>
      <c r="J1594" s="21" t="s">
        <v>24</v>
      </c>
      <c r="K1594" s="21" t="s">
        <v>24</v>
      </c>
      <c r="L1594" s="21" t="s">
        <v>24</v>
      </c>
      <c r="M1594" s="0" t="n">
        <v>182</v>
      </c>
      <c r="N1594" s="0" t="n">
        <v>1</v>
      </c>
      <c r="O1594" s="21" t="s">
        <v>3474</v>
      </c>
      <c r="P1594" s="21" t="s">
        <v>4272</v>
      </c>
      <c r="Q1594" s="0" t="n">
        <v>0</v>
      </c>
      <c r="S1594" s="0" t="n">
        <v>1</v>
      </c>
      <c r="T1594" s="21" t="s">
        <v>3474</v>
      </c>
      <c r="U1594" s="22" t="b">
        <f aca="false">TRUE()</f>
        <v>1</v>
      </c>
      <c r="V1594" s="0" t="n">
        <v>0.69</v>
      </c>
      <c r="W1594" s="0" t="n">
        <v>0</v>
      </c>
      <c r="X1594" s="0" t="n">
        <v>11.97</v>
      </c>
      <c r="Y1594" s="0" t="n">
        <v>693.43</v>
      </c>
      <c r="Z1594" s="0" t="n">
        <v>8.83</v>
      </c>
      <c r="AA1594" s="0" t="n">
        <v>6.09</v>
      </c>
      <c r="AB1594" s="0" t="n">
        <v>2.79</v>
      </c>
      <c r="AC1594" s="22" t="b">
        <f aca="false">FALSE()</f>
        <v>0</v>
      </c>
      <c r="AD1594" s="0" t="n">
        <v>17.53</v>
      </c>
      <c r="AE1594" s="0" t="n">
        <v>9.05</v>
      </c>
      <c r="AF1594" s="0" t="n">
        <v>19.66</v>
      </c>
      <c r="AG1594" s="22" t="b">
        <f aca="false">TRUE()</f>
        <v>1</v>
      </c>
      <c r="AH1594" s="0" t="n">
        <v>1</v>
      </c>
    </row>
    <row r="1595" customFormat="false" ht="15" hidden="false" customHeight="false" outlineLevel="0" collapsed="false">
      <c r="A1595" s="0" t="s">
        <v>2429</v>
      </c>
      <c r="B1595" s="0" t="s">
        <v>3459</v>
      </c>
      <c r="C1595" s="0" t="s">
        <v>3450</v>
      </c>
      <c r="D1595" s="0" t="s">
        <v>3448</v>
      </c>
      <c r="E1595" s="20" t="s">
        <v>25</v>
      </c>
      <c r="F1595" s="23" t="s">
        <v>30</v>
      </c>
      <c r="G1595" s="21" t="s">
        <v>470</v>
      </c>
      <c r="H1595" s="21" t="s">
        <v>24</v>
      </c>
      <c r="I1595" s="21" t="s">
        <v>24</v>
      </c>
      <c r="J1595" s="21" t="s">
        <v>24</v>
      </c>
      <c r="K1595" s="21" t="s">
        <v>25</v>
      </c>
      <c r="L1595" s="21" t="s">
        <v>24</v>
      </c>
      <c r="M1595" s="0" t="n">
        <v>183</v>
      </c>
      <c r="N1595" s="0" t="n">
        <v>1</v>
      </c>
      <c r="O1595" s="21" t="s">
        <v>3474</v>
      </c>
      <c r="P1595" s="21" t="s">
        <v>4272</v>
      </c>
      <c r="Q1595" s="0" t="n">
        <v>0</v>
      </c>
      <c r="S1595" s="0" t="n">
        <v>1</v>
      </c>
      <c r="T1595" s="21" t="s">
        <v>3474</v>
      </c>
      <c r="U1595" s="22" t="b">
        <f aca="false">TRUE()</f>
        <v>1</v>
      </c>
      <c r="V1595" s="0" t="n">
        <v>0.78</v>
      </c>
      <c r="W1595" s="0" t="n">
        <v>0.96</v>
      </c>
      <c r="X1595" s="0" t="n">
        <v>10.72</v>
      </c>
      <c r="Y1595" s="0" t="n">
        <v>315.32</v>
      </c>
      <c r="Z1595" s="0" t="n">
        <v>8.83</v>
      </c>
      <c r="AA1595" s="0" t="n">
        <v>1.95</v>
      </c>
      <c r="AB1595" s="0" t="n">
        <v>1.17</v>
      </c>
      <c r="AC1595" s="22" t="b">
        <f aca="false">TRUE()</f>
        <v>1</v>
      </c>
      <c r="AD1595" s="0" t="n">
        <v>18.9</v>
      </c>
      <c r="AE1595" s="0" t="n">
        <v>11.51</v>
      </c>
      <c r="AF1595" s="0" t="n">
        <v>18.95</v>
      </c>
      <c r="AG1595" s="22" t="b">
        <f aca="false">TRUE()</f>
        <v>1</v>
      </c>
      <c r="AH1595" s="0" t="n">
        <v>1</v>
      </c>
    </row>
    <row r="1596" customFormat="false" ht="15" hidden="false" customHeight="false" outlineLevel="0" collapsed="false">
      <c r="A1596" s="0" t="s">
        <v>2429</v>
      </c>
      <c r="B1596" s="0" t="s">
        <v>3459</v>
      </c>
      <c r="C1596" s="0" t="s">
        <v>3447</v>
      </c>
      <c r="D1596" s="0" t="s">
        <v>3457</v>
      </c>
      <c r="E1596" s="18" t="s">
        <v>24</v>
      </c>
      <c r="F1596" s="23" t="s">
        <v>30</v>
      </c>
      <c r="G1596" s="21" t="s">
        <v>30</v>
      </c>
      <c r="H1596" s="21" t="s">
        <v>24</v>
      </c>
      <c r="I1596" s="21" t="s">
        <v>24</v>
      </c>
      <c r="J1596" s="21" t="s">
        <v>24</v>
      </c>
      <c r="K1596" s="21" t="s">
        <v>24</v>
      </c>
      <c r="L1596" s="21" t="s">
        <v>24</v>
      </c>
      <c r="M1596" s="0" t="n">
        <v>182</v>
      </c>
      <c r="N1596" s="0" t="n">
        <v>1</v>
      </c>
      <c r="O1596" s="21" t="s">
        <v>3474</v>
      </c>
      <c r="P1596" s="21" t="s">
        <v>4272</v>
      </c>
      <c r="Q1596" s="0" t="n">
        <v>0</v>
      </c>
      <c r="S1596" s="0" t="n">
        <v>1</v>
      </c>
      <c r="T1596" s="21" t="s">
        <v>3474</v>
      </c>
      <c r="U1596" s="22" t="b">
        <f aca="false">TRUE()</f>
        <v>1</v>
      </c>
      <c r="V1596" s="0" t="n">
        <v>0.73</v>
      </c>
      <c r="W1596" s="0" t="n">
        <v>0.24</v>
      </c>
      <c r="X1596" s="0" t="n">
        <v>10.41</v>
      </c>
      <c r="Y1596" s="0" t="n">
        <v>445.34</v>
      </c>
      <c r="Z1596" s="0" t="n">
        <v>8</v>
      </c>
      <c r="AA1596" s="0" t="n">
        <v>5.72</v>
      </c>
      <c r="AB1596" s="0" t="n">
        <v>2.79</v>
      </c>
      <c r="AC1596" s="22" t="b">
        <f aca="false">FALSE()</f>
        <v>0</v>
      </c>
      <c r="AD1596" s="0" t="n">
        <v>13.79</v>
      </c>
      <c r="AE1596" s="0" t="n">
        <v>4.86</v>
      </c>
      <c r="AF1596" s="0" t="n">
        <v>12.82</v>
      </c>
      <c r="AG1596" s="22" t="b">
        <f aca="false">TRUE()</f>
        <v>1</v>
      </c>
      <c r="AH1596" s="0" t="n">
        <v>1</v>
      </c>
    </row>
    <row r="1597" customFormat="false" ht="15" hidden="false" customHeight="false" outlineLevel="0" collapsed="false">
      <c r="A1597" s="0" t="s">
        <v>2429</v>
      </c>
      <c r="B1597" s="0" t="s">
        <v>3459</v>
      </c>
      <c r="C1597" s="0" t="s">
        <v>3447</v>
      </c>
      <c r="D1597" s="0" t="s">
        <v>3448</v>
      </c>
      <c r="E1597" s="19" t="s">
        <v>26</v>
      </c>
      <c r="F1597" s="19" t="s">
        <v>32</v>
      </c>
      <c r="G1597" s="21" t="s">
        <v>1451</v>
      </c>
      <c r="H1597" s="21" t="s">
        <v>24</v>
      </c>
      <c r="I1597" s="21" t="s">
        <v>26</v>
      </c>
      <c r="J1597" s="21" t="s">
        <v>24</v>
      </c>
      <c r="K1597" s="21" t="s">
        <v>25</v>
      </c>
      <c r="L1597" s="21" t="s">
        <v>24</v>
      </c>
      <c r="M1597" s="0" t="n">
        <v>183</v>
      </c>
      <c r="N1597" s="0" t="n">
        <v>13</v>
      </c>
      <c r="O1597" s="21" t="s">
        <v>4068</v>
      </c>
      <c r="P1597" s="21" t="s">
        <v>4591</v>
      </c>
      <c r="Q1597" s="0" t="n">
        <v>1</v>
      </c>
      <c r="R1597" s="21" t="s">
        <v>69</v>
      </c>
      <c r="S1597" s="0" t="n">
        <v>13</v>
      </c>
      <c r="T1597" s="21" t="s">
        <v>4068</v>
      </c>
      <c r="U1597" s="22" t="b">
        <f aca="false">FALSE()</f>
        <v>0</v>
      </c>
      <c r="V1597" s="0" t="n">
        <v>0.76</v>
      </c>
      <c r="W1597" s="0" t="n">
        <v>0.4</v>
      </c>
      <c r="X1597" s="0" t="n">
        <v>12.35</v>
      </c>
      <c r="Y1597" s="0" t="n">
        <v>355.6</v>
      </c>
      <c r="Z1597" s="0" t="n">
        <v>8</v>
      </c>
      <c r="AA1597" s="0" t="n">
        <v>6.02</v>
      </c>
      <c r="AB1597" s="0" t="n">
        <v>1.17</v>
      </c>
      <c r="AC1597" s="22" t="b">
        <f aca="false">FALSE()</f>
        <v>0</v>
      </c>
      <c r="AD1597" s="0" t="n">
        <v>13.95</v>
      </c>
      <c r="AE1597" s="0" t="n">
        <v>4</v>
      </c>
      <c r="AF1597" s="0" t="n">
        <v>7.08</v>
      </c>
      <c r="AG1597" s="22" t="b">
        <f aca="false">TRUE()</f>
        <v>1</v>
      </c>
      <c r="AH1597" s="0" t="n">
        <v>1</v>
      </c>
    </row>
    <row r="1598" customFormat="false" ht="15" hidden="false" customHeight="false" outlineLevel="0" collapsed="false">
      <c r="A1598" s="0" t="s">
        <v>2435</v>
      </c>
      <c r="B1598" s="0" t="s">
        <v>134</v>
      </c>
      <c r="C1598" s="0" t="s">
        <v>3450</v>
      </c>
      <c r="D1598" s="0" t="s">
        <v>3457</v>
      </c>
      <c r="E1598" s="20" t="s">
        <v>25</v>
      </c>
      <c r="F1598" s="23" t="s">
        <v>30</v>
      </c>
      <c r="G1598" s="21" t="s">
        <v>183</v>
      </c>
      <c r="H1598" s="21" t="s">
        <v>24</v>
      </c>
      <c r="I1598" s="21" t="s">
        <v>25</v>
      </c>
      <c r="J1598" s="21" t="s">
        <v>24</v>
      </c>
      <c r="K1598" s="21" t="s">
        <v>25</v>
      </c>
      <c r="L1598" s="21" t="s">
        <v>24</v>
      </c>
      <c r="M1598" s="0" t="n">
        <v>184</v>
      </c>
      <c r="N1598" s="0" t="n">
        <v>2</v>
      </c>
      <c r="O1598" s="21" t="s">
        <v>3566</v>
      </c>
      <c r="P1598" s="21" t="s">
        <v>4238</v>
      </c>
      <c r="Q1598" s="0" t="n">
        <v>1</v>
      </c>
      <c r="R1598" s="21" t="s">
        <v>69</v>
      </c>
      <c r="S1598" s="0" t="n">
        <v>2</v>
      </c>
      <c r="T1598" s="21" t="s">
        <v>3566</v>
      </c>
      <c r="U1598" s="22" t="b">
        <f aca="false">TRUE()</f>
        <v>1</v>
      </c>
      <c r="V1598" s="0" t="n">
        <v>0.7</v>
      </c>
      <c r="W1598" s="0" t="n">
        <v>0.68</v>
      </c>
      <c r="X1598" s="0" t="n">
        <v>8.01</v>
      </c>
      <c r="Y1598" s="0" t="n">
        <v>303.03</v>
      </c>
      <c r="Z1598" s="0" t="n">
        <v>10.25</v>
      </c>
      <c r="AA1598" s="0" t="n">
        <v>10.69</v>
      </c>
      <c r="AB1598" s="0" t="n">
        <v>6.1</v>
      </c>
      <c r="AC1598" s="22" t="b">
        <f aca="false">FALSE()</f>
        <v>0</v>
      </c>
      <c r="AD1598" s="0" t="n">
        <v>20.55</v>
      </c>
      <c r="AE1598" s="0" t="n">
        <v>0.76</v>
      </c>
      <c r="AF1598" s="0" t="n">
        <v>19.89</v>
      </c>
      <c r="AG1598" s="22" t="b">
        <f aca="false">TRUE()</f>
        <v>1</v>
      </c>
      <c r="AH1598" s="0" t="n">
        <v>1</v>
      </c>
    </row>
    <row r="1599" customFormat="false" ht="15" hidden="false" customHeight="false" outlineLevel="0" collapsed="false">
      <c r="A1599" s="0" t="s">
        <v>2435</v>
      </c>
      <c r="B1599" s="0" t="s">
        <v>134</v>
      </c>
      <c r="C1599" s="0" t="s">
        <v>3450</v>
      </c>
      <c r="D1599" s="0" t="s">
        <v>3448</v>
      </c>
      <c r="E1599" s="20" t="s">
        <v>25</v>
      </c>
      <c r="F1599" s="23" t="s">
        <v>30</v>
      </c>
      <c r="G1599" s="21" t="s">
        <v>1152</v>
      </c>
      <c r="H1599" s="21" t="s">
        <v>24</v>
      </c>
      <c r="I1599" s="21" t="s">
        <v>25</v>
      </c>
      <c r="J1599" s="21" t="s">
        <v>24</v>
      </c>
      <c r="K1599" s="21" t="s">
        <v>25</v>
      </c>
      <c r="L1599" s="21" t="s">
        <v>24</v>
      </c>
      <c r="M1599" s="0" t="n">
        <v>184</v>
      </c>
      <c r="N1599" s="0" t="n">
        <v>2</v>
      </c>
      <c r="O1599" s="21" t="s">
        <v>3566</v>
      </c>
      <c r="P1599" s="21" t="s">
        <v>4238</v>
      </c>
      <c r="Q1599" s="0" t="n">
        <v>1</v>
      </c>
      <c r="R1599" s="21" t="s">
        <v>69</v>
      </c>
      <c r="S1599" s="0" t="n">
        <v>2</v>
      </c>
      <c r="T1599" s="21" t="s">
        <v>3566</v>
      </c>
      <c r="U1599" s="22" t="b">
        <f aca="false">TRUE()</f>
        <v>1</v>
      </c>
      <c r="V1599" s="0" t="n">
        <v>0.72</v>
      </c>
      <c r="W1599" s="0" t="n">
        <v>0.64</v>
      </c>
      <c r="X1599" s="0" t="n">
        <v>8.51</v>
      </c>
      <c r="Y1599" s="0" t="n">
        <v>321.11</v>
      </c>
      <c r="Z1599" s="0" t="n">
        <v>9.75</v>
      </c>
      <c r="AA1599" s="0" t="n">
        <v>5.43</v>
      </c>
      <c r="AB1599" s="0" t="n">
        <v>0.96</v>
      </c>
      <c r="AC1599" s="22" t="b">
        <f aca="false">FALSE()</f>
        <v>0</v>
      </c>
      <c r="AD1599" s="0" t="n">
        <v>8.33</v>
      </c>
      <c r="AE1599" s="0" t="n">
        <v>0.63</v>
      </c>
      <c r="AF1599" s="0" t="n">
        <v>11.5</v>
      </c>
      <c r="AG1599" s="22" t="b">
        <f aca="false">FALSE()</f>
        <v>0</v>
      </c>
      <c r="AH1599" s="0" t="n">
        <v>1</v>
      </c>
    </row>
    <row r="1600" customFormat="false" ht="15" hidden="false" customHeight="false" outlineLevel="0" collapsed="false">
      <c r="A1600" s="0" t="s">
        <v>2435</v>
      </c>
      <c r="B1600" s="0" t="s">
        <v>134</v>
      </c>
      <c r="C1600" s="0" t="s">
        <v>3447</v>
      </c>
      <c r="D1600" s="0" t="s">
        <v>3457</v>
      </c>
      <c r="E1600" s="19" t="s">
        <v>26</v>
      </c>
      <c r="F1600" s="19" t="s">
        <v>32</v>
      </c>
      <c r="G1600" s="21" t="s">
        <v>3896</v>
      </c>
      <c r="H1600" s="21" t="s">
        <v>24</v>
      </c>
      <c r="I1600" s="21" t="s">
        <v>26</v>
      </c>
      <c r="J1600" s="21" t="s">
        <v>24</v>
      </c>
      <c r="K1600" s="21" t="s">
        <v>25</v>
      </c>
      <c r="L1600" s="21" t="s">
        <v>24</v>
      </c>
      <c r="M1600" s="0" t="n">
        <v>183</v>
      </c>
      <c r="N1600" s="0" t="n">
        <v>7</v>
      </c>
      <c r="O1600" s="21" t="s">
        <v>3903</v>
      </c>
      <c r="P1600" s="21" t="s">
        <v>4772</v>
      </c>
      <c r="Q1600" s="0" t="n">
        <v>0</v>
      </c>
      <c r="S1600" s="0" t="n">
        <v>7</v>
      </c>
      <c r="T1600" s="21" t="s">
        <v>3903</v>
      </c>
      <c r="U1600" s="22" t="b">
        <f aca="false">FALSE()</f>
        <v>0</v>
      </c>
      <c r="V1600" s="0" t="n">
        <v>0.77</v>
      </c>
      <c r="W1600" s="0" t="n">
        <v>0.12</v>
      </c>
      <c r="X1600" s="0" t="n">
        <v>7.59</v>
      </c>
      <c r="Y1600" s="0" t="n">
        <v>593.21</v>
      </c>
      <c r="Z1600" s="0" t="n">
        <v>8.25</v>
      </c>
      <c r="AA1600" s="0" t="n">
        <v>5.08</v>
      </c>
      <c r="AB1600" s="0" t="n">
        <v>6.1</v>
      </c>
      <c r="AC1600" s="22" t="b">
        <f aca="false">FALSE()</f>
        <v>0</v>
      </c>
      <c r="AD1600" s="0" t="n">
        <v>25.89</v>
      </c>
      <c r="AE1600" s="0" t="n">
        <v>0.63</v>
      </c>
      <c r="AF1600" s="0" t="n">
        <v>22.54</v>
      </c>
      <c r="AG1600" s="22" t="b">
        <f aca="false">TRUE()</f>
        <v>1</v>
      </c>
      <c r="AH1600" s="0" t="n">
        <v>1</v>
      </c>
    </row>
    <row r="1601" customFormat="false" ht="15" hidden="false" customHeight="false" outlineLevel="0" collapsed="false">
      <c r="A1601" s="0" t="s">
        <v>2435</v>
      </c>
      <c r="B1601" s="0" t="s">
        <v>134</v>
      </c>
      <c r="C1601" s="0" t="s">
        <v>3447</v>
      </c>
      <c r="D1601" s="0" t="s">
        <v>3448</v>
      </c>
      <c r="E1601" s="20" t="s">
        <v>25</v>
      </c>
      <c r="F1601" s="23" t="s">
        <v>30</v>
      </c>
      <c r="G1601" s="21" t="s">
        <v>2610</v>
      </c>
      <c r="H1601" s="21" t="s">
        <v>24</v>
      </c>
      <c r="I1601" s="21" t="s">
        <v>24</v>
      </c>
      <c r="J1601" s="21" t="s">
        <v>24</v>
      </c>
      <c r="K1601" s="21" t="s">
        <v>25</v>
      </c>
      <c r="L1601" s="21" t="s">
        <v>24</v>
      </c>
      <c r="M1601" s="0" t="n">
        <v>186</v>
      </c>
      <c r="N1601" s="0" t="n">
        <v>5</v>
      </c>
      <c r="O1601" s="21" t="s">
        <v>3690</v>
      </c>
      <c r="P1601" s="21" t="s">
        <v>4773</v>
      </c>
      <c r="Q1601" s="0" t="n">
        <v>0</v>
      </c>
      <c r="S1601" s="0" t="n">
        <v>5</v>
      </c>
      <c r="T1601" s="21" t="s">
        <v>3690</v>
      </c>
      <c r="U1601" s="22" t="b">
        <f aca="false">TRUE()</f>
        <v>1</v>
      </c>
      <c r="V1601" s="0" t="n">
        <v>0.78</v>
      </c>
      <c r="W1601" s="0" t="n">
        <v>0.92</v>
      </c>
      <c r="X1601" s="0" t="n">
        <v>8.52</v>
      </c>
      <c r="Y1601" s="0" t="n">
        <v>321.7</v>
      </c>
      <c r="Z1601" s="0" t="n">
        <v>8.42</v>
      </c>
      <c r="AA1601" s="0" t="n">
        <v>-0.21</v>
      </c>
      <c r="AB1601" s="0" t="n">
        <v>0.96</v>
      </c>
      <c r="AC1601" s="22" t="b">
        <f aca="false">FALSE()</f>
        <v>0</v>
      </c>
      <c r="AD1601" s="0" t="n">
        <v>4.95</v>
      </c>
      <c r="AE1601" s="0" t="n">
        <v>0.99</v>
      </c>
      <c r="AF1601" s="0" t="n">
        <v>7.23</v>
      </c>
      <c r="AG1601" s="22" t="b">
        <f aca="false">FALSE()</f>
        <v>0</v>
      </c>
      <c r="AH1601" s="0" t="n">
        <v>1</v>
      </c>
    </row>
    <row r="1602" customFormat="false" ht="15" hidden="false" customHeight="false" outlineLevel="0" collapsed="false">
      <c r="A1602" s="0" t="s">
        <v>2435</v>
      </c>
      <c r="B1602" s="0" t="s">
        <v>3459</v>
      </c>
      <c r="C1602" s="0" t="s">
        <v>3450</v>
      </c>
      <c r="D1602" s="0" t="s">
        <v>3457</v>
      </c>
      <c r="E1602" s="20" t="s">
        <v>25</v>
      </c>
      <c r="F1602" s="23" t="s">
        <v>30</v>
      </c>
      <c r="G1602" s="21" t="s">
        <v>183</v>
      </c>
      <c r="H1602" s="21" t="s">
        <v>24</v>
      </c>
      <c r="I1602" s="21" t="s">
        <v>25</v>
      </c>
      <c r="J1602" s="21" t="s">
        <v>24</v>
      </c>
      <c r="K1602" s="21" t="s">
        <v>25</v>
      </c>
      <c r="L1602" s="21" t="s">
        <v>24</v>
      </c>
      <c r="M1602" s="0" t="n">
        <v>191</v>
      </c>
      <c r="N1602" s="0" t="n">
        <v>2</v>
      </c>
      <c r="O1602" s="21" t="s">
        <v>3660</v>
      </c>
      <c r="P1602" s="21" t="s">
        <v>4774</v>
      </c>
      <c r="Q1602" s="0" t="n">
        <v>1</v>
      </c>
      <c r="R1602" s="21" t="s">
        <v>69</v>
      </c>
      <c r="S1602" s="0" t="n">
        <v>2</v>
      </c>
      <c r="T1602" s="21" t="s">
        <v>3660</v>
      </c>
      <c r="U1602" s="22" t="b">
        <f aca="false">TRUE()</f>
        <v>1</v>
      </c>
      <c r="V1602" s="0" t="n">
        <v>0.74</v>
      </c>
      <c r="W1602" s="0" t="n">
        <v>0.32</v>
      </c>
      <c r="X1602" s="0" t="n">
        <v>9.61</v>
      </c>
      <c r="Y1602" s="0" t="n">
        <v>263.98</v>
      </c>
      <c r="Z1602" s="0" t="n">
        <v>9.75</v>
      </c>
      <c r="AA1602" s="0" t="n">
        <v>11.15</v>
      </c>
      <c r="AB1602" s="0" t="n">
        <v>3.83</v>
      </c>
      <c r="AC1602" s="22" t="b">
        <f aca="false">FALSE()</f>
        <v>0</v>
      </c>
      <c r="AD1602" s="0" t="n">
        <v>29.63</v>
      </c>
      <c r="AE1602" s="0" t="n">
        <v>16.68</v>
      </c>
      <c r="AF1602" s="0" t="n">
        <v>25.89</v>
      </c>
      <c r="AG1602" s="22" t="b">
        <f aca="false">TRUE()</f>
        <v>1</v>
      </c>
      <c r="AH1602" s="0" t="n">
        <v>1</v>
      </c>
    </row>
    <row r="1603" customFormat="false" ht="15" hidden="false" customHeight="false" outlineLevel="0" collapsed="false">
      <c r="A1603" s="0" t="s">
        <v>2435</v>
      </c>
      <c r="B1603" s="0" t="s">
        <v>3459</v>
      </c>
      <c r="C1603" s="0" t="s">
        <v>3450</v>
      </c>
      <c r="D1603" s="0" t="s">
        <v>3448</v>
      </c>
      <c r="E1603" s="20" t="s">
        <v>25</v>
      </c>
      <c r="F1603" s="23" t="s">
        <v>30</v>
      </c>
      <c r="G1603" s="21" t="s">
        <v>157</v>
      </c>
      <c r="H1603" s="21" t="s">
        <v>24</v>
      </c>
      <c r="I1603" s="21" t="s">
        <v>25</v>
      </c>
      <c r="J1603" s="21" t="s">
        <v>24</v>
      </c>
      <c r="K1603" s="21" t="s">
        <v>25</v>
      </c>
      <c r="L1603" s="21" t="s">
        <v>24</v>
      </c>
      <c r="M1603" s="0" t="n">
        <v>183</v>
      </c>
      <c r="N1603" s="0" t="n">
        <v>1</v>
      </c>
      <c r="O1603" s="21" t="s">
        <v>69</v>
      </c>
      <c r="P1603" s="21" t="s">
        <v>4275</v>
      </c>
      <c r="Q1603" s="0" t="n">
        <v>1</v>
      </c>
      <c r="R1603" s="21" t="s">
        <v>69</v>
      </c>
      <c r="S1603" s="0" t="n">
        <v>1</v>
      </c>
      <c r="T1603" s="21" t="s">
        <v>69</v>
      </c>
      <c r="U1603" s="22" t="b">
        <f aca="false">TRUE()</f>
        <v>1</v>
      </c>
      <c r="V1603" s="0" t="n">
        <v>0.76</v>
      </c>
      <c r="W1603" s="0" t="n">
        <v>0.36</v>
      </c>
      <c r="X1603" s="0" t="n">
        <v>9.91</v>
      </c>
      <c r="Y1603" s="0" t="n">
        <v>354.13</v>
      </c>
      <c r="Z1603" s="0" t="n">
        <v>8</v>
      </c>
      <c r="AA1603" s="0" t="n">
        <v>7.26</v>
      </c>
      <c r="AB1603" s="0" t="n">
        <v>1.31</v>
      </c>
      <c r="AC1603" s="22" t="b">
        <f aca="false">FALSE()</f>
        <v>0</v>
      </c>
      <c r="AD1603" s="0" t="n">
        <v>25.6</v>
      </c>
      <c r="AE1603" s="0" t="n">
        <v>13.49</v>
      </c>
      <c r="AF1603" s="0" t="n">
        <v>21.91</v>
      </c>
      <c r="AG1603" s="22" t="b">
        <f aca="false">TRUE()</f>
        <v>1</v>
      </c>
      <c r="AH1603" s="0" t="n">
        <v>1</v>
      </c>
    </row>
    <row r="1604" customFormat="false" ht="15" hidden="false" customHeight="false" outlineLevel="0" collapsed="false">
      <c r="A1604" s="0" t="s">
        <v>2435</v>
      </c>
      <c r="B1604" s="0" t="s">
        <v>3459</v>
      </c>
      <c r="C1604" s="0" t="s">
        <v>3447</v>
      </c>
      <c r="D1604" s="0" t="s">
        <v>3457</v>
      </c>
      <c r="E1604" s="20" t="s">
        <v>25</v>
      </c>
      <c r="F1604" s="23" t="s">
        <v>30</v>
      </c>
      <c r="G1604" s="21" t="s">
        <v>183</v>
      </c>
      <c r="H1604" s="21" t="s">
        <v>24</v>
      </c>
      <c r="I1604" s="21" t="s">
        <v>25</v>
      </c>
      <c r="J1604" s="21" t="s">
        <v>24</v>
      </c>
      <c r="K1604" s="21" t="s">
        <v>25</v>
      </c>
      <c r="L1604" s="21" t="s">
        <v>24</v>
      </c>
      <c r="M1604" s="0" t="n">
        <v>183</v>
      </c>
      <c r="N1604" s="0" t="n">
        <v>1</v>
      </c>
      <c r="O1604" s="21" t="s">
        <v>69</v>
      </c>
      <c r="P1604" s="21" t="s">
        <v>4275</v>
      </c>
      <c r="Q1604" s="0" t="n">
        <v>1</v>
      </c>
      <c r="R1604" s="21" t="s">
        <v>69</v>
      </c>
      <c r="S1604" s="0" t="n">
        <v>1</v>
      </c>
      <c r="T1604" s="21" t="s">
        <v>69</v>
      </c>
      <c r="U1604" s="22" t="b">
        <f aca="false">TRUE()</f>
        <v>1</v>
      </c>
      <c r="V1604" s="0" t="n">
        <v>0.74</v>
      </c>
      <c r="W1604" s="0" t="n">
        <v>0.88</v>
      </c>
      <c r="X1604" s="0" t="n">
        <v>8.96</v>
      </c>
      <c r="Y1604" s="0" t="n">
        <v>282.03</v>
      </c>
      <c r="Z1604" s="0" t="n">
        <v>8.92</v>
      </c>
      <c r="AA1604" s="0" t="n">
        <v>5.48</v>
      </c>
      <c r="AB1604" s="0" t="n">
        <v>3.83</v>
      </c>
      <c r="AC1604" s="22" t="b">
        <f aca="false">FALSE()</f>
        <v>0</v>
      </c>
      <c r="AD1604" s="0" t="n">
        <v>29.33</v>
      </c>
      <c r="AE1604" s="0" t="n">
        <v>16.43</v>
      </c>
      <c r="AF1604" s="0" t="n">
        <v>25.82</v>
      </c>
      <c r="AG1604" s="22" t="b">
        <f aca="false">TRUE()</f>
        <v>1</v>
      </c>
      <c r="AH1604" s="0" t="n">
        <v>1</v>
      </c>
    </row>
    <row r="1605" customFormat="false" ht="15" hidden="false" customHeight="false" outlineLevel="0" collapsed="false">
      <c r="A1605" s="0" t="s">
        <v>2435</v>
      </c>
      <c r="B1605" s="0" t="s">
        <v>3459</v>
      </c>
      <c r="C1605" s="0" t="s">
        <v>3447</v>
      </c>
      <c r="D1605" s="0" t="s">
        <v>3448</v>
      </c>
      <c r="E1605" s="20" t="s">
        <v>25</v>
      </c>
      <c r="F1605" s="23" t="s">
        <v>30</v>
      </c>
      <c r="G1605" s="21" t="s">
        <v>157</v>
      </c>
      <c r="H1605" s="21" t="s">
        <v>24</v>
      </c>
      <c r="I1605" s="21" t="s">
        <v>25</v>
      </c>
      <c r="J1605" s="21" t="s">
        <v>24</v>
      </c>
      <c r="K1605" s="21" t="s">
        <v>25</v>
      </c>
      <c r="L1605" s="21" t="s">
        <v>24</v>
      </c>
      <c r="M1605" s="0" t="n">
        <v>184</v>
      </c>
      <c r="N1605" s="0" t="n">
        <v>2</v>
      </c>
      <c r="O1605" s="21" t="s">
        <v>3626</v>
      </c>
      <c r="P1605" s="21" t="s">
        <v>4539</v>
      </c>
      <c r="Q1605" s="0" t="n">
        <v>1</v>
      </c>
      <c r="R1605" s="21" t="s">
        <v>69</v>
      </c>
      <c r="S1605" s="0" t="n">
        <v>2</v>
      </c>
      <c r="T1605" s="21" t="s">
        <v>3626</v>
      </c>
      <c r="U1605" s="22" t="b">
        <f aca="false">TRUE()</f>
        <v>1</v>
      </c>
      <c r="V1605" s="0" t="n">
        <v>0.73</v>
      </c>
      <c r="W1605" s="0" t="n">
        <v>0.92</v>
      </c>
      <c r="X1605" s="0" t="n">
        <v>10.02</v>
      </c>
      <c r="Y1605" s="0" t="n">
        <v>302.06</v>
      </c>
      <c r="Z1605" s="0" t="n">
        <v>8.25</v>
      </c>
      <c r="AA1605" s="0" t="n">
        <v>2.59</v>
      </c>
      <c r="AB1605" s="0" t="n">
        <v>1.31</v>
      </c>
      <c r="AC1605" s="22" t="b">
        <f aca="false">FALSE()</f>
        <v>0</v>
      </c>
      <c r="AD1605" s="0" t="n">
        <v>21.44</v>
      </c>
      <c r="AE1605" s="0" t="n">
        <v>10.74</v>
      </c>
      <c r="AF1605" s="0" t="n">
        <v>20.07</v>
      </c>
      <c r="AG1605" s="22" t="b">
        <f aca="false">TRUE()</f>
        <v>1</v>
      </c>
      <c r="AH1605" s="0" t="n">
        <v>1</v>
      </c>
    </row>
    <row r="1606" customFormat="false" ht="15" hidden="false" customHeight="false" outlineLevel="0" collapsed="false">
      <c r="A1606" s="0" t="s">
        <v>2441</v>
      </c>
      <c r="B1606" s="0" t="s">
        <v>134</v>
      </c>
      <c r="C1606" s="0" t="s">
        <v>3450</v>
      </c>
      <c r="D1606" s="0" t="s">
        <v>3457</v>
      </c>
      <c r="E1606" s="20" t="s">
        <v>25</v>
      </c>
      <c r="F1606" s="23" t="s">
        <v>30</v>
      </c>
      <c r="G1606" s="21" t="s">
        <v>1140</v>
      </c>
      <c r="H1606" s="21" t="s">
        <v>24</v>
      </c>
      <c r="I1606" s="21" t="s">
        <v>25</v>
      </c>
      <c r="J1606" s="21" t="s">
        <v>24</v>
      </c>
      <c r="K1606" s="21" t="s">
        <v>25</v>
      </c>
      <c r="L1606" s="21" t="s">
        <v>24</v>
      </c>
      <c r="M1606" s="0" t="n">
        <v>190</v>
      </c>
      <c r="N1606" s="0" t="n">
        <v>2</v>
      </c>
      <c r="O1606" s="21" t="s">
        <v>3566</v>
      </c>
      <c r="P1606" s="21" t="s">
        <v>4238</v>
      </c>
      <c r="Q1606" s="0" t="n">
        <v>1</v>
      </c>
      <c r="R1606" s="21" t="s">
        <v>69</v>
      </c>
      <c r="S1606" s="0" t="n">
        <v>2</v>
      </c>
      <c r="T1606" s="21" t="s">
        <v>3566</v>
      </c>
      <c r="U1606" s="22" t="b">
        <f aca="false">TRUE()</f>
        <v>1</v>
      </c>
      <c r="V1606" s="0" t="n">
        <v>0.66</v>
      </c>
      <c r="W1606" s="0" t="n">
        <v>0</v>
      </c>
      <c r="X1606" s="0" t="n">
        <v>10.56</v>
      </c>
      <c r="Y1606" s="0" t="n">
        <v>740.2</v>
      </c>
      <c r="Z1606" s="0" t="n">
        <v>10</v>
      </c>
      <c r="AA1606" s="0" t="n">
        <v>17.42</v>
      </c>
      <c r="AB1606" s="0" t="n">
        <v>16.03</v>
      </c>
      <c r="AC1606" s="22" t="b">
        <f aca="false">FALSE()</f>
        <v>0</v>
      </c>
      <c r="AD1606" s="0" t="n">
        <v>34.47</v>
      </c>
      <c r="AE1606" s="0" t="n">
        <v>20</v>
      </c>
      <c r="AF1606" s="0" t="n">
        <v>32.33</v>
      </c>
      <c r="AG1606" s="22" t="b">
        <f aca="false">TRUE()</f>
        <v>1</v>
      </c>
      <c r="AH1606" s="0" t="n">
        <v>1</v>
      </c>
    </row>
    <row r="1607" customFormat="false" ht="15" hidden="false" customHeight="false" outlineLevel="0" collapsed="false">
      <c r="A1607" s="0" t="s">
        <v>2441</v>
      </c>
      <c r="B1607" s="0" t="s">
        <v>134</v>
      </c>
      <c r="C1607" s="0" t="s">
        <v>3450</v>
      </c>
      <c r="D1607" s="0" t="s">
        <v>3448</v>
      </c>
      <c r="E1607" s="20" t="s">
        <v>25</v>
      </c>
      <c r="F1607" s="23" t="s">
        <v>30</v>
      </c>
      <c r="G1607" s="21" t="s">
        <v>183</v>
      </c>
      <c r="H1607" s="21" t="s">
        <v>24</v>
      </c>
      <c r="I1607" s="21" t="s">
        <v>25</v>
      </c>
      <c r="J1607" s="21" t="s">
        <v>24</v>
      </c>
      <c r="K1607" s="21" t="s">
        <v>25</v>
      </c>
      <c r="L1607" s="21" t="s">
        <v>24</v>
      </c>
      <c r="M1607" s="0" t="n">
        <v>213</v>
      </c>
      <c r="N1607" s="0" t="n">
        <v>5</v>
      </c>
      <c r="O1607" s="21" t="s">
        <v>3852</v>
      </c>
      <c r="P1607" s="21" t="s">
        <v>4775</v>
      </c>
      <c r="Q1607" s="0" t="n">
        <v>1</v>
      </c>
      <c r="R1607" s="21" t="s">
        <v>69</v>
      </c>
      <c r="S1607" s="0" t="n">
        <v>5</v>
      </c>
      <c r="T1607" s="21" t="s">
        <v>3852</v>
      </c>
      <c r="U1607" s="22" t="b">
        <f aca="false">TRUE()</f>
        <v>1</v>
      </c>
      <c r="V1607" s="0" t="n">
        <v>0.65</v>
      </c>
      <c r="W1607" s="0" t="n">
        <v>0.6</v>
      </c>
      <c r="X1607" s="0" t="n">
        <v>8.24</v>
      </c>
      <c r="Y1607" s="0" t="n">
        <v>372.87</v>
      </c>
      <c r="Z1607" s="0" t="n">
        <v>9.75</v>
      </c>
      <c r="AA1607" s="0" t="n">
        <v>17.3</v>
      </c>
      <c r="AB1607" s="0" t="n">
        <v>2.83</v>
      </c>
      <c r="AC1607" s="22" t="b">
        <f aca="false">FALSE()</f>
        <v>0</v>
      </c>
      <c r="AD1607" s="0" t="n">
        <v>23.55</v>
      </c>
      <c r="AE1607" s="0" t="n">
        <v>10.08</v>
      </c>
      <c r="AF1607" s="0" t="n">
        <v>18.77</v>
      </c>
      <c r="AG1607" s="22" t="b">
        <f aca="false">TRUE()</f>
        <v>1</v>
      </c>
      <c r="AH1607" s="0" t="n">
        <v>1</v>
      </c>
    </row>
    <row r="1608" customFormat="false" ht="15" hidden="false" customHeight="false" outlineLevel="0" collapsed="false">
      <c r="A1608" s="0" t="s">
        <v>2441</v>
      </c>
      <c r="B1608" s="0" t="s">
        <v>134</v>
      </c>
      <c r="C1608" s="0" t="s">
        <v>3447</v>
      </c>
      <c r="D1608" s="0" t="s">
        <v>3457</v>
      </c>
      <c r="E1608" s="20" t="s">
        <v>25</v>
      </c>
      <c r="F1608" s="23" t="s">
        <v>30</v>
      </c>
      <c r="G1608" s="21" t="s">
        <v>992</v>
      </c>
      <c r="H1608" s="21" t="s">
        <v>24</v>
      </c>
      <c r="I1608" s="21" t="s">
        <v>24</v>
      </c>
      <c r="J1608" s="21" t="s">
        <v>24</v>
      </c>
      <c r="K1608" s="21" t="s">
        <v>25</v>
      </c>
      <c r="L1608" s="21" t="s">
        <v>24</v>
      </c>
      <c r="M1608" s="0" t="n">
        <v>184</v>
      </c>
      <c r="N1608" s="0" t="n">
        <v>1</v>
      </c>
      <c r="O1608" s="21" t="s">
        <v>3478</v>
      </c>
      <c r="P1608" s="21" t="s">
        <v>4288</v>
      </c>
      <c r="Q1608" s="0" t="n">
        <v>0</v>
      </c>
      <c r="S1608" s="0" t="n">
        <v>1</v>
      </c>
      <c r="T1608" s="21" t="s">
        <v>3478</v>
      </c>
      <c r="U1608" s="22" t="b">
        <f aca="false">TRUE()</f>
        <v>1</v>
      </c>
      <c r="V1608" s="0" t="n">
        <v>0.67</v>
      </c>
      <c r="W1608" s="0" t="n">
        <v>0.16</v>
      </c>
      <c r="X1608" s="0" t="n">
        <v>7.76</v>
      </c>
      <c r="Y1608" s="0" t="n">
        <v>556.68</v>
      </c>
      <c r="Z1608" s="0" t="n">
        <v>8.5</v>
      </c>
      <c r="AA1608" s="0" t="n">
        <v>1.39</v>
      </c>
      <c r="AB1608" s="0" t="n">
        <v>16.03</v>
      </c>
      <c r="AC1608" s="22" t="b">
        <f aca="false">FALSE()</f>
        <v>0</v>
      </c>
      <c r="AD1608" s="0" t="n">
        <v>26.25</v>
      </c>
      <c r="AE1608" s="0" t="n">
        <v>0.84</v>
      </c>
      <c r="AF1608" s="0" t="n">
        <v>27.86</v>
      </c>
      <c r="AG1608" s="22" t="b">
        <f aca="false">TRUE()</f>
        <v>1</v>
      </c>
      <c r="AH1608" s="0" t="n">
        <v>1</v>
      </c>
    </row>
    <row r="1609" customFormat="false" ht="15" hidden="false" customHeight="false" outlineLevel="0" collapsed="false">
      <c r="A1609" s="0" t="s">
        <v>2441</v>
      </c>
      <c r="B1609" s="0" t="s">
        <v>134</v>
      </c>
      <c r="C1609" s="0" t="s">
        <v>3447</v>
      </c>
      <c r="D1609" s="0" t="s">
        <v>3448</v>
      </c>
      <c r="E1609" s="18" t="s">
        <v>24</v>
      </c>
      <c r="F1609" s="23" t="s">
        <v>30</v>
      </c>
      <c r="G1609" s="21" t="s">
        <v>30</v>
      </c>
      <c r="H1609" s="21" t="s">
        <v>24</v>
      </c>
      <c r="I1609" s="21" t="s">
        <v>24</v>
      </c>
      <c r="J1609" s="21" t="s">
        <v>24</v>
      </c>
      <c r="K1609" s="21" t="s">
        <v>24</v>
      </c>
      <c r="L1609" s="21" t="s">
        <v>24</v>
      </c>
      <c r="M1609" s="0" t="n">
        <v>182</v>
      </c>
      <c r="N1609" s="0" t="n">
        <v>1</v>
      </c>
      <c r="O1609" s="21" t="s">
        <v>3475</v>
      </c>
      <c r="P1609" s="21" t="s">
        <v>4433</v>
      </c>
      <c r="Q1609" s="0" t="n">
        <v>0</v>
      </c>
      <c r="S1609" s="0" t="n">
        <v>1</v>
      </c>
      <c r="T1609" s="21" t="s">
        <v>3475</v>
      </c>
      <c r="U1609" s="22" t="b">
        <f aca="false">TRUE()</f>
        <v>1</v>
      </c>
      <c r="V1609" s="0" t="n">
        <v>0.69</v>
      </c>
      <c r="W1609" s="0" t="n">
        <v>0.52</v>
      </c>
      <c r="X1609" s="0" t="n">
        <v>7.12</v>
      </c>
      <c r="Y1609" s="0" t="n">
        <v>325.53</v>
      </c>
      <c r="Z1609" s="0" t="n">
        <v>8.25</v>
      </c>
      <c r="AA1609" s="0" t="n">
        <v>-0.83</v>
      </c>
      <c r="AB1609" s="0" t="n">
        <v>2.83</v>
      </c>
      <c r="AC1609" s="22" t="b">
        <f aca="false">FALSE()</f>
        <v>0</v>
      </c>
      <c r="AD1609" s="0" t="n">
        <v>19.97</v>
      </c>
      <c r="AE1609" s="0" t="n">
        <v>7.93</v>
      </c>
      <c r="AF1609" s="0" t="n">
        <v>16.96</v>
      </c>
      <c r="AG1609" s="22" t="b">
        <f aca="false">TRUE()</f>
        <v>1</v>
      </c>
      <c r="AH1609" s="0" t="n">
        <v>1</v>
      </c>
    </row>
    <row r="1610" customFormat="false" ht="15" hidden="false" customHeight="false" outlineLevel="0" collapsed="false">
      <c r="A1610" s="0" t="s">
        <v>2447</v>
      </c>
      <c r="B1610" s="0" t="s">
        <v>134</v>
      </c>
      <c r="C1610" s="0" t="s">
        <v>3450</v>
      </c>
      <c r="D1610" s="0" t="s">
        <v>3457</v>
      </c>
      <c r="E1610" s="19" t="s">
        <v>26</v>
      </c>
      <c r="F1610" s="19" t="s">
        <v>32</v>
      </c>
      <c r="G1610" s="21" t="s">
        <v>1409</v>
      </c>
      <c r="H1610" s="21" t="s">
        <v>24</v>
      </c>
      <c r="I1610" s="21" t="s">
        <v>26</v>
      </c>
      <c r="J1610" s="21" t="s">
        <v>24</v>
      </c>
      <c r="K1610" s="21" t="s">
        <v>25</v>
      </c>
      <c r="L1610" s="21" t="s">
        <v>24</v>
      </c>
      <c r="M1610" s="0" t="n">
        <v>196</v>
      </c>
      <c r="N1610" s="0" t="n">
        <v>11</v>
      </c>
      <c r="O1610" s="21" t="s">
        <v>4159</v>
      </c>
      <c r="P1610" s="21" t="s">
        <v>4776</v>
      </c>
      <c r="Q1610" s="0" t="n">
        <v>1</v>
      </c>
      <c r="R1610" s="21" t="s">
        <v>69</v>
      </c>
      <c r="S1610" s="0" t="n">
        <v>11</v>
      </c>
      <c r="T1610" s="21" t="s">
        <v>4159</v>
      </c>
      <c r="U1610" s="22" t="b">
        <f aca="false">FALSE()</f>
        <v>0</v>
      </c>
      <c r="V1610" s="0" t="n">
        <v>0.64</v>
      </c>
      <c r="W1610" s="0" t="n">
        <v>0.32</v>
      </c>
      <c r="X1610" s="0" t="n">
        <v>7.51</v>
      </c>
      <c r="Y1610" s="0" t="n">
        <v>416.84</v>
      </c>
      <c r="Z1610" s="0" t="n">
        <v>8</v>
      </c>
      <c r="AA1610" s="0" t="n">
        <v>-0.63</v>
      </c>
      <c r="AB1610" s="0" t="n">
        <v>0.85</v>
      </c>
      <c r="AC1610" s="22" t="b">
        <f aca="false">TRUE()</f>
        <v>1</v>
      </c>
      <c r="AD1610" s="0" t="n">
        <v>12.62</v>
      </c>
      <c r="AE1610" s="0" t="n">
        <v>2.1</v>
      </c>
      <c r="AF1610" s="0" t="n">
        <v>5.96</v>
      </c>
      <c r="AG1610" s="22" t="b">
        <f aca="false">TRUE()</f>
        <v>1</v>
      </c>
      <c r="AH1610" s="0" t="n">
        <v>1</v>
      </c>
    </row>
    <row r="1611" customFormat="false" ht="15" hidden="false" customHeight="false" outlineLevel="0" collapsed="false">
      <c r="A1611" s="0" t="s">
        <v>2447</v>
      </c>
      <c r="B1611" s="0" t="s">
        <v>134</v>
      </c>
      <c r="C1611" s="0" t="s">
        <v>3450</v>
      </c>
      <c r="D1611" s="0" t="s">
        <v>3448</v>
      </c>
      <c r="E1611" s="20" t="s">
        <v>25</v>
      </c>
      <c r="F1611" s="23" t="s">
        <v>30</v>
      </c>
      <c r="G1611" s="21" t="s">
        <v>2559</v>
      </c>
      <c r="H1611" s="21" t="s">
        <v>24</v>
      </c>
      <c r="I1611" s="21" t="s">
        <v>24</v>
      </c>
      <c r="J1611" s="21" t="s">
        <v>24</v>
      </c>
      <c r="K1611" s="21" t="s">
        <v>25</v>
      </c>
      <c r="L1611" s="21" t="s">
        <v>24</v>
      </c>
      <c r="M1611" s="0" t="n">
        <v>184</v>
      </c>
      <c r="N1611" s="0" t="n">
        <v>5</v>
      </c>
      <c r="O1611" s="21" t="s">
        <v>3757</v>
      </c>
      <c r="P1611" s="21" t="s">
        <v>4777</v>
      </c>
      <c r="Q1611" s="0" t="n">
        <v>0</v>
      </c>
      <c r="S1611" s="0" t="n">
        <v>5</v>
      </c>
      <c r="T1611" s="21" t="s">
        <v>3757</v>
      </c>
      <c r="U1611" s="22" t="b">
        <f aca="false">TRUE()</f>
        <v>1</v>
      </c>
      <c r="V1611" s="0" t="n">
        <v>0.67</v>
      </c>
      <c r="W1611" s="0" t="n">
        <v>0.4</v>
      </c>
      <c r="X1611" s="0" t="n">
        <v>7.69</v>
      </c>
      <c r="Y1611" s="0" t="n">
        <v>361.29</v>
      </c>
      <c r="Z1611" s="0" t="n">
        <v>8</v>
      </c>
      <c r="AA1611" s="0" t="n">
        <v>-1.06</v>
      </c>
      <c r="AB1611" s="0" t="n">
        <v>4.61</v>
      </c>
      <c r="AC1611" s="22" t="b">
        <f aca="false">FALSE()</f>
        <v>0</v>
      </c>
      <c r="AD1611" s="0" t="n">
        <v>7.21</v>
      </c>
      <c r="AE1611" s="0" t="n">
        <v>0.63</v>
      </c>
      <c r="AF1611" s="0" t="n">
        <v>2.67</v>
      </c>
      <c r="AG1611" s="22" t="b">
        <f aca="false">FALSE()</f>
        <v>0</v>
      </c>
      <c r="AH1611" s="0" t="n">
        <v>1</v>
      </c>
    </row>
    <row r="1612" customFormat="false" ht="15" hidden="false" customHeight="false" outlineLevel="0" collapsed="false">
      <c r="A1612" s="0" t="s">
        <v>2447</v>
      </c>
      <c r="B1612" s="0" t="s">
        <v>134</v>
      </c>
      <c r="C1612" s="0" t="s">
        <v>3447</v>
      </c>
      <c r="D1612" s="0" t="s">
        <v>3457</v>
      </c>
      <c r="E1612" s="19" t="s">
        <v>26</v>
      </c>
      <c r="F1612" s="19" t="s">
        <v>32</v>
      </c>
      <c r="G1612" s="21" t="s">
        <v>3879</v>
      </c>
      <c r="H1612" s="21" t="s">
        <v>24</v>
      </c>
      <c r="I1612" s="21" t="s">
        <v>26</v>
      </c>
      <c r="J1612" s="21" t="s">
        <v>24</v>
      </c>
      <c r="K1612" s="21" t="s">
        <v>25</v>
      </c>
      <c r="L1612" s="21" t="s">
        <v>24</v>
      </c>
      <c r="M1612" s="0" t="n">
        <v>188</v>
      </c>
      <c r="N1612" s="0" t="n">
        <v>10</v>
      </c>
      <c r="O1612" s="21" t="s">
        <v>4001</v>
      </c>
      <c r="P1612" s="21" t="s">
        <v>4778</v>
      </c>
      <c r="Q1612" s="0" t="n">
        <v>0</v>
      </c>
      <c r="S1612" s="0" t="n">
        <v>10</v>
      </c>
      <c r="T1612" s="21" t="s">
        <v>4001</v>
      </c>
      <c r="U1612" s="22" t="b">
        <f aca="false">FALSE()</f>
        <v>0</v>
      </c>
      <c r="V1612" s="0" t="n">
        <v>0.68</v>
      </c>
      <c r="W1612" s="0" t="n">
        <v>0.12</v>
      </c>
      <c r="X1612" s="0" t="n">
        <v>9.47</v>
      </c>
      <c r="Y1612" s="0" t="n">
        <v>628.64</v>
      </c>
      <c r="Z1612" s="0" t="n">
        <v>8</v>
      </c>
      <c r="AA1612" s="0" t="n">
        <v>0.17</v>
      </c>
      <c r="AB1612" s="0" t="n">
        <v>0.85</v>
      </c>
      <c r="AC1612" s="22" t="b">
        <f aca="false">FALSE()</f>
        <v>0</v>
      </c>
      <c r="AD1612" s="0" t="n">
        <v>12.43</v>
      </c>
      <c r="AE1612" s="0" t="n">
        <v>0.74</v>
      </c>
      <c r="AF1612" s="0" t="n">
        <v>6.02</v>
      </c>
      <c r="AG1612" s="22" t="b">
        <f aca="false">TRUE()</f>
        <v>1</v>
      </c>
      <c r="AH1612" s="0" t="n">
        <v>1</v>
      </c>
    </row>
    <row r="1613" customFormat="false" ht="15" hidden="false" customHeight="false" outlineLevel="0" collapsed="false">
      <c r="A1613" s="0" t="s">
        <v>2447</v>
      </c>
      <c r="B1613" s="0" t="s">
        <v>134</v>
      </c>
      <c r="C1613" s="0" t="s">
        <v>3447</v>
      </c>
      <c r="D1613" s="0" t="s">
        <v>3448</v>
      </c>
      <c r="E1613" s="18" t="s">
        <v>24</v>
      </c>
      <c r="F1613" s="23" t="s">
        <v>30</v>
      </c>
      <c r="G1613" s="21" t="s">
        <v>30</v>
      </c>
      <c r="H1613" s="21" t="s">
        <v>24</v>
      </c>
      <c r="I1613" s="21" t="s">
        <v>24</v>
      </c>
      <c r="J1613" s="21" t="s">
        <v>24</v>
      </c>
      <c r="K1613" s="21" t="s">
        <v>24</v>
      </c>
      <c r="L1613" s="21" t="s">
        <v>24</v>
      </c>
      <c r="M1613" s="0" t="n">
        <v>187</v>
      </c>
      <c r="N1613" s="0" t="n">
        <v>2</v>
      </c>
      <c r="O1613" s="21" t="s">
        <v>3501</v>
      </c>
      <c r="P1613" s="21" t="s">
        <v>4367</v>
      </c>
      <c r="Q1613" s="0" t="n">
        <v>0</v>
      </c>
      <c r="S1613" s="0" t="n">
        <v>2</v>
      </c>
      <c r="T1613" s="21" t="s">
        <v>3501</v>
      </c>
      <c r="U1613" s="22" t="b">
        <f aca="false">TRUE()</f>
        <v>1</v>
      </c>
      <c r="V1613" s="0" t="n">
        <v>0.7</v>
      </c>
      <c r="W1613" s="0" t="n">
        <v>0.92</v>
      </c>
      <c r="X1613" s="0" t="n">
        <v>10.1</v>
      </c>
      <c r="Y1613" s="0" t="n">
        <v>324.2</v>
      </c>
      <c r="Z1613" s="0" t="n">
        <v>8.25</v>
      </c>
      <c r="AA1613" s="0" t="n">
        <v>0.45</v>
      </c>
      <c r="AB1613" s="0" t="n">
        <v>4.61</v>
      </c>
      <c r="AC1613" s="22" t="b">
        <f aca="false">FALSE()</f>
        <v>0</v>
      </c>
      <c r="AD1613" s="0" t="n">
        <v>7.29</v>
      </c>
      <c r="AE1613" s="0" t="n">
        <v>1.17</v>
      </c>
      <c r="AF1613" s="0" t="n">
        <v>1.37</v>
      </c>
      <c r="AG1613" s="22" t="b">
        <f aca="false">FALSE()</f>
        <v>0</v>
      </c>
      <c r="AH1613" s="0" t="n">
        <v>1</v>
      </c>
    </row>
    <row r="1614" customFormat="false" ht="15" hidden="false" customHeight="false" outlineLevel="0" collapsed="false">
      <c r="A1614" s="0" t="s">
        <v>2453</v>
      </c>
      <c r="B1614" s="0" t="s">
        <v>134</v>
      </c>
      <c r="C1614" s="0" t="s">
        <v>3450</v>
      </c>
      <c r="D1614" s="0" t="s">
        <v>3457</v>
      </c>
      <c r="E1614" s="20" t="s">
        <v>25</v>
      </c>
      <c r="F1614" s="23" t="s">
        <v>30</v>
      </c>
      <c r="G1614" s="21" t="s">
        <v>283</v>
      </c>
      <c r="H1614" s="21" t="s">
        <v>24</v>
      </c>
      <c r="I1614" s="21" t="s">
        <v>25</v>
      </c>
      <c r="J1614" s="21" t="s">
        <v>24</v>
      </c>
      <c r="K1614" s="21" t="s">
        <v>24</v>
      </c>
      <c r="L1614" s="21" t="s">
        <v>24</v>
      </c>
      <c r="M1614" s="0" t="n">
        <v>189</v>
      </c>
      <c r="N1614" s="0" t="n">
        <v>4</v>
      </c>
      <c r="O1614" s="21" t="s">
        <v>3819</v>
      </c>
      <c r="P1614" s="21" t="s">
        <v>4779</v>
      </c>
      <c r="Q1614" s="0" t="n">
        <v>1</v>
      </c>
      <c r="R1614" s="21" t="s">
        <v>69</v>
      </c>
      <c r="S1614" s="0" t="n">
        <v>4</v>
      </c>
      <c r="T1614" s="21" t="s">
        <v>3819</v>
      </c>
      <c r="U1614" s="22" t="b">
        <f aca="false">TRUE()</f>
        <v>1</v>
      </c>
      <c r="V1614" s="0" t="n">
        <v>0.63</v>
      </c>
      <c r="W1614" s="0" t="n">
        <v>0.56</v>
      </c>
      <c r="X1614" s="0" t="n">
        <v>8.39</v>
      </c>
      <c r="Y1614" s="0" t="n">
        <v>335.27</v>
      </c>
      <c r="Z1614" s="0" t="n">
        <v>10.25</v>
      </c>
      <c r="AA1614" s="0" t="n">
        <v>15.78</v>
      </c>
      <c r="AB1614" s="0" t="n">
        <v>12.02</v>
      </c>
      <c r="AC1614" s="22" t="b">
        <f aca="false">FALSE()</f>
        <v>0</v>
      </c>
      <c r="AD1614" s="0" t="n">
        <v>16.5</v>
      </c>
      <c r="AE1614" s="0" t="n">
        <v>0.76</v>
      </c>
      <c r="AF1614" s="0" t="n">
        <v>1.32</v>
      </c>
      <c r="AG1614" s="22" t="b">
        <f aca="false">TRUE()</f>
        <v>1</v>
      </c>
      <c r="AH1614" s="0" t="n">
        <v>1</v>
      </c>
    </row>
    <row r="1615" customFormat="false" ht="15" hidden="false" customHeight="false" outlineLevel="0" collapsed="false">
      <c r="A1615" s="0" t="s">
        <v>2453</v>
      </c>
      <c r="B1615" s="0" t="s">
        <v>134</v>
      </c>
      <c r="C1615" s="0" t="s">
        <v>3450</v>
      </c>
      <c r="D1615" s="0" t="s">
        <v>3448</v>
      </c>
      <c r="E1615" s="20" t="s">
        <v>25</v>
      </c>
      <c r="F1615" s="23" t="s">
        <v>30</v>
      </c>
      <c r="G1615" s="21" t="s">
        <v>283</v>
      </c>
      <c r="H1615" s="21" t="s">
        <v>24</v>
      </c>
      <c r="I1615" s="21" t="s">
        <v>25</v>
      </c>
      <c r="J1615" s="21" t="s">
        <v>24</v>
      </c>
      <c r="K1615" s="21" t="s">
        <v>24</v>
      </c>
      <c r="L1615" s="21" t="s">
        <v>24</v>
      </c>
      <c r="M1615" s="0" t="n">
        <v>185</v>
      </c>
      <c r="N1615" s="0" t="n">
        <v>2</v>
      </c>
      <c r="O1615" s="21" t="s">
        <v>3566</v>
      </c>
      <c r="P1615" s="21" t="s">
        <v>4238</v>
      </c>
      <c r="Q1615" s="0" t="n">
        <v>1</v>
      </c>
      <c r="R1615" s="21" t="s">
        <v>69</v>
      </c>
      <c r="S1615" s="0" t="n">
        <v>2</v>
      </c>
      <c r="T1615" s="21" t="s">
        <v>3566</v>
      </c>
      <c r="U1615" s="22" t="b">
        <f aca="false">TRUE()</f>
        <v>1</v>
      </c>
      <c r="V1615" s="0" t="n">
        <v>0.67</v>
      </c>
      <c r="W1615" s="0" t="n">
        <v>0.12</v>
      </c>
      <c r="X1615" s="0" t="n">
        <v>7.82</v>
      </c>
      <c r="Y1615" s="0" t="n">
        <v>578.58</v>
      </c>
      <c r="Z1615" s="0" t="n">
        <v>10</v>
      </c>
      <c r="AA1615" s="0" t="n">
        <v>14.03</v>
      </c>
      <c r="AB1615" s="0" t="n">
        <v>2.1</v>
      </c>
      <c r="AC1615" s="22" t="b">
        <f aca="false">FALSE()</f>
        <v>0</v>
      </c>
      <c r="AD1615" s="0" t="n">
        <v>14.99</v>
      </c>
      <c r="AE1615" s="0" t="n">
        <v>1.41</v>
      </c>
      <c r="AF1615" s="0" t="n">
        <v>4.35</v>
      </c>
      <c r="AG1615" s="22" t="b">
        <f aca="false">TRUE()</f>
        <v>1</v>
      </c>
      <c r="AH1615" s="0" t="n">
        <v>1</v>
      </c>
    </row>
    <row r="1616" customFormat="false" ht="15" hidden="false" customHeight="false" outlineLevel="0" collapsed="false">
      <c r="A1616" s="0" t="s">
        <v>2453</v>
      </c>
      <c r="B1616" s="0" t="s">
        <v>134</v>
      </c>
      <c r="C1616" s="0" t="s">
        <v>3447</v>
      </c>
      <c r="D1616" s="0" t="s">
        <v>3457</v>
      </c>
      <c r="E1616" s="18" t="s">
        <v>24</v>
      </c>
      <c r="F1616" s="18" t="s">
        <v>28</v>
      </c>
      <c r="H1616" s="21" t="s">
        <v>24</v>
      </c>
      <c r="I1616" s="21" t="s">
        <v>24</v>
      </c>
      <c r="J1616" s="21" t="s">
        <v>24</v>
      </c>
      <c r="K1616" s="21" t="s">
        <v>24</v>
      </c>
      <c r="L1616" s="21" t="s">
        <v>24</v>
      </c>
      <c r="M1616" s="0" t="n">
        <v>185</v>
      </c>
      <c r="N1616" s="0" t="n">
        <v>0</v>
      </c>
      <c r="Q1616" s="0" t="n">
        <v>0</v>
      </c>
      <c r="S1616" s="0" t="n">
        <v>0</v>
      </c>
      <c r="U1616" s="22" t="b">
        <f aca="false">FALSE()</f>
        <v>0</v>
      </c>
      <c r="V1616" s="0" t="n">
        <v>0.83</v>
      </c>
      <c r="W1616" s="0" t="n">
        <v>0.32</v>
      </c>
      <c r="X1616" s="0" t="n">
        <v>9.56</v>
      </c>
      <c r="Y1616" s="0" t="n">
        <v>407.2</v>
      </c>
      <c r="Z1616" s="0" t="n">
        <v>9.75</v>
      </c>
      <c r="AA1616" s="0" t="n">
        <v>0.79</v>
      </c>
      <c r="AB1616" s="0" t="n">
        <v>12.02</v>
      </c>
      <c r="AC1616" s="22" t="b">
        <f aca="false">FALSE()</f>
        <v>0</v>
      </c>
      <c r="AD1616" s="0" t="n">
        <v>16.13</v>
      </c>
      <c r="AE1616" s="0" t="n">
        <v>0.07</v>
      </c>
      <c r="AF1616" s="0" t="n">
        <v>1.9</v>
      </c>
      <c r="AG1616" s="22" t="b">
        <f aca="false">TRUE()</f>
        <v>1</v>
      </c>
      <c r="AH1616" s="0" t="n">
        <v>1</v>
      </c>
    </row>
    <row r="1617" customFormat="false" ht="15" hidden="false" customHeight="false" outlineLevel="0" collapsed="false">
      <c r="A1617" s="0" t="s">
        <v>2453</v>
      </c>
      <c r="B1617" s="0" t="s">
        <v>134</v>
      </c>
      <c r="C1617" s="0" t="s">
        <v>3447</v>
      </c>
      <c r="D1617" s="0" t="s">
        <v>3448</v>
      </c>
      <c r="E1617" s="18" t="s">
        <v>24</v>
      </c>
      <c r="F1617" s="18" t="s">
        <v>28</v>
      </c>
      <c r="H1617" s="21" t="s">
        <v>24</v>
      </c>
      <c r="I1617" s="21" t="s">
        <v>24</v>
      </c>
      <c r="J1617" s="21" t="s">
        <v>24</v>
      </c>
      <c r="K1617" s="21" t="s">
        <v>24</v>
      </c>
      <c r="L1617" s="21" t="s">
        <v>24</v>
      </c>
      <c r="M1617" s="0" t="n">
        <v>189</v>
      </c>
      <c r="N1617" s="0" t="n">
        <v>0</v>
      </c>
      <c r="Q1617" s="0" t="n">
        <v>0</v>
      </c>
      <c r="S1617" s="0" t="n">
        <v>0</v>
      </c>
      <c r="U1617" s="22" t="b">
        <f aca="false">FALSE()</f>
        <v>0</v>
      </c>
      <c r="V1617" s="0" t="n">
        <v>0.83</v>
      </c>
      <c r="W1617" s="0" t="n">
        <v>0.28</v>
      </c>
      <c r="X1617" s="0" t="n">
        <v>10.91</v>
      </c>
      <c r="Y1617" s="0" t="n">
        <v>361.03</v>
      </c>
      <c r="Z1617" s="0" t="n">
        <v>9.92</v>
      </c>
      <c r="AA1617" s="0" t="n">
        <v>9.36</v>
      </c>
      <c r="AB1617" s="0" t="n">
        <v>2.1</v>
      </c>
      <c r="AC1617" s="22" t="b">
        <f aca="false">FALSE()</f>
        <v>0</v>
      </c>
      <c r="AD1617" s="0" t="n">
        <v>9.65</v>
      </c>
      <c r="AE1617" s="0" t="n">
        <v>3.4</v>
      </c>
      <c r="AF1617" s="0" t="n">
        <v>0.31</v>
      </c>
      <c r="AG1617" s="22" t="b">
        <f aca="false">FALSE()</f>
        <v>0</v>
      </c>
      <c r="AH1617" s="0" t="n">
        <v>1</v>
      </c>
    </row>
    <row r="1618" customFormat="false" ht="15" hidden="false" customHeight="false" outlineLevel="0" collapsed="false">
      <c r="A1618" s="0" t="s">
        <v>2453</v>
      </c>
      <c r="B1618" s="0" t="s">
        <v>3459</v>
      </c>
      <c r="C1618" s="0" t="s">
        <v>3450</v>
      </c>
      <c r="D1618" s="0" t="s">
        <v>3457</v>
      </c>
      <c r="E1618" s="20" t="s">
        <v>25</v>
      </c>
      <c r="F1618" s="23" t="s">
        <v>30</v>
      </c>
      <c r="G1618" s="21" t="s">
        <v>183</v>
      </c>
      <c r="H1618" s="21" t="s">
        <v>24</v>
      </c>
      <c r="I1618" s="21" t="s">
        <v>25</v>
      </c>
      <c r="J1618" s="21" t="s">
        <v>24</v>
      </c>
      <c r="K1618" s="21" t="s">
        <v>25</v>
      </c>
      <c r="L1618" s="21" t="s">
        <v>24</v>
      </c>
      <c r="M1618" s="0" t="n">
        <v>184</v>
      </c>
      <c r="N1618" s="0" t="n">
        <v>1</v>
      </c>
      <c r="O1618" s="21" t="s">
        <v>69</v>
      </c>
      <c r="P1618" s="21" t="s">
        <v>4275</v>
      </c>
      <c r="Q1618" s="0" t="n">
        <v>1</v>
      </c>
      <c r="R1618" s="21" t="s">
        <v>69</v>
      </c>
      <c r="S1618" s="0" t="n">
        <v>1</v>
      </c>
      <c r="T1618" s="21" t="s">
        <v>69</v>
      </c>
      <c r="U1618" s="22" t="b">
        <f aca="false">TRUE()</f>
        <v>1</v>
      </c>
      <c r="V1618" s="0" t="n">
        <v>0.71</v>
      </c>
      <c r="W1618" s="0" t="n">
        <v>0.52</v>
      </c>
      <c r="X1618" s="0" t="n">
        <v>9.09</v>
      </c>
      <c r="Y1618" s="0" t="n">
        <v>327.94</v>
      </c>
      <c r="Z1618" s="0" t="n">
        <v>10</v>
      </c>
      <c r="AA1618" s="0" t="n">
        <v>7.21</v>
      </c>
      <c r="AB1618" s="0" t="n">
        <v>7.84</v>
      </c>
      <c r="AC1618" s="22" t="b">
        <f aca="false">FALSE()</f>
        <v>0</v>
      </c>
      <c r="AD1618" s="0" t="n">
        <v>25.81</v>
      </c>
      <c r="AE1618" s="0" t="n">
        <v>15.47</v>
      </c>
      <c r="AF1618" s="0" t="n">
        <v>23.84</v>
      </c>
      <c r="AG1618" s="22" t="b">
        <f aca="false">TRUE()</f>
        <v>1</v>
      </c>
      <c r="AH1618" s="0" t="n">
        <v>1</v>
      </c>
    </row>
    <row r="1619" customFormat="false" ht="15" hidden="false" customHeight="false" outlineLevel="0" collapsed="false">
      <c r="A1619" s="0" t="s">
        <v>2453</v>
      </c>
      <c r="B1619" s="0" t="s">
        <v>3459</v>
      </c>
      <c r="C1619" s="0" t="s">
        <v>3450</v>
      </c>
      <c r="D1619" s="0" t="s">
        <v>3448</v>
      </c>
      <c r="E1619" s="20" t="s">
        <v>25</v>
      </c>
      <c r="F1619" s="23" t="s">
        <v>30</v>
      </c>
      <c r="G1619" s="21" t="s">
        <v>157</v>
      </c>
      <c r="H1619" s="21" t="s">
        <v>24</v>
      </c>
      <c r="I1619" s="21" t="s">
        <v>25</v>
      </c>
      <c r="J1619" s="21" t="s">
        <v>24</v>
      </c>
      <c r="K1619" s="21" t="s">
        <v>25</v>
      </c>
      <c r="L1619" s="21" t="s">
        <v>24</v>
      </c>
      <c r="M1619" s="0" t="n">
        <v>182</v>
      </c>
      <c r="N1619" s="0" t="n">
        <v>1</v>
      </c>
      <c r="O1619" s="21" t="s">
        <v>69</v>
      </c>
      <c r="P1619" s="21" t="s">
        <v>4275</v>
      </c>
      <c r="Q1619" s="0" t="n">
        <v>1</v>
      </c>
      <c r="R1619" s="21" t="s">
        <v>69</v>
      </c>
      <c r="S1619" s="0" t="n">
        <v>1</v>
      </c>
      <c r="T1619" s="21" t="s">
        <v>69</v>
      </c>
      <c r="U1619" s="22" t="b">
        <f aca="false">TRUE()</f>
        <v>1</v>
      </c>
      <c r="V1619" s="0" t="n">
        <v>0.76</v>
      </c>
      <c r="W1619" s="0" t="n">
        <v>0.32</v>
      </c>
      <c r="X1619" s="0" t="n">
        <v>8.51</v>
      </c>
      <c r="Y1619" s="0" t="n">
        <v>396.32</v>
      </c>
      <c r="Z1619" s="0" t="n">
        <v>9.25</v>
      </c>
      <c r="AA1619" s="0" t="n">
        <v>3.79</v>
      </c>
      <c r="AB1619" s="0" t="n">
        <v>1.02</v>
      </c>
      <c r="AC1619" s="22" t="b">
        <f aca="false">FALSE()</f>
        <v>0</v>
      </c>
      <c r="AD1619" s="0" t="n">
        <v>23.85</v>
      </c>
      <c r="AE1619" s="0" t="n">
        <v>13.03</v>
      </c>
      <c r="AF1619" s="0" t="n">
        <v>18.93</v>
      </c>
      <c r="AG1619" s="22" t="b">
        <f aca="false">TRUE()</f>
        <v>1</v>
      </c>
      <c r="AH1619" s="0" t="n">
        <v>1</v>
      </c>
    </row>
    <row r="1620" customFormat="false" ht="15" hidden="false" customHeight="false" outlineLevel="0" collapsed="false">
      <c r="A1620" s="0" t="s">
        <v>2453</v>
      </c>
      <c r="B1620" s="0" t="s">
        <v>3459</v>
      </c>
      <c r="C1620" s="0" t="s">
        <v>3447</v>
      </c>
      <c r="D1620" s="0" t="s">
        <v>3457</v>
      </c>
      <c r="E1620" s="20" t="s">
        <v>25</v>
      </c>
      <c r="F1620" s="23" t="s">
        <v>30</v>
      </c>
      <c r="G1620" s="21" t="s">
        <v>992</v>
      </c>
      <c r="H1620" s="21" t="s">
        <v>24</v>
      </c>
      <c r="I1620" s="21" t="s">
        <v>24</v>
      </c>
      <c r="J1620" s="21" t="s">
        <v>24</v>
      </c>
      <c r="K1620" s="21" t="s">
        <v>25</v>
      </c>
      <c r="L1620" s="21" t="s">
        <v>24</v>
      </c>
      <c r="M1620" s="0" t="n">
        <v>183</v>
      </c>
      <c r="N1620" s="0" t="n">
        <v>4</v>
      </c>
      <c r="O1620" s="21" t="s">
        <v>3618</v>
      </c>
      <c r="P1620" s="21" t="s">
        <v>4574</v>
      </c>
      <c r="Q1620" s="0" t="n">
        <v>0</v>
      </c>
      <c r="S1620" s="0" t="n">
        <v>4</v>
      </c>
      <c r="T1620" s="21" t="s">
        <v>3618</v>
      </c>
      <c r="U1620" s="22" t="b">
        <f aca="false">TRUE()</f>
        <v>1</v>
      </c>
      <c r="V1620" s="0" t="n">
        <v>0.81</v>
      </c>
      <c r="W1620" s="0" t="n">
        <v>0.4</v>
      </c>
      <c r="X1620" s="0" t="n">
        <v>9.4</v>
      </c>
      <c r="Y1620" s="0" t="n">
        <v>357.71</v>
      </c>
      <c r="Z1620" s="0" t="n">
        <v>8.5</v>
      </c>
      <c r="AA1620" s="0" t="n">
        <v>0.11</v>
      </c>
      <c r="AB1620" s="0" t="n">
        <v>7.84</v>
      </c>
      <c r="AC1620" s="22" t="b">
        <f aca="false">FALSE()</f>
        <v>0</v>
      </c>
      <c r="AD1620" s="0" t="n">
        <v>25.06</v>
      </c>
      <c r="AE1620" s="0" t="n">
        <v>12.39</v>
      </c>
      <c r="AF1620" s="0" t="n">
        <v>22.01</v>
      </c>
      <c r="AG1620" s="22" t="b">
        <f aca="false">TRUE()</f>
        <v>1</v>
      </c>
      <c r="AH1620" s="0" t="n">
        <v>1</v>
      </c>
    </row>
    <row r="1621" customFormat="false" ht="15" hidden="false" customHeight="false" outlineLevel="0" collapsed="false">
      <c r="A1621" s="0" t="s">
        <v>2453</v>
      </c>
      <c r="B1621" s="0" t="s">
        <v>3459</v>
      </c>
      <c r="C1621" s="0" t="s">
        <v>3447</v>
      </c>
      <c r="D1621" s="0" t="s">
        <v>3448</v>
      </c>
      <c r="E1621" s="20" t="s">
        <v>25</v>
      </c>
      <c r="F1621" s="23" t="s">
        <v>30</v>
      </c>
      <c r="G1621" s="21" t="s">
        <v>2133</v>
      </c>
      <c r="H1621" s="21" t="s">
        <v>24</v>
      </c>
      <c r="I1621" s="21" t="s">
        <v>24</v>
      </c>
      <c r="J1621" s="21" t="s">
        <v>24</v>
      </c>
      <c r="K1621" s="21" t="s">
        <v>25</v>
      </c>
      <c r="L1621" s="21" t="s">
        <v>24</v>
      </c>
      <c r="M1621" s="0" t="n">
        <v>184</v>
      </c>
      <c r="N1621" s="0" t="n">
        <v>3</v>
      </c>
      <c r="O1621" s="21" t="s">
        <v>3553</v>
      </c>
      <c r="P1621" s="21" t="s">
        <v>4286</v>
      </c>
      <c r="Q1621" s="0" t="n">
        <v>0</v>
      </c>
      <c r="S1621" s="0" t="n">
        <v>3</v>
      </c>
      <c r="T1621" s="21" t="s">
        <v>3553</v>
      </c>
      <c r="U1621" s="22" t="b">
        <f aca="false">TRUE()</f>
        <v>1</v>
      </c>
      <c r="V1621" s="0" t="n">
        <v>0.81</v>
      </c>
      <c r="W1621" s="0" t="n">
        <v>0.28</v>
      </c>
      <c r="X1621" s="0" t="n">
        <v>11.01</v>
      </c>
      <c r="Y1621" s="0" t="n">
        <v>409.22</v>
      </c>
      <c r="Z1621" s="0" t="n">
        <v>9.83</v>
      </c>
      <c r="AA1621" s="0" t="n">
        <v>6.21</v>
      </c>
      <c r="AB1621" s="0" t="n">
        <v>1.02</v>
      </c>
      <c r="AC1621" s="22" t="b">
        <f aca="false">FALSE()</f>
        <v>0</v>
      </c>
      <c r="AD1621" s="0" t="n">
        <v>18.02</v>
      </c>
      <c r="AE1621" s="0" t="n">
        <v>6.28</v>
      </c>
      <c r="AF1621" s="0" t="n">
        <v>11.5</v>
      </c>
      <c r="AG1621" s="22" t="b">
        <f aca="false">TRUE()</f>
        <v>1</v>
      </c>
      <c r="AH1621" s="0" t="n">
        <v>1</v>
      </c>
    </row>
    <row r="1622" customFormat="false" ht="15" hidden="false" customHeight="false" outlineLevel="0" collapsed="false">
      <c r="A1622" s="0" t="s">
        <v>2459</v>
      </c>
      <c r="B1622" s="0" t="s">
        <v>134</v>
      </c>
      <c r="C1622" s="0" t="s">
        <v>3450</v>
      </c>
      <c r="D1622" s="0" t="s">
        <v>3457</v>
      </c>
      <c r="E1622" s="18" t="s">
        <v>24</v>
      </c>
      <c r="F1622" s="18" t="s">
        <v>28</v>
      </c>
      <c r="H1622" s="21" t="s">
        <v>24</v>
      </c>
      <c r="I1622" s="21" t="s">
        <v>24</v>
      </c>
      <c r="J1622" s="21" t="s">
        <v>24</v>
      </c>
      <c r="K1622" s="21" t="s">
        <v>24</v>
      </c>
      <c r="L1622" s="21" t="s">
        <v>24</v>
      </c>
      <c r="M1622" s="0" t="n">
        <v>182</v>
      </c>
      <c r="N1622" s="0" t="n">
        <v>0</v>
      </c>
      <c r="Q1622" s="0" t="n">
        <v>0</v>
      </c>
      <c r="S1622" s="0" t="n">
        <v>0</v>
      </c>
      <c r="U1622" s="22" t="b">
        <f aca="false">FALSE()</f>
        <v>0</v>
      </c>
      <c r="V1622" s="0" t="n">
        <v>0.75</v>
      </c>
      <c r="W1622" s="0" t="n">
        <v>0.4</v>
      </c>
      <c r="X1622" s="0" t="n">
        <v>7.52</v>
      </c>
      <c r="Y1622" s="0" t="n">
        <v>344.74</v>
      </c>
      <c r="Z1622" s="0" t="n">
        <v>10.5</v>
      </c>
      <c r="AA1622" s="0" t="n">
        <v>9.11</v>
      </c>
      <c r="AB1622" s="0" t="n">
        <v>2.26</v>
      </c>
      <c r="AC1622" s="22" t="b">
        <f aca="false">FALSE()</f>
        <v>0</v>
      </c>
      <c r="AD1622" s="0" t="n">
        <v>19.66</v>
      </c>
      <c r="AE1622" s="0" t="n">
        <v>8.4</v>
      </c>
      <c r="AF1622" s="0" t="n">
        <v>15.42</v>
      </c>
      <c r="AG1622" s="22" t="b">
        <f aca="false">TRUE()</f>
        <v>1</v>
      </c>
      <c r="AH1622" s="0" t="n">
        <v>1</v>
      </c>
    </row>
    <row r="1623" customFormat="false" ht="15" hidden="false" customHeight="false" outlineLevel="0" collapsed="false">
      <c r="A1623" s="0" t="s">
        <v>2459</v>
      </c>
      <c r="B1623" s="0" t="s">
        <v>134</v>
      </c>
      <c r="C1623" s="0" t="s">
        <v>3450</v>
      </c>
      <c r="D1623" s="0" t="s">
        <v>3448</v>
      </c>
      <c r="E1623" s="20" t="s">
        <v>25</v>
      </c>
      <c r="F1623" s="20" t="s">
        <v>29</v>
      </c>
      <c r="G1623" s="21" t="s">
        <v>63</v>
      </c>
      <c r="H1623" s="21" t="s">
        <v>24</v>
      </c>
      <c r="I1623" s="21" t="s">
        <v>24</v>
      </c>
      <c r="J1623" s="21" t="s">
        <v>24</v>
      </c>
      <c r="K1623" s="21" t="s">
        <v>25</v>
      </c>
      <c r="L1623" s="21" t="s">
        <v>24</v>
      </c>
      <c r="M1623" s="0" t="n">
        <v>185</v>
      </c>
      <c r="N1623" s="0" t="n">
        <v>0</v>
      </c>
      <c r="Q1623" s="0" t="n">
        <v>0</v>
      </c>
      <c r="S1623" s="0" t="n">
        <v>0</v>
      </c>
      <c r="U1623" s="22" t="b">
        <f aca="false">FALSE()</f>
        <v>0</v>
      </c>
      <c r="V1623" s="0" t="n">
        <v>0.81</v>
      </c>
      <c r="W1623" s="0" t="n">
        <v>0.72</v>
      </c>
      <c r="X1623" s="0" t="n">
        <v>7.82</v>
      </c>
      <c r="Y1623" s="0" t="n">
        <v>324.02</v>
      </c>
      <c r="Z1623" s="0" t="n">
        <v>10</v>
      </c>
      <c r="AA1623" s="0" t="n">
        <v>6.24</v>
      </c>
      <c r="AB1623" s="0" t="n">
        <v>1.22</v>
      </c>
      <c r="AC1623" s="22" t="b">
        <f aca="false">FALSE()</f>
        <v>0</v>
      </c>
      <c r="AD1623" s="0" t="n">
        <v>19.91</v>
      </c>
      <c r="AE1623" s="0" t="n">
        <v>9.01</v>
      </c>
      <c r="AF1623" s="0" t="n">
        <v>18.83</v>
      </c>
      <c r="AG1623" s="22" t="b">
        <f aca="false">TRUE()</f>
        <v>1</v>
      </c>
      <c r="AH1623" s="0" t="n">
        <v>1</v>
      </c>
    </row>
    <row r="1624" customFormat="false" ht="15" hidden="false" customHeight="false" outlineLevel="0" collapsed="false">
      <c r="A1624" s="0" t="s">
        <v>2459</v>
      </c>
      <c r="B1624" s="0" t="s">
        <v>134</v>
      </c>
      <c r="C1624" s="0" t="s">
        <v>3447</v>
      </c>
      <c r="D1624" s="0" t="s">
        <v>3457</v>
      </c>
      <c r="E1624" s="18" t="s">
        <v>24</v>
      </c>
      <c r="F1624" s="23" t="s">
        <v>30</v>
      </c>
      <c r="G1624" s="21" t="s">
        <v>30</v>
      </c>
      <c r="H1624" s="21" t="s">
        <v>24</v>
      </c>
      <c r="I1624" s="21" t="s">
        <v>24</v>
      </c>
      <c r="J1624" s="21" t="s">
        <v>24</v>
      </c>
      <c r="K1624" s="21" t="s">
        <v>24</v>
      </c>
      <c r="L1624" s="21" t="s">
        <v>24</v>
      </c>
      <c r="M1624" s="0" t="n">
        <v>186</v>
      </c>
      <c r="N1624" s="0" t="n">
        <v>3</v>
      </c>
      <c r="O1624" s="21" t="s">
        <v>3564</v>
      </c>
      <c r="P1624" s="21" t="s">
        <v>4559</v>
      </c>
      <c r="Q1624" s="0" t="n">
        <v>0</v>
      </c>
      <c r="S1624" s="0" t="n">
        <v>3</v>
      </c>
      <c r="T1624" s="21" t="s">
        <v>3564</v>
      </c>
      <c r="U1624" s="22" t="b">
        <f aca="false">TRUE()</f>
        <v>1</v>
      </c>
      <c r="V1624" s="0" t="n">
        <v>0.82</v>
      </c>
      <c r="W1624" s="0" t="n">
        <v>0.56</v>
      </c>
      <c r="X1624" s="0" t="n">
        <v>7.52</v>
      </c>
      <c r="Y1624" s="0" t="n">
        <v>322.6</v>
      </c>
      <c r="Z1624" s="0" t="n">
        <v>8</v>
      </c>
      <c r="AA1624" s="0" t="n">
        <v>-0.33</v>
      </c>
      <c r="AB1624" s="0" t="n">
        <v>2.26</v>
      </c>
      <c r="AC1624" s="22" t="b">
        <f aca="false">FALSE()</f>
        <v>0</v>
      </c>
      <c r="AD1624" s="0" t="n">
        <v>19.75</v>
      </c>
      <c r="AE1624" s="0" t="n">
        <v>8.58</v>
      </c>
      <c r="AF1624" s="0" t="n">
        <v>16.95</v>
      </c>
      <c r="AG1624" s="22" t="b">
        <f aca="false">TRUE()</f>
        <v>1</v>
      </c>
      <c r="AH1624" s="0" t="n">
        <v>1</v>
      </c>
    </row>
    <row r="1625" customFormat="false" ht="15" hidden="false" customHeight="false" outlineLevel="0" collapsed="false">
      <c r="A1625" s="0" t="s">
        <v>2459</v>
      </c>
      <c r="B1625" s="0" t="s">
        <v>134</v>
      </c>
      <c r="C1625" s="0" t="s">
        <v>3447</v>
      </c>
      <c r="D1625" s="0" t="s">
        <v>3448</v>
      </c>
      <c r="E1625" s="19" t="s">
        <v>26</v>
      </c>
      <c r="F1625" s="19" t="s">
        <v>32</v>
      </c>
      <c r="G1625" s="21" t="s">
        <v>1178</v>
      </c>
      <c r="H1625" s="21" t="s">
        <v>24</v>
      </c>
      <c r="I1625" s="21" t="s">
        <v>26</v>
      </c>
      <c r="J1625" s="21" t="s">
        <v>24</v>
      </c>
      <c r="K1625" s="21" t="s">
        <v>25</v>
      </c>
      <c r="L1625" s="21" t="s">
        <v>24</v>
      </c>
      <c r="M1625" s="0" t="n">
        <v>193</v>
      </c>
      <c r="N1625" s="0" t="n">
        <v>8</v>
      </c>
      <c r="O1625" s="21" t="s">
        <v>4049</v>
      </c>
      <c r="P1625" s="21" t="s">
        <v>4780</v>
      </c>
      <c r="Q1625" s="0" t="n">
        <v>1</v>
      </c>
      <c r="R1625" s="21" t="s">
        <v>69</v>
      </c>
      <c r="S1625" s="0" t="n">
        <v>8</v>
      </c>
      <c r="T1625" s="21" t="s">
        <v>4049</v>
      </c>
      <c r="U1625" s="22" t="b">
        <f aca="false">FALSE()</f>
        <v>0</v>
      </c>
      <c r="V1625" s="0" t="n">
        <v>0.82</v>
      </c>
      <c r="W1625" s="0" t="n">
        <v>0.48</v>
      </c>
      <c r="X1625" s="0" t="n">
        <v>10.83</v>
      </c>
      <c r="Y1625" s="0" t="n">
        <v>350.64</v>
      </c>
      <c r="Z1625" s="0" t="n">
        <v>9</v>
      </c>
      <c r="AA1625" s="0" t="n">
        <v>2.19</v>
      </c>
      <c r="AB1625" s="0" t="n">
        <v>1.22</v>
      </c>
      <c r="AC1625" s="22" t="b">
        <f aca="false">FALSE()</f>
        <v>0</v>
      </c>
      <c r="AD1625" s="0" t="n">
        <v>20.02</v>
      </c>
      <c r="AE1625" s="0" t="n">
        <v>8.17</v>
      </c>
      <c r="AF1625" s="0" t="n">
        <v>16.57</v>
      </c>
      <c r="AG1625" s="22" t="b">
        <f aca="false">TRUE()</f>
        <v>1</v>
      </c>
      <c r="AH1625" s="0" t="n">
        <v>1</v>
      </c>
    </row>
    <row r="1626" customFormat="false" ht="15" hidden="false" customHeight="false" outlineLevel="0" collapsed="false">
      <c r="A1626" s="0" t="s">
        <v>2465</v>
      </c>
      <c r="B1626" s="0" t="s">
        <v>134</v>
      </c>
      <c r="C1626" s="0" t="s">
        <v>3450</v>
      </c>
      <c r="D1626" s="0" t="s">
        <v>3457</v>
      </c>
      <c r="E1626" s="19" t="s">
        <v>26</v>
      </c>
      <c r="F1626" s="19" t="s">
        <v>32</v>
      </c>
      <c r="G1626" s="21" t="s">
        <v>60</v>
      </c>
      <c r="H1626" s="21" t="s">
        <v>24</v>
      </c>
      <c r="I1626" s="21" t="s">
        <v>26</v>
      </c>
      <c r="J1626" s="21" t="s">
        <v>24</v>
      </c>
      <c r="K1626" s="21" t="s">
        <v>24</v>
      </c>
      <c r="L1626" s="21" t="s">
        <v>24</v>
      </c>
      <c r="M1626" s="0" t="n">
        <v>183</v>
      </c>
      <c r="N1626" s="0" t="n">
        <v>10</v>
      </c>
      <c r="O1626" s="21" t="s">
        <v>4003</v>
      </c>
      <c r="P1626" s="21" t="s">
        <v>4596</v>
      </c>
      <c r="Q1626" s="0" t="n">
        <v>0</v>
      </c>
      <c r="S1626" s="0" t="n">
        <v>10</v>
      </c>
      <c r="T1626" s="21" t="s">
        <v>4003</v>
      </c>
      <c r="U1626" s="22" t="b">
        <f aca="false">FALSE()</f>
        <v>0</v>
      </c>
      <c r="V1626" s="0" t="n">
        <v>0.66</v>
      </c>
      <c r="W1626" s="0" t="n">
        <v>0.36</v>
      </c>
      <c r="X1626" s="0" t="n">
        <v>5.64</v>
      </c>
      <c r="Y1626" s="0" t="n">
        <v>369.16</v>
      </c>
      <c r="Z1626" s="0" t="n">
        <v>9</v>
      </c>
      <c r="AA1626" s="0" t="n">
        <v>19.98</v>
      </c>
      <c r="AB1626" s="0" t="n">
        <v>13.39</v>
      </c>
      <c r="AC1626" s="22" t="b">
        <f aca="false">FALSE()</f>
        <v>0</v>
      </c>
      <c r="AD1626" s="0" t="n">
        <v>12.96</v>
      </c>
      <c r="AE1626" s="0" t="n">
        <v>0.5</v>
      </c>
      <c r="AF1626" s="0" t="n">
        <v>6.14</v>
      </c>
      <c r="AG1626" s="22" t="b">
        <f aca="false">TRUE()</f>
        <v>1</v>
      </c>
      <c r="AH1626" s="0" t="n">
        <v>1</v>
      </c>
    </row>
    <row r="1627" customFormat="false" ht="15" hidden="false" customHeight="false" outlineLevel="0" collapsed="false">
      <c r="A1627" s="0" t="s">
        <v>2465</v>
      </c>
      <c r="B1627" s="0" t="s">
        <v>134</v>
      </c>
      <c r="C1627" s="0" t="s">
        <v>3450</v>
      </c>
      <c r="D1627" s="0" t="s">
        <v>3448</v>
      </c>
      <c r="E1627" s="19" t="s">
        <v>26</v>
      </c>
      <c r="F1627" s="19" t="s">
        <v>32</v>
      </c>
      <c r="G1627" s="21" t="s">
        <v>1926</v>
      </c>
      <c r="H1627" s="21" t="s">
        <v>24</v>
      </c>
      <c r="I1627" s="21" t="s">
        <v>26</v>
      </c>
      <c r="J1627" s="21" t="s">
        <v>24</v>
      </c>
      <c r="K1627" s="21" t="s">
        <v>25</v>
      </c>
      <c r="L1627" s="21" t="s">
        <v>24</v>
      </c>
      <c r="M1627" s="0" t="n">
        <v>183</v>
      </c>
      <c r="N1627" s="0" t="n">
        <v>8</v>
      </c>
      <c r="O1627" s="21" t="s">
        <v>4067</v>
      </c>
      <c r="P1627" s="21" t="s">
        <v>4533</v>
      </c>
      <c r="Q1627" s="0" t="n">
        <v>1</v>
      </c>
      <c r="R1627" s="21" t="s">
        <v>69</v>
      </c>
      <c r="S1627" s="0" t="n">
        <v>8</v>
      </c>
      <c r="T1627" s="21" t="s">
        <v>4067</v>
      </c>
      <c r="U1627" s="22" t="b">
        <f aca="false">FALSE()</f>
        <v>0</v>
      </c>
      <c r="V1627" s="0" t="n">
        <v>0.66</v>
      </c>
      <c r="W1627" s="0" t="n">
        <v>0.36</v>
      </c>
      <c r="X1627" s="0" t="n">
        <v>6.4</v>
      </c>
      <c r="Y1627" s="0" t="n">
        <v>353.77</v>
      </c>
      <c r="Z1627" s="0" t="n">
        <v>9</v>
      </c>
      <c r="AA1627" s="0" t="n">
        <v>17.22</v>
      </c>
      <c r="AB1627" s="0" t="n">
        <v>2.95</v>
      </c>
      <c r="AC1627" s="22" t="b">
        <f aca="false">FALSE()</f>
        <v>0</v>
      </c>
      <c r="AD1627" s="0" t="n">
        <v>24.3</v>
      </c>
      <c r="AE1627" s="0" t="n">
        <v>0.35</v>
      </c>
      <c r="AF1627" s="0" t="n">
        <v>23.56</v>
      </c>
      <c r="AG1627" s="22" t="b">
        <f aca="false">TRUE()</f>
        <v>1</v>
      </c>
      <c r="AH1627" s="0" t="n">
        <v>1</v>
      </c>
    </row>
    <row r="1628" customFormat="false" ht="15" hidden="false" customHeight="false" outlineLevel="0" collapsed="false">
      <c r="A1628" s="0" t="s">
        <v>2465</v>
      </c>
      <c r="B1628" s="0" t="s">
        <v>134</v>
      </c>
      <c r="C1628" s="0" t="s">
        <v>3447</v>
      </c>
      <c r="D1628" s="0" t="s">
        <v>3457</v>
      </c>
      <c r="E1628" s="18" t="s">
        <v>24</v>
      </c>
      <c r="F1628" s="23" t="s">
        <v>30</v>
      </c>
      <c r="G1628" s="21" t="s">
        <v>30</v>
      </c>
      <c r="H1628" s="21" t="s">
        <v>24</v>
      </c>
      <c r="I1628" s="21" t="s">
        <v>24</v>
      </c>
      <c r="J1628" s="21" t="s">
        <v>24</v>
      </c>
      <c r="K1628" s="21" t="s">
        <v>24</v>
      </c>
      <c r="L1628" s="21" t="s">
        <v>24</v>
      </c>
      <c r="M1628" s="0" t="n">
        <v>183</v>
      </c>
      <c r="N1628" s="0" t="n">
        <v>3</v>
      </c>
      <c r="O1628" s="21" t="s">
        <v>3548</v>
      </c>
      <c r="P1628" s="21" t="s">
        <v>4680</v>
      </c>
      <c r="Q1628" s="0" t="n">
        <v>0</v>
      </c>
      <c r="S1628" s="0" t="n">
        <v>3</v>
      </c>
      <c r="T1628" s="21" t="s">
        <v>3548</v>
      </c>
      <c r="U1628" s="22" t="b">
        <f aca="false">TRUE()</f>
        <v>1</v>
      </c>
      <c r="V1628" s="0" t="n">
        <v>0.77</v>
      </c>
      <c r="W1628" s="0" t="n">
        <v>0.28</v>
      </c>
      <c r="X1628" s="0" t="n">
        <v>5.13</v>
      </c>
      <c r="Y1628" s="0" t="n">
        <v>427.16</v>
      </c>
      <c r="Z1628" s="0" t="n">
        <v>10.5</v>
      </c>
      <c r="AA1628" s="0" t="n">
        <v>5.42</v>
      </c>
      <c r="AB1628" s="0" t="n">
        <v>13.39</v>
      </c>
      <c r="AC1628" s="22" t="b">
        <f aca="false">FALSE()</f>
        <v>0</v>
      </c>
      <c r="AD1628" s="0" t="n">
        <v>12.93</v>
      </c>
      <c r="AE1628" s="0" t="n">
        <v>0.38</v>
      </c>
      <c r="AF1628" s="0" t="n">
        <v>5.19</v>
      </c>
      <c r="AG1628" s="22" t="b">
        <f aca="false">TRUE()</f>
        <v>1</v>
      </c>
      <c r="AH1628" s="0" t="n">
        <v>1</v>
      </c>
    </row>
    <row r="1629" customFormat="false" ht="15" hidden="false" customHeight="false" outlineLevel="0" collapsed="false">
      <c r="A1629" s="0" t="s">
        <v>2465</v>
      </c>
      <c r="B1629" s="0" t="s">
        <v>134</v>
      </c>
      <c r="C1629" s="0" t="s">
        <v>3447</v>
      </c>
      <c r="D1629" s="0" t="s">
        <v>3448</v>
      </c>
      <c r="E1629" s="20" t="s">
        <v>25</v>
      </c>
      <c r="F1629" s="23" t="s">
        <v>30</v>
      </c>
      <c r="G1629" s="21" t="s">
        <v>992</v>
      </c>
      <c r="H1629" s="21" t="s">
        <v>24</v>
      </c>
      <c r="I1629" s="21" t="s">
        <v>24</v>
      </c>
      <c r="J1629" s="21" t="s">
        <v>24</v>
      </c>
      <c r="K1629" s="21" t="s">
        <v>25</v>
      </c>
      <c r="L1629" s="21" t="s">
        <v>24</v>
      </c>
      <c r="M1629" s="0" t="n">
        <v>183</v>
      </c>
      <c r="N1629" s="0" t="n">
        <v>2</v>
      </c>
      <c r="O1629" s="21" t="s">
        <v>3500</v>
      </c>
      <c r="P1629" s="21" t="s">
        <v>4679</v>
      </c>
      <c r="Q1629" s="0" t="n">
        <v>0</v>
      </c>
      <c r="S1629" s="0" t="n">
        <v>2</v>
      </c>
      <c r="T1629" s="21" t="s">
        <v>3500</v>
      </c>
      <c r="U1629" s="22" t="b">
        <f aca="false">TRUE()</f>
        <v>1</v>
      </c>
      <c r="V1629" s="0" t="n">
        <v>0.8</v>
      </c>
      <c r="W1629" s="0" t="n">
        <v>0.36</v>
      </c>
      <c r="X1629" s="0" t="n">
        <v>7.05</v>
      </c>
      <c r="Y1629" s="0" t="n">
        <v>364.15</v>
      </c>
      <c r="Z1629" s="0" t="n">
        <v>9.5</v>
      </c>
      <c r="AA1629" s="0" t="n">
        <v>13.35</v>
      </c>
      <c r="AB1629" s="0" t="n">
        <v>2.95</v>
      </c>
      <c r="AC1629" s="22" t="b">
        <f aca="false">FALSE()</f>
        <v>0</v>
      </c>
      <c r="AD1629" s="0" t="n">
        <v>24.59</v>
      </c>
      <c r="AE1629" s="0" t="n">
        <v>0.82</v>
      </c>
      <c r="AF1629" s="0" t="n">
        <v>22.67</v>
      </c>
      <c r="AG1629" s="22" t="b">
        <f aca="false">TRUE()</f>
        <v>1</v>
      </c>
      <c r="AH1629" s="0" t="n">
        <v>1</v>
      </c>
    </row>
    <row r="1630" customFormat="false" ht="15" hidden="false" customHeight="false" outlineLevel="0" collapsed="false">
      <c r="A1630" s="0" t="s">
        <v>2465</v>
      </c>
      <c r="B1630" s="0" t="s">
        <v>3459</v>
      </c>
      <c r="C1630" s="0" t="s">
        <v>3450</v>
      </c>
      <c r="D1630" s="0" t="s">
        <v>3457</v>
      </c>
      <c r="E1630" s="19" t="s">
        <v>26</v>
      </c>
      <c r="F1630" s="19" t="s">
        <v>32</v>
      </c>
      <c r="G1630" s="21" t="s">
        <v>1926</v>
      </c>
      <c r="H1630" s="21" t="s">
        <v>24</v>
      </c>
      <c r="I1630" s="21" t="s">
        <v>26</v>
      </c>
      <c r="J1630" s="21" t="s">
        <v>24</v>
      </c>
      <c r="K1630" s="21" t="s">
        <v>25</v>
      </c>
      <c r="L1630" s="21" t="s">
        <v>24</v>
      </c>
      <c r="M1630" s="0" t="n">
        <v>183</v>
      </c>
      <c r="N1630" s="0" t="n">
        <v>7</v>
      </c>
      <c r="O1630" s="21" t="s">
        <v>3986</v>
      </c>
      <c r="P1630" s="21" t="s">
        <v>4577</v>
      </c>
      <c r="Q1630" s="0" t="n">
        <v>1</v>
      </c>
      <c r="R1630" s="21" t="s">
        <v>69</v>
      </c>
      <c r="S1630" s="0" t="n">
        <v>7</v>
      </c>
      <c r="T1630" s="21" t="s">
        <v>3986</v>
      </c>
      <c r="U1630" s="22" t="b">
        <f aca="false">FALSE()</f>
        <v>0</v>
      </c>
      <c r="V1630" s="0" t="n">
        <v>0.58</v>
      </c>
      <c r="W1630" s="0" t="n">
        <v>0.4</v>
      </c>
      <c r="X1630" s="0" t="n">
        <v>7.87</v>
      </c>
      <c r="Y1630" s="0" t="n">
        <v>342.81</v>
      </c>
      <c r="Z1630" s="0" t="n">
        <v>9</v>
      </c>
      <c r="AA1630" s="0" t="n">
        <v>18.01</v>
      </c>
      <c r="AB1630" s="0" t="n">
        <v>10</v>
      </c>
      <c r="AC1630" s="22" t="b">
        <f aca="false">FALSE()</f>
        <v>0</v>
      </c>
      <c r="AD1630" s="0" t="n">
        <v>20.69</v>
      </c>
      <c r="AE1630" s="0" t="n">
        <v>11.17</v>
      </c>
      <c r="AF1630" s="0" t="n">
        <v>21.88</v>
      </c>
      <c r="AG1630" s="22" t="b">
        <f aca="false">TRUE()</f>
        <v>1</v>
      </c>
      <c r="AH1630" s="0" t="n">
        <v>1</v>
      </c>
    </row>
    <row r="1631" customFormat="false" ht="15" hidden="false" customHeight="false" outlineLevel="0" collapsed="false">
      <c r="A1631" s="0" t="s">
        <v>2465</v>
      </c>
      <c r="B1631" s="0" t="s">
        <v>3459</v>
      </c>
      <c r="C1631" s="0" t="s">
        <v>3450</v>
      </c>
      <c r="D1631" s="0" t="s">
        <v>3448</v>
      </c>
      <c r="E1631" s="20" t="s">
        <v>25</v>
      </c>
      <c r="F1631" s="23" t="s">
        <v>30</v>
      </c>
      <c r="G1631" s="21" t="s">
        <v>283</v>
      </c>
      <c r="H1631" s="21" t="s">
        <v>24</v>
      </c>
      <c r="I1631" s="21" t="s">
        <v>25</v>
      </c>
      <c r="J1631" s="21" t="s">
        <v>24</v>
      </c>
      <c r="K1631" s="21" t="s">
        <v>24</v>
      </c>
      <c r="L1631" s="21" t="s">
        <v>24</v>
      </c>
      <c r="M1631" s="0" t="n">
        <v>185</v>
      </c>
      <c r="N1631" s="0" t="n">
        <v>3</v>
      </c>
      <c r="O1631" s="21" t="s">
        <v>3649</v>
      </c>
      <c r="P1631" s="21" t="s">
        <v>4242</v>
      </c>
      <c r="Q1631" s="0" t="n">
        <v>1</v>
      </c>
      <c r="R1631" s="21" t="s">
        <v>69</v>
      </c>
      <c r="S1631" s="0" t="n">
        <v>3</v>
      </c>
      <c r="T1631" s="21" t="s">
        <v>3649</v>
      </c>
      <c r="U1631" s="22" t="b">
        <f aca="false">TRUE()</f>
        <v>1</v>
      </c>
      <c r="V1631" s="0" t="n">
        <v>0.65</v>
      </c>
      <c r="W1631" s="0" t="n">
        <v>0.92</v>
      </c>
      <c r="X1631" s="0" t="n">
        <v>7.29</v>
      </c>
      <c r="Y1631" s="0" t="n">
        <v>321.22</v>
      </c>
      <c r="Z1631" s="0" t="n">
        <v>8.75</v>
      </c>
      <c r="AA1631" s="0" t="n">
        <v>16.75</v>
      </c>
      <c r="AB1631" s="0" t="n">
        <v>4.43</v>
      </c>
      <c r="AC1631" s="22" t="b">
        <f aca="false">FALSE()</f>
        <v>0</v>
      </c>
      <c r="AD1631" s="0" t="n">
        <v>19.21</v>
      </c>
      <c r="AE1631" s="0" t="n">
        <v>7.54</v>
      </c>
      <c r="AF1631" s="0" t="n">
        <v>17.71</v>
      </c>
      <c r="AG1631" s="22" t="b">
        <f aca="false">TRUE()</f>
        <v>1</v>
      </c>
      <c r="AH1631" s="0" t="n">
        <v>1</v>
      </c>
    </row>
    <row r="1632" customFormat="false" ht="15" hidden="false" customHeight="false" outlineLevel="0" collapsed="false">
      <c r="A1632" s="0" t="s">
        <v>2465</v>
      </c>
      <c r="B1632" s="0" t="s">
        <v>3459</v>
      </c>
      <c r="C1632" s="0" t="s">
        <v>3447</v>
      </c>
      <c r="D1632" s="0" t="s">
        <v>3457</v>
      </c>
      <c r="E1632" s="18" t="s">
        <v>24</v>
      </c>
      <c r="F1632" s="18" t="s">
        <v>28</v>
      </c>
      <c r="H1632" s="21" t="s">
        <v>24</v>
      </c>
      <c r="I1632" s="21" t="s">
        <v>24</v>
      </c>
      <c r="J1632" s="21" t="s">
        <v>24</v>
      </c>
      <c r="K1632" s="21" t="s">
        <v>24</v>
      </c>
      <c r="L1632" s="21" t="s">
        <v>24</v>
      </c>
      <c r="M1632" s="0" t="n">
        <v>184</v>
      </c>
      <c r="N1632" s="0" t="n">
        <v>0</v>
      </c>
      <c r="Q1632" s="0" t="n">
        <v>0</v>
      </c>
      <c r="S1632" s="0" t="n">
        <v>0</v>
      </c>
      <c r="U1632" s="22" t="b">
        <f aca="false">FALSE()</f>
        <v>0</v>
      </c>
      <c r="V1632" s="0" t="n">
        <v>0.84</v>
      </c>
      <c r="W1632" s="0" t="n">
        <v>0.48</v>
      </c>
      <c r="X1632" s="0" t="n">
        <v>9.13</v>
      </c>
      <c r="Y1632" s="0" t="n">
        <v>326.83</v>
      </c>
      <c r="Z1632" s="0" t="n">
        <v>9.75</v>
      </c>
      <c r="AA1632" s="0" t="n">
        <v>3.79</v>
      </c>
      <c r="AB1632" s="0" t="n">
        <v>10</v>
      </c>
      <c r="AC1632" s="22" t="b">
        <f aca="false">FALSE()</f>
        <v>0</v>
      </c>
      <c r="AD1632" s="0" t="n">
        <v>17.9</v>
      </c>
      <c r="AE1632" s="0" t="n">
        <v>8.56</v>
      </c>
      <c r="AF1632" s="0" t="n">
        <v>17.92</v>
      </c>
      <c r="AG1632" s="22" t="b">
        <f aca="false">TRUE()</f>
        <v>1</v>
      </c>
      <c r="AH1632" s="0" t="n">
        <v>1</v>
      </c>
    </row>
    <row r="1633" customFormat="false" ht="15" hidden="false" customHeight="false" outlineLevel="0" collapsed="false">
      <c r="A1633" s="0" t="s">
        <v>2465</v>
      </c>
      <c r="B1633" s="0" t="s">
        <v>3459</v>
      </c>
      <c r="C1633" s="0" t="s">
        <v>3447</v>
      </c>
      <c r="D1633" s="0" t="s">
        <v>3448</v>
      </c>
      <c r="E1633" s="18" t="s">
        <v>24</v>
      </c>
      <c r="F1633" s="23" t="s">
        <v>30</v>
      </c>
      <c r="G1633" s="21" t="s">
        <v>30</v>
      </c>
      <c r="H1633" s="21" t="s">
        <v>24</v>
      </c>
      <c r="I1633" s="21" t="s">
        <v>24</v>
      </c>
      <c r="J1633" s="21" t="s">
        <v>24</v>
      </c>
      <c r="K1633" s="21" t="s">
        <v>24</v>
      </c>
      <c r="L1633" s="21" t="s">
        <v>24</v>
      </c>
      <c r="M1633" s="0" t="n">
        <v>185</v>
      </c>
      <c r="N1633" s="0" t="n">
        <v>2</v>
      </c>
      <c r="O1633" s="21" t="s">
        <v>3518</v>
      </c>
      <c r="P1633" s="21" t="s">
        <v>4727</v>
      </c>
      <c r="Q1633" s="0" t="n">
        <v>0</v>
      </c>
      <c r="S1633" s="0" t="n">
        <v>2</v>
      </c>
      <c r="T1633" s="21" t="s">
        <v>3518</v>
      </c>
      <c r="U1633" s="22" t="b">
        <f aca="false">TRUE()</f>
        <v>1</v>
      </c>
      <c r="V1633" s="0" t="n">
        <v>0.84</v>
      </c>
      <c r="W1633" s="0" t="n">
        <v>0.88</v>
      </c>
      <c r="X1633" s="0" t="n">
        <v>9.42</v>
      </c>
      <c r="Y1633" s="0" t="n">
        <v>322.08</v>
      </c>
      <c r="Z1633" s="0" t="n">
        <v>9.42</v>
      </c>
      <c r="AA1633" s="0" t="n">
        <v>8.05</v>
      </c>
      <c r="AB1633" s="0" t="n">
        <v>4.43</v>
      </c>
      <c r="AC1633" s="22" t="b">
        <f aca="false">FALSE()</f>
        <v>0</v>
      </c>
      <c r="AD1633" s="0" t="n">
        <v>16.26</v>
      </c>
      <c r="AE1633" s="0" t="n">
        <v>6.77</v>
      </c>
      <c r="AF1633" s="0" t="n">
        <v>18.14</v>
      </c>
      <c r="AG1633" s="22" t="b">
        <f aca="false">TRUE()</f>
        <v>1</v>
      </c>
      <c r="AH1633" s="0" t="n">
        <v>1</v>
      </c>
    </row>
    <row r="1634" customFormat="false" ht="15" hidden="false" customHeight="false" outlineLevel="0" collapsed="false">
      <c r="A1634" s="0" t="s">
        <v>2471</v>
      </c>
      <c r="B1634" s="0" t="s">
        <v>134</v>
      </c>
      <c r="C1634" s="0" t="s">
        <v>3450</v>
      </c>
      <c r="D1634" s="0" t="s">
        <v>3457</v>
      </c>
      <c r="E1634" s="19" t="s">
        <v>26</v>
      </c>
      <c r="F1634" s="19" t="s">
        <v>32</v>
      </c>
      <c r="G1634" s="21" t="s">
        <v>529</v>
      </c>
      <c r="H1634" s="21" t="s">
        <v>24</v>
      </c>
      <c r="I1634" s="21" t="s">
        <v>26</v>
      </c>
      <c r="J1634" s="21" t="s">
        <v>24</v>
      </c>
      <c r="K1634" s="21" t="s">
        <v>24</v>
      </c>
      <c r="L1634" s="21" t="s">
        <v>24</v>
      </c>
      <c r="M1634" s="0" t="n">
        <v>184</v>
      </c>
      <c r="N1634" s="0" t="n">
        <v>8</v>
      </c>
      <c r="O1634" s="21" t="s">
        <v>4070</v>
      </c>
      <c r="P1634" s="21" t="s">
        <v>4781</v>
      </c>
      <c r="Q1634" s="0" t="n">
        <v>1</v>
      </c>
      <c r="R1634" s="21" t="s">
        <v>69</v>
      </c>
      <c r="S1634" s="0" t="n">
        <v>8</v>
      </c>
      <c r="T1634" s="21" t="s">
        <v>4070</v>
      </c>
      <c r="U1634" s="22" t="b">
        <f aca="false">FALSE()</f>
        <v>0</v>
      </c>
      <c r="V1634" s="0" t="n">
        <v>0.72</v>
      </c>
      <c r="W1634" s="0" t="n">
        <v>0.52</v>
      </c>
      <c r="X1634" s="0" t="n">
        <v>8.04</v>
      </c>
      <c r="Y1634" s="0" t="n">
        <v>318.13</v>
      </c>
      <c r="Z1634" s="0" t="n">
        <v>9.5</v>
      </c>
      <c r="AA1634" s="0" t="n">
        <v>11.8</v>
      </c>
      <c r="AB1634" s="0" t="n">
        <v>2.37</v>
      </c>
      <c r="AC1634" s="22" t="b">
        <f aca="false">FALSE()</f>
        <v>0</v>
      </c>
      <c r="AD1634" s="0" t="n">
        <v>12.43</v>
      </c>
      <c r="AE1634" s="0" t="n">
        <v>0.08</v>
      </c>
      <c r="AF1634" s="0" t="n">
        <v>11.65</v>
      </c>
      <c r="AG1634" s="22" t="b">
        <f aca="false">TRUE()</f>
        <v>1</v>
      </c>
      <c r="AH1634" s="0" t="n">
        <v>1</v>
      </c>
    </row>
    <row r="1635" customFormat="false" ht="15" hidden="false" customHeight="false" outlineLevel="0" collapsed="false">
      <c r="A1635" s="0" t="s">
        <v>2471</v>
      </c>
      <c r="B1635" s="0" t="s">
        <v>134</v>
      </c>
      <c r="C1635" s="0" t="s">
        <v>3450</v>
      </c>
      <c r="D1635" s="0" t="s">
        <v>3448</v>
      </c>
      <c r="E1635" s="20" t="s">
        <v>25</v>
      </c>
      <c r="F1635" s="23" t="s">
        <v>30</v>
      </c>
      <c r="G1635" s="21" t="s">
        <v>1230</v>
      </c>
      <c r="H1635" s="21" t="s">
        <v>24</v>
      </c>
      <c r="I1635" s="21" t="s">
        <v>25</v>
      </c>
      <c r="J1635" s="21" t="s">
        <v>24</v>
      </c>
      <c r="K1635" s="21" t="s">
        <v>25</v>
      </c>
      <c r="L1635" s="21" t="s">
        <v>24</v>
      </c>
      <c r="M1635" s="0" t="n">
        <v>184</v>
      </c>
      <c r="N1635" s="0" t="n">
        <v>1</v>
      </c>
      <c r="O1635" s="21" t="s">
        <v>69</v>
      </c>
      <c r="P1635" s="21" t="s">
        <v>4275</v>
      </c>
      <c r="Q1635" s="0" t="n">
        <v>1</v>
      </c>
      <c r="R1635" s="21" t="s">
        <v>69</v>
      </c>
      <c r="S1635" s="0" t="n">
        <v>1</v>
      </c>
      <c r="T1635" s="21" t="s">
        <v>69</v>
      </c>
      <c r="U1635" s="22" t="b">
        <f aca="false">TRUE()</f>
        <v>1</v>
      </c>
      <c r="V1635" s="0" t="n">
        <v>0.73</v>
      </c>
      <c r="W1635" s="0" t="n">
        <v>0.88</v>
      </c>
      <c r="X1635" s="0" t="n">
        <v>7.9</v>
      </c>
      <c r="Y1635" s="0" t="n">
        <v>320.79</v>
      </c>
      <c r="Z1635" s="0" t="n">
        <v>9.75</v>
      </c>
      <c r="AA1635" s="0" t="n">
        <v>2.09</v>
      </c>
      <c r="AB1635" s="0" t="n">
        <v>5.4</v>
      </c>
      <c r="AC1635" s="22" t="b">
        <f aca="false">FALSE()</f>
        <v>0</v>
      </c>
      <c r="AD1635" s="0" t="n">
        <v>7.02</v>
      </c>
      <c r="AE1635" s="0" t="n">
        <v>0.17</v>
      </c>
      <c r="AF1635" s="0" t="n">
        <v>6.33</v>
      </c>
      <c r="AG1635" s="22" t="b">
        <f aca="false">FALSE()</f>
        <v>0</v>
      </c>
      <c r="AH1635" s="0" t="n">
        <v>1</v>
      </c>
    </row>
    <row r="1636" customFormat="false" ht="15" hidden="false" customHeight="false" outlineLevel="0" collapsed="false">
      <c r="A1636" s="0" t="s">
        <v>2471</v>
      </c>
      <c r="B1636" s="0" t="s">
        <v>134</v>
      </c>
      <c r="C1636" s="0" t="s">
        <v>3447</v>
      </c>
      <c r="D1636" s="0" t="s">
        <v>3457</v>
      </c>
      <c r="E1636" s="19" t="s">
        <v>26</v>
      </c>
      <c r="F1636" s="19" t="s">
        <v>32</v>
      </c>
      <c r="G1636" s="21" t="s">
        <v>529</v>
      </c>
      <c r="H1636" s="21" t="s">
        <v>24</v>
      </c>
      <c r="I1636" s="21" t="s">
        <v>26</v>
      </c>
      <c r="J1636" s="21" t="s">
        <v>24</v>
      </c>
      <c r="K1636" s="21" t="s">
        <v>24</v>
      </c>
      <c r="L1636" s="21" t="s">
        <v>24</v>
      </c>
      <c r="M1636" s="0" t="n">
        <v>183</v>
      </c>
      <c r="N1636" s="0" t="n">
        <v>8</v>
      </c>
      <c r="O1636" s="21" t="s">
        <v>4052</v>
      </c>
      <c r="P1636" s="21" t="s">
        <v>4782</v>
      </c>
      <c r="Q1636" s="0" t="n">
        <v>1</v>
      </c>
      <c r="R1636" s="21" t="s">
        <v>69</v>
      </c>
      <c r="S1636" s="0" t="n">
        <v>8</v>
      </c>
      <c r="T1636" s="21" t="s">
        <v>4052</v>
      </c>
      <c r="U1636" s="22" t="b">
        <f aca="false">FALSE()</f>
        <v>0</v>
      </c>
      <c r="V1636" s="0" t="n">
        <v>0.78</v>
      </c>
      <c r="W1636" s="0" t="n">
        <v>0.48</v>
      </c>
      <c r="X1636" s="0" t="n">
        <v>8.59</v>
      </c>
      <c r="Y1636" s="0" t="n">
        <v>326.07</v>
      </c>
      <c r="Z1636" s="0" t="n">
        <v>9.42</v>
      </c>
      <c r="AA1636" s="0" t="n">
        <v>10.28</v>
      </c>
      <c r="AB1636" s="0" t="n">
        <v>2.37</v>
      </c>
      <c r="AC1636" s="22" t="b">
        <f aca="false">FALSE()</f>
        <v>0</v>
      </c>
      <c r="AD1636" s="0" t="n">
        <v>14.54</v>
      </c>
      <c r="AE1636" s="0" t="n">
        <v>0.44</v>
      </c>
      <c r="AF1636" s="0" t="n">
        <v>14.6</v>
      </c>
      <c r="AG1636" s="22" t="b">
        <f aca="false">TRUE()</f>
        <v>1</v>
      </c>
      <c r="AH1636" s="0" t="n">
        <v>2</v>
      </c>
    </row>
    <row r="1637" customFormat="false" ht="15" hidden="false" customHeight="false" outlineLevel="0" collapsed="false">
      <c r="A1637" s="0" t="s">
        <v>2471</v>
      </c>
      <c r="B1637" s="0" t="s">
        <v>134</v>
      </c>
      <c r="C1637" s="0" t="s">
        <v>3447</v>
      </c>
      <c r="D1637" s="0" t="s">
        <v>3448</v>
      </c>
      <c r="E1637" s="19" t="s">
        <v>26</v>
      </c>
      <c r="F1637" s="19" t="s">
        <v>32</v>
      </c>
      <c r="G1637" s="21" t="s">
        <v>3896</v>
      </c>
      <c r="H1637" s="21" t="s">
        <v>24</v>
      </c>
      <c r="I1637" s="21" t="s">
        <v>26</v>
      </c>
      <c r="J1637" s="21" t="s">
        <v>24</v>
      </c>
      <c r="K1637" s="21" t="s">
        <v>25</v>
      </c>
      <c r="L1637" s="21" t="s">
        <v>24</v>
      </c>
      <c r="M1637" s="0" t="n">
        <v>183</v>
      </c>
      <c r="N1637" s="0" t="n">
        <v>7</v>
      </c>
      <c r="O1637" s="21" t="s">
        <v>3901</v>
      </c>
      <c r="P1637" s="21" t="s">
        <v>4783</v>
      </c>
      <c r="Q1637" s="0" t="n">
        <v>0</v>
      </c>
      <c r="S1637" s="0" t="n">
        <v>7</v>
      </c>
      <c r="T1637" s="21" t="s">
        <v>3901</v>
      </c>
      <c r="U1637" s="22" t="b">
        <f aca="false">FALSE()</f>
        <v>0</v>
      </c>
      <c r="V1637" s="0" t="n">
        <v>0.78</v>
      </c>
      <c r="W1637" s="0" t="n">
        <v>0.56</v>
      </c>
      <c r="X1637" s="0" t="n">
        <v>10.35</v>
      </c>
      <c r="Y1637" s="0" t="n">
        <v>322.94</v>
      </c>
      <c r="Z1637" s="0" t="n">
        <v>9.17</v>
      </c>
      <c r="AA1637" s="0" t="n">
        <v>10.01</v>
      </c>
      <c r="AB1637" s="0" t="n">
        <v>5.4</v>
      </c>
      <c r="AC1637" s="22" t="b">
        <f aca="false">FALSE()</f>
        <v>0</v>
      </c>
      <c r="AD1637" s="0" t="n">
        <v>21.55</v>
      </c>
      <c r="AE1637" s="0" t="n">
        <v>1.64</v>
      </c>
      <c r="AF1637" s="0" t="n">
        <v>17.18</v>
      </c>
      <c r="AG1637" s="22" t="b">
        <f aca="false">TRUE()</f>
        <v>1</v>
      </c>
      <c r="AH1637" s="0" t="n">
        <v>1</v>
      </c>
    </row>
    <row r="1638" customFormat="false" ht="15" hidden="false" customHeight="false" outlineLevel="0" collapsed="false">
      <c r="A1638" s="0" t="s">
        <v>2482</v>
      </c>
      <c r="B1638" s="0" t="s">
        <v>134</v>
      </c>
      <c r="C1638" s="0" t="s">
        <v>3450</v>
      </c>
      <c r="D1638" s="0" t="s">
        <v>3457</v>
      </c>
      <c r="E1638" s="20" t="s">
        <v>25</v>
      </c>
      <c r="F1638" s="20" t="s">
        <v>29</v>
      </c>
      <c r="G1638" s="21" t="s">
        <v>3451</v>
      </c>
      <c r="H1638" s="21" t="s">
        <v>24</v>
      </c>
      <c r="I1638" s="21" t="s">
        <v>24</v>
      </c>
      <c r="J1638" s="21" t="s">
        <v>24</v>
      </c>
      <c r="K1638" s="21" t="s">
        <v>25</v>
      </c>
      <c r="L1638" s="21" t="s">
        <v>24</v>
      </c>
      <c r="M1638" s="0" t="n">
        <v>182</v>
      </c>
      <c r="N1638" s="0" t="n">
        <v>0</v>
      </c>
      <c r="Q1638" s="0" t="n">
        <v>0</v>
      </c>
      <c r="S1638" s="0" t="n">
        <v>0</v>
      </c>
      <c r="U1638" s="22" t="b">
        <f aca="false">FALSE()</f>
        <v>0</v>
      </c>
      <c r="V1638" s="0" t="n">
        <v>0.65</v>
      </c>
      <c r="W1638" s="0" t="n">
        <v>0.4</v>
      </c>
      <c r="X1638" s="0" t="n">
        <v>7.75</v>
      </c>
      <c r="Y1638" s="0" t="n">
        <v>295.28</v>
      </c>
      <c r="Z1638" s="0" t="n">
        <v>10.25</v>
      </c>
      <c r="AA1638" s="0" t="n">
        <v>-0.32</v>
      </c>
      <c r="AB1638" s="0" t="n">
        <v>0.96</v>
      </c>
      <c r="AC1638" s="22" t="b">
        <f aca="false">TRUE()</f>
        <v>1</v>
      </c>
      <c r="AD1638" s="0" t="n">
        <v>1.75</v>
      </c>
      <c r="AE1638" s="0" t="n">
        <v>0.73</v>
      </c>
      <c r="AF1638" s="0" t="n">
        <v>7.51</v>
      </c>
      <c r="AG1638" s="22" t="b">
        <f aca="false">FALSE()</f>
        <v>0</v>
      </c>
      <c r="AH1638" s="0" t="n">
        <v>1</v>
      </c>
    </row>
    <row r="1639" customFormat="false" ht="15" hidden="false" customHeight="false" outlineLevel="0" collapsed="false">
      <c r="A1639" s="0" t="s">
        <v>2482</v>
      </c>
      <c r="B1639" s="0" t="s">
        <v>134</v>
      </c>
      <c r="C1639" s="0" t="s">
        <v>3450</v>
      </c>
      <c r="D1639" s="0" t="s">
        <v>3448</v>
      </c>
      <c r="E1639" s="20" t="s">
        <v>25</v>
      </c>
      <c r="F1639" s="20" t="s">
        <v>29</v>
      </c>
      <c r="G1639" s="21" t="s">
        <v>3473</v>
      </c>
      <c r="H1639" s="21" t="s">
        <v>24</v>
      </c>
      <c r="I1639" s="21" t="s">
        <v>24</v>
      </c>
      <c r="J1639" s="21" t="s">
        <v>24</v>
      </c>
      <c r="K1639" s="21" t="s">
        <v>25</v>
      </c>
      <c r="L1639" s="21" t="s">
        <v>24</v>
      </c>
      <c r="M1639" s="0" t="n">
        <v>197</v>
      </c>
      <c r="N1639" s="0" t="n">
        <v>0</v>
      </c>
      <c r="Q1639" s="0" t="n">
        <v>0</v>
      </c>
      <c r="S1639" s="0" t="n">
        <v>0</v>
      </c>
      <c r="U1639" s="22" t="b">
        <f aca="false">FALSE()</f>
        <v>0</v>
      </c>
      <c r="V1639" s="0" t="n">
        <v>0.7</v>
      </c>
      <c r="W1639" s="0" t="n">
        <v>0.92</v>
      </c>
      <c r="X1639" s="0" t="n">
        <v>7.55</v>
      </c>
      <c r="Y1639" s="0" t="n">
        <v>342.64</v>
      </c>
      <c r="Z1639" s="0" t="n">
        <v>11.5</v>
      </c>
      <c r="AA1639" s="0" t="n">
        <v>1.55</v>
      </c>
      <c r="AB1639" s="0" t="n">
        <v>0.77</v>
      </c>
      <c r="AC1639" s="22" t="b">
        <f aca="false">TRUE()</f>
        <v>1</v>
      </c>
      <c r="AD1639" s="0" t="n">
        <v>23.59</v>
      </c>
      <c r="AE1639" s="0" t="n">
        <v>3.5</v>
      </c>
      <c r="AF1639" s="0" t="n">
        <v>27.52</v>
      </c>
      <c r="AG1639" s="22" t="b">
        <f aca="false">TRUE()</f>
        <v>1</v>
      </c>
      <c r="AH1639" s="0" t="n">
        <v>1</v>
      </c>
    </row>
    <row r="1640" customFormat="false" ht="15" hidden="false" customHeight="false" outlineLevel="0" collapsed="false">
      <c r="A1640" s="0" t="s">
        <v>2482</v>
      </c>
      <c r="B1640" s="0" t="s">
        <v>134</v>
      </c>
      <c r="C1640" s="0" t="s">
        <v>3447</v>
      </c>
      <c r="D1640" s="0" t="s">
        <v>3457</v>
      </c>
      <c r="E1640" s="20" t="s">
        <v>25</v>
      </c>
      <c r="F1640" s="20" t="s">
        <v>29</v>
      </c>
      <c r="G1640" s="21" t="s">
        <v>64</v>
      </c>
      <c r="H1640" s="21" t="s">
        <v>24</v>
      </c>
      <c r="I1640" s="21" t="s">
        <v>24</v>
      </c>
      <c r="J1640" s="21" t="s">
        <v>24</v>
      </c>
      <c r="K1640" s="21" t="s">
        <v>25</v>
      </c>
      <c r="L1640" s="21" t="s">
        <v>24</v>
      </c>
      <c r="M1640" s="0" t="n">
        <v>200</v>
      </c>
      <c r="N1640" s="0" t="n">
        <v>0</v>
      </c>
      <c r="Q1640" s="0" t="n">
        <v>0</v>
      </c>
      <c r="S1640" s="0" t="n">
        <v>0</v>
      </c>
      <c r="U1640" s="22" t="b">
        <f aca="false">FALSE()</f>
        <v>0</v>
      </c>
      <c r="V1640" s="0" t="n">
        <v>0.65</v>
      </c>
      <c r="W1640" s="0" t="n">
        <v>0</v>
      </c>
      <c r="X1640" s="0" t="n">
        <v>8.03</v>
      </c>
      <c r="Y1640" s="0" t="n">
        <v>1.27</v>
      </c>
      <c r="Z1640" s="0" t="n">
        <v>8.25</v>
      </c>
      <c r="AA1640" s="0" t="n">
        <v>-0.48</v>
      </c>
      <c r="AB1640" s="0" t="n">
        <v>0.96</v>
      </c>
      <c r="AC1640" s="22" t="b">
        <f aca="false">FALSE()</f>
        <v>0</v>
      </c>
      <c r="AD1640" s="0" t="n">
        <v>1.04</v>
      </c>
      <c r="AE1640" s="0" t="n">
        <v>0.01</v>
      </c>
      <c r="AF1640" s="0" t="n">
        <v>6</v>
      </c>
      <c r="AG1640" s="22" t="b">
        <f aca="false">FALSE()</f>
        <v>0</v>
      </c>
      <c r="AH1640" s="0" t="n">
        <v>0</v>
      </c>
    </row>
    <row r="1641" customFormat="false" ht="15" hidden="false" customHeight="false" outlineLevel="0" collapsed="false">
      <c r="A1641" s="0" t="s">
        <v>2482</v>
      </c>
      <c r="B1641" s="0" t="s">
        <v>134</v>
      </c>
      <c r="C1641" s="0" t="s">
        <v>3447</v>
      </c>
      <c r="D1641" s="0" t="s">
        <v>3448</v>
      </c>
      <c r="E1641" s="20" t="s">
        <v>25</v>
      </c>
      <c r="F1641" s="20" t="s">
        <v>29</v>
      </c>
      <c r="G1641" s="21" t="s">
        <v>64</v>
      </c>
      <c r="H1641" s="21" t="s">
        <v>24</v>
      </c>
      <c r="I1641" s="21" t="s">
        <v>24</v>
      </c>
      <c r="J1641" s="21" t="s">
        <v>24</v>
      </c>
      <c r="K1641" s="21" t="s">
        <v>25</v>
      </c>
      <c r="L1641" s="21" t="s">
        <v>24</v>
      </c>
      <c r="M1641" s="0" t="n">
        <v>183</v>
      </c>
      <c r="N1641" s="0" t="n">
        <v>0</v>
      </c>
      <c r="Q1641" s="0" t="n">
        <v>0</v>
      </c>
      <c r="S1641" s="0" t="n">
        <v>0</v>
      </c>
      <c r="U1641" s="22" t="b">
        <f aca="false">FALSE()</f>
        <v>0</v>
      </c>
      <c r="V1641" s="0" t="n">
        <v>0.67</v>
      </c>
      <c r="W1641" s="0" t="n">
        <v>0.2</v>
      </c>
      <c r="X1641" s="0" t="n">
        <v>9.72</v>
      </c>
      <c r="Y1641" s="0" t="n">
        <v>506.5</v>
      </c>
      <c r="Z1641" s="0" t="n">
        <v>9.33</v>
      </c>
      <c r="AA1641" s="0" t="n">
        <v>0.14</v>
      </c>
      <c r="AB1641" s="0" t="n">
        <v>0.77</v>
      </c>
      <c r="AC1641" s="22" t="b">
        <f aca="false">FALSE()</f>
        <v>0</v>
      </c>
      <c r="AD1641" s="0" t="n">
        <v>16.49</v>
      </c>
      <c r="AE1641" s="0" t="n">
        <v>0.77</v>
      </c>
      <c r="AF1641" s="0" t="n">
        <v>21.33</v>
      </c>
      <c r="AG1641" s="22" t="b">
        <f aca="false">TRUE()</f>
        <v>1</v>
      </c>
      <c r="AH1641" s="0" t="n">
        <v>1</v>
      </c>
    </row>
    <row r="1642" customFormat="false" ht="15" hidden="false" customHeight="false" outlineLevel="0" collapsed="false">
      <c r="A1642" s="0" t="s">
        <v>2482</v>
      </c>
      <c r="B1642" s="0" t="s">
        <v>3459</v>
      </c>
      <c r="C1642" s="0" t="s">
        <v>3450</v>
      </c>
      <c r="D1642" s="0" t="s">
        <v>3457</v>
      </c>
      <c r="E1642" s="20" t="s">
        <v>25</v>
      </c>
      <c r="F1642" s="20" t="s">
        <v>29</v>
      </c>
      <c r="G1642" s="21" t="s">
        <v>62</v>
      </c>
      <c r="H1642" s="21" t="s">
        <v>24</v>
      </c>
      <c r="I1642" s="21" t="s">
        <v>24</v>
      </c>
      <c r="J1642" s="21" t="s">
        <v>24</v>
      </c>
      <c r="K1642" s="21" t="s">
        <v>25</v>
      </c>
      <c r="L1642" s="21" t="s">
        <v>24</v>
      </c>
      <c r="M1642" s="0" t="n">
        <v>184</v>
      </c>
      <c r="N1642" s="0" t="n">
        <v>0</v>
      </c>
      <c r="Q1642" s="0" t="n">
        <v>0</v>
      </c>
      <c r="S1642" s="0" t="n">
        <v>0</v>
      </c>
      <c r="U1642" s="22" t="b">
        <f aca="false">FALSE()</f>
        <v>0</v>
      </c>
      <c r="V1642" s="0" t="n">
        <v>0.68</v>
      </c>
      <c r="W1642" s="0" t="n">
        <v>0.96</v>
      </c>
      <c r="X1642" s="0" t="n">
        <v>8.85</v>
      </c>
      <c r="Y1642" s="0" t="n">
        <v>279.19</v>
      </c>
      <c r="Z1642" s="0" t="n">
        <v>8.33</v>
      </c>
      <c r="AA1642" s="0" t="n">
        <v>-0.72</v>
      </c>
      <c r="AB1642" s="0" t="n">
        <v>1.6</v>
      </c>
      <c r="AC1642" s="22" t="b">
        <f aca="false">FALSE()</f>
        <v>0</v>
      </c>
      <c r="AD1642" s="0" t="n">
        <v>18.19</v>
      </c>
      <c r="AE1642" s="0" t="n">
        <v>6.02</v>
      </c>
      <c r="AF1642" s="0" t="n">
        <v>15.49</v>
      </c>
      <c r="AG1642" s="22" t="b">
        <f aca="false">TRUE()</f>
        <v>1</v>
      </c>
      <c r="AH1642" s="0" t="n">
        <v>1</v>
      </c>
    </row>
    <row r="1643" customFormat="false" ht="15" hidden="false" customHeight="false" outlineLevel="0" collapsed="false">
      <c r="A1643" s="0" t="s">
        <v>2482</v>
      </c>
      <c r="B1643" s="0" t="s">
        <v>3459</v>
      </c>
      <c r="C1643" s="0" t="s">
        <v>3450</v>
      </c>
      <c r="D1643" s="0" t="s">
        <v>3448</v>
      </c>
      <c r="E1643" s="20" t="s">
        <v>25</v>
      </c>
      <c r="F1643" s="23" t="s">
        <v>30</v>
      </c>
      <c r="G1643" s="21" t="s">
        <v>294</v>
      </c>
      <c r="H1643" s="21" t="s">
        <v>24</v>
      </c>
      <c r="I1643" s="21" t="s">
        <v>25</v>
      </c>
      <c r="J1643" s="21" t="s">
        <v>24</v>
      </c>
      <c r="K1643" s="21" t="s">
        <v>25</v>
      </c>
      <c r="L1643" s="21" t="s">
        <v>24</v>
      </c>
      <c r="M1643" s="0" t="n">
        <v>184</v>
      </c>
      <c r="N1643" s="0" t="n">
        <v>2</v>
      </c>
      <c r="O1643" s="21" t="s">
        <v>3575</v>
      </c>
      <c r="P1643" s="21" t="s">
        <v>4265</v>
      </c>
      <c r="Q1643" s="0" t="n">
        <v>1</v>
      </c>
      <c r="R1643" s="21" t="s">
        <v>69</v>
      </c>
      <c r="S1643" s="0" t="n">
        <v>2</v>
      </c>
      <c r="T1643" s="21" t="s">
        <v>3575</v>
      </c>
      <c r="U1643" s="22" t="b">
        <f aca="false">TRUE()</f>
        <v>1</v>
      </c>
      <c r="V1643" s="0" t="n">
        <v>0.7</v>
      </c>
      <c r="W1643" s="0" t="n">
        <v>0.36</v>
      </c>
      <c r="X1643" s="0" t="n">
        <v>8.22</v>
      </c>
      <c r="Y1643" s="0" t="n">
        <v>380.3</v>
      </c>
      <c r="Z1643" s="0" t="n">
        <v>11.25</v>
      </c>
      <c r="AA1643" s="0" t="n">
        <v>0.8</v>
      </c>
      <c r="AB1643" s="0" t="n">
        <v>0.57</v>
      </c>
      <c r="AC1643" s="22" t="b">
        <f aca="false">TRUE()</f>
        <v>1</v>
      </c>
      <c r="AD1643" s="0" t="n">
        <v>22.43</v>
      </c>
      <c r="AE1643" s="0" t="n">
        <v>11.22</v>
      </c>
      <c r="AF1643" s="0" t="n">
        <v>19.67</v>
      </c>
      <c r="AG1643" s="22" t="b">
        <f aca="false">TRUE()</f>
        <v>1</v>
      </c>
      <c r="AH1643" s="0" t="n">
        <v>1</v>
      </c>
    </row>
    <row r="1644" customFormat="false" ht="15" hidden="false" customHeight="false" outlineLevel="0" collapsed="false">
      <c r="A1644" s="0" t="s">
        <v>2482</v>
      </c>
      <c r="B1644" s="0" t="s">
        <v>3459</v>
      </c>
      <c r="C1644" s="0" t="s">
        <v>3447</v>
      </c>
      <c r="D1644" s="0" t="s">
        <v>3457</v>
      </c>
      <c r="E1644" s="18" t="s">
        <v>24</v>
      </c>
      <c r="F1644" s="18" t="s">
        <v>28</v>
      </c>
      <c r="H1644" s="21" t="s">
        <v>24</v>
      </c>
      <c r="I1644" s="21" t="s">
        <v>24</v>
      </c>
      <c r="J1644" s="21" t="s">
        <v>24</v>
      </c>
      <c r="K1644" s="21" t="s">
        <v>24</v>
      </c>
      <c r="L1644" s="21" t="s">
        <v>24</v>
      </c>
      <c r="M1644" s="0" t="n">
        <v>183</v>
      </c>
      <c r="N1644" s="0" t="n">
        <v>0</v>
      </c>
      <c r="Q1644" s="0" t="n">
        <v>0</v>
      </c>
      <c r="S1644" s="0" t="n">
        <v>0</v>
      </c>
      <c r="U1644" s="22" t="b">
        <f aca="false">FALSE()</f>
        <v>0</v>
      </c>
      <c r="V1644" s="0" t="n">
        <v>0.68</v>
      </c>
      <c r="W1644" s="0" t="n">
        <v>0.12</v>
      </c>
      <c r="X1644" s="0" t="n">
        <v>8.6</v>
      </c>
      <c r="Y1644" s="0" t="n">
        <v>557.47</v>
      </c>
      <c r="Z1644" s="0" t="n">
        <v>9.25</v>
      </c>
      <c r="AA1644" s="0" t="n">
        <v>-0.42</v>
      </c>
      <c r="AB1644" s="0" t="n">
        <v>1.6</v>
      </c>
      <c r="AC1644" s="22" t="b">
        <f aca="false">FALSE()</f>
        <v>0</v>
      </c>
      <c r="AD1644" s="0" t="n">
        <v>18.47</v>
      </c>
      <c r="AE1644" s="0" t="n">
        <v>6.5</v>
      </c>
      <c r="AF1644" s="0" t="n">
        <v>15.34</v>
      </c>
      <c r="AG1644" s="22" t="b">
        <f aca="false">TRUE()</f>
        <v>1</v>
      </c>
      <c r="AH1644" s="0" t="n">
        <v>1</v>
      </c>
    </row>
    <row r="1645" customFormat="false" ht="15" hidden="false" customHeight="false" outlineLevel="0" collapsed="false">
      <c r="A1645" s="0" t="s">
        <v>2482</v>
      </c>
      <c r="B1645" s="0" t="s">
        <v>3459</v>
      </c>
      <c r="C1645" s="0" t="s">
        <v>3447</v>
      </c>
      <c r="D1645" s="0" t="s">
        <v>3448</v>
      </c>
      <c r="E1645" s="20" t="s">
        <v>25</v>
      </c>
      <c r="F1645" s="23" t="s">
        <v>30</v>
      </c>
      <c r="G1645" s="21" t="s">
        <v>1152</v>
      </c>
      <c r="H1645" s="21" t="s">
        <v>24</v>
      </c>
      <c r="I1645" s="21" t="s">
        <v>25</v>
      </c>
      <c r="J1645" s="21" t="s">
        <v>24</v>
      </c>
      <c r="K1645" s="21" t="s">
        <v>25</v>
      </c>
      <c r="L1645" s="21" t="s">
        <v>24</v>
      </c>
      <c r="M1645" s="0" t="n">
        <v>184</v>
      </c>
      <c r="N1645" s="0" t="n">
        <v>6</v>
      </c>
      <c r="O1645" s="21" t="s">
        <v>3870</v>
      </c>
      <c r="P1645" s="21" t="s">
        <v>4784</v>
      </c>
      <c r="Q1645" s="0" t="n">
        <v>1</v>
      </c>
      <c r="R1645" s="21" t="s">
        <v>69</v>
      </c>
      <c r="S1645" s="0" t="n">
        <v>6</v>
      </c>
      <c r="T1645" s="21" t="s">
        <v>3870</v>
      </c>
      <c r="U1645" s="22" t="b">
        <f aca="false">TRUE()</f>
        <v>1</v>
      </c>
      <c r="V1645" s="0" t="n">
        <v>0.61</v>
      </c>
      <c r="W1645" s="0" t="n">
        <v>0.48</v>
      </c>
      <c r="X1645" s="0" t="n">
        <v>11.5</v>
      </c>
      <c r="Y1645" s="0" t="n">
        <v>335.5</v>
      </c>
      <c r="Z1645" s="0" t="n">
        <v>9.33</v>
      </c>
      <c r="AA1645" s="0" t="n">
        <v>-0.96</v>
      </c>
      <c r="AB1645" s="0" t="n">
        <v>0.57</v>
      </c>
      <c r="AC1645" s="22" t="b">
        <f aca="false">FALSE()</f>
        <v>0</v>
      </c>
      <c r="AD1645" s="0" t="n">
        <v>18.67</v>
      </c>
      <c r="AE1645" s="0" t="n">
        <v>6.33</v>
      </c>
      <c r="AF1645" s="0" t="n">
        <v>14.79</v>
      </c>
      <c r="AG1645" s="22" t="b">
        <f aca="false">TRUE()</f>
        <v>1</v>
      </c>
      <c r="AH1645" s="0" t="n">
        <v>1</v>
      </c>
    </row>
    <row r="1646" customFormat="false" ht="15" hidden="false" customHeight="false" outlineLevel="0" collapsed="false">
      <c r="A1646" s="0" t="s">
        <v>2488</v>
      </c>
      <c r="B1646" s="0" t="s">
        <v>134</v>
      </c>
      <c r="C1646" s="0" t="s">
        <v>3450</v>
      </c>
      <c r="D1646" s="0" t="s">
        <v>3457</v>
      </c>
      <c r="E1646" s="19" t="s">
        <v>26</v>
      </c>
      <c r="F1646" s="19" t="s">
        <v>32</v>
      </c>
      <c r="G1646" s="21" t="s">
        <v>1076</v>
      </c>
      <c r="H1646" s="21" t="s">
        <v>24</v>
      </c>
      <c r="I1646" s="21" t="s">
        <v>26</v>
      </c>
      <c r="J1646" s="21" t="s">
        <v>24</v>
      </c>
      <c r="K1646" s="21" t="s">
        <v>25</v>
      </c>
      <c r="L1646" s="21" t="s">
        <v>24</v>
      </c>
      <c r="M1646" s="0" t="n">
        <v>184</v>
      </c>
      <c r="N1646" s="0" t="n">
        <v>9</v>
      </c>
      <c r="O1646" s="21" t="s">
        <v>4038</v>
      </c>
      <c r="P1646" s="21" t="s">
        <v>4785</v>
      </c>
      <c r="Q1646" s="0" t="n">
        <v>1</v>
      </c>
      <c r="R1646" s="21" t="s">
        <v>69</v>
      </c>
      <c r="S1646" s="0" t="n">
        <v>9</v>
      </c>
      <c r="T1646" s="21" t="s">
        <v>4038</v>
      </c>
      <c r="U1646" s="22" t="b">
        <f aca="false">FALSE()</f>
        <v>0</v>
      </c>
      <c r="V1646" s="0" t="n">
        <v>0.8</v>
      </c>
      <c r="W1646" s="0" t="n">
        <v>0.84</v>
      </c>
      <c r="X1646" s="0" t="n">
        <v>7.85</v>
      </c>
      <c r="Y1646" s="0" t="n">
        <v>316.1</v>
      </c>
      <c r="Z1646" s="0" t="n">
        <v>8</v>
      </c>
      <c r="AA1646" s="0" t="n">
        <v>-1.22</v>
      </c>
      <c r="AB1646" s="0" t="n">
        <v>6.29</v>
      </c>
      <c r="AC1646" s="22" t="b">
        <f aca="false">FALSE()</f>
        <v>0</v>
      </c>
      <c r="AD1646" s="0" t="n">
        <v>8.2</v>
      </c>
      <c r="AE1646" s="0" t="n">
        <v>4.22</v>
      </c>
      <c r="AF1646" s="0" t="n">
        <v>11.5</v>
      </c>
      <c r="AG1646" s="22" t="b">
        <f aca="false">FALSE()</f>
        <v>0</v>
      </c>
      <c r="AH1646" s="0" t="n">
        <v>1</v>
      </c>
    </row>
    <row r="1647" customFormat="false" ht="15" hidden="false" customHeight="false" outlineLevel="0" collapsed="false">
      <c r="A1647" s="0" t="s">
        <v>2488</v>
      </c>
      <c r="B1647" s="0" t="s">
        <v>134</v>
      </c>
      <c r="C1647" s="0" t="s">
        <v>3450</v>
      </c>
      <c r="D1647" s="0" t="s">
        <v>3448</v>
      </c>
      <c r="E1647" s="19" t="s">
        <v>26</v>
      </c>
      <c r="F1647" s="19" t="s">
        <v>32</v>
      </c>
      <c r="G1647" s="21" t="s">
        <v>529</v>
      </c>
      <c r="H1647" s="21" t="s">
        <v>24</v>
      </c>
      <c r="I1647" s="21" t="s">
        <v>26</v>
      </c>
      <c r="J1647" s="21" t="s">
        <v>24</v>
      </c>
      <c r="K1647" s="21" t="s">
        <v>24</v>
      </c>
      <c r="L1647" s="21" t="s">
        <v>24</v>
      </c>
      <c r="M1647" s="0" t="n">
        <v>186</v>
      </c>
      <c r="N1647" s="0" t="n">
        <v>9</v>
      </c>
      <c r="O1647" s="21" t="s">
        <v>4030</v>
      </c>
      <c r="P1647" s="21" t="s">
        <v>4287</v>
      </c>
      <c r="Q1647" s="0" t="n">
        <v>1</v>
      </c>
      <c r="R1647" s="21" t="s">
        <v>69</v>
      </c>
      <c r="S1647" s="0" t="n">
        <v>9</v>
      </c>
      <c r="T1647" s="21" t="s">
        <v>4030</v>
      </c>
      <c r="U1647" s="22" t="b">
        <f aca="false">FALSE()</f>
        <v>0</v>
      </c>
      <c r="V1647" s="0" t="n">
        <v>0.78</v>
      </c>
      <c r="W1647" s="0" t="n">
        <v>0.32</v>
      </c>
      <c r="X1647" s="0" t="n">
        <v>8.08</v>
      </c>
      <c r="Y1647" s="0" t="n">
        <v>409.82</v>
      </c>
      <c r="Z1647" s="0" t="n">
        <v>11</v>
      </c>
      <c r="AA1647" s="0" t="n">
        <v>4.09</v>
      </c>
      <c r="AB1647" s="0" t="n">
        <v>3.89</v>
      </c>
      <c r="AC1647" s="22" t="b">
        <f aca="false">FALSE()</f>
        <v>0</v>
      </c>
      <c r="AD1647" s="0" t="n">
        <v>16.2</v>
      </c>
      <c r="AE1647" s="0" t="n">
        <v>6.13</v>
      </c>
      <c r="AF1647" s="0" t="n">
        <v>14.59</v>
      </c>
      <c r="AG1647" s="22" t="b">
        <f aca="false">TRUE()</f>
        <v>1</v>
      </c>
      <c r="AH1647" s="0" t="n">
        <v>1</v>
      </c>
    </row>
    <row r="1648" customFormat="false" ht="15" hidden="false" customHeight="false" outlineLevel="0" collapsed="false">
      <c r="A1648" s="0" t="s">
        <v>2488</v>
      </c>
      <c r="B1648" s="0" t="s">
        <v>134</v>
      </c>
      <c r="C1648" s="0" t="s">
        <v>3447</v>
      </c>
      <c r="D1648" s="0" t="s">
        <v>3457</v>
      </c>
      <c r="E1648" s="19" t="s">
        <v>26</v>
      </c>
      <c r="F1648" s="19" t="s">
        <v>32</v>
      </c>
      <c r="G1648" s="21" t="s">
        <v>60</v>
      </c>
      <c r="H1648" s="21" t="s">
        <v>24</v>
      </c>
      <c r="I1648" s="21" t="s">
        <v>26</v>
      </c>
      <c r="J1648" s="21" t="s">
        <v>24</v>
      </c>
      <c r="K1648" s="21" t="s">
        <v>24</v>
      </c>
      <c r="L1648" s="21" t="s">
        <v>24</v>
      </c>
      <c r="M1648" s="0" t="n">
        <v>185</v>
      </c>
      <c r="N1648" s="0" t="n">
        <v>7</v>
      </c>
      <c r="O1648" s="21" t="s">
        <v>3872</v>
      </c>
      <c r="P1648" s="21" t="s">
        <v>4786</v>
      </c>
      <c r="Q1648" s="0" t="n">
        <v>0</v>
      </c>
      <c r="S1648" s="0" t="n">
        <v>4</v>
      </c>
      <c r="T1648" s="21" t="s">
        <v>4787</v>
      </c>
      <c r="U1648" s="22" t="b">
        <f aca="false">FALSE()</f>
        <v>0</v>
      </c>
      <c r="V1648" s="0" t="n">
        <v>0.86</v>
      </c>
      <c r="W1648" s="0" t="n">
        <v>0.44</v>
      </c>
      <c r="X1648" s="0" t="n">
        <v>12.31</v>
      </c>
      <c r="Y1648" s="0" t="n">
        <v>333.75</v>
      </c>
      <c r="Z1648" s="0" t="n">
        <v>9.33</v>
      </c>
      <c r="AA1648" s="0" t="n">
        <v>-2.95</v>
      </c>
      <c r="AB1648" s="0" t="n">
        <v>6.29</v>
      </c>
      <c r="AC1648" s="22" t="b">
        <f aca="false">FALSE()</f>
        <v>0</v>
      </c>
      <c r="AD1648" s="0" t="n">
        <v>13.8</v>
      </c>
      <c r="AE1648" s="0" t="n">
        <v>6.34</v>
      </c>
      <c r="AF1648" s="0" t="n">
        <v>14.28</v>
      </c>
      <c r="AG1648" s="22" t="b">
        <f aca="false">TRUE()</f>
        <v>1</v>
      </c>
      <c r="AH1648" s="0" t="n">
        <v>1</v>
      </c>
    </row>
    <row r="1649" customFormat="false" ht="15" hidden="false" customHeight="false" outlineLevel="0" collapsed="false">
      <c r="A1649" s="0" t="s">
        <v>2488</v>
      </c>
      <c r="B1649" s="0" t="s">
        <v>134</v>
      </c>
      <c r="C1649" s="0" t="s">
        <v>3447</v>
      </c>
      <c r="D1649" s="0" t="s">
        <v>3448</v>
      </c>
      <c r="E1649" s="20" t="s">
        <v>25</v>
      </c>
      <c r="F1649" s="23" t="s">
        <v>30</v>
      </c>
      <c r="G1649" s="21" t="s">
        <v>992</v>
      </c>
      <c r="H1649" s="21" t="s">
        <v>24</v>
      </c>
      <c r="I1649" s="21" t="s">
        <v>24</v>
      </c>
      <c r="J1649" s="21" t="s">
        <v>24</v>
      </c>
      <c r="K1649" s="21" t="s">
        <v>25</v>
      </c>
      <c r="L1649" s="21" t="s">
        <v>24</v>
      </c>
      <c r="M1649" s="0" t="n">
        <v>185</v>
      </c>
      <c r="N1649" s="0" t="n">
        <v>3</v>
      </c>
      <c r="O1649" s="21" t="s">
        <v>3567</v>
      </c>
      <c r="P1649" s="21" t="s">
        <v>4628</v>
      </c>
      <c r="Q1649" s="0" t="n">
        <v>0</v>
      </c>
      <c r="S1649" s="0" t="n">
        <v>3</v>
      </c>
      <c r="T1649" s="21" t="s">
        <v>3567</v>
      </c>
      <c r="U1649" s="22" t="b">
        <f aca="false">TRUE()</f>
        <v>1</v>
      </c>
      <c r="V1649" s="0" t="n">
        <v>0.84</v>
      </c>
      <c r="W1649" s="0" t="n">
        <v>0.8</v>
      </c>
      <c r="X1649" s="0" t="n">
        <v>8.44</v>
      </c>
      <c r="Y1649" s="0" t="n">
        <v>323.99</v>
      </c>
      <c r="Z1649" s="0" t="n">
        <v>10.58</v>
      </c>
      <c r="AA1649" s="0" t="n">
        <v>0.7</v>
      </c>
      <c r="AB1649" s="0" t="n">
        <v>3.89</v>
      </c>
      <c r="AC1649" s="22" t="b">
        <f aca="false">FALSE()</f>
        <v>0</v>
      </c>
      <c r="AD1649" s="0" t="n">
        <v>22.46</v>
      </c>
      <c r="AE1649" s="0" t="n">
        <v>10.59</v>
      </c>
      <c r="AF1649" s="0" t="n">
        <v>19.43</v>
      </c>
      <c r="AG1649" s="22" t="b">
        <f aca="false">TRUE()</f>
        <v>1</v>
      </c>
      <c r="AH1649" s="0" t="n">
        <v>1</v>
      </c>
    </row>
    <row r="1650" customFormat="false" ht="15" hidden="false" customHeight="false" outlineLevel="0" collapsed="false">
      <c r="A1650" s="0" t="s">
        <v>2494</v>
      </c>
      <c r="B1650" s="0" t="s">
        <v>134</v>
      </c>
      <c r="C1650" s="0" t="s">
        <v>3450</v>
      </c>
      <c r="D1650" s="0" t="s">
        <v>3457</v>
      </c>
      <c r="E1650" s="20" t="s">
        <v>25</v>
      </c>
      <c r="F1650" s="23" t="s">
        <v>30</v>
      </c>
      <c r="G1650" s="21" t="s">
        <v>1099</v>
      </c>
      <c r="H1650" s="21" t="s">
        <v>24</v>
      </c>
      <c r="I1650" s="21" t="s">
        <v>25</v>
      </c>
      <c r="J1650" s="21" t="s">
        <v>24</v>
      </c>
      <c r="K1650" s="21" t="s">
        <v>25</v>
      </c>
      <c r="L1650" s="21" t="s">
        <v>24</v>
      </c>
      <c r="M1650" s="0" t="n">
        <v>192</v>
      </c>
      <c r="N1650" s="0" t="n">
        <v>3</v>
      </c>
      <c r="O1650" s="21" t="s">
        <v>3649</v>
      </c>
      <c r="P1650" s="21" t="s">
        <v>4242</v>
      </c>
      <c r="Q1650" s="0" t="n">
        <v>1</v>
      </c>
      <c r="R1650" s="21" t="s">
        <v>69</v>
      </c>
      <c r="S1650" s="0" t="n">
        <v>3</v>
      </c>
      <c r="T1650" s="21" t="s">
        <v>3649</v>
      </c>
      <c r="U1650" s="22" t="b">
        <f aca="false">TRUE()</f>
        <v>1</v>
      </c>
      <c r="V1650" s="0" t="n">
        <v>0.77</v>
      </c>
      <c r="W1650" s="0" t="n">
        <v>0.24</v>
      </c>
      <c r="X1650" s="0" t="n">
        <v>7</v>
      </c>
      <c r="Y1650" s="0" t="n">
        <v>464.01</v>
      </c>
      <c r="Z1650" s="0" t="n">
        <v>10.75</v>
      </c>
      <c r="AA1650" s="0" t="n">
        <v>3.32</v>
      </c>
      <c r="AB1650" s="0" t="n">
        <v>1.46</v>
      </c>
      <c r="AC1650" s="22" t="b">
        <f aca="false">FALSE()</f>
        <v>0</v>
      </c>
      <c r="AD1650" s="0" t="n">
        <v>10.48</v>
      </c>
      <c r="AE1650" s="0" t="n">
        <v>0.72</v>
      </c>
      <c r="AF1650" s="0" t="n">
        <v>8.82</v>
      </c>
      <c r="AG1650" s="22" t="b">
        <f aca="false">TRUE()</f>
        <v>1</v>
      </c>
      <c r="AH1650" s="0" t="n">
        <v>1</v>
      </c>
    </row>
    <row r="1651" customFormat="false" ht="15" hidden="false" customHeight="false" outlineLevel="0" collapsed="false">
      <c r="A1651" s="0" t="s">
        <v>2494</v>
      </c>
      <c r="B1651" s="0" t="s">
        <v>134</v>
      </c>
      <c r="C1651" s="0" t="s">
        <v>3450</v>
      </c>
      <c r="D1651" s="0" t="s">
        <v>3448</v>
      </c>
      <c r="E1651" s="20" t="s">
        <v>25</v>
      </c>
      <c r="F1651" s="20" t="s">
        <v>29</v>
      </c>
      <c r="G1651" s="21" t="s">
        <v>61</v>
      </c>
      <c r="H1651" s="21" t="s">
        <v>24</v>
      </c>
      <c r="I1651" s="21" t="s">
        <v>24</v>
      </c>
      <c r="J1651" s="21" t="s">
        <v>24</v>
      </c>
      <c r="K1651" s="21" t="s">
        <v>25</v>
      </c>
      <c r="L1651" s="21" t="s">
        <v>24</v>
      </c>
      <c r="M1651" s="0" t="n">
        <v>181</v>
      </c>
      <c r="N1651" s="0" t="n">
        <v>0</v>
      </c>
      <c r="Q1651" s="0" t="n">
        <v>0</v>
      </c>
      <c r="S1651" s="0" t="n">
        <v>0</v>
      </c>
      <c r="U1651" s="22" t="b">
        <f aca="false">FALSE()</f>
        <v>0</v>
      </c>
      <c r="V1651" s="0" t="n">
        <v>0.78</v>
      </c>
      <c r="W1651" s="0" t="n">
        <v>0.16</v>
      </c>
      <c r="X1651" s="0" t="n">
        <v>8.81</v>
      </c>
      <c r="Y1651" s="0" t="n">
        <v>472.82</v>
      </c>
      <c r="Z1651" s="0" t="n">
        <v>9.08</v>
      </c>
      <c r="AA1651" s="0" t="n">
        <v>5.23</v>
      </c>
      <c r="AB1651" s="0" t="n">
        <v>1.51</v>
      </c>
      <c r="AC1651" s="22" t="b">
        <f aca="false">FALSE()</f>
        <v>0</v>
      </c>
      <c r="AD1651" s="0" t="n">
        <v>29.32</v>
      </c>
      <c r="AE1651" s="0" t="n">
        <v>3.99</v>
      </c>
      <c r="AF1651" s="0" t="n">
        <v>29.33</v>
      </c>
      <c r="AG1651" s="22" t="b">
        <f aca="false">TRUE()</f>
        <v>1</v>
      </c>
      <c r="AH1651" s="0" t="n">
        <v>1</v>
      </c>
    </row>
    <row r="1652" customFormat="false" ht="15" hidden="false" customHeight="false" outlineLevel="0" collapsed="false">
      <c r="A1652" s="0" t="s">
        <v>2494</v>
      </c>
      <c r="B1652" s="0" t="s">
        <v>134</v>
      </c>
      <c r="C1652" s="0" t="s">
        <v>3447</v>
      </c>
      <c r="D1652" s="0" t="s">
        <v>3457</v>
      </c>
      <c r="E1652" s="20" t="s">
        <v>25</v>
      </c>
      <c r="F1652" s="23" t="s">
        <v>30</v>
      </c>
      <c r="G1652" s="21" t="s">
        <v>2133</v>
      </c>
      <c r="H1652" s="21" t="s">
        <v>24</v>
      </c>
      <c r="I1652" s="21" t="s">
        <v>24</v>
      </c>
      <c r="J1652" s="21" t="s">
        <v>24</v>
      </c>
      <c r="K1652" s="21" t="s">
        <v>25</v>
      </c>
      <c r="L1652" s="21" t="s">
        <v>24</v>
      </c>
      <c r="M1652" s="0" t="n">
        <v>184</v>
      </c>
      <c r="N1652" s="0" t="n">
        <v>5</v>
      </c>
      <c r="O1652" s="21" t="s">
        <v>3679</v>
      </c>
      <c r="P1652" s="21" t="s">
        <v>4274</v>
      </c>
      <c r="Q1652" s="0" t="n">
        <v>0</v>
      </c>
      <c r="S1652" s="0" t="n">
        <v>5</v>
      </c>
      <c r="T1652" s="21" t="s">
        <v>3679</v>
      </c>
      <c r="U1652" s="22" t="b">
        <f aca="false">TRUE()</f>
        <v>1</v>
      </c>
      <c r="V1652" s="0" t="n">
        <v>0.79</v>
      </c>
      <c r="W1652" s="0" t="n">
        <v>0.16</v>
      </c>
      <c r="X1652" s="0" t="n">
        <v>7.93</v>
      </c>
      <c r="Y1652" s="0" t="n">
        <v>560.54</v>
      </c>
      <c r="Z1652" s="0" t="n">
        <v>9.08</v>
      </c>
      <c r="AA1652" s="0" t="n">
        <v>0.44</v>
      </c>
      <c r="AB1652" s="0" t="n">
        <v>1.46</v>
      </c>
      <c r="AC1652" s="22" t="b">
        <f aca="false">FALSE()</f>
        <v>0</v>
      </c>
      <c r="AD1652" s="0" t="n">
        <v>11.81</v>
      </c>
      <c r="AE1652" s="0" t="n">
        <v>0.46</v>
      </c>
      <c r="AF1652" s="0" t="n">
        <v>9.44</v>
      </c>
      <c r="AG1652" s="22" t="b">
        <f aca="false">TRUE()</f>
        <v>1</v>
      </c>
      <c r="AH1652" s="0" t="n">
        <v>1</v>
      </c>
    </row>
    <row r="1653" customFormat="false" ht="15" hidden="false" customHeight="false" outlineLevel="0" collapsed="false">
      <c r="A1653" s="0" t="s">
        <v>2494</v>
      </c>
      <c r="B1653" s="0" t="s">
        <v>134</v>
      </c>
      <c r="C1653" s="0" t="s">
        <v>3447</v>
      </c>
      <c r="D1653" s="0" t="s">
        <v>3448</v>
      </c>
      <c r="E1653" s="20" t="s">
        <v>25</v>
      </c>
      <c r="F1653" s="23" t="s">
        <v>30</v>
      </c>
      <c r="G1653" s="21" t="s">
        <v>992</v>
      </c>
      <c r="H1653" s="21" t="s">
        <v>24</v>
      </c>
      <c r="I1653" s="21" t="s">
        <v>24</v>
      </c>
      <c r="J1653" s="21" t="s">
        <v>24</v>
      </c>
      <c r="K1653" s="21" t="s">
        <v>25</v>
      </c>
      <c r="L1653" s="21" t="s">
        <v>24</v>
      </c>
      <c r="M1653" s="0" t="n">
        <v>183</v>
      </c>
      <c r="N1653" s="0" t="n">
        <v>4</v>
      </c>
      <c r="O1653" s="21" t="s">
        <v>3650</v>
      </c>
      <c r="P1653" s="21" t="s">
        <v>4788</v>
      </c>
      <c r="Q1653" s="0" t="n">
        <v>0</v>
      </c>
      <c r="S1653" s="0" t="n">
        <v>4</v>
      </c>
      <c r="T1653" s="21" t="s">
        <v>3650</v>
      </c>
      <c r="U1653" s="22" t="b">
        <f aca="false">TRUE()</f>
        <v>1</v>
      </c>
      <c r="V1653" s="0" t="n">
        <v>0.81</v>
      </c>
      <c r="W1653" s="0" t="n">
        <v>0.84</v>
      </c>
      <c r="X1653" s="0" t="n">
        <v>11.12</v>
      </c>
      <c r="Y1653" s="0" t="n">
        <v>277.24</v>
      </c>
      <c r="Z1653" s="0" t="n">
        <v>9</v>
      </c>
      <c r="AA1653" s="0" t="n">
        <v>2.63</v>
      </c>
      <c r="AB1653" s="0" t="n">
        <v>1.51</v>
      </c>
      <c r="AC1653" s="22" t="b">
        <f aca="false">FALSE()</f>
        <v>0</v>
      </c>
      <c r="AD1653" s="0" t="n">
        <v>26.14</v>
      </c>
      <c r="AE1653" s="0" t="n">
        <v>2.14</v>
      </c>
      <c r="AF1653" s="0" t="n">
        <v>24.68</v>
      </c>
      <c r="AG1653" s="22" t="b">
        <f aca="false">TRUE()</f>
        <v>1</v>
      </c>
      <c r="AH1653" s="0" t="n">
        <v>1</v>
      </c>
    </row>
    <row r="1654" customFormat="false" ht="15" hidden="false" customHeight="false" outlineLevel="0" collapsed="false">
      <c r="A1654" s="0" t="s">
        <v>2500</v>
      </c>
      <c r="B1654" s="0" t="s">
        <v>134</v>
      </c>
      <c r="C1654" s="0" t="s">
        <v>3450</v>
      </c>
      <c r="D1654" s="0" t="s">
        <v>3457</v>
      </c>
      <c r="E1654" s="20" t="s">
        <v>25</v>
      </c>
      <c r="F1654" s="23" t="s">
        <v>30</v>
      </c>
      <c r="G1654" s="21" t="s">
        <v>283</v>
      </c>
      <c r="H1654" s="21" t="s">
        <v>24</v>
      </c>
      <c r="I1654" s="21" t="s">
        <v>25</v>
      </c>
      <c r="J1654" s="21" t="s">
        <v>24</v>
      </c>
      <c r="K1654" s="21" t="s">
        <v>24</v>
      </c>
      <c r="L1654" s="21" t="s">
        <v>24</v>
      </c>
      <c r="M1654" s="0" t="n">
        <v>185</v>
      </c>
      <c r="N1654" s="0" t="n">
        <v>5</v>
      </c>
      <c r="O1654" s="21" t="s">
        <v>3802</v>
      </c>
      <c r="P1654" s="21" t="s">
        <v>4629</v>
      </c>
      <c r="Q1654" s="0" t="n">
        <v>1</v>
      </c>
      <c r="R1654" s="21" t="s">
        <v>69</v>
      </c>
      <c r="S1654" s="0" t="n">
        <v>5</v>
      </c>
      <c r="T1654" s="21" t="s">
        <v>3802</v>
      </c>
      <c r="U1654" s="22" t="b">
        <f aca="false">TRUE()</f>
        <v>1</v>
      </c>
      <c r="V1654" s="0" t="n">
        <v>0.69</v>
      </c>
      <c r="W1654" s="0" t="n">
        <v>0.84</v>
      </c>
      <c r="X1654" s="0" t="n">
        <v>10.36</v>
      </c>
      <c r="Y1654" s="0" t="n">
        <v>312.81</v>
      </c>
      <c r="Z1654" s="0" t="n">
        <v>9.25</v>
      </c>
      <c r="AA1654" s="0" t="n">
        <v>9.53</v>
      </c>
      <c r="AB1654" s="0" t="n">
        <v>2.28</v>
      </c>
      <c r="AC1654" s="22" t="b">
        <f aca="false">FALSE()</f>
        <v>0</v>
      </c>
      <c r="AD1654" s="0" t="n">
        <v>19.41</v>
      </c>
      <c r="AE1654" s="0" t="n">
        <v>9.2</v>
      </c>
      <c r="AF1654" s="0" t="n">
        <v>18.98</v>
      </c>
      <c r="AG1654" s="22" t="b">
        <f aca="false">TRUE()</f>
        <v>1</v>
      </c>
      <c r="AH1654" s="0" t="n">
        <v>1</v>
      </c>
    </row>
    <row r="1655" customFormat="false" ht="15" hidden="false" customHeight="false" outlineLevel="0" collapsed="false">
      <c r="A1655" s="0" t="s">
        <v>2500</v>
      </c>
      <c r="B1655" s="0" t="s">
        <v>134</v>
      </c>
      <c r="C1655" s="0" t="s">
        <v>3450</v>
      </c>
      <c r="D1655" s="0" t="s">
        <v>3448</v>
      </c>
      <c r="E1655" s="20" t="s">
        <v>25</v>
      </c>
      <c r="F1655" s="23" t="s">
        <v>30</v>
      </c>
      <c r="G1655" s="21" t="s">
        <v>283</v>
      </c>
      <c r="H1655" s="21" t="s">
        <v>24</v>
      </c>
      <c r="I1655" s="21" t="s">
        <v>25</v>
      </c>
      <c r="J1655" s="21" t="s">
        <v>24</v>
      </c>
      <c r="K1655" s="21" t="s">
        <v>24</v>
      </c>
      <c r="L1655" s="21" t="s">
        <v>24</v>
      </c>
      <c r="M1655" s="0" t="n">
        <v>184</v>
      </c>
      <c r="N1655" s="0" t="n">
        <v>3</v>
      </c>
      <c r="O1655" s="21" t="s">
        <v>3649</v>
      </c>
      <c r="P1655" s="21" t="s">
        <v>4242</v>
      </c>
      <c r="Q1655" s="0" t="n">
        <v>1</v>
      </c>
      <c r="R1655" s="21" t="s">
        <v>69</v>
      </c>
      <c r="S1655" s="0" t="n">
        <v>3</v>
      </c>
      <c r="T1655" s="21" t="s">
        <v>3649</v>
      </c>
      <c r="U1655" s="22" t="b">
        <f aca="false">TRUE()</f>
        <v>1</v>
      </c>
      <c r="V1655" s="0" t="n">
        <v>0.76</v>
      </c>
      <c r="W1655" s="0" t="n">
        <v>0.52</v>
      </c>
      <c r="X1655" s="0" t="n">
        <v>11.86</v>
      </c>
      <c r="Y1655" s="0" t="n">
        <v>328.96</v>
      </c>
      <c r="Z1655" s="0" t="n">
        <v>8.25</v>
      </c>
      <c r="AA1655" s="0" t="n">
        <v>6.77</v>
      </c>
      <c r="AB1655" s="0" t="n">
        <v>2.71</v>
      </c>
      <c r="AC1655" s="22" t="b">
        <f aca="false">FALSE()</f>
        <v>0</v>
      </c>
      <c r="AD1655" s="0" t="n">
        <v>19.51</v>
      </c>
      <c r="AE1655" s="0" t="n">
        <v>8.12</v>
      </c>
      <c r="AF1655" s="0" t="n">
        <v>17.84</v>
      </c>
      <c r="AG1655" s="22" t="b">
        <f aca="false">TRUE()</f>
        <v>1</v>
      </c>
      <c r="AH1655" s="0" t="n">
        <v>1</v>
      </c>
    </row>
    <row r="1656" customFormat="false" ht="15" hidden="false" customHeight="false" outlineLevel="0" collapsed="false">
      <c r="A1656" s="0" t="s">
        <v>2500</v>
      </c>
      <c r="B1656" s="0" t="s">
        <v>134</v>
      </c>
      <c r="C1656" s="0" t="s">
        <v>3447</v>
      </c>
      <c r="D1656" s="0" t="s">
        <v>3457</v>
      </c>
      <c r="E1656" s="20" t="s">
        <v>25</v>
      </c>
      <c r="F1656" s="23" t="s">
        <v>30</v>
      </c>
      <c r="G1656" s="21" t="s">
        <v>183</v>
      </c>
      <c r="H1656" s="21" t="s">
        <v>24</v>
      </c>
      <c r="I1656" s="21" t="s">
        <v>25</v>
      </c>
      <c r="J1656" s="21" t="s">
        <v>24</v>
      </c>
      <c r="K1656" s="21" t="s">
        <v>25</v>
      </c>
      <c r="L1656" s="21" t="s">
        <v>24</v>
      </c>
      <c r="M1656" s="0" t="n">
        <v>186</v>
      </c>
      <c r="N1656" s="0" t="n">
        <v>3</v>
      </c>
      <c r="O1656" s="21" t="s">
        <v>3649</v>
      </c>
      <c r="P1656" s="21" t="s">
        <v>4242</v>
      </c>
      <c r="Q1656" s="0" t="n">
        <v>1</v>
      </c>
      <c r="R1656" s="21" t="s">
        <v>69</v>
      </c>
      <c r="S1656" s="0" t="n">
        <v>3</v>
      </c>
      <c r="T1656" s="21" t="s">
        <v>3649</v>
      </c>
      <c r="U1656" s="22" t="b">
        <f aca="false">TRUE()</f>
        <v>1</v>
      </c>
      <c r="V1656" s="0" t="n">
        <v>0.69</v>
      </c>
      <c r="W1656" s="0" t="n">
        <v>0</v>
      </c>
      <c r="X1656" s="0" t="n">
        <v>8.94</v>
      </c>
      <c r="Y1656" s="0" t="n">
        <v>698.39</v>
      </c>
      <c r="Z1656" s="0" t="n">
        <v>8.75</v>
      </c>
      <c r="AA1656" s="0" t="n">
        <v>6.86</v>
      </c>
      <c r="AB1656" s="0" t="n">
        <v>2.28</v>
      </c>
      <c r="AC1656" s="22" t="b">
        <f aca="false">FALSE()</f>
        <v>0</v>
      </c>
      <c r="AD1656" s="0" t="n">
        <v>26.8</v>
      </c>
      <c r="AE1656" s="0" t="n">
        <v>15.62</v>
      </c>
      <c r="AF1656" s="0" t="n">
        <v>22.93</v>
      </c>
      <c r="AG1656" s="22" t="b">
        <f aca="false">TRUE()</f>
        <v>1</v>
      </c>
      <c r="AH1656" s="0" t="n">
        <v>1</v>
      </c>
    </row>
    <row r="1657" customFormat="false" ht="15" hidden="false" customHeight="false" outlineLevel="0" collapsed="false">
      <c r="A1657" s="0" t="s">
        <v>2500</v>
      </c>
      <c r="B1657" s="0" t="s">
        <v>134</v>
      </c>
      <c r="C1657" s="0" t="s">
        <v>3447</v>
      </c>
      <c r="D1657" s="0" t="s">
        <v>3448</v>
      </c>
      <c r="E1657" s="19" t="s">
        <v>26</v>
      </c>
      <c r="F1657" s="19" t="s">
        <v>32</v>
      </c>
      <c r="G1657" s="21" t="s">
        <v>1926</v>
      </c>
      <c r="H1657" s="21" t="s">
        <v>24</v>
      </c>
      <c r="I1657" s="21" t="s">
        <v>26</v>
      </c>
      <c r="J1657" s="21" t="s">
        <v>24</v>
      </c>
      <c r="K1657" s="21" t="s">
        <v>25</v>
      </c>
      <c r="L1657" s="21" t="s">
        <v>24</v>
      </c>
      <c r="M1657" s="0" t="n">
        <v>186</v>
      </c>
      <c r="N1657" s="0" t="n">
        <v>7</v>
      </c>
      <c r="O1657" s="21" t="s">
        <v>4024</v>
      </c>
      <c r="P1657" s="21" t="s">
        <v>4789</v>
      </c>
      <c r="Q1657" s="0" t="n">
        <v>1</v>
      </c>
      <c r="R1657" s="21" t="s">
        <v>69</v>
      </c>
      <c r="S1657" s="0" t="n">
        <v>7</v>
      </c>
      <c r="T1657" s="21" t="s">
        <v>4024</v>
      </c>
      <c r="U1657" s="22" t="b">
        <f aca="false">FALSE()</f>
        <v>0</v>
      </c>
      <c r="V1657" s="0" t="n">
        <v>0.74</v>
      </c>
      <c r="W1657" s="0" t="n">
        <v>0.4</v>
      </c>
      <c r="X1657" s="0" t="n">
        <v>10.69</v>
      </c>
      <c r="Y1657" s="0" t="n">
        <v>363.12</v>
      </c>
      <c r="Z1657" s="0" t="n">
        <v>8.5</v>
      </c>
      <c r="AA1657" s="0" t="n">
        <v>5.26</v>
      </c>
      <c r="AB1657" s="0" t="n">
        <v>2.71</v>
      </c>
      <c r="AC1657" s="22" t="b">
        <f aca="false">FALSE()</f>
        <v>0</v>
      </c>
      <c r="AD1657" s="0" t="n">
        <v>23.82</v>
      </c>
      <c r="AE1657" s="0" t="n">
        <v>11.37</v>
      </c>
      <c r="AF1657" s="0" t="n">
        <v>19.59</v>
      </c>
      <c r="AG1657" s="22" t="b">
        <f aca="false">TRUE()</f>
        <v>1</v>
      </c>
      <c r="AH1657" s="0" t="n">
        <v>1</v>
      </c>
    </row>
    <row r="1658" customFormat="false" ht="15" hidden="false" customHeight="false" outlineLevel="0" collapsed="false">
      <c r="A1658" s="0" t="s">
        <v>2509</v>
      </c>
      <c r="B1658" s="0" t="s">
        <v>134</v>
      </c>
      <c r="C1658" s="0" t="s">
        <v>3450</v>
      </c>
      <c r="D1658" s="0" t="s">
        <v>3457</v>
      </c>
      <c r="E1658" s="20" t="s">
        <v>25</v>
      </c>
      <c r="F1658" s="23" t="s">
        <v>30</v>
      </c>
      <c r="G1658" s="21" t="s">
        <v>1152</v>
      </c>
      <c r="H1658" s="21" t="s">
        <v>24</v>
      </c>
      <c r="I1658" s="21" t="s">
        <v>25</v>
      </c>
      <c r="J1658" s="21" t="s">
        <v>24</v>
      </c>
      <c r="K1658" s="21" t="s">
        <v>25</v>
      </c>
      <c r="L1658" s="21" t="s">
        <v>24</v>
      </c>
      <c r="M1658" s="0" t="n">
        <v>182</v>
      </c>
      <c r="N1658" s="0" t="n">
        <v>4</v>
      </c>
      <c r="O1658" s="21" t="s">
        <v>3789</v>
      </c>
      <c r="P1658" s="21" t="s">
        <v>4790</v>
      </c>
      <c r="Q1658" s="0" t="n">
        <v>1</v>
      </c>
      <c r="R1658" s="21" t="s">
        <v>69</v>
      </c>
      <c r="S1658" s="0" t="n">
        <v>4</v>
      </c>
      <c r="T1658" s="21" t="s">
        <v>3789</v>
      </c>
      <c r="U1658" s="22" t="b">
        <f aca="false">TRUE()</f>
        <v>1</v>
      </c>
      <c r="V1658" s="0" t="n">
        <v>0.69</v>
      </c>
      <c r="W1658" s="0" t="n">
        <v>0</v>
      </c>
      <c r="X1658" s="0" t="n">
        <v>9.91</v>
      </c>
      <c r="Y1658" s="0" t="n">
        <v>15.33</v>
      </c>
      <c r="Z1658" s="0" t="n">
        <v>9</v>
      </c>
      <c r="AA1658" s="0" t="n">
        <v>9.69</v>
      </c>
      <c r="AB1658" s="0" t="n">
        <v>0.44</v>
      </c>
      <c r="AC1658" s="22" t="b">
        <f aca="false">FALSE()</f>
        <v>0</v>
      </c>
      <c r="AD1658" s="0" t="n">
        <v>18.26</v>
      </c>
      <c r="AE1658" s="0" t="n">
        <v>3.41</v>
      </c>
      <c r="AF1658" s="0" t="n">
        <v>13.92</v>
      </c>
      <c r="AG1658" s="22" t="b">
        <f aca="false">TRUE()</f>
        <v>1</v>
      </c>
      <c r="AH1658" s="0" t="n">
        <v>0</v>
      </c>
    </row>
    <row r="1659" customFormat="false" ht="15" hidden="false" customHeight="false" outlineLevel="0" collapsed="false">
      <c r="A1659" s="0" t="s">
        <v>2509</v>
      </c>
      <c r="B1659" s="0" t="s">
        <v>134</v>
      </c>
      <c r="C1659" s="0" t="s">
        <v>3450</v>
      </c>
      <c r="D1659" s="0" t="s">
        <v>3448</v>
      </c>
      <c r="E1659" s="20" t="s">
        <v>25</v>
      </c>
      <c r="F1659" s="23" t="s">
        <v>30</v>
      </c>
      <c r="G1659" s="21" t="s">
        <v>1099</v>
      </c>
      <c r="H1659" s="21" t="s">
        <v>24</v>
      </c>
      <c r="I1659" s="21" t="s">
        <v>25</v>
      </c>
      <c r="J1659" s="21" t="s">
        <v>24</v>
      </c>
      <c r="K1659" s="21" t="s">
        <v>25</v>
      </c>
      <c r="L1659" s="21" t="s">
        <v>24</v>
      </c>
      <c r="M1659" s="0" t="n">
        <v>183</v>
      </c>
      <c r="N1659" s="0" t="n">
        <v>3</v>
      </c>
      <c r="O1659" s="21" t="s">
        <v>3649</v>
      </c>
      <c r="P1659" s="21" t="s">
        <v>4242</v>
      </c>
      <c r="Q1659" s="0" t="n">
        <v>1</v>
      </c>
      <c r="R1659" s="21" t="s">
        <v>69</v>
      </c>
      <c r="S1659" s="0" t="n">
        <v>3</v>
      </c>
      <c r="T1659" s="21" t="s">
        <v>3649</v>
      </c>
      <c r="U1659" s="22" t="b">
        <f aca="false">TRUE()</f>
        <v>1</v>
      </c>
      <c r="V1659" s="0" t="n">
        <v>0.72</v>
      </c>
      <c r="W1659" s="0" t="n">
        <v>0.28</v>
      </c>
      <c r="X1659" s="0" t="n">
        <v>9.13</v>
      </c>
      <c r="Y1659" s="0" t="n">
        <v>429</v>
      </c>
      <c r="Z1659" s="0" t="n">
        <v>8.25</v>
      </c>
      <c r="AA1659" s="0" t="n">
        <v>8.45</v>
      </c>
      <c r="AB1659" s="0" t="n">
        <v>1.18</v>
      </c>
      <c r="AC1659" s="22" t="b">
        <f aca="false">FALSE()</f>
        <v>0</v>
      </c>
      <c r="AD1659" s="0" t="n">
        <v>19.58</v>
      </c>
      <c r="AE1659" s="0" t="n">
        <v>7.47</v>
      </c>
      <c r="AF1659" s="0" t="n">
        <v>15.89</v>
      </c>
      <c r="AG1659" s="22" t="b">
        <f aca="false">TRUE()</f>
        <v>1</v>
      </c>
      <c r="AH1659" s="0" t="n">
        <v>1</v>
      </c>
    </row>
    <row r="1660" customFormat="false" ht="15" hidden="false" customHeight="false" outlineLevel="0" collapsed="false">
      <c r="A1660" s="0" t="s">
        <v>2509</v>
      </c>
      <c r="B1660" s="0" t="s">
        <v>134</v>
      </c>
      <c r="C1660" s="0" t="s">
        <v>3447</v>
      </c>
      <c r="D1660" s="0" t="s">
        <v>3457</v>
      </c>
      <c r="E1660" s="20" t="s">
        <v>25</v>
      </c>
      <c r="F1660" s="23" t="s">
        <v>30</v>
      </c>
      <c r="G1660" s="21" t="s">
        <v>2610</v>
      </c>
      <c r="H1660" s="21" t="s">
        <v>24</v>
      </c>
      <c r="I1660" s="21" t="s">
        <v>24</v>
      </c>
      <c r="J1660" s="21" t="s">
        <v>24</v>
      </c>
      <c r="K1660" s="21" t="s">
        <v>25</v>
      </c>
      <c r="L1660" s="21" t="s">
        <v>24</v>
      </c>
      <c r="M1660" s="0" t="n">
        <v>188</v>
      </c>
      <c r="N1660" s="0" t="n">
        <v>1</v>
      </c>
      <c r="O1660" s="21" t="s">
        <v>3486</v>
      </c>
      <c r="P1660" s="21" t="s">
        <v>4554</v>
      </c>
      <c r="Q1660" s="0" t="n">
        <v>0</v>
      </c>
      <c r="S1660" s="0" t="n">
        <v>1</v>
      </c>
      <c r="T1660" s="21" t="s">
        <v>3486</v>
      </c>
      <c r="U1660" s="22" t="b">
        <f aca="false">TRUE()</f>
        <v>1</v>
      </c>
      <c r="V1660" s="0" t="n">
        <v>0.76</v>
      </c>
      <c r="W1660" s="0" t="n">
        <v>0.56</v>
      </c>
      <c r="X1660" s="0" t="n">
        <v>10.05</v>
      </c>
      <c r="Y1660" s="0" t="n">
        <v>333.56</v>
      </c>
      <c r="Z1660" s="0" t="n">
        <v>8.25</v>
      </c>
      <c r="AA1660" s="0" t="n">
        <v>0.04</v>
      </c>
      <c r="AB1660" s="0" t="n">
        <v>0.44</v>
      </c>
      <c r="AC1660" s="22" t="b">
        <f aca="false">FALSE()</f>
        <v>0</v>
      </c>
      <c r="AD1660" s="0" t="n">
        <v>15.79</v>
      </c>
      <c r="AE1660" s="0" t="n">
        <v>3.14</v>
      </c>
      <c r="AF1660" s="0" t="n">
        <v>14.19</v>
      </c>
      <c r="AG1660" s="22" t="b">
        <f aca="false">TRUE()</f>
        <v>1</v>
      </c>
      <c r="AH1660" s="0" t="n">
        <v>1</v>
      </c>
    </row>
    <row r="1661" customFormat="false" ht="15" hidden="false" customHeight="false" outlineLevel="0" collapsed="false">
      <c r="A1661" s="0" t="s">
        <v>2509</v>
      </c>
      <c r="B1661" s="0" t="s">
        <v>134</v>
      </c>
      <c r="C1661" s="0" t="s">
        <v>3447</v>
      </c>
      <c r="D1661" s="0" t="s">
        <v>3448</v>
      </c>
      <c r="E1661" s="20" t="s">
        <v>25</v>
      </c>
      <c r="F1661" s="23" t="s">
        <v>30</v>
      </c>
      <c r="G1661" s="21" t="s">
        <v>144</v>
      </c>
      <c r="H1661" s="21" t="s">
        <v>24</v>
      </c>
      <c r="I1661" s="21" t="s">
        <v>24</v>
      </c>
      <c r="J1661" s="21" t="s">
        <v>24</v>
      </c>
      <c r="K1661" s="21" t="s">
        <v>25</v>
      </c>
      <c r="L1661" s="21" t="s">
        <v>24</v>
      </c>
      <c r="M1661" s="0" t="n">
        <v>182</v>
      </c>
      <c r="N1661" s="0" t="n">
        <v>2</v>
      </c>
      <c r="O1661" s="21" t="s">
        <v>3528</v>
      </c>
      <c r="P1661" s="21" t="s">
        <v>4791</v>
      </c>
      <c r="Q1661" s="0" t="n">
        <v>0</v>
      </c>
      <c r="S1661" s="0" t="n">
        <v>2</v>
      </c>
      <c r="T1661" s="21" t="s">
        <v>3528</v>
      </c>
      <c r="U1661" s="22" t="b">
        <f aca="false">TRUE()</f>
        <v>1</v>
      </c>
      <c r="V1661" s="0" t="n">
        <v>0.77</v>
      </c>
      <c r="W1661" s="0" t="n">
        <v>0</v>
      </c>
      <c r="X1661" s="0" t="n">
        <v>10.01</v>
      </c>
      <c r="Y1661" s="0" t="n">
        <v>7.21</v>
      </c>
      <c r="Z1661" s="0" t="n">
        <v>9</v>
      </c>
      <c r="AA1661" s="0" t="n">
        <v>8.53</v>
      </c>
      <c r="AB1661" s="0" t="n">
        <v>1.18</v>
      </c>
      <c r="AC1661" s="22" t="b">
        <f aca="false">FALSE()</f>
        <v>0</v>
      </c>
      <c r="AD1661" s="0" t="n">
        <v>20.76</v>
      </c>
      <c r="AE1661" s="0" t="n">
        <v>5.76</v>
      </c>
      <c r="AF1661" s="0" t="n">
        <v>15.54</v>
      </c>
      <c r="AG1661" s="22" t="b">
        <f aca="false">TRUE()</f>
        <v>1</v>
      </c>
      <c r="AH1661" s="0" t="n">
        <v>0</v>
      </c>
    </row>
    <row r="1662" customFormat="false" ht="15" hidden="false" customHeight="false" outlineLevel="0" collapsed="false">
      <c r="A1662" s="0" t="s">
        <v>2523</v>
      </c>
      <c r="B1662" s="0" t="s">
        <v>134</v>
      </c>
      <c r="C1662" s="0" t="s">
        <v>3450</v>
      </c>
      <c r="D1662" s="0" t="s">
        <v>3457</v>
      </c>
      <c r="E1662" s="20" t="s">
        <v>25</v>
      </c>
      <c r="F1662" s="23" t="s">
        <v>30</v>
      </c>
      <c r="G1662" s="21" t="s">
        <v>283</v>
      </c>
      <c r="H1662" s="21" t="s">
        <v>24</v>
      </c>
      <c r="I1662" s="21" t="s">
        <v>25</v>
      </c>
      <c r="J1662" s="21" t="s">
        <v>24</v>
      </c>
      <c r="K1662" s="21" t="s">
        <v>24</v>
      </c>
      <c r="L1662" s="21" t="s">
        <v>24</v>
      </c>
      <c r="M1662" s="0" t="n">
        <v>208</v>
      </c>
      <c r="N1662" s="0" t="n">
        <v>3</v>
      </c>
      <c r="O1662" s="21" t="s">
        <v>3649</v>
      </c>
      <c r="P1662" s="21" t="s">
        <v>4242</v>
      </c>
      <c r="Q1662" s="0" t="n">
        <v>1</v>
      </c>
      <c r="R1662" s="21" t="s">
        <v>69</v>
      </c>
      <c r="S1662" s="0" t="n">
        <v>3</v>
      </c>
      <c r="T1662" s="21" t="s">
        <v>3649</v>
      </c>
      <c r="U1662" s="22" t="b">
        <f aca="false">TRUE()</f>
        <v>1</v>
      </c>
      <c r="V1662" s="0" t="n">
        <v>0.69</v>
      </c>
      <c r="W1662" s="0" t="n">
        <v>0.76</v>
      </c>
      <c r="X1662" s="0" t="n">
        <v>11.37</v>
      </c>
      <c r="Y1662" s="0" t="n">
        <v>316.54</v>
      </c>
      <c r="Z1662" s="0" t="n">
        <v>10.83</v>
      </c>
      <c r="AA1662" s="0" t="n">
        <v>11.14</v>
      </c>
      <c r="AB1662" s="0" t="n">
        <v>4.84</v>
      </c>
      <c r="AC1662" s="22" t="b">
        <f aca="false">FALSE()</f>
        <v>0</v>
      </c>
      <c r="AD1662" s="0" t="n">
        <v>16.85</v>
      </c>
      <c r="AE1662" s="0" t="n">
        <v>0.93</v>
      </c>
      <c r="AF1662" s="0" t="n">
        <v>5.07</v>
      </c>
      <c r="AG1662" s="22" t="b">
        <f aca="false">TRUE()</f>
        <v>1</v>
      </c>
      <c r="AH1662" s="0" t="n">
        <v>1</v>
      </c>
    </row>
    <row r="1663" customFormat="false" ht="15" hidden="false" customHeight="false" outlineLevel="0" collapsed="false">
      <c r="A1663" s="0" t="s">
        <v>2523</v>
      </c>
      <c r="B1663" s="0" t="s">
        <v>134</v>
      </c>
      <c r="C1663" s="0" t="s">
        <v>3450</v>
      </c>
      <c r="D1663" s="0" t="s">
        <v>3448</v>
      </c>
      <c r="E1663" s="20" t="s">
        <v>25</v>
      </c>
      <c r="F1663" s="23" t="s">
        <v>30</v>
      </c>
      <c r="G1663" s="21" t="s">
        <v>163</v>
      </c>
      <c r="H1663" s="21" t="s">
        <v>24</v>
      </c>
      <c r="I1663" s="21" t="s">
        <v>25</v>
      </c>
      <c r="J1663" s="21" t="s">
        <v>24</v>
      </c>
      <c r="K1663" s="21" t="s">
        <v>25</v>
      </c>
      <c r="L1663" s="21" t="s">
        <v>24</v>
      </c>
      <c r="M1663" s="0" t="n">
        <v>217</v>
      </c>
      <c r="N1663" s="0" t="n">
        <v>2</v>
      </c>
      <c r="O1663" s="21" t="s">
        <v>3575</v>
      </c>
      <c r="P1663" s="21" t="s">
        <v>4265</v>
      </c>
      <c r="Q1663" s="0" t="n">
        <v>1</v>
      </c>
      <c r="R1663" s="21" t="s">
        <v>69</v>
      </c>
      <c r="S1663" s="0" t="n">
        <v>2</v>
      </c>
      <c r="T1663" s="21" t="s">
        <v>3575</v>
      </c>
      <c r="U1663" s="22" t="b">
        <f aca="false">TRUE()</f>
        <v>1</v>
      </c>
      <c r="V1663" s="0" t="n">
        <v>0.73</v>
      </c>
      <c r="W1663" s="0" t="n">
        <v>0.84</v>
      </c>
      <c r="X1663" s="0" t="n">
        <v>8.5</v>
      </c>
      <c r="Y1663" s="0" t="n">
        <v>379.03</v>
      </c>
      <c r="Z1663" s="0" t="n">
        <v>11</v>
      </c>
      <c r="AA1663" s="0" t="n">
        <v>7.31</v>
      </c>
      <c r="AB1663" s="0" t="n">
        <v>0.77</v>
      </c>
      <c r="AC1663" s="22" t="b">
        <f aca="false">FALSE()</f>
        <v>0</v>
      </c>
      <c r="AD1663" s="0" t="n">
        <v>20.45</v>
      </c>
      <c r="AE1663" s="0" t="n">
        <v>1.16</v>
      </c>
      <c r="AF1663" s="0" t="n">
        <v>6.21</v>
      </c>
      <c r="AG1663" s="22" t="b">
        <f aca="false">TRUE()</f>
        <v>1</v>
      </c>
      <c r="AH1663" s="0" t="n">
        <v>1</v>
      </c>
    </row>
    <row r="1664" customFormat="false" ht="15" hidden="false" customHeight="false" outlineLevel="0" collapsed="false">
      <c r="A1664" s="0" t="s">
        <v>2523</v>
      </c>
      <c r="B1664" s="0" t="s">
        <v>134</v>
      </c>
      <c r="C1664" s="0" t="s">
        <v>3447</v>
      </c>
      <c r="D1664" s="0" t="s">
        <v>3457</v>
      </c>
      <c r="E1664" s="19" t="s">
        <v>26</v>
      </c>
      <c r="F1664" s="19" t="s">
        <v>32</v>
      </c>
      <c r="G1664" s="21" t="s">
        <v>60</v>
      </c>
      <c r="H1664" s="21" t="s">
        <v>24</v>
      </c>
      <c r="I1664" s="21" t="s">
        <v>26</v>
      </c>
      <c r="J1664" s="21" t="s">
        <v>24</v>
      </c>
      <c r="K1664" s="21" t="s">
        <v>24</v>
      </c>
      <c r="L1664" s="21" t="s">
        <v>24</v>
      </c>
      <c r="M1664" s="0" t="n">
        <v>197</v>
      </c>
      <c r="N1664" s="0" t="n">
        <v>9</v>
      </c>
      <c r="O1664" s="21" t="s">
        <v>3974</v>
      </c>
      <c r="P1664" s="21" t="s">
        <v>4792</v>
      </c>
      <c r="Q1664" s="0" t="n">
        <v>0</v>
      </c>
      <c r="S1664" s="0" t="n">
        <v>9</v>
      </c>
      <c r="T1664" s="21" t="s">
        <v>3974</v>
      </c>
      <c r="U1664" s="22" t="b">
        <f aca="false">FALSE()</f>
        <v>0</v>
      </c>
      <c r="V1664" s="0" t="n">
        <v>0.75</v>
      </c>
      <c r="W1664" s="0" t="n">
        <v>0.68</v>
      </c>
      <c r="X1664" s="0" t="n">
        <v>10.03</v>
      </c>
      <c r="Y1664" s="0" t="n">
        <v>332.2</v>
      </c>
      <c r="Z1664" s="0" t="n">
        <v>10.75</v>
      </c>
      <c r="AA1664" s="0" t="n">
        <v>8.03</v>
      </c>
      <c r="AB1664" s="0" t="n">
        <v>4.84</v>
      </c>
      <c r="AC1664" s="22" t="b">
        <f aca="false">FALSE()</f>
        <v>0</v>
      </c>
      <c r="AD1664" s="0" t="n">
        <v>19.27</v>
      </c>
      <c r="AE1664" s="0" t="n">
        <v>0.28</v>
      </c>
      <c r="AF1664" s="0" t="n">
        <v>5.4</v>
      </c>
      <c r="AG1664" s="22" t="b">
        <f aca="false">TRUE()</f>
        <v>1</v>
      </c>
      <c r="AH1664" s="0" t="n">
        <v>1</v>
      </c>
    </row>
    <row r="1665" customFormat="false" ht="15" hidden="false" customHeight="false" outlineLevel="0" collapsed="false">
      <c r="A1665" s="0" t="s">
        <v>2523</v>
      </c>
      <c r="B1665" s="0" t="s">
        <v>134</v>
      </c>
      <c r="C1665" s="0" t="s">
        <v>3447</v>
      </c>
      <c r="D1665" s="0" t="s">
        <v>3448</v>
      </c>
      <c r="E1665" s="20" t="s">
        <v>25</v>
      </c>
      <c r="F1665" s="20" t="s">
        <v>29</v>
      </c>
      <c r="G1665" s="21" t="s">
        <v>64</v>
      </c>
      <c r="H1665" s="21" t="s">
        <v>24</v>
      </c>
      <c r="I1665" s="21" t="s">
        <v>24</v>
      </c>
      <c r="J1665" s="21" t="s">
        <v>24</v>
      </c>
      <c r="K1665" s="21" t="s">
        <v>25</v>
      </c>
      <c r="L1665" s="21" t="s">
        <v>24</v>
      </c>
      <c r="M1665" s="0" t="n">
        <v>186</v>
      </c>
      <c r="N1665" s="0" t="n">
        <v>0</v>
      </c>
      <c r="Q1665" s="0" t="n">
        <v>0</v>
      </c>
      <c r="S1665" s="0" t="n">
        <v>0</v>
      </c>
      <c r="U1665" s="22" t="b">
        <f aca="false">FALSE()</f>
        <v>0</v>
      </c>
      <c r="V1665" s="0" t="n">
        <v>0.77</v>
      </c>
      <c r="W1665" s="0" t="n">
        <v>0.44</v>
      </c>
      <c r="X1665" s="0" t="n">
        <v>11.77</v>
      </c>
      <c r="Y1665" s="0" t="n">
        <v>348.97</v>
      </c>
      <c r="Z1665" s="0" t="n">
        <v>11.17</v>
      </c>
      <c r="AA1665" s="0" t="n">
        <v>1.13</v>
      </c>
      <c r="AB1665" s="0" t="n">
        <v>0.77</v>
      </c>
      <c r="AC1665" s="22" t="b">
        <f aca="false">FALSE()</f>
        <v>0</v>
      </c>
      <c r="AD1665" s="0" t="n">
        <v>13.44</v>
      </c>
      <c r="AE1665" s="0" t="n">
        <v>0.94</v>
      </c>
      <c r="AF1665" s="0" t="n">
        <v>2.47</v>
      </c>
      <c r="AG1665" s="22" t="b">
        <f aca="false">TRUE()</f>
        <v>1</v>
      </c>
      <c r="AH1665" s="0" t="n">
        <v>1</v>
      </c>
    </row>
    <row r="1666" customFormat="false" ht="15" hidden="false" customHeight="false" outlineLevel="0" collapsed="false">
      <c r="A1666" s="0" t="s">
        <v>2529</v>
      </c>
      <c r="B1666" s="0" t="s">
        <v>134</v>
      </c>
      <c r="C1666" s="0" t="s">
        <v>3450</v>
      </c>
      <c r="D1666" s="0" t="s">
        <v>3457</v>
      </c>
      <c r="E1666" s="18" t="s">
        <v>24</v>
      </c>
      <c r="F1666" s="18" t="s">
        <v>28</v>
      </c>
      <c r="H1666" s="21" t="s">
        <v>24</v>
      </c>
      <c r="I1666" s="21" t="s">
        <v>24</v>
      </c>
      <c r="J1666" s="21" t="s">
        <v>24</v>
      </c>
      <c r="K1666" s="21" t="s">
        <v>24</v>
      </c>
      <c r="L1666" s="21" t="s">
        <v>24</v>
      </c>
      <c r="M1666" s="0" t="n">
        <v>183</v>
      </c>
      <c r="N1666" s="0" t="n">
        <v>0</v>
      </c>
      <c r="Q1666" s="0" t="n">
        <v>0</v>
      </c>
      <c r="S1666" s="0" t="n">
        <v>0</v>
      </c>
      <c r="U1666" s="22" t="b">
        <f aca="false">FALSE()</f>
        <v>0</v>
      </c>
      <c r="V1666" s="0" t="n">
        <v>0.76</v>
      </c>
      <c r="W1666" s="0" t="n">
        <v>0.36</v>
      </c>
      <c r="X1666" s="0" t="n">
        <v>8.33</v>
      </c>
      <c r="Y1666" s="0" t="n">
        <v>350.94</v>
      </c>
      <c r="Z1666" s="0" t="n">
        <v>9.75</v>
      </c>
      <c r="AA1666" s="0" t="n">
        <v>10</v>
      </c>
      <c r="AB1666" s="0" t="n">
        <v>7.15</v>
      </c>
      <c r="AC1666" s="22" t="b">
        <f aca="false">FALSE()</f>
        <v>0</v>
      </c>
      <c r="AD1666" s="0" t="n">
        <v>14.86</v>
      </c>
      <c r="AE1666" s="0" t="n">
        <v>1.27</v>
      </c>
      <c r="AF1666" s="0" t="n">
        <v>4.34</v>
      </c>
      <c r="AG1666" s="22" t="b">
        <f aca="false">TRUE()</f>
        <v>1</v>
      </c>
      <c r="AH1666" s="0" t="n">
        <v>1</v>
      </c>
    </row>
    <row r="1667" customFormat="false" ht="15" hidden="false" customHeight="false" outlineLevel="0" collapsed="false">
      <c r="A1667" s="0" t="s">
        <v>2529</v>
      </c>
      <c r="B1667" s="0" t="s">
        <v>134</v>
      </c>
      <c r="C1667" s="0" t="s">
        <v>3450</v>
      </c>
      <c r="D1667" s="0" t="s">
        <v>3448</v>
      </c>
      <c r="E1667" s="18" t="s">
        <v>24</v>
      </c>
      <c r="F1667" s="18" t="s">
        <v>28</v>
      </c>
      <c r="H1667" s="21" t="s">
        <v>24</v>
      </c>
      <c r="I1667" s="21" t="s">
        <v>24</v>
      </c>
      <c r="J1667" s="21" t="s">
        <v>24</v>
      </c>
      <c r="K1667" s="21" t="s">
        <v>24</v>
      </c>
      <c r="L1667" s="21" t="s">
        <v>24</v>
      </c>
      <c r="M1667" s="0" t="n">
        <v>183</v>
      </c>
      <c r="N1667" s="0" t="n">
        <v>0</v>
      </c>
      <c r="Q1667" s="0" t="n">
        <v>0</v>
      </c>
      <c r="S1667" s="0" t="n">
        <v>0</v>
      </c>
      <c r="U1667" s="22" t="b">
        <f aca="false">FALSE()</f>
        <v>0</v>
      </c>
      <c r="V1667" s="0" t="n">
        <v>0.77</v>
      </c>
      <c r="W1667" s="0" t="n">
        <v>0.36</v>
      </c>
      <c r="X1667" s="0" t="n">
        <v>9.26</v>
      </c>
      <c r="Y1667" s="0" t="n">
        <v>243.65</v>
      </c>
      <c r="Z1667" s="0" t="n">
        <v>9.67</v>
      </c>
      <c r="AA1667" s="0" t="n">
        <v>12.02</v>
      </c>
      <c r="AB1667" s="0" t="n">
        <v>6.25</v>
      </c>
      <c r="AC1667" s="22" t="b">
        <f aca="false">FALSE()</f>
        <v>0</v>
      </c>
      <c r="AD1667" s="0" t="n">
        <v>18.7</v>
      </c>
      <c r="AE1667" s="0" t="n">
        <v>1.25</v>
      </c>
      <c r="AF1667" s="0" t="n">
        <v>28.45</v>
      </c>
      <c r="AG1667" s="22" t="b">
        <f aca="false">TRUE()</f>
        <v>1</v>
      </c>
      <c r="AH1667" s="0" t="n">
        <v>1</v>
      </c>
    </row>
    <row r="1668" customFormat="false" ht="15" hidden="false" customHeight="false" outlineLevel="0" collapsed="false">
      <c r="A1668" s="0" t="s">
        <v>2529</v>
      </c>
      <c r="B1668" s="0" t="s">
        <v>134</v>
      </c>
      <c r="C1668" s="0" t="s">
        <v>3447</v>
      </c>
      <c r="D1668" s="0" t="s">
        <v>3457</v>
      </c>
      <c r="E1668" s="18" t="s">
        <v>24</v>
      </c>
      <c r="F1668" s="18" t="s">
        <v>28</v>
      </c>
      <c r="H1668" s="21" t="s">
        <v>24</v>
      </c>
      <c r="I1668" s="21" t="s">
        <v>24</v>
      </c>
      <c r="J1668" s="21" t="s">
        <v>24</v>
      </c>
      <c r="K1668" s="21" t="s">
        <v>24</v>
      </c>
      <c r="L1668" s="21" t="s">
        <v>24</v>
      </c>
      <c r="M1668" s="0" t="n">
        <v>183</v>
      </c>
      <c r="N1668" s="0" t="n">
        <v>0</v>
      </c>
      <c r="Q1668" s="0" t="n">
        <v>0</v>
      </c>
      <c r="S1668" s="0" t="n">
        <v>0</v>
      </c>
      <c r="U1668" s="22" t="b">
        <f aca="false">FALSE()</f>
        <v>0</v>
      </c>
      <c r="V1668" s="0" t="n">
        <v>0.75</v>
      </c>
      <c r="W1668" s="0" t="n">
        <v>0.96</v>
      </c>
      <c r="X1668" s="0" t="n">
        <v>7.51</v>
      </c>
      <c r="Y1668" s="0" t="n">
        <v>307.36</v>
      </c>
      <c r="Z1668" s="0" t="n">
        <v>10.17</v>
      </c>
      <c r="AA1668" s="0" t="n">
        <v>-0.14</v>
      </c>
      <c r="AB1668" s="0" t="n">
        <v>7.15</v>
      </c>
      <c r="AC1668" s="22" t="b">
        <f aca="false">FALSE()</f>
        <v>0</v>
      </c>
      <c r="AD1668" s="0" t="n">
        <v>15.12</v>
      </c>
      <c r="AE1668" s="0" t="n">
        <v>0.81</v>
      </c>
      <c r="AF1668" s="0" t="n">
        <v>5.24</v>
      </c>
      <c r="AG1668" s="22" t="b">
        <f aca="false">TRUE()</f>
        <v>1</v>
      </c>
      <c r="AH1668" s="0" t="n">
        <v>1</v>
      </c>
    </row>
    <row r="1669" customFormat="false" ht="15" hidden="false" customHeight="false" outlineLevel="0" collapsed="false">
      <c r="A1669" s="0" t="s">
        <v>2529</v>
      </c>
      <c r="B1669" s="0" t="s">
        <v>134</v>
      </c>
      <c r="C1669" s="0" t="s">
        <v>3447</v>
      </c>
      <c r="D1669" s="0" t="s">
        <v>3448</v>
      </c>
      <c r="E1669" s="20" t="s">
        <v>25</v>
      </c>
      <c r="F1669" s="23" t="s">
        <v>30</v>
      </c>
      <c r="G1669" s="21" t="s">
        <v>283</v>
      </c>
      <c r="H1669" s="21" t="s">
        <v>24</v>
      </c>
      <c r="I1669" s="21" t="s">
        <v>25</v>
      </c>
      <c r="J1669" s="21" t="s">
        <v>24</v>
      </c>
      <c r="K1669" s="21" t="s">
        <v>24</v>
      </c>
      <c r="L1669" s="21" t="s">
        <v>24</v>
      </c>
      <c r="M1669" s="0" t="n">
        <v>183</v>
      </c>
      <c r="N1669" s="0" t="n">
        <v>1</v>
      </c>
      <c r="O1669" s="21" t="s">
        <v>69</v>
      </c>
      <c r="P1669" s="21" t="s">
        <v>4275</v>
      </c>
      <c r="Q1669" s="0" t="n">
        <v>1</v>
      </c>
      <c r="R1669" s="21" t="s">
        <v>69</v>
      </c>
      <c r="S1669" s="0" t="n">
        <v>1</v>
      </c>
      <c r="T1669" s="21" t="s">
        <v>69</v>
      </c>
      <c r="U1669" s="22" t="b">
        <f aca="false">TRUE()</f>
        <v>1</v>
      </c>
      <c r="V1669" s="0" t="n">
        <v>0.77</v>
      </c>
      <c r="W1669" s="0" t="n">
        <v>0.56</v>
      </c>
      <c r="X1669" s="0" t="n">
        <v>8.65</v>
      </c>
      <c r="Y1669" s="0" t="n">
        <v>290.18</v>
      </c>
      <c r="Z1669" s="0" t="n">
        <v>10.17</v>
      </c>
      <c r="AA1669" s="0" t="n">
        <v>0.66</v>
      </c>
      <c r="AB1669" s="0" t="n">
        <v>6.25</v>
      </c>
      <c r="AC1669" s="22" t="b">
        <f aca="false">FALSE()</f>
        <v>0</v>
      </c>
      <c r="AD1669" s="0" t="n">
        <v>16.55</v>
      </c>
      <c r="AE1669" s="0" t="n">
        <v>0.56</v>
      </c>
      <c r="AF1669" s="0" t="n">
        <v>25.62</v>
      </c>
      <c r="AG1669" s="22" t="b">
        <f aca="false">TRUE()</f>
        <v>1</v>
      </c>
      <c r="AH1669" s="0" t="n">
        <v>1</v>
      </c>
    </row>
    <row r="1670" customFormat="false" ht="15" hidden="false" customHeight="false" outlineLevel="0" collapsed="false">
      <c r="A1670" s="0" t="s">
        <v>2534</v>
      </c>
      <c r="B1670" s="0" t="s">
        <v>134</v>
      </c>
      <c r="C1670" s="0" t="s">
        <v>3450</v>
      </c>
      <c r="D1670" s="0" t="s">
        <v>3457</v>
      </c>
      <c r="E1670" s="20" t="s">
        <v>25</v>
      </c>
      <c r="F1670" s="23" t="s">
        <v>30</v>
      </c>
      <c r="G1670" s="21" t="s">
        <v>183</v>
      </c>
      <c r="H1670" s="21" t="s">
        <v>24</v>
      </c>
      <c r="I1670" s="21" t="s">
        <v>25</v>
      </c>
      <c r="J1670" s="21" t="s">
        <v>24</v>
      </c>
      <c r="K1670" s="21" t="s">
        <v>25</v>
      </c>
      <c r="L1670" s="21" t="s">
        <v>24</v>
      </c>
      <c r="M1670" s="0" t="n">
        <v>187</v>
      </c>
      <c r="N1670" s="0" t="n">
        <v>1</v>
      </c>
      <c r="O1670" s="21" t="s">
        <v>69</v>
      </c>
      <c r="P1670" s="21" t="s">
        <v>4275</v>
      </c>
      <c r="Q1670" s="0" t="n">
        <v>1</v>
      </c>
      <c r="R1670" s="21" t="s">
        <v>69</v>
      </c>
      <c r="S1670" s="0" t="n">
        <v>1</v>
      </c>
      <c r="T1670" s="21" t="s">
        <v>69</v>
      </c>
      <c r="U1670" s="22" t="b">
        <f aca="false">TRUE()</f>
        <v>1</v>
      </c>
      <c r="V1670" s="0" t="n">
        <v>0.72</v>
      </c>
      <c r="W1670" s="0" t="n">
        <v>0.68</v>
      </c>
      <c r="X1670" s="0" t="n">
        <v>6.36</v>
      </c>
      <c r="Y1670" s="0" t="n">
        <v>315.86</v>
      </c>
      <c r="Z1670" s="0" t="n">
        <v>10</v>
      </c>
      <c r="AA1670" s="0" t="n">
        <v>7.53</v>
      </c>
      <c r="AB1670" s="0" t="n">
        <v>1.75</v>
      </c>
      <c r="AC1670" s="22" t="b">
        <f aca="false">FALSE()</f>
        <v>0</v>
      </c>
      <c r="AD1670" s="0" t="n">
        <v>21.03</v>
      </c>
      <c r="AE1670" s="0" t="n">
        <v>0.31</v>
      </c>
      <c r="AF1670" s="0" t="n">
        <v>17.48</v>
      </c>
      <c r="AG1670" s="22" t="b">
        <f aca="false">TRUE()</f>
        <v>1</v>
      </c>
      <c r="AH1670" s="0" t="n">
        <v>1</v>
      </c>
    </row>
    <row r="1671" customFormat="false" ht="15" hidden="false" customHeight="false" outlineLevel="0" collapsed="false">
      <c r="A1671" s="0" t="s">
        <v>2534</v>
      </c>
      <c r="B1671" s="0" t="s">
        <v>134</v>
      </c>
      <c r="C1671" s="0" t="s">
        <v>3450</v>
      </c>
      <c r="D1671" s="0" t="s">
        <v>3448</v>
      </c>
      <c r="E1671" s="20" t="s">
        <v>25</v>
      </c>
      <c r="F1671" s="23" t="s">
        <v>30</v>
      </c>
      <c r="G1671" s="21" t="s">
        <v>183</v>
      </c>
      <c r="H1671" s="21" t="s">
        <v>24</v>
      </c>
      <c r="I1671" s="21" t="s">
        <v>25</v>
      </c>
      <c r="J1671" s="21" t="s">
        <v>24</v>
      </c>
      <c r="K1671" s="21" t="s">
        <v>25</v>
      </c>
      <c r="L1671" s="21" t="s">
        <v>24</v>
      </c>
      <c r="M1671" s="0" t="n">
        <v>185</v>
      </c>
      <c r="N1671" s="0" t="n">
        <v>1</v>
      </c>
      <c r="O1671" s="21" t="s">
        <v>69</v>
      </c>
      <c r="P1671" s="21" t="s">
        <v>4275</v>
      </c>
      <c r="Q1671" s="0" t="n">
        <v>1</v>
      </c>
      <c r="R1671" s="21" t="s">
        <v>69</v>
      </c>
      <c r="S1671" s="0" t="n">
        <v>1</v>
      </c>
      <c r="T1671" s="21" t="s">
        <v>69</v>
      </c>
      <c r="U1671" s="22" t="b">
        <f aca="false">TRUE()</f>
        <v>1</v>
      </c>
      <c r="V1671" s="0" t="n">
        <v>0.75</v>
      </c>
      <c r="W1671" s="0" t="n">
        <v>0.4</v>
      </c>
      <c r="X1671" s="0" t="n">
        <v>6.89</v>
      </c>
      <c r="Y1671" s="0" t="n">
        <v>364.1</v>
      </c>
      <c r="Z1671" s="0" t="n">
        <v>10.25</v>
      </c>
      <c r="AA1671" s="0" t="n">
        <v>5.78</v>
      </c>
      <c r="AB1671" s="0" t="n">
        <v>1.77</v>
      </c>
      <c r="AC1671" s="22" t="b">
        <f aca="false">FALSE()</f>
        <v>0</v>
      </c>
      <c r="AD1671" s="0" t="n">
        <v>21.49</v>
      </c>
      <c r="AE1671" s="0" t="n">
        <v>1.01</v>
      </c>
      <c r="AF1671" s="0" t="n">
        <v>6.28</v>
      </c>
      <c r="AG1671" s="22" t="b">
        <f aca="false">TRUE()</f>
        <v>1</v>
      </c>
      <c r="AH1671" s="0" t="n">
        <v>1</v>
      </c>
    </row>
    <row r="1672" customFormat="false" ht="15" hidden="false" customHeight="false" outlineLevel="0" collapsed="false">
      <c r="A1672" s="0" t="s">
        <v>2534</v>
      </c>
      <c r="B1672" s="0" t="s">
        <v>134</v>
      </c>
      <c r="C1672" s="0" t="s">
        <v>3447</v>
      </c>
      <c r="D1672" s="0" t="s">
        <v>3457</v>
      </c>
      <c r="E1672" s="19" t="s">
        <v>26</v>
      </c>
      <c r="F1672" s="19" t="s">
        <v>32</v>
      </c>
      <c r="G1672" s="21" t="s">
        <v>60</v>
      </c>
      <c r="H1672" s="21" t="s">
        <v>24</v>
      </c>
      <c r="I1672" s="21" t="s">
        <v>26</v>
      </c>
      <c r="J1672" s="21" t="s">
        <v>24</v>
      </c>
      <c r="K1672" s="21" t="s">
        <v>24</v>
      </c>
      <c r="L1672" s="21" t="s">
        <v>24</v>
      </c>
      <c r="M1672" s="0" t="n">
        <v>187</v>
      </c>
      <c r="N1672" s="0" t="n">
        <v>7</v>
      </c>
      <c r="O1672" s="21" t="s">
        <v>3892</v>
      </c>
      <c r="P1672" s="21" t="s">
        <v>4793</v>
      </c>
      <c r="Q1672" s="0" t="n">
        <v>0</v>
      </c>
      <c r="S1672" s="0" t="n">
        <v>7</v>
      </c>
      <c r="T1672" s="21" t="s">
        <v>3892</v>
      </c>
      <c r="U1672" s="22" t="b">
        <f aca="false">FALSE()</f>
        <v>0</v>
      </c>
      <c r="V1672" s="0" t="n">
        <v>0.78</v>
      </c>
      <c r="W1672" s="0" t="n">
        <v>0.2</v>
      </c>
      <c r="X1672" s="0" t="n">
        <v>6.77</v>
      </c>
      <c r="Y1672" s="0" t="n">
        <v>507.89</v>
      </c>
      <c r="Z1672" s="0" t="n">
        <v>10.67</v>
      </c>
      <c r="AA1672" s="0" t="n">
        <v>2.01</v>
      </c>
      <c r="AB1672" s="0" t="n">
        <v>1.75</v>
      </c>
      <c r="AC1672" s="22" t="b">
        <f aca="false">FALSE()</f>
        <v>0</v>
      </c>
      <c r="AD1672" s="0" t="n">
        <v>18.48</v>
      </c>
      <c r="AE1672" s="0" t="n">
        <v>0.71</v>
      </c>
      <c r="AF1672" s="0" t="n">
        <v>14.44</v>
      </c>
      <c r="AG1672" s="22" t="b">
        <f aca="false">TRUE()</f>
        <v>1</v>
      </c>
      <c r="AH1672" s="0" t="n">
        <v>1</v>
      </c>
    </row>
    <row r="1673" customFormat="false" ht="15" hidden="false" customHeight="false" outlineLevel="0" collapsed="false">
      <c r="A1673" s="0" t="s">
        <v>2534</v>
      </c>
      <c r="B1673" s="0" t="s">
        <v>134</v>
      </c>
      <c r="C1673" s="0" t="s">
        <v>3447</v>
      </c>
      <c r="D1673" s="0" t="s">
        <v>3448</v>
      </c>
      <c r="E1673" s="20" t="s">
        <v>25</v>
      </c>
      <c r="F1673" s="23" t="s">
        <v>30</v>
      </c>
      <c r="G1673" s="21" t="s">
        <v>992</v>
      </c>
      <c r="H1673" s="21" t="s">
        <v>24</v>
      </c>
      <c r="I1673" s="21" t="s">
        <v>24</v>
      </c>
      <c r="J1673" s="21" t="s">
        <v>24</v>
      </c>
      <c r="K1673" s="21" t="s">
        <v>25</v>
      </c>
      <c r="L1673" s="21" t="s">
        <v>24</v>
      </c>
      <c r="M1673" s="0" t="n">
        <v>220</v>
      </c>
      <c r="N1673" s="0" t="n">
        <v>2</v>
      </c>
      <c r="O1673" s="21" t="s">
        <v>3531</v>
      </c>
      <c r="P1673" s="21" t="s">
        <v>4683</v>
      </c>
      <c r="Q1673" s="0" t="n">
        <v>0</v>
      </c>
      <c r="S1673" s="0" t="n">
        <v>2</v>
      </c>
      <c r="T1673" s="21" t="s">
        <v>3531</v>
      </c>
      <c r="U1673" s="22" t="b">
        <f aca="false">TRUE()</f>
        <v>1</v>
      </c>
      <c r="V1673" s="0" t="n">
        <v>0.76</v>
      </c>
      <c r="W1673" s="0" t="n">
        <v>0.16</v>
      </c>
      <c r="X1673" s="0" t="n">
        <v>6.82</v>
      </c>
      <c r="Y1673" s="0" t="n">
        <v>671.57</v>
      </c>
      <c r="Z1673" s="0" t="n">
        <v>8.67</v>
      </c>
      <c r="AA1673" s="0" t="n">
        <v>2.25</v>
      </c>
      <c r="AB1673" s="0" t="n">
        <v>1.77</v>
      </c>
      <c r="AC1673" s="22" t="b">
        <f aca="false">FALSE()</f>
        <v>0</v>
      </c>
      <c r="AD1673" s="0" t="n">
        <v>20.27</v>
      </c>
      <c r="AE1673" s="0" t="n">
        <v>0.8</v>
      </c>
      <c r="AF1673" s="0" t="n">
        <v>5</v>
      </c>
      <c r="AG1673" s="22" t="b">
        <f aca="false">TRUE()</f>
        <v>1</v>
      </c>
      <c r="AH1673" s="0" t="n">
        <v>1</v>
      </c>
    </row>
    <row r="1674" customFormat="false" ht="15" hidden="false" customHeight="false" outlineLevel="0" collapsed="false">
      <c r="A1674" s="0" t="s">
        <v>2534</v>
      </c>
      <c r="B1674" s="0" t="s">
        <v>3459</v>
      </c>
      <c r="C1674" s="0" t="s">
        <v>3450</v>
      </c>
      <c r="D1674" s="0" t="s">
        <v>3457</v>
      </c>
      <c r="E1674" s="20" t="s">
        <v>25</v>
      </c>
      <c r="F1674" s="23" t="s">
        <v>30</v>
      </c>
      <c r="G1674" s="21" t="s">
        <v>1046</v>
      </c>
      <c r="H1674" s="21" t="s">
        <v>24</v>
      </c>
      <c r="I1674" s="21" t="s">
        <v>25</v>
      </c>
      <c r="J1674" s="21" t="s">
        <v>24</v>
      </c>
      <c r="K1674" s="21" t="s">
        <v>25</v>
      </c>
      <c r="L1674" s="21" t="s">
        <v>24</v>
      </c>
      <c r="M1674" s="0" t="n">
        <v>206</v>
      </c>
      <c r="N1674" s="0" t="n">
        <v>1</v>
      </c>
      <c r="O1674" s="21" t="s">
        <v>69</v>
      </c>
      <c r="P1674" s="21" t="s">
        <v>4275</v>
      </c>
      <c r="Q1674" s="0" t="n">
        <v>1</v>
      </c>
      <c r="R1674" s="21" t="s">
        <v>69</v>
      </c>
      <c r="S1674" s="0" t="n">
        <v>1</v>
      </c>
      <c r="T1674" s="21" t="s">
        <v>69</v>
      </c>
      <c r="U1674" s="22" t="b">
        <f aca="false">TRUE()</f>
        <v>1</v>
      </c>
      <c r="V1674" s="0" t="n">
        <v>0.77</v>
      </c>
      <c r="W1674" s="0" t="n">
        <v>0.64</v>
      </c>
      <c r="X1674" s="0" t="n">
        <v>6.47</v>
      </c>
      <c r="Y1674" s="0" t="n">
        <v>355.46</v>
      </c>
      <c r="Z1674" s="0" t="n">
        <v>9.5</v>
      </c>
      <c r="AA1674" s="0" t="n">
        <v>1.01</v>
      </c>
      <c r="AB1674" s="0" t="n">
        <v>3.49</v>
      </c>
      <c r="AC1674" s="22" t="b">
        <f aca="false">FALSE()</f>
        <v>0</v>
      </c>
      <c r="AD1674" s="0" t="n">
        <v>23.85</v>
      </c>
      <c r="AE1674" s="0" t="n">
        <v>14.26</v>
      </c>
      <c r="AF1674" s="0" t="n">
        <v>21.54</v>
      </c>
      <c r="AG1674" s="22" t="b">
        <f aca="false">TRUE()</f>
        <v>1</v>
      </c>
      <c r="AH1674" s="0" t="n">
        <v>1</v>
      </c>
    </row>
    <row r="1675" customFormat="false" ht="15" hidden="false" customHeight="false" outlineLevel="0" collapsed="false">
      <c r="A1675" s="0" t="s">
        <v>2534</v>
      </c>
      <c r="B1675" s="0" t="s">
        <v>3459</v>
      </c>
      <c r="C1675" s="0" t="s">
        <v>3450</v>
      </c>
      <c r="D1675" s="0" t="s">
        <v>3448</v>
      </c>
      <c r="E1675" s="20" t="s">
        <v>25</v>
      </c>
      <c r="F1675" s="23" t="s">
        <v>30</v>
      </c>
      <c r="G1675" s="21" t="s">
        <v>1230</v>
      </c>
      <c r="H1675" s="21" t="s">
        <v>24</v>
      </c>
      <c r="I1675" s="21" t="s">
        <v>25</v>
      </c>
      <c r="J1675" s="21" t="s">
        <v>24</v>
      </c>
      <c r="K1675" s="21" t="s">
        <v>25</v>
      </c>
      <c r="L1675" s="21" t="s">
        <v>24</v>
      </c>
      <c r="M1675" s="0" t="n">
        <v>184</v>
      </c>
      <c r="N1675" s="0" t="n">
        <v>2</v>
      </c>
      <c r="O1675" s="21" t="s">
        <v>3575</v>
      </c>
      <c r="P1675" s="21" t="s">
        <v>4265</v>
      </c>
      <c r="Q1675" s="0" t="n">
        <v>1</v>
      </c>
      <c r="R1675" s="21" t="s">
        <v>69</v>
      </c>
      <c r="S1675" s="0" t="n">
        <v>2</v>
      </c>
      <c r="T1675" s="21" t="s">
        <v>3575</v>
      </c>
      <c r="U1675" s="22" t="b">
        <f aca="false">TRUE()</f>
        <v>1</v>
      </c>
      <c r="V1675" s="0" t="n">
        <v>0.81</v>
      </c>
      <c r="W1675" s="0" t="n">
        <v>0.96</v>
      </c>
      <c r="X1675" s="0" t="n">
        <v>7.59</v>
      </c>
      <c r="Y1675" s="0" t="n">
        <v>318.69</v>
      </c>
      <c r="Z1675" s="0" t="n">
        <v>8.17</v>
      </c>
      <c r="AA1675" s="0" t="n">
        <v>-1.3</v>
      </c>
      <c r="AB1675" s="0" t="n">
        <v>64.53</v>
      </c>
      <c r="AC1675" s="22" t="b">
        <f aca="false">FALSE()</f>
        <v>0</v>
      </c>
      <c r="AD1675" s="0" t="n">
        <v>16.15</v>
      </c>
      <c r="AE1675" s="0" t="n">
        <v>7.85</v>
      </c>
      <c r="AF1675" s="0" t="n">
        <v>16.42</v>
      </c>
      <c r="AG1675" s="22" t="b">
        <f aca="false">TRUE()</f>
        <v>1</v>
      </c>
      <c r="AH1675" s="0" t="n">
        <v>1</v>
      </c>
    </row>
    <row r="1676" customFormat="false" ht="15" hidden="false" customHeight="false" outlineLevel="0" collapsed="false">
      <c r="A1676" s="0" t="s">
        <v>2534</v>
      </c>
      <c r="B1676" s="0" t="s">
        <v>3459</v>
      </c>
      <c r="C1676" s="0" t="s">
        <v>3447</v>
      </c>
      <c r="D1676" s="0" t="s">
        <v>3457</v>
      </c>
      <c r="E1676" s="19" t="s">
        <v>26</v>
      </c>
      <c r="F1676" s="19" t="s">
        <v>32</v>
      </c>
      <c r="G1676" s="21" t="s">
        <v>1926</v>
      </c>
      <c r="H1676" s="21" t="s">
        <v>24</v>
      </c>
      <c r="I1676" s="21" t="s">
        <v>26</v>
      </c>
      <c r="J1676" s="21" t="s">
        <v>24</v>
      </c>
      <c r="K1676" s="21" t="s">
        <v>25</v>
      </c>
      <c r="L1676" s="21" t="s">
        <v>24</v>
      </c>
      <c r="M1676" s="0" t="n">
        <v>182</v>
      </c>
      <c r="N1676" s="0" t="n">
        <v>8</v>
      </c>
      <c r="O1676" s="21" t="s">
        <v>4069</v>
      </c>
      <c r="P1676" s="21" t="s">
        <v>4794</v>
      </c>
      <c r="Q1676" s="0" t="n">
        <v>1</v>
      </c>
      <c r="R1676" s="21" t="s">
        <v>69</v>
      </c>
      <c r="S1676" s="0" t="n">
        <v>8</v>
      </c>
      <c r="T1676" s="21" t="s">
        <v>4069</v>
      </c>
      <c r="U1676" s="22" t="b">
        <f aca="false">FALSE()</f>
        <v>0</v>
      </c>
      <c r="V1676" s="0" t="n">
        <v>0.79</v>
      </c>
      <c r="W1676" s="0" t="n">
        <v>0.24</v>
      </c>
      <c r="X1676" s="0" t="n">
        <v>6.9</v>
      </c>
      <c r="Y1676" s="0" t="n">
        <v>453.18</v>
      </c>
      <c r="Z1676" s="0" t="n">
        <v>8</v>
      </c>
      <c r="AA1676" s="0" t="n">
        <v>1.44</v>
      </c>
      <c r="AB1676" s="0" t="n">
        <v>3.49</v>
      </c>
      <c r="AC1676" s="22" t="b">
        <f aca="false">FALSE()</f>
        <v>0</v>
      </c>
      <c r="AD1676" s="0" t="n">
        <v>26.37</v>
      </c>
      <c r="AE1676" s="0" t="n">
        <v>16.19</v>
      </c>
      <c r="AF1676" s="0" t="n">
        <v>23.01</v>
      </c>
      <c r="AG1676" s="22" t="b">
        <f aca="false">TRUE()</f>
        <v>1</v>
      </c>
      <c r="AH1676" s="0" t="n">
        <v>1</v>
      </c>
    </row>
    <row r="1677" customFormat="false" ht="15" hidden="false" customHeight="false" outlineLevel="0" collapsed="false">
      <c r="A1677" s="0" t="s">
        <v>2534</v>
      </c>
      <c r="B1677" s="0" t="s">
        <v>3459</v>
      </c>
      <c r="C1677" s="0" t="s">
        <v>3447</v>
      </c>
      <c r="D1677" s="0" t="s">
        <v>3448</v>
      </c>
      <c r="E1677" s="20" t="s">
        <v>25</v>
      </c>
      <c r="F1677" s="23" t="s">
        <v>30</v>
      </c>
      <c r="G1677" s="21" t="s">
        <v>1140</v>
      </c>
      <c r="H1677" s="21" t="s">
        <v>24</v>
      </c>
      <c r="I1677" s="21" t="s">
        <v>25</v>
      </c>
      <c r="J1677" s="21" t="s">
        <v>24</v>
      </c>
      <c r="K1677" s="21" t="s">
        <v>25</v>
      </c>
      <c r="L1677" s="21" t="s">
        <v>24</v>
      </c>
      <c r="M1677" s="0" t="n">
        <v>183</v>
      </c>
      <c r="N1677" s="0" t="n">
        <v>5</v>
      </c>
      <c r="O1677" s="21" t="s">
        <v>3804</v>
      </c>
      <c r="P1677" s="21" t="s">
        <v>4795</v>
      </c>
      <c r="Q1677" s="0" t="n">
        <v>1</v>
      </c>
      <c r="R1677" s="21" t="s">
        <v>69</v>
      </c>
      <c r="S1677" s="0" t="n">
        <v>5</v>
      </c>
      <c r="T1677" s="21" t="s">
        <v>3804</v>
      </c>
      <c r="U1677" s="22" t="b">
        <f aca="false">TRUE()</f>
        <v>1</v>
      </c>
      <c r="V1677" s="0" t="n">
        <v>0.81</v>
      </c>
      <c r="W1677" s="0" t="n">
        <v>0.44</v>
      </c>
      <c r="X1677" s="0" t="n">
        <v>8.06</v>
      </c>
      <c r="Y1677" s="0" t="n">
        <v>345.52</v>
      </c>
      <c r="Z1677" s="0" t="n">
        <v>8.58</v>
      </c>
      <c r="AA1677" s="0" t="n">
        <v>1.67</v>
      </c>
      <c r="AB1677" s="0" t="n">
        <v>64.53</v>
      </c>
      <c r="AC1677" s="22" t="b">
        <f aca="false">FALSE()</f>
        <v>0</v>
      </c>
      <c r="AD1677" s="0" t="n">
        <v>30.79</v>
      </c>
      <c r="AE1677" s="0" t="n">
        <v>20.27</v>
      </c>
      <c r="AF1677" s="0" t="n">
        <v>27.44</v>
      </c>
      <c r="AG1677" s="22" t="b">
        <f aca="false">TRUE()</f>
        <v>1</v>
      </c>
      <c r="AH1677" s="0" t="n">
        <v>1</v>
      </c>
    </row>
    <row r="1678" customFormat="false" ht="15" hidden="false" customHeight="false" outlineLevel="0" collapsed="false">
      <c r="A1678" s="0" t="s">
        <v>2541</v>
      </c>
      <c r="B1678" s="0" t="s">
        <v>134</v>
      </c>
      <c r="C1678" s="0" t="s">
        <v>3450</v>
      </c>
      <c r="D1678" s="0" t="s">
        <v>3457</v>
      </c>
      <c r="E1678" s="18" t="s">
        <v>24</v>
      </c>
      <c r="F1678" s="18" t="s">
        <v>28</v>
      </c>
      <c r="H1678" s="21" t="s">
        <v>24</v>
      </c>
      <c r="I1678" s="21" t="s">
        <v>24</v>
      </c>
      <c r="J1678" s="21" t="s">
        <v>24</v>
      </c>
      <c r="K1678" s="21" t="s">
        <v>24</v>
      </c>
      <c r="L1678" s="21" t="s">
        <v>24</v>
      </c>
      <c r="M1678" s="0" t="n">
        <v>182</v>
      </c>
      <c r="N1678" s="0" t="n">
        <v>0</v>
      </c>
      <c r="Q1678" s="0" t="n">
        <v>0</v>
      </c>
      <c r="S1678" s="0" t="n">
        <v>0</v>
      </c>
      <c r="U1678" s="22" t="b">
        <f aca="false">FALSE()</f>
        <v>0</v>
      </c>
      <c r="V1678" s="0" t="n">
        <v>0.68</v>
      </c>
      <c r="W1678" s="0" t="n">
        <v>0.24</v>
      </c>
      <c r="X1678" s="0" t="n">
        <v>6.17</v>
      </c>
      <c r="Y1678" s="0" t="n">
        <v>429.85</v>
      </c>
      <c r="Z1678" s="0" t="n">
        <v>11</v>
      </c>
      <c r="AA1678" s="0" t="n">
        <v>10.51</v>
      </c>
      <c r="AB1678" s="0" t="n">
        <v>4.62</v>
      </c>
      <c r="AC1678" s="22" t="b">
        <f aca="false">FALSE()</f>
        <v>0</v>
      </c>
      <c r="AD1678" s="0" t="n">
        <v>16.14</v>
      </c>
      <c r="AE1678" s="0" t="n">
        <v>1.15</v>
      </c>
      <c r="AF1678" s="0" t="n">
        <v>12.4</v>
      </c>
      <c r="AG1678" s="22" t="b">
        <f aca="false">TRUE()</f>
        <v>1</v>
      </c>
      <c r="AH1678" s="0" t="n">
        <v>1</v>
      </c>
    </row>
    <row r="1679" customFormat="false" ht="15" hidden="false" customHeight="false" outlineLevel="0" collapsed="false">
      <c r="A1679" s="0" t="s">
        <v>2541</v>
      </c>
      <c r="B1679" s="0" t="s">
        <v>134</v>
      </c>
      <c r="C1679" s="0" t="s">
        <v>3450</v>
      </c>
      <c r="D1679" s="0" t="s">
        <v>3448</v>
      </c>
      <c r="E1679" s="20" t="s">
        <v>25</v>
      </c>
      <c r="F1679" s="23" t="s">
        <v>30</v>
      </c>
      <c r="G1679" s="21" t="s">
        <v>283</v>
      </c>
      <c r="H1679" s="21" t="s">
        <v>24</v>
      </c>
      <c r="I1679" s="21" t="s">
        <v>25</v>
      </c>
      <c r="J1679" s="21" t="s">
        <v>24</v>
      </c>
      <c r="K1679" s="21" t="s">
        <v>24</v>
      </c>
      <c r="L1679" s="21" t="s">
        <v>24</v>
      </c>
      <c r="M1679" s="0" t="n">
        <v>183</v>
      </c>
      <c r="N1679" s="0" t="n">
        <v>3</v>
      </c>
      <c r="O1679" s="21" t="s">
        <v>3649</v>
      </c>
      <c r="P1679" s="21" t="s">
        <v>4242</v>
      </c>
      <c r="Q1679" s="0" t="n">
        <v>1</v>
      </c>
      <c r="R1679" s="21" t="s">
        <v>69</v>
      </c>
      <c r="S1679" s="0" t="n">
        <v>3</v>
      </c>
      <c r="T1679" s="21" t="s">
        <v>3649</v>
      </c>
      <c r="U1679" s="22" t="b">
        <f aca="false">TRUE()</f>
        <v>1</v>
      </c>
      <c r="V1679" s="0" t="n">
        <v>0.72</v>
      </c>
      <c r="W1679" s="0" t="n">
        <v>0</v>
      </c>
      <c r="X1679" s="0" t="n">
        <v>5.21</v>
      </c>
      <c r="Y1679" s="0" t="n">
        <v>0.4</v>
      </c>
      <c r="Z1679" s="0" t="n">
        <v>10.5</v>
      </c>
      <c r="AA1679" s="0" t="n">
        <v>11.8</v>
      </c>
      <c r="AB1679" s="0" t="n">
        <v>3.73</v>
      </c>
      <c r="AC1679" s="22" t="b">
        <f aca="false">FALSE()</f>
        <v>0</v>
      </c>
      <c r="AD1679" s="0" t="n">
        <v>19.42</v>
      </c>
      <c r="AE1679" s="0" t="n">
        <v>1.02</v>
      </c>
      <c r="AF1679" s="0" t="n">
        <v>17.79</v>
      </c>
      <c r="AG1679" s="22" t="b">
        <f aca="false">TRUE()</f>
        <v>1</v>
      </c>
      <c r="AH1679" s="0" t="n">
        <v>0</v>
      </c>
    </row>
    <row r="1680" customFormat="false" ht="15" hidden="false" customHeight="false" outlineLevel="0" collapsed="false">
      <c r="A1680" s="0" t="s">
        <v>2541</v>
      </c>
      <c r="B1680" s="0" t="s">
        <v>134</v>
      </c>
      <c r="C1680" s="0" t="s">
        <v>3447</v>
      </c>
      <c r="D1680" s="0" t="s">
        <v>3457</v>
      </c>
      <c r="E1680" s="18" t="s">
        <v>24</v>
      </c>
      <c r="F1680" s="18" t="s">
        <v>28</v>
      </c>
      <c r="H1680" s="21" t="s">
        <v>24</v>
      </c>
      <c r="I1680" s="21" t="s">
        <v>24</v>
      </c>
      <c r="J1680" s="21" t="s">
        <v>24</v>
      </c>
      <c r="K1680" s="21" t="s">
        <v>24</v>
      </c>
      <c r="L1680" s="21" t="s">
        <v>24</v>
      </c>
      <c r="M1680" s="0" t="n">
        <v>183</v>
      </c>
      <c r="N1680" s="0" t="n">
        <v>0</v>
      </c>
      <c r="Q1680" s="0" t="n">
        <v>0</v>
      </c>
      <c r="S1680" s="0" t="n">
        <v>0</v>
      </c>
      <c r="U1680" s="22" t="b">
        <f aca="false">FALSE()</f>
        <v>0</v>
      </c>
      <c r="V1680" s="0" t="n">
        <v>0.69</v>
      </c>
      <c r="W1680" s="0" t="n">
        <v>0.8</v>
      </c>
      <c r="X1680" s="0" t="n">
        <v>6.18</v>
      </c>
      <c r="Y1680" s="0" t="n">
        <v>316.35</v>
      </c>
      <c r="Z1680" s="0" t="n">
        <v>10.58</v>
      </c>
      <c r="AA1680" s="0" t="n">
        <v>-0.31</v>
      </c>
      <c r="AB1680" s="0" t="n">
        <v>4.62</v>
      </c>
      <c r="AC1680" s="22" t="b">
        <f aca="false">FALSE()</f>
        <v>0</v>
      </c>
      <c r="AD1680" s="0" t="n">
        <v>15.41</v>
      </c>
      <c r="AE1680" s="0" t="n">
        <v>0.48</v>
      </c>
      <c r="AF1680" s="0" t="n">
        <v>12.59</v>
      </c>
      <c r="AG1680" s="22" t="b">
        <f aca="false">TRUE()</f>
        <v>1</v>
      </c>
      <c r="AH1680" s="0" t="n">
        <v>1</v>
      </c>
    </row>
    <row r="1681" customFormat="false" ht="15" hidden="false" customHeight="false" outlineLevel="0" collapsed="false">
      <c r="A1681" s="0" t="s">
        <v>2541</v>
      </c>
      <c r="B1681" s="0" t="s">
        <v>134</v>
      </c>
      <c r="C1681" s="0" t="s">
        <v>3447</v>
      </c>
      <c r="D1681" s="0" t="s">
        <v>3448</v>
      </c>
      <c r="E1681" s="18" t="s">
        <v>24</v>
      </c>
      <c r="F1681" s="23" t="s">
        <v>30</v>
      </c>
      <c r="G1681" s="21" t="s">
        <v>30</v>
      </c>
      <c r="H1681" s="21" t="s">
        <v>24</v>
      </c>
      <c r="I1681" s="21" t="s">
        <v>24</v>
      </c>
      <c r="J1681" s="21" t="s">
        <v>24</v>
      </c>
      <c r="K1681" s="21" t="s">
        <v>24</v>
      </c>
      <c r="L1681" s="21" t="s">
        <v>24</v>
      </c>
      <c r="M1681" s="0" t="n">
        <v>185</v>
      </c>
      <c r="N1681" s="0" t="n">
        <v>2</v>
      </c>
      <c r="O1681" s="21" t="s">
        <v>3532</v>
      </c>
      <c r="P1681" s="21" t="s">
        <v>4373</v>
      </c>
      <c r="Q1681" s="0" t="n">
        <v>0</v>
      </c>
      <c r="S1681" s="0" t="n">
        <v>2</v>
      </c>
      <c r="T1681" s="21" t="s">
        <v>3532</v>
      </c>
      <c r="U1681" s="22" t="b">
        <f aca="false">TRUE()</f>
        <v>1</v>
      </c>
      <c r="V1681" s="0" t="n">
        <v>0.63</v>
      </c>
      <c r="W1681" s="0" t="n">
        <v>0.48</v>
      </c>
      <c r="X1681" s="0" t="n">
        <v>6.22</v>
      </c>
      <c r="Y1681" s="0" t="n">
        <v>330.47</v>
      </c>
      <c r="Z1681" s="0" t="n">
        <v>11</v>
      </c>
      <c r="AA1681" s="0" t="n">
        <v>3.99</v>
      </c>
      <c r="AB1681" s="0" t="n">
        <v>3.73</v>
      </c>
      <c r="AC1681" s="22" t="b">
        <f aca="false">FALSE()</f>
        <v>0</v>
      </c>
      <c r="AD1681" s="0" t="n">
        <v>16.77</v>
      </c>
      <c r="AE1681" s="0" t="n">
        <v>1.12</v>
      </c>
      <c r="AF1681" s="0" t="n">
        <v>13.66</v>
      </c>
      <c r="AG1681" s="22" t="b">
        <f aca="false">TRUE()</f>
        <v>1</v>
      </c>
      <c r="AH1681" s="0" t="n">
        <v>1</v>
      </c>
    </row>
    <row r="1682" customFormat="false" ht="15" hidden="false" customHeight="false" outlineLevel="0" collapsed="false">
      <c r="A1682" s="0" t="s">
        <v>2550</v>
      </c>
      <c r="B1682" s="0" t="s">
        <v>134</v>
      </c>
      <c r="C1682" s="0" t="s">
        <v>3450</v>
      </c>
      <c r="D1682" s="0" t="s">
        <v>3457</v>
      </c>
      <c r="E1682" s="18" t="s">
        <v>24</v>
      </c>
      <c r="F1682" s="18" t="s">
        <v>28</v>
      </c>
      <c r="H1682" s="21" t="s">
        <v>24</v>
      </c>
      <c r="I1682" s="21" t="s">
        <v>24</v>
      </c>
      <c r="J1682" s="21" t="s">
        <v>24</v>
      </c>
      <c r="K1682" s="21" t="s">
        <v>24</v>
      </c>
      <c r="L1682" s="21" t="s">
        <v>24</v>
      </c>
      <c r="M1682" s="0" t="n">
        <v>182</v>
      </c>
      <c r="N1682" s="0" t="n">
        <v>0</v>
      </c>
      <c r="Q1682" s="0" t="n">
        <v>0</v>
      </c>
      <c r="S1682" s="0" t="n">
        <v>0</v>
      </c>
      <c r="U1682" s="22" t="b">
        <f aca="false">FALSE()</f>
        <v>0</v>
      </c>
      <c r="V1682" s="0" t="n">
        <v>0.82</v>
      </c>
      <c r="W1682" s="0" t="n">
        <v>0</v>
      </c>
      <c r="X1682" s="0" t="n">
        <v>9.47</v>
      </c>
      <c r="Y1682" s="0" t="n">
        <v>665.46</v>
      </c>
      <c r="Z1682" s="0" t="n">
        <v>10.67</v>
      </c>
      <c r="AA1682" s="0" t="n">
        <v>9.17</v>
      </c>
      <c r="AB1682" s="0" t="n">
        <v>2.71</v>
      </c>
      <c r="AC1682" s="22" t="b">
        <f aca="false">FALSE()</f>
        <v>0</v>
      </c>
      <c r="AD1682" s="0" t="n">
        <v>11.01</v>
      </c>
      <c r="AE1682" s="0" t="n">
        <v>0.64</v>
      </c>
      <c r="AF1682" s="0" t="n">
        <v>1.43</v>
      </c>
      <c r="AG1682" s="22" t="b">
        <f aca="false">TRUE()</f>
        <v>1</v>
      </c>
      <c r="AH1682" s="0" t="n">
        <v>1</v>
      </c>
    </row>
    <row r="1683" customFormat="false" ht="15" hidden="false" customHeight="false" outlineLevel="0" collapsed="false">
      <c r="A1683" s="0" t="s">
        <v>2550</v>
      </c>
      <c r="B1683" s="0" t="s">
        <v>134</v>
      </c>
      <c r="C1683" s="0" t="s">
        <v>3450</v>
      </c>
      <c r="D1683" s="0" t="s">
        <v>3448</v>
      </c>
      <c r="E1683" s="20" t="s">
        <v>25</v>
      </c>
      <c r="F1683" s="23" t="s">
        <v>30</v>
      </c>
      <c r="G1683" s="21" t="s">
        <v>1230</v>
      </c>
      <c r="H1683" s="21" t="s">
        <v>24</v>
      </c>
      <c r="I1683" s="21" t="s">
        <v>25</v>
      </c>
      <c r="J1683" s="21" t="s">
        <v>24</v>
      </c>
      <c r="K1683" s="21" t="s">
        <v>25</v>
      </c>
      <c r="L1683" s="21" t="s">
        <v>24</v>
      </c>
      <c r="M1683" s="0" t="n">
        <v>184</v>
      </c>
      <c r="N1683" s="0" t="n">
        <v>2</v>
      </c>
      <c r="O1683" s="21" t="s">
        <v>3575</v>
      </c>
      <c r="P1683" s="21" t="s">
        <v>4265</v>
      </c>
      <c r="Q1683" s="0" t="n">
        <v>1</v>
      </c>
      <c r="R1683" s="21" t="s">
        <v>69</v>
      </c>
      <c r="S1683" s="0" t="n">
        <v>2</v>
      </c>
      <c r="T1683" s="21" t="s">
        <v>3575</v>
      </c>
      <c r="U1683" s="22" t="b">
        <f aca="false">TRUE()</f>
        <v>1</v>
      </c>
      <c r="V1683" s="0" t="n">
        <v>0.82</v>
      </c>
      <c r="W1683" s="0" t="n">
        <v>0.64</v>
      </c>
      <c r="X1683" s="0" t="n">
        <v>7.92</v>
      </c>
      <c r="Y1683" s="0" t="n">
        <v>321.33</v>
      </c>
      <c r="Z1683" s="0" t="n">
        <v>11</v>
      </c>
      <c r="AA1683" s="0" t="n">
        <v>1.48</v>
      </c>
      <c r="AB1683" s="0" t="n">
        <v>2.22</v>
      </c>
      <c r="AC1683" s="22" t="b">
        <f aca="false">FALSE()</f>
        <v>0</v>
      </c>
      <c r="AD1683" s="0" t="n">
        <v>11.22</v>
      </c>
      <c r="AE1683" s="0" t="n">
        <v>0.51</v>
      </c>
      <c r="AF1683" s="0" t="n">
        <v>9.78</v>
      </c>
      <c r="AG1683" s="22" t="b">
        <f aca="false">TRUE()</f>
        <v>1</v>
      </c>
      <c r="AH1683" s="0" t="n">
        <v>1</v>
      </c>
    </row>
    <row r="1684" customFormat="false" ht="15" hidden="false" customHeight="false" outlineLevel="0" collapsed="false">
      <c r="A1684" s="0" t="s">
        <v>2550</v>
      </c>
      <c r="B1684" s="0" t="s">
        <v>134</v>
      </c>
      <c r="C1684" s="0" t="s">
        <v>3447</v>
      </c>
      <c r="D1684" s="0" t="s">
        <v>3457</v>
      </c>
      <c r="E1684" s="18" t="s">
        <v>24</v>
      </c>
      <c r="F1684" s="23" t="s">
        <v>30</v>
      </c>
      <c r="G1684" s="21" t="s">
        <v>30</v>
      </c>
      <c r="H1684" s="21" t="s">
        <v>24</v>
      </c>
      <c r="I1684" s="21" t="s">
        <v>24</v>
      </c>
      <c r="J1684" s="21" t="s">
        <v>24</v>
      </c>
      <c r="K1684" s="21" t="s">
        <v>24</v>
      </c>
      <c r="L1684" s="21" t="s">
        <v>24</v>
      </c>
      <c r="M1684" s="0" t="n">
        <v>182</v>
      </c>
      <c r="N1684" s="0" t="n">
        <v>2</v>
      </c>
      <c r="O1684" s="21" t="s">
        <v>3494</v>
      </c>
      <c r="P1684" s="21" t="s">
        <v>4609</v>
      </c>
      <c r="Q1684" s="0" t="n">
        <v>0</v>
      </c>
      <c r="S1684" s="0" t="n">
        <v>2</v>
      </c>
      <c r="T1684" s="21" t="s">
        <v>3494</v>
      </c>
      <c r="U1684" s="22" t="b">
        <f aca="false">TRUE()</f>
        <v>1</v>
      </c>
      <c r="V1684" s="0" t="n">
        <v>0.81</v>
      </c>
      <c r="W1684" s="0" t="n">
        <v>0.24</v>
      </c>
      <c r="X1684" s="0" t="n">
        <v>8.71</v>
      </c>
      <c r="Y1684" s="0" t="n">
        <v>450.93</v>
      </c>
      <c r="Z1684" s="0" t="n">
        <v>10.75</v>
      </c>
      <c r="AA1684" s="0" t="n">
        <v>5.42</v>
      </c>
      <c r="AB1684" s="0" t="n">
        <v>2.71</v>
      </c>
      <c r="AC1684" s="22" t="b">
        <f aca="false">FALSE()</f>
        <v>0</v>
      </c>
      <c r="AD1684" s="0" t="n">
        <v>9.57</v>
      </c>
      <c r="AE1684" s="0" t="n">
        <v>0.33</v>
      </c>
      <c r="AF1684" s="0" t="n">
        <v>1.86</v>
      </c>
      <c r="AG1684" s="22" t="b">
        <f aca="false">FALSE()</f>
        <v>0</v>
      </c>
      <c r="AH1684" s="0" t="n">
        <v>1</v>
      </c>
    </row>
    <row r="1685" customFormat="false" ht="15" hidden="false" customHeight="false" outlineLevel="0" collapsed="false">
      <c r="A1685" s="0" t="s">
        <v>2550</v>
      </c>
      <c r="B1685" s="0" t="s">
        <v>134</v>
      </c>
      <c r="C1685" s="0" t="s">
        <v>3447</v>
      </c>
      <c r="D1685" s="0" t="s">
        <v>3448</v>
      </c>
      <c r="E1685" s="19" t="s">
        <v>26</v>
      </c>
      <c r="F1685" s="19" t="s">
        <v>32</v>
      </c>
      <c r="G1685" s="21" t="s">
        <v>529</v>
      </c>
      <c r="H1685" s="21" t="s">
        <v>24</v>
      </c>
      <c r="I1685" s="21" t="s">
        <v>26</v>
      </c>
      <c r="J1685" s="21" t="s">
        <v>24</v>
      </c>
      <c r="K1685" s="21" t="s">
        <v>24</v>
      </c>
      <c r="L1685" s="21" t="s">
        <v>24</v>
      </c>
      <c r="M1685" s="0" t="n">
        <v>187</v>
      </c>
      <c r="N1685" s="0" t="n">
        <v>11</v>
      </c>
      <c r="O1685" s="21" t="s">
        <v>4034</v>
      </c>
      <c r="P1685" s="21" t="s">
        <v>4252</v>
      </c>
      <c r="Q1685" s="0" t="n">
        <v>1</v>
      </c>
      <c r="R1685" s="21" t="s">
        <v>69</v>
      </c>
      <c r="S1685" s="0" t="n">
        <v>11</v>
      </c>
      <c r="T1685" s="21" t="s">
        <v>4034</v>
      </c>
      <c r="U1685" s="22" t="b">
        <f aca="false">FALSE()</f>
        <v>0</v>
      </c>
      <c r="V1685" s="0" t="n">
        <v>0.81</v>
      </c>
      <c r="W1685" s="0" t="n">
        <v>0.32</v>
      </c>
      <c r="X1685" s="0" t="n">
        <v>8.61</v>
      </c>
      <c r="Y1685" s="0" t="n">
        <v>404.47</v>
      </c>
      <c r="Z1685" s="0" t="n">
        <v>10.75</v>
      </c>
      <c r="AA1685" s="0" t="n">
        <v>7.26</v>
      </c>
      <c r="AB1685" s="0" t="n">
        <v>2.22</v>
      </c>
      <c r="AC1685" s="22" t="b">
        <f aca="false">FALSE()</f>
        <v>0</v>
      </c>
      <c r="AD1685" s="0" t="n">
        <v>12.45</v>
      </c>
      <c r="AE1685" s="0" t="n">
        <v>2.6</v>
      </c>
      <c r="AF1685" s="0" t="n">
        <v>5.1</v>
      </c>
      <c r="AG1685" s="22" t="b">
        <f aca="false">TRUE()</f>
        <v>1</v>
      </c>
      <c r="AH1685" s="0" t="n">
        <v>1</v>
      </c>
    </row>
    <row r="1686" customFormat="false" ht="15" hidden="false" customHeight="false" outlineLevel="0" collapsed="false">
      <c r="A1686" s="0" t="s">
        <v>2556</v>
      </c>
      <c r="B1686" s="0" t="s">
        <v>134</v>
      </c>
      <c r="C1686" s="0" t="s">
        <v>3450</v>
      </c>
      <c r="D1686" s="0" t="s">
        <v>3457</v>
      </c>
      <c r="E1686" s="20" t="s">
        <v>25</v>
      </c>
      <c r="F1686" s="20" t="s">
        <v>29</v>
      </c>
      <c r="G1686" s="21" t="s">
        <v>62</v>
      </c>
      <c r="H1686" s="21" t="s">
        <v>24</v>
      </c>
      <c r="I1686" s="21" t="s">
        <v>24</v>
      </c>
      <c r="J1686" s="21" t="s">
        <v>24</v>
      </c>
      <c r="K1686" s="21" t="s">
        <v>25</v>
      </c>
      <c r="L1686" s="21" t="s">
        <v>24</v>
      </c>
      <c r="M1686" s="0" t="n">
        <v>190</v>
      </c>
      <c r="N1686" s="0" t="n">
        <v>0</v>
      </c>
      <c r="Q1686" s="0" t="n">
        <v>0</v>
      </c>
      <c r="S1686" s="0" t="n">
        <v>0</v>
      </c>
      <c r="U1686" s="22" t="b">
        <f aca="false">FALSE()</f>
        <v>0</v>
      </c>
      <c r="V1686" s="0" t="n">
        <v>0.69</v>
      </c>
      <c r="W1686" s="0" t="n">
        <v>0.72</v>
      </c>
      <c r="X1686" s="0" t="n">
        <v>6.95</v>
      </c>
      <c r="Y1686" s="0" t="n">
        <v>332.62</v>
      </c>
      <c r="Z1686" s="0" t="n">
        <v>9.67</v>
      </c>
      <c r="AA1686" s="0" t="n">
        <v>-0.87</v>
      </c>
      <c r="AB1686" s="0" t="n">
        <v>8.36</v>
      </c>
      <c r="AC1686" s="22" t="b">
        <f aca="false">FALSE()</f>
        <v>0</v>
      </c>
      <c r="AD1686" s="0" t="n">
        <v>3.5</v>
      </c>
      <c r="AE1686" s="0" t="n">
        <v>0.17</v>
      </c>
      <c r="AF1686" s="0" t="n">
        <v>2.14</v>
      </c>
      <c r="AG1686" s="22" t="b">
        <f aca="false">FALSE()</f>
        <v>0</v>
      </c>
      <c r="AH1686" s="0" t="n">
        <v>1</v>
      </c>
    </row>
    <row r="1687" customFormat="false" ht="15" hidden="false" customHeight="false" outlineLevel="0" collapsed="false">
      <c r="A1687" s="0" t="s">
        <v>2556</v>
      </c>
      <c r="B1687" s="0" t="s">
        <v>134</v>
      </c>
      <c r="C1687" s="0" t="s">
        <v>3450</v>
      </c>
      <c r="D1687" s="0" t="s">
        <v>3448</v>
      </c>
      <c r="E1687" s="18" t="s">
        <v>24</v>
      </c>
      <c r="F1687" s="18" t="s">
        <v>28</v>
      </c>
      <c r="H1687" s="21" t="s">
        <v>24</v>
      </c>
      <c r="I1687" s="21" t="s">
        <v>24</v>
      </c>
      <c r="J1687" s="21" t="s">
        <v>24</v>
      </c>
      <c r="K1687" s="21" t="s">
        <v>24</v>
      </c>
      <c r="L1687" s="21" t="s">
        <v>24</v>
      </c>
      <c r="M1687" s="0" t="n">
        <v>183</v>
      </c>
      <c r="N1687" s="0" t="n">
        <v>0</v>
      </c>
      <c r="Q1687" s="0" t="n">
        <v>0</v>
      </c>
      <c r="S1687" s="0" t="n">
        <v>0</v>
      </c>
      <c r="U1687" s="22" t="b">
        <f aca="false">FALSE()</f>
        <v>0</v>
      </c>
      <c r="V1687" s="0" t="n">
        <v>0.7</v>
      </c>
      <c r="W1687" s="0" t="n">
        <v>0.52</v>
      </c>
      <c r="X1687" s="0" t="n">
        <v>6.23</v>
      </c>
      <c r="Y1687" s="0" t="n">
        <v>328.81</v>
      </c>
      <c r="Z1687" s="0" t="n">
        <v>10.75</v>
      </c>
      <c r="AA1687" s="0" t="n">
        <v>12.89</v>
      </c>
      <c r="AB1687" s="0" t="n">
        <v>2.77</v>
      </c>
      <c r="AC1687" s="22" t="b">
        <f aca="false">FALSE()</f>
        <v>0</v>
      </c>
      <c r="AD1687" s="0" t="n">
        <v>16.66</v>
      </c>
      <c r="AE1687" s="0" t="n">
        <v>0.83</v>
      </c>
      <c r="AF1687" s="0" t="n">
        <v>4.6</v>
      </c>
      <c r="AG1687" s="22" t="b">
        <f aca="false">TRUE()</f>
        <v>1</v>
      </c>
      <c r="AH1687" s="0" t="n">
        <v>1</v>
      </c>
    </row>
    <row r="1688" customFormat="false" ht="15" hidden="false" customHeight="false" outlineLevel="0" collapsed="false">
      <c r="A1688" s="0" t="s">
        <v>2556</v>
      </c>
      <c r="B1688" s="0" t="s">
        <v>134</v>
      </c>
      <c r="C1688" s="0" t="s">
        <v>3447</v>
      </c>
      <c r="D1688" s="0" t="s">
        <v>3457</v>
      </c>
      <c r="E1688" s="18" t="s">
        <v>24</v>
      </c>
      <c r="F1688" s="23" t="s">
        <v>30</v>
      </c>
      <c r="G1688" s="21" t="s">
        <v>30</v>
      </c>
      <c r="H1688" s="21" t="s">
        <v>24</v>
      </c>
      <c r="I1688" s="21" t="s">
        <v>24</v>
      </c>
      <c r="J1688" s="21" t="s">
        <v>24</v>
      </c>
      <c r="K1688" s="21" t="s">
        <v>24</v>
      </c>
      <c r="L1688" s="21" t="s">
        <v>24</v>
      </c>
      <c r="M1688" s="0" t="n">
        <v>185</v>
      </c>
      <c r="N1688" s="0" t="n">
        <v>1</v>
      </c>
      <c r="O1688" s="21" t="s">
        <v>3474</v>
      </c>
      <c r="P1688" s="21" t="s">
        <v>4272</v>
      </c>
      <c r="Q1688" s="0" t="n">
        <v>0</v>
      </c>
      <c r="S1688" s="0" t="n">
        <v>1</v>
      </c>
      <c r="T1688" s="21" t="s">
        <v>3474</v>
      </c>
      <c r="U1688" s="22" t="b">
        <f aca="false">TRUE()</f>
        <v>1</v>
      </c>
      <c r="V1688" s="0" t="n">
        <v>0.82</v>
      </c>
      <c r="W1688" s="0" t="n">
        <v>0.44</v>
      </c>
      <c r="X1688" s="0" t="n">
        <v>6.62</v>
      </c>
      <c r="Y1688" s="0" t="n">
        <v>348.43</v>
      </c>
      <c r="Z1688" s="0" t="n">
        <v>11</v>
      </c>
      <c r="AA1688" s="0" t="n">
        <v>3.66</v>
      </c>
      <c r="AB1688" s="0" t="n">
        <v>8.36</v>
      </c>
      <c r="AC1688" s="22" t="b">
        <f aca="false">FALSE()</f>
        <v>0</v>
      </c>
      <c r="AD1688" s="0" t="n">
        <v>13.58</v>
      </c>
      <c r="AE1688" s="0" t="n">
        <v>0.62</v>
      </c>
      <c r="AF1688" s="0" t="n">
        <v>6.39</v>
      </c>
      <c r="AG1688" s="22" t="b">
        <f aca="false">TRUE()</f>
        <v>1</v>
      </c>
      <c r="AH1688" s="0" t="n">
        <v>1</v>
      </c>
    </row>
    <row r="1689" customFormat="false" ht="15" hidden="false" customHeight="false" outlineLevel="0" collapsed="false">
      <c r="A1689" s="0" t="s">
        <v>2556</v>
      </c>
      <c r="B1689" s="0" t="s">
        <v>134</v>
      </c>
      <c r="C1689" s="0" t="s">
        <v>3447</v>
      </c>
      <c r="D1689" s="0" t="s">
        <v>3448</v>
      </c>
      <c r="E1689" s="18" t="s">
        <v>24</v>
      </c>
      <c r="F1689" s="18" t="s">
        <v>28</v>
      </c>
      <c r="H1689" s="21" t="s">
        <v>24</v>
      </c>
      <c r="I1689" s="21" t="s">
        <v>24</v>
      </c>
      <c r="J1689" s="21" t="s">
        <v>24</v>
      </c>
      <c r="K1689" s="21" t="s">
        <v>24</v>
      </c>
      <c r="L1689" s="21" t="s">
        <v>24</v>
      </c>
      <c r="M1689" s="0" t="n">
        <v>187</v>
      </c>
      <c r="N1689" s="0" t="n">
        <v>0</v>
      </c>
      <c r="Q1689" s="0" t="n">
        <v>0</v>
      </c>
      <c r="S1689" s="0" t="n">
        <v>0</v>
      </c>
      <c r="U1689" s="22" t="b">
        <f aca="false">FALSE()</f>
        <v>0</v>
      </c>
      <c r="V1689" s="0" t="n">
        <v>0.77</v>
      </c>
      <c r="W1689" s="0" t="n">
        <v>0.4</v>
      </c>
      <c r="X1689" s="0" t="n">
        <v>6.14</v>
      </c>
      <c r="Y1689" s="0" t="n">
        <v>366.98</v>
      </c>
      <c r="Z1689" s="0" t="n">
        <v>10.75</v>
      </c>
      <c r="AA1689" s="0" t="n">
        <v>5.46</v>
      </c>
      <c r="AB1689" s="0" t="n">
        <v>2.77</v>
      </c>
      <c r="AC1689" s="22" t="b">
        <f aca="false">FALSE()</f>
        <v>0</v>
      </c>
      <c r="AD1689" s="0" t="n">
        <v>16.81</v>
      </c>
      <c r="AE1689" s="0" t="n">
        <v>0.81</v>
      </c>
      <c r="AF1689" s="0" t="n">
        <v>5.07</v>
      </c>
      <c r="AG1689" s="22" t="b">
        <f aca="false">TRUE()</f>
        <v>1</v>
      </c>
      <c r="AH1689" s="0" t="n">
        <v>1</v>
      </c>
    </row>
    <row r="1690" customFormat="false" ht="15" hidden="false" customHeight="false" outlineLevel="0" collapsed="false">
      <c r="A1690" s="0" t="s">
        <v>2569</v>
      </c>
      <c r="B1690" s="0" t="s">
        <v>134</v>
      </c>
      <c r="C1690" s="0" t="s">
        <v>3450</v>
      </c>
      <c r="D1690" s="0" t="s">
        <v>3457</v>
      </c>
      <c r="E1690" s="18" t="s">
        <v>24</v>
      </c>
      <c r="F1690" s="18" t="s">
        <v>28</v>
      </c>
      <c r="H1690" s="21" t="s">
        <v>24</v>
      </c>
      <c r="I1690" s="21" t="s">
        <v>24</v>
      </c>
      <c r="J1690" s="21" t="s">
        <v>24</v>
      </c>
      <c r="K1690" s="21" t="s">
        <v>24</v>
      </c>
      <c r="L1690" s="21" t="s">
        <v>24</v>
      </c>
      <c r="M1690" s="0" t="n">
        <v>182</v>
      </c>
      <c r="N1690" s="0" t="n">
        <v>0</v>
      </c>
      <c r="Q1690" s="0" t="n">
        <v>0</v>
      </c>
      <c r="S1690" s="0" t="n">
        <v>0</v>
      </c>
      <c r="U1690" s="22" t="b">
        <f aca="false">FALSE()</f>
        <v>0</v>
      </c>
      <c r="V1690" s="0" t="n">
        <v>0.74</v>
      </c>
      <c r="W1690" s="0" t="n">
        <v>0.56</v>
      </c>
      <c r="X1690" s="0" t="n">
        <v>11.47</v>
      </c>
      <c r="Y1690" s="0" t="n">
        <v>307.89</v>
      </c>
      <c r="Z1690" s="0" t="n">
        <v>12</v>
      </c>
      <c r="AA1690" s="0" t="n">
        <v>9.79</v>
      </c>
      <c r="AB1690" s="0" t="n">
        <v>6.25</v>
      </c>
      <c r="AC1690" s="22" t="b">
        <f aca="false">FALSE()</f>
        <v>0</v>
      </c>
      <c r="AD1690" s="0" t="n">
        <v>5.61</v>
      </c>
      <c r="AE1690" s="0" t="n">
        <v>0.98</v>
      </c>
      <c r="AF1690" s="0" t="n">
        <v>5.86</v>
      </c>
      <c r="AG1690" s="22" t="b">
        <f aca="false">FALSE()</f>
        <v>0</v>
      </c>
      <c r="AH1690" s="0" t="n">
        <v>1</v>
      </c>
    </row>
    <row r="1691" customFormat="false" ht="15" hidden="false" customHeight="false" outlineLevel="0" collapsed="false">
      <c r="A1691" s="0" t="s">
        <v>2569</v>
      </c>
      <c r="B1691" s="0" t="s">
        <v>134</v>
      </c>
      <c r="C1691" s="0" t="s">
        <v>3450</v>
      </c>
      <c r="D1691" s="0" t="s">
        <v>3448</v>
      </c>
      <c r="E1691" s="20" t="s">
        <v>25</v>
      </c>
      <c r="F1691" s="20" t="s">
        <v>29</v>
      </c>
      <c r="G1691" s="21" t="s">
        <v>64</v>
      </c>
      <c r="H1691" s="21" t="s">
        <v>24</v>
      </c>
      <c r="I1691" s="21" t="s">
        <v>24</v>
      </c>
      <c r="J1691" s="21" t="s">
        <v>24</v>
      </c>
      <c r="K1691" s="21" t="s">
        <v>25</v>
      </c>
      <c r="L1691" s="21" t="s">
        <v>24</v>
      </c>
      <c r="M1691" s="0" t="n">
        <v>185</v>
      </c>
      <c r="N1691" s="0" t="n">
        <v>0</v>
      </c>
      <c r="Q1691" s="0" t="n">
        <v>0</v>
      </c>
      <c r="S1691" s="0" t="n">
        <v>0</v>
      </c>
      <c r="U1691" s="22" t="b">
        <f aca="false">FALSE()</f>
        <v>0</v>
      </c>
      <c r="V1691" s="0" t="n">
        <v>0.71</v>
      </c>
      <c r="W1691" s="0" t="n">
        <v>0</v>
      </c>
      <c r="X1691" s="0" t="n">
        <v>11.44</v>
      </c>
      <c r="Y1691" s="0" t="n">
        <v>0.33</v>
      </c>
      <c r="Z1691" s="0" t="n">
        <v>11.75</v>
      </c>
      <c r="AA1691" s="0" t="n">
        <v>12.67</v>
      </c>
      <c r="AB1691" s="0" t="n">
        <v>0.38</v>
      </c>
      <c r="AC1691" s="22" t="b">
        <f aca="false">FALSE()</f>
        <v>0</v>
      </c>
      <c r="AD1691" s="0" t="n">
        <v>3.82</v>
      </c>
      <c r="AE1691" s="0" t="n">
        <v>0.74</v>
      </c>
      <c r="AF1691" s="0" t="n">
        <v>11.97</v>
      </c>
      <c r="AG1691" s="22" t="b">
        <f aca="false">FALSE()</f>
        <v>0</v>
      </c>
      <c r="AH1691" s="0" t="n">
        <v>0</v>
      </c>
    </row>
    <row r="1692" customFormat="false" ht="15" hidden="false" customHeight="false" outlineLevel="0" collapsed="false">
      <c r="A1692" s="0" t="s">
        <v>2569</v>
      </c>
      <c r="B1692" s="0" t="s">
        <v>134</v>
      </c>
      <c r="C1692" s="0" t="s">
        <v>3447</v>
      </c>
      <c r="D1692" s="0" t="s">
        <v>3457</v>
      </c>
      <c r="E1692" s="18" t="s">
        <v>24</v>
      </c>
      <c r="F1692" s="18" t="s">
        <v>28</v>
      </c>
      <c r="H1692" s="21" t="s">
        <v>24</v>
      </c>
      <c r="I1692" s="21" t="s">
        <v>24</v>
      </c>
      <c r="J1692" s="21" t="s">
        <v>24</v>
      </c>
      <c r="K1692" s="21" t="s">
        <v>24</v>
      </c>
      <c r="L1692" s="21" t="s">
        <v>24</v>
      </c>
      <c r="M1692" s="0" t="n">
        <v>187</v>
      </c>
      <c r="N1692" s="0" t="n">
        <v>0</v>
      </c>
      <c r="Q1692" s="0" t="n">
        <v>0</v>
      </c>
      <c r="S1692" s="0" t="n">
        <v>0</v>
      </c>
      <c r="U1692" s="22" t="b">
        <f aca="false">FALSE()</f>
        <v>0</v>
      </c>
      <c r="V1692" s="0" t="n">
        <v>0.78</v>
      </c>
      <c r="W1692" s="0" t="n">
        <v>0.84</v>
      </c>
      <c r="X1692" s="0" t="n">
        <v>9.5</v>
      </c>
      <c r="Y1692" s="0" t="n">
        <v>322.3</v>
      </c>
      <c r="Z1692" s="0" t="n">
        <v>9.67</v>
      </c>
      <c r="AA1692" s="0" t="n">
        <v>0.39</v>
      </c>
      <c r="AB1692" s="0" t="n">
        <v>6.25</v>
      </c>
      <c r="AC1692" s="22" t="b">
        <f aca="false">FALSE()</f>
        <v>0</v>
      </c>
      <c r="AD1692" s="0" t="n">
        <v>6.56</v>
      </c>
      <c r="AE1692" s="0" t="n">
        <v>0.87</v>
      </c>
      <c r="AF1692" s="0" t="n">
        <v>9.18</v>
      </c>
      <c r="AG1692" s="22" t="b">
        <f aca="false">FALSE()</f>
        <v>0</v>
      </c>
      <c r="AH1692" s="0" t="n">
        <v>1</v>
      </c>
    </row>
    <row r="1693" customFormat="false" ht="15" hidden="false" customHeight="false" outlineLevel="0" collapsed="false">
      <c r="A1693" s="0" t="s">
        <v>2569</v>
      </c>
      <c r="B1693" s="0" t="s">
        <v>134</v>
      </c>
      <c r="C1693" s="0" t="s">
        <v>3447</v>
      </c>
      <c r="D1693" s="0" t="s">
        <v>3448</v>
      </c>
      <c r="E1693" s="20" t="s">
        <v>25</v>
      </c>
      <c r="F1693" s="20" t="s">
        <v>29</v>
      </c>
      <c r="G1693" s="21" t="s">
        <v>64</v>
      </c>
      <c r="H1693" s="21" t="s">
        <v>24</v>
      </c>
      <c r="I1693" s="21" t="s">
        <v>24</v>
      </c>
      <c r="J1693" s="21" t="s">
        <v>24</v>
      </c>
      <c r="K1693" s="21" t="s">
        <v>25</v>
      </c>
      <c r="L1693" s="21" t="s">
        <v>24</v>
      </c>
      <c r="M1693" s="0" t="n">
        <v>184</v>
      </c>
      <c r="N1693" s="0" t="n">
        <v>0</v>
      </c>
      <c r="Q1693" s="0" t="n">
        <v>0</v>
      </c>
      <c r="S1693" s="0" t="n">
        <v>0</v>
      </c>
      <c r="U1693" s="22" t="b">
        <f aca="false">FALSE()</f>
        <v>0</v>
      </c>
      <c r="V1693" s="0" t="n">
        <v>0.77</v>
      </c>
      <c r="W1693" s="0" t="n">
        <v>0.8</v>
      </c>
      <c r="X1693" s="0" t="n">
        <v>10.13</v>
      </c>
      <c r="Y1693" s="0" t="n">
        <v>322.59</v>
      </c>
      <c r="Z1693" s="0" t="n">
        <v>8</v>
      </c>
      <c r="AA1693" s="0" t="n">
        <v>-1.17</v>
      </c>
      <c r="AB1693" s="0" t="n">
        <v>0.38</v>
      </c>
      <c r="AC1693" s="22" t="b">
        <f aca="false">FALSE()</f>
        <v>0</v>
      </c>
      <c r="AD1693" s="0" t="n">
        <v>0.38</v>
      </c>
      <c r="AE1693" s="0" t="n">
        <v>0.2</v>
      </c>
      <c r="AF1693" s="0" t="n">
        <v>1.54</v>
      </c>
      <c r="AG1693" s="22" t="b">
        <f aca="false">FALSE()</f>
        <v>0</v>
      </c>
      <c r="AH1693" s="0" t="n">
        <v>1</v>
      </c>
    </row>
    <row r="1694" customFormat="false" ht="15" hidden="false" customHeight="false" outlineLevel="0" collapsed="false">
      <c r="A1694" s="0" t="s">
        <v>2574</v>
      </c>
      <c r="B1694" s="0" t="s">
        <v>134</v>
      </c>
      <c r="C1694" s="0" t="s">
        <v>3450</v>
      </c>
      <c r="D1694" s="0" t="s">
        <v>3457</v>
      </c>
      <c r="E1694" s="18" t="s">
        <v>24</v>
      </c>
      <c r="F1694" s="23" t="s">
        <v>30</v>
      </c>
      <c r="G1694" s="21" t="s">
        <v>30</v>
      </c>
      <c r="H1694" s="21" t="s">
        <v>24</v>
      </c>
      <c r="I1694" s="21" t="s">
        <v>24</v>
      </c>
      <c r="J1694" s="21" t="s">
        <v>24</v>
      </c>
      <c r="K1694" s="21" t="s">
        <v>24</v>
      </c>
      <c r="L1694" s="21" t="s">
        <v>24</v>
      </c>
      <c r="M1694" s="0" t="n">
        <v>183</v>
      </c>
      <c r="N1694" s="0" t="n">
        <v>1</v>
      </c>
      <c r="O1694" s="21" t="s">
        <v>3476</v>
      </c>
      <c r="P1694" s="21" t="s">
        <v>4228</v>
      </c>
      <c r="Q1694" s="0" t="n">
        <v>0</v>
      </c>
      <c r="S1694" s="0" t="n">
        <v>1</v>
      </c>
      <c r="T1694" s="21" t="s">
        <v>3476</v>
      </c>
      <c r="U1694" s="22" t="b">
        <f aca="false">TRUE()</f>
        <v>1</v>
      </c>
      <c r="V1694" s="0" t="n">
        <v>0.7</v>
      </c>
      <c r="W1694" s="0" t="n">
        <v>0.28</v>
      </c>
      <c r="X1694" s="0" t="n">
        <v>11.74</v>
      </c>
      <c r="Y1694" s="0" t="n">
        <v>417.47</v>
      </c>
      <c r="Z1694" s="0" t="n">
        <v>10.08</v>
      </c>
      <c r="AA1694" s="0" t="n">
        <v>11.71</v>
      </c>
      <c r="AB1694" s="0" t="n">
        <v>4.93</v>
      </c>
      <c r="AC1694" s="22" t="b">
        <f aca="false">FALSE()</f>
        <v>0</v>
      </c>
      <c r="AD1694" s="0" t="n">
        <v>11.98</v>
      </c>
      <c r="AE1694" s="0" t="n">
        <v>-0.37</v>
      </c>
      <c r="AF1694" s="0" t="n">
        <v>2.95</v>
      </c>
      <c r="AG1694" s="22" t="b">
        <f aca="false">TRUE()</f>
        <v>1</v>
      </c>
      <c r="AH1694" s="0" t="n">
        <v>1</v>
      </c>
    </row>
    <row r="1695" customFormat="false" ht="15" hidden="false" customHeight="false" outlineLevel="0" collapsed="false">
      <c r="A1695" s="0" t="s">
        <v>2574</v>
      </c>
      <c r="B1695" s="0" t="s">
        <v>134</v>
      </c>
      <c r="C1695" s="0" t="s">
        <v>3450</v>
      </c>
      <c r="D1695" s="0" t="s">
        <v>3448</v>
      </c>
      <c r="E1695" s="20" t="s">
        <v>25</v>
      </c>
      <c r="F1695" s="23" t="s">
        <v>30</v>
      </c>
      <c r="G1695" s="21" t="s">
        <v>157</v>
      </c>
      <c r="H1695" s="21" t="s">
        <v>24</v>
      </c>
      <c r="I1695" s="21" t="s">
        <v>25</v>
      </c>
      <c r="J1695" s="21" t="s">
        <v>24</v>
      </c>
      <c r="K1695" s="21" t="s">
        <v>25</v>
      </c>
      <c r="L1695" s="21" t="s">
        <v>24</v>
      </c>
      <c r="M1695" s="0" t="n">
        <v>183</v>
      </c>
      <c r="N1695" s="0" t="n">
        <v>1</v>
      </c>
      <c r="O1695" s="21" t="s">
        <v>70</v>
      </c>
      <c r="P1695" s="21" t="s">
        <v>4378</v>
      </c>
      <c r="Q1695" s="0" t="n">
        <v>1</v>
      </c>
      <c r="R1695" s="21" t="s">
        <v>70</v>
      </c>
      <c r="S1695" s="0" t="n">
        <v>1</v>
      </c>
      <c r="T1695" s="21" t="s">
        <v>70</v>
      </c>
      <c r="U1695" s="22" t="b">
        <f aca="false">TRUE()</f>
        <v>1</v>
      </c>
      <c r="V1695" s="0" t="n">
        <v>0.75</v>
      </c>
      <c r="W1695" s="0" t="n">
        <v>0.76</v>
      </c>
      <c r="X1695" s="0" t="n">
        <v>10.97</v>
      </c>
      <c r="Y1695" s="0" t="n">
        <v>319.97</v>
      </c>
      <c r="Z1695" s="0" t="n">
        <v>8</v>
      </c>
      <c r="AA1695" s="0" t="n">
        <v>3.93</v>
      </c>
      <c r="AB1695" s="0" t="n">
        <v>1.38</v>
      </c>
      <c r="AC1695" s="22" t="b">
        <f aca="false">FALSE()</f>
        <v>0</v>
      </c>
      <c r="AD1695" s="0" t="n">
        <v>23.45</v>
      </c>
      <c r="AE1695" s="0" t="n">
        <v>12.9</v>
      </c>
      <c r="AF1695" s="0" t="n">
        <v>21.67</v>
      </c>
      <c r="AG1695" s="22" t="b">
        <f aca="false">TRUE()</f>
        <v>1</v>
      </c>
      <c r="AH1695" s="0" t="n">
        <v>1</v>
      </c>
    </row>
    <row r="1696" customFormat="false" ht="15" hidden="false" customHeight="false" outlineLevel="0" collapsed="false">
      <c r="A1696" s="0" t="s">
        <v>2574</v>
      </c>
      <c r="B1696" s="0" t="s">
        <v>134</v>
      </c>
      <c r="C1696" s="0" t="s">
        <v>3447</v>
      </c>
      <c r="D1696" s="0" t="s">
        <v>3457</v>
      </c>
      <c r="E1696" s="19" t="s">
        <v>26</v>
      </c>
      <c r="F1696" s="19" t="s">
        <v>32</v>
      </c>
      <c r="G1696" s="21" t="s">
        <v>60</v>
      </c>
      <c r="H1696" s="21" t="s">
        <v>24</v>
      </c>
      <c r="I1696" s="21" t="s">
        <v>26</v>
      </c>
      <c r="J1696" s="21" t="s">
        <v>24</v>
      </c>
      <c r="K1696" s="21" t="s">
        <v>24</v>
      </c>
      <c r="L1696" s="21" t="s">
        <v>24</v>
      </c>
      <c r="M1696" s="0" t="n">
        <v>183</v>
      </c>
      <c r="N1696" s="0" t="n">
        <v>8</v>
      </c>
      <c r="O1696" s="21" t="s">
        <v>3963</v>
      </c>
      <c r="P1696" s="21" t="s">
        <v>4796</v>
      </c>
      <c r="Q1696" s="0" t="n">
        <v>0</v>
      </c>
      <c r="S1696" s="0" t="n">
        <v>8</v>
      </c>
      <c r="T1696" s="21" t="s">
        <v>3963</v>
      </c>
      <c r="U1696" s="22" t="b">
        <f aca="false">FALSE()</f>
        <v>0</v>
      </c>
      <c r="V1696" s="0" t="n">
        <v>0.73</v>
      </c>
      <c r="W1696" s="0" t="n">
        <v>0.24</v>
      </c>
      <c r="X1696" s="0" t="n">
        <v>10.63</v>
      </c>
      <c r="Y1696" s="0" t="n">
        <v>463.89</v>
      </c>
      <c r="Z1696" s="0" t="n">
        <v>9.83</v>
      </c>
      <c r="AA1696" s="0" t="n">
        <v>4.81</v>
      </c>
      <c r="AB1696" s="0" t="n">
        <v>4.93</v>
      </c>
      <c r="AC1696" s="22" t="b">
        <f aca="false">FALSE()</f>
        <v>0</v>
      </c>
      <c r="AD1696" s="0" t="n">
        <v>12.09</v>
      </c>
      <c r="AE1696" s="0" t="n">
        <v>0.72</v>
      </c>
      <c r="AF1696" s="0" t="n">
        <v>2.83</v>
      </c>
      <c r="AG1696" s="22" t="b">
        <f aca="false">TRUE()</f>
        <v>1</v>
      </c>
      <c r="AH1696" s="0" t="n">
        <v>1</v>
      </c>
    </row>
    <row r="1697" customFormat="false" ht="15" hidden="false" customHeight="false" outlineLevel="0" collapsed="false">
      <c r="A1697" s="0" t="s">
        <v>2574</v>
      </c>
      <c r="B1697" s="0" t="s">
        <v>134</v>
      </c>
      <c r="C1697" s="0" t="s">
        <v>3447</v>
      </c>
      <c r="D1697" s="0" t="s">
        <v>3448</v>
      </c>
      <c r="E1697" s="20" t="s">
        <v>25</v>
      </c>
      <c r="F1697" s="23" t="s">
        <v>30</v>
      </c>
      <c r="G1697" s="21" t="s">
        <v>2133</v>
      </c>
      <c r="H1697" s="21" t="s">
        <v>24</v>
      </c>
      <c r="I1697" s="21" t="s">
        <v>24</v>
      </c>
      <c r="J1697" s="21" t="s">
        <v>24</v>
      </c>
      <c r="K1697" s="21" t="s">
        <v>25</v>
      </c>
      <c r="L1697" s="21" t="s">
        <v>24</v>
      </c>
      <c r="M1697" s="0" t="n">
        <v>186</v>
      </c>
      <c r="N1697" s="0" t="n">
        <v>2</v>
      </c>
      <c r="O1697" s="21" t="s">
        <v>3523</v>
      </c>
      <c r="P1697" s="21" t="s">
        <v>4394</v>
      </c>
      <c r="Q1697" s="0" t="n">
        <v>0</v>
      </c>
      <c r="S1697" s="0" t="n">
        <v>2</v>
      </c>
      <c r="T1697" s="21" t="s">
        <v>3523</v>
      </c>
      <c r="U1697" s="22" t="b">
        <f aca="false">TRUE()</f>
        <v>1</v>
      </c>
      <c r="V1697" s="0" t="n">
        <v>0.74</v>
      </c>
      <c r="W1697" s="0" t="n">
        <v>0.2</v>
      </c>
      <c r="X1697" s="0" t="n">
        <v>11.79</v>
      </c>
      <c r="Y1697" s="0" t="n">
        <v>512.08</v>
      </c>
      <c r="Z1697" s="0" t="n">
        <v>9</v>
      </c>
      <c r="AA1697" s="0" t="n">
        <v>4.55</v>
      </c>
      <c r="AB1697" s="0" t="n">
        <v>1.38</v>
      </c>
      <c r="AC1697" s="22" t="b">
        <f aca="false">FALSE()</f>
        <v>0</v>
      </c>
      <c r="AD1697" s="0" t="n">
        <v>19.74</v>
      </c>
      <c r="AE1697" s="0" t="n">
        <v>9.15</v>
      </c>
      <c r="AF1697" s="0" t="n">
        <v>16.89</v>
      </c>
      <c r="AG1697" s="22" t="b">
        <f aca="false">TRUE()</f>
        <v>1</v>
      </c>
      <c r="AH1697" s="0" t="n">
        <v>1</v>
      </c>
    </row>
    <row r="1698" customFormat="false" ht="15" hidden="false" customHeight="false" outlineLevel="0" collapsed="false">
      <c r="A1698" s="0" t="s">
        <v>2580</v>
      </c>
      <c r="B1698" s="0" t="s">
        <v>134</v>
      </c>
      <c r="C1698" s="0" t="s">
        <v>3450</v>
      </c>
      <c r="D1698" s="0" t="s">
        <v>3457</v>
      </c>
      <c r="E1698" s="18" t="s">
        <v>24</v>
      </c>
      <c r="F1698" s="18" t="s">
        <v>28</v>
      </c>
      <c r="H1698" s="21" t="s">
        <v>24</v>
      </c>
      <c r="I1698" s="21" t="s">
        <v>24</v>
      </c>
      <c r="J1698" s="21" t="s">
        <v>24</v>
      </c>
      <c r="K1698" s="21" t="s">
        <v>24</v>
      </c>
      <c r="L1698" s="21" t="s">
        <v>24</v>
      </c>
      <c r="M1698" s="0" t="n">
        <v>187</v>
      </c>
      <c r="N1698" s="0" t="n">
        <v>0</v>
      </c>
      <c r="Q1698" s="0" t="n">
        <v>0</v>
      </c>
      <c r="S1698" s="0" t="n">
        <v>0</v>
      </c>
      <c r="U1698" s="22" t="b">
        <f aca="false">FALSE()</f>
        <v>0</v>
      </c>
      <c r="V1698" s="0" t="n">
        <v>0.79</v>
      </c>
      <c r="W1698" s="0" t="n">
        <v>0.56</v>
      </c>
      <c r="X1698" s="0" t="n">
        <v>7.77</v>
      </c>
      <c r="Y1698" s="0" t="n">
        <v>321.59</v>
      </c>
      <c r="Z1698" s="0" t="n">
        <v>9.25</v>
      </c>
      <c r="AA1698" s="0" t="n">
        <v>6.81</v>
      </c>
      <c r="AB1698" s="0" t="n">
        <v>2.46</v>
      </c>
      <c r="AC1698" s="22" t="b">
        <f aca="false">FALSE()</f>
        <v>0</v>
      </c>
      <c r="AD1698" s="0" t="n">
        <v>12.23</v>
      </c>
      <c r="AE1698" s="0" t="n">
        <v>0.98</v>
      </c>
      <c r="AF1698" s="0" t="n">
        <v>1.51</v>
      </c>
      <c r="AG1698" s="22" t="b">
        <f aca="false">TRUE()</f>
        <v>1</v>
      </c>
      <c r="AH1698" s="0" t="n">
        <v>1</v>
      </c>
    </row>
    <row r="1699" customFormat="false" ht="15" hidden="false" customHeight="false" outlineLevel="0" collapsed="false">
      <c r="A1699" s="0" t="s">
        <v>2580</v>
      </c>
      <c r="B1699" s="0" t="s">
        <v>134</v>
      </c>
      <c r="C1699" s="0" t="s">
        <v>3450</v>
      </c>
      <c r="D1699" s="0" t="s">
        <v>3448</v>
      </c>
      <c r="E1699" s="18" t="s">
        <v>24</v>
      </c>
      <c r="F1699" s="18" t="s">
        <v>28</v>
      </c>
      <c r="H1699" s="21" t="s">
        <v>24</v>
      </c>
      <c r="I1699" s="21" t="s">
        <v>24</v>
      </c>
      <c r="J1699" s="21" t="s">
        <v>24</v>
      </c>
      <c r="K1699" s="21" t="s">
        <v>24</v>
      </c>
      <c r="L1699" s="21" t="s">
        <v>24</v>
      </c>
      <c r="M1699" s="0" t="n">
        <v>191</v>
      </c>
      <c r="N1699" s="0" t="n">
        <v>0</v>
      </c>
      <c r="Q1699" s="0" t="n">
        <v>0</v>
      </c>
      <c r="S1699" s="0" t="n">
        <v>0</v>
      </c>
      <c r="U1699" s="22" t="b">
        <f aca="false">FALSE()</f>
        <v>0</v>
      </c>
      <c r="V1699" s="0" t="n">
        <v>0.79</v>
      </c>
      <c r="W1699" s="0" t="n">
        <v>0.36</v>
      </c>
      <c r="X1699" s="0" t="n">
        <v>7.74</v>
      </c>
      <c r="Y1699" s="0" t="n">
        <v>288.18</v>
      </c>
      <c r="Z1699" s="0" t="n">
        <v>9.25</v>
      </c>
      <c r="AA1699" s="0" t="n">
        <v>9.4</v>
      </c>
      <c r="AB1699" s="0" t="n">
        <v>3.81</v>
      </c>
      <c r="AC1699" s="22" t="b">
        <f aca="false">FALSE()</f>
        <v>0</v>
      </c>
      <c r="AD1699" s="0" t="n">
        <v>17.85</v>
      </c>
      <c r="AE1699" s="0" t="n">
        <v>0.23</v>
      </c>
      <c r="AF1699" s="0" t="n">
        <v>5.13</v>
      </c>
      <c r="AG1699" s="22" t="b">
        <f aca="false">TRUE()</f>
        <v>1</v>
      </c>
      <c r="AH1699" s="0" t="n">
        <v>1</v>
      </c>
    </row>
    <row r="1700" customFormat="false" ht="15" hidden="false" customHeight="false" outlineLevel="0" collapsed="false">
      <c r="A1700" s="0" t="s">
        <v>2580</v>
      </c>
      <c r="B1700" s="0" t="s">
        <v>134</v>
      </c>
      <c r="C1700" s="0" t="s">
        <v>3447</v>
      </c>
      <c r="D1700" s="0" t="s">
        <v>3457</v>
      </c>
      <c r="E1700" s="18" t="s">
        <v>24</v>
      </c>
      <c r="F1700" s="23" t="s">
        <v>30</v>
      </c>
      <c r="G1700" s="21" t="s">
        <v>30</v>
      </c>
      <c r="H1700" s="21" t="s">
        <v>24</v>
      </c>
      <c r="I1700" s="21" t="s">
        <v>24</v>
      </c>
      <c r="J1700" s="21" t="s">
        <v>24</v>
      </c>
      <c r="K1700" s="21" t="s">
        <v>24</v>
      </c>
      <c r="L1700" s="21" t="s">
        <v>24</v>
      </c>
      <c r="M1700" s="0" t="n">
        <v>187</v>
      </c>
      <c r="N1700" s="0" t="n">
        <v>3</v>
      </c>
      <c r="O1700" s="21" t="s">
        <v>3539</v>
      </c>
      <c r="P1700" s="21" t="s">
        <v>4342</v>
      </c>
      <c r="Q1700" s="0" t="n">
        <v>0</v>
      </c>
      <c r="S1700" s="0" t="n">
        <v>3</v>
      </c>
      <c r="T1700" s="21" t="s">
        <v>3539</v>
      </c>
      <c r="U1700" s="22" t="b">
        <f aca="false">TRUE()</f>
        <v>1</v>
      </c>
      <c r="V1700" s="0" t="n">
        <v>0.82</v>
      </c>
      <c r="W1700" s="0" t="n">
        <v>0</v>
      </c>
      <c r="X1700" s="0" t="n">
        <v>9.53</v>
      </c>
      <c r="Y1700" s="0" t="n">
        <v>1.99</v>
      </c>
      <c r="Z1700" s="0" t="n">
        <v>8</v>
      </c>
      <c r="AA1700" s="0" t="n">
        <v>-0.93</v>
      </c>
      <c r="AB1700" s="0" t="n">
        <v>2.46</v>
      </c>
      <c r="AC1700" s="22" t="b">
        <f aca="false">FALSE()</f>
        <v>0</v>
      </c>
      <c r="AD1700" s="0" t="n">
        <v>10.7</v>
      </c>
      <c r="AE1700" s="0" t="n">
        <v>0.9</v>
      </c>
      <c r="AF1700" s="0" t="n">
        <v>1.29</v>
      </c>
      <c r="AG1700" s="22" t="b">
        <f aca="false">TRUE()</f>
        <v>1</v>
      </c>
      <c r="AH1700" s="0" t="n">
        <v>0</v>
      </c>
    </row>
    <row r="1701" customFormat="false" ht="15" hidden="false" customHeight="false" outlineLevel="0" collapsed="false">
      <c r="A1701" s="0" t="s">
        <v>2580</v>
      </c>
      <c r="B1701" s="0" t="s">
        <v>134</v>
      </c>
      <c r="C1701" s="0" t="s">
        <v>3447</v>
      </c>
      <c r="D1701" s="0" t="s">
        <v>3448</v>
      </c>
      <c r="E1701" s="18" t="s">
        <v>24</v>
      </c>
      <c r="F1701" s="18" t="s">
        <v>28</v>
      </c>
      <c r="H1701" s="21" t="s">
        <v>24</v>
      </c>
      <c r="I1701" s="21" t="s">
        <v>24</v>
      </c>
      <c r="J1701" s="21" t="s">
        <v>24</v>
      </c>
      <c r="K1701" s="21" t="s">
        <v>24</v>
      </c>
      <c r="L1701" s="21" t="s">
        <v>24</v>
      </c>
      <c r="M1701" s="0" t="n">
        <v>189</v>
      </c>
      <c r="N1701" s="0" t="n">
        <v>0</v>
      </c>
      <c r="Q1701" s="0" t="n">
        <v>0</v>
      </c>
      <c r="S1701" s="0" t="n">
        <v>0</v>
      </c>
      <c r="U1701" s="22" t="b">
        <f aca="false">FALSE()</f>
        <v>0</v>
      </c>
      <c r="V1701" s="0" t="n">
        <v>0.78</v>
      </c>
      <c r="W1701" s="0" t="n">
        <v>0.96</v>
      </c>
      <c r="X1701" s="0" t="n">
        <v>9.3</v>
      </c>
      <c r="Y1701" s="0" t="n">
        <v>266.18</v>
      </c>
      <c r="Z1701" s="0" t="n">
        <v>8</v>
      </c>
      <c r="AA1701" s="0" t="n">
        <v>-1.02</v>
      </c>
      <c r="AB1701" s="0" t="n">
        <v>3.81</v>
      </c>
      <c r="AC1701" s="22" t="b">
        <f aca="false">FALSE()</f>
        <v>0</v>
      </c>
      <c r="AD1701" s="0" t="n">
        <v>16.99</v>
      </c>
      <c r="AE1701" s="0" t="n">
        <v>0.29</v>
      </c>
      <c r="AF1701" s="0" t="n">
        <v>4.44</v>
      </c>
      <c r="AG1701" s="22" t="b">
        <f aca="false">TRUE()</f>
        <v>1</v>
      </c>
      <c r="AH1701" s="0" t="n">
        <v>1</v>
      </c>
    </row>
    <row r="1702" customFormat="false" ht="15" hidden="false" customHeight="false" outlineLevel="0" collapsed="false">
      <c r="A1702" s="0" t="s">
        <v>2580</v>
      </c>
      <c r="B1702" s="0" t="s">
        <v>3459</v>
      </c>
      <c r="C1702" s="0" t="s">
        <v>3450</v>
      </c>
      <c r="D1702" s="0" t="s">
        <v>3457</v>
      </c>
      <c r="E1702" s="20" t="s">
        <v>25</v>
      </c>
      <c r="F1702" s="23" t="s">
        <v>30</v>
      </c>
      <c r="G1702" s="21" t="s">
        <v>992</v>
      </c>
      <c r="H1702" s="21" t="s">
        <v>24</v>
      </c>
      <c r="I1702" s="21" t="s">
        <v>24</v>
      </c>
      <c r="J1702" s="21" t="s">
        <v>24</v>
      </c>
      <c r="K1702" s="21" t="s">
        <v>25</v>
      </c>
      <c r="L1702" s="21" t="s">
        <v>24</v>
      </c>
      <c r="M1702" s="0" t="n">
        <v>184</v>
      </c>
      <c r="N1702" s="0" t="n">
        <v>1</v>
      </c>
      <c r="O1702" s="21" t="s">
        <v>3474</v>
      </c>
      <c r="P1702" s="21" t="s">
        <v>4272</v>
      </c>
      <c r="Q1702" s="0" t="n">
        <v>0</v>
      </c>
      <c r="S1702" s="0" t="n">
        <v>1</v>
      </c>
      <c r="T1702" s="21" t="s">
        <v>3474</v>
      </c>
      <c r="U1702" s="22" t="b">
        <f aca="false">TRUE()</f>
        <v>1</v>
      </c>
      <c r="V1702" s="0" t="n">
        <v>0.72</v>
      </c>
      <c r="W1702" s="0" t="n">
        <v>0.28</v>
      </c>
      <c r="X1702" s="0" t="n">
        <v>7.2</v>
      </c>
      <c r="Y1702" s="0" t="n">
        <v>427.5</v>
      </c>
      <c r="Z1702" s="0" t="n">
        <v>9.42</v>
      </c>
      <c r="AA1702" s="0" t="n">
        <v>6.66</v>
      </c>
      <c r="AB1702" s="0" t="n">
        <v>2.06</v>
      </c>
      <c r="AC1702" s="22" t="b">
        <f aca="false">FALSE()</f>
        <v>0</v>
      </c>
      <c r="AD1702" s="0" t="n">
        <v>23.2</v>
      </c>
      <c r="AE1702" s="0" t="n">
        <v>8.47</v>
      </c>
      <c r="AF1702" s="0" t="n">
        <v>17</v>
      </c>
      <c r="AG1702" s="22" t="b">
        <f aca="false">TRUE()</f>
        <v>1</v>
      </c>
      <c r="AH1702" s="0" t="n">
        <v>1</v>
      </c>
    </row>
    <row r="1703" customFormat="false" ht="15" hidden="false" customHeight="false" outlineLevel="0" collapsed="false">
      <c r="A1703" s="0" t="s">
        <v>2580</v>
      </c>
      <c r="B1703" s="0" t="s">
        <v>3459</v>
      </c>
      <c r="C1703" s="0" t="s">
        <v>3450</v>
      </c>
      <c r="D1703" s="0" t="s">
        <v>3448</v>
      </c>
      <c r="E1703" s="20" t="s">
        <v>25</v>
      </c>
      <c r="F1703" s="23" t="s">
        <v>30</v>
      </c>
      <c r="G1703" s="21" t="s">
        <v>157</v>
      </c>
      <c r="H1703" s="21" t="s">
        <v>24</v>
      </c>
      <c r="I1703" s="21" t="s">
        <v>25</v>
      </c>
      <c r="J1703" s="21" t="s">
        <v>24</v>
      </c>
      <c r="K1703" s="21" t="s">
        <v>25</v>
      </c>
      <c r="L1703" s="21" t="s">
        <v>24</v>
      </c>
      <c r="M1703" s="0" t="n">
        <v>187</v>
      </c>
      <c r="N1703" s="0" t="n">
        <v>1</v>
      </c>
      <c r="O1703" s="21" t="s">
        <v>70</v>
      </c>
      <c r="P1703" s="21" t="s">
        <v>4378</v>
      </c>
      <c r="Q1703" s="0" t="n">
        <v>1</v>
      </c>
      <c r="R1703" s="21" t="s">
        <v>70</v>
      </c>
      <c r="S1703" s="0" t="n">
        <v>1</v>
      </c>
      <c r="T1703" s="21" t="s">
        <v>70</v>
      </c>
      <c r="U1703" s="22" t="b">
        <f aca="false">TRUE()</f>
        <v>1</v>
      </c>
      <c r="V1703" s="0" t="n">
        <v>0.76</v>
      </c>
      <c r="W1703" s="0" t="n">
        <v>0.84</v>
      </c>
      <c r="X1703" s="0" t="n">
        <v>7.36</v>
      </c>
      <c r="Y1703" s="0" t="n">
        <v>323.76</v>
      </c>
      <c r="Z1703" s="0" t="n">
        <v>9</v>
      </c>
      <c r="AA1703" s="0" t="n">
        <v>8.84</v>
      </c>
      <c r="AB1703" s="0" t="n">
        <v>0.86</v>
      </c>
      <c r="AC1703" s="22" t="b">
        <f aca="false">FALSE()</f>
        <v>0</v>
      </c>
      <c r="AD1703" s="0" t="n">
        <v>24.15</v>
      </c>
      <c r="AE1703" s="0" t="n">
        <v>13.67</v>
      </c>
      <c r="AF1703" s="0" t="n">
        <v>21.61</v>
      </c>
      <c r="AG1703" s="22" t="b">
        <f aca="false">TRUE()</f>
        <v>1</v>
      </c>
      <c r="AH1703" s="0" t="n">
        <v>1</v>
      </c>
    </row>
    <row r="1704" customFormat="false" ht="15" hidden="false" customHeight="false" outlineLevel="0" collapsed="false">
      <c r="A1704" s="0" t="s">
        <v>2580</v>
      </c>
      <c r="B1704" s="0" t="s">
        <v>3459</v>
      </c>
      <c r="C1704" s="0" t="s">
        <v>3447</v>
      </c>
      <c r="D1704" s="0" t="s">
        <v>3457</v>
      </c>
      <c r="E1704" s="20" t="s">
        <v>25</v>
      </c>
      <c r="F1704" s="23" t="s">
        <v>30</v>
      </c>
      <c r="G1704" s="21" t="s">
        <v>992</v>
      </c>
      <c r="H1704" s="21" t="s">
        <v>24</v>
      </c>
      <c r="I1704" s="21" t="s">
        <v>24</v>
      </c>
      <c r="J1704" s="21" t="s">
        <v>24</v>
      </c>
      <c r="K1704" s="21" t="s">
        <v>25</v>
      </c>
      <c r="L1704" s="21" t="s">
        <v>24</v>
      </c>
      <c r="M1704" s="0" t="n">
        <v>183</v>
      </c>
      <c r="N1704" s="0" t="n">
        <v>2</v>
      </c>
      <c r="O1704" s="21" t="s">
        <v>3511</v>
      </c>
      <c r="P1704" s="21" t="s">
        <v>4387</v>
      </c>
      <c r="Q1704" s="0" t="n">
        <v>0</v>
      </c>
      <c r="S1704" s="0" t="n">
        <v>2</v>
      </c>
      <c r="T1704" s="21" t="s">
        <v>3511</v>
      </c>
      <c r="U1704" s="22" t="b">
        <f aca="false">TRUE()</f>
        <v>1</v>
      </c>
      <c r="V1704" s="0" t="n">
        <v>0.83</v>
      </c>
      <c r="W1704" s="0" t="n">
        <v>0</v>
      </c>
      <c r="X1704" s="0" t="n">
        <v>9.02</v>
      </c>
      <c r="Y1704" s="0" t="n">
        <v>3.27</v>
      </c>
      <c r="Z1704" s="0" t="n">
        <v>8</v>
      </c>
      <c r="AA1704" s="0" t="n">
        <v>-0.71</v>
      </c>
      <c r="AB1704" s="0" t="n">
        <v>2.06</v>
      </c>
      <c r="AC1704" s="22" t="b">
        <f aca="false">FALSE()</f>
        <v>0</v>
      </c>
      <c r="AD1704" s="0" t="n">
        <v>27.66</v>
      </c>
      <c r="AE1704" s="0" t="n">
        <v>15.54</v>
      </c>
      <c r="AF1704" s="0" t="n">
        <v>23.84</v>
      </c>
      <c r="AG1704" s="22" t="b">
        <f aca="false">TRUE()</f>
        <v>1</v>
      </c>
      <c r="AH1704" s="0" t="n">
        <v>0</v>
      </c>
    </row>
    <row r="1705" customFormat="false" ht="15" hidden="false" customHeight="false" outlineLevel="0" collapsed="false">
      <c r="A1705" s="0" t="s">
        <v>2580</v>
      </c>
      <c r="B1705" s="0" t="s">
        <v>3459</v>
      </c>
      <c r="C1705" s="0" t="s">
        <v>3447</v>
      </c>
      <c r="D1705" s="0" t="s">
        <v>3448</v>
      </c>
      <c r="E1705" s="20" t="s">
        <v>25</v>
      </c>
      <c r="F1705" s="23" t="s">
        <v>30</v>
      </c>
      <c r="G1705" s="21" t="s">
        <v>2133</v>
      </c>
      <c r="H1705" s="21" t="s">
        <v>24</v>
      </c>
      <c r="I1705" s="21" t="s">
        <v>24</v>
      </c>
      <c r="J1705" s="21" t="s">
        <v>24</v>
      </c>
      <c r="K1705" s="21" t="s">
        <v>25</v>
      </c>
      <c r="L1705" s="21" t="s">
        <v>24</v>
      </c>
      <c r="M1705" s="0" t="n">
        <v>184</v>
      </c>
      <c r="N1705" s="0" t="n">
        <v>1</v>
      </c>
      <c r="O1705" s="21" t="s">
        <v>3476</v>
      </c>
      <c r="P1705" s="21" t="s">
        <v>4228</v>
      </c>
      <c r="Q1705" s="0" t="n">
        <v>0</v>
      </c>
      <c r="S1705" s="0" t="n">
        <v>1</v>
      </c>
      <c r="T1705" s="21" t="s">
        <v>3476</v>
      </c>
      <c r="U1705" s="22" t="b">
        <f aca="false">TRUE()</f>
        <v>1</v>
      </c>
      <c r="V1705" s="0" t="n">
        <v>0.81</v>
      </c>
      <c r="W1705" s="0" t="n">
        <v>0.64</v>
      </c>
      <c r="X1705" s="0" t="n">
        <v>11.25</v>
      </c>
      <c r="Y1705" s="0" t="n">
        <v>310.77</v>
      </c>
      <c r="Z1705" s="0" t="n">
        <v>8</v>
      </c>
      <c r="AA1705" s="0" t="n">
        <v>-0.79</v>
      </c>
      <c r="AB1705" s="0" t="n">
        <v>0.86</v>
      </c>
      <c r="AC1705" s="22" t="b">
        <f aca="false">FALSE()</f>
        <v>0</v>
      </c>
      <c r="AD1705" s="0" t="n">
        <v>19.53</v>
      </c>
      <c r="AE1705" s="0" t="n">
        <v>8.06</v>
      </c>
      <c r="AF1705" s="0" t="n">
        <v>16.55</v>
      </c>
      <c r="AG1705" s="22" t="b">
        <f aca="false">TRUE()</f>
        <v>1</v>
      </c>
      <c r="AH1705" s="0" t="n">
        <v>1</v>
      </c>
    </row>
    <row r="1706" customFormat="false" ht="15" hidden="false" customHeight="false" outlineLevel="0" collapsed="false">
      <c r="A1706" s="0" t="s">
        <v>2586</v>
      </c>
      <c r="B1706" s="0" t="s">
        <v>134</v>
      </c>
      <c r="C1706" s="0" t="s">
        <v>3450</v>
      </c>
      <c r="D1706" s="0" t="s">
        <v>3457</v>
      </c>
      <c r="E1706" s="20" t="s">
        <v>25</v>
      </c>
      <c r="F1706" s="20" t="s">
        <v>29</v>
      </c>
      <c r="G1706" s="21" t="s">
        <v>66</v>
      </c>
      <c r="H1706" s="21" t="s">
        <v>24</v>
      </c>
      <c r="I1706" s="21" t="s">
        <v>24</v>
      </c>
      <c r="J1706" s="21" t="s">
        <v>24</v>
      </c>
      <c r="K1706" s="21" t="s">
        <v>25</v>
      </c>
      <c r="L1706" s="21" t="s">
        <v>24</v>
      </c>
      <c r="M1706" s="0" t="n">
        <v>189</v>
      </c>
      <c r="N1706" s="0" t="n">
        <v>0</v>
      </c>
      <c r="Q1706" s="0" t="n">
        <v>0</v>
      </c>
      <c r="S1706" s="0" t="n">
        <v>0</v>
      </c>
      <c r="U1706" s="22" t="b">
        <f aca="false">FALSE()</f>
        <v>0</v>
      </c>
      <c r="V1706" s="0" t="n">
        <v>0.72</v>
      </c>
      <c r="W1706" s="0" t="n">
        <v>0.88</v>
      </c>
      <c r="X1706" s="0" t="n">
        <v>9.69</v>
      </c>
      <c r="Y1706" s="0" t="n">
        <v>233.95</v>
      </c>
      <c r="Z1706" s="0" t="n">
        <v>9.83</v>
      </c>
      <c r="AA1706" s="0" t="n">
        <v>4.67</v>
      </c>
      <c r="AB1706" s="0" t="n">
        <v>3.17</v>
      </c>
      <c r="AC1706" s="22" t="b">
        <f aca="false">FALSE()</f>
        <v>0</v>
      </c>
      <c r="AD1706" s="0" t="n">
        <v>30.79</v>
      </c>
      <c r="AE1706" s="0" t="n">
        <v>0.57</v>
      </c>
      <c r="AF1706" s="0" t="n">
        <v>26.08</v>
      </c>
      <c r="AG1706" s="22" t="b">
        <f aca="false">TRUE()</f>
        <v>1</v>
      </c>
      <c r="AH1706" s="0" t="n">
        <v>1</v>
      </c>
    </row>
    <row r="1707" customFormat="false" ht="15" hidden="false" customHeight="false" outlineLevel="0" collapsed="false">
      <c r="A1707" s="0" t="s">
        <v>2586</v>
      </c>
      <c r="B1707" s="0" t="s">
        <v>134</v>
      </c>
      <c r="C1707" s="0" t="s">
        <v>3450</v>
      </c>
      <c r="D1707" s="0" t="s">
        <v>3448</v>
      </c>
      <c r="E1707" s="20" t="s">
        <v>25</v>
      </c>
      <c r="F1707" s="20" t="s">
        <v>29</v>
      </c>
      <c r="G1707" s="21" t="s">
        <v>62</v>
      </c>
      <c r="H1707" s="21" t="s">
        <v>24</v>
      </c>
      <c r="I1707" s="21" t="s">
        <v>24</v>
      </c>
      <c r="J1707" s="21" t="s">
        <v>24</v>
      </c>
      <c r="K1707" s="21" t="s">
        <v>25</v>
      </c>
      <c r="L1707" s="21" t="s">
        <v>24</v>
      </c>
      <c r="M1707" s="0" t="n">
        <v>192</v>
      </c>
      <c r="N1707" s="0" t="n">
        <v>0</v>
      </c>
      <c r="Q1707" s="0" t="n">
        <v>0</v>
      </c>
      <c r="S1707" s="0" t="n">
        <v>0</v>
      </c>
      <c r="U1707" s="22" t="b">
        <f aca="false">FALSE()</f>
        <v>0</v>
      </c>
      <c r="V1707" s="0" t="n">
        <v>0.73</v>
      </c>
      <c r="W1707" s="0" t="n">
        <v>0.96</v>
      </c>
      <c r="X1707" s="0" t="n">
        <v>6.6</v>
      </c>
      <c r="Y1707" s="0" t="n">
        <v>332.5</v>
      </c>
      <c r="Z1707" s="0" t="n">
        <v>8</v>
      </c>
      <c r="AA1707" s="0" t="n">
        <v>-1.04</v>
      </c>
      <c r="AB1707" s="0" t="n">
        <v>91</v>
      </c>
      <c r="AC1707" s="22" t="b">
        <f aca="false">FALSE()</f>
        <v>0</v>
      </c>
      <c r="AD1707" s="0" t="n">
        <v>1.05</v>
      </c>
      <c r="AE1707" s="0" t="n">
        <v>0.04</v>
      </c>
      <c r="AF1707" s="0" t="n">
        <v>1.72</v>
      </c>
      <c r="AG1707" s="22" t="b">
        <f aca="false">FALSE()</f>
        <v>0</v>
      </c>
      <c r="AH1707" s="0" t="n">
        <v>1</v>
      </c>
    </row>
    <row r="1708" customFormat="false" ht="15" hidden="false" customHeight="false" outlineLevel="0" collapsed="false">
      <c r="A1708" s="0" t="s">
        <v>2586</v>
      </c>
      <c r="B1708" s="0" t="s">
        <v>134</v>
      </c>
      <c r="C1708" s="0" t="s">
        <v>3447</v>
      </c>
      <c r="D1708" s="0" t="s">
        <v>3457</v>
      </c>
      <c r="E1708" s="19" t="s">
        <v>26</v>
      </c>
      <c r="F1708" s="19" t="s">
        <v>32</v>
      </c>
      <c r="G1708" s="21" t="s">
        <v>1926</v>
      </c>
      <c r="H1708" s="21" t="s">
        <v>24</v>
      </c>
      <c r="I1708" s="21" t="s">
        <v>26</v>
      </c>
      <c r="J1708" s="21" t="s">
        <v>24</v>
      </c>
      <c r="K1708" s="21" t="s">
        <v>25</v>
      </c>
      <c r="L1708" s="21" t="s">
        <v>24</v>
      </c>
      <c r="M1708" s="0" t="n">
        <v>189</v>
      </c>
      <c r="N1708" s="0" t="n">
        <v>17</v>
      </c>
      <c r="O1708" s="21" t="s">
        <v>4156</v>
      </c>
      <c r="P1708" s="21" t="s">
        <v>4797</v>
      </c>
      <c r="Q1708" s="0" t="n">
        <v>1</v>
      </c>
      <c r="R1708" s="21" t="s">
        <v>69</v>
      </c>
      <c r="S1708" s="0" t="n">
        <v>17</v>
      </c>
      <c r="T1708" s="21" t="s">
        <v>4156</v>
      </c>
      <c r="U1708" s="22" t="b">
        <f aca="false">FALSE()</f>
        <v>0</v>
      </c>
      <c r="V1708" s="0" t="n">
        <v>0.69</v>
      </c>
      <c r="W1708" s="0" t="n">
        <v>0.68</v>
      </c>
      <c r="X1708" s="0" t="n">
        <v>11.25</v>
      </c>
      <c r="Y1708" s="0" t="n">
        <v>240.54</v>
      </c>
      <c r="Z1708" s="0" t="n">
        <v>8.33</v>
      </c>
      <c r="AA1708" s="0" t="n">
        <v>-1.13</v>
      </c>
      <c r="AB1708" s="0" t="n">
        <v>3.17</v>
      </c>
      <c r="AC1708" s="22" t="b">
        <f aca="false">FALSE()</f>
        <v>0</v>
      </c>
      <c r="AD1708" s="0" t="n">
        <v>26.08</v>
      </c>
      <c r="AE1708" s="0" t="n">
        <v>0.74</v>
      </c>
      <c r="AF1708" s="0" t="n">
        <v>22.78</v>
      </c>
      <c r="AG1708" s="22" t="b">
        <f aca="false">TRUE()</f>
        <v>1</v>
      </c>
      <c r="AH1708" s="0" t="n">
        <v>1</v>
      </c>
    </row>
    <row r="1709" customFormat="false" ht="15" hidden="false" customHeight="false" outlineLevel="0" collapsed="false">
      <c r="A1709" s="0" t="s">
        <v>2586</v>
      </c>
      <c r="B1709" s="0" t="s">
        <v>134</v>
      </c>
      <c r="C1709" s="0" t="s">
        <v>3447</v>
      </c>
      <c r="D1709" s="0" t="s">
        <v>3448</v>
      </c>
      <c r="E1709" s="19" t="s">
        <v>26</v>
      </c>
      <c r="F1709" s="19" t="s">
        <v>32</v>
      </c>
      <c r="G1709" s="21" t="s">
        <v>529</v>
      </c>
      <c r="H1709" s="21" t="s">
        <v>24</v>
      </c>
      <c r="I1709" s="21" t="s">
        <v>26</v>
      </c>
      <c r="J1709" s="21" t="s">
        <v>24</v>
      </c>
      <c r="K1709" s="21" t="s">
        <v>24</v>
      </c>
      <c r="L1709" s="21" t="s">
        <v>24</v>
      </c>
      <c r="M1709" s="0" t="n">
        <v>185</v>
      </c>
      <c r="N1709" s="0" t="n">
        <v>14</v>
      </c>
      <c r="O1709" s="21" t="s">
        <v>4058</v>
      </c>
      <c r="P1709" s="21" t="s">
        <v>4360</v>
      </c>
      <c r="Q1709" s="0" t="n">
        <v>1</v>
      </c>
      <c r="R1709" s="21" t="s">
        <v>69</v>
      </c>
      <c r="S1709" s="0" t="n">
        <v>14</v>
      </c>
      <c r="T1709" s="21" t="s">
        <v>4058</v>
      </c>
      <c r="U1709" s="22" t="b">
        <f aca="false">FALSE()</f>
        <v>0</v>
      </c>
      <c r="V1709" s="0" t="n">
        <v>0.77</v>
      </c>
      <c r="W1709" s="0" t="n">
        <v>0.76</v>
      </c>
      <c r="X1709" s="0" t="n">
        <v>8</v>
      </c>
      <c r="Y1709" s="0" t="n">
        <v>324.08</v>
      </c>
      <c r="Z1709" s="0" t="n">
        <v>8.25</v>
      </c>
      <c r="AA1709" s="0" t="n">
        <v>-0.5</v>
      </c>
      <c r="AB1709" s="0" t="n">
        <v>91</v>
      </c>
      <c r="AC1709" s="22" t="b">
        <f aca="false">FALSE()</f>
        <v>0</v>
      </c>
      <c r="AD1709" s="0" t="n">
        <v>11.27</v>
      </c>
      <c r="AE1709" s="0" t="n">
        <v>-0.29</v>
      </c>
      <c r="AF1709" s="0" t="n">
        <v>4.74</v>
      </c>
      <c r="AG1709" s="22" t="b">
        <f aca="false">TRUE()</f>
        <v>1</v>
      </c>
      <c r="AH1709" s="0" t="n">
        <v>1</v>
      </c>
    </row>
    <row r="1710" customFormat="false" ht="15" hidden="false" customHeight="false" outlineLevel="0" collapsed="false">
      <c r="A1710" s="0" t="s">
        <v>2586</v>
      </c>
      <c r="B1710" s="0" t="s">
        <v>3459</v>
      </c>
      <c r="C1710" s="0" t="s">
        <v>3450</v>
      </c>
      <c r="D1710" s="0" t="s">
        <v>3457</v>
      </c>
      <c r="E1710" s="20" t="s">
        <v>25</v>
      </c>
      <c r="F1710" s="23" t="s">
        <v>30</v>
      </c>
      <c r="G1710" s="21" t="s">
        <v>1046</v>
      </c>
      <c r="H1710" s="21" t="s">
        <v>24</v>
      </c>
      <c r="I1710" s="21" t="s">
        <v>25</v>
      </c>
      <c r="J1710" s="21" t="s">
        <v>24</v>
      </c>
      <c r="K1710" s="21" t="s">
        <v>25</v>
      </c>
      <c r="L1710" s="21" t="s">
        <v>24</v>
      </c>
      <c r="M1710" s="0" t="n">
        <v>182</v>
      </c>
      <c r="N1710" s="0" t="n">
        <v>1</v>
      </c>
      <c r="O1710" s="21" t="s">
        <v>69</v>
      </c>
      <c r="P1710" s="21" t="s">
        <v>4275</v>
      </c>
      <c r="Q1710" s="0" t="n">
        <v>1</v>
      </c>
      <c r="R1710" s="21" t="s">
        <v>69</v>
      </c>
      <c r="S1710" s="0" t="n">
        <v>1</v>
      </c>
      <c r="T1710" s="21" t="s">
        <v>69</v>
      </c>
      <c r="U1710" s="22" t="b">
        <f aca="false">TRUE()</f>
        <v>1</v>
      </c>
      <c r="V1710" s="0" t="n">
        <v>0.75</v>
      </c>
      <c r="W1710" s="0" t="n">
        <v>0.6</v>
      </c>
      <c r="X1710" s="0" t="n">
        <v>7.68</v>
      </c>
      <c r="Y1710" s="0" t="n">
        <v>311.14</v>
      </c>
      <c r="Z1710" s="0" t="n">
        <v>8.25</v>
      </c>
      <c r="AA1710" s="0" t="n">
        <v>0.55</v>
      </c>
      <c r="AB1710" s="0" t="n">
        <v>3.75</v>
      </c>
      <c r="AC1710" s="22" t="b">
        <f aca="false">FALSE()</f>
        <v>0</v>
      </c>
      <c r="AD1710" s="0" t="n">
        <v>28.14</v>
      </c>
      <c r="AE1710" s="0" t="n">
        <v>16.91</v>
      </c>
      <c r="AF1710" s="0" t="n">
        <v>27.17</v>
      </c>
      <c r="AG1710" s="22" t="b">
        <f aca="false">TRUE()</f>
        <v>1</v>
      </c>
      <c r="AH1710" s="0" t="n">
        <v>1</v>
      </c>
    </row>
    <row r="1711" customFormat="false" ht="15" hidden="false" customHeight="false" outlineLevel="0" collapsed="false">
      <c r="A1711" s="0" t="s">
        <v>2586</v>
      </c>
      <c r="B1711" s="0" t="s">
        <v>3459</v>
      </c>
      <c r="C1711" s="0" t="s">
        <v>3450</v>
      </c>
      <c r="D1711" s="0" t="s">
        <v>3448</v>
      </c>
      <c r="E1711" s="20" t="s">
        <v>25</v>
      </c>
      <c r="F1711" s="23" t="s">
        <v>30</v>
      </c>
      <c r="G1711" s="21" t="s">
        <v>183</v>
      </c>
      <c r="H1711" s="21" t="s">
        <v>24</v>
      </c>
      <c r="I1711" s="21" t="s">
        <v>25</v>
      </c>
      <c r="J1711" s="21" t="s">
        <v>24</v>
      </c>
      <c r="K1711" s="21" t="s">
        <v>25</v>
      </c>
      <c r="L1711" s="21" t="s">
        <v>24</v>
      </c>
      <c r="M1711" s="0" t="n">
        <v>187</v>
      </c>
      <c r="N1711" s="0" t="n">
        <v>2</v>
      </c>
      <c r="O1711" s="21" t="s">
        <v>3575</v>
      </c>
      <c r="P1711" s="21" t="s">
        <v>4265</v>
      </c>
      <c r="Q1711" s="0" t="n">
        <v>1</v>
      </c>
      <c r="R1711" s="21" t="s">
        <v>69</v>
      </c>
      <c r="S1711" s="0" t="n">
        <v>2</v>
      </c>
      <c r="T1711" s="21" t="s">
        <v>3575</v>
      </c>
      <c r="U1711" s="22" t="b">
        <f aca="false">TRUE()</f>
        <v>1</v>
      </c>
      <c r="V1711" s="0" t="n">
        <v>0.74</v>
      </c>
      <c r="W1711" s="0" t="n">
        <v>0.44</v>
      </c>
      <c r="X1711" s="0" t="n">
        <v>7.29</v>
      </c>
      <c r="Y1711" s="0" t="n">
        <v>348.33</v>
      </c>
      <c r="Z1711" s="0" t="n">
        <v>8.75</v>
      </c>
      <c r="AA1711" s="0" t="n">
        <v>7.06</v>
      </c>
      <c r="AB1711" s="0" t="n">
        <v>3.11</v>
      </c>
      <c r="AC1711" s="22" t="b">
        <f aca="false">FALSE()</f>
        <v>0</v>
      </c>
      <c r="AD1711" s="0" t="n">
        <v>26.57</v>
      </c>
      <c r="AE1711" s="0" t="n">
        <v>16.68</v>
      </c>
      <c r="AF1711" s="0" t="n">
        <v>26.83</v>
      </c>
      <c r="AG1711" s="22" t="b">
        <f aca="false">TRUE()</f>
        <v>1</v>
      </c>
      <c r="AH1711" s="0" t="n">
        <v>1</v>
      </c>
    </row>
    <row r="1712" customFormat="false" ht="15" hidden="false" customHeight="false" outlineLevel="0" collapsed="false">
      <c r="A1712" s="0" t="s">
        <v>2586</v>
      </c>
      <c r="B1712" s="0" t="s">
        <v>3459</v>
      </c>
      <c r="C1712" s="0" t="s">
        <v>3447</v>
      </c>
      <c r="D1712" s="0" t="s">
        <v>3457</v>
      </c>
      <c r="E1712" s="20" t="s">
        <v>25</v>
      </c>
      <c r="F1712" s="23" t="s">
        <v>30</v>
      </c>
      <c r="G1712" s="21" t="s">
        <v>992</v>
      </c>
      <c r="H1712" s="21" t="s">
        <v>24</v>
      </c>
      <c r="I1712" s="21" t="s">
        <v>24</v>
      </c>
      <c r="J1712" s="21" t="s">
        <v>24</v>
      </c>
      <c r="K1712" s="21" t="s">
        <v>25</v>
      </c>
      <c r="L1712" s="21" t="s">
        <v>24</v>
      </c>
      <c r="M1712" s="0" t="n">
        <v>187</v>
      </c>
      <c r="N1712" s="0" t="n">
        <v>5</v>
      </c>
      <c r="O1712" s="21" t="s">
        <v>3736</v>
      </c>
      <c r="P1712" s="21" t="s">
        <v>4798</v>
      </c>
      <c r="Q1712" s="0" t="n">
        <v>0</v>
      </c>
      <c r="S1712" s="0" t="n">
        <v>5</v>
      </c>
      <c r="T1712" s="21" t="s">
        <v>3736</v>
      </c>
      <c r="U1712" s="22" t="b">
        <f aca="false">TRUE()</f>
        <v>1</v>
      </c>
      <c r="V1712" s="0" t="n">
        <v>0.76</v>
      </c>
      <c r="W1712" s="0" t="n">
        <v>0.44</v>
      </c>
      <c r="X1712" s="0" t="n">
        <v>8.14</v>
      </c>
      <c r="Y1712" s="0" t="n">
        <v>343.97</v>
      </c>
      <c r="Z1712" s="0" t="n">
        <v>8.25</v>
      </c>
      <c r="AA1712" s="0" t="n">
        <v>-0.74</v>
      </c>
      <c r="AB1712" s="0" t="n">
        <v>3.75</v>
      </c>
      <c r="AC1712" s="22" t="b">
        <f aca="false">FALSE()</f>
        <v>0</v>
      </c>
      <c r="AD1712" s="0" t="n">
        <v>29.76</v>
      </c>
      <c r="AE1712" s="0" t="n">
        <v>18.01</v>
      </c>
      <c r="AF1712" s="0" t="n">
        <v>27.77</v>
      </c>
      <c r="AG1712" s="22" t="b">
        <f aca="false">TRUE()</f>
        <v>1</v>
      </c>
      <c r="AH1712" s="0" t="n">
        <v>1</v>
      </c>
    </row>
    <row r="1713" customFormat="false" ht="15" hidden="false" customHeight="false" outlineLevel="0" collapsed="false">
      <c r="A1713" s="0" t="s">
        <v>2586</v>
      </c>
      <c r="B1713" s="0" t="s">
        <v>3459</v>
      </c>
      <c r="C1713" s="0" t="s">
        <v>3447</v>
      </c>
      <c r="D1713" s="0" t="s">
        <v>3448</v>
      </c>
      <c r="E1713" s="20" t="s">
        <v>25</v>
      </c>
      <c r="F1713" s="23" t="s">
        <v>30</v>
      </c>
      <c r="G1713" s="21" t="s">
        <v>992</v>
      </c>
      <c r="H1713" s="21" t="s">
        <v>24</v>
      </c>
      <c r="I1713" s="21" t="s">
        <v>24</v>
      </c>
      <c r="J1713" s="21" t="s">
        <v>24</v>
      </c>
      <c r="K1713" s="21" t="s">
        <v>25</v>
      </c>
      <c r="L1713" s="21" t="s">
        <v>24</v>
      </c>
      <c r="M1713" s="0" t="n">
        <v>185</v>
      </c>
      <c r="N1713" s="0" t="n">
        <v>4</v>
      </c>
      <c r="O1713" s="21" t="s">
        <v>3600</v>
      </c>
      <c r="P1713" s="21" t="s">
        <v>4496</v>
      </c>
      <c r="Q1713" s="0" t="n">
        <v>0</v>
      </c>
      <c r="S1713" s="0" t="n">
        <v>4</v>
      </c>
      <c r="T1713" s="21" t="s">
        <v>3600</v>
      </c>
      <c r="U1713" s="22" t="b">
        <f aca="false">TRUE()</f>
        <v>1</v>
      </c>
      <c r="V1713" s="0" t="n">
        <v>0.85</v>
      </c>
      <c r="W1713" s="0" t="n">
        <v>0.6</v>
      </c>
      <c r="X1713" s="0" t="n">
        <v>8.07</v>
      </c>
      <c r="Y1713" s="0" t="n">
        <v>320.66</v>
      </c>
      <c r="Z1713" s="0" t="n">
        <v>8.42</v>
      </c>
      <c r="AA1713" s="0" t="n">
        <v>-0.53</v>
      </c>
      <c r="AB1713" s="0" t="n">
        <v>3.11</v>
      </c>
      <c r="AC1713" s="22" t="b">
        <f aca="false">FALSE()</f>
        <v>0</v>
      </c>
      <c r="AD1713" s="0" t="n">
        <v>25.42</v>
      </c>
      <c r="AE1713" s="0" t="n">
        <v>15.41</v>
      </c>
      <c r="AF1713" s="0" t="n">
        <v>24.84</v>
      </c>
      <c r="AG1713" s="22" t="b">
        <f aca="false">TRUE()</f>
        <v>1</v>
      </c>
      <c r="AH1713" s="0" t="n">
        <v>1</v>
      </c>
    </row>
    <row r="1714" customFormat="false" ht="15" hidden="false" customHeight="false" outlineLevel="0" collapsed="false">
      <c r="A1714" s="0" t="s">
        <v>2595</v>
      </c>
      <c r="B1714" s="0" t="s">
        <v>134</v>
      </c>
      <c r="C1714" s="0" t="s">
        <v>3450</v>
      </c>
      <c r="D1714" s="0" t="s">
        <v>3457</v>
      </c>
      <c r="E1714" s="20" t="s">
        <v>25</v>
      </c>
      <c r="F1714" s="23" t="s">
        <v>30</v>
      </c>
      <c r="G1714" s="21" t="s">
        <v>183</v>
      </c>
      <c r="H1714" s="21" t="s">
        <v>24</v>
      </c>
      <c r="I1714" s="21" t="s">
        <v>25</v>
      </c>
      <c r="J1714" s="21" t="s">
        <v>24</v>
      </c>
      <c r="K1714" s="21" t="s">
        <v>25</v>
      </c>
      <c r="L1714" s="21" t="s">
        <v>24</v>
      </c>
      <c r="M1714" s="0" t="n">
        <v>187</v>
      </c>
      <c r="N1714" s="0" t="n">
        <v>5</v>
      </c>
      <c r="O1714" s="21" t="s">
        <v>3820</v>
      </c>
      <c r="P1714" s="21" t="s">
        <v>4799</v>
      </c>
      <c r="Q1714" s="0" t="n">
        <v>1</v>
      </c>
      <c r="R1714" s="21" t="s">
        <v>69</v>
      </c>
      <c r="S1714" s="0" t="n">
        <v>5</v>
      </c>
      <c r="T1714" s="21" t="s">
        <v>3820</v>
      </c>
      <c r="U1714" s="22" t="b">
        <f aca="false">TRUE()</f>
        <v>1</v>
      </c>
      <c r="V1714" s="0" t="n">
        <v>0.7</v>
      </c>
      <c r="W1714" s="0" t="n">
        <v>0.12</v>
      </c>
      <c r="X1714" s="0" t="n">
        <v>7.09</v>
      </c>
      <c r="Y1714" s="0" t="n">
        <v>597.97</v>
      </c>
      <c r="Z1714" s="0" t="n">
        <v>8.67</v>
      </c>
      <c r="AA1714" s="0" t="n">
        <v>5.37</v>
      </c>
      <c r="AB1714" s="0" t="n">
        <v>3.48</v>
      </c>
      <c r="AC1714" s="22" t="b">
        <f aca="false">FALSE()</f>
        <v>0</v>
      </c>
      <c r="AD1714" s="0" t="n">
        <v>27.39</v>
      </c>
      <c r="AE1714" s="0" t="n">
        <v>14.39</v>
      </c>
      <c r="AF1714" s="0" t="n">
        <v>21.84</v>
      </c>
      <c r="AG1714" s="22" t="b">
        <f aca="false">TRUE()</f>
        <v>1</v>
      </c>
      <c r="AH1714" s="0" t="n">
        <v>1</v>
      </c>
    </row>
    <row r="1715" customFormat="false" ht="15" hidden="false" customHeight="false" outlineLevel="0" collapsed="false">
      <c r="A1715" s="0" t="s">
        <v>2595</v>
      </c>
      <c r="B1715" s="0" t="s">
        <v>134</v>
      </c>
      <c r="C1715" s="0" t="s">
        <v>3450</v>
      </c>
      <c r="D1715" s="0" t="s">
        <v>3448</v>
      </c>
      <c r="E1715" s="20" t="s">
        <v>25</v>
      </c>
      <c r="F1715" s="23" t="s">
        <v>30</v>
      </c>
      <c r="G1715" s="21" t="s">
        <v>1230</v>
      </c>
      <c r="H1715" s="21" t="s">
        <v>24</v>
      </c>
      <c r="I1715" s="21" t="s">
        <v>25</v>
      </c>
      <c r="J1715" s="21" t="s">
        <v>24</v>
      </c>
      <c r="K1715" s="21" t="s">
        <v>25</v>
      </c>
      <c r="L1715" s="21" t="s">
        <v>24</v>
      </c>
      <c r="M1715" s="0" t="n">
        <v>182</v>
      </c>
      <c r="N1715" s="0" t="n">
        <v>3</v>
      </c>
      <c r="O1715" s="21" t="s">
        <v>3695</v>
      </c>
      <c r="P1715" s="21" t="s">
        <v>4289</v>
      </c>
      <c r="Q1715" s="0" t="n">
        <v>1</v>
      </c>
      <c r="R1715" s="21" t="s">
        <v>69</v>
      </c>
      <c r="S1715" s="0" t="n">
        <v>3</v>
      </c>
      <c r="T1715" s="21" t="s">
        <v>3695</v>
      </c>
      <c r="U1715" s="22" t="b">
        <f aca="false">TRUE()</f>
        <v>1</v>
      </c>
      <c r="V1715" s="0" t="n">
        <v>0.67</v>
      </c>
      <c r="W1715" s="0" t="n">
        <v>0.8</v>
      </c>
      <c r="X1715" s="0" t="n">
        <v>7.2</v>
      </c>
      <c r="Y1715" s="0" t="n">
        <v>318.58</v>
      </c>
      <c r="Z1715" s="0" t="n">
        <v>8.83</v>
      </c>
      <c r="AA1715" s="0" t="n">
        <v>1.54</v>
      </c>
      <c r="AB1715" s="0" t="n">
        <v>7.54</v>
      </c>
      <c r="AC1715" s="22" t="b">
        <f aca="false">FALSE()</f>
        <v>0</v>
      </c>
      <c r="AD1715" s="0" t="n">
        <v>18.51</v>
      </c>
      <c r="AE1715" s="0" t="n">
        <v>7.23</v>
      </c>
      <c r="AF1715" s="0" t="n">
        <v>14.9</v>
      </c>
      <c r="AG1715" s="22" t="b">
        <f aca="false">TRUE()</f>
        <v>1</v>
      </c>
      <c r="AH1715" s="0" t="n">
        <v>1</v>
      </c>
    </row>
    <row r="1716" customFormat="false" ht="15" hidden="false" customHeight="false" outlineLevel="0" collapsed="false">
      <c r="A1716" s="0" t="s">
        <v>2595</v>
      </c>
      <c r="B1716" s="0" t="s">
        <v>134</v>
      </c>
      <c r="C1716" s="0" t="s">
        <v>3447</v>
      </c>
      <c r="D1716" s="0" t="s">
        <v>3457</v>
      </c>
      <c r="E1716" s="20" t="s">
        <v>25</v>
      </c>
      <c r="F1716" s="23" t="s">
        <v>30</v>
      </c>
      <c r="G1716" s="21" t="s">
        <v>992</v>
      </c>
      <c r="H1716" s="21" t="s">
        <v>24</v>
      </c>
      <c r="I1716" s="21" t="s">
        <v>24</v>
      </c>
      <c r="J1716" s="21" t="s">
        <v>24</v>
      </c>
      <c r="K1716" s="21" t="s">
        <v>25</v>
      </c>
      <c r="L1716" s="21" t="s">
        <v>24</v>
      </c>
      <c r="M1716" s="0" t="n">
        <v>185</v>
      </c>
      <c r="N1716" s="0" t="n">
        <v>4</v>
      </c>
      <c r="O1716" s="21" t="s">
        <v>3612</v>
      </c>
      <c r="P1716" s="21" t="s">
        <v>4290</v>
      </c>
      <c r="Q1716" s="0" t="n">
        <v>0</v>
      </c>
      <c r="S1716" s="0" t="n">
        <v>4</v>
      </c>
      <c r="T1716" s="21" t="s">
        <v>3612</v>
      </c>
      <c r="U1716" s="22" t="b">
        <f aca="false">TRUE()</f>
        <v>1</v>
      </c>
      <c r="V1716" s="0" t="n">
        <v>0.78</v>
      </c>
      <c r="W1716" s="0" t="n">
        <v>0.76</v>
      </c>
      <c r="X1716" s="0" t="n">
        <v>9.3</v>
      </c>
      <c r="Y1716" s="0" t="n">
        <v>310.52</v>
      </c>
      <c r="Z1716" s="0" t="n">
        <v>8</v>
      </c>
      <c r="AA1716" s="0" t="n">
        <v>0.17</v>
      </c>
      <c r="AB1716" s="0" t="n">
        <v>3.48</v>
      </c>
      <c r="AC1716" s="22" t="b">
        <f aca="false">FALSE()</f>
        <v>0</v>
      </c>
      <c r="AD1716" s="0" t="n">
        <v>26.95</v>
      </c>
      <c r="AE1716" s="0" t="n">
        <v>14.07</v>
      </c>
      <c r="AF1716" s="0" t="n">
        <v>20.68</v>
      </c>
      <c r="AG1716" s="22" t="b">
        <f aca="false">TRUE()</f>
        <v>1</v>
      </c>
      <c r="AH1716" s="0" t="n">
        <v>1</v>
      </c>
    </row>
    <row r="1717" customFormat="false" ht="15" hidden="false" customHeight="false" outlineLevel="0" collapsed="false">
      <c r="A1717" s="0" t="s">
        <v>2595</v>
      </c>
      <c r="B1717" s="0" t="s">
        <v>134</v>
      </c>
      <c r="C1717" s="0" t="s">
        <v>3447</v>
      </c>
      <c r="D1717" s="0" t="s">
        <v>3448</v>
      </c>
      <c r="E1717" s="20" t="s">
        <v>25</v>
      </c>
      <c r="F1717" s="23" t="s">
        <v>30</v>
      </c>
      <c r="G1717" s="21" t="s">
        <v>992</v>
      </c>
      <c r="H1717" s="21" t="s">
        <v>24</v>
      </c>
      <c r="I1717" s="21" t="s">
        <v>24</v>
      </c>
      <c r="J1717" s="21" t="s">
        <v>24</v>
      </c>
      <c r="K1717" s="21" t="s">
        <v>25</v>
      </c>
      <c r="L1717" s="21" t="s">
        <v>24</v>
      </c>
      <c r="M1717" s="0" t="n">
        <v>186</v>
      </c>
      <c r="N1717" s="0" t="n">
        <v>3</v>
      </c>
      <c r="O1717" s="21" t="s">
        <v>3603</v>
      </c>
      <c r="P1717" s="21" t="s">
        <v>4800</v>
      </c>
      <c r="Q1717" s="0" t="n">
        <v>0</v>
      </c>
      <c r="S1717" s="0" t="n">
        <v>3</v>
      </c>
      <c r="T1717" s="21" t="s">
        <v>3603</v>
      </c>
      <c r="U1717" s="22" t="b">
        <f aca="false">TRUE()</f>
        <v>1</v>
      </c>
      <c r="V1717" s="0" t="n">
        <v>0.73</v>
      </c>
      <c r="W1717" s="0" t="n">
        <v>0.44</v>
      </c>
      <c r="X1717" s="0" t="n">
        <v>10.23</v>
      </c>
      <c r="Y1717" s="0" t="n">
        <v>346.95</v>
      </c>
      <c r="Z1717" s="0" t="n">
        <v>8</v>
      </c>
      <c r="AA1717" s="0" t="n">
        <v>-0.35</v>
      </c>
      <c r="AB1717" s="0" t="n">
        <v>7.54</v>
      </c>
      <c r="AC1717" s="22" t="b">
        <f aca="false">FALSE()</f>
        <v>0</v>
      </c>
      <c r="AD1717" s="0" t="n">
        <v>21.59</v>
      </c>
      <c r="AE1717" s="0" t="n">
        <v>8.58</v>
      </c>
      <c r="AF1717" s="0" t="n">
        <v>17.05</v>
      </c>
      <c r="AG1717" s="22" t="b">
        <f aca="false">TRUE()</f>
        <v>1</v>
      </c>
      <c r="AH1717" s="0" t="n">
        <v>1</v>
      </c>
    </row>
    <row r="1718" customFormat="false" ht="15" hidden="false" customHeight="false" outlineLevel="0" collapsed="false">
      <c r="A1718" s="0" t="s">
        <v>2601</v>
      </c>
      <c r="B1718" s="0" t="s">
        <v>134</v>
      </c>
      <c r="C1718" s="0" t="s">
        <v>3450</v>
      </c>
      <c r="D1718" s="0" t="s">
        <v>3457</v>
      </c>
      <c r="E1718" s="20" t="s">
        <v>25</v>
      </c>
      <c r="F1718" s="20" t="s">
        <v>29</v>
      </c>
      <c r="G1718" s="21" t="s">
        <v>61</v>
      </c>
      <c r="H1718" s="21" t="s">
        <v>24</v>
      </c>
      <c r="I1718" s="21" t="s">
        <v>24</v>
      </c>
      <c r="J1718" s="21" t="s">
        <v>24</v>
      </c>
      <c r="K1718" s="21" t="s">
        <v>25</v>
      </c>
      <c r="L1718" s="21" t="s">
        <v>24</v>
      </c>
      <c r="M1718" s="0" t="n">
        <v>189</v>
      </c>
      <c r="N1718" s="0" t="n">
        <v>0</v>
      </c>
      <c r="Q1718" s="0" t="n">
        <v>0</v>
      </c>
      <c r="S1718" s="0" t="n">
        <v>0</v>
      </c>
      <c r="U1718" s="22" t="b">
        <f aca="false">FALSE()</f>
        <v>0</v>
      </c>
      <c r="V1718" s="0" t="n">
        <v>0.67</v>
      </c>
      <c r="W1718" s="0" t="n">
        <v>0.88</v>
      </c>
      <c r="X1718" s="0" t="n">
        <v>7.59</v>
      </c>
      <c r="Y1718" s="0" t="n">
        <v>325.05</v>
      </c>
      <c r="Z1718" s="0" t="n">
        <v>9.67</v>
      </c>
      <c r="AA1718" s="0" t="n">
        <v>15.13</v>
      </c>
      <c r="AB1718" s="0" t="n">
        <v>4.25</v>
      </c>
      <c r="AC1718" s="22" t="b">
        <f aca="false">FALSE()</f>
        <v>0</v>
      </c>
      <c r="AD1718" s="0" t="n">
        <v>22.37</v>
      </c>
      <c r="AE1718" s="0" t="n">
        <v>7.41</v>
      </c>
      <c r="AF1718" s="0" t="n">
        <v>17</v>
      </c>
      <c r="AG1718" s="22" t="b">
        <f aca="false">TRUE()</f>
        <v>1</v>
      </c>
      <c r="AH1718" s="0" t="n">
        <v>1</v>
      </c>
    </row>
    <row r="1719" customFormat="false" ht="15" hidden="false" customHeight="false" outlineLevel="0" collapsed="false">
      <c r="A1719" s="0" t="s">
        <v>2601</v>
      </c>
      <c r="B1719" s="0" t="s">
        <v>134</v>
      </c>
      <c r="C1719" s="0" t="s">
        <v>3450</v>
      </c>
      <c r="D1719" s="0" t="s">
        <v>3448</v>
      </c>
      <c r="E1719" s="18" t="s">
        <v>24</v>
      </c>
      <c r="F1719" s="18" t="s">
        <v>28</v>
      </c>
      <c r="H1719" s="21" t="s">
        <v>24</v>
      </c>
      <c r="I1719" s="21" t="s">
        <v>24</v>
      </c>
      <c r="J1719" s="21" t="s">
        <v>24</v>
      </c>
      <c r="K1719" s="21" t="s">
        <v>24</v>
      </c>
      <c r="L1719" s="21" t="s">
        <v>24</v>
      </c>
      <c r="M1719" s="0" t="n">
        <v>185</v>
      </c>
      <c r="N1719" s="0" t="n">
        <v>0</v>
      </c>
      <c r="Q1719" s="0" t="n">
        <v>0</v>
      </c>
      <c r="S1719" s="0" t="n">
        <v>0</v>
      </c>
      <c r="U1719" s="22" t="b">
        <f aca="false">FALSE()</f>
        <v>0</v>
      </c>
      <c r="V1719" s="0" t="n">
        <v>0.65</v>
      </c>
      <c r="W1719" s="0" t="n">
        <v>0</v>
      </c>
      <c r="X1719" s="0" t="n">
        <v>7.55</v>
      </c>
      <c r="Y1719" s="0" t="n">
        <v>9.16</v>
      </c>
      <c r="Z1719" s="0" t="n">
        <v>9.75</v>
      </c>
      <c r="AA1719" s="0" t="n">
        <v>16.02</v>
      </c>
      <c r="AB1719" s="0" t="n">
        <v>3.89</v>
      </c>
      <c r="AC1719" s="22" t="b">
        <f aca="false">FALSE()</f>
        <v>0</v>
      </c>
      <c r="AD1719" s="0" t="n">
        <v>14.23</v>
      </c>
      <c r="AE1719" s="0" t="n">
        <v>2.1</v>
      </c>
      <c r="AF1719" s="0" t="n">
        <v>7.53</v>
      </c>
      <c r="AG1719" s="22" t="b">
        <f aca="false">TRUE()</f>
        <v>1</v>
      </c>
      <c r="AH1719" s="0" t="n">
        <v>0</v>
      </c>
    </row>
    <row r="1720" customFormat="false" ht="15" hidden="false" customHeight="false" outlineLevel="0" collapsed="false">
      <c r="A1720" s="0" t="s">
        <v>2601</v>
      </c>
      <c r="B1720" s="0" t="s">
        <v>134</v>
      </c>
      <c r="C1720" s="0" t="s">
        <v>3447</v>
      </c>
      <c r="D1720" s="0" t="s">
        <v>3457</v>
      </c>
      <c r="E1720" s="20" t="s">
        <v>25</v>
      </c>
      <c r="F1720" s="20" t="s">
        <v>29</v>
      </c>
      <c r="G1720" s="21" t="s">
        <v>61</v>
      </c>
      <c r="H1720" s="21" t="s">
        <v>24</v>
      </c>
      <c r="I1720" s="21" t="s">
        <v>24</v>
      </c>
      <c r="J1720" s="21" t="s">
        <v>24</v>
      </c>
      <c r="K1720" s="21" t="s">
        <v>25</v>
      </c>
      <c r="L1720" s="21" t="s">
        <v>24</v>
      </c>
      <c r="M1720" s="0" t="n">
        <v>190</v>
      </c>
      <c r="N1720" s="0" t="n">
        <v>0</v>
      </c>
      <c r="Q1720" s="0" t="n">
        <v>0</v>
      </c>
      <c r="S1720" s="0" t="n">
        <v>0</v>
      </c>
      <c r="U1720" s="22" t="b">
        <f aca="false">FALSE()</f>
        <v>0</v>
      </c>
      <c r="V1720" s="0" t="n">
        <v>0.74</v>
      </c>
      <c r="W1720" s="0" t="n">
        <v>0.68</v>
      </c>
      <c r="X1720" s="0" t="n">
        <v>7.78</v>
      </c>
      <c r="Y1720" s="0" t="n">
        <v>331.11</v>
      </c>
      <c r="Z1720" s="0" t="n">
        <v>8.67</v>
      </c>
      <c r="AA1720" s="0" t="n">
        <v>-0.36</v>
      </c>
      <c r="AB1720" s="0" t="n">
        <v>4.25</v>
      </c>
      <c r="AC1720" s="22" t="b">
        <f aca="false">FALSE()</f>
        <v>0</v>
      </c>
      <c r="AD1720" s="0" t="n">
        <v>20.45</v>
      </c>
      <c r="AE1720" s="0" t="n">
        <v>4.86</v>
      </c>
      <c r="AF1720" s="0" t="n">
        <v>13.73</v>
      </c>
      <c r="AG1720" s="22" t="b">
        <f aca="false">TRUE()</f>
        <v>1</v>
      </c>
      <c r="AH1720" s="0" t="n">
        <v>1</v>
      </c>
    </row>
    <row r="1721" customFormat="false" ht="15" hidden="false" customHeight="false" outlineLevel="0" collapsed="false">
      <c r="A1721" s="0" t="s">
        <v>2601</v>
      </c>
      <c r="B1721" s="0" t="s">
        <v>134</v>
      </c>
      <c r="C1721" s="0" t="s">
        <v>3447</v>
      </c>
      <c r="D1721" s="0" t="s">
        <v>3448</v>
      </c>
      <c r="E1721" s="18" t="s">
        <v>24</v>
      </c>
      <c r="F1721" s="23" t="s">
        <v>30</v>
      </c>
      <c r="G1721" s="21" t="s">
        <v>30</v>
      </c>
      <c r="H1721" s="21" t="s">
        <v>24</v>
      </c>
      <c r="I1721" s="21" t="s">
        <v>24</v>
      </c>
      <c r="J1721" s="21" t="s">
        <v>24</v>
      </c>
      <c r="K1721" s="21" t="s">
        <v>24</v>
      </c>
      <c r="L1721" s="21" t="s">
        <v>24</v>
      </c>
      <c r="M1721" s="0" t="n">
        <v>187</v>
      </c>
      <c r="N1721" s="0" t="n">
        <v>1</v>
      </c>
      <c r="O1721" s="21" t="s">
        <v>3476</v>
      </c>
      <c r="P1721" s="21" t="s">
        <v>4228</v>
      </c>
      <c r="Q1721" s="0" t="n">
        <v>0</v>
      </c>
      <c r="S1721" s="0" t="n">
        <v>1</v>
      </c>
      <c r="T1721" s="21" t="s">
        <v>3476</v>
      </c>
      <c r="U1721" s="22" t="b">
        <f aca="false">TRUE()</f>
        <v>1</v>
      </c>
      <c r="V1721" s="0" t="n">
        <v>0.72</v>
      </c>
      <c r="W1721" s="0" t="n">
        <v>0.72</v>
      </c>
      <c r="X1721" s="0" t="n">
        <v>8.23</v>
      </c>
      <c r="Y1721" s="0" t="n">
        <v>325.35</v>
      </c>
      <c r="Z1721" s="0" t="n">
        <v>9.58</v>
      </c>
      <c r="AA1721" s="0" t="n">
        <v>9.81</v>
      </c>
      <c r="AB1721" s="0" t="n">
        <v>3.89</v>
      </c>
      <c r="AC1721" s="22" t="b">
        <f aca="false">FALSE()</f>
        <v>0</v>
      </c>
      <c r="AD1721" s="0" t="n">
        <v>13.44</v>
      </c>
      <c r="AE1721" s="0" t="n">
        <v>1.47</v>
      </c>
      <c r="AF1721" s="0" t="n">
        <v>4.16</v>
      </c>
      <c r="AG1721" s="22" t="b">
        <f aca="false">TRUE()</f>
        <v>1</v>
      </c>
      <c r="AH1721" s="0" t="n">
        <v>1</v>
      </c>
    </row>
    <row r="1722" customFormat="false" ht="15" hidden="false" customHeight="false" outlineLevel="0" collapsed="false">
      <c r="A1722" s="0" t="s">
        <v>2607</v>
      </c>
      <c r="B1722" s="0" t="s">
        <v>134</v>
      </c>
      <c r="C1722" s="0" t="s">
        <v>3450</v>
      </c>
      <c r="D1722" s="0" t="s">
        <v>3457</v>
      </c>
      <c r="E1722" s="20" t="s">
        <v>25</v>
      </c>
      <c r="F1722" s="23" t="s">
        <v>30</v>
      </c>
      <c r="G1722" s="21" t="s">
        <v>2610</v>
      </c>
      <c r="H1722" s="21" t="s">
        <v>24</v>
      </c>
      <c r="I1722" s="21" t="s">
        <v>24</v>
      </c>
      <c r="J1722" s="21" t="s">
        <v>24</v>
      </c>
      <c r="K1722" s="21" t="s">
        <v>25</v>
      </c>
      <c r="L1722" s="21" t="s">
        <v>24</v>
      </c>
      <c r="M1722" s="0" t="n">
        <v>186</v>
      </c>
      <c r="N1722" s="0" t="n">
        <v>2</v>
      </c>
      <c r="O1722" s="21" t="s">
        <v>3503</v>
      </c>
      <c r="P1722" s="21" t="s">
        <v>4473</v>
      </c>
      <c r="Q1722" s="0" t="n">
        <v>0</v>
      </c>
      <c r="S1722" s="0" t="n">
        <v>2</v>
      </c>
      <c r="T1722" s="21" t="s">
        <v>3503</v>
      </c>
      <c r="U1722" s="22" t="b">
        <f aca="false">TRUE()</f>
        <v>1</v>
      </c>
      <c r="V1722" s="0" t="n">
        <v>0.8</v>
      </c>
      <c r="W1722" s="0" t="n">
        <v>0.28</v>
      </c>
      <c r="X1722" s="0" t="n">
        <v>6.06</v>
      </c>
      <c r="Y1722" s="0" t="n">
        <v>441.67</v>
      </c>
      <c r="Z1722" s="0" t="n">
        <v>8.5</v>
      </c>
      <c r="AA1722" s="0" t="n">
        <v>3.23</v>
      </c>
      <c r="AB1722" s="0" t="n">
        <v>0.52</v>
      </c>
      <c r="AC1722" s="22" t="b">
        <f aca="false">FALSE()</f>
        <v>0</v>
      </c>
      <c r="AD1722" s="0" t="n">
        <v>8.95</v>
      </c>
      <c r="AE1722" s="0" t="n">
        <v>0.22</v>
      </c>
      <c r="AF1722" s="0" t="n">
        <v>9.87</v>
      </c>
      <c r="AG1722" s="22" t="b">
        <f aca="false">FALSE()</f>
        <v>0</v>
      </c>
      <c r="AH1722" s="0" t="n">
        <v>1</v>
      </c>
    </row>
    <row r="1723" customFormat="false" ht="15" hidden="false" customHeight="false" outlineLevel="0" collapsed="false">
      <c r="A1723" s="0" t="s">
        <v>2607</v>
      </c>
      <c r="B1723" s="0" t="s">
        <v>134</v>
      </c>
      <c r="C1723" s="0" t="s">
        <v>3450</v>
      </c>
      <c r="D1723" s="0" t="s">
        <v>3448</v>
      </c>
      <c r="E1723" s="18" t="s">
        <v>24</v>
      </c>
      <c r="F1723" s="23" t="s">
        <v>30</v>
      </c>
      <c r="G1723" s="21" t="s">
        <v>30</v>
      </c>
      <c r="H1723" s="21" t="s">
        <v>24</v>
      </c>
      <c r="I1723" s="21" t="s">
        <v>24</v>
      </c>
      <c r="J1723" s="21" t="s">
        <v>24</v>
      </c>
      <c r="K1723" s="21" t="s">
        <v>24</v>
      </c>
      <c r="L1723" s="21" t="s">
        <v>24</v>
      </c>
      <c r="M1723" s="0" t="n">
        <v>186</v>
      </c>
      <c r="N1723" s="0" t="n">
        <v>4</v>
      </c>
      <c r="O1723" s="21" t="s">
        <v>3624</v>
      </c>
      <c r="P1723" s="21" t="s">
        <v>4562</v>
      </c>
      <c r="Q1723" s="0" t="n">
        <v>0</v>
      </c>
      <c r="S1723" s="0" t="n">
        <v>4</v>
      </c>
      <c r="T1723" s="21" t="s">
        <v>3624</v>
      </c>
      <c r="U1723" s="22" t="b">
        <f aca="false">TRUE()</f>
        <v>1</v>
      </c>
      <c r="V1723" s="0" t="n">
        <v>0.76</v>
      </c>
      <c r="W1723" s="0" t="n">
        <v>0.12</v>
      </c>
      <c r="X1723" s="0" t="n">
        <v>6.3</v>
      </c>
      <c r="Y1723" s="0" t="n">
        <v>638.84</v>
      </c>
      <c r="Z1723" s="0" t="n">
        <v>8.5</v>
      </c>
      <c r="AA1723" s="0" t="n">
        <v>7.36</v>
      </c>
      <c r="AB1723" s="0" t="n">
        <v>2.32</v>
      </c>
      <c r="AC1723" s="22" t="b">
        <f aca="false">FALSE()</f>
        <v>0</v>
      </c>
      <c r="AD1723" s="0" t="n">
        <v>16.31</v>
      </c>
      <c r="AE1723" s="0" t="n">
        <v>0.54</v>
      </c>
      <c r="AF1723" s="0" t="n">
        <v>12.4</v>
      </c>
      <c r="AG1723" s="22" t="b">
        <f aca="false">TRUE()</f>
        <v>1</v>
      </c>
      <c r="AH1723" s="0" t="n">
        <v>1</v>
      </c>
    </row>
    <row r="1724" customFormat="false" ht="15" hidden="false" customHeight="false" outlineLevel="0" collapsed="false">
      <c r="A1724" s="0" t="s">
        <v>2607</v>
      </c>
      <c r="B1724" s="0" t="s">
        <v>134</v>
      </c>
      <c r="C1724" s="0" t="s">
        <v>3447</v>
      </c>
      <c r="D1724" s="0" t="s">
        <v>3457</v>
      </c>
      <c r="E1724" s="20" t="s">
        <v>25</v>
      </c>
      <c r="F1724" s="23" t="s">
        <v>30</v>
      </c>
      <c r="G1724" s="21" t="s">
        <v>2610</v>
      </c>
      <c r="H1724" s="21" t="s">
        <v>24</v>
      </c>
      <c r="I1724" s="21" t="s">
        <v>24</v>
      </c>
      <c r="J1724" s="21" t="s">
        <v>24</v>
      </c>
      <c r="K1724" s="21" t="s">
        <v>25</v>
      </c>
      <c r="L1724" s="21" t="s">
        <v>24</v>
      </c>
      <c r="M1724" s="0" t="n">
        <v>188</v>
      </c>
      <c r="N1724" s="0" t="n">
        <v>1</v>
      </c>
      <c r="O1724" s="21" t="s">
        <v>3475</v>
      </c>
      <c r="P1724" s="21" t="s">
        <v>4433</v>
      </c>
      <c r="Q1724" s="0" t="n">
        <v>0</v>
      </c>
      <c r="S1724" s="0" t="n">
        <v>1</v>
      </c>
      <c r="T1724" s="21" t="s">
        <v>3475</v>
      </c>
      <c r="U1724" s="22" t="b">
        <f aca="false">TRUE()</f>
        <v>1</v>
      </c>
      <c r="V1724" s="0" t="n">
        <v>0.86</v>
      </c>
      <c r="W1724" s="0" t="n">
        <v>0.44</v>
      </c>
      <c r="X1724" s="0" t="n">
        <v>6.61</v>
      </c>
      <c r="Y1724" s="0" t="n">
        <v>354.98</v>
      </c>
      <c r="Z1724" s="0" t="n">
        <v>8</v>
      </c>
      <c r="AA1724" s="0" t="n">
        <v>-1.28</v>
      </c>
      <c r="AB1724" s="0" t="n">
        <v>0.52</v>
      </c>
      <c r="AC1724" s="22" t="b">
        <f aca="false">FALSE()</f>
        <v>0</v>
      </c>
      <c r="AD1724" s="0" t="n">
        <v>3.65</v>
      </c>
      <c r="AE1724" s="0" t="n">
        <v>0.29</v>
      </c>
      <c r="AF1724" s="0" t="n">
        <v>4.85</v>
      </c>
      <c r="AG1724" s="22" t="b">
        <f aca="false">FALSE()</f>
        <v>0</v>
      </c>
      <c r="AH1724" s="0" t="n">
        <v>1</v>
      </c>
    </row>
    <row r="1725" customFormat="false" ht="15" hidden="false" customHeight="false" outlineLevel="0" collapsed="false">
      <c r="A1725" s="0" t="s">
        <v>2607</v>
      </c>
      <c r="B1725" s="0" t="s">
        <v>134</v>
      </c>
      <c r="C1725" s="0" t="s">
        <v>3447</v>
      </c>
      <c r="D1725" s="0" t="s">
        <v>3448</v>
      </c>
      <c r="E1725" s="18" t="s">
        <v>24</v>
      </c>
      <c r="F1725" s="23" t="s">
        <v>30</v>
      </c>
      <c r="G1725" s="21" t="s">
        <v>30</v>
      </c>
      <c r="H1725" s="21" t="s">
        <v>24</v>
      </c>
      <c r="I1725" s="21" t="s">
        <v>24</v>
      </c>
      <c r="J1725" s="21" t="s">
        <v>24</v>
      </c>
      <c r="K1725" s="21" t="s">
        <v>24</v>
      </c>
      <c r="L1725" s="21" t="s">
        <v>24</v>
      </c>
      <c r="M1725" s="0" t="n">
        <v>187</v>
      </c>
      <c r="N1725" s="0" t="n">
        <v>1</v>
      </c>
      <c r="O1725" s="21" t="s">
        <v>3475</v>
      </c>
      <c r="P1725" s="21" t="s">
        <v>4433</v>
      </c>
      <c r="Q1725" s="0" t="n">
        <v>0</v>
      </c>
      <c r="S1725" s="0" t="n">
        <v>1</v>
      </c>
      <c r="T1725" s="21" t="s">
        <v>3475</v>
      </c>
      <c r="U1725" s="22" t="b">
        <f aca="false">TRUE()</f>
        <v>1</v>
      </c>
      <c r="V1725" s="0" t="n">
        <v>0.85</v>
      </c>
      <c r="W1725" s="0" t="n">
        <v>0.92</v>
      </c>
      <c r="X1725" s="0" t="n">
        <v>9.34</v>
      </c>
      <c r="Y1725" s="0" t="n">
        <v>323.61</v>
      </c>
      <c r="Z1725" s="0" t="n">
        <v>8.25</v>
      </c>
      <c r="AA1725" s="0" t="n">
        <v>2.24</v>
      </c>
      <c r="AB1725" s="0" t="n">
        <v>2.32</v>
      </c>
      <c r="AC1725" s="22" t="b">
        <f aca="false">FALSE()</f>
        <v>0</v>
      </c>
      <c r="AD1725" s="0" t="n">
        <v>14.15</v>
      </c>
      <c r="AE1725" s="0" t="n">
        <v>1.97</v>
      </c>
      <c r="AF1725" s="0" t="n">
        <v>6.56</v>
      </c>
      <c r="AG1725" s="22" t="b">
        <f aca="false">TRUE()</f>
        <v>1</v>
      </c>
      <c r="AH1725" s="0" t="n">
        <v>1</v>
      </c>
    </row>
    <row r="1726" customFormat="false" ht="15" hidden="false" customHeight="false" outlineLevel="0" collapsed="false">
      <c r="A1726" s="0" t="s">
        <v>2614</v>
      </c>
      <c r="B1726" s="0" t="s">
        <v>134</v>
      </c>
      <c r="C1726" s="0" t="s">
        <v>3450</v>
      </c>
      <c r="D1726" s="0" t="s">
        <v>3457</v>
      </c>
      <c r="E1726" s="20" t="s">
        <v>25</v>
      </c>
      <c r="F1726" s="23" t="s">
        <v>30</v>
      </c>
      <c r="G1726" s="21" t="s">
        <v>283</v>
      </c>
      <c r="H1726" s="21" t="s">
        <v>24</v>
      </c>
      <c r="I1726" s="21" t="s">
        <v>25</v>
      </c>
      <c r="J1726" s="21" t="s">
        <v>24</v>
      </c>
      <c r="K1726" s="21" t="s">
        <v>24</v>
      </c>
      <c r="L1726" s="21" t="s">
        <v>24</v>
      </c>
      <c r="M1726" s="0" t="n">
        <v>184</v>
      </c>
      <c r="N1726" s="0" t="n">
        <v>1</v>
      </c>
      <c r="O1726" s="21" t="s">
        <v>69</v>
      </c>
      <c r="P1726" s="21" t="s">
        <v>4275</v>
      </c>
      <c r="Q1726" s="0" t="n">
        <v>1</v>
      </c>
      <c r="R1726" s="21" t="s">
        <v>69</v>
      </c>
      <c r="S1726" s="0" t="n">
        <v>1</v>
      </c>
      <c r="T1726" s="21" t="s">
        <v>69</v>
      </c>
      <c r="U1726" s="22" t="b">
        <f aca="false">TRUE()</f>
        <v>1</v>
      </c>
      <c r="V1726" s="0" t="n">
        <v>0.76</v>
      </c>
      <c r="W1726" s="0" t="n">
        <v>0.88</v>
      </c>
      <c r="X1726" s="0" t="n">
        <v>9.61</v>
      </c>
      <c r="Y1726" s="0" t="n">
        <v>293.44</v>
      </c>
      <c r="Z1726" s="0" t="n">
        <v>9.25</v>
      </c>
      <c r="AA1726" s="0" t="n">
        <v>13.11</v>
      </c>
      <c r="AB1726" s="0" t="n">
        <v>13.16</v>
      </c>
      <c r="AC1726" s="22" t="b">
        <f aca="false">FALSE()</f>
        <v>0</v>
      </c>
      <c r="AD1726" s="0" t="n">
        <v>8.59</v>
      </c>
      <c r="AE1726" s="0" t="n">
        <v>0.7</v>
      </c>
      <c r="AF1726" s="0" t="n">
        <v>4.38</v>
      </c>
      <c r="AG1726" s="22" t="b">
        <f aca="false">FALSE()</f>
        <v>0</v>
      </c>
      <c r="AH1726" s="0" t="n">
        <v>1</v>
      </c>
    </row>
    <row r="1727" customFormat="false" ht="15" hidden="false" customHeight="false" outlineLevel="0" collapsed="false">
      <c r="A1727" s="0" t="s">
        <v>2614</v>
      </c>
      <c r="B1727" s="0" t="s">
        <v>134</v>
      </c>
      <c r="C1727" s="0" t="s">
        <v>3450</v>
      </c>
      <c r="D1727" s="0" t="s">
        <v>3448</v>
      </c>
      <c r="E1727" s="20" t="s">
        <v>25</v>
      </c>
      <c r="F1727" s="20" t="s">
        <v>29</v>
      </c>
      <c r="G1727" s="21" t="s">
        <v>61</v>
      </c>
      <c r="H1727" s="21" t="s">
        <v>24</v>
      </c>
      <c r="I1727" s="21" t="s">
        <v>24</v>
      </c>
      <c r="J1727" s="21" t="s">
        <v>24</v>
      </c>
      <c r="K1727" s="21" t="s">
        <v>25</v>
      </c>
      <c r="L1727" s="21" t="s">
        <v>24</v>
      </c>
      <c r="M1727" s="0" t="n">
        <v>185</v>
      </c>
      <c r="N1727" s="0" t="n">
        <v>0</v>
      </c>
      <c r="Q1727" s="0" t="n">
        <v>0</v>
      </c>
      <c r="S1727" s="0" t="n">
        <v>0</v>
      </c>
      <c r="U1727" s="22" t="b">
        <f aca="false">FALSE()</f>
        <v>0</v>
      </c>
      <c r="V1727" s="0" t="n">
        <v>0.78</v>
      </c>
      <c r="W1727" s="0" t="n">
        <v>0.12</v>
      </c>
      <c r="X1727" s="0" t="n">
        <v>10.89</v>
      </c>
      <c r="Y1727" s="0" t="n">
        <v>630.9</v>
      </c>
      <c r="Z1727" s="0" t="n">
        <v>8.75</v>
      </c>
      <c r="AA1727" s="0" t="n">
        <v>13.56</v>
      </c>
      <c r="AB1727" s="0" t="n">
        <v>10.94</v>
      </c>
      <c r="AC1727" s="22" t="b">
        <f aca="false">FALSE()</f>
        <v>0</v>
      </c>
      <c r="AD1727" s="0" t="n">
        <v>27.08</v>
      </c>
      <c r="AE1727" s="0" t="n">
        <v>0.89</v>
      </c>
      <c r="AF1727" s="0" t="n">
        <v>29.9</v>
      </c>
      <c r="AG1727" s="22" t="b">
        <f aca="false">TRUE()</f>
        <v>1</v>
      </c>
      <c r="AH1727" s="0" t="n">
        <v>1</v>
      </c>
    </row>
    <row r="1728" customFormat="false" ht="15" hidden="false" customHeight="false" outlineLevel="0" collapsed="false">
      <c r="A1728" s="0" t="s">
        <v>2614</v>
      </c>
      <c r="B1728" s="0" t="s">
        <v>134</v>
      </c>
      <c r="C1728" s="0" t="s">
        <v>3447</v>
      </c>
      <c r="D1728" s="0" t="s">
        <v>3457</v>
      </c>
      <c r="E1728" s="18" t="s">
        <v>24</v>
      </c>
      <c r="F1728" s="18" t="s">
        <v>28</v>
      </c>
      <c r="H1728" s="21" t="s">
        <v>24</v>
      </c>
      <c r="I1728" s="21" t="s">
        <v>24</v>
      </c>
      <c r="J1728" s="21" t="s">
        <v>24</v>
      </c>
      <c r="K1728" s="21" t="s">
        <v>24</v>
      </c>
      <c r="L1728" s="21" t="s">
        <v>24</v>
      </c>
      <c r="M1728" s="0" t="n">
        <v>185</v>
      </c>
      <c r="N1728" s="0" t="n">
        <v>0</v>
      </c>
      <c r="Q1728" s="0" t="n">
        <v>0</v>
      </c>
      <c r="S1728" s="0" t="n">
        <v>0</v>
      </c>
      <c r="U1728" s="22" t="b">
        <f aca="false">FALSE()</f>
        <v>0</v>
      </c>
      <c r="V1728" s="0" t="n">
        <v>0.82</v>
      </c>
      <c r="W1728" s="0" t="n">
        <v>0</v>
      </c>
      <c r="X1728" s="0" t="n">
        <v>7.29</v>
      </c>
      <c r="Y1728" s="0" t="n">
        <v>681.95</v>
      </c>
      <c r="Z1728" s="0" t="n">
        <v>10</v>
      </c>
      <c r="AA1728" s="0" t="n">
        <v>2.7</v>
      </c>
      <c r="AB1728" s="0" t="n">
        <v>13.16</v>
      </c>
      <c r="AC1728" s="22" t="b">
        <f aca="false">FALSE()</f>
        <v>0</v>
      </c>
      <c r="AD1728" s="0" t="n">
        <v>11.99</v>
      </c>
      <c r="AE1728" s="0" t="n">
        <v>0.41</v>
      </c>
      <c r="AF1728" s="0" t="n">
        <v>7.51</v>
      </c>
      <c r="AG1728" s="22" t="b">
        <f aca="false">TRUE()</f>
        <v>1</v>
      </c>
      <c r="AH1728" s="0" t="n">
        <v>1</v>
      </c>
    </row>
    <row r="1729" customFormat="false" ht="15" hidden="false" customHeight="false" outlineLevel="0" collapsed="false">
      <c r="A1729" s="0" t="s">
        <v>2614</v>
      </c>
      <c r="B1729" s="0" t="s">
        <v>134</v>
      </c>
      <c r="C1729" s="0" t="s">
        <v>3447</v>
      </c>
      <c r="D1729" s="0" t="s">
        <v>3448</v>
      </c>
      <c r="E1729" s="19" t="s">
        <v>26</v>
      </c>
      <c r="F1729" s="19" t="s">
        <v>32</v>
      </c>
      <c r="G1729" s="21" t="s">
        <v>1926</v>
      </c>
      <c r="H1729" s="21" t="s">
        <v>24</v>
      </c>
      <c r="I1729" s="21" t="s">
        <v>26</v>
      </c>
      <c r="J1729" s="21" t="s">
        <v>24</v>
      </c>
      <c r="K1729" s="21" t="s">
        <v>25</v>
      </c>
      <c r="L1729" s="21" t="s">
        <v>24</v>
      </c>
      <c r="M1729" s="0" t="n">
        <v>189</v>
      </c>
      <c r="N1729" s="0" t="n">
        <v>9</v>
      </c>
      <c r="O1729" s="21" t="s">
        <v>4030</v>
      </c>
      <c r="P1729" s="21" t="s">
        <v>4287</v>
      </c>
      <c r="Q1729" s="0" t="n">
        <v>1</v>
      </c>
      <c r="R1729" s="21" t="s">
        <v>69</v>
      </c>
      <c r="S1729" s="0" t="n">
        <v>9</v>
      </c>
      <c r="T1729" s="21" t="s">
        <v>4030</v>
      </c>
      <c r="U1729" s="22" t="b">
        <f aca="false">FALSE()</f>
        <v>0</v>
      </c>
      <c r="V1729" s="0" t="n">
        <v>0.86</v>
      </c>
      <c r="W1729" s="0" t="n">
        <v>0.52</v>
      </c>
      <c r="X1729" s="0" t="n">
        <v>9.41</v>
      </c>
      <c r="Y1729" s="0" t="n">
        <v>339.07</v>
      </c>
      <c r="Z1729" s="0" t="n">
        <v>9.25</v>
      </c>
      <c r="AA1729" s="0" t="n">
        <v>2.88</v>
      </c>
      <c r="AB1729" s="0" t="n">
        <v>10.94</v>
      </c>
      <c r="AC1729" s="22" t="b">
        <f aca="false">FALSE()</f>
        <v>0</v>
      </c>
      <c r="AD1729" s="0" t="n">
        <v>25.4</v>
      </c>
      <c r="AE1729" s="0" t="n">
        <v>1.62</v>
      </c>
      <c r="AF1729" s="0" t="n">
        <v>28.64</v>
      </c>
      <c r="AG1729" s="22" t="b">
        <f aca="false">TRUE()</f>
        <v>1</v>
      </c>
      <c r="AH1729" s="0" t="n">
        <v>1</v>
      </c>
    </row>
    <row r="1730" customFormat="false" ht="15" hidden="false" customHeight="false" outlineLevel="0" collapsed="false">
      <c r="A1730" s="0" t="s">
        <v>2620</v>
      </c>
      <c r="B1730" s="0" t="s">
        <v>134</v>
      </c>
      <c r="C1730" s="0" t="s">
        <v>3450</v>
      </c>
      <c r="D1730" s="0" t="s">
        <v>3457</v>
      </c>
      <c r="E1730" s="20" t="s">
        <v>25</v>
      </c>
      <c r="F1730" s="23" t="s">
        <v>30</v>
      </c>
      <c r="G1730" s="21" t="s">
        <v>1230</v>
      </c>
      <c r="H1730" s="21" t="s">
        <v>24</v>
      </c>
      <c r="I1730" s="21" t="s">
        <v>25</v>
      </c>
      <c r="J1730" s="21" t="s">
        <v>24</v>
      </c>
      <c r="K1730" s="21" t="s">
        <v>25</v>
      </c>
      <c r="L1730" s="21" t="s">
        <v>24</v>
      </c>
      <c r="M1730" s="0" t="n">
        <v>198</v>
      </c>
      <c r="N1730" s="0" t="n">
        <v>3</v>
      </c>
      <c r="O1730" s="21" t="s">
        <v>3649</v>
      </c>
      <c r="P1730" s="21" t="s">
        <v>4242</v>
      </c>
      <c r="Q1730" s="0" t="n">
        <v>1</v>
      </c>
      <c r="R1730" s="21" t="s">
        <v>69</v>
      </c>
      <c r="S1730" s="0" t="n">
        <v>3</v>
      </c>
      <c r="T1730" s="21" t="s">
        <v>3649</v>
      </c>
      <c r="U1730" s="22" t="b">
        <f aca="false">TRUE()</f>
        <v>1</v>
      </c>
      <c r="V1730" s="0" t="n">
        <v>0.72</v>
      </c>
      <c r="W1730" s="0" t="n">
        <v>0.68</v>
      </c>
      <c r="X1730" s="0" t="n">
        <v>7.25</v>
      </c>
      <c r="Y1730" s="0" t="n">
        <v>346.84</v>
      </c>
      <c r="Z1730" s="0" t="n">
        <v>9.75</v>
      </c>
      <c r="AA1730" s="0" t="n">
        <v>0.55</v>
      </c>
      <c r="AB1730" s="0" t="n">
        <v>11.2</v>
      </c>
      <c r="AC1730" s="22" t="b">
        <f aca="false">FALSE()</f>
        <v>0</v>
      </c>
      <c r="AD1730" s="0" t="n">
        <v>7</v>
      </c>
      <c r="AE1730" s="0" t="n">
        <v>0.38</v>
      </c>
      <c r="AF1730" s="0" t="n">
        <v>8.45</v>
      </c>
      <c r="AG1730" s="22" t="b">
        <f aca="false">FALSE()</f>
        <v>0</v>
      </c>
      <c r="AH1730" s="0" t="n">
        <v>1</v>
      </c>
    </row>
    <row r="1731" customFormat="false" ht="15" hidden="false" customHeight="false" outlineLevel="0" collapsed="false">
      <c r="A1731" s="0" t="s">
        <v>2620</v>
      </c>
      <c r="B1731" s="0" t="s">
        <v>134</v>
      </c>
      <c r="C1731" s="0" t="s">
        <v>3450</v>
      </c>
      <c r="D1731" s="0" t="s">
        <v>3448</v>
      </c>
      <c r="E1731" s="20" t="s">
        <v>25</v>
      </c>
      <c r="F1731" s="23" t="s">
        <v>30</v>
      </c>
      <c r="G1731" s="21" t="s">
        <v>283</v>
      </c>
      <c r="H1731" s="21" t="s">
        <v>24</v>
      </c>
      <c r="I1731" s="21" t="s">
        <v>25</v>
      </c>
      <c r="J1731" s="21" t="s">
        <v>24</v>
      </c>
      <c r="K1731" s="21" t="s">
        <v>24</v>
      </c>
      <c r="L1731" s="21" t="s">
        <v>24</v>
      </c>
      <c r="M1731" s="0" t="n">
        <v>182</v>
      </c>
      <c r="N1731" s="0" t="n">
        <v>4</v>
      </c>
      <c r="O1731" s="21" t="s">
        <v>3734</v>
      </c>
      <c r="P1731" s="21" t="s">
        <v>4327</v>
      </c>
      <c r="Q1731" s="0" t="n">
        <v>1</v>
      </c>
      <c r="R1731" s="21" t="s">
        <v>69</v>
      </c>
      <c r="S1731" s="0" t="n">
        <v>4</v>
      </c>
      <c r="T1731" s="21" t="s">
        <v>3734</v>
      </c>
      <c r="U1731" s="22" t="b">
        <f aca="false">TRUE()</f>
        <v>1</v>
      </c>
      <c r="V1731" s="0" t="n">
        <v>0.71</v>
      </c>
      <c r="W1731" s="0" t="n">
        <v>0</v>
      </c>
      <c r="X1731" s="0" t="n">
        <v>8.24</v>
      </c>
      <c r="Y1731" s="0" t="n">
        <v>0.76</v>
      </c>
      <c r="Z1731" s="0" t="n">
        <v>9.75</v>
      </c>
      <c r="AA1731" s="0" t="n">
        <v>10.96</v>
      </c>
      <c r="AB1731" s="0" t="n">
        <v>3.78</v>
      </c>
      <c r="AC1731" s="22" t="b">
        <f aca="false">FALSE()</f>
        <v>0</v>
      </c>
      <c r="AD1731" s="0" t="n">
        <v>15.94</v>
      </c>
      <c r="AE1731" s="0" t="n">
        <v>0.72</v>
      </c>
      <c r="AF1731" s="0" t="n">
        <v>10.36</v>
      </c>
      <c r="AG1731" s="22" t="b">
        <f aca="false">TRUE()</f>
        <v>1</v>
      </c>
      <c r="AH1731" s="0" t="n">
        <v>0</v>
      </c>
    </row>
    <row r="1732" customFormat="false" ht="15" hidden="false" customHeight="false" outlineLevel="0" collapsed="false">
      <c r="A1732" s="0" t="s">
        <v>2620</v>
      </c>
      <c r="B1732" s="0" t="s">
        <v>134</v>
      </c>
      <c r="C1732" s="0" t="s">
        <v>3447</v>
      </c>
      <c r="D1732" s="0" t="s">
        <v>3457</v>
      </c>
      <c r="E1732" s="19" t="s">
        <v>26</v>
      </c>
      <c r="F1732" s="19" t="s">
        <v>32</v>
      </c>
      <c r="G1732" s="21" t="s">
        <v>60</v>
      </c>
      <c r="H1732" s="21" t="s">
        <v>24</v>
      </c>
      <c r="I1732" s="21" t="s">
        <v>26</v>
      </c>
      <c r="J1732" s="21" t="s">
        <v>24</v>
      </c>
      <c r="K1732" s="21" t="s">
        <v>24</v>
      </c>
      <c r="L1732" s="21" t="s">
        <v>24</v>
      </c>
      <c r="M1732" s="0" t="n">
        <v>182</v>
      </c>
      <c r="N1732" s="0" t="n">
        <v>8</v>
      </c>
      <c r="O1732" s="21" t="s">
        <v>3952</v>
      </c>
      <c r="P1732" s="21" t="s">
        <v>4801</v>
      </c>
      <c r="Q1732" s="0" t="n">
        <v>0</v>
      </c>
      <c r="S1732" s="0" t="n">
        <v>8</v>
      </c>
      <c r="T1732" s="21" t="s">
        <v>3952</v>
      </c>
      <c r="U1732" s="22" t="b">
        <f aca="false">FALSE()</f>
        <v>0</v>
      </c>
      <c r="V1732" s="0" t="n">
        <v>0.76</v>
      </c>
      <c r="W1732" s="0" t="n">
        <v>0.24</v>
      </c>
      <c r="X1732" s="0" t="n">
        <v>7.7</v>
      </c>
      <c r="Y1732" s="0" t="n">
        <v>461.63</v>
      </c>
      <c r="Z1732" s="0" t="n">
        <v>10.75</v>
      </c>
      <c r="AA1732" s="0" t="n">
        <v>-0.21</v>
      </c>
      <c r="AB1732" s="0" t="n">
        <v>11.2</v>
      </c>
      <c r="AC1732" s="22" t="b">
        <f aca="false">FALSE()</f>
        <v>0</v>
      </c>
      <c r="AD1732" s="0" t="n">
        <v>16.19</v>
      </c>
      <c r="AE1732" s="0" t="n">
        <v>0.28</v>
      </c>
      <c r="AF1732" s="0" t="n">
        <v>14.5</v>
      </c>
      <c r="AG1732" s="22" t="b">
        <f aca="false">TRUE()</f>
        <v>1</v>
      </c>
      <c r="AH1732" s="0" t="n">
        <v>1</v>
      </c>
    </row>
    <row r="1733" customFormat="false" ht="15" hidden="false" customHeight="false" outlineLevel="0" collapsed="false">
      <c r="A1733" s="0" t="s">
        <v>2620</v>
      </c>
      <c r="B1733" s="0" t="s">
        <v>134</v>
      </c>
      <c r="C1733" s="0" t="s">
        <v>3447</v>
      </c>
      <c r="D1733" s="0" t="s">
        <v>3448</v>
      </c>
      <c r="E1733" s="18" t="s">
        <v>24</v>
      </c>
      <c r="F1733" s="23" t="s">
        <v>30</v>
      </c>
      <c r="G1733" s="21" t="s">
        <v>30</v>
      </c>
      <c r="H1733" s="21" t="s">
        <v>24</v>
      </c>
      <c r="I1733" s="21" t="s">
        <v>24</v>
      </c>
      <c r="J1733" s="21" t="s">
        <v>24</v>
      </c>
      <c r="K1733" s="21" t="s">
        <v>24</v>
      </c>
      <c r="L1733" s="21" t="s">
        <v>24</v>
      </c>
      <c r="M1733" s="0" t="n">
        <v>183</v>
      </c>
      <c r="N1733" s="0" t="n">
        <v>5</v>
      </c>
      <c r="O1733" s="21" t="s">
        <v>3707</v>
      </c>
      <c r="P1733" s="21" t="s">
        <v>4802</v>
      </c>
      <c r="Q1733" s="0" t="n">
        <v>0</v>
      </c>
      <c r="S1733" s="0" t="n">
        <v>5</v>
      </c>
      <c r="T1733" s="21" t="s">
        <v>3707</v>
      </c>
      <c r="U1733" s="22" t="b">
        <f aca="false">TRUE()</f>
        <v>1</v>
      </c>
      <c r="V1733" s="0" t="n">
        <v>0.79</v>
      </c>
      <c r="W1733" s="0" t="n">
        <v>0.8</v>
      </c>
      <c r="X1733" s="0" t="n">
        <v>7.8</v>
      </c>
      <c r="Y1733" s="0" t="n">
        <v>319.29</v>
      </c>
      <c r="Z1733" s="0" t="n">
        <v>10.33</v>
      </c>
      <c r="AA1733" s="0" t="n">
        <v>2.77</v>
      </c>
      <c r="AB1733" s="0" t="n">
        <v>3.78</v>
      </c>
      <c r="AC1733" s="22" t="b">
        <f aca="false">FALSE()</f>
        <v>0</v>
      </c>
      <c r="AD1733" s="0" t="n">
        <v>14.67</v>
      </c>
      <c r="AE1733" s="0" t="n">
        <v>-0.31</v>
      </c>
      <c r="AF1733" s="0" t="n">
        <v>11.94</v>
      </c>
      <c r="AG1733" s="22" t="b">
        <f aca="false">TRUE()</f>
        <v>1</v>
      </c>
      <c r="AH1733" s="0" t="n">
        <v>1</v>
      </c>
    </row>
    <row r="1734" customFormat="false" ht="15" hidden="false" customHeight="false" outlineLevel="0" collapsed="false">
      <c r="A1734" s="0" t="s">
        <v>2626</v>
      </c>
      <c r="B1734" s="0" t="s">
        <v>134</v>
      </c>
      <c r="C1734" s="0" t="s">
        <v>3450</v>
      </c>
      <c r="D1734" s="0" t="s">
        <v>3457</v>
      </c>
      <c r="E1734" s="20" t="s">
        <v>25</v>
      </c>
      <c r="F1734" s="20" t="s">
        <v>29</v>
      </c>
      <c r="G1734" s="21" t="s">
        <v>62</v>
      </c>
      <c r="H1734" s="21" t="s">
        <v>24</v>
      </c>
      <c r="I1734" s="21" t="s">
        <v>24</v>
      </c>
      <c r="J1734" s="21" t="s">
        <v>24</v>
      </c>
      <c r="K1734" s="21" t="s">
        <v>25</v>
      </c>
      <c r="L1734" s="21" t="s">
        <v>24</v>
      </c>
      <c r="M1734" s="0" t="n">
        <v>184</v>
      </c>
      <c r="N1734" s="0" t="n">
        <v>0</v>
      </c>
      <c r="Q1734" s="0" t="n">
        <v>0</v>
      </c>
      <c r="S1734" s="0" t="n">
        <v>0</v>
      </c>
      <c r="U1734" s="22" t="b">
        <f aca="false">FALSE()</f>
        <v>0</v>
      </c>
      <c r="V1734" s="0" t="n">
        <v>0.85</v>
      </c>
      <c r="W1734" s="0" t="n">
        <v>0.96</v>
      </c>
      <c r="X1734" s="0" t="n">
        <v>9.33</v>
      </c>
      <c r="Y1734" s="0" t="n">
        <v>305.29</v>
      </c>
      <c r="Z1734" s="0" t="n">
        <v>8</v>
      </c>
      <c r="AA1734" s="0" t="n">
        <v>-1.2</v>
      </c>
      <c r="AB1734" s="0" t="n">
        <v>12.14</v>
      </c>
      <c r="AC1734" s="22" t="b">
        <f aca="false">FALSE()</f>
        <v>0</v>
      </c>
      <c r="AD1734" s="0" t="n">
        <v>4.41</v>
      </c>
      <c r="AE1734" s="0" t="n">
        <v>0.59</v>
      </c>
      <c r="AF1734" s="0" t="n">
        <v>1.14</v>
      </c>
      <c r="AG1734" s="22" t="b">
        <f aca="false">FALSE()</f>
        <v>0</v>
      </c>
      <c r="AH1734" s="0" t="n">
        <v>1</v>
      </c>
    </row>
    <row r="1735" customFormat="false" ht="15" hidden="false" customHeight="false" outlineLevel="0" collapsed="false">
      <c r="A1735" s="0" t="s">
        <v>2626</v>
      </c>
      <c r="B1735" s="0" t="s">
        <v>134</v>
      </c>
      <c r="C1735" s="0" t="s">
        <v>3450</v>
      </c>
      <c r="D1735" s="0" t="s">
        <v>3448</v>
      </c>
      <c r="E1735" s="18" t="s">
        <v>24</v>
      </c>
      <c r="F1735" s="18" t="s">
        <v>28</v>
      </c>
      <c r="H1735" s="21" t="s">
        <v>24</v>
      </c>
      <c r="I1735" s="21" t="s">
        <v>24</v>
      </c>
      <c r="J1735" s="21" t="s">
        <v>24</v>
      </c>
      <c r="K1735" s="21" t="s">
        <v>24</v>
      </c>
      <c r="L1735" s="21" t="s">
        <v>24</v>
      </c>
      <c r="M1735" s="0" t="n">
        <v>206</v>
      </c>
      <c r="N1735" s="0" t="n">
        <v>0</v>
      </c>
      <c r="Q1735" s="0" t="n">
        <v>0</v>
      </c>
      <c r="S1735" s="0" t="n">
        <v>0</v>
      </c>
      <c r="U1735" s="22" t="b">
        <f aca="false">FALSE()</f>
        <v>0</v>
      </c>
      <c r="V1735" s="0" t="n">
        <v>0.7</v>
      </c>
      <c r="W1735" s="0" t="n">
        <v>0.68</v>
      </c>
      <c r="X1735" s="0" t="n">
        <v>5.49</v>
      </c>
      <c r="Y1735" s="0" t="n">
        <v>349.63</v>
      </c>
      <c r="Z1735" s="0" t="n">
        <v>10.25</v>
      </c>
      <c r="AA1735" s="0" t="n">
        <v>3.04</v>
      </c>
      <c r="AB1735" s="0" t="n">
        <v>6.01</v>
      </c>
      <c r="AC1735" s="22" t="b">
        <f aca="false">FALSE()</f>
        <v>0</v>
      </c>
      <c r="AD1735" s="0" t="n">
        <v>10.09</v>
      </c>
      <c r="AE1735" s="0" t="n">
        <v>2.46</v>
      </c>
      <c r="AF1735" s="0" t="n">
        <v>0.92</v>
      </c>
      <c r="AG1735" s="22" t="b">
        <f aca="false">TRUE()</f>
        <v>1</v>
      </c>
      <c r="AH1735" s="0" t="n">
        <v>1</v>
      </c>
    </row>
    <row r="1736" customFormat="false" ht="15" hidden="false" customHeight="false" outlineLevel="0" collapsed="false">
      <c r="A1736" s="0" t="s">
        <v>2626</v>
      </c>
      <c r="B1736" s="0" t="s">
        <v>134</v>
      </c>
      <c r="C1736" s="0" t="s">
        <v>3447</v>
      </c>
      <c r="D1736" s="0" t="s">
        <v>3457</v>
      </c>
      <c r="E1736" s="18" t="s">
        <v>24</v>
      </c>
      <c r="F1736" s="23" t="s">
        <v>30</v>
      </c>
      <c r="G1736" s="21" t="s">
        <v>30</v>
      </c>
      <c r="H1736" s="21" t="s">
        <v>24</v>
      </c>
      <c r="I1736" s="21" t="s">
        <v>24</v>
      </c>
      <c r="J1736" s="21" t="s">
        <v>24</v>
      </c>
      <c r="K1736" s="21" t="s">
        <v>24</v>
      </c>
      <c r="L1736" s="21" t="s">
        <v>24</v>
      </c>
      <c r="M1736" s="0" t="n">
        <v>183</v>
      </c>
      <c r="N1736" s="0" t="n">
        <v>1</v>
      </c>
      <c r="O1736" s="21" t="s">
        <v>3478</v>
      </c>
      <c r="P1736" s="21" t="s">
        <v>4288</v>
      </c>
      <c r="Q1736" s="0" t="n">
        <v>0</v>
      </c>
      <c r="S1736" s="0" t="n">
        <v>1</v>
      </c>
      <c r="T1736" s="21" t="s">
        <v>3478</v>
      </c>
      <c r="U1736" s="22" t="b">
        <f aca="false">TRUE()</f>
        <v>1</v>
      </c>
      <c r="V1736" s="0" t="n">
        <v>0.85</v>
      </c>
      <c r="W1736" s="0" t="n">
        <v>0</v>
      </c>
      <c r="X1736" s="0" t="n">
        <v>10.26</v>
      </c>
      <c r="Y1736" s="0" t="n">
        <v>663.93</v>
      </c>
      <c r="Z1736" s="0" t="n">
        <v>8</v>
      </c>
      <c r="AA1736" s="0" t="n">
        <v>-1.72</v>
      </c>
      <c r="AB1736" s="0" t="n">
        <v>12.14</v>
      </c>
      <c r="AC1736" s="22" t="b">
        <f aca="false">FALSE()</f>
        <v>0</v>
      </c>
      <c r="AD1736" s="0" t="n">
        <v>10.19</v>
      </c>
      <c r="AE1736" s="0" t="n">
        <v>0.72</v>
      </c>
      <c r="AF1736" s="0" t="n">
        <v>2.29</v>
      </c>
      <c r="AG1736" s="22" t="b">
        <f aca="false">TRUE()</f>
        <v>1</v>
      </c>
      <c r="AH1736" s="0" t="n">
        <v>1</v>
      </c>
    </row>
    <row r="1737" customFormat="false" ht="15" hidden="false" customHeight="false" outlineLevel="0" collapsed="false">
      <c r="A1737" s="0" t="s">
        <v>2626</v>
      </c>
      <c r="B1737" s="0" t="s">
        <v>134</v>
      </c>
      <c r="C1737" s="0" t="s">
        <v>3447</v>
      </c>
      <c r="D1737" s="0" t="s">
        <v>3448</v>
      </c>
      <c r="E1737" s="18" t="s">
        <v>24</v>
      </c>
      <c r="F1737" s="23" t="s">
        <v>30</v>
      </c>
      <c r="G1737" s="21" t="s">
        <v>30</v>
      </c>
      <c r="H1737" s="21" t="s">
        <v>24</v>
      </c>
      <c r="I1737" s="21" t="s">
        <v>24</v>
      </c>
      <c r="J1737" s="21" t="s">
        <v>24</v>
      </c>
      <c r="K1737" s="21" t="s">
        <v>24</v>
      </c>
      <c r="L1737" s="21" t="s">
        <v>24</v>
      </c>
      <c r="M1737" s="0" t="n">
        <v>185</v>
      </c>
      <c r="N1737" s="0" t="n">
        <v>3</v>
      </c>
      <c r="O1737" s="21" t="s">
        <v>3541</v>
      </c>
      <c r="P1737" s="21" t="s">
        <v>4368</v>
      </c>
      <c r="Q1737" s="0" t="n">
        <v>0</v>
      </c>
      <c r="S1737" s="0" t="n">
        <v>3</v>
      </c>
      <c r="T1737" s="21" t="s">
        <v>3541</v>
      </c>
      <c r="U1737" s="22" t="b">
        <f aca="false">TRUE()</f>
        <v>1</v>
      </c>
      <c r="V1737" s="0" t="n">
        <v>0.78</v>
      </c>
      <c r="W1737" s="0" t="n">
        <v>0.2</v>
      </c>
      <c r="X1737" s="0" t="n">
        <v>7.88</v>
      </c>
      <c r="Y1737" s="0" t="n">
        <v>471.46</v>
      </c>
      <c r="Z1737" s="0" t="n">
        <v>8</v>
      </c>
      <c r="AA1737" s="0" t="n">
        <v>-0.59</v>
      </c>
      <c r="AB1737" s="0" t="n">
        <v>6.01</v>
      </c>
      <c r="AC1737" s="22" t="b">
        <f aca="false">FALSE()</f>
        <v>0</v>
      </c>
      <c r="AD1737" s="0" t="n">
        <v>13.6</v>
      </c>
      <c r="AE1737" s="0" t="n">
        <v>0.82</v>
      </c>
      <c r="AF1737" s="0" t="n">
        <v>0.69</v>
      </c>
      <c r="AG1737" s="22" t="b">
        <f aca="false">TRUE()</f>
        <v>1</v>
      </c>
      <c r="AH1737" s="0" t="n">
        <v>1</v>
      </c>
    </row>
    <row r="1738" customFormat="false" ht="15" hidden="false" customHeight="false" outlineLevel="0" collapsed="false">
      <c r="A1738" s="0" t="s">
        <v>2641</v>
      </c>
      <c r="B1738" s="0" t="s">
        <v>134</v>
      </c>
      <c r="C1738" s="0" t="s">
        <v>3450</v>
      </c>
      <c r="D1738" s="0" t="s">
        <v>3457</v>
      </c>
      <c r="E1738" s="18" t="s">
        <v>24</v>
      </c>
      <c r="F1738" s="18" t="s">
        <v>28</v>
      </c>
      <c r="H1738" s="21" t="s">
        <v>24</v>
      </c>
      <c r="I1738" s="21" t="s">
        <v>24</v>
      </c>
      <c r="J1738" s="21" t="s">
        <v>24</v>
      </c>
      <c r="K1738" s="21" t="s">
        <v>24</v>
      </c>
      <c r="L1738" s="21" t="s">
        <v>24</v>
      </c>
      <c r="M1738" s="0" t="n">
        <v>183</v>
      </c>
      <c r="N1738" s="0" t="n">
        <v>0</v>
      </c>
      <c r="Q1738" s="0" t="n">
        <v>0</v>
      </c>
      <c r="S1738" s="0" t="n">
        <v>0</v>
      </c>
      <c r="U1738" s="22" t="b">
        <f aca="false">FALSE()</f>
        <v>0</v>
      </c>
      <c r="V1738" s="0" t="n">
        <v>0.7</v>
      </c>
      <c r="W1738" s="0" t="n">
        <v>0.64</v>
      </c>
      <c r="X1738" s="0" t="n">
        <v>12.37</v>
      </c>
      <c r="Y1738" s="0" t="n">
        <v>305.83</v>
      </c>
      <c r="Z1738" s="0" t="n">
        <v>9.25</v>
      </c>
      <c r="AA1738" s="0" t="n">
        <v>8.58</v>
      </c>
      <c r="AB1738" s="0" t="n">
        <v>2.38</v>
      </c>
      <c r="AC1738" s="22" t="b">
        <f aca="false">FALSE()</f>
        <v>0</v>
      </c>
      <c r="AD1738" s="0" t="n">
        <v>14.39</v>
      </c>
      <c r="AE1738" s="0" t="n">
        <v>0.37</v>
      </c>
      <c r="AF1738" s="0" t="n">
        <v>1.82</v>
      </c>
      <c r="AG1738" s="22" t="b">
        <f aca="false">TRUE()</f>
        <v>1</v>
      </c>
      <c r="AH1738" s="0" t="n">
        <v>1</v>
      </c>
    </row>
    <row r="1739" customFormat="false" ht="15" hidden="false" customHeight="false" outlineLevel="0" collapsed="false">
      <c r="A1739" s="0" t="s">
        <v>2641</v>
      </c>
      <c r="B1739" s="0" t="s">
        <v>134</v>
      </c>
      <c r="C1739" s="0" t="s">
        <v>3450</v>
      </c>
      <c r="D1739" s="0" t="s">
        <v>3448</v>
      </c>
      <c r="E1739" s="20" t="s">
        <v>25</v>
      </c>
      <c r="F1739" s="23" t="s">
        <v>30</v>
      </c>
      <c r="G1739" s="21" t="s">
        <v>283</v>
      </c>
      <c r="H1739" s="21" t="s">
        <v>24</v>
      </c>
      <c r="I1739" s="21" t="s">
        <v>25</v>
      </c>
      <c r="J1739" s="21" t="s">
        <v>24</v>
      </c>
      <c r="K1739" s="21" t="s">
        <v>24</v>
      </c>
      <c r="L1739" s="21" t="s">
        <v>24</v>
      </c>
      <c r="M1739" s="0" t="n">
        <v>184</v>
      </c>
      <c r="N1739" s="0" t="n">
        <v>1</v>
      </c>
      <c r="O1739" s="21" t="s">
        <v>70</v>
      </c>
      <c r="P1739" s="21" t="s">
        <v>4378</v>
      </c>
      <c r="Q1739" s="0" t="n">
        <v>1</v>
      </c>
      <c r="R1739" s="21" t="s">
        <v>70</v>
      </c>
      <c r="S1739" s="0" t="n">
        <v>1</v>
      </c>
      <c r="T1739" s="21" t="s">
        <v>70</v>
      </c>
      <c r="U1739" s="22" t="b">
        <f aca="false">TRUE()</f>
        <v>1</v>
      </c>
      <c r="V1739" s="0" t="n">
        <v>0.72</v>
      </c>
      <c r="W1739" s="0" t="n">
        <v>0.4</v>
      </c>
      <c r="X1739" s="0" t="n">
        <v>11.62</v>
      </c>
      <c r="Y1739" s="0" t="n">
        <v>360.61</v>
      </c>
      <c r="Z1739" s="0" t="n">
        <v>9.08</v>
      </c>
      <c r="AA1739" s="0" t="n">
        <v>8.17</v>
      </c>
      <c r="AB1739" s="0" t="n">
        <v>4.05</v>
      </c>
      <c r="AC1739" s="22" t="b">
        <f aca="false">FALSE()</f>
        <v>0</v>
      </c>
      <c r="AD1739" s="0" t="n">
        <v>4.83</v>
      </c>
      <c r="AE1739" s="0" t="n">
        <v>0.63</v>
      </c>
      <c r="AF1739" s="0" t="n">
        <v>2.4</v>
      </c>
      <c r="AG1739" s="22" t="b">
        <f aca="false">FALSE()</f>
        <v>0</v>
      </c>
      <c r="AH1739" s="0" t="n">
        <v>1</v>
      </c>
    </row>
    <row r="1740" customFormat="false" ht="15" hidden="false" customHeight="false" outlineLevel="0" collapsed="false">
      <c r="A1740" s="0" t="s">
        <v>2641</v>
      </c>
      <c r="B1740" s="0" t="s">
        <v>134</v>
      </c>
      <c r="C1740" s="0" t="s">
        <v>3447</v>
      </c>
      <c r="D1740" s="0" t="s">
        <v>3457</v>
      </c>
      <c r="E1740" s="20" t="s">
        <v>25</v>
      </c>
      <c r="F1740" s="23" t="s">
        <v>30</v>
      </c>
      <c r="G1740" s="21" t="s">
        <v>283</v>
      </c>
      <c r="H1740" s="21" t="s">
        <v>24</v>
      </c>
      <c r="I1740" s="21" t="s">
        <v>25</v>
      </c>
      <c r="J1740" s="21" t="s">
        <v>24</v>
      </c>
      <c r="K1740" s="21" t="s">
        <v>24</v>
      </c>
      <c r="L1740" s="21" t="s">
        <v>24</v>
      </c>
      <c r="M1740" s="0" t="n">
        <v>184</v>
      </c>
      <c r="N1740" s="0" t="n">
        <v>2</v>
      </c>
      <c r="O1740" s="21" t="s">
        <v>3566</v>
      </c>
      <c r="P1740" s="21" t="s">
        <v>4238</v>
      </c>
      <c r="Q1740" s="0" t="n">
        <v>1</v>
      </c>
      <c r="R1740" s="21" t="s">
        <v>69</v>
      </c>
      <c r="S1740" s="0" t="n">
        <v>2</v>
      </c>
      <c r="T1740" s="21" t="s">
        <v>3566</v>
      </c>
      <c r="U1740" s="22" t="b">
        <f aca="false">TRUE()</f>
        <v>1</v>
      </c>
      <c r="V1740" s="0" t="n">
        <v>0.72</v>
      </c>
      <c r="W1740" s="0" t="n">
        <v>0.24</v>
      </c>
      <c r="X1740" s="0" t="n">
        <v>10.31</v>
      </c>
      <c r="Y1740" s="0" t="n">
        <v>459.03</v>
      </c>
      <c r="Z1740" s="0" t="n">
        <v>9.5</v>
      </c>
      <c r="AA1740" s="0" t="n">
        <v>6.44</v>
      </c>
      <c r="AB1740" s="0" t="n">
        <v>2.38</v>
      </c>
      <c r="AC1740" s="22" t="b">
        <f aca="false">FALSE()</f>
        <v>0</v>
      </c>
      <c r="AD1740" s="0" t="n">
        <v>13.09</v>
      </c>
      <c r="AE1740" s="0" t="n">
        <v>1.5</v>
      </c>
      <c r="AF1740" s="0" t="n">
        <v>0.99</v>
      </c>
      <c r="AG1740" s="22" t="b">
        <f aca="false">TRUE()</f>
        <v>1</v>
      </c>
      <c r="AH1740" s="0" t="n">
        <v>1</v>
      </c>
    </row>
    <row r="1741" customFormat="false" ht="15" hidden="false" customHeight="false" outlineLevel="0" collapsed="false">
      <c r="A1741" s="0" t="s">
        <v>2641</v>
      </c>
      <c r="B1741" s="0" t="s">
        <v>134</v>
      </c>
      <c r="C1741" s="0" t="s">
        <v>3447</v>
      </c>
      <c r="D1741" s="0" t="s">
        <v>3448</v>
      </c>
      <c r="E1741" s="19" t="s">
        <v>26</v>
      </c>
      <c r="F1741" s="19" t="s">
        <v>32</v>
      </c>
      <c r="G1741" s="21" t="s">
        <v>65</v>
      </c>
      <c r="H1741" s="21" t="s">
        <v>24</v>
      </c>
      <c r="I1741" s="21" t="s">
        <v>26</v>
      </c>
      <c r="J1741" s="21" t="s">
        <v>24</v>
      </c>
      <c r="K1741" s="21" t="s">
        <v>24</v>
      </c>
      <c r="L1741" s="21" t="s">
        <v>24</v>
      </c>
      <c r="M1741" s="0" t="n">
        <v>188</v>
      </c>
      <c r="N1741" s="0" t="n">
        <v>2</v>
      </c>
      <c r="O1741" s="21" t="s">
        <v>3871</v>
      </c>
      <c r="P1741" s="21" t="s">
        <v>4245</v>
      </c>
      <c r="Q1741" s="0" t="n">
        <v>2</v>
      </c>
      <c r="R1741" s="21" t="s">
        <v>3871</v>
      </c>
      <c r="S1741" s="0" t="n">
        <v>2</v>
      </c>
      <c r="T1741" s="21" t="s">
        <v>3871</v>
      </c>
      <c r="U1741" s="22" t="b">
        <f aca="false">FALSE()</f>
        <v>0</v>
      </c>
      <c r="V1741" s="0" t="n">
        <v>0.7</v>
      </c>
      <c r="W1741" s="0" t="n">
        <v>0.24</v>
      </c>
      <c r="X1741" s="0" t="n">
        <v>10.15</v>
      </c>
      <c r="Y1741" s="0" t="n">
        <v>479.23</v>
      </c>
      <c r="Z1741" s="0" t="n">
        <v>9.08</v>
      </c>
      <c r="AA1741" s="0" t="n">
        <v>7.4</v>
      </c>
      <c r="AB1741" s="0" t="n">
        <v>4.05</v>
      </c>
      <c r="AC1741" s="22" t="b">
        <f aca="false">FALSE()</f>
        <v>0</v>
      </c>
      <c r="AD1741" s="0" t="n">
        <v>8.34</v>
      </c>
      <c r="AE1741" s="0" t="n">
        <v>1.05</v>
      </c>
      <c r="AF1741" s="0" t="n">
        <v>1.77</v>
      </c>
      <c r="AG1741" s="22" t="b">
        <f aca="false">FALSE()</f>
        <v>0</v>
      </c>
      <c r="AH1741" s="0" t="n">
        <v>1</v>
      </c>
    </row>
    <row r="1742" customFormat="false" ht="15" hidden="false" customHeight="false" outlineLevel="0" collapsed="false">
      <c r="A1742" s="0" t="s">
        <v>2648</v>
      </c>
      <c r="B1742" s="0" t="s">
        <v>134</v>
      </c>
      <c r="C1742" s="0" t="s">
        <v>3450</v>
      </c>
      <c r="D1742" s="0" t="s">
        <v>3457</v>
      </c>
      <c r="E1742" s="20" t="s">
        <v>25</v>
      </c>
      <c r="F1742" s="20" t="s">
        <v>29</v>
      </c>
      <c r="G1742" s="21" t="s">
        <v>61</v>
      </c>
      <c r="H1742" s="21" t="s">
        <v>24</v>
      </c>
      <c r="I1742" s="21" t="s">
        <v>24</v>
      </c>
      <c r="J1742" s="21" t="s">
        <v>24</v>
      </c>
      <c r="K1742" s="21" t="s">
        <v>25</v>
      </c>
      <c r="L1742" s="21" t="s">
        <v>24</v>
      </c>
      <c r="M1742" s="0" t="n">
        <v>184</v>
      </c>
      <c r="N1742" s="0" t="n">
        <v>0</v>
      </c>
      <c r="Q1742" s="0" t="n">
        <v>0</v>
      </c>
      <c r="S1742" s="0" t="n">
        <v>0</v>
      </c>
      <c r="U1742" s="22" t="b">
        <f aca="false">FALSE()</f>
        <v>0</v>
      </c>
      <c r="V1742" s="0" t="n">
        <v>0.74</v>
      </c>
      <c r="W1742" s="0" t="n">
        <v>0</v>
      </c>
      <c r="X1742" s="0" t="n">
        <v>10.75</v>
      </c>
      <c r="Y1742" s="0" t="n">
        <v>692.18</v>
      </c>
      <c r="Z1742" s="0" t="n">
        <v>9</v>
      </c>
      <c r="AA1742" s="0" t="n">
        <v>13.5</v>
      </c>
      <c r="AB1742" s="0" t="n">
        <v>1.92</v>
      </c>
      <c r="AC1742" s="22" t="b">
        <f aca="false">FALSE()</f>
        <v>0</v>
      </c>
      <c r="AD1742" s="0" t="n">
        <v>20.47</v>
      </c>
      <c r="AE1742" s="0" t="n">
        <v>11.68</v>
      </c>
      <c r="AF1742" s="0" t="n">
        <v>18.18</v>
      </c>
      <c r="AG1742" s="22" t="b">
        <f aca="false">TRUE()</f>
        <v>1</v>
      </c>
      <c r="AH1742" s="0" t="n">
        <v>1</v>
      </c>
    </row>
    <row r="1743" customFormat="false" ht="15" hidden="false" customHeight="false" outlineLevel="0" collapsed="false">
      <c r="A1743" s="0" t="s">
        <v>2648</v>
      </c>
      <c r="B1743" s="0" t="s">
        <v>134</v>
      </c>
      <c r="C1743" s="0" t="s">
        <v>3450</v>
      </c>
      <c r="D1743" s="0" t="s">
        <v>3448</v>
      </c>
      <c r="E1743" s="18" t="s">
        <v>24</v>
      </c>
      <c r="F1743" s="18" t="s">
        <v>28</v>
      </c>
      <c r="H1743" s="21" t="s">
        <v>24</v>
      </c>
      <c r="I1743" s="21" t="s">
        <v>24</v>
      </c>
      <c r="J1743" s="21" t="s">
        <v>24</v>
      </c>
      <c r="K1743" s="21" t="s">
        <v>24</v>
      </c>
      <c r="L1743" s="21" t="s">
        <v>24</v>
      </c>
      <c r="M1743" s="0" t="n">
        <v>184</v>
      </c>
      <c r="N1743" s="0" t="n">
        <v>0</v>
      </c>
      <c r="Q1743" s="0" t="n">
        <v>0</v>
      </c>
      <c r="S1743" s="0" t="n">
        <v>0</v>
      </c>
      <c r="U1743" s="22" t="b">
        <f aca="false">FALSE()</f>
        <v>0</v>
      </c>
      <c r="V1743" s="0" t="n">
        <v>0.78</v>
      </c>
      <c r="W1743" s="0" t="n">
        <v>0.64</v>
      </c>
      <c r="X1743" s="0" t="n">
        <v>12.1</v>
      </c>
      <c r="Y1743" s="0" t="n">
        <v>316.2</v>
      </c>
      <c r="Z1743" s="0" t="n">
        <v>8.5</v>
      </c>
      <c r="AA1743" s="0" t="n">
        <v>6.81</v>
      </c>
      <c r="AB1743" s="0" t="n">
        <v>7.25</v>
      </c>
      <c r="AC1743" s="22" t="b">
        <f aca="false">FALSE()</f>
        <v>0</v>
      </c>
      <c r="AD1743" s="0" t="n">
        <v>16.3</v>
      </c>
      <c r="AE1743" s="0" t="n">
        <v>6.32</v>
      </c>
      <c r="AF1743" s="0" t="n">
        <v>14.06</v>
      </c>
      <c r="AG1743" s="22" t="b">
        <f aca="false">TRUE()</f>
        <v>1</v>
      </c>
      <c r="AH1743" s="0" t="n">
        <v>1</v>
      </c>
    </row>
    <row r="1744" customFormat="false" ht="15" hidden="false" customHeight="false" outlineLevel="0" collapsed="false">
      <c r="A1744" s="0" t="s">
        <v>2648</v>
      </c>
      <c r="B1744" s="0" t="s">
        <v>134</v>
      </c>
      <c r="C1744" s="0" t="s">
        <v>3447</v>
      </c>
      <c r="D1744" s="0" t="s">
        <v>3457</v>
      </c>
      <c r="E1744" s="19" t="s">
        <v>26</v>
      </c>
      <c r="F1744" s="19" t="s">
        <v>32</v>
      </c>
      <c r="G1744" s="21" t="s">
        <v>529</v>
      </c>
      <c r="H1744" s="21" t="s">
        <v>24</v>
      </c>
      <c r="I1744" s="21" t="s">
        <v>26</v>
      </c>
      <c r="J1744" s="21" t="s">
        <v>24</v>
      </c>
      <c r="K1744" s="21" t="s">
        <v>24</v>
      </c>
      <c r="L1744" s="21" t="s">
        <v>24</v>
      </c>
      <c r="M1744" s="0" t="n">
        <v>186</v>
      </c>
      <c r="N1744" s="0" t="n">
        <v>10</v>
      </c>
      <c r="O1744" s="21" t="s">
        <v>4071</v>
      </c>
      <c r="P1744" s="21" t="s">
        <v>4803</v>
      </c>
      <c r="Q1744" s="0" t="n">
        <v>1</v>
      </c>
      <c r="R1744" s="21" t="s">
        <v>69</v>
      </c>
      <c r="S1744" s="0" t="n">
        <v>10</v>
      </c>
      <c r="T1744" s="21" t="s">
        <v>4071</v>
      </c>
      <c r="U1744" s="22" t="b">
        <f aca="false">FALSE()</f>
        <v>0</v>
      </c>
      <c r="V1744" s="0" t="n">
        <v>0.76</v>
      </c>
      <c r="W1744" s="0" t="n">
        <v>0.56</v>
      </c>
      <c r="X1744" s="0" t="n">
        <v>9.39</v>
      </c>
      <c r="Y1744" s="0" t="n">
        <v>329.2</v>
      </c>
      <c r="Z1744" s="0" t="n">
        <v>8.67</v>
      </c>
      <c r="AA1744" s="0" t="n">
        <v>-0.63</v>
      </c>
      <c r="AB1744" s="0" t="n">
        <v>1.92</v>
      </c>
      <c r="AC1744" s="22" t="b">
        <f aca="false">FALSE()</f>
        <v>0</v>
      </c>
      <c r="AD1744" s="0" t="n">
        <v>12.4</v>
      </c>
      <c r="AE1744" s="0" t="n">
        <v>6.31</v>
      </c>
      <c r="AF1744" s="0" t="n">
        <v>14.37</v>
      </c>
      <c r="AG1744" s="22" t="b">
        <f aca="false">TRUE()</f>
        <v>1</v>
      </c>
      <c r="AH1744" s="0" t="n">
        <v>1</v>
      </c>
    </row>
    <row r="1745" customFormat="false" ht="15" hidden="false" customHeight="false" outlineLevel="0" collapsed="false">
      <c r="A1745" s="0" t="s">
        <v>2648</v>
      </c>
      <c r="B1745" s="0" t="s">
        <v>134</v>
      </c>
      <c r="C1745" s="0" t="s">
        <v>3447</v>
      </c>
      <c r="D1745" s="0" t="s">
        <v>3448</v>
      </c>
      <c r="E1745" s="18" t="s">
        <v>24</v>
      </c>
      <c r="F1745" s="18" t="s">
        <v>28</v>
      </c>
      <c r="H1745" s="21" t="s">
        <v>24</v>
      </c>
      <c r="I1745" s="21" t="s">
        <v>24</v>
      </c>
      <c r="J1745" s="21" t="s">
        <v>24</v>
      </c>
      <c r="K1745" s="21" t="s">
        <v>24</v>
      </c>
      <c r="L1745" s="21" t="s">
        <v>24</v>
      </c>
      <c r="M1745" s="0" t="n">
        <v>189</v>
      </c>
      <c r="N1745" s="0" t="n">
        <v>0</v>
      </c>
      <c r="Q1745" s="0" t="n">
        <v>0</v>
      </c>
      <c r="S1745" s="0" t="n">
        <v>0</v>
      </c>
      <c r="U1745" s="22" t="b">
        <f aca="false">FALSE()</f>
        <v>0</v>
      </c>
      <c r="V1745" s="0" t="n">
        <v>0.79</v>
      </c>
      <c r="W1745" s="0" t="n">
        <v>0.16</v>
      </c>
      <c r="X1745" s="0" t="n">
        <v>10.59</v>
      </c>
      <c r="Y1745" s="0" t="n">
        <v>559.34</v>
      </c>
      <c r="Z1745" s="0" t="n">
        <v>9.75</v>
      </c>
      <c r="AA1745" s="0" t="n">
        <v>3.94</v>
      </c>
      <c r="AB1745" s="0" t="n">
        <v>7.25</v>
      </c>
      <c r="AC1745" s="22" t="b">
        <f aca="false">FALSE()</f>
        <v>0</v>
      </c>
      <c r="AD1745" s="0" t="n">
        <v>18.34</v>
      </c>
      <c r="AE1745" s="0" t="n">
        <v>6.94</v>
      </c>
      <c r="AF1745" s="0" t="n">
        <v>13.19</v>
      </c>
      <c r="AG1745" s="22" t="b">
        <f aca="false">TRUE()</f>
        <v>1</v>
      </c>
      <c r="AH1745" s="0" t="n">
        <v>1</v>
      </c>
    </row>
    <row r="1746" customFormat="false" ht="15" hidden="false" customHeight="false" outlineLevel="0" collapsed="false">
      <c r="A1746" s="0" t="s">
        <v>2654</v>
      </c>
      <c r="B1746" s="0" t="s">
        <v>134</v>
      </c>
      <c r="C1746" s="0" t="s">
        <v>3450</v>
      </c>
      <c r="D1746" s="0" t="s">
        <v>3457</v>
      </c>
      <c r="E1746" s="20" t="s">
        <v>25</v>
      </c>
      <c r="F1746" s="23" t="s">
        <v>30</v>
      </c>
      <c r="G1746" s="21" t="s">
        <v>283</v>
      </c>
      <c r="H1746" s="21" t="s">
        <v>24</v>
      </c>
      <c r="I1746" s="21" t="s">
        <v>25</v>
      </c>
      <c r="J1746" s="21" t="s">
        <v>24</v>
      </c>
      <c r="K1746" s="21" t="s">
        <v>24</v>
      </c>
      <c r="L1746" s="21" t="s">
        <v>24</v>
      </c>
      <c r="M1746" s="0" t="n">
        <v>184</v>
      </c>
      <c r="N1746" s="0" t="n">
        <v>1</v>
      </c>
      <c r="O1746" s="21" t="s">
        <v>69</v>
      </c>
      <c r="P1746" s="21" t="s">
        <v>4275</v>
      </c>
      <c r="Q1746" s="0" t="n">
        <v>1</v>
      </c>
      <c r="R1746" s="21" t="s">
        <v>69</v>
      </c>
      <c r="S1746" s="0" t="n">
        <v>1</v>
      </c>
      <c r="T1746" s="21" t="s">
        <v>69</v>
      </c>
      <c r="U1746" s="22" t="b">
        <f aca="false">TRUE()</f>
        <v>1</v>
      </c>
      <c r="V1746" s="0" t="n">
        <v>0.76</v>
      </c>
      <c r="W1746" s="0" t="n">
        <v>0.84</v>
      </c>
      <c r="X1746" s="0" t="n">
        <v>6.81</v>
      </c>
      <c r="Y1746" s="0" t="n">
        <v>316.7</v>
      </c>
      <c r="Z1746" s="0" t="n">
        <v>9.83</v>
      </c>
      <c r="AA1746" s="0" t="n">
        <v>3.43</v>
      </c>
      <c r="AB1746" s="0" t="n">
        <v>3.16</v>
      </c>
      <c r="AC1746" s="22" t="b">
        <f aca="false">FALSE()</f>
        <v>0</v>
      </c>
      <c r="AD1746" s="0" t="n">
        <v>10.29</v>
      </c>
      <c r="AE1746" s="0" t="n">
        <v>6.83</v>
      </c>
      <c r="AF1746" s="0" t="n">
        <v>16.23</v>
      </c>
      <c r="AG1746" s="22" t="b">
        <f aca="false">TRUE()</f>
        <v>1</v>
      </c>
      <c r="AH1746" s="0" t="n">
        <v>1</v>
      </c>
    </row>
    <row r="1747" customFormat="false" ht="15" hidden="false" customHeight="false" outlineLevel="0" collapsed="false">
      <c r="A1747" s="0" t="s">
        <v>2654</v>
      </c>
      <c r="B1747" s="0" t="s">
        <v>134</v>
      </c>
      <c r="C1747" s="0" t="s">
        <v>3450</v>
      </c>
      <c r="D1747" s="0" t="s">
        <v>3448</v>
      </c>
      <c r="E1747" s="18" t="s">
        <v>24</v>
      </c>
      <c r="F1747" s="18" t="s">
        <v>28</v>
      </c>
      <c r="H1747" s="21" t="s">
        <v>24</v>
      </c>
      <c r="I1747" s="21" t="s">
        <v>24</v>
      </c>
      <c r="J1747" s="21" t="s">
        <v>24</v>
      </c>
      <c r="K1747" s="21" t="s">
        <v>24</v>
      </c>
      <c r="L1747" s="21" t="s">
        <v>24</v>
      </c>
      <c r="M1747" s="0" t="n">
        <v>183</v>
      </c>
      <c r="N1747" s="0" t="n">
        <v>0</v>
      </c>
      <c r="Q1747" s="0" t="n">
        <v>0</v>
      </c>
      <c r="S1747" s="0" t="n">
        <v>0</v>
      </c>
      <c r="U1747" s="22" t="b">
        <f aca="false">FALSE()</f>
        <v>0</v>
      </c>
      <c r="V1747" s="0" t="n">
        <v>0.81</v>
      </c>
      <c r="W1747" s="0" t="n">
        <v>0.32</v>
      </c>
      <c r="X1747" s="0" t="n">
        <v>6.66</v>
      </c>
      <c r="Y1747" s="0" t="n">
        <v>403.58</v>
      </c>
      <c r="Z1747" s="0" t="n">
        <v>9.5</v>
      </c>
      <c r="AA1747" s="0" t="n">
        <v>8.6</v>
      </c>
      <c r="AB1747" s="0" t="n">
        <v>1.56</v>
      </c>
      <c r="AC1747" s="22" t="b">
        <f aca="false">FALSE()</f>
        <v>0</v>
      </c>
      <c r="AD1747" s="0" t="n">
        <v>15.77</v>
      </c>
      <c r="AE1747" s="0" t="n">
        <v>8.87</v>
      </c>
      <c r="AF1747" s="0" t="n">
        <v>19.49</v>
      </c>
      <c r="AG1747" s="22" t="b">
        <f aca="false">TRUE()</f>
        <v>1</v>
      </c>
      <c r="AH1747" s="0" t="n">
        <v>1</v>
      </c>
    </row>
    <row r="1748" customFormat="false" ht="15" hidden="false" customHeight="false" outlineLevel="0" collapsed="false">
      <c r="A1748" s="0" t="s">
        <v>2654</v>
      </c>
      <c r="B1748" s="0" t="s">
        <v>134</v>
      </c>
      <c r="C1748" s="0" t="s">
        <v>3447</v>
      </c>
      <c r="D1748" s="0" t="s">
        <v>3457</v>
      </c>
      <c r="E1748" s="20" t="s">
        <v>25</v>
      </c>
      <c r="F1748" s="23" t="s">
        <v>30</v>
      </c>
      <c r="G1748" s="21" t="s">
        <v>283</v>
      </c>
      <c r="H1748" s="21" t="s">
        <v>24</v>
      </c>
      <c r="I1748" s="21" t="s">
        <v>25</v>
      </c>
      <c r="J1748" s="21" t="s">
        <v>24</v>
      </c>
      <c r="K1748" s="21" t="s">
        <v>24</v>
      </c>
      <c r="L1748" s="21" t="s">
        <v>24</v>
      </c>
      <c r="M1748" s="0" t="n">
        <v>182</v>
      </c>
      <c r="N1748" s="0" t="n">
        <v>1</v>
      </c>
      <c r="O1748" s="21" t="s">
        <v>69</v>
      </c>
      <c r="P1748" s="21" t="s">
        <v>4275</v>
      </c>
      <c r="Q1748" s="0" t="n">
        <v>1</v>
      </c>
      <c r="R1748" s="21" t="s">
        <v>69</v>
      </c>
      <c r="S1748" s="0" t="n">
        <v>1</v>
      </c>
      <c r="T1748" s="21" t="s">
        <v>69</v>
      </c>
      <c r="U1748" s="22" t="b">
        <f aca="false">TRUE()</f>
        <v>1</v>
      </c>
      <c r="V1748" s="0" t="n">
        <v>0.79</v>
      </c>
      <c r="W1748" s="0" t="n">
        <v>0.36</v>
      </c>
      <c r="X1748" s="0" t="n">
        <v>6.13</v>
      </c>
      <c r="Y1748" s="0" t="n">
        <v>371.84</v>
      </c>
      <c r="Z1748" s="0" t="n">
        <v>10</v>
      </c>
      <c r="AA1748" s="0" t="n">
        <v>5.86</v>
      </c>
      <c r="AB1748" s="0" t="n">
        <v>3.16</v>
      </c>
      <c r="AC1748" s="22" t="b">
        <f aca="false">FALSE()</f>
        <v>0</v>
      </c>
      <c r="AD1748" s="0" t="n">
        <v>14.46</v>
      </c>
      <c r="AE1748" s="0" t="n">
        <v>10.34</v>
      </c>
      <c r="AF1748" s="0" t="n">
        <v>19.88</v>
      </c>
      <c r="AG1748" s="22" t="b">
        <f aca="false">TRUE()</f>
        <v>1</v>
      </c>
      <c r="AH1748" s="0" t="n">
        <v>1</v>
      </c>
    </row>
    <row r="1749" customFormat="false" ht="15" hidden="false" customHeight="false" outlineLevel="0" collapsed="false">
      <c r="A1749" s="0" t="s">
        <v>2654</v>
      </c>
      <c r="B1749" s="0" t="s">
        <v>134</v>
      </c>
      <c r="C1749" s="0" t="s">
        <v>3447</v>
      </c>
      <c r="D1749" s="0" t="s">
        <v>3448</v>
      </c>
      <c r="E1749" s="20" t="s">
        <v>25</v>
      </c>
      <c r="F1749" s="23" t="s">
        <v>30</v>
      </c>
      <c r="G1749" s="21" t="s">
        <v>992</v>
      </c>
      <c r="H1749" s="21" t="s">
        <v>24</v>
      </c>
      <c r="I1749" s="21" t="s">
        <v>24</v>
      </c>
      <c r="J1749" s="21" t="s">
        <v>24</v>
      </c>
      <c r="K1749" s="21" t="s">
        <v>25</v>
      </c>
      <c r="L1749" s="21" t="s">
        <v>24</v>
      </c>
      <c r="M1749" s="0" t="n">
        <v>193</v>
      </c>
      <c r="N1749" s="0" t="n">
        <v>3</v>
      </c>
      <c r="O1749" s="21" t="s">
        <v>3554</v>
      </c>
      <c r="P1749" s="21" t="s">
        <v>4804</v>
      </c>
      <c r="Q1749" s="0" t="n">
        <v>0</v>
      </c>
      <c r="S1749" s="0" t="n">
        <v>3</v>
      </c>
      <c r="T1749" s="21" t="s">
        <v>3554</v>
      </c>
      <c r="U1749" s="22" t="b">
        <f aca="false">TRUE()</f>
        <v>1</v>
      </c>
      <c r="V1749" s="0" t="n">
        <v>0.83</v>
      </c>
      <c r="W1749" s="0" t="n">
        <v>0</v>
      </c>
      <c r="X1749" s="0" t="n">
        <v>6.48</v>
      </c>
      <c r="Y1749" s="0" t="n">
        <v>760.94</v>
      </c>
      <c r="Z1749" s="0" t="n">
        <v>10.25</v>
      </c>
      <c r="AA1749" s="0" t="n">
        <v>6.92</v>
      </c>
      <c r="AB1749" s="0" t="n">
        <v>1.56</v>
      </c>
      <c r="AC1749" s="22" t="b">
        <f aca="false">FALSE()</f>
        <v>0</v>
      </c>
      <c r="AD1749" s="0" t="n">
        <v>21.2</v>
      </c>
      <c r="AE1749" s="0" t="n">
        <v>11.73</v>
      </c>
      <c r="AF1749" s="0" t="n">
        <v>21.62</v>
      </c>
      <c r="AG1749" s="22" t="b">
        <f aca="false">TRUE()</f>
        <v>1</v>
      </c>
      <c r="AH1749" s="0" t="n">
        <v>1</v>
      </c>
    </row>
    <row r="1750" customFormat="false" ht="15" hidden="false" customHeight="false" outlineLevel="0" collapsed="false">
      <c r="A1750" s="0" t="s">
        <v>2660</v>
      </c>
      <c r="B1750" s="0" t="s">
        <v>134</v>
      </c>
      <c r="C1750" s="0" t="s">
        <v>3450</v>
      </c>
      <c r="D1750" s="0" t="s">
        <v>3457</v>
      </c>
      <c r="E1750" s="20" t="s">
        <v>25</v>
      </c>
      <c r="F1750" s="23" t="s">
        <v>30</v>
      </c>
      <c r="G1750" s="21" t="s">
        <v>283</v>
      </c>
      <c r="H1750" s="21" t="s">
        <v>24</v>
      </c>
      <c r="I1750" s="21" t="s">
        <v>25</v>
      </c>
      <c r="J1750" s="21" t="s">
        <v>24</v>
      </c>
      <c r="K1750" s="21" t="s">
        <v>24</v>
      </c>
      <c r="L1750" s="21" t="s">
        <v>24</v>
      </c>
      <c r="M1750" s="0" t="n">
        <v>192</v>
      </c>
      <c r="N1750" s="0" t="n">
        <v>3</v>
      </c>
      <c r="O1750" s="21" t="s">
        <v>3649</v>
      </c>
      <c r="P1750" s="21" t="s">
        <v>4242</v>
      </c>
      <c r="Q1750" s="0" t="n">
        <v>1</v>
      </c>
      <c r="R1750" s="21" t="s">
        <v>69</v>
      </c>
      <c r="S1750" s="0" t="n">
        <v>3</v>
      </c>
      <c r="T1750" s="21" t="s">
        <v>3649</v>
      </c>
      <c r="U1750" s="22" t="b">
        <f aca="false">TRUE()</f>
        <v>1</v>
      </c>
      <c r="V1750" s="0" t="n">
        <v>0.83</v>
      </c>
      <c r="W1750" s="0" t="n">
        <v>0.88</v>
      </c>
      <c r="X1750" s="0" t="n">
        <v>6.13</v>
      </c>
      <c r="Y1750" s="0" t="n">
        <v>313.65</v>
      </c>
      <c r="Z1750" s="0" t="n">
        <v>11</v>
      </c>
      <c r="AA1750" s="0" t="n">
        <v>3.16</v>
      </c>
      <c r="AB1750" s="0" t="n">
        <v>2.37</v>
      </c>
      <c r="AC1750" s="22" t="b">
        <f aca="false">FALSE()</f>
        <v>0</v>
      </c>
      <c r="AD1750" s="0" t="n">
        <v>14.47</v>
      </c>
      <c r="AE1750" s="0" t="n">
        <v>0.67</v>
      </c>
      <c r="AF1750" s="0" t="n">
        <v>14.97</v>
      </c>
      <c r="AG1750" s="22" t="b">
        <f aca="false">TRUE()</f>
        <v>1</v>
      </c>
      <c r="AH1750" s="0" t="n">
        <v>1</v>
      </c>
    </row>
    <row r="1751" customFormat="false" ht="15" hidden="false" customHeight="false" outlineLevel="0" collapsed="false">
      <c r="A1751" s="0" t="s">
        <v>2660</v>
      </c>
      <c r="B1751" s="0" t="s">
        <v>134</v>
      </c>
      <c r="C1751" s="0" t="s">
        <v>3450</v>
      </c>
      <c r="D1751" s="0" t="s">
        <v>3448</v>
      </c>
      <c r="E1751" s="20" t="s">
        <v>25</v>
      </c>
      <c r="F1751" s="23" t="s">
        <v>30</v>
      </c>
      <c r="G1751" s="21" t="s">
        <v>1152</v>
      </c>
      <c r="H1751" s="21" t="s">
        <v>24</v>
      </c>
      <c r="I1751" s="21" t="s">
        <v>25</v>
      </c>
      <c r="J1751" s="21" t="s">
        <v>24</v>
      </c>
      <c r="K1751" s="21" t="s">
        <v>25</v>
      </c>
      <c r="L1751" s="21" t="s">
        <v>24</v>
      </c>
      <c r="M1751" s="0" t="n">
        <v>186</v>
      </c>
      <c r="N1751" s="0" t="n">
        <v>2</v>
      </c>
      <c r="O1751" s="21" t="s">
        <v>3566</v>
      </c>
      <c r="P1751" s="21" t="s">
        <v>4238</v>
      </c>
      <c r="Q1751" s="0" t="n">
        <v>1</v>
      </c>
      <c r="R1751" s="21" t="s">
        <v>69</v>
      </c>
      <c r="S1751" s="0" t="n">
        <v>2</v>
      </c>
      <c r="T1751" s="21" t="s">
        <v>3566</v>
      </c>
      <c r="U1751" s="22" t="b">
        <f aca="false">TRUE()</f>
        <v>1</v>
      </c>
      <c r="V1751" s="0" t="n">
        <v>0.82</v>
      </c>
      <c r="W1751" s="0" t="n">
        <v>0.16</v>
      </c>
      <c r="X1751" s="0" t="n">
        <v>6.44</v>
      </c>
      <c r="Y1751" s="0" t="n">
        <v>568.97</v>
      </c>
      <c r="Z1751" s="0" t="n">
        <v>11.25</v>
      </c>
      <c r="AA1751" s="0" t="n">
        <v>7.29</v>
      </c>
      <c r="AB1751" s="0" t="n">
        <v>0.44</v>
      </c>
      <c r="AC1751" s="22" t="b">
        <f aca="false">FALSE()</f>
        <v>0</v>
      </c>
      <c r="AD1751" s="0" t="n">
        <v>11.24</v>
      </c>
      <c r="AE1751" s="0" t="n">
        <v>0.32</v>
      </c>
      <c r="AF1751" s="0" t="n">
        <v>2.26</v>
      </c>
      <c r="AG1751" s="22" t="b">
        <f aca="false">TRUE()</f>
        <v>1</v>
      </c>
      <c r="AH1751" s="0" t="n">
        <v>1</v>
      </c>
    </row>
    <row r="1752" customFormat="false" ht="15" hidden="false" customHeight="false" outlineLevel="0" collapsed="false">
      <c r="A1752" s="0" t="s">
        <v>2660</v>
      </c>
      <c r="B1752" s="0" t="s">
        <v>134</v>
      </c>
      <c r="C1752" s="0" t="s">
        <v>3447</v>
      </c>
      <c r="D1752" s="0" t="s">
        <v>3457</v>
      </c>
      <c r="E1752" s="19" t="s">
        <v>26</v>
      </c>
      <c r="F1752" s="19" t="s">
        <v>32</v>
      </c>
      <c r="G1752" s="21" t="s">
        <v>60</v>
      </c>
      <c r="H1752" s="21" t="s">
        <v>24</v>
      </c>
      <c r="I1752" s="21" t="s">
        <v>26</v>
      </c>
      <c r="J1752" s="21" t="s">
        <v>24</v>
      </c>
      <c r="K1752" s="21" t="s">
        <v>24</v>
      </c>
      <c r="L1752" s="21" t="s">
        <v>24</v>
      </c>
      <c r="M1752" s="0" t="n">
        <v>184</v>
      </c>
      <c r="N1752" s="0" t="n">
        <v>10</v>
      </c>
      <c r="O1752" s="21" t="s">
        <v>3926</v>
      </c>
      <c r="P1752" s="21" t="s">
        <v>4805</v>
      </c>
      <c r="Q1752" s="0" t="n">
        <v>0</v>
      </c>
      <c r="S1752" s="0" t="n">
        <v>10</v>
      </c>
      <c r="T1752" s="21" t="s">
        <v>3926</v>
      </c>
      <c r="U1752" s="22" t="b">
        <f aca="false">FALSE()</f>
        <v>0</v>
      </c>
      <c r="V1752" s="0" t="n">
        <v>0.86</v>
      </c>
      <c r="W1752" s="0" t="n">
        <v>0.68</v>
      </c>
      <c r="X1752" s="0" t="n">
        <v>5.63</v>
      </c>
      <c r="Y1752" s="0" t="n">
        <v>312.72</v>
      </c>
      <c r="Z1752" s="0" t="n">
        <v>9.5</v>
      </c>
      <c r="AA1752" s="0" t="n">
        <v>-0.87</v>
      </c>
      <c r="AB1752" s="0" t="n">
        <v>2.37</v>
      </c>
      <c r="AC1752" s="22" t="b">
        <f aca="false">FALSE()</f>
        <v>0</v>
      </c>
      <c r="AD1752" s="0" t="n">
        <v>14.66</v>
      </c>
      <c r="AE1752" s="0" t="n">
        <v>0.8</v>
      </c>
      <c r="AF1752" s="0" t="n">
        <v>15.21</v>
      </c>
      <c r="AG1752" s="22" t="b">
        <f aca="false">TRUE()</f>
        <v>1</v>
      </c>
      <c r="AH1752" s="0" t="n">
        <v>1</v>
      </c>
    </row>
    <row r="1753" customFormat="false" ht="15" hidden="false" customHeight="false" outlineLevel="0" collapsed="false">
      <c r="A1753" s="0" t="s">
        <v>2660</v>
      </c>
      <c r="B1753" s="0" t="s">
        <v>134</v>
      </c>
      <c r="C1753" s="0" t="s">
        <v>3447</v>
      </c>
      <c r="D1753" s="0" t="s">
        <v>3448</v>
      </c>
      <c r="E1753" s="20" t="s">
        <v>25</v>
      </c>
      <c r="F1753" s="23" t="s">
        <v>30</v>
      </c>
      <c r="G1753" s="21" t="s">
        <v>1152</v>
      </c>
      <c r="H1753" s="21" t="s">
        <v>24</v>
      </c>
      <c r="I1753" s="21" t="s">
        <v>25</v>
      </c>
      <c r="J1753" s="21" t="s">
        <v>24</v>
      </c>
      <c r="K1753" s="21" t="s">
        <v>25</v>
      </c>
      <c r="L1753" s="21" t="s">
        <v>24</v>
      </c>
      <c r="M1753" s="0" t="n">
        <v>192</v>
      </c>
      <c r="N1753" s="0" t="n">
        <v>1</v>
      </c>
      <c r="O1753" s="21" t="s">
        <v>69</v>
      </c>
      <c r="P1753" s="21" t="s">
        <v>4275</v>
      </c>
      <c r="Q1753" s="0" t="n">
        <v>1</v>
      </c>
      <c r="R1753" s="21" t="s">
        <v>69</v>
      </c>
      <c r="S1753" s="0" t="n">
        <v>1</v>
      </c>
      <c r="T1753" s="21" t="s">
        <v>69</v>
      </c>
      <c r="U1753" s="22" t="b">
        <f aca="false">TRUE()</f>
        <v>1</v>
      </c>
      <c r="V1753" s="0" t="n">
        <v>0.84</v>
      </c>
      <c r="W1753" s="0" t="n">
        <v>0.64</v>
      </c>
      <c r="X1753" s="0" t="n">
        <v>6.06</v>
      </c>
      <c r="Y1753" s="0" t="n">
        <v>335.43</v>
      </c>
      <c r="Z1753" s="0" t="n">
        <v>8</v>
      </c>
      <c r="AA1753" s="0" t="n">
        <v>-1.08</v>
      </c>
      <c r="AB1753" s="0" t="n">
        <v>0.44</v>
      </c>
      <c r="AC1753" s="22" t="b">
        <f aca="false">FALSE()</f>
        <v>0</v>
      </c>
      <c r="AD1753" s="0" t="n">
        <v>4.37</v>
      </c>
      <c r="AE1753" s="0" t="n">
        <v>0.44</v>
      </c>
      <c r="AF1753" s="0" t="n">
        <v>1.33</v>
      </c>
      <c r="AG1753" s="22" t="b">
        <f aca="false">FALSE()</f>
        <v>0</v>
      </c>
      <c r="AH1753" s="0" t="n">
        <v>1</v>
      </c>
    </row>
    <row r="1754" customFormat="false" ht="15" hidden="false" customHeight="false" outlineLevel="0" collapsed="false">
      <c r="A1754" s="0" t="s">
        <v>2666</v>
      </c>
      <c r="B1754" s="0" t="s">
        <v>134</v>
      </c>
      <c r="C1754" s="0" t="s">
        <v>3450</v>
      </c>
      <c r="D1754" s="0" t="s">
        <v>3457</v>
      </c>
      <c r="E1754" s="19" t="s">
        <v>26</v>
      </c>
      <c r="F1754" s="19" t="s">
        <v>32</v>
      </c>
      <c r="G1754" s="21" t="s">
        <v>3896</v>
      </c>
      <c r="H1754" s="21" t="s">
        <v>24</v>
      </c>
      <c r="I1754" s="21" t="s">
        <v>26</v>
      </c>
      <c r="J1754" s="21" t="s">
        <v>24</v>
      </c>
      <c r="K1754" s="21" t="s">
        <v>25</v>
      </c>
      <c r="L1754" s="21" t="s">
        <v>24</v>
      </c>
      <c r="M1754" s="0" t="n">
        <v>182</v>
      </c>
      <c r="N1754" s="0" t="n">
        <v>15</v>
      </c>
      <c r="O1754" s="21" t="s">
        <v>4086</v>
      </c>
      <c r="P1754" s="21" t="s">
        <v>4806</v>
      </c>
      <c r="Q1754" s="0" t="n">
        <v>0</v>
      </c>
      <c r="S1754" s="0" t="n">
        <v>15</v>
      </c>
      <c r="T1754" s="21" t="s">
        <v>4086</v>
      </c>
      <c r="U1754" s="22" t="b">
        <f aca="false">FALSE()</f>
        <v>0</v>
      </c>
      <c r="V1754" s="0" t="n">
        <v>0.58</v>
      </c>
      <c r="W1754" s="0" t="n">
        <v>0.24</v>
      </c>
      <c r="X1754" s="0" t="n">
        <v>9.07</v>
      </c>
      <c r="Y1754" s="0" t="n">
        <v>458.58</v>
      </c>
      <c r="Z1754" s="0" t="n">
        <v>9.5</v>
      </c>
      <c r="AA1754" s="0" t="n">
        <v>15.66</v>
      </c>
      <c r="AB1754" s="0" t="n">
        <v>12.43</v>
      </c>
      <c r="AC1754" s="22" t="b">
        <f aca="false">FALSE()</f>
        <v>0</v>
      </c>
      <c r="AD1754" s="0" t="n">
        <v>22.12</v>
      </c>
      <c r="AE1754" s="0" t="n">
        <v>7.83</v>
      </c>
      <c r="AF1754" s="0" t="n">
        <v>17.84</v>
      </c>
      <c r="AG1754" s="22" t="b">
        <f aca="false">TRUE()</f>
        <v>1</v>
      </c>
      <c r="AH1754" s="0" t="n">
        <v>1</v>
      </c>
    </row>
    <row r="1755" customFormat="false" ht="15" hidden="false" customHeight="false" outlineLevel="0" collapsed="false">
      <c r="A1755" s="0" t="s">
        <v>2666</v>
      </c>
      <c r="B1755" s="0" t="s">
        <v>134</v>
      </c>
      <c r="C1755" s="0" t="s">
        <v>3450</v>
      </c>
      <c r="D1755" s="0" t="s">
        <v>3448</v>
      </c>
      <c r="E1755" s="20" t="s">
        <v>25</v>
      </c>
      <c r="F1755" s="23" t="s">
        <v>30</v>
      </c>
      <c r="G1755" s="21" t="s">
        <v>283</v>
      </c>
      <c r="H1755" s="21" t="s">
        <v>24</v>
      </c>
      <c r="I1755" s="21" t="s">
        <v>25</v>
      </c>
      <c r="J1755" s="21" t="s">
        <v>24</v>
      </c>
      <c r="K1755" s="21" t="s">
        <v>24</v>
      </c>
      <c r="L1755" s="21" t="s">
        <v>24</v>
      </c>
      <c r="M1755" s="0" t="n">
        <v>187</v>
      </c>
      <c r="N1755" s="0" t="n">
        <v>3</v>
      </c>
      <c r="O1755" s="21" t="s">
        <v>3786</v>
      </c>
      <c r="P1755" s="21" t="s">
        <v>4807</v>
      </c>
      <c r="Q1755" s="0" t="n">
        <v>1</v>
      </c>
      <c r="R1755" s="21" t="s">
        <v>69</v>
      </c>
      <c r="S1755" s="0" t="n">
        <v>3</v>
      </c>
      <c r="T1755" s="21" t="s">
        <v>3786</v>
      </c>
      <c r="U1755" s="22" t="b">
        <f aca="false">TRUE()</f>
        <v>1</v>
      </c>
      <c r="V1755" s="0" t="n">
        <v>0.61</v>
      </c>
      <c r="W1755" s="0" t="n">
        <v>0.48</v>
      </c>
      <c r="X1755" s="0" t="n">
        <v>8.79</v>
      </c>
      <c r="Y1755" s="0" t="n">
        <v>322.69</v>
      </c>
      <c r="Z1755" s="0" t="n">
        <v>9.92</v>
      </c>
      <c r="AA1755" s="0" t="n">
        <v>17.82</v>
      </c>
      <c r="AB1755" s="0" t="n">
        <v>6</v>
      </c>
      <c r="AC1755" s="22" t="b">
        <f aca="false">FALSE()</f>
        <v>0</v>
      </c>
      <c r="AD1755" s="0" t="n">
        <v>19.89</v>
      </c>
      <c r="AE1755" s="0" t="n">
        <v>8.12</v>
      </c>
      <c r="AF1755" s="0" t="n">
        <v>17.5</v>
      </c>
      <c r="AG1755" s="22" t="b">
        <f aca="false">TRUE()</f>
        <v>1</v>
      </c>
      <c r="AH1755" s="0" t="n">
        <v>1</v>
      </c>
    </row>
    <row r="1756" customFormat="false" ht="15" hidden="false" customHeight="false" outlineLevel="0" collapsed="false">
      <c r="A1756" s="0" t="s">
        <v>2666</v>
      </c>
      <c r="B1756" s="0" t="s">
        <v>134</v>
      </c>
      <c r="C1756" s="0" t="s">
        <v>3447</v>
      </c>
      <c r="D1756" s="0" t="s">
        <v>3457</v>
      </c>
      <c r="E1756" s="20" t="s">
        <v>25</v>
      </c>
      <c r="F1756" s="23" t="s">
        <v>30</v>
      </c>
      <c r="G1756" s="21" t="s">
        <v>992</v>
      </c>
      <c r="H1756" s="21" t="s">
        <v>24</v>
      </c>
      <c r="I1756" s="21" t="s">
        <v>24</v>
      </c>
      <c r="J1756" s="21" t="s">
        <v>24</v>
      </c>
      <c r="K1756" s="21" t="s">
        <v>25</v>
      </c>
      <c r="L1756" s="21" t="s">
        <v>24</v>
      </c>
      <c r="M1756" s="0" t="n">
        <v>184</v>
      </c>
      <c r="N1756" s="0" t="n">
        <v>6</v>
      </c>
      <c r="O1756" s="21" t="s">
        <v>3776</v>
      </c>
      <c r="P1756" s="21" t="s">
        <v>4664</v>
      </c>
      <c r="Q1756" s="0" t="n">
        <v>0</v>
      </c>
      <c r="S1756" s="0" t="n">
        <v>6</v>
      </c>
      <c r="T1756" s="21" t="s">
        <v>3776</v>
      </c>
      <c r="U1756" s="22" t="b">
        <f aca="false">TRUE()</f>
        <v>1</v>
      </c>
      <c r="V1756" s="0" t="n">
        <v>0.71</v>
      </c>
      <c r="W1756" s="0" t="n">
        <v>0.12</v>
      </c>
      <c r="X1756" s="0" t="n">
        <v>7.51</v>
      </c>
      <c r="Y1756" s="0" t="n">
        <v>620.91</v>
      </c>
      <c r="Z1756" s="0" t="n">
        <v>9.75</v>
      </c>
      <c r="AA1756" s="0" t="n">
        <v>0.38</v>
      </c>
      <c r="AB1756" s="0" t="n">
        <v>12.43</v>
      </c>
      <c r="AC1756" s="22" t="b">
        <f aca="false">FALSE()</f>
        <v>0</v>
      </c>
      <c r="AD1756" s="0" t="n">
        <v>20.98</v>
      </c>
      <c r="AE1756" s="0" t="n">
        <v>7.37</v>
      </c>
      <c r="AF1756" s="0" t="n">
        <v>18.18</v>
      </c>
      <c r="AG1756" s="22" t="b">
        <f aca="false">TRUE()</f>
        <v>1</v>
      </c>
      <c r="AH1756" s="0" t="n">
        <v>1</v>
      </c>
    </row>
    <row r="1757" customFormat="false" ht="15" hidden="false" customHeight="false" outlineLevel="0" collapsed="false">
      <c r="A1757" s="0" t="s">
        <v>2666</v>
      </c>
      <c r="B1757" s="0" t="s">
        <v>134</v>
      </c>
      <c r="C1757" s="0" t="s">
        <v>3447</v>
      </c>
      <c r="D1757" s="0" t="s">
        <v>3448</v>
      </c>
      <c r="E1757" s="20" t="s">
        <v>25</v>
      </c>
      <c r="F1757" s="23" t="s">
        <v>30</v>
      </c>
      <c r="G1757" s="21" t="s">
        <v>992</v>
      </c>
      <c r="H1757" s="21" t="s">
        <v>24</v>
      </c>
      <c r="I1757" s="21" t="s">
        <v>24</v>
      </c>
      <c r="J1757" s="21" t="s">
        <v>24</v>
      </c>
      <c r="K1757" s="21" t="s">
        <v>25</v>
      </c>
      <c r="L1757" s="21" t="s">
        <v>24</v>
      </c>
      <c r="M1757" s="0" t="n">
        <v>185</v>
      </c>
      <c r="N1757" s="0" t="n">
        <v>6</v>
      </c>
      <c r="O1757" s="21" t="s">
        <v>3776</v>
      </c>
      <c r="P1757" s="21" t="s">
        <v>4664</v>
      </c>
      <c r="Q1757" s="0" t="n">
        <v>0</v>
      </c>
      <c r="S1757" s="0" t="n">
        <v>6</v>
      </c>
      <c r="T1757" s="21" t="s">
        <v>3776</v>
      </c>
      <c r="U1757" s="22" t="b">
        <f aca="false">TRUE()</f>
        <v>1</v>
      </c>
      <c r="V1757" s="0" t="n">
        <v>0.75</v>
      </c>
      <c r="W1757" s="0" t="n">
        <v>0</v>
      </c>
      <c r="X1757" s="0" t="n">
        <v>8.3</v>
      </c>
      <c r="Y1757" s="0" t="n">
        <v>625.46</v>
      </c>
      <c r="Z1757" s="0" t="n">
        <v>9.42</v>
      </c>
      <c r="AA1757" s="0" t="n">
        <v>8.14</v>
      </c>
      <c r="AB1757" s="0" t="n">
        <v>6</v>
      </c>
      <c r="AC1757" s="22" t="b">
        <f aca="false">FALSE()</f>
        <v>0</v>
      </c>
      <c r="AD1757" s="0" t="n">
        <v>20.81</v>
      </c>
      <c r="AE1757" s="0" t="n">
        <v>8.99</v>
      </c>
      <c r="AF1757" s="0" t="n">
        <v>18.07</v>
      </c>
      <c r="AG1757" s="22" t="b">
        <f aca="false">TRUE()</f>
        <v>1</v>
      </c>
      <c r="AH1757" s="0" t="n">
        <v>1</v>
      </c>
    </row>
    <row r="1758" customFormat="false" ht="15" hidden="false" customHeight="false" outlineLevel="0" collapsed="false">
      <c r="A1758" s="0" t="s">
        <v>2672</v>
      </c>
      <c r="B1758" s="0" t="s">
        <v>134</v>
      </c>
      <c r="C1758" s="0" t="s">
        <v>3450</v>
      </c>
      <c r="D1758" s="0" t="s">
        <v>3457</v>
      </c>
      <c r="E1758" s="19" t="s">
        <v>26</v>
      </c>
      <c r="F1758" s="19" t="s">
        <v>32</v>
      </c>
      <c r="G1758" s="21" t="s">
        <v>1926</v>
      </c>
      <c r="H1758" s="21" t="s">
        <v>24</v>
      </c>
      <c r="I1758" s="21" t="s">
        <v>26</v>
      </c>
      <c r="J1758" s="21" t="s">
        <v>24</v>
      </c>
      <c r="K1758" s="21" t="s">
        <v>25</v>
      </c>
      <c r="L1758" s="21" t="s">
        <v>24</v>
      </c>
      <c r="M1758" s="0" t="n">
        <v>184</v>
      </c>
      <c r="N1758" s="0" t="n">
        <v>9</v>
      </c>
      <c r="O1758" s="21" t="s">
        <v>4160</v>
      </c>
      <c r="P1758" s="21" t="s">
        <v>4808</v>
      </c>
      <c r="Q1758" s="0" t="n">
        <v>1</v>
      </c>
      <c r="R1758" s="21" t="s">
        <v>69</v>
      </c>
      <c r="S1758" s="0" t="n">
        <v>9</v>
      </c>
      <c r="T1758" s="21" t="s">
        <v>4160</v>
      </c>
      <c r="U1758" s="22" t="b">
        <f aca="false">FALSE()</f>
        <v>0</v>
      </c>
      <c r="V1758" s="0" t="n">
        <v>0.66</v>
      </c>
      <c r="W1758" s="0" t="n">
        <v>0</v>
      </c>
      <c r="X1758" s="0" t="n">
        <v>8.12</v>
      </c>
      <c r="Y1758" s="0" t="n">
        <v>0.46</v>
      </c>
      <c r="Z1758" s="0" t="n">
        <v>10.75</v>
      </c>
      <c r="AA1758" s="0" t="n">
        <v>18.35</v>
      </c>
      <c r="AB1758" s="0" t="n">
        <v>6.04</v>
      </c>
      <c r="AC1758" s="22" t="b">
        <f aca="false">FALSE()</f>
        <v>0</v>
      </c>
      <c r="AD1758" s="0" t="n">
        <v>23.07</v>
      </c>
      <c r="AE1758" s="0" t="n">
        <v>0.15</v>
      </c>
      <c r="AF1758" s="0" t="n">
        <v>21.95</v>
      </c>
      <c r="AG1758" s="22" t="b">
        <f aca="false">TRUE()</f>
        <v>1</v>
      </c>
      <c r="AH1758" s="0" t="n">
        <v>0</v>
      </c>
    </row>
    <row r="1759" customFormat="false" ht="15" hidden="false" customHeight="false" outlineLevel="0" collapsed="false">
      <c r="A1759" s="0" t="s">
        <v>2672</v>
      </c>
      <c r="B1759" s="0" t="s">
        <v>134</v>
      </c>
      <c r="C1759" s="0" t="s">
        <v>3450</v>
      </c>
      <c r="D1759" s="0" t="s">
        <v>3448</v>
      </c>
      <c r="E1759" s="20" t="s">
        <v>25</v>
      </c>
      <c r="F1759" s="23" t="s">
        <v>30</v>
      </c>
      <c r="G1759" s="21" t="s">
        <v>163</v>
      </c>
      <c r="H1759" s="21" t="s">
        <v>24</v>
      </c>
      <c r="I1759" s="21" t="s">
        <v>25</v>
      </c>
      <c r="J1759" s="21" t="s">
        <v>24</v>
      </c>
      <c r="K1759" s="21" t="s">
        <v>25</v>
      </c>
      <c r="L1759" s="21" t="s">
        <v>24</v>
      </c>
      <c r="M1759" s="0" t="n">
        <v>189</v>
      </c>
      <c r="N1759" s="0" t="n">
        <v>4</v>
      </c>
      <c r="O1759" s="21" t="s">
        <v>3737</v>
      </c>
      <c r="P1759" s="21" t="s">
        <v>4535</v>
      </c>
      <c r="Q1759" s="0" t="n">
        <v>1</v>
      </c>
      <c r="R1759" s="21" t="s">
        <v>69</v>
      </c>
      <c r="S1759" s="0" t="n">
        <v>4</v>
      </c>
      <c r="T1759" s="21" t="s">
        <v>3737</v>
      </c>
      <c r="U1759" s="22" t="b">
        <f aca="false">TRUE()</f>
        <v>1</v>
      </c>
      <c r="V1759" s="0" t="n">
        <v>0.63</v>
      </c>
      <c r="W1759" s="0" t="n">
        <v>0.76</v>
      </c>
      <c r="X1759" s="0" t="n">
        <v>8.46</v>
      </c>
      <c r="Y1759" s="0" t="n">
        <v>332.15</v>
      </c>
      <c r="Z1759" s="0" t="n">
        <v>11</v>
      </c>
      <c r="AA1759" s="0" t="n">
        <v>17.77</v>
      </c>
      <c r="AB1759" s="0" t="n">
        <v>0.12</v>
      </c>
      <c r="AC1759" s="22" t="b">
        <f aca="false">FALSE()</f>
        <v>0</v>
      </c>
      <c r="AD1759" s="0" t="n">
        <v>21.52</v>
      </c>
      <c r="AE1759" s="0" t="n">
        <v>0.09</v>
      </c>
      <c r="AF1759" s="0" t="n">
        <v>21.96</v>
      </c>
      <c r="AG1759" s="22" t="b">
        <f aca="false">TRUE()</f>
        <v>1</v>
      </c>
      <c r="AH1759" s="0" t="n">
        <v>1</v>
      </c>
    </row>
    <row r="1760" customFormat="false" ht="15" hidden="false" customHeight="false" outlineLevel="0" collapsed="false">
      <c r="A1760" s="0" t="s">
        <v>2672</v>
      </c>
      <c r="B1760" s="0" t="s">
        <v>134</v>
      </c>
      <c r="C1760" s="0" t="s">
        <v>3447</v>
      </c>
      <c r="D1760" s="0" t="s">
        <v>3457</v>
      </c>
      <c r="E1760" s="20" t="s">
        <v>25</v>
      </c>
      <c r="F1760" s="23" t="s">
        <v>30</v>
      </c>
      <c r="G1760" s="21" t="s">
        <v>992</v>
      </c>
      <c r="H1760" s="21" t="s">
        <v>24</v>
      </c>
      <c r="I1760" s="21" t="s">
        <v>24</v>
      </c>
      <c r="J1760" s="21" t="s">
        <v>24</v>
      </c>
      <c r="K1760" s="21" t="s">
        <v>25</v>
      </c>
      <c r="L1760" s="21" t="s">
        <v>24</v>
      </c>
      <c r="M1760" s="0" t="n">
        <v>187</v>
      </c>
      <c r="N1760" s="0" t="n">
        <v>5</v>
      </c>
      <c r="O1760" s="21" t="s">
        <v>3730</v>
      </c>
      <c r="P1760" s="21" t="s">
        <v>4809</v>
      </c>
      <c r="Q1760" s="0" t="n">
        <v>0</v>
      </c>
      <c r="S1760" s="0" t="n">
        <v>5</v>
      </c>
      <c r="T1760" s="21" t="s">
        <v>3730</v>
      </c>
      <c r="U1760" s="22" t="b">
        <f aca="false">TRUE()</f>
        <v>1</v>
      </c>
      <c r="V1760" s="0" t="n">
        <v>0.75</v>
      </c>
      <c r="W1760" s="0" t="n">
        <v>0.6</v>
      </c>
      <c r="X1760" s="0" t="n">
        <v>6.9</v>
      </c>
      <c r="Y1760" s="0" t="n">
        <v>329.54</v>
      </c>
      <c r="Z1760" s="0" t="n">
        <v>10.58</v>
      </c>
      <c r="AA1760" s="0" t="n">
        <v>7.98</v>
      </c>
      <c r="AB1760" s="0" t="n">
        <v>6.04</v>
      </c>
      <c r="AC1760" s="22" t="b">
        <f aca="false">FALSE()</f>
        <v>0</v>
      </c>
      <c r="AD1760" s="0" t="n">
        <v>21.33</v>
      </c>
      <c r="AE1760" s="0" t="n">
        <v>1.03</v>
      </c>
      <c r="AF1760" s="0" t="n">
        <v>20.78</v>
      </c>
      <c r="AG1760" s="22" t="b">
        <f aca="false">TRUE()</f>
        <v>1</v>
      </c>
      <c r="AH1760" s="0" t="n">
        <v>1</v>
      </c>
    </row>
    <row r="1761" customFormat="false" ht="15" hidden="false" customHeight="false" outlineLevel="0" collapsed="false">
      <c r="A1761" s="0" t="s">
        <v>2672</v>
      </c>
      <c r="B1761" s="0" t="s">
        <v>134</v>
      </c>
      <c r="C1761" s="0" t="s">
        <v>3447</v>
      </c>
      <c r="D1761" s="0" t="s">
        <v>3448</v>
      </c>
      <c r="E1761" s="20" t="s">
        <v>25</v>
      </c>
      <c r="F1761" s="23" t="s">
        <v>30</v>
      </c>
      <c r="G1761" s="21" t="s">
        <v>2610</v>
      </c>
      <c r="H1761" s="21" t="s">
        <v>24</v>
      </c>
      <c r="I1761" s="21" t="s">
        <v>24</v>
      </c>
      <c r="J1761" s="21" t="s">
        <v>24</v>
      </c>
      <c r="K1761" s="21" t="s">
        <v>25</v>
      </c>
      <c r="L1761" s="21" t="s">
        <v>24</v>
      </c>
      <c r="M1761" s="0" t="n">
        <v>184</v>
      </c>
      <c r="N1761" s="0" t="n">
        <v>2</v>
      </c>
      <c r="O1761" s="21" t="s">
        <v>3523</v>
      </c>
      <c r="P1761" s="21" t="s">
        <v>4394</v>
      </c>
      <c r="Q1761" s="0" t="n">
        <v>0</v>
      </c>
      <c r="S1761" s="0" t="n">
        <v>2</v>
      </c>
      <c r="T1761" s="21" t="s">
        <v>3523</v>
      </c>
      <c r="U1761" s="22" t="b">
        <f aca="false">TRUE()</f>
        <v>1</v>
      </c>
      <c r="V1761" s="0" t="n">
        <v>0.76</v>
      </c>
      <c r="W1761" s="0" t="n">
        <v>0.84</v>
      </c>
      <c r="X1761" s="0" t="n">
        <v>8.02</v>
      </c>
      <c r="Y1761" s="0" t="n">
        <v>322.58</v>
      </c>
      <c r="Z1761" s="0" t="n">
        <v>8</v>
      </c>
      <c r="AA1761" s="0" t="n">
        <v>-1.14</v>
      </c>
      <c r="AB1761" s="0" t="n">
        <v>0.12</v>
      </c>
      <c r="AC1761" s="22" t="b">
        <f aca="false">FALSE()</f>
        <v>0</v>
      </c>
      <c r="AD1761" s="0" t="n">
        <v>4.14</v>
      </c>
      <c r="AE1761" s="0" t="n">
        <v>0.07</v>
      </c>
      <c r="AF1761" s="0" t="n">
        <v>6.78</v>
      </c>
      <c r="AG1761" s="22" t="b">
        <f aca="false">FALSE()</f>
        <v>0</v>
      </c>
      <c r="AH1761" s="0" t="n">
        <v>1</v>
      </c>
    </row>
    <row r="1762" customFormat="false" ht="15" hidden="false" customHeight="false" outlineLevel="0" collapsed="false">
      <c r="A1762" s="0" t="s">
        <v>2678</v>
      </c>
      <c r="B1762" s="0" t="s">
        <v>134</v>
      </c>
      <c r="C1762" s="0" t="s">
        <v>3450</v>
      </c>
      <c r="D1762" s="0" t="s">
        <v>3457</v>
      </c>
      <c r="E1762" s="20" t="s">
        <v>25</v>
      </c>
      <c r="F1762" s="23" t="s">
        <v>30</v>
      </c>
      <c r="G1762" s="21" t="s">
        <v>1106</v>
      </c>
      <c r="H1762" s="21" t="s">
        <v>24</v>
      </c>
      <c r="I1762" s="21" t="s">
        <v>24</v>
      </c>
      <c r="J1762" s="21" t="s">
        <v>24</v>
      </c>
      <c r="K1762" s="21" t="s">
        <v>25</v>
      </c>
      <c r="L1762" s="21" t="s">
        <v>24</v>
      </c>
      <c r="M1762" s="0" t="n">
        <v>183</v>
      </c>
      <c r="N1762" s="0" t="n">
        <v>6</v>
      </c>
      <c r="O1762" s="21" t="s">
        <v>3795</v>
      </c>
      <c r="P1762" s="21" t="s">
        <v>4810</v>
      </c>
      <c r="Q1762" s="0" t="n">
        <v>0</v>
      </c>
      <c r="S1762" s="0" t="n">
        <v>6</v>
      </c>
      <c r="T1762" s="21" t="s">
        <v>3795</v>
      </c>
      <c r="U1762" s="22" t="b">
        <f aca="false">TRUE()</f>
        <v>1</v>
      </c>
      <c r="V1762" s="0" t="n">
        <v>0.77</v>
      </c>
      <c r="W1762" s="0" t="n">
        <v>0.8</v>
      </c>
      <c r="X1762" s="0" t="n">
        <v>6.43</v>
      </c>
      <c r="Y1762" s="0" t="n">
        <v>321.15</v>
      </c>
      <c r="Z1762" s="0" t="n">
        <v>8</v>
      </c>
      <c r="AA1762" s="0" t="n">
        <v>0.18</v>
      </c>
      <c r="AB1762" s="0" t="n">
        <v>1.38</v>
      </c>
      <c r="AC1762" s="22" t="b">
        <f aca="false">TRUE()</f>
        <v>1</v>
      </c>
      <c r="AD1762" s="0" t="n">
        <v>27.62</v>
      </c>
      <c r="AE1762" s="0" t="n">
        <v>18.86</v>
      </c>
      <c r="AF1762" s="0" t="n">
        <v>21.16</v>
      </c>
      <c r="AG1762" s="22" t="b">
        <f aca="false">TRUE()</f>
        <v>1</v>
      </c>
      <c r="AH1762" s="0" t="n">
        <v>1</v>
      </c>
    </row>
    <row r="1763" customFormat="false" ht="15" hidden="false" customHeight="false" outlineLevel="0" collapsed="false">
      <c r="A1763" s="0" t="s">
        <v>2678</v>
      </c>
      <c r="B1763" s="0" t="s">
        <v>134</v>
      </c>
      <c r="C1763" s="0" t="s">
        <v>3450</v>
      </c>
      <c r="D1763" s="0" t="s">
        <v>3448</v>
      </c>
      <c r="E1763" s="19" t="s">
        <v>26</v>
      </c>
      <c r="F1763" s="19" t="s">
        <v>32</v>
      </c>
      <c r="G1763" s="21" t="s">
        <v>3912</v>
      </c>
      <c r="H1763" s="21" t="s">
        <v>24</v>
      </c>
      <c r="I1763" s="21" t="s">
        <v>26</v>
      </c>
      <c r="J1763" s="21" t="s">
        <v>24</v>
      </c>
      <c r="K1763" s="21" t="s">
        <v>25</v>
      </c>
      <c r="L1763" s="21" t="s">
        <v>24</v>
      </c>
      <c r="M1763" s="0" t="n">
        <v>184</v>
      </c>
      <c r="N1763" s="0" t="n">
        <v>12</v>
      </c>
      <c r="O1763" s="21" t="s">
        <v>3929</v>
      </c>
      <c r="P1763" s="21" t="s">
        <v>4811</v>
      </c>
      <c r="Q1763" s="0" t="n">
        <v>0</v>
      </c>
      <c r="S1763" s="0" t="n">
        <v>12</v>
      </c>
      <c r="T1763" s="21" t="s">
        <v>3929</v>
      </c>
      <c r="U1763" s="22" t="b">
        <f aca="false">FALSE()</f>
        <v>0</v>
      </c>
      <c r="V1763" s="0" t="n">
        <v>0.78</v>
      </c>
      <c r="W1763" s="0" t="n">
        <v>0.36</v>
      </c>
      <c r="X1763" s="0" t="n">
        <v>6.74</v>
      </c>
      <c r="Y1763" s="0" t="n">
        <v>379.29</v>
      </c>
      <c r="Z1763" s="0" t="n">
        <v>8</v>
      </c>
      <c r="AA1763" s="0" t="n">
        <v>2.12</v>
      </c>
      <c r="AB1763" s="0" t="n">
        <v>2.06</v>
      </c>
      <c r="AC1763" s="22" t="b">
        <f aca="false">FALSE()</f>
        <v>0</v>
      </c>
      <c r="AD1763" s="0" t="n">
        <v>11.21</v>
      </c>
      <c r="AE1763" s="0" t="n">
        <v>0.55</v>
      </c>
      <c r="AF1763" s="0" t="n">
        <v>5.53</v>
      </c>
      <c r="AG1763" s="22" t="b">
        <f aca="false">TRUE()</f>
        <v>1</v>
      </c>
      <c r="AH1763" s="0" t="n">
        <v>1</v>
      </c>
    </row>
    <row r="1764" customFormat="false" ht="15" hidden="false" customHeight="false" outlineLevel="0" collapsed="false">
      <c r="A1764" s="0" t="s">
        <v>2678</v>
      </c>
      <c r="B1764" s="0" t="s">
        <v>134</v>
      </c>
      <c r="C1764" s="0" t="s">
        <v>3447</v>
      </c>
      <c r="D1764" s="0" t="s">
        <v>3457</v>
      </c>
      <c r="E1764" s="20" t="s">
        <v>25</v>
      </c>
      <c r="F1764" s="20" t="s">
        <v>29</v>
      </c>
      <c r="G1764" s="21" t="s">
        <v>3470</v>
      </c>
      <c r="H1764" s="21" t="s">
        <v>24</v>
      </c>
      <c r="I1764" s="21" t="s">
        <v>24</v>
      </c>
      <c r="J1764" s="21" t="s">
        <v>24</v>
      </c>
      <c r="K1764" s="21" t="s">
        <v>25</v>
      </c>
      <c r="L1764" s="21" t="s">
        <v>24</v>
      </c>
      <c r="M1764" s="0" t="n">
        <v>183</v>
      </c>
      <c r="N1764" s="0" t="n">
        <v>0</v>
      </c>
      <c r="Q1764" s="0" t="n">
        <v>0</v>
      </c>
      <c r="S1764" s="0" t="n">
        <v>0</v>
      </c>
      <c r="U1764" s="22" t="b">
        <f aca="false">FALSE()</f>
        <v>0</v>
      </c>
      <c r="V1764" s="0" t="n">
        <v>0.76</v>
      </c>
      <c r="W1764" s="0" t="n">
        <v>0.32</v>
      </c>
      <c r="X1764" s="0" t="n">
        <v>5.31</v>
      </c>
      <c r="Y1764" s="0" t="n">
        <v>404.07</v>
      </c>
      <c r="Z1764" s="0" t="n">
        <v>8.5</v>
      </c>
      <c r="AA1764" s="0" t="n">
        <v>1.18</v>
      </c>
      <c r="AB1764" s="0" t="n">
        <v>1.38</v>
      </c>
      <c r="AC1764" s="22" t="b">
        <f aca="false">FALSE()</f>
        <v>0</v>
      </c>
      <c r="AD1764" s="0" t="n">
        <v>26.98</v>
      </c>
      <c r="AE1764" s="0" t="n">
        <v>18.45</v>
      </c>
      <c r="AF1764" s="0" t="n">
        <v>20.14</v>
      </c>
      <c r="AG1764" s="22" t="b">
        <f aca="false">TRUE()</f>
        <v>1</v>
      </c>
      <c r="AH1764" s="0" t="n">
        <v>1</v>
      </c>
    </row>
    <row r="1765" customFormat="false" ht="15" hidden="false" customHeight="false" outlineLevel="0" collapsed="false">
      <c r="A1765" s="0" t="s">
        <v>2678</v>
      </c>
      <c r="B1765" s="0" t="s">
        <v>134</v>
      </c>
      <c r="C1765" s="0" t="s">
        <v>3447</v>
      </c>
      <c r="D1765" s="0" t="s">
        <v>3448</v>
      </c>
      <c r="E1765" s="18" t="s">
        <v>24</v>
      </c>
      <c r="F1765" s="23" t="s">
        <v>30</v>
      </c>
      <c r="G1765" s="21" t="s">
        <v>30</v>
      </c>
      <c r="H1765" s="21" t="s">
        <v>24</v>
      </c>
      <c r="I1765" s="21" t="s">
        <v>24</v>
      </c>
      <c r="J1765" s="21" t="s">
        <v>24</v>
      </c>
      <c r="K1765" s="21" t="s">
        <v>24</v>
      </c>
      <c r="L1765" s="21" t="s">
        <v>24</v>
      </c>
      <c r="M1765" s="0" t="n">
        <v>189</v>
      </c>
      <c r="N1765" s="0" t="n">
        <v>4</v>
      </c>
      <c r="O1765" s="21" t="s">
        <v>3593</v>
      </c>
      <c r="P1765" s="21" t="s">
        <v>4266</v>
      </c>
      <c r="Q1765" s="0" t="n">
        <v>0</v>
      </c>
      <c r="S1765" s="0" t="n">
        <v>4</v>
      </c>
      <c r="T1765" s="21" t="s">
        <v>3593</v>
      </c>
      <c r="U1765" s="22" t="b">
        <f aca="false">TRUE()</f>
        <v>1</v>
      </c>
      <c r="V1765" s="0" t="n">
        <v>0.66</v>
      </c>
      <c r="W1765" s="0" t="n">
        <v>0.92</v>
      </c>
      <c r="X1765" s="0" t="n">
        <v>7.93</v>
      </c>
      <c r="Y1765" s="0" t="n">
        <v>325.91</v>
      </c>
      <c r="Z1765" s="0" t="n">
        <v>8</v>
      </c>
      <c r="AA1765" s="0" t="n">
        <v>0.75</v>
      </c>
      <c r="AB1765" s="0" t="n">
        <v>2.06</v>
      </c>
      <c r="AC1765" s="22" t="b">
        <f aca="false">FALSE()</f>
        <v>0</v>
      </c>
      <c r="AD1765" s="0" t="n">
        <v>9.93</v>
      </c>
      <c r="AE1765" s="0" t="n">
        <v>0.65</v>
      </c>
      <c r="AF1765" s="0" t="n">
        <v>4.57</v>
      </c>
      <c r="AG1765" s="22" t="b">
        <f aca="false">FALSE()</f>
        <v>0</v>
      </c>
      <c r="AH1765" s="0" t="n">
        <v>1</v>
      </c>
    </row>
    <row r="1766" customFormat="false" ht="15" hidden="false" customHeight="false" outlineLevel="0" collapsed="false">
      <c r="A1766" s="0" t="s">
        <v>2685</v>
      </c>
      <c r="B1766" s="0" t="s">
        <v>134</v>
      </c>
      <c r="C1766" s="0" t="s">
        <v>3450</v>
      </c>
      <c r="D1766" s="0" t="s">
        <v>3457</v>
      </c>
      <c r="E1766" s="19" t="s">
        <v>26</v>
      </c>
      <c r="F1766" s="19" t="s">
        <v>32</v>
      </c>
      <c r="G1766" s="21" t="s">
        <v>1451</v>
      </c>
      <c r="H1766" s="21" t="s">
        <v>24</v>
      </c>
      <c r="I1766" s="21" t="s">
        <v>26</v>
      </c>
      <c r="J1766" s="21" t="s">
        <v>24</v>
      </c>
      <c r="K1766" s="21" t="s">
        <v>25</v>
      </c>
      <c r="L1766" s="21" t="s">
        <v>24</v>
      </c>
      <c r="M1766" s="0" t="n">
        <v>186</v>
      </c>
      <c r="N1766" s="0" t="n">
        <v>9</v>
      </c>
      <c r="O1766" s="21" t="s">
        <v>4072</v>
      </c>
      <c r="P1766" s="21" t="s">
        <v>4812</v>
      </c>
      <c r="Q1766" s="0" t="n">
        <v>1</v>
      </c>
      <c r="R1766" s="21" t="s">
        <v>69</v>
      </c>
      <c r="S1766" s="0" t="n">
        <v>9</v>
      </c>
      <c r="T1766" s="21" t="s">
        <v>4072</v>
      </c>
      <c r="U1766" s="22" t="b">
        <f aca="false">FALSE()</f>
        <v>0</v>
      </c>
      <c r="V1766" s="0" t="n">
        <v>0.74</v>
      </c>
      <c r="W1766" s="0" t="n">
        <v>0</v>
      </c>
      <c r="X1766" s="0" t="n">
        <v>6.6</v>
      </c>
      <c r="Y1766" s="0" t="n">
        <v>722.11</v>
      </c>
      <c r="Z1766" s="0" t="n">
        <v>11.25</v>
      </c>
      <c r="AA1766" s="0" t="n">
        <v>4.97</v>
      </c>
      <c r="AB1766" s="0" t="n">
        <v>0.52</v>
      </c>
      <c r="AC1766" s="22" t="b">
        <f aca="false">FALSE()</f>
        <v>0</v>
      </c>
      <c r="AD1766" s="0" t="n">
        <v>11.42</v>
      </c>
      <c r="AE1766" s="0" t="n">
        <v>1.17</v>
      </c>
      <c r="AF1766" s="0" t="n">
        <v>1.62</v>
      </c>
      <c r="AG1766" s="22" t="b">
        <f aca="false">TRUE()</f>
        <v>1</v>
      </c>
      <c r="AH1766" s="0" t="n">
        <v>1</v>
      </c>
    </row>
    <row r="1767" customFormat="false" ht="15" hidden="false" customHeight="false" outlineLevel="0" collapsed="false">
      <c r="A1767" s="0" t="s">
        <v>2685</v>
      </c>
      <c r="B1767" s="0" t="s">
        <v>134</v>
      </c>
      <c r="C1767" s="0" t="s">
        <v>3450</v>
      </c>
      <c r="D1767" s="0" t="s">
        <v>3448</v>
      </c>
      <c r="E1767" s="19" t="s">
        <v>26</v>
      </c>
      <c r="F1767" s="19" t="s">
        <v>32</v>
      </c>
      <c r="G1767" s="21" t="s">
        <v>1076</v>
      </c>
      <c r="H1767" s="21" t="s">
        <v>24</v>
      </c>
      <c r="I1767" s="21" t="s">
        <v>26</v>
      </c>
      <c r="J1767" s="21" t="s">
        <v>24</v>
      </c>
      <c r="K1767" s="21" t="s">
        <v>25</v>
      </c>
      <c r="L1767" s="21" t="s">
        <v>24</v>
      </c>
      <c r="M1767" s="0" t="n">
        <v>184</v>
      </c>
      <c r="N1767" s="0" t="n">
        <v>9</v>
      </c>
      <c r="O1767" s="21" t="s">
        <v>4030</v>
      </c>
      <c r="P1767" s="21" t="s">
        <v>4287</v>
      </c>
      <c r="Q1767" s="0" t="n">
        <v>1</v>
      </c>
      <c r="R1767" s="21" t="s">
        <v>69</v>
      </c>
      <c r="S1767" s="0" t="n">
        <v>9</v>
      </c>
      <c r="T1767" s="21" t="s">
        <v>4030</v>
      </c>
      <c r="U1767" s="22" t="b">
        <f aca="false">FALSE()</f>
        <v>0</v>
      </c>
      <c r="V1767" s="0" t="n">
        <v>0.73</v>
      </c>
      <c r="W1767" s="0" t="n">
        <v>0.48</v>
      </c>
      <c r="X1767" s="0" t="n">
        <v>7.31</v>
      </c>
      <c r="Y1767" s="0" t="n">
        <v>336.65</v>
      </c>
      <c r="Z1767" s="0" t="n">
        <v>10.33</v>
      </c>
      <c r="AA1767" s="0" t="n">
        <v>2.54</v>
      </c>
      <c r="AB1767" s="0" t="n">
        <v>1.67</v>
      </c>
      <c r="AC1767" s="22" t="b">
        <f aca="false">FALSE()</f>
        <v>0</v>
      </c>
      <c r="AD1767" s="0" t="n">
        <v>13.26</v>
      </c>
      <c r="AE1767" s="0" t="n">
        <v>0.71</v>
      </c>
      <c r="AF1767" s="0" t="n">
        <v>6.35</v>
      </c>
      <c r="AG1767" s="22" t="b">
        <f aca="false">TRUE()</f>
        <v>1</v>
      </c>
      <c r="AH1767" s="0" t="n">
        <v>1</v>
      </c>
    </row>
    <row r="1768" customFormat="false" ht="15" hidden="false" customHeight="false" outlineLevel="0" collapsed="false">
      <c r="A1768" s="0" t="s">
        <v>2685</v>
      </c>
      <c r="B1768" s="0" t="s">
        <v>134</v>
      </c>
      <c r="C1768" s="0" t="s">
        <v>3447</v>
      </c>
      <c r="D1768" s="0" t="s">
        <v>3457</v>
      </c>
      <c r="E1768" s="20" t="s">
        <v>25</v>
      </c>
      <c r="F1768" s="23" t="s">
        <v>30</v>
      </c>
      <c r="G1768" s="21" t="s">
        <v>2133</v>
      </c>
      <c r="H1768" s="21" t="s">
        <v>24</v>
      </c>
      <c r="I1768" s="21" t="s">
        <v>24</v>
      </c>
      <c r="J1768" s="21" t="s">
        <v>24</v>
      </c>
      <c r="K1768" s="21" t="s">
        <v>25</v>
      </c>
      <c r="L1768" s="21" t="s">
        <v>24</v>
      </c>
      <c r="M1768" s="0" t="n">
        <v>188</v>
      </c>
      <c r="N1768" s="0" t="n">
        <v>3</v>
      </c>
      <c r="O1768" s="21" t="s">
        <v>3560</v>
      </c>
      <c r="P1768" s="21" t="s">
        <v>4759</v>
      </c>
      <c r="Q1768" s="0" t="n">
        <v>0</v>
      </c>
      <c r="S1768" s="0" t="n">
        <v>3</v>
      </c>
      <c r="T1768" s="21" t="s">
        <v>3560</v>
      </c>
      <c r="U1768" s="22" t="b">
        <f aca="false">TRUE()</f>
        <v>1</v>
      </c>
      <c r="V1768" s="0" t="n">
        <v>0.78</v>
      </c>
      <c r="W1768" s="0" t="n">
        <v>0.92</v>
      </c>
      <c r="X1768" s="0" t="n">
        <v>6.08</v>
      </c>
      <c r="Y1768" s="0" t="n">
        <v>321.11</v>
      </c>
      <c r="Z1768" s="0" t="n">
        <v>8.08</v>
      </c>
      <c r="AA1768" s="0" t="n">
        <v>-1.25</v>
      </c>
      <c r="AB1768" s="0" t="n">
        <v>0.52</v>
      </c>
      <c r="AC1768" s="22" t="b">
        <f aca="false">FALSE()</f>
        <v>0</v>
      </c>
      <c r="AD1768" s="0" t="n">
        <v>9.56</v>
      </c>
      <c r="AE1768" s="0" t="n">
        <v>0.87</v>
      </c>
      <c r="AF1768" s="0" t="n">
        <v>2.09</v>
      </c>
      <c r="AG1768" s="22" t="b">
        <f aca="false">FALSE()</f>
        <v>0</v>
      </c>
      <c r="AH1768" s="0" t="n">
        <v>1</v>
      </c>
    </row>
    <row r="1769" customFormat="false" ht="15" hidden="false" customHeight="false" outlineLevel="0" collapsed="false">
      <c r="A1769" s="0" t="s">
        <v>2685</v>
      </c>
      <c r="B1769" s="0" t="s">
        <v>134</v>
      </c>
      <c r="C1769" s="0" t="s">
        <v>3447</v>
      </c>
      <c r="D1769" s="0" t="s">
        <v>3448</v>
      </c>
      <c r="E1769" s="18" t="s">
        <v>24</v>
      </c>
      <c r="F1769" s="23" t="s">
        <v>30</v>
      </c>
      <c r="G1769" s="21" t="s">
        <v>30</v>
      </c>
      <c r="H1769" s="21" t="s">
        <v>24</v>
      </c>
      <c r="I1769" s="21" t="s">
        <v>24</v>
      </c>
      <c r="J1769" s="21" t="s">
        <v>24</v>
      </c>
      <c r="K1769" s="21" t="s">
        <v>24</v>
      </c>
      <c r="L1769" s="21" t="s">
        <v>24</v>
      </c>
      <c r="M1769" s="0" t="n">
        <v>192</v>
      </c>
      <c r="N1769" s="0" t="n">
        <v>2</v>
      </c>
      <c r="O1769" s="21" t="s">
        <v>3499</v>
      </c>
      <c r="P1769" s="21" t="s">
        <v>4250</v>
      </c>
      <c r="Q1769" s="0" t="n">
        <v>0</v>
      </c>
      <c r="S1769" s="0" t="n">
        <v>2</v>
      </c>
      <c r="T1769" s="21" t="s">
        <v>3499</v>
      </c>
      <c r="U1769" s="22" t="b">
        <f aca="false">TRUE()</f>
        <v>1</v>
      </c>
      <c r="V1769" s="0" t="n">
        <v>0.78</v>
      </c>
      <c r="W1769" s="0" t="n">
        <v>0.52</v>
      </c>
      <c r="X1769" s="0" t="n">
        <v>7.74</v>
      </c>
      <c r="Y1769" s="0" t="n">
        <v>341.77</v>
      </c>
      <c r="Z1769" s="0" t="n">
        <v>8</v>
      </c>
      <c r="AA1769" s="0" t="n">
        <v>-0.87</v>
      </c>
      <c r="AB1769" s="0" t="n">
        <v>1.67</v>
      </c>
      <c r="AC1769" s="22" t="b">
        <f aca="false">FALSE()</f>
        <v>0</v>
      </c>
      <c r="AD1769" s="0" t="n">
        <v>12.67</v>
      </c>
      <c r="AE1769" s="0" t="n">
        <v>1.75</v>
      </c>
      <c r="AF1769" s="0" t="n">
        <v>6.44</v>
      </c>
      <c r="AG1769" s="22" t="b">
        <f aca="false">TRUE()</f>
        <v>1</v>
      </c>
      <c r="AH1769" s="0" t="n">
        <v>1</v>
      </c>
    </row>
    <row r="1770" customFormat="false" ht="15" hidden="false" customHeight="false" outlineLevel="0" collapsed="false">
      <c r="A1770" s="0" t="s">
        <v>2685</v>
      </c>
      <c r="B1770" s="0" t="s">
        <v>3459</v>
      </c>
      <c r="C1770" s="0" t="s">
        <v>3450</v>
      </c>
      <c r="D1770" s="0" t="s">
        <v>3457</v>
      </c>
      <c r="E1770" s="19" t="s">
        <v>26</v>
      </c>
      <c r="F1770" s="19" t="s">
        <v>32</v>
      </c>
      <c r="G1770" s="21" t="s">
        <v>1178</v>
      </c>
      <c r="H1770" s="21" t="s">
        <v>24</v>
      </c>
      <c r="I1770" s="21" t="s">
        <v>26</v>
      </c>
      <c r="J1770" s="21" t="s">
        <v>24</v>
      </c>
      <c r="K1770" s="21" t="s">
        <v>25</v>
      </c>
      <c r="L1770" s="21" t="s">
        <v>24</v>
      </c>
      <c r="M1770" s="0" t="n">
        <v>184</v>
      </c>
      <c r="N1770" s="0" t="n">
        <v>9</v>
      </c>
      <c r="O1770" s="21" t="s">
        <v>4030</v>
      </c>
      <c r="P1770" s="21" t="s">
        <v>4287</v>
      </c>
      <c r="Q1770" s="0" t="n">
        <v>1</v>
      </c>
      <c r="R1770" s="21" t="s">
        <v>69</v>
      </c>
      <c r="S1770" s="0" t="n">
        <v>9</v>
      </c>
      <c r="T1770" s="21" t="s">
        <v>4030</v>
      </c>
      <c r="U1770" s="22" t="b">
        <f aca="false">FALSE()</f>
        <v>0</v>
      </c>
      <c r="V1770" s="0" t="n">
        <v>0.79</v>
      </c>
      <c r="W1770" s="0" t="n">
        <v>0.16</v>
      </c>
      <c r="X1770" s="0" t="n">
        <v>7.26</v>
      </c>
      <c r="Y1770" s="0" t="n">
        <v>557.49</v>
      </c>
      <c r="Z1770" s="0" t="n">
        <v>11</v>
      </c>
      <c r="AA1770" s="0" t="n">
        <v>4.36</v>
      </c>
      <c r="AB1770" s="0" t="n">
        <v>1.1</v>
      </c>
      <c r="AC1770" s="22" t="b">
        <f aca="false">FALSE()</f>
        <v>0</v>
      </c>
      <c r="AD1770" s="0" t="n">
        <v>25.62</v>
      </c>
      <c r="AE1770" s="0" t="n">
        <v>10.56</v>
      </c>
      <c r="AF1770" s="0" t="n">
        <v>21.67</v>
      </c>
      <c r="AG1770" s="22" t="b">
        <f aca="false">TRUE()</f>
        <v>1</v>
      </c>
      <c r="AH1770" s="0" t="n">
        <v>1</v>
      </c>
    </row>
    <row r="1771" customFormat="false" ht="15" hidden="false" customHeight="false" outlineLevel="0" collapsed="false">
      <c r="A1771" s="0" t="s">
        <v>2685</v>
      </c>
      <c r="B1771" s="0" t="s">
        <v>3459</v>
      </c>
      <c r="C1771" s="0" t="s">
        <v>3450</v>
      </c>
      <c r="D1771" s="0" t="s">
        <v>3448</v>
      </c>
      <c r="E1771" s="19" t="s">
        <v>26</v>
      </c>
      <c r="F1771" s="19" t="s">
        <v>32</v>
      </c>
      <c r="G1771" s="21" t="s">
        <v>3969</v>
      </c>
      <c r="H1771" s="21" t="s">
        <v>24</v>
      </c>
      <c r="I1771" s="21" t="s">
        <v>26</v>
      </c>
      <c r="J1771" s="21" t="s">
        <v>24</v>
      </c>
      <c r="K1771" s="21" t="s">
        <v>25</v>
      </c>
      <c r="L1771" s="21" t="s">
        <v>24</v>
      </c>
      <c r="M1771" s="0" t="n">
        <v>185</v>
      </c>
      <c r="N1771" s="0" t="n">
        <v>8</v>
      </c>
      <c r="O1771" s="21" t="s">
        <v>3968</v>
      </c>
      <c r="P1771" s="21" t="s">
        <v>4813</v>
      </c>
      <c r="Q1771" s="0" t="n">
        <v>0</v>
      </c>
      <c r="S1771" s="0" t="n">
        <v>8</v>
      </c>
      <c r="T1771" s="21" t="s">
        <v>3968</v>
      </c>
      <c r="U1771" s="22" t="b">
        <f aca="false">FALSE()</f>
        <v>0</v>
      </c>
      <c r="V1771" s="0" t="n">
        <v>0.78</v>
      </c>
      <c r="W1771" s="0" t="n">
        <v>0.92</v>
      </c>
      <c r="X1771" s="0" t="n">
        <v>8.81</v>
      </c>
      <c r="Y1771" s="0" t="n">
        <v>316.54</v>
      </c>
      <c r="Z1771" s="0" t="n">
        <v>9.92</v>
      </c>
      <c r="AA1771" s="0" t="n">
        <v>10.04</v>
      </c>
      <c r="AB1771" s="0" t="n">
        <v>0.51</v>
      </c>
      <c r="AC1771" s="22" t="b">
        <f aca="false">FALSE()</f>
        <v>0</v>
      </c>
      <c r="AD1771" s="0" t="n">
        <v>25.93</v>
      </c>
      <c r="AE1771" s="0" t="n">
        <v>7.41</v>
      </c>
      <c r="AF1771" s="0" t="n">
        <v>24</v>
      </c>
      <c r="AG1771" s="22" t="b">
        <f aca="false">TRUE()</f>
        <v>1</v>
      </c>
      <c r="AH1771" s="0" t="n">
        <v>1</v>
      </c>
    </row>
    <row r="1772" customFormat="false" ht="15" hidden="false" customHeight="false" outlineLevel="0" collapsed="false">
      <c r="A1772" s="0" t="s">
        <v>2685</v>
      </c>
      <c r="B1772" s="0" t="s">
        <v>3459</v>
      </c>
      <c r="C1772" s="0" t="s">
        <v>3447</v>
      </c>
      <c r="D1772" s="0" t="s">
        <v>3457</v>
      </c>
      <c r="E1772" s="20" t="s">
        <v>25</v>
      </c>
      <c r="F1772" s="20" t="s">
        <v>29</v>
      </c>
      <c r="G1772" s="21" t="s">
        <v>3470</v>
      </c>
      <c r="H1772" s="21" t="s">
        <v>24</v>
      </c>
      <c r="I1772" s="21" t="s">
        <v>24</v>
      </c>
      <c r="J1772" s="21" t="s">
        <v>24</v>
      </c>
      <c r="K1772" s="21" t="s">
        <v>25</v>
      </c>
      <c r="L1772" s="21" t="s">
        <v>24</v>
      </c>
      <c r="M1772" s="0" t="n">
        <v>184</v>
      </c>
      <c r="N1772" s="0" t="n">
        <v>0</v>
      </c>
      <c r="Q1772" s="0" t="n">
        <v>0</v>
      </c>
      <c r="S1772" s="0" t="n">
        <v>0</v>
      </c>
      <c r="U1772" s="22" t="b">
        <f aca="false">FALSE()</f>
        <v>0</v>
      </c>
      <c r="V1772" s="0" t="n">
        <v>0.81</v>
      </c>
      <c r="W1772" s="0" t="n">
        <v>0.28</v>
      </c>
      <c r="X1772" s="0" t="n">
        <v>7.21</v>
      </c>
      <c r="Y1772" s="0" t="n">
        <v>429.22</v>
      </c>
      <c r="Z1772" s="0" t="n">
        <v>10.75</v>
      </c>
      <c r="AA1772" s="0" t="n">
        <v>2.24</v>
      </c>
      <c r="AB1772" s="0" t="n">
        <v>1.1</v>
      </c>
      <c r="AC1772" s="22" t="b">
        <f aca="false">FALSE()</f>
        <v>0</v>
      </c>
      <c r="AD1772" s="0" t="n">
        <v>26.85</v>
      </c>
      <c r="AE1772" s="0" t="n">
        <v>12.82</v>
      </c>
      <c r="AF1772" s="0" t="n">
        <v>23.09</v>
      </c>
      <c r="AG1772" s="22" t="b">
        <f aca="false">TRUE()</f>
        <v>1</v>
      </c>
      <c r="AH1772" s="0" t="n">
        <v>1</v>
      </c>
    </row>
    <row r="1773" customFormat="false" ht="15" hidden="false" customHeight="false" outlineLevel="0" collapsed="false">
      <c r="A1773" s="0" t="s">
        <v>2685</v>
      </c>
      <c r="B1773" s="0" t="s">
        <v>3459</v>
      </c>
      <c r="C1773" s="0" t="s">
        <v>3447</v>
      </c>
      <c r="D1773" s="0" t="s">
        <v>3448</v>
      </c>
      <c r="E1773" s="20" t="s">
        <v>25</v>
      </c>
      <c r="F1773" s="23" t="s">
        <v>30</v>
      </c>
      <c r="G1773" s="21" t="s">
        <v>3487</v>
      </c>
      <c r="H1773" s="21" t="s">
        <v>24</v>
      </c>
      <c r="I1773" s="21" t="s">
        <v>24</v>
      </c>
      <c r="J1773" s="21" t="s">
        <v>24</v>
      </c>
      <c r="K1773" s="21" t="s">
        <v>25</v>
      </c>
      <c r="L1773" s="21" t="s">
        <v>24</v>
      </c>
      <c r="M1773" s="0" t="n">
        <v>184</v>
      </c>
      <c r="N1773" s="0" t="n">
        <v>1</v>
      </c>
      <c r="O1773" s="21" t="s">
        <v>3480</v>
      </c>
      <c r="P1773" s="21" t="s">
        <v>4354</v>
      </c>
      <c r="Q1773" s="0" t="n">
        <v>0</v>
      </c>
      <c r="S1773" s="0" t="n">
        <v>1</v>
      </c>
      <c r="T1773" s="21" t="s">
        <v>3480</v>
      </c>
      <c r="U1773" s="22" t="b">
        <f aca="false">TRUE()</f>
        <v>1</v>
      </c>
      <c r="V1773" s="0" t="n">
        <v>0.84</v>
      </c>
      <c r="W1773" s="0" t="n">
        <v>0.96</v>
      </c>
      <c r="X1773" s="0" t="n">
        <v>9.26</v>
      </c>
      <c r="Y1773" s="0" t="n">
        <v>308.18</v>
      </c>
      <c r="Z1773" s="0" t="n">
        <v>8.08</v>
      </c>
      <c r="AA1773" s="0" t="n">
        <v>-1.28</v>
      </c>
      <c r="AB1773" s="0" t="n">
        <v>0.51</v>
      </c>
      <c r="AC1773" s="22" t="b">
        <f aca="false">FALSE()</f>
        <v>0</v>
      </c>
      <c r="AD1773" s="0" t="n">
        <v>21.12</v>
      </c>
      <c r="AE1773" s="0" t="n">
        <v>7.48</v>
      </c>
      <c r="AF1773" s="0" t="n">
        <v>21.34</v>
      </c>
      <c r="AG1773" s="22" t="b">
        <f aca="false">TRUE()</f>
        <v>1</v>
      </c>
      <c r="AH1773" s="0" t="n">
        <v>1</v>
      </c>
    </row>
    <row r="1774" customFormat="false" ht="15" hidden="false" customHeight="false" outlineLevel="0" collapsed="false">
      <c r="A1774" s="0" t="s">
        <v>2691</v>
      </c>
      <c r="B1774" s="0" t="s">
        <v>134</v>
      </c>
      <c r="C1774" s="0" t="s">
        <v>3450</v>
      </c>
      <c r="D1774" s="0" t="s">
        <v>3457</v>
      </c>
      <c r="E1774" s="18" t="s">
        <v>24</v>
      </c>
      <c r="F1774" s="18" t="s">
        <v>28</v>
      </c>
      <c r="H1774" s="21" t="s">
        <v>24</v>
      </c>
      <c r="I1774" s="21" t="s">
        <v>24</v>
      </c>
      <c r="J1774" s="21" t="s">
        <v>24</v>
      </c>
      <c r="K1774" s="21" t="s">
        <v>24</v>
      </c>
      <c r="L1774" s="21" t="s">
        <v>24</v>
      </c>
      <c r="M1774" s="0" t="n">
        <v>210</v>
      </c>
      <c r="N1774" s="0" t="n">
        <v>0</v>
      </c>
      <c r="Q1774" s="0" t="n">
        <v>0</v>
      </c>
      <c r="S1774" s="0" t="n">
        <v>0</v>
      </c>
      <c r="U1774" s="22" t="b">
        <f aca="false">FALSE()</f>
        <v>0</v>
      </c>
      <c r="V1774" s="0" t="n">
        <v>0.73</v>
      </c>
      <c r="W1774" s="0" t="n">
        <v>0.52</v>
      </c>
      <c r="X1774" s="0" t="n">
        <v>7.68</v>
      </c>
      <c r="Y1774" s="0" t="n">
        <v>374.36</v>
      </c>
      <c r="Z1774" s="0" t="n">
        <v>9.25</v>
      </c>
      <c r="AA1774" s="0" t="n">
        <v>13.75</v>
      </c>
      <c r="AB1774" s="0" t="n">
        <v>2.62</v>
      </c>
      <c r="AC1774" s="22" t="b">
        <f aca="false">FALSE()</f>
        <v>0</v>
      </c>
      <c r="AD1774" s="0" t="n">
        <v>13.09</v>
      </c>
      <c r="AE1774" s="0" t="n">
        <v>0.83</v>
      </c>
      <c r="AF1774" s="0" t="n">
        <v>4.48</v>
      </c>
      <c r="AG1774" s="22" t="b">
        <f aca="false">TRUE()</f>
        <v>1</v>
      </c>
      <c r="AH1774" s="0" t="n">
        <v>1</v>
      </c>
    </row>
    <row r="1775" customFormat="false" ht="15" hidden="false" customHeight="false" outlineLevel="0" collapsed="false">
      <c r="A1775" s="0" t="s">
        <v>2691</v>
      </c>
      <c r="B1775" s="0" t="s">
        <v>134</v>
      </c>
      <c r="C1775" s="0" t="s">
        <v>3450</v>
      </c>
      <c r="D1775" s="0" t="s">
        <v>3448</v>
      </c>
      <c r="E1775" s="18" t="s">
        <v>24</v>
      </c>
      <c r="F1775" s="18" t="s">
        <v>28</v>
      </c>
      <c r="H1775" s="21" t="s">
        <v>24</v>
      </c>
      <c r="I1775" s="21" t="s">
        <v>24</v>
      </c>
      <c r="J1775" s="21" t="s">
        <v>24</v>
      </c>
      <c r="K1775" s="21" t="s">
        <v>24</v>
      </c>
      <c r="L1775" s="21" t="s">
        <v>24</v>
      </c>
      <c r="M1775" s="0" t="n">
        <v>185</v>
      </c>
      <c r="N1775" s="0" t="n">
        <v>0</v>
      </c>
      <c r="Q1775" s="0" t="n">
        <v>0</v>
      </c>
      <c r="S1775" s="0" t="n">
        <v>0</v>
      </c>
      <c r="U1775" s="22" t="b">
        <f aca="false">FALSE()</f>
        <v>0</v>
      </c>
      <c r="V1775" s="0" t="n">
        <v>0.78</v>
      </c>
      <c r="W1775" s="0" t="n">
        <v>0.68</v>
      </c>
      <c r="X1775" s="0" t="n">
        <v>8.32</v>
      </c>
      <c r="Y1775" s="0" t="n">
        <v>323.42</v>
      </c>
      <c r="Z1775" s="0" t="n">
        <v>8.75</v>
      </c>
      <c r="AA1775" s="0" t="n">
        <v>22.18</v>
      </c>
      <c r="AB1775" s="0" t="n">
        <v>52.3</v>
      </c>
      <c r="AC1775" s="22" t="b">
        <f aca="false">FALSE()</f>
        <v>0</v>
      </c>
      <c r="AD1775" s="0" t="n">
        <v>16.53</v>
      </c>
      <c r="AE1775" s="0" t="n">
        <v>1.57</v>
      </c>
      <c r="AF1775" s="0" t="n">
        <v>9.34</v>
      </c>
      <c r="AG1775" s="22" t="b">
        <f aca="false">TRUE()</f>
        <v>1</v>
      </c>
      <c r="AH1775" s="0" t="n">
        <v>1</v>
      </c>
    </row>
    <row r="1776" customFormat="false" ht="15" hidden="false" customHeight="false" outlineLevel="0" collapsed="false">
      <c r="A1776" s="0" t="s">
        <v>2691</v>
      </c>
      <c r="B1776" s="0" t="s">
        <v>134</v>
      </c>
      <c r="C1776" s="0" t="s">
        <v>3447</v>
      </c>
      <c r="D1776" s="0" t="s">
        <v>3457</v>
      </c>
      <c r="E1776" s="18" t="s">
        <v>24</v>
      </c>
      <c r="F1776" s="23" t="s">
        <v>30</v>
      </c>
      <c r="G1776" s="21" t="s">
        <v>30</v>
      </c>
      <c r="H1776" s="21" t="s">
        <v>24</v>
      </c>
      <c r="I1776" s="21" t="s">
        <v>24</v>
      </c>
      <c r="J1776" s="21" t="s">
        <v>24</v>
      </c>
      <c r="K1776" s="21" t="s">
        <v>24</v>
      </c>
      <c r="L1776" s="21" t="s">
        <v>24</v>
      </c>
      <c r="M1776" s="0" t="n">
        <v>186</v>
      </c>
      <c r="N1776" s="0" t="n">
        <v>5</v>
      </c>
      <c r="O1776" s="21" t="s">
        <v>3698</v>
      </c>
      <c r="P1776" s="21" t="s">
        <v>4814</v>
      </c>
      <c r="Q1776" s="0" t="n">
        <v>0</v>
      </c>
      <c r="S1776" s="0" t="n">
        <v>5</v>
      </c>
      <c r="T1776" s="21" t="s">
        <v>3698</v>
      </c>
      <c r="U1776" s="22" t="b">
        <f aca="false">TRUE()</f>
        <v>1</v>
      </c>
      <c r="V1776" s="0" t="n">
        <v>0.71</v>
      </c>
      <c r="W1776" s="0" t="n">
        <v>0.68</v>
      </c>
      <c r="X1776" s="0" t="n">
        <v>7.97</v>
      </c>
      <c r="Y1776" s="0" t="n">
        <v>324.46</v>
      </c>
      <c r="Z1776" s="0" t="n">
        <v>8.08</v>
      </c>
      <c r="AA1776" s="0" t="n">
        <v>-1.44</v>
      </c>
      <c r="AB1776" s="0" t="n">
        <v>2.62</v>
      </c>
      <c r="AC1776" s="22" t="b">
        <f aca="false">FALSE()</f>
        <v>0</v>
      </c>
      <c r="AD1776" s="0" t="n">
        <v>7.83</v>
      </c>
      <c r="AE1776" s="0" t="n">
        <v>0.45</v>
      </c>
      <c r="AF1776" s="0" t="n">
        <v>2.38</v>
      </c>
      <c r="AG1776" s="22" t="b">
        <f aca="false">FALSE()</f>
        <v>0</v>
      </c>
      <c r="AH1776" s="0" t="n">
        <v>1</v>
      </c>
    </row>
    <row r="1777" customFormat="false" ht="15" hidden="false" customHeight="false" outlineLevel="0" collapsed="false">
      <c r="A1777" s="0" t="s">
        <v>2691</v>
      </c>
      <c r="B1777" s="0" t="s">
        <v>134</v>
      </c>
      <c r="C1777" s="0" t="s">
        <v>3447</v>
      </c>
      <c r="D1777" s="0" t="s">
        <v>3448</v>
      </c>
      <c r="E1777" s="18" t="s">
        <v>24</v>
      </c>
      <c r="F1777" s="23" t="s">
        <v>30</v>
      </c>
      <c r="G1777" s="21" t="s">
        <v>30</v>
      </c>
      <c r="H1777" s="21" t="s">
        <v>24</v>
      </c>
      <c r="I1777" s="21" t="s">
        <v>24</v>
      </c>
      <c r="J1777" s="21" t="s">
        <v>24</v>
      </c>
      <c r="K1777" s="21" t="s">
        <v>24</v>
      </c>
      <c r="L1777" s="21" t="s">
        <v>24</v>
      </c>
      <c r="M1777" s="0" t="n">
        <v>212</v>
      </c>
      <c r="N1777" s="0" t="n">
        <v>5</v>
      </c>
      <c r="O1777" s="21" t="s">
        <v>3698</v>
      </c>
      <c r="P1777" s="21" t="s">
        <v>4814</v>
      </c>
      <c r="Q1777" s="0" t="n">
        <v>0</v>
      </c>
      <c r="S1777" s="0" t="n">
        <v>5</v>
      </c>
      <c r="T1777" s="21" t="s">
        <v>3698</v>
      </c>
      <c r="U1777" s="22" t="b">
        <f aca="false">TRUE()</f>
        <v>1</v>
      </c>
      <c r="V1777" s="0" t="n">
        <v>0.75</v>
      </c>
      <c r="W1777" s="0" t="n">
        <v>0</v>
      </c>
      <c r="X1777" s="0" t="n">
        <v>8.57</v>
      </c>
      <c r="Y1777" s="0" t="n">
        <v>832.64</v>
      </c>
      <c r="Z1777" s="0" t="n">
        <v>9.5</v>
      </c>
      <c r="AA1777" s="0" t="n">
        <v>-1.83</v>
      </c>
      <c r="AB1777" s="0" t="n">
        <v>52.3</v>
      </c>
      <c r="AC1777" s="22" t="b">
        <f aca="false">FALSE()</f>
        <v>0</v>
      </c>
      <c r="AD1777" s="0" t="n">
        <v>6.2</v>
      </c>
      <c r="AE1777" s="0" t="n">
        <v>0.62</v>
      </c>
      <c r="AF1777" s="0" t="n">
        <v>6.01</v>
      </c>
      <c r="AG1777" s="22" t="b">
        <f aca="false">FALSE()</f>
        <v>0</v>
      </c>
      <c r="AH1777" s="0" t="n">
        <v>1</v>
      </c>
    </row>
    <row r="1778" customFormat="false" ht="15" hidden="false" customHeight="false" outlineLevel="0" collapsed="false">
      <c r="A1778" s="0" t="s">
        <v>2697</v>
      </c>
      <c r="B1778" s="0" t="s">
        <v>134</v>
      </c>
      <c r="C1778" s="0" t="s">
        <v>3450</v>
      </c>
      <c r="D1778" s="0" t="s">
        <v>3457</v>
      </c>
      <c r="E1778" s="20" t="s">
        <v>25</v>
      </c>
      <c r="F1778" s="23" t="s">
        <v>30</v>
      </c>
      <c r="G1778" s="21" t="s">
        <v>2328</v>
      </c>
      <c r="H1778" s="21" t="s">
        <v>24</v>
      </c>
      <c r="I1778" s="21" t="s">
        <v>24</v>
      </c>
      <c r="J1778" s="21" t="s">
        <v>24</v>
      </c>
      <c r="K1778" s="21" t="s">
        <v>25</v>
      </c>
      <c r="L1778" s="21" t="s">
        <v>24</v>
      </c>
      <c r="M1778" s="0" t="n">
        <v>185</v>
      </c>
      <c r="N1778" s="0" t="n">
        <v>2</v>
      </c>
      <c r="O1778" s="21" t="s">
        <v>3516</v>
      </c>
      <c r="P1778" s="21" t="s">
        <v>4649</v>
      </c>
      <c r="Q1778" s="0" t="n">
        <v>0</v>
      </c>
      <c r="S1778" s="0" t="n">
        <v>2</v>
      </c>
      <c r="T1778" s="21" t="s">
        <v>3516</v>
      </c>
      <c r="U1778" s="22" t="b">
        <f aca="false">TRUE()</f>
        <v>1</v>
      </c>
      <c r="V1778" s="0" t="n">
        <v>0.67</v>
      </c>
      <c r="W1778" s="0" t="n">
        <v>0.92</v>
      </c>
      <c r="X1778" s="0" t="n">
        <v>6.19</v>
      </c>
      <c r="Y1778" s="0" t="n">
        <v>320.26</v>
      </c>
      <c r="Z1778" s="0" t="n">
        <v>10.33</v>
      </c>
      <c r="AA1778" s="0" t="n">
        <v>2.63</v>
      </c>
      <c r="AB1778" s="0" t="n">
        <v>0.03</v>
      </c>
      <c r="AC1778" s="22" t="b">
        <f aca="false">TRUE()</f>
        <v>1</v>
      </c>
      <c r="AD1778" s="0" t="n">
        <v>11.91</v>
      </c>
      <c r="AE1778" s="0" t="n">
        <v>1.64</v>
      </c>
      <c r="AF1778" s="0" t="n">
        <v>2.11</v>
      </c>
      <c r="AG1778" s="22" t="b">
        <f aca="false">TRUE()</f>
        <v>1</v>
      </c>
      <c r="AH1778" s="0" t="n">
        <v>1</v>
      </c>
    </row>
    <row r="1779" customFormat="false" ht="15" hidden="false" customHeight="false" outlineLevel="0" collapsed="false">
      <c r="A1779" s="0" t="s">
        <v>2697</v>
      </c>
      <c r="B1779" s="0" t="s">
        <v>134</v>
      </c>
      <c r="C1779" s="0" t="s">
        <v>3450</v>
      </c>
      <c r="D1779" s="0" t="s">
        <v>3448</v>
      </c>
      <c r="E1779" s="20" t="s">
        <v>25</v>
      </c>
      <c r="F1779" s="23" t="s">
        <v>30</v>
      </c>
      <c r="G1779" s="21" t="s">
        <v>1230</v>
      </c>
      <c r="H1779" s="21" t="s">
        <v>24</v>
      </c>
      <c r="I1779" s="21" t="s">
        <v>25</v>
      </c>
      <c r="J1779" s="21" t="s">
        <v>24</v>
      </c>
      <c r="K1779" s="21" t="s">
        <v>25</v>
      </c>
      <c r="L1779" s="21" t="s">
        <v>24</v>
      </c>
      <c r="M1779" s="0" t="n">
        <v>200</v>
      </c>
      <c r="N1779" s="0" t="n">
        <v>3</v>
      </c>
      <c r="O1779" s="21" t="s">
        <v>3708</v>
      </c>
      <c r="P1779" s="21" t="s">
        <v>4815</v>
      </c>
      <c r="Q1779" s="0" t="n">
        <v>1</v>
      </c>
      <c r="R1779" s="21" t="s">
        <v>69</v>
      </c>
      <c r="S1779" s="0" t="n">
        <v>3</v>
      </c>
      <c r="T1779" s="21" t="s">
        <v>3708</v>
      </c>
      <c r="U1779" s="22" t="b">
        <f aca="false">TRUE()</f>
        <v>1</v>
      </c>
      <c r="V1779" s="0" t="n">
        <v>0.71</v>
      </c>
      <c r="W1779" s="0" t="n">
        <v>0.92</v>
      </c>
      <c r="X1779" s="0" t="n">
        <v>6.03</v>
      </c>
      <c r="Y1779" s="0" t="n">
        <v>348.18</v>
      </c>
      <c r="Z1779" s="0" t="n">
        <v>8</v>
      </c>
      <c r="AA1779" s="0" t="n">
        <v>-1.14</v>
      </c>
      <c r="AB1779" s="0" t="n">
        <v>81.09</v>
      </c>
      <c r="AC1779" s="22" t="b">
        <f aca="false">FALSE()</f>
        <v>0</v>
      </c>
      <c r="AD1779" s="0" t="n">
        <v>1.6</v>
      </c>
      <c r="AE1779" s="0" t="n">
        <v>0.12</v>
      </c>
      <c r="AF1779" s="0" t="n">
        <v>0.54</v>
      </c>
      <c r="AG1779" s="22" t="b">
        <f aca="false">FALSE()</f>
        <v>0</v>
      </c>
      <c r="AH1779" s="0" t="n">
        <v>1</v>
      </c>
    </row>
    <row r="1780" customFormat="false" ht="15" hidden="false" customHeight="false" outlineLevel="0" collapsed="false">
      <c r="A1780" s="0" t="s">
        <v>2697</v>
      </c>
      <c r="B1780" s="0" t="s">
        <v>134</v>
      </c>
      <c r="C1780" s="0" t="s">
        <v>3447</v>
      </c>
      <c r="D1780" s="0" t="s">
        <v>3457</v>
      </c>
      <c r="E1780" s="20" t="s">
        <v>25</v>
      </c>
      <c r="F1780" s="23" t="s">
        <v>30</v>
      </c>
      <c r="G1780" s="21" t="s">
        <v>2610</v>
      </c>
      <c r="H1780" s="21" t="s">
        <v>24</v>
      </c>
      <c r="I1780" s="21" t="s">
        <v>24</v>
      </c>
      <c r="J1780" s="21" t="s">
        <v>24</v>
      </c>
      <c r="K1780" s="21" t="s">
        <v>25</v>
      </c>
      <c r="L1780" s="21" t="s">
        <v>24</v>
      </c>
      <c r="M1780" s="0" t="n">
        <v>190</v>
      </c>
      <c r="N1780" s="0" t="n">
        <v>4</v>
      </c>
      <c r="O1780" s="21" t="s">
        <v>3726</v>
      </c>
      <c r="P1780" s="21" t="s">
        <v>4816</v>
      </c>
      <c r="Q1780" s="0" t="n">
        <v>0</v>
      </c>
      <c r="S1780" s="0" t="n">
        <v>4</v>
      </c>
      <c r="T1780" s="21" t="s">
        <v>3726</v>
      </c>
      <c r="U1780" s="22" t="b">
        <f aca="false">TRUE()</f>
        <v>1</v>
      </c>
      <c r="V1780" s="0" t="n">
        <v>0.62</v>
      </c>
      <c r="W1780" s="0" t="n">
        <v>0.8</v>
      </c>
      <c r="X1780" s="0" t="n">
        <v>7.53</v>
      </c>
      <c r="Y1780" s="0" t="n">
        <v>332.16</v>
      </c>
      <c r="Z1780" s="0" t="n">
        <v>8</v>
      </c>
      <c r="AA1780" s="0" t="n">
        <v>-1.2</v>
      </c>
      <c r="AB1780" s="0" t="n">
        <v>0.03</v>
      </c>
      <c r="AC1780" s="22" t="b">
        <f aca="false">FALSE()</f>
        <v>0</v>
      </c>
      <c r="AD1780" s="0" t="n">
        <v>5.14</v>
      </c>
      <c r="AE1780" s="0" t="n">
        <v>0.28</v>
      </c>
      <c r="AF1780" s="0" t="n">
        <v>0.86</v>
      </c>
      <c r="AG1780" s="22" t="b">
        <f aca="false">FALSE()</f>
        <v>0</v>
      </c>
      <c r="AH1780" s="0" t="n">
        <v>1</v>
      </c>
    </row>
    <row r="1781" customFormat="false" ht="15" hidden="false" customHeight="false" outlineLevel="0" collapsed="false">
      <c r="A1781" s="0" t="s">
        <v>2697</v>
      </c>
      <c r="B1781" s="0" t="s">
        <v>134</v>
      </c>
      <c r="C1781" s="0" t="s">
        <v>3447</v>
      </c>
      <c r="D1781" s="0" t="s">
        <v>3448</v>
      </c>
      <c r="E1781" s="19" t="s">
        <v>26</v>
      </c>
      <c r="F1781" s="19" t="s">
        <v>32</v>
      </c>
      <c r="G1781" s="21" t="s">
        <v>529</v>
      </c>
      <c r="H1781" s="21" t="s">
        <v>24</v>
      </c>
      <c r="I1781" s="21" t="s">
        <v>26</v>
      </c>
      <c r="J1781" s="21" t="s">
        <v>24</v>
      </c>
      <c r="K1781" s="21" t="s">
        <v>24</v>
      </c>
      <c r="L1781" s="21" t="s">
        <v>24</v>
      </c>
      <c r="M1781" s="0" t="n">
        <v>190</v>
      </c>
      <c r="N1781" s="0" t="n">
        <v>9</v>
      </c>
      <c r="O1781" s="21" t="s">
        <v>4136</v>
      </c>
      <c r="P1781" s="21" t="s">
        <v>4817</v>
      </c>
      <c r="Q1781" s="0" t="n">
        <v>1</v>
      </c>
      <c r="R1781" s="21" t="s">
        <v>69</v>
      </c>
      <c r="S1781" s="0" t="n">
        <v>9</v>
      </c>
      <c r="T1781" s="21" t="s">
        <v>4136</v>
      </c>
      <c r="U1781" s="22" t="b">
        <f aca="false">FALSE()</f>
        <v>0</v>
      </c>
      <c r="V1781" s="0" t="n">
        <v>0.66</v>
      </c>
      <c r="W1781" s="0" t="n">
        <v>0.16</v>
      </c>
      <c r="X1781" s="0" t="n">
        <v>8.49</v>
      </c>
      <c r="Y1781" s="0" t="n">
        <v>582.44</v>
      </c>
      <c r="Z1781" s="0" t="n">
        <v>10.33</v>
      </c>
      <c r="AA1781" s="0" t="n">
        <v>0.46</v>
      </c>
      <c r="AB1781" s="0" t="n">
        <v>81.09</v>
      </c>
      <c r="AC1781" s="22" t="b">
        <f aca="false">FALSE()</f>
        <v>0</v>
      </c>
      <c r="AD1781" s="0" t="n">
        <v>9.9</v>
      </c>
      <c r="AE1781" s="0" t="n">
        <v>-0.56</v>
      </c>
      <c r="AF1781" s="0" t="n">
        <v>0.6</v>
      </c>
      <c r="AG1781" s="22" t="b">
        <f aca="false">FALSE()</f>
        <v>0</v>
      </c>
      <c r="AH1781" s="0" t="n">
        <v>1</v>
      </c>
    </row>
    <row r="1782" customFormat="false" ht="15" hidden="false" customHeight="false" outlineLevel="0" collapsed="false">
      <c r="A1782" s="0" t="s">
        <v>2697</v>
      </c>
      <c r="B1782" s="0" t="s">
        <v>3459</v>
      </c>
      <c r="C1782" s="0" t="s">
        <v>3450</v>
      </c>
      <c r="D1782" s="0" t="s">
        <v>3457</v>
      </c>
      <c r="E1782" s="20" t="s">
        <v>25</v>
      </c>
      <c r="F1782" s="23" t="s">
        <v>30</v>
      </c>
      <c r="G1782" s="21" t="s">
        <v>3868</v>
      </c>
      <c r="H1782" s="21" t="s">
        <v>25</v>
      </c>
      <c r="I1782" s="21" t="s">
        <v>25</v>
      </c>
      <c r="J1782" s="21" t="s">
        <v>24</v>
      </c>
      <c r="K1782" s="21" t="s">
        <v>25</v>
      </c>
      <c r="L1782" s="21" t="s">
        <v>24</v>
      </c>
      <c r="M1782" s="0" t="n">
        <v>252</v>
      </c>
      <c r="N1782" s="0" t="n">
        <v>6</v>
      </c>
      <c r="O1782" s="21" t="s">
        <v>3867</v>
      </c>
      <c r="P1782" s="21" t="s">
        <v>4818</v>
      </c>
      <c r="Q1782" s="0" t="n">
        <v>1</v>
      </c>
      <c r="R1782" s="21" t="s">
        <v>69</v>
      </c>
      <c r="S1782" s="0" t="n">
        <v>5</v>
      </c>
      <c r="T1782" s="21" t="s">
        <v>4819</v>
      </c>
      <c r="U1782" s="22" t="b">
        <f aca="false">TRUE()</f>
        <v>1</v>
      </c>
      <c r="V1782" s="0" t="n">
        <v>0.71</v>
      </c>
      <c r="W1782" s="0" t="n">
        <v>0.64</v>
      </c>
      <c r="X1782" s="0" t="n">
        <v>7.23</v>
      </c>
      <c r="Y1782" s="0" t="n">
        <v>440.84</v>
      </c>
      <c r="Z1782" s="0" t="n">
        <v>8.5</v>
      </c>
      <c r="AA1782" s="0" t="n">
        <v>-0.69</v>
      </c>
      <c r="AB1782" s="0" t="n">
        <v>1.94</v>
      </c>
      <c r="AC1782" s="22" t="b">
        <f aca="false">FALSE()</f>
        <v>0</v>
      </c>
      <c r="AD1782" s="0" t="n">
        <v>21.38</v>
      </c>
      <c r="AE1782" s="0" t="n">
        <v>9.8</v>
      </c>
      <c r="AF1782" s="0" t="n">
        <v>20.62</v>
      </c>
      <c r="AG1782" s="22" t="b">
        <f aca="false">TRUE()</f>
        <v>1</v>
      </c>
      <c r="AH1782" s="0" t="n">
        <v>1</v>
      </c>
    </row>
    <row r="1783" customFormat="false" ht="15" hidden="false" customHeight="false" outlineLevel="0" collapsed="false">
      <c r="A1783" s="0" t="s">
        <v>2697</v>
      </c>
      <c r="B1783" s="0" t="s">
        <v>3459</v>
      </c>
      <c r="C1783" s="0" t="s">
        <v>3450</v>
      </c>
      <c r="D1783" s="0" t="s">
        <v>3448</v>
      </c>
      <c r="E1783" s="19" t="s">
        <v>26</v>
      </c>
      <c r="F1783" s="19" t="s">
        <v>32</v>
      </c>
      <c r="G1783" s="21" t="s">
        <v>1311</v>
      </c>
      <c r="H1783" s="21" t="s">
        <v>24</v>
      </c>
      <c r="I1783" s="21" t="s">
        <v>26</v>
      </c>
      <c r="J1783" s="21" t="s">
        <v>24</v>
      </c>
      <c r="K1783" s="21" t="s">
        <v>25</v>
      </c>
      <c r="L1783" s="21" t="s">
        <v>24</v>
      </c>
      <c r="M1783" s="0" t="n">
        <v>183</v>
      </c>
      <c r="N1783" s="0" t="n">
        <v>11</v>
      </c>
      <c r="O1783" s="21" t="s">
        <v>4120</v>
      </c>
      <c r="P1783" s="21" t="s">
        <v>4820</v>
      </c>
      <c r="Q1783" s="0" t="n">
        <v>1</v>
      </c>
      <c r="R1783" s="21" t="s">
        <v>69</v>
      </c>
      <c r="S1783" s="0" t="n">
        <v>10</v>
      </c>
      <c r="T1783" s="21" t="s">
        <v>4821</v>
      </c>
      <c r="U1783" s="22" t="b">
        <f aca="false">FALSE()</f>
        <v>0</v>
      </c>
      <c r="V1783" s="0" t="n">
        <v>0.72</v>
      </c>
      <c r="W1783" s="0" t="n">
        <v>0.8</v>
      </c>
      <c r="X1783" s="0" t="n">
        <v>9.08</v>
      </c>
      <c r="Y1783" s="0" t="n">
        <v>317.43</v>
      </c>
      <c r="Z1783" s="0" t="n">
        <v>8.83</v>
      </c>
      <c r="AA1783" s="0" t="n">
        <v>7.02</v>
      </c>
      <c r="AB1783" s="0" t="n">
        <v>0.04</v>
      </c>
      <c r="AC1783" s="22" t="b">
        <f aca="false">FALSE()</f>
        <v>0</v>
      </c>
      <c r="AD1783" s="0" t="n">
        <v>19.39</v>
      </c>
      <c r="AE1783" s="0" t="n">
        <v>5.5</v>
      </c>
      <c r="AF1783" s="0" t="n">
        <v>14.52</v>
      </c>
      <c r="AG1783" s="22" t="b">
        <f aca="false">TRUE()</f>
        <v>1</v>
      </c>
      <c r="AH1783" s="0" t="n">
        <v>1</v>
      </c>
    </row>
    <row r="1784" customFormat="false" ht="15" hidden="false" customHeight="false" outlineLevel="0" collapsed="false">
      <c r="A1784" s="0" t="s">
        <v>2697</v>
      </c>
      <c r="B1784" s="0" t="s">
        <v>3459</v>
      </c>
      <c r="C1784" s="0" t="s">
        <v>3447</v>
      </c>
      <c r="D1784" s="0" t="s">
        <v>3457</v>
      </c>
      <c r="E1784" s="19" t="s">
        <v>26</v>
      </c>
      <c r="F1784" s="19" t="s">
        <v>32</v>
      </c>
      <c r="G1784" s="21" t="s">
        <v>1926</v>
      </c>
      <c r="H1784" s="21" t="s">
        <v>24</v>
      </c>
      <c r="I1784" s="21" t="s">
        <v>26</v>
      </c>
      <c r="J1784" s="21" t="s">
        <v>24</v>
      </c>
      <c r="K1784" s="21" t="s">
        <v>25</v>
      </c>
      <c r="L1784" s="21" t="s">
        <v>24</v>
      </c>
      <c r="M1784" s="0" t="n">
        <v>184</v>
      </c>
      <c r="N1784" s="0" t="n">
        <v>10</v>
      </c>
      <c r="O1784" s="21" t="s">
        <v>4131</v>
      </c>
      <c r="P1784" s="21" t="s">
        <v>4822</v>
      </c>
      <c r="Q1784" s="0" t="n">
        <v>1</v>
      </c>
      <c r="R1784" s="21" t="s">
        <v>69</v>
      </c>
      <c r="S1784" s="0" t="n">
        <v>9</v>
      </c>
      <c r="T1784" s="21" t="s">
        <v>4823</v>
      </c>
      <c r="U1784" s="22" t="b">
        <f aca="false">FALSE()</f>
        <v>0</v>
      </c>
      <c r="V1784" s="0" t="n">
        <v>0.71</v>
      </c>
      <c r="W1784" s="0" t="n">
        <v>0.48</v>
      </c>
      <c r="X1784" s="0" t="n">
        <v>7.76</v>
      </c>
      <c r="Y1784" s="0" t="n">
        <v>336.01</v>
      </c>
      <c r="Z1784" s="0" t="n">
        <v>8.25</v>
      </c>
      <c r="AA1784" s="0" t="n">
        <v>-1.19</v>
      </c>
      <c r="AB1784" s="0" t="n">
        <v>1.94</v>
      </c>
      <c r="AC1784" s="22" t="b">
        <f aca="false">FALSE()</f>
        <v>0</v>
      </c>
      <c r="AD1784" s="0" t="n">
        <v>21.89</v>
      </c>
      <c r="AE1784" s="0" t="n">
        <v>10.19</v>
      </c>
      <c r="AF1784" s="0" t="n">
        <v>21.17</v>
      </c>
      <c r="AG1784" s="22" t="b">
        <f aca="false">TRUE()</f>
        <v>1</v>
      </c>
      <c r="AH1784" s="0" t="n">
        <v>1</v>
      </c>
    </row>
    <row r="1785" customFormat="false" ht="15" hidden="false" customHeight="false" outlineLevel="0" collapsed="false">
      <c r="A1785" s="0" t="s">
        <v>2697</v>
      </c>
      <c r="B1785" s="0" t="s">
        <v>3459</v>
      </c>
      <c r="C1785" s="0" t="s">
        <v>3447</v>
      </c>
      <c r="D1785" s="0" t="s">
        <v>3448</v>
      </c>
      <c r="E1785" s="19" t="s">
        <v>26</v>
      </c>
      <c r="F1785" s="19" t="s">
        <v>32</v>
      </c>
      <c r="G1785" s="21" t="s">
        <v>1311</v>
      </c>
      <c r="H1785" s="21" t="s">
        <v>24</v>
      </c>
      <c r="I1785" s="21" t="s">
        <v>26</v>
      </c>
      <c r="J1785" s="21" t="s">
        <v>24</v>
      </c>
      <c r="K1785" s="21" t="s">
        <v>25</v>
      </c>
      <c r="L1785" s="21" t="s">
        <v>24</v>
      </c>
      <c r="M1785" s="0" t="n">
        <v>180</v>
      </c>
      <c r="N1785" s="0" t="n">
        <v>10</v>
      </c>
      <c r="O1785" s="21" t="s">
        <v>4169</v>
      </c>
      <c r="P1785" s="21" t="s">
        <v>4824</v>
      </c>
      <c r="Q1785" s="0" t="n">
        <v>1</v>
      </c>
      <c r="R1785" s="21" t="s">
        <v>69</v>
      </c>
      <c r="S1785" s="0" t="n">
        <v>9</v>
      </c>
      <c r="T1785" s="21" t="s">
        <v>4825</v>
      </c>
      <c r="U1785" s="22" t="b">
        <f aca="false">FALSE()</f>
        <v>0</v>
      </c>
      <c r="V1785" s="0" t="n">
        <v>0.64</v>
      </c>
      <c r="W1785" s="0" t="n">
        <v>0.96</v>
      </c>
      <c r="X1785" s="0" t="n">
        <v>9.62</v>
      </c>
      <c r="Y1785" s="0" t="n">
        <v>309.96</v>
      </c>
      <c r="Z1785" s="0" t="n">
        <v>8</v>
      </c>
      <c r="AA1785" s="0" t="n">
        <v>-1.1</v>
      </c>
      <c r="AB1785" s="0" t="n">
        <v>0.04</v>
      </c>
      <c r="AC1785" s="22" t="b">
        <f aca="false">FALSE()</f>
        <v>0</v>
      </c>
      <c r="AD1785" s="0" t="n">
        <v>15.19</v>
      </c>
      <c r="AE1785" s="0" t="n">
        <v>6.06</v>
      </c>
      <c r="AF1785" s="0" t="n">
        <v>14.9</v>
      </c>
      <c r="AG1785" s="22" t="b">
        <f aca="false">TRUE()</f>
        <v>1</v>
      </c>
      <c r="AH1785" s="0" t="n">
        <v>1</v>
      </c>
    </row>
    <row r="1786" customFormat="false" ht="15" hidden="false" customHeight="false" outlineLevel="0" collapsed="false">
      <c r="A1786" s="0" t="s">
        <v>2703</v>
      </c>
      <c r="B1786" s="0" t="s">
        <v>134</v>
      </c>
      <c r="C1786" s="0" t="s">
        <v>3450</v>
      </c>
      <c r="D1786" s="0" t="s">
        <v>3457</v>
      </c>
      <c r="E1786" s="19" t="s">
        <v>26</v>
      </c>
      <c r="F1786" s="19" t="s">
        <v>32</v>
      </c>
      <c r="G1786" s="21" t="s">
        <v>529</v>
      </c>
      <c r="H1786" s="21" t="s">
        <v>24</v>
      </c>
      <c r="I1786" s="21" t="s">
        <v>26</v>
      </c>
      <c r="J1786" s="21" t="s">
        <v>24</v>
      </c>
      <c r="K1786" s="21" t="s">
        <v>24</v>
      </c>
      <c r="L1786" s="21" t="s">
        <v>24</v>
      </c>
      <c r="M1786" s="0" t="n">
        <v>185</v>
      </c>
      <c r="N1786" s="0" t="n">
        <v>11</v>
      </c>
      <c r="O1786" s="21" t="s">
        <v>4034</v>
      </c>
      <c r="P1786" s="21" t="s">
        <v>4252</v>
      </c>
      <c r="Q1786" s="0" t="n">
        <v>1</v>
      </c>
      <c r="R1786" s="21" t="s">
        <v>69</v>
      </c>
      <c r="S1786" s="0" t="n">
        <v>11</v>
      </c>
      <c r="T1786" s="21" t="s">
        <v>4034</v>
      </c>
      <c r="U1786" s="22" t="b">
        <f aca="false">FALSE()</f>
        <v>0</v>
      </c>
      <c r="V1786" s="0" t="n">
        <v>0.69</v>
      </c>
      <c r="W1786" s="0" t="n">
        <v>0</v>
      </c>
      <c r="X1786" s="0" t="n">
        <v>7.71</v>
      </c>
      <c r="Y1786" s="0" t="n">
        <v>673.75</v>
      </c>
      <c r="Z1786" s="0" t="n">
        <v>11.5</v>
      </c>
      <c r="AA1786" s="0" t="n">
        <v>6.44</v>
      </c>
      <c r="AB1786" s="0" t="n">
        <v>3.14</v>
      </c>
      <c r="AC1786" s="22" t="b">
        <f aca="false">FALSE()</f>
        <v>0</v>
      </c>
      <c r="AD1786" s="0" t="n">
        <v>19.62</v>
      </c>
      <c r="AE1786" s="0" t="n">
        <v>1.4</v>
      </c>
      <c r="AF1786" s="0" t="n">
        <v>4.49</v>
      </c>
      <c r="AG1786" s="22" t="b">
        <f aca="false">TRUE()</f>
        <v>1</v>
      </c>
      <c r="AH1786" s="0" t="n">
        <v>1</v>
      </c>
    </row>
    <row r="1787" customFormat="false" ht="15" hidden="false" customHeight="false" outlineLevel="0" collapsed="false">
      <c r="A1787" s="0" t="s">
        <v>2703</v>
      </c>
      <c r="B1787" s="0" t="s">
        <v>134</v>
      </c>
      <c r="C1787" s="0" t="s">
        <v>3450</v>
      </c>
      <c r="D1787" s="0" t="s">
        <v>3448</v>
      </c>
      <c r="E1787" s="19" t="s">
        <v>26</v>
      </c>
      <c r="F1787" s="19" t="s">
        <v>32</v>
      </c>
      <c r="G1787" s="21" t="s">
        <v>1926</v>
      </c>
      <c r="H1787" s="21" t="s">
        <v>24</v>
      </c>
      <c r="I1787" s="21" t="s">
        <v>26</v>
      </c>
      <c r="J1787" s="21" t="s">
        <v>24</v>
      </c>
      <c r="K1787" s="21" t="s">
        <v>25</v>
      </c>
      <c r="L1787" s="21" t="s">
        <v>24</v>
      </c>
      <c r="M1787" s="0" t="n">
        <v>216</v>
      </c>
      <c r="N1787" s="0" t="n">
        <v>9</v>
      </c>
      <c r="O1787" s="21" t="s">
        <v>4062</v>
      </c>
      <c r="P1787" s="21" t="s">
        <v>4633</v>
      </c>
      <c r="Q1787" s="0" t="n">
        <v>1</v>
      </c>
      <c r="R1787" s="21" t="s">
        <v>69</v>
      </c>
      <c r="S1787" s="0" t="n">
        <v>9</v>
      </c>
      <c r="T1787" s="21" t="s">
        <v>4062</v>
      </c>
      <c r="U1787" s="22" t="b">
        <f aca="false">FALSE()</f>
        <v>0</v>
      </c>
      <c r="V1787" s="0" t="n">
        <v>0.68</v>
      </c>
      <c r="W1787" s="0" t="n">
        <v>0.12</v>
      </c>
      <c r="X1787" s="0" t="n">
        <v>8.88</v>
      </c>
      <c r="Y1787" s="0" t="n">
        <v>740.48</v>
      </c>
      <c r="Z1787" s="0" t="n">
        <v>10.75</v>
      </c>
      <c r="AA1787" s="0" t="n">
        <v>7.05</v>
      </c>
      <c r="AB1787" s="0" t="n">
        <v>2.9</v>
      </c>
      <c r="AC1787" s="22" t="b">
        <f aca="false">FALSE()</f>
        <v>0</v>
      </c>
      <c r="AD1787" s="0" t="n">
        <v>28.38</v>
      </c>
      <c r="AE1787" s="0" t="n">
        <v>12.55</v>
      </c>
      <c r="AF1787" s="0" t="n">
        <v>20.57</v>
      </c>
      <c r="AG1787" s="22" t="b">
        <f aca="false">TRUE()</f>
        <v>1</v>
      </c>
      <c r="AH1787" s="0" t="n">
        <v>1</v>
      </c>
    </row>
    <row r="1788" customFormat="false" ht="15" hidden="false" customHeight="false" outlineLevel="0" collapsed="false">
      <c r="A1788" s="0" t="s">
        <v>2703</v>
      </c>
      <c r="B1788" s="0" t="s">
        <v>134</v>
      </c>
      <c r="C1788" s="0" t="s">
        <v>3447</v>
      </c>
      <c r="D1788" s="0" t="s">
        <v>3457</v>
      </c>
      <c r="E1788" s="20" t="s">
        <v>25</v>
      </c>
      <c r="F1788" s="23" t="s">
        <v>30</v>
      </c>
      <c r="G1788" s="21" t="s">
        <v>183</v>
      </c>
      <c r="H1788" s="21" t="s">
        <v>24</v>
      </c>
      <c r="I1788" s="21" t="s">
        <v>25</v>
      </c>
      <c r="J1788" s="21" t="s">
        <v>24</v>
      </c>
      <c r="K1788" s="21" t="s">
        <v>25</v>
      </c>
      <c r="L1788" s="21" t="s">
        <v>24</v>
      </c>
      <c r="M1788" s="0" t="n">
        <v>185</v>
      </c>
      <c r="N1788" s="0" t="n">
        <v>3</v>
      </c>
      <c r="O1788" s="21" t="s">
        <v>3649</v>
      </c>
      <c r="P1788" s="21" t="s">
        <v>4242</v>
      </c>
      <c r="Q1788" s="0" t="n">
        <v>1</v>
      </c>
      <c r="R1788" s="21" t="s">
        <v>69</v>
      </c>
      <c r="S1788" s="0" t="n">
        <v>3</v>
      </c>
      <c r="T1788" s="21" t="s">
        <v>3649</v>
      </c>
      <c r="U1788" s="22" t="b">
        <f aca="false">TRUE()</f>
        <v>1</v>
      </c>
      <c r="V1788" s="0" t="n">
        <v>0.74</v>
      </c>
      <c r="W1788" s="0" t="n">
        <v>0.52</v>
      </c>
      <c r="X1788" s="0" t="n">
        <v>5.48</v>
      </c>
      <c r="Y1788" s="0" t="n">
        <v>327.7</v>
      </c>
      <c r="Z1788" s="0" t="n">
        <v>9.5</v>
      </c>
      <c r="AA1788" s="0" t="n">
        <v>1.95</v>
      </c>
      <c r="AB1788" s="0" t="n">
        <v>3.14</v>
      </c>
      <c r="AC1788" s="22" t="b">
        <f aca="false">FALSE()</f>
        <v>0</v>
      </c>
      <c r="AD1788" s="0" t="n">
        <v>20.75</v>
      </c>
      <c r="AE1788" s="0" t="n">
        <v>0.91</v>
      </c>
      <c r="AF1788" s="0" t="n">
        <v>5.56</v>
      </c>
      <c r="AG1788" s="22" t="b">
        <f aca="false">TRUE()</f>
        <v>1</v>
      </c>
      <c r="AH1788" s="0" t="n">
        <v>1</v>
      </c>
    </row>
    <row r="1789" customFormat="false" ht="15" hidden="false" customHeight="false" outlineLevel="0" collapsed="false">
      <c r="A1789" s="0" t="s">
        <v>2703</v>
      </c>
      <c r="B1789" s="0" t="s">
        <v>134</v>
      </c>
      <c r="C1789" s="0" t="s">
        <v>3447</v>
      </c>
      <c r="D1789" s="0" t="s">
        <v>3448</v>
      </c>
      <c r="E1789" s="20" t="s">
        <v>25</v>
      </c>
      <c r="F1789" s="23" t="s">
        <v>30</v>
      </c>
      <c r="G1789" s="21" t="s">
        <v>992</v>
      </c>
      <c r="H1789" s="21" t="s">
        <v>24</v>
      </c>
      <c r="I1789" s="21" t="s">
        <v>24</v>
      </c>
      <c r="J1789" s="21" t="s">
        <v>24</v>
      </c>
      <c r="K1789" s="21" t="s">
        <v>25</v>
      </c>
      <c r="L1789" s="21" t="s">
        <v>24</v>
      </c>
      <c r="M1789" s="0" t="n">
        <v>185</v>
      </c>
      <c r="N1789" s="0" t="n">
        <v>3</v>
      </c>
      <c r="O1789" s="21" t="s">
        <v>3539</v>
      </c>
      <c r="P1789" s="21" t="s">
        <v>4342</v>
      </c>
      <c r="Q1789" s="0" t="n">
        <v>0</v>
      </c>
      <c r="S1789" s="0" t="n">
        <v>3</v>
      </c>
      <c r="T1789" s="21" t="s">
        <v>3539</v>
      </c>
      <c r="U1789" s="22" t="b">
        <f aca="false">TRUE()</f>
        <v>1</v>
      </c>
      <c r="V1789" s="0" t="n">
        <v>0.8</v>
      </c>
      <c r="W1789" s="0" t="n">
        <v>0.8</v>
      </c>
      <c r="X1789" s="0" t="n">
        <v>7.95</v>
      </c>
      <c r="Y1789" s="0" t="n">
        <v>324.75</v>
      </c>
      <c r="Z1789" s="0" t="n">
        <v>8.25</v>
      </c>
      <c r="AA1789" s="0" t="n">
        <v>1.53</v>
      </c>
      <c r="AB1789" s="0" t="n">
        <v>2.9</v>
      </c>
      <c r="AC1789" s="22" t="b">
        <f aca="false">FALSE()</f>
        <v>0</v>
      </c>
      <c r="AD1789" s="0" t="n">
        <v>27.5</v>
      </c>
      <c r="AE1789" s="0" t="n">
        <v>11.73</v>
      </c>
      <c r="AF1789" s="0" t="n">
        <v>19.88</v>
      </c>
      <c r="AG1789" s="22" t="b">
        <f aca="false">TRUE()</f>
        <v>1</v>
      </c>
      <c r="AH1789" s="0" t="n">
        <v>1</v>
      </c>
    </row>
    <row r="1790" customFormat="false" ht="15" hidden="false" customHeight="false" outlineLevel="0" collapsed="false">
      <c r="A1790" s="0" t="s">
        <v>2703</v>
      </c>
      <c r="B1790" s="0" t="s">
        <v>3459</v>
      </c>
      <c r="C1790" s="0" t="s">
        <v>3450</v>
      </c>
      <c r="D1790" s="0" t="s">
        <v>3457</v>
      </c>
      <c r="E1790" s="19" t="s">
        <v>26</v>
      </c>
      <c r="F1790" s="19" t="s">
        <v>32</v>
      </c>
      <c r="G1790" s="21" t="s">
        <v>3896</v>
      </c>
      <c r="H1790" s="21" t="s">
        <v>24</v>
      </c>
      <c r="I1790" s="21" t="s">
        <v>26</v>
      </c>
      <c r="J1790" s="21" t="s">
        <v>24</v>
      </c>
      <c r="K1790" s="21" t="s">
        <v>25</v>
      </c>
      <c r="L1790" s="21" t="s">
        <v>24</v>
      </c>
      <c r="M1790" s="0" t="n">
        <v>183</v>
      </c>
      <c r="N1790" s="0" t="n">
        <v>12</v>
      </c>
      <c r="O1790" s="21" t="s">
        <v>4013</v>
      </c>
      <c r="P1790" s="21" t="s">
        <v>4826</v>
      </c>
      <c r="Q1790" s="0" t="n">
        <v>0</v>
      </c>
      <c r="S1790" s="0" t="n">
        <v>12</v>
      </c>
      <c r="T1790" s="21" t="s">
        <v>4013</v>
      </c>
      <c r="U1790" s="22" t="b">
        <f aca="false">FALSE()</f>
        <v>0</v>
      </c>
      <c r="V1790" s="0" t="n">
        <v>0.72</v>
      </c>
      <c r="W1790" s="0" t="n">
        <v>0.8</v>
      </c>
      <c r="X1790" s="0" t="n">
        <v>8.45</v>
      </c>
      <c r="Y1790" s="0" t="n">
        <v>295.4</v>
      </c>
      <c r="Z1790" s="0" t="n">
        <v>11</v>
      </c>
      <c r="AA1790" s="0" t="n">
        <v>11.48</v>
      </c>
      <c r="AB1790" s="0" t="n">
        <v>7.62</v>
      </c>
      <c r="AC1790" s="22" t="b">
        <f aca="false">FALSE()</f>
        <v>0</v>
      </c>
      <c r="AD1790" s="0" t="n">
        <v>27.93</v>
      </c>
      <c r="AE1790" s="0" t="n">
        <v>11.64</v>
      </c>
      <c r="AF1790" s="0" t="n">
        <v>26.43</v>
      </c>
      <c r="AG1790" s="22" t="b">
        <f aca="false">TRUE()</f>
        <v>1</v>
      </c>
      <c r="AH1790" s="0" t="n">
        <v>1</v>
      </c>
    </row>
    <row r="1791" customFormat="false" ht="15" hidden="false" customHeight="false" outlineLevel="0" collapsed="false">
      <c r="A1791" s="0" t="s">
        <v>2703</v>
      </c>
      <c r="B1791" s="0" t="s">
        <v>3459</v>
      </c>
      <c r="C1791" s="0" t="s">
        <v>3450</v>
      </c>
      <c r="D1791" s="0" t="s">
        <v>3448</v>
      </c>
      <c r="E1791" s="19" t="s">
        <v>26</v>
      </c>
      <c r="F1791" s="19" t="s">
        <v>32</v>
      </c>
      <c r="G1791" s="21" t="s">
        <v>60</v>
      </c>
      <c r="H1791" s="21" t="s">
        <v>24</v>
      </c>
      <c r="I1791" s="21" t="s">
        <v>26</v>
      </c>
      <c r="J1791" s="21" t="s">
        <v>24</v>
      </c>
      <c r="K1791" s="21" t="s">
        <v>24</v>
      </c>
      <c r="L1791" s="21" t="s">
        <v>24</v>
      </c>
      <c r="M1791" s="0" t="n">
        <v>183</v>
      </c>
      <c r="N1791" s="0" t="n">
        <v>8</v>
      </c>
      <c r="O1791" s="21" t="s">
        <v>3988</v>
      </c>
      <c r="P1791" s="21" t="s">
        <v>4827</v>
      </c>
      <c r="Q1791" s="0" t="n">
        <v>0</v>
      </c>
      <c r="S1791" s="0" t="n">
        <v>8</v>
      </c>
      <c r="T1791" s="21" t="s">
        <v>3988</v>
      </c>
      <c r="U1791" s="22" t="b">
        <f aca="false">FALSE()</f>
        <v>0</v>
      </c>
      <c r="V1791" s="0" t="n">
        <v>0.69</v>
      </c>
      <c r="W1791" s="0" t="n">
        <v>0</v>
      </c>
      <c r="X1791" s="0" t="n">
        <v>10</v>
      </c>
      <c r="Y1791" s="0" t="n">
        <v>12.34</v>
      </c>
      <c r="Z1791" s="0" t="n">
        <v>11.25</v>
      </c>
      <c r="AA1791" s="0" t="n">
        <v>8.93</v>
      </c>
      <c r="AB1791" s="0" t="n">
        <v>3.98</v>
      </c>
      <c r="AC1791" s="22" t="b">
        <f aca="false">FALSE()</f>
        <v>0</v>
      </c>
      <c r="AD1791" s="0" t="n">
        <v>10.68</v>
      </c>
      <c r="AE1791" s="0" t="n">
        <v>2.92</v>
      </c>
      <c r="AF1791" s="0" t="n">
        <v>10.59</v>
      </c>
      <c r="AG1791" s="22" t="b">
        <f aca="false">TRUE()</f>
        <v>1</v>
      </c>
      <c r="AH1791" s="0" t="n">
        <v>0</v>
      </c>
    </row>
    <row r="1792" customFormat="false" ht="15" hidden="false" customHeight="false" outlineLevel="0" collapsed="false">
      <c r="A1792" s="0" t="s">
        <v>2703</v>
      </c>
      <c r="B1792" s="0" t="s">
        <v>3459</v>
      </c>
      <c r="C1792" s="0" t="s">
        <v>3447</v>
      </c>
      <c r="D1792" s="0" t="s">
        <v>3457</v>
      </c>
      <c r="E1792" s="20" t="s">
        <v>25</v>
      </c>
      <c r="F1792" s="23" t="s">
        <v>30</v>
      </c>
      <c r="G1792" s="21" t="s">
        <v>992</v>
      </c>
      <c r="H1792" s="21" t="s">
        <v>24</v>
      </c>
      <c r="I1792" s="21" t="s">
        <v>24</v>
      </c>
      <c r="J1792" s="21" t="s">
        <v>24</v>
      </c>
      <c r="K1792" s="21" t="s">
        <v>25</v>
      </c>
      <c r="L1792" s="21" t="s">
        <v>24</v>
      </c>
      <c r="M1792" s="0" t="n">
        <v>185</v>
      </c>
      <c r="N1792" s="0" t="n">
        <v>3</v>
      </c>
      <c r="O1792" s="21" t="s">
        <v>3572</v>
      </c>
      <c r="P1792" s="21" t="s">
        <v>4828</v>
      </c>
      <c r="Q1792" s="0" t="n">
        <v>0</v>
      </c>
      <c r="S1792" s="0" t="n">
        <v>3</v>
      </c>
      <c r="T1792" s="21" t="s">
        <v>3572</v>
      </c>
      <c r="U1792" s="22" t="b">
        <f aca="false">TRUE()</f>
        <v>1</v>
      </c>
      <c r="V1792" s="0" t="n">
        <v>0.83</v>
      </c>
      <c r="W1792" s="0" t="n">
        <v>0.84</v>
      </c>
      <c r="X1792" s="0" t="n">
        <v>6.62</v>
      </c>
      <c r="Y1792" s="0" t="n">
        <v>315.37</v>
      </c>
      <c r="Z1792" s="0" t="n">
        <v>9.75</v>
      </c>
      <c r="AA1792" s="0" t="n">
        <v>0.29</v>
      </c>
      <c r="AB1792" s="0" t="n">
        <v>7.62</v>
      </c>
      <c r="AC1792" s="22" t="b">
        <f aca="false">FALSE()</f>
        <v>0</v>
      </c>
      <c r="AD1792" s="0" t="n">
        <v>27.02</v>
      </c>
      <c r="AE1792" s="0" t="n">
        <v>12.55</v>
      </c>
      <c r="AF1792" s="0" t="n">
        <v>26.47</v>
      </c>
      <c r="AG1792" s="22" t="b">
        <f aca="false">TRUE()</f>
        <v>1</v>
      </c>
      <c r="AH1792" s="0" t="n">
        <v>1</v>
      </c>
    </row>
    <row r="1793" customFormat="false" ht="15" hidden="false" customHeight="false" outlineLevel="0" collapsed="false">
      <c r="A1793" s="0" t="s">
        <v>2703</v>
      </c>
      <c r="B1793" s="0" t="s">
        <v>3459</v>
      </c>
      <c r="C1793" s="0" t="s">
        <v>3447</v>
      </c>
      <c r="D1793" s="0" t="s">
        <v>3448</v>
      </c>
      <c r="E1793" s="18" t="s">
        <v>24</v>
      </c>
      <c r="F1793" s="23" t="s">
        <v>30</v>
      </c>
      <c r="G1793" s="21" t="s">
        <v>30</v>
      </c>
      <c r="H1793" s="21" t="s">
        <v>24</v>
      </c>
      <c r="I1793" s="21" t="s">
        <v>24</v>
      </c>
      <c r="J1793" s="21" t="s">
        <v>24</v>
      </c>
      <c r="K1793" s="21" t="s">
        <v>24</v>
      </c>
      <c r="L1793" s="21" t="s">
        <v>24</v>
      </c>
      <c r="M1793" s="0" t="n">
        <v>185</v>
      </c>
      <c r="N1793" s="0" t="n">
        <v>3</v>
      </c>
      <c r="O1793" s="21" t="s">
        <v>3576</v>
      </c>
      <c r="P1793" s="21" t="s">
        <v>4592</v>
      </c>
      <c r="Q1793" s="0" t="n">
        <v>0</v>
      </c>
      <c r="S1793" s="0" t="n">
        <v>3</v>
      </c>
      <c r="T1793" s="21" t="s">
        <v>3576</v>
      </c>
      <c r="U1793" s="22" t="b">
        <f aca="false">TRUE()</f>
        <v>1</v>
      </c>
      <c r="V1793" s="0" t="n">
        <v>0.75</v>
      </c>
      <c r="W1793" s="0" t="n">
        <v>0.88</v>
      </c>
      <c r="X1793" s="0" t="n">
        <v>7.82</v>
      </c>
      <c r="Y1793" s="0" t="n">
        <v>317.14</v>
      </c>
      <c r="Z1793" s="0" t="n">
        <v>9</v>
      </c>
      <c r="AA1793" s="0" t="n">
        <v>1.42</v>
      </c>
      <c r="AB1793" s="0" t="n">
        <v>3.98</v>
      </c>
      <c r="AC1793" s="22" t="b">
        <f aca="false">FALSE()</f>
        <v>0</v>
      </c>
      <c r="AD1793" s="0" t="n">
        <v>11.12</v>
      </c>
      <c r="AE1793" s="0" t="n">
        <v>2.91</v>
      </c>
      <c r="AF1793" s="0" t="n">
        <v>12.61</v>
      </c>
      <c r="AG1793" s="22" t="b">
        <f aca="false">TRUE()</f>
        <v>1</v>
      </c>
      <c r="AH1793" s="0" t="n">
        <v>1</v>
      </c>
    </row>
    <row r="1794" customFormat="false" ht="15" hidden="false" customHeight="false" outlineLevel="0" collapsed="false">
      <c r="A1794" s="0" t="s">
        <v>2709</v>
      </c>
      <c r="B1794" s="0" t="s">
        <v>134</v>
      </c>
      <c r="C1794" s="0" t="s">
        <v>3450</v>
      </c>
      <c r="D1794" s="0" t="s">
        <v>3457</v>
      </c>
      <c r="E1794" s="20" t="s">
        <v>25</v>
      </c>
      <c r="F1794" s="23" t="s">
        <v>30</v>
      </c>
      <c r="G1794" s="21" t="s">
        <v>283</v>
      </c>
      <c r="H1794" s="21" t="s">
        <v>24</v>
      </c>
      <c r="I1794" s="21" t="s">
        <v>25</v>
      </c>
      <c r="J1794" s="21" t="s">
        <v>24</v>
      </c>
      <c r="K1794" s="21" t="s">
        <v>24</v>
      </c>
      <c r="L1794" s="21" t="s">
        <v>24</v>
      </c>
      <c r="M1794" s="0" t="n">
        <v>192</v>
      </c>
      <c r="N1794" s="0" t="n">
        <v>2</v>
      </c>
      <c r="O1794" s="21" t="s">
        <v>3566</v>
      </c>
      <c r="P1794" s="21" t="s">
        <v>4238</v>
      </c>
      <c r="Q1794" s="0" t="n">
        <v>1</v>
      </c>
      <c r="R1794" s="21" t="s">
        <v>69</v>
      </c>
      <c r="S1794" s="0" t="n">
        <v>2</v>
      </c>
      <c r="T1794" s="21" t="s">
        <v>3566</v>
      </c>
      <c r="U1794" s="22" t="b">
        <f aca="false">TRUE()</f>
        <v>1</v>
      </c>
      <c r="V1794" s="0" t="n">
        <v>0.65</v>
      </c>
      <c r="W1794" s="0" t="n">
        <v>0.6</v>
      </c>
      <c r="X1794" s="0" t="n">
        <v>9.87</v>
      </c>
      <c r="Y1794" s="0" t="n">
        <v>292.19</v>
      </c>
      <c r="Z1794" s="0" t="n">
        <v>9</v>
      </c>
      <c r="AA1794" s="0" t="n">
        <v>12.96</v>
      </c>
      <c r="AB1794" s="0" t="n">
        <v>4.72</v>
      </c>
      <c r="AC1794" s="22" t="b">
        <f aca="false">FALSE()</f>
        <v>0</v>
      </c>
      <c r="AD1794" s="0" t="n">
        <v>9.62</v>
      </c>
      <c r="AE1794" s="0" t="n">
        <v>0.64</v>
      </c>
      <c r="AF1794" s="0" t="n">
        <v>1.17</v>
      </c>
      <c r="AG1794" s="22" t="b">
        <f aca="false">FALSE()</f>
        <v>0</v>
      </c>
      <c r="AH1794" s="0" t="n">
        <v>1</v>
      </c>
    </row>
    <row r="1795" customFormat="false" ht="15" hidden="false" customHeight="false" outlineLevel="0" collapsed="false">
      <c r="A1795" s="0" t="s">
        <v>2709</v>
      </c>
      <c r="B1795" s="0" t="s">
        <v>134</v>
      </c>
      <c r="C1795" s="0" t="s">
        <v>3450</v>
      </c>
      <c r="D1795" s="0" t="s">
        <v>3448</v>
      </c>
      <c r="E1795" s="20" t="s">
        <v>25</v>
      </c>
      <c r="F1795" s="23" t="s">
        <v>30</v>
      </c>
      <c r="G1795" s="21" t="s">
        <v>283</v>
      </c>
      <c r="H1795" s="21" t="s">
        <v>24</v>
      </c>
      <c r="I1795" s="21" t="s">
        <v>25</v>
      </c>
      <c r="J1795" s="21" t="s">
        <v>24</v>
      </c>
      <c r="K1795" s="21" t="s">
        <v>24</v>
      </c>
      <c r="L1795" s="21" t="s">
        <v>24</v>
      </c>
      <c r="M1795" s="0" t="n">
        <v>183</v>
      </c>
      <c r="N1795" s="0" t="n">
        <v>5</v>
      </c>
      <c r="O1795" s="21" t="s">
        <v>3815</v>
      </c>
      <c r="P1795" s="21" t="s">
        <v>4829</v>
      </c>
      <c r="Q1795" s="0" t="n">
        <v>1</v>
      </c>
      <c r="R1795" s="21" t="s">
        <v>69</v>
      </c>
      <c r="S1795" s="0" t="n">
        <v>5</v>
      </c>
      <c r="T1795" s="21" t="s">
        <v>3815</v>
      </c>
      <c r="U1795" s="22" t="b">
        <f aca="false">TRUE()</f>
        <v>1</v>
      </c>
      <c r="V1795" s="0" t="n">
        <v>0.69</v>
      </c>
      <c r="W1795" s="0" t="n">
        <v>0</v>
      </c>
      <c r="X1795" s="0" t="n">
        <v>12.35</v>
      </c>
      <c r="Y1795" s="0" t="n">
        <v>14.02</v>
      </c>
      <c r="Z1795" s="0" t="n">
        <v>9</v>
      </c>
      <c r="AA1795" s="0" t="n">
        <v>15.8</v>
      </c>
      <c r="AB1795" s="0" t="n">
        <v>3.68</v>
      </c>
      <c r="AC1795" s="22" t="b">
        <f aca="false">FALSE()</f>
        <v>0</v>
      </c>
      <c r="AD1795" s="0" t="n">
        <v>4.19</v>
      </c>
      <c r="AE1795" s="0" t="n">
        <v>0.51</v>
      </c>
      <c r="AF1795" s="0" t="n">
        <v>2.38</v>
      </c>
      <c r="AG1795" s="22" t="b">
        <f aca="false">FALSE()</f>
        <v>0</v>
      </c>
      <c r="AH1795" s="0" t="n">
        <v>0</v>
      </c>
    </row>
    <row r="1796" customFormat="false" ht="15" hidden="false" customHeight="false" outlineLevel="0" collapsed="false">
      <c r="A1796" s="0" t="s">
        <v>2709</v>
      </c>
      <c r="B1796" s="0" t="s">
        <v>134</v>
      </c>
      <c r="C1796" s="0" t="s">
        <v>3447</v>
      </c>
      <c r="D1796" s="0" t="s">
        <v>3457</v>
      </c>
      <c r="E1796" s="19" t="s">
        <v>26</v>
      </c>
      <c r="F1796" s="19" t="s">
        <v>32</v>
      </c>
      <c r="G1796" s="21" t="s">
        <v>529</v>
      </c>
      <c r="H1796" s="21" t="s">
        <v>24</v>
      </c>
      <c r="I1796" s="21" t="s">
        <v>26</v>
      </c>
      <c r="J1796" s="21" t="s">
        <v>24</v>
      </c>
      <c r="K1796" s="21" t="s">
        <v>24</v>
      </c>
      <c r="L1796" s="21" t="s">
        <v>24</v>
      </c>
      <c r="M1796" s="0" t="n">
        <v>182</v>
      </c>
      <c r="N1796" s="0" t="n">
        <v>12</v>
      </c>
      <c r="O1796" s="21" t="s">
        <v>4017</v>
      </c>
      <c r="P1796" s="21" t="s">
        <v>4414</v>
      </c>
      <c r="Q1796" s="0" t="n">
        <v>1</v>
      </c>
      <c r="R1796" s="21" t="s">
        <v>69</v>
      </c>
      <c r="S1796" s="0" t="n">
        <v>12</v>
      </c>
      <c r="T1796" s="21" t="s">
        <v>4017</v>
      </c>
      <c r="U1796" s="22" t="b">
        <f aca="false">FALSE()</f>
        <v>0</v>
      </c>
      <c r="V1796" s="0" t="n">
        <v>0.67</v>
      </c>
      <c r="W1796" s="0" t="n">
        <v>0</v>
      </c>
      <c r="X1796" s="0" t="n">
        <v>10.83</v>
      </c>
      <c r="Y1796" s="0" t="n">
        <v>662.2</v>
      </c>
      <c r="Z1796" s="0" t="n">
        <v>9.08</v>
      </c>
      <c r="AA1796" s="0" t="n">
        <v>5.5</v>
      </c>
      <c r="AB1796" s="0" t="n">
        <v>4.72</v>
      </c>
      <c r="AC1796" s="22" t="b">
        <f aca="false">FALSE()</f>
        <v>0</v>
      </c>
      <c r="AD1796" s="0" t="n">
        <v>9.82</v>
      </c>
      <c r="AE1796" s="0" t="n">
        <v>0.19</v>
      </c>
      <c r="AF1796" s="0" t="n">
        <v>0.63</v>
      </c>
      <c r="AG1796" s="22" t="b">
        <f aca="false">FALSE()</f>
        <v>0</v>
      </c>
      <c r="AH1796" s="0" t="n">
        <v>1</v>
      </c>
    </row>
    <row r="1797" customFormat="false" ht="15" hidden="false" customHeight="false" outlineLevel="0" collapsed="false">
      <c r="A1797" s="0" t="s">
        <v>2709</v>
      </c>
      <c r="B1797" s="0" t="s">
        <v>134</v>
      </c>
      <c r="C1797" s="0" t="s">
        <v>3447</v>
      </c>
      <c r="D1797" s="0" t="s">
        <v>3448</v>
      </c>
      <c r="E1797" s="19" t="s">
        <v>26</v>
      </c>
      <c r="F1797" s="19" t="s">
        <v>32</v>
      </c>
      <c r="G1797" s="21" t="s">
        <v>60</v>
      </c>
      <c r="H1797" s="21" t="s">
        <v>24</v>
      </c>
      <c r="I1797" s="21" t="s">
        <v>26</v>
      </c>
      <c r="J1797" s="21" t="s">
        <v>24</v>
      </c>
      <c r="K1797" s="21" t="s">
        <v>24</v>
      </c>
      <c r="L1797" s="21" t="s">
        <v>24</v>
      </c>
      <c r="M1797" s="0" t="n">
        <v>185</v>
      </c>
      <c r="N1797" s="0" t="n">
        <v>9</v>
      </c>
      <c r="O1797" s="21" t="s">
        <v>3979</v>
      </c>
      <c r="P1797" s="21" t="s">
        <v>4830</v>
      </c>
      <c r="Q1797" s="0" t="n">
        <v>0</v>
      </c>
      <c r="S1797" s="0" t="n">
        <v>9</v>
      </c>
      <c r="T1797" s="21" t="s">
        <v>3979</v>
      </c>
      <c r="U1797" s="22" t="b">
        <f aca="false">FALSE()</f>
        <v>0</v>
      </c>
      <c r="V1797" s="0" t="n">
        <v>0.69</v>
      </c>
      <c r="W1797" s="0" t="n">
        <v>0.6</v>
      </c>
      <c r="X1797" s="0" t="n">
        <v>13.05</v>
      </c>
      <c r="Y1797" s="0" t="n">
        <v>324.27</v>
      </c>
      <c r="Z1797" s="0" t="n">
        <v>9.25</v>
      </c>
      <c r="AA1797" s="0" t="n">
        <v>9.16</v>
      </c>
      <c r="AB1797" s="0" t="n">
        <v>3.68</v>
      </c>
      <c r="AC1797" s="22" t="b">
        <f aca="false">FALSE()</f>
        <v>0</v>
      </c>
      <c r="AD1797" s="0" t="n">
        <v>1.75</v>
      </c>
      <c r="AE1797" s="0" t="n">
        <v>0.56</v>
      </c>
      <c r="AF1797" s="0" t="n">
        <v>0.25</v>
      </c>
      <c r="AG1797" s="22" t="b">
        <f aca="false">FALSE()</f>
        <v>0</v>
      </c>
      <c r="AH1797" s="0" t="n">
        <v>1</v>
      </c>
    </row>
    <row r="1798" customFormat="false" ht="15" hidden="false" customHeight="false" outlineLevel="0" collapsed="false">
      <c r="A1798" s="0" t="s">
        <v>2709</v>
      </c>
      <c r="B1798" s="0" t="s">
        <v>3459</v>
      </c>
      <c r="C1798" s="0" t="s">
        <v>3450</v>
      </c>
      <c r="D1798" s="0" t="s">
        <v>3457</v>
      </c>
      <c r="E1798" s="19" t="s">
        <v>26</v>
      </c>
      <c r="F1798" s="19" t="s">
        <v>32</v>
      </c>
      <c r="G1798" s="21" t="s">
        <v>529</v>
      </c>
      <c r="H1798" s="21" t="s">
        <v>24</v>
      </c>
      <c r="I1798" s="21" t="s">
        <v>26</v>
      </c>
      <c r="J1798" s="21" t="s">
        <v>24</v>
      </c>
      <c r="K1798" s="21" t="s">
        <v>24</v>
      </c>
      <c r="L1798" s="21" t="s">
        <v>24</v>
      </c>
      <c r="M1798" s="0" t="n">
        <v>185</v>
      </c>
      <c r="N1798" s="0" t="n">
        <v>8</v>
      </c>
      <c r="O1798" s="21" t="s">
        <v>4157</v>
      </c>
      <c r="P1798" s="21" t="s">
        <v>4831</v>
      </c>
      <c r="Q1798" s="0" t="n">
        <v>1</v>
      </c>
      <c r="R1798" s="21" t="s">
        <v>69</v>
      </c>
      <c r="S1798" s="0" t="n">
        <v>8</v>
      </c>
      <c r="T1798" s="21" t="s">
        <v>4157</v>
      </c>
      <c r="U1798" s="22" t="b">
        <f aca="false">FALSE()</f>
        <v>0</v>
      </c>
      <c r="V1798" s="0" t="n">
        <v>0.66</v>
      </c>
      <c r="W1798" s="0" t="n">
        <v>0.68</v>
      </c>
      <c r="X1798" s="0" t="n">
        <v>11.52</v>
      </c>
      <c r="Y1798" s="0" t="n">
        <v>278.01</v>
      </c>
      <c r="Z1798" s="0" t="n">
        <v>8.75</v>
      </c>
      <c r="AA1798" s="0" t="n">
        <v>14.82</v>
      </c>
      <c r="AB1798" s="0" t="n">
        <v>3.12</v>
      </c>
      <c r="AC1798" s="22" t="b">
        <f aca="false">FALSE()</f>
        <v>0</v>
      </c>
      <c r="AD1798" s="0" t="n">
        <v>16.09</v>
      </c>
      <c r="AE1798" s="0" t="n">
        <v>5.26</v>
      </c>
      <c r="AF1798" s="0" t="n">
        <v>14.01</v>
      </c>
      <c r="AG1798" s="22" t="b">
        <f aca="false">TRUE()</f>
        <v>1</v>
      </c>
      <c r="AH1798" s="0" t="n">
        <v>1</v>
      </c>
    </row>
    <row r="1799" customFormat="false" ht="15" hidden="false" customHeight="false" outlineLevel="0" collapsed="false">
      <c r="A1799" s="0" t="s">
        <v>2709</v>
      </c>
      <c r="B1799" s="0" t="s">
        <v>3459</v>
      </c>
      <c r="C1799" s="0" t="s">
        <v>3450</v>
      </c>
      <c r="D1799" s="0" t="s">
        <v>3448</v>
      </c>
      <c r="E1799" s="20" t="s">
        <v>25</v>
      </c>
      <c r="F1799" s="23" t="s">
        <v>30</v>
      </c>
      <c r="G1799" s="21" t="s">
        <v>283</v>
      </c>
      <c r="H1799" s="21" t="s">
        <v>24</v>
      </c>
      <c r="I1799" s="21" t="s">
        <v>25</v>
      </c>
      <c r="J1799" s="21" t="s">
        <v>24</v>
      </c>
      <c r="K1799" s="21" t="s">
        <v>24</v>
      </c>
      <c r="L1799" s="21" t="s">
        <v>24</v>
      </c>
      <c r="M1799" s="0" t="n">
        <v>185</v>
      </c>
      <c r="N1799" s="0" t="n">
        <v>4</v>
      </c>
      <c r="O1799" s="21" t="s">
        <v>3737</v>
      </c>
      <c r="P1799" s="21" t="s">
        <v>4535</v>
      </c>
      <c r="Q1799" s="0" t="n">
        <v>1</v>
      </c>
      <c r="R1799" s="21" t="s">
        <v>69</v>
      </c>
      <c r="S1799" s="0" t="n">
        <v>4</v>
      </c>
      <c r="T1799" s="21" t="s">
        <v>3737</v>
      </c>
      <c r="U1799" s="22" t="b">
        <f aca="false">TRUE()</f>
        <v>1</v>
      </c>
      <c r="V1799" s="0" t="n">
        <v>0.73</v>
      </c>
      <c r="W1799" s="0" t="n">
        <v>0</v>
      </c>
      <c r="X1799" s="0" t="n">
        <v>11.67</v>
      </c>
      <c r="Y1799" s="0" t="n">
        <v>680.13</v>
      </c>
      <c r="Z1799" s="0" t="n">
        <v>8.75</v>
      </c>
      <c r="AA1799" s="0" t="n">
        <v>16.33</v>
      </c>
      <c r="AB1799" s="0" t="n">
        <v>2.03</v>
      </c>
      <c r="AC1799" s="22" t="b">
        <f aca="false">FALSE()</f>
        <v>0</v>
      </c>
      <c r="AD1799" s="0" t="n">
        <v>17.69</v>
      </c>
      <c r="AE1799" s="0" t="n">
        <v>7.74</v>
      </c>
      <c r="AF1799" s="0" t="n">
        <v>17.25</v>
      </c>
      <c r="AG1799" s="22" t="b">
        <f aca="false">TRUE()</f>
        <v>1</v>
      </c>
      <c r="AH1799" s="0" t="n">
        <v>1</v>
      </c>
    </row>
    <row r="1800" customFormat="false" ht="15" hidden="false" customHeight="false" outlineLevel="0" collapsed="false">
      <c r="A1800" s="0" t="s">
        <v>2709</v>
      </c>
      <c r="B1800" s="0" t="s">
        <v>3459</v>
      </c>
      <c r="C1800" s="0" t="s">
        <v>3447</v>
      </c>
      <c r="D1800" s="0" t="s">
        <v>3457</v>
      </c>
      <c r="E1800" s="19" t="s">
        <v>26</v>
      </c>
      <c r="F1800" s="19" t="s">
        <v>32</v>
      </c>
      <c r="G1800" s="21" t="s">
        <v>529</v>
      </c>
      <c r="H1800" s="21" t="s">
        <v>24</v>
      </c>
      <c r="I1800" s="21" t="s">
        <v>26</v>
      </c>
      <c r="J1800" s="21" t="s">
        <v>24</v>
      </c>
      <c r="K1800" s="21" t="s">
        <v>24</v>
      </c>
      <c r="L1800" s="21" t="s">
        <v>24</v>
      </c>
      <c r="M1800" s="0" t="n">
        <v>183</v>
      </c>
      <c r="N1800" s="0" t="n">
        <v>7</v>
      </c>
      <c r="O1800" s="21" t="s">
        <v>4073</v>
      </c>
      <c r="P1800" s="21" t="s">
        <v>4832</v>
      </c>
      <c r="Q1800" s="0" t="n">
        <v>1</v>
      </c>
      <c r="R1800" s="21" t="s">
        <v>69</v>
      </c>
      <c r="S1800" s="0" t="n">
        <v>7</v>
      </c>
      <c r="T1800" s="21" t="s">
        <v>4073</v>
      </c>
      <c r="U1800" s="22" t="b">
        <f aca="false">FALSE()</f>
        <v>0</v>
      </c>
      <c r="V1800" s="0" t="n">
        <v>0.65</v>
      </c>
      <c r="W1800" s="0" t="n">
        <v>0.12</v>
      </c>
      <c r="X1800" s="0" t="n">
        <v>10.54</v>
      </c>
      <c r="Y1800" s="0" t="n">
        <v>577.06</v>
      </c>
      <c r="Z1800" s="0" t="n">
        <v>8.75</v>
      </c>
      <c r="AA1800" s="0" t="n">
        <v>9</v>
      </c>
      <c r="AB1800" s="0" t="n">
        <v>3.12</v>
      </c>
      <c r="AC1800" s="22" t="b">
        <f aca="false">FALSE()</f>
        <v>0</v>
      </c>
      <c r="AD1800" s="0" t="n">
        <v>15.37</v>
      </c>
      <c r="AE1800" s="0" t="n">
        <v>5.26</v>
      </c>
      <c r="AF1800" s="0" t="n">
        <v>14.1</v>
      </c>
      <c r="AG1800" s="22" t="b">
        <f aca="false">TRUE()</f>
        <v>1</v>
      </c>
      <c r="AH1800" s="0" t="n">
        <v>1</v>
      </c>
    </row>
    <row r="1801" customFormat="false" ht="15" hidden="false" customHeight="false" outlineLevel="0" collapsed="false">
      <c r="A1801" s="0" t="s">
        <v>2709</v>
      </c>
      <c r="B1801" s="0" t="s">
        <v>3459</v>
      </c>
      <c r="C1801" s="0" t="s">
        <v>3447</v>
      </c>
      <c r="D1801" s="0" t="s">
        <v>3448</v>
      </c>
      <c r="E1801" s="19" t="s">
        <v>26</v>
      </c>
      <c r="F1801" s="19" t="s">
        <v>32</v>
      </c>
      <c r="G1801" s="21" t="s">
        <v>3896</v>
      </c>
      <c r="H1801" s="21" t="s">
        <v>24</v>
      </c>
      <c r="I1801" s="21" t="s">
        <v>26</v>
      </c>
      <c r="J1801" s="21" t="s">
        <v>24</v>
      </c>
      <c r="K1801" s="21" t="s">
        <v>25</v>
      </c>
      <c r="L1801" s="21" t="s">
        <v>24</v>
      </c>
      <c r="M1801" s="0" t="n">
        <v>183</v>
      </c>
      <c r="N1801" s="0" t="n">
        <v>13</v>
      </c>
      <c r="O1801" s="21" t="s">
        <v>4002</v>
      </c>
      <c r="P1801" s="21" t="s">
        <v>4833</v>
      </c>
      <c r="Q1801" s="0" t="n">
        <v>0</v>
      </c>
      <c r="S1801" s="0" t="n">
        <v>13</v>
      </c>
      <c r="T1801" s="21" t="s">
        <v>4002</v>
      </c>
      <c r="U1801" s="22" t="b">
        <f aca="false">FALSE()</f>
        <v>0</v>
      </c>
      <c r="V1801" s="0" t="n">
        <v>0.71</v>
      </c>
      <c r="W1801" s="0" t="n">
        <v>0.44</v>
      </c>
      <c r="X1801" s="0" t="n">
        <v>10.98</v>
      </c>
      <c r="Y1801" s="0" t="n">
        <v>338.01</v>
      </c>
      <c r="Z1801" s="0" t="n">
        <v>9.17</v>
      </c>
      <c r="AA1801" s="0" t="n">
        <v>13.53</v>
      </c>
      <c r="AB1801" s="0" t="n">
        <v>2.03</v>
      </c>
      <c r="AC1801" s="22" t="b">
        <f aca="false">FALSE()</f>
        <v>0</v>
      </c>
      <c r="AD1801" s="0" t="n">
        <v>20.62</v>
      </c>
      <c r="AE1801" s="0" t="n">
        <v>10.7</v>
      </c>
      <c r="AF1801" s="0" t="n">
        <v>19.57</v>
      </c>
      <c r="AG1801" s="22" t="b">
        <f aca="false">TRUE()</f>
        <v>1</v>
      </c>
      <c r="AH1801" s="0" t="n">
        <v>1</v>
      </c>
    </row>
    <row r="1802" customFormat="false" ht="15" hidden="false" customHeight="false" outlineLevel="0" collapsed="false">
      <c r="A1802" s="0" t="s">
        <v>2715</v>
      </c>
      <c r="B1802" s="0" t="s">
        <v>134</v>
      </c>
      <c r="C1802" s="0" t="s">
        <v>3450</v>
      </c>
      <c r="D1802" s="0" t="s">
        <v>3457</v>
      </c>
      <c r="E1802" s="19" t="s">
        <v>26</v>
      </c>
      <c r="F1802" s="19" t="s">
        <v>32</v>
      </c>
      <c r="G1802" s="21" t="s">
        <v>1409</v>
      </c>
      <c r="H1802" s="21" t="s">
        <v>24</v>
      </c>
      <c r="I1802" s="21" t="s">
        <v>26</v>
      </c>
      <c r="J1802" s="21" t="s">
        <v>24</v>
      </c>
      <c r="K1802" s="21" t="s">
        <v>25</v>
      </c>
      <c r="L1802" s="21" t="s">
        <v>24</v>
      </c>
      <c r="M1802" s="0" t="n">
        <v>187</v>
      </c>
      <c r="N1802" s="0" t="n">
        <v>12</v>
      </c>
      <c r="O1802" s="21" t="s">
        <v>4117</v>
      </c>
      <c r="P1802" s="21" t="s">
        <v>4359</v>
      </c>
      <c r="Q1802" s="0" t="n">
        <v>1</v>
      </c>
      <c r="R1802" s="21" t="s">
        <v>69</v>
      </c>
      <c r="S1802" s="0" t="n">
        <v>12</v>
      </c>
      <c r="T1802" s="21" t="s">
        <v>4117</v>
      </c>
      <c r="U1802" s="22" t="b">
        <f aca="false">FALSE()</f>
        <v>0</v>
      </c>
      <c r="V1802" s="0" t="n">
        <v>0.67</v>
      </c>
      <c r="W1802" s="0" t="n">
        <v>0.76</v>
      </c>
      <c r="X1802" s="0" t="n">
        <v>7.17</v>
      </c>
      <c r="Y1802" s="0" t="n">
        <v>325.06</v>
      </c>
      <c r="Z1802" s="0" t="n">
        <v>11.42</v>
      </c>
      <c r="AA1802" s="0" t="n">
        <v>0.92</v>
      </c>
      <c r="AB1802" s="0" t="n">
        <v>0.17</v>
      </c>
      <c r="AC1802" s="22" t="b">
        <f aca="false">TRUE()</f>
        <v>1</v>
      </c>
      <c r="AD1802" s="0" t="n">
        <v>14.74</v>
      </c>
      <c r="AE1802" s="0" t="n">
        <v>1.07</v>
      </c>
      <c r="AF1802" s="0" t="n">
        <v>0.87</v>
      </c>
      <c r="AG1802" s="22" t="b">
        <f aca="false">TRUE()</f>
        <v>1</v>
      </c>
      <c r="AH1802" s="0" t="n">
        <v>1</v>
      </c>
    </row>
    <row r="1803" customFormat="false" ht="15" hidden="false" customHeight="false" outlineLevel="0" collapsed="false">
      <c r="A1803" s="0" t="s">
        <v>2715</v>
      </c>
      <c r="B1803" s="0" t="s">
        <v>134</v>
      </c>
      <c r="C1803" s="0" t="s">
        <v>3450</v>
      </c>
      <c r="D1803" s="0" t="s">
        <v>3448</v>
      </c>
      <c r="E1803" s="20" t="s">
        <v>25</v>
      </c>
      <c r="F1803" s="23" t="s">
        <v>30</v>
      </c>
      <c r="G1803" s="21" t="s">
        <v>1230</v>
      </c>
      <c r="H1803" s="21" t="s">
        <v>24</v>
      </c>
      <c r="I1803" s="21" t="s">
        <v>25</v>
      </c>
      <c r="J1803" s="21" t="s">
        <v>24</v>
      </c>
      <c r="K1803" s="21" t="s">
        <v>25</v>
      </c>
      <c r="L1803" s="21" t="s">
        <v>24</v>
      </c>
      <c r="M1803" s="0" t="n">
        <v>190</v>
      </c>
      <c r="N1803" s="0" t="n">
        <v>2</v>
      </c>
      <c r="O1803" s="21" t="s">
        <v>3566</v>
      </c>
      <c r="P1803" s="21" t="s">
        <v>4238</v>
      </c>
      <c r="Q1803" s="0" t="n">
        <v>1</v>
      </c>
      <c r="R1803" s="21" t="s">
        <v>69</v>
      </c>
      <c r="S1803" s="0" t="n">
        <v>2</v>
      </c>
      <c r="T1803" s="21" t="s">
        <v>3566</v>
      </c>
      <c r="U1803" s="22" t="b">
        <f aca="false">TRUE()</f>
        <v>1</v>
      </c>
      <c r="V1803" s="0" t="n">
        <v>0.56</v>
      </c>
      <c r="W1803" s="0" t="n">
        <v>0.76</v>
      </c>
      <c r="X1803" s="0" t="n">
        <v>8.87</v>
      </c>
      <c r="Y1803" s="0" t="n">
        <v>331.88</v>
      </c>
      <c r="Z1803" s="0" t="n">
        <v>8</v>
      </c>
      <c r="AA1803" s="0" t="n">
        <v>-1.13</v>
      </c>
      <c r="AB1803" s="0" t="n">
        <v>13.56</v>
      </c>
      <c r="AC1803" s="22" t="b">
        <f aca="false">FALSE()</f>
        <v>0</v>
      </c>
      <c r="AD1803" s="0" t="n">
        <v>1.92</v>
      </c>
      <c r="AE1803" s="0" t="n">
        <v>0.1</v>
      </c>
      <c r="AF1803" s="0" t="n">
        <v>1.32</v>
      </c>
      <c r="AG1803" s="22" t="b">
        <f aca="false">FALSE()</f>
        <v>0</v>
      </c>
      <c r="AH1803" s="0" t="n">
        <v>1</v>
      </c>
    </row>
    <row r="1804" customFormat="false" ht="15" hidden="false" customHeight="false" outlineLevel="0" collapsed="false">
      <c r="A1804" s="0" t="s">
        <v>2715</v>
      </c>
      <c r="B1804" s="0" t="s">
        <v>134</v>
      </c>
      <c r="C1804" s="0" t="s">
        <v>3447</v>
      </c>
      <c r="D1804" s="0" t="s">
        <v>3457</v>
      </c>
      <c r="E1804" s="20" t="s">
        <v>25</v>
      </c>
      <c r="F1804" s="23" t="s">
        <v>30</v>
      </c>
      <c r="G1804" s="21" t="s">
        <v>2610</v>
      </c>
      <c r="H1804" s="21" t="s">
        <v>24</v>
      </c>
      <c r="I1804" s="21" t="s">
        <v>24</v>
      </c>
      <c r="J1804" s="21" t="s">
        <v>24</v>
      </c>
      <c r="K1804" s="21" t="s">
        <v>25</v>
      </c>
      <c r="L1804" s="21" t="s">
        <v>24</v>
      </c>
      <c r="M1804" s="0" t="n">
        <v>188</v>
      </c>
      <c r="N1804" s="0" t="n">
        <v>2</v>
      </c>
      <c r="O1804" s="21" t="s">
        <v>3518</v>
      </c>
      <c r="P1804" s="21" t="s">
        <v>4727</v>
      </c>
      <c r="Q1804" s="0" t="n">
        <v>0</v>
      </c>
      <c r="S1804" s="0" t="n">
        <v>2</v>
      </c>
      <c r="T1804" s="21" t="s">
        <v>3518</v>
      </c>
      <c r="U1804" s="22" t="b">
        <f aca="false">TRUE()</f>
        <v>1</v>
      </c>
      <c r="V1804" s="0" t="n">
        <v>0.69</v>
      </c>
      <c r="W1804" s="0" t="n">
        <v>0.64</v>
      </c>
      <c r="X1804" s="0" t="n">
        <v>8.66</v>
      </c>
      <c r="Y1804" s="0" t="n">
        <v>328.29</v>
      </c>
      <c r="Z1804" s="0" t="n">
        <v>8</v>
      </c>
      <c r="AA1804" s="0" t="n">
        <v>-1.28</v>
      </c>
      <c r="AB1804" s="0" t="n">
        <v>0.17</v>
      </c>
      <c r="AC1804" s="22" t="b">
        <f aca="false">FALSE()</f>
        <v>0</v>
      </c>
      <c r="AD1804" s="0" t="n">
        <v>9.87</v>
      </c>
      <c r="AE1804" s="0" t="n">
        <v>0.6</v>
      </c>
      <c r="AF1804" s="0" t="n">
        <v>0.98</v>
      </c>
      <c r="AG1804" s="22" t="b">
        <f aca="false">FALSE()</f>
        <v>0</v>
      </c>
      <c r="AH1804" s="0" t="n">
        <v>1</v>
      </c>
    </row>
    <row r="1805" customFormat="false" ht="15" hidden="false" customHeight="false" outlineLevel="0" collapsed="false">
      <c r="A1805" s="0" t="s">
        <v>2715</v>
      </c>
      <c r="B1805" s="0" t="s">
        <v>134</v>
      </c>
      <c r="C1805" s="0" t="s">
        <v>3447</v>
      </c>
      <c r="D1805" s="0" t="s">
        <v>3448</v>
      </c>
      <c r="E1805" s="18" t="s">
        <v>24</v>
      </c>
      <c r="F1805" s="23" t="s">
        <v>30</v>
      </c>
      <c r="G1805" s="21" t="s">
        <v>30</v>
      </c>
      <c r="H1805" s="21" t="s">
        <v>24</v>
      </c>
      <c r="I1805" s="21" t="s">
        <v>24</v>
      </c>
      <c r="J1805" s="21" t="s">
        <v>24</v>
      </c>
      <c r="K1805" s="21" t="s">
        <v>24</v>
      </c>
      <c r="L1805" s="21" t="s">
        <v>24</v>
      </c>
      <c r="M1805" s="0" t="n">
        <v>189</v>
      </c>
      <c r="N1805" s="0" t="n">
        <v>4</v>
      </c>
      <c r="O1805" s="21" t="s">
        <v>3591</v>
      </c>
      <c r="P1805" s="21" t="s">
        <v>4371</v>
      </c>
      <c r="Q1805" s="0" t="n">
        <v>0</v>
      </c>
      <c r="S1805" s="0" t="n">
        <v>4</v>
      </c>
      <c r="T1805" s="21" t="s">
        <v>3591</v>
      </c>
      <c r="U1805" s="22" t="b">
        <f aca="false">TRUE()</f>
        <v>1</v>
      </c>
      <c r="V1805" s="0" t="n">
        <v>0.88</v>
      </c>
      <c r="W1805" s="0" t="n">
        <v>0.48</v>
      </c>
      <c r="X1805" s="0" t="n">
        <v>16.47</v>
      </c>
      <c r="Y1805" s="0" t="n">
        <v>340.06</v>
      </c>
      <c r="Z1805" s="0" t="n">
        <v>8</v>
      </c>
      <c r="AA1805" s="0" t="n">
        <v>-2.04</v>
      </c>
      <c r="AB1805" s="0" t="n">
        <v>13.56</v>
      </c>
      <c r="AC1805" s="22" t="b">
        <f aca="false">FALSE()</f>
        <v>0</v>
      </c>
      <c r="AD1805" s="0" t="n">
        <v>4.59</v>
      </c>
      <c r="AE1805" s="0" t="n">
        <v>0.45</v>
      </c>
      <c r="AF1805" s="0" t="n">
        <v>2.71</v>
      </c>
      <c r="AG1805" s="22" t="b">
        <f aca="false">FALSE()</f>
        <v>0</v>
      </c>
      <c r="AH1805" s="0" t="n">
        <v>1</v>
      </c>
    </row>
    <row r="1806" customFormat="false" ht="15" hidden="false" customHeight="false" outlineLevel="0" collapsed="false">
      <c r="A1806" s="0" t="s">
        <v>2721</v>
      </c>
      <c r="B1806" s="0" t="s">
        <v>134</v>
      </c>
      <c r="C1806" s="0" t="s">
        <v>3450</v>
      </c>
      <c r="D1806" s="0" t="s">
        <v>3457</v>
      </c>
      <c r="E1806" s="20" t="s">
        <v>25</v>
      </c>
      <c r="F1806" s="20" t="s">
        <v>29</v>
      </c>
      <c r="G1806" s="21" t="s">
        <v>61</v>
      </c>
      <c r="H1806" s="21" t="s">
        <v>24</v>
      </c>
      <c r="I1806" s="21" t="s">
        <v>24</v>
      </c>
      <c r="J1806" s="21" t="s">
        <v>24</v>
      </c>
      <c r="K1806" s="21" t="s">
        <v>25</v>
      </c>
      <c r="L1806" s="21" t="s">
        <v>24</v>
      </c>
      <c r="M1806" s="0" t="n">
        <v>182</v>
      </c>
      <c r="N1806" s="0" t="n">
        <v>0</v>
      </c>
      <c r="Q1806" s="0" t="n">
        <v>0</v>
      </c>
      <c r="S1806" s="0" t="n">
        <v>0</v>
      </c>
      <c r="U1806" s="22" t="b">
        <f aca="false">FALSE()</f>
        <v>0</v>
      </c>
      <c r="V1806" s="0" t="n">
        <v>0.76</v>
      </c>
      <c r="W1806" s="0" t="n">
        <v>0.32</v>
      </c>
      <c r="X1806" s="0" t="n">
        <v>9.78</v>
      </c>
      <c r="Y1806" s="0" t="n">
        <v>344.65</v>
      </c>
      <c r="Z1806" s="0" t="n">
        <v>9.75</v>
      </c>
      <c r="AA1806" s="0" t="n">
        <v>16.63</v>
      </c>
      <c r="AB1806" s="0" t="n">
        <v>7.03</v>
      </c>
      <c r="AC1806" s="22" t="b">
        <f aca="false">FALSE()</f>
        <v>0</v>
      </c>
      <c r="AD1806" s="0" t="n">
        <v>26.62</v>
      </c>
      <c r="AE1806" s="0" t="n">
        <v>17.09</v>
      </c>
      <c r="AF1806" s="0" t="n">
        <v>20.85</v>
      </c>
      <c r="AG1806" s="22" t="b">
        <f aca="false">TRUE()</f>
        <v>1</v>
      </c>
      <c r="AH1806" s="0" t="n">
        <v>1</v>
      </c>
    </row>
    <row r="1807" customFormat="false" ht="15" hidden="false" customHeight="false" outlineLevel="0" collapsed="false">
      <c r="A1807" s="0" t="s">
        <v>2721</v>
      </c>
      <c r="B1807" s="0" t="s">
        <v>134</v>
      </c>
      <c r="C1807" s="0" t="s">
        <v>3450</v>
      </c>
      <c r="D1807" s="0" t="s">
        <v>3448</v>
      </c>
      <c r="E1807" s="20" t="s">
        <v>25</v>
      </c>
      <c r="F1807" s="23" t="s">
        <v>30</v>
      </c>
      <c r="G1807" s="21" t="s">
        <v>183</v>
      </c>
      <c r="H1807" s="21" t="s">
        <v>24</v>
      </c>
      <c r="I1807" s="21" t="s">
        <v>25</v>
      </c>
      <c r="J1807" s="21" t="s">
        <v>24</v>
      </c>
      <c r="K1807" s="21" t="s">
        <v>25</v>
      </c>
      <c r="L1807" s="21" t="s">
        <v>24</v>
      </c>
      <c r="M1807" s="0" t="n">
        <v>183</v>
      </c>
      <c r="N1807" s="0" t="n">
        <v>2</v>
      </c>
      <c r="O1807" s="21" t="s">
        <v>3575</v>
      </c>
      <c r="P1807" s="21" t="s">
        <v>4265</v>
      </c>
      <c r="Q1807" s="0" t="n">
        <v>1</v>
      </c>
      <c r="R1807" s="21" t="s">
        <v>69</v>
      </c>
      <c r="S1807" s="0" t="n">
        <v>2</v>
      </c>
      <c r="T1807" s="21" t="s">
        <v>3575</v>
      </c>
      <c r="U1807" s="22" t="b">
        <f aca="false">TRUE()</f>
        <v>1</v>
      </c>
      <c r="V1807" s="0" t="n">
        <v>0.81</v>
      </c>
      <c r="W1807" s="0" t="n">
        <v>0.8</v>
      </c>
      <c r="X1807" s="0" t="n">
        <v>11.43</v>
      </c>
      <c r="Y1807" s="0" t="n">
        <v>306.31</v>
      </c>
      <c r="Z1807" s="0" t="n">
        <v>9.25</v>
      </c>
      <c r="AA1807" s="0" t="n">
        <v>18.1</v>
      </c>
      <c r="AB1807" s="0" t="n">
        <v>3.79</v>
      </c>
      <c r="AC1807" s="22" t="b">
        <f aca="false">FALSE()</f>
        <v>0</v>
      </c>
      <c r="AD1807" s="0" t="n">
        <v>22.92</v>
      </c>
      <c r="AE1807" s="0" t="n">
        <v>7.32</v>
      </c>
      <c r="AF1807" s="0" t="n">
        <v>19.7</v>
      </c>
      <c r="AG1807" s="22" t="b">
        <f aca="false">TRUE()</f>
        <v>1</v>
      </c>
      <c r="AH1807" s="0" t="n">
        <v>1</v>
      </c>
    </row>
    <row r="1808" customFormat="false" ht="15" hidden="false" customHeight="false" outlineLevel="0" collapsed="false">
      <c r="A1808" s="0" t="s">
        <v>2721</v>
      </c>
      <c r="B1808" s="0" t="s">
        <v>134</v>
      </c>
      <c r="C1808" s="0" t="s">
        <v>3447</v>
      </c>
      <c r="D1808" s="0" t="s">
        <v>3457</v>
      </c>
      <c r="E1808" s="19" t="s">
        <v>26</v>
      </c>
      <c r="F1808" s="19" t="s">
        <v>32</v>
      </c>
      <c r="G1808" s="21" t="s">
        <v>1926</v>
      </c>
      <c r="H1808" s="21" t="s">
        <v>24</v>
      </c>
      <c r="I1808" s="21" t="s">
        <v>26</v>
      </c>
      <c r="J1808" s="21" t="s">
        <v>24</v>
      </c>
      <c r="K1808" s="21" t="s">
        <v>25</v>
      </c>
      <c r="L1808" s="21" t="s">
        <v>24</v>
      </c>
      <c r="M1808" s="0" t="n">
        <v>183</v>
      </c>
      <c r="N1808" s="0" t="n">
        <v>10</v>
      </c>
      <c r="O1808" s="21" t="s">
        <v>4060</v>
      </c>
      <c r="P1808" s="21" t="s">
        <v>4282</v>
      </c>
      <c r="Q1808" s="0" t="n">
        <v>1</v>
      </c>
      <c r="R1808" s="21" t="s">
        <v>69</v>
      </c>
      <c r="S1808" s="0" t="n">
        <v>10</v>
      </c>
      <c r="T1808" s="21" t="s">
        <v>4060</v>
      </c>
      <c r="U1808" s="22" t="b">
        <f aca="false">FALSE()</f>
        <v>0</v>
      </c>
      <c r="V1808" s="0" t="n">
        <v>0.7</v>
      </c>
      <c r="W1808" s="0" t="n">
        <v>0.28</v>
      </c>
      <c r="X1808" s="0" t="n">
        <v>8.39</v>
      </c>
      <c r="Y1808" s="0" t="n">
        <v>411.61</v>
      </c>
      <c r="Z1808" s="0" t="n">
        <v>10</v>
      </c>
      <c r="AA1808" s="0" t="n">
        <v>6.76</v>
      </c>
      <c r="AB1808" s="0" t="n">
        <v>7.03</v>
      </c>
      <c r="AC1808" s="22" t="b">
        <f aca="false">FALSE()</f>
        <v>0</v>
      </c>
      <c r="AD1808" s="0" t="n">
        <v>24.92</v>
      </c>
      <c r="AE1808" s="0" t="n">
        <v>13.13</v>
      </c>
      <c r="AF1808" s="0" t="n">
        <v>18.78</v>
      </c>
      <c r="AG1808" s="22" t="b">
        <f aca="false">TRUE()</f>
        <v>1</v>
      </c>
      <c r="AH1808" s="0" t="n">
        <v>1</v>
      </c>
    </row>
    <row r="1809" customFormat="false" ht="15" hidden="false" customHeight="false" outlineLevel="0" collapsed="false">
      <c r="A1809" s="0" t="s">
        <v>2721</v>
      </c>
      <c r="B1809" s="0" t="s">
        <v>134</v>
      </c>
      <c r="C1809" s="0" t="s">
        <v>3447</v>
      </c>
      <c r="D1809" s="0" t="s">
        <v>3448</v>
      </c>
      <c r="E1809" s="19" t="s">
        <v>26</v>
      </c>
      <c r="F1809" s="19" t="s">
        <v>32</v>
      </c>
      <c r="G1809" s="21" t="s">
        <v>1926</v>
      </c>
      <c r="H1809" s="21" t="s">
        <v>24</v>
      </c>
      <c r="I1809" s="21" t="s">
        <v>26</v>
      </c>
      <c r="J1809" s="21" t="s">
        <v>24</v>
      </c>
      <c r="K1809" s="21" t="s">
        <v>25</v>
      </c>
      <c r="L1809" s="21" t="s">
        <v>24</v>
      </c>
      <c r="M1809" s="0" t="n">
        <v>183</v>
      </c>
      <c r="N1809" s="0" t="n">
        <v>10</v>
      </c>
      <c r="O1809" s="21" t="s">
        <v>4060</v>
      </c>
      <c r="P1809" s="21" t="s">
        <v>4282</v>
      </c>
      <c r="Q1809" s="0" t="n">
        <v>1</v>
      </c>
      <c r="R1809" s="21" t="s">
        <v>69</v>
      </c>
      <c r="S1809" s="0" t="n">
        <v>10</v>
      </c>
      <c r="T1809" s="21" t="s">
        <v>4060</v>
      </c>
      <c r="U1809" s="22" t="b">
        <f aca="false">FALSE()</f>
        <v>0</v>
      </c>
      <c r="V1809" s="0" t="n">
        <v>0.76</v>
      </c>
      <c r="W1809" s="0" t="n">
        <v>0.44</v>
      </c>
      <c r="X1809" s="0" t="n">
        <v>9.42</v>
      </c>
      <c r="Y1809" s="0" t="n">
        <v>335.09</v>
      </c>
      <c r="Z1809" s="0" t="n">
        <v>9.75</v>
      </c>
      <c r="AA1809" s="0" t="n">
        <v>11.3</v>
      </c>
      <c r="AB1809" s="0" t="n">
        <v>3.79</v>
      </c>
      <c r="AC1809" s="22" t="b">
        <f aca="false">FALSE()</f>
        <v>0</v>
      </c>
      <c r="AD1809" s="0" t="n">
        <v>23.35</v>
      </c>
      <c r="AE1809" s="0" t="n">
        <v>9.63</v>
      </c>
      <c r="AF1809" s="0" t="n">
        <v>21.67</v>
      </c>
      <c r="AG1809" s="22" t="b">
        <f aca="false">TRUE()</f>
        <v>1</v>
      </c>
      <c r="AH1809" s="0" t="n">
        <v>1</v>
      </c>
    </row>
    <row r="1810" customFormat="false" ht="15" hidden="false" customHeight="false" outlineLevel="0" collapsed="false">
      <c r="A1810" s="0" t="s">
        <v>2746</v>
      </c>
      <c r="B1810" s="0" t="s">
        <v>134</v>
      </c>
      <c r="C1810" s="0" t="s">
        <v>3450</v>
      </c>
      <c r="D1810" s="0" t="s">
        <v>3457</v>
      </c>
      <c r="E1810" s="19" t="s">
        <v>26</v>
      </c>
      <c r="F1810" s="19" t="s">
        <v>32</v>
      </c>
      <c r="G1810" s="21" t="s">
        <v>529</v>
      </c>
      <c r="H1810" s="21" t="s">
        <v>24</v>
      </c>
      <c r="I1810" s="21" t="s">
        <v>26</v>
      </c>
      <c r="J1810" s="21" t="s">
        <v>24</v>
      </c>
      <c r="K1810" s="21" t="s">
        <v>24</v>
      </c>
      <c r="L1810" s="21" t="s">
        <v>24</v>
      </c>
      <c r="M1810" s="0" t="n">
        <v>184</v>
      </c>
      <c r="N1810" s="0" t="n">
        <v>8</v>
      </c>
      <c r="O1810" s="21" t="s">
        <v>4165</v>
      </c>
      <c r="P1810" s="21" t="s">
        <v>4834</v>
      </c>
      <c r="Q1810" s="0" t="n">
        <v>1</v>
      </c>
      <c r="R1810" s="21" t="s">
        <v>69</v>
      </c>
      <c r="S1810" s="0" t="n">
        <v>8</v>
      </c>
      <c r="T1810" s="21" t="s">
        <v>4165</v>
      </c>
      <c r="U1810" s="22" t="b">
        <f aca="false">FALSE()</f>
        <v>0</v>
      </c>
      <c r="V1810" s="0" t="n">
        <v>0.66</v>
      </c>
      <c r="W1810" s="0" t="n">
        <v>0.96</v>
      </c>
      <c r="X1810" s="0" t="n">
        <v>7.72</v>
      </c>
      <c r="Y1810" s="0" t="n">
        <v>297.78</v>
      </c>
      <c r="Z1810" s="0" t="n">
        <v>9.75</v>
      </c>
      <c r="AA1810" s="0" t="n">
        <v>11.11</v>
      </c>
      <c r="AB1810" s="0" t="n">
        <v>11.95</v>
      </c>
      <c r="AC1810" s="22" t="b">
        <f aca="false">FALSE()</f>
        <v>0</v>
      </c>
      <c r="AD1810" s="0" t="n">
        <v>16.9</v>
      </c>
      <c r="AE1810" s="0" t="n">
        <v>0.71</v>
      </c>
      <c r="AF1810" s="0" t="n">
        <v>6.35</v>
      </c>
      <c r="AG1810" s="22" t="b">
        <f aca="false">TRUE()</f>
        <v>1</v>
      </c>
      <c r="AH1810" s="0" t="n">
        <v>1</v>
      </c>
    </row>
    <row r="1811" customFormat="false" ht="15" hidden="false" customHeight="false" outlineLevel="0" collapsed="false">
      <c r="A1811" s="0" t="s">
        <v>2746</v>
      </c>
      <c r="B1811" s="0" t="s">
        <v>134</v>
      </c>
      <c r="C1811" s="0" t="s">
        <v>3450</v>
      </c>
      <c r="D1811" s="0" t="s">
        <v>3448</v>
      </c>
      <c r="E1811" s="19" t="s">
        <v>26</v>
      </c>
      <c r="F1811" s="19" t="s">
        <v>32</v>
      </c>
      <c r="G1811" s="21" t="s">
        <v>1076</v>
      </c>
      <c r="H1811" s="21" t="s">
        <v>24</v>
      </c>
      <c r="I1811" s="21" t="s">
        <v>26</v>
      </c>
      <c r="J1811" s="21" t="s">
        <v>24</v>
      </c>
      <c r="K1811" s="21" t="s">
        <v>25</v>
      </c>
      <c r="L1811" s="21" t="s">
        <v>24</v>
      </c>
      <c r="M1811" s="0" t="n">
        <v>188</v>
      </c>
      <c r="N1811" s="0" t="n">
        <v>7</v>
      </c>
      <c r="O1811" s="21" t="s">
        <v>4035</v>
      </c>
      <c r="P1811" s="21" t="s">
        <v>4495</v>
      </c>
      <c r="Q1811" s="0" t="n">
        <v>1</v>
      </c>
      <c r="R1811" s="21" t="s">
        <v>69</v>
      </c>
      <c r="S1811" s="0" t="n">
        <v>7</v>
      </c>
      <c r="T1811" s="21" t="s">
        <v>4035</v>
      </c>
      <c r="U1811" s="22" t="b">
        <f aca="false">FALSE()</f>
        <v>0</v>
      </c>
      <c r="V1811" s="0" t="n">
        <v>0.7</v>
      </c>
      <c r="W1811" s="0" t="n">
        <v>0.92</v>
      </c>
      <c r="X1811" s="0" t="n">
        <v>8.11</v>
      </c>
      <c r="Y1811" s="0" t="n">
        <v>326.59</v>
      </c>
      <c r="Z1811" s="0" t="n">
        <v>9.58</v>
      </c>
      <c r="AA1811" s="0" t="n">
        <v>2.76</v>
      </c>
      <c r="AB1811" s="0" t="n">
        <v>2.7</v>
      </c>
      <c r="AC1811" s="22" t="b">
        <f aca="false">FALSE()</f>
        <v>0</v>
      </c>
      <c r="AD1811" s="0" t="n">
        <v>8.13</v>
      </c>
      <c r="AE1811" s="0" t="n">
        <v>0.39</v>
      </c>
      <c r="AF1811" s="0" t="n">
        <v>6.71</v>
      </c>
      <c r="AG1811" s="22" t="b">
        <f aca="false">FALSE()</f>
        <v>0</v>
      </c>
      <c r="AH1811" s="0" t="n">
        <v>1</v>
      </c>
    </row>
    <row r="1812" customFormat="false" ht="15" hidden="false" customHeight="false" outlineLevel="0" collapsed="false">
      <c r="A1812" s="0" t="s">
        <v>2746</v>
      </c>
      <c r="B1812" s="0" t="s">
        <v>134</v>
      </c>
      <c r="C1812" s="0" t="s">
        <v>3447</v>
      </c>
      <c r="D1812" s="0" t="s">
        <v>3457</v>
      </c>
      <c r="E1812" s="20" t="s">
        <v>25</v>
      </c>
      <c r="F1812" s="23" t="s">
        <v>30</v>
      </c>
      <c r="G1812" s="21" t="s">
        <v>992</v>
      </c>
      <c r="H1812" s="21" t="s">
        <v>24</v>
      </c>
      <c r="I1812" s="21" t="s">
        <v>24</v>
      </c>
      <c r="J1812" s="21" t="s">
        <v>24</v>
      </c>
      <c r="K1812" s="21" t="s">
        <v>25</v>
      </c>
      <c r="L1812" s="21" t="s">
        <v>24</v>
      </c>
      <c r="M1812" s="0" t="n">
        <v>182</v>
      </c>
      <c r="N1812" s="0" t="n">
        <v>1</v>
      </c>
      <c r="O1812" s="21" t="s">
        <v>3476</v>
      </c>
      <c r="P1812" s="21" t="s">
        <v>4228</v>
      </c>
      <c r="Q1812" s="0" t="n">
        <v>0</v>
      </c>
      <c r="S1812" s="0" t="n">
        <v>1</v>
      </c>
      <c r="T1812" s="21" t="s">
        <v>3476</v>
      </c>
      <c r="U1812" s="22" t="b">
        <f aca="false">TRUE()</f>
        <v>1</v>
      </c>
      <c r="V1812" s="0" t="n">
        <v>0.74</v>
      </c>
      <c r="W1812" s="0" t="n">
        <v>0.16</v>
      </c>
      <c r="X1812" s="0" t="n">
        <v>6.92</v>
      </c>
      <c r="Y1812" s="0" t="n">
        <v>535.34</v>
      </c>
      <c r="Z1812" s="0" t="n">
        <v>9.75</v>
      </c>
      <c r="AA1812" s="0" t="n">
        <v>4.73</v>
      </c>
      <c r="AB1812" s="0" t="n">
        <v>11.95</v>
      </c>
      <c r="AC1812" s="22" t="b">
        <f aca="false">FALSE()</f>
        <v>0</v>
      </c>
      <c r="AD1812" s="0" t="n">
        <v>20.72</v>
      </c>
      <c r="AE1812" s="0" t="n">
        <v>0.55</v>
      </c>
      <c r="AF1812" s="0" t="n">
        <v>7.05</v>
      </c>
      <c r="AG1812" s="22" t="b">
        <f aca="false">TRUE()</f>
        <v>1</v>
      </c>
      <c r="AH1812" s="0" t="n">
        <v>1</v>
      </c>
    </row>
    <row r="1813" customFormat="false" ht="15" hidden="false" customHeight="false" outlineLevel="0" collapsed="false">
      <c r="A1813" s="0" t="s">
        <v>2746</v>
      </c>
      <c r="B1813" s="0" t="s">
        <v>134</v>
      </c>
      <c r="C1813" s="0" t="s">
        <v>3447</v>
      </c>
      <c r="D1813" s="0" t="s">
        <v>3448</v>
      </c>
      <c r="E1813" s="18" t="s">
        <v>24</v>
      </c>
      <c r="F1813" s="23" t="s">
        <v>30</v>
      </c>
      <c r="G1813" s="21" t="s">
        <v>30</v>
      </c>
      <c r="H1813" s="21" t="s">
        <v>24</v>
      </c>
      <c r="I1813" s="21" t="s">
        <v>24</v>
      </c>
      <c r="J1813" s="21" t="s">
        <v>24</v>
      </c>
      <c r="K1813" s="21" t="s">
        <v>24</v>
      </c>
      <c r="L1813" s="21" t="s">
        <v>24</v>
      </c>
      <c r="M1813" s="0" t="n">
        <v>186</v>
      </c>
      <c r="N1813" s="0" t="n">
        <v>1</v>
      </c>
      <c r="O1813" s="21" t="s">
        <v>3476</v>
      </c>
      <c r="P1813" s="21" t="s">
        <v>4228</v>
      </c>
      <c r="Q1813" s="0" t="n">
        <v>0</v>
      </c>
      <c r="S1813" s="0" t="n">
        <v>1</v>
      </c>
      <c r="T1813" s="21" t="s">
        <v>3476</v>
      </c>
      <c r="U1813" s="22" t="b">
        <f aca="false">TRUE()</f>
        <v>1</v>
      </c>
      <c r="V1813" s="0" t="n">
        <v>0.8</v>
      </c>
      <c r="W1813" s="0" t="n">
        <v>0.76</v>
      </c>
      <c r="X1813" s="0" t="n">
        <v>7.86</v>
      </c>
      <c r="Y1813" s="0" t="n">
        <v>324.48</v>
      </c>
      <c r="Z1813" s="0" t="n">
        <v>8.42</v>
      </c>
      <c r="AA1813" s="0" t="n">
        <v>-0.59</v>
      </c>
      <c r="AB1813" s="0" t="n">
        <v>2.7</v>
      </c>
      <c r="AC1813" s="22" t="b">
        <f aca="false">FALSE()</f>
        <v>0</v>
      </c>
      <c r="AD1813" s="0" t="n">
        <v>9.73</v>
      </c>
      <c r="AE1813" s="0" t="n">
        <v>1.06</v>
      </c>
      <c r="AF1813" s="0" t="n">
        <v>6.91</v>
      </c>
      <c r="AG1813" s="22" t="b">
        <f aca="false">FALSE()</f>
        <v>0</v>
      </c>
      <c r="AH1813" s="0" t="n">
        <v>1</v>
      </c>
    </row>
    <row r="1814" customFormat="false" ht="15" hidden="false" customHeight="false" outlineLevel="0" collapsed="false">
      <c r="A1814" s="0" t="s">
        <v>2746</v>
      </c>
      <c r="B1814" s="0" t="s">
        <v>3459</v>
      </c>
      <c r="C1814" s="0" t="s">
        <v>3450</v>
      </c>
      <c r="D1814" s="0" t="s">
        <v>3457</v>
      </c>
      <c r="E1814" s="20" t="s">
        <v>25</v>
      </c>
      <c r="F1814" s="23" t="s">
        <v>30</v>
      </c>
      <c r="G1814" s="21" t="s">
        <v>183</v>
      </c>
      <c r="H1814" s="21" t="s">
        <v>24</v>
      </c>
      <c r="I1814" s="21" t="s">
        <v>25</v>
      </c>
      <c r="J1814" s="21" t="s">
        <v>24</v>
      </c>
      <c r="K1814" s="21" t="s">
        <v>25</v>
      </c>
      <c r="L1814" s="21" t="s">
        <v>24</v>
      </c>
      <c r="M1814" s="0" t="n">
        <v>184</v>
      </c>
      <c r="N1814" s="0" t="n">
        <v>4</v>
      </c>
      <c r="O1814" s="21" t="s">
        <v>3734</v>
      </c>
      <c r="P1814" s="21" t="s">
        <v>4327</v>
      </c>
      <c r="Q1814" s="0" t="n">
        <v>1</v>
      </c>
      <c r="R1814" s="21" t="s">
        <v>69</v>
      </c>
      <c r="S1814" s="0" t="n">
        <v>4</v>
      </c>
      <c r="T1814" s="21" t="s">
        <v>3734</v>
      </c>
      <c r="U1814" s="22" t="b">
        <f aca="false">TRUE()</f>
        <v>1</v>
      </c>
      <c r="V1814" s="0" t="n">
        <v>0.71</v>
      </c>
      <c r="W1814" s="0" t="n">
        <v>0.52</v>
      </c>
      <c r="X1814" s="0" t="n">
        <v>7.54</v>
      </c>
      <c r="Y1814" s="0" t="n">
        <v>252.35</v>
      </c>
      <c r="Z1814" s="0" t="n">
        <v>9.25</v>
      </c>
      <c r="AA1814" s="0" t="n">
        <v>13.98</v>
      </c>
      <c r="AB1814" s="0" t="n">
        <v>7.83</v>
      </c>
      <c r="AC1814" s="22" t="b">
        <f aca="false">FALSE()</f>
        <v>0</v>
      </c>
      <c r="AD1814" s="0" t="n">
        <v>23.16</v>
      </c>
      <c r="AE1814" s="0" t="n">
        <v>11.48</v>
      </c>
      <c r="AF1814" s="0" t="n">
        <v>17.64</v>
      </c>
      <c r="AG1814" s="22" t="b">
        <f aca="false">TRUE()</f>
        <v>1</v>
      </c>
      <c r="AH1814" s="0" t="n">
        <v>1</v>
      </c>
    </row>
    <row r="1815" customFormat="false" ht="15" hidden="false" customHeight="false" outlineLevel="0" collapsed="false">
      <c r="A1815" s="0" t="s">
        <v>2746</v>
      </c>
      <c r="B1815" s="0" t="s">
        <v>3459</v>
      </c>
      <c r="C1815" s="0" t="s">
        <v>3450</v>
      </c>
      <c r="D1815" s="0" t="s">
        <v>3448</v>
      </c>
      <c r="E1815" s="20" t="s">
        <v>25</v>
      </c>
      <c r="F1815" s="23" t="s">
        <v>30</v>
      </c>
      <c r="G1815" s="21" t="s">
        <v>183</v>
      </c>
      <c r="H1815" s="21" t="s">
        <v>24</v>
      </c>
      <c r="I1815" s="21" t="s">
        <v>25</v>
      </c>
      <c r="J1815" s="21" t="s">
        <v>24</v>
      </c>
      <c r="K1815" s="21" t="s">
        <v>25</v>
      </c>
      <c r="L1815" s="21" t="s">
        <v>24</v>
      </c>
      <c r="M1815" s="0" t="n">
        <v>183</v>
      </c>
      <c r="N1815" s="0" t="n">
        <v>5</v>
      </c>
      <c r="O1815" s="21" t="s">
        <v>3816</v>
      </c>
      <c r="P1815" s="21" t="s">
        <v>4328</v>
      </c>
      <c r="Q1815" s="0" t="n">
        <v>1</v>
      </c>
      <c r="R1815" s="21" t="s">
        <v>69</v>
      </c>
      <c r="S1815" s="0" t="n">
        <v>5</v>
      </c>
      <c r="T1815" s="21" t="s">
        <v>3816</v>
      </c>
      <c r="U1815" s="22" t="b">
        <f aca="false">TRUE()</f>
        <v>1</v>
      </c>
      <c r="V1815" s="0" t="n">
        <v>0.74</v>
      </c>
      <c r="W1815" s="0" t="n">
        <v>0.24</v>
      </c>
      <c r="X1815" s="0" t="n">
        <v>7.79</v>
      </c>
      <c r="Y1815" s="0" t="n">
        <v>467.62</v>
      </c>
      <c r="Z1815" s="0" t="n">
        <v>9.83</v>
      </c>
      <c r="AA1815" s="0" t="n">
        <v>13.47</v>
      </c>
      <c r="AB1815" s="0" t="n">
        <v>5.5</v>
      </c>
      <c r="AC1815" s="22" t="b">
        <f aca="false">FALSE()</f>
        <v>0</v>
      </c>
      <c r="AD1815" s="0" t="n">
        <v>24.68</v>
      </c>
      <c r="AE1815" s="0" t="n">
        <v>15.13</v>
      </c>
      <c r="AF1815" s="0" t="n">
        <v>19.84</v>
      </c>
      <c r="AG1815" s="22" t="b">
        <f aca="false">TRUE()</f>
        <v>1</v>
      </c>
      <c r="AH1815" s="0" t="n">
        <v>1</v>
      </c>
    </row>
    <row r="1816" customFormat="false" ht="15" hidden="false" customHeight="false" outlineLevel="0" collapsed="false">
      <c r="A1816" s="0" t="s">
        <v>2746</v>
      </c>
      <c r="B1816" s="0" t="s">
        <v>3459</v>
      </c>
      <c r="C1816" s="0" t="s">
        <v>3447</v>
      </c>
      <c r="D1816" s="0" t="s">
        <v>3457</v>
      </c>
      <c r="E1816" s="20" t="s">
        <v>25</v>
      </c>
      <c r="F1816" s="23" t="s">
        <v>30</v>
      </c>
      <c r="G1816" s="21" t="s">
        <v>992</v>
      </c>
      <c r="H1816" s="21" t="s">
        <v>24</v>
      </c>
      <c r="I1816" s="21" t="s">
        <v>24</v>
      </c>
      <c r="J1816" s="21" t="s">
        <v>24</v>
      </c>
      <c r="K1816" s="21" t="s">
        <v>25</v>
      </c>
      <c r="L1816" s="21" t="s">
        <v>24</v>
      </c>
      <c r="M1816" s="0" t="n">
        <v>183</v>
      </c>
      <c r="N1816" s="0" t="n">
        <v>4</v>
      </c>
      <c r="O1816" s="21" t="s">
        <v>3593</v>
      </c>
      <c r="P1816" s="21" t="s">
        <v>4266</v>
      </c>
      <c r="Q1816" s="0" t="n">
        <v>0</v>
      </c>
      <c r="S1816" s="0" t="n">
        <v>4</v>
      </c>
      <c r="T1816" s="21" t="s">
        <v>3593</v>
      </c>
      <c r="U1816" s="22" t="b">
        <f aca="false">TRUE()</f>
        <v>1</v>
      </c>
      <c r="V1816" s="0" t="n">
        <v>0.87</v>
      </c>
      <c r="W1816" s="0" t="n">
        <v>0</v>
      </c>
      <c r="X1816" s="0" t="n">
        <v>8.8</v>
      </c>
      <c r="Y1816" s="0" t="n">
        <v>2.47</v>
      </c>
      <c r="Z1816" s="0" t="n">
        <v>9.92</v>
      </c>
      <c r="AA1816" s="0" t="n">
        <v>3.03</v>
      </c>
      <c r="AB1816" s="0" t="n">
        <v>7.83</v>
      </c>
      <c r="AC1816" s="22" t="b">
        <f aca="false">FALSE()</f>
        <v>0</v>
      </c>
      <c r="AD1816" s="0" t="n">
        <v>24.35</v>
      </c>
      <c r="AE1816" s="0" t="n">
        <v>11.98</v>
      </c>
      <c r="AF1816" s="0" t="n">
        <v>17.41</v>
      </c>
      <c r="AG1816" s="22" t="b">
        <f aca="false">TRUE()</f>
        <v>1</v>
      </c>
      <c r="AH1816" s="0" t="n">
        <v>0</v>
      </c>
    </row>
    <row r="1817" customFormat="false" ht="15" hidden="false" customHeight="false" outlineLevel="0" collapsed="false">
      <c r="A1817" s="0" t="s">
        <v>2746</v>
      </c>
      <c r="B1817" s="0" t="s">
        <v>3459</v>
      </c>
      <c r="C1817" s="0" t="s">
        <v>3447</v>
      </c>
      <c r="D1817" s="0" t="s">
        <v>3448</v>
      </c>
      <c r="E1817" s="20" t="s">
        <v>25</v>
      </c>
      <c r="F1817" s="23" t="s">
        <v>30</v>
      </c>
      <c r="G1817" s="21" t="s">
        <v>992</v>
      </c>
      <c r="H1817" s="21" t="s">
        <v>24</v>
      </c>
      <c r="I1817" s="21" t="s">
        <v>24</v>
      </c>
      <c r="J1817" s="21" t="s">
        <v>24</v>
      </c>
      <c r="K1817" s="21" t="s">
        <v>25</v>
      </c>
      <c r="L1817" s="21" t="s">
        <v>24</v>
      </c>
      <c r="M1817" s="0" t="n">
        <v>189</v>
      </c>
      <c r="N1817" s="0" t="n">
        <v>4</v>
      </c>
      <c r="O1817" s="21" t="s">
        <v>3593</v>
      </c>
      <c r="P1817" s="21" t="s">
        <v>4266</v>
      </c>
      <c r="Q1817" s="0" t="n">
        <v>0</v>
      </c>
      <c r="S1817" s="0" t="n">
        <v>4</v>
      </c>
      <c r="T1817" s="21" t="s">
        <v>3593</v>
      </c>
      <c r="U1817" s="22" t="b">
        <f aca="false">TRUE()</f>
        <v>1</v>
      </c>
      <c r="V1817" s="0" t="n">
        <v>0.88</v>
      </c>
      <c r="W1817" s="0" t="n">
        <v>0.96</v>
      </c>
      <c r="X1817" s="0" t="n">
        <v>10.39</v>
      </c>
      <c r="Y1817" s="0" t="n">
        <v>325.58</v>
      </c>
      <c r="Z1817" s="0" t="n">
        <v>11</v>
      </c>
      <c r="AA1817" s="0" t="n">
        <v>5.29</v>
      </c>
      <c r="AB1817" s="0" t="n">
        <v>5.5</v>
      </c>
      <c r="AC1817" s="22" t="b">
        <f aca="false">FALSE()</f>
        <v>0</v>
      </c>
      <c r="AD1817" s="0" t="n">
        <v>21.97</v>
      </c>
      <c r="AE1817" s="0" t="n">
        <v>9.53</v>
      </c>
      <c r="AF1817" s="0" t="n">
        <v>13.75</v>
      </c>
      <c r="AG1817" s="22" t="b">
        <f aca="false">TRUE()</f>
        <v>1</v>
      </c>
      <c r="AH1817" s="0" t="n">
        <v>1</v>
      </c>
    </row>
    <row r="1818" customFormat="false" ht="15" hidden="false" customHeight="false" outlineLevel="0" collapsed="false">
      <c r="A1818" s="0" t="s">
        <v>2752</v>
      </c>
      <c r="B1818" s="0" t="s">
        <v>134</v>
      </c>
      <c r="C1818" s="0" t="s">
        <v>3450</v>
      </c>
      <c r="D1818" s="0" t="s">
        <v>3457</v>
      </c>
      <c r="E1818" s="20" t="s">
        <v>25</v>
      </c>
      <c r="F1818" s="23" t="s">
        <v>30</v>
      </c>
      <c r="G1818" s="21" t="s">
        <v>283</v>
      </c>
      <c r="H1818" s="21" t="s">
        <v>24</v>
      </c>
      <c r="I1818" s="21" t="s">
        <v>25</v>
      </c>
      <c r="J1818" s="21" t="s">
        <v>24</v>
      </c>
      <c r="K1818" s="21" t="s">
        <v>24</v>
      </c>
      <c r="L1818" s="21" t="s">
        <v>24</v>
      </c>
      <c r="M1818" s="0" t="n">
        <v>184</v>
      </c>
      <c r="N1818" s="0" t="n">
        <v>1</v>
      </c>
      <c r="O1818" s="21" t="s">
        <v>69</v>
      </c>
      <c r="P1818" s="21" t="s">
        <v>4275</v>
      </c>
      <c r="Q1818" s="0" t="n">
        <v>1</v>
      </c>
      <c r="R1818" s="21" t="s">
        <v>69</v>
      </c>
      <c r="S1818" s="0" t="n">
        <v>1</v>
      </c>
      <c r="T1818" s="21" t="s">
        <v>69</v>
      </c>
      <c r="U1818" s="22" t="b">
        <f aca="false">TRUE()</f>
        <v>1</v>
      </c>
      <c r="V1818" s="0" t="n">
        <v>0.71</v>
      </c>
      <c r="W1818" s="0" t="n">
        <v>0.12</v>
      </c>
      <c r="X1818" s="0" t="n">
        <v>7.83</v>
      </c>
      <c r="Y1818" s="0" t="n">
        <v>628.81</v>
      </c>
      <c r="Z1818" s="0" t="n">
        <v>10.5</v>
      </c>
      <c r="AA1818" s="0" t="n">
        <v>14.48</v>
      </c>
      <c r="AB1818" s="0" t="n">
        <v>8.45</v>
      </c>
      <c r="AC1818" s="22" t="b">
        <f aca="false">FALSE()</f>
        <v>0</v>
      </c>
      <c r="AD1818" s="0" t="n">
        <v>11.59</v>
      </c>
      <c r="AE1818" s="0" t="n">
        <v>1.09</v>
      </c>
      <c r="AF1818" s="0" t="n">
        <v>0.79</v>
      </c>
      <c r="AG1818" s="22" t="b">
        <f aca="false">TRUE()</f>
        <v>1</v>
      </c>
      <c r="AH1818" s="0" t="n">
        <v>1</v>
      </c>
    </row>
    <row r="1819" customFormat="false" ht="15" hidden="false" customHeight="false" outlineLevel="0" collapsed="false">
      <c r="A1819" s="0" t="s">
        <v>2752</v>
      </c>
      <c r="B1819" s="0" t="s">
        <v>134</v>
      </c>
      <c r="C1819" s="0" t="s">
        <v>3450</v>
      </c>
      <c r="D1819" s="0" t="s">
        <v>3448</v>
      </c>
      <c r="E1819" s="18" t="s">
        <v>24</v>
      </c>
      <c r="F1819" s="18" t="s">
        <v>28</v>
      </c>
      <c r="H1819" s="21" t="s">
        <v>24</v>
      </c>
      <c r="I1819" s="21" t="s">
        <v>24</v>
      </c>
      <c r="J1819" s="21" t="s">
        <v>24</v>
      </c>
      <c r="K1819" s="21" t="s">
        <v>24</v>
      </c>
      <c r="L1819" s="21" t="s">
        <v>24</v>
      </c>
      <c r="M1819" s="0" t="n">
        <v>187</v>
      </c>
      <c r="N1819" s="0" t="n">
        <v>0</v>
      </c>
      <c r="Q1819" s="0" t="n">
        <v>0</v>
      </c>
      <c r="S1819" s="0" t="n">
        <v>0</v>
      </c>
      <c r="U1819" s="22" t="b">
        <f aca="false">FALSE()</f>
        <v>0</v>
      </c>
      <c r="V1819" s="0" t="n">
        <v>0.68</v>
      </c>
      <c r="W1819" s="0" t="n">
        <v>0.96</v>
      </c>
      <c r="X1819" s="0" t="n">
        <v>6.78</v>
      </c>
      <c r="Y1819" s="0" t="n">
        <v>323.77</v>
      </c>
      <c r="Z1819" s="0" t="n">
        <v>10</v>
      </c>
      <c r="AA1819" s="0" t="n">
        <v>10.97</v>
      </c>
      <c r="AB1819" s="0" t="n">
        <v>5.54</v>
      </c>
      <c r="AC1819" s="22" t="b">
        <f aca="false">FALSE()</f>
        <v>0</v>
      </c>
      <c r="AD1819" s="0" t="n">
        <v>18.69</v>
      </c>
      <c r="AE1819" s="0" t="n">
        <v>1.69</v>
      </c>
      <c r="AF1819" s="0" t="n">
        <v>8.6</v>
      </c>
      <c r="AG1819" s="22" t="b">
        <f aca="false">TRUE()</f>
        <v>1</v>
      </c>
      <c r="AH1819" s="0" t="n">
        <v>1</v>
      </c>
    </row>
    <row r="1820" customFormat="false" ht="15" hidden="false" customHeight="false" outlineLevel="0" collapsed="false">
      <c r="A1820" s="0" t="s">
        <v>2752</v>
      </c>
      <c r="B1820" s="0" t="s">
        <v>134</v>
      </c>
      <c r="C1820" s="0" t="s">
        <v>3447</v>
      </c>
      <c r="D1820" s="0" t="s">
        <v>3457</v>
      </c>
      <c r="E1820" s="18" t="s">
        <v>24</v>
      </c>
      <c r="F1820" s="23" t="s">
        <v>30</v>
      </c>
      <c r="G1820" s="21" t="s">
        <v>30</v>
      </c>
      <c r="H1820" s="21" t="s">
        <v>24</v>
      </c>
      <c r="I1820" s="21" t="s">
        <v>24</v>
      </c>
      <c r="J1820" s="21" t="s">
        <v>24</v>
      </c>
      <c r="K1820" s="21" t="s">
        <v>24</v>
      </c>
      <c r="L1820" s="21" t="s">
        <v>24</v>
      </c>
      <c r="M1820" s="0" t="n">
        <v>186</v>
      </c>
      <c r="N1820" s="0" t="n">
        <v>3</v>
      </c>
      <c r="O1820" s="21" t="s">
        <v>3561</v>
      </c>
      <c r="P1820" s="21" t="s">
        <v>4304</v>
      </c>
      <c r="Q1820" s="0" t="n">
        <v>0</v>
      </c>
      <c r="S1820" s="0" t="n">
        <v>3</v>
      </c>
      <c r="T1820" s="21" t="s">
        <v>3561</v>
      </c>
      <c r="U1820" s="22" t="b">
        <f aca="false">TRUE()</f>
        <v>1</v>
      </c>
      <c r="V1820" s="0" t="n">
        <v>0.76</v>
      </c>
      <c r="W1820" s="0" t="n">
        <v>0.12</v>
      </c>
      <c r="X1820" s="0" t="n">
        <v>9.27</v>
      </c>
      <c r="Y1820" s="0" t="n">
        <v>633.23</v>
      </c>
      <c r="Z1820" s="0" t="n">
        <v>9.08</v>
      </c>
      <c r="AA1820" s="0" t="n">
        <v>-1.1</v>
      </c>
      <c r="AB1820" s="0" t="n">
        <v>8.45</v>
      </c>
      <c r="AC1820" s="22" t="b">
        <f aca="false">FALSE()</f>
        <v>0</v>
      </c>
      <c r="AD1820" s="0" t="n">
        <v>9.84</v>
      </c>
      <c r="AE1820" s="0" t="n">
        <v>0.95</v>
      </c>
      <c r="AF1820" s="0" t="n">
        <v>0.91</v>
      </c>
      <c r="AG1820" s="22" t="b">
        <f aca="false">FALSE()</f>
        <v>0</v>
      </c>
      <c r="AH1820" s="0" t="n">
        <v>1</v>
      </c>
    </row>
    <row r="1821" customFormat="false" ht="15" hidden="false" customHeight="false" outlineLevel="0" collapsed="false">
      <c r="A1821" s="0" t="s">
        <v>2752</v>
      </c>
      <c r="B1821" s="0" t="s">
        <v>134</v>
      </c>
      <c r="C1821" s="0" t="s">
        <v>3447</v>
      </c>
      <c r="D1821" s="0" t="s">
        <v>3448</v>
      </c>
      <c r="E1821" s="18" t="s">
        <v>24</v>
      </c>
      <c r="F1821" s="23" t="s">
        <v>30</v>
      </c>
      <c r="G1821" s="21" t="s">
        <v>30</v>
      </c>
      <c r="H1821" s="21" t="s">
        <v>24</v>
      </c>
      <c r="I1821" s="21" t="s">
        <v>24</v>
      </c>
      <c r="J1821" s="21" t="s">
        <v>24</v>
      </c>
      <c r="K1821" s="21" t="s">
        <v>24</v>
      </c>
      <c r="L1821" s="21" t="s">
        <v>24</v>
      </c>
      <c r="M1821" s="0" t="n">
        <v>185</v>
      </c>
      <c r="N1821" s="0" t="n">
        <v>3</v>
      </c>
      <c r="O1821" s="21" t="s">
        <v>3561</v>
      </c>
      <c r="P1821" s="21" t="s">
        <v>4304</v>
      </c>
      <c r="Q1821" s="0" t="n">
        <v>0</v>
      </c>
      <c r="S1821" s="0" t="n">
        <v>3</v>
      </c>
      <c r="T1821" s="21" t="s">
        <v>3561</v>
      </c>
      <c r="U1821" s="22" t="b">
        <f aca="false">TRUE()</f>
        <v>1</v>
      </c>
      <c r="V1821" s="0" t="n">
        <v>0.81</v>
      </c>
      <c r="W1821" s="0" t="n">
        <v>0.92</v>
      </c>
      <c r="X1821" s="0" t="n">
        <v>10.44</v>
      </c>
      <c r="Y1821" s="0" t="n">
        <v>319.93</v>
      </c>
      <c r="Z1821" s="0" t="n">
        <v>9.5</v>
      </c>
      <c r="AA1821" s="0" t="n">
        <v>-1.02</v>
      </c>
      <c r="AB1821" s="0" t="n">
        <v>5.54</v>
      </c>
      <c r="AC1821" s="22" t="b">
        <f aca="false">FALSE()</f>
        <v>0</v>
      </c>
      <c r="AD1821" s="0" t="n">
        <v>15.23</v>
      </c>
      <c r="AE1821" s="0" t="n">
        <v>1.13</v>
      </c>
      <c r="AF1821" s="0" t="n">
        <v>5.56</v>
      </c>
      <c r="AG1821" s="22" t="b">
        <f aca="false">TRUE()</f>
        <v>1</v>
      </c>
      <c r="AH1821" s="0" t="n">
        <v>1</v>
      </c>
    </row>
    <row r="1822" customFormat="false" ht="15" hidden="false" customHeight="false" outlineLevel="0" collapsed="false">
      <c r="A1822" s="0" t="s">
        <v>2752</v>
      </c>
      <c r="B1822" s="0" t="s">
        <v>3459</v>
      </c>
      <c r="C1822" s="0" t="s">
        <v>3450</v>
      </c>
      <c r="D1822" s="0" t="s">
        <v>3457</v>
      </c>
      <c r="E1822" s="20" t="s">
        <v>25</v>
      </c>
      <c r="F1822" s="20" t="s">
        <v>29</v>
      </c>
      <c r="G1822" s="21" t="s">
        <v>3471</v>
      </c>
      <c r="H1822" s="21" t="s">
        <v>24</v>
      </c>
      <c r="I1822" s="21" t="s">
        <v>24</v>
      </c>
      <c r="J1822" s="21" t="s">
        <v>24</v>
      </c>
      <c r="K1822" s="21" t="s">
        <v>25</v>
      </c>
      <c r="L1822" s="21" t="s">
        <v>24</v>
      </c>
      <c r="M1822" s="0" t="n">
        <v>190</v>
      </c>
      <c r="N1822" s="0" t="n">
        <v>0</v>
      </c>
      <c r="Q1822" s="0" t="n">
        <v>0</v>
      </c>
      <c r="S1822" s="0" t="n">
        <v>0</v>
      </c>
      <c r="U1822" s="22" t="b">
        <f aca="false">FALSE()</f>
        <v>0</v>
      </c>
      <c r="V1822" s="0" t="n">
        <v>0.69</v>
      </c>
      <c r="W1822" s="0" t="n">
        <v>0</v>
      </c>
      <c r="X1822" s="0" t="n">
        <v>8.1</v>
      </c>
      <c r="Y1822" s="0" t="n">
        <v>0.37</v>
      </c>
      <c r="Z1822" s="0" t="n">
        <v>9</v>
      </c>
      <c r="AA1822" s="0" t="n">
        <v>9.54</v>
      </c>
      <c r="AB1822" s="0" t="n">
        <v>0.51</v>
      </c>
      <c r="AC1822" s="22" t="b">
        <f aca="false">FALSE()</f>
        <v>0</v>
      </c>
      <c r="AD1822" s="0" t="n">
        <v>20.17</v>
      </c>
      <c r="AE1822" s="0" t="n">
        <v>8.94</v>
      </c>
      <c r="AF1822" s="0" t="n">
        <v>15.67</v>
      </c>
      <c r="AG1822" s="22" t="b">
        <f aca="false">TRUE()</f>
        <v>1</v>
      </c>
      <c r="AH1822" s="0" t="n">
        <v>0</v>
      </c>
    </row>
    <row r="1823" customFormat="false" ht="15" hidden="false" customHeight="false" outlineLevel="0" collapsed="false">
      <c r="A1823" s="0" t="s">
        <v>2752</v>
      </c>
      <c r="B1823" s="0" t="s">
        <v>3459</v>
      </c>
      <c r="C1823" s="0" t="s">
        <v>3450</v>
      </c>
      <c r="D1823" s="0" t="s">
        <v>3448</v>
      </c>
      <c r="E1823" s="20" t="s">
        <v>25</v>
      </c>
      <c r="F1823" s="23" t="s">
        <v>30</v>
      </c>
      <c r="G1823" s="21" t="s">
        <v>183</v>
      </c>
      <c r="H1823" s="21" t="s">
        <v>24</v>
      </c>
      <c r="I1823" s="21" t="s">
        <v>25</v>
      </c>
      <c r="J1823" s="21" t="s">
        <v>24</v>
      </c>
      <c r="K1823" s="21" t="s">
        <v>25</v>
      </c>
      <c r="L1823" s="21" t="s">
        <v>24</v>
      </c>
      <c r="M1823" s="0" t="n">
        <v>183</v>
      </c>
      <c r="N1823" s="0" t="n">
        <v>1</v>
      </c>
      <c r="O1823" s="21" t="s">
        <v>70</v>
      </c>
      <c r="P1823" s="21" t="s">
        <v>4378</v>
      </c>
      <c r="Q1823" s="0" t="n">
        <v>1</v>
      </c>
      <c r="R1823" s="21" t="s">
        <v>70</v>
      </c>
      <c r="S1823" s="0" t="n">
        <v>1</v>
      </c>
      <c r="T1823" s="21" t="s">
        <v>70</v>
      </c>
      <c r="U1823" s="22" t="b">
        <f aca="false">TRUE()</f>
        <v>1</v>
      </c>
      <c r="V1823" s="0" t="n">
        <v>0.67</v>
      </c>
      <c r="W1823" s="0" t="n">
        <v>0.2</v>
      </c>
      <c r="X1823" s="0" t="n">
        <v>10.49</v>
      </c>
      <c r="Y1823" s="0" t="n">
        <v>504.24</v>
      </c>
      <c r="Z1823" s="0" t="n">
        <v>8.58</v>
      </c>
      <c r="AA1823" s="0" t="n">
        <v>8.93</v>
      </c>
      <c r="AB1823" s="0" t="n">
        <v>3.19</v>
      </c>
      <c r="AC1823" s="22" t="b">
        <f aca="false">FALSE()</f>
        <v>0</v>
      </c>
      <c r="AD1823" s="0" t="n">
        <v>24.85</v>
      </c>
      <c r="AE1823" s="0" t="n">
        <v>12.11</v>
      </c>
      <c r="AF1823" s="0" t="n">
        <v>23.83</v>
      </c>
      <c r="AG1823" s="22" t="b">
        <f aca="false">TRUE()</f>
        <v>1</v>
      </c>
      <c r="AH1823" s="0" t="n">
        <v>1</v>
      </c>
    </row>
    <row r="1824" customFormat="false" ht="15" hidden="false" customHeight="false" outlineLevel="0" collapsed="false">
      <c r="A1824" s="0" t="s">
        <v>2752</v>
      </c>
      <c r="B1824" s="0" t="s">
        <v>3459</v>
      </c>
      <c r="C1824" s="0" t="s">
        <v>3447</v>
      </c>
      <c r="D1824" s="0" t="s">
        <v>3457</v>
      </c>
      <c r="E1824" s="20" t="s">
        <v>25</v>
      </c>
      <c r="F1824" s="23" t="s">
        <v>30</v>
      </c>
      <c r="G1824" s="21" t="s">
        <v>2610</v>
      </c>
      <c r="H1824" s="21" t="s">
        <v>24</v>
      </c>
      <c r="I1824" s="21" t="s">
        <v>24</v>
      </c>
      <c r="J1824" s="21" t="s">
        <v>24</v>
      </c>
      <c r="K1824" s="21" t="s">
        <v>25</v>
      </c>
      <c r="L1824" s="21" t="s">
        <v>24</v>
      </c>
      <c r="M1824" s="0" t="n">
        <v>184</v>
      </c>
      <c r="N1824" s="0" t="n">
        <v>2</v>
      </c>
      <c r="O1824" s="21" t="s">
        <v>3505</v>
      </c>
      <c r="P1824" s="21" t="s">
        <v>4426</v>
      </c>
      <c r="Q1824" s="0" t="n">
        <v>0</v>
      </c>
      <c r="S1824" s="0" t="n">
        <v>2</v>
      </c>
      <c r="T1824" s="21" t="s">
        <v>3505</v>
      </c>
      <c r="U1824" s="22" t="b">
        <f aca="false">TRUE()</f>
        <v>1</v>
      </c>
      <c r="V1824" s="0" t="n">
        <v>0.79</v>
      </c>
      <c r="W1824" s="0" t="n">
        <v>0.56</v>
      </c>
      <c r="X1824" s="0" t="n">
        <v>8.73</v>
      </c>
      <c r="Y1824" s="0" t="n">
        <v>325.53</v>
      </c>
      <c r="Z1824" s="0" t="n">
        <v>8.08</v>
      </c>
      <c r="AA1824" s="0" t="n">
        <v>-0.97</v>
      </c>
      <c r="AB1824" s="0" t="n">
        <v>0.51</v>
      </c>
      <c r="AC1824" s="22" t="b">
        <f aca="false">FALSE()</f>
        <v>0</v>
      </c>
      <c r="AD1824" s="0" t="n">
        <v>13.88</v>
      </c>
      <c r="AE1824" s="0" t="n">
        <v>5.57</v>
      </c>
      <c r="AF1824" s="0" t="n">
        <v>12.44</v>
      </c>
      <c r="AG1824" s="22" t="b">
        <f aca="false">TRUE()</f>
        <v>1</v>
      </c>
      <c r="AH1824" s="0" t="n">
        <v>1</v>
      </c>
    </row>
    <row r="1825" customFormat="false" ht="15" hidden="false" customHeight="false" outlineLevel="0" collapsed="false">
      <c r="A1825" s="0" t="s">
        <v>2752</v>
      </c>
      <c r="B1825" s="0" t="s">
        <v>3459</v>
      </c>
      <c r="C1825" s="0" t="s">
        <v>3447</v>
      </c>
      <c r="D1825" s="0" t="s">
        <v>3448</v>
      </c>
      <c r="E1825" s="20" t="s">
        <v>25</v>
      </c>
      <c r="F1825" s="23" t="s">
        <v>30</v>
      </c>
      <c r="G1825" s="21" t="s">
        <v>992</v>
      </c>
      <c r="H1825" s="21" t="s">
        <v>24</v>
      </c>
      <c r="I1825" s="21" t="s">
        <v>24</v>
      </c>
      <c r="J1825" s="21" t="s">
        <v>24</v>
      </c>
      <c r="K1825" s="21" t="s">
        <v>25</v>
      </c>
      <c r="L1825" s="21" t="s">
        <v>24</v>
      </c>
      <c r="M1825" s="0" t="n">
        <v>183</v>
      </c>
      <c r="N1825" s="0" t="n">
        <v>3</v>
      </c>
      <c r="O1825" s="21" t="s">
        <v>3541</v>
      </c>
      <c r="P1825" s="21" t="s">
        <v>4368</v>
      </c>
      <c r="Q1825" s="0" t="n">
        <v>0</v>
      </c>
      <c r="S1825" s="0" t="n">
        <v>3</v>
      </c>
      <c r="T1825" s="21" t="s">
        <v>3541</v>
      </c>
      <c r="U1825" s="22" t="b">
        <f aca="false">TRUE()</f>
        <v>1</v>
      </c>
      <c r="V1825" s="0" t="n">
        <v>0.81</v>
      </c>
      <c r="W1825" s="0" t="n">
        <v>0</v>
      </c>
      <c r="X1825" s="0" t="n">
        <v>9.57</v>
      </c>
      <c r="Y1825" s="0" t="n">
        <v>3.83</v>
      </c>
      <c r="Z1825" s="0" t="n">
        <v>9.33</v>
      </c>
      <c r="AA1825" s="0" t="n">
        <v>1</v>
      </c>
      <c r="AB1825" s="0" t="n">
        <v>3.19</v>
      </c>
      <c r="AC1825" s="22" t="b">
        <f aca="false">FALSE()</f>
        <v>0</v>
      </c>
      <c r="AD1825" s="0" t="n">
        <v>24.76</v>
      </c>
      <c r="AE1825" s="0" t="n">
        <v>10.87</v>
      </c>
      <c r="AF1825" s="0" t="n">
        <v>21.41</v>
      </c>
      <c r="AG1825" s="22" t="b">
        <f aca="false">TRUE()</f>
        <v>1</v>
      </c>
      <c r="AH1825" s="0" t="n">
        <v>0</v>
      </c>
    </row>
    <row r="1826" customFormat="false" ht="15" hidden="false" customHeight="false" outlineLevel="0" collapsed="false">
      <c r="A1826" s="0" t="s">
        <v>2761</v>
      </c>
      <c r="B1826" s="0" t="s">
        <v>134</v>
      </c>
      <c r="C1826" s="0" t="s">
        <v>3450</v>
      </c>
      <c r="D1826" s="0" t="s">
        <v>3457</v>
      </c>
      <c r="E1826" s="20" t="s">
        <v>25</v>
      </c>
      <c r="F1826" s="23" t="s">
        <v>30</v>
      </c>
      <c r="G1826" s="21" t="s">
        <v>283</v>
      </c>
      <c r="H1826" s="21" t="s">
        <v>24</v>
      </c>
      <c r="I1826" s="21" t="s">
        <v>25</v>
      </c>
      <c r="J1826" s="21" t="s">
        <v>24</v>
      </c>
      <c r="K1826" s="21" t="s">
        <v>24</v>
      </c>
      <c r="L1826" s="21" t="s">
        <v>24</v>
      </c>
      <c r="M1826" s="0" t="n">
        <v>183</v>
      </c>
      <c r="N1826" s="0" t="n">
        <v>1</v>
      </c>
      <c r="O1826" s="21" t="s">
        <v>70</v>
      </c>
      <c r="P1826" s="21" t="s">
        <v>4378</v>
      </c>
      <c r="Q1826" s="0" t="n">
        <v>1</v>
      </c>
      <c r="R1826" s="21" t="s">
        <v>70</v>
      </c>
      <c r="S1826" s="0" t="n">
        <v>1</v>
      </c>
      <c r="T1826" s="21" t="s">
        <v>70</v>
      </c>
      <c r="U1826" s="22" t="b">
        <f aca="false">TRUE()</f>
        <v>1</v>
      </c>
      <c r="V1826" s="0" t="n">
        <v>0.64</v>
      </c>
      <c r="W1826" s="0" t="n">
        <v>0</v>
      </c>
      <c r="X1826" s="0" t="n">
        <v>7.16</v>
      </c>
      <c r="Y1826" s="0" t="n">
        <v>642.68</v>
      </c>
      <c r="Z1826" s="0" t="n">
        <v>10.25</v>
      </c>
      <c r="AA1826" s="0" t="n">
        <v>14.74</v>
      </c>
      <c r="AB1826" s="0" t="n">
        <v>17.12</v>
      </c>
      <c r="AC1826" s="22" t="b">
        <f aca="false">FALSE()</f>
        <v>0</v>
      </c>
      <c r="AD1826" s="0" t="n">
        <v>17.62</v>
      </c>
      <c r="AE1826" s="0" t="n">
        <v>0.89</v>
      </c>
      <c r="AF1826" s="0" t="n">
        <v>5.21</v>
      </c>
      <c r="AG1826" s="22" t="b">
        <f aca="false">TRUE()</f>
        <v>1</v>
      </c>
      <c r="AH1826" s="0" t="n">
        <v>1</v>
      </c>
    </row>
    <row r="1827" customFormat="false" ht="15" hidden="false" customHeight="false" outlineLevel="0" collapsed="false">
      <c r="A1827" s="0" t="s">
        <v>2761</v>
      </c>
      <c r="B1827" s="0" t="s">
        <v>134</v>
      </c>
      <c r="C1827" s="0" t="s">
        <v>3450</v>
      </c>
      <c r="D1827" s="0" t="s">
        <v>3448</v>
      </c>
      <c r="E1827" s="20" t="s">
        <v>25</v>
      </c>
      <c r="F1827" s="23" t="s">
        <v>30</v>
      </c>
      <c r="G1827" s="21" t="s">
        <v>183</v>
      </c>
      <c r="H1827" s="21" t="s">
        <v>24</v>
      </c>
      <c r="I1827" s="21" t="s">
        <v>25</v>
      </c>
      <c r="J1827" s="21" t="s">
        <v>24</v>
      </c>
      <c r="K1827" s="21" t="s">
        <v>25</v>
      </c>
      <c r="L1827" s="21" t="s">
        <v>24</v>
      </c>
      <c r="M1827" s="0" t="n">
        <v>190</v>
      </c>
      <c r="N1827" s="0" t="n">
        <v>1</v>
      </c>
      <c r="O1827" s="21" t="s">
        <v>70</v>
      </c>
      <c r="P1827" s="21" t="s">
        <v>4378</v>
      </c>
      <c r="Q1827" s="0" t="n">
        <v>1</v>
      </c>
      <c r="R1827" s="21" t="s">
        <v>70</v>
      </c>
      <c r="S1827" s="0" t="n">
        <v>1</v>
      </c>
      <c r="T1827" s="21" t="s">
        <v>70</v>
      </c>
      <c r="U1827" s="22" t="b">
        <f aca="false">TRUE()</f>
        <v>1</v>
      </c>
      <c r="V1827" s="0" t="n">
        <v>0.67</v>
      </c>
      <c r="W1827" s="0" t="n">
        <v>0.44</v>
      </c>
      <c r="X1827" s="0" t="n">
        <v>6.9</v>
      </c>
      <c r="Y1827" s="0" t="n">
        <v>339.61</v>
      </c>
      <c r="Z1827" s="0" t="n">
        <v>10.5</v>
      </c>
      <c r="AA1827" s="0" t="n">
        <v>13.46</v>
      </c>
      <c r="AB1827" s="0" t="n">
        <v>19.4</v>
      </c>
      <c r="AC1827" s="22" t="b">
        <f aca="false">FALSE()</f>
        <v>0</v>
      </c>
      <c r="AD1827" s="0" t="n">
        <v>21.73</v>
      </c>
      <c r="AE1827" s="0" t="n">
        <v>1.78</v>
      </c>
      <c r="AF1827" s="0" t="n">
        <v>12.25</v>
      </c>
      <c r="AG1827" s="22" t="b">
        <f aca="false">TRUE()</f>
        <v>1</v>
      </c>
      <c r="AH1827" s="0" t="n">
        <v>1</v>
      </c>
    </row>
    <row r="1828" customFormat="false" ht="15" hidden="false" customHeight="false" outlineLevel="0" collapsed="false">
      <c r="A1828" s="0" t="s">
        <v>2761</v>
      </c>
      <c r="B1828" s="0" t="s">
        <v>134</v>
      </c>
      <c r="C1828" s="0" t="s">
        <v>3447</v>
      </c>
      <c r="D1828" s="0" t="s">
        <v>3457</v>
      </c>
      <c r="E1828" s="18" t="s">
        <v>24</v>
      </c>
      <c r="F1828" s="18" t="s">
        <v>28</v>
      </c>
      <c r="H1828" s="21" t="s">
        <v>24</v>
      </c>
      <c r="I1828" s="21" t="s">
        <v>24</v>
      </c>
      <c r="J1828" s="21" t="s">
        <v>24</v>
      </c>
      <c r="K1828" s="21" t="s">
        <v>24</v>
      </c>
      <c r="L1828" s="21" t="s">
        <v>24</v>
      </c>
      <c r="M1828" s="0" t="n">
        <v>187</v>
      </c>
      <c r="N1828" s="0" t="n">
        <v>0</v>
      </c>
      <c r="Q1828" s="0" t="n">
        <v>0</v>
      </c>
      <c r="S1828" s="0" t="n">
        <v>0</v>
      </c>
      <c r="U1828" s="22" t="b">
        <f aca="false">FALSE()</f>
        <v>0</v>
      </c>
      <c r="V1828" s="0" t="n">
        <v>0.76</v>
      </c>
      <c r="W1828" s="0" t="n">
        <v>0.28</v>
      </c>
      <c r="X1828" s="0" t="n">
        <v>5.74</v>
      </c>
      <c r="Y1828" s="0" t="n">
        <v>419.58</v>
      </c>
      <c r="Z1828" s="0" t="n">
        <v>11.58</v>
      </c>
      <c r="AA1828" s="0" t="n">
        <v>0.28</v>
      </c>
      <c r="AB1828" s="0" t="n">
        <v>17.12</v>
      </c>
      <c r="AC1828" s="22" t="b">
        <f aca="false">FALSE()</f>
        <v>0</v>
      </c>
      <c r="AD1828" s="0" t="n">
        <v>17.98</v>
      </c>
      <c r="AE1828" s="0" t="n">
        <v>0.33</v>
      </c>
      <c r="AF1828" s="0" t="n">
        <v>6.05</v>
      </c>
      <c r="AG1828" s="22" t="b">
        <f aca="false">TRUE()</f>
        <v>1</v>
      </c>
      <c r="AH1828" s="0" t="n">
        <v>1</v>
      </c>
    </row>
    <row r="1829" customFormat="false" ht="15" hidden="false" customHeight="false" outlineLevel="0" collapsed="false">
      <c r="A1829" s="0" t="s">
        <v>2761</v>
      </c>
      <c r="B1829" s="0" t="s">
        <v>134</v>
      </c>
      <c r="C1829" s="0" t="s">
        <v>3447</v>
      </c>
      <c r="D1829" s="0" t="s">
        <v>3448</v>
      </c>
      <c r="E1829" s="20" t="s">
        <v>25</v>
      </c>
      <c r="F1829" s="23" t="s">
        <v>30</v>
      </c>
      <c r="G1829" s="21" t="s">
        <v>992</v>
      </c>
      <c r="H1829" s="21" t="s">
        <v>24</v>
      </c>
      <c r="I1829" s="21" t="s">
        <v>24</v>
      </c>
      <c r="J1829" s="21" t="s">
        <v>24</v>
      </c>
      <c r="K1829" s="21" t="s">
        <v>25</v>
      </c>
      <c r="L1829" s="21" t="s">
        <v>24</v>
      </c>
      <c r="M1829" s="0" t="n">
        <v>187</v>
      </c>
      <c r="N1829" s="0" t="n">
        <v>1</v>
      </c>
      <c r="O1829" s="21" t="s">
        <v>3481</v>
      </c>
      <c r="P1829" s="21" t="s">
        <v>4251</v>
      </c>
      <c r="Q1829" s="0" t="n">
        <v>0</v>
      </c>
      <c r="S1829" s="0" t="n">
        <v>1</v>
      </c>
      <c r="T1829" s="21" t="s">
        <v>3481</v>
      </c>
      <c r="U1829" s="22" t="b">
        <f aca="false">TRUE()</f>
        <v>1</v>
      </c>
      <c r="V1829" s="0" t="n">
        <v>0.85</v>
      </c>
      <c r="W1829" s="0" t="n">
        <v>0.68</v>
      </c>
      <c r="X1829" s="0" t="n">
        <v>6.57</v>
      </c>
      <c r="Y1829" s="0" t="n">
        <v>314.17</v>
      </c>
      <c r="Z1829" s="0" t="n">
        <v>8</v>
      </c>
      <c r="AA1829" s="0" t="n">
        <v>-0.69</v>
      </c>
      <c r="AB1829" s="0" t="n">
        <v>19.4</v>
      </c>
      <c r="AC1829" s="22" t="b">
        <f aca="false">FALSE()</f>
        <v>0</v>
      </c>
      <c r="AD1829" s="0" t="n">
        <v>22.18</v>
      </c>
      <c r="AE1829" s="0" t="n">
        <v>0.74</v>
      </c>
      <c r="AF1829" s="0" t="n">
        <v>12.03</v>
      </c>
      <c r="AG1829" s="22" t="b">
        <f aca="false">TRUE()</f>
        <v>1</v>
      </c>
      <c r="AH1829" s="0" t="n">
        <v>1</v>
      </c>
    </row>
    <row r="1830" customFormat="false" ht="15" hidden="false" customHeight="false" outlineLevel="0" collapsed="false">
      <c r="A1830" s="0" t="s">
        <v>2761</v>
      </c>
      <c r="B1830" s="0" t="s">
        <v>3459</v>
      </c>
      <c r="C1830" s="0" t="s">
        <v>3450</v>
      </c>
      <c r="D1830" s="0" t="s">
        <v>3457</v>
      </c>
      <c r="E1830" s="20" t="s">
        <v>25</v>
      </c>
      <c r="F1830" s="20" t="s">
        <v>29</v>
      </c>
      <c r="G1830" s="21" t="s">
        <v>61</v>
      </c>
      <c r="H1830" s="21" t="s">
        <v>24</v>
      </c>
      <c r="I1830" s="21" t="s">
        <v>24</v>
      </c>
      <c r="J1830" s="21" t="s">
        <v>24</v>
      </c>
      <c r="K1830" s="21" t="s">
        <v>25</v>
      </c>
      <c r="L1830" s="21" t="s">
        <v>24</v>
      </c>
      <c r="M1830" s="0" t="n">
        <v>183</v>
      </c>
      <c r="N1830" s="0" t="n">
        <v>0</v>
      </c>
      <c r="Q1830" s="0" t="n">
        <v>0</v>
      </c>
      <c r="S1830" s="0" t="n">
        <v>0</v>
      </c>
      <c r="U1830" s="22" t="b">
        <f aca="false">FALSE()</f>
        <v>0</v>
      </c>
      <c r="V1830" s="0" t="n">
        <v>0.73</v>
      </c>
      <c r="W1830" s="0" t="n">
        <v>0.72</v>
      </c>
      <c r="X1830" s="0" t="n">
        <v>7.61</v>
      </c>
      <c r="Y1830" s="0" t="n">
        <v>311.86</v>
      </c>
      <c r="Z1830" s="0" t="n">
        <v>10.75</v>
      </c>
      <c r="AA1830" s="0" t="n">
        <v>14.23</v>
      </c>
      <c r="AB1830" s="0" t="n">
        <v>3.79</v>
      </c>
      <c r="AC1830" s="22" t="b">
        <f aca="false">FALSE()</f>
        <v>0</v>
      </c>
      <c r="AD1830" s="0" t="n">
        <v>25.79</v>
      </c>
      <c r="AE1830" s="0" t="n">
        <v>12.93</v>
      </c>
      <c r="AF1830" s="0" t="n">
        <v>22.23</v>
      </c>
      <c r="AG1830" s="22" t="b">
        <f aca="false">TRUE()</f>
        <v>1</v>
      </c>
      <c r="AH1830" s="0" t="n">
        <v>1</v>
      </c>
    </row>
    <row r="1831" customFormat="false" ht="15" hidden="false" customHeight="false" outlineLevel="0" collapsed="false">
      <c r="A1831" s="0" t="s">
        <v>2761</v>
      </c>
      <c r="B1831" s="0" t="s">
        <v>3459</v>
      </c>
      <c r="C1831" s="0" t="s">
        <v>3450</v>
      </c>
      <c r="D1831" s="0" t="s">
        <v>3448</v>
      </c>
      <c r="E1831" s="20" t="s">
        <v>25</v>
      </c>
      <c r="F1831" s="20" t="s">
        <v>29</v>
      </c>
      <c r="G1831" s="21" t="s">
        <v>61</v>
      </c>
      <c r="H1831" s="21" t="s">
        <v>24</v>
      </c>
      <c r="I1831" s="21" t="s">
        <v>24</v>
      </c>
      <c r="J1831" s="21" t="s">
        <v>24</v>
      </c>
      <c r="K1831" s="21" t="s">
        <v>25</v>
      </c>
      <c r="L1831" s="21" t="s">
        <v>24</v>
      </c>
      <c r="M1831" s="0" t="n">
        <v>184</v>
      </c>
      <c r="N1831" s="0" t="n">
        <v>0</v>
      </c>
      <c r="Q1831" s="0" t="n">
        <v>0</v>
      </c>
      <c r="S1831" s="0" t="n">
        <v>0</v>
      </c>
      <c r="U1831" s="22" t="b">
        <f aca="false">FALSE()</f>
        <v>0</v>
      </c>
      <c r="V1831" s="0" t="n">
        <v>0.76</v>
      </c>
      <c r="W1831" s="0" t="n">
        <v>0.52</v>
      </c>
      <c r="X1831" s="0" t="n">
        <v>7.43</v>
      </c>
      <c r="Y1831" s="0" t="n">
        <v>329.14</v>
      </c>
      <c r="Z1831" s="0" t="n">
        <v>10.75</v>
      </c>
      <c r="AA1831" s="0" t="n">
        <v>6.28</v>
      </c>
      <c r="AB1831" s="0" t="n">
        <v>8.84</v>
      </c>
      <c r="AC1831" s="22" t="b">
        <f aca="false">FALSE()</f>
        <v>0</v>
      </c>
      <c r="AD1831" s="0" t="n">
        <v>20.29</v>
      </c>
      <c r="AE1831" s="0" t="n">
        <v>10.84</v>
      </c>
      <c r="AF1831" s="0" t="n">
        <v>20.38</v>
      </c>
      <c r="AG1831" s="22" t="b">
        <f aca="false">TRUE()</f>
        <v>1</v>
      </c>
      <c r="AH1831" s="0" t="n">
        <v>1</v>
      </c>
    </row>
    <row r="1832" customFormat="false" ht="15" hidden="false" customHeight="false" outlineLevel="0" collapsed="false">
      <c r="A1832" s="0" t="s">
        <v>2761</v>
      </c>
      <c r="B1832" s="0" t="s">
        <v>3459</v>
      </c>
      <c r="C1832" s="0" t="s">
        <v>3447</v>
      </c>
      <c r="D1832" s="0" t="s">
        <v>3457</v>
      </c>
      <c r="E1832" s="20" t="s">
        <v>25</v>
      </c>
      <c r="F1832" s="23" t="s">
        <v>30</v>
      </c>
      <c r="G1832" s="21" t="s">
        <v>992</v>
      </c>
      <c r="H1832" s="21" t="s">
        <v>24</v>
      </c>
      <c r="I1832" s="21" t="s">
        <v>24</v>
      </c>
      <c r="J1832" s="21" t="s">
        <v>24</v>
      </c>
      <c r="K1832" s="21" t="s">
        <v>25</v>
      </c>
      <c r="L1832" s="21" t="s">
        <v>24</v>
      </c>
      <c r="M1832" s="0" t="n">
        <v>184</v>
      </c>
      <c r="N1832" s="0" t="n">
        <v>2</v>
      </c>
      <c r="O1832" s="21" t="s">
        <v>3494</v>
      </c>
      <c r="P1832" s="21" t="s">
        <v>4835</v>
      </c>
      <c r="Q1832" s="0" t="n">
        <v>0</v>
      </c>
      <c r="S1832" s="0" t="n">
        <v>0</v>
      </c>
      <c r="U1832" s="22" t="b">
        <f aca="false">TRUE()</f>
        <v>1</v>
      </c>
      <c r="V1832" s="0" t="n">
        <v>0.94</v>
      </c>
      <c r="W1832" s="0" t="n">
        <v>0.52</v>
      </c>
      <c r="X1832" s="0" t="n">
        <v>12.37</v>
      </c>
      <c r="Y1832" s="0" t="n">
        <v>317.42</v>
      </c>
      <c r="Z1832" s="0" t="n">
        <v>9.08</v>
      </c>
      <c r="AA1832" s="0" t="n">
        <v>-0.75</v>
      </c>
      <c r="AB1832" s="0" t="n">
        <v>3.79</v>
      </c>
      <c r="AC1832" s="22" t="b">
        <f aca="false">FALSE()</f>
        <v>0</v>
      </c>
      <c r="AD1832" s="0" t="n">
        <v>23.35</v>
      </c>
      <c r="AE1832" s="0" t="n">
        <v>11.82</v>
      </c>
      <c r="AF1832" s="0" t="n">
        <v>21.34</v>
      </c>
      <c r="AG1832" s="22" t="b">
        <f aca="false">TRUE()</f>
        <v>1</v>
      </c>
      <c r="AH1832" s="0" t="n">
        <v>1</v>
      </c>
    </row>
    <row r="1833" customFormat="false" ht="15" hidden="false" customHeight="false" outlineLevel="0" collapsed="false">
      <c r="A1833" s="0" t="s">
        <v>2761</v>
      </c>
      <c r="B1833" s="0" t="s">
        <v>3459</v>
      </c>
      <c r="C1833" s="0" t="s">
        <v>3447</v>
      </c>
      <c r="D1833" s="0" t="s">
        <v>3448</v>
      </c>
      <c r="E1833" s="20" t="s">
        <v>25</v>
      </c>
      <c r="F1833" s="23" t="s">
        <v>30</v>
      </c>
      <c r="G1833" s="21" t="s">
        <v>992</v>
      </c>
      <c r="H1833" s="21" t="s">
        <v>24</v>
      </c>
      <c r="I1833" s="21" t="s">
        <v>24</v>
      </c>
      <c r="J1833" s="21" t="s">
        <v>24</v>
      </c>
      <c r="K1833" s="21" t="s">
        <v>25</v>
      </c>
      <c r="L1833" s="21" t="s">
        <v>24</v>
      </c>
      <c r="M1833" s="0" t="n">
        <v>185</v>
      </c>
      <c r="N1833" s="0" t="n">
        <v>4</v>
      </c>
      <c r="O1833" s="21" t="s">
        <v>3568</v>
      </c>
      <c r="P1833" s="21" t="s">
        <v>4836</v>
      </c>
      <c r="Q1833" s="0" t="n">
        <v>0</v>
      </c>
      <c r="S1833" s="0" t="n">
        <v>1</v>
      </c>
      <c r="T1833" s="21" t="s">
        <v>3481</v>
      </c>
      <c r="U1833" s="22" t="b">
        <f aca="false">TRUE()</f>
        <v>1</v>
      </c>
      <c r="V1833" s="0" t="n">
        <v>0.96</v>
      </c>
      <c r="W1833" s="0" t="n">
        <v>0.24</v>
      </c>
      <c r="X1833" s="0" t="n">
        <v>17.84</v>
      </c>
      <c r="Y1833" s="0" t="n">
        <v>465.51</v>
      </c>
      <c r="Z1833" s="0" t="n">
        <v>11.75</v>
      </c>
      <c r="AA1833" s="0" t="n">
        <v>-1.96</v>
      </c>
      <c r="AB1833" s="0" t="n">
        <v>8.84</v>
      </c>
      <c r="AC1833" s="22" t="b">
        <f aca="false">FALSE()</f>
        <v>0</v>
      </c>
      <c r="AD1833" s="0" t="n">
        <v>23.83</v>
      </c>
      <c r="AE1833" s="0" t="n">
        <v>12.18</v>
      </c>
      <c r="AF1833" s="0" t="n">
        <v>20.28</v>
      </c>
      <c r="AG1833" s="22" t="b">
        <f aca="false">TRUE()</f>
        <v>1</v>
      </c>
      <c r="AH1833" s="0" t="n">
        <v>1</v>
      </c>
    </row>
    <row r="1834" customFormat="false" ht="15" hidden="false" customHeight="false" outlineLevel="0" collapsed="false">
      <c r="A1834" s="0" t="s">
        <v>2767</v>
      </c>
      <c r="B1834" s="0" t="s">
        <v>134</v>
      </c>
      <c r="C1834" s="0" t="s">
        <v>3450</v>
      </c>
      <c r="D1834" s="0" t="s">
        <v>3457</v>
      </c>
      <c r="E1834" s="20" t="s">
        <v>25</v>
      </c>
      <c r="F1834" s="23" t="s">
        <v>30</v>
      </c>
      <c r="G1834" s="21" t="s">
        <v>470</v>
      </c>
      <c r="H1834" s="21" t="s">
        <v>24</v>
      </c>
      <c r="I1834" s="21" t="s">
        <v>24</v>
      </c>
      <c r="J1834" s="21" t="s">
        <v>24</v>
      </c>
      <c r="K1834" s="21" t="s">
        <v>25</v>
      </c>
      <c r="L1834" s="21" t="s">
        <v>24</v>
      </c>
      <c r="M1834" s="0" t="n">
        <v>184</v>
      </c>
      <c r="N1834" s="0" t="n">
        <v>1</v>
      </c>
      <c r="O1834" s="21" t="s">
        <v>3476</v>
      </c>
      <c r="P1834" s="21" t="s">
        <v>4228</v>
      </c>
      <c r="Q1834" s="0" t="n">
        <v>0</v>
      </c>
      <c r="S1834" s="0" t="n">
        <v>1</v>
      </c>
      <c r="T1834" s="21" t="s">
        <v>3476</v>
      </c>
      <c r="U1834" s="22" t="b">
        <f aca="false">TRUE()</f>
        <v>1</v>
      </c>
      <c r="V1834" s="0" t="n">
        <v>0.74</v>
      </c>
      <c r="W1834" s="0" t="n">
        <v>0.68</v>
      </c>
      <c r="X1834" s="0" t="n">
        <v>5.75</v>
      </c>
      <c r="Y1834" s="0" t="n">
        <v>305.37</v>
      </c>
      <c r="Z1834" s="0" t="n">
        <v>8</v>
      </c>
      <c r="AA1834" s="0" t="n">
        <v>-0.16</v>
      </c>
      <c r="AB1834" s="0" t="n">
        <v>1.02</v>
      </c>
      <c r="AC1834" s="22" t="b">
        <f aca="false">TRUE()</f>
        <v>1</v>
      </c>
      <c r="AD1834" s="0" t="n">
        <v>10.14</v>
      </c>
      <c r="AE1834" s="0" t="n">
        <v>0.8</v>
      </c>
      <c r="AF1834" s="0" t="n">
        <v>8.91</v>
      </c>
      <c r="AG1834" s="22" t="b">
        <f aca="false">TRUE()</f>
        <v>1</v>
      </c>
      <c r="AH1834" s="0" t="n">
        <v>1</v>
      </c>
    </row>
    <row r="1835" customFormat="false" ht="15" hidden="false" customHeight="false" outlineLevel="0" collapsed="false">
      <c r="A1835" s="0" t="s">
        <v>2767</v>
      </c>
      <c r="B1835" s="0" t="s">
        <v>134</v>
      </c>
      <c r="C1835" s="0" t="s">
        <v>3450</v>
      </c>
      <c r="D1835" s="0" t="s">
        <v>3448</v>
      </c>
      <c r="E1835" s="20" t="s">
        <v>25</v>
      </c>
      <c r="F1835" s="20" t="s">
        <v>29</v>
      </c>
      <c r="G1835" s="21" t="s">
        <v>3451</v>
      </c>
      <c r="H1835" s="21" t="s">
        <v>24</v>
      </c>
      <c r="I1835" s="21" t="s">
        <v>24</v>
      </c>
      <c r="J1835" s="21" t="s">
        <v>24</v>
      </c>
      <c r="K1835" s="21" t="s">
        <v>25</v>
      </c>
      <c r="L1835" s="21" t="s">
        <v>24</v>
      </c>
      <c r="M1835" s="0" t="n">
        <v>183</v>
      </c>
      <c r="N1835" s="0" t="n">
        <v>0</v>
      </c>
      <c r="Q1835" s="0" t="n">
        <v>0</v>
      </c>
      <c r="S1835" s="0" t="n">
        <v>0</v>
      </c>
      <c r="U1835" s="22" t="b">
        <f aca="false">FALSE()</f>
        <v>0</v>
      </c>
      <c r="V1835" s="0" t="n">
        <v>0.79</v>
      </c>
      <c r="W1835" s="0" t="n">
        <v>0.36</v>
      </c>
      <c r="X1835" s="0" t="n">
        <v>6.3</v>
      </c>
      <c r="Y1835" s="0" t="n">
        <v>376.24</v>
      </c>
      <c r="Z1835" s="0" t="n">
        <v>10.08</v>
      </c>
      <c r="AA1835" s="0" t="n">
        <v>2.16</v>
      </c>
      <c r="AB1835" s="0" t="n">
        <v>0.9</v>
      </c>
      <c r="AC1835" s="22" t="b">
        <f aca="false">TRUE()</f>
        <v>1</v>
      </c>
      <c r="AD1835" s="0" t="n">
        <v>4.61</v>
      </c>
      <c r="AE1835" s="0" t="n">
        <v>1.14</v>
      </c>
      <c r="AF1835" s="0" t="n">
        <v>12.39</v>
      </c>
      <c r="AG1835" s="22" t="b">
        <f aca="false">FALSE()</f>
        <v>0</v>
      </c>
      <c r="AH1835" s="0" t="n">
        <v>1</v>
      </c>
    </row>
    <row r="1836" customFormat="false" ht="15" hidden="false" customHeight="false" outlineLevel="0" collapsed="false">
      <c r="A1836" s="0" t="s">
        <v>2767</v>
      </c>
      <c r="B1836" s="0" t="s">
        <v>134</v>
      </c>
      <c r="C1836" s="0" t="s">
        <v>3447</v>
      </c>
      <c r="D1836" s="0" t="s">
        <v>3457</v>
      </c>
      <c r="E1836" s="19" t="s">
        <v>26</v>
      </c>
      <c r="F1836" s="19" t="s">
        <v>32</v>
      </c>
      <c r="G1836" s="21" t="s">
        <v>1451</v>
      </c>
      <c r="H1836" s="21" t="s">
        <v>24</v>
      </c>
      <c r="I1836" s="21" t="s">
        <v>26</v>
      </c>
      <c r="J1836" s="21" t="s">
        <v>24</v>
      </c>
      <c r="K1836" s="21" t="s">
        <v>25</v>
      </c>
      <c r="L1836" s="21" t="s">
        <v>24</v>
      </c>
      <c r="M1836" s="0" t="n">
        <v>183</v>
      </c>
      <c r="N1836" s="0" t="n">
        <v>11</v>
      </c>
      <c r="O1836" s="21" t="s">
        <v>4094</v>
      </c>
      <c r="P1836" s="21" t="s">
        <v>4837</v>
      </c>
      <c r="Q1836" s="0" t="n">
        <v>1</v>
      </c>
      <c r="R1836" s="21" t="s">
        <v>69</v>
      </c>
      <c r="S1836" s="0" t="n">
        <v>11</v>
      </c>
      <c r="T1836" s="21" t="s">
        <v>4094</v>
      </c>
      <c r="U1836" s="22" t="b">
        <f aca="false">FALSE()</f>
        <v>0</v>
      </c>
      <c r="V1836" s="0" t="n">
        <v>0.72</v>
      </c>
      <c r="W1836" s="0" t="n">
        <v>0.16</v>
      </c>
      <c r="X1836" s="0" t="n">
        <v>6.83</v>
      </c>
      <c r="Y1836" s="0" t="n">
        <v>524.33</v>
      </c>
      <c r="Z1836" s="0" t="n">
        <v>9.25</v>
      </c>
      <c r="AA1836" s="0" t="n">
        <v>2.91</v>
      </c>
      <c r="AB1836" s="0" t="n">
        <v>1.02</v>
      </c>
      <c r="AC1836" s="22" t="b">
        <f aca="false">FALSE()</f>
        <v>0</v>
      </c>
      <c r="AD1836" s="0" t="n">
        <v>15.56</v>
      </c>
      <c r="AE1836" s="0" t="n">
        <v>1.22</v>
      </c>
      <c r="AF1836" s="0" t="n">
        <v>12.49</v>
      </c>
      <c r="AG1836" s="22" t="b">
        <f aca="false">TRUE()</f>
        <v>1</v>
      </c>
      <c r="AH1836" s="0" t="n">
        <v>1</v>
      </c>
    </row>
    <row r="1837" customFormat="false" ht="15" hidden="false" customHeight="false" outlineLevel="0" collapsed="false">
      <c r="A1837" s="0" t="s">
        <v>2767</v>
      </c>
      <c r="B1837" s="0" t="s">
        <v>134</v>
      </c>
      <c r="C1837" s="0" t="s">
        <v>3447</v>
      </c>
      <c r="D1837" s="0" t="s">
        <v>3448</v>
      </c>
      <c r="E1837" s="20" t="s">
        <v>25</v>
      </c>
      <c r="F1837" s="23" t="s">
        <v>30</v>
      </c>
      <c r="G1837" s="21" t="s">
        <v>1152</v>
      </c>
      <c r="H1837" s="21" t="s">
        <v>24</v>
      </c>
      <c r="I1837" s="21" t="s">
        <v>25</v>
      </c>
      <c r="J1837" s="21" t="s">
        <v>24</v>
      </c>
      <c r="K1837" s="21" t="s">
        <v>25</v>
      </c>
      <c r="L1837" s="21" t="s">
        <v>24</v>
      </c>
      <c r="M1837" s="0" t="n">
        <v>183</v>
      </c>
      <c r="N1837" s="0" t="n">
        <v>1</v>
      </c>
      <c r="O1837" s="21" t="s">
        <v>69</v>
      </c>
      <c r="P1837" s="21" t="s">
        <v>4275</v>
      </c>
      <c r="Q1837" s="0" t="n">
        <v>1</v>
      </c>
      <c r="R1837" s="21" t="s">
        <v>69</v>
      </c>
      <c r="S1837" s="0" t="n">
        <v>1</v>
      </c>
      <c r="T1837" s="21" t="s">
        <v>69</v>
      </c>
      <c r="U1837" s="22" t="b">
        <f aca="false">TRUE()</f>
        <v>1</v>
      </c>
      <c r="V1837" s="0" t="n">
        <v>0.76</v>
      </c>
      <c r="W1837" s="0" t="n">
        <v>0.16</v>
      </c>
      <c r="X1837" s="0" t="n">
        <v>7.05</v>
      </c>
      <c r="Y1837" s="0" t="n">
        <v>555.51</v>
      </c>
      <c r="Z1837" s="0" t="n">
        <v>11.75</v>
      </c>
      <c r="AA1837" s="0" t="n">
        <v>3.63</v>
      </c>
      <c r="AB1837" s="0" t="n">
        <v>0.9</v>
      </c>
      <c r="AC1837" s="22" t="b">
        <f aca="false">FALSE()</f>
        <v>0</v>
      </c>
      <c r="AD1837" s="0" t="n">
        <v>3.21</v>
      </c>
      <c r="AE1837" s="0" t="n">
        <v>0.33</v>
      </c>
      <c r="AF1837" s="0" t="n">
        <v>10.89</v>
      </c>
      <c r="AG1837" s="22" t="b">
        <f aca="false">FALSE()</f>
        <v>0</v>
      </c>
      <c r="AH1837" s="0" t="n">
        <v>1</v>
      </c>
    </row>
    <row r="1838" customFormat="false" ht="15" hidden="false" customHeight="false" outlineLevel="0" collapsed="false">
      <c r="A1838" s="0" t="s">
        <v>2773</v>
      </c>
      <c r="B1838" s="0" t="s">
        <v>134</v>
      </c>
      <c r="C1838" s="0" t="s">
        <v>3450</v>
      </c>
      <c r="D1838" s="0" t="s">
        <v>3457</v>
      </c>
      <c r="E1838" s="19" t="s">
        <v>26</v>
      </c>
      <c r="F1838" s="19" t="s">
        <v>32</v>
      </c>
      <c r="G1838" s="21" t="s">
        <v>1076</v>
      </c>
      <c r="H1838" s="21" t="s">
        <v>24</v>
      </c>
      <c r="I1838" s="21" t="s">
        <v>26</v>
      </c>
      <c r="J1838" s="21" t="s">
        <v>24</v>
      </c>
      <c r="K1838" s="21" t="s">
        <v>25</v>
      </c>
      <c r="L1838" s="21" t="s">
        <v>24</v>
      </c>
      <c r="M1838" s="0" t="n">
        <v>186</v>
      </c>
      <c r="N1838" s="0" t="n">
        <v>15</v>
      </c>
      <c r="O1838" s="21" t="s">
        <v>4132</v>
      </c>
      <c r="P1838" s="21" t="s">
        <v>4838</v>
      </c>
      <c r="Q1838" s="0" t="n">
        <v>1</v>
      </c>
      <c r="R1838" s="21" t="s">
        <v>69</v>
      </c>
      <c r="S1838" s="0" t="n">
        <v>15</v>
      </c>
      <c r="T1838" s="21" t="s">
        <v>4132</v>
      </c>
      <c r="U1838" s="22" t="b">
        <f aca="false">FALSE()</f>
        <v>0</v>
      </c>
      <c r="V1838" s="0" t="n">
        <v>0.7</v>
      </c>
      <c r="W1838" s="0" t="n">
        <v>0.96</v>
      </c>
      <c r="X1838" s="0" t="n">
        <v>8.49</v>
      </c>
      <c r="Y1838" s="0" t="n">
        <v>296.87</v>
      </c>
      <c r="Z1838" s="0" t="n">
        <v>8</v>
      </c>
      <c r="AA1838" s="0" t="n">
        <v>-0.92</v>
      </c>
      <c r="AB1838" s="0" t="n">
        <v>4.65</v>
      </c>
      <c r="AC1838" s="22" t="b">
        <f aca="false">FALSE()</f>
        <v>0</v>
      </c>
      <c r="AD1838" s="0" t="n">
        <v>13.63</v>
      </c>
      <c r="AE1838" s="0" t="n">
        <v>8.26</v>
      </c>
      <c r="AF1838" s="0" t="n">
        <v>15.94</v>
      </c>
      <c r="AG1838" s="22" t="b">
        <f aca="false">TRUE()</f>
        <v>1</v>
      </c>
      <c r="AH1838" s="0" t="n">
        <v>1</v>
      </c>
    </row>
    <row r="1839" customFormat="false" ht="15" hidden="false" customHeight="false" outlineLevel="0" collapsed="false">
      <c r="A1839" s="0" t="s">
        <v>2773</v>
      </c>
      <c r="B1839" s="0" t="s">
        <v>134</v>
      </c>
      <c r="C1839" s="0" t="s">
        <v>3450</v>
      </c>
      <c r="D1839" s="0" t="s">
        <v>3448</v>
      </c>
      <c r="E1839" s="19" t="s">
        <v>26</v>
      </c>
      <c r="F1839" s="19" t="s">
        <v>32</v>
      </c>
      <c r="G1839" s="21" t="s">
        <v>1409</v>
      </c>
      <c r="H1839" s="21" t="s">
        <v>24</v>
      </c>
      <c r="I1839" s="21" t="s">
        <v>26</v>
      </c>
      <c r="J1839" s="21" t="s">
        <v>24</v>
      </c>
      <c r="K1839" s="21" t="s">
        <v>25</v>
      </c>
      <c r="L1839" s="21" t="s">
        <v>24</v>
      </c>
      <c r="M1839" s="0" t="n">
        <v>183</v>
      </c>
      <c r="N1839" s="0" t="n">
        <v>11</v>
      </c>
      <c r="O1839" s="21" t="s">
        <v>4088</v>
      </c>
      <c r="P1839" s="21" t="s">
        <v>4839</v>
      </c>
      <c r="Q1839" s="0" t="n">
        <v>1</v>
      </c>
      <c r="R1839" s="21" t="s">
        <v>69</v>
      </c>
      <c r="S1839" s="0" t="n">
        <v>11</v>
      </c>
      <c r="T1839" s="21" t="s">
        <v>4088</v>
      </c>
      <c r="U1839" s="22" t="b">
        <f aca="false">FALSE()</f>
        <v>0</v>
      </c>
      <c r="V1839" s="0" t="n">
        <v>0.71</v>
      </c>
      <c r="W1839" s="0" t="n">
        <v>0.24</v>
      </c>
      <c r="X1839" s="0" t="n">
        <v>8.17</v>
      </c>
      <c r="Y1839" s="0" t="n">
        <v>463.14</v>
      </c>
      <c r="Z1839" s="0" t="n">
        <v>10.25</v>
      </c>
      <c r="AA1839" s="0" t="n">
        <v>0.75</v>
      </c>
      <c r="AB1839" s="0" t="n">
        <v>0.88</v>
      </c>
      <c r="AC1839" s="22" t="b">
        <f aca="false">TRUE()</f>
        <v>1</v>
      </c>
      <c r="AD1839" s="0" t="n">
        <v>9.37</v>
      </c>
      <c r="AE1839" s="0" t="n">
        <v>2.41</v>
      </c>
      <c r="AF1839" s="0" t="n">
        <v>3.23</v>
      </c>
      <c r="AG1839" s="22" t="b">
        <f aca="false">FALSE()</f>
        <v>0</v>
      </c>
      <c r="AH1839" s="0" t="n">
        <v>1</v>
      </c>
    </row>
    <row r="1840" customFormat="false" ht="15" hidden="false" customHeight="false" outlineLevel="0" collapsed="false">
      <c r="A1840" s="0" t="s">
        <v>2773</v>
      </c>
      <c r="B1840" s="0" t="s">
        <v>134</v>
      </c>
      <c r="C1840" s="0" t="s">
        <v>3447</v>
      </c>
      <c r="D1840" s="0" t="s">
        <v>3457</v>
      </c>
      <c r="E1840" s="19" t="s">
        <v>26</v>
      </c>
      <c r="F1840" s="19" t="s">
        <v>32</v>
      </c>
      <c r="G1840" s="21" t="s">
        <v>529</v>
      </c>
      <c r="H1840" s="21" t="s">
        <v>24</v>
      </c>
      <c r="I1840" s="21" t="s">
        <v>26</v>
      </c>
      <c r="J1840" s="21" t="s">
        <v>24</v>
      </c>
      <c r="K1840" s="21" t="s">
        <v>24</v>
      </c>
      <c r="L1840" s="21" t="s">
        <v>24</v>
      </c>
      <c r="M1840" s="0" t="n">
        <v>183</v>
      </c>
      <c r="N1840" s="0" t="n">
        <v>9</v>
      </c>
      <c r="O1840" s="21" t="s">
        <v>4108</v>
      </c>
      <c r="P1840" s="21" t="s">
        <v>4840</v>
      </c>
      <c r="Q1840" s="0" t="n">
        <v>1</v>
      </c>
      <c r="R1840" s="21" t="s">
        <v>69</v>
      </c>
      <c r="S1840" s="0" t="n">
        <v>9</v>
      </c>
      <c r="T1840" s="21" t="s">
        <v>4108</v>
      </c>
      <c r="U1840" s="22" t="b">
        <f aca="false">FALSE()</f>
        <v>0</v>
      </c>
      <c r="V1840" s="0" t="n">
        <v>0.71</v>
      </c>
      <c r="W1840" s="0" t="n">
        <v>0.48</v>
      </c>
      <c r="X1840" s="0" t="n">
        <v>9.53</v>
      </c>
      <c r="Y1840" s="0" t="n">
        <v>321.48</v>
      </c>
      <c r="Z1840" s="0" t="n">
        <v>10.25</v>
      </c>
      <c r="AA1840" s="0" t="n">
        <v>-0.26</v>
      </c>
      <c r="AB1840" s="0" t="n">
        <v>4.65</v>
      </c>
      <c r="AC1840" s="22" t="b">
        <f aca="false">FALSE()</f>
        <v>0</v>
      </c>
      <c r="AD1840" s="0" t="n">
        <v>11.72</v>
      </c>
      <c r="AE1840" s="0" t="n">
        <v>6.76</v>
      </c>
      <c r="AF1840" s="0" t="n">
        <v>15.26</v>
      </c>
      <c r="AG1840" s="22" t="b">
        <f aca="false">TRUE()</f>
        <v>1</v>
      </c>
      <c r="AH1840" s="0" t="n">
        <v>2</v>
      </c>
    </row>
    <row r="1841" customFormat="false" ht="15" hidden="false" customHeight="false" outlineLevel="0" collapsed="false">
      <c r="A1841" s="0" t="s">
        <v>2773</v>
      </c>
      <c r="B1841" s="0" t="s">
        <v>134</v>
      </c>
      <c r="C1841" s="0" t="s">
        <v>3447</v>
      </c>
      <c r="D1841" s="0" t="s">
        <v>3448</v>
      </c>
      <c r="E1841" s="20" t="s">
        <v>25</v>
      </c>
      <c r="F1841" s="23" t="s">
        <v>30</v>
      </c>
      <c r="G1841" s="21" t="s">
        <v>2610</v>
      </c>
      <c r="H1841" s="21" t="s">
        <v>24</v>
      </c>
      <c r="I1841" s="21" t="s">
        <v>24</v>
      </c>
      <c r="J1841" s="21" t="s">
        <v>24</v>
      </c>
      <c r="K1841" s="21" t="s">
        <v>25</v>
      </c>
      <c r="L1841" s="21" t="s">
        <v>24</v>
      </c>
      <c r="M1841" s="0" t="n">
        <v>182</v>
      </c>
      <c r="N1841" s="0" t="n">
        <v>4</v>
      </c>
      <c r="O1841" s="21" t="s">
        <v>3589</v>
      </c>
      <c r="P1841" s="21" t="s">
        <v>4841</v>
      </c>
      <c r="Q1841" s="0" t="n">
        <v>0</v>
      </c>
      <c r="S1841" s="0" t="n">
        <v>3</v>
      </c>
      <c r="T1841" s="21" t="s">
        <v>3633</v>
      </c>
      <c r="U1841" s="22" t="b">
        <f aca="false">TRUE()</f>
        <v>1</v>
      </c>
      <c r="V1841" s="0" t="n">
        <v>0.77</v>
      </c>
      <c r="W1841" s="0" t="n">
        <v>0.28</v>
      </c>
      <c r="X1841" s="0" t="n">
        <v>10</v>
      </c>
      <c r="Y1841" s="0" t="n">
        <v>425.08</v>
      </c>
      <c r="Z1841" s="0" t="n">
        <v>9</v>
      </c>
      <c r="AA1841" s="0" t="n">
        <v>-0.14</v>
      </c>
      <c r="AB1841" s="0" t="n">
        <v>0.88</v>
      </c>
      <c r="AC1841" s="22" t="b">
        <f aca="false">FALSE()</f>
        <v>0</v>
      </c>
      <c r="AD1841" s="0" t="n">
        <v>6.63</v>
      </c>
      <c r="AE1841" s="0" t="n">
        <v>0.34</v>
      </c>
      <c r="AF1841" s="0" t="n">
        <v>3.56</v>
      </c>
      <c r="AG1841" s="22" t="b">
        <f aca="false">FALSE()</f>
        <v>0</v>
      </c>
      <c r="AH1841" s="0" t="n">
        <v>1</v>
      </c>
    </row>
    <row r="1842" customFormat="false" ht="15" hidden="false" customHeight="false" outlineLevel="0" collapsed="false">
      <c r="A1842" s="0" t="s">
        <v>2773</v>
      </c>
      <c r="B1842" s="0" t="s">
        <v>3459</v>
      </c>
      <c r="C1842" s="0" t="s">
        <v>3450</v>
      </c>
      <c r="D1842" s="0" t="s">
        <v>3457</v>
      </c>
      <c r="E1842" s="19" t="s">
        <v>26</v>
      </c>
      <c r="F1842" s="19" t="s">
        <v>32</v>
      </c>
      <c r="G1842" s="21" t="s">
        <v>4127</v>
      </c>
      <c r="H1842" s="21" t="s">
        <v>24</v>
      </c>
      <c r="I1842" s="21" t="s">
        <v>26</v>
      </c>
      <c r="J1842" s="21" t="s">
        <v>24</v>
      </c>
      <c r="K1842" s="21" t="s">
        <v>25</v>
      </c>
      <c r="L1842" s="21" t="s">
        <v>24</v>
      </c>
      <c r="M1842" s="0" t="n">
        <v>183</v>
      </c>
      <c r="N1842" s="0" t="n">
        <v>10</v>
      </c>
      <c r="O1842" s="21" t="s">
        <v>4126</v>
      </c>
      <c r="P1842" s="21" t="s">
        <v>4842</v>
      </c>
      <c r="Q1842" s="0" t="n">
        <v>1</v>
      </c>
      <c r="R1842" s="21" t="s">
        <v>69</v>
      </c>
      <c r="S1842" s="0" t="n">
        <v>10</v>
      </c>
      <c r="T1842" s="21" t="s">
        <v>4126</v>
      </c>
      <c r="U1842" s="22" t="b">
        <f aca="false">FALSE()</f>
        <v>0</v>
      </c>
      <c r="V1842" s="0" t="n">
        <v>0.72</v>
      </c>
      <c r="W1842" s="0" t="n">
        <v>0.12</v>
      </c>
      <c r="X1842" s="0" t="n">
        <v>8.75</v>
      </c>
      <c r="Y1842" s="0" t="n">
        <v>509.15</v>
      </c>
      <c r="Z1842" s="0" t="n">
        <v>8</v>
      </c>
      <c r="AA1842" s="0" t="n">
        <v>-0.21</v>
      </c>
      <c r="AB1842" s="0" t="n">
        <v>0.35</v>
      </c>
      <c r="AC1842" s="22" t="b">
        <f aca="false">TRUE()</f>
        <v>1</v>
      </c>
      <c r="AD1842" s="0" t="n">
        <v>27.92</v>
      </c>
      <c r="AE1842" s="0" t="n">
        <v>15.24</v>
      </c>
      <c r="AF1842" s="0" t="n">
        <v>26.03</v>
      </c>
      <c r="AG1842" s="22" t="b">
        <f aca="false">TRUE()</f>
        <v>1</v>
      </c>
      <c r="AH1842" s="0" t="n">
        <v>1</v>
      </c>
    </row>
    <row r="1843" customFormat="false" ht="15" hidden="false" customHeight="false" outlineLevel="0" collapsed="false">
      <c r="A1843" s="0" t="s">
        <v>2773</v>
      </c>
      <c r="B1843" s="0" t="s">
        <v>3459</v>
      </c>
      <c r="C1843" s="0" t="s">
        <v>3450</v>
      </c>
      <c r="D1843" s="0" t="s">
        <v>3448</v>
      </c>
      <c r="E1843" s="20" t="s">
        <v>25</v>
      </c>
      <c r="F1843" s="23" t="s">
        <v>30</v>
      </c>
      <c r="G1843" s="21" t="s">
        <v>1809</v>
      </c>
      <c r="H1843" s="21" t="s">
        <v>24</v>
      </c>
      <c r="I1843" s="21" t="s">
        <v>25</v>
      </c>
      <c r="J1843" s="21" t="s">
        <v>24</v>
      </c>
      <c r="K1843" s="21" t="s">
        <v>25</v>
      </c>
      <c r="L1843" s="21" t="s">
        <v>24</v>
      </c>
      <c r="M1843" s="0" t="n">
        <v>195</v>
      </c>
      <c r="N1843" s="0" t="n">
        <v>3</v>
      </c>
      <c r="O1843" s="21" t="s">
        <v>3664</v>
      </c>
      <c r="P1843" s="21" t="s">
        <v>4331</v>
      </c>
      <c r="Q1843" s="0" t="n">
        <v>1</v>
      </c>
      <c r="R1843" s="21" t="s">
        <v>69</v>
      </c>
      <c r="S1843" s="0" t="n">
        <v>3</v>
      </c>
      <c r="T1843" s="21" t="s">
        <v>3664</v>
      </c>
      <c r="U1843" s="22" t="b">
        <f aca="false">TRUE()</f>
        <v>1</v>
      </c>
      <c r="V1843" s="0" t="n">
        <v>0.71</v>
      </c>
      <c r="W1843" s="0" t="n">
        <v>0.84</v>
      </c>
      <c r="X1843" s="0" t="n">
        <v>8.82</v>
      </c>
      <c r="Y1843" s="0" t="n">
        <v>339.89</v>
      </c>
      <c r="Z1843" s="0" t="n">
        <v>8.83</v>
      </c>
      <c r="AA1843" s="0" t="n">
        <v>0.17</v>
      </c>
      <c r="AB1843" s="0" t="n">
        <v>0.87</v>
      </c>
      <c r="AC1843" s="22" t="b">
        <f aca="false">TRUE()</f>
        <v>1</v>
      </c>
      <c r="AD1843" s="0" t="n">
        <v>25.17</v>
      </c>
      <c r="AE1843" s="0" t="n">
        <v>15.61</v>
      </c>
      <c r="AF1843" s="0" t="n">
        <v>24.69</v>
      </c>
      <c r="AG1843" s="22" t="b">
        <f aca="false">TRUE()</f>
        <v>1</v>
      </c>
      <c r="AH1843" s="0" t="n">
        <v>1</v>
      </c>
    </row>
    <row r="1844" customFormat="false" ht="15" hidden="false" customHeight="false" outlineLevel="0" collapsed="false">
      <c r="A1844" s="0" t="s">
        <v>2773</v>
      </c>
      <c r="B1844" s="0" t="s">
        <v>3459</v>
      </c>
      <c r="C1844" s="0" t="s">
        <v>3447</v>
      </c>
      <c r="D1844" s="0" t="s">
        <v>3457</v>
      </c>
      <c r="E1844" s="19" t="s">
        <v>26</v>
      </c>
      <c r="F1844" s="19" t="s">
        <v>32</v>
      </c>
      <c r="G1844" s="21" t="s">
        <v>4005</v>
      </c>
      <c r="H1844" s="21" t="s">
        <v>24</v>
      </c>
      <c r="I1844" s="21" t="s">
        <v>26</v>
      </c>
      <c r="J1844" s="21" t="s">
        <v>24</v>
      </c>
      <c r="K1844" s="21" t="s">
        <v>25</v>
      </c>
      <c r="L1844" s="21" t="s">
        <v>24</v>
      </c>
      <c r="M1844" s="0" t="n">
        <v>184</v>
      </c>
      <c r="N1844" s="0" t="n">
        <v>9</v>
      </c>
      <c r="O1844" s="21" t="s">
        <v>4114</v>
      </c>
      <c r="P1844" s="21" t="s">
        <v>4843</v>
      </c>
      <c r="Q1844" s="0" t="n">
        <v>1</v>
      </c>
      <c r="R1844" s="21" t="s">
        <v>69</v>
      </c>
      <c r="S1844" s="0" t="n">
        <v>9</v>
      </c>
      <c r="T1844" s="21" t="s">
        <v>4114</v>
      </c>
      <c r="U1844" s="22" t="b">
        <f aca="false">FALSE()</f>
        <v>0</v>
      </c>
      <c r="V1844" s="0" t="n">
        <v>0.74</v>
      </c>
      <c r="W1844" s="0" t="n">
        <v>0.84</v>
      </c>
      <c r="X1844" s="0" t="n">
        <v>9.5</v>
      </c>
      <c r="Y1844" s="0" t="n">
        <v>298.15</v>
      </c>
      <c r="Z1844" s="0" t="n">
        <v>8.5</v>
      </c>
      <c r="AA1844" s="0" t="n">
        <v>-0.94</v>
      </c>
      <c r="AB1844" s="0" t="n">
        <v>0.35</v>
      </c>
      <c r="AC1844" s="22" t="b">
        <f aca="false">FALSE()</f>
        <v>0</v>
      </c>
      <c r="AD1844" s="0" t="n">
        <v>23.61</v>
      </c>
      <c r="AE1844" s="0" t="n">
        <v>10.99</v>
      </c>
      <c r="AF1844" s="0" t="n">
        <v>21.18</v>
      </c>
      <c r="AG1844" s="22" t="b">
        <f aca="false">TRUE()</f>
        <v>1</v>
      </c>
      <c r="AH1844" s="0" t="n">
        <v>1</v>
      </c>
    </row>
    <row r="1845" customFormat="false" ht="15" hidden="false" customHeight="false" outlineLevel="0" collapsed="false">
      <c r="A1845" s="0" t="s">
        <v>2773</v>
      </c>
      <c r="B1845" s="0" t="s">
        <v>3459</v>
      </c>
      <c r="C1845" s="0" t="s">
        <v>3447</v>
      </c>
      <c r="D1845" s="0" t="s">
        <v>3448</v>
      </c>
      <c r="E1845" s="20" t="s">
        <v>25</v>
      </c>
      <c r="F1845" s="23" t="s">
        <v>30</v>
      </c>
      <c r="G1845" s="21" t="s">
        <v>144</v>
      </c>
      <c r="H1845" s="21" t="s">
        <v>24</v>
      </c>
      <c r="I1845" s="21" t="s">
        <v>24</v>
      </c>
      <c r="J1845" s="21" t="s">
        <v>24</v>
      </c>
      <c r="K1845" s="21" t="s">
        <v>25</v>
      </c>
      <c r="L1845" s="21" t="s">
        <v>24</v>
      </c>
      <c r="M1845" s="0" t="n">
        <v>184</v>
      </c>
      <c r="N1845" s="0" t="n">
        <v>6</v>
      </c>
      <c r="O1845" s="21" t="s">
        <v>3777</v>
      </c>
      <c r="P1845" s="21" t="s">
        <v>4844</v>
      </c>
      <c r="Q1845" s="0" t="n">
        <v>0</v>
      </c>
      <c r="S1845" s="0" t="n">
        <v>6</v>
      </c>
      <c r="T1845" s="21" t="s">
        <v>3777</v>
      </c>
      <c r="U1845" s="22" t="b">
        <f aca="false">TRUE()</f>
        <v>1</v>
      </c>
      <c r="V1845" s="0" t="n">
        <v>0.78</v>
      </c>
      <c r="W1845" s="0" t="n">
        <v>0.24</v>
      </c>
      <c r="X1845" s="0" t="n">
        <v>10.7</v>
      </c>
      <c r="Y1845" s="0" t="n">
        <v>463.79</v>
      </c>
      <c r="Z1845" s="0" t="n">
        <v>8.5</v>
      </c>
      <c r="AA1845" s="0" t="n">
        <v>-0.72</v>
      </c>
      <c r="AB1845" s="0" t="n">
        <v>0.87</v>
      </c>
      <c r="AC1845" s="22" t="b">
        <f aca="false">FALSE()</f>
        <v>0</v>
      </c>
      <c r="AD1845" s="0" t="n">
        <v>22.71</v>
      </c>
      <c r="AE1845" s="0" t="n">
        <v>13.61</v>
      </c>
      <c r="AF1845" s="0" t="n">
        <v>23.2</v>
      </c>
      <c r="AG1845" s="22" t="b">
        <f aca="false">TRUE()</f>
        <v>1</v>
      </c>
      <c r="AH1845" s="0" t="n">
        <v>1</v>
      </c>
    </row>
    <row r="1846" customFormat="false" ht="15" hidden="false" customHeight="false" outlineLevel="0" collapsed="false">
      <c r="A1846" s="0" t="s">
        <v>2782</v>
      </c>
      <c r="B1846" s="0" t="s">
        <v>134</v>
      </c>
      <c r="C1846" s="0" t="s">
        <v>3450</v>
      </c>
      <c r="D1846" s="0" t="s">
        <v>3457</v>
      </c>
      <c r="E1846" s="20" t="s">
        <v>25</v>
      </c>
      <c r="F1846" s="23" t="s">
        <v>30</v>
      </c>
      <c r="G1846" s="21" t="s">
        <v>283</v>
      </c>
      <c r="H1846" s="21" t="s">
        <v>24</v>
      </c>
      <c r="I1846" s="21" t="s">
        <v>25</v>
      </c>
      <c r="J1846" s="21" t="s">
        <v>24</v>
      </c>
      <c r="K1846" s="21" t="s">
        <v>24</v>
      </c>
      <c r="L1846" s="21" t="s">
        <v>24</v>
      </c>
      <c r="M1846" s="0" t="n">
        <v>182</v>
      </c>
      <c r="N1846" s="0" t="n">
        <v>2</v>
      </c>
      <c r="O1846" s="21" t="s">
        <v>3575</v>
      </c>
      <c r="P1846" s="21" t="s">
        <v>4265</v>
      </c>
      <c r="Q1846" s="0" t="n">
        <v>1</v>
      </c>
      <c r="R1846" s="21" t="s">
        <v>69</v>
      </c>
      <c r="S1846" s="0" t="n">
        <v>2</v>
      </c>
      <c r="T1846" s="21" t="s">
        <v>3575</v>
      </c>
      <c r="U1846" s="22" t="b">
        <f aca="false">TRUE()</f>
        <v>1</v>
      </c>
      <c r="V1846" s="0" t="n">
        <v>0.73</v>
      </c>
      <c r="W1846" s="0" t="n">
        <v>0.2</v>
      </c>
      <c r="X1846" s="0" t="n">
        <v>5.32</v>
      </c>
      <c r="Y1846" s="0" t="n">
        <v>435.58</v>
      </c>
      <c r="Z1846" s="0" t="n">
        <v>11.5</v>
      </c>
      <c r="AA1846" s="0" t="n">
        <v>3.88</v>
      </c>
      <c r="AB1846" s="0" t="n">
        <v>1.5</v>
      </c>
      <c r="AC1846" s="22" t="b">
        <f aca="false">FALSE()</f>
        <v>0</v>
      </c>
      <c r="AD1846" s="0" t="n">
        <v>12.69</v>
      </c>
      <c r="AE1846" s="0" t="n">
        <v>1.42</v>
      </c>
      <c r="AF1846" s="0" t="n">
        <v>12.56</v>
      </c>
      <c r="AG1846" s="22" t="b">
        <f aca="false">TRUE()</f>
        <v>1</v>
      </c>
      <c r="AH1846" s="0" t="n">
        <v>1</v>
      </c>
    </row>
    <row r="1847" customFormat="false" ht="15" hidden="false" customHeight="false" outlineLevel="0" collapsed="false">
      <c r="A1847" s="0" t="s">
        <v>2782</v>
      </c>
      <c r="B1847" s="0" t="s">
        <v>134</v>
      </c>
      <c r="C1847" s="0" t="s">
        <v>3450</v>
      </c>
      <c r="D1847" s="0" t="s">
        <v>3448</v>
      </c>
      <c r="E1847" s="20" t="s">
        <v>25</v>
      </c>
      <c r="F1847" s="23" t="s">
        <v>30</v>
      </c>
      <c r="G1847" s="21" t="s">
        <v>357</v>
      </c>
      <c r="H1847" s="21" t="s">
        <v>24</v>
      </c>
      <c r="I1847" s="21" t="s">
        <v>25</v>
      </c>
      <c r="J1847" s="21" t="s">
        <v>24</v>
      </c>
      <c r="K1847" s="21" t="s">
        <v>25</v>
      </c>
      <c r="L1847" s="21" t="s">
        <v>24</v>
      </c>
      <c r="M1847" s="0" t="n">
        <v>183</v>
      </c>
      <c r="N1847" s="0" t="n">
        <v>3</v>
      </c>
      <c r="O1847" s="21" t="s">
        <v>3649</v>
      </c>
      <c r="P1847" s="21" t="s">
        <v>4242</v>
      </c>
      <c r="Q1847" s="0" t="n">
        <v>1</v>
      </c>
      <c r="R1847" s="21" t="s">
        <v>69</v>
      </c>
      <c r="S1847" s="0" t="n">
        <v>3</v>
      </c>
      <c r="T1847" s="21" t="s">
        <v>3649</v>
      </c>
      <c r="U1847" s="22" t="b">
        <f aca="false">TRUE()</f>
        <v>1</v>
      </c>
      <c r="V1847" s="0" t="n">
        <v>0.75</v>
      </c>
      <c r="W1847" s="0" t="n">
        <v>0</v>
      </c>
      <c r="X1847" s="0" t="n">
        <v>5.5</v>
      </c>
      <c r="Y1847" s="0" t="n">
        <v>683.31</v>
      </c>
      <c r="Z1847" s="0" t="n">
        <v>10.75</v>
      </c>
      <c r="AA1847" s="0" t="n">
        <v>2.55</v>
      </c>
      <c r="AB1847" s="0" t="n">
        <v>1.16</v>
      </c>
      <c r="AC1847" s="22" t="b">
        <f aca="false">TRUE()</f>
        <v>1</v>
      </c>
      <c r="AD1847" s="0" t="n">
        <v>9.16</v>
      </c>
      <c r="AE1847" s="0" t="n">
        <v>5.07</v>
      </c>
      <c r="AF1847" s="0" t="n">
        <v>0.94</v>
      </c>
      <c r="AG1847" s="22" t="b">
        <f aca="false">FALSE()</f>
        <v>0</v>
      </c>
      <c r="AH1847" s="0" t="n">
        <v>1</v>
      </c>
    </row>
    <row r="1848" customFormat="false" ht="15" hidden="false" customHeight="false" outlineLevel="0" collapsed="false">
      <c r="A1848" s="0" t="s">
        <v>2782</v>
      </c>
      <c r="B1848" s="0" t="s">
        <v>134</v>
      </c>
      <c r="C1848" s="0" t="s">
        <v>3447</v>
      </c>
      <c r="D1848" s="0" t="s">
        <v>3457</v>
      </c>
      <c r="E1848" s="20" t="s">
        <v>25</v>
      </c>
      <c r="F1848" s="23" t="s">
        <v>30</v>
      </c>
      <c r="G1848" s="21" t="s">
        <v>283</v>
      </c>
      <c r="H1848" s="21" t="s">
        <v>24</v>
      </c>
      <c r="I1848" s="21" t="s">
        <v>25</v>
      </c>
      <c r="J1848" s="21" t="s">
        <v>24</v>
      </c>
      <c r="K1848" s="21" t="s">
        <v>24</v>
      </c>
      <c r="L1848" s="21" t="s">
        <v>24</v>
      </c>
      <c r="M1848" s="0" t="n">
        <v>183</v>
      </c>
      <c r="N1848" s="0" t="n">
        <v>1</v>
      </c>
      <c r="O1848" s="21" t="s">
        <v>69</v>
      </c>
      <c r="P1848" s="21" t="s">
        <v>4275</v>
      </c>
      <c r="Q1848" s="0" t="n">
        <v>1</v>
      </c>
      <c r="R1848" s="21" t="s">
        <v>69</v>
      </c>
      <c r="S1848" s="0" t="n">
        <v>1</v>
      </c>
      <c r="T1848" s="21" t="s">
        <v>69</v>
      </c>
      <c r="U1848" s="22" t="b">
        <f aca="false">TRUE()</f>
        <v>1</v>
      </c>
      <c r="V1848" s="0" t="n">
        <v>0.76</v>
      </c>
      <c r="W1848" s="0" t="n">
        <v>0.28</v>
      </c>
      <c r="X1848" s="0" t="n">
        <v>5.03</v>
      </c>
      <c r="Y1848" s="0" t="n">
        <v>400.68</v>
      </c>
      <c r="Z1848" s="0" t="n">
        <v>8.25</v>
      </c>
      <c r="AA1848" s="0" t="n">
        <v>2.97</v>
      </c>
      <c r="AB1848" s="0" t="n">
        <v>1.5</v>
      </c>
      <c r="AC1848" s="22" t="b">
        <f aca="false">FALSE()</f>
        <v>0</v>
      </c>
      <c r="AD1848" s="0" t="n">
        <v>11</v>
      </c>
      <c r="AE1848" s="0" t="n">
        <v>0.69</v>
      </c>
      <c r="AF1848" s="0" t="n">
        <v>11.32</v>
      </c>
      <c r="AG1848" s="22" t="b">
        <f aca="false">TRUE()</f>
        <v>1</v>
      </c>
      <c r="AH1848" s="0" t="n">
        <v>1</v>
      </c>
    </row>
    <row r="1849" customFormat="false" ht="15" hidden="false" customHeight="false" outlineLevel="0" collapsed="false">
      <c r="A1849" s="0" t="s">
        <v>2782</v>
      </c>
      <c r="B1849" s="0" t="s">
        <v>134</v>
      </c>
      <c r="C1849" s="0" t="s">
        <v>3447</v>
      </c>
      <c r="D1849" s="0" t="s">
        <v>3448</v>
      </c>
      <c r="E1849" s="20" t="s">
        <v>25</v>
      </c>
      <c r="F1849" s="23" t="s">
        <v>30</v>
      </c>
      <c r="G1849" s="21" t="s">
        <v>2133</v>
      </c>
      <c r="H1849" s="21" t="s">
        <v>24</v>
      </c>
      <c r="I1849" s="21" t="s">
        <v>24</v>
      </c>
      <c r="J1849" s="21" t="s">
        <v>24</v>
      </c>
      <c r="K1849" s="21" t="s">
        <v>25</v>
      </c>
      <c r="L1849" s="21" t="s">
        <v>24</v>
      </c>
      <c r="M1849" s="0" t="n">
        <v>183</v>
      </c>
      <c r="N1849" s="0" t="n">
        <v>1</v>
      </c>
      <c r="O1849" s="21" t="s">
        <v>3474</v>
      </c>
      <c r="P1849" s="21" t="s">
        <v>4272</v>
      </c>
      <c r="Q1849" s="0" t="n">
        <v>0</v>
      </c>
      <c r="S1849" s="0" t="n">
        <v>1</v>
      </c>
      <c r="T1849" s="21" t="s">
        <v>3474</v>
      </c>
      <c r="U1849" s="22" t="b">
        <f aca="false">TRUE()</f>
        <v>1</v>
      </c>
      <c r="V1849" s="0" t="n">
        <v>0.77</v>
      </c>
      <c r="W1849" s="0" t="n">
        <v>0.56</v>
      </c>
      <c r="X1849" s="0" t="n">
        <v>6.58</v>
      </c>
      <c r="Y1849" s="0" t="n">
        <v>321.28</v>
      </c>
      <c r="Z1849" s="0" t="n">
        <v>8.75</v>
      </c>
      <c r="AA1849" s="0" t="n">
        <v>1.58</v>
      </c>
      <c r="AB1849" s="0" t="n">
        <v>1.16</v>
      </c>
      <c r="AC1849" s="22" t="b">
        <f aca="false">FALSE()</f>
        <v>0</v>
      </c>
      <c r="AD1849" s="0" t="n">
        <v>5.64</v>
      </c>
      <c r="AE1849" s="0" t="n">
        <v>0.48</v>
      </c>
      <c r="AF1849" s="0" t="n">
        <v>1.99</v>
      </c>
      <c r="AG1849" s="22" t="b">
        <f aca="false">FALSE()</f>
        <v>0</v>
      </c>
      <c r="AH1849" s="0" t="n">
        <v>1</v>
      </c>
    </row>
    <row r="1850" customFormat="false" ht="15" hidden="false" customHeight="false" outlineLevel="0" collapsed="false">
      <c r="A1850" s="0" t="s">
        <v>2788</v>
      </c>
      <c r="B1850" s="0" t="s">
        <v>134</v>
      </c>
      <c r="C1850" s="0" t="s">
        <v>3450</v>
      </c>
      <c r="D1850" s="0" t="s">
        <v>3457</v>
      </c>
      <c r="E1850" s="20" t="s">
        <v>25</v>
      </c>
      <c r="F1850" s="23" t="s">
        <v>30</v>
      </c>
      <c r="G1850" s="21" t="s">
        <v>283</v>
      </c>
      <c r="H1850" s="21" t="s">
        <v>24</v>
      </c>
      <c r="I1850" s="21" t="s">
        <v>25</v>
      </c>
      <c r="J1850" s="21" t="s">
        <v>24</v>
      </c>
      <c r="K1850" s="21" t="s">
        <v>24</v>
      </c>
      <c r="L1850" s="21" t="s">
        <v>24</v>
      </c>
      <c r="M1850" s="0" t="n">
        <v>183</v>
      </c>
      <c r="N1850" s="0" t="n">
        <v>2</v>
      </c>
      <c r="O1850" s="21" t="s">
        <v>3665</v>
      </c>
      <c r="P1850" s="21" t="s">
        <v>4845</v>
      </c>
      <c r="Q1850" s="0" t="n">
        <v>1</v>
      </c>
      <c r="R1850" s="21" t="s">
        <v>69</v>
      </c>
      <c r="S1850" s="0" t="n">
        <v>2</v>
      </c>
      <c r="T1850" s="21" t="s">
        <v>3665</v>
      </c>
      <c r="U1850" s="22" t="b">
        <f aca="false">TRUE()</f>
        <v>1</v>
      </c>
      <c r="V1850" s="0" t="n">
        <v>0.7</v>
      </c>
      <c r="W1850" s="0" t="n">
        <v>0.28</v>
      </c>
      <c r="X1850" s="0" t="n">
        <v>8.98</v>
      </c>
      <c r="Y1850" s="0" t="n">
        <v>432.79</v>
      </c>
      <c r="Z1850" s="0" t="n">
        <v>9.75</v>
      </c>
      <c r="AA1850" s="0" t="n">
        <v>17.9</v>
      </c>
      <c r="AB1850" s="0" t="n">
        <v>4.64</v>
      </c>
      <c r="AC1850" s="22" t="b">
        <f aca="false">FALSE()</f>
        <v>0</v>
      </c>
      <c r="AD1850" s="0" t="n">
        <v>19.21</v>
      </c>
      <c r="AE1850" s="0" t="n">
        <v>11.03</v>
      </c>
      <c r="AF1850" s="0" t="n">
        <v>18.15</v>
      </c>
      <c r="AG1850" s="22" t="b">
        <f aca="false">TRUE()</f>
        <v>1</v>
      </c>
      <c r="AH1850" s="0" t="n">
        <v>1</v>
      </c>
    </row>
    <row r="1851" customFormat="false" ht="15" hidden="false" customHeight="false" outlineLevel="0" collapsed="false">
      <c r="A1851" s="0" t="s">
        <v>2788</v>
      </c>
      <c r="B1851" s="0" t="s">
        <v>134</v>
      </c>
      <c r="C1851" s="0" t="s">
        <v>3450</v>
      </c>
      <c r="D1851" s="0" t="s">
        <v>3448</v>
      </c>
      <c r="E1851" s="20" t="s">
        <v>25</v>
      </c>
      <c r="F1851" s="23" t="s">
        <v>30</v>
      </c>
      <c r="G1851" s="21" t="s">
        <v>283</v>
      </c>
      <c r="H1851" s="21" t="s">
        <v>24</v>
      </c>
      <c r="I1851" s="21" t="s">
        <v>25</v>
      </c>
      <c r="J1851" s="21" t="s">
        <v>24</v>
      </c>
      <c r="K1851" s="21" t="s">
        <v>24</v>
      </c>
      <c r="L1851" s="21" t="s">
        <v>24</v>
      </c>
      <c r="M1851" s="0" t="n">
        <v>184</v>
      </c>
      <c r="N1851" s="0" t="n">
        <v>2</v>
      </c>
      <c r="O1851" s="21" t="s">
        <v>3566</v>
      </c>
      <c r="P1851" s="21" t="s">
        <v>4238</v>
      </c>
      <c r="Q1851" s="0" t="n">
        <v>1</v>
      </c>
      <c r="R1851" s="21" t="s">
        <v>69</v>
      </c>
      <c r="S1851" s="0" t="n">
        <v>2</v>
      </c>
      <c r="T1851" s="21" t="s">
        <v>3566</v>
      </c>
      <c r="U1851" s="22" t="b">
        <f aca="false">TRUE()</f>
        <v>1</v>
      </c>
      <c r="V1851" s="0" t="n">
        <v>0.71</v>
      </c>
      <c r="W1851" s="0" t="n">
        <v>0.92</v>
      </c>
      <c r="X1851" s="0" t="n">
        <v>10.7</v>
      </c>
      <c r="Y1851" s="0" t="n">
        <v>313.59</v>
      </c>
      <c r="Z1851" s="0" t="n">
        <v>10</v>
      </c>
      <c r="AA1851" s="0" t="n">
        <v>6.99</v>
      </c>
      <c r="AB1851" s="0" t="n">
        <v>2.95</v>
      </c>
      <c r="AC1851" s="22" t="b">
        <f aca="false">FALSE()</f>
        <v>0</v>
      </c>
      <c r="AD1851" s="0" t="n">
        <v>8.05</v>
      </c>
      <c r="AE1851" s="0" t="n">
        <v>2.6</v>
      </c>
      <c r="AF1851" s="0" t="n">
        <v>10.45</v>
      </c>
      <c r="AG1851" s="22" t="b">
        <f aca="false">FALSE()</f>
        <v>0</v>
      </c>
      <c r="AH1851" s="0" t="n">
        <v>1</v>
      </c>
    </row>
    <row r="1852" customFormat="false" ht="15" hidden="false" customHeight="false" outlineLevel="0" collapsed="false">
      <c r="A1852" s="0" t="s">
        <v>2788</v>
      </c>
      <c r="B1852" s="0" t="s">
        <v>134</v>
      </c>
      <c r="C1852" s="0" t="s">
        <v>3447</v>
      </c>
      <c r="D1852" s="0" t="s">
        <v>3457</v>
      </c>
      <c r="E1852" s="20" t="s">
        <v>25</v>
      </c>
      <c r="F1852" s="23" t="s">
        <v>30</v>
      </c>
      <c r="G1852" s="21" t="s">
        <v>183</v>
      </c>
      <c r="H1852" s="21" t="s">
        <v>24</v>
      </c>
      <c r="I1852" s="21" t="s">
        <v>25</v>
      </c>
      <c r="J1852" s="21" t="s">
        <v>24</v>
      </c>
      <c r="K1852" s="21" t="s">
        <v>25</v>
      </c>
      <c r="L1852" s="21" t="s">
        <v>24</v>
      </c>
      <c r="M1852" s="0" t="n">
        <v>183</v>
      </c>
      <c r="N1852" s="0" t="n">
        <v>3</v>
      </c>
      <c r="O1852" s="21" t="s">
        <v>3733</v>
      </c>
      <c r="P1852" s="21" t="s">
        <v>4846</v>
      </c>
      <c r="Q1852" s="0" t="n">
        <v>1</v>
      </c>
      <c r="R1852" s="21" t="s">
        <v>69</v>
      </c>
      <c r="S1852" s="0" t="n">
        <v>3</v>
      </c>
      <c r="T1852" s="21" t="s">
        <v>3733</v>
      </c>
      <c r="U1852" s="22" t="b">
        <f aca="false">TRUE()</f>
        <v>1</v>
      </c>
      <c r="V1852" s="0" t="n">
        <v>0.69</v>
      </c>
      <c r="W1852" s="0" t="n">
        <v>0.12</v>
      </c>
      <c r="X1852" s="0" t="n">
        <v>7.01</v>
      </c>
      <c r="Y1852" s="0" t="n">
        <v>612.61</v>
      </c>
      <c r="Z1852" s="0" t="n">
        <v>10.83</v>
      </c>
      <c r="AA1852" s="0" t="n">
        <v>13.05</v>
      </c>
      <c r="AB1852" s="0" t="n">
        <v>4.64</v>
      </c>
      <c r="AC1852" s="22" t="b">
        <f aca="false">FALSE()</f>
        <v>0</v>
      </c>
      <c r="AD1852" s="0" t="n">
        <v>20.7</v>
      </c>
      <c r="AE1852" s="0" t="n">
        <v>12.49</v>
      </c>
      <c r="AF1852" s="0" t="n">
        <v>19.7</v>
      </c>
      <c r="AG1852" s="22" t="b">
        <f aca="false">TRUE()</f>
        <v>1</v>
      </c>
      <c r="AH1852" s="0" t="n">
        <v>1</v>
      </c>
    </row>
    <row r="1853" customFormat="false" ht="15" hidden="false" customHeight="false" outlineLevel="0" collapsed="false">
      <c r="A1853" s="0" t="s">
        <v>2788</v>
      </c>
      <c r="B1853" s="0" t="s">
        <v>134</v>
      </c>
      <c r="C1853" s="0" t="s">
        <v>3447</v>
      </c>
      <c r="D1853" s="0" t="s">
        <v>3448</v>
      </c>
      <c r="E1853" s="18" t="s">
        <v>24</v>
      </c>
      <c r="F1853" s="23" t="s">
        <v>30</v>
      </c>
      <c r="G1853" s="21" t="s">
        <v>30</v>
      </c>
      <c r="H1853" s="21" t="s">
        <v>24</v>
      </c>
      <c r="I1853" s="21" t="s">
        <v>24</v>
      </c>
      <c r="J1853" s="21" t="s">
        <v>24</v>
      </c>
      <c r="K1853" s="21" t="s">
        <v>24</v>
      </c>
      <c r="L1853" s="21" t="s">
        <v>24</v>
      </c>
      <c r="M1853" s="0" t="n">
        <v>184</v>
      </c>
      <c r="N1853" s="0" t="n">
        <v>5</v>
      </c>
      <c r="O1853" s="21" t="s">
        <v>3679</v>
      </c>
      <c r="P1853" s="21" t="s">
        <v>4274</v>
      </c>
      <c r="Q1853" s="0" t="n">
        <v>0</v>
      </c>
      <c r="S1853" s="0" t="n">
        <v>5</v>
      </c>
      <c r="T1853" s="21" t="s">
        <v>3679</v>
      </c>
      <c r="U1853" s="22" t="b">
        <f aca="false">TRUE()</f>
        <v>1</v>
      </c>
      <c r="V1853" s="0" t="n">
        <v>0.74</v>
      </c>
      <c r="W1853" s="0" t="n">
        <v>0.68</v>
      </c>
      <c r="X1853" s="0" t="n">
        <v>9.45</v>
      </c>
      <c r="Y1853" s="0" t="n">
        <v>317.57</v>
      </c>
      <c r="Z1853" s="0" t="n">
        <v>10.83</v>
      </c>
      <c r="AA1853" s="0" t="n">
        <v>6.13</v>
      </c>
      <c r="AB1853" s="0" t="n">
        <v>2.95</v>
      </c>
      <c r="AC1853" s="22" t="b">
        <f aca="false">FALSE()</f>
        <v>0</v>
      </c>
      <c r="AD1853" s="0" t="n">
        <v>12.07</v>
      </c>
      <c r="AE1853" s="0" t="n">
        <v>1.63</v>
      </c>
      <c r="AF1853" s="0" t="n">
        <v>14.66</v>
      </c>
      <c r="AG1853" s="22" t="b">
        <f aca="false">TRUE()</f>
        <v>1</v>
      </c>
      <c r="AH1853" s="0" t="n">
        <v>1</v>
      </c>
    </row>
    <row r="1854" customFormat="false" ht="15" hidden="false" customHeight="false" outlineLevel="0" collapsed="false">
      <c r="A1854" s="0" t="s">
        <v>2799</v>
      </c>
      <c r="B1854" s="0" t="s">
        <v>134</v>
      </c>
      <c r="C1854" s="0" t="s">
        <v>3450</v>
      </c>
      <c r="D1854" s="0" t="s">
        <v>3457</v>
      </c>
      <c r="E1854" s="20" t="s">
        <v>25</v>
      </c>
      <c r="F1854" s="23" t="s">
        <v>30</v>
      </c>
      <c r="G1854" s="21" t="s">
        <v>2133</v>
      </c>
      <c r="H1854" s="21" t="s">
        <v>24</v>
      </c>
      <c r="I1854" s="21" t="s">
        <v>24</v>
      </c>
      <c r="J1854" s="21" t="s">
        <v>24</v>
      </c>
      <c r="K1854" s="21" t="s">
        <v>25</v>
      </c>
      <c r="L1854" s="21" t="s">
        <v>24</v>
      </c>
      <c r="M1854" s="0" t="n">
        <v>185</v>
      </c>
      <c r="N1854" s="0" t="n">
        <v>1</v>
      </c>
      <c r="O1854" s="21" t="s">
        <v>3482</v>
      </c>
      <c r="P1854" s="21" t="s">
        <v>4716</v>
      </c>
      <c r="Q1854" s="0" t="n">
        <v>0</v>
      </c>
      <c r="S1854" s="0" t="n">
        <v>1</v>
      </c>
      <c r="T1854" s="21" t="s">
        <v>3482</v>
      </c>
      <c r="U1854" s="22" t="b">
        <f aca="false">TRUE()</f>
        <v>1</v>
      </c>
      <c r="V1854" s="0" t="n">
        <v>0.68</v>
      </c>
      <c r="W1854" s="0" t="n">
        <v>0.72</v>
      </c>
      <c r="X1854" s="0" t="n">
        <v>5.86</v>
      </c>
      <c r="Y1854" s="0" t="n">
        <v>322.32</v>
      </c>
      <c r="Z1854" s="0" t="n">
        <v>9.83</v>
      </c>
      <c r="AA1854" s="0" t="n">
        <v>14.74</v>
      </c>
      <c r="AB1854" s="0" t="n">
        <v>1.09</v>
      </c>
      <c r="AC1854" s="22" t="b">
        <f aca="false">FALSE()</f>
        <v>0</v>
      </c>
      <c r="AD1854" s="0" t="n">
        <v>8.27</v>
      </c>
      <c r="AE1854" s="0" t="n">
        <v>0.66</v>
      </c>
      <c r="AF1854" s="0" t="n">
        <v>3.92</v>
      </c>
      <c r="AG1854" s="22" t="b">
        <f aca="false">FALSE()</f>
        <v>0</v>
      </c>
      <c r="AH1854" s="0" t="n">
        <v>1</v>
      </c>
    </row>
    <row r="1855" customFormat="false" ht="15" hidden="false" customHeight="false" outlineLevel="0" collapsed="false">
      <c r="A1855" s="0" t="s">
        <v>2799</v>
      </c>
      <c r="B1855" s="0" t="s">
        <v>134</v>
      </c>
      <c r="C1855" s="0" t="s">
        <v>3450</v>
      </c>
      <c r="D1855" s="0" t="s">
        <v>3448</v>
      </c>
      <c r="E1855" s="20" t="s">
        <v>25</v>
      </c>
      <c r="F1855" s="23" t="s">
        <v>30</v>
      </c>
      <c r="G1855" s="21" t="s">
        <v>283</v>
      </c>
      <c r="H1855" s="21" t="s">
        <v>24</v>
      </c>
      <c r="I1855" s="21" t="s">
        <v>25</v>
      </c>
      <c r="J1855" s="21" t="s">
        <v>24</v>
      </c>
      <c r="K1855" s="21" t="s">
        <v>24</v>
      </c>
      <c r="L1855" s="21" t="s">
        <v>24</v>
      </c>
      <c r="M1855" s="0" t="n">
        <v>192</v>
      </c>
      <c r="N1855" s="0" t="n">
        <v>2</v>
      </c>
      <c r="O1855" s="21" t="s">
        <v>3601</v>
      </c>
      <c r="P1855" s="21" t="s">
        <v>4847</v>
      </c>
      <c r="Q1855" s="0" t="n">
        <v>1</v>
      </c>
      <c r="R1855" s="21" t="s">
        <v>69</v>
      </c>
      <c r="S1855" s="0" t="n">
        <v>1</v>
      </c>
      <c r="T1855" s="21" t="s">
        <v>69</v>
      </c>
      <c r="U1855" s="22" t="b">
        <f aca="false">TRUE()</f>
        <v>1</v>
      </c>
      <c r="V1855" s="0" t="n">
        <v>0.65</v>
      </c>
      <c r="W1855" s="0" t="n">
        <v>0</v>
      </c>
      <c r="X1855" s="0" t="n">
        <v>6.65</v>
      </c>
      <c r="Y1855" s="0" t="n">
        <v>29</v>
      </c>
      <c r="Z1855" s="0" t="n">
        <v>9.33</v>
      </c>
      <c r="AA1855" s="0" t="n">
        <v>13.45</v>
      </c>
      <c r="AB1855" s="0" t="n">
        <v>8.82</v>
      </c>
      <c r="AC1855" s="22" t="b">
        <f aca="false">FALSE()</f>
        <v>0</v>
      </c>
      <c r="AD1855" s="0" t="n">
        <v>1.56</v>
      </c>
      <c r="AE1855" s="0" t="n">
        <v>1.6</v>
      </c>
      <c r="AF1855" s="0" t="n">
        <v>2.91</v>
      </c>
      <c r="AG1855" s="22" t="b">
        <f aca="false">FALSE()</f>
        <v>0</v>
      </c>
      <c r="AH1855" s="0" t="n">
        <v>0</v>
      </c>
    </row>
    <row r="1856" customFormat="false" ht="15" hidden="false" customHeight="false" outlineLevel="0" collapsed="false">
      <c r="A1856" s="0" t="s">
        <v>2799</v>
      </c>
      <c r="B1856" s="0" t="s">
        <v>134</v>
      </c>
      <c r="C1856" s="0" t="s">
        <v>3447</v>
      </c>
      <c r="D1856" s="0" t="s">
        <v>3457</v>
      </c>
      <c r="E1856" s="20" t="s">
        <v>25</v>
      </c>
      <c r="F1856" s="23" t="s">
        <v>30</v>
      </c>
      <c r="G1856" s="21" t="s">
        <v>2133</v>
      </c>
      <c r="H1856" s="21" t="s">
        <v>24</v>
      </c>
      <c r="I1856" s="21" t="s">
        <v>24</v>
      </c>
      <c r="J1856" s="21" t="s">
        <v>24</v>
      </c>
      <c r="K1856" s="21" t="s">
        <v>25</v>
      </c>
      <c r="L1856" s="21" t="s">
        <v>24</v>
      </c>
      <c r="M1856" s="0" t="n">
        <v>186</v>
      </c>
      <c r="N1856" s="0" t="n">
        <v>6</v>
      </c>
      <c r="O1856" s="21" t="s">
        <v>3758</v>
      </c>
      <c r="P1856" s="21" t="s">
        <v>4848</v>
      </c>
      <c r="Q1856" s="0" t="n">
        <v>0</v>
      </c>
      <c r="S1856" s="0" t="n">
        <v>6</v>
      </c>
      <c r="T1856" s="21" t="s">
        <v>3758</v>
      </c>
      <c r="U1856" s="22" t="b">
        <f aca="false">TRUE()</f>
        <v>1</v>
      </c>
      <c r="V1856" s="0" t="n">
        <v>0.78</v>
      </c>
      <c r="W1856" s="0" t="n">
        <v>0.84</v>
      </c>
      <c r="X1856" s="0" t="n">
        <v>5.11</v>
      </c>
      <c r="Y1856" s="0" t="n">
        <v>323.96</v>
      </c>
      <c r="Z1856" s="0" t="n">
        <v>8</v>
      </c>
      <c r="AA1856" s="0" t="n">
        <v>-1.18</v>
      </c>
      <c r="AB1856" s="0" t="n">
        <v>1.09</v>
      </c>
      <c r="AC1856" s="22" t="b">
        <f aca="false">FALSE()</f>
        <v>0</v>
      </c>
      <c r="AD1856" s="0" t="n">
        <v>5.79</v>
      </c>
      <c r="AE1856" s="0" t="n">
        <v>0.84</v>
      </c>
      <c r="AF1856" s="0" t="n">
        <v>3.75</v>
      </c>
      <c r="AG1856" s="22" t="b">
        <f aca="false">FALSE()</f>
        <v>0</v>
      </c>
      <c r="AH1856" s="0" t="n">
        <v>1</v>
      </c>
    </row>
    <row r="1857" customFormat="false" ht="15" hidden="false" customHeight="false" outlineLevel="0" collapsed="false">
      <c r="A1857" s="0" t="s">
        <v>2799</v>
      </c>
      <c r="B1857" s="0" t="s">
        <v>134</v>
      </c>
      <c r="C1857" s="0" t="s">
        <v>3447</v>
      </c>
      <c r="D1857" s="0" t="s">
        <v>3448</v>
      </c>
      <c r="E1857" s="18" t="s">
        <v>24</v>
      </c>
      <c r="F1857" s="23" t="s">
        <v>30</v>
      </c>
      <c r="G1857" s="21" t="s">
        <v>30</v>
      </c>
      <c r="H1857" s="21" t="s">
        <v>24</v>
      </c>
      <c r="I1857" s="21" t="s">
        <v>24</v>
      </c>
      <c r="J1857" s="21" t="s">
        <v>24</v>
      </c>
      <c r="K1857" s="21" t="s">
        <v>24</v>
      </c>
      <c r="L1857" s="21" t="s">
        <v>24</v>
      </c>
      <c r="M1857" s="0" t="n">
        <v>206</v>
      </c>
      <c r="N1857" s="0" t="n">
        <v>4</v>
      </c>
      <c r="O1857" s="21" t="s">
        <v>3620</v>
      </c>
      <c r="P1857" s="21" t="s">
        <v>4849</v>
      </c>
      <c r="Q1857" s="0" t="n">
        <v>0</v>
      </c>
      <c r="S1857" s="0" t="n">
        <v>3</v>
      </c>
      <c r="T1857" s="21" t="s">
        <v>4850</v>
      </c>
      <c r="U1857" s="22" t="b">
        <f aca="false">TRUE()</f>
        <v>1</v>
      </c>
      <c r="V1857" s="0" t="n">
        <v>0.72</v>
      </c>
      <c r="W1857" s="0" t="n">
        <v>0.2</v>
      </c>
      <c r="X1857" s="0" t="n">
        <v>8.54</v>
      </c>
      <c r="Y1857" s="0" t="n">
        <v>432.17</v>
      </c>
      <c r="Z1857" s="0" t="n">
        <v>10</v>
      </c>
      <c r="AA1857" s="0" t="n">
        <v>2.39</v>
      </c>
      <c r="AB1857" s="0" t="n">
        <v>8.82</v>
      </c>
      <c r="AC1857" s="22" t="b">
        <f aca="false">FALSE()</f>
        <v>0</v>
      </c>
      <c r="AD1857" s="0" t="n">
        <v>0.48</v>
      </c>
      <c r="AE1857" s="0" t="n">
        <v>1.48</v>
      </c>
      <c r="AF1857" s="0" t="n">
        <v>0.98</v>
      </c>
      <c r="AG1857" s="22" t="b">
        <f aca="false">FALSE()</f>
        <v>0</v>
      </c>
      <c r="AH1857" s="0" t="n">
        <v>1</v>
      </c>
    </row>
    <row r="1858" customFormat="false" ht="15" hidden="false" customHeight="false" outlineLevel="0" collapsed="false">
      <c r="A1858" s="0" t="s">
        <v>2799</v>
      </c>
      <c r="B1858" s="0" t="s">
        <v>3459</v>
      </c>
      <c r="C1858" s="0" t="s">
        <v>3450</v>
      </c>
      <c r="D1858" s="0" t="s">
        <v>3457</v>
      </c>
      <c r="E1858" s="20" t="s">
        <v>25</v>
      </c>
      <c r="F1858" s="20" t="s">
        <v>29</v>
      </c>
      <c r="G1858" s="21" t="s">
        <v>3496</v>
      </c>
      <c r="H1858" s="21" t="s">
        <v>25</v>
      </c>
      <c r="I1858" s="21" t="s">
        <v>24</v>
      </c>
      <c r="J1858" s="21" t="s">
        <v>24</v>
      </c>
      <c r="K1858" s="21" t="s">
        <v>25</v>
      </c>
      <c r="L1858" s="21" t="s">
        <v>24</v>
      </c>
      <c r="M1858" s="0" t="n">
        <v>261</v>
      </c>
      <c r="N1858" s="0" t="n">
        <v>0</v>
      </c>
      <c r="Q1858" s="0" t="n">
        <v>0</v>
      </c>
      <c r="S1858" s="0" t="n">
        <v>0</v>
      </c>
      <c r="U1858" s="22" t="b">
        <f aca="false">FALSE()</f>
        <v>0</v>
      </c>
      <c r="V1858" s="0" t="n">
        <v>0.66</v>
      </c>
      <c r="W1858" s="0" t="n">
        <v>0.16</v>
      </c>
      <c r="X1858" s="0" t="n">
        <v>7.81</v>
      </c>
      <c r="Y1858" s="0" t="n">
        <v>719.5</v>
      </c>
      <c r="Z1858" s="0" t="n">
        <v>9.25</v>
      </c>
      <c r="AA1858" s="0" t="n">
        <v>14.22</v>
      </c>
      <c r="AB1858" s="0" t="n">
        <v>7.01</v>
      </c>
      <c r="AC1858" s="22" t="b">
        <f aca="false">FALSE()</f>
        <v>0</v>
      </c>
      <c r="AD1858" s="0" t="n">
        <v>20.53</v>
      </c>
      <c r="AE1858" s="0" t="n">
        <v>8.22</v>
      </c>
      <c r="AF1858" s="0" t="n">
        <v>18.13</v>
      </c>
      <c r="AG1858" s="22" t="b">
        <f aca="false">TRUE()</f>
        <v>1</v>
      </c>
      <c r="AH1858" s="0" t="n">
        <v>1</v>
      </c>
    </row>
    <row r="1859" customFormat="false" ht="15" hidden="false" customHeight="false" outlineLevel="0" collapsed="false">
      <c r="A1859" s="0" t="s">
        <v>2799</v>
      </c>
      <c r="B1859" s="0" t="s">
        <v>3459</v>
      </c>
      <c r="C1859" s="0" t="s">
        <v>3450</v>
      </c>
      <c r="D1859" s="0" t="s">
        <v>3448</v>
      </c>
      <c r="E1859" s="20" t="s">
        <v>25</v>
      </c>
      <c r="F1859" s="20" t="s">
        <v>29</v>
      </c>
      <c r="G1859" s="21" t="s">
        <v>61</v>
      </c>
      <c r="H1859" s="21" t="s">
        <v>24</v>
      </c>
      <c r="I1859" s="21" t="s">
        <v>24</v>
      </c>
      <c r="J1859" s="21" t="s">
        <v>24</v>
      </c>
      <c r="K1859" s="21" t="s">
        <v>25</v>
      </c>
      <c r="L1859" s="21" t="s">
        <v>24</v>
      </c>
      <c r="M1859" s="0" t="n">
        <v>231</v>
      </c>
      <c r="N1859" s="0" t="n">
        <v>0</v>
      </c>
      <c r="Q1859" s="0" t="n">
        <v>0</v>
      </c>
      <c r="S1859" s="0" t="n">
        <v>0</v>
      </c>
      <c r="U1859" s="22" t="b">
        <f aca="false">FALSE()</f>
        <v>0</v>
      </c>
      <c r="V1859" s="0" t="n">
        <v>0.6</v>
      </c>
      <c r="W1859" s="0" t="n">
        <v>0.24</v>
      </c>
      <c r="X1859" s="0" t="n">
        <v>9.78</v>
      </c>
      <c r="Y1859" s="0" t="n">
        <v>583.66</v>
      </c>
      <c r="Z1859" s="0" t="n">
        <v>9.5</v>
      </c>
      <c r="AA1859" s="0" t="n">
        <v>11.78</v>
      </c>
      <c r="AB1859" s="0" t="n">
        <v>3.33</v>
      </c>
      <c r="AC1859" s="22" t="b">
        <f aca="false">FALSE()</f>
        <v>0</v>
      </c>
      <c r="AD1859" s="0" t="n">
        <v>22.9</v>
      </c>
      <c r="AE1859" s="0" t="n">
        <v>9.33</v>
      </c>
      <c r="AF1859" s="0" t="n">
        <v>19.49</v>
      </c>
      <c r="AG1859" s="22" t="b">
        <f aca="false">TRUE()</f>
        <v>1</v>
      </c>
      <c r="AH1859" s="0" t="n">
        <v>1</v>
      </c>
    </row>
    <row r="1860" customFormat="false" ht="15" hidden="false" customHeight="false" outlineLevel="0" collapsed="false">
      <c r="A1860" s="0" t="s">
        <v>2799</v>
      </c>
      <c r="B1860" s="0" t="s">
        <v>3459</v>
      </c>
      <c r="C1860" s="0" t="s">
        <v>3447</v>
      </c>
      <c r="D1860" s="0" t="s">
        <v>3457</v>
      </c>
      <c r="E1860" s="19" t="s">
        <v>26</v>
      </c>
      <c r="F1860" s="19" t="s">
        <v>32</v>
      </c>
      <c r="G1860" s="21" t="s">
        <v>529</v>
      </c>
      <c r="H1860" s="21" t="s">
        <v>24</v>
      </c>
      <c r="I1860" s="21" t="s">
        <v>26</v>
      </c>
      <c r="J1860" s="21" t="s">
        <v>24</v>
      </c>
      <c r="K1860" s="21" t="s">
        <v>24</v>
      </c>
      <c r="L1860" s="21" t="s">
        <v>24</v>
      </c>
      <c r="M1860" s="0" t="n">
        <v>186</v>
      </c>
      <c r="N1860" s="0" t="n">
        <v>10</v>
      </c>
      <c r="O1860" s="21" t="s">
        <v>4148</v>
      </c>
      <c r="P1860" s="21" t="s">
        <v>4851</v>
      </c>
      <c r="Q1860" s="0" t="n">
        <v>1</v>
      </c>
      <c r="R1860" s="21" t="s">
        <v>69</v>
      </c>
      <c r="S1860" s="0" t="n">
        <v>10</v>
      </c>
      <c r="T1860" s="21" t="s">
        <v>4148</v>
      </c>
      <c r="U1860" s="22" t="b">
        <f aca="false">FALSE()</f>
        <v>0</v>
      </c>
      <c r="V1860" s="0" t="n">
        <v>0.68</v>
      </c>
      <c r="W1860" s="0" t="n">
        <v>0.32</v>
      </c>
      <c r="X1860" s="0" t="n">
        <v>7.3</v>
      </c>
      <c r="Y1860" s="0" t="n">
        <v>398.42</v>
      </c>
      <c r="Z1860" s="0" t="n">
        <v>9.83</v>
      </c>
      <c r="AA1860" s="0" t="n">
        <v>4.69</v>
      </c>
      <c r="AB1860" s="0" t="n">
        <v>7.01</v>
      </c>
      <c r="AC1860" s="22" t="b">
        <f aca="false">FALSE()</f>
        <v>0</v>
      </c>
      <c r="AD1860" s="0" t="n">
        <v>19.48</v>
      </c>
      <c r="AE1860" s="0" t="n">
        <v>7.8</v>
      </c>
      <c r="AF1860" s="0" t="n">
        <v>18.07</v>
      </c>
      <c r="AG1860" s="22" t="b">
        <f aca="false">TRUE()</f>
        <v>1</v>
      </c>
      <c r="AH1860" s="0" t="n">
        <v>1</v>
      </c>
    </row>
    <row r="1861" customFormat="false" ht="15" hidden="false" customHeight="false" outlineLevel="0" collapsed="false">
      <c r="A1861" s="0" t="s">
        <v>2799</v>
      </c>
      <c r="B1861" s="0" t="s">
        <v>3459</v>
      </c>
      <c r="C1861" s="0" t="s">
        <v>3447</v>
      </c>
      <c r="D1861" s="0" t="s">
        <v>3448</v>
      </c>
      <c r="E1861" s="19" t="s">
        <v>26</v>
      </c>
      <c r="F1861" s="19" t="s">
        <v>32</v>
      </c>
      <c r="G1861" s="21" t="s">
        <v>529</v>
      </c>
      <c r="H1861" s="21" t="s">
        <v>24</v>
      </c>
      <c r="I1861" s="21" t="s">
        <v>26</v>
      </c>
      <c r="J1861" s="21" t="s">
        <v>24</v>
      </c>
      <c r="K1861" s="21" t="s">
        <v>24</v>
      </c>
      <c r="L1861" s="21" t="s">
        <v>24</v>
      </c>
      <c r="M1861" s="0" t="n">
        <v>185</v>
      </c>
      <c r="N1861" s="0" t="n">
        <v>10</v>
      </c>
      <c r="O1861" s="21" t="s">
        <v>4056</v>
      </c>
      <c r="P1861" s="21" t="s">
        <v>4462</v>
      </c>
      <c r="Q1861" s="0" t="n">
        <v>1</v>
      </c>
      <c r="R1861" s="21" t="s">
        <v>69</v>
      </c>
      <c r="S1861" s="0" t="n">
        <v>10</v>
      </c>
      <c r="T1861" s="21" t="s">
        <v>4056</v>
      </c>
      <c r="U1861" s="22" t="b">
        <f aca="false">FALSE()</f>
        <v>0</v>
      </c>
      <c r="V1861" s="0" t="n">
        <v>0.62</v>
      </c>
      <c r="W1861" s="0" t="n">
        <v>0.8</v>
      </c>
      <c r="X1861" s="0" t="n">
        <v>9.13</v>
      </c>
      <c r="Y1861" s="0" t="n">
        <v>317.89</v>
      </c>
      <c r="Z1861" s="0" t="n">
        <v>10</v>
      </c>
      <c r="AA1861" s="0" t="n">
        <v>6.88</v>
      </c>
      <c r="AB1861" s="0" t="n">
        <v>3.33</v>
      </c>
      <c r="AC1861" s="22" t="b">
        <f aca="false">FALSE()</f>
        <v>0</v>
      </c>
      <c r="AD1861" s="0" t="n">
        <v>18.3</v>
      </c>
      <c r="AE1861" s="0" t="n">
        <v>7.37</v>
      </c>
      <c r="AF1861" s="0" t="n">
        <v>12.76</v>
      </c>
      <c r="AG1861" s="22" t="b">
        <f aca="false">TRUE()</f>
        <v>1</v>
      </c>
      <c r="AH1861" s="0" t="n">
        <v>1</v>
      </c>
    </row>
    <row r="1862" customFormat="false" ht="15" hidden="false" customHeight="false" outlineLevel="0" collapsed="false">
      <c r="A1862" s="0" t="s">
        <v>2810</v>
      </c>
      <c r="B1862" s="0" t="s">
        <v>134</v>
      </c>
      <c r="C1862" s="0" t="s">
        <v>3450</v>
      </c>
      <c r="D1862" s="0" t="s">
        <v>3457</v>
      </c>
      <c r="E1862" s="20" t="s">
        <v>25</v>
      </c>
      <c r="F1862" s="23" t="s">
        <v>30</v>
      </c>
      <c r="G1862" s="21" t="s">
        <v>283</v>
      </c>
      <c r="H1862" s="21" t="s">
        <v>24</v>
      </c>
      <c r="I1862" s="21" t="s">
        <v>25</v>
      </c>
      <c r="J1862" s="21" t="s">
        <v>24</v>
      </c>
      <c r="K1862" s="21" t="s">
        <v>24</v>
      </c>
      <c r="L1862" s="21" t="s">
        <v>24</v>
      </c>
      <c r="M1862" s="0" t="n">
        <v>209</v>
      </c>
      <c r="N1862" s="0" t="n">
        <v>2</v>
      </c>
      <c r="O1862" s="21" t="s">
        <v>3575</v>
      </c>
      <c r="P1862" s="21" t="s">
        <v>4265</v>
      </c>
      <c r="Q1862" s="0" t="n">
        <v>1</v>
      </c>
      <c r="R1862" s="21" t="s">
        <v>69</v>
      </c>
      <c r="S1862" s="0" t="n">
        <v>2</v>
      </c>
      <c r="T1862" s="21" t="s">
        <v>3575</v>
      </c>
      <c r="U1862" s="22" t="b">
        <f aca="false">TRUE()</f>
        <v>1</v>
      </c>
      <c r="V1862" s="0" t="n">
        <v>0.75</v>
      </c>
      <c r="W1862" s="0" t="n">
        <v>0.4</v>
      </c>
      <c r="X1862" s="0" t="n">
        <v>5.9</v>
      </c>
      <c r="Y1862" s="0" t="n">
        <v>411.41</v>
      </c>
      <c r="Z1862" s="0" t="n">
        <v>10.25</v>
      </c>
      <c r="AA1862" s="0" t="n">
        <v>11.07</v>
      </c>
      <c r="AB1862" s="0" t="n">
        <v>1.7</v>
      </c>
      <c r="AC1862" s="22" t="b">
        <f aca="false">FALSE()</f>
        <v>0</v>
      </c>
      <c r="AD1862" s="0" t="n">
        <v>7.85</v>
      </c>
      <c r="AE1862" s="0" t="n">
        <v>0.61</v>
      </c>
      <c r="AF1862" s="0" t="n">
        <v>9.12</v>
      </c>
      <c r="AG1862" s="22" t="b">
        <f aca="false">FALSE()</f>
        <v>0</v>
      </c>
      <c r="AH1862" s="0" t="n">
        <v>1</v>
      </c>
    </row>
    <row r="1863" customFormat="false" ht="15" hidden="false" customHeight="false" outlineLevel="0" collapsed="false">
      <c r="A1863" s="0" t="s">
        <v>2810</v>
      </c>
      <c r="B1863" s="0" t="s">
        <v>134</v>
      </c>
      <c r="C1863" s="0" t="s">
        <v>3450</v>
      </c>
      <c r="D1863" s="0" t="s">
        <v>3448</v>
      </c>
      <c r="E1863" s="20" t="s">
        <v>25</v>
      </c>
      <c r="F1863" s="23" t="s">
        <v>30</v>
      </c>
      <c r="G1863" s="21" t="s">
        <v>283</v>
      </c>
      <c r="H1863" s="21" t="s">
        <v>24</v>
      </c>
      <c r="I1863" s="21" t="s">
        <v>25</v>
      </c>
      <c r="J1863" s="21" t="s">
        <v>24</v>
      </c>
      <c r="K1863" s="21" t="s">
        <v>24</v>
      </c>
      <c r="L1863" s="21" t="s">
        <v>24</v>
      </c>
      <c r="M1863" s="0" t="n">
        <v>183</v>
      </c>
      <c r="N1863" s="0" t="n">
        <v>3</v>
      </c>
      <c r="O1863" s="21" t="s">
        <v>3649</v>
      </c>
      <c r="P1863" s="21" t="s">
        <v>4242</v>
      </c>
      <c r="Q1863" s="0" t="n">
        <v>1</v>
      </c>
      <c r="R1863" s="21" t="s">
        <v>69</v>
      </c>
      <c r="S1863" s="0" t="n">
        <v>3</v>
      </c>
      <c r="T1863" s="21" t="s">
        <v>3649</v>
      </c>
      <c r="U1863" s="22" t="b">
        <f aca="false">TRUE()</f>
        <v>1</v>
      </c>
      <c r="V1863" s="0" t="n">
        <v>0.73</v>
      </c>
      <c r="W1863" s="0" t="n">
        <v>0.6</v>
      </c>
      <c r="X1863" s="0" t="n">
        <v>6.08</v>
      </c>
      <c r="Y1863" s="0" t="n">
        <v>322.78</v>
      </c>
      <c r="Z1863" s="0" t="n">
        <v>10.75</v>
      </c>
      <c r="AA1863" s="0" t="n">
        <v>11.72</v>
      </c>
      <c r="AB1863" s="0" t="n">
        <v>2.55</v>
      </c>
      <c r="AC1863" s="22" t="b">
        <f aca="false">FALSE()</f>
        <v>0</v>
      </c>
      <c r="AD1863" s="0" t="n">
        <v>8.94</v>
      </c>
      <c r="AE1863" s="0" t="n">
        <v>0.77</v>
      </c>
      <c r="AF1863" s="0" t="n">
        <v>12</v>
      </c>
      <c r="AG1863" s="22" t="b">
        <f aca="false">FALSE()</f>
        <v>0</v>
      </c>
      <c r="AH1863" s="0" t="n">
        <v>1</v>
      </c>
    </row>
    <row r="1864" customFormat="false" ht="15" hidden="false" customHeight="false" outlineLevel="0" collapsed="false">
      <c r="A1864" s="0" t="s">
        <v>2810</v>
      </c>
      <c r="B1864" s="0" t="s">
        <v>134</v>
      </c>
      <c r="C1864" s="0" t="s">
        <v>3447</v>
      </c>
      <c r="D1864" s="0" t="s">
        <v>3457</v>
      </c>
      <c r="E1864" s="20" t="s">
        <v>25</v>
      </c>
      <c r="F1864" s="23" t="s">
        <v>30</v>
      </c>
      <c r="G1864" s="21" t="s">
        <v>283</v>
      </c>
      <c r="H1864" s="21" t="s">
        <v>24</v>
      </c>
      <c r="I1864" s="21" t="s">
        <v>25</v>
      </c>
      <c r="J1864" s="21" t="s">
        <v>24</v>
      </c>
      <c r="K1864" s="21" t="s">
        <v>24</v>
      </c>
      <c r="L1864" s="21" t="s">
        <v>24</v>
      </c>
      <c r="M1864" s="0" t="n">
        <v>187</v>
      </c>
      <c r="N1864" s="0" t="n">
        <v>2</v>
      </c>
      <c r="O1864" s="21" t="s">
        <v>3575</v>
      </c>
      <c r="P1864" s="21" t="s">
        <v>4265</v>
      </c>
      <c r="Q1864" s="0" t="n">
        <v>1</v>
      </c>
      <c r="R1864" s="21" t="s">
        <v>69</v>
      </c>
      <c r="S1864" s="0" t="n">
        <v>2</v>
      </c>
      <c r="T1864" s="21" t="s">
        <v>3575</v>
      </c>
      <c r="U1864" s="22" t="b">
        <f aca="false">TRUE()</f>
        <v>1</v>
      </c>
      <c r="V1864" s="0" t="n">
        <v>0.72</v>
      </c>
      <c r="W1864" s="0" t="n">
        <v>0.8</v>
      </c>
      <c r="X1864" s="0" t="n">
        <v>6.87</v>
      </c>
      <c r="Y1864" s="0" t="n">
        <v>327.98</v>
      </c>
      <c r="Z1864" s="0" t="n">
        <v>10.5</v>
      </c>
      <c r="AA1864" s="0" t="n">
        <v>4.45</v>
      </c>
      <c r="AB1864" s="0" t="n">
        <v>1.7</v>
      </c>
      <c r="AC1864" s="22" t="b">
        <f aca="false">FALSE()</f>
        <v>0</v>
      </c>
      <c r="AD1864" s="0" t="n">
        <v>6.56</v>
      </c>
      <c r="AE1864" s="0" t="n">
        <v>0.38</v>
      </c>
      <c r="AF1864" s="0" t="n">
        <v>8.11</v>
      </c>
      <c r="AG1864" s="22" t="b">
        <f aca="false">FALSE()</f>
        <v>0</v>
      </c>
      <c r="AH1864" s="0" t="n">
        <v>1</v>
      </c>
    </row>
    <row r="1865" customFormat="false" ht="15" hidden="false" customHeight="false" outlineLevel="0" collapsed="false">
      <c r="A1865" s="0" t="s">
        <v>2810</v>
      </c>
      <c r="B1865" s="0" t="s">
        <v>134</v>
      </c>
      <c r="C1865" s="0" t="s">
        <v>3447</v>
      </c>
      <c r="D1865" s="0" t="s">
        <v>3448</v>
      </c>
      <c r="E1865" s="20" t="s">
        <v>25</v>
      </c>
      <c r="F1865" s="23" t="s">
        <v>30</v>
      </c>
      <c r="G1865" s="21" t="s">
        <v>283</v>
      </c>
      <c r="H1865" s="21" t="s">
        <v>24</v>
      </c>
      <c r="I1865" s="21" t="s">
        <v>25</v>
      </c>
      <c r="J1865" s="21" t="s">
        <v>24</v>
      </c>
      <c r="K1865" s="21" t="s">
        <v>24</v>
      </c>
      <c r="L1865" s="21" t="s">
        <v>24</v>
      </c>
      <c r="M1865" s="0" t="n">
        <v>184</v>
      </c>
      <c r="N1865" s="0" t="n">
        <v>3</v>
      </c>
      <c r="O1865" s="21" t="s">
        <v>3649</v>
      </c>
      <c r="P1865" s="21" t="s">
        <v>4242</v>
      </c>
      <c r="Q1865" s="0" t="n">
        <v>1</v>
      </c>
      <c r="R1865" s="21" t="s">
        <v>69</v>
      </c>
      <c r="S1865" s="0" t="n">
        <v>3</v>
      </c>
      <c r="T1865" s="21" t="s">
        <v>3649</v>
      </c>
      <c r="U1865" s="22" t="b">
        <f aca="false">TRUE()</f>
        <v>1</v>
      </c>
      <c r="V1865" s="0" t="n">
        <v>0.75</v>
      </c>
      <c r="W1865" s="0" t="n">
        <v>0</v>
      </c>
      <c r="X1865" s="0" t="n">
        <v>6.51</v>
      </c>
      <c r="Y1865" s="0" t="n">
        <v>696.14</v>
      </c>
      <c r="Z1865" s="0" t="n">
        <v>10.83</v>
      </c>
      <c r="AA1865" s="0" t="n">
        <v>3.23</v>
      </c>
      <c r="AB1865" s="0" t="n">
        <v>2.55</v>
      </c>
      <c r="AC1865" s="22" t="b">
        <f aca="false">FALSE()</f>
        <v>0</v>
      </c>
      <c r="AD1865" s="0" t="n">
        <v>8.98</v>
      </c>
      <c r="AE1865" s="0" t="n">
        <v>1.23</v>
      </c>
      <c r="AF1865" s="0" t="n">
        <v>12.42</v>
      </c>
      <c r="AG1865" s="22" t="b">
        <f aca="false">FALSE()</f>
        <v>0</v>
      </c>
      <c r="AH1865" s="0" t="n">
        <v>1</v>
      </c>
    </row>
    <row r="1866" customFormat="false" ht="15" hidden="false" customHeight="false" outlineLevel="0" collapsed="false">
      <c r="A1866" s="0" t="s">
        <v>2810</v>
      </c>
      <c r="B1866" s="0" t="s">
        <v>3459</v>
      </c>
      <c r="C1866" s="0" t="s">
        <v>3450</v>
      </c>
      <c r="D1866" s="0" t="s">
        <v>3457</v>
      </c>
      <c r="E1866" s="19" t="s">
        <v>26</v>
      </c>
      <c r="F1866" s="19" t="s">
        <v>32</v>
      </c>
      <c r="G1866" s="21" t="s">
        <v>529</v>
      </c>
      <c r="H1866" s="21" t="s">
        <v>24</v>
      </c>
      <c r="I1866" s="21" t="s">
        <v>26</v>
      </c>
      <c r="J1866" s="21" t="s">
        <v>24</v>
      </c>
      <c r="K1866" s="21" t="s">
        <v>24</v>
      </c>
      <c r="L1866" s="21" t="s">
        <v>24</v>
      </c>
      <c r="M1866" s="0" t="n">
        <v>183</v>
      </c>
      <c r="N1866" s="0" t="n">
        <v>9</v>
      </c>
      <c r="O1866" s="21" t="s">
        <v>4109</v>
      </c>
      <c r="P1866" s="21" t="s">
        <v>4852</v>
      </c>
      <c r="Q1866" s="0" t="n">
        <v>1</v>
      </c>
      <c r="R1866" s="21" t="s">
        <v>69</v>
      </c>
      <c r="S1866" s="0" t="n">
        <v>9</v>
      </c>
      <c r="T1866" s="21" t="s">
        <v>4109</v>
      </c>
      <c r="U1866" s="22" t="b">
        <f aca="false">FALSE()</f>
        <v>0</v>
      </c>
      <c r="V1866" s="0" t="n">
        <v>0.72</v>
      </c>
      <c r="W1866" s="0" t="n">
        <v>0.44</v>
      </c>
      <c r="X1866" s="0" t="n">
        <v>6.95</v>
      </c>
      <c r="Y1866" s="0" t="n">
        <v>328.13</v>
      </c>
      <c r="Z1866" s="0" t="n">
        <v>10.75</v>
      </c>
      <c r="AA1866" s="0" t="n">
        <v>15.41</v>
      </c>
      <c r="AB1866" s="0" t="n">
        <v>4.66</v>
      </c>
      <c r="AC1866" s="22" t="b">
        <f aca="false">FALSE()</f>
        <v>0</v>
      </c>
      <c r="AD1866" s="0" t="n">
        <v>16.04</v>
      </c>
      <c r="AE1866" s="0" t="n">
        <v>7.13</v>
      </c>
      <c r="AF1866" s="0" t="n">
        <v>17.39</v>
      </c>
      <c r="AG1866" s="22" t="b">
        <f aca="false">TRUE()</f>
        <v>1</v>
      </c>
      <c r="AH1866" s="0" t="n">
        <v>1</v>
      </c>
    </row>
    <row r="1867" customFormat="false" ht="15" hidden="false" customHeight="false" outlineLevel="0" collapsed="false">
      <c r="A1867" s="0" t="s">
        <v>2810</v>
      </c>
      <c r="B1867" s="0" t="s">
        <v>3459</v>
      </c>
      <c r="C1867" s="0" t="s">
        <v>3450</v>
      </c>
      <c r="D1867" s="0" t="s">
        <v>3448</v>
      </c>
      <c r="E1867" s="20" t="s">
        <v>25</v>
      </c>
      <c r="F1867" s="23" t="s">
        <v>30</v>
      </c>
      <c r="G1867" s="21" t="s">
        <v>1099</v>
      </c>
      <c r="H1867" s="21" t="s">
        <v>24</v>
      </c>
      <c r="I1867" s="21" t="s">
        <v>25</v>
      </c>
      <c r="J1867" s="21" t="s">
        <v>24</v>
      </c>
      <c r="K1867" s="21" t="s">
        <v>25</v>
      </c>
      <c r="L1867" s="21" t="s">
        <v>24</v>
      </c>
      <c r="M1867" s="0" t="n">
        <v>183</v>
      </c>
      <c r="N1867" s="0" t="n">
        <v>3</v>
      </c>
      <c r="O1867" s="21" t="s">
        <v>3649</v>
      </c>
      <c r="P1867" s="21" t="s">
        <v>4242</v>
      </c>
      <c r="Q1867" s="0" t="n">
        <v>1</v>
      </c>
      <c r="R1867" s="21" t="s">
        <v>69</v>
      </c>
      <c r="S1867" s="0" t="n">
        <v>3</v>
      </c>
      <c r="T1867" s="21" t="s">
        <v>3649</v>
      </c>
      <c r="U1867" s="22" t="b">
        <f aca="false">TRUE()</f>
        <v>1</v>
      </c>
      <c r="V1867" s="0" t="n">
        <v>0.76</v>
      </c>
      <c r="W1867" s="0" t="n">
        <v>0</v>
      </c>
      <c r="X1867" s="0" t="n">
        <v>6.35</v>
      </c>
      <c r="Y1867" s="0" t="n">
        <v>689.97</v>
      </c>
      <c r="Z1867" s="0" t="n">
        <v>11.25</v>
      </c>
      <c r="AA1867" s="0" t="n">
        <v>7.27</v>
      </c>
      <c r="AB1867" s="0" t="n">
        <v>1.06</v>
      </c>
      <c r="AC1867" s="22" t="b">
        <f aca="false">FALSE()</f>
        <v>0</v>
      </c>
      <c r="AD1867" s="0" t="n">
        <v>17.39</v>
      </c>
      <c r="AE1867" s="0" t="n">
        <v>6.36</v>
      </c>
      <c r="AF1867" s="0" t="n">
        <v>15.11</v>
      </c>
      <c r="AG1867" s="22" t="b">
        <f aca="false">TRUE()</f>
        <v>1</v>
      </c>
      <c r="AH1867" s="0" t="n">
        <v>1</v>
      </c>
    </row>
    <row r="1868" customFormat="false" ht="15" hidden="false" customHeight="false" outlineLevel="0" collapsed="false">
      <c r="A1868" s="0" t="s">
        <v>2810</v>
      </c>
      <c r="B1868" s="0" t="s">
        <v>3459</v>
      </c>
      <c r="C1868" s="0" t="s">
        <v>3447</v>
      </c>
      <c r="D1868" s="0" t="s">
        <v>3457</v>
      </c>
      <c r="E1868" s="18" t="s">
        <v>24</v>
      </c>
      <c r="F1868" s="23" t="s">
        <v>30</v>
      </c>
      <c r="G1868" s="21" t="s">
        <v>30</v>
      </c>
      <c r="H1868" s="21" t="s">
        <v>24</v>
      </c>
      <c r="I1868" s="21" t="s">
        <v>24</v>
      </c>
      <c r="J1868" s="21" t="s">
        <v>24</v>
      </c>
      <c r="K1868" s="21" t="s">
        <v>24</v>
      </c>
      <c r="L1868" s="21" t="s">
        <v>24</v>
      </c>
      <c r="M1868" s="0" t="n">
        <v>182</v>
      </c>
      <c r="N1868" s="0" t="n">
        <v>2</v>
      </c>
      <c r="O1868" s="21" t="s">
        <v>3524</v>
      </c>
      <c r="P1868" s="21" t="s">
        <v>4550</v>
      </c>
      <c r="Q1868" s="0" t="n">
        <v>0</v>
      </c>
      <c r="S1868" s="0" t="n">
        <v>2</v>
      </c>
      <c r="T1868" s="21" t="s">
        <v>3524</v>
      </c>
      <c r="U1868" s="22" t="b">
        <f aca="false">TRUE()</f>
        <v>1</v>
      </c>
      <c r="V1868" s="0" t="n">
        <v>0.74</v>
      </c>
      <c r="W1868" s="0" t="n">
        <v>0.2</v>
      </c>
      <c r="X1868" s="0" t="n">
        <v>7.22</v>
      </c>
      <c r="Y1868" s="0" t="n">
        <v>478.95</v>
      </c>
      <c r="Z1868" s="0" t="n">
        <v>11.25</v>
      </c>
      <c r="AA1868" s="0" t="n">
        <v>2.26</v>
      </c>
      <c r="AB1868" s="0" t="n">
        <v>4.66</v>
      </c>
      <c r="AC1868" s="22" t="b">
        <f aca="false">FALSE()</f>
        <v>0</v>
      </c>
      <c r="AD1868" s="0" t="n">
        <v>14.56</v>
      </c>
      <c r="AE1868" s="0" t="n">
        <v>6.87</v>
      </c>
      <c r="AF1868" s="0" t="n">
        <v>17.05</v>
      </c>
      <c r="AG1868" s="22" t="b">
        <f aca="false">TRUE()</f>
        <v>1</v>
      </c>
      <c r="AH1868" s="0" t="n">
        <v>1</v>
      </c>
    </row>
    <row r="1869" customFormat="false" ht="15" hidden="false" customHeight="false" outlineLevel="0" collapsed="false">
      <c r="A1869" s="0" t="s">
        <v>2810</v>
      </c>
      <c r="B1869" s="0" t="s">
        <v>3459</v>
      </c>
      <c r="C1869" s="0" t="s">
        <v>3447</v>
      </c>
      <c r="D1869" s="0" t="s">
        <v>3448</v>
      </c>
      <c r="E1869" s="20" t="s">
        <v>25</v>
      </c>
      <c r="F1869" s="23" t="s">
        <v>30</v>
      </c>
      <c r="G1869" s="21" t="s">
        <v>2133</v>
      </c>
      <c r="H1869" s="21" t="s">
        <v>24</v>
      </c>
      <c r="I1869" s="21" t="s">
        <v>24</v>
      </c>
      <c r="J1869" s="21" t="s">
        <v>24</v>
      </c>
      <c r="K1869" s="21" t="s">
        <v>25</v>
      </c>
      <c r="L1869" s="21" t="s">
        <v>24</v>
      </c>
      <c r="M1869" s="0" t="n">
        <v>183</v>
      </c>
      <c r="N1869" s="0" t="n">
        <v>5</v>
      </c>
      <c r="O1869" s="21" t="s">
        <v>3706</v>
      </c>
      <c r="P1869" s="21" t="s">
        <v>4853</v>
      </c>
      <c r="Q1869" s="0" t="n">
        <v>0</v>
      </c>
      <c r="S1869" s="0" t="n">
        <v>5</v>
      </c>
      <c r="T1869" s="21" t="s">
        <v>3706</v>
      </c>
      <c r="U1869" s="22" t="b">
        <f aca="false">TRUE()</f>
        <v>1</v>
      </c>
      <c r="V1869" s="0" t="n">
        <v>0.81</v>
      </c>
      <c r="W1869" s="0" t="n">
        <v>0.96</v>
      </c>
      <c r="X1869" s="0" t="n">
        <v>7.21</v>
      </c>
      <c r="Y1869" s="0" t="n">
        <v>314.99</v>
      </c>
      <c r="Z1869" s="0" t="n">
        <v>10.25</v>
      </c>
      <c r="AA1869" s="0" t="n">
        <v>5.55</v>
      </c>
      <c r="AB1869" s="0" t="n">
        <v>1.06</v>
      </c>
      <c r="AC1869" s="22" t="b">
        <f aca="false">FALSE()</f>
        <v>0</v>
      </c>
      <c r="AD1869" s="0" t="n">
        <v>16.6</v>
      </c>
      <c r="AE1869" s="0" t="n">
        <v>6.74</v>
      </c>
      <c r="AF1869" s="0" t="n">
        <v>14.73</v>
      </c>
      <c r="AG1869" s="22" t="b">
        <f aca="false">TRUE()</f>
        <v>1</v>
      </c>
      <c r="AH1869" s="0" t="n">
        <v>1</v>
      </c>
    </row>
    <row r="1870" customFormat="false" ht="15" hidden="false" customHeight="false" outlineLevel="0" collapsed="false">
      <c r="A1870" s="0" t="s">
        <v>2816</v>
      </c>
      <c r="B1870" s="0" t="s">
        <v>134</v>
      </c>
      <c r="C1870" s="0" t="s">
        <v>3450</v>
      </c>
      <c r="D1870" s="0" t="s">
        <v>3457</v>
      </c>
      <c r="E1870" s="20" t="s">
        <v>25</v>
      </c>
      <c r="F1870" s="23" t="s">
        <v>30</v>
      </c>
      <c r="G1870" s="21" t="s">
        <v>1099</v>
      </c>
      <c r="H1870" s="21" t="s">
        <v>24</v>
      </c>
      <c r="I1870" s="21" t="s">
        <v>25</v>
      </c>
      <c r="J1870" s="21" t="s">
        <v>24</v>
      </c>
      <c r="K1870" s="21" t="s">
        <v>25</v>
      </c>
      <c r="L1870" s="21" t="s">
        <v>24</v>
      </c>
      <c r="M1870" s="0" t="n">
        <v>183</v>
      </c>
      <c r="N1870" s="0" t="n">
        <v>2</v>
      </c>
      <c r="O1870" s="21" t="s">
        <v>3575</v>
      </c>
      <c r="P1870" s="21" t="s">
        <v>4265</v>
      </c>
      <c r="Q1870" s="0" t="n">
        <v>1</v>
      </c>
      <c r="R1870" s="21" t="s">
        <v>69</v>
      </c>
      <c r="S1870" s="0" t="n">
        <v>2</v>
      </c>
      <c r="T1870" s="21" t="s">
        <v>3575</v>
      </c>
      <c r="U1870" s="22" t="b">
        <f aca="false">TRUE()</f>
        <v>1</v>
      </c>
      <c r="V1870" s="0" t="n">
        <v>0.8</v>
      </c>
      <c r="W1870" s="0" t="n">
        <v>0.96</v>
      </c>
      <c r="X1870" s="0" t="n">
        <v>8.19</v>
      </c>
      <c r="Y1870" s="0" t="n">
        <v>311.05</v>
      </c>
      <c r="Z1870" s="0" t="n">
        <v>11.08</v>
      </c>
      <c r="AA1870" s="0" t="n">
        <v>7.95</v>
      </c>
      <c r="AB1870" s="0" t="n">
        <v>1.42</v>
      </c>
      <c r="AC1870" s="22" t="b">
        <f aca="false">FALSE()</f>
        <v>0</v>
      </c>
      <c r="AD1870" s="0" t="n">
        <v>5.76</v>
      </c>
      <c r="AE1870" s="0" t="n">
        <v>1.34</v>
      </c>
      <c r="AF1870" s="0" t="n">
        <v>11.39</v>
      </c>
      <c r="AG1870" s="22" t="b">
        <f aca="false">FALSE()</f>
        <v>0</v>
      </c>
      <c r="AH1870" s="0" t="n">
        <v>1</v>
      </c>
    </row>
    <row r="1871" customFormat="false" ht="15" hidden="false" customHeight="false" outlineLevel="0" collapsed="false">
      <c r="A1871" s="0" t="s">
        <v>2816</v>
      </c>
      <c r="B1871" s="0" t="s">
        <v>134</v>
      </c>
      <c r="C1871" s="0" t="s">
        <v>3450</v>
      </c>
      <c r="D1871" s="0" t="s">
        <v>3448</v>
      </c>
      <c r="E1871" s="20" t="s">
        <v>25</v>
      </c>
      <c r="F1871" s="23" t="s">
        <v>30</v>
      </c>
      <c r="G1871" s="21" t="s">
        <v>283</v>
      </c>
      <c r="H1871" s="21" t="s">
        <v>24</v>
      </c>
      <c r="I1871" s="21" t="s">
        <v>25</v>
      </c>
      <c r="J1871" s="21" t="s">
        <v>24</v>
      </c>
      <c r="K1871" s="21" t="s">
        <v>24</v>
      </c>
      <c r="L1871" s="21" t="s">
        <v>24</v>
      </c>
      <c r="M1871" s="0" t="n">
        <v>185</v>
      </c>
      <c r="N1871" s="0" t="n">
        <v>2</v>
      </c>
      <c r="O1871" s="21" t="s">
        <v>3575</v>
      </c>
      <c r="P1871" s="21" t="s">
        <v>4265</v>
      </c>
      <c r="Q1871" s="0" t="n">
        <v>1</v>
      </c>
      <c r="R1871" s="21" t="s">
        <v>69</v>
      </c>
      <c r="S1871" s="0" t="n">
        <v>2</v>
      </c>
      <c r="T1871" s="21" t="s">
        <v>3575</v>
      </c>
      <c r="U1871" s="22" t="b">
        <f aca="false">TRUE()</f>
        <v>1</v>
      </c>
      <c r="V1871" s="0" t="n">
        <v>0.82</v>
      </c>
      <c r="W1871" s="0" t="n">
        <v>0.84</v>
      </c>
      <c r="X1871" s="0" t="n">
        <v>8.39</v>
      </c>
      <c r="Y1871" s="0" t="n">
        <v>315.85</v>
      </c>
      <c r="Z1871" s="0" t="n">
        <v>10</v>
      </c>
      <c r="AA1871" s="0" t="n">
        <v>10.96</v>
      </c>
      <c r="AB1871" s="0" t="n">
        <v>2.39</v>
      </c>
      <c r="AC1871" s="22" t="b">
        <f aca="false">FALSE()</f>
        <v>0</v>
      </c>
      <c r="AD1871" s="0" t="n">
        <v>6.7</v>
      </c>
      <c r="AE1871" s="0" t="n">
        <v>-0.02</v>
      </c>
      <c r="AF1871" s="0" t="n">
        <v>12.64</v>
      </c>
      <c r="AG1871" s="22" t="b">
        <f aca="false">FALSE()</f>
        <v>0</v>
      </c>
      <c r="AH1871" s="0" t="n">
        <v>1</v>
      </c>
    </row>
    <row r="1872" customFormat="false" ht="15" hidden="false" customHeight="false" outlineLevel="0" collapsed="false">
      <c r="A1872" s="0" t="s">
        <v>2816</v>
      </c>
      <c r="B1872" s="0" t="s">
        <v>134</v>
      </c>
      <c r="C1872" s="0" t="s">
        <v>3447</v>
      </c>
      <c r="D1872" s="0" t="s">
        <v>3457</v>
      </c>
      <c r="E1872" s="20" t="s">
        <v>25</v>
      </c>
      <c r="F1872" s="23" t="s">
        <v>30</v>
      </c>
      <c r="G1872" s="21" t="s">
        <v>1099</v>
      </c>
      <c r="H1872" s="21" t="s">
        <v>24</v>
      </c>
      <c r="I1872" s="21" t="s">
        <v>25</v>
      </c>
      <c r="J1872" s="21" t="s">
        <v>24</v>
      </c>
      <c r="K1872" s="21" t="s">
        <v>25</v>
      </c>
      <c r="L1872" s="21" t="s">
        <v>24</v>
      </c>
      <c r="M1872" s="0" t="n">
        <v>183</v>
      </c>
      <c r="N1872" s="0" t="n">
        <v>3</v>
      </c>
      <c r="O1872" s="21" t="s">
        <v>3649</v>
      </c>
      <c r="P1872" s="21" t="s">
        <v>4242</v>
      </c>
      <c r="Q1872" s="0" t="n">
        <v>1</v>
      </c>
      <c r="R1872" s="21" t="s">
        <v>69</v>
      </c>
      <c r="S1872" s="0" t="n">
        <v>3</v>
      </c>
      <c r="T1872" s="21" t="s">
        <v>3649</v>
      </c>
      <c r="U1872" s="22" t="b">
        <f aca="false">TRUE()</f>
        <v>1</v>
      </c>
      <c r="V1872" s="0" t="n">
        <v>0.78</v>
      </c>
      <c r="W1872" s="0" t="n">
        <v>0</v>
      </c>
      <c r="X1872" s="0" t="n">
        <v>8.93</v>
      </c>
      <c r="Y1872" s="0" t="n">
        <v>681.57</v>
      </c>
      <c r="Z1872" s="0" t="n">
        <v>11.75</v>
      </c>
      <c r="AA1872" s="0" t="n">
        <v>7.76</v>
      </c>
      <c r="AB1872" s="0" t="n">
        <v>1.42</v>
      </c>
      <c r="AC1872" s="22" t="b">
        <f aca="false">FALSE()</f>
        <v>0</v>
      </c>
      <c r="AD1872" s="0" t="n">
        <v>4.58</v>
      </c>
      <c r="AE1872" s="0" t="n">
        <v>0.71</v>
      </c>
      <c r="AF1872" s="0" t="n">
        <v>8.83</v>
      </c>
      <c r="AG1872" s="22" t="b">
        <f aca="false">FALSE()</f>
        <v>0</v>
      </c>
      <c r="AH1872" s="0" t="n">
        <v>1</v>
      </c>
    </row>
    <row r="1873" customFormat="false" ht="15" hidden="false" customHeight="false" outlineLevel="0" collapsed="false">
      <c r="A1873" s="0" t="s">
        <v>2816</v>
      </c>
      <c r="B1873" s="0" t="s">
        <v>134</v>
      </c>
      <c r="C1873" s="0" t="s">
        <v>3447</v>
      </c>
      <c r="D1873" s="0" t="s">
        <v>3448</v>
      </c>
      <c r="E1873" s="19" t="s">
        <v>26</v>
      </c>
      <c r="F1873" s="19" t="s">
        <v>32</v>
      </c>
      <c r="G1873" s="21" t="s">
        <v>60</v>
      </c>
      <c r="H1873" s="21" t="s">
        <v>24</v>
      </c>
      <c r="I1873" s="21" t="s">
        <v>26</v>
      </c>
      <c r="J1873" s="21" t="s">
        <v>24</v>
      </c>
      <c r="K1873" s="21" t="s">
        <v>24</v>
      </c>
      <c r="L1873" s="21" t="s">
        <v>24</v>
      </c>
      <c r="M1873" s="0" t="n">
        <v>182</v>
      </c>
      <c r="N1873" s="0" t="n">
        <v>7</v>
      </c>
      <c r="O1873" s="21" t="s">
        <v>3876</v>
      </c>
      <c r="P1873" s="21" t="s">
        <v>4854</v>
      </c>
      <c r="Q1873" s="0" t="n">
        <v>0</v>
      </c>
      <c r="S1873" s="0" t="n">
        <v>7</v>
      </c>
      <c r="T1873" s="21" t="s">
        <v>3876</v>
      </c>
      <c r="U1873" s="22" t="b">
        <f aca="false">FALSE()</f>
        <v>0</v>
      </c>
      <c r="V1873" s="0" t="n">
        <v>0.82</v>
      </c>
      <c r="W1873" s="0" t="n">
        <v>0</v>
      </c>
      <c r="X1873" s="0" t="n">
        <v>9.87</v>
      </c>
      <c r="Y1873" s="0" t="n">
        <v>1.03</v>
      </c>
      <c r="Z1873" s="0" t="n">
        <v>10.75</v>
      </c>
      <c r="AA1873" s="0" t="n">
        <v>5.2</v>
      </c>
      <c r="AB1873" s="0" t="n">
        <v>2.39</v>
      </c>
      <c r="AC1873" s="22" t="b">
        <f aca="false">FALSE()</f>
        <v>0</v>
      </c>
      <c r="AD1873" s="0" t="n">
        <v>6.75</v>
      </c>
      <c r="AE1873" s="0" t="n">
        <v>2.89</v>
      </c>
      <c r="AF1873" s="0" t="n">
        <v>11.5</v>
      </c>
      <c r="AG1873" s="22" t="b">
        <f aca="false">FALSE()</f>
        <v>0</v>
      </c>
      <c r="AH1873" s="0" t="n">
        <v>0</v>
      </c>
    </row>
    <row r="1874" customFormat="false" ht="15" hidden="false" customHeight="false" outlineLevel="0" collapsed="false">
      <c r="A1874" s="0" t="s">
        <v>2822</v>
      </c>
      <c r="B1874" s="0" t="s">
        <v>134</v>
      </c>
      <c r="C1874" s="0" t="s">
        <v>3450</v>
      </c>
      <c r="D1874" s="0" t="s">
        <v>3457</v>
      </c>
      <c r="E1874" s="18" t="s">
        <v>24</v>
      </c>
      <c r="F1874" s="18" t="s">
        <v>28</v>
      </c>
      <c r="H1874" s="21" t="s">
        <v>24</v>
      </c>
      <c r="I1874" s="21" t="s">
        <v>24</v>
      </c>
      <c r="J1874" s="21" t="s">
        <v>24</v>
      </c>
      <c r="K1874" s="21" t="s">
        <v>24</v>
      </c>
      <c r="L1874" s="21" t="s">
        <v>24</v>
      </c>
      <c r="M1874" s="0" t="n">
        <v>183</v>
      </c>
      <c r="N1874" s="0" t="n">
        <v>0</v>
      </c>
      <c r="Q1874" s="0" t="n">
        <v>0</v>
      </c>
      <c r="S1874" s="0" t="n">
        <v>0</v>
      </c>
      <c r="U1874" s="22" t="b">
        <f aca="false">FALSE()</f>
        <v>0</v>
      </c>
      <c r="V1874" s="0" t="n">
        <v>0.7</v>
      </c>
      <c r="W1874" s="0" t="n">
        <v>0</v>
      </c>
      <c r="X1874" s="0" t="n">
        <v>8.87</v>
      </c>
      <c r="Y1874" s="0" t="n">
        <v>0.65</v>
      </c>
      <c r="Z1874" s="0" t="n">
        <v>9.75</v>
      </c>
      <c r="AA1874" s="0" t="n">
        <v>9.22</v>
      </c>
      <c r="AB1874" s="0" t="n">
        <v>2.67</v>
      </c>
      <c r="AC1874" s="22" t="b">
        <f aca="false">FALSE()</f>
        <v>0</v>
      </c>
      <c r="AD1874" s="0" t="n">
        <v>19.54</v>
      </c>
      <c r="AE1874" s="0" t="n">
        <v>4.92</v>
      </c>
      <c r="AF1874" s="0" t="n">
        <v>14.08</v>
      </c>
      <c r="AG1874" s="22" t="b">
        <f aca="false">TRUE()</f>
        <v>1</v>
      </c>
      <c r="AH1874" s="0" t="n">
        <v>0</v>
      </c>
    </row>
    <row r="1875" customFormat="false" ht="15" hidden="false" customHeight="false" outlineLevel="0" collapsed="false">
      <c r="A1875" s="0" t="s">
        <v>2822</v>
      </c>
      <c r="B1875" s="0" t="s">
        <v>134</v>
      </c>
      <c r="C1875" s="0" t="s">
        <v>3450</v>
      </c>
      <c r="D1875" s="0" t="s">
        <v>3448</v>
      </c>
      <c r="E1875" s="20" t="s">
        <v>25</v>
      </c>
      <c r="F1875" s="23" t="s">
        <v>30</v>
      </c>
      <c r="G1875" s="21" t="s">
        <v>283</v>
      </c>
      <c r="H1875" s="21" t="s">
        <v>24</v>
      </c>
      <c r="I1875" s="21" t="s">
        <v>25</v>
      </c>
      <c r="J1875" s="21" t="s">
        <v>24</v>
      </c>
      <c r="K1875" s="21" t="s">
        <v>24</v>
      </c>
      <c r="L1875" s="21" t="s">
        <v>24</v>
      </c>
      <c r="M1875" s="0" t="n">
        <v>198</v>
      </c>
      <c r="N1875" s="0" t="n">
        <v>1</v>
      </c>
      <c r="O1875" s="21" t="s">
        <v>69</v>
      </c>
      <c r="P1875" s="21" t="s">
        <v>4275</v>
      </c>
      <c r="Q1875" s="0" t="n">
        <v>1</v>
      </c>
      <c r="R1875" s="21" t="s">
        <v>69</v>
      </c>
      <c r="S1875" s="0" t="n">
        <v>1</v>
      </c>
      <c r="T1875" s="21" t="s">
        <v>69</v>
      </c>
      <c r="U1875" s="22" t="b">
        <f aca="false">TRUE()</f>
        <v>1</v>
      </c>
      <c r="V1875" s="0" t="n">
        <v>0.65</v>
      </c>
      <c r="W1875" s="0" t="n">
        <v>0</v>
      </c>
      <c r="X1875" s="0" t="n">
        <v>11.21</v>
      </c>
      <c r="Y1875" s="0" t="n">
        <v>32.16</v>
      </c>
      <c r="Z1875" s="0" t="n">
        <v>11.25</v>
      </c>
      <c r="AA1875" s="0" t="n">
        <v>12.72</v>
      </c>
      <c r="AB1875" s="0" t="n">
        <v>7.35</v>
      </c>
      <c r="AC1875" s="22" t="b">
        <f aca="false">FALSE()</f>
        <v>0</v>
      </c>
      <c r="AD1875" s="0" t="n">
        <v>12.14</v>
      </c>
      <c r="AE1875" s="0" t="n">
        <v>4.85</v>
      </c>
      <c r="AF1875" s="0" t="n">
        <v>11</v>
      </c>
      <c r="AG1875" s="22" t="b">
        <f aca="false">TRUE()</f>
        <v>1</v>
      </c>
      <c r="AH1875" s="0" t="n">
        <v>0</v>
      </c>
    </row>
    <row r="1876" customFormat="false" ht="15" hidden="false" customHeight="false" outlineLevel="0" collapsed="false">
      <c r="A1876" s="0" t="s">
        <v>2822</v>
      </c>
      <c r="B1876" s="0" t="s">
        <v>134</v>
      </c>
      <c r="C1876" s="0" t="s">
        <v>3447</v>
      </c>
      <c r="D1876" s="0" t="s">
        <v>3457</v>
      </c>
      <c r="E1876" s="18" t="s">
        <v>24</v>
      </c>
      <c r="F1876" s="23" t="s">
        <v>30</v>
      </c>
      <c r="G1876" s="21" t="s">
        <v>30</v>
      </c>
      <c r="H1876" s="21" t="s">
        <v>24</v>
      </c>
      <c r="I1876" s="21" t="s">
        <v>24</v>
      </c>
      <c r="J1876" s="21" t="s">
        <v>24</v>
      </c>
      <c r="K1876" s="21" t="s">
        <v>24</v>
      </c>
      <c r="L1876" s="21" t="s">
        <v>24</v>
      </c>
      <c r="M1876" s="0" t="n">
        <v>188</v>
      </c>
      <c r="N1876" s="0" t="n">
        <v>6</v>
      </c>
      <c r="O1876" s="21" t="s">
        <v>3800</v>
      </c>
      <c r="P1876" s="21" t="s">
        <v>4855</v>
      </c>
      <c r="Q1876" s="0" t="n">
        <v>0</v>
      </c>
      <c r="S1876" s="0" t="n">
        <v>6</v>
      </c>
      <c r="T1876" s="21" t="s">
        <v>3800</v>
      </c>
      <c r="U1876" s="22" t="b">
        <f aca="false">TRUE()</f>
        <v>1</v>
      </c>
      <c r="V1876" s="0" t="n">
        <v>0.71</v>
      </c>
      <c r="W1876" s="0" t="n">
        <v>0.32</v>
      </c>
      <c r="X1876" s="0" t="n">
        <v>9.36</v>
      </c>
      <c r="Y1876" s="0" t="n">
        <v>391.34</v>
      </c>
      <c r="Z1876" s="0" t="n">
        <v>9.08</v>
      </c>
      <c r="AA1876" s="0" t="n">
        <v>1.15</v>
      </c>
      <c r="AB1876" s="0" t="n">
        <v>2.67</v>
      </c>
      <c r="AC1876" s="22" t="b">
        <f aca="false">FALSE()</f>
        <v>0</v>
      </c>
      <c r="AD1876" s="0" t="n">
        <v>16.48</v>
      </c>
      <c r="AE1876" s="0" t="n">
        <v>3.76</v>
      </c>
      <c r="AF1876" s="0" t="n">
        <v>12.37</v>
      </c>
      <c r="AG1876" s="22" t="b">
        <f aca="false">TRUE()</f>
        <v>1</v>
      </c>
      <c r="AH1876" s="0" t="n">
        <v>1</v>
      </c>
    </row>
    <row r="1877" customFormat="false" ht="15" hidden="false" customHeight="false" outlineLevel="0" collapsed="false">
      <c r="A1877" s="0" t="s">
        <v>2822</v>
      </c>
      <c r="B1877" s="0" t="s">
        <v>134</v>
      </c>
      <c r="C1877" s="0" t="s">
        <v>3447</v>
      </c>
      <c r="D1877" s="0" t="s">
        <v>3448</v>
      </c>
      <c r="E1877" s="18" t="s">
        <v>24</v>
      </c>
      <c r="F1877" s="23" t="s">
        <v>30</v>
      </c>
      <c r="G1877" s="21" t="s">
        <v>30</v>
      </c>
      <c r="H1877" s="21" t="s">
        <v>24</v>
      </c>
      <c r="I1877" s="21" t="s">
        <v>24</v>
      </c>
      <c r="J1877" s="21" t="s">
        <v>24</v>
      </c>
      <c r="K1877" s="21" t="s">
        <v>24</v>
      </c>
      <c r="L1877" s="21" t="s">
        <v>24</v>
      </c>
      <c r="M1877" s="0" t="n">
        <v>193</v>
      </c>
      <c r="N1877" s="0" t="n">
        <v>3</v>
      </c>
      <c r="O1877" s="21" t="s">
        <v>3570</v>
      </c>
      <c r="P1877" s="21" t="s">
        <v>4653</v>
      </c>
      <c r="Q1877" s="0" t="n">
        <v>0</v>
      </c>
      <c r="S1877" s="0" t="n">
        <v>3</v>
      </c>
      <c r="T1877" s="21" t="s">
        <v>3570</v>
      </c>
      <c r="U1877" s="22" t="b">
        <f aca="false">TRUE()</f>
        <v>1</v>
      </c>
      <c r="V1877" s="0" t="n">
        <v>0.75</v>
      </c>
      <c r="W1877" s="0" t="n">
        <v>0.52</v>
      </c>
      <c r="X1877" s="0" t="n">
        <v>10.01</v>
      </c>
      <c r="Y1877" s="0" t="n">
        <v>342.4</v>
      </c>
      <c r="Z1877" s="0" t="n">
        <v>8.83</v>
      </c>
      <c r="AA1877" s="0" t="n">
        <v>1.38</v>
      </c>
      <c r="AB1877" s="0" t="n">
        <v>7.35</v>
      </c>
      <c r="AC1877" s="22" t="b">
        <f aca="false">FALSE()</f>
        <v>0</v>
      </c>
      <c r="AD1877" s="0" t="n">
        <v>9.14</v>
      </c>
      <c r="AE1877" s="0" t="n">
        <v>1.47</v>
      </c>
      <c r="AF1877" s="0" t="n">
        <v>7.08</v>
      </c>
      <c r="AG1877" s="22" t="b">
        <f aca="false">FALSE()</f>
        <v>0</v>
      </c>
      <c r="AH1877" s="0" t="n">
        <v>1</v>
      </c>
    </row>
    <row r="1878" customFormat="false" ht="15" hidden="false" customHeight="false" outlineLevel="0" collapsed="false">
      <c r="A1878" s="0" t="s">
        <v>2822</v>
      </c>
      <c r="B1878" s="0" t="s">
        <v>3459</v>
      </c>
      <c r="C1878" s="0" t="s">
        <v>3450</v>
      </c>
      <c r="D1878" s="0" t="s">
        <v>3457</v>
      </c>
      <c r="E1878" s="18" t="s">
        <v>24</v>
      </c>
      <c r="F1878" s="18" t="s">
        <v>28</v>
      </c>
      <c r="H1878" s="21" t="s">
        <v>24</v>
      </c>
      <c r="I1878" s="21" t="s">
        <v>24</v>
      </c>
      <c r="J1878" s="21" t="s">
        <v>24</v>
      </c>
      <c r="K1878" s="21" t="s">
        <v>24</v>
      </c>
      <c r="L1878" s="21" t="s">
        <v>24</v>
      </c>
      <c r="M1878" s="0" t="n">
        <v>184</v>
      </c>
      <c r="N1878" s="0" t="n">
        <v>0</v>
      </c>
      <c r="Q1878" s="0" t="n">
        <v>0</v>
      </c>
      <c r="S1878" s="0" t="n">
        <v>0</v>
      </c>
      <c r="U1878" s="22" t="b">
        <f aca="false">FALSE()</f>
        <v>0</v>
      </c>
      <c r="V1878" s="0" t="n">
        <v>0.69</v>
      </c>
      <c r="W1878" s="0" t="n">
        <v>0.48</v>
      </c>
      <c r="X1878" s="0" t="n">
        <v>7.56</v>
      </c>
      <c r="Y1878" s="0" t="n">
        <v>314.5</v>
      </c>
      <c r="Z1878" s="0" t="n">
        <v>10.33</v>
      </c>
      <c r="AA1878" s="0" t="n">
        <v>8.21</v>
      </c>
      <c r="AB1878" s="0" t="n">
        <v>1.63</v>
      </c>
      <c r="AC1878" s="22" t="b">
        <f aca="false">FALSE()</f>
        <v>0</v>
      </c>
      <c r="AD1878" s="0" t="n">
        <v>19.22</v>
      </c>
      <c r="AE1878" s="0" t="n">
        <v>9.81</v>
      </c>
      <c r="AF1878" s="0" t="n">
        <v>18.03</v>
      </c>
      <c r="AG1878" s="22" t="b">
        <f aca="false">TRUE()</f>
        <v>1</v>
      </c>
      <c r="AH1878" s="0" t="n">
        <v>1</v>
      </c>
    </row>
    <row r="1879" customFormat="false" ht="15" hidden="false" customHeight="false" outlineLevel="0" collapsed="false">
      <c r="A1879" s="0" t="s">
        <v>2822</v>
      </c>
      <c r="B1879" s="0" t="s">
        <v>3459</v>
      </c>
      <c r="C1879" s="0" t="s">
        <v>3450</v>
      </c>
      <c r="D1879" s="0" t="s">
        <v>3448</v>
      </c>
      <c r="E1879" s="19" t="s">
        <v>26</v>
      </c>
      <c r="F1879" s="19" t="s">
        <v>32</v>
      </c>
      <c r="G1879" s="21" t="s">
        <v>529</v>
      </c>
      <c r="H1879" s="21" t="s">
        <v>24</v>
      </c>
      <c r="I1879" s="21" t="s">
        <v>26</v>
      </c>
      <c r="J1879" s="21" t="s">
        <v>24</v>
      </c>
      <c r="K1879" s="21" t="s">
        <v>24</v>
      </c>
      <c r="L1879" s="21" t="s">
        <v>24</v>
      </c>
      <c r="M1879" s="0" t="n">
        <v>184</v>
      </c>
      <c r="N1879" s="0" t="n">
        <v>9</v>
      </c>
      <c r="O1879" s="21" t="s">
        <v>4183</v>
      </c>
      <c r="P1879" s="21" t="s">
        <v>4856</v>
      </c>
      <c r="Q1879" s="0" t="n">
        <v>1</v>
      </c>
      <c r="R1879" s="21" t="s">
        <v>69</v>
      </c>
      <c r="S1879" s="0" t="n">
        <v>9</v>
      </c>
      <c r="T1879" s="21" t="s">
        <v>4183</v>
      </c>
      <c r="U1879" s="22" t="b">
        <f aca="false">FALSE()</f>
        <v>0</v>
      </c>
      <c r="V1879" s="0" t="n">
        <v>0.51</v>
      </c>
      <c r="W1879" s="0" t="n">
        <v>0.84</v>
      </c>
      <c r="X1879" s="0" t="n">
        <v>14.55</v>
      </c>
      <c r="Y1879" s="0" t="n">
        <v>297.52</v>
      </c>
      <c r="Z1879" s="0" t="n">
        <v>10.75</v>
      </c>
      <c r="AA1879" s="0" t="n">
        <v>3.77</v>
      </c>
      <c r="AB1879" s="0" t="n">
        <v>8.06</v>
      </c>
      <c r="AC1879" s="22" t="b">
        <f aca="false">FALSE()</f>
        <v>0</v>
      </c>
      <c r="AD1879" s="0" t="n">
        <v>12.41</v>
      </c>
      <c r="AE1879" s="0" t="n">
        <v>3.64</v>
      </c>
      <c r="AF1879" s="0" t="n">
        <v>12.14</v>
      </c>
      <c r="AG1879" s="22" t="b">
        <f aca="false">TRUE()</f>
        <v>1</v>
      </c>
      <c r="AH1879" s="0" t="n">
        <v>1</v>
      </c>
    </row>
    <row r="1880" customFormat="false" ht="15" hidden="false" customHeight="false" outlineLevel="0" collapsed="false">
      <c r="A1880" s="0" t="s">
        <v>2822</v>
      </c>
      <c r="B1880" s="0" t="s">
        <v>3459</v>
      </c>
      <c r="C1880" s="0" t="s">
        <v>3447</v>
      </c>
      <c r="D1880" s="0" t="s">
        <v>3457</v>
      </c>
      <c r="E1880" s="18" t="s">
        <v>24</v>
      </c>
      <c r="F1880" s="23" t="s">
        <v>30</v>
      </c>
      <c r="G1880" s="21" t="s">
        <v>30</v>
      </c>
      <c r="H1880" s="21" t="s">
        <v>24</v>
      </c>
      <c r="I1880" s="21" t="s">
        <v>24</v>
      </c>
      <c r="J1880" s="21" t="s">
        <v>24</v>
      </c>
      <c r="K1880" s="21" t="s">
        <v>24</v>
      </c>
      <c r="L1880" s="21" t="s">
        <v>24</v>
      </c>
      <c r="M1880" s="0" t="n">
        <v>184</v>
      </c>
      <c r="N1880" s="0" t="n">
        <v>6</v>
      </c>
      <c r="O1880" s="21" t="s">
        <v>3764</v>
      </c>
      <c r="P1880" s="21" t="s">
        <v>4857</v>
      </c>
      <c r="Q1880" s="0" t="n">
        <v>0</v>
      </c>
      <c r="S1880" s="0" t="n">
        <v>6</v>
      </c>
      <c r="T1880" s="21" t="s">
        <v>3764</v>
      </c>
      <c r="U1880" s="22" t="b">
        <f aca="false">TRUE()</f>
        <v>1</v>
      </c>
      <c r="V1880" s="0" t="n">
        <v>0.82</v>
      </c>
      <c r="W1880" s="0" t="n">
        <v>0.8</v>
      </c>
      <c r="X1880" s="0" t="n">
        <v>9.43</v>
      </c>
      <c r="Y1880" s="0" t="n">
        <v>304.39</v>
      </c>
      <c r="Z1880" s="0" t="n">
        <v>8.25</v>
      </c>
      <c r="AA1880" s="0" t="n">
        <v>-0.11</v>
      </c>
      <c r="AB1880" s="0" t="n">
        <v>1.63</v>
      </c>
      <c r="AC1880" s="22" t="b">
        <f aca="false">FALSE()</f>
        <v>0</v>
      </c>
      <c r="AD1880" s="0" t="n">
        <v>16.9</v>
      </c>
      <c r="AE1880" s="0" t="n">
        <v>7.09</v>
      </c>
      <c r="AF1880" s="0" t="n">
        <v>12.8</v>
      </c>
      <c r="AG1880" s="22" t="b">
        <f aca="false">TRUE()</f>
        <v>1</v>
      </c>
      <c r="AH1880" s="0" t="n">
        <v>1</v>
      </c>
    </row>
    <row r="1881" customFormat="false" ht="15" hidden="false" customHeight="false" outlineLevel="0" collapsed="false">
      <c r="A1881" s="0" t="s">
        <v>2822</v>
      </c>
      <c r="B1881" s="0" t="s">
        <v>3459</v>
      </c>
      <c r="C1881" s="0" t="s">
        <v>3447</v>
      </c>
      <c r="D1881" s="0" t="s">
        <v>3448</v>
      </c>
      <c r="E1881" s="19" t="s">
        <v>26</v>
      </c>
      <c r="F1881" s="19" t="s">
        <v>32</v>
      </c>
      <c r="G1881" s="21" t="s">
        <v>60</v>
      </c>
      <c r="H1881" s="21" t="s">
        <v>24</v>
      </c>
      <c r="I1881" s="21" t="s">
        <v>26</v>
      </c>
      <c r="J1881" s="21" t="s">
        <v>24</v>
      </c>
      <c r="K1881" s="21" t="s">
        <v>24</v>
      </c>
      <c r="L1881" s="21" t="s">
        <v>24</v>
      </c>
      <c r="M1881" s="0" t="n">
        <v>187</v>
      </c>
      <c r="N1881" s="0" t="n">
        <v>9</v>
      </c>
      <c r="O1881" s="21" t="s">
        <v>3915</v>
      </c>
      <c r="P1881" s="21" t="s">
        <v>4858</v>
      </c>
      <c r="Q1881" s="0" t="n">
        <v>0</v>
      </c>
      <c r="S1881" s="0" t="n">
        <v>7</v>
      </c>
      <c r="T1881" s="21" t="s">
        <v>4859</v>
      </c>
      <c r="U1881" s="22" t="b">
        <f aca="false">FALSE()</f>
        <v>0</v>
      </c>
      <c r="V1881" s="0" t="n">
        <v>0.82</v>
      </c>
      <c r="W1881" s="0" t="n">
        <v>0.92</v>
      </c>
      <c r="X1881" s="0" t="n">
        <v>11.92</v>
      </c>
      <c r="Y1881" s="0" t="n">
        <v>285.73</v>
      </c>
      <c r="Z1881" s="0" t="n">
        <v>8.5</v>
      </c>
      <c r="AA1881" s="0" t="n">
        <v>1.94</v>
      </c>
      <c r="AB1881" s="0" t="n">
        <v>8.06</v>
      </c>
      <c r="AC1881" s="22" t="b">
        <f aca="false">FALSE()</f>
        <v>0</v>
      </c>
      <c r="AD1881" s="0" t="n">
        <v>17.86</v>
      </c>
      <c r="AE1881" s="0" t="n">
        <v>5.18</v>
      </c>
      <c r="AF1881" s="0" t="n">
        <v>14.62</v>
      </c>
      <c r="AG1881" s="22" t="b">
        <f aca="false">TRUE()</f>
        <v>1</v>
      </c>
      <c r="AH1881" s="0" t="n">
        <v>1</v>
      </c>
    </row>
    <row r="1882" customFormat="false" ht="15" hidden="false" customHeight="false" outlineLevel="0" collapsed="false">
      <c r="A1882" s="0" t="s">
        <v>2836</v>
      </c>
      <c r="B1882" s="0" t="s">
        <v>134</v>
      </c>
      <c r="C1882" s="0" t="s">
        <v>3450</v>
      </c>
      <c r="D1882" s="0" t="s">
        <v>3457</v>
      </c>
      <c r="E1882" s="20" t="s">
        <v>25</v>
      </c>
      <c r="F1882" s="20" t="s">
        <v>29</v>
      </c>
      <c r="G1882" s="21" t="s">
        <v>61</v>
      </c>
      <c r="H1882" s="21" t="s">
        <v>24</v>
      </c>
      <c r="I1882" s="21" t="s">
        <v>24</v>
      </c>
      <c r="J1882" s="21" t="s">
        <v>24</v>
      </c>
      <c r="K1882" s="21" t="s">
        <v>25</v>
      </c>
      <c r="L1882" s="21" t="s">
        <v>24</v>
      </c>
      <c r="M1882" s="0" t="n">
        <v>189</v>
      </c>
      <c r="N1882" s="0" t="n">
        <v>0</v>
      </c>
      <c r="Q1882" s="0" t="n">
        <v>0</v>
      </c>
      <c r="S1882" s="0" t="n">
        <v>0</v>
      </c>
      <c r="U1882" s="22" t="b">
        <f aca="false">FALSE()</f>
        <v>0</v>
      </c>
      <c r="V1882" s="0" t="n">
        <v>0.81</v>
      </c>
      <c r="W1882" s="0" t="n">
        <v>0.12</v>
      </c>
      <c r="X1882" s="0" t="n">
        <v>14.05</v>
      </c>
      <c r="Y1882" s="0" t="n">
        <v>441.88</v>
      </c>
      <c r="Z1882" s="0" t="n">
        <v>8.08</v>
      </c>
      <c r="AA1882" s="0" t="n">
        <v>6.63</v>
      </c>
      <c r="AB1882" s="0" t="n">
        <v>1.97</v>
      </c>
      <c r="AC1882" s="22" t="b">
        <f aca="false">FALSE()</f>
        <v>0</v>
      </c>
      <c r="AD1882" s="0" t="n">
        <v>27.41</v>
      </c>
      <c r="AE1882" s="0" t="n">
        <v>15.98</v>
      </c>
      <c r="AF1882" s="0" t="n">
        <v>27.3</v>
      </c>
      <c r="AG1882" s="22" t="b">
        <f aca="false">TRUE()</f>
        <v>1</v>
      </c>
      <c r="AH1882" s="0" t="n">
        <v>1</v>
      </c>
    </row>
    <row r="1883" customFormat="false" ht="15" hidden="false" customHeight="false" outlineLevel="0" collapsed="false">
      <c r="A1883" s="0" t="s">
        <v>2836</v>
      </c>
      <c r="B1883" s="0" t="s">
        <v>134</v>
      </c>
      <c r="C1883" s="0" t="s">
        <v>3450</v>
      </c>
      <c r="D1883" s="0" t="s">
        <v>3448</v>
      </c>
      <c r="E1883" s="18" t="s">
        <v>24</v>
      </c>
      <c r="F1883" s="18" t="s">
        <v>28</v>
      </c>
      <c r="H1883" s="21" t="s">
        <v>24</v>
      </c>
      <c r="I1883" s="21" t="s">
        <v>24</v>
      </c>
      <c r="J1883" s="21" t="s">
        <v>24</v>
      </c>
      <c r="K1883" s="21" t="s">
        <v>24</v>
      </c>
      <c r="L1883" s="21" t="s">
        <v>24</v>
      </c>
      <c r="M1883" s="0" t="n">
        <v>183</v>
      </c>
      <c r="N1883" s="0" t="n">
        <v>0</v>
      </c>
      <c r="Q1883" s="0" t="n">
        <v>0</v>
      </c>
      <c r="S1883" s="0" t="n">
        <v>0</v>
      </c>
      <c r="U1883" s="22" t="b">
        <f aca="false">FALSE()</f>
        <v>0</v>
      </c>
      <c r="V1883" s="0" t="n">
        <v>0.81</v>
      </c>
      <c r="W1883" s="0" t="n">
        <v>0.8</v>
      </c>
      <c r="X1883" s="0" t="n">
        <v>11.8</v>
      </c>
      <c r="Y1883" s="0" t="n">
        <v>260.54</v>
      </c>
      <c r="Z1883" s="0" t="n">
        <v>9</v>
      </c>
      <c r="AA1883" s="0" t="n">
        <v>8.52</v>
      </c>
      <c r="AB1883" s="0" t="n">
        <v>1.56</v>
      </c>
      <c r="AC1883" s="22" t="b">
        <f aca="false">FALSE()</f>
        <v>0</v>
      </c>
      <c r="AD1883" s="0" t="n">
        <v>9.45</v>
      </c>
      <c r="AE1883" s="0" t="n">
        <v>0.22</v>
      </c>
      <c r="AF1883" s="0" t="n">
        <v>8.65</v>
      </c>
      <c r="AG1883" s="22" t="b">
        <f aca="false">FALSE()</f>
        <v>0</v>
      </c>
      <c r="AH1883" s="0" t="n">
        <v>1</v>
      </c>
    </row>
    <row r="1884" customFormat="false" ht="15" hidden="false" customHeight="false" outlineLevel="0" collapsed="false">
      <c r="A1884" s="0" t="s">
        <v>2836</v>
      </c>
      <c r="B1884" s="0" t="s">
        <v>134</v>
      </c>
      <c r="C1884" s="0" t="s">
        <v>3447</v>
      </c>
      <c r="D1884" s="0" t="s">
        <v>3457</v>
      </c>
      <c r="E1884" s="20" t="s">
        <v>25</v>
      </c>
      <c r="F1884" s="23" t="s">
        <v>30</v>
      </c>
      <c r="G1884" s="21" t="s">
        <v>183</v>
      </c>
      <c r="H1884" s="21" t="s">
        <v>24</v>
      </c>
      <c r="I1884" s="21" t="s">
        <v>25</v>
      </c>
      <c r="J1884" s="21" t="s">
        <v>24</v>
      </c>
      <c r="K1884" s="21" t="s">
        <v>25</v>
      </c>
      <c r="L1884" s="21" t="s">
        <v>24</v>
      </c>
      <c r="M1884" s="0" t="n">
        <v>184</v>
      </c>
      <c r="N1884" s="0" t="n">
        <v>2</v>
      </c>
      <c r="O1884" s="21" t="s">
        <v>3575</v>
      </c>
      <c r="P1884" s="21" t="s">
        <v>4265</v>
      </c>
      <c r="Q1884" s="0" t="n">
        <v>1</v>
      </c>
      <c r="R1884" s="21" t="s">
        <v>69</v>
      </c>
      <c r="S1884" s="0" t="n">
        <v>2</v>
      </c>
      <c r="T1884" s="21" t="s">
        <v>3575</v>
      </c>
      <c r="U1884" s="22" t="b">
        <f aca="false">TRUE()</f>
        <v>1</v>
      </c>
      <c r="V1884" s="0" t="n">
        <v>0.83</v>
      </c>
      <c r="W1884" s="0" t="n">
        <v>0.4</v>
      </c>
      <c r="X1884" s="0" t="n">
        <v>14.17</v>
      </c>
      <c r="Y1884" s="0" t="n">
        <v>335.34</v>
      </c>
      <c r="Z1884" s="0" t="n">
        <v>8</v>
      </c>
      <c r="AA1884" s="0" t="n">
        <v>7.08</v>
      </c>
      <c r="AB1884" s="0" t="n">
        <v>1.97</v>
      </c>
      <c r="AC1884" s="22" t="b">
        <f aca="false">FALSE()</f>
        <v>0</v>
      </c>
      <c r="AD1884" s="0" t="n">
        <v>26.24</v>
      </c>
      <c r="AE1884" s="0" t="n">
        <v>15.16</v>
      </c>
      <c r="AF1884" s="0" t="n">
        <v>26.53</v>
      </c>
      <c r="AG1884" s="22" t="b">
        <f aca="false">TRUE()</f>
        <v>1</v>
      </c>
      <c r="AH1884" s="0" t="n">
        <v>1</v>
      </c>
    </row>
    <row r="1885" customFormat="false" ht="15" hidden="false" customHeight="false" outlineLevel="0" collapsed="false">
      <c r="A1885" s="0" t="s">
        <v>2836</v>
      </c>
      <c r="B1885" s="0" t="s">
        <v>134</v>
      </c>
      <c r="C1885" s="0" t="s">
        <v>3447</v>
      </c>
      <c r="D1885" s="0" t="s">
        <v>3448</v>
      </c>
      <c r="E1885" s="19" t="s">
        <v>26</v>
      </c>
      <c r="F1885" s="19" t="s">
        <v>32</v>
      </c>
      <c r="G1885" s="21" t="s">
        <v>529</v>
      </c>
      <c r="H1885" s="21" t="s">
        <v>24</v>
      </c>
      <c r="I1885" s="21" t="s">
        <v>26</v>
      </c>
      <c r="J1885" s="21" t="s">
        <v>24</v>
      </c>
      <c r="K1885" s="21" t="s">
        <v>24</v>
      </c>
      <c r="L1885" s="21" t="s">
        <v>24</v>
      </c>
      <c r="M1885" s="0" t="n">
        <v>188</v>
      </c>
      <c r="N1885" s="0" t="n">
        <v>8</v>
      </c>
      <c r="O1885" s="21" t="s">
        <v>4028</v>
      </c>
      <c r="P1885" s="21" t="s">
        <v>4393</v>
      </c>
      <c r="Q1885" s="0" t="n">
        <v>1</v>
      </c>
      <c r="R1885" s="21" t="s">
        <v>69</v>
      </c>
      <c r="S1885" s="0" t="n">
        <v>8</v>
      </c>
      <c r="T1885" s="21" t="s">
        <v>4028</v>
      </c>
      <c r="U1885" s="22" t="b">
        <f aca="false">FALSE()</f>
        <v>0</v>
      </c>
      <c r="V1885" s="0" t="n">
        <v>0.8</v>
      </c>
      <c r="W1885" s="0" t="n">
        <v>0.96</v>
      </c>
      <c r="X1885" s="0" t="n">
        <v>15.43</v>
      </c>
      <c r="Y1885" s="0" t="n">
        <v>236.17</v>
      </c>
      <c r="Z1885" s="0" t="n">
        <v>8</v>
      </c>
      <c r="AA1885" s="0" t="n">
        <v>5.49</v>
      </c>
      <c r="AB1885" s="0" t="n">
        <v>1.56</v>
      </c>
      <c r="AC1885" s="22" t="b">
        <f aca="false">FALSE()</f>
        <v>0</v>
      </c>
      <c r="AD1885" s="0" t="n">
        <v>5.74</v>
      </c>
      <c r="AE1885" s="0" t="n">
        <v>0.99</v>
      </c>
      <c r="AF1885" s="0" t="n">
        <v>4.11</v>
      </c>
      <c r="AG1885" s="22" t="b">
        <f aca="false">FALSE()</f>
        <v>0</v>
      </c>
      <c r="AH1885" s="0" t="n">
        <v>1</v>
      </c>
    </row>
    <row r="1886" customFormat="false" ht="15" hidden="false" customHeight="false" outlineLevel="0" collapsed="false">
      <c r="A1886" s="0" t="s">
        <v>2848</v>
      </c>
      <c r="B1886" s="0" t="s">
        <v>134</v>
      </c>
      <c r="C1886" s="0" t="s">
        <v>3450</v>
      </c>
      <c r="D1886" s="0" t="s">
        <v>3457</v>
      </c>
      <c r="E1886" s="20" t="s">
        <v>25</v>
      </c>
      <c r="F1886" s="23" t="s">
        <v>30</v>
      </c>
      <c r="G1886" s="21" t="s">
        <v>283</v>
      </c>
      <c r="H1886" s="21" t="s">
        <v>24</v>
      </c>
      <c r="I1886" s="21" t="s">
        <v>25</v>
      </c>
      <c r="J1886" s="21" t="s">
        <v>24</v>
      </c>
      <c r="K1886" s="21" t="s">
        <v>24</v>
      </c>
      <c r="L1886" s="21" t="s">
        <v>24</v>
      </c>
      <c r="M1886" s="0" t="n">
        <v>184</v>
      </c>
      <c r="N1886" s="0" t="n">
        <v>3</v>
      </c>
      <c r="O1886" s="21" t="s">
        <v>3697</v>
      </c>
      <c r="P1886" s="21" t="s">
        <v>4860</v>
      </c>
      <c r="Q1886" s="0" t="n">
        <v>1</v>
      </c>
      <c r="R1886" s="21" t="s">
        <v>69</v>
      </c>
      <c r="S1886" s="0" t="n">
        <v>3</v>
      </c>
      <c r="T1886" s="21" t="s">
        <v>3697</v>
      </c>
      <c r="U1886" s="22" t="b">
        <f aca="false">TRUE()</f>
        <v>1</v>
      </c>
      <c r="V1886" s="0" t="n">
        <v>0.74</v>
      </c>
      <c r="W1886" s="0" t="n">
        <v>0.44</v>
      </c>
      <c r="X1886" s="0" t="n">
        <v>7.41</v>
      </c>
      <c r="Y1886" s="0" t="n">
        <v>343.49</v>
      </c>
      <c r="Z1886" s="0" t="n">
        <v>9.75</v>
      </c>
      <c r="AA1886" s="0" t="n">
        <v>14.17</v>
      </c>
      <c r="AB1886" s="0" t="n">
        <v>2.84</v>
      </c>
      <c r="AC1886" s="22" t="b">
        <f aca="false">FALSE()</f>
        <v>0</v>
      </c>
      <c r="AD1886" s="0" t="n">
        <v>13</v>
      </c>
      <c r="AE1886" s="0" t="n">
        <v>0.41</v>
      </c>
      <c r="AF1886" s="0" t="n">
        <v>6.37</v>
      </c>
      <c r="AG1886" s="22" t="b">
        <f aca="false">TRUE()</f>
        <v>1</v>
      </c>
      <c r="AH1886" s="0" t="n">
        <v>1</v>
      </c>
    </row>
    <row r="1887" customFormat="false" ht="15" hidden="false" customHeight="false" outlineLevel="0" collapsed="false">
      <c r="A1887" s="0" t="s">
        <v>2848</v>
      </c>
      <c r="B1887" s="0" t="s">
        <v>134</v>
      </c>
      <c r="C1887" s="0" t="s">
        <v>3450</v>
      </c>
      <c r="D1887" s="0" t="s">
        <v>3448</v>
      </c>
      <c r="E1887" s="20" t="s">
        <v>25</v>
      </c>
      <c r="F1887" s="23" t="s">
        <v>30</v>
      </c>
      <c r="G1887" s="21" t="s">
        <v>283</v>
      </c>
      <c r="H1887" s="21" t="s">
        <v>24</v>
      </c>
      <c r="I1887" s="21" t="s">
        <v>25</v>
      </c>
      <c r="J1887" s="21" t="s">
        <v>24</v>
      </c>
      <c r="K1887" s="21" t="s">
        <v>24</v>
      </c>
      <c r="L1887" s="21" t="s">
        <v>24</v>
      </c>
      <c r="M1887" s="0" t="n">
        <v>184</v>
      </c>
      <c r="N1887" s="0" t="n">
        <v>4</v>
      </c>
      <c r="O1887" s="21" t="s">
        <v>3762</v>
      </c>
      <c r="P1887" s="21" t="s">
        <v>4861</v>
      </c>
      <c r="Q1887" s="0" t="n">
        <v>1</v>
      </c>
      <c r="R1887" s="21" t="s">
        <v>69</v>
      </c>
      <c r="S1887" s="0" t="n">
        <v>4</v>
      </c>
      <c r="T1887" s="21" t="s">
        <v>3762</v>
      </c>
      <c r="U1887" s="22" t="b">
        <f aca="false">TRUE()</f>
        <v>1</v>
      </c>
      <c r="V1887" s="0" t="n">
        <v>0.73</v>
      </c>
      <c r="W1887" s="0" t="n">
        <v>0.36</v>
      </c>
      <c r="X1887" s="0" t="n">
        <v>9.3</v>
      </c>
      <c r="Y1887" s="0" t="n">
        <v>380.71</v>
      </c>
      <c r="Z1887" s="0" t="n">
        <v>9.42</v>
      </c>
      <c r="AA1887" s="0" t="n">
        <v>13.39</v>
      </c>
      <c r="AB1887" s="0" t="n">
        <v>10.2</v>
      </c>
      <c r="AC1887" s="22" t="b">
        <f aca="false">FALSE()</f>
        <v>0</v>
      </c>
      <c r="AD1887" s="0" t="n">
        <v>10.36</v>
      </c>
      <c r="AE1887" s="0" t="n">
        <v>0.48</v>
      </c>
      <c r="AF1887" s="0" t="n">
        <v>2.55</v>
      </c>
      <c r="AG1887" s="22" t="b">
        <f aca="false">TRUE()</f>
        <v>1</v>
      </c>
      <c r="AH1887" s="0" t="n">
        <v>1</v>
      </c>
    </row>
    <row r="1888" customFormat="false" ht="15" hidden="false" customHeight="false" outlineLevel="0" collapsed="false">
      <c r="A1888" s="0" t="s">
        <v>2848</v>
      </c>
      <c r="B1888" s="0" t="s">
        <v>134</v>
      </c>
      <c r="C1888" s="0" t="s">
        <v>3447</v>
      </c>
      <c r="D1888" s="0" t="s">
        <v>3457</v>
      </c>
      <c r="E1888" s="19" t="s">
        <v>26</v>
      </c>
      <c r="F1888" s="19" t="s">
        <v>32</v>
      </c>
      <c r="G1888" s="21" t="s">
        <v>60</v>
      </c>
      <c r="H1888" s="21" t="s">
        <v>24</v>
      </c>
      <c r="I1888" s="21" t="s">
        <v>26</v>
      </c>
      <c r="J1888" s="21" t="s">
        <v>24</v>
      </c>
      <c r="K1888" s="21" t="s">
        <v>24</v>
      </c>
      <c r="L1888" s="21" t="s">
        <v>24</v>
      </c>
      <c r="M1888" s="0" t="n">
        <v>188</v>
      </c>
      <c r="N1888" s="0" t="n">
        <v>8</v>
      </c>
      <c r="O1888" s="21" t="s">
        <v>3941</v>
      </c>
      <c r="P1888" s="21" t="s">
        <v>4862</v>
      </c>
      <c r="Q1888" s="0" t="n">
        <v>0</v>
      </c>
      <c r="S1888" s="0" t="n">
        <v>8</v>
      </c>
      <c r="T1888" s="21" t="s">
        <v>3941</v>
      </c>
      <c r="U1888" s="22" t="b">
        <f aca="false">FALSE()</f>
        <v>0</v>
      </c>
      <c r="V1888" s="0" t="n">
        <v>0.76</v>
      </c>
      <c r="W1888" s="0" t="n">
        <v>0.72</v>
      </c>
      <c r="X1888" s="0" t="n">
        <v>8.64</v>
      </c>
      <c r="Y1888" s="0" t="n">
        <v>327.33</v>
      </c>
      <c r="Z1888" s="0" t="n">
        <v>8.25</v>
      </c>
      <c r="AA1888" s="0" t="n">
        <v>-0.92</v>
      </c>
      <c r="AB1888" s="0" t="n">
        <v>2.84</v>
      </c>
      <c r="AC1888" s="22" t="b">
        <f aca="false">FALSE()</f>
        <v>0</v>
      </c>
      <c r="AD1888" s="0" t="n">
        <v>7.52</v>
      </c>
      <c r="AE1888" s="0" t="n">
        <v>0.68</v>
      </c>
      <c r="AF1888" s="0" t="n">
        <v>4.29</v>
      </c>
      <c r="AG1888" s="22" t="b">
        <f aca="false">FALSE()</f>
        <v>0</v>
      </c>
      <c r="AH1888" s="0" t="n">
        <v>1</v>
      </c>
    </row>
    <row r="1889" customFormat="false" ht="15" hidden="false" customHeight="false" outlineLevel="0" collapsed="false">
      <c r="A1889" s="0" t="s">
        <v>2848</v>
      </c>
      <c r="B1889" s="0" t="s">
        <v>134</v>
      </c>
      <c r="C1889" s="0" t="s">
        <v>3447</v>
      </c>
      <c r="D1889" s="0" t="s">
        <v>3448</v>
      </c>
      <c r="E1889" s="18" t="s">
        <v>24</v>
      </c>
      <c r="F1889" s="23" t="s">
        <v>30</v>
      </c>
      <c r="G1889" s="21" t="s">
        <v>30</v>
      </c>
      <c r="H1889" s="21" t="s">
        <v>24</v>
      </c>
      <c r="I1889" s="21" t="s">
        <v>24</v>
      </c>
      <c r="J1889" s="21" t="s">
        <v>24</v>
      </c>
      <c r="K1889" s="21" t="s">
        <v>24</v>
      </c>
      <c r="L1889" s="21" t="s">
        <v>24</v>
      </c>
      <c r="M1889" s="0" t="n">
        <v>184</v>
      </c>
      <c r="N1889" s="0" t="n">
        <v>6</v>
      </c>
      <c r="O1889" s="21" t="s">
        <v>3776</v>
      </c>
      <c r="P1889" s="21" t="s">
        <v>4664</v>
      </c>
      <c r="Q1889" s="0" t="n">
        <v>0</v>
      </c>
      <c r="S1889" s="0" t="n">
        <v>6</v>
      </c>
      <c r="T1889" s="21" t="s">
        <v>3776</v>
      </c>
      <c r="U1889" s="22" t="b">
        <f aca="false">TRUE()</f>
        <v>1</v>
      </c>
      <c r="V1889" s="0" t="n">
        <v>0.75</v>
      </c>
      <c r="W1889" s="0" t="n">
        <v>0.2</v>
      </c>
      <c r="X1889" s="0" t="n">
        <v>12.79</v>
      </c>
      <c r="Y1889" s="0" t="n">
        <v>506.79</v>
      </c>
      <c r="Z1889" s="0" t="n">
        <v>10</v>
      </c>
      <c r="AA1889" s="0" t="n">
        <v>4.72</v>
      </c>
      <c r="AB1889" s="0" t="n">
        <v>10.2</v>
      </c>
      <c r="AC1889" s="22" t="b">
        <f aca="false">FALSE()</f>
        <v>0</v>
      </c>
      <c r="AD1889" s="0" t="n">
        <v>11.59</v>
      </c>
      <c r="AE1889" s="0" t="n">
        <v>0.63</v>
      </c>
      <c r="AF1889" s="0" t="n">
        <v>3.11</v>
      </c>
      <c r="AG1889" s="22" t="b">
        <f aca="false">TRUE()</f>
        <v>1</v>
      </c>
      <c r="AH1889" s="0" t="n">
        <v>1</v>
      </c>
    </row>
    <row r="1890" customFormat="false" ht="15" hidden="false" customHeight="false" outlineLevel="0" collapsed="false">
      <c r="A1890" s="0" t="s">
        <v>2854</v>
      </c>
      <c r="B1890" s="0" t="s">
        <v>134</v>
      </c>
      <c r="C1890" s="0" t="s">
        <v>3450</v>
      </c>
      <c r="D1890" s="0" t="s">
        <v>3457</v>
      </c>
      <c r="E1890" s="20" t="s">
        <v>25</v>
      </c>
      <c r="F1890" s="23" t="s">
        <v>30</v>
      </c>
      <c r="G1890" s="21" t="s">
        <v>283</v>
      </c>
      <c r="H1890" s="21" t="s">
        <v>24</v>
      </c>
      <c r="I1890" s="21" t="s">
        <v>25</v>
      </c>
      <c r="J1890" s="21" t="s">
        <v>24</v>
      </c>
      <c r="K1890" s="21" t="s">
        <v>24</v>
      </c>
      <c r="L1890" s="21" t="s">
        <v>24</v>
      </c>
      <c r="M1890" s="0" t="n">
        <v>183</v>
      </c>
      <c r="N1890" s="0" t="n">
        <v>1</v>
      </c>
      <c r="O1890" s="21" t="s">
        <v>69</v>
      </c>
      <c r="P1890" s="21" t="s">
        <v>4275</v>
      </c>
      <c r="Q1890" s="0" t="n">
        <v>1</v>
      </c>
      <c r="R1890" s="21" t="s">
        <v>69</v>
      </c>
      <c r="S1890" s="0" t="n">
        <v>1</v>
      </c>
      <c r="T1890" s="21" t="s">
        <v>69</v>
      </c>
      <c r="U1890" s="22" t="b">
        <f aca="false">TRUE()</f>
        <v>1</v>
      </c>
      <c r="V1890" s="0" t="n">
        <v>0.69</v>
      </c>
      <c r="W1890" s="0" t="n">
        <v>0.56</v>
      </c>
      <c r="X1890" s="0" t="n">
        <v>4.98</v>
      </c>
      <c r="Y1890" s="0" t="n">
        <v>321.42</v>
      </c>
      <c r="Z1890" s="0" t="n">
        <v>9.25</v>
      </c>
      <c r="AA1890" s="0" t="n">
        <v>14.49</v>
      </c>
      <c r="AB1890" s="0" t="n">
        <v>13.97</v>
      </c>
      <c r="AC1890" s="22" t="b">
        <f aca="false">FALSE()</f>
        <v>0</v>
      </c>
      <c r="AD1890" s="0" t="n">
        <v>10.02</v>
      </c>
      <c r="AE1890" s="0" t="n">
        <v>0.21</v>
      </c>
      <c r="AF1890" s="0" t="n">
        <v>3.23</v>
      </c>
      <c r="AG1890" s="22" t="b">
        <f aca="false">TRUE()</f>
        <v>1</v>
      </c>
      <c r="AH1890" s="0" t="n">
        <v>1</v>
      </c>
    </row>
    <row r="1891" customFormat="false" ht="15" hidden="false" customHeight="false" outlineLevel="0" collapsed="false">
      <c r="A1891" s="0" t="s">
        <v>2854</v>
      </c>
      <c r="B1891" s="0" t="s">
        <v>134</v>
      </c>
      <c r="C1891" s="0" t="s">
        <v>3450</v>
      </c>
      <c r="D1891" s="0" t="s">
        <v>3448</v>
      </c>
      <c r="E1891" s="20" t="s">
        <v>25</v>
      </c>
      <c r="F1891" s="23" t="s">
        <v>30</v>
      </c>
      <c r="G1891" s="21" t="s">
        <v>283</v>
      </c>
      <c r="H1891" s="21" t="s">
        <v>24</v>
      </c>
      <c r="I1891" s="21" t="s">
        <v>25</v>
      </c>
      <c r="J1891" s="21" t="s">
        <v>24</v>
      </c>
      <c r="K1891" s="21" t="s">
        <v>24</v>
      </c>
      <c r="L1891" s="21" t="s">
        <v>24</v>
      </c>
      <c r="M1891" s="0" t="n">
        <v>215</v>
      </c>
      <c r="N1891" s="0" t="n">
        <v>1</v>
      </c>
      <c r="O1891" s="21" t="s">
        <v>69</v>
      </c>
      <c r="P1891" s="21" t="s">
        <v>4275</v>
      </c>
      <c r="Q1891" s="0" t="n">
        <v>1</v>
      </c>
      <c r="R1891" s="21" t="s">
        <v>69</v>
      </c>
      <c r="S1891" s="0" t="n">
        <v>1</v>
      </c>
      <c r="T1891" s="21" t="s">
        <v>69</v>
      </c>
      <c r="U1891" s="22" t="b">
        <f aca="false">TRUE()</f>
        <v>1</v>
      </c>
      <c r="V1891" s="0" t="n">
        <v>0.73</v>
      </c>
      <c r="W1891" s="0" t="n">
        <v>0.76</v>
      </c>
      <c r="X1891" s="0" t="n">
        <v>6.01</v>
      </c>
      <c r="Y1891" s="0" t="n">
        <v>377.6</v>
      </c>
      <c r="Z1891" s="0" t="n">
        <v>9.5</v>
      </c>
      <c r="AA1891" s="0" t="n">
        <v>19.86</v>
      </c>
      <c r="AB1891" s="0" t="n">
        <v>27.85</v>
      </c>
      <c r="AC1891" s="22" t="b">
        <f aca="false">FALSE()</f>
        <v>0</v>
      </c>
      <c r="AD1891" s="0" t="n">
        <v>4.89</v>
      </c>
      <c r="AE1891" s="0" t="n">
        <v>-0.11</v>
      </c>
      <c r="AF1891" s="0" t="n">
        <v>0.89</v>
      </c>
      <c r="AG1891" s="22" t="b">
        <f aca="false">FALSE()</f>
        <v>0</v>
      </c>
      <c r="AH1891" s="0" t="n">
        <v>1</v>
      </c>
    </row>
    <row r="1892" customFormat="false" ht="15" hidden="false" customHeight="false" outlineLevel="0" collapsed="false">
      <c r="A1892" s="0" t="s">
        <v>2854</v>
      </c>
      <c r="B1892" s="0" t="s">
        <v>134</v>
      </c>
      <c r="C1892" s="0" t="s">
        <v>3447</v>
      </c>
      <c r="D1892" s="0" t="s">
        <v>3457</v>
      </c>
      <c r="E1892" s="18" t="s">
        <v>24</v>
      </c>
      <c r="F1892" s="23" t="s">
        <v>30</v>
      </c>
      <c r="G1892" s="21" t="s">
        <v>30</v>
      </c>
      <c r="H1892" s="21" t="s">
        <v>24</v>
      </c>
      <c r="I1892" s="21" t="s">
        <v>24</v>
      </c>
      <c r="J1892" s="21" t="s">
        <v>24</v>
      </c>
      <c r="K1892" s="21" t="s">
        <v>24</v>
      </c>
      <c r="L1892" s="21" t="s">
        <v>24</v>
      </c>
      <c r="M1892" s="0" t="n">
        <v>183</v>
      </c>
      <c r="N1892" s="0" t="n">
        <v>4</v>
      </c>
      <c r="O1892" s="21" t="s">
        <v>3602</v>
      </c>
      <c r="P1892" s="21" t="s">
        <v>4863</v>
      </c>
      <c r="Q1892" s="0" t="n">
        <v>0</v>
      </c>
      <c r="S1892" s="0" t="n">
        <v>4</v>
      </c>
      <c r="T1892" s="21" t="s">
        <v>3602</v>
      </c>
      <c r="U1892" s="22" t="b">
        <f aca="false">TRUE()</f>
        <v>1</v>
      </c>
      <c r="V1892" s="0" t="n">
        <v>0.79</v>
      </c>
      <c r="W1892" s="0" t="n">
        <v>0.4</v>
      </c>
      <c r="X1892" s="0" t="n">
        <v>7.29</v>
      </c>
      <c r="Y1892" s="0" t="n">
        <v>350.35</v>
      </c>
      <c r="Z1892" s="0" t="n">
        <v>8</v>
      </c>
      <c r="AA1892" s="0" t="n">
        <v>-1.97</v>
      </c>
      <c r="AB1892" s="0" t="n">
        <v>13.97</v>
      </c>
      <c r="AC1892" s="22" t="b">
        <f aca="false">FALSE()</f>
        <v>0</v>
      </c>
      <c r="AD1892" s="0" t="n">
        <v>5.92</v>
      </c>
      <c r="AE1892" s="0" t="n">
        <v>1.17</v>
      </c>
      <c r="AF1892" s="0" t="n">
        <v>2.76</v>
      </c>
      <c r="AG1892" s="22" t="b">
        <f aca="false">FALSE()</f>
        <v>0</v>
      </c>
      <c r="AH1892" s="0" t="n">
        <v>1</v>
      </c>
    </row>
    <row r="1893" customFormat="false" ht="15" hidden="false" customHeight="false" outlineLevel="0" collapsed="false">
      <c r="A1893" s="0" t="s">
        <v>2854</v>
      </c>
      <c r="B1893" s="0" t="s">
        <v>134</v>
      </c>
      <c r="C1893" s="0" t="s">
        <v>3447</v>
      </c>
      <c r="D1893" s="0" t="s">
        <v>3448</v>
      </c>
      <c r="E1893" s="18" t="s">
        <v>24</v>
      </c>
      <c r="F1893" s="23" t="s">
        <v>30</v>
      </c>
      <c r="G1893" s="21" t="s">
        <v>30</v>
      </c>
      <c r="H1893" s="21" t="s">
        <v>24</v>
      </c>
      <c r="I1893" s="21" t="s">
        <v>24</v>
      </c>
      <c r="J1893" s="21" t="s">
        <v>24</v>
      </c>
      <c r="K1893" s="21" t="s">
        <v>24</v>
      </c>
      <c r="L1893" s="21" t="s">
        <v>24</v>
      </c>
      <c r="M1893" s="0" t="n">
        <v>191</v>
      </c>
      <c r="N1893" s="0" t="n">
        <v>4</v>
      </c>
      <c r="O1893" s="21" t="s">
        <v>3587</v>
      </c>
      <c r="P1893" s="21" t="s">
        <v>4864</v>
      </c>
      <c r="Q1893" s="0" t="n">
        <v>0</v>
      </c>
      <c r="S1893" s="0" t="n">
        <v>4</v>
      </c>
      <c r="T1893" s="21" t="s">
        <v>3587</v>
      </c>
      <c r="U1893" s="22" t="b">
        <f aca="false">TRUE()</f>
        <v>1</v>
      </c>
      <c r="V1893" s="0" t="n">
        <v>0.87</v>
      </c>
      <c r="W1893" s="0" t="n">
        <v>0.28</v>
      </c>
      <c r="X1893" s="0" t="n">
        <v>7.41</v>
      </c>
      <c r="Y1893" s="0" t="n">
        <v>448.76</v>
      </c>
      <c r="Z1893" s="0" t="n">
        <v>10.25</v>
      </c>
      <c r="AA1893" s="0" t="n">
        <v>-2.07</v>
      </c>
      <c r="AB1893" s="0" t="n">
        <v>27.85</v>
      </c>
      <c r="AC1893" s="22" t="b">
        <f aca="false">FALSE()</f>
        <v>0</v>
      </c>
      <c r="AD1893" s="0" t="n">
        <v>5.48</v>
      </c>
      <c r="AE1893" s="0" t="n">
        <v>0.63</v>
      </c>
      <c r="AF1893" s="0" t="n">
        <v>1.17</v>
      </c>
      <c r="AG1893" s="22" t="b">
        <f aca="false">FALSE()</f>
        <v>0</v>
      </c>
      <c r="AH1893" s="0" t="n">
        <v>1</v>
      </c>
    </row>
    <row r="1894" customFormat="false" ht="15" hidden="false" customHeight="false" outlineLevel="0" collapsed="false">
      <c r="A1894" s="0" t="s">
        <v>2854</v>
      </c>
      <c r="B1894" s="0" t="s">
        <v>3459</v>
      </c>
      <c r="C1894" s="0" t="s">
        <v>3450</v>
      </c>
      <c r="D1894" s="0" t="s">
        <v>3457</v>
      </c>
      <c r="E1894" s="20" t="s">
        <v>25</v>
      </c>
      <c r="F1894" s="23" t="s">
        <v>30</v>
      </c>
      <c r="G1894" s="21" t="s">
        <v>183</v>
      </c>
      <c r="H1894" s="21" t="s">
        <v>24</v>
      </c>
      <c r="I1894" s="21" t="s">
        <v>25</v>
      </c>
      <c r="J1894" s="21" t="s">
        <v>24</v>
      </c>
      <c r="K1894" s="21" t="s">
        <v>25</v>
      </c>
      <c r="L1894" s="21" t="s">
        <v>24</v>
      </c>
      <c r="M1894" s="0" t="n">
        <v>183</v>
      </c>
      <c r="N1894" s="0" t="n">
        <v>3</v>
      </c>
      <c r="O1894" s="21" t="s">
        <v>3649</v>
      </c>
      <c r="P1894" s="21" t="s">
        <v>4242</v>
      </c>
      <c r="Q1894" s="0" t="n">
        <v>1</v>
      </c>
      <c r="R1894" s="21" t="s">
        <v>69</v>
      </c>
      <c r="S1894" s="0" t="n">
        <v>3</v>
      </c>
      <c r="T1894" s="21" t="s">
        <v>3649</v>
      </c>
      <c r="U1894" s="22" t="b">
        <f aca="false">TRUE()</f>
        <v>1</v>
      </c>
      <c r="V1894" s="0" t="n">
        <v>0.72</v>
      </c>
      <c r="W1894" s="0" t="n">
        <v>0.52</v>
      </c>
      <c r="X1894" s="0" t="n">
        <v>6.05</v>
      </c>
      <c r="Y1894" s="0" t="n">
        <v>301.56</v>
      </c>
      <c r="Z1894" s="0" t="n">
        <v>9.42</v>
      </c>
      <c r="AA1894" s="0" t="n">
        <v>14.39</v>
      </c>
      <c r="AB1894" s="0" t="n">
        <v>2.58</v>
      </c>
      <c r="AC1894" s="22" t="b">
        <f aca="false">FALSE()</f>
        <v>0</v>
      </c>
      <c r="AD1894" s="0" t="n">
        <v>21.3</v>
      </c>
      <c r="AE1894" s="0" t="n">
        <v>11.57</v>
      </c>
      <c r="AF1894" s="0" t="n">
        <v>21.51</v>
      </c>
      <c r="AG1894" s="22" t="b">
        <f aca="false">TRUE()</f>
        <v>1</v>
      </c>
      <c r="AH1894" s="0" t="n">
        <v>1</v>
      </c>
    </row>
    <row r="1895" customFormat="false" ht="15" hidden="false" customHeight="false" outlineLevel="0" collapsed="false">
      <c r="A1895" s="0" t="s">
        <v>2854</v>
      </c>
      <c r="B1895" s="0" t="s">
        <v>3459</v>
      </c>
      <c r="C1895" s="0" t="s">
        <v>3450</v>
      </c>
      <c r="D1895" s="0" t="s">
        <v>3448</v>
      </c>
      <c r="E1895" s="20" t="s">
        <v>25</v>
      </c>
      <c r="F1895" s="23" t="s">
        <v>30</v>
      </c>
      <c r="G1895" s="21" t="s">
        <v>183</v>
      </c>
      <c r="H1895" s="21" t="s">
        <v>24</v>
      </c>
      <c r="I1895" s="21" t="s">
        <v>25</v>
      </c>
      <c r="J1895" s="21" t="s">
        <v>24</v>
      </c>
      <c r="K1895" s="21" t="s">
        <v>25</v>
      </c>
      <c r="L1895" s="21" t="s">
        <v>24</v>
      </c>
      <c r="M1895" s="0" t="n">
        <v>183</v>
      </c>
      <c r="N1895" s="0" t="n">
        <v>2</v>
      </c>
      <c r="O1895" s="21" t="s">
        <v>3566</v>
      </c>
      <c r="P1895" s="21" t="s">
        <v>4238</v>
      </c>
      <c r="Q1895" s="0" t="n">
        <v>1</v>
      </c>
      <c r="R1895" s="21" t="s">
        <v>69</v>
      </c>
      <c r="S1895" s="0" t="n">
        <v>2</v>
      </c>
      <c r="T1895" s="21" t="s">
        <v>3566</v>
      </c>
      <c r="U1895" s="22" t="b">
        <f aca="false">TRUE()</f>
        <v>1</v>
      </c>
      <c r="V1895" s="0" t="n">
        <v>0.76</v>
      </c>
      <c r="W1895" s="0" t="n">
        <v>0.12</v>
      </c>
      <c r="X1895" s="0" t="n">
        <v>6.75</v>
      </c>
      <c r="Y1895" s="0" t="n">
        <v>626.47</v>
      </c>
      <c r="Z1895" s="0" t="n">
        <v>9.25</v>
      </c>
      <c r="AA1895" s="0" t="n">
        <v>17.88</v>
      </c>
      <c r="AB1895" s="0" t="n">
        <v>1.71</v>
      </c>
      <c r="AC1895" s="22" t="b">
        <f aca="false">FALSE()</f>
        <v>0</v>
      </c>
      <c r="AD1895" s="0" t="n">
        <v>28.6</v>
      </c>
      <c r="AE1895" s="0" t="n">
        <v>16.97</v>
      </c>
      <c r="AF1895" s="0" t="n">
        <v>24.85</v>
      </c>
      <c r="AG1895" s="22" t="b">
        <f aca="false">TRUE()</f>
        <v>1</v>
      </c>
      <c r="AH1895" s="0" t="n">
        <v>1</v>
      </c>
    </row>
    <row r="1896" customFormat="false" ht="15" hidden="false" customHeight="false" outlineLevel="0" collapsed="false">
      <c r="A1896" s="0" t="s">
        <v>2854</v>
      </c>
      <c r="B1896" s="0" t="s">
        <v>3459</v>
      </c>
      <c r="C1896" s="0" t="s">
        <v>3447</v>
      </c>
      <c r="D1896" s="0" t="s">
        <v>3457</v>
      </c>
      <c r="E1896" s="20" t="s">
        <v>25</v>
      </c>
      <c r="F1896" s="23" t="s">
        <v>30</v>
      </c>
      <c r="G1896" s="21" t="s">
        <v>992</v>
      </c>
      <c r="H1896" s="21" t="s">
        <v>24</v>
      </c>
      <c r="I1896" s="21" t="s">
        <v>24</v>
      </c>
      <c r="J1896" s="21" t="s">
        <v>24</v>
      </c>
      <c r="K1896" s="21" t="s">
        <v>25</v>
      </c>
      <c r="L1896" s="21" t="s">
        <v>24</v>
      </c>
      <c r="M1896" s="0" t="n">
        <v>184</v>
      </c>
      <c r="N1896" s="0" t="n">
        <v>1</v>
      </c>
      <c r="O1896" s="21" t="s">
        <v>3474</v>
      </c>
      <c r="P1896" s="21" t="s">
        <v>4272</v>
      </c>
      <c r="Q1896" s="0" t="n">
        <v>0</v>
      </c>
      <c r="S1896" s="0" t="n">
        <v>1</v>
      </c>
      <c r="T1896" s="21" t="s">
        <v>3474</v>
      </c>
      <c r="U1896" s="22" t="b">
        <f aca="false">TRUE()</f>
        <v>1</v>
      </c>
      <c r="V1896" s="0" t="n">
        <v>0.85</v>
      </c>
      <c r="W1896" s="0" t="n">
        <v>0.92</v>
      </c>
      <c r="X1896" s="0" t="n">
        <v>6.93</v>
      </c>
      <c r="Y1896" s="0" t="n">
        <v>292.28</v>
      </c>
      <c r="Z1896" s="0" t="n">
        <v>8</v>
      </c>
      <c r="AA1896" s="0" t="n">
        <v>-1.26</v>
      </c>
      <c r="AB1896" s="0" t="n">
        <v>2.58</v>
      </c>
      <c r="AC1896" s="22" t="b">
        <f aca="false">FALSE()</f>
        <v>0</v>
      </c>
      <c r="AD1896" s="0" t="n">
        <v>22.41</v>
      </c>
      <c r="AE1896" s="0" t="n">
        <v>12.53</v>
      </c>
      <c r="AF1896" s="0" t="n">
        <v>22.16</v>
      </c>
      <c r="AG1896" s="22" t="b">
        <f aca="false">TRUE()</f>
        <v>1</v>
      </c>
      <c r="AH1896" s="0" t="n">
        <v>1</v>
      </c>
    </row>
    <row r="1897" customFormat="false" ht="15" hidden="false" customHeight="false" outlineLevel="0" collapsed="false">
      <c r="A1897" s="0" t="s">
        <v>2854</v>
      </c>
      <c r="B1897" s="0" t="s">
        <v>3459</v>
      </c>
      <c r="C1897" s="0" t="s">
        <v>3447</v>
      </c>
      <c r="D1897" s="0" t="s">
        <v>3448</v>
      </c>
      <c r="E1897" s="18" t="s">
        <v>24</v>
      </c>
      <c r="F1897" s="23" t="s">
        <v>30</v>
      </c>
      <c r="G1897" s="21" t="s">
        <v>30</v>
      </c>
      <c r="H1897" s="21" t="s">
        <v>24</v>
      </c>
      <c r="I1897" s="21" t="s">
        <v>24</v>
      </c>
      <c r="J1897" s="21" t="s">
        <v>24</v>
      </c>
      <c r="K1897" s="21" t="s">
        <v>24</v>
      </c>
      <c r="L1897" s="21" t="s">
        <v>24</v>
      </c>
      <c r="M1897" s="0" t="n">
        <v>184</v>
      </c>
      <c r="N1897" s="0" t="n">
        <v>1</v>
      </c>
      <c r="O1897" s="21" t="s">
        <v>3474</v>
      </c>
      <c r="P1897" s="21" t="s">
        <v>4272</v>
      </c>
      <c r="Q1897" s="0" t="n">
        <v>0</v>
      </c>
      <c r="S1897" s="0" t="n">
        <v>1</v>
      </c>
      <c r="T1897" s="21" t="s">
        <v>3474</v>
      </c>
      <c r="U1897" s="22" t="b">
        <f aca="false">TRUE()</f>
        <v>1</v>
      </c>
      <c r="V1897" s="0" t="n">
        <v>0.9</v>
      </c>
      <c r="W1897" s="0" t="n">
        <v>0.68</v>
      </c>
      <c r="X1897" s="0" t="n">
        <v>8.51</v>
      </c>
      <c r="Y1897" s="0" t="n">
        <v>319.55</v>
      </c>
      <c r="Z1897" s="0" t="n">
        <v>8</v>
      </c>
      <c r="AA1897" s="0" t="n">
        <v>-1.37</v>
      </c>
      <c r="AB1897" s="0" t="n">
        <v>1.71</v>
      </c>
      <c r="AC1897" s="22" t="b">
        <f aca="false">FALSE()</f>
        <v>0</v>
      </c>
      <c r="AD1897" s="0" t="n">
        <v>15.1</v>
      </c>
      <c r="AE1897" s="0" t="n">
        <v>6.18</v>
      </c>
      <c r="AF1897" s="0" t="n">
        <v>14.65</v>
      </c>
      <c r="AG1897" s="22" t="b">
        <f aca="false">TRUE()</f>
        <v>1</v>
      </c>
      <c r="AH1897" s="0" t="n">
        <v>1</v>
      </c>
    </row>
    <row r="1898" customFormat="false" ht="15" hidden="false" customHeight="false" outlineLevel="0" collapsed="false">
      <c r="A1898" s="0" t="s">
        <v>2860</v>
      </c>
      <c r="B1898" s="0" t="s">
        <v>134</v>
      </c>
      <c r="C1898" s="0" t="s">
        <v>3450</v>
      </c>
      <c r="D1898" s="0" t="s">
        <v>3457</v>
      </c>
      <c r="E1898" s="18" t="s">
        <v>24</v>
      </c>
      <c r="F1898" s="23" t="s">
        <v>30</v>
      </c>
      <c r="G1898" s="21" t="s">
        <v>30</v>
      </c>
      <c r="H1898" s="21" t="s">
        <v>24</v>
      </c>
      <c r="I1898" s="21" t="s">
        <v>24</v>
      </c>
      <c r="J1898" s="21" t="s">
        <v>24</v>
      </c>
      <c r="K1898" s="21" t="s">
        <v>24</v>
      </c>
      <c r="L1898" s="21" t="s">
        <v>24</v>
      </c>
      <c r="M1898" s="0" t="n">
        <v>185</v>
      </c>
      <c r="N1898" s="0" t="n">
        <v>1</v>
      </c>
      <c r="O1898" s="21" t="s">
        <v>3482</v>
      </c>
      <c r="P1898" s="21" t="s">
        <v>4566</v>
      </c>
      <c r="Q1898" s="0" t="n">
        <v>0</v>
      </c>
      <c r="S1898" s="0" t="n">
        <v>0</v>
      </c>
      <c r="U1898" s="22" t="b">
        <f aca="false">TRUE()</f>
        <v>1</v>
      </c>
      <c r="V1898" s="0" t="n">
        <v>0.74</v>
      </c>
      <c r="W1898" s="0" t="n">
        <v>0.92</v>
      </c>
      <c r="X1898" s="0" t="n">
        <v>6.52</v>
      </c>
      <c r="Y1898" s="0" t="n">
        <v>308.93</v>
      </c>
      <c r="Z1898" s="0" t="n">
        <v>11.58</v>
      </c>
      <c r="AA1898" s="0" t="n">
        <v>5.97</v>
      </c>
      <c r="AB1898" s="0" t="n">
        <v>1.58</v>
      </c>
      <c r="AC1898" s="22" t="b">
        <f aca="false">FALSE()</f>
        <v>0</v>
      </c>
      <c r="AD1898" s="0" t="n">
        <v>11.64</v>
      </c>
      <c r="AE1898" s="0" t="n">
        <v>0.16</v>
      </c>
      <c r="AF1898" s="0" t="n">
        <v>5.15</v>
      </c>
      <c r="AG1898" s="22" t="b">
        <f aca="false">TRUE()</f>
        <v>1</v>
      </c>
      <c r="AH1898" s="0" t="n">
        <v>1</v>
      </c>
    </row>
    <row r="1899" customFormat="false" ht="15" hidden="false" customHeight="false" outlineLevel="0" collapsed="false">
      <c r="A1899" s="0" t="s">
        <v>2860</v>
      </c>
      <c r="B1899" s="0" t="s">
        <v>134</v>
      </c>
      <c r="C1899" s="0" t="s">
        <v>3450</v>
      </c>
      <c r="D1899" s="0" t="s">
        <v>3448</v>
      </c>
      <c r="E1899" s="20" t="s">
        <v>25</v>
      </c>
      <c r="F1899" s="23" t="s">
        <v>30</v>
      </c>
      <c r="G1899" s="21" t="s">
        <v>2559</v>
      </c>
      <c r="H1899" s="21" t="s">
        <v>24</v>
      </c>
      <c r="I1899" s="21" t="s">
        <v>24</v>
      </c>
      <c r="J1899" s="21" t="s">
        <v>24</v>
      </c>
      <c r="K1899" s="21" t="s">
        <v>25</v>
      </c>
      <c r="L1899" s="21" t="s">
        <v>24</v>
      </c>
      <c r="M1899" s="0" t="n">
        <v>184</v>
      </c>
      <c r="N1899" s="0" t="n">
        <v>1</v>
      </c>
      <c r="O1899" s="21" t="s">
        <v>3482</v>
      </c>
      <c r="P1899" s="21" t="s">
        <v>4716</v>
      </c>
      <c r="Q1899" s="0" t="n">
        <v>0</v>
      </c>
      <c r="S1899" s="0" t="n">
        <v>1</v>
      </c>
      <c r="T1899" s="21" t="s">
        <v>3482</v>
      </c>
      <c r="U1899" s="22" t="b">
        <f aca="false">TRUE()</f>
        <v>1</v>
      </c>
      <c r="V1899" s="0" t="n">
        <v>0.74</v>
      </c>
      <c r="W1899" s="0" t="n">
        <v>0.68</v>
      </c>
      <c r="X1899" s="0" t="n">
        <v>6.89</v>
      </c>
      <c r="Y1899" s="0" t="n">
        <v>322.92</v>
      </c>
      <c r="Z1899" s="0" t="n">
        <v>9.67</v>
      </c>
      <c r="AA1899" s="0" t="n">
        <v>-0.23</v>
      </c>
      <c r="AB1899" s="0" t="n">
        <v>2.76</v>
      </c>
      <c r="AC1899" s="22" t="b">
        <f aca="false">FALSE()</f>
        <v>0</v>
      </c>
      <c r="AD1899" s="0" t="n">
        <v>2.15</v>
      </c>
      <c r="AE1899" s="0" t="n">
        <v>0.14</v>
      </c>
      <c r="AF1899" s="0" t="n">
        <v>0.43</v>
      </c>
      <c r="AG1899" s="22" t="b">
        <f aca="false">FALSE()</f>
        <v>0</v>
      </c>
      <c r="AH1899" s="0" t="n">
        <v>1</v>
      </c>
    </row>
    <row r="1900" customFormat="false" ht="15" hidden="false" customHeight="false" outlineLevel="0" collapsed="false">
      <c r="A1900" s="0" t="s">
        <v>2860</v>
      </c>
      <c r="B1900" s="0" t="s">
        <v>134</v>
      </c>
      <c r="C1900" s="0" t="s">
        <v>3447</v>
      </c>
      <c r="D1900" s="0" t="s">
        <v>3457</v>
      </c>
      <c r="E1900" s="19" t="s">
        <v>26</v>
      </c>
      <c r="F1900" s="19" t="s">
        <v>32</v>
      </c>
      <c r="G1900" s="21" t="s">
        <v>529</v>
      </c>
      <c r="H1900" s="21" t="s">
        <v>24</v>
      </c>
      <c r="I1900" s="21" t="s">
        <v>26</v>
      </c>
      <c r="J1900" s="21" t="s">
        <v>24</v>
      </c>
      <c r="K1900" s="21" t="s">
        <v>24</v>
      </c>
      <c r="L1900" s="21" t="s">
        <v>24</v>
      </c>
      <c r="M1900" s="0" t="n">
        <v>187</v>
      </c>
      <c r="N1900" s="0" t="n">
        <v>7</v>
      </c>
      <c r="O1900" s="21" t="s">
        <v>3987</v>
      </c>
      <c r="P1900" s="21" t="s">
        <v>4865</v>
      </c>
      <c r="Q1900" s="0" t="n">
        <v>1</v>
      </c>
      <c r="R1900" s="21" t="s">
        <v>69</v>
      </c>
      <c r="S1900" s="0" t="n">
        <v>6</v>
      </c>
      <c r="T1900" s="21" t="s">
        <v>4866</v>
      </c>
      <c r="U1900" s="22" t="b">
        <f aca="false">FALSE()</f>
        <v>0</v>
      </c>
      <c r="V1900" s="0" t="n">
        <v>0.73</v>
      </c>
      <c r="W1900" s="0" t="n">
        <v>0.2</v>
      </c>
      <c r="X1900" s="0" t="n">
        <v>6.66</v>
      </c>
      <c r="Y1900" s="0" t="n">
        <v>495.01</v>
      </c>
      <c r="Z1900" s="0" t="n">
        <v>10.25</v>
      </c>
      <c r="AA1900" s="0" t="n">
        <v>2.94</v>
      </c>
      <c r="AB1900" s="0" t="n">
        <v>1.58</v>
      </c>
      <c r="AC1900" s="22" t="b">
        <f aca="false">FALSE()</f>
        <v>0</v>
      </c>
      <c r="AD1900" s="0" t="n">
        <v>11.57</v>
      </c>
      <c r="AE1900" s="0" t="n">
        <v>0.48</v>
      </c>
      <c r="AF1900" s="0" t="n">
        <v>4.39</v>
      </c>
      <c r="AG1900" s="22" t="b">
        <f aca="false">TRUE()</f>
        <v>1</v>
      </c>
      <c r="AH1900" s="0" t="n">
        <v>1</v>
      </c>
    </row>
    <row r="1901" customFormat="false" ht="15" hidden="false" customHeight="false" outlineLevel="0" collapsed="false">
      <c r="A1901" s="0" t="s">
        <v>2860</v>
      </c>
      <c r="B1901" s="0" t="s">
        <v>134</v>
      </c>
      <c r="C1901" s="0" t="s">
        <v>3447</v>
      </c>
      <c r="D1901" s="0" t="s">
        <v>3448</v>
      </c>
      <c r="E1901" s="18" t="s">
        <v>24</v>
      </c>
      <c r="F1901" s="23" t="s">
        <v>30</v>
      </c>
      <c r="G1901" s="21" t="s">
        <v>30</v>
      </c>
      <c r="H1901" s="21" t="s">
        <v>24</v>
      </c>
      <c r="I1901" s="21" t="s">
        <v>24</v>
      </c>
      <c r="J1901" s="21" t="s">
        <v>24</v>
      </c>
      <c r="K1901" s="21" t="s">
        <v>24</v>
      </c>
      <c r="L1901" s="21" t="s">
        <v>24</v>
      </c>
      <c r="M1901" s="0" t="n">
        <v>186</v>
      </c>
      <c r="N1901" s="0" t="n">
        <v>1</v>
      </c>
      <c r="O1901" s="21" t="s">
        <v>3482</v>
      </c>
      <c r="P1901" s="21" t="s">
        <v>4566</v>
      </c>
      <c r="Q1901" s="0" t="n">
        <v>0</v>
      </c>
      <c r="S1901" s="0" t="n">
        <v>0</v>
      </c>
      <c r="U1901" s="22" t="b">
        <f aca="false">TRUE()</f>
        <v>1</v>
      </c>
      <c r="V1901" s="0" t="n">
        <v>0.75</v>
      </c>
      <c r="W1901" s="0" t="n">
        <v>0.48</v>
      </c>
      <c r="X1901" s="0" t="n">
        <v>6.98</v>
      </c>
      <c r="Y1901" s="0" t="n">
        <v>341.26</v>
      </c>
      <c r="Z1901" s="0" t="n">
        <v>9.5</v>
      </c>
      <c r="AA1901" s="0" t="n">
        <v>-0.71</v>
      </c>
      <c r="AB1901" s="0" t="n">
        <v>2.76</v>
      </c>
      <c r="AC1901" s="22" t="b">
        <f aca="false">FALSE()</f>
        <v>0</v>
      </c>
      <c r="AD1901" s="0" t="n">
        <v>4.12</v>
      </c>
      <c r="AE1901" s="0" t="n">
        <v>0.87</v>
      </c>
      <c r="AF1901" s="0" t="n">
        <v>1.14</v>
      </c>
      <c r="AG1901" s="22" t="b">
        <f aca="false">FALSE()</f>
        <v>0</v>
      </c>
      <c r="AH1901" s="0" t="n">
        <v>1</v>
      </c>
    </row>
    <row r="1902" customFormat="false" ht="15" hidden="false" customHeight="false" outlineLevel="0" collapsed="false">
      <c r="A1902" s="0" t="s">
        <v>2860</v>
      </c>
      <c r="B1902" s="0" t="s">
        <v>3459</v>
      </c>
      <c r="C1902" s="0" t="s">
        <v>3450</v>
      </c>
      <c r="D1902" s="0" t="s">
        <v>3457</v>
      </c>
      <c r="E1902" s="20" t="s">
        <v>25</v>
      </c>
      <c r="F1902" s="23" t="s">
        <v>30</v>
      </c>
      <c r="G1902" s="21" t="s">
        <v>163</v>
      </c>
      <c r="H1902" s="21" t="s">
        <v>24</v>
      </c>
      <c r="I1902" s="21" t="s">
        <v>25</v>
      </c>
      <c r="J1902" s="21" t="s">
        <v>24</v>
      </c>
      <c r="K1902" s="21" t="s">
        <v>25</v>
      </c>
      <c r="L1902" s="21" t="s">
        <v>24</v>
      </c>
      <c r="M1902" s="0" t="n">
        <v>183</v>
      </c>
      <c r="N1902" s="0" t="n">
        <v>1</v>
      </c>
      <c r="O1902" s="21" t="s">
        <v>69</v>
      </c>
      <c r="P1902" s="21" t="s">
        <v>4275</v>
      </c>
      <c r="Q1902" s="0" t="n">
        <v>1</v>
      </c>
      <c r="R1902" s="21" t="s">
        <v>69</v>
      </c>
      <c r="S1902" s="0" t="n">
        <v>1</v>
      </c>
      <c r="T1902" s="21" t="s">
        <v>69</v>
      </c>
      <c r="U1902" s="22" t="b">
        <f aca="false">TRUE()</f>
        <v>1</v>
      </c>
      <c r="V1902" s="0" t="n">
        <v>0.73</v>
      </c>
      <c r="W1902" s="0" t="n">
        <v>0.28</v>
      </c>
      <c r="X1902" s="0" t="n">
        <v>7.18</v>
      </c>
      <c r="Y1902" s="0" t="n">
        <v>421.73</v>
      </c>
      <c r="Z1902" s="0" t="n">
        <v>12</v>
      </c>
      <c r="AA1902" s="0" t="n">
        <v>4.21</v>
      </c>
      <c r="AB1902" s="0" t="n">
        <v>0.4</v>
      </c>
      <c r="AC1902" s="22" t="b">
        <f aca="false">FALSE()</f>
        <v>0</v>
      </c>
      <c r="AD1902" s="0" t="n">
        <v>25.74</v>
      </c>
      <c r="AE1902" s="0" t="n">
        <v>16.6</v>
      </c>
      <c r="AF1902" s="0" t="n">
        <v>24.71</v>
      </c>
      <c r="AG1902" s="22" t="b">
        <f aca="false">TRUE()</f>
        <v>1</v>
      </c>
      <c r="AH1902" s="0" t="n">
        <v>1</v>
      </c>
    </row>
    <row r="1903" customFormat="false" ht="15" hidden="false" customHeight="false" outlineLevel="0" collapsed="false">
      <c r="A1903" s="0" t="s">
        <v>2860</v>
      </c>
      <c r="B1903" s="0" t="s">
        <v>3459</v>
      </c>
      <c r="C1903" s="0" t="s">
        <v>3450</v>
      </c>
      <c r="D1903" s="0" t="s">
        <v>3448</v>
      </c>
      <c r="E1903" s="20" t="s">
        <v>25</v>
      </c>
      <c r="F1903" s="23" t="s">
        <v>30</v>
      </c>
      <c r="G1903" s="21" t="s">
        <v>1809</v>
      </c>
      <c r="H1903" s="21" t="s">
        <v>24</v>
      </c>
      <c r="I1903" s="21" t="s">
        <v>25</v>
      </c>
      <c r="J1903" s="21" t="s">
        <v>24</v>
      </c>
      <c r="K1903" s="21" t="s">
        <v>25</v>
      </c>
      <c r="L1903" s="21" t="s">
        <v>24</v>
      </c>
      <c r="M1903" s="0" t="n">
        <v>184</v>
      </c>
      <c r="N1903" s="0" t="n">
        <v>1</v>
      </c>
      <c r="O1903" s="21" t="s">
        <v>69</v>
      </c>
      <c r="P1903" s="21" t="s">
        <v>4275</v>
      </c>
      <c r="Q1903" s="0" t="n">
        <v>1</v>
      </c>
      <c r="R1903" s="21" t="s">
        <v>69</v>
      </c>
      <c r="S1903" s="0" t="n">
        <v>1</v>
      </c>
      <c r="T1903" s="21" t="s">
        <v>69</v>
      </c>
      <c r="U1903" s="22" t="b">
        <f aca="false">TRUE()</f>
        <v>1</v>
      </c>
      <c r="V1903" s="0" t="n">
        <v>0.73</v>
      </c>
      <c r="W1903" s="0" t="n">
        <v>0.68</v>
      </c>
      <c r="X1903" s="0" t="n">
        <v>7.42</v>
      </c>
      <c r="Y1903" s="0" t="n">
        <v>305.63</v>
      </c>
      <c r="Z1903" s="0" t="n">
        <v>10.25</v>
      </c>
      <c r="AA1903" s="0" t="n">
        <v>2.37</v>
      </c>
      <c r="AB1903" s="0" t="n">
        <v>0.99</v>
      </c>
      <c r="AC1903" s="22" t="b">
        <f aca="false">TRUE()</f>
        <v>1</v>
      </c>
      <c r="AD1903" s="0" t="n">
        <v>21.35</v>
      </c>
      <c r="AE1903" s="0" t="n">
        <v>12.91</v>
      </c>
      <c r="AF1903" s="0" t="n">
        <v>21.32</v>
      </c>
      <c r="AG1903" s="22" t="b">
        <f aca="false">TRUE()</f>
        <v>1</v>
      </c>
      <c r="AH1903" s="0" t="n">
        <v>1</v>
      </c>
    </row>
    <row r="1904" customFormat="false" ht="15" hidden="false" customHeight="false" outlineLevel="0" collapsed="false">
      <c r="A1904" s="0" t="s">
        <v>2860</v>
      </c>
      <c r="B1904" s="0" t="s">
        <v>3459</v>
      </c>
      <c r="C1904" s="0" t="s">
        <v>3447</v>
      </c>
      <c r="D1904" s="0" t="s">
        <v>3457</v>
      </c>
      <c r="E1904" s="20" t="s">
        <v>25</v>
      </c>
      <c r="F1904" s="23" t="s">
        <v>30</v>
      </c>
      <c r="G1904" s="21" t="s">
        <v>1152</v>
      </c>
      <c r="H1904" s="21" t="s">
        <v>24</v>
      </c>
      <c r="I1904" s="21" t="s">
        <v>25</v>
      </c>
      <c r="J1904" s="21" t="s">
        <v>24</v>
      </c>
      <c r="K1904" s="21" t="s">
        <v>25</v>
      </c>
      <c r="L1904" s="21" t="s">
        <v>24</v>
      </c>
      <c r="M1904" s="0" t="n">
        <v>186</v>
      </c>
      <c r="N1904" s="0" t="n">
        <v>1</v>
      </c>
      <c r="O1904" s="21" t="s">
        <v>69</v>
      </c>
      <c r="P1904" s="21" t="s">
        <v>4275</v>
      </c>
      <c r="Q1904" s="0" t="n">
        <v>1</v>
      </c>
      <c r="R1904" s="21" t="s">
        <v>69</v>
      </c>
      <c r="S1904" s="0" t="n">
        <v>1</v>
      </c>
      <c r="T1904" s="21" t="s">
        <v>69</v>
      </c>
      <c r="U1904" s="22" t="b">
        <f aca="false">TRUE()</f>
        <v>1</v>
      </c>
      <c r="V1904" s="0" t="n">
        <v>0.72</v>
      </c>
      <c r="W1904" s="0" t="n">
        <v>0.88</v>
      </c>
      <c r="X1904" s="0" t="n">
        <v>7.44</v>
      </c>
      <c r="Y1904" s="0" t="n">
        <v>321.32</v>
      </c>
      <c r="Z1904" s="0" t="n">
        <v>10.17</v>
      </c>
      <c r="AA1904" s="0" t="n">
        <v>-0.65</v>
      </c>
      <c r="AB1904" s="0" t="n">
        <v>0.4</v>
      </c>
      <c r="AC1904" s="22" t="b">
        <f aca="false">FALSE()</f>
        <v>0</v>
      </c>
      <c r="AD1904" s="0" t="n">
        <v>18.42</v>
      </c>
      <c r="AE1904" s="0" t="n">
        <v>9.95</v>
      </c>
      <c r="AF1904" s="0" t="n">
        <v>17.62</v>
      </c>
      <c r="AG1904" s="22" t="b">
        <f aca="false">TRUE()</f>
        <v>1</v>
      </c>
      <c r="AH1904" s="0" t="n">
        <v>1</v>
      </c>
    </row>
    <row r="1905" customFormat="false" ht="15" hidden="false" customHeight="false" outlineLevel="0" collapsed="false">
      <c r="A1905" s="0" t="s">
        <v>2860</v>
      </c>
      <c r="B1905" s="0" t="s">
        <v>3459</v>
      </c>
      <c r="C1905" s="0" t="s">
        <v>3447</v>
      </c>
      <c r="D1905" s="0" t="s">
        <v>3448</v>
      </c>
      <c r="E1905" s="20" t="s">
        <v>25</v>
      </c>
      <c r="F1905" s="23" t="s">
        <v>30</v>
      </c>
      <c r="G1905" s="21" t="s">
        <v>157</v>
      </c>
      <c r="H1905" s="21" t="s">
        <v>24</v>
      </c>
      <c r="I1905" s="21" t="s">
        <v>25</v>
      </c>
      <c r="J1905" s="21" t="s">
        <v>24</v>
      </c>
      <c r="K1905" s="21" t="s">
        <v>25</v>
      </c>
      <c r="L1905" s="21" t="s">
        <v>24</v>
      </c>
      <c r="M1905" s="0" t="n">
        <v>183</v>
      </c>
      <c r="N1905" s="0" t="n">
        <v>3</v>
      </c>
      <c r="O1905" s="21" t="s">
        <v>3649</v>
      </c>
      <c r="P1905" s="21" t="s">
        <v>4242</v>
      </c>
      <c r="Q1905" s="0" t="n">
        <v>1</v>
      </c>
      <c r="R1905" s="21" t="s">
        <v>69</v>
      </c>
      <c r="S1905" s="0" t="n">
        <v>3</v>
      </c>
      <c r="T1905" s="21" t="s">
        <v>3649</v>
      </c>
      <c r="U1905" s="22" t="b">
        <f aca="false">TRUE()</f>
        <v>1</v>
      </c>
      <c r="V1905" s="0" t="n">
        <v>0.74</v>
      </c>
      <c r="W1905" s="0" t="n">
        <v>0.44</v>
      </c>
      <c r="X1905" s="0" t="n">
        <v>7.53</v>
      </c>
      <c r="Y1905" s="0" t="n">
        <v>332.89</v>
      </c>
      <c r="Z1905" s="0" t="n">
        <v>10</v>
      </c>
      <c r="AA1905" s="0" t="n">
        <v>6.28</v>
      </c>
      <c r="AB1905" s="0" t="n">
        <v>0.99</v>
      </c>
      <c r="AC1905" s="22" t="b">
        <f aca="false">FALSE()</f>
        <v>0</v>
      </c>
      <c r="AD1905" s="0" t="n">
        <v>24.31</v>
      </c>
      <c r="AE1905" s="0" t="n">
        <v>12.45</v>
      </c>
      <c r="AF1905" s="0" t="n">
        <v>18.8</v>
      </c>
      <c r="AG1905" s="22" t="b">
        <f aca="false">TRUE()</f>
        <v>1</v>
      </c>
      <c r="AH1905" s="0" t="n">
        <v>1</v>
      </c>
    </row>
    <row r="1906" customFormat="false" ht="15" hidden="false" customHeight="false" outlineLevel="0" collapsed="false">
      <c r="A1906" s="0" t="s">
        <v>2866</v>
      </c>
      <c r="B1906" s="0" t="s">
        <v>134</v>
      </c>
      <c r="C1906" s="0" t="s">
        <v>3450</v>
      </c>
      <c r="D1906" s="0" t="s">
        <v>3457</v>
      </c>
      <c r="E1906" s="18" t="s">
        <v>24</v>
      </c>
      <c r="F1906" s="18" t="s">
        <v>28</v>
      </c>
      <c r="H1906" s="21" t="s">
        <v>24</v>
      </c>
      <c r="I1906" s="21" t="s">
        <v>24</v>
      </c>
      <c r="J1906" s="21" t="s">
        <v>24</v>
      </c>
      <c r="K1906" s="21" t="s">
        <v>24</v>
      </c>
      <c r="L1906" s="21" t="s">
        <v>24</v>
      </c>
      <c r="M1906" s="0" t="n">
        <v>185</v>
      </c>
      <c r="N1906" s="0" t="n">
        <v>0</v>
      </c>
      <c r="Q1906" s="0" t="n">
        <v>0</v>
      </c>
      <c r="S1906" s="0" t="n">
        <v>0</v>
      </c>
      <c r="U1906" s="22" t="b">
        <f aca="false">FALSE()</f>
        <v>0</v>
      </c>
      <c r="V1906" s="0" t="n">
        <v>0.69</v>
      </c>
      <c r="W1906" s="0" t="n">
        <v>0.6</v>
      </c>
      <c r="X1906" s="0" t="n">
        <v>6.09</v>
      </c>
      <c r="Y1906" s="0" t="n">
        <v>299.97</v>
      </c>
      <c r="Z1906" s="0" t="n">
        <v>9</v>
      </c>
      <c r="AA1906" s="0" t="n">
        <v>11.71</v>
      </c>
      <c r="AB1906" s="0" t="n">
        <v>4.23</v>
      </c>
      <c r="AC1906" s="22" t="b">
        <f aca="false">FALSE()</f>
        <v>0</v>
      </c>
      <c r="AD1906" s="0" t="n">
        <v>3.29</v>
      </c>
      <c r="AE1906" s="0" t="n">
        <v>0.35</v>
      </c>
      <c r="AF1906" s="0" t="n">
        <v>10.96</v>
      </c>
      <c r="AG1906" s="22" t="b">
        <f aca="false">FALSE()</f>
        <v>0</v>
      </c>
      <c r="AH1906" s="0" t="n">
        <v>1</v>
      </c>
    </row>
    <row r="1907" customFormat="false" ht="15" hidden="false" customHeight="false" outlineLevel="0" collapsed="false">
      <c r="A1907" s="0" t="s">
        <v>2866</v>
      </c>
      <c r="B1907" s="0" t="s">
        <v>134</v>
      </c>
      <c r="C1907" s="0" t="s">
        <v>3450</v>
      </c>
      <c r="D1907" s="0" t="s">
        <v>3448</v>
      </c>
      <c r="E1907" s="20" t="s">
        <v>25</v>
      </c>
      <c r="F1907" s="23" t="s">
        <v>30</v>
      </c>
      <c r="G1907" s="21" t="s">
        <v>1230</v>
      </c>
      <c r="H1907" s="21" t="s">
        <v>24</v>
      </c>
      <c r="I1907" s="21" t="s">
        <v>25</v>
      </c>
      <c r="J1907" s="21" t="s">
        <v>24</v>
      </c>
      <c r="K1907" s="21" t="s">
        <v>25</v>
      </c>
      <c r="L1907" s="21" t="s">
        <v>24</v>
      </c>
      <c r="M1907" s="0" t="n">
        <v>216</v>
      </c>
      <c r="N1907" s="0" t="n">
        <v>2</v>
      </c>
      <c r="O1907" s="21" t="s">
        <v>3639</v>
      </c>
      <c r="P1907" s="21" t="s">
        <v>4231</v>
      </c>
      <c r="Q1907" s="0" t="n">
        <v>1</v>
      </c>
      <c r="R1907" s="21" t="s">
        <v>70</v>
      </c>
      <c r="S1907" s="0" t="n">
        <v>2</v>
      </c>
      <c r="T1907" s="21" t="s">
        <v>3639</v>
      </c>
      <c r="U1907" s="22" t="b">
        <f aca="false">TRUE()</f>
        <v>1</v>
      </c>
      <c r="V1907" s="0" t="n">
        <v>0.7</v>
      </c>
      <c r="W1907" s="0" t="n">
        <v>0.72</v>
      </c>
      <c r="X1907" s="0" t="n">
        <v>6.96</v>
      </c>
      <c r="Y1907" s="0" t="n">
        <v>379.56</v>
      </c>
      <c r="Z1907" s="0" t="n">
        <v>8.25</v>
      </c>
      <c r="AA1907" s="0" t="n">
        <v>2.03</v>
      </c>
      <c r="AB1907" s="0" t="n">
        <v>18.4</v>
      </c>
      <c r="AC1907" s="22" t="b">
        <f aca="false">FALSE()</f>
        <v>0</v>
      </c>
      <c r="AD1907" s="0" t="n">
        <v>0.39</v>
      </c>
      <c r="AE1907" s="0" t="n">
        <v>0.33</v>
      </c>
      <c r="AF1907" s="0" t="n">
        <v>6.87</v>
      </c>
      <c r="AG1907" s="22" t="b">
        <f aca="false">FALSE()</f>
        <v>0</v>
      </c>
      <c r="AH1907" s="0" t="n">
        <v>1</v>
      </c>
    </row>
    <row r="1908" customFormat="false" ht="15" hidden="false" customHeight="false" outlineLevel="0" collapsed="false">
      <c r="A1908" s="0" t="s">
        <v>2866</v>
      </c>
      <c r="B1908" s="0" t="s">
        <v>134</v>
      </c>
      <c r="C1908" s="0" t="s">
        <v>3447</v>
      </c>
      <c r="D1908" s="0" t="s">
        <v>3457</v>
      </c>
      <c r="E1908" s="18" t="s">
        <v>24</v>
      </c>
      <c r="F1908" s="23" t="s">
        <v>30</v>
      </c>
      <c r="G1908" s="21" t="s">
        <v>30</v>
      </c>
      <c r="H1908" s="21" t="s">
        <v>24</v>
      </c>
      <c r="I1908" s="21" t="s">
        <v>24</v>
      </c>
      <c r="J1908" s="21" t="s">
        <v>24</v>
      </c>
      <c r="K1908" s="21" t="s">
        <v>24</v>
      </c>
      <c r="L1908" s="21" t="s">
        <v>24</v>
      </c>
      <c r="M1908" s="0" t="n">
        <v>187</v>
      </c>
      <c r="N1908" s="0" t="n">
        <v>6</v>
      </c>
      <c r="O1908" s="21" t="s">
        <v>3791</v>
      </c>
      <c r="P1908" s="21" t="s">
        <v>4867</v>
      </c>
      <c r="Q1908" s="0" t="n">
        <v>0</v>
      </c>
      <c r="S1908" s="0" t="n">
        <v>6</v>
      </c>
      <c r="T1908" s="21" t="s">
        <v>3791</v>
      </c>
      <c r="U1908" s="22" t="b">
        <f aca="false">TRUE()</f>
        <v>1</v>
      </c>
      <c r="V1908" s="0" t="n">
        <v>0.71</v>
      </c>
      <c r="W1908" s="0" t="n">
        <v>0.6</v>
      </c>
      <c r="X1908" s="0" t="n">
        <v>6.55</v>
      </c>
      <c r="Y1908" s="0" t="n">
        <v>316.99</v>
      </c>
      <c r="Z1908" s="0" t="n">
        <v>10.25</v>
      </c>
      <c r="AA1908" s="0" t="n">
        <v>1.92</v>
      </c>
      <c r="AB1908" s="0" t="n">
        <v>4.23</v>
      </c>
      <c r="AC1908" s="22" t="b">
        <f aca="false">FALSE()</f>
        <v>0</v>
      </c>
      <c r="AD1908" s="0" t="n">
        <v>4.69</v>
      </c>
      <c r="AE1908" s="0" t="n">
        <v>0.79</v>
      </c>
      <c r="AF1908" s="0" t="n">
        <v>11.66</v>
      </c>
      <c r="AG1908" s="22" t="b">
        <f aca="false">FALSE()</f>
        <v>0</v>
      </c>
      <c r="AH1908" s="0" t="n">
        <v>1</v>
      </c>
    </row>
    <row r="1909" customFormat="false" ht="15" hidden="false" customHeight="false" outlineLevel="0" collapsed="false">
      <c r="A1909" s="0" t="s">
        <v>2866</v>
      </c>
      <c r="B1909" s="0" t="s">
        <v>134</v>
      </c>
      <c r="C1909" s="0" t="s">
        <v>3447</v>
      </c>
      <c r="D1909" s="0" t="s">
        <v>3448</v>
      </c>
      <c r="E1909" s="19" t="s">
        <v>26</v>
      </c>
      <c r="F1909" s="19" t="s">
        <v>32</v>
      </c>
      <c r="G1909" s="21" t="s">
        <v>3946</v>
      </c>
      <c r="H1909" s="21" t="s">
        <v>25</v>
      </c>
      <c r="I1909" s="21" t="s">
        <v>26</v>
      </c>
      <c r="J1909" s="21" t="s">
        <v>24</v>
      </c>
      <c r="K1909" s="21" t="s">
        <v>24</v>
      </c>
      <c r="L1909" s="21" t="s">
        <v>24</v>
      </c>
      <c r="M1909" s="0" t="n">
        <v>261</v>
      </c>
      <c r="N1909" s="0" t="n">
        <v>7</v>
      </c>
      <c r="O1909" s="21" t="s">
        <v>3945</v>
      </c>
      <c r="P1909" s="21" t="s">
        <v>4868</v>
      </c>
      <c r="Q1909" s="0" t="n">
        <v>0</v>
      </c>
      <c r="S1909" s="0" t="n">
        <v>7</v>
      </c>
      <c r="T1909" s="21" t="s">
        <v>3945</v>
      </c>
      <c r="U1909" s="22" t="b">
        <f aca="false">FALSE()</f>
        <v>0</v>
      </c>
      <c r="V1909" s="0" t="n">
        <v>0.7</v>
      </c>
      <c r="W1909" s="0" t="n">
        <v>0.12</v>
      </c>
      <c r="X1909" s="0" t="n">
        <v>7.58</v>
      </c>
      <c r="Y1909" s="0" t="n">
        <v>894.18</v>
      </c>
      <c r="Z1909" s="0" t="n">
        <v>9.25</v>
      </c>
      <c r="AA1909" s="0" t="n">
        <v>5.61</v>
      </c>
      <c r="AB1909" s="0" t="n">
        <v>18.4</v>
      </c>
      <c r="AC1909" s="22" t="b">
        <f aca="false">FALSE()</f>
        <v>0</v>
      </c>
      <c r="AD1909" s="0" t="n">
        <v>0.76</v>
      </c>
      <c r="AE1909" s="0" t="n">
        <v>0.85</v>
      </c>
      <c r="AF1909" s="0" t="n">
        <v>14.05</v>
      </c>
      <c r="AG1909" s="22" t="b">
        <f aca="false">FALSE()</f>
        <v>0</v>
      </c>
      <c r="AH1909" s="0" t="n">
        <v>1</v>
      </c>
    </row>
    <row r="1910" customFormat="false" ht="15" hidden="false" customHeight="false" outlineLevel="0" collapsed="false">
      <c r="A1910" s="0" t="s">
        <v>2866</v>
      </c>
      <c r="B1910" s="0" t="s">
        <v>3459</v>
      </c>
      <c r="C1910" s="0" t="s">
        <v>3450</v>
      </c>
      <c r="D1910" s="0" t="s">
        <v>3457</v>
      </c>
      <c r="E1910" s="18" t="s">
        <v>24</v>
      </c>
      <c r="F1910" s="18" t="s">
        <v>28</v>
      </c>
      <c r="H1910" s="21" t="s">
        <v>24</v>
      </c>
      <c r="I1910" s="21" t="s">
        <v>24</v>
      </c>
      <c r="J1910" s="21" t="s">
        <v>24</v>
      </c>
      <c r="K1910" s="21" t="s">
        <v>24</v>
      </c>
      <c r="L1910" s="21" t="s">
        <v>24</v>
      </c>
      <c r="M1910" s="0" t="n">
        <v>218</v>
      </c>
      <c r="N1910" s="0" t="n">
        <v>0</v>
      </c>
      <c r="Q1910" s="0" t="n">
        <v>0</v>
      </c>
      <c r="S1910" s="0" t="n">
        <v>0</v>
      </c>
      <c r="U1910" s="22" t="b">
        <f aca="false">FALSE()</f>
        <v>0</v>
      </c>
      <c r="V1910" s="0" t="n">
        <v>0.61</v>
      </c>
      <c r="W1910" s="0" t="n">
        <v>0.36</v>
      </c>
      <c r="X1910" s="0" t="n">
        <v>8.45</v>
      </c>
      <c r="Y1910" s="0" t="n">
        <v>404.55</v>
      </c>
      <c r="Z1910" s="0" t="n">
        <v>9.17</v>
      </c>
      <c r="AA1910" s="0" t="n">
        <v>14.36</v>
      </c>
      <c r="AB1910" s="0" t="n">
        <v>6.21</v>
      </c>
      <c r="AC1910" s="22" t="b">
        <f aca="false">FALSE()</f>
        <v>0</v>
      </c>
      <c r="AD1910" s="0" t="n">
        <v>4.89</v>
      </c>
      <c r="AE1910" s="0" t="n">
        <v>0.28</v>
      </c>
      <c r="AF1910" s="0" t="n">
        <v>1.53</v>
      </c>
      <c r="AG1910" s="22" t="b">
        <f aca="false">FALSE()</f>
        <v>0</v>
      </c>
      <c r="AH1910" s="0" t="n">
        <v>1</v>
      </c>
    </row>
    <row r="1911" customFormat="false" ht="15" hidden="false" customHeight="false" outlineLevel="0" collapsed="false">
      <c r="A1911" s="0" t="s">
        <v>2866</v>
      </c>
      <c r="B1911" s="0" t="s">
        <v>3459</v>
      </c>
      <c r="C1911" s="0" t="s">
        <v>3450</v>
      </c>
      <c r="D1911" s="0" t="s">
        <v>3448</v>
      </c>
      <c r="E1911" s="20" t="s">
        <v>25</v>
      </c>
      <c r="F1911" s="20" t="s">
        <v>29</v>
      </c>
      <c r="G1911" s="21" t="s">
        <v>64</v>
      </c>
      <c r="H1911" s="21" t="s">
        <v>24</v>
      </c>
      <c r="I1911" s="21" t="s">
        <v>24</v>
      </c>
      <c r="J1911" s="21" t="s">
        <v>24</v>
      </c>
      <c r="K1911" s="21" t="s">
        <v>25</v>
      </c>
      <c r="L1911" s="21" t="s">
        <v>24</v>
      </c>
      <c r="M1911" s="0" t="n">
        <v>183</v>
      </c>
      <c r="N1911" s="0" t="n">
        <v>0</v>
      </c>
      <c r="Q1911" s="0" t="n">
        <v>0</v>
      </c>
      <c r="S1911" s="0" t="n">
        <v>0</v>
      </c>
      <c r="U1911" s="22" t="b">
        <f aca="false">FALSE()</f>
        <v>0</v>
      </c>
      <c r="V1911" s="0" t="n">
        <v>0.67</v>
      </c>
      <c r="W1911" s="0" t="n">
        <v>0.68</v>
      </c>
      <c r="X1911" s="0" t="n">
        <v>8.07</v>
      </c>
      <c r="Y1911" s="0" t="n">
        <v>321.03</v>
      </c>
      <c r="Z1911" s="0" t="n">
        <v>8.5</v>
      </c>
      <c r="AA1911" s="0" t="n">
        <v>17.14</v>
      </c>
      <c r="AB1911" s="0" t="n">
        <v>0.12</v>
      </c>
      <c r="AC1911" s="22" t="b">
        <f aca="false">FALSE()</f>
        <v>0</v>
      </c>
      <c r="AD1911" s="0" t="n">
        <v>5.72</v>
      </c>
      <c r="AE1911" s="0" t="n">
        <v>1.32</v>
      </c>
      <c r="AF1911" s="0" t="n">
        <v>2.68</v>
      </c>
      <c r="AG1911" s="22" t="b">
        <f aca="false">FALSE()</f>
        <v>0</v>
      </c>
      <c r="AH1911" s="0" t="n">
        <v>1</v>
      </c>
    </row>
    <row r="1912" customFormat="false" ht="15" hidden="false" customHeight="false" outlineLevel="0" collapsed="false">
      <c r="A1912" s="0" t="s">
        <v>2866</v>
      </c>
      <c r="B1912" s="0" t="s">
        <v>3459</v>
      </c>
      <c r="C1912" s="0" t="s">
        <v>3447</v>
      </c>
      <c r="D1912" s="0" t="s">
        <v>3457</v>
      </c>
      <c r="E1912" s="20" t="s">
        <v>25</v>
      </c>
      <c r="F1912" s="23" t="s">
        <v>30</v>
      </c>
      <c r="G1912" s="21" t="s">
        <v>283</v>
      </c>
      <c r="H1912" s="21" t="s">
        <v>24</v>
      </c>
      <c r="I1912" s="21" t="s">
        <v>25</v>
      </c>
      <c r="J1912" s="21" t="s">
        <v>24</v>
      </c>
      <c r="K1912" s="21" t="s">
        <v>24</v>
      </c>
      <c r="L1912" s="21" t="s">
        <v>24</v>
      </c>
      <c r="M1912" s="0" t="n">
        <v>215</v>
      </c>
      <c r="N1912" s="0" t="n">
        <v>5</v>
      </c>
      <c r="O1912" s="21" t="s">
        <v>3840</v>
      </c>
      <c r="P1912" s="21" t="s">
        <v>4869</v>
      </c>
      <c r="Q1912" s="0" t="n">
        <v>1</v>
      </c>
      <c r="R1912" s="21" t="s">
        <v>69</v>
      </c>
      <c r="S1912" s="0" t="n">
        <v>5</v>
      </c>
      <c r="T1912" s="21" t="s">
        <v>3840</v>
      </c>
      <c r="U1912" s="22" t="b">
        <f aca="false">TRUE()</f>
        <v>1</v>
      </c>
      <c r="V1912" s="0" t="n">
        <v>0.62</v>
      </c>
      <c r="W1912" s="0" t="n">
        <v>0.2</v>
      </c>
      <c r="X1912" s="0" t="n">
        <v>7.19</v>
      </c>
      <c r="Y1912" s="0" t="n">
        <v>568.43</v>
      </c>
      <c r="Z1912" s="0" t="n">
        <v>8.92</v>
      </c>
      <c r="AA1912" s="0" t="n">
        <v>4.76</v>
      </c>
      <c r="AB1912" s="0" t="n">
        <v>6.21</v>
      </c>
      <c r="AC1912" s="22" t="b">
        <f aca="false">FALSE()</f>
        <v>0</v>
      </c>
      <c r="AD1912" s="0" t="n">
        <v>4.18</v>
      </c>
      <c r="AE1912" s="0" t="n">
        <v>1.02</v>
      </c>
      <c r="AF1912" s="0" t="n">
        <v>2.13</v>
      </c>
      <c r="AG1912" s="22" t="b">
        <f aca="false">FALSE()</f>
        <v>0</v>
      </c>
      <c r="AH1912" s="0" t="n">
        <v>1</v>
      </c>
    </row>
    <row r="1913" customFormat="false" ht="15" hidden="false" customHeight="false" outlineLevel="0" collapsed="false">
      <c r="A1913" s="0" t="s">
        <v>2866</v>
      </c>
      <c r="B1913" s="0" t="s">
        <v>3459</v>
      </c>
      <c r="C1913" s="0" t="s">
        <v>3447</v>
      </c>
      <c r="D1913" s="0" t="s">
        <v>3448</v>
      </c>
      <c r="E1913" s="19" t="s">
        <v>26</v>
      </c>
      <c r="F1913" s="19" t="s">
        <v>32</v>
      </c>
      <c r="G1913" s="21" t="s">
        <v>1311</v>
      </c>
      <c r="H1913" s="21" t="s">
        <v>24</v>
      </c>
      <c r="I1913" s="21" t="s">
        <v>26</v>
      </c>
      <c r="J1913" s="21" t="s">
        <v>24</v>
      </c>
      <c r="K1913" s="21" t="s">
        <v>25</v>
      </c>
      <c r="L1913" s="21" t="s">
        <v>24</v>
      </c>
      <c r="M1913" s="0" t="n">
        <v>184</v>
      </c>
      <c r="N1913" s="0" t="n">
        <v>9</v>
      </c>
      <c r="O1913" s="21" t="s">
        <v>4042</v>
      </c>
      <c r="P1913" s="21" t="s">
        <v>4471</v>
      </c>
      <c r="Q1913" s="0" t="n">
        <v>1</v>
      </c>
      <c r="R1913" s="21" t="s">
        <v>69</v>
      </c>
      <c r="S1913" s="0" t="n">
        <v>9</v>
      </c>
      <c r="T1913" s="21" t="s">
        <v>4042</v>
      </c>
      <c r="U1913" s="22" t="b">
        <f aca="false">FALSE()</f>
        <v>0</v>
      </c>
      <c r="V1913" s="0" t="n">
        <v>0.62</v>
      </c>
      <c r="W1913" s="0" t="n">
        <v>0.96</v>
      </c>
      <c r="X1913" s="0" t="n">
        <v>7.57</v>
      </c>
      <c r="Y1913" s="0" t="n">
        <v>318.83</v>
      </c>
      <c r="Z1913" s="0" t="n">
        <v>8</v>
      </c>
      <c r="AA1913" s="0" t="n">
        <v>-1</v>
      </c>
      <c r="AB1913" s="0" t="n">
        <v>0.12</v>
      </c>
      <c r="AC1913" s="22" t="b">
        <f aca="false">FALSE()</f>
        <v>0</v>
      </c>
      <c r="AD1913" s="0" t="n">
        <v>0.37</v>
      </c>
      <c r="AE1913" s="0" t="n">
        <v>0.19</v>
      </c>
      <c r="AF1913" s="0" t="n">
        <v>0.37</v>
      </c>
      <c r="AG1913" s="22" t="b">
        <f aca="false">FALSE()</f>
        <v>0</v>
      </c>
      <c r="AH1913" s="0" t="n">
        <v>1</v>
      </c>
    </row>
    <row r="1914" customFormat="false" ht="15" hidden="false" customHeight="false" outlineLevel="0" collapsed="false">
      <c r="A1914" s="0" t="s">
        <v>2873</v>
      </c>
      <c r="B1914" s="0" t="s">
        <v>134</v>
      </c>
      <c r="C1914" s="0" t="s">
        <v>3450</v>
      </c>
      <c r="D1914" s="0" t="s">
        <v>3457</v>
      </c>
      <c r="E1914" s="20" t="s">
        <v>25</v>
      </c>
      <c r="F1914" s="23" t="s">
        <v>30</v>
      </c>
      <c r="G1914" s="21" t="s">
        <v>283</v>
      </c>
      <c r="H1914" s="21" t="s">
        <v>24</v>
      </c>
      <c r="I1914" s="21" t="s">
        <v>25</v>
      </c>
      <c r="J1914" s="21" t="s">
        <v>24</v>
      </c>
      <c r="K1914" s="21" t="s">
        <v>24</v>
      </c>
      <c r="L1914" s="21" t="s">
        <v>24</v>
      </c>
      <c r="M1914" s="0" t="n">
        <v>186</v>
      </c>
      <c r="N1914" s="0" t="n">
        <v>3</v>
      </c>
      <c r="O1914" s="21" t="s">
        <v>3689</v>
      </c>
      <c r="P1914" s="21" t="s">
        <v>4870</v>
      </c>
      <c r="Q1914" s="0" t="n">
        <v>1</v>
      </c>
      <c r="R1914" s="21" t="s">
        <v>70</v>
      </c>
      <c r="S1914" s="0" t="n">
        <v>3</v>
      </c>
      <c r="T1914" s="21" t="s">
        <v>3689</v>
      </c>
      <c r="U1914" s="22" t="b">
        <f aca="false">TRUE()</f>
        <v>1</v>
      </c>
      <c r="V1914" s="0" t="n">
        <v>0.57</v>
      </c>
      <c r="W1914" s="0" t="n">
        <v>0.84</v>
      </c>
      <c r="X1914" s="0" t="n">
        <v>8.51</v>
      </c>
      <c r="Y1914" s="0" t="n">
        <v>317.52</v>
      </c>
      <c r="Z1914" s="0" t="n">
        <v>9.75</v>
      </c>
      <c r="AA1914" s="0" t="n">
        <v>4.46</v>
      </c>
      <c r="AB1914" s="0" t="n">
        <v>5.62</v>
      </c>
      <c r="AC1914" s="22" t="b">
        <f aca="false">FALSE()</f>
        <v>0</v>
      </c>
      <c r="AD1914" s="0" t="n">
        <v>7.12</v>
      </c>
      <c r="AE1914" s="0" t="n">
        <v>0.09</v>
      </c>
      <c r="AF1914" s="0" t="n">
        <v>4.81</v>
      </c>
      <c r="AG1914" s="22" t="b">
        <f aca="false">FALSE()</f>
        <v>0</v>
      </c>
      <c r="AH1914" s="0" t="n">
        <v>1</v>
      </c>
    </row>
    <row r="1915" customFormat="false" ht="15" hidden="false" customHeight="false" outlineLevel="0" collapsed="false">
      <c r="A1915" s="0" t="s">
        <v>2873</v>
      </c>
      <c r="B1915" s="0" t="s">
        <v>134</v>
      </c>
      <c r="C1915" s="0" t="s">
        <v>3450</v>
      </c>
      <c r="D1915" s="0" t="s">
        <v>3448</v>
      </c>
      <c r="E1915" s="20" t="s">
        <v>25</v>
      </c>
      <c r="F1915" s="23" t="s">
        <v>30</v>
      </c>
      <c r="G1915" s="21" t="s">
        <v>283</v>
      </c>
      <c r="H1915" s="21" t="s">
        <v>24</v>
      </c>
      <c r="I1915" s="21" t="s">
        <v>25</v>
      </c>
      <c r="J1915" s="21" t="s">
        <v>24</v>
      </c>
      <c r="K1915" s="21" t="s">
        <v>24</v>
      </c>
      <c r="L1915" s="21" t="s">
        <v>24</v>
      </c>
      <c r="M1915" s="0" t="n">
        <v>187</v>
      </c>
      <c r="N1915" s="0" t="n">
        <v>2</v>
      </c>
      <c r="O1915" s="21" t="s">
        <v>3721</v>
      </c>
      <c r="P1915" s="21" t="s">
        <v>4871</v>
      </c>
      <c r="Q1915" s="0" t="n">
        <v>1</v>
      </c>
      <c r="R1915" s="21" t="s">
        <v>70</v>
      </c>
      <c r="S1915" s="0" t="n">
        <v>2</v>
      </c>
      <c r="T1915" s="21" t="s">
        <v>3721</v>
      </c>
      <c r="U1915" s="22" t="b">
        <f aca="false">TRUE()</f>
        <v>1</v>
      </c>
      <c r="V1915" s="0" t="n">
        <v>0.59</v>
      </c>
      <c r="W1915" s="0" t="n">
        <v>0.64</v>
      </c>
      <c r="X1915" s="0" t="n">
        <v>9.14</v>
      </c>
      <c r="Y1915" s="0" t="n">
        <v>302.4</v>
      </c>
      <c r="Z1915" s="0" t="n">
        <v>9.75</v>
      </c>
      <c r="AA1915" s="0" t="n">
        <v>13.85</v>
      </c>
      <c r="AB1915" s="0" t="n">
        <v>4.33</v>
      </c>
      <c r="AC1915" s="22" t="b">
        <f aca="false">FALSE()</f>
        <v>0</v>
      </c>
      <c r="AD1915" s="0" t="n">
        <v>6.94</v>
      </c>
      <c r="AE1915" s="0" t="n">
        <v>0.17</v>
      </c>
      <c r="AF1915" s="0" t="n">
        <v>3.19</v>
      </c>
      <c r="AG1915" s="22" t="b">
        <f aca="false">FALSE()</f>
        <v>0</v>
      </c>
      <c r="AH1915" s="0" t="n">
        <v>1</v>
      </c>
    </row>
    <row r="1916" customFormat="false" ht="15" hidden="false" customHeight="false" outlineLevel="0" collapsed="false">
      <c r="A1916" s="0" t="s">
        <v>2873</v>
      </c>
      <c r="B1916" s="0" t="s">
        <v>134</v>
      </c>
      <c r="C1916" s="0" t="s">
        <v>3447</v>
      </c>
      <c r="D1916" s="0" t="s">
        <v>3457</v>
      </c>
      <c r="E1916" s="20" t="s">
        <v>25</v>
      </c>
      <c r="F1916" s="23" t="s">
        <v>30</v>
      </c>
      <c r="G1916" s="21" t="s">
        <v>283</v>
      </c>
      <c r="H1916" s="21" t="s">
        <v>24</v>
      </c>
      <c r="I1916" s="21" t="s">
        <v>25</v>
      </c>
      <c r="J1916" s="21" t="s">
        <v>24</v>
      </c>
      <c r="K1916" s="21" t="s">
        <v>24</v>
      </c>
      <c r="L1916" s="21" t="s">
        <v>24</v>
      </c>
      <c r="M1916" s="0" t="n">
        <v>187</v>
      </c>
      <c r="N1916" s="0" t="n">
        <v>5</v>
      </c>
      <c r="O1916" s="21" t="s">
        <v>3847</v>
      </c>
      <c r="P1916" s="21" t="s">
        <v>4872</v>
      </c>
      <c r="Q1916" s="0" t="n">
        <v>1</v>
      </c>
      <c r="R1916" s="21" t="s">
        <v>70</v>
      </c>
      <c r="S1916" s="0" t="n">
        <v>5</v>
      </c>
      <c r="T1916" s="21" t="s">
        <v>3847</v>
      </c>
      <c r="U1916" s="22" t="b">
        <f aca="false">TRUE()</f>
        <v>1</v>
      </c>
      <c r="V1916" s="0" t="n">
        <v>0.64</v>
      </c>
      <c r="W1916" s="0" t="n">
        <v>0.56</v>
      </c>
      <c r="X1916" s="0" t="n">
        <v>9.31</v>
      </c>
      <c r="Y1916" s="0" t="n">
        <v>324.79</v>
      </c>
      <c r="Z1916" s="0" t="n">
        <v>10.17</v>
      </c>
      <c r="AA1916" s="0" t="n">
        <v>6.07</v>
      </c>
      <c r="AB1916" s="0" t="n">
        <v>5.62</v>
      </c>
      <c r="AC1916" s="22" t="b">
        <f aca="false">FALSE()</f>
        <v>0</v>
      </c>
      <c r="AD1916" s="0" t="n">
        <v>14.24</v>
      </c>
      <c r="AE1916" s="0" t="n">
        <v>0.24</v>
      </c>
      <c r="AF1916" s="0" t="n">
        <v>9.99</v>
      </c>
      <c r="AG1916" s="22" t="b">
        <f aca="false">TRUE()</f>
        <v>1</v>
      </c>
      <c r="AH1916" s="0" t="n">
        <v>1</v>
      </c>
    </row>
    <row r="1917" customFormat="false" ht="15" hidden="false" customHeight="false" outlineLevel="0" collapsed="false">
      <c r="A1917" s="0" t="s">
        <v>2873</v>
      </c>
      <c r="B1917" s="0" t="s">
        <v>134</v>
      </c>
      <c r="C1917" s="0" t="s">
        <v>3447</v>
      </c>
      <c r="D1917" s="0" t="s">
        <v>3448</v>
      </c>
      <c r="E1917" s="19" t="s">
        <v>26</v>
      </c>
      <c r="F1917" s="19" t="s">
        <v>32</v>
      </c>
      <c r="G1917" s="21" t="s">
        <v>529</v>
      </c>
      <c r="H1917" s="21" t="s">
        <v>24</v>
      </c>
      <c r="I1917" s="21" t="s">
        <v>26</v>
      </c>
      <c r="J1917" s="21" t="s">
        <v>24</v>
      </c>
      <c r="K1917" s="21" t="s">
        <v>24</v>
      </c>
      <c r="L1917" s="21" t="s">
        <v>24</v>
      </c>
      <c r="M1917" s="0" t="n">
        <v>183</v>
      </c>
      <c r="N1917" s="0" t="n">
        <v>7</v>
      </c>
      <c r="O1917" s="21" t="s">
        <v>4082</v>
      </c>
      <c r="P1917" s="21" t="s">
        <v>4873</v>
      </c>
      <c r="Q1917" s="0" t="n">
        <v>1</v>
      </c>
      <c r="R1917" s="21" t="s">
        <v>70</v>
      </c>
      <c r="S1917" s="0" t="n">
        <v>7</v>
      </c>
      <c r="T1917" s="21" t="s">
        <v>4082</v>
      </c>
      <c r="U1917" s="22" t="b">
        <f aca="false">FALSE()</f>
        <v>0</v>
      </c>
      <c r="V1917" s="0" t="n">
        <v>0.61</v>
      </c>
      <c r="W1917" s="0" t="n">
        <v>0.52</v>
      </c>
      <c r="X1917" s="0" t="n">
        <v>10.8</v>
      </c>
      <c r="Y1917" s="0" t="n">
        <v>288.62</v>
      </c>
      <c r="Z1917" s="0" t="n">
        <v>10</v>
      </c>
      <c r="AA1917" s="0" t="n">
        <v>3.29</v>
      </c>
      <c r="AB1917" s="0" t="n">
        <v>4.33</v>
      </c>
      <c r="AC1917" s="22" t="b">
        <f aca="false">FALSE()</f>
        <v>0</v>
      </c>
      <c r="AD1917" s="0" t="n">
        <v>5.42</v>
      </c>
      <c r="AE1917" s="0" t="n">
        <v>1.32</v>
      </c>
      <c r="AF1917" s="0" t="n">
        <v>2.36</v>
      </c>
      <c r="AG1917" s="22" t="b">
        <f aca="false">FALSE()</f>
        <v>0</v>
      </c>
      <c r="AH1917" s="0" t="n">
        <v>1</v>
      </c>
    </row>
    <row r="1918" customFormat="false" ht="15" hidden="false" customHeight="false" outlineLevel="0" collapsed="false">
      <c r="A1918" s="0" t="s">
        <v>2879</v>
      </c>
      <c r="B1918" s="0" t="s">
        <v>134</v>
      </c>
      <c r="C1918" s="0" t="s">
        <v>3450</v>
      </c>
      <c r="D1918" s="0" t="s">
        <v>3457</v>
      </c>
      <c r="E1918" s="20" t="s">
        <v>25</v>
      </c>
      <c r="F1918" s="23" t="s">
        <v>30</v>
      </c>
      <c r="G1918" s="21" t="s">
        <v>183</v>
      </c>
      <c r="H1918" s="21" t="s">
        <v>24</v>
      </c>
      <c r="I1918" s="21" t="s">
        <v>25</v>
      </c>
      <c r="J1918" s="21" t="s">
        <v>24</v>
      </c>
      <c r="K1918" s="21" t="s">
        <v>25</v>
      </c>
      <c r="L1918" s="21" t="s">
        <v>24</v>
      </c>
      <c r="M1918" s="0" t="n">
        <v>183</v>
      </c>
      <c r="N1918" s="0" t="n">
        <v>5</v>
      </c>
      <c r="O1918" s="21" t="s">
        <v>3802</v>
      </c>
      <c r="P1918" s="21" t="s">
        <v>4629</v>
      </c>
      <c r="Q1918" s="0" t="n">
        <v>1</v>
      </c>
      <c r="R1918" s="21" t="s">
        <v>69</v>
      </c>
      <c r="S1918" s="0" t="n">
        <v>5</v>
      </c>
      <c r="T1918" s="21" t="s">
        <v>3802</v>
      </c>
      <c r="U1918" s="22" t="b">
        <f aca="false">TRUE()</f>
        <v>1</v>
      </c>
      <c r="V1918" s="0" t="n">
        <v>0.67</v>
      </c>
      <c r="W1918" s="0" t="n">
        <v>0.56</v>
      </c>
      <c r="X1918" s="0" t="n">
        <v>10.94</v>
      </c>
      <c r="Y1918" s="0" t="n">
        <v>283.45</v>
      </c>
      <c r="Z1918" s="0" t="n">
        <v>10</v>
      </c>
      <c r="AA1918" s="0" t="n">
        <v>15.73</v>
      </c>
      <c r="AB1918" s="0" t="n">
        <v>5.28</v>
      </c>
      <c r="AC1918" s="22" t="b">
        <f aca="false">FALSE()</f>
        <v>0</v>
      </c>
      <c r="AD1918" s="0" t="n">
        <v>21.62</v>
      </c>
      <c r="AE1918" s="0" t="n">
        <v>6.39</v>
      </c>
      <c r="AF1918" s="0" t="n">
        <v>13.81</v>
      </c>
      <c r="AG1918" s="22" t="b">
        <f aca="false">TRUE()</f>
        <v>1</v>
      </c>
      <c r="AH1918" s="0" t="n">
        <v>1</v>
      </c>
    </row>
    <row r="1919" customFormat="false" ht="15" hidden="false" customHeight="false" outlineLevel="0" collapsed="false">
      <c r="A1919" s="0" t="s">
        <v>2879</v>
      </c>
      <c r="B1919" s="0" t="s">
        <v>134</v>
      </c>
      <c r="C1919" s="0" t="s">
        <v>3450</v>
      </c>
      <c r="D1919" s="0" t="s">
        <v>3448</v>
      </c>
      <c r="E1919" s="20" t="s">
        <v>25</v>
      </c>
      <c r="F1919" s="23" t="s">
        <v>30</v>
      </c>
      <c r="G1919" s="21" t="s">
        <v>163</v>
      </c>
      <c r="H1919" s="21" t="s">
        <v>24</v>
      </c>
      <c r="I1919" s="21" t="s">
        <v>25</v>
      </c>
      <c r="J1919" s="21" t="s">
        <v>24</v>
      </c>
      <c r="K1919" s="21" t="s">
        <v>25</v>
      </c>
      <c r="L1919" s="21" t="s">
        <v>24</v>
      </c>
      <c r="M1919" s="0" t="n">
        <v>182</v>
      </c>
      <c r="N1919" s="0" t="n">
        <v>3</v>
      </c>
      <c r="O1919" s="21" t="s">
        <v>3649</v>
      </c>
      <c r="P1919" s="21" t="s">
        <v>4242</v>
      </c>
      <c r="Q1919" s="0" t="n">
        <v>1</v>
      </c>
      <c r="R1919" s="21" t="s">
        <v>69</v>
      </c>
      <c r="S1919" s="0" t="n">
        <v>3</v>
      </c>
      <c r="T1919" s="21" t="s">
        <v>3649</v>
      </c>
      <c r="U1919" s="22" t="b">
        <f aca="false">TRUE()</f>
        <v>1</v>
      </c>
      <c r="V1919" s="0" t="n">
        <v>0.71</v>
      </c>
      <c r="W1919" s="0" t="n">
        <v>0.6</v>
      </c>
      <c r="X1919" s="0" t="n">
        <v>12.63</v>
      </c>
      <c r="Y1919" s="0" t="n">
        <v>317.33</v>
      </c>
      <c r="Z1919" s="0" t="n">
        <v>10.25</v>
      </c>
      <c r="AA1919" s="0" t="n">
        <v>5.34</v>
      </c>
      <c r="AB1919" s="0" t="n">
        <v>0.74</v>
      </c>
      <c r="AC1919" s="22" t="b">
        <f aca="false">FALSE()</f>
        <v>0</v>
      </c>
      <c r="AD1919" s="0" t="n">
        <v>22.3</v>
      </c>
      <c r="AE1919" s="0" t="n">
        <v>10.41</v>
      </c>
      <c r="AF1919" s="0" t="n">
        <v>20.41</v>
      </c>
      <c r="AG1919" s="22" t="b">
        <f aca="false">TRUE()</f>
        <v>1</v>
      </c>
      <c r="AH1919" s="0" t="n">
        <v>1</v>
      </c>
    </row>
    <row r="1920" customFormat="false" ht="15" hidden="false" customHeight="false" outlineLevel="0" collapsed="false">
      <c r="A1920" s="0" t="s">
        <v>2879</v>
      </c>
      <c r="B1920" s="0" t="s">
        <v>134</v>
      </c>
      <c r="C1920" s="0" t="s">
        <v>3447</v>
      </c>
      <c r="D1920" s="0" t="s">
        <v>3457</v>
      </c>
      <c r="E1920" s="20" t="s">
        <v>25</v>
      </c>
      <c r="F1920" s="23" t="s">
        <v>30</v>
      </c>
      <c r="G1920" s="21" t="s">
        <v>283</v>
      </c>
      <c r="H1920" s="21" t="s">
        <v>24</v>
      </c>
      <c r="I1920" s="21" t="s">
        <v>25</v>
      </c>
      <c r="J1920" s="21" t="s">
        <v>24</v>
      </c>
      <c r="K1920" s="21" t="s">
        <v>24</v>
      </c>
      <c r="L1920" s="21" t="s">
        <v>24</v>
      </c>
      <c r="M1920" s="0" t="n">
        <v>182</v>
      </c>
      <c r="N1920" s="0" t="n">
        <v>5</v>
      </c>
      <c r="O1920" s="21" t="s">
        <v>3798</v>
      </c>
      <c r="P1920" s="21" t="s">
        <v>4578</v>
      </c>
      <c r="Q1920" s="0" t="n">
        <v>1</v>
      </c>
      <c r="R1920" s="21" t="s">
        <v>69</v>
      </c>
      <c r="S1920" s="0" t="n">
        <v>5</v>
      </c>
      <c r="T1920" s="21" t="s">
        <v>3798</v>
      </c>
      <c r="U1920" s="22" t="b">
        <f aca="false">TRUE()</f>
        <v>1</v>
      </c>
      <c r="V1920" s="0" t="n">
        <v>0.65</v>
      </c>
      <c r="W1920" s="0" t="n">
        <v>0.36</v>
      </c>
      <c r="X1920" s="0" t="n">
        <v>10.21</v>
      </c>
      <c r="Y1920" s="0" t="n">
        <v>337.65</v>
      </c>
      <c r="Z1920" s="0" t="n">
        <v>9.5</v>
      </c>
      <c r="AA1920" s="0" t="n">
        <v>5.88</v>
      </c>
      <c r="AB1920" s="0" t="n">
        <v>5.28</v>
      </c>
      <c r="AC1920" s="22" t="b">
        <f aca="false">FALSE()</f>
        <v>0</v>
      </c>
      <c r="AD1920" s="0" t="n">
        <v>19.62</v>
      </c>
      <c r="AE1920" s="0" t="n">
        <v>5.3</v>
      </c>
      <c r="AF1920" s="0" t="n">
        <v>11.66</v>
      </c>
      <c r="AG1920" s="22" t="b">
        <f aca="false">TRUE()</f>
        <v>1</v>
      </c>
      <c r="AH1920" s="0" t="n">
        <v>1</v>
      </c>
    </row>
    <row r="1921" customFormat="false" ht="15" hidden="false" customHeight="false" outlineLevel="0" collapsed="false">
      <c r="A1921" s="0" t="s">
        <v>2879</v>
      </c>
      <c r="B1921" s="0" t="s">
        <v>134</v>
      </c>
      <c r="C1921" s="0" t="s">
        <v>3447</v>
      </c>
      <c r="D1921" s="0" t="s">
        <v>3448</v>
      </c>
      <c r="E1921" s="20" t="s">
        <v>25</v>
      </c>
      <c r="F1921" s="23" t="s">
        <v>30</v>
      </c>
      <c r="G1921" s="21" t="s">
        <v>2610</v>
      </c>
      <c r="H1921" s="21" t="s">
        <v>24</v>
      </c>
      <c r="I1921" s="21" t="s">
        <v>24</v>
      </c>
      <c r="J1921" s="21" t="s">
        <v>24</v>
      </c>
      <c r="K1921" s="21" t="s">
        <v>25</v>
      </c>
      <c r="L1921" s="21" t="s">
        <v>24</v>
      </c>
      <c r="M1921" s="0" t="n">
        <v>182</v>
      </c>
      <c r="N1921" s="0" t="n">
        <v>1</v>
      </c>
      <c r="O1921" s="21" t="s">
        <v>3485</v>
      </c>
      <c r="P1921" s="21" t="s">
        <v>4457</v>
      </c>
      <c r="Q1921" s="0" t="n">
        <v>0</v>
      </c>
      <c r="S1921" s="0" t="n">
        <v>1</v>
      </c>
      <c r="T1921" s="21" t="s">
        <v>3485</v>
      </c>
      <c r="U1921" s="22" t="b">
        <f aca="false">TRUE()</f>
        <v>1</v>
      </c>
      <c r="V1921" s="0" t="n">
        <v>0.7</v>
      </c>
      <c r="W1921" s="0" t="n">
        <v>0.84</v>
      </c>
      <c r="X1921" s="0" t="n">
        <v>16.95</v>
      </c>
      <c r="Y1921" s="0" t="n">
        <v>309.26</v>
      </c>
      <c r="Z1921" s="0" t="n">
        <v>8.25</v>
      </c>
      <c r="AA1921" s="0" t="n">
        <v>-0.83</v>
      </c>
      <c r="AB1921" s="0" t="n">
        <v>0.74</v>
      </c>
      <c r="AC1921" s="22" t="b">
        <f aca="false">FALSE()</f>
        <v>0</v>
      </c>
      <c r="AD1921" s="0" t="n">
        <v>15.05</v>
      </c>
      <c r="AE1921" s="0" t="n">
        <v>2.8</v>
      </c>
      <c r="AF1921" s="0" t="n">
        <v>9.95</v>
      </c>
      <c r="AG1921" s="22" t="b">
        <f aca="false">TRUE()</f>
        <v>1</v>
      </c>
      <c r="AH1921" s="0" t="n">
        <v>1</v>
      </c>
    </row>
    <row r="1922" customFormat="false" ht="15" hidden="false" customHeight="false" outlineLevel="0" collapsed="false">
      <c r="A1922" s="0" t="s">
        <v>2885</v>
      </c>
      <c r="B1922" s="0" t="s">
        <v>134</v>
      </c>
      <c r="C1922" s="0" t="s">
        <v>3450</v>
      </c>
      <c r="D1922" s="0" t="s">
        <v>3457</v>
      </c>
      <c r="E1922" s="20" t="s">
        <v>25</v>
      </c>
      <c r="F1922" s="23" t="s">
        <v>30</v>
      </c>
      <c r="G1922" s="21" t="s">
        <v>1230</v>
      </c>
      <c r="H1922" s="21" t="s">
        <v>24</v>
      </c>
      <c r="I1922" s="21" t="s">
        <v>25</v>
      </c>
      <c r="J1922" s="21" t="s">
        <v>24</v>
      </c>
      <c r="K1922" s="21" t="s">
        <v>25</v>
      </c>
      <c r="L1922" s="21" t="s">
        <v>24</v>
      </c>
      <c r="M1922" s="0" t="n">
        <v>182</v>
      </c>
      <c r="N1922" s="0" t="n">
        <v>3</v>
      </c>
      <c r="O1922" s="21" t="s">
        <v>3649</v>
      </c>
      <c r="P1922" s="21" t="s">
        <v>4242</v>
      </c>
      <c r="Q1922" s="0" t="n">
        <v>1</v>
      </c>
      <c r="R1922" s="21" t="s">
        <v>69</v>
      </c>
      <c r="S1922" s="0" t="n">
        <v>3</v>
      </c>
      <c r="T1922" s="21" t="s">
        <v>3649</v>
      </c>
      <c r="U1922" s="22" t="b">
        <f aca="false">TRUE()</f>
        <v>1</v>
      </c>
      <c r="V1922" s="0" t="n">
        <v>0.78</v>
      </c>
      <c r="W1922" s="0" t="n">
        <v>0.64</v>
      </c>
      <c r="X1922" s="0" t="n">
        <v>6.7</v>
      </c>
      <c r="Y1922" s="0" t="n">
        <v>319.97</v>
      </c>
      <c r="Z1922" s="0" t="n">
        <v>9.5</v>
      </c>
      <c r="AA1922" s="0" t="n">
        <v>-0.76</v>
      </c>
      <c r="AB1922" s="0" t="n">
        <v>29.72</v>
      </c>
      <c r="AC1922" s="22" t="b">
        <f aca="false">FALSE()</f>
        <v>0</v>
      </c>
      <c r="AD1922" s="0" t="n">
        <v>11.48</v>
      </c>
      <c r="AE1922" s="0" t="n">
        <v>6.39</v>
      </c>
      <c r="AF1922" s="0" t="n">
        <v>10.69</v>
      </c>
      <c r="AG1922" s="22" t="b">
        <f aca="false">TRUE()</f>
        <v>1</v>
      </c>
      <c r="AH1922" s="0" t="n">
        <v>1</v>
      </c>
    </row>
    <row r="1923" customFormat="false" ht="15" hidden="false" customHeight="false" outlineLevel="0" collapsed="false">
      <c r="A1923" s="0" t="s">
        <v>2885</v>
      </c>
      <c r="B1923" s="0" t="s">
        <v>134</v>
      </c>
      <c r="C1923" s="0" t="s">
        <v>3450</v>
      </c>
      <c r="D1923" s="0" t="s">
        <v>3448</v>
      </c>
      <c r="E1923" s="20" t="s">
        <v>25</v>
      </c>
      <c r="F1923" s="23" t="s">
        <v>30</v>
      </c>
      <c r="G1923" s="21" t="s">
        <v>157</v>
      </c>
      <c r="H1923" s="21" t="s">
        <v>24</v>
      </c>
      <c r="I1923" s="21" t="s">
        <v>25</v>
      </c>
      <c r="J1923" s="21" t="s">
        <v>24</v>
      </c>
      <c r="K1923" s="21" t="s">
        <v>25</v>
      </c>
      <c r="L1923" s="21" t="s">
        <v>24</v>
      </c>
      <c r="M1923" s="0" t="n">
        <v>184</v>
      </c>
      <c r="N1923" s="0" t="n">
        <v>5</v>
      </c>
      <c r="O1923" s="21" t="s">
        <v>3803</v>
      </c>
      <c r="P1923" s="21" t="s">
        <v>4874</v>
      </c>
      <c r="Q1923" s="0" t="n">
        <v>1</v>
      </c>
      <c r="R1923" s="21" t="s">
        <v>69</v>
      </c>
      <c r="S1923" s="0" t="n">
        <v>5</v>
      </c>
      <c r="T1923" s="21" t="s">
        <v>3803</v>
      </c>
      <c r="U1923" s="22" t="b">
        <f aca="false">TRUE()</f>
        <v>1</v>
      </c>
      <c r="V1923" s="0" t="n">
        <v>0.78</v>
      </c>
      <c r="W1923" s="0" t="n">
        <v>0.44</v>
      </c>
      <c r="X1923" s="0" t="n">
        <v>7.31</v>
      </c>
      <c r="Y1923" s="0" t="n">
        <v>345.75</v>
      </c>
      <c r="Z1923" s="0" t="n">
        <v>10.25</v>
      </c>
      <c r="AA1923" s="0" t="n">
        <v>4.56</v>
      </c>
      <c r="AB1923" s="0" t="n">
        <v>1.48</v>
      </c>
      <c r="AC1923" s="22" t="b">
        <f aca="false">FALSE()</f>
        <v>0</v>
      </c>
      <c r="AD1923" s="0" t="n">
        <v>20.21</v>
      </c>
      <c r="AE1923" s="0" t="n">
        <v>7.63</v>
      </c>
      <c r="AF1923" s="0" t="n">
        <v>18.5</v>
      </c>
      <c r="AG1923" s="22" t="b">
        <f aca="false">TRUE()</f>
        <v>1</v>
      </c>
      <c r="AH1923" s="0" t="n">
        <v>1</v>
      </c>
    </row>
    <row r="1924" customFormat="false" ht="15" hidden="false" customHeight="false" outlineLevel="0" collapsed="false">
      <c r="A1924" s="0" t="s">
        <v>2885</v>
      </c>
      <c r="B1924" s="0" t="s">
        <v>134</v>
      </c>
      <c r="C1924" s="0" t="s">
        <v>3447</v>
      </c>
      <c r="D1924" s="0" t="s">
        <v>3457</v>
      </c>
      <c r="E1924" s="20" t="s">
        <v>25</v>
      </c>
      <c r="F1924" s="23" t="s">
        <v>30</v>
      </c>
      <c r="G1924" s="21" t="s">
        <v>283</v>
      </c>
      <c r="H1924" s="21" t="s">
        <v>24</v>
      </c>
      <c r="I1924" s="21" t="s">
        <v>25</v>
      </c>
      <c r="J1924" s="21" t="s">
        <v>24</v>
      </c>
      <c r="K1924" s="21" t="s">
        <v>24</v>
      </c>
      <c r="L1924" s="21" t="s">
        <v>24</v>
      </c>
      <c r="M1924" s="0" t="n">
        <v>183</v>
      </c>
      <c r="N1924" s="0" t="n">
        <v>1</v>
      </c>
      <c r="O1924" s="21" t="s">
        <v>69</v>
      </c>
      <c r="P1924" s="21" t="s">
        <v>4275</v>
      </c>
      <c r="Q1924" s="0" t="n">
        <v>1</v>
      </c>
      <c r="R1924" s="21" t="s">
        <v>69</v>
      </c>
      <c r="S1924" s="0" t="n">
        <v>1</v>
      </c>
      <c r="T1924" s="21" t="s">
        <v>69</v>
      </c>
      <c r="U1924" s="22" t="b">
        <f aca="false">TRUE()</f>
        <v>1</v>
      </c>
      <c r="V1924" s="0" t="n">
        <v>0.77</v>
      </c>
      <c r="W1924" s="0" t="n">
        <v>0.16</v>
      </c>
      <c r="X1924" s="0" t="n">
        <v>5.59</v>
      </c>
      <c r="Y1924" s="0" t="n">
        <v>562.62</v>
      </c>
      <c r="Z1924" s="0" t="n">
        <v>10.75</v>
      </c>
      <c r="AA1924" s="0" t="n">
        <v>2.83</v>
      </c>
      <c r="AB1924" s="0" t="n">
        <v>29.72</v>
      </c>
      <c r="AC1924" s="22" t="b">
        <f aca="false">FALSE()</f>
        <v>0</v>
      </c>
      <c r="AD1924" s="0" t="n">
        <v>19.2</v>
      </c>
      <c r="AE1924" s="0" t="n">
        <v>10</v>
      </c>
      <c r="AF1924" s="0" t="n">
        <v>16.36</v>
      </c>
      <c r="AG1924" s="22" t="b">
        <f aca="false">TRUE()</f>
        <v>1</v>
      </c>
      <c r="AH1924" s="0" t="n">
        <v>1</v>
      </c>
    </row>
    <row r="1925" customFormat="false" ht="15" hidden="false" customHeight="false" outlineLevel="0" collapsed="false">
      <c r="A1925" s="0" t="s">
        <v>2885</v>
      </c>
      <c r="B1925" s="0" t="s">
        <v>134</v>
      </c>
      <c r="C1925" s="0" t="s">
        <v>3447</v>
      </c>
      <c r="D1925" s="0" t="s">
        <v>3448</v>
      </c>
      <c r="E1925" s="20" t="s">
        <v>25</v>
      </c>
      <c r="F1925" s="23" t="s">
        <v>30</v>
      </c>
      <c r="G1925" s="21" t="s">
        <v>157</v>
      </c>
      <c r="H1925" s="21" t="s">
        <v>24</v>
      </c>
      <c r="I1925" s="21" t="s">
        <v>25</v>
      </c>
      <c r="J1925" s="21" t="s">
        <v>24</v>
      </c>
      <c r="K1925" s="21" t="s">
        <v>25</v>
      </c>
      <c r="L1925" s="21" t="s">
        <v>24</v>
      </c>
      <c r="M1925" s="0" t="n">
        <v>182</v>
      </c>
      <c r="N1925" s="0" t="n">
        <v>5</v>
      </c>
      <c r="O1925" s="21" t="s">
        <v>3803</v>
      </c>
      <c r="P1925" s="21" t="s">
        <v>4874</v>
      </c>
      <c r="Q1925" s="0" t="n">
        <v>1</v>
      </c>
      <c r="R1925" s="21" t="s">
        <v>69</v>
      </c>
      <c r="S1925" s="0" t="n">
        <v>5</v>
      </c>
      <c r="T1925" s="21" t="s">
        <v>3803</v>
      </c>
      <c r="U1925" s="22" t="b">
        <f aca="false">TRUE()</f>
        <v>1</v>
      </c>
      <c r="V1925" s="0" t="n">
        <v>0.77</v>
      </c>
      <c r="W1925" s="0" t="n">
        <v>0.52</v>
      </c>
      <c r="X1925" s="0" t="n">
        <v>7.83</v>
      </c>
      <c r="Y1925" s="0" t="n">
        <v>324.54</v>
      </c>
      <c r="Z1925" s="0" t="n">
        <v>8.5</v>
      </c>
      <c r="AA1925" s="0" t="n">
        <v>-0.71</v>
      </c>
      <c r="AB1925" s="0" t="n">
        <v>1.48</v>
      </c>
      <c r="AC1925" s="22" t="b">
        <f aca="false">FALSE()</f>
        <v>0</v>
      </c>
      <c r="AD1925" s="0" t="n">
        <v>21.23</v>
      </c>
      <c r="AE1925" s="0" t="n">
        <v>8.98</v>
      </c>
      <c r="AF1925" s="0" t="n">
        <v>20.03</v>
      </c>
      <c r="AG1925" s="22" t="b">
        <f aca="false">TRUE()</f>
        <v>1</v>
      </c>
      <c r="AH1925" s="0" t="n">
        <v>1</v>
      </c>
    </row>
    <row r="1926" customFormat="false" ht="15" hidden="false" customHeight="false" outlineLevel="0" collapsed="false">
      <c r="A1926" s="0" t="s">
        <v>2891</v>
      </c>
      <c r="B1926" s="0" t="s">
        <v>134</v>
      </c>
      <c r="C1926" s="0" t="s">
        <v>3450</v>
      </c>
      <c r="D1926" s="0" t="s">
        <v>3457</v>
      </c>
      <c r="E1926" s="19" t="s">
        <v>26</v>
      </c>
      <c r="F1926" s="19" t="s">
        <v>32</v>
      </c>
      <c r="G1926" s="21" t="s">
        <v>529</v>
      </c>
      <c r="H1926" s="21" t="s">
        <v>24</v>
      </c>
      <c r="I1926" s="21" t="s">
        <v>26</v>
      </c>
      <c r="J1926" s="21" t="s">
        <v>24</v>
      </c>
      <c r="K1926" s="21" t="s">
        <v>24</v>
      </c>
      <c r="L1926" s="21" t="s">
        <v>24</v>
      </c>
      <c r="M1926" s="0" t="n">
        <v>193</v>
      </c>
      <c r="N1926" s="0" t="n">
        <v>11</v>
      </c>
      <c r="O1926" s="21" t="s">
        <v>4034</v>
      </c>
      <c r="P1926" s="21" t="s">
        <v>4252</v>
      </c>
      <c r="Q1926" s="0" t="n">
        <v>1</v>
      </c>
      <c r="R1926" s="21" t="s">
        <v>69</v>
      </c>
      <c r="S1926" s="0" t="n">
        <v>11</v>
      </c>
      <c r="T1926" s="21" t="s">
        <v>4034</v>
      </c>
      <c r="U1926" s="22" t="b">
        <f aca="false">FALSE()</f>
        <v>0</v>
      </c>
      <c r="V1926" s="0" t="n">
        <v>0.63</v>
      </c>
      <c r="W1926" s="0" t="n">
        <v>0.16</v>
      </c>
      <c r="X1926" s="0" t="n">
        <v>6</v>
      </c>
      <c r="Y1926" s="0" t="n">
        <v>589.1</v>
      </c>
      <c r="Z1926" s="0" t="n">
        <v>11</v>
      </c>
      <c r="AA1926" s="0" t="n">
        <v>20.79</v>
      </c>
      <c r="AB1926" s="0" t="n">
        <v>2.97</v>
      </c>
      <c r="AC1926" s="22" t="b">
        <f aca="false">FALSE()</f>
        <v>0</v>
      </c>
      <c r="AD1926" s="0" t="n">
        <v>14.48</v>
      </c>
      <c r="AE1926" s="0" t="n">
        <v>0.5</v>
      </c>
      <c r="AF1926" s="0" t="n">
        <v>2.49</v>
      </c>
      <c r="AG1926" s="22" t="b">
        <f aca="false">TRUE()</f>
        <v>1</v>
      </c>
      <c r="AH1926" s="0" t="n">
        <v>1</v>
      </c>
    </row>
    <row r="1927" customFormat="false" ht="15" hidden="false" customHeight="false" outlineLevel="0" collapsed="false">
      <c r="A1927" s="0" t="s">
        <v>2891</v>
      </c>
      <c r="B1927" s="0" t="s">
        <v>134</v>
      </c>
      <c r="C1927" s="0" t="s">
        <v>3450</v>
      </c>
      <c r="D1927" s="0" t="s">
        <v>3448</v>
      </c>
      <c r="E1927" s="20" t="s">
        <v>25</v>
      </c>
      <c r="F1927" s="20" t="s">
        <v>29</v>
      </c>
      <c r="G1927" s="21" t="s">
        <v>3471</v>
      </c>
      <c r="H1927" s="21" t="s">
        <v>24</v>
      </c>
      <c r="I1927" s="21" t="s">
        <v>24</v>
      </c>
      <c r="J1927" s="21" t="s">
        <v>24</v>
      </c>
      <c r="K1927" s="21" t="s">
        <v>25</v>
      </c>
      <c r="L1927" s="21" t="s">
        <v>24</v>
      </c>
      <c r="M1927" s="0" t="n">
        <v>187</v>
      </c>
      <c r="N1927" s="0" t="n">
        <v>0</v>
      </c>
      <c r="Q1927" s="0" t="n">
        <v>0</v>
      </c>
      <c r="S1927" s="0" t="n">
        <v>0</v>
      </c>
      <c r="U1927" s="22" t="b">
        <f aca="false">FALSE()</f>
        <v>0</v>
      </c>
      <c r="V1927" s="0" t="n">
        <v>0.72</v>
      </c>
      <c r="W1927" s="0" t="n">
        <v>0.16</v>
      </c>
      <c r="X1927" s="0" t="n">
        <v>6.05</v>
      </c>
      <c r="Y1927" s="0" t="n">
        <v>567.15</v>
      </c>
      <c r="Z1927" s="0" t="n">
        <v>11</v>
      </c>
      <c r="AA1927" s="0" t="n">
        <v>14.23</v>
      </c>
      <c r="AB1927" s="0" t="n">
        <v>0.65</v>
      </c>
      <c r="AC1927" s="22" t="b">
        <f aca="false">FALSE()</f>
        <v>0</v>
      </c>
      <c r="AD1927" s="0" t="n">
        <v>25.02</v>
      </c>
      <c r="AE1927" s="0" t="n">
        <v>0.74</v>
      </c>
      <c r="AF1927" s="0" t="n">
        <v>24.03</v>
      </c>
      <c r="AG1927" s="22" t="b">
        <f aca="false">TRUE()</f>
        <v>1</v>
      </c>
      <c r="AH1927" s="0" t="n">
        <v>1</v>
      </c>
    </row>
    <row r="1928" customFormat="false" ht="15" hidden="false" customHeight="false" outlineLevel="0" collapsed="false">
      <c r="A1928" s="0" t="s">
        <v>2891</v>
      </c>
      <c r="B1928" s="0" t="s">
        <v>134</v>
      </c>
      <c r="C1928" s="0" t="s">
        <v>3447</v>
      </c>
      <c r="D1928" s="0" t="s">
        <v>3457</v>
      </c>
      <c r="E1928" s="18" t="s">
        <v>24</v>
      </c>
      <c r="F1928" s="23" t="s">
        <v>30</v>
      </c>
      <c r="G1928" s="21" t="s">
        <v>30</v>
      </c>
      <c r="H1928" s="21" t="s">
        <v>24</v>
      </c>
      <c r="I1928" s="21" t="s">
        <v>24</v>
      </c>
      <c r="J1928" s="21" t="s">
        <v>24</v>
      </c>
      <c r="K1928" s="21" t="s">
        <v>24</v>
      </c>
      <c r="L1928" s="21" t="s">
        <v>24</v>
      </c>
      <c r="M1928" s="0" t="n">
        <v>184</v>
      </c>
      <c r="N1928" s="0" t="n">
        <v>1</v>
      </c>
      <c r="O1928" s="21" t="s">
        <v>3474</v>
      </c>
      <c r="P1928" s="21" t="s">
        <v>4272</v>
      </c>
      <c r="Q1928" s="0" t="n">
        <v>0</v>
      </c>
      <c r="S1928" s="0" t="n">
        <v>1</v>
      </c>
      <c r="T1928" s="21" t="s">
        <v>3474</v>
      </c>
      <c r="U1928" s="22" t="b">
        <f aca="false">TRUE()</f>
        <v>1</v>
      </c>
      <c r="V1928" s="0" t="n">
        <v>0.76</v>
      </c>
      <c r="W1928" s="0" t="n">
        <v>0.4</v>
      </c>
      <c r="X1928" s="0" t="n">
        <v>5.22</v>
      </c>
      <c r="Y1928" s="0" t="n">
        <v>360.68</v>
      </c>
      <c r="Z1928" s="0" t="n">
        <v>10.83</v>
      </c>
      <c r="AA1928" s="0" t="n">
        <v>7.94</v>
      </c>
      <c r="AB1928" s="0" t="n">
        <v>2.97</v>
      </c>
      <c r="AC1928" s="22" t="b">
        <f aca="false">FALSE()</f>
        <v>0</v>
      </c>
      <c r="AD1928" s="0" t="n">
        <v>14.12</v>
      </c>
      <c r="AE1928" s="0" t="n">
        <v>1.69</v>
      </c>
      <c r="AF1928" s="0" t="n">
        <v>2.88</v>
      </c>
      <c r="AG1928" s="22" t="b">
        <f aca="false">TRUE()</f>
        <v>1</v>
      </c>
      <c r="AH1928" s="0" t="n">
        <v>1</v>
      </c>
    </row>
    <row r="1929" customFormat="false" ht="15" hidden="false" customHeight="false" outlineLevel="0" collapsed="false">
      <c r="A1929" s="0" t="s">
        <v>2891</v>
      </c>
      <c r="B1929" s="0" t="s">
        <v>134</v>
      </c>
      <c r="C1929" s="0" t="s">
        <v>3447</v>
      </c>
      <c r="D1929" s="0" t="s">
        <v>3448</v>
      </c>
      <c r="E1929" s="20" t="s">
        <v>25</v>
      </c>
      <c r="F1929" s="23" t="s">
        <v>30</v>
      </c>
      <c r="G1929" s="21" t="s">
        <v>3487</v>
      </c>
      <c r="H1929" s="21" t="s">
        <v>24</v>
      </c>
      <c r="I1929" s="21" t="s">
        <v>24</v>
      </c>
      <c r="J1929" s="21" t="s">
        <v>24</v>
      </c>
      <c r="K1929" s="21" t="s">
        <v>25</v>
      </c>
      <c r="L1929" s="21" t="s">
        <v>24</v>
      </c>
      <c r="M1929" s="0" t="n">
        <v>186</v>
      </c>
      <c r="N1929" s="0" t="n">
        <v>2</v>
      </c>
      <c r="O1929" s="21" t="s">
        <v>3500</v>
      </c>
      <c r="P1929" s="21" t="s">
        <v>4679</v>
      </c>
      <c r="Q1929" s="0" t="n">
        <v>0</v>
      </c>
      <c r="S1929" s="0" t="n">
        <v>2</v>
      </c>
      <c r="T1929" s="21" t="s">
        <v>3500</v>
      </c>
      <c r="U1929" s="22" t="b">
        <f aca="false">TRUE()</f>
        <v>1</v>
      </c>
      <c r="V1929" s="0" t="n">
        <v>0.86</v>
      </c>
      <c r="W1929" s="0" t="n">
        <v>0.76</v>
      </c>
      <c r="X1929" s="0" t="n">
        <v>7.28</v>
      </c>
      <c r="Y1929" s="0" t="n">
        <v>321.47</v>
      </c>
      <c r="Z1929" s="0" t="n">
        <v>11</v>
      </c>
      <c r="AA1929" s="0" t="n">
        <v>3.67</v>
      </c>
      <c r="AB1929" s="0" t="n">
        <v>0.65</v>
      </c>
      <c r="AC1929" s="22" t="b">
        <f aca="false">FALSE()</f>
        <v>0</v>
      </c>
      <c r="AD1929" s="0" t="n">
        <v>20.37</v>
      </c>
      <c r="AE1929" s="0" t="n">
        <v>0.21</v>
      </c>
      <c r="AF1929" s="0" t="n">
        <v>19.24</v>
      </c>
      <c r="AG1929" s="22" t="b">
        <f aca="false">TRUE()</f>
        <v>1</v>
      </c>
      <c r="AH1929" s="0" t="n">
        <v>1</v>
      </c>
    </row>
    <row r="1930" customFormat="false" ht="15" hidden="false" customHeight="false" outlineLevel="0" collapsed="false">
      <c r="A1930" s="0" t="s">
        <v>2891</v>
      </c>
      <c r="B1930" s="0" t="s">
        <v>3459</v>
      </c>
      <c r="C1930" s="0" t="s">
        <v>3450</v>
      </c>
      <c r="D1930" s="0" t="s">
        <v>3457</v>
      </c>
      <c r="E1930" s="19" t="s">
        <v>26</v>
      </c>
      <c r="F1930" s="19" t="s">
        <v>32</v>
      </c>
      <c r="G1930" s="21" t="s">
        <v>1926</v>
      </c>
      <c r="H1930" s="21" t="s">
        <v>24</v>
      </c>
      <c r="I1930" s="21" t="s">
        <v>26</v>
      </c>
      <c r="J1930" s="21" t="s">
        <v>24</v>
      </c>
      <c r="K1930" s="21" t="s">
        <v>25</v>
      </c>
      <c r="L1930" s="21" t="s">
        <v>24</v>
      </c>
      <c r="M1930" s="0" t="n">
        <v>183</v>
      </c>
      <c r="N1930" s="0" t="n">
        <v>10</v>
      </c>
      <c r="O1930" s="21" t="s">
        <v>4011</v>
      </c>
      <c r="P1930" s="21" t="s">
        <v>4248</v>
      </c>
      <c r="Q1930" s="0" t="n">
        <v>1</v>
      </c>
      <c r="R1930" s="21" t="s">
        <v>69</v>
      </c>
      <c r="S1930" s="0" t="n">
        <v>10</v>
      </c>
      <c r="T1930" s="21" t="s">
        <v>4011</v>
      </c>
      <c r="U1930" s="22" t="b">
        <f aca="false">FALSE()</f>
        <v>0</v>
      </c>
      <c r="V1930" s="0" t="n">
        <v>0.67</v>
      </c>
      <c r="W1930" s="0" t="n">
        <v>0.48</v>
      </c>
      <c r="X1930" s="0" t="n">
        <v>6.64</v>
      </c>
      <c r="Y1930" s="0" t="n">
        <v>236.67</v>
      </c>
      <c r="Z1930" s="0" t="n">
        <v>11</v>
      </c>
      <c r="AA1930" s="0" t="n">
        <v>19.68</v>
      </c>
      <c r="AB1930" s="0" t="n">
        <v>10.64</v>
      </c>
      <c r="AC1930" s="22" t="b">
        <f aca="false">FALSE()</f>
        <v>0</v>
      </c>
      <c r="AD1930" s="0" t="n">
        <v>22.59</v>
      </c>
      <c r="AE1930" s="0" t="n">
        <v>12.21</v>
      </c>
      <c r="AF1930" s="0" t="n">
        <v>19.07</v>
      </c>
      <c r="AG1930" s="22" t="b">
        <f aca="false">TRUE()</f>
        <v>1</v>
      </c>
      <c r="AH1930" s="0" t="n">
        <v>1</v>
      </c>
    </row>
    <row r="1931" customFormat="false" ht="15" hidden="false" customHeight="false" outlineLevel="0" collapsed="false">
      <c r="A1931" s="0" t="s">
        <v>2891</v>
      </c>
      <c r="B1931" s="0" t="s">
        <v>3459</v>
      </c>
      <c r="C1931" s="0" t="s">
        <v>3450</v>
      </c>
      <c r="D1931" s="0" t="s">
        <v>3448</v>
      </c>
      <c r="E1931" s="20" t="s">
        <v>25</v>
      </c>
      <c r="F1931" s="23" t="s">
        <v>30</v>
      </c>
      <c r="G1931" s="21" t="s">
        <v>183</v>
      </c>
      <c r="H1931" s="21" t="s">
        <v>24</v>
      </c>
      <c r="I1931" s="21" t="s">
        <v>25</v>
      </c>
      <c r="J1931" s="21" t="s">
        <v>24</v>
      </c>
      <c r="K1931" s="21" t="s">
        <v>25</v>
      </c>
      <c r="L1931" s="21" t="s">
        <v>24</v>
      </c>
      <c r="M1931" s="0" t="n">
        <v>183</v>
      </c>
      <c r="N1931" s="0" t="n">
        <v>3</v>
      </c>
      <c r="O1931" s="21" t="s">
        <v>3649</v>
      </c>
      <c r="P1931" s="21" t="s">
        <v>4242</v>
      </c>
      <c r="Q1931" s="0" t="n">
        <v>1</v>
      </c>
      <c r="R1931" s="21" t="s">
        <v>69</v>
      </c>
      <c r="S1931" s="0" t="n">
        <v>3</v>
      </c>
      <c r="T1931" s="21" t="s">
        <v>3649</v>
      </c>
      <c r="U1931" s="22" t="b">
        <f aca="false">TRUE()</f>
        <v>1</v>
      </c>
      <c r="V1931" s="0" t="n">
        <v>0.72</v>
      </c>
      <c r="W1931" s="0" t="n">
        <v>0.52</v>
      </c>
      <c r="X1931" s="0" t="n">
        <v>5.54</v>
      </c>
      <c r="Y1931" s="0" t="n">
        <v>328.75</v>
      </c>
      <c r="Z1931" s="0" t="n">
        <v>11.25</v>
      </c>
      <c r="AA1931" s="0" t="n">
        <v>10.56</v>
      </c>
      <c r="AB1931" s="0" t="n">
        <v>1.92</v>
      </c>
      <c r="AC1931" s="22" t="b">
        <f aca="false">FALSE()</f>
        <v>0</v>
      </c>
      <c r="AD1931" s="0" t="n">
        <v>24.23</v>
      </c>
      <c r="AE1931" s="0" t="n">
        <v>12.2</v>
      </c>
      <c r="AF1931" s="0" t="n">
        <v>19.42</v>
      </c>
      <c r="AG1931" s="22" t="b">
        <f aca="false">TRUE()</f>
        <v>1</v>
      </c>
      <c r="AH1931" s="0" t="n">
        <v>1</v>
      </c>
    </row>
    <row r="1932" customFormat="false" ht="15" hidden="false" customHeight="false" outlineLevel="0" collapsed="false">
      <c r="A1932" s="0" t="s">
        <v>2891</v>
      </c>
      <c r="B1932" s="0" t="s">
        <v>3459</v>
      </c>
      <c r="C1932" s="0" t="s">
        <v>3447</v>
      </c>
      <c r="D1932" s="0" t="s">
        <v>3457</v>
      </c>
      <c r="E1932" s="20" t="s">
        <v>25</v>
      </c>
      <c r="F1932" s="23" t="s">
        <v>30</v>
      </c>
      <c r="G1932" s="21" t="s">
        <v>992</v>
      </c>
      <c r="H1932" s="21" t="s">
        <v>24</v>
      </c>
      <c r="I1932" s="21" t="s">
        <v>24</v>
      </c>
      <c r="J1932" s="21" t="s">
        <v>24</v>
      </c>
      <c r="K1932" s="21" t="s">
        <v>25</v>
      </c>
      <c r="L1932" s="21" t="s">
        <v>24</v>
      </c>
      <c r="M1932" s="0" t="n">
        <v>183</v>
      </c>
      <c r="N1932" s="0" t="n">
        <v>1</v>
      </c>
      <c r="O1932" s="21" t="s">
        <v>3478</v>
      </c>
      <c r="P1932" s="21" t="s">
        <v>4288</v>
      </c>
      <c r="Q1932" s="0" t="n">
        <v>0</v>
      </c>
      <c r="S1932" s="0" t="n">
        <v>1</v>
      </c>
      <c r="T1932" s="21" t="s">
        <v>3478</v>
      </c>
      <c r="U1932" s="22" t="b">
        <f aca="false">TRUE()</f>
        <v>1</v>
      </c>
      <c r="V1932" s="0" t="n">
        <v>0.79</v>
      </c>
      <c r="W1932" s="0" t="n">
        <v>0.4</v>
      </c>
      <c r="X1932" s="0" t="n">
        <v>5.87</v>
      </c>
      <c r="Y1932" s="0" t="n">
        <v>307.64</v>
      </c>
      <c r="Z1932" s="0" t="n">
        <v>10.5</v>
      </c>
      <c r="AA1932" s="0" t="n">
        <v>4.76</v>
      </c>
      <c r="AB1932" s="0" t="n">
        <v>10.64</v>
      </c>
      <c r="AC1932" s="22" t="b">
        <f aca="false">FALSE()</f>
        <v>0</v>
      </c>
      <c r="AD1932" s="0" t="n">
        <v>23.58</v>
      </c>
      <c r="AE1932" s="0" t="n">
        <v>13.3</v>
      </c>
      <c r="AF1932" s="0" t="n">
        <v>19.96</v>
      </c>
      <c r="AG1932" s="22" t="b">
        <f aca="false">TRUE()</f>
        <v>1</v>
      </c>
      <c r="AH1932" s="0" t="n">
        <v>1</v>
      </c>
    </row>
    <row r="1933" customFormat="false" ht="15" hidden="false" customHeight="false" outlineLevel="0" collapsed="false">
      <c r="A1933" s="0" t="s">
        <v>2891</v>
      </c>
      <c r="B1933" s="0" t="s">
        <v>3459</v>
      </c>
      <c r="C1933" s="0" t="s">
        <v>3447</v>
      </c>
      <c r="D1933" s="0" t="s">
        <v>3448</v>
      </c>
      <c r="E1933" s="18" t="s">
        <v>24</v>
      </c>
      <c r="F1933" s="23" t="s">
        <v>30</v>
      </c>
      <c r="G1933" s="21" t="s">
        <v>30</v>
      </c>
      <c r="H1933" s="21" t="s">
        <v>24</v>
      </c>
      <c r="I1933" s="21" t="s">
        <v>24</v>
      </c>
      <c r="J1933" s="21" t="s">
        <v>24</v>
      </c>
      <c r="K1933" s="21" t="s">
        <v>24</v>
      </c>
      <c r="L1933" s="21" t="s">
        <v>24</v>
      </c>
      <c r="M1933" s="0" t="n">
        <v>185</v>
      </c>
      <c r="N1933" s="0" t="n">
        <v>1</v>
      </c>
      <c r="O1933" s="21" t="s">
        <v>3475</v>
      </c>
      <c r="P1933" s="21" t="s">
        <v>4433</v>
      </c>
      <c r="Q1933" s="0" t="n">
        <v>0</v>
      </c>
      <c r="S1933" s="0" t="n">
        <v>1</v>
      </c>
      <c r="T1933" s="21" t="s">
        <v>3475</v>
      </c>
      <c r="U1933" s="22" t="b">
        <f aca="false">TRUE()</f>
        <v>1</v>
      </c>
      <c r="V1933" s="0" t="n">
        <v>0.86</v>
      </c>
      <c r="W1933" s="0" t="n">
        <v>0.96</v>
      </c>
      <c r="X1933" s="0" t="n">
        <v>11.42</v>
      </c>
      <c r="Y1933" s="0" t="n">
        <v>310.47</v>
      </c>
      <c r="Z1933" s="0" t="n">
        <v>11</v>
      </c>
      <c r="AA1933" s="0" t="n">
        <v>3.64</v>
      </c>
      <c r="AB1933" s="0" t="n">
        <v>1.92</v>
      </c>
      <c r="AC1933" s="22" t="b">
        <f aca="false">FALSE()</f>
        <v>0</v>
      </c>
      <c r="AD1933" s="0" t="n">
        <v>16.61</v>
      </c>
      <c r="AE1933" s="0" t="n">
        <v>5.61</v>
      </c>
      <c r="AF1933" s="0" t="n">
        <v>9.19</v>
      </c>
      <c r="AG1933" s="22" t="b">
        <f aca="false">TRUE()</f>
        <v>1</v>
      </c>
      <c r="AH1933" s="0" t="n">
        <v>1</v>
      </c>
    </row>
    <row r="1934" customFormat="false" ht="15" hidden="false" customHeight="false" outlineLevel="0" collapsed="false">
      <c r="A1934" s="0" t="s">
        <v>2897</v>
      </c>
      <c r="B1934" s="0" t="s">
        <v>134</v>
      </c>
      <c r="C1934" s="0" t="s">
        <v>3450</v>
      </c>
      <c r="D1934" s="0" t="s">
        <v>3457</v>
      </c>
      <c r="E1934" s="20" t="s">
        <v>25</v>
      </c>
      <c r="F1934" s="20" t="s">
        <v>29</v>
      </c>
      <c r="G1934" s="21" t="s">
        <v>62</v>
      </c>
      <c r="H1934" s="21" t="s">
        <v>24</v>
      </c>
      <c r="I1934" s="21" t="s">
        <v>24</v>
      </c>
      <c r="J1934" s="21" t="s">
        <v>24</v>
      </c>
      <c r="K1934" s="21" t="s">
        <v>25</v>
      </c>
      <c r="L1934" s="21" t="s">
        <v>24</v>
      </c>
      <c r="M1934" s="0" t="n">
        <v>200</v>
      </c>
      <c r="N1934" s="0" t="n">
        <v>0</v>
      </c>
      <c r="Q1934" s="0" t="n">
        <v>0</v>
      </c>
      <c r="S1934" s="0" t="n">
        <v>0</v>
      </c>
      <c r="U1934" s="22" t="b">
        <f aca="false">FALSE()</f>
        <v>0</v>
      </c>
      <c r="V1934" s="0" t="n">
        <v>0.63</v>
      </c>
      <c r="W1934" s="0" t="n">
        <v>0.32</v>
      </c>
      <c r="X1934" s="0" t="n">
        <v>6.92</v>
      </c>
      <c r="Y1934" s="0" t="n">
        <v>393.69</v>
      </c>
      <c r="Z1934" s="0" t="n">
        <v>9.75</v>
      </c>
      <c r="AA1934" s="0" t="n">
        <v>1.68</v>
      </c>
      <c r="AB1934" s="0" t="n">
        <v>4.11</v>
      </c>
      <c r="AC1934" s="22" t="b">
        <f aca="false">FALSE()</f>
        <v>0</v>
      </c>
      <c r="AD1934" s="0" t="n">
        <v>9.12</v>
      </c>
      <c r="AE1934" s="0" t="n">
        <v>1.07</v>
      </c>
      <c r="AF1934" s="0" t="n">
        <v>2.29</v>
      </c>
      <c r="AG1934" s="22" t="b">
        <f aca="false">FALSE()</f>
        <v>0</v>
      </c>
      <c r="AH1934" s="0" t="n">
        <v>1</v>
      </c>
    </row>
    <row r="1935" customFormat="false" ht="15" hidden="false" customHeight="false" outlineLevel="0" collapsed="false">
      <c r="A1935" s="0" t="s">
        <v>2897</v>
      </c>
      <c r="B1935" s="0" t="s">
        <v>134</v>
      </c>
      <c r="C1935" s="0" t="s">
        <v>3450</v>
      </c>
      <c r="D1935" s="0" t="s">
        <v>3448</v>
      </c>
      <c r="E1935" s="20" t="s">
        <v>25</v>
      </c>
      <c r="F1935" s="23" t="s">
        <v>30</v>
      </c>
      <c r="G1935" s="21" t="s">
        <v>2559</v>
      </c>
      <c r="H1935" s="21" t="s">
        <v>24</v>
      </c>
      <c r="I1935" s="21" t="s">
        <v>24</v>
      </c>
      <c r="J1935" s="21" t="s">
        <v>24</v>
      </c>
      <c r="K1935" s="21" t="s">
        <v>25</v>
      </c>
      <c r="L1935" s="21" t="s">
        <v>24</v>
      </c>
      <c r="M1935" s="0" t="n">
        <v>186</v>
      </c>
      <c r="N1935" s="0" t="n">
        <v>2</v>
      </c>
      <c r="O1935" s="21" t="s">
        <v>3505</v>
      </c>
      <c r="P1935" s="21" t="s">
        <v>4426</v>
      </c>
      <c r="Q1935" s="0" t="n">
        <v>0</v>
      </c>
      <c r="S1935" s="0" t="n">
        <v>2</v>
      </c>
      <c r="T1935" s="21" t="s">
        <v>3505</v>
      </c>
      <c r="U1935" s="22" t="b">
        <f aca="false">TRUE()</f>
        <v>1</v>
      </c>
      <c r="V1935" s="0" t="n">
        <v>0.63</v>
      </c>
      <c r="W1935" s="0" t="n">
        <v>0</v>
      </c>
      <c r="X1935" s="0" t="n">
        <v>8.35</v>
      </c>
      <c r="Y1935" s="0" t="n">
        <v>8.05</v>
      </c>
      <c r="Z1935" s="0" t="n">
        <v>9.5</v>
      </c>
      <c r="AA1935" s="0" t="n">
        <v>2.86</v>
      </c>
      <c r="AB1935" s="0" t="n">
        <v>2.28</v>
      </c>
      <c r="AC1935" s="22" t="b">
        <f aca="false">FALSE()</f>
        <v>0</v>
      </c>
      <c r="AD1935" s="0" t="n">
        <v>6.54</v>
      </c>
      <c r="AE1935" s="0" t="n">
        <v>4.3</v>
      </c>
      <c r="AF1935" s="0" t="n">
        <v>2.76</v>
      </c>
      <c r="AG1935" s="22" t="b">
        <f aca="false">FALSE()</f>
        <v>0</v>
      </c>
      <c r="AH1935" s="0" t="n">
        <v>0</v>
      </c>
    </row>
    <row r="1936" customFormat="false" ht="15" hidden="false" customHeight="false" outlineLevel="0" collapsed="false">
      <c r="A1936" s="0" t="s">
        <v>2897</v>
      </c>
      <c r="B1936" s="0" t="s">
        <v>134</v>
      </c>
      <c r="C1936" s="0" t="s">
        <v>3447</v>
      </c>
      <c r="D1936" s="0" t="s">
        <v>3457</v>
      </c>
      <c r="E1936" s="18" t="s">
        <v>24</v>
      </c>
      <c r="F1936" s="18" t="s">
        <v>28</v>
      </c>
      <c r="H1936" s="21" t="s">
        <v>24</v>
      </c>
      <c r="I1936" s="21" t="s">
        <v>24</v>
      </c>
      <c r="J1936" s="21" t="s">
        <v>24</v>
      </c>
      <c r="K1936" s="21" t="s">
        <v>24</v>
      </c>
      <c r="L1936" s="21" t="s">
        <v>24</v>
      </c>
      <c r="M1936" s="0" t="n">
        <v>183</v>
      </c>
      <c r="N1936" s="0" t="n">
        <v>0</v>
      </c>
      <c r="Q1936" s="0" t="n">
        <v>0</v>
      </c>
      <c r="S1936" s="0" t="n">
        <v>0</v>
      </c>
      <c r="U1936" s="22" t="b">
        <f aca="false">FALSE()</f>
        <v>0</v>
      </c>
      <c r="V1936" s="0" t="n">
        <v>0.65</v>
      </c>
      <c r="W1936" s="0" t="n">
        <v>0.48</v>
      </c>
      <c r="X1936" s="0" t="n">
        <v>6.66</v>
      </c>
      <c r="Y1936" s="0" t="n">
        <v>334.29</v>
      </c>
      <c r="Z1936" s="0" t="n">
        <v>10.83</v>
      </c>
      <c r="AA1936" s="0" t="n">
        <v>-0.92</v>
      </c>
      <c r="AB1936" s="0" t="n">
        <v>4.11</v>
      </c>
      <c r="AC1936" s="22" t="b">
        <f aca="false">FALSE()</f>
        <v>0</v>
      </c>
      <c r="AD1936" s="0" t="n">
        <v>9.74</v>
      </c>
      <c r="AE1936" s="0" t="n">
        <v>0.42</v>
      </c>
      <c r="AF1936" s="0" t="n">
        <v>3.04</v>
      </c>
      <c r="AG1936" s="22" t="b">
        <f aca="false">FALSE()</f>
        <v>0</v>
      </c>
      <c r="AH1936" s="0" t="n">
        <v>1</v>
      </c>
    </row>
    <row r="1937" customFormat="false" ht="15" hidden="false" customHeight="false" outlineLevel="0" collapsed="false">
      <c r="A1937" s="0" t="s">
        <v>2897</v>
      </c>
      <c r="B1937" s="0" t="s">
        <v>134</v>
      </c>
      <c r="C1937" s="0" t="s">
        <v>3447</v>
      </c>
      <c r="D1937" s="0" t="s">
        <v>3448</v>
      </c>
      <c r="E1937" s="18" t="s">
        <v>24</v>
      </c>
      <c r="F1937" s="23" t="s">
        <v>30</v>
      </c>
      <c r="G1937" s="21" t="s">
        <v>30</v>
      </c>
      <c r="H1937" s="21" t="s">
        <v>24</v>
      </c>
      <c r="I1937" s="21" t="s">
        <v>24</v>
      </c>
      <c r="J1937" s="21" t="s">
        <v>24</v>
      </c>
      <c r="K1937" s="21" t="s">
        <v>24</v>
      </c>
      <c r="L1937" s="21" t="s">
        <v>24</v>
      </c>
      <c r="M1937" s="0" t="n">
        <v>194</v>
      </c>
      <c r="N1937" s="0" t="n">
        <v>3</v>
      </c>
      <c r="O1937" s="21" t="s">
        <v>3619</v>
      </c>
      <c r="P1937" s="21" t="s">
        <v>4875</v>
      </c>
      <c r="Q1937" s="0" t="n">
        <v>0</v>
      </c>
      <c r="S1937" s="0" t="n">
        <v>3</v>
      </c>
      <c r="T1937" s="21" t="s">
        <v>3619</v>
      </c>
      <c r="U1937" s="22" t="b">
        <f aca="false">TRUE()</f>
        <v>1</v>
      </c>
      <c r="V1937" s="0" t="n">
        <v>0.66</v>
      </c>
      <c r="W1937" s="0" t="n">
        <v>0</v>
      </c>
      <c r="X1937" s="0" t="n">
        <v>7.26</v>
      </c>
      <c r="Y1937" s="0" t="n">
        <v>9.53</v>
      </c>
      <c r="Z1937" s="0" t="n">
        <v>11.08</v>
      </c>
      <c r="AA1937" s="0" t="n">
        <v>-0.82</v>
      </c>
      <c r="AB1937" s="0" t="n">
        <v>2.28</v>
      </c>
      <c r="AC1937" s="22" t="b">
        <f aca="false">FALSE()</f>
        <v>0</v>
      </c>
      <c r="AD1937" s="0" t="n">
        <v>6.96</v>
      </c>
      <c r="AE1937" s="0" t="n">
        <v>0.43</v>
      </c>
      <c r="AF1937" s="0" t="n">
        <v>1.18</v>
      </c>
      <c r="AG1937" s="22" t="b">
        <f aca="false">FALSE()</f>
        <v>0</v>
      </c>
      <c r="AH1937" s="0" t="n">
        <v>0</v>
      </c>
    </row>
    <row r="1938" customFormat="false" ht="15" hidden="false" customHeight="false" outlineLevel="0" collapsed="false">
      <c r="A1938" s="0" t="s">
        <v>2897</v>
      </c>
      <c r="B1938" s="0" t="s">
        <v>3459</v>
      </c>
      <c r="C1938" s="0" t="s">
        <v>3450</v>
      </c>
      <c r="D1938" s="0" t="s">
        <v>3457</v>
      </c>
      <c r="E1938" s="20" t="s">
        <v>25</v>
      </c>
      <c r="F1938" s="23" t="s">
        <v>30</v>
      </c>
      <c r="G1938" s="21" t="s">
        <v>1046</v>
      </c>
      <c r="H1938" s="21" t="s">
        <v>24</v>
      </c>
      <c r="I1938" s="21" t="s">
        <v>25</v>
      </c>
      <c r="J1938" s="21" t="s">
        <v>24</v>
      </c>
      <c r="K1938" s="21" t="s">
        <v>25</v>
      </c>
      <c r="L1938" s="21" t="s">
        <v>24</v>
      </c>
      <c r="M1938" s="0" t="n">
        <v>183</v>
      </c>
      <c r="N1938" s="0" t="n">
        <v>1</v>
      </c>
      <c r="O1938" s="21" t="s">
        <v>69</v>
      </c>
      <c r="P1938" s="21" t="s">
        <v>4275</v>
      </c>
      <c r="Q1938" s="0" t="n">
        <v>1</v>
      </c>
      <c r="R1938" s="21" t="s">
        <v>69</v>
      </c>
      <c r="S1938" s="0" t="n">
        <v>1</v>
      </c>
      <c r="T1938" s="21" t="s">
        <v>69</v>
      </c>
      <c r="U1938" s="22" t="b">
        <f aca="false">TRUE()</f>
        <v>1</v>
      </c>
      <c r="V1938" s="0" t="n">
        <v>0.6</v>
      </c>
      <c r="W1938" s="0" t="n">
        <v>0.84</v>
      </c>
      <c r="X1938" s="0" t="n">
        <v>6.52</v>
      </c>
      <c r="Y1938" s="0" t="n">
        <v>221.81</v>
      </c>
      <c r="Z1938" s="0" t="n">
        <v>10</v>
      </c>
      <c r="AA1938" s="0" t="n">
        <v>2.86</v>
      </c>
      <c r="AB1938" s="0" t="n">
        <v>2.27</v>
      </c>
      <c r="AC1938" s="22" t="b">
        <f aca="false">FALSE()</f>
        <v>0</v>
      </c>
      <c r="AD1938" s="0" t="n">
        <v>21.43</v>
      </c>
      <c r="AE1938" s="0" t="n">
        <v>9.42</v>
      </c>
      <c r="AF1938" s="0" t="n">
        <v>18.17</v>
      </c>
      <c r="AG1938" s="22" t="b">
        <f aca="false">TRUE()</f>
        <v>1</v>
      </c>
      <c r="AH1938" s="0" t="n">
        <v>1</v>
      </c>
    </row>
    <row r="1939" customFormat="false" ht="15" hidden="false" customHeight="false" outlineLevel="0" collapsed="false">
      <c r="A1939" s="0" t="s">
        <v>2897</v>
      </c>
      <c r="B1939" s="0" t="s">
        <v>3459</v>
      </c>
      <c r="C1939" s="0" t="s">
        <v>3450</v>
      </c>
      <c r="D1939" s="0" t="s">
        <v>3448</v>
      </c>
      <c r="E1939" s="20" t="s">
        <v>25</v>
      </c>
      <c r="F1939" s="20" t="s">
        <v>29</v>
      </c>
      <c r="G1939" s="21" t="s">
        <v>62</v>
      </c>
      <c r="H1939" s="21" t="s">
        <v>24</v>
      </c>
      <c r="I1939" s="21" t="s">
        <v>24</v>
      </c>
      <c r="J1939" s="21" t="s">
        <v>24</v>
      </c>
      <c r="K1939" s="21" t="s">
        <v>25</v>
      </c>
      <c r="L1939" s="21" t="s">
        <v>24</v>
      </c>
      <c r="M1939" s="0" t="n">
        <v>184</v>
      </c>
      <c r="N1939" s="0" t="n">
        <v>0</v>
      </c>
      <c r="Q1939" s="0" t="n">
        <v>0</v>
      </c>
      <c r="S1939" s="0" t="n">
        <v>0</v>
      </c>
      <c r="U1939" s="22" t="b">
        <f aca="false">FALSE()</f>
        <v>0</v>
      </c>
      <c r="V1939" s="0" t="n">
        <v>0.62</v>
      </c>
      <c r="W1939" s="0" t="n">
        <v>0.84</v>
      </c>
      <c r="X1939" s="0" t="n">
        <v>7.56</v>
      </c>
      <c r="Y1939" s="0" t="n">
        <v>317.74</v>
      </c>
      <c r="Z1939" s="0" t="n">
        <v>8.5</v>
      </c>
      <c r="AA1939" s="0" t="n">
        <v>-1.14</v>
      </c>
      <c r="AB1939" s="0" t="n">
        <v>5.52</v>
      </c>
      <c r="AC1939" s="22" t="b">
        <f aca="false">FALSE()</f>
        <v>0</v>
      </c>
      <c r="AD1939" s="0" t="n">
        <v>14.14</v>
      </c>
      <c r="AE1939" s="0" t="n">
        <v>5.77</v>
      </c>
      <c r="AF1939" s="0" t="n">
        <v>13.58</v>
      </c>
      <c r="AG1939" s="22" t="b">
        <f aca="false">TRUE()</f>
        <v>1</v>
      </c>
      <c r="AH1939" s="0" t="n">
        <v>1</v>
      </c>
    </row>
    <row r="1940" customFormat="false" ht="15" hidden="false" customHeight="false" outlineLevel="0" collapsed="false">
      <c r="A1940" s="0" t="s">
        <v>2897</v>
      </c>
      <c r="B1940" s="0" t="s">
        <v>3459</v>
      </c>
      <c r="C1940" s="0" t="s">
        <v>3447</v>
      </c>
      <c r="D1940" s="0" t="s">
        <v>3457</v>
      </c>
      <c r="E1940" s="19" t="s">
        <v>26</v>
      </c>
      <c r="F1940" s="19" t="s">
        <v>32</v>
      </c>
      <c r="G1940" s="21" t="s">
        <v>1926</v>
      </c>
      <c r="H1940" s="21" t="s">
        <v>24</v>
      </c>
      <c r="I1940" s="21" t="s">
        <v>26</v>
      </c>
      <c r="J1940" s="21" t="s">
        <v>24</v>
      </c>
      <c r="K1940" s="21" t="s">
        <v>25</v>
      </c>
      <c r="L1940" s="21" t="s">
        <v>24</v>
      </c>
      <c r="M1940" s="0" t="n">
        <v>185</v>
      </c>
      <c r="N1940" s="0" t="n">
        <v>7</v>
      </c>
      <c r="O1940" s="21" t="s">
        <v>3986</v>
      </c>
      <c r="P1940" s="21" t="s">
        <v>4577</v>
      </c>
      <c r="Q1940" s="0" t="n">
        <v>1</v>
      </c>
      <c r="R1940" s="21" t="s">
        <v>69</v>
      </c>
      <c r="S1940" s="0" t="n">
        <v>7</v>
      </c>
      <c r="T1940" s="21" t="s">
        <v>3986</v>
      </c>
      <c r="U1940" s="22" t="b">
        <f aca="false">FALSE()</f>
        <v>0</v>
      </c>
      <c r="V1940" s="0" t="n">
        <v>0.66</v>
      </c>
      <c r="W1940" s="0" t="n">
        <v>0.76</v>
      </c>
      <c r="X1940" s="0" t="n">
        <v>6.74</v>
      </c>
      <c r="Y1940" s="0" t="n">
        <v>274.52</v>
      </c>
      <c r="Z1940" s="0" t="n">
        <v>10.33</v>
      </c>
      <c r="AA1940" s="0" t="n">
        <v>0.48</v>
      </c>
      <c r="AB1940" s="0" t="n">
        <v>2.27</v>
      </c>
      <c r="AC1940" s="22" t="b">
        <f aca="false">FALSE()</f>
        <v>0</v>
      </c>
      <c r="AD1940" s="0" t="n">
        <v>21.8</v>
      </c>
      <c r="AE1940" s="0" t="n">
        <v>11.46</v>
      </c>
      <c r="AF1940" s="0" t="n">
        <v>19.41</v>
      </c>
      <c r="AG1940" s="22" t="b">
        <f aca="false">TRUE()</f>
        <v>1</v>
      </c>
      <c r="AH1940" s="0" t="n">
        <v>1</v>
      </c>
    </row>
    <row r="1941" customFormat="false" ht="15" hidden="false" customHeight="false" outlineLevel="0" collapsed="false">
      <c r="A1941" s="0" t="s">
        <v>2897</v>
      </c>
      <c r="B1941" s="0" t="s">
        <v>3459</v>
      </c>
      <c r="C1941" s="0" t="s">
        <v>3447</v>
      </c>
      <c r="D1941" s="0" t="s">
        <v>3448</v>
      </c>
      <c r="E1941" s="20" t="s">
        <v>25</v>
      </c>
      <c r="F1941" s="23" t="s">
        <v>30</v>
      </c>
      <c r="G1941" s="21" t="s">
        <v>283</v>
      </c>
      <c r="H1941" s="21" t="s">
        <v>24</v>
      </c>
      <c r="I1941" s="21" t="s">
        <v>25</v>
      </c>
      <c r="J1941" s="21" t="s">
        <v>24</v>
      </c>
      <c r="K1941" s="21" t="s">
        <v>24</v>
      </c>
      <c r="L1941" s="21" t="s">
        <v>24</v>
      </c>
      <c r="M1941" s="0" t="n">
        <v>185</v>
      </c>
      <c r="N1941" s="0" t="n">
        <v>2</v>
      </c>
      <c r="O1941" s="21" t="s">
        <v>3566</v>
      </c>
      <c r="P1941" s="21" t="s">
        <v>4238</v>
      </c>
      <c r="Q1941" s="0" t="n">
        <v>1</v>
      </c>
      <c r="R1941" s="21" t="s">
        <v>69</v>
      </c>
      <c r="S1941" s="0" t="n">
        <v>2</v>
      </c>
      <c r="T1941" s="21" t="s">
        <v>3566</v>
      </c>
      <c r="U1941" s="22" t="b">
        <f aca="false">TRUE()</f>
        <v>1</v>
      </c>
      <c r="V1941" s="0" t="n">
        <v>0.62</v>
      </c>
      <c r="W1941" s="0" t="n">
        <v>0.52</v>
      </c>
      <c r="X1941" s="0" t="n">
        <v>8.18</v>
      </c>
      <c r="Y1941" s="0" t="n">
        <v>324.31</v>
      </c>
      <c r="Z1941" s="0" t="n">
        <v>11.25</v>
      </c>
      <c r="AA1941" s="0" t="n">
        <v>2.44</v>
      </c>
      <c r="AB1941" s="0" t="n">
        <v>5.52</v>
      </c>
      <c r="AC1941" s="22" t="b">
        <f aca="false">FALSE()</f>
        <v>0</v>
      </c>
      <c r="AD1941" s="0" t="n">
        <v>18.5</v>
      </c>
      <c r="AE1941" s="0" t="n">
        <v>7.43</v>
      </c>
      <c r="AF1941" s="0" t="n">
        <v>14.98</v>
      </c>
      <c r="AG1941" s="22" t="b">
        <f aca="false">TRUE()</f>
        <v>1</v>
      </c>
      <c r="AH1941" s="0" t="n">
        <v>1</v>
      </c>
    </row>
    <row r="1942" customFormat="false" ht="15" hidden="false" customHeight="false" outlineLevel="0" collapsed="false">
      <c r="A1942" s="0" t="s">
        <v>2903</v>
      </c>
      <c r="B1942" s="0" t="s">
        <v>134</v>
      </c>
      <c r="C1942" s="0" t="s">
        <v>3450</v>
      </c>
      <c r="D1942" s="0" t="s">
        <v>3457</v>
      </c>
      <c r="E1942" s="20" t="s">
        <v>25</v>
      </c>
      <c r="F1942" s="23" t="s">
        <v>30</v>
      </c>
      <c r="G1942" s="21" t="s">
        <v>183</v>
      </c>
      <c r="H1942" s="21" t="s">
        <v>24</v>
      </c>
      <c r="I1942" s="21" t="s">
        <v>25</v>
      </c>
      <c r="J1942" s="21" t="s">
        <v>24</v>
      </c>
      <c r="K1942" s="21" t="s">
        <v>25</v>
      </c>
      <c r="L1942" s="21" t="s">
        <v>24</v>
      </c>
      <c r="M1942" s="0" t="n">
        <v>185</v>
      </c>
      <c r="N1942" s="0" t="n">
        <v>3</v>
      </c>
      <c r="O1942" s="21" t="s">
        <v>3664</v>
      </c>
      <c r="P1942" s="21" t="s">
        <v>4331</v>
      </c>
      <c r="Q1942" s="0" t="n">
        <v>1</v>
      </c>
      <c r="R1942" s="21" t="s">
        <v>69</v>
      </c>
      <c r="S1942" s="0" t="n">
        <v>3</v>
      </c>
      <c r="T1942" s="21" t="s">
        <v>3664</v>
      </c>
      <c r="U1942" s="22" t="b">
        <f aca="false">TRUE()</f>
        <v>1</v>
      </c>
      <c r="V1942" s="0" t="n">
        <v>0.71</v>
      </c>
      <c r="W1942" s="0" t="n">
        <v>0.76</v>
      </c>
      <c r="X1942" s="0" t="n">
        <v>7.38</v>
      </c>
      <c r="Y1942" s="0" t="n">
        <v>294.8</v>
      </c>
      <c r="Z1942" s="0" t="n">
        <v>9.33</v>
      </c>
      <c r="AA1942" s="0" t="n">
        <v>7.54</v>
      </c>
      <c r="AB1942" s="0" t="n">
        <v>2.16</v>
      </c>
      <c r="AC1942" s="22" t="b">
        <f aca="false">FALSE()</f>
        <v>0</v>
      </c>
      <c r="AD1942" s="0" t="n">
        <v>21.98</v>
      </c>
      <c r="AE1942" s="0" t="n">
        <v>4.42</v>
      </c>
      <c r="AF1942" s="0" t="n">
        <v>17.38</v>
      </c>
      <c r="AG1942" s="22" t="b">
        <f aca="false">TRUE()</f>
        <v>1</v>
      </c>
      <c r="AH1942" s="0" t="n">
        <v>1</v>
      </c>
    </row>
    <row r="1943" customFormat="false" ht="15" hidden="false" customHeight="false" outlineLevel="0" collapsed="false">
      <c r="A1943" s="0" t="s">
        <v>2903</v>
      </c>
      <c r="B1943" s="0" t="s">
        <v>134</v>
      </c>
      <c r="C1943" s="0" t="s">
        <v>3450</v>
      </c>
      <c r="D1943" s="0" t="s">
        <v>3448</v>
      </c>
      <c r="E1943" s="20" t="s">
        <v>25</v>
      </c>
      <c r="F1943" s="23" t="s">
        <v>30</v>
      </c>
      <c r="G1943" s="21" t="s">
        <v>183</v>
      </c>
      <c r="H1943" s="21" t="s">
        <v>24</v>
      </c>
      <c r="I1943" s="21" t="s">
        <v>25</v>
      </c>
      <c r="J1943" s="21" t="s">
        <v>24</v>
      </c>
      <c r="K1943" s="21" t="s">
        <v>25</v>
      </c>
      <c r="L1943" s="21" t="s">
        <v>24</v>
      </c>
      <c r="M1943" s="0" t="n">
        <v>183</v>
      </c>
      <c r="N1943" s="0" t="n">
        <v>3</v>
      </c>
      <c r="O1943" s="21" t="s">
        <v>3664</v>
      </c>
      <c r="P1943" s="21" t="s">
        <v>4331</v>
      </c>
      <c r="Q1943" s="0" t="n">
        <v>1</v>
      </c>
      <c r="R1943" s="21" t="s">
        <v>69</v>
      </c>
      <c r="S1943" s="0" t="n">
        <v>3</v>
      </c>
      <c r="T1943" s="21" t="s">
        <v>3664</v>
      </c>
      <c r="U1943" s="22" t="b">
        <f aca="false">TRUE()</f>
        <v>1</v>
      </c>
      <c r="V1943" s="0" t="n">
        <v>0.69</v>
      </c>
      <c r="W1943" s="0" t="n">
        <v>0.12</v>
      </c>
      <c r="X1943" s="0" t="n">
        <v>8.3</v>
      </c>
      <c r="Y1943" s="0" t="n">
        <v>619.8</v>
      </c>
      <c r="Z1943" s="0" t="n">
        <v>9.25</v>
      </c>
      <c r="AA1943" s="0" t="n">
        <v>9.6</v>
      </c>
      <c r="AB1943" s="0" t="n">
        <v>2.75</v>
      </c>
      <c r="AC1943" s="22" t="b">
        <f aca="false">FALSE()</f>
        <v>0</v>
      </c>
      <c r="AD1943" s="0" t="n">
        <v>20.51</v>
      </c>
      <c r="AE1943" s="0" t="n">
        <v>0.11</v>
      </c>
      <c r="AF1943" s="0" t="n">
        <v>15.74</v>
      </c>
      <c r="AG1943" s="22" t="b">
        <f aca="false">TRUE()</f>
        <v>1</v>
      </c>
      <c r="AH1943" s="0" t="n">
        <v>1</v>
      </c>
    </row>
    <row r="1944" customFormat="false" ht="15" hidden="false" customHeight="false" outlineLevel="0" collapsed="false">
      <c r="A1944" s="0" t="s">
        <v>2903</v>
      </c>
      <c r="B1944" s="0" t="s">
        <v>134</v>
      </c>
      <c r="C1944" s="0" t="s">
        <v>3447</v>
      </c>
      <c r="D1944" s="0" t="s">
        <v>3457</v>
      </c>
      <c r="E1944" s="19" t="s">
        <v>26</v>
      </c>
      <c r="F1944" s="19" t="s">
        <v>32</v>
      </c>
      <c r="G1944" s="21" t="s">
        <v>3896</v>
      </c>
      <c r="H1944" s="21" t="s">
        <v>24</v>
      </c>
      <c r="I1944" s="21" t="s">
        <v>26</v>
      </c>
      <c r="J1944" s="21" t="s">
        <v>24</v>
      </c>
      <c r="K1944" s="21" t="s">
        <v>25</v>
      </c>
      <c r="L1944" s="21" t="s">
        <v>24</v>
      </c>
      <c r="M1944" s="0" t="n">
        <v>192</v>
      </c>
      <c r="N1944" s="0" t="n">
        <v>8</v>
      </c>
      <c r="O1944" s="21" t="s">
        <v>3966</v>
      </c>
      <c r="P1944" s="21" t="s">
        <v>4876</v>
      </c>
      <c r="Q1944" s="0" t="n">
        <v>0</v>
      </c>
      <c r="S1944" s="0" t="n">
        <v>8</v>
      </c>
      <c r="T1944" s="21" t="s">
        <v>3966</v>
      </c>
      <c r="U1944" s="22" t="b">
        <f aca="false">FALSE()</f>
        <v>0</v>
      </c>
      <c r="V1944" s="0" t="n">
        <v>0.75</v>
      </c>
      <c r="W1944" s="0" t="n">
        <v>0.28</v>
      </c>
      <c r="X1944" s="0" t="n">
        <v>10.36</v>
      </c>
      <c r="Y1944" s="0" t="n">
        <v>391.01</v>
      </c>
      <c r="Z1944" s="0" t="n">
        <v>9.92</v>
      </c>
      <c r="AA1944" s="0" t="n">
        <v>0.87</v>
      </c>
      <c r="AB1944" s="0" t="n">
        <v>2.16</v>
      </c>
      <c r="AC1944" s="22" t="b">
        <f aca="false">FALSE()</f>
        <v>0</v>
      </c>
      <c r="AD1944" s="0" t="n">
        <v>20.32</v>
      </c>
      <c r="AE1944" s="0" t="n">
        <v>2.56</v>
      </c>
      <c r="AF1944" s="0" t="n">
        <v>17.3</v>
      </c>
      <c r="AG1944" s="22" t="b">
        <f aca="false">TRUE()</f>
        <v>1</v>
      </c>
      <c r="AH1944" s="0" t="n">
        <v>1</v>
      </c>
    </row>
    <row r="1945" customFormat="false" ht="15" hidden="false" customHeight="false" outlineLevel="0" collapsed="false">
      <c r="A1945" s="0" t="s">
        <v>2903</v>
      </c>
      <c r="B1945" s="0" t="s">
        <v>134</v>
      </c>
      <c r="C1945" s="0" t="s">
        <v>3447</v>
      </c>
      <c r="D1945" s="0" t="s">
        <v>3448</v>
      </c>
      <c r="E1945" s="19" t="s">
        <v>26</v>
      </c>
      <c r="F1945" s="19" t="s">
        <v>32</v>
      </c>
      <c r="G1945" s="21" t="s">
        <v>60</v>
      </c>
      <c r="H1945" s="21" t="s">
        <v>24</v>
      </c>
      <c r="I1945" s="21" t="s">
        <v>26</v>
      </c>
      <c r="J1945" s="21" t="s">
        <v>24</v>
      </c>
      <c r="K1945" s="21" t="s">
        <v>24</v>
      </c>
      <c r="L1945" s="21" t="s">
        <v>24</v>
      </c>
      <c r="M1945" s="0" t="n">
        <v>183</v>
      </c>
      <c r="N1945" s="0" t="n">
        <v>7</v>
      </c>
      <c r="O1945" s="21" t="s">
        <v>3933</v>
      </c>
      <c r="P1945" s="21" t="s">
        <v>4877</v>
      </c>
      <c r="Q1945" s="0" t="n">
        <v>0</v>
      </c>
      <c r="S1945" s="0" t="n">
        <v>7</v>
      </c>
      <c r="T1945" s="21" t="s">
        <v>3933</v>
      </c>
      <c r="U1945" s="22" t="b">
        <f aca="false">FALSE()</f>
        <v>0</v>
      </c>
      <c r="V1945" s="0" t="n">
        <v>0.68</v>
      </c>
      <c r="W1945" s="0" t="n">
        <v>0.24</v>
      </c>
      <c r="X1945" s="0" t="n">
        <v>9.8</v>
      </c>
      <c r="Y1945" s="0" t="n">
        <v>456.38</v>
      </c>
      <c r="Z1945" s="0" t="n">
        <v>9</v>
      </c>
      <c r="AA1945" s="0" t="n">
        <v>1.69</v>
      </c>
      <c r="AB1945" s="0" t="n">
        <v>2.75</v>
      </c>
      <c r="AC1945" s="22" t="b">
        <f aca="false">FALSE()</f>
        <v>0</v>
      </c>
      <c r="AD1945" s="0" t="n">
        <v>16.19</v>
      </c>
      <c r="AE1945" s="0" t="n">
        <v>0.9</v>
      </c>
      <c r="AF1945" s="0" t="n">
        <v>11.35</v>
      </c>
      <c r="AG1945" s="22" t="b">
        <f aca="false">TRUE()</f>
        <v>1</v>
      </c>
      <c r="AH1945" s="0" t="n">
        <v>1</v>
      </c>
    </row>
    <row r="1946" customFormat="false" ht="15" hidden="false" customHeight="false" outlineLevel="0" collapsed="false">
      <c r="A1946" s="0" t="s">
        <v>2915</v>
      </c>
      <c r="B1946" s="0" t="s">
        <v>134</v>
      </c>
      <c r="C1946" s="0" t="s">
        <v>3450</v>
      </c>
      <c r="D1946" s="0" t="s">
        <v>3457</v>
      </c>
      <c r="E1946" s="20" t="s">
        <v>25</v>
      </c>
      <c r="F1946" s="20" t="s">
        <v>29</v>
      </c>
      <c r="G1946" s="21" t="s">
        <v>63</v>
      </c>
      <c r="H1946" s="21" t="s">
        <v>24</v>
      </c>
      <c r="I1946" s="21" t="s">
        <v>24</v>
      </c>
      <c r="J1946" s="21" t="s">
        <v>24</v>
      </c>
      <c r="K1946" s="21" t="s">
        <v>25</v>
      </c>
      <c r="L1946" s="21" t="s">
        <v>24</v>
      </c>
      <c r="M1946" s="0" t="n">
        <v>184</v>
      </c>
      <c r="N1946" s="0" t="n">
        <v>0</v>
      </c>
      <c r="Q1946" s="0" t="n">
        <v>0</v>
      </c>
      <c r="S1946" s="0" t="n">
        <v>0</v>
      </c>
      <c r="U1946" s="22" t="b">
        <f aca="false">FALSE()</f>
        <v>0</v>
      </c>
      <c r="V1946" s="0" t="n">
        <v>0.82</v>
      </c>
      <c r="W1946" s="0" t="n">
        <v>0.48</v>
      </c>
      <c r="X1946" s="0" t="n">
        <v>6.11</v>
      </c>
      <c r="Y1946" s="0" t="n">
        <v>322.42</v>
      </c>
      <c r="Z1946" s="0" t="n">
        <v>9.5</v>
      </c>
      <c r="AA1946" s="0" t="n">
        <v>7.6</v>
      </c>
      <c r="AB1946" s="0" t="n">
        <v>0.95</v>
      </c>
      <c r="AC1946" s="22" t="b">
        <f aca="false">FALSE()</f>
        <v>0</v>
      </c>
      <c r="AD1946" s="0" t="n">
        <v>15.37</v>
      </c>
      <c r="AE1946" s="0" t="n">
        <v>1.45</v>
      </c>
      <c r="AF1946" s="0" t="n">
        <v>6.17</v>
      </c>
      <c r="AG1946" s="22" t="b">
        <f aca="false">TRUE()</f>
        <v>1</v>
      </c>
      <c r="AH1946" s="0" t="n">
        <v>1</v>
      </c>
    </row>
    <row r="1947" customFormat="false" ht="15" hidden="false" customHeight="false" outlineLevel="0" collapsed="false">
      <c r="A1947" s="0" t="s">
        <v>2915</v>
      </c>
      <c r="B1947" s="0" t="s">
        <v>134</v>
      </c>
      <c r="C1947" s="0" t="s">
        <v>3450</v>
      </c>
      <c r="D1947" s="0" t="s">
        <v>3448</v>
      </c>
      <c r="E1947" s="20" t="s">
        <v>25</v>
      </c>
      <c r="F1947" s="20" t="s">
        <v>29</v>
      </c>
      <c r="G1947" s="21" t="s">
        <v>62</v>
      </c>
      <c r="H1947" s="21" t="s">
        <v>24</v>
      </c>
      <c r="I1947" s="21" t="s">
        <v>24</v>
      </c>
      <c r="J1947" s="21" t="s">
        <v>24</v>
      </c>
      <c r="K1947" s="21" t="s">
        <v>25</v>
      </c>
      <c r="L1947" s="21" t="s">
        <v>24</v>
      </c>
      <c r="M1947" s="0" t="n">
        <v>184</v>
      </c>
      <c r="N1947" s="0" t="n">
        <v>0</v>
      </c>
      <c r="Q1947" s="0" t="n">
        <v>0</v>
      </c>
      <c r="S1947" s="0" t="n">
        <v>0</v>
      </c>
      <c r="U1947" s="22" t="b">
        <f aca="false">FALSE()</f>
        <v>0</v>
      </c>
      <c r="V1947" s="0" t="n">
        <v>0.82</v>
      </c>
      <c r="W1947" s="0" t="n">
        <v>0.76</v>
      </c>
      <c r="X1947" s="0" t="n">
        <v>6.64</v>
      </c>
      <c r="Y1947" s="0" t="n">
        <v>320.09</v>
      </c>
      <c r="Z1947" s="0" t="n">
        <v>9.25</v>
      </c>
      <c r="AA1947" s="0" t="n">
        <v>0.17</v>
      </c>
      <c r="AB1947" s="0" t="n">
        <v>5.6</v>
      </c>
      <c r="AC1947" s="22" t="b">
        <f aca="false">FALSE()</f>
        <v>0</v>
      </c>
      <c r="AD1947" s="0" t="n">
        <v>8.48</v>
      </c>
      <c r="AE1947" s="0" t="n">
        <v>1.03</v>
      </c>
      <c r="AF1947" s="0" t="n">
        <v>3.26</v>
      </c>
      <c r="AG1947" s="22" t="b">
        <f aca="false">FALSE()</f>
        <v>0</v>
      </c>
      <c r="AH1947" s="0" t="n">
        <v>1</v>
      </c>
    </row>
    <row r="1948" customFormat="false" ht="15" hidden="false" customHeight="false" outlineLevel="0" collapsed="false">
      <c r="A1948" s="0" t="s">
        <v>2915</v>
      </c>
      <c r="B1948" s="0" t="s">
        <v>134</v>
      </c>
      <c r="C1948" s="0" t="s">
        <v>3447</v>
      </c>
      <c r="D1948" s="0" t="s">
        <v>3457</v>
      </c>
      <c r="E1948" s="20" t="s">
        <v>25</v>
      </c>
      <c r="F1948" s="20" t="s">
        <v>29</v>
      </c>
      <c r="G1948" s="21" t="s">
        <v>63</v>
      </c>
      <c r="H1948" s="21" t="s">
        <v>24</v>
      </c>
      <c r="I1948" s="21" t="s">
        <v>24</v>
      </c>
      <c r="J1948" s="21" t="s">
        <v>24</v>
      </c>
      <c r="K1948" s="21" t="s">
        <v>25</v>
      </c>
      <c r="L1948" s="21" t="s">
        <v>24</v>
      </c>
      <c r="M1948" s="0" t="n">
        <v>184</v>
      </c>
      <c r="N1948" s="0" t="n">
        <v>0</v>
      </c>
      <c r="Q1948" s="0" t="n">
        <v>0</v>
      </c>
      <c r="S1948" s="0" t="n">
        <v>0</v>
      </c>
      <c r="U1948" s="22" t="b">
        <f aca="false">FALSE()</f>
        <v>0</v>
      </c>
      <c r="V1948" s="0" t="n">
        <v>0.88</v>
      </c>
      <c r="W1948" s="0" t="n">
        <v>0.68</v>
      </c>
      <c r="X1948" s="0" t="n">
        <v>6.6</v>
      </c>
      <c r="Y1948" s="0" t="n">
        <v>311.32</v>
      </c>
      <c r="Z1948" s="0" t="n">
        <v>9.5</v>
      </c>
      <c r="AA1948" s="0" t="n">
        <v>3.18</v>
      </c>
      <c r="AB1948" s="0" t="n">
        <v>0.95</v>
      </c>
      <c r="AC1948" s="22" t="b">
        <f aca="false">FALSE()</f>
        <v>0</v>
      </c>
      <c r="AD1948" s="0" t="n">
        <v>14.72</v>
      </c>
      <c r="AE1948" s="0" t="n">
        <v>1.29</v>
      </c>
      <c r="AF1948" s="0" t="n">
        <v>6.05</v>
      </c>
      <c r="AG1948" s="22" t="b">
        <f aca="false">TRUE()</f>
        <v>1</v>
      </c>
      <c r="AH1948" s="0" t="n">
        <v>1</v>
      </c>
    </row>
    <row r="1949" customFormat="false" ht="15" hidden="false" customHeight="false" outlineLevel="0" collapsed="false">
      <c r="A1949" s="0" t="s">
        <v>2915</v>
      </c>
      <c r="B1949" s="0" t="s">
        <v>134</v>
      </c>
      <c r="C1949" s="0" t="s">
        <v>3447</v>
      </c>
      <c r="D1949" s="0" t="s">
        <v>3448</v>
      </c>
      <c r="E1949" s="18" t="s">
        <v>24</v>
      </c>
      <c r="F1949" s="23" t="s">
        <v>30</v>
      </c>
      <c r="G1949" s="21" t="s">
        <v>30</v>
      </c>
      <c r="H1949" s="21" t="s">
        <v>24</v>
      </c>
      <c r="I1949" s="21" t="s">
        <v>24</v>
      </c>
      <c r="J1949" s="21" t="s">
        <v>24</v>
      </c>
      <c r="K1949" s="21" t="s">
        <v>24</v>
      </c>
      <c r="L1949" s="21" t="s">
        <v>24</v>
      </c>
      <c r="M1949" s="0" t="n">
        <v>183</v>
      </c>
      <c r="N1949" s="0" t="n">
        <v>2</v>
      </c>
      <c r="O1949" s="21" t="s">
        <v>3508</v>
      </c>
      <c r="P1949" s="21" t="s">
        <v>4280</v>
      </c>
      <c r="Q1949" s="0" t="n">
        <v>0</v>
      </c>
      <c r="S1949" s="0" t="n">
        <v>2</v>
      </c>
      <c r="T1949" s="21" t="s">
        <v>3508</v>
      </c>
      <c r="U1949" s="22" t="b">
        <f aca="false">TRUE()</f>
        <v>1</v>
      </c>
      <c r="V1949" s="0" t="n">
        <v>0.87</v>
      </c>
      <c r="W1949" s="0" t="n">
        <v>0.92</v>
      </c>
      <c r="X1949" s="0" t="n">
        <v>7.9</v>
      </c>
      <c r="Y1949" s="0" t="n">
        <v>313.46</v>
      </c>
      <c r="Z1949" s="0" t="n">
        <v>9.25</v>
      </c>
      <c r="AA1949" s="0" t="n">
        <v>7.37</v>
      </c>
      <c r="AB1949" s="0" t="n">
        <v>5.6</v>
      </c>
      <c r="AC1949" s="22" t="b">
        <f aca="false">FALSE()</f>
        <v>0</v>
      </c>
      <c r="AD1949" s="0" t="n">
        <v>14.98</v>
      </c>
      <c r="AE1949" s="0" t="n">
        <v>0.92</v>
      </c>
      <c r="AF1949" s="0" t="n">
        <v>4.54</v>
      </c>
      <c r="AG1949" s="22" t="b">
        <f aca="false">TRUE()</f>
        <v>1</v>
      </c>
      <c r="AH1949" s="0" t="n">
        <v>1</v>
      </c>
    </row>
    <row r="1950" customFormat="false" ht="15" hidden="false" customHeight="false" outlineLevel="0" collapsed="false">
      <c r="A1950" s="0" t="s">
        <v>2921</v>
      </c>
      <c r="B1950" s="0" t="s">
        <v>134</v>
      </c>
      <c r="C1950" s="0" t="s">
        <v>3450</v>
      </c>
      <c r="D1950" s="0" t="s">
        <v>3457</v>
      </c>
      <c r="E1950" s="20" t="s">
        <v>25</v>
      </c>
      <c r="F1950" s="23" t="s">
        <v>30</v>
      </c>
      <c r="G1950" s="21" t="s">
        <v>283</v>
      </c>
      <c r="H1950" s="21" t="s">
        <v>24</v>
      </c>
      <c r="I1950" s="21" t="s">
        <v>25</v>
      </c>
      <c r="J1950" s="21" t="s">
        <v>24</v>
      </c>
      <c r="K1950" s="21" t="s">
        <v>24</v>
      </c>
      <c r="L1950" s="21" t="s">
        <v>24</v>
      </c>
      <c r="M1950" s="0" t="n">
        <v>188</v>
      </c>
      <c r="N1950" s="0" t="n">
        <v>5</v>
      </c>
      <c r="O1950" s="21" t="s">
        <v>3802</v>
      </c>
      <c r="P1950" s="21" t="s">
        <v>4629</v>
      </c>
      <c r="Q1950" s="0" t="n">
        <v>1</v>
      </c>
      <c r="R1950" s="21" t="s">
        <v>69</v>
      </c>
      <c r="S1950" s="0" t="n">
        <v>5</v>
      </c>
      <c r="T1950" s="21" t="s">
        <v>3802</v>
      </c>
      <c r="U1950" s="22" t="b">
        <f aca="false">TRUE()</f>
        <v>1</v>
      </c>
      <c r="V1950" s="0" t="n">
        <v>0.68</v>
      </c>
      <c r="W1950" s="0" t="n">
        <v>0.12</v>
      </c>
      <c r="X1950" s="0" t="n">
        <v>6.55</v>
      </c>
      <c r="Y1950" s="0" t="n">
        <v>636.21</v>
      </c>
      <c r="Z1950" s="0" t="n">
        <v>10.67</v>
      </c>
      <c r="AA1950" s="0" t="n">
        <v>10.97</v>
      </c>
      <c r="AB1950" s="0" t="n">
        <v>4.49</v>
      </c>
      <c r="AC1950" s="22" t="b">
        <f aca="false">FALSE()</f>
        <v>0</v>
      </c>
      <c r="AD1950" s="0" t="n">
        <v>3.81</v>
      </c>
      <c r="AE1950" s="0" t="n">
        <v>0.71</v>
      </c>
      <c r="AF1950" s="0" t="n">
        <v>4.91</v>
      </c>
      <c r="AG1950" s="22" t="b">
        <f aca="false">FALSE()</f>
        <v>0</v>
      </c>
      <c r="AH1950" s="0" t="n">
        <v>1</v>
      </c>
    </row>
    <row r="1951" customFormat="false" ht="15" hidden="false" customHeight="false" outlineLevel="0" collapsed="false">
      <c r="A1951" s="0" t="s">
        <v>2921</v>
      </c>
      <c r="B1951" s="0" t="s">
        <v>134</v>
      </c>
      <c r="C1951" s="0" t="s">
        <v>3450</v>
      </c>
      <c r="D1951" s="0" t="s">
        <v>3448</v>
      </c>
      <c r="E1951" s="20" t="s">
        <v>25</v>
      </c>
      <c r="F1951" s="23" t="s">
        <v>30</v>
      </c>
      <c r="G1951" s="21" t="s">
        <v>283</v>
      </c>
      <c r="H1951" s="21" t="s">
        <v>24</v>
      </c>
      <c r="I1951" s="21" t="s">
        <v>25</v>
      </c>
      <c r="J1951" s="21" t="s">
        <v>24</v>
      </c>
      <c r="K1951" s="21" t="s">
        <v>24</v>
      </c>
      <c r="L1951" s="21" t="s">
        <v>24</v>
      </c>
      <c r="M1951" s="0" t="n">
        <v>183</v>
      </c>
      <c r="N1951" s="0" t="n">
        <v>4</v>
      </c>
      <c r="O1951" s="21" t="s">
        <v>3785</v>
      </c>
      <c r="P1951" s="21" t="s">
        <v>4353</v>
      </c>
      <c r="Q1951" s="0" t="n">
        <v>1</v>
      </c>
      <c r="R1951" s="21" t="s">
        <v>69</v>
      </c>
      <c r="S1951" s="0" t="n">
        <v>4</v>
      </c>
      <c r="T1951" s="21" t="s">
        <v>3785</v>
      </c>
      <c r="U1951" s="22" t="b">
        <f aca="false">TRUE()</f>
        <v>1</v>
      </c>
      <c r="V1951" s="0" t="n">
        <v>0.7</v>
      </c>
      <c r="W1951" s="0" t="n">
        <v>0.92</v>
      </c>
      <c r="X1951" s="0" t="n">
        <v>7.47</v>
      </c>
      <c r="Y1951" s="0" t="n">
        <v>310.52</v>
      </c>
      <c r="Z1951" s="0" t="n">
        <v>8.75</v>
      </c>
      <c r="AA1951" s="0" t="n">
        <v>14.44</v>
      </c>
      <c r="AB1951" s="0" t="n">
        <v>10.63</v>
      </c>
      <c r="AC1951" s="22" t="b">
        <f aca="false">FALSE()</f>
        <v>0</v>
      </c>
      <c r="AD1951" s="0" t="n">
        <v>17.63</v>
      </c>
      <c r="AE1951" s="0" t="n">
        <v>1.43</v>
      </c>
      <c r="AF1951" s="0" t="n">
        <v>5.56</v>
      </c>
      <c r="AG1951" s="22" t="b">
        <f aca="false">TRUE()</f>
        <v>1</v>
      </c>
      <c r="AH1951" s="0" t="n">
        <v>1</v>
      </c>
    </row>
    <row r="1952" customFormat="false" ht="15" hidden="false" customHeight="false" outlineLevel="0" collapsed="false">
      <c r="A1952" s="0" t="s">
        <v>2921</v>
      </c>
      <c r="B1952" s="0" t="s">
        <v>134</v>
      </c>
      <c r="C1952" s="0" t="s">
        <v>3447</v>
      </c>
      <c r="D1952" s="0" t="s">
        <v>3457</v>
      </c>
      <c r="E1952" s="18" t="s">
        <v>24</v>
      </c>
      <c r="F1952" s="23" t="s">
        <v>30</v>
      </c>
      <c r="G1952" s="21" t="s">
        <v>30</v>
      </c>
      <c r="H1952" s="21" t="s">
        <v>24</v>
      </c>
      <c r="I1952" s="21" t="s">
        <v>24</v>
      </c>
      <c r="J1952" s="21" t="s">
        <v>24</v>
      </c>
      <c r="K1952" s="21" t="s">
        <v>24</v>
      </c>
      <c r="L1952" s="21" t="s">
        <v>24</v>
      </c>
      <c r="M1952" s="0" t="n">
        <v>185</v>
      </c>
      <c r="N1952" s="0" t="n">
        <v>2</v>
      </c>
      <c r="O1952" s="21" t="s">
        <v>3501</v>
      </c>
      <c r="P1952" s="21" t="s">
        <v>4367</v>
      </c>
      <c r="Q1952" s="0" t="n">
        <v>0</v>
      </c>
      <c r="S1952" s="0" t="n">
        <v>2</v>
      </c>
      <c r="T1952" s="21" t="s">
        <v>3501</v>
      </c>
      <c r="U1952" s="22" t="b">
        <f aca="false">TRUE()</f>
        <v>1</v>
      </c>
      <c r="V1952" s="0" t="n">
        <v>0.88</v>
      </c>
      <c r="W1952" s="0" t="n">
        <v>0.72</v>
      </c>
      <c r="X1952" s="0" t="n">
        <v>8.27</v>
      </c>
      <c r="Y1952" s="0" t="n">
        <v>320.02</v>
      </c>
      <c r="Z1952" s="0" t="n">
        <v>8.75</v>
      </c>
      <c r="AA1952" s="0" t="n">
        <v>-0.99</v>
      </c>
      <c r="AB1952" s="0" t="n">
        <v>4.49</v>
      </c>
      <c r="AC1952" s="22" t="b">
        <f aca="false">FALSE()</f>
        <v>0</v>
      </c>
      <c r="AD1952" s="0" t="n">
        <v>3.7</v>
      </c>
      <c r="AE1952" s="0" t="n">
        <v>1.02</v>
      </c>
      <c r="AF1952" s="0" t="n">
        <v>6.32</v>
      </c>
      <c r="AG1952" s="22" t="b">
        <f aca="false">FALSE()</f>
        <v>0</v>
      </c>
      <c r="AH1952" s="0" t="n">
        <v>1</v>
      </c>
    </row>
    <row r="1953" customFormat="false" ht="15" hidden="false" customHeight="false" outlineLevel="0" collapsed="false">
      <c r="A1953" s="0" t="s">
        <v>2921</v>
      </c>
      <c r="B1953" s="0" t="s">
        <v>134</v>
      </c>
      <c r="C1953" s="0" t="s">
        <v>3447</v>
      </c>
      <c r="D1953" s="0" t="s">
        <v>3448</v>
      </c>
      <c r="E1953" s="18" t="s">
        <v>24</v>
      </c>
      <c r="F1953" s="23" t="s">
        <v>30</v>
      </c>
      <c r="G1953" s="21" t="s">
        <v>30</v>
      </c>
      <c r="H1953" s="21" t="s">
        <v>24</v>
      </c>
      <c r="I1953" s="21" t="s">
        <v>24</v>
      </c>
      <c r="J1953" s="21" t="s">
        <v>24</v>
      </c>
      <c r="K1953" s="21" t="s">
        <v>24</v>
      </c>
      <c r="L1953" s="21" t="s">
        <v>24</v>
      </c>
      <c r="M1953" s="0" t="n">
        <v>183</v>
      </c>
      <c r="N1953" s="0" t="n">
        <v>2</v>
      </c>
      <c r="O1953" s="21" t="s">
        <v>3501</v>
      </c>
      <c r="P1953" s="21" t="s">
        <v>4367</v>
      </c>
      <c r="Q1953" s="0" t="n">
        <v>0</v>
      </c>
      <c r="S1953" s="0" t="n">
        <v>2</v>
      </c>
      <c r="T1953" s="21" t="s">
        <v>3501</v>
      </c>
      <c r="U1953" s="22" t="b">
        <f aca="false">TRUE()</f>
        <v>1</v>
      </c>
      <c r="V1953" s="0" t="n">
        <v>0.87</v>
      </c>
      <c r="W1953" s="0" t="n">
        <v>0.84</v>
      </c>
      <c r="X1953" s="0" t="n">
        <v>8.86</v>
      </c>
      <c r="Y1953" s="0" t="n">
        <v>313.95</v>
      </c>
      <c r="Z1953" s="0" t="n">
        <v>8.75</v>
      </c>
      <c r="AA1953" s="0" t="n">
        <v>-0.95</v>
      </c>
      <c r="AB1953" s="0" t="n">
        <v>10.63</v>
      </c>
      <c r="AC1953" s="22" t="b">
        <f aca="false">FALSE()</f>
        <v>0</v>
      </c>
      <c r="AD1953" s="0" t="n">
        <v>15.73</v>
      </c>
      <c r="AE1953" s="0" t="n">
        <v>1.33</v>
      </c>
      <c r="AF1953" s="0" t="n">
        <v>1.58</v>
      </c>
      <c r="AG1953" s="22" t="b">
        <f aca="false">TRUE()</f>
        <v>1</v>
      </c>
      <c r="AH1953" s="0" t="n">
        <v>1</v>
      </c>
    </row>
    <row r="1954" customFormat="false" ht="15" hidden="false" customHeight="false" outlineLevel="0" collapsed="false">
      <c r="A1954" s="0" t="s">
        <v>2932</v>
      </c>
      <c r="B1954" s="0" t="s">
        <v>134</v>
      </c>
      <c r="C1954" s="0" t="s">
        <v>3450</v>
      </c>
      <c r="D1954" s="0" t="s">
        <v>3457</v>
      </c>
      <c r="E1954" s="20" t="s">
        <v>25</v>
      </c>
      <c r="F1954" s="23" t="s">
        <v>30</v>
      </c>
      <c r="G1954" s="21" t="s">
        <v>197</v>
      </c>
      <c r="H1954" s="21" t="s">
        <v>24</v>
      </c>
      <c r="I1954" s="21" t="s">
        <v>25</v>
      </c>
      <c r="J1954" s="21" t="s">
        <v>24</v>
      </c>
      <c r="K1954" s="21" t="s">
        <v>25</v>
      </c>
      <c r="L1954" s="21" t="s">
        <v>24</v>
      </c>
      <c r="M1954" s="0" t="n">
        <v>202</v>
      </c>
      <c r="N1954" s="0" t="n">
        <v>1</v>
      </c>
      <c r="O1954" s="21" t="s">
        <v>70</v>
      </c>
      <c r="P1954" s="21" t="s">
        <v>4378</v>
      </c>
      <c r="Q1954" s="0" t="n">
        <v>1</v>
      </c>
      <c r="R1954" s="21" t="s">
        <v>70</v>
      </c>
      <c r="S1954" s="0" t="n">
        <v>1</v>
      </c>
      <c r="T1954" s="21" t="s">
        <v>70</v>
      </c>
      <c r="U1954" s="22" t="b">
        <f aca="false">TRUE()</f>
        <v>1</v>
      </c>
      <c r="V1954" s="0" t="n">
        <v>0.77</v>
      </c>
      <c r="W1954" s="0" t="n">
        <v>0</v>
      </c>
      <c r="X1954" s="0" t="n">
        <v>7.49</v>
      </c>
      <c r="Y1954" s="0" t="n">
        <v>0.36</v>
      </c>
      <c r="Z1954" s="0" t="n">
        <v>12</v>
      </c>
      <c r="AA1954" s="0" t="n">
        <v>0.29</v>
      </c>
      <c r="AB1954" s="0" t="n">
        <v>0.39</v>
      </c>
      <c r="AC1954" s="22" t="b">
        <f aca="false">TRUE()</f>
        <v>1</v>
      </c>
      <c r="AD1954" s="0" t="n">
        <v>15.1</v>
      </c>
      <c r="AE1954" s="0" t="n">
        <v>0.79</v>
      </c>
      <c r="AF1954" s="0" t="n">
        <v>6.15</v>
      </c>
      <c r="AG1954" s="22" t="b">
        <f aca="false">TRUE()</f>
        <v>1</v>
      </c>
      <c r="AH1954" s="0" t="n">
        <v>0</v>
      </c>
    </row>
    <row r="1955" customFormat="false" ht="15" hidden="false" customHeight="false" outlineLevel="0" collapsed="false">
      <c r="A1955" s="0" t="s">
        <v>2932</v>
      </c>
      <c r="B1955" s="0" t="s">
        <v>134</v>
      </c>
      <c r="C1955" s="0" t="s">
        <v>3450</v>
      </c>
      <c r="D1955" s="0" t="s">
        <v>3448</v>
      </c>
      <c r="E1955" s="20" t="s">
        <v>25</v>
      </c>
      <c r="F1955" s="23" t="s">
        <v>30</v>
      </c>
      <c r="G1955" s="21" t="s">
        <v>197</v>
      </c>
      <c r="H1955" s="21" t="s">
        <v>24</v>
      </c>
      <c r="I1955" s="21" t="s">
        <v>25</v>
      </c>
      <c r="J1955" s="21" t="s">
        <v>24</v>
      </c>
      <c r="K1955" s="21" t="s">
        <v>25</v>
      </c>
      <c r="L1955" s="21" t="s">
        <v>24</v>
      </c>
      <c r="M1955" s="0" t="n">
        <v>192</v>
      </c>
      <c r="N1955" s="0" t="n">
        <v>1</v>
      </c>
      <c r="O1955" s="21" t="s">
        <v>70</v>
      </c>
      <c r="P1955" s="21" t="s">
        <v>4378</v>
      </c>
      <c r="Q1955" s="0" t="n">
        <v>1</v>
      </c>
      <c r="R1955" s="21" t="s">
        <v>70</v>
      </c>
      <c r="S1955" s="0" t="n">
        <v>1</v>
      </c>
      <c r="T1955" s="21" t="s">
        <v>70</v>
      </c>
      <c r="U1955" s="22" t="b">
        <f aca="false">TRUE()</f>
        <v>1</v>
      </c>
      <c r="V1955" s="0" t="n">
        <v>0.79</v>
      </c>
      <c r="W1955" s="0" t="n">
        <v>0.52</v>
      </c>
      <c r="X1955" s="0" t="n">
        <v>7.52</v>
      </c>
      <c r="Y1955" s="0" t="n">
        <v>338.56</v>
      </c>
      <c r="Z1955" s="0" t="n">
        <v>9.58</v>
      </c>
      <c r="AA1955" s="0" t="n">
        <v>-1.12</v>
      </c>
      <c r="AB1955" s="0" t="n">
        <v>0.02</v>
      </c>
      <c r="AC1955" s="22" t="b">
        <f aca="false">TRUE()</f>
        <v>1</v>
      </c>
      <c r="AD1955" s="0" t="n">
        <v>6.85</v>
      </c>
      <c r="AE1955" s="0" t="n">
        <v>0.89</v>
      </c>
      <c r="AF1955" s="0" t="n">
        <v>4.17</v>
      </c>
      <c r="AG1955" s="22" t="b">
        <f aca="false">FALSE()</f>
        <v>0</v>
      </c>
      <c r="AH1955" s="0" t="n">
        <v>1</v>
      </c>
    </row>
    <row r="1956" customFormat="false" ht="15" hidden="false" customHeight="false" outlineLevel="0" collapsed="false">
      <c r="A1956" s="0" t="s">
        <v>2932</v>
      </c>
      <c r="B1956" s="0" t="s">
        <v>134</v>
      </c>
      <c r="C1956" s="0" t="s">
        <v>3447</v>
      </c>
      <c r="D1956" s="0" t="s">
        <v>3457</v>
      </c>
      <c r="E1956" s="20" t="s">
        <v>25</v>
      </c>
      <c r="F1956" s="23" t="s">
        <v>30</v>
      </c>
      <c r="G1956" s="21" t="s">
        <v>1152</v>
      </c>
      <c r="H1956" s="21" t="s">
        <v>24</v>
      </c>
      <c r="I1956" s="21" t="s">
        <v>25</v>
      </c>
      <c r="J1956" s="21" t="s">
        <v>24</v>
      </c>
      <c r="K1956" s="21" t="s">
        <v>25</v>
      </c>
      <c r="L1956" s="21" t="s">
        <v>24</v>
      </c>
      <c r="M1956" s="0" t="n">
        <v>190</v>
      </c>
      <c r="N1956" s="0" t="n">
        <v>1</v>
      </c>
      <c r="O1956" s="21" t="s">
        <v>70</v>
      </c>
      <c r="P1956" s="21" t="s">
        <v>4378</v>
      </c>
      <c r="Q1956" s="0" t="n">
        <v>1</v>
      </c>
      <c r="R1956" s="21" t="s">
        <v>70</v>
      </c>
      <c r="S1956" s="0" t="n">
        <v>1</v>
      </c>
      <c r="T1956" s="21" t="s">
        <v>70</v>
      </c>
      <c r="U1956" s="22" t="b">
        <f aca="false">TRUE()</f>
        <v>1</v>
      </c>
      <c r="V1956" s="0" t="n">
        <v>0.79</v>
      </c>
      <c r="W1956" s="0" t="n">
        <v>0.76</v>
      </c>
      <c r="X1956" s="0" t="n">
        <v>7.57</v>
      </c>
      <c r="Y1956" s="0" t="n">
        <v>322.76</v>
      </c>
      <c r="Z1956" s="0" t="n">
        <v>8</v>
      </c>
      <c r="AA1956" s="0" t="n">
        <v>-0.9</v>
      </c>
      <c r="AB1956" s="0" t="n">
        <v>0.39</v>
      </c>
      <c r="AC1956" s="22" t="b">
        <f aca="false">FALSE()</f>
        <v>0</v>
      </c>
      <c r="AD1956" s="0" t="n">
        <v>10.8</v>
      </c>
      <c r="AE1956" s="0" t="n">
        <v>0.51</v>
      </c>
      <c r="AF1956" s="0" t="n">
        <v>5.44</v>
      </c>
      <c r="AG1956" s="22" t="b">
        <f aca="false">TRUE()</f>
        <v>1</v>
      </c>
      <c r="AH1956" s="0" t="n">
        <v>1</v>
      </c>
    </row>
    <row r="1957" customFormat="false" ht="15" hidden="false" customHeight="false" outlineLevel="0" collapsed="false">
      <c r="A1957" s="0" t="s">
        <v>2932</v>
      </c>
      <c r="B1957" s="0" t="s">
        <v>134</v>
      </c>
      <c r="C1957" s="0" t="s">
        <v>3447</v>
      </c>
      <c r="D1957" s="0" t="s">
        <v>3448</v>
      </c>
      <c r="E1957" s="20" t="s">
        <v>25</v>
      </c>
      <c r="F1957" s="23" t="s">
        <v>30</v>
      </c>
      <c r="G1957" s="21" t="s">
        <v>1152</v>
      </c>
      <c r="H1957" s="21" t="s">
        <v>24</v>
      </c>
      <c r="I1957" s="21" t="s">
        <v>25</v>
      </c>
      <c r="J1957" s="21" t="s">
        <v>24</v>
      </c>
      <c r="K1957" s="21" t="s">
        <v>25</v>
      </c>
      <c r="L1957" s="21" t="s">
        <v>24</v>
      </c>
      <c r="M1957" s="0" t="n">
        <v>186</v>
      </c>
      <c r="N1957" s="0" t="n">
        <v>2</v>
      </c>
      <c r="O1957" s="21" t="s">
        <v>3578</v>
      </c>
      <c r="P1957" s="21" t="s">
        <v>4878</v>
      </c>
      <c r="Q1957" s="0" t="n">
        <v>1</v>
      </c>
      <c r="R1957" s="21" t="s">
        <v>70</v>
      </c>
      <c r="S1957" s="0" t="n">
        <v>1</v>
      </c>
      <c r="T1957" s="21" t="s">
        <v>70</v>
      </c>
      <c r="U1957" s="22" t="b">
        <f aca="false">TRUE()</f>
        <v>1</v>
      </c>
      <c r="V1957" s="0" t="n">
        <v>0.75</v>
      </c>
      <c r="W1957" s="0" t="n">
        <v>0.96</v>
      </c>
      <c r="X1957" s="0" t="n">
        <v>7.67</v>
      </c>
      <c r="Y1957" s="0" t="n">
        <v>322.39</v>
      </c>
      <c r="Z1957" s="0" t="n">
        <v>8</v>
      </c>
      <c r="AA1957" s="0" t="n">
        <v>-1.25</v>
      </c>
      <c r="AB1957" s="0" t="n">
        <v>0.02</v>
      </c>
      <c r="AC1957" s="22" t="b">
        <f aca="false">FALSE()</f>
        <v>0</v>
      </c>
      <c r="AD1957" s="0" t="n">
        <v>0.29</v>
      </c>
      <c r="AE1957" s="0" t="n">
        <v>0.08</v>
      </c>
      <c r="AF1957" s="0" t="n">
        <v>0.2</v>
      </c>
      <c r="AG1957" s="22" t="b">
        <f aca="false">FALSE()</f>
        <v>0</v>
      </c>
      <c r="AH1957" s="0" t="n">
        <v>1</v>
      </c>
    </row>
    <row r="1958" customFormat="false" ht="15" hidden="false" customHeight="false" outlineLevel="0" collapsed="false">
      <c r="A1958" s="0" t="s">
        <v>2932</v>
      </c>
      <c r="B1958" s="0" t="s">
        <v>3459</v>
      </c>
      <c r="C1958" s="0" t="s">
        <v>3450</v>
      </c>
      <c r="D1958" s="0" t="s">
        <v>3457</v>
      </c>
      <c r="E1958" s="20" t="s">
        <v>25</v>
      </c>
      <c r="F1958" s="20" t="s">
        <v>29</v>
      </c>
      <c r="G1958" s="21" t="s">
        <v>3113</v>
      </c>
      <c r="H1958" s="21" t="s">
        <v>24</v>
      </c>
      <c r="I1958" s="21" t="s">
        <v>24</v>
      </c>
      <c r="J1958" s="21" t="s">
        <v>24</v>
      </c>
      <c r="K1958" s="21" t="s">
        <v>25</v>
      </c>
      <c r="L1958" s="21" t="s">
        <v>24</v>
      </c>
      <c r="M1958" s="0" t="n">
        <v>191</v>
      </c>
      <c r="N1958" s="0" t="n">
        <v>0</v>
      </c>
      <c r="Q1958" s="0" t="n">
        <v>0</v>
      </c>
      <c r="S1958" s="0" t="n">
        <v>0</v>
      </c>
      <c r="U1958" s="22" t="b">
        <f aca="false">FALSE()</f>
        <v>0</v>
      </c>
      <c r="V1958" s="0" t="n">
        <v>0.72</v>
      </c>
      <c r="W1958" s="0" t="n">
        <v>0.8</v>
      </c>
      <c r="X1958" s="0" t="n">
        <v>8.26</v>
      </c>
      <c r="Y1958" s="0" t="n">
        <v>299.17</v>
      </c>
      <c r="Z1958" s="0" t="n">
        <v>11.67</v>
      </c>
      <c r="AA1958" s="0" t="n">
        <v>1.17</v>
      </c>
      <c r="AB1958" s="0" t="n">
        <v>1.76</v>
      </c>
      <c r="AC1958" s="22" t="b">
        <f aca="false">FALSE()</f>
        <v>0</v>
      </c>
      <c r="AD1958" s="0" t="n">
        <v>22.71</v>
      </c>
      <c r="AE1958" s="0" t="n">
        <v>13.35</v>
      </c>
      <c r="AF1958" s="0" t="n">
        <v>20.22</v>
      </c>
      <c r="AG1958" s="22" t="b">
        <f aca="false">TRUE()</f>
        <v>1</v>
      </c>
      <c r="AH1958" s="0" t="n">
        <v>1</v>
      </c>
    </row>
    <row r="1959" customFormat="false" ht="15" hidden="false" customHeight="false" outlineLevel="0" collapsed="false">
      <c r="A1959" s="0" t="s">
        <v>2932</v>
      </c>
      <c r="B1959" s="0" t="s">
        <v>3459</v>
      </c>
      <c r="C1959" s="0" t="s">
        <v>3450</v>
      </c>
      <c r="D1959" s="0" t="s">
        <v>3448</v>
      </c>
      <c r="E1959" s="20" t="s">
        <v>25</v>
      </c>
      <c r="F1959" s="20" t="s">
        <v>29</v>
      </c>
      <c r="G1959" s="21" t="s">
        <v>3473</v>
      </c>
      <c r="H1959" s="21" t="s">
        <v>24</v>
      </c>
      <c r="I1959" s="21" t="s">
        <v>24</v>
      </c>
      <c r="J1959" s="21" t="s">
        <v>24</v>
      </c>
      <c r="K1959" s="21" t="s">
        <v>25</v>
      </c>
      <c r="L1959" s="21" t="s">
        <v>24</v>
      </c>
      <c r="M1959" s="0" t="n">
        <v>184</v>
      </c>
      <c r="N1959" s="0" t="n">
        <v>0</v>
      </c>
      <c r="Q1959" s="0" t="n">
        <v>0</v>
      </c>
      <c r="S1959" s="0" t="n">
        <v>0</v>
      </c>
      <c r="U1959" s="22" t="b">
        <f aca="false">FALSE()</f>
        <v>0</v>
      </c>
      <c r="V1959" s="0" t="n">
        <v>0.74</v>
      </c>
      <c r="W1959" s="0" t="n">
        <v>0.44</v>
      </c>
      <c r="X1959" s="0" t="n">
        <v>8.71</v>
      </c>
      <c r="Y1959" s="0" t="n">
        <v>344.67</v>
      </c>
      <c r="Z1959" s="0" t="n">
        <v>11.58</v>
      </c>
      <c r="AA1959" s="0" t="n">
        <v>-0.58</v>
      </c>
      <c r="AB1959" s="0" t="n">
        <v>0.43</v>
      </c>
      <c r="AC1959" s="22" t="b">
        <f aca="false">TRUE()</f>
        <v>1</v>
      </c>
      <c r="AD1959" s="0" t="n">
        <v>20.3</v>
      </c>
      <c r="AE1959" s="0" t="n">
        <v>12.19</v>
      </c>
      <c r="AF1959" s="0" t="n">
        <v>19.68</v>
      </c>
      <c r="AG1959" s="22" t="b">
        <f aca="false">TRUE()</f>
        <v>1</v>
      </c>
      <c r="AH1959" s="0" t="n">
        <v>1</v>
      </c>
    </row>
    <row r="1960" customFormat="false" ht="15" hidden="false" customHeight="false" outlineLevel="0" collapsed="false">
      <c r="A1960" s="0" t="s">
        <v>2932</v>
      </c>
      <c r="B1960" s="0" t="s">
        <v>3459</v>
      </c>
      <c r="C1960" s="0" t="s">
        <v>3447</v>
      </c>
      <c r="D1960" s="0" t="s">
        <v>3457</v>
      </c>
      <c r="E1960" s="20" t="s">
        <v>25</v>
      </c>
      <c r="F1960" s="20" t="s">
        <v>29</v>
      </c>
      <c r="G1960" s="21" t="s">
        <v>61</v>
      </c>
      <c r="H1960" s="21" t="s">
        <v>24</v>
      </c>
      <c r="I1960" s="21" t="s">
        <v>24</v>
      </c>
      <c r="J1960" s="21" t="s">
        <v>24</v>
      </c>
      <c r="K1960" s="21" t="s">
        <v>25</v>
      </c>
      <c r="L1960" s="21" t="s">
        <v>24</v>
      </c>
      <c r="M1960" s="0" t="n">
        <v>184</v>
      </c>
      <c r="N1960" s="0" t="n">
        <v>0</v>
      </c>
      <c r="Q1960" s="0" t="n">
        <v>0</v>
      </c>
      <c r="S1960" s="0" t="n">
        <v>0</v>
      </c>
      <c r="U1960" s="22" t="b">
        <f aca="false">FALSE()</f>
        <v>0</v>
      </c>
      <c r="V1960" s="0" t="n">
        <v>0.73</v>
      </c>
      <c r="W1960" s="0" t="n">
        <v>0.28</v>
      </c>
      <c r="X1960" s="0" t="n">
        <v>8.19</v>
      </c>
      <c r="Y1960" s="0" t="n">
        <v>403.07</v>
      </c>
      <c r="Z1960" s="0" t="n">
        <v>12</v>
      </c>
      <c r="AA1960" s="0" t="n">
        <v>-2.46</v>
      </c>
      <c r="AB1960" s="0" t="n">
        <v>1.76</v>
      </c>
      <c r="AC1960" s="22" t="b">
        <f aca="false">FALSE()</f>
        <v>0</v>
      </c>
      <c r="AD1960" s="0" t="n">
        <v>21.76</v>
      </c>
      <c r="AE1960" s="0" t="n">
        <v>12.25</v>
      </c>
      <c r="AF1960" s="0" t="n">
        <v>20.85</v>
      </c>
      <c r="AG1960" s="22" t="b">
        <f aca="false">TRUE()</f>
        <v>1</v>
      </c>
      <c r="AH1960" s="0" t="n">
        <v>1</v>
      </c>
    </row>
    <row r="1961" customFormat="false" ht="15" hidden="false" customHeight="false" outlineLevel="0" collapsed="false">
      <c r="A1961" s="0" t="s">
        <v>2932</v>
      </c>
      <c r="B1961" s="0" t="s">
        <v>3459</v>
      </c>
      <c r="C1961" s="0" t="s">
        <v>3447</v>
      </c>
      <c r="D1961" s="0" t="s">
        <v>3448</v>
      </c>
      <c r="E1961" s="20" t="s">
        <v>25</v>
      </c>
      <c r="F1961" s="20" t="s">
        <v>29</v>
      </c>
      <c r="G1961" s="21" t="s">
        <v>64</v>
      </c>
      <c r="H1961" s="21" t="s">
        <v>24</v>
      </c>
      <c r="I1961" s="21" t="s">
        <v>24</v>
      </c>
      <c r="J1961" s="21" t="s">
        <v>24</v>
      </c>
      <c r="K1961" s="21" t="s">
        <v>25</v>
      </c>
      <c r="L1961" s="21" t="s">
        <v>24</v>
      </c>
      <c r="M1961" s="0" t="n">
        <v>184</v>
      </c>
      <c r="N1961" s="0" t="n">
        <v>0</v>
      </c>
      <c r="Q1961" s="0" t="n">
        <v>0</v>
      </c>
      <c r="S1961" s="0" t="n">
        <v>0</v>
      </c>
      <c r="U1961" s="22" t="b">
        <f aca="false">FALSE()</f>
        <v>0</v>
      </c>
      <c r="V1961" s="0" t="n">
        <v>0.72</v>
      </c>
      <c r="W1961" s="0" t="n">
        <v>0.68</v>
      </c>
      <c r="X1961" s="0" t="n">
        <v>9.44</v>
      </c>
      <c r="Y1961" s="0" t="n">
        <v>317.99</v>
      </c>
      <c r="Z1961" s="0" t="n">
        <v>8</v>
      </c>
      <c r="AA1961" s="0" t="n">
        <v>-1.39</v>
      </c>
      <c r="AB1961" s="0" t="n">
        <v>0.43</v>
      </c>
      <c r="AC1961" s="22" t="b">
        <f aca="false">FALSE()</f>
        <v>0</v>
      </c>
      <c r="AD1961" s="0" t="n">
        <v>16.25</v>
      </c>
      <c r="AE1961" s="0" t="n">
        <v>7.88</v>
      </c>
      <c r="AF1961" s="0" t="n">
        <v>16.36</v>
      </c>
      <c r="AG1961" s="22" t="b">
        <f aca="false">TRUE()</f>
        <v>1</v>
      </c>
      <c r="AH1961" s="0" t="n">
        <v>1</v>
      </c>
    </row>
    <row r="1962" customFormat="false" ht="15" hidden="false" customHeight="false" outlineLevel="0" collapsed="false">
      <c r="A1962" s="0" t="s">
        <v>2941</v>
      </c>
      <c r="B1962" s="0" t="s">
        <v>134</v>
      </c>
      <c r="C1962" s="0" t="s">
        <v>3450</v>
      </c>
      <c r="D1962" s="0" t="s">
        <v>3457</v>
      </c>
      <c r="E1962" s="18" t="s">
        <v>24</v>
      </c>
      <c r="F1962" s="18" t="s">
        <v>28</v>
      </c>
      <c r="H1962" s="21" t="s">
        <v>24</v>
      </c>
      <c r="I1962" s="21" t="s">
        <v>24</v>
      </c>
      <c r="J1962" s="21" t="s">
        <v>24</v>
      </c>
      <c r="K1962" s="21" t="s">
        <v>24</v>
      </c>
      <c r="L1962" s="21" t="s">
        <v>24</v>
      </c>
      <c r="M1962" s="0" t="n">
        <v>185</v>
      </c>
      <c r="N1962" s="0" t="n">
        <v>0</v>
      </c>
      <c r="Q1962" s="0" t="n">
        <v>0</v>
      </c>
      <c r="S1962" s="0" t="n">
        <v>0</v>
      </c>
      <c r="U1962" s="22" t="b">
        <f aca="false">FALSE()</f>
        <v>0</v>
      </c>
      <c r="V1962" s="0" t="n">
        <v>0.77</v>
      </c>
      <c r="W1962" s="0" t="n">
        <v>0.52</v>
      </c>
      <c r="X1962" s="0" t="n">
        <v>9.34</v>
      </c>
      <c r="Y1962" s="0" t="n">
        <v>289.67</v>
      </c>
      <c r="Z1962" s="0" t="n">
        <v>9.75</v>
      </c>
      <c r="AA1962" s="0" t="n">
        <v>20.27</v>
      </c>
      <c r="AB1962" s="0" t="n">
        <v>5.44</v>
      </c>
      <c r="AC1962" s="22" t="b">
        <f aca="false">FALSE()</f>
        <v>0</v>
      </c>
      <c r="AD1962" s="0" t="n">
        <v>10.01</v>
      </c>
      <c r="AE1962" s="0" t="n">
        <v>3.62</v>
      </c>
      <c r="AF1962" s="0" t="n">
        <v>2.13</v>
      </c>
      <c r="AG1962" s="22" t="b">
        <f aca="false">TRUE()</f>
        <v>1</v>
      </c>
      <c r="AH1962" s="0" t="n">
        <v>1</v>
      </c>
    </row>
    <row r="1963" customFormat="false" ht="15" hidden="false" customHeight="false" outlineLevel="0" collapsed="false">
      <c r="A1963" s="0" t="s">
        <v>2941</v>
      </c>
      <c r="B1963" s="0" t="s">
        <v>134</v>
      </c>
      <c r="C1963" s="0" t="s">
        <v>3450</v>
      </c>
      <c r="D1963" s="0" t="s">
        <v>3448</v>
      </c>
      <c r="E1963" s="18" t="s">
        <v>24</v>
      </c>
      <c r="F1963" s="23" t="s">
        <v>30</v>
      </c>
      <c r="G1963" s="21" t="s">
        <v>30</v>
      </c>
      <c r="H1963" s="21" t="s">
        <v>24</v>
      </c>
      <c r="I1963" s="21" t="s">
        <v>24</v>
      </c>
      <c r="J1963" s="21" t="s">
        <v>24</v>
      </c>
      <c r="K1963" s="21" t="s">
        <v>24</v>
      </c>
      <c r="L1963" s="21" t="s">
        <v>24</v>
      </c>
      <c r="M1963" s="0" t="n">
        <v>191</v>
      </c>
      <c r="N1963" s="0" t="n">
        <v>1</v>
      </c>
      <c r="O1963" s="21" t="s">
        <v>3484</v>
      </c>
      <c r="P1963" s="21" t="s">
        <v>4512</v>
      </c>
      <c r="Q1963" s="0" t="n">
        <v>0</v>
      </c>
      <c r="S1963" s="0" t="n">
        <v>1</v>
      </c>
      <c r="T1963" s="21" t="s">
        <v>3484</v>
      </c>
      <c r="U1963" s="22" t="b">
        <f aca="false">TRUE()</f>
        <v>1</v>
      </c>
      <c r="V1963" s="0" t="n">
        <v>0.78</v>
      </c>
      <c r="W1963" s="0" t="n">
        <v>0.32</v>
      </c>
      <c r="X1963" s="0" t="n">
        <v>11.02</v>
      </c>
      <c r="Y1963" s="0" t="n">
        <v>402.78</v>
      </c>
      <c r="Z1963" s="0" t="n">
        <v>9.5</v>
      </c>
      <c r="AA1963" s="0" t="n">
        <v>20.98</v>
      </c>
      <c r="AB1963" s="0" t="n">
        <v>8.51</v>
      </c>
      <c r="AC1963" s="22" t="b">
        <f aca="false">FALSE()</f>
        <v>0</v>
      </c>
      <c r="AD1963" s="0" t="n">
        <v>10.04</v>
      </c>
      <c r="AE1963" s="0" t="n">
        <v>2.68</v>
      </c>
      <c r="AF1963" s="0" t="n">
        <v>3.78</v>
      </c>
      <c r="AG1963" s="22" t="b">
        <f aca="false">TRUE()</f>
        <v>1</v>
      </c>
      <c r="AH1963" s="0" t="n">
        <v>1</v>
      </c>
    </row>
    <row r="1964" customFormat="false" ht="15" hidden="false" customHeight="false" outlineLevel="0" collapsed="false">
      <c r="A1964" s="0" t="s">
        <v>2941</v>
      </c>
      <c r="B1964" s="0" t="s">
        <v>134</v>
      </c>
      <c r="C1964" s="0" t="s">
        <v>3447</v>
      </c>
      <c r="D1964" s="0" t="s">
        <v>3457</v>
      </c>
      <c r="E1964" s="18" t="s">
        <v>24</v>
      </c>
      <c r="F1964" s="23" t="s">
        <v>30</v>
      </c>
      <c r="G1964" s="21" t="s">
        <v>30</v>
      </c>
      <c r="H1964" s="21" t="s">
        <v>24</v>
      </c>
      <c r="I1964" s="21" t="s">
        <v>24</v>
      </c>
      <c r="J1964" s="21" t="s">
        <v>24</v>
      </c>
      <c r="K1964" s="21" t="s">
        <v>24</v>
      </c>
      <c r="L1964" s="21" t="s">
        <v>24</v>
      </c>
      <c r="M1964" s="0" t="n">
        <v>190</v>
      </c>
      <c r="N1964" s="0" t="n">
        <v>5</v>
      </c>
      <c r="O1964" s="21" t="s">
        <v>3678</v>
      </c>
      <c r="P1964" s="21" t="s">
        <v>4879</v>
      </c>
      <c r="Q1964" s="0" t="n">
        <v>0</v>
      </c>
      <c r="S1964" s="0" t="n">
        <v>5</v>
      </c>
      <c r="T1964" s="21" t="s">
        <v>3678</v>
      </c>
      <c r="U1964" s="22" t="b">
        <f aca="false">TRUE()</f>
        <v>1</v>
      </c>
      <c r="V1964" s="0" t="n">
        <v>0.79</v>
      </c>
      <c r="W1964" s="0" t="n">
        <v>0.72</v>
      </c>
      <c r="X1964" s="0" t="n">
        <v>12.28</v>
      </c>
      <c r="Y1964" s="0" t="n">
        <v>280.78</v>
      </c>
      <c r="Z1964" s="0" t="n">
        <v>10.5</v>
      </c>
      <c r="AA1964" s="0" t="n">
        <v>2.02</v>
      </c>
      <c r="AB1964" s="0" t="n">
        <v>5.44</v>
      </c>
      <c r="AC1964" s="22" t="b">
        <f aca="false">FALSE()</f>
        <v>0</v>
      </c>
      <c r="AD1964" s="0" t="n">
        <v>3.32</v>
      </c>
      <c r="AE1964" s="0" t="n">
        <v>0.19</v>
      </c>
      <c r="AF1964" s="0" t="n">
        <v>2.58</v>
      </c>
      <c r="AG1964" s="22" t="b">
        <f aca="false">FALSE()</f>
        <v>0</v>
      </c>
      <c r="AH1964" s="0" t="n">
        <v>1</v>
      </c>
    </row>
    <row r="1965" customFormat="false" ht="15" hidden="false" customHeight="false" outlineLevel="0" collapsed="false">
      <c r="A1965" s="0" t="s">
        <v>2941</v>
      </c>
      <c r="B1965" s="0" t="s">
        <v>134</v>
      </c>
      <c r="C1965" s="0" t="s">
        <v>3447</v>
      </c>
      <c r="D1965" s="0" t="s">
        <v>3448</v>
      </c>
      <c r="E1965" s="18" t="s">
        <v>24</v>
      </c>
      <c r="F1965" s="23" t="s">
        <v>30</v>
      </c>
      <c r="G1965" s="21" t="s">
        <v>30</v>
      </c>
      <c r="H1965" s="21" t="s">
        <v>24</v>
      </c>
      <c r="I1965" s="21" t="s">
        <v>24</v>
      </c>
      <c r="J1965" s="21" t="s">
        <v>24</v>
      </c>
      <c r="K1965" s="21" t="s">
        <v>24</v>
      </c>
      <c r="L1965" s="21" t="s">
        <v>24</v>
      </c>
      <c r="M1965" s="0" t="n">
        <v>188</v>
      </c>
      <c r="N1965" s="0" t="n">
        <v>4</v>
      </c>
      <c r="O1965" s="21" t="s">
        <v>3590</v>
      </c>
      <c r="P1965" s="21" t="s">
        <v>4880</v>
      </c>
      <c r="Q1965" s="0" t="n">
        <v>0</v>
      </c>
      <c r="S1965" s="0" t="n">
        <v>4</v>
      </c>
      <c r="T1965" s="21" t="s">
        <v>3590</v>
      </c>
      <c r="U1965" s="22" t="b">
        <f aca="false">TRUE()</f>
        <v>1</v>
      </c>
      <c r="V1965" s="0" t="n">
        <v>0.79</v>
      </c>
      <c r="W1965" s="0" t="n">
        <v>0</v>
      </c>
      <c r="X1965" s="0" t="n">
        <v>14.75</v>
      </c>
      <c r="Y1965" s="0" t="n">
        <v>625.9</v>
      </c>
      <c r="Z1965" s="0" t="n">
        <v>9.67</v>
      </c>
      <c r="AA1965" s="0" t="n">
        <v>7.55</v>
      </c>
      <c r="AB1965" s="0" t="n">
        <v>8.51</v>
      </c>
      <c r="AC1965" s="22" t="b">
        <f aca="false">FALSE()</f>
        <v>0</v>
      </c>
      <c r="AD1965" s="0" t="n">
        <v>5.59</v>
      </c>
      <c r="AE1965" s="0" t="n">
        <v>0.15</v>
      </c>
      <c r="AF1965" s="0" t="n">
        <v>0.04</v>
      </c>
      <c r="AG1965" s="22" t="b">
        <f aca="false">FALSE()</f>
        <v>0</v>
      </c>
      <c r="AH1965" s="0" t="n">
        <v>1</v>
      </c>
    </row>
    <row r="1966" customFormat="false" ht="15" hidden="false" customHeight="false" outlineLevel="0" collapsed="false">
      <c r="A1966" s="0" t="s">
        <v>2941</v>
      </c>
      <c r="B1966" s="0" t="s">
        <v>3459</v>
      </c>
      <c r="C1966" s="0" t="s">
        <v>3450</v>
      </c>
      <c r="D1966" s="0" t="s">
        <v>3457</v>
      </c>
      <c r="E1966" s="20" t="s">
        <v>25</v>
      </c>
      <c r="F1966" s="23" t="s">
        <v>30</v>
      </c>
      <c r="G1966" s="21" t="s">
        <v>183</v>
      </c>
      <c r="H1966" s="21" t="s">
        <v>24</v>
      </c>
      <c r="I1966" s="21" t="s">
        <v>25</v>
      </c>
      <c r="J1966" s="21" t="s">
        <v>24</v>
      </c>
      <c r="K1966" s="21" t="s">
        <v>25</v>
      </c>
      <c r="L1966" s="21" t="s">
        <v>24</v>
      </c>
      <c r="M1966" s="0" t="n">
        <v>184</v>
      </c>
      <c r="N1966" s="0" t="n">
        <v>5</v>
      </c>
      <c r="O1966" s="21" t="s">
        <v>3808</v>
      </c>
      <c r="P1966" s="21" t="s">
        <v>4335</v>
      </c>
      <c r="Q1966" s="0" t="n">
        <v>1</v>
      </c>
      <c r="R1966" s="21" t="s">
        <v>69</v>
      </c>
      <c r="S1966" s="0" t="n">
        <v>5</v>
      </c>
      <c r="T1966" s="21" t="s">
        <v>3808</v>
      </c>
      <c r="U1966" s="22" t="b">
        <f aca="false">TRUE()</f>
        <v>1</v>
      </c>
      <c r="V1966" s="0" t="n">
        <v>0.75</v>
      </c>
      <c r="W1966" s="0" t="n">
        <v>0.56</v>
      </c>
      <c r="X1966" s="0" t="n">
        <v>8.66</v>
      </c>
      <c r="Y1966" s="0" t="n">
        <v>245.41</v>
      </c>
      <c r="Z1966" s="0" t="n">
        <v>9</v>
      </c>
      <c r="AA1966" s="0" t="n">
        <v>20.15</v>
      </c>
      <c r="AB1966" s="0" t="n">
        <v>6.22</v>
      </c>
      <c r="AC1966" s="22" t="b">
        <f aca="false">FALSE()</f>
        <v>0</v>
      </c>
      <c r="AD1966" s="0" t="n">
        <v>23.75</v>
      </c>
      <c r="AE1966" s="0" t="n">
        <v>12.86</v>
      </c>
      <c r="AF1966" s="0" t="n">
        <v>19.64</v>
      </c>
      <c r="AG1966" s="22" t="b">
        <f aca="false">TRUE()</f>
        <v>1</v>
      </c>
      <c r="AH1966" s="0" t="n">
        <v>1</v>
      </c>
    </row>
    <row r="1967" customFormat="false" ht="15" hidden="false" customHeight="false" outlineLevel="0" collapsed="false">
      <c r="A1967" s="0" t="s">
        <v>2941</v>
      </c>
      <c r="B1967" s="0" t="s">
        <v>3459</v>
      </c>
      <c r="C1967" s="0" t="s">
        <v>3450</v>
      </c>
      <c r="D1967" s="0" t="s">
        <v>3448</v>
      </c>
      <c r="E1967" s="20" t="s">
        <v>25</v>
      </c>
      <c r="F1967" s="23" t="s">
        <v>30</v>
      </c>
      <c r="G1967" s="21" t="s">
        <v>283</v>
      </c>
      <c r="H1967" s="21" t="s">
        <v>24</v>
      </c>
      <c r="I1967" s="21" t="s">
        <v>25</v>
      </c>
      <c r="J1967" s="21" t="s">
        <v>24</v>
      </c>
      <c r="K1967" s="21" t="s">
        <v>24</v>
      </c>
      <c r="L1967" s="21" t="s">
        <v>24</v>
      </c>
      <c r="M1967" s="0" t="n">
        <v>186</v>
      </c>
      <c r="N1967" s="0" t="n">
        <v>4</v>
      </c>
      <c r="O1967" s="21" t="s">
        <v>3749</v>
      </c>
      <c r="P1967" s="21" t="s">
        <v>4501</v>
      </c>
      <c r="Q1967" s="0" t="n">
        <v>1</v>
      </c>
      <c r="R1967" s="21" t="s">
        <v>69</v>
      </c>
      <c r="S1967" s="0" t="n">
        <v>4</v>
      </c>
      <c r="T1967" s="21" t="s">
        <v>3749</v>
      </c>
      <c r="U1967" s="22" t="b">
        <f aca="false">TRUE()</f>
        <v>1</v>
      </c>
      <c r="V1967" s="0" t="n">
        <v>0.78</v>
      </c>
      <c r="W1967" s="0" t="n">
        <v>0.92</v>
      </c>
      <c r="X1967" s="0" t="n">
        <v>10.74</v>
      </c>
      <c r="Y1967" s="0" t="n">
        <v>320.48</v>
      </c>
      <c r="Z1967" s="0" t="n">
        <v>9</v>
      </c>
      <c r="AA1967" s="0" t="n">
        <v>3.7</v>
      </c>
      <c r="AB1967" s="0" t="n">
        <v>18.4</v>
      </c>
      <c r="AC1967" s="22" t="b">
        <f aca="false">FALSE()</f>
        <v>0</v>
      </c>
      <c r="AD1967" s="0" t="n">
        <v>13.7</v>
      </c>
      <c r="AE1967" s="0" t="n">
        <v>5.72</v>
      </c>
      <c r="AF1967" s="0" t="n">
        <v>14.17</v>
      </c>
      <c r="AG1967" s="22" t="b">
        <f aca="false">TRUE()</f>
        <v>1</v>
      </c>
      <c r="AH1967" s="0" t="n">
        <v>1</v>
      </c>
    </row>
    <row r="1968" customFormat="false" ht="15" hidden="false" customHeight="false" outlineLevel="0" collapsed="false">
      <c r="A1968" s="0" t="s">
        <v>2941</v>
      </c>
      <c r="B1968" s="0" t="s">
        <v>3459</v>
      </c>
      <c r="C1968" s="0" t="s">
        <v>3447</v>
      </c>
      <c r="D1968" s="0" t="s">
        <v>3457</v>
      </c>
      <c r="E1968" s="20" t="s">
        <v>25</v>
      </c>
      <c r="F1968" s="23" t="s">
        <v>30</v>
      </c>
      <c r="G1968" s="21" t="s">
        <v>992</v>
      </c>
      <c r="H1968" s="21" t="s">
        <v>24</v>
      </c>
      <c r="I1968" s="21" t="s">
        <v>24</v>
      </c>
      <c r="J1968" s="21" t="s">
        <v>24</v>
      </c>
      <c r="K1968" s="21" t="s">
        <v>25</v>
      </c>
      <c r="L1968" s="21" t="s">
        <v>24</v>
      </c>
      <c r="M1968" s="0" t="n">
        <v>185</v>
      </c>
      <c r="N1968" s="0" t="n">
        <v>5</v>
      </c>
      <c r="O1968" s="21" t="s">
        <v>3711</v>
      </c>
      <c r="P1968" s="21" t="s">
        <v>4881</v>
      </c>
      <c r="Q1968" s="0" t="n">
        <v>0</v>
      </c>
      <c r="S1968" s="0" t="n">
        <v>5</v>
      </c>
      <c r="T1968" s="21" t="s">
        <v>3711</v>
      </c>
      <c r="U1968" s="22" t="b">
        <f aca="false">TRUE()</f>
        <v>1</v>
      </c>
      <c r="V1968" s="0" t="n">
        <v>0.83</v>
      </c>
      <c r="W1968" s="0" t="n">
        <v>0.72</v>
      </c>
      <c r="X1968" s="0" t="n">
        <v>8.37</v>
      </c>
      <c r="Y1968" s="0" t="n">
        <v>277.58</v>
      </c>
      <c r="Z1968" s="0" t="n">
        <v>9.5</v>
      </c>
      <c r="AA1968" s="0" t="n">
        <v>9.67</v>
      </c>
      <c r="AB1968" s="0" t="n">
        <v>6.22</v>
      </c>
      <c r="AC1968" s="22" t="b">
        <f aca="false">FALSE()</f>
        <v>0</v>
      </c>
      <c r="AD1968" s="0" t="n">
        <v>21.63</v>
      </c>
      <c r="AE1968" s="0" t="n">
        <v>13.7</v>
      </c>
      <c r="AF1968" s="0" t="n">
        <v>22.15</v>
      </c>
      <c r="AG1968" s="22" t="b">
        <f aca="false">TRUE()</f>
        <v>1</v>
      </c>
      <c r="AH1968" s="0" t="n">
        <v>1</v>
      </c>
    </row>
    <row r="1969" customFormat="false" ht="15" hidden="false" customHeight="false" outlineLevel="0" collapsed="false">
      <c r="A1969" s="0" t="s">
        <v>2941</v>
      </c>
      <c r="B1969" s="0" t="s">
        <v>3459</v>
      </c>
      <c r="C1969" s="0" t="s">
        <v>3447</v>
      </c>
      <c r="D1969" s="0" t="s">
        <v>3448</v>
      </c>
      <c r="E1969" s="20" t="s">
        <v>25</v>
      </c>
      <c r="F1969" s="23" t="s">
        <v>30</v>
      </c>
      <c r="G1969" s="21" t="s">
        <v>992</v>
      </c>
      <c r="H1969" s="21" t="s">
        <v>24</v>
      </c>
      <c r="I1969" s="21" t="s">
        <v>24</v>
      </c>
      <c r="J1969" s="21" t="s">
        <v>24</v>
      </c>
      <c r="K1969" s="21" t="s">
        <v>25</v>
      </c>
      <c r="L1969" s="21" t="s">
        <v>24</v>
      </c>
      <c r="M1969" s="0" t="n">
        <v>184</v>
      </c>
      <c r="N1969" s="0" t="n">
        <v>6</v>
      </c>
      <c r="O1969" s="21" t="s">
        <v>3763</v>
      </c>
      <c r="P1969" s="21" t="s">
        <v>4882</v>
      </c>
      <c r="Q1969" s="0" t="n">
        <v>0</v>
      </c>
      <c r="S1969" s="0" t="n">
        <v>6</v>
      </c>
      <c r="T1969" s="21" t="s">
        <v>3763</v>
      </c>
      <c r="U1969" s="22" t="b">
        <f aca="false">TRUE()</f>
        <v>1</v>
      </c>
      <c r="V1969" s="0" t="n">
        <v>0.86</v>
      </c>
      <c r="W1969" s="0" t="n">
        <v>0.32</v>
      </c>
      <c r="X1969" s="0" t="n">
        <v>11.77</v>
      </c>
      <c r="Y1969" s="0" t="n">
        <v>397.73</v>
      </c>
      <c r="Z1969" s="0" t="n">
        <v>10.25</v>
      </c>
      <c r="AA1969" s="0" t="n">
        <v>2.56</v>
      </c>
      <c r="AB1969" s="0" t="n">
        <v>18.4</v>
      </c>
      <c r="AC1969" s="22" t="b">
        <f aca="false">FALSE()</f>
        <v>0</v>
      </c>
      <c r="AD1969" s="0" t="n">
        <v>21.05</v>
      </c>
      <c r="AE1969" s="0" t="n">
        <v>10.43</v>
      </c>
      <c r="AF1969" s="0" t="n">
        <v>18.8</v>
      </c>
      <c r="AG1969" s="22" t="b">
        <f aca="false">TRUE()</f>
        <v>1</v>
      </c>
      <c r="AH1969" s="0" t="n">
        <v>1</v>
      </c>
    </row>
    <row r="1970" customFormat="false" ht="15" hidden="false" customHeight="false" outlineLevel="0" collapsed="false">
      <c r="A1970" s="0" t="s">
        <v>2947</v>
      </c>
      <c r="B1970" s="0" t="s">
        <v>134</v>
      </c>
      <c r="C1970" s="0" t="s">
        <v>3450</v>
      </c>
      <c r="D1970" s="0" t="s">
        <v>3457</v>
      </c>
      <c r="E1970" s="20" t="s">
        <v>25</v>
      </c>
      <c r="F1970" s="20" t="s">
        <v>29</v>
      </c>
      <c r="G1970" s="21" t="s">
        <v>61</v>
      </c>
      <c r="H1970" s="21" t="s">
        <v>24</v>
      </c>
      <c r="I1970" s="21" t="s">
        <v>24</v>
      </c>
      <c r="J1970" s="21" t="s">
        <v>24</v>
      </c>
      <c r="K1970" s="21" t="s">
        <v>25</v>
      </c>
      <c r="L1970" s="21" t="s">
        <v>24</v>
      </c>
      <c r="M1970" s="0" t="n">
        <v>186</v>
      </c>
      <c r="N1970" s="0" t="n">
        <v>0</v>
      </c>
      <c r="Q1970" s="0" t="n">
        <v>0</v>
      </c>
      <c r="S1970" s="0" t="n">
        <v>0</v>
      </c>
      <c r="U1970" s="22" t="b">
        <f aca="false">FALSE()</f>
        <v>0</v>
      </c>
      <c r="V1970" s="0" t="n">
        <v>0.72</v>
      </c>
      <c r="W1970" s="0" t="n">
        <v>0.76</v>
      </c>
      <c r="X1970" s="0" t="n">
        <v>10.5</v>
      </c>
      <c r="Y1970" s="0" t="n">
        <v>283.75</v>
      </c>
      <c r="Z1970" s="0" t="n">
        <v>9.75</v>
      </c>
      <c r="AA1970" s="0" t="n">
        <v>5.21</v>
      </c>
      <c r="AB1970" s="0" t="n">
        <v>2.41</v>
      </c>
      <c r="AC1970" s="22" t="b">
        <f aca="false">FALSE()</f>
        <v>0</v>
      </c>
      <c r="AD1970" s="0" t="n">
        <v>24.22</v>
      </c>
      <c r="AE1970" s="0" t="n">
        <v>0.83</v>
      </c>
      <c r="AF1970" s="0" t="n">
        <v>26.59</v>
      </c>
      <c r="AG1970" s="22" t="b">
        <f aca="false">TRUE()</f>
        <v>1</v>
      </c>
      <c r="AH1970" s="0" t="n">
        <v>1</v>
      </c>
    </row>
    <row r="1971" customFormat="false" ht="15" hidden="false" customHeight="false" outlineLevel="0" collapsed="false">
      <c r="A1971" s="0" t="s">
        <v>2947</v>
      </c>
      <c r="B1971" s="0" t="s">
        <v>134</v>
      </c>
      <c r="C1971" s="0" t="s">
        <v>3450</v>
      </c>
      <c r="D1971" s="0" t="s">
        <v>3448</v>
      </c>
      <c r="E1971" s="20" t="s">
        <v>25</v>
      </c>
      <c r="F1971" s="23" t="s">
        <v>30</v>
      </c>
      <c r="G1971" s="21" t="s">
        <v>183</v>
      </c>
      <c r="H1971" s="21" t="s">
        <v>24</v>
      </c>
      <c r="I1971" s="21" t="s">
        <v>25</v>
      </c>
      <c r="J1971" s="21" t="s">
        <v>24</v>
      </c>
      <c r="K1971" s="21" t="s">
        <v>25</v>
      </c>
      <c r="L1971" s="21" t="s">
        <v>24</v>
      </c>
      <c r="M1971" s="0" t="n">
        <v>188</v>
      </c>
      <c r="N1971" s="0" t="n">
        <v>5</v>
      </c>
      <c r="O1971" s="21" t="s">
        <v>3816</v>
      </c>
      <c r="P1971" s="21" t="s">
        <v>4328</v>
      </c>
      <c r="Q1971" s="0" t="n">
        <v>1</v>
      </c>
      <c r="R1971" s="21" t="s">
        <v>69</v>
      </c>
      <c r="S1971" s="0" t="n">
        <v>5</v>
      </c>
      <c r="T1971" s="21" t="s">
        <v>3816</v>
      </c>
      <c r="U1971" s="22" t="b">
        <f aca="false">TRUE()</f>
        <v>1</v>
      </c>
      <c r="V1971" s="0" t="n">
        <v>0.7</v>
      </c>
      <c r="W1971" s="0" t="n">
        <v>0.24</v>
      </c>
      <c r="X1971" s="0" t="n">
        <v>8.93</v>
      </c>
      <c r="Y1971" s="0" t="n">
        <v>465.08</v>
      </c>
      <c r="Z1971" s="0" t="n">
        <v>9.42</v>
      </c>
      <c r="AA1971" s="0" t="n">
        <v>9.36</v>
      </c>
      <c r="AB1971" s="0" t="n">
        <v>3.99</v>
      </c>
      <c r="AC1971" s="22" t="b">
        <f aca="false">FALSE()</f>
        <v>0</v>
      </c>
      <c r="AD1971" s="0" t="n">
        <v>20.13</v>
      </c>
      <c r="AE1971" s="0" t="n">
        <v>6.48</v>
      </c>
      <c r="AF1971" s="0" t="n">
        <v>16.98</v>
      </c>
      <c r="AG1971" s="22" t="b">
        <f aca="false">TRUE()</f>
        <v>1</v>
      </c>
      <c r="AH1971" s="0" t="n">
        <v>1</v>
      </c>
    </row>
    <row r="1972" customFormat="false" ht="15" hidden="false" customHeight="false" outlineLevel="0" collapsed="false">
      <c r="A1972" s="0" t="s">
        <v>2947</v>
      </c>
      <c r="B1972" s="0" t="s">
        <v>134</v>
      </c>
      <c r="C1972" s="0" t="s">
        <v>3447</v>
      </c>
      <c r="D1972" s="0" t="s">
        <v>3457</v>
      </c>
      <c r="E1972" s="20" t="s">
        <v>25</v>
      </c>
      <c r="F1972" s="23" t="s">
        <v>30</v>
      </c>
      <c r="G1972" s="21" t="s">
        <v>992</v>
      </c>
      <c r="H1972" s="21" t="s">
        <v>24</v>
      </c>
      <c r="I1972" s="21" t="s">
        <v>24</v>
      </c>
      <c r="J1972" s="21" t="s">
        <v>24</v>
      </c>
      <c r="K1972" s="21" t="s">
        <v>25</v>
      </c>
      <c r="L1972" s="21" t="s">
        <v>24</v>
      </c>
      <c r="M1972" s="0" t="n">
        <v>184</v>
      </c>
      <c r="N1972" s="0" t="n">
        <v>4</v>
      </c>
      <c r="O1972" s="21" t="s">
        <v>3657</v>
      </c>
      <c r="P1972" s="21" t="s">
        <v>4883</v>
      </c>
      <c r="Q1972" s="0" t="n">
        <v>0</v>
      </c>
      <c r="S1972" s="0" t="n">
        <v>4</v>
      </c>
      <c r="T1972" s="21" t="s">
        <v>3657</v>
      </c>
      <c r="U1972" s="22" t="b">
        <f aca="false">TRUE()</f>
        <v>1</v>
      </c>
      <c r="V1972" s="0" t="n">
        <v>0.78</v>
      </c>
      <c r="W1972" s="0" t="n">
        <v>0.6</v>
      </c>
      <c r="X1972" s="0" t="n">
        <v>13.04</v>
      </c>
      <c r="Y1972" s="0" t="n">
        <v>300.99</v>
      </c>
      <c r="Z1972" s="0" t="n">
        <v>9.75</v>
      </c>
      <c r="AA1972" s="0" t="n">
        <v>-0.63</v>
      </c>
      <c r="AB1972" s="0" t="n">
        <v>2.41</v>
      </c>
      <c r="AC1972" s="22" t="b">
        <f aca="false">FALSE()</f>
        <v>0</v>
      </c>
      <c r="AD1972" s="0" t="n">
        <v>25.21</v>
      </c>
      <c r="AE1972" s="0" t="n">
        <v>1.08</v>
      </c>
      <c r="AF1972" s="0" t="n">
        <v>25.43</v>
      </c>
      <c r="AG1972" s="22" t="b">
        <f aca="false">TRUE()</f>
        <v>1</v>
      </c>
      <c r="AH1972" s="0" t="n">
        <v>1</v>
      </c>
    </row>
    <row r="1973" customFormat="false" ht="15" hidden="false" customHeight="false" outlineLevel="0" collapsed="false">
      <c r="A1973" s="0" t="s">
        <v>2947</v>
      </c>
      <c r="B1973" s="0" t="s">
        <v>134</v>
      </c>
      <c r="C1973" s="0" t="s">
        <v>3447</v>
      </c>
      <c r="D1973" s="0" t="s">
        <v>3448</v>
      </c>
      <c r="E1973" s="20" t="s">
        <v>25</v>
      </c>
      <c r="F1973" s="23" t="s">
        <v>30</v>
      </c>
      <c r="G1973" s="21" t="s">
        <v>992</v>
      </c>
      <c r="H1973" s="21" t="s">
        <v>24</v>
      </c>
      <c r="I1973" s="21" t="s">
        <v>24</v>
      </c>
      <c r="J1973" s="21" t="s">
        <v>24</v>
      </c>
      <c r="K1973" s="21" t="s">
        <v>25</v>
      </c>
      <c r="L1973" s="21" t="s">
        <v>24</v>
      </c>
      <c r="M1973" s="0" t="n">
        <v>186</v>
      </c>
      <c r="N1973" s="0" t="n">
        <v>4</v>
      </c>
      <c r="O1973" s="21" t="s">
        <v>3600</v>
      </c>
      <c r="P1973" s="21" t="s">
        <v>4496</v>
      </c>
      <c r="Q1973" s="0" t="n">
        <v>0</v>
      </c>
      <c r="S1973" s="0" t="n">
        <v>4</v>
      </c>
      <c r="T1973" s="21" t="s">
        <v>3600</v>
      </c>
      <c r="U1973" s="22" t="b">
        <f aca="false">TRUE()</f>
        <v>1</v>
      </c>
      <c r="V1973" s="0" t="n">
        <v>0.76</v>
      </c>
      <c r="W1973" s="0" t="n">
        <v>0.16</v>
      </c>
      <c r="X1973" s="0" t="n">
        <v>11.4</v>
      </c>
      <c r="Y1973" s="0" t="n">
        <v>542.07</v>
      </c>
      <c r="Z1973" s="0" t="n">
        <v>9.25</v>
      </c>
      <c r="AA1973" s="0" t="n">
        <v>1.31</v>
      </c>
      <c r="AB1973" s="0" t="n">
        <v>3.99</v>
      </c>
      <c r="AC1973" s="22" t="b">
        <f aca="false">FALSE()</f>
        <v>0</v>
      </c>
      <c r="AD1973" s="0" t="n">
        <v>28.49</v>
      </c>
      <c r="AE1973" s="0" t="n">
        <v>14.05</v>
      </c>
      <c r="AF1973" s="0" t="n">
        <v>24.19</v>
      </c>
      <c r="AG1973" s="22" t="b">
        <f aca="false">TRUE()</f>
        <v>1</v>
      </c>
      <c r="AH1973" s="0" t="n">
        <v>1</v>
      </c>
    </row>
    <row r="1974" customFormat="false" ht="15" hidden="false" customHeight="false" outlineLevel="0" collapsed="false">
      <c r="A1974" s="0" t="s">
        <v>2953</v>
      </c>
      <c r="B1974" s="0" t="s">
        <v>134</v>
      </c>
      <c r="C1974" s="0" t="s">
        <v>3450</v>
      </c>
      <c r="D1974" s="0" t="s">
        <v>3457</v>
      </c>
      <c r="E1974" s="20" t="s">
        <v>25</v>
      </c>
      <c r="F1974" s="20" t="s">
        <v>29</v>
      </c>
      <c r="G1974" s="21" t="s">
        <v>62</v>
      </c>
      <c r="H1974" s="21" t="s">
        <v>24</v>
      </c>
      <c r="I1974" s="21" t="s">
        <v>24</v>
      </c>
      <c r="J1974" s="21" t="s">
        <v>24</v>
      </c>
      <c r="K1974" s="21" t="s">
        <v>25</v>
      </c>
      <c r="L1974" s="21" t="s">
        <v>24</v>
      </c>
      <c r="M1974" s="0" t="n">
        <v>184</v>
      </c>
      <c r="N1974" s="0" t="n">
        <v>0</v>
      </c>
      <c r="Q1974" s="0" t="n">
        <v>0</v>
      </c>
      <c r="S1974" s="0" t="n">
        <v>0</v>
      </c>
      <c r="U1974" s="22" t="b">
        <f aca="false">FALSE()</f>
        <v>0</v>
      </c>
      <c r="V1974" s="0" t="n">
        <v>0.7</v>
      </c>
      <c r="W1974" s="0" t="n">
        <v>0.64</v>
      </c>
      <c r="X1974" s="0" t="n">
        <v>6.7</v>
      </c>
      <c r="Y1974" s="0" t="n">
        <v>317.63</v>
      </c>
      <c r="Z1974" s="0" t="n">
        <v>9.58</v>
      </c>
      <c r="AA1974" s="0" t="n">
        <v>1.27</v>
      </c>
      <c r="AB1974" s="0" t="n">
        <v>4.07</v>
      </c>
      <c r="AC1974" s="22" t="b">
        <f aca="false">FALSE()</f>
        <v>0</v>
      </c>
      <c r="AD1974" s="0" t="n">
        <v>11.41</v>
      </c>
      <c r="AE1974" s="0" t="n">
        <v>0.55</v>
      </c>
      <c r="AF1974" s="0" t="n">
        <v>8.54</v>
      </c>
      <c r="AG1974" s="22" t="b">
        <f aca="false">TRUE()</f>
        <v>1</v>
      </c>
      <c r="AH1974" s="0" t="n">
        <v>1</v>
      </c>
    </row>
    <row r="1975" customFormat="false" ht="15" hidden="false" customHeight="false" outlineLevel="0" collapsed="false">
      <c r="A1975" s="0" t="s">
        <v>2953</v>
      </c>
      <c r="B1975" s="0" t="s">
        <v>134</v>
      </c>
      <c r="C1975" s="0" t="s">
        <v>3450</v>
      </c>
      <c r="D1975" s="0" t="s">
        <v>3448</v>
      </c>
      <c r="E1975" s="20" t="s">
        <v>25</v>
      </c>
      <c r="F1975" s="23" t="s">
        <v>30</v>
      </c>
      <c r="G1975" s="21" t="s">
        <v>2610</v>
      </c>
      <c r="H1975" s="21" t="s">
        <v>24</v>
      </c>
      <c r="I1975" s="21" t="s">
        <v>24</v>
      </c>
      <c r="J1975" s="21" t="s">
        <v>24</v>
      </c>
      <c r="K1975" s="21" t="s">
        <v>25</v>
      </c>
      <c r="L1975" s="21" t="s">
        <v>24</v>
      </c>
      <c r="M1975" s="0" t="n">
        <v>189</v>
      </c>
      <c r="N1975" s="0" t="n">
        <v>2</v>
      </c>
      <c r="O1975" s="21" t="s">
        <v>3524</v>
      </c>
      <c r="P1975" s="21" t="s">
        <v>4550</v>
      </c>
      <c r="Q1975" s="0" t="n">
        <v>0</v>
      </c>
      <c r="S1975" s="0" t="n">
        <v>2</v>
      </c>
      <c r="T1975" s="21" t="s">
        <v>3524</v>
      </c>
      <c r="U1975" s="22" t="b">
        <f aca="false">TRUE()</f>
        <v>1</v>
      </c>
      <c r="V1975" s="0" t="n">
        <v>0.72</v>
      </c>
      <c r="W1975" s="0" t="n">
        <v>0.96</v>
      </c>
      <c r="X1975" s="0" t="n">
        <v>7.22</v>
      </c>
      <c r="Y1975" s="0" t="n">
        <v>327.48</v>
      </c>
      <c r="Z1975" s="0" t="n">
        <v>9.75</v>
      </c>
      <c r="AA1975" s="0" t="n">
        <v>7.29</v>
      </c>
      <c r="AB1975" s="0" t="n">
        <v>0.07</v>
      </c>
      <c r="AC1975" s="22" t="b">
        <f aca="false">FALSE()</f>
        <v>0</v>
      </c>
      <c r="AD1975" s="0" t="n">
        <v>12.26</v>
      </c>
      <c r="AE1975" s="0" t="n">
        <v>0.27</v>
      </c>
      <c r="AF1975" s="0" t="n">
        <v>7.52</v>
      </c>
      <c r="AG1975" s="22" t="b">
        <f aca="false">TRUE()</f>
        <v>1</v>
      </c>
      <c r="AH1975" s="0" t="n">
        <v>1</v>
      </c>
    </row>
    <row r="1976" customFormat="false" ht="15" hidden="false" customHeight="false" outlineLevel="0" collapsed="false">
      <c r="A1976" s="0" t="s">
        <v>2953</v>
      </c>
      <c r="B1976" s="0" t="s">
        <v>134</v>
      </c>
      <c r="C1976" s="0" t="s">
        <v>3447</v>
      </c>
      <c r="D1976" s="0" t="s">
        <v>3457</v>
      </c>
      <c r="E1976" s="19" t="s">
        <v>26</v>
      </c>
      <c r="F1976" s="19" t="s">
        <v>32</v>
      </c>
      <c r="G1976" s="21" t="s">
        <v>60</v>
      </c>
      <c r="H1976" s="21" t="s">
        <v>24</v>
      </c>
      <c r="I1976" s="21" t="s">
        <v>26</v>
      </c>
      <c r="J1976" s="21" t="s">
        <v>24</v>
      </c>
      <c r="K1976" s="21" t="s">
        <v>24</v>
      </c>
      <c r="L1976" s="21" t="s">
        <v>24</v>
      </c>
      <c r="M1976" s="0" t="n">
        <v>190</v>
      </c>
      <c r="N1976" s="0" t="n">
        <v>7</v>
      </c>
      <c r="O1976" s="21" t="s">
        <v>3902</v>
      </c>
      <c r="P1976" s="21" t="s">
        <v>4884</v>
      </c>
      <c r="Q1976" s="0" t="n">
        <v>0</v>
      </c>
      <c r="S1976" s="0" t="n">
        <v>7</v>
      </c>
      <c r="T1976" s="21" t="s">
        <v>3902</v>
      </c>
      <c r="U1976" s="22" t="b">
        <f aca="false">FALSE()</f>
        <v>0</v>
      </c>
      <c r="V1976" s="0" t="n">
        <v>0.75</v>
      </c>
      <c r="W1976" s="0" t="n">
        <v>0.16</v>
      </c>
      <c r="X1976" s="0" t="n">
        <v>7.3</v>
      </c>
      <c r="Y1976" s="0" t="n">
        <v>563.72</v>
      </c>
      <c r="Z1976" s="0" t="n">
        <v>10.92</v>
      </c>
      <c r="AA1976" s="0" t="n">
        <v>1.36</v>
      </c>
      <c r="AB1976" s="0" t="n">
        <v>4.07</v>
      </c>
      <c r="AC1976" s="22" t="b">
        <f aca="false">FALSE()</f>
        <v>0</v>
      </c>
      <c r="AD1976" s="0" t="n">
        <v>16.5</v>
      </c>
      <c r="AE1976" s="0" t="n">
        <v>0.71</v>
      </c>
      <c r="AF1976" s="0" t="n">
        <v>11.16</v>
      </c>
      <c r="AG1976" s="22" t="b">
        <f aca="false">TRUE()</f>
        <v>1</v>
      </c>
      <c r="AH1976" s="0" t="n">
        <v>1</v>
      </c>
    </row>
    <row r="1977" customFormat="false" ht="15" hidden="false" customHeight="false" outlineLevel="0" collapsed="false">
      <c r="A1977" s="0" t="s">
        <v>2953</v>
      </c>
      <c r="B1977" s="0" t="s">
        <v>134</v>
      </c>
      <c r="C1977" s="0" t="s">
        <v>3447</v>
      </c>
      <c r="D1977" s="0" t="s">
        <v>3448</v>
      </c>
      <c r="E1977" s="20" t="s">
        <v>25</v>
      </c>
      <c r="F1977" s="23" t="s">
        <v>30</v>
      </c>
      <c r="G1977" s="21" t="s">
        <v>2610</v>
      </c>
      <c r="H1977" s="21" t="s">
        <v>24</v>
      </c>
      <c r="I1977" s="21" t="s">
        <v>24</v>
      </c>
      <c r="J1977" s="21" t="s">
        <v>24</v>
      </c>
      <c r="K1977" s="21" t="s">
        <v>25</v>
      </c>
      <c r="L1977" s="21" t="s">
        <v>24</v>
      </c>
      <c r="M1977" s="0" t="n">
        <v>212</v>
      </c>
      <c r="N1977" s="0" t="n">
        <v>4</v>
      </c>
      <c r="O1977" s="21" t="s">
        <v>3625</v>
      </c>
      <c r="P1977" s="21" t="s">
        <v>4885</v>
      </c>
      <c r="Q1977" s="0" t="n">
        <v>0</v>
      </c>
      <c r="S1977" s="0" t="n">
        <v>4</v>
      </c>
      <c r="T1977" s="21" t="s">
        <v>3625</v>
      </c>
      <c r="U1977" s="22" t="b">
        <f aca="false">TRUE()</f>
        <v>1</v>
      </c>
      <c r="V1977" s="0" t="n">
        <v>0.77</v>
      </c>
      <c r="W1977" s="0" t="n">
        <v>0.88</v>
      </c>
      <c r="X1977" s="0" t="n">
        <v>9.26</v>
      </c>
      <c r="Y1977" s="0" t="n">
        <v>368.62</v>
      </c>
      <c r="Z1977" s="0" t="n">
        <v>8</v>
      </c>
      <c r="AA1977" s="0" t="n">
        <v>-1.21</v>
      </c>
      <c r="AB1977" s="0" t="n">
        <v>0.07</v>
      </c>
      <c r="AC1977" s="22" t="b">
        <f aca="false">FALSE()</f>
        <v>0</v>
      </c>
      <c r="AD1977" s="0" t="n">
        <v>2.27</v>
      </c>
      <c r="AE1977" s="0" t="n">
        <v>0.28</v>
      </c>
      <c r="AF1977" s="0" t="n">
        <v>1.36</v>
      </c>
      <c r="AG1977" s="22" t="b">
        <f aca="false">FALSE()</f>
        <v>0</v>
      </c>
      <c r="AH1977" s="0" t="n">
        <v>1</v>
      </c>
    </row>
    <row r="1978" customFormat="false" ht="15" hidden="false" customHeight="false" outlineLevel="0" collapsed="false">
      <c r="A1978" s="0" t="s">
        <v>2959</v>
      </c>
      <c r="B1978" s="0" t="s">
        <v>134</v>
      </c>
      <c r="C1978" s="0" t="s">
        <v>3450</v>
      </c>
      <c r="D1978" s="0" t="s">
        <v>3457</v>
      </c>
      <c r="E1978" s="18" t="s">
        <v>24</v>
      </c>
      <c r="F1978" s="18" t="s">
        <v>28</v>
      </c>
      <c r="H1978" s="21" t="s">
        <v>24</v>
      </c>
      <c r="I1978" s="21" t="s">
        <v>24</v>
      </c>
      <c r="J1978" s="21" t="s">
        <v>24</v>
      </c>
      <c r="K1978" s="21" t="s">
        <v>24</v>
      </c>
      <c r="L1978" s="21" t="s">
        <v>24</v>
      </c>
      <c r="M1978" s="0" t="n">
        <v>185</v>
      </c>
      <c r="N1978" s="0" t="n">
        <v>0</v>
      </c>
      <c r="Q1978" s="0" t="n">
        <v>0</v>
      </c>
      <c r="S1978" s="0" t="n">
        <v>0</v>
      </c>
      <c r="U1978" s="22" t="b">
        <f aca="false">FALSE()</f>
        <v>0</v>
      </c>
      <c r="V1978" s="0" t="n">
        <v>0.66</v>
      </c>
      <c r="W1978" s="0" t="n">
        <v>0.8</v>
      </c>
      <c r="X1978" s="0" t="n">
        <v>9.63</v>
      </c>
      <c r="Y1978" s="0" t="n">
        <v>311.58</v>
      </c>
      <c r="Z1978" s="0" t="n">
        <v>10</v>
      </c>
      <c r="AA1978" s="0" t="n">
        <v>14.66</v>
      </c>
      <c r="AB1978" s="0" t="n">
        <v>7.26</v>
      </c>
      <c r="AC1978" s="22" t="b">
        <f aca="false">FALSE()</f>
        <v>0</v>
      </c>
      <c r="AD1978" s="0" t="n">
        <v>12.93</v>
      </c>
      <c r="AE1978" s="0" t="n">
        <v>4.91</v>
      </c>
      <c r="AF1978" s="0" t="n">
        <v>14.32</v>
      </c>
      <c r="AG1978" s="22" t="b">
        <f aca="false">TRUE()</f>
        <v>1</v>
      </c>
      <c r="AH1978" s="0" t="n">
        <v>1</v>
      </c>
    </row>
    <row r="1979" customFormat="false" ht="15" hidden="false" customHeight="false" outlineLevel="0" collapsed="false">
      <c r="A1979" s="0" t="s">
        <v>2959</v>
      </c>
      <c r="B1979" s="0" t="s">
        <v>134</v>
      </c>
      <c r="C1979" s="0" t="s">
        <v>3450</v>
      </c>
      <c r="D1979" s="0" t="s">
        <v>3448</v>
      </c>
      <c r="E1979" s="20" t="s">
        <v>25</v>
      </c>
      <c r="F1979" s="23" t="s">
        <v>30</v>
      </c>
      <c r="G1979" s="21" t="s">
        <v>183</v>
      </c>
      <c r="H1979" s="21" t="s">
        <v>24</v>
      </c>
      <c r="I1979" s="21" t="s">
        <v>25</v>
      </c>
      <c r="J1979" s="21" t="s">
        <v>24</v>
      </c>
      <c r="K1979" s="21" t="s">
        <v>25</v>
      </c>
      <c r="L1979" s="21" t="s">
        <v>24</v>
      </c>
      <c r="M1979" s="0" t="n">
        <v>183</v>
      </c>
      <c r="N1979" s="0" t="n">
        <v>2</v>
      </c>
      <c r="O1979" s="21" t="s">
        <v>3575</v>
      </c>
      <c r="P1979" s="21" t="s">
        <v>4265</v>
      </c>
      <c r="Q1979" s="0" t="n">
        <v>1</v>
      </c>
      <c r="R1979" s="21" t="s">
        <v>69</v>
      </c>
      <c r="S1979" s="0" t="n">
        <v>2</v>
      </c>
      <c r="T1979" s="21" t="s">
        <v>3575</v>
      </c>
      <c r="U1979" s="22" t="b">
        <f aca="false">TRUE()</f>
        <v>1</v>
      </c>
      <c r="V1979" s="0" t="n">
        <v>0.71</v>
      </c>
      <c r="W1979" s="0" t="n">
        <v>0.72</v>
      </c>
      <c r="X1979" s="0" t="n">
        <v>10.64</v>
      </c>
      <c r="Y1979" s="0" t="n">
        <v>320.05</v>
      </c>
      <c r="Z1979" s="0" t="n">
        <v>10.25</v>
      </c>
      <c r="AA1979" s="0" t="n">
        <v>16.33</v>
      </c>
      <c r="AB1979" s="0" t="n">
        <v>3.9</v>
      </c>
      <c r="AC1979" s="22" t="b">
        <f aca="false">FALSE()</f>
        <v>0</v>
      </c>
      <c r="AD1979" s="0" t="n">
        <v>20.26</v>
      </c>
      <c r="AE1979" s="0" t="n">
        <v>8.62</v>
      </c>
      <c r="AF1979" s="0" t="n">
        <v>18.78</v>
      </c>
      <c r="AG1979" s="22" t="b">
        <f aca="false">TRUE()</f>
        <v>1</v>
      </c>
      <c r="AH1979" s="0" t="n">
        <v>1</v>
      </c>
    </row>
    <row r="1980" customFormat="false" ht="15" hidden="false" customHeight="false" outlineLevel="0" collapsed="false">
      <c r="A1980" s="0" t="s">
        <v>2959</v>
      </c>
      <c r="B1980" s="0" t="s">
        <v>134</v>
      </c>
      <c r="C1980" s="0" t="s">
        <v>3447</v>
      </c>
      <c r="D1980" s="0" t="s">
        <v>3457</v>
      </c>
      <c r="E1980" s="18" t="s">
        <v>24</v>
      </c>
      <c r="F1980" s="18" t="s">
        <v>28</v>
      </c>
      <c r="H1980" s="21" t="s">
        <v>24</v>
      </c>
      <c r="I1980" s="21" t="s">
        <v>24</v>
      </c>
      <c r="J1980" s="21" t="s">
        <v>24</v>
      </c>
      <c r="K1980" s="21" t="s">
        <v>24</v>
      </c>
      <c r="L1980" s="21" t="s">
        <v>24</v>
      </c>
      <c r="M1980" s="0" t="n">
        <v>185</v>
      </c>
      <c r="N1980" s="0" t="n">
        <v>0</v>
      </c>
      <c r="Q1980" s="0" t="n">
        <v>0</v>
      </c>
      <c r="S1980" s="0" t="n">
        <v>0</v>
      </c>
      <c r="U1980" s="22" t="b">
        <f aca="false">FALSE()</f>
        <v>0</v>
      </c>
      <c r="V1980" s="0" t="n">
        <v>0.71</v>
      </c>
      <c r="W1980" s="0" t="n">
        <v>0.56</v>
      </c>
      <c r="X1980" s="0" t="n">
        <v>7.85</v>
      </c>
      <c r="Y1980" s="0" t="n">
        <v>319.68</v>
      </c>
      <c r="Z1980" s="0" t="n">
        <v>10.58</v>
      </c>
      <c r="AA1980" s="0" t="n">
        <v>4.6</v>
      </c>
      <c r="AB1980" s="0" t="n">
        <v>7.26</v>
      </c>
      <c r="AC1980" s="22" t="b">
        <f aca="false">FALSE()</f>
        <v>0</v>
      </c>
      <c r="AD1980" s="0" t="n">
        <v>16.98</v>
      </c>
      <c r="AE1980" s="0" t="n">
        <v>5.85</v>
      </c>
      <c r="AF1980" s="0" t="n">
        <v>17.19</v>
      </c>
      <c r="AG1980" s="22" t="b">
        <f aca="false">TRUE()</f>
        <v>1</v>
      </c>
      <c r="AH1980" s="0" t="n">
        <v>1</v>
      </c>
    </row>
    <row r="1981" customFormat="false" ht="15" hidden="false" customHeight="false" outlineLevel="0" collapsed="false">
      <c r="A1981" s="0" t="s">
        <v>2959</v>
      </c>
      <c r="B1981" s="0" t="s">
        <v>134</v>
      </c>
      <c r="C1981" s="0" t="s">
        <v>3447</v>
      </c>
      <c r="D1981" s="0" t="s">
        <v>3448</v>
      </c>
      <c r="E1981" s="20" t="s">
        <v>25</v>
      </c>
      <c r="F1981" s="23" t="s">
        <v>30</v>
      </c>
      <c r="G1981" s="21" t="s">
        <v>992</v>
      </c>
      <c r="H1981" s="21" t="s">
        <v>24</v>
      </c>
      <c r="I1981" s="21" t="s">
        <v>24</v>
      </c>
      <c r="J1981" s="21" t="s">
        <v>24</v>
      </c>
      <c r="K1981" s="21" t="s">
        <v>25</v>
      </c>
      <c r="L1981" s="21" t="s">
        <v>24</v>
      </c>
      <c r="M1981" s="0" t="n">
        <v>182</v>
      </c>
      <c r="N1981" s="0" t="n">
        <v>1</v>
      </c>
      <c r="O1981" s="21" t="s">
        <v>3481</v>
      </c>
      <c r="P1981" s="21" t="s">
        <v>4251</v>
      </c>
      <c r="Q1981" s="0" t="n">
        <v>0</v>
      </c>
      <c r="S1981" s="0" t="n">
        <v>1</v>
      </c>
      <c r="T1981" s="21" t="s">
        <v>3481</v>
      </c>
      <c r="U1981" s="22" t="b">
        <f aca="false">TRUE()</f>
        <v>1</v>
      </c>
      <c r="V1981" s="0" t="n">
        <v>0.78</v>
      </c>
      <c r="W1981" s="0" t="n">
        <v>0</v>
      </c>
      <c r="X1981" s="0" t="n">
        <v>8.87</v>
      </c>
      <c r="Y1981" s="0" t="n">
        <v>9.62</v>
      </c>
      <c r="Z1981" s="0" t="n">
        <v>11</v>
      </c>
      <c r="AA1981" s="0" t="n">
        <v>10.54</v>
      </c>
      <c r="AB1981" s="0" t="n">
        <v>3.9</v>
      </c>
      <c r="AC1981" s="22" t="b">
        <f aca="false">FALSE()</f>
        <v>0</v>
      </c>
      <c r="AD1981" s="0" t="n">
        <v>22.42</v>
      </c>
      <c r="AE1981" s="0" t="n">
        <v>10.1</v>
      </c>
      <c r="AF1981" s="0" t="n">
        <v>20.81</v>
      </c>
      <c r="AG1981" s="22" t="b">
        <f aca="false">TRUE()</f>
        <v>1</v>
      </c>
      <c r="AH1981" s="0" t="n">
        <v>0</v>
      </c>
    </row>
    <row r="1982" customFormat="false" ht="15" hidden="false" customHeight="false" outlineLevel="0" collapsed="false">
      <c r="A1982" s="0" t="s">
        <v>2965</v>
      </c>
      <c r="B1982" s="0" t="s">
        <v>134</v>
      </c>
      <c r="C1982" s="0" t="s">
        <v>3450</v>
      </c>
      <c r="D1982" s="0" t="s">
        <v>3457</v>
      </c>
      <c r="E1982" s="18" t="s">
        <v>24</v>
      </c>
      <c r="F1982" s="23" t="s">
        <v>30</v>
      </c>
      <c r="G1982" s="21" t="s">
        <v>30</v>
      </c>
      <c r="H1982" s="21" t="s">
        <v>24</v>
      </c>
      <c r="I1982" s="21" t="s">
        <v>24</v>
      </c>
      <c r="J1982" s="21" t="s">
        <v>24</v>
      </c>
      <c r="K1982" s="21" t="s">
        <v>24</v>
      </c>
      <c r="L1982" s="21" t="s">
        <v>24</v>
      </c>
      <c r="M1982" s="0" t="n">
        <v>195</v>
      </c>
      <c r="N1982" s="0" t="n">
        <v>2</v>
      </c>
      <c r="O1982" s="21" t="s">
        <v>3535</v>
      </c>
      <c r="P1982" s="21" t="s">
        <v>4886</v>
      </c>
      <c r="Q1982" s="0" t="n">
        <v>0</v>
      </c>
      <c r="S1982" s="0" t="n">
        <v>2</v>
      </c>
      <c r="T1982" s="21" t="s">
        <v>3535</v>
      </c>
      <c r="U1982" s="22" t="b">
        <f aca="false">TRUE()</f>
        <v>1</v>
      </c>
      <c r="V1982" s="0" t="n">
        <v>0.74</v>
      </c>
      <c r="W1982" s="0" t="n">
        <v>0.72</v>
      </c>
      <c r="X1982" s="0" t="n">
        <v>8.14</v>
      </c>
      <c r="Y1982" s="0" t="n">
        <v>340.08</v>
      </c>
      <c r="Z1982" s="0" t="n">
        <v>10.25</v>
      </c>
      <c r="AA1982" s="0" t="n">
        <v>16.97</v>
      </c>
      <c r="AB1982" s="0" t="n">
        <v>13.67</v>
      </c>
      <c r="AC1982" s="22" t="b">
        <f aca="false">FALSE()</f>
        <v>0</v>
      </c>
      <c r="AD1982" s="0" t="n">
        <v>14.67</v>
      </c>
      <c r="AE1982" s="0" t="n">
        <v>1.13</v>
      </c>
      <c r="AF1982" s="0" t="n">
        <v>8.71</v>
      </c>
      <c r="AG1982" s="22" t="b">
        <f aca="false">TRUE()</f>
        <v>1</v>
      </c>
      <c r="AH1982" s="0" t="n">
        <v>1</v>
      </c>
    </row>
    <row r="1983" customFormat="false" ht="15" hidden="false" customHeight="false" outlineLevel="0" collapsed="false">
      <c r="A1983" s="0" t="s">
        <v>2965</v>
      </c>
      <c r="B1983" s="0" t="s">
        <v>134</v>
      </c>
      <c r="C1983" s="0" t="s">
        <v>3450</v>
      </c>
      <c r="D1983" s="0" t="s">
        <v>3448</v>
      </c>
      <c r="E1983" s="18" t="s">
        <v>24</v>
      </c>
      <c r="F1983" s="23" t="s">
        <v>30</v>
      </c>
      <c r="G1983" s="21" t="s">
        <v>30</v>
      </c>
      <c r="H1983" s="21" t="s">
        <v>24</v>
      </c>
      <c r="I1983" s="21" t="s">
        <v>24</v>
      </c>
      <c r="J1983" s="21" t="s">
        <v>24</v>
      </c>
      <c r="K1983" s="21" t="s">
        <v>24</v>
      </c>
      <c r="L1983" s="21" t="s">
        <v>24</v>
      </c>
      <c r="M1983" s="0" t="n">
        <v>184</v>
      </c>
      <c r="N1983" s="0" t="n">
        <v>1</v>
      </c>
      <c r="O1983" s="21" t="s">
        <v>3483</v>
      </c>
      <c r="P1983" s="21" t="s">
        <v>4556</v>
      </c>
      <c r="Q1983" s="0" t="n">
        <v>0</v>
      </c>
      <c r="S1983" s="0" t="n">
        <v>1</v>
      </c>
      <c r="T1983" s="21" t="s">
        <v>3483</v>
      </c>
      <c r="U1983" s="22" t="b">
        <f aca="false">TRUE()</f>
        <v>1</v>
      </c>
      <c r="V1983" s="0" t="n">
        <v>0.75</v>
      </c>
      <c r="W1983" s="0" t="n">
        <v>0</v>
      </c>
      <c r="X1983" s="0" t="n">
        <v>9.2</v>
      </c>
      <c r="Y1983" s="0" t="n">
        <v>2.06</v>
      </c>
      <c r="Z1983" s="0" t="n">
        <v>10</v>
      </c>
      <c r="AA1983" s="0" t="n">
        <v>18.34</v>
      </c>
      <c r="AB1983" s="0" t="n">
        <v>27.73</v>
      </c>
      <c r="AC1983" s="22" t="b">
        <f aca="false">FALSE()</f>
        <v>0</v>
      </c>
      <c r="AD1983" s="0" t="n">
        <v>15.39</v>
      </c>
      <c r="AE1983" s="0" t="n">
        <v>1.56</v>
      </c>
      <c r="AF1983" s="0" t="n">
        <v>9.6</v>
      </c>
      <c r="AG1983" s="22" t="b">
        <f aca="false">TRUE()</f>
        <v>1</v>
      </c>
      <c r="AH1983" s="0" t="n">
        <v>0</v>
      </c>
    </row>
    <row r="1984" customFormat="false" ht="15" hidden="false" customHeight="false" outlineLevel="0" collapsed="false">
      <c r="A1984" s="0" t="s">
        <v>2965</v>
      </c>
      <c r="B1984" s="0" t="s">
        <v>134</v>
      </c>
      <c r="C1984" s="0" t="s">
        <v>3447</v>
      </c>
      <c r="D1984" s="0" t="s">
        <v>3457</v>
      </c>
      <c r="E1984" s="18" t="s">
        <v>24</v>
      </c>
      <c r="F1984" s="23" t="s">
        <v>30</v>
      </c>
      <c r="G1984" s="21" t="s">
        <v>30</v>
      </c>
      <c r="H1984" s="21" t="s">
        <v>24</v>
      </c>
      <c r="I1984" s="21" t="s">
        <v>24</v>
      </c>
      <c r="J1984" s="21" t="s">
        <v>24</v>
      </c>
      <c r="K1984" s="21" t="s">
        <v>24</v>
      </c>
      <c r="L1984" s="21" t="s">
        <v>24</v>
      </c>
      <c r="M1984" s="0" t="n">
        <v>183</v>
      </c>
      <c r="N1984" s="0" t="n">
        <v>6</v>
      </c>
      <c r="O1984" s="21" t="s">
        <v>3741</v>
      </c>
      <c r="P1984" s="21" t="s">
        <v>4887</v>
      </c>
      <c r="Q1984" s="0" t="n">
        <v>0</v>
      </c>
      <c r="S1984" s="0" t="n">
        <v>6</v>
      </c>
      <c r="T1984" s="21" t="s">
        <v>3741</v>
      </c>
      <c r="U1984" s="22" t="b">
        <f aca="false">TRUE()</f>
        <v>1</v>
      </c>
      <c r="V1984" s="0" t="n">
        <v>0.81</v>
      </c>
      <c r="W1984" s="0" t="n">
        <v>0.12</v>
      </c>
      <c r="X1984" s="0" t="n">
        <v>8.32</v>
      </c>
      <c r="Y1984" s="0" t="n">
        <v>616.09</v>
      </c>
      <c r="Z1984" s="0" t="n">
        <v>9.75</v>
      </c>
      <c r="AA1984" s="0" t="n">
        <v>1.54</v>
      </c>
      <c r="AB1984" s="0" t="n">
        <v>13.67</v>
      </c>
      <c r="AC1984" s="22" t="b">
        <f aca="false">FALSE()</f>
        <v>0</v>
      </c>
      <c r="AD1984" s="0" t="n">
        <v>10.96</v>
      </c>
      <c r="AE1984" s="0" t="n">
        <v>0.21</v>
      </c>
      <c r="AF1984" s="0" t="n">
        <v>6.99</v>
      </c>
      <c r="AG1984" s="22" t="b">
        <f aca="false">TRUE()</f>
        <v>1</v>
      </c>
      <c r="AH1984" s="0" t="n">
        <v>1</v>
      </c>
    </row>
    <row r="1985" customFormat="false" ht="15" hidden="false" customHeight="false" outlineLevel="0" collapsed="false">
      <c r="A1985" s="0" t="s">
        <v>2965</v>
      </c>
      <c r="B1985" s="0" t="s">
        <v>134</v>
      </c>
      <c r="C1985" s="0" t="s">
        <v>3447</v>
      </c>
      <c r="D1985" s="0" t="s">
        <v>3448</v>
      </c>
      <c r="E1985" s="20" t="s">
        <v>25</v>
      </c>
      <c r="F1985" s="23" t="s">
        <v>30</v>
      </c>
      <c r="G1985" s="21" t="s">
        <v>283</v>
      </c>
      <c r="H1985" s="21" t="s">
        <v>24</v>
      </c>
      <c r="I1985" s="21" t="s">
        <v>25</v>
      </c>
      <c r="J1985" s="21" t="s">
        <v>24</v>
      </c>
      <c r="K1985" s="21" t="s">
        <v>24</v>
      </c>
      <c r="L1985" s="21" t="s">
        <v>24</v>
      </c>
      <c r="M1985" s="0" t="n">
        <v>185</v>
      </c>
      <c r="N1985" s="0" t="n">
        <v>4</v>
      </c>
      <c r="O1985" s="21" t="s">
        <v>3725</v>
      </c>
      <c r="P1985" s="21" t="s">
        <v>4888</v>
      </c>
      <c r="Q1985" s="0" t="n">
        <v>1</v>
      </c>
      <c r="R1985" s="21" t="s">
        <v>69</v>
      </c>
      <c r="S1985" s="0" t="n">
        <v>4</v>
      </c>
      <c r="T1985" s="21" t="s">
        <v>3725</v>
      </c>
      <c r="U1985" s="22" t="b">
        <f aca="false">TRUE()</f>
        <v>1</v>
      </c>
      <c r="V1985" s="0" t="n">
        <v>0.84</v>
      </c>
      <c r="W1985" s="0" t="n">
        <v>0.6</v>
      </c>
      <c r="X1985" s="0" t="n">
        <v>8.74</v>
      </c>
      <c r="Y1985" s="0" t="n">
        <v>322.6</v>
      </c>
      <c r="Z1985" s="0" t="n">
        <v>8</v>
      </c>
      <c r="AA1985" s="0" t="n">
        <v>-0.99</v>
      </c>
      <c r="AB1985" s="0" t="n">
        <v>27.73</v>
      </c>
      <c r="AC1985" s="22" t="b">
        <f aca="false">FALSE()</f>
        <v>0</v>
      </c>
      <c r="AD1985" s="0" t="n">
        <v>11.8</v>
      </c>
      <c r="AE1985" s="0" t="n">
        <v>3.37</v>
      </c>
      <c r="AF1985" s="0" t="n">
        <v>3.91</v>
      </c>
      <c r="AG1985" s="22" t="b">
        <f aca="false">TRUE()</f>
        <v>1</v>
      </c>
      <c r="AH1985" s="0" t="n">
        <v>1</v>
      </c>
    </row>
    <row r="1986" customFormat="false" ht="15" hidden="false" customHeight="false" outlineLevel="0" collapsed="false">
      <c r="A1986" s="0" t="s">
        <v>2965</v>
      </c>
      <c r="B1986" s="0" t="s">
        <v>3459</v>
      </c>
      <c r="C1986" s="0" t="s">
        <v>3450</v>
      </c>
      <c r="D1986" s="0" t="s">
        <v>3457</v>
      </c>
      <c r="E1986" s="18" t="s">
        <v>24</v>
      </c>
      <c r="F1986" s="23" t="s">
        <v>30</v>
      </c>
      <c r="G1986" s="21" t="s">
        <v>30</v>
      </c>
      <c r="H1986" s="21" t="s">
        <v>24</v>
      </c>
      <c r="I1986" s="21" t="s">
        <v>24</v>
      </c>
      <c r="J1986" s="21" t="s">
        <v>24</v>
      </c>
      <c r="K1986" s="21" t="s">
        <v>24</v>
      </c>
      <c r="L1986" s="21" t="s">
        <v>24</v>
      </c>
      <c r="M1986" s="0" t="n">
        <v>184</v>
      </c>
      <c r="N1986" s="0" t="n">
        <v>1</v>
      </c>
      <c r="O1986" s="21" t="s">
        <v>3491</v>
      </c>
      <c r="P1986" s="21" t="s">
        <v>4299</v>
      </c>
      <c r="Q1986" s="0" t="n">
        <v>0</v>
      </c>
      <c r="S1986" s="0" t="n">
        <v>1</v>
      </c>
      <c r="T1986" s="21" t="s">
        <v>3491</v>
      </c>
      <c r="U1986" s="22" t="b">
        <f aca="false">TRUE()</f>
        <v>1</v>
      </c>
      <c r="V1986" s="0" t="n">
        <v>0.75</v>
      </c>
      <c r="W1986" s="0" t="n">
        <v>0.48</v>
      </c>
      <c r="X1986" s="0" t="n">
        <v>9.06</v>
      </c>
      <c r="Y1986" s="0" t="n">
        <v>312.15</v>
      </c>
      <c r="Z1986" s="0" t="n">
        <v>10.67</v>
      </c>
      <c r="AA1986" s="0" t="n">
        <v>15.86</v>
      </c>
      <c r="AB1986" s="0" t="n">
        <v>7.7</v>
      </c>
      <c r="AC1986" s="22" t="b">
        <f aca="false">FALSE()</f>
        <v>0</v>
      </c>
      <c r="AD1986" s="0" t="n">
        <v>18.12</v>
      </c>
      <c r="AE1986" s="0" t="n">
        <v>7.22</v>
      </c>
      <c r="AF1986" s="0" t="n">
        <v>14.28</v>
      </c>
      <c r="AG1986" s="22" t="b">
        <f aca="false">TRUE()</f>
        <v>1</v>
      </c>
      <c r="AH1986" s="0" t="n">
        <v>1</v>
      </c>
    </row>
    <row r="1987" customFormat="false" ht="15" hidden="false" customHeight="false" outlineLevel="0" collapsed="false">
      <c r="A1987" s="0" t="s">
        <v>2965</v>
      </c>
      <c r="B1987" s="0" t="s">
        <v>3459</v>
      </c>
      <c r="C1987" s="0" t="s">
        <v>3450</v>
      </c>
      <c r="D1987" s="0" t="s">
        <v>3448</v>
      </c>
      <c r="E1987" s="20" t="s">
        <v>25</v>
      </c>
      <c r="F1987" s="20" t="s">
        <v>29</v>
      </c>
      <c r="G1987" s="21" t="s">
        <v>61</v>
      </c>
      <c r="H1987" s="21" t="s">
        <v>24</v>
      </c>
      <c r="I1987" s="21" t="s">
        <v>24</v>
      </c>
      <c r="J1987" s="21" t="s">
        <v>24</v>
      </c>
      <c r="K1987" s="21" t="s">
        <v>25</v>
      </c>
      <c r="L1987" s="21" t="s">
        <v>24</v>
      </c>
      <c r="M1987" s="0" t="n">
        <v>213</v>
      </c>
      <c r="N1987" s="0" t="n">
        <v>0</v>
      </c>
      <c r="Q1987" s="0" t="n">
        <v>0</v>
      </c>
      <c r="S1987" s="0" t="n">
        <v>0</v>
      </c>
      <c r="U1987" s="22" t="b">
        <f aca="false">FALSE()</f>
        <v>0</v>
      </c>
      <c r="V1987" s="0" t="n">
        <v>0.8</v>
      </c>
      <c r="W1987" s="0" t="n">
        <v>0.76</v>
      </c>
      <c r="X1987" s="0" t="n">
        <v>8.47</v>
      </c>
      <c r="Y1987" s="0" t="n">
        <v>362.7</v>
      </c>
      <c r="Z1987" s="0" t="n">
        <v>10.25</v>
      </c>
      <c r="AA1987" s="0" t="n">
        <v>14.88</v>
      </c>
      <c r="AB1987" s="0" t="n">
        <v>4.2</v>
      </c>
      <c r="AC1987" s="22" t="b">
        <f aca="false">FALSE()</f>
        <v>0</v>
      </c>
      <c r="AD1987" s="0" t="n">
        <v>21.04</v>
      </c>
      <c r="AE1987" s="0" t="n">
        <v>10.27</v>
      </c>
      <c r="AF1987" s="0" t="n">
        <v>19.2</v>
      </c>
      <c r="AG1987" s="22" t="b">
        <f aca="false">TRUE()</f>
        <v>1</v>
      </c>
      <c r="AH1987" s="0" t="n">
        <v>1</v>
      </c>
    </row>
    <row r="1988" customFormat="false" ht="15" hidden="false" customHeight="false" outlineLevel="0" collapsed="false">
      <c r="A1988" s="0" t="s">
        <v>2965</v>
      </c>
      <c r="B1988" s="0" t="s">
        <v>3459</v>
      </c>
      <c r="C1988" s="0" t="s">
        <v>3447</v>
      </c>
      <c r="D1988" s="0" t="s">
        <v>3457</v>
      </c>
      <c r="E1988" s="18" t="s">
        <v>24</v>
      </c>
      <c r="F1988" s="18" t="s">
        <v>28</v>
      </c>
      <c r="H1988" s="21" t="s">
        <v>24</v>
      </c>
      <c r="I1988" s="21" t="s">
        <v>24</v>
      </c>
      <c r="J1988" s="21" t="s">
        <v>24</v>
      </c>
      <c r="K1988" s="21" t="s">
        <v>24</v>
      </c>
      <c r="L1988" s="21" t="s">
        <v>24</v>
      </c>
      <c r="M1988" s="0" t="n">
        <v>219</v>
      </c>
      <c r="N1988" s="0" t="n">
        <v>0</v>
      </c>
      <c r="Q1988" s="0" t="n">
        <v>0</v>
      </c>
      <c r="S1988" s="0" t="n">
        <v>0</v>
      </c>
      <c r="U1988" s="22" t="b">
        <f aca="false">FALSE()</f>
        <v>0</v>
      </c>
      <c r="V1988" s="0" t="n">
        <v>0.8</v>
      </c>
      <c r="W1988" s="0" t="n">
        <v>0.32</v>
      </c>
      <c r="X1988" s="0" t="n">
        <v>8.7</v>
      </c>
      <c r="Y1988" s="0" t="n">
        <v>450.87</v>
      </c>
      <c r="Z1988" s="0" t="n">
        <v>9.83</v>
      </c>
      <c r="AA1988" s="0" t="n">
        <v>5.46</v>
      </c>
      <c r="AB1988" s="0" t="n">
        <v>7.7</v>
      </c>
      <c r="AC1988" s="22" t="b">
        <f aca="false">FALSE()</f>
        <v>0</v>
      </c>
      <c r="AD1988" s="0" t="n">
        <v>19.84</v>
      </c>
      <c r="AE1988" s="0" t="n">
        <v>8.64</v>
      </c>
      <c r="AF1988" s="0" t="n">
        <v>16.23</v>
      </c>
      <c r="AG1988" s="22" t="b">
        <f aca="false">TRUE()</f>
        <v>1</v>
      </c>
      <c r="AH1988" s="0" t="n">
        <v>1</v>
      </c>
    </row>
    <row r="1989" customFormat="false" ht="15" hidden="false" customHeight="false" outlineLevel="0" collapsed="false">
      <c r="A1989" s="0" t="s">
        <v>2965</v>
      </c>
      <c r="B1989" s="0" t="s">
        <v>3459</v>
      </c>
      <c r="C1989" s="0" t="s">
        <v>3447</v>
      </c>
      <c r="D1989" s="0" t="s">
        <v>3448</v>
      </c>
      <c r="E1989" s="20" t="s">
        <v>25</v>
      </c>
      <c r="F1989" s="23" t="s">
        <v>30</v>
      </c>
      <c r="G1989" s="21" t="s">
        <v>283</v>
      </c>
      <c r="H1989" s="21" t="s">
        <v>24</v>
      </c>
      <c r="I1989" s="21" t="s">
        <v>25</v>
      </c>
      <c r="J1989" s="21" t="s">
        <v>24</v>
      </c>
      <c r="K1989" s="21" t="s">
        <v>24</v>
      </c>
      <c r="L1989" s="21" t="s">
        <v>24</v>
      </c>
      <c r="M1989" s="0" t="n">
        <v>184</v>
      </c>
      <c r="N1989" s="0" t="n">
        <v>2</v>
      </c>
      <c r="O1989" s="21" t="s">
        <v>3566</v>
      </c>
      <c r="P1989" s="21" t="s">
        <v>4238</v>
      </c>
      <c r="Q1989" s="0" t="n">
        <v>1</v>
      </c>
      <c r="R1989" s="21" t="s">
        <v>69</v>
      </c>
      <c r="S1989" s="0" t="n">
        <v>2</v>
      </c>
      <c r="T1989" s="21" t="s">
        <v>3566</v>
      </c>
      <c r="U1989" s="22" t="b">
        <f aca="false">TRUE()</f>
        <v>1</v>
      </c>
      <c r="V1989" s="0" t="n">
        <v>0.82</v>
      </c>
      <c r="W1989" s="0" t="n">
        <v>0.28</v>
      </c>
      <c r="X1989" s="0" t="n">
        <v>8.89</v>
      </c>
      <c r="Y1989" s="0" t="n">
        <v>399.99</v>
      </c>
      <c r="Z1989" s="0" t="n">
        <v>10</v>
      </c>
      <c r="AA1989" s="0" t="n">
        <v>7.51</v>
      </c>
      <c r="AB1989" s="0" t="n">
        <v>4.2</v>
      </c>
      <c r="AC1989" s="22" t="b">
        <f aca="false">FALSE()</f>
        <v>0</v>
      </c>
      <c r="AD1989" s="0" t="n">
        <v>19.78</v>
      </c>
      <c r="AE1989" s="0" t="n">
        <v>7.8</v>
      </c>
      <c r="AF1989" s="0" t="n">
        <v>17.22</v>
      </c>
      <c r="AG1989" s="22" t="b">
        <f aca="false">TRUE()</f>
        <v>1</v>
      </c>
      <c r="AH1989" s="0" t="n">
        <v>1</v>
      </c>
    </row>
    <row r="1990" customFormat="false" ht="15" hidden="false" customHeight="false" outlineLevel="0" collapsed="false">
      <c r="A1990" s="0" t="s">
        <v>2973</v>
      </c>
      <c r="B1990" s="0" t="s">
        <v>134</v>
      </c>
      <c r="C1990" s="0" t="s">
        <v>3450</v>
      </c>
      <c r="D1990" s="0" t="s">
        <v>3457</v>
      </c>
      <c r="E1990" s="20" t="s">
        <v>25</v>
      </c>
      <c r="F1990" s="23" t="s">
        <v>30</v>
      </c>
      <c r="G1990" s="21" t="s">
        <v>183</v>
      </c>
      <c r="H1990" s="21" t="s">
        <v>24</v>
      </c>
      <c r="I1990" s="21" t="s">
        <v>25</v>
      </c>
      <c r="J1990" s="21" t="s">
        <v>24</v>
      </c>
      <c r="K1990" s="21" t="s">
        <v>25</v>
      </c>
      <c r="L1990" s="21" t="s">
        <v>24</v>
      </c>
      <c r="M1990" s="0" t="n">
        <v>205</v>
      </c>
      <c r="N1990" s="0" t="n">
        <v>2</v>
      </c>
      <c r="O1990" s="21" t="s">
        <v>3575</v>
      </c>
      <c r="P1990" s="21" t="s">
        <v>4265</v>
      </c>
      <c r="Q1990" s="0" t="n">
        <v>1</v>
      </c>
      <c r="R1990" s="21" t="s">
        <v>69</v>
      </c>
      <c r="S1990" s="0" t="n">
        <v>2</v>
      </c>
      <c r="T1990" s="21" t="s">
        <v>3575</v>
      </c>
      <c r="U1990" s="22" t="b">
        <f aca="false">TRUE()</f>
        <v>1</v>
      </c>
      <c r="V1990" s="0" t="n">
        <v>0.73</v>
      </c>
      <c r="W1990" s="0" t="n">
        <v>0.84</v>
      </c>
      <c r="X1990" s="0" t="n">
        <v>9.92</v>
      </c>
      <c r="Y1990" s="0" t="n">
        <v>357.98</v>
      </c>
      <c r="Z1990" s="0" t="n">
        <v>10.25</v>
      </c>
      <c r="AA1990" s="0" t="n">
        <v>13.8</v>
      </c>
      <c r="AB1990" s="0" t="n">
        <v>3.06</v>
      </c>
      <c r="AC1990" s="22" t="b">
        <f aca="false">FALSE()</f>
        <v>0</v>
      </c>
      <c r="AD1990" s="0" t="n">
        <v>23.41</v>
      </c>
      <c r="AE1990" s="0" t="n">
        <v>9.21</v>
      </c>
      <c r="AF1990" s="0" t="n">
        <v>17.65</v>
      </c>
      <c r="AG1990" s="22" t="b">
        <f aca="false">TRUE()</f>
        <v>1</v>
      </c>
      <c r="AH1990" s="0" t="n">
        <v>1</v>
      </c>
    </row>
    <row r="1991" customFormat="false" ht="15" hidden="false" customHeight="false" outlineLevel="0" collapsed="false">
      <c r="A1991" s="0" t="s">
        <v>2973</v>
      </c>
      <c r="B1991" s="0" t="s">
        <v>134</v>
      </c>
      <c r="C1991" s="0" t="s">
        <v>3450</v>
      </c>
      <c r="D1991" s="0" t="s">
        <v>3448</v>
      </c>
      <c r="E1991" s="20" t="s">
        <v>25</v>
      </c>
      <c r="F1991" s="20" t="s">
        <v>29</v>
      </c>
      <c r="G1991" s="21" t="s">
        <v>64</v>
      </c>
      <c r="H1991" s="21" t="s">
        <v>24</v>
      </c>
      <c r="I1991" s="21" t="s">
        <v>24</v>
      </c>
      <c r="J1991" s="21" t="s">
        <v>24</v>
      </c>
      <c r="K1991" s="21" t="s">
        <v>25</v>
      </c>
      <c r="L1991" s="21" t="s">
        <v>24</v>
      </c>
      <c r="M1991" s="0" t="n">
        <v>187</v>
      </c>
      <c r="N1991" s="0" t="n">
        <v>0</v>
      </c>
      <c r="Q1991" s="0" t="n">
        <v>0</v>
      </c>
      <c r="S1991" s="0" t="n">
        <v>0</v>
      </c>
      <c r="U1991" s="22" t="b">
        <f aca="false">FALSE()</f>
        <v>0</v>
      </c>
      <c r="V1991" s="0" t="n">
        <v>0.82</v>
      </c>
      <c r="W1991" s="0" t="n">
        <v>0.28</v>
      </c>
      <c r="X1991" s="0" t="n">
        <v>6.99</v>
      </c>
      <c r="Y1991" s="0" t="n">
        <v>441.29</v>
      </c>
      <c r="Z1991" s="0" t="n">
        <v>10.5</v>
      </c>
      <c r="AA1991" s="0" t="n">
        <v>5.39</v>
      </c>
      <c r="AB1991" s="0" t="n">
        <v>0.93</v>
      </c>
      <c r="AC1991" s="22" t="b">
        <f aca="false">FALSE()</f>
        <v>0</v>
      </c>
      <c r="AD1991" s="0" t="n">
        <v>5.19</v>
      </c>
      <c r="AE1991" s="0" t="n">
        <v>0.9</v>
      </c>
      <c r="AF1991" s="0" t="n">
        <v>3.25</v>
      </c>
      <c r="AG1991" s="22" t="b">
        <f aca="false">FALSE()</f>
        <v>0</v>
      </c>
      <c r="AH1991" s="0" t="n">
        <v>1</v>
      </c>
    </row>
    <row r="1992" customFormat="false" ht="15" hidden="false" customHeight="false" outlineLevel="0" collapsed="false">
      <c r="A1992" s="0" t="s">
        <v>2973</v>
      </c>
      <c r="B1992" s="0" t="s">
        <v>134</v>
      </c>
      <c r="C1992" s="0" t="s">
        <v>3447</v>
      </c>
      <c r="D1992" s="0" t="s">
        <v>3457</v>
      </c>
      <c r="E1992" s="20" t="s">
        <v>25</v>
      </c>
      <c r="F1992" s="23" t="s">
        <v>30</v>
      </c>
      <c r="G1992" s="21" t="s">
        <v>992</v>
      </c>
      <c r="H1992" s="21" t="s">
        <v>24</v>
      </c>
      <c r="I1992" s="21" t="s">
        <v>24</v>
      </c>
      <c r="J1992" s="21" t="s">
        <v>24</v>
      </c>
      <c r="K1992" s="21" t="s">
        <v>25</v>
      </c>
      <c r="L1992" s="21" t="s">
        <v>24</v>
      </c>
      <c r="M1992" s="0" t="n">
        <v>185</v>
      </c>
      <c r="N1992" s="0" t="n">
        <v>1</v>
      </c>
      <c r="O1992" s="21" t="s">
        <v>3483</v>
      </c>
      <c r="P1992" s="21" t="s">
        <v>4556</v>
      </c>
      <c r="Q1992" s="0" t="n">
        <v>0</v>
      </c>
      <c r="S1992" s="0" t="n">
        <v>1</v>
      </c>
      <c r="T1992" s="21" t="s">
        <v>3483</v>
      </c>
      <c r="U1992" s="22" t="b">
        <f aca="false">TRUE()</f>
        <v>1</v>
      </c>
      <c r="V1992" s="0" t="n">
        <v>0.8</v>
      </c>
      <c r="W1992" s="0" t="n">
        <v>0.2</v>
      </c>
      <c r="X1992" s="0" t="n">
        <v>9.51</v>
      </c>
      <c r="Y1992" s="0" t="n">
        <v>513.63</v>
      </c>
      <c r="Z1992" s="0" t="n">
        <v>10.92</v>
      </c>
      <c r="AA1992" s="0" t="n">
        <v>4.32</v>
      </c>
      <c r="AB1992" s="0" t="n">
        <v>3.06</v>
      </c>
      <c r="AC1992" s="22" t="b">
        <f aca="false">FALSE()</f>
        <v>0</v>
      </c>
      <c r="AD1992" s="0" t="n">
        <v>21.26</v>
      </c>
      <c r="AE1992" s="0" t="n">
        <v>8.25</v>
      </c>
      <c r="AF1992" s="0" t="n">
        <v>17.26</v>
      </c>
      <c r="AG1992" s="22" t="b">
        <f aca="false">TRUE()</f>
        <v>1</v>
      </c>
      <c r="AH1992" s="0" t="n">
        <v>1</v>
      </c>
    </row>
    <row r="1993" customFormat="false" ht="15" hidden="false" customHeight="false" outlineLevel="0" collapsed="false">
      <c r="A1993" s="0" t="s">
        <v>2973</v>
      </c>
      <c r="B1993" s="0" t="s">
        <v>134</v>
      </c>
      <c r="C1993" s="0" t="s">
        <v>3447</v>
      </c>
      <c r="D1993" s="0" t="s">
        <v>3448</v>
      </c>
      <c r="E1993" s="20" t="s">
        <v>25</v>
      </c>
      <c r="F1993" s="23" t="s">
        <v>30</v>
      </c>
      <c r="G1993" s="21" t="s">
        <v>2610</v>
      </c>
      <c r="H1993" s="21" t="s">
        <v>24</v>
      </c>
      <c r="I1993" s="21" t="s">
        <v>24</v>
      </c>
      <c r="J1993" s="21" t="s">
        <v>24</v>
      </c>
      <c r="K1993" s="21" t="s">
        <v>25</v>
      </c>
      <c r="L1993" s="21" t="s">
        <v>24</v>
      </c>
      <c r="M1993" s="0" t="n">
        <v>208</v>
      </c>
      <c r="N1993" s="0" t="n">
        <v>3</v>
      </c>
      <c r="O1993" s="21" t="s">
        <v>3556</v>
      </c>
      <c r="P1993" s="21" t="s">
        <v>4889</v>
      </c>
      <c r="Q1993" s="0" t="n">
        <v>0</v>
      </c>
      <c r="S1993" s="0" t="n">
        <v>3</v>
      </c>
      <c r="T1993" s="21" t="s">
        <v>3556</v>
      </c>
      <c r="U1993" s="22" t="b">
        <f aca="false">TRUE()</f>
        <v>1</v>
      </c>
      <c r="V1993" s="0" t="n">
        <v>0.75</v>
      </c>
      <c r="W1993" s="0" t="n">
        <v>0</v>
      </c>
      <c r="X1993" s="0" t="n">
        <v>8.67</v>
      </c>
      <c r="Y1993" s="0" t="n">
        <v>1.69</v>
      </c>
      <c r="Z1993" s="0" t="n">
        <v>10.5</v>
      </c>
      <c r="AA1993" s="0" t="n">
        <v>5.72</v>
      </c>
      <c r="AB1993" s="0" t="n">
        <v>0.93</v>
      </c>
      <c r="AC1993" s="22" t="b">
        <f aca="false">FALSE()</f>
        <v>0</v>
      </c>
      <c r="AD1993" s="0" t="n">
        <v>3.75</v>
      </c>
      <c r="AE1993" s="0" t="n">
        <v>0.37</v>
      </c>
      <c r="AF1993" s="0" t="n">
        <v>4.52</v>
      </c>
      <c r="AG1993" s="22" t="b">
        <f aca="false">FALSE()</f>
        <v>0</v>
      </c>
      <c r="AH1993" s="0" t="n">
        <v>0</v>
      </c>
    </row>
    <row r="1994" customFormat="false" ht="15" hidden="false" customHeight="false" outlineLevel="0" collapsed="false">
      <c r="A1994" s="0" t="s">
        <v>2978</v>
      </c>
      <c r="B1994" s="0" t="s">
        <v>134</v>
      </c>
      <c r="C1994" s="0" t="s">
        <v>3450</v>
      </c>
      <c r="D1994" s="0" t="s">
        <v>3457</v>
      </c>
      <c r="E1994" s="20" t="s">
        <v>25</v>
      </c>
      <c r="F1994" s="20" t="s">
        <v>29</v>
      </c>
      <c r="G1994" s="21" t="s">
        <v>62</v>
      </c>
      <c r="H1994" s="21" t="s">
        <v>24</v>
      </c>
      <c r="I1994" s="21" t="s">
        <v>24</v>
      </c>
      <c r="J1994" s="21" t="s">
        <v>24</v>
      </c>
      <c r="K1994" s="21" t="s">
        <v>25</v>
      </c>
      <c r="L1994" s="21" t="s">
        <v>24</v>
      </c>
      <c r="M1994" s="0" t="n">
        <v>184</v>
      </c>
      <c r="N1994" s="0" t="n">
        <v>0</v>
      </c>
      <c r="Q1994" s="0" t="n">
        <v>0</v>
      </c>
      <c r="S1994" s="0" t="n">
        <v>0</v>
      </c>
      <c r="U1994" s="22" t="b">
        <f aca="false">FALSE()</f>
        <v>0</v>
      </c>
      <c r="V1994" s="0" t="n">
        <v>0.71</v>
      </c>
      <c r="W1994" s="0" t="n">
        <v>0.76</v>
      </c>
      <c r="X1994" s="0" t="n">
        <v>7.57</v>
      </c>
      <c r="Y1994" s="0" t="n">
        <v>322.36</v>
      </c>
      <c r="Z1994" s="0" t="n">
        <v>8</v>
      </c>
      <c r="AA1994" s="0" t="n">
        <v>-1.27</v>
      </c>
      <c r="AB1994" s="0" t="n">
        <v>23.43</v>
      </c>
      <c r="AC1994" s="22" t="b">
        <f aca="false">FALSE()</f>
        <v>0</v>
      </c>
      <c r="AD1994" s="0" t="n">
        <v>18.96</v>
      </c>
      <c r="AE1994" s="0" t="n">
        <v>8.65</v>
      </c>
      <c r="AF1994" s="0" t="n">
        <v>17.65</v>
      </c>
      <c r="AG1994" s="22" t="b">
        <f aca="false">TRUE()</f>
        <v>1</v>
      </c>
      <c r="AH1994" s="0" t="n">
        <v>1</v>
      </c>
    </row>
    <row r="1995" customFormat="false" ht="15" hidden="false" customHeight="false" outlineLevel="0" collapsed="false">
      <c r="A1995" s="0" t="s">
        <v>2978</v>
      </c>
      <c r="B1995" s="0" t="s">
        <v>134</v>
      </c>
      <c r="C1995" s="0" t="s">
        <v>3450</v>
      </c>
      <c r="D1995" s="0" t="s">
        <v>3448</v>
      </c>
      <c r="E1995" s="20" t="s">
        <v>25</v>
      </c>
      <c r="F1995" s="23" t="s">
        <v>30</v>
      </c>
      <c r="G1995" s="21" t="s">
        <v>357</v>
      </c>
      <c r="H1995" s="21" t="s">
        <v>24</v>
      </c>
      <c r="I1995" s="21" t="s">
        <v>25</v>
      </c>
      <c r="J1995" s="21" t="s">
        <v>24</v>
      </c>
      <c r="K1995" s="21" t="s">
        <v>25</v>
      </c>
      <c r="L1995" s="21" t="s">
        <v>24</v>
      </c>
      <c r="M1995" s="0" t="n">
        <v>191</v>
      </c>
      <c r="N1995" s="0" t="n">
        <v>3</v>
      </c>
      <c r="O1995" s="21" t="s">
        <v>3689</v>
      </c>
      <c r="P1995" s="21" t="s">
        <v>4870</v>
      </c>
      <c r="Q1995" s="0" t="n">
        <v>1</v>
      </c>
      <c r="R1995" s="21" t="s">
        <v>70</v>
      </c>
      <c r="S1995" s="0" t="n">
        <v>3</v>
      </c>
      <c r="T1995" s="21" t="s">
        <v>3689</v>
      </c>
      <c r="U1995" s="22" t="b">
        <f aca="false">TRUE()</f>
        <v>1</v>
      </c>
      <c r="V1995" s="0" t="n">
        <v>0.77</v>
      </c>
      <c r="W1995" s="0" t="n">
        <v>0.92</v>
      </c>
      <c r="X1995" s="0" t="n">
        <v>5.53</v>
      </c>
      <c r="Y1995" s="0" t="n">
        <v>331.8</v>
      </c>
      <c r="Z1995" s="0" t="n">
        <v>11.25</v>
      </c>
      <c r="AA1995" s="0" t="n">
        <v>-3.36</v>
      </c>
      <c r="AB1995" s="0" t="n">
        <v>0.97</v>
      </c>
      <c r="AC1995" s="22" t="b">
        <f aca="false">TRUE()</f>
        <v>1</v>
      </c>
      <c r="AD1995" s="0" t="n">
        <v>16.01</v>
      </c>
      <c r="AE1995" s="0" t="n">
        <v>1.41</v>
      </c>
      <c r="AF1995" s="0" t="n">
        <v>16.42</v>
      </c>
      <c r="AG1995" s="22" t="b">
        <f aca="false">TRUE()</f>
        <v>1</v>
      </c>
      <c r="AH1995" s="0" t="n">
        <v>1</v>
      </c>
    </row>
    <row r="1996" customFormat="false" ht="15" hidden="false" customHeight="false" outlineLevel="0" collapsed="false">
      <c r="A1996" s="0" t="s">
        <v>2978</v>
      </c>
      <c r="B1996" s="0" t="s">
        <v>134</v>
      </c>
      <c r="C1996" s="0" t="s">
        <v>3447</v>
      </c>
      <c r="D1996" s="0" t="s">
        <v>3457</v>
      </c>
      <c r="E1996" s="20" t="s">
        <v>25</v>
      </c>
      <c r="F1996" s="20" t="s">
        <v>29</v>
      </c>
      <c r="G1996" s="21" t="s">
        <v>61</v>
      </c>
      <c r="H1996" s="21" t="s">
        <v>24</v>
      </c>
      <c r="I1996" s="21" t="s">
        <v>24</v>
      </c>
      <c r="J1996" s="21" t="s">
        <v>24</v>
      </c>
      <c r="K1996" s="21" t="s">
        <v>25</v>
      </c>
      <c r="L1996" s="21" t="s">
        <v>24</v>
      </c>
      <c r="M1996" s="0" t="n">
        <v>188</v>
      </c>
      <c r="N1996" s="0" t="n">
        <v>0</v>
      </c>
      <c r="Q1996" s="0" t="n">
        <v>0</v>
      </c>
      <c r="S1996" s="0" t="n">
        <v>0</v>
      </c>
      <c r="U1996" s="22" t="b">
        <f aca="false">FALSE()</f>
        <v>0</v>
      </c>
      <c r="V1996" s="0" t="n">
        <v>0.77</v>
      </c>
      <c r="W1996" s="0" t="n">
        <v>0.16</v>
      </c>
      <c r="X1996" s="0" t="n">
        <v>7.77</v>
      </c>
      <c r="Y1996" s="0" t="n">
        <v>575.66</v>
      </c>
      <c r="Z1996" s="0" t="n">
        <v>8</v>
      </c>
      <c r="AA1996" s="0" t="n">
        <v>-3.67</v>
      </c>
      <c r="AB1996" s="0" t="n">
        <v>23.43</v>
      </c>
      <c r="AC1996" s="22" t="b">
        <f aca="false">FALSE()</f>
        <v>0</v>
      </c>
      <c r="AD1996" s="0" t="n">
        <v>27.64</v>
      </c>
      <c r="AE1996" s="0" t="n">
        <v>14.24</v>
      </c>
      <c r="AF1996" s="0" t="n">
        <v>22.52</v>
      </c>
      <c r="AG1996" s="22" t="b">
        <f aca="false">TRUE()</f>
        <v>1</v>
      </c>
      <c r="AH1996" s="0" t="n">
        <v>1</v>
      </c>
    </row>
    <row r="1997" customFormat="false" ht="15" hidden="false" customHeight="false" outlineLevel="0" collapsed="false">
      <c r="A1997" s="0" t="s">
        <v>2978</v>
      </c>
      <c r="B1997" s="0" t="s">
        <v>134</v>
      </c>
      <c r="C1997" s="0" t="s">
        <v>3447</v>
      </c>
      <c r="D1997" s="0" t="s">
        <v>3448</v>
      </c>
      <c r="E1997" s="20" t="s">
        <v>25</v>
      </c>
      <c r="F1997" s="23" t="s">
        <v>30</v>
      </c>
      <c r="G1997" s="21" t="s">
        <v>2133</v>
      </c>
      <c r="H1997" s="21" t="s">
        <v>24</v>
      </c>
      <c r="I1997" s="21" t="s">
        <v>24</v>
      </c>
      <c r="J1997" s="21" t="s">
        <v>24</v>
      </c>
      <c r="K1997" s="21" t="s">
        <v>25</v>
      </c>
      <c r="L1997" s="21" t="s">
        <v>24</v>
      </c>
      <c r="M1997" s="0" t="n">
        <v>185</v>
      </c>
      <c r="N1997" s="0" t="n">
        <v>1</v>
      </c>
      <c r="O1997" s="21" t="s">
        <v>3476</v>
      </c>
      <c r="P1997" s="21" t="s">
        <v>4228</v>
      </c>
      <c r="Q1997" s="0" t="n">
        <v>0</v>
      </c>
      <c r="S1997" s="0" t="n">
        <v>1</v>
      </c>
      <c r="T1997" s="21" t="s">
        <v>3476</v>
      </c>
      <c r="U1997" s="22" t="b">
        <f aca="false">TRUE()</f>
        <v>1</v>
      </c>
      <c r="V1997" s="0" t="n">
        <v>0.8</v>
      </c>
      <c r="W1997" s="0" t="n">
        <v>0.96</v>
      </c>
      <c r="X1997" s="0" t="n">
        <v>6.41</v>
      </c>
      <c r="Y1997" s="0" t="n">
        <v>318.85</v>
      </c>
      <c r="Z1997" s="0" t="n">
        <v>8.83</v>
      </c>
      <c r="AA1997" s="0" t="n">
        <v>-4.79</v>
      </c>
      <c r="AB1997" s="0" t="n">
        <v>0.97</v>
      </c>
      <c r="AC1997" s="22" t="b">
        <f aca="false">FALSE()</f>
        <v>0</v>
      </c>
      <c r="AD1997" s="0" t="n">
        <v>14.76</v>
      </c>
      <c r="AE1997" s="0" t="n">
        <v>0.99</v>
      </c>
      <c r="AF1997" s="0" t="n">
        <v>15.39</v>
      </c>
      <c r="AG1997" s="22" t="b">
        <f aca="false">TRUE()</f>
        <v>1</v>
      </c>
      <c r="AH1997" s="0" t="n">
        <v>1</v>
      </c>
    </row>
    <row r="1998" customFormat="false" ht="15" hidden="false" customHeight="false" outlineLevel="0" collapsed="false">
      <c r="A1998" s="0" t="s">
        <v>2987</v>
      </c>
      <c r="B1998" s="0" t="s">
        <v>134</v>
      </c>
      <c r="C1998" s="0" t="s">
        <v>3450</v>
      </c>
      <c r="D1998" s="0" t="s">
        <v>3457</v>
      </c>
      <c r="E1998" s="20" t="s">
        <v>25</v>
      </c>
      <c r="F1998" s="23" t="s">
        <v>30</v>
      </c>
      <c r="G1998" s="21" t="s">
        <v>1230</v>
      </c>
      <c r="H1998" s="21" t="s">
        <v>24</v>
      </c>
      <c r="I1998" s="21" t="s">
        <v>25</v>
      </c>
      <c r="J1998" s="21" t="s">
        <v>24</v>
      </c>
      <c r="K1998" s="21" t="s">
        <v>25</v>
      </c>
      <c r="L1998" s="21" t="s">
        <v>24</v>
      </c>
      <c r="M1998" s="0" t="n">
        <v>184</v>
      </c>
      <c r="N1998" s="0" t="n">
        <v>5</v>
      </c>
      <c r="O1998" s="21" t="s">
        <v>3822</v>
      </c>
      <c r="P1998" s="21" t="s">
        <v>4890</v>
      </c>
      <c r="Q1998" s="0" t="n">
        <v>1</v>
      </c>
      <c r="R1998" s="21" t="s">
        <v>69</v>
      </c>
      <c r="S1998" s="0" t="n">
        <v>5</v>
      </c>
      <c r="T1998" s="21" t="s">
        <v>3822</v>
      </c>
      <c r="U1998" s="22" t="b">
        <f aca="false">TRUE()</f>
        <v>1</v>
      </c>
      <c r="V1998" s="0" t="n">
        <v>0.71</v>
      </c>
      <c r="W1998" s="0" t="n">
        <v>0.76</v>
      </c>
      <c r="X1998" s="0" t="n">
        <v>5.55</v>
      </c>
      <c r="Y1998" s="0" t="n">
        <v>321.02</v>
      </c>
      <c r="Z1998" s="0" t="n">
        <v>9.33</v>
      </c>
      <c r="AA1998" s="0" t="n">
        <v>-0.93</v>
      </c>
      <c r="AB1998" s="0" t="n">
        <v>4.36</v>
      </c>
      <c r="AC1998" s="22" t="b">
        <f aca="false">FALSE()</f>
        <v>0</v>
      </c>
      <c r="AD1998" s="0" t="n">
        <v>10.72</v>
      </c>
      <c r="AE1998" s="0" t="n">
        <v>0.71</v>
      </c>
      <c r="AF1998" s="0" t="n">
        <v>5.61</v>
      </c>
      <c r="AG1998" s="22" t="b">
        <f aca="false">TRUE()</f>
        <v>1</v>
      </c>
      <c r="AH1998" s="0" t="n">
        <v>1</v>
      </c>
    </row>
    <row r="1999" customFormat="false" ht="15" hidden="false" customHeight="false" outlineLevel="0" collapsed="false">
      <c r="A1999" s="0" t="s">
        <v>2987</v>
      </c>
      <c r="B1999" s="0" t="s">
        <v>134</v>
      </c>
      <c r="C1999" s="0" t="s">
        <v>3450</v>
      </c>
      <c r="D1999" s="0" t="s">
        <v>3448</v>
      </c>
      <c r="E1999" s="20" t="s">
        <v>25</v>
      </c>
      <c r="F1999" s="23" t="s">
        <v>30</v>
      </c>
      <c r="G1999" s="21" t="s">
        <v>283</v>
      </c>
      <c r="H1999" s="21" t="s">
        <v>24</v>
      </c>
      <c r="I1999" s="21" t="s">
        <v>25</v>
      </c>
      <c r="J1999" s="21" t="s">
        <v>24</v>
      </c>
      <c r="K1999" s="21" t="s">
        <v>24</v>
      </c>
      <c r="L1999" s="21" t="s">
        <v>24</v>
      </c>
      <c r="M1999" s="0" t="n">
        <v>183</v>
      </c>
      <c r="N1999" s="0" t="n">
        <v>4</v>
      </c>
      <c r="O1999" s="21" t="s">
        <v>3734</v>
      </c>
      <c r="P1999" s="21" t="s">
        <v>4327</v>
      </c>
      <c r="Q1999" s="0" t="n">
        <v>1</v>
      </c>
      <c r="R1999" s="21" t="s">
        <v>69</v>
      </c>
      <c r="S1999" s="0" t="n">
        <v>4</v>
      </c>
      <c r="T1999" s="21" t="s">
        <v>3734</v>
      </c>
      <c r="U1999" s="22" t="b">
        <f aca="false">TRUE()</f>
        <v>1</v>
      </c>
      <c r="V1999" s="0" t="n">
        <v>0.72</v>
      </c>
      <c r="W1999" s="0" t="n">
        <v>0.88</v>
      </c>
      <c r="X1999" s="0" t="n">
        <v>5.72</v>
      </c>
      <c r="Y1999" s="0" t="n">
        <v>319.84</v>
      </c>
      <c r="Z1999" s="0" t="n">
        <v>9.58</v>
      </c>
      <c r="AA1999" s="0" t="n">
        <v>3.16</v>
      </c>
      <c r="AB1999" s="0" t="n">
        <v>1.8</v>
      </c>
      <c r="AC1999" s="22" t="b">
        <f aca="false">FALSE()</f>
        <v>0</v>
      </c>
      <c r="AD1999" s="0" t="n">
        <v>7.38</v>
      </c>
      <c r="AE1999" s="0" t="n">
        <v>0.96</v>
      </c>
      <c r="AF1999" s="0" t="n">
        <v>1.07</v>
      </c>
      <c r="AG1999" s="22" t="b">
        <f aca="false">FALSE()</f>
        <v>0</v>
      </c>
      <c r="AH1999" s="0" t="n">
        <v>1</v>
      </c>
    </row>
    <row r="2000" customFormat="false" ht="15" hidden="false" customHeight="false" outlineLevel="0" collapsed="false">
      <c r="A2000" s="0" t="s">
        <v>2987</v>
      </c>
      <c r="B2000" s="0" t="s">
        <v>134</v>
      </c>
      <c r="C2000" s="0" t="s">
        <v>3447</v>
      </c>
      <c r="D2000" s="0" t="s">
        <v>3457</v>
      </c>
      <c r="E2000" s="20" t="s">
        <v>25</v>
      </c>
      <c r="F2000" s="23" t="s">
        <v>30</v>
      </c>
      <c r="G2000" s="21" t="s">
        <v>283</v>
      </c>
      <c r="H2000" s="21" t="s">
        <v>24</v>
      </c>
      <c r="I2000" s="21" t="s">
        <v>25</v>
      </c>
      <c r="J2000" s="21" t="s">
        <v>24</v>
      </c>
      <c r="K2000" s="21" t="s">
        <v>24</v>
      </c>
      <c r="L2000" s="21" t="s">
        <v>24</v>
      </c>
      <c r="M2000" s="0" t="n">
        <v>185</v>
      </c>
      <c r="N2000" s="0" t="n">
        <v>4</v>
      </c>
      <c r="O2000" s="21" t="s">
        <v>3734</v>
      </c>
      <c r="P2000" s="21" t="s">
        <v>4327</v>
      </c>
      <c r="Q2000" s="0" t="n">
        <v>1</v>
      </c>
      <c r="R2000" s="21" t="s">
        <v>69</v>
      </c>
      <c r="S2000" s="0" t="n">
        <v>4</v>
      </c>
      <c r="T2000" s="21" t="s">
        <v>3734</v>
      </c>
      <c r="U2000" s="22" t="b">
        <f aca="false">TRUE()</f>
        <v>1</v>
      </c>
      <c r="V2000" s="0" t="n">
        <v>0.69</v>
      </c>
      <c r="W2000" s="0" t="n">
        <v>0.24</v>
      </c>
      <c r="X2000" s="0" t="n">
        <v>5.75</v>
      </c>
      <c r="Y2000" s="0" t="n">
        <v>466.99</v>
      </c>
      <c r="Z2000" s="0" t="n">
        <v>8</v>
      </c>
      <c r="AA2000" s="0" t="n">
        <v>-0.67</v>
      </c>
      <c r="AB2000" s="0" t="n">
        <v>4.36</v>
      </c>
      <c r="AC2000" s="22" t="b">
        <f aca="false">FALSE()</f>
        <v>0</v>
      </c>
      <c r="AD2000" s="0" t="n">
        <v>15.89</v>
      </c>
      <c r="AE2000" s="0" t="n">
        <v>0.14</v>
      </c>
      <c r="AF2000" s="0" t="n">
        <v>7.14</v>
      </c>
      <c r="AG2000" s="22" t="b">
        <f aca="false">TRUE()</f>
        <v>1</v>
      </c>
      <c r="AH2000" s="0" t="n">
        <v>2</v>
      </c>
    </row>
    <row r="2001" customFormat="false" ht="15" hidden="false" customHeight="false" outlineLevel="0" collapsed="false">
      <c r="A2001" s="0" t="s">
        <v>2987</v>
      </c>
      <c r="B2001" s="0" t="s">
        <v>134</v>
      </c>
      <c r="C2001" s="0" t="s">
        <v>3447</v>
      </c>
      <c r="D2001" s="0" t="s">
        <v>3448</v>
      </c>
      <c r="E2001" s="18" t="s">
        <v>24</v>
      </c>
      <c r="F2001" s="23" t="s">
        <v>30</v>
      </c>
      <c r="G2001" s="21" t="s">
        <v>30</v>
      </c>
      <c r="H2001" s="21" t="s">
        <v>24</v>
      </c>
      <c r="I2001" s="21" t="s">
        <v>24</v>
      </c>
      <c r="J2001" s="21" t="s">
        <v>24</v>
      </c>
      <c r="K2001" s="21" t="s">
        <v>24</v>
      </c>
      <c r="L2001" s="21" t="s">
        <v>24</v>
      </c>
      <c r="M2001" s="0" t="n">
        <v>184</v>
      </c>
      <c r="N2001" s="0" t="n">
        <v>1</v>
      </c>
      <c r="O2001" s="21" t="s">
        <v>3476</v>
      </c>
      <c r="P2001" s="21" t="s">
        <v>4228</v>
      </c>
      <c r="Q2001" s="0" t="n">
        <v>0</v>
      </c>
      <c r="S2001" s="0" t="n">
        <v>1</v>
      </c>
      <c r="T2001" s="21" t="s">
        <v>3476</v>
      </c>
      <c r="U2001" s="22" t="b">
        <f aca="false">TRUE()</f>
        <v>1</v>
      </c>
      <c r="V2001" s="0" t="n">
        <v>0.8</v>
      </c>
      <c r="W2001" s="0" t="n">
        <v>0.2</v>
      </c>
      <c r="X2001" s="0" t="n">
        <v>6.02</v>
      </c>
      <c r="Y2001" s="0" t="n">
        <v>511.41</v>
      </c>
      <c r="Z2001" s="0" t="n">
        <v>8.17</v>
      </c>
      <c r="AA2001" s="0" t="n">
        <v>-2.64</v>
      </c>
      <c r="AB2001" s="0" t="n">
        <v>1.8</v>
      </c>
      <c r="AC2001" s="22" t="b">
        <f aca="false">FALSE()</f>
        <v>0</v>
      </c>
      <c r="AD2001" s="0" t="n">
        <v>7.17</v>
      </c>
      <c r="AE2001" s="0" t="n">
        <v>0.97</v>
      </c>
      <c r="AF2001" s="0" t="n">
        <v>0.58</v>
      </c>
      <c r="AG2001" s="22" t="b">
        <f aca="false">FALSE()</f>
        <v>0</v>
      </c>
      <c r="AH2001" s="0" t="n">
        <v>1</v>
      </c>
    </row>
    <row r="2002" customFormat="false" ht="15" hidden="false" customHeight="false" outlineLevel="0" collapsed="false">
      <c r="A2002" s="0" t="s">
        <v>2993</v>
      </c>
      <c r="B2002" s="0" t="s">
        <v>134</v>
      </c>
      <c r="C2002" s="0" t="s">
        <v>3450</v>
      </c>
      <c r="D2002" s="0" t="s">
        <v>3457</v>
      </c>
      <c r="E2002" s="20" t="s">
        <v>25</v>
      </c>
      <c r="F2002" s="20" t="s">
        <v>29</v>
      </c>
      <c r="G2002" s="21" t="s">
        <v>61</v>
      </c>
      <c r="H2002" s="21" t="s">
        <v>24</v>
      </c>
      <c r="I2002" s="21" t="s">
        <v>24</v>
      </c>
      <c r="J2002" s="21" t="s">
        <v>24</v>
      </c>
      <c r="K2002" s="21" t="s">
        <v>25</v>
      </c>
      <c r="L2002" s="21" t="s">
        <v>24</v>
      </c>
      <c r="M2002" s="0" t="n">
        <v>199</v>
      </c>
      <c r="N2002" s="0" t="n">
        <v>0</v>
      </c>
      <c r="Q2002" s="0" t="n">
        <v>0</v>
      </c>
      <c r="S2002" s="0" t="n">
        <v>0</v>
      </c>
      <c r="U2002" s="22" t="b">
        <f aca="false">FALSE()</f>
        <v>0</v>
      </c>
      <c r="V2002" s="0" t="n">
        <v>0.75</v>
      </c>
      <c r="W2002" s="0" t="n">
        <v>0.6</v>
      </c>
      <c r="X2002" s="0" t="n">
        <v>8.28</v>
      </c>
      <c r="Y2002" s="0" t="n">
        <v>346.66</v>
      </c>
      <c r="Z2002" s="0" t="n">
        <v>9.83</v>
      </c>
      <c r="AA2002" s="0" t="n">
        <v>8.36</v>
      </c>
      <c r="AB2002" s="0" t="n">
        <v>3.21</v>
      </c>
      <c r="AC2002" s="22" t="b">
        <f aca="false">FALSE()</f>
        <v>0</v>
      </c>
      <c r="AD2002" s="0" t="n">
        <v>22.19</v>
      </c>
      <c r="AE2002" s="0" t="n">
        <v>11.74</v>
      </c>
      <c r="AF2002" s="0" t="n">
        <v>18.48</v>
      </c>
      <c r="AG2002" s="22" t="b">
        <f aca="false">TRUE()</f>
        <v>1</v>
      </c>
      <c r="AH2002" s="0" t="n">
        <v>1</v>
      </c>
    </row>
    <row r="2003" customFormat="false" ht="15" hidden="false" customHeight="false" outlineLevel="0" collapsed="false">
      <c r="A2003" s="0" t="s">
        <v>2993</v>
      </c>
      <c r="B2003" s="0" t="s">
        <v>134</v>
      </c>
      <c r="C2003" s="0" t="s">
        <v>3450</v>
      </c>
      <c r="D2003" s="0" t="s">
        <v>3448</v>
      </c>
      <c r="E2003" s="20" t="s">
        <v>25</v>
      </c>
      <c r="F2003" s="20" t="s">
        <v>29</v>
      </c>
      <c r="G2003" s="21" t="s">
        <v>61</v>
      </c>
      <c r="H2003" s="21" t="s">
        <v>24</v>
      </c>
      <c r="I2003" s="21" t="s">
        <v>24</v>
      </c>
      <c r="J2003" s="21" t="s">
        <v>24</v>
      </c>
      <c r="K2003" s="21" t="s">
        <v>25</v>
      </c>
      <c r="L2003" s="21" t="s">
        <v>24</v>
      </c>
      <c r="M2003" s="0" t="n">
        <v>198</v>
      </c>
      <c r="N2003" s="0" t="n">
        <v>0</v>
      </c>
      <c r="Q2003" s="0" t="n">
        <v>0</v>
      </c>
      <c r="S2003" s="0" t="n">
        <v>0</v>
      </c>
      <c r="U2003" s="22" t="b">
        <f aca="false">FALSE()</f>
        <v>0</v>
      </c>
      <c r="V2003" s="0" t="n">
        <v>0.76</v>
      </c>
      <c r="W2003" s="0" t="n">
        <v>0</v>
      </c>
      <c r="X2003" s="0" t="n">
        <v>9.19</v>
      </c>
      <c r="Y2003" s="0" t="n">
        <v>710.05</v>
      </c>
      <c r="Z2003" s="0" t="n">
        <v>9.75</v>
      </c>
      <c r="AA2003" s="0" t="n">
        <v>9.97</v>
      </c>
      <c r="AB2003" s="0" t="n">
        <v>3.49</v>
      </c>
      <c r="AC2003" s="22" t="b">
        <f aca="false">FALSE()</f>
        <v>0</v>
      </c>
      <c r="AD2003" s="0" t="n">
        <v>23.34</v>
      </c>
      <c r="AE2003" s="0" t="n">
        <v>11.9</v>
      </c>
      <c r="AF2003" s="0" t="n">
        <v>21</v>
      </c>
      <c r="AG2003" s="22" t="b">
        <f aca="false">TRUE()</f>
        <v>1</v>
      </c>
      <c r="AH2003" s="0" t="n">
        <v>1</v>
      </c>
    </row>
    <row r="2004" customFormat="false" ht="15" hidden="false" customHeight="false" outlineLevel="0" collapsed="false">
      <c r="A2004" s="0" t="s">
        <v>2993</v>
      </c>
      <c r="B2004" s="0" t="s">
        <v>134</v>
      </c>
      <c r="C2004" s="0" t="s">
        <v>3447</v>
      </c>
      <c r="D2004" s="0" t="s">
        <v>3457</v>
      </c>
      <c r="E2004" s="20" t="s">
        <v>25</v>
      </c>
      <c r="F2004" s="23" t="s">
        <v>30</v>
      </c>
      <c r="G2004" s="21" t="s">
        <v>183</v>
      </c>
      <c r="H2004" s="21" t="s">
        <v>24</v>
      </c>
      <c r="I2004" s="21" t="s">
        <v>25</v>
      </c>
      <c r="J2004" s="21" t="s">
        <v>24</v>
      </c>
      <c r="K2004" s="21" t="s">
        <v>25</v>
      </c>
      <c r="L2004" s="21" t="s">
        <v>24</v>
      </c>
      <c r="M2004" s="0" t="n">
        <v>185</v>
      </c>
      <c r="N2004" s="0" t="n">
        <v>6</v>
      </c>
      <c r="O2004" s="21" t="s">
        <v>3851</v>
      </c>
      <c r="P2004" s="21" t="s">
        <v>4891</v>
      </c>
      <c r="Q2004" s="0" t="n">
        <v>1</v>
      </c>
      <c r="R2004" s="21" t="s">
        <v>69</v>
      </c>
      <c r="S2004" s="0" t="n">
        <v>6</v>
      </c>
      <c r="T2004" s="21" t="s">
        <v>3851</v>
      </c>
      <c r="U2004" s="22" t="b">
        <f aca="false">TRUE()</f>
        <v>1</v>
      </c>
      <c r="V2004" s="0" t="n">
        <v>0.77</v>
      </c>
      <c r="W2004" s="0" t="n">
        <v>0.92</v>
      </c>
      <c r="X2004" s="0" t="n">
        <v>9.58</v>
      </c>
      <c r="Y2004" s="0" t="n">
        <v>318.48</v>
      </c>
      <c r="Z2004" s="0" t="n">
        <v>11.25</v>
      </c>
      <c r="AA2004" s="0" t="n">
        <v>3.07</v>
      </c>
      <c r="AB2004" s="0" t="n">
        <v>3.21</v>
      </c>
      <c r="AC2004" s="22" t="b">
        <f aca="false">FALSE()</f>
        <v>0</v>
      </c>
      <c r="AD2004" s="0" t="n">
        <v>22.16</v>
      </c>
      <c r="AE2004" s="0" t="n">
        <v>11.33</v>
      </c>
      <c r="AF2004" s="0" t="n">
        <v>18.87</v>
      </c>
      <c r="AG2004" s="22" t="b">
        <f aca="false">TRUE()</f>
        <v>1</v>
      </c>
      <c r="AH2004" s="0" t="n">
        <v>1</v>
      </c>
    </row>
    <row r="2005" customFormat="false" ht="15" hidden="false" customHeight="false" outlineLevel="0" collapsed="false">
      <c r="A2005" s="0" t="s">
        <v>2993</v>
      </c>
      <c r="B2005" s="0" t="s">
        <v>134</v>
      </c>
      <c r="C2005" s="0" t="s">
        <v>3447</v>
      </c>
      <c r="D2005" s="0" t="s">
        <v>3448</v>
      </c>
      <c r="E2005" s="20" t="s">
        <v>25</v>
      </c>
      <c r="F2005" s="23" t="s">
        <v>30</v>
      </c>
      <c r="G2005" s="21" t="s">
        <v>992</v>
      </c>
      <c r="H2005" s="21" t="s">
        <v>24</v>
      </c>
      <c r="I2005" s="21" t="s">
        <v>24</v>
      </c>
      <c r="J2005" s="21" t="s">
        <v>24</v>
      </c>
      <c r="K2005" s="21" t="s">
        <v>25</v>
      </c>
      <c r="L2005" s="21" t="s">
        <v>24</v>
      </c>
      <c r="M2005" s="0" t="n">
        <v>183</v>
      </c>
      <c r="N2005" s="0" t="n">
        <v>2</v>
      </c>
      <c r="O2005" s="21" t="s">
        <v>3506</v>
      </c>
      <c r="P2005" s="21" t="s">
        <v>4449</v>
      </c>
      <c r="Q2005" s="0" t="n">
        <v>0</v>
      </c>
      <c r="S2005" s="0" t="n">
        <v>2</v>
      </c>
      <c r="T2005" s="21" t="s">
        <v>3506</v>
      </c>
      <c r="U2005" s="22" t="b">
        <f aca="false">TRUE()</f>
        <v>1</v>
      </c>
      <c r="V2005" s="0" t="n">
        <v>0.79</v>
      </c>
      <c r="W2005" s="0" t="n">
        <v>0.28</v>
      </c>
      <c r="X2005" s="0" t="n">
        <v>9.82</v>
      </c>
      <c r="Y2005" s="0" t="n">
        <v>399.65</v>
      </c>
      <c r="Z2005" s="0" t="n">
        <v>10.17</v>
      </c>
      <c r="AA2005" s="0" t="n">
        <v>3.44</v>
      </c>
      <c r="AB2005" s="0" t="n">
        <v>3.49</v>
      </c>
      <c r="AC2005" s="22" t="b">
        <f aca="false">FALSE()</f>
        <v>0</v>
      </c>
      <c r="AD2005" s="0" t="n">
        <v>22.45</v>
      </c>
      <c r="AE2005" s="0" t="n">
        <v>10.75</v>
      </c>
      <c r="AF2005" s="0" t="n">
        <v>20.21</v>
      </c>
      <c r="AG2005" s="22" t="b">
        <f aca="false">TRUE()</f>
        <v>1</v>
      </c>
      <c r="AH2005" s="0" t="n">
        <v>1</v>
      </c>
    </row>
    <row r="2006" customFormat="false" ht="15" hidden="false" customHeight="false" outlineLevel="0" collapsed="false">
      <c r="A2006" s="0" t="s">
        <v>2993</v>
      </c>
      <c r="B2006" s="0" t="s">
        <v>3459</v>
      </c>
      <c r="C2006" s="0" t="s">
        <v>3450</v>
      </c>
      <c r="D2006" s="0" t="s">
        <v>3457</v>
      </c>
      <c r="E2006" s="20" t="s">
        <v>25</v>
      </c>
      <c r="F2006" s="20" t="s">
        <v>29</v>
      </c>
      <c r="G2006" s="21" t="s">
        <v>61</v>
      </c>
      <c r="H2006" s="21" t="s">
        <v>24</v>
      </c>
      <c r="I2006" s="21" t="s">
        <v>24</v>
      </c>
      <c r="J2006" s="21" t="s">
        <v>24</v>
      </c>
      <c r="K2006" s="21" t="s">
        <v>25</v>
      </c>
      <c r="L2006" s="21" t="s">
        <v>24</v>
      </c>
      <c r="M2006" s="0" t="n">
        <v>183</v>
      </c>
      <c r="N2006" s="0" t="n">
        <v>0</v>
      </c>
      <c r="Q2006" s="0" t="n">
        <v>0</v>
      </c>
      <c r="S2006" s="0" t="n">
        <v>0</v>
      </c>
      <c r="U2006" s="22" t="b">
        <f aca="false">FALSE()</f>
        <v>0</v>
      </c>
      <c r="V2006" s="0" t="n">
        <v>0.75</v>
      </c>
      <c r="W2006" s="0" t="n">
        <v>0.36</v>
      </c>
      <c r="X2006" s="0" t="n">
        <v>8.93</v>
      </c>
      <c r="Y2006" s="0" t="n">
        <v>296.93</v>
      </c>
      <c r="Z2006" s="0" t="n">
        <v>9.75</v>
      </c>
      <c r="AA2006" s="0" t="n">
        <v>9.7</v>
      </c>
      <c r="AB2006" s="0" t="n">
        <v>5.36</v>
      </c>
      <c r="AC2006" s="22" t="b">
        <f aca="false">FALSE()</f>
        <v>0</v>
      </c>
      <c r="AD2006" s="0" t="n">
        <v>23.37</v>
      </c>
      <c r="AE2006" s="0" t="n">
        <v>12.93</v>
      </c>
      <c r="AF2006" s="0" t="n">
        <v>26.59</v>
      </c>
      <c r="AG2006" s="22" t="b">
        <f aca="false">TRUE()</f>
        <v>1</v>
      </c>
      <c r="AH2006" s="0" t="n">
        <v>1</v>
      </c>
    </row>
    <row r="2007" customFormat="false" ht="15" hidden="false" customHeight="false" outlineLevel="0" collapsed="false">
      <c r="A2007" s="0" t="s">
        <v>2993</v>
      </c>
      <c r="B2007" s="0" t="s">
        <v>3459</v>
      </c>
      <c r="C2007" s="0" t="s">
        <v>3450</v>
      </c>
      <c r="D2007" s="0" t="s">
        <v>3448</v>
      </c>
      <c r="E2007" s="20" t="s">
        <v>25</v>
      </c>
      <c r="F2007" s="20" t="s">
        <v>29</v>
      </c>
      <c r="G2007" s="21" t="s">
        <v>61</v>
      </c>
      <c r="H2007" s="21" t="s">
        <v>24</v>
      </c>
      <c r="I2007" s="21" t="s">
        <v>24</v>
      </c>
      <c r="J2007" s="21" t="s">
        <v>24</v>
      </c>
      <c r="K2007" s="21" t="s">
        <v>25</v>
      </c>
      <c r="L2007" s="21" t="s">
        <v>24</v>
      </c>
      <c r="M2007" s="0" t="n">
        <v>223</v>
      </c>
      <c r="N2007" s="0" t="n">
        <v>0</v>
      </c>
      <c r="Q2007" s="0" t="n">
        <v>0</v>
      </c>
      <c r="S2007" s="0" t="n">
        <v>0</v>
      </c>
      <c r="U2007" s="22" t="b">
        <f aca="false">FALSE()</f>
        <v>0</v>
      </c>
      <c r="V2007" s="0" t="n">
        <v>0.78</v>
      </c>
      <c r="W2007" s="0" t="n">
        <v>0.96</v>
      </c>
      <c r="X2007" s="0" t="n">
        <v>10.15</v>
      </c>
      <c r="Y2007" s="0" t="n">
        <v>382.14</v>
      </c>
      <c r="Z2007" s="0" t="n">
        <v>9.83</v>
      </c>
      <c r="AA2007" s="0" t="n">
        <v>11.55</v>
      </c>
      <c r="AB2007" s="0" t="n">
        <v>2.36</v>
      </c>
      <c r="AC2007" s="22" t="b">
        <f aca="false">FALSE()</f>
        <v>0</v>
      </c>
      <c r="AD2007" s="0" t="n">
        <v>21.69</v>
      </c>
      <c r="AE2007" s="0" t="n">
        <v>14.36</v>
      </c>
      <c r="AF2007" s="0" t="n">
        <v>25.58</v>
      </c>
      <c r="AG2007" s="22" t="b">
        <f aca="false">TRUE()</f>
        <v>1</v>
      </c>
      <c r="AH2007" s="0" t="n">
        <v>1</v>
      </c>
    </row>
    <row r="2008" customFormat="false" ht="15" hidden="false" customHeight="false" outlineLevel="0" collapsed="false">
      <c r="A2008" s="0" t="s">
        <v>2993</v>
      </c>
      <c r="B2008" s="0" t="s">
        <v>3459</v>
      </c>
      <c r="C2008" s="0" t="s">
        <v>3447</v>
      </c>
      <c r="D2008" s="0" t="s">
        <v>3457</v>
      </c>
      <c r="E2008" s="19" t="s">
        <v>26</v>
      </c>
      <c r="F2008" s="19" t="s">
        <v>32</v>
      </c>
      <c r="G2008" s="21" t="s">
        <v>3896</v>
      </c>
      <c r="H2008" s="21" t="s">
        <v>24</v>
      </c>
      <c r="I2008" s="21" t="s">
        <v>26</v>
      </c>
      <c r="J2008" s="21" t="s">
        <v>24</v>
      </c>
      <c r="K2008" s="21" t="s">
        <v>25</v>
      </c>
      <c r="L2008" s="21" t="s">
        <v>24</v>
      </c>
      <c r="M2008" s="0" t="n">
        <v>185</v>
      </c>
      <c r="N2008" s="0" t="n">
        <v>7</v>
      </c>
      <c r="O2008" s="21" t="s">
        <v>3899</v>
      </c>
      <c r="P2008" s="21" t="s">
        <v>4892</v>
      </c>
      <c r="Q2008" s="0" t="n">
        <v>0</v>
      </c>
      <c r="S2008" s="0" t="n">
        <v>7</v>
      </c>
      <c r="T2008" s="21" t="s">
        <v>3899</v>
      </c>
      <c r="U2008" s="22" t="b">
        <f aca="false">FALSE()</f>
        <v>0</v>
      </c>
      <c r="V2008" s="0" t="n">
        <v>0.8</v>
      </c>
      <c r="W2008" s="0" t="n">
        <v>0.92</v>
      </c>
      <c r="X2008" s="0" t="n">
        <v>9.69</v>
      </c>
      <c r="Y2008" s="0" t="n">
        <v>268.72</v>
      </c>
      <c r="Z2008" s="0" t="n">
        <v>11.5</v>
      </c>
      <c r="AA2008" s="0" t="n">
        <v>0.84</v>
      </c>
      <c r="AB2008" s="0" t="n">
        <v>5.36</v>
      </c>
      <c r="AC2008" s="22" t="b">
        <f aca="false">FALSE()</f>
        <v>0</v>
      </c>
      <c r="AD2008" s="0" t="n">
        <v>22.53</v>
      </c>
      <c r="AE2008" s="0" t="n">
        <v>11.68</v>
      </c>
      <c r="AF2008" s="0" t="n">
        <v>25.14</v>
      </c>
      <c r="AG2008" s="22" t="b">
        <f aca="false">TRUE()</f>
        <v>1</v>
      </c>
      <c r="AH2008" s="0" t="n">
        <v>1</v>
      </c>
    </row>
    <row r="2009" customFormat="false" ht="15" hidden="false" customHeight="false" outlineLevel="0" collapsed="false">
      <c r="A2009" s="0" t="s">
        <v>2993</v>
      </c>
      <c r="B2009" s="0" t="s">
        <v>3459</v>
      </c>
      <c r="C2009" s="0" t="s">
        <v>3447</v>
      </c>
      <c r="D2009" s="0" t="s">
        <v>3448</v>
      </c>
      <c r="E2009" s="20" t="s">
        <v>25</v>
      </c>
      <c r="F2009" s="23" t="s">
        <v>30</v>
      </c>
      <c r="G2009" s="21" t="s">
        <v>992</v>
      </c>
      <c r="H2009" s="21" t="s">
        <v>24</v>
      </c>
      <c r="I2009" s="21" t="s">
        <v>24</v>
      </c>
      <c r="J2009" s="21" t="s">
        <v>24</v>
      </c>
      <c r="K2009" s="21" t="s">
        <v>25</v>
      </c>
      <c r="L2009" s="21" t="s">
        <v>24</v>
      </c>
      <c r="M2009" s="0" t="n">
        <v>188</v>
      </c>
      <c r="N2009" s="0" t="n">
        <v>4</v>
      </c>
      <c r="O2009" s="21" t="s">
        <v>3630</v>
      </c>
      <c r="P2009" s="21" t="s">
        <v>4893</v>
      </c>
      <c r="Q2009" s="0" t="n">
        <v>0</v>
      </c>
      <c r="S2009" s="0" t="n">
        <v>4</v>
      </c>
      <c r="T2009" s="21" t="s">
        <v>3630</v>
      </c>
      <c r="U2009" s="22" t="b">
        <f aca="false">TRUE()</f>
        <v>1</v>
      </c>
      <c r="V2009" s="0" t="n">
        <v>0.8</v>
      </c>
      <c r="W2009" s="0" t="n">
        <v>0</v>
      </c>
      <c r="X2009" s="0" t="n">
        <v>10.65</v>
      </c>
      <c r="Y2009" s="0" t="n">
        <v>1.85</v>
      </c>
      <c r="Z2009" s="0" t="n">
        <v>10.42</v>
      </c>
      <c r="AA2009" s="0" t="n">
        <v>6.8</v>
      </c>
      <c r="AB2009" s="0" t="n">
        <v>2.36</v>
      </c>
      <c r="AC2009" s="22" t="b">
        <f aca="false">FALSE()</f>
        <v>0</v>
      </c>
      <c r="AD2009" s="0" t="n">
        <v>23.38</v>
      </c>
      <c r="AE2009" s="0" t="n">
        <v>14.19</v>
      </c>
      <c r="AF2009" s="0" t="n">
        <v>25.27</v>
      </c>
      <c r="AG2009" s="22" t="b">
        <f aca="false">TRUE()</f>
        <v>1</v>
      </c>
      <c r="AH2009" s="0" t="n">
        <v>0</v>
      </c>
    </row>
    <row r="2010" customFormat="false" ht="15" hidden="false" customHeight="false" outlineLevel="0" collapsed="false">
      <c r="A2010" s="0" t="s">
        <v>3001</v>
      </c>
      <c r="B2010" s="0" t="s">
        <v>134</v>
      </c>
      <c r="C2010" s="0" t="s">
        <v>3450</v>
      </c>
      <c r="D2010" s="0" t="s">
        <v>3457</v>
      </c>
      <c r="E2010" s="20" t="s">
        <v>25</v>
      </c>
      <c r="F2010" s="20" t="s">
        <v>29</v>
      </c>
      <c r="G2010" s="21" t="s">
        <v>3466</v>
      </c>
      <c r="H2010" s="21" t="s">
        <v>24</v>
      </c>
      <c r="I2010" s="21" t="s">
        <v>24</v>
      </c>
      <c r="J2010" s="21" t="s">
        <v>24</v>
      </c>
      <c r="K2010" s="21" t="s">
        <v>25</v>
      </c>
      <c r="L2010" s="21" t="s">
        <v>24</v>
      </c>
      <c r="M2010" s="0" t="n">
        <v>184</v>
      </c>
      <c r="N2010" s="0" t="n">
        <v>0</v>
      </c>
      <c r="Q2010" s="0" t="n">
        <v>0</v>
      </c>
      <c r="S2010" s="0" t="n">
        <v>0</v>
      </c>
      <c r="U2010" s="22" t="b">
        <f aca="false">FALSE()</f>
        <v>0</v>
      </c>
      <c r="V2010" s="0" t="n">
        <v>0.67</v>
      </c>
      <c r="W2010" s="0" t="n">
        <v>0.92</v>
      </c>
      <c r="X2010" s="0" t="n">
        <v>5.4</v>
      </c>
      <c r="Y2010" s="0" t="n">
        <v>313.28</v>
      </c>
      <c r="Z2010" s="0" t="n">
        <v>10.17</v>
      </c>
      <c r="AA2010" s="0" t="n">
        <v>-0.75</v>
      </c>
      <c r="AB2010" s="0" t="n">
        <v>1.37</v>
      </c>
      <c r="AC2010" s="22" t="b">
        <f aca="false">TRUE()</f>
        <v>1</v>
      </c>
      <c r="AD2010" s="0" t="n">
        <v>6.14</v>
      </c>
      <c r="AE2010" s="0" t="n">
        <v>0.55</v>
      </c>
      <c r="AF2010" s="0" t="n">
        <v>0.71</v>
      </c>
      <c r="AG2010" s="22" t="b">
        <f aca="false">FALSE()</f>
        <v>0</v>
      </c>
      <c r="AH2010" s="0" t="n">
        <v>1</v>
      </c>
    </row>
    <row r="2011" customFormat="false" ht="15" hidden="false" customHeight="false" outlineLevel="0" collapsed="false">
      <c r="A2011" s="0" t="s">
        <v>3001</v>
      </c>
      <c r="B2011" s="0" t="s">
        <v>134</v>
      </c>
      <c r="C2011" s="0" t="s">
        <v>3450</v>
      </c>
      <c r="D2011" s="0" t="s">
        <v>3448</v>
      </c>
      <c r="E2011" s="20" t="s">
        <v>25</v>
      </c>
      <c r="F2011" s="23" t="s">
        <v>30</v>
      </c>
      <c r="G2011" s="21" t="s">
        <v>283</v>
      </c>
      <c r="H2011" s="21" t="s">
        <v>24</v>
      </c>
      <c r="I2011" s="21" t="s">
        <v>25</v>
      </c>
      <c r="J2011" s="21" t="s">
        <v>24</v>
      </c>
      <c r="K2011" s="21" t="s">
        <v>24</v>
      </c>
      <c r="L2011" s="21" t="s">
        <v>24</v>
      </c>
      <c r="M2011" s="0" t="n">
        <v>195</v>
      </c>
      <c r="N2011" s="0" t="n">
        <v>3</v>
      </c>
      <c r="O2011" s="21" t="s">
        <v>3649</v>
      </c>
      <c r="P2011" s="21" t="s">
        <v>4242</v>
      </c>
      <c r="Q2011" s="0" t="n">
        <v>1</v>
      </c>
      <c r="R2011" s="21" t="s">
        <v>69</v>
      </c>
      <c r="S2011" s="0" t="n">
        <v>3</v>
      </c>
      <c r="T2011" s="21" t="s">
        <v>3649</v>
      </c>
      <c r="U2011" s="22" t="b">
        <f aca="false">TRUE()</f>
        <v>1</v>
      </c>
      <c r="V2011" s="0" t="n">
        <v>0.69</v>
      </c>
      <c r="W2011" s="0" t="n">
        <v>0.56</v>
      </c>
      <c r="X2011" s="0" t="n">
        <v>5.83</v>
      </c>
      <c r="Y2011" s="0" t="n">
        <v>345.96</v>
      </c>
      <c r="Z2011" s="0" t="n">
        <v>10</v>
      </c>
      <c r="AA2011" s="0" t="n">
        <v>9.22</v>
      </c>
      <c r="AB2011" s="0" t="n">
        <v>3.51</v>
      </c>
      <c r="AC2011" s="22" t="b">
        <f aca="false">FALSE()</f>
        <v>0</v>
      </c>
      <c r="AD2011" s="0" t="n">
        <v>11.49</v>
      </c>
      <c r="AE2011" s="0" t="n">
        <v>0.48</v>
      </c>
      <c r="AF2011" s="0" t="n">
        <v>2.69</v>
      </c>
      <c r="AG2011" s="22" t="b">
        <f aca="false">TRUE()</f>
        <v>1</v>
      </c>
      <c r="AH2011" s="0" t="n">
        <v>1</v>
      </c>
    </row>
    <row r="2012" customFormat="false" ht="15" hidden="false" customHeight="false" outlineLevel="0" collapsed="false">
      <c r="A2012" s="0" t="s">
        <v>3001</v>
      </c>
      <c r="B2012" s="0" t="s">
        <v>134</v>
      </c>
      <c r="C2012" s="0" t="s">
        <v>3447</v>
      </c>
      <c r="D2012" s="0" t="s">
        <v>3457</v>
      </c>
      <c r="E2012" s="20" t="s">
        <v>25</v>
      </c>
      <c r="F2012" s="20" t="s">
        <v>29</v>
      </c>
      <c r="G2012" s="21" t="s">
        <v>63</v>
      </c>
      <c r="H2012" s="21" t="s">
        <v>24</v>
      </c>
      <c r="I2012" s="21" t="s">
        <v>24</v>
      </c>
      <c r="J2012" s="21" t="s">
        <v>24</v>
      </c>
      <c r="K2012" s="21" t="s">
        <v>25</v>
      </c>
      <c r="L2012" s="21" t="s">
        <v>24</v>
      </c>
      <c r="M2012" s="0" t="n">
        <v>186</v>
      </c>
      <c r="N2012" s="0" t="n">
        <v>0</v>
      </c>
      <c r="Q2012" s="0" t="n">
        <v>0</v>
      </c>
      <c r="S2012" s="0" t="n">
        <v>0</v>
      </c>
      <c r="U2012" s="22" t="b">
        <f aca="false">FALSE()</f>
        <v>0</v>
      </c>
      <c r="V2012" s="0" t="n">
        <v>0.73</v>
      </c>
      <c r="W2012" s="0" t="n">
        <v>0.76</v>
      </c>
      <c r="X2012" s="0" t="n">
        <v>4.97</v>
      </c>
      <c r="Y2012" s="0" t="n">
        <v>321.88</v>
      </c>
      <c r="Z2012" s="0" t="n">
        <v>8</v>
      </c>
      <c r="AA2012" s="0" t="n">
        <v>-1.04</v>
      </c>
      <c r="AB2012" s="0" t="n">
        <v>1.37</v>
      </c>
      <c r="AC2012" s="22" t="b">
        <f aca="false">FALSE()</f>
        <v>0</v>
      </c>
      <c r="AD2012" s="0" t="n">
        <v>5.71</v>
      </c>
      <c r="AE2012" s="0" t="n">
        <v>0.29</v>
      </c>
      <c r="AF2012" s="0" t="n">
        <v>1.65</v>
      </c>
      <c r="AG2012" s="22" t="b">
        <f aca="false">FALSE()</f>
        <v>0</v>
      </c>
      <c r="AH2012" s="0" t="n">
        <v>1</v>
      </c>
    </row>
    <row r="2013" customFormat="false" ht="15" hidden="false" customHeight="false" outlineLevel="0" collapsed="false">
      <c r="A2013" s="0" t="s">
        <v>3001</v>
      </c>
      <c r="B2013" s="0" t="s">
        <v>134</v>
      </c>
      <c r="C2013" s="0" t="s">
        <v>3447</v>
      </c>
      <c r="D2013" s="0" t="s">
        <v>3448</v>
      </c>
      <c r="E2013" s="20" t="s">
        <v>25</v>
      </c>
      <c r="F2013" s="23" t="s">
        <v>30</v>
      </c>
      <c r="G2013" s="21" t="s">
        <v>283</v>
      </c>
      <c r="H2013" s="21" t="s">
        <v>24</v>
      </c>
      <c r="I2013" s="21" t="s">
        <v>25</v>
      </c>
      <c r="J2013" s="21" t="s">
        <v>24</v>
      </c>
      <c r="K2013" s="21" t="s">
        <v>24</v>
      </c>
      <c r="L2013" s="21" t="s">
        <v>24</v>
      </c>
      <c r="M2013" s="0" t="n">
        <v>191</v>
      </c>
      <c r="N2013" s="0" t="n">
        <v>1</v>
      </c>
      <c r="O2013" s="21" t="s">
        <v>69</v>
      </c>
      <c r="P2013" s="21" t="s">
        <v>4275</v>
      </c>
      <c r="Q2013" s="0" t="n">
        <v>1</v>
      </c>
      <c r="R2013" s="21" t="s">
        <v>69</v>
      </c>
      <c r="S2013" s="0" t="n">
        <v>1</v>
      </c>
      <c r="T2013" s="21" t="s">
        <v>69</v>
      </c>
      <c r="U2013" s="22" t="b">
        <f aca="false">TRUE()</f>
        <v>1</v>
      </c>
      <c r="V2013" s="0" t="n">
        <v>0.72</v>
      </c>
      <c r="W2013" s="0" t="n">
        <v>0.56</v>
      </c>
      <c r="X2013" s="0" t="n">
        <v>5.24</v>
      </c>
      <c r="Y2013" s="0" t="n">
        <v>338.78</v>
      </c>
      <c r="Z2013" s="0" t="n">
        <v>10.42</v>
      </c>
      <c r="AA2013" s="0" t="n">
        <v>4.28</v>
      </c>
      <c r="AB2013" s="0" t="n">
        <v>3.51</v>
      </c>
      <c r="AC2013" s="22" t="b">
        <f aca="false">FALSE()</f>
        <v>0</v>
      </c>
      <c r="AD2013" s="0" t="n">
        <v>14.62</v>
      </c>
      <c r="AE2013" s="0" t="n">
        <v>0.61</v>
      </c>
      <c r="AF2013" s="0" t="n">
        <v>0.29</v>
      </c>
      <c r="AG2013" s="22" t="b">
        <f aca="false">TRUE()</f>
        <v>1</v>
      </c>
      <c r="AH2013" s="0" t="n">
        <v>1</v>
      </c>
    </row>
    <row r="2014" customFormat="false" ht="15" hidden="false" customHeight="false" outlineLevel="0" collapsed="false">
      <c r="A2014" s="0" t="s">
        <v>3007</v>
      </c>
      <c r="B2014" s="0" t="s">
        <v>134</v>
      </c>
      <c r="C2014" s="0" t="s">
        <v>3450</v>
      </c>
      <c r="D2014" s="0" t="s">
        <v>3457</v>
      </c>
      <c r="E2014" s="18" t="s">
        <v>24</v>
      </c>
      <c r="F2014" s="23" t="s">
        <v>30</v>
      </c>
      <c r="G2014" s="21" t="s">
        <v>30</v>
      </c>
      <c r="H2014" s="21" t="s">
        <v>24</v>
      </c>
      <c r="I2014" s="21" t="s">
        <v>24</v>
      </c>
      <c r="J2014" s="21" t="s">
        <v>24</v>
      </c>
      <c r="K2014" s="21" t="s">
        <v>24</v>
      </c>
      <c r="L2014" s="21" t="s">
        <v>24</v>
      </c>
      <c r="M2014" s="0" t="n">
        <v>183</v>
      </c>
      <c r="N2014" s="0" t="n">
        <v>2</v>
      </c>
      <c r="O2014" s="21" t="s">
        <v>3506</v>
      </c>
      <c r="P2014" s="21" t="s">
        <v>4449</v>
      </c>
      <c r="Q2014" s="0" t="n">
        <v>0</v>
      </c>
      <c r="S2014" s="0" t="n">
        <v>2</v>
      </c>
      <c r="T2014" s="21" t="s">
        <v>3506</v>
      </c>
      <c r="U2014" s="22" t="b">
        <f aca="false">TRUE()</f>
        <v>1</v>
      </c>
      <c r="V2014" s="0" t="n">
        <v>0.83</v>
      </c>
      <c r="W2014" s="0" t="n">
        <v>0.64</v>
      </c>
      <c r="X2014" s="0" t="n">
        <v>7.62</v>
      </c>
      <c r="Y2014" s="0" t="n">
        <v>289.3</v>
      </c>
      <c r="Z2014" s="0" t="n">
        <v>10.08</v>
      </c>
      <c r="AA2014" s="0" t="n">
        <v>13.19</v>
      </c>
      <c r="AB2014" s="0" t="n">
        <v>15.42</v>
      </c>
      <c r="AC2014" s="22" t="b">
        <f aca="false">FALSE()</f>
        <v>0</v>
      </c>
      <c r="AD2014" s="0" t="n">
        <v>7.18</v>
      </c>
      <c r="AE2014" s="0" t="n">
        <v>0.77</v>
      </c>
      <c r="AF2014" s="0" t="n">
        <v>4.02</v>
      </c>
      <c r="AG2014" s="22" t="b">
        <f aca="false">FALSE()</f>
        <v>0</v>
      </c>
      <c r="AH2014" s="0" t="n">
        <v>1</v>
      </c>
    </row>
    <row r="2015" customFormat="false" ht="15" hidden="false" customHeight="false" outlineLevel="0" collapsed="false">
      <c r="A2015" s="0" t="s">
        <v>3007</v>
      </c>
      <c r="B2015" s="0" t="s">
        <v>134</v>
      </c>
      <c r="C2015" s="0" t="s">
        <v>3450</v>
      </c>
      <c r="D2015" s="0" t="s">
        <v>3448</v>
      </c>
      <c r="E2015" s="20" t="s">
        <v>25</v>
      </c>
      <c r="F2015" s="23" t="s">
        <v>30</v>
      </c>
      <c r="G2015" s="21" t="s">
        <v>1099</v>
      </c>
      <c r="H2015" s="21" t="s">
        <v>24</v>
      </c>
      <c r="I2015" s="21" t="s">
        <v>25</v>
      </c>
      <c r="J2015" s="21" t="s">
        <v>24</v>
      </c>
      <c r="K2015" s="21" t="s">
        <v>25</v>
      </c>
      <c r="L2015" s="21" t="s">
        <v>24</v>
      </c>
      <c r="M2015" s="0" t="n">
        <v>187</v>
      </c>
      <c r="N2015" s="0" t="n">
        <v>3</v>
      </c>
      <c r="O2015" s="21" t="s">
        <v>3669</v>
      </c>
      <c r="P2015" s="21" t="s">
        <v>4626</v>
      </c>
      <c r="Q2015" s="0" t="n">
        <v>1</v>
      </c>
      <c r="R2015" s="21" t="s">
        <v>69</v>
      </c>
      <c r="S2015" s="0" t="n">
        <v>3</v>
      </c>
      <c r="T2015" s="21" t="s">
        <v>3669</v>
      </c>
      <c r="U2015" s="22" t="b">
        <f aca="false">TRUE()</f>
        <v>1</v>
      </c>
      <c r="V2015" s="0" t="n">
        <v>0.77</v>
      </c>
      <c r="W2015" s="0" t="n">
        <v>0.2</v>
      </c>
      <c r="X2015" s="0" t="n">
        <v>6.82</v>
      </c>
      <c r="Y2015" s="0" t="n">
        <v>511.46</v>
      </c>
      <c r="Z2015" s="0" t="n">
        <v>10</v>
      </c>
      <c r="AA2015" s="0" t="n">
        <v>13.48</v>
      </c>
      <c r="AB2015" s="0" t="n">
        <v>0.92</v>
      </c>
      <c r="AC2015" s="22" t="b">
        <f aca="false">FALSE()</f>
        <v>0</v>
      </c>
      <c r="AD2015" s="0" t="n">
        <v>10.24</v>
      </c>
      <c r="AE2015" s="0" t="n">
        <v>1.1</v>
      </c>
      <c r="AF2015" s="0" t="n">
        <v>0.51</v>
      </c>
      <c r="AG2015" s="22" t="b">
        <f aca="false">TRUE()</f>
        <v>1</v>
      </c>
      <c r="AH2015" s="0" t="n">
        <v>1</v>
      </c>
    </row>
    <row r="2016" customFormat="false" ht="15" hidden="false" customHeight="false" outlineLevel="0" collapsed="false">
      <c r="A2016" s="0" t="s">
        <v>3007</v>
      </c>
      <c r="B2016" s="0" t="s">
        <v>134</v>
      </c>
      <c r="C2016" s="0" t="s">
        <v>3447</v>
      </c>
      <c r="D2016" s="0" t="s">
        <v>3457</v>
      </c>
      <c r="E2016" s="18" t="s">
        <v>24</v>
      </c>
      <c r="F2016" s="23" t="s">
        <v>30</v>
      </c>
      <c r="G2016" s="21" t="s">
        <v>30</v>
      </c>
      <c r="H2016" s="21" t="s">
        <v>24</v>
      </c>
      <c r="I2016" s="21" t="s">
        <v>24</v>
      </c>
      <c r="J2016" s="21" t="s">
        <v>24</v>
      </c>
      <c r="K2016" s="21" t="s">
        <v>24</v>
      </c>
      <c r="L2016" s="21" t="s">
        <v>24</v>
      </c>
      <c r="M2016" s="0" t="n">
        <v>183</v>
      </c>
      <c r="N2016" s="0" t="n">
        <v>6</v>
      </c>
      <c r="O2016" s="21" t="s">
        <v>3742</v>
      </c>
      <c r="P2016" s="21" t="s">
        <v>4894</v>
      </c>
      <c r="Q2016" s="0" t="n">
        <v>0</v>
      </c>
      <c r="S2016" s="0" t="n">
        <v>6</v>
      </c>
      <c r="T2016" s="21" t="s">
        <v>3742</v>
      </c>
      <c r="U2016" s="22" t="b">
        <f aca="false">TRUE()</f>
        <v>1</v>
      </c>
      <c r="V2016" s="0" t="n">
        <v>0.82</v>
      </c>
      <c r="W2016" s="0" t="n">
        <v>0.6</v>
      </c>
      <c r="X2016" s="0" t="n">
        <v>5.99</v>
      </c>
      <c r="Y2016" s="0" t="n">
        <v>306.93</v>
      </c>
      <c r="Z2016" s="0" t="n">
        <v>11.25</v>
      </c>
      <c r="AA2016" s="0" t="n">
        <v>-1.38</v>
      </c>
      <c r="AB2016" s="0" t="n">
        <v>15.42</v>
      </c>
      <c r="AC2016" s="22" t="b">
        <f aca="false">FALSE()</f>
        <v>0</v>
      </c>
      <c r="AD2016" s="0" t="n">
        <v>6.43</v>
      </c>
      <c r="AE2016" s="0" t="n">
        <v>0.01</v>
      </c>
      <c r="AF2016" s="0" t="n">
        <v>3.28</v>
      </c>
      <c r="AG2016" s="22" t="b">
        <f aca="false">FALSE()</f>
        <v>0</v>
      </c>
      <c r="AH2016" s="0" t="n">
        <v>1</v>
      </c>
    </row>
    <row r="2017" customFormat="false" ht="15" hidden="false" customHeight="false" outlineLevel="0" collapsed="false">
      <c r="A2017" s="0" t="s">
        <v>3007</v>
      </c>
      <c r="B2017" s="0" t="s">
        <v>134</v>
      </c>
      <c r="C2017" s="0" t="s">
        <v>3447</v>
      </c>
      <c r="D2017" s="0" t="s">
        <v>3448</v>
      </c>
      <c r="E2017" s="20" t="s">
        <v>25</v>
      </c>
      <c r="F2017" s="23" t="s">
        <v>30</v>
      </c>
      <c r="G2017" s="21" t="s">
        <v>2133</v>
      </c>
      <c r="H2017" s="21" t="s">
        <v>24</v>
      </c>
      <c r="I2017" s="21" t="s">
        <v>24</v>
      </c>
      <c r="J2017" s="21" t="s">
        <v>24</v>
      </c>
      <c r="K2017" s="21" t="s">
        <v>25</v>
      </c>
      <c r="L2017" s="21" t="s">
        <v>24</v>
      </c>
      <c r="M2017" s="0" t="n">
        <v>212</v>
      </c>
      <c r="N2017" s="0" t="n">
        <v>5</v>
      </c>
      <c r="O2017" s="21" t="s">
        <v>3687</v>
      </c>
      <c r="P2017" s="21" t="s">
        <v>4895</v>
      </c>
      <c r="Q2017" s="0" t="n">
        <v>0</v>
      </c>
      <c r="S2017" s="0" t="n">
        <v>5</v>
      </c>
      <c r="T2017" s="21" t="s">
        <v>3687</v>
      </c>
      <c r="U2017" s="22" t="b">
        <f aca="false">TRUE()</f>
        <v>1</v>
      </c>
      <c r="V2017" s="0" t="n">
        <v>0.78</v>
      </c>
      <c r="W2017" s="0" t="n">
        <v>0.68</v>
      </c>
      <c r="X2017" s="0" t="n">
        <v>7.25</v>
      </c>
      <c r="Y2017" s="0" t="n">
        <v>363.68</v>
      </c>
      <c r="Z2017" s="0" t="n">
        <v>8</v>
      </c>
      <c r="AA2017" s="0" t="n">
        <v>-1.08</v>
      </c>
      <c r="AB2017" s="0" t="n">
        <v>0.92</v>
      </c>
      <c r="AC2017" s="22" t="b">
        <f aca="false">FALSE()</f>
        <v>0</v>
      </c>
      <c r="AD2017" s="0" t="n">
        <v>6.47</v>
      </c>
      <c r="AE2017" s="0" t="n">
        <v>0.24</v>
      </c>
      <c r="AF2017" s="0" t="n">
        <v>0.7</v>
      </c>
      <c r="AG2017" s="22" t="b">
        <f aca="false">FALSE()</f>
        <v>0</v>
      </c>
      <c r="AH2017" s="0" t="n">
        <v>1</v>
      </c>
    </row>
    <row r="2018" customFormat="false" ht="15" hidden="false" customHeight="false" outlineLevel="0" collapsed="false">
      <c r="A2018" s="0" t="s">
        <v>3016</v>
      </c>
      <c r="B2018" s="0" t="s">
        <v>134</v>
      </c>
      <c r="C2018" s="0" t="s">
        <v>3450</v>
      </c>
      <c r="D2018" s="0" t="s">
        <v>3457</v>
      </c>
      <c r="E2018" s="19" t="s">
        <v>26</v>
      </c>
      <c r="F2018" s="19" t="s">
        <v>32</v>
      </c>
      <c r="G2018" s="21" t="s">
        <v>529</v>
      </c>
      <c r="H2018" s="21" t="s">
        <v>24</v>
      </c>
      <c r="I2018" s="21" t="s">
        <v>26</v>
      </c>
      <c r="J2018" s="21" t="s">
        <v>24</v>
      </c>
      <c r="K2018" s="21" t="s">
        <v>24</v>
      </c>
      <c r="L2018" s="21" t="s">
        <v>24</v>
      </c>
      <c r="M2018" s="0" t="n">
        <v>183</v>
      </c>
      <c r="N2018" s="0" t="n">
        <v>9</v>
      </c>
      <c r="O2018" s="21" t="s">
        <v>4155</v>
      </c>
      <c r="P2018" s="21" t="s">
        <v>4704</v>
      </c>
      <c r="Q2018" s="0" t="n">
        <v>1</v>
      </c>
      <c r="R2018" s="21" t="s">
        <v>69</v>
      </c>
      <c r="S2018" s="0" t="n">
        <v>9</v>
      </c>
      <c r="T2018" s="21" t="s">
        <v>4155</v>
      </c>
      <c r="U2018" s="22" t="b">
        <f aca="false">FALSE()</f>
        <v>0</v>
      </c>
      <c r="V2018" s="0" t="n">
        <v>0.62</v>
      </c>
      <c r="W2018" s="0" t="n">
        <v>0</v>
      </c>
      <c r="X2018" s="0" t="n">
        <v>6.95</v>
      </c>
      <c r="Y2018" s="0" t="n">
        <v>696.27</v>
      </c>
      <c r="Z2018" s="0" t="n">
        <v>9.5</v>
      </c>
      <c r="AA2018" s="0" t="n">
        <v>11.47</v>
      </c>
      <c r="AB2018" s="0" t="n">
        <v>3.97</v>
      </c>
      <c r="AC2018" s="22" t="b">
        <f aca="false">FALSE()</f>
        <v>0</v>
      </c>
      <c r="AD2018" s="0" t="n">
        <v>7.47</v>
      </c>
      <c r="AE2018" s="0" t="n">
        <v>0.19</v>
      </c>
      <c r="AF2018" s="0" t="n">
        <v>2.59</v>
      </c>
      <c r="AG2018" s="22" t="b">
        <f aca="false">FALSE()</f>
        <v>0</v>
      </c>
      <c r="AH2018" s="0" t="n">
        <v>1</v>
      </c>
    </row>
    <row r="2019" customFormat="false" ht="15" hidden="false" customHeight="false" outlineLevel="0" collapsed="false">
      <c r="A2019" s="0" t="s">
        <v>3016</v>
      </c>
      <c r="B2019" s="0" t="s">
        <v>134</v>
      </c>
      <c r="C2019" s="0" t="s">
        <v>3450</v>
      </c>
      <c r="D2019" s="0" t="s">
        <v>3448</v>
      </c>
      <c r="E2019" s="20" t="s">
        <v>25</v>
      </c>
      <c r="F2019" s="23" t="s">
        <v>30</v>
      </c>
      <c r="G2019" s="21" t="s">
        <v>1230</v>
      </c>
      <c r="H2019" s="21" t="s">
        <v>24</v>
      </c>
      <c r="I2019" s="21" t="s">
        <v>25</v>
      </c>
      <c r="J2019" s="21" t="s">
        <v>24</v>
      </c>
      <c r="K2019" s="21" t="s">
        <v>25</v>
      </c>
      <c r="L2019" s="21" t="s">
        <v>24</v>
      </c>
      <c r="M2019" s="0" t="n">
        <v>184</v>
      </c>
      <c r="N2019" s="0" t="n">
        <v>2</v>
      </c>
      <c r="O2019" s="21" t="s">
        <v>3566</v>
      </c>
      <c r="P2019" s="21" t="s">
        <v>4238</v>
      </c>
      <c r="Q2019" s="0" t="n">
        <v>1</v>
      </c>
      <c r="R2019" s="21" t="s">
        <v>69</v>
      </c>
      <c r="S2019" s="0" t="n">
        <v>2</v>
      </c>
      <c r="T2019" s="21" t="s">
        <v>3566</v>
      </c>
      <c r="U2019" s="22" t="b">
        <f aca="false">TRUE()</f>
        <v>1</v>
      </c>
      <c r="V2019" s="0" t="n">
        <v>0.66</v>
      </c>
      <c r="W2019" s="0" t="n">
        <v>0.76</v>
      </c>
      <c r="X2019" s="0" t="n">
        <v>6.08</v>
      </c>
      <c r="Y2019" s="0" t="n">
        <v>320.94</v>
      </c>
      <c r="Z2019" s="0" t="n">
        <v>9.5</v>
      </c>
      <c r="AA2019" s="0" t="n">
        <v>0.4</v>
      </c>
      <c r="AB2019" s="0" t="n">
        <v>7.22</v>
      </c>
      <c r="AC2019" s="22" t="b">
        <f aca="false">FALSE()</f>
        <v>0</v>
      </c>
      <c r="AD2019" s="0" t="n">
        <v>3.05</v>
      </c>
      <c r="AE2019" s="0" t="n">
        <v>0.69</v>
      </c>
      <c r="AF2019" s="0" t="n">
        <v>3.3</v>
      </c>
      <c r="AG2019" s="22" t="b">
        <f aca="false">FALSE()</f>
        <v>0</v>
      </c>
      <c r="AH2019" s="0" t="n">
        <v>1</v>
      </c>
    </row>
    <row r="2020" customFormat="false" ht="15" hidden="false" customHeight="false" outlineLevel="0" collapsed="false">
      <c r="A2020" s="0" t="s">
        <v>3016</v>
      </c>
      <c r="B2020" s="0" t="s">
        <v>134</v>
      </c>
      <c r="C2020" s="0" t="s">
        <v>3447</v>
      </c>
      <c r="D2020" s="0" t="s">
        <v>3457</v>
      </c>
      <c r="E2020" s="18" t="s">
        <v>24</v>
      </c>
      <c r="F2020" s="18" t="s">
        <v>28</v>
      </c>
      <c r="H2020" s="21" t="s">
        <v>24</v>
      </c>
      <c r="I2020" s="21" t="s">
        <v>24</v>
      </c>
      <c r="J2020" s="21" t="s">
        <v>24</v>
      </c>
      <c r="K2020" s="21" t="s">
        <v>24</v>
      </c>
      <c r="L2020" s="21" t="s">
        <v>24</v>
      </c>
      <c r="M2020" s="0" t="n">
        <v>183</v>
      </c>
      <c r="N2020" s="0" t="n">
        <v>0</v>
      </c>
      <c r="Q2020" s="0" t="n">
        <v>0</v>
      </c>
      <c r="S2020" s="0" t="n">
        <v>0</v>
      </c>
      <c r="U2020" s="22" t="b">
        <f aca="false">FALSE()</f>
        <v>0</v>
      </c>
      <c r="V2020" s="0" t="n">
        <v>0.73</v>
      </c>
      <c r="W2020" s="0" t="n">
        <v>0.92</v>
      </c>
      <c r="X2020" s="0" t="n">
        <v>6.51</v>
      </c>
      <c r="Y2020" s="0" t="n">
        <v>311.57</v>
      </c>
      <c r="Z2020" s="0" t="n">
        <v>8.75</v>
      </c>
      <c r="AA2020" s="0" t="n">
        <v>-0.62</v>
      </c>
      <c r="AB2020" s="0" t="n">
        <v>3.97</v>
      </c>
      <c r="AC2020" s="22" t="b">
        <f aca="false">FALSE()</f>
        <v>0</v>
      </c>
      <c r="AD2020" s="0" t="n">
        <v>7.65</v>
      </c>
      <c r="AE2020" s="0" t="n">
        <v>0.7</v>
      </c>
      <c r="AF2020" s="0" t="n">
        <v>4.11</v>
      </c>
      <c r="AG2020" s="22" t="b">
        <f aca="false">FALSE()</f>
        <v>0</v>
      </c>
      <c r="AH2020" s="0" t="n">
        <v>1</v>
      </c>
    </row>
    <row r="2021" customFormat="false" ht="15" hidden="false" customHeight="false" outlineLevel="0" collapsed="false">
      <c r="A2021" s="0" t="s">
        <v>3016</v>
      </c>
      <c r="B2021" s="0" t="s">
        <v>134</v>
      </c>
      <c r="C2021" s="0" t="s">
        <v>3447</v>
      </c>
      <c r="D2021" s="0" t="s">
        <v>3448</v>
      </c>
      <c r="E2021" s="18" t="s">
        <v>24</v>
      </c>
      <c r="F2021" s="23" t="s">
        <v>30</v>
      </c>
      <c r="G2021" s="21" t="s">
        <v>30</v>
      </c>
      <c r="H2021" s="21" t="s">
        <v>24</v>
      </c>
      <c r="I2021" s="21" t="s">
        <v>24</v>
      </c>
      <c r="J2021" s="21" t="s">
        <v>24</v>
      </c>
      <c r="K2021" s="21" t="s">
        <v>24</v>
      </c>
      <c r="L2021" s="21" t="s">
        <v>24</v>
      </c>
      <c r="M2021" s="0" t="n">
        <v>183</v>
      </c>
      <c r="N2021" s="0" t="n">
        <v>2</v>
      </c>
      <c r="O2021" s="21" t="s">
        <v>3524</v>
      </c>
      <c r="P2021" s="21" t="s">
        <v>4550</v>
      </c>
      <c r="Q2021" s="0" t="n">
        <v>0</v>
      </c>
      <c r="S2021" s="0" t="n">
        <v>2</v>
      </c>
      <c r="T2021" s="21" t="s">
        <v>3524</v>
      </c>
      <c r="U2021" s="22" t="b">
        <f aca="false">TRUE()</f>
        <v>1</v>
      </c>
      <c r="V2021" s="0" t="n">
        <v>0.76</v>
      </c>
      <c r="W2021" s="0" t="n">
        <v>0.6</v>
      </c>
      <c r="X2021" s="0" t="n">
        <v>7.15</v>
      </c>
      <c r="Y2021" s="0" t="n">
        <v>319.43</v>
      </c>
      <c r="Z2021" s="0" t="n">
        <v>8.5</v>
      </c>
      <c r="AA2021" s="0" t="n">
        <v>2.54</v>
      </c>
      <c r="AB2021" s="0" t="n">
        <v>7.22</v>
      </c>
      <c r="AC2021" s="22" t="b">
        <f aca="false">FALSE()</f>
        <v>0</v>
      </c>
      <c r="AD2021" s="0" t="n">
        <v>7.27</v>
      </c>
      <c r="AE2021" s="0" t="n">
        <v>0.49</v>
      </c>
      <c r="AF2021" s="0" t="n">
        <v>5.43</v>
      </c>
      <c r="AG2021" s="22" t="b">
        <f aca="false">FALSE()</f>
        <v>0</v>
      </c>
      <c r="AH2021" s="0" t="n">
        <v>1</v>
      </c>
    </row>
    <row r="2022" customFormat="false" ht="15" hidden="false" customHeight="false" outlineLevel="0" collapsed="false">
      <c r="A2022" s="0" t="s">
        <v>3022</v>
      </c>
      <c r="B2022" s="0" t="s">
        <v>134</v>
      </c>
      <c r="C2022" s="0" t="s">
        <v>3450</v>
      </c>
      <c r="D2022" s="0" t="s">
        <v>3457</v>
      </c>
      <c r="E2022" s="20" t="s">
        <v>25</v>
      </c>
      <c r="F2022" s="20" t="s">
        <v>29</v>
      </c>
      <c r="G2022" s="21" t="s">
        <v>61</v>
      </c>
      <c r="H2022" s="21" t="s">
        <v>24</v>
      </c>
      <c r="I2022" s="21" t="s">
        <v>24</v>
      </c>
      <c r="J2022" s="21" t="s">
        <v>24</v>
      </c>
      <c r="K2022" s="21" t="s">
        <v>25</v>
      </c>
      <c r="L2022" s="21" t="s">
        <v>24</v>
      </c>
      <c r="M2022" s="0" t="n">
        <v>187</v>
      </c>
      <c r="N2022" s="0" t="n">
        <v>0</v>
      </c>
      <c r="Q2022" s="0" t="n">
        <v>0</v>
      </c>
      <c r="S2022" s="0" t="n">
        <v>0</v>
      </c>
      <c r="U2022" s="22" t="b">
        <f aca="false">FALSE()</f>
        <v>0</v>
      </c>
      <c r="V2022" s="0" t="n">
        <v>0.75</v>
      </c>
      <c r="W2022" s="0" t="n">
        <v>0.6</v>
      </c>
      <c r="X2022" s="0" t="n">
        <v>6.1</v>
      </c>
      <c r="Y2022" s="0" t="n">
        <v>325.74</v>
      </c>
      <c r="Z2022" s="0" t="n">
        <v>9.25</v>
      </c>
      <c r="AA2022" s="0" t="n">
        <v>20.01</v>
      </c>
      <c r="AB2022" s="0" t="n">
        <v>12.52</v>
      </c>
      <c r="AC2022" s="22" t="b">
        <f aca="false">FALSE()</f>
        <v>0</v>
      </c>
      <c r="AD2022" s="0" t="n">
        <v>20.69</v>
      </c>
      <c r="AE2022" s="0" t="n">
        <v>0.57</v>
      </c>
      <c r="AF2022" s="0" t="n">
        <v>8.46</v>
      </c>
      <c r="AG2022" s="22" t="b">
        <f aca="false">TRUE()</f>
        <v>1</v>
      </c>
      <c r="AH2022" s="0" t="n">
        <v>1</v>
      </c>
    </row>
    <row r="2023" customFormat="false" ht="15" hidden="false" customHeight="false" outlineLevel="0" collapsed="false">
      <c r="A2023" s="0" t="s">
        <v>3022</v>
      </c>
      <c r="B2023" s="0" t="s">
        <v>134</v>
      </c>
      <c r="C2023" s="0" t="s">
        <v>3450</v>
      </c>
      <c r="D2023" s="0" t="s">
        <v>3448</v>
      </c>
      <c r="E2023" s="20" t="s">
        <v>25</v>
      </c>
      <c r="F2023" s="20" t="s">
        <v>29</v>
      </c>
      <c r="G2023" s="21" t="s">
        <v>62</v>
      </c>
      <c r="H2023" s="21" t="s">
        <v>24</v>
      </c>
      <c r="I2023" s="21" t="s">
        <v>24</v>
      </c>
      <c r="J2023" s="21" t="s">
        <v>24</v>
      </c>
      <c r="K2023" s="21" t="s">
        <v>25</v>
      </c>
      <c r="L2023" s="21" t="s">
        <v>24</v>
      </c>
      <c r="M2023" s="0" t="n">
        <v>192</v>
      </c>
      <c r="N2023" s="0" t="n">
        <v>0</v>
      </c>
      <c r="Q2023" s="0" t="n">
        <v>0</v>
      </c>
      <c r="S2023" s="0" t="n">
        <v>0</v>
      </c>
      <c r="U2023" s="22" t="b">
        <f aca="false">FALSE()</f>
        <v>0</v>
      </c>
      <c r="V2023" s="0" t="n">
        <v>0.76</v>
      </c>
      <c r="W2023" s="0" t="n">
        <v>0.92</v>
      </c>
      <c r="X2023" s="0" t="n">
        <v>6.63</v>
      </c>
      <c r="Y2023" s="0" t="n">
        <v>334.29</v>
      </c>
      <c r="Z2023" s="0" t="n">
        <v>9</v>
      </c>
      <c r="AA2023" s="0" t="n">
        <v>-0.09</v>
      </c>
      <c r="AB2023" s="0" t="n">
        <v>32.83</v>
      </c>
      <c r="AC2023" s="22" t="b">
        <f aca="false">FALSE()</f>
        <v>0</v>
      </c>
      <c r="AD2023" s="0" t="n">
        <v>4.1</v>
      </c>
      <c r="AE2023" s="0" t="n">
        <v>0.11</v>
      </c>
      <c r="AF2023" s="0" t="n">
        <v>2.09</v>
      </c>
      <c r="AG2023" s="22" t="b">
        <f aca="false">FALSE()</f>
        <v>0</v>
      </c>
      <c r="AH2023" s="0" t="n">
        <v>1</v>
      </c>
    </row>
    <row r="2024" customFormat="false" ht="15" hidden="false" customHeight="false" outlineLevel="0" collapsed="false">
      <c r="A2024" s="0" t="s">
        <v>3022</v>
      </c>
      <c r="B2024" s="0" t="s">
        <v>134</v>
      </c>
      <c r="C2024" s="0" t="s">
        <v>3447</v>
      </c>
      <c r="D2024" s="0" t="s">
        <v>3457</v>
      </c>
      <c r="E2024" s="19" t="s">
        <v>26</v>
      </c>
      <c r="F2024" s="19" t="s">
        <v>32</v>
      </c>
      <c r="G2024" s="21" t="s">
        <v>3896</v>
      </c>
      <c r="H2024" s="21" t="s">
        <v>24</v>
      </c>
      <c r="I2024" s="21" t="s">
        <v>26</v>
      </c>
      <c r="J2024" s="21" t="s">
        <v>24</v>
      </c>
      <c r="K2024" s="21" t="s">
        <v>25</v>
      </c>
      <c r="L2024" s="21" t="s">
        <v>24</v>
      </c>
      <c r="M2024" s="0" t="n">
        <v>185</v>
      </c>
      <c r="N2024" s="0" t="n">
        <v>7</v>
      </c>
      <c r="O2024" s="21" t="s">
        <v>3895</v>
      </c>
      <c r="P2024" s="21" t="s">
        <v>4896</v>
      </c>
      <c r="Q2024" s="0" t="n">
        <v>0</v>
      </c>
      <c r="S2024" s="0" t="n">
        <v>7</v>
      </c>
      <c r="T2024" s="21" t="s">
        <v>3895</v>
      </c>
      <c r="U2024" s="22" t="b">
        <f aca="false">FALSE()</f>
        <v>0</v>
      </c>
      <c r="V2024" s="0" t="n">
        <v>0.8</v>
      </c>
      <c r="W2024" s="0" t="n">
        <v>0.72</v>
      </c>
      <c r="X2024" s="0" t="n">
        <v>6.14</v>
      </c>
      <c r="Y2024" s="0" t="n">
        <v>318.28</v>
      </c>
      <c r="Z2024" s="0" t="n">
        <v>9.25</v>
      </c>
      <c r="AA2024" s="0" t="n">
        <v>3.15</v>
      </c>
      <c r="AB2024" s="0" t="n">
        <v>12.52</v>
      </c>
      <c r="AC2024" s="22" t="b">
        <f aca="false">FALSE()</f>
        <v>0</v>
      </c>
      <c r="AD2024" s="0" t="n">
        <v>21.16</v>
      </c>
      <c r="AE2024" s="0" t="n">
        <v>0.61</v>
      </c>
      <c r="AF2024" s="0" t="n">
        <v>11.25</v>
      </c>
      <c r="AG2024" s="22" t="b">
        <f aca="false">TRUE()</f>
        <v>1</v>
      </c>
      <c r="AH2024" s="0" t="n">
        <v>1</v>
      </c>
    </row>
    <row r="2025" customFormat="false" ht="15" hidden="false" customHeight="false" outlineLevel="0" collapsed="false">
      <c r="A2025" s="0" t="s">
        <v>3022</v>
      </c>
      <c r="B2025" s="0" t="s">
        <v>134</v>
      </c>
      <c r="C2025" s="0" t="s">
        <v>3447</v>
      </c>
      <c r="D2025" s="0" t="s">
        <v>3448</v>
      </c>
      <c r="E2025" s="20" t="s">
        <v>25</v>
      </c>
      <c r="F2025" s="23" t="s">
        <v>30</v>
      </c>
      <c r="G2025" s="21" t="s">
        <v>992</v>
      </c>
      <c r="H2025" s="21" t="s">
        <v>24</v>
      </c>
      <c r="I2025" s="21" t="s">
        <v>24</v>
      </c>
      <c r="J2025" s="21" t="s">
        <v>24</v>
      </c>
      <c r="K2025" s="21" t="s">
        <v>25</v>
      </c>
      <c r="L2025" s="21" t="s">
        <v>24</v>
      </c>
      <c r="M2025" s="0" t="n">
        <v>188</v>
      </c>
      <c r="N2025" s="0" t="n">
        <v>3</v>
      </c>
      <c r="O2025" s="21" t="s">
        <v>3558</v>
      </c>
      <c r="P2025" s="21" t="s">
        <v>4897</v>
      </c>
      <c r="Q2025" s="0" t="n">
        <v>0</v>
      </c>
      <c r="S2025" s="0" t="n">
        <v>3</v>
      </c>
      <c r="T2025" s="21" t="s">
        <v>3558</v>
      </c>
      <c r="U2025" s="22" t="b">
        <f aca="false">TRUE()</f>
        <v>1</v>
      </c>
      <c r="V2025" s="0" t="n">
        <v>0.79</v>
      </c>
      <c r="W2025" s="0" t="n">
        <v>0</v>
      </c>
      <c r="X2025" s="0" t="n">
        <v>6.36</v>
      </c>
      <c r="Y2025" s="0" t="n">
        <v>713.03</v>
      </c>
      <c r="Z2025" s="0" t="n">
        <v>9.25</v>
      </c>
      <c r="AA2025" s="0" t="n">
        <v>6.9</v>
      </c>
      <c r="AB2025" s="0" t="n">
        <v>32.83</v>
      </c>
      <c r="AC2025" s="22" t="b">
        <f aca="false">FALSE()</f>
        <v>0</v>
      </c>
      <c r="AD2025" s="0" t="n">
        <v>20.46</v>
      </c>
      <c r="AE2025" s="0" t="n">
        <v>1.16</v>
      </c>
      <c r="AF2025" s="0" t="n">
        <v>13.87</v>
      </c>
      <c r="AG2025" s="22" t="b">
        <f aca="false">TRUE()</f>
        <v>1</v>
      </c>
      <c r="AH2025" s="0" t="n">
        <v>1</v>
      </c>
    </row>
    <row r="2026" customFormat="false" ht="15" hidden="false" customHeight="false" outlineLevel="0" collapsed="false">
      <c r="A2026" s="0" t="s">
        <v>3029</v>
      </c>
      <c r="B2026" s="0" t="s">
        <v>134</v>
      </c>
      <c r="C2026" s="0" t="s">
        <v>3450</v>
      </c>
      <c r="D2026" s="0" t="s">
        <v>3457</v>
      </c>
      <c r="E2026" s="20" t="s">
        <v>25</v>
      </c>
      <c r="F2026" s="20" t="s">
        <v>29</v>
      </c>
      <c r="G2026" s="21" t="s">
        <v>61</v>
      </c>
      <c r="H2026" s="21" t="s">
        <v>24</v>
      </c>
      <c r="I2026" s="21" t="s">
        <v>24</v>
      </c>
      <c r="J2026" s="21" t="s">
        <v>24</v>
      </c>
      <c r="K2026" s="21" t="s">
        <v>25</v>
      </c>
      <c r="L2026" s="21" t="s">
        <v>24</v>
      </c>
      <c r="M2026" s="0" t="n">
        <v>183</v>
      </c>
      <c r="N2026" s="0" t="n">
        <v>0</v>
      </c>
      <c r="Q2026" s="0" t="n">
        <v>0</v>
      </c>
      <c r="S2026" s="0" t="n">
        <v>0</v>
      </c>
      <c r="U2026" s="22" t="b">
        <f aca="false">FALSE()</f>
        <v>0</v>
      </c>
      <c r="V2026" s="0" t="n">
        <v>0.78</v>
      </c>
      <c r="W2026" s="0" t="n">
        <v>0.28</v>
      </c>
      <c r="X2026" s="0" t="n">
        <v>17.18</v>
      </c>
      <c r="Y2026" s="0" t="n">
        <v>336.89</v>
      </c>
      <c r="Z2026" s="0" t="n">
        <v>9</v>
      </c>
      <c r="AA2026" s="0" t="n">
        <v>12.08</v>
      </c>
      <c r="AB2026" s="0" t="n">
        <v>2.96</v>
      </c>
      <c r="AC2026" s="22" t="b">
        <f aca="false">FALSE()</f>
        <v>0</v>
      </c>
      <c r="AD2026" s="0" t="n">
        <v>24.51</v>
      </c>
      <c r="AE2026" s="0" t="n">
        <v>10.57</v>
      </c>
      <c r="AF2026" s="0" t="n">
        <v>19.84</v>
      </c>
      <c r="AG2026" s="22" t="b">
        <f aca="false">TRUE()</f>
        <v>1</v>
      </c>
      <c r="AH2026" s="0" t="n">
        <v>1</v>
      </c>
    </row>
    <row r="2027" customFormat="false" ht="15" hidden="false" customHeight="false" outlineLevel="0" collapsed="false">
      <c r="A2027" s="0" t="s">
        <v>3029</v>
      </c>
      <c r="B2027" s="0" t="s">
        <v>134</v>
      </c>
      <c r="C2027" s="0" t="s">
        <v>3450</v>
      </c>
      <c r="D2027" s="0" t="s">
        <v>3448</v>
      </c>
      <c r="E2027" s="20" t="s">
        <v>25</v>
      </c>
      <c r="F2027" s="20" t="s">
        <v>29</v>
      </c>
      <c r="G2027" s="21" t="s">
        <v>61</v>
      </c>
      <c r="H2027" s="21" t="s">
        <v>24</v>
      </c>
      <c r="I2027" s="21" t="s">
        <v>24</v>
      </c>
      <c r="J2027" s="21" t="s">
        <v>24</v>
      </c>
      <c r="K2027" s="21" t="s">
        <v>25</v>
      </c>
      <c r="L2027" s="21" t="s">
        <v>24</v>
      </c>
      <c r="M2027" s="0" t="n">
        <v>189</v>
      </c>
      <c r="N2027" s="0" t="n">
        <v>0</v>
      </c>
      <c r="Q2027" s="0" t="n">
        <v>0</v>
      </c>
      <c r="S2027" s="0" t="n">
        <v>0</v>
      </c>
      <c r="U2027" s="22" t="b">
        <f aca="false">FALSE()</f>
        <v>0</v>
      </c>
      <c r="V2027" s="0" t="n">
        <v>0.8</v>
      </c>
      <c r="W2027" s="0" t="n">
        <v>0</v>
      </c>
      <c r="X2027" s="0" t="n">
        <v>20.47</v>
      </c>
      <c r="Y2027" s="0" t="n">
        <v>568.27</v>
      </c>
      <c r="Z2027" s="0" t="n">
        <v>9.42</v>
      </c>
      <c r="AA2027" s="0" t="n">
        <v>11.36</v>
      </c>
      <c r="AB2027" s="0" t="n">
        <v>2.35</v>
      </c>
      <c r="AC2027" s="22" t="b">
        <f aca="false">FALSE()</f>
        <v>0</v>
      </c>
      <c r="AD2027" s="0" t="n">
        <v>22.51</v>
      </c>
      <c r="AE2027" s="0" t="n">
        <v>9.29</v>
      </c>
      <c r="AF2027" s="0" t="n">
        <v>17.92</v>
      </c>
      <c r="AG2027" s="22" t="b">
        <f aca="false">TRUE()</f>
        <v>1</v>
      </c>
      <c r="AH2027" s="0" t="n">
        <v>1</v>
      </c>
    </row>
    <row r="2028" customFormat="false" ht="15" hidden="false" customHeight="false" outlineLevel="0" collapsed="false">
      <c r="A2028" s="0" t="s">
        <v>3029</v>
      </c>
      <c r="B2028" s="0" t="s">
        <v>134</v>
      </c>
      <c r="C2028" s="0" t="s">
        <v>3447</v>
      </c>
      <c r="D2028" s="0" t="s">
        <v>3457</v>
      </c>
      <c r="E2028" s="20" t="s">
        <v>25</v>
      </c>
      <c r="F2028" s="20" t="s">
        <v>29</v>
      </c>
      <c r="G2028" s="21" t="s">
        <v>61</v>
      </c>
      <c r="H2028" s="21" t="s">
        <v>24</v>
      </c>
      <c r="I2028" s="21" t="s">
        <v>24</v>
      </c>
      <c r="J2028" s="21" t="s">
        <v>24</v>
      </c>
      <c r="K2028" s="21" t="s">
        <v>25</v>
      </c>
      <c r="L2028" s="21" t="s">
        <v>24</v>
      </c>
      <c r="M2028" s="0" t="n">
        <v>185</v>
      </c>
      <c r="N2028" s="0" t="n">
        <v>0</v>
      </c>
      <c r="Q2028" s="0" t="n">
        <v>0</v>
      </c>
      <c r="S2028" s="0" t="n">
        <v>0</v>
      </c>
      <c r="U2028" s="22" t="b">
        <f aca="false">FALSE()</f>
        <v>0</v>
      </c>
      <c r="V2028" s="0" t="n">
        <v>0.78</v>
      </c>
      <c r="W2028" s="0" t="n">
        <v>0.8</v>
      </c>
      <c r="X2028" s="0" t="n">
        <v>15.1</v>
      </c>
      <c r="Y2028" s="0" t="n">
        <v>306.13</v>
      </c>
      <c r="Z2028" s="0" t="n">
        <v>9.58</v>
      </c>
      <c r="AA2028" s="0" t="n">
        <v>8.79</v>
      </c>
      <c r="AB2028" s="0" t="n">
        <v>2.96</v>
      </c>
      <c r="AC2028" s="22" t="b">
        <f aca="false">FALSE()</f>
        <v>0</v>
      </c>
      <c r="AD2028" s="0" t="n">
        <v>24.15</v>
      </c>
      <c r="AE2028" s="0" t="n">
        <v>10.7</v>
      </c>
      <c r="AF2028" s="0" t="n">
        <v>19.53</v>
      </c>
      <c r="AG2028" s="22" t="b">
        <f aca="false">TRUE()</f>
        <v>1</v>
      </c>
      <c r="AH2028" s="0" t="n">
        <v>1</v>
      </c>
    </row>
    <row r="2029" customFormat="false" ht="15" hidden="false" customHeight="false" outlineLevel="0" collapsed="false">
      <c r="A2029" s="0" t="s">
        <v>3029</v>
      </c>
      <c r="B2029" s="0" t="s">
        <v>134</v>
      </c>
      <c r="C2029" s="0" t="s">
        <v>3447</v>
      </c>
      <c r="D2029" s="0" t="s">
        <v>3448</v>
      </c>
      <c r="E2029" s="20" t="s">
        <v>25</v>
      </c>
      <c r="F2029" s="23" t="s">
        <v>30</v>
      </c>
      <c r="G2029" s="21" t="s">
        <v>183</v>
      </c>
      <c r="H2029" s="21" t="s">
        <v>24</v>
      </c>
      <c r="I2029" s="21" t="s">
        <v>25</v>
      </c>
      <c r="J2029" s="21" t="s">
        <v>24</v>
      </c>
      <c r="K2029" s="21" t="s">
        <v>25</v>
      </c>
      <c r="L2029" s="21" t="s">
        <v>24</v>
      </c>
      <c r="M2029" s="0" t="n">
        <v>185</v>
      </c>
      <c r="N2029" s="0" t="n">
        <v>2</v>
      </c>
      <c r="O2029" s="21" t="s">
        <v>3575</v>
      </c>
      <c r="P2029" s="21" t="s">
        <v>4265</v>
      </c>
      <c r="Q2029" s="0" t="n">
        <v>1</v>
      </c>
      <c r="R2029" s="21" t="s">
        <v>69</v>
      </c>
      <c r="S2029" s="0" t="n">
        <v>2</v>
      </c>
      <c r="T2029" s="21" t="s">
        <v>3575</v>
      </c>
      <c r="U2029" s="22" t="b">
        <f aca="false">TRUE()</f>
        <v>1</v>
      </c>
      <c r="V2029" s="0" t="n">
        <v>0.76</v>
      </c>
      <c r="W2029" s="0" t="n">
        <v>0.56</v>
      </c>
      <c r="X2029" s="0" t="n">
        <v>18.8</v>
      </c>
      <c r="Y2029" s="0" t="n">
        <v>292.73</v>
      </c>
      <c r="Z2029" s="0" t="n">
        <v>9.17</v>
      </c>
      <c r="AA2029" s="0" t="n">
        <v>9.37</v>
      </c>
      <c r="AB2029" s="0" t="n">
        <v>2.35</v>
      </c>
      <c r="AC2029" s="22" t="b">
        <f aca="false">FALSE()</f>
        <v>0</v>
      </c>
      <c r="AD2029" s="0" t="n">
        <v>23.83</v>
      </c>
      <c r="AE2029" s="0" t="n">
        <v>10.01</v>
      </c>
      <c r="AF2029" s="0" t="n">
        <v>17.94</v>
      </c>
      <c r="AG2029" s="22" t="b">
        <f aca="false">TRUE()</f>
        <v>1</v>
      </c>
      <c r="AH2029" s="0" t="n">
        <v>1</v>
      </c>
    </row>
    <row r="2030" customFormat="false" ht="15" hidden="false" customHeight="false" outlineLevel="0" collapsed="false">
      <c r="A2030" s="0" t="s">
        <v>3034</v>
      </c>
      <c r="B2030" s="0" t="s">
        <v>134</v>
      </c>
      <c r="C2030" s="0" t="s">
        <v>3450</v>
      </c>
      <c r="D2030" s="0" t="s">
        <v>3457</v>
      </c>
      <c r="E2030" s="18" t="s">
        <v>24</v>
      </c>
      <c r="F2030" s="18" t="s">
        <v>28</v>
      </c>
      <c r="H2030" s="21" t="s">
        <v>24</v>
      </c>
      <c r="I2030" s="21" t="s">
        <v>24</v>
      </c>
      <c r="J2030" s="21" t="s">
        <v>24</v>
      </c>
      <c r="K2030" s="21" t="s">
        <v>24</v>
      </c>
      <c r="L2030" s="21" t="s">
        <v>24</v>
      </c>
      <c r="M2030" s="0" t="n">
        <v>204</v>
      </c>
      <c r="N2030" s="0" t="n">
        <v>0</v>
      </c>
      <c r="Q2030" s="0" t="n">
        <v>0</v>
      </c>
      <c r="S2030" s="0" t="n">
        <v>0</v>
      </c>
      <c r="U2030" s="22" t="b">
        <f aca="false">FALSE()</f>
        <v>0</v>
      </c>
      <c r="V2030" s="0" t="n">
        <v>0.76</v>
      </c>
      <c r="W2030" s="0" t="n">
        <v>0.84</v>
      </c>
      <c r="X2030" s="0" t="n">
        <v>9.04</v>
      </c>
      <c r="Y2030" s="0" t="n">
        <v>348.48</v>
      </c>
      <c r="Z2030" s="0" t="n">
        <v>10</v>
      </c>
      <c r="AA2030" s="0" t="n">
        <v>9.38</v>
      </c>
      <c r="AB2030" s="0" t="n">
        <v>9.39</v>
      </c>
      <c r="AC2030" s="22" t="b">
        <f aca="false">FALSE()</f>
        <v>0</v>
      </c>
      <c r="AD2030" s="0" t="n">
        <v>8.59</v>
      </c>
      <c r="AE2030" s="0" t="n">
        <v>1</v>
      </c>
      <c r="AF2030" s="0" t="n">
        <v>5.39</v>
      </c>
      <c r="AG2030" s="22" t="b">
        <f aca="false">FALSE()</f>
        <v>0</v>
      </c>
      <c r="AH2030" s="0" t="n">
        <v>1</v>
      </c>
    </row>
    <row r="2031" customFormat="false" ht="15" hidden="false" customHeight="false" outlineLevel="0" collapsed="false">
      <c r="A2031" s="0" t="s">
        <v>3034</v>
      </c>
      <c r="B2031" s="0" t="s">
        <v>134</v>
      </c>
      <c r="C2031" s="0" t="s">
        <v>3450</v>
      </c>
      <c r="D2031" s="0" t="s">
        <v>3448</v>
      </c>
      <c r="E2031" s="20" t="s">
        <v>25</v>
      </c>
      <c r="F2031" s="23" t="s">
        <v>30</v>
      </c>
      <c r="G2031" s="21" t="s">
        <v>283</v>
      </c>
      <c r="H2031" s="21" t="s">
        <v>24</v>
      </c>
      <c r="I2031" s="21" t="s">
        <v>25</v>
      </c>
      <c r="J2031" s="21" t="s">
        <v>24</v>
      </c>
      <c r="K2031" s="21" t="s">
        <v>24</v>
      </c>
      <c r="L2031" s="21" t="s">
        <v>24</v>
      </c>
      <c r="M2031" s="0" t="n">
        <v>189</v>
      </c>
      <c r="N2031" s="0" t="n">
        <v>1</v>
      </c>
      <c r="O2031" s="21" t="s">
        <v>69</v>
      </c>
      <c r="P2031" s="21" t="s">
        <v>4275</v>
      </c>
      <c r="Q2031" s="0" t="n">
        <v>1</v>
      </c>
      <c r="R2031" s="21" t="s">
        <v>69</v>
      </c>
      <c r="S2031" s="0" t="n">
        <v>1</v>
      </c>
      <c r="T2031" s="21" t="s">
        <v>69</v>
      </c>
      <c r="U2031" s="22" t="b">
        <f aca="false">TRUE()</f>
        <v>1</v>
      </c>
      <c r="V2031" s="0" t="n">
        <v>0.78</v>
      </c>
      <c r="W2031" s="0" t="n">
        <v>0.84</v>
      </c>
      <c r="X2031" s="0" t="n">
        <v>10.69</v>
      </c>
      <c r="Y2031" s="0" t="n">
        <v>324.1</v>
      </c>
      <c r="Z2031" s="0" t="n">
        <v>10</v>
      </c>
      <c r="AA2031" s="0" t="n">
        <v>16.42</v>
      </c>
      <c r="AB2031" s="0" t="n">
        <v>2.97</v>
      </c>
      <c r="AC2031" s="22" t="b">
        <f aca="false">FALSE()</f>
        <v>0</v>
      </c>
      <c r="AD2031" s="0" t="n">
        <v>11.37</v>
      </c>
      <c r="AE2031" s="0" t="n">
        <v>0.47</v>
      </c>
      <c r="AF2031" s="0" t="n">
        <v>0.58</v>
      </c>
      <c r="AG2031" s="22" t="b">
        <f aca="false">TRUE()</f>
        <v>1</v>
      </c>
      <c r="AH2031" s="0" t="n">
        <v>1</v>
      </c>
    </row>
    <row r="2032" customFormat="false" ht="15" hidden="false" customHeight="false" outlineLevel="0" collapsed="false">
      <c r="A2032" s="0" t="s">
        <v>3034</v>
      </c>
      <c r="B2032" s="0" t="s">
        <v>134</v>
      </c>
      <c r="C2032" s="0" t="s">
        <v>3447</v>
      </c>
      <c r="D2032" s="0" t="s">
        <v>3457</v>
      </c>
      <c r="E2032" s="19" t="s">
        <v>26</v>
      </c>
      <c r="F2032" s="19" t="s">
        <v>32</v>
      </c>
      <c r="G2032" s="21" t="s">
        <v>529</v>
      </c>
      <c r="H2032" s="21" t="s">
        <v>24</v>
      </c>
      <c r="I2032" s="21" t="s">
        <v>26</v>
      </c>
      <c r="J2032" s="21" t="s">
        <v>24</v>
      </c>
      <c r="K2032" s="21" t="s">
        <v>24</v>
      </c>
      <c r="L2032" s="21" t="s">
        <v>24</v>
      </c>
      <c r="M2032" s="0" t="n">
        <v>184</v>
      </c>
      <c r="N2032" s="0" t="n">
        <v>11</v>
      </c>
      <c r="O2032" s="21" t="s">
        <v>4041</v>
      </c>
      <c r="P2032" s="21" t="s">
        <v>4459</v>
      </c>
      <c r="Q2032" s="0" t="n">
        <v>1</v>
      </c>
      <c r="R2032" s="21" t="s">
        <v>69</v>
      </c>
      <c r="S2032" s="0" t="n">
        <v>11</v>
      </c>
      <c r="T2032" s="21" t="s">
        <v>4041</v>
      </c>
      <c r="U2032" s="22" t="b">
        <f aca="false">FALSE()</f>
        <v>0</v>
      </c>
      <c r="V2032" s="0" t="n">
        <v>0.79</v>
      </c>
      <c r="W2032" s="0" t="n">
        <v>0</v>
      </c>
      <c r="X2032" s="0" t="n">
        <v>8.27</v>
      </c>
      <c r="Y2032" s="0" t="n">
        <v>678.31</v>
      </c>
      <c r="Z2032" s="0" t="n">
        <v>10.5</v>
      </c>
      <c r="AA2032" s="0" t="n">
        <v>7.38</v>
      </c>
      <c r="AB2032" s="0" t="n">
        <v>9.39</v>
      </c>
      <c r="AC2032" s="22" t="b">
        <f aca="false">FALSE()</f>
        <v>0</v>
      </c>
      <c r="AD2032" s="0" t="n">
        <v>14.7</v>
      </c>
      <c r="AE2032" s="0" t="n">
        <v>0.22</v>
      </c>
      <c r="AF2032" s="0" t="n">
        <v>8.56</v>
      </c>
      <c r="AG2032" s="22" t="b">
        <f aca="false">TRUE()</f>
        <v>1</v>
      </c>
      <c r="AH2032" s="0" t="n">
        <v>1</v>
      </c>
    </row>
    <row r="2033" customFormat="false" ht="15" hidden="false" customHeight="false" outlineLevel="0" collapsed="false">
      <c r="A2033" s="0" t="s">
        <v>3034</v>
      </c>
      <c r="B2033" s="0" t="s">
        <v>134</v>
      </c>
      <c r="C2033" s="0" t="s">
        <v>3447</v>
      </c>
      <c r="D2033" s="0" t="s">
        <v>3448</v>
      </c>
      <c r="E2033" s="19" t="s">
        <v>26</v>
      </c>
      <c r="F2033" s="19" t="s">
        <v>32</v>
      </c>
      <c r="G2033" s="21" t="s">
        <v>529</v>
      </c>
      <c r="H2033" s="21" t="s">
        <v>24</v>
      </c>
      <c r="I2033" s="21" t="s">
        <v>26</v>
      </c>
      <c r="J2033" s="21" t="s">
        <v>24</v>
      </c>
      <c r="K2033" s="21" t="s">
        <v>24</v>
      </c>
      <c r="L2033" s="21" t="s">
        <v>24</v>
      </c>
      <c r="M2033" s="0" t="n">
        <v>182</v>
      </c>
      <c r="N2033" s="0" t="n">
        <v>13</v>
      </c>
      <c r="O2033" s="21" t="s">
        <v>4023</v>
      </c>
      <c r="P2033" s="21" t="s">
        <v>4229</v>
      </c>
      <c r="Q2033" s="0" t="n">
        <v>1</v>
      </c>
      <c r="R2033" s="21" t="s">
        <v>69</v>
      </c>
      <c r="S2033" s="0" t="n">
        <v>13</v>
      </c>
      <c r="T2033" s="21" t="s">
        <v>4023</v>
      </c>
      <c r="U2033" s="22" t="b">
        <f aca="false">FALSE()</f>
        <v>0</v>
      </c>
      <c r="V2033" s="0" t="n">
        <v>0.81</v>
      </c>
      <c r="W2033" s="0" t="n">
        <v>0</v>
      </c>
      <c r="X2033" s="0" t="n">
        <v>11.92</v>
      </c>
      <c r="Y2033" s="0" t="n">
        <v>718.22</v>
      </c>
      <c r="Z2033" s="0" t="n">
        <v>10.5</v>
      </c>
      <c r="AA2033" s="0" t="n">
        <v>13.78</v>
      </c>
      <c r="AB2033" s="0" t="n">
        <v>2.97</v>
      </c>
      <c r="AC2033" s="22" t="b">
        <f aca="false">FALSE()</f>
        <v>0</v>
      </c>
      <c r="AD2033" s="0" t="n">
        <v>11.3</v>
      </c>
      <c r="AE2033" s="0" t="n">
        <v>0.85</v>
      </c>
      <c r="AF2033" s="0" t="n">
        <v>1.26</v>
      </c>
      <c r="AG2033" s="22" t="b">
        <f aca="false">TRUE()</f>
        <v>1</v>
      </c>
      <c r="AH2033" s="0" t="n">
        <v>1</v>
      </c>
    </row>
    <row r="2034" customFormat="false" ht="15" hidden="false" customHeight="false" outlineLevel="0" collapsed="false">
      <c r="A2034" s="0" t="s">
        <v>3034</v>
      </c>
      <c r="B2034" s="0" t="s">
        <v>3459</v>
      </c>
      <c r="C2034" s="0" t="s">
        <v>3450</v>
      </c>
      <c r="D2034" s="0" t="s">
        <v>3457</v>
      </c>
      <c r="E2034" s="20" t="s">
        <v>25</v>
      </c>
      <c r="F2034" s="23" t="s">
        <v>30</v>
      </c>
      <c r="G2034" s="21" t="s">
        <v>283</v>
      </c>
      <c r="H2034" s="21" t="s">
        <v>24</v>
      </c>
      <c r="I2034" s="21" t="s">
        <v>25</v>
      </c>
      <c r="J2034" s="21" t="s">
        <v>24</v>
      </c>
      <c r="K2034" s="21" t="s">
        <v>24</v>
      </c>
      <c r="L2034" s="21" t="s">
        <v>24</v>
      </c>
      <c r="M2034" s="0" t="n">
        <v>205</v>
      </c>
      <c r="N2034" s="0" t="n">
        <v>1</v>
      </c>
      <c r="O2034" s="21" t="s">
        <v>69</v>
      </c>
      <c r="P2034" s="21" t="s">
        <v>4275</v>
      </c>
      <c r="Q2034" s="0" t="n">
        <v>1</v>
      </c>
      <c r="R2034" s="21" t="s">
        <v>69</v>
      </c>
      <c r="S2034" s="0" t="n">
        <v>1</v>
      </c>
      <c r="T2034" s="21" t="s">
        <v>69</v>
      </c>
      <c r="U2034" s="22" t="b">
        <f aca="false">TRUE()</f>
        <v>1</v>
      </c>
      <c r="V2034" s="0" t="n">
        <v>0.73</v>
      </c>
      <c r="W2034" s="0" t="n">
        <v>0</v>
      </c>
      <c r="X2034" s="0" t="n">
        <v>10.7</v>
      </c>
      <c r="Y2034" s="0" t="n">
        <v>740.82</v>
      </c>
      <c r="Z2034" s="0" t="n">
        <v>10.5</v>
      </c>
      <c r="AA2034" s="0" t="n">
        <v>13.49</v>
      </c>
      <c r="AB2034" s="0" t="n">
        <v>1.88</v>
      </c>
      <c r="AC2034" s="22" t="b">
        <f aca="false">FALSE()</f>
        <v>0</v>
      </c>
      <c r="AD2034" s="0" t="n">
        <v>19.34</v>
      </c>
      <c r="AE2034" s="0" t="n">
        <v>5.06</v>
      </c>
      <c r="AF2034" s="0" t="n">
        <v>10.83</v>
      </c>
      <c r="AG2034" s="22" t="b">
        <f aca="false">TRUE()</f>
        <v>1</v>
      </c>
      <c r="AH2034" s="0" t="n">
        <v>1</v>
      </c>
    </row>
    <row r="2035" customFormat="false" ht="15" hidden="false" customHeight="false" outlineLevel="0" collapsed="false">
      <c r="A2035" s="0" t="s">
        <v>3034</v>
      </c>
      <c r="B2035" s="0" t="s">
        <v>3459</v>
      </c>
      <c r="C2035" s="0" t="s">
        <v>3450</v>
      </c>
      <c r="D2035" s="0" t="s">
        <v>3448</v>
      </c>
      <c r="E2035" s="20" t="s">
        <v>25</v>
      </c>
      <c r="F2035" s="23" t="s">
        <v>30</v>
      </c>
      <c r="G2035" s="21" t="s">
        <v>1343</v>
      </c>
      <c r="H2035" s="21" t="s">
        <v>25</v>
      </c>
      <c r="I2035" s="21" t="s">
        <v>25</v>
      </c>
      <c r="J2035" s="21" t="s">
        <v>24</v>
      </c>
      <c r="K2035" s="21" t="s">
        <v>24</v>
      </c>
      <c r="L2035" s="21" t="s">
        <v>24</v>
      </c>
      <c r="M2035" s="0" t="n">
        <v>249</v>
      </c>
      <c r="N2035" s="0" t="n">
        <v>1</v>
      </c>
      <c r="O2035" s="21" t="s">
        <v>69</v>
      </c>
      <c r="P2035" s="21" t="s">
        <v>4275</v>
      </c>
      <c r="Q2035" s="0" t="n">
        <v>1</v>
      </c>
      <c r="R2035" s="21" t="s">
        <v>69</v>
      </c>
      <c r="S2035" s="0" t="n">
        <v>1</v>
      </c>
      <c r="T2035" s="21" t="s">
        <v>69</v>
      </c>
      <c r="U2035" s="22" t="b">
        <f aca="false">TRUE()</f>
        <v>1</v>
      </c>
      <c r="V2035" s="0" t="n">
        <v>0.8</v>
      </c>
      <c r="W2035" s="0" t="n">
        <v>0.24</v>
      </c>
      <c r="X2035" s="0" t="n">
        <v>11.38</v>
      </c>
      <c r="Y2035" s="0" t="n">
        <v>634.81</v>
      </c>
      <c r="Z2035" s="0" t="n">
        <v>10.25</v>
      </c>
      <c r="AA2035" s="0" t="n">
        <v>15.58</v>
      </c>
      <c r="AB2035" s="0" t="n">
        <v>2.96</v>
      </c>
      <c r="AC2035" s="22" t="b">
        <f aca="false">FALSE()</f>
        <v>0</v>
      </c>
      <c r="AD2035" s="0" t="n">
        <v>17.25</v>
      </c>
      <c r="AE2035" s="0" t="n">
        <v>6.44</v>
      </c>
      <c r="AF2035" s="0" t="n">
        <v>10.64</v>
      </c>
      <c r="AG2035" s="22" t="b">
        <f aca="false">TRUE()</f>
        <v>1</v>
      </c>
      <c r="AH2035" s="0" t="n">
        <v>1</v>
      </c>
    </row>
    <row r="2036" customFormat="false" ht="15" hidden="false" customHeight="false" outlineLevel="0" collapsed="false">
      <c r="A2036" s="0" t="s">
        <v>3034</v>
      </c>
      <c r="B2036" s="0" t="s">
        <v>3459</v>
      </c>
      <c r="C2036" s="0" t="s">
        <v>3447</v>
      </c>
      <c r="D2036" s="0" t="s">
        <v>3457</v>
      </c>
      <c r="E2036" s="20" t="s">
        <v>25</v>
      </c>
      <c r="F2036" s="23" t="s">
        <v>30</v>
      </c>
      <c r="G2036" s="21" t="s">
        <v>283</v>
      </c>
      <c r="H2036" s="21" t="s">
        <v>24</v>
      </c>
      <c r="I2036" s="21" t="s">
        <v>25</v>
      </c>
      <c r="J2036" s="21" t="s">
        <v>24</v>
      </c>
      <c r="K2036" s="21" t="s">
        <v>24</v>
      </c>
      <c r="L2036" s="21" t="s">
        <v>24</v>
      </c>
      <c r="M2036" s="0" t="n">
        <v>194</v>
      </c>
      <c r="N2036" s="0" t="n">
        <v>4</v>
      </c>
      <c r="O2036" s="21" t="s">
        <v>3743</v>
      </c>
      <c r="P2036" s="21" t="s">
        <v>4532</v>
      </c>
      <c r="Q2036" s="0" t="n">
        <v>1</v>
      </c>
      <c r="R2036" s="21" t="s">
        <v>69</v>
      </c>
      <c r="S2036" s="0" t="n">
        <v>4</v>
      </c>
      <c r="T2036" s="21" t="s">
        <v>3743</v>
      </c>
      <c r="U2036" s="22" t="b">
        <f aca="false">TRUE()</f>
        <v>1</v>
      </c>
      <c r="V2036" s="0" t="n">
        <v>0.78</v>
      </c>
      <c r="W2036" s="0" t="n">
        <v>0.92</v>
      </c>
      <c r="X2036" s="0" t="n">
        <v>8.69</v>
      </c>
      <c r="Y2036" s="0" t="n">
        <v>334.15</v>
      </c>
      <c r="Z2036" s="0" t="n">
        <v>10.5</v>
      </c>
      <c r="AA2036" s="0" t="n">
        <v>0.88</v>
      </c>
      <c r="AB2036" s="0" t="n">
        <v>1.88</v>
      </c>
      <c r="AC2036" s="22" t="b">
        <f aca="false">FALSE()</f>
        <v>0</v>
      </c>
      <c r="AD2036" s="0" t="n">
        <v>11.66</v>
      </c>
      <c r="AE2036" s="0" t="n">
        <v>1.64</v>
      </c>
      <c r="AF2036" s="0" t="n">
        <v>7.25</v>
      </c>
      <c r="AG2036" s="22" t="b">
        <f aca="false">TRUE()</f>
        <v>1</v>
      </c>
      <c r="AH2036" s="0" t="n">
        <v>1</v>
      </c>
    </row>
    <row r="2037" customFormat="false" ht="15" hidden="false" customHeight="false" outlineLevel="0" collapsed="false">
      <c r="A2037" s="0" t="s">
        <v>3034</v>
      </c>
      <c r="B2037" s="0" t="s">
        <v>3459</v>
      </c>
      <c r="C2037" s="0" t="s">
        <v>3447</v>
      </c>
      <c r="D2037" s="0" t="s">
        <v>3448</v>
      </c>
      <c r="E2037" s="19" t="s">
        <v>26</v>
      </c>
      <c r="F2037" s="19" t="s">
        <v>32</v>
      </c>
      <c r="G2037" s="21" t="s">
        <v>529</v>
      </c>
      <c r="H2037" s="21" t="s">
        <v>24</v>
      </c>
      <c r="I2037" s="21" t="s">
        <v>26</v>
      </c>
      <c r="J2037" s="21" t="s">
        <v>24</v>
      </c>
      <c r="K2037" s="21" t="s">
        <v>24</v>
      </c>
      <c r="L2037" s="21" t="s">
        <v>24</v>
      </c>
      <c r="M2037" s="0" t="n">
        <v>187</v>
      </c>
      <c r="N2037" s="0" t="n">
        <v>9</v>
      </c>
      <c r="O2037" s="21" t="s">
        <v>4042</v>
      </c>
      <c r="P2037" s="21" t="s">
        <v>4471</v>
      </c>
      <c r="Q2037" s="0" t="n">
        <v>1</v>
      </c>
      <c r="R2037" s="21" t="s">
        <v>69</v>
      </c>
      <c r="S2037" s="0" t="n">
        <v>9</v>
      </c>
      <c r="T2037" s="21" t="s">
        <v>4042</v>
      </c>
      <c r="U2037" s="22" t="b">
        <f aca="false">FALSE()</f>
        <v>0</v>
      </c>
      <c r="V2037" s="0" t="n">
        <v>0.78</v>
      </c>
      <c r="W2037" s="0" t="n">
        <v>0.76</v>
      </c>
      <c r="X2037" s="0" t="n">
        <v>11.74</v>
      </c>
      <c r="Y2037" s="0" t="n">
        <v>327.14</v>
      </c>
      <c r="Z2037" s="0" t="n">
        <v>10.33</v>
      </c>
      <c r="AA2037" s="0" t="n">
        <v>11.68</v>
      </c>
      <c r="AB2037" s="0" t="n">
        <v>2.96</v>
      </c>
      <c r="AC2037" s="22" t="b">
        <f aca="false">FALSE()</f>
        <v>0</v>
      </c>
      <c r="AD2037" s="0" t="n">
        <v>15.81</v>
      </c>
      <c r="AE2037" s="0" t="n">
        <v>4.61</v>
      </c>
      <c r="AF2037" s="0" t="n">
        <v>9.78</v>
      </c>
      <c r="AG2037" s="22" t="b">
        <f aca="false">TRUE()</f>
        <v>1</v>
      </c>
      <c r="AH2037" s="0" t="n">
        <v>1</v>
      </c>
    </row>
    <row r="2038" customFormat="false" ht="15" hidden="false" customHeight="false" outlineLevel="0" collapsed="false">
      <c r="A2038" s="0" t="s">
        <v>3040</v>
      </c>
      <c r="B2038" s="0" t="s">
        <v>134</v>
      </c>
      <c r="C2038" s="0" t="s">
        <v>3450</v>
      </c>
      <c r="D2038" s="0" t="s">
        <v>3457</v>
      </c>
      <c r="E2038" s="18" t="s">
        <v>24</v>
      </c>
      <c r="F2038" s="18" t="s">
        <v>28</v>
      </c>
      <c r="H2038" s="21" t="s">
        <v>24</v>
      </c>
      <c r="I2038" s="21" t="s">
        <v>24</v>
      </c>
      <c r="J2038" s="21" t="s">
        <v>24</v>
      </c>
      <c r="K2038" s="21" t="s">
        <v>24</v>
      </c>
      <c r="L2038" s="21" t="s">
        <v>24</v>
      </c>
      <c r="M2038" s="0" t="n">
        <v>183</v>
      </c>
      <c r="N2038" s="0" t="n">
        <v>0</v>
      </c>
      <c r="Q2038" s="0" t="n">
        <v>0</v>
      </c>
      <c r="S2038" s="0" t="n">
        <v>0</v>
      </c>
      <c r="U2038" s="22" t="b">
        <f aca="false">FALSE()</f>
        <v>0</v>
      </c>
      <c r="V2038" s="0" t="n">
        <v>0.66</v>
      </c>
      <c r="W2038" s="0" t="n">
        <v>0.84</v>
      </c>
      <c r="X2038" s="0" t="n">
        <v>8.37</v>
      </c>
      <c r="Y2038" s="0" t="n">
        <v>284.82</v>
      </c>
      <c r="Z2038" s="0" t="n">
        <v>9.5</v>
      </c>
      <c r="AA2038" s="0" t="n">
        <v>4.54</v>
      </c>
      <c r="AB2038" s="0" t="n">
        <v>2.12</v>
      </c>
      <c r="AC2038" s="22" t="b">
        <f aca="false">FALSE()</f>
        <v>0</v>
      </c>
      <c r="AD2038" s="0" t="n">
        <v>16.49</v>
      </c>
      <c r="AE2038" s="0" t="n">
        <v>1.03</v>
      </c>
      <c r="AF2038" s="0" t="n">
        <v>18.2</v>
      </c>
      <c r="AG2038" s="22" t="b">
        <f aca="false">TRUE()</f>
        <v>1</v>
      </c>
      <c r="AH2038" s="0" t="n">
        <v>1</v>
      </c>
    </row>
    <row r="2039" customFormat="false" ht="15" hidden="false" customHeight="false" outlineLevel="0" collapsed="false">
      <c r="A2039" s="0" t="s">
        <v>3040</v>
      </c>
      <c r="B2039" s="0" t="s">
        <v>134</v>
      </c>
      <c r="C2039" s="0" t="s">
        <v>3450</v>
      </c>
      <c r="D2039" s="0" t="s">
        <v>3448</v>
      </c>
      <c r="E2039" s="20" t="s">
        <v>25</v>
      </c>
      <c r="F2039" s="23" t="s">
        <v>30</v>
      </c>
      <c r="G2039" s="21" t="s">
        <v>183</v>
      </c>
      <c r="H2039" s="21" t="s">
        <v>24</v>
      </c>
      <c r="I2039" s="21" t="s">
        <v>25</v>
      </c>
      <c r="J2039" s="21" t="s">
        <v>24</v>
      </c>
      <c r="K2039" s="21" t="s">
        <v>25</v>
      </c>
      <c r="L2039" s="21" t="s">
        <v>24</v>
      </c>
      <c r="M2039" s="0" t="n">
        <v>185</v>
      </c>
      <c r="N2039" s="0" t="n">
        <v>1</v>
      </c>
      <c r="O2039" s="21" t="s">
        <v>69</v>
      </c>
      <c r="P2039" s="21" t="s">
        <v>4275</v>
      </c>
      <c r="Q2039" s="0" t="n">
        <v>1</v>
      </c>
      <c r="R2039" s="21" t="s">
        <v>69</v>
      </c>
      <c r="S2039" s="0" t="n">
        <v>1</v>
      </c>
      <c r="T2039" s="21" t="s">
        <v>69</v>
      </c>
      <c r="U2039" s="22" t="b">
        <f aca="false">TRUE()</f>
        <v>1</v>
      </c>
      <c r="V2039" s="0" t="n">
        <v>0.71</v>
      </c>
      <c r="W2039" s="0" t="n">
        <v>0.68</v>
      </c>
      <c r="X2039" s="0" t="n">
        <v>9.43</v>
      </c>
      <c r="Y2039" s="0" t="n">
        <v>324.38</v>
      </c>
      <c r="Z2039" s="0" t="n">
        <v>9.25</v>
      </c>
      <c r="AA2039" s="0" t="n">
        <v>4.81</v>
      </c>
      <c r="AB2039" s="0" t="n">
        <v>1.68</v>
      </c>
      <c r="AC2039" s="22" t="b">
        <f aca="false">FALSE()</f>
        <v>0</v>
      </c>
      <c r="AD2039" s="0" t="n">
        <v>27.38</v>
      </c>
      <c r="AE2039" s="0" t="n">
        <v>15.29</v>
      </c>
      <c r="AF2039" s="0" t="n">
        <v>26.82</v>
      </c>
      <c r="AG2039" s="22" t="b">
        <f aca="false">TRUE()</f>
        <v>1</v>
      </c>
      <c r="AH2039" s="0" t="n">
        <v>1</v>
      </c>
    </row>
    <row r="2040" customFormat="false" ht="15" hidden="false" customHeight="false" outlineLevel="0" collapsed="false">
      <c r="A2040" s="0" t="s">
        <v>3040</v>
      </c>
      <c r="B2040" s="0" t="s">
        <v>134</v>
      </c>
      <c r="C2040" s="0" t="s">
        <v>3447</v>
      </c>
      <c r="D2040" s="0" t="s">
        <v>3457</v>
      </c>
      <c r="E2040" s="18" t="s">
        <v>24</v>
      </c>
      <c r="F2040" s="23" t="s">
        <v>30</v>
      </c>
      <c r="G2040" s="21" t="s">
        <v>30</v>
      </c>
      <c r="H2040" s="21" t="s">
        <v>24</v>
      </c>
      <c r="I2040" s="21" t="s">
        <v>24</v>
      </c>
      <c r="J2040" s="21" t="s">
        <v>24</v>
      </c>
      <c r="K2040" s="21" t="s">
        <v>24</v>
      </c>
      <c r="L2040" s="21" t="s">
        <v>24</v>
      </c>
      <c r="M2040" s="0" t="n">
        <v>184</v>
      </c>
      <c r="N2040" s="0" t="n">
        <v>1</v>
      </c>
      <c r="O2040" s="21" t="s">
        <v>3476</v>
      </c>
      <c r="P2040" s="21" t="s">
        <v>4228</v>
      </c>
      <c r="Q2040" s="0" t="n">
        <v>0</v>
      </c>
      <c r="S2040" s="0" t="n">
        <v>1</v>
      </c>
      <c r="T2040" s="21" t="s">
        <v>3476</v>
      </c>
      <c r="U2040" s="22" t="b">
        <f aca="false">TRUE()</f>
        <v>1</v>
      </c>
      <c r="V2040" s="0" t="n">
        <v>0.7</v>
      </c>
      <c r="W2040" s="0" t="n">
        <v>0.52</v>
      </c>
      <c r="X2040" s="0" t="n">
        <v>8.49</v>
      </c>
      <c r="Y2040" s="0" t="n">
        <v>307.59</v>
      </c>
      <c r="Z2040" s="0" t="n">
        <v>11.75</v>
      </c>
      <c r="AA2040" s="0" t="n">
        <v>0.31</v>
      </c>
      <c r="AB2040" s="0" t="n">
        <v>2.12</v>
      </c>
      <c r="AC2040" s="22" t="b">
        <f aca="false">FALSE()</f>
        <v>0</v>
      </c>
      <c r="AD2040" s="0" t="n">
        <v>15.49</v>
      </c>
      <c r="AE2040" s="0" t="n">
        <v>0.84</v>
      </c>
      <c r="AF2040" s="0" t="n">
        <v>15.25</v>
      </c>
      <c r="AG2040" s="22" t="b">
        <f aca="false">TRUE()</f>
        <v>1</v>
      </c>
      <c r="AH2040" s="0" t="n">
        <v>1</v>
      </c>
    </row>
    <row r="2041" customFormat="false" ht="15" hidden="false" customHeight="false" outlineLevel="0" collapsed="false">
      <c r="A2041" s="0" t="s">
        <v>3040</v>
      </c>
      <c r="B2041" s="0" t="s">
        <v>134</v>
      </c>
      <c r="C2041" s="0" t="s">
        <v>3447</v>
      </c>
      <c r="D2041" s="0" t="s">
        <v>3448</v>
      </c>
      <c r="E2041" s="20" t="s">
        <v>25</v>
      </c>
      <c r="F2041" s="23" t="s">
        <v>30</v>
      </c>
      <c r="G2041" s="21" t="s">
        <v>992</v>
      </c>
      <c r="H2041" s="21" t="s">
        <v>24</v>
      </c>
      <c r="I2041" s="21" t="s">
        <v>24</v>
      </c>
      <c r="J2041" s="21" t="s">
        <v>24</v>
      </c>
      <c r="K2041" s="21" t="s">
        <v>25</v>
      </c>
      <c r="L2041" s="21" t="s">
        <v>24</v>
      </c>
      <c r="M2041" s="0" t="n">
        <v>182</v>
      </c>
      <c r="N2041" s="0" t="n">
        <v>3</v>
      </c>
      <c r="O2041" s="21" t="s">
        <v>3611</v>
      </c>
      <c r="P2041" s="21" t="s">
        <v>4898</v>
      </c>
      <c r="Q2041" s="0" t="n">
        <v>0</v>
      </c>
      <c r="S2041" s="0" t="n">
        <v>3</v>
      </c>
      <c r="T2041" s="21" t="s">
        <v>3611</v>
      </c>
      <c r="U2041" s="22" t="b">
        <f aca="false">TRUE()</f>
        <v>1</v>
      </c>
      <c r="V2041" s="0" t="n">
        <v>0.72</v>
      </c>
      <c r="W2041" s="0" t="n">
        <v>0.24</v>
      </c>
      <c r="X2041" s="0" t="n">
        <v>11.04</v>
      </c>
      <c r="Y2041" s="0" t="n">
        <v>463.75</v>
      </c>
      <c r="Z2041" s="0" t="n">
        <v>11</v>
      </c>
      <c r="AA2041" s="0" t="n">
        <v>0.73</v>
      </c>
      <c r="AB2041" s="0" t="n">
        <v>1.68</v>
      </c>
      <c r="AC2041" s="22" t="b">
        <f aca="false">FALSE()</f>
        <v>0</v>
      </c>
      <c r="AD2041" s="0" t="n">
        <v>24.21</v>
      </c>
      <c r="AE2041" s="0" t="n">
        <v>12.32</v>
      </c>
      <c r="AF2041" s="0" t="n">
        <v>24.19</v>
      </c>
      <c r="AG2041" s="22" t="b">
        <f aca="false">TRUE()</f>
        <v>1</v>
      </c>
      <c r="AH2041" s="0" t="n">
        <v>1</v>
      </c>
    </row>
    <row r="2042" customFormat="false" ht="15" hidden="false" customHeight="false" outlineLevel="0" collapsed="false">
      <c r="A2042" s="0" t="s">
        <v>3045</v>
      </c>
      <c r="B2042" s="0" t="s">
        <v>134</v>
      </c>
      <c r="C2042" s="0" t="s">
        <v>3450</v>
      </c>
      <c r="D2042" s="0" t="s">
        <v>3457</v>
      </c>
      <c r="E2042" s="20" t="s">
        <v>25</v>
      </c>
      <c r="F2042" s="23" t="s">
        <v>30</v>
      </c>
      <c r="G2042" s="21" t="s">
        <v>157</v>
      </c>
      <c r="H2042" s="21" t="s">
        <v>24</v>
      </c>
      <c r="I2042" s="21" t="s">
        <v>25</v>
      </c>
      <c r="J2042" s="21" t="s">
        <v>24</v>
      </c>
      <c r="K2042" s="21" t="s">
        <v>25</v>
      </c>
      <c r="L2042" s="21" t="s">
        <v>24</v>
      </c>
      <c r="M2042" s="0" t="n">
        <v>183</v>
      </c>
      <c r="N2042" s="0" t="n">
        <v>6</v>
      </c>
      <c r="O2042" s="21" t="s">
        <v>3862</v>
      </c>
      <c r="P2042" s="21" t="s">
        <v>4899</v>
      </c>
      <c r="Q2042" s="0" t="n">
        <v>1</v>
      </c>
      <c r="R2042" s="21" t="s">
        <v>69</v>
      </c>
      <c r="S2042" s="0" t="n">
        <v>5</v>
      </c>
      <c r="T2042" s="21" t="s">
        <v>4900</v>
      </c>
      <c r="U2042" s="22" t="b">
        <f aca="false">TRUE()</f>
        <v>1</v>
      </c>
      <c r="V2042" s="0" t="n">
        <v>0.66</v>
      </c>
      <c r="W2042" s="0" t="n">
        <v>0</v>
      </c>
      <c r="X2042" s="0" t="n">
        <v>7.79</v>
      </c>
      <c r="Y2042" s="0" t="n">
        <v>690.22</v>
      </c>
      <c r="Z2042" s="0" t="n">
        <v>11</v>
      </c>
      <c r="AA2042" s="0" t="n">
        <v>7.46</v>
      </c>
      <c r="AB2042" s="0" t="n">
        <v>0.87</v>
      </c>
      <c r="AC2042" s="22" t="b">
        <f aca="false">FALSE()</f>
        <v>0</v>
      </c>
      <c r="AD2042" s="0" t="n">
        <v>24.65</v>
      </c>
      <c r="AE2042" s="0" t="n">
        <v>15.95</v>
      </c>
      <c r="AF2042" s="0" t="n">
        <v>19.45</v>
      </c>
      <c r="AG2042" s="22" t="b">
        <f aca="false">TRUE()</f>
        <v>1</v>
      </c>
      <c r="AH2042" s="0" t="n">
        <v>1</v>
      </c>
    </row>
    <row r="2043" customFormat="false" ht="15" hidden="false" customHeight="false" outlineLevel="0" collapsed="false">
      <c r="A2043" s="0" t="s">
        <v>3045</v>
      </c>
      <c r="B2043" s="0" t="s">
        <v>134</v>
      </c>
      <c r="C2043" s="0" t="s">
        <v>3450</v>
      </c>
      <c r="D2043" s="0" t="s">
        <v>3448</v>
      </c>
      <c r="E2043" s="20" t="s">
        <v>25</v>
      </c>
      <c r="F2043" s="23" t="s">
        <v>30</v>
      </c>
      <c r="G2043" s="21" t="s">
        <v>1152</v>
      </c>
      <c r="H2043" s="21" t="s">
        <v>24</v>
      </c>
      <c r="I2043" s="21" t="s">
        <v>25</v>
      </c>
      <c r="J2043" s="21" t="s">
        <v>24</v>
      </c>
      <c r="K2043" s="21" t="s">
        <v>25</v>
      </c>
      <c r="L2043" s="21" t="s">
        <v>24</v>
      </c>
      <c r="M2043" s="0" t="n">
        <v>183</v>
      </c>
      <c r="N2043" s="0" t="n">
        <v>2</v>
      </c>
      <c r="O2043" s="21" t="s">
        <v>3566</v>
      </c>
      <c r="P2043" s="21" t="s">
        <v>4238</v>
      </c>
      <c r="Q2043" s="0" t="n">
        <v>1</v>
      </c>
      <c r="R2043" s="21" t="s">
        <v>69</v>
      </c>
      <c r="S2043" s="0" t="n">
        <v>2</v>
      </c>
      <c r="T2043" s="21" t="s">
        <v>3566</v>
      </c>
      <c r="U2043" s="22" t="b">
        <f aca="false">TRUE()</f>
        <v>1</v>
      </c>
      <c r="V2043" s="0" t="n">
        <v>0.7</v>
      </c>
      <c r="W2043" s="0" t="n">
        <v>0.52</v>
      </c>
      <c r="X2043" s="0" t="n">
        <v>8.1</v>
      </c>
      <c r="Y2043" s="0" t="n">
        <v>328.81</v>
      </c>
      <c r="Z2043" s="0" t="n">
        <v>10.75</v>
      </c>
      <c r="AA2043" s="0" t="n">
        <v>10.32</v>
      </c>
      <c r="AB2043" s="0" t="n">
        <v>0.23</v>
      </c>
      <c r="AC2043" s="22" t="b">
        <f aca="false">FALSE()</f>
        <v>0</v>
      </c>
      <c r="AD2043" s="0" t="n">
        <v>10.46</v>
      </c>
      <c r="AE2043" s="0" t="n">
        <v>1.05</v>
      </c>
      <c r="AF2043" s="0" t="n">
        <v>10.98</v>
      </c>
      <c r="AG2043" s="22" t="b">
        <f aca="false">TRUE()</f>
        <v>1</v>
      </c>
      <c r="AH2043" s="0" t="n">
        <v>1</v>
      </c>
    </row>
    <row r="2044" customFormat="false" ht="15" hidden="false" customHeight="false" outlineLevel="0" collapsed="false">
      <c r="A2044" s="0" t="s">
        <v>3045</v>
      </c>
      <c r="B2044" s="0" t="s">
        <v>134</v>
      </c>
      <c r="C2044" s="0" t="s">
        <v>3447</v>
      </c>
      <c r="D2044" s="0" t="s">
        <v>3457</v>
      </c>
      <c r="E2044" s="19" t="s">
        <v>26</v>
      </c>
      <c r="F2044" s="19" t="s">
        <v>32</v>
      </c>
      <c r="G2044" s="21" t="s">
        <v>3919</v>
      </c>
      <c r="H2044" s="21" t="s">
        <v>24</v>
      </c>
      <c r="I2044" s="21" t="s">
        <v>26</v>
      </c>
      <c r="J2044" s="21" t="s">
        <v>24</v>
      </c>
      <c r="K2044" s="21" t="s">
        <v>25</v>
      </c>
      <c r="L2044" s="21" t="s">
        <v>24</v>
      </c>
      <c r="M2044" s="0" t="n">
        <v>186</v>
      </c>
      <c r="N2044" s="0" t="n">
        <v>7</v>
      </c>
      <c r="O2044" s="21" t="s">
        <v>3918</v>
      </c>
      <c r="P2044" s="21" t="s">
        <v>4901</v>
      </c>
      <c r="Q2044" s="0" t="n">
        <v>0</v>
      </c>
      <c r="S2044" s="0" t="n">
        <v>6</v>
      </c>
      <c r="T2044" s="21" t="s">
        <v>4902</v>
      </c>
      <c r="U2044" s="22" t="b">
        <f aca="false">FALSE()</f>
        <v>0</v>
      </c>
      <c r="V2044" s="0" t="n">
        <v>0.7</v>
      </c>
      <c r="W2044" s="0" t="n">
        <v>0.88</v>
      </c>
      <c r="X2044" s="0" t="n">
        <v>8.75</v>
      </c>
      <c r="Y2044" s="0" t="n">
        <v>309.43</v>
      </c>
      <c r="Z2044" s="0" t="n">
        <v>8</v>
      </c>
      <c r="AA2044" s="0" t="n">
        <v>-0.64</v>
      </c>
      <c r="AB2044" s="0" t="n">
        <v>0.87</v>
      </c>
      <c r="AC2044" s="22" t="b">
        <f aca="false">FALSE()</f>
        <v>0</v>
      </c>
      <c r="AD2044" s="0" t="n">
        <v>21.97</v>
      </c>
      <c r="AE2044" s="0" t="n">
        <v>11.43</v>
      </c>
      <c r="AF2044" s="0" t="n">
        <v>16.56</v>
      </c>
      <c r="AG2044" s="22" t="b">
        <f aca="false">TRUE()</f>
        <v>1</v>
      </c>
      <c r="AH2044" s="0" t="n">
        <v>1</v>
      </c>
    </row>
    <row r="2045" customFormat="false" ht="15" hidden="false" customHeight="false" outlineLevel="0" collapsed="false">
      <c r="A2045" s="0" t="s">
        <v>3045</v>
      </c>
      <c r="B2045" s="0" t="s">
        <v>134</v>
      </c>
      <c r="C2045" s="0" t="s">
        <v>3447</v>
      </c>
      <c r="D2045" s="0" t="s">
        <v>3448</v>
      </c>
      <c r="E2045" s="20" t="s">
        <v>25</v>
      </c>
      <c r="F2045" s="20" t="s">
        <v>29</v>
      </c>
      <c r="G2045" s="21" t="s">
        <v>64</v>
      </c>
      <c r="H2045" s="21" t="s">
        <v>24</v>
      </c>
      <c r="I2045" s="21" t="s">
        <v>24</v>
      </c>
      <c r="J2045" s="21" t="s">
        <v>24</v>
      </c>
      <c r="K2045" s="21" t="s">
        <v>25</v>
      </c>
      <c r="L2045" s="21" t="s">
        <v>24</v>
      </c>
      <c r="M2045" s="0" t="n">
        <v>184</v>
      </c>
      <c r="N2045" s="0" t="n">
        <v>0</v>
      </c>
      <c r="Q2045" s="0" t="n">
        <v>0</v>
      </c>
      <c r="S2045" s="0" t="n">
        <v>0</v>
      </c>
      <c r="U2045" s="22" t="b">
        <f aca="false">FALSE()</f>
        <v>0</v>
      </c>
      <c r="V2045" s="0" t="n">
        <v>0.68</v>
      </c>
      <c r="W2045" s="0" t="n">
        <v>0.6</v>
      </c>
      <c r="X2045" s="0" t="n">
        <v>8.28</v>
      </c>
      <c r="Y2045" s="0" t="n">
        <v>323.96</v>
      </c>
      <c r="Z2045" s="0" t="n">
        <v>8.08</v>
      </c>
      <c r="AA2045" s="0" t="n">
        <v>-1.25</v>
      </c>
      <c r="AB2045" s="0" t="n">
        <v>0.23</v>
      </c>
      <c r="AC2045" s="22" t="b">
        <f aca="false">FALSE()</f>
        <v>0</v>
      </c>
      <c r="AD2045" s="0" t="n">
        <v>3.86</v>
      </c>
      <c r="AE2045" s="0" t="n">
        <v>0.52</v>
      </c>
      <c r="AF2045" s="0" t="n">
        <v>7.77</v>
      </c>
      <c r="AG2045" s="22" t="b">
        <f aca="false">FALSE()</f>
        <v>0</v>
      </c>
      <c r="AH2045" s="0" t="n">
        <v>1</v>
      </c>
    </row>
    <row r="2046" customFormat="false" ht="15" hidden="false" customHeight="false" outlineLevel="0" collapsed="false">
      <c r="A2046" s="0" t="s">
        <v>3051</v>
      </c>
      <c r="B2046" s="0" t="s">
        <v>134</v>
      </c>
      <c r="C2046" s="0" t="s">
        <v>3450</v>
      </c>
      <c r="D2046" s="0" t="s">
        <v>3457</v>
      </c>
      <c r="E2046" s="20" t="s">
        <v>25</v>
      </c>
      <c r="F2046" s="23" t="s">
        <v>30</v>
      </c>
      <c r="G2046" s="21" t="s">
        <v>357</v>
      </c>
      <c r="H2046" s="21" t="s">
        <v>24</v>
      </c>
      <c r="I2046" s="21" t="s">
        <v>25</v>
      </c>
      <c r="J2046" s="21" t="s">
        <v>24</v>
      </c>
      <c r="K2046" s="21" t="s">
        <v>25</v>
      </c>
      <c r="L2046" s="21" t="s">
        <v>24</v>
      </c>
      <c r="M2046" s="0" t="n">
        <v>184</v>
      </c>
      <c r="N2046" s="0" t="n">
        <v>5</v>
      </c>
      <c r="O2046" s="21" t="s">
        <v>3798</v>
      </c>
      <c r="P2046" s="21" t="s">
        <v>4578</v>
      </c>
      <c r="Q2046" s="0" t="n">
        <v>1</v>
      </c>
      <c r="R2046" s="21" t="s">
        <v>69</v>
      </c>
      <c r="S2046" s="0" t="n">
        <v>5</v>
      </c>
      <c r="T2046" s="21" t="s">
        <v>3798</v>
      </c>
      <c r="U2046" s="22" t="b">
        <f aca="false">TRUE()</f>
        <v>1</v>
      </c>
      <c r="V2046" s="0" t="n">
        <v>0.72</v>
      </c>
      <c r="W2046" s="0" t="n">
        <v>0.4</v>
      </c>
      <c r="X2046" s="0" t="n">
        <v>5.84</v>
      </c>
      <c r="Y2046" s="0" t="n">
        <v>358.36</v>
      </c>
      <c r="Z2046" s="0" t="n">
        <v>9.33</v>
      </c>
      <c r="AA2046" s="0" t="n">
        <v>-1.12</v>
      </c>
      <c r="AB2046" s="0" t="n">
        <v>0.75</v>
      </c>
      <c r="AC2046" s="22" t="b">
        <f aca="false">TRUE()</f>
        <v>1</v>
      </c>
      <c r="AD2046" s="0" t="n">
        <v>12.65</v>
      </c>
      <c r="AE2046" s="0" t="n">
        <v>1.37</v>
      </c>
      <c r="AF2046" s="0" t="n">
        <v>7.73</v>
      </c>
      <c r="AG2046" s="22" t="b">
        <f aca="false">TRUE()</f>
        <v>1</v>
      </c>
      <c r="AH2046" s="0" t="n">
        <v>1</v>
      </c>
    </row>
    <row r="2047" customFormat="false" ht="15" hidden="false" customHeight="false" outlineLevel="0" collapsed="false">
      <c r="A2047" s="0" t="s">
        <v>3051</v>
      </c>
      <c r="B2047" s="0" t="s">
        <v>134</v>
      </c>
      <c r="C2047" s="0" t="s">
        <v>3450</v>
      </c>
      <c r="D2047" s="0" t="s">
        <v>3448</v>
      </c>
      <c r="E2047" s="20" t="s">
        <v>25</v>
      </c>
      <c r="F2047" s="23" t="s">
        <v>30</v>
      </c>
      <c r="G2047" s="21" t="s">
        <v>357</v>
      </c>
      <c r="H2047" s="21" t="s">
        <v>24</v>
      </c>
      <c r="I2047" s="21" t="s">
        <v>25</v>
      </c>
      <c r="J2047" s="21" t="s">
        <v>24</v>
      </c>
      <c r="K2047" s="21" t="s">
        <v>25</v>
      </c>
      <c r="L2047" s="21" t="s">
        <v>24</v>
      </c>
      <c r="M2047" s="0" t="n">
        <v>187</v>
      </c>
      <c r="N2047" s="0" t="n">
        <v>3</v>
      </c>
      <c r="O2047" s="21" t="s">
        <v>3649</v>
      </c>
      <c r="P2047" s="21" t="s">
        <v>4242</v>
      </c>
      <c r="Q2047" s="0" t="n">
        <v>1</v>
      </c>
      <c r="R2047" s="21" t="s">
        <v>69</v>
      </c>
      <c r="S2047" s="0" t="n">
        <v>3</v>
      </c>
      <c r="T2047" s="21" t="s">
        <v>3649</v>
      </c>
      <c r="U2047" s="22" t="b">
        <f aca="false">TRUE()</f>
        <v>1</v>
      </c>
      <c r="V2047" s="0" t="n">
        <v>0.74</v>
      </c>
      <c r="W2047" s="0" t="n">
        <v>0</v>
      </c>
      <c r="X2047" s="0" t="n">
        <v>5.31</v>
      </c>
      <c r="Y2047" s="0" t="n">
        <v>705.4</v>
      </c>
      <c r="Z2047" s="0" t="n">
        <v>10</v>
      </c>
      <c r="AA2047" s="0" t="n">
        <v>2.66</v>
      </c>
      <c r="AB2047" s="0" t="n">
        <v>1.31</v>
      </c>
      <c r="AC2047" s="22" t="b">
        <f aca="false">TRUE()</f>
        <v>1</v>
      </c>
      <c r="AD2047" s="0" t="n">
        <v>18.38</v>
      </c>
      <c r="AE2047" s="0" t="n">
        <v>1.98</v>
      </c>
      <c r="AF2047" s="0" t="n">
        <v>4.55</v>
      </c>
      <c r="AG2047" s="22" t="b">
        <f aca="false">TRUE()</f>
        <v>1</v>
      </c>
      <c r="AH2047" s="0" t="n">
        <v>1</v>
      </c>
    </row>
    <row r="2048" customFormat="false" ht="15" hidden="false" customHeight="false" outlineLevel="0" collapsed="false">
      <c r="A2048" s="0" t="s">
        <v>3051</v>
      </c>
      <c r="B2048" s="0" t="s">
        <v>134</v>
      </c>
      <c r="C2048" s="0" t="s">
        <v>3447</v>
      </c>
      <c r="D2048" s="0" t="s">
        <v>3457</v>
      </c>
      <c r="E2048" s="20" t="s">
        <v>25</v>
      </c>
      <c r="F2048" s="23" t="s">
        <v>30</v>
      </c>
      <c r="G2048" s="21" t="s">
        <v>2133</v>
      </c>
      <c r="H2048" s="21" t="s">
        <v>24</v>
      </c>
      <c r="I2048" s="21" t="s">
        <v>24</v>
      </c>
      <c r="J2048" s="21" t="s">
        <v>24</v>
      </c>
      <c r="K2048" s="21" t="s">
        <v>25</v>
      </c>
      <c r="L2048" s="21" t="s">
        <v>24</v>
      </c>
      <c r="M2048" s="0" t="n">
        <v>186</v>
      </c>
      <c r="N2048" s="0" t="n">
        <v>4</v>
      </c>
      <c r="O2048" s="21" t="s">
        <v>3607</v>
      </c>
      <c r="P2048" s="21" t="s">
        <v>4294</v>
      </c>
      <c r="Q2048" s="0" t="n">
        <v>0</v>
      </c>
      <c r="S2048" s="0" t="n">
        <v>4</v>
      </c>
      <c r="T2048" s="21" t="s">
        <v>3607</v>
      </c>
      <c r="U2048" s="22" t="b">
        <f aca="false">TRUE()</f>
        <v>1</v>
      </c>
      <c r="V2048" s="0" t="n">
        <v>0.83</v>
      </c>
      <c r="W2048" s="0" t="n">
        <v>0.44</v>
      </c>
      <c r="X2048" s="0" t="n">
        <v>6.89</v>
      </c>
      <c r="Y2048" s="0" t="n">
        <v>346.99</v>
      </c>
      <c r="Z2048" s="0" t="n">
        <v>8</v>
      </c>
      <c r="AA2048" s="0" t="n">
        <v>-1.49</v>
      </c>
      <c r="AB2048" s="0" t="n">
        <v>0.75</v>
      </c>
      <c r="AC2048" s="22" t="b">
        <f aca="false">FALSE()</f>
        <v>0</v>
      </c>
      <c r="AD2048" s="0" t="n">
        <v>12.41</v>
      </c>
      <c r="AE2048" s="0" t="n">
        <v>0.97</v>
      </c>
      <c r="AF2048" s="0" t="n">
        <v>7.4</v>
      </c>
      <c r="AG2048" s="22" t="b">
        <f aca="false">TRUE()</f>
        <v>1</v>
      </c>
      <c r="AH2048" s="0" t="n">
        <v>1</v>
      </c>
    </row>
    <row r="2049" customFormat="false" ht="15" hidden="false" customHeight="false" outlineLevel="0" collapsed="false">
      <c r="A2049" s="0" t="s">
        <v>3051</v>
      </c>
      <c r="B2049" s="0" t="s">
        <v>134</v>
      </c>
      <c r="C2049" s="0" t="s">
        <v>3447</v>
      </c>
      <c r="D2049" s="0" t="s">
        <v>3448</v>
      </c>
      <c r="E2049" s="20" t="s">
        <v>25</v>
      </c>
      <c r="F2049" s="23" t="s">
        <v>30</v>
      </c>
      <c r="G2049" s="21" t="s">
        <v>2133</v>
      </c>
      <c r="H2049" s="21" t="s">
        <v>24</v>
      </c>
      <c r="I2049" s="21" t="s">
        <v>24</v>
      </c>
      <c r="J2049" s="21" t="s">
        <v>24</v>
      </c>
      <c r="K2049" s="21" t="s">
        <v>25</v>
      </c>
      <c r="L2049" s="21" t="s">
        <v>24</v>
      </c>
      <c r="M2049" s="0" t="n">
        <v>189</v>
      </c>
      <c r="N2049" s="0" t="n">
        <v>1</v>
      </c>
      <c r="O2049" s="21" t="s">
        <v>3474</v>
      </c>
      <c r="P2049" s="21" t="s">
        <v>4272</v>
      </c>
      <c r="Q2049" s="0" t="n">
        <v>0</v>
      </c>
      <c r="S2049" s="0" t="n">
        <v>1</v>
      </c>
      <c r="T2049" s="21" t="s">
        <v>3474</v>
      </c>
      <c r="U2049" s="22" t="b">
        <f aca="false">TRUE()</f>
        <v>1</v>
      </c>
      <c r="V2049" s="0" t="n">
        <v>0.82</v>
      </c>
      <c r="W2049" s="0" t="n">
        <v>0.64</v>
      </c>
      <c r="X2049" s="0" t="n">
        <v>8.09</v>
      </c>
      <c r="Y2049" s="0" t="n">
        <v>327.01</v>
      </c>
      <c r="Z2049" s="0" t="n">
        <v>8.17</v>
      </c>
      <c r="AA2049" s="0" t="n">
        <v>-1.53</v>
      </c>
      <c r="AB2049" s="0" t="n">
        <v>1.31</v>
      </c>
      <c r="AC2049" s="22" t="b">
        <f aca="false">FALSE()</f>
        <v>0</v>
      </c>
      <c r="AD2049" s="0" t="n">
        <v>12.6</v>
      </c>
      <c r="AE2049" s="0" t="n">
        <v>2.76</v>
      </c>
      <c r="AF2049" s="0" t="n">
        <v>2.74</v>
      </c>
      <c r="AG2049" s="22" t="b">
        <f aca="false">TRUE()</f>
        <v>1</v>
      </c>
      <c r="AH2049" s="0" t="n">
        <v>1</v>
      </c>
    </row>
    <row r="2050" customFormat="false" ht="15" hidden="false" customHeight="false" outlineLevel="0" collapsed="false">
      <c r="A2050" s="0" t="s">
        <v>3051</v>
      </c>
      <c r="B2050" s="0" t="s">
        <v>3459</v>
      </c>
      <c r="C2050" s="0" t="s">
        <v>3450</v>
      </c>
      <c r="D2050" s="0" t="s">
        <v>3457</v>
      </c>
      <c r="E2050" s="19" t="s">
        <v>26</v>
      </c>
      <c r="F2050" s="19" t="s">
        <v>32</v>
      </c>
      <c r="G2050" s="21" t="s">
        <v>4140</v>
      </c>
      <c r="H2050" s="21" t="s">
        <v>24</v>
      </c>
      <c r="I2050" s="21" t="s">
        <v>26</v>
      </c>
      <c r="J2050" s="21" t="s">
        <v>24</v>
      </c>
      <c r="K2050" s="21" t="s">
        <v>25</v>
      </c>
      <c r="L2050" s="21" t="s">
        <v>24</v>
      </c>
      <c r="M2050" s="0" t="n">
        <v>185</v>
      </c>
      <c r="N2050" s="0" t="n">
        <v>8</v>
      </c>
      <c r="O2050" s="21" t="s">
        <v>4139</v>
      </c>
      <c r="P2050" s="21" t="s">
        <v>4903</v>
      </c>
      <c r="Q2050" s="0" t="n">
        <v>1</v>
      </c>
      <c r="R2050" s="21" t="s">
        <v>69</v>
      </c>
      <c r="S2050" s="0" t="n">
        <v>8</v>
      </c>
      <c r="T2050" s="21" t="s">
        <v>4139</v>
      </c>
      <c r="U2050" s="22" t="b">
        <f aca="false">FALSE()</f>
        <v>0</v>
      </c>
      <c r="V2050" s="0" t="n">
        <v>0.73</v>
      </c>
      <c r="W2050" s="0" t="n">
        <v>0.88</v>
      </c>
      <c r="X2050" s="0" t="n">
        <v>6.03</v>
      </c>
      <c r="Y2050" s="0" t="n">
        <v>323.06</v>
      </c>
      <c r="Z2050" s="0" t="n">
        <v>9.67</v>
      </c>
      <c r="AA2050" s="0" t="n">
        <v>1.02</v>
      </c>
      <c r="AB2050" s="0" t="n">
        <v>1.26</v>
      </c>
      <c r="AC2050" s="22" t="b">
        <f aca="false">TRUE()</f>
        <v>1</v>
      </c>
      <c r="AD2050" s="0" t="n">
        <v>28.04</v>
      </c>
      <c r="AE2050" s="0" t="n">
        <v>15</v>
      </c>
      <c r="AF2050" s="0" t="n">
        <v>25.45</v>
      </c>
      <c r="AG2050" s="22" t="b">
        <f aca="false">TRUE()</f>
        <v>1</v>
      </c>
      <c r="AH2050" s="0" t="n">
        <v>1</v>
      </c>
    </row>
    <row r="2051" customFormat="false" ht="15" hidden="false" customHeight="false" outlineLevel="0" collapsed="false">
      <c r="A2051" s="0" t="s">
        <v>3051</v>
      </c>
      <c r="B2051" s="0" t="s">
        <v>3459</v>
      </c>
      <c r="C2051" s="0" t="s">
        <v>3450</v>
      </c>
      <c r="D2051" s="0" t="s">
        <v>3448</v>
      </c>
      <c r="E2051" s="20" t="s">
        <v>25</v>
      </c>
      <c r="F2051" s="23" t="s">
        <v>30</v>
      </c>
      <c r="G2051" s="21" t="s">
        <v>163</v>
      </c>
      <c r="H2051" s="21" t="s">
        <v>24</v>
      </c>
      <c r="I2051" s="21" t="s">
        <v>25</v>
      </c>
      <c r="J2051" s="21" t="s">
        <v>24</v>
      </c>
      <c r="K2051" s="21" t="s">
        <v>25</v>
      </c>
      <c r="L2051" s="21" t="s">
        <v>24</v>
      </c>
      <c r="M2051" s="0" t="n">
        <v>185</v>
      </c>
      <c r="N2051" s="0" t="n">
        <v>3</v>
      </c>
      <c r="O2051" s="21" t="s">
        <v>3649</v>
      </c>
      <c r="P2051" s="21" t="s">
        <v>4242</v>
      </c>
      <c r="Q2051" s="0" t="n">
        <v>1</v>
      </c>
      <c r="R2051" s="21" t="s">
        <v>69</v>
      </c>
      <c r="S2051" s="0" t="n">
        <v>3</v>
      </c>
      <c r="T2051" s="21" t="s">
        <v>3649</v>
      </c>
      <c r="U2051" s="22" t="b">
        <f aca="false">TRUE()</f>
        <v>1</v>
      </c>
      <c r="V2051" s="0" t="n">
        <v>0.75</v>
      </c>
      <c r="W2051" s="0" t="n">
        <v>0.36</v>
      </c>
      <c r="X2051" s="0" t="n">
        <v>5.61</v>
      </c>
      <c r="Y2051" s="0" t="n">
        <v>383.82</v>
      </c>
      <c r="Z2051" s="0" t="n">
        <v>9.83</v>
      </c>
      <c r="AA2051" s="0" t="n">
        <v>3.61</v>
      </c>
      <c r="AB2051" s="0" t="n">
        <v>0.12</v>
      </c>
      <c r="AC2051" s="22" t="b">
        <f aca="false">FALSE()</f>
        <v>0</v>
      </c>
      <c r="AD2051" s="0" t="n">
        <v>25.95</v>
      </c>
      <c r="AE2051" s="0" t="n">
        <v>14.44</v>
      </c>
      <c r="AF2051" s="0" t="n">
        <v>26.44</v>
      </c>
      <c r="AG2051" s="22" t="b">
        <f aca="false">TRUE()</f>
        <v>1</v>
      </c>
      <c r="AH2051" s="0" t="n">
        <v>1</v>
      </c>
    </row>
    <row r="2052" customFormat="false" ht="15" hidden="false" customHeight="false" outlineLevel="0" collapsed="false">
      <c r="A2052" s="0" t="s">
        <v>3051</v>
      </c>
      <c r="B2052" s="0" t="s">
        <v>3459</v>
      </c>
      <c r="C2052" s="0" t="s">
        <v>3447</v>
      </c>
      <c r="D2052" s="0" t="s">
        <v>3457</v>
      </c>
      <c r="E2052" s="20" t="s">
        <v>25</v>
      </c>
      <c r="F2052" s="23" t="s">
        <v>30</v>
      </c>
      <c r="G2052" s="21" t="s">
        <v>144</v>
      </c>
      <c r="H2052" s="21" t="s">
        <v>24</v>
      </c>
      <c r="I2052" s="21" t="s">
        <v>24</v>
      </c>
      <c r="J2052" s="21" t="s">
        <v>24</v>
      </c>
      <c r="K2052" s="21" t="s">
        <v>25</v>
      </c>
      <c r="L2052" s="21" t="s">
        <v>24</v>
      </c>
      <c r="M2052" s="0" t="n">
        <v>185</v>
      </c>
      <c r="N2052" s="0" t="n">
        <v>5</v>
      </c>
      <c r="O2052" s="21" t="s">
        <v>3704</v>
      </c>
      <c r="P2052" s="21" t="s">
        <v>4904</v>
      </c>
      <c r="Q2052" s="0" t="n">
        <v>0</v>
      </c>
      <c r="S2052" s="0" t="n">
        <v>5</v>
      </c>
      <c r="T2052" s="21" t="s">
        <v>3704</v>
      </c>
      <c r="U2052" s="22" t="b">
        <f aca="false">TRUE()</f>
        <v>1</v>
      </c>
      <c r="V2052" s="0" t="n">
        <v>0.8</v>
      </c>
      <c r="W2052" s="0" t="n">
        <v>0</v>
      </c>
      <c r="X2052" s="0" t="n">
        <v>8.01</v>
      </c>
      <c r="Y2052" s="0" t="n">
        <v>730.14</v>
      </c>
      <c r="Z2052" s="0" t="n">
        <v>8</v>
      </c>
      <c r="AA2052" s="0" t="n">
        <v>-1.35</v>
      </c>
      <c r="AB2052" s="0" t="n">
        <v>1.26</v>
      </c>
      <c r="AC2052" s="22" t="b">
        <f aca="false">FALSE()</f>
        <v>0</v>
      </c>
      <c r="AD2052" s="0" t="n">
        <v>26.19</v>
      </c>
      <c r="AE2052" s="0" t="n">
        <v>14.21</v>
      </c>
      <c r="AF2052" s="0" t="n">
        <v>23.99</v>
      </c>
      <c r="AG2052" s="22" t="b">
        <f aca="false">TRUE()</f>
        <v>1</v>
      </c>
      <c r="AH2052" s="0" t="n">
        <v>1</v>
      </c>
    </row>
    <row r="2053" customFormat="false" ht="15" hidden="false" customHeight="false" outlineLevel="0" collapsed="false">
      <c r="A2053" s="0" t="s">
        <v>3051</v>
      </c>
      <c r="B2053" s="0" t="s">
        <v>3459</v>
      </c>
      <c r="C2053" s="0" t="s">
        <v>3447</v>
      </c>
      <c r="D2053" s="0" t="s">
        <v>3448</v>
      </c>
      <c r="E2053" s="20" t="s">
        <v>25</v>
      </c>
      <c r="F2053" s="23" t="s">
        <v>30</v>
      </c>
      <c r="G2053" s="21" t="s">
        <v>2610</v>
      </c>
      <c r="H2053" s="21" t="s">
        <v>24</v>
      </c>
      <c r="I2053" s="21" t="s">
        <v>24</v>
      </c>
      <c r="J2053" s="21" t="s">
        <v>24</v>
      </c>
      <c r="K2053" s="21" t="s">
        <v>25</v>
      </c>
      <c r="L2053" s="21" t="s">
        <v>24</v>
      </c>
      <c r="M2053" s="0" t="n">
        <v>182</v>
      </c>
      <c r="N2053" s="0" t="n">
        <v>5</v>
      </c>
      <c r="O2053" s="21" t="s">
        <v>3683</v>
      </c>
      <c r="P2053" s="21" t="s">
        <v>4905</v>
      </c>
      <c r="Q2053" s="0" t="n">
        <v>0</v>
      </c>
      <c r="S2053" s="0" t="n">
        <v>5</v>
      </c>
      <c r="T2053" s="21" t="s">
        <v>3683</v>
      </c>
      <c r="U2053" s="22" t="b">
        <f aca="false">TRUE()</f>
        <v>1</v>
      </c>
      <c r="V2053" s="0" t="n">
        <v>0.81</v>
      </c>
      <c r="W2053" s="0" t="n">
        <v>0.48</v>
      </c>
      <c r="X2053" s="0" t="n">
        <v>6.82</v>
      </c>
      <c r="Y2053" s="0" t="n">
        <v>334.52</v>
      </c>
      <c r="Z2053" s="0" t="n">
        <v>8</v>
      </c>
      <c r="AA2053" s="0" t="n">
        <v>-1.21</v>
      </c>
      <c r="AB2053" s="0" t="n">
        <v>0.12</v>
      </c>
      <c r="AC2053" s="22" t="b">
        <f aca="false">FALSE()</f>
        <v>0</v>
      </c>
      <c r="AD2053" s="0" t="n">
        <v>13.94</v>
      </c>
      <c r="AE2053" s="0" t="n">
        <v>5.79</v>
      </c>
      <c r="AF2053" s="0" t="n">
        <v>19.44</v>
      </c>
      <c r="AG2053" s="22" t="b">
        <f aca="false">TRUE()</f>
        <v>1</v>
      </c>
      <c r="AH2053" s="0" t="n">
        <v>1</v>
      </c>
    </row>
    <row r="2054" customFormat="false" ht="15" hidden="false" customHeight="false" outlineLevel="0" collapsed="false">
      <c r="A2054" s="0" t="s">
        <v>3057</v>
      </c>
      <c r="B2054" s="0" t="s">
        <v>134</v>
      </c>
      <c r="C2054" s="0" t="s">
        <v>3450</v>
      </c>
      <c r="D2054" s="0" t="s">
        <v>3457</v>
      </c>
      <c r="E2054" s="20" t="s">
        <v>25</v>
      </c>
      <c r="F2054" s="20" t="s">
        <v>29</v>
      </c>
      <c r="G2054" s="21" t="s">
        <v>3466</v>
      </c>
      <c r="H2054" s="21" t="s">
        <v>24</v>
      </c>
      <c r="I2054" s="21" t="s">
        <v>24</v>
      </c>
      <c r="J2054" s="21" t="s">
        <v>24</v>
      </c>
      <c r="K2054" s="21" t="s">
        <v>25</v>
      </c>
      <c r="L2054" s="21" t="s">
        <v>24</v>
      </c>
      <c r="M2054" s="0" t="n">
        <v>183</v>
      </c>
      <c r="N2054" s="0" t="n">
        <v>0</v>
      </c>
      <c r="Q2054" s="0" t="n">
        <v>0</v>
      </c>
      <c r="S2054" s="0" t="n">
        <v>0</v>
      </c>
      <c r="U2054" s="22" t="b">
        <f aca="false">FALSE()</f>
        <v>0</v>
      </c>
      <c r="V2054" s="0" t="n">
        <v>0.71</v>
      </c>
      <c r="W2054" s="0" t="n">
        <v>0.76</v>
      </c>
      <c r="X2054" s="0" t="n">
        <v>4.92</v>
      </c>
      <c r="Y2054" s="0" t="n">
        <v>321.24</v>
      </c>
      <c r="Z2054" s="0" t="n">
        <v>9.83</v>
      </c>
      <c r="AA2054" s="0" t="n">
        <v>-0.25</v>
      </c>
      <c r="AB2054" s="0" t="n">
        <v>1.23</v>
      </c>
      <c r="AC2054" s="22" t="b">
        <f aca="false">TRUE()</f>
        <v>1</v>
      </c>
      <c r="AD2054" s="0" t="n">
        <v>18.36</v>
      </c>
      <c r="AE2054" s="0" t="n">
        <v>1.4</v>
      </c>
      <c r="AF2054" s="0" t="n">
        <v>14.18</v>
      </c>
      <c r="AG2054" s="22" t="b">
        <f aca="false">TRUE()</f>
        <v>1</v>
      </c>
      <c r="AH2054" s="0" t="n">
        <v>1</v>
      </c>
    </row>
    <row r="2055" customFormat="false" ht="15" hidden="false" customHeight="false" outlineLevel="0" collapsed="false">
      <c r="A2055" s="0" t="s">
        <v>3057</v>
      </c>
      <c r="B2055" s="0" t="s">
        <v>134</v>
      </c>
      <c r="C2055" s="0" t="s">
        <v>3450</v>
      </c>
      <c r="D2055" s="0" t="s">
        <v>3448</v>
      </c>
      <c r="E2055" s="20" t="s">
        <v>25</v>
      </c>
      <c r="F2055" s="20" t="s">
        <v>29</v>
      </c>
      <c r="G2055" s="21" t="s">
        <v>3466</v>
      </c>
      <c r="H2055" s="21" t="s">
        <v>24</v>
      </c>
      <c r="I2055" s="21" t="s">
        <v>24</v>
      </c>
      <c r="J2055" s="21" t="s">
        <v>24</v>
      </c>
      <c r="K2055" s="21" t="s">
        <v>25</v>
      </c>
      <c r="L2055" s="21" t="s">
        <v>24</v>
      </c>
      <c r="M2055" s="0" t="n">
        <v>183</v>
      </c>
      <c r="N2055" s="0" t="n">
        <v>0</v>
      </c>
      <c r="Q2055" s="0" t="n">
        <v>0</v>
      </c>
      <c r="S2055" s="0" t="n">
        <v>0</v>
      </c>
      <c r="U2055" s="22" t="b">
        <f aca="false">FALSE()</f>
        <v>0</v>
      </c>
      <c r="V2055" s="0" t="n">
        <v>0.77</v>
      </c>
      <c r="W2055" s="0" t="n">
        <v>0.4</v>
      </c>
      <c r="X2055" s="0" t="n">
        <v>4.51</v>
      </c>
      <c r="Y2055" s="0" t="n">
        <v>360.4</v>
      </c>
      <c r="Z2055" s="0" t="n">
        <v>9.58</v>
      </c>
      <c r="AA2055" s="0" t="n">
        <v>0.62</v>
      </c>
      <c r="AB2055" s="0" t="n">
        <v>1.39</v>
      </c>
      <c r="AC2055" s="22" t="b">
        <f aca="false">TRUE()</f>
        <v>1</v>
      </c>
      <c r="AD2055" s="0" t="n">
        <v>19.24</v>
      </c>
      <c r="AE2055" s="0" t="n">
        <v>1.82</v>
      </c>
      <c r="AF2055" s="0" t="n">
        <v>11.78</v>
      </c>
      <c r="AG2055" s="22" t="b">
        <f aca="false">TRUE()</f>
        <v>1</v>
      </c>
      <c r="AH2055" s="0" t="n">
        <v>1</v>
      </c>
    </row>
    <row r="2056" customFormat="false" ht="15" hidden="false" customHeight="false" outlineLevel="0" collapsed="false">
      <c r="A2056" s="0" t="s">
        <v>3057</v>
      </c>
      <c r="B2056" s="0" t="s">
        <v>134</v>
      </c>
      <c r="C2056" s="0" t="s">
        <v>3447</v>
      </c>
      <c r="D2056" s="0" t="s">
        <v>3457</v>
      </c>
      <c r="E2056" s="20" t="s">
        <v>25</v>
      </c>
      <c r="F2056" s="20" t="s">
        <v>29</v>
      </c>
      <c r="G2056" s="21" t="s">
        <v>63</v>
      </c>
      <c r="H2056" s="21" t="s">
        <v>24</v>
      </c>
      <c r="I2056" s="21" t="s">
        <v>24</v>
      </c>
      <c r="J2056" s="21" t="s">
        <v>24</v>
      </c>
      <c r="K2056" s="21" t="s">
        <v>25</v>
      </c>
      <c r="L2056" s="21" t="s">
        <v>24</v>
      </c>
      <c r="M2056" s="0" t="n">
        <v>187</v>
      </c>
      <c r="N2056" s="0" t="n">
        <v>0</v>
      </c>
      <c r="Q2056" s="0" t="n">
        <v>0</v>
      </c>
      <c r="S2056" s="0" t="n">
        <v>0</v>
      </c>
      <c r="U2056" s="22" t="b">
        <f aca="false">FALSE()</f>
        <v>0</v>
      </c>
      <c r="V2056" s="0" t="n">
        <v>0.76</v>
      </c>
      <c r="W2056" s="0" t="n">
        <v>0.88</v>
      </c>
      <c r="X2056" s="0" t="n">
        <v>5.26</v>
      </c>
      <c r="Y2056" s="0" t="n">
        <v>326.89</v>
      </c>
      <c r="Z2056" s="0" t="n">
        <v>8.25</v>
      </c>
      <c r="AA2056" s="0" t="n">
        <v>-0.64</v>
      </c>
      <c r="AB2056" s="0" t="n">
        <v>1.23</v>
      </c>
      <c r="AC2056" s="22" t="b">
        <f aca="false">FALSE()</f>
        <v>0</v>
      </c>
      <c r="AD2056" s="0" t="n">
        <v>18.93</v>
      </c>
      <c r="AE2056" s="0" t="n">
        <v>0.61</v>
      </c>
      <c r="AF2056" s="0" t="n">
        <v>16.31</v>
      </c>
      <c r="AG2056" s="22" t="b">
        <f aca="false">TRUE()</f>
        <v>1</v>
      </c>
      <c r="AH2056" s="0" t="n">
        <v>1</v>
      </c>
    </row>
    <row r="2057" customFormat="false" ht="15" hidden="false" customHeight="false" outlineLevel="0" collapsed="false">
      <c r="A2057" s="0" t="s">
        <v>3057</v>
      </c>
      <c r="B2057" s="0" t="s">
        <v>134</v>
      </c>
      <c r="C2057" s="0" t="s">
        <v>3447</v>
      </c>
      <c r="D2057" s="0" t="s">
        <v>3448</v>
      </c>
      <c r="E2057" s="20" t="s">
        <v>25</v>
      </c>
      <c r="F2057" s="23" t="s">
        <v>30</v>
      </c>
      <c r="G2057" s="21" t="s">
        <v>2133</v>
      </c>
      <c r="H2057" s="21" t="s">
        <v>24</v>
      </c>
      <c r="I2057" s="21" t="s">
        <v>24</v>
      </c>
      <c r="J2057" s="21" t="s">
        <v>24</v>
      </c>
      <c r="K2057" s="21" t="s">
        <v>25</v>
      </c>
      <c r="L2057" s="21" t="s">
        <v>24</v>
      </c>
      <c r="M2057" s="0" t="n">
        <v>187</v>
      </c>
      <c r="N2057" s="0" t="n">
        <v>1</v>
      </c>
      <c r="O2057" s="21" t="s">
        <v>3483</v>
      </c>
      <c r="P2057" s="21" t="s">
        <v>4556</v>
      </c>
      <c r="Q2057" s="0" t="n">
        <v>0</v>
      </c>
      <c r="S2057" s="0" t="n">
        <v>1</v>
      </c>
      <c r="T2057" s="21" t="s">
        <v>3483</v>
      </c>
      <c r="U2057" s="22" t="b">
        <f aca="false">TRUE()</f>
        <v>1</v>
      </c>
      <c r="V2057" s="0" t="n">
        <v>0.79</v>
      </c>
      <c r="W2057" s="0" t="n">
        <v>0.8</v>
      </c>
      <c r="X2057" s="0" t="n">
        <v>5.09</v>
      </c>
      <c r="Y2057" s="0" t="n">
        <v>328.28</v>
      </c>
      <c r="Z2057" s="0" t="n">
        <v>8</v>
      </c>
      <c r="AA2057" s="0" t="n">
        <v>-0.04</v>
      </c>
      <c r="AB2057" s="0" t="n">
        <v>1.39</v>
      </c>
      <c r="AC2057" s="22" t="b">
        <f aca="false">FALSE()</f>
        <v>0</v>
      </c>
      <c r="AD2057" s="0" t="n">
        <v>19.03</v>
      </c>
      <c r="AE2057" s="0" t="n">
        <v>0.4</v>
      </c>
      <c r="AF2057" s="0" t="n">
        <v>12</v>
      </c>
      <c r="AG2057" s="22" t="b">
        <f aca="false">TRUE()</f>
        <v>1</v>
      </c>
      <c r="AH2057" s="0" t="n">
        <v>1</v>
      </c>
    </row>
    <row r="2058" customFormat="false" ht="15" hidden="false" customHeight="false" outlineLevel="0" collapsed="false">
      <c r="A2058" s="0" t="s">
        <v>3057</v>
      </c>
      <c r="B2058" s="0" t="s">
        <v>3459</v>
      </c>
      <c r="C2058" s="0" t="s">
        <v>3450</v>
      </c>
      <c r="D2058" s="0" t="s">
        <v>3457</v>
      </c>
      <c r="E2058" s="20" t="s">
        <v>25</v>
      </c>
      <c r="F2058" s="20" t="s">
        <v>29</v>
      </c>
      <c r="G2058" s="21" t="s">
        <v>3113</v>
      </c>
      <c r="H2058" s="21" t="s">
        <v>24</v>
      </c>
      <c r="I2058" s="21" t="s">
        <v>24</v>
      </c>
      <c r="J2058" s="21" t="s">
        <v>24</v>
      </c>
      <c r="K2058" s="21" t="s">
        <v>25</v>
      </c>
      <c r="L2058" s="21" t="s">
        <v>24</v>
      </c>
      <c r="M2058" s="0" t="n">
        <v>184</v>
      </c>
      <c r="N2058" s="0" t="n">
        <v>0</v>
      </c>
      <c r="Q2058" s="0" t="n">
        <v>0</v>
      </c>
      <c r="S2058" s="0" t="n">
        <v>0</v>
      </c>
      <c r="U2058" s="22" t="b">
        <f aca="false">FALSE()</f>
        <v>0</v>
      </c>
      <c r="V2058" s="0" t="n">
        <v>0.74</v>
      </c>
      <c r="W2058" s="0" t="n">
        <v>0.84</v>
      </c>
      <c r="X2058" s="0" t="n">
        <v>5.46</v>
      </c>
      <c r="Y2058" s="0" t="n">
        <v>293.42</v>
      </c>
      <c r="Z2058" s="0" t="n">
        <v>10</v>
      </c>
      <c r="AA2058" s="0" t="n">
        <v>-0.43</v>
      </c>
      <c r="AB2058" s="0" t="n">
        <v>2.03</v>
      </c>
      <c r="AC2058" s="22" t="b">
        <f aca="false">FALSE()</f>
        <v>0</v>
      </c>
      <c r="AD2058" s="0" t="n">
        <v>20.81</v>
      </c>
      <c r="AE2058" s="0" t="n">
        <v>10.1</v>
      </c>
      <c r="AF2058" s="0" t="n">
        <v>18.59</v>
      </c>
      <c r="AG2058" s="22" t="b">
        <f aca="false">TRUE()</f>
        <v>1</v>
      </c>
      <c r="AH2058" s="0" t="n">
        <v>1</v>
      </c>
    </row>
    <row r="2059" customFormat="false" ht="15" hidden="false" customHeight="false" outlineLevel="0" collapsed="false">
      <c r="A2059" s="0" t="s">
        <v>3057</v>
      </c>
      <c r="B2059" s="0" t="s">
        <v>3459</v>
      </c>
      <c r="C2059" s="0" t="s">
        <v>3450</v>
      </c>
      <c r="D2059" s="0" t="s">
        <v>3448</v>
      </c>
      <c r="E2059" s="20" t="s">
        <v>25</v>
      </c>
      <c r="F2059" s="23" t="s">
        <v>30</v>
      </c>
      <c r="G2059" s="21" t="s">
        <v>294</v>
      </c>
      <c r="H2059" s="21" t="s">
        <v>24</v>
      </c>
      <c r="I2059" s="21" t="s">
        <v>25</v>
      </c>
      <c r="J2059" s="21" t="s">
        <v>24</v>
      </c>
      <c r="K2059" s="21" t="s">
        <v>25</v>
      </c>
      <c r="L2059" s="21" t="s">
        <v>24</v>
      </c>
      <c r="M2059" s="0" t="n">
        <v>181</v>
      </c>
      <c r="N2059" s="0" t="n">
        <v>1</v>
      </c>
      <c r="O2059" s="21" t="s">
        <v>69</v>
      </c>
      <c r="P2059" s="21" t="s">
        <v>4275</v>
      </c>
      <c r="Q2059" s="0" t="n">
        <v>1</v>
      </c>
      <c r="R2059" s="21" t="s">
        <v>69</v>
      </c>
      <c r="S2059" s="0" t="n">
        <v>1</v>
      </c>
      <c r="T2059" s="21" t="s">
        <v>69</v>
      </c>
      <c r="U2059" s="22" t="b">
        <f aca="false">TRUE()</f>
        <v>1</v>
      </c>
      <c r="V2059" s="0" t="n">
        <v>0.77</v>
      </c>
      <c r="W2059" s="0" t="n">
        <v>0.6</v>
      </c>
      <c r="X2059" s="0" t="n">
        <v>5.38</v>
      </c>
      <c r="Y2059" s="0" t="n">
        <v>317.69</v>
      </c>
      <c r="Z2059" s="0" t="n">
        <v>9</v>
      </c>
      <c r="AA2059" s="0" t="n">
        <v>2.22</v>
      </c>
      <c r="AB2059" s="0" t="n">
        <v>0.09</v>
      </c>
      <c r="AC2059" s="22" t="b">
        <f aca="false">TRUE()</f>
        <v>1</v>
      </c>
      <c r="AD2059" s="0" t="n">
        <v>24.52</v>
      </c>
      <c r="AE2059" s="0" t="n">
        <v>11.41</v>
      </c>
      <c r="AF2059" s="0" t="n">
        <v>23.33</v>
      </c>
      <c r="AG2059" s="22" t="b">
        <f aca="false">TRUE()</f>
        <v>1</v>
      </c>
      <c r="AH2059" s="0" t="n">
        <v>1</v>
      </c>
    </row>
    <row r="2060" customFormat="false" ht="15" hidden="false" customHeight="false" outlineLevel="0" collapsed="false">
      <c r="A2060" s="0" t="s">
        <v>3057</v>
      </c>
      <c r="B2060" s="0" t="s">
        <v>3459</v>
      </c>
      <c r="C2060" s="0" t="s">
        <v>3447</v>
      </c>
      <c r="D2060" s="0" t="s">
        <v>3457</v>
      </c>
      <c r="E2060" s="19" t="s">
        <v>26</v>
      </c>
      <c r="F2060" s="19" t="s">
        <v>32</v>
      </c>
      <c r="G2060" s="21" t="s">
        <v>1926</v>
      </c>
      <c r="H2060" s="21" t="s">
        <v>24</v>
      </c>
      <c r="I2060" s="21" t="s">
        <v>26</v>
      </c>
      <c r="J2060" s="21" t="s">
        <v>24</v>
      </c>
      <c r="K2060" s="21" t="s">
        <v>25</v>
      </c>
      <c r="L2060" s="21" t="s">
        <v>24</v>
      </c>
      <c r="M2060" s="0" t="n">
        <v>183</v>
      </c>
      <c r="N2060" s="0" t="n">
        <v>9</v>
      </c>
      <c r="O2060" s="21" t="s">
        <v>4084</v>
      </c>
      <c r="P2060" s="21" t="s">
        <v>4906</v>
      </c>
      <c r="Q2060" s="0" t="n">
        <v>1</v>
      </c>
      <c r="R2060" s="21" t="s">
        <v>69</v>
      </c>
      <c r="S2060" s="0" t="n">
        <v>9</v>
      </c>
      <c r="T2060" s="21" t="s">
        <v>4084</v>
      </c>
      <c r="U2060" s="22" t="b">
        <f aca="false">FALSE()</f>
        <v>0</v>
      </c>
      <c r="V2060" s="0" t="n">
        <v>0.76</v>
      </c>
      <c r="W2060" s="0" t="n">
        <v>0.44</v>
      </c>
      <c r="X2060" s="0" t="n">
        <v>5.64</v>
      </c>
      <c r="Y2060" s="0" t="n">
        <v>327.05</v>
      </c>
      <c r="Z2060" s="0" t="n">
        <v>8.08</v>
      </c>
      <c r="AA2060" s="0" t="n">
        <v>-0.36</v>
      </c>
      <c r="AB2060" s="0" t="n">
        <v>2.03</v>
      </c>
      <c r="AC2060" s="22" t="b">
        <f aca="false">FALSE()</f>
        <v>0</v>
      </c>
      <c r="AD2060" s="0" t="n">
        <v>23.4</v>
      </c>
      <c r="AE2060" s="0" t="n">
        <v>11.82</v>
      </c>
      <c r="AF2060" s="0" t="n">
        <v>21.41</v>
      </c>
      <c r="AG2060" s="22" t="b">
        <f aca="false">TRUE()</f>
        <v>1</v>
      </c>
      <c r="AH2060" s="0" t="n">
        <v>1</v>
      </c>
    </row>
    <row r="2061" customFormat="false" ht="15" hidden="false" customHeight="false" outlineLevel="0" collapsed="false">
      <c r="A2061" s="0" t="s">
        <v>3057</v>
      </c>
      <c r="B2061" s="0" t="s">
        <v>3459</v>
      </c>
      <c r="C2061" s="0" t="s">
        <v>3447</v>
      </c>
      <c r="D2061" s="0" t="s">
        <v>3448</v>
      </c>
      <c r="E2061" s="20" t="s">
        <v>25</v>
      </c>
      <c r="F2061" s="23" t="s">
        <v>30</v>
      </c>
      <c r="G2061" s="21" t="s">
        <v>2610</v>
      </c>
      <c r="H2061" s="21" t="s">
        <v>24</v>
      </c>
      <c r="I2061" s="21" t="s">
        <v>24</v>
      </c>
      <c r="J2061" s="21" t="s">
        <v>24</v>
      </c>
      <c r="K2061" s="21" t="s">
        <v>25</v>
      </c>
      <c r="L2061" s="21" t="s">
        <v>24</v>
      </c>
      <c r="M2061" s="0" t="n">
        <v>184</v>
      </c>
      <c r="N2061" s="0" t="n">
        <v>1</v>
      </c>
      <c r="O2061" s="21" t="s">
        <v>3486</v>
      </c>
      <c r="P2061" s="21" t="s">
        <v>4554</v>
      </c>
      <c r="Q2061" s="0" t="n">
        <v>0</v>
      </c>
      <c r="S2061" s="0" t="n">
        <v>1</v>
      </c>
      <c r="T2061" s="21" t="s">
        <v>3486</v>
      </c>
      <c r="U2061" s="22" t="b">
        <f aca="false">TRUE()</f>
        <v>1</v>
      </c>
      <c r="V2061" s="0" t="n">
        <v>0.79</v>
      </c>
      <c r="W2061" s="0" t="n">
        <v>0.88</v>
      </c>
      <c r="X2061" s="0" t="n">
        <v>5.46</v>
      </c>
      <c r="Y2061" s="0" t="n">
        <v>319.96</v>
      </c>
      <c r="Z2061" s="0" t="n">
        <v>8</v>
      </c>
      <c r="AA2061" s="0" t="n">
        <v>-0.94</v>
      </c>
      <c r="AB2061" s="0" t="n">
        <v>0.09</v>
      </c>
      <c r="AC2061" s="22" t="b">
        <f aca="false">FALSE()</f>
        <v>0</v>
      </c>
      <c r="AD2061" s="0" t="n">
        <v>15.78</v>
      </c>
      <c r="AE2061" s="0" t="n">
        <v>6.55</v>
      </c>
      <c r="AF2061" s="0" t="n">
        <v>19.02</v>
      </c>
      <c r="AG2061" s="22" t="b">
        <f aca="false">TRUE()</f>
        <v>1</v>
      </c>
      <c r="AH2061" s="0" t="n">
        <v>1</v>
      </c>
    </row>
    <row r="2062" customFormat="false" ht="15" hidden="false" customHeight="false" outlineLevel="0" collapsed="false">
      <c r="A2062" s="0" t="s">
        <v>3068</v>
      </c>
      <c r="B2062" s="0" t="s">
        <v>134</v>
      </c>
      <c r="C2062" s="0" t="s">
        <v>3450</v>
      </c>
      <c r="D2062" s="0" t="s">
        <v>3457</v>
      </c>
      <c r="E2062" s="20" t="s">
        <v>25</v>
      </c>
      <c r="F2062" s="20" t="s">
        <v>29</v>
      </c>
      <c r="G2062" s="21" t="s">
        <v>3113</v>
      </c>
      <c r="H2062" s="21" t="s">
        <v>24</v>
      </c>
      <c r="I2062" s="21" t="s">
        <v>24</v>
      </c>
      <c r="J2062" s="21" t="s">
        <v>24</v>
      </c>
      <c r="K2062" s="21" t="s">
        <v>25</v>
      </c>
      <c r="L2062" s="21" t="s">
        <v>24</v>
      </c>
      <c r="M2062" s="0" t="n">
        <v>186</v>
      </c>
      <c r="N2062" s="0" t="n">
        <v>0</v>
      </c>
      <c r="Q2062" s="0" t="n">
        <v>0</v>
      </c>
      <c r="S2062" s="0" t="n">
        <v>0</v>
      </c>
      <c r="U2062" s="22" t="b">
        <f aca="false">FALSE()</f>
        <v>0</v>
      </c>
      <c r="V2062" s="0" t="n">
        <v>0.61</v>
      </c>
      <c r="W2062" s="0" t="n">
        <v>0.92</v>
      </c>
      <c r="X2062" s="0" t="n">
        <v>12.98</v>
      </c>
      <c r="Y2062" s="0" t="n">
        <v>303.17</v>
      </c>
      <c r="Z2062" s="0" t="n">
        <v>12</v>
      </c>
      <c r="AA2062" s="0" t="n">
        <v>0.38</v>
      </c>
      <c r="AB2062" s="0" t="n">
        <v>6.2</v>
      </c>
      <c r="AC2062" s="22" t="b">
        <f aca="false">FALSE()</f>
        <v>0</v>
      </c>
      <c r="AD2062" s="0" t="n">
        <v>20.75</v>
      </c>
      <c r="AE2062" s="0" t="n">
        <v>-0.54</v>
      </c>
      <c r="AF2062" s="0" t="n">
        <v>17.94</v>
      </c>
      <c r="AG2062" s="22" t="b">
        <f aca="false">TRUE()</f>
        <v>1</v>
      </c>
      <c r="AH2062" s="0" t="n">
        <v>1</v>
      </c>
    </row>
    <row r="2063" customFormat="false" ht="15" hidden="false" customHeight="false" outlineLevel="0" collapsed="false">
      <c r="A2063" s="0" t="s">
        <v>3068</v>
      </c>
      <c r="B2063" s="0" t="s">
        <v>134</v>
      </c>
      <c r="C2063" s="0" t="s">
        <v>3450</v>
      </c>
      <c r="D2063" s="0" t="s">
        <v>3448</v>
      </c>
      <c r="E2063" s="20" t="s">
        <v>25</v>
      </c>
      <c r="F2063" s="23" t="s">
        <v>30</v>
      </c>
      <c r="G2063" s="21" t="s">
        <v>283</v>
      </c>
      <c r="H2063" s="21" t="s">
        <v>24</v>
      </c>
      <c r="I2063" s="21" t="s">
        <v>25</v>
      </c>
      <c r="J2063" s="21" t="s">
        <v>24</v>
      </c>
      <c r="K2063" s="21" t="s">
        <v>24</v>
      </c>
      <c r="L2063" s="21" t="s">
        <v>24</v>
      </c>
      <c r="M2063" s="0" t="n">
        <v>184</v>
      </c>
      <c r="N2063" s="0" t="n">
        <v>1</v>
      </c>
      <c r="O2063" s="21" t="s">
        <v>69</v>
      </c>
      <c r="P2063" s="21" t="s">
        <v>4275</v>
      </c>
      <c r="Q2063" s="0" t="n">
        <v>1</v>
      </c>
      <c r="R2063" s="21" t="s">
        <v>69</v>
      </c>
      <c r="S2063" s="0" t="n">
        <v>1</v>
      </c>
      <c r="T2063" s="21" t="s">
        <v>69</v>
      </c>
      <c r="U2063" s="22" t="b">
        <f aca="false">TRUE()</f>
        <v>1</v>
      </c>
      <c r="V2063" s="0" t="n">
        <v>0.62</v>
      </c>
      <c r="W2063" s="0" t="n">
        <v>0.32</v>
      </c>
      <c r="X2063" s="0" t="n">
        <v>10.46</v>
      </c>
      <c r="Y2063" s="0" t="n">
        <v>399.17</v>
      </c>
      <c r="Z2063" s="0" t="n">
        <v>12</v>
      </c>
      <c r="AA2063" s="0" t="n">
        <v>6.13</v>
      </c>
      <c r="AB2063" s="0" t="n">
        <v>4.59</v>
      </c>
      <c r="AC2063" s="22" t="b">
        <f aca="false">FALSE()</f>
        <v>0</v>
      </c>
      <c r="AD2063" s="0" t="n">
        <v>8.8</v>
      </c>
      <c r="AE2063" s="0" t="n">
        <v>2.04</v>
      </c>
      <c r="AF2063" s="0" t="n">
        <v>5.7</v>
      </c>
      <c r="AG2063" s="22" t="b">
        <f aca="false">FALSE()</f>
        <v>0</v>
      </c>
      <c r="AH2063" s="0" t="n">
        <v>1</v>
      </c>
    </row>
    <row r="2064" customFormat="false" ht="15" hidden="false" customHeight="false" outlineLevel="0" collapsed="false">
      <c r="A2064" s="0" t="s">
        <v>3068</v>
      </c>
      <c r="B2064" s="0" t="s">
        <v>134</v>
      </c>
      <c r="C2064" s="0" t="s">
        <v>3447</v>
      </c>
      <c r="D2064" s="0" t="s">
        <v>3457</v>
      </c>
      <c r="E2064" s="20" t="s">
        <v>25</v>
      </c>
      <c r="F2064" s="23" t="s">
        <v>30</v>
      </c>
      <c r="G2064" s="21" t="s">
        <v>992</v>
      </c>
      <c r="H2064" s="21" t="s">
        <v>24</v>
      </c>
      <c r="I2064" s="21" t="s">
        <v>24</v>
      </c>
      <c r="J2064" s="21" t="s">
        <v>24</v>
      </c>
      <c r="K2064" s="21" t="s">
        <v>25</v>
      </c>
      <c r="L2064" s="21" t="s">
        <v>24</v>
      </c>
      <c r="M2064" s="0" t="n">
        <v>185</v>
      </c>
      <c r="N2064" s="0" t="n">
        <v>5</v>
      </c>
      <c r="O2064" s="21" t="s">
        <v>3761</v>
      </c>
      <c r="P2064" s="21" t="s">
        <v>4907</v>
      </c>
      <c r="Q2064" s="0" t="n">
        <v>0</v>
      </c>
      <c r="S2064" s="0" t="n">
        <v>5</v>
      </c>
      <c r="T2064" s="21" t="s">
        <v>3761</v>
      </c>
      <c r="U2064" s="22" t="b">
        <f aca="false">TRUE()</f>
        <v>1</v>
      </c>
      <c r="V2064" s="0" t="n">
        <v>0.65</v>
      </c>
      <c r="W2064" s="0" t="n">
        <v>0.8</v>
      </c>
      <c r="X2064" s="0" t="n">
        <v>11.87</v>
      </c>
      <c r="Y2064" s="0" t="n">
        <v>312.24</v>
      </c>
      <c r="Z2064" s="0" t="n">
        <v>11.83</v>
      </c>
      <c r="AA2064" s="0" t="n">
        <v>1.07</v>
      </c>
      <c r="AB2064" s="0" t="n">
        <v>6.2</v>
      </c>
      <c r="AC2064" s="22" t="b">
        <f aca="false">FALSE()</f>
        <v>0</v>
      </c>
      <c r="AD2064" s="0" t="n">
        <v>21.13</v>
      </c>
      <c r="AE2064" s="0" t="n">
        <v>1.19</v>
      </c>
      <c r="AF2064" s="0" t="n">
        <v>19.44</v>
      </c>
      <c r="AG2064" s="22" t="b">
        <f aca="false">TRUE()</f>
        <v>1</v>
      </c>
      <c r="AH2064" s="0" t="n">
        <v>1</v>
      </c>
    </row>
    <row r="2065" customFormat="false" ht="15" hidden="false" customHeight="false" outlineLevel="0" collapsed="false">
      <c r="A2065" s="0" t="s">
        <v>3068</v>
      </c>
      <c r="B2065" s="0" t="s">
        <v>134</v>
      </c>
      <c r="C2065" s="0" t="s">
        <v>3447</v>
      </c>
      <c r="D2065" s="0" t="s">
        <v>3448</v>
      </c>
      <c r="E2065" s="18" t="s">
        <v>24</v>
      </c>
      <c r="F2065" s="23" t="s">
        <v>30</v>
      </c>
      <c r="G2065" s="21" t="s">
        <v>30</v>
      </c>
      <c r="H2065" s="21" t="s">
        <v>24</v>
      </c>
      <c r="I2065" s="21" t="s">
        <v>24</v>
      </c>
      <c r="J2065" s="21" t="s">
        <v>24</v>
      </c>
      <c r="K2065" s="21" t="s">
        <v>24</v>
      </c>
      <c r="L2065" s="21" t="s">
        <v>24</v>
      </c>
      <c r="M2065" s="0" t="n">
        <v>184</v>
      </c>
      <c r="N2065" s="0" t="n">
        <v>5</v>
      </c>
      <c r="O2065" s="21" t="s">
        <v>3761</v>
      </c>
      <c r="P2065" s="21" t="s">
        <v>4907</v>
      </c>
      <c r="Q2065" s="0" t="n">
        <v>0</v>
      </c>
      <c r="S2065" s="0" t="n">
        <v>5</v>
      </c>
      <c r="T2065" s="21" t="s">
        <v>3761</v>
      </c>
      <c r="U2065" s="22" t="b">
        <f aca="false">TRUE()</f>
        <v>1</v>
      </c>
      <c r="V2065" s="0" t="n">
        <v>0.65</v>
      </c>
      <c r="W2065" s="0" t="n">
        <v>0.36</v>
      </c>
      <c r="X2065" s="0" t="n">
        <v>10.68</v>
      </c>
      <c r="Y2065" s="0" t="n">
        <v>355.89</v>
      </c>
      <c r="Z2065" s="0" t="n">
        <v>11.83</v>
      </c>
      <c r="AA2065" s="0" t="n">
        <v>-0.38</v>
      </c>
      <c r="AB2065" s="0" t="n">
        <v>4.59</v>
      </c>
      <c r="AC2065" s="22" t="b">
        <f aca="false">FALSE()</f>
        <v>0</v>
      </c>
      <c r="AD2065" s="0" t="n">
        <v>3.85</v>
      </c>
      <c r="AE2065" s="0" t="n">
        <v>2.71</v>
      </c>
      <c r="AF2065" s="0" t="n">
        <v>1.89</v>
      </c>
      <c r="AG2065" s="22" t="b">
        <f aca="false">FALSE()</f>
        <v>0</v>
      </c>
      <c r="AH2065" s="0" t="n">
        <v>1</v>
      </c>
    </row>
    <row r="2066" customFormat="false" ht="15" hidden="false" customHeight="false" outlineLevel="0" collapsed="false">
      <c r="A2066" s="0" t="s">
        <v>3068</v>
      </c>
      <c r="B2066" s="0" t="s">
        <v>3459</v>
      </c>
      <c r="C2066" s="0" t="s">
        <v>3450</v>
      </c>
      <c r="D2066" s="0" t="s">
        <v>3457</v>
      </c>
      <c r="E2066" s="20" t="s">
        <v>25</v>
      </c>
      <c r="F2066" s="20" t="s">
        <v>29</v>
      </c>
      <c r="G2066" s="21" t="s">
        <v>62</v>
      </c>
      <c r="H2066" s="21" t="s">
        <v>24</v>
      </c>
      <c r="I2066" s="21" t="s">
        <v>24</v>
      </c>
      <c r="J2066" s="21" t="s">
        <v>24</v>
      </c>
      <c r="K2066" s="21" t="s">
        <v>25</v>
      </c>
      <c r="L2066" s="21" t="s">
        <v>24</v>
      </c>
      <c r="M2066" s="0" t="n">
        <v>186</v>
      </c>
      <c r="N2066" s="0" t="n">
        <v>0</v>
      </c>
      <c r="Q2066" s="0" t="n">
        <v>0</v>
      </c>
      <c r="S2066" s="0" t="n">
        <v>0</v>
      </c>
      <c r="U2066" s="22" t="b">
        <f aca="false">FALSE()</f>
        <v>0</v>
      </c>
      <c r="V2066" s="0" t="n">
        <v>0.69</v>
      </c>
      <c r="W2066" s="0" t="n">
        <v>0.72</v>
      </c>
      <c r="X2066" s="0" t="n">
        <v>9.38</v>
      </c>
      <c r="Y2066" s="0" t="n">
        <v>322.17</v>
      </c>
      <c r="Z2066" s="0" t="n">
        <v>12</v>
      </c>
      <c r="AA2066" s="0" t="n">
        <v>2.01</v>
      </c>
      <c r="AB2066" s="0" t="n">
        <v>7.39</v>
      </c>
      <c r="AC2066" s="22" t="b">
        <f aca="false">FALSE()</f>
        <v>0</v>
      </c>
      <c r="AD2066" s="0" t="n">
        <v>14.19</v>
      </c>
      <c r="AE2066" s="0" t="n">
        <v>0.44</v>
      </c>
      <c r="AF2066" s="0" t="n">
        <v>12.16</v>
      </c>
      <c r="AG2066" s="22" t="b">
        <f aca="false">TRUE()</f>
        <v>1</v>
      </c>
      <c r="AH2066" s="0" t="n">
        <v>1</v>
      </c>
    </row>
    <row r="2067" customFormat="false" ht="15" hidden="false" customHeight="false" outlineLevel="0" collapsed="false">
      <c r="A2067" s="0" t="s">
        <v>3068</v>
      </c>
      <c r="B2067" s="0" t="s">
        <v>3459</v>
      </c>
      <c r="C2067" s="0" t="s">
        <v>3450</v>
      </c>
      <c r="D2067" s="0" t="s">
        <v>3448</v>
      </c>
      <c r="E2067" s="20" t="s">
        <v>25</v>
      </c>
      <c r="F2067" s="20" t="s">
        <v>29</v>
      </c>
      <c r="G2067" s="21" t="s">
        <v>61</v>
      </c>
      <c r="H2067" s="21" t="s">
        <v>24</v>
      </c>
      <c r="I2067" s="21" t="s">
        <v>24</v>
      </c>
      <c r="J2067" s="21" t="s">
        <v>24</v>
      </c>
      <c r="K2067" s="21" t="s">
        <v>25</v>
      </c>
      <c r="L2067" s="21" t="s">
        <v>24</v>
      </c>
      <c r="M2067" s="0" t="n">
        <v>185</v>
      </c>
      <c r="N2067" s="0" t="n">
        <v>0</v>
      </c>
      <c r="Q2067" s="0" t="n">
        <v>0</v>
      </c>
      <c r="S2067" s="0" t="n">
        <v>0</v>
      </c>
      <c r="U2067" s="22" t="b">
        <f aca="false">FALSE()</f>
        <v>0</v>
      </c>
      <c r="V2067" s="0" t="n">
        <v>0.67</v>
      </c>
      <c r="W2067" s="0" t="n">
        <v>0.44</v>
      </c>
      <c r="X2067" s="0" t="n">
        <v>8.42</v>
      </c>
      <c r="Y2067" s="0" t="n">
        <v>348.95</v>
      </c>
      <c r="Z2067" s="0" t="n">
        <v>12</v>
      </c>
      <c r="AA2067" s="0" t="n">
        <v>5.15</v>
      </c>
      <c r="AB2067" s="0" t="n">
        <v>2.51</v>
      </c>
      <c r="AC2067" s="22" t="b">
        <f aca="false">FALSE()</f>
        <v>0</v>
      </c>
      <c r="AD2067" s="0" t="n">
        <v>21.48</v>
      </c>
      <c r="AE2067" s="0" t="n">
        <v>2.32</v>
      </c>
      <c r="AF2067" s="0" t="n">
        <v>20.04</v>
      </c>
      <c r="AG2067" s="22" t="b">
        <f aca="false">TRUE()</f>
        <v>1</v>
      </c>
      <c r="AH2067" s="0" t="n">
        <v>1</v>
      </c>
    </row>
    <row r="2068" customFormat="false" ht="15" hidden="false" customHeight="false" outlineLevel="0" collapsed="false">
      <c r="A2068" s="0" t="s">
        <v>3068</v>
      </c>
      <c r="B2068" s="0" t="s">
        <v>3459</v>
      </c>
      <c r="C2068" s="0" t="s">
        <v>3447</v>
      </c>
      <c r="D2068" s="0" t="s">
        <v>3457</v>
      </c>
      <c r="E2068" s="20" t="s">
        <v>25</v>
      </c>
      <c r="F2068" s="23" t="s">
        <v>30</v>
      </c>
      <c r="G2068" s="21" t="s">
        <v>183</v>
      </c>
      <c r="H2068" s="21" t="s">
        <v>24</v>
      </c>
      <c r="I2068" s="21" t="s">
        <v>25</v>
      </c>
      <c r="J2068" s="21" t="s">
        <v>24</v>
      </c>
      <c r="K2068" s="21" t="s">
        <v>25</v>
      </c>
      <c r="L2068" s="21" t="s">
        <v>24</v>
      </c>
      <c r="M2068" s="0" t="n">
        <v>184</v>
      </c>
      <c r="N2068" s="0" t="n">
        <v>1</v>
      </c>
      <c r="O2068" s="21" t="s">
        <v>69</v>
      </c>
      <c r="P2068" s="21" t="s">
        <v>4275</v>
      </c>
      <c r="Q2068" s="0" t="n">
        <v>1</v>
      </c>
      <c r="R2068" s="21" t="s">
        <v>69</v>
      </c>
      <c r="S2068" s="0" t="n">
        <v>1</v>
      </c>
      <c r="T2068" s="21" t="s">
        <v>69</v>
      </c>
      <c r="U2068" s="22" t="b">
        <f aca="false">TRUE()</f>
        <v>1</v>
      </c>
      <c r="V2068" s="0" t="n">
        <v>0.71</v>
      </c>
      <c r="W2068" s="0" t="n">
        <v>0.24</v>
      </c>
      <c r="X2068" s="0" t="n">
        <v>7.55</v>
      </c>
      <c r="Y2068" s="0" t="n">
        <v>469.94</v>
      </c>
      <c r="Z2068" s="0" t="n">
        <v>11.5</v>
      </c>
      <c r="AA2068" s="0" t="n">
        <v>-1.35</v>
      </c>
      <c r="AB2068" s="0" t="n">
        <v>7.39</v>
      </c>
      <c r="AC2068" s="22" t="b">
        <f aca="false">FALSE()</f>
        <v>0</v>
      </c>
      <c r="AD2068" s="0" t="n">
        <v>23.06</v>
      </c>
      <c r="AE2068" s="0" t="n">
        <v>0.79</v>
      </c>
      <c r="AF2068" s="0" t="n">
        <v>19.54</v>
      </c>
      <c r="AG2068" s="22" t="b">
        <f aca="false">TRUE()</f>
        <v>1</v>
      </c>
      <c r="AH2068" s="0" t="n">
        <v>1</v>
      </c>
    </row>
    <row r="2069" customFormat="false" ht="15" hidden="false" customHeight="false" outlineLevel="0" collapsed="false">
      <c r="A2069" s="0" t="s">
        <v>3068</v>
      </c>
      <c r="B2069" s="0" t="s">
        <v>3459</v>
      </c>
      <c r="C2069" s="0" t="s">
        <v>3447</v>
      </c>
      <c r="D2069" s="0" t="s">
        <v>3448</v>
      </c>
      <c r="E2069" s="20" t="s">
        <v>25</v>
      </c>
      <c r="F2069" s="23" t="s">
        <v>30</v>
      </c>
      <c r="G2069" s="21" t="s">
        <v>183</v>
      </c>
      <c r="H2069" s="21" t="s">
        <v>24</v>
      </c>
      <c r="I2069" s="21" t="s">
        <v>25</v>
      </c>
      <c r="J2069" s="21" t="s">
        <v>24</v>
      </c>
      <c r="K2069" s="21" t="s">
        <v>25</v>
      </c>
      <c r="L2069" s="21" t="s">
        <v>24</v>
      </c>
      <c r="M2069" s="0" t="n">
        <v>193</v>
      </c>
      <c r="N2069" s="0" t="n">
        <v>1</v>
      </c>
      <c r="O2069" s="21" t="s">
        <v>69</v>
      </c>
      <c r="P2069" s="21" t="s">
        <v>4275</v>
      </c>
      <c r="Q2069" s="0" t="n">
        <v>1</v>
      </c>
      <c r="R2069" s="21" t="s">
        <v>69</v>
      </c>
      <c r="S2069" s="0" t="n">
        <v>1</v>
      </c>
      <c r="T2069" s="21" t="s">
        <v>69</v>
      </c>
      <c r="U2069" s="22" t="b">
        <f aca="false">TRUE()</f>
        <v>1</v>
      </c>
      <c r="V2069" s="0" t="n">
        <v>0.65</v>
      </c>
      <c r="W2069" s="0" t="n">
        <v>0.64</v>
      </c>
      <c r="X2069" s="0" t="n">
        <v>8.1</v>
      </c>
      <c r="Y2069" s="0" t="n">
        <v>338.01</v>
      </c>
      <c r="Z2069" s="0" t="n">
        <v>12</v>
      </c>
      <c r="AA2069" s="0" t="n">
        <v>-0.66</v>
      </c>
      <c r="AB2069" s="0" t="n">
        <v>2.51</v>
      </c>
      <c r="AC2069" s="22" t="b">
        <f aca="false">FALSE()</f>
        <v>0</v>
      </c>
      <c r="AD2069" s="0" t="n">
        <v>21.94</v>
      </c>
      <c r="AE2069" s="0" t="n">
        <v>1.19</v>
      </c>
      <c r="AF2069" s="0" t="n">
        <v>21.69</v>
      </c>
      <c r="AG2069" s="22" t="b">
        <f aca="false">TRUE()</f>
        <v>1</v>
      </c>
      <c r="AH2069" s="0" t="n">
        <v>1</v>
      </c>
    </row>
    <row r="2070" customFormat="false" ht="15" hidden="false" customHeight="false" outlineLevel="0" collapsed="false">
      <c r="A2070" s="0" t="s">
        <v>3075</v>
      </c>
      <c r="B2070" s="0" t="s">
        <v>134</v>
      </c>
      <c r="C2070" s="0" t="s">
        <v>3450</v>
      </c>
      <c r="D2070" s="0" t="s">
        <v>3457</v>
      </c>
      <c r="E2070" s="19" t="s">
        <v>26</v>
      </c>
      <c r="F2070" s="19" t="s">
        <v>32</v>
      </c>
      <c r="G2070" s="21" t="s">
        <v>231</v>
      </c>
      <c r="H2070" s="21" t="s">
        <v>24</v>
      </c>
      <c r="I2070" s="21" t="s">
        <v>26</v>
      </c>
      <c r="J2070" s="21" t="s">
        <v>24</v>
      </c>
      <c r="K2070" s="21" t="s">
        <v>25</v>
      </c>
      <c r="L2070" s="21" t="s">
        <v>24</v>
      </c>
      <c r="M2070" s="0" t="n">
        <v>182</v>
      </c>
      <c r="N2070" s="0" t="n">
        <v>8</v>
      </c>
      <c r="O2070" s="21" t="s">
        <v>4028</v>
      </c>
      <c r="P2070" s="21" t="s">
        <v>4393</v>
      </c>
      <c r="Q2070" s="0" t="n">
        <v>1</v>
      </c>
      <c r="R2070" s="21" t="s">
        <v>69</v>
      </c>
      <c r="S2070" s="0" t="n">
        <v>8</v>
      </c>
      <c r="T2070" s="21" t="s">
        <v>4028</v>
      </c>
      <c r="U2070" s="22" t="b">
        <f aca="false">FALSE()</f>
        <v>0</v>
      </c>
      <c r="V2070" s="0" t="n">
        <v>0.74</v>
      </c>
      <c r="W2070" s="0" t="n">
        <v>0.2</v>
      </c>
      <c r="X2070" s="0" t="n">
        <v>5.66</v>
      </c>
      <c r="Y2070" s="0" t="n">
        <v>503.4</v>
      </c>
      <c r="Z2070" s="0" t="n">
        <v>11</v>
      </c>
      <c r="AA2070" s="0" t="n">
        <v>2.93</v>
      </c>
      <c r="AB2070" s="0" t="n">
        <v>1.32</v>
      </c>
      <c r="AC2070" s="22" t="b">
        <f aca="false">TRUE()</f>
        <v>1</v>
      </c>
      <c r="AD2070" s="0" t="n">
        <v>15.37</v>
      </c>
      <c r="AE2070" s="0" t="n">
        <v>1.31</v>
      </c>
      <c r="AF2070" s="0" t="n">
        <v>24.87</v>
      </c>
      <c r="AG2070" s="22" t="b">
        <f aca="false">TRUE()</f>
        <v>1</v>
      </c>
      <c r="AH2070" s="0" t="n">
        <v>1</v>
      </c>
    </row>
    <row r="2071" customFormat="false" ht="15" hidden="false" customHeight="false" outlineLevel="0" collapsed="false">
      <c r="A2071" s="0" t="s">
        <v>3075</v>
      </c>
      <c r="B2071" s="0" t="s">
        <v>134</v>
      </c>
      <c r="C2071" s="0" t="s">
        <v>3450</v>
      </c>
      <c r="D2071" s="0" t="s">
        <v>3448</v>
      </c>
      <c r="E2071" s="20" t="s">
        <v>25</v>
      </c>
      <c r="F2071" s="20" t="s">
        <v>29</v>
      </c>
      <c r="G2071" s="21" t="s">
        <v>62</v>
      </c>
      <c r="H2071" s="21" t="s">
        <v>24</v>
      </c>
      <c r="I2071" s="21" t="s">
        <v>24</v>
      </c>
      <c r="J2071" s="21" t="s">
        <v>24</v>
      </c>
      <c r="K2071" s="21" t="s">
        <v>25</v>
      </c>
      <c r="L2071" s="21" t="s">
        <v>24</v>
      </c>
      <c r="M2071" s="0" t="n">
        <v>182</v>
      </c>
      <c r="N2071" s="0" t="n">
        <v>0</v>
      </c>
      <c r="Q2071" s="0" t="n">
        <v>0</v>
      </c>
      <c r="S2071" s="0" t="n">
        <v>0</v>
      </c>
      <c r="U2071" s="22" t="b">
        <f aca="false">FALSE()</f>
        <v>0</v>
      </c>
      <c r="V2071" s="0" t="n">
        <v>0.74</v>
      </c>
      <c r="W2071" s="0" t="n">
        <v>0.48</v>
      </c>
      <c r="X2071" s="0" t="n">
        <v>5.31</v>
      </c>
      <c r="Y2071" s="0" t="n">
        <v>333.75</v>
      </c>
      <c r="Z2071" s="0" t="n">
        <v>8.17</v>
      </c>
      <c r="AA2071" s="0" t="n">
        <v>-1.12</v>
      </c>
      <c r="AB2071" s="0" t="n">
        <v>3.12</v>
      </c>
      <c r="AC2071" s="22" t="b">
        <f aca="false">FALSE()</f>
        <v>0</v>
      </c>
      <c r="AD2071" s="0" t="n">
        <v>3.25</v>
      </c>
      <c r="AE2071" s="0" t="n">
        <v>1.04</v>
      </c>
      <c r="AF2071" s="0" t="n">
        <v>11.59</v>
      </c>
      <c r="AG2071" s="22" t="b">
        <f aca="false">FALSE()</f>
        <v>0</v>
      </c>
      <c r="AH2071" s="0" t="n">
        <v>1</v>
      </c>
    </row>
    <row r="2072" customFormat="false" ht="15" hidden="false" customHeight="false" outlineLevel="0" collapsed="false">
      <c r="A2072" s="0" t="s">
        <v>3075</v>
      </c>
      <c r="B2072" s="0" t="s">
        <v>134</v>
      </c>
      <c r="C2072" s="0" t="s">
        <v>3447</v>
      </c>
      <c r="D2072" s="0" t="s">
        <v>3457</v>
      </c>
      <c r="E2072" s="20" t="s">
        <v>25</v>
      </c>
      <c r="F2072" s="20" t="s">
        <v>29</v>
      </c>
      <c r="G2072" s="21" t="s">
        <v>63</v>
      </c>
      <c r="H2072" s="21" t="s">
        <v>24</v>
      </c>
      <c r="I2072" s="21" t="s">
        <v>24</v>
      </c>
      <c r="J2072" s="21" t="s">
        <v>24</v>
      </c>
      <c r="K2072" s="21" t="s">
        <v>25</v>
      </c>
      <c r="L2072" s="21" t="s">
        <v>24</v>
      </c>
      <c r="M2072" s="0" t="n">
        <v>183</v>
      </c>
      <c r="N2072" s="0" t="n">
        <v>0</v>
      </c>
      <c r="Q2072" s="0" t="n">
        <v>0</v>
      </c>
      <c r="S2072" s="0" t="n">
        <v>0</v>
      </c>
      <c r="U2072" s="22" t="b">
        <f aca="false">FALSE()</f>
        <v>0</v>
      </c>
      <c r="V2072" s="0" t="n">
        <v>0.72</v>
      </c>
      <c r="W2072" s="0" t="n">
        <v>0.64</v>
      </c>
      <c r="X2072" s="0" t="n">
        <v>5.63</v>
      </c>
      <c r="Y2072" s="0" t="n">
        <v>320.72</v>
      </c>
      <c r="Z2072" s="0" t="n">
        <v>11.25</v>
      </c>
      <c r="AA2072" s="0" t="n">
        <v>1.49</v>
      </c>
      <c r="AB2072" s="0" t="n">
        <v>1.32</v>
      </c>
      <c r="AC2072" s="22" t="b">
        <f aca="false">FALSE()</f>
        <v>0</v>
      </c>
      <c r="AD2072" s="0" t="n">
        <v>13.33</v>
      </c>
      <c r="AE2072" s="0" t="n">
        <v>1.65</v>
      </c>
      <c r="AF2072" s="0" t="n">
        <v>25.52</v>
      </c>
      <c r="AG2072" s="22" t="b">
        <f aca="false">TRUE()</f>
        <v>1</v>
      </c>
      <c r="AH2072" s="0" t="n">
        <v>1</v>
      </c>
    </row>
    <row r="2073" customFormat="false" ht="15" hidden="false" customHeight="false" outlineLevel="0" collapsed="false">
      <c r="A2073" s="0" t="s">
        <v>3075</v>
      </c>
      <c r="B2073" s="0" t="s">
        <v>134</v>
      </c>
      <c r="C2073" s="0" t="s">
        <v>3447</v>
      </c>
      <c r="D2073" s="0" t="s">
        <v>3448</v>
      </c>
      <c r="E2073" s="18" t="s">
        <v>24</v>
      </c>
      <c r="F2073" s="23" t="s">
        <v>30</v>
      </c>
      <c r="G2073" s="21" t="s">
        <v>30</v>
      </c>
      <c r="H2073" s="21" t="s">
        <v>24</v>
      </c>
      <c r="I2073" s="21" t="s">
        <v>24</v>
      </c>
      <c r="J2073" s="21" t="s">
        <v>24</v>
      </c>
      <c r="K2073" s="21" t="s">
        <v>24</v>
      </c>
      <c r="L2073" s="21" t="s">
        <v>24</v>
      </c>
      <c r="M2073" s="0" t="n">
        <v>181</v>
      </c>
      <c r="N2073" s="0" t="n">
        <v>6</v>
      </c>
      <c r="O2073" s="21" t="s">
        <v>3771</v>
      </c>
      <c r="P2073" s="21" t="s">
        <v>4908</v>
      </c>
      <c r="Q2073" s="0" t="n">
        <v>0</v>
      </c>
      <c r="S2073" s="0" t="n">
        <v>6</v>
      </c>
      <c r="T2073" s="21" t="s">
        <v>3771</v>
      </c>
      <c r="U2073" s="22" t="b">
        <f aca="false">TRUE()</f>
        <v>1</v>
      </c>
      <c r="V2073" s="0" t="n">
        <v>0.75</v>
      </c>
      <c r="W2073" s="0" t="n">
        <v>0.12</v>
      </c>
      <c r="X2073" s="0" t="n">
        <v>7.01</v>
      </c>
      <c r="Y2073" s="0" t="n">
        <v>619.37</v>
      </c>
      <c r="Z2073" s="0" t="n">
        <v>10.75</v>
      </c>
      <c r="AA2073" s="0" t="n">
        <v>2.82</v>
      </c>
      <c r="AB2073" s="0" t="n">
        <v>3.12</v>
      </c>
      <c r="AC2073" s="22" t="b">
        <f aca="false">FALSE()</f>
        <v>0</v>
      </c>
      <c r="AD2073" s="0" t="n">
        <v>9.46</v>
      </c>
      <c r="AE2073" s="0" t="n">
        <v>0.43</v>
      </c>
      <c r="AF2073" s="0" t="n">
        <v>13.78</v>
      </c>
      <c r="AG2073" s="22" t="b">
        <f aca="false">FALSE()</f>
        <v>0</v>
      </c>
      <c r="AH2073" s="0" t="n">
        <v>1</v>
      </c>
    </row>
    <row r="2074" customFormat="false" ht="15" hidden="false" customHeight="false" outlineLevel="0" collapsed="false">
      <c r="A2074" s="0" t="s">
        <v>3081</v>
      </c>
      <c r="B2074" s="0" t="s">
        <v>134</v>
      </c>
      <c r="C2074" s="0" t="s">
        <v>3450</v>
      </c>
      <c r="D2074" s="0" t="s">
        <v>3457</v>
      </c>
      <c r="E2074" s="20" t="s">
        <v>25</v>
      </c>
      <c r="F2074" s="23" t="s">
        <v>30</v>
      </c>
      <c r="G2074" s="21" t="s">
        <v>357</v>
      </c>
      <c r="H2074" s="21" t="s">
        <v>24</v>
      </c>
      <c r="I2074" s="21" t="s">
        <v>25</v>
      </c>
      <c r="J2074" s="21" t="s">
        <v>24</v>
      </c>
      <c r="K2074" s="21" t="s">
        <v>25</v>
      </c>
      <c r="L2074" s="21" t="s">
        <v>24</v>
      </c>
      <c r="M2074" s="0" t="n">
        <v>184</v>
      </c>
      <c r="N2074" s="0" t="n">
        <v>2</v>
      </c>
      <c r="O2074" s="21" t="s">
        <v>3605</v>
      </c>
      <c r="P2074" s="21" t="s">
        <v>4909</v>
      </c>
      <c r="Q2074" s="0" t="n">
        <v>1</v>
      </c>
      <c r="R2074" s="21" t="s">
        <v>69</v>
      </c>
      <c r="S2074" s="0" t="n">
        <v>2</v>
      </c>
      <c r="T2074" s="21" t="s">
        <v>3605</v>
      </c>
      <c r="U2074" s="22" t="b">
        <f aca="false">TRUE()</f>
        <v>1</v>
      </c>
      <c r="V2074" s="0" t="n">
        <v>0.78</v>
      </c>
      <c r="W2074" s="0" t="n">
        <v>0.88</v>
      </c>
      <c r="X2074" s="0" t="n">
        <v>7.62</v>
      </c>
      <c r="Y2074" s="0" t="n">
        <v>302.11</v>
      </c>
      <c r="Z2074" s="0" t="n">
        <v>10.5</v>
      </c>
      <c r="AA2074" s="0" t="n">
        <v>1.6</v>
      </c>
      <c r="AB2074" s="0" t="n">
        <v>0.99</v>
      </c>
      <c r="AC2074" s="22" t="b">
        <f aca="false">TRUE()</f>
        <v>1</v>
      </c>
      <c r="AD2074" s="0" t="n">
        <v>14.98</v>
      </c>
      <c r="AE2074" s="0" t="n">
        <v>6.67</v>
      </c>
      <c r="AF2074" s="0" t="n">
        <v>11.71</v>
      </c>
      <c r="AG2074" s="22" t="b">
        <f aca="false">TRUE()</f>
        <v>1</v>
      </c>
      <c r="AH2074" s="0" t="n">
        <v>1</v>
      </c>
    </row>
    <row r="2075" customFormat="false" ht="15" hidden="false" customHeight="false" outlineLevel="0" collapsed="false">
      <c r="A2075" s="0" t="s">
        <v>3081</v>
      </c>
      <c r="B2075" s="0" t="s">
        <v>134</v>
      </c>
      <c r="C2075" s="0" t="s">
        <v>3450</v>
      </c>
      <c r="D2075" s="0" t="s">
        <v>3448</v>
      </c>
      <c r="E2075" s="20" t="s">
        <v>25</v>
      </c>
      <c r="F2075" s="23" t="s">
        <v>30</v>
      </c>
      <c r="G2075" s="21" t="s">
        <v>283</v>
      </c>
      <c r="H2075" s="21" t="s">
        <v>24</v>
      </c>
      <c r="I2075" s="21" t="s">
        <v>25</v>
      </c>
      <c r="J2075" s="21" t="s">
        <v>24</v>
      </c>
      <c r="K2075" s="21" t="s">
        <v>24</v>
      </c>
      <c r="L2075" s="21" t="s">
        <v>24</v>
      </c>
      <c r="M2075" s="0" t="n">
        <v>182</v>
      </c>
      <c r="N2075" s="0" t="n">
        <v>1</v>
      </c>
      <c r="O2075" s="21" t="s">
        <v>69</v>
      </c>
      <c r="P2075" s="21" t="s">
        <v>4275</v>
      </c>
      <c r="Q2075" s="0" t="n">
        <v>1</v>
      </c>
      <c r="R2075" s="21" t="s">
        <v>69</v>
      </c>
      <c r="S2075" s="0" t="n">
        <v>1</v>
      </c>
      <c r="T2075" s="21" t="s">
        <v>69</v>
      </c>
      <c r="U2075" s="22" t="b">
        <f aca="false">TRUE()</f>
        <v>1</v>
      </c>
      <c r="V2075" s="0" t="n">
        <v>0.78</v>
      </c>
      <c r="W2075" s="0" t="n">
        <v>0</v>
      </c>
      <c r="X2075" s="0" t="n">
        <v>7.57</v>
      </c>
      <c r="Y2075" s="0" t="n">
        <v>717.8</v>
      </c>
      <c r="Z2075" s="0" t="n">
        <v>9.08</v>
      </c>
      <c r="AA2075" s="0" t="n">
        <v>7.19</v>
      </c>
      <c r="AB2075" s="0" t="n">
        <v>2.02</v>
      </c>
      <c r="AC2075" s="22" t="b">
        <f aca="false">FALSE()</f>
        <v>0</v>
      </c>
      <c r="AD2075" s="0" t="n">
        <v>19.28</v>
      </c>
      <c r="AE2075" s="0" t="n">
        <v>10.01</v>
      </c>
      <c r="AF2075" s="0" t="n">
        <v>20.73</v>
      </c>
      <c r="AG2075" s="22" t="b">
        <f aca="false">TRUE()</f>
        <v>1</v>
      </c>
      <c r="AH2075" s="0" t="n">
        <v>1</v>
      </c>
    </row>
    <row r="2076" customFormat="false" ht="15" hidden="false" customHeight="false" outlineLevel="0" collapsed="false">
      <c r="A2076" s="0" t="s">
        <v>3081</v>
      </c>
      <c r="B2076" s="0" t="s">
        <v>134</v>
      </c>
      <c r="C2076" s="0" t="s">
        <v>3447</v>
      </c>
      <c r="D2076" s="0" t="s">
        <v>3457</v>
      </c>
      <c r="E2076" s="19" t="s">
        <v>26</v>
      </c>
      <c r="F2076" s="19" t="s">
        <v>32</v>
      </c>
      <c r="G2076" s="21" t="s">
        <v>1451</v>
      </c>
      <c r="H2076" s="21" t="s">
        <v>24</v>
      </c>
      <c r="I2076" s="21" t="s">
        <v>26</v>
      </c>
      <c r="J2076" s="21" t="s">
        <v>24</v>
      </c>
      <c r="K2076" s="21" t="s">
        <v>25</v>
      </c>
      <c r="L2076" s="21" t="s">
        <v>24</v>
      </c>
      <c r="M2076" s="0" t="n">
        <v>184</v>
      </c>
      <c r="N2076" s="0" t="n">
        <v>8</v>
      </c>
      <c r="O2076" s="21" t="s">
        <v>4045</v>
      </c>
      <c r="P2076" s="21" t="s">
        <v>4910</v>
      </c>
      <c r="Q2076" s="0" t="n">
        <v>1</v>
      </c>
      <c r="R2076" s="21" t="s">
        <v>69</v>
      </c>
      <c r="S2076" s="0" t="n">
        <v>8</v>
      </c>
      <c r="T2076" s="21" t="s">
        <v>4045</v>
      </c>
      <c r="U2076" s="22" t="b">
        <f aca="false">FALSE()</f>
        <v>0</v>
      </c>
      <c r="V2076" s="0" t="n">
        <v>0.83</v>
      </c>
      <c r="W2076" s="0" t="n">
        <v>0.76</v>
      </c>
      <c r="X2076" s="0" t="n">
        <v>8.18</v>
      </c>
      <c r="Y2076" s="0" t="n">
        <v>311.53</v>
      </c>
      <c r="Z2076" s="0" t="n">
        <v>10.25</v>
      </c>
      <c r="AA2076" s="0" t="n">
        <v>2.28</v>
      </c>
      <c r="AB2076" s="0" t="n">
        <v>0.99</v>
      </c>
      <c r="AC2076" s="22" t="b">
        <f aca="false">FALSE()</f>
        <v>0</v>
      </c>
      <c r="AD2076" s="0" t="n">
        <v>13.64</v>
      </c>
      <c r="AE2076" s="0" t="n">
        <v>4.79</v>
      </c>
      <c r="AF2076" s="0" t="n">
        <v>10.34</v>
      </c>
      <c r="AG2076" s="22" t="b">
        <f aca="false">TRUE()</f>
        <v>1</v>
      </c>
      <c r="AH2076" s="0" t="n">
        <v>1</v>
      </c>
    </row>
    <row r="2077" customFormat="false" ht="15" hidden="false" customHeight="false" outlineLevel="0" collapsed="false">
      <c r="A2077" s="0" t="s">
        <v>3081</v>
      </c>
      <c r="B2077" s="0" t="s">
        <v>134</v>
      </c>
      <c r="C2077" s="0" t="s">
        <v>3447</v>
      </c>
      <c r="D2077" s="0" t="s">
        <v>3448</v>
      </c>
      <c r="E2077" s="18" t="s">
        <v>24</v>
      </c>
      <c r="F2077" s="23" t="s">
        <v>30</v>
      </c>
      <c r="G2077" s="21" t="s">
        <v>30</v>
      </c>
      <c r="H2077" s="21" t="s">
        <v>24</v>
      </c>
      <c r="I2077" s="21" t="s">
        <v>24</v>
      </c>
      <c r="J2077" s="21" t="s">
        <v>24</v>
      </c>
      <c r="K2077" s="21" t="s">
        <v>24</v>
      </c>
      <c r="L2077" s="21" t="s">
        <v>24</v>
      </c>
      <c r="M2077" s="0" t="n">
        <v>185</v>
      </c>
      <c r="N2077" s="0" t="n">
        <v>2</v>
      </c>
      <c r="O2077" s="21" t="s">
        <v>3498</v>
      </c>
      <c r="P2077" s="21" t="s">
        <v>4323</v>
      </c>
      <c r="Q2077" s="0" t="n">
        <v>0</v>
      </c>
      <c r="S2077" s="0" t="n">
        <v>2</v>
      </c>
      <c r="T2077" s="21" t="s">
        <v>3498</v>
      </c>
      <c r="U2077" s="22" t="b">
        <f aca="false">TRUE()</f>
        <v>1</v>
      </c>
      <c r="V2077" s="0" t="n">
        <v>0.79</v>
      </c>
      <c r="W2077" s="0" t="n">
        <v>0.72</v>
      </c>
      <c r="X2077" s="0" t="n">
        <v>8.18</v>
      </c>
      <c r="Y2077" s="0" t="n">
        <v>323.38</v>
      </c>
      <c r="Z2077" s="0" t="n">
        <v>8</v>
      </c>
      <c r="AA2077" s="0" t="n">
        <v>0.21</v>
      </c>
      <c r="AB2077" s="0" t="n">
        <v>2.02</v>
      </c>
      <c r="AC2077" s="22" t="b">
        <f aca="false">FALSE()</f>
        <v>0</v>
      </c>
      <c r="AD2077" s="0" t="n">
        <v>13.13</v>
      </c>
      <c r="AE2077" s="0" t="n">
        <v>3.74</v>
      </c>
      <c r="AF2077" s="0" t="n">
        <v>15.28</v>
      </c>
      <c r="AG2077" s="22" t="b">
        <f aca="false">TRUE()</f>
        <v>1</v>
      </c>
      <c r="AH2077" s="0" t="n">
        <v>1</v>
      </c>
    </row>
    <row r="2078" customFormat="false" ht="15" hidden="false" customHeight="false" outlineLevel="0" collapsed="false">
      <c r="A2078" s="0" t="s">
        <v>3087</v>
      </c>
      <c r="B2078" s="0" t="s">
        <v>134</v>
      </c>
      <c r="C2078" s="0" t="s">
        <v>3450</v>
      </c>
      <c r="D2078" s="0" t="s">
        <v>3457</v>
      </c>
      <c r="E2078" s="20" t="s">
        <v>25</v>
      </c>
      <c r="F2078" s="23" t="s">
        <v>30</v>
      </c>
      <c r="G2078" s="21" t="s">
        <v>283</v>
      </c>
      <c r="H2078" s="21" t="s">
        <v>24</v>
      </c>
      <c r="I2078" s="21" t="s">
        <v>25</v>
      </c>
      <c r="J2078" s="21" t="s">
        <v>24</v>
      </c>
      <c r="K2078" s="21" t="s">
        <v>24</v>
      </c>
      <c r="L2078" s="21" t="s">
        <v>24</v>
      </c>
      <c r="M2078" s="0" t="n">
        <v>194</v>
      </c>
      <c r="N2078" s="0" t="n">
        <v>1</v>
      </c>
      <c r="O2078" s="21" t="s">
        <v>69</v>
      </c>
      <c r="P2078" s="21" t="s">
        <v>4275</v>
      </c>
      <c r="Q2078" s="0" t="n">
        <v>1</v>
      </c>
      <c r="R2078" s="21" t="s">
        <v>69</v>
      </c>
      <c r="S2078" s="0" t="n">
        <v>1</v>
      </c>
      <c r="T2078" s="21" t="s">
        <v>69</v>
      </c>
      <c r="U2078" s="22" t="b">
        <f aca="false">TRUE()</f>
        <v>1</v>
      </c>
      <c r="V2078" s="0" t="n">
        <v>0.73</v>
      </c>
      <c r="W2078" s="0" t="n">
        <v>0.36</v>
      </c>
      <c r="X2078" s="0" t="n">
        <v>13.39</v>
      </c>
      <c r="Y2078" s="0" t="n">
        <v>320.96</v>
      </c>
      <c r="Z2078" s="0" t="n">
        <v>11.25</v>
      </c>
      <c r="AA2078" s="0" t="n">
        <v>7.09</v>
      </c>
      <c r="AB2078" s="0" t="n">
        <v>4.03</v>
      </c>
      <c r="AC2078" s="22" t="b">
        <f aca="false">FALSE()</f>
        <v>0</v>
      </c>
      <c r="AD2078" s="0" t="n">
        <v>11.87</v>
      </c>
      <c r="AE2078" s="0" t="n">
        <v>0.95</v>
      </c>
      <c r="AF2078" s="0" t="n">
        <v>0.89</v>
      </c>
      <c r="AG2078" s="22" t="b">
        <f aca="false">TRUE()</f>
        <v>1</v>
      </c>
      <c r="AH2078" s="0" t="n">
        <v>1</v>
      </c>
    </row>
    <row r="2079" customFormat="false" ht="15" hidden="false" customHeight="false" outlineLevel="0" collapsed="false">
      <c r="A2079" s="0" t="s">
        <v>3087</v>
      </c>
      <c r="B2079" s="0" t="s">
        <v>134</v>
      </c>
      <c r="C2079" s="0" t="s">
        <v>3450</v>
      </c>
      <c r="D2079" s="0" t="s">
        <v>3448</v>
      </c>
      <c r="E2079" s="20" t="s">
        <v>25</v>
      </c>
      <c r="F2079" s="23" t="s">
        <v>30</v>
      </c>
      <c r="G2079" s="21" t="s">
        <v>283</v>
      </c>
      <c r="H2079" s="21" t="s">
        <v>24</v>
      </c>
      <c r="I2079" s="21" t="s">
        <v>25</v>
      </c>
      <c r="J2079" s="21" t="s">
        <v>24</v>
      </c>
      <c r="K2079" s="21" t="s">
        <v>24</v>
      </c>
      <c r="L2079" s="21" t="s">
        <v>24</v>
      </c>
      <c r="M2079" s="0" t="n">
        <v>183</v>
      </c>
      <c r="N2079" s="0" t="n">
        <v>2</v>
      </c>
      <c r="O2079" s="21" t="s">
        <v>3575</v>
      </c>
      <c r="P2079" s="21" t="s">
        <v>4265</v>
      </c>
      <c r="Q2079" s="0" t="n">
        <v>1</v>
      </c>
      <c r="R2079" s="21" t="s">
        <v>69</v>
      </c>
      <c r="S2079" s="0" t="n">
        <v>2</v>
      </c>
      <c r="T2079" s="21" t="s">
        <v>3575</v>
      </c>
      <c r="U2079" s="22" t="b">
        <f aca="false">TRUE()</f>
        <v>1</v>
      </c>
      <c r="V2079" s="0" t="n">
        <v>0.74</v>
      </c>
      <c r="W2079" s="0" t="n">
        <v>0.32</v>
      </c>
      <c r="X2079" s="0" t="n">
        <v>11.73</v>
      </c>
      <c r="Y2079" s="0" t="n">
        <v>217.1</v>
      </c>
      <c r="Z2079" s="0" t="n">
        <v>11</v>
      </c>
      <c r="AA2079" s="0" t="n">
        <v>5.39</v>
      </c>
      <c r="AB2079" s="0" t="n">
        <v>3.21</v>
      </c>
      <c r="AC2079" s="22" t="b">
        <f aca="false">FALSE()</f>
        <v>0</v>
      </c>
      <c r="AD2079" s="0" t="n">
        <v>11.44</v>
      </c>
      <c r="AE2079" s="0" t="n">
        <v>0.53</v>
      </c>
      <c r="AF2079" s="0" t="n">
        <v>1.36</v>
      </c>
      <c r="AG2079" s="22" t="b">
        <f aca="false">TRUE()</f>
        <v>1</v>
      </c>
      <c r="AH2079" s="0" t="n">
        <v>1</v>
      </c>
    </row>
    <row r="2080" customFormat="false" ht="15" hidden="false" customHeight="false" outlineLevel="0" collapsed="false">
      <c r="A2080" s="0" t="s">
        <v>3087</v>
      </c>
      <c r="B2080" s="0" t="s">
        <v>134</v>
      </c>
      <c r="C2080" s="0" t="s">
        <v>3447</v>
      </c>
      <c r="D2080" s="0" t="s">
        <v>3457</v>
      </c>
      <c r="E2080" s="18" t="s">
        <v>24</v>
      </c>
      <c r="F2080" s="23" t="s">
        <v>30</v>
      </c>
      <c r="G2080" s="21" t="s">
        <v>30</v>
      </c>
      <c r="H2080" s="21" t="s">
        <v>24</v>
      </c>
      <c r="I2080" s="21" t="s">
        <v>24</v>
      </c>
      <c r="J2080" s="21" t="s">
        <v>24</v>
      </c>
      <c r="K2080" s="21" t="s">
        <v>24</v>
      </c>
      <c r="L2080" s="21" t="s">
        <v>24</v>
      </c>
      <c r="M2080" s="0" t="n">
        <v>183</v>
      </c>
      <c r="N2080" s="0" t="n">
        <v>5</v>
      </c>
      <c r="O2080" s="21" t="s">
        <v>3705</v>
      </c>
      <c r="P2080" s="21" t="s">
        <v>4705</v>
      </c>
      <c r="Q2080" s="0" t="n">
        <v>0</v>
      </c>
      <c r="S2080" s="0" t="n">
        <v>5</v>
      </c>
      <c r="T2080" s="21" t="s">
        <v>3705</v>
      </c>
      <c r="U2080" s="22" t="b">
        <f aca="false">TRUE()</f>
        <v>1</v>
      </c>
      <c r="V2080" s="0" t="n">
        <v>0.77</v>
      </c>
      <c r="W2080" s="0" t="n">
        <v>0.36</v>
      </c>
      <c r="X2080" s="0" t="n">
        <v>13.49</v>
      </c>
      <c r="Y2080" s="0" t="n">
        <v>297.76</v>
      </c>
      <c r="Z2080" s="0" t="n">
        <v>12</v>
      </c>
      <c r="AA2080" s="0" t="n">
        <v>-1.03</v>
      </c>
      <c r="AB2080" s="0" t="n">
        <v>4.03</v>
      </c>
      <c r="AC2080" s="22" t="b">
        <f aca="false">FALSE()</f>
        <v>0</v>
      </c>
      <c r="AD2080" s="0" t="n">
        <v>11.77</v>
      </c>
      <c r="AE2080" s="0" t="n">
        <v>0.72</v>
      </c>
      <c r="AF2080" s="0" t="n">
        <v>0.37</v>
      </c>
      <c r="AG2080" s="22" t="b">
        <f aca="false">TRUE()</f>
        <v>1</v>
      </c>
      <c r="AH2080" s="0" t="n">
        <v>1</v>
      </c>
    </row>
    <row r="2081" customFormat="false" ht="15" hidden="false" customHeight="false" outlineLevel="0" collapsed="false">
      <c r="A2081" s="0" t="s">
        <v>3087</v>
      </c>
      <c r="B2081" s="0" t="s">
        <v>134</v>
      </c>
      <c r="C2081" s="0" t="s">
        <v>3447</v>
      </c>
      <c r="D2081" s="0" t="s">
        <v>3448</v>
      </c>
      <c r="E2081" s="18" t="s">
        <v>24</v>
      </c>
      <c r="F2081" s="23" t="s">
        <v>30</v>
      </c>
      <c r="G2081" s="21" t="s">
        <v>30</v>
      </c>
      <c r="H2081" s="21" t="s">
        <v>24</v>
      </c>
      <c r="I2081" s="21" t="s">
        <v>24</v>
      </c>
      <c r="J2081" s="21" t="s">
        <v>24</v>
      </c>
      <c r="K2081" s="21" t="s">
        <v>24</v>
      </c>
      <c r="L2081" s="21" t="s">
        <v>24</v>
      </c>
      <c r="M2081" s="0" t="n">
        <v>183</v>
      </c>
      <c r="N2081" s="0" t="n">
        <v>1</v>
      </c>
      <c r="O2081" s="21" t="s">
        <v>3481</v>
      </c>
      <c r="P2081" s="21" t="s">
        <v>4251</v>
      </c>
      <c r="Q2081" s="0" t="n">
        <v>0</v>
      </c>
      <c r="S2081" s="0" t="n">
        <v>1</v>
      </c>
      <c r="T2081" s="21" t="s">
        <v>3481</v>
      </c>
      <c r="U2081" s="22" t="b">
        <f aca="false">TRUE()</f>
        <v>1</v>
      </c>
      <c r="V2081" s="0" t="n">
        <v>0.76</v>
      </c>
      <c r="W2081" s="0" t="n">
        <v>0.72</v>
      </c>
      <c r="X2081" s="0" t="n">
        <v>13.44</v>
      </c>
      <c r="Y2081" s="0" t="n">
        <v>216.01</v>
      </c>
      <c r="Z2081" s="0" t="n">
        <v>10.92</v>
      </c>
      <c r="AA2081" s="0" t="n">
        <v>-0.98</v>
      </c>
      <c r="AB2081" s="0" t="n">
        <v>3.21</v>
      </c>
      <c r="AC2081" s="22" t="b">
        <f aca="false">FALSE()</f>
        <v>0</v>
      </c>
      <c r="AD2081" s="0" t="n">
        <v>10.04</v>
      </c>
      <c r="AE2081" s="0" t="n">
        <v>0.4</v>
      </c>
      <c r="AF2081" s="0" t="n">
        <v>0.92</v>
      </c>
      <c r="AG2081" s="22" t="b">
        <f aca="false">TRUE()</f>
        <v>1</v>
      </c>
      <c r="AH2081" s="0" t="n">
        <v>1</v>
      </c>
    </row>
    <row r="2082" customFormat="false" ht="15" hidden="false" customHeight="false" outlineLevel="0" collapsed="false">
      <c r="A2082" s="0" t="s">
        <v>3100</v>
      </c>
      <c r="B2082" s="0" t="s">
        <v>134</v>
      </c>
      <c r="C2082" s="0" t="s">
        <v>3450</v>
      </c>
      <c r="D2082" s="0" t="s">
        <v>3457</v>
      </c>
      <c r="E2082" s="20" t="s">
        <v>25</v>
      </c>
      <c r="F2082" s="23" t="s">
        <v>30</v>
      </c>
      <c r="G2082" s="21" t="s">
        <v>283</v>
      </c>
      <c r="H2082" s="21" t="s">
        <v>24</v>
      </c>
      <c r="I2082" s="21" t="s">
        <v>25</v>
      </c>
      <c r="J2082" s="21" t="s">
        <v>24</v>
      </c>
      <c r="K2082" s="21" t="s">
        <v>24</v>
      </c>
      <c r="L2082" s="21" t="s">
        <v>24</v>
      </c>
      <c r="M2082" s="0" t="n">
        <v>186</v>
      </c>
      <c r="N2082" s="0" t="n">
        <v>2</v>
      </c>
      <c r="O2082" s="21" t="s">
        <v>3566</v>
      </c>
      <c r="P2082" s="21" t="s">
        <v>4238</v>
      </c>
      <c r="Q2082" s="0" t="n">
        <v>1</v>
      </c>
      <c r="R2082" s="21" t="s">
        <v>69</v>
      </c>
      <c r="S2082" s="0" t="n">
        <v>2</v>
      </c>
      <c r="T2082" s="21" t="s">
        <v>3566</v>
      </c>
      <c r="U2082" s="22" t="b">
        <f aca="false">TRUE()</f>
        <v>1</v>
      </c>
      <c r="V2082" s="0" t="n">
        <v>0.71</v>
      </c>
      <c r="W2082" s="0" t="n">
        <v>0.92</v>
      </c>
      <c r="X2082" s="0" t="n">
        <v>7.48</v>
      </c>
      <c r="Y2082" s="0" t="n">
        <v>300.03</v>
      </c>
      <c r="Z2082" s="0" t="n">
        <v>8</v>
      </c>
      <c r="AA2082" s="0" t="n">
        <v>5.77</v>
      </c>
      <c r="AB2082" s="0" t="n">
        <v>2.77</v>
      </c>
      <c r="AC2082" s="22" t="b">
        <f aca="false">FALSE()</f>
        <v>0</v>
      </c>
      <c r="AD2082" s="0" t="n">
        <v>11.52</v>
      </c>
      <c r="AE2082" s="0" t="n">
        <v>3.18</v>
      </c>
      <c r="AF2082" s="0" t="n">
        <v>9.76</v>
      </c>
      <c r="AG2082" s="22" t="b">
        <f aca="false">TRUE()</f>
        <v>1</v>
      </c>
      <c r="AH2082" s="0" t="n">
        <v>1</v>
      </c>
    </row>
    <row r="2083" customFormat="false" ht="15" hidden="false" customHeight="false" outlineLevel="0" collapsed="false">
      <c r="A2083" s="0" t="s">
        <v>3100</v>
      </c>
      <c r="B2083" s="0" t="s">
        <v>134</v>
      </c>
      <c r="C2083" s="0" t="s">
        <v>3450</v>
      </c>
      <c r="D2083" s="0" t="s">
        <v>3448</v>
      </c>
      <c r="E2083" s="20" t="s">
        <v>25</v>
      </c>
      <c r="F2083" s="23" t="s">
        <v>30</v>
      </c>
      <c r="G2083" s="21" t="s">
        <v>283</v>
      </c>
      <c r="H2083" s="21" t="s">
        <v>24</v>
      </c>
      <c r="I2083" s="21" t="s">
        <v>25</v>
      </c>
      <c r="J2083" s="21" t="s">
        <v>24</v>
      </c>
      <c r="K2083" s="21" t="s">
        <v>24</v>
      </c>
      <c r="L2083" s="21" t="s">
        <v>24</v>
      </c>
      <c r="M2083" s="0" t="n">
        <v>183</v>
      </c>
      <c r="N2083" s="0" t="n">
        <v>3</v>
      </c>
      <c r="O2083" s="21" t="s">
        <v>3649</v>
      </c>
      <c r="P2083" s="21" t="s">
        <v>4242</v>
      </c>
      <c r="Q2083" s="0" t="n">
        <v>1</v>
      </c>
      <c r="R2083" s="21" t="s">
        <v>69</v>
      </c>
      <c r="S2083" s="0" t="n">
        <v>3</v>
      </c>
      <c r="T2083" s="21" t="s">
        <v>3649</v>
      </c>
      <c r="U2083" s="22" t="b">
        <f aca="false">TRUE()</f>
        <v>1</v>
      </c>
      <c r="V2083" s="0" t="n">
        <v>0.74</v>
      </c>
      <c r="W2083" s="0" t="n">
        <v>0.48</v>
      </c>
      <c r="X2083" s="0" t="n">
        <v>10.02</v>
      </c>
      <c r="Y2083" s="0" t="n">
        <v>333.72</v>
      </c>
      <c r="Z2083" s="0" t="n">
        <v>8</v>
      </c>
      <c r="AA2083" s="0" t="n">
        <v>9.82</v>
      </c>
      <c r="AB2083" s="0" t="n">
        <v>1.97</v>
      </c>
      <c r="AC2083" s="22" t="b">
        <f aca="false">FALSE()</f>
        <v>0</v>
      </c>
      <c r="AD2083" s="0" t="n">
        <v>17.56</v>
      </c>
      <c r="AE2083" s="0" t="n">
        <v>4.14</v>
      </c>
      <c r="AF2083" s="0" t="n">
        <v>11.64</v>
      </c>
      <c r="AG2083" s="22" t="b">
        <f aca="false">TRUE()</f>
        <v>1</v>
      </c>
      <c r="AH2083" s="0" t="n">
        <v>1</v>
      </c>
    </row>
    <row r="2084" customFormat="false" ht="15" hidden="false" customHeight="false" outlineLevel="0" collapsed="false">
      <c r="A2084" s="0" t="s">
        <v>3100</v>
      </c>
      <c r="B2084" s="0" t="s">
        <v>134</v>
      </c>
      <c r="C2084" s="0" t="s">
        <v>3447</v>
      </c>
      <c r="D2084" s="0" t="s">
        <v>3457</v>
      </c>
      <c r="E2084" s="19" t="s">
        <v>26</v>
      </c>
      <c r="F2084" s="19" t="s">
        <v>32</v>
      </c>
      <c r="G2084" s="21" t="s">
        <v>529</v>
      </c>
      <c r="H2084" s="21" t="s">
        <v>24</v>
      </c>
      <c r="I2084" s="21" t="s">
        <v>26</v>
      </c>
      <c r="J2084" s="21" t="s">
        <v>24</v>
      </c>
      <c r="K2084" s="21" t="s">
        <v>24</v>
      </c>
      <c r="L2084" s="21" t="s">
        <v>24</v>
      </c>
      <c r="M2084" s="0" t="n">
        <v>185</v>
      </c>
      <c r="N2084" s="0" t="n">
        <v>9</v>
      </c>
      <c r="O2084" s="21" t="s">
        <v>4042</v>
      </c>
      <c r="P2084" s="21" t="s">
        <v>4471</v>
      </c>
      <c r="Q2084" s="0" t="n">
        <v>1</v>
      </c>
      <c r="R2084" s="21" t="s">
        <v>69</v>
      </c>
      <c r="S2084" s="0" t="n">
        <v>9</v>
      </c>
      <c r="T2084" s="21" t="s">
        <v>4042</v>
      </c>
      <c r="U2084" s="22" t="b">
        <f aca="false">FALSE()</f>
        <v>0</v>
      </c>
      <c r="V2084" s="0" t="n">
        <v>0.76</v>
      </c>
      <c r="W2084" s="0" t="n">
        <v>0.88</v>
      </c>
      <c r="X2084" s="0" t="n">
        <v>6.74</v>
      </c>
      <c r="Y2084" s="0" t="n">
        <v>313.17</v>
      </c>
      <c r="Z2084" s="0" t="n">
        <v>8.25</v>
      </c>
      <c r="AA2084" s="0" t="n">
        <v>11.7</v>
      </c>
      <c r="AB2084" s="0" t="n">
        <v>2.77</v>
      </c>
      <c r="AC2084" s="22" t="b">
        <f aca="false">FALSE()</f>
        <v>0</v>
      </c>
      <c r="AD2084" s="0" t="n">
        <v>16.35</v>
      </c>
      <c r="AE2084" s="0" t="n">
        <v>2.58</v>
      </c>
      <c r="AF2084" s="0" t="n">
        <v>10.43</v>
      </c>
      <c r="AG2084" s="22" t="b">
        <f aca="false">TRUE()</f>
        <v>1</v>
      </c>
      <c r="AH2084" s="0" t="n">
        <v>1</v>
      </c>
    </row>
    <row r="2085" customFormat="false" ht="15" hidden="false" customHeight="false" outlineLevel="0" collapsed="false">
      <c r="A2085" s="0" t="s">
        <v>3100</v>
      </c>
      <c r="B2085" s="0" t="s">
        <v>134</v>
      </c>
      <c r="C2085" s="0" t="s">
        <v>3447</v>
      </c>
      <c r="D2085" s="0" t="s">
        <v>3448</v>
      </c>
      <c r="E2085" s="19" t="s">
        <v>26</v>
      </c>
      <c r="F2085" s="19" t="s">
        <v>32</v>
      </c>
      <c r="G2085" s="21" t="s">
        <v>60</v>
      </c>
      <c r="H2085" s="21" t="s">
        <v>24</v>
      </c>
      <c r="I2085" s="21" t="s">
        <v>26</v>
      </c>
      <c r="J2085" s="21" t="s">
        <v>24</v>
      </c>
      <c r="K2085" s="21" t="s">
        <v>24</v>
      </c>
      <c r="L2085" s="21" t="s">
        <v>24</v>
      </c>
      <c r="M2085" s="0" t="n">
        <v>186</v>
      </c>
      <c r="N2085" s="0" t="n">
        <v>13</v>
      </c>
      <c r="O2085" s="21" t="s">
        <v>3984</v>
      </c>
      <c r="P2085" s="21" t="s">
        <v>4911</v>
      </c>
      <c r="Q2085" s="0" t="n">
        <v>0</v>
      </c>
      <c r="S2085" s="0" t="n">
        <v>13</v>
      </c>
      <c r="T2085" s="21" t="s">
        <v>3984</v>
      </c>
      <c r="U2085" s="22" t="b">
        <f aca="false">FALSE()</f>
        <v>0</v>
      </c>
      <c r="V2085" s="0" t="n">
        <v>0.72</v>
      </c>
      <c r="W2085" s="0" t="n">
        <v>0.52</v>
      </c>
      <c r="X2085" s="0" t="n">
        <v>9.7</v>
      </c>
      <c r="Y2085" s="0" t="n">
        <v>332.91</v>
      </c>
      <c r="Z2085" s="0" t="n">
        <v>8</v>
      </c>
      <c r="AA2085" s="0" t="n">
        <v>3.91</v>
      </c>
      <c r="AB2085" s="0" t="n">
        <v>1.97</v>
      </c>
      <c r="AC2085" s="22" t="b">
        <f aca="false">FALSE()</f>
        <v>0</v>
      </c>
      <c r="AD2085" s="0" t="n">
        <v>15.6</v>
      </c>
      <c r="AE2085" s="0" t="n">
        <v>4.25</v>
      </c>
      <c r="AF2085" s="0" t="n">
        <v>12.54</v>
      </c>
      <c r="AG2085" s="22" t="b">
        <f aca="false">TRUE()</f>
        <v>1</v>
      </c>
      <c r="AH2085" s="0" t="n">
        <v>1</v>
      </c>
    </row>
    <row r="2086" customFormat="false" ht="15" hidden="false" customHeight="false" outlineLevel="0" collapsed="false">
      <c r="A2086" s="0" t="s">
        <v>3100</v>
      </c>
      <c r="B2086" s="0" t="s">
        <v>3459</v>
      </c>
      <c r="C2086" s="0" t="s">
        <v>3450</v>
      </c>
      <c r="D2086" s="0" t="s">
        <v>3457</v>
      </c>
      <c r="E2086" s="18" t="s">
        <v>24</v>
      </c>
      <c r="F2086" s="18" t="s">
        <v>28</v>
      </c>
      <c r="H2086" s="21" t="s">
        <v>24</v>
      </c>
      <c r="I2086" s="21" t="s">
        <v>24</v>
      </c>
      <c r="J2086" s="21" t="s">
        <v>24</v>
      </c>
      <c r="K2086" s="21" t="s">
        <v>24</v>
      </c>
      <c r="L2086" s="21" t="s">
        <v>24</v>
      </c>
      <c r="M2086" s="0" t="n">
        <v>183</v>
      </c>
      <c r="N2086" s="0" t="n">
        <v>0</v>
      </c>
      <c r="Q2086" s="0" t="n">
        <v>0</v>
      </c>
      <c r="S2086" s="0" t="n">
        <v>0</v>
      </c>
      <c r="U2086" s="22" t="b">
        <f aca="false">FALSE()</f>
        <v>0</v>
      </c>
      <c r="V2086" s="0" t="n">
        <v>0.76</v>
      </c>
      <c r="W2086" s="0" t="n">
        <v>0.32</v>
      </c>
      <c r="X2086" s="0" t="n">
        <v>8.48</v>
      </c>
      <c r="Y2086" s="0" t="n">
        <v>375.14</v>
      </c>
      <c r="Z2086" s="0" t="n">
        <v>9.17</v>
      </c>
      <c r="AA2086" s="0" t="n">
        <v>10.38</v>
      </c>
      <c r="AB2086" s="0" t="n">
        <v>1.72</v>
      </c>
      <c r="AC2086" s="22" t="b">
        <f aca="false">FALSE()</f>
        <v>0</v>
      </c>
      <c r="AD2086" s="0" t="n">
        <v>15.74</v>
      </c>
      <c r="AE2086" s="0" t="n">
        <v>5.61</v>
      </c>
      <c r="AF2086" s="0" t="n">
        <v>11.54</v>
      </c>
      <c r="AG2086" s="22" t="b">
        <f aca="false">TRUE()</f>
        <v>1</v>
      </c>
      <c r="AH2086" s="0" t="n">
        <v>1</v>
      </c>
    </row>
    <row r="2087" customFormat="false" ht="15" hidden="false" customHeight="false" outlineLevel="0" collapsed="false">
      <c r="A2087" s="0" t="s">
        <v>3100</v>
      </c>
      <c r="B2087" s="0" t="s">
        <v>3459</v>
      </c>
      <c r="C2087" s="0" t="s">
        <v>3450</v>
      </c>
      <c r="D2087" s="0" t="s">
        <v>3448</v>
      </c>
      <c r="E2087" s="18" t="s">
        <v>24</v>
      </c>
      <c r="F2087" s="18" t="s">
        <v>28</v>
      </c>
      <c r="H2087" s="21" t="s">
        <v>24</v>
      </c>
      <c r="I2087" s="21" t="s">
        <v>24</v>
      </c>
      <c r="J2087" s="21" t="s">
        <v>24</v>
      </c>
      <c r="K2087" s="21" t="s">
        <v>24</v>
      </c>
      <c r="L2087" s="21" t="s">
        <v>24</v>
      </c>
      <c r="M2087" s="0" t="n">
        <v>184</v>
      </c>
      <c r="N2087" s="0" t="n">
        <v>0</v>
      </c>
      <c r="Q2087" s="0" t="n">
        <v>0</v>
      </c>
      <c r="S2087" s="0" t="n">
        <v>0</v>
      </c>
      <c r="U2087" s="22" t="b">
        <f aca="false">FALSE()</f>
        <v>0</v>
      </c>
      <c r="V2087" s="0" t="n">
        <v>0.74</v>
      </c>
      <c r="W2087" s="0" t="n">
        <v>0.68</v>
      </c>
      <c r="X2087" s="0" t="n">
        <v>9.38</v>
      </c>
      <c r="Y2087" s="0" t="n">
        <v>321.82</v>
      </c>
      <c r="Z2087" s="0" t="n">
        <v>9.25</v>
      </c>
      <c r="AA2087" s="0" t="n">
        <v>3.1</v>
      </c>
      <c r="AB2087" s="0" t="n">
        <v>4.86</v>
      </c>
      <c r="AC2087" s="22" t="b">
        <f aca="false">FALSE()</f>
        <v>0</v>
      </c>
      <c r="AD2087" s="0" t="n">
        <v>5.4</v>
      </c>
      <c r="AE2087" s="0" t="n">
        <v>1.28</v>
      </c>
      <c r="AF2087" s="0" t="n">
        <v>7.04</v>
      </c>
      <c r="AG2087" s="22" t="b">
        <f aca="false">FALSE()</f>
        <v>0</v>
      </c>
      <c r="AH2087" s="0" t="n">
        <v>1</v>
      </c>
    </row>
    <row r="2088" customFormat="false" ht="15" hidden="false" customHeight="false" outlineLevel="0" collapsed="false">
      <c r="A2088" s="0" t="s">
        <v>3100</v>
      </c>
      <c r="B2088" s="0" t="s">
        <v>3459</v>
      </c>
      <c r="C2088" s="0" t="s">
        <v>3447</v>
      </c>
      <c r="D2088" s="0" t="s">
        <v>3457</v>
      </c>
      <c r="E2088" s="20" t="s">
        <v>25</v>
      </c>
      <c r="F2088" s="23" t="s">
        <v>30</v>
      </c>
      <c r="G2088" s="21" t="s">
        <v>283</v>
      </c>
      <c r="H2088" s="21" t="s">
        <v>24</v>
      </c>
      <c r="I2088" s="21" t="s">
        <v>25</v>
      </c>
      <c r="J2088" s="21" t="s">
        <v>24</v>
      </c>
      <c r="K2088" s="21" t="s">
        <v>24</v>
      </c>
      <c r="L2088" s="21" t="s">
        <v>24</v>
      </c>
      <c r="M2088" s="0" t="n">
        <v>184</v>
      </c>
      <c r="N2088" s="0" t="n">
        <v>4</v>
      </c>
      <c r="O2088" s="21" t="s">
        <v>3766</v>
      </c>
      <c r="P2088" s="21" t="s">
        <v>4754</v>
      </c>
      <c r="Q2088" s="0" t="n">
        <v>1</v>
      </c>
      <c r="R2088" s="21" t="s">
        <v>69</v>
      </c>
      <c r="S2088" s="0" t="n">
        <v>4</v>
      </c>
      <c r="T2088" s="21" t="s">
        <v>3766</v>
      </c>
      <c r="U2088" s="22" t="b">
        <f aca="false">TRUE()</f>
        <v>1</v>
      </c>
      <c r="V2088" s="0" t="n">
        <v>0.73</v>
      </c>
      <c r="W2088" s="0" t="n">
        <v>0.64</v>
      </c>
      <c r="X2088" s="0" t="n">
        <v>8.19</v>
      </c>
      <c r="Y2088" s="0" t="n">
        <v>316.4</v>
      </c>
      <c r="Z2088" s="0" t="n">
        <v>8.25</v>
      </c>
      <c r="AA2088" s="0" t="n">
        <v>4.6</v>
      </c>
      <c r="AB2088" s="0" t="n">
        <v>1.72</v>
      </c>
      <c r="AC2088" s="22" t="b">
        <f aca="false">FALSE()</f>
        <v>0</v>
      </c>
      <c r="AD2088" s="0" t="n">
        <v>9.02</v>
      </c>
      <c r="AE2088" s="0" t="n">
        <v>2.01</v>
      </c>
      <c r="AF2088" s="0" t="n">
        <v>6.79</v>
      </c>
      <c r="AG2088" s="22" t="b">
        <f aca="false">FALSE()</f>
        <v>0</v>
      </c>
      <c r="AH2088" s="0" t="n">
        <v>1</v>
      </c>
    </row>
    <row r="2089" customFormat="false" ht="15" hidden="false" customHeight="false" outlineLevel="0" collapsed="false">
      <c r="A2089" s="0" t="s">
        <v>3100</v>
      </c>
      <c r="B2089" s="0" t="s">
        <v>3459</v>
      </c>
      <c r="C2089" s="0" t="s">
        <v>3447</v>
      </c>
      <c r="D2089" s="0" t="s">
        <v>3448</v>
      </c>
      <c r="E2089" s="19" t="s">
        <v>26</v>
      </c>
      <c r="F2089" s="19" t="s">
        <v>32</v>
      </c>
      <c r="G2089" s="21" t="s">
        <v>529</v>
      </c>
      <c r="H2089" s="21" t="s">
        <v>24</v>
      </c>
      <c r="I2089" s="21" t="s">
        <v>26</v>
      </c>
      <c r="J2089" s="21" t="s">
        <v>24</v>
      </c>
      <c r="K2089" s="21" t="s">
        <v>24</v>
      </c>
      <c r="L2089" s="21" t="s">
        <v>24</v>
      </c>
      <c r="M2089" s="0" t="n">
        <v>191</v>
      </c>
      <c r="N2089" s="0" t="n">
        <v>13</v>
      </c>
      <c r="O2089" s="21" t="s">
        <v>4141</v>
      </c>
      <c r="P2089" s="21" t="s">
        <v>4912</v>
      </c>
      <c r="Q2089" s="0" t="n">
        <v>1</v>
      </c>
      <c r="R2089" s="21" t="s">
        <v>69</v>
      </c>
      <c r="S2089" s="0" t="n">
        <v>13</v>
      </c>
      <c r="T2089" s="21" t="s">
        <v>4141</v>
      </c>
      <c r="U2089" s="22" t="b">
        <f aca="false">FALSE()</f>
        <v>0</v>
      </c>
      <c r="V2089" s="0" t="n">
        <v>0.69</v>
      </c>
      <c r="W2089" s="0" t="n">
        <v>0.84</v>
      </c>
      <c r="X2089" s="0" t="n">
        <v>10.2</v>
      </c>
      <c r="Y2089" s="0" t="n">
        <v>332.03</v>
      </c>
      <c r="Z2089" s="0" t="n">
        <v>8</v>
      </c>
      <c r="AA2089" s="0" t="n">
        <v>9</v>
      </c>
      <c r="AB2089" s="0" t="n">
        <v>4.86</v>
      </c>
      <c r="AC2089" s="22" t="b">
        <f aca="false">FALSE()</f>
        <v>0</v>
      </c>
      <c r="AD2089" s="0" t="n">
        <v>14.48</v>
      </c>
      <c r="AE2089" s="0" t="n">
        <v>4.66</v>
      </c>
      <c r="AF2089" s="0" t="n">
        <v>12.18</v>
      </c>
      <c r="AG2089" s="22" t="b">
        <f aca="false">TRUE()</f>
        <v>1</v>
      </c>
      <c r="AH2089" s="0" t="n">
        <v>1</v>
      </c>
    </row>
    <row r="2090" customFormat="false" ht="15" hidden="false" customHeight="false" outlineLevel="0" collapsed="false">
      <c r="A2090" s="0" t="s">
        <v>3105</v>
      </c>
      <c r="B2090" s="0" t="s">
        <v>134</v>
      </c>
      <c r="C2090" s="0" t="s">
        <v>3450</v>
      </c>
      <c r="D2090" s="0" t="s">
        <v>3457</v>
      </c>
      <c r="E2090" s="19" t="s">
        <v>26</v>
      </c>
      <c r="F2090" s="19" t="s">
        <v>32</v>
      </c>
      <c r="G2090" s="21" t="s">
        <v>1926</v>
      </c>
      <c r="H2090" s="21" t="s">
        <v>24</v>
      </c>
      <c r="I2090" s="21" t="s">
        <v>26</v>
      </c>
      <c r="J2090" s="21" t="s">
        <v>24</v>
      </c>
      <c r="K2090" s="21" t="s">
        <v>25</v>
      </c>
      <c r="L2090" s="21" t="s">
        <v>24</v>
      </c>
      <c r="M2090" s="0" t="n">
        <v>183</v>
      </c>
      <c r="N2090" s="0" t="n">
        <v>8</v>
      </c>
      <c r="O2090" s="21" t="s">
        <v>4028</v>
      </c>
      <c r="P2090" s="21" t="s">
        <v>4393</v>
      </c>
      <c r="Q2090" s="0" t="n">
        <v>1</v>
      </c>
      <c r="R2090" s="21" t="s">
        <v>69</v>
      </c>
      <c r="S2090" s="0" t="n">
        <v>8</v>
      </c>
      <c r="T2090" s="21" t="s">
        <v>4028</v>
      </c>
      <c r="U2090" s="22" t="b">
        <f aca="false">FALSE()</f>
        <v>0</v>
      </c>
      <c r="V2090" s="0" t="n">
        <v>0.75</v>
      </c>
      <c r="W2090" s="0" t="n">
        <v>0.68</v>
      </c>
      <c r="X2090" s="0" t="n">
        <v>7.77</v>
      </c>
      <c r="Y2090" s="0" t="n">
        <v>262.44</v>
      </c>
      <c r="Z2090" s="0" t="n">
        <v>9.75</v>
      </c>
      <c r="AA2090" s="0" t="n">
        <v>5.36</v>
      </c>
      <c r="AB2090" s="0" t="n">
        <v>2.08</v>
      </c>
      <c r="AC2090" s="22" t="b">
        <f aca="false">FALSE()</f>
        <v>0</v>
      </c>
      <c r="AD2090" s="0" t="n">
        <v>23.08</v>
      </c>
      <c r="AE2090" s="0" t="n">
        <v>10.82</v>
      </c>
      <c r="AF2090" s="0" t="n">
        <v>17.49</v>
      </c>
      <c r="AG2090" s="22" t="b">
        <f aca="false">TRUE()</f>
        <v>1</v>
      </c>
      <c r="AH2090" s="0" t="n">
        <v>1</v>
      </c>
    </row>
    <row r="2091" customFormat="false" ht="15" hidden="false" customHeight="false" outlineLevel="0" collapsed="false">
      <c r="A2091" s="0" t="s">
        <v>3105</v>
      </c>
      <c r="B2091" s="0" t="s">
        <v>134</v>
      </c>
      <c r="C2091" s="0" t="s">
        <v>3450</v>
      </c>
      <c r="D2091" s="0" t="s">
        <v>3448</v>
      </c>
      <c r="E2091" s="20" t="s">
        <v>25</v>
      </c>
      <c r="F2091" s="23" t="s">
        <v>30</v>
      </c>
      <c r="G2091" s="21" t="s">
        <v>183</v>
      </c>
      <c r="H2091" s="21" t="s">
        <v>24</v>
      </c>
      <c r="I2091" s="21" t="s">
        <v>25</v>
      </c>
      <c r="J2091" s="21" t="s">
        <v>24</v>
      </c>
      <c r="K2091" s="21" t="s">
        <v>25</v>
      </c>
      <c r="L2091" s="21" t="s">
        <v>24</v>
      </c>
      <c r="M2091" s="0" t="n">
        <v>184</v>
      </c>
      <c r="N2091" s="0" t="n">
        <v>3</v>
      </c>
      <c r="O2091" s="21" t="s">
        <v>3649</v>
      </c>
      <c r="P2091" s="21" t="s">
        <v>4242</v>
      </c>
      <c r="Q2091" s="0" t="n">
        <v>1</v>
      </c>
      <c r="R2091" s="21" t="s">
        <v>69</v>
      </c>
      <c r="S2091" s="0" t="n">
        <v>3</v>
      </c>
      <c r="T2091" s="21" t="s">
        <v>3649</v>
      </c>
      <c r="U2091" s="22" t="b">
        <f aca="false">TRUE()</f>
        <v>1</v>
      </c>
      <c r="V2091" s="0" t="n">
        <v>0.76</v>
      </c>
      <c r="W2091" s="0" t="n">
        <v>0.28</v>
      </c>
      <c r="X2091" s="0" t="n">
        <v>8.55</v>
      </c>
      <c r="Y2091" s="0" t="n">
        <v>435.46</v>
      </c>
      <c r="Z2091" s="0" t="n">
        <v>9.83</v>
      </c>
      <c r="AA2091" s="0" t="n">
        <v>3.79</v>
      </c>
      <c r="AB2091" s="0" t="n">
        <v>3.32</v>
      </c>
      <c r="AC2091" s="22" t="b">
        <f aca="false">FALSE()</f>
        <v>0</v>
      </c>
      <c r="AD2091" s="0" t="n">
        <v>23.7</v>
      </c>
      <c r="AE2091" s="0" t="n">
        <v>10.42</v>
      </c>
      <c r="AF2091" s="0" t="n">
        <v>19.95</v>
      </c>
      <c r="AG2091" s="22" t="b">
        <f aca="false">TRUE()</f>
        <v>1</v>
      </c>
      <c r="AH2091" s="0" t="n">
        <v>1</v>
      </c>
    </row>
    <row r="2092" customFormat="false" ht="15" hidden="false" customHeight="false" outlineLevel="0" collapsed="false">
      <c r="A2092" s="0" t="s">
        <v>3105</v>
      </c>
      <c r="B2092" s="0" t="s">
        <v>134</v>
      </c>
      <c r="C2092" s="0" t="s">
        <v>3447</v>
      </c>
      <c r="D2092" s="0" t="s">
        <v>3457</v>
      </c>
      <c r="E2092" s="20" t="s">
        <v>25</v>
      </c>
      <c r="F2092" s="23" t="s">
        <v>30</v>
      </c>
      <c r="G2092" s="21" t="s">
        <v>992</v>
      </c>
      <c r="H2092" s="21" t="s">
        <v>24</v>
      </c>
      <c r="I2092" s="21" t="s">
        <v>24</v>
      </c>
      <c r="J2092" s="21" t="s">
        <v>24</v>
      </c>
      <c r="K2092" s="21" t="s">
        <v>25</v>
      </c>
      <c r="L2092" s="21" t="s">
        <v>24</v>
      </c>
      <c r="M2092" s="0" t="n">
        <v>184</v>
      </c>
      <c r="N2092" s="0" t="n">
        <v>1</v>
      </c>
      <c r="O2092" s="21" t="s">
        <v>3476</v>
      </c>
      <c r="P2092" s="21" t="s">
        <v>4228</v>
      </c>
      <c r="Q2092" s="0" t="n">
        <v>0</v>
      </c>
      <c r="S2092" s="0" t="n">
        <v>1</v>
      </c>
      <c r="T2092" s="21" t="s">
        <v>3476</v>
      </c>
      <c r="U2092" s="22" t="b">
        <f aca="false">TRUE()</f>
        <v>1</v>
      </c>
      <c r="V2092" s="0" t="n">
        <v>0.72</v>
      </c>
      <c r="W2092" s="0" t="n">
        <v>0.4</v>
      </c>
      <c r="X2092" s="0" t="n">
        <v>9.01</v>
      </c>
      <c r="Y2092" s="0" t="n">
        <v>312.08</v>
      </c>
      <c r="Z2092" s="0" t="n">
        <v>9.75</v>
      </c>
      <c r="AA2092" s="0" t="n">
        <v>0.57</v>
      </c>
      <c r="AB2092" s="0" t="n">
        <v>2.08</v>
      </c>
      <c r="AC2092" s="22" t="b">
        <f aca="false">FALSE()</f>
        <v>0</v>
      </c>
      <c r="AD2092" s="0" t="n">
        <v>21.54</v>
      </c>
      <c r="AE2092" s="0" t="n">
        <v>8.53</v>
      </c>
      <c r="AF2092" s="0" t="n">
        <v>16.17</v>
      </c>
      <c r="AG2092" s="22" t="b">
        <f aca="false">TRUE()</f>
        <v>1</v>
      </c>
      <c r="AH2092" s="0" t="n">
        <v>1</v>
      </c>
    </row>
    <row r="2093" customFormat="false" ht="15" hidden="false" customHeight="false" outlineLevel="0" collapsed="false">
      <c r="A2093" s="0" t="s">
        <v>3105</v>
      </c>
      <c r="B2093" s="0" t="s">
        <v>134</v>
      </c>
      <c r="C2093" s="0" t="s">
        <v>3447</v>
      </c>
      <c r="D2093" s="0" t="s">
        <v>3448</v>
      </c>
      <c r="E2093" s="20" t="s">
        <v>25</v>
      </c>
      <c r="F2093" s="23" t="s">
        <v>30</v>
      </c>
      <c r="G2093" s="21" t="s">
        <v>992</v>
      </c>
      <c r="H2093" s="21" t="s">
        <v>24</v>
      </c>
      <c r="I2093" s="21" t="s">
        <v>24</v>
      </c>
      <c r="J2093" s="21" t="s">
        <v>24</v>
      </c>
      <c r="K2093" s="21" t="s">
        <v>25</v>
      </c>
      <c r="L2093" s="21" t="s">
        <v>24</v>
      </c>
      <c r="M2093" s="0" t="n">
        <v>191</v>
      </c>
      <c r="N2093" s="0" t="n">
        <v>1</v>
      </c>
      <c r="O2093" s="21" t="s">
        <v>3485</v>
      </c>
      <c r="P2093" s="21" t="s">
        <v>4457</v>
      </c>
      <c r="Q2093" s="0" t="n">
        <v>0</v>
      </c>
      <c r="S2093" s="0" t="n">
        <v>1</v>
      </c>
      <c r="T2093" s="21" t="s">
        <v>3485</v>
      </c>
      <c r="U2093" s="22" t="b">
        <f aca="false">TRUE()</f>
        <v>1</v>
      </c>
      <c r="V2093" s="0" t="n">
        <v>0.71</v>
      </c>
      <c r="W2093" s="0" t="n">
        <v>0.28</v>
      </c>
      <c r="X2093" s="0" t="n">
        <v>9.58</v>
      </c>
      <c r="Y2093" s="0" t="n">
        <v>449.82</v>
      </c>
      <c r="Z2093" s="0" t="n">
        <v>10</v>
      </c>
      <c r="AA2093" s="0" t="n">
        <v>2.78</v>
      </c>
      <c r="AB2093" s="0" t="n">
        <v>3.32</v>
      </c>
      <c r="AC2093" s="22" t="b">
        <f aca="false">FALSE()</f>
        <v>0</v>
      </c>
      <c r="AD2093" s="0" t="n">
        <v>23.53</v>
      </c>
      <c r="AE2093" s="0" t="n">
        <v>8.96</v>
      </c>
      <c r="AF2093" s="0" t="n">
        <v>17.53</v>
      </c>
      <c r="AG2093" s="22" t="b">
        <f aca="false">TRUE()</f>
        <v>1</v>
      </c>
      <c r="AH2093" s="0" t="n">
        <v>1</v>
      </c>
    </row>
    <row r="2094" customFormat="false" ht="15" hidden="false" customHeight="false" outlineLevel="0" collapsed="false">
      <c r="A2094" s="0" t="s">
        <v>3111</v>
      </c>
      <c r="B2094" s="0" t="s">
        <v>134</v>
      </c>
      <c r="C2094" s="0" t="s">
        <v>3450</v>
      </c>
      <c r="D2094" s="0" t="s">
        <v>3457</v>
      </c>
      <c r="E2094" s="20" t="s">
        <v>25</v>
      </c>
      <c r="F2094" s="20" t="s">
        <v>29</v>
      </c>
      <c r="G2094" s="21" t="s">
        <v>62</v>
      </c>
      <c r="H2094" s="21" t="s">
        <v>24</v>
      </c>
      <c r="I2094" s="21" t="s">
        <v>24</v>
      </c>
      <c r="J2094" s="21" t="s">
        <v>24</v>
      </c>
      <c r="K2094" s="21" t="s">
        <v>25</v>
      </c>
      <c r="L2094" s="21" t="s">
        <v>24</v>
      </c>
      <c r="M2094" s="0" t="n">
        <v>184</v>
      </c>
      <c r="N2094" s="0" t="n">
        <v>0</v>
      </c>
      <c r="Q2094" s="0" t="n">
        <v>0</v>
      </c>
      <c r="S2094" s="0" t="n">
        <v>0</v>
      </c>
      <c r="U2094" s="22" t="b">
        <f aca="false">FALSE()</f>
        <v>0</v>
      </c>
      <c r="V2094" s="0" t="n">
        <v>0.7</v>
      </c>
      <c r="W2094" s="0" t="n">
        <v>0.64</v>
      </c>
      <c r="X2094" s="0" t="n">
        <v>12.25</v>
      </c>
      <c r="Y2094" s="0" t="n">
        <v>316.26</v>
      </c>
      <c r="Z2094" s="0" t="n">
        <v>8</v>
      </c>
      <c r="AA2094" s="0" t="n">
        <v>2.8</v>
      </c>
      <c r="AB2094" s="0" t="n">
        <v>3.27</v>
      </c>
      <c r="AC2094" s="22" t="b">
        <f aca="false">FALSE()</f>
        <v>0</v>
      </c>
      <c r="AD2094" s="0" t="n">
        <v>6.26</v>
      </c>
      <c r="AE2094" s="0" t="n">
        <v>0.17</v>
      </c>
      <c r="AF2094" s="0" t="n">
        <v>1.68</v>
      </c>
      <c r="AG2094" s="22" t="b">
        <f aca="false">FALSE()</f>
        <v>0</v>
      </c>
      <c r="AH2094" s="0" t="n">
        <v>1</v>
      </c>
    </row>
    <row r="2095" customFormat="false" ht="15" hidden="false" customHeight="false" outlineLevel="0" collapsed="false">
      <c r="A2095" s="0" t="s">
        <v>3111</v>
      </c>
      <c r="B2095" s="0" t="s">
        <v>134</v>
      </c>
      <c r="C2095" s="0" t="s">
        <v>3450</v>
      </c>
      <c r="D2095" s="0" t="s">
        <v>3448</v>
      </c>
      <c r="E2095" s="18" t="s">
        <v>24</v>
      </c>
      <c r="F2095" s="18" t="s">
        <v>28</v>
      </c>
      <c r="H2095" s="21" t="s">
        <v>24</v>
      </c>
      <c r="I2095" s="21" t="s">
        <v>24</v>
      </c>
      <c r="J2095" s="21" t="s">
        <v>24</v>
      </c>
      <c r="K2095" s="21" t="s">
        <v>24</v>
      </c>
      <c r="L2095" s="21" t="s">
        <v>24</v>
      </c>
      <c r="M2095" s="0" t="n">
        <v>182</v>
      </c>
      <c r="N2095" s="0" t="n">
        <v>0</v>
      </c>
      <c r="Q2095" s="0" t="n">
        <v>0</v>
      </c>
      <c r="S2095" s="0" t="n">
        <v>0</v>
      </c>
      <c r="U2095" s="22" t="b">
        <f aca="false">FALSE()</f>
        <v>0</v>
      </c>
      <c r="V2095" s="0" t="n">
        <v>0.69</v>
      </c>
      <c r="W2095" s="0" t="n">
        <v>0.48</v>
      </c>
      <c r="X2095" s="0" t="n">
        <v>12.8</v>
      </c>
      <c r="Y2095" s="0" t="n">
        <v>320.43</v>
      </c>
      <c r="Z2095" s="0" t="n">
        <v>9.25</v>
      </c>
      <c r="AA2095" s="0" t="n">
        <v>6.83</v>
      </c>
      <c r="AB2095" s="0" t="n">
        <v>2.27</v>
      </c>
      <c r="AC2095" s="22" t="b">
        <f aca="false">FALSE()</f>
        <v>0</v>
      </c>
      <c r="AD2095" s="0" t="n">
        <v>10.87</v>
      </c>
      <c r="AE2095" s="0" t="n">
        <v>0.79</v>
      </c>
      <c r="AF2095" s="0" t="n">
        <v>2.92</v>
      </c>
      <c r="AG2095" s="22" t="b">
        <f aca="false">TRUE()</f>
        <v>1</v>
      </c>
      <c r="AH2095" s="0" t="n">
        <v>1</v>
      </c>
    </row>
    <row r="2096" customFormat="false" ht="15" hidden="false" customHeight="false" outlineLevel="0" collapsed="false">
      <c r="A2096" s="0" t="s">
        <v>3111</v>
      </c>
      <c r="B2096" s="0" t="s">
        <v>134</v>
      </c>
      <c r="C2096" s="0" t="s">
        <v>3447</v>
      </c>
      <c r="D2096" s="0" t="s">
        <v>3457</v>
      </c>
      <c r="E2096" s="18" t="s">
        <v>24</v>
      </c>
      <c r="F2096" s="18" t="s">
        <v>28</v>
      </c>
      <c r="H2096" s="21" t="s">
        <v>24</v>
      </c>
      <c r="I2096" s="21" t="s">
        <v>24</v>
      </c>
      <c r="J2096" s="21" t="s">
        <v>24</v>
      </c>
      <c r="K2096" s="21" t="s">
        <v>24</v>
      </c>
      <c r="L2096" s="21" t="s">
        <v>24</v>
      </c>
      <c r="M2096" s="0" t="n">
        <v>183</v>
      </c>
      <c r="N2096" s="0" t="n">
        <v>0</v>
      </c>
      <c r="Q2096" s="0" t="n">
        <v>0</v>
      </c>
      <c r="S2096" s="0" t="n">
        <v>0</v>
      </c>
      <c r="U2096" s="22" t="b">
        <f aca="false">FALSE()</f>
        <v>0</v>
      </c>
      <c r="V2096" s="0" t="n">
        <v>0.71</v>
      </c>
      <c r="W2096" s="0" t="n">
        <v>0.32</v>
      </c>
      <c r="X2096" s="0" t="n">
        <v>11.23</v>
      </c>
      <c r="Y2096" s="0" t="n">
        <v>396.01</v>
      </c>
      <c r="Z2096" s="0" t="n">
        <v>8</v>
      </c>
      <c r="AA2096" s="0" t="n">
        <v>6.88</v>
      </c>
      <c r="AB2096" s="0" t="n">
        <v>3.27</v>
      </c>
      <c r="AC2096" s="22" t="b">
        <f aca="false">FALSE()</f>
        <v>0</v>
      </c>
      <c r="AD2096" s="0" t="n">
        <v>13.46</v>
      </c>
      <c r="AE2096" s="0" t="n">
        <v>0.74</v>
      </c>
      <c r="AF2096" s="0" t="n">
        <v>4.52</v>
      </c>
      <c r="AG2096" s="22" t="b">
        <f aca="false">TRUE()</f>
        <v>1</v>
      </c>
      <c r="AH2096" s="0" t="n">
        <v>1</v>
      </c>
    </row>
    <row r="2097" customFormat="false" ht="15" hidden="false" customHeight="false" outlineLevel="0" collapsed="false">
      <c r="A2097" s="0" t="s">
        <v>3111</v>
      </c>
      <c r="B2097" s="0" t="s">
        <v>134</v>
      </c>
      <c r="C2097" s="0" t="s">
        <v>3447</v>
      </c>
      <c r="D2097" s="0" t="s">
        <v>3448</v>
      </c>
      <c r="E2097" s="18" t="s">
        <v>24</v>
      </c>
      <c r="F2097" s="18" t="s">
        <v>28</v>
      </c>
      <c r="H2097" s="21" t="s">
        <v>24</v>
      </c>
      <c r="I2097" s="21" t="s">
        <v>24</v>
      </c>
      <c r="J2097" s="21" t="s">
        <v>24</v>
      </c>
      <c r="K2097" s="21" t="s">
        <v>24</v>
      </c>
      <c r="L2097" s="21" t="s">
        <v>24</v>
      </c>
      <c r="M2097" s="0" t="n">
        <v>181</v>
      </c>
      <c r="N2097" s="0" t="n">
        <v>0</v>
      </c>
      <c r="Q2097" s="0" t="n">
        <v>0</v>
      </c>
      <c r="S2097" s="0" t="n">
        <v>0</v>
      </c>
      <c r="U2097" s="22" t="b">
        <f aca="false">FALSE()</f>
        <v>0</v>
      </c>
      <c r="V2097" s="0" t="n">
        <v>0.7</v>
      </c>
      <c r="W2097" s="0" t="n">
        <v>0.12</v>
      </c>
      <c r="X2097" s="0" t="n">
        <v>11.84</v>
      </c>
      <c r="Y2097" s="0" t="n">
        <v>557.8</v>
      </c>
      <c r="Z2097" s="0" t="n">
        <v>8</v>
      </c>
      <c r="AA2097" s="0" t="n">
        <v>7.09</v>
      </c>
      <c r="AB2097" s="0" t="n">
        <v>2.27</v>
      </c>
      <c r="AC2097" s="22" t="b">
        <f aca="false">FALSE()</f>
        <v>0</v>
      </c>
      <c r="AD2097" s="0" t="n">
        <v>12.38</v>
      </c>
      <c r="AE2097" s="0" t="n">
        <v>0.71</v>
      </c>
      <c r="AF2097" s="0" t="n">
        <v>4.11</v>
      </c>
      <c r="AG2097" s="22" t="b">
        <f aca="false">TRUE()</f>
        <v>1</v>
      </c>
      <c r="AH2097" s="0" t="n">
        <v>1</v>
      </c>
    </row>
    <row r="2098" customFormat="false" ht="15" hidden="false" customHeight="false" outlineLevel="0" collapsed="false">
      <c r="A2098" s="0" t="s">
        <v>3111</v>
      </c>
      <c r="B2098" s="0" t="s">
        <v>3459</v>
      </c>
      <c r="C2098" s="0" t="s">
        <v>3450</v>
      </c>
      <c r="D2098" s="0" t="s">
        <v>3457</v>
      </c>
      <c r="E2098" s="20" t="s">
        <v>25</v>
      </c>
      <c r="F2098" s="20" t="s">
        <v>29</v>
      </c>
      <c r="G2098" s="21" t="s">
        <v>61</v>
      </c>
      <c r="H2098" s="21" t="s">
        <v>24</v>
      </c>
      <c r="I2098" s="21" t="s">
        <v>24</v>
      </c>
      <c r="J2098" s="21" t="s">
        <v>24</v>
      </c>
      <c r="K2098" s="21" t="s">
        <v>25</v>
      </c>
      <c r="L2098" s="21" t="s">
        <v>24</v>
      </c>
      <c r="M2098" s="0" t="n">
        <v>190</v>
      </c>
      <c r="N2098" s="0" t="n">
        <v>0</v>
      </c>
      <c r="Q2098" s="0" t="n">
        <v>0</v>
      </c>
      <c r="S2098" s="0" t="n">
        <v>0</v>
      </c>
      <c r="U2098" s="22" t="b">
        <f aca="false">FALSE()</f>
        <v>0</v>
      </c>
      <c r="V2098" s="0" t="n">
        <v>0.7</v>
      </c>
      <c r="W2098" s="0" t="n">
        <v>0.16</v>
      </c>
      <c r="X2098" s="0" t="n">
        <v>13.1</v>
      </c>
      <c r="Y2098" s="0" t="n">
        <v>423.92</v>
      </c>
      <c r="Z2098" s="0" t="n">
        <v>8</v>
      </c>
      <c r="AA2098" s="0" t="n">
        <v>7.19</v>
      </c>
      <c r="AB2098" s="0" t="n">
        <v>1.73</v>
      </c>
      <c r="AC2098" s="22" t="b">
        <f aca="false">FALSE()</f>
        <v>0</v>
      </c>
      <c r="AD2098" s="0" t="n">
        <v>20.58</v>
      </c>
      <c r="AE2098" s="0" t="n">
        <v>8.84</v>
      </c>
      <c r="AF2098" s="0" t="n">
        <v>17.9</v>
      </c>
      <c r="AG2098" s="22" t="b">
        <f aca="false">TRUE()</f>
        <v>1</v>
      </c>
      <c r="AH2098" s="0" t="n">
        <v>1</v>
      </c>
    </row>
    <row r="2099" customFormat="false" ht="15" hidden="false" customHeight="false" outlineLevel="0" collapsed="false">
      <c r="A2099" s="0" t="s">
        <v>3111</v>
      </c>
      <c r="B2099" s="0" t="s">
        <v>3459</v>
      </c>
      <c r="C2099" s="0" t="s">
        <v>3450</v>
      </c>
      <c r="D2099" s="0" t="s">
        <v>3448</v>
      </c>
      <c r="E2099" s="18" t="s">
        <v>24</v>
      </c>
      <c r="F2099" s="18" t="s">
        <v>28</v>
      </c>
      <c r="H2099" s="21" t="s">
        <v>24</v>
      </c>
      <c r="I2099" s="21" t="s">
        <v>24</v>
      </c>
      <c r="J2099" s="21" t="s">
        <v>24</v>
      </c>
      <c r="K2099" s="21" t="s">
        <v>24</v>
      </c>
      <c r="L2099" s="21" t="s">
        <v>24</v>
      </c>
      <c r="M2099" s="0" t="n">
        <v>183</v>
      </c>
      <c r="N2099" s="0" t="n">
        <v>0</v>
      </c>
      <c r="Q2099" s="0" t="n">
        <v>0</v>
      </c>
      <c r="S2099" s="0" t="n">
        <v>0</v>
      </c>
      <c r="U2099" s="22" t="b">
        <f aca="false">FALSE()</f>
        <v>0</v>
      </c>
      <c r="V2099" s="0" t="n">
        <v>0.72</v>
      </c>
      <c r="W2099" s="0" t="n">
        <v>0.16</v>
      </c>
      <c r="X2099" s="0" t="n">
        <v>15.99</v>
      </c>
      <c r="Y2099" s="0" t="n">
        <v>190.99</v>
      </c>
      <c r="Z2099" s="0" t="n">
        <v>9.25</v>
      </c>
      <c r="AA2099" s="0" t="n">
        <v>5.45</v>
      </c>
      <c r="AB2099" s="0" t="n">
        <v>1.87</v>
      </c>
      <c r="AC2099" s="22" t="b">
        <f aca="false">FALSE()</f>
        <v>0</v>
      </c>
      <c r="AD2099" s="0" t="n">
        <v>19.05</v>
      </c>
      <c r="AE2099" s="0" t="n">
        <v>10.1</v>
      </c>
      <c r="AF2099" s="0" t="n">
        <v>15.49</v>
      </c>
      <c r="AG2099" s="22" t="b">
        <f aca="false">TRUE()</f>
        <v>1</v>
      </c>
      <c r="AH2099" s="0" t="n">
        <v>1</v>
      </c>
    </row>
    <row r="2100" customFormat="false" ht="15" hidden="false" customHeight="false" outlineLevel="0" collapsed="false">
      <c r="A2100" s="0" t="s">
        <v>3111</v>
      </c>
      <c r="B2100" s="0" t="s">
        <v>3459</v>
      </c>
      <c r="C2100" s="0" t="s">
        <v>3447</v>
      </c>
      <c r="D2100" s="0" t="s">
        <v>3457</v>
      </c>
      <c r="E2100" s="20" t="s">
        <v>25</v>
      </c>
      <c r="F2100" s="20" t="s">
        <v>29</v>
      </c>
      <c r="G2100" s="21" t="s">
        <v>61</v>
      </c>
      <c r="H2100" s="21" t="s">
        <v>24</v>
      </c>
      <c r="I2100" s="21" t="s">
        <v>24</v>
      </c>
      <c r="J2100" s="21" t="s">
        <v>24</v>
      </c>
      <c r="K2100" s="21" t="s">
        <v>25</v>
      </c>
      <c r="L2100" s="21" t="s">
        <v>24</v>
      </c>
      <c r="M2100" s="0" t="n">
        <v>188</v>
      </c>
      <c r="N2100" s="0" t="n">
        <v>0</v>
      </c>
      <c r="Q2100" s="0" t="n">
        <v>0</v>
      </c>
      <c r="S2100" s="0" t="n">
        <v>0</v>
      </c>
      <c r="U2100" s="22" t="b">
        <f aca="false">FALSE()</f>
        <v>0</v>
      </c>
      <c r="V2100" s="0" t="n">
        <v>0.71</v>
      </c>
      <c r="W2100" s="0" t="n">
        <v>0.32</v>
      </c>
      <c r="X2100" s="0" t="n">
        <v>11.09</v>
      </c>
      <c r="Y2100" s="0" t="n">
        <v>381.63</v>
      </c>
      <c r="Z2100" s="0" t="n">
        <v>8</v>
      </c>
      <c r="AA2100" s="0" t="n">
        <v>6.79</v>
      </c>
      <c r="AB2100" s="0" t="n">
        <v>1.73</v>
      </c>
      <c r="AC2100" s="22" t="b">
        <f aca="false">FALSE()</f>
        <v>0</v>
      </c>
      <c r="AD2100" s="0" t="n">
        <v>21.5</v>
      </c>
      <c r="AE2100" s="0" t="n">
        <v>11.76</v>
      </c>
      <c r="AF2100" s="0" t="n">
        <v>18.64</v>
      </c>
      <c r="AG2100" s="22" t="b">
        <f aca="false">TRUE()</f>
        <v>1</v>
      </c>
      <c r="AH2100" s="0" t="n">
        <v>1</v>
      </c>
    </row>
    <row r="2101" customFormat="false" ht="15" hidden="false" customHeight="false" outlineLevel="0" collapsed="false">
      <c r="A2101" s="0" t="s">
        <v>3111</v>
      </c>
      <c r="B2101" s="0" t="s">
        <v>3459</v>
      </c>
      <c r="C2101" s="0" t="s">
        <v>3447</v>
      </c>
      <c r="D2101" s="0" t="s">
        <v>3448</v>
      </c>
      <c r="E2101" s="18" t="s">
        <v>24</v>
      </c>
      <c r="F2101" s="18" t="s">
        <v>28</v>
      </c>
      <c r="H2101" s="21" t="s">
        <v>24</v>
      </c>
      <c r="I2101" s="21" t="s">
        <v>24</v>
      </c>
      <c r="J2101" s="21" t="s">
        <v>24</v>
      </c>
      <c r="K2101" s="21" t="s">
        <v>24</v>
      </c>
      <c r="L2101" s="21" t="s">
        <v>24</v>
      </c>
      <c r="M2101" s="0" t="n">
        <v>183</v>
      </c>
      <c r="N2101" s="0" t="n">
        <v>0</v>
      </c>
      <c r="Q2101" s="0" t="n">
        <v>0</v>
      </c>
      <c r="S2101" s="0" t="n">
        <v>0</v>
      </c>
      <c r="U2101" s="22" t="b">
        <f aca="false">FALSE()</f>
        <v>0</v>
      </c>
      <c r="V2101" s="0" t="n">
        <v>0.69</v>
      </c>
      <c r="W2101" s="0" t="n">
        <v>0.72</v>
      </c>
      <c r="X2101" s="0" t="n">
        <v>12.37</v>
      </c>
      <c r="Y2101" s="0" t="n">
        <v>246.84</v>
      </c>
      <c r="Z2101" s="0" t="n">
        <v>8.17</v>
      </c>
      <c r="AA2101" s="0" t="n">
        <v>6.9</v>
      </c>
      <c r="AB2101" s="0" t="n">
        <v>1.87</v>
      </c>
      <c r="AC2101" s="22" t="b">
        <f aca="false">FALSE()</f>
        <v>0</v>
      </c>
      <c r="AD2101" s="0" t="n">
        <v>19.56</v>
      </c>
      <c r="AE2101" s="0" t="n">
        <v>8.73</v>
      </c>
      <c r="AF2101" s="0" t="n">
        <v>14.74</v>
      </c>
      <c r="AG2101" s="22" t="b">
        <f aca="false">TRUE()</f>
        <v>1</v>
      </c>
      <c r="AH2101" s="0" t="n">
        <v>1</v>
      </c>
    </row>
    <row r="2102" customFormat="false" ht="15" hidden="false" customHeight="false" outlineLevel="0" collapsed="false">
      <c r="A2102" s="0" t="s">
        <v>3117</v>
      </c>
      <c r="B2102" s="0" t="s">
        <v>134</v>
      </c>
      <c r="C2102" s="0" t="s">
        <v>3450</v>
      </c>
      <c r="D2102" s="0" t="s">
        <v>3457</v>
      </c>
      <c r="E2102" s="19" t="s">
        <v>26</v>
      </c>
      <c r="F2102" s="19" t="s">
        <v>32</v>
      </c>
      <c r="G2102" s="21" t="s">
        <v>1311</v>
      </c>
      <c r="H2102" s="21" t="s">
        <v>24</v>
      </c>
      <c r="I2102" s="21" t="s">
        <v>26</v>
      </c>
      <c r="J2102" s="21" t="s">
        <v>24</v>
      </c>
      <c r="K2102" s="21" t="s">
        <v>25</v>
      </c>
      <c r="L2102" s="21" t="s">
        <v>24</v>
      </c>
      <c r="M2102" s="0" t="n">
        <v>183</v>
      </c>
      <c r="N2102" s="0" t="n">
        <v>9</v>
      </c>
      <c r="O2102" s="21" t="s">
        <v>4150</v>
      </c>
      <c r="P2102" s="21" t="s">
        <v>4913</v>
      </c>
      <c r="Q2102" s="0" t="n">
        <v>1</v>
      </c>
      <c r="R2102" s="21" t="s">
        <v>69</v>
      </c>
      <c r="S2102" s="0" t="n">
        <v>9</v>
      </c>
      <c r="T2102" s="21" t="s">
        <v>4150</v>
      </c>
      <c r="U2102" s="22" t="b">
        <f aca="false">FALSE()</f>
        <v>0</v>
      </c>
      <c r="V2102" s="0" t="n">
        <v>0.64</v>
      </c>
      <c r="W2102" s="0" t="n">
        <v>0.44</v>
      </c>
      <c r="X2102" s="0" t="n">
        <v>7.23</v>
      </c>
      <c r="Y2102" s="0" t="n">
        <v>329.64</v>
      </c>
      <c r="Z2102" s="0" t="n">
        <v>8.25</v>
      </c>
      <c r="AA2102" s="0" t="n">
        <v>3.71</v>
      </c>
      <c r="AB2102" s="0" t="n">
        <v>0.67</v>
      </c>
      <c r="AC2102" s="22" t="b">
        <f aca="false">FALSE()</f>
        <v>0</v>
      </c>
      <c r="AD2102" s="0" t="n">
        <v>6.83</v>
      </c>
      <c r="AE2102" s="0" t="n">
        <v>1.45</v>
      </c>
      <c r="AF2102" s="0" t="n">
        <v>12.37</v>
      </c>
      <c r="AG2102" s="22" t="b">
        <f aca="false">FALSE()</f>
        <v>0</v>
      </c>
      <c r="AH2102" s="0" t="n">
        <v>1</v>
      </c>
    </row>
    <row r="2103" customFormat="false" ht="15" hidden="false" customHeight="false" outlineLevel="0" collapsed="false">
      <c r="A2103" s="0" t="s">
        <v>3117</v>
      </c>
      <c r="B2103" s="0" t="s">
        <v>134</v>
      </c>
      <c r="C2103" s="0" t="s">
        <v>3450</v>
      </c>
      <c r="D2103" s="0" t="s">
        <v>3448</v>
      </c>
      <c r="E2103" s="20" t="s">
        <v>25</v>
      </c>
      <c r="F2103" s="23" t="s">
        <v>30</v>
      </c>
      <c r="G2103" s="21" t="s">
        <v>1230</v>
      </c>
      <c r="H2103" s="21" t="s">
        <v>24</v>
      </c>
      <c r="I2103" s="21" t="s">
        <v>25</v>
      </c>
      <c r="J2103" s="21" t="s">
        <v>24</v>
      </c>
      <c r="K2103" s="21" t="s">
        <v>25</v>
      </c>
      <c r="L2103" s="21" t="s">
        <v>24</v>
      </c>
      <c r="M2103" s="0" t="n">
        <v>196</v>
      </c>
      <c r="N2103" s="0" t="n">
        <v>6</v>
      </c>
      <c r="O2103" s="21" t="s">
        <v>3869</v>
      </c>
      <c r="P2103" s="21" t="s">
        <v>4746</v>
      </c>
      <c r="Q2103" s="0" t="n">
        <v>1</v>
      </c>
      <c r="R2103" s="21" t="s">
        <v>69</v>
      </c>
      <c r="S2103" s="0" t="n">
        <v>6</v>
      </c>
      <c r="T2103" s="21" t="s">
        <v>3869</v>
      </c>
      <c r="U2103" s="22" t="b">
        <f aca="false">TRUE()</f>
        <v>1</v>
      </c>
      <c r="V2103" s="0" t="n">
        <v>0.57</v>
      </c>
      <c r="W2103" s="0" t="n">
        <v>0.56</v>
      </c>
      <c r="X2103" s="0" t="n">
        <v>9.54</v>
      </c>
      <c r="Y2103" s="0" t="n">
        <v>346.81</v>
      </c>
      <c r="Z2103" s="0" t="n">
        <v>8</v>
      </c>
      <c r="AA2103" s="0" t="n">
        <v>-0.84</v>
      </c>
      <c r="AB2103" s="0" t="n">
        <v>6.56</v>
      </c>
      <c r="AC2103" s="22" t="b">
        <f aca="false">FALSE()</f>
        <v>0</v>
      </c>
      <c r="AD2103" s="0" t="n">
        <v>2.46</v>
      </c>
      <c r="AE2103" s="0" t="n">
        <v>0.75</v>
      </c>
      <c r="AF2103" s="0" t="n">
        <v>4.62</v>
      </c>
      <c r="AG2103" s="22" t="b">
        <f aca="false">FALSE()</f>
        <v>0</v>
      </c>
      <c r="AH2103" s="0" t="n">
        <v>1</v>
      </c>
    </row>
    <row r="2104" customFormat="false" ht="15" hidden="false" customHeight="false" outlineLevel="0" collapsed="false">
      <c r="A2104" s="0" t="s">
        <v>3117</v>
      </c>
      <c r="B2104" s="0" t="s">
        <v>134</v>
      </c>
      <c r="C2104" s="0" t="s">
        <v>3447</v>
      </c>
      <c r="D2104" s="0" t="s">
        <v>3457</v>
      </c>
      <c r="E2104" s="19" t="s">
        <v>26</v>
      </c>
      <c r="F2104" s="19" t="s">
        <v>32</v>
      </c>
      <c r="G2104" s="21" t="s">
        <v>3879</v>
      </c>
      <c r="H2104" s="21" t="s">
        <v>24</v>
      </c>
      <c r="I2104" s="21" t="s">
        <v>26</v>
      </c>
      <c r="J2104" s="21" t="s">
        <v>24</v>
      </c>
      <c r="K2104" s="21" t="s">
        <v>25</v>
      </c>
      <c r="L2104" s="21" t="s">
        <v>24</v>
      </c>
      <c r="M2104" s="0" t="n">
        <v>183</v>
      </c>
      <c r="N2104" s="0" t="n">
        <v>7</v>
      </c>
      <c r="O2104" s="21" t="s">
        <v>3877</v>
      </c>
      <c r="P2104" s="21" t="s">
        <v>4337</v>
      </c>
      <c r="Q2104" s="0" t="n">
        <v>0</v>
      </c>
      <c r="S2104" s="0" t="n">
        <v>7</v>
      </c>
      <c r="T2104" s="21" t="s">
        <v>3877</v>
      </c>
      <c r="U2104" s="22" t="b">
        <f aca="false">FALSE()</f>
        <v>0</v>
      </c>
      <c r="V2104" s="0" t="n">
        <v>0.86</v>
      </c>
      <c r="W2104" s="0" t="n">
        <v>0.76</v>
      </c>
      <c r="X2104" s="0" t="n">
        <v>9.88</v>
      </c>
      <c r="Y2104" s="0" t="n">
        <v>303.22</v>
      </c>
      <c r="Z2104" s="0" t="n">
        <v>8</v>
      </c>
      <c r="AA2104" s="0" t="n">
        <v>0.22</v>
      </c>
      <c r="AB2104" s="0" t="n">
        <v>0.67</v>
      </c>
      <c r="AC2104" s="22" t="b">
        <f aca="false">FALSE()</f>
        <v>0</v>
      </c>
      <c r="AD2104" s="0" t="n">
        <v>7.03</v>
      </c>
      <c r="AE2104" s="0" t="n">
        <v>0.39</v>
      </c>
      <c r="AF2104" s="0" t="n">
        <v>12.56</v>
      </c>
      <c r="AG2104" s="22" t="b">
        <f aca="false">FALSE()</f>
        <v>0</v>
      </c>
      <c r="AH2104" s="0" t="n">
        <v>1</v>
      </c>
    </row>
    <row r="2105" customFormat="false" ht="15" hidden="false" customHeight="false" outlineLevel="0" collapsed="false">
      <c r="A2105" s="0" t="s">
        <v>3117</v>
      </c>
      <c r="B2105" s="0" t="s">
        <v>134</v>
      </c>
      <c r="C2105" s="0" t="s">
        <v>3447</v>
      </c>
      <c r="D2105" s="0" t="s">
        <v>3448</v>
      </c>
      <c r="E2105" s="19" t="s">
        <v>26</v>
      </c>
      <c r="F2105" s="19" t="s">
        <v>32</v>
      </c>
      <c r="G2105" s="21" t="s">
        <v>60</v>
      </c>
      <c r="H2105" s="21" t="s">
        <v>24</v>
      </c>
      <c r="I2105" s="21" t="s">
        <v>26</v>
      </c>
      <c r="J2105" s="21" t="s">
        <v>24</v>
      </c>
      <c r="K2105" s="21" t="s">
        <v>24</v>
      </c>
      <c r="L2105" s="21" t="s">
        <v>24</v>
      </c>
      <c r="M2105" s="0" t="n">
        <v>183</v>
      </c>
      <c r="N2105" s="0" t="n">
        <v>7</v>
      </c>
      <c r="O2105" s="21" t="s">
        <v>3880</v>
      </c>
      <c r="P2105" s="21" t="s">
        <v>4914</v>
      </c>
      <c r="Q2105" s="0" t="n">
        <v>0</v>
      </c>
      <c r="S2105" s="0" t="n">
        <v>7</v>
      </c>
      <c r="T2105" s="21" t="s">
        <v>3880</v>
      </c>
      <c r="U2105" s="22" t="b">
        <f aca="false">FALSE()</f>
        <v>0</v>
      </c>
      <c r="V2105" s="0" t="n">
        <v>0.83</v>
      </c>
      <c r="W2105" s="0" t="n">
        <v>0.88</v>
      </c>
      <c r="X2105" s="0" t="n">
        <v>9.85</v>
      </c>
      <c r="Y2105" s="0" t="n">
        <v>317.14</v>
      </c>
      <c r="Z2105" s="0" t="n">
        <v>8.5</v>
      </c>
      <c r="AA2105" s="0" t="n">
        <v>1.19</v>
      </c>
      <c r="AB2105" s="0" t="n">
        <v>6.56</v>
      </c>
      <c r="AC2105" s="22" t="b">
        <f aca="false">FALSE()</f>
        <v>0</v>
      </c>
      <c r="AD2105" s="0" t="n">
        <v>4.63</v>
      </c>
      <c r="AE2105" s="0" t="n">
        <v>-0.12</v>
      </c>
      <c r="AF2105" s="0" t="n">
        <v>4.23</v>
      </c>
      <c r="AG2105" s="22" t="b">
        <f aca="false">FALSE()</f>
        <v>0</v>
      </c>
      <c r="AH2105" s="0" t="n">
        <v>1</v>
      </c>
    </row>
    <row r="2106" customFormat="false" ht="15" hidden="false" customHeight="false" outlineLevel="0" collapsed="false">
      <c r="A2106" s="0" t="s">
        <v>3117</v>
      </c>
      <c r="B2106" s="0" t="s">
        <v>3459</v>
      </c>
      <c r="C2106" s="0" t="s">
        <v>3450</v>
      </c>
      <c r="D2106" s="0" t="s">
        <v>3457</v>
      </c>
      <c r="E2106" s="20" t="s">
        <v>25</v>
      </c>
      <c r="F2106" s="23" t="s">
        <v>30</v>
      </c>
      <c r="G2106" s="21" t="s">
        <v>294</v>
      </c>
      <c r="H2106" s="21" t="s">
        <v>24</v>
      </c>
      <c r="I2106" s="21" t="s">
        <v>25</v>
      </c>
      <c r="J2106" s="21" t="s">
        <v>24</v>
      </c>
      <c r="K2106" s="21" t="s">
        <v>25</v>
      </c>
      <c r="L2106" s="21" t="s">
        <v>24</v>
      </c>
      <c r="M2106" s="0" t="n">
        <v>184</v>
      </c>
      <c r="N2106" s="0" t="n">
        <v>4</v>
      </c>
      <c r="O2106" s="21" t="s">
        <v>3734</v>
      </c>
      <c r="P2106" s="21" t="s">
        <v>4327</v>
      </c>
      <c r="Q2106" s="0" t="n">
        <v>1</v>
      </c>
      <c r="R2106" s="21" t="s">
        <v>69</v>
      </c>
      <c r="S2106" s="0" t="n">
        <v>4</v>
      </c>
      <c r="T2106" s="21" t="s">
        <v>3734</v>
      </c>
      <c r="U2106" s="22" t="b">
        <f aca="false">TRUE()</f>
        <v>1</v>
      </c>
      <c r="V2106" s="0" t="n">
        <v>0.75</v>
      </c>
      <c r="W2106" s="0" t="n">
        <v>0.92</v>
      </c>
      <c r="X2106" s="0" t="n">
        <v>8.38</v>
      </c>
      <c r="Y2106" s="0" t="n">
        <v>293.31</v>
      </c>
      <c r="Z2106" s="0" t="n">
        <v>8.5</v>
      </c>
      <c r="AA2106" s="0" t="n">
        <v>1</v>
      </c>
      <c r="AB2106" s="0" t="n">
        <v>0.83</v>
      </c>
      <c r="AC2106" s="22" t="b">
        <f aca="false">TRUE()</f>
        <v>1</v>
      </c>
      <c r="AD2106" s="0" t="n">
        <v>23.31</v>
      </c>
      <c r="AE2106" s="0" t="n">
        <v>10.48</v>
      </c>
      <c r="AF2106" s="0" t="n">
        <v>19.09</v>
      </c>
      <c r="AG2106" s="22" t="b">
        <f aca="false">TRUE()</f>
        <v>1</v>
      </c>
      <c r="AH2106" s="0" t="n">
        <v>1</v>
      </c>
    </row>
    <row r="2107" customFormat="false" ht="15" hidden="false" customHeight="false" outlineLevel="0" collapsed="false">
      <c r="A2107" s="0" t="s">
        <v>3117</v>
      </c>
      <c r="B2107" s="0" t="s">
        <v>3459</v>
      </c>
      <c r="C2107" s="0" t="s">
        <v>3450</v>
      </c>
      <c r="D2107" s="0" t="s">
        <v>3448</v>
      </c>
      <c r="E2107" s="20" t="s">
        <v>25</v>
      </c>
      <c r="F2107" s="23" t="s">
        <v>30</v>
      </c>
      <c r="G2107" s="21" t="s">
        <v>283</v>
      </c>
      <c r="H2107" s="21" t="s">
        <v>24</v>
      </c>
      <c r="I2107" s="21" t="s">
        <v>25</v>
      </c>
      <c r="J2107" s="21" t="s">
        <v>24</v>
      </c>
      <c r="K2107" s="21" t="s">
        <v>24</v>
      </c>
      <c r="L2107" s="21" t="s">
        <v>24</v>
      </c>
      <c r="M2107" s="0" t="n">
        <v>220</v>
      </c>
      <c r="N2107" s="0" t="n">
        <v>4</v>
      </c>
      <c r="O2107" s="21" t="s">
        <v>3734</v>
      </c>
      <c r="P2107" s="21" t="s">
        <v>4327</v>
      </c>
      <c r="Q2107" s="0" t="n">
        <v>1</v>
      </c>
      <c r="R2107" s="21" t="s">
        <v>69</v>
      </c>
      <c r="S2107" s="0" t="n">
        <v>4</v>
      </c>
      <c r="T2107" s="21" t="s">
        <v>3734</v>
      </c>
      <c r="U2107" s="22" t="b">
        <f aca="false">TRUE()</f>
        <v>1</v>
      </c>
      <c r="V2107" s="0" t="n">
        <v>0.77</v>
      </c>
      <c r="W2107" s="0" t="n">
        <v>0.28</v>
      </c>
      <c r="X2107" s="0" t="n">
        <v>9.94</v>
      </c>
      <c r="Y2107" s="0" t="n">
        <v>512.16</v>
      </c>
      <c r="Z2107" s="0" t="n">
        <v>8.08</v>
      </c>
      <c r="AA2107" s="0" t="n">
        <v>4.92</v>
      </c>
      <c r="AB2107" s="0" t="n">
        <v>1.92</v>
      </c>
      <c r="AC2107" s="22" t="b">
        <f aca="false">FALSE()</f>
        <v>0</v>
      </c>
      <c r="AD2107" s="0" t="n">
        <v>19.04</v>
      </c>
      <c r="AE2107" s="0" t="n">
        <v>5.25</v>
      </c>
      <c r="AF2107" s="0" t="n">
        <v>15.47</v>
      </c>
      <c r="AG2107" s="22" t="b">
        <f aca="false">TRUE()</f>
        <v>1</v>
      </c>
      <c r="AH2107" s="0" t="n">
        <v>1</v>
      </c>
    </row>
    <row r="2108" customFormat="false" ht="15" hidden="false" customHeight="false" outlineLevel="0" collapsed="false">
      <c r="A2108" s="0" t="s">
        <v>3117</v>
      </c>
      <c r="B2108" s="0" t="s">
        <v>3459</v>
      </c>
      <c r="C2108" s="0" t="s">
        <v>3447</v>
      </c>
      <c r="D2108" s="0" t="s">
        <v>3457</v>
      </c>
      <c r="E2108" s="19" t="s">
        <v>26</v>
      </c>
      <c r="F2108" s="19" t="s">
        <v>32</v>
      </c>
      <c r="G2108" s="21" t="s">
        <v>3879</v>
      </c>
      <c r="H2108" s="21" t="s">
        <v>24</v>
      </c>
      <c r="I2108" s="21" t="s">
        <v>26</v>
      </c>
      <c r="J2108" s="21" t="s">
        <v>24</v>
      </c>
      <c r="K2108" s="21" t="s">
        <v>25</v>
      </c>
      <c r="L2108" s="21" t="s">
        <v>24</v>
      </c>
      <c r="M2108" s="0" t="n">
        <v>184</v>
      </c>
      <c r="N2108" s="0" t="n">
        <v>7</v>
      </c>
      <c r="O2108" s="21" t="s">
        <v>3891</v>
      </c>
      <c r="P2108" s="21" t="s">
        <v>4915</v>
      </c>
      <c r="Q2108" s="0" t="n">
        <v>0</v>
      </c>
      <c r="S2108" s="0" t="n">
        <v>7</v>
      </c>
      <c r="T2108" s="21" t="s">
        <v>3891</v>
      </c>
      <c r="U2108" s="22" t="b">
        <f aca="false">FALSE()</f>
        <v>0</v>
      </c>
      <c r="V2108" s="0" t="n">
        <v>0.84</v>
      </c>
      <c r="W2108" s="0" t="n">
        <v>0.76</v>
      </c>
      <c r="X2108" s="0" t="n">
        <v>10.36</v>
      </c>
      <c r="Y2108" s="0" t="n">
        <v>298.75</v>
      </c>
      <c r="Z2108" s="0" t="n">
        <v>8</v>
      </c>
      <c r="AA2108" s="0" t="n">
        <v>0.76</v>
      </c>
      <c r="AB2108" s="0" t="n">
        <v>0.83</v>
      </c>
      <c r="AC2108" s="22" t="b">
        <f aca="false">FALSE()</f>
        <v>0</v>
      </c>
      <c r="AD2108" s="0" t="n">
        <v>19.35</v>
      </c>
      <c r="AE2108" s="0" t="n">
        <v>7.05</v>
      </c>
      <c r="AF2108" s="0" t="n">
        <v>14.86</v>
      </c>
      <c r="AG2108" s="22" t="b">
        <f aca="false">TRUE()</f>
        <v>1</v>
      </c>
      <c r="AH2108" s="0" t="n">
        <v>1</v>
      </c>
    </row>
    <row r="2109" customFormat="false" ht="15" hidden="false" customHeight="false" outlineLevel="0" collapsed="false">
      <c r="A2109" s="0" t="s">
        <v>3117</v>
      </c>
      <c r="B2109" s="0" t="s">
        <v>3459</v>
      </c>
      <c r="C2109" s="0" t="s">
        <v>3447</v>
      </c>
      <c r="D2109" s="0" t="s">
        <v>3448</v>
      </c>
      <c r="E2109" s="18" t="s">
        <v>24</v>
      </c>
      <c r="F2109" s="23" t="s">
        <v>30</v>
      </c>
      <c r="G2109" s="21" t="s">
        <v>30</v>
      </c>
      <c r="H2109" s="21" t="s">
        <v>24</v>
      </c>
      <c r="I2109" s="21" t="s">
        <v>24</v>
      </c>
      <c r="J2109" s="21" t="s">
        <v>24</v>
      </c>
      <c r="K2109" s="21" t="s">
        <v>24</v>
      </c>
      <c r="L2109" s="21" t="s">
        <v>24</v>
      </c>
      <c r="M2109" s="0" t="n">
        <v>183</v>
      </c>
      <c r="N2109" s="0" t="n">
        <v>6</v>
      </c>
      <c r="O2109" s="21" t="s">
        <v>3754</v>
      </c>
      <c r="P2109" s="21" t="s">
        <v>4916</v>
      </c>
      <c r="Q2109" s="0" t="n">
        <v>0</v>
      </c>
      <c r="S2109" s="0" t="n">
        <v>6</v>
      </c>
      <c r="T2109" s="21" t="s">
        <v>3754</v>
      </c>
      <c r="U2109" s="22" t="b">
        <f aca="false">TRUE()</f>
        <v>1</v>
      </c>
      <c r="V2109" s="0" t="n">
        <v>0.82</v>
      </c>
      <c r="W2109" s="0" t="n">
        <v>0.44</v>
      </c>
      <c r="X2109" s="0" t="n">
        <v>13.9</v>
      </c>
      <c r="Y2109" s="0" t="n">
        <v>335.45</v>
      </c>
      <c r="Z2109" s="0" t="n">
        <v>8</v>
      </c>
      <c r="AA2109" s="0" t="n">
        <v>2.36</v>
      </c>
      <c r="AB2109" s="0" t="n">
        <v>1.92</v>
      </c>
      <c r="AC2109" s="22" t="b">
        <f aca="false">FALSE()</f>
        <v>0</v>
      </c>
      <c r="AD2109" s="0" t="n">
        <v>14.38</v>
      </c>
      <c r="AE2109" s="0" t="n">
        <v>3.7</v>
      </c>
      <c r="AF2109" s="0" t="n">
        <v>10.89</v>
      </c>
      <c r="AG2109" s="22" t="b">
        <f aca="false">TRUE()</f>
        <v>1</v>
      </c>
      <c r="AH2109" s="0" t="n">
        <v>1</v>
      </c>
    </row>
    <row r="2110" customFormat="false" ht="15" hidden="false" customHeight="false" outlineLevel="0" collapsed="false">
      <c r="A2110" s="0" t="s">
        <v>3126</v>
      </c>
      <c r="B2110" s="0" t="s">
        <v>134</v>
      </c>
      <c r="C2110" s="0" t="s">
        <v>3450</v>
      </c>
      <c r="D2110" s="0" t="s">
        <v>3457</v>
      </c>
      <c r="E2110" s="20" t="s">
        <v>25</v>
      </c>
      <c r="F2110" s="23" t="s">
        <v>30</v>
      </c>
      <c r="G2110" s="21" t="s">
        <v>283</v>
      </c>
      <c r="H2110" s="21" t="s">
        <v>24</v>
      </c>
      <c r="I2110" s="21" t="s">
        <v>25</v>
      </c>
      <c r="J2110" s="21" t="s">
        <v>24</v>
      </c>
      <c r="K2110" s="21" t="s">
        <v>24</v>
      </c>
      <c r="L2110" s="21" t="s">
        <v>24</v>
      </c>
      <c r="M2110" s="0" t="n">
        <v>182</v>
      </c>
      <c r="N2110" s="0" t="n">
        <v>4</v>
      </c>
      <c r="O2110" s="21" t="s">
        <v>3734</v>
      </c>
      <c r="P2110" s="21" t="s">
        <v>4327</v>
      </c>
      <c r="Q2110" s="0" t="n">
        <v>1</v>
      </c>
      <c r="R2110" s="21" t="s">
        <v>69</v>
      </c>
      <c r="S2110" s="0" t="n">
        <v>4</v>
      </c>
      <c r="T2110" s="21" t="s">
        <v>3734</v>
      </c>
      <c r="U2110" s="22" t="b">
        <f aca="false">TRUE()</f>
        <v>1</v>
      </c>
      <c r="V2110" s="0" t="n">
        <v>0.69</v>
      </c>
      <c r="W2110" s="0" t="n">
        <v>0.2</v>
      </c>
      <c r="X2110" s="0" t="n">
        <v>10.03</v>
      </c>
      <c r="Y2110" s="0" t="n">
        <v>497.11</v>
      </c>
      <c r="Z2110" s="0" t="n">
        <v>10</v>
      </c>
      <c r="AA2110" s="0" t="n">
        <v>13.32</v>
      </c>
      <c r="AB2110" s="0" t="n">
        <v>12.22</v>
      </c>
      <c r="AC2110" s="22" t="b">
        <f aca="false">FALSE()</f>
        <v>0</v>
      </c>
      <c r="AD2110" s="0" t="n">
        <v>5.63</v>
      </c>
      <c r="AE2110" s="0" t="n">
        <v>0.73</v>
      </c>
      <c r="AF2110" s="0" t="n">
        <v>4.75</v>
      </c>
      <c r="AG2110" s="22" t="b">
        <f aca="false">FALSE()</f>
        <v>0</v>
      </c>
      <c r="AH2110" s="0" t="n">
        <v>1</v>
      </c>
    </row>
    <row r="2111" customFormat="false" ht="15" hidden="false" customHeight="false" outlineLevel="0" collapsed="false">
      <c r="A2111" s="0" t="s">
        <v>3126</v>
      </c>
      <c r="B2111" s="0" t="s">
        <v>134</v>
      </c>
      <c r="C2111" s="0" t="s">
        <v>3450</v>
      </c>
      <c r="D2111" s="0" t="s">
        <v>3448</v>
      </c>
      <c r="E2111" s="20" t="s">
        <v>25</v>
      </c>
      <c r="F2111" s="23" t="s">
        <v>30</v>
      </c>
      <c r="G2111" s="21" t="s">
        <v>283</v>
      </c>
      <c r="H2111" s="21" t="s">
        <v>24</v>
      </c>
      <c r="I2111" s="21" t="s">
        <v>25</v>
      </c>
      <c r="J2111" s="21" t="s">
        <v>24</v>
      </c>
      <c r="K2111" s="21" t="s">
        <v>24</v>
      </c>
      <c r="L2111" s="21" t="s">
        <v>24</v>
      </c>
      <c r="M2111" s="0" t="n">
        <v>182</v>
      </c>
      <c r="N2111" s="0" t="n">
        <v>3</v>
      </c>
      <c r="O2111" s="21" t="s">
        <v>3649</v>
      </c>
      <c r="P2111" s="21" t="s">
        <v>4242</v>
      </c>
      <c r="Q2111" s="0" t="n">
        <v>1</v>
      </c>
      <c r="R2111" s="21" t="s">
        <v>69</v>
      </c>
      <c r="S2111" s="0" t="n">
        <v>3</v>
      </c>
      <c r="T2111" s="21" t="s">
        <v>3649</v>
      </c>
      <c r="U2111" s="22" t="b">
        <f aca="false">TRUE()</f>
        <v>1</v>
      </c>
      <c r="V2111" s="0" t="n">
        <v>0.75</v>
      </c>
      <c r="W2111" s="0" t="n">
        <v>0.56</v>
      </c>
      <c r="X2111" s="0" t="n">
        <v>8.71</v>
      </c>
      <c r="Y2111" s="0" t="n">
        <v>321.4</v>
      </c>
      <c r="Z2111" s="0" t="n">
        <v>9.75</v>
      </c>
      <c r="AA2111" s="0" t="n">
        <v>5.48</v>
      </c>
      <c r="AB2111" s="0" t="n">
        <v>13.93</v>
      </c>
      <c r="AC2111" s="22" t="b">
        <f aca="false">FALSE()</f>
        <v>0</v>
      </c>
      <c r="AD2111" s="0" t="n">
        <v>5.56</v>
      </c>
      <c r="AE2111" s="0" t="n">
        <v>0.92</v>
      </c>
      <c r="AF2111" s="0" t="n">
        <v>1.78</v>
      </c>
      <c r="AG2111" s="22" t="b">
        <f aca="false">FALSE()</f>
        <v>0</v>
      </c>
      <c r="AH2111" s="0" t="n">
        <v>1</v>
      </c>
    </row>
    <row r="2112" customFormat="false" ht="15" hidden="false" customHeight="false" outlineLevel="0" collapsed="false">
      <c r="A2112" s="0" t="s">
        <v>3126</v>
      </c>
      <c r="B2112" s="0" t="s">
        <v>134</v>
      </c>
      <c r="C2112" s="0" t="s">
        <v>3447</v>
      </c>
      <c r="D2112" s="0" t="s">
        <v>3457</v>
      </c>
      <c r="E2112" s="18" t="s">
        <v>24</v>
      </c>
      <c r="F2112" s="23" t="s">
        <v>30</v>
      </c>
      <c r="G2112" s="21" t="s">
        <v>30</v>
      </c>
      <c r="H2112" s="21" t="s">
        <v>24</v>
      </c>
      <c r="I2112" s="21" t="s">
        <v>24</v>
      </c>
      <c r="J2112" s="21" t="s">
        <v>24</v>
      </c>
      <c r="K2112" s="21" t="s">
        <v>24</v>
      </c>
      <c r="L2112" s="21" t="s">
        <v>24</v>
      </c>
      <c r="M2112" s="0" t="n">
        <v>187</v>
      </c>
      <c r="N2112" s="0" t="n">
        <v>4</v>
      </c>
      <c r="O2112" s="21" t="s">
        <v>3666</v>
      </c>
      <c r="P2112" s="21" t="s">
        <v>4917</v>
      </c>
      <c r="Q2112" s="0" t="n">
        <v>0</v>
      </c>
      <c r="S2112" s="0" t="n">
        <v>4</v>
      </c>
      <c r="T2112" s="21" t="s">
        <v>3666</v>
      </c>
      <c r="U2112" s="22" t="b">
        <f aca="false">TRUE()</f>
        <v>1</v>
      </c>
      <c r="V2112" s="0" t="n">
        <v>0.72</v>
      </c>
      <c r="W2112" s="0" t="n">
        <v>0.8</v>
      </c>
      <c r="X2112" s="0" t="n">
        <v>8.03</v>
      </c>
      <c r="Y2112" s="0" t="n">
        <v>325.88</v>
      </c>
      <c r="Z2112" s="0" t="n">
        <v>10.42</v>
      </c>
      <c r="AA2112" s="0" t="n">
        <v>-0.91</v>
      </c>
      <c r="AB2112" s="0" t="n">
        <v>12.22</v>
      </c>
      <c r="AC2112" s="22" t="b">
        <f aca="false">FALSE()</f>
        <v>0</v>
      </c>
      <c r="AD2112" s="0" t="n">
        <v>6.78</v>
      </c>
      <c r="AE2112" s="0" t="n">
        <v>0.15</v>
      </c>
      <c r="AF2112" s="0" t="n">
        <v>6.5</v>
      </c>
      <c r="AG2112" s="22" t="b">
        <f aca="false">FALSE()</f>
        <v>0</v>
      </c>
      <c r="AH2112" s="0" t="n">
        <v>1</v>
      </c>
    </row>
    <row r="2113" customFormat="false" ht="15" hidden="false" customHeight="false" outlineLevel="0" collapsed="false">
      <c r="A2113" s="0" t="s">
        <v>3126</v>
      </c>
      <c r="B2113" s="0" t="s">
        <v>134</v>
      </c>
      <c r="C2113" s="0" t="s">
        <v>3447</v>
      </c>
      <c r="D2113" s="0" t="s">
        <v>3448</v>
      </c>
      <c r="E2113" s="18" t="s">
        <v>24</v>
      </c>
      <c r="F2113" s="23" t="s">
        <v>30</v>
      </c>
      <c r="G2113" s="21" t="s">
        <v>30</v>
      </c>
      <c r="H2113" s="21" t="s">
        <v>24</v>
      </c>
      <c r="I2113" s="21" t="s">
        <v>24</v>
      </c>
      <c r="J2113" s="21" t="s">
        <v>24</v>
      </c>
      <c r="K2113" s="21" t="s">
        <v>24</v>
      </c>
      <c r="L2113" s="21" t="s">
        <v>24</v>
      </c>
      <c r="M2113" s="0" t="n">
        <v>183</v>
      </c>
      <c r="N2113" s="0" t="n">
        <v>3</v>
      </c>
      <c r="O2113" s="21" t="s">
        <v>3580</v>
      </c>
      <c r="P2113" s="21" t="s">
        <v>4918</v>
      </c>
      <c r="Q2113" s="0" t="n">
        <v>0</v>
      </c>
      <c r="S2113" s="0" t="n">
        <v>3</v>
      </c>
      <c r="T2113" s="21" t="s">
        <v>3580</v>
      </c>
      <c r="U2113" s="22" t="b">
        <f aca="false">TRUE()</f>
        <v>1</v>
      </c>
      <c r="V2113" s="0" t="n">
        <v>0.72</v>
      </c>
      <c r="W2113" s="0" t="n">
        <v>0.36</v>
      </c>
      <c r="X2113" s="0" t="n">
        <v>7.68</v>
      </c>
      <c r="Y2113" s="0" t="n">
        <v>377.26</v>
      </c>
      <c r="Z2113" s="0" t="n">
        <v>11</v>
      </c>
      <c r="AA2113" s="0" t="n">
        <v>-1.19</v>
      </c>
      <c r="AB2113" s="0" t="n">
        <v>13.93</v>
      </c>
      <c r="AC2113" s="22" t="b">
        <f aca="false">FALSE()</f>
        <v>0</v>
      </c>
      <c r="AD2113" s="0" t="n">
        <v>8.07</v>
      </c>
      <c r="AE2113" s="0" t="n">
        <v>0.85</v>
      </c>
      <c r="AF2113" s="0" t="n">
        <v>3.39</v>
      </c>
      <c r="AG2113" s="22" t="b">
        <f aca="false">FALSE()</f>
        <v>0</v>
      </c>
      <c r="AH2113" s="0" t="n">
        <v>1</v>
      </c>
    </row>
    <row r="2114" customFormat="false" ht="15" hidden="false" customHeight="false" outlineLevel="0" collapsed="false">
      <c r="A2114" s="0" t="s">
        <v>3132</v>
      </c>
      <c r="B2114" s="0" t="s">
        <v>134</v>
      </c>
      <c r="C2114" s="0" t="s">
        <v>3450</v>
      </c>
      <c r="D2114" s="0" t="s">
        <v>3457</v>
      </c>
      <c r="E2114" s="20" t="s">
        <v>25</v>
      </c>
      <c r="F2114" s="23" t="s">
        <v>30</v>
      </c>
      <c r="G2114" s="21" t="s">
        <v>1046</v>
      </c>
      <c r="H2114" s="21" t="s">
        <v>24</v>
      </c>
      <c r="I2114" s="21" t="s">
        <v>25</v>
      </c>
      <c r="J2114" s="21" t="s">
        <v>24</v>
      </c>
      <c r="K2114" s="21" t="s">
        <v>25</v>
      </c>
      <c r="L2114" s="21" t="s">
        <v>24</v>
      </c>
      <c r="M2114" s="0" t="n">
        <v>184</v>
      </c>
      <c r="N2114" s="0" t="n">
        <v>4</v>
      </c>
      <c r="O2114" s="21" t="s">
        <v>3842</v>
      </c>
      <c r="P2114" s="21" t="s">
        <v>4919</v>
      </c>
      <c r="Q2114" s="0" t="n">
        <v>1</v>
      </c>
      <c r="R2114" s="21" t="s">
        <v>69</v>
      </c>
      <c r="S2114" s="0" t="n">
        <v>4</v>
      </c>
      <c r="T2114" s="21" t="s">
        <v>3842</v>
      </c>
      <c r="U2114" s="22" t="b">
        <f aca="false">TRUE()</f>
        <v>1</v>
      </c>
      <c r="V2114" s="0" t="n">
        <v>0.56</v>
      </c>
      <c r="W2114" s="0" t="n">
        <v>0.16</v>
      </c>
      <c r="X2114" s="0" t="n">
        <v>7.77</v>
      </c>
      <c r="Y2114" s="0" t="n">
        <v>564.24</v>
      </c>
      <c r="Z2114" s="0" t="n">
        <v>9.42</v>
      </c>
      <c r="AA2114" s="0" t="n">
        <v>2.02</v>
      </c>
      <c r="AB2114" s="0" t="n">
        <v>1.84</v>
      </c>
      <c r="AC2114" s="22" t="b">
        <f aca="false">FALSE()</f>
        <v>0</v>
      </c>
      <c r="AD2114" s="0" t="n">
        <v>22.1</v>
      </c>
      <c r="AE2114" s="0" t="n">
        <v>8.34</v>
      </c>
      <c r="AF2114" s="0" t="n">
        <v>15.1</v>
      </c>
      <c r="AG2114" s="22" t="b">
        <f aca="false">TRUE()</f>
        <v>1</v>
      </c>
      <c r="AH2114" s="0" t="n">
        <v>1</v>
      </c>
    </row>
    <row r="2115" customFormat="false" ht="15" hidden="false" customHeight="false" outlineLevel="0" collapsed="false">
      <c r="A2115" s="0" t="s">
        <v>3132</v>
      </c>
      <c r="B2115" s="0" t="s">
        <v>134</v>
      </c>
      <c r="C2115" s="0" t="s">
        <v>3450</v>
      </c>
      <c r="D2115" s="0" t="s">
        <v>3448</v>
      </c>
      <c r="E2115" s="20" t="s">
        <v>25</v>
      </c>
      <c r="F2115" s="23" t="s">
        <v>30</v>
      </c>
      <c r="G2115" s="21" t="s">
        <v>357</v>
      </c>
      <c r="H2115" s="21" t="s">
        <v>24</v>
      </c>
      <c r="I2115" s="21" t="s">
        <v>25</v>
      </c>
      <c r="J2115" s="21" t="s">
        <v>24</v>
      </c>
      <c r="K2115" s="21" t="s">
        <v>25</v>
      </c>
      <c r="L2115" s="21" t="s">
        <v>24</v>
      </c>
      <c r="M2115" s="0" t="n">
        <v>183</v>
      </c>
      <c r="N2115" s="0" t="n">
        <v>3</v>
      </c>
      <c r="O2115" s="21" t="s">
        <v>3649</v>
      </c>
      <c r="P2115" s="21" t="s">
        <v>4242</v>
      </c>
      <c r="Q2115" s="0" t="n">
        <v>1</v>
      </c>
      <c r="R2115" s="21" t="s">
        <v>69</v>
      </c>
      <c r="S2115" s="0" t="n">
        <v>3</v>
      </c>
      <c r="T2115" s="21" t="s">
        <v>3649</v>
      </c>
      <c r="U2115" s="22" t="b">
        <f aca="false">TRUE()</f>
        <v>1</v>
      </c>
      <c r="V2115" s="0" t="n">
        <v>0.65</v>
      </c>
      <c r="W2115" s="0" t="n">
        <v>0.12</v>
      </c>
      <c r="X2115" s="0" t="n">
        <v>6.88</v>
      </c>
      <c r="Y2115" s="0" t="n">
        <v>625.26</v>
      </c>
      <c r="Z2115" s="0" t="n">
        <v>8.58</v>
      </c>
      <c r="AA2115" s="0" t="n">
        <v>2.31</v>
      </c>
      <c r="AB2115" s="0" t="n">
        <v>0.88</v>
      </c>
      <c r="AC2115" s="22" t="b">
        <f aca="false">TRUE()</f>
        <v>1</v>
      </c>
      <c r="AD2115" s="0" t="n">
        <v>15.87</v>
      </c>
      <c r="AE2115" s="0" t="n">
        <v>1</v>
      </c>
      <c r="AF2115" s="0" t="n">
        <v>7.64</v>
      </c>
      <c r="AG2115" s="22" t="b">
        <f aca="false">TRUE()</f>
        <v>1</v>
      </c>
      <c r="AH2115" s="0" t="n">
        <v>1</v>
      </c>
    </row>
    <row r="2116" customFormat="false" ht="15" hidden="false" customHeight="false" outlineLevel="0" collapsed="false">
      <c r="A2116" s="0" t="s">
        <v>3132</v>
      </c>
      <c r="B2116" s="0" t="s">
        <v>134</v>
      </c>
      <c r="C2116" s="0" t="s">
        <v>3447</v>
      </c>
      <c r="D2116" s="0" t="s">
        <v>3457</v>
      </c>
      <c r="E2116" s="20" t="s">
        <v>25</v>
      </c>
      <c r="F2116" s="23" t="s">
        <v>30</v>
      </c>
      <c r="G2116" s="21" t="s">
        <v>183</v>
      </c>
      <c r="H2116" s="21" t="s">
        <v>24</v>
      </c>
      <c r="I2116" s="21" t="s">
        <v>25</v>
      </c>
      <c r="J2116" s="21" t="s">
        <v>24</v>
      </c>
      <c r="K2116" s="21" t="s">
        <v>25</v>
      </c>
      <c r="L2116" s="21" t="s">
        <v>24</v>
      </c>
      <c r="M2116" s="0" t="n">
        <v>187</v>
      </c>
      <c r="N2116" s="0" t="n">
        <v>3</v>
      </c>
      <c r="O2116" s="21" t="s">
        <v>3818</v>
      </c>
      <c r="P2116" s="21" t="s">
        <v>4920</v>
      </c>
      <c r="Q2116" s="0" t="n">
        <v>1</v>
      </c>
      <c r="R2116" s="21" t="s">
        <v>69</v>
      </c>
      <c r="S2116" s="0" t="n">
        <v>3</v>
      </c>
      <c r="T2116" s="21" t="s">
        <v>3818</v>
      </c>
      <c r="U2116" s="22" t="b">
        <f aca="false">TRUE()</f>
        <v>1</v>
      </c>
      <c r="V2116" s="0" t="n">
        <v>0.55</v>
      </c>
      <c r="W2116" s="0" t="n">
        <v>0.84</v>
      </c>
      <c r="X2116" s="0" t="n">
        <v>7.54</v>
      </c>
      <c r="Y2116" s="0" t="n">
        <v>327.56</v>
      </c>
      <c r="Z2116" s="0" t="n">
        <v>8</v>
      </c>
      <c r="AA2116" s="0" t="n">
        <v>1.55</v>
      </c>
      <c r="AB2116" s="0" t="n">
        <v>1.84</v>
      </c>
      <c r="AC2116" s="22" t="b">
        <f aca="false">FALSE()</f>
        <v>0</v>
      </c>
      <c r="AD2116" s="0" t="n">
        <v>21.75</v>
      </c>
      <c r="AE2116" s="0" t="n">
        <v>8.32</v>
      </c>
      <c r="AF2116" s="0" t="n">
        <v>15.53</v>
      </c>
      <c r="AG2116" s="22" t="b">
        <f aca="false">TRUE()</f>
        <v>1</v>
      </c>
      <c r="AH2116" s="0" t="n">
        <v>1</v>
      </c>
    </row>
    <row r="2117" customFormat="false" ht="15" hidden="false" customHeight="false" outlineLevel="0" collapsed="false">
      <c r="A2117" s="0" t="s">
        <v>3132</v>
      </c>
      <c r="B2117" s="0" t="s">
        <v>134</v>
      </c>
      <c r="C2117" s="0" t="s">
        <v>3447</v>
      </c>
      <c r="D2117" s="0" t="s">
        <v>3448</v>
      </c>
      <c r="E2117" s="20" t="s">
        <v>25</v>
      </c>
      <c r="F2117" s="23" t="s">
        <v>30</v>
      </c>
      <c r="G2117" s="21" t="s">
        <v>1099</v>
      </c>
      <c r="H2117" s="21" t="s">
        <v>24</v>
      </c>
      <c r="I2117" s="21" t="s">
        <v>25</v>
      </c>
      <c r="J2117" s="21" t="s">
        <v>24</v>
      </c>
      <c r="K2117" s="21" t="s">
        <v>25</v>
      </c>
      <c r="L2117" s="21" t="s">
        <v>24</v>
      </c>
      <c r="M2117" s="0" t="n">
        <v>186</v>
      </c>
      <c r="N2117" s="0" t="n">
        <v>5</v>
      </c>
      <c r="O2117" s="21" t="s">
        <v>3864</v>
      </c>
      <c r="P2117" s="21" t="s">
        <v>4921</v>
      </c>
      <c r="Q2117" s="0" t="n">
        <v>1</v>
      </c>
      <c r="R2117" s="21" t="s">
        <v>69</v>
      </c>
      <c r="S2117" s="0" t="n">
        <v>5</v>
      </c>
      <c r="T2117" s="21" t="s">
        <v>3864</v>
      </c>
      <c r="U2117" s="22" t="b">
        <f aca="false">TRUE()</f>
        <v>1</v>
      </c>
      <c r="V2117" s="0" t="n">
        <v>0.54</v>
      </c>
      <c r="W2117" s="0" t="n">
        <v>0.36</v>
      </c>
      <c r="X2117" s="0" t="n">
        <v>9.99</v>
      </c>
      <c r="Y2117" s="0" t="n">
        <v>379.15</v>
      </c>
      <c r="Z2117" s="0" t="n">
        <v>8</v>
      </c>
      <c r="AA2117" s="0" t="n">
        <v>-0.29</v>
      </c>
      <c r="AB2117" s="0" t="n">
        <v>0.88</v>
      </c>
      <c r="AC2117" s="22" t="b">
        <f aca="false">FALSE()</f>
        <v>0</v>
      </c>
      <c r="AD2117" s="0" t="n">
        <v>12.4</v>
      </c>
      <c r="AE2117" s="0" t="n">
        <v>3.66</v>
      </c>
      <c r="AF2117" s="0" t="n">
        <v>3.66</v>
      </c>
      <c r="AG2117" s="22" t="b">
        <f aca="false">TRUE()</f>
        <v>1</v>
      </c>
      <c r="AH2117" s="0" t="n">
        <v>1</v>
      </c>
    </row>
    <row r="2118" customFormat="false" ht="15" hidden="false" customHeight="false" outlineLevel="0" collapsed="false">
      <c r="A2118" s="0" t="s">
        <v>3132</v>
      </c>
      <c r="B2118" s="0" t="s">
        <v>3459</v>
      </c>
      <c r="C2118" s="0" t="s">
        <v>3450</v>
      </c>
      <c r="D2118" s="0" t="s">
        <v>3457</v>
      </c>
      <c r="E2118" s="20" t="s">
        <v>25</v>
      </c>
      <c r="F2118" s="20" t="s">
        <v>29</v>
      </c>
      <c r="G2118" s="21" t="s">
        <v>62</v>
      </c>
      <c r="H2118" s="21" t="s">
        <v>24</v>
      </c>
      <c r="I2118" s="21" t="s">
        <v>24</v>
      </c>
      <c r="J2118" s="21" t="s">
        <v>24</v>
      </c>
      <c r="K2118" s="21" t="s">
        <v>25</v>
      </c>
      <c r="L2118" s="21" t="s">
        <v>24</v>
      </c>
      <c r="M2118" s="0" t="n">
        <v>182</v>
      </c>
      <c r="N2118" s="0" t="n">
        <v>0</v>
      </c>
      <c r="Q2118" s="0" t="n">
        <v>0</v>
      </c>
      <c r="S2118" s="0" t="n">
        <v>0</v>
      </c>
      <c r="U2118" s="22" t="b">
        <f aca="false">FALSE()</f>
        <v>0</v>
      </c>
      <c r="V2118" s="0" t="n">
        <v>0.6</v>
      </c>
      <c r="W2118" s="0" t="n">
        <v>0.84</v>
      </c>
      <c r="X2118" s="0" t="n">
        <v>6.68</v>
      </c>
      <c r="Y2118" s="0" t="n">
        <v>281.18</v>
      </c>
      <c r="Z2118" s="0" t="n">
        <v>8.67</v>
      </c>
      <c r="AA2118" s="0" t="n">
        <v>0.24</v>
      </c>
      <c r="AB2118" s="0" t="n">
        <v>1.7</v>
      </c>
      <c r="AC2118" s="22" t="b">
        <f aca="false">FALSE()</f>
        <v>0</v>
      </c>
      <c r="AD2118" s="0" t="n">
        <v>18.51</v>
      </c>
      <c r="AE2118" s="0" t="n">
        <v>6.14</v>
      </c>
      <c r="AF2118" s="0" t="n">
        <v>13.57</v>
      </c>
      <c r="AG2118" s="22" t="b">
        <f aca="false">TRUE()</f>
        <v>1</v>
      </c>
      <c r="AH2118" s="0" t="n">
        <v>1</v>
      </c>
    </row>
    <row r="2119" customFormat="false" ht="15" hidden="false" customHeight="false" outlineLevel="0" collapsed="false">
      <c r="A2119" s="0" t="s">
        <v>3132</v>
      </c>
      <c r="B2119" s="0" t="s">
        <v>3459</v>
      </c>
      <c r="C2119" s="0" t="s">
        <v>3450</v>
      </c>
      <c r="D2119" s="0" t="s">
        <v>3448</v>
      </c>
      <c r="E2119" s="20" t="s">
        <v>25</v>
      </c>
      <c r="F2119" s="20" t="s">
        <v>29</v>
      </c>
      <c r="G2119" s="21" t="s">
        <v>62</v>
      </c>
      <c r="H2119" s="21" t="s">
        <v>24</v>
      </c>
      <c r="I2119" s="21" t="s">
        <v>24</v>
      </c>
      <c r="J2119" s="21" t="s">
        <v>24</v>
      </c>
      <c r="K2119" s="21" t="s">
        <v>25</v>
      </c>
      <c r="L2119" s="21" t="s">
        <v>24</v>
      </c>
      <c r="M2119" s="0" t="n">
        <v>184</v>
      </c>
      <c r="N2119" s="0" t="n">
        <v>0</v>
      </c>
      <c r="Q2119" s="0" t="n">
        <v>0</v>
      </c>
      <c r="S2119" s="0" t="n">
        <v>0</v>
      </c>
      <c r="U2119" s="22" t="b">
        <f aca="false">FALSE()</f>
        <v>0</v>
      </c>
      <c r="V2119" s="0" t="n">
        <v>0.69</v>
      </c>
      <c r="W2119" s="0" t="n">
        <v>0.92</v>
      </c>
      <c r="X2119" s="0" t="n">
        <v>6.12</v>
      </c>
      <c r="Y2119" s="0" t="n">
        <v>319.12</v>
      </c>
      <c r="Z2119" s="0" t="n">
        <v>8.17</v>
      </c>
      <c r="AA2119" s="0" t="n">
        <v>-1.1</v>
      </c>
      <c r="AB2119" s="0" t="n">
        <v>23.99</v>
      </c>
      <c r="AC2119" s="22" t="b">
        <f aca="false">FALSE()</f>
        <v>0</v>
      </c>
      <c r="AD2119" s="0" t="n">
        <v>13.06</v>
      </c>
      <c r="AE2119" s="0" t="n">
        <v>4.52</v>
      </c>
      <c r="AF2119" s="0" t="n">
        <v>14.57</v>
      </c>
      <c r="AG2119" s="22" t="b">
        <f aca="false">TRUE()</f>
        <v>1</v>
      </c>
      <c r="AH2119" s="0" t="n">
        <v>1</v>
      </c>
    </row>
    <row r="2120" customFormat="false" ht="15" hidden="false" customHeight="false" outlineLevel="0" collapsed="false">
      <c r="A2120" s="0" t="s">
        <v>3132</v>
      </c>
      <c r="B2120" s="0" t="s">
        <v>3459</v>
      </c>
      <c r="C2120" s="0" t="s">
        <v>3447</v>
      </c>
      <c r="D2120" s="0" t="s">
        <v>3457</v>
      </c>
      <c r="E2120" s="18" t="s">
        <v>24</v>
      </c>
      <c r="F2120" s="18" t="s">
        <v>28</v>
      </c>
      <c r="H2120" s="21" t="s">
        <v>24</v>
      </c>
      <c r="I2120" s="21" t="s">
        <v>24</v>
      </c>
      <c r="J2120" s="21" t="s">
        <v>24</v>
      </c>
      <c r="K2120" s="21" t="s">
        <v>24</v>
      </c>
      <c r="L2120" s="21" t="s">
        <v>24</v>
      </c>
      <c r="M2120" s="0" t="n">
        <v>183</v>
      </c>
      <c r="N2120" s="0" t="n">
        <v>0</v>
      </c>
      <c r="Q2120" s="0" t="n">
        <v>0</v>
      </c>
      <c r="S2120" s="0" t="n">
        <v>0</v>
      </c>
      <c r="U2120" s="22" t="b">
        <f aca="false">FALSE()</f>
        <v>0</v>
      </c>
      <c r="V2120" s="0" t="n">
        <v>0.54</v>
      </c>
      <c r="W2120" s="0" t="n">
        <v>0.4</v>
      </c>
      <c r="X2120" s="0" t="n">
        <v>7.66</v>
      </c>
      <c r="Y2120" s="0" t="n">
        <v>318.89</v>
      </c>
      <c r="Z2120" s="0" t="n">
        <v>9.25</v>
      </c>
      <c r="AA2120" s="0" t="n">
        <v>0.21</v>
      </c>
      <c r="AB2120" s="0" t="n">
        <v>1.7</v>
      </c>
      <c r="AC2120" s="22" t="b">
        <f aca="false">FALSE()</f>
        <v>0</v>
      </c>
      <c r="AD2120" s="0" t="n">
        <v>17.39</v>
      </c>
      <c r="AE2120" s="0" t="n">
        <v>3.33</v>
      </c>
      <c r="AF2120" s="0" t="n">
        <v>10.02</v>
      </c>
      <c r="AG2120" s="22" t="b">
        <f aca="false">TRUE()</f>
        <v>1</v>
      </c>
      <c r="AH2120" s="0" t="n">
        <v>1</v>
      </c>
    </row>
    <row r="2121" customFormat="false" ht="15" hidden="false" customHeight="false" outlineLevel="0" collapsed="false">
      <c r="A2121" s="0" t="s">
        <v>3132</v>
      </c>
      <c r="B2121" s="0" t="s">
        <v>3459</v>
      </c>
      <c r="C2121" s="0" t="s">
        <v>3447</v>
      </c>
      <c r="D2121" s="0" t="s">
        <v>3448</v>
      </c>
      <c r="E2121" s="19" t="s">
        <v>26</v>
      </c>
      <c r="F2121" s="19" t="s">
        <v>32</v>
      </c>
      <c r="G2121" s="21" t="s">
        <v>529</v>
      </c>
      <c r="H2121" s="21" t="s">
        <v>24</v>
      </c>
      <c r="I2121" s="21" t="s">
        <v>26</v>
      </c>
      <c r="J2121" s="21" t="s">
        <v>24</v>
      </c>
      <c r="K2121" s="21" t="s">
        <v>24</v>
      </c>
      <c r="L2121" s="21" t="s">
        <v>24</v>
      </c>
      <c r="M2121" s="0" t="n">
        <v>183</v>
      </c>
      <c r="N2121" s="0" t="n">
        <v>7</v>
      </c>
      <c r="O2121" s="21" t="s">
        <v>4161</v>
      </c>
      <c r="P2121" s="21" t="s">
        <v>4922</v>
      </c>
      <c r="Q2121" s="0" t="n">
        <v>1</v>
      </c>
      <c r="R2121" s="21" t="s">
        <v>69</v>
      </c>
      <c r="S2121" s="0" t="n">
        <v>7</v>
      </c>
      <c r="T2121" s="21" t="s">
        <v>4161</v>
      </c>
      <c r="U2121" s="22" t="b">
        <f aca="false">FALSE()</f>
        <v>0</v>
      </c>
      <c r="V2121" s="0" t="n">
        <v>0.5</v>
      </c>
      <c r="W2121" s="0" t="n">
        <v>0.56</v>
      </c>
      <c r="X2121" s="0" t="n">
        <v>11.24</v>
      </c>
      <c r="Y2121" s="0" t="n">
        <v>307.83</v>
      </c>
      <c r="Z2121" s="0" t="n">
        <v>9.25</v>
      </c>
      <c r="AA2121" s="0" t="n">
        <v>1.13</v>
      </c>
      <c r="AB2121" s="0" t="n">
        <v>23.99</v>
      </c>
      <c r="AC2121" s="22" t="b">
        <f aca="false">FALSE()</f>
        <v>0</v>
      </c>
      <c r="AD2121" s="0" t="n">
        <v>15.76</v>
      </c>
      <c r="AE2121" s="0" t="n">
        <v>2.6</v>
      </c>
      <c r="AF2121" s="0" t="n">
        <v>7.31</v>
      </c>
      <c r="AG2121" s="22" t="b">
        <f aca="false">TRUE()</f>
        <v>1</v>
      </c>
      <c r="AH2121" s="0" t="n">
        <v>1</v>
      </c>
    </row>
    <row r="2122" customFormat="false" ht="15" hidden="false" customHeight="false" outlineLevel="0" collapsed="false">
      <c r="A2122" s="0" t="s">
        <v>3144</v>
      </c>
      <c r="B2122" s="0" t="s">
        <v>134</v>
      </c>
      <c r="C2122" s="0" t="s">
        <v>3450</v>
      </c>
      <c r="D2122" s="0" t="s">
        <v>3457</v>
      </c>
      <c r="E2122" s="19" t="s">
        <v>26</v>
      </c>
      <c r="F2122" s="19" t="s">
        <v>32</v>
      </c>
      <c r="G2122" s="21" t="s">
        <v>4188</v>
      </c>
      <c r="H2122" s="21" t="s">
        <v>24</v>
      </c>
      <c r="I2122" s="21" t="s">
        <v>26</v>
      </c>
      <c r="J2122" s="21" t="s">
        <v>24</v>
      </c>
      <c r="K2122" s="21" t="s">
        <v>25</v>
      </c>
      <c r="L2122" s="21" t="s">
        <v>24</v>
      </c>
      <c r="M2122" s="0" t="n">
        <v>183</v>
      </c>
      <c r="N2122" s="0" t="n">
        <v>11</v>
      </c>
      <c r="O2122" s="21" t="s">
        <v>4187</v>
      </c>
      <c r="P2122" s="21" t="s">
        <v>4923</v>
      </c>
      <c r="Q2122" s="0" t="n">
        <v>2</v>
      </c>
      <c r="R2122" s="21" t="s">
        <v>3871</v>
      </c>
      <c r="S2122" s="0" t="n">
        <v>11</v>
      </c>
      <c r="T2122" s="21" t="s">
        <v>4187</v>
      </c>
      <c r="U2122" s="22" t="b">
        <f aca="false">FALSE()</f>
        <v>0</v>
      </c>
      <c r="V2122" s="0" t="n">
        <v>0.69</v>
      </c>
      <c r="W2122" s="0" t="n">
        <v>0</v>
      </c>
      <c r="X2122" s="0" t="n">
        <v>7.03</v>
      </c>
      <c r="Y2122" s="0" t="n">
        <v>663.31</v>
      </c>
      <c r="Z2122" s="0" t="n">
        <v>9.5</v>
      </c>
      <c r="AA2122" s="0" t="n">
        <v>11.3</v>
      </c>
      <c r="AB2122" s="0" t="n">
        <v>0.6</v>
      </c>
      <c r="AC2122" s="22" t="b">
        <f aca="false">FALSE()</f>
        <v>0</v>
      </c>
      <c r="AD2122" s="0" t="n">
        <v>14.36</v>
      </c>
      <c r="AE2122" s="0" t="n">
        <v>1.58</v>
      </c>
      <c r="AF2122" s="0" t="n">
        <v>0.36</v>
      </c>
      <c r="AG2122" s="22" t="b">
        <f aca="false">TRUE()</f>
        <v>1</v>
      </c>
      <c r="AH2122" s="0" t="n">
        <v>1</v>
      </c>
    </row>
    <row r="2123" customFormat="false" ht="15" hidden="false" customHeight="false" outlineLevel="0" collapsed="false">
      <c r="A2123" s="0" t="s">
        <v>3144</v>
      </c>
      <c r="B2123" s="0" t="s">
        <v>134</v>
      </c>
      <c r="C2123" s="0" t="s">
        <v>3450</v>
      </c>
      <c r="D2123" s="0" t="s">
        <v>3448</v>
      </c>
      <c r="E2123" s="19" t="s">
        <v>26</v>
      </c>
      <c r="F2123" s="19" t="s">
        <v>32</v>
      </c>
      <c r="G2123" s="21" t="s">
        <v>65</v>
      </c>
      <c r="H2123" s="21" t="s">
        <v>24</v>
      </c>
      <c r="I2123" s="21" t="s">
        <v>26</v>
      </c>
      <c r="J2123" s="21" t="s">
        <v>24</v>
      </c>
      <c r="K2123" s="21" t="s">
        <v>24</v>
      </c>
      <c r="L2123" s="21" t="s">
        <v>24</v>
      </c>
      <c r="M2123" s="0" t="n">
        <v>183</v>
      </c>
      <c r="N2123" s="0" t="n">
        <v>5</v>
      </c>
      <c r="O2123" s="21" t="s">
        <v>4006</v>
      </c>
      <c r="P2123" s="21" t="s">
        <v>4924</v>
      </c>
      <c r="Q2123" s="0" t="n">
        <v>2</v>
      </c>
      <c r="R2123" s="21" t="s">
        <v>3871</v>
      </c>
      <c r="S2123" s="0" t="n">
        <v>5</v>
      </c>
      <c r="T2123" s="21" t="s">
        <v>4006</v>
      </c>
      <c r="U2123" s="22" t="b">
        <f aca="false">FALSE()</f>
        <v>0</v>
      </c>
      <c r="V2123" s="0" t="n">
        <v>0.7</v>
      </c>
      <c r="W2123" s="0" t="n">
        <v>0</v>
      </c>
      <c r="X2123" s="0" t="n">
        <v>9.02</v>
      </c>
      <c r="Y2123" s="0" t="n">
        <v>495.4</v>
      </c>
      <c r="Z2123" s="0" t="n">
        <v>8.5</v>
      </c>
      <c r="AA2123" s="0" t="n">
        <v>14.44</v>
      </c>
      <c r="AB2123" s="0" t="n">
        <v>6.75</v>
      </c>
      <c r="AC2123" s="22" t="b">
        <f aca="false">FALSE()</f>
        <v>0</v>
      </c>
      <c r="AD2123" s="0" t="n">
        <v>15.31</v>
      </c>
      <c r="AE2123" s="0" t="n">
        <v>1.19</v>
      </c>
      <c r="AF2123" s="0" t="n">
        <v>4.63</v>
      </c>
      <c r="AG2123" s="22" t="b">
        <f aca="false">TRUE()</f>
        <v>1</v>
      </c>
      <c r="AH2123" s="0" t="n">
        <v>1</v>
      </c>
    </row>
    <row r="2124" customFormat="false" ht="15" hidden="false" customHeight="false" outlineLevel="0" collapsed="false">
      <c r="A2124" s="0" t="s">
        <v>3144</v>
      </c>
      <c r="B2124" s="0" t="s">
        <v>134</v>
      </c>
      <c r="C2124" s="0" t="s">
        <v>3447</v>
      </c>
      <c r="D2124" s="0" t="s">
        <v>3457</v>
      </c>
      <c r="E2124" s="20" t="s">
        <v>25</v>
      </c>
      <c r="F2124" s="23" t="s">
        <v>30</v>
      </c>
      <c r="G2124" s="21" t="s">
        <v>1152</v>
      </c>
      <c r="H2124" s="21" t="s">
        <v>24</v>
      </c>
      <c r="I2124" s="21" t="s">
        <v>25</v>
      </c>
      <c r="J2124" s="21" t="s">
        <v>24</v>
      </c>
      <c r="K2124" s="21" t="s">
        <v>25</v>
      </c>
      <c r="L2124" s="21" t="s">
        <v>24</v>
      </c>
      <c r="M2124" s="0" t="n">
        <v>184</v>
      </c>
      <c r="N2124" s="0" t="n">
        <v>6</v>
      </c>
      <c r="O2124" s="21" t="s">
        <v>3825</v>
      </c>
      <c r="P2124" s="21" t="s">
        <v>4925</v>
      </c>
      <c r="Q2124" s="0" t="n">
        <v>1</v>
      </c>
      <c r="R2124" s="21" t="s">
        <v>70</v>
      </c>
      <c r="S2124" s="0" t="n">
        <v>6</v>
      </c>
      <c r="T2124" s="21" t="s">
        <v>3825</v>
      </c>
      <c r="U2124" s="22" t="b">
        <f aca="false">TRUE()</f>
        <v>1</v>
      </c>
      <c r="V2124" s="0" t="n">
        <v>0.81</v>
      </c>
      <c r="W2124" s="0" t="n">
        <v>0.52</v>
      </c>
      <c r="X2124" s="0" t="n">
        <v>8.04</v>
      </c>
      <c r="Y2124" s="0" t="n">
        <v>327.27</v>
      </c>
      <c r="Z2124" s="0" t="n">
        <v>8.25</v>
      </c>
      <c r="AA2124" s="0" t="n">
        <v>-1.14</v>
      </c>
      <c r="AB2124" s="0" t="n">
        <v>0.6</v>
      </c>
      <c r="AC2124" s="22" t="b">
        <f aca="false">FALSE()</f>
        <v>0</v>
      </c>
      <c r="AD2124" s="0" t="n">
        <v>8.91</v>
      </c>
      <c r="AE2124" s="0" t="n">
        <v>0.14</v>
      </c>
      <c r="AF2124" s="0" t="n">
        <v>1.21</v>
      </c>
      <c r="AG2124" s="22" t="b">
        <f aca="false">FALSE()</f>
        <v>0</v>
      </c>
      <c r="AH2124" s="0" t="n">
        <v>1</v>
      </c>
    </row>
    <row r="2125" customFormat="false" ht="15" hidden="false" customHeight="false" outlineLevel="0" collapsed="false">
      <c r="A2125" s="0" t="s">
        <v>3144</v>
      </c>
      <c r="B2125" s="0" t="s">
        <v>134</v>
      </c>
      <c r="C2125" s="0" t="s">
        <v>3447</v>
      </c>
      <c r="D2125" s="0" t="s">
        <v>3448</v>
      </c>
      <c r="E2125" s="18" t="s">
        <v>24</v>
      </c>
      <c r="F2125" s="23" t="s">
        <v>30</v>
      </c>
      <c r="G2125" s="21" t="s">
        <v>30</v>
      </c>
      <c r="H2125" s="21" t="s">
        <v>24</v>
      </c>
      <c r="I2125" s="21" t="s">
        <v>24</v>
      </c>
      <c r="J2125" s="21" t="s">
        <v>24</v>
      </c>
      <c r="K2125" s="21" t="s">
        <v>24</v>
      </c>
      <c r="L2125" s="21" t="s">
        <v>24</v>
      </c>
      <c r="M2125" s="0" t="n">
        <v>187</v>
      </c>
      <c r="N2125" s="0" t="n">
        <v>4</v>
      </c>
      <c r="O2125" s="21" t="s">
        <v>3617</v>
      </c>
      <c r="P2125" s="21" t="s">
        <v>4926</v>
      </c>
      <c r="Q2125" s="0" t="n">
        <v>0</v>
      </c>
      <c r="S2125" s="0" t="n">
        <v>4</v>
      </c>
      <c r="T2125" s="21" t="s">
        <v>3617</v>
      </c>
      <c r="U2125" s="22" t="b">
        <f aca="false">TRUE()</f>
        <v>1</v>
      </c>
      <c r="V2125" s="0" t="n">
        <v>0.81</v>
      </c>
      <c r="W2125" s="0" t="n">
        <v>0.64</v>
      </c>
      <c r="X2125" s="0" t="n">
        <v>10.27</v>
      </c>
      <c r="Y2125" s="0" t="n">
        <v>228.6</v>
      </c>
      <c r="Z2125" s="0" t="n">
        <v>8.75</v>
      </c>
      <c r="AA2125" s="0" t="n">
        <v>0.21</v>
      </c>
      <c r="AB2125" s="0" t="n">
        <v>6.75</v>
      </c>
      <c r="AC2125" s="22" t="b">
        <f aca="false">FALSE()</f>
        <v>0</v>
      </c>
      <c r="AD2125" s="0" t="n">
        <v>12.98</v>
      </c>
      <c r="AE2125" s="0" t="n">
        <v>3.18</v>
      </c>
      <c r="AF2125" s="0" t="n">
        <v>1.42</v>
      </c>
      <c r="AG2125" s="22" t="b">
        <f aca="false">TRUE()</f>
        <v>1</v>
      </c>
      <c r="AH2125" s="0" t="n">
        <v>1</v>
      </c>
    </row>
    <row r="2126" customFormat="false" ht="15" hidden="false" customHeight="false" outlineLevel="0" collapsed="false">
      <c r="A2126" s="0" t="s">
        <v>3144</v>
      </c>
      <c r="B2126" s="0" t="s">
        <v>3459</v>
      </c>
      <c r="C2126" s="0" t="s">
        <v>3450</v>
      </c>
      <c r="D2126" s="0" t="s">
        <v>3457</v>
      </c>
      <c r="E2126" s="19" t="s">
        <v>26</v>
      </c>
      <c r="F2126" s="19" t="s">
        <v>32</v>
      </c>
      <c r="G2126" s="21" t="s">
        <v>4005</v>
      </c>
      <c r="H2126" s="21" t="s">
        <v>24</v>
      </c>
      <c r="I2126" s="21" t="s">
        <v>26</v>
      </c>
      <c r="J2126" s="21" t="s">
        <v>24</v>
      </c>
      <c r="K2126" s="21" t="s">
        <v>25</v>
      </c>
      <c r="L2126" s="21" t="s">
        <v>24</v>
      </c>
      <c r="M2126" s="0" t="n">
        <v>182</v>
      </c>
      <c r="N2126" s="0" t="n">
        <v>7</v>
      </c>
      <c r="O2126" s="21" t="s">
        <v>3986</v>
      </c>
      <c r="P2126" s="21" t="s">
        <v>4577</v>
      </c>
      <c r="Q2126" s="0" t="n">
        <v>1</v>
      </c>
      <c r="R2126" s="21" t="s">
        <v>69</v>
      </c>
      <c r="S2126" s="0" t="n">
        <v>7</v>
      </c>
      <c r="T2126" s="21" t="s">
        <v>3986</v>
      </c>
      <c r="U2126" s="22" t="b">
        <f aca="false">FALSE()</f>
        <v>0</v>
      </c>
      <c r="V2126" s="0" t="n">
        <v>0.77</v>
      </c>
      <c r="W2126" s="0" t="n">
        <v>0</v>
      </c>
      <c r="X2126" s="0" t="n">
        <v>8.39</v>
      </c>
      <c r="Y2126" s="0" t="n">
        <v>708.72</v>
      </c>
      <c r="Z2126" s="0" t="n">
        <v>8.75</v>
      </c>
      <c r="AA2126" s="0" t="n">
        <v>11.08</v>
      </c>
      <c r="AB2126" s="0" t="n">
        <v>0.28</v>
      </c>
      <c r="AC2126" s="22" t="b">
        <f aca="false">FALSE()</f>
        <v>0</v>
      </c>
      <c r="AD2126" s="0" t="n">
        <v>24.91</v>
      </c>
      <c r="AE2126" s="0" t="n">
        <v>9.16</v>
      </c>
      <c r="AF2126" s="0" t="n">
        <v>17.94</v>
      </c>
      <c r="AG2126" s="22" t="b">
        <f aca="false">TRUE()</f>
        <v>1</v>
      </c>
      <c r="AH2126" s="0" t="n">
        <v>1</v>
      </c>
    </row>
    <row r="2127" customFormat="false" ht="15" hidden="false" customHeight="false" outlineLevel="0" collapsed="false">
      <c r="A2127" s="0" t="s">
        <v>3144</v>
      </c>
      <c r="B2127" s="0" t="s">
        <v>3459</v>
      </c>
      <c r="C2127" s="0" t="s">
        <v>3450</v>
      </c>
      <c r="D2127" s="0" t="s">
        <v>3448</v>
      </c>
      <c r="E2127" s="20" t="s">
        <v>25</v>
      </c>
      <c r="F2127" s="23" t="s">
        <v>30</v>
      </c>
      <c r="G2127" s="21" t="s">
        <v>183</v>
      </c>
      <c r="H2127" s="21" t="s">
        <v>24</v>
      </c>
      <c r="I2127" s="21" t="s">
        <v>25</v>
      </c>
      <c r="J2127" s="21" t="s">
        <v>24</v>
      </c>
      <c r="K2127" s="21" t="s">
        <v>25</v>
      </c>
      <c r="L2127" s="21" t="s">
        <v>24</v>
      </c>
      <c r="M2127" s="0" t="n">
        <v>182</v>
      </c>
      <c r="N2127" s="0" t="n">
        <v>3</v>
      </c>
      <c r="O2127" s="21" t="s">
        <v>3649</v>
      </c>
      <c r="P2127" s="21" t="s">
        <v>4242</v>
      </c>
      <c r="Q2127" s="0" t="n">
        <v>1</v>
      </c>
      <c r="R2127" s="21" t="s">
        <v>69</v>
      </c>
      <c r="S2127" s="0" t="n">
        <v>3</v>
      </c>
      <c r="T2127" s="21" t="s">
        <v>3649</v>
      </c>
      <c r="U2127" s="22" t="b">
        <f aca="false">TRUE()</f>
        <v>1</v>
      </c>
      <c r="V2127" s="0" t="n">
        <v>0.79</v>
      </c>
      <c r="W2127" s="0" t="n">
        <v>0.48</v>
      </c>
      <c r="X2127" s="0" t="n">
        <v>8.43</v>
      </c>
      <c r="Y2127" s="0" t="n">
        <v>331.16</v>
      </c>
      <c r="Z2127" s="0" t="n">
        <v>8.5</v>
      </c>
      <c r="AA2127" s="0" t="n">
        <v>7.88</v>
      </c>
      <c r="AB2127" s="0" t="n">
        <v>1.54</v>
      </c>
      <c r="AC2127" s="22" t="b">
        <f aca="false">FALSE()</f>
        <v>0</v>
      </c>
      <c r="AD2127" s="0" t="n">
        <v>21.21</v>
      </c>
      <c r="AE2127" s="0" t="n">
        <v>7.79</v>
      </c>
      <c r="AF2127" s="0" t="n">
        <v>19.72</v>
      </c>
      <c r="AG2127" s="22" t="b">
        <f aca="false">TRUE()</f>
        <v>1</v>
      </c>
      <c r="AH2127" s="0" t="n">
        <v>1</v>
      </c>
    </row>
    <row r="2128" customFormat="false" ht="15" hidden="false" customHeight="false" outlineLevel="0" collapsed="false">
      <c r="A2128" s="0" t="s">
        <v>3144</v>
      </c>
      <c r="B2128" s="0" t="s">
        <v>3459</v>
      </c>
      <c r="C2128" s="0" t="s">
        <v>3447</v>
      </c>
      <c r="D2128" s="0" t="s">
        <v>3457</v>
      </c>
      <c r="E2128" s="20" t="s">
        <v>25</v>
      </c>
      <c r="F2128" s="23" t="s">
        <v>30</v>
      </c>
      <c r="G2128" s="21" t="s">
        <v>2610</v>
      </c>
      <c r="H2128" s="21" t="s">
        <v>24</v>
      </c>
      <c r="I2128" s="21" t="s">
        <v>24</v>
      </c>
      <c r="J2128" s="21" t="s">
        <v>24</v>
      </c>
      <c r="K2128" s="21" t="s">
        <v>25</v>
      </c>
      <c r="L2128" s="21" t="s">
        <v>24</v>
      </c>
      <c r="M2128" s="0" t="n">
        <v>184</v>
      </c>
      <c r="N2128" s="0" t="n">
        <v>1</v>
      </c>
      <c r="O2128" s="21" t="s">
        <v>3476</v>
      </c>
      <c r="P2128" s="21" t="s">
        <v>4228</v>
      </c>
      <c r="Q2128" s="0" t="n">
        <v>0</v>
      </c>
      <c r="S2128" s="0" t="n">
        <v>1</v>
      </c>
      <c r="T2128" s="21" t="s">
        <v>3476</v>
      </c>
      <c r="U2128" s="22" t="b">
        <f aca="false">TRUE()</f>
        <v>1</v>
      </c>
      <c r="V2128" s="0" t="n">
        <v>0.8</v>
      </c>
      <c r="W2128" s="0" t="n">
        <v>0.88</v>
      </c>
      <c r="X2128" s="0" t="n">
        <v>8.87</v>
      </c>
      <c r="Y2128" s="0" t="n">
        <v>314.16</v>
      </c>
      <c r="Z2128" s="0" t="n">
        <v>8.17</v>
      </c>
      <c r="AA2128" s="0" t="n">
        <v>-1.22</v>
      </c>
      <c r="AB2128" s="0" t="n">
        <v>0.28</v>
      </c>
      <c r="AC2128" s="22" t="b">
        <f aca="false">FALSE()</f>
        <v>0</v>
      </c>
      <c r="AD2128" s="0" t="n">
        <v>14.47</v>
      </c>
      <c r="AE2128" s="0" t="n">
        <v>4.08</v>
      </c>
      <c r="AF2128" s="0" t="n">
        <v>12.81</v>
      </c>
      <c r="AG2128" s="22" t="b">
        <f aca="false">TRUE()</f>
        <v>1</v>
      </c>
      <c r="AH2128" s="0" t="n">
        <v>1</v>
      </c>
    </row>
    <row r="2129" customFormat="false" ht="15" hidden="false" customHeight="false" outlineLevel="0" collapsed="false">
      <c r="A2129" s="0" t="s">
        <v>3144</v>
      </c>
      <c r="B2129" s="0" t="s">
        <v>3459</v>
      </c>
      <c r="C2129" s="0" t="s">
        <v>3447</v>
      </c>
      <c r="D2129" s="0" t="s">
        <v>3448</v>
      </c>
      <c r="E2129" s="18" t="s">
        <v>24</v>
      </c>
      <c r="F2129" s="23" t="s">
        <v>30</v>
      </c>
      <c r="G2129" s="21" t="s">
        <v>30</v>
      </c>
      <c r="H2129" s="21" t="s">
        <v>24</v>
      </c>
      <c r="I2129" s="21" t="s">
        <v>24</v>
      </c>
      <c r="J2129" s="21" t="s">
        <v>24</v>
      </c>
      <c r="K2129" s="21" t="s">
        <v>24</v>
      </c>
      <c r="L2129" s="21" t="s">
        <v>24</v>
      </c>
      <c r="M2129" s="0" t="n">
        <v>184</v>
      </c>
      <c r="N2129" s="0" t="n">
        <v>2</v>
      </c>
      <c r="O2129" s="21" t="s">
        <v>3525</v>
      </c>
      <c r="P2129" s="21" t="s">
        <v>4487</v>
      </c>
      <c r="Q2129" s="0" t="n">
        <v>0</v>
      </c>
      <c r="S2129" s="0" t="n">
        <v>2</v>
      </c>
      <c r="T2129" s="21" t="s">
        <v>3525</v>
      </c>
      <c r="U2129" s="22" t="b">
        <f aca="false">TRUE()</f>
        <v>1</v>
      </c>
      <c r="V2129" s="0" t="n">
        <v>0.79</v>
      </c>
      <c r="W2129" s="0" t="n">
        <v>0.6</v>
      </c>
      <c r="X2129" s="0" t="n">
        <v>8.89</v>
      </c>
      <c r="Y2129" s="0" t="n">
        <v>320.07</v>
      </c>
      <c r="Z2129" s="0" t="n">
        <v>8.75</v>
      </c>
      <c r="AA2129" s="0" t="n">
        <v>1.37</v>
      </c>
      <c r="AB2129" s="0" t="n">
        <v>1.54</v>
      </c>
      <c r="AC2129" s="22" t="b">
        <f aca="false">FALSE()</f>
        <v>0</v>
      </c>
      <c r="AD2129" s="0" t="n">
        <v>19.18</v>
      </c>
      <c r="AE2129" s="0" t="n">
        <v>6.51</v>
      </c>
      <c r="AF2129" s="0" t="n">
        <v>17.69</v>
      </c>
      <c r="AG2129" s="22" t="b">
        <f aca="false">TRUE()</f>
        <v>1</v>
      </c>
      <c r="AH2129" s="0" t="n">
        <v>1</v>
      </c>
    </row>
    <row r="2130" customFormat="false" ht="15" hidden="false" customHeight="false" outlineLevel="0" collapsed="false">
      <c r="A2130" s="0" t="s">
        <v>3151</v>
      </c>
      <c r="B2130" s="0" t="s">
        <v>134</v>
      </c>
      <c r="C2130" s="0" t="s">
        <v>3450</v>
      </c>
      <c r="D2130" s="0" t="s">
        <v>3457</v>
      </c>
      <c r="E2130" s="20" t="s">
        <v>25</v>
      </c>
      <c r="F2130" s="23" t="s">
        <v>30</v>
      </c>
      <c r="G2130" s="21" t="s">
        <v>1140</v>
      </c>
      <c r="H2130" s="21" t="s">
        <v>24</v>
      </c>
      <c r="I2130" s="21" t="s">
        <v>25</v>
      </c>
      <c r="J2130" s="21" t="s">
        <v>24</v>
      </c>
      <c r="K2130" s="21" t="s">
        <v>25</v>
      </c>
      <c r="L2130" s="21" t="s">
        <v>24</v>
      </c>
      <c r="M2130" s="0" t="n">
        <v>182</v>
      </c>
      <c r="N2130" s="0" t="n">
        <v>5</v>
      </c>
      <c r="O2130" s="21" t="s">
        <v>3824</v>
      </c>
      <c r="P2130" s="21" t="s">
        <v>4565</v>
      </c>
      <c r="Q2130" s="0" t="n">
        <v>1</v>
      </c>
      <c r="R2130" s="21" t="s">
        <v>69</v>
      </c>
      <c r="S2130" s="0" t="n">
        <v>5</v>
      </c>
      <c r="T2130" s="21" t="s">
        <v>3824</v>
      </c>
      <c r="U2130" s="22" t="b">
        <f aca="false">TRUE()</f>
        <v>1</v>
      </c>
      <c r="V2130" s="0" t="n">
        <v>0.71</v>
      </c>
      <c r="W2130" s="0" t="n">
        <v>0.4</v>
      </c>
      <c r="X2130" s="0" t="n">
        <v>7.16</v>
      </c>
      <c r="Y2130" s="0" t="n">
        <v>345.31</v>
      </c>
      <c r="Z2130" s="0" t="n">
        <v>9.25</v>
      </c>
      <c r="AA2130" s="0" t="n">
        <v>5.17</v>
      </c>
      <c r="AB2130" s="0" t="n">
        <v>3.77</v>
      </c>
      <c r="AC2130" s="22" t="b">
        <f aca="false">FALSE()</f>
        <v>0</v>
      </c>
      <c r="AD2130" s="0" t="n">
        <v>30.03</v>
      </c>
      <c r="AE2130" s="0" t="n">
        <v>20.52</v>
      </c>
      <c r="AF2130" s="0" t="n">
        <v>24.03</v>
      </c>
      <c r="AG2130" s="22" t="b">
        <f aca="false">TRUE()</f>
        <v>1</v>
      </c>
      <c r="AH2130" s="0" t="n">
        <v>1</v>
      </c>
    </row>
    <row r="2131" customFormat="false" ht="15" hidden="false" customHeight="false" outlineLevel="0" collapsed="false">
      <c r="A2131" s="0" t="s">
        <v>3151</v>
      </c>
      <c r="B2131" s="0" t="s">
        <v>134</v>
      </c>
      <c r="C2131" s="0" t="s">
        <v>3450</v>
      </c>
      <c r="D2131" s="0" t="s">
        <v>3448</v>
      </c>
      <c r="E2131" s="20" t="s">
        <v>25</v>
      </c>
      <c r="F2131" s="23" t="s">
        <v>30</v>
      </c>
      <c r="G2131" s="21" t="s">
        <v>3714</v>
      </c>
      <c r="H2131" s="21" t="s">
        <v>24</v>
      </c>
      <c r="I2131" s="21" t="s">
        <v>25</v>
      </c>
      <c r="J2131" s="21" t="s">
        <v>24</v>
      </c>
      <c r="K2131" s="21" t="s">
        <v>25</v>
      </c>
      <c r="L2131" s="21" t="s">
        <v>24</v>
      </c>
      <c r="M2131" s="0" t="n">
        <v>183</v>
      </c>
      <c r="N2131" s="0" t="n">
        <v>3</v>
      </c>
      <c r="O2131" s="21" t="s">
        <v>3649</v>
      </c>
      <c r="P2131" s="21" t="s">
        <v>4242</v>
      </c>
      <c r="Q2131" s="0" t="n">
        <v>1</v>
      </c>
      <c r="R2131" s="21" t="s">
        <v>69</v>
      </c>
      <c r="S2131" s="0" t="n">
        <v>3</v>
      </c>
      <c r="T2131" s="21" t="s">
        <v>3649</v>
      </c>
      <c r="U2131" s="22" t="b">
        <f aca="false">TRUE()</f>
        <v>1</v>
      </c>
      <c r="V2131" s="0" t="n">
        <v>0.77</v>
      </c>
      <c r="W2131" s="0" t="n">
        <v>0.56</v>
      </c>
      <c r="X2131" s="0" t="n">
        <v>7.23</v>
      </c>
      <c r="Y2131" s="0" t="n">
        <v>321.88</v>
      </c>
      <c r="Z2131" s="0" t="n">
        <v>9.75</v>
      </c>
      <c r="AA2131" s="0" t="n">
        <v>5.21</v>
      </c>
      <c r="AB2131" s="0" t="n">
        <v>0.86</v>
      </c>
      <c r="AC2131" s="22" t="b">
        <f aca="false">FALSE()</f>
        <v>0</v>
      </c>
      <c r="AD2131" s="0" t="n">
        <v>31.02</v>
      </c>
      <c r="AE2131" s="0" t="n">
        <v>16.42</v>
      </c>
      <c r="AF2131" s="0" t="n">
        <v>23.04</v>
      </c>
      <c r="AG2131" s="22" t="b">
        <f aca="false">TRUE()</f>
        <v>1</v>
      </c>
      <c r="AH2131" s="0" t="n">
        <v>1</v>
      </c>
    </row>
    <row r="2132" customFormat="false" ht="15" hidden="false" customHeight="false" outlineLevel="0" collapsed="false">
      <c r="A2132" s="0" t="s">
        <v>3151</v>
      </c>
      <c r="B2132" s="0" t="s">
        <v>134</v>
      </c>
      <c r="C2132" s="0" t="s">
        <v>3447</v>
      </c>
      <c r="D2132" s="0" t="s">
        <v>3457</v>
      </c>
      <c r="E2132" s="20" t="s">
        <v>25</v>
      </c>
      <c r="F2132" s="20" t="s">
        <v>29</v>
      </c>
      <c r="G2132" s="21" t="s">
        <v>61</v>
      </c>
      <c r="H2132" s="21" t="s">
        <v>24</v>
      </c>
      <c r="I2132" s="21" t="s">
        <v>24</v>
      </c>
      <c r="J2132" s="21" t="s">
        <v>24</v>
      </c>
      <c r="K2132" s="21" t="s">
        <v>25</v>
      </c>
      <c r="L2132" s="21" t="s">
        <v>24</v>
      </c>
      <c r="M2132" s="0" t="n">
        <v>183</v>
      </c>
      <c r="N2132" s="0" t="n">
        <v>0</v>
      </c>
      <c r="Q2132" s="0" t="n">
        <v>0</v>
      </c>
      <c r="S2132" s="0" t="n">
        <v>0</v>
      </c>
      <c r="U2132" s="22" t="b">
        <f aca="false">FALSE()</f>
        <v>0</v>
      </c>
      <c r="V2132" s="0" t="n">
        <v>0.68</v>
      </c>
      <c r="W2132" s="0" t="n">
        <v>0.84</v>
      </c>
      <c r="X2132" s="0" t="n">
        <v>8.19</v>
      </c>
      <c r="Y2132" s="0" t="n">
        <v>314.22</v>
      </c>
      <c r="Z2132" s="0" t="n">
        <v>8.17</v>
      </c>
      <c r="AA2132" s="0" t="n">
        <v>-0.21</v>
      </c>
      <c r="AB2132" s="0" t="n">
        <v>3.77</v>
      </c>
      <c r="AC2132" s="22" t="b">
        <f aca="false">FALSE()</f>
        <v>0</v>
      </c>
      <c r="AD2132" s="0" t="n">
        <v>29.81</v>
      </c>
      <c r="AE2132" s="0" t="n">
        <v>19.68</v>
      </c>
      <c r="AF2132" s="0" t="n">
        <v>22.78</v>
      </c>
      <c r="AG2132" s="22" t="b">
        <f aca="false">TRUE()</f>
        <v>1</v>
      </c>
      <c r="AH2132" s="0" t="n">
        <v>1</v>
      </c>
    </row>
    <row r="2133" customFormat="false" ht="15" hidden="false" customHeight="false" outlineLevel="0" collapsed="false">
      <c r="A2133" s="0" t="s">
        <v>3151</v>
      </c>
      <c r="B2133" s="0" t="s">
        <v>134</v>
      </c>
      <c r="C2133" s="0" t="s">
        <v>3447</v>
      </c>
      <c r="D2133" s="0" t="s">
        <v>3448</v>
      </c>
      <c r="E2133" s="20" t="s">
        <v>25</v>
      </c>
      <c r="F2133" s="20" t="s">
        <v>29</v>
      </c>
      <c r="G2133" s="21" t="s">
        <v>3470</v>
      </c>
      <c r="H2133" s="21" t="s">
        <v>24</v>
      </c>
      <c r="I2133" s="21" t="s">
        <v>24</v>
      </c>
      <c r="J2133" s="21" t="s">
        <v>24</v>
      </c>
      <c r="K2133" s="21" t="s">
        <v>25</v>
      </c>
      <c r="L2133" s="21" t="s">
        <v>24</v>
      </c>
      <c r="M2133" s="0" t="n">
        <v>184</v>
      </c>
      <c r="N2133" s="0" t="n">
        <v>0</v>
      </c>
      <c r="Q2133" s="0" t="n">
        <v>0</v>
      </c>
      <c r="S2133" s="0" t="n">
        <v>0</v>
      </c>
      <c r="U2133" s="22" t="b">
        <f aca="false">FALSE()</f>
        <v>0</v>
      </c>
      <c r="V2133" s="0" t="n">
        <v>0.9</v>
      </c>
      <c r="W2133" s="0" t="n">
        <v>0.4</v>
      </c>
      <c r="X2133" s="0" t="n">
        <v>8.41</v>
      </c>
      <c r="Y2133" s="0" t="n">
        <v>352.46</v>
      </c>
      <c r="Z2133" s="0" t="n">
        <v>8.17</v>
      </c>
      <c r="AA2133" s="0" t="n">
        <v>-1.57</v>
      </c>
      <c r="AB2133" s="0" t="n">
        <v>0.86</v>
      </c>
      <c r="AC2133" s="22" t="b">
        <f aca="false">FALSE()</f>
        <v>0</v>
      </c>
      <c r="AD2133" s="0" t="n">
        <v>27.86</v>
      </c>
      <c r="AE2133" s="0" t="n">
        <v>14.5</v>
      </c>
      <c r="AF2133" s="0" t="n">
        <v>21.37</v>
      </c>
      <c r="AG2133" s="22" t="b">
        <f aca="false">TRUE()</f>
        <v>1</v>
      </c>
      <c r="AH2133" s="0" t="n">
        <v>1</v>
      </c>
    </row>
    <row r="2134" customFormat="false" ht="15" hidden="false" customHeight="false" outlineLevel="0" collapsed="false">
      <c r="A2134" s="0" t="s">
        <v>3162</v>
      </c>
      <c r="B2134" s="0" t="s">
        <v>134</v>
      </c>
      <c r="C2134" s="0" t="s">
        <v>3450</v>
      </c>
      <c r="D2134" s="0" t="s">
        <v>3457</v>
      </c>
      <c r="E2134" s="20" t="s">
        <v>25</v>
      </c>
      <c r="F2134" s="23" t="s">
        <v>30</v>
      </c>
      <c r="G2134" s="21" t="s">
        <v>1343</v>
      </c>
      <c r="H2134" s="21" t="s">
        <v>25</v>
      </c>
      <c r="I2134" s="21" t="s">
        <v>25</v>
      </c>
      <c r="J2134" s="21" t="s">
        <v>24</v>
      </c>
      <c r="K2134" s="21" t="s">
        <v>24</v>
      </c>
      <c r="L2134" s="21" t="s">
        <v>24</v>
      </c>
      <c r="M2134" s="0" t="n">
        <v>277</v>
      </c>
      <c r="N2134" s="0" t="n">
        <v>1</v>
      </c>
      <c r="O2134" s="21" t="s">
        <v>69</v>
      </c>
      <c r="P2134" s="21" t="s">
        <v>4275</v>
      </c>
      <c r="Q2134" s="0" t="n">
        <v>1</v>
      </c>
      <c r="R2134" s="21" t="s">
        <v>69</v>
      </c>
      <c r="S2134" s="0" t="n">
        <v>1</v>
      </c>
      <c r="T2134" s="21" t="s">
        <v>69</v>
      </c>
      <c r="U2134" s="22" t="b">
        <f aca="false">TRUE()</f>
        <v>1</v>
      </c>
      <c r="V2134" s="0" t="n">
        <v>0.75</v>
      </c>
      <c r="W2134" s="0" t="n">
        <v>0.32</v>
      </c>
      <c r="X2134" s="0" t="n">
        <v>9.34</v>
      </c>
      <c r="Y2134" s="0" t="n">
        <v>586.21</v>
      </c>
      <c r="Z2134" s="0" t="n">
        <v>8.92</v>
      </c>
      <c r="AA2134" s="0" t="n">
        <v>10.22</v>
      </c>
      <c r="AB2134" s="0" t="n">
        <v>2.3</v>
      </c>
      <c r="AC2134" s="22" t="b">
        <f aca="false">FALSE()</f>
        <v>0</v>
      </c>
      <c r="AD2134" s="0" t="n">
        <v>15.8</v>
      </c>
      <c r="AE2134" s="0" t="n">
        <v>0.8</v>
      </c>
      <c r="AF2134" s="0" t="n">
        <v>7.84</v>
      </c>
      <c r="AG2134" s="22" t="b">
        <f aca="false">TRUE()</f>
        <v>1</v>
      </c>
      <c r="AH2134" s="0" t="n">
        <v>1</v>
      </c>
    </row>
    <row r="2135" customFormat="false" ht="15" hidden="false" customHeight="false" outlineLevel="0" collapsed="false">
      <c r="A2135" s="0" t="s">
        <v>3162</v>
      </c>
      <c r="B2135" s="0" t="s">
        <v>134</v>
      </c>
      <c r="C2135" s="0" t="s">
        <v>3450</v>
      </c>
      <c r="D2135" s="0" t="s">
        <v>3448</v>
      </c>
      <c r="E2135" s="20" t="s">
        <v>25</v>
      </c>
      <c r="F2135" s="23" t="s">
        <v>30</v>
      </c>
      <c r="G2135" s="21" t="s">
        <v>283</v>
      </c>
      <c r="H2135" s="21" t="s">
        <v>24</v>
      </c>
      <c r="I2135" s="21" t="s">
        <v>25</v>
      </c>
      <c r="J2135" s="21" t="s">
        <v>24</v>
      </c>
      <c r="K2135" s="21" t="s">
        <v>24</v>
      </c>
      <c r="L2135" s="21" t="s">
        <v>24</v>
      </c>
      <c r="M2135" s="0" t="n">
        <v>181</v>
      </c>
      <c r="N2135" s="0" t="n">
        <v>1</v>
      </c>
      <c r="O2135" s="21" t="s">
        <v>69</v>
      </c>
      <c r="P2135" s="21" t="s">
        <v>4275</v>
      </c>
      <c r="Q2135" s="0" t="n">
        <v>1</v>
      </c>
      <c r="R2135" s="21" t="s">
        <v>69</v>
      </c>
      <c r="S2135" s="0" t="n">
        <v>1</v>
      </c>
      <c r="T2135" s="21" t="s">
        <v>69</v>
      </c>
      <c r="U2135" s="22" t="b">
        <f aca="false">TRUE()</f>
        <v>1</v>
      </c>
      <c r="V2135" s="0" t="n">
        <v>0.76</v>
      </c>
      <c r="W2135" s="0" t="n">
        <v>0.24</v>
      </c>
      <c r="X2135" s="0" t="n">
        <v>10.47</v>
      </c>
      <c r="Y2135" s="0" t="n">
        <v>433.36</v>
      </c>
      <c r="Z2135" s="0" t="n">
        <v>8.75</v>
      </c>
      <c r="AA2135" s="0" t="n">
        <v>9.87</v>
      </c>
      <c r="AB2135" s="0" t="n">
        <v>2.07</v>
      </c>
      <c r="AC2135" s="22" t="b">
        <f aca="false">FALSE()</f>
        <v>0</v>
      </c>
      <c r="AD2135" s="0" t="n">
        <v>12.45</v>
      </c>
      <c r="AE2135" s="0" t="n">
        <v>0.68</v>
      </c>
      <c r="AF2135" s="0" t="n">
        <v>4.59</v>
      </c>
      <c r="AG2135" s="22" t="b">
        <f aca="false">TRUE()</f>
        <v>1</v>
      </c>
      <c r="AH2135" s="0" t="n">
        <v>1</v>
      </c>
    </row>
    <row r="2136" customFormat="false" ht="15" hidden="false" customHeight="false" outlineLevel="0" collapsed="false">
      <c r="A2136" s="0" t="s">
        <v>3162</v>
      </c>
      <c r="B2136" s="0" t="s">
        <v>134</v>
      </c>
      <c r="C2136" s="0" t="s">
        <v>3447</v>
      </c>
      <c r="D2136" s="0" t="s">
        <v>3457</v>
      </c>
      <c r="E2136" s="20" t="s">
        <v>25</v>
      </c>
      <c r="F2136" s="23" t="s">
        <v>30</v>
      </c>
      <c r="G2136" s="21" t="s">
        <v>283</v>
      </c>
      <c r="H2136" s="21" t="s">
        <v>24</v>
      </c>
      <c r="I2136" s="21" t="s">
        <v>25</v>
      </c>
      <c r="J2136" s="21" t="s">
        <v>24</v>
      </c>
      <c r="K2136" s="21" t="s">
        <v>24</v>
      </c>
      <c r="L2136" s="21" t="s">
        <v>24</v>
      </c>
      <c r="M2136" s="0" t="n">
        <v>181</v>
      </c>
      <c r="N2136" s="0" t="n">
        <v>1</v>
      </c>
      <c r="O2136" s="21" t="s">
        <v>69</v>
      </c>
      <c r="P2136" s="21" t="s">
        <v>4275</v>
      </c>
      <c r="Q2136" s="0" t="n">
        <v>1</v>
      </c>
      <c r="R2136" s="21" t="s">
        <v>69</v>
      </c>
      <c r="S2136" s="0" t="n">
        <v>1</v>
      </c>
      <c r="T2136" s="21" t="s">
        <v>69</v>
      </c>
      <c r="U2136" s="22" t="b">
        <f aca="false">TRUE()</f>
        <v>1</v>
      </c>
      <c r="V2136" s="0" t="n">
        <v>0.73</v>
      </c>
      <c r="W2136" s="0" t="n">
        <v>0</v>
      </c>
      <c r="X2136" s="0" t="n">
        <v>9.64</v>
      </c>
      <c r="Y2136" s="0" t="n">
        <v>0.62</v>
      </c>
      <c r="Z2136" s="0" t="n">
        <v>8.5</v>
      </c>
      <c r="AA2136" s="0" t="n">
        <v>4.99</v>
      </c>
      <c r="AB2136" s="0" t="n">
        <v>2.3</v>
      </c>
      <c r="AC2136" s="22" t="b">
        <f aca="false">FALSE()</f>
        <v>0</v>
      </c>
      <c r="AD2136" s="0" t="n">
        <v>16.09</v>
      </c>
      <c r="AE2136" s="0" t="n">
        <v>0.76</v>
      </c>
      <c r="AF2136" s="0" t="n">
        <v>6.81</v>
      </c>
      <c r="AG2136" s="22" t="b">
        <f aca="false">TRUE()</f>
        <v>1</v>
      </c>
      <c r="AH2136" s="0" t="n">
        <v>0</v>
      </c>
    </row>
    <row r="2137" customFormat="false" ht="15" hidden="false" customHeight="false" outlineLevel="0" collapsed="false">
      <c r="A2137" s="0" t="s">
        <v>3162</v>
      </c>
      <c r="B2137" s="0" t="s">
        <v>134</v>
      </c>
      <c r="C2137" s="0" t="s">
        <v>3447</v>
      </c>
      <c r="D2137" s="0" t="s">
        <v>3448</v>
      </c>
      <c r="E2137" s="20" t="s">
        <v>25</v>
      </c>
      <c r="F2137" s="23" t="s">
        <v>30</v>
      </c>
      <c r="G2137" s="21" t="s">
        <v>283</v>
      </c>
      <c r="H2137" s="21" t="s">
        <v>24</v>
      </c>
      <c r="I2137" s="21" t="s">
        <v>25</v>
      </c>
      <c r="J2137" s="21" t="s">
        <v>24</v>
      </c>
      <c r="K2137" s="21" t="s">
        <v>24</v>
      </c>
      <c r="L2137" s="21" t="s">
        <v>24</v>
      </c>
      <c r="M2137" s="0" t="n">
        <v>183</v>
      </c>
      <c r="N2137" s="0" t="n">
        <v>3</v>
      </c>
      <c r="O2137" s="21" t="s">
        <v>3649</v>
      </c>
      <c r="P2137" s="21" t="s">
        <v>4242</v>
      </c>
      <c r="Q2137" s="0" t="n">
        <v>1</v>
      </c>
      <c r="R2137" s="21" t="s">
        <v>69</v>
      </c>
      <c r="S2137" s="0" t="n">
        <v>3</v>
      </c>
      <c r="T2137" s="21" t="s">
        <v>3649</v>
      </c>
      <c r="U2137" s="22" t="b">
        <f aca="false">TRUE()</f>
        <v>1</v>
      </c>
      <c r="V2137" s="0" t="n">
        <v>0.73</v>
      </c>
      <c r="W2137" s="0" t="n">
        <v>0.24</v>
      </c>
      <c r="X2137" s="0" t="n">
        <v>10.47</v>
      </c>
      <c r="Y2137" s="0" t="n">
        <v>422.33</v>
      </c>
      <c r="Z2137" s="0" t="n">
        <v>8</v>
      </c>
      <c r="AA2137" s="0" t="n">
        <v>7.28</v>
      </c>
      <c r="AB2137" s="0" t="n">
        <v>2.07</v>
      </c>
      <c r="AC2137" s="22" t="b">
        <f aca="false">FALSE()</f>
        <v>0</v>
      </c>
      <c r="AD2137" s="0" t="n">
        <v>12.48</v>
      </c>
      <c r="AE2137" s="0" t="n">
        <v>0.66</v>
      </c>
      <c r="AF2137" s="0" t="n">
        <v>4.15</v>
      </c>
      <c r="AG2137" s="22" t="b">
        <f aca="false">TRUE()</f>
        <v>1</v>
      </c>
      <c r="AH2137" s="0" t="n">
        <v>1</v>
      </c>
    </row>
    <row r="2138" customFormat="false" ht="15" hidden="false" customHeight="false" outlineLevel="0" collapsed="false">
      <c r="A2138" s="0" t="s">
        <v>3177</v>
      </c>
      <c r="B2138" s="0" t="s">
        <v>134</v>
      </c>
      <c r="C2138" s="0" t="s">
        <v>3450</v>
      </c>
      <c r="D2138" s="0" t="s">
        <v>3457</v>
      </c>
      <c r="E2138" s="20" t="s">
        <v>25</v>
      </c>
      <c r="F2138" s="23" t="s">
        <v>30</v>
      </c>
      <c r="G2138" s="21" t="s">
        <v>183</v>
      </c>
      <c r="H2138" s="21" t="s">
        <v>24</v>
      </c>
      <c r="I2138" s="21" t="s">
        <v>25</v>
      </c>
      <c r="J2138" s="21" t="s">
        <v>24</v>
      </c>
      <c r="K2138" s="21" t="s">
        <v>25</v>
      </c>
      <c r="L2138" s="21" t="s">
        <v>24</v>
      </c>
      <c r="M2138" s="0" t="n">
        <v>184</v>
      </c>
      <c r="N2138" s="0" t="n">
        <v>4</v>
      </c>
      <c r="O2138" s="21" t="s">
        <v>3778</v>
      </c>
      <c r="P2138" s="21" t="s">
        <v>4631</v>
      </c>
      <c r="Q2138" s="0" t="n">
        <v>1</v>
      </c>
      <c r="R2138" s="21" t="s">
        <v>69</v>
      </c>
      <c r="S2138" s="0" t="n">
        <v>4</v>
      </c>
      <c r="T2138" s="21" t="s">
        <v>3778</v>
      </c>
      <c r="U2138" s="22" t="b">
        <f aca="false">TRUE()</f>
        <v>1</v>
      </c>
      <c r="V2138" s="0" t="n">
        <v>0.74</v>
      </c>
      <c r="W2138" s="0" t="n">
        <v>0.4</v>
      </c>
      <c r="X2138" s="0" t="n">
        <v>8.97</v>
      </c>
      <c r="Y2138" s="0" t="n">
        <v>301.65</v>
      </c>
      <c r="Z2138" s="0" t="n">
        <v>10.25</v>
      </c>
      <c r="AA2138" s="0" t="n">
        <v>17.82</v>
      </c>
      <c r="AB2138" s="0" t="n">
        <v>3.3</v>
      </c>
      <c r="AC2138" s="22" t="b">
        <f aca="false">FALSE()</f>
        <v>0</v>
      </c>
      <c r="AD2138" s="0" t="n">
        <v>21.71</v>
      </c>
      <c r="AE2138" s="0" t="n">
        <v>15.21</v>
      </c>
      <c r="AF2138" s="0" t="n">
        <v>22.49</v>
      </c>
      <c r="AG2138" s="22" t="b">
        <f aca="false">TRUE()</f>
        <v>1</v>
      </c>
      <c r="AH2138" s="0" t="n">
        <v>1</v>
      </c>
    </row>
    <row r="2139" customFormat="false" ht="15" hidden="false" customHeight="false" outlineLevel="0" collapsed="false">
      <c r="A2139" s="0" t="s">
        <v>3177</v>
      </c>
      <c r="B2139" s="0" t="s">
        <v>134</v>
      </c>
      <c r="C2139" s="0" t="s">
        <v>3450</v>
      </c>
      <c r="D2139" s="0" t="s">
        <v>3448</v>
      </c>
      <c r="E2139" s="20" t="s">
        <v>25</v>
      </c>
      <c r="F2139" s="23" t="s">
        <v>30</v>
      </c>
      <c r="G2139" s="21" t="s">
        <v>283</v>
      </c>
      <c r="H2139" s="21" t="s">
        <v>24</v>
      </c>
      <c r="I2139" s="21" t="s">
        <v>25</v>
      </c>
      <c r="J2139" s="21" t="s">
        <v>24</v>
      </c>
      <c r="K2139" s="21" t="s">
        <v>24</v>
      </c>
      <c r="L2139" s="21" t="s">
        <v>24</v>
      </c>
      <c r="M2139" s="0" t="n">
        <v>185</v>
      </c>
      <c r="N2139" s="0" t="n">
        <v>1</v>
      </c>
      <c r="O2139" s="21" t="s">
        <v>69</v>
      </c>
      <c r="P2139" s="21" t="s">
        <v>4275</v>
      </c>
      <c r="Q2139" s="0" t="n">
        <v>1</v>
      </c>
      <c r="R2139" s="21" t="s">
        <v>69</v>
      </c>
      <c r="S2139" s="0" t="n">
        <v>1</v>
      </c>
      <c r="T2139" s="21" t="s">
        <v>69</v>
      </c>
      <c r="U2139" s="22" t="b">
        <f aca="false">TRUE()</f>
        <v>1</v>
      </c>
      <c r="V2139" s="0" t="n">
        <v>0.77</v>
      </c>
      <c r="W2139" s="0" t="n">
        <v>0.32</v>
      </c>
      <c r="X2139" s="0" t="n">
        <v>8</v>
      </c>
      <c r="Y2139" s="0" t="n">
        <v>407.96</v>
      </c>
      <c r="Z2139" s="0" t="n">
        <v>10</v>
      </c>
      <c r="AA2139" s="0" t="n">
        <v>16.31</v>
      </c>
      <c r="AB2139" s="0" t="n">
        <v>6.22</v>
      </c>
      <c r="AC2139" s="22" t="b">
        <f aca="false">FALSE()</f>
        <v>0</v>
      </c>
      <c r="AD2139" s="0" t="n">
        <v>19.75</v>
      </c>
      <c r="AE2139" s="0" t="n">
        <v>14.63</v>
      </c>
      <c r="AF2139" s="0" t="n">
        <v>20.14</v>
      </c>
      <c r="AG2139" s="22" t="b">
        <f aca="false">TRUE()</f>
        <v>1</v>
      </c>
      <c r="AH2139" s="0" t="n">
        <v>1</v>
      </c>
    </row>
    <row r="2140" customFormat="false" ht="15" hidden="false" customHeight="false" outlineLevel="0" collapsed="false">
      <c r="A2140" s="0" t="s">
        <v>3177</v>
      </c>
      <c r="B2140" s="0" t="s">
        <v>134</v>
      </c>
      <c r="C2140" s="0" t="s">
        <v>3447</v>
      </c>
      <c r="D2140" s="0" t="s">
        <v>3457</v>
      </c>
      <c r="E2140" s="18" t="s">
        <v>24</v>
      </c>
      <c r="F2140" s="18" t="s">
        <v>28</v>
      </c>
      <c r="H2140" s="21" t="s">
        <v>24</v>
      </c>
      <c r="I2140" s="21" t="s">
        <v>24</v>
      </c>
      <c r="J2140" s="21" t="s">
        <v>24</v>
      </c>
      <c r="K2140" s="21" t="s">
        <v>24</v>
      </c>
      <c r="L2140" s="21" t="s">
        <v>24</v>
      </c>
      <c r="M2140" s="0" t="n">
        <v>200</v>
      </c>
      <c r="N2140" s="0" t="n">
        <v>0</v>
      </c>
      <c r="Q2140" s="0" t="n">
        <v>0</v>
      </c>
      <c r="S2140" s="0" t="n">
        <v>0</v>
      </c>
      <c r="U2140" s="22" t="b">
        <f aca="false">FALSE()</f>
        <v>0</v>
      </c>
      <c r="V2140" s="0" t="n">
        <v>0.77</v>
      </c>
      <c r="W2140" s="0" t="n">
        <v>0.68</v>
      </c>
      <c r="X2140" s="0" t="n">
        <v>8.2</v>
      </c>
      <c r="Y2140" s="0" t="n">
        <v>319.23</v>
      </c>
      <c r="Z2140" s="0" t="n">
        <v>8</v>
      </c>
      <c r="AA2140" s="0" t="n">
        <v>-1</v>
      </c>
      <c r="AB2140" s="0" t="n">
        <v>3.3</v>
      </c>
      <c r="AC2140" s="22" t="b">
        <f aca="false">FALSE()</f>
        <v>0</v>
      </c>
      <c r="AD2140" s="0" t="n">
        <v>8.79</v>
      </c>
      <c r="AE2140" s="0" t="n">
        <v>3.8</v>
      </c>
      <c r="AF2140" s="0" t="n">
        <v>10.7</v>
      </c>
      <c r="AG2140" s="22" t="b">
        <f aca="false">FALSE()</f>
        <v>0</v>
      </c>
      <c r="AH2140" s="0" t="n">
        <v>1</v>
      </c>
    </row>
    <row r="2141" customFormat="false" ht="15" hidden="false" customHeight="false" outlineLevel="0" collapsed="false">
      <c r="A2141" s="0" t="s">
        <v>3177</v>
      </c>
      <c r="B2141" s="0" t="s">
        <v>134</v>
      </c>
      <c r="C2141" s="0" t="s">
        <v>3447</v>
      </c>
      <c r="D2141" s="0" t="s">
        <v>3448</v>
      </c>
      <c r="E2141" s="18" t="s">
        <v>24</v>
      </c>
      <c r="F2141" s="18" t="s">
        <v>28</v>
      </c>
      <c r="H2141" s="21" t="s">
        <v>24</v>
      </c>
      <c r="I2141" s="21" t="s">
        <v>24</v>
      </c>
      <c r="J2141" s="21" t="s">
        <v>24</v>
      </c>
      <c r="K2141" s="21" t="s">
        <v>24</v>
      </c>
      <c r="L2141" s="21" t="s">
        <v>24</v>
      </c>
      <c r="M2141" s="0" t="n">
        <v>184</v>
      </c>
      <c r="N2141" s="0" t="n">
        <v>0</v>
      </c>
      <c r="Q2141" s="0" t="n">
        <v>0</v>
      </c>
      <c r="S2141" s="0" t="n">
        <v>0</v>
      </c>
      <c r="U2141" s="22" t="b">
        <f aca="false">FALSE()</f>
        <v>0</v>
      </c>
      <c r="V2141" s="0" t="n">
        <v>0.8</v>
      </c>
      <c r="W2141" s="0" t="n">
        <v>0.32</v>
      </c>
      <c r="X2141" s="0" t="n">
        <v>7.09</v>
      </c>
      <c r="Y2141" s="0" t="n">
        <v>405.38</v>
      </c>
      <c r="Z2141" s="0" t="n">
        <v>10</v>
      </c>
      <c r="AA2141" s="0" t="n">
        <v>0.12</v>
      </c>
      <c r="AB2141" s="0" t="n">
        <v>6.22</v>
      </c>
      <c r="AC2141" s="22" t="b">
        <f aca="false">FALSE()</f>
        <v>0</v>
      </c>
      <c r="AD2141" s="0" t="n">
        <v>15.19</v>
      </c>
      <c r="AE2141" s="0" t="n">
        <v>10.14</v>
      </c>
      <c r="AF2141" s="0" t="n">
        <v>17.51</v>
      </c>
      <c r="AG2141" s="22" t="b">
        <f aca="false">TRUE()</f>
        <v>1</v>
      </c>
      <c r="AH2141" s="0" t="n">
        <v>1</v>
      </c>
    </row>
    <row r="2142" customFormat="false" ht="15" hidden="false" customHeight="false" outlineLevel="0" collapsed="false">
      <c r="A2142" s="0" t="s">
        <v>3182</v>
      </c>
      <c r="B2142" s="0" t="s">
        <v>134</v>
      </c>
      <c r="C2142" s="0" t="s">
        <v>3450</v>
      </c>
      <c r="D2142" s="0" t="s">
        <v>3457</v>
      </c>
      <c r="E2142" s="20" t="s">
        <v>25</v>
      </c>
      <c r="F2142" s="23" t="s">
        <v>30</v>
      </c>
      <c r="G2142" s="21" t="s">
        <v>283</v>
      </c>
      <c r="H2142" s="21" t="s">
        <v>24</v>
      </c>
      <c r="I2142" s="21" t="s">
        <v>25</v>
      </c>
      <c r="J2142" s="21" t="s">
        <v>24</v>
      </c>
      <c r="K2142" s="21" t="s">
        <v>24</v>
      </c>
      <c r="L2142" s="21" t="s">
        <v>24</v>
      </c>
      <c r="M2142" s="0" t="n">
        <v>184</v>
      </c>
      <c r="N2142" s="0" t="n">
        <v>5</v>
      </c>
      <c r="O2142" s="21" t="s">
        <v>3808</v>
      </c>
      <c r="P2142" s="21" t="s">
        <v>4335</v>
      </c>
      <c r="Q2142" s="0" t="n">
        <v>1</v>
      </c>
      <c r="R2142" s="21" t="s">
        <v>69</v>
      </c>
      <c r="S2142" s="0" t="n">
        <v>5</v>
      </c>
      <c r="T2142" s="21" t="s">
        <v>3808</v>
      </c>
      <c r="U2142" s="22" t="b">
        <f aca="false">TRUE()</f>
        <v>1</v>
      </c>
      <c r="V2142" s="0" t="n">
        <v>0.69</v>
      </c>
      <c r="W2142" s="0" t="n">
        <v>0</v>
      </c>
      <c r="X2142" s="0" t="n">
        <v>4.73</v>
      </c>
      <c r="Y2142" s="0" t="n">
        <v>674.87</v>
      </c>
      <c r="Z2142" s="0" t="n">
        <v>10.92</v>
      </c>
      <c r="AA2142" s="0" t="n">
        <v>5.23</v>
      </c>
      <c r="AB2142" s="0" t="n">
        <v>1.63</v>
      </c>
      <c r="AC2142" s="22" t="b">
        <f aca="false">FALSE()</f>
        <v>0</v>
      </c>
      <c r="AD2142" s="0" t="n">
        <v>18.68</v>
      </c>
      <c r="AE2142" s="0" t="n">
        <v>0.63</v>
      </c>
      <c r="AF2142" s="0" t="n">
        <v>9.18</v>
      </c>
      <c r="AG2142" s="22" t="b">
        <f aca="false">TRUE()</f>
        <v>1</v>
      </c>
      <c r="AH2142" s="0" t="n">
        <v>1</v>
      </c>
    </row>
    <row r="2143" customFormat="false" ht="15" hidden="false" customHeight="false" outlineLevel="0" collapsed="false">
      <c r="A2143" s="0" t="s">
        <v>3182</v>
      </c>
      <c r="B2143" s="0" t="s">
        <v>134</v>
      </c>
      <c r="C2143" s="0" t="s">
        <v>3450</v>
      </c>
      <c r="D2143" s="0" t="s">
        <v>3448</v>
      </c>
      <c r="E2143" s="20" t="s">
        <v>25</v>
      </c>
      <c r="F2143" s="23" t="s">
        <v>30</v>
      </c>
      <c r="G2143" s="21" t="s">
        <v>283</v>
      </c>
      <c r="H2143" s="21" t="s">
        <v>24</v>
      </c>
      <c r="I2143" s="21" t="s">
        <v>25</v>
      </c>
      <c r="J2143" s="21" t="s">
        <v>24</v>
      </c>
      <c r="K2143" s="21" t="s">
        <v>24</v>
      </c>
      <c r="L2143" s="21" t="s">
        <v>24</v>
      </c>
      <c r="M2143" s="0" t="n">
        <v>183</v>
      </c>
      <c r="N2143" s="0" t="n">
        <v>3</v>
      </c>
      <c r="O2143" s="21" t="s">
        <v>3649</v>
      </c>
      <c r="P2143" s="21" t="s">
        <v>4242</v>
      </c>
      <c r="Q2143" s="0" t="n">
        <v>1</v>
      </c>
      <c r="R2143" s="21" t="s">
        <v>69</v>
      </c>
      <c r="S2143" s="0" t="n">
        <v>3</v>
      </c>
      <c r="T2143" s="21" t="s">
        <v>3649</v>
      </c>
      <c r="U2143" s="22" t="b">
        <f aca="false">TRUE()</f>
        <v>1</v>
      </c>
      <c r="V2143" s="0" t="n">
        <v>0.71</v>
      </c>
      <c r="W2143" s="0" t="n">
        <v>0.32</v>
      </c>
      <c r="X2143" s="0" t="n">
        <v>4.59</v>
      </c>
      <c r="Y2143" s="0" t="n">
        <v>404.14</v>
      </c>
      <c r="Z2143" s="0" t="n">
        <v>10</v>
      </c>
      <c r="AA2143" s="0" t="n">
        <v>5.89</v>
      </c>
      <c r="AB2143" s="0" t="n">
        <v>1.9</v>
      </c>
      <c r="AC2143" s="22" t="b">
        <f aca="false">FALSE()</f>
        <v>0</v>
      </c>
      <c r="AD2143" s="0" t="n">
        <v>12.96</v>
      </c>
      <c r="AE2143" s="0" t="n">
        <v>0.29</v>
      </c>
      <c r="AF2143" s="0" t="n">
        <v>12.6</v>
      </c>
      <c r="AG2143" s="22" t="b">
        <f aca="false">TRUE()</f>
        <v>1</v>
      </c>
      <c r="AH2143" s="0" t="n">
        <v>1</v>
      </c>
    </row>
    <row r="2144" customFormat="false" ht="15" hidden="false" customHeight="false" outlineLevel="0" collapsed="false">
      <c r="A2144" s="0" t="s">
        <v>3182</v>
      </c>
      <c r="B2144" s="0" t="s">
        <v>134</v>
      </c>
      <c r="C2144" s="0" t="s">
        <v>3447</v>
      </c>
      <c r="D2144" s="0" t="s">
        <v>3457</v>
      </c>
      <c r="E2144" s="18" t="s">
        <v>24</v>
      </c>
      <c r="F2144" s="23" t="s">
        <v>30</v>
      </c>
      <c r="G2144" s="21" t="s">
        <v>30</v>
      </c>
      <c r="H2144" s="21" t="s">
        <v>24</v>
      </c>
      <c r="I2144" s="21" t="s">
        <v>24</v>
      </c>
      <c r="J2144" s="21" t="s">
        <v>24</v>
      </c>
      <c r="K2144" s="21" t="s">
        <v>24</v>
      </c>
      <c r="L2144" s="21" t="s">
        <v>24</v>
      </c>
      <c r="M2144" s="0" t="n">
        <v>186</v>
      </c>
      <c r="N2144" s="0" t="n">
        <v>1</v>
      </c>
      <c r="O2144" s="21" t="s">
        <v>3486</v>
      </c>
      <c r="P2144" s="21" t="s">
        <v>4554</v>
      </c>
      <c r="Q2144" s="0" t="n">
        <v>0</v>
      </c>
      <c r="S2144" s="0" t="n">
        <v>1</v>
      </c>
      <c r="T2144" s="21" t="s">
        <v>3486</v>
      </c>
      <c r="U2144" s="22" t="b">
        <f aca="false">TRUE()</f>
        <v>1</v>
      </c>
      <c r="V2144" s="0" t="n">
        <v>0.74</v>
      </c>
      <c r="W2144" s="0" t="n">
        <v>0.48</v>
      </c>
      <c r="X2144" s="0" t="n">
        <v>5.02</v>
      </c>
      <c r="Y2144" s="0" t="n">
        <v>328.13</v>
      </c>
      <c r="Z2144" s="0" t="n">
        <v>8</v>
      </c>
      <c r="AA2144" s="0" t="n">
        <v>-1.39</v>
      </c>
      <c r="AB2144" s="0" t="n">
        <v>1.63</v>
      </c>
      <c r="AC2144" s="22" t="b">
        <f aca="false">FALSE()</f>
        <v>0</v>
      </c>
      <c r="AD2144" s="0" t="n">
        <v>18.54</v>
      </c>
      <c r="AE2144" s="0" t="n">
        <v>0.68</v>
      </c>
      <c r="AF2144" s="0" t="n">
        <v>9.77</v>
      </c>
      <c r="AG2144" s="22" t="b">
        <f aca="false">TRUE()</f>
        <v>1</v>
      </c>
      <c r="AH2144" s="0" t="n">
        <v>1</v>
      </c>
    </row>
    <row r="2145" customFormat="false" ht="15" hidden="false" customHeight="false" outlineLevel="0" collapsed="false">
      <c r="A2145" s="0" t="s">
        <v>3182</v>
      </c>
      <c r="B2145" s="0" t="s">
        <v>134</v>
      </c>
      <c r="C2145" s="0" t="s">
        <v>3447</v>
      </c>
      <c r="D2145" s="0" t="s">
        <v>3448</v>
      </c>
      <c r="E2145" s="18" t="s">
        <v>24</v>
      </c>
      <c r="F2145" s="23" t="s">
        <v>30</v>
      </c>
      <c r="G2145" s="21" t="s">
        <v>30</v>
      </c>
      <c r="H2145" s="21" t="s">
        <v>24</v>
      </c>
      <c r="I2145" s="21" t="s">
        <v>24</v>
      </c>
      <c r="J2145" s="21" t="s">
        <v>24</v>
      </c>
      <c r="K2145" s="21" t="s">
        <v>24</v>
      </c>
      <c r="L2145" s="21" t="s">
        <v>24</v>
      </c>
      <c r="M2145" s="0" t="n">
        <v>184</v>
      </c>
      <c r="N2145" s="0" t="n">
        <v>6</v>
      </c>
      <c r="O2145" s="21" t="s">
        <v>3746</v>
      </c>
      <c r="P2145" s="21" t="s">
        <v>4927</v>
      </c>
      <c r="Q2145" s="0" t="n">
        <v>0</v>
      </c>
      <c r="S2145" s="0" t="n">
        <v>6</v>
      </c>
      <c r="T2145" s="21" t="s">
        <v>3746</v>
      </c>
      <c r="U2145" s="22" t="b">
        <f aca="false">TRUE()</f>
        <v>1</v>
      </c>
      <c r="V2145" s="0" t="n">
        <v>0.8</v>
      </c>
      <c r="W2145" s="0" t="n">
        <v>0.12</v>
      </c>
      <c r="X2145" s="0" t="n">
        <v>5.67</v>
      </c>
      <c r="Y2145" s="0" t="n">
        <v>630.05</v>
      </c>
      <c r="Z2145" s="0" t="n">
        <v>8</v>
      </c>
      <c r="AA2145" s="0" t="n">
        <v>-0.47</v>
      </c>
      <c r="AB2145" s="0" t="n">
        <v>1.9</v>
      </c>
      <c r="AC2145" s="22" t="b">
        <f aca="false">FALSE()</f>
        <v>0</v>
      </c>
      <c r="AD2145" s="0" t="n">
        <v>12.49</v>
      </c>
      <c r="AE2145" s="0" t="n">
        <v>0.74</v>
      </c>
      <c r="AF2145" s="0" t="n">
        <v>12.94</v>
      </c>
      <c r="AG2145" s="22" t="b">
        <f aca="false">TRUE()</f>
        <v>1</v>
      </c>
      <c r="AH2145" s="0" t="n">
        <v>1</v>
      </c>
    </row>
    <row r="2146" customFormat="false" ht="15" hidden="false" customHeight="false" outlineLevel="0" collapsed="false">
      <c r="A2146" s="0" t="s">
        <v>3188</v>
      </c>
      <c r="B2146" s="0" t="s">
        <v>134</v>
      </c>
      <c r="C2146" s="0" t="s">
        <v>3450</v>
      </c>
      <c r="D2146" s="0" t="s">
        <v>3457</v>
      </c>
      <c r="E2146" s="20" t="s">
        <v>25</v>
      </c>
      <c r="F2146" s="20" t="s">
        <v>29</v>
      </c>
      <c r="G2146" s="21" t="s">
        <v>64</v>
      </c>
      <c r="H2146" s="21" t="s">
        <v>24</v>
      </c>
      <c r="I2146" s="21" t="s">
        <v>24</v>
      </c>
      <c r="J2146" s="21" t="s">
        <v>24</v>
      </c>
      <c r="K2146" s="21" t="s">
        <v>25</v>
      </c>
      <c r="L2146" s="21" t="s">
        <v>24</v>
      </c>
      <c r="M2146" s="0" t="n">
        <v>183</v>
      </c>
      <c r="N2146" s="0" t="n">
        <v>0</v>
      </c>
      <c r="Q2146" s="0" t="n">
        <v>0</v>
      </c>
      <c r="S2146" s="0" t="n">
        <v>0</v>
      </c>
      <c r="U2146" s="22" t="b">
        <f aca="false">FALSE()</f>
        <v>0</v>
      </c>
      <c r="V2146" s="0" t="n">
        <v>0.73</v>
      </c>
      <c r="W2146" s="0" t="n">
        <v>0.4</v>
      </c>
      <c r="X2146" s="0" t="n">
        <v>5.51</v>
      </c>
      <c r="Y2146" s="0" t="n">
        <v>352.41</v>
      </c>
      <c r="Z2146" s="0" t="n">
        <v>9.75</v>
      </c>
      <c r="AA2146" s="0" t="n">
        <v>7.6</v>
      </c>
      <c r="AB2146" s="0" t="n">
        <v>0.18</v>
      </c>
      <c r="AC2146" s="22" t="b">
        <f aca="false">FALSE()</f>
        <v>0</v>
      </c>
      <c r="AD2146" s="0" t="n">
        <v>11.46</v>
      </c>
      <c r="AE2146" s="0" t="n">
        <v>0.61</v>
      </c>
      <c r="AF2146" s="0" t="n">
        <v>4.96</v>
      </c>
      <c r="AG2146" s="22" t="b">
        <f aca="false">TRUE()</f>
        <v>1</v>
      </c>
      <c r="AH2146" s="0" t="n">
        <v>1</v>
      </c>
    </row>
    <row r="2147" customFormat="false" ht="15" hidden="false" customHeight="false" outlineLevel="0" collapsed="false">
      <c r="A2147" s="0" t="s">
        <v>3188</v>
      </c>
      <c r="B2147" s="0" t="s">
        <v>134</v>
      </c>
      <c r="C2147" s="0" t="s">
        <v>3450</v>
      </c>
      <c r="D2147" s="0" t="s">
        <v>3448</v>
      </c>
      <c r="E2147" s="18" t="s">
        <v>24</v>
      </c>
      <c r="F2147" s="23" t="s">
        <v>30</v>
      </c>
      <c r="G2147" s="21" t="s">
        <v>30</v>
      </c>
      <c r="H2147" s="21" t="s">
        <v>24</v>
      </c>
      <c r="I2147" s="21" t="s">
        <v>24</v>
      </c>
      <c r="J2147" s="21" t="s">
        <v>24</v>
      </c>
      <c r="K2147" s="21" t="s">
        <v>24</v>
      </c>
      <c r="L2147" s="21" t="s">
        <v>24</v>
      </c>
      <c r="M2147" s="0" t="n">
        <v>184</v>
      </c>
      <c r="N2147" s="0" t="n">
        <v>1</v>
      </c>
      <c r="O2147" s="21" t="s">
        <v>3476</v>
      </c>
      <c r="P2147" s="21" t="s">
        <v>4228</v>
      </c>
      <c r="Q2147" s="0" t="n">
        <v>0</v>
      </c>
      <c r="S2147" s="0" t="n">
        <v>1</v>
      </c>
      <c r="T2147" s="21" t="s">
        <v>3476</v>
      </c>
      <c r="U2147" s="22" t="b">
        <f aca="false">TRUE()</f>
        <v>1</v>
      </c>
      <c r="V2147" s="0" t="n">
        <v>0.74</v>
      </c>
      <c r="W2147" s="0" t="n">
        <v>0.56</v>
      </c>
      <c r="X2147" s="0" t="n">
        <v>5.91</v>
      </c>
      <c r="Y2147" s="0" t="n">
        <v>325.6</v>
      </c>
      <c r="Z2147" s="0" t="n">
        <v>10</v>
      </c>
      <c r="AA2147" s="0" t="n">
        <v>3.39</v>
      </c>
      <c r="AB2147" s="0" t="n">
        <v>1.68</v>
      </c>
      <c r="AC2147" s="22" t="b">
        <f aca="false">FALSE()</f>
        <v>0</v>
      </c>
      <c r="AD2147" s="0" t="n">
        <v>8.65</v>
      </c>
      <c r="AE2147" s="0" t="n">
        <v>0.27</v>
      </c>
      <c r="AF2147" s="0" t="n">
        <v>11.08</v>
      </c>
      <c r="AG2147" s="22" t="b">
        <f aca="false">FALSE()</f>
        <v>0</v>
      </c>
      <c r="AH2147" s="0" t="n">
        <v>1</v>
      </c>
    </row>
    <row r="2148" customFormat="false" ht="15" hidden="false" customHeight="false" outlineLevel="0" collapsed="false">
      <c r="A2148" s="0" t="s">
        <v>3188</v>
      </c>
      <c r="B2148" s="0" t="s">
        <v>134</v>
      </c>
      <c r="C2148" s="0" t="s">
        <v>3447</v>
      </c>
      <c r="D2148" s="0" t="s">
        <v>3457</v>
      </c>
      <c r="E2148" s="20" t="s">
        <v>25</v>
      </c>
      <c r="F2148" s="23" t="s">
        <v>30</v>
      </c>
      <c r="G2148" s="21" t="s">
        <v>1152</v>
      </c>
      <c r="H2148" s="21" t="s">
        <v>24</v>
      </c>
      <c r="I2148" s="21" t="s">
        <v>25</v>
      </c>
      <c r="J2148" s="21" t="s">
        <v>24</v>
      </c>
      <c r="K2148" s="21" t="s">
        <v>25</v>
      </c>
      <c r="L2148" s="21" t="s">
        <v>24</v>
      </c>
      <c r="M2148" s="0" t="n">
        <v>186</v>
      </c>
      <c r="N2148" s="0" t="n">
        <v>4</v>
      </c>
      <c r="O2148" s="21" t="s">
        <v>3734</v>
      </c>
      <c r="P2148" s="21" t="s">
        <v>4327</v>
      </c>
      <c r="Q2148" s="0" t="n">
        <v>1</v>
      </c>
      <c r="R2148" s="21" t="s">
        <v>69</v>
      </c>
      <c r="S2148" s="0" t="n">
        <v>4</v>
      </c>
      <c r="T2148" s="21" t="s">
        <v>3734</v>
      </c>
      <c r="U2148" s="22" t="b">
        <f aca="false">TRUE()</f>
        <v>1</v>
      </c>
      <c r="V2148" s="0" t="n">
        <v>0.74</v>
      </c>
      <c r="W2148" s="0" t="n">
        <v>0.92</v>
      </c>
      <c r="X2148" s="0" t="n">
        <v>5.94</v>
      </c>
      <c r="Y2148" s="0" t="n">
        <v>321.8</v>
      </c>
      <c r="Z2148" s="0" t="n">
        <v>8</v>
      </c>
      <c r="AA2148" s="0" t="n">
        <v>-1.02</v>
      </c>
      <c r="AB2148" s="0" t="n">
        <v>0.18</v>
      </c>
      <c r="AC2148" s="22" t="b">
        <f aca="false">FALSE()</f>
        <v>0</v>
      </c>
      <c r="AD2148" s="0" t="n">
        <v>3.97</v>
      </c>
      <c r="AE2148" s="0" t="n">
        <v>0.17</v>
      </c>
      <c r="AF2148" s="0" t="n">
        <v>1.82</v>
      </c>
      <c r="AG2148" s="22" t="b">
        <f aca="false">FALSE()</f>
        <v>0</v>
      </c>
      <c r="AH2148" s="0" t="n">
        <v>1</v>
      </c>
    </row>
    <row r="2149" customFormat="false" ht="15" hidden="false" customHeight="false" outlineLevel="0" collapsed="false">
      <c r="A2149" s="0" t="s">
        <v>3188</v>
      </c>
      <c r="B2149" s="0" t="s">
        <v>134</v>
      </c>
      <c r="C2149" s="0" t="s">
        <v>3447</v>
      </c>
      <c r="D2149" s="0" t="s">
        <v>3448</v>
      </c>
      <c r="E2149" s="20" t="s">
        <v>25</v>
      </c>
      <c r="F2149" s="23" t="s">
        <v>30</v>
      </c>
      <c r="G2149" s="21" t="s">
        <v>283</v>
      </c>
      <c r="H2149" s="21" t="s">
        <v>24</v>
      </c>
      <c r="I2149" s="21" t="s">
        <v>25</v>
      </c>
      <c r="J2149" s="21" t="s">
        <v>24</v>
      </c>
      <c r="K2149" s="21" t="s">
        <v>24</v>
      </c>
      <c r="L2149" s="21" t="s">
        <v>24</v>
      </c>
      <c r="M2149" s="0" t="n">
        <v>183</v>
      </c>
      <c r="N2149" s="0" t="n">
        <v>2</v>
      </c>
      <c r="O2149" s="21" t="s">
        <v>3626</v>
      </c>
      <c r="P2149" s="21" t="s">
        <v>4539</v>
      </c>
      <c r="Q2149" s="0" t="n">
        <v>1</v>
      </c>
      <c r="R2149" s="21" t="s">
        <v>69</v>
      </c>
      <c r="S2149" s="0" t="n">
        <v>2</v>
      </c>
      <c r="T2149" s="21" t="s">
        <v>3626</v>
      </c>
      <c r="U2149" s="22" t="b">
        <f aca="false">TRUE()</f>
        <v>1</v>
      </c>
      <c r="V2149" s="0" t="n">
        <v>0.74</v>
      </c>
      <c r="W2149" s="0" t="n">
        <v>0.16</v>
      </c>
      <c r="X2149" s="0" t="n">
        <v>6.41</v>
      </c>
      <c r="Y2149" s="0" t="n">
        <v>557.32</v>
      </c>
      <c r="Z2149" s="0" t="n">
        <v>9.5</v>
      </c>
      <c r="AA2149" s="0" t="n">
        <v>10.85</v>
      </c>
      <c r="AB2149" s="0" t="n">
        <v>1.68</v>
      </c>
      <c r="AC2149" s="22" t="b">
        <f aca="false">FALSE()</f>
        <v>0</v>
      </c>
      <c r="AD2149" s="0" t="n">
        <v>13.64</v>
      </c>
      <c r="AE2149" s="0" t="n">
        <v>0.04</v>
      </c>
      <c r="AF2149" s="0" t="n">
        <v>11.06</v>
      </c>
      <c r="AG2149" s="22" t="b">
        <f aca="false">TRUE()</f>
        <v>1</v>
      </c>
      <c r="AH2149" s="0" t="n">
        <v>1</v>
      </c>
    </row>
    <row r="2150" customFormat="false" ht="15" hidden="false" customHeight="false" outlineLevel="0" collapsed="false">
      <c r="A2150" s="0" t="s">
        <v>3202</v>
      </c>
      <c r="B2150" s="0" t="s">
        <v>134</v>
      </c>
      <c r="C2150" s="0" t="s">
        <v>3450</v>
      </c>
      <c r="D2150" s="0" t="s">
        <v>3457</v>
      </c>
      <c r="E2150" s="20" t="s">
        <v>25</v>
      </c>
      <c r="F2150" s="23" t="s">
        <v>30</v>
      </c>
      <c r="G2150" s="21" t="s">
        <v>2328</v>
      </c>
      <c r="H2150" s="21" t="s">
        <v>24</v>
      </c>
      <c r="I2150" s="21" t="s">
        <v>24</v>
      </c>
      <c r="J2150" s="21" t="s">
        <v>24</v>
      </c>
      <c r="K2150" s="21" t="s">
        <v>25</v>
      </c>
      <c r="L2150" s="21" t="s">
        <v>24</v>
      </c>
      <c r="M2150" s="0" t="n">
        <v>226</v>
      </c>
      <c r="N2150" s="0" t="n">
        <v>1</v>
      </c>
      <c r="O2150" s="21" t="s">
        <v>3489</v>
      </c>
      <c r="P2150" s="21" t="s">
        <v>4928</v>
      </c>
      <c r="Q2150" s="0" t="n">
        <v>0</v>
      </c>
      <c r="S2150" s="0" t="n">
        <v>1</v>
      </c>
      <c r="T2150" s="21" t="s">
        <v>3489</v>
      </c>
      <c r="U2150" s="22" t="b">
        <f aca="false">TRUE()</f>
        <v>1</v>
      </c>
      <c r="V2150" s="0" t="n">
        <v>0.75</v>
      </c>
      <c r="W2150" s="0" t="n">
        <v>0.2</v>
      </c>
      <c r="X2150" s="0" t="n">
        <v>7.21</v>
      </c>
      <c r="Y2150" s="0" t="n">
        <v>622.65</v>
      </c>
      <c r="Z2150" s="0" t="n">
        <v>11.92</v>
      </c>
      <c r="AA2150" s="0" t="n">
        <v>1.79</v>
      </c>
      <c r="AB2150" s="0" t="n">
        <v>0.3</v>
      </c>
      <c r="AC2150" s="22" t="b">
        <f aca="false">TRUE()</f>
        <v>1</v>
      </c>
      <c r="AD2150" s="0" t="n">
        <v>19.38</v>
      </c>
      <c r="AE2150" s="0" t="n">
        <v>3.21</v>
      </c>
      <c r="AF2150" s="0" t="n">
        <v>17.59</v>
      </c>
      <c r="AG2150" s="22" t="b">
        <f aca="false">TRUE()</f>
        <v>1</v>
      </c>
      <c r="AH2150" s="0" t="n">
        <v>1</v>
      </c>
    </row>
    <row r="2151" customFormat="false" ht="15" hidden="false" customHeight="false" outlineLevel="0" collapsed="false">
      <c r="A2151" s="0" t="s">
        <v>3202</v>
      </c>
      <c r="B2151" s="0" t="s">
        <v>134</v>
      </c>
      <c r="C2151" s="0" t="s">
        <v>3450</v>
      </c>
      <c r="D2151" s="0" t="s">
        <v>3448</v>
      </c>
      <c r="E2151" s="20" t="s">
        <v>25</v>
      </c>
      <c r="F2151" s="20" t="s">
        <v>29</v>
      </c>
      <c r="G2151" s="21" t="s">
        <v>62</v>
      </c>
      <c r="H2151" s="21" t="s">
        <v>24</v>
      </c>
      <c r="I2151" s="21" t="s">
        <v>24</v>
      </c>
      <c r="J2151" s="21" t="s">
        <v>24</v>
      </c>
      <c r="K2151" s="21" t="s">
        <v>25</v>
      </c>
      <c r="L2151" s="21" t="s">
        <v>24</v>
      </c>
      <c r="M2151" s="0" t="n">
        <v>184</v>
      </c>
      <c r="N2151" s="0" t="n">
        <v>0</v>
      </c>
      <c r="Q2151" s="0" t="n">
        <v>0</v>
      </c>
      <c r="S2151" s="0" t="n">
        <v>0</v>
      </c>
      <c r="U2151" s="22" t="b">
        <f aca="false">FALSE()</f>
        <v>0</v>
      </c>
      <c r="V2151" s="0" t="n">
        <v>0.76</v>
      </c>
      <c r="W2151" s="0" t="n">
        <v>0.6</v>
      </c>
      <c r="X2151" s="0" t="n">
        <v>6.87</v>
      </c>
      <c r="Y2151" s="0" t="n">
        <v>323.69</v>
      </c>
      <c r="Z2151" s="0" t="n">
        <v>8</v>
      </c>
      <c r="AA2151" s="0" t="n">
        <v>-1.21</v>
      </c>
      <c r="AB2151" s="0" t="n">
        <v>7.71</v>
      </c>
      <c r="AC2151" s="22" t="b">
        <f aca="false">FALSE()</f>
        <v>0</v>
      </c>
      <c r="AD2151" s="0" t="n">
        <v>5.93</v>
      </c>
      <c r="AE2151" s="0" t="n">
        <v>0.41</v>
      </c>
      <c r="AF2151" s="0" t="n">
        <v>8.07</v>
      </c>
      <c r="AG2151" s="22" t="b">
        <f aca="false">FALSE()</f>
        <v>0</v>
      </c>
      <c r="AH2151" s="0" t="n">
        <v>1</v>
      </c>
    </row>
    <row r="2152" customFormat="false" ht="15" hidden="false" customHeight="false" outlineLevel="0" collapsed="false">
      <c r="A2152" s="0" t="s">
        <v>3202</v>
      </c>
      <c r="B2152" s="0" t="s">
        <v>134</v>
      </c>
      <c r="C2152" s="0" t="s">
        <v>3447</v>
      </c>
      <c r="D2152" s="0" t="s">
        <v>3457</v>
      </c>
      <c r="E2152" s="20" t="s">
        <v>25</v>
      </c>
      <c r="F2152" s="23" t="s">
        <v>30</v>
      </c>
      <c r="G2152" s="21" t="s">
        <v>2610</v>
      </c>
      <c r="H2152" s="21" t="s">
        <v>24</v>
      </c>
      <c r="I2152" s="21" t="s">
        <v>24</v>
      </c>
      <c r="J2152" s="21" t="s">
        <v>24</v>
      </c>
      <c r="K2152" s="21" t="s">
        <v>25</v>
      </c>
      <c r="L2152" s="21" t="s">
        <v>24</v>
      </c>
      <c r="M2152" s="0" t="n">
        <v>186</v>
      </c>
      <c r="N2152" s="0" t="n">
        <v>5</v>
      </c>
      <c r="O2152" s="21" t="s">
        <v>3709</v>
      </c>
      <c r="P2152" s="21" t="s">
        <v>4929</v>
      </c>
      <c r="Q2152" s="0" t="n">
        <v>0</v>
      </c>
      <c r="S2152" s="0" t="n">
        <v>5</v>
      </c>
      <c r="T2152" s="21" t="s">
        <v>3709</v>
      </c>
      <c r="U2152" s="22" t="b">
        <f aca="false">TRUE()</f>
        <v>1</v>
      </c>
      <c r="V2152" s="0" t="n">
        <v>0.78</v>
      </c>
      <c r="W2152" s="0" t="n">
        <v>0.64</v>
      </c>
      <c r="X2152" s="0" t="n">
        <v>7.85</v>
      </c>
      <c r="Y2152" s="0" t="n">
        <v>323.68</v>
      </c>
      <c r="Z2152" s="0" t="n">
        <v>8</v>
      </c>
      <c r="AA2152" s="0" t="n">
        <v>-0.87</v>
      </c>
      <c r="AB2152" s="0" t="n">
        <v>0.3</v>
      </c>
      <c r="AC2152" s="22" t="b">
        <f aca="false">FALSE()</f>
        <v>0</v>
      </c>
      <c r="AD2152" s="0" t="n">
        <v>14.88</v>
      </c>
      <c r="AE2152" s="0" t="n">
        <v>1.94</v>
      </c>
      <c r="AF2152" s="0" t="n">
        <v>15.09</v>
      </c>
      <c r="AG2152" s="22" t="b">
        <f aca="false">TRUE()</f>
        <v>1</v>
      </c>
      <c r="AH2152" s="0" t="n">
        <v>1</v>
      </c>
    </row>
    <row r="2153" customFormat="false" ht="15" hidden="false" customHeight="false" outlineLevel="0" collapsed="false">
      <c r="A2153" s="0" t="s">
        <v>3202</v>
      </c>
      <c r="B2153" s="0" t="s">
        <v>134</v>
      </c>
      <c r="C2153" s="0" t="s">
        <v>3447</v>
      </c>
      <c r="D2153" s="0" t="s">
        <v>3448</v>
      </c>
      <c r="E2153" s="18" t="s">
        <v>24</v>
      </c>
      <c r="F2153" s="23" t="s">
        <v>30</v>
      </c>
      <c r="G2153" s="21" t="s">
        <v>30</v>
      </c>
      <c r="H2153" s="21" t="s">
        <v>24</v>
      </c>
      <c r="I2153" s="21" t="s">
        <v>24</v>
      </c>
      <c r="J2153" s="21" t="s">
        <v>24</v>
      </c>
      <c r="K2153" s="21" t="s">
        <v>24</v>
      </c>
      <c r="L2153" s="21" t="s">
        <v>24</v>
      </c>
      <c r="M2153" s="0" t="n">
        <v>183</v>
      </c>
      <c r="N2153" s="0" t="n">
        <v>3</v>
      </c>
      <c r="O2153" s="21" t="s">
        <v>3547</v>
      </c>
      <c r="P2153" s="21" t="s">
        <v>4390</v>
      </c>
      <c r="Q2153" s="0" t="n">
        <v>0</v>
      </c>
      <c r="S2153" s="0" t="n">
        <v>3</v>
      </c>
      <c r="T2153" s="21" t="s">
        <v>3547</v>
      </c>
      <c r="U2153" s="22" t="b">
        <f aca="false">TRUE()</f>
        <v>1</v>
      </c>
      <c r="V2153" s="0" t="n">
        <v>0.79</v>
      </c>
      <c r="W2153" s="0" t="n">
        <v>0.44</v>
      </c>
      <c r="X2153" s="0" t="n">
        <v>8.85</v>
      </c>
      <c r="Y2153" s="0" t="n">
        <v>343.97</v>
      </c>
      <c r="Z2153" s="0" t="n">
        <v>10</v>
      </c>
      <c r="AA2153" s="0" t="n">
        <v>0.33</v>
      </c>
      <c r="AB2153" s="0" t="n">
        <v>7.71</v>
      </c>
      <c r="AC2153" s="22" t="b">
        <f aca="false">FALSE()</f>
        <v>0</v>
      </c>
      <c r="AD2153" s="0" t="n">
        <v>11.55</v>
      </c>
      <c r="AE2153" s="0" t="n">
        <v>0.64</v>
      </c>
      <c r="AF2153" s="0" t="n">
        <v>9.93</v>
      </c>
      <c r="AG2153" s="22" t="b">
        <f aca="false">TRUE()</f>
        <v>1</v>
      </c>
      <c r="AH2153" s="0" t="n">
        <v>1</v>
      </c>
    </row>
    <row r="2154" customFormat="false" ht="15" hidden="false" customHeight="false" outlineLevel="0" collapsed="false">
      <c r="A2154" s="0" t="s">
        <v>3202</v>
      </c>
      <c r="B2154" s="0" t="s">
        <v>3459</v>
      </c>
      <c r="C2154" s="0" t="s">
        <v>3450</v>
      </c>
      <c r="D2154" s="0" t="s">
        <v>3457</v>
      </c>
      <c r="E2154" s="19" t="s">
        <v>26</v>
      </c>
      <c r="F2154" s="19" t="s">
        <v>32</v>
      </c>
      <c r="G2154" s="21" t="s">
        <v>1076</v>
      </c>
      <c r="H2154" s="21" t="s">
        <v>24</v>
      </c>
      <c r="I2154" s="21" t="s">
        <v>26</v>
      </c>
      <c r="J2154" s="21" t="s">
        <v>24</v>
      </c>
      <c r="K2154" s="21" t="s">
        <v>25</v>
      </c>
      <c r="L2154" s="21" t="s">
        <v>24</v>
      </c>
      <c r="M2154" s="0" t="n">
        <v>183</v>
      </c>
      <c r="N2154" s="0" t="n">
        <v>8</v>
      </c>
      <c r="O2154" s="21" t="s">
        <v>4070</v>
      </c>
      <c r="P2154" s="21" t="s">
        <v>4781</v>
      </c>
      <c r="Q2154" s="0" t="n">
        <v>1</v>
      </c>
      <c r="R2154" s="21" t="s">
        <v>69</v>
      </c>
      <c r="S2154" s="0" t="n">
        <v>8</v>
      </c>
      <c r="T2154" s="21" t="s">
        <v>4070</v>
      </c>
      <c r="U2154" s="22" t="b">
        <f aca="false">FALSE()</f>
        <v>0</v>
      </c>
      <c r="V2154" s="0" t="n">
        <v>0.75</v>
      </c>
      <c r="W2154" s="0" t="n">
        <v>0.28</v>
      </c>
      <c r="X2154" s="0" t="n">
        <v>7.93</v>
      </c>
      <c r="Y2154" s="0" t="n">
        <v>413.3</v>
      </c>
      <c r="Z2154" s="0" t="n">
        <v>11.42</v>
      </c>
      <c r="AA2154" s="0" t="n">
        <v>1.2</v>
      </c>
      <c r="AB2154" s="0" t="n">
        <v>1.73</v>
      </c>
      <c r="AC2154" s="22" t="b">
        <f aca="false">FALSE()</f>
        <v>0</v>
      </c>
      <c r="AD2154" s="0" t="n">
        <v>11.56</v>
      </c>
      <c r="AE2154" s="0" t="n">
        <v>0.77</v>
      </c>
      <c r="AF2154" s="0" t="n">
        <v>13.9</v>
      </c>
      <c r="AG2154" s="22" t="b">
        <f aca="false">TRUE()</f>
        <v>1</v>
      </c>
      <c r="AH2154" s="0" t="n">
        <v>1</v>
      </c>
    </row>
    <row r="2155" customFormat="false" ht="15" hidden="false" customHeight="false" outlineLevel="0" collapsed="false">
      <c r="A2155" s="0" t="s">
        <v>3202</v>
      </c>
      <c r="B2155" s="0" t="s">
        <v>3459</v>
      </c>
      <c r="C2155" s="0" t="s">
        <v>3450</v>
      </c>
      <c r="D2155" s="0" t="s">
        <v>3448</v>
      </c>
      <c r="E2155" s="20" t="s">
        <v>25</v>
      </c>
      <c r="F2155" s="23" t="s">
        <v>30</v>
      </c>
      <c r="G2155" s="21" t="s">
        <v>1230</v>
      </c>
      <c r="H2155" s="21" t="s">
        <v>24</v>
      </c>
      <c r="I2155" s="21" t="s">
        <v>25</v>
      </c>
      <c r="J2155" s="21" t="s">
        <v>24</v>
      </c>
      <c r="K2155" s="21" t="s">
        <v>25</v>
      </c>
      <c r="L2155" s="21" t="s">
        <v>24</v>
      </c>
      <c r="M2155" s="0" t="n">
        <v>184</v>
      </c>
      <c r="N2155" s="0" t="n">
        <v>3</v>
      </c>
      <c r="O2155" s="21" t="s">
        <v>3649</v>
      </c>
      <c r="P2155" s="21" t="s">
        <v>4242</v>
      </c>
      <c r="Q2155" s="0" t="n">
        <v>1</v>
      </c>
      <c r="R2155" s="21" t="s">
        <v>69</v>
      </c>
      <c r="S2155" s="0" t="n">
        <v>3</v>
      </c>
      <c r="T2155" s="21" t="s">
        <v>3649</v>
      </c>
      <c r="U2155" s="22" t="b">
        <f aca="false">TRUE()</f>
        <v>1</v>
      </c>
      <c r="V2155" s="0" t="n">
        <v>0.75</v>
      </c>
      <c r="W2155" s="0" t="n">
        <v>0.88</v>
      </c>
      <c r="X2155" s="0" t="n">
        <v>8.5</v>
      </c>
      <c r="Y2155" s="0" t="n">
        <v>242.92</v>
      </c>
      <c r="Z2155" s="0" t="n">
        <v>11.5</v>
      </c>
      <c r="AA2155" s="0" t="n">
        <v>1.39</v>
      </c>
      <c r="AB2155" s="0" t="n">
        <v>2.23</v>
      </c>
      <c r="AC2155" s="22" t="b">
        <f aca="false">FALSE()</f>
        <v>0</v>
      </c>
      <c r="AD2155" s="0" t="n">
        <v>11.09</v>
      </c>
      <c r="AE2155" s="0" t="n">
        <v>0.32</v>
      </c>
      <c r="AF2155" s="0" t="n">
        <v>13.7</v>
      </c>
      <c r="AG2155" s="22" t="b">
        <f aca="false">TRUE()</f>
        <v>1</v>
      </c>
      <c r="AH2155" s="0" t="n">
        <v>1</v>
      </c>
    </row>
    <row r="2156" customFormat="false" ht="15" hidden="false" customHeight="false" outlineLevel="0" collapsed="false">
      <c r="A2156" s="0" t="s">
        <v>3202</v>
      </c>
      <c r="B2156" s="0" t="s">
        <v>3459</v>
      </c>
      <c r="C2156" s="0" t="s">
        <v>3447</v>
      </c>
      <c r="D2156" s="0" t="s">
        <v>3457</v>
      </c>
      <c r="E2156" s="18" t="s">
        <v>24</v>
      </c>
      <c r="F2156" s="23" t="s">
        <v>30</v>
      </c>
      <c r="G2156" s="21" t="s">
        <v>30</v>
      </c>
      <c r="H2156" s="21" t="s">
        <v>24</v>
      </c>
      <c r="I2156" s="21" t="s">
        <v>24</v>
      </c>
      <c r="J2156" s="21" t="s">
        <v>24</v>
      </c>
      <c r="K2156" s="21" t="s">
        <v>24</v>
      </c>
      <c r="L2156" s="21" t="s">
        <v>24</v>
      </c>
      <c r="M2156" s="0" t="n">
        <v>183</v>
      </c>
      <c r="N2156" s="0" t="n">
        <v>4</v>
      </c>
      <c r="O2156" s="21" t="s">
        <v>3621</v>
      </c>
      <c r="P2156" s="21" t="s">
        <v>4381</v>
      </c>
      <c r="Q2156" s="0" t="n">
        <v>0</v>
      </c>
      <c r="S2156" s="0" t="n">
        <v>4</v>
      </c>
      <c r="T2156" s="21" t="s">
        <v>3621</v>
      </c>
      <c r="U2156" s="22" t="b">
        <f aca="false">TRUE()</f>
        <v>1</v>
      </c>
      <c r="V2156" s="0" t="n">
        <v>0.79</v>
      </c>
      <c r="W2156" s="0" t="n">
        <v>0.48</v>
      </c>
      <c r="X2156" s="0" t="n">
        <v>7.7</v>
      </c>
      <c r="Y2156" s="0" t="n">
        <v>328.83</v>
      </c>
      <c r="Z2156" s="0" t="n">
        <v>8</v>
      </c>
      <c r="AA2156" s="0" t="n">
        <v>-0.6</v>
      </c>
      <c r="AB2156" s="0" t="n">
        <v>1.73</v>
      </c>
      <c r="AC2156" s="22" t="b">
        <f aca="false">FALSE()</f>
        <v>0</v>
      </c>
      <c r="AD2156" s="0" t="n">
        <v>11.72</v>
      </c>
      <c r="AE2156" s="0" t="n">
        <v>0.95</v>
      </c>
      <c r="AF2156" s="0" t="n">
        <v>14.05</v>
      </c>
      <c r="AG2156" s="22" t="b">
        <f aca="false">TRUE()</f>
        <v>1</v>
      </c>
      <c r="AH2156" s="0" t="n">
        <v>1</v>
      </c>
    </row>
    <row r="2157" customFormat="false" ht="15" hidden="false" customHeight="false" outlineLevel="0" collapsed="false">
      <c r="A2157" s="0" t="s">
        <v>3202</v>
      </c>
      <c r="B2157" s="0" t="s">
        <v>3459</v>
      </c>
      <c r="C2157" s="0" t="s">
        <v>3447</v>
      </c>
      <c r="D2157" s="0" t="s">
        <v>3448</v>
      </c>
      <c r="E2157" s="18" t="s">
        <v>24</v>
      </c>
      <c r="F2157" s="23" t="s">
        <v>30</v>
      </c>
      <c r="G2157" s="21" t="s">
        <v>30</v>
      </c>
      <c r="H2157" s="21" t="s">
        <v>24</v>
      </c>
      <c r="I2157" s="21" t="s">
        <v>24</v>
      </c>
      <c r="J2157" s="21" t="s">
        <v>24</v>
      </c>
      <c r="K2157" s="21" t="s">
        <v>24</v>
      </c>
      <c r="L2157" s="21" t="s">
        <v>24</v>
      </c>
      <c r="M2157" s="0" t="n">
        <v>183</v>
      </c>
      <c r="N2157" s="0" t="n">
        <v>2</v>
      </c>
      <c r="O2157" s="21" t="s">
        <v>3508</v>
      </c>
      <c r="P2157" s="21" t="s">
        <v>4280</v>
      </c>
      <c r="Q2157" s="0" t="n">
        <v>0</v>
      </c>
      <c r="S2157" s="0" t="n">
        <v>2</v>
      </c>
      <c r="T2157" s="21" t="s">
        <v>3508</v>
      </c>
      <c r="U2157" s="22" t="b">
        <f aca="false">TRUE()</f>
        <v>1</v>
      </c>
      <c r="V2157" s="0" t="n">
        <v>0.82</v>
      </c>
      <c r="W2157" s="0" t="n">
        <v>0.52</v>
      </c>
      <c r="X2157" s="0" t="n">
        <v>8.12</v>
      </c>
      <c r="Y2157" s="0" t="n">
        <v>201.09</v>
      </c>
      <c r="Z2157" s="0" t="n">
        <v>10.33</v>
      </c>
      <c r="AA2157" s="0" t="n">
        <v>-0.57</v>
      </c>
      <c r="AB2157" s="0" t="n">
        <v>2.23</v>
      </c>
      <c r="AC2157" s="22" t="b">
        <f aca="false">FALSE()</f>
        <v>0</v>
      </c>
      <c r="AD2157" s="0" t="n">
        <v>11.26</v>
      </c>
      <c r="AE2157" s="0" t="n">
        <v>1.17</v>
      </c>
      <c r="AF2157" s="0" t="n">
        <v>14.49</v>
      </c>
      <c r="AG2157" s="22" t="b">
        <f aca="false">TRUE()</f>
        <v>1</v>
      </c>
      <c r="AH2157" s="0" t="n">
        <v>1</v>
      </c>
    </row>
    <row r="2158" customFormat="false" ht="15" hidden="false" customHeight="false" outlineLevel="0" collapsed="false">
      <c r="A2158" s="0" t="s">
        <v>3211</v>
      </c>
      <c r="B2158" s="0" t="s">
        <v>134</v>
      </c>
      <c r="C2158" s="0" t="s">
        <v>3450</v>
      </c>
      <c r="D2158" s="0" t="s">
        <v>3457</v>
      </c>
      <c r="E2158" s="20" t="s">
        <v>25</v>
      </c>
      <c r="F2158" s="23" t="s">
        <v>30</v>
      </c>
      <c r="G2158" s="21" t="s">
        <v>1099</v>
      </c>
      <c r="H2158" s="21" t="s">
        <v>24</v>
      </c>
      <c r="I2158" s="21" t="s">
        <v>25</v>
      </c>
      <c r="J2158" s="21" t="s">
        <v>24</v>
      </c>
      <c r="K2158" s="21" t="s">
        <v>25</v>
      </c>
      <c r="L2158" s="21" t="s">
        <v>24</v>
      </c>
      <c r="M2158" s="0" t="n">
        <v>183</v>
      </c>
      <c r="N2158" s="0" t="n">
        <v>5</v>
      </c>
      <c r="O2158" s="21" t="s">
        <v>3808</v>
      </c>
      <c r="P2158" s="21" t="s">
        <v>4335</v>
      </c>
      <c r="Q2158" s="0" t="n">
        <v>1</v>
      </c>
      <c r="R2158" s="21" t="s">
        <v>69</v>
      </c>
      <c r="S2158" s="0" t="n">
        <v>5</v>
      </c>
      <c r="T2158" s="21" t="s">
        <v>3808</v>
      </c>
      <c r="U2158" s="22" t="b">
        <f aca="false">TRUE()</f>
        <v>1</v>
      </c>
      <c r="V2158" s="0" t="n">
        <v>0.74</v>
      </c>
      <c r="W2158" s="0" t="n">
        <v>0.28</v>
      </c>
      <c r="X2158" s="0" t="n">
        <v>7.69</v>
      </c>
      <c r="Y2158" s="0" t="n">
        <v>380.73</v>
      </c>
      <c r="Z2158" s="0" t="n">
        <v>8.75</v>
      </c>
      <c r="AA2158" s="0" t="n">
        <v>4.39</v>
      </c>
      <c r="AB2158" s="0" t="n">
        <v>1.32</v>
      </c>
      <c r="AC2158" s="22" t="b">
        <f aca="false">FALSE()</f>
        <v>0</v>
      </c>
      <c r="AD2158" s="0" t="n">
        <v>15.35</v>
      </c>
      <c r="AE2158" s="0" t="n">
        <v>0.82</v>
      </c>
      <c r="AF2158" s="0" t="n">
        <v>2.01</v>
      </c>
      <c r="AG2158" s="22" t="b">
        <f aca="false">TRUE()</f>
        <v>1</v>
      </c>
      <c r="AH2158" s="0" t="n">
        <v>1</v>
      </c>
    </row>
    <row r="2159" customFormat="false" ht="15" hidden="false" customHeight="false" outlineLevel="0" collapsed="false">
      <c r="A2159" s="0" t="s">
        <v>3211</v>
      </c>
      <c r="B2159" s="0" t="s">
        <v>134</v>
      </c>
      <c r="C2159" s="0" t="s">
        <v>3450</v>
      </c>
      <c r="D2159" s="0" t="s">
        <v>3448</v>
      </c>
      <c r="E2159" s="19" t="s">
        <v>26</v>
      </c>
      <c r="F2159" s="19" t="s">
        <v>32</v>
      </c>
      <c r="G2159" s="21" t="s">
        <v>1451</v>
      </c>
      <c r="H2159" s="21" t="s">
        <v>24</v>
      </c>
      <c r="I2159" s="21" t="s">
        <v>26</v>
      </c>
      <c r="J2159" s="21" t="s">
        <v>24</v>
      </c>
      <c r="K2159" s="21" t="s">
        <v>25</v>
      </c>
      <c r="L2159" s="21" t="s">
        <v>24</v>
      </c>
      <c r="M2159" s="0" t="n">
        <v>199</v>
      </c>
      <c r="N2159" s="0" t="n">
        <v>7</v>
      </c>
      <c r="O2159" s="21" t="s">
        <v>4039</v>
      </c>
      <c r="P2159" s="21" t="s">
        <v>4930</v>
      </c>
      <c r="Q2159" s="0" t="n">
        <v>1</v>
      </c>
      <c r="R2159" s="21" t="s">
        <v>69</v>
      </c>
      <c r="S2159" s="0" t="n">
        <v>7</v>
      </c>
      <c r="T2159" s="21" t="s">
        <v>4039</v>
      </c>
      <c r="U2159" s="22" t="b">
        <f aca="false">FALSE()</f>
        <v>0</v>
      </c>
      <c r="V2159" s="0" t="n">
        <v>0.71</v>
      </c>
      <c r="W2159" s="0" t="n">
        <v>0.88</v>
      </c>
      <c r="X2159" s="0" t="n">
        <v>8.75</v>
      </c>
      <c r="Y2159" s="0" t="n">
        <v>344.43</v>
      </c>
      <c r="Z2159" s="0" t="n">
        <v>8.75</v>
      </c>
      <c r="AA2159" s="0" t="n">
        <v>5.85</v>
      </c>
      <c r="AB2159" s="0" t="n">
        <v>1.2</v>
      </c>
      <c r="AC2159" s="22" t="b">
        <f aca="false">FALSE()</f>
        <v>0</v>
      </c>
      <c r="AD2159" s="0" t="n">
        <v>14.02</v>
      </c>
      <c r="AE2159" s="0" t="n">
        <v>1.12</v>
      </c>
      <c r="AF2159" s="0" t="n">
        <v>3.6</v>
      </c>
      <c r="AG2159" s="22" t="b">
        <f aca="false">TRUE()</f>
        <v>1</v>
      </c>
      <c r="AH2159" s="0" t="n">
        <v>1</v>
      </c>
    </row>
    <row r="2160" customFormat="false" ht="15" hidden="false" customHeight="false" outlineLevel="0" collapsed="false">
      <c r="A2160" s="0" t="s">
        <v>3211</v>
      </c>
      <c r="B2160" s="0" t="s">
        <v>134</v>
      </c>
      <c r="C2160" s="0" t="s">
        <v>3447</v>
      </c>
      <c r="D2160" s="0" t="s">
        <v>3457</v>
      </c>
      <c r="E2160" s="19" t="s">
        <v>26</v>
      </c>
      <c r="F2160" s="19" t="s">
        <v>32</v>
      </c>
      <c r="G2160" s="21" t="s">
        <v>3885</v>
      </c>
      <c r="H2160" s="21" t="s">
        <v>24</v>
      </c>
      <c r="I2160" s="21" t="s">
        <v>26</v>
      </c>
      <c r="J2160" s="21" t="s">
        <v>24</v>
      </c>
      <c r="K2160" s="21" t="s">
        <v>25</v>
      </c>
      <c r="L2160" s="21" t="s">
        <v>24</v>
      </c>
      <c r="M2160" s="0" t="n">
        <v>183</v>
      </c>
      <c r="N2160" s="0" t="n">
        <v>11</v>
      </c>
      <c r="O2160" s="21" t="s">
        <v>3949</v>
      </c>
      <c r="P2160" s="21" t="s">
        <v>4931</v>
      </c>
      <c r="Q2160" s="0" t="n">
        <v>0</v>
      </c>
      <c r="S2160" s="0" t="n">
        <v>11</v>
      </c>
      <c r="T2160" s="21" t="s">
        <v>3949</v>
      </c>
      <c r="U2160" s="22" t="b">
        <f aca="false">FALSE()</f>
        <v>0</v>
      </c>
      <c r="V2160" s="0" t="n">
        <v>0.76</v>
      </c>
      <c r="W2160" s="0" t="n">
        <v>0.28</v>
      </c>
      <c r="X2160" s="0" t="n">
        <v>8.94</v>
      </c>
      <c r="Y2160" s="0" t="n">
        <v>390.85</v>
      </c>
      <c r="Z2160" s="0" t="n">
        <v>8.75</v>
      </c>
      <c r="AA2160" s="0" t="n">
        <v>4.13</v>
      </c>
      <c r="AB2160" s="0" t="n">
        <v>1.32</v>
      </c>
      <c r="AC2160" s="22" t="b">
        <f aca="false">FALSE()</f>
        <v>0</v>
      </c>
      <c r="AD2160" s="0" t="n">
        <v>14.92</v>
      </c>
      <c r="AE2160" s="0" t="n">
        <v>1.01</v>
      </c>
      <c r="AF2160" s="0" t="n">
        <v>3.33</v>
      </c>
      <c r="AG2160" s="22" t="b">
        <f aca="false">TRUE()</f>
        <v>1</v>
      </c>
      <c r="AH2160" s="0" t="n">
        <v>1</v>
      </c>
    </row>
    <row r="2161" customFormat="false" ht="15" hidden="false" customHeight="false" outlineLevel="0" collapsed="false">
      <c r="A2161" s="0" t="s">
        <v>3211</v>
      </c>
      <c r="B2161" s="0" t="s">
        <v>134</v>
      </c>
      <c r="C2161" s="0" t="s">
        <v>3447</v>
      </c>
      <c r="D2161" s="0" t="s">
        <v>3448</v>
      </c>
      <c r="E2161" s="19" t="s">
        <v>26</v>
      </c>
      <c r="F2161" s="19" t="s">
        <v>32</v>
      </c>
      <c r="G2161" s="21" t="s">
        <v>3885</v>
      </c>
      <c r="H2161" s="21" t="s">
        <v>24</v>
      </c>
      <c r="I2161" s="21" t="s">
        <v>26</v>
      </c>
      <c r="J2161" s="21" t="s">
        <v>24</v>
      </c>
      <c r="K2161" s="21" t="s">
        <v>25</v>
      </c>
      <c r="L2161" s="21" t="s">
        <v>24</v>
      </c>
      <c r="M2161" s="0" t="n">
        <v>189</v>
      </c>
      <c r="N2161" s="0" t="n">
        <v>11</v>
      </c>
      <c r="O2161" s="21" t="s">
        <v>3949</v>
      </c>
      <c r="P2161" s="21" t="s">
        <v>4931</v>
      </c>
      <c r="Q2161" s="0" t="n">
        <v>0</v>
      </c>
      <c r="S2161" s="0" t="n">
        <v>11</v>
      </c>
      <c r="T2161" s="21" t="s">
        <v>3949</v>
      </c>
      <c r="U2161" s="22" t="b">
        <f aca="false">FALSE()</f>
        <v>0</v>
      </c>
      <c r="V2161" s="0" t="n">
        <v>0.73</v>
      </c>
      <c r="W2161" s="0" t="n">
        <v>0.96</v>
      </c>
      <c r="X2161" s="0" t="n">
        <v>10.25</v>
      </c>
      <c r="Y2161" s="0" t="n">
        <v>325.4</v>
      </c>
      <c r="Z2161" s="0" t="n">
        <v>8.25</v>
      </c>
      <c r="AA2161" s="0" t="n">
        <v>5.33</v>
      </c>
      <c r="AB2161" s="0" t="n">
        <v>1.2</v>
      </c>
      <c r="AC2161" s="22" t="b">
        <f aca="false">FALSE()</f>
        <v>0</v>
      </c>
      <c r="AD2161" s="0" t="n">
        <v>15.06</v>
      </c>
      <c r="AE2161" s="0" t="n">
        <v>1.27</v>
      </c>
      <c r="AF2161" s="0" t="n">
        <v>3.84</v>
      </c>
      <c r="AG2161" s="22" t="b">
        <f aca="false">TRUE()</f>
        <v>1</v>
      </c>
      <c r="AH2161" s="0" t="n">
        <v>1</v>
      </c>
    </row>
    <row r="2162" customFormat="false" ht="15" hidden="false" customHeight="false" outlineLevel="0" collapsed="false">
      <c r="A2162" s="0" t="s">
        <v>3216</v>
      </c>
      <c r="B2162" s="0" t="s">
        <v>134</v>
      </c>
      <c r="C2162" s="0" t="s">
        <v>3450</v>
      </c>
      <c r="D2162" s="0" t="s">
        <v>3457</v>
      </c>
      <c r="E2162" s="20" t="s">
        <v>25</v>
      </c>
      <c r="F2162" s="23" t="s">
        <v>30</v>
      </c>
      <c r="G2162" s="21" t="s">
        <v>1230</v>
      </c>
      <c r="H2162" s="21" t="s">
        <v>24</v>
      </c>
      <c r="I2162" s="21" t="s">
        <v>25</v>
      </c>
      <c r="J2162" s="21" t="s">
        <v>24</v>
      </c>
      <c r="K2162" s="21" t="s">
        <v>25</v>
      </c>
      <c r="L2162" s="21" t="s">
        <v>24</v>
      </c>
      <c r="M2162" s="0" t="n">
        <v>184</v>
      </c>
      <c r="N2162" s="0" t="n">
        <v>2</v>
      </c>
      <c r="O2162" s="21" t="s">
        <v>3601</v>
      </c>
      <c r="P2162" s="21" t="s">
        <v>4932</v>
      </c>
      <c r="Q2162" s="0" t="n">
        <v>1</v>
      </c>
      <c r="R2162" s="21" t="s">
        <v>69</v>
      </c>
      <c r="S2162" s="0" t="n">
        <v>2</v>
      </c>
      <c r="T2162" s="21" t="s">
        <v>3601</v>
      </c>
      <c r="U2162" s="22" t="b">
        <f aca="false">TRUE()</f>
        <v>1</v>
      </c>
      <c r="V2162" s="0" t="n">
        <v>0.73</v>
      </c>
      <c r="W2162" s="0" t="n">
        <v>0.8</v>
      </c>
      <c r="X2162" s="0" t="n">
        <v>6.45</v>
      </c>
      <c r="Y2162" s="0" t="n">
        <v>319.81</v>
      </c>
      <c r="Z2162" s="0" t="n">
        <v>8</v>
      </c>
      <c r="AA2162" s="0" t="n">
        <v>-1.43</v>
      </c>
      <c r="AB2162" s="0" t="n">
        <v>4.89</v>
      </c>
      <c r="AC2162" s="22" t="b">
        <f aca="false">FALSE()</f>
        <v>0</v>
      </c>
      <c r="AD2162" s="0" t="n">
        <v>10.83</v>
      </c>
      <c r="AE2162" s="0" t="n">
        <v>0.76</v>
      </c>
      <c r="AF2162" s="0" t="n">
        <v>1.93</v>
      </c>
      <c r="AG2162" s="22" t="b">
        <f aca="false">TRUE()</f>
        <v>1</v>
      </c>
      <c r="AH2162" s="0" t="n">
        <v>1</v>
      </c>
    </row>
    <row r="2163" customFormat="false" ht="15" hidden="false" customHeight="false" outlineLevel="0" collapsed="false">
      <c r="A2163" s="0" t="s">
        <v>3216</v>
      </c>
      <c r="B2163" s="0" t="s">
        <v>134</v>
      </c>
      <c r="C2163" s="0" t="s">
        <v>3450</v>
      </c>
      <c r="D2163" s="0" t="s">
        <v>3448</v>
      </c>
      <c r="E2163" s="20" t="s">
        <v>25</v>
      </c>
      <c r="F2163" s="23" t="s">
        <v>30</v>
      </c>
      <c r="G2163" s="21" t="s">
        <v>294</v>
      </c>
      <c r="H2163" s="21" t="s">
        <v>24</v>
      </c>
      <c r="I2163" s="21" t="s">
        <v>25</v>
      </c>
      <c r="J2163" s="21" t="s">
        <v>24</v>
      </c>
      <c r="K2163" s="21" t="s">
        <v>25</v>
      </c>
      <c r="L2163" s="21" t="s">
        <v>24</v>
      </c>
      <c r="M2163" s="0" t="n">
        <v>183</v>
      </c>
      <c r="N2163" s="0" t="n">
        <v>2</v>
      </c>
      <c r="O2163" s="21" t="s">
        <v>3601</v>
      </c>
      <c r="P2163" s="21" t="s">
        <v>4847</v>
      </c>
      <c r="Q2163" s="0" t="n">
        <v>1</v>
      </c>
      <c r="R2163" s="21" t="s">
        <v>69</v>
      </c>
      <c r="S2163" s="0" t="n">
        <v>1</v>
      </c>
      <c r="T2163" s="21" t="s">
        <v>69</v>
      </c>
      <c r="U2163" s="22" t="b">
        <f aca="false">TRUE()</f>
        <v>1</v>
      </c>
      <c r="V2163" s="0" t="n">
        <v>0.75</v>
      </c>
      <c r="W2163" s="0" t="n">
        <v>0</v>
      </c>
      <c r="X2163" s="0" t="n">
        <v>6.83</v>
      </c>
      <c r="Y2163" s="0" t="n">
        <v>687.93</v>
      </c>
      <c r="Z2163" s="0" t="n">
        <v>9.33</v>
      </c>
      <c r="AA2163" s="0" t="n">
        <v>-0.83</v>
      </c>
      <c r="AB2163" s="0" t="n">
        <v>0.08</v>
      </c>
      <c r="AC2163" s="22" t="b">
        <f aca="false">TRUE()</f>
        <v>1</v>
      </c>
      <c r="AD2163" s="0" t="n">
        <v>21.62</v>
      </c>
      <c r="AE2163" s="0" t="n">
        <v>10.41</v>
      </c>
      <c r="AF2163" s="0" t="n">
        <v>17.88</v>
      </c>
      <c r="AG2163" s="22" t="b">
        <f aca="false">TRUE()</f>
        <v>1</v>
      </c>
      <c r="AH2163" s="0" t="n">
        <v>1</v>
      </c>
    </row>
    <row r="2164" customFormat="false" ht="15" hidden="false" customHeight="false" outlineLevel="0" collapsed="false">
      <c r="A2164" s="0" t="s">
        <v>3216</v>
      </c>
      <c r="B2164" s="0" t="s">
        <v>134</v>
      </c>
      <c r="C2164" s="0" t="s">
        <v>3447</v>
      </c>
      <c r="D2164" s="0" t="s">
        <v>3457</v>
      </c>
      <c r="E2164" s="20" t="s">
        <v>25</v>
      </c>
      <c r="F2164" s="23" t="s">
        <v>30</v>
      </c>
      <c r="G2164" s="21" t="s">
        <v>283</v>
      </c>
      <c r="H2164" s="21" t="s">
        <v>24</v>
      </c>
      <c r="I2164" s="21" t="s">
        <v>25</v>
      </c>
      <c r="J2164" s="21" t="s">
        <v>24</v>
      </c>
      <c r="K2164" s="21" t="s">
        <v>24</v>
      </c>
      <c r="L2164" s="21" t="s">
        <v>24</v>
      </c>
      <c r="M2164" s="0" t="n">
        <v>207</v>
      </c>
      <c r="N2164" s="0" t="n">
        <v>2</v>
      </c>
      <c r="O2164" s="21" t="s">
        <v>3601</v>
      </c>
      <c r="P2164" s="21" t="s">
        <v>4847</v>
      </c>
      <c r="Q2164" s="0" t="n">
        <v>1</v>
      </c>
      <c r="R2164" s="21" t="s">
        <v>69</v>
      </c>
      <c r="S2164" s="0" t="n">
        <v>1</v>
      </c>
      <c r="T2164" s="21" t="s">
        <v>69</v>
      </c>
      <c r="U2164" s="22" t="b">
        <f aca="false">TRUE()</f>
        <v>1</v>
      </c>
      <c r="V2164" s="0" t="n">
        <v>0.74</v>
      </c>
      <c r="W2164" s="0" t="n">
        <v>0.72</v>
      </c>
      <c r="X2164" s="0" t="n">
        <v>6.53</v>
      </c>
      <c r="Y2164" s="0" t="n">
        <v>362</v>
      </c>
      <c r="Z2164" s="0" t="n">
        <v>8</v>
      </c>
      <c r="AA2164" s="0" t="n">
        <v>-1.39</v>
      </c>
      <c r="AB2164" s="0" t="n">
        <v>4.89</v>
      </c>
      <c r="AC2164" s="22" t="b">
        <f aca="false">FALSE()</f>
        <v>0</v>
      </c>
      <c r="AD2164" s="0" t="n">
        <v>14.84</v>
      </c>
      <c r="AE2164" s="0" t="n">
        <v>1.05</v>
      </c>
      <c r="AF2164" s="0" t="n">
        <v>3.38</v>
      </c>
      <c r="AG2164" s="22" t="b">
        <f aca="false">TRUE()</f>
        <v>1</v>
      </c>
      <c r="AH2164" s="0" t="n">
        <v>1</v>
      </c>
    </row>
    <row r="2165" customFormat="false" ht="15" hidden="false" customHeight="false" outlineLevel="0" collapsed="false">
      <c r="A2165" s="0" t="s">
        <v>3216</v>
      </c>
      <c r="B2165" s="0" t="s">
        <v>134</v>
      </c>
      <c r="C2165" s="0" t="s">
        <v>3447</v>
      </c>
      <c r="D2165" s="0" t="s">
        <v>3448</v>
      </c>
      <c r="E2165" s="20" t="s">
        <v>25</v>
      </c>
      <c r="F2165" s="23" t="s">
        <v>30</v>
      </c>
      <c r="G2165" s="21" t="s">
        <v>1152</v>
      </c>
      <c r="H2165" s="21" t="s">
        <v>24</v>
      </c>
      <c r="I2165" s="21" t="s">
        <v>25</v>
      </c>
      <c r="J2165" s="21" t="s">
        <v>24</v>
      </c>
      <c r="K2165" s="21" t="s">
        <v>25</v>
      </c>
      <c r="L2165" s="21" t="s">
        <v>24</v>
      </c>
      <c r="M2165" s="0" t="n">
        <v>186</v>
      </c>
      <c r="N2165" s="0" t="n">
        <v>2</v>
      </c>
      <c r="O2165" s="21" t="s">
        <v>3601</v>
      </c>
      <c r="P2165" s="21" t="s">
        <v>4847</v>
      </c>
      <c r="Q2165" s="0" t="n">
        <v>1</v>
      </c>
      <c r="R2165" s="21" t="s">
        <v>69</v>
      </c>
      <c r="S2165" s="0" t="n">
        <v>1</v>
      </c>
      <c r="T2165" s="21" t="s">
        <v>69</v>
      </c>
      <c r="U2165" s="22" t="b">
        <f aca="false">TRUE()</f>
        <v>1</v>
      </c>
      <c r="V2165" s="0" t="n">
        <v>0.73</v>
      </c>
      <c r="W2165" s="0" t="n">
        <v>0.76</v>
      </c>
      <c r="X2165" s="0" t="n">
        <v>7.64</v>
      </c>
      <c r="Y2165" s="0" t="n">
        <v>324.66</v>
      </c>
      <c r="Z2165" s="0" t="n">
        <v>8</v>
      </c>
      <c r="AA2165" s="0" t="n">
        <v>-1.35</v>
      </c>
      <c r="AB2165" s="0" t="n">
        <v>0.08</v>
      </c>
      <c r="AC2165" s="22" t="b">
        <f aca="false">FALSE()</f>
        <v>0</v>
      </c>
      <c r="AD2165" s="0" t="n">
        <v>15.63</v>
      </c>
      <c r="AE2165" s="0" t="n">
        <v>6.93</v>
      </c>
      <c r="AF2165" s="0" t="n">
        <v>15.43</v>
      </c>
      <c r="AG2165" s="22" t="b">
        <f aca="false">TRUE()</f>
        <v>1</v>
      </c>
      <c r="AH2165" s="0" t="n">
        <v>1</v>
      </c>
    </row>
    <row r="2166" customFormat="false" ht="15" hidden="false" customHeight="false" outlineLevel="0" collapsed="false">
      <c r="A2166" s="0" t="s">
        <v>3216</v>
      </c>
      <c r="B2166" s="0" t="s">
        <v>3459</v>
      </c>
      <c r="C2166" s="0" t="s">
        <v>3450</v>
      </c>
      <c r="D2166" s="0" t="s">
        <v>3457</v>
      </c>
      <c r="E2166" s="20" t="s">
        <v>25</v>
      </c>
      <c r="F2166" s="20" t="s">
        <v>29</v>
      </c>
      <c r="G2166" s="21" t="s">
        <v>3113</v>
      </c>
      <c r="H2166" s="21" t="s">
        <v>24</v>
      </c>
      <c r="I2166" s="21" t="s">
        <v>24</v>
      </c>
      <c r="J2166" s="21" t="s">
        <v>24</v>
      </c>
      <c r="K2166" s="21" t="s">
        <v>25</v>
      </c>
      <c r="L2166" s="21" t="s">
        <v>24</v>
      </c>
      <c r="M2166" s="0" t="n">
        <v>240</v>
      </c>
      <c r="N2166" s="0" t="n">
        <v>0</v>
      </c>
      <c r="Q2166" s="0" t="n">
        <v>0</v>
      </c>
      <c r="S2166" s="0" t="n">
        <v>0</v>
      </c>
      <c r="U2166" s="22" t="b">
        <f aca="false">FALSE()</f>
        <v>0</v>
      </c>
      <c r="V2166" s="0" t="n">
        <v>0.76</v>
      </c>
      <c r="W2166" s="0" t="n">
        <v>0.68</v>
      </c>
      <c r="X2166" s="0" t="n">
        <v>8.89</v>
      </c>
      <c r="Y2166" s="0" t="n">
        <v>411.95</v>
      </c>
      <c r="Z2166" s="0" t="n">
        <v>8</v>
      </c>
      <c r="AA2166" s="0" t="n">
        <v>-1.58</v>
      </c>
      <c r="AB2166" s="0" t="n">
        <v>3.57</v>
      </c>
      <c r="AC2166" s="22" t="b">
        <f aca="false">FALSE()</f>
        <v>0</v>
      </c>
      <c r="AD2166" s="0" t="n">
        <v>21.85</v>
      </c>
      <c r="AE2166" s="0" t="n">
        <v>10.97</v>
      </c>
      <c r="AF2166" s="0" t="n">
        <v>20.75</v>
      </c>
      <c r="AG2166" s="22" t="b">
        <f aca="false">TRUE()</f>
        <v>1</v>
      </c>
      <c r="AH2166" s="0" t="n">
        <v>1</v>
      </c>
    </row>
    <row r="2167" customFormat="false" ht="15" hidden="false" customHeight="false" outlineLevel="0" collapsed="false">
      <c r="A2167" s="0" t="s">
        <v>3216</v>
      </c>
      <c r="B2167" s="0" t="s">
        <v>3459</v>
      </c>
      <c r="C2167" s="0" t="s">
        <v>3450</v>
      </c>
      <c r="D2167" s="0" t="s">
        <v>3448</v>
      </c>
      <c r="E2167" s="20" t="s">
        <v>25</v>
      </c>
      <c r="F2167" s="20" t="s">
        <v>29</v>
      </c>
      <c r="G2167" s="21" t="s">
        <v>3113</v>
      </c>
      <c r="H2167" s="21" t="s">
        <v>24</v>
      </c>
      <c r="I2167" s="21" t="s">
        <v>24</v>
      </c>
      <c r="J2167" s="21" t="s">
        <v>24</v>
      </c>
      <c r="K2167" s="21" t="s">
        <v>25</v>
      </c>
      <c r="L2167" s="21" t="s">
        <v>24</v>
      </c>
      <c r="M2167" s="0" t="n">
        <v>182</v>
      </c>
      <c r="N2167" s="0" t="n">
        <v>0</v>
      </c>
      <c r="Q2167" s="0" t="n">
        <v>0</v>
      </c>
      <c r="S2167" s="0" t="n">
        <v>0</v>
      </c>
      <c r="U2167" s="22" t="b">
        <f aca="false">FALSE()</f>
        <v>0</v>
      </c>
      <c r="V2167" s="0" t="n">
        <v>0.77</v>
      </c>
      <c r="W2167" s="0" t="n">
        <v>0.64</v>
      </c>
      <c r="X2167" s="0" t="n">
        <v>8.74</v>
      </c>
      <c r="Y2167" s="0" t="n">
        <v>315.78</v>
      </c>
      <c r="Z2167" s="0" t="n">
        <v>8</v>
      </c>
      <c r="AA2167" s="0" t="n">
        <v>-0.75</v>
      </c>
      <c r="AB2167" s="0" t="n">
        <v>3.02</v>
      </c>
      <c r="AC2167" s="22" t="b">
        <f aca="false">FALSE()</f>
        <v>0</v>
      </c>
      <c r="AD2167" s="0" t="n">
        <v>20.57</v>
      </c>
      <c r="AE2167" s="0" t="n">
        <v>10.29</v>
      </c>
      <c r="AF2167" s="0" t="n">
        <v>21.07</v>
      </c>
      <c r="AG2167" s="22" t="b">
        <f aca="false">TRUE()</f>
        <v>1</v>
      </c>
      <c r="AH2167" s="0" t="n">
        <v>1</v>
      </c>
    </row>
    <row r="2168" customFormat="false" ht="15" hidden="false" customHeight="false" outlineLevel="0" collapsed="false">
      <c r="A2168" s="0" t="s">
        <v>3216</v>
      </c>
      <c r="B2168" s="0" t="s">
        <v>3459</v>
      </c>
      <c r="C2168" s="0" t="s">
        <v>3447</v>
      </c>
      <c r="D2168" s="0" t="s">
        <v>3457</v>
      </c>
      <c r="E2168" s="20" t="s">
        <v>25</v>
      </c>
      <c r="F2168" s="20" t="s">
        <v>29</v>
      </c>
      <c r="G2168" s="21" t="s">
        <v>61</v>
      </c>
      <c r="H2168" s="21" t="s">
        <v>24</v>
      </c>
      <c r="I2168" s="21" t="s">
        <v>24</v>
      </c>
      <c r="J2168" s="21" t="s">
        <v>24</v>
      </c>
      <c r="K2168" s="21" t="s">
        <v>25</v>
      </c>
      <c r="L2168" s="21" t="s">
        <v>24</v>
      </c>
      <c r="M2168" s="0" t="n">
        <v>185</v>
      </c>
      <c r="N2168" s="0" t="n">
        <v>0</v>
      </c>
      <c r="Q2168" s="0" t="n">
        <v>0</v>
      </c>
      <c r="S2168" s="0" t="n">
        <v>0</v>
      </c>
      <c r="U2168" s="22" t="b">
        <f aca="false">FALSE()</f>
        <v>0</v>
      </c>
      <c r="V2168" s="0" t="n">
        <v>0.76</v>
      </c>
      <c r="W2168" s="0" t="n">
        <v>0.28</v>
      </c>
      <c r="X2168" s="0" t="n">
        <v>9.2</v>
      </c>
      <c r="Y2168" s="0" t="n">
        <v>433.4</v>
      </c>
      <c r="Z2168" s="0" t="n">
        <v>11.5</v>
      </c>
      <c r="AA2168" s="0" t="n">
        <v>-1.14</v>
      </c>
      <c r="AB2168" s="0" t="n">
        <v>3.57</v>
      </c>
      <c r="AC2168" s="22" t="b">
        <f aca="false">FALSE()</f>
        <v>0</v>
      </c>
      <c r="AD2168" s="0" t="n">
        <v>26.38</v>
      </c>
      <c r="AE2168" s="0" t="n">
        <v>14.4</v>
      </c>
      <c r="AF2168" s="0" t="n">
        <v>23.27</v>
      </c>
      <c r="AG2168" s="22" t="b">
        <f aca="false">TRUE()</f>
        <v>1</v>
      </c>
      <c r="AH2168" s="0" t="n">
        <v>1</v>
      </c>
    </row>
    <row r="2169" customFormat="false" ht="15" hidden="false" customHeight="false" outlineLevel="0" collapsed="false">
      <c r="A2169" s="0" t="s">
        <v>3216</v>
      </c>
      <c r="B2169" s="0" t="s">
        <v>3459</v>
      </c>
      <c r="C2169" s="0" t="s">
        <v>3447</v>
      </c>
      <c r="D2169" s="0" t="s">
        <v>3448</v>
      </c>
      <c r="E2169" s="20" t="s">
        <v>25</v>
      </c>
      <c r="F2169" s="20" t="s">
        <v>29</v>
      </c>
      <c r="G2169" s="21" t="s">
        <v>61</v>
      </c>
      <c r="H2169" s="21" t="s">
        <v>24</v>
      </c>
      <c r="I2169" s="21" t="s">
        <v>24</v>
      </c>
      <c r="J2169" s="21" t="s">
        <v>24</v>
      </c>
      <c r="K2169" s="21" t="s">
        <v>25</v>
      </c>
      <c r="L2169" s="21" t="s">
        <v>24</v>
      </c>
      <c r="M2169" s="0" t="n">
        <v>185</v>
      </c>
      <c r="N2169" s="0" t="n">
        <v>0</v>
      </c>
      <c r="Q2169" s="0" t="n">
        <v>0</v>
      </c>
      <c r="S2169" s="0" t="n">
        <v>0</v>
      </c>
      <c r="U2169" s="22" t="b">
        <f aca="false">FALSE()</f>
        <v>0</v>
      </c>
      <c r="V2169" s="0" t="n">
        <v>0.76</v>
      </c>
      <c r="W2169" s="0" t="n">
        <v>0.4</v>
      </c>
      <c r="X2169" s="0" t="n">
        <v>9.44</v>
      </c>
      <c r="Y2169" s="0" t="n">
        <v>360.05</v>
      </c>
      <c r="Z2169" s="0" t="n">
        <v>12</v>
      </c>
      <c r="AA2169" s="0" t="n">
        <v>1.62</v>
      </c>
      <c r="AB2169" s="0" t="n">
        <v>3.02</v>
      </c>
      <c r="AC2169" s="22" t="b">
        <f aca="false">FALSE()</f>
        <v>0</v>
      </c>
      <c r="AD2169" s="0" t="n">
        <v>24.79</v>
      </c>
      <c r="AE2169" s="0" t="n">
        <v>13.42</v>
      </c>
      <c r="AF2169" s="0" t="n">
        <v>23.16</v>
      </c>
      <c r="AG2169" s="22" t="b">
        <f aca="false">TRUE()</f>
        <v>1</v>
      </c>
      <c r="AH2169" s="0" t="n">
        <v>1</v>
      </c>
    </row>
    <row r="2170" customFormat="false" ht="15" hidden="false" customHeight="false" outlineLevel="0" collapsed="false">
      <c r="A2170" s="0" t="s">
        <v>3225</v>
      </c>
      <c r="B2170" s="0" t="s">
        <v>134</v>
      </c>
      <c r="C2170" s="0" t="s">
        <v>3450</v>
      </c>
      <c r="D2170" s="0" t="s">
        <v>3457</v>
      </c>
      <c r="E2170" s="20" t="s">
        <v>25</v>
      </c>
      <c r="F2170" s="23" t="s">
        <v>30</v>
      </c>
      <c r="G2170" s="21" t="s">
        <v>2559</v>
      </c>
      <c r="H2170" s="21" t="s">
        <v>24</v>
      </c>
      <c r="I2170" s="21" t="s">
        <v>24</v>
      </c>
      <c r="J2170" s="21" t="s">
        <v>24</v>
      </c>
      <c r="K2170" s="21" t="s">
        <v>25</v>
      </c>
      <c r="L2170" s="21" t="s">
        <v>24</v>
      </c>
      <c r="M2170" s="0" t="n">
        <v>182</v>
      </c>
      <c r="N2170" s="0" t="n">
        <v>6</v>
      </c>
      <c r="O2170" s="21" t="s">
        <v>3771</v>
      </c>
      <c r="P2170" s="21" t="s">
        <v>4908</v>
      </c>
      <c r="Q2170" s="0" t="n">
        <v>0</v>
      </c>
      <c r="S2170" s="0" t="n">
        <v>6</v>
      </c>
      <c r="T2170" s="21" t="s">
        <v>3771</v>
      </c>
      <c r="U2170" s="22" t="b">
        <f aca="false">TRUE()</f>
        <v>1</v>
      </c>
      <c r="V2170" s="0" t="n">
        <v>0.68</v>
      </c>
      <c r="W2170" s="0" t="n">
        <v>0.44</v>
      </c>
      <c r="X2170" s="0" t="n">
        <v>5.89</v>
      </c>
      <c r="Y2170" s="0" t="n">
        <v>320.06</v>
      </c>
      <c r="Z2170" s="0" t="n">
        <v>10.5</v>
      </c>
      <c r="AA2170" s="0" t="n">
        <v>2.82</v>
      </c>
      <c r="AB2170" s="0" t="n">
        <v>2.6</v>
      </c>
      <c r="AC2170" s="22" t="b">
        <f aca="false">FALSE()</f>
        <v>0</v>
      </c>
      <c r="AD2170" s="0" t="n">
        <v>6.06</v>
      </c>
      <c r="AE2170" s="0" t="n">
        <v>0.65</v>
      </c>
      <c r="AF2170" s="0" t="n">
        <v>9.69</v>
      </c>
      <c r="AG2170" s="22" t="b">
        <f aca="false">FALSE()</f>
        <v>0</v>
      </c>
      <c r="AH2170" s="0" t="n">
        <v>1</v>
      </c>
    </row>
    <row r="2171" customFormat="false" ht="15" hidden="false" customHeight="false" outlineLevel="0" collapsed="false">
      <c r="A2171" s="0" t="s">
        <v>3225</v>
      </c>
      <c r="B2171" s="0" t="s">
        <v>134</v>
      </c>
      <c r="C2171" s="0" t="s">
        <v>3450</v>
      </c>
      <c r="D2171" s="0" t="s">
        <v>3448</v>
      </c>
      <c r="E2171" s="20" t="s">
        <v>25</v>
      </c>
      <c r="F2171" s="23" t="s">
        <v>30</v>
      </c>
      <c r="G2171" s="21" t="s">
        <v>197</v>
      </c>
      <c r="H2171" s="21" t="s">
        <v>24</v>
      </c>
      <c r="I2171" s="21" t="s">
        <v>25</v>
      </c>
      <c r="J2171" s="21" t="s">
        <v>24</v>
      </c>
      <c r="K2171" s="21" t="s">
        <v>25</v>
      </c>
      <c r="L2171" s="21" t="s">
        <v>24</v>
      </c>
      <c r="M2171" s="0" t="n">
        <v>198</v>
      </c>
      <c r="N2171" s="0" t="n">
        <v>3</v>
      </c>
      <c r="O2171" s="21" t="s">
        <v>3649</v>
      </c>
      <c r="P2171" s="21" t="s">
        <v>4242</v>
      </c>
      <c r="Q2171" s="0" t="n">
        <v>1</v>
      </c>
      <c r="R2171" s="21" t="s">
        <v>69</v>
      </c>
      <c r="S2171" s="0" t="n">
        <v>3</v>
      </c>
      <c r="T2171" s="21" t="s">
        <v>3649</v>
      </c>
      <c r="U2171" s="22" t="b">
        <f aca="false">TRUE()</f>
        <v>1</v>
      </c>
      <c r="V2171" s="0" t="n">
        <v>0.7</v>
      </c>
      <c r="W2171" s="0" t="n">
        <v>0.52</v>
      </c>
      <c r="X2171" s="0" t="n">
        <v>5.4</v>
      </c>
      <c r="Y2171" s="0" t="n">
        <v>356.32</v>
      </c>
      <c r="Z2171" s="0" t="n">
        <v>8.17</v>
      </c>
      <c r="AA2171" s="0" t="n">
        <v>-1.31</v>
      </c>
      <c r="AB2171" s="0" t="n">
        <v>0.26</v>
      </c>
      <c r="AC2171" s="22" t="b">
        <f aca="false">TRUE()</f>
        <v>1</v>
      </c>
      <c r="AD2171" s="0" t="n">
        <v>2.6</v>
      </c>
      <c r="AE2171" s="0" t="n">
        <v>0.42</v>
      </c>
      <c r="AF2171" s="0" t="n">
        <v>6.03</v>
      </c>
      <c r="AG2171" s="22" t="b">
        <f aca="false">FALSE()</f>
        <v>0</v>
      </c>
      <c r="AH2171" s="0" t="n">
        <v>1</v>
      </c>
    </row>
    <row r="2172" customFormat="false" ht="15" hidden="false" customHeight="false" outlineLevel="0" collapsed="false">
      <c r="A2172" s="0" t="s">
        <v>3225</v>
      </c>
      <c r="B2172" s="0" t="s">
        <v>134</v>
      </c>
      <c r="C2172" s="0" t="s">
        <v>3447</v>
      </c>
      <c r="D2172" s="0" t="s">
        <v>3457</v>
      </c>
      <c r="E2172" s="20" t="s">
        <v>25</v>
      </c>
      <c r="F2172" s="23" t="s">
        <v>30</v>
      </c>
      <c r="G2172" s="21" t="s">
        <v>283</v>
      </c>
      <c r="H2172" s="21" t="s">
        <v>24</v>
      </c>
      <c r="I2172" s="21" t="s">
        <v>25</v>
      </c>
      <c r="J2172" s="21" t="s">
        <v>24</v>
      </c>
      <c r="K2172" s="21" t="s">
        <v>24</v>
      </c>
      <c r="L2172" s="21" t="s">
        <v>24</v>
      </c>
      <c r="M2172" s="0" t="n">
        <v>183</v>
      </c>
      <c r="N2172" s="0" t="n">
        <v>2</v>
      </c>
      <c r="O2172" s="21" t="s">
        <v>3639</v>
      </c>
      <c r="P2172" s="21" t="s">
        <v>4231</v>
      </c>
      <c r="Q2172" s="0" t="n">
        <v>1</v>
      </c>
      <c r="R2172" s="21" t="s">
        <v>70</v>
      </c>
      <c r="S2172" s="0" t="n">
        <v>2</v>
      </c>
      <c r="T2172" s="21" t="s">
        <v>3639</v>
      </c>
      <c r="U2172" s="22" t="b">
        <f aca="false">TRUE()</f>
        <v>1</v>
      </c>
      <c r="V2172" s="0" t="n">
        <v>0.67</v>
      </c>
      <c r="W2172" s="0" t="n">
        <v>0.52</v>
      </c>
      <c r="X2172" s="0" t="n">
        <v>4.78</v>
      </c>
      <c r="Y2172" s="0" t="n">
        <v>322.22</v>
      </c>
      <c r="Z2172" s="0" t="n">
        <v>8.33</v>
      </c>
      <c r="AA2172" s="0" t="n">
        <v>-1.11</v>
      </c>
      <c r="AB2172" s="0" t="n">
        <v>2.6</v>
      </c>
      <c r="AC2172" s="22" t="b">
        <f aca="false">FALSE()</f>
        <v>0</v>
      </c>
      <c r="AD2172" s="0" t="n">
        <v>5.31</v>
      </c>
      <c r="AE2172" s="0" t="n">
        <v>0.83</v>
      </c>
      <c r="AF2172" s="0" t="n">
        <v>10.59</v>
      </c>
      <c r="AG2172" s="22" t="b">
        <f aca="false">FALSE()</f>
        <v>0</v>
      </c>
      <c r="AH2172" s="0" t="n">
        <v>1</v>
      </c>
    </row>
    <row r="2173" customFormat="false" ht="15" hidden="false" customHeight="false" outlineLevel="0" collapsed="false">
      <c r="A2173" s="0" t="s">
        <v>3225</v>
      </c>
      <c r="B2173" s="0" t="s">
        <v>134</v>
      </c>
      <c r="C2173" s="0" t="s">
        <v>3447</v>
      </c>
      <c r="D2173" s="0" t="s">
        <v>3448</v>
      </c>
      <c r="E2173" s="20" t="s">
        <v>25</v>
      </c>
      <c r="F2173" s="23" t="s">
        <v>30</v>
      </c>
      <c r="G2173" s="21" t="s">
        <v>2610</v>
      </c>
      <c r="H2173" s="21" t="s">
        <v>24</v>
      </c>
      <c r="I2173" s="21" t="s">
        <v>24</v>
      </c>
      <c r="J2173" s="21" t="s">
        <v>24</v>
      </c>
      <c r="K2173" s="21" t="s">
        <v>25</v>
      </c>
      <c r="L2173" s="21" t="s">
        <v>24</v>
      </c>
      <c r="M2173" s="0" t="n">
        <v>184</v>
      </c>
      <c r="N2173" s="0" t="n">
        <v>1</v>
      </c>
      <c r="O2173" s="21" t="s">
        <v>3485</v>
      </c>
      <c r="P2173" s="21" t="s">
        <v>4457</v>
      </c>
      <c r="Q2173" s="0" t="n">
        <v>0</v>
      </c>
      <c r="S2173" s="0" t="n">
        <v>1</v>
      </c>
      <c r="T2173" s="21" t="s">
        <v>3485</v>
      </c>
      <c r="U2173" s="22" t="b">
        <f aca="false">TRUE()</f>
        <v>1</v>
      </c>
      <c r="V2173" s="0" t="n">
        <v>0.76</v>
      </c>
      <c r="W2173" s="0" t="n">
        <v>0.8</v>
      </c>
      <c r="X2173" s="0" t="n">
        <v>4.98</v>
      </c>
      <c r="Y2173" s="0" t="n">
        <v>322.94</v>
      </c>
      <c r="Z2173" s="0" t="n">
        <v>8</v>
      </c>
      <c r="AA2173" s="0" t="n">
        <v>-1.24</v>
      </c>
      <c r="AB2173" s="0" t="n">
        <v>0.26</v>
      </c>
      <c r="AC2173" s="22" t="b">
        <f aca="false">FALSE()</f>
        <v>0</v>
      </c>
      <c r="AD2173" s="0" t="n">
        <v>0.54</v>
      </c>
      <c r="AE2173" s="0" t="n">
        <v>0.09</v>
      </c>
      <c r="AF2173" s="0" t="n">
        <v>3.14</v>
      </c>
      <c r="AG2173" s="22" t="b">
        <f aca="false">FALSE()</f>
        <v>0</v>
      </c>
      <c r="AH2173" s="0" t="n">
        <v>1</v>
      </c>
    </row>
    <row r="2174" customFormat="false" ht="15" hidden="false" customHeight="false" outlineLevel="0" collapsed="false">
      <c r="A2174" s="0" t="s">
        <v>3225</v>
      </c>
      <c r="B2174" s="0" t="s">
        <v>3459</v>
      </c>
      <c r="C2174" s="0" t="s">
        <v>3450</v>
      </c>
      <c r="D2174" s="0" t="s">
        <v>3457</v>
      </c>
      <c r="E2174" s="19" t="s">
        <v>26</v>
      </c>
      <c r="F2174" s="19" t="s">
        <v>32</v>
      </c>
      <c r="G2174" s="21" t="s">
        <v>529</v>
      </c>
      <c r="H2174" s="21" t="s">
        <v>24</v>
      </c>
      <c r="I2174" s="21" t="s">
        <v>26</v>
      </c>
      <c r="J2174" s="21" t="s">
        <v>24</v>
      </c>
      <c r="K2174" s="21" t="s">
        <v>24</v>
      </c>
      <c r="L2174" s="21" t="s">
        <v>24</v>
      </c>
      <c r="M2174" s="0" t="n">
        <v>181</v>
      </c>
      <c r="N2174" s="0" t="n">
        <v>9</v>
      </c>
      <c r="O2174" s="21" t="s">
        <v>4062</v>
      </c>
      <c r="P2174" s="21" t="s">
        <v>4633</v>
      </c>
      <c r="Q2174" s="0" t="n">
        <v>1</v>
      </c>
      <c r="R2174" s="21" t="s">
        <v>69</v>
      </c>
      <c r="S2174" s="0" t="n">
        <v>9</v>
      </c>
      <c r="T2174" s="21" t="s">
        <v>4062</v>
      </c>
      <c r="U2174" s="22" t="b">
        <f aca="false">FALSE()</f>
        <v>0</v>
      </c>
      <c r="V2174" s="0" t="n">
        <v>0.68</v>
      </c>
      <c r="W2174" s="0" t="n">
        <v>0.16</v>
      </c>
      <c r="X2174" s="0" t="n">
        <v>5.27</v>
      </c>
      <c r="Y2174" s="0" t="n">
        <v>547.48</v>
      </c>
      <c r="Z2174" s="0" t="n">
        <v>10.5</v>
      </c>
      <c r="AA2174" s="0" t="n">
        <v>3.51</v>
      </c>
      <c r="AB2174" s="0" t="n">
        <v>1.97</v>
      </c>
      <c r="AC2174" s="22" t="b">
        <f aca="false">FALSE()</f>
        <v>0</v>
      </c>
      <c r="AD2174" s="0" t="n">
        <v>14.55</v>
      </c>
      <c r="AE2174" s="0" t="n">
        <v>5.83</v>
      </c>
      <c r="AF2174" s="0" t="n">
        <v>12.31</v>
      </c>
      <c r="AG2174" s="22" t="b">
        <f aca="false">TRUE()</f>
        <v>1</v>
      </c>
      <c r="AH2174" s="0" t="n">
        <v>1</v>
      </c>
    </row>
    <row r="2175" customFormat="false" ht="15" hidden="false" customHeight="false" outlineLevel="0" collapsed="false">
      <c r="A2175" s="0" t="s">
        <v>3225</v>
      </c>
      <c r="B2175" s="0" t="s">
        <v>3459</v>
      </c>
      <c r="C2175" s="0" t="s">
        <v>3450</v>
      </c>
      <c r="D2175" s="0" t="s">
        <v>3448</v>
      </c>
      <c r="E2175" s="20" t="s">
        <v>25</v>
      </c>
      <c r="F2175" s="23" t="s">
        <v>30</v>
      </c>
      <c r="G2175" s="21" t="s">
        <v>1152</v>
      </c>
      <c r="H2175" s="21" t="s">
        <v>24</v>
      </c>
      <c r="I2175" s="21" t="s">
        <v>25</v>
      </c>
      <c r="J2175" s="21" t="s">
        <v>24</v>
      </c>
      <c r="K2175" s="21" t="s">
        <v>25</v>
      </c>
      <c r="L2175" s="21" t="s">
        <v>24</v>
      </c>
      <c r="M2175" s="0" t="n">
        <v>185</v>
      </c>
      <c r="N2175" s="0" t="n">
        <v>3</v>
      </c>
      <c r="O2175" s="21" t="s">
        <v>3649</v>
      </c>
      <c r="P2175" s="21" t="s">
        <v>4242</v>
      </c>
      <c r="Q2175" s="0" t="n">
        <v>1</v>
      </c>
      <c r="R2175" s="21" t="s">
        <v>69</v>
      </c>
      <c r="S2175" s="0" t="n">
        <v>3</v>
      </c>
      <c r="T2175" s="21" t="s">
        <v>3649</v>
      </c>
      <c r="U2175" s="22" t="b">
        <f aca="false">TRUE()</f>
        <v>1</v>
      </c>
      <c r="V2175" s="0" t="n">
        <v>0.71</v>
      </c>
      <c r="W2175" s="0" t="n">
        <v>0.68</v>
      </c>
      <c r="X2175" s="0" t="n">
        <v>5.49</v>
      </c>
      <c r="Y2175" s="0" t="n">
        <v>324.26</v>
      </c>
      <c r="Z2175" s="0" t="n">
        <v>8.75</v>
      </c>
      <c r="AA2175" s="0" t="n">
        <v>4.9</v>
      </c>
      <c r="AB2175" s="0" t="n">
        <v>0.08</v>
      </c>
      <c r="AC2175" s="22" t="b">
        <f aca="false">FALSE()</f>
        <v>0</v>
      </c>
      <c r="AD2175" s="0" t="n">
        <v>15.57</v>
      </c>
      <c r="AE2175" s="0" t="n">
        <v>6.44</v>
      </c>
      <c r="AF2175" s="0" t="n">
        <v>9.57</v>
      </c>
      <c r="AG2175" s="22" t="b">
        <f aca="false">TRUE()</f>
        <v>1</v>
      </c>
      <c r="AH2175" s="0" t="n">
        <v>1</v>
      </c>
    </row>
    <row r="2176" customFormat="false" ht="15" hidden="false" customHeight="false" outlineLevel="0" collapsed="false">
      <c r="A2176" s="0" t="s">
        <v>3225</v>
      </c>
      <c r="B2176" s="0" t="s">
        <v>3459</v>
      </c>
      <c r="C2176" s="0" t="s">
        <v>3447</v>
      </c>
      <c r="D2176" s="0" t="s">
        <v>3457</v>
      </c>
      <c r="E2176" s="20" t="s">
        <v>25</v>
      </c>
      <c r="F2176" s="23" t="s">
        <v>30</v>
      </c>
      <c r="G2176" s="21" t="s">
        <v>283</v>
      </c>
      <c r="H2176" s="21" t="s">
        <v>24</v>
      </c>
      <c r="I2176" s="21" t="s">
        <v>25</v>
      </c>
      <c r="J2176" s="21" t="s">
        <v>24</v>
      </c>
      <c r="K2176" s="21" t="s">
        <v>24</v>
      </c>
      <c r="L2176" s="21" t="s">
        <v>24</v>
      </c>
      <c r="M2176" s="0" t="n">
        <v>183</v>
      </c>
      <c r="N2176" s="0" t="n">
        <v>1</v>
      </c>
      <c r="O2176" s="21" t="s">
        <v>69</v>
      </c>
      <c r="P2176" s="21" t="s">
        <v>4275</v>
      </c>
      <c r="Q2176" s="0" t="n">
        <v>1</v>
      </c>
      <c r="R2176" s="21" t="s">
        <v>69</v>
      </c>
      <c r="S2176" s="0" t="n">
        <v>1</v>
      </c>
      <c r="T2176" s="21" t="s">
        <v>69</v>
      </c>
      <c r="U2176" s="22" t="b">
        <f aca="false">TRUE()</f>
        <v>1</v>
      </c>
      <c r="V2176" s="0" t="n">
        <v>0.73</v>
      </c>
      <c r="W2176" s="0" t="n">
        <v>0</v>
      </c>
      <c r="X2176" s="0" t="n">
        <v>4.36</v>
      </c>
      <c r="Y2176" s="0" t="n">
        <v>1.46</v>
      </c>
      <c r="Z2176" s="0" t="n">
        <v>8</v>
      </c>
      <c r="AA2176" s="0" t="n">
        <v>1.01</v>
      </c>
      <c r="AB2176" s="0" t="n">
        <v>1.97</v>
      </c>
      <c r="AC2176" s="22" t="b">
        <f aca="false">FALSE()</f>
        <v>0</v>
      </c>
      <c r="AD2176" s="0" t="n">
        <v>15.58</v>
      </c>
      <c r="AE2176" s="0" t="n">
        <v>6.89</v>
      </c>
      <c r="AF2176" s="0" t="n">
        <v>14.46</v>
      </c>
      <c r="AG2176" s="22" t="b">
        <f aca="false">TRUE()</f>
        <v>1</v>
      </c>
      <c r="AH2176" s="0" t="n">
        <v>0</v>
      </c>
    </row>
    <row r="2177" customFormat="false" ht="15" hidden="false" customHeight="false" outlineLevel="0" collapsed="false">
      <c r="A2177" s="0" t="s">
        <v>3225</v>
      </c>
      <c r="B2177" s="0" t="s">
        <v>3459</v>
      </c>
      <c r="C2177" s="0" t="s">
        <v>3447</v>
      </c>
      <c r="D2177" s="0" t="s">
        <v>3448</v>
      </c>
      <c r="E2177" s="20" t="s">
        <v>25</v>
      </c>
      <c r="F2177" s="23" t="s">
        <v>30</v>
      </c>
      <c r="G2177" s="21" t="s">
        <v>1152</v>
      </c>
      <c r="H2177" s="21" t="s">
        <v>24</v>
      </c>
      <c r="I2177" s="21" t="s">
        <v>25</v>
      </c>
      <c r="J2177" s="21" t="s">
        <v>24</v>
      </c>
      <c r="K2177" s="21" t="s">
        <v>25</v>
      </c>
      <c r="L2177" s="21" t="s">
        <v>24</v>
      </c>
      <c r="M2177" s="0" t="n">
        <v>184</v>
      </c>
      <c r="N2177" s="0" t="n">
        <v>2</v>
      </c>
      <c r="O2177" s="21" t="s">
        <v>3575</v>
      </c>
      <c r="P2177" s="21" t="s">
        <v>4265</v>
      </c>
      <c r="Q2177" s="0" t="n">
        <v>1</v>
      </c>
      <c r="R2177" s="21" t="s">
        <v>69</v>
      </c>
      <c r="S2177" s="0" t="n">
        <v>2</v>
      </c>
      <c r="T2177" s="21" t="s">
        <v>3575</v>
      </c>
      <c r="U2177" s="22" t="b">
        <f aca="false">TRUE()</f>
        <v>1</v>
      </c>
      <c r="V2177" s="0" t="n">
        <v>0.74</v>
      </c>
      <c r="W2177" s="0" t="n">
        <v>0.84</v>
      </c>
      <c r="X2177" s="0" t="n">
        <v>5.53</v>
      </c>
      <c r="Y2177" s="0" t="n">
        <v>321.37</v>
      </c>
      <c r="Z2177" s="0" t="n">
        <v>8</v>
      </c>
      <c r="AA2177" s="0" t="n">
        <v>-1.08</v>
      </c>
      <c r="AB2177" s="0" t="n">
        <v>0.08</v>
      </c>
      <c r="AC2177" s="22" t="b">
        <f aca="false">FALSE()</f>
        <v>0</v>
      </c>
      <c r="AD2177" s="0" t="n">
        <v>4.15</v>
      </c>
      <c r="AE2177" s="0" t="n">
        <v>1.03</v>
      </c>
      <c r="AF2177" s="0" t="n">
        <v>2.8</v>
      </c>
      <c r="AG2177" s="22" t="b">
        <f aca="false">FALSE()</f>
        <v>0</v>
      </c>
      <c r="AH2177" s="0" t="n">
        <v>1</v>
      </c>
    </row>
    <row r="2178" customFormat="false" ht="15" hidden="false" customHeight="false" outlineLevel="0" collapsed="false">
      <c r="A2178" s="0" t="s">
        <v>3236</v>
      </c>
      <c r="B2178" s="0" t="s">
        <v>134</v>
      </c>
      <c r="C2178" s="0" t="s">
        <v>3450</v>
      </c>
      <c r="D2178" s="0" t="s">
        <v>3457</v>
      </c>
      <c r="E2178" s="20" t="s">
        <v>25</v>
      </c>
      <c r="F2178" s="23" t="s">
        <v>30</v>
      </c>
      <c r="G2178" s="21" t="s">
        <v>283</v>
      </c>
      <c r="H2178" s="21" t="s">
        <v>24</v>
      </c>
      <c r="I2178" s="21" t="s">
        <v>25</v>
      </c>
      <c r="J2178" s="21" t="s">
        <v>24</v>
      </c>
      <c r="K2178" s="21" t="s">
        <v>24</v>
      </c>
      <c r="L2178" s="21" t="s">
        <v>24</v>
      </c>
      <c r="M2178" s="0" t="n">
        <v>186</v>
      </c>
      <c r="N2178" s="0" t="n">
        <v>2</v>
      </c>
      <c r="O2178" s="21" t="s">
        <v>3566</v>
      </c>
      <c r="P2178" s="21" t="s">
        <v>4238</v>
      </c>
      <c r="Q2178" s="0" t="n">
        <v>1</v>
      </c>
      <c r="R2178" s="21" t="s">
        <v>69</v>
      </c>
      <c r="S2178" s="0" t="n">
        <v>2</v>
      </c>
      <c r="T2178" s="21" t="s">
        <v>3566</v>
      </c>
      <c r="U2178" s="22" t="b">
        <f aca="false">TRUE()</f>
        <v>1</v>
      </c>
      <c r="V2178" s="0" t="n">
        <v>0.77</v>
      </c>
      <c r="W2178" s="0" t="n">
        <v>0.4</v>
      </c>
      <c r="X2178" s="0" t="n">
        <v>11.79</v>
      </c>
      <c r="Y2178" s="0" t="n">
        <v>333.95</v>
      </c>
      <c r="Z2178" s="0" t="n">
        <v>11.25</v>
      </c>
      <c r="AA2178" s="0" t="n">
        <v>15.32</v>
      </c>
      <c r="AB2178" s="0" t="n">
        <v>3.77</v>
      </c>
      <c r="AC2178" s="22" t="b">
        <f aca="false">FALSE()</f>
        <v>0</v>
      </c>
      <c r="AD2178" s="0" t="n">
        <v>14.52</v>
      </c>
      <c r="AE2178" s="0" t="n">
        <v>1.13</v>
      </c>
      <c r="AF2178" s="0" t="n">
        <v>8.98</v>
      </c>
      <c r="AG2178" s="22" t="b">
        <f aca="false">TRUE()</f>
        <v>1</v>
      </c>
      <c r="AH2178" s="0" t="n">
        <v>1</v>
      </c>
    </row>
    <row r="2179" customFormat="false" ht="15" hidden="false" customHeight="false" outlineLevel="0" collapsed="false">
      <c r="A2179" s="0" t="s">
        <v>3236</v>
      </c>
      <c r="B2179" s="0" t="s">
        <v>134</v>
      </c>
      <c r="C2179" s="0" t="s">
        <v>3450</v>
      </c>
      <c r="D2179" s="0" t="s">
        <v>3448</v>
      </c>
      <c r="E2179" s="20" t="s">
        <v>25</v>
      </c>
      <c r="F2179" s="23" t="s">
        <v>30</v>
      </c>
      <c r="G2179" s="21" t="s">
        <v>283</v>
      </c>
      <c r="H2179" s="21" t="s">
        <v>24</v>
      </c>
      <c r="I2179" s="21" t="s">
        <v>25</v>
      </c>
      <c r="J2179" s="21" t="s">
        <v>24</v>
      </c>
      <c r="K2179" s="21" t="s">
        <v>24</v>
      </c>
      <c r="L2179" s="21" t="s">
        <v>24</v>
      </c>
      <c r="M2179" s="0" t="n">
        <v>224</v>
      </c>
      <c r="N2179" s="0" t="n">
        <v>2</v>
      </c>
      <c r="O2179" s="21" t="s">
        <v>3566</v>
      </c>
      <c r="P2179" s="21" t="s">
        <v>4238</v>
      </c>
      <c r="Q2179" s="0" t="n">
        <v>1</v>
      </c>
      <c r="R2179" s="21" t="s">
        <v>69</v>
      </c>
      <c r="S2179" s="0" t="n">
        <v>2</v>
      </c>
      <c r="T2179" s="21" t="s">
        <v>3566</v>
      </c>
      <c r="U2179" s="22" t="b">
        <f aca="false">TRUE()</f>
        <v>1</v>
      </c>
      <c r="V2179" s="0" t="n">
        <v>0.78</v>
      </c>
      <c r="W2179" s="0" t="n">
        <v>0.36</v>
      </c>
      <c r="X2179" s="0" t="n">
        <v>12.25</v>
      </c>
      <c r="Y2179" s="0" t="n">
        <v>385.5</v>
      </c>
      <c r="Z2179" s="0" t="n">
        <v>11.25</v>
      </c>
      <c r="AA2179" s="0" t="n">
        <v>16.09</v>
      </c>
      <c r="AB2179" s="0" t="n">
        <v>2.04</v>
      </c>
      <c r="AC2179" s="22" t="b">
        <f aca="false">FALSE()</f>
        <v>0</v>
      </c>
      <c r="AD2179" s="0" t="n">
        <v>9.5</v>
      </c>
      <c r="AE2179" s="0" t="n">
        <v>2.55</v>
      </c>
      <c r="AF2179" s="0" t="n">
        <v>5.75</v>
      </c>
      <c r="AG2179" s="22" t="b">
        <f aca="false">FALSE()</f>
        <v>0</v>
      </c>
      <c r="AH2179" s="0" t="n">
        <v>1</v>
      </c>
    </row>
    <row r="2180" customFormat="false" ht="15" hidden="false" customHeight="false" outlineLevel="0" collapsed="false">
      <c r="A2180" s="0" t="s">
        <v>3236</v>
      </c>
      <c r="B2180" s="0" t="s">
        <v>134</v>
      </c>
      <c r="C2180" s="0" t="s">
        <v>3447</v>
      </c>
      <c r="D2180" s="0" t="s">
        <v>3457</v>
      </c>
      <c r="E2180" s="19" t="s">
        <v>26</v>
      </c>
      <c r="F2180" s="19" t="s">
        <v>32</v>
      </c>
      <c r="G2180" s="21" t="s">
        <v>529</v>
      </c>
      <c r="H2180" s="21" t="s">
        <v>24</v>
      </c>
      <c r="I2180" s="21" t="s">
        <v>26</v>
      </c>
      <c r="J2180" s="21" t="s">
        <v>24</v>
      </c>
      <c r="K2180" s="21" t="s">
        <v>24</v>
      </c>
      <c r="L2180" s="21" t="s">
        <v>24</v>
      </c>
      <c r="M2180" s="0" t="n">
        <v>187</v>
      </c>
      <c r="N2180" s="0" t="n">
        <v>8</v>
      </c>
      <c r="O2180" s="21" t="s">
        <v>4028</v>
      </c>
      <c r="P2180" s="21" t="s">
        <v>4393</v>
      </c>
      <c r="Q2180" s="0" t="n">
        <v>1</v>
      </c>
      <c r="R2180" s="21" t="s">
        <v>69</v>
      </c>
      <c r="S2180" s="0" t="n">
        <v>8</v>
      </c>
      <c r="T2180" s="21" t="s">
        <v>4028</v>
      </c>
      <c r="U2180" s="22" t="b">
        <f aca="false">FALSE()</f>
        <v>0</v>
      </c>
      <c r="V2180" s="0" t="n">
        <v>0.78</v>
      </c>
      <c r="W2180" s="0" t="n">
        <v>0.92</v>
      </c>
      <c r="X2180" s="0" t="n">
        <v>10.82</v>
      </c>
      <c r="Y2180" s="0" t="n">
        <v>314.57</v>
      </c>
      <c r="Z2180" s="0" t="n">
        <v>10.75</v>
      </c>
      <c r="AA2180" s="0" t="n">
        <v>10.98</v>
      </c>
      <c r="AB2180" s="0" t="n">
        <v>3.77</v>
      </c>
      <c r="AC2180" s="22" t="b">
        <f aca="false">FALSE()</f>
        <v>0</v>
      </c>
      <c r="AD2180" s="0" t="n">
        <v>15.24</v>
      </c>
      <c r="AE2180" s="0" t="n">
        <v>0.48</v>
      </c>
      <c r="AF2180" s="0" t="n">
        <v>9.44</v>
      </c>
      <c r="AG2180" s="22" t="b">
        <f aca="false">TRUE()</f>
        <v>1</v>
      </c>
      <c r="AH2180" s="0" t="n">
        <v>1</v>
      </c>
    </row>
    <row r="2181" customFormat="false" ht="15" hidden="false" customHeight="false" outlineLevel="0" collapsed="false">
      <c r="A2181" s="0" t="s">
        <v>3236</v>
      </c>
      <c r="B2181" s="0" t="s">
        <v>134</v>
      </c>
      <c r="C2181" s="0" t="s">
        <v>3447</v>
      </c>
      <c r="D2181" s="0" t="s">
        <v>3448</v>
      </c>
      <c r="E2181" s="19" t="s">
        <v>26</v>
      </c>
      <c r="F2181" s="19" t="s">
        <v>32</v>
      </c>
      <c r="G2181" s="21" t="s">
        <v>529</v>
      </c>
      <c r="H2181" s="21" t="s">
        <v>24</v>
      </c>
      <c r="I2181" s="21" t="s">
        <v>26</v>
      </c>
      <c r="J2181" s="21" t="s">
        <v>24</v>
      </c>
      <c r="K2181" s="21" t="s">
        <v>24</v>
      </c>
      <c r="L2181" s="21" t="s">
        <v>24</v>
      </c>
      <c r="M2181" s="0" t="n">
        <v>187</v>
      </c>
      <c r="N2181" s="0" t="n">
        <v>12</v>
      </c>
      <c r="O2181" s="21" t="s">
        <v>4044</v>
      </c>
      <c r="P2181" s="21" t="s">
        <v>4278</v>
      </c>
      <c r="Q2181" s="0" t="n">
        <v>1</v>
      </c>
      <c r="R2181" s="21" t="s">
        <v>69</v>
      </c>
      <c r="S2181" s="0" t="n">
        <v>12</v>
      </c>
      <c r="T2181" s="21" t="s">
        <v>4044</v>
      </c>
      <c r="U2181" s="22" t="b">
        <f aca="false">FALSE()</f>
        <v>0</v>
      </c>
      <c r="V2181" s="0" t="n">
        <v>0.79</v>
      </c>
      <c r="W2181" s="0" t="n">
        <v>0.88</v>
      </c>
      <c r="X2181" s="0" t="n">
        <v>12.94</v>
      </c>
      <c r="Y2181" s="0" t="n">
        <v>281.71</v>
      </c>
      <c r="Z2181" s="0" t="n">
        <v>10.75</v>
      </c>
      <c r="AA2181" s="0" t="n">
        <v>13.86</v>
      </c>
      <c r="AB2181" s="0" t="n">
        <v>2.04</v>
      </c>
      <c r="AC2181" s="22" t="b">
        <f aca="false">FALSE()</f>
        <v>0</v>
      </c>
      <c r="AD2181" s="0" t="n">
        <v>7.89</v>
      </c>
      <c r="AE2181" s="0" t="n">
        <v>5.4</v>
      </c>
      <c r="AF2181" s="0" t="n">
        <v>-2.38</v>
      </c>
      <c r="AG2181" s="22" t="b">
        <f aca="false">FALSE()</f>
        <v>0</v>
      </c>
      <c r="AH2181" s="0" t="n">
        <v>1</v>
      </c>
    </row>
    <row r="2182" customFormat="false" ht="15" hidden="false" customHeight="false" outlineLevel="0" collapsed="false">
      <c r="A2182" s="0" t="s">
        <v>3242</v>
      </c>
      <c r="B2182" s="0" t="s">
        <v>134</v>
      </c>
      <c r="C2182" s="0" t="s">
        <v>3450</v>
      </c>
      <c r="D2182" s="0" t="s">
        <v>3457</v>
      </c>
      <c r="E2182" s="19" t="s">
        <v>26</v>
      </c>
      <c r="F2182" s="19" t="s">
        <v>32</v>
      </c>
      <c r="G2182" s="21" t="s">
        <v>529</v>
      </c>
      <c r="H2182" s="21" t="s">
        <v>24</v>
      </c>
      <c r="I2182" s="21" t="s">
        <v>26</v>
      </c>
      <c r="J2182" s="21" t="s">
        <v>24</v>
      </c>
      <c r="K2182" s="21" t="s">
        <v>24</v>
      </c>
      <c r="L2182" s="21" t="s">
        <v>24</v>
      </c>
      <c r="M2182" s="0" t="n">
        <v>183</v>
      </c>
      <c r="N2182" s="0" t="n">
        <v>9</v>
      </c>
      <c r="O2182" s="21" t="s">
        <v>4062</v>
      </c>
      <c r="P2182" s="21" t="s">
        <v>4633</v>
      </c>
      <c r="Q2182" s="0" t="n">
        <v>1</v>
      </c>
      <c r="R2182" s="21" t="s">
        <v>69</v>
      </c>
      <c r="S2182" s="0" t="n">
        <v>9</v>
      </c>
      <c r="T2182" s="21" t="s">
        <v>4062</v>
      </c>
      <c r="U2182" s="22" t="b">
        <f aca="false">FALSE()</f>
        <v>0</v>
      </c>
      <c r="V2182" s="0" t="n">
        <v>0.74</v>
      </c>
      <c r="W2182" s="0" t="n">
        <v>0.56</v>
      </c>
      <c r="X2182" s="0" t="n">
        <v>8.59</v>
      </c>
      <c r="Y2182" s="0" t="n">
        <v>312.89</v>
      </c>
      <c r="Z2182" s="0" t="n">
        <v>11.5</v>
      </c>
      <c r="AA2182" s="0" t="n">
        <v>18.02</v>
      </c>
      <c r="AB2182" s="0" t="n">
        <v>10.44</v>
      </c>
      <c r="AC2182" s="22" t="b">
        <f aca="false">FALSE()</f>
        <v>0</v>
      </c>
      <c r="AD2182" s="0" t="n">
        <v>18.12</v>
      </c>
      <c r="AE2182" s="0" t="n">
        <v>0.87</v>
      </c>
      <c r="AF2182" s="0" t="n">
        <v>11.7</v>
      </c>
      <c r="AG2182" s="22" t="b">
        <f aca="false">TRUE()</f>
        <v>1</v>
      </c>
      <c r="AH2182" s="0" t="n">
        <v>1</v>
      </c>
    </row>
    <row r="2183" customFormat="false" ht="15" hidden="false" customHeight="false" outlineLevel="0" collapsed="false">
      <c r="A2183" s="0" t="s">
        <v>3242</v>
      </c>
      <c r="B2183" s="0" t="s">
        <v>134</v>
      </c>
      <c r="C2183" s="0" t="s">
        <v>3450</v>
      </c>
      <c r="D2183" s="0" t="s">
        <v>3448</v>
      </c>
      <c r="E2183" s="20" t="s">
        <v>25</v>
      </c>
      <c r="F2183" s="23" t="s">
        <v>30</v>
      </c>
      <c r="G2183" s="21" t="s">
        <v>183</v>
      </c>
      <c r="H2183" s="21" t="s">
        <v>24</v>
      </c>
      <c r="I2183" s="21" t="s">
        <v>25</v>
      </c>
      <c r="J2183" s="21" t="s">
        <v>24</v>
      </c>
      <c r="K2183" s="21" t="s">
        <v>25</v>
      </c>
      <c r="L2183" s="21" t="s">
        <v>24</v>
      </c>
      <c r="M2183" s="0" t="n">
        <v>187</v>
      </c>
      <c r="N2183" s="0" t="n">
        <v>5</v>
      </c>
      <c r="O2183" s="21" t="s">
        <v>3808</v>
      </c>
      <c r="P2183" s="21" t="s">
        <v>4335</v>
      </c>
      <c r="Q2183" s="0" t="n">
        <v>1</v>
      </c>
      <c r="R2183" s="21" t="s">
        <v>69</v>
      </c>
      <c r="S2183" s="0" t="n">
        <v>5</v>
      </c>
      <c r="T2183" s="21" t="s">
        <v>3808</v>
      </c>
      <c r="U2183" s="22" t="b">
        <f aca="false">TRUE()</f>
        <v>1</v>
      </c>
      <c r="V2183" s="0" t="n">
        <v>0.71</v>
      </c>
      <c r="W2183" s="0" t="n">
        <v>0.4</v>
      </c>
      <c r="X2183" s="0" t="n">
        <v>9.48</v>
      </c>
      <c r="Y2183" s="0" t="n">
        <v>355.99</v>
      </c>
      <c r="Z2183" s="0" t="n">
        <v>11</v>
      </c>
      <c r="AA2183" s="0" t="n">
        <v>17.66</v>
      </c>
      <c r="AB2183" s="0" t="n">
        <v>2.12</v>
      </c>
      <c r="AC2183" s="22" t="b">
        <f aca="false">FALSE()</f>
        <v>0</v>
      </c>
      <c r="AD2183" s="0" t="n">
        <v>28.58</v>
      </c>
      <c r="AE2183" s="0" t="n">
        <v>15.85</v>
      </c>
      <c r="AF2183" s="0" t="n">
        <v>24.93</v>
      </c>
      <c r="AG2183" s="22" t="b">
        <f aca="false">TRUE()</f>
        <v>1</v>
      </c>
      <c r="AH2183" s="0" t="n">
        <v>1</v>
      </c>
    </row>
    <row r="2184" customFormat="false" ht="15" hidden="false" customHeight="false" outlineLevel="0" collapsed="false">
      <c r="A2184" s="0" t="s">
        <v>3242</v>
      </c>
      <c r="B2184" s="0" t="s">
        <v>134</v>
      </c>
      <c r="C2184" s="0" t="s">
        <v>3447</v>
      </c>
      <c r="D2184" s="0" t="s">
        <v>3457</v>
      </c>
      <c r="E2184" s="20" t="s">
        <v>25</v>
      </c>
      <c r="F2184" s="23" t="s">
        <v>30</v>
      </c>
      <c r="G2184" s="21" t="s">
        <v>283</v>
      </c>
      <c r="H2184" s="21" t="s">
        <v>24</v>
      </c>
      <c r="I2184" s="21" t="s">
        <v>25</v>
      </c>
      <c r="J2184" s="21" t="s">
        <v>24</v>
      </c>
      <c r="K2184" s="21" t="s">
        <v>24</v>
      </c>
      <c r="L2184" s="21" t="s">
        <v>24</v>
      </c>
      <c r="M2184" s="0" t="n">
        <v>201</v>
      </c>
      <c r="N2184" s="0" t="n">
        <v>4</v>
      </c>
      <c r="O2184" s="21" t="s">
        <v>3737</v>
      </c>
      <c r="P2184" s="21" t="s">
        <v>4535</v>
      </c>
      <c r="Q2184" s="0" t="n">
        <v>1</v>
      </c>
      <c r="R2184" s="21" t="s">
        <v>69</v>
      </c>
      <c r="S2184" s="0" t="n">
        <v>4</v>
      </c>
      <c r="T2184" s="21" t="s">
        <v>3737</v>
      </c>
      <c r="U2184" s="22" t="b">
        <f aca="false">TRUE()</f>
        <v>1</v>
      </c>
      <c r="V2184" s="0" t="n">
        <v>0.66</v>
      </c>
      <c r="W2184" s="0" t="n">
        <v>0.16</v>
      </c>
      <c r="X2184" s="0" t="n">
        <v>6.91</v>
      </c>
      <c r="Y2184" s="0" t="n">
        <v>610.72</v>
      </c>
      <c r="Z2184" s="0" t="n">
        <v>10.42</v>
      </c>
      <c r="AA2184" s="0" t="n">
        <v>5.15</v>
      </c>
      <c r="AB2184" s="0" t="n">
        <v>10.44</v>
      </c>
      <c r="AC2184" s="22" t="b">
        <f aca="false">FALSE()</f>
        <v>0</v>
      </c>
      <c r="AD2184" s="0" t="n">
        <v>18.39</v>
      </c>
      <c r="AE2184" s="0" t="n">
        <v>0.55</v>
      </c>
      <c r="AF2184" s="0" t="n">
        <v>12.44</v>
      </c>
      <c r="AG2184" s="22" t="b">
        <f aca="false">TRUE()</f>
        <v>1</v>
      </c>
      <c r="AH2184" s="0" t="n">
        <v>1</v>
      </c>
    </row>
    <row r="2185" customFormat="false" ht="15" hidden="false" customHeight="false" outlineLevel="0" collapsed="false">
      <c r="A2185" s="0" t="s">
        <v>3242</v>
      </c>
      <c r="B2185" s="0" t="s">
        <v>134</v>
      </c>
      <c r="C2185" s="0" t="s">
        <v>3447</v>
      </c>
      <c r="D2185" s="0" t="s">
        <v>3448</v>
      </c>
      <c r="E2185" s="20" t="s">
        <v>25</v>
      </c>
      <c r="F2185" s="23" t="s">
        <v>30</v>
      </c>
      <c r="G2185" s="21" t="s">
        <v>992</v>
      </c>
      <c r="H2185" s="21" t="s">
        <v>24</v>
      </c>
      <c r="I2185" s="21" t="s">
        <v>24</v>
      </c>
      <c r="J2185" s="21" t="s">
        <v>24</v>
      </c>
      <c r="K2185" s="21" t="s">
        <v>25</v>
      </c>
      <c r="L2185" s="21" t="s">
        <v>24</v>
      </c>
      <c r="M2185" s="0" t="n">
        <v>187</v>
      </c>
      <c r="N2185" s="0" t="n">
        <v>1</v>
      </c>
      <c r="O2185" s="21" t="s">
        <v>3478</v>
      </c>
      <c r="P2185" s="21" t="s">
        <v>4288</v>
      </c>
      <c r="Q2185" s="0" t="n">
        <v>0</v>
      </c>
      <c r="S2185" s="0" t="n">
        <v>1</v>
      </c>
      <c r="T2185" s="21" t="s">
        <v>3478</v>
      </c>
      <c r="U2185" s="22" t="b">
        <f aca="false">TRUE()</f>
        <v>1</v>
      </c>
      <c r="V2185" s="0" t="n">
        <v>0.75</v>
      </c>
      <c r="W2185" s="0" t="n">
        <v>0.96</v>
      </c>
      <c r="X2185" s="0" t="n">
        <v>11.34</v>
      </c>
      <c r="Y2185" s="0" t="n">
        <v>319.43</v>
      </c>
      <c r="Z2185" s="0" t="n">
        <v>11</v>
      </c>
      <c r="AA2185" s="0" t="n">
        <v>15.55</v>
      </c>
      <c r="AB2185" s="0" t="n">
        <v>2.12</v>
      </c>
      <c r="AC2185" s="22" t="b">
        <f aca="false">FALSE()</f>
        <v>0</v>
      </c>
      <c r="AD2185" s="0" t="n">
        <v>21.89</v>
      </c>
      <c r="AE2185" s="0" t="n">
        <v>9.37</v>
      </c>
      <c r="AF2185" s="0" t="n">
        <v>19.7</v>
      </c>
      <c r="AG2185" s="22" t="b">
        <f aca="false">TRUE()</f>
        <v>1</v>
      </c>
      <c r="AH2185" s="0" t="n">
        <v>1</v>
      </c>
    </row>
    <row r="2186" customFormat="false" ht="15" hidden="false" customHeight="false" outlineLevel="0" collapsed="false">
      <c r="A2186" s="0" t="s">
        <v>3248</v>
      </c>
      <c r="B2186" s="0" t="s">
        <v>134</v>
      </c>
      <c r="C2186" s="0" t="s">
        <v>3450</v>
      </c>
      <c r="D2186" s="0" t="s">
        <v>3457</v>
      </c>
      <c r="E2186" s="20" t="s">
        <v>25</v>
      </c>
      <c r="F2186" s="23" t="s">
        <v>30</v>
      </c>
      <c r="G2186" s="21" t="s">
        <v>283</v>
      </c>
      <c r="H2186" s="21" t="s">
        <v>24</v>
      </c>
      <c r="I2186" s="21" t="s">
        <v>25</v>
      </c>
      <c r="J2186" s="21" t="s">
        <v>24</v>
      </c>
      <c r="K2186" s="21" t="s">
        <v>24</v>
      </c>
      <c r="L2186" s="21" t="s">
        <v>24</v>
      </c>
      <c r="M2186" s="0" t="n">
        <v>184</v>
      </c>
      <c r="N2186" s="0" t="n">
        <v>3</v>
      </c>
      <c r="O2186" s="21" t="s">
        <v>3649</v>
      </c>
      <c r="P2186" s="21" t="s">
        <v>4242</v>
      </c>
      <c r="Q2186" s="0" t="n">
        <v>1</v>
      </c>
      <c r="R2186" s="21" t="s">
        <v>69</v>
      </c>
      <c r="S2186" s="0" t="n">
        <v>3</v>
      </c>
      <c r="T2186" s="21" t="s">
        <v>3649</v>
      </c>
      <c r="U2186" s="22" t="b">
        <f aca="false">TRUE()</f>
        <v>1</v>
      </c>
      <c r="V2186" s="0" t="n">
        <v>0.68</v>
      </c>
      <c r="W2186" s="0" t="n">
        <v>0</v>
      </c>
      <c r="X2186" s="0" t="n">
        <v>7.94</v>
      </c>
      <c r="Y2186" s="0" t="n">
        <v>625.34</v>
      </c>
      <c r="Z2186" s="0" t="n">
        <v>11.25</v>
      </c>
      <c r="AA2186" s="0" t="n">
        <v>13.49</v>
      </c>
      <c r="AB2186" s="0" t="n">
        <v>9.19</v>
      </c>
      <c r="AC2186" s="22" t="b">
        <f aca="false">FALSE()</f>
        <v>0</v>
      </c>
      <c r="AD2186" s="0" t="n">
        <v>8.9</v>
      </c>
      <c r="AE2186" s="0" t="n">
        <v>0.95</v>
      </c>
      <c r="AF2186" s="0" t="n">
        <v>12.81</v>
      </c>
      <c r="AG2186" s="22" t="b">
        <f aca="false">FALSE()</f>
        <v>0</v>
      </c>
      <c r="AH2186" s="0" t="n">
        <v>1</v>
      </c>
    </row>
    <row r="2187" customFormat="false" ht="15" hidden="false" customHeight="false" outlineLevel="0" collapsed="false">
      <c r="A2187" s="0" t="s">
        <v>3248</v>
      </c>
      <c r="B2187" s="0" t="s">
        <v>134</v>
      </c>
      <c r="C2187" s="0" t="s">
        <v>3450</v>
      </c>
      <c r="D2187" s="0" t="s">
        <v>3448</v>
      </c>
      <c r="E2187" s="20" t="s">
        <v>25</v>
      </c>
      <c r="F2187" s="23" t="s">
        <v>30</v>
      </c>
      <c r="G2187" s="21" t="s">
        <v>1152</v>
      </c>
      <c r="H2187" s="21" t="s">
        <v>24</v>
      </c>
      <c r="I2187" s="21" t="s">
        <v>25</v>
      </c>
      <c r="J2187" s="21" t="s">
        <v>24</v>
      </c>
      <c r="K2187" s="21" t="s">
        <v>25</v>
      </c>
      <c r="L2187" s="21" t="s">
        <v>24</v>
      </c>
      <c r="M2187" s="0" t="n">
        <v>183</v>
      </c>
      <c r="N2187" s="0" t="n">
        <v>3</v>
      </c>
      <c r="O2187" s="21" t="s">
        <v>3649</v>
      </c>
      <c r="P2187" s="21" t="s">
        <v>4242</v>
      </c>
      <c r="Q2187" s="0" t="n">
        <v>1</v>
      </c>
      <c r="R2187" s="21" t="s">
        <v>69</v>
      </c>
      <c r="S2187" s="0" t="n">
        <v>3</v>
      </c>
      <c r="T2187" s="21" t="s">
        <v>3649</v>
      </c>
      <c r="U2187" s="22" t="b">
        <f aca="false">TRUE()</f>
        <v>1</v>
      </c>
      <c r="V2187" s="0" t="n">
        <v>0.68</v>
      </c>
      <c r="W2187" s="0" t="n">
        <v>0.84</v>
      </c>
      <c r="X2187" s="0" t="n">
        <v>7.86</v>
      </c>
      <c r="Y2187" s="0" t="n">
        <v>320.36</v>
      </c>
      <c r="Z2187" s="0" t="n">
        <v>11.5</v>
      </c>
      <c r="AA2187" s="0" t="n">
        <v>10.85</v>
      </c>
      <c r="AB2187" s="0" t="n">
        <v>0.77</v>
      </c>
      <c r="AC2187" s="22" t="b">
        <f aca="false">FALSE()</f>
        <v>0</v>
      </c>
      <c r="AD2187" s="0" t="n">
        <v>9.47</v>
      </c>
      <c r="AE2187" s="0" t="n">
        <v>0.75</v>
      </c>
      <c r="AF2187" s="0" t="n">
        <v>15.59</v>
      </c>
      <c r="AG2187" s="22" t="b">
        <f aca="false">FALSE()</f>
        <v>0</v>
      </c>
      <c r="AH2187" s="0" t="n">
        <v>1</v>
      </c>
    </row>
    <row r="2188" customFormat="false" ht="15" hidden="false" customHeight="false" outlineLevel="0" collapsed="false">
      <c r="A2188" s="0" t="s">
        <v>3248</v>
      </c>
      <c r="B2188" s="0" t="s">
        <v>134</v>
      </c>
      <c r="C2188" s="0" t="s">
        <v>3447</v>
      </c>
      <c r="D2188" s="0" t="s">
        <v>3457</v>
      </c>
      <c r="E2188" s="19" t="s">
        <v>26</v>
      </c>
      <c r="F2188" s="19" t="s">
        <v>32</v>
      </c>
      <c r="G2188" s="21" t="s">
        <v>529</v>
      </c>
      <c r="H2188" s="21" t="s">
        <v>24</v>
      </c>
      <c r="I2188" s="21" t="s">
        <v>26</v>
      </c>
      <c r="J2188" s="21" t="s">
        <v>24</v>
      </c>
      <c r="K2188" s="21" t="s">
        <v>24</v>
      </c>
      <c r="L2188" s="21" t="s">
        <v>24</v>
      </c>
      <c r="M2188" s="0" t="n">
        <v>185</v>
      </c>
      <c r="N2188" s="0" t="n">
        <v>8</v>
      </c>
      <c r="O2188" s="21" t="s">
        <v>4167</v>
      </c>
      <c r="P2188" s="21" t="s">
        <v>4933</v>
      </c>
      <c r="Q2188" s="0" t="n">
        <v>1</v>
      </c>
      <c r="R2188" s="21" t="s">
        <v>69</v>
      </c>
      <c r="S2188" s="0" t="n">
        <v>8</v>
      </c>
      <c r="T2188" s="21" t="s">
        <v>4167</v>
      </c>
      <c r="U2188" s="22" t="b">
        <f aca="false">FALSE()</f>
        <v>0</v>
      </c>
      <c r="V2188" s="0" t="n">
        <v>0.62</v>
      </c>
      <c r="W2188" s="0" t="n">
        <v>0.32</v>
      </c>
      <c r="X2188" s="0" t="n">
        <v>8.13</v>
      </c>
      <c r="Y2188" s="0" t="n">
        <v>383.61</v>
      </c>
      <c r="Z2188" s="0" t="n">
        <v>11</v>
      </c>
      <c r="AA2188" s="0" t="n">
        <v>2.03</v>
      </c>
      <c r="AB2188" s="0" t="n">
        <v>9.19</v>
      </c>
      <c r="AC2188" s="22" t="b">
        <f aca="false">FALSE()</f>
        <v>0</v>
      </c>
      <c r="AD2188" s="0" t="n">
        <v>10.17</v>
      </c>
      <c r="AE2188" s="0" t="n">
        <v>0.61</v>
      </c>
      <c r="AF2188" s="0" t="n">
        <v>13.05</v>
      </c>
      <c r="AG2188" s="22" t="b">
        <f aca="false">TRUE()</f>
        <v>1</v>
      </c>
      <c r="AH2188" s="0" t="n">
        <v>1</v>
      </c>
    </row>
    <row r="2189" customFormat="false" ht="15" hidden="false" customHeight="false" outlineLevel="0" collapsed="false">
      <c r="A2189" s="0" t="s">
        <v>3248</v>
      </c>
      <c r="B2189" s="0" t="s">
        <v>134</v>
      </c>
      <c r="C2189" s="0" t="s">
        <v>3447</v>
      </c>
      <c r="D2189" s="0" t="s">
        <v>3448</v>
      </c>
      <c r="E2189" s="19" t="s">
        <v>26</v>
      </c>
      <c r="F2189" s="19" t="s">
        <v>32</v>
      </c>
      <c r="G2189" s="21" t="s">
        <v>1311</v>
      </c>
      <c r="H2189" s="21" t="s">
        <v>24</v>
      </c>
      <c r="I2189" s="21" t="s">
        <v>26</v>
      </c>
      <c r="J2189" s="21" t="s">
        <v>24</v>
      </c>
      <c r="K2189" s="21" t="s">
        <v>25</v>
      </c>
      <c r="L2189" s="21" t="s">
        <v>24</v>
      </c>
      <c r="M2189" s="0" t="n">
        <v>184</v>
      </c>
      <c r="N2189" s="0" t="n">
        <v>11</v>
      </c>
      <c r="O2189" s="21" t="s">
        <v>4078</v>
      </c>
      <c r="P2189" s="21" t="s">
        <v>4567</v>
      </c>
      <c r="Q2189" s="0" t="n">
        <v>1</v>
      </c>
      <c r="R2189" s="21" t="s">
        <v>69</v>
      </c>
      <c r="S2189" s="0" t="n">
        <v>11</v>
      </c>
      <c r="T2189" s="21" t="s">
        <v>4078</v>
      </c>
      <c r="U2189" s="22" t="b">
        <f aca="false">FALSE()</f>
        <v>0</v>
      </c>
      <c r="V2189" s="0" t="n">
        <v>0.69</v>
      </c>
      <c r="W2189" s="0" t="n">
        <v>0.6</v>
      </c>
      <c r="X2189" s="0" t="n">
        <v>8.38</v>
      </c>
      <c r="Y2189" s="0" t="n">
        <v>323.89</v>
      </c>
      <c r="Z2189" s="0" t="n">
        <v>8</v>
      </c>
      <c r="AA2189" s="0" t="n">
        <v>-0.91</v>
      </c>
      <c r="AB2189" s="0" t="n">
        <v>0.77</v>
      </c>
      <c r="AC2189" s="22" t="b">
        <f aca="false">FALSE()</f>
        <v>0</v>
      </c>
      <c r="AD2189" s="0" t="n">
        <v>2.17</v>
      </c>
      <c r="AE2189" s="0" t="n">
        <v>1.64</v>
      </c>
      <c r="AF2189" s="0" t="n">
        <v>8.2</v>
      </c>
      <c r="AG2189" s="22" t="b">
        <f aca="false">FALSE()</f>
        <v>0</v>
      </c>
      <c r="AH2189" s="0" t="n">
        <v>1</v>
      </c>
    </row>
    <row r="2190" customFormat="false" ht="15" hidden="false" customHeight="false" outlineLevel="0" collapsed="false">
      <c r="A2190" s="0" t="s">
        <v>3259</v>
      </c>
      <c r="B2190" s="0" t="s">
        <v>134</v>
      </c>
      <c r="C2190" s="0" t="s">
        <v>3450</v>
      </c>
      <c r="D2190" s="0" t="s">
        <v>3457</v>
      </c>
      <c r="E2190" s="18" t="s">
        <v>24</v>
      </c>
      <c r="F2190" s="18" t="s">
        <v>28</v>
      </c>
      <c r="H2190" s="21" t="s">
        <v>24</v>
      </c>
      <c r="I2190" s="21" t="s">
        <v>24</v>
      </c>
      <c r="J2190" s="21" t="s">
        <v>24</v>
      </c>
      <c r="K2190" s="21" t="s">
        <v>24</v>
      </c>
      <c r="L2190" s="21" t="s">
        <v>24</v>
      </c>
      <c r="M2190" s="0" t="n">
        <v>186</v>
      </c>
      <c r="N2190" s="0" t="n">
        <v>0</v>
      </c>
      <c r="Q2190" s="0" t="n">
        <v>0</v>
      </c>
      <c r="S2190" s="0" t="n">
        <v>0</v>
      </c>
      <c r="U2190" s="22" t="b">
        <f aca="false">FALSE()</f>
        <v>0</v>
      </c>
      <c r="V2190" s="0" t="n">
        <v>0.71</v>
      </c>
      <c r="W2190" s="0" t="n">
        <v>0.68</v>
      </c>
      <c r="X2190" s="0" t="n">
        <v>8.26</v>
      </c>
      <c r="Y2190" s="0" t="n">
        <v>324.63</v>
      </c>
      <c r="Z2190" s="0" t="n">
        <v>9.25</v>
      </c>
      <c r="AA2190" s="0" t="n">
        <v>7.63</v>
      </c>
      <c r="AB2190" s="0" t="n">
        <v>8.02</v>
      </c>
      <c r="AC2190" s="22" t="b">
        <f aca="false">FALSE()</f>
        <v>0</v>
      </c>
      <c r="AD2190" s="0" t="n">
        <v>4.09</v>
      </c>
      <c r="AE2190" s="0" t="n">
        <v>0.63</v>
      </c>
      <c r="AF2190" s="0" t="n">
        <v>5.53</v>
      </c>
      <c r="AG2190" s="22" t="b">
        <f aca="false">FALSE()</f>
        <v>0</v>
      </c>
      <c r="AH2190" s="0" t="n">
        <v>1</v>
      </c>
    </row>
    <row r="2191" customFormat="false" ht="15" hidden="false" customHeight="false" outlineLevel="0" collapsed="false">
      <c r="A2191" s="0" t="s">
        <v>3259</v>
      </c>
      <c r="B2191" s="0" t="s">
        <v>134</v>
      </c>
      <c r="C2191" s="0" t="s">
        <v>3450</v>
      </c>
      <c r="D2191" s="0" t="s">
        <v>3448</v>
      </c>
      <c r="E2191" s="18" t="s">
        <v>24</v>
      </c>
      <c r="F2191" s="18" t="s">
        <v>28</v>
      </c>
      <c r="H2191" s="21" t="s">
        <v>24</v>
      </c>
      <c r="I2191" s="21" t="s">
        <v>24</v>
      </c>
      <c r="J2191" s="21" t="s">
        <v>24</v>
      </c>
      <c r="K2191" s="21" t="s">
        <v>24</v>
      </c>
      <c r="L2191" s="21" t="s">
        <v>24</v>
      </c>
      <c r="M2191" s="0" t="n">
        <v>195</v>
      </c>
      <c r="N2191" s="0" t="n">
        <v>0</v>
      </c>
      <c r="Q2191" s="0" t="n">
        <v>0</v>
      </c>
      <c r="S2191" s="0" t="n">
        <v>0</v>
      </c>
      <c r="U2191" s="22" t="b">
        <f aca="false">FALSE()</f>
        <v>0</v>
      </c>
      <c r="V2191" s="0" t="n">
        <v>0.77</v>
      </c>
      <c r="W2191" s="0" t="n">
        <v>0.84</v>
      </c>
      <c r="X2191" s="0" t="n">
        <v>7.33</v>
      </c>
      <c r="Y2191" s="0" t="n">
        <v>340.45</v>
      </c>
      <c r="Z2191" s="0" t="n">
        <v>8.75</v>
      </c>
      <c r="AA2191" s="0" t="n">
        <v>11.79</v>
      </c>
      <c r="AB2191" s="0" t="n">
        <v>2.58</v>
      </c>
      <c r="AC2191" s="22" t="b">
        <f aca="false">FALSE()</f>
        <v>0</v>
      </c>
      <c r="AD2191" s="0" t="n">
        <v>6.42</v>
      </c>
      <c r="AE2191" s="0" t="n">
        <v>0.97</v>
      </c>
      <c r="AF2191" s="0" t="n">
        <v>9.11</v>
      </c>
      <c r="AG2191" s="22" t="b">
        <f aca="false">FALSE()</f>
        <v>0</v>
      </c>
      <c r="AH2191" s="0" t="n">
        <v>1</v>
      </c>
    </row>
    <row r="2192" customFormat="false" ht="15" hidden="false" customHeight="false" outlineLevel="0" collapsed="false">
      <c r="A2192" s="0" t="s">
        <v>3259</v>
      </c>
      <c r="B2192" s="0" t="s">
        <v>134</v>
      </c>
      <c r="C2192" s="0" t="s">
        <v>3447</v>
      </c>
      <c r="D2192" s="0" t="s">
        <v>3457</v>
      </c>
      <c r="E2192" s="18" t="s">
        <v>24</v>
      </c>
      <c r="F2192" s="18" t="s">
        <v>28</v>
      </c>
      <c r="H2192" s="21" t="s">
        <v>24</v>
      </c>
      <c r="I2192" s="21" t="s">
        <v>24</v>
      </c>
      <c r="J2192" s="21" t="s">
        <v>24</v>
      </c>
      <c r="K2192" s="21" t="s">
        <v>24</v>
      </c>
      <c r="L2192" s="21" t="s">
        <v>24</v>
      </c>
      <c r="M2192" s="0" t="n">
        <v>188</v>
      </c>
      <c r="N2192" s="0" t="n">
        <v>0</v>
      </c>
      <c r="Q2192" s="0" t="n">
        <v>0</v>
      </c>
      <c r="S2192" s="0" t="n">
        <v>0</v>
      </c>
      <c r="U2192" s="22" t="b">
        <f aca="false">FALSE()</f>
        <v>0</v>
      </c>
      <c r="V2192" s="0" t="n">
        <v>0.8</v>
      </c>
      <c r="W2192" s="0" t="n">
        <v>0.24</v>
      </c>
      <c r="X2192" s="0" t="n">
        <v>8.65</v>
      </c>
      <c r="Y2192" s="0" t="n">
        <v>478.54</v>
      </c>
      <c r="Z2192" s="0" t="n">
        <v>9.67</v>
      </c>
      <c r="AA2192" s="0" t="n">
        <v>4.13</v>
      </c>
      <c r="AB2192" s="0" t="n">
        <v>8.02</v>
      </c>
      <c r="AC2192" s="22" t="b">
        <f aca="false">FALSE()</f>
        <v>0</v>
      </c>
      <c r="AD2192" s="0" t="n">
        <v>6.41</v>
      </c>
      <c r="AE2192" s="0" t="n">
        <v>0.66</v>
      </c>
      <c r="AF2192" s="0" t="n">
        <v>8.81</v>
      </c>
      <c r="AG2192" s="22" t="b">
        <f aca="false">FALSE()</f>
        <v>0</v>
      </c>
      <c r="AH2192" s="0" t="n">
        <v>1</v>
      </c>
    </row>
    <row r="2193" customFormat="false" ht="15" hidden="false" customHeight="false" outlineLevel="0" collapsed="false">
      <c r="A2193" s="0" t="s">
        <v>3259</v>
      </c>
      <c r="B2193" s="0" t="s">
        <v>134</v>
      </c>
      <c r="C2193" s="0" t="s">
        <v>3447</v>
      </c>
      <c r="D2193" s="0" t="s">
        <v>3448</v>
      </c>
      <c r="E2193" s="18" t="s">
        <v>24</v>
      </c>
      <c r="F2193" s="18" t="s">
        <v>28</v>
      </c>
      <c r="H2193" s="21" t="s">
        <v>24</v>
      </c>
      <c r="I2193" s="21" t="s">
        <v>24</v>
      </c>
      <c r="J2193" s="21" t="s">
        <v>24</v>
      </c>
      <c r="K2193" s="21" t="s">
        <v>24</v>
      </c>
      <c r="L2193" s="21" t="s">
        <v>24</v>
      </c>
      <c r="M2193" s="0" t="n">
        <v>187</v>
      </c>
      <c r="N2193" s="0" t="n">
        <v>0</v>
      </c>
      <c r="Q2193" s="0" t="n">
        <v>0</v>
      </c>
      <c r="S2193" s="0" t="n">
        <v>0</v>
      </c>
      <c r="U2193" s="22" t="b">
        <f aca="false">FALSE()</f>
        <v>0</v>
      </c>
      <c r="V2193" s="0" t="n">
        <v>0.85</v>
      </c>
      <c r="W2193" s="0" t="n">
        <v>0.6</v>
      </c>
      <c r="X2193" s="0" t="n">
        <v>11.18</v>
      </c>
      <c r="Y2193" s="0" t="n">
        <v>323.76</v>
      </c>
      <c r="Z2193" s="0" t="n">
        <v>9.5</v>
      </c>
      <c r="AA2193" s="0" t="n">
        <v>7.15</v>
      </c>
      <c r="AB2193" s="0" t="n">
        <v>2.58</v>
      </c>
      <c r="AC2193" s="22" t="b">
        <f aca="false">FALSE()</f>
        <v>0</v>
      </c>
      <c r="AD2193" s="0" t="n">
        <v>4.11</v>
      </c>
      <c r="AE2193" s="0" t="n">
        <v>4.12</v>
      </c>
      <c r="AF2193" s="0" t="n">
        <v>5.63</v>
      </c>
      <c r="AG2193" s="22" t="b">
        <f aca="false">FALSE()</f>
        <v>0</v>
      </c>
      <c r="AH2193" s="0" t="n">
        <v>1</v>
      </c>
    </row>
    <row r="2194" customFormat="false" ht="15" hidden="false" customHeight="false" outlineLevel="0" collapsed="false">
      <c r="A2194" s="0" t="s">
        <v>3259</v>
      </c>
      <c r="B2194" s="0" t="s">
        <v>3459</v>
      </c>
      <c r="C2194" s="0" t="s">
        <v>3450</v>
      </c>
      <c r="D2194" s="0" t="s">
        <v>3457</v>
      </c>
      <c r="E2194" s="20" t="s">
        <v>25</v>
      </c>
      <c r="F2194" s="23" t="s">
        <v>30</v>
      </c>
      <c r="G2194" s="21" t="s">
        <v>992</v>
      </c>
      <c r="H2194" s="21" t="s">
        <v>24</v>
      </c>
      <c r="I2194" s="21" t="s">
        <v>24</v>
      </c>
      <c r="J2194" s="21" t="s">
        <v>24</v>
      </c>
      <c r="K2194" s="21" t="s">
        <v>25</v>
      </c>
      <c r="L2194" s="21" t="s">
        <v>24</v>
      </c>
      <c r="M2194" s="0" t="n">
        <v>183</v>
      </c>
      <c r="N2194" s="0" t="n">
        <v>4</v>
      </c>
      <c r="O2194" s="21" t="s">
        <v>3756</v>
      </c>
      <c r="P2194" s="21" t="s">
        <v>4934</v>
      </c>
      <c r="Q2194" s="0" t="n">
        <v>0</v>
      </c>
      <c r="S2194" s="0" t="n">
        <v>4</v>
      </c>
      <c r="T2194" s="21" t="s">
        <v>3756</v>
      </c>
      <c r="U2194" s="22" t="b">
        <f aca="false">TRUE()</f>
        <v>1</v>
      </c>
      <c r="V2194" s="0" t="n">
        <v>0.62</v>
      </c>
      <c r="W2194" s="0" t="n">
        <v>0.76</v>
      </c>
      <c r="X2194" s="0" t="n">
        <v>9.1</v>
      </c>
      <c r="Y2194" s="0" t="n">
        <v>303.89</v>
      </c>
      <c r="Z2194" s="0" t="n">
        <v>9.42</v>
      </c>
      <c r="AA2194" s="0" t="n">
        <v>17.51</v>
      </c>
      <c r="AB2194" s="0" t="n">
        <v>11.28</v>
      </c>
      <c r="AC2194" s="22" t="b">
        <f aca="false">FALSE()</f>
        <v>0</v>
      </c>
      <c r="AD2194" s="0" t="n">
        <v>23.09</v>
      </c>
      <c r="AE2194" s="0" t="n">
        <v>10.61</v>
      </c>
      <c r="AF2194" s="0" t="n">
        <v>17.85</v>
      </c>
      <c r="AG2194" s="22" t="b">
        <f aca="false">TRUE()</f>
        <v>1</v>
      </c>
      <c r="AH2194" s="0" t="n">
        <v>1</v>
      </c>
    </row>
    <row r="2195" customFormat="false" ht="15" hidden="false" customHeight="false" outlineLevel="0" collapsed="false">
      <c r="A2195" s="0" t="s">
        <v>3259</v>
      </c>
      <c r="B2195" s="0" t="s">
        <v>3459</v>
      </c>
      <c r="C2195" s="0" t="s">
        <v>3450</v>
      </c>
      <c r="D2195" s="0" t="s">
        <v>3448</v>
      </c>
      <c r="E2195" s="20" t="s">
        <v>25</v>
      </c>
      <c r="F2195" s="23" t="s">
        <v>30</v>
      </c>
      <c r="G2195" s="21" t="s">
        <v>183</v>
      </c>
      <c r="H2195" s="21" t="s">
        <v>24</v>
      </c>
      <c r="I2195" s="21" t="s">
        <v>25</v>
      </c>
      <c r="J2195" s="21" t="s">
        <v>24</v>
      </c>
      <c r="K2195" s="21" t="s">
        <v>25</v>
      </c>
      <c r="L2195" s="21" t="s">
        <v>24</v>
      </c>
      <c r="M2195" s="0" t="n">
        <v>182</v>
      </c>
      <c r="N2195" s="0" t="n">
        <v>3</v>
      </c>
      <c r="O2195" s="21" t="s">
        <v>3664</v>
      </c>
      <c r="P2195" s="21" t="s">
        <v>4331</v>
      </c>
      <c r="Q2195" s="0" t="n">
        <v>1</v>
      </c>
      <c r="R2195" s="21" t="s">
        <v>69</v>
      </c>
      <c r="S2195" s="0" t="n">
        <v>3</v>
      </c>
      <c r="T2195" s="21" t="s">
        <v>3664</v>
      </c>
      <c r="U2195" s="22" t="b">
        <f aca="false">TRUE()</f>
        <v>1</v>
      </c>
      <c r="V2195" s="0" t="n">
        <v>0.73</v>
      </c>
      <c r="W2195" s="0" t="n">
        <v>0.2</v>
      </c>
      <c r="X2195" s="0" t="n">
        <v>8.48</v>
      </c>
      <c r="Y2195" s="0" t="n">
        <v>504.56</v>
      </c>
      <c r="Z2195" s="0" t="n">
        <v>9</v>
      </c>
      <c r="AA2195" s="0" t="n">
        <v>18.43</v>
      </c>
      <c r="AB2195" s="0" t="n">
        <v>5.58</v>
      </c>
      <c r="AC2195" s="22" t="b">
        <f aca="false">FALSE()</f>
        <v>0</v>
      </c>
      <c r="AD2195" s="0" t="n">
        <v>21.44</v>
      </c>
      <c r="AE2195" s="0" t="n">
        <v>9.22</v>
      </c>
      <c r="AF2195" s="0" t="n">
        <v>16.58</v>
      </c>
      <c r="AG2195" s="22" t="b">
        <f aca="false">TRUE()</f>
        <v>1</v>
      </c>
      <c r="AH2195" s="0" t="n">
        <v>1</v>
      </c>
    </row>
    <row r="2196" customFormat="false" ht="15" hidden="false" customHeight="false" outlineLevel="0" collapsed="false">
      <c r="A2196" s="0" t="s">
        <v>3259</v>
      </c>
      <c r="B2196" s="0" t="s">
        <v>3459</v>
      </c>
      <c r="C2196" s="0" t="s">
        <v>3447</v>
      </c>
      <c r="D2196" s="0" t="s">
        <v>3457</v>
      </c>
      <c r="E2196" s="18" t="s">
        <v>24</v>
      </c>
      <c r="F2196" s="23" t="s">
        <v>30</v>
      </c>
      <c r="G2196" s="21" t="s">
        <v>30</v>
      </c>
      <c r="H2196" s="21" t="s">
        <v>24</v>
      </c>
      <c r="I2196" s="21" t="s">
        <v>24</v>
      </c>
      <c r="J2196" s="21" t="s">
        <v>24</v>
      </c>
      <c r="K2196" s="21" t="s">
        <v>24</v>
      </c>
      <c r="L2196" s="21" t="s">
        <v>24</v>
      </c>
      <c r="M2196" s="0" t="n">
        <v>183</v>
      </c>
      <c r="N2196" s="0" t="n">
        <v>3</v>
      </c>
      <c r="O2196" s="21" t="s">
        <v>3538</v>
      </c>
      <c r="P2196" s="21" t="s">
        <v>4235</v>
      </c>
      <c r="Q2196" s="0" t="n">
        <v>0</v>
      </c>
      <c r="S2196" s="0" t="n">
        <v>3</v>
      </c>
      <c r="T2196" s="21" t="s">
        <v>3538</v>
      </c>
      <c r="U2196" s="22" t="b">
        <f aca="false">TRUE()</f>
        <v>1</v>
      </c>
      <c r="V2196" s="0" t="n">
        <v>0.88</v>
      </c>
      <c r="W2196" s="0" t="n">
        <v>0.6</v>
      </c>
      <c r="X2196" s="0" t="n">
        <v>12.56</v>
      </c>
      <c r="Y2196" s="0" t="n">
        <v>302.27</v>
      </c>
      <c r="Z2196" s="0" t="n">
        <v>9.17</v>
      </c>
      <c r="AA2196" s="0" t="n">
        <v>-4.03</v>
      </c>
      <c r="AB2196" s="0" t="n">
        <v>11.28</v>
      </c>
      <c r="AC2196" s="22" t="b">
        <f aca="false">FALSE()</f>
        <v>0</v>
      </c>
      <c r="AD2196" s="0" t="n">
        <v>19.2</v>
      </c>
      <c r="AE2196" s="0" t="n">
        <v>8.75</v>
      </c>
      <c r="AF2196" s="0" t="n">
        <v>17.14</v>
      </c>
      <c r="AG2196" s="22" t="b">
        <f aca="false">TRUE()</f>
        <v>1</v>
      </c>
      <c r="AH2196" s="0" t="n">
        <v>1</v>
      </c>
    </row>
    <row r="2197" customFormat="false" ht="15" hidden="false" customHeight="false" outlineLevel="0" collapsed="false">
      <c r="A2197" s="0" t="s">
        <v>3259</v>
      </c>
      <c r="B2197" s="0" t="s">
        <v>3459</v>
      </c>
      <c r="C2197" s="0" t="s">
        <v>3447</v>
      </c>
      <c r="D2197" s="0" t="s">
        <v>3448</v>
      </c>
      <c r="E2197" s="20" t="s">
        <v>25</v>
      </c>
      <c r="F2197" s="23" t="s">
        <v>30</v>
      </c>
      <c r="G2197" s="21" t="s">
        <v>992</v>
      </c>
      <c r="H2197" s="21" t="s">
        <v>24</v>
      </c>
      <c r="I2197" s="21" t="s">
        <v>24</v>
      </c>
      <c r="J2197" s="21" t="s">
        <v>24</v>
      </c>
      <c r="K2197" s="21" t="s">
        <v>25</v>
      </c>
      <c r="L2197" s="21" t="s">
        <v>24</v>
      </c>
      <c r="M2197" s="0" t="n">
        <v>183</v>
      </c>
      <c r="N2197" s="0" t="n">
        <v>4</v>
      </c>
      <c r="O2197" s="21" t="s">
        <v>3629</v>
      </c>
      <c r="P2197" s="21" t="s">
        <v>4935</v>
      </c>
      <c r="Q2197" s="0" t="n">
        <v>0</v>
      </c>
      <c r="S2197" s="0" t="n">
        <v>4</v>
      </c>
      <c r="T2197" s="21" t="s">
        <v>3629</v>
      </c>
      <c r="U2197" s="22" t="b">
        <f aca="false">TRUE()</f>
        <v>1</v>
      </c>
      <c r="V2197" s="0" t="n">
        <v>0.82</v>
      </c>
      <c r="W2197" s="0" t="n">
        <v>0.24</v>
      </c>
      <c r="X2197" s="0" t="n">
        <v>11.14</v>
      </c>
      <c r="Y2197" s="0" t="n">
        <v>464.02</v>
      </c>
      <c r="Z2197" s="0" t="n">
        <v>9.83</v>
      </c>
      <c r="AA2197" s="0" t="n">
        <v>8.21</v>
      </c>
      <c r="AB2197" s="0" t="n">
        <v>5.58</v>
      </c>
      <c r="AC2197" s="22" t="b">
        <f aca="false">FALSE()</f>
        <v>0</v>
      </c>
      <c r="AD2197" s="0" t="n">
        <v>20.66</v>
      </c>
      <c r="AE2197" s="0" t="n">
        <v>6.85</v>
      </c>
      <c r="AF2197" s="0" t="n">
        <v>14.03</v>
      </c>
      <c r="AG2197" s="22" t="b">
        <f aca="false">TRUE()</f>
        <v>1</v>
      </c>
      <c r="AH2197" s="0" t="n">
        <v>1</v>
      </c>
    </row>
    <row r="2198" customFormat="false" ht="15" hidden="false" customHeight="false" outlineLevel="0" collapsed="false">
      <c r="A2198" s="0" t="s">
        <v>3268</v>
      </c>
      <c r="B2198" s="0" t="s">
        <v>134</v>
      </c>
      <c r="C2198" s="0" t="s">
        <v>3450</v>
      </c>
      <c r="D2198" s="0" t="s">
        <v>3457</v>
      </c>
      <c r="E2198" s="20" t="s">
        <v>25</v>
      </c>
      <c r="F2198" s="23" t="s">
        <v>30</v>
      </c>
      <c r="G2198" s="21" t="s">
        <v>1140</v>
      </c>
      <c r="H2198" s="21" t="s">
        <v>24</v>
      </c>
      <c r="I2198" s="21" t="s">
        <v>25</v>
      </c>
      <c r="J2198" s="21" t="s">
        <v>24</v>
      </c>
      <c r="K2198" s="21" t="s">
        <v>25</v>
      </c>
      <c r="L2198" s="21" t="s">
        <v>24</v>
      </c>
      <c r="M2198" s="0" t="n">
        <v>189</v>
      </c>
      <c r="N2198" s="0" t="n">
        <v>4</v>
      </c>
      <c r="O2198" s="21" t="s">
        <v>3790</v>
      </c>
      <c r="P2198" s="21" t="s">
        <v>4434</v>
      </c>
      <c r="Q2198" s="0" t="n">
        <v>1</v>
      </c>
      <c r="R2198" s="21" t="s">
        <v>69</v>
      </c>
      <c r="S2198" s="0" t="n">
        <v>4</v>
      </c>
      <c r="T2198" s="21" t="s">
        <v>3790</v>
      </c>
      <c r="U2198" s="22" t="b">
        <f aca="false">TRUE()</f>
        <v>1</v>
      </c>
      <c r="V2198" s="0" t="n">
        <v>0.73</v>
      </c>
      <c r="W2198" s="0" t="n">
        <v>0.28</v>
      </c>
      <c r="X2198" s="0" t="n">
        <v>10.13</v>
      </c>
      <c r="Y2198" s="0" t="n">
        <v>429.93</v>
      </c>
      <c r="Z2198" s="0" t="n">
        <v>10.25</v>
      </c>
      <c r="AA2198" s="0" t="n">
        <v>15.06</v>
      </c>
      <c r="AB2198" s="0" t="n">
        <v>13.35</v>
      </c>
      <c r="AC2198" s="22" t="b">
        <f aca="false">FALSE()</f>
        <v>0</v>
      </c>
      <c r="AD2198" s="0" t="n">
        <v>30.66</v>
      </c>
      <c r="AE2198" s="0" t="n">
        <v>2.43</v>
      </c>
      <c r="AF2198" s="0" t="n">
        <v>32.47</v>
      </c>
      <c r="AG2198" s="22" t="b">
        <f aca="false">TRUE()</f>
        <v>1</v>
      </c>
      <c r="AH2198" s="0" t="n">
        <v>1</v>
      </c>
    </row>
    <row r="2199" customFormat="false" ht="15" hidden="false" customHeight="false" outlineLevel="0" collapsed="false">
      <c r="A2199" s="0" t="s">
        <v>3268</v>
      </c>
      <c r="B2199" s="0" t="s">
        <v>134</v>
      </c>
      <c r="C2199" s="0" t="s">
        <v>3450</v>
      </c>
      <c r="D2199" s="0" t="s">
        <v>3448</v>
      </c>
      <c r="E2199" s="20" t="s">
        <v>25</v>
      </c>
      <c r="F2199" s="23" t="s">
        <v>30</v>
      </c>
      <c r="G2199" s="21" t="s">
        <v>183</v>
      </c>
      <c r="H2199" s="21" t="s">
        <v>24</v>
      </c>
      <c r="I2199" s="21" t="s">
        <v>25</v>
      </c>
      <c r="J2199" s="21" t="s">
        <v>24</v>
      </c>
      <c r="K2199" s="21" t="s">
        <v>25</v>
      </c>
      <c r="L2199" s="21" t="s">
        <v>24</v>
      </c>
      <c r="M2199" s="0" t="n">
        <v>186</v>
      </c>
      <c r="N2199" s="0" t="n">
        <v>6</v>
      </c>
      <c r="O2199" s="21" t="s">
        <v>3861</v>
      </c>
      <c r="P2199" s="21" t="s">
        <v>4936</v>
      </c>
      <c r="Q2199" s="0" t="n">
        <v>1</v>
      </c>
      <c r="R2199" s="21" t="s">
        <v>69</v>
      </c>
      <c r="S2199" s="0" t="n">
        <v>6</v>
      </c>
      <c r="T2199" s="21" t="s">
        <v>3861</v>
      </c>
      <c r="U2199" s="22" t="b">
        <f aca="false">TRUE()</f>
        <v>1</v>
      </c>
      <c r="V2199" s="0" t="n">
        <v>0.71</v>
      </c>
      <c r="W2199" s="0" t="n">
        <v>0.72</v>
      </c>
      <c r="X2199" s="0" t="n">
        <v>9.81</v>
      </c>
      <c r="Y2199" s="0" t="n">
        <v>319.72</v>
      </c>
      <c r="Z2199" s="0" t="n">
        <v>10.25</v>
      </c>
      <c r="AA2199" s="0" t="n">
        <v>14.83</v>
      </c>
      <c r="AB2199" s="0" t="n">
        <v>19.2</v>
      </c>
      <c r="AC2199" s="22" t="b">
        <f aca="false">FALSE()</f>
        <v>0</v>
      </c>
      <c r="AD2199" s="0" t="n">
        <v>23.59</v>
      </c>
      <c r="AE2199" s="0" t="n">
        <v>1.82</v>
      </c>
      <c r="AF2199" s="0" t="n">
        <v>12.74</v>
      </c>
      <c r="AG2199" s="22" t="b">
        <f aca="false">TRUE()</f>
        <v>1</v>
      </c>
      <c r="AH2199" s="0" t="n">
        <v>1</v>
      </c>
    </row>
    <row r="2200" customFormat="false" ht="15" hidden="false" customHeight="false" outlineLevel="0" collapsed="false">
      <c r="A2200" s="0" t="s">
        <v>3268</v>
      </c>
      <c r="B2200" s="0" t="s">
        <v>134</v>
      </c>
      <c r="C2200" s="0" t="s">
        <v>3447</v>
      </c>
      <c r="D2200" s="0" t="s">
        <v>3457</v>
      </c>
      <c r="E2200" s="20" t="s">
        <v>25</v>
      </c>
      <c r="F2200" s="23" t="s">
        <v>30</v>
      </c>
      <c r="G2200" s="21" t="s">
        <v>1140</v>
      </c>
      <c r="H2200" s="21" t="s">
        <v>24</v>
      </c>
      <c r="I2200" s="21" t="s">
        <v>25</v>
      </c>
      <c r="J2200" s="21" t="s">
        <v>24</v>
      </c>
      <c r="K2200" s="21" t="s">
        <v>25</v>
      </c>
      <c r="L2200" s="21" t="s">
        <v>24</v>
      </c>
      <c r="M2200" s="0" t="n">
        <v>186</v>
      </c>
      <c r="N2200" s="0" t="n">
        <v>1</v>
      </c>
      <c r="O2200" s="21" t="s">
        <v>69</v>
      </c>
      <c r="P2200" s="21" t="s">
        <v>4275</v>
      </c>
      <c r="Q2200" s="0" t="n">
        <v>1</v>
      </c>
      <c r="R2200" s="21" t="s">
        <v>69</v>
      </c>
      <c r="S2200" s="0" t="n">
        <v>1</v>
      </c>
      <c r="T2200" s="21" t="s">
        <v>69</v>
      </c>
      <c r="U2200" s="22" t="b">
        <f aca="false">TRUE()</f>
        <v>1</v>
      </c>
      <c r="V2200" s="0" t="n">
        <v>0.77</v>
      </c>
      <c r="W2200" s="0" t="n">
        <v>0.28</v>
      </c>
      <c r="X2200" s="0" t="n">
        <v>8.74</v>
      </c>
      <c r="Y2200" s="0" t="n">
        <v>434.85</v>
      </c>
      <c r="Z2200" s="0" t="n">
        <v>10.08</v>
      </c>
      <c r="AA2200" s="0" t="n">
        <v>-1.17</v>
      </c>
      <c r="AB2200" s="0" t="n">
        <v>13.35</v>
      </c>
      <c r="AC2200" s="22" t="b">
        <f aca="false">FALSE()</f>
        <v>0</v>
      </c>
      <c r="AD2200" s="0" t="n">
        <v>30.61</v>
      </c>
      <c r="AE2200" s="0" t="n">
        <v>1.71</v>
      </c>
      <c r="AF2200" s="0" t="n">
        <v>32.87</v>
      </c>
      <c r="AG2200" s="22" t="b">
        <f aca="false">TRUE()</f>
        <v>1</v>
      </c>
      <c r="AH2200" s="0" t="n">
        <v>1</v>
      </c>
    </row>
    <row r="2201" customFormat="false" ht="15" hidden="false" customHeight="false" outlineLevel="0" collapsed="false">
      <c r="A2201" s="0" t="s">
        <v>3268</v>
      </c>
      <c r="B2201" s="0" t="s">
        <v>134</v>
      </c>
      <c r="C2201" s="0" t="s">
        <v>3447</v>
      </c>
      <c r="D2201" s="0" t="s">
        <v>3448</v>
      </c>
      <c r="E2201" s="20" t="s">
        <v>25</v>
      </c>
      <c r="F2201" s="23" t="s">
        <v>30</v>
      </c>
      <c r="G2201" s="21" t="s">
        <v>183</v>
      </c>
      <c r="H2201" s="21" t="s">
        <v>24</v>
      </c>
      <c r="I2201" s="21" t="s">
        <v>25</v>
      </c>
      <c r="J2201" s="21" t="s">
        <v>24</v>
      </c>
      <c r="K2201" s="21" t="s">
        <v>25</v>
      </c>
      <c r="L2201" s="21" t="s">
        <v>24</v>
      </c>
      <c r="M2201" s="0" t="n">
        <v>189</v>
      </c>
      <c r="N2201" s="0" t="n">
        <v>6</v>
      </c>
      <c r="O2201" s="21" t="s">
        <v>3854</v>
      </c>
      <c r="P2201" s="21" t="s">
        <v>4298</v>
      </c>
      <c r="Q2201" s="0" t="n">
        <v>1</v>
      </c>
      <c r="R2201" s="21" t="s">
        <v>69</v>
      </c>
      <c r="S2201" s="0" t="n">
        <v>6</v>
      </c>
      <c r="T2201" s="21" t="s">
        <v>3854</v>
      </c>
      <c r="U2201" s="22" t="b">
        <f aca="false">TRUE()</f>
        <v>1</v>
      </c>
      <c r="V2201" s="0" t="n">
        <v>0.75</v>
      </c>
      <c r="W2201" s="0" t="n">
        <v>0.72</v>
      </c>
      <c r="X2201" s="0" t="n">
        <v>7.82</v>
      </c>
      <c r="Y2201" s="0" t="n">
        <v>328.83</v>
      </c>
      <c r="Z2201" s="0" t="n">
        <v>8</v>
      </c>
      <c r="AA2201" s="0" t="n">
        <v>-0.16</v>
      </c>
      <c r="AB2201" s="0" t="n">
        <v>19.2</v>
      </c>
      <c r="AC2201" s="22" t="b">
        <f aca="false">FALSE()</f>
        <v>0</v>
      </c>
      <c r="AD2201" s="0" t="n">
        <v>28.24</v>
      </c>
      <c r="AE2201" s="0" t="n">
        <v>3.68</v>
      </c>
      <c r="AF2201" s="0" t="n">
        <v>15.69</v>
      </c>
      <c r="AG2201" s="22" t="b">
        <f aca="false">TRUE()</f>
        <v>1</v>
      </c>
      <c r="AH2201" s="0" t="n">
        <v>1</v>
      </c>
    </row>
    <row r="2202" customFormat="false" ht="15" hidden="false" customHeight="false" outlineLevel="0" collapsed="false">
      <c r="A2202" s="0" t="s">
        <v>3279</v>
      </c>
      <c r="B2202" s="0" t="s">
        <v>134</v>
      </c>
      <c r="C2202" s="0" t="s">
        <v>3450</v>
      </c>
      <c r="D2202" s="0" t="s">
        <v>3457</v>
      </c>
      <c r="E2202" s="20" t="s">
        <v>25</v>
      </c>
      <c r="F2202" s="23" t="s">
        <v>30</v>
      </c>
      <c r="G2202" s="21" t="s">
        <v>183</v>
      </c>
      <c r="H2202" s="21" t="s">
        <v>24</v>
      </c>
      <c r="I2202" s="21" t="s">
        <v>25</v>
      </c>
      <c r="J2202" s="21" t="s">
        <v>24</v>
      </c>
      <c r="K2202" s="21" t="s">
        <v>25</v>
      </c>
      <c r="L2202" s="21" t="s">
        <v>24</v>
      </c>
      <c r="M2202" s="0" t="n">
        <v>183</v>
      </c>
      <c r="N2202" s="0" t="n">
        <v>1</v>
      </c>
      <c r="O2202" s="21" t="s">
        <v>69</v>
      </c>
      <c r="P2202" s="21" t="s">
        <v>4275</v>
      </c>
      <c r="Q2202" s="0" t="n">
        <v>1</v>
      </c>
      <c r="R2202" s="21" t="s">
        <v>69</v>
      </c>
      <c r="S2202" s="0" t="n">
        <v>1</v>
      </c>
      <c r="T2202" s="21" t="s">
        <v>69</v>
      </c>
      <c r="U2202" s="22" t="b">
        <f aca="false">TRUE()</f>
        <v>1</v>
      </c>
      <c r="V2202" s="0" t="n">
        <v>0.73</v>
      </c>
      <c r="W2202" s="0" t="n">
        <v>0.4</v>
      </c>
      <c r="X2202" s="0" t="n">
        <v>9.83</v>
      </c>
      <c r="Y2202" s="0" t="n">
        <v>350.4</v>
      </c>
      <c r="Z2202" s="0" t="n">
        <v>11.75</v>
      </c>
      <c r="AA2202" s="0" t="n">
        <v>7.08</v>
      </c>
      <c r="AB2202" s="0" t="n">
        <v>4.39</v>
      </c>
      <c r="AC2202" s="22" t="b">
        <f aca="false">FALSE()</f>
        <v>0</v>
      </c>
      <c r="AD2202" s="0" t="n">
        <v>21.97</v>
      </c>
      <c r="AE2202" s="0" t="n">
        <v>9.09</v>
      </c>
      <c r="AF2202" s="0" t="n">
        <v>15.89</v>
      </c>
      <c r="AG2202" s="22" t="b">
        <f aca="false">TRUE()</f>
        <v>1</v>
      </c>
      <c r="AH2202" s="0" t="n">
        <v>1</v>
      </c>
    </row>
    <row r="2203" customFormat="false" ht="15" hidden="false" customHeight="false" outlineLevel="0" collapsed="false">
      <c r="A2203" s="0" t="s">
        <v>3279</v>
      </c>
      <c r="B2203" s="0" t="s">
        <v>134</v>
      </c>
      <c r="C2203" s="0" t="s">
        <v>3450</v>
      </c>
      <c r="D2203" s="0" t="s">
        <v>3448</v>
      </c>
      <c r="E2203" s="20" t="s">
        <v>25</v>
      </c>
      <c r="F2203" s="23" t="s">
        <v>30</v>
      </c>
      <c r="G2203" s="21" t="s">
        <v>283</v>
      </c>
      <c r="H2203" s="21" t="s">
        <v>24</v>
      </c>
      <c r="I2203" s="21" t="s">
        <v>25</v>
      </c>
      <c r="J2203" s="21" t="s">
        <v>24</v>
      </c>
      <c r="K2203" s="21" t="s">
        <v>24</v>
      </c>
      <c r="L2203" s="21" t="s">
        <v>24</v>
      </c>
      <c r="M2203" s="0" t="n">
        <v>221</v>
      </c>
      <c r="N2203" s="0" t="n">
        <v>1</v>
      </c>
      <c r="O2203" s="21" t="s">
        <v>69</v>
      </c>
      <c r="P2203" s="21" t="s">
        <v>4275</v>
      </c>
      <c r="Q2203" s="0" t="n">
        <v>1</v>
      </c>
      <c r="R2203" s="21" t="s">
        <v>69</v>
      </c>
      <c r="S2203" s="0" t="n">
        <v>1</v>
      </c>
      <c r="T2203" s="21" t="s">
        <v>69</v>
      </c>
      <c r="U2203" s="22" t="b">
        <f aca="false">TRUE()</f>
        <v>1</v>
      </c>
      <c r="V2203" s="0" t="n">
        <v>0.72</v>
      </c>
      <c r="W2203" s="0" t="n">
        <v>0.88</v>
      </c>
      <c r="X2203" s="0" t="n">
        <v>9.15</v>
      </c>
      <c r="Y2203" s="0" t="n">
        <v>381.82</v>
      </c>
      <c r="Z2203" s="0" t="n">
        <v>10.5</v>
      </c>
      <c r="AA2203" s="0" t="n">
        <v>6.28</v>
      </c>
      <c r="AB2203" s="0" t="n">
        <v>1.92</v>
      </c>
      <c r="AC2203" s="22" t="b">
        <f aca="false">FALSE()</f>
        <v>0</v>
      </c>
      <c r="AD2203" s="0" t="n">
        <v>19.61</v>
      </c>
      <c r="AE2203" s="0" t="n">
        <v>6.9</v>
      </c>
      <c r="AF2203" s="0" t="n">
        <v>12.88</v>
      </c>
      <c r="AG2203" s="22" t="b">
        <f aca="false">TRUE()</f>
        <v>1</v>
      </c>
      <c r="AH2203" s="0" t="n">
        <v>1</v>
      </c>
    </row>
    <row r="2204" customFormat="false" ht="15" hidden="false" customHeight="false" outlineLevel="0" collapsed="false">
      <c r="A2204" s="0" t="s">
        <v>3279</v>
      </c>
      <c r="B2204" s="0" t="s">
        <v>134</v>
      </c>
      <c r="C2204" s="0" t="s">
        <v>3447</v>
      </c>
      <c r="D2204" s="0" t="s">
        <v>3457</v>
      </c>
      <c r="E2204" s="20" t="s">
        <v>25</v>
      </c>
      <c r="F2204" s="23" t="s">
        <v>30</v>
      </c>
      <c r="G2204" s="21" t="s">
        <v>992</v>
      </c>
      <c r="H2204" s="21" t="s">
        <v>24</v>
      </c>
      <c r="I2204" s="21" t="s">
        <v>24</v>
      </c>
      <c r="J2204" s="21" t="s">
        <v>24</v>
      </c>
      <c r="K2204" s="21" t="s">
        <v>25</v>
      </c>
      <c r="L2204" s="21" t="s">
        <v>24</v>
      </c>
      <c r="M2204" s="0" t="n">
        <v>183</v>
      </c>
      <c r="N2204" s="0" t="n">
        <v>4</v>
      </c>
      <c r="O2204" s="21" t="s">
        <v>3672</v>
      </c>
      <c r="P2204" s="21" t="s">
        <v>4937</v>
      </c>
      <c r="Q2204" s="0" t="n">
        <v>0</v>
      </c>
      <c r="S2204" s="0" t="n">
        <v>4</v>
      </c>
      <c r="T2204" s="21" t="s">
        <v>3672</v>
      </c>
      <c r="U2204" s="22" t="b">
        <f aca="false">TRUE()</f>
        <v>1</v>
      </c>
      <c r="V2204" s="0" t="n">
        <v>0.74</v>
      </c>
      <c r="W2204" s="0" t="n">
        <v>0.44</v>
      </c>
      <c r="X2204" s="0" t="n">
        <v>12.07</v>
      </c>
      <c r="Y2204" s="0" t="n">
        <v>339.09</v>
      </c>
      <c r="Z2204" s="0" t="n">
        <v>8</v>
      </c>
      <c r="AA2204" s="0" t="n">
        <v>-1.49</v>
      </c>
      <c r="AB2204" s="0" t="n">
        <v>4.39</v>
      </c>
      <c r="AC2204" s="22" t="b">
        <f aca="false">FALSE()</f>
        <v>0</v>
      </c>
      <c r="AD2204" s="0" t="n">
        <v>21.75</v>
      </c>
      <c r="AE2204" s="0" t="n">
        <v>9.9</v>
      </c>
      <c r="AF2204" s="0" t="n">
        <v>16.94</v>
      </c>
      <c r="AG2204" s="22" t="b">
        <f aca="false">TRUE()</f>
        <v>1</v>
      </c>
      <c r="AH2204" s="0" t="n">
        <v>1</v>
      </c>
    </row>
    <row r="2205" customFormat="false" ht="15" hidden="false" customHeight="false" outlineLevel="0" collapsed="false">
      <c r="A2205" s="0" t="s">
        <v>3279</v>
      </c>
      <c r="B2205" s="0" t="s">
        <v>134</v>
      </c>
      <c r="C2205" s="0" t="s">
        <v>3447</v>
      </c>
      <c r="D2205" s="0" t="s">
        <v>3448</v>
      </c>
      <c r="E2205" s="19" t="s">
        <v>26</v>
      </c>
      <c r="F2205" s="19" t="s">
        <v>32</v>
      </c>
      <c r="G2205" s="21" t="s">
        <v>60</v>
      </c>
      <c r="H2205" s="21" t="s">
        <v>24</v>
      </c>
      <c r="I2205" s="21" t="s">
        <v>26</v>
      </c>
      <c r="J2205" s="21" t="s">
        <v>24</v>
      </c>
      <c r="K2205" s="21" t="s">
        <v>24</v>
      </c>
      <c r="L2205" s="21" t="s">
        <v>24</v>
      </c>
      <c r="M2205" s="0" t="n">
        <v>184</v>
      </c>
      <c r="N2205" s="0" t="n">
        <v>9</v>
      </c>
      <c r="O2205" s="21" t="s">
        <v>4000</v>
      </c>
      <c r="P2205" s="21" t="s">
        <v>4938</v>
      </c>
      <c r="Q2205" s="0" t="n">
        <v>0</v>
      </c>
      <c r="S2205" s="0" t="n">
        <v>9</v>
      </c>
      <c r="T2205" s="21" t="s">
        <v>4000</v>
      </c>
      <c r="U2205" s="22" t="b">
        <f aca="false">FALSE()</f>
        <v>0</v>
      </c>
      <c r="V2205" s="0" t="n">
        <v>0.69</v>
      </c>
      <c r="W2205" s="0" t="n">
        <v>0.24</v>
      </c>
      <c r="X2205" s="0" t="n">
        <v>12.42</v>
      </c>
      <c r="Y2205" s="0" t="n">
        <v>451.89</v>
      </c>
      <c r="Z2205" s="0" t="n">
        <v>11.5</v>
      </c>
      <c r="AA2205" s="0" t="n">
        <v>2.57</v>
      </c>
      <c r="AB2205" s="0" t="n">
        <v>1.92</v>
      </c>
      <c r="AC2205" s="22" t="b">
        <f aca="false">FALSE()</f>
        <v>0</v>
      </c>
      <c r="AD2205" s="0" t="n">
        <v>14.54</v>
      </c>
      <c r="AE2205" s="0" t="n">
        <v>3.18</v>
      </c>
      <c r="AF2205" s="0" t="n">
        <v>8.28</v>
      </c>
      <c r="AG2205" s="22" t="b">
        <f aca="false">TRUE()</f>
        <v>1</v>
      </c>
      <c r="AH2205" s="0" t="n">
        <v>1</v>
      </c>
    </row>
    <row r="2206" customFormat="false" ht="15" hidden="false" customHeight="false" outlineLevel="0" collapsed="false">
      <c r="A2206" s="0" t="s">
        <v>3285</v>
      </c>
      <c r="B2206" s="0" t="s">
        <v>134</v>
      </c>
      <c r="C2206" s="0" t="s">
        <v>3450</v>
      </c>
      <c r="D2206" s="0" t="s">
        <v>3457</v>
      </c>
      <c r="E2206" s="19" t="s">
        <v>26</v>
      </c>
      <c r="F2206" s="19" t="s">
        <v>32</v>
      </c>
      <c r="G2206" s="21" t="s">
        <v>4171</v>
      </c>
      <c r="H2206" s="21" t="s">
        <v>25</v>
      </c>
      <c r="I2206" s="21" t="s">
        <v>26</v>
      </c>
      <c r="J2206" s="21" t="s">
        <v>24</v>
      </c>
      <c r="K2206" s="21" t="s">
        <v>25</v>
      </c>
      <c r="L2206" s="21" t="s">
        <v>24</v>
      </c>
      <c r="M2206" s="0" t="n">
        <v>254</v>
      </c>
      <c r="N2206" s="0" t="n">
        <v>11</v>
      </c>
      <c r="O2206" s="21" t="s">
        <v>4170</v>
      </c>
      <c r="P2206" s="21" t="s">
        <v>4939</v>
      </c>
      <c r="Q2206" s="0" t="n">
        <v>1</v>
      </c>
      <c r="R2206" s="21" t="s">
        <v>69</v>
      </c>
      <c r="S2206" s="0" t="n">
        <v>11</v>
      </c>
      <c r="T2206" s="21" t="s">
        <v>4170</v>
      </c>
      <c r="U2206" s="22" t="b">
        <f aca="false">FALSE()</f>
        <v>0</v>
      </c>
      <c r="V2206" s="0" t="n">
        <v>0.68</v>
      </c>
      <c r="W2206" s="0" t="n">
        <v>0.8</v>
      </c>
      <c r="X2206" s="0" t="n">
        <v>7.48</v>
      </c>
      <c r="Y2206" s="0" t="n">
        <v>432.04</v>
      </c>
      <c r="Z2206" s="0" t="n">
        <v>9.5</v>
      </c>
      <c r="AA2206" s="0" t="n">
        <v>5.77</v>
      </c>
      <c r="AB2206" s="0" t="n">
        <v>0.64</v>
      </c>
      <c r="AC2206" s="22" t="b">
        <f aca="false">FALSE()</f>
        <v>0</v>
      </c>
      <c r="AD2206" s="0" t="n">
        <v>6.57</v>
      </c>
      <c r="AE2206" s="0" t="n">
        <v>0.97</v>
      </c>
      <c r="AF2206" s="0" t="n">
        <v>2.76</v>
      </c>
      <c r="AG2206" s="22" t="b">
        <f aca="false">FALSE()</f>
        <v>0</v>
      </c>
      <c r="AH2206" s="0" t="n">
        <v>1</v>
      </c>
    </row>
    <row r="2207" customFormat="false" ht="15" hidden="false" customHeight="false" outlineLevel="0" collapsed="false">
      <c r="A2207" s="0" t="s">
        <v>3285</v>
      </c>
      <c r="B2207" s="0" t="s">
        <v>134</v>
      </c>
      <c r="C2207" s="0" t="s">
        <v>3450</v>
      </c>
      <c r="D2207" s="0" t="s">
        <v>3448</v>
      </c>
      <c r="E2207" s="20" t="s">
        <v>25</v>
      </c>
      <c r="F2207" s="23" t="s">
        <v>30</v>
      </c>
      <c r="G2207" s="21" t="s">
        <v>283</v>
      </c>
      <c r="H2207" s="21" t="s">
        <v>24</v>
      </c>
      <c r="I2207" s="21" t="s">
        <v>25</v>
      </c>
      <c r="J2207" s="21" t="s">
        <v>24</v>
      </c>
      <c r="K2207" s="21" t="s">
        <v>24</v>
      </c>
      <c r="L2207" s="21" t="s">
        <v>24</v>
      </c>
      <c r="M2207" s="0" t="n">
        <v>184</v>
      </c>
      <c r="N2207" s="0" t="n">
        <v>3</v>
      </c>
      <c r="O2207" s="21" t="s">
        <v>3649</v>
      </c>
      <c r="P2207" s="21" t="s">
        <v>4242</v>
      </c>
      <c r="Q2207" s="0" t="n">
        <v>1</v>
      </c>
      <c r="R2207" s="21" t="s">
        <v>69</v>
      </c>
      <c r="S2207" s="0" t="n">
        <v>3</v>
      </c>
      <c r="T2207" s="21" t="s">
        <v>3649</v>
      </c>
      <c r="U2207" s="22" t="b">
        <f aca="false">TRUE()</f>
        <v>1</v>
      </c>
      <c r="V2207" s="0" t="n">
        <v>0.76</v>
      </c>
      <c r="W2207" s="0" t="n">
        <v>0.96</v>
      </c>
      <c r="X2207" s="0" t="n">
        <v>5.45</v>
      </c>
      <c r="Y2207" s="0" t="n">
        <v>287.46</v>
      </c>
      <c r="Z2207" s="0" t="n">
        <v>9.5</v>
      </c>
      <c r="AA2207" s="0" t="n">
        <v>5.94</v>
      </c>
      <c r="AB2207" s="0" t="n">
        <v>4.71</v>
      </c>
      <c r="AC2207" s="22" t="b">
        <f aca="false">FALSE()</f>
        <v>0</v>
      </c>
      <c r="AD2207" s="0" t="n">
        <v>9.01</v>
      </c>
      <c r="AE2207" s="0" t="n">
        <v>0.73</v>
      </c>
      <c r="AF2207" s="0" t="n">
        <v>1.23</v>
      </c>
      <c r="AG2207" s="22" t="b">
        <f aca="false">FALSE()</f>
        <v>0</v>
      </c>
      <c r="AH2207" s="0" t="n">
        <v>1</v>
      </c>
    </row>
    <row r="2208" customFormat="false" ht="15" hidden="false" customHeight="false" outlineLevel="0" collapsed="false">
      <c r="A2208" s="0" t="s">
        <v>3285</v>
      </c>
      <c r="B2208" s="0" t="s">
        <v>134</v>
      </c>
      <c r="C2208" s="0" t="s">
        <v>3447</v>
      </c>
      <c r="D2208" s="0" t="s">
        <v>3457</v>
      </c>
      <c r="E2208" s="20" t="s">
        <v>25</v>
      </c>
      <c r="F2208" s="23" t="s">
        <v>30</v>
      </c>
      <c r="G2208" s="21" t="s">
        <v>2610</v>
      </c>
      <c r="H2208" s="21" t="s">
        <v>24</v>
      </c>
      <c r="I2208" s="21" t="s">
        <v>24</v>
      </c>
      <c r="J2208" s="21" t="s">
        <v>24</v>
      </c>
      <c r="K2208" s="21" t="s">
        <v>25</v>
      </c>
      <c r="L2208" s="21" t="s">
        <v>24</v>
      </c>
      <c r="M2208" s="0" t="n">
        <v>184</v>
      </c>
      <c r="N2208" s="0" t="n">
        <v>4</v>
      </c>
      <c r="O2208" s="21" t="s">
        <v>3608</v>
      </c>
      <c r="P2208" s="21" t="s">
        <v>4940</v>
      </c>
      <c r="Q2208" s="0" t="n">
        <v>0</v>
      </c>
      <c r="S2208" s="0" t="n">
        <v>4</v>
      </c>
      <c r="T2208" s="21" t="s">
        <v>3608</v>
      </c>
      <c r="U2208" s="22" t="b">
        <f aca="false">TRUE()</f>
        <v>1</v>
      </c>
      <c r="V2208" s="0" t="n">
        <v>0.79</v>
      </c>
      <c r="W2208" s="0" t="n">
        <v>0.96</v>
      </c>
      <c r="X2208" s="0" t="n">
        <v>6.86</v>
      </c>
      <c r="Y2208" s="0" t="n">
        <v>315.27</v>
      </c>
      <c r="Z2208" s="0" t="n">
        <v>8.17</v>
      </c>
      <c r="AA2208" s="0" t="n">
        <v>-1.3</v>
      </c>
      <c r="AB2208" s="0" t="n">
        <v>0.64</v>
      </c>
      <c r="AC2208" s="22" t="b">
        <f aca="false">FALSE()</f>
        <v>0</v>
      </c>
      <c r="AD2208" s="0" t="n">
        <v>3.91</v>
      </c>
      <c r="AE2208" s="0" t="n">
        <v>0.63</v>
      </c>
      <c r="AF2208" s="0" t="n">
        <v>1.77</v>
      </c>
      <c r="AG2208" s="22" t="b">
        <f aca="false">FALSE()</f>
        <v>0</v>
      </c>
      <c r="AH2208" s="0" t="n">
        <v>1</v>
      </c>
    </row>
    <row r="2209" customFormat="false" ht="15" hidden="false" customHeight="false" outlineLevel="0" collapsed="false">
      <c r="A2209" s="0" t="s">
        <v>3285</v>
      </c>
      <c r="B2209" s="0" t="s">
        <v>134</v>
      </c>
      <c r="C2209" s="0" t="s">
        <v>3447</v>
      </c>
      <c r="D2209" s="0" t="s">
        <v>3448</v>
      </c>
      <c r="E2209" s="18" t="s">
        <v>24</v>
      </c>
      <c r="F2209" s="23" t="s">
        <v>30</v>
      </c>
      <c r="G2209" s="21" t="s">
        <v>30</v>
      </c>
      <c r="H2209" s="21" t="s">
        <v>24</v>
      </c>
      <c r="I2209" s="21" t="s">
        <v>24</v>
      </c>
      <c r="J2209" s="21" t="s">
        <v>24</v>
      </c>
      <c r="K2209" s="21" t="s">
        <v>24</v>
      </c>
      <c r="L2209" s="21" t="s">
        <v>24</v>
      </c>
      <c r="M2209" s="0" t="n">
        <v>183</v>
      </c>
      <c r="N2209" s="0" t="n">
        <v>2</v>
      </c>
      <c r="O2209" s="21" t="s">
        <v>3529</v>
      </c>
      <c r="P2209" s="21" t="s">
        <v>4941</v>
      </c>
      <c r="Q2209" s="0" t="n">
        <v>0</v>
      </c>
      <c r="S2209" s="0" t="n">
        <v>2</v>
      </c>
      <c r="T2209" s="21" t="s">
        <v>3529</v>
      </c>
      <c r="U2209" s="22" t="b">
        <f aca="false">TRUE()</f>
        <v>1</v>
      </c>
      <c r="V2209" s="0" t="n">
        <v>0.75</v>
      </c>
      <c r="W2209" s="0" t="n">
        <v>0.72</v>
      </c>
      <c r="X2209" s="0" t="n">
        <v>5.68</v>
      </c>
      <c r="Y2209" s="0" t="n">
        <v>290.48</v>
      </c>
      <c r="Z2209" s="0" t="n">
        <v>9.75</v>
      </c>
      <c r="AA2209" s="0" t="n">
        <v>3.99</v>
      </c>
      <c r="AB2209" s="0" t="n">
        <v>4.71</v>
      </c>
      <c r="AC2209" s="22" t="b">
        <f aca="false">FALSE()</f>
        <v>0</v>
      </c>
      <c r="AD2209" s="0" t="n">
        <v>9.75</v>
      </c>
      <c r="AE2209" s="0" t="n">
        <v>1.44</v>
      </c>
      <c r="AF2209" s="0" t="n">
        <v>0.98</v>
      </c>
      <c r="AG2209" s="22" t="b">
        <f aca="false">FALSE()</f>
        <v>0</v>
      </c>
      <c r="AH2209" s="0" t="n">
        <v>1</v>
      </c>
    </row>
    <row r="2210" customFormat="false" ht="15" hidden="false" customHeight="false" outlineLevel="0" collapsed="false">
      <c r="A2210" s="0" t="s">
        <v>3299</v>
      </c>
      <c r="B2210" s="0" t="s">
        <v>134</v>
      </c>
      <c r="C2210" s="0" t="s">
        <v>3450</v>
      </c>
      <c r="D2210" s="0" t="s">
        <v>3457</v>
      </c>
      <c r="E2210" s="20" t="s">
        <v>25</v>
      </c>
      <c r="F2210" s="20" t="s">
        <v>29</v>
      </c>
      <c r="G2210" s="21" t="s">
        <v>3466</v>
      </c>
      <c r="H2210" s="21" t="s">
        <v>24</v>
      </c>
      <c r="I2210" s="21" t="s">
        <v>24</v>
      </c>
      <c r="J2210" s="21" t="s">
        <v>24</v>
      </c>
      <c r="K2210" s="21" t="s">
        <v>25</v>
      </c>
      <c r="L2210" s="21" t="s">
        <v>24</v>
      </c>
      <c r="M2210" s="0" t="n">
        <v>183</v>
      </c>
      <c r="N2210" s="0" t="n">
        <v>0</v>
      </c>
      <c r="Q2210" s="0" t="n">
        <v>0</v>
      </c>
      <c r="S2210" s="0" t="n">
        <v>0</v>
      </c>
      <c r="U2210" s="22" t="b">
        <f aca="false">FALSE()</f>
        <v>0</v>
      </c>
      <c r="V2210" s="0" t="n">
        <v>0.8</v>
      </c>
      <c r="W2210" s="0" t="n">
        <v>0</v>
      </c>
      <c r="X2210" s="0" t="n">
        <v>7.29</v>
      </c>
      <c r="Y2210" s="0" t="n">
        <v>719.04</v>
      </c>
      <c r="Z2210" s="0" t="n">
        <v>10.17</v>
      </c>
      <c r="AA2210" s="0" t="n">
        <v>0.39</v>
      </c>
      <c r="AB2210" s="0" t="n">
        <v>1.14</v>
      </c>
      <c r="AC2210" s="22" t="b">
        <f aca="false">TRUE()</f>
        <v>1</v>
      </c>
      <c r="AD2210" s="0" t="n">
        <v>10.58</v>
      </c>
      <c r="AE2210" s="0" t="n">
        <v>0.67</v>
      </c>
      <c r="AF2210" s="0" t="n">
        <v>3.32</v>
      </c>
      <c r="AG2210" s="22" t="b">
        <f aca="false">TRUE()</f>
        <v>1</v>
      </c>
      <c r="AH2210" s="0" t="n">
        <v>1</v>
      </c>
    </row>
    <row r="2211" customFormat="false" ht="15" hidden="false" customHeight="false" outlineLevel="0" collapsed="false">
      <c r="A2211" s="0" t="s">
        <v>3299</v>
      </c>
      <c r="B2211" s="0" t="s">
        <v>134</v>
      </c>
      <c r="C2211" s="0" t="s">
        <v>3450</v>
      </c>
      <c r="D2211" s="0" t="s">
        <v>3448</v>
      </c>
      <c r="E2211" s="20" t="s">
        <v>25</v>
      </c>
      <c r="F2211" s="20" t="s">
        <v>29</v>
      </c>
      <c r="G2211" s="21" t="s">
        <v>3451</v>
      </c>
      <c r="H2211" s="21" t="s">
        <v>24</v>
      </c>
      <c r="I2211" s="21" t="s">
        <v>24</v>
      </c>
      <c r="J2211" s="21" t="s">
        <v>24</v>
      </c>
      <c r="K2211" s="21" t="s">
        <v>25</v>
      </c>
      <c r="L2211" s="21" t="s">
        <v>24</v>
      </c>
      <c r="M2211" s="0" t="n">
        <v>183</v>
      </c>
      <c r="N2211" s="0" t="n">
        <v>0</v>
      </c>
      <c r="Q2211" s="0" t="n">
        <v>0</v>
      </c>
      <c r="S2211" s="0" t="n">
        <v>0</v>
      </c>
      <c r="U2211" s="22" t="b">
        <f aca="false">FALSE()</f>
        <v>0</v>
      </c>
      <c r="V2211" s="0" t="n">
        <v>0.8</v>
      </c>
      <c r="W2211" s="0" t="n">
        <v>0</v>
      </c>
      <c r="X2211" s="0" t="n">
        <v>7.38</v>
      </c>
      <c r="Y2211" s="0" t="n">
        <v>717.92</v>
      </c>
      <c r="Z2211" s="0" t="n">
        <v>10.17</v>
      </c>
      <c r="AA2211" s="0" t="n">
        <v>-0.44</v>
      </c>
      <c r="AB2211" s="0" t="n">
        <v>0.9</v>
      </c>
      <c r="AC2211" s="22" t="b">
        <f aca="false">TRUE()</f>
        <v>1</v>
      </c>
      <c r="AD2211" s="0" t="n">
        <v>5.39</v>
      </c>
      <c r="AE2211" s="0" t="n">
        <v>0.2</v>
      </c>
      <c r="AF2211" s="0" t="n">
        <v>2.68</v>
      </c>
      <c r="AG2211" s="22" t="b">
        <f aca="false">FALSE()</f>
        <v>0</v>
      </c>
      <c r="AH2211" s="0" t="n">
        <v>1</v>
      </c>
    </row>
    <row r="2212" customFormat="false" ht="15" hidden="false" customHeight="false" outlineLevel="0" collapsed="false">
      <c r="A2212" s="0" t="s">
        <v>3299</v>
      </c>
      <c r="B2212" s="0" t="s">
        <v>134</v>
      </c>
      <c r="C2212" s="0" t="s">
        <v>3447</v>
      </c>
      <c r="D2212" s="0" t="s">
        <v>3457</v>
      </c>
      <c r="E2212" s="20" t="s">
        <v>25</v>
      </c>
      <c r="F2212" s="23" t="s">
        <v>30</v>
      </c>
      <c r="G2212" s="21" t="s">
        <v>2133</v>
      </c>
      <c r="H2212" s="21" t="s">
        <v>24</v>
      </c>
      <c r="I2212" s="21" t="s">
        <v>24</v>
      </c>
      <c r="J2212" s="21" t="s">
        <v>24</v>
      </c>
      <c r="K2212" s="21" t="s">
        <v>25</v>
      </c>
      <c r="L2212" s="21" t="s">
        <v>24</v>
      </c>
      <c r="M2212" s="0" t="n">
        <v>184</v>
      </c>
      <c r="N2212" s="0" t="n">
        <v>6</v>
      </c>
      <c r="O2212" s="21" t="s">
        <v>3739</v>
      </c>
      <c r="P2212" s="21" t="s">
        <v>4942</v>
      </c>
      <c r="Q2212" s="0" t="n">
        <v>0</v>
      </c>
      <c r="S2212" s="0" t="n">
        <v>6</v>
      </c>
      <c r="T2212" s="21" t="s">
        <v>3739</v>
      </c>
      <c r="U2212" s="22" t="b">
        <f aca="false">TRUE()</f>
        <v>1</v>
      </c>
      <c r="V2212" s="0" t="n">
        <v>0.84</v>
      </c>
      <c r="W2212" s="0" t="n">
        <v>0.12</v>
      </c>
      <c r="X2212" s="0" t="n">
        <v>9.6</v>
      </c>
      <c r="Y2212" s="0" t="n">
        <v>620.15</v>
      </c>
      <c r="Z2212" s="0" t="n">
        <v>11.5</v>
      </c>
      <c r="AA2212" s="0" t="n">
        <v>-2.31</v>
      </c>
      <c r="AB2212" s="0" t="n">
        <v>1.14</v>
      </c>
      <c r="AC2212" s="22" t="b">
        <f aca="false">FALSE()</f>
        <v>0</v>
      </c>
      <c r="AD2212" s="0" t="n">
        <v>10.44</v>
      </c>
      <c r="AE2212" s="0" t="n">
        <v>0.97</v>
      </c>
      <c r="AF2212" s="0" t="n">
        <v>2.76</v>
      </c>
      <c r="AG2212" s="22" t="b">
        <f aca="false">TRUE()</f>
        <v>1</v>
      </c>
      <c r="AH2212" s="0" t="n">
        <v>1</v>
      </c>
    </row>
    <row r="2213" customFormat="false" ht="15" hidden="false" customHeight="false" outlineLevel="0" collapsed="false">
      <c r="A2213" s="0" t="s">
        <v>3299</v>
      </c>
      <c r="B2213" s="0" t="s">
        <v>134</v>
      </c>
      <c r="C2213" s="0" t="s">
        <v>3447</v>
      </c>
      <c r="D2213" s="0" t="s">
        <v>3448</v>
      </c>
      <c r="E2213" s="20" t="s">
        <v>25</v>
      </c>
      <c r="F2213" s="20" t="s">
        <v>29</v>
      </c>
      <c r="G2213" s="21" t="s">
        <v>64</v>
      </c>
      <c r="H2213" s="21" t="s">
        <v>24</v>
      </c>
      <c r="I2213" s="21" t="s">
        <v>24</v>
      </c>
      <c r="J2213" s="21" t="s">
        <v>24</v>
      </c>
      <c r="K2213" s="21" t="s">
        <v>25</v>
      </c>
      <c r="L2213" s="21" t="s">
        <v>24</v>
      </c>
      <c r="M2213" s="0" t="n">
        <v>183</v>
      </c>
      <c r="N2213" s="0" t="n">
        <v>0</v>
      </c>
      <c r="Q2213" s="0" t="n">
        <v>0</v>
      </c>
      <c r="S2213" s="0" t="n">
        <v>0</v>
      </c>
      <c r="U2213" s="22" t="b">
        <f aca="false">FALSE()</f>
        <v>0</v>
      </c>
      <c r="V2213" s="0" t="n">
        <v>0.85</v>
      </c>
      <c r="W2213" s="0" t="n">
        <v>0.16</v>
      </c>
      <c r="X2213" s="0" t="n">
        <v>11.94</v>
      </c>
      <c r="Y2213" s="0" t="n">
        <v>536.15</v>
      </c>
      <c r="Z2213" s="0" t="n">
        <v>8.25</v>
      </c>
      <c r="AA2213" s="0" t="n">
        <v>-3.04</v>
      </c>
      <c r="AB2213" s="0" t="n">
        <v>0.9</v>
      </c>
      <c r="AC2213" s="22" t="b">
        <f aca="false">FALSE()</f>
        <v>0</v>
      </c>
      <c r="AD2213" s="0" t="n">
        <v>2.5</v>
      </c>
      <c r="AE2213" s="0" t="n">
        <v>0.27</v>
      </c>
      <c r="AF2213" s="0" t="n">
        <v>1.76</v>
      </c>
      <c r="AG2213" s="22" t="b">
        <f aca="false">FALSE()</f>
        <v>0</v>
      </c>
      <c r="AH2213" s="0" t="n">
        <v>1</v>
      </c>
    </row>
    <row r="2214" customFormat="false" ht="15" hidden="false" customHeight="false" outlineLevel="0" collapsed="false">
      <c r="A2214" s="0" t="s">
        <v>3305</v>
      </c>
      <c r="B2214" s="0" t="s">
        <v>134</v>
      </c>
      <c r="C2214" s="0" t="s">
        <v>3450</v>
      </c>
      <c r="D2214" s="0" t="s">
        <v>3457</v>
      </c>
      <c r="E2214" s="19" t="s">
        <v>26</v>
      </c>
      <c r="F2214" s="19" t="s">
        <v>32</v>
      </c>
      <c r="G2214" s="21" t="s">
        <v>529</v>
      </c>
      <c r="H2214" s="21" t="s">
        <v>24</v>
      </c>
      <c r="I2214" s="21" t="s">
        <v>26</v>
      </c>
      <c r="J2214" s="21" t="s">
        <v>24</v>
      </c>
      <c r="K2214" s="21" t="s">
        <v>24</v>
      </c>
      <c r="L2214" s="21" t="s">
        <v>24</v>
      </c>
      <c r="M2214" s="0" t="n">
        <v>186</v>
      </c>
      <c r="N2214" s="0" t="n">
        <v>14</v>
      </c>
      <c r="O2214" s="21" t="s">
        <v>4090</v>
      </c>
      <c r="P2214" s="21" t="s">
        <v>4943</v>
      </c>
      <c r="Q2214" s="0" t="n">
        <v>1</v>
      </c>
      <c r="R2214" s="21" t="s">
        <v>69</v>
      </c>
      <c r="S2214" s="0" t="n">
        <v>14</v>
      </c>
      <c r="T2214" s="21" t="s">
        <v>4090</v>
      </c>
      <c r="U2214" s="22" t="b">
        <f aca="false">FALSE()</f>
        <v>0</v>
      </c>
      <c r="V2214" s="0" t="n">
        <v>0.71</v>
      </c>
      <c r="W2214" s="0" t="n">
        <v>0.24</v>
      </c>
      <c r="X2214" s="0" t="n">
        <v>8.3</v>
      </c>
      <c r="Y2214" s="0" t="n">
        <v>268.79</v>
      </c>
      <c r="Z2214" s="0" t="n">
        <v>10.58</v>
      </c>
      <c r="AA2214" s="0" t="n">
        <v>12.59</v>
      </c>
      <c r="AB2214" s="0" t="n">
        <v>4.42</v>
      </c>
      <c r="AC2214" s="22" t="b">
        <f aca="false">FALSE()</f>
        <v>0</v>
      </c>
      <c r="AD2214" s="0" t="n">
        <v>10.25</v>
      </c>
      <c r="AE2214" s="0" t="n">
        <v>1.12</v>
      </c>
      <c r="AF2214" s="0" t="n">
        <v>12.09</v>
      </c>
      <c r="AG2214" s="22" t="b">
        <f aca="false">TRUE()</f>
        <v>1</v>
      </c>
      <c r="AH2214" s="0" t="n">
        <v>1</v>
      </c>
    </row>
    <row r="2215" customFormat="false" ht="15" hidden="false" customHeight="false" outlineLevel="0" collapsed="false">
      <c r="A2215" s="0" t="s">
        <v>3305</v>
      </c>
      <c r="B2215" s="0" t="s">
        <v>134</v>
      </c>
      <c r="C2215" s="0" t="s">
        <v>3450</v>
      </c>
      <c r="D2215" s="0" t="s">
        <v>3448</v>
      </c>
      <c r="E2215" s="19" t="s">
        <v>26</v>
      </c>
      <c r="F2215" s="19" t="s">
        <v>32</v>
      </c>
      <c r="G2215" s="21" t="s">
        <v>60</v>
      </c>
      <c r="H2215" s="21" t="s">
        <v>24</v>
      </c>
      <c r="I2215" s="21" t="s">
        <v>26</v>
      </c>
      <c r="J2215" s="21" t="s">
        <v>24</v>
      </c>
      <c r="K2215" s="21" t="s">
        <v>24</v>
      </c>
      <c r="L2215" s="21" t="s">
        <v>24</v>
      </c>
      <c r="M2215" s="0" t="n">
        <v>183</v>
      </c>
      <c r="N2215" s="0" t="n">
        <v>10</v>
      </c>
      <c r="O2215" s="21" t="s">
        <v>3990</v>
      </c>
      <c r="P2215" s="21" t="s">
        <v>4944</v>
      </c>
      <c r="Q2215" s="0" t="n">
        <v>0</v>
      </c>
      <c r="S2215" s="0" t="n">
        <v>10</v>
      </c>
      <c r="T2215" s="21" t="s">
        <v>3990</v>
      </c>
      <c r="U2215" s="22" t="b">
        <f aca="false">FALSE()</f>
        <v>0</v>
      </c>
      <c r="V2215" s="0" t="n">
        <v>0.68</v>
      </c>
      <c r="W2215" s="0" t="n">
        <v>0.36</v>
      </c>
      <c r="X2215" s="0" t="n">
        <v>8.84</v>
      </c>
      <c r="Y2215" s="0" t="n">
        <v>379.05</v>
      </c>
      <c r="Z2215" s="0" t="n">
        <v>10.5</v>
      </c>
      <c r="AA2215" s="0" t="n">
        <v>12.75</v>
      </c>
      <c r="AB2215" s="0" t="n">
        <v>5.13</v>
      </c>
      <c r="AC2215" s="22" t="b">
        <f aca="false">FALSE()</f>
        <v>0</v>
      </c>
      <c r="AD2215" s="0" t="n">
        <v>5.03</v>
      </c>
      <c r="AE2215" s="0" t="n">
        <v>0.78</v>
      </c>
      <c r="AF2215" s="0" t="n">
        <v>4.51</v>
      </c>
      <c r="AG2215" s="22" t="b">
        <f aca="false">FALSE()</f>
        <v>0</v>
      </c>
      <c r="AH2215" s="0" t="n">
        <v>1</v>
      </c>
    </row>
    <row r="2216" customFormat="false" ht="15" hidden="false" customHeight="false" outlineLevel="0" collapsed="false">
      <c r="A2216" s="0" t="s">
        <v>3305</v>
      </c>
      <c r="B2216" s="0" t="s">
        <v>134</v>
      </c>
      <c r="C2216" s="0" t="s">
        <v>3447</v>
      </c>
      <c r="D2216" s="0" t="s">
        <v>3457</v>
      </c>
      <c r="E2216" s="18" t="s">
        <v>24</v>
      </c>
      <c r="F2216" s="23" t="s">
        <v>30</v>
      </c>
      <c r="G2216" s="21" t="s">
        <v>30</v>
      </c>
      <c r="H2216" s="21" t="s">
        <v>24</v>
      </c>
      <c r="I2216" s="21" t="s">
        <v>24</v>
      </c>
      <c r="J2216" s="21" t="s">
        <v>24</v>
      </c>
      <c r="K2216" s="21" t="s">
        <v>24</v>
      </c>
      <c r="L2216" s="21" t="s">
        <v>24</v>
      </c>
      <c r="M2216" s="0" t="n">
        <v>203</v>
      </c>
      <c r="N2216" s="0" t="n">
        <v>3</v>
      </c>
      <c r="O2216" s="21" t="s">
        <v>3538</v>
      </c>
      <c r="P2216" s="21" t="s">
        <v>4235</v>
      </c>
      <c r="Q2216" s="0" t="n">
        <v>0</v>
      </c>
      <c r="S2216" s="0" t="n">
        <v>3</v>
      </c>
      <c r="T2216" s="21" t="s">
        <v>3538</v>
      </c>
      <c r="U2216" s="22" t="b">
        <f aca="false">TRUE()</f>
        <v>1</v>
      </c>
      <c r="V2216" s="0" t="n">
        <v>0.81</v>
      </c>
      <c r="W2216" s="0" t="n">
        <v>0.24</v>
      </c>
      <c r="X2216" s="0" t="n">
        <v>11.73</v>
      </c>
      <c r="Y2216" s="0" t="n">
        <v>299.33</v>
      </c>
      <c r="Z2216" s="0" t="n">
        <v>11</v>
      </c>
      <c r="AA2216" s="0" t="n">
        <v>1.43</v>
      </c>
      <c r="AB2216" s="0" t="n">
        <v>4.42</v>
      </c>
      <c r="AC2216" s="22" t="b">
        <f aca="false">FALSE()</f>
        <v>0</v>
      </c>
      <c r="AD2216" s="0" t="n">
        <v>7.63</v>
      </c>
      <c r="AE2216" s="0" t="n">
        <v>0.42</v>
      </c>
      <c r="AF2216" s="0" t="n">
        <v>9.74</v>
      </c>
      <c r="AG2216" s="22" t="b">
        <f aca="false">FALSE()</f>
        <v>0</v>
      </c>
      <c r="AH2216" s="0" t="n">
        <v>1</v>
      </c>
    </row>
    <row r="2217" customFormat="false" ht="15" hidden="false" customHeight="false" outlineLevel="0" collapsed="false">
      <c r="A2217" s="0" t="s">
        <v>3305</v>
      </c>
      <c r="B2217" s="0" t="s">
        <v>134</v>
      </c>
      <c r="C2217" s="0" t="s">
        <v>3447</v>
      </c>
      <c r="D2217" s="0" t="s">
        <v>3448</v>
      </c>
      <c r="E2217" s="18" t="s">
        <v>24</v>
      </c>
      <c r="F2217" s="18" t="s">
        <v>28</v>
      </c>
      <c r="H2217" s="21" t="s">
        <v>24</v>
      </c>
      <c r="I2217" s="21" t="s">
        <v>24</v>
      </c>
      <c r="J2217" s="21" t="s">
        <v>24</v>
      </c>
      <c r="K2217" s="21" t="s">
        <v>24</v>
      </c>
      <c r="L2217" s="21" t="s">
        <v>24</v>
      </c>
      <c r="M2217" s="0" t="n">
        <v>185</v>
      </c>
      <c r="N2217" s="0" t="n">
        <v>0</v>
      </c>
      <c r="Q2217" s="0" t="n">
        <v>0</v>
      </c>
      <c r="S2217" s="0" t="n">
        <v>0</v>
      </c>
      <c r="U2217" s="22" t="b">
        <f aca="false">FALSE()</f>
        <v>0</v>
      </c>
      <c r="V2217" s="0" t="n">
        <v>0.81</v>
      </c>
      <c r="W2217" s="0" t="n">
        <v>0.2</v>
      </c>
      <c r="X2217" s="0" t="n">
        <v>10.44</v>
      </c>
      <c r="Y2217" s="0" t="n">
        <v>512.8</v>
      </c>
      <c r="Z2217" s="0" t="n">
        <v>11.33</v>
      </c>
      <c r="AA2217" s="0" t="n">
        <v>0.83</v>
      </c>
      <c r="AB2217" s="0" t="n">
        <v>5.13</v>
      </c>
      <c r="AC2217" s="22" t="b">
        <f aca="false">FALSE()</f>
        <v>0</v>
      </c>
      <c r="AD2217" s="0" t="n">
        <v>5.08</v>
      </c>
      <c r="AE2217" s="0" t="n">
        <v>1.29</v>
      </c>
      <c r="AF2217" s="0" t="n">
        <v>2.89</v>
      </c>
      <c r="AG2217" s="22" t="b">
        <f aca="false">FALSE()</f>
        <v>0</v>
      </c>
      <c r="AH2217" s="0" t="n">
        <v>1</v>
      </c>
    </row>
    <row r="2218" customFormat="false" ht="15" hidden="false" customHeight="false" outlineLevel="0" collapsed="false">
      <c r="A2218" s="0" t="s">
        <v>3311</v>
      </c>
      <c r="B2218" s="0" t="s">
        <v>134</v>
      </c>
      <c r="C2218" s="0" t="s">
        <v>3450</v>
      </c>
      <c r="D2218" s="0" t="s">
        <v>3457</v>
      </c>
      <c r="E2218" s="20" t="s">
        <v>25</v>
      </c>
      <c r="F2218" s="23" t="s">
        <v>30</v>
      </c>
      <c r="G2218" s="21" t="s">
        <v>283</v>
      </c>
      <c r="H2218" s="21" t="s">
        <v>24</v>
      </c>
      <c r="I2218" s="21" t="s">
        <v>25</v>
      </c>
      <c r="J2218" s="21" t="s">
        <v>24</v>
      </c>
      <c r="K2218" s="21" t="s">
        <v>24</v>
      </c>
      <c r="L2218" s="21" t="s">
        <v>24</v>
      </c>
      <c r="M2218" s="0" t="n">
        <v>184</v>
      </c>
      <c r="N2218" s="0" t="n">
        <v>2</v>
      </c>
      <c r="O2218" s="21" t="s">
        <v>3566</v>
      </c>
      <c r="P2218" s="21" t="s">
        <v>4238</v>
      </c>
      <c r="Q2218" s="0" t="n">
        <v>1</v>
      </c>
      <c r="R2218" s="21" t="s">
        <v>69</v>
      </c>
      <c r="S2218" s="0" t="n">
        <v>2</v>
      </c>
      <c r="T2218" s="21" t="s">
        <v>3566</v>
      </c>
      <c r="U2218" s="22" t="b">
        <f aca="false">TRUE()</f>
        <v>1</v>
      </c>
      <c r="V2218" s="0" t="n">
        <v>0.72</v>
      </c>
      <c r="W2218" s="0" t="n">
        <v>0</v>
      </c>
      <c r="X2218" s="0" t="n">
        <v>6.91</v>
      </c>
      <c r="Y2218" s="0" t="n">
        <v>713.12</v>
      </c>
      <c r="Z2218" s="0" t="n">
        <v>9.75</v>
      </c>
      <c r="AA2218" s="0" t="n">
        <v>16.46</v>
      </c>
      <c r="AB2218" s="0" t="n">
        <v>8.43</v>
      </c>
      <c r="AC2218" s="22" t="b">
        <f aca="false">FALSE()</f>
        <v>0</v>
      </c>
      <c r="AD2218" s="0" t="n">
        <v>7.71</v>
      </c>
      <c r="AE2218" s="0" t="n">
        <v>0.48</v>
      </c>
      <c r="AF2218" s="0" t="n">
        <v>8.16</v>
      </c>
      <c r="AG2218" s="22" t="b">
        <f aca="false">FALSE()</f>
        <v>0</v>
      </c>
      <c r="AH2218" s="0" t="n">
        <v>1</v>
      </c>
    </row>
    <row r="2219" customFormat="false" ht="15" hidden="false" customHeight="false" outlineLevel="0" collapsed="false">
      <c r="A2219" s="0" t="s">
        <v>3311</v>
      </c>
      <c r="B2219" s="0" t="s">
        <v>134</v>
      </c>
      <c r="C2219" s="0" t="s">
        <v>3450</v>
      </c>
      <c r="D2219" s="0" t="s">
        <v>3448</v>
      </c>
      <c r="E2219" s="20" t="s">
        <v>25</v>
      </c>
      <c r="F2219" s="20" t="s">
        <v>29</v>
      </c>
      <c r="G2219" s="21" t="s">
        <v>3466</v>
      </c>
      <c r="H2219" s="21" t="s">
        <v>24</v>
      </c>
      <c r="I2219" s="21" t="s">
        <v>24</v>
      </c>
      <c r="J2219" s="21" t="s">
        <v>24</v>
      </c>
      <c r="K2219" s="21" t="s">
        <v>25</v>
      </c>
      <c r="L2219" s="21" t="s">
        <v>24</v>
      </c>
      <c r="M2219" s="0" t="n">
        <v>188</v>
      </c>
      <c r="N2219" s="0" t="n">
        <v>0</v>
      </c>
      <c r="Q2219" s="0" t="n">
        <v>0</v>
      </c>
      <c r="S2219" s="0" t="n">
        <v>0</v>
      </c>
      <c r="U2219" s="22" t="b">
        <f aca="false">FALSE()</f>
        <v>0</v>
      </c>
      <c r="V2219" s="0" t="n">
        <v>0.76</v>
      </c>
      <c r="W2219" s="0" t="n">
        <v>0.92</v>
      </c>
      <c r="X2219" s="0" t="n">
        <v>7.09</v>
      </c>
      <c r="Y2219" s="0" t="n">
        <v>326.7</v>
      </c>
      <c r="Z2219" s="0" t="n">
        <v>9.5</v>
      </c>
      <c r="AA2219" s="0" t="n">
        <v>2.4</v>
      </c>
      <c r="AB2219" s="0" t="n">
        <v>1.42</v>
      </c>
      <c r="AC2219" s="22" t="b">
        <f aca="false">TRUE()</f>
        <v>1</v>
      </c>
      <c r="AD2219" s="0" t="n">
        <v>0.86</v>
      </c>
      <c r="AE2219" s="0" t="n">
        <v>0.18</v>
      </c>
      <c r="AF2219" s="0" t="n">
        <v>0.22</v>
      </c>
      <c r="AG2219" s="22" t="b">
        <f aca="false">FALSE()</f>
        <v>0</v>
      </c>
      <c r="AH2219" s="0" t="n">
        <v>1</v>
      </c>
    </row>
    <row r="2220" customFormat="false" ht="15" hidden="false" customHeight="false" outlineLevel="0" collapsed="false">
      <c r="A2220" s="0" t="s">
        <v>3311</v>
      </c>
      <c r="B2220" s="0" t="s">
        <v>134</v>
      </c>
      <c r="C2220" s="0" t="s">
        <v>3447</v>
      </c>
      <c r="D2220" s="0" t="s">
        <v>3457</v>
      </c>
      <c r="E2220" s="18" t="s">
        <v>24</v>
      </c>
      <c r="F2220" s="23" t="s">
        <v>30</v>
      </c>
      <c r="G2220" s="21" t="s">
        <v>30</v>
      </c>
      <c r="H2220" s="21" t="s">
        <v>24</v>
      </c>
      <c r="I2220" s="21" t="s">
        <v>24</v>
      </c>
      <c r="J2220" s="21" t="s">
        <v>24</v>
      </c>
      <c r="K2220" s="21" t="s">
        <v>24</v>
      </c>
      <c r="L2220" s="21" t="s">
        <v>24</v>
      </c>
      <c r="M2220" s="0" t="n">
        <v>186</v>
      </c>
      <c r="N2220" s="0" t="n">
        <v>3</v>
      </c>
      <c r="O2220" s="21" t="s">
        <v>3580</v>
      </c>
      <c r="P2220" s="21" t="s">
        <v>4918</v>
      </c>
      <c r="Q2220" s="0" t="n">
        <v>0</v>
      </c>
      <c r="S2220" s="0" t="n">
        <v>3</v>
      </c>
      <c r="T2220" s="21" t="s">
        <v>3580</v>
      </c>
      <c r="U2220" s="22" t="b">
        <f aca="false">TRUE()</f>
        <v>1</v>
      </c>
      <c r="V2220" s="0" t="n">
        <v>0.71</v>
      </c>
      <c r="W2220" s="0" t="n">
        <v>0.28</v>
      </c>
      <c r="X2220" s="0" t="n">
        <v>7.01</v>
      </c>
      <c r="Y2220" s="0" t="n">
        <v>432.19</v>
      </c>
      <c r="Z2220" s="0" t="n">
        <v>9.75</v>
      </c>
      <c r="AA2220" s="0" t="n">
        <v>2.32</v>
      </c>
      <c r="AB2220" s="0" t="n">
        <v>8.43</v>
      </c>
      <c r="AC2220" s="22" t="b">
        <f aca="false">FALSE()</f>
        <v>0</v>
      </c>
      <c r="AD2220" s="0" t="n">
        <v>7.13</v>
      </c>
      <c r="AE2220" s="0" t="n">
        <v>0.56</v>
      </c>
      <c r="AF2220" s="0" t="n">
        <v>5.75</v>
      </c>
      <c r="AG2220" s="22" t="b">
        <f aca="false">FALSE()</f>
        <v>0</v>
      </c>
      <c r="AH2220" s="0" t="n">
        <v>1</v>
      </c>
    </row>
    <row r="2221" customFormat="false" ht="15" hidden="false" customHeight="false" outlineLevel="0" collapsed="false">
      <c r="A2221" s="0" t="s">
        <v>3311</v>
      </c>
      <c r="B2221" s="0" t="s">
        <v>134</v>
      </c>
      <c r="C2221" s="0" t="s">
        <v>3447</v>
      </c>
      <c r="D2221" s="0" t="s">
        <v>3448</v>
      </c>
      <c r="E2221" s="20" t="s">
        <v>25</v>
      </c>
      <c r="F2221" s="23" t="s">
        <v>30</v>
      </c>
      <c r="G2221" s="21" t="s">
        <v>2133</v>
      </c>
      <c r="H2221" s="21" t="s">
        <v>24</v>
      </c>
      <c r="I2221" s="21" t="s">
        <v>24</v>
      </c>
      <c r="J2221" s="21" t="s">
        <v>24</v>
      </c>
      <c r="K2221" s="21" t="s">
        <v>25</v>
      </c>
      <c r="L2221" s="21" t="s">
        <v>24</v>
      </c>
      <c r="M2221" s="0" t="n">
        <v>186</v>
      </c>
      <c r="N2221" s="0" t="n">
        <v>2</v>
      </c>
      <c r="O2221" s="21" t="s">
        <v>3499</v>
      </c>
      <c r="P2221" s="21" t="s">
        <v>4250</v>
      </c>
      <c r="Q2221" s="0" t="n">
        <v>0</v>
      </c>
      <c r="S2221" s="0" t="n">
        <v>2</v>
      </c>
      <c r="T2221" s="21" t="s">
        <v>3499</v>
      </c>
      <c r="U2221" s="22" t="b">
        <f aca="false">TRUE()</f>
        <v>1</v>
      </c>
      <c r="V2221" s="0" t="n">
        <v>0.83</v>
      </c>
      <c r="W2221" s="0" t="n">
        <v>0.92</v>
      </c>
      <c r="X2221" s="0" t="n">
        <v>8.98</v>
      </c>
      <c r="Y2221" s="0" t="n">
        <v>323.38</v>
      </c>
      <c r="Z2221" s="0" t="n">
        <v>8</v>
      </c>
      <c r="AA2221" s="0" t="n">
        <v>-1.03</v>
      </c>
      <c r="AB2221" s="0" t="n">
        <v>1.42</v>
      </c>
      <c r="AC2221" s="22" t="b">
        <f aca="false">FALSE()</f>
        <v>0</v>
      </c>
      <c r="AD2221" s="0" t="n">
        <v>1.1</v>
      </c>
      <c r="AE2221" s="0" t="n">
        <v>0.31</v>
      </c>
      <c r="AF2221" s="0" t="n">
        <v>0.31</v>
      </c>
      <c r="AG2221" s="22" t="b">
        <f aca="false">FALSE()</f>
        <v>0</v>
      </c>
      <c r="AH2221" s="0" t="n">
        <v>1</v>
      </c>
    </row>
    <row r="2222" customFormat="false" ht="15" hidden="false" customHeight="false" outlineLevel="0" collapsed="false">
      <c r="A2222" s="0" t="s">
        <v>3320</v>
      </c>
      <c r="B2222" s="0" t="s">
        <v>134</v>
      </c>
      <c r="C2222" s="0" t="s">
        <v>3450</v>
      </c>
      <c r="D2222" s="0" t="s">
        <v>3457</v>
      </c>
      <c r="E2222" s="18" t="s">
        <v>24</v>
      </c>
      <c r="F2222" s="18" t="s">
        <v>28</v>
      </c>
      <c r="H2222" s="21" t="s">
        <v>24</v>
      </c>
      <c r="I2222" s="21" t="s">
        <v>24</v>
      </c>
      <c r="J2222" s="21" t="s">
        <v>24</v>
      </c>
      <c r="K2222" s="21" t="s">
        <v>24</v>
      </c>
      <c r="L2222" s="21" t="s">
        <v>24</v>
      </c>
      <c r="M2222" s="0" t="n">
        <v>187</v>
      </c>
      <c r="N2222" s="0" t="n">
        <v>0</v>
      </c>
      <c r="Q2222" s="0" t="n">
        <v>0</v>
      </c>
      <c r="S2222" s="0" t="n">
        <v>0</v>
      </c>
      <c r="U2222" s="22" t="b">
        <f aca="false">FALSE()</f>
        <v>0</v>
      </c>
      <c r="V2222" s="0" t="n">
        <v>0.72</v>
      </c>
      <c r="W2222" s="0" t="n">
        <v>0.68</v>
      </c>
      <c r="X2222" s="0" t="n">
        <v>8.4</v>
      </c>
      <c r="Y2222" s="0" t="n">
        <v>319.98</v>
      </c>
      <c r="Z2222" s="0" t="n">
        <v>10.25</v>
      </c>
      <c r="AA2222" s="0" t="n">
        <v>12.93</v>
      </c>
      <c r="AB2222" s="0" t="n">
        <v>6.32</v>
      </c>
      <c r="AC2222" s="22" t="b">
        <f aca="false">FALSE()</f>
        <v>0</v>
      </c>
      <c r="AD2222" s="0" t="n">
        <v>12.12</v>
      </c>
      <c r="AE2222" s="0" t="n">
        <v>0.79</v>
      </c>
      <c r="AF2222" s="0" t="n">
        <v>11.75</v>
      </c>
      <c r="AG2222" s="22" t="b">
        <f aca="false">TRUE()</f>
        <v>1</v>
      </c>
      <c r="AH2222" s="0" t="n">
        <v>1</v>
      </c>
    </row>
    <row r="2223" customFormat="false" ht="15" hidden="false" customHeight="false" outlineLevel="0" collapsed="false">
      <c r="A2223" s="0" t="s">
        <v>3320</v>
      </c>
      <c r="B2223" s="0" t="s">
        <v>134</v>
      </c>
      <c r="C2223" s="0" t="s">
        <v>3450</v>
      </c>
      <c r="D2223" s="0" t="s">
        <v>3448</v>
      </c>
      <c r="E2223" s="20" t="s">
        <v>25</v>
      </c>
      <c r="F2223" s="20" t="s">
        <v>29</v>
      </c>
      <c r="G2223" s="21" t="s">
        <v>3496</v>
      </c>
      <c r="H2223" s="21" t="s">
        <v>25</v>
      </c>
      <c r="I2223" s="21" t="s">
        <v>24</v>
      </c>
      <c r="J2223" s="21" t="s">
        <v>24</v>
      </c>
      <c r="K2223" s="21" t="s">
        <v>25</v>
      </c>
      <c r="L2223" s="21" t="s">
        <v>24</v>
      </c>
      <c r="M2223" s="0" t="n">
        <v>247</v>
      </c>
      <c r="N2223" s="0" t="n">
        <v>0</v>
      </c>
      <c r="Q2223" s="0" t="n">
        <v>0</v>
      </c>
      <c r="S2223" s="0" t="n">
        <v>0</v>
      </c>
      <c r="U2223" s="22" t="b">
        <f aca="false">FALSE()</f>
        <v>0</v>
      </c>
      <c r="V2223" s="0" t="n">
        <v>0.72</v>
      </c>
      <c r="W2223" s="0" t="n">
        <v>0.4</v>
      </c>
      <c r="X2223" s="0" t="n">
        <v>7.73</v>
      </c>
      <c r="Y2223" s="0" t="n">
        <v>473.3</v>
      </c>
      <c r="Z2223" s="0" t="n">
        <v>10.5</v>
      </c>
      <c r="AA2223" s="0" t="n">
        <v>15.1</v>
      </c>
      <c r="AB2223" s="0" t="n">
        <v>3.97</v>
      </c>
      <c r="AC2223" s="22" t="b">
        <f aca="false">FALSE()</f>
        <v>0</v>
      </c>
      <c r="AD2223" s="0" t="n">
        <v>20.16</v>
      </c>
      <c r="AE2223" s="0" t="n">
        <v>1</v>
      </c>
      <c r="AF2223" s="0" t="n">
        <v>14.16</v>
      </c>
      <c r="AG2223" s="22" t="b">
        <f aca="false">TRUE()</f>
        <v>1</v>
      </c>
      <c r="AH2223" s="0" t="n">
        <v>1</v>
      </c>
    </row>
    <row r="2224" customFormat="false" ht="15" hidden="false" customHeight="false" outlineLevel="0" collapsed="false">
      <c r="A2224" s="0" t="s">
        <v>3320</v>
      </c>
      <c r="B2224" s="0" t="s">
        <v>134</v>
      </c>
      <c r="C2224" s="0" t="s">
        <v>3447</v>
      </c>
      <c r="D2224" s="0" t="s">
        <v>3457</v>
      </c>
      <c r="E2224" s="19" t="s">
        <v>26</v>
      </c>
      <c r="F2224" s="19" t="s">
        <v>32</v>
      </c>
      <c r="G2224" s="21" t="s">
        <v>529</v>
      </c>
      <c r="H2224" s="21" t="s">
        <v>24</v>
      </c>
      <c r="I2224" s="21" t="s">
        <v>26</v>
      </c>
      <c r="J2224" s="21" t="s">
        <v>24</v>
      </c>
      <c r="K2224" s="21" t="s">
        <v>24</v>
      </c>
      <c r="L2224" s="21" t="s">
        <v>24</v>
      </c>
      <c r="M2224" s="0" t="n">
        <v>183</v>
      </c>
      <c r="N2224" s="0" t="n">
        <v>11</v>
      </c>
      <c r="O2224" s="21" t="s">
        <v>4034</v>
      </c>
      <c r="P2224" s="21" t="s">
        <v>4252</v>
      </c>
      <c r="Q2224" s="0" t="n">
        <v>1</v>
      </c>
      <c r="R2224" s="21" t="s">
        <v>69</v>
      </c>
      <c r="S2224" s="0" t="n">
        <v>11</v>
      </c>
      <c r="T2224" s="21" t="s">
        <v>4034</v>
      </c>
      <c r="U2224" s="22" t="b">
        <f aca="false">FALSE()</f>
        <v>0</v>
      </c>
      <c r="V2224" s="0" t="n">
        <v>0.75</v>
      </c>
      <c r="W2224" s="0" t="n">
        <v>0</v>
      </c>
      <c r="X2224" s="0" t="n">
        <v>8.04</v>
      </c>
      <c r="Y2224" s="0" t="n">
        <v>657.35</v>
      </c>
      <c r="Z2224" s="0" t="n">
        <v>12</v>
      </c>
      <c r="AA2224" s="0" t="n">
        <v>10.93</v>
      </c>
      <c r="AB2224" s="0" t="n">
        <v>6.32</v>
      </c>
      <c r="AC2224" s="22" t="b">
        <f aca="false">FALSE()</f>
        <v>0</v>
      </c>
      <c r="AD2224" s="0" t="n">
        <v>10.21</v>
      </c>
      <c r="AE2224" s="0" t="n">
        <v>0.53</v>
      </c>
      <c r="AF2224" s="0" t="n">
        <v>12.37</v>
      </c>
      <c r="AG2224" s="22" t="b">
        <f aca="false">TRUE()</f>
        <v>1</v>
      </c>
      <c r="AH2224" s="0" t="n">
        <v>1</v>
      </c>
    </row>
    <row r="2225" customFormat="false" ht="15" hidden="false" customHeight="false" outlineLevel="0" collapsed="false">
      <c r="A2225" s="0" t="s">
        <v>3320</v>
      </c>
      <c r="B2225" s="0" t="s">
        <v>134</v>
      </c>
      <c r="C2225" s="0" t="s">
        <v>3447</v>
      </c>
      <c r="D2225" s="0" t="s">
        <v>3448</v>
      </c>
      <c r="E2225" s="19" t="s">
        <v>26</v>
      </c>
      <c r="F2225" s="19" t="s">
        <v>32</v>
      </c>
      <c r="G2225" s="21" t="s">
        <v>529</v>
      </c>
      <c r="H2225" s="21" t="s">
        <v>24</v>
      </c>
      <c r="I2225" s="21" t="s">
        <v>26</v>
      </c>
      <c r="J2225" s="21" t="s">
        <v>24</v>
      </c>
      <c r="K2225" s="21" t="s">
        <v>24</v>
      </c>
      <c r="L2225" s="21" t="s">
        <v>24</v>
      </c>
      <c r="M2225" s="0" t="n">
        <v>184</v>
      </c>
      <c r="N2225" s="0" t="n">
        <v>12</v>
      </c>
      <c r="O2225" s="21" t="s">
        <v>4044</v>
      </c>
      <c r="P2225" s="21" t="s">
        <v>4278</v>
      </c>
      <c r="Q2225" s="0" t="n">
        <v>1</v>
      </c>
      <c r="R2225" s="21" t="s">
        <v>69</v>
      </c>
      <c r="S2225" s="0" t="n">
        <v>12</v>
      </c>
      <c r="T2225" s="21" t="s">
        <v>4044</v>
      </c>
      <c r="U2225" s="22" t="b">
        <f aca="false">FALSE()</f>
        <v>0</v>
      </c>
      <c r="V2225" s="0" t="n">
        <v>0.72</v>
      </c>
      <c r="W2225" s="0" t="n">
        <v>0.6</v>
      </c>
      <c r="X2225" s="0" t="n">
        <v>7.6</v>
      </c>
      <c r="Y2225" s="0" t="n">
        <v>320.4</v>
      </c>
      <c r="Z2225" s="0" t="n">
        <v>11.75</v>
      </c>
      <c r="AA2225" s="0" t="n">
        <v>5.17</v>
      </c>
      <c r="AB2225" s="0" t="n">
        <v>3.97</v>
      </c>
      <c r="AC2225" s="22" t="b">
        <f aca="false">FALSE()</f>
        <v>0</v>
      </c>
      <c r="AD2225" s="0" t="n">
        <v>18.11</v>
      </c>
      <c r="AE2225" s="0" t="n">
        <v>0.3</v>
      </c>
      <c r="AF2225" s="0" t="n">
        <v>12.27</v>
      </c>
      <c r="AG2225" s="22" t="b">
        <f aca="false">TRUE()</f>
        <v>1</v>
      </c>
      <c r="AH2225" s="0" t="n">
        <v>1</v>
      </c>
    </row>
    <row r="2226" customFormat="false" ht="15" hidden="false" customHeight="false" outlineLevel="0" collapsed="false">
      <c r="A2226" s="0" t="s">
        <v>3327</v>
      </c>
      <c r="B2226" s="0" t="s">
        <v>134</v>
      </c>
      <c r="C2226" s="0" t="s">
        <v>3450</v>
      </c>
      <c r="D2226" s="0" t="s">
        <v>3457</v>
      </c>
      <c r="E2226" s="18" t="s">
        <v>24</v>
      </c>
      <c r="F2226" s="18" t="s">
        <v>28</v>
      </c>
      <c r="H2226" s="21" t="s">
        <v>24</v>
      </c>
      <c r="I2226" s="21" t="s">
        <v>24</v>
      </c>
      <c r="J2226" s="21" t="s">
        <v>24</v>
      </c>
      <c r="K2226" s="21" t="s">
        <v>24</v>
      </c>
      <c r="L2226" s="21" t="s">
        <v>24</v>
      </c>
      <c r="M2226" s="0" t="n">
        <v>182</v>
      </c>
      <c r="N2226" s="0" t="n">
        <v>0</v>
      </c>
      <c r="Q2226" s="0" t="n">
        <v>0</v>
      </c>
      <c r="S2226" s="0" t="n">
        <v>0</v>
      </c>
      <c r="U2226" s="22" t="b">
        <f aca="false">FALSE()</f>
        <v>0</v>
      </c>
      <c r="V2226" s="0" t="n">
        <v>0.78</v>
      </c>
      <c r="W2226" s="0" t="n">
        <v>0.64</v>
      </c>
      <c r="X2226" s="0" t="n">
        <v>7.53</v>
      </c>
      <c r="Y2226" s="0" t="n">
        <v>305.53</v>
      </c>
      <c r="Z2226" s="0" t="n">
        <v>10</v>
      </c>
      <c r="AA2226" s="0" t="n">
        <v>12.58</v>
      </c>
      <c r="AB2226" s="0" t="n">
        <v>9.36</v>
      </c>
      <c r="AC2226" s="22" t="b">
        <f aca="false">FALSE()</f>
        <v>0</v>
      </c>
      <c r="AD2226" s="0" t="n">
        <v>11.71</v>
      </c>
      <c r="AE2226" s="0" t="n">
        <v>1.07</v>
      </c>
      <c r="AF2226" s="0" t="n">
        <v>2.23</v>
      </c>
      <c r="AG2226" s="22" t="b">
        <f aca="false">TRUE()</f>
        <v>1</v>
      </c>
      <c r="AH2226" s="0" t="n">
        <v>1</v>
      </c>
    </row>
    <row r="2227" customFormat="false" ht="15" hidden="false" customHeight="false" outlineLevel="0" collapsed="false">
      <c r="A2227" s="0" t="s">
        <v>3327</v>
      </c>
      <c r="B2227" s="0" t="s">
        <v>134</v>
      </c>
      <c r="C2227" s="0" t="s">
        <v>3450</v>
      </c>
      <c r="D2227" s="0" t="s">
        <v>3448</v>
      </c>
      <c r="E2227" s="20" t="s">
        <v>25</v>
      </c>
      <c r="F2227" s="23" t="s">
        <v>30</v>
      </c>
      <c r="G2227" s="21" t="s">
        <v>183</v>
      </c>
      <c r="H2227" s="21" t="s">
        <v>24</v>
      </c>
      <c r="I2227" s="21" t="s">
        <v>25</v>
      </c>
      <c r="J2227" s="21" t="s">
        <v>24</v>
      </c>
      <c r="K2227" s="21" t="s">
        <v>25</v>
      </c>
      <c r="L2227" s="21" t="s">
        <v>24</v>
      </c>
      <c r="M2227" s="0" t="n">
        <v>182</v>
      </c>
      <c r="N2227" s="0" t="n">
        <v>1</v>
      </c>
      <c r="O2227" s="21" t="s">
        <v>69</v>
      </c>
      <c r="P2227" s="21" t="s">
        <v>4275</v>
      </c>
      <c r="Q2227" s="0" t="n">
        <v>1</v>
      </c>
      <c r="R2227" s="21" t="s">
        <v>69</v>
      </c>
      <c r="S2227" s="0" t="n">
        <v>1</v>
      </c>
      <c r="T2227" s="21" t="s">
        <v>69</v>
      </c>
      <c r="U2227" s="22" t="b">
        <f aca="false">TRUE()</f>
        <v>1</v>
      </c>
      <c r="V2227" s="0" t="n">
        <v>0.78</v>
      </c>
      <c r="W2227" s="0" t="n">
        <v>0.64</v>
      </c>
      <c r="X2227" s="0" t="n">
        <v>7.45</v>
      </c>
      <c r="Y2227" s="0" t="n">
        <v>307.11</v>
      </c>
      <c r="Z2227" s="0" t="n">
        <v>10.25</v>
      </c>
      <c r="AA2227" s="0" t="n">
        <v>12.32</v>
      </c>
      <c r="AB2227" s="0" t="n">
        <v>6.83</v>
      </c>
      <c r="AC2227" s="22" t="b">
        <f aca="false">FALSE()</f>
        <v>0</v>
      </c>
      <c r="AD2227" s="0" t="n">
        <v>25.33</v>
      </c>
      <c r="AE2227" s="0" t="n">
        <v>14.8</v>
      </c>
      <c r="AF2227" s="0" t="n">
        <v>24.43</v>
      </c>
      <c r="AG2227" s="22" t="b">
        <f aca="false">TRUE()</f>
        <v>1</v>
      </c>
      <c r="AH2227" s="0" t="n">
        <v>1</v>
      </c>
    </row>
    <row r="2228" customFormat="false" ht="15" hidden="false" customHeight="false" outlineLevel="0" collapsed="false">
      <c r="A2228" s="0" t="s">
        <v>3327</v>
      </c>
      <c r="B2228" s="0" t="s">
        <v>134</v>
      </c>
      <c r="C2228" s="0" t="s">
        <v>3447</v>
      </c>
      <c r="D2228" s="0" t="s">
        <v>3457</v>
      </c>
      <c r="E2228" s="18" t="s">
        <v>24</v>
      </c>
      <c r="F2228" s="23" t="s">
        <v>30</v>
      </c>
      <c r="G2228" s="21" t="s">
        <v>30</v>
      </c>
      <c r="H2228" s="21" t="s">
        <v>24</v>
      </c>
      <c r="I2228" s="21" t="s">
        <v>24</v>
      </c>
      <c r="J2228" s="21" t="s">
        <v>24</v>
      </c>
      <c r="K2228" s="21" t="s">
        <v>24</v>
      </c>
      <c r="L2228" s="21" t="s">
        <v>24</v>
      </c>
      <c r="M2228" s="0" t="n">
        <v>182</v>
      </c>
      <c r="N2228" s="0" t="n">
        <v>3</v>
      </c>
      <c r="O2228" s="21" t="s">
        <v>3539</v>
      </c>
      <c r="P2228" s="21" t="s">
        <v>4342</v>
      </c>
      <c r="Q2228" s="0" t="n">
        <v>0</v>
      </c>
      <c r="S2228" s="0" t="n">
        <v>3</v>
      </c>
      <c r="T2228" s="21" t="s">
        <v>3539</v>
      </c>
      <c r="U2228" s="22" t="b">
        <f aca="false">TRUE()</f>
        <v>1</v>
      </c>
      <c r="V2228" s="0" t="n">
        <v>0.83</v>
      </c>
      <c r="W2228" s="0" t="n">
        <v>0.32</v>
      </c>
      <c r="X2228" s="0" t="n">
        <v>7.59</v>
      </c>
      <c r="Y2228" s="0" t="n">
        <v>389.81</v>
      </c>
      <c r="Z2228" s="0" t="n">
        <v>10.42</v>
      </c>
      <c r="AA2228" s="0" t="n">
        <v>-0.17</v>
      </c>
      <c r="AB2228" s="0" t="n">
        <v>9.36</v>
      </c>
      <c r="AC2228" s="22" t="b">
        <f aca="false">FALSE()</f>
        <v>0</v>
      </c>
      <c r="AD2228" s="0" t="n">
        <v>13.51</v>
      </c>
      <c r="AE2228" s="0" t="n">
        <v>2.07</v>
      </c>
      <c r="AF2228" s="0" t="n">
        <v>2.56</v>
      </c>
      <c r="AG2228" s="22" t="b">
        <f aca="false">TRUE()</f>
        <v>1</v>
      </c>
      <c r="AH2228" s="0" t="n">
        <v>1</v>
      </c>
    </row>
    <row r="2229" customFormat="false" ht="15" hidden="false" customHeight="false" outlineLevel="0" collapsed="false">
      <c r="A2229" s="0" t="s">
        <v>3327</v>
      </c>
      <c r="B2229" s="0" t="s">
        <v>134</v>
      </c>
      <c r="C2229" s="0" t="s">
        <v>3447</v>
      </c>
      <c r="D2229" s="0" t="s">
        <v>3448</v>
      </c>
      <c r="E2229" s="20" t="s">
        <v>25</v>
      </c>
      <c r="F2229" s="23" t="s">
        <v>30</v>
      </c>
      <c r="G2229" s="21" t="s">
        <v>992</v>
      </c>
      <c r="H2229" s="21" t="s">
        <v>24</v>
      </c>
      <c r="I2229" s="21" t="s">
        <v>24</v>
      </c>
      <c r="J2229" s="21" t="s">
        <v>24</v>
      </c>
      <c r="K2229" s="21" t="s">
        <v>25</v>
      </c>
      <c r="L2229" s="21" t="s">
        <v>24</v>
      </c>
      <c r="M2229" s="0" t="n">
        <v>182</v>
      </c>
      <c r="N2229" s="0" t="n">
        <v>2</v>
      </c>
      <c r="O2229" s="21" t="s">
        <v>3498</v>
      </c>
      <c r="P2229" s="21" t="s">
        <v>4323</v>
      </c>
      <c r="Q2229" s="0" t="n">
        <v>0</v>
      </c>
      <c r="S2229" s="0" t="n">
        <v>2</v>
      </c>
      <c r="T2229" s="21" t="s">
        <v>3498</v>
      </c>
      <c r="U2229" s="22" t="b">
        <f aca="false">TRUE()</f>
        <v>1</v>
      </c>
      <c r="V2229" s="0" t="n">
        <v>0.85</v>
      </c>
      <c r="W2229" s="0" t="n">
        <v>0</v>
      </c>
      <c r="X2229" s="0" t="n">
        <v>8.99</v>
      </c>
      <c r="Y2229" s="0" t="n">
        <v>5.81</v>
      </c>
      <c r="Z2229" s="0" t="n">
        <v>10.67</v>
      </c>
      <c r="AA2229" s="0" t="n">
        <v>2.73</v>
      </c>
      <c r="AB2229" s="0" t="n">
        <v>6.83</v>
      </c>
      <c r="AC2229" s="22" t="b">
        <f aca="false">FALSE()</f>
        <v>0</v>
      </c>
      <c r="AD2229" s="0" t="n">
        <v>20.72</v>
      </c>
      <c r="AE2229" s="0" t="n">
        <v>12.68</v>
      </c>
      <c r="AF2229" s="0" t="n">
        <v>22.1</v>
      </c>
      <c r="AG2229" s="22" t="b">
        <f aca="false">TRUE()</f>
        <v>1</v>
      </c>
      <c r="AH2229" s="0" t="n">
        <v>0</v>
      </c>
    </row>
    <row r="2230" customFormat="false" ht="15" hidden="false" customHeight="false" outlineLevel="0" collapsed="false">
      <c r="A2230" s="0" t="s">
        <v>3338</v>
      </c>
      <c r="B2230" s="0" t="s">
        <v>134</v>
      </c>
      <c r="C2230" s="0" t="s">
        <v>3450</v>
      </c>
      <c r="D2230" s="0" t="s">
        <v>3457</v>
      </c>
      <c r="E2230" s="20" t="s">
        <v>25</v>
      </c>
      <c r="F2230" s="23" t="s">
        <v>30</v>
      </c>
      <c r="G2230" s="21" t="s">
        <v>1468</v>
      </c>
      <c r="H2230" s="21" t="s">
        <v>24</v>
      </c>
      <c r="I2230" s="21" t="s">
        <v>24</v>
      </c>
      <c r="J2230" s="21" t="s">
        <v>24</v>
      </c>
      <c r="K2230" s="21" t="s">
        <v>25</v>
      </c>
      <c r="L2230" s="21" t="s">
        <v>24</v>
      </c>
      <c r="M2230" s="0" t="n">
        <v>186</v>
      </c>
      <c r="N2230" s="0" t="n">
        <v>5</v>
      </c>
      <c r="O2230" s="21" t="s">
        <v>3779</v>
      </c>
      <c r="P2230" s="21" t="s">
        <v>4945</v>
      </c>
      <c r="Q2230" s="0" t="n">
        <v>0</v>
      </c>
      <c r="S2230" s="0" t="n">
        <v>5</v>
      </c>
      <c r="T2230" s="21" t="s">
        <v>3779</v>
      </c>
      <c r="U2230" s="22" t="b">
        <f aca="false">TRUE()</f>
        <v>1</v>
      </c>
      <c r="V2230" s="0" t="n">
        <v>0.69</v>
      </c>
      <c r="W2230" s="0" t="n">
        <v>0.88</v>
      </c>
      <c r="X2230" s="0" t="n">
        <v>6.88</v>
      </c>
      <c r="Y2230" s="0" t="n">
        <v>286.14</v>
      </c>
      <c r="Z2230" s="0" t="n">
        <v>8</v>
      </c>
      <c r="AA2230" s="0" t="n">
        <v>-0.88</v>
      </c>
      <c r="AB2230" s="0" t="n">
        <v>0.48</v>
      </c>
      <c r="AC2230" s="22" t="b">
        <f aca="false">TRUE()</f>
        <v>1</v>
      </c>
      <c r="AD2230" s="0" t="n">
        <v>22.24</v>
      </c>
      <c r="AE2230" s="0" t="n">
        <v>11.64</v>
      </c>
      <c r="AF2230" s="0" t="n">
        <v>19.73</v>
      </c>
      <c r="AG2230" s="22" t="b">
        <f aca="false">TRUE()</f>
        <v>1</v>
      </c>
      <c r="AH2230" s="0" t="n">
        <v>1</v>
      </c>
    </row>
    <row r="2231" customFormat="false" ht="15" hidden="false" customHeight="false" outlineLevel="0" collapsed="false">
      <c r="A2231" s="0" t="s">
        <v>3338</v>
      </c>
      <c r="B2231" s="0" t="s">
        <v>134</v>
      </c>
      <c r="C2231" s="0" t="s">
        <v>3450</v>
      </c>
      <c r="D2231" s="0" t="s">
        <v>3448</v>
      </c>
      <c r="E2231" s="19" t="s">
        <v>26</v>
      </c>
      <c r="F2231" s="19" t="s">
        <v>32</v>
      </c>
      <c r="G2231" s="21" t="s">
        <v>3936</v>
      </c>
      <c r="H2231" s="21" t="s">
        <v>24</v>
      </c>
      <c r="I2231" s="21" t="s">
        <v>26</v>
      </c>
      <c r="J2231" s="21" t="s">
        <v>24</v>
      </c>
      <c r="K2231" s="21" t="s">
        <v>25</v>
      </c>
      <c r="L2231" s="21" t="s">
        <v>24</v>
      </c>
      <c r="M2231" s="0" t="n">
        <v>185</v>
      </c>
      <c r="N2231" s="0" t="n">
        <v>7</v>
      </c>
      <c r="O2231" s="21" t="s">
        <v>3935</v>
      </c>
      <c r="P2231" s="21" t="s">
        <v>4946</v>
      </c>
      <c r="Q2231" s="0" t="n">
        <v>0</v>
      </c>
      <c r="S2231" s="0" t="n">
        <v>7</v>
      </c>
      <c r="T2231" s="21" t="s">
        <v>3935</v>
      </c>
      <c r="U2231" s="22" t="b">
        <f aca="false">FALSE()</f>
        <v>0</v>
      </c>
      <c r="V2231" s="0" t="n">
        <v>0.72</v>
      </c>
      <c r="W2231" s="0" t="n">
        <v>0.52</v>
      </c>
      <c r="X2231" s="0" t="n">
        <v>7.68</v>
      </c>
      <c r="Y2231" s="0" t="n">
        <v>328.8</v>
      </c>
      <c r="Z2231" s="0" t="n">
        <v>10.25</v>
      </c>
      <c r="AA2231" s="0" t="n">
        <v>2.42</v>
      </c>
      <c r="AB2231" s="0" t="n">
        <v>0.2</v>
      </c>
      <c r="AC2231" s="22" t="b">
        <f aca="false">TRUE()</f>
        <v>1</v>
      </c>
      <c r="AD2231" s="0" t="n">
        <v>29.07</v>
      </c>
      <c r="AE2231" s="0" t="n">
        <v>11.08</v>
      </c>
      <c r="AF2231" s="0" t="n">
        <v>24.04</v>
      </c>
      <c r="AG2231" s="22" t="b">
        <f aca="false">TRUE()</f>
        <v>1</v>
      </c>
      <c r="AH2231" s="0" t="n">
        <v>1</v>
      </c>
    </row>
    <row r="2232" customFormat="false" ht="15" hidden="false" customHeight="false" outlineLevel="0" collapsed="false">
      <c r="A2232" s="0" t="s">
        <v>3338</v>
      </c>
      <c r="B2232" s="0" t="s">
        <v>134</v>
      </c>
      <c r="C2232" s="0" t="s">
        <v>3447</v>
      </c>
      <c r="D2232" s="0" t="s">
        <v>3457</v>
      </c>
      <c r="E2232" s="19" t="s">
        <v>26</v>
      </c>
      <c r="F2232" s="19" t="s">
        <v>32</v>
      </c>
      <c r="G2232" s="21" t="s">
        <v>3969</v>
      </c>
      <c r="H2232" s="21" t="s">
        <v>24</v>
      </c>
      <c r="I2232" s="21" t="s">
        <v>26</v>
      </c>
      <c r="J2232" s="21" t="s">
        <v>24</v>
      </c>
      <c r="K2232" s="21" t="s">
        <v>25</v>
      </c>
      <c r="L2232" s="21" t="s">
        <v>24</v>
      </c>
      <c r="M2232" s="0" t="n">
        <v>184</v>
      </c>
      <c r="N2232" s="0" t="n">
        <v>10</v>
      </c>
      <c r="O2232" s="21" t="s">
        <v>4112</v>
      </c>
      <c r="P2232" s="21" t="s">
        <v>4947</v>
      </c>
      <c r="Q2232" s="0" t="n">
        <v>0</v>
      </c>
      <c r="S2232" s="0" t="n">
        <v>10</v>
      </c>
      <c r="T2232" s="21" t="s">
        <v>4112</v>
      </c>
      <c r="U2232" s="22" t="b">
        <f aca="false">FALSE()</f>
        <v>0</v>
      </c>
      <c r="V2232" s="0" t="n">
        <v>0.58</v>
      </c>
      <c r="W2232" s="0" t="n">
        <v>0.92</v>
      </c>
      <c r="X2232" s="0" t="n">
        <v>7.19</v>
      </c>
      <c r="Y2232" s="0" t="n">
        <v>294.21</v>
      </c>
      <c r="Z2232" s="0" t="n">
        <v>8.25</v>
      </c>
      <c r="AA2232" s="0" t="n">
        <v>-1.23</v>
      </c>
      <c r="AB2232" s="0" t="n">
        <v>0.48</v>
      </c>
      <c r="AC2232" s="22" t="b">
        <f aca="false">FALSE()</f>
        <v>0</v>
      </c>
      <c r="AD2232" s="0" t="n">
        <v>21.77</v>
      </c>
      <c r="AE2232" s="0" t="n">
        <v>11.13</v>
      </c>
      <c r="AF2232" s="0" t="n">
        <v>19.52</v>
      </c>
      <c r="AG2232" s="22" t="b">
        <f aca="false">TRUE()</f>
        <v>1</v>
      </c>
      <c r="AH2232" s="0" t="n">
        <v>1</v>
      </c>
    </row>
    <row r="2233" customFormat="false" ht="15" hidden="false" customHeight="false" outlineLevel="0" collapsed="false">
      <c r="A2233" s="0" t="s">
        <v>3338</v>
      </c>
      <c r="B2233" s="0" t="s">
        <v>134</v>
      </c>
      <c r="C2233" s="0" t="s">
        <v>3447</v>
      </c>
      <c r="D2233" s="0" t="s">
        <v>3448</v>
      </c>
      <c r="E2233" s="20" t="s">
        <v>25</v>
      </c>
      <c r="F2233" s="23" t="s">
        <v>30</v>
      </c>
      <c r="G2233" s="21" t="s">
        <v>3487</v>
      </c>
      <c r="H2233" s="21" t="s">
        <v>24</v>
      </c>
      <c r="I2233" s="21" t="s">
        <v>24</v>
      </c>
      <c r="J2233" s="21" t="s">
        <v>24</v>
      </c>
      <c r="K2233" s="21" t="s">
        <v>25</v>
      </c>
      <c r="L2233" s="21" t="s">
        <v>24</v>
      </c>
      <c r="M2233" s="0" t="n">
        <v>182</v>
      </c>
      <c r="N2233" s="0" t="n">
        <v>3</v>
      </c>
      <c r="O2233" s="21" t="s">
        <v>3614</v>
      </c>
      <c r="P2233" s="21" t="s">
        <v>4948</v>
      </c>
      <c r="Q2233" s="0" t="n">
        <v>0</v>
      </c>
      <c r="S2233" s="0" t="n">
        <v>3</v>
      </c>
      <c r="T2233" s="21" t="s">
        <v>3614</v>
      </c>
      <c r="U2233" s="22" t="b">
        <f aca="false">TRUE()</f>
        <v>1</v>
      </c>
      <c r="V2233" s="0" t="n">
        <v>0.73</v>
      </c>
      <c r="W2233" s="0" t="n">
        <v>0.52</v>
      </c>
      <c r="X2233" s="0" t="n">
        <v>7.75</v>
      </c>
      <c r="Y2233" s="0" t="n">
        <v>321.85</v>
      </c>
      <c r="Z2233" s="0" t="n">
        <v>8</v>
      </c>
      <c r="AA2233" s="0" t="n">
        <v>-0.77</v>
      </c>
      <c r="AB2233" s="0" t="n">
        <v>0.2</v>
      </c>
      <c r="AC2233" s="22" t="b">
        <f aca="false">FALSE()</f>
        <v>0</v>
      </c>
      <c r="AD2233" s="0" t="n">
        <v>25.72</v>
      </c>
      <c r="AE2233" s="0" t="n">
        <v>9.6</v>
      </c>
      <c r="AF2233" s="0" t="n">
        <v>22.65</v>
      </c>
      <c r="AG2233" s="22" t="b">
        <f aca="false">TRUE()</f>
        <v>1</v>
      </c>
      <c r="AH2233" s="0" t="n">
        <v>1</v>
      </c>
    </row>
    <row r="2234" customFormat="false" ht="15" hidden="false" customHeight="false" outlineLevel="0" collapsed="false">
      <c r="A2234" s="0" t="s">
        <v>3338</v>
      </c>
      <c r="B2234" s="0" t="s">
        <v>3459</v>
      </c>
      <c r="C2234" s="0" t="s">
        <v>3450</v>
      </c>
      <c r="D2234" s="0" t="s">
        <v>3457</v>
      </c>
      <c r="E2234" s="20" t="s">
        <v>25</v>
      </c>
      <c r="F2234" s="23" t="s">
        <v>30</v>
      </c>
      <c r="G2234" s="21" t="s">
        <v>1468</v>
      </c>
      <c r="H2234" s="21" t="s">
        <v>24</v>
      </c>
      <c r="I2234" s="21" t="s">
        <v>24</v>
      </c>
      <c r="J2234" s="21" t="s">
        <v>24</v>
      </c>
      <c r="K2234" s="21" t="s">
        <v>25</v>
      </c>
      <c r="L2234" s="21" t="s">
        <v>24</v>
      </c>
      <c r="M2234" s="0" t="n">
        <v>185</v>
      </c>
      <c r="N2234" s="0" t="n">
        <v>5</v>
      </c>
      <c r="O2234" s="21" t="s">
        <v>3679</v>
      </c>
      <c r="P2234" s="21" t="s">
        <v>4274</v>
      </c>
      <c r="Q2234" s="0" t="n">
        <v>0</v>
      </c>
      <c r="S2234" s="0" t="n">
        <v>5</v>
      </c>
      <c r="T2234" s="21" t="s">
        <v>3679</v>
      </c>
      <c r="U2234" s="22" t="b">
        <f aca="false">TRUE()</f>
        <v>1</v>
      </c>
      <c r="V2234" s="0" t="n">
        <v>0.77</v>
      </c>
      <c r="W2234" s="0" t="n">
        <v>0</v>
      </c>
      <c r="X2234" s="0" t="n">
        <v>6.52</v>
      </c>
      <c r="Y2234" s="0" t="n">
        <v>725.87</v>
      </c>
      <c r="Z2234" s="0" t="n">
        <v>10.5</v>
      </c>
      <c r="AA2234" s="0" t="n">
        <v>1.83</v>
      </c>
      <c r="AB2234" s="0" t="n">
        <v>0.11</v>
      </c>
      <c r="AC2234" s="22" t="b">
        <f aca="false">TRUE()</f>
        <v>1</v>
      </c>
      <c r="AD2234" s="0" t="n">
        <v>21.62</v>
      </c>
      <c r="AE2234" s="0" t="n">
        <v>11.16</v>
      </c>
      <c r="AF2234" s="0" t="n">
        <v>21.1</v>
      </c>
      <c r="AG2234" s="22" t="b">
        <f aca="false">TRUE()</f>
        <v>1</v>
      </c>
      <c r="AH2234" s="0" t="n">
        <v>1</v>
      </c>
    </row>
    <row r="2235" customFormat="false" ht="15" hidden="false" customHeight="false" outlineLevel="0" collapsed="false">
      <c r="A2235" s="0" t="s">
        <v>3338</v>
      </c>
      <c r="B2235" s="0" t="s">
        <v>3459</v>
      </c>
      <c r="C2235" s="0" t="s">
        <v>3450</v>
      </c>
      <c r="D2235" s="0" t="s">
        <v>3448</v>
      </c>
      <c r="E2235" s="19" t="s">
        <v>26</v>
      </c>
      <c r="F2235" s="19" t="s">
        <v>32</v>
      </c>
      <c r="G2235" s="21" t="s">
        <v>4004</v>
      </c>
      <c r="H2235" s="21" t="s">
        <v>24</v>
      </c>
      <c r="I2235" s="21" t="s">
        <v>26</v>
      </c>
      <c r="J2235" s="21" t="s">
        <v>24</v>
      </c>
      <c r="K2235" s="21" t="s">
        <v>25</v>
      </c>
      <c r="L2235" s="21" t="s">
        <v>24</v>
      </c>
      <c r="M2235" s="0" t="n">
        <v>184</v>
      </c>
      <c r="N2235" s="0" t="n">
        <v>10</v>
      </c>
      <c r="O2235" s="21" t="s">
        <v>4003</v>
      </c>
      <c r="P2235" s="21" t="s">
        <v>4596</v>
      </c>
      <c r="Q2235" s="0" t="n">
        <v>0</v>
      </c>
      <c r="S2235" s="0" t="n">
        <v>10</v>
      </c>
      <c r="T2235" s="21" t="s">
        <v>4003</v>
      </c>
      <c r="U2235" s="22" t="b">
        <f aca="false">FALSE()</f>
        <v>0</v>
      </c>
      <c r="V2235" s="0" t="n">
        <v>0.72</v>
      </c>
      <c r="W2235" s="0" t="n">
        <v>0.44</v>
      </c>
      <c r="X2235" s="0" t="n">
        <v>6.72</v>
      </c>
      <c r="Y2235" s="0" t="n">
        <v>345.92</v>
      </c>
      <c r="Z2235" s="0" t="n">
        <v>8.67</v>
      </c>
      <c r="AA2235" s="0" t="n">
        <v>-1.03</v>
      </c>
      <c r="AB2235" s="0" t="n">
        <v>3.42</v>
      </c>
      <c r="AC2235" s="22" t="b">
        <f aca="false">FALSE()</f>
        <v>0</v>
      </c>
      <c r="AD2235" s="0" t="n">
        <v>24.26</v>
      </c>
      <c r="AE2235" s="0" t="n">
        <v>13.21</v>
      </c>
      <c r="AF2235" s="0" t="n">
        <v>23</v>
      </c>
      <c r="AG2235" s="22" t="b">
        <f aca="false">TRUE()</f>
        <v>1</v>
      </c>
      <c r="AH2235" s="0" t="n">
        <v>1</v>
      </c>
    </row>
    <row r="2236" customFormat="false" ht="15" hidden="false" customHeight="false" outlineLevel="0" collapsed="false">
      <c r="A2236" s="0" t="s">
        <v>3338</v>
      </c>
      <c r="B2236" s="0" t="s">
        <v>3459</v>
      </c>
      <c r="C2236" s="0" t="s">
        <v>3447</v>
      </c>
      <c r="D2236" s="0" t="s">
        <v>3457</v>
      </c>
      <c r="E2236" s="20" t="s">
        <v>25</v>
      </c>
      <c r="F2236" s="23" t="s">
        <v>30</v>
      </c>
      <c r="G2236" s="21" t="s">
        <v>2610</v>
      </c>
      <c r="H2236" s="21" t="s">
        <v>24</v>
      </c>
      <c r="I2236" s="21" t="s">
        <v>24</v>
      </c>
      <c r="J2236" s="21" t="s">
        <v>24</v>
      </c>
      <c r="K2236" s="21" t="s">
        <v>25</v>
      </c>
      <c r="L2236" s="21" t="s">
        <v>24</v>
      </c>
      <c r="M2236" s="0" t="n">
        <v>184</v>
      </c>
      <c r="N2236" s="0" t="n">
        <v>3</v>
      </c>
      <c r="O2236" s="21" t="s">
        <v>3565</v>
      </c>
      <c r="P2236" s="21" t="s">
        <v>4409</v>
      </c>
      <c r="Q2236" s="0" t="n">
        <v>0</v>
      </c>
      <c r="S2236" s="0" t="n">
        <v>3</v>
      </c>
      <c r="T2236" s="21" t="s">
        <v>3565</v>
      </c>
      <c r="U2236" s="22" t="b">
        <f aca="false">TRUE()</f>
        <v>1</v>
      </c>
      <c r="V2236" s="0" t="n">
        <v>0.81</v>
      </c>
      <c r="W2236" s="0" t="n">
        <v>0.6</v>
      </c>
      <c r="X2236" s="0" t="n">
        <v>6.46</v>
      </c>
      <c r="Y2236" s="0" t="n">
        <v>322.47</v>
      </c>
      <c r="Z2236" s="0" t="n">
        <v>8</v>
      </c>
      <c r="AA2236" s="0" t="n">
        <v>-0.91</v>
      </c>
      <c r="AB2236" s="0" t="n">
        <v>0.11</v>
      </c>
      <c r="AC2236" s="22" t="b">
        <f aca="false">FALSE()</f>
        <v>0</v>
      </c>
      <c r="AD2236" s="0" t="n">
        <v>19.68</v>
      </c>
      <c r="AE2236" s="0" t="n">
        <v>10.2</v>
      </c>
      <c r="AF2236" s="0" t="n">
        <v>20.27</v>
      </c>
      <c r="AG2236" s="22" t="b">
        <f aca="false">TRUE()</f>
        <v>1</v>
      </c>
      <c r="AH2236" s="0" t="n">
        <v>1</v>
      </c>
    </row>
    <row r="2237" customFormat="false" ht="15" hidden="false" customHeight="false" outlineLevel="0" collapsed="false">
      <c r="A2237" s="0" t="s">
        <v>3338</v>
      </c>
      <c r="B2237" s="0" t="s">
        <v>3459</v>
      </c>
      <c r="C2237" s="0" t="s">
        <v>3447</v>
      </c>
      <c r="D2237" s="0" t="s">
        <v>3448</v>
      </c>
      <c r="E2237" s="20" t="s">
        <v>25</v>
      </c>
      <c r="F2237" s="23" t="s">
        <v>30</v>
      </c>
      <c r="G2237" s="21" t="s">
        <v>992</v>
      </c>
      <c r="H2237" s="21" t="s">
        <v>24</v>
      </c>
      <c r="I2237" s="21" t="s">
        <v>24</v>
      </c>
      <c r="J2237" s="21" t="s">
        <v>24</v>
      </c>
      <c r="K2237" s="21" t="s">
        <v>25</v>
      </c>
      <c r="L2237" s="21" t="s">
        <v>24</v>
      </c>
      <c r="M2237" s="0" t="n">
        <v>185</v>
      </c>
      <c r="N2237" s="0" t="n">
        <v>4</v>
      </c>
      <c r="O2237" s="21" t="s">
        <v>3641</v>
      </c>
      <c r="P2237" s="21" t="s">
        <v>4627</v>
      </c>
      <c r="Q2237" s="0" t="n">
        <v>0</v>
      </c>
      <c r="S2237" s="0" t="n">
        <v>4</v>
      </c>
      <c r="T2237" s="21" t="s">
        <v>3641</v>
      </c>
      <c r="U2237" s="22" t="b">
        <f aca="false">TRUE()</f>
        <v>1</v>
      </c>
      <c r="V2237" s="0" t="n">
        <v>0.84</v>
      </c>
      <c r="W2237" s="0" t="n">
        <v>0.96</v>
      </c>
      <c r="X2237" s="0" t="n">
        <v>7.49</v>
      </c>
      <c r="Y2237" s="0" t="n">
        <v>316.75</v>
      </c>
      <c r="Z2237" s="0" t="n">
        <v>8.83</v>
      </c>
      <c r="AA2237" s="0" t="n">
        <v>-1.17</v>
      </c>
      <c r="AB2237" s="0" t="n">
        <v>3.42</v>
      </c>
      <c r="AC2237" s="22" t="b">
        <f aca="false">FALSE()</f>
        <v>0</v>
      </c>
      <c r="AD2237" s="0" t="n">
        <v>23.22</v>
      </c>
      <c r="AE2237" s="0" t="n">
        <v>12.67</v>
      </c>
      <c r="AF2237" s="0" t="n">
        <v>23.45</v>
      </c>
      <c r="AG2237" s="22" t="b">
        <f aca="false">TRUE()</f>
        <v>1</v>
      </c>
      <c r="AH2237" s="0" t="n">
        <v>1</v>
      </c>
    </row>
    <row r="2238" customFormat="false" ht="15" hidden="false" customHeight="false" outlineLevel="0" collapsed="false">
      <c r="A2238" s="0" t="s">
        <v>3351</v>
      </c>
      <c r="B2238" s="0" t="s">
        <v>134</v>
      </c>
      <c r="C2238" s="0" t="s">
        <v>3450</v>
      </c>
      <c r="D2238" s="0" t="s">
        <v>3457</v>
      </c>
      <c r="E2238" s="20" t="s">
        <v>25</v>
      </c>
      <c r="F2238" s="23" t="s">
        <v>30</v>
      </c>
      <c r="G2238" s="21" t="s">
        <v>1152</v>
      </c>
      <c r="H2238" s="21" t="s">
        <v>24</v>
      </c>
      <c r="I2238" s="21" t="s">
        <v>25</v>
      </c>
      <c r="J2238" s="21" t="s">
        <v>24</v>
      </c>
      <c r="K2238" s="21" t="s">
        <v>25</v>
      </c>
      <c r="L2238" s="21" t="s">
        <v>24</v>
      </c>
      <c r="M2238" s="0" t="n">
        <v>184</v>
      </c>
      <c r="N2238" s="0" t="n">
        <v>1</v>
      </c>
      <c r="O2238" s="21" t="s">
        <v>69</v>
      </c>
      <c r="P2238" s="21" t="s">
        <v>4275</v>
      </c>
      <c r="Q2238" s="0" t="n">
        <v>1</v>
      </c>
      <c r="R2238" s="21" t="s">
        <v>69</v>
      </c>
      <c r="S2238" s="0" t="n">
        <v>1</v>
      </c>
      <c r="T2238" s="21" t="s">
        <v>69</v>
      </c>
      <c r="U2238" s="22" t="b">
        <f aca="false">TRUE()</f>
        <v>1</v>
      </c>
      <c r="V2238" s="0" t="n">
        <v>0.74</v>
      </c>
      <c r="W2238" s="0" t="n">
        <v>0</v>
      </c>
      <c r="X2238" s="0" t="n">
        <v>10.86</v>
      </c>
      <c r="Y2238" s="0" t="n">
        <v>0.29</v>
      </c>
      <c r="Z2238" s="0" t="n">
        <v>11.25</v>
      </c>
      <c r="AA2238" s="0" t="n">
        <v>11.65</v>
      </c>
      <c r="AB2238" s="0" t="n">
        <v>0.3</v>
      </c>
      <c r="AC2238" s="22" t="b">
        <f aca="false">FALSE()</f>
        <v>0</v>
      </c>
      <c r="AD2238" s="0" t="n">
        <v>18.75</v>
      </c>
      <c r="AE2238" s="0" t="n">
        <v>1.41</v>
      </c>
      <c r="AF2238" s="0" t="n">
        <v>11.38</v>
      </c>
      <c r="AG2238" s="22" t="b">
        <f aca="false">TRUE()</f>
        <v>1</v>
      </c>
      <c r="AH2238" s="0" t="n">
        <v>0</v>
      </c>
    </row>
    <row r="2239" customFormat="false" ht="15" hidden="false" customHeight="false" outlineLevel="0" collapsed="false">
      <c r="A2239" s="0" t="s">
        <v>3351</v>
      </c>
      <c r="B2239" s="0" t="s">
        <v>134</v>
      </c>
      <c r="C2239" s="0" t="s">
        <v>3450</v>
      </c>
      <c r="D2239" s="0" t="s">
        <v>3448</v>
      </c>
      <c r="E2239" s="20" t="s">
        <v>25</v>
      </c>
      <c r="F2239" s="23" t="s">
        <v>30</v>
      </c>
      <c r="G2239" s="21" t="s">
        <v>283</v>
      </c>
      <c r="H2239" s="21" t="s">
        <v>24</v>
      </c>
      <c r="I2239" s="21" t="s">
        <v>25</v>
      </c>
      <c r="J2239" s="21" t="s">
        <v>24</v>
      </c>
      <c r="K2239" s="21" t="s">
        <v>24</v>
      </c>
      <c r="L2239" s="21" t="s">
        <v>24</v>
      </c>
      <c r="M2239" s="0" t="n">
        <v>182</v>
      </c>
      <c r="N2239" s="0" t="n">
        <v>1</v>
      </c>
      <c r="O2239" s="21" t="s">
        <v>69</v>
      </c>
      <c r="P2239" s="21" t="s">
        <v>4275</v>
      </c>
      <c r="Q2239" s="0" t="n">
        <v>1</v>
      </c>
      <c r="R2239" s="21" t="s">
        <v>69</v>
      </c>
      <c r="S2239" s="0" t="n">
        <v>1</v>
      </c>
      <c r="T2239" s="21" t="s">
        <v>69</v>
      </c>
      <c r="U2239" s="22" t="b">
        <f aca="false">TRUE()</f>
        <v>1</v>
      </c>
      <c r="V2239" s="0" t="n">
        <v>0.74</v>
      </c>
      <c r="W2239" s="0" t="n">
        <v>0.32</v>
      </c>
      <c r="X2239" s="0" t="n">
        <v>11.24</v>
      </c>
      <c r="Y2239" s="0" t="n">
        <v>400.77</v>
      </c>
      <c r="Z2239" s="0" t="n">
        <v>11</v>
      </c>
      <c r="AA2239" s="0" t="n">
        <v>10.33</v>
      </c>
      <c r="AB2239" s="0" t="n">
        <v>3.84</v>
      </c>
      <c r="AC2239" s="22" t="b">
        <f aca="false">FALSE()</f>
        <v>0</v>
      </c>
      <c r="AD2239" s="0" t="n">
        <v>12.02</v>
      </c>
      <c r="AE2239" s="0" t="n">
        <v>3.24</v>
      </c>
      <c r="AF2239" s="0" t="n">
        <v>9.99</v>
      </c>
      <c r="AG2239" s="22" t="b">
        <f aca="false">TRUE()</f>
        <v>1</v>
      </c>
      <c r="AH2239" s="0" t="n">
        <v>1</v>
      </c>
    </row>
    <row r="2240" customFormat="false" ht="15" hidden="false" customHeight="false" outlineLevel="0" collapsed="false">
      <c r="A2240" s="0" t="s">
        <v>3351</v>
      </c>
      <c r="B2240" s="0" t="s">
        <v>134</v>
      </c>
      <c r="C2240" s="0" t="s">
        <v>3447</v>
      </c>
      <c r="D2240" s="0" t="s">
        <v>3457</v>
      </c>
      <c r="E2240" s="19" t="s">
        <v>26</v>
      </c>
      <c r="F2240" s="19" t="s">
        <v>32</v>
      </c>
      <c r="G2240" s="21" t="s">
        <v>3879</v>
      </c>
      <c r="H2240" s="21" t="s">
        <v>24</v>
      </c>
      <c r="I2240" s="21" t="s">
        <v>26</v>
      </c>
      <c r="J2240" s="21" t="s">
        <v>24</v>
      </c>
      <c r="K2240" s="21" t="s">
        <v>25</v>
      </c>
      <c r="L2240" s="21" t="s">
        <v>24</v>
      </c>
      <c r="M2240" s="0" t="n">
        <v>182</v>
      </c>
      <c r="N2240" s="0" t="n">
        <v>9</v>
      </c>
      <c r="O2240" s="21" t="s">
        <v>3948</v>
      </c>
      <c r="P2240" s="21" t="s">
        <v>4949</v>
      </c>
      <c r="Q2240" s="0" t="n">
        <v>0</v>
      </c>
      <c r="S2240" s="0" t="n">
        <v>9</v>
      </c>
      <c r="T2240" s="21" t="s">
        <v>3948</v>
      </c>
      <c r="U2240" s="22" t="b">
        <f aca="false">FALSE()</f>
        <v>0</v>
      </c>
      <c r="V2240" s="0" t="n">
        <v>0.74</v>
      </c>
      <c r="W2240" s="0" t="n">
        <v>0.76</v>
      </c>
      <c r="X2240" s="0" t="n">
        <v>11.38</v>
      </c>
      <c r="Y2240" s="0" t="n">
        <v>319.13</v>
      </c>
      <c r="Z2240" s="0" t="n">
        <v>8.25</v>
      </c>
      <c r="AA2240" s="0" t="n">
        <v>-1.25</v>
      </c>
      <c r="AB2240" s="0" t="n">
        <v>0.3</v>
      </c>
      <c r="AC2240" s="22" t="b">
        <f aca="false">FALSE()</f>
        <v>0</v>
      </c>
      <c r="AD2240" s="0" t="n">
        <v>3.78</v>
      </c>
      <c r="AE2240" s="0" t="n">
        <v>0.29</v>
      </c>
      <c r="AF2240" s="0" t="n">
        <v>1.18</v>
      </c>
      <c r="AG2240" s="22" t="b">
        <f aca="false">FALSE()</f>
        <v>0</v>
      </c>
      <c r="AH2240" s="0" t="n">
        <v>1</v>
      </c>
    </row>
    <row r="2241" customFormat="false" ht="15" hidden="false" customHeight="false" outlineLevel="0" collapsed="false">
      <c r="A2241" s="0" t="s">
        <v>3351</v>
      </c>
      <c r="B2241" s="0" t="s">
        <v>134</v>
      </c>
      <c r="C2241" s="0" t="s">
        <v>3447</v>
      </c>
      <c r="D2241" s="0" t="s">
        <v>3448</v>
      </c>
      <c r="E2241" s="19" t="s">
        <v>26</v>
      </c>
      <c r="F2241" s="19" t="s">
        <v>32</v>
      </c>
      <c r="G2241" s="21" t="s">
        <v>60</v>
      </c>
      <c r="H2241" s="21" t="s">
        <v>24</v>
      </c>
      <c r="I2241" s="21" t="s">
        <v>26</v>
      </c>
      <c r="J2241" s="21" t="s">
        <v>24</v>
      </c>
      <c r="K2241" s="21" t="s">
        <v>24</v>
      </c>
      <c r="L2241" s="21" t="s">
        <v>24</v>
      </c>
      <c r="M2241" s="0" t="n">
        <v>182</v>
      </c>
      <c r="N2241" s="0" t="n">
        <v>9</v>
      </c>
      <c r="O2241" s="21" t="s">
        <v>3948</v>
      </c>
      <c r="P2241" s="21" t="s">
        <v>4949</v>
      </c>
      <c r="Q2241" s="0" t="n">
        <v>0</v>
      </c>
      <c r="S2241" s="0" t="n">
        <v>9</v>
      </c>
      <c r="T2241" s="21" t="s">
        <v>3948</v>
      </c>
      <c r="U2241" s="22" t="b">
        <f aca="false">FALSE()</f>
        <v>0</v>
      </c>
      <c r="V2241" s="0" t="n">
        <v>0.76</v>
      </c>
      <c r="W2241" s="0" t="n">
        <v>0.36</v>
      </c>
      <c r="X2241" s="0" t="n">
        <v>11.26</v>
      </c>
      <c r="Y2241" s="0" t="n">
        <v>377.42</v>
      </c>
      <c r="Z2241" s="0" t="n">
        <v>11.25</v>
      </c>
      <c r="AA2241" s="0" t="n">
        <v>0.88</v>
      </c>
      <c r="AB2241" s="0" t="n">
        <v>3.84</v>
      </c>
      <c r="AC2241" s="22" t="b">
        <f aca="false">FALSE()</f>
        <v>0</v>
      </c>
      <c r="AD2241" s="0" t="n">
        <v>13.68</v>
      </c>
      <c r="AE2241" s="0" t="n">
        <v>3.96</v>
      </c>
      <c r="AF2241" s="0" t="n">
        <v>11.55</v>
      </c>
      <c r="AG2241" s="22" t="b">
        <f aca="false">TRUE()</f>
        <v>1</v>
      </c>
      <c r="AH2241" s="0" t="n">
        <v>1</v>
      </c>
    </row>
    <row r="2242" customFormat="false" ht="15" hidden="false" customHeight="false" outlineLevel="0" collapsed="false">
      <c r="A2242" s="0" t="s">
        <v>3363</v>
      </c>
      <c r="B2242" s="0" t="s">
        <v>134</v>
      </c>
      <c r="C2242" s="0" t="s">
        <v>3450</v>
      </c>
      <c r="D2242" s="0" t="s">
        <v>3457</v>
      </c>
      <c r="E2242" s="18" t="s">
        <v>24</v>
      </c>
      <c r="F2242" s="18" t="s">
        <v>28</v>
      </c>
      <c r="H2242" s="21" t="s">
        <v>24</v>
      </c>
      <c r="I2242" s="21" t="s">
        <v>24</v>
      </c>
      <c r="J2242" s="21" t="s">
        <v>24</v>
      </c>
      <c r="K2242" s="21" t="s">
        <v>24</v>
      </c>
      <c r="L2242" s="21" t="s">
        <v>24</v>
      </c>
      <c r="M2242" s="0" t="n">
        <v>186</v>
      </c>
      <c r="N2242" s="0" t="n">
        <v>0</v>
      </c>
      <c r="Q2242" s="0" t="n">
        <v>0</v>
      </c>
      <c r="S2242" s="0" t="n">
        <v>0</v>
      </c>
      <c r="U2242" s="22" t="b">
        <f aca="false">FALSE()</f>
        <v>0</v>
      </c>
      <c r="V2242" s="0" t="n">
        <v>0.69</v>
      </c>
      <c r="W2242" s="0" t="n">
        <v>0.24</v>
      </c>
      <c r="X2242" s="0" t="n">
        <v>9.86</v>
      </c>
      <c r="Y2242" s="0" t="n">
        <v>391.66</v>
      </c>
      <c r="Z2242" s="0" t="n">
        <v>11</v>
      </c>
      <c r="AA2242" s="0" t="n">
        <v>12.21</v>
      </c>
      <c r="AB2242" s="0" t="n">
        <v>5.1</v>
      </c>
      <c r="AC2242" s="22" t="b">
        <f aca="false">FALSE()</f>
        <v>0</v>
      </c>
      <c r="AD2242" s="0" t="n">
        <v>12.93</v>
      </c>
      <c r="AE2242" s="0" t="n">
        <v>0.74</v>
      </c>
      <c r="AF2242" s="0" t="n">
        <v>5.43</v>
      </c>
      <c r="AG2242" s="22" t="b">
        <f aca="false">TRUE()</f>
        <v>1</v>
      </c>
      <c r="AH2242" s="0" t="n">
        <v>1</v>
      </c>
    </row>
    <row r="2243" customFormat="false" ht="15" hidden="false" customHeight="false" outlineLevel="0" collapsed="false">
      <c r="A2243" s="0" t="s">
        <v>3363</v>
      </c>
      <c r="B2243" s="0" t="s">
        <v>134</v>
      </c>
      <c r="C2243" s="0" t="s">
        <v>3450</v>
      </c>
      <c r="D2243" s="0" t="s">
        <v>3448</v>
      </c>
      <c r="E2243" s="18" t="s">
        <v>24</v>
      </c>
      <c r="F2243" s="18" t="s">
        <v>28</v>
      </c>
      <c r="H2243" s="21" t="s">
        <v>24</v>
      </c>
      <c r="I2243" s="21" t="s">
        <v>24</v>
      </c>
      <c r="J2243" s="21" t="s">
        <v>24</v>
      </c>
      <c r="K2243" s="21" t="s">
        <v>24</v>
      </c>
      <c r="L2243" s="21" t="s">
        <v>24</v>
      </c>
      <c r="M2243" s="0" t="n">
        <v>196</v>
      </c>
      <c r="N2243" s="0" t="n">
        <v>0</v>
      </c>
      <c r="Q2243" s="0" t="n">
        <v>0</v>
      </c>
      <c r="S2243" s="0" t="n">
        <v>0</v>
      </c>
      <c r="U2243" s="22" t="b">
        <f aca="false">FALSE()</f>
        <v>0</v>
      </c>
      <c r="V2243" s="0" t="n">
        <v>0.71</v>
      </c>
      <c r="W2243" s="0" t="n">
        <v>0.76</v>
      </c>
      <c r="X2243" s="0" t="n">
        <v>10.5</v>
      </c>
      <c r="Y2243" s="0" t="n">
        <v>326.03</v>
      </c>
      <c r="Z2243" s="0" t="n">
        <v>10.75</v>
      </c>
      <c r="AA2243" s="0" t="n">
        <v>9.98</v>
      </c>
      <c r="AB2243" s="0" t="n">
        <v>9.55</v>
      </c>
      <c r="AC2243" s="22" t="b">
        <f aca="false">FALSE()</f>
        <v>0</v>
      </c>
      <c r="AD2243" s="0" t="n">
        <v>8.22</v>
      </c>
      <c r="AE2243" s="0" t="n">
        <v>1.04</v>
      </c>
      <c r="AF2243" s="0" t="n">
        <v>1.01</v>
      </c>
      <c r="AG2243" s="22" t="b">
        <f aca="false">FALSE()</f>
        <v>0</v>
      </c>
      <c r="AH2243" s="0" t="n">
        <v>1</v>
      </c>
    </row>
    <row r="2244" customFormat="false" ht="15" hidden="false" customHeight="false" outlineLevel="0" collapsed="false">
      <c r="A2244" s="0" t="s">
        <v>3363</v>
      </c>
      <c r="B2244" s="0" t="s">
        <v>134</v>
      </c>
      <c r="C2244" s="0" t="s">
        <v>3447</v>
      </c>
      <c r="D2244" s="0" t="s">
        <v>3457</v>
      </c>
      <c r="E2244" s="19" t="s">
        <v>26</v>
      </c>
      <c r="F2244" s="19" t="s">
        <v>32</v>
      </c>
      <c r="G2244" s="21" t="s">
        <v>529</v>
      </c>
      <c r="H2244" s="21" t="s">
        <v>24</v>
      </c>
      <c r="I2244" s="21" t="s">
        <v>26</v>
      </c>
      <c r="J2244" s="21" t="s">
        <v>24</v>
      </c>
      <c r="K2244" s="21" t="s">
        <v>24</v>
      </c>
      <c r="L2244" s="21" t="s">
        <v>24</v>
      </c>
      <c r="M2244" s="0" t="n">
        <v>188</v>
      </c>
      <c r="N2244" s="0" t="n">
        <v>12</v>
      </c>
      <c r="O2244" s="21" t="s">
        <v>4044</v>
      </c>
      <c r="P2244" s="21" t="s">
        <v>4278</v>
      </c>
      <c r="Q2244" s="0" t="n">
        <v>1</v>
      </c>
      <c r="R2244" s="21" t="s">
        <v>69</v>
      </c>
      <c r="S2244" s="0" t="n">
        <v>12</v>
      </c>
      <c r="T2244" s="21" t="s">
        <v>4044</v>
      </c>
      <c r="U2244" s="22" t="b">
        <f aca="false">FALSE()</f>
        <v>0</v>
      </c>
      <c r="V2244" s="0" t="n">
        <v>0.74</v>
      </c>
      <c r="W2244" s="0" t="n">
        <v>0.16</v>
      </c>
      <c r="X2244" s="0" t="n">
        <v>9.11</v>
      </c>
      <c r="Y2244" s="0" t="n">
        <v>516.89</v>
      </c>
      <c r="Z2244" s="0" t="n">
        <v>8.75</v>
      </c>
      <c r="AA2244" s="0" t="n">
        <v>3.29</v>
      </c>
      <c r="AB2244" s="0" t="n">
        <v>5.1</v>
      </c>
      <c r="AC2244" s="22" t="b">
        <f aca="false">FALSE()</f>
        <v>0</v>
      </c>
      <c r="AD2244" s="0" t="n">
        <v>13.36</v>
      </c>
      <c r="AE2244" s="0" t="n">
        <v>0.57</v>
      </c>
      <c r="AF2244" s="0" t="n">
        <v>4.59</v>
      </c>
      <c r="AG2244" s="22" t="b">
        <f aca="false">TRUE()</f>
        <v>1</v>
      </c>
      <c r="AH2244" s="0" t="n">
        <v>1</v>
      </c>
    </row>
    <row r="2245" customFormat="false" ht="15" hidden="false" customHeight="false" outlineLevel="0" collapsed="false">
      <c r="A2245" s="0" t="s">
        <v>3363</v>
      </c>
      <c r="B2245" s="0" t="s">
        <v>134</v>
      </c>
      <c r="C2245" s="0" t="s">
        <v>3447</v>
      </c>
      <c r="D2245" s="0" t="s">
        <v>3448</v>
      </c>
      <c r="E2245" s="19" t="s">
        <v>26</v>
      </c>
      <c r="F2245" s="19" t="s">
        <v>32</v>
      </c>
      <c r="G2245" s="21" t="s">
        <v>529</v>
      </c>
      <c r="H2245" s="21" t="s">
        <v>24</v>
      </c>
      <c r="I2245" s="21" t="s">
        <v>26</v>
      </c>
      <c r="J2245" s="21" t="s">
        <v>24</v>
      </c>
      <c r="K2245" s="21" t="s">
        <v>24</v>
      </c>
      <c r="L2245" s="21" t="s">
        <v>24</v>
      </c>
      <c r="M2245" s="0" t="n">
        <v>185</v>
      </c>
      <c r="N2245" s="0" t="n">
        <v>9</v>
      </c>
      <c r="O2245" s="21" t="s">
        <v>4042</v>
      </c>
      <c r="P2245" s="21" t="s">
        <v>4471</v>
      </c>
      <c r="Q2245" s="0" t="n">
        <v>1</v>
      </c>
      <c r="R2245" s="21" t="s">
        <v>69</v>
      </c>
      <c r="S2245" s="0" t="n">
        <v>9</v>
      </c>
      <c r="T2245" s="21" t="s">
        <v>4042</v>
      </c>
      <c r="U2245" s="22" t="b">
        <f aca="false">FALSE()</f>
        <v>0</v>
      </c>
      <c r="V2245" s="0" t="n">
        <v>0.71</v>
      </c>
      <c r="W2245" s="0" t="n">
        <v>0.28</v>
      </c>
      <c r="X2245" s="0" t="n">
        <v>9.52</v>
      </c>
      <c r="Y2245" s="0" t="n">
        <v>417.25</v>
      </c>
      <c r="Z2245" s="0" t="n">
        <v>8.92</v>
      </c>
      <c r="AA2245" s="0" t="n">
        <v>3.42</v>
      </c>
      <c r="AB2245" s="0" t="n">
        <v>9.55</v>
      </c>
      <c r="AC2245" s="22" t="b">
        <f aca="false">FALSE()</f>
        <v>0</v>
      </c>
      <c r="AD2245" s="0" t="n">
        <v>8.99</v>
      </c>
      <c r="AE2245" s="0" t="n">
        <v>1.52</v>
      </c>
      <c r="AF2245" s="0" t="n">
        <v>1.04</v>
      </c>
      <c r="AG2245" s="22" t="b">
        <f aca="false">FALSE()</f>
        <v>0</v>
      </c>
      <c r="AH2245" s="0" t="n">
        <v>1</v>
      </c>
    </row>
    <row r="2246" customFormat="false" ht="15" hidden="false" customHeight="false" outlineLevel="0" collapsed="false">
      <c r="A2246" s="0" t="s">
        <v>3369</v>
      </c>
      <c r="B2246" s="0" t="s">
        <v>134</v>
      </c>
      <c r="C2246" s="0" t="s">
        <v>3450</v>
      </c>
      <c r="D2246" s="0" t="s">
        <v>3457</v>
      </c>
      <c r="E2246" s="20" t="s">
        <v>25</v>
      </c>
      <c r="F2246" s="23" t="s">
        <v>30</v>
      </c>
      <c r="G2246" s="21" t="s">
        <v>1099</v>
      </c>
      <c r="H2246" s="21" t="s">
        <v>24</v>
      </c>
      <c r="I2246" s="21" t="s">
        <v>25</v>
      </c>
      <c r="J2246" s="21" t="s">
        <v>24</v>
      </c>
      <c r="K2246" s="21" t="s">
        <v>25</v>
      </c>
      <c r="L2246" s="21" t="s">
        <v>24</v>
      </c>
      <c r="M2246" s="0" t="n">
        <v>183</v>
      </c>
      <c r="N2246" s="0" t="n">
        <v>2</v>
      </c>
      <c r="O2246" s="21" t="s">
        <v>3575</v>
      </c>
      <c r="P2246" s="21" t="s">
        <v>4265</v>
      </c>
      <c r="Q2246" s="0" t="n">
        <v>1</v>
      </c>
      <c r="R2246" s="21" t="s">
        <v>69</v>
      </c>
      <c r="S2246" s="0" t="n">
        <v>2</v>
      </c>
      <c r="T2246" s="21" t="s">
        <v>3575</v>
      </c>
      <c r="U2246" s="22" t="b">
        <f aca="false">TRUE()</f>
        <v>1</v>
      </c>
      <c r="V2246" s="0" t="n">
        <v>0.69</v>
      </c>
      <c r="W2246" s="0" t="n">
        <v>0.88</v>
      </c>
      <c r="X2246" s="0" t="n">
        <v>7.29</v>
      </c>
      <c r="Y2246" s="0" t="n">
        <v>310</v>
      </c>
      <c r="Z2246" s="0" t="n">
        <v>9.5</v>
      </c>
      <c r="AA2246" s="0" t="n">
        <v>7.57</v>
      </c>
      <c r="AB2246" s="0" t="n">
        <v>1.45</v>
      </c>
      <c r="AC2246" s="22" t="b">
        <f aca="false">FALSE()</f>
        <v>0</v>
      </c>
      <c r="AD2246" s="0" t="n">
        <v>19.87</v>
      </c>
      <c r="AE2246" s="0" t="n">
        <v>5.82</v>
      </c>
      <c r="AF2246" s="0" t="n">
        <v>14.87</v>
      </c>
      <c r="AG2246" s="22" t="b">
        <f aca="false">TRUE()</f>
        <v>1</v>
      </c>
      <c r="AH2246" s="0" t="n">
        <v>1</v>
      </c>
    </row>
    <row r="2247" customFormat="false" ht="15" hidden="false" customHeight="false" outlineLevel="0" collapsed="false">
      <c r="A2247" s="0" t="s">
        <v>3369</v>
      </c>
      <c r="B2247" s="0" t="s">
        <v>134</v>
      </c>
      <c r="C2247" s="0" t="s">
        <v>3450</v>
      </c>
      <c r="D2247" s="0" t="s">
        <v>3448</v>
      </c>
      <c r="E2247" s="20" t="s">
        <v>25</v>
      </c>
      <c r="F2247" s="23" t="s">
        <v>30</v>
      </c>
      <c r="G2247" s="21" t="s">
        <v>183</v>
      </c>
      <c r="H2247" s="21" t="s">
        <v>24</v>
      </c>
      <c r="I2247" s="21" t="s">
        <v>25</v>
      </c>
      <c r="J2247" s="21" t="s">
        <v>24</v>
      </c>
      <c r="K2247" s="21" t="s">
        <v>25</v>
      </c>
      <c r="L2247" s="21" t="s">
        <v>24</v>
      </c>
      <c r="M2247" s="0" t="n">
        <v>185</v>
      </c>
      <c r="N2247" s="0" t="n">
        <v>2</v>
      </c>
      <c r="O2247" s="21" t="s">
        <v>3575</v>
      </c>
      <c r="P2247" s="21" t="s">
        <v>4265</v>
      </c>
      <c r="Q2247" s="0" t="n">
        <v>1</v>
      </c>
      <c r="R2247" s="21" t="s">
        <v>69</v>
      </c>
      <c r="S2247" s="0" t="n">
        <v>2</v>
      </c>
      <c r="T2247" s="21" t="s">
        <v>3575</v>
      </c>
      <c r="U2247" s="22" t="b">
        <f aca="false">TRUE()</f>
        <v>1</v>
      </c>
      <c r="V2247" s="0" t="n">
        <v>0.73</v>
      </c>
      <c r="W2247" s="0" t="n">
        <v>0.96</v>
      </c>
      <c r="X2247" s="0" t="n">
        <v>7.96</v>
      </c>
      <c r="Y2247" s="0" t="n">
        <v>319.9</v>
      </c>
      <c r="Z2247" s="0" t="n">
        <v>9.83</v>
      </c>
      <c r="AA2247" s="0" t="n">
        <v>7.66</v>
      </c>
      <c r="AB2247" s="0" t="n">
        <v>1.64</v>
      </c>
      <c r="AC2247" s="22" t="b">
        <f aca="false">FALSE()</f>
        <v>0</v>
      </c>
      <c r="AD2247" s="0" t="n">
        <v>25.1</v>
      </c>
      <c r="AE2247" s="0" t="n">
        <v>11.5</v>
      </c>
      <c r="AF2247" s="0" t="n">
        <v>19.5</v>
      </c>
      <c r="AG2247" s="22" t="b">
        <f aca="false">TRUE()</f>
        <v>1</v>
      </c>
      <c r="AH2247" s="0" t="n">
        <v>1</v>
      </c>
    </row>
    <row r="2248" customFormat="false" ht="15" hidden="false" customHeight="false" outlineLevel="0" collapsed="false">
      <c r="A2248" s="0" t="s">
        <v>3369</v>
      </c>
      <c r="B2248" s="0" t="s">
        <v>134</v>
      </c>
      <c r="C2248" s="0" t="s">
        <v>3447</v>
      </c>
      <c r="D2248" s="0" t="s">
        <v>3457</v>
      </c>
      <c r="E2248" s="19" t="s">
        <v>26</v>
      </c>
      <c r="F2248" s="19" t="s">
        <v>32</v>
      </c>
      <c r="G2248" s="21" t="s">
        <v>3885</v>
      </c>
      <c r="H2248" s="21" t="s">
        <v>24</v>
      </c>
      <c r="I2248" s="21" t="s">
        <v>26</v>
      </c>
      <c r="J2248" s="21" t="s">
        <v>24</v>
      </c>
      <c r="K2248" s="21" t="s">
        <v>25</v>
      </c>
      <c r="L2248" s="21" t="s">
        <v>24</v>
      </c>
      <c r="M2248" s="0" t="n">
        <v>183</v>
      </c>
      <c r="N2248" s="0" t="n">
        <v>12</v>
      </c>
      <c r="O2248" s="21" t="s">
        <v>3985</v>
      </c>
      <c r="P2248" s="21" t="s">
        <v>4950</v>
      </c>
      <c r="Q2248" s="0" t="n">
        <v>0</v>
      </c>
      <c r="S2248" s="0" t="n">
        <v>12</v>
      </c>
      <c r="T2248" s="21" t="s">
        <v>3985</v>
      </c>
      <c r="U2248" s="22" t="b">
        <f aca="false">FALSE()</f>
        <v>0</v>
      </c>
      <c r="V2248" s="0" t="n">
        <v>0.72</v>
      </c>
      <c r="W2248" s="0" t="n">
        <v>0.52</v>
      </c>
      <c r="X2248" s="0" t="n">
        <v>9.17</v>
      </c>
      <c r="Y2248" s="0" t="n">
        <v>311.28</v>
      </c>
      <c r="Z2248" s="0" t="n">
        <v>9.5</v>
      </c>
      <c r="AA2248" s="0" t="n">
        <v>3.18</v>
      </c>
      <c r="AB2248" s="0" t="n">
        <v>1.45</v>
      </c>
      <c r="AC2248" s="22" t="b">
        <f aca="false">FALSE()</f>
        <v>0</v>
      </c>
      <c r="AD2248" s="0" t="n">
        <v>15.89</v>
      </c>
      <c r="AE2248" s="0" t="n">
        <v>4.09</v>
      </c>
      <c r="AF2248" s="0" t="n">
        <v>8.55</v>
      </c>
      <c r="AG2248" s="22" t="b">
        <f aca="false">TRUE()</f>
        <v>1</v>
      </c>
      <c r="AH2248" s="0" t="n">
        <v>1</v>
      </c>
    </row>
    <row r="2249" customFormat="false" ht="15" hidden="false" customHeight="false" outlineLevel="0" collapsed="false">
      <c r="A2249" s="0" t="s">
        <v>3369</v>
      </c>
      <c r="B2249" s="0" t="s">
        <v>134</v>
      </c>
      <c r="C2249" s="0" t="s">
        <v>3447</v>
      </c>
      <c r="D2249" s="0" t="s">
        <v>3448</v>
      </c>
      <c r="E2249" s="19" t="s">
        <v>26</v>
      </c>
      <c r="F2249" s="19" t="s">
        <v>32</v>
      </c>
      <c r="G2249" s="21" t="s">
        <v>60</v>
      </c>
      <c r="H2249" s="21" t="s">
        <v>24</v>
      </c>
      <c r="I2249" s="21" t="s">
        <v>26</v>
      </c>
      <c r="J2249" s="21" t="s">
        <v>24</v>
      </c>
      <c r="K2249" s="21" t="s">
        <v>24</v>
      </c>
      <c r="L2249" s="21" t="s">
        <v>24</v>
      </c>
      <c r="M2249" s="0" t="n">
        <v>188</v>
      </c>
      <c r="N2249" s="0" t="n">
        <v>10</v>
      </c>
      <c r="O2249" s="21" t="s">
        <v>3998</v>
      </c>
      <c r="P2249" s="21" t="s">
        <v>4951</v>
      </c>
      <c r="Q2249" s="0" t="n">
        <v>0</v>
      </c>
      <c r="S2249" s="0" t="n">
        <v>10</v>
      </c>
      <c r="T2249" s="21" t="s">
        <v>3998</v>
      </c>
      <c r="U2249" s="22" t="b">
        <f aca="false">FALSE()</f>
        <v>0</v>
      </c>
      <c r="V2249" s="0" t="n">
        <v>0.7</v>
      </c>
      <c r="W2249" s="0" t="n">
        <v>0</v>
      </c>
      <c r="X2249" s="0" t="n">
        <v>9.91</v>
      </c>
      <c r="Y2249" s="0" t="n">
        <v>9.99</v>
      </c>
      <c r="Z2249" s="0" t="n">
        <v>9.42</v>
      </c>
      <c r="AA2249" s="0" t="n">
        <v>4.23</v>
      </c>
      <c r="AB2249" s="0" t="n">
        <v>1.64</v>
      </c>
      <c r="AC2249" s="22" t="b">
        <f aca="false">FALSE()</f>
        <v>0</v>
      </c>
      <c r="AD2249" s="0" t="n">
        <v>19.18</v>
      </c>
      <c r="AE2249" s="0" t="n">
        <v>5.45</v>
      </c>
      <c r="AF2249" s="0" t="n">
        <v>11.83</v>
      </c>
      <c r="AG2249" s="22" t="b">
        <f aca="false">TRUE()</f>
        <v>1</v>
      </c>
      <c r="AH2249" s="0" t="n">
        <v>0</v>
      </c>
    </row>
    <row r="2250" customFormat="false" ht="15" hidden="false" customHeight="false" outlineLevel="0" collapsed="false">
      <c r="A2250" s="0" t="s">
        <v>3378</v>
      </c>
      <c r="B2250" s="0" t="s">
        <v>134</v>
      </c>
      <c r="C2250" s="0" t="s">
        <v>3450</v>
      </c>
      <c r="D2250" s="0" t="s">
        <v>3457</v>
      </c>
      <c r="E2250" s="18" t="s">
        <v>24</v>
      </c>
      <c r="F2250" s="23" t="s">
        <v>30</v>
      </c>
      <c r="G2250" s="21" t="s">
        <v>30</v>
      </c>
      <c r="H2250" s="21" t="s">
        <v>24</v>
      </c>
      <c r="I2250" s="21" t="s">
        <v>24</v>
      </c>
      <c r="J2250" s="21" t="s">
        <v>24</v>
      </c>
      <c r="K2250" s="21" t="s">
        <v>24</v>
      </c>
      <c r="L2250" s="21" t="s">
        <v>24</v>
      </c>
      <c r="M2250" s="0" t="n">
        <v>195</v>
      </c>
      <c r="N2250" s="0" t="n">
        <v>1</v>
      </c>
      <c r="O2250" s="21" t="s">
        <v>3484</v>
      </c>
      <c r="P2250" s="21" t="s">
        <v>4512</v>
      </c>
      <c r="Q2250" s="0" t="n">
        <v>0</v>
      </c>
      <c r="S2250" s="0" t="n">
        <v>1</v>
      </c>
      <c r="T2250" s="21" t="s">
        <v>3484</v>
      </c>
      <c r="U2250" s="22" t="b">
        <f aca="false">TRUE()</f>
        <v>1</v>
      </c>
      <c r="V2250" s="0" t="n">
        <v>0.79</v>
      </c>
      <c r="W2250" s="0" t="n">
        <v>0.36</v>
      </c>
      <c r="X2250" s="0" t="n">
        <v>9.12</v>
      </c>
      <c r="Y2250" s="0" t="n">
        <v>369.79</v>
      </c>
      <c r="Z2250" s="0" t="n">
        <v>10.25</v>
      </c>
      <c r="AA2250" s="0" t="n">
        <v>19.59</v>
      </c>
      <c r="AB2250" s="0" t="n">
        <v>13.15</v>
      </c>
      <c r="AC2250" s="22" t="b">
        <f aca="false">FALSE()</f>
        <v>0</v>
      </c>
      <c r="AD2250" s="0" t="n">
        <v>13.39</v>
      </c>
      <c r="AE2250" s="0" t="n">
        <v>1</v>
      </c>
      <c r="AF2250" s="0" t="n">
        <v>5.73</v>
      </c>
      <c r="AG2250" s="22" t="b">
        <f aca="false">TRUE()</f>
        <v>1</v>
      </c>
      <c r="AH2250" s="0" t="n">
        <v>1</v>
      </c>
    </row>
    <row r="2251" customFormat="false" ht="15" hidden="false" customHeight="false" outlineLevel="0" collapsed="false">
      <c r="A2251" s="0" t="s">
        <v>3378</v>
      </c>
      <c r="B2251" s="0" t="s">
        <v>134</v>
      </c>
      <c r="C2251" s="0" t="s">
        <v>3450</v>
      </c>
      <c r="D2251" s="0" t="s">
        <v>3448</v>
      </c>
      <c r="E2251" s="18" t="s">
        <v>24</v>
      </c>
      <c r="F2251" s="23" t="s">
        <v>30</v>
      </c>
      <c r="G2251" s="21" t="s">
        <v>30</v>
      </c>
      <c r="H2251" s="21" t="s">
        <v>24</v>
      </c>
      <c r="I2251" s="21" t="s">
        <v>24</v>
      </c>
      <c r="J2251" s="21" t="s">
        <v>24</v>
      </c>
      <c r="K2251" s="21" t="s">
        <v>24</v>
      </c>
      <c r="L2251" s="21" t="s">
        <v>24</v>
      </c>
      <c r="M2251" s="0" t="n">
        <v>185</v>
      </c>
      <c r="N2251" s="0" t="n">
        <v>1</v>
      </c>
      <c r="O2251" s="21" t="s">
        <v>3484</v>
      </c>
      <c r="P2251" s="21" t="s">
        <v>4512</v>
      </c>
      <c r="Q2251" s="0" t="n">
        <v>0</v>
      </c>
      <c r="S2251" s="0" t="n">
        <v>1</v>
      </c>
      <c r="T2251" s="21" t="s">
        <v>3484</v>
      </c>
      <c r="U2251" s="22" t="b">
        <f aca="false">TRUE()</f>
        <v>1</v>
      </c>
      <c r="V2251" s="0" t="n">
        <v>0.77</v>
      </c>
      <c r="W2251" s="0" t="n">
        <v>0.2</v>
      </c>
      <c r="X2251" s="0" t="n">
        <v>9.16</v>
      </c>
      <c r="Y2251" s="0" t="n">
        <v>507.85</v>
      </c>
      <c r="Z2251" s="0" t="n">
        <v>10</v>
      </c>
      <c r="AA2251" s="0" t="n">
        <v>17.7</v>
      </c>
      <c r="AB2251" s="0" t="n">
        <v>3.47</v>
      </c>
      <c r="AC2251" s="22" t="b">
        <f aca="false">FALSE()</f>
        <v>0</v>
      </c>
      <c r="AD2251" s="0" t="n">
        <v>14.86</v>
      </c>
      <c r="AE2251" s="0" t="n">
        <v>0.55</v>
      </c>
      <c r="AF2251" s="0" t="n">
        <v>9.52</v>
      </c>
      <c r="AG2251" s="22" t="b">
        <f aca="false">TRUE()</f>
        <v>1</v>
      </c>
      <c r="AH2251" s="0" t="n">
        <v>1</v>
      </c>
    </row>
    <row r="2252" customFormat="false" ht="15" hidden="false" customHeight="false" outlineLevel="0" collapsed="false">
      <c r="A2252" s="0" t="s">
        <v>3378</v>
      </c>
      <c r="B2252" s="0" t="s">
        <v>134</v>
      </c>
      <c r="C2252" s="0" t="s">
        <v>3447</v>
      </c>
      <c r="D2252" s="0" t="s">
        <v>3457</v>
      </c>
      <c r="E2252" s="19" t="s">
        <v>26</v>
      </c>
      <c r="F2252" s="19" t="s">
        <v>32</v>
      </c>
      <c r="G2252" s="21" t="s">
        <v>529</v>
      </c>
      <c r="H2252" s="21" t="s">
        <v>24</v>
      </c>
      <c r="I2252" s="21" t="s">
        <v>26</v>
      </c>
      <c r="J2252" s="21" t="s">
        <v>24</v>
      </c>
      <c r="K2252" s="21" t="s">
        <v>24</v>
      </c>
      <c r="L2252" s="21" t="s">
        <v>24</v>
      </c>
      <c r="M2252" s="0" t="n">
        <v>192</v>
      </c>
      <c r="N2252" s="0" t="n">
        <v>10</v>
      </c>
      <c r="O2252" s="21" t="s">
        <v>4029</v>
      </c>
      <c r="P2252" s="21" t="s">
        <v>4752</v>
      </c>
      <c r="Q2252" s="0" t="n">
        <v>1</v>
      </c>
      <c r="R2252" s="21" t="s">
        <v>69</v>
      </c>
      <c r="S2252" s="0" t="n">
        <v>10</v>
      </c>
      <c r="T2252" s="21" t="s">
        <v>4029</v>
      </c>
      <c r="U2252" s="22" t="b">
        <f aca="false">FALSE()</f>
        <v>0</v>
      </c>
      <c r="V2252" s="0" t="n">
        <v>0.75</v>
      </c>
      <c r="W2252" s="0" t="n">
        <v>0.4</v>
      </c>
      <c r="X2252" s="0" t="n">
        <v>6.29</v>
      </c>
      <c r="Y2252" s="0" t="n">
        <v>368.78</v>
      </c>
      <c r="Z2252" s="0" t="n">
        <v>9.75</v>
      </c>
      <c r="AA2252" s="0" t="n">
        <v>7.29</v>
      </c>
      <c r="AB2252" s="0" t="n">
        <v>13.15</v>
      </c>
      <c r="AC2252" s="22" t="b">
        <f aca="false">FALSE()</f>
        <v>0</v>
      </c>
      <c r="AD2252" s="0" t="n">
        <v>14.16</v>
      </c>
      <c r="AE2252" s="0" t="n">
        <v>0.22</v>
      </c>
      <c r="AF2252" s="0" t="n">
        <v>5.77</v>
      </c>
      <c r="AG2252" s="22" t="b">
        <f aca="false">TRUE()</f>
        <v>1</v>
      </c>
      <c r="AH2252" s="0" t="n">
        <v>1</v>
      </c>
    </row>
    <row r="2253" customFormat="false" ht="15" hidden="false" customHeight="false" outlineLevel="0" collapsed="false">
      <c r="A2253" s="0" t="s">
        <v>3378</v>
      </c>
      <c r="B2253" s="0" t="s">
        <v>134</v>
      </c>
      <c r="C2253" s="0" t="s">
        <v>3447</v>
      </c>
      <c r="D2253" s="0" t="s">
        <v>3448</v>
      </c>
      <c r="E2253" s="19" t="s">
        <v>26</v>
      </c>
      <c r="F2253" s="19" t="s">
        <v>32</v>
      </c>
      <c r="G2253" s="21" t="s">
        <v>529</v>
      </c>
      <c r="H2253" s="21" t="s">
        <v>24</v>
      </c>
      <c r="I2253" s="21" t="s">
        <v>26</v>
      </c>
      <c r="J2253" s="21" t="s">
        <v>24</v>
      </c>
      <c r="K2253" s="21" t="s">
        <v>24</v>
      </c>
      <c r="L2253" s="21" t="s">
        <v>24</v>
      </c>
      <c r="M2253" s="0" t="n">
        <v>183</v>
      </c>
      <c r="N2253" s="0" t="n">
        <v>12</v>
      </c>
      <c r="O2253" s="21" t="s">
        <v>4044</v>
      </c>
      <c r="P2253" s="21" t="s">
        <v>4278</v>
      </c>
      <c r="Q2253" s="0" t="n">
        <v>1</v>
      </c>
      <c r="R2253" s="21" t="s">
        <v>69</v>
      </c>
      <c r="S2253" s="0" t="n">
        <v>12</v>
      </c>
      <c r="T2253" s="21" t="s">
        <v>4044</v>
      </c>
      <c r="U2253" s="22" t="b">
        <f aca="false">FALSE()</f>
        <v>0</v>
      </c>
      <c r="V2253" s="0" t="n">
        <v>0.73</v>
      </c>
      <c r="W2253" s="0" t="n">
        <v>0.28</v>
      </c>
      <c r="X2253" s="0" t="n">
        <v>7.36</v>
      </c>
      <c r="Y2253" s="0" t="n">
        <v>429.09</v>
      </c>
      <c r="Z2253" s="0" t="n">
        <v>10</v>
      </c>
      <c r="AA2253" s="0" t="n">
        <v>15.87</v>
      </c>
      <c r="AB2253" s="0" t="n">
        <v>3.47</v>
      </c>
      <c r="AC2253" s="22" t="b">
        <f aca="false">FALSE()</f>
        <v>0</v>
      </c>
      <c r="AD2253" s="0" t="n">
        <v>14.7</v>
      </c>
      <c r="AE2253" s="0" t="n">
        <v>0.69</v>
      </c>
      <c r="AF2253" s="0" t="n">
        <v>10.15</v>
      </c>
      <c r="AG2253" s="22" t="b">
        <f aca="false">TRUE()</f>
        <v>1</v>
      </c>
      <c r="AH2253" s="0" t="n">
        <v>1</v>
      </c>
    </row>
    <row r="2254" customFormat="false" ht="15" hidden="false" customHeight="false" outlineLevel="0" collapsed="false">
      <c r="A2254" s="0" t="s">
        <v>3383</v>
      </c>
      <c r="B2254" s="0" t="s">
        <v>134</v>
      </c>
      <c r="C2254" s="0" t="s">
        <v>3450</v>
      </c>
      <c r="D2254" s="0" t="s">
        <v>3457</v>
      </c>
      <c r="E2254" s="20" t="s">
        <v>25</v>
      </c>
      <c r="F2254" s="23" t="s">
        <v>30</v>
      </c>
      <c r="G2254" s="21" t="s">
        <v>283</v>
      </c>
      <c r="H2254" s="21" t="s">
        <v>24</v>
      </c>
      <c r="I2254" s="21" t="s">
        <v>25</v>
      </c>
      <c r="J2254" s="21" t="s">
        <v>24</v>
      </c>
      <c r="K2254" s="21" t="s">
        <v>24</v>
      </c>
      <c r="L2254" s="21" t="s">
        <v>24</v>
      </c>
      <c r="M2254" s="0" t="n">
        <v>187</v>
      </c>
      <c r="N2254" s="0" t="n">
        <v>1</v>
      </c>
      <c r="O2254" s="21" t="s">
        <v>69</v>
      </c>
      <c r="P2254" s="21" t="s">
        <v>4275</v>
      </c>
      <c r="Q2254" s="0" t="n">
        <v>1</v>
      </c>
      <c r="R2254" s="21" t="s">
        <v>69</v>
      </c>
      <c r="S2254" s="0" t="n">
        <v>1</v>
      </c>
      <c r="T2254" s="21" t="s">
        <v>69</v>
      </c>
      <c r="U2254" s="22" t="b">
        <f aca="false">TRUE()</f>
        <v>1</v>
      </c>
      <c r="V2254" s="0" t="n">
        <v>0.73</v>
      </c>
      <c r="W2254" s="0" t="n">
        <v>0.84</v>
      </c>
      <c r="X2254" s="0" t="n">
        <v>8.33</v>
      </c>
      <c r="Y2254" s="0" t="n">
        <v>319.66</v>
      </c>
      <c r="Z2254" s="0" t="n">
        <v>11.75</v>
      </c>
      <c r="AA2254" s="0" t="n">
        <v>14.45</v>
      </c>
      <c r="AB2254" s="0" t="n">
        <v>1.69</v>
      </c>
      <c r="AC2254" s="22" t="b">
        <f aca="false">FALSE()</f>
        <v>0</v>
      </c>
      <c r="AD2254" s="0" t="n">
        <v>17.34</v>
      </c>
      <c r="AE2254" s="0" t="n">
        <v>1.03</v>
      </c>
      <c r="AF2254" s="0" t="n">
        <v>15.78</v>
      </c>
      <c r="AG2254" s="22" t="b">
        <f aca="false">TRUE()</f>
        <v>1</v>
      </c>
      <c r="AH2254" s="0" t="n">
        <v>1</v>
      </c>
    </row>
    <row r="2255" customFormat="false" ht="15" hidden="false" customHeight="false" outlineLevel="0" collapsed="false">
      <c r="A2255" s="0" t="s">
        <v>3383</v>
      </c>
      <c r="B2255" s="0" t="s">
        <v>134</v>
      </c>
      <c r="C2255" s="0" t="s">
        <v>3450</v>
      </c>
      <c r="D2255" s="0" t="s">
        <v>3448</v>
      </c>
      <c r="E2255" s="20" t="s">
        <v>25</v>
      </c>
      <c r="F2255" s="23" t="s">
        <v>30</v>
      </c>
      <c r="G2255" s="21" t="s">
        <v>183</v>
      </c>
      <c r="H2255" s="21" t="s">
        <v>24</v>
      </c>
      <c r="I2255" s="21" t="s">
        <v>25</v>
      </c>
      <c r="J2255" s="21" t="s">
        <v>24</v>
      </c>
      <c r="K2255" s="21" t="s">
        <v>25</v>
      </c>
      <c r="L2255" s="21" t="s">
        <v>24</v>
      </c>
      <c r="M2255" s="0" t="n">
        <v>186</v>
      </c>
      <c r="N2255" s="0" t="n">
        <v>1</v>
      </c>
      <c r="O2255" s="21" t="s">
        <v>69</v>
      </c>
      <c r="P2255" s="21" t="s">
        <v>4275</v>
      </c>
      <c r="Q2255" s="0" t="n">
        <v>1</v>
      </c>
      <c r="R2255" s="21" t="s">
        <v>69</v>
      </c>
      <c r="S2255" s="0" t="n">
        <v>1</v>
      </c>
      <c r="T2255" s="21" t="s">
        <v>69</v>
      </c>
      <c r="U2255" s="22" t="b">
        <f aca="false">TRUE()</f>
        <v>1</v>
      </c>
      <c r="V2255" s="0" t="n">
        <v>0.74</v>
      </c>
      <c r="W2255" s="0" t="n">
        <v>0.32</v>
      </c>
      <c r="X2255" s="0" t="n">
        <v>11.13</v>
      </c>
      <c r="Y2255" s="0" t="n">
        <v>408.88</v>
      </c>
      <c r="Z2255" s="0" t="n">
        <v>11.42</v>
      </c>
      <c r="AA2255" s="0" t="n">
        <v>15.06</v>
      </c>
      <c r="AB2255" s="0" t="n">
        <v>2.34</v>
      </c>
      <c r="AC2255" s="22" t="b">
        <f aca="false">FALSE()</f>
        <v>0</v>
      </c>
      <c r="AD2255" s="0" t="n">
        <v>20.58</v>
      </c>
      <c r="AE2255" s="0" t="n">
        <v>0.91</v>
      </c>
      <c r="AF2255" s="0" t="n">
        <v>30.1</v>
      </c>
      <c r="AG2255" s="22" t="b">
        <f aca="false">TRUE()</f>
        <v>1</v>
      </c>
      <c r="AH2255" s="0" t="n">
        <v>1</v>
      </c>
    </row>
    <row r="2256" customFormat="false" ht="15" hidden="false" customHeight="false" outlineLevel="0" collapsed="false">
      <c r="A2256" s="0" t="s">
        <v>3383</v>
      </c>
      <c r="B2256" s="0" t="s">
        <v>134</v>
      </c>
      <c r="C2256" s="0" t="s">
        <v>3447</v>
      </c>
      <c r="D2256" s="0" t="s">
        <v>3457</v>
      </c>
      <c r="E2256" s="19" t="s">
        <v>26</v>
      </c>
      <c r="F2256" s="19" t="s">
        <v>32</v>
      </c>
      <c r="G2256" s="21" t="s">
        <v>1926</v>
      </c>
      <c r="H2256" s="21" t="s">
        <v>24</v>
      </c>
      <c r="I2256" s="21" t="s">
        <v>26</v>
      </c>
      <c r="J2256" s="21" t="s">
        <v>24</v>
      </c>
      <c r="K2256" s="21" t="s">
        <v>25</v>
      </c>
      <c r="L2256" s="21" t="s">
        <v>24</v>
      </c>
      <c r="M2256" s="0" t="n">
        <v>187</v>
      </c>
      <c r="N2256" s="0" t="n">
        <v>8</v>
      </c>
      <c r="O2256" s="21" t="s">
        <v>4043</v>
      </c>
      <c r="P2256" s="21" t="s">
        <v>4952</v>
      </c>
      <c r="Q2256" s="0" t="n">
        <v>1</v>
      </c>
      <c r="R2256" s="21" t="s">
        <v>69</v>
      </c>
      <c r="S2256" s="0" t="n">
        <v>8</v>
      </c>
      <c r="T2256" s="21" t="s">
        <v>4043</v>
      </c>
      <c r="U2256" s="22" t="b">
        <f aca="false">FALSE()</f>
        <v>0</v>
      </c>
      <c r="V2256" s="0" t="n">
        <v>0.8</v>
      </c>
      <c r="W2256" s="0" t="n">
        <v>0</v>
      </c>
      <c r="X2256" s="0" t="n">
        <v>9.4</v>
      </c>
      <c r="Y2256" s="0" t="n">
        <v>715.52</v>
      </c>
      <c r="Z2256" s="0" t="n">
        <v>10.25</v>
      </c>
      <c r="AA2256" s="0" t="n">
        <v>8.91</v>
      </c>
      <c r="AB2256" s="0" t="n">
        <v>1.69</v>
      </c>
      <c r="AC2256" s="22" t="b">
        <f aca="false">FALSE()</f>
        <v>0</v>
      </c>
      <c r="AD2256" s="0" t="n">
        <v>20.12</v>
      </c>
      <c r="AE2256" s="0" t="n">
        <v>1.54</v>
      </c>
      <c r="AF2256" s="0" t="n">
        <v>18.31</v>
      </c>
      <c r="AG2256" s="22" t="b">
        <f aca="false">TRUE()</f>
        <v>1</v>
      </c>
      <c r="AH2256" s="0" t="n">
        <v>1</v>
      </c>
    </row>
    <row r="2257" customFormat="false" ht="15" hidden="false" customHeight="false" outlineLevel="0" collapsed="false">
      <c r="A2257" s="0" t="s">
        <v>3383</v>
      </c>
      <c r="B2257" s="0" t="s">
        <v>134</v>
      </c>
      <c r="C2257" s="0" t="s">
        <v>3447</v>
      </c>
      <c r="D2257" s="0" t="s">
        <v>3448</v>
      </c>
      <c r="E2257" s="19" t="s">
        <v>26</v>
      </c>
      <c r="F2257" s="19" t="s">
        <v>32</v>
      </c>
      <c r="G2257" s="21" t="s">
        <v>1926</v>
      </c>
      <c r="H2257" s="21" t="s">
        <v>24</v>
      </c>
      <c r="I2257" s="21" t="s">
        <v>26</v>
      </c>
      <c r="J2257" s="21" t="s">
        <v>24</v>
      </c>
      <c r="K2257" s="21" t="s">
        <v>25</v>
      </c>
      <c r="L2257" s="21" t="s">
        <v>24</v>
      </c>
      <c r="M2257" s="0" t="n">
        <v>184</v>
      </c>
      <c r="N2257" s="0" t="n">
        <v>7</v>
      </c>
      <c r="O2257" s="21" t="s">
        <v>3983</v>
      </c>
      <c r="P2257" s="21" t="s">
        <v>4953</v>
      </c>
      <c r="Q2257" s="0" t="n">
        <v>1</v>
      </c>
      <c r="R2257" s="21" t="s">
        <v>69</v>
      </c>
      <c r="S2257" s="0" t="n">
        <v>7</v>
      </c>
      <c r="T2257" s="21" t="s">
        <v>3983</v>
      </c>
      <c r="U2257" s="22" t="b">
        <f aca="false">FALSE()</f>
        <v>0</v>
      </c>
      <c r="V2257" s="0" t="n">
        <v>0.79</v>
      </c>
      <c r="W2257" s="0" t="n">
        <v>0.28</v>
      </c>
      <c r="X2257" s="0" t="n">
        <v>12.38</v>
      </c>
      <c r="Y2257" s="0" t="n">
        <v>432.77</v>
      </c>
      <c r="Z2257" s="0" t="n">
        <v>10</v>
      </c>
      <c r="AA2257" s="0" t="n">
        <v>10.15</v>
      </c>
      <c r="AB2257" s="0" t="n">
        <v>2.34</v>
      </c>
      <c r="AC2257" s="22" t="b">
        <f aca="false">FALSE()</f>
        <v>0</v>
      </c>
      <c r="AD2257" s="0" t="n">
        <v>20.07</v>
      </c>
      <c r="AE2257" s="0" t="n">
        <v>0.47</v>
      </c>
      <c r="AF2257" s="0" t="n">
        <v>26.75</v>
      </c>
      <c r="AG2257" s="22" t="b">
        <f aca="false">TRUE()</f>
        <v>1</v>
      </c>
      <c r="AH2257" s="0" t="n">
        <v>1</v>
      </c>
    </row>
    <row r="2258" customFormat="false" ht="15" hidden="false" customHeight="false" outlineLevel="0" collapsed="false">
      <c r="A2258" s="0" t="s">
        <v>3394</v>
      </c>
      <c r="B2258" s="0" t="s">
        <v>134</v>
      </c>
      <c r="C2258" s="0" t="s">
        <v>3450</v>
      </c>
      <c r="D2258" s="0" t="s">
        <v>3457</v>
      </c>
      <c r="E2258" s="20" t="s">
        <v>25</v>
      </c>
      <c r="F2258" s="23" t="s">
        <v>30</v>
      </c>
      <c r="G2258" s="21" t="s">
        <v>283</v>
      </c>
      <c r="H2258" s="21" t="s">
        <v>24</v>
      </c>
      <c r="I2258" s="21" t="s">
        <v>25</v>
      </c>
      <c r="J2258" s="21" t="s">
        <v>24</v>
      </c>
      <c r="K2258" s="21" t="s">
        <v>24</v>
      </c>
      <c r="L2258" s="21" t="s">
        <v>24</v>
      </c>
      <c r="M2258" s="0" t="n">
        <v>186</v>
      </c>
      <c r="N2258" s="0" t="n">
        <v>3</v>
      </c>
      <c r="O2258" s="21" t="s">
        <v>3695</v>
      </c>
      <c r="P2258" s="21" t="s">
        <v>4289</v>
      </c>
      <c r="Q2258" s="0" t="n">
        <v>1</v>
      </c>
      <c r="R2258" s="21" t="s">
        <v>69</v>
      </c>
      <c r="S2258" s="0" t="n">
        <v>3</v>
      </c>
      <c r="T2258" s="21" t="s">
        <v>3695</v>
      </c>
      <c r="U2258" s="22" t="b">
        <f aca="false">TRUE()</f>
        <v>1</v>
      </c>
      <c r="V2258" s="0" t="n">
        <v>0.66</v>
      </c>
      <c r="W2258" s="0" t="n">
        <v>0.68</v>
      </c>
      <c r="X2258" s="0" t="n">
        <v>7.12</v>
      </c>
      <c r="Y2258" s="0" t="n">
        <v>313.09</v>
      </c>
      <c r="Z2258" s="0" t="n">
        <v>10</v>
      </c>
      <c r="AA2258" s="0" t="n">
        <v>17.49</v>
      </c>
      <c r="AB2258" s="0" t="n">
        <v>13.61</v>
      </c>
      <c r="AC2258" s="22" t="b">
        <f aca="false">FALSE()</f>
        <v>0</v>
      </c>
      <c r="AD2258" s="0" t="n">
        <v>9.09</v>
      </c>
      <c r="AE2258" s="0" t="n">
        <v>0.59</v>
      </c>
      <c r="AF2258" s="0" t="n">
        <v>2.46</v>
      </c>
      <c r="AG2258" s="22" t="b">
        <f aca="false">FALSE()</f>
        <v>0</v>
      </c>
      <c r="AH2258" s="0" t="n">
        <v>1</v>
      </c>
    </row>
    <row r="2259" customFormat="false" ht="15" hidden="false" customHeight="false" outlineLevel="0" collapsed="false">
      <c r="A2259" s="0" t="s">
        <v>3394</v>
      </c>
      <c r="B2259" s="0" t="s">
        <v>134</v>
      </c>
      <c r="C2259" s="0" t="s">
        <v>3450</v>
      </c>
      <c r="D2259" s="0" t="s">
        <v>3448</v>
      </c>
      <c r="E2259" s="20" t="s">
        <v>25</v>
      </c>
      <c r="F2259" s="23" t="s">
        <v>30</v>
      </c>
      <c r="G2259" s="21" t="s">
        <v>283</v>
      </c>
      <c r="H2259" s="21" t="s">
        <v>24</v>
      </c>
      <c r="I2259" s="21" t="s">
        <v>25</v>
      </c>
      <c r="J2259" s="21" t="s">
        <v>24</v>
      </c>
      <c r="K2259" s="21" t="s">
        <v>24</v>
      </c>
      <c r="L2259" s="21" t="s">
        <v>24</v>
      </c>
      <c r="M2259" s="0" t="n">
        <v>196</v>
      </c>
      <c r="N2259" s="0" t="n">
        <v>4</v>
      </c>
      <c r="O2259" s="21" t="s">
        <v>3734</v>
      </c>
      <c r="P2259" s="21" t="s">
        <v>4327</v>
      </c>
      <c r="Q2259" s="0" t="n">
        <v>1</v>
      </c>
      <c r="R2259" s="21" t="s">
        <v>69</v>
      </c>
      <c r="S2259" s="0" t="n">
        <v>4</v>
      </c>
      <c r="T2259" s="21" t="s">
        <v>3734</v>
      </c>
      <c r="U2259" s="22" t="b">
        <f aca="false">TRUE()</f>
        <v>1</v>
      </c>
      <c r="V2259" s="0" t="n">
        <v>0.69</v>
      </c>
      <c r="W2259" s="0" t="n">
        <v>0.76</v>
      </c>
      <c r="X2259" s="0" t="n">
        <v>7.07</v>
      </c>
      <c r="Y2259" s="0" t="n">
        <v>269.18</v>
      </c>
      <c r="Z2259" s="0" t="n">
        <v>10.75</v>
      </c>
      <c r="AA2259" s="0" t="n">
        <v>14.8</v>
      </c>
      <c r="AB2259" s="0" t="n">
        <v>2.94</v>
      </c>
      <c r="AC2259" s="22" t="b">
        <f aca="false">FALSE()</f>
        <v>0</v>
      </c>
      <c r="AD2259" s="0" t="n">
        <v>10.17</v>
      </c>
      <c r="AE2259" s="0" t="n">
        <v>0.79</v>
      </c>
      <c r="AF2259" s="0" t="n">
        <v>6.87</v>
      </c>
      <c r="AG2259" s="22" t="b">
        <f aca="false">TRUE()</f>
        <v>1</v>
      </c>
      <c r="AH2259" s="0" t="n">
        <v>1</v>
      </c>
    </row>
    <row r="2260" customFormat="false" ht="15" hidden="false" customHeight="false" outlineLevel="0" collapsed="false">
      <c r="A2260" s="0" t="s">
        <v>3394</v>
      </c>
      <c r="B2260" s="0" t="s">
        <v>134</v>
      </c>
      <c r="C2260" s="0" t="s">
        <v>3447</v>
      </c>
      <c r="D2260" s="0" t="s">
        <v>3457</v>
      </c>
      <c r="E2260" s="20" t="s">
        <v>25</v>
      </c>
      <c r="F2260" s="23" t="s">
        <v>30</v>
      </c>
      <c r="G2260" s="21" t="s">
        <v>283</v>
      </c>
      <c r="H2260" s="21" t="s">
        <v>24</v>
      </c>
      <c r="I2260" s="21" t="s">
        <v>25</v>
      </c>
      <c r="J2260" s="21" t="s">
        <v>24</v>
      </c>
      <c r="K2260" s="21" t="s">
        <v>24</v>
      </c>
      <c r="L2260" s="21" t="s">
        <v>24</v>
      </c>
      <c r="M2260" s="0" t="n">
        <v>213</v>
      </c>
      <c r="N2260" s="0" t="n">
        <v>4</v>
      </c>
      <c r="O2260" s="21" t="s">
        <v>3734</v>
      </c>
      <c r="P2260" s="21" t="s">
        <v>4327</v>
      </c>
      <c r="Q2260" s="0" t="n">
        <v>1</v>
      </c>
      <c r="R2260" s="21" t="s">
        <v>69</v>
      </c>
      <c r="S2260" s="0" t="n">
        <v>4</v>
      </c>
      <c r="T2260" s="21" t="s">
        <v>3734</v>
      </c>
      <c r="U2260" s="22" t="b">
        <f aca="false">TRUE()</f>
        <v>1</v>
      </c>
      <c r="V2260" s="0" t="n">
        <v>0.71</v>
      </c>
      <c r="W2260" s="0" t="n">
        <v>0.48</v>
      </c>
      <c r="X2260" s="0" t="n">
        <v>6</v>
      </c>
      <c r="Y2260" s="0" t="n">
        <v>383.01</v>
      </c>
      <c r="Z2260" s="0" t="n">
        <v>9.75</v>
      </c>
      <c r="AA2260" s="0" t="n">
        <v>5.27</v>
      </c>
      <c r="AB2260" s="0" t="n">
        <v>13.61</v>
      </c>
      <c r="AC2260" s="22" t="b">
        <f aca="false">FALSE()</f>
        <v>0</v>
      </c>
      <c r="AD2260" s="0" t="n">
        <v>10.75</v>
      </c>
      <c r="AE2260" s="0" t="n">
        <v>0.36</v>
      </c>
      <c r="AF2260" s="0" t="n">
        <v>3.87</v>
      </c>
      <c r="AG2260" s="22" t="b">
        <f aca="false">TRUE()</f>
        <v>1</v>
      </c>
      <c r="AH2260" s="0" t="n">
        <v>1</v>
      </c>
    </row>
    <row r="2261" customFormat="false" ht="15" hidden="false" customHeight="false" outlineLevel="0" collapsed="false">
      <c r="A2261" s="0" t="s">
        <v>3394</v>
      </c>
      <c r="B2261" s="0" t="s">
        <v>134</v>
      </c>
      <c r="C2261" s="0" t="s">
        <v>3447</v>
      </c>
      <c r="D2261" s="0" t="s">
        <v>3448</v>
      </c>
      <c r="E2261" s="20" t="s">
        <v>25</v>
      </c>
      <c r="F2261" s="23" t="s">
        <v>30</v>
      </c>
      <c r="G2261" s="21" t="s">
        <v>283</v>
      </c>
      <c r="H2261" s="21" t="s">
        <v>24</v>
      </c>
      <c r="I2261" s="21" t="s">
        <v>25</v>
      </c>
      <c r="J2261" s="21" t="s">
        <v>24</v>
      </c>
      <c r="K2261" s="21" t="s">
        <v>24</v>
      </c>
      <c r="L2261" s="21" t="s">
        <v>24</v>
      </c>
      <c r="M2261" s="0" t="n">
        <v>195</v>
      </c>
      <c r="N2261" s="0" t="n">
        <v>5</v>
      </c>
      <c r="O2261" s="21" t="s">
        <v>3820</v>
      </c>
      <c r="P2261" s="21" t="s">
        <v>4799</v>
      </c>
      <c r="Q2261" s="0" t="n">
        <v>1</v>
      </c>
      <c r="R2261" s="21" t="s">
        <v>69</v>
      </c>
      <c r="S2261" s="0" t="n">
        <v>5</v>
      </c>
      <c r="T2261" s="21" t="s">
        <v>3820</v>
      </c>
      <c r="U2261" s="22" t="b">
        <f aca="false">TRUE()</f>
        <v>1</v>
      </c>
      <c r="V2261" s="0" t="n">
        <v>0.69</v>
      </c>
      <c r="W2261" s="0" t="n">
        <v>0</v>
      </c>
      <c r="X2261" s="0" t="n">
        <v>7.29</v>
      </c>
      <c r="Y2261" s="0" t="n">
        <v>616.09</v>
      </c>
      <c r="Z2261" s="0" t="n">
        <v>10.42</v>
      </c>
      <c r="AA2261" s="0" t="n">
        <v>9.88</v>
      </c>
      <c r="AB2261" s="0" t="n">
        <v>2.94</v>
      </c>
      <c r="AC2261" s="22" t="b">
        <f aca="false">FALSE()</f>
        <v>0</v>
      </c>
      <c r="AD2261" s="0" t="n">
        <v>10.66</v>
      </c>
      <c r="AE2261" s="0" t="n">
        <v>0.53</v>
      </c>
      <c r="AF2261" s="0" t="n">
        <v>7.66</v>
      </c>
      <c r="AG2261" s="22" t="b">
        <f aca="false">TRUE()</f>
        <v>1</v>
      </c>
      <c r="AH2261" s="0" t="n">
        <v>1</v>
      </c>
    </row>
    <row r="2262" customFormat="false" ht="15" hidden="false" customHeight="false" outlineLevel="0" collapsed="false">
      <c r="A2262" s="0" t="s">
        <v>3400</v>
      </c>
      <c r="B2262" s="0" t="s">
        <v>134</v>
      </c>
      <c r="C2262" s="0" t="s">
        <v>3450</v>
      </c>
      <c r="D2262" s="0" t="s">
        <v>3457</v>
      </c>
      <c r="E2262" s="20" t="s">
        <v>25</v>
      </c>
      <c r="F2262" s="23" t="s">
        <v>30</v>
      </c>
      <c r="G2262" s="21" t="s">
        <v>1230</v>
      </c>
      <c r="H2262" s="21" t="s">
        <v>24</v>
      </c>
      <c r="I2262" s="21" t="s">
        <v>25</v>
      </c>
      <c r="J2262" s="21" t="s">
        <v>24</v>
      </c>
      <c r="K2262" s="21" t="s">
        <v>25</v>
      </c>
      <c r="L2262" s="21" t="s">
        <v>24</v>
      </c>
      <c r="M2262" s="0" t="n">
        <v>184</v>
      </c>
      <c r="N2262" s="0" t="n">
        <v>5</v>
      </c>
      <c r="O2262" s="21" t="s">
        <v>3802</v>
      </c>
      <c r="P2262" s="21" t="s">
        <v>4629</v>
      </c>
      <c r="Q2262" s="0" t="n">
        <v>1</v>
      </c>
      <c r="R2262" s="21" t="s">
        <v>69</v>
      </c>
      <c r="S2262" s="0" t="n">
        <v>5</v>
      </c>
      <c r="T2262" s="21" t="s">
        <v>3802</v>
      </c>
      <c r="U2262" s="22" t="b">
        <f aca="false">TRUE()</f>
        <v>1</v>
      </c>
      <c r="V2262" s="0" t="n">
        <v>0.69</v>
      </c>
      <c r="W2262" s="0" t="n">
        <v>0.72</v>
      </c>
      <c r="X2262" s="0" t="n">
        <v>6.94</v>
      </c>
      <c r="Y2262" s="0" t="n">
        <v>322.42</v>
      </c>
      <c r="Z2262" s="0" t="n">
        <v>9.08</v>
      </c>
      <c r="AA2262" s="0" t="n">
        <v>-0.24</v>
      </c>
      <c r="AB2262" s="0" t="n">
        <v>23.54</v>
      </c>
      <c r="AC2262" s="22" t="b">
        <f aca="false">FALSE()</f>
        <v>0</v>
      </c>
      <c r="AD2262" s="0" t="n">
        <v>10.87</v>
      </c>
      <c r="AE2262" s="0" t="n">
        <v>4.52</v>
      </c>
      <c r="AF2262" s="0" t="n">
        <v>14.14</v>
      </c>
      <c r="AG2262" s="22" t="b">
        <f aca="false">TRUE()</f>
        <v>1</v>
      </c>
      <c r="AH2262" s="0" t="n">
        <v>1</v>
      </c>
    </row>
    <row r="2263" customFormat="false" ht="15" hidden="false" customHeight="false" outlineLevel="0" collapsed="false">
      <c r="A2263" s="0" t="s">
        <v>3400</v>
      </c>
      <c r="B2263" s="0" t="s">
        <v>134</v>
      </c>
      <c r="C2263" s="0" t="s">
        <v>3450</v>
      </c>
      <c r="D2263" s="0" t="s">
        <v>3448</v>
      </c>
      <c r="E2263" s="20" t="s">
        <v>25</v>
      </c>
      <c r="F2263" s="23" t="s">
        <v>30</v>
      </c>
      <c r="G2263" s="21" t="s">
        <v>283</v>
      </c>
      <c r="H2263" s="21" t="s">
        <v>24</v>
      </c>
      <c r="I2263" s="21" t="s">
        <v>25</v>
      </c>
      <c r="J2263" s="21" t="s">
        <v>24</v>
      </c>
      <c r="K2263" s="21" t="s">
        <v>24</v>
      </c>
      <c r="L2263" s="21" t="s">
        <v>24</v>
      </c>
      <c r="M2263" s="0" t="n">
        <v>183</v>
      </c>
      <c r="N2263" s="0" t="n">
        <v>3</v>
      </c>
      <c r="O2263" s="21" t="s">
        <v>3649</v>
      </c>
      <c r="P2263" s="21" t="s">
        <v>4242</v>
      </c>
      <c r="Q2263" s="0" t="n">
        <v>1</v>
      </c>
      <c r="R2263" s="21" t="s">
        <v>69</v>
      </c>
      <c r="S2263" s="0" t="n">
        <v>3</v>
      </c>
      <c r="T2263" s="21" t="s">
        <v>3649</v>
      </c>
      <c r="U2263" s="22" t="b">
        <f aca="false">TRUE()</f>
        <v>1</v>
      </c>
      <c r="V2263" s="0" t="n">
        <v>0.73</v>
      </c>
      <c r="W2263" s="0" t="n">
        <v>0.84</v>
      </c>
      <c r="X2263" s="0" t="n">
        <v>6.61</v>
      </c>
      <c r="Y2263" s="0" t="n">
        <v>319.74</v>
      </c>
      <c r="Z2263" s="0" t="n">
        <v>10.25</v>
      </c>
      <c r="AA2263" s="0" t="n">
        <v>6.43</v>
      </c>
      <c r="AB2263" s="0" t="n">
        <v>3.04</v>
      </c>
      <c r="AC2263" s="22" t="b">
        <f aca="false">FALSE()</f>
        <v>0</v>
      </c>
      <c r="AD2263" s="0" t="n">
        <v>11.48</v>
      </c>
      <c r="AE2263" s="0" t="n">
        <v>4.21</v>
      </c>
      <c r="AF2263" s="0" t="n">
        <v>13.87</v>
      </c>
      <c r="AG2263" s="22" t="b">
        <f aca="false">TRUE()</f>
        <v>1</v>
      </c>
      <c r="AH2263" s="0" t="n">
        <v>1</v>
      </c>
    </row>
    <row r="2264" customFormat="false" ht="15" hidden="false" customHeight="false" outlineLevel="0" collapsed="false">
      <c r="A2264" s="0" t="s">
        <v>3400</v>
      </c>
      <c r="B2264" s="0" t="s">
        <v>134</v>
      </c>
      <c r="C2264" s="0" t="s">
        <v>3447</v>
      </c>
      <c r="D2264" s="0" t="s">
        <v>3457</v>
      </c>
      <c r="E2264" s="18" t="s">
        <v>24</v>
      </c>
      <c r="F2264" s="23" t="s">
        <v>30</v>
      </c>
      <c r="G2264" s="21" t="s">
        <v>30</v>
      </c>
      <c r="H2264" s="21" t="s">
        <v>24</v>
      </c>
      <c r="I2264" s="21" t="s">
        <v>24</v>
      </c>
      <c r="J2264" s="21" t="s">
        <v>24</v>
      </c>
      <c r="K2264" s="21" t="s">
        <v>24</v>
      </c>
      <c r="L2264" s="21" t="s">
        <v>24</v>
      </c>
      <c r="M2264" s="0" t="n">
        <v>185</v>
      </c>
      <c r="N2264" s="0" t="n">
        <v>1</v>
      </c>
      <c r="O2264" s="21" t="s">
        <v>3475</v>
      </c>
      <c r="P2264" s="21" t="s">
        <v>4433</v>
      </c>
      <c r="Q2264" s="0" t="n">
        <v>0</v>
      </c>
      <c r="S2264" s="0" t="n">
        <v>1</v>
      </c>
      <c r="T2264" s="21" t="s">
        <v>3475</v>
      </c>
      <c r="U2264" s="22" t="b">
        <f aca="false">TRUE()</f>
        <v>1</v>
      </c>
      <c r="V2264" s="0" t="n">
        <v>0.79</v>
      </c>
      <c r="W2264" s="0" t="n">
        <v>0.76</v>
      </c>
      <c r="X2264" s="0" t="n">
        <v>8.36</v>
      </c>
      <c r="Y2264" s="0" t="n">
        <v>321.87</v>
      </c>
      <c r="Z2264" s="0" t="n">
        <v>9.92</v>
      </c>
      <c r="AA2264" s="0" t="n">
        <v>-1.41</v>
      </c>
      <c r="AB2264" s="0" t="n">
        <v>23.54</v>
      </c>
      <c r="AC2264" s="22" t="b">
        <f aca="false">FALSE()</f>
        <v>0</v>
      </c>
      <c r="AD2264" s="0" t="n">
        <v>14.58</v>
      </c>
      <c r="AE2264" s="0" t="n">
        <v>5.83</v>
      </c>
      <c r="AF2264" s="0" t="n">
        <v>16.22</v>
      </c>
      <c r="AG2264" s="22" t="b">
        <f aca="false">TRUE()</f>
        <v>1</v>
      </c>
      <c r="AH2264" s="0" t="n">
        <v>1</v>
      </c>
    </row>
    <row r="2265" customFormat="false" ht="15" hidden="false" customHeight="false" outlineLevel="0" collapsed="false">
      <c r="A2265" s="0" t="s">
        <v>3400</v>
      </c>
      <c r="B2265" s="0" t="s">
        <v>134</v>
      </c>
      <c r="C2265" s="0" t="s">
        <v>3447</v>
      </c>
      <c r="D2265" s="0" t="s">
        <v>3448</v>
      </c>
      <c r="E2265" s="18" t="s">
        <v>24</v>
      </c>
      <c r="F2265" s="23" t="s">
        <v>30</v>
      </c>
      <c r="G2265" s="21" t="s">
        <v>30</v>
      </c>
      <c r="H2265" s="21" t="s">
        <v>24</v>
      </c>
      <c r="I2265" s="21" t="s">
        <v>24</v>
      </c>
      <c r="J2265" s="21" t="s">
        <v>24</v>
      </c>
      <c r="K2265" s="21" t="s">
        <v>24</v>
      </c>
      <c r="L2265" s="21" t="s">
        <v>24</v>
      </c>
      <c r="M2265" s="0" t="n">
        <v>185</v>
      </c>
      <c r="N2265" s="0" t="n">
        <v>3</v>
      </c>
      <c r="O2265" s="21" t="s">
        <v>3541</v>
      </c>
      <c r="P2265" s="21" t="s">
        <v>4368</v>
      </c>
      <c r="Q2265" s="0" t="n">
        <v>0</v>
      </c>
      <c r="S2265" s="0" t="n">
        <v>3</v>
      </c>
      <c r="T2265" s="21" t="s">
        <v>3541</v>
      </c>
      <c r="U2265" s="22" t="b">
        <f aca="false">TRUE()</f>
        <v>1</v>
      </c>
      <c r="V2265" s="0" t="n">
        <v>0.81</v>
      </c>
      <c r="W2265" s="0" t="n">
        <v>0.28</v>
      </c>
      <c r="X2265" s="0" t="n">
        <v>8.51</v>
      </c>
      <c r="Y2265" s="0" t="n">
        <v>433.46</v>
      </c>
      <c r="Z2265" s="0" t="n">
        <v>10.25</v>
      </c>
      <c r="AA2265" s="0" t="n">
        <v>1.07</v>
      </c>
      <c r="AB2265" s="0" t="n">
        <v>3.04</v>
      </c>
      <c r="AC2265" s="22" t="b">
        <f aca="false">FALSE()</f>
        <v>0</v>
      </c>
      <c r="AD2265" s="0" t="n">
        <v>14.62</v>
      </c>
      <c r="AE2265" s="0" t="n">
        <v>5.48</v>
      </c>
      <c r="AF2265" s="0" t="n">
        <v>13.56</v>
      </c>
      <c r="AG2265" s="22" t="b">
        <f aca="false">TRUE()</f>
        <v>1</v>
      </c>
      <c r="AH2265" s="0" t="n">
        <v>1</v>
      </c>
    </row>
    <row r="2266" customFormat="false" ht="15" hidden="false" customHeight="false" outlineLevel="0" collapsed="false">
      <c r="A2266" s="0" t="s">
        <v>3406</v>
      </c>
      <c r="B2266" s="0" t="s">
        <v>134</v>
      </c>
      <c r="C2266" s="0" t="s">
        <v>3450</v>
      </c>
      <c r="D2266" s="0" t="s">
        <v>3457</v>
      </c>
      <c r="E2266" s="18" t="s">
        <v>24</v>
      </c>
      <c r="F2266" s="18" t="s">
        <v>28</v>
      </c>
      <c r="H2266" s="21" t="s">
        <v>24</v>
      </c>
      <c r="I2266" s="21" t="s">
        <v>24</v>
      </c>
      <c r="J2266" s="21" t="s">
        <v>24</v>
      </c>
      <c r="K2266" s="21" t="s">
        <v>24</v>
      </c>
      <c r="L2266" s="21" t="s">
        <v>24</v>
      </c>
      <c r="M2266" s="0" t="n">
        <v>183</v>
      </c>
      <c r="N2266" s="0" t="n">
        <v>0</v>
      </c>
      <c r="Q2266" s="0" t="n">
        <v>0</v>
      </c>
      <c r="S2266" s="0" t="n">
        <v>0</v>
      </c>
      <c r="U2266" s="22" t="b">
        <f aca="false">FALSE()</f>
        <v>0</v>
      </c>
      <c r="V2266" s="0" t="n">
        <v>0.8</v>
      </c>
      <c r="W2266" s="0" t="n">
        <v>0.96</v>
      </c>
      <c r="X2266" s="0" t="n">
        <v>10.78</v>
      </c>
      <c r="Y2266" s="0" t="n">
        <v>314.64</v>
      </c>
      <c r="Z2266" s="0" t="n">
        <v>9.5</v>
      </c>
      <c r="AA2266" s="0" t="n">
        <v>15.08</v>
      </c>
      <c r="AB2266" s="0" t="n">
        <v>4.98</v>
      </c>
      <c r="AC2266" s="22" t="b">
        <f aca="false">FALSE()</f>
        <v>0</v>
      </c>
      <c r="AD2266" s="0" t="n">
        <v>4.96</v>
      </c>
      <c r="AE2266" s="0" t="n">
        <v>1.11</v>
      </c>
      <c r="AF2266" s="0" t="n">
        <v>2.92</v>
      </c>
      <c r="AG2266" s="22" t="b">
        <f aca="false">FALSE()</f>
        <v>0</v>
      </c>
      <c r="AH2266" s="0" t="n">
        <v>1</v>
      </c>
    </row>
    <row r="2267" customFormat="false" ht="15" hidden="false" customHeight="false" outlineLevel="0" collapsed="false">
      <c r="A2267" s="0" t="s">
        <v>3406</v>
      </c>
      <c r="B2267" s="0" t="s">
        <v>134</v>
      </c>
      <c r="C2267" s="0" t="s">
        <v>3450</v>
      </c>
      <c r="D2267" s="0" t="s">
        <v>3448</v>
      </c>
      <c r="E2267" s="20" t="s">
        <v>25</v>
      </c>
      <c r="F2267" s="23" t="s">
        <v>30</v>
      </c>
      <c r="G2267" s="21" t="s">
        <v>283</v>
      </c>
      <c r="H2267" s="21" t="s">
        <v>24</v>
      </c>
      <c r="I2267" s="21" t="s">
        <v>25</v>
      </c>
      <c r="J2267" s="21" t="s">
        <v>24</v>
      </c>
      <c r="K2267" s="21" t="s">
        <v>24</v>
      </c>
      <c r="L2267" s="21" t="s">
        <v>24</v>
      </c>
      <c r="M2267" s="0" t="n">
        <v>182</v>
      </c>
      <c r="N2267" s="0" t="n">
        <v>1</v>
      </c>
      <c r="O2267" s="21" t="s">
        <v>69</v>
      </c>
      <c r="P2267" s="21" t="s">
        <v>4275</v>
      </c>
      <c r="Q2267" s="0" t="n">
        <v>1</v>
      </c>
      <c r="R2267" s="21" t="s">
        <v>69</v>
      </c>
      <c r="S2267" s="0" t="n">
        <v>1</v>
      </c>
      <c r="T2267" s="21" t="s">
        <v>69</v>
      </c>
      <c r="U2267" s="22" t="b">
        <f aca="false">TRUE()</f>
        <v>1</v>
      </c>
      <c r="V2267" s="0" t="n">
        <v>0.78</v>
      </c>
      <c r="W2267" s="0" t="n">
        <v>0</v>
      </c>
      <c r="X2267" s="0" t="n">
        <v>10.35</v>
      </c>
      <c r="Y2267" s="0" t="n">
        <v>717.59</v>
      </c>
      <c r="Z2267" s="0" t="n">
        <v>9.25</v>
      </c>
      <c r="AA2267" s="0" t="n">
        <v>12.56</v>
      </c>
      <c r="AB2267" s="0" t="n">
        <v>1.83</v>
      </c>
      <c r="AC2267" s="22" t="b">
        <f aca="false">FALSE()</f>
        <v>0</v>
      </c>
      <c r="AD2267" s="0" t="n">
        <v>1.4</v>
      </c>
      <c r="AE2267" s="0" t="n">
        <v>0.85</v>
      </c>
      <c r="AF2267" s="0" t="n">
        <v>3.19</v>
      </c>
      <c r="AG2267" s="22" t="b">
        <f aca="false">FALSE()</f>
        <v>0</v>
      </c>
      <c r="AH2267" s="0" t="n">
        <v>1</v>
      </c>
    </row>
    <row r="2268" customFormat="false" ht="15" hidden="false" customHeight="false" outlineLevel="0" collapsed="false">
      <c r="A2268" s="0" t="s">
        <v>3406</v>
      </c>
      <c r="B2268" s="0" t="s">
        <v>134</v>
      </c>
      <c r="C2268" s="0" t="s">
        <v>3447</v>
      </c>
      <c r="D2268" s="0" t="s">
        <v>3457</v>
      </c>
      <c r="E2268" s="19" t="s">
        <v>26</v>
      </c>
      <c r="F2268" s="19" t="s">
        <v>32</v>
      </c>
      <c r="G2268" s="21" t="s">
        <v>529</v>
      </c>
      <c r="H2268" s="21" t="s">
        <v>24</v>
      </c>
      <c r="I2268" s="21" t="s">
        <v>26</v>
      </c>
      <c r="J2268" s="21" t="s">
        <v>24</v>
      </c>
      <c r="K2268" s="21" t="s">
        <v>24</v>
      </c>
      <c r="L2268" s="21" t="s">
        <v>24</v>
      </c>
      <c r="M2268" s="0" t="n">
        <v>183</v>
      </c>
      <c r="N2268" s="0" t="n">
        <v>12</v>
      </c>
      <c r="O2268" s="21" t="s">
        <v>4017</v>
      </c>
      <c r="P2268" s="21" t="s">
        <v>4414</v>
      </c>
      <c r="Q2268" s="0" t="n">
        <v>1</v>
      </c>
      <c r="R2268" s="21" t="s">
        <v>69</v>
      </c>
      <c r="S2268" s="0" t="n">
        <v>12</v>
      </c>
      <c r="T2268" s="21" t="s">
        <v>4017</v>
      </c>
      <c r="U2268" s="22" t="b">
        <f aca="false">FALSE()</f>
        <v>0</v>
      </c>
      <c r="V2268" s="0" t="n">
        <v>0.82</v>
      </c>
      <c r="W2268" s="0" t="n">
        <v>0.48</v>
      </c>
      <c r="X2268" s="0" t="n">
        <v>9.64</v>
      </c>
      <c r="Y2268" s="0" t="n">
        <v>331.75</v>
      </c>
      <c r="Z2268" s="0" t="n">
        <v>8.5</v>
      </c>
      <c r="AA2268" s="0" t="n">
        <v>6.66</v>
      </c>
      <c r="AB2268" s="0" t="n">
        <v>4.98</v>
      </c>
      <c r="AC2268" s="22" t="b">
        <f aca="false">FALSE()</f>
        <v>0</v>
      </c>
      <c r="AD2268" s="0" t="n">
        <v>4.15</v>
      </c>
      <c r="AE2268" s="0" t="n">
        <v>0.73</v>
      </c>
      <c r="AF2268" s="0" t="n">
        <v>2.95</v>
      </c>
      <c r="AG2268" s="22" t="b">
        <f aca="false">FALSE()</f>
        <v>0</v>
      </c>
      <c r="AH2268" s="0" t="n">
        <v>1</v>
      </c>
    </row>
    <row r="2269" customFormat="false" ht="15" hidden="false" customHeight="false" outlineLevel="0" collapsed="false">
      <c r="A2269" s="0" t="s">
        <v>3406</v>
      </c>
      <c r="B2269" s="0" t="s">
        <v>134</v>
      </c>
      <c r="C2269" s="0" t="s">
        <v>3447</v>
      </c>
      <c r="D2269" s="0" t="s">
        <v>3448</v>
      </c>
      <c r="E2269" s="19" t="s">
        <v>26</v>
      </c>
      <c r="F2269" s="19" t="s">
        <v>32</v>
      </c>
      <c r="G2269" s="21" t="s">
        <v>60</v>
      </c>
      <c r="H2269" s="21" t="s">
        <v>24</v>
      </c>
      <c r="I2269" s="21" t="s">
        <v>26</v>
      </c>
      <c r="J2269" s="21" t="s">
        <v>24</v>
      </c>
      <c r="K2269" s="21" t="s">
        <v>24</v>
      </c>
      <c r="L2269" s="21" t="s">
        <v>24</v>
      </c>
      <c r="M2269" s="0" t="n">
        <v>182</v>
      </c>
      <c r="N2269" s="0" t="n">
        <v>11</v>
      </c>
      <c r="O2269" s="21" t="s">
        <v>3914</v>
      </c>
      <c r="P2269" s="21" t="s">
        <v>4954</v>
      </c>
      <c r="Q2269" s="0" t="n">
        <v>0</v>
      </c>
      <c r="S2269" s="0" t="n">
        <v>11</v>
      </c>
      <c r="T2269" s="21" t="s">
        <v>3914</v>
      </c>
      <c r="U2269" s="22" t="b">
        <f aca="false">FALSE()</f>
        <v>0</v>
      </c>
      <c r="V2269" s="0" t="n">
        <v>0.77</v>
      </c>
      <c r="W2269" s="0" t="n">
        <v>0.16</v>
      </c>
      <c r="X2269" s="0" t="n">
        <v>13.86</v>
      </c>
      <c r="Y2269" s="0" t="n">
        <v>548.42</v>
      </c>
      <c r="Z2269" s="0" t="n">
        <v>9.58</v>
      </c>
      <c r="AA2269" s="0" t="n">
        <v>8.68</v>
      </c>
      <c r="AB2269" s="0" t="n">
        <v>1.83</v>
      </c>
      <c r="AC2269" s="22" t="b">
        <f aca="false">FALSE()</f>
        <v>0</v>
      </c>
      <c r="AD2269" s="0" t="n">
        <v>1.67</v>
      </c>
      <c r="AE2269" s="0" t="n">
        <v>1.46</v>
      </c>
      <c r="AF2269" s="0" t="n">
        <v>2.21</v>
      </c>
      <c r="AG2269" s="22" t="b">
        <f aca="false">FALSE()</f>
        <v>0</v>
      </c>
      <c r="AH2269" s="0" t="n">
        <v>1</v>
      </c>
    </row>
    <row r="2270" customFormat="false" ht="15" hidden="false" customHeight="false" outlineLevel="0" collapsed="false">
      <c r="A2270" s="0" t="s">
        <v>3418</v>
      </c>
      <c r="B2270" s="0" t="s">
        <v>134</v>
      </c>
      <c r="C2270" s="0" t="s">
        <v>3450</v>
      </c>
      <c r="D2270" s="0" t="s">
        <v>3457</v>
      </c>
      <c r="E2270" s="20" t="s">
        <v>25</v>
      </c>
      <c r="F2270" s="23" t="s">
        <v>30</v>
      </c>
      <c r="G2270" s="21" t="s">
        <v>183</v>
      </c>
      <c r="H2270" s="21" t="s">
        <v>24</v>
      </c>
      <c r="I2270" s="21" t="s">
        <v>25</v>
      </c>
      <c r="J2270" s="21" t="s">
        <v>24</v>
      </c>
      <c r="K2270" s="21" t="s">
        <v>25</v>
      </c>
      <c r="L2270" s="21" t="s">
        <v>24</v>
      </c>
      <c r="M2270" s="0" t="n">
        <v>183</v>
      </c>
      <c r="N2270" s="0" t="n">
        <v>5</v>
      </c>
      <c r="O2270" s="21" t="s">
        <v>3834</v>
      </c>
      <c r="P2270" s="21" t="s">
        <v>4955</v>
      </c>
      <c r="Q2270" s="0" t="n">
        <v>1</v>
      </c>
      <c r="R2270" s="21" t="s">
        <v>69</v>
      </c>
      <c r="S2270" s="0" t="n">
        <v>5</v>
      </c>
      <c r="T2270" s="21" t="s">
        <v>3834</v>
      </c>
      <c r="U2270" s="22" t="b">
        <f aca="false">TRUE()</f>
        <v>1</v>
      </c>
      <c r="V2270" s="0" t="n">
        <v>0.69</v>
      </c>
      <c r="W2270" s="0" t="n">
        <v>0</v>
      </c>
      <c r="X2270" s="0" t="n">
        <v>8.68</v>
      </c>
      <c r="Y2270" s="0" t="n">
        <v>722.18</v>
      </c>
      <c r="Z2270" s="0" t="n">
        <v>10.75</v>
      </c>
      <c r="AA2270" s="0" t="n">
        <v>7.75</v>
      </c>
      <c r="AB2270" s="0" t="n">
        <v>2.06</v>
      </c>
      <c r="AC2270" s="22" t="b">
        <f aca="false">FALSE()</f>
        <v>0</v>
      </c>
      <c r="AD2270" s="0" t="n">
        <v>21.49</v>
      </c>
      <c r="AE2270" s="0" t="n">
        <v>1.11</v>
      </c>
      <c r="AF2270" s="0" t="n">
        <v>17.14</v>
      </c>
      <c r="AG2270" s="22" t="b">
        <f aca="false">TRUE()</f>
        <v>1</v>
      </c>
      <c r="AH2270" s="0" t="n">
        <v>1</v>
      </c>
    </row>
    <row r="2271" customFormat="false" ht="15" hidden="false" customHeight="false" outlineLevel="0" collapsed="false">
      <c r="A2271" s="0" t="s">
        <v>3418</v>
      </c>
      <c r="B2271" s="0" t="s">
        <v>134</v>
      </c>
      <c r="C2271" s="0" t="s">
        <v>3450</v>
      </c>
      <c r="D2271" s="0" t="s">
        <v>3448</v>
      </c>
      <c r="E2271" s="20" t="s">
        <v>25</v>
      </c>
      <c r="F2271" s="20" t="s">
        <v>29</v>
      </c>
      <c r="G2271" s="21" t="s">
        <v>66</v>
      </c>
      <c r="H2271" s="21" t="s">
        <v>24</v>
      </c>
      <c r="I2271" s="21" t="s">
        <v>24</v>
      </c>
      <c r="J2271" s="21" t="s">
        <v>24</v>
      </c>
      <c r="K2271" s="21" t="s">
        <v>25</v>
      </c>
      <c r="L2271" s="21" t="s">
        <v>24</v>
      </c>
      <c r="M2271" s="0" t="n">
        <v>191</v>
      </c>
      <c r="N2271" s="0" t="n">
        <v>0</v>
      </c>
      <c r="Q2271" s="0" t="n">
        <v>0</v>
      </c>
      <c r="S2271" s="0" t="n">
        <v>0</v>
      </c>
      <c r="U2271" s="22" t="b">
        <f aca="false">FALSE()</f>
        <v>0</v>
      </c>
      <c r="V2271" s="0" t="n">
        <v>0.73</v>
      </c>
      <c r="W2271" s="0" t="n">
        <v>0.16</v>
      </c>
      <c r="X2271" s="0" t="n">
        <v>10.84</v>
      </c>
      <c r="Y2271" s="0" t="n">
        <v>544.48</v>
      </c>
      <c r="Z2271" s="0" t="n">
        <v>10.75</v>
      </c>
      <c r="AA2271" s="0" t="n">
        <v>10.19</v>
      </c>
      <c r="AB2271" s="0" t="n">
        <v>2.6</v>
      </c>
      <c r="AC2271" s="22" t="b">
        <f aca="false">FALSE()</f>
        <v>0</v>
      </c>
      <c r="AD2271" s="0" t="n">
        <v>30.8</v>
      </c>
      <c r="AE2271" s="0" t="n">
        <v>2.24</v>
      </c>
      <c r="AF2271" s="0" t="n">
        <v>29.06</v>
      </c>
      <c r="AG2271" s="22" t="b">
        <f aca="false">TRUE()</f>
        <v>1</v>
      </c>
      <c r="AH2271" s="0" t="n">
        <v>1</v>
      </c>
    </row>
    <row r="2272" customFormat="false" ht="15" hidden="false" customHeight="false" outlineLevel="0" collapsed="false">
      <c r="A2272" s="0" t="s">
        <v>3418</v>
      </c>
      <c r="B2272" s="0" t="s">
        <v>134</v>
      </c>
      <c r="C2272" s="0" t="s">
        <v>3447</v>
      </c>
      <c r="D2272" s="0" t="s">
        <v>3457</v>
      </c>
      <c r="E2272" s="18" t="s">
        <v>24</v>
      </c>
      <c r="F2272" s="23" t="s">
        <v>30</v>
      </c>
      <c r="G2272" s="21" t="s">
        <v>30</v>
      </c>
      <c r="H2272" s="21" t="s">
        <v>24</v>
      </c>
      <c r="I2272" s="21" t="s">
        <v>24</v>
      </c>
      <c r="J2272" s="21" t="s">
        <v>24</v>
      </c>
      <c r="K2272" s="21" t="s">
        <v>24</v>
      </c>
      <c r="L2272" s="21" t="s">
        <v>24</v>
      </c>
      <c r="M2272" s="0" t="n">
        <v>199</v>
      </c>
      <c r="N2272" s="0" t="n">
        <v>2</v>
      </c>
      <c r="O2272" s="21" t="s">
        <v>3499</v>
      </c>
      <c r="P2272" s="21" t="s">
        <v>4250</v>
      </c>
      <c r="Q2272" s="0" t="n">
        <v>0</v>
      </c>
      <c r="S2272" s="0" t="n">
        <v>2</v>
      </c>
      <c r="T2272" s="21" t="s">
        <v>3499</v>
      </c>
      <c r="U2272" s="22" t="b">
        <f aca="false">TRUE()</f>
        <v>1</v>
      </c>
      <c r="V2272" s="0" t="n">
        <v>0.79</v>
      </c>
      <c r="W2272" s="0" t="n">
        <v>0.28</v>
      </c>
      <c r="X2272" s="0" t="n">
        <v>8.59</v>
      </c>
      <c r="Y2272" s="0" t="n">
        <v>469.38</v>
      </c>
      <c r="Z2272" s="0" t="n">
        <v>10.08</v>
      </c>
      <c r="AA2272" s="0" t="n">
        <v>5.06</v>
      </c>
      <c r="AB2272" s="0" t="n">
        <v>2.06</v>
      </c>
      <c r="AC2272" s="22" t="b">
        <f aca="false">FALSE()</f>
        <v>0</v>
      </c>
      <c r="AD2272" s="0" t="n">
        <v>19.81</v>
      </c>
      <c r="AE2272" s="0" t="n">
        <v>1.94</v>
      </c>
      <c r="AF2272" s="0" t="n">
        <v>15.51</v>
      </c>
      <c r="AG2272" s="22" t="b">
        <f aca="false">TRUE()</f>
        <v>1</v>
      </c>
      <c r="AH2272" s="0" t="n">
        <v>1</v>
      </c>
    </row>
    <row r="2273" customFormat="false" ht="15" hidden="false" customHeight="false" outlineLevel="0" collapsed="false">
      <c r="A2273" s="0" t="s">
        <v>3418</v>
      </c>
      <c r="B2273" s="0" t="s">
        <v>134</v>
      </c>
      <c r="C2273" s="0" t="s">
        <v>3447</v>
      </c>
      <c r="D2273" s="0" t="s">
        <v>3448</v>
      </c>
      <c r="E2273" s="20" t="s">
        <v>25</v>
      </c>
      <c r="F2273" s="23" t="s">
        <v>30</v>
      </c>
      <c r="G2273" s="21" t="s">
        <v>992</v>
      </c>
      <c r="H2273" s="21" t="s">
        <v>24</v>
      </c>
      <c r="I2273" s="21" t="s">
        <v>24</v>
      </c>
      <c r="J2273" s="21" t="s">
        <v>24</v>
      </c>
      <c r="K2273" s="21" t="s">
        <v>25</v>
      </c>
      <c r="L2273" s="21" t="s">
        <v>24</v>
      </c>
      <c r="M2273" s="0" t="n">
        <v>188</v>
      </c>
      <c r="N2273" s="0" t="n">
        <v>1</v>
      </c>
      <c r="O2273" s="21" t="s">
        <v>3481</v>
      </c>
      <c r="P2273" s="21" t="s">
        <v>4251</v>
      </c>
      <c r="Q2273" s="0" t="n">
        <v>0</v>
      </c>
      <c r="S2273" s="0" t="n">
        <v>1</v>
      </c>
      <c r="T2273" s="21" t="s">
        <v>3481</v>
      </c>
      <c r="U2273" s="22" t="b">
        <f aca="false">TRUE()</f>
        <v>1</v>
      </c>
      <c r="V2273" s="0" t="n">
        <v>0.77</v>
      </c>
      <c r="W2273" s="0" t="n">
        <v>0.32</v>
      </c>
      <c r="X2273" s="0" t="n">
        <v>12.58</v>
      </c>
      <c r="Y2273" s="0" t="n">
        <v>374.43</v>
      </c>
      <c r="Z2273" s="0" t="n">
        <v>8.5</v>
      </c>
      <c r="AA2273" s="0" t="n">
        <v>4.84</v>
      </c>
      <c r="AB2273" s="0" t="n">
        <v>2.6</v>
      </c>
      <c r="AC2273" s="22" t="b">
        <f aca="false">FALSE()</f>
        <v>0</v>
      </c>
      <c r="AD2273" s="0" t="n">
        <v>24.07</v>
      </c>
      <c r="AE2273" s="0" t="n">
        <v>1.51</v>
      </c>
      <c r="AF2273" s="0" t="n">
        <v>21.91</v>
      </c>
      <c r="AG2273" s="22" t="b">
        <f aca="false">TRUE()</f>
        <v>1</v>
      </c>
      <c r="AH2273" s="0" t="n">
        <v>1</v>
      </c>
    </row>
    <row r="2274" customFormat="false" ht="15" hidden="false" customHeight="false" outlineLevel="0" collapsed="false">
      <c r="A2274" s="0" t="s">
        <v>3418</v>
      </c>
      <c r="B2274" s="0" t="s">
        <v>3459</v>
      </c>
      <c r="C2274" s="0" t="s">
        <v>3450</v>
      </c>
      <c r="D2274" s="0" t="s">
        <v>3457</v>
      </c>
      <c r="E2274" s="20" t="s">
        <v>25</v>
      </c>
      <c r="F2274" s="23" t="s">
        <v>30</v>
      </c>
      <c r="G2274" s="21" t="s">
        <v>283</v>
      </c>
      <c r="H2274" s="21" t="s">
        <v>24</v>
      </c>
      <c r="I2274" s="21" t="s">
        <v>25</v>
      </c>
      <c r="J2274" s="21" t="s">
        <v>24</v>
      </c>
      <c r="K2274" s="21" t="s">
        <v>24</v>
      </c>
      <c r="L2274" s="21" t="s">
        <v>24</v>
      </c>
      <c r="M2274" s="0" t="n">
        <v>186</v>
      </c>
      <c r="N2274" s="0" t="n">
        <v>6</v>
      </c>
      <c r="O2274" s="21" t="s">
        <v>3857</v>
      </c>
      <c r="P2274" s="21" t="s">
        <v>4956</v>
      </c>
      <c r="Q2274" s="0" t="n">
        <v>1</v>
      </c>
      <c r="R2274" s="21" t="s">
        <v>69</v>
      </c>
      <c r="S2274" s="0" t="n">
        <v>6</v>
      </c>
      <c r="T2274" s="21" t="s">
        <v>3857</v>
      </c>
      <c r="U2274" s="22" t="b">
        <f aca="false">TRUE()</f>
        <v>1</v>
      </c>
      <c r="V2274" s="0" t="n">
        <v>0.7</v>
      </c>
      <c r="W2274" s="0" t="n">
        <v>0.64</v>
      </c>
      <c r="X2274" s="0" t="n">
        <v>8.57</v>
      </c>
      <c r="Y2274" s="0" t="n">
        <v>319.53</v>
      </c>
      <c r="Z2274" s="0" t="n">
        <v>10.83</v>
      </c>
      <c r="AA2274" s="0" t="n">
        <v>4.94</v>
      </c>
      <c r="AB2274" s="0" t="n">
        <v>3.65</v>
      </c>
      <c r="AC2274" s="22" t="b">
        <f aca="false">FALSE()</f>
        <v>0</v>
      </c>
      <c r="AD2274" s="0" t="n">
        <v>18.34</v>
      </c>
      <c r="AE2274" s="0" t="n">
        <v>9.06</v>
      </c>
      <c r="AF2274" s="0" t="n">
        <v>15.6</v>
      </c>
      <c r="AG2274" s="22" t="b">
        <f aca="false">TRUE()</f>
        <v>1</v>
      </c>
      <c r="AH2274" s="0" t="n">
        <v>1</v>
      </c>
    </row>
    <row r="2275" customFormat="false" ht="15" hidden="false" customHeight="false" outlineLevel="0" collapsed="false">
      <c r="A2275" s="0" t="s">
        <v>3418</v>
      </c>
      <c r="B2275" s="0" t="s">
        <v>3459</v>
      </c>
      <c r="C2275" s="0" t="s">
        <v>3450</v>
      </c>
      <c r="D2275" s="0" t="s">
        <v>3448</v>
      </c>
      <c r="E2275" s="20" t="s">
        <v>25</v>
      </c>
      <c r="F2275" s="23" t="s">
        <v>30</v>
      </c>
      <c r="G2275" s="21" t="s">
        <v>1230</v>
      </c>
      <c r="H2275" s="21" t="s">
        <v>24</v>
      </c>
      <c r="I2275" s="21" t="s">
        <v>25</v>
      </c>
      <c r="J2275" s="21" t="s">
        <v>24</v>
      </c>
      <c r="K2275" s="21" t="s">
        <v>25</v>
      </c>
      <c r="L2275" s="21" t="s">
        <v>24</v>
      </c>
      <c r="M2275" s="0" t="n">
        <v>186</v>
      </c>
      <c r="N2275" s="0" t="n">
        <v>2</v>
      </c>
      <c r="O2275" s="21" t="s">
        <v>3575</v>
      </c>
      <c r="P2275" s="21" t="s">
        <v>4265</v>
      </c>
      <c r="Q2275" s="0" t="n">
        <v>1</v>
      </c>
      <c r="R2275" s="21" t="s">
        <v>69</v>
      </c>
      <c r="S2275" s="0" t="n">
        <v>2</v>
      </c>
      <c r="T2275" s="21" t="s">
        <v>3575</v>
      </c>
      <c r="U2275" s="22" t="b">
        <f aca="false">TRUE()</f>
        <v>1</v>
      </c>
      <c r="V2275" s="0" t="n">
        <v>0.67</v>
      </c>
      <c r="W2275" s="0" t="n">
        <v>0.76</v>
      </c>
      <c r="X2275" s="0" t="n">
        <v>9.92</v>
      </c>
      <c r="Y2275" s="0" t="n">
        <v>324.75</v>
      </c>
      <c r="Z2275" s="0" t="n">
        <v>8</v>
      </c>
      <c r="AA2275" s="0" t="n">
        <v>1.01</v>
      </c>
      <c r="AB2275" s="0" t="n">
        <v>7.47</v>
      </c>
      <c r="AC2275" s="22" t="b">
        <f aca="false">FALSE()</f>
        <v>0</v>
      </c>
      <c r="AD2275" s="0" t="n">
        <v>14.23</v>
      </c>
      <c r="AE2275" s="0" t="n">
        <v>6.71</v>
      </c>
      <c r="AF2275" s="0" t="n">
        <v>13.88</v>
      </c>
      <c r="AG2275" s="22" t="b">
        <f aca="false">TRUE()</f>
        <v>1</v>
      </c>
      <c r="AH2275" s="0" t="n">
        <v>1</v>
      </c>
    </row>
    <row r="2276" customFormat="false" ht="15" hidden="false" customHeight="false" outlineLevel="0" collapsed="false">
      <c r="A2276" s="0" t="s">
        <v>3418</v>
      </c>
      <c r="B2276" s="0" t="s">
        <v>3459</v>
      </c>
      <c r="C2276" s="0" t="s">
        <v>3447</v>
      </c>
      <c r="D2276" s="0" t="s">
        <v>3457</v>
      </c>
      <c r="E2276" s="20" t="s">
        <v>25</v>
      </c>
      <c r="F2276" s="23" t="s">
        <v>30</v>
      </c>
      <c r="G2276" s="21" t="s">
        <v>992</v>
      </c>
      <c r="H2276" s="21" t="s">
        <v>24</v>
      </c>
      <c r="I2276" s="21" t="s">
        <v>24</v>
      </c>
      <c r="J2276" s="21" t="s">
        <v>24</v>
      </c>
      <c r="K2276" s="21" t="s">
        <v>25</v>
      </c>
      <c r="L2276" s="21" t="s">
        <v>24</v>
      </c>
      <c r="M2276" s="0" t="n">
        <v>184</v>
      </c>
      <c r="N2276" s="0" t="n">
        <v>4</v>
      </c>
      <c r="O2276" s="21" t="s">
        <v>3609</v>
      </c>
      <c r="P2276" s="21" t="s">
        <v>4260</v>
      </c>
      <c r="Q2276" s="0" t="n">
        <v>0</v>
      </c>
      <c r="S2276" s="0" t="n">
        <v>4</v>
      </c>
      <c r="T2276" s="21" t="s">
        <v>3609</v>
      </c>
      <c r="U2276" s="22" t="b">
        <f aca="false">TRUE()</f>
        <v>1</v>
      </c>
      <c r="V2276" s="0" t="n">
        <v>0.74</v>
      </c>
      <c r="W2276" s="0" t="n">
        <v>0</v>
      </c>
      <c r="X2276" s="0" t="n">
        <v>8.78</v>
      </c>
      <c r="Y2276" s="0" t="n">
        <v>669</v>
      </c>
      <c r="Z2276" s="0" t="n">
        <v>9.25</v>
      </c>
      <c r="AA2276" s="0" t="n">
        <v>2.66</v>
      </c>
      <c r="AB2276" s="0" t="n">
        <v>3.65</v>
      </c>
      <c r="AC2276" s="22" t="b">
        <f aca="false">FALSE()</f>
        <v>0</v>
      </c>
      <c r="AD2276" s="0" t="n">
        <v>20.76</v>
      </c>
      <c r="AE2276" s="0" t="n">
        <v>6.52</v>
      </c>
      <c r="AF2276" s="0" t="n">
        <v>12.66</v>
      </c>
      <c r="AG2276" s="22" t="b">
        <f aca="false">TRUE()</f>
        <v>1</v>
      </c>
      <c r="AH2276" s="0" t="n">
        <v>1</v>
      </c>
    </row>
    <row r="2277" customFormat="false" ht="15" hidden="false" customHeight="false" outlineLevel="0" collapsed="false">
      <c r="A2277" s="0" t="s">
        <v>3418</v>
      </c>
      <c r="B2277" s="0" t="s">
        <v>3459</v>
      </c>
      <c r="C2277" s="0" t="s">
        <v>3447</v>
      </c>
      <c r="D2277" s="0" t="s">
        <v>3448</v>
      </c>
      <c r="E2277" s="20" t="s">
        <v>25</v>
      </c>
      <c r="F2277" s="23" t="s">
        <v>30</v>
      </c>
      <c r="G2277" s="21" t="s">
        <v>992</v>
      </c>
      <c r="H2277" s="21" t="s">
        <v>24</v>
      </c>
      <c r="I2277" s="21" t="s">
        <v>24</v>
      </c>
      <c r="J2277" s="21" t="s">
        <v>24</v>
      </c>
      <c r="K2277" s="21" t="s">
        <v>25</v>
      </c>
      <c r="L2277" s="21" t="s">
        <v>24</v>
      </c>
      <c r="M2277" s="0" t="n">
        <v>185</v>
      </c>
      <c r="N2277" s="0" t="n">
        <v>1</v>
      </c>
      <c r="O2277" s="21" t="s">
        <v>3478</v>
      </c>
      <c r="P2277" s="21" t="s">
        <v>4288</v>
      </c>
      <c r="Q2277" s="0" t="n">
        <v>0</v>
      </c>
      <c r="S2277" s="0" t="n">
        <v>1</v>
      </c>
      <c r="T2277" s="21" t="s">
        <v>3478</v>
      </c>
      <c r="U2277" s="22" t="b">
        <f aca="false">TRUE()</f>
        <v>1</v>
      </c>
      <c r="V2277" s="0" t="n">
        <v>0.73</v>
      </c>
      <c r="W2277" s="0" t="n">
        <v>0.64</v>
      </c>
      <c r="X2277" s="0" t="n">
        <v>9.05</v>
      </c>
      <c r="Y2277" s="0" t="n">
        <v>322.32</v>
      </c>
      <c r="Z2277" s="0" t="n">
        <v>8.33</v>
      </c>
      <c r="AA2277" s="0" t="n">
        <v>5.49</v>
      </c>
      <c r="AB2277" s="0" t="n">
        <v>7.47</v>
      </c>
      <c r="AC2277" s="22" t="b">
        <f aca="false">FALSE()</f>
        <v>0</v>
      </c>
      <c r="AD2277" s="0" t="n">
        <v>20.86</v>
      </c>
      <c r="AE2277" s="0" t="n">
        <v>8.49</v>
      </c>
      <c r="AF2277" s="0" t="n">
        <v>13.99</v>
      </c>
      <c r="AG2277" s="22" t="b">
        <f aca="false">TRUE()</f>
        <v>1</v>
      </c>
      <c r="AH2277" s="0" t="n">
        <v>1</v>
      </c>
    </row>
  </sheetData>
  <autoFilter ref="A1:AI22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1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0"/>
    <col collapsed="false" customWidth="true" hidden="false" outlineLevel="0" max="5" min="5" style="0" width="11"/>
    <col collapsed="false" customWidth="true" hidden="false" outlineLevel="0" max="6" min="6" style="0" width="28"/>
    <col collapsed="false" customWidth="true" hidden="false" outlineLevel="0" max="7" min="7" style="0" width="29"/>
    <col collapsed="false" customWidth="true" hidden="false" outlineLevel="0" max="9" min="8" style="0" width="60"/>
    <col collapsed="false" customWidth="true" hidden="false" outlineLevel="0" max="10" min="10" style="0" width="10"/>
  </cols>
  <sheetData>
    <row r="1" customFormat="false" ht="15" hidden="false" customHeight="false" outlineLevel="0" collapsed="false">
      <c r="A1" s="17" t="s">
        <v>83</v>
      </c>
      <c r="B1" s="17" t="s">
        <v>4196</v>
      </c>
      <c r="C1" s="17" t="s">
        <v>4197</v>
      </c>
      <c r="D1" s="17" t="s">
        <v>4198</v>
      </c>
      <c r="E1" s="17" t="s">
        <v>4957</v>
      </c>
      <c r="F1" s="17" t="s">
        <v>4958</v>
      </c>
      <c r="G1" s="17" t="s">
        <v>4959</v>
      </c>
      <c r="H1" s="17" t="s">
        <v>4960</v>
      </c>
      <c r="I1" s="17" t="s">
        <v>4961</v>
      </c>
      <c r="J1" s="17" t="s">
        <v>4962</v>
      </c>
    </row>
    <row r="2" customFormat="false" ht="15" hidden="false" customHeight="false" outlineLevel="0" collapsed="false">
      <c r="A2" s="0" t="s">
        <v>108</v>
      </c>
      <c r="B2" s="0" t="s">
        <v>134</v>
      </c>
      <c r="C2" s="0" t="s">
        <v>3447</v>
      </c>
      <c r="D2" s="0" t="s">
        <v>3457</v>
      </c>
      <c r="E2" s="0" t="s">
        <v>4963</v>
      </c>
      <c r="F2" s="0" t="s">
        <v>60</v>
      </c>
      <c r="G2" s="0" t="s">
        <v>4964</v>
      </c>
      <c r="H2" s="0" t="s">
        <v>4965</v>
      </c>
      <c r="I2" s="0" t="s">
        <v>4966</v>
      </c>
      <c r="J2" s="19" t="s">
        <v>26</v>
      </c>
    </row>
    <row r="3" customFormat="false" ht="15" hidden="false" customHeight="false" outlineLevel="0" collapsed="false">
      <c r="A3" s="0" t="s">
        <v>108</v>
      </c>
      <c r="B3" s="0" t="s">
        <v>134</v>
      </c>
      <c r="C3" s="0" t="s">
        <v>3447</v>
      </c>
      <c r="D3" s="0" t="s">
        <v>3448</v>
      </c>
      <c r="E3" s="0" t="s">
        <v>4963</v>
      </c>
      <c r="F3" s="0" t="s">
        <v>60</v>
      </c>
      <c r="G3" s="0" t="s">
        <v>4964</v>
      </c>
      <c r="H3" s="0" t="s">
        <v>4967</v>
      </c>
      <c r="I3" s="0" t="s">
        <v>4966</v>
      </c>
      <c r="J3" s="19" t="s">
        <v>26</v>
      </c>
    </row>
    <row r="4" customFormat="false" ht="15" hidden="false" customHeight="false" outlineLevel="0" collapsed="false">
      <c r="A4" s="0" t="s">
        <v>108</v>
      </c>
      <c r="B4" s="0" t="s">
        <v>3459</v>
      </c>
      <c r="C4" s="0" t="s">
        <v>3447</v>
      </c>
      <c r="D4" s="0" t="s">
        <v>3448</v>
      </c>
      <c r="E4" s="0" t="s">
        <v>4963</v>
      </c>
      <c r="F4" s="0" t="s">
        <v>60</v>
      </c>
      <c r="G4" s="0" t="s">
        <v>4964</v>
      </c>
      <c r="H4" s="0" t="s">
        <v>4968</v>
      </c>
      <c r="I4" s="0" t="s">
        <v>4966</v>
      </c>
      <c r="J4" s="19" t="s">
        <v>26</v>
      </c>
    </row>
    <row r="5" customFormat="false" ht="15" hidden="false" customHeight="false" outlineLevel="0" collapsed="false">
      <c r="A5" s="0" t="s">
        <v>108</v>
      </c>
      <c r="B5" s="0" t="s">
        <v>134</v>
      </c>
      <c r="C5" s="0" t="s">
        <v>3450</v>
      </c>
      <c r="D5" s="0" t="s">
        <v>3457</v>
      </c>
      <c r="E5" s="0" t="s">
        <v>4969</v>
      </c>
      <c r="F5" s="0" t="s">
        <v>61</v>
      </c>
      <c r="G5" s="0" t="s">
        <v>4970</v>
      </c>
      <c r="H5" s="0" t="s">
        <v>4971</v>
      </c>
      <c r="I5" s="0" t="s">
        <v>4972</v>
      </c>
      <c r="J5" s="20" t="s">
        <v>25</v>
      </c>
    </row>
    <row r="6" customFormat="false" ht="15" hidden="false" customHeight="false" outlineLevel="0" collapsed="false">
      <c r="A6" s="0" t="s">
        <v>108</v>
      </c>
      <c r="B6" s="0" t="s">
        <v>134</v>
      </c>
      <c r="C6" s="0" t="s">
        <v>3450</v>
      </c>
      <c r="D6" s="0" t="s">
        <v>3448</v>
      </c>
      <c r="E6" s="0" t="s">
        <v>4969</v>
      </c>
      <c r="F6" s="0" t="s">
        <v>61</v>
      </c>
      <c r="G6" s="0" t="s">
        <v>4970</v>
      </c>
      <c r="H6" s="0" t="s">
        <v>4973</v>
      </c>
      <c r="I6" s="0" t="s">
        <v>4972</v>
      </c>
      <c r="J6" s="20" t="s">
        <v>25</v>
      </c>
    </row>
    <row r="7" customFormat="false" ht="15" hidden="false" customHeight="false" outlineLevel="0" collapsed="false">
      <c r="A7" s="0" t="s">
        <v>108</v>
      </c>
      <c r="B7" s="0" t="s">
        <v>134</v>
      </c>
      <c r="C7" s="0" t="s">
        <v>3447</v>
      </c>
      <c r="D7" s="0" t="s">
        <v>3457</v>
      </c>
      <c r="E7" s="0" t="s">
        <v>4963</v>
      </c>
      <c r="F7" s="0" t="s">
        <v>59</v>
      </c>
      <c r="G7" s="0" t="s">
        <v>4974</v>
      </c>
      <c r="H7" s="0" t="s">
        <v>69</v>
      </c>
      <c r="I7" s="0" t="s">
        <v>4975</v>
      </c>
      <c r="J7" s="20" t="s">
        <v>25</v>
      </c>
    </row>
    <row r="8" customFormat="false" ht="15" hidden="false" customHeight="false" outlineLevel="0" collapsed="false">
      <c r="A8" s="0" t="s">
        <v>108</v>
      </c>
      <c r="B8" s="0" t="s">
        <v>134</v>
      </c>
      <c r="C8" s="0" t="s">
        <v>3447</v>
      </c>
      <c r="D8" s="0" t="s">
        <v>3457</v>
      </c>
      <c r="E8" s="0" t="s">
        <v>4969</v>
      </c>
      <c r="F8" s="0" t="s">
        <v>61</v>
      </c>
      <c r="G8" s="0" t="s">
        <v>4970</v>
      </c>
      <c r="H8" s="0" t="s">
        <v>4976</v>
      </c>
      <c r="I8" s="0" t="s">
        <v>4972</v>
      </c>
      <c r="J8" s="20" t="s">
        <v>25</v>
      </c>
    </row>
    <row r="9" customFormat="false" ht="15" hidden="false" customHeight="false" outlineLevel="0" collapsed="false">
      <c r="A9" s="0" t="s">
        <v>108</v>
      </c>
      <c r="B9" s="0" t="s">
        <v>134</v>
      </c>
      <c r="C9" s="0" t="s">
        <v>3447</v>
      </c>
      <c r="D9" s="0" t="s">
        <v>3448</v>
      </c>
      <c r="E9" s="0" t="s">
        <v>4963</v>
      </c>
      <c r="F9" s="0" t="s">
        <v>59</v>
      </c>
      <c r="G9" s="0" t="s">
        <v>4974</v>
      </c>
      <c r="H9" s="0" t="s">
        <v>69</v>
      </c>
      <c r="I9" s="0" t="s">
        <v>4975</v>
      </c>
      <c r="J9" s="20" t="s">
        <v>25</v>
      </c>
    </row>
    <row r="10" customFormat="false" ht="15" hidden="false" customHeight="false" outlineLevel="0" collapsed="false">
      <c r="A10" s="0" t="s">
        <v>108</v>
      </c>
      <c r="B10" s="0" t="s">
        <v>134</v>
      </c>
      <c r="C10" s="0" t="s">
        <v>3447</v>
      </c>
      <c r="D10" s="0" t="s">
        <v>3448</v>
      </c>
      <c r="E10" s="0" t="s">
        <v>4969</v>
      </c>
      <c r="F10" s="0" t="s">
        <v>61</v>
      </c>
      <c r="G10" s="0" t="s">
        <v>4970</v>
      </c>
      <c r="H10" s="0" t="s">
        <v>4977</v>
      </c>
      <c r="I10" s="0" t="s">
        <v>4972</v>
      </c>
      <c r="J10" s="20" t="s">
        <v>25</v>
      </c>
    </row>
    <row r="11" customFormat="false" ht="15" hidden="false" customHeight="false" outlineLevel="0" collapsed="false">
      <c r="A11" s="0" t="s">
        <v>108</v>
      </c>
      <c r="B11" s="0" t="s">
        <v>3459</v>
      </c>
      <c r="C11" s="0" t="s">
        <v>3450</v>
      </c>
      <c r="D11" s="0" t="s">
        <v>3457</v>
      </c>
      <c r="E11" s="0" t="s">
        <v>4969</v>
      </c>
      <c r="F11" s="0" t="s">
        <v>63</v>
      </c>
      <c r="G11" s="0" t="s">
        <v>4220</v>
      </c>
      <c r="H11" s="0" t="s">
        <v>4978</v>
      </c>
      <c r="I11" s="0" t="s">
        <v>4979</v>
      </c>
      <c r="J11" s="20" t="s">
        <v>25</v>
      </c>
    </row>
    <row r="12" customFormat="false" ht="15" hidden="false" customHeight="false" outlineLevel="0" collapsed="false">
      <c r="A12" s="0" t="s">
        <v>108</v>
      </c>
      <c r="B12" s="0" t="s">
        <v>3459</v>
      </c>
      <c r="C12" s="0" t="s">
        <v>3450</v>
      </c>
      <c r="D12" s="0" t="s">
        <v>3448</v>
      </c>
      <c r="E12" s="0" t="s">
        <v>4963</v>
      </c>
      <c r="F12" s="0" t="s">
        <v>59</v>
      </c>
      <c r="G12" s="0" t="s">
        <v>4974</v>
      </c>
      <c r="H12" s="0" t="s">
        <v>70</v>
      </c>
      <c r="I12" s="0" t="s">
        <v>4975</v>
      </c>
      <c r="J12" s="20" t="s">
        <v>25</v>
      </c>
    </row>
    <row r="13" customFormat="false" ht="15" hidden="false" customHeight="false" outlineLevel="0" collapsed="false">
      <c r="A13" s="0" t="s">
        <v>108</v>
      </c>
      <c r="B13" s="0" t="s">
        <v>3459</v>
      </c>
      <c r="C13" s="0" t="s">
        <v>3447</v>
      </c>
      <c r="D13" s="0" t="s">
        <v>3457</v>
      </c>
      <c r="E13" s="0" t="s">
        <v>4969</v>
      </c>
      <c r="F13" s="0" t="s">
        <v>63</v>
      </c>
      <c r="G13" s="0" t="s">
        <v>4220</v>
      </c>
      <c r="H13" s="0" t="s">
        <v>4978</v>
      </c>
      <c r="I13" s="0" t="s">
        <v>4979</v>
      </c>
      <c r="J13" s="20" t="s">
        <v>25</v>
      </c>
    </row>
    <row r="14" customFormat="false" ht="15" hidden="false" customHeight="false" outlineLevel="0" collapsed="false">
      <c r="A14" s="0" t="s">
        <v>108</v>
      </c>
      <c r="B14" s="0" t="s">
        <v>3459</v>
      </c>
      <c r="C14" s="0" t="s">
        <v>3447</v>
      </c>
      <c r="D14" s="0" t="s">
        <v>3448</v>
      </c>
      <c r="E14" s="0" t="s">
        <v>4963</v>
      </c>
      <c r="F14" s="0" t="s">
        <v>59</v>
      </c>
      <c r="G14" s="0" t="s">
        <v>4974</v>
      </c>
      <c r="H14" s="0" t="s">
        <v>69</v>
      </c>
      <c r="I14" s="0" t="s">
        <v>4975</v>
      </c>
      <c r="J14" s="20" t="s">
        <v>25</v>
      </c>
    </row>
    <row r="15" customFormat="false" ht="15" hidden="false" customHeight="false" outlineLevel="0" collapsed="false">
      <c r="A15" s="0" t="s">
        <v>108</v>
      </c>
      <c r="B15" s="0" t="s">
        <v>134</v>
      </c>
      <c r="C15" s="0" t="s">
        <v>3450</v>
      </c>
      <c r="D15" s="0" t="s">
        <v>3448</v>
      </c>
      <c r="E15" s="0" t="s">
        <v>4963</v>
      </c>
      <c r="F15" s="0" t="s">
        <v>30</v>
      </c>
      <c r="G15" s="0" t="s">
        <v>4980</v>
      </c>
      <c r="H15" s="0" t="s">
        <v>4228</v>
      </c>
      <c r="I15" s="0" t="s">
        <v>4981</v>
      </c>
      <c r="J15" s="18" t="s">
        <v>24</v>
      </c>
    </row>
    <row r="16" customFormat="false" ht="15" hidden="false" customHeight="false" outlineLevel="0" collapsed="false">
      <c r="A16" s="0" t="s">
        <v>108</v>
      </c>
      <c r="B16" s="0" t="s">
        <v>3459</v>
      </c>
      <c r="C16" s="0" t="s">
        <v>3450</v>
      </c>
      <c r="D16" s="0" t="s">
        <v>3448</v>
      </c>
      <c r="E16" s="0" t="s">
        <v>4963</v>
      </c>
      <c r="F16" s="0" t="s">
        <v>30</v>
      </c>
      <c r="G16" s="0" t="s">
        <v>4980</v>
      </c>
      <c r="H16" s="0" t="s">
        <v>4231</v>
      </c>
      <c r="I16" s="0" t="s">
        <v>4981</v>
      </c>
      <c r="J16" s="18" t="s">
        <v>24</v>
      </c>
    </row>
    <row r="17" customFormat="false" ht="15" hidden="false" customHeight="false" outlineLevel="0" collapsed="false">
      <c r="A17" s="0" t="s">
        <v>108</v>
      </c>
      <c r="B17" s="0" t="s">
        <v>3459</v>
      </c>
      <c r="C17" s="0" t="s">
        <v>3447</v>
      </c>
      <c r="D17" s="0" t="s">
        <v>3457</v>
      </c>
      <c r="E17" s="0" t="s">
        <v>4963</v>
      </c>
      <c r="F17" s="0" t="s">
        <v>30</v>
      </c>
      <c r="G17" s="0" t="s">
        <v>4980</v>
      </c>
      <c r="H17" s="0" t="s">
        <v>4232</v>
      </c>
      <c r="I17" s="0" t="s">
        <v>4981</v>
      </c>
      <c r="J17" s="18" t="s">
        <v>24</v>
      </c>
    </row>
    <row r="18" customFormat="false" ht="15" hidden="false" customHeight="false" outlineLevel="0" collapsed="false">
      <c r="A18" s="0" t="s">
        <v>131</v>
      </c>
      <c r="B18" s="0" t="s">
        <v>134</v>
      </c>
      <c r="C18" s="0" t="s">
        <v>3450</v>
      </c>
      <c r="D18" s="0" t="s">
        <v>3457</v>
      </c>
      <c r="E18" s="0" t="s">
        <v>4963</v>
      </c>
      <c r="F18" s="0" t="s">
        <v>60</v>
      </c>
      <c r="G18" s="0" t="s">
        <v>4964</v>
      </c>
      <c r="H18" s="0" t="s">
        <v>4982</v>
      </c>
      <c r="I18" s="0" t="s">
        <v>4966</v>
      </c>
      <c r="J18" s="19" t="s">
        <v>26</v>
      </c>
    </row>
    <row r="19" customFormat="false" ht="15" hidden="false" customHeight="false" outlineLevel="0" collapsed="false">
      <c r="A19" s="0" t="s">
        <v>131</v>
      </c>
      <c r="B19" s="0" t="s">
        <v>134</v>
      </c>
      <c r="C19" s="0" t="s">
        <v>3450</v>
      </c>
      <c r="D19" s="0" t="s">
        <v>3448</v>
      </c>
      <c r="E19" s="0" t="s">
        <v>4963</v>
      </c>
      <c r="F19" s="0" t="s">
        <v>60</v>
      </c>
      <c r="G19" s="0" t="s">
        <v>4964</v>
      </c>
      <c r="H19" s="0" t="s">
        <v>4982</v>
      </c>
      <c r="I19" s="0" t="s">
        <v>4966</v>
      </c>
      <c r="J19" s="19" t="s">
        <v>26</v>
      </c>
    </row>
    <row r="20" customFormat="false" ht="15" hidden="false" customHeight="false" outlineLevel="0" collapsed="false">
      <c r="A20" s="0" t="s">
        <v>131</v>
      </c>
      <c r="B20" s="0" t="s">
        <v>134</v>
      </c>
      <c r="C20" s="0" t="s">
        <v>3450</v>
      </c>
      <c r="D20" s="0" t="s">
        <v>3457</v>
      </c>
      <c r="E20" s="0" t="s">
        <v>4963</v>
      </c>
      <c r="F20" s="0" t="s">
        <v>59</v>
      </c>
      <c r="G20" s="0" t="s">
        <v>4974</v>
      </c>
      <c r="H20" s="0" t="s">
        <v>69</v>
      </c>
      <c r="I20" s="0" t="s">
        <v>4975</v>
      </c>
      <c r="J20" s="20" t="s">
        <v>25</v>
      </c>
    </row>
    <row r="21" customFormat="false" ht="15" hidden="false" customHeight="false" outlineLevel="0" collapsed="false">
      <c r="A21" s="0" t="s">
        <v>131</v>
      </c>
      <c r="B21" s="0" t="s">
        <v>134</v>
      </c>
      <c r="C21" s="0" t="s">
        <v>3450</v>
      </c>
      <c r="D21" s="0" t="s">
        <v>3448</v>
      </c>
      <c r="E21" s="0" t="s">
        <v>4963</v>
      </c>
      <c r="F21" s="0" t="s">
        <v>59</v>
      </c>
      <c r="G21" s="0" t="s">
        <v>4974</v>
      </c>
      <c r="H21" s="0" t="s">
        <v>69</v>
      </c>
      <c r="I21" s="0" t="s">
        <v>4975</v>
      </c>
      <c r="J21" s="20" t="s">
        <v>25</v>
      </c>
    </row>
    <row r="22" customFormat="false" ht="15" hidden="false" customHeight="false" outlineLevel="0" collapsed="false">
      <c r="A22" s="0" t="s">
        <v>131</v>
      </c>
      <c r="B22" s="0" t="s">
        <v>134</v>
      </c>
      <c r="C22" s="0" t="s">
        <v>3447</v>
      </c>
      <c r="D22" s="0" t="s">
        <v>3457</v>
      </c>
      <c r="E22" s="0" t="s">
        <v>4963</v>
      </c>
      <c r="F22" s="0" t="s">
        <v>30</v>
      </c>
      <c r="G22" s="0" t="s">
        <v>4980</v>
      </c>
      <c r="H22" s="0" t="s">
        <v>4235</v>
      </c>
      <c r="I22" s="0" t="s">
        <v>4981</v>
      </c>
      <c r="J22" s="18" t="s">
        <v>24</v>
      </c>
    </row>
    <row r="23" customFormat="false" ht="15" hidden="false" customHeight="false" outlineLevel="0" collapsed="false">
      <c r="A23" s="0" t="s">
        <v>140</v>
      </c>
      <c r="B23" s="0" t="s">
        <v>134</v>
      </c>
      <c r="C23" s="0" t="s">
        <v>3450</v>
      </c>
      <c r="D23" s="0" t="s">
        <v>3457</v>
      </c>
      <c r="E23" s="0" t="s">
        <v>4969</v>
      </c>
      <c r="F23" s="0" t="s">
        <v>61</v>
      </c>
      <c r="G23" s="0" t="s">
        <v>4970</v>
      </c>
      <c r="H23" s="0" t="s">
        <v>4983</v>
      </c>
      <c r="I23" s="0" t="s">
        <v>4972</v>
      </c>
      <c r="J23" s="20" t="s">
        <v>25</v>
      </c>
    </row>
    <row r="24" customFormat="false" ht="15" hidden="false" customHeight="false" outlineLevel="0" collapsed="false">
      <c r="A24" s="0" t="s">
        <v>140</v>
      </c>
      <c r="B24" s="0" t="s">
        <v>134</v>
      </c>
      <c r="C24" s="0" t="s">
        <v>3450</v>
      </c>
      <c r="D24" s="0" t="s">
        <v>3457</v>
      </c>
      <c r="E24" s="0" t="s">
        <v>4969</v>
      </c>
      <c r="F24" s="0" t="s">
        <v>63</v>
      </c>
      <c r="G24" s="0" t="s">
        <v>4220</v>
      </c>
      <c r="H24" s="0" t="s">
        <v>4984</v>
      </c>
      <c r="I24" s="0" t="s">
        <v>4979</v>
      </c>
      <c r="J24" s="20" t="s">
        <v>25</v>
      </c>
    </row>
    <row r="25" customFormat="false" ht="15" hidden="false" customHeight="false" outlineLevel="0" collapsed="false">
      <c r="A25" s="0" t="s">
        <v>140</v>
      </c>
      <c r="B25" s="0" t="s">
        <v>134</v>
      </c>
      <c r="C25" s="0" t="s">
        <v>3447</v>
      </c>
      <c r="D25" s="0" t="s">
        <v>3457</v>
      </c>
      <c r="E25" s="0" t="s">
        <v>4969</v>
      </c>
      <c r="F25" s="0" t="s">
        <v>63</v>
      </c>
      <c r="G25" s="0" t="s">
        <v>4220</v>
      </c>
      <c r="H25" s="0" t="s">
        <v>4984</v>
      </c>
      <c r="I25" s="0" t="s">
        <v>4979</v>
      </c>
      <c r="J25" s="20" t="s">
        <v>25</v>
      </c>
    </row>
    <row r="26" customFormat="false" ht="15" hidden="false" customHeight="false" outlineLevel="0" collapsed="false">
      <c r="A26" s="0" t="s">
        <v>140</v>
      </c>
      <c r="B26" s="0" t="s">
        <v>134</v>
      </c>
      <c r="C26" s="0" t="s">
        <v>3447</v>
      </c>
      <c r="D26" s="0" t="s">
        <v>3457</v>
      </c>
      <c r="E26" s="0" t="s">
        <v>4963</v>
      </c>
      <c r="F26" s="0" t="s">
        <v>30</v>
      </c>
      <c r="G26" s="0" t="s">
        <v>4980</v>
      </c>
      <c r="H26" s="0" t="s">
        <v>4236</v>
      </c>
      <c r="I26" s="0" t="s">
        <v>4981</v>
      </c>
      <c r="J26" s="18" t="s">
        <v>24</v>
      </c>
    </row>
    <row r="27" customFormat="false" ht="15" hidden="false" customHeight="false" outlineLevel="0" collapsed="false">
      <c r="A27" s="0" t="s">
        <v>140</v>
      </c>
      <c r="B27" s="0" t="s">
        <v>134</v>
      </c>
      <c r="C27" s="0" t="s">
        <v>3447</v>
      </c>
      <c r="D27" s="0" t="s">
        <v>3448</v>
      </c>
      <c r="E27" s="0" t="s">
        <v>4963</v>
      </c>
      <c r="F27" s="0" t="s">
        <v>30</v>
      </c>
      <c r="G27" s="0" t="s">
        <v>4980</v>
      </c>
      <c r="H27" s="0" t="s">
        <v>4236</v>
      </c>
      <c r="I27" s="0" t="s">
        <v>4981</v>
      </c>
      <c r="J27" s="18" t="s">
        <v>24</v>
      </c>
    </row>
    <row r="28" customFormat="false" ht="15" hidden="false" customHeight="false" outlineLevel="0" collapsed="false">
      <c r="A28" s="0" t="s">
        <v>153</v>
      </c>
      <c r="B28" s="0" t="s">
        <v>134</v>
      </c>
      <c r="C28" s="0" t="s">
        <v>3450</v>
      </c>
      <c r="D28" s="0" t="s">
        <v>3457</v>
      </c>
      <c r="E28" s="0" t="s">
        <v>4963</v>
      </c>
      <c r="F28" s="0" t="s">
        <v>59</v>
      </c>
      <c r="G28" s="0" t="s">
        <v>4974</v>
      </c>
      <c r="H28" s="0" t="s">
        <v>69</v>
      </c>
      <c r="I28" s="0" t="s">
        <v>4975</v>
      </c>
      <c r="J28" s="20" t="s">
        <v>25</v>
      </c>
    </row>
    <row r="29" customFormat="false" ht="15" hidden="false" customHeight="false" outlineLevel="0" collapsed="false">
      <c r="A29" s="0" t="s">
        <v>153</v>
      </c>
      <c r="B29" s="0" t="s">
        <v>134</v>
      </c>
      <c r="C29" s="0" t="s">
        <v>3450</v>
      </c>
      <c r="D29" s="0" t="s">
        <v>3457</v>
      </c>
      <c r="E29" s="0" t="s">
        <v>4969</v>
      </c>
      <c r="F29" s="0" t="s">
        <v>61</v>
      </c>
      <c r="G29" s="0" t="s">
        <v>4970</v>
      </c>
      <c r="H29" s="0" t="s">
        <v>4985</v>
      </c>
      <c r="I29" s="0" t="s">
        <v>4972</v>
      </c>
      <c r="J29" s="20" t="s">
        <v>25</v>
      </c>
    </row>
    <row r="30" customFormat="false" ht="15" hidden="false" customHeight="false" outlineLevel="0" collapsed="false">
      <c r="A30" s="0" t="s">
        <v>153</v>
      </c>
      <c r="B30" s="0" t="s">
        <v>134</v>
      </c>
      <c r="C30" s="0" t="s">
        <v>3450</v>
      </c>
      <c r="D30" s="0" t="s">
        <v>3457</v>
      </c>
      <c r="E30" s="0" t="s">
        <v>4969</v>
      </c>
      <c r="F30" s="0" t="s">
        <v>63</v>
      </c>
      <c r="G30" s="0" t="s">
        <v>4220</v>
      </c>
      <c r="H30" s="0" t="s">
        <v>4986</v>
      </c>
      <c r="I30" s="0" t="s">
        <v>4979</v>
      </c>
      <c r="J30" s="20" t="s">
        <v>25</v>
      </c>
    </row>
    <row r="31" customFormat="false" ht="15" hidden="false" customHeight="false" outlineLevel="0" collapsed="false">
      <c r="A31" s="0" t="s">
        <v>153</v>
      </c>
      <c r="B31" s="0" t="s">
        <v>134</v>
      </c>
      <c r="C31" s="0" t="s">
        <v>3450</v>
      </c>
      <c r="D31" s="0" t="s">
        <v>3448</v>
      </c>
      <c r="E31" s="0" t="s">
        <v>4963</v>
      </c>
      <c r="F31" s="0" t="s">
        <v>59</v>
      </c>
      <c r="G31" s="0" t="s">
        <v>4974</v>
      </c>
      <c r="H31" s="0" t="s">
        <v>69</v>
      </c>
      <c r="I31" s="0" t="s">
        <v>4975</v>
      </c>
      <c r="J31" s="20" t="s">
        <v>25</v>
      </c>
    </row>
    <row r="32" customFormat="false" ht="15" hidden="false" customHeight="false" outlineLevel="0" collapsed="false">
      <c r="A32" s="0" t="s">
        <v>153</v>
      </c>
      <c r="B32" s="0" t="s">
        <v>134</v>
      </c>
      <c r="C32" s="0" t="s">
        <v>3450</v>
      </c>
      <c r="D32" s="0" t="s">
        <v>3448</v>
      </c>
      <c r="E32" s="0" t="s">
        <v>4969</v>
      </c>
      <c r="F32" s="0" t="s">
        <v>61</v>
      </c>
      <c r="G32" s="0" t="s">
        <v>4970</v>
      </c>
      <c r="H32" s="0" t="s">
        <v>4987</v>
      </c>
      <c r="I32" s="0" t="s">
        <v>4972</v>
      </c>
      <c r="J32" s="20" t="s">
        <v>25</v>
      </c>
    </row>
    <row r="33" customFormat="false" ht="15" hidden="false" customHeight="false" outlineLevel="0" collapsed="false">
      <c r="A33" s="0" t="s">
        <v>153</v>
      </c>
      <c r="B33" s="0" t="s">
        <v>134</v>
      </c>
      <c r="C33" s="0" t="s">
        <v>3450</v>
      </c>
      <c r="D33" s="0" t="s">
        <v>3448</v>
      </c>
      <c r="E33" s="0" t="s">
        <v>4969</v>
      </c>
      <c r="F33" s="0" t="s">
        <v>63</v>
      </c>
      <c r="G33" s="0" t="s">
        <v>4220</v>
      </c>
      <c r="H33" s="0" t="s">
        <v>4988</v>
      </c>
      <c r="I33" s="0" t="s">
        <v>4979</v>
      </c>
      <c r="J33" s="20" t="s">
        <v>25</v>
      </c>
    </row>
    <row r="34" customFormat="false" ht="15" hidden="false" customHeight="false" outlineLevel="0" collapsed="false">
      <c r="A34" s="0" t="s">
        <v>153</v>
      </c>
      <c r="B34" s="0" t="s">
        <v>134</v>
      </c>
      <c r="C34" s="0" t="s">
        <v>3447</v>
      </c>
      <c r="D34" s="0" t="s">
        <v>3457</v>
      </c>
      <c r="E34" s="0" t="s">
        <v>4969</v>
      </c>
      <c r="F34" s="0" t="s">
        <v>63</v>
      </c>
      <c r="G34" s="0" t="s">
        <v>4220</v>
      </c>
      <c r="H34" s="0" t="s">
        <v>4986</v>
      </c>
      <c r="I34" s="0" t="s">
        <v>4979</v>
      </c>
      <c r="J34" s="20" t="s">
        <v>25</v>
      </c>
    </row>
    <row r="35" customFormat="false" ht="15" hidden="false" customHeight="false" outlineLevel="0" collapsed="false">
      <c r="A35" s="0" t="s">
        <v>153</v>
      </c>
      <c r="B35" s="0" t="s">
        <v>134</v>
      </c>
      <c r="C35" s="0" t="s">
        <v>3447</v>
      </c>
      <c r="D35" s="0" t="s">
        <v>3448</v>
      </c>
      <c r="E35" s="0" t="s">
        <v>4969</v>
      </c>
      <c r="F35" s="0" t="s">
        <v>63</v>
      </c>
      <c r="G35" s="0" t="s">
        <v>4220</v>
      </c>
      <c r="H35" s="0" t="s">
        <v>4988</v>
      </c>
      <c r="I35" s="0" t="s">
        <v>4979</v>
      </c>
      <c r="J35" s="20" t="s">
        <v>25</v>
      </c>
    </row>
    <row r="36" customFormat="false" ht="15" hidden="false" customHeight="false" outlineLevel="0" collapsed="false">
      <c r="A36" s="0" t="s">
        <v>153</v>
      </c>
      <c r="B36" s="0" t="s">
        <v>134</v>
      </c>
      <c r="C36" s="0" t="s">
        <v>3450</v>
      </c>
      <c r="D36" s="0" t="s">
        <v>3457</v>
      </c>
      <c r="E36" s="0" t="s">
        <v>4963</v>
      </c>
      <c r="F36" s="0" t="s">
        <v>30</v>
      </c>
      <c r="G36" s="0" t="s">
        <v>4980</v>
      </c>
      <c r="H36" s="0" t="s">
        <v>4237</v>
      </c>
      <c r="I36" s="0" t="s">
        <v>4981</v>
      </c>
      <c r="J36" s="18" t="s">
        <v>24</v>
      </c>
    </row>
    <row r="37" customFormat="false" ht="15" hidden="false" customHeight="false" outlineLevel="0" collapsed="false">
      <c r="A37" s="0" t="s">
        <v>153</v>
      </c>
      <c r="B37" s="0" t="s">
        <v>134</v>
      </c>
      <c r="C37" s="0" t="s">
        <v>3450</v>
      </c>
      <c r="D37" s="0" t="s">
        <v>3448</v>
      </c>
      <c r="E37" s="0" t="s">
        <v>4963</v>
      </c>
      <c r="F37" s="0" t="s">
        <v>30</v>
      </c>
      <c r="G37" s="0" t="s">
        <v>4980</v>
      </c>
      <c r="H37" s="0" t="s">
        <v>4238</v>
      </c>
      <c r="I37" s="0" t="s">
        <v>4981</v>
      </c>
      <c r="J37" s="18" t="s">
        <v>24</v>
      </c>
    </row>
    <row r="38" customFormat="false" ht="15" hidden="false" customHeight="false" outlineLevel="0" collapsed="false">
      <c r="A38" s="0" t="s">
        <v>153</v>
      </c>
      <c r="B38" s="0" t="s">
        <v>134</v>
      </c>
      <c r="C38" s="0" t="s">
        <v>3447</v>
      </c>
      <c r="D38" s="0" t="s">
        <v>3457</v>
      </c>
      <c r="E38" s="0" t="s">
        <v>4963</v>
      </c>
      <c r="F38" s="0" t="s">
        <v>30</v>
      </c>
      <c r="G38" s="0" t="s">
        <v>4980</v>
      </c>
      <c r="H38" s="0" t="s">
        <v>4239</v>
      </c>
      <c r="I38" s="0" t="s">
        <v>4981</v>
      </c>
      <c r="J38" s="18" t="s">
        <v>24</v>
      </c>
    </row>
    <row r="39" customFormat="false" ht="15" hidden="false" customHeight="false" outlineLevel="0" collapsed="false">
      <c r="A39" s="0" t="s">
        <v>153</v>
      </c>
      <c r="B39" s="0" t="s">
        <v>134</v>
      </c>
      <c r="C39" s="0" t="s">
        <v>3447</v>
      </c>
      <c r="D39" s="0" t="s">
        <v>3448</v>
      </c>
      <c r="E39" s="0" t="s">
        <v>4963</v>
      </c>
      <c r="F39" s="0" t="s">
        <v>30</v>
      </c>
      <c r="G39" s="0" t="s">
        <v>4980</v>
      </c>
      <c r="H39" s="0" t="s">
        <v>4240</v>
      </c>
      <c r="I39" s="0" t="s">
        <v>4981</v>
      </c>
      <c r="J39" s="18" t="s">
        <v>24</v>
      </c>
    </row>
    <row r="40" customFormat="false" ht="15" hidden="false" customHeight="false" outlineLevel="0" collapsed="false">
      <c r="A40" s="0" t="s">
        <v>160</v>
      </c>
      <c r="B40" s="0" t="s">
        <v>134</v>
      </c>
      <c r="C40" s="0" t="s">
        <v>3450</v>
      </c>
      <c r="D40" s="0" t="s">
        <v>3457</v>
      </c>
      <c r="E40" s="0" t="s">
        <v>4969</v>
      </c>
      <c r="F40" s="0" t="s">
        <v>61</v>
      </c>
      <c r="G40" s="0" t="s">
        <v>4970</v>
      </c>
      <c r="H40" s="0" t="s">
        <v>4989</v>
      </c>
      <c r="I40" s="0" t="s">
        <v>4972</v>
      </c>
      <c r="J40" s="20" t="s">
        <v>25</v>
      </c>
    </row>
    <row r="41" customFormat="false" ht="15" hidden="false" customHeight="false" outlineLevel="0" collapsed="false">
      <c r="A41" s="0" t="s">
        <v>160</v>
      </c>
      <c r="B41" s="0" t="s">
        <v>134</v>
      </c>
      <c r="C41" s="0" t="s">
        <v>3450</v>
      </c>
      <c r="D41" s="0" t="s">
        <v>3448</v>
      </c>
      <c r="E41" s="0" t="s">
        <v>4969</v>
      </c>
      <c r="F41" s="0" t="s">
        <v>64</v>
      </c>
      <c r="G41" s="0" t="s">
        <v>4220</v>
      </c>
      <c r="H41" s="0" t="s">
        <v>4990</v>
      </c>
      <c r="I41" s="0" t="s">
        <v>4991</v>
      </c>
      <c r="J41" s="20" t="s">
        <v>25</v>
      </c>
    </row>
    <row r="42" customFormat="false" ht="15" hidden="false" customHeight="false" outlineLevel="0" collapsed="false">
      <c r="A42" s="0" t="s">
        <v>160</v>
      </c>
      <c r="B42" s="0" t="s">
        <v>134</v>
      </c>
      <c r="C42" s="0" t="s">
        <v>3447</v>
      </c>
      <c r="D42" s="0" t="s">
        <v>3457</v>
      </c>
      <c r="E42" s="0" t="s">
        <v>4963</v>
      </c>
      <c r="F42" s="0" t="s">
        <v>59</v>
      </c>
      <c r="G42" s="0" t="s">
        <v>4974</v>
      </c>
      <c r="H42" s="0" t="s">
        <v>69</v>
      </c>
      <c r="I42" s="0" t="s">
        <v>4975</v>
      </c>
      <c r="J42" s="20" t="s">
        <v>25</v>
      </c>
    </row>
    <row r="43" customFormat="false" ht="15" hidden="false" customHeight="false" outlineLevel="0" collapsed="false">
      <c r="A43" s="0" t="s">
        <v>160</v>
      </c>
      <c r="B43" s="0" t="s">
        <v>134</v>
      </c>
      <c r="C43" s="0" t="s">
        <v>3447</v>
      </c>
      <c r="D43" s="0" t="s">
        <v>3457</v>
      </c>
      <c r="E43" s="0" t="s">
        <v>4969</v>
      </c>
      <c r="F43" s="0" t="s">
        <v>61</v>
      </c>
      <c r="G43" s="0" t="s">
        <v>4970</v>
      </c>
      <c r="H43" s="0" t="s">
        <v>4992</v>
      </c>
      <c r="I43" s="0" t="s">
        <v>4972</v>
      </c>
      <c r="J43" s="20" t="s">
        <v>25</v>
      </c>
    </row>
    <row r="44" customFormat="false" ht="15" hidden="false" customHeight="false" outlineLevel="0" collapsed="false">
      <c r="A44" s="0" t="s">
        <v>160</v>
      </c>
      <c r="B44" s="0" t="s">
        <v>134</v>
      </c>
      <c r="C44" s="0" t="s">
        <v>3447</v>
      </c>
      <c r="D44" s="0" t="s">
        <v>3448</v>
      </c>
      <c r="E44" s="0" t="s">
        <v>4969</v>
      </c>
      <c r="F44" s="0" t="s">
        <v>64</v>
      </c>
      <c r="G44" s="0" t="s">
        <v>4220</v>
      </c>
      <c r="H44" s="0" t="s">
        <v>4990</v>
      </c>
      <c r="I44" s="0" t="s">
        <v>4991</v>
      </c>
      <c r="J44" s="20" t="s">
        <v>25</v>
      </c>
    </row>
    <row r="45" customFormat="false" ht="15" hidden="false" customHeight="false" outlineLevel="0" collapsed="false">
      <c r="A45" s="0" t="s">
        <v>160</v>
      </c>
      <c r="B45" s="0" t="s">
        <v>134</v>
      </c>
      <c r="C45" s="0" t="s">
        <v>3447</v>
      </c>
      <c r="D45" s="0" t="s">
        <v>3457</v>
      </c>
      <c r="E45" s="0" t="s">
        <v>4963</v>
      </c>
      <c r="F45" s="0" t="s">
        <v>30</v>
      </c>
      <c r="G45" s="0" t="s">
        <v>4980</v>
      </c>
      <c r="H45" s="0" t="s">
        <v>4241</v>
      </c>
      <c r="I45" s="0" t="s">
        <v>4981</v>
      </c>
      <c r="J45" s="18" t="s">
        <v>24</v>
      </c>
    </row>
    <row r="46" customFormat="false" ht="15" hidden="false" customHeight="false" outlineLevel="0" collapsed="false">
      <c r="A46" s="0" t="s">
        <v>179</v>
      </c>
      <c r="B46" s="0" t="s">
        <v>134</v>
      </c>
      <c r="C46" s="0" t="s">
        <v>3450</v>
      </c>
      <c r="D46" s="0" t="s">
        <v>3457</v>
      </c>
      <c r="E46" s="0" t="s">
        <v>4963</v>
      </c>
      <c r="F46" s="0" t="s">
        <v>59</v>
      </c>
      <c r="G46" s="0" t="s">
        <v>4974</v>
      </c>
      <c r="H46" s="0" t="s">
        <v>69</v>
      </c>
      <c r="I46" s="0" t="s">
        <v>4975</v>
      </c>
      <c r="J46" s="20" t="s">
        <v>25</v>
      </c>
    </row>
    <row r="47" customFormat="false" ht="15" hidden="false" customHeight="false" outlineLevel="0" collapsed="false">
      <c r="A47" s="0" t="s">
        <v>179</v>
      </c>
      <c r="B47" s="0" t="s">
        <v>134</v>
      </c>
      <c r="C47" s="0" t="s">
        <v>3450</v>
      </c>
      <c r="D47" s="0" t="s">
        <v>3457</v>
      </c>
      <c r="E47" s="0" t="s">
        <v>4969</v>
      </c>
      <c r="F47" s="0" t="s">
        <v>61</v>
      </c>
      <c r="G47" s="0" t="s">
        <v>4970</v>
      </c>
      <c r="H47" s="0" t="s">
        <v>4993</v>
      </c>
      <c r="I47" s="0" t="s">
        <v>4972</v>
      </c>
      <c r="J47" s="20" t="s">
        <v>25</v>
      </c>
    </row>
    <row r="48" customFormat="false" ht="15" hidden="false" customHeight="false" outlineLevel="0" collapsed="false">
      <c r="A48" s="0" t="s">
        <v>179</v>
      </c>
      <c r="B48" s="0" t="s">
        <v>134</v>
      </c>
      <c r="C48" s="0" t="s">
        <v>3450</v>
      </c>
      <c r="D48" s="0" t="s">
        <v>3448</v>
      </c>
      <c r="E48" s="0" t="s">
        <v>4963</v>
      </c>
      <c r="F48" s="0" t="s">
        <v>59</v>
      </c>
      <c r="G48" s="0" t="s">
        <v>4974</v>
      </c>
      <c r="H48" s="0" t="s">
        <v>69</v>
      </c>
      <c r="I48" s="0" t="s">
        <v>4975</v>
      </c>
      <c r="J48" s="20" t="s">
        <v>25</v>
      </c>
    </row>
    <row r="49" customFormat="false" ht="15" hidden="false" customHeight="false" outlineLevel="0" collapsed="false">
      <c r="A49" s="0" t="s">
        <v>179</v>
      </c>
      <c r="B49" s="0" t="s">
        <v>134</v>
      </c>
      <c r="C49" s="0" t="s">
        <v>3450</v>
      </c>
      <c r="D49" s="0" t="s">
        <v>3448</v>
      </c>
      <c r="E49" s="0" t="s">
        <v>4969</v>
      </c>
      <c r="F49" s="0" t="s">
        <v>61</v>
      </c>
      <c r="G49" s="0" t="s">
        <v>4970</v>
      </c>
      <c r="H49" s="0" t="s">
        <v>4994</v>
      </c>
      <c r="I49" s="0" t="s">
        <v>4972</v>
      </c>
      <c r="J49" s="20" t="s">
        <v>25</v>
      </c>
    </row>
    <row r="50" customFormat="false" ht="15" hidden="false" customHeight="false" outlineLevel="0" collapsed="false">
      <c r="A50" s="0" t="s">
        <v>179</v>
      </c>
      <c r="B50" s="0" t="s">
        <v>134</v>
      </c>
      <c r="C50" s="0" t="s">
        <v>3447</v>
      </c>
      <c r="D50" s="0" t="s">
        <v>3457</v>
      </c>
      <c r="E50" s="0" t="s">
        <v>4969</v>
      </c>
      <c r="F50" s="0" t="s">
        <v>61</v>
      </c>
      <c r="G50" s="0" t="s">
        <v>4970</v>
      </c>
      <c r="H50" s="0" t="s">
        <v>4995</v>
      </c>
      <c r="I50" s="0" t="s">
        <v>4972</v>
      </c>
      <c r="J50" s="20" t="s">
        <v>25</v>
      </c>
    </row>
    <row r="51" customFormat="false" ht="15" hidden="false" customHeight="false" outlineLevel="0" collapsed="false">
      <c r="A51" s="0" t="s">
        <v>179</v>
      </c>
      <c r="B51" s="0" t="s">
        <v>134</v>
      </c>
      <c r="C51" s="0" t="s">
        <v>3447</v>
      </c>
      <c r="D51" s="0" t="s">
        <v>3448</v>
      </c>
      <c r="E51" s="0" t="s">
        <v>4969</v>
      </c>
      <c r="F51" s="0" t="s">
        <v>61</v>
      </c>
      <c r="G51" s="0" t="s">
        <v>4970</v>
      </c>
      <c r="H51" s="0" t="s">
        <v>4996</v>
      </c>
      <c r="I51" s="0" t="s">
        <v>4972</v>
      </c>
      <c r="J51" s="20" t="s">
        <v>25</v>
      </c>
    </row>
    <row r="52" customFormat="false" ht="15" hidden="false" customHeight="false" outlineLevel="0" collapsed="false">
      <c r="A52" s="0" t="s">
        <v>179</v>
      </c>
      <c r="B52" s="0" t="s">
        <v>134</v>
      </c>
      <c r="C52" s="0" t="s">
        <v>3450</v>
      </c>
      <c r="D52" s="0" t="s">
        <v>3457</v>
      </c>
      <c r="E52" s="0" t="s">
        <v>4963</v>
      </c>
      <c r="F52" s="0" t="s">
        <v>30</v>
      </c>
      <c r="G52" s="0" t="s">
        <v>4980</v>
      </c>
      <c r="H52" s="0" t="s">
        <v>4242</v>
      </c>
      <c r="I52" s="0" t="s">
        <v>4981</v>
      </c>
      <c r="J52" s="18" t="s">
        <v>24</v>
      </c>
    </row>
    <row r="53" customFormat="false" ht="15" hidden="false" customHeight="false" outlineLevel="0" collapsed="false">
      <c r="A53" s="0" t="s">
        <v>179</v>
      </c>
      <c r="B53" s="0" t="s">
        <v>134</v>
      </c>
      <c r="C53" s="0" t="s">
        <v>3450</v>
      </c>
      <c r="D53" s="0" t="s">
        <v>3448</v>
      </c>
      <c r="E53" s="0" t="s">
        <v>4963</v>
      </c>
      <c r="F53" s="0" t="s">
        <v>30</v>
      </c>
      <c r="G53" s="0" t="s">
        <v>4980</v>
      </c>
      <c r="H53" s="0" t="s">
        <v>4242</v>
      </c>
      <c r="I53" s="0" t="s">
        <v>4981</v>
      </c>
      <c r="J53" s="18" t="s">
        <v>24</v>
      </c>
    </row>
    <row r="54" customFormat="false" ht="15" hidden="false" customHeight="false" outlineLevel="0" collapsed="false">
      <c r="A54" s="0" t="s">
        <v>179</v>
      </c>
      <c r="B54" s="0" t="s">
        <v>134</v>
      </c>
      <c r="C54" s="0" t="s">
        <v>3447</v>
      </c>
      <c r="D54" s="0" t="s">
        <v>3457</v>
      </c>
      <c r="E54" s="0" t="s">
        <v>4963</v>
      </c>
      <c r="F54" s="0" t="s">
        <v>30</v>
      </c>
      <c r="G54" s="0" t="s">
        <v>4980</v>
      </c>
      <c r="H54" s="0" t="s">
        <v>4243</v>
      </c>
      <c r="I54" s="0" t="s">
        <v>4981</v>
      </c>
      <c r="J54" s="18" t="s">
        <v>24</v>
      </c>
    </row>
    <row r="55" customFormat="false" ht="15" hidden="false" customHeight="false" outlineLevel="0" collapsed="false">
      <c r="A55" s="0" t="s">
        <v>179</v>
      </c>
      <c r="B55" s="0" t="s">
        <v>134</v>
      </c>
      <c r="C55" s="0" t="s">
        <v>3447</v>
      </c>
      <c r="D55" s="0" t="s">
        <v>3448</v>
      </c>
      <c r="E55" s="0" t="s">
        <v>4963</v>
      </c>
      <c r="F55" s="0" t="s">
        <v>30</v>
      </c>
      <c r="G55" s="0" t="s">
        <v>4980</v>
      </c>
      <c r="H55" s="0" t="s">
        <v>4244</v>
      </c>
      <c r="I55" s="0" t="s">
        <v>4981</v>
      </c>
      <c r="J55" s="18" t="s">
        <v>24</v>
      </c>
    </row>
    <row r="56" customFormat="false" ht="15" hidden="false" customHeight="false" outlineLevel="0" collapsed="false">
      <c r="A56" s="0" t="s">
        <v>186</v>
      </c>
      <c r="B56" s="0" t="s">
        <v>134</v>
      </c>
      <c r="C56" s="0" t="s">
        <v>3450</v>
      </c>
      <c r="D56" s="0" t="s">
        <v>3457</v>
      </c>
      <c r="E56" s="0" t="s">
        <v>4963</v>
      </c>
      <c r="F56" s="0" t="s">
        <v>65</v>
      </c>
      <c r="G56" s="0" t="s">
        <v>4997</v>
      </c>
      <c r="H56" s="0" t="s">
        <v>3871</v>
      </c>
      <c r="I56" s="0" t="s">
        <v>4998</v>
      </c>
      <c r="J56" s="19" t="s">
        <v>26</v>
      </c>
    </row>
    <row r="57" customFormat="false" ht="15" hidden="false" customHeight="false" outlineLevel="0" collapsed="false">
      <c r="A57" s="0" t="s">
        <v>186</v>
      </c>
      <c r="B57" s="0" t="s">
        <v>134</v>
      </c>
      <c r="C57" s="0" t="s">
        <v>3450</v>
      </c>
      <c r="D57" s="0" t="s">
        <v>3457</v>
      </c>
      <c r="E57" s="0" t="s">
        <v>4969</v>
      </c>
      <c r="F57" s="0" t="s">
        <v>61</v>
      </c>
      <c r="G57" s="0" t="s">
        <v>4970</v>
      </c>
      <c r="H57" s="0" t="s">
        <v>4999</v>
      </c>
      <c r="I57" s="0" t="s">
        <v>4972</v>
      </c>
      <c r="J57" s="20" t="s">
        <v>25</v>
      </c>
    </row>
    <row r="58" customFormat="false" ht="15" hidden="false" customHeight="false" outlineLevel="0" collapsed="false">
      <c r="A58" s="0" t="s">
        <v>186</v>
      </c>
      <c r="B58" s="0" t="s">
        <v>134</v>
      </c>
      <c r="C58" s="0" t="s">
        <v>3450</v>
      </c>
      <c r="D58" s="0" t="s">
        <v>3448</v>
      </c>
      <c r="E58" s="0" t="s">
        <v>4963</v>
      </c>
      <c r="F58" s="0" t="s">
        <v>59</v>
      </c>
      <c r="G58" s="0" t="s">
        <v>4974</v>
      </c>
      <c r="H58" s="0" t="s">
        <v>69</v>
      </c>
      <c r="I58" s="0" t="s">
        <v>4975</v>
      </c>
      <c r="J58" s="20" t="s">
        <v>25</v>
      </c>
    </row>
    <row r="59" customFormat="false" ht="15" hidden="false" customHeight="false" outlineLevel="0" collapsed="false">
      <c r="A59" s="0" t="s">
        <v>186</v>
      </c>
      <c r="B59" s="0" t="s">
        <v>134</v>
      </c>
      <c r="C59" s="0" t="s">
        <v>3450</v>
      </c>
      <c r="D59" s="0" t="s">
        <v>3448</v>
      </c>
      <c r="E59" s="0" t="s">
        <v>4969</v>
      </c>
      <c r="F59" s="0" t="s">
        <v>61</v>
      </c>
      <c r="G59" s="0" t="s">
        <v>4970</v>
      </c>
      <c r="H59" s="0" t="s">
        <v>5000</v>
      </c>
      <c r="I59" s="0" t="s">
        <v>4972</v>
      </c>
      <c r="J59" s="20" t="s">
        <v>25</v>
      </c>
    </row>
    <row r="60" customFormat="false" ht="15" hidden="false" customHeight="false" outlineLevel="0" collapsed="false">
      <c r="A60" s="0" t="s">
        <v>186</v>
      </c>
      <c r="B60" s="0" t="s">
        <v>134</v>
      </c>
      <c r="C60" s="0" t="s">
        <v>3447</v>
      </c>
      <c r="D60" s="0" t="s">
        <v>3457</v>
      </c>
      <c r="E60" s="0" t="s">
        <v>4969</v>
      </c>
      <c r="F60" s="0" t="s">
        <v>61</v>
      </c>
      <c r="G60" s="0" t="s">
        <v>4970</v>
      </c>
      <c r="H60" s="0" t="s">
        <v>5001</v>
      </c>
      <c r="I60" s="0" t="s">
        <v>4972</v>
      </c>
      <c r="J60" s="20" t="s">
        <v>25</v>
      </c>
    </row>
    <row r="61" customFormat="false" ht="15" hidden="false" customHeight="false" outlineLevel="0" collapsed="false">
      <c r="A61" s="0" t="s">
        <v>186</v>
      </c>
      <c r="B61" s="0" t="s">
        <v>134</v>
      </c>
      <c r="C61" s="0" t="s">
        <v>3447</v>
      </c>
      <c r="D61" s="0" t="s">
        <v>3448</v>
      </c>
      <c r="E61" s="0" t="s">
        <v>4969</v>
      </c>
      <c r="F61" s="0" t="s">
        <v>61</v>
      </c>
      <c r="G61" s="0" t="s">
        <v>4970</v>
      </c>
      <c r="H61" s="0" t="s">
        <v>5002</v>
      </c>
      <c r="I61" s="0" t="s">
        <v>4972</v>
      </c>
      <c r="J61" s="20" t="s">
        <v>25</v>
      </c>
    </row>
    <row r="62" customFormat="false" ht="15" hidden="false" customHeight="false" outlineLevel="0" collapsed="false">
      <c r="A62" s="0" t="s">
        <v>186</v>
      </c>
      <c r="B62" s="0" t="s">
        <v>134</v>
      </c>
      <c r="C62" s="0" t="s">
        <v>3450</v>
      </c>
      <c r="D62" s="0" t="s">
        <v>3448</v>
      </c>
      <c r="E62" s="0" t="s">
        <v>4963</v>
      </c>
      <c r="F62" s="0" t="s">
        <v>30</v>
      </c>
      <c r="G62" s="0" t="s">
        <v>4980</v>
      </c>
      <c r="H62" s="0" t="s">
        <v>4246</v>
      </c>
      <c r="I62" s="0" t="s">
        <v>4981</v>
      </c>
      <c r="J62" s="18" t="s">
        <v>24</v>
      </c>
    </row>
    <row r="63" customFormat="false" ht="15" hidden="false" customHeight="false" outlineLevel="0" collapsed="false">
      <c r="A63" s="0" t="s">
        <v>186</v>
      </c>
      <c r="B63" s="0" t="s">
        <v>134</v>
      </c>
      <c r="C63" s="0" t="s">
        <v>3447</v>
      </c>
      <c r="D63" s="0" t="s">
        <v>3457</v>
      </c>
      <c r="E63" s="0" t="s">
        <v>4963</v>
      </c>
      <c r="F63" s="0" t="s">
        <v>30</v>
      </c>
      <c r="G63" s="0" t="s">
        <v>4980</v>
      </c>
      <c r="H63" s="0" t="s">
        <v>4247</v>
      </c>
      <c r="I63" s="0" t="s">
        <v>4981</v>
      </c>
      <c r="J63" s="18" t="s">
        <v>24</v>
      </c>
    </row>
    <row r="64" customFormat="false" ht="15" hidden="false" customHeight="false" outlineLevel="0" collapsed="false">
      <c r="A64" s="0" t="s">
        <v>186</v>
      </c>
      <c r="B64" s="0" t="s">
        <v>134</v>
      </c>
      <c r="C64" s="0" t="s">
        <v>3447</v>
      </c>
      <c r="D64" s="0" t="s">
        <v>3448</v>
      </c>
      <c r="E64" s="0" t="s">
        <v>4963</v>
      </c>
      <c r="F64" s="0" t="s">
        <v>30</v>
      </c>
      <c r="G64" s="0" t="s">
        <v>4980</v>
      </c>
      <c r="H64" s="0" t="s">
        <v>4247</v>
      </c>
      <c r="I64" s="0" t="s">
        <v>4981</v>
      </c>
      <c r="J64" s="18" t="s">
        <v>24</v>
      </c>
    </row>
    <row r="65" customFormat="false" ht="15" hidden="false" customHeight="false" outlineLevel="0" collapsed="false">
      <c r="A65" s="0" t="s">
        <v>193</v>
      </c>
      <c r="B65" s="0" t="s">
        <v>134</v>
      </c>
      <c r="C65" s="0" t="s">
        <v>3450</v>
      </c>
      <c r="D65" s="0" t="s">
        <v>3457</v>
      </c>
      <c r="E65" s="0" t="s">
        <v>4963</v>
      </c>
      <c r="F65" s="0" t="s">
        <v>59</v>
      </c>
      <c r="G65" s="0" t="s">
        <v>4974</v>
      </c>
      <c r="H65" s="0" t="s">
        <v>69</v>
      </c>
      <c r="I65" s="0" t="s">
        <v>4975</v>
      </c>
      <c r="J65" s="20" t="s">
        <v>25</v>
      </c>
    </row>
    <row r="66" customFormat="false" ht="15" hidden="false" customHeight="false" outlineLevel="0" collapsed="false">
      <c r="A66" s="0" t="s">
        <v>193</v>
      </c>
      <c r="B66" s="0" t="s">
        <v>134</v>
      </c>
      <c r="C66" s="0" t="s">
        <v>3450</v>
      </c>
      <c r="D66" s="0" t="s">
        <v>3457</v>
      </c>
      <c r="E66" s="0" t="s">
        <v>4969</v>
      </c>
      <c r="F66" s="0" t="s">
        <v>62</v>
      </c>
      <c r="G66" s="0" t="s">
        <v>5003</v>
      </c>
      <c r="H66" s="0" t="s">
        <v>5004</v>
      </c>
      <c r="I66" s="0" t="s">
        <v>5005</v>
      </c>
      <c r="J66" s="20" t="s">
        <v>25</v>
      </c>
    </row>
    <row r="67" customFormat="false" ht="15" hidden="false" customHeight="false" outlineLevel="0" collapsed="false">
      <c r="A67" s="0" t="s">
        <v>193</v>
      </c>
      <c r="B67" s="0" t="s">
        <v>134</v>
      </c>
      <c r="C67" s="0" t="s">
        <v>3450</v>
      </c>
      <c r="D67" s="0" t="s">
        <v>3448</v>
      </c>
      <c r="E67" s="0" t="s">
        <v>4963</v>
      </c>
      <c r="F67" s="0" t="s">
        <v>59</v>
      </c>
      <c r="G67" s="0" t="s">
        <v>4974</v>
      </c>
      <c r="H67" s="0" t="s">
        <v>69</v>
      </c>
      <c r="I67" s="0" t="s">
        <v>4975</v>
      </c>
      <c r="J67" s="20" t="s">
        <v>25</v>
      </c>
    </row>
    <row r="68" customFormat="false" ht="15" hidden="false" customHeight="false" outlineLevel="0" collapsed="false">
      <c r="A68" s="0" t="s">
        <v>193</v>
      </c>
      <c r="B68" s="0" t="s">
        <v>134</v>
      </c>
      <c r="C68" s="0" t="s">
        <v>3450</v>
      </c>
      <c r="D68" s="0" t="s">
        <v>3448</v>
      </c>
      <c r="E68" s="0" t="s">
        <v>4969</v>
      </c>
      <c r="F68" s="0" t="s">
        <v>62</v>
      </c>
      <c r="G68" s="0" t="s">
        <v>5003</v>
      </c>
      <c r="H68" s="0" t="s">
        <v>5006</v>
      </c>
      <c r="I68" s="0" t="s">
        <v>5005</v>
      </c>
      <c r="J68" s="20" t="s">
        <v>25</v>
      </c>
    </row>
    <row r="69" customFormat="false" ht="15" hidden="false" customHeight="false" outlineLevel="0" collapsed="false">
      <c r="A69" s="0" t="s">
        <v>193</v>
      </c>
      <c r="B69" s="0" t="s">
        <v>134</v>
      </c>
      <c r="C69" s="0" t="s">
        <v>3450</v>
      </c>
      <c r="D69" s="0" t="s">
        <v>3448</v>
      </c>
      <c r="E69" s="0" t="s">
        <v>4969</v>
      </c>
      <c r="F69" s="0" t="s">
        <v>64</v>
      </c>
      <c r="G69" s="0" t="s">
        <v>4220</v>
      </c>
      <c r="H69" s="0" t="s">
        <v>5007</v>
      </c>
      <c r="I69" s="0" t="s">
        <v>4991</v>
      </c>
      <c r="J69" s="20" t="s">
        <v>25</v>
      </c>
    </row>
    <row r="70" customFormat="false" ht="15" hidden="false" customHeight="false" outlineLevel="0" collapsed="false">
      <c r="A70" s="0" t="s">
        <v>193</v>
      </c>
      <c r="B70" s="0" t="s">
        <v>134</v>
      </c>
      <c r="C70" s="0" t="s">
        <v>3447</v>
      </c>
      <c r="D70" s="0" t="s">
        <v>3457</v>
      </c>
      <c r="E70" s="0" t="s">
        <v>4963</v>
      </c>
      <c r="F70" s="0" t="s">
        <v>59</v>
      </c>
      <c r="G70" s="0" t="s">
        <v>4974</v>
      </c>
      <c r="H70" s="0" t="s">
        <v>69</v>
      </c>
      <c r="I70" s="0" t="s">
        <v>4975</v>
      </c>
      <c r="J70" s="20" t="s">
        <v>25</v>
      </c>
    </row>
    <row r="71" customFormat="false" ht="15" hidden="false" customHeight="false" outlineLevel="0" collapsed="false">
      <c r="A71" s="0" t="s">
        <v>193</v>
      </c>
      <c r="B71" s="0" t="s">
        <v>134</v>
      </c>
      <c r="C71" s="0" t="s">
        <v>3447</v>
      </c>
      <c r="D71" s="0" t="s">
        <v>3448</v>
      </c>
      <c r="E71" s="0" t="s">
        <v>4963</v>
      </c>
      <c r="F71" s="0" t="s">
        <v>59</v>
      </c>
      <c r="G71" s="0" t="s">
        <v>4974</v>
      </c>
      <c r="H71" s="0" t="s">
        <v>69</v>
      </c>
      <c r="I71" s="0" t="s">
        <v>4975</v>
      </c>
      <c r="J71" s="20" t="s">
        <v>25</v>
      </c>
    </row>
    <row r="72" customFormat="false" ht="15" hidden="false" customHeight="false" outlineLevel="0" collapsed="false">
      <c r="A72" s="0" t="s">
        <v>193</v>
      </c>
      <c r="B72" s="0" t="s">
        <v>134</v>
      </c>
      <c r="C72" s="0" t="s">
        <v>3447</v>
      </c>
      <c r="D72" s="0" t="s">
        <v>3448</v>
      </c>
      <c r="E72" s="0" t="s">
        <v>4969</v>
      </c>
      <c r="F72" s="0" t="s">
        <v>64</v>
      </c>
      <c r="G72" s="0" t="s">
        <v>4220</v>
      </c>
      <c r="H72" s="0" t="s">
        <v>5007</v>
      </c>
      <c r="I72" s="0" t="s">
        <v>4991</v>
      </c>
      <c r="J72" s="20" t="s">
        <v>25</v>
      </c>
    </row>
    <row r="73" customFormat="false" ht="15" hidden="false" customHeight="false" outlineLevel="0" collapsed="false">
      <c r="A73" s="0" t="s">
        <v>193</v>
      </c>
      <c r="B73" s="0" t="s">
        <v>134</v>
      </c>
      <c r="C73" s="0" t="s">
        <v>3450</v>
      </c>
      <c r="D73" s="0" t="s">
        <v>3457</v>
      </c>
      <c r="E73" s="0" t="s">
        <v>4963</v>
      </c>
      <c r="F73" s="0" t="s">
        <v>30</v>
      </c>
      <c r="G73" s="0" t="s">
        <v>4980</v>
      </c>
      <c r="H73" s="0" t="s">
        <v>4242</v>
      </c>
      <c r="I73" s="0" t="s">
        <v>4981</v>
      </c>
      <c r="J73" s="18" t="s">
        <v>24</v>
      </c>
    </row>
    <row r="74" customFormat="false" ht="15" hidden="false" customHeight="false" outlineLevel="0" collapsed="false">
      <c r="A74" s="0" t="s">
        <v>193</v>
      </c>
      <c r="B74" s="0" t="s">
        <v>134</v>
      </c>
      <c r="C74" s="0" t="s">
        <v>3450</v>
      </c>
      <c r="D74" s="0" t="s">
        <v>3448</v>
      </c>
      <c r="E74" s="0" t="s">
        <v>4963</v>
      </c>
      <c r="F74" s="0" t="s">
        <v>30</v>
      </c>
      <c r="G74" s="0" t="s">
        <v>4980</v>
      </c>
      <c r="H74" s="0" t="s">
        <v>4238</v>
      </c>
      <c r="I74" s="0" t="s">
        <v>4981</v>
      </c>
      <c r="J74" s="18" t="s">
        <v>24</v>
      </c>
    </row>
    <row r="75" customFormat="false" ht="15" hidden="false" customHeight="false" outlineLevel="0" collapsed="false">
      <c r="A75" s="0" t="s">
        <v>193</v>
      </c>
      <c r="B75" s="0" t="s">
        <v>134</v>
      </c>
      <c r="C75" s="0" t="s">
        <v>3447</v>
      </c>
      <c r="D75" s="0" t="s">
        <v>3457</v>
      </c>
      <c r="E75" s="0" t="s">
        <v>4963</v>
      </c>
      <c r="F75" s="0" t="s">
        <v>30</v>
      </c>
      <c r="G75" s="0" t="s">
        <v>4980</v>
      </c>
      <c r="H75" s="0" t="s">
        <v>4242</v>
      </c>
      <c r="I75" s="0" t="s">
        <v>4981</v>
      </c>
      <c r="J75" s="18" t="s">
        <v>24</v>
      </c>
    </row>
    <row r="76" customFormat="false" ht="15" hidden="false" customHeight="false" outlineLevel="0" collapsed="false">
      <c r="A76" s="0" t="s">
        <v>193</v>
      </c>
      <c r="B76" s="0" t="s">
        <v>134</v>
      </c>
      <c r="C76" s="0" t="s">
        <v>3447</v>
      </c>
      <c r="D76" s="0" t="s">
        <v>3448</v>
      </c>
      <c r="E76" s="0" t="s">
        <v>4963</v>
      </c>
      <c r="F76" s="0" t="s">
        <v>30</v>
      </c>
      <c r="G76" s="0" t="s">
        <v>4980</v>
      </c>
      <c r="H76" s="0" t="s">
        <v>4238</v>
      </c>
      <c r="I76" s="0" t="s">
        <v>4981</v>
      </c>
      <c r="J76" s="18" t="s">
        <v>24</v>
      </c>
    </row>
    <row r="77" customFormat="false" ht="15" hidden="false" customHeight="false" outlineLevel="0" collapsed="false">
      <c r="A77" s="0" t="s">
        <v>215</v>
      </c>
      <c r="B77" s="0" t="s">
        <v>134</v>
      </c>
      <c r="C77" s="0" t="s">
        <v>3450</v>
      </c>
      <c r="D77" s="0" t="s">
        <v>3448</v>
      </c>
      <c r="E77" s="0" t="s">
        <v>4969</v>
      </c>
      <c r="F77" s="0" t="s">
        <v>62</v>
      </c>
      <c r="G77" s="0" t="s">
        <v>5003</v>
      </c>
      <c r="H77" s="0" t="s">
        <v>5008</v>
      </c>
      <c r="I77" s="0" t="s">
        <v>5005</v>
      </c>
      <c r="J77" s="20" t="s">
        <v>25</v>
      </c>
    </row>
    <row r="78" customFormat="false" ht="15" hidden="false" customHeight="false" outlineLevel="0" collapsed="false">
      <c r="A78" s="0" t="s">
        <v>221</v>
      </c>
      <c r="B78" s="0" t="s">
        <v>134</v>
      </c>
      <c r="C78" s="0" t="s">
        <v>3450</v>
      </c>
      <c r="D78" s="0" t="s">
        <v>3457</v>
      </c>
      <c r="E78" s="0" t="s">
        <v>4963</v>
      </c>
      <c r="F78" s="0" t="s">
        <v>60</v>
      </c>
      <c r="G78" s="0" t="s">
        <v>4964</v>
      </c>
      <c r="H78" s="0" t="s">
        <v>5009</v>
      </c>
      <c r="I78" s="0" t="s">
        <v>4966</v>
      </c>
      <c r="J78" s="19" t="s">
        <v>26</v>
      </c>
    </row>
    <row r="79" customFormat="false" ht="15" hidden="false" customHeight="false" outlineLevel="0" collapsed="false">
      <c r="A79" s="0" t="s">
        <v>221</v>
      </c>
      <c r="B79" s="0" t="s">
        <v>134</v>
      </c>
      <c r="C79" s="0" t="s">
        <v>3450</v>
      </c>
      <c r="D79" s="0" t="s">
        <v>3448</v>
      </c>
      <c r="E79" s="0" t="s">
        <v>4963</v>
      </c>
      <c r="F79" s="0" t="s">
        <v>60</v>
      </c>
      <c r="G79" s="0" t="s">
        <v>4964</v>
      </c>
      <c r="H79" s="0" t="s">
        <v>5010</v>
      </c>
      <c r="I79" s="0" t="s">
        <v>4966</v>
      </c>
      <c r="J79" s="19" t="s">
        <v>26</v>
      </c>
    </row>
    <row r="80" customFormat="false" ht="15" hidden="false" customHeight="false" outlineLevel="0" collapsed="false">
      <c r="A80" s="0" t="s">
        <v>221</v>
      </c>
      <c r="B80" s="0" t="s">
        <v>134</v>
      </c>
      <c r="C80" s="0" t="s">
        <v>3450</v>
      </c>
      <c r="D80" s="0" t="s">
        <v>3457</v>
      </c>
      <c r="E80" s="0" t="s">
        <v>4963</v>
      </c>
      <c r="F80" s="0" t="s">
        <v>59</v>
      </c>
      <c r="G80" s="0" t="s">
        <v>4974</v>
      </c>
      <c r="H80" s="0" t="s">
        <v>69</v>
      </c>
      <c r="I80" s="0" t="s">
        <v>4975</v>
      </c>
      <c r="J80" s="20" t="s">
        <v>25</v>
      </c>
    </row>
    <row r="81" customFormat="false" ht="15" hidden="false" customHeight="false" outlineLevel="0" collapsed="false">
      <c r="A81" s="0" t="s">
        <v>221</v>
      </c>
      <c r="B81" s="0" t="s">
        <v>134</v>
      </c>
      <c r="C81" s="0" t="s">
        <v>3450</v>
      </c>
      <c r="D81" s="0" t="s">
        <v>3457</v>
      </c>
      <c r="E81" s="0" t="s">
        <v>4969</v>
      </c>
      <c r="F81" s="0" t="s">
        <v>61</v>
      </c>
      <c r="G81" s="0" t="s">
        <v>4970</v>
      </c>
      <c r="H81" s="0" t="s">
        <v>5011</v>
      </c>
      <c r="I81" s="0" t="s">
        <v>4972</v>
      </c>
      <c r="J81" s="20" t="s">
        <v>25</v>
      </c>
    </row>
    <row r="82" customFormat="false" ht="15" hidden="false" customHeight="false" outlineLevel="0" collapsed="false">
      <c r="A82" s="0" t="s">
        <v>221</v>
      </c>
      <c r="B82" s="0" t="s">
        <v>134</v>
      </c>
      <c r="C82" s="0" t="s">
        <v>3450</v>
      </c>
      <c r="D82" s="0" t="s">
        <v>3457</v>
      </c>
      <c r="E82" s="0" t="s">
        <v>4969</v>
      </c>
      <c r="F82" s="0" t="s">
        <v>62</v>
      </c>
      <c r="G82" s="0" t="s">
        <v>5003</v>
      </c>
      <c r="H82" s="0" t="s">
        <v>5012</v>
      </c>
      <c r="I82" s="0" t="s">
        <v>5005</v>
      </c>
      <c r="J82" s="20" t="s">
        <v>25</v>
      </c>
    </row>
    <row r="83" customFormat="false" ht="15" hidden="false" customHeight="false" outlineLevel="0" collapsed="false">
      <c r="A83" s="0" t="s">
        <v>221</v>
      </c>
      <c r="B83" s="0" t="s">
        <v>134</v>
      </c>
      <c r="C83" s="0" t="s">
        <v>3450</v>
      </c>
      <c r="D83" s="0" t="s">
        <v>3448</v>
      </c>
      <c r="E83" s="0" t="s">
        <v>4963</v>
      </c>
      <c r="F83" s="0" t="s">
        <v>59</v>
      </c>
      <c r="G83" s="0" t="s">
        <v>4974</v>
      </c>
      <c r="H83" s="0" t="s">
        <v>69</v>
      </c>
      <c r="I83" s="0" t="s">
        <v>4975</v>
      </c>
      <c r="J83" s="20" t="s">
        <v>25</v>
      </c>
    </row>
    <row r="84" customFormat="false" ht="15" hidden="false" customHeight="false" outlineLevel="0" collapsed="false">
      <c r="A84" s="0" t="s">
        <v>221</v>
      </c>
      <c r="B84" s="0" t="s">
        <v>134</v>
      </c>
      <c r="C84" s="0" t="s">
        <v>3450</v>
      </c>
      <c r="D84" s="0" t="s">
        <v>3448</v>
      </c>
      <c r="E84" s="0" t="s">
        <v>4969</v>
      </c>
      <c r="F84" s="0" t="s">
        <v>61</v>
      </c>
      <c r="G84" s="0" t="s">
        <v>4970</v>
      </c>
      <c r="H84" s="0" t="s">
        <v>5013</v>
      </c>
      <c r="I84" s="0" t="s">
        <v>4972</v>
      </c>
      <c r="J84" s="20" t="s">
        <v>25</v>
      </c>
    </row>
    <row r="85" customFormat="false" ht="15" hidden="false" customHeight="false" outlineLevel="0" collapsed="false">
      <c r="A85" s="0" t="s">
        <v>221</v>
      </c>
      <c r="B85" s="0" t="s">
        <v>134</v>
      </c>
      <c r="C85" s="0" t="s">
        <v>3447</v>
      </c>
      <c r="D85" s="0" t="s">
        <v>3457</v>
      </c>
      <c r="E85" s="0" t="s">
        <v>4969</v>
      </c>
      <c r="F85" s="0" t="s">
        <v>61</v>
      </c>
      <c r="G85" s="0" t="s">
        <v>4970</v>
      </c>
      <c r="H85" s="0" t="s">
        <v>5014</v>
      </c>
      <c r="I85" s="0" t="s">
        <v>4972</v>
      </c>
      <c r="J85" s="20" t="s">
        <v>25</v>
      </c>
    </row>
    <row r="86" customFormat="false" ht="15" hidden="false" customHeight="false" outlineLevel="0" collapsed="false">
      <c r="A86" s="0" t="s">
        <v>221</v>
      </c>
      <c r="B86" s="0" t="s">
        <v>134</v>
      </c>
      <c r="C86" s="0" t="s">
        <v>3447</v>
      </c>
      <c r="D86" s="0" t="s">
        <v>3448</v>
      </c>
      <c r="E86" s="0" t="s">
        <v>4969</v>
      </c>
      <c r="F86" s="0" t="s">
        <v>61</v>
      </c>
      <c r="G86" s="0" t="s">
        <v>4970</v>
      </c>
      <c r="H86" s="0" t="s">
        <v>5015</v>
      </c>
      <c r="I86" s="0" t="s">
        <v>4972</v>
      </c>
      <c r="J86" s="20" t="s">
        <v>25</v>
      </c>
    </row>
    <row r="87" customFormat="false" ht="15" hidden="false" customHeight="false" outlineLevel="0" collapsed="false">
      <c r="A87" s="0" t="s">
        <v>221</v>
      </c>
      <c r="B87" s="0" t="s">
        <v>134</v>
      </c>
      <c r="C87" s="0" t="s">
        <v>3447</v>
      </c>
      <c r="D87" s="0" t="s">
        <v>3457</v>
      </c>
      <c r="E87" s="0" t="s">
        <v>4963</v>
      </c>
      <c r="F87" s="0" t="s">
        <v>30</v>
      </c>
      <c r="G87" s="0" t="s">
        <v>4980</v>
      </c>
      <c r="H87" s="0" t="s">
        <v>4250</v>
      </c>
      <c r="I87" s="0" t="s">
        <v>4981</v>
      </c>
      <c r="J87" s="18" t="s">
        <v>24</v>
      </c>
    </row>
    <row r="88" customFormat="false" ht="15" hidden="false" customHeight="false" outlineLevel="0" collapsed="false">
      <c r="A88" s="0" t="s">
        <v>221</v>
      </c>
      <c r="B88" s="0" t="s">
        <v>134</v>
      </c>
      <c r="C88" s="0" t="s">
        <v>3447</v>
      </c>
      <c r="D88" s="0" t="s">
        <v>3448</v>
      </c>
      <c r="E88" s="0" t="s">
        <v>4963</v>
      </c>
      <c r="F88" s="0" t="s">
        <v>30</v>
      </c>
      <c r="G88" s="0" t="s">
        <v>4980</v>
      </c>
      <c r="H88" s="0" t="s">
        <v>4251</v>
      </c>
      <c r="I88" s="0" t="s">
        <v>4981</v>
      </c>
      <c r="J88" s="18" t="s">
        <v>24</v>
      </c>
    </row>
    <row r="89" customFormat="false" ht="15" hidden="false" customHeight="false" outlineLevel="0" collapsed="false">
      <c r="A89" s="0" t="s">
        <v>227</v>
      </c>
      <c r="B89" s="0" t="s">
        <v>134</v>
      </c>
      <c r="C89" s="0" t="s">
        <v>3447</v>
      </c>
      <c r="D89" s="0" t="s">
        <v>3457</v>
      </c>
      <c r="E89" s="0" t="s">
        <v>4963</v>
      </c>
      <c r="F89" s="0" t="s">
        <v>60</v>
      </c>
      <c r="G89" s="0" t="s">
        <v>4964</v>
      </c>
      <c r="H89" s="0" t="s">
        <v>5016</v>
      </c>
      <c r="I89" s="0" t="s">
        <v>4966</v>
      </c>
      <c r="J89" s="19" t="s">
        <v>26</v>
      </c>
    </row>
    <row r="90" customFormat="false" ht="15" hidden="false" customHeight="false" outlineLevel="0" collapsed="false">
      <c r="A90" s="0" t="s">
        <v>227</v>
      </c>
      <c r="B90" s="0" t="s">
        <v>134</v>
      </c>
      <c r="C90" s="0" t="s">
        <v>3447</v>
      </c>
      <c r="D90" s="0" t="s">
        <v>3448</v>
      </c>
      <c r="E90" s="0" t="s">
        <v>4963</v>
      </c>
      <c r="F90" s="0" t="s">
        <v>60</v>
      </c>
      <c r="G90" s="0" t="s">
        <v>4964</v>
      </c>
      <c r="H90" s="0" t="s">
        <v>5017</v>
      </c>
      <c r="I90" s="0" t="s">
        <v>4966</v>
      </c>
      <c r="J90" s="19" t="s">
        <v>26</v>
      </c>
    </row>
    <row r="91" customFormat="false" ht="15" hidden="false" customHeight="false" outlineLevel="0" collapsed="false">
      <c r="A91" s="0" t="s">
        <v>227</v>
      </c>
      <c r="B91" s="0" t="s">
        <v>134</v>
      </c>
      <c r="C91" s="0" t="s">
        <v>3450</v>
      </c>
      <c r="D91" s="0" t="s">
        <v>3448</v>
      </c>
      <c r="E91" s="0" t="s">
        <v>4969</v>
      </c>
      <c r="F91" s="0" t="s">
        <v>62</v>
      </c>
      <c r="G91" s="0" t="s">
        <v>5003</v>
      </c>
      <c r="H91" s="0" t="s">
        <v>5018</v>
      </c>
      <c r="I91" s="0" t="s">
        <v>5005</v>
      </c>
      <c r="J91" s="20" t="s">
        <v>25</v>
      </c>
    </row>
    <row r="92" customFormat="false" ht="15" hidden="false" customHeight="false" outlineLevel="0" collapsed="false">
      <c r="A92" s="0" t="s">
        <v>227</v>
      </c>
      <c r="B92" s="0" t="s">
        <v>134</v>
      </c>
      <c r="C92" s="0" t="s">
        <v>3450</v>
      </c>
      <c r="D92" s="0" t="s">
        <v>3448</v>
      </c>
      <c r="E92" s="0" t="s">
        <v>4969</v>
      </c>
      <c r="F92" s="0" t="s">
        <v>63</v>
      </c>
      <c r="G92" s="0" t="s">
        <v>4220</v>
      </c>
      <c r="H92" s="0" t="s">
        <v>5019</v>
      </c>
      <c r="I92" s="0" t="s">
        <v>4979</v>
      </c>
      <c r="J92" s="20" t="s">
        <v>25</v>
      </c>
    </row>
    <row r="93" customFormat="false" ht="15" hidden="false" customHeight="false" outlineLevel="0" collapsed="false">
      <c r="A93" s="0" t="s">
        <v>227</v>
      </c>
      <c r="B93" s="0" t="s">
        <v>134</v>
      </c>
      <c r="C93" s="0" t="s">
        <v>3447</v>
      </c>
      <c r="D93" s="0" t="s">
        <v>3457</v>
      </c>
      <c r="E93" s="0" t="s">
        <v>4963</v>
      </c>
      <c r="F93" s="0" t="s">
        <v>59</v>
      </c>
      <c r="G93" s="0" t="s">
        <v>4974</v>
      </c>
      <c r="H93" s="0" t="s">
        <v>69</v>
      </c>
      <c r="I93" s="0" t="s">
        <v>4975</v>
      </c>
      <c r="J93" s="20" t="s">
        <v>25</v>
      </c>
    </row>
    <row r="94" customFormat="false" ht="15" hidden="false" customHeight="false" outlineLevel="0" collapsed="false">
      <c r="A94" s="0" t="s">
        <v>227</v>
      </c>
      <c r="B94" s="0" t="s">
        <v>134</v>
      </c>
      <c r="C94" s="0" t="s">
        <v>3447</v>
      </c>
      <c r="D94" s="0" t="s">
        <v>3448</v>
      </c>
      <c r="E94" s="0" t="s">
        <v>4969</v>
      </c>
      <c r="F94" s="0" t="s">
        <v>63</v>
      </c>
      <c r="G94" s="0" t="s">
        <v>4220</v>
      </c>
      <c r="H94" s="0" t="s">
        <v>5019</v>
      </c>
      <c r="I94" s="0" t="s">
        <v>4979</v>
      </c>
      <c r="J94" s="20" t="s">
        <v>25</v>
      </c>
    </row>
    <row r="95" customFormat="false" ht="15" hidden="false" customHeight="false" outlineLevel="0" collapsed="false">
      <c r="A95" s="0" t="s">
        <v>235</v>
      </c>
      <c r="B95" s="0" t="s">
        <v>134</v>
      </c>
      <c r="C95" s="0" t="s">
        <v>3450</v>
      </c>
      <c r="D95" s="0" t="s">
        <v>3457</v>
      </c>
      <c r="E95" s="0" t="s">
        <v>4963</v>
      </c>
      <c r="F95" s="0" t="s">
        <v>60</v>
      </c>
      <c r="G95" s="0" t="s">
        <v>4964</v>
      </c>
      <c r="H95" s="0" t="s">
        <v>5020</v>
      </c>
      <c r="I95" s="0" t="s">
        <v>4966</v>
      </c>
      <c r="J95" s="19" t="s">
        <v>26</v>
      </c>
    </row>
    <row r="96" customFormat="false" ht="15" hidden="false" customHeight="false" outlineLevel="0" collapsed="false">
      <c r="A96" s="0" t="s">
        <v>235</v>
      </c>
      <c r="B96" s="0" t="s">
        <v>134</v>
      </c>
      <c r="C96" s="0" t="s">
        <v>3450</v>
      </c>
      <c r="D96" s="0" t="s">
        <v>3457</v>
      </c>
      <c r="E96" s="0" t="s">
        <v>4963</v>
      </c>
      <c r="F96" s="0" t="s">
        <v>59</v>
      </c>
      <c r="G96" s="0" t="s">
        <v>4974</v>
      </c>
      <c r="H96" s="0" t="s">
        <v>69</v>
      </c>
      <c r="I96" s="0" t="s">
        <v>4975</v>
      </c>
      <c r="J96" s="20" t="s">
        <v>25</v>
      </c>
    </row>
    <row r="97" customFormat="false" ht="15" hidden="false" customHeight="false" outlineLevel="0" collapsed="false">
      <c r="A97" s="0" t="s">
        <v>235</v>
      </c>
      <c r="B97" s="0" t="s">
        <v>134</v>
      </c>
      <c r="C97" s="0" t="s">
        <v>3450</v>
      </c>
      <c r="D97" s="0" t="s">
        <v>3457</v>
      </c>
      <c r="E97" s="0" t="s">
        <v>4969</v>
      </c>
      <c r="F97" s="0" t="s">
        <v>62</v>
      </c>
      <c r="G97" s="0" t="s">
        <v>5003</v>
      </c>
      <c r="H97" s="0" t="s">
        <v>5021</v>
      </c>
      <c r="I97" s="0" t="s">
        <v>5005</v>
      </c>
      <c r="J97" s="20" t="s">
        <v>25</v>
      </c>
    </row>
    <row r="98" customFormat="false" ht="15" hidden="false" customHeight="false" outlineLevel="0" collapsed="false">
      <c r="A98" s="0" t="s">
        <v>235</v>
      </c>
      <c r="B98" s="0" t="s">
        <v>134</v>
      </c>
      <c r="C98" s="0" t="s">
        <v>3450</v>
      </c>
      <c r="D98" s="0" t="s">
        <v>3457</v>
      </c>
      <c r="E98" s="0" t="s">
        <v>4969</v>
      </c>
      <c r="F98" s="0" t="s">
        <v>64</v>
      </c>
      <c r="G98" s="0" t="s">
        <v>4220</v>
      </c>
      <c r="H98" s="0" t="s">
        <v>5022</v>
      </c>
      <c r="I98" s="0" t="s">
        <v>4991</v>
      </c>
      <c r="J98" s="20" t="s">
        <v>25</v>
      </c>
    </row>
    <row r="99" customFormat="false" ht="15" hidden="false" customHeight="false" outlineLevel="0" collapsed="false">
      <c r="A99" s="0" t="s">
        <v>235</v>
      </c>
      <c r="B99" s="0" t="s">
        <v>134</v>
      </c>
      <c r="C99" s="0" t="s">
        <v>3450</v>
      </c>
      <c r="D99" s="0" t="s">
        <v>3448</v>
      </c>
      <c r="E99" s="0" t="s">
        <v>4963</v>
      </c>
      <c r="F99" s="0" t="s">
        <v>59</v>
      </c>
      <c r="G99" s="0" t="s">
        <v>4974</v>
      </c>
      <c r="H99" s="0" t="s">
        <v>69</v>
      </c>
      <c r="I99" s="0" t="s">
        <v>4975</v>
      </c>
      <c r="J99" s="20" t="s">
        <v>25</v>
      </c>
    </row>
    <row r="100" customFormat="false" ht="15" hidden="false" customHeight="false" outlineLevel="0" collapsed="false">
      <c r="A100" s="0" t="s">
        <v>235</v>
      </c>
      <c r="B100" s="0" t="s">
        <v>134</v>
      </c>
      <c r="C100" s="0" t="s">
        <v>3450</v>
      </c>
      <c r="D100" s="0" t="s">
        <v>3448</v>
      </c>
      <c r="E100" s="0" t="s">
        <v>4969</v>
      </c>
      <c r="F100" s="0" t="s">
        <v>64</v>
      </c>
      <c r="G100" s="0" t="s">
        <v>4220</v>
      </c>
      <c r="H100" s="0" t="s">
        <v>5023</v>
      </c>
      <c r="I100" s="0" t="s">
        <v>4991</v>
      </c>
      <c r="J100" s="20" t="s">
        <v>25</v>
      </c>
    </row>
    <row r="101" customFormat="false" ht="15" hidden="false" customHeight="false" outlineLevel="0" collapsed="false">
      <c r="A101" s="0" t="s">
        <v>235</v>
      </c>
      <c r="B101" s="0" t="s">
        <v>134</v>
      </c>
      <c r="C101" s="0" t="s">
        <v>3447</v>
      </c>
      <c r="D101" s="0" t="s">
        <v>3457</v>
      </c>
      <c r="E101" s="0" t="s">
        <v>4969</v>
      </c>
      <c r="F101" s="0" t="s">
        <v>64</v>
      </c>
      <c r="G101" s="0" t="s">
        <v>4220</v>
      </c>
      <c r="H101" s="0" t="s">
        <v>5022</v>
      </c>
      <c r="I101" s="0" t="s">
        <v>4991</v>
      </c>
      <c r="J101" s="20" t="s">
        <v>25</v>
      </c>
    </row>
    <row r="102" customFormat="false" ht="15" hidden="false" customHeight="false" outlineLevel="0" collapsed="false">
      <c r="A102" s="0" t="s">
        <v>235</v>
      </c>
      <c r="B102" s="0" t="s">
        <v>134</v>
      </c>
      <c r="C102" s="0" t="s">
        <v>3447</v>
      </c>
      <c r="D102" s="0" t="s">
        <v>3448</v>
      </c>
      <c r="E102" s="0" t="s">
        <v>4969</v>
      </c>
      <c r="F102" s="0" t="s">
        <v>64</v>
      </c>
      <c r="G102" s="0" t="s">
        <v>4220</v>
      </c>
      <c r="H102" s="0" t="s">
        <v>5023</v>
      </c>
      <c r="I102" s="0" t="s">
        <v>4991</v>
      </c>
      <c r="J102" s="20" t="s">
        <v>25</v>
      </c>
    </row>
    <row r="103" customFormat="false" ht="15" hidden="false" customHeight="false" outlineLevel="0" collapsed="false">
      <c r="A103" s="0" t="s">
        <v>235</v>
      </c>
      <c r="B103" s="0" t="s">
        <v>134</v>
      </c>
      <c r="C103" s="0" t="s">
        <v>3450</v>
      </c>
      <c r="D103" s="0" t="s">
        <v>3448</v>
      </c>
      <c r="E103" s="0" t="s">
        <v>4963</v>
      </c>
      <c r="F103" s="0" t="s">
        <v>30</v>
      </c>
      <c r="G103" s="0" t="s">
        <v>4980</v>
      </c>
      <c r="H103" s="0" t="s">
        <v>4256</v>
      </c>
      <c r="I103" s="0" t="s">
        <v>4981</v>
      </c>
      <c r="J103" s="18" t="s">
        <v>24</v>
      </c>
    </row>
    <row r="104" customFormat="false" ht="15" hidden="false" customHeight="false" outlineLevel="0" collapsed="false">
      <c r="A104" s="0" t="s">
        <v>235</v>
      </c>
      <c r="B104" s="0" t="s">
        <v>134</v>
      </c>
      <c r="C104" s="0" t="s">
        <v>3447</v>
      </c>
      <c r="D104" s="0" t="s">
        <v>3457</v>
      </c>
      <c r="E104" s="0" t="s">
        <v>4963</v>
      </c>
      <c r="F104" s="0" t="s">
        <v>30</v>
      </c>
      <c r="G104" s="0" t="s">
        <v>4980</v>
      </c>
      <c r="H104" s="0" t="s">
        <v>4257</v>
      </c>
      <c r="I104" s="0" t="s">
        <v>4981</v>
      </c>
      <c r="J104" s="18" t="s">
        <v>24</v>
      </c>
    </row>
    <row r="105" customFormat="false" ht="15" hidden="false" customHeight="false" outlineLevel="0" collapsed="false">
      <c r="A105" s="0" t="s">
        <v>235</v>
      </c>
      <c r="B105" s="0" t="s">
        <v>134</v>
      </c>
      <c r="C105" s="0" t="s">
        <v>3447</v>
      </c>
      <c r="D105" s="0" t="s">
        <v>3448</v>
      </c>
      <c r="E105" s="0" t="s">
        <v>4963</v>
      </c>
      <c r="F105" s="0" t="s">
        <v>30</v>
      </c>
      <c r="G105" s="0" t="s">
        <v>4980</v>
      </c>
      <c r="H105" s="0" t="s">
        <v>4236</v>
      </c>
      <c r="I105" s="0" t="s">
        <v>4981</v>
      </c>
      <c r="J105" s="18" t="s">
        <v>24</v>
      </c>
    </row>
    <row r="106" customFormat="false" ht="15" hidden="false" customHeight="false" outlineLevel="0" collapsed="false">
      <c r="A106" s="0" t="s">
        <v>248</v>
      </c>
      <c r="B106" s="0" t="s">
        <v>134</v>
      </c>
      <c r="C106" s="0" t="s">
        <v>3450</v>
      </c>
      <c r="D106" s="0" t="s">
        <v>3448</v>
      </c>
      <c r="E106" s="0" t="s">
        <v>4969</v>
      </c>
      <c r="F106" s="0" t="s">
        <v>61</v>
      </c>
      <c r="G106" s="0" t="s">
        <v>4970</v>
      </c>
      <c r="H106" s="0" t="s">
        <v>5024</v>
      </c>
      <c r="I106" s="0" t="s">
        <v>4972</v>
      </c>
      <c r="J106" s="20" t="s">
        <v>25</v>
      </c>
    </row>
    <row r="107" customFormat="false" ht="15" hidden="false" customHeight="false" outlineLevel="0" collapsed="false">
      <c r="A107" s="0" t="s">
        <v>248</v>
      </c>
      <c r="B107" s="0" t="s">
        <v>134</v>
      </c>
      <c r="C107" s="0" t="s">
        <v>3450</v>
      </c>
      <c r="D107" s="0" t="s">
        <v>3448</v>
      </c>
      <c r="E107" s="0" t="s">
        <v>4969</v>
      </c>
      <c r="F107" s="0" t="s">
        <v>63</v>
      </c>
      <c r="G107" s="0" t="s">
        <v>4220</v>
      </c>
      <c r="H107" s="0" t="s">
        <v>5025</v>
      </c>
      <c r="I107" s="0" t="s">
        <v>4979</v>
      </c>
      <c r="J107" s="20" t="s">
        <v>25</v>
      </c>
    </row>
    <row r="108" customFormat="false" ht="15" hidden="false" customHeight="false" outlineLevel="0" collapsed="false">
      <c r="A108" s="0" t="s">
        <v>248</v>
      </c>
      <c r="B108" s="0" t="s">
        <v>134</v>
      </c>
      <c r="C108" s="0" t="s">
        <v>3447</v>
      </c>
      <c r="D108" s="0" t="s">
        <v>3448</v>
      </c>
      <c r="E108" s="0" t="s">
        <v>4969</v>
      </c>
      <c r="F108" s="0" t="s">
        <v>63</v>
      </c>
      <c r="G108" s="0" t="s">
        <v>4220</v>
      </c>
      <c r="H108" s="0" t="s">
        <v>5025</v>
      </c>
      <c r="I108" s="0" t="s">
        <v>4979</v>
      </c>
      <c r="J108" s="20" t="s">
        <v>25</v>
      </c>
    </row>
    <row r="109" customFormat="false" ht="15" hidden="false" customHeight="false" outlineLevel="0" collapsed="false">
      <c r="A109" s="0" t="s">
        <v>248</v>
      </c>
      <c r="B109" s="0" t="s">
        <v>134</v>
      </c>
      <c r="C109" s="0" t="s">
        <v>3450</v>
      </c>
      <c r="D109" s="0" t="s">
        <v>3448</v>
      </c>
      <c r="E109" s="0" t="s">
        <v>4963</v>
      </c>
      <c r="F109" s="0" t="s">
        <v>30</v>
      </c>
      <c r="G109" s="0" t="s">
        <v>4980</v>
      </c>
      <c r="H109" s="0" t="s">
        <v>4259</v>
      </c>
      <c r="I109" s="0" t="s">
        <v>4981</v>
      </c>
      <c r="J109" s="18" t="s">
        <v>24</v>
      </c>
    </row>
    <row r="110" customFormat="false" ht="15" hidden="false" customHeight="false" outlineLevel="0" collapsed="false">
      <c r="A110" s="0" t="s">
        <v>248</v>
      </c>
      <c r="B110" s="0" t="s">
        <v>134</v>
      </c>
      <c r="C110" s="0" t="s">
        <v>3447</v>
      </c>
      <c r="D110" s="0" t="s">
        <v>3457</v>
      </c>
      <c r="E110" s="0" t="s">
        <v>4963</v>
      </c>
      <c r="F110" s="0" t="s">
        <v>30</v>
      </c>
      <c r="G110" s="0" t="s">
        <v>4980</v>
      </c>
      <c r="H110" s="0" t="s">
        <v>4260</v>
      </c>
      <c r="I110" s="0" t="s">
        <v>4981</v>
      </c>
      <c r="J110" s="18" t="s">
        <v>24</v>
      </c>
    </row>
    <row r="111" customFormat="false" ht="15" hidden="false" customHeight="false" outlineLevel="0" collapsed="false">
      <c r="A111" s="0" t="s">
        <v>248</v>
      </c>
      <c r="B111" s="0" t="s">
        <v>134</v>
      </c>
      <c r="C111" s="0" t="s">
        <v>3447</v>
      </c>
      <c r="D111" s="0" t="s">
        <v>3448</v>
      </c>
      <c r="E111" s="0" t="s">
        <v>4963</v>
      </c>
      <c r="F111" s="0" t="s">
        <v>30</v>
      </c>
      <c r="G111" s="0" t="s">
        <v>4980</v>
      </c>
      <c r="H111" s="0" t="s">
        <v>4261</v>
      </c>
      <c r="I111" s="0" t="s">
        <v>4981</v>
      </c>
      <c r="J111" s="18" t="s">
        <v>24</v>
      </c>
    </row>
    <row r="112" customFormat="false" ht="15" hidden="false" customHeight="false" outlineLevel="0" collapsed="false">
      <c r="A112" s="0" t="s">
        <v>253</v>
      </c>
      <c r="B112" s="0" t="s">
        <v>134</v>
      </c>
      <c r="C112" s="0" t="s">
        <v>3450</v>
      </c>
      <c r="D112" s="0" t="s">
        <v>3448</v>
      </c>
      <c r="E112" s="0" t="s">
        <v>4963</v>
      </c>
      <c r="F112" s="0" t="s">
        <v>60</v>
      </c>
      <c r="G112" s="0" t="s">
        <v>4964</v>
      </c>
      <c r="H112" s="0" t="s">
        <v>5026</v>
      </c>
      <c r="I112" s="0" t="s">
        <v>4966</v>
      </c>
      <c r="J112" s="19" t="s">
        <v>26</v>
      </c>
    </row>
    <row r="113" customFormat="false" ht="15" hidden="false" customHeight="false" outlineLevel="0" collapsed="false">
      <c r="A113" s="0" t="s">
        <v>253</v>
      </c>
      <c r="B113" s="0" t="s">
        <v>134</v>
      </c>
      <c r="C113" s="0" t="s">
        <v>3447</v>
      </c>
      <c r="D113" s="0" t="s">
        <v>3448</v>
      </c>
      <c r="E113" s="0" t="s">
        <v>4963</v>
      </c>
      <c r="F113" s="0" t="s">
        <v>60</v>
      </c>
      <c r="G113" s="0" t="s">
        <v>4964</v>
      </c>
      <c r="H113" s="0" t="s">
        <v>5027</v>
      </c>
      <c r="I113" s="0" t="s">
        <v>4966</v>
      </c>
      <c r="J113" s="19" t="s">
        <v>26</v>
      </c>
    </row>
    <row r="114" customFormat="false" ht="15" hidden="false" customHeight="false" outlineLevel="0" collapsed="false">
      <c r="A114" s="0" t="s">
        <v>253</v>
      </c>
      <c r="B114" s="0" t="s">
        <v>134</v>
      </c>
      <c r="C114" s="0" t="s">
        <v>3450</v>
      </c>
      <c r="D114" s="0" t="s">
        <v>3457</v>
      </c>
      <c r="E114" s="0" t="s">
        <v>4963</v>
      </c>
      <c r="F114" s="0" t="s">
        <v>59</v>
      </c>
      <c r="G114" s="0" t="s">
        <v>4974</v>
      </c>
      <c r="H114" s="0" t="s">
        <v>69</v>
      </c>
      <c r="I114" s="0" t="s">
        <v>4975</v>
      </c>
      <c r="J114" s="20" t="s">
        <v>25</v>
      </c>
    </row>
    <row r="115" customFormat="false" ht="15" hidden="false" customHeight="false" outlineLevel="0" collapsed="false">
      <c r="A115" s="0" t="s">
        <v>253</v>
      </c>
      <c r="B115" s="0" t="s">
        <v>134</v>
      </c>
      <c r="C115" s="0" t="s">
        <v>3447</v>
      </c>
      <c r="D115" s="0" t="s">
        <v>3457</v>
      </c>
      <c r="E115" s="0" t="s">
        <v>4963</v>
      </c>
      <c r="F115" s="0" t="s">
        <v>59</v>
      </c>
      <c r="G115" s="0" t="s">
        <v>4974</v>
      </c>
      <c r="H115" s="0" t="s">
        <v>69</v>
      </c>
      <c r="I115" s="0" t="s">
        <v>4975</v>
      </c>
      <c r="J115" s="20" t="s">
        <v>25</v>
      </c>
    </row>
    <row r="116" customFormat="false" ht="15" hidden="false" customHeight="false" outlineLevel="0" collapsed="false">
      <c r="A116" s="0" t="s">
        <v>253</v>
      </c>
      <c r="B116" s="0" t="s">
        <v>134</v>
      </c>
      <c r="C116" s="0" t="s">
        <v>3450</v>
      </c>
      <c r="D116" s="0" t="s">
        <v>3457</v>
      </c>
      <c r="E116" s="0" t="s">
        <v>4963</v>
      </c>
      <c r="F116" s="0" t="s">
        <v>30</v>
      </c>
      <c r="G116" s="0" t="s">
        <v>4980</v>
      </c>
      <c r="H116" s="0" t="s">
        <v>4262</v>
      </c>
      <c r="I116" s="0" t="s">
        <v>4981</v>
      </c>
      <c r="J116" s="18" t="s">
        <v>24</v>
      </c>
    </row>
    <row r="117" customFormat="false" ht="15" hidden="false" customHeight="false" outlineLevel="0" collapsed="false">
      <c r="A117" s="0" t="s">
        <v>253</v>
      </c>
      <c r="B117" s="0" t="s">
        <v>134</v>
      </c>
      <c r="C117" s="0" t="s">
        <v>3447</v>
      </c>
      <c r="D117" s="0" t="s">
        <v>3457</v>
      </c>
      <c r="E117" s="0" t="s">
        <v>4963</v>
      </c>
      <c r="F117" s="0" t="s">
        <v>30</v>
      </c>
      <c r="G117" s="0" t="s">
        <v>4980</v>
      </c>
      <c r="H117" s="0" t="s">
        <v>4242</v>
      </c>
      <c r="I117" s="0" t="s">
        <v>4981</v>
      </c>
      <c r="J117" s="18" t="s">
        <v>24</v>
      </c>
    </row>
    <row r="118" customFormat="false" ht="15" hidden="false" customHeight="false" outlineLevel="0" collapsed="false">
      <c r="A118" s="0" t="s">
        <v>259</v>
      </c>
      <c r="B118" s="0" t="s">
        <v>134</v>
      </c>
      <c r="C118" s="0" t="s">
        <v>3447</v>
      </c>
      <c r="D118" s="0" t="s">
        <v>3448</v>
      </c>
      <c r="E118" s="0" t="s">
        <v>4963</v>
      </c>
      <c r="F118" s="0" t="s">
        <v>60</v>
      </c>
      <c r="G118" s="0" t="s">
        <v>4964</v>
      </c>
      <c r="H118" s="0" t="s">
        <v>5028</v>
      </c>
      <c r="I118" s="0" t="s">
        <v>4966</v>
      </c>
      <c r="J118" s="19" t="s">
        <v>26</v>
      </c>
    </row>
    <row r="119" customFormat="false" ht="15" hidden="false" customHeight="false" outlineLevel="0" collapsed="false">
      <c r="A119" s="0" t="s">
        <v>259</v>
      </c>
      <c r="B119" s="0" t="s">
        <v>134</v>
      </c>
      <c r="C119" s="0" t="s">
        <v>3450</v>
      </c>
      <c r="D119" s="0" t="s">
        <v>3457</v>
      </c>
      <c r="E119" s="0" t="s">
        <v>4963</v>
      </c>
      <c r="F119" s="0" t="s">
        <v>59</v>
      </c>
      <c r="G119" s="0" t="s">
        <v>4974</v>
      </c>
      <c r="H119" s="0" t="s">
        <v>69</v>
      </c>
      <c r="I119" s="0" t="s">
        <v>4975</v>
      </c>
      <c r="J119" s="20" t="s">
        <v>25</v>
      </c>
    </row>
    <row r="120" customFormat="false" ht="15" hidden="false" customHeight="false" outlineLevel="0" collapsed="false">
      <c r="A120" s="0" t="s">
        <v>259</v>
      </c>
      <c r="B120" s="0" t="s">
        <v>134</v>
      </c>
      <c r="C120" s="0" t="s">
        <v>3450</v>
      </c>
      <c r="D120" s="0" t="s">
        <v>3457</v>
      </c>
      <c r="E120" s="0" t="s">
        <v>4969</v>
      </c>
      <c r="F120" s="0" t="s">
        <v>66</v>
      </c>
      <c r="G120" s="0" t="s">
        <v>4970</v>
      </c>
      <c r="H120" s="0" t="s">
        <v>5029</v>
      </c>
      <c r="I120" s="0" t="s">
        <v>5030</v>
      </c>
      <c r="J120" s="20" t="s">
        <v>25</v>
      </c>
    </row>
    <row r="121" customFormat="false" ht="15" hidden="false" customHeight="false" outlineLevel="0" collapsed="false">
      <c r="A121" s="0" t="s">
        <v>259</v>
      </c>
      <c r="B121" s="0" t="s">
        <v>134</v>
      </c>
      <c r="C121" s="0" t="s">
        <v>3450</v>
      </c>
      <c r="D121" s="0" t="s">
        <v>3448</v>
      </c>
      <c r="E121" s="0" t="s">
        <v>4963</v>
      </c>
      <c r="F121" s="0" t="s">
        <v>59</v>
      </c>
      <c r="G121" s="0" t="s">
        <v>4974</v>
      </c>
      <c r="H121" s="0" t="s">
        <v>69</v>
      </c>
      <c r="I121" s="0" t="s">
        <v>4975</v>
      </c>
      <c r="J121" s="20" t="s">
        <v>25</v>
      </c>
    </row>
    <row r="122" customFormat="false" ht="15" hidden="false" customHeight="false" outlineLevel="0" collapsed="false">
      <c r="A122" s="0" t="s">
        <v>259</v>
      </c>
      <c r="B122" s="0" t="s">
        <v>134</v>
      </c>
      <c r="C122" s="0" t="s">
        <v>3447</v>
      </c>
      <c r="D122" s="0" t="s">
        <v>3457</v>
      </c>
      <c r="E122" s="0" t="s">
        <v>4969</v>
      </c>
      <c r="F122" s="0" t="s">
        <v>66</v>
      </c>
      <c r="G122" s="0" t="s">
        <v>4970</v>
      </c>
      <c r="H122" s="0" t="s">
        <v>5031</v>
      </c>
      <c r="I122" s="0" t="s">
        <v>5030</v>
      </c>
      <c r="J122" s="20" t="s">
        <v>25</v>
      </c>
    </row>
    <row r="123" customFormat="false" ht="15" hidden="false" customHeight="false" outlineLevel="0" collapsed="false">
      <c r="A123" s="0" t="s">
        <v>259</v>
      </c>
      <c r="B123" s="0" t="s">
        <v>134</v>
      </c>
      <c r="C123" s="0" t="s">
        <v>3450</v>
      </c>
      <c r="D123" s="0" t="s">
        <v>3457</v>
      </c>
      <c r="E123" s="0" t="s">
        <v>4963</v>
      </c>
      <c r="F123" s="0" t="s">
        <v>30</v>
      </c>
      <c r="G123" s="0" t="s">
        <v>4980</v>
      </c>
      <c r="H123" s="0" t="s">
        <v>4265</v>
      </c>
      <c r="I123" s="0" t="s">
        <v>4981</v>
      </c>
      <c r="J123" s="18" t="s">
        <v>24</v>
      </c>
    </row>
    <row r="124" customFormat="false" ht="15" hidden="false" customHeight="false" outlineLevel="0" collapsed="false">
      <c r="A124" s="0" t="s">
        <v>259</v>
      </c>
      <c r="B124" s="0" t="s">
        <v>134</v>
      </c>
      <c r="C124" s="0" t="s">
        <v>3450</v>
      </c>
      <c r="D124" s="0" t="s">
        <v>3448</v>
      </c>
      <c r="E124" s="0" t="s">
        <v>4963</v>
      </c>
      <c r="F124" s="0" t="s">
        <v>30</v>
      </c>
      <c r="G124" s="0" t="s">
        <v>4980</v>
      </c>
      <c r="H124" s="0" t="s">
        <v>4265</v>
      </c>
      <c r="I124" s="0" t="s">
        <v>4981</v>
      </c>
      <c r="J124" s="18" t="s">
        <v>24</v>
      </c>
    </row>
    <row r="125" customFormat="false" ht="15" hidden="false" customHeight="false" outlineLevel="0" collapsed="false">
      <c r="A125" s="0" t="s">
        <v>259</v>
      </c>
      <c r="B125" s="0" t="s">
        <v>134</v>
      </c>
      <c r="C125" s="0" t="s">
        <v>3447</v>
      </c>
      <c r="D125" s="0" t="s">
        <v>3457</v>
      </c>
      <c r="E125" s="0" t="s">
        <v>4963</v>
      </c>
      <c r="F125" s="0" t="s">
        <v>30</v>
      </c>
      <c r="G125" s="0" t="s">
        <v>4980</v>
      </c>
      <c r="H125" s="0" t="s">
        <v>4266</v>
      </c>
      <c r="I125" s="0" t="s">
        <v>4981</v>
      </c>
      <c r="J125" s="18" t="s">
        <v>24</v>
      </c>
    </row>
    <row r="126" customFormat="false" ht="15" hidden="false" customHeight="false" outlineLevel="0" collapsed="false">
      <c r="A126" s="0" t="s">
        <v>267</v>
      </c>
      <c r="B126" s="0" t="s">
        <v>134</v>
      </c>
      <c r="C126" s="0" t="s">
        <v>3450</v>
      </c>
      <c r="D126" s="0" t="s">
        <v>3457</v>
      </c>
      <c r="E126" s="0" t="s">
        <v>4963</v>
      </c>
      <c r="F126" s="0" t="s">
        <v>60</v>
      </c>
      <c r="G126" s="0" t="s">
        <v>4964</v>
      </c>
      <c r="H126" s="0" t="s">
        <v>5032</v>
      </c>
      <c r="I126" s="0" t="s">
        <v>4966</v>
      </c>
      <c r="J126" s="19" t="s">
        <v>26</v>
      </c>
    </row>
    <row r="127" customFormat="false" ht="15" hidden="false" customHeight="false" outlineLevel="0" collapsed="false">
      <c r="A127" s="0" t="s">
        <v>267</v>
      </c>
      <c r="B127" s="0" t="s">
        <v>134</v>
      </c>
      <c r="C127" s="0" t="s">
        <v>3450</v>
      </c>
      <c r="D127" s="0" t="s">
        <v>3448</v>
      </c>
      <c r="E127" s="0" t="s">
        <v>4963</v>
      </c>
      <c r="F127" s="0" t="s">
        <v>60</v>
      </c>
      <c r="G127" s="0" t="s">
        <v>4964</v>
      </c>
      <c r="H127" s="0" t="s">
        <v>5032</v>
      </c>
      <c r="I127" s="0" t="s">
        <v>4966</v>
      </c>
      <c r="J127" s="19" t="s">
        <v>26</v>
      </c>
    </row>
    <row r="128" customFormat="false" ht="15" hidden="false" customHeight="false" outlineLevel="0" collapsed="false">
      <c r="A128" s="0" t="s">
        <v>267</v>
      </c>
      <c r="B128" s="0" t="s">
        <v>134</v>
      </c>
      <c r="C128" s="0" t="s">
        <v>3450</v>
      </c>
      <c r="D128" s="0" t="s">
        <v>3457</v>
      </c>
      <c r="E128" s="0" t="s">
        <v>4963</v>
      </c>
      <c r="F128" s="0" t="s">
        <v>59</v>
      </c>
      <c r="G128" s="0" t="s">
        <v>4974</v>
      </c>
      <c r="H128" s="0" t="s">
        <v>69</v>
      </c>
      <c r="I128" s="0" t="s">
        <v>4975</v>
      </c>
      <c r="J128" s="20" t="s">
        <v>25</v>
      </c>
    </row>
    <row r="129" customFormat="false" ht="15" hidden="false" customHeight="false" outlineLevel="0" collapsed="false">
      <c r="A129" s="0" t="s">
        <v>267</v>
      </c>
      <c r="B129" s="0" t="s">
        <v>134</v>
      </c>
      <c r="C129" s="0" t="s">
        <v>3450</v>
      </c>
      <c r="D129" s="0" t="s">
        <v>3448</v>
      </c>
      <c r="E129" s="0" t="s">
        <v>4963</v>
      </c>
      <c r="F129" s="0" t="s">
        <v>59</v>
      </c>
      <c r="G129" s="0" t="s">
        <v>4974</v>
      </c>
      <c r="H129" s="0" t="s">
        <v>69</v>
      </c>
      <c r="I129" s="0" t="s">
        <v>4975</v>
      </c>
      <c r="J129" s="20" t="s">
        <v>25</v>
      </c>
    </row>
    <row r="130" customFormat="false" ht="15" hidden="false" customHeight="false" outlineLevel="0" collapsed="false">
      <c r="A130" s="0" t="s">
        <v>267</v>
      </c>
      <c r="B130" s="0" t="s">
        <v>134</v>
      </c>
      <c r="C130" s="0" t="s">
        <v>3447</v>
      </c>
      <c r="D130" s="0" t="s">
        <v>3457</v>
      </c>
      <c r="E130" s="0" t="s">
        <v>4963</v>
      </c>
      <c r="F130" s="0" t="s">
        <v>30</v>
      </c>
      <c r="G130" s="0" t="s">
        <v>4980</v>
      </c>
      <c r="H130" s="0" t="s">
        <v>4269</v>
      </c>
      <c r="I130" s="0" t="s">
        <v>4981</v>
      </c>
      <c r="J130" s="18" t="s">
        <v>24</v>
      </c>
    </row>
    <row r="131" customFormat="false" ht="15" hidden="false" customHeight="false" outlineLevel="0" collapsed="false">
      <c r="A131" s="0" t="s">
        <v>267</v>
      </c>
      <c r="B131" s="0" t="s">
        <v>134</v>
      </c>
      <c r="C131" s="0" t="s">
        <v>3447</v>
      </c>
      <c r="D131" s="0" t="s">
        <v>3448</v>
      </c>
      <c r="E131" s="0" t="s">
        <v>4963</v>
      </c>
      <c r="F131" s="0" t="s">
        <v>30</v>
      </c>
      <c r="G131" s="0" t="s">
        <v>4980</v>
      </c>
      <c r="H131" s="0" t="s">
        <v>4270</v>
      </c>
      <c r="I131" s="0" t="s">
        <v>4981</v>
      </c>
      <c r="J131" s="18" t="s">
        <v>24</v>
      </c>
    </row>
    <row r="132" customFormat="false" ht="15" hidden="false" customHeight="false" outlineLevel="0" collapsed="false">
      <c r="A132" s="0" t="s">
        <v>273</v>
      </c>
      <c r="B132" s="0" t="s">
        <v>134</v>
      </c>
      <c r="C132" s="0" t="s">
        <v>3450</v>
      </c>
      <c r="D132" s="0" t="s">
        <v>3457</v>
      </c>
      <c r="E132" s="0" t="s">
        <v>4969</v>
      </c>
      <c r="F132" s="0" t="s">
        <v>61</v>
      </c>
      <c r="G132" s="0" t="s">
        <v>4970</v>
      </c>
      <c r="H132" s="0" t="s">
        <v>5033</v>
      </c>
      <c r="I132" s="0" t="s">
        <v>4972</v>
      </c>
      <c r="J132" s="20" t="s">
        <v>25</v>
      </c>
    </row>
    <row r="133" customFormat="false" ht="15" hidden="false" customHeight="false" outlineLevel="0" collapsed="false">
      <c r="A133" s="0" t="s">
        <v>273</v>
      </c>
      <c r="B133" s="0" t="s">
        <v>134</v>
      </c>
      <c r="C133" s="0" t="s">
        <v>3450</v>
      </c>
      <c r="D133" s="0" t="s">
        <v>3448</v>
      </c>
      <c r="E133" s="0" t="s">
        <v>4969</v>
      </c>
      <c r="F133" s="0" t="s">
        <v>61</v>
      </c>
      <c r="G133" s="0" t="s">
        <v>4970</v>
      </c>
      <c r="H133" s="0" t="s">
        <v>5034</v>
      </c>
      <c r="I133" s="0" t="s">
        <v>4972</v>
      </c>
      <c r="J133" s="20" t="s">
        <v>25</v>
      </c>
    </row>
    <row r="134" customFormat="false" ht="15" hidden="false" customHeight="false" outlineLevel="0" collapsed="false">
      <c r="A134" s="0" t="s">
        <v>273</v>
      </c>
      <c r="B134" s="0" t="s">
        <v>134</v>
      </c>
      <c r="C134" s="0" t="s">
        <v>3447</v>
      </c>
      <c r="D134" s="0" t="s">
        <v>3457</v>
      </c>
      <c r="E134" s="0" t="s">
        <v>4969</v>
      </c>
      <c r="F134" s="0" t="s">
        <v>61</v>
      </c>
      <c r="G134" s="0" t="s">
        <v>4970</v>
      </c>
      <c r="H134" s="0" t="s">
        <v>5035</v>
      </c>
      <c r="I134" s="0" t="s">
        <v>4972</v>
      </c>
      <c r="J134" s="20" t="s">
        <v>25</v>
      </c>
    </row>
    <row r="135" customFormat="false" ht="15" hidden="false" customHeight="false" outlineLevel="0" collapsed="false">
      <c r="A135" s="0" t="s">
        <v>273</v>
      </c>
      <c r="B135" s="0" t="s">
        <v>134</v>
      </c>
      <c r="C135" s="0" t="s">
        <v>3447</v>
      </c>
      <c r="D135" s="0" t="s">
        <v>3448</v>
      </c>
      <c r="E135" s="0" t="s">
        <v>4969</v>
      </c>
      <c r="F135" s="0" t="s">
        <v>61</v>
      </c>
      <c r="G135" s="0" t="s">
        <v>4970</v>
      </c>
      <c r="H135" s="0" t="s">
        <v>5036</v>
      </c>
      <c r="I135" s="0" t="s">
        <v>4972</v>
      </c>
      <c r="J135" s="20" t="s">
        <v>25</v>
      </c>
    </row>
    <row r="136" customFormat="false" ht="15" hidden="false" customHeight="false" outlineLevel="0" collapsed="false">
      <c r="A136" s="0" t="s">
        <v>279</v>
      </c>
      <c r="B136" s="0" t="s">
        <v>134</v>
      </c>
      <c r="C136" s="0" t="s">
        <v>3450</v>
      </c>
      <c r="D136" s="0" t="s">
        <v>3448</v>
      </c>
      <c r="E136" s="0" t="s">
        <v>4963</v>
      </c>
      <c r="F136" s="0" t="s">
        <v>59</v>
      </c>
      <c r="G136" s="0" t="s">
        <v>4974</v>
      </c>
      <c r="H136" s="0" t="s">
        <v>69</v>
      </c>
      <c r="I136" s="0" t="s">
        <v>4975</v>
      </c>
      <c r="J136" s="20" t="s">
        <v>25</v>
      </c>
    </row>
    <row r="137" customFormat="false" ht="15" hidden="false" customHeight="false" outlineLevel="0" collapsed="false">
      <c r="A137" s="0" t="s">
        <v>279</v>
      </c>
      <c r="B137" s="0" t="s">
        <v>134</v>
      </c>
      <c r="C137" s="0" t="s">
        <v>3450</v>
      </c>
      <c r="D137" s="0" t="s">
        <v>3448</v>
      </c>
      <c r="E137" s="0" t="s">
        <v>4963</v>
      </c>
      <c r="F137" s="0" t="s">
        <v>30</v>
      </c>
      <c r="G137" s="0" t="s">
        <v>4980</v>
      </c>
      <c r="H137" s="0" t="s">
        <v>4271</v>
      </c>
      <c r="I137" s="0" t="s">
        <v>4981</v>
      </c>
      <c r="J137" s="18" t="s">
        <v>24</v>
      </c>
    </row>
    <row r="138" customFormat="false" ht="15" hidden="false" customHeight="false" outlineLevel="0" collapsed="false">
      <c r="A138" s="0" t="s">
        <v>279</v>
      </c>
      <c r="B138" s="0" t="s">
        <v>134</v>
      </c>
      <c r="C138" s="0" t="s">
        <v>3447</v>
      </c>
      <c r="D138" s="0" t="s">
        <v>3448</v>
      </c>
      <c r="E138" s="0" t="s">
        <v>4963</v>
      </c>
      <c r="F138" s="0" t="s">
        <v>30</v>
      </c>
      <c r="G138" s="0" t="s">
        <v>4980</v>
      </c>
      <c r="H138" s="0" t="s">
        <v>4272</v>
      </c>
      <c r="I138" s="0" t="s">
        <v>4981</v>
      </c>
      <c r="J138" s="18" t="s">
        <v>24</v>
      </c>
    </row>
    <row r="139" customFormat="false" ht="15" hidden="false" customHeight="false" outlineLevel="0" collapsed="false">
      <c r="A139" s="0" t="s">
        <v>291</v>
      </c>
      <c r="B139" s="0" t="s">
        <v>134</v>
      </c>
      <c r="C139" s="0" t="s">
        <v>3450</v>
      </c>
      <c r="D139" s="0" t="s">
        <v>3457</v>
      </c>
      <c r="E139" s="0" t="s">
        <v>4969</v>
      </c>
      <c r="F139" s="0" t="s">
        <v>62</v>
      </c>
      <c r="G139" s="0" t="s">
        <v>5003</v>
      </c>
      <c r="H139" s="0" t="s">
        <v>5037</v>
      </c>
      <c r="I139" s="0" t="s">
        <v>5005</v>
      </c>
      <c r="J139" s="20" t="s">
        <v>25</v>
      </c>
    </row>
    <row r="140" customFormat="false" ht="15" hidden="false" customHeight="false" outlineLevel="0" collapsed="false">
      <c r="A140" s="0" t="s">
        <v>291</v>
      </c>
      <c r="B140" s="0" t="s">
        <v>134</v>
      </c>
      <c r="C140" s="0" t="s">
        <v>3450</v>
      </c>
      <c r="D140" s="0" t="s">
        <v>3448</v>
      </c>
      <c r="E140" s="0" t="s">
        <v>4969</v>
      </c>
      <c r="F140" s="0" t="s">
        <v>62</v>
      </c>
      <c r="G140" s="0" t="s">
        <v>5003</v>
      </c>
      <c r="H140" s="0" t="s">
        <v>5038</v>
      </c>
      <c r="I140" s="0" t="s">
        <v>5005</v>
      </c>
      <c r="J140" s="20" t="s">
        <v>25</v>
      </c>
    </row>
    <row r="141" customFormat="false" ht="15" hidden="false" customHeight="false" outlineLevel="0" collapsed="false">
      <c r="A141" s="0" t="s">
        <v>291</v>
      </c>
      <c r="B141" s="0" t="s">
        <v>3459</v>
      </c>
      <c r="C141" s="0" t="s">
        <v>3450</v>
      </c>
      <c r="D141" s="0" t="s">
        <v>3457</v>
      </c>
      <c r="E141" s="0" t="s">
        <v>4963</v>
      </c>
      <c r="F141" s="0" t="s">
        <v>59</v>
      </c>
      <c r="G141" s="0" t="s">
        <v>4974</v>
      </c>
      <c r="H141" s="0" t="s">
        <v>69</v>
      </c>
      <c r="I141" s="0" t="s">
        <v>4975</v>
      </c>
      <c r="J141" s="20" t="s">
        <v>25</v>
      </c>
    </row>
    <row r="142" customFormat="false" ht="15" hidden="false" customHeight="false" outlineLevel="0" collapsed="false">
      <c r="A142" s="0" t="s">
        <v>291</v>
      </c>
      <c r="B142" s="0" t="s">
        <v>3459</v>
      </c>
      <c r="C142" s="0" t="s">
        <v>3450</v>
      </c>
      <c r="D142" s="0" t="s">
        <v>3457</v>
      </c>
      <c r="E142" s="0" t="s">
        <v>4969</v>
      </c>
      <c r="F142" s="0" t="s">
        <v>61</v>
      </c>
      <c r="G142" s="0" t="s">
        <v>4970</v>
      </c>
      <c r="H142" s="0" t="s">
        <v>5039</v>
      </c>
      <c r="I142" s="0" t="s">
        <v>4972</v>
      </c>
      <c r="J142" s="20" t="s">
        <v>25</v>
      </c>
    </row>
    <row r="143" customFormat="false" ht="15" hidden="false" customHeight="false" outlineLevel="0" collapsed="false">
      <c r="A143" s="0" t="s">
        <v>291</v>
      </c>
      <c r="B143" s="0" t="s">
        <v>3459</v>
      </c>
      <c r="C143" s="0" t="s">
        <v>3450</v>
      </c>
      <c r="D143" s="0" t="s">
        <v>3457</v>
      </c>
      <c r="E143" s="0" t="s">
        <v>4969</v>
      </c>
      <c r="F143" s="0" t="s">
        <v>62</v>
      </c>
      <c r="G143" s="0" t="s">
        <v>5003</v>
      </c>
      <c r="H143" s="0" t="s">
        <v>5040</v>
      </c>
      <c r="I143" s="0" t="s">
        <v>5005</v>
      </c>
      <c r="J143" s="20" t="s">
        <v>25</v>
      </c>
    </row>
    <row r="144" customFormat="false" ht="15" hidden="false" customHeight="false" outlineLevel="0" collapsed="false">
      <c r="A144" s="0" t="s">
        <v>291</v>
      </c>
      <c r="B144" s="0" t="s">
        <v>3459</v>
      </c>
      <c r="C144" s="0" t="s">
        <v>3450</v>
      </c>
      <c r="D144" s="0" t="s">
        <v>3457</v>
      </c>
      <c r="E144" s="0" t="s">
        <v>4969</v>
      </c>
      <c r="F144" s="0" t="s">
        <v>64</v>
      </c>
      <c r="G144" s="0" t="s">
        <v>4220</v>
      </c>
      <c r="H144" s="0" t="s">
        <v>5041</v>
      </c>
      <c r="I144" s="0" t="s">
        <v>4991</v>
      </c>
      <c r="J144" s="20" t="s">
        <v>25</v>
      </c>
    </row>
    <row r="145" customFormat="false" ht="15" hidden="false" customHeight="false" outlineLevel="0" collapsed="false">
      <c r="A145" s="0" t="s">
        <v>291</v>
      </c>
      <c r="B145" s="0" t="s">
        <v>3459</v>
      </c>
      <c r="C145" s="0" t="s">
        <v>3450</v>
      </c>
      <c r="D145" s="0" t="s">
        <v>3448</v>
      </c>
      <c r="E145" s="0" t="s">
        <v>4963</v>
      </c>
      <c r="F145" s="0" t="s">
        <v>59</v>
      </c>
      <c r="G145" s="0" t="s">
        <v>4974</v>
      </c>
      <c r="H145" s="0" t="s">
        <v>69</v>
      </c>
      <c r="I145" s="0" t="s">
        <v>4975</v>
      </c>
      <c r="J145" s="20" t="s">
        <v>25</v>
      </c>
    </row>
    <row r="146" customFormat="false" ht="15" hidden="false" customHeight="false" outlineLevel="0" collapsed="false">
      <c r="A146" s="0" t="s">
        <v>291</v>
      </c>
      <c r="B146" s="0" t="s">
        <v>3459</v>
      </c>
      <c r="C146" s="0" t="s">
        <v>3450</v>
      </c>
      <c r="D146" s="0" t="s">
        <v>3448</v>
      </c>
      <c r="E146" s="0" t="s">
        <v>4969</v>
      </c>
      <c r="F146" s="0" t="s">
        <v>61</v>
      </c>
      <c r="G146" s="0" t="s">
        <v>4970</v>
      </c>
      <c r="H146" s="0" t="s">
        <v>5042</v>
      </c>
      <c r="I146" s="0" t="s">
        <v>4972</v>
      </c>
      <c r="J146" s="20" t="s">
        <v>25</v>
      </c>
    </row>
    <row r="147" customFormat="false" ht="15" hidden="false" customHeight="false" outlineLevel="0" collapsed="false">
      <c r="A147" s="0" t="s">
        <v>291</v>
      </c>
      <c r="B147" s="0" t="s">
        <v>3459</v>
      </c>
      <c r="C147" s="0" t="s">
        <v>3450</v>
      </c>
      <c r="D147" s="0" t="s">
        <v>3448</v>
      </c>
      <c r="E147" s="0" t="s">
        <v>4969</v>
      </c>
      <c r="F147" s="0" t="s">
        <v>62</v>
      </c>
      <c r="G147" s="0" t="s">
        <v>5003</v>
      </c>
      <c r="H147" s="0" t="s">
        <v>5043</v>
      </c>
      <c r="I147" s="0" t="s">
        <v>5005</v>
      </c>
      <c r="J147" s="20" t="s">
        <v>25</v>
      </c>
    </row>
    <row r="148" customFormat="false" ht="15" hidden="false" customHeight="false" outlineLevel="0" collapsed="false">
      <c r="A148" s="0" t="s">
        <v>291</v>
      </c>
      <c r="B148" s="0" t="s">
        <v>3459</v>
      </c>
      <c r="C148" s="0" t="s">
        <v>3447</v>
      </c>
      <c r="D148" s="0" t="s">
        <v>3457</v>
      </c>
      <c r="E148" s="0" t="s">
        <v>4969</v>
      </c>
      <c r="F148" s="0" t="s">
        <v>61</v>
      </c>
      <c r="G148" s="0" t="s">
        <v>4970</v>
      </c>
      <c r="H148" s="0" t="s">
        <v>5044</v>
      </c>
      <c r="I148" s="0" t="s">
        <v>4972</v>
      </c>
      <c r="J148" s="20" t="s">
        <v>25</v>
      </c>
    </row>
    <row r="149" customFormat="false" ht="15" hidden="false" customHeight="false" outlineLevel="0" collapsed="false">
      <c r="A149" s="0" t="s">
        <v>291</v>
      </c>
      <c r="B149" s="0" t="s">
        <v>3459</v>
      </c>
      <c r="C149" s="0" t="s">
        <v>3447</v>
      </c>
      <c r="D149" s="0" t="s">
        <v>3457</v>
      </c>
      <c r="E149" s="0" t="s">
        <v>4969</v>
      </c>
      <c r="F149" s="0" t="s">
        <v>64</v>
      </c>
      <c r="G149" s="0" t="s">
        <v>4220</v>
      </c>
      <c r="H149" s="0" t="s">
        <v>5041</v>
      </c>
      <c r="I149" s="0" t="s">
        <v>4991</v>
      </c>
      <c r="J149" s="20" t="s">
        <v>25</v>
      </c>
    </row>
    <row r="150" customFormat="false" ht="15" hidden="false" customHeight="false" outlineLevel="0" collapsed="false">
      <c r="A150" s="0" t="s">
        <v>291</v>
      </c>
      <c r="B150" s="0" t="s">
        <v>3459</v>
      </c>
      <c r="C150" s="0" t="s">
        <v>3447</v>
      </c>
      <c r="D150" s="0" t="s">
        <v>3448</v>
      </c>
      <c r="E150" s="0" t="s">
        <v>4969</v>
      </c>
      <c r="F150" s="0" t="s">
        <v>61</v>
      </c>
      <c r="G150" s="0" t="s">
        <v>4970</v>
      </c>
      <c r="H150" s="0" t="s">
        <v>5045</v>
      </c>
      <c r="I150" s="0" t="s">
        <v>4972</v>
      </c>
      <c r="J150" s="20" t="s">
        <v>25</v>
      </c>
    </row>
    <row r="151" customFormat="false" ht="15" hidden="false" customHeight="false" outlineLevel="0" collapsed="false">
      <c r="A151" s="0" t="s">
        <v>291</v>
      </c>
      <c r="B151" s="0" t="s">
        <v>134</v>
      </c>
      <c r="C151" s="0" t="s">
        <v>3447</v>
      </c>
      <c r="D151" s="0" t="s">
        <v>3457</v>
      </c>
      <c r="E151" s="0" t="s">
        <v>4963</v>
      </c>
      <c r="F151" s="0" t="s">
        <v>30</v>
      </c>
      <c r="G151" s="0" t="s">
        <v>4980</v>
      </c>
      <c r="H151" s="0" t="s">
        <v>4273</v>
      </c>
      <c r="I151" s="0" t="s">
        <v>4981</v>
      </c>
      <c r="J151" s="18" t="s">
        <v>24</v>
      </c>
    </row>
    <row r="152" customFormat="false" ht="15" hidden="false" customHeight="false" outlineLevel="0" collapsed="false">
      <c r="A152" s="0" t="s">
        <v>291</v>
      </c>
      <c r="B152" s="0" t="s">
        <v>134</v>
      </c>
      <c r="C152" s="0" t="s">
        <v>3447</v>
      </c>
      <c r="D152" s="0" t="s">
        <v>3448</v>
      </c>
      <c r="E152" s="0" t="s">
        <v>4963</v>
      </c>
      <c r="F152" s="0" t="s">
        <v>30</v>
      </c>
      <c r="G152" s="0" t="s">
        <v>4980</v>
      </c>
      <c r="H152" s="0" t="s">
        <v>4274</v>
      </c>
      <c r="I152" s="0" t="s">
        <v>4981</v>
      </c>
      <c r="J152" s="18" t="s">
        <v>24</v>
      </c>
    </row>
    <row r="153" customFormat="false" ht="15" hidden="false" customHeight="false" outlineLevel="0" collapsed="false">
      <c r="A153" s="0" t="s">
        <v>291</v>
      </c>
      <c r="B153" s="0" t="s">
        <v>3459</v>
      </c>
      <c r="C153" s="0" t="s">
        <v>3450</v>
      </c>
      <c r="D153" s="0" t="s">
        <v>3457</v>
      </c>
      <c r="E153" s="0" t="s">
        <v>4963</v>
      </c>
      <c r="F153" s="0" t="s">
        <v>30</v>
      </c>
      <c r="G153" s="0" t="s">
        <v>4980</v>
      </c>
      <c r="H153" s="0" t="s">
        <v>4275</v>
      </c>
      <c r="I153" s="0" t="s">
        <v>4981</v>
      </c>
      <c r="J153" s="18" t="s">
        <v>24</v>
      </c>
    </row>
    <row r="154" customFormat="false" ht="15" hidden="false" customHeight="false" outlineLevel="0" collapsed="false">
      <c r="A154" s="0" t="s">
        <v>291</v>
      </c>
      <c r="B154" s="0" t="s">
        <v>3459</v>
      </c>
      <c r="C154" s="0" t="s">
        <v>3450</v>
      </c>
      <c r="D154" s="0" t="s">
        <v>3448</v>
      </c>
      <c r="E154" s="0" t="s">
        <v>4963</v>
      </c>
      <c r="F154" s="0" t="s">
        <v>30</v>
      </c>
      <c r="G154" s="0" t="s">
        <v>4980</v>
      </c>
      <c r="H154" s="0" t="s">
        <v>4275</v>
      </c>
      <c r="I154" s="0" t="s">
        <v>4981</v>
      </c>
      <c r="J154" s="18" t="s">
        <v>24</v>
      </c>
    </row>
    <row r="155" customFormat="false" ht="15" hidden="false" customHeight="false" outlineLevel="0" collapsed="false">
      <c r="A155" s="0" t="s">
        <v>291</v>
      </c>
      <c r="B155" s="0" t="s">
        <v>3459</v>
      </c>
      <c r="C155" s="0" t="s">
        <v>3447</v>
      </c>
      <c r="D155" s="0" t="s">
        <v>3457</v>
      </c>
      <c r="E155" s="0" t="s">
        <v>4963</v>
      </c>
      <c r="F155" s="0" t="s">
        <v>30</v>
      </c>
      <c r="G155" s="0" t="s">
        <v>4980</v>
      </c>
      <c r="H155" s="0" t="s">
        <v>4276</v>
      </c>
      <c r="I155" s="0" t="s">
        <v>4981</v>
      </c>
      <c r="J155" s="18" t="s">
        <v>24</v>
      </c>
    </row>
    <row r="156" customFormat="false" ht="15" hidden="false" customHeight="false" outlineLevel="0" collapsed="false">
      <c r="A156" s="0" t="s">
        <v>291</v>
      </c>
      <c r="B156" s="0" t="s">
        <v>3459</v>
      </c>
      <c r="C156" s="0" t="s">
        <v>3447</v>
      </c>
      <c r="D156" s="0" t="s">
        <v>3448</v>
      </c>
      <c r="E156" s="0" t="s">
        <v>4963</v>
      </c>
      <c r="F156" s="0" t="s">
        <v>30</v>
      </c>
      <c r="G156" s="0" t="s">
        <v>4980</v>
      </c>
      <c r="H156" s="0" t="s">
        <v>4277</v>
      </c>
      <c r="I156" s="0" t="s">
        <v>4981</v>
      </c>
      <c r="J156" s="18" t="s">
        <v>24</v>
      </c>
    </row>
    <row r="157" customFormat="false" ht="15" hidden="false" customHeight="false" outlineLevel="0" collapsed="false">
      <c r="A157" s="0" t="s">
        <v>297</v>
      </c>
      <c r="B157" s="0" t="s">
        <v>134</v>
      </c>
      <c r="C157" s="0" t="s">
        <v>3450</v>
      </c>
      <c r="D157" s="0" t="s">
        <v>3457</v>
      </c>
      <c r="E157" s="0" t="s">
        <v>4963</v>
      </c>
      <c r="F157" s="0" t="s">
        <v>60</v>
      </c>
      <c r="G157" s="0" t="s">
        <v>4964</v>
      </c>
      <c r="H157" s="0" t="s">
        <v>5046</v>
      </c>
      <c r="I157" s="0" t="s">
        <v>4966</v>
      </c>
      <c r="J157" s="19" t="s">
        <v>26</v>
      </c>
    </row>
    <row r="158" customFormat="false" ht="15" hidden="false" customHeight="false" outlineLevel="0" collapsed="false">
      <c r="A158" s="0" t="s">
        <v>297</v>
      </c>
      <c r="B158" s="0" t="s">
        <v>134</v>
      </c>
      <c r="C158" s="0" t="s">
        <v>3450</v>
      </c>
      <c r="D158" s="0" t="s">
        <v>3457</v>
      </c>
      <c r="E158" s="0" t="s">
        <v>4963</v>
      </c>
      <c r="F158" s="0" t="s">
        <v>59</v>
      </c>
      <c r="G158" s="0" t="s">
        <v>4974</v>
      </c>
      <c r="H158" s="0" t="s">
        <v>69</v>
      </c>
      <c r="I158" s="0" t="s">
        <v>4975</v>
      </c>
      <c r="J158" s="20" t="s">
        <v>25</v>
      </c>
    </row>
    <row r="159" customFormat="false" ht="15" hidden="false" customHeight="false" outlineLevel="0" collapsed="false">
      <c r="A159" s="0" t="s">
        <v>297</v>
      </c>
      <c r="B159" s="0" t="s">
        <v>134</v>
      </c>
      <c r="C159" s="0" t="s">
        <v>3450</v>
      </c>
      <c r="D159" s="0" t="s">
        <v>3457</v>
      </c>
      <c r="E159" s="0" t="s">
        <v>4969</v>
      </c>
      <c r="F159" s="0" t="s">
        <v>61</v>
      </c>
      <c r="G159" s="0" t="s">
        <v>4970</v>
      </c>
      <c r="H159" s="0" t="s">
        <v>5047</v>
      </c>
      <c r="I159" s="0" t="s">
        <v>4972</v>
      </c>
      <c r="J159" s="20" t="s">
        <v>25</v>
      </c>
    </row>
    <row r="160" customFormat="false" ht="15" hidden="false" customHeight="false" outlineLevel="0" collapsed="false">
      <c r="A160" s="0" t="s">
        <v>297</v>
      </c>
      <c r="B160" s="0" t="s">
        <v>134</v>
      </c>
      <c r="C160" s="0" t="s">
        <v>3450</v>
      </c>
      <c r="D160" s="0" t="s">
        <v>3457</v>
      </c>
      <c r="E160" s="0" t="s">
        <v>4969</v>
      </c>
      <c r="F160" s="0" t="s">
        <v>64</v>
      </c>
      <c r="G160" s="0" t="s">
        <v>4220</v>
      </c>
      <c r="H160" s="0" t="s">
        <v>5048</v>
      </c>
      <c r="I160" s="0" t="s">
        <v>4991</v>
      </c>
      <c r="J160" s="20" t="s">
        <v>25</v>
      </c>
    </row>
    <row r="161" customFormat="false" ht="15" hidden="false" customHeight="false" outlineLevel="0" collapsed="false">
      <c r="A161" s="0" t="s">
        <v>297</v>
      </c>
      <c r="B161" s="0" t="s">
        <v>134</v>
      </c>
      <c r="C161" s="0" t="s">
        <v>3450</v>
      </c>
      <c r="D161" s="0" t="s">
        <v>3448</v>
      </c>
      <c r="E161" s="0" t="s">
        <v>4963</v>
      </c>
      <c r="F161" s="0" t="s">
        <v>59</v>
      </c>
      <c r="G161" s="0" t="s">
        <v>4974</v>
      </c>
      <c r="H161" s="0" t="s">
        <v>69</v>
      </c>
      <c r="I161" s="0" t="s">
        <v>4975</v>
      </c>
      <c r="J161" s="20" t="s">
        <v>25</v>
      </c>
    </row>
    <row r="162" customFormat="false" ht="15" hidden="false" customHeight="false" outlineLevel="0" collapsed="false">
      <c r="A162" s="0" t="s">
        <v>297</v>
      </c>
      <c r="B162" s="0" t="s">
        <v>134</v>
      </c>
      <c r="C162" s="0" t="s">
        <v>3447</v>
      </c>
      <c r="D162" s="0" t="s">
        <v>3457</v>
      </c>
      <c r="E162" s="0" t="s">
        <v>4969</v>
      </c>
      <c r="F162" s="0" t="s">
        <v>64</v>
      </c>
      <c r="G162" s="0" t="s">
        <v>4220</v>
      </c>
      <c r="H162" s="0" t="s">
        <v>5048</v>
      </c>
      <c r="I162" s="0" t="s">
        <v>4991</v>
      </c>
      <c r="J162" s="20" t="s">
        <v>25</v>
      </c>
    </row>
    <row r="163" customFormat="false" ht="15" hidden="false" customHeight="false" outlineLevel="0" collapsed="false">
      <c r="A163" s="0" t="s">
        <v>297</v>
      </c>
      <c r="B163" s="0" t="s">
        <v>134</v>
      </c>
      <c r="C163" s="0" t="s">
        <v>3450</v>
      </c>
      <c r="D163" s="0" t="s">
        <v>3448</v>
      </c>
      <c r="E163" s="0" t="s">
        <v>4963</v>
      </c>
      <c r="F163" s="0" t="s">
        <v>30</v>
      </c>
      <c r="G163" s="0" t="s">
        <v>4980</v>
      </c>
      <c r="H163" s="0" t="s">
        <v>4279</v>
      </c>
      <c r="I163" s="0" t="s">
        <v>4981</v>
      </c>
      <c r="J163" s="18" t="s">
        <v>24</v>
      </c>
    </row>
    <row r="164" customFormat="false" ht="15" hidden="false" customHeight="false" outlineLevel="0" collapsed="false">
      <c r="A164" s="0" t="s">
        <v>297</v>
      </c>
      <c r="B164" s="0" t="s">
        <v>134</v>
      </c>
      <c r="C164" s="0" t="s">
        <v>3447</v>
      </c>
      <c r="D164" s="0" t="s">
        <v>3457</v>
      </c>
      <c r="E164" s="0" t="s">
        <v>4963</v>
      </c>
      <c r="F164" s="0" t="s">
        <v>30</v>
      </c>
      <c r="G164" s="0" t="s">
        <v>4980</v>
      </c>
      <c r="H164" s="0" t="s">
        <v>4280</v>
      </c>
      <c r="I164" s="0" t="s">
        <v>4981</v>
      </c>
      <c r="J164" s="18" t="s">
        <v>24</v>
      </c>
    </row>
    <row r="165" customFormat="false" ht="15" hidden="false" customHeight="false" outlineLevel="0" collapsed="false">
      <c r="A165" s="0" t="s">
        <v>297</v>
      </c>
      <c r="B165" s="0" t="s">
        <v>134</v>
      </c>
      <c r="C165" s="0" t="s">
        <v>3447</v>
      </c>
      <c r="D165" s="0" t="s">
        <v>3448</v>
      </c>
      <c r="E165" s="0" t="s">
        <v>4963</v>
      </c>
      <c r="F165" s="0" t="s">
        <v>30</v>
      </c>
      <c r="G165" s="0" t="s">
        <v>4980</v>
      </c>
      <c r="H165" s="0" t="s">
        <v>4281</v>
      </c>
      <c r="I165" s="0" t="s">
        <v>4981</v>
      </c>
      <c r="J165" s="18" t="s">
        <v>24</v>
      </c>
    </row>
    <row r="166" customFormat="false" ht="15" hidden="false" customHeight="false" outlineLevel="0" collapsed="false">
      <c r="A166" s="0" t="s">
        <v>310</v>
      </c>
      <c r="B166" s="0" t="s">
        <v>134</v>
      </c>
      <c r="C166" s="0" t="s">
        <v>3447</v>
      </c>
      <c r="D166" s="0" t="s">
        <v>3457</v>
      </c>
      <c r="E166" s="0" t="s">
        <v>4963</v>
      </c>
      <c r="F166" s="0" t="s">
        <v>60</v>
      </c>
      <c r="G166" s="0" t="s">
        <v>4964</v>
      </c>
      <c r="H166" s="0" t="s">
        <v>5049</v>
      </c>
      <c r="I166" s="0" t="s">
        <v>4966</v>
      </c>
      <c r="J166" s="19" t="s">
        <v>26</v>
      </c>
    </row>
    <row r="167" customFormat="false" ht="15" hidden="false" customHeight="false" outlineLevel="0" collapsed="false">
      <c r="A167" s="0" t="s">
        <v>310</v>
      </c>
      <c r="B167" s="0" t="s">
        <v>134</v>
      </c>
      <c r="C167" s="0" t="s">
        <v>3447</v>
      </c>
      <c r="D167" s="0" t="s">
        <v>3448</v>
      </c>
      <c r="E167" s="0" t="s">
        <v>4963</v>
      </c>
      <c r="F167" s="0" t="s">
        <v>60</v>
      </c>
      <c r="G167" s="0" t="s">
        <v>4964</v>
      </c>
      <c r="H167" s="0" t="s">
        <v>5050</v>
      </c>
      <c r="I167" s="0" t="s">
        <v>4966</v>
      </c>
      <c r="J167" s="19" t="s">
        <v>26</v>
      </c>
    </row>
    <row r="168" customFormat="false" ht="15" hidden="false" customHeight="false" outlineLevel="0" collapsed="false">
      <c r="A168" s="0" t="s">
        <v>310</v>
      </c>
      <c r="B168" s="0" t="s">
        <v>134</v>
      </c>
      <c r="C168" s="0" t="s">
        <v>3450</v>
      </c>
      <c r="D168" s="0" t="s">
        <v>3457</v>
      </c>
      <c r="E168" s="0" t="s">
        <v>4963</v>
      </c>
      <c r="F168" s="0" t="s">
        <v>59</v>
      </c>
      <c r="G168" s="0" t="s">
        <v>4974</v>
      </c>
      <c r="H168" s="0" t="s">
        <v>69</v>
      </c>
      <c r="I168" s="0" t="s">
        <v>4975</v>
      </c>
      <c r="J168" s="20" t="s">
        <v>25</v>
      </c>
    </row>
    <row r="169" customFormat="false" ht="15" hidden="false" customHeight="false" outlineLevel="0" collapsed="false">
      <c r="A169" s="0" t="s">
        <v>310</v>
      </c>
      <c r="B169" s="0" t="s">
        <v>134</v>
      </c>
      <c r="C169" s="0" t="s">
        <v>3450</v>
      </c>
      <c r="D169" s="0" t="s">
        <v>3448</v>
      </c>
      <c r="E169" s="0" t="s">
        <v>4963</v>
      </c>
      <c r="F169" s="0" t="s">
        <v>59</v>
      </c>
      <c r="G169" s="0" t="s">
        <v>4974</v>
      </c>
      <c r="H169" s="0" t="s">
        <v>69</v>
      </c>
      <c r="I169" s="0" t="s">
        <v>4975</v>
      </c>
      <c r="J169" s="20" t="s">
        <v>25</v>
      </c>
    </row>
    <row r="170" customFormat="false" ht="15" hidden="false" customHeight="false" outlineLevel="0" collapsed="false">
      <c r="A170" s="0" t="s">
        <v>310</v>
      </c>
      <c r="B170" s="0" t="s">
        <v>134</v>
      </c>
      <c r="C170" s="0" t="s">
        <v>3447</v>
      </c>
      <c r="D170" s="0" t="s">
        <v>3457</v>
      </c>
      <c r="E170" s="0" t="s">
        <v>4963</v>
      </c>
      <c r="F170" s="0" t="s">
        <v>59</v>
      </c>
      <c r="G170" s="0" t="s">
        <v>4974</v>
      </c>
      <c r="H170" s="0" t="s">
        <v>69</v>
      </c>
      <c r="I170" s="0" t="s">
        <v>4975</v>
      </c>
      <c r="J170" s="20" t="s">
        <v>25</v>
      </c>
    </row>
    <row r="171" customFormat="false" ht="15" hidden="false" customHeight="false" outlineLevel="0" collapsed="false">
      <c r="A171" s="0" t="s">
        <v>310</v>
      </c>
      <c r="B171" s="0" t="s">
        <v>134</v>
      </c>
      <c r="C171" s="0" t="s">
        <v>3447</v>
      </c>
      <c r="D171" s="0" t="s">
        <v>3448</v>
      </c>
      <c r="E171" s="0" t="s">
        <v>4969</v>
      </c>
      <c r="F171" s="0" t="s">
        <v>61</v>
      </c>
      <c r="G171" s="0" t="s">
        <v>4970</v>
      </c>
      <c r="H171" s="0" t="s">
        <v>5051</v>
      </c>
      <c r="I171" s="0" t="s">
        <v>4972</v>
      </c>
      <c r="J171" s="20" t="s">
        <v>25</v>
      </c>
    </row>
    <row r="172" customFormat="false" ht="15" hidden="false" customHeight="false" outlineLevel="0" collapsed="false">
      <c r="A172" s="0" t="s">
        <v>310</v>
      </c>
      <c r="B172" s="0" t="s">
        <v>134</v>
      </c>
      <c r="C172" s="0" t="s">
        <v>3450</v>
      </c>
      <c r="D172" s="0" t="s">
        <v>3457</v>
      </c>
      <c r="E172" s="0" t="s">
        <v>4963</v>
      </c>
      <c r="F172" s="0" t="s">
        <v>30</v>
      </c>
      <c r="G172" s="0" t="s">
        <v>4980</v>
      </c>
      <c r="H172" s="0" t="s">
        <v>4265</v>
      </c>
      <c r="I172" s="0" t="s">
        <v>4981</v>
      </c>
      <c r="J172" s="18" t="s">
        <v>24</v>
      </c>
    </row>
    <row r="173" customFormat="false" ht="15" hidden="false" customHeight="false" outlineLevel="0" collapsed="false">
      <c r="A173" s="0" t="s">
        <v>310</v>
      </c>
      <c r="B173" s="0" t="s">
        <v>134</v>
      </c>
      <c r="C173" s="0" t="s">
        <v>3450</v>
      </c>
      <c r="D173" s="0" t="s">
        <v>3448</v>
      </c>
      <c r="E173" s="0" t="s">
        <v>4963</v>
      </c>
      <c r="F173" s="0" t="s">
        <v>30</v>
      </c>
      <c r="G173" s="0" t="s">
        <v>4980</v>
      </c>
      <c r="H173" s="0" t="s">
        <v>4238</v>
      </c>
      <c r="I173" s="0" t="s">
        <v>4981</v>
      </c>
      <c r="J173" s="18" t="s">
        <v>24</v>
      </c>
    </row>
    <row r="174" customFormat="false" ht="15" hidden="false" customHeight="false" outlineLevel="0" collapsed="false">
      <c r="A174" s="0" t="s">
        <v>317</v>
      </c>
      <c r="B174" s="0" t="s">
        <v>134</v>
      </c>
      <c r="C174" s="0" t="s">
        <v>3447</v>
      </c>
      <c r="D174" s="0" t="s">
        <v>3457</v>
      </c>
      <c r="E174" s="0" t="s">
        <v>4963</v>
      </c>
      <c r="F174" s="0" t="s">
        <v>60</v>
      </c>
      <c r="G174" s="0" t="s">
        <v>4964</v>
      </c>
      <c r="H174" s="0" t="s">
        <v>5016</v>
      </c>
      <c r="I174" s="0" t="s">
        <v>4966</v>
      </c>
      <c r="J174" s="19" t="s">
        <v>26</v>
      </c>
    </row>
    <row r="175" customFormat="false" ht="15" hidden="false" customHeight="false" outlineLevel="0" collapsed="false">
      <c r="A175" s="0" t="s">
        <v>317</v>
      </c>
      <c r="B175" s="0" t="s">
        <v>134</v>
      </c>
      <c r="C175" s="0" t="s">
        <v>3447</v>
      </c>
      <c r="D175" s="0" t="s">
        <v>3448</v>
      </c>
      <c r="E175" s="0" t="s">
        <v>4963</v>
      </c>
      <c r="F175" s="0" t="s">
        <v>60</v>
      </c>
      <c r="G175" s="0" t="s">
        <v>4964</v>
      </c>
      <c r="H175" s="0" t="s">
        <v>5052</v>
      </c>
      <c r="I175" s="0" t="s">
        <v>4966</v>
      </c>
      <c r="J175" s="19" t="s">
        <v>26</v>
      </c>
    </row>
    <row r="176" customFormat="false" ht="15" hidden="false" customHeight="false" outlineLevel="0" collapsed="false">
      <c r="A176" s="0" t="s">
        <v>317</v>
      </c>
      <c r="B176" s="0" t="s">
        <v>134</v>
      </c>
      <c r="C176" s="0" t="s">
        <v>3450</v>
      </c>
      <c r="D176" s="0" t="s">
        <v>3457</v>
      </c>
      <c r="E176" s="0" t="s">
        <v>4963</v>
      </c>
      <c r="F176" s="0" t="s">
        <v>59</v>
      </c>
      <c r="G176" s="0" t="s">
        <v>4974</v>
      </c>
      <c r="H176" s="0" t="s">
        <v>69</v>
      </c>
      <c r="I176" s="0" t="s">
        <v>4975</v>
      </c>
      <c r="J176" s="20" t="s">
        <v>25</v>
      </c>
    </row>
    <row r="177" customFormat="false" ht="15" hidden="false" customHeight="false" outlineLevel="0" collapsed="false">
      <c r="A177" s="0" t="s">
        <v>317</v>
      </c>
      <c r="B177" s="0" t="s">
        <v>134</v>
      </c>
      <c r="C177" s="0" t="s">
        <v>3450</v>
      </c>
      <c r="D177" s="0" t="s">
        <v>3457</v>
      </c>
      <c r="E177" s="0" t="s">
        <v>4969</v>
      </c>
      <c r="F177" s="0" t="s">
        <v>61</v>
      </c>
      <c r="G177" s="0" t="s">
        <v>4970</v>
      </c>
      <c r="H177" s="0" t="s">
        <v>5053</v>
      </c>
      <c r="I177" s="0" t="s">
        <v>4972</v>
      </c>
      <c r="J177" s="20" t="s">
        <v>25</v>
      </c>
    </row>
    <row r="178" customFormat="false" ht="15" hidden="false" customHeight="false" outlineLevel="0" collapsed="false">
      <c r="A178" s="0" t="s">
        <v>317</v>
      </c>
      <c r="B178" s="0" t="s">
        <v>134</v>
      </c>
      <c r="C178" s="0" t="s">
        <v>3450</v>
      </c>
      <c r="D178" s="0" t="s">
        <v>3448</v>
      </c>
      <c r="E178" s="0" t="s">
        <v>4963</v>
      </c>
      <c r="F178" s="0" t="s">
        <v>59</v>
      </c>
      <c r="G178" s="0" t="s">
        <v>4974</v>
      </c>
      <c r="H178" s="0" t="s">
        <v>69</v>
      </c>
      <c r="I178" s="0" t="s">
        <v>4975</v>
      </c>
      <c r="J178" s="20" t="s">
        <v>25</v>
      </c>
    </row>
    <row r="179" customFormat="false" ht="15" hidden="false" customHeight="false" outlineLevel="0" collapsed="false">
      <c r="A179" s="0" t="s">
        <v>317</v>
      </c>
      <c r="B179" s="0" t="s">
        <v>134</v>
      </c>
      <c r="C179" s="0" t="s">
        <v>3450</v>
      </c>
      <c r="D179" s="0" t="s">
        <v>3448</v>
      </c>
      <c r="E179" s="0" t="s">
        <v>4969</v>
      </c>
      <c r="F179" s="0" t="s">
        <v>62</v>
      </c>
      <c r="G179" s="0" t="s">
        <v>5003</v>
      </c>
      <c r="H179" s="0" t="s">
        <v>5054</v>
      </c>
      <c r="I179" s="0" t="s">
        <v>5005</v>
      </c>
      <c r="J179" s="20" t="s">
        <v>25</v>
      </c>
    </row>
    <row r="180" customFormat="false" ht="15" hidden="false" customHeight="false" outlineLevel="0" collapsed="false">
      <c r="A180" s="0" t="s">
        <v>317</v>
      </c>
      <c r="B180" s="0" t="s">
        <v>134</v>
      </c>
      <c r="C180" s="0" t="s">
        <v>3447</v>
      </c>
      <c r="D180" s="0" t="s">
        <v>3457</v>
      </c>
      <c r="E180" s="0" t="s">
        <v>4963</v>
      </c>
      <c r="F180" s="0" t="s">
        <v>59</v>
      </c>
      <c r="G180" s="0" t="s">
        <v>4974</v>
      </c>
      <c r="H180" s="0" t="s">
        <v>69</v>
      </c>
      <c r="I180" s="0" t="s">
        <v>4975</v>
      </c>
      <c r="J180" s="20" t="s">
        <v>25</v>
      </c>
    </row>
    <row r="181" customFormat="false" ht="15" hidden="false" customHeight="false" outlineLevel="0" collapsed="false">
      <c r="A181" s="0" t="s">
        <v>317</v>
      </c>
      <c r="B181" s="0" t="s">
        <v>134</v>
      </c>
      <c r="C181" s="0" t="s">
        <v>3447</v>
      </c>
      <c r="D181" s="0" t="s">
        <v>3457</v>
      </c>
      <c r="E181" s="0" t="s">
        <v>4969</v>
      </c>
      <c r="F181" s="0" t="s">
        <v>61</v>
      </c>
      <c r="G181" s="0" t="s">
        <v>4970</v>
      </c>
      <c r="H181" s="0" t="s">
        <v>5055</v>
      </c>
      <c r="I181" s="0" t="s">
        <v>4972</v>
      </c>
      <c r="J181" s="20" t="s">
        <v>25</v>
      </c>
    </row>
    <row r="182" customFormat="false" ht="15" hidden="false" customHeight="false" outlineLevel="0" collapsed="false">
      <c r="A182" s="0" t="s">
        <v>317</v>
      </c>
      <c r="B182" s="0" t="s">
        <v>134</v>
      </c>
      <c r="C182" s="0" t="s">
        <v>3450</v>
      </c>
      <c r="D182" s="0" t="s">
        <v>3457</v>
      </c>
      <c r="E182" s="0" t="s">
        <v>4963</v>
      </c>
      <c r="F182" s="0" t="s">
        <v>30</v>
      </c>
      <c r="G182" s="0" t="s">
        <v>4980</v>
      </c>
      <c r="H182" s="0" t="s">
        <v>4242</v>
      </c>
      <c r="I182" s="0" t="s">
        <v>4981</v>
      </c>
      <c r="J182" s="18" t="s">
        <v>24</v>
      </c>
    </row>
    <row r="183" customFormat="false" ht="15" hidden="false" customHeight="false" outlineLevel="0" collapsed="false">
      <c r="A183" s="0" t="s">
        <v>317</v>
      </c>
      <c r="B183" s="0" t="s">
        <v>134</v>
      </c>
      <c r="C183" s="0" t="s">
        <v>3450</v>
      </c>
      <c r="D183" s="0" t="s">
        <v>3448</v>
      </c>
      <c r="E183" s="0" t="s">
        <v>4963</v>
      </c>
      <c r="F183" s="0" t="s">
        <v>30</v>
      </c>
      <c r="G183" s="0" t="s">
        <v>4980</v>
      </c>
      <c r="H183" s="0" t="s">
        <v>4265</v>
      </c>
      <c r="I183" s="0" t="s">
        <v>4981</v>
      </c>
      <c r="J183" s="18" t="s">
        <v>24</v>
      </c>
    </row>
    <row r="184" customFormat="false" ht="15" hidden="false" customHeight="false" outlineLevel="0" collapsed="false">
      <c r="A184" s="0" t="s">
        <v>323</v>
      </c>
      <c r="B184" s="0" t="s">
        <v>134</v>
      </c>
      <c r="C184" s="0" t="s">
        <v>3450</v>
      </c>
      <c r="D184" s="0" t="s">
        <v>3457</v>
      </c>
      <c r="E184" s="0" t="s">
        <v>4963</v>
      </c>
      <c r="F184" s="0" t="s">
        <v>59</v>
      </c>
      <c r="G184" s="0" t="s">
        <v>4974</v>
      </c>
      <c r="H184" s="0" t="s">
        <v>69</v>
      </c>
      <c r="I184" s="0" t="s">
        <v>4975</v>
      </c>
      <c r="J184" s="20" t="s">
        <v>25</v>
      </c>
    </row>
    <row r="185" customFormat="false" ht="15" hidden="false" customHeight="false" outlineLevel="0" collapsed="false">
      <c r="A185" s="0" t="s">
        <v>323</v>
      </c>
      <c r="B185" s="0" t="s">
        <v>134</v>
      </c>
      <c r="C185" s="0" t="s">
        <v>3447</v>
      </c>
      <c r="D185" s="0" t="s">
        <v>3457</v>
      </c>
      <c r="E185" s="0" t="s">
        <v>4963</v>
      </c>
      <c r="F185" s="0" t="s">
        <v>59</v>
      </c>
      <c r="G185" s="0" t="s">
        <v>4974</v>
      </c>
      <c r="H185" s="0" t="s">
        <v>69</v>
      </c>
      <c r="I185" s="0" t="s">
        <v>4975</v>
      </c>
      <c r="J185" s="20" t="s">
        <v>25</v>
      </c>
    </row>
    <row r="186" customFormat="false" ht="15" hidden="false" customHeight="false" outlineLevel="0" collapsed="false">
      <c r="A186" s="0" t="s">
        <v>323</v>
      </c>
      <c r="B186" s="0" t="s">
        <v>3459</v>
      </c>
      <c r="C186" s="0" t="s">
        <v>3450</v>
      </c>
      <c r="D186" s="0" t="s">
        <v>3457</v>
      </c>
      <c r="E186" s="0" t="s">
        <v>4963</v>
      </c>
      <c r="F186" s="0" t="s">
        <v>59</v>
      </c>
      <c r="G186" s="0" t="s">
        <v>4974</v>
      </c>
      <c r="H186" s="0" t="s">
        <v>69</v>
      </c>
      <c r="I186" s="0" t="s">
        <v>4975</v>
      </c>
      <c r="J186" s="20" t="s">
        <v>25</v>
      </c>
    </row>
    <row r="187" customFormat="false" ht="15" hidden="false" customHeight="false" outlineLevel="0" collapsed="false">
      <c r="A187" s="0" t="s">
        <v>323</v>
      </c>
      <c r="B187" s="0" t="s">
        <v>3459</v>
      </c>
      <c r="C187" s="0" t="s">
        <v>3447</v>
      </c>
      <c r="D187" s="0" t="s">
        <v>3457</v>
      </c>
      <c r="E187" s="0" t="s">
        <v>4963</v>
      </c>
      <c r="F187" s="0" t="s">
        <v>59</v>
      </c>
      <c r="G187" s="0" t="s">
        <v>4974</v>
      </c>
      <c r="H187" s="0" t="s">
        <v>69</v>
      </c>
      <c r="I187" s="0" t="s">
        <v>4975</v>
      </c>
      <c r="J187" s="20" t="s">
        <v>25</v>
      </c>
    </row>
    <row r="188" customFormat="false" ht="15" hidden="false" customHeight="false" outlineLevel="0" collapsed="false">
      <c r="A188" s="0" t="s">
        <v>323</v>
      </c>
      <c r="B188" s="0" t="s">
        <v>134</v>
      </c>
      <c r="C188" s="0" t="s">
        <v>3450</v>
      </c>
      <c r="D188" s="0" t="s">
        <v>3457</v>
      </c>
      <c r="E188" s="0" t="s">
        <v>4963</v>
      </c>
      <c r="F188" s="0" t="s">
        <v>30</v>
      </c>
      <c r="G188" s="0" t="s">
        <v>4980</v>
      </c>
      <c r="H188" s="0" t="s">
        <v>4275</v>
      </c>
      <c r="I188" s="0" t="s">
        <v>4981</v>
      </c>
      <c r="J188" s="18" t="s">
        <v>24</v>
      </c>
    </row>
    <row r="189" customFormat="false" ht="15" hidden="false" customHeight="false" outlineLevel="0" collapsed="false">
      <c r="A189" s="0" t="s">
        <v>323</v>
      </c>
      <c r="B189" s="0" t="s">
        <v>134</v>
      </c>
      <c r="C189" s="0" t="s">
        <v>3447</v>
      </c>
      <c r="D189" s="0" t="s">
        <v>3457</v>
      </c>
      <c r="E189" s="0" t="s">
        <v>4963</v>
      </c>
      <c r="F189" s="0" t="s">
        <v>30</v>
      </c>
      <c r="G189" s="0" t="s">
        <v>4980</v>
      </c>
      <c r="H189" s="0" t="s">
        <v>4275</v>
      </c>
      <c r="I189" s="0" t="s">
        <v>4981</v>
      </c>
      <c r="J189" s="18" t="s">
        <v>24</v>
      </c>
    </row>
    <row r="190" customFormat="false" ht="15" hidden="false" customHeight="false" outlineLevel="0" collapsed="false">
      <c r="A190" s="0" t="s">
        <v>323</v>
      </c>
      <c r="B190" s="0" t="s">
        <v>134</v>
      </c>
      <c r="C190" s="0" t="s">
        <v>3447</v>
      </c>
      <c r="D190" s="0" t="s">
        <v>3448</v>
      </c>
      <c r="E190" s="0" t="s">
        <v>4963</v>
      </c>
      <c r="F190" s="0" t="s">
        <v>30</v>
      </c>
      <c r="G190" s="0" t="s">
        <v>4980</v>
      </c>
      <c r="H190" s="0" t="s">
        <v>4285</v>
      </c>
      <c r="I190" s="0" t="s">
        <v>4981</v>
      </c>
      <c r="J190" s="18" t="s">
        <v>24</v>
      </c>
    </row>
    <row r="191" customFormat="false" ht="15" hidden="false" customHeight="false" outlineLevel="0" collapsed="false">
      <c r="A191" s="0" t="s">
        <v>323</v>
      </c>
      <c r="B191" s="0" t="s">
        <v>3459</v>
      </c>
      <c r="C191" s="0" t="s">
        <v>3450</v>
      </c>
      <c r="D191" s="0" t="s">
        <v>3457</v>
      </c>
      <c r="E191" s="0" t="s">
        <v>4963</v>
      </c>
      <c r="F191" s="0" t="s">
        <v>30</v>
      </c>
      <c r="G191" s="0" t="s">
        <v>4980</v>
      </c>
      <c r="H191" s="0" t="s">
        <v>4265</v>
      </c>
      <c r="I191" s="0" t="s">
        <v>4981</v>
      </c>
      <c r="J191" s="18" t="s">
        <v>24</v>
      </c>
    </row>
    <row r="192" customFormat="false" ht="15" hidden="false" customHeight="false" outlineLevel="0" collapsed="false">
      <c r="A192" s="0" t="s">
        <v>323</v>
      </c>
      <c r="B192" s="0" t="s">
        <v>3459</v>
      </c>
      <c r="C192" s="0" t="s">
        <v>3447</v>
      </c>
      <c r="D192" s="0" t="s">
        <v>3457</v>
      </c>
      <c r="E192" s="0" t="s">
        <v>4963</v>
      </c>
      <c r="F192" s="0" t="s">
        <v>30</v>
      </c>
      <c r="G192" s="0" t="s">
        <v>4980</v>
      </c>
      <c r="H192" s="0" t="s">
        <v>4275</v>
      </c>
      <c r="I192" s="0" t="s">
        <v>4981</v>
      </c>
      <c r="J192" s="18" t="s">
        <v>24</v>
      </c>
    </row>
    <row r="193" customFormat="false" ht="15" hidden="false" customHeight="false" outlineLevel="0" collapsed="false">
      <c r="A193" s="0" t="s">
        <v>323</v>
      </c>
      <c r="B193" s="0" t="s">
        <v>3459</v>
      </c>
      <c r="C193" s="0" t="s">
        <v>3447</v>
      </c>
      <c r="D193" s="0" t="s">
        <v>3448</v>
      </c>
      <c r="E193" s="0" t="s">
        <v>4963</v>
      </c>
      <c r="F193" s="0" t="s">
        <v>30</v>
      </c>
      <c r="G193" s="0" t="s">
        <v>4980</v>
      </c>
      <c r="H193" s="0" t="s">
        <v>4286</v>
      </c>
      <c r="I193" s="0" t="s">
        <v>4981</v>
      </c>
      <c r="J193" s="18" t="s">
        <v>24</v>
      </c>
    </row>
    <row r="194" customFormat="false" ht="15" hidden="false" customHeight="false" outlineLevel="0" collapsed="false">
      <c r="A194" s="0" t="s">
        <v>329</v>
      </c>
      <c r="B194" s="0" t="s">
        <v>134</v>
      </c>
      <c r="C194" s="0" t="s">
        <v>3450</v>
      </c>
      <c r="D194" s="0" t="s">
        <v>3457</v>
      </c>
      <c r="E194" s="0" t="s">
        <v>4963</v>
      </c>
      <c r="F194" s="0" t="s">
        <v>60</v>
      </c>
      <c r="G194" s="0" t="s">
        <v>4964</v>
      </c>
      <c r="H194" s="0" t="s">
        <v>5056</v>
      </c>
      <c r="I194" s="0" t="s">
        <v>4966</v>
      </c>
      <c r="J194" s="19" t="s">
        <v>26</v>
      </c>
    </row>
    <row r="195" customFormat="false" ht="15" hidden="false" customHeight="false" outlineLevel="0" collapsed="false">
      <c r="A195" s="0" t="s">
        <v>329</v>
      </c>
      <c r="B195" s="0" t="s">
        <v>134</v>
      </c>
      <c r="C195" s="0" t="s">
        <v>3450</v>
      </c>
      <c r="D195" s="0" t="s">
        <v>3457</v>
      </c>
      <c r="E195" s="0" t="s">
        <v>4963</v>
      </c>
      <c r="F195" s="0" t="s">
        <v>59</v>
      </c>
      <c r="G195" s="0" t="s">
        <v>4974</v>
      </c>
      <c r="H195" s="0" t="s">
        <v>69</v>
      </c>
      <c r="I195" s="0" t="s">
        <v>4975</v>
      </c>
      <c r="J195" s="20" t="s">
        <v>25</v>
      </c>
    </row>
    <row r="196" customFormat="false" ht="15" hidden="false" customHeight="false" outlineLevel="0" collapsed="false">
      <c r="A196" s="0" t="s">
        <v>329</v>
      </c>
      <c r="B196" s="0" t="s">
        <v>134</v>
      </c>
      <c r="C196" s="0" t="s">
        <v>3450</v>
      </c>
      <c r="D196" s="0" t="s">
        <v>3448</v>
      </c>
      <c r="E196" s="0" t="s">
        <v>4963</v>
      </c>
      <c r="F196" s="0" t="s">
        <v>59</v>
      </c>
      <c r="G196" s="0" t="s">
        <v>4974</v>
      </c>
      <c r="H196" s="0" t="s">
        <v>69</v>
      </c>
      <c r="I196" s="0" t="s">
        <v>4975</v>
      </c>
      <c r="J196" s="20" t="s">
        <v>25</v>
      </c>
    </row>
    <row r="197" customFormat="false" ht="15" hidden="false" customHeight="false" outlineLevel="0" collapsed="false">
      <c r="A197" s="0" t="s">
        <v>329</v>
      </c>
      <c r="B197" s="0" t="s">
        <v>134</v>
      </c>
      <c r="C197" s="0" t="s">
        <v>3450</v>
      </c>
      <c r="D197" s="0" t="s">
        <v>3448</v>
      </c>
      <c r="E197" s="0" t="s">
        <v>4963</v>
      </c>
      <c r="F197" s="0" t="s">
        <v>30</v>
      </c>
      <c r="G197" s="0" t="s">
        <v>4980</v>
      </c>
      <c r="H197" s="0" t="s">
        <v>4265</v>
      </c>
      <c r="I197" s="0" t="s">
        <v>4981</v>
      </c>
      <c r="J197" s="18" t="s">
        <v>24</v>
      </c>
    </row>
    <row r="198" customFormat="false" ht="15" hidden="false" customHeight="false" outlineLevel="0" collapsed="false">
      <c r="A198" s="0" t="s">
        <v>329</v>
      </c>
      <c r="B198" s="0" t="s">
        <v>134</v>
      </c>
      <c r="C198" s="0" t="s">
        <v>3447</v>
      </c>
      <c r="D198" s="0" t="s">
        <v>3448</v>
      </c>
      <c r="E198" s="0" t="s">
        <v>4963</v>
      </c>
      <c r="F198" s="0" t="s">
        <v>30</v>
      </c>
      <c r="G198" s="0" t="s">
        <v>4980</v>
      </c>
      <c r="H198" s="0" t="s">
        <v>4288</v>
      </c>
      <c r="I198" s="0" t="s">
        <v>4981</v>
      </c>
      <c r="J198" s="18" t="s">
        <v>24</v>
      </c>
    </row>
    <row r="199" customFormat="false" ht="15" hidden="false" customHeight="false" outlineLevel="0" collapsed="false">
      <c r="A199" s="0" t="s">
        <v>336</v>
      </c>
      <c r="B199" s="0" t="s">
        <v>134</v>
      </c>
      <c r="C199" s="0" t="s">
        <v>3450</v>
      </c>
      <c r="D199" s="0" t="s">
        <v>3448</v>
      </c>
      <c r="E199" s="0" t="s">
        <v>4963</v>
      </c>
      <c r="F199" s="0" t="s">
        <v>59</v>
      </c>
      <c r="G199" s="0" t="s">
        <v>4974</v>
      </c>
      <c r="H199" s="0" t="s">
        <v>69</v>
      </c>
      <c r="I199" s="0" t="s">
        <v>4975</v>
      </c>
      <c r="J199" s="20" t="s">
        <v>25</v>
      </c>
    </row>
    <row r="200" customFormat="false" ht="15" hidden="false" customHeight="false" outlineLevel="0" collapsed="false">
      <c r="A200" s="0" t="s">
        <v>336</v>
      </c>
      <c r="B200" s="0" t="s">
        <v>134</v>
      </c>
      <c r="C200" s="0" t="s">
        <v>3450</v>
      </c>
      <c r="D200" s="0" t="s">
        <v>3448</v>
      </c>
      <c r="E200" s="0" t="s">
        <v>4963</v>
      </c>
      <c r="F200" s="0" t="s">
        <v>30</v>
      </c>
      <c r="G200" s="0" t="s">
        <v>4980</v>
      </c>
      <c r="H200" s="0" t="s">
        <v>4289</v>
      </c>
      <c r="I200" s="0" t="s">
        <v>4981</v>
      </c>
      <c r="J200" s="18" t="s">
        <v>24</v>
      </c>
    </row>
    <row r="201" customFormat="false" ht="15" hidden="false" customHeight="false" outlineLevel="0" collapsed="false">
      <c r="A201" s="0" t="s">
        <v>336</v>
      </c>
      <c r="B201" s="0" t="s">
        <v>134</v>
      </c>
      <c r="C201" s="0" t="s">
        <v>3447</v>
      </c>
      <c r="D201" s="0" t="s">
        <v>3457</v>
      </c>
      <c r="E201" s="0" t="s">
        <v>4963</v>
      </c>
      <c r="F201" s="0" t="s">
        <v>30</v>
      </c>
      <c r="G201" s="0" t="s">
        <v>4980</v>
      </c>
      <c r="H201" s="0" t="s">
        <v>4239</v>
      </c>
      <c r="I201" s="0" t="s">
        <v>4981</v>
      </c>
      <c r="J201" s="18" t="s">
        <v>24</v>
      </c>
    </row>
    <row r="202" customFormat="false" ht="15" hidden="false" customHeight="false" outlineLevel="0" collapsed="false">
      <c r="A202" s="0" t="s">
        <v>336</v>
      </c>
      <c r="B202" s="0" t="s">
        <v>134</v>
      </c>
      <c r="C202" s="0" t="s">
        <v>3447</v>
      </c>
      <c r="D202" s="0" t="s">
        <v>3448</v>
      </c>
      <c r="E202" s="0" t="s">
        <v>4963</v>
      </c>
      <c r="F202" s="0" t="s">
        <v>30</v>
      </c>
      <c r="G202" s="0" t="s">
        <v>4980</v>
      </c>
      <c r="H202" s="0" t="s">
        <v>4290</v>
      </c>
      <c r="I202" s="0" t="s">
        <v>4981</v>
      </c>
      <c r="J202" s="18" t="s">
        <v>24</v>
      </c>
    </row>
    <row r="203" customFormat="false" ht="15" hidden="false" customHeight="false" outlineLevel="0" collapsed="false">
      <c r="A203" s="0" t="s">
        <v>341</v>
      </c>
      <c r="B203" s="0" t="s">
        <v>134</v>
      </c>
      <c r="C203" s="0" t="s">
        <v>3447</v>
      </c>
      <c r="D203" s="0" t="s">
        <v>3448</v>
      </c>
      <c r="E203" s="0" t="s">
        <v>4963</v>
      </c>
      <c r="F203" s="0" t="s">
        <v>60</v>
      </c>
      <c r="G203" s="0" t="s">
        <v>4964</v>
      </c>
      <c r="H203" s="0" t="s">
        <v>5057</v>
      </c>
      <c r="I203" s="0" t="s">
        <v>4966</v>
      </c>
      <c r="J203" s="19" t="s">
        <v>26</v>
      </c>
    </row>
    <row r="204" customFormat="false" ht="15" hidden="false" customHeight="false" outlineLevel="0" collapsed="false">
      <c r="A204" s="0" t="s">
        <v>341</v>
      </c>
      <c r="B204" s="0" t="s">
        <v>134</v>
      </c>
      <c r="C204" s="0" t="s">
        <v>3450</v>
      </c>
      <c r="D204" s="0" t="s">
        <v>3457</v>
      </c>
      <c r="E204" s="0" t="s">
        <v>4963</v>
      </c>
      <c r="F204" s="0" t="s">
        <v>59</v>
      </c>
      <c r="G204" s="0" t="s">
        <v>4974</v>
      </c>
      <c r="H204" s="0" t="s">
        <v>69</v>
      </c>
      <c r="I204" s="0" t="s">
        <v>4975</v>
      </c>
      <c r="J204" s="20" t="s">
        <v>25</v>
      </c>
    </row>
    <row r="205" customFormat="false" ht="15" hidden="false" customHeight="false" outlineLevel="0" collapsed="false">
      <c r="A205" s="0" t="s">
        <v>341</v>
      </c>
      <c r="B205" s="0" t="s">
        <v>134</v>
      </c>
      <c r="C205" s="0" t="s">
        <v>3450</v>
      </c>
      <c r="D205" s="0" t="s">
        <v>3457</v>
      </c>
      <c r="E205" s="0" t="s">
        <v>4969</v>
      </c>
      <c r="F205" s="0" t="s">
        <v>62</v>
      </c>
      <c r="G205" s="0" t="s">
        <v>5003</v>
      </c>
      <c r="H205" s="0" t="s">
        <v>5058</v>
      </c>
      <c r="I205" s="0" t="s">
        <v>5005</v>
      </c>
      <c r="J205" s="20" t="s">
        <v>25</v>
      </c>
    </row>
    <row r="206" customFormat="false" ht="15" hidden="false" customHeight="false" outlineLevel="0" collapsed="false">
      <c r="A206" s="0" t="s">
        <v>341</v>
      </c>
      <c r="B206" s="0" t="s">
        <v>134</v>
      </c>
      <c r="C206" s="0" t="s">
        <v>3450</v>
      </c>
      <c r="D206" s="0" t="s">
        <v>3448</v>
      </c>
      <c r="E206" s="0" t="s">
        <v>4963</v>
      </c>
      <c r="F206" s="0" t="s">
        <v>59</v>
      </c>
      <c r="G206" s="0" t="s">
        <v>4974</v>
      </c>
      <c r="H206" s="0" t="s">
        <v>69</v>
      </c>
      <c r="I206" s="0" t="s">
        <v>4975</v>
      </c>
      <c r="J206" s="20" t="s">
        <v>25</v>
      </c>
    </row>
    <row r="207" customFormat="false" ht="15" hidden="false" customHeight="false" outlineLevel="0" collapsed="false">
      <c r="A207" s="0" t="s">
        <v>341</v>
      </c>
      <c r="B207" s="0" t="s">
        <v>134</v>
      </c>
      <c r="C207" s="0" t="s">
        <v>3450</v>
      </c>
      <c r="D207" s="0" t="s">
        <v>3448</v>
      </c>
      <c r="E207" s="0" t="s">
        <v>4969</v>
      </c>
      <c r="F207" s="0" t="s">
        <v>62</v>
      </c>
      <c r="G207" s="0" t="s">
        <v>5003</v>
      </c>
      <c r="H207" s="0" t="s">
        <v>5059</v>
      </c>
      <c r="I207" s="0" t="s">
        <v>5005</v>
      </c>
      <c r="J207" s="20" t="s">
        <v>25</v>
      </c>
    </row>
    <row r="208" customFormat="false" ht="15" hidden="false" customHeight="false" outlineLevel="0" collapsed="false">
      <c r="A208" s="0" t="s">
        <v>341</v>
      </c>
      <c r="B208" s="0" t="s">
        <v>134</v>
      </c>
      <c r="C208" s="0" t="s">
        <v>3447</v>
      </c>
      <c r="D208" s="0" t="s">
        <v>3457</v>
      </c>
      <c r="E208" s="0" t="s">
        <v>4963</v>
      </c>
      <c r="F208" s="0" t="s">
        <v>59</v>
      </c>
      <c r="G208" s="0" t="s">
        <v>4974</v>
      </c>
      <c r="H208" s="0" t="s">
        <v>69</v>
      </c>
      <c r="I208" s="0" t="s">
        <v>4975</v>
      </c>
      <c r="J208" s="20" t="s">
        <v>25</v>
      </c>
    </row>
    <row r="209" customFormat="false" ht="15" hidden="false" customHeight="false" outlineLevel="0" collapsed="false">
      <c r="A209" s="0" t="s">
        <v>341</v>
      </c>
      <c r="B209" s="0" t="s">
        <v>134</v>
      </c>
      <c r="C209" s="0" t="s">
        <v>3450</v>
      </c>
      <c r="D209" s="0" t="s">
        <v>3457</v>
      </c>
      <c r="E209" s="0" t="s">
        <v>4963</v>
      </c>
      <c r="F209" s="0" t="s">
        <v>30</v>
      </c>
      <c r="G209" s="0" t="s">
        <v>4980</v>
      </c>
      <c r="H209" s="0" t="s">
        <v>4291</v>
      </c>
      <c r="I209" s="0" t="s">
        <v>4981</v>
      </c>
      <c r="J209" s="18" t="s">
        <v>24</v>
      </c>
    </row>
    <row r="210" customFormat="false" ht="15" hidden="false" customHeight="false" outlineLevel="0" collapsed="false">
      <c r="A210" s="0" t="s">
        <v>341</v>
      </c>
      <c r="B210" s="0" t="s">
        <v>134</v>
      </c>
      <c r="C210" s="0" t="s">
        <v>3450</v>
      </c>
      <c r="D210" s="0" t="s">
        <v>3448</v>
      </c>
      <c r="E210" s="0" t="s">
        <v>4963</v>
      </c>
      <c r="F210" s="0" t="s">
        <v>30</v>
      </c>
      <c r="G210" s="0" t="s">
        <v>4980</v>
      </c>
      <c r="H210" s="0" t="s">
        <v>4242</v>
      </c>
      <c r="I210" s="0" t="s">
        <v>4981</v>
      </c>
      <c r="J210" s="18" t="s">
        <v>24</v>
      </c>
    </row>
    <row r="211" customFormat="false" ht="15" hidden="false" customHeight="false" outlineLevel="0" collapsed="false">
      <c r="A211" s="0" t="s">
        <v>341</v>
      </c>
      <c r="B211" s="0" t="s">
        <v>134</v>
      </c>
      <c r="C211" s="0" t="s">
        <v>3447</v>
      </c>
      <c r="D211" s="0" t="s">
        <v>3457</v>
      </c>
      <c r="E211" s="0" t="s">
        <v>4963</v>
      </c>
      <c r="F211" s="0" t="s">
        <v>30</v>
      </c>
      <c r="G211" s="0" t="s">
        <v>4980</v>
      </c>
      <c r="H211" s="0" t="s">
        <v>4242</v>
      </c>
      <c r="I211" s="0" t="s">
        <v>4981</v>
      </c>
      <c r="J211" s="18" t="s">
        <v>24</v>
      </c>
    </row>
    <row r="212" customFormat="false" ht="15" hidden="false" customHeight="false" outlineLevel="0" collapsed="false">
      <c r="A212" s="0" t="s">
        <v>354</v>
      </c>
      <c r="B212" s="0" t="s">
        <v>134</v>
      </c>
      <c r="C212" s="0" t="s">
        <v>3450</v>
      </c>
      <c r="D212" s="0" t="s">
        <v>3457</v>
      </c>
      <c r="E212" s="0" t="s">
        <v>4969</v>
      </c>
      <c r="F212" s="0" t="s">
        <v>62</v>
      </c>
      <c r="G212" s="0" t="s">
        <v>5003</v>
      </c>
      <c r="H212" s="0" t="s">
        <v>5060</v>
      </c>
      <c r="I212" s="0" t="s">
        <v>5005</v>
      </c>
      <c r="J212" s="20" t="s">
        <v>25</v>
      </c>
    </row>
    <row r="213" customFormat="false" ht="15" hidden="false" customHeight="false" outlineLevel="0" collapsed="false">
      <c r="A213" s="0" t="s">
        <v>354</v>
      </c>
      <c r="B213" s="0" t="s">
        <v>134</v>
      </c>
      <c r="C213" s="0" t="s">
        <v>3450</v>
      </c>
      <c r="D213" s="0" t="s">
        <v>3448</v>
      </c>
      <c r="E213" s="0" t="s">
        <v>4969</v>
      </c>
      <c r="F213" s="0" t="s">
        <v>62</v>
      </c>
      <c r="G213" s="0" t="s">
        <v>5003</v>
      </c>
      <c r="H213" s="0" t="s">
        <v>5061</v>
      </c>
      <c r="I213" s="0" t="s">
        <v>5005</v>
      </c>
      <c r="J213" s="20" t="s">
        <v>25</v>
      </c>
    </row>
    <row r="214" customFormat="false" ht="15" hidden="false" customHeight="false" outlineLevel="0" collapsed="false">
      <c r="A214" s="0" t="s">
        <v>354</v>
      </c>
      <c r="B214" s="0" t="s">
        <v>134</v>
      </c>
      <c r="C214" s="0" t="s">
        <v>3450</v>
      </c>
      <c r="D214" s="0" t="s">
        <v>3448</v>
      </c>
      <c r="E214" s="0" t="s">
        <v>4969</v>
      </c>
      <c r="F214" s="0" t="s">
        <v>63</v>
      </c>
      <c r="G214" s="0" t="s">
        <v>4220</v>
      </c>
      <c r="H214" s="0" t="s">
        <v>5040</v>
      </c>
      <c r="I214" s="0" t="s">
        <v>4979</v>
      </c>
      <c r="J214" s="20" t="s">
        <v>25</v>
      </c>
    </row>
    <row r="215" customFormat="false" ht="15" hidden="false" customHeight="false" outlineLevel="0" collapsed="false">
      <c r="A215" s="0" t="s">
        <v>354</v>
      </c>
      <c r="B215" s="0" t="s">
        <v>134</v>
      </c>
      <c r="C215" s="0" t="s">
        <v>3447</v>
      </c>
      <c r="D215" s="0" t="s">
        <v>3448</v>
      </c>
      <c r="E215" s="0" t="s">
        <v>4969</v>
      </c>
      <c r="F215" s="0" t="s">
        <v>63</v>
      </c>
      <c r="G215" s="0" t="s">
        <v>4220</v>
      </c>
      <c r="H215" s="0" t="s">
        <v>5040</v>
      </c>
      <c r="I215" s="0" t="s">
        <v>4979</v>
      </c>
      <c r="J215" s="20" t="s">
        <v>25</v>
      </c>
    </row>
    <row r="216" customFormat="false" ht="15" hidden="false" customHeight="false" outlineLevel="0" collapsed="false">
      <c r="A216" s="0" t="s">
        <v>354</v>
      </c>
      <c r="B216" s="0" t="s">
        <v>3459</v>
      </c>
      <c r="C216" s="0" t="s">
        <v>3450</v>
      </c>
      <c r="D216" s="0" t="s">
        <v>3457</v>
      </c>
      <c r="E216" s="0" t="s">
        <v>4969</v>
      </c>
      <c r="F216" s="0" t="s">
        <v>62</v>
      </c>
      <c r="G216" s="0" t="s">
        <v>5003</v>
      </c>
      <c r="H216" s="0" t="s">
        <v>5062</v>
      </c>
      <c r="I216" s="0" t="s">
        <v>5005</v>
      </c>
      <c r="J216" s="20" t="s">
        <v>25</v>
      </c>
    </row>
    <row r="217" customFormat="false" ht="15" hidden="false" customHeight="false" outlineLevel="0" collapsed="false">
      <c r="A217" s="0" t="s">
        <v>354</v>
      </c>
      <c r="B217" s="0" t="s">
        <v>3459</v>
      </c>
      <c r="C217" s="0" t="s">
        <v>3450</v>
      </c>
      <c r="D217" s="0" t="s">
        <v>3457</v>
      </c>
      <c r="E217" s="0" t="s">
        <v>4969</v>
      </c>
      <c r="F217" s="0" t="s">
        <v>63</v>
      </c>
      <c r="G217" s="0" t="s">
        <v>4220</v>
      </c>
      <c r="H217" s="0" t="s">
        <v>5063</v>
      </c>
      <c r="I217" s="0" t="s">
        <v>4979</v>
      </c>
      <c r="J217" s="20" t="s">
        <v>25</v>
      </c>
    </row>
    <row r="218" customFormat="false" ht="15" hidden="false" customHeight="false" outlineLevel="0" collapsed="false">
      <c r="A218" s="0" t="s">
        <v>354</v>
      </c>
      <c r="B218" s="0" t="s">
        <v>3459</v>
      </c>
      <c r="C218" s="0" t="s">
        <v>3450</v>
      </c>
      <c r="D218" s="0" t="s">
        <v>3448</v>
      </c>
      <c r="E218" s="0" t="s">
        <v>4969</v>
      </c>
      <c r="F218" s="0" t="s">
        <v>62</v>
      </c>
      <c r="G218" s="0" t="s">
        <v>5003</v>
      </c>
      <c r="H218" s="0" t="s">
        <v>5064</v>
      </c>
      <c r="I218" s="0" t="s">
        <v>5005</v>
      </c>
      <c r="J218" s="20" t="s">
        <v>25</v>
      </c>
    </row>
    <row r="219" customFormat="false" ht="15" hidden="false" customHeight="false" outlineLevel="0" collapsed="false">
      <c r="A219" s="0" t="s">
        <v>354</v>
      </c>
      <c r="B219" s="0" t="s">
        <v>3459</v>
      </c>
      <c r="C219" s="0" t="s">
        <v>3450</v>
      </c>
      <c r="D219" s="0" t="s">
        <v>3448</v>
      </c>
      <c r="E219" s="0" t="s">
        <v>4969</v>
      </c>
      <c r="F219" s="0" t="s">
        <v>63</v>
      </c>
      <c r="G219" s="0" t="s">
        <v>4220</v>
      </c>
      <c r="H219" s="0" t="s">
        <v>5065</v>
      </c>
      <c r="I219" s="0" t="s">
        <v>4979</v>
      </c>
      <c r="J219" s="20" t="s">
        <v>25</v>
      </c>
    </row>
    <row r="220" customFormat="false" ht="15" hidden="false" customHeight="false" outlineLevel="0" collapsed="false">
      <c r="A220" s="0" t="s">
        <v>354</v>
      </c>
      <c r="B220" s="0" t="s">
        <v>3459</v>
      </c>
      <c r="C220" s="0" t="s">
        <v>3447</v>
      </c>
      <c r="D220" s="0" t="s">
        <v>3457</v>
      </c>
      <c r="E220" s="0" t="s">
        <v>4969</v>
      </c>
      <c r="F220" s="0" t="s">
        <v>63</v>
      </c>
      <c r="G220" s="0" t="s">
        <v>4220</v>
      </c>
      <c r="H220" s="0" t="s">
        <v>5063</v>
      </c>
      <c r="I220" s="0" t="s">
        <v>4979</v>
      </c>
      <c r="J220" s="20" t="s">
        <v>25</v>
      </c>
    </row>
    <row r="221" customFormat="false" ht="15" hidden="false" customHeight="false" outlineLevel="0" collapsed="false">
      <c r="A221" s="0" t="s">
        <v>354</v>
      </c>
      <c r="B221" s="0" t="s">
        <v>3459</v>
      </c>
      <c r="C221" s="0" t="s">
        <v>3447</v>
      </c>
      <c r="D221" s="0" t="s">
        <v>3448</v>
      </c>
      <c r="E221" s="0" t="s">
        <v>4963</v>
      </c>
      <c r="F221" s="0" t="s">
        <v>59</v>
      </c>
      <c r="G221" s="0" t="s">
        <v>4974</v>
      </c>
      <c r="H221" s="0" t="s">
        <v>69</v>
      </c>
      <c r="I221" s="0" t="s">
        <v>4975</v>
      </c>
      <c r="J221" s="20" t="s">
        <v>25</v>
      </c>
    </row>
    <row r="222" customFormat="false" ht="15" hidden="false" customHeight="false" outlineLevel="0" collapsed="false">
      <c r="A222" s="0" t="s">
        <v>354</v>
      </c>
      <c r="B222" s="0" t="s">
        <v>3459</v>
      </c>
      <c r="C222" s="0" t="s">
        <v>3447</v>
      </c>
      <c r="D222" s="0" t="s">
        <v>3448</v>
      </c>
      <c r="E222" s="0" t="s">
        <v>4969</v>
      </c>
      <c r="F222" s="0" t="s">
        <v>63</v>
      </c>
      <c r="G222" s="0" t="s">
        <v>4220</v>
      </c>
      <c r="H222" s="0" t="s">
        <v>5065</v>
      </c>
      <c r="I222" s="0" t="s">
        <v>4979</v>
      </c>
      <c r="J222" s="20" t="s">
        <v>25</v>
      </c>
    </row>
    <row r="223" customFormat="false" ht="15" hidden="false" customHeight="false" outlineLevel="0" collapsed="false">
      <c r="A223" s="0" t="s">
        <v>354</v>
      </c>
      <c r="B223" s="0" t="s">
        <v>134</v>
      </c>
      <c r="C223" s="0" t="s">
        <v>3447</v>
      </c>
      <c r="D223" s="0" t="s">
        <v>3457</v>
      </c>
      <c r="E223" s="0" t="s">
        <v>4963</v>
      </c>
      <c r="F223" s="0" t="s">
        <v>30</v>
      </c>
      <c r="G223" s="0" t="s">
        <v>4980</v>
      </c>
      <c r="H223" s="0" t="s">
        <v>4293</v>
      </c>
      <c r="I223" s="0" t="s">
        <v>4981</v>
      </c>
      <c r="J223" s="18" t="s">
        <v>24</v>
      </c>
    </row>
    <row r="224" customFormat="false" ht="15" hidden="false" customHeight="false" outlineLevel="0" collapsed="false">
      <c r="A224" s="0" t="s">
        <v>354</v>
      </c>
      <c r="B224" s="0" t="s">
        <v>134</v>
      </c>
      <c r="C224" s="0" t="s">
        <v>3447</v>
      </c>
      <c r="D224" s="0" t="s">
        <v>3448</v>
      </c>
      <c r="E224" s="0" t="s">
        <v>4963</v>
      </c>
      <c r="F224" s="0" t="s">
        <v>30</v>
      </c>
      <c r="G224" s="0" t="s">
        <v>4980</v>
      </c>
      <c r="H224" s="0" t="s">
        <v>4294</v>
      </c>
      <c r="I224" s="0" t="s">
        <v>4981</v>
      </c>
      <c r="J224" s="18" t="s">
        <v>24</v>
      </c>
    </row>
    <row r="225" customFormat="false" ht="15" hidden="false" customHeight="false" outlineLevel="0" collapsed="false">
      <c r="A225" s="0" t="s">
        <v>354</v>
      </c>
      <c r="B225" s="0" t="s">
        <v>3459</v>
      </c>
      <c r="C225" s="0" t="s">
        <v>3447</v>
      </c>
      <c r="D225" s="0" t="s">
        <v>3457</v>
      </c>
      <c r="E225" s="0" t="s">
        <v>4963</v>
      </c>
      <c r="F225" s="0" t="s">
        <v>30</v>
      </c>
      <c r="G225" s="0" t="s">
        <v>4980</v>
      </c>
      <c r="H225" s="0" t="s">
        <v>4272</v>
      </c>
      <c r="I225" s="0" t="s">
        <v>4981</v>
      </c>
      <c r="J225" s="18" t="s">
        <v>24</v>
      </c>
    </row>
    <row r="226" customFormat="false" ht="15" hidden="false" customHeight="false" outlineLevel="0" collapsed="false">
      <c r="A226" s="0" t="s">
        <v>354</v>
      </c>
      <c r="B226" s="0" t="s">
        <v>3459</v>
      </c>
      <c r="C226" s="0" t="s">
        <v>3447</v>
      </c>
      <c r="D226" s="0" t="s">
        <v>3448</v>
      </c>
      <c r="E226" s="0" t="s">
        <v>4963</v>
      </c>
      <c r="F226" s="0" t="s">
        <v>30</v>
      </c>
      <c r="G226" s="0" t="s">
        <v>4980</v>
      </c>
      <c r="H226" s="0" t="s">
        <v>4275</v>
      </c>
      <c r="I226" s="0" t="s">
        <v>4981</v>
      </c>
      <c r="J226" s="18" t="s">
        <v>24</v>
      </c>
    </row>
    <row r="227" customFormat="false" ht="15" hidden="false" customHeight="false" outlineLevel="0" collapsed="false">
      <c r="A227" s="0" t="s">
        <v>360</v>
      </c>
      <c r="B227" s="0" t="s">
        <v>134</v>
      </c>
      <c r="C227" s="0" t="s">
        <v>3450</v>
      </c>
      <c r="D227" s="0" t="s">
        <v>3457</v>
      </c>
      <c r="E227" s="0" t="s">
        <v>4963</v>
      </c>
      <c r="F227" s="0" t="s">
        <v>65</v>
      </c>
      <c r="G227" s="0" t="s">
        <v>4997</v>
      </c>
      <c r="H227" s="0" t="s">
        <v>3871</v>
      </c>
      <c r="I227" s="0" t="s">
        <v>4998</v>
      </c>
      <c r="J227" s="19" t="s">
        <v>26</v>
      </c>
    </row>
    <row r="228" customFormat="false" ht="15" hidden="false" customHeight="false" outlineLevel="0" collapsed="false">
      <c r="A228" s="0" t="s">
        <v>360</v>
      </c>
      <c r="B228" s="0" t="s">
        <v>134</v>
      </c>
      <c r="C228" s="0" t="s">
        <v>3450</v>
      </c>
      <c r="D228" s="0" t="s">
        <v>3457</v>
      </c>
      <c r="E228" s="0" t="s">
        <v>4963</v>
      </c>
      <c r="F228" s="0" t="s">
        <v>60</v>
      </c>
      <c r="G228" s="0" t="s">
        <v>4964</v>
      </c>
      <c r="H228" s="0" t="s">
        <v>5066</v>
      </c>
      <c r="I228" s="0" t="s">
        <v>4966</v>
      </c>
      <c r="J228" s="19" t="s">
        <v>26</v>
      </c>
    </row>
    <row r="229" customFormat="false" ht="15" hidden="false" customHeight="false" outlineLevel="0" collapsed="false">
      <c r="A229" s="0" t="s">
        <v>360</v>
      </c>
      <c r="B229" s="0" t="s">
        <v>134</v>
      </c>
      <c r="C229" s="0" t="s">
        <v>3450</v>
      </c>
      <c r="D229" s="0" t="s">
        <v>3448</v>
      </c>
      <c r="E229" s="0" t="s">
        <v>4963</v>
      </c>
      <c r="F229" s="0" t="s">
        <v>60</v>
      </c>
      <c r="G229" s="0" t="s">
        <v>4964</v>
      </c>
      <c r="H229" s="0" t="s">
        <v>5046</v>
      </c>
      <c r="I229" s="0" t="s">
        <v>4966</v>
      </c>
      <c r="J229" s="19" t="s">
        <v>26</v>
      </c>
    </row>
    <row r="230" customFormat="false" ht="15" hidden="false" customHeight="false" outlineLevel="0" collapsed="false">
      <c r="A230" s="0" t="s">
        <v>360</v>
      </c>
      <c r="B230" s="0" t="s">
        <v>134</v>
      </c>
      <c r="C230" s="0" t="s">
        <v>3450</v>
      </c>
      <c r="D230" s="0" t="s">
        <v>3457</v>
      </c>
      <c r="E230" s="0" t="s">
        <v>4969</v>
      </c>
      <c r="F230" s="0" t="s">
        <v>63</v>
      </c>
      <c r="G230" s="0" t="s">
        <v>4220</v>
      </c>
      <c r="H230" s="0" t="s">
        <v>5067</v>
      </c>
      <c r="I230" s="0" t="s">
        <v>4979</v>
      </c>
      <c r="J230" s="20" t="s">
        <v>25</v>
      </c>
    </row>
    <row r="231" customFormat="false" ht="15" hidden="false" customHeight="false" outlineLevel="0" collapsed="false">
      <c r="A231" s="0" t="s">
        <v>360</v>
      </c>
      <c r="B231" s="0" t="s">
        <v>134</v>
      </c>
      <c r="C231" s="0" t="s">
        <v>3450</v>
      </c>
      <c r="D231" s="0" t="s">
        <v>3448</v>
      </c>
      <c r="E231" s="0" t="s">
        <v>4963</v>
      </c>
      <c r="F231" s="0" t="s">
        <v>59</v>
      </c>
      <c r="G231" s="0" t="s">
        <v>4974</v>
      </c>
      <c r="H231" s="0" t="s">
        <v>69</v>
      </c>
      <c r="I231" s="0" t="s">
        <v>4975</v>
      </c>
      <c r="J231" s="20" t="s">
        <v>25</v>
      </c>
    </row>
    <row r="232" customFormat="false" ht="15" hidden="false" customHeight="false" outlineLevel="0" collapsed="false">
      <c r="A232" s="0" t="s">
        <v>360</v>
      </c>
      <c r="B232" s="0" t="s">
        <v>134</v>
      </c>
      <c r="C232" s="0" t="s">
        <v>3450</v>
      </c>
      <c r="D232" s="0" t="s">
        <v>3448</v>
      </c>
      <c r="E232" s="0" t="s">
        <v>4969</v>
      </c>
      <c r="F232" s="0" t="s">
        <v>64</v>
      </c>
      <c r="G232" s="0" t="s">
        <v>4220</v>
      </c>
      <c r="H232" s="0" t="s">
        <v>5068</v>
      </c>
      <c r="I232" s="0" t="s">
        <v>4991</v>
      </c>
      <c r="J232" s="20" t="s">
        <v>25</v>
      </c>
    </row>
    <row r="233" customFormat="false" ht="15" hidden="false" customHeight="false" outlineLevel="0" collapsed="false">
      <c r="A233" s="0" t="s">
        <v>360</v>
      </c>
      <c r="B233" s="0" t="s">
        <v>134</v>
      </c>
      <c r="C233" s="0" t="s">
        <v>3447</v>
      </c>
      <c r="D233" s="0" t="s">
        <v>3457</v>
      </c>
      <c r="E233" s="0" t="s">
        <v>4963</v>
      </c>
      <c r="F233" s="0" t="s">
        <v>59</v>
      </c>
      <c r="G233" s="0" t="s">
        <v>4974</v>
      </c>
      <c r="H233" s="0" t="s">
        <v>69</v>
      </c>
      <c r="I233" s="0" t="s">
        <v>4975</v>
      </c>
      <c r="J233" s="20" t="s">
        <v>25</v>
      </c>
    </row>
    <row r="234" customFormat="false" ht="15" hidden="false" customHeight="false" outlineLevel="0" collapsed="false">
      <c r="A234" s="0" t="s">
        <v>360</v>
      </c>
      <c r="B234" s="0" t="s">
        <v>134</v>
      </c>
      <c r="C234" s="0" t="s">
        <v>3447</v>
      </c>
      <c r="D234" s="0" t="s">
        <v>3457</v>
      </c>
      <c r="E234" s="0" t="s">
        <v>4969</v>
      </c>
      <c r="F234" s="0" t="s">
        <v>63</v>
      </c>
      <c r="G234" s="0" t="s">
        <v>4220</v>
      </c>
      <c r="H234" s="0" t="s">
        <v>5067</v>
      </c>
      <c r="I234" s="0" t="s">
        <v>4979</v>
      </c>
      <c r="J234" s="20" t="s">
        <v>25</v>
      </c>
    </row>
    <row r="235" customFormat="false" ht="15" hidden="false" customHeight="false" outlineLevel="0" collapsed="false">
      <c r="A235" s="0" t="s">
        <v>360</v>
      </c>
      <c r="B235" s="0" t="s">
        <v>134</v>
      </c>
      <c r="C235" s="0" t="s">
        <v>3447</v>
      </c>
      <c r="D235" s="0" t="s">
        <v>3448</v>
      </c>
      <c r="E235" s="0" t="s">
        <v>4969</v>
      </c>
      <c r="F235" s="0" t="s">
        <v>64</v>
      </c>
      <c r="G235" s="0" t="s">
        <v>4220</v>
      </c>
      <c r="H235" s="0" t="s">
        <v>5068</v>
      </c>
      <c r="I235" s="0" t="s">
        <v>4991</v>
      </c>
      <c r="J235" s="20" t="s">
        <v>25</v>
      </c>
    </row>
    <row r="236" customFormat="false" ht="15" hidden="false" customHeight="false" outlineLevel="0" collapsed="false">
      <c r="A236" s="0" t="s">
        <v>360</v>
      </c>
      <c r="B236" s="0" t="s">
        <v>134</v>
      </c>
      <c r="C236" s="0" t="s">
        <v>3447</v>
      </c>
      <c r="D236" s="0" t="s">
        <v>3457</v>
      </c>
      <c r="E236" s="0" t="s">
        <v>4963</v>
      </c>
      <c r="F236" s="0" t="s">
        <v>30</v>
      </c>
      <c r="G236" s="0" t="s">
        <v>4980</v>
      </c>
      <c r="H236" s="0" t="s">
        <v>4296</v>
      </c>
      <c r="I236" s="0" t="s">
        <v>4981</v>
      </c>
      <c r="J236" s="18" t="s">
        <v>24</v>
      </c>
    </row>
    <row r="237" customFormat="false" ht="15" hidden="false" customHeight="false" outlineLevel="0" collapsed="false">
      <c r="A237" s="0" t="s">
        <v>360</v>
      </c>
      <c r="B237" s="0" t="s">
        <v>134</v>
      </c>
      <c r="C237" s="0" t="s">
        <v>3447</v>
      </c>
      <c r="D237" s="0" t="s">
        <v>3448</v>
      </c>
      <c r="E237" s="0" t="s">
        <v>4963</v>
      </c>
      <c r="F237" s="0" t="s">
        <v>30</v>
      </c>
      <c r="G237" s="0" t="s">
        <v>4980</v>
      </c>
      <c r="H237" s="0" t="s">
        <v>4297</v>
      </c>
      <c r="I237" s="0" t="s">
        <v>4981</v>
      </c>
      <c r="J237" s="18" t="s">
        <v>24</v>
      </c>
    </row>
    <row r="238" customFormat="false" ht="15" hidden="false" customHeight="false" outlineLevel="0" collapsed="false">
      <c r="A238" s="0" t="s">
        <v>367</v>
      </c>
      <c r="B238" s="0" t="s">
        <v>134</v>
      </c>
      <c r="C238" s="0" t="s">
        <v>3450</v>
      </c>
      <c r="D238" s="0" t="s">
        <v>3457</v>
      </c>
      <c r="E238" s="0" t="s">
        <v>4963</v>
      </c>
      <c r="F238" s="0" t="s">
        <v>59</v>
      </c>
      <c r="G238" s="0" t="s">
        <v>4974</v>
      </c>
      <c r="H238" s="0" t="s">
        <v>69</v>
      </c>
      <c r="I238" s="0" t="s">
        <v>4975</v>
      </c>
      <c r="J238" s="20" t="s">
        <v>25</v>
      </c>
    </row>
    <row r="239" customFormat="false" ht="15" hidden="false" customHeight="false" outlineLevel="0" collapsed="false">
      <c r="A239" s="0" t="s">
        <v>367</v>
      </c>
      <c r="B239" s="0" t="s">
        <v>134</v>
      </c>
      <c r="C239" s="0" t="s">
        <v>3450</v>
      </c>
      <c r="D239" s="0" t="s">
        <v>3457</v>
      </c>
      <c r="E239" s="0" t="s">
        <v>4969</v>
      </c>
      <c r="F239" s="0" t="s">
        <v>62</v>
      </c>
      <c r="G239" s="0" t="s">
        <v>5003</v>
      </c>
      <c r="H239" s="0" t="s">
        <v>5069</v>
      </c>
      <c r="I239" s="0" t="s">
        <v>5005</v>
      </c>
      <c r="J239" s="20" t="s">
        <v>25</v>
      </c>
    </row>
    <row r="240" customFormat="false" ht="15" hidden="false" customHeight="false" outlineLevel="0" collapsed="false">
      <c r="A240" s="0" t="s">
        <v>367</v>
      </c>
      <c r="B240" s="0" t="s">
        <v>134</v>
      </c>
      <c r="C240" s="0" t="s">
        <v>3450</v>
      </c>
      <c r="D240" s="0" t="s">
        <v>3457</v>
      </c>
      <c r="E240" s="0" t="s">
        <v>4969</v>
      </c>
      <c r="F240" s="0" t="s">
        <v>64</v>
      </c>
      <c r="G240" s="0" t="s">
        <v>4220</v>
      </c>
      <c r="H240" s="0" t="s">
        <v>5070</v>
      </c>
      <c r="I240" s="0" t="s">
        <v>4991</v>
      </c>
      <c r="J240" s="20" t="s">
        <v>25</v>
      </c>
    </row>
    <row r="241" customFormat="false" ht="15" hidden="false" customHeight="false" outlineLevel="0" collapsed="false">
      <c r="A241" s="0" t="s">
        <v>367</v>
      </c>
      <c r="B241" s="0" t="s">
        <v>134</v>
      </c>
      <c r="C241" s="0" t="s">
        <v>3450</v>
      </c>
      <c r="D241" s="0" t="s">
        <v>3448</v>
      </c>
      <c r="E241" s="0" t="s">
        <v>4963</v>
      </c>
      <c r="F241" s="0" t="s">
        <v>59</v>
      </c>
      <c r="G241" s="0" t="s">
        <v>4974</v>
      </c>
      <c r="H241" s="0" t="s">
        <v>69</v>
      </c>
      <c r="I241" s="0" t="s">
        <v>4975</v>
      </c>
      <c r="J241" s="20" t="s">
        <v>25</v>
      </c>
    </row>
    <row r="242" customFormat="false" ht="15" hidden="false" customHeight="false" outlineLevel="0" collapsed="false">
      <c r="A242" s="0" t="s">
        <v>367</v>
      </c>
      <c r="B242" s="0" t="s">
        <v>134</v>
      </c>
      <c r="C242" s="0" t="s">
        <v>3450</v>
      </c>
      <c r="D242" s="0" t="s">
        <v>3448</v>
      </c>
      <c r="E242" s="0" t="s">
        <v>4969</v>
      </c>
      <c r="F242" s="0" t="s">
        <v>62</v>
      </c>
      <c r="G242" s="0" t="s">
        <v>5003</v>
      </c>
      <c r="H242" s="0" t="s">
        <v>5071</v>
      </c>
      <c r="I242" s="0" t="s">
        <v>5005</v>
      </c>
      <c r="J242" s="20" t="s">
        <v>25</v>
      </c>
    </row>
    <row r="243" customFormat="false" ht="15" hidden="false" customHeight="false" outlineLevel="0" collapsed="false">
      <c r="A243" s="0" t="s">
        <v>367</v>
      </c>
      <c r="B243" s="0" t="s">
        <v>134</v>
      </c>
      <c r="C243" s="0" t="s">
        <v>3447</v>
      </c>
      <c r="D243" s="0" t="s">
        <v>3457</v>
      </c>
      <c r="E243" s="0" t="s">
        <v>4969</v>
      </c>
      <c r="F243" s="0" t="s">
        <v>61</v>
      </c>
      <c r="G243" s="0" t="s">
        <v>4970</v>
      </c>
      <c r="H243" s="0" t="s">
        <v>5072</v>
      </c>
      <c r="I243" s="0" t="s">
        <v>4972</v>
      </c>
      <c r="J243" s="20" t="s">
        <v>25</v>
      </c>
    </row>
    <row r="244" customFormat="false" ht="15" hidden="false" customHeight="false" outlineLevel="0" collapsed="false">
      <c r="A244" s="0" t="s">
        <v>367</v>
      </c>
      <c r="B244" s="0" t="s">
        <v>134</v>
      </c>
      <c r="C244" s="0" t="s">
        <v>3447</v>
      </c>
      <c r="D244" s="0" t="s">
        <v>3457</v>
      </c>
      <c r="E244" s="0" t="s">
        <v>4969</v>
      </c>
      <c r="F244" s="0" t="s">
        <v>64</v>
      </c>
      <c r="G244" s="0" t="s">
        <v>4220</v>
      </c>
      <c r="H244" s="0" t="s">
        <v>5070</v>
      </c>
      <c r="I244" s="0" t="s">
        <v>4991</v>
      </c>
      <c r="J244" s="20" t="s">
        <v>25</v>
      </c>
    </row>
    <row r="245" customFormat="false" ht="15" hidden="false" customHeight="false" outlineLevel="0" collapsed="false">
      <c r="A245" s="0" t="s">
        <v>367</v>
      </c>
      <c r="B245" s="0" t="s">
        <v>134</v>
      </c>
      <c r="C245" s="0" t="s">
        <v>3447</v>
      </c>
      <c r="D245" s="0" t="s">
        <v>3448</v>
      </c>
      <c r="E245" s="0" t="s">
        <v>4969</v>
      </c>
      <c r="F245" s="0" t="s">
        <v>61</v>
      </c>
      <c r="G245" s="0" t="s">
        <v>4970</v>
      </c>
      <c r="H245" s="0" t="s">
        <v>5073</v>
      </c>
      <c r="I245" s="0" t="s">
        <v>4972</v>
      </c>
      <c r="J245" s="20" t="s">
        <v>25</v>
      </c>
    </row>
    <row r="246" customFormat="false" ht="15" hidden="false" customHeight="false" outlineLevel="0" collapsed="false">
      <c r="A246" s="0" t="s">
        <v>367</v>
      </c>
      <c r="B246" s="0" t="s">
        <v>134</v>
      </c>
      <c r="C246" s="0" t="s">
        <v>3450</v>
      </c>
      <c r="D246" s="0" t="s">
        <v>3457</v>
      </c>
      <c r="E246" s="0" t="s">
        <v>4963</v>
      </c>
      <c r="F246" s="0" t="s">
        <v>30</v>
      </c>
      <c r="G246" s="0" t="s">
        <v>4980</v>
      </c>
      <c r="H246" s="0" t="s">
        <v>4298</v>
      </c>
      <c r="I246" s="0" t="s">
        <v>4981</v>
      </c>
      <c r="J246" s="18" t="s">
        <v>24</v>
      </c>
    </row>
    <row r="247" customFormat="false" ht="15" hidden="false" customHeight="false" outlineLevel="0" collapsed="false">
      <c r="A247" s="0" t="s">
        <v>367</v>
      </c>
      <c r="B247" s="0" t="s">
        <v>134</v>
      </c>
      <c r="C247" s="0" t="s">
        <v>3450</v>
      </c>
      <c r="D247" s="0" t="s">
        <v>3448</v>
      </c>
      <c r="E247" s="0" t="s">
        <v>4963</v>
      </c>
      <c r="F247" s="0" t="s">
        <v>30</v>
      </c>
      <c r="G247" s="0" t="s">
        <v>4980</v>
      </c>
      <c r="H247" s="0" t="s">
        <v>4265</v>
      </c>
      <c r="I247" s="0" t="s">
        <v>4981</v>
      </c>
      <c r="J247" s="18" t="s">
        <v>24</v>
      </c>
    </row>
    <row r="248" customFormat="false" ht="15" hidden="false" customHeight="false" outlineLevel="0" collapsed="false">
      <c r="A248" s="0" t="s">
        <v>367</v>
      </c>
      <c r="B248" s="0" t="s">
        <v>134</v>
      </c>
      <c r="C248" s="0" t="s">
        <v>3447</v>
      </c>
      <c r="D248" s="0" t="s">
        <v>3448</v>
      </c>
      <c r="E248" s="0" t="s">
        <v>4963</v>
      </c>
      <c r="F248" s="0" t="s">
        <v>30</v>
      </c>
      <c r="G248" s="0" t="s">
        <v>4980</v>
      </c>
      <c r="H248" s="0" t="s">
        <v>4228</v>
      </c>
      <c r="I248" s="0" t="s">
        <v>4981</v>
      </c>
      <c r="J248" s="18" t="s">
        <v>24</v>
      </c>
    </row>
    <row r="249" customFormat="false" ht="15" hidden="false" customHeight="false" outlineLevel="0" collapsed="false">
      <c r="A249" s="0" t="s">
        <v>373</v>
      </c>
      <c r="B249" s="0" t="s">
        <v>134</v>
      </c>
      <c r="C249" s="0" t="s">
        <v>3450</v>
      </c>
      <c r="D249" s="0" t="s">
        <v>3457</v>
      </c>
      <c r="E249" s="0" t="s">
        <v>4969</v>
      </c>
      <c r="F249" s="0" t="s">
        <v>63</v>
      </c>
      <c r="G249" s="0" t="s">
        <v>4220</v>
      </c>
      <c r="H249" s="0" t="s">
        <v>5074</v>
      </c>
      <c r="I249" s="0" t="s">
        <v>4979</v>
      </c>
      <c r="J249" s="20" t="s">
        <v>25</v>
      </c>
    </row>
    <row r="250" customFormat="false" ht="15" hidden="false" customHeight="false" outlineLevel="0" collapsed="false">
      <c r="A250" s="0" t="s">
        <v>373</v>
      </c>
      <c r="B250" s="0" t="s">
        <v>134</v>
      </c>
      <c r="C250" s="0" t="s">
        <v>3450</v>
      </c>
      <c r="D250" s="0" t="s">
        <v>3448</v>
      </c>
      <c r="E250" s="0" t="s">
        <v>4969</v>
      </c>
      <c r="F250" s="0" t="s">
        <v>64</v>
      </c>
      <c r="G250" s="0" t="s">
        <v>4220</v>
      </c>
      <c r="H250" s="0" t="s">
        <v>5075</v>
      </c>
      <c r="I250" s="0" t="s">
        <v>4991</v>
      </c>
      <c r="J250" s="20" t="s">
        <v>25</v>
      </c>
    </row>
    <row r="251" customFormat="false" ht="15" hidden="false" customHeight="false" outlineLevel="0" collapsed="false">
      <c r="A251" s="0" t="s">
        <v>373</v>
      </c>
      <c r="B251" s="0" t="s">
        <v>134</v>
      </c>
      <c r="C251" s="0" t="s">
        <v>3447</v>
      </c>
      <c r="D251" s="0" t="s">
        <v>3457</v>
      </c>
      <c r="E251" s="0" t="s">
        <v>4969</v>
      </c>
      <c r="F251" s="0" t="s">
        <v>63</v>
      </c>
      <c r="G251" s="0" t="s">
        <v>4220</v>
      </c>
      <c r="H251" s="0" t="s">
        <v>5074</v>
      </c>
      <c r="I251" s="0" t="s">
        <v>4979</v>
      </c>
      <c r="J251" s="20" t="s">
        <v>25</v>
      </c>
    </row>
    <row r="252" customFormat="false" ht="15" hidden="false" customHeight="false" outlineLevel="0" collapsed="false">
      <c r="A252" s="0" t="s">
        <v>373</v>
      </c>
      <c r="B252" s="0" t="s">
        <v>134</v>
      </c>
      <c r="C252" s="0" t="s">
        <v>3447</v>
      </c>
      <c r="D252" s="0" t="s">
        <v>3448</v>
      </c>
      <c r="E252" s="0" t="s">
        <v>4969</v>
      </c>
      <c r="F252" s="0" t="s">
        <v>64</v>
      </c>
      <c r="G252" s="0" t="s">
        <v>4220</v>
      </c>
      <c r="H252" s="0" t="s">
        <v>5075</v>
      </c>
      <c r="I252" s="0" t="s">
        <v>4991</v>
      </c>
      <c r="J252" s="20" t="s">
        <v>25</v>
      </c>
    </row>
    <row r="253" customFormat="false" ht="15" hidden="false" customHeight="false" outlineLevel="0" collapsed="false">
      <c r="A253" s="0" t="s">
        <v>373</v>
      </c>
      <c r="B253" s="0" t="s">
        <v>3459</v>
      </c>
      <c r="C253" s="0" t="s">
        <v>3450</v>
      </c>
      <c r="D253" s="0" t="s">
        <v>3457</v>
      </c>
      <c r="E253" s="0" t="s">
        <v>4963</v>
      </c>
      <c r="F253" s="0" t="s">
        <v>59</v>
      </c>
      <c r="G253" s="0" t="s">
        <v>4974</v>
      </c>
      <c r="H253" s="0" t="s">
        <v>69</v>
      </c>
      <c r="I253" s="0" t="s">
        <v>4975</v>
      </c>
      <c r="J253" s="20" t="s">
        <v>25</v>
      </c>
    </row>
    <row r="254" customFormat="false" ht="15" hidden="false" customHeight="false" outlineLevel="0" collapsed="false">
      <c r="A254" s="0" t="s">
        <v>373</v>
      </c>
      <c r="B254" s="0" t="s">
        <v>3459</v>
      </c>
      <c r="C254" s="0" t="s">
        <v>3450</v>
      </c>
      <c r="D254" s="0" t="s">
        <v>3457</v>
      </c>
      <c r="E254" s="0" t="s">
        <v>4969</v>
      </c>
      <c r="F254" s="0" t="s">
        <v>61</v>
      </c>
      <c r="G254" s="0" t="s">
        <v>4970</v>
      </c>
      <c r="H254" s="0" t="s">
        <v>5076</v>
      </c>
      <c r="I254" s="0" t="s">
        <v>4972</v>
      </c>
      <c r="J254" s="20" t="s">
        <v>25</v>
      </c>
    </row>
    <row r="255" customFormat="false" ht="15" hidden="false" customHeight="false" outlineLevel="0" collapsed="false">
      <c r="A255" s="0" t="s">
        <v>373</v>
      </c>
      <c r="B255" s="0" t="s">
        <v>3459</v>
      </c>
      <c r="C255" s="0" t="s">
        <v>3447</v>
      </c>
      <c r="D255" s="0" t="s">
        <v>3457</v>
      </c>
      <c r="E255" s="0" t="s">
        <v>4969</v>
      </c>
      <c r="F255" s="0" t="s">
        <v>61</v>
      </c>
      <c r="G255" s="0" t="s">
        <v>4970</v>
      </c>
      <c r="H255" s="0" t="s">
        <v>5077</v>
      </c>
      <c r="I255" s="0" t="s">
        <v>4972</v>
      </c>
      <c r="J255" s="20" t="s">
        <v>25</v>
      </c>
    </row>
    <row r="256" customFormat="false" ht="15" hidden="false" customHeight="false" outlineLevel="0" collapsed="false">
      <c r="A256" s="0" t="s">
        <v>373</v>
      </c>
      <c r="B256" s="0" t="s">
        <v>3459</v>
      </c>
      <c r="C256" s="0" t="s">
        <v>3450</v>
      </c>
      <c r="D256" s="0" t="s">
        <v>3457</v>
      </c>
      <c r="E256" s="0" t="s">
        <v>4963</v>
      </c>
      <c r="F256" s="0" t="s">
        <v>30</v>
      </c>
      <c r="G256" s="0" t="s">
        <v>4980</v>
      </c>
      <c r="H256" s="0" t="s">
        <v>4275</v>
      </c>
      <c r="I256" s="0" t="s">
        <v>4981</v>
      </c>
      <c r="J256" s="18" t="s">
        <v>24</v>
      </c>
    </row>
    <row r="257" customFormat="false" ht="15" hidden="false" customHeight="false" outlineLevel="0" collapsed="false">
      <c r="A257" s="0" t="s">
        <v>380</v>
      </c>
      <c r="B257" s="0" t="s">
        <v>134</v>
      </c>
      <c r="C257" s="0" t="s">
        <v>3447</v>
      </c>
      <c r="D257" s="0" t="s">
        <v>3448</v>
      </c>
      <c r="E257" s="0" t="s">
        <v>4963</v>
      </c>
      <c r="F257" s="0" t="s">
        <v>60</v>
      </c>
      <c r="G257" s="0" t="s">
        <v>4964</v>
      </c>
      <c r="H257" s="0" t="s">
        <v>5078</v>
      </c>
      <c r="I257" s="0" t="s">
        <v>4966</v>
      </c>
      <c r="J257" s="19" t="s">
        <v>26</v>
      </c>
    </row>
    <row r="258" customFormat="false" ht="15" hidden="false" customHeight="false" outlineLevel="0" collapsed="false">
      <c r="A258" s="0" t="s">
        <v>380</v>
      </c>
      <c r="B258" s="0" t="s">
        <v>134</v>
      </c>
      <c r="C258" s="0" t="s">
        <v>3450</v>
      </c>
      <c r="D258" s="0" t="s">
        <v>3457</v>
      </c>
      <c r="E258" s="0" t="s">
        <v>4969</v>
      </c>
      <c r="F258" s="0" t="s">
        <v>66</v>
      </c>
      <c r="G258" s="0" t="s">
        <v>4970</v>
      </c>
      <c r="H258" s="0" t="s">
        <v>5079</v>
      </c>
      <c r="I258" s="0" t="s">
        <v>5030</v>
      </c>
      <c r="J258" s="20" t="s">
        <v>25</v>
      </c>
    </row>
    <row r="259" customFormat="false" ht="15" hidden="false" customHeight="false" outlineLevel="0" collapsed="false">
      <c r="A259" s="0" t="s">
        <v>380</v>
      </c>
      <c r="B259" s="0" t="s">
        <v>134</v>
      </c>
      <c r="C259" s="0" t="s">
        <v>3450</v>
      </c>
      <c r="D259" s="0" t="s">
        <v>3448</v>
      </c>
      <c r="E259" s="0" t="s">
        <v>4969</v>
      </c>
      <c r="F259" s="0" t="s">
        <v>63</v>
      </c>
      <c r="G259" s="0" t="s">
        <v>4220</v>
      </c>
      <c r="H259" s="0" t="s">
        <v>5080</v>
      </c>
      <c r="I259" s="0" t="s">
        <v>4979</v>
      </c>
      <c r="J259" s="20" t="s">
        <v>25</v>
      </c>
    </row>
    <row r="260" customFormat="false" ht="15" hidden="false" customHeight="false" outlineLevel="0" collapsed="false">
      <c r="A260" s="0" t="s">
        <v>380</v>
      </c>
      <c r="B260" s="0" t="s">
        <v>134</v>
      </c>
      <c r="C260" s="0" t="s">
        <v>3447</v>
      </c>
      <c r="D260" s="0" t="s">
        <v>3457</v>
      </c>
      <c r="E260" s="0" t="s">
        <v>4969</v>
      </c>
      <c r="F260" s="0" t="s">
        <v>66</v>
      </c>
      <c r="G260" s="0" t="s">
        <v>4970</v>
      </c>
      <c r="H260" s="0" t="s">
        <v>5081</v>
      </c>
      <c r="I260" s="0" t="s">
        <v>5030</v>
      </c>
      <c r="J260" s="20" t="s">
        <v>25</v>
      </c>
    </row>
    <row r="261" customFormat="false" ht="15" hidden="false" customHeight="false" outlineLevel="0" collapsed="false">
      <c r="A261" s="0" t="s">
        <v>380</v>
      </c>
      <c r="B261" s="0" t="s">
        <v>134</v>
      </c>
      <c r="C261" s="0" t="s">
        <v>3447</v>
      </c>
      <c r="D261" s="0" t="s">
        <v>3448</v>
      </c>
      <c r="E261" s="0" t="s">
        <v>4963</v>
      </c>
      <c r="F261" s="0" t="s">
        <v>59</v>
      </c>
      <c r="G261" s="0" t="s">
        <v>4974</v>
      </c>
      <c r="H261" s="0" t="s">
        <v>69</v>
      </c>
      <c r="I261" s="0" t="s">
        <v>4975</v>
      </c>
      <c r="J261" s="20" t="s">
        <v>25</v>
      </c>
    </row>
    <row r="262" customFormat="false" ht="15" hidden="false" customHeight="false" outlineLevel="0" collapsed="false">
      <c r="A262" s="0" t="s">
        <v>380</v>
      </c>
      <c r="B262" s="0" t="s">
        <v>134</v>
      </c>
      <c r="C262" s="0" t="s">
        <v>3447</v>
      </c>
      <c r="D262" s="0" t="s">
        <v>3448</v>
      </c>
      <c r="E262" s="0" t="s">
        <v>4969</v>
      </c>
      <c r="F262" s="0" t="s">
        <v>63</v>
      </c>
      <c r="G262" s="0" t="s">
        <v>4220</v>
      </c>
      <c r="H262" s="0" t="s">
        <v>5080</v>
      </c>
      <c r="I262" s="0" t="s">
        <v>4979</v>
      </c>
      <c r="J262" s="20" t="s">
        <v>25</v>
      </c>
    </row>
    <row r="263" customFormat="false" ht="15" hidden="false" customHeight="false" outlineLevel="0" collapsed="false">
      <c r="A263" s="0" t="s">
        <v>380</v>
      </c>
      <c r="B263" s="0" t="s">
        <v>134</v>
      </c>
      <c r="C263" s="0" t="s">
        <v>3450</v>
      </c>
      <c r="D263" s="0" t="s">
        <v>3448</v>
      </c>
      <c r="E263" s="0" t="s">
        <v>4963</v>
      </c>
      <c r="F263" s="0" t="s">
        <v>30</v>
      </c>
      <c r="G263" s="0" t="s">
        <v>4980</v>
      </c>
      <c r="H263" s="0" t="s">
        <v>4228</v>
      </c>
      <c r="I263" s="0" t="s">
        <v>4981</v>
      </c>
      <c r="J263" s="18" t="s">
        <v>24</v>
      </c>
    </row>
    <row r="264" customFormat="false" ht="15" hidden="false" customHeight="false" outlineLevel="0" collapsed="false">
      <c r="A264" s="0" t="s">
        <v>380</v>
      </c>
      <c r="B264" s="0" t="s">
        <v>134</v>
      </c>
      <c r="C264" s="0" t="s">
        <v>3447</v>
      </c>
      <c r="D264" s="0" t="s">
        <v>3457</v>
      </c>
      <c r="E264" s="0" t="s">
        <v>4963</v>
      </c>
      <c r="F264" s="0" t="s">
        <v>30</v>
      </c>
      <c r="G264" s="0" t="s">
        <v>4980</v>
      </c>
      <c r="H264" s="0" t="s">
        <v>4299</v>
      </c>
      <c r="I264" s="0" t="s">
        <v>4981</v>
      </c>
      <c r="J264" s="18" t="s">
        <v>24</v>
      </c>
    </row>
    <row r="265" customFormat="false" ht="15" hidden="false" customHeight="false" outlineLevel="0" collapsed="false">
      <c r="A265" s="0" t="s">
        <v>388</v>
      </c>
      <c r="B265" s="0" t="s">
        <v>134</v>
      </c>
      <c r="C265" s="0" t="s">
        <v>3450</v>
      </c>
      <c r="D265" s="0" t="s">
        <v>3457</v>
      </c>
      <c r="E265" s="0" t="s">
        <v>4963</v>
      </c>
      <c r="F265" s="0" t="s">
        <v>60</v>
      </c>
      <c r="G265" s="0" t="s">
        <v>4964</v>
      </c>
      <c r="H265" s="0" t="s">
        <v>5082</v>
      </c>
      <c r="I265" s="0" t="s">
        <v>4966</v>
      </c>
      <c r="J265" s="19" t="s">
        <v>26</v>
      </c>
    </row>
    <row r="266" customFormat="false" ht="15" hidden="false" customHeight="false" outlineLevel="0" collapsed="false">
      <c r="A266" s="0" t="s">
        <v>388</v>
      </c>
      <c r="B266" s="0" t="s">
        <v>134</v>
      </c>
      <c r="C266" s="0" t="s">
        <v>3450</v>
      </c>
      <c r="D266" s="0" t="s">
        <v>3457</v>
      </c>
      <c r="E266" s="0" t="s">
        <v>4963</v>
      </c>
      <c r="F266" s="0" t="s">
        <v>59</v>
      </c>
      <c r="G266" s="0" t="s">
        <v>4974</v>
      </c>
      <c r="H266" s="0" t="s">
        <v>69</v>
      </c>
      <c r="I266" s="0" t="s">
        <v>4975</v>
      </c>
      <c r="J266" s="20" t="s">
        <v>25</v>
      </c>
    </row>
    <row r="267" customFormat="false" ht="15" hidden="false" customHeight="false" outlineLevel="0" collapsed="false">
      <c r="A267" s="0" t="s">
        <v>388</v>
      </c>
      <c r="B267" s="0" t="s">
        <v>134</v>
      </c>
      <c r="C267" s="0" t="s">
        <v>3450</v>
      </c>
      <c r="D267" s="0" t="s">
        <v>3448</v>
      </c>
      <c r="E267" s="0" t="s">
        <v>4963</v>
      </c>
      <c r="F267" s="0" t="s">
        <v>59</v>
      </c>
      <c r="G267" s="0" t="s">
        <v>4974</v>
      </c>
      <c r="H267" s="0" t="s">
        <v>69</v>
      </c>
      <c r="I267" s="0" t="s">
        <v>4975</v>
      </c>
      <c r="J267" s="20" t="s">
        <v>25</v>
      </c>
    </row>
    <row r="268" customFormat="false" ht="15" hidden="false" customHeight="false" outlineLevel="0" collapsed="false">
      <c r="A268" s="0" t="s">
        <v>388</v>
      </c>
      <c r="B268" s="0" t="s">
        <v>134</v>
      </c>
      <c r="C268" s="0" t="s">
        <v>3450</v>
      </c>
      <c r="D268" s="0" t="s">
        <v>3448</v>
      </c>
      <c r="E268" s="0" t="s">
        <v>4969</v>
      </c>
      <c r="F268" s="0" t="s">
        <v>62</v>
      </c>
      <c r="G268" s="0" t="s">
        <v>5003</v>
      </c>
      <c r="H268" s="0" t="s">
        <v>5083</v>
      </c>
      <c r="I268" s="0" t="s">
        <v>5005</v>
      </c>
      <c r="J268" s="20" t="s">
        <v>25</v>
      </c>
    </row>
    <row r="269" customFormat="false" ht="15" hidden="false" customHeight="false" outlineLevel="0" collapsed="false">
      <c r="A269" s="0" t="s">
        <v>388</v>
      </c>
      <c r="B269" s="0" t="s">
        <v>134</v>
      </c>
      <c r="C269" s="0" t="s">
        <v>3450</v>
      </c>
      <c r="D269" s="0" t="s">
        <v>3448</v>
      </c>
      <c r="E269" s="0" t="s">
        <v>4963</v>
      </c>
      <c r="F269" s="0" t="s">
        <v>30</v>
      </c>
      <c r="G269" s="0" t="s">
        <v>4980</v>
      </c>
      <c r="H269" s="0" t="s">
        <v>4302</v>
      </c>
      <c r="I269" s="0" t="s">
        <v>4981</v>
      </c>
      <c r="J269" s="18" t="s">
        <v>24</v>
      </c>
    </row>
    <row r="270" customFormat="false" ht="15" hidden="false" customHeight="false" outlineLevel="0" collapsed="false">
      <c r="A270" s="0" t="s">
        <v>388</v>
      </c>
      <c r="B270" s="0" t="s">
        <v>134</v>
      </c>
      <c r="C270" s="0" t="s">
        <v>3447</v>
      </c>
      <c r="D270" s="0" t="s">
        <v>3457</v>
      </c>
      <c r="E270" s="0" t="s">
        <v>4963</v>
      </c>
      <c r="F270" s="0" t="s">
        <v>30</v>
      </c>
      <c r="G270" s="0" t="s">
        <v>4980</v>
      </c>
      <c r="H270" s="0" t="s">
        <v>4303</v>
      </c>
      <c r="I270" s="0" t="s">
        <v>4981</v>
      </c>
      <c r="J270" s="18" t="s">
        <v>24</v>
      </c>
    </row>
    <row r="271" customFormat="false" ht="15" hidden="false" customHeight="false" outlineLevel="0" collapsed="false">
      <c r="A271" s="0" t="s">
        <v>388</v>
      </c>
      <c r="B271" s="0" t="s">
        <v>134</v>
      </c>
      <c r="C271" s="0" t="s">
        <v>3447</v>
      </c>
      <c r="D271" s="0" t="s">
        <v>3448</v>
      </c>
      <c r="E271" s="0" t="s">
        <v>4963</v>
      </c>
      <c r="F271" s="0" t="s">
        <v>30</v>
      </c>
      <c r="G271" s="0" t="s">
        <v>4980</v>
      </c>
      <c r="H271" s="0" t="s">
        <v>4304</v>
      </c>
      <c r="I271" s="0" t="s">
        <v>4981</v>
      </c>
      <c r="J271" s="18" t="s">
        <v>24</v>
      </c>
    </row>
    <row r="272" customFormat="false" ht="15" hidden="false" customHeight="false" outlineLevel="0" collapsed="false">
      <c r="A272" s="0" t="s">
        <v>395</v>
      </c>
      <c r="B272" s="0" t="s">
        <v>134</v>
      </c>
      <c r="C272" s="0" t="s">
        <v>3450</v>
      </c>
      <c r="D272" s="0" t="s">
        <v>3457</v>
      </c>
      <c r="E272" s="0" t="s">
        <v>4963</v>
      </c>
      <c r="F272" s="0" t="s">
        <v>60</v>
      </c>
      <c r="G272" s="0" t="s">
        <v>4964</v>
      </c>
      <c r="H272" s="0" t="s">
        <v>5084</v>
      </c>
      <c r="I272" s="0" t="s">
        <v>4966</v>
      </c>
      <c r="J272" s="19" t="s">
        <v>26</v>
      </c>
    </row>
    <row r="273" customFormat="false" ht="15" hidden="false" customHeight="false" outlineLevel="0" collapsed="false">
      <c r="A273" s="0" t="s">
        <v>395</v>
      </c>
      <c r="B273" s="0" t="s">
        <v>134</v>
      </c>
      <c r="C273" s="0" t="s">
        <v>3450</v>
      </c>
      <c r="D273" s="0" t="s">
        <v>3448</v>
      </c>
      <c r="E273" s="0" t="s">
        <v>4963</v>
      </c>
      <c r="F273" s="0" t="s">
        <v>60</v>
      </c>
      <c r="G273" s="0" t="s">
        <v>4964</v>
      </c>
      <c r="H273" s="0" t="s">
        <v>5085</v>
      </c>
      <c r="I273" s="0" t="s">
        <v>4966</v>
      </c>
      <c r="J273" s="19" t="s">
        <v>26</v>
      </c>
    </row>
    <row r="274" customFormat="false" ht="15" hidden="false" customHeight="false" outlineLevel="0" collapsed="false">
      <c r="A274" s="0" t="s">
        <v>395</v>
      </c>
      <c r="B274" s="0" t="s">
        <v>134</v>
      </c>
      <c r="C274" s="0" t="s">
        <v>3447</v>
      </c>
      <c r="D274" s="0" t="s">
        <v>3457</v>
      </c>
      <c r="E274" s="0" t="s">
        <v>4963</v>
      </c>
      <c r="F274" s="0" t="s">
        <v>60</v>
      </c>
      <c r="G274" s="0" t="s">
        <v>4964</v>
      </c>
      <c r="H274" s="0" t="s">
        <v>5046</v>
      </c>
      <c r="I274" s="0" t="s">
        <v>4966</v>
      </c>
      <c r="J274" s="19" t="s">
        <v>26</v>
      </c>
    </row>
    <row r="275" customFormat="false" ht="15" hidden="false" customHeight="false" outlineLevel="0" collapsed="false">
      <c r="A275" s="0" t="s">
        <v>395</v>
      </c>
      <c r="B275" s="0" t="s">
        <v>134</v>
      </c>
      <c r="C275" s="0" t="s">
        <v>3447</v>
      </c>
      <c r="D275" s="0" t="s">
        <v>3448</v>
      </c>
      <c r="E275" s="0" t="s">
        <v>4963</v>
      </c>
      <c r="F275" s="0" t="s">
        <v>60</v>
      </c>
      <c r="G275" s="0" t="s">
        <v>4964</v>
      </c>
      <c r="H275" s="0" t="s">
        <v>5046</v>
      </c>
      <c r="I275" s="0" t="s">
        <v>4966</v>
      </c>
      <c r="J275" s="19" t="s">
        <v>26</v>
      </c>
    </row>
    <row r="276" customFormat="false" ht="15" hidden="false" customHeight="false" outlineLevel="0" collapsed="false">
      <c r="A276" s="0" t="s">
        <v>395</v>
      </c>
      <c r="B276" s="0" t="s">
        <v>3459</v>
      </c>
      <c r="C276" s="0" t="s">
        <v>3450</v>
      </c>
      <c r="D276" s="0" t="s">
        <v>3457</v>
      </c>
      <c r="E276" s="0" t="s">
        <v>4963</v>
      </c>
      <c r="F276" s="0" t="s">
        <v>60</v>
      </c>
      <c r="G276" s="0" t="s">
        <v>4964</v>
      </c>
      <c r="H276" s="0" t="s">
        <v>5086</v>
      </c>
      <c r="I276" s="0" t="s">
        <v>4966</v>
      </c>
      <c r="J276" s="19" t="s">
        <v>26</v>
      </c>
    </row>
    <row r="277" customFormat="false" ht="15" hidden="false" customHeight="false" outlineLevel="0" collapsed="false">
      <c r="A277" s="0" t="s">
        <v>395</v>
      </c>
      <c r="B277" s="0" t="s">
        <v>3459</v>
      </c>
      <c r="C277" s="0" t="s">
        <v>3447</v>
      </c>
      <c r="D277" s="0" t="s">
        <v>3457</v>
      </c>
      <c r="E277" s="0" t="s">
        <v>4963</v>
      </c>
      <c r="F277" s="0" t="s">
        <v>60</v>
      </c>
      <c r="G277" s="0" t="s">
        <v>4964</v>
      </c>
      <c r="H277" s="0" t="s">
        <v>5087</v>
      </c>
      <c r="I277" s="0" t="s">
        <v>4966</v>
      </c>
      <c r="J277" s="19" t="s">
        <v>26</v>
      </c>
    </row>
    <row r="278" customFormat="false" ht="15" hidden="false" customHeight="false" outlineLevel="0" collapsed="false">
      <c r="A278" s="0" t="s">
        <v>395</v>
      </c>
      <c r="B278" s="0" t="s">
        <v>3459</v>
      </c>
      <c r="C278" s="0" t="s">
        <v>3447</v>
      </c>
      <c r="D278" s="0" t="s">
        <v>3448</v>
      </c>
      <c r="E278" s="0" t="s">
        <v>4963</v>
      </c>
      <c r="F278" s="0" t="s">
        <v>60</v>
      </c>
      <c r="G278" s="0" t="s">
        <v>4964</v>
      </c>
      <c r="H278" s="0" t="s">
        <v>5088</v>
      </c>
      <c r="I278" s="0" t="s">
        <v>4966</v>
      </c>
      <c r="J278" s="19" t="s">
        <v>26</v>
      </c>
    </row>
    <row r="279" customFormat="false" ht="15" hidden="false" customHeight="false" outlineLevel="0" collapsed="false">
      <c r="A279" s="0" t="s">
        <v>395</v>
      </c>
      <c r="B279" s="0" t="s">
        <v>134</v>
      </c>
      <c r="C279" s="0" t="s">
        <v>3450</v>
      </c>
      <c r="D279" s="0" t="s">
        <v>3457</v>
      </c>
      <c r="E279" s="0" t="s">
        <v>4963</v>
      </c>
      <c r="F279" s="0" t="s">
        <v>59</v>
      </c>
      <c r="G279" s="0" t="s">
        <v>4974</v>
      </c>
      <c r="H279" s="0" t="s">
        <v>69</v>
      </c>
      <c r="I279" s="0" t="s">
        <v>4975</v>
      </c>
      <c r="J279" s="20" t="s">
        <v>25</v>
      </c>
    </row>
    <row r="280" customFormat="false" ht="15" hidden="false" customHeight="false" outlineLevel="0" collapsed="false">
      <c r="A280" s="0" t="s">
        <v>395</v>
      </c>
      <c r="B280" s="0" t="s">
        <v>134</v>
      </c>
      <c r="C280" s="0" t="s">
        <v>3450</v>
      </c>
      <c r="D280" s="0" t="s">
        <v>3448</v>
      </c>
      <c r="E280" s="0" t="s">
        <v>4963</v>
      </c>
      <c r="F280" s="0" t="s">
        <v>59</v>
      </c>
      <c r="G280" s="0" t="s">
        <v>4974</v>
      </c>
      <c r="H280" s="0" t="s">
        <v>69</v>
      </c>
      <c r="I280" s="0" t="s">
        <v>4975</v>
      </c>
      <c r="J280" s="20" t="s">
        <v>25</v>
      </c>
    </row>
    <row r="281" customFormat="false" ht="15" hidden="false" customHeight="false" outlineLevel="0" collapsed="false">
      <c r="A281" s="0" t="s">
        <v>395</v>
      </c>
      <c r="B281" s="0" t="s">
        <v>134</v>
      </c>
      <c r="C281" s="0" t="s">
        <v>3447</v>
      </c>
      <c r="D281" s="0" t="s">
        <v>3457</v>
      </c>
      <c r="E281" s="0" t="s">
        <v>4963</v>
      </c>
      <c r="F281" s="0" t="s">
        <v>59</v>
      </c>
      <c r="G281" s="0" t="s">
        <v>4974</v>
      </c>
      <c r="H281" s="0" t="s">
        <v>69</v>
      </c>
      <c r="I281" s="0" t="s">
        <v>4975</v>
      </c>
      <c r="J281" s="20" t="s">
        <v>25</v>
      </c>
    </row>
    <row r="282" customFormat="false" ht="15" hidden="false" customHeight="false" outlineLevel="0" collapsed="false">
      <c r="A282" s="0" t="s">
        <v>395</v>
      </c>
      <c r="B282" s="0" t="s">
        <v>134</v>
      </c>
      <c r="C282" s="0" t="s">
        <v>3447</v>
      </c>
      <c r="D282" s="0" t="s">
        <v>3448</v>
      </c>
      <c r="E282" s="0" t="s">
        <v>4963</v>
      </c>
      <c r="F282" s="0" t="s">
        <v>59</v>
      </c>
      <c r="G282" s="0" t="s">
        <v>4974</v>
      </c>
      <c r="H282" s="0" t="s">
        <v>69</v>
      </c>
      <c r="I282" s="0" t="s">
        <v>4975</v>
      </c>
      <c r="J282" s="20" t="s">
        <v>25</v>
      </c>
    </row>
    <row r="283" customFormat="false" ht="15" hidden="false" customHeight="false" outlineLevel="0" collapsed="false">
      <c r="A283" s="0" t="s">
        <v>395</v>
      </c>
      <c r="B283" s="0" t="s">
        <v>3459</v>
      </c>
      <c r="C283" s="0" t="s">
        <v>3450</v>
      </c>
      <c r="D283" s="0" t="s">
        <v>3457</v>
      </c>
      <c r="E283" s="0" t="s">
        <v>4963</v>
      </c>
      <c r="F283" s="0" t="s">
        <v>59</v>
      </c>
      <c r="G283" s="0" t="s">
        <v>4974</v>
      </c>
      <c r="H283" s="0" t="s">
        <v>69</v>
      </c>
      <c r="I283" s="0" t="s">
        <v>4975</v>
      </c>
      <c r="J283" s="20" t="s">
        <v>25</v>
      </c>
    </row>
    <row r="284" customFormat="false" ht="15" hidden="false" customHeight="false" outlineLevel="0" collapsed="false">
      <c r="A284" s="0" t="s">
        <v>395</v>
      </c>
      <c r="B284" s="0" t="s">
        <v>3459</v>
      </c>
      <c r="C284" s="0" t="s">
        <v>3450</v>
      </c>
      <c r="D284" s="0" t="s">
        <v>3457</v>
      </c>
      <c r="E284" s="0" t="s">
        <v>4969</v>
      </c>
      <c r="F284" s="0" t="s">
        <v>64</v>
      </c>
      <c r="G284" s="0" t="s">
        <v>4220</v>
      </c>
      <c r="H284" s="0" t="s">
        <v>5089</v>
      </c>
      <c r="I284" s="0" t="s">
        <v>4991</v>
      </c>
      <c r="J284" s="20" t="s">
        <v>25</v>
      </c>
    </row>
    <row r="285" customFormat="false" ht="15" hidden="false" customHeight="false" outlineLevel="0" collapsed="false">
      <c r="A285" s="0" t="s">
        <v>395</v>
      </c>
      <c r="B285" s="0" t="s">
        <v>3459</v>
      </c>
      <c r="C285" s="0" t="s">
        <v>3450</v>
      </c>
      <c r="D285" s="0" t="s">
        <v>3448</v>
      </c>
      <c r="E285" s="0" t="s">
        <v>4963</v>
      </c>
      <c r="F285" s="0" t="s">
        <v>59</v>
      </c>
      <c r="G285" s="0" t="s">
        <v>4974</v>
      </c>
      <c r="H285" s="0" t="s">
        <v>69</v>
      </c>
      <c r="I285" s="0" t="s">
        <v>4975</v>
      </c>
      <c r="J285" s="20" t="s">
        <v>25</v>
      </c>
    </row>
    <row r="286" customFormat="false" ht="15" hidden="false" customHeight="false" outlineLevel="0" collapsed="false">
      <c r="A286" s="0" t="s">
        <v>395</v>
      </c>
      <c r="B286" s="0" t="s">
        <v>3459</v>
      </c>
      <c r="C286" s="0" t="s">
        <v>3447</v>
      </c>
      <c r="D286" s="0" t="s">
        <v>3457</v>
      </c>
      <c r="E286" s="0" t="s">
        <v>4963</v>
      </c>
      <c r="F286" s="0" t="s">
        <v>59</v>
      </c>
      <c r="G286" s="0" t="s">
        <v>4974</v>
      </c>
      <c r="H286" s="0" t="s">
        <v>69</v>
      </c>
      <c r="I286" s="0" t="s">
        <v>4975</v>
      </c>
      <c r="J286" s="20" t="s">
        <v>25</v>
      </c>
    </row>
    <row r="287" customFormat="false" ht="15" hidden="false" customHeight="false" outlineLevel="0" collapsed="false">
      <c r="A287" s="0" t="s">
        <v>395</v>
      </c>
      <c r="B287" s="0" t="s">
        <v>3459</v>
      </c>
      <c r="C287" s="0" t="s">
        <v>3447</v>
      </c>
      <c r="D287" s="0" t="s">
        <v>3457</v>
      </c>
      <c r="E287" s="0" t="s">
        <v>4969</v>
      </c>
      <c r="F287" s="0" t="s">
        <v>64</v>
      </c>
      <c r="G287" s="0" t="s">
        <v>4220</v>
      </c>
      <c r="H287" s="0" t="s">
        <v>5089</v>
      </c>
      <c r="I287" s="0" t="s">
        <v>4991</v>
      </c>
      <c r="J287" s="20" t="s">
        <v>25</v>
      </c>
    </row>
    <row r="288" customFormat="false" ht="15" hidden="false" customHeight="false" outlineLevel="0" collapsed="false">
      <c r="A288" s="0" t="s">
        <v>395</v>
      </c>
      <c r="B288" s="0" t="s">
        <v>3459</v>
      </c>
      <c r="C288" s="0" t="s">
        <v>3447</v>
      </c>
      <c r="D288" s="0" t="s">
        <v>3448</v>
      </c>
      <c r="E288" s="0" t="s">
        <v>4963</v>
      </c>
      <c r="F288" s="0" t="s">
        <v>59</v>
      </c>
      <c r="G288" s="0" t="s">
        <v>4974</v>
      </c>
      <c r="H288" s="0" t="s">
        <v>69</v>
      </c>
      <c r="I288" s="0" t="s">
        <v>4975</v>
      </c>
      <c r="J288" s="20" t="s">
        <v>25</v>
      </c>
    </row>
    <row r="289" customFormat="false" ht="15" hidden="false" customHeight="false" outlineLevel="0" collapsed="false">
      <c r="A289" s="0" t="s">
        <v>395</v>
      </c>
      <c r="B289" s="0" t="s">
        <v>3459</v>
      </c>
      <c r="C289" s="0" t="s">
        <v>3447</v>
      </c>
      <c r="D289" s="0" t="s">
        <v>3448</v>
      </c>
      <c r="E289" s="0" t="s">
        <v>4969</v>
      </c>
      <c r="F289" s="0" t="s">
        <v>61</v>
      </c>
      <c r="G289" s="0" t="s">
        <v>4970</v>
      </c>
      <c r="H289" s="0" t="s">
        <v>5090</v>
      </c>
      <c r="I289" s="0" t="s">
        <v>4972</v>
      </c>
      <c r="J289" s="20" t="s">
        <v>25</v>
      </c>
    </row>
    <row r="290" customFormat="false" ht="15" hidden="false" customHeight="false" outlineLevel="0" collapsed="false">
      <c r="A290" s="0" t="s">
        <v>395</v>
      </c>
      <c r="B290" s="0" t="s">
        <v>3459</v>
      </c>
      <c r="C290" s="0" t="s">
        <v>3450</v>
      </c>
      <c r="D290" s="0" t="s">
        <v>3448</v>
      </c>
      <c r="E290" s="0" t="s">
        <v>4963</v>
      </c>
      <c r="F290" s="0" t="s">
        <v>30</v>
      </c>
      <c r="G290" s="0" t="s">
        <v>4980</v>
      </c>
      <c r="H290" s="0" t="s">
        <v>4308</v>
      </c>
      <c r="I290" s="0" t="s">
        <v>4981</v>
      </c>
      <c r="J290" s="18" t="s">
        <v>24</v>
      </c>
    </row>
    <row r="291" customFormat="false" ht="15" hidden="false" customHeight="false" outlineLevel="0" collapsed="false">
      <c r="A291" s="0" t="s">
        <v>402</v>
      </c>
      <c r="B291" s="0" t="s">
        <v>134</v>
      </c>
      <c r="C291" s="0" t="s">
        <v>3450</v>
      </c>
      <c r="D291" s="0" t="s">
        <v>3457</v>
      </c>
      <c r="E291" s="0" t="s">
        <v>4963</v>
      </c>
      <c r="F291" s="0" t="s">
        <v>65</v>
      </c>
      <c r="G291" s="0" t="s">
        <v>4997</v>
      </c>
      <c r="H291" s="0" t="s">
        <v>3871</v>
      </c>
      <c r="I291" s="0" t="s">
        <v>4998</v>
      </c>
      <c r="J291" s="19" t="s">
        <v>26</v>
      </c>
    </row>
    <row r="292" customFormat="false" ht="15" hidden="false" customHeight="false" outlineLevel="0" collapsed="false">
      <c r="A292" s="0" t="s">
        <v>402</v>
      </c>
      <c r="B292" s="0" t="s">
        <v>134</v>
      </c>
      <c r="C292" s="0" t="s">
        <v>3450</v>
      </c>
      <c r="D292" s="0" t="s">
        <v>3457</v>
      </c>
      <c r="E292" s="0" t="s">
        <v>4963</v>
      </c>
      <c r="F292" s="0" t="s">
        <v>60</v>
      </c>
      <c r="G292" s="0" t="s">
        <v>4964</v>
      </c>
      <c r="H292" s="0" t="s">
        <v>5091</v>
      </c>
      <c r="I292" s="0" t="s">
        <v>4966</v>
      </c>
      <c r="J292" s="19" t="s">
        <v>26</v>
      </c>
    </row>
    <row r="293" customFormat="false" ht="15" hidden="false" customHeight="false" outlineLevel="0" collapsed="false">
      <c r="A293" s="0" t="s">
        <v>402</v>
      </c>
      <c r="B293" s="0" t="s">
        <v>134</v>
      </c>
      <c r="C293" s="0" t="s">
        <v>3450</v>
      </c>
      <c r="D293" s="0" t="s">
        <v>3448</v>
      </c>
      <c r="E293" s="0" t="s">
        <v>4963</v>
      </c>
      <c r="F293" s="0" t="s">
        <v>65</v>
      </c>
      <c r="G293" s="0" t="s">
        <v>4997</v>
      </c>
      <c r="H293" s="0" t="s">
        <v>3871</v>
      </c>
      <c r="I293" s="0" t="s">
        <v>4998</v>
      </c>
      <c r="J293" s="19" t="s">
        <v>26</v>
      </c>
    </row>
    <row r="294" customFormat="false" ht="15" hidden="false" customHeight="false" outlineLevel="0" collapsed="false">
      <c r="A294" s="0" t="s">
        <v>402</v>
      </c>
      <c r="B294" s="0" t="s">
        <v>134</v>
      </c>
      <c r="C294" s="0" t="s">
        <v>3450</v>
      </c>
      <c r="D294" s="0" t="s">
        <v>3448</v>
      </c>
      <c r="E294" s="0" t="s">
        <v>4963</v>
      </c>
      <c r="F294" s="0" t="s">
        <v>60</v>
      </c>
      <c r="G294" s="0" t="s">
        <v>4964</v>
      </c>
      <c r="H294" s="0" t="s">
        <v>5092</v>
      </c>
      <c r="I294" s="0" t="s">
        <v>4966</v>
      </c>
      <c r="J294" s="19" t="s">
        <v>26</v>
      </c>
    </row>
    <row r="295" customFormat="false" ht="15" hidden="false" customHeight="false" outlineLevel="0" collapsed="false">
      <c r="A295" s="0" t="s">
        <v>402</v>
      </c>
      <c r="B295" s="0" t="s">
        <v>134</v>
      </c>
      <c r="C295" s="0" t="s">
        <v>3447</v>
      </c>
      <c r="D295" s="0" t="s">
        <v>3457</v>
      </c>
      <c r="E295" s="0" t="s">
        <v>4963</v>
      </c>
      <c r="F295" s="0" t="s">
        <v>65</v>
      </c>
      <c r="G295" s="0" t="s">
        <v>4997</v>
      </c>
      <c r="H295" s="0" t="s">
        <v>3871</v>
      </c>
      <c r="I295" s="0" t="s">
        <v>4998</v>
      </c>
      <c r="J295" s="19" t="s">
        <v>26</v>
      </c>
    </row>
    <row r="296" customFormat="false" ht="15" hidden="false" customHeight="false" outlineLevel="0" collapsed="false">
      <c r="A296" s="0" t="s">
        <v>402</v>
      </c>
      <c r="B296" s="0" t="s">
        <v>134</v>
      </c>
      <c r="C296" s="0" t="s">
        <v>3447</v>
      </c>
      <c r="D296" s="0" t="s">
        <v>3457</v>
      </c>
      <c r="E296" s="0" t="s">
        <v>4963</v>
      </c>
      <c r="F296" s="0" t="s">
        <v>60</v>
      </c>
      <c r="G296" s="0" t="s">
        <v>4964</v>
      </c>
      <c r="H296" s="0" t="s">
        <v>5093</v>
      </c>
      <c r="I296" s="0" t="s">
        <v>4966</v>
      </c>
      <c r="J296" s="19" t="s">
        <v>26</v>
      </c>
    </row>
    <row r="297" customFormat="false" ht="15" hidden="false" customHeight="false" outlineLevel="0" collapsed="false">
      <c r="A297" s="0" t="s">
        <v>402</v>
      </c>
      <c r="B297" s="0" t="s">
        <v>134</v>
      </c>
      <c r="C297" s="0" t="s">
        <v>3447</v>
      </c>
      <c r="D297" s="0" t="s">
        <v>3448</v>
      </c>
      <c r="E297" s="0" t="s">
        <v>4963</v>
      </c>
      <c r="F297" s="0" t="s">
        <v>65</v>
      </c>
      <c r="G297" s="0" t="s">
        <v>4997</v>
      </c>
      <c r="H297" s="0" t="s">
        <v>3871</v>
      </c>
      <c r="I297" s="0" t="s">
        <v>4998</v>
      </c>
      <c r="J297" s="19" t="s">
        <v>26</v>
      </c>
    </row>
    <row r="298" customFormat="false" ht="15" hidden="false" customHeight="false" outlineLevel="0" collapsed="false">
      <c r="A298" s="0" t="s">
        <v>402</v>
      </c>
      <c r="B298" s="0" t="s">
        <v>134</v>
      </c>
      <c r="C298" s="0" t="s">
        <v>3447</v>
      </c>
      <c r="D298" s="0" t="s">
        <v>3448</v>
      </c>
      <c r="E298" s="0" t="s">
        <v>4963</v>
      </c>
      <c r="F298" s="0" t="s">
        <v>60</v>
      </c>
      <c r="G298" s="0" t="s">
        <v>4964</v>
      </c>
      <c r="H298" s="0" t="s">
        <v>5094</v>
      </c>
      <c r="I298" s="0" t="s">
        <v>4966</v>
      </c>
      <c r="J298" s="19" t="s">
        <v>26</v>
      </c>
    </row>
    <row r="299" customFormat="false" ht="15" hidden="false" customHeight="false" outlineLevel="0" collapsed="false">
      <c r="A299" s="0" t="s">
        <v>409</v>
      </c>
      <c r="B299" s="0" t="s">
        <v>134</v>
      </c>
      <c r="C299" s="0" t="s">
        <v>3447</v>
      </c>
      <c r="D299" s="0" t="s">
        <v>3457</v>
      </c>
      <c r="E299" s="0" t="s">
        <v>4963</v>
      </c>
      <c r="F299" s="0" t="s">
        <v>60</v>
      </c>
      <c r="G299" s="0" t="s">
        <v>4964</v>
      </c>
      <c r="H299" s="0" t="s">
        <v>5095</v>
      </c>
      <c r="I299" s="0" t="s">
        <v>4966</v>
      </c>
      <c r="J299" s="19" t="s">
        <v>26</v>
      </c>
    </row>
    <row r="300" customFormat="false" ht="15" hidden="false" customHeight="false" outlineLevel="0" collapsed="false">
      <c r="A300" s="0" t="s">
        <v>409</v>
      </c>
      <c r="B300" s="0" t="s">
        <v>134</v>
      </c>
      <c r="C300" s="0" t="s">
        <v>3447</v>
      </c>
      <c r="D300" s="0" t="s">
        <v>3448</v>
      </c>
      <c r="E300" s="0" t="s">
        <v>4963</v>
      </c>
      <c r="F300" s="0" t="s">
        <v>60</v>
      </c>
      <c r="G300" s="0" t="s">
        <v>4964</v>
      </c>
      <c r="H300" s="0" t="s">
        <v>5096</v>
      </c>
      <c r="I300" s="0" t="s">
        <v>4966</v>
      </c>
      <c r="J300" s="19" t="s">
        <v>26</v>
      </c>
    </row>
    <row r="301" customFormat="false" ht="15" hidden="false" customHeight="false" outlineLevel="0" collapsed="false">
      <c r="A301" s="0" t="s">
        <v>409</v>
      </c>
      <c r="B301" s="0" t="s">
        <v>3459</v>
      </c>
      <c r="C301" s="0" t="s">
        <v>3447</v>
      </c>
      <c r="D301" s="0" t="s">
        <v>3457</v>
      </c>
      <c r="E301" s="0" t="s">
        <v>4963</v>
      </c>
      <c r="F301" s="0" t="s">
        <v>60</v>
      </c>
      <c r="G301" s="0" t="s">
        <v>4964</v>
      </c>
      <c r="H301" s="0" t="s">
        <v>5097</v>
      </c>
      <c r="I301" s="0" t="s">
        <v>4966</v>
      </c>
      <c r="J301" s="19" t="s">
        <v>26</v>
      </c>
    </row>
    <row r="302" customFormat="false" ht="15" hidden="false" customHeight="false" outlineLevel="0" collapsed="false">
      <c r="A302" s="0" t="s">
        <v>409</v>
      </c>
      <c r="B302" s="0" t="s">
        <v>3459</v>
      </c>
      <c r="C302" s="0" t="s">
        <v>3447</v>
      </c>
      <c r="D302" s="0" t="s">
        <v>3448</v>
      </c>
      <c r="E302" s="0" t="s">
        <v>4963</v>
      </c>
      <c r="F302" s="0" t="s">
        <v>60</v>
      </c>
      <c r="G302" s="0" t="s">
        <v>4964</v>
      </c>
      <c r="H302" s="0" t="s">
        <v>5098</v>
      </c>
      <c r="I302" s="0" t="s">
        <v>4966</v>
      </c>
      <c r="J302" s="19" t="s">
        <v>26</v>
      </c>
    </row>
    <row r="303" customFormat="false" ht="15" hidden="false" customHeight="false" outlineLevel="0" collapsed="false">
      <c r="A303" s="0" t="s">
        <v>409</v>
      </c>
      <c r="B303" s="0" t="s">
        <v>134</v>
      </c>
      <c r="C303" s="0" t="s">
        <v>3450</v>
      </c>
      <c r="D303" s="0" t="s">
        <v>3457</v>
      </c>
      <c r="E303" s="0" t="s">
        <v>4963</v>
      </c>
      <c r="F303" s="0" t="s">
        <v>59</v>
      </c>
      <c r="G303" s="0" t="s">
        <v>4974</v>
      </c>
      <c r="H303" s="0" t="s">
        <v>69</v>
      </c>
      <c r="I303" s="0" t="s">
        <v>4975</v>
      </c>
      <c r="J303" s="20" t="s">
        <v>25</v>
      </c>
    </row>
    <row r="304" customFormat="false" ht="15" hidden="false" customHeight="false" outlineLevel="0" collapsed="false">
      <c r="A304" s="0" t="s">
        <v>409</v>
      </c>
      <c r="B304" s="0" t="s">
        <v>134</v>
      </c>
      <c r="C304" s="0" t="s">
        <v>3450</v>
      </c>
      <c r="D304" s="0" t="s">
        <v>3448</v>
      </c>
      <c r="E304" s="0" t="s">
        <v>4963</v>
      </c>
      <c r="F304" s="0" t="s">
        <v>59</v>
      </c>
      <c r="G304" s="0" t="s">
        <v>4974</v>
      </c>
      <c r="H304" s="0" t="s">
        <v>69</v>
      </c>
      <c r="I304" s="0" t="s">
        <v>4975</v>
      </c>
      <c r="J304" s="20" t="s">
        <v>25</v>
      </c>
    </row>
    <row r="305" customFormat="false" ht="15" hidden="false" customHeight="false" outlineLevel="0" collapsed="false">
      <c r="A305" s="0" t="s">
        <v>409</v>
      </c>
      <c r="B305" s="0" t="s">
        <v>134</v>
      </c>
      <c r="C305" s="0" t="s">
        <v>3450</v>
      </c>
      <c r="D305" s="0" t="s">
        <v>3448</v>
      </c>
      <c r="E305" s="0" t="s">
        <v>4969</v>
      </c>
      <c r="F305" s="0" t="s">
        <v>64</v>
      </c>
      <c r="G305" s="0" t="s">
        <v>4220</v>
      </c>
      <c r="H305" s="0" t="s">
        <v>5099</v>
      </c>
      <c r="I305" s="0" t="s">
        <v>4991</v>
      </c>
      <c r="J305" s="20" t="s">
        <v>25</v>
      </c>
    </row>
    <row r="306" customFormat="false" ht="15" hidden="false" customHeight="false" outlineLevel="0" collapsed="false">
      <c r="A306" s="0" t="s">
        <v>409</v>
      </c>
      <c r="B306" s="0" t="s">
        <v>134</v>
      </c>
      <c r="C306" s="0" t="s">
        <v>3447</v>
      </c>
      <c r="D306" s="0" t="s">
        <v>3448</v>
      </c>
      <c r="E306" s="0" t="s">
        <v>4969</v>
      </c>
      <c r="F306" s="0" t="s">
        <v>64</v>
      </c>
      <c r="G306" s="0" t="s">
        <v>4220</v>
      </c>
      <c r="H306" s="0" t="s">
        <v>5099</v>
      </c>
      <c r="I306" s="0" t="s">
        <v>4991</v>
      </c>
      <c r="J306" s="20" t="s">
        <v>25</v>
      </c>
    </row>
    <row r="307" customFormat="false" ht="15" hidden="false" customHeight="false" outlineLevel="0" collapsed="false">
      <c r="A307" s="0" t="s">
        <v>409</v>
      </c>
      <c r="B307" s="0" t="s">
        <v>3459</v>
      </c>
      <c r="C307" s="0" t="s">
        <v>3450</v>
      </c>
      <c r="D307" s="0" t="s">
        <v>3457</v>
      </c>
      <c r="E307" s="0" t="s">
        <v>4969</v>
      </c>
      <c r="F307" s="0" t="s">
        <v>61</v>
      </c>
      <c r="G307" s="0" t="s">
        <v>4970</v>
      </c>
      <c r="H307" s="0" t="s">
        <v>5100</v>
      </c>
      <c r="I307" s="0" t="s">
        <v>4972</v>
      </c>
      <c r="J307" s="20" t="s">
        <v>25</v>
      </c>
    </row>
    <row r="308" customFormat="false" ht="15" hidden="false" customHeight="false" outlineLevel="0" collapsed="false">
      <c r="A308" s="0" t="s">
        <v>409</v>
      </c>
      <c r="B308" s="0" t="s">
        <v>3459</v>
      </c>
      <c r="C308" s="0" t="s">
        <v>3450</v>
      </c>
      <c r="D308" s="0" t="s">
        <v>3457</v>
      </c>
      <c r="E308" s="0" t="s">
        <v>4969</v>
      </c>
      <c r="F308" s="0" t="s">
        <v>64</v>
      </c>
      <c r="G308" s="0" t="s">
        <v>4220</v>
      </c>
      <c r="H308" s="0" t="s">
        <v>5101</v>
      </c>
      <c r="I308" s="0" t="s">
        <v>4991</v>
      </c>
      <c r="J308" s="20" t="s">
        <v>25</v>
      </c>
    </row>
    <row r="309" customFormat="false" ht="15" hidden="false" customHeight="false" outlineLevel="0" collapsed="false">
      <c r="A309" s="0" t="s">
        <v>409</v>
      </c>
      <c r="B309" s="0" t="s">
        <v>3459</v>
      </c>
      <c r="C309" s="0" t="s">
        <v>3450</v>
      </c>
      <c r="D309" s="0" t="s">
        <v>3448</v>
      </c>
      <c r="E309" s="0" t="s">
        <v>4963</v>
      </c>
      <c r="F309" s="0" t="s">
        <v>59</v>
      </c>
      <c r="G309" s="0" t="s">
        <v>4974</v>
      </c>
      <c r="H309" s="0" t="s">
        <v>69</v>
      </c>
      <c r="I309" s="0" t="s">
        <v>4975</v>
      </c>
      <c r="J309" s="20" t="s">
        <v>25</v>
      </c>
    </row>
    <row r="310" customFormat="false" ht="15" hidden="false" customHeight="false" outlineLevel="0" collapsed="false">
      <c r="A310" s="0" t="s">
        <v>409</v>
      </c>
      <c r="B310" s="0" t="s">
        <v>3459</v>
      </c>
      <c r="C310" s="0" t="s">
        <v>3450</v>
      </c>
      <c r="D310" s="0" t="s">
        <v>3448</v>
      </c>
      <c r="E310" s="0" t="s">
        <v>4969</v>
      </c>
      <c r="F310" s="0" t="s">
        <v>61</v>
      </c>
      <c r="G310" s="0" t="s">
        <v>4970</v>
      </c>
      <c r="H310" s="0" t="s">
        <v>5102</v>
      </c>
      <c r="I310" s="0" t="s">
        <v>4972</v>
      </c>
      <c r="J310" s="20" t="s">
        <v>25</v>
      </c>
    </row>
    <row r="311" customFormat="false" ht="15" hidden="false" customHeight="false" outlineLevel="0" collapsed="false">
      <c r="A311" s="0" t="s">
        <v>409</v>
      </c>
      <c r="B311" s="0" t="s">
        <v>3459</v>
      </c>
      <c r="C311" s="0" t="s">
        <v>3450</v>
      </c>
      <c r="D311" s="0" t="s">
        <v>3448</v>
      </c>
      <c r="E311" s="0" t="s">
        <v>4969</v>
      </c>
      <c r="F311" s="0" t="s">
        <v>63</v>
      </c>
      <c r="G311" s="0" t="s">
        <v>4220</v>
      </c>
      <c r="H311" s="0" t="s">
        <v>5103</v>
      </c>
      <c r="I311" s="0" t="s">
        <v>4979</v>
      </c>
      <c r="J311" s="20" t="s">
        <v>25</v>
      </c>
    </row>
    <row r="312" customFormat="false" ht="15" hidden="false" customHeight="false" outlineLevel="0" collapsed="false">
      <c r="A312" s="0" t="s">
        <v>409</v>
      </c>
      <c r="B312" s="0" t="s">
        <v>3459</v>
      </c>
      <c r="C312" s="0" t="s">
        <v>3447</v>
      </c>
      <c r="D312" s="0" t="s">
        <v>3457</v>
      </c>
      <c r="E312" s="0" t="s">
        <v>4969</v>
      </c>
      <c r="F312" s="0" t="s">
        <v>64</v>
      </c>
      <c r="G312" s="0" t="s">
        <v>4220</v>
      </c>
      <c r="H312" s="0" t="s">
        <v>5101</v>
      </c>
      <c r="I312" s="0" t="s">
        <v>4991</v>
      </c>
      <c r="J312" s="20" t="s">
        <v>25</v>
      </c>
    </row>
    <row r="313" customFormat="false" ht="15" hidden="false" customHeight="false" outlineLevel="0" collapsed="false">
      <c r="A313" s="0" t="s">
        <v>409</v>
      </c>
      <c r="B313" s="0" t="s">
        <v>3459</v>
      </c>
      <c r="C313" s="0" t="s">
        <v>3447</v>
      </c>
      <c r="D313" s="0" t="s">
        <v>3448</v>
      </c>
      <c r="E313" s="0" t="s">
        <v>4963</v>
      </c>
      <c r="F313" s="0" t="s">
        <v>59</v>
      </c>
      <c r="G313" s="0" t="s">
        <v>4974</v>
      </c>
      <c r="H313" s="0" t="s">
        <v>69</v>
      </c>
      <c r="I313" s="0" t="s">
        <v>4975</v>
      </c>
      <c r="J313" s="20" t="s">
        <v>25</v>
      </c>
    </row>
    <row r="314" customFormat="false" ht="15" hidden="false" customHeight="false" outlineLevel="0" collapsed="false">
      <c r="A314" s="0" t="s">
        <v>409</v>
      </c>
      <c r="B314" s="0" t="s">
        <v>3459</v>
      </c>
      <c r="C314" s="0" t="s">
        <v>3447</v>
      </c>
      <c r="D314" s="0" t="s">
        <v>3448</v>
      </c>
      <c r="E314" s="0" t="s">
        <v>4969</v>
      </c>
      <c r="F314" s="0" t="s">
        <v>61</v>
      </c>
      <c r="G314" s="0" t="s">
        <v>4970</v>
      </c>
      <c r="H314" s="0" t="s">
        <v>5104</v>
      </c>
      <c r="I314" s="0" t="s">
        <v>4972</v>
      </c>
      <c r="J314" s="20" t="s">
        <v>25</v>
      </c>
    </row>
    <row r="315" customFormat="false" ht="15" hidden="false" customHeight="false" outlineLevel="0" collapsed="false">
      <c r="A315" s="0" t="s">
        <v>409</v>
      </c>
      <c r="B315" s="0" t="s">
        <v>3459</v>
      </c>
      <c r="C315" s="0" t="s">
        <v>3447</v>
      </c>
      <c r="D315" s="0" t="s">
        <v>3448</v>
      </c>
      <c r="E315" s="0" t="s">
        <v>4969</v>
      </c>
      <c r="F315" s="0" t="s">
        <v>63</v>
      </c>
      <c r="G315" s="0" t="s">
        <v>4220</v>
      </c>
      <c r="H315" s="0" t="s">
        <v>5103</v>
      </c>
      <c r="I315" s="0" t="s">
        <v>4979</v>
      </c>
      <c r="J315" s="20" t="s">
        <v>25</v>
      </c>
    </row>
    <row r="316" customFormat="false" ht="15" hidden="false" customHeight="false" outlineLevel="0" collapsed="false">
      <c r="A316" s="0" t="s">
        <v>409</v>
      </c>
      <c r="B316" s="0" t="s">
        <v>134</v>
      </c>
      <c r="C316" s="0" t="s">
        <v>3450</v>
      </c>
      <c r="D316" s="0" t="s">
        <v>3457</v>
      </c>
      <c r="E316" s="0" t="s">
        <v>4963</v>
      </c>
      <c r="F316" s="0" t="s">
        <v>30</v>
      </c>
      <c r="G316" s="0" t="s">
        <v>4980</v>
      </c>
      <c r="H316" s="0" t="s">
        <v>4275</v>
      </c>
      <c r="I316" s="0" t="s">
        <v>4981</v>
      </c>
      <c r="J316" s="18" t="s">
        <v>24</v>
      </c>
    </row>
    <row r="317" customFormat="false" ht="15" hidden="false" customHeight="false" outlineLevel="0" collapsed="false">
      <c r="A317" s="0" t="s">
        <v>409</v>
      </c>
      <c r="B317" s="0" t="s">
        <v>134</v>
      </c>
      <c r="C317" s="0" t="s">
        <v>3450</v>
      </c>
      <c r="D317" s="0" t="s">
        <v>3448</v>
      </c>
      <c r="E317" s="0" t="s">
        <v>4963</v>
      </c>
      <c r="F317" s="0" t="s">
        <v>30</v>
      </c>
      <c r="G317" s="0" t="s">
        <v>4980</v>
      </c>
      <c r="H317" s="0" t="s">
        <v>4275</v>
      </c>
      <c r="I317" s="0" t="s">
        <v>4981</v>
      </c>
      <c r="J317" s="18" t="s">
        <v>24</v>
      </c>
    </row>
    <row r="318" customFormat="false" ht="15" hidden="false" customHeight="false" outlineLevel="0" collapsed="false">
      <c r="A318" s="0" t="s">
        <v>409</v>
      </c>
      <c r="B318" s="0" t="s">
        <v>3459</v>
      </c>
      <c r="C318" s="0" t="s">
        <v>3450</v>
      </c>
      <c r="D318" s="0" t="s">
        <v>3448</v>
      </c>
      <c r="E318" s="0" t="s">
        <v>4963</v>
      </c>
      <c r="F318" s="0" t="s">
        <v>30</v>
      </c>
      <c r="G318" s="0" t="s">
        <v>4980</v>
      </c>
      <c r="H318" s="0" t="s">
        <v>4275</v>
      </c>
      <c r="I318" s="0" t="s">
        <v>4981</v>
      </c>
      <c r="J318" s="18" t="s">
        <v>24</v>
      </c>
    </row>
    <row r="319" customFormat="false" ht="15" hidden="false" customHeight="false" outlineLevel="0" collapsed="false">
      <c r="A319" s="0" t="s">
        <v>418</v>
      </c>
      <c r="B319" s="0" t="s">
        <v>134</v>
      </c>
      <c r="C319" s="0" t="s">
        <v>3447</v>
      </c>
      <c r="D319" s="0" t="s">
        <v>3457</v>
      </c>
      <c r="E319" s="0" t="s">
        <v>4963</v>
      </c>
      <c r="F319" s="0" t="s">
        <v>60</v>
      </c>
      <c r="G319" s="0" t="s">
        <v>4964</v>
      </c>
      <c r="H319" s="0" t="s">
        <v>5105</v>
      </c>
      <c r="I319" s="0" t="s">
        <v>4966</v>
      </c>
      <c r="J319" s="19" t="s">
        <v>26</v>
      </c>
    </row>
    <row r="320" customFormat="false" ht="15" hidden="false" customHeight="false" outlineLevel="0" collapsed="false">
      <c r="A320" s="0" t="s">
        <v>418</v>
      </c>
      <c r="B320" s="0" t="s">
        <v>134</v>
      </c>
      <c r="C320" s="0" t="s">
        <v>3450</v>
      </c>
      <c r="D320" s="0" t="s">
        <v>3457</v>
      </c>
      <c r="E320" s="0" t="s">
        <v>4963</v>
      </c>
      <c r="F320" s="0" t="s">
        <v>59</v>
      </c>
      <c r="G320" s="0" t="s">
        <v>4974</v>
      </c>
      <c r="H320" s="0" t="s">
        <v>69</v>
      </c>
      <c r="I320" s="0" t="s">
        <v>4975</v>
      </c>
      <c r="J320" s="20" t="s">
        <v>25</v>
      </c>
    </row>
    <row r="321" customFormat="false" ht="15" hidden="false" customHeight="false" outlineLevel="0" collapsed="false">
      <c r="A321" s="0" t="s">
        <v>418</v>
      </c>
      <c r="B321" s="0" t="s">
        <v>134</v>
      </c>
      <c r="C321" s="0" t="s">
        <v>3450</v>
      </c>
      <c r="D321" s="0" t="s">
        <v>3457</v>
      </c>
      <c r="E321" s="0" t="s">
        <v>4969</v>
      </c>
      <c r="F321" s="0" t="s">
        <v>64</v>
      </c>
      <c r="G321" s="0" t="s">
        <v>4220</v>
      </c>
      <c r="H321" s="0" t="s">
        <v>5106</v>
      </c>
      <c r="I321" s="0" t="s">
        <v>4991</v>
      </c>
      <c r="J321" s="20" t="s">
        <v>25</v>
      </c>
    </row>
    <row r="322" customFormat="false" ht="15" hidden="false" customHeight="false" outlineLevel="0" collapsed="false">
      <c r="A322" s="0" t="s">
        <v>418</v>
      </c>
      <c r="B322" s="0" t="s">
        <v>134</v>
      </c>
      <c r="C322" s="0" t="s">
        <v>3450</v>
      </c>
      <c r="D322" s="0" t="s">
        <v>3448</v>
      </c>
      <c r="E322" s="0" t="s">
        <v>4963</v>
      </c>
      <c r="F322" s="0" t="s">
        <v>59</v>
      </c>
      <c r="G322" s="0" t="s">
        <v>4974</v>
      </c>
      <c r="H322" s="0" t="s">
        <v>69</v>
      </c>
      <c r="I322" s="0" t="s">
        <v>4975</v>
      </c>
      <c r="J322" s="20" t="s">
        <v>25</v>
      </c>
    </row>
    <row r="323" customFormat="false" ht="15" hidden="false" customHeight="false" outlineLevel="0" collapsed="false">
      <c r="A323" s="0" t="s">
        <v>418</v>
      </c>
      <c r="B323" s="0" t="s">
        <v>134</v>
      </c>
      <c r="C323" s="0" t="s">
        <v>3450</v>
      </c>
      <c r="D323" s="0" t="s">
        <v>3448</v>
      </c>
      <c r="E323" s="0" t="s">
        <v>4969</v>
      </c>
      <c r="F323" s="0" t="s">
        <v>63</v>
      </c>
      <c r="G323" s="0" t="s">
        <v>4220</v>
      </c>
      <c r="H323" s="0" t="s">
        <v>5107</v>
      </c>
      <c r="I323" s="0" t="s">
        <v>4979</v>
      </c>
      <c r="J323" s="20" t="s">
        <v>25</v>
      </c>
    </row>
    <row r="324" customFormat="false" ht="15" hidden="false" customHeight="false" outlineLevel="0" collapsed="false">
      <c r="A324" s="0" t="s">
        <v>418</v>
      </c>
      <c r="B324" s="0" t="s">
        <v>134</v>
      </c>
      <c r="C324" s="0" t="s">
        <v>3447</v>
      </c>
      <c r="D324" s="0" t="s">
        <v>3457</v>
      </c>
      <c r="E324" s="0" t="s">
        <v>4963</v>
      </c>
      <c r="F324" s="0" t="s">
        <v>59</v>
      </c>
      <c r="G324" s="0" t="s">
        <v>4974</v>
      </c>
      <c r="H324" s="0" t="s">
        <v>69</v>
      </c>
      <c r="I324" s="0" t="s">
        <v>4975</v>
      </c>
      <c r="J324" s="20" t="s">
        <v>25</v>
      </c>
    </row>
    <row r="325" customFormat="false" ht="15" hidden="false" customHeight="false" outlineLevel="0" collapsed="false">
      <c r="A325" s="0" t="s">
        <v>418</v>
      </c>
      <c r="B325" s="0" t="s">
        <v>134</v>
      </c>
      <c r="C325" s="0" t="s">
        <v>3447</v>
      </c>
      <c r="D325" s="0" t="s">
        <v>3457</v>
      </c>
      <c r="E325" s="0" t="s">
        <v>4969</v>
      </c>
      <c r="F325" s="0" t="s">
        <v>64</v>
      </c>
      <c r="G325" s="0" t="s">
        <v>4220</v>
      </c>
      <c r="H325" s="0" t="s">
        <v>5106</v>
      </c>
      <c r="I325" s="0" t="s">
        <v>4991</v>
      </c>
      <c r="J325" s="20" t="s">
        <v>25</v>
      </c>
    </row>
    <row r="326" customFormat="false" ht="15" hidden="false" customHeight="false" outlineLevel="0" collapsed="false">
      <c r="A326" s="0" t="s">
        <v>418</v>
      </c>
      <c r="B326" s="0" t="s">
        <v>134</v>
      </c>
      <c r="C326" s="0" t="s">
        <v>3447</v>
      </c>
      <c r="D326" s="0" t="s">
        <v>3448</v>
      </c>
      <c r="E326" s="0" t="s">
        <v>4969</v>
      </c>
      <c r="F326" s="0" t="s">
        <v>63</v>
      </c>
      <c r="G326" s="0" t="s">
        <v>4220</v>
      </c>
      <c r="H326" s="0" t="s">
        <v>5107</v>
      </c>
      <c r="I326" s="0" t="s">
        <v>4979</v>
      </c>
      <c r="J326" s="20" t="s">
        <v>25</v>
      </c>
    </row>
    <row r="327" customFormat="false" ht="15" hidden="false" customHeight="false" outlineLevel="0" collapsed="false">
      <c r="A327" s="0" t="s">
        <v>418</v>
      </c>
      <c r="B327" s="0" t="s">
        <v>3459</v>
      </c>
      <c r="C327" s="0" t="s">
        <v>3450</v>
      </c>
      <c r="D327" s="0" t="s">
        <v>3457</v>
      </c>
      <c r="E327" s="0" t="s">
        <v>4963</v>
      </c>
      <c r="F327" s="0" t="s">
        <v>59</v>
      </c>
      <c r="G327" s="0" t="s">
        <v>4974</v>
      </c>
      <c r="H327" s="0" t="s">
        <v>69</v>
      </c>
      <c r="I327" s="0" t="s">
        <v>4975</v>
      </c>
      <c r="J327" s="20" t="s">
        <v>25</v>
      </c>
    </row>
    <row r="328" customFormat="false" ht="15" hidden="false" customHeight="false" outlineLevel="0" collapsed="false">
      <c r="A328" s="0" t="s">
        <v>418</v>
      </c>
      <c r="B328" s="0" t="s">
        <v>3459</v>
      </c>
      <c r="C328" s="0" t="s">
        <v>3450</v>
      </c>
      <c r="D328" s="0" t="s">
        <v>3448</v>
      </c>
      <c r="E328" s="0" t="s">
        <v>4963</v>
      </c>
      <c r="F328" s="0" t="s">
        <v>59</v>
      </c>
      <c r="G328" s="0" t="s">
        <v>4974</v>
      </c>
      <c r="H328" s="0" t="s">
        <v>69</v>
      </c>
      <c r="I328" s="0" t="s">
        <v>4975</v>
      </c>
      <c r="J328" s="20" t="s">
        <v>25</v>
      </c>
    </row>
    <row r="329" customFormat="false" ht="15" hidden="false" customHeight="false" outlineLevel="0" collapsed="false">
      <c r="A329" s="0" t="s">
        <v>418</v>
      </c>
      <c r="B329" s="0" t="s">
        <v>134</v>
      </c>
      <c r="C329" s="0" t="s">
        <v>3450</v>
      </c>
      <c r="D329" s="0" t="s">
        <v>3457</v>
      </c>
      <c r="E329" s="0" t="s">
        <v>4963</v>
      </c>
      <c r="F329" s="0" t="s">
        <v>30</v>
      </c>
      <c r="G329" s="0" t="s">
        <v>4980</v>
      </c>
      <c r="H329" s="0" t="s">
        <v>4275</v>
      </c>
      <c r="I329" s="0" t="s">
        <v>4981</v>
      </c>
      <c r="J329" s="18" t="s">
        <v>24</v>
      </c>
    </row>
    <row r="330" customFormat="false" ht="15" hidden="false" customHeight="false" outlineLevel="0" collapsed="false">
      <c r="A330" s="0" t="s">
        <v>418</v>
      </c>
      <c r="B330" s="0" t="s">
        <v>134</v>
      </c>
      <c r="C330" s="0" t="s">
        <v>3450</v>
      </c>
      <c r="D330" s="0" t="s">
        <v>3448</v>
      </c>
      <c r="E330" s="0" t="s">
        <v>4963</v>
      </c>
      <c r="F330" s="0" t="s">
        <v>30</v>
      </c>
      <c r="G330" s="0" t="s">
        <v>4980</v>
      </c>
      <c r="H330" s="0" t="s">
        <v>4275</v>
      </c>
      <c r="I330" s="0" t="s">
        <v>4981</v>
      </c>
      <c r="J330" s="18" t="s">
        <v>24</v>
      </c>
    </row>
    <row r="331" customFormat="false" ht="15" hidden="false" customHeight="false" outlineLevel="0" collapsed="false">
      <c r="A331" s="0" t="s">
        <v>418</v>
      </c>
      <c r="B331" s="0" t="s">
        <v>3459</v>
      </c>
      <c r="C331" s="0" t="s">
        <v>3450</v>
      </c>
      <c r="D331" s="0" t="s">
        <v>3457</v>
      </c>
      <c r="E331" s="0" t="s">
        <v>4963</v>
      </c>
      <c r="F331" s="0" t="s">
        <v>30</v>
      </c>
      <c r="G331" s="0" t="s">
        <v>4980</v>
      </c>
      <c r="H331" s="0" t="s">
        <v>4275</v>
      </c>
      <c r="I331" s="0" t="s">
        <v>4981</v>
      </c>
      <c r="J331" s="18" t="s">
        <v>24</v>
      </c>
    </row>
    <row r="332" customFormat="false" ht="15" hidden="false" customHeight="false" outlineLevel="0" collapsed="false">
      <c r="A332" s="0" t="s">
        <v>418</v>
      </c>
      <c r="B332" s="0" t="s">
        <v>3459</v>
      </c>
      <c r="C332" s="0" t="s">
        <v>3450</v>
      </c>
      <c r="D332" s="0" t="s">
        <v>3448</v>
      </c>
      <c r="E332" s="0" t="s">
        <v>4963</v>
      </c>
      <c r="F332" s="0" t="s">
        <v>30</v>
      </c>
      <c r="G332" s="0" t="s">
        <v>4980</v>
      </c>
      <c r="H332" s="0" t="s">
        <v>4275</v>
      </c>
      <c r="I332" s="0" t="s">
        <v>4981</v>
      </c>
      <c r="J332" s="18" t="s">
        <v>24</v>
      </c>
    </row>
    <row r="333" customFormat="false" ht="15" hidden="false" customHeight="false" outlineLevel="0" collapsed="false">
      <c r="A333" s="0" t="s">
        <v>418</v>
      </c>
      <c r="B333" s="0" t="s">
        <v>3459</v>
      </c>
      <c r="C333" s="0" t="s">
        <v>3447</v>
      </c>
      <c r="D333" s="0" t="s">
        <v>3457</v>
      </c>
      <c r="E333" s="0" t="s">
        <v>4963</v>
      </c>
      <c r="F333" s="0" t="s">
        <v>30</v>
      </c>
      <c r="G333" s="0" t="s">
        <v>4980</v>
      </c>
      <c r="H333" s="0" t="s">
        <v>4322</v>
      </c>
      <c r="I333" s="0" t="s">
        <v>4981</v>
      </c>
      <c r="J333" s="18" t="s">
        <v>24</v>
      </c>
    </row>
    <row r="334" customFormat="false" ht="15" hidden="false" customHeight="false" outlineLevel="0" collapsed="false">
      <c r="A334" s="0" t="s">
        <v>418</v>
      </c>
      <c r="B334" s="0" t="s">
        <v>3459</v>
      </c>
      <c r="C334" s="0" t="s">
        <v>3447</v>
      </c>
      <c r="D334" s="0" t="s">
        <v>3448</v>
      </c>
      <c r="E334" s="0" t="s">
        <v>4963</v>
      </c>
      <c r="F334" s="0" t="s">
        <v>30</v>
      </c>
      <c r="G334" s="0" t="s">
        <v>4980</v>
      </c>
      <c r="H334" s="0" t="s">
        <v>4323</v>
      </c>
      <c r="I334" s="0" t="s">
        <v>4981</v>
      </c>
      <c r="J334" s="18" t="s">
        <v>24</v>
      </c>
    </row>
    <row r="335" customFormat="false" ht="15" hidden="false" customHeight="false" outlineLevel="0" collapsed="false">
      <c r="A335" s="0" t="s">
        <v>430</v>
      </c>
      <c r="B335" s="0" t="s">
        <v>134</v>
      </c>
      <c r="C335" s="0" t="s">
        <v>3447</v>
      </c>
      <c r="D335" s="0" t="s">
        <v>3457</v>
      </c>
      <c r="E335" s="0" t="s">
        <v>4963</v>
      </c>
      <c r="F335" s="0" t="s">
        <v>60</v>
      </c>
      <c r="G335" s="0" t="s">
        <v>4964</v>
      </c>
      <c r="H335" s="0" t="s">
        <v>5108</v>
      </c>
      <c r="I335" s="0" t="s">
        <v>4966</v>
      </c>
      <c r="J335" s="19" t="s">
        <v>26</v>
      </c>
    </row>
    <row r="336" customFormat="false" ht="15" hidden="false" customHeight="false" outlineLevel="0" collapsed="false">
      <c r="A336" s="0" t="s">
        <v>430</v>
      </c>
      <c r="B336" s="0" t="s">
        <v>134</v>
      </c>
      <c r="C336" s="0" t="s">
        <v>3447</v>
      </c>
      <c r="D336" s="0" t="s">
        <v>3448</v>
      </c>
      <c r="E336" s="0" t="s">
        <v>4963</v>
      </c>
      <c r="F336" s="0" t="s">
        <v>60</v>
      </c>
      <c r="G336" s="0" t="s">
        <v>4964</v>
      </c>
      <c r="H336" s="0" t="s">
        <v>5109</v>
      </c>
      <c r="I336" s="0" t="s">
        <v>4966</v>
      </c>
      <c r="J336" s="19" t="s">
        <v>26</v>
      </c>
    </row>
    <row r="337" customFormat="false" ht="15" hidden="false" customHeight="false" outlineLevel="0" collapsed="false">
      <c r="A337" s="0" t="s">
        <v>430</v>
      </c>
      <c r="B337" s="0" t="s">
        <v>3459</v>
      </c>
      <c r="C337" s="0" t="s">
        <v>3447</v>
      </c>
      <c r="D337" s="0" t="s">
        <v>3457</v>
      </c>
      <c r="E337" s="0" t="s">
        <v>4963</v>
      </c>
      <c r="F337" s="0" t="s">
        <v>60</v>
      </c>
      <c r="G337" s="0" t="s">
        <v>4964</v>
      </c>
      <c r="H337" s="0" t="s">
        <v>5110</v>
      </c>
      <c r="I337" s="0" t="s">
        <v>4966</v>
      </c>
      <c r="J337" s="19" t="s">
        <v>26</v>
      </c>
    </row>
    <row r="338" customFormat="false" ht="15" hidden="false" customHeight="false" outlineLevel="0" collapsed="false">
      <c r="A338" s="0" t="s">
        <v>430</v>
      </c>
      <c r="B338" s="0" t="s">
        <v>3459</v>
      </c>
      <c r="C338" s="0" t="s">
        <v>3447</v>
      </c>
      <c r="D338" s="0" t="s">
        <v>3448</v>
      </c>
      <c r="E338" s="0" t="s">
        <v>4963</v>
      </c>
      <c r="F338" s="0" t="s">
        <v>60</v>
      </c>
      <c r="G338" s="0" t="s">
        <v>4964</v>
      </c>
      <c r="H338" s="0" t="s">
        <v>5111</v>
      </c>
      <c r="I338" s="0" t="s">
        <v>4966</v>
      </c>
      <c r="J338" s="19" t="s">
        <v>26</v>
      </c>
    </row>
    <row r="339" customFormat="false" ht="15" hidden="false" customHeight="false" outlineLevel="0" collapsed="false">
      <c r="A339" s="0" t="s">
        <v>430</v>
      </c>
      <c r="B339" s="0" t="s">
        <v>134</v>
      </c>
      <c r="C339" s="0" t="s">
        <v>3450</v>
      </c>
      <c r="D339" s="0" t="s">
        <v>3457</v>
      </c>
      <c r="E339" s="0" t="s">
        <v>4963</v>
      </c>
      <c r="F339" s="0" t="s">
        <v>59</v>
      </c>
      <c r="G339" s="0" t="s">
        <v>4974</v>
      </c>
      <c r="H339" s="0" t="s">
        <v>69</v>
      </c>
      <c r="I339" s="0" t="s">
        <v>4975</v>
      </c>
      <c r="J339" s="20" t="s">
        <v>25</v>
      </c>
    </row>
    <row r="340" customFormat="false" ht="15" hidden="false" customHeight="false" outlineLevel="0" collapsed="false">
      <c r="A340" s="0" t="s">
        <v>430</v>
      </c>
      <c r="B340" s="0" t="s">
        <v>134</v>
      </c>
      <c r="C340" s="0" t="s">
        <v>3450</v>
      </c>
      <c r="D340" s="0" t="s">
        <v>3457</v>
      </c>
      <c r="E340" s="0" t="s">
        <v>4969</v>
      </c>
      <c r="F340" s="0" t="s">
        <v>61</v>
      </c>
      <c r="G340" s="0" t="s">
        <v>4970</v>
      </c>
      <c r="H340" s="0" t="s">
        <v>5112</v>
      </c>
      <c r="I340" s="0" t="s">
        <v>4972</v>
      </c>
      <c r="J340" s="20" t="s">
        <v>25</v>
      </c>
    </row>
    <row r="341" customFormat="false" ht="15" hidden="false" customHeight="false" outlineLevel="0" collapsed="false">
      <c r="A341" s="0" t="s">
        <v>430</v>
      </c>
      <c r="B341" s="0" t="s">
        <v>134</v>
      </c>
      <c r="C341" s="0" t="s">
        <v>3450</v>
      </c>
      <c r="D341" s="0" t="s">
        <v>3457</v>
      </c>
      <c r="E341" s="0" t="s">
        <v>4969</v>
      </c>
      <c r="F341" s="0" t="s">
        <v>63</v>
      </c>
      <c r="G341" s="0" t="s">
        <v>4220</v>
      </c>
      <c r="H341" s="0" t="s">
        <v>5113</v>
      </c>
      <c r="I341" s="0" t="s">
        <v>4979</v>
      </c>
      <c r="J341" s="20" t="s">
        <v>25</v>
      </c>
    </row>
    <row r="342" customFormat="false" ht="15" hidden="false" customHeight="false" outlineLevel="0" collapsed="false">
      <c r="A342" s="0" t="s">
        <v>430</v>
      </c>
      <c r="B342" s="0" t="s">
        <v>134</v>
      </c>
      <c r="C342" s="0" t="s">
        <v>3450</v>
      </c>
      <c r="D342" s="0" t="s">
        <v>3448</v>
      </c>
      <c r="E342" s="0" t="s">
        <v>4963</v>
      </c>
      <c r="F342" s="0" t="s">
        <v>59</v>
      </c>
      <c r="G342" s="0" t="s">
        <v>4974</v>
      </c>
      <c r="H342" s="0" t="s">
        <v>69</v>
      </c>
      <c r="I342" s="0" t="s">
        <v>4975</v>
      </c>
      <c r="J342" s="20" t="s">
        <v>25</v>
      </c>
    </row>
    <row r="343" customFormat="false" ht="15" hidden="false" customHeight="false" outlineLevel="0" collapsed="false">
      <c r="A343" s="0" t="s">
        <v>430</v>
      </c>
      <c r="B343" s="0" t="s">
        <v>134</v>
      </c>
      <c r="C343" s="0" t="s">
        <v>3450</v>
      </c>
      <c r="D343" s="0" t="s">
        <v>3448</v>
      </c>
      <c r="E343" s="0" t="s">
        <v>4969</v>
      </c>
      <c r="F343" s="0" t="s">
        <v>62</v>
      </c>
      <c r="G343" s="0" t="s">
        <v>5003</v>
      </c>
      <c r="H343" s="0" t="s">
        <v>5114</v>
      </c>
      <c r="I343" s="0" t="s">
        <v>5005</v>
      </c>
      <c r="J343" s="20" t="s">
        <v>25</v>
      </c>
    </row>
    <row r="344" customFormat="false" ht="15" hidden="false" customHeight="false" outlineLevel="0" collapsed="false">
      <c r="A344" s="0" t="s">
        <v>430</v>
      </c>
      <c r="B344" s="0" t="s">
        <v>134</v>
      </c>
      <c r="C344" s="0" t="s">
        <v>3450</v>
      </c>
      <c r="D344" s="0" t="s">
        <v>3448</v>
      </c>
      <c r="E344" s="0" t="s">
        <v>4969</v>
      </c>
      <c r="F344" s="0" t="s">
        <v>63</v>
      </c>
      <c r="G344" s="0" t="s">
        <v>4220</v>
      </c>
      <c r="H344" s="0" t="s">
        <v>5115</v>
      </c>
      <c r="I344" s="0" t="s">
        <v>4979</v>
      </c>
      <c r="J344" s="20" t="s">
        <v>25</v>
      </c>
    </row>
    <row r="345" customFormat="false" ht="15" hidden="false" customHeight="false" outlineLevel="0" collapsed="false">
      <c r="A345" s="0" t="s">
        <v>430</v>
      </c>
      <c r="B345" s="0" t="s">
        <v>134</v>
      </c>
      <c r="C345" s="0" t="s">
        <v>3447</v>
      </c>
      <c r="D345" s="0" t="s">
        <v>3457</v>
      </c>
      <c r="E345" s="0" t="s">
        <v>4969</v>
      </c>
      <c r="F345" s="0" t="s">
        <v>63</v>
      </c>
      <c r="G345" s="0" t="s">
        <v>4220</v>
      </c>
      <c r="H345" s="0" t="s">
        <v>5113</v>
      </c>
      <c r="I345" s="0" t="s">
        <v>4979</v>
      </c>
      <c r="J345" s="20" t="s">
        <v>25</v>
      </c>
    </row>
    <row r="346" customFormat="false" ht="15" hidden="false" customHeight="false" outlineLevel="0" collapsed="false">
      <c r="A346" s="0" t="s">
        <v>430</v>
      </c>
      <c r="B346" s="0" t="s">
        <v>134</v>
      </c>
      <c r="C346" s="0" t="s">
        <v>3447</v>
      </c>
      <c r="D346" s="0" t="s">
        <v>3448</v>
      </c>
      <c r="E346" s="0" t="s">
        <v>4969</v>
      </c>
      <c r="F346" s="0" t="s">
        <v>63</v>
      </c>
      <c r="G346" s="0" t="s">
        <v>4220</v>
      </c>
      <c r="H346" s="0" t="s">
        <v>5115</v>
      </c>
      <c r="I346" s="0" t="s">
        <v>4979</v>
      </c>
      <c r="J346" s="20" t="s">
        <v>25</v>
      </c>
    </row>
    <row r="347" customFormat="false" ht="15" hidden="false" customHeight="false" outlineLevel="0" collapsed="false">
      <c r="A347" s="0" t="s">
        <v>430</v>
      </c>
      <c r="B347" s="0" t="s">
        <v>3459</v>
      </c>
      <c r="C347" s="0" t="s">
        <v>3450</v>
      </c>
      <c r="D347" s="0" t="s">
        <v>3457</v>
      </c>
      <c r="E347" s="0" t="s">
        <v>4963</v>
      </c>
      <c r="F347" s="0" t="s">
        <v>59</v>
      </c>
      <c r="G347" s="0" t="s">
        <v>4974</v>
      </c>
      <c r="H347" s="0" t="s">
        <v>69</v>
      </c>
      <c r="I347" s="0" t="s">
        <v>4975</v>
      </c>
      <c r="J347" s="20" t="s">
        <v>25</v>
      </c>
    </row>
    <row r="348" customFormat="false" ht="15" hidden="false" customHeight="false" outlineLevel="0" collapsed="false">
      <c r="A348" s="0" t="s">
        <v>430</v>
      </c>
      <c r="B348" s="0" t="s">
        <v>3459</v>
      </c>
      <c r="C348" s="0" t="s">
        <v>3450</v>
      </c>
      <c r="D348" s="0" t="s">
        <v>3457</v>
      </c>
      <c r="E348" s="0" t="s">
        <v>4969</v>
      </c>
      <c r="F348" s="0" t="s">
        <v>61</v>
      </c>
      <c r="G348" s="0" t="s">
        <v>4970</v>
      </c>
      <c r="H348" s="0" t="s">
        <v>5116</v>
      </c>
      <c r="I348" s="0" t="s">
        <v>4972</v>
      </c>
      <c r="J348" s="20" t="s">
        <v>25</v>
      </c>
    </row>
    <row r="349" customFormat="false" ht="15" hidden="false" customHeight="false" outlineLevel="0" collapsed="false">
      <c r="A349" s="0" t="s">
        <v>430</v>
      </c>
      <c r="B349" s="0" t="s">
        <v>3459</v>
      </c>
      <c r="C349" s="0" t="s">
        <v>3450</v>
      </c>
      <c r="D349" s="0" t="s">
        <v>3457</v>
      </c>
      <c r="E349" s="0" t="s">
        <v>4969</v>
      </c>
      <c r="F349" s="0" t="s">
        <v>64</v>
      </c>
      <c r="G349" s="0" t="s">
        <v>4220</v>
      </c>
      <c r="H349" s="0" t="s">
        <v>5117</v>
      </c>
      <c r="I349" s="0" t="s">
        <v>4991</v>
      </c>
      <c r="J349" s="20" t="s">
        <v>25</v>
      </c>
    </row>
    <row r="350" customFormat="false" ht="15" hidden="false" customHeight="false" outlineLevel="0" collapsed="false">
      <c r="A350" s="0" t="s">
        <v>430</v>
      </c>
      <c r="B350" s="0" t="s">
        <v>3459</v>
      </c>
      <c r="C350" s="0" t="s">
        <v>3450</v>
      </c>
      <c r="D350" s="0" t="s">
        <v>3448</v>
      </c>
      <c r="E350" s="0" t="s">
        <v>4963</v>
      </c>
      <c r="F350" s="0" t="s">
        <v>59</v>
      </c>
      <c r="G350" s="0" t="s">
        <v>4974</v>
      </c>
      <c r="H350" s="0" t="s">
        <v>69</v>
      </c>
      <c r="I350" s="0" t="s">
        <v>4975</v>
      </c>
      <c r="J350" s="20" t="s">
        <v>25</v>
      </c>
    </row>
    <row r="351" customFormat="false" ht="15" hidden="false" customHeight="false" outlineLevel="0" collapsed="false">
      <c r="A351" s="0" t="s">
        <v>430</v>
      </c>
      <c r="B351" s="0" t="s">
        <v>3459</v>
      </c>
      <c r="C351" s="0" t="s">
        <v>3450</v>
      </c>
      <c r="D351" s="0" t="s">
        <v>3448</v>
      </c>
      <c r="E351" s="0" t="s">
        <v>4969</v>
      </c>
      <c r="F351" s="0" t="s">
        <v>62</v>
      </c>
      <c r="G351" s="0" t="s">
        <v>5003</v>
      </c>
      <c r="H351" s="0" t="s">
        <v>5118</v>
      </c>
      <c r="I351" s="0" t="s">
        <v>5005</v>
      </c>
      <c r="J351" s="20" t="s">
        <v>25</v>
      </c>
    </row>
    <row r="352" customFormat="false" ht="15" hidden="false" customHeight="false" outlineLevel="0" collapsed="false">
      <c r="A352" s="0" t="s">
        <v>430</v>
      </c>
      <c r="B352" s="0" t="s">
        <v>3459</v>
      </c>
      <c r="C352" s="0" t="s">
        <v>3450</v>
      </c>
      <c r="D352" s="0" t="s">
        <v>3448</v>
      </c>
      <c r="E352" s="0" t="s">
        <v>4969</v>
      </c>
      <c r="F352" s="0" t="s">
        <v>64</v>
      </c>
      <c r="G352" s="0" t="s">
        <v>4220</v>
      </c>
      <c r="H352" s="0" t="s">
        <v>5119</v>
      </c>
      <c r="I352" s="0" t="s">
        <v>4991</v>
      </c>
      <c r="J352" s="20" t="s">
        <v>25</v>
      </c>
    </row>
    <row r="353" customFormat="false" ht="15" hidden="false" customHeight="false" outlineLevel="0" collapsed="false">
      <c r="A353" s="0" t="s">
        <v>430</v>
      </c>
      <c r="B353" s="0" t="s">
        <v>3459</v>
      </c>
      <c r="C353" s="0" t="s">
        <v>3447</v>
      </c>
      <c r="D353" s="0" t="s">
        <v>3457</v>
      </c>
      <c r="E353" s="0" t="s">
        <v>4963</v>
      </c>
      <c r="F353" s="0" t="s">
        <v>59</v>
      </c>
      <c r="G353" s="0" t="s">
        <v>4974</v>
      </c>
      <c r="H353" s="0" t="s">
        <v>69</v>
      </c>
      <c r="I353" s="0" t="s">
        <v>4975</v>
      </c>
      <c r="J353" s="20" t="s">
        <v>25</v>
      </c>
    </row>
    <row r="354" customFormat="false" ht="15" hidden="false" customHeight="false" outlineLevel="0" collapsed="false">
      <c r="A354" s="0" t="s">
        <v>430</v>
      </c>
      <c r="B354" s="0" t="s">
        <v>3459</v>
      </c>
      <c r="C354" s="0" t="s">
        <v>3447</v>
      </c>
      <c r="D354" s="0" t="s">
        <v>3457</v>
      </c>
      <c r="E354" s="0" t="s">
        <v>4969</v>
      </c>
      <c r="F354" s="0" t="s">
        <v>64</v>
      </c>
      <c r="G354" s="0" t="s">
        <v>4220</v>
      </c>
      <c r="H354" s="0" t="s">
        <v>5117</v>
      </c>
      <c r="I354" s="0" t="s">
        <v>4991</v>
      </c>
      <c r="J354" s="20" t="s">
        <v>25</v>
      </c>
    </row>
    <row r="355" customFormat="false" ht="15" hidden="false" customHeight="false" outlineLevel="0" collapsed="false">
      <c r="A355" s="0" t="s">
        <v>430</v>
      </c>
      <c r="B355" s="0" t="s">
        <v>3459</v>
      </c>
      <c r="C355" s="0" t="s">
        <v>3447</v>
      </c>
      <c r="D355" s="0" t="s">
        <v>3448</v>
      </c>
      <c r="E355" s="0" t="s">
        <v>4963</v>
      </c>
      <c r="F355" s="0" t="s">
        <v>59</v>
      </c>
      <c r="G355" s="0" t="s">
        <v>4974</v>
      </c>
      <c r="H355" s="0" t="s">
        <v>69</v>
      </c>
      <c r="I355" s="0" t="s">
        <v>4975</v>
      </c>
      <c r="J355" s="20" t="s">
        <v>25</v>
      </c>
    </row>
    <row r="356" customFormat="false" ht="15" hidden="false" customHeight="false" outlineLevel="0" collapsed="false">
      <c r="A356" s="0" t="s">
        <v>430</v>
      </c>
      <c r="B356" s="0" t="s">
        <v>3459</v>
      </c>
      <c r="C356" s="0" t="s">
        <v>3447</v>
      </c>
      <c r="D356" s="0" t="s">
        <v>3448</v>
      </c>
      <c r="E356" s="0" t="s">
        <v>4969</v>
      </c>
      <c r="F356" s="0" t="s">
        <v>64</v>
      </c>
      <c r="G356" s="0" t="s">
        <v>4220</v>
      </c>
      <c r="H356" s="0" t="s">
        <v>5119</v>
      </c>
      <c r="I356" s="0" t="s">
        <v>4991</v>
      </c>
      <c r="J356" s="20" t="s">
        <v>25</v>
      </c>
    </row>
    <row r="357" customFormat="false" ht="15" hidden="false" customHeight="false" outlineLevel="0" collapsed="false">
      <c r="A357" s="0" t="s">
        <v>430</v>
      </c>
      <c r="B357" s="0" t="s">
        <v>134</v>
      </c>
      <c r="C357" s="0" t="s">
        <v>3450</v>
      </c>
      <c r="D357" s="0" t="s">
        <v>3457</v>
      </c>
      <c r="E357" s="0" t="s">
        <v>4963</v>
      </c>
      <c r="F357" s="0" t="s">
        <v>30</v>
      </c>
      <c r="G357" s="0" t="s">
        <v>4980</v>
      </c>
      <c r="H357" s="0" t="s">
        <v>4324</v>
      </c>
      <c r="I357" s="0" t="s">
        <v>4981</v>
      </c>
      <c r="J357" s="18" t="s">
        <v>24</v>
      </c>
    </row>
    <row r="358" customFormat="false" ht="15" hidden="false" customHeight="false" outlineLevel="0" collapsed="false">
      <c r="A358" s="0" t="s">
        <v>430</v>
      </c>
      <c r="B358" s="0" t="s">
        <v>134</v>
      </c>
      <c r="C358" s="0" t="s">
        <v>3450</v>
      </c>
      <c r="D358" s="0" t="s">
        <v>3448</v>
      </c>
      <c r="E358" s="0" t="s">
        <v>4963</v>
      </c>
      <c r="F358" s="0" t="s">
        <v>30</v>
      </c>
      <c r="G358" s="0" t="s">
        <v>4980</v>
      </c>
      <c r="H358" s="0" t="s">
        <v>4242</v>
      </c>
      <c r="I358" s="0" t="s">
        <v>4981</v>
      </c>
      <c r="J358" s="18" t="s">
        <v>24</v>
      </c>
    </row>
    <row r="359" customFormat="false" ht="15" hidden="false" customHeight="false" outlineLevel="0" collapsed="false">
      <c r="A359" s="0" t="s">
        <v>430</v>
      </c>
      <c r="B359" s="0" t="s">
        <v>3459</v>
      </c>
      <c r="C359" s="0" t="s">
        <v>3450</v>
      </c>
      <c r="D359" s="0" t="s">
        <v>3457</v>
      </c>
      <c r="E359" s="0" t="s">
        <v>4963</v>
      </c>
      <c r="F359" s="0" t="s">
        <v>30</v>
      </c>
      <c r="G359" s="0" t="s">
        <v>4980</v>
      </c>
      <c r="H359" s="0" t="s">
        <v>4327</v>
      </c>
      <c r="I359" s="0" t="s">
        <v>4981</v>
      </c>
      <c r="J359" s="18" t="s">
        <v>24</v>
      </c>
    </row>
    <row r="360" customFormat="false" ht="15" hidden="false" customHeight="false" outlineLevel="0" collapsed="false">
      <c r="A360" s="0" t="s">
        <v>430</v>
      </c>
      <c r="B360" s="0" t="s">
        <v>3459</v>
      </c>
      <c r="C360" s="0" t="s">
        <v>3450</v>
      </c>
      <c r="D360" s="0" t="s">
        <v>3448</v>
      </c>
      <c r="E360" s="0" t="s">
        <v>4963</v>
      </c>
      <c r="F360" s="0" t="s">
        <v>30</v>
      </c>
      <c r="G360" s="0" t="s">
        <v>4980</v>
      </c>
      <c r="H360" s="0" t="s">
        <v>4328</v>
      </c>
      <c r="I360" s="0" t="s">
        <v>4981</v>
      </c>
      <c r="J360" s="18" t="s">
        <v>24</v>
      </c>
    </row>
    <row r="361" customFormat="false" ht="15" hidden="false" customHeight="false" outlineLevel="0" collapsed="false">
      <c r="A361" s="0" t="s">
        <v>437</v>
      </c>
      <c r="B361" s="0" t="s">
        <v>134</v>
      </c>
      <c r="C361" s="0" t="s">
        <v>3447</v>
      </c>
      <c r="D361" s="0" t="s">
        <v>3457</v>
      </c>
      <c r="E361" s="0" t="s">
        <v>4963</v>
      </c>
      <c r="F361" s="0" t="s">
        <v>60</v>
      </c>
      <c r="G361" s="0" t="s">
        <v>4964</v>
      </c>
      <c r="H361" s="0" t="s">
        <v>5056</v>
      </c>
      <c r="I361" s="0" t="s">
        <v>4966</v>
      </c>
      <c r="J361" s="19" t="s">
        <v>26</v>
      </c>
    </row>
    <row r="362" customFormat="false" ht="15" hidden="false" customHeight="false" outlineLevel="0" collapsed="false">
      <c r="A362" s="0" t="s">
        <v>437</v>
      </c>
      <c r="B362" s="0" t="s">
        <v>3459</v>
      </c>
      <c r="C362" s="0" t="s">
        <v>3447</v>
      </c>
      <c r="D362" s="0" t="s">
        <v>3457</v>
      </c>
      <c r="E362" s="0" t="s">
        <v>4963</v>
      </c>
      <c r="F362" s="0" t="s">
        <v>60</v>
      </c>
      <c r="G362" s="0" t="s">
        <v>4964</v>
      </c>
      <c r="H362" s="0" t="s">
        <v>5120</v>
      </c>
      <c r="I362" s="0" t="s">
        <v>4966</v>
      </c>
      <c r="J362" s="19" t="s">
        <v>26</v>
      </c>
    </row>
    <row r="363" customFormat="false" ht="15" hidden="false" customHeight="false" outlineLevel="0" collapsed="false">
      <c r="A363" s="0" t="s">
        <v>437</v>
      </c>
      <c r="B363" s="0" t="s">
        <v>134</v>
      </c>
      <c r="C363" s="0" t="s">
        <v>3450</v>
      </c>
      <c r="D363" s="0" t="s">
        <v>3448</v>
      </c>
      <c r="E363" s="0" t="s">
        <v>4963</v>
      </c>
      <c r="F363" s="0" t="s">
        <v>59</v>
      </c>
      <c r="G363" s="0" t="s">
        <v>4974</v>
      </c>
      <c r="H363" s="0" t="s">
        <v>69</v>
      </c>
      <c r="I363" s="0" t="s">
        <v>4975</v>
      </c>
      <c r="J363" s="20" t="s">
        <v>25</v>
      </c>
    </row>
    <row r="364" customFormat="false" ht="15" hidden="false" customHeight="false" outlineLevel="0" collapsed="false">
      <c r="A364" s="0" t="s">
        <v>437</v>
      </c>
      <c r="B364" s="0" t="s">
        <v>134</v>
      </c>
      <c r="C364" s="0" t="s">
        <v>3447</v>
      </c>
      <c r="D364" s="0" t="s">
        <v>3457</v>
      </c>
      <c r="E364" s="0" t="s">
        <v>4963</v>
      </c>
      <c r="F364" s="0" t="s">
        <v>59</v>
      </c>
      <c r="G364" s="0" t="s">
        <v>4974</v>
      </c>
      <c r="H364" s="0" t="s">
        <v>69</v>
      </c>
      <c r="I364" s="0" t="s">
        <v>4975</v>
      </c>
      <c r="J364" s="20" t="s">
        <v>25</v>
      </c>
    </row>
    <row r="365" customFormat="false" ht="15" hidden="false" customHeight="false" outlineLevel="0" collapsed="false">
      <c r="A365" s="0" t="s">
        <v>437</v>
      </c>
      <c r="B365" s="0" t="s">
        <v>3459</v>
      </c>
      <c r="C365" s="0" t="s">
        <v>3450</v>
      </c>
      <c r="D365" s="0" t="s">
        <v>3457</v>
      </c>
      <c r="E365" s="0" t="s">
        <v>4963</v>
      </c>
      <c r="F365" s="0" t="s">
        <v>59</v>
      </c>
      <c r="G365" s="0" t="s">
        <v>4974</v>
      </c>
      <c r="H365" s="0" t="s">
        <v>69</v>
      </c>
      <c r="I365" s="0" t="s">
        <v>4975</v>
      </c>
      <c r="J365" s="20" t="s">
        <v>25</v>
      </c>
    </row>
    <row r="366" customFormat="false" ht="15" hidden="false" customHeight="false" outlineLevel="0" collapsed="false">
      <c r="A366" s="0" t="s">
        <v>437</v>
      </c>
      <c r="B366" s="0" t="s">
        <v>3459</v>
      </c>
      <c r="C366" s="0" t="s">
        <v>3450</v>
      </c>
      <c r="D366" s="0" t="s">
        <v>3448</v>
      </c>
      <c r="E366" s="0" t="s">
        <v>4963</v>
      </c>
      <c r="F366" s="0" t="s">
        <v>59</v>
      </c>
      <c r="G366" s="0" t="s">
        <v>4974</v>
      </c>
      <c r="H366" s="0" t="s">
        <v>69</v>
      </c>
      <c r="I366" s="0" t="s">
        <v>4975</v>
      </c>
      <c r="J366" s="20" t="s">
        <v>25</v>
      </c>
    </row>
    <row r="367" customFormat="false" ht="15" hidden="false" customHeight="false" outlineLevel="0" collapsed="false">
      <c r="A367" s="0" t="s">
        <v>437</v>
      </c>
      <c r="B367" s="0" t="s">
        <v>3459</v>
      </c>
      <c r="C367" s="0" t="s">
        <v>3447</v>
      </c>
      <c r="D367" s="0" t="s">
        <v>3457</v>
      </c>
      <c r="E367" s="0" t="s">
        <v>4963</v>
      </c>
      <c r="F367" s="0" t="s">
        <v>59</v>
      </c>
      <c r="G367" s="0" t="s">
        <v>4974</v>
      </c>
      <c r="H367" s="0" t="s">
        <v>69</v>
      </c>
      <c r="I367" s="0" t="s">
        <v>4975</v>
      </c>
      <c r="J367" s="20" t="s">
        <v>25</v>
      </c>
    </row>
    <row r="368" customFormat="false" ht="15" hidden="false" customHeight="false" outlineLevel="0" collapsed="false">
      <c r="A368" s="0" t="s">
        <v>437</v>
      </c>
      <c r="B368" s="0" t="s">
        <v>134</v>
      </c>
      <c r="C368" s="0" t="s">
        <v>3450</v>
      </c>
      <c r="D368" s="0" t="s">
        <v>3448</v>
      </c>
      <c r="E368" s="0" t="s">
        <v>4963</v>
      </c>
      <c r="F368" s="0" t="s">
        <v>30</v>
      </c>
      <c r="G368" s="0" t="s">
        <v>4980</v>
      </c>
      <c r="H368" s="0" t="s">
        <v>4275</v>
      </c>
      <c r="I368" s="0" t="s">
        <v>4981</v>
      </c>
      <c r="J368" s="18" t="s">
        <v>24</v>
      </c>
    </row>
    <row r="369" customFormat="false" ht="15" hidden="false" customHeight="false" outlineLevel="0" collapsed="false">
      <c r="A369" s="0" t="s">
        <v>437</v>
      </c>
      <c r="B369" s="0" t="s">
        <v>134</v>
      </c>
      <c r="C369" s="0" t="s">
        <v>3447</v>
      </c>
      <c r="D369" s="0" t="s">
        <v>3448</v>
      </c>
      <c r="E369" s="0" t="s">
        <v>4963</v>
      </c>
      <c r="F369" s="0" t="s">
        <v>30</v>
      </c>
      <c r="G369" s="0" t="s">
        <v>4980</v>
      </c>
      <c r="H369" s="0" t="s">
        <v>4288</v>
      </c>
      <c r="I369" s="0" t="s">
        <v>4981</v>
      </c>
      <c r="J369" s="18" t="s">
        <v>24</v>
      </c>
    </row>
    <row r="370" customFormat="false" ht="15" hidden="false" customHeight="false" outlineLevel="0" collapsed="false">
      <c r="A370" s="0" t="s">
        <v>437</v>
      </c>
      <c r="B370" s="0" t="s">
        <v>3459</v>
      </c>
      <c r="C370" s="0" t="s">
        <v>3450</v>
      </c>
      <c r="D370" s="0" t="s">
        <v>3457</v>
      </c>
      <c r="E370" s="0" t="s">
        <v>4963</v>
      </c>
      <c r="F370" s="0" t="s">
        <v>30</v>
      </c>
      <c r="G370" s="0" t="s">
        <v>4980</v>
      </c>
      <c r="H370" s="0" t="s">
        <v>4331</v>
      </c>
      <c r="I370" s="0" t="s">
        <v>4981</v>
      </c>
      <c r="J370" s="18" t="s">
        <v>24</v>
      </c>
    </row>
    <row r="371" customFormat="false" ht="15" hidden="false" customHeight="false" outlineLevel="0" collapsed="false">
      <c r="A371" s="0" t="s">
        <v>437</v>
      </c>
      <c r="B371" s="0" t="s">
        <v>3459</v>
      </c>
      <c r="C371" s="0" t="s">
        <v>3450</v>
      </c>
      <c r="D371" s="0" t="s">
        <v>3448</v>
      </c>
      <c r="E371" s="0" t="s">
        <v>4963</v>
      </c>
      <c r="F371" s="0" t="s">
        <v>30</v>
      </c>
      <c r="G371" s="0" t="s">
        <v>4980</v>
      </c>
      <c r="H371" s="0" t="s">
        <v>4332</v>
      </c>
      <c r="I371" s="0" t="s">
        <v>4981</v>
      </c>
      <c r="J371" s="18" t="s">
        <v>24</v>
      </c>
    </row>
    <row r="372" customFormat="false" ht="15" hidden="false" customHeight="false" outlineLevel="0" collapsed="false">
      <c r="A372" s="0" t="s">
        <v>437</v>
      </c>
      <c r="B372" s="0" t="s">
        <v>3459</v>
      </c>
      <c r="C372" s="0" t="s">
        <v>3447</v>
      </c>
      <c r="D372" s="0" t="s">
        <v>3448</v>
      </c>
      <c r="E372" s="0" t="s">
        <v>4963</v>
      </c>
      <c r="F372" s="0" t="s">
        <v>30</v>
      </c>
      <c r="G372" s="0" t="s">
        <v>4980</v>
      </c>
      <c r="H372" s="0" t="s">
        <v>4334</v>
      </c>
      <c r="I372" s="0" t="s">
        <v>4981</v>
      </c>
      <c r="J372" s="18" t="s">
        <v>24</v>
      </c>
    </row>
    <row r="373" customFormat="false" ht="15" hidden="false" customHeight="false" outlineLevel="0" collapsed="false">
      <c r="A373" s="0" t="s">
        <v>449</v>
      </c>
      <c r="B373" s="0" t="s">
        <v>134</v>
      </c>
      <c r="C373" s="0" t="s">
        <v>3450</v>
      </c>
      <c r="D373" s="0" t="s">
        <v>3448</v>
      </c>
      <c r="E373" s="0" t="s">
        <v>4963</v>
      </c>
      <c r="F373" s="0" t="s">
        <v>60</v>
      </c>
      <c r="G373" s="0" t="s">
        <v>4964</v>
      </c>
      <c r="H373" s="0" t="s">
        <v>5121</v>
      </c>
      <c r="I373" s="0" t="s">
        <v>4966</v>
      </c>
      <c r="J373" s="19" t="s">
        <v>26</v>
      </c>
    </row>
    <row r="374" customFormat="false" ht="15" hidden="false" customHeight="false" outlineLevel="0" collapsed="false">
      <c r="A374" s="0" t="s">
        <v>449</v>
      </c>
      <c r="B374" s="0" t="s">
        <v>134</v>
      </c>
      <c r="C374" s="0" t="s">
        <v>3447</v>
      </c>
      <c r="D374" s="0" t="s">
        <v>3457</v>
      </c>
      <c r="E374" s="0" t="s">
        <v>4963</v>
      </c>
      <c r="F374" s="0" t="s">
        <v>60</v>
      </c>
      <c r="G374" s="0" t="s">
        <v>4964</v>
      </c>
      <c r="H374" s="0" t="s">
        <v>5122</v>
      </c>
      <c r="I374" s="0" t="s">
        <v>4966</v>
      </c>
      <c r="J374" s="19" t="s">
        <v>26</v>
      </c>
    </row>
    <row r="375" customFormat="false" ht="15" hidden="false" customHeight="false" outlineLevel="0" collapsed="false">
      <c r="A375" s="0" t="s">
        <v>449</v>
      </c>
      <c r="B375" s="0" t="s">
        <v>134</v>
      </c>
      <c r="C375" s="0" t="s">
        <v>3447</v>
      </c>
      <c r="D375" s="0" t="s">
        <v>3448</v>
      </c>
      <c r="E375" s="0" t="s">
        <v>4963</v>
      </c>
      <c r="F375" s="0" t="s">
        <v>60</v>
      </c>
      <c r="G375" s="0" t="s">
        <v>4964</v>
      </c>
      <c r="H375" s="0" t="s">
        <v>5123</v>
      </c>
      <c r="I375" s="0" t="s">
        <v>4966</v>
      </c>
      <c r="J375" s="19" t="s">
        <v>26</v>
      </c>
    </row>
    <row r="376" customFormat="false" ht="15" hidden="false" customHeight="false" outlineLevel="0" collapsed="false">
      <c r="A376" s="0" t="s">
        <v>449</v>
      </c>
      <c r="B376" s="0" t="s">
        <v>3459</v>
      </c>
      <c r="C376" s="0" t="s">
        <v>3447</v>
      </c>
      <c r="D376" s="0" t="s">
        <v>3448</v>
      </c>
      <c r="E376" s="0" t="s">
        <v>4963</v>
      </c>
      <c r="F376" s="0" t="s">
        <v>60</v>
      </c>
      <c r="G376" s="0" t="s">
        <v>4964</v>
      </c>
      <c r="H376" s="0" t="s">
        <v>5124</v>
      </c>
      <c r="I376" s="0" t="s">
        <v>4966</v>
      </c>
      <c r="J376" s="19" t="s">
        <v>26</v>
      </c>
    </row>
    <row r="377" customFormat="false" ht="15" hidden="false" customHeight="false" outlineLevel="0" collapsed="false">
      <c r="A377" s="0" t="s">
        <v>449</v>
      </c>
      <c r="B377" s="0" t="s">
        <v>134</v>
      </c>
      <c r="C377" s="0" t="s">
        <v>3450</v>
      </c>
      <c r="D377" s="0" t="s">
        <v>3457</v>
      </c>
      <c r="E377" s="0" t="s">
        <v>4963</v>
      </c>
      <c r="F377" s="0" t="s">
        <v>59</v>
      </c>
      <c r="G377" s="0" t="s">
        <v>4974</v>
      </c>
      <c r="H377" s="0" t="s">
        <v>69</v>
      </c>
      <c r="I377" s="0" t="s">
        <v>4975</v>
      </c>
      <c r="J377" s="20" t="s">
        <v>25</v>
      </c>
    </row>
    <row r="378" customFormat="false" ht="15" hidden="false" customHeight="false" outlineLevel="0" collapsed="false">
      <c r="A378" s="0" t="s">
        <v>449</v>
      </c>
      <c r="B378" s="0" t="s">
        <v>134</v>
      </c>
      <c r="C378" s="0" t="s">
        <v>3450</v>
      </c>
      <c r="D378" s="0" t="s">
        <v>3448</v>
      </c>
      <c r="E378" s="0" t="s">
        <v>4963</v>
      </c>
      <c r="F378" s="0" t="s">
        <v>59</v>
      </c>
      <c r="G378" s="0" t="s">
        <v>4974</v>
      </c>
      <c r="H378" s="0" t="s">
        <v>69</v>
      </c>
      <c r="I378" s="0" t="s">
        <v>4975</v>
      </c>
      <c r="J378" s="20" t="s">
        <v>25</v>
      </c>
    </row>
    <row r="379" customFormat="false" ht="15" hidden="false" customHeight="false" outlineLevel="0" collapsed="false">
      <c r="A379" s="0" t="s">
        <v>449</v>
      </c>
      <c r="B379" s="0" t="s">
        <v>3459</v>
      </c>
      <c r="C379" s="0" t="s">
        <v>3450</v>
      </c>
      <c r="D379" s="0" t="s">
        <v>3457</v>
      </c>
      <c r="E379" s="0" t="s">
        <v>4963</v>
      </c>
      <c r="F379" s="0" t="s">
        <v>59</v>
      </c>
      <c r="G379" s="0" t="s">
        <v>4974</v>
      </c>
      <c r="H379" s="0" t="s">
        <v>69</v>
      </c>
      <c r="I379" s="0" t="s">
        <v>4975</v>
      </c>
      <c r="J379" s="20" t="s">
        <v>25</v>
      </c>
    </row>
    <row r="380" customFormat="false" ht="15" hidden="false" customHeight="false" outlineLevel="0" collapsed="false">
      <c r="A380" s="0" t="s">
        <v>449</v>
      </c>
      <c r="B380" s="0" t="s">
        <v>3459</v>
      </c>
      <c r="C380" s="0" t="s">
        <v>3450</v>
      </c>
      <c r="D380" s="0" t="s">
        <v>3448</v>
      </c>
      <c r="E380" s="0" t="s">
        <v>4963</v>
      </c>
      <c r="F380" s="0" t="s">
        <v>59</v>
      </c>
      <c r="G380" s="0" t="s">
        <v>4974</v>
      </c>
      <c r="H380" s="0" t="s">
        <v>69</v>
      </c>
      <c r="I380" s="0" t="s">
        <v>4975</v>
      </c>
      <c r="J380" s="20" t="s">
        <v>25</v>
      </c>
    </row>
    <row r="381" customFormat="false" ht="15" hidden="false" customHeight="false" outlineLevel="0" collapsed="false">
      <c r="A381" s="0" t="s">
        <v>449</v>
      </c>
      <c r="B381" s="0" t="s">
        <v>134</v>
      </c>
      <c r="C381" s="0" t="s">
        <v>3450</v>
      </c>
      <c r="D381" s="0" t="s">
        <v>3457</v>
      </c>
      <c r="E381" s="0" t="s">
        <v>4963</v>
      </c>
      <c r="F381" s="0" t="s">
        <v>30</v>
      </c>
      <c r="G381" s="0" t="s">
        <v>4980</v>
      </c>
      <c r="H381" s="0" t="s">
        <v>4335</v>
      </c>
      <c r="I381" s="0" t="s">
        <v>4981</v>
      </c>
      <c r="J381" s="18" t="s">
        <v>24</v>
      </c>
    </row>
    <row r="382" customFormat="false" ht="15" hidden="false" customHeight="false" outlineLevel="0" collapsed="false">
      <c r="A382" s="0" t="s">
        <v>449</v>
      </c>
      <c r="B382" s="0" t="s">
        <v>3459</v>
      </c>
      <c r="C382" s="0" t="s">
        <v>3450</v>
      </c>
      <c r="D382" s="0" t="s">
        <v>3457</v>
      </c>
      <c r="E382" s="0" t="s">
        <v>4963</v>
      </c>
      <c r="F382" s="0" t="s">
        <v>30</v>
      </c>
      <c r="G382" s="0" t="s">
        <v>4980</v>
      </c>
      <c r="H382" s="0" t="s">
        <v>4242</v>
      </c>
      <c r="I382" s="0" t="s">
        <v>4981</v>
      </c>
      <c r="J382" s="18" t="s">
        <v>24</v>
      </c>
    </row>
    <row r="383" customFormat="false" ht="15" hidden="false" customHeight="false" outlineLevel="0" collapsed="false">
      <c r="A383" s="0" t="s">
        <v>449</v>
      </c>
      <c r="B383" s="0" t="s">
        <v>3459</v>
      </c>
      <c r="C383" s="0" t="s">
        <v>3450</v>
      </c>
      <c r="D383" s="0" t="s">
        <v>3448</v>
      </c>
      <c r="E383" s="0" t="s">
        <v>4963</v>
      </c>
      <c r="F383" s="0" t="s">
        <v>30</v>
      </c>
      <c r="G383" s="0" t="s">
        <v>4980</v>
      </c>
      <c r="H383" s="0" t="s">
        <v>4265</v>
      </c>
      <c r="I383" s="0" t="s">
        <v>4981</v>
      </c>
      <c r="J383" s="18" t="s">
        <v>24</v>
      </c>
    </row>
    <row r="384" customFormat="false" ht="15" hidden="false" customHeight="false" outlineLevel="0" collapsed="false">
      <c r="A384" s="0" t="s">
        <v>449</v>
      </c>
      <c r="B384" s="0" t="s">
        <v>3459</v>
      </c>
      <c r="C384" s="0" t="s">
        <v>3447</v>
      </c>
      <c r="D384" s="0" t="s">
        <v>3457</v>
      </c>
      <c r="E384" s="0" t="s">
        <v>4963</v>
      </c>
      <c r="F384" s="0" t="s">
        <v>30</v>
      </c>
      <c r="G384" s="0" t="s">
        <v>4980</v>
      </c>
      <c r="H384" s="0" t="s">
        <v>4272</v>
      </c>
      <c r="I384" s="0" t="s">
        <v>4981</v>
      </c>
      <c r="J384" s="18" t="s">
        <v>24</v>
      </c>
    </row>
    <row r="385" customFormat="false" ht="15" hidden="false" customHeight="false" outlineLevel="0" collapsed="false">
      <c r="A385" s="0" t="s">
        <v>455</v>
      </c>
      <c r="B385" s="0" t="s">
        <v>134</v>
      </c>
      <c r="C385" s="0" t="s">
        <v>3450</v>
      </c>
      <c r="D385" s="0" t="s">
        <v>3457</v>
      </c>
      <c r="E385" s="0" t="s">
        <v>4963</v>
      </c>
      <c r="F385" s="0" t="s">
        <v>59</v>
      </c>
      <c r="G385" s="0" t="s">
        <v>4974</v>
      </c>
      <c r="H385" s="0" t="s">
        <v>69</v>
      </c>
      <c r="I385" s="0" t="s">
        <v>4975</v>
      </c>
      <c r="J385" s="20" t="s">
        <v>25</v>
      </c>
    </row>
    <row r="386" customFormat="false" ht="15" hidden="false" customHeight="false" outlineLevel="0" collapsed="false">
      <c r="A386" s="0" t="s">
        <v>455</v>
      </c>
      <c r="B386" s="0" t="s">
        <v>134</v>
      </c>
      <c r="C386" s="0" t="s">
        <v>3450</v>
      </c>
      <c r="D386" s="0" t="s">
        <v>3448</v>
      </c>
      <c r="E386" s="0" t="s">
        <v>4969</v>
      </c>
      <c r="F386" s="0" t="s">
        <v>64</v>
      </c>
      <c r="G386" s="0" t="s">
        <v>4220</v>
      </c>
      <c r="H386" s="0" t="s">
        <v>5125</v>
      </c>
      <c r="I386" s="0" t="s">
        <v>4991</v>
      </c>
      <c r="J386" s="20" t="s">
        <v>25</v>
      </c>
    </row>
    <row r="387" customFormat="false" ht="15" hidden="false" customHeight="false" outlineLevel="0" collapsed="false">
      <c r="A387" s="0" t="s">
        <v>455</v>
      </c>
      <c r="B387" s="0" t="s">
        <v>134</v>
      </c>
      <c r="C387" s="0" t="s">
        <v>3447</v>
      </c>
      <c r="D387" s="0" t="s">
        <v>3457</v>
      </c>
      <c r="E387" s="0" t="s">
        <v>4963</v>
      </c>
      <c r="F387" s="0" t="s">
        <v>59</v>
      </c>
      <c r="G387" s="0" t="s">
        <v>4974</v>
      </c>
      <c r="H387" s="0" t="s">
        <v>69</v>
      </c>
      <c r="I387" s="0" t="s">
        <v>4975</v>
      </c>
      <c r="J387" s="20" t="s">
        <v>25</v>
      </c>
    </row>
    <row r="388" customFormat="false" ht="15" hidden="false" customHeight="false" outlineLevel="0" collapsed="false">
      <c r="A388" s="0" t="s">
        <v>455</v>
      </c>
      <c r="B388" s="0" t="s">
        <v>134</v>
      </c>
      <c r="C388" s="0" t="s">
        <v>3447</v>
      </c>
      <c r="D388" s="0" t="s">
        <v>3448</v>
      </c>
      <c r="E388" s="0" t="s">
        <v>4963</v>
      </c>
      <c r="F388" s="0" t="s">
        <v>59</v>
      </c>
      <c r="G388" s="0" t="s">
        <v>4974</v>
      </c>
      <c r="H388" s="0" t="s">
        <v>69</v>
      </c>
      <c r="I388" s="0" t="s">
        <v>4975</v>
      </c>
      <c r="J388" s="20" t="s">
        <v>25</v>
      </c>
    </row>
    <row r="389" customFormat="false" ht="15" hidden="false" customHeight="false" outlineLevel="0" collapsed="false">
      <c r="A389" s="0" t="s">
        <v>455</v>
      </c>
      <c r="B389" s="0" t="s">
        <v>134</v>
      </c>
      <c r="C389" s="0" t="s">
        <v>3447</v>
      </c>
      <c r="D389" s="0" t="s">
        <v>3448</v>
      </c>
      <c r="E389" s="0" t="s">
        <v>4969</v>
      </c>
      <c r="F389" s="0" t="s">
        <v>64</v>
      </c>
      <c r="G389" s="0" t="s">
        <v>4220</v>
      </c>
      <c r="H389" s="0" t="s">
        <v>5125</v>
      </c>
      <c r="I389" s="0" t="s">
        <v>4991</v>
      </c>
      <c r="J389" s="20" t="s">
        <v>25</v>
      </c>
    </row>
    <row r="390" customFormat="false" ht="15" hidden="false" customHeight="false" outlineLevel="0" collapsed="false">
      <c r="A390" s="0" t="s">
        <v>455</v>
      </c>
      <c r="B390" s="0" t="s">
        <v>3459</v>
      </c>
      <c r="C390" s="0" t="s">
        <v>3450</v>
      </c>
      <c r="D390" s="0" t="s">
        <v>3457</v>
      </c>
      <c r="E390" s="0" t="s">
        <v>4969</v>
      </c>
      <c r="F390" s="0" t="s">
        <v>61</v>
      </c>
      <c r="G390" s="0" t="s">
        <v>4970</v>
      </c>
      <c r="H390" s="0" t="s">
        <v>5126</v>
      </c>
      <c r="I390" s="0" t="s">
        <v>4972</v>
      </c>
      <c r="J390" s="20" t="s">
        <v>25</v>
      </c>
    </row>
    <row r="391" customFormat="false" ht="15" hidden="false" customHeight="false" outlineLevel="0" collapsed="false">
      <c r="A391" s="0" t="s">
        <v>455</v>
      </c>
      <c r="B391" s="0" t="s">
        <v>3459</v>
      </c>
      <c r="C391" s="0" t="s">
        <v>3450</v>
      </c>
      <c r="D391" s="0" t="s">
        <v>3457</v>
      </c>
      <c r="E391" s="0" t="s">
        <v>4969</v>
      </c>
      <c r="F391" s="0" t="s">
        <v>63</v>
      </c>
      <c r="G391" s="0" t="s">
        <v>4220</v>
      </c>
      <c r="H391" s="0" t="s">
        <v>5127</v>
      </c>
      <c r="I391" s="0" t="s">
        <v>4979</v>
      </c>
      <c r="J391" s="20" t="s">
        <v>25</v>
      </c>
    </row>
    <row r="392" customFormat="false" ht="15" hidden="false" customHeight="false" outlineLevel="0" collapsed="false">
      <c r="A392" s="0" t="s">
        <v>455</v>
      </c>
      <c r="B392" s="0" t="s">
        <v>3459</v>
      </c>
      <c r="C392" s="0" t="s">
        <v>3450</v>
      </c>
      <c r="D392" s="0" t="s">
        <v>3448</v>
      </c>
      <c r="E392" s="0" t="s">
        <v>4969</v>
      </c>
      <c r="F392" s="0" t="s">
        <v>61</v>
      </c>
      <c r="G392" s="0" t="s">
        <v>4970</v>
      </c>
      <c r="H392" s="0" t="s">
        <v>5128</v>
      </c>
      <c r="I392" s="0" t="s">
        <v>4972</v>
      </c>
      <c r="J392" s="20" t="s">
        <v>25</v>
      </c>
    </row>
    <row r="393" customFormat="false" ht="15" hidden="false" customHeight="false" outlineLevel="0" collapsed="false">
      <c r="A393" s="0" t="s">
        <v>455</v>
      </c>
      <c r="B393" s="0" t="s">
        <v>3459</v>
      </c>
      <c r="C393" s="0" t="s">
        <v>3447</v>
      </c>
      <c r="D393" s="0" t="s">
        <v>3457</v>
      </c>
      <c r="E393" s="0" t="s">
        <v>4969</v>
      </c>
      <c r="F393" s="0" t="s">
        <v>61</v>
      </c>
      <c r="G393" s="0" t="s">
        <v>4970</v>
      </c>
      <c r="H393" s="0" t="s">
        <v>5129</v>
      </c>
      <c r="I393" s="0" t="s">
        <v>4972</v>
      </c>
      <c r="J393" s="20" t="s">
        <v>25</v>
      </c>
    </row>
    <row r="394" customFormat="false" ht="15" hidden="false" customHeight="false" outlineLevel="0" collapsed="false">
      <c r="A394" s="0" t="s">
        <v>455</v>
      </c>
      <c r="B394" s="0" t="s">
        <v>3459</v>
      </c>
      <c r="C394" s="0" t="s">
        <v>3447</v>
      </c>
      <c r="D394" s="0" t="s">
        <v>3457</v>
      </c>
      <c r="E394" s="0" t="s">
        <v>4969</v>
      </c>
      <c r="F394" s="0" t="s">
        <v>63</v>
      </c>
      <c r="G394" s="0" t="s">
        <v>4220</v>
      </c>
      <c r="H394" s="0" t="s">
        <v>5127</v>
      </c>
      <c r="I394" s="0" t="s">
        <v>4979</v>
      </c>
      <c r="J394" s="20" t="s">
        <v>25</v>
      </c>
    </row>
    <row r="395" customFormat="false" ht="15" hidden="false" customHeight="false" outlineLevel="0" collapsed="false">
      <c r="A395" s="0" t="s">
        <v>455</v>
      </c>
      <c r="B395" s="0" t="s">
        <v>3459</v>
      </c>
      <c r="C395" s="0" t="s">
        <v>3447</v>
      </c>
      <c r="D395" s="0" t="s">
        <v>3448</v>
      </c>
      <c r="E395" s="0" t="s">
        <v>4969</v>
      </c>
      <c r="F395" s="0" t="s">
        <v>61</v>
      </c>
      <c r="G395" s="0" t="s">
        <v>4970</v>
      </c>
      <c r="H395" s="0" t="s">
        <v>5130</v>
      </c>
      <c r="I395" s="0" t="s">
        <v>4972</v>
      </c>
      <c r="J395" s="20" t="s">
        <v>25</v>
      </c>
    </row>
    <row r="396" customFormat="false" ht="15" hidden="false" customHeight="false" outlineLevel="0" collapsed="false">
      <c r="A396" s="0" t="s">
        <v>455</v>
      </c>
      <c r="B396" s="0" t="s">
        <v>134</v>
      </c>
      <c r="C396" s="0" t="s">
        <v>3450</v>
      </c>
      <c r="D396" s="0" t="s">
        <v>3457</v>
      </c>
      <c r="E396" s="0" t="s">
        <v>4963</v>
      </c>
      <c r="F396" s="0" t="s">
        <v>30</v>
      </c>
      <c r="G396" s="0" t="s">
        <v>4980</v>
      </c>
      <c r="H396" s="0" t="s">
        <v>4275</v>
      </c>
      <c r="I396" s="0" t="s">
        <v>4981</v>
      </c>
      <c r="J396" s="18" t="s">
        <v>24</v>
      </c>
    </row>
    <row r="397" customFormat="false" ht="15" hidden="false" customHeight="false" outlineLevel="0" collapsed="false">
      <c r="A397" s="0" t="s">
        <v>455</v>
      </c>
      <c r="B397" s="0" t="s">
        <v>134</v>
      </c>
      <c r="C397" s="0" t="s">
        <v>3447</v>
      </c>
      <c r="D397" s="0" t="s">
        <v>3457</v>
      </c>
      <c r="E397" s="0" t="s">
        <v>4963</v>
      </c>
      <c r="F397" s="0" t="s">
        <v>30</v>
      </c>
      <c r="G397" s="0" t="s">
        <v>4980</v>
      </c>
      <c r="H397" s="0" t="s">
        <v>4275</v>
      </c>
      <c r="I397" s="0" t="s">
        <v>4981</v>
      </c>
      <c r="J397" s="18" t="s">
        <v>24</v>
      </c>
    </row>
    <row r="398" customFormat="false" ht="15" hidden="false" customHeight="false" outlineLevel="0" collapsed="false">
      <c r="A398" s="0" t="s">
        <v>455</v>
      </c>
      <c r="B398" s="0" t="s">
        <v>134</v>
      </c>
      <c r="C398" s="0" t="s">
        <v>3447</v>
      </c>
      <c r="D398" s="0" t="s">
        <v>3448</v>
      </c>
      <c r="E398" s="0" t="s">
        <v>4963</v>
      </c>
      <c r="F398" s="0" t="s">
        <v>30</v>
      </c>
      <c r="G398" s="0" t="s">
        <v>4980</v>
      </c>
      <c r="H398" s="0" t="s">
        <v>4275</v>
      </c>
      <c r="I398" s="0" t="s">
        <v>4981</v>
      </c>
      <c r="J398" s="18" t="s">
        <v>24</v>
      </c>
    </row>
    <row r="399" customFormat="false" ht="15" hidden="false" customHeight="false" outlineLevel="0" collapsed="false">
      <c r="A399" s="0" t="s">
        <v>455</v>
      </c>
      <c r="B399" s="0" t="s">
        <v>3459</v>
      </c>
      <c r="C399" s="0" t="s">
        <v>3450</v>
      </c>
      <c r="D399" s="0" t="s">
        <v>3457</v>
      </c>
      <c r="E399" s="0" t="s">
        <v>4963</v>
      </c>
      <c r="F399" s="0" t="s">
        <v>30</v>
      </c>
      <c r="G399" s="0" t="s">
        <v>4980</v>
      </c>
      <c r="H399" s="0" t="s">
        <v>4341</v>
      </c>
      <c r="I399" s="0" t="s">
        <v>4981</v>
      </c>
      <c r="J399" s="18" t="s">
        <v>24</v>
      </c>
    </row>
    <row r="400" customFormat="false" ht="15" hidden="false" customHeight="false" outlineLevel="0" collapsed="false">
      <c r="A400" s="0" t="s">
        <v>455</v>
      </c>
      <c r="B400" s="0" t="s">
        <v>3459</v>
      </c>
      <c r="C400" s="0" t="s">
        <v>3447</v>
      </c>
      <c r="D400" s="0" t="s">
        <v>3457</v>
      </c>
      <c r="E400" s="0" t="s">
        <v>4963</v>
      </c>
      <c r="F400" s="0" t="s">
        <v>30</v>
      </c>
      <c r="G400" s="0" t="s">
        <v>4980</v>
      </c>
      <c r="H400" s="0" t="s">
        <v>4341</v>
      </c>
      <c r="I400" s="0" t="s">
        <v>4981</v>
      </c>
      <c r="J400" s="18" t="s">
        <v>24</v>
      </c>
    </row>
    <row r="401" customFormat="false" ht="15" hidden="false" customHeight="false" outlineLevel="0" collapsed="false">
      <c r="A401" s="0" t="s">
        <v>455</v>
      </c>
      <c r="B401" s="0" t="s">
        <v>3459</v>
      </c>
      <c r="C401" s="0" t="s">
        <v>3447</v>
      </c>
      <c r="D401" s="0" t="s">
        <v>3448</v>
      </c>
      <c r="E401" s="0" t="s">
        <v>4963</v>
      </c>
      <c r="F401" s="0" t="s">
        <v>30</v>
      </c>
      <c r="G401" s="0" t="s">
        <v>4980</v>
      </c>
      <c r="H401" s="0" t="s">
        <v>4342</v>
      </c>
      <c r="I401" s="0" t="s">
        <v>4981</v>
      </c>
      <c r="J401" s="18" t="s">
        <v>24</v>
      </c>
    </row>
    <row r="402" customFormat="false" ht="15" hidden="false" customHeight="false" outlineLevel="0" collapsed="false">
      <c r="A402" s="0" t="s">
        <v>466</v>
      </c>
      <c r="B402" s="0" t="s">
        <v>134</v>
      </c>
      <c r="C402" s="0" t="s">
        <v>3450</v>
      </c>
      <c r="D402" s="0" t="s">
        <v>3457</v>
      </c>
      <c r="E402" s="0" t="s">
        <v>4969</v>
      </c>
      <c r="F402" s="0" t="s">
        <v>62</v>
      </c>
      <c r="G402" s="0" t="s">
        <v>5003</v>
      </c>
      <c r="H402" s="0" t="s">
        <v>5131</v>
      </c>
      <c r="I402" s="0" t="s">
        <v>5005</v>
      </c>
      <c r="J402" s="20" t="s">
        <v>25</v>
      </c>
    </row>
    <row r="403" customFormat="false" ht="15" hidden="false" customHeight="false" outlineLevel="0" collapsed="false">
      <c r="A403" s="0" t="s">
        <v>466</v>
      </c>
      <c r="B403" s="0" t="s">
        <v>134</v>
      </c>
      <c r="C403" s="0" t="s">
        <v>3450</v>
      </c>
      <c r="D403" s="0" t="s">
        <v>3457</v>
      </c>
      <c r="E403" s="0" t="s">
        <v>4969</v>
      </c>
      <c r="F403" s="0" t="s">
        <v>63</v>
      </c>
      <c r="G403" s="0" t="s">
        <v>4220</v>
      </c>
      <c r="H403" s="0" t="s">
        <v>5132</v>
      </c>
      <c r="I403" s="0" t="s">
        <v>4979</v>
      </c>
      <c r="J403" s="20" t="s">
        <v>25</v>
      </c>
    </row>
    <row r="404" customFormat="false" ht="15" hidden="false" customHeight="false" outlineLevel="0" collapsed="false">
      <c r="A404" s="0" t="s">
        <v>466</v>
      </c>
      <c r="B404" s="0" t="s">
        <v>134</v>
      </c>
      <c r="C404" s="0" t="s">
        <v>3450</v>
      </c>
      <c r="D404" s="0" t="s">
        <v>3448</v>
      </c>
      <c r="E404" s="0" t="s">
        <v>4969</v>
      </c>
      <c r="F404" s="0" t="s">
        <v>62</v>
      </c>
      <c r="G404" s="0" t="s">
        <v>5003</v>
      </c>
      <c r="H404" s="0" t="s">
        <v>5133</v>
      </c>
      <c r="I404" s="0" t="s">
        <v>5005</v>
      </c>
      <c r="J404" s="20" t="s">
        <v>25</v>
      </c>
    </row>
    <row r="405" customFormat="false" ht="15" hidden="false" customHeight="false" outlineLevel="0" collapsed="false">
      <c r="A405" s="0" t="s">
        <v>466</v>
      </c>
      <c r="B405" s="0" t="s">
        <v>134</v>
      </c>
      <c r="C405" s="0" t="s">
        <v>3447</v>
      </c>
      <c r="D405" s="0" t="s">
        <v>3457</v>
      </c>
      <c r="E405" s="0" t="s">
        <v>4969</v>
      </c>
      <c r="F405" s="0" t="s">
        <v>63</v>
      </c>
      <c r="G405" s="0" t="s">
        <v>4220</v>
      </c>
      <c r="H405" s="0" t="s">
        <v>5132</v>
      </c>
      <c r="I405" s="0" t="s">
        <v>4979</v>
      </c>
      <c r="J405" s="20" t="s">
        <v>25</v>
      </c>
    </row>
    <row r="406" customFormat="false" ht="15" hidden="false" customHeight="false" outlineLevel="0" collapsed="false">
      <c r="A406" s="0" t="s">
        <v>466</v>
      </c>
      <c r="B406" s="0" t="s">
        <v>134</v>
      </c>
      <c r="C406" s="0" t="s">
        <v>3450</v>
      </c>
      <c r="D406" s="0" t="s">
        <v>3457</v>
      </c>
      <c r="E406" s="0" t="s">
        <v>4963</v>
      </c>
      <c r="F406" s="0" t="s">
        <v>30</v>
      </c>
      <c r="G406" s="0" t="s">
        <v>4980</v>
      </c>
      <c r="H406" s="0" t="s">
        <v>4343</v>
      </c>
      <c r="I406" s="0" t="s">
        <v>4981</v>
      </c>
      <c r="J406" s="18" t="s">
        <v>24</v>
      </c>
    </row>
    <row r="407" customFormat="false" ht="15" hidden="false" customHeight="false" outlineLevel="0" collapsed="false">
      <c r="A407" s="0" t="s">
        <v>466</v>
      </c>
      <c r="B407" s="0" t="s">
        <v>134</v>
      </c>
      <c r="C407" s="0" t="s">
        <v>3450</v>
      </c>
      <c r="D407" s="0" t="s">
        <v>3448</v>
      </c>
      <c r="E407" s="0" t="s">
        <v>4963</v>
      </c>
      <c r="F407" s="0" t="s">
        <v>30</v>
      </c>
      <c r="G407" s="0" t="s">
        <v>4980</v>
      </c>
      <c r="H407" s="0" t="s">
        <v>4344</v>
      </c>
      <c r="I407" s="0" t="s">
        <v>4981</v>
      </c>
      <c r="J407" s="18" t="s">
        <v>24</v>
      </c>
    </row>
    <row r="408" customFormat="false" ht="15" hidden="false" customHeight="false" outlineLevel="0" collapsed="false">
      <c r="A408" s="0" t="s">
        <v>466</v>
      </c>
      <c r="B408" s="0" t="s">
        <v>134</v>
      </c>
      <c r="C408" s="0" t="s">
        <v>3447</v>
      </c>
      <c r="D408" s="0" t="s">
        <v>3457</v>
      </c>
      <c r="E408" s="0" t="s">
        <v>4963</v>
      </c>
      <c r="F408" s="0" t="s">
        <v>30</v>
      </c>
      <c r="G408" s="0" t="s">
        <v>4980</v>
      </c>
      <c r="H408" s="0" t="s">
        <v>4228</v>
      </c>
      <c r="I408" s="0" t="s">
        <v>4981</v>
      </c>
      <c r="J408" s="18" t="s">
        <v>24</v>
      </c>
    </row>
    <row r="409" customFormat="false" ht="15" hidden="false" customHeight="false" outlineLevel="0" collapsed="false">
      <c r="A409" s="0" t="s">
        <v>466</v>
      </c>
      <c r="B409" s="0" t="s">
        <v>134</v>
      </c>
      <c r="C409" s="0" t="s">
        <v>3447</v>
      </c>
      <c r="D409" s="0" t="s">
        <v>3448</v>
      </c>
      <c r="E409" s="0" t="s">
        <v>4963</v>
      </c>
      <c r="F409" s="0" t="s">
        <v>30</v>
      </c>
      <c r="G409" s="0" t="s">
        <v>4980</v>
      </c>
      <c r="H409" s="0" t="s">
        <v>4345</v>
      </c>
      <c r="I409" s="0" t="s">
        <v>4981</v>
      </c>
      <c r="J409" s="18" t="s">
        <v>24</v>
      </c>
    </row>
    <row r="410" customFormat="false" ht="15" hidden="false" customHeight="false" outlineLevel="0" collapsed="false">
      <c r="A410" s="0" t="s">
        <v>480</v>
      </c>
      <c r="B410" s="0" t="s">
        <v>134</v>
      </c>
      <c r="C410" s="0" t="s">
        <v>3450</v>
      </c>
      <c r="D410" s="0" t="s">
        <v>3457</v>
      </c>
      <c r="E410" s="0" t="s">
        <v>4969</v>
      </c>
      <c r="F410" s="0" t="s">
        <v>62</v>
      </c>
      <c r="G410" s="0" t="s">
        <v>5003</v>
      </c>
      <c r="H410" s="0" t="s">
        <v>5134</v>
      </c>
      <c r="I410" s="0" t="s">
        <v>5005</v>
      </c>
      <c r="J410" s="20" t="s">
        <v>25</v>
      </c>
    </row>
    <row r="411" customFormat="false" ht="15" hidden="false" customHeight="false" outlineLevel="0" collapsed="false">
      <c r="A411" s="0" t="s">
        <v>480</v>
      </c>
      <c r="B411" s="0" t="s">
        <v>134</v>
      </c>
      <c r="C411" s="0" t="s">
        <v>3450</v>
      </c>
      <c r="D411" s="0" t="s">
        <v>3448</v>
      </c>
      <c r="E411" s="0" t="s">
        <v>4969</v>
      </c>
      <c r="F411" s="0" t="s">
        <v>64</v>
      </c>
      <c r="G411" s="0" t="s">
        <v>4220</v>
      </c>
      <c r="H411" s="0" t="s">
        <v>5135</v>
      </c>
      <c r="I411" s="0" t="s">
        <v>4991</v>
      </c>
      <c r="J411" s="20" t="s">
        <v>25</v>
      </c>
    </row>
    <row r="412" customFormat="false" ht="15" hidden="false" customHeight="false" outlineLevel="0" collapsed="false">
      <c r="A412" s="0" t="s">
        <v>480</v>
      </c>
      <c r="B412" s="0" t="s">
        <v>134</v>
      </c>
      <c r="C412" s="0" t="s">
        <v>3447</v>
      </c>
      <c r="D412" s="0" t="s">
        <v>3448</v>
      </c>
      <c r="E412" s="0" t="s">
        <v>4969</v>
      </c>
      <c r="F412" s="0" t="s">
        <v>64</v>
      </c>
      <c r="G412" s="0" t="s">
        <v>4220</v>
      </c>
      <c r="H412" s="0" t="s">
        <v>5135</v>
      </c>
      <c r="I412" s="0" t="s">
        <v>4991</v>
      </c>
      <c r="J412" s="20" t="s">
        <v>25</v>
      </c>
    </row>
    <row r="413" customFormat="false" ht="15" hidden="false" customHeight="false" outlineLevel="0" collapsed="false">
      <c r="A413" s="0" t="s">
        <v>480</v>
      </c>
      <c r="B413" s="0" t="s">
        <v>3459</v>
      </c>
      <c r="C413" s="0" t="s">
        <v>3450</v>
      </c>
      <c r="D413" s="0" t="s">
        <v>3457</v>
      </c>
      <c r="E413" s="0" t="s">
        <v>4969</v>
      </c>
      <c r="F413" s="0" t="s">
        <v>63</v>
      </c>
      <c r="G413" s="0" t="s">
        <v>4220</v>
      </c>
      <c r="H413" s="0" t="s">
        <v>5136</v>
      </c>
      <c r="I413" s="0" t="s">
        <v>4979</v>
      </c>
      <c r="J413" s="20" t="s">
        <v>25</v>
      </c>
    </row>
    <row r="414" customFormat="false" ht="15" hidden="false" customHeight="false" outlineLevel="0" collapsed="false">
      <c r="A414" s="0" t="s">
        <v>480</v>
      </c>
      <c r="B414" s="0" t="s">
        <v>3459</v>
      </c>
      <c r="C414" s="0" t="s">
        <v>3450</v>
      </c>
      <c r="D414" s="0" t="s">
        <v>3448</v>
      </c>
      <c r="E414" s="0" t="s">
        <v>4963</v>
      </c>
      <c r="F414" s="0" t="s">
        <v>59</v>
      </c>
      <c r="G414" s="0" t="s">
        <v>4974</v>
      </c>
      <c r="H414" s="0" t="s">
        <v>69</v>
      </c>
      <c r="I414" s="0" t="s">
        <v>4975</v>
      </c>
      <c r="J414" s="20" t="s">
        <v>25</v>
      </c>
    </row>
    <row r="415" customFormat="false" ht="15" hidden="false" customHeight="false" outlineLevel="0" collapsed="false">
      <c r="A415" s="0" t="s">
        <v>480</v>
      </c>
      <c r="B415" s="0" t="s">
        <v>3459</v>
      </c>
      <c r="C415" s="0" t="s">
        <v>3450</v>
      </c>
      <c r="D415" s="0" t="s">
        <v>3448</v>
      </c>
      <c r="E415" s="0" t="s">
        <v>4969</v>
      </c>
      <c r="F415" s="0" t="s">
        <v>63</v>
      </c>
      <c r="G415" s="0" t="s">
        <v>4220</v>
      </c>
      <c r="H415" s="0" t="s">
        <v>5137</v>
      </c>
      <c r="I415" s="0" t="s">
        <v>4979</v>
      </c>
      <c r="J415" s="20" t="s">
        <v>25</v>
      </c>
    </row>
    <row r="416" customFormat="false" ht="15" hidden="false" customHeight="false" outlineLevel="0" collapsed="false">
      <c r="A416" s="0" t="s">
        <v>480</v>
      </c>
      <c r="B416" s="0" t="s">
        <v>3459</v>
      </c>
      <c r="C416" s="0" t="s">
        <v>3447</v>
      </c>
      <c r="D416" s="0" t="s">
        <v>3457</v>
      </c>
      <c r="E416" s="0" t="s">
        <v>4969</v>
      </c>
      <c r="F416" s="0" t="s">
        <v>63</v>
      </c>
      <c r="G416" s="0" t="s">
        <v>4220</v>
      </c>
      <c r="H416" s="0" t="s">
        <v>5136</v>
      </c>
      <c r="I416" s="0" t="s">
        <v>4979</v>
      </c>
      <c r="J416" s="20" t="s">
        <v>25</v>
      </c>
    </row>
    <row r="417" customFormat="false" ht="15" hidden="false" customHeight="false" outlineLevel="0" collapsed="false">
      <c r="A417" s="0" t="s">
        <v>480</v>
      </c>
      <c r="B417" s="0" t="s">
        <v>3459</v>
      </c>
      <c r="C417" s="0" t="s">
        <v>3447</v>
      </c>
      <c r="D417" s="0" t="s">
        <v>3448</v>
      </c>
      <c r="E417" s="0" t="s">
        <v>4969</v>
      </c>
      <c r="F417" s="0" t="s">
        <v>63</v>
      </c>
      <c r="G417" s="0" t="s">
        <v>4220</v>
      </c>
      <c r="H417" s="0" t="s">
        <v>5137</v>
      </c>
      <c r="I417" s="0" t="s">
        <v>4979</v>
      </c>
      <c r="J417" s="20" t="s">
        <v>25</v>
      </c>
    </row>
    <row r="418" customFormat="false" ht="15" hidden="false" customHeight="false" outlineLevel="0" collapsed="false">
      <c r="A418" s="0" t="s">
        <v>480</v>
      </c>
      <c r="B418" s="0" t="s">
        <v>3459</v>
      </c>
      <c r="C418" s="0" t="s">
        <v>3450</v>
      </c>
      <c r="D418" s="0" t="s">
        <v>3457</v>
      </c>
      <c r="E418" s="0" t="s">
        <v>4963</v>
      </c>
      <c r="F418" s="0" t="s">
        <v>30</v>
      </c>
      <c r="G418" s="0" t="s">
        <v>4980</v>
      </c>
      <c r="H418" s="0" t="s">
        <v>4346</v>
      </c>
      <c r="I418" s="0" t="s">
        <v>4981</v>
      </c>
      <c r="J418" s="18" t="s">
        <v>24</v>
      </c>
    </row>
    <row r="419" customFormat="false" ht="15" hidden="false" customHeight="false" outlineLevel="0" collapsed="false">
      <c r="A419" s="0" t="s">
        <v>480</v>
      </c>
      <c r="B419" s="0" t="s">
        <v>3459</v>
      </c>
      <c r="C419" s="0" t="s">
        <v>3450</v>
      </c>
      <c r="D419" s="0" t="s">
        <v>3448</v>
      </c>
      <c r="E419" s="0" t="s">
        <v>4963</v>
      </c>
      <c r="F419" s="0" t="s">
        <v>30</v>
      </c>
      <c r="G419" s="0" t="s">
        <v>4980</v>
      </c>
      <c r="H419" s="0" t="s">
        <v>4347</v>
      </c>
      <c r="I419" s="0" t="s">
        <v>4981</v>
      </c>
      <c r="J419" s="18" t="s">
        <v>24</v>
      </c>
    </row>
    <row r="420" customFormat="false" ht="15" hidden="false" customHeight="false" outlineLevel="0" collapsed="false">
      <c r="A420" s="0" t="s">
        <v>480</v>
      </c>
      <c r="B420" s="0" t="s">
        <v>3459</v>
      </c>
      <c r="C420" s="0" t="s">
        <v>3447</v>
      </c>
      <c r="D420" s="0" t="s">
        <v>3457</v>
      </c>
      <c r="E420" s="0" t="s">
        <v>4963</v>
      </c>
      <c r="F420" s="0" t="s">
        <v>30</v>
      </c>
      <c r="G420" s="0" t="s">
        <v>4980</v>
      </c>
      <c r="H420" s="0" t="s">
        <v>4348</v>
      </c>
      <c r="I420" s="0" t="s">
        <v>4981</v>
      </c>
      <c r="J420" s="18" t="s">
        <v>24</v>
      </c>
    </row>
    <row r="421" customFormat="false" ht="15" hidden="false" customHeight="false" outlineLevel="0" collapsed="false">
      <c r="A421" s="0" t="s">
        <v>480</v>
      </c>
      <c r="B421" s="0" t="s">
        <v>3459</v>
      </c>
      <c r="C421" s="0" t="s">
        <v>3447</v>
      </c>
      <c r="D421" s="0" t="s">
        <v>3448</v>
      </c>
      <c r="E421" s="0" t="s">
        <v>4963</v>
      </c>
      <c r="F421" s="0" t="s">
        <v>30</v>
      </c>
      <c r="G421" s="0" t="s">
        <v>4980</v>
      </c>
      <c r="H421" s="0" t="s">
        <v>4349</v>
      </c>
      <c r="I421" s="0" t="s">
        <v>4981</v>
      </c>
      <c r="J421" s="18" t="s">
        <v>24</v>
      </c>
    </row>
    <row r="422" customFormat="false" ht="15" hidden="false" customHeight="false" outlineLevel="0" collapsed="false">
      <c r="A422" s="0" t="s">
        <v>487</v>
      </c>
      <c r="B422" s="0" t="s">
        <v>134</v>
      </c>
      <c r="C422" s="0" t="s">
        <v>3447</v>
      </c>
      <c r="D422" s="0" t="s">
        <v>3457</v>
      </c>
      <c r="E422" s="0" t="s">
        <v>4963</v>
      </c>
      <c r="F422" s="0" t="s">
        <v>60</v>
      </c>
      <c r="G422" s="0" t="s">
        <v>4964</v>
      </c>
      <c r="H422" s="0" t="s">
        <v>5138</v>
      </c>
      <c r="I422" s="0" t="s">
        <v>4966</v>
      </c>
      <c r="J422" s="19" t="s">
        <v>26</v>
      </c>
    </row>
    <row r="423" customFormat="false" ht="15" hidden="false" customHeight="false" outlineLevel="0" collapsed="false">
      <c r="A423" s="0" t="s">
        <v>487</v>
      </c>
      <c r="B423" s="0" t="s">
        <v>3459</v>
      </c>
      <c r="C423" s="0" t="s">
        <v>3447</v>
      </c>
      <c r="D423" s="0" t="s">
        <v>3457</v>
      </c>
      <c r="E423" s="0" t="s">
        <v>4963</v>
      </c>
      <c r="F423" s="0" t="s">
        <v>60</v>
      </c>
      <c r="G423" s="0" t="s">
        <v>4964</v>
      </c>
      <c r="H423" s="0" t="s">
        <v>5016</v>
      </c>
      <c r="I423" s="0" t="s">
        <v>4966</v>
      </c>
      <c r="J423" s="19" t="s">
        <v>26</v>
      </c>
    </row>
    <row r="424" customFormat="false" ht="15" hidden="false" customHeight="false" outlineLevel="0" collapsed="false">
      <c r="A424" s="0" t="s">
        <v>487</v>
      </c>
      <c r="B424" s="0" t="s">
        <v>3459</v>
      </c>
      <c r="C424" s="0" t="s">
        <v>3447</v>
      </c>
      <c r="D424" s="0" t="s">
        <v>3448</v>
      </c>
      <c r="E424" s="0" t="s">
        <v>4963</v>
      </c>
      <c r="F424" s="0" t="s">
        <v>60</v>
      </c>
      <c r="G424" s="0" t="s">
        <v>4964</v>
      </c>
      <c r="H424" s="0" t="s">
        <v>5139</v>
      </c>
      <c r="I424" s="0" t="s">
        <v>4966</v>
      </c>
      <c r="J424" s="19" t="s">
        <v>26</v>
      </c>
    </row>
    <row r="425" customFormat="false" ht="15" hidden="false" customHeight="false" outlineLevel="0" collapsed="false">
      <c r="A425" s="0" t="s">
        <v>487</v>
      </c>
      <c r="B425" s="0" t="s">
        <v>134</v>
      </c>
      <c r="C425" s="0" t="s">
        <v>3450</v>
      </c>
      <c r="D425" s="0" t="s">
        <v>3457</v>
      </c>
      <c r="E425" s="0" t="s">
        <v>4963</v>
      </c>
      <c r="F425" s="0" t="s">
        <v>59</v>
      </c>
      <c r="G425" s="0" t="s">
        <v>4974</v>
      </c>
      <c r="H425" s="0" t="s">
        <v>69</v>
      </c>
      <c r="I425" s="0" t="s">
        <v>4975</v>
      </c>
      <c r="J425" s="20" t="s">
        <v>25</v>
      </c>
    </row>
    <row r="426" customFormat="false" ht="15" hidden="false" customHeight="false" outlineLevel="0" collapsed="false">
      <c r="A426" s="0" t="s">
        <v>487</v>
      </c>
      <c r="B426" s="0" t="s">
        <v>3459</v>
      </c>
      <c r="C426" s="0" t="s">
        <v>3450</v>
      </c>
      <c r="D426" s="0" t="s">
        <v>3457</v>
      </c>
      <c r="E426" s="0" t="s">
        <v>4963</v>
      </c>
      <c r="F426" s="0" t="s">
        <v>59</v>
      </c>
      <c r="G426" s="0" t="s">
        <v>4974</v>
      </c>
      <c r="H426" s="0" t="s">
        <v>69</v>
      </c>
      <c r="I426" s="0" t="s">
        <v>4975</v>
      </c>
      <c r="J426" s="20" t="s">
        <v>25</v>
      </c>
    </row>
    <row r="427" customFormat="false" ht="15" hidden="false" customHeight="false" outlineLevel="0" collapsed="false">
      <c r="A427" s="0" t="s">
        <v>487</v>
      </c>
      <c r="B427" s="0" t="s">
        <v>3459</v>
      </c>
      <c r="C427" s="0" t="s">
        <v>3450</v>
      </c>
      <c r="D427" s="0" t="s">
        <v>3457</v>
      </c>
      <c r="E427" s="0" t="s">
        <v>4969</v>
      </c>
      <c r="F427" s="0" t="s">
        <v>61</v>
      </c>
      <c r="G427" s="0" t="s">
        <v>4970</v>
      </c>
      <c r="H427" s="0" t="s">
        <v>4996</v>
      </c>
      <c r="I427" s="0" t="s">
        <v>4972</v>
      </c>
      <c r="J427" s="20" t="s">
        <v>25</v>
      </c>
    </row>
    <row r="428" customFormat="false" ht="15" hidden="false" customHeight="false" outlineLevel="0" collapsed="false">
      <c r="A428" s="0" t="s">
        <v>487</v>
      </c>
      <c r="B428" s="0" t="s">
        <v>3459</v>
      </c>
      <c r="C428" s="0" t="s">
        <v>3450</v>
      </c>
      <c r="D428" s="0" t="s">
        <v>3448</v>
      </c>
      <c r="E428" s="0" t="s">
        <v>4963</v>
      </c>
      <c r="F428" s="0" t="s">
        <v>59</v>
      </c>
      <c r="G428" s="0" t="s">
        <v>4974</v>
      </c>
      <c r="H428" s="0" t="s">
        <v>69</v>
      </c>
      <c r="I428" s="0" t="s">
        <v>4975</v>
      </c>
      <c r="J428" s="20" t="s">
        <v>25</v>
      </c>
    </row>
    <row r="429" customFormat="false" ht="15" hidden="false" customHeight="false" outlineLevel="0" collapsed="false">
      <c r="A429" s="0" t="s">
        <v>487</v>
      </c>
      <c r="B429" s="0" t="s">
        <v>3459</v>
      </c>
      <c r="C429" s="0" t="s">
        <v>3450</v>
      </c>
      <c r="D429" s="0" t="s">
        <v>3448</v>
      </c>
      <c r="E429" s="0" t="s">
        <v>4969</v>
      </c>
      <c r="F429" s="0" t="s">
        <v>63</v>
      </c>
      <c r="G429" s="0" t="s">
        <v>4220</v>
      </c>
      <c r="H429" s="0" t="s">
        <v>5140</v>
      </c>
      <c r="I429" s="0" t="s">
        <v>4979</v>
      </c>
      <c r="J429" s="20" t="s">
        <v>25</v>
      </c>
    </row>
    <row r="430" customFormat="false" ht="15" hidden="false" customHeight="false" outlineLevel="0" collapsed="false">
      <c r="A430" s="0" t="s">
        <v>487</v>
      </c>
      <c r="B430" s="0" t="s">
        <v>3459</v>
      </c>
      <c r="C430" s="0" t="s">
        <v>3447</v>
      </c>
      <c r="D430" s="0" t="s">
        <v>3457</v>
      </c>
      <c r="E430" s="0" t="s">
        <v>4963</v>
      </c>
      <c r="F430" s="0" t="s">
        <v>59</v>
      </c>
      <c r="G430" s="0" t="s">
        <v>4974</v>
      </c>
      <c r="H430" s="0" t="s">
        <v>69</v>
      </c>
      <c r="I430" s="0" t="s">
        <v>4975</v>
      </c>
      <c r="J430" s="20" t="s">
        <v>25</v>
      </c>
    </row>
    <row r="431" customFormat="false" ht="15" hidden="false" customHeight="false" outlineLevel="0" collapsed="false">
      <c r="A431" s="0" t="s">
        <v>487</v>
      </c>
      <c r="B431" s="0" t="s">
        <v>3459</v>
      </c>
      <c r="C431" s="0" t="s">
        <v>3447</v>
      </c>
      <c r="D431" s="0" t="s">
        <v>3448</v>
      </c>
      <c r="E431" s="0" t="s">
        <v>4969</v>
      </c>
      <c r="F431" s="0" t="s">
        <v>63</v>
      </c>
      <c r="G431" s="0" t="s">
        <v>4220</v>
      </c>
      <c r="H431" s="0" t="s">
        <v>5140</v>
      </c>
      <c r="I431" s="0" t="s">
        <v>4979</v>
      </c>
      <c r="J431" s="20" t="s">
        <v>25</v>
      </c>
    </row>
    <row r="432" customFormat="false" ht="15" hidden="false" customHeight="false" outlineLevel="0" collapsed="false">
      <c r="A432" s="0" t="s">
        <v>487</v>
      </c>
      <c r="B432" s="0" t="s">
        <v>134</v>
      </c>
      <c r="C432" s="0" t="s">
        <v>3450</v>
      </c>
      <c r="D432" s="0" t="s">
        <v>3457</v>
      </c>
      <c r="E432" s="0" t="s">
        <v>4963</v>
      </c>
      <c r="F432" s="0" t="s">
        <v>30</v>
      </c>
      <c r="G432" s="0" t="s">
        <v>4980</v>
      </c>
      <c r="H432" s="0" t="s">
        <v>4242</v>
      </c>
      <c r="I432" s="0" t="s">
        <v>4981</v>
      </c>
      <c r="J432" s="18" t="s">
        <v>24</v>
      </c>
    </row>
    <row r="433" customFormat="false" ht="15" hidden="false" customHeight="false" outlineLevel="0" collapsed="false">
      <c r="A433" s="0" t="s">
        <v>487</v>
      </c>
      <c r="B433" s="0" t="s">
        <v>134</v>
      </c>
      <c r="C433" s="0" t="s">
        <v>3447</v>
      </c>
      <c r="D433" s="0" t="s">
        <v>3448</v>
      </c>
      <c r="E433" s="0" t="s">
        <v>4963</v>
      </c>
      <c r="F433" s="0" t="s">
        <v>30</v>
      </c>
      <c r="G433" s="0" t="s">
        <v>4980</v>
      </c>
      <c r="H433" s="0" t="s">
        <v>4351</v>
      </c>
      <c r="I433" s="0" t="s">
        <v>4981</v>
      </c>
      <c r="J433" s="18" t="s">
        <v>24</v>
      </c>
    </row>
    <row r="434" customFormat="false" ht="15" hidden="false" customHeight="false" outlineLevel="0" collapsed="false">
      <c r="A434" s="0" t="s">
        <v>487</v>
      </c>
      <c r="B434" s="0" t="s">
        <v>3459</v>
      </c>
      <c r="C434" s="0" t="s">
        <v>3450</v>
      </c>
      <c r="D434" s="0" t="s">
        <v>3457</v>
      </c>
      <c r="E434" s="0" t="s">
        <v>4963</v>
      </c>
      <c r="F434" s="0" t="s">
        <v>30</v>
      </c>
      <c r="G434" s="0" t="s">
        <v>4980</v>
      </c>
      <c r="H434" s="0" t="s">
        <v>4275</v>
      </c>
      <c r="I434" s="0" t="s">
        <v>4981</v>
      </c>
      <c r="J434" s="18" t="s">
        <v>24</v>
      </c>
    </row>
    <row r="435" customFormat="false" ht="15" hidden="false" customHeight="false" outlineLevel="0" collapsed="false">
      <c r="A435" s="0" t="s">
        <v>487</v>
      </c>
      <c r="B435" s="0" t="s">
        <v>3459</v>
      </c>
      <c r="C435" s="0" t="s">
        <v>3450</v>
      </c>
      <c r="D435" s="0" t="s">
        <v>3448</v>
      </c>
      <c r="E435" s="0" t="s">
        <v>4963</v>
      </c>
      <c r="F435" s="0" t="s">
        <v>30</v>
      </c>
      <c r="G435" s="0" t="s">
        <v>4980</v>
      </c>
      <c r="H435" s="0" t="s">
        <v>4242</v>
      </c>
      <c r="I435" s="0" t="s">
        <v>4981</v>
      </c>
      <c r="J435" s="18" t="s">
        <v>24</v>
      </c>
    </row>
    <row r="436" customFormat="false" ht="15" hidden="false" customHeight="false" outlineLevel="0" collapsed="false">
      <c r="A436" s="0" t="s">
        <v>493</v>
      </c>
      <c r="B436" s="0" t="s">
        <v>134</v>
      </c>
      <c r="C436" s="0" t="s">
        <v>3447</v>
      </c>
      <c r="D436" s="0" t="s">
        <v>3457</v>
      </c>
      <c r="E436" s="0" t="s">
        <v>4963</v>
      </c>
      <c r="F436" s="0" t="s">
        <v>59</v>
      </c>
      <c r="G436" s="0" t="s">
        <v>4974</v>
      </c>
      <c r="H436" s="0" t="s">
        <v>69</v>
      </c>
      <c r="I436" s="0" t="s">
        <v>4975</v>
      </c>
      <c r="J436" s="20" t="s">
        <v>25</v>
      </c>
    </row>
    <row r="437" customFormat="false" ht="15" hidden="false" customHeight="false" outlineLevel="0" collapsed="false">
      <c r="A437" s="0" t="s">
        <v>493</v>
      </c>
      <c r="B437" s="0" t="s">
        <v>134</v>
      </c>
      <c r="C437" s="0" t="s">
        <v>3447</v>
      </c>
      <c r="D437" s="0" t="s">
        <v>3457</v>
      </c>
      <c r="E437" s="0" t="s">
        <v>4963</v>
      </c>
      <c r="F437" s="0" t="s">
        <v>30</v>
      </c>
      <c r="G437" s="0" t="s">
        <v>4980</v>
      </c>
      <c r="H437" s="0" t="s">
        <v>4353</v>
      </c>
      <c r="I437" s="0" t="s">
        <v>4981</v>
      </c>
      <c r="J437" s="18" t="s">
        <v>24</v>
      </c>
    </row>
    <row r="438" customFormat="false" ht="15" hidden="false" customHeight="false" outlineLevel="0" collapsed="false">
      <c r="A438" s="0" t="s">
        <v>500</v>
      </c>
      <c r="B438" s="0" t="s">
        <v>134</v>
      </c>
      <c r="C438" s="0" t="s">
        <v>3450</v>
      </c>
      <c r="D438" s="0" t="s">
        <v>3457</v>
      </c>
      <c r="E438" s="0" t="s">
        <v>4969</v>
      </c>
      <c r="F438" s="0" t="s">
        <v>61</v>
      </c>
      <c r="G438" s="0" t="s">
        <v>4970</v>
      </c>
      <c r="H438" s="0" t="s">
        <v>5141</v>
      </c>
      <c r="I438" s="0" t="s">
        <v>4972</v>
      </c>
      <c r="J438" s="20" t="s">
        <v>25</v>
      </c>
    </row>
    <row r="439" customFormat="false" ht="15" hidden="false" customHeight="false" outlineLevel="0" collapsed="false">
      <c r="A439" s="0" t="s">
        <v>500</v>
      </c>
      <c r="B439" s="0" t="s">
        <v>134</v>
      </c>
      <c r="C439" s="0" t="s">
        <v>3450</v>
      </c>
      <c r="D439" s="0" t="s">
        <v>3457</v>
      </c>
      <c r="E439" s="0" t="s">
        <v>4969</v>
      </c>
      <c r="F439" s="0" t="s">
        <v>62</v>
      </c>
      <c r="G439" s="0" t="s">
        <v>5003</v>
      </c>
      <c r="H439" s="0" t="s">
        <v>5142</v>
      </c>
      <c r="I439" s="0" t="s">
        <v>5005</v>
      </c>
      <c r="J439" s="20" t="s">
        <v>25</v>
      </c>
    </row>
    <row r="440" customFormat="false" ht="15" hidden="false" customHeight="false" outlineLevel="0" collapsed="false">
      <c r="A440" s="0" t="s">
        <v>500</v>
      </c>
      <c r="B440" s="0" t="s">
        <v>134</v>
      </c>
      <c r="C440" s="0" t="s">
        <v>3450</v>
      </c>
      <c r="D440" s="0" t="s">
        <v>3448</v>
      </c>
      <c r="E440" s="0" t="s">
        <v>4969</v>
      </c>
      <c r="F440" s="0" t="s">
        <v>62</v>
      </c>
      <c r="G440" s="0" t="s">
        <v>5003</v>
      </c>
      <c r="H440" s="0" t="s">
        <v>5143</v>
      </c>
      <c r="I440" s="0" t="s">
        <v>5005</v>
      </c>
      <c r="J440" s="20" t="s">
        <v>25</v>
      </c>
    </row>
    <row r="441" customFormat="false" ht="15" hidden="false" customHeight="false" outlineLevel="0" collapsed="false">
      <c r="A441" s="0" t="s">
        <v>500</v>
      </c>
      <c r="B441" s="0" t="s">
        <v>134</v>
      </c>
      <c r="C441" s="0" t="s">
        <v>3447</v>
      </c>
      <c r="D441" s="0" t="s">
        <v>3457</v>
      </c>
      <c r="E441" s="0" t="s">
        <v>4969</v>
      </c>
      <c r="F441" s="0" t="s">
        <v>61</v>
      </c>
      <c r="G441" s="0" t="s">
        <v>4970</v>
      </c>
      <c r="H441" s="0" t="s">
        <v>5144</v>
      </c>
      <c r="I441" s="0" t="s">
        <v>4972</v>
      </c>
      <c r="J441" s="20" t="s">
        <v>25</v>
      </c>
    </row>
    <row r="442" customFormat="false" ht="15" hidden="false" customHeight="false" outlineLevel="0" collapsed="false">
      <c r="A442" s="0" t="s">
        <v>500</v>
      </c>
      <c r="B442" s="0" t="s">
        <v>134</v>
      </c>
      <c r="C442" s="0" t="s">
        <v>3447</v>
      </c>
      <c r="D442" s="0" t="s">
        <v>3448</v>
      </c>
      <c r="E442" s="0" t="s">
        <v>4963</v>
      </c>
      <c r="F442" s="0" t="s">
        <v>30</v>
      </c>
      <c r="G442" s="0" t="s">
        <v>4980</v>
      </c>
      <c r="H442" s="0" t="s">
        <v>4354</v>
      </c>
      <c r="I442" s="0" t="s">
        <v>4981</v>
      </c>
      <c r="J442" s="18" t="s">
        <v>24</v>
      </c>
    </row>
    <row r="443" customFormat="false" ht="15" hidden="false" customHeight="false" outlineLevel="0" collapsed="false">
      <c r="A443" s="0" t="s">
        <v>507</v>
      </c>
      <c r="B443" s="0" t="s">
        <v>134</v>
      </c>
      <c r="C443" s="0" t="s">
        <v>3450</v>
      </c>
      <c r="D443" s="0" t="s">
        <v>3457</v>
      </c>
      <c r="E443" s="0" t="s">
        <v>4963</v>
      </c>
      <c r="F443" s="0" t="s">
        <v>59</v>
      </c>
      <c r="G443" s="0" t="s">
        <v>4974</v>
      </c>
      <c r="H443" s="0" t="s">
        <v>69</v>
      </c>
      <c r="I443" s="0" t="s">
        <v>4975</v>
      </c>
      <c r="J443" s="20" t="s">
        <v>25</v>
      </c>
    </row>
    <row r="444" customFormat="false" ht="15" hidden="false" customHeight="false" outlineLevel="0" collapsed="false">
      <c r="A444" s="0" t="s">
        <v>507</v>
      </c>
      <c r="B444" s="0" t="s">
        <v>134</v>
      </c>
      <c r="C444" s="0" t="s">
        <v>3450</v>
      </c>
      <c r="D444" s="0" t="s">
        <v>3457</v>
      </c>
      <c r="E444" s="0" t="s">
        <v>4969</v>
      </c>
      <c r="F444" s="0" t="s">
        <v>61</v>
      </c>
      <c r="G444" s="0" t="s">
        <v>4970</v>
      </c>
      <c r="H444" s="0" t="s">
        <v>5145</v>
      </c>
      <c r="I444" s="0" t="s">
        <v>4972</v>
      </c>
      <c r="J444" s="20" t="s">
        <v>25</v>
      </c>
    </row>
    <row r="445" customFormat="false" ht="15" hidden="false" customHeight="false" outlineLevel="0" collapsed="false">
      <c r="A445" s="0" t="s">
        <v>507</v>
      </c>
      <c r="B445" s="0" t="s">
        <v>134</v>
      </c>
      <c r="C445" s="0" t="s">
        <v>3450</v>
      </c>
      <c r="D445" s="0" t="s">
        <v>3448</v>
      </c>
      <c r="E445" s="0" t="s">
        <v>4963</v>
      </c>
      <c r="F445" s="0" t="s">
        <v>59</v>
      </c>
      <c r="G445" s="0" t="s">
        <v>4974</v>
      </c>
      <c r="H445" s="0" t="s">
        <v>69</v>
      </c>
      <c r="I445" s="0" t="s">
        <v>4975</v>
      </c>
      <c r="J445" s="20" t="s">
        <v>25</v>
      </c>
    </row>
    <row r="446" customFormat="false" ht="15" hidden="false" customHeight="false" outlineLevel="0" collapsed="false">
      <c r="A446" s="0" t="s">
        <v>507</v>
      </c>
      <c r="B446" s="0" t="s">
        <v>134</v>
      </c>
      <c r="C446" s="0" t="s">
        <v>3447</v>
      </c>
      <c r="D446" s="0" t="s">
        <v>3457</v>
      </c>
      <c r="E446" s="0" t="s">
        <v>4969</v>
      </c>
      <c r="F446" s="0" t="s">
        <v>61</v>
      </c>
      <c r="G446" s="0" t="s">
        <v>4970</v>
      </c>
      <c r="H446" s="0" t="s">
        <v>5146</v>
      </c>
      <c r="I446" s="0" t="s">
        <v>4972</v>
      </c>
      <c r="J446" s="20" t="s">
        <v>25</v>
      </c>
    </row>
    <row r="447" customFormat="false" ht="15" hidden="false" customHeight="false" outlineLevel="0" collapsed="false">
      <c r="A447" s="0" t="s">
        <v>507</v>
      </c>
      <c r="B447" s="0" t="s">
        <v>134</v>
      </c>
      <c r="C447" s="0" t="s">
        <v>3450</v>
      </c>
      <c r="D447" s="0" t="s">
        <v>3457</v>
      </c>
      <c r="E447" s="0" t="s">
        <v>4963</v>
      </c>
      <c r="F447" s="0" t="s">
        <v>30</v>
      </c>
      <c r="G447" s="0" t="s">
        <v>4980</v>
      </c>
      <c r="H447" s="0" t="s">
        <v>4289</v>
      </c>
      <c r="I447" s="0" t="s">
        <v>4981</v>
      </c>
      <c r="J447" s="18" t="s">
        <v>24</v>
      </c>
    </row>
    <row r="448" customFormat="false" ht="15" hidden="false" customHeight="false" outlineLevel="0" collapsed="false">
      <c r="A448" s="0" t="s">
        <v>507</v>
      </c>
      <c r="B448" s="0" t="s">
        <v>134</v>
      </c>
      <c r="C448" s="0" t="s">
        <v>3450</v>
      </c>
      <c r="D448" s="0" t="s">
        <v>3448</v>
      </c>
      <c r="E448" s="0" t="s">
        <v>4963</v>
      </c>
      <c r="F448" s="0" t="s">
        <v>30</v>
      </c>
      <c r="G448" s="0" t="s">
        <v>4980</v>
      </c>
      <c r="H448" s="0" t="s">
        <v>4275</v>
      </c>
      <c r="I448" s="0" t="s">
        <v>4981</v>
      </c>
      <c r="J448" s="18" t="s">
        <v>24</v>
      </c>
    </row>
    <row r="449" customFormat="false" ht="15" hidden="false" customHeight="false" outlineLevel="0" collapsed="false">
      <c r="A449" s="0" t="s">
        <v>507</v>
      </c>
      <c r="B449" s="0" t="s">
        <v>134</v>
      </c>
      <c r="C449" s="0" t="s">
        <v>3447</v>
      </c>
      <c r="D449" s="0" t="s">
        <v>3448</v>
      </c>
      <c r="E449" s="0" t="s">
        <v>4963</v>
      </c>
      <c r="F449" s="0" t="s">
        <v>30</v>
      </c>
      <c r="G449" s="0" t="s">
        <v>4980</v>
      </c>
      <c r="H449" s="0" t="s">
        <v>4228</v>
      </c>
      <c r="I449" s="0" t="s">
        <v>4981</v>
      </c>
      <c r="J449" s="18" t="s">
        <v>24</v>
      </c>
    </row>
    <row r="450" customFormat="false" ht="15" hidden="false" customHeight="false" outlineLevel="0" collapsed="false">
      <c r="A450" s="0" t="s">
        <v>513</v>
      </c>
      <c r="B450" s="0" t="s">
        <v>134</v>
      </c>
      <c r="C450" s="0" t="s">
        <v>3447</v>
      </c>
      <c r="D450" s="0" t="s">
        <v>3448</v>
      </c>
      <c r="E450" s="0" t="s">
        <v>4963</v>
      </c>
      <c r="F450" s="0" t="s">
        <v>59</v>
      </c>
      <c r="G450" s="0" t="s">
        <v>4974</v>
      </c>
      <c r="H450" s="0" t="s">
        <v>69</v>
      </c>
      <c r="I450" s="0" t="s">
        <v>4975</v>
      </c>
      <c r="J450" s="20" t="s">
        <v>25</v>
      </c>
    </row>
    <row r="451" customFormat="false" ht="15" hidden="false" customHeight="false" outlineLevel="0" collapsed="false">
      <c r="A451" s="0" t="s">
        <v>513</v>
      </c>
      <c r="B451" s="0" t="s">
        <v>134</v>
      </c>
      <c r="C451" s="0" t="s">
        <v>3447</v>
      </c>
      <c r="D451" s="0" t="s">
        <v>3448</v>
      </c>
      <c r="E451" s="0" t="s">
        <v>4963</v>
      </c>
      <c r="F451" s="0" t="s">
        <v>30</v>
      </c>
      <c r="G451" s="0" t="s">
        <v>4980</v>
      </c>
      <c r="H451" s="0" t="s">
        <v>4242</v>
      </c>
      <c r="I451" s="0" t="s">
        <v>4981</v>
      </c>
      <c r="J451" s="18" t="s">
        <v>24</v>
      </c>
    </row>
    <row r="452" customFormat="false" ht="15" hidden="false" customHeight="false" outlineLevel="0" collapsed="false">
      <c r="A452" s="0" t="s">
        <v>519</v>
      </c>
      <c r="B452" s="0" t="s">
        <v>134</v>
      </c>
      <c r="C452" s="0" t="s">
        <v>3450</v>
      </c>
      <c r="D452" s="0" t="s">
        <v>3457</v>
      </c>
      <c r="E452" s="0" t="s">
        <v>4963</v>
      </c>
      <c r="F452" s="0" t="s">
        <v>65</v>
      </c>
      <c r="G452" s="0" t="s">
        <v>4997</v>
      </c>
      <c r="H452" s="0" t="s">
        <v>3871</v>
      </c>
      <c r="I452" s="0" t="s">
        <v>4998</v>
      </c>
      <c r="J452" s="19" t="s">
        <v>26</v>
      </c>
    </row>
    <row r="453" customFormat="false" ht="15" hidden="false" customHeight="false" outlineLevel="0" collapsed="false">
      <c r="A453" s="0" t="s">
        <v>519</v>
      </c>
      <c r="B453" s="0" t="s">
        <v>134</v>
      </c>
      <c r="C453" s="0" t="s">
        <v>3450</v>
      </c>
      <c r="D453" s="0" t="s">
        <v>3457</v>
      </c>
      <c r="E453" s="0" t="s">
        <v>4963</v>
      </c>
      <c r="F453" s="0" t="s">
        <v>60</v>
      </c>
      <c r="G453" s="0" t="s">
        <v>4964</v>
      </c>
      <c r="H453" s="0" t="s">
        <v>5147</v>
      </c>
      <c r="I453" s="0" t="s">
        <v>4966</v>
      </c>
      <c r="J453" s="19" t="s">
        <v>26</v>
      </c>
    </row>
    <row r="454" customFormat="false" ht="15" hidden="false" customHeight="false" outlineLevel="0" collapsed="false">
      <c r="A454" s="0" t="s">
        <v>519</v>
      </c>
      <c r="B454" s="0" t="s">
        <v>134</v>
      </c>
      <c r="C454" s="0" t="s">
        <v>3450</v>
      </c>
      <c r="D454" s="0" t="s">
        <v>3448</v>
      </c>
      <c r="E454" s="0" t="s">
        <v>4963</v>
      </c>
      <c r="F454" s="0" t="s">
        <v>65</v>
      </c>
      <c r="G454" s="0" t="s">
        <v>4997</v>
      </c>
      <c r="H454" s="0" t="s">
        <v>3871</v>
      </c>
      <c r="I454" s="0" t="s">
        <v>4998</v>
      </c>
      <c r="J454" s="19" t="s">
        <v>26</v>
      </c>
    </row>
    <row r="455" customFormat="false" ht="15" hidden="false" customHeight="false" outlineLevel="0" collapsed="false">
      <c r="A455" s="0" t="s">
        <v>519</v>
      </c>
      <c r="B455" s="0" t="s">
        <v>134</v>
      </c>
      <c r="C455" s="0" t="s">
        <v>3450</v>
      </c>
      <c r="D455" s="0" t="s">
        <v>3448</v>
      </c>
      <c r="E455" s="0" t="s">
        <v>4963</v>
      </c>
      <c r="F455" s="0" t="s">
        <v>60</v>
      </c>
      <c r="G455" s="0" t="s">
        <v>4964</v>
      </c>
      <c r="H455" s="0" t="s">
        <v>5148</v>
      </c>
      <c r="I455" s="0" t="s">
        <v>4966</v>
      </c>
      <c r="J455" s="19" t="s">
        <v>26</v>
      </c>
    </row>
    <row r="456" customFormat="false" ht="15" hidden="false" customHeight="false" outlineLevel="0" collapsed="false">
      <c r="A456" s="0" t="s">
        <v>519</v>
      </c>
      <c r="B456" s="0" t="s">
        <v>134</v>
      </c>
      <c r="C456" s="0" t="s">
        <v>3447</v>
      </c>
      <c r="D456" s="0" t="s">
        <v>3457</v>
      </c>
      <c r="E456" s="0" t="s">
        <v>4963</v>
      </c>
      <c r="F456" s="0" t="s">
        <v>60</v>
      </c>
      <c r="G456" s="0" t="s">
        <v>4964</v>
      </c>
      <c r="H456" s="0" t="s">
        <v>5149</v>
      </c>
      <c r="I456" s="0" t="s">
        <v>4966</v>
      </c>
      <c r="J456" s="19" t="s">
        <v>26</v>
      </c>
    </row>
    <row r="457" customFormat="false" ht="15" hidden="false" customHeight="false" outlineLevel="0" collapsed="false">
      <c r="A457" s="0" t="s">
        <v>519</v>
      </c>
      <c r="B457" s="0" t="s">
        <v>134</v>
      </c>
      <c r="C457" s="0" t="s">
        <v>3447</v>
      </c>
      <c r="D457" s="0" t="s">
        <v>3448</v>
      </c>
      <c r="E457" s="0" t="s">
        <v>4963</v>
      </c>
      <c r="F457" s="0" t="s">
        <v>60</v>
      </c>
      <c r="G457" s="0" t="s">
        <v>4964</v>
      </c>
      <c r="H457" s="0" t="s">
        <v>5150</v>
      </c>
      <c r="I457" s="0" t="s">
        <v>4966</v>
      </c>
      <c r="J457" s="19" t="s">
        <v>26</v>
      </c>
    </row>
    <row r="458" customFormat="false" ht="15" hidden="false" customHeight="false" outlineLevel="0" collapsed="false">
      <c r="A458" s="0" t="s">
        <v>519</v>
      </c>
      <c r="B458" s="0" t="s">
        <v>134</v>
      </c>
      <c r="C458" s="0" t="s">
        <v>3447</v>
      </c>
      <c r="D458" s="0" t="s">
        <v>3457</v>
      </c>
      <c r="E458" s="0" t="s">
        <v>4963</v>
      </c>
      <c r="F458" s="0" t="s">
        <v>59</v>
      </c>
      <c r="G458" s="0" t="s">
        <v>4974</v>
      </c>
      <c r="H458" s="0" t="s">
        <v>70</v>
      </c>
      <c r="I458" s="0" t="s">
        <v>4975</v>
      </c>
      <c r="J458" s="20" t="s">
        <v>25</v>
      </c>
    </row>
    <row r="459" customFormat="false" ht="15" hidden="false" customHeight="false" outlineLevel="0" collapsed="false">
      <c r="A459" s="0" t="s">
        <v>526</v>
      </c>
      <c r="B459" s="0" t="s">
        <v>134</v>
      </c>
      <c r="C459" s="0" t="s">
        <v>3450</v>
      </c>
      <c r="D459" s="0" t="s">
        <v>3457</v>
      </c>
      <c r="E459" s="0" t="s">
        <v>4963</v>
      </c>
      <c r="F459" s="0" t="s">
        <v>60</v>
      </c>
      <c r="G459" s="0" t="s">
        <v>4964</v>
      </c>
      <c r="H459" s="0" t="s">
        <v>5046</v>
      </c>
      <c r="I459" s="0" t="s">
        <v>4966</v>
      </c>
      <c r="J459" s="19" t="s">
        <v>26</v>
      </c>
    </row>
    <row r="460" customFormat="false" ht="15" hidden="false" customHeight="false" outlineLevel="0" collapsed="false">
      <c r="A460" s="0" t="s">
        <v>526</v>
      </c>
      <c r="B460" s="0" t="s">
        <v>134</v>
      </c>
      <c r="C460" s="0" t="s">
        <v>3450</v>
      </c>
      <c r="D460" s="0" t="s">
        <v>3448</v>
      </c>
      <c r="E460" s="0" t="s">
        <v>4963</v>
      </c>
      <c r="F460" s="0" t="s">
        <v>60</v>
      </c>
      <c r="G460" s="0" t="s">
        <v>4964</v>
      </c>
      <c r="H460" s="0" t="s">
        <v>5151</v>
      </c>
      <c r="I460" s="0" t="s">
        <v>4966</v>
      </c>
      <c r="J460" s="19" t="s">
        <v>26</v>
      </c>
    </row>
    <row r="461" customFormat="false" ht="15" hidden="false" customHeight="false" outlineLevel="0" collapsed="false">
      <c r="A461" s="0" t="s">
        <v>526</v>
      </c>
      <c r="B461" s="0" t="s">
        <v>134</v>
      </c>
      <c r="C461" s="0" t="s">
        <v>3447</v>
      </c>
      <c r="D461" s="0" t="s">
        <v>3457</v>
      </c>
      <c r="E461" s="0" t="s">
        <v>4963</v>
      </c>
      <c r="F461" s="0" t="s">
        <v>60</v>
      </c>
      <c r="G461" s="0" t="s">
        <v>4964</v>
      </c>
      <c r="H461" s="0" t="s">
        <v>5152</v>
      </c>
      <c r="I461" s="0" t="s">
        <v>4966</v>
      </c>
      <c r="J461" s="19" t="s">
        <v>26</v>
      </c>
    </row>
    <row r="462" customFormat="false" ht="15" hidden="false" customHeight="false" outlineLevel="0" collapsed="false">
      <c r="A462" s="0" t="s">
        <v>526</v>
      </c>
      <c r="B462" s="0" t="s">
        <v>134</v>
      </c>
      <c r="C462" s="0" t="s">
        <v>3447</v>
      </c>
      <c r="D462" s="0" t="s">
        <v>3448</v>
      </c>
      <c r="E462" s="0" t="s">
        <v>4963</v>
      </c>
      <c r="F462" s="0" t="s">
        <v>60</v>
      </c>
      <c r="G462" s="0" t="s">
        <v>4964</v>
      </c>
      <c r="H462" s="0" t="s">
        <v>5153</v>
      </c>
      <c r="I462" s="0" t="s">
        <v>4966</v>
      </c>
      <c r="J462" s="19" t="s">
        <v>26</v>
      </c>
    </row>
    <row r="463" customFormat="false" ht="15" hidden="false" customHeight="false" outlineLevel="0" collapsed="false">
      <c r="A463" s="0" t="s">
        <v>526</v>
      </c>
      <c r="B463" s="0" t="s">
        <v>134</v>
      </c>
      <c r="C463" s="0" t="s">
        <v>3450</v>
      </c>
      <c r="D463" s="0" t="s">
        <v>3457</v>
      </c>
      <c r="E463" s="0" t="s">
        <v>4963</v>
      </c>
      <c r="F463" s="0" t="s">
        <v>59</v>
      </c>
      <c r="G463" s="0" t="s">
        <v>4974</v>
      </c>
      <c r="H463" s="0" t="s">
        <v>69</v>
      </c>
      <c r="I463" s="0" t="s">
        <v>4975</v>
      </c>
      <c r="J463" s="20" t="s">
        <v>25</v>
      </c>
    </row>
    <row r="464" customFormat="false" ht="15" hidden="false" customHeight="false" outlineLevel="0" collapsed="false">
      <c r="A464" s="0" t="s">
        <v>526</v>
      </c>
      <c r="B464" s="0" t="s">
        <v>134</v>
      </c>
      <c r="C464" s="0" t="s">
        <v>3450</v>
      </c>
      <c r="D464" s="0" t="s">
        <v>3448</v>
      </c>
      <c r="E464" s="0" t="s">
        <v>4963</v>
      </c>
      <c r="F464" s="0" t="s">
        <v>59</v>
      </c>
      <c r="G464" s="0" t="s">
        <v>4974</v>
      </c>
      <c r="H464" s="0" t="s">
        <v>69</v>
      </c>
      <c r="I464" s="0" t="s">
        <v>4975</v>
      </c>
      <c r="J464" s="20" t="s">
        <v>25</v>
      </c>
    </row>
    <row r="465" customFormat="false" ht="15" hidden="false" customHeight="false" outlineLevel="0" collapsed="false">
      <c r="A465" s="0" t="s">
        <v>526</v>
      </c>
      <c r="B465" s="0" t="s">
        <v>134</v>
      </c>
      <c r="C465" s="0" t="s">
        <v>3447</v>
      </c>
      <c r="D465" s="0" t="s">
        <v>3457</v>
      </c>
      <c r="E465" s="0" t="s">
        <v>4963</v>
      </c>
      <c r="F465" s="0" t="s">
        <v>59</v>
      </c>
      <c r="G465" s="0" t="s">
        <v>4974</v>
      </c>
      <c r="H465" s="0" t="s">
        <v>69</v>
      </c>
      <c r="I465" s="0" t="s">
        <v>4975</v>
      </c>
      <c r="J465" s="20" t="s">
        <v>25</v>
      </c>
    </row>
    <row r="466" customFormat="false" ht="15" hidden="false" customHeight="false" outlineLevel="0" collapsed="false">
      <c r="A466" s="0" t="s">
        <v>533</v>
      </c>
      <c r="B466" s="0" t="s">
        <v>134</v>
      </c>
      <c r="C466" s="0" t="s">
        <v>3447</v>
      </c>
      <c r="D466" s="0" t="s">
        <v>3457</v>
      </c>
      <c r="E466" s="0" t="s">
        <v>4963</v>
      </c>
      <c r="F466" s="0" t="s">
        <v>60</v>
      </c>
      <c r="G466" s="0" t="s">
        <v>4964</v>
      </c>
      <c r="H466" s="0" t="s">
        <v>5154</v>
      </c>
      <c r="I466" s="0" t="s">
        <v>4966</v>
      </c>
      <c r="J466" s="19" t="s">
        <v>26</v>
      </c>
    </row>
    <row r="467" customFormat="false" ht="15" hidden="false" customHeight="false" outlineLevel="0" collapsed="false">
      <c r="A467" s="0" t="s">
        <v>533</v>
      </c>
      <c r="B467" s="0" t="s">
        <v>134</v>
      </c>
      <c r="C467" s="0" t="s">
        <v>3447</v>
      </c>
      <c r="D467" s="0" t="s">
        <v>3448</v>
      </c>
      <c r="E467" s="0" t="s">
        <v>4963</v>
      </c>
      <c r="F467" s="0" t="s">
        <v>60</v>
      </c>
      <c r="G467" s="0" t="s">
        <v>4964</v>
      </c>
      <c r="H467" s="0" t="s">
        <v>5155</v>
      </c>
      <c r="I467" s="0" t="s">
        <v>4966</v>
      </c>
      <c r="J467" s="19" t="s">
        <v>26</v>
      </c>
    </row>
    <row r="468" customFormat="false" ht="15" hidden="false" customHeight="false" outlineLevel="0" collapsed="false">
      <c r="A468" s="0" t="s">
        <v>533</v>
      </c>
      <c r="B468" s="0" t="s">
        <v>134</v>
      </c>
      <c r="C468" s="0" t="s">
        <v>3450</v>
      </c>
      <c r="D468" s="0" t="s">
        <v>3457</v>
      </c>
      <c r="E468" s="0" t="s">
        <v>4963</v>
      </c>
      <c r="F468" s="0" t="s">
        <v>59</v>
      </c>
      <c r="G468" s="0" t="s">
        <v>4974</v>
      </c>
      <c r="H468" s="0" t="s">
        <v>69</v>
      </c>
      <c r="I468" s="0" t="s">
        <v>4975</v>
      </c>
      <c r="J468" s="20" t="s">
        <v>25</v>
      </c>
    </row>
    <row r="469" customFormat="false" ht="15" hidden="false" customHeight="false" outlineLevel="0" collapsed="false">
      <c r="A469" s="0" t="s">
        <v>533</v>
      </c>
      <c r="B469" s="0" t="s">
        <v>134</v>
      </c>
      <c r="C469" s="0" t="s">
        <v>3450</v>
      </c>
      <c r="D469" s="0" t="s">
        <v>3448</v>
      </c>
      <c r="E469" s="0" t="s">
        <v>4963</v>
      </c>
      <c r="F469" s="0" t="s">
        <v>59</v>
      </c>
      <c r="G469" s="0" t="s">
        <v>4974</v>
      </c>
      <c r="H469" s="0" t="s">
        <v>69</v>
      </c>
      <c r="I469" s="0" t="s">
        <v>4975</v>
      </c>
      <c r="J469" s="20" t="s">
        <v>25</v>
      </c>
    </row>
    <row r="470" customFormat="false" ht="15" hidden="false" customHeight="false" outlineLevel="0" collapsed="false">
      <c r="A470" s="0" t="s">
        <v>533</v>
      </c>
      <c r="B470" s="0" t="s">
        <v>134</v>
      </c>
      <c r="C470" s="0" t="s">
        <v>3447</v>
      </c>
      <c r="D470" s="0" t="s">
        <v>3457</v>
      </c>
      <c r="E470" s="0" t="s">
        <v>4963</v>
      </c>
      <c r="F470" s="0" t="s">
        <v>59</v>
      </c>
      <c r="G470" s="0" t="s">
        <v>4974</v>
      </c>
      <c r="H470" s="0" t="s">
        <v>69</v>
      </c>
      <c r="I470" s="0" t="s">
        <v>4975</v>
      </c>
      <c r="J470" s="20" t="s">
        <v>25</v>
      </c>
    </row>
    <row r="471" customFormat="false" ht="15" hidden="false" customHeight="false" outlineLevel="0" collapsed="false">
      <c r="A471" s="0" t="s">
        <v>533</v>
      </c>
      <c r="B471" s="0" t="s">
        <v>134</v>
      </c>
      <c r="C471" s="0" t="s">
        <v>3450</v>
      </c>
      <c r="D471" s="0" t="s">
        <v>3457</v>
      </c>
      <c r="E471" s="0" t="s">
        <v>4963</v>
      </c>
      <c r="F471" s="0" t="s">
        <v>30</v>
      </c>
      <c r="G471" s="0" t="s">
        <v>4980</v>
      </c>
      <c r="H471" s="0" t="s">
        <v>4265</v>
      </c>
      <c r="I471" s="0" t="s">
        <v>4981</v>
      </c>
      <c r="J471" s="18" t="s">
        <v>24</v>
      </c>
    </row>
    <row r="472" customFormat="false" ht="15" hidden="false" customHeight="false" outlineLevel="0" collapsed="false">
      <c r="A472" s="0" t="s">
        <v>533</v>
      </c>
      <c r="B472" s="0" t="s">
        <v>134</v>
      </c>
      <c r="C472" s="0" t="s">
        <v>3450</v>
      </c>
      <c r="D472" s="0" t="s">
        <v>3448</v>
      </c>
      <c r="E472" s="0" t="s">
        <v>4963</v>
      </c>
      <c r="F472" s="0" t="s">
        <v>30</v>
      </c>
      <c r="G472" s="0" t="s">
        <v>4980</v>
      </c>
      <c r="H472" s="0" t="s">
        <v>4275</v>
      </c>
      <c r="I472" s="0" t="s">
        <v>4981</v>
      </c>
      <c r="J472" s="18" t="s">
        <v>24</v>
      </c>
    </row>
    <row r="473" customFormat="false" ht="15" hidden="false" customHeight="false" outlineLevel="0" collapsed="false">
      <c r="A473" s="0" t="s">
        <v>539</v>
      </c>
      <c r="B473" s="0" t="s">
        <v>134</v>
      </c>
      <c r="C473" s="0" t="s">
        <v>3450</v>
      </c>
      <c r="D473" s="0" t="s">
        <v>3457</v>
      </c>
      <c r="E473" s="0" t="s">
        <v>4963</v>
      </c>
      <c r="F473" s="0" t="s">
        <v>59</v>
      </c>
      <c r="G473" s="0" t="s">
        <v>4974</v>
      </c>
      <c r="H473" s="0" t="s">
        <v>69</v>
      </c>
      <c r="I473" s="0" t="s">
        <v>4975</v>
      </c>
      <c r="J473" s="20" t="s">
        <v>25</v>
      </c>
    </row>
    <row r="474" customFormat="false" ht="15" hidden="false" customHeight="false" outlineLevel="0" collapsed="false">
      <c r="A474" s="0" t="s">
        <v>539</v>
      </c>
      <c r="B474" s="0" t="s">
        <v>134</v>
      </c>
      <c r="C474" s="0" t="s">
        <v>3450</v>
      </c>
      <c r="D474" s="0" t="s">
        <v>3448</v>
      </c>
      <c r="E474" s="0" t="s">
        <v>4963</v>
      </c>
      <c r="F474" s="0" t="s">
        <v>59</v>
      </c>
      <c r="G474" s="0" t="s">
        <v>4974</v>
      </c>
      <c r="H474" s="0" t="s">
        <v>69</v>
      </c>
      <c r="I474" s="0" t="s">
        <v>4975</v>
      </c>
      <c r="J474" s="20" t="s">
        <v>25</v>
      </c>
    </row>
    <row r="475" customFormat="false" ht="15" hidden="false" customHeight="false" outlineLevel="0" collapsed="false">
      <c r="A475" s="0" t="s">
        <v>539</v>
      </c>
      <c r="B475" s="0" t="s">
        <v>134</v>
      </c>
      <c r="C475" s="0" t="s">
        <v>3447</v>
      </c>
      <c r="D475" s="0" t="s">
        <v>3457</v>
      </c>
      <c r="E475" s="0" t="s">
        <v>4963</v>
      </c>
      <c r="F475" s="0" t="s">
        <v>59</v>
      </c>
      <c r="G475" s="0" t="s">
        <v>4974</v>
      </c>
      <c r="H475" s="0" t="s">
        <v>69</v>
      </c>
      <c r="I475" s="0" t="s">
        <v>4975</v>
      </c>
      <c r="J475" s="20" t="s">
        <v>25</v>
      </c>
    </row>
    <row r="476" customFormat="false" ht="15" hidden="false" customHeight="false" outlineLevel="0" collapsed="false">
      <c r="A476" s="0" t="s">
        <v>539</v>
      </c>
      <c r="B476" s="0" t="s">
        <v>134</v>
      </c>
      <c r="C476" s="0" t="s">
        <v>3450</v>
      </c>
      <c r="D476" s="0" t="s">
        <v>3457</v>
      </c>
      <c r="E476" s="0" t="s">
        <v>4963</v>
      </c>
      <c r="F476" s="0" t="s">
        <v>30</v>
      </c>
      <c r="G476" s="0" t="s">
        <v>4980</v>
      </c>
      <c r="H476" s="0" t="s">
        <v>4238</v>
      </c>
      <c r="I476" s="0" t="s">
        <v>4981</v>
      </c>
      <c r="J476" s="18" t="s">
        <v>24</v>
      </c>
    </row>
    <row r="477" customFormat="false" ht="15" hidden="false" customHeight="false" outlineLevel="0" collapsed="false">
      <c r="A477" s="0" t="s">
        <v>539</v>
      </c>
      <c r="B477" s="0" t="s">
        <v>134</v>
      </c>
      <c r="C477" s="0" t="s">
        <v>3450</v>
      </c>
      <c r="D477" s="0" t="s">
        <v>3448</v>
      </c>
      <c r="E477" s="0" t="s">
        <v>4963</v>
      </c>
      <c r="F477" s="0" t="s">
        <v>30</v>
      </c>
      <c r="G477" s="0" t="s">
        <v>4980</v>
      </c>
      <c r="H477" s="0" t="s">
        <v>4238</v>
      </c>
      <c r="I477" s="0" t="s">
        <v>4981</v>
      </c>
      <c r="J477" s="18" t="s">
        <v>24</v>
      </c>
    </row>
    <row r="478" customFormat="false" ht="15" hidden="false" customHeight="false" outlineLevel="0" collapsed="false">
      <c r="A478" s="0" t="s">
        <v>539</v>
      </c>
      <c r="B478" s="0" t="s">
        <v>134</v>
      </c>
      <c r="C478" s="0" t="s">
        <v>3447</v>
      </c>
      <c r="D478" s="0" t="s">
        <v>3457</v>
      </c>
      <c r="E478" s="0" t="s">
        <v>4963</v>
      </c>
      <c r="F478" s="0" t="s">
        <v>30</v>
      </c>
      <c r="G478" s="0" t="s">
        <v>4980</v>
      </c>
      <c r="H478" s="0" t="s">
        <v>4238</v>
      </c>
      <c r="I478" s="0" t="s">
        <v>4981</v>
      </c>
      <c r="J478" s="18" t="s">
        <v>24</v>
      </c>
    </row>
    <row r="479" customFormat="false" ht="15" hidden="false" customHeight="false" outlineLevel="0" collapsed="false">
      <c r="A479" s="0" t="s">
        <v>539</v>
      </c>
      <c r="B479" s="0" t="s">
        <v>134</v>
      </c>
      <c r="C479" s="0" t="s">
        <v>3447</v>
      </c>
      <c r="D479" s="0" t="s">
        <v>3448</v>
      </c>
      <c r="E479" s="0" t="s">
        <v>4963</v>
      </c>
      <c r="F479" s="0" t="s">
        <v>30</v>
      </c>
      <c r="G479" s="0" t="s">
        <v>4980</v>
      </c>
      <c r="H479" s="0" t="s">
        <v>4349</v>
      </c>
      <c r="I479" s="0" t="s">
        <v>4981</v>
      </c>
      <c r="J479" s="18" t="s">
        <v>24</v>
      </c>
    </row>
    <row r="480" customFormat="false" ht="15" hidden="false" customHeight="false" outlineLevel="0" collapsed="false">
      <c r="A480" s="0" t="s">
        <v>545</v>
      </c>
      <c r="B480" s="0" t="s">
        <v>134</v>
      </c>
      <c r="C480" s="0" t="s">
        <v>3450</v>
      </c>
      <c r="D480" s="0" t="s">
        <v>3457</v>
      </c>
      <c r="E480" s="0" t="s">
        <v>4969</v>
      </c>
      <c r="F480" s="0" t="s">
        <v>62</v>
      </c>
      <c r="G480" s="0" t="s">
        <v>5003</v>
      </c>
      <c r="H480" s="0" t="s">
        <v>5156</v>
      </c>
      <c r="I480" s="0" t="s">
        <v>5005</v>
      </c>
      <c r="J480" s="20" t="s">
        <v>25</v>
      </c>
    </row>
    <row r="481" customFormat="false" ht="15" hidden="false" customHeight="false" outlineLevel="0" collapsed="false">
      <c r="A481" s="0" t="s">
        <v>545</v>
      </c>
      <c r="B481" s="0" t="s">
        <v>134</v>
      </c>
      <c r="C481" s="0" t="s">
        <v>3450</v>
      </c>
      <c r="D481" s="0" t="s">
        <v>3457</v>
      </c>
      <c r="E481" s="0" t="s">
        <v>4969</v>
      </c>
      <c r="F481" s="0" t="s">
        <v>63</v>
      </c>
      <c r="G481" s="0" t="s">
        <v>4220</v>
      </c>
      <c r="H481" s="0" t="s">
        <v>5157</v>
      </c>
      <c r="I481" s="0" t="s">
        <v>4979</v>
      </c>
      <c r="J481" s="20" t="s">
        <v>25</v>
      </c>
    </row>
    <row r="482" customFormat="false" ht="15" hidden="false" customHeight="false" outlineLevel="0" collapsed="false">
      <c r="A482" s="0" t="s">
        <v>545</v>
      </c>
      <c r="B482" s="0" t="s">
        <v>134</v>
      </c>
      <c r="C482" s="0" t="s">
        <v>3450</v>
      </c>
      <c r="D482" s="0" t="s">
        <v>3448</v>
      </c>
      <c r="E482" s="0" t="s">
        <v>4963</v>
      </c>
      <c r="F482" s="0" t="s">
        <v>59</v>
      </c>
      <c r="G482" s="0" t="s">
        <v>4974</v>
      </c>
      <c r="H482" s="0" t="s">
        <v>69</v>
      </c>
      <c r="I482" s="0" t="s">
        <v>4975</v>
      </c>
      <c r="J482" s="20" t="s">
        <v>25</v>
      </c>
    </row>
    <row r="483" customFormat="false" ht="15" hidden="false" customHeight="false" outlineLevel="0" collapsed="false">
      <c r="A483" s="0" t="s">
        <v>545</v>
      </c>
      <c r="B483" s="0" t="s">
        <v>134</v>
      </c>
      <c r="C483" s="0" t="s">
        <v>3450</v>
      </c>
      <c r="D483" s="0" t="s">
        <v>3448</v>
      </c>
      <c r="E483" s="0" t="s">
        <v>4969</v>
      </c>
      <c r="F483" s="0" t="s">
        <v>62</v>
      </c>
      <c r="G483" s="0" t="s">
        <v>5003</v>
      </c>
      <c r="H483" s="0" t="s">
        <v>5158</v>
      </c>
      <c r="I483" s="0" t="s">
        <v>5005</v>
      </c>
      <c r="J483" s="20" t="s">
        <v>25</v>
      </c>
    </row>
    <row r="484" customFormat="false" ht="15" hidden="false" customHeight="false" outlineLevel="0" collapsed="false">
      <c r="A484" s="0" t="s">
        <v>545</v>
      </c>
      <c r="B484" s="0" t="s">
        <v>134</v>
      </c>
      <c r="C484" s="0" t="s">
        <v>3450</v>
      </c>
      <c r="D484" s="0" t="s">
        <v>3448</v>
      </c>
      <c r="E484" s="0" t="s">
        <v>4969</v>
      </c>
      <c r="F484" s="0" t="s">
        <v>64</v>
      </c>
      <c r="G484" s="0" t="s">
        <v>4220</v>
      </c>
      <c r="H484" s="0" t="s">
        <v>5159</v>
      </c>
      <c r="I484" s="0" t="s">
        <v>4991</v>
      </c>
      <c r="J484" s="20" t="s">
        <v>25</v>
      </c>
    </row>
    <row r="485" customFormat="false" ht="15" hidden="false" customHeight="false" outlineLevel="0" collapsed="false">
      <c r="A485" s="0" t="s">
        <v>545</v>
      </c>
      <c r="B485" s="0" t="s">
        <v>134</v>
      </c>
      <c r="C485" s="0" t="s">
        <v>3447</v>
      </c>
      <c r="D485" s="0" t="s">
        <v>3457</v>
      </c>
      <c r="E485" s="0" t="s">
        <v>4969</v>
      </c>
      <c r="F485" s="0" t="s">
        <v>63</v>
      </c>
      <c r="G485" s="0" t="s">
        <v>4220</v>
      </c>
      <c r="H485" s="0" t="s">
        <v>5157</v>
      </c>
      <c r="I485" s="0" t="s">
        <v>4979</v>
      </c>
      <c r="J485" s="20" t="s">
        <v>25</v>
      </c>
    </row>
    <row r="486" customFormat="false" ht="15" hidden="false" customHeight="false" outlineLevel="0" collapsed="false">
      <c r="A486" s="0" t="s">
        <v>545</v>
      </c>
      <c r="B486" s="0" t="s">
        <v>134</v>
      </c>
      <c r="C486" s="0" t="s">
        <v>3447</v>
      </c>
      <c r="D486" s="0" t="s">
        <v>3448</v>
      </c>
      <c r="E486" s="0" t="s">
        <v>4969</v>
      </c>
      <c r="F486" s="0" t="s">
        <v>64</v>
      </c>
      <c r="G486" s="0" t="s">
        <v>4220</v>
      </c>
      <c r="H486" s="0" t="s">
        <v>5159</v>
      </c>
      <c r="I486" s="0" t="s">
        <v>4991</v>
      </c>
      <c r="J486" s="20" t="s">
        <v>25</v>
      </c>
    </row>
    <row r="487" customFormat="false" ht="15" hidden="false" customHeight="false" outlineLevel="0" collapsed="false">
      <c r="A487" s="0" t="s">
        <v>545</v>
      </c>
      <c r="B487" s="0" t="s">
        <v>134</v>
      </c>
      <c r="C487" s="0" t="s">
        <v>3450</v>
      </c>
      <c r="D487" s="0" t="s">
        <v>3448</v>
      </c>
      <c r="E487" s="0" t="s">
        <v>4963</v>
      </c>
      <c r="F487" s="0" t="s">
        <v>30</v>
      </c>
      <c r="G487" s="0" t="s">
        <v>4980</v>
      </c>
      <c r="H487" s="0" t="s">
        <v>4246</v>
      </c>
      <c r="I487" s="0" t="s">
        <v>4981</v>
      </c>
      <c r="J487" s="18" t="s">
        <v>24</v>
      </c>
    </row>
    <row r="488" customFormat="false" ht="15" hidden="false" customHeight="false" outlineLevel="0" collapsed="false">
      <c r="A488" s="0" t="s">
        <v>545</v>
      </c>
      <c r="B488" s="0" t="s">
        <v>134</v>
      </c>
      <c r="C488" s="0" t="s">
        <v>3447</v>
      </c>
      <c r="D488" s="0" t="s">
        <v>3448</v>
      </c>
      <c r="E488" s="0" t="s">
        <v>4963</v>
      </c>
      <c r="F488" s="0" t="s">
        <v>30</v>
      </c>
      <c r="G488" s="0" t="s">
        <v>4980</v>
      </c>
      <c r="H488" s="0" t="s">
        <v>4293</v>
      </c>
      <c r="I488" s="0" t="s">
        <v>4981</v>
      </c>
      <c r="J488" s="18" t="s">
        <v>24</v>
      </c>
    </row>
    <row r="489" customFormat="false" ht="15" hidden="false" customHeight="false" outlineLevel="0" collapsed="false">
      <c r="A489" s="0" t="s">
        <v>560</v>
      </c>
      <c r="B489" s="0" t="s">
        <v>134</v>
      </c>
      <c r="C489" s="0" t="s">
        <v>3450</v>
      </c>
      <c r="D489" s="0" t="s">
        <v>3457</v>
      </c>
      <c r="E489" s="0" t="s">
        <v>4963</v>
      </c>
      <c r="F489" s="0" t="s">
        <v>59</v>
      </c>
      <c r="G489" s="0" t="s">
        <v>4974</v>
      </c>
      <c r="H489" s="0" t="s">
        <v>69</v>
      </c>
      <c r="I489" s="0" t="s">
        <v>4975</v>
      </c>
      <c r="J489" s="20" t="s">
        <v>25</v>
      </c>
    </row>
    <row r="490" customFormat="false" ht="15" hidden="false" customHeight="false" outlineLevel="0" collapsed="false">
      <c r="A490" s="0" t="s">
        <v>560</v>
      </c>
      <c r="B490" s="0" t="s">
        <v>134</v>
      </c>
      <c r="C490" s="0" t="s">
        <v>3450</v>
      </c>
      <c r="D490" s="0" t="s">
        <v>3448</v>
      </c>
      <c r="E490" s="0" t="s">
        <v>4963</v>
      </c>
      <c r="F490" s="0" t="s">
        <v>59</v>
      </c>
      <c r="G490" s="0" t="s">
        <v>4974</v>
      </c>
      <c r="H490" s="0" t="s">
        <v>69</v>
      </c>
      <c r="I490" s="0" t="s">
        <v>4975</v>
      </c>
      <c r="J490" s="20" t="s">
        <v>25</v>
      </c>
    </row>
    <row r="491" customFormat="false" ht="15" hidden="false" customHeight="false" outlineLevel="0" collapsed="false">
      <c r="A491" s="0" t="s">
        <v>560</v>
      </c>
      <c r="B491" s="0" t="s">
        <v>134</v>
      </c>
      <c r="C491" s="0" t="s">
        <v>3450</v>
      </c>
      <c r="D491" s="0" t="s">
        <v>3457</v>
      </c>
      <c r="E491" s="0" t="s">
        <v>4963</v>
      </c>
      <c r="F491" s="0" t="s">
        <v>30</v>
      </c>
      <c r="G491" s="0" t="s">
        <v>4980</v>
      </c>
      <c r="H491" s="0" t="s">
        <v>4331</v>
      </c>
      <c r="I491" s="0" t="s">
        <v>4981</v>
      </c>
      <c r="J491" s="18" t="s">
        <v>24</v>
      </c>
    </row>
    <row r="492" customFormat="false" ht="15" hidden="false" customHeight="false" outlineLevel="0" collapsed="false">
      <c r="A492" s="0" t="s">
        <v>560</v>
      </c>
      <c r="B492" s="0" t="s">
        <v>134</v>
      </c>
      <c r="C492" s="0" t="s">
        <v>3450</v>
      </c>
      <c r="D492" s="0" t="s">
        <v>3448</v>
      </c>
      <c r="E492" s="0" t="s">
        <v>4963</v>
      </c>
      <c r="F492" s="0" t="s">
        <v>30</v>
      </c>
      <c r="G492" s="0" t="s">
        <v>4980</v>
      </c>
      <c r="H492" s="0" t="s">
        <v>4364</v>
      </c>
      <c r="I492" s="0" t="s">
        <v>4981</v>
      </c>
      <c r="J492" s="18" t="s">
        <v>24</v>
      </c>
    </row>
    <row r="493" customFormat="false" ht="15" hidden="false" customHeight="false" outlineLevel="0" collapsed="false">
      <c r="A493" s="0" t="s">
        <v>560</v>
      </c>
      <c r="B493" s="0" t="s">
        <v>134</v>
      </c>
      <c r="C493" s="0" t="s">
        <v>3447</v>
      </c>
      <c r="D493" s="0" t="s">
        <v>3457</v>
      </c>
      <c r="E493" s="0" t="s">
        <v>4963</v>
      </c>
      <c r="F493" s="0" t="s">
        <v>30</v>
      </c>
      <c r="G493" s="0" t="s">
        <v>4980</v>
      </c>
      <c r="H493" s="0" t="s">
        <v>4272</v>
      </c>
      <c r="I493" s="0" t="s">
        <v>4981</v>
      </c>
      <c r="J493" s="18" t="s">
        <v>24</v>
      </c>
    </row>
    <row r="494" customFormat="false" ht="15" hidden="false" customHeight="false" outlineLevel="0" collapsed="false">
      <c r="A494" s="0" t="s">
        <v>560</v>
      </c>
      <c r="B494" s="0" t="s">
        <v>134</v>
      </c>
      <c r="C494" s="0" t="s">
        <v>3447</v>
      </c>
      <c r="D494" s="0" t="s">
        <v>3448</v>
      </c>
      <c r="E494" s="0" t="s">
        <v>4963</v>
      </c>
      <c r="F494" s="0" t="s">
        <v>30</v>
      </c>
      <c r="G494" s="0" t="s">
        <v>4980</v>
      </c>
      <c r="H494" s="0" t="s">
        <v>4272</v>
      </c>
      <c r="I494" s="0" t="s">
        <v>4981</v>
      </c>
      <c r="J494" s="18" t="s">
        <v>24</v>
      </c>
    </row>
    <row r="495" customFormat="false" ht="15" hidden="false" customHeight="false" outlineLevel="0" collapsed="false">
      <c r="A495" s="0" t="s">
        <v>566</v>
      </c>
      <c r="B495" s="0" t="s">
        <v>134</v>
      </c>
      <c r="C495" s="0" t="s">
        <v>3450</v>
      </c>
      <c r="D495" s="0" t="s">
        <v>3457</v>
      </c>
      <c r="E495" s="0" t="s">
        <v>4963</v>
      </c>
      <c r="F495" s="0" t="s">
        <v>60</v>
      </c>
      <c r="G495" s="0" t="s">
        <v>4964</v>
      </c>
      <c r="H495" s="0" t="s">
        <v>5160</v>
      </c>
      <c r="I495" s="0" t="s">
        <v>4966</v>
      </c>
      <c r="J495" s="19" t="s">
        <v>26</v>
      </c>
    </row>
    <row r="496" customFormat="false" ht="15" hidden="false" customHeight="false" outlineLevel="0" collapsed="false">
      <c r="A496" s="0" t="s">
        <v>566</v>
      </c>
      <c r="B496" s="0" t="s">
        <v>134</v>
      </c>
      <c r="C496" s="0" t="s">
        <v>3450</v>
      </c>
      <c r="D496" s="0" t="s">
        <v>3448</v>
      </c>
      <c r="E496" s="0" t="s">
        <v>4963</v>
      </c>
      <c r="F496" s="0" t="s">
        <v>60</v>
      </c>
      <c r="G496" s="0" t="s">
        <v>4964</v>
      </c>
      <c r="H496" s="0" t="s">
        <v>5161</v>
      </c>
      <c r="I496" s="0" t="s">
        <v>4966</v>
      </c>
      <c r="J496" s="19" t="s">
        <v>26</v>
      </c>
    </row>
    <row r="497" customFormat="false" ht="15" hidden="false" customHeight="false" outlineLevel="0" collapsed="false">
      <c r="A497" s="0" t="s">
        <v>566</v>
      </c>
      <c r="B497" s="0" t="s">
        <v>3459</v>
      </c>
      <c r="C497" s="0" t="s">
        <v>3450</v>
      </c>
      <c r="D497" s="0" t="s">
        <v>3457</v>
      </c>
      <c r="E497" s="0" t="s">
        <v>4963</v>
      </c>
      <c r="F497" s="0" t="s">
        <v>60</v>
      </c>
      <c r="G497" s="0" t="s">
        <v>4964</v>
      </c>
      <c r="H497" s="0" t="s">
        <v>5162</v>
      </c>
      <c r="I497" s="0" t="s">
        <v>4966</v>
      </c>
      <c r="J497" s="19" t="s">
        <v>26</v>
      </c>
    </row>
    <row r="498" customFormat="false" ht="15" hidden="false" customHeight="false" outlineLevel="0" collapsed="false">
      <c r="A498" s="0" t="s">
        <v>566</v>
      </c>
      <c r="B498" s="0" t="s">
        <v>3459</v>
      </c>
      <c r="C498" s="0" t="s">
        <v>3450</v>
      </c>
      <c r="D498" s="0" t="s">
        <v>3448</v>
      </c>
      <c r="E498" s="0" t="s">
        <v>4963</v>
      </c>
      <c r="F498" s="0" t="s">
        <v>60</v>
      </c>
      <c r="G498" s="0" t="s">
        <v>4964</v>
      </c>
      <c r="H498" s="0" t="s">
        <v>5163</v>
      </c>
      <c r="I498" s="0" t="s">
        <v>4966</v>
      </c>
      <c r="J498" s="19" t="s">
        <v>26</v>
      </c>
    </row>
    <row r="499" customFormat="false" ht="15" hidden="false" customHeight="false" outlineLevel="0" collapsed="false">
      <c r="A499" s="0" t="s">
        <v>566</v>
      </c>
      <c r="B499" s="0" t="s">
        <v>134</v>
      </c>
      <c r="C499" s="0" t="s">
        <v>3450</v>
      </c>
      <c r="D499" s="0" t="s">
        <v>3457</v>
      </c>
      <c r="E499" s="0" t="s">
        <v>4963</v>
      </c>
      <c r="F499" s="0" t="s">
        <v>59</v>
      </c>
      <c r="G499" s="0" t="s">
        <v>4974</v>
      </c>
      <c r="H499" s="0" t="s">
        <v>69</v>
      </c>
      <c r="I499" s="0" t="s">
        <v>4975</v>
      </c>
      <c r="J499" s="20" t="s">
        <v>25</v>
      </c>
    </row>
    <row r="500" customFormat="false" ht="15" hidden="false" customHeight="false" outlineLevel="0" collapsed="false">
      <c r="A500" s="0" t="s">
        <v>566</v>
      </c>
      <c r="B500" s="0" t="s">
        <v>134</v>
      </c>
      <c r="C500" s="0" t="s">
        <v>3450</v>
      </c>
      <c r="D500" s="0" t="s">
        <v>3457</v>
      </c>
      <c r="E500" s="0" t="s">
        <v>4969</v>
      </c>
      <c r="F500" s="0" t="s">
        <v>61</v>
      </c>
      <c r="G500" s="0" t="s">
        <v>4970</v>
      </c>
      <c r="H500" s="0" t="s">
        <v>5164</v>
      </c>
      <c r="I500" s="0" t="s">
        <v>4972</v>
      </c>
      <c r="J500" s="20" t="s">
        <v>25</v>
      </c>
    </row>
    <row r="501" customFormat="false" ht="15" hidden="false" customHeight="false" outlineLevel="0" collapsed="false">
      <c r="A501" s="0" t="s">
        <v>566</v>
      </c>
      <c r="B501" s="0" t="s">
        <v>134</v>
      </c>
      <c r="C501" s="0" t="s">
        <v>3450</v>
      </c>
      <c r="D501" s="0" t="s">
        <v>3448</v>
      </c>
      <c r="E501" s="0" t="s">
        <v>4963</v>
      </c>
      <c r="F501" s="0" t="s">
        <v>59</v>
      </c>
      <c r="G501" s="0" t="s">
        <v>4974</v>
      </c>
      <c r="H501" s="0" t="s">
        <v>69</v>
      </c>
      <c r="I501" s="0" t="s">
        <v>4975</v>
      </c>
      <c r="J501" s="20" t="s">
        <v>25</v>
      </c>
    </row>
    <row r="502" customFormat="false" ht="15" hidden="false" customHeight="false" outlineLevel="0" collapsed="false">
      <c r="A502" s="0" t="s">
        <v>566</v>
      </c>
      <c r="B502" s="0" t="s">
        <v>3459</v>
      </c>
      <c r="C502" s="0" t="s">
        <v>3450</v>
      </c>
      <c r="D502" s="0" t="s">
        <v>3457</v>
      </c>
      <c r="E502" s="0" t="s">
        <v>4963</v>
      </c>
      <c r="F502" s="0" t="s">
        <v>59</v>
      </c>
      <c r="G502" s="0" t="s">
        <v>4974</v>
      </c>
      <c r="H502" s="0" t="s">
        <v>69</v>
      </c>
      <c r="I502" s="0" t="s">
        <v>4975</v>
      </c>
      <c r="J502" s="20" t="s">
        <v>25</v>
      </c>
    </row>
    <row r="503" customFormat="false" ht="15" hidden="false" customHeight="false" outlineLevel="0" collapsed="false">
      <c r="A503" s="0" t="s">
        <v>566</v>
      </c>
      <c r="B503" s="0" t="s">
        <v>3459</v>
      </c>
      <c r="C503" s="0" t="s">
        <v>3450</v>
      </c>
      <c r="D503" s="0" t="s">
        <v>3457</v>
      </c>
      <c r="E503" s="0" t="s">
        <v>4969</v>
      </c>
      <c r="F503" s="0" t="s">
        <v>61</v>
      </c>
      <c r="G503" s="0" t="s">
        <v>4970</v>
      </c>
      <c r="H503" s="0" t="s">
        <v>5165</v>
      </c>
      <c r="I503" s="0" t="s">
        <v>4972</v>
      </c>
      <c r="J503" s="20" t="s">
        <v>25</v>
      </c>
    </row>
    <row r="504" customFormat="false" ht="15" hidden="false" customHeight="false" outlineLevel="0" collapsed="false">
      <c r="A504" s="0" t="s">
        <v>566</v>
      </c>
      <c r="B504" s="0" t="s">
        <v>3459</v>
      </c>
      <c r="C504" s="0" t="s">
        <v>3450</v>
      </c>
      <c r="D504" s="0" t="s">
        <v>3457</v>
      </c>
      <c r="E504" s="0" t="s">
        <v>4969</v>
      </c>
      <c r="F504" s="0" t="s">
        <v>63</v>
      </c>
      <c r="G504" s="0" t="s">
        <v>4220</v>
      </c>
      <c r="H504" s="0" t="s">
        <v>5166</v>
      </c>
      <c r="I504" s="0" t="s">
        <v>4979</v>
      </c>
      <c r="J504" s="20" t="s">
        <v>25</v>
      </c>
    </row>
    <row r="505" customFormat="false" ht="15" hidden="false" customHeight="false" outlineLevel="0" collapsed="false">
      <c r="A505" s="0" t="s">
        <v>566</v>
      </c>
      <c r="B505" s="0" t="s">
        <v>3459</v>
      </c>
      <c r="C505" s="0" t="s">
        <v>3450</v>
      </c>
      <c r="D505" s="0" t="s">
        <v>3448</v>
      </c>
      <c r="E505" s="0" t="s">
        <v>4963</v>
      </c>
      <c r="F505" s="0" t="s">
        <v>59</v>
      </c>
      <c r="G505" s="0" t="s">
        <v>4974</v>
      </c>
      <c r="H505" s="0" t="s">
        <v>69</v>
      </c>
      <c r="I505" s="0" t="s">
        <v>4975</v>
      </c>
      <c r="J505" s="20" t="s">
        <v>25</v>
      </c>
    </row>
    <row r="506" customFormat="false" ht="15" hidden="false" customHeight="false" outlineLevel="0" collapsed="false">
      <c r="A506" s="0" t="s">
        <v>566</v>
      </c>
      <c r="B506" s="0" t="s">
        <v>3459</v>
      </c>
      <c r="C506" s="0" t="s">
        <v>3450</v>
      </c>
      <c r="D506" s="0" t="s">
        <v>3448</v>
      </c>
      <c r="E506" s="0" t="s">
        <v>4969</v>
      </c>
      <c r="F506" s="0" t="s">
        <v>61</v>
      </c>
      <c r="G506" s="0" t="s">
        <v>4970</v>
      </c>
      <c r="H506" s="0" t="s">
        <v>5167</v>
      </c>
      <c r="I506" s="0" t="s">
        <v>4972</v>
      </c>
      <c r="J506" s="20" t="s">
        <v>25</v>
      </c>
    </row>
    <row r="507" customFormat="false" ht="15" hidden="false" customHeight="false" outlineLevel="0" collapsed="false">
      <c r="A507" s="0" t="s">
        <v>566</v>
      </c>
      <c r="B507" s="0" t="s">
        <v>3459</v>
      </c>
      <c r="C507" s="0" t="s">
        <v>3447</v>
      </c>
      <c r="D507" s="0" t="s">
        <v>3457</v>
      </c>
      <c r="E507" s="0" t="s">
        <v>4969</v>
      </c>
      <c r="F507" s="0" t="s">
        <v>63</v>
      </c>
      <c r="G507" s="0" t="s">
        <v>4220</v>
      </c>
      <c r="H507" s="0" t="s">
        <v>5166</v>
      </c>
      <c r="I507" s="0" t="s">
        <v>4979</v>
      </c>
      <c r="J507" s="20" t="s">
        <v>25</v>
      </c>
    </row>
    <row r="508" customFormat="false" ht="15" hidden="false" customHeight="false" outlineLevel="0" collapsed="false">
      <c r="A508" s="0" t="s">
        <v>566</v>
      </c>
      <c r="B508" s="0" t="s">
        <v>134</v>
      </c>
      <c r="C508" s="0" t="s">
        <v>3447</v>
      </c>
      <c r="D508" s="0" t="s">
        <v>3457</v>
      </c>
      <c r="E508" s="0" t="s">
        <v>4963</v>
      </c>
      <c r="F508" s="0" t="s">
        <v>30</v>
      </c>
      <c r="G508" s="0" t="s">
        <v>4980</v>
      </c>
      <c r="H508" s="0" t="s">
        <v>4367</v>
      </c>
      <c r="I508" s="0" t="s">
        <v>4981</v>
      </c>
      <c r="J508" s="18" t="s">
        <v>24</v>
      </c>
    </row>
    <row r="509" customFormat="false" ht="15" hidden="false" customHeight="false" outlineLevel="0" collapsed="false">
      <c r="A509" s="0" t="s">
        <v>566</v>
      </c>
      <c r="B509" s="0" t="s">
        <v>134</v>
      </c>
      <c r="C509" s="0" t="s">
        <v>3447</v>
      </c>
      <c r="D509" s="0" t="s">
        <v>3448</v>
      </c>
      <c r="E509" s="0" t="s">
        <v>4963</v>
      </c>
      <c r="F509" s="0" t="s">
        <v>30</v>
      </c>
      <c r="G509" s="0" t="s">
        <v>4980</v>
      </c>
      <c r="H509" s="0" t="s">
        <v>4368</v>
      </c>
      <c r="I509" s="0" t="s">
        <v>4981</v>
      </c>
      <c r="J509" s="18" t="s">
        <v>24</v>
      </c>
    </row>
    <row r="510" customFormat="false" ht="15" hidden="false" customHeight="false" outlineLevel="0" collapsed="false">
      <c r="A510" s="0" t="s">
        <v>566</v>
      </c>
      <c r="B510" s="0" t="s">
        <v>3459</v>
      </c>
      <c r="C510" s="0" t="s">
        <v>3447</v>
      </c>
      <c r="D510" s="0" t="s">
        <v>3457</v>
      </c>
      <c r="E510" s="0" t="s">
        <v>4963</v>
      </c>
      <c r="F510" s="0" t="s">
        <v>30</v>
      </c>
      <c r="G510" s="0" t="s">
        <v>4980</v>
      </c>
      <c r="H510" s="0" t="s">
        <v>4371</v>
      </c>
      <c r="I510" s="0" t="s">
        <v>4981</v>
      </c>
      <c r="J510" s="18" t="s">
        <v>24</v>
      </c>
    </row>
    <row r="511" customFormat="false" ht="15" hidden="false" customHeight="false" outlineLevel="0" collapsed="false">
      <c r="A511" s="0" t="s">
        <v>566</v>
      </c>
      <c r="B511" s="0" t="s">
        <v>3459</v>
      </c>
      <c r="C511" s="0" t="s">
        <v>3447</v>
      </c>
      <c r="D511" s="0" t="s">
        <v>3448</v>
      </c>
      <c r="E511" s="0" t="s">
        <v>4963</v>
      </c>
      <c r="F511" s="0" t="s">
        <v>30</v>
      </c>
      <c r="G511" s="0" t="s">
        <v>4980</v>
      </c>
      <c r="H511" s="0" t="s">
        <v>4372</v>
      </c>
      <c r="I511" s="0" t="s">
        <v>4981</v>
      </c>
      <c r="J511" s="18" t="s">
        <v>24</v>
      </c>
    </row>
    <row r="512" customFormat="false" ht="15" hidden="false" customHeight="false" outlineLevel="0" collapsed="false">
      <c r="A512" s="0" t="s">
        <v>573</v>
      </c>
      <c r="B512" s="0" t="s">
        <v>134</v>
      </c>
      <c r="C512" s="0" t="s">
        <v>3447</v>
      </c>
      <c r="D512" s="0" t="s">
        <v>3457</v>
      </c>
      <c r="E512" s="0" t="s">
        <v>4963</v>
      </c>
      <c r="F512" s="0" t="s">
        <v>59</v>
      </c>
      <c r="G512" s="0" t="s">
        <v>4974</v>
      </c>
      <c r="H512" s="0" t="s">
        <v>69</v>
      </c>
      <c r="I512" s="0" t="s">
        <v>4975</v>
      </c>
      <c r="J512" s="20" t="s">
        <v>25</v>
      </c>
    </row>
    <row r="513" customFormat="false" ht="15" hidden="false" customHeight="false" outlineLevel="0" collapsed="false">
      <c r="A513" s="0" t="s">
        <v>573</v>
      </c>
      <c r="B513" s="0" t="s">
        <v>134</v>
      </c>
      <c r="C513" s="0" t="s">
        <v>3447</v>
      </c>
      <c r="D513" s="0" t="s">
        <v>3448</v>
      </c>
      <c r="E513" s="0" t="s">
        <v>4963</v>
      </c>
      <c r="F513" s="0" t="s">
        <v>59</v>
      </c>
      <c r="G513" s="0" t="s">
        <v>4974</v>
      </c>
      <c r="H513" s="0" t="s">
        <v>69</v>
      </c>
      <c r="I513" s="0" t="s">
        <v>4975</v>
      </c>
      <c r="J513" s="20" t="s">
        <v>25</v>
      </c>
    </row>
    <row r="514" customFormat="false" ht="15" hidden="false" customHeight="false" outlineLevel="0" collapsed="false">
      <c r="A514" s="0" t="s">
        <v>573</v>
      </c>
      <c r="B514" s="0" t="s">
        <v>134</v>
      </c>
      <c r="C514" s="0" t="s">
        <v>3447</v>
      </c>
      <c r="D514" s="0" t="s">
        <v>3457</v>
      </c>
      <c r="E514" s="0" t="s">
        <v>4963</v>
      </c>
      <c r="F514" s="0" t="s">
        <v>30</v>
      </c>
      <c r="G514" s="0" t="s">
        <v>4980</v>
      </c>
      <c r="H514" s="0" t="s">
        <v>4275</v>
      </c>
      <c r="I514" s="0" t="s">
        <v>4981</v>
      </c>
      <c r="J514" s="18" t="s">
        <v>24</v>
      </c>
    </row>
    <row r="515" customFormat="false" ht="15" hidden="false" customHeight="false" outlineLevel="0" collapsed="false">
      <c r="A515" s="0" t="s">
        <v>573</v>
      </c>
      <c r="B515" s="0" t="s">
        <v>134</v>
      </c>
      <c r="C515" s="0" t="s">
        <v>3447</v>
      </c>
      <c r="D515" s="0" t="s">
        <v>3448</v>
      </c>
      <c r="E515" s="0" t="s">
        <v>4963</v>
      </c>
      <c r="F515" s="0" t="s">
        <v>30</v>
      </c>
      <c r="G515" s="0" t="s">
        <v>4980</v>
      </c>
      <c r="H515" s="0" t="s">
        <v>4238</v>
      </c>
      <c r="I515" s="0" t="s">
        <v>4981</v>
      </c>
      <c r="J515" s="18" t="s">
        <v>24</v>
      </c>
    </row>
    <row r="516" customFormat="false" ht="15" hidden="false" customHeight="false" outlineLevel="0" collapsed="false">
      <c r="A516" s="0" t="s">
        <v>584</v>
      </c>
      <c r="B516" s="0" t="s">
        <v>134</v>
      </c>
      <c r="C516" s="0" t="s">
        <v>3450</v>
      </c>
      <c r="D516" s="0" t="s">
        <v>3457</v>
      </c>
      <c r="E516" s="0" t="s">
        <v>4963</v>
      </c>
      <c r="F516" s="0" t="s">
        <v>59</v>
      </c>
      <c r="G516" s="0" t="s">
        <v>4974</v>
      </c>
      <c r="H516" s="0" t="s">
        <v>69</v>
      </c>
      <c r="I516" s="0" t="s">
        <v>4975</v>
      </c>
      <c r="J516" s="20" t="s">
        <v>25</v>
      </c>
    </row>
    <row r="517" customFormat="false" ht="15" hidden="false" customHeight="false" outlineLevel="0" collapsed="false">
      <c r="A517" s="0" t="s">
        <v>584</v>
      </c>
      <c r="B517" s="0" t="s">
        <v>134</v>
      </c>
      <c r="C517" s="0" t="s">
        <v>3450</v>
      </c>
      <c r="D517" s="0" t="s">
        <v>3457</v>
      </c>
      <c r="E517" s="0" t="s">
        <v>4969</v>
      </c>
      <c r="F517" s="0" t="s">
        <v>66</v>
      </c>
      <c r="G517" s="0" t="s">
        <v>4970</v>
      </c>
      <c r="H517" s="0" t="s">
        <v>5168</v>
      </c>
      <c r="I517" s="0" t="s">
        <v>5030</v>
      </c>
      <c r="J517" s="20" t="s">
        <v>25</v>
      </c>
    </row>
    <row r="518" customFormat="false" ht="15" hidden="false" customHeight="false" outlineLevel="0" collapsed="false">
      <c r="A518" s="0" t="s">
        <v>584</v>
      </c>
      <c r="B518" s="0" t="s">
        <v>134</v>
      </c>
      <c r="C518" s="0" t="s">
        <v>3447</v>
      </c>
      <c r="D518" s="0" t="s">
        <v>3457</v>
      </c>
      <c r="E518" s="0" t="s">
        <v>4969</v>
      </c>
      <c r="F518" s="0" t="s">
        <v>61</v>
      </c>
      <c r="G518" s="0" t="s">
        <v>4970</v>
      </c>
      <c r="H518" s="0" t="s">
        <v>5169</v>
      </c>
      <c r="I518" s="0" t="s">
        <v>4972</v>
      </c>
      <c r="J518" s="20" t="s">
        <v>25</v>
      </c>
    </row>
    <row r="519" customFormat="false" ht="15" hidden="false" customHeight="false" outlineLevel="0" collapsed="false">
      <c r="A519" s="0" t="s">
        <v>584</v>
      </c>
      <c r="B519" s="0" t="s">
        <v>3459</v>
      </c>
      <c r="C519" s="0" t="s">
        <v>3450</v>
      </c>
      <c r="D519" s="0" t="s">
        <v>3457</v>
      </c>
      <c r="E519" s="0" t="s">
        <v>4969</v>
      </c>
      <c r="F519" s="0" t="s">
        <v>61</v>
      </c>
      <c r="G519" s="0" t="s">
        <v>4970</v>
      </c>
      <c r="H519" s="0" t="s">
        <v>5170</v>
      </c>
      <c r="I519" s="0" t="s">
        <v>4972</v>
      </c>
      <c r="J519" s="20" t="s">
        <v>25</v>
      </c>
    </row>
    <row r="520" customFormat="false" ht="15" hidden="false" customHeight="false" outlineLevel="0" collapsed="false">
      <c r="A520" s="0" t="s">
        <v>584</v>
      </c>
      <c r="B520" s="0" t="s">
        <v>3459</v>
      </c>
      <c r="C520" s="0" t="s">
        <v>3450</v>
      </c>
      <c r="D520" s="0" t="s">
        <v>3448</v>
      </c>
      <c r="E520" s="0" t="s">
        <v>4963</v>
      </c>
      <c r="F520" s="0" t="s">
        <v>59</v>
      </c>
      <c r="G520" s="0" t="s">
        <v>4974</v>
      </c>
      <c r="H520" s="0" t="s">
        <v>69</v>
      </c>
      <c r="I520" s="0" t="s">
        <v>4975</v>
      </c>
      <c r="J520" s="20" t="s">
        <v>25</v>
      </c>
    </row>
    <row r="521" customFormat="false" ht="15" hidden="false" customHeight="false" outlineLevel="0" collapsed="false">
      <c r="A521" s="0" t="s">
        <v>584</v>
      </c>
      <c r="B521" s="0" t="s">
        <v>3459</v>
      </c>
      <c r="C521" s="0" t="s">
        <v>3450</v>
      </c>
      <c r="D521" s="0" t="s">
        <v>3448</v>
      </c>
      <c r="E521" s="0" t="s">
        <v>4969</v>
      </c>
      <c r="F521" s="0" t="s">
        <v>61</v>
      </c>
      <c r="G521" s="0" t="s">
        <v>4970</v>
      </c>
      <c r="H521" s="0" t="s">
        <v>5171</v>
      </c>
      <c r="I521" s="0" t="s">
        <v>4972</v>
      </c>
      <c r="J521" s="20" t="s">
        <v>25</v>
      </c>
    </row>
    <row r="522" customFormat="false" ht="15" hidden="false" customHeight="false" outlineLevel="0" collapsed="false">
      <c r="A522" s="0" t="s">
        <v>584</v>
      </c>
      <c r="B522" s="0" t="s">
        <v>3459</v>
      </c>
      <c r="C522" s="0" t="s">
        <v>3447</v>
      </c>
      <c r="D522" s="0" t="s">
        <v>3457</v>
      </c>
      <c r="E522" s="0" t="s">
        <v>4969</v>
      </c>
      <c r="F522" s="0" t="s">
        <v>61</v>
      </c>
      <c r="G522" s="0" t="s">
        <v>4970</v>
      </c>
      <c r="H522" s="0" t="s">
        <v>5172</v>
      </c>
      <c r="I522" s="0" t="s">
        <v>4972</v>
      </c>
      <c r="J522" s="20" t="s">
        <v>25</v>
      </c>
    </row>
    <row r="523" customFormat="false" ht="15" hidden="false" customHeight="false" outlineLevel="0" collapsed="false">
      <c r="A523" s="0" t="s">
        <v>584</v>
      </c>
      <c r="B523" s="0" t="s">
        <v>3459</v>
      </c>
      <c r="C523" s="0" t="s">
        <v>3447</v>
      </c>
      <c r="D523" s="0" t="s">
        <v>3448</v>
      </c>
      <c r="E523" s="0" t="s">
        <v>4969</v>
      </c>
      <c r="F523" s="0" t="s">
        <v>61</v>
      </c>
      <c r="G523" s="0" t="s">
        <v>4970</v>
      </c>
      <c r="H523" s="0" t="s">
        <v>5173</v>
      </c>
      <c r="I523" s="0" t="s">
        <v>4972</v>
      </c>
      <c r="J523" s="20" t="s">
        <v>25</v>
      </c>
    </row>
    <row r="524" customFormat="false" ht="15" hidden="false" customHeight="false" outlineLevel="0" collapsed="false">
      <c r="A524" s="0" t="s">
        <v>584</v>
      </c>
      <c r="B524" s="0" t="s">
        <v>134</v>
      </c>
      <c r="C524" s="0" t="s">
        <v>3450</v>
      </c>
      <c r="D524" s="0" t="s">
        <v>3457</v>
      </c>
      <c r="E524" s="0" t="s">
        <v>4963</v>
      </c>
      <c r="F524" s="0" t="s">
        <v>30</v>
      </c>
      <c r="G524" s="0" t="s">
        <v>4980</v>
      </c>
      <c r="H524" s="0" t="s">
        <v>4265</v>
      </c>
      <c r="I524" s="0" t="s">
        <v>4981</v>
      </c>
      <c r="J524" s="18" t="s">
        <v>24</v>
      </c>
    </row>
    <row r="525" customFormat="false" ht="15" hidden="false" customHeight="false" outlineLevel="0" collapsed="false">
      <c r="A525" s="0" t="s">
        <v>584</v>
      </c>
      <c r="B525" s="0" t="s">
        <v>134</v>
      </c>
      <c r="C525" s="0" t="s">
        <v>3450</v>
      </c>
      <c r="D525" s="0" t="s">
        <v>3448</v>
      </c>
      <c r="E525" s="0" t="s">
        <v>4963</v>
      </c>
      <c r="F525" s="0" t="s">
        <v>30</v>
      </c>
      <c r="G525" s="0" t="s">
        <v>4980</v>
      </c>
      <c r="H525" s="0" t="s">
        <v>4373</v>
      </c>
      <c r="I525" s="0" t="s">
        <v>4981</v>
      </c>
      <c r="J525" s="18" t="s">
        <v>24</v>
      </c>
    </row>
    <row r="526" customFormat="false" ht="15" hidden="false" customHeight="false" outlineLevel="0" collapsed="false">
      <c r="A526" s="0" t="s">
        <v>584</v>
      </c>
      <c r="B526" s="0" t="s">
        <v>134</v>
      </c>
      <c r="C526" s="0" t="s">
        <v>3447</v>
      </c>
      <c r="D526" s="0" t="s">
        <v>3457</v>
      </c>
      <c r="E526" s="0" t="s">
        <v>4963</v>
      </c>
      <c r="F526" s="0" t="s">
        <v>30</v>
      </c>
      <c r="G526" s="0" t="s">
        <v>4980</v>
      </c>
      <c r="H526" s="0" t="s">
        <v>4272</v>
      </c>
      <c r="I526" s="0" t="s">
        <v>4981</v>
      </c>
      <c r="J526" s="18" t="s">
        <v>24</v>
      </c>
    </row>
    <row r="527" customFormat="false" ht="15" hidden="false" customHeight="false" outlineLevel="0" collapsed="false">
      <c r="A527" s="0" t="s">
        <v>584</v>
      </c>
      <c r="B527" s="0" t="s">
        <v>134</v>
      </c>
      <c r="C527" s="0" t="s">
        <v>3447</v>
      </c>
      <c r="D527" s="0" t="s">
        <v>3448</v>
      </c>
      <c r="E527" s="0" t="s">
        <v>4963</v>
      </c>
      <c r="F527" s="0" t="s">
        <v>30</v>
      </c>
      <c r="G527" s="0" t="s">
        <v>4980</v>
      </c>
      <c r="H527" s="0" t="s">
        <v>4374</v>
      </c>
      <c r="I527" s="0" t="s">
        <v>4981</v>
      </c>
      <c r="J527" s="18" t="s">
        <v>24</v>
      </c>
    </row>
    <row r="528" customFormat="false" ht="15" hidden="false" customHeight="false" outlineLevel="0" collapsed="false">
      <c r="A528" s="0" t="s">
        <v>584</v>
      </c>
      <c r="B528" s="0" t="s">
        <v>3459</v>
      </c>
      <c r="C528" s="0" t="s">
        <v>3450</v>
      </c>
      <c r="D528" s="0" t="s">
        <v>3448</v>
      </c>
      <c r="E528" s="0" t="s">
        <v>4963</v>
      </c>
      <c r="F528" s="0" t="s">
        <v>30</v>
      </c>
      <c r="G528" s="0" t="s">
        <v>4980</v>
      </c>
      <c r="H528" s="0" t="s">
        <v>4375</v>
      </c>
      <c r="I528" s="0" t="s">
        <v>4981</v>
      </c>
      <c r="J528" s="18" t="s">
        <v>24</v>
      </c>
    </row>
    <row r="529" customFormat="false" ht="15" hidden="false" customHeight="false" outlineLevel="0" collapsed="false">
      <c r="A529" s="0" t="s">
        <v>584</v>
      </c>
      <c r="B529" s="0" t="s">
        <v>3459</v>
      </c>
      <c r="C529" s="0" t="s">
        <v>3447</v>
      </c>
      <c r="D529" s="0" t="s">
        <v>3448</v>
      </c>
      <c r="E529" s="0" t="s">
        <v>4963</v>
      </c>
      <c r="F529" s="0" t="s">
        <v>30</v>
      </c>
      <c r="G529" s="0" t="s">
        <v>4980</v>
      </c>
      <c r="H529" s="0" t="s">
        <v>4371</v>
      </c>
      <c r="I529" s="0" t="s">
        <v>4981</v>
      </c>
      <c r="J529" s="18" t="s">
        <v>24</v>
      </c>
    </row>
    <row r="530" customFormat="false" ht="15" hidden="false" customHeight="false" outlineLevel="0" collapsed="false">
      <c r="A530" s="0" t="s">
        <v>594</v>
      </c>
      <c r="B530" s="0" t="s">
        <v>134</v>
      </c>
      <c r="C530" s="0" t="s">
        <v>3450</v>
      </c>
      <c r="D530" s="0" t="s">
        <v>3457</v>
      </c>
      <c r="E530" s="0" t="s">
        <v>4969</v>
      </c>
      <c r="F530" s="0" t="s">
        <v>61</v>
      </c>
      <c r="G530" s="0" t="s">
        <v>4970</v>
      </c>
      <c r="H530" s="0" t="s">
        <v>5174</v>
      </c>
      <c r="I530" s="0" t="s">
        <v>4972</v>
      </c>
      <c r="J530" s="20" t="s">
        <v>25</v>
      </c>
    </row>
    <row r="531" customFormat="false" ht="15" hidden="false" customHeight="false" outlineLevel="0" collapsed="false">
      <c r="A531" s="0" t="s">
        <v>594</v>
      </c>
      <c r="B531" s="0" t="s">
        <v>134</v>
      </c>
      <c r="C531" s="0" t="s">
        <v>3450</v>
      </c>
      <c r="D531" s="0" t="s">
        <v>3448</v>
      </c>
      <c r="E531" s="0" t="s">
        <v>4963</v>
      </c>
      <c r="F531" s="0" t="s">
        <v>59</v>
      </c>
      <c r="G531" s="0" t="s">
        <v>4974</v>
      </c>
      <c r="H531" s="0" t="s">
        <v>69</v>
      </c>
      <c r="I531" s="0" t="s">
        <v>4975</v>
      </c>
      <c r="J531" s="20" t="s">
        <v>25</v>
      </c>
    </row>
    <row r="532" customFormat="false" ht="15" hidden="false" customHeight="false" outlineLevel="0" collapsed="false">
      <c r="A532" s="0" t="s">
        <v>594</v>
      </c>
      <c r="B532" s="0" t="s">
        <v>134</v>
      </c>
      <c r="C532" s="0" t="s">
        <v>3450</v>
      </c>
      <c r="D532" s="0" t="s">
        <v>3448</v>
      </c>
      <c r="E532" s="0" t="s">
        <v>4969</v>
      </c>
      <c r="F532" s="0" t="s">
        <v>61</v>
      </c>
      <c r="G532" s="0" t="s">
        <v>4970</v>
      </c>
      <c r="H532" s="0" t="s">
        <v>5175</v>
      </c>
      <c r="I532" s="0" t="s">
        <v>4972</v>
      </c>
      <c r="J532" s="20" t="s">
        <v>25</v>
      </c>
    </row>
    <row r="533" customFormat="false" ht="15" hidden="false" customHeight="false" outlineLevel="0" collapsed="false">
      <c r="A533" s="0" t="s">
        <v>594</v>
      </c>
      <c r="B533" s="0" t="s">
        <v>134</v>
      </c>
      <c r="C533" s="0" t="s">
        <v>3447</v>
      </c>
      <c r="D533" s="0" t="s">
        <v>3457</v>
      </c>
      <c r="E533" s="0" t="s">
        <v>4969</v>
      </c>
      <c r="F533" s="0" t="s">
        <v>61</v>
      </c>
      <c r="G533" s="0" t="s">
        <v>4970</v>
      </c>
      <c r="H533" s="0" t="s">
        <v>5176</v>
      </c>
      <c r="I533" s="0" t="s">
        <v>4972</v>
      </c>
      <c r="J533" s="20" t="s">
        <v>25</v>
      </c>
    </row>
    <row r="534" customFormat="false" ht="15" hidden="false" customHeight="false" outlineLevel="0" collapsed="false">
      <c r="A534" s="0" t="s">
        <v>594</v>
      </c>
      <c r="B534" s="0" t="s">
        <v>134</v>
      </c>
      <c r="C534" s="0" t="s">
        <v>3447</v>
      </c>
      <c r="D534" s="0" t="s">
        <v>3448</v>
      </c>
      <c r="E534" s="0" t="s">
        <v>4969</v>
      </c>
      <c r="F534" s="0" t="s">
        <v>61</v>
      </c>
      <c r="G534" s="0" t="s">
        <v>4970</v>
      </c>
      <c r="H534" s="0" t="s">
        <v>5177</v>
      </c>
      <c r="I534" s="0" t="s">
        <v>4972</v>
      </c>
      <c r="J534" s="20" t="s">
        <v>25</v>
      </c>
    </row>
    <row r="535" customFormat="false" ht="15" hidden="false" customHeight="false" outlineLevel="0" collapsed="false">
      <c r="A535" s="0" t="s">
        <v>594</v>
      </c>
      <c r="B535" s="0" t="s">
        <v>134</v>
      </c>
      <c r="C535" s="0" t="s">
        <v>3450</v>
      </c>
      <c r="D535" s="0" t="s">
        <v>3448</v>
      </c>
      <c r="E535" s="0" t="s">
        <v>4963</v>
      </c>
      <c r="F535" s="0" t="s">
        <v>30</v>
      </c>
      <c r="G535" s="0" t="s">
        <v>4980</v>
      </c>
      <c r="H535" s="0" t="s">
        <v>4275</v>
      </c>
      <c r="I535" s="0" t="s">
        <v>4981</v>
      </c>
      <c r="J535" s="18" t="s">
        <v>24</v>
      </c>
    </row>
    <row r="536" customFormat="false" ht="15" hidden="false" customHeight="false" outlineLevel="0" collapsed="false">
      <c r="A536" s="0" t="s">
        <v>599</v>
      </c>
      <c r="B536" s="0" t="s">
        <v>134</v>
      </c>
      <c r="C536" s="0" t="s">
        <v>3450</v>
      </c>
      <c r="D536" s="0" t="s">
        <v>3457</v>
      </c>
      <c r="E536" s="0" t="s">
        <v>4969</v>
      </c>
      <c r="F536" s="0" t="s">
        <v>63</v>
      </c>
      <c r="G536" s="0" t="s">
        <v>4220</v>
      </c>
      <c r="H536" s="0" t="s">
        <v>5178</v>
      </c>
      <c r="I536" s="0" t="s">
        <v>4979</v>
      </c>
      <c r="J536" s="20" t="s">
        <v>25</v>
      </c>
    </row>
    <row r="537" customFormat="false" ht="15" hidden="false" customHeight="false" outlineLevel="0" collapsed="false">
      <c r="A537" s="0" t="s">
        <v>599</v>
      </c>
      <c r="B537" s="0" t="s">
        <v>134</v>
      </c>
      <c r="C537" s="0" t="s">
        <v>3450</v>
      </c>
      <c r="D537" s="0" t="s">
        <v>3448</v>
      </c>
      <c r="E537" s="0" t="s">
        <v>4963</v>
      </c>
      <c r="F537" s="0" t="s">
        <v>59</v>
      </c>
      <c r="G537" s="0" t="s">
        <v>4974</v>
      </c>
      <c r="H537" s="0" t="s">
        <v>69</v>
      </c>
      <c r="I537" s="0" t="s">
        <v>4975</v>
      </c>
      <c r="J537" s="20" t="s">
        <v>25</v>
      </c>
    </row>
    <row r="538" customFormat="false" ht="15" hidden="false" customHeight="false" outlineLevel="0" collapsed="false">
      <c r="A538" s="0" t="s">
        <v>599</v>
      </c>
      <c r="B538" s="0" t="s">
        <v>134</v>
      </c>
      <c r="C538" s="0" t="s">
        <v>3450</v>
      </c>
      <c r="D538" s="0" t="s">
        <v>3448</v>
      </c>
      <c r="E538" s="0" t="s">
        <v>4969</v>
      </c>
      <c r="F538" s="0" t="s">
        <v>64</v>
      </c>
      <c r="G538" s="0" t="s">
        <v>4220</v>
      </c>
      <c r="H538" s="0" t="s">
        <v>5179</v>
      </c>
      <c r="I538" s="0" t="s">
        <v>4991</v>
      </c>
      <c r="J538" s="20" t="s">
        <v>25</v>
      </c>
    </row>
    <row r="539" customFormat="false" ht="15" hidden="false" customHeight="false" outlineLevel="0" collapsed="false">
      <c r="A539" s="0" t="s">
        <v>599</v>
      </c>
      <c r="B539" s="0" t="s">
        <v>134</v>
      </c>
      <c r="C539" s="0" t="s">
        <v>3447</v>
      </c>
      <c r="D539" s="0" t="s">
        <v>3457</v>
      </c>
      <c r="E539" s="0" t="s">
        <v>4963</v>
      </c>
      <c r="F539" s="0" t="s">
        <v>59</v>
      </c>
      <c r="G539" s="0" t="s">
        <v>4974</v>
      </c>
      <c r="H539" s="0" t="s">
        <v>69</v>
      </c>
      <c r="I539" s="0" t="s">
        <v>4975</v>
      </c>
      <c r="J539" s="20" t="s">
        <v>25</v>
      </c>
    </row>
    <row r="540" customFormat="false" ht="15" hidden="false" customHeight="false" outlineLevel="0" collapsed="false">
      <c r="A540" s="0" t="s">
        <v>599</v>
      </c>
      <c r="B540" s="0" t="s">
        <v>134</v>
      </c>
      <c r="C540" s="0" t="s">
        <v>3447</v>
      </c>
      <c r="D540" s="0" t="s">
        <v>3457</v>
      </c>
      <c r="E540" s="0" t="s">
        <v>4969</v>
      </c>
      <c r="F540" s="0" t="s">
        <v>63</v>
      </c>
      <c r="G540" s="0" t="s">
        <v>4220</v>
      </c>
      <c r="H540" s="0" t="s">
        <v>5178</v>
      </c>
      <c r="I540" s="0" t="s">
        <v>4979</v>
      </c>
      <c r="J540" s="20" t="s">
        <v>25</v>
      </c>
    </row>
    <row r="541" customFormat="false" ht="15" hidden="false" customHeight="false" outlineLevel="0" collapsed="false">
      <c r="A541" s="0" t="s">
        <v>599</v>
      </c>
      <c r="B541" s="0" t="s">
        <v>134</v>
      </c>
      <c r="C541" s="0" t="s">
        <v>3447</v>
      </c>
      <c r="D541" s="0" t="s">
        <v>3448</v>
      </c>
      <c r="E541" s="0" t="s">
        <v>4963</v>
      </c>
      <c r="F541" s="0" t="s">
        <v>59</v>
      </c>
      <c r="G541" s="0" t="s">
        <v>4974</v>
      </c>
      <c r="H541" s="0" t="s">
        <v>69</v>
      </c>
      <c r="I541" s="0" t="s">
        <v>4975</v>
      </c>
      <c r="J541" s="20" t="s">
        <v>25</v>
      </c>
    </row>
    <row r="542" customFormat="false" ht="15" hidden="false" customHeight="false" outlineLevel="0" collapsed="false">
      <c r="A542" s="0" t="s">
        <v>599</v>
      </c>
      <c r="B542" s="0" t="s">
        <v>134</v>
      </c>
      <c r="C542" s="0" t="s">
        <v>3447</v>
      </c>
      <c r="D542" s="0" t="s">
        <v>3448</v>
      </c>
      <c r="E542" s="0" t="s">
        <v>4969</v>
      </c>
      <c r="F542" s="0" t="s">
        <v>64</v>
      </c>
      <c r="G542" s="0" t="s">
        <v>4220</v>
      </c>
      <c r="H542" s="0" t="s">
        <v>5179</v>
      </c>
      <c r="I542" s="0" t="s">
        <v>4991</v>
      </c>
      <c r="J542" s="20" t="s">
        <v>25</v>
      </c>
    </row>
    <row r="543" customFormat="false" ht="15" hidden="false" customHeight="false" outlineLevel="0" collapsed="false">
      <c r="A543" s="0" t="s">
        <v>599</v>
      </c>
      <c r="B543" s="0" t="s">
        <v>134</v>
      </c>
      <c r="C543" s="0" t="s">
        <v>3450</v>
      </c>
      <c r="D543" s="0" t="s">
        <v>3457</v>
      </c>
      <c r="E543" s="0" t="s">
        <v>4963</v>
      </c>
      <c r="F543" s="0" t="s">
        <v>30</v>
      </c>
      <c r="G543" s="0" t="s">
        <v>4980</v>
      </c>
      <c r="H543" s="0" t="s">
        <v>4376</v>
      </c>
      <c r="I543" s="0" t="s">
        <v>4981</v>
      </c>
      <c r="J543" s="18" t="s">
        <v>24</v>
      </c>
    </row>
    <row r="544" customFormat="false" ht="15" hidden="false" customHeight="false" outlineLevel="0" collapsed="false">
      <c r="A544" s="0" t="s">
        <v>599</v>
      </c>
      <c r="B544" s="0" t="s">
        <v>134</v>
      </c>
      <c r="C544" s="0" t="s">
        <v>3450</v>
      </c>
      <c r="D544" s="0" t="s">
        <v>3448</v>
      </c>
      <c r="E544" s="0" t="s">
        <v>4963</v>
      </c>
      <c r="F544" s="0" t="s">
        <v>30</v>
      </c>
      <c r="G544" s="0" t="s">
        <v>4980</v>
      </c>
      <c r="H544" s="0" t="s">
        <v>4242</v>
      </c>
      <c r="I544" s="0" t="s">
        <v>4981</v>
      </c>
      <c r="J544" s="18" t="s">
        <v>24</v>
      </c>
    </row>
    <row r="545" customFormat="false" ht="15" hidden="false" customHeight="false" outlineLevel="0" collapsed="false">
      <c r="A545" s="0" t="s">
        <v>599</v>
      </c>
      <c r="B545" s="0" t="s">
        <v>134</v>
      </c>
      <c r="C545" s="0" t="s">
        <v>3447</v>
      </c>
      <c r="D545" s="0" t="s">
        <v>3457</v>
      </c>
      <c r="E545" s="0" t="s">
        <v>4963</v>
      </c>
      <c r="F545" s="0" t="s">
        <v>30</v>
      </c>
      <c r="G545" s="0" t="s">
        <v>4980</v>
      </c>
      <c r="H545" s="0" t="s">
        <v>4377</v>
      </c>
      <c r="I545" s="0" t="s">
        <v>4981</v>
      </c>
      <c r="J545" s="18" t="s">
        <v>24</v>
      </c>
    </row>
    <row r="546" customFormat="false" ht="15" hidden="false" customHeight="false" outlineLevel="0" collapsed="false">
      <c r="A546" s="0" t="s">
        <v>599</v>
      </c>
      <c r="B546" s="0" t="s">
        <v>134</v>
      </c>
      <c r="C546" s="0" t="s">
        <v>3447</v>
      </c>
      <c r="D546" s="0" t="s">
        <v>3448</v>
      </c>
      <c r="E546" s="0" t="s">
        <v>4963</v>
      </c>
      <c r="F546" s="0" t="s">
        <v>30</v>
      </c>
      <c r="G546" s="0" t="s">
        <v>4980</v>
      </c>
      <c r="H546" s="0" t="s">
        <v>4242</v>
      </c>
      <c r="I546" s="0" t="s">
        <v>4981</v>
      </c>
      <c r="J546" s="18" t="s">
        <v>24</v>
      </c>
    </row>
    <row r="547" customFormat="false" ht="15" hidden="false" customHeight="false" outlineLevel="0" collapsed="false">
      <c r="A547" s="0" t="s">
        <v>609</v>
      </c>
      <c r="B547" s="0" t="s">
        <v>134</v>
      </c>
      <c r="C547" s="0" t="s">
        <v>3447</v>
      </c>
      <c r="D547" s="0" t="s">
        <v>3457</v>
      </c>
      <c r="E547" s="0" t="s">
        <v>4963</v>
      </c>
      <c r="F547" s="0" t="s">
        <v>60</v>
      </c>
      <c r="G547" s="0" t="s">
        <v>4964</v>
      </c>
      <c r="H547" s="0" t="s">
        <v>5180</v>
      </c>
      <c r="I547" s="0" t="s">
        <v>4966</v>
      </c>
      <c r="J547" s="19" t="s">
        <v>26</v>
      </c>
    </row>
    <row r="548" customFormat="false" ht="15" hidden="false" customHeight="false" outlineLevel="0" collapsed="false">
      <c r="A548" s="0" t="s">
        <v>609</v>
      </c>
      <c r="B548" s="0" t="s">
        <v>134</v>
      </c>
      <c r="C548" s="0" t="s">
        <v>3447</v>
      </c>
      <c r="D548" s="0" t="s">
        <v>3448</v>
      </c>
      <c r="E548" s="0" t="s">
        <v>4963</v>
      </c>
      <c r="F548" s="0" t="s">
        <v>60</v>
      </c>
      <c r="G548" s="0" t="s">
        <v>4964</v>
      </c>
      <c r="H548" s="0" t="s">
        <v>5181</v>
      </c>
      <c r="I548" s="0" t="s">
        <v>4966</v>
      </c>
      <c r="J548" s="19" t="s">
        <v>26</v>
      </c>
    </row>
    <row r="549" customFormat="false" ht="15" hidden="false" customHeight="false" outlineLevel="0" collapsed="false">
      <c r="A549" s="0" t="s">
        <v>609</v>
      </c>
      <c r="B549" s="0" t="s">
        <v>134</v>
      </c>
      <c r="C549" s="0" t="s">
        <v>3450</v>
      </c>
      <c r="D549" s="0" t="s">
        <v>3457</v>
      </c>
      <c r="E549" s="0" t="s">
        <v>4963</v>
      </c>
      <c r="F549" s="0" t="s">
        <v>59</v>
      </c>
      <c r="G549" s="0" t="s">
        <v>4974</v>
      </c>
      <c r="H549" s="0" t="s">
        <v>70</v>
      </c>
      <c r="I549" s="0" t="s">
        <v>4975</v>
      </c>
      <c r="J549" s="20" t="s">
        <v>25</v>
      </c>
    </row>
    <row r="550" customFormat="false" ht="15" hidden="false" customHeight="false" outlineLevel="0" collapsed="false">
      <c r="A550" s="0" t="s">
        <v>609</v>
      </c>
      <c r="B550" s="0" t="s">
        <v>134</v>
      </c>
      <c r="C550" s="0" t="s">
        <v>3447</v>
      </c>
      <c r="D550" s="0" t="s">
        <v>3457</v>
      </c>
      <c r="E550" s="0" t="s">
        <v>4963</v>
      </c>
      <c r="F550" s="0" t="s">
        <v>59</v>
      </c>
      <c r="G550" s="0" t="s">
        <v>4974</v>
      </c>
      <c r="H550" s="0" t="s">
        <v>69</v>
      </c>
      <c r="I550" s="0" t="s">
        <v>4975</v>
      </c>
      <c r="J550" s="20" t="s">
        <v>25</v>
      </c>
    </row>
    <row r="551" customFormat="false" ht="15" hidden="false" customHeight="false" outlineLevel="0" collapsed="false">
      <c r="A551" s="0" t="s">
        <v>609</v>
      </c>
      <c r="B551" s="0" t="s">
        <v>134</v>
      </c>
      <c r="C551" s="0" t="s">
        <v>3450</v>
      </c>
      <c r="D551" s="0" t="s">
        <v>3457</v>
      </c>
      <c r="E551" s="0" t="s">
        <v>4963</v>
      </c>
      <c r="F551" s="0" t="s">
        <v>30</v>
      </c>
      <c r="G551" s="0" t="s">
        <v>4980</v>
      </c>
      <c r="H551" s="0" t="s">
        <v>4378</v>
      </c>
      <c r="I551" s="0" t="s">
        <v>4981</v>
      </c>
      <c r="J551" s="18" t="s">
        <v>24</v>
      </c>
    </row>
    <row r="552" customFormat="false" ht="15" hidden="false" customHeight="false" outlineLevel="0" collapsed="false">
      <c r="A552" s="0" t="s">
        <v>615</v>
      </c>
      <c r="B552" s="0" t="s">
        <v>134</v>
      </c>
      <c r="C552" s="0" t="s">
        <v>3450</v>
      </c>
      <c r="D552" s="0" t="s">
        <v>3457</v>
      </c>
      <c r="E552" s="0" t="s">
        <v>4963</v>
      </c>
      <c r="F552" s="0" t="s">
        <v>59</v>
      </c>
      <c r="G552" s="0" t="s">
        <v>4974</v>
      </c>
      <c r="H552" s="0" t="s">
        <v>69</v>
      </c>
      <c r="I552" s="0" t="s">
        <v>4975</v>
      </c>
      <c r="J552" s="20" t="s">
        <v>25</v>
      </c>
    </row>
    <row r="553" customFormat="false" ht="15" hidden="false" customHeight="false" outlineLevel="0" collapsed="false">
      <c r="A553" s="0" t="s">
        <v>615</v>
      </c>
      <c r="B553" s="0" t="s">
        <v>134</v>
      </c>
      <c r="C553" s="0" t="s">
        <v>3450</v>
      </c>
      <c r="D553" s="0" t="s">
        <v>3457</v>
      </c>
      <c r="E553" s="0" t="s">
        <v>4969</v>
      </c>
      <c r="F553" s="0" t="s">
        <v>61</v>
      </c>
      <c r="G553" s="0" t="s">
        <v>4970</v>
      </c>
      <c r="H553" s="0" t="s">
        <v>5182</v>
      </c>
      <c r="I553" s="0" t="s">
        <v>4972</v>
      </c>
      <c r="J553" s="20" t="s">
        <v>25</v>
      </c>
    </row>
    <row r="554" customFormat="false" ht="15" hidden="false" customHeight="false" outlineLevel="0" collapsed="false">
      <c r="A554" s="0" t="s">
        <v>615</v>
      </c>
      <c r="B554" s="0" t="s">
        <v>134</v>
      </c>
      <c r="C554" s="0" t="s">
        <v>3450</v>
      </c>
      <c r="D554" s="0" t="s">
        <v>3457</v>
      </c>
      <c r="E554" s="0" t="s">
        <v>4969</v>
      </c>
      <c r="F554" s="0" t="s">
        <v>63</v>
      </c>
      <c r="G554" s="0" t="s">
        <v>4220</v>
      </c>
      <c r="H554" s="0" t="s">
        <v>5183</v>
      </c>
      <c r="I554" s="0" t="s">
        <v>4979</v>
      </c>
      <c r="J554" s="20" t="s">
        <v>25</v>
      </c>
    </row>
    <row r="555" customFormat="false" ht="15" hidden="false" customHeight="false" outlineLevel="0" collapsed="false">
      <c r="A555" s="0" t="s">
        <v>615</v>
      </c>
      <c r="B555" s="0" t="s">
        <v>134</v>
      </c>
      <c r="C555" s="0" t="s">
        <v>3450</v>
      </c>
      <c r="D555" s="0" t="s">
        <v>3448</v>
      </c>
      <c r="E555" s="0" t="s">
        <v>4963</v>
      </c>
      <c r="F555" s="0" t="s">
        <v>59</v>
      </c>
      <c r="G555" s="0" t="s">
        <v>4974</v>
      </c>
      <c r="H555" s="0" t="s">
        <v>69</v>
      </c>
      <c r="I555" s="0" t="s">
        <v>4975</v>
      </c>
      <c r="J555" s="20" t="s">
        <v>25</v>
      </c>
    </row>
    <row r="556" customFormat="false" ht="15" hidden="false" customHeight="false" outlineLevel="0" collapsed="false">
      <c r="A556" s="0" t="s">
        <v>615</v>
      </c>
      <c r="B556" s="0" t="s">
        <v>134</v>
      </c>
      <c r="C556" s="0" t="s">
        <v>3450</v>
      </c>
      <c r="D556" s="0" t="s">
        <v>3448</v>
      </c>
      <c r="E556" s="0" t="s">
        <v>4969</v>
      </c>
      <c r="F556" s="0" t="s">
        <v>61</v>
      </c>
      <c r="G556" s="0" t="s">
        <v>4970</v>
      </c>
      <c r="H556" s="0" t="s">
        <v>5184</v>
      </c>
      <c r="I556" s="0" t="s">
        <v>4972</v>
      </c>
      <c r="J556" s="20" t="s">
        <v>25</v>
      </c>
    </row>
    <row r="557" customFormat="false" ht="15" hidden="false" customHeight="false" outlineLevel="0" collapsed="false">
      <c r="A557" s="0" t="s">
        <v>615</v>
      </c>
      <c r="B557" s="0" t="s">
        <v>134</v>
      </c>
      <c r="C557" s="0" t="s">
        <v>3447</v>
      </c>
      <c r="D557" s="0" t="s">
        <v>3457</v>
      </c>
      <c r="E557" s="0" t="s">
        <v>4969</v>
      </c>
      <c r="F557" s="0" t="s">
        <v>63</v>
      </c>
      <c r="G557" s="0" t="s">
        <v>4220</v>
      </c>
      <c r="H557" s="0" t="s">
        <v>5183</v>
      </c>
      <c r="I557" s="0" t="s">
        <v>4979</v>
      </c>
      <c r="J557" s="20" t="s">
        <v>25</v>
      </c>
    </row>
    <row r="558" customFormat="false" ht="15" hidden="false" customHeight="false" outlineLevel="0" collapsed="false">
      <c r="A558" s="0" t="s">
        <v>615</v>
      </c>
      <c r="B558" s="0" t="s">
        <v>134</v>
      </c>
      <c r="C558" s="0" t="s">
        <v>3447</v>
      </c>
      <c r="D558" s="0" t="s">
        <v>3448</v>
      </c>
      <c r="E558" s="0" t="s">
        <v>4969</v>
      </c>
      <c r="F558" s="0" t="s">
        <v>61</v>
      </c>
      <c r="G558" s="0" t="s">
        <v>4970</v>
      </c>
      <c r="H558" s="0" t="s">
        <v>5185</v>
      </c>
      <c r="I558" s="0" t="s">
        <v>4972</v>
      </c>
      <c r="J558" s="20" t="s">
        <v>25</v>
      </c>
    </row>
    <row r="559" customFormat="false" ht="15" hidden="false" customHeight="false" outlineLevel="0" collapsed="false">
      <c r="A559" s="0" t="s">
        <v>615</v>
      </c>
      <c r="B559" s="0" t="s">
        <v>134</v>
      </c>
      <c r="C559" s="0" t="s">
        <v>3450</v>
      </c>
      <c r="D559" s="0" t="s">
        <v>3457</v>
      </c>
      <c r="E559" s="0" t="s">
        <v>4963</v>
      </c>
      <c r="F559" s="0" t="s">
        <v>30</v>
      </c>
      <c r="G559" s="0" t="s">
        <v>4980</v>
      </c>
      <c r="H559" s="0" t="s">
        <v>4275</v>
      </c>
      <c r="I559" s="0" t="s">
        <v>4981</v>
      </c>
      <c r="J559" s="18" t="s">
        <v>24</v>
      </c>
    </row>
    <row r="560" customFormat="false" ht="15" hidden="false" customHeight="false" outlineLevel="0" collapsed="false">
      <c r="A560" s="0" t="s">
        <v>615</v>
      </c>
      <c r="B560" s="0" t="s">
        <v>134</v>
      </c>
      <c r="C560" s="0" t="s">
        <v>3450</v>
      </c>
      <c r="D560" s="0" t="s">
        <v>3448</v>
      </c>
      <c r="E560" s="0" t="s">
        <v>4963</v>
      </c>
      <c r="F560" s="0" t="s">
        <v>30</v>
      </c>
      <c r="G560" s="0" t="s">
        <v>4980</v>
      </c>
      <c r="H560" s="0" t="s">
        <v>4275</v>
      </c>
      <c r="I560" s="0" t="s">
        <v>4981</v>
      </c>
      <c r="J560" s="18" t="s">
        <v>24</v>
      </c>
    </row>
    <row r="561" customFormat="false" ht="15" hidden="false" customHeight="false" outlineLevel="0" collapsed="false">
      <c r="A561" s="0" t="s">
        <v>615</v>
      </c>
      <c r="B561" s="0" t="s">
        <v>134</v>
      </c>
      <c r="C561" s="0" t="s">
        <v>3447</v>
      </c>
      <c r="D561" s="0" t="s">
        <v>3457</v>
      </c>
      <c r="E561" s="0" t="s">
        <v>4963</v>
      </c>
      <c r="F561" s="0" t="s">
        <v>30</v>
      </c>
      <c r="G561" s="0" t="s">
        <v>4980</v>
      </c>
      <c r="H561" s="0" t="s">
        <v>4381</v>
      </c>
      <c r="I561" s="0" t="s">
        <v>4981</v>
      </c>
      <c r="J561" s="18" t="s">
        <v>24</v>
      </c>
    </row>
    <row r="562" customFormat="false" ht="15" hidden="false" customHeight="false" outlineLevel="0" collapsed="false">
      <c r="A562" s="0" t="s">
        <v>615</v>
      </c>
      <c r="B562" s="0" t="s">
        <v>134</v>
      </c>
      <c r="C562" s="0" t="s">
        <v>3447</v>
      </c>
      <c r="D562" s="0" t="s">
        <v>3448</v>
      </c>
      <c r="E562" s="0" t="s">
        <v>4963</v>
      </c>
      <c r="F562" s="0" t="s">
        <v>30</v>
      </c>
      <c r="G562" s="0" t="s">
        <v>4980</v>
      </c>
      <c r="H562" s="0" t="s">
        <v>4382</v>
      </c>
      <c r="I562" s="0" t="s">
        <v>4981</v>
      </c>
      <c r="J562" s="18" t="s">
        <v>24</v>
      </c>
    </row>
    <row r="563" customFormat="false" ht="15" hidden="false" customHeight="false" outlineLevel="0" collapsed="false">
      <c r="A563" s="0" t="s">
        <v>624</v>
      </c>
      <c r="B563" s="0" t="s">
        <v>134</v>
      </c>
      <c r="C563" s="0" t="s">
        <v>3450</v>
      </c>
      <c r="D563" s="0" t="s">
        <v>3457</v>
      </c>
      <c r="E563" s="0" t="s">
        <v>4963</v>
      </c>
      <c r="F563" s="0" t="s">
        <v>65</v>
      </c>
      <c r="G563" s="0" t="s">
        <v>4997</v>
      </c>
      <c r="H563" s="0" t="s">
        <v>3871</v>
      </c>
      <c r="I563" s="0" t="s">
        <v>4998</v>
      </c>
      <c r="J563" s="19" t="s">
        <v>26</v>
      </c>
    </row>
    <row r="564" customFormat="false" ht="15" hidden="false" customHeight="false" outlineLevel="0" collapsed="false">
      <c r="A564" s="0" t="s">
        <v>624</v>
      </c>
      <c r="B564" s="0" t="s">
        <v>134</v>
      </c>
      <c r="C564" s="0" t="s">
        <v>3450</v>
      </c>
      <c r="D564" s="0" t="s">
        <v>3457</v>
      </c>
      <c r="E564" s="0" t="s">
        <v>4963</v>
      </c>
      <c r="F564" s="0" t="s">
        <v>60</v>
      </c>
      <c r="G564" s="0" t="s">
        <v>4964</v>
      </c>
      <c r="H564" s="0" t="s">
        <v>5186</v>
      </c>
      <c r="I564" s="0" t="s">
        <v>4966</v>
      </c>
      <c r="J564" s="19" t="s">
        <v>26</v>
      </c>
    </row>
    <row r="565" customFormat="false" ht="15" hidden="false" customHeight="false" outlineLevel="0" collapsed="false">
      <c r="A565" s="0" t="s">
        <v>624</v>
      </c>
      <c r="B565" s="0" t="s">
        <v>134</v>
      </c>
      <c r="C565" s="0" t="s">
        <v>3450</v>
      </c>
      <c r="D565" s="0" t="s">
        <v>3448</v>
      </c>
      <c r="E565" s="0" t="s">
        <v>4963</v>
      </c>
      <c r="F565" s="0" t="s">
        <v>65</v>
      </c>
      <c r="G565" s="0" t="s">
        <v>4997</v>
      </c>
      <c r="H565" s="0" t="s">
        <v>3871</v>
      </c>
      <c r="I565" s="0" t="s">
        <v>4998</v>
      </c>
      <c r="J565" s="19" t="s">
        <v>26</v>
      </c>
    </row>
    <row r="566" customFormat="false" ht="15" hidden="false" customHeight="false" outlineLevel="0" collapsed="false">
      <c r="A566" s="0" t="s">
        <v>624</v>
      </c>
      <c r="B566" s="0" t="s">
        <v>134</v>
      </c>
      <c r="C566" s="0" t="s">
        <v>3450</v>
      </c>
      <c r="D566" s="0" t="s">
        <v>3448</v>
      </c>
      <c r="E566" s="0" t="s">
        <v>4963</v>
      </c>
      <c r="F566" s="0" t="s">
        <v>60</v>
      </c>
      <c r="G566" s="0" t="s">
        <v>4964</v>
      </c>
      <c r="H566" s="0" t="s">
        <v>5187</v>
      </c>
      <c r="I566" s="0" t="s">
        <v>4966</v>
      </c>
      <c r="J566" s="19" t="s">
        <v>26</v>
      </c>
    </row>
    <row r="567" customFormat="false" ht="15" hidden="false" customHeight="false" outlineLevel="0" collapsed="false">
      <c r="A567" s="0" t="s">
        <v>624</v>
      </c>
      <c r="B567" s="0" t="s">
        <v>134</v>
      </c>
      <c r="C567" s="0" t="s">
        <v>3447</v>
      </c>
      <c r="D567" s="0" t="s">
        <v>3457</v>
      </c>
      <c r="E567" s="0" t="s">
        <v>4963</v>
      </c>
      <c r="F567" s="0" t="s">
        <v>65</v>
      </c>
      <c r="G567" s="0" t="s">
        <v>4997</v>
      </c>
      <c r="H567" s="0" t="s">
        <v>3871</v>
      </c>
      <c r="I567" s="0" t="s">
        <v>4998</v>
      </c>
      <c r="J567" s="19" t="s">
        <v>26</v>
      </c>
    </row>
    <row r="568" customFormat="false" ht="15" hidden="false" customHeight="false" outlineLevel="0" collapsed="false">
      <c r="A568" s="0" t="s">
        <v>624</v>
      </c>
      <c r="B568" s="0" t="s">
        <v>134</v>
      </c>
      <c r="C568" s="0" t="s">
        <v>3447</v>
      </c>
      <c r="D568" s="0" t="s">
        <v>3457</v>
      </c>
      <c r="E568" s="0" t="s">
        <v>4963</v>
      </c>
      <c r="F568" s="0" t="s">
        <v>60</v>
      </c>
      <c r="G568" s="0" t="s">
        <v>4964</v>
      </c>
      <c r="H568" s="0" t="s">
        <v>5188</v>
      </c>
      <c r="I568" s="0" t="s">
        <v>4966</v>
      </c>
      <c r="J568" s="19" t="s">
        <v>26</v>
      </c>
    </row>
    <row r="569" customFormat="false" ht="15" hidden="false" customHeight="false" outlineLevel="0" collapsed="false">
      <c r="A569" s="0" t="s">
        <v>624</v>
      </c>
      <c r="B569" s="0" t="s">
        <v>134</v>
      </c>
      <c r="C569" s="0" t="s">
        <v>3447</v>
      </c>
      <c r="D569" s="0" t="s">
        <v>3448</v>
      </c>
      <c r="E569" s="0" t="s">
        <v>4963</v>
      </c>
      <c r="F569" s="0" t="s">
        <v>60</v>
      </c>
      <c r="G569" s="0" t="s">
        <v>4964</v>
      </c>
      <c r="H569" s="0" t="s">
        <v>5189</v>
      </c>
      <c r="I569" s="0" t="s">
        <v>4966</v>
      </c>
      <c r="J569" s="19" t="s">
        <v>26</v>
      </c>
    </row>
    <row r="570" customFormat="false" ht="15" hidden="false" customHeight="false" outlineLevel="0" collapsed="false">
      <c r="A570" s="0" t="s">
        <v>624</v>
      </c>
      <c r="B570" s="0" t="s">
        <v>134</v>
      </c>
      <c r="C570" s="0" t="s">
        <v>3450</v>
      </c>
      <c r="D570" s="0" t="s">
        <v>3457</v>
      </c>
      <c r="E570" s="0" t="s">
        <v>4969</v>
      </c>
      <c r="F570" s="0" t="s">
        <v>62</v>
      </c>
      <c r="G570" s="0" t="s">
        <v>5003</v>
      </c>
      <c r="H570" s="0" t="s">
        <v>5190</v>
      </c>
      <c r="I570" s="0" t="s">
        <v>5005</v>
      </c>
      <c r="J570" s="20" t="s">
        <v>25</v>
      </c>
    </row>
    <row r="571" customFormat="false" ht="15" hidden="false" customHeight="false" outlineLevel="0" collapsed="false">
      <c r="A571" s="0" t="s">
        <v>624</v>
      </c>
      <c r="B571" s="0" t="s">
        <v>134</v>
      </c>
      <c r="C571" s="0" t="s">
        <v>3447</v>
      </c>
      <c r="D571" s="0" t="s">
        <v>3448</v>
      </c>
      <c r="E571" s="0" t="s">
        <v>4963</v>
      </c>
      <c r="F571" s="0" t="s">
        <v>59</v>
      </c>
      <c r="G571" s="0" t="s">
        <v>4974</v>
      </c>
      <c r="H571" s="0" t="s">
        <v>70</v>
      </c>
      <c r="I571" s="0" t="s">
        <v>4975</v>
      </c>
      <c r="J571" s="20" t="s">
        <v>25</v>
      </c>
    </row>
    <row r="572" customFormat="false" ht="15" hidden="false" customHeight="false" outlineLevel="0" collapsed="false">
      <c r="A572" s="0" t="s">
        <v>637</v>
      </c>
      <c r="B572" s="0" t="s">
        <v>134</v>
      </c>
      <c r="C572" s="0" t="s">
        <v>3450</v>
      </c>
      <c r="D572" s="0" t="s">
        <v>3457</v>
      </c>
      <c r="E572" s="0" t="s">
        <v>4969</v>
      </c>
      <c r="F572" s="0" t="s">
        <v>64</v>
      </c>
      <c r="G572" s="0" t="s">
        <v>4220</v>
      </c>
      <c r="H572" s="0" t="s">
        <v>5191</v>
      </c>
      <c r="I572" s="0" t="s">
        <v>4991</v>
      </c>
      <c r="J572" s="20" t="s">
        <v>25</v>
      </c>
    </row>
    <row r="573" customFormat="false" ht="15" hidden="false" customHeight="false" outlineLevel="0" collapsed="false">
      <c r="A573" s="0" t="s">
        <v>637</v>
      </c>
      <c r="B573" s="0" t="s">
        <v>134</v>
      </c>
      <c r="C573" s="0" t="s">
        <v>3450</v>
      </c>
      <c r="D573" s="0" t="s">
        <v>3448</v>
      </c>
      <c r="E573" s="0" t="s">
        <v>4963</v>
      </c>
      <c r="F573" s="0" t="s">
        <v>59</v>
      </c>
      <c r="G573" s="0" t="s">
        <v>4974</v>
      </c>
      <c r="H573" s="0" t="s">
        <v>69</v>
      </c>
      <c r="I573" s="0" t="s">
        <v>4975</v>
      </c>
      <c r="J573" s="20" t="s">
        <v>25</v>
      </c>
    </row>
    <row r="574" customFormat="false" ht="15" hidden="false" customHeight="false" outlineLevel="0" collapsed="false">
      <c r="A574" s="0" t="s">
        <v>637</v>
      </c>
      <c r="B574" s="0" t="s">
        <v>134</v>
      </c>
      <c r="C574" s="0" t="s">
        <v>3447</v>
      </c>
      <c r="D574" s="0" t="s">
        <v>3457</v>
      </c>
      <c r="E574" s="0" t="s">
        <v>4969</v>
      </c>
      <c r="F574" s="0" t="s">
        <v>64</v>
      </c>
      <c r="G574" s="0" t="s">
        <v>4220</v>
      </c>
      <c r="H574" s="0" t="s">
        <v>5191</v>
      </c>
      <c r="I574" s="0" t="s">
        <v>4991</v>
      </c>
      <c r="J574" s="20" t="s">
        <v>25</v>
      </c>
    </row>
    <row r="575" customFormat="false" ht="15" hidden="false" customHeight="false" outlineLevel="0" collapsed="false">
      <c r="A575" s="0" t="s">
        <v>637</v>
      </c>
      <c r="B575" s="0" t="s">
        <v>3459</v>
      </c>
      <c r="C575" s="0" t="s">
        <v>3450</v>
      </c>
      <c r="D575" s="0" t="s">
        <v>3457</v>
      </c>
      <c r="E575" s="0" t="s">
        <v>4963</v>
      </c>
      <c r="F575" s="0" t="s">
        <v>59</v>
      </c>
      <c r="G575" s="0" t="s">
        <v>4974</v>
      </c>
      <c r="H575" s="0" t="s">
        <v>69</v>
      </c>
      <c r="I575" s="0" t="s">
        <v>4975</v>
      </c>
      <c r="J575" s="20" t="s">
        <v>25</v>
      </c>
    </row>
    <row r="576" customFormat="false" ht="15" hidden="false" customHeight="false" outlineLevel="0" collapsed="false">
      <c r="A576" s="0" t="s">
        <v>637</v>
      </c>
      <c r="B576" s="0" t="s">
        <v>3459</v>
      </c>
      <c r="C576" s="0" t="s">
        <v>3450</v>
      </c>
      <c r="D576" s="0" t="s">
        <v>3457</v>
      </c>
      <c r="E576" s="0" t="s">
        <v>4969</v>
      </c>
      <c r="F576" s="0" t="s">
        <v>61</v>
      </c>
      <c r="G576" s="0" t="s">
        <v>4970</v>
      </c>
      <c r="H576" s="0" t="s">
        <v>5192</v>
      </c>
      <c r="I576" s="0" t="s">
        <v>4972</v>
      </c>
      <c r="J576" s="20" t="s">
        <v>25</v>
      </c>
    </row>
    <row r="577" customFormat="false" ht="15" hidden="false" customHeight="false" outlineLevel="0" collapsed="false">
      <c r="A577" s="0" t="s">
        <v>637</v>
      </c>
      <c r="B577" s="0" t="s">
        <v>3459</v>
      </c>
      <c r="C577" s="0" t="s">
        <v>3450</v>
      </c>
      <c r="D577" s="0" t="s">
        <v>3448</v>
      </c>
      <c r="E577" s="0" t="s">
        <v>4963</v>
      </c>
      <c r="F577" s="0" t="s">
        <v>59</v>
      </c>
      <c r="G577" s="0" t="s">
        <v>4974</v>
      </c>
      <c r="H577" s="0" t="s">
        <v>69</v>
      </c>
      <c r="I577" s="0" t="s">
        <v>4975</v>
      </c>
      <c r="J577" s="20" t="s">
        <v>25</v>
      </c>
    </row>
    <row r="578" customFormat="false" ht="15" hidden="false" customHeight="false" outlineLevel="0" collapsed="false">
      <c r="A578" s="0" t="s">
        <v>637</v>
      </c>
      <c r="B578" s="0" t="s">
        <v>3459</v>
      </c>
      <c r="C578" s="0" t="s">
        <v>3450</v>
      </c>
      <c r="D578" s="0" t="s">
        <v>3448</v>
      </c>
      <c r="E578" s="0" t="s">
        <v>4969</v>
      </c>
      <c r="F578" s="0" t="s">
        <v>62</v>
      </c>
      <c r="G578" s="0" t="s">
        <v>5003</v>
      </c>
      <c r="H578" s="0" t="s">
        <v>5193</v>
      </c>
      <c r="I578" s="0" t="s">
        <v>5005</v>
      </c>
      <c r="J578" s="20" t="s">
        <v>25</v>
      </c>
    </row>
    <row r="579" customFormat="false" ht="15" hidden="false" customHeight="false" outlineLevel="0" collapsed="false">
      <c r="A579" s="0" t="s">
        <v>637</v>
      </c>
      <c r="B579" s="0" t="s">
        <v>3459</v>
      </c>
      <c r="C579" s="0" t="s">
        <v>3447</v>
      </c>
      <c r="D579" s="0" t="s">
        <v>3457</v>
      </c>
      <c r="E579" s="0" t="s">
        <v>4963</v>
      </c>
      <c r="F579" s="0" t="s">
        <v>59</v>
      </c>
      <c r="G579" s="0" t="s">
        <v>4974</v>
      </c>
      <c r="H579" s="0" t="s">
        <v>69</v>
      </c>
      <c r="I579" s="0" t="s">
        <v>4975</v>
      </c>
      <c r="J579" s="20" t="s">
        <v>25</v>
      </c>
    </row>
    <row r="580" customFormat="false" ht="15" hidden="false" customHeight="false" outlineLevel="0" collapsed="false">
      <c r="A580" s="0" t="s">
        <v>637</v>
      </c>
      <c r="B580" s="0" t="s">
        <v>3459</v>
      </c>
      <c r="C580" s="0" t="s">
        <v>3447</v>
      </c>
      <c r="D580" s="0" t="s">
        <v>3457</v>
      </c>
      <c r="E580" s="0" t="s">
        <v>4969</v>
      </c>
      <c r="F580" s="0" t="s">
        <v>61</v>
      </c>
      <c r="G580" s="0" t="s">
        <v>4970</v>
      </c>
      <c r="H580" s="0" t="s">
        <v>5194</v>
      </c>
      <c r="I580" s="0" t="s">
        <v>4972</v>
      </c>
      <c r="J580" s="20" t="s">
        <v>25</v>
      </c>
    </row>
    <row r="581" customFormat="false" ht="15" hidden="false" customHeight="false" outlineLevel="0" collapsed="false">
      <c r="A581" s="0" t="s">
        <v>637</v>
      </c>
      <c r="B581" s="0" t="s">
        <v>134</v>
      </c>
      <c r="C581" s="0" t="s">
        <v>3450</v>
      </c>
      <c r="D581" s="0" t="s">
        <v>3448</v>
      </c>
      <c r="E581" s="0" t="s">
        <v>4963</v>
      </c>
      <c r="F581" s="0" t="s">
        <v>30</v>
      </c>
      <c r="G581" s="0" t="s">
        <v>4980</v>
      </c>
      <c r="H581" s="0" t="s">
        <v>4265</v>
      </c>
      <c r="I581" s="0" t="s">
        <v>4981</v>
      </c>
      <c r="J581" s="18" t="s">
        <v>24</v>
      </c>
    </row>
    <row r="582" customFormat="false" ht="15" hidden="false" customHeight="false" outlineLevel="0" collapsed="false">
      <c r="A582" s="0" t="s">
        <v>637</v>
      </c>
      <c r="B582" s="0" t="s">
        <v>134</v>
      </c>
      <c r="C582" s="0" t="s">
        <v>3447</v>
      </c>
      <c r="D582" s="0" t="s">
        <v>3457</v>
      </c>
      <c r="E582" s="0" t="s">
        <v>4963</v>
      </c>
      <c r="F582" s="0" t="s">
        <v>30</v>
      </c>
      <c r="G582" s="0" t="s">
        <v>4980</v>
      </c>
      <c r="H582" s="0" t="s">
        <v>4250</v>
      </c>
      <c r="I582" s="0" t="s">
        <v>4981</v>
      </c>
      <c r="J582" s="18" t="s">
        <v>24</v>
      </c>
    </row>
    <row r="583" customFormat="false" ht="15" hidden="false" customHeight="false" outlineLevel="0" collapsed="false">
      <c r="A583" s="0" t="s">
        <v>637</v>
      </c>
      <c r="B583" s="0" t="s">
        <v>134</v>
      </c>
      <c r="C583" s="0" t="s">
        <v>3447</v>
      </c>
      <c r="D583" s="0" t="s">
        <v>3448</v>
      </c>
      <c r="E583" s="0" t="s">
        <v>4963</v>
      </c>
      <c r="F583" s="0" t="s">
        <v>30</v>
      </c>
      <c r="G583" s="0" t="s">
        <v>4980</v>
      </c>
      <c r="H583" s="0" t="s">
        <v>4387</v>
      </c>
      <c r="I583" s="0" t="s">
        <v>4981</v>
      </c>
      <c r="J583" s="18" t="s">
        <v>24</v>
      </c>
    </row>
    <row r="584" customFormat="false" ht="15" hidden="false" customHeight="false" outlineLevel="0" collapsed="false">
      <c r="A584" s="0" t="s">
        <v>637</v>
      </c>
      <c r="B584" s="0" t="s">
        <v>3459</v>
      </c>
      <c r="C584" s="0" t="s">
        <v>3450</v>
      </c>
      <c r="D584" s="0" t="s">
        <v>3457</v>
      </c>
      <c r="E584" s="0" t="s">
        <v>4963</v>
      </c>
      <c r="F584" s="0" t="s">
        <v>30</v>
      </c>
      <c r="G584" s="0" t="s">
        <v>4980</v>
      </c>
      <c r="H584" s="0" t="s">
        <v>4265</v>
      </c>
      <c r="I584" s="0" t="s">
        <v>4981</v>
      </c>
      <c r="J584" s="18" t="s">
        <v>24</v>
      </c>
    </row>
    <row r="585" customFormat="false" ht="15" hidden="false" customHeight="false" outlineLevel="0" collapsed="false">
      <c r="A585" s="0" t="s">
        <v>637</v>
      </c>
      <c r="B585" s="0" t="s">
        <v>3459</v>
      </c>
      <c r="C585" s="0" t="s">
        <v>3450</v>
      </c>
      <c r="D585" s="0" t="s">
        <v>3448</v>
      </c>
      <c r="E585" s="0" t="s">
        <v>4963</v>
      </c>
      <c r="F585" s="0" t="s">
        <v>30</v>
      </c>
      <c r="G585" s="0" t="s">
        <v>4980</v>
      </c>
      <c r="H585" s="0" t="s">
        <v>4265</v>
      </c>
      <c r="I585" s="0" t="s">
        <v>4981</v>
      </c>
      <c r="J585" s="18" t="s">
        <v>24</v>
      </c>
    </row>
    <row r="586" customFormat="false" ht="15" hidden="false" customHeight="false" outlineLevel="0" collapsed="false">
      <c r="A586" s="0" t="s">
        <v>637</v>
      </c>
      <c r="B586" s="0" t="s">
        <v>3459</v>
      </c>
      <c r="C586" s="0" t="s">
        <v>3447</v>
      </c>
      <c r="D586" s="0" t="s">
        <v>3457</v>
      </c>
      <c r="E586" s="0" t="s">
        <v>4963</v>
      </c>
      <c r="F586" s="0" t="s">
        <v>30</v>
      </c>
      <c r="G586" s="0" t="s">
        <v>4980</v>
      </c>
      <c r="H586" s="0" t="s">
        <v>4275</v>
      </c>
      <c r="I586" s="0" t="s">
        <v>4981</v>
      </c>
      <c r="J586" s="18" t="s">
        <v>24</v>
      </c>
    </row>
    <row r="587" customFormat="false" ht="15" hidden="false" customHeight="false" outlineLevel="0" collapsed="false">
      <c r="A587" s="0" t="s">
        <v>637</v>
      </c>
      <c r="B587" s="0" t="s">
        <v>3459</v>
      </c>
      <c r="C587" s="0" t="s">
        <v>3447</v>
      </c>
      <c r="D587" s="0" t="s">
        <v>3448</v>
      </c>
      <c r="E587" s="0" t="s">
        <v>4963</v>
      </c>
      <c r="F587" s="0" t="s">
        <v>30</v>
      </c>
      <c r="G587" s="0" t="s">
        <v>4980</v>
      </c>
      <c r="H587" s="0" t="s">
        <v>4343</v>
      </c>
      <c r="I587" s="0" t="s">
        <v>4981</v>
      </c>
      <c r="J587" s="18" t="s">
        <v>24</v>
      </c>
    </row>
    <row r="588" customFormat="false" ht="15" hidden="false" customHeight="false" outlineLevel="0" collapsed="false">
      <c r="A588" s="0" t="s">
        <v>643</v>
      </c>
      <c r="B588" s="0" t="s">
        <v>134</v>
      </c>
      <c r="C588" s="0" t="s">
        <v>3450</v>
      </c>
      <c r="D588" s="0" t="s">
        <v>3457</v>
      </c>
      <c r="E588" s="0" t="s">
        <v>4963</v>
      </c>
      <c r="F588" s="0" t="s">
        <v>60</v>
      </c>
      <c r="G588" s="0" t="s">
        <v>4964</v>
      </c>
      <c r="H588" s="0" t="s">
        <v>5195</v>
      </c>
      <c r="I588" s="0" t="s">
        <v>4966</v>
      </c>
      <c r="J588" s="19" t="s">
        <v>26</v>
      </c>
    </row>
    <row r="589" customFormat="false" ht="15" hidden="false" customHeight="false" outlineLevel="0" collapsed="false">
      <c r="A589" s="0" t="s">
        <v>643</v>
      </c>
      <c r="B589" s="0" t="s">
        <v>134</v>
      </c>
      <c r="C589" s="0" t="s">
        <v>3450</v>
      </c>
      <c r="D589" s="0" t="s">
        <v>3457</v>
      </c>
      <c r="E589" s="0" t="s">
        <v>4963</v>
      </c>
      <c r="F589" s="0" t="s">
        <v>59</v>
      </c>
      <c r="G589" s="0" t="s">
        <v>4974</v>
      </c>
      <c r="H589" s="0" t="s">
        <v>69</v>
      </c>
      <c r="I589" s="0" t="s">
        <v>4975</v>
      </c>
      <c r="J589" s="20" t="s">
        <v>25</v>
      </c>
    </row>
    <row r="590" customFormat="false" ht="15" hidden="false" customHeight="false" outlineLevel="0" collapsed="false">
      <c r="A590" s="0" t="s">
        <v>643</v>
      </c>
      <c r="B590" s="0" t="s">
        <v>134</v>
      </c>
      <c r="C590" s="0" t="s">
        <v>3450</v>
      </c>
      <c r="D590" s="0" t="s">
        <v>3457</v>
      </c>
      <c r="E590" s="0" t="s">
        <v>4969</v>
      </c>
      <c r="F590" s="0" t="s">
        <v>63</v>
      </c>
      <c r="G590" s="0" t="s">
        <v>4220</v>
      </c>
      <c r="H590" s="0" t="s">
        <v>5196</v>
      </c>
      <c r="I590" s="0" t="s">
        <v>4979</v>
      </c>
      <c r="J590" s="20" t="s">
        <v>25</v>
      </c>
    </row>
    <row r="591" customFormat="false" ht="15" hidden="false" customHeight="false" outlineLevel="0" collapsed="false">
      <c r="A591" s="0" t="s">
        <v>643</v>
      </c>
      <c r="B591" s="0" t="s">
        <v>134</v>
      </c>
      <c r="C591" s="0" t="s">
        <v>3450</v>
      </c>
      <c r="D591" s="0" t="s">
        <v>3448</v>
      </c>
      <c r="E591" s="0" t="s">
        <v>4963</v>
      </c>
      <c r="F591" s="0" t="s">
        <v>59</v>
      </c>
      <c r="G591" s="0" t="s">
        <v>4974</v>
      </c>
      <c r="H591" s="0" t="s">
        <v>69</v>
      </c>
      <c r="I591" s="0" t="s">
        <v>4975</v>
      </c>
      <c r="J591" s="20" t="s">
        <v>25</v>
      </c>
    </row>
    <row r="592" customFormat="false" ht="15" hidden="false" customHeight="false" outlineLevel="0" collapsed="false">
      <c r="A592" s="0" t="s">
        <v>643</v>
      </c>
      <c r="B592" s="0" t="s">
        <v>134</v>
      </c>
      <c r="C592" s="0" t="s">
        <v>3450</v>
      </c>
      <c r="D592" s="0" t="s">
        <v>3448</v>
      </c>
      <c r="E592" s="0" t="s">
        <v>4969</v>
      </c>
      <c r="F592" s="0" t="s">
        <v>62</v>
      </c>
      <c r="G592" s="0" t="s">
        <v>5003</v>
      </c>
      <c r="H592" s="0" t="s">
        <v>5197</v>
      </c>
      <c r="I592" s="0" t="s">
        <v>5005</v>
      </c>
      <c r="J592" s="20" t="s">
        <v>25</v>
      </c>
    </row>
    <row r="593" customFormat="false" ht="15" hidden="false" customHeight="false" outlineLevel="0" collapsed="false">
      <c r="A593" s="0" t="s">
        <v>643</v>
      </c>
      <c r="B593" s="0" t="s">
        <v>134</v>
      </c>
      <c r="C593" s="0" t="s">
        <v>3450</v>
      </c>
      <c r="D593" s="0" t="s">
        <v>3448</v>
      </c>
      <c r="E593" s="0" t="s">
        <v>4969</v>
      </c>
      <c r="F593" s="0" t="s">
        <v>63</v>
      </c>
      <c r="G593" s="0" t="s">
        <v>4220</v>
      </c>
      <c r="H593" s="0" t="s">
        <v>5198</v>
      </c>
      <c r="I593" s="0" t="s">
        <v>4979</v>
      </c>
      <c r="J593" s="20" t="s">
        <v>25</v>
      </c>
    </row>
    <row r="594" customFormat="false" ht="15" hidden="false" customHeight="false" outlineLevel="0" collapsed="false">
      <c r="A594" s="0" t="s">
        <v>643</v>
      </c>
      <c r="B594" s="0" t="s">
        <v>134</v>
      </c>
      <c r="C594" s="0" t="s">
        <v>3447</v>
      </c>
      <c r="D594" s="0" t="s">
        <v>3457</v>
      </c>
      <c r="E594" s="0" t="s">
        <v>4969</v>
      </c>
      <c r="F594" s="0" t="s">
        <v>63</v>
      </c>
      <c r="G594" s="0" t="s">
        <v>4220</v>
      </c>
      <c r="H594" s="0" t="s">
        <v>5196</v>
      </c>
      <c r="I594" s="0" t="s">
        <v>4979</v>
      </c>
      <c r="J594" s="20" t="s">
        <v>25</v>
      </c>
    </row>
    <row r="595" customFormat="false" ht="15" hidden="false" customHeight="false" outlineLevel="0" collapsed="false">
      <c r="A595" s="0" t="s">
        <v>643</v>
      </c>
      <c r="B595" s="0" t="s">
        <v>134</v>
      </c>
      <c r="C595" s="0" t="s">
        <v>3447</v>
      </c>
      <c r="D595" s="0" t="s">
        <v>3448</v>
      </c>
      <c r="E595" s="0" t="s">
        <v>4969</v>
      </c>
      <c r="F595" s="0" t="s">
        <v>63</v>
      </c>
      <c r="G595" s="0" t="s">
        <v>4220</v>
      </c>
      <c r="H595" s="0" t="s">
        <v>5198</v>
      </c>
      <c r="I595" s="0" t="s">
        <v>4979</v>
      </c>
      <c r="J595" s="20" t="s">
        <v>25</v>
      </c>
    </row>
    <row r="596" customFormat="false" ht="15" hidden="false" customHeight="false" outlineLevel="0" collapsed="false">
      <c r="A596" s="0" t="s">
        <v>643</v>
      </c>
      <c r="B596" s="0" t="s">
        <v>134</v>
      </c>
      <c r="C596" s="0" t="s">
        <v>3450</v>
      </c>
      <c r="D596" s="0" t="s">
        <v>3448</v>
      </c>
      <c r="E596" s="0" t="s">
        <v>4963</v>
      </c>
      <c r="F596" s="0" t="s">
        <v>30</v>
      </c>
      <c r="G596" s="0" t="s">
        <v>4980</v>
      </c>
      <c r="H596" s="0" t="s">
        <v>4275</v>
      </c>
      <c r="I596" s="0" t="s">
        <v>4981</v>
      </c>
      <c r="J596" s="18" t="s">
        <v>24</v>
      </c>
    </row>
    <row r="597" customFormat="false" ht="15" hidden="false" customHeight="false" outlineLevel="0" collapsed="false">
      <c r="A597" s="0" t="s">
        <v>643</v>
      </c>
      <c r="B597" s="0" t="s">
        <v>134</v>
      </c>
      <c r="C597" s="0" t="s">
        <v>3447</v>
      </c>
      <c r="D597" s="0" t="s">
        <v>3448</v>
      </c>
      <c r="E597" s="0" t="s">
        <v>4963</v>
      </c>
      <c r="F597" s="0" t="s">
        <v>30</v>
      </c>
      <c r="G597" s="0" t="s">
        <v>4980</v>
      </c>
      <c r="H597" s="0" t="s">
        <v>4368</v>
      </c>
      <c r="I597" s="0" t="s">
        <v>4981</v>
      </c>
      <c r="J597" s="18" t="s">
        <v>24</v>
      </c>
    </row>
    <row r="598" customFormat="false" ht="15" hidden="false" customHeight="false" outlineLevel="0" collapsed="false">
      <c r="A598" s="0" t="s">
        <v>650</v>
      </c>
      <c r="B598" s="0" t="s">
        <v>134</v>
      </c>
      <c r="C598" s="0" t="s">
        <v>3450</v>
      </c>
      <c r="D598" s="0" t="s">
        <v>3457</v>
      </c>
      <c r="E598" s="0" t="s">
        <v>4963</v>
      </c>
      <c r="F598" s="0" t="s">
        <v>59</v>
      </c>
      <c r="G598" s="0" t="s">
        <v>4974</v>
      </c>
      <c r="H598" s="0" t="s">
        <v>69</v>
      </c>
      <c r="I598" s="0" t="s">
        <v>4975</v>
      </c>
      <c r="J598" s="20" t="s">
        <v>25</v>
      </c>
    </row>
    <row r="599" customFormat="false" ht="15" hidden="false" customHeight="false" outlineLevel="0" collapsed="false">
      <c r="A599" s="0" t="s">
        <v>650</v>
      </c>
      <c r="B599" s="0" t="s">
        <v>134</v>
      </c>
      <c r="C599" s="0" t="s">
        <v>3450</v>
      </c>
      <c r="D599" s="0" t="s">
        <v>3448</v>
      </c>
      <c r="E599" s="0" t="s">
        <v>4963</v>
      </c>
      <c r="F599" s="0" t="s">
        <v>59</v>
      </c>
      <c r="G599" s="0" t="s">
        <v>4974</v>
      </c>
      <c r="H599" s="0" t="s">
        <v>69</v>
      </c>
      <c r="I599" s="0" t="s">
        <v>4975</v>
      </c>
      <c r="J599" s="20" t="s">
        <v>25</v>
      </c>
    </row>
    <row r="600" customFormat="false" ht="15" hidden="false" customHeight="false" outlineLevel="0" collapsed="false">
      <c r="A600" s="0" t="s">
        <v>650</v>
      </c>
      <c r="B600" s="0" t="s">
        <v>134</v>
      </c>
      <c r="C600" s="0" t="s">
        <v>3447</v>
      </c>
      <c r="D600" s="0" t="s">
        <v>3457</v>
      </c>
      <c r="E600" s="0" t="s">
        <v>4963</v>
      </c>
      <c r="F600" s="0" t="s">
        <v>59</v>
      </c>
      <c r="G600" s="0" t="s">
        <v>4974</v>
      </c>
      <c r="H600" s="0" t="s">
        <v>69</v>
      </c>
      <c r="I600" s="0" t="s">
        <v>4975</v>
      </c>
      <c r="J600" s="20" t="s">
        <v>25</v>
      </c>
    </row>
    <row r="601" customFormat="false" ht="15" hidden="false" customHeight="false" outlineLevel="0" collapsed="false">
      <c r="A601" s="0" t="s">
        <v>650</v>
      </c>
      <c r="B601" s="0" t="s">
        <v>134</v>
      </c>
      <c r="C601" s="0" t="s">
        <v>3450</v>
      </c>
      <c r="D601" s="0" t="s">
        <v>3457</v>
      </c>
      <c r="E601" s="0" t="s">
        <v>4963</v>
      </c>
      <c r="F601" s="0" t="s">
        <v>30</v>
      </c>
      <c r="G601" s="0" t="s">
        <v>4980</v>
      </c>
      <c r="H601" s="0" t="s">
        <v>4275</v>
      </c>
      <c r="I601" s="0" t="s">
        <v>4981</v>
      </c>
      <c r="J601" s="18" t="s">
        <v>24</v>
      </c>
    </row>
    <row r="602" customFormat="false" ht="15" hidden="false" customHeight="false" outlineLevel="0" collapsed="false">
      <c r="A602" s="0" t="s">
        <v>650</v>
      </c>
      <c r="B602" s="0" t="s">
        <v>134</v>
      </c>
      <c r="C602" s="0" t="s">
        <v>3450</v>
      </c>
      <c r="D602" s="0" t="s">
        <v>3448</v>
      </c>
      <c r="E602" s="0" t="s">
        <v>4963</v>
      </c>
      <c r="F602" s="0" t="s">
        <v>30</v>
      </c>
      <c r="G602" s="0" t="s">
        <v>4980</v>
      </c>
      <c r="H602" s="0" t="s">
        <v>4275</v>
      </c>
      <c r="I602" s="0" t="s">
        <v>4981</v>
      </c>
      <c r="J602" s="18" t="s">
        <v>24</v>
      </c>
    </row>
    <row r="603" customFormat="false" ht="15" hidden="false" customHeight="false" outlineLevel="0" collapsed="false">
      <c r="A603" s="0" t="s">
        <v>650</v>
      </c>
      <c r="B603" s="0" t="s">
        <v>134</v>
      </c>
      <c r="C603" s="0" t="s">
        <v>3447</v>
      </c>
      <c r="D603" s="0" t="s">
        <v>3457</v>
      </c>
      <c r="E603" s="0" t="s">
        <v>4963</v>
      </c>
      <c r="F603" s="0" t="s">
        <v>30</v>
      </c>
      <c r="G603" s="0" t="s">
        <v>4980</v>
      </c>
      <c r="H603" s="0" t="s">
        <v>4275</v>
      </c>
      <c r="I603" s="0" t="s">
        <v>4981</v>
      </c>
      <c r="J603" s="18" t="s">
        <v>24</v>
      </c>
    </row>
    <row r="604" customFormat="false" ht="15" hidden="false" customHeight="false" outlineLevel="0" collapsed="false">
      <c r="A604" s="0" t="s">
        <v>656</v>
      </c>
      <c r="B604" s="0" t="s">
        <v>134</v>
      </c>
      <c r="C604" s="0" t="s">
        <v>3450</v>
      </c>
      <c r="D604" s="0" t="s">
        <v>3457</v>
      </c>
      <c r="E604" s="0" t="s">
        <v>4963</v>
      </c>
      <c r="F604" s="0" t="s">
        <v>59</v>
      </c>
      <c r="G604" s="0" t="s">
        <v>4974</v>
      </c>
      <c r="H604" s="0" t="s">
        <v>69</v>
      </c>
      <c r="I604" s="0" t="s">
        <v>4975</v>
      </c>
      <c r="J604" s="20" t="s">
        <v>25</v>
      </c>
    </row>
    <row r="605" customFormat="false" ht="15" hidden="false" customHeight="false" outlineLevel="0" collapsed="false">
      <c r="A605" s="0" t="s">
        <v>656</v>
      </c>
      <c r="B605" s="0" t="s">
        <v>134</v>
      </c>
      <c r="C605" s="0" t="s">
        <v>3450</v>
      </c>
      <c r="D605" s="0" t="s">
        <v>3448</v>
      </c>
      <c r="E605" s="0" t="s">
        <v>5199</v>
      </c>
      <c r="F605" s="0" t="s">
        <v>67</v>
      </c>
      <c r="G605" s="0" t="s">
        <v>100</v>
      </c>
      <c r="H605" s="0" t="s">
        <v>5200</v>
      </c>
      <c r="I605" s="0" t="s">
        <v>5201</v>
      </c>
      <c r="J605" s="20" t="s">
        <v>25</v>
      </c>
    </row>
    <row r="606" customFormat="false" ht="15" hidden="false" customHeight="false" outlineLevel="0" collapsed="false">
      <c r="A606" s="0" t="s">
        <v>656</v>
      </c>
      <c r="B606" s="0" t="s">
        <v>134</v>
      </c>
      <c r="C606" s="0" t="s">
        <v>3450</v>
      </c>
      <c r="D606" s="0" t="s">
        <v>3448</v>
      </c>
      <c r="E606" s="0" t="s">
        <v>4963</v>
      </c>
      <c r="F606" s="0" t="s">
        <v>59</v>
      </c>
      <c r="G606" s="0" t="s">
        <v>4974</v>
      </c>
      <c r="H606" s="0" t="s">
        <v>69</v>
      </c>
      <c r="I606" s="0" t="s">
        <v>4975</v>
      </c>
      <c r="J606" s="20" t="s">
        <v>25</v>
      </c>
    </row>
    <row r="607" customFormat="false" ht="15" hidden="false" customHeight="false" outlineLevel="0" collapsed="false">
      <c r="A607" s="0" t="s">
        <v>656</v>
      </c>
      <c r="B607" s="0" t="s">
        <v>134</v>
      </c>
      <c r="C607" s="0" t="s">
        <v>3450</v>
      </c>
      <c r="D607" s="0" t="s">
        <v>3448</v>
      </c>
      <c r="E607" s="0" t="s">
        <v>4969</v>
      </c>
      <c r="F607" s="0" t="s">
        <v>64</v>
      </c>
      <c r="G607" s="0" t="s">
        <v>4220</v>
      </c>
      <c r="H607" s="0" t="s">
        <v>5202</v>
      </c>
      <c r="I607" s="0" t="s">
        <v>4991</v>
      </c>
      <c r="J607" s="20" t="s">
        <v>25</v>
      </c>
    </row>
    <row r="608" customFormat="false" ht="15" hidden="false" customHeight="false" outlineLevel="0" collapsed="false">
      <c r="A608" s="0" t="s">
        <v>656</v>
      </c>
      <c r="B608" s="0" t="s">
        <v>134</v>
      </c>
      <c r="C608" s="0" t="s">
        <v>3447</v>
      </c>
      <c r="D608" s="0" t="s">
        <v>3448</v>
      </c>
      <c r="E608" s="0" t="s">
        <v>4969</v>
      </c>
      <c r="F608" s="0" t="s">
        <v>64</v>
      </c>
      <c r="G608" s="0" t="s">
        <v>4220</v>
      </c>
      <c r="H608" s="0" t="s">
        <v>5202</v>
      </c>
      <c r="I608" s="0" t="s">
        <v>4991</v>
      </c>
      <c r="J608" s="20" t="s">
        <v>25</v>
      </c>
    </row>
    <row r="609" customFormat="false" ht="15" hidden="false" customHeight="false" outlineLevel="0" collapsed="false">
      <c r="A609" s="0" t="s">
        <v>656</v>
      </c>
      <c r="B609" s="0" t="s">
        <v>134</v>
      </c>
      <c r="C609" s="0" t="s">
        <v>3450</v>
      </c>
      <c r="D609" s="0" t="s">
        <v>3457</v>
      </c>
      <c r="E609" s="0" t="s">
        <v>4963</v>
      </c>
      <c r="F609" s="0" t="s">
        <v>30</v>
      </c>
      <c r="G609" s="0" t="s">
        <v>4980</v>
      </c>
      <c r="H609" s="0" t="s">
        <v>4242</v>
      </c>
      <c r="I609" s="0" t="s">
        <v>4981</v>
      </c>
      <c r="J609" s="18" t="s">
        <v>24</v>
      </c>
    </row>
    <row r="610" customFormat="false" ht="15" hidden="false" customHeight="false" outlineLevel="0" collapsed="false">
      <c r="A610" s="0" t="s">
        <v>656</v>
      </c>
      <c r="B610" s="0" t="s">
        <v>134</v>
      </c>
      <c r="C610" s="0" t="s">
        <v>3450</v>
      </c>
      <c r="D610" s="0" t="s">
        <v>3448</v>
      </c>
      <c r="E610" s="0" t="s">
        <v>4963</v>
      </c>
      <c r="F610" s="0" t="s">
        <v>30</v>
      </c>
      <c r="G610" s="0" t="s">
        <v>4980</v>
      </c>
      <c r="H610" s="0" t="s">
        <v>4389</v>
      </c>
      <c r="I610" s="0" t="s">
        <v>4981</v>
      </c>
      <c r="J610" s="18" t="s">
        <v>24</v>
      </c>
    </row>
    <row r="611" customFormat="false" ht="15" hidden="false" customHeight="false" outlineLevel="0" collapsed="false">
      <c r="A611" s="0" t="s">
        <v>656</v>
      </c>
      <c r="B611" s="0" t="s">
        <v>134</v>
      </c>
      <c r="C611" s="0" t="s">
        <v>3447</v>
      </c>
      <c r="D611" s="0" t="s">
        <v>3457</v>
      </c>
      <c r="E611" s="0" t="s">
        <v>4963</v>
      </c>
      <c r="F611" s="0" t="s">
        <v>30</v>
      </c>
      <c r="G611" s="0" t="s">
        <v>4980</v>
      </c>
      <c r="H611" s="0" t="s">
        <v>4390</v>
      </c>
      <c r="I611" s="0" t="s">
        <v>4981</v>
      </c>
      <c r="J611" s="18" t="s">
        <v>24</v>
      </c>
    </row>
    <row r="612" customFormat="false" ht="15" hidden="false" customHeight="false" outlineLevel="0" collapsed="false">
      <c r="A612" s="0" t="s">
        <v>656</v>
      </c>
      <c r="B612" s="0" t="s">
        <v>134</v>
      </c>
      <c r="C612" s="0" t="s">
        <v>3447</v>
      </c>
      <c r="D612" s="0" t="s">
        <v>3448</v>
      </c>
      <c r="E612" s="0" t="s">
        <v>4963</v>
      </c>
      <c r="F612" s="0" t="s">
        <v>30</v>
      </c>
      <c r="G612" s="0" t="s">
        <v>4980</v>
      </c>
      <c r="H612" s="0" t="s">
        <v>4251</v>
      </c>
      <c r="I612" s="0" t="s">
        <v>4981</v>
      </c>
      <c r="J612" s="18" t="s">
        <v>24</v>
      </c>
    </row>
    <row r="613" customFormat="false" ht="15" hidden="false" customHeight="false" outlineLevel="0" collapsed="false">
      <c r="A613" s="0" t="s">
        <v>663</v>
      </c>
      <c r="B613" s="0" t="s">
        <v>134</v>
      </c>
      <c r="C613" s="0" t="s">
        <v>3447</v>
      </c>
      <c r="D613" s="0" t="s">
        <v>3457</v>
      </c>
      <c r="E613" s="0" t="s">
        <v>4963</v>
      </c>
      <c r="F613" s="0" t="s">
        <v>59</v>
      </c>
      <c r="G613" s="0" t="s">
        <v>4974</v>
      </c>
      <c r="H613" s="0" t="s">
        <v>69</v>
      </c>
      <c r="I613" s="0" t="s">
        <v>4975</v>
      </c>
      <c r="J613" s="20" t="s">
        <v>25</v>
      </c>
    </row>
    <row r="614" customFormat="false" ht="15" hidden="false" customHeight="false" outlineLevel="0" collapsed="false">
      <c r="A614" s="0" t="s">
        <v>663</v>
      </c>
      <c r="B614" s="0" t="s">
        <v>134</v>
      </c>
      <c r="C614" s="0" t="s">
        <v>3447</v>
      </c>
      <c r="D614" s="0" t="s">
        <v>3448</v>
      </c>
      <c r="E614" s="0" t="s">
        <v>4963</v>
      </c>
      <c r="F614" s="0" t="s">
        <v>59</v>
      </c>
      <c r="G614" s="0" t="s">
        <v>4974</v>
      </c>
      <c r="H614" s="0" t="s">
        <v>69</v>
      </c>
      <c r="I614" s="0" t="s">
        <v>4975</v>
      </c>
      <c r="J614" s="20" t="s">
        <v>25</v>
      </c>
    </row>
    <row r="615" customFormat="false" ht="15" hidden="false" customHeight="false" outlineLevel="0" collapsed="false">
      <c r="A615" s="0" t="s">
        <v>663</v>
      </c>
      <c r="B615" s="0" t="s">
        <v>134</v>
      </c>
      <c r="C615" s="0" t="s">
        <v>3450</v>
      </c>
      <c r="D615" s="0" t="s">
        <v>3448</v>
      </c>
      <c r="E615" s="0" t="s">
        <v>4963</v>
      </c>
      <c r="F615" s="0" t="s">
        <v>30</v>
      </c>
      <c r="G615" s="0" t="s">
        <v>4980</v>
      </c>
      <c r="H615" s="0" t="s">
        <v>4228</v>
      </c>
      <c r="I615" s="0" t="s">
        <v>4981</v>
      </c>
      <c r="J615" s="18" t="s">
        <v>24</v>
      </c>
    </row>
    <row r="616" customFormat="false" ht="15" hidden="false" customHeight="false" outlineLevel="0" collapsed="false">
      <c r="A616" s="0" t="s">
        <v>663</v>
      </c>
      <c r="B616" s="0" t="s">
        <v>134</v>
      </c>
      <c r="C616" s="0" t="s">
        <v>3447</v>
      </c>
      <c r="D616" s="0" t="s">
        <v>3457</v>
      </c>
      <c r="E616" s="0" t="s">
        <v>4963</v>
      </c>
      <c r="F616" s="0" t="s">
        <v>30</v>
      </c>
      <c r="G616" s="0" t="s">
        <v>4980</v>
      </c>
      <c r="H616" s="0" t="s">
        <v>4275</v>
      </c>
      <c r="I616" s="0" t="s">
        <v>4981</v>
      </c>
      <c r="J616" s="18" t="s">
        <v>24</v>
      </c>
    </row>
    <row r="617" customFormat="false" ht="15" hidden="false" customHeight="false" outlineLevel="0" collapsed="false">
      <c r="A617" s="0" t="s">
        <v>663</v>
      </c>
      <c r="B617" s="0" t="s">
        <v>134</v>
      </c>
      <c r="C617" s="0" t="s">
        <v>3447</v>
      </c>
      <c r="D617" s="0" t="s">
        <v>3448</v>
      </c>
      <c r="E617" s="0" t="s">
        <v>4963</v>
      </c>
      <c r="F617" s="0" t="s">
        <v>30</v>
      </c>
      <c r="G617" s="0" t="s">
        <v>4980</v>
      </c>
      <c r="H617" s="0" t="s">
        <v>4238</v>
      </c>
      <c r="I617" s="0" t="s">
        <v>4981</v>
      </c>
      <c r="J617" s="18" t="s">
        <v>24</v>
      </c>
    </row>
    <row r="618" customFormat="false" ht="15" hidden="false" customHeight="false" outlineLevel="0" collapsed="false">
      <c r="A618" s="0" t="s">
        <v>669</v>
      </c>
      <c r="B618" s="0" t="s">
        <v>3459</v>
      </c>
      <c r="C618" s="0" t="s">
        <v>3447</v>
      </c>
      <c r="D618" s="0" t="s">
        <v>3457</v>
      </c>
      <c r="E618" s="0" t="s">
        <v>4963</v>
      </c>
      <c r="F618" s="0" t="s">
        <v>60</v>
      </c>
      <c r="G618" s="0" t="s">
        <v>4964</v>
      </c>
      <c r="H618" s="0" t="s">
        <v>5203</v>
      </c>
      <c r="I618" s="0" t="s">
        <v>4966</v>
      </c>
      <c r="J618" s="19" t="s">
        <v>26</v>
      </c>
    </row>
    <row r="619" customFormat="false" ht="15" hidden="false" customHeight="false" outlineLevel="0" collapsed="false">
      <c r="A619" s="0" t="s">
        <v>669</v>
      </c>
      <c r="B619" s="0" t="s">
        <v>3459</v>
      </c>
      <c r="C619" s="0" t="s">
        <v>3447</v>
      </c>
      <c r="D619" s="0" t="s">
        <v>3448</v>
      </c>
      <c r="E619" s="0" t="s">
        <v>4963</v>
      </c>
      <c r="F619" s="0" t="s">
        <v>60</v>
      </c>
      <c r="G619" s="0" t="s">
        <v>4964</v>
      </c>
      <c r="H619" s="0" t="s">
        <v>5204</v>
      </c>
      <c r="I619" s="0" t="s">
        <v>4966</v>
      </c>
      <c r="J619" s="19" t="s">
        <v>26</v>
      </c>
    </row>
    <row r="620" customFormat="false" ht="15" hidden="false" customHeight="false" outlineLevel="0" collapsed="false">
      <c r="A620" s="0" t="s">
        <v>669</v>
      </c>
      <c r="B620" s="0" t="s">
        <v>3459</v>
      </c>
      <c r="C620" s="0" t="s">
        <v>3450</v>
      </c>
      <c r="D620" s="0" t="s">
        <v>3457</v>
      </c>
      <c r="E620" s="0" t="s">
        <v>4963</v>
      </c>
      <c r="F620" s="0" t="s">
        <v>59</v>
      </c>
      <c r="G620" s="0" t="s">
        <v>4974</v>
      </c>
      <c r="H620" s="0" t="s">
        <v>69</v>
      </c>
      <c r="I620" s="0" t="s">
        <v>4975</v>
      </c>
      <c r="J620" s="20" t="s">
        <v>25</v>
      </c>
    </row>
    <row r="621" customFormat="false" ht="15" hidden="false" customHeight="false" outlineLevel="0" collapsed="false">
      <c r="A621" s="0" t="s">
        <v>669</v>
      </c>
      <c r="B621" s="0" t="s">
        <v>3459</v>
      </c>
      <c r="C621" s="0" t="s">
        <v>3450</v>
      </c>
      <c r="D621" s="0" t="s">
        <v>3448</v>
      </c>
      <c r="E621" s="0" t="s">
        <v>4969</v>
      </c>
      <c r="F621" s="0" t="s">
        <v>63</v>
      </c>
      <c r="G621" s="0" t="s">
        <v>4220</v>
      </c>
      <c r="H621" s="0" t="s">
        <v>5205</v>
      </c>
      <c r="I621" s="0" t="s">
        <v>4979</v>
      </c>
      <c r="J621" s="20" t="s">
        <v>25</v>
      </c>
    </row>
    <row r="622" customFormat="false" ht="15" hidden="false" customHeight="false" outlineLevel="0" collapsed="false">
      <c r="A622" s="0" t="s">
        <v>669</v>
      </c>
      <c r="B622" s="0" t="s">
        <v>3459</v>
      </c>
      <c r="C622" s="0" t="s">
        <v>3447</v>
      </c>
      <c r="D622" s="0" t="s">
        <v>3457</v>
      </c>
      <c r="E622" s="0" t="s">
        <v>4963</v>
      </c>
      <c r="F622" s="0" t="s">
        <v>59</v>
      </c>
      <c r="G622" s="0" t="s">
        <v>4974</v>
      </c>
      <c r="H622" s="0" t="s">
        <v>69</v>
      </c>
      <c r="I622" s="0" t="s">
        <v>4975</v>
      </c>
      <c r="J622" s="20" t="s">
        <v>25</v>
      </c>
    </row>
    <row r="623" customFormat="false" ht="15" hidden="false" customHeight="false" outlineLevel="0" collapsed="false">
      <c r="A623" s="0" t="s">
        <v>669</v>
      </c>
      <c r="B623" s="0" t="s">
        <v>3459</v>
      </c>
      <c r="C623" s="0" t="s">
        <v>3447</v>
      </c>
      <c r="D623" s="0" t="s">
        <v>3448</v>
      </c>
      <c r="E623" s="0" t="s">
        <v>4963</v>
      </c>
      <c r="F623" s="0" t="s">
        <v>59</v>
      </c>
      <c r="G623" s="0" t="s">
        <v>4974</v>
      </c>
      <c r="H623" s="0" t="s">
        <v>69</v>
      </c>
      <c r="I623" s="0" t="s">
        <v>4975</v>
      </c>
      <c r="J623" s="20" t="s">
        <v>25</v>
      </c>
    </row>
    <row r="624" customFormat="false" ht="15" hidden="false" customHeight="false" outlineLevel="0" collapsed="false">
      <c r="A624" s="0" t="s">
        <v>669</v>
      </c>
      <c r="B624" s="0" t="s">
        <v>3459</v>
      </c>
      <c r="C624" s="0" t="s">
        <v>3447</v>
      </c>
      <c r="D624" s="0" t="s">
        <v>3448</v>
      </c>
      <c r="E624" s="0" t="s">
        <v>4969</v>
      </c>
      <c r="F624" s="0" t="s">
        <v>63</v>
      </c>
      <c r="G624" s="0" t="s">
        <v>4220</v>
      </c>
      <c r="H624" s="0" t="s">
        <v>5205</v>
      </c>
      <c r="I624" s="0" t="s">
        <v>4979</v>
      </c>
      <c r="J624" s="20" t="s">
        <v>25</v>
      </c>
    </row>
    <row r="625" customFormat="false" ht="15" hidden="false" customHeight="false" outlineLevel="0" collapsed="false">
      <c r="A625" s="0" t="s">
        <v>669</v>
      </c>
      <c r="B625" s="0" t="s">
        <v>134</v>
      </c>
      <c r="C625" s="0" t="s">
        <v>3447</v>
      </c>
      <c r="D625" s="0" t="s">
        <v>3448</v>
      </c>
      <c r="E625" s="0" t="s">
        <v>4963</v>
      </c>
      <c r="F625" s="0" t="s">
        <v>30</v>
      </c>
      <c r="G625" s="0" t="s">
        <v>4980</v>
      </c>
      <c r="H625" s="0" t="s">
        <v>4391</v>
      </c>
      <c r="I625" s="0" t="s">
        <v>4981</v>
      </c>
      <c r="J625" s="18" t="s">
        <v>24</v>
      </c>
    </row>
    <row r="626" customFormat="false" ht="15" hidden="false" customHeight="false" outlineLevel="0" collapsed="false">
      <c r="A626" s="0" t="s">
        <v>669</v>
      </c>
      <c r="B626" s="0" t="s">
        <v>3459</v>
      </c>
      <c r="C626" s="0" t="s">
        <v>3450</v>
      </c>
      <c r="D626" s="0" t="s">
        <v>3457</v>
      </c>
      <c r="E626" s="0" t="s">
        <v>4963</v>
      </c>
      <c r="F626" s="0" t="s">
        <v>30</v>
      </c>
      <c r="G626" s="0" t="s">
        <v>4980</v>
      </c>
      <c r="H626" s="0" t="s">
        <v>4265</v>
      </c>
      <c r="I626" s="0" t="s">
        <v>4981</v>
      </c>
      <c r="J626" s="18" t="s">
        <v>24</v>
      </c>
    </row>
    <row r="627" customFormat="false" ht="15" hidden="false" customHeight="false" outlineLevel="0" collapsed="false">
      <c r="A627" s="0" t="s">
        <v>676</v>
      </c>
      <c r="B627" s="0" t="s">
        <v>134</v>
      </c>
      <c r="C627" s="0" t="s">
        <v>3450</v>
      </c>
      <c r="D627" s="0" t="s">
        <v>3448</v>
      </c>
      <c r="E627" s="0" t="s">
        <v>4969</v>
      </c>
      <c r="F627" s="0" t="s">
        <v>63</v>
      </c>
      <c r="G627" s="0" t="s">
        <v>4220</v>
      </c>
      <c r="H627" s="0" t="s">
        <v>5206</v>
      </c>
      <c r="I627" s="0" t="s">
        <v>4979</v>
      </c>
      <c r="J627" s="20" t="s">
        <v>25</v>
      </c>
    </row>
    <row r="628" customFormat="false" ht="15" hidden="false" customHeight="false" outlineLevel="0" collapsed="false">
      <c r="A628" s="0" t="s">
        <v>676</v>
      </c>
      <c r="B628" s="0" t="s">
        <v>134</v>
      </c>
      <c r="C628" s="0" t="s">
        <v>3447</v>
      </c>
      <c r="D628" s="0" t="s">
        <v>3448</v>
      </c>
      <c r="E628" s="0" t="s">
        <v>4969</v>
      </c>
      <c r="F628" s="0" t="s">
        <v>63</v>
      </c>
      <c r="G628" s="0" t="s">
        <v>4220</v>
      </c>
      <c r="H628" s="0" t="s">
        <v>5206</v>
      </c>
      <c r="I628" s="0" t="s">
        <v>4979</v>
      </c>
      <c r="J628" s="20" t="s">
        <v>25</v>
      </c>
    </row>
    <row r="629" customFormat="false" ht="15" hidden="false" customHeight="false" outlineLevel="0" collapsed="false">
      <c r="A629" s="0" t="s">
        <v>676</v>
      </c>
      <c r="B629" s="0" t="s">
        <v>3459</v>
      </c>
      <c r="C629" s="0" t="s">
        <v>3450</v>
      </c>
      <c r="D629" s="0" t="s">
        <v>3457</v>
      </c>
      <c r="E629" s="0" t="s">
        <v>4963</v>
      </c>
      <c r="F629" s="0" t="s">
        <v>59</v>
      </c>
      <c r="G629" s="0" t="s">
        <v>4974</v>
      </c>
      <c r="H629" s="0" t="s">
        <v>69</v>
      </c>
      <c r="I629" s="0" t="s">
        <v>4975</v>
      </c>
      <c r="J629" s="20" t="s">
        <v>25</v>
      </c>
    </row>
    <row r="630" customFormat="false" ht="15" hidden="false" customHeight="false" outlineLevel="0" collapsed="false">
      <c r="A630" s="0" t="s">
        <v>676</v>
      </c>
      <c r="B630" s="0" t="s">
        <v>3459</v>
      </c>
      <c r="C630" s="0" t="s">
        <v>3450</v>
      </c>
      <c r="D630" s="0" t="s">
        <v>3457</v>
      </c>
      <c r="E630" s="0" t="s">
        <v>4969</v>
      </c>
      <c r="F630" s="0" t="s">
        <v>62</v>
      </c>
      <c r="G630" s="0" t="s">
        <v>5003</v>
      </c>
      <c r="H630" s="0" t="s">
        <v>5207</v>
      </c>
      <c r="I630" s="0" t="s">
        <v>5005</v>
      </c>
      <c r="J630" s="20" t="s">
        <v>25</v>
      </c>
    </row>
    <row r="631" customFormat="false" ht="15" hidden="false" customHeight="false" outlineLevel="0" collapsed="false">
      <c r="A631" s="0" t="s">
        <v>676</v>
      </c>
      <c r="B631" s="0" t="s">
        <v>3459</v>
      </c>
      <c r="C631" s="0" t="s">
        <v>3450</v>
      </c>
      <c r="D631" s="0" t="s">
        <v>3448</v>
      </c>
      <c r="E631" s="0" t="s">
        <v>4963</v>
      </c>
      <c r="F631" s="0" t="s">
        <v>59</v>
      </c>
      <c r="G631" s="0" t="s">
        <v>4974</v>
      </c>
      <c r="H631" s="0" t="s">
        <v>69</v>
      </c>
      <c r="I631" s="0" t="s">
        <v>4975</v>
      </c>
      <c r="J631" s="20" t="s">
        <v>25</v>
      </c>
    </row>
    <row r="632" customFormat="false" ht="15" hidden="false" customHeight="false" outlineLevel="0" collapsed="false">
      <c r="A632" s="0" t="s">
        <v>676</v>
      </c>
      <c r="B632" s="0" t="s">
        <v>3459</v>
      </c>
      <c r="C632" s="0" t="s">
        <v>3450</v>
      </c>
      <c r="D632" s="0" t="s">
        <v>3448</v>
      </c>
      <c r="E632" s="0" t="s">
        <v>4969</v>
      </c>
      <c r="F632" s="0" t="s">
        <v>61</v>
      </c>
      <c r="G632" s="0" t="s">
        <v>4970</v>
      </c>
      <c r="H632" s="0" t="s">
        <v>5208</v>
      </c>
      <c r="I632" s="0" t="s">
        <v>4972</v>
      </c>
      <c r="J632" s="20" t="s">
        <v>25</v>
      </c>
    </row>
    <row r="633" customFormat="false" ht="15" hidden="false" customHeight="false" outlineLevel="0" collapsed="false">
      <c r="A633" s="0" t="s">
        <v>676</v>
      </c>
      <c r="B633" s="0" t="s">
        <v>3459</v>
      </c>
      <c r="C633" s="0" t="s">
        <v>3450</v>
      </c>
      <c r="D633" s="0" t="s">
        <v>3448</v>
      </c>
      <c r="E633" s="0" t="s">
        <v>4969</v>
      </c>
      <c r="F633" s="0" t="s">
        <v>64</v>
      </c>
      <c r="G633" s="0" t="s">
        <v>4220</v>
      </c>
      <c r="H633" s="0" t="s">
        <v>5209</v>
      </c>
      <c r="I633" s="0" t="s">
        <v>4991</v>
      </c>
      <c r="J633" s="20" t="s">
        <v>25</v>
      </c>
    </row>
    <row r="634" customFormat="false" ht="15" hidden="false" customHeight="false" outlineLevel="0" collapsed="false">
      <c r="A634" s="0" t="s">
        <v>676</v>
      </c>
      <c r="B634" s="0" t="s">
        <v>3459</v>
      </c>
      <c r="C634" s="0" t="s">
        <v>3447</v>
      </c>
      <c r="D634" s="0" t="s">
        <v>3457</v>
      </c>
      <c r="E634" s="0" t="s">
        <v>4969</v>
      </c>
      <c r="F634" s="0" t="s">
        <v>61</v>
      </c>
      <c r="G634" s="0" t="s">
        <v>4970</v>
      </c>
      <c r="H634" s="0" t="s">
        <v>5210</v>
      </c>
      <c r="I634" s="0" t="s">
        <v>4972</v>
      </c>
      <c r="J634" s="20" t="s">
        <v>25</v>
      </c>
    </row>
    <row r="635" customFormat="false" ht="15" hidden="false" customHeight="false" outlineLevel="0" collapsed="false">
      <c r="A635" s="0" t="s">
        <v>676</v>
      </c>
      <c r="B635" s="0" t="s">
        <v>3459</v>
      </c>
      <c r="C635" s="0" t="s">
        <v>3447</v>
      </c>
      <c r="D635" s="0" t="s">
        <v>3448</v>
      </c>
      <c r="E635" s="0" t="s">
        <v>4969</v>
      </c>
      <c r="F635" s="0" t="s">
        <v>64</v>
      </c>
      <c r="G635" s="0" t="s">
        <v>4220</v>
      </c>
      <c r="H635" s="0" t="s">
        <v>5209</v>
      </c>
      <c r="I635" s="0" t="s">
        <v>4991</v>
      </c>
      <c r="J635" s="20" t="s">
        <v>25</v>
      </c>
    </row>
    <row r="636" customFormat="false" ht="15" hidden="false" customHeight="false" outlineLevel="0" collapsed="false">
      <c r="A636" s="0" t="s">
        <v>676</v>
      </c>
      <c r="B636" s="0" t="s">
        <v>134</v>
      </c>
      <c r="C636" s="0" t="s">
        <v>3447</v>
      </c>
      <c r="D636" s="0" t="s">
        <v>3457</v>
      </c>
      <c r="E636" s="0" t="s">
        <v>4963</v>
      </c>
      <c r="F636" s="0" t="s">
        <v>30</v>
      </c>
      <c r="G636" s="0" t="s">
        <v>4980</v>
      </c>
      <c r="H636" s="0" t="s">
        <v>4303</v>
      </c>
      <c r="I636" s="0" t="s">
        <v>4981</v>
      </c>
      <c r="J636" s="18" t="s">
        <v>24</v>
      </c>
    </row>
    <row r="637" customFormat="false" ht="15" hidden="false" customHeight="false" outlineLevel="0" collapsed="false">
      <c r="A637" s="0" t="s">
        <v>676</v>
      </c>
      <c r="B637" s="0" t="s">
        <v>134</v>
      </c>
      <c r="C637" s="0" t="s">
        <v>3447</v>
      </c>
      <c r="D637" s="0" t="s">
        <v>3448</v>
      </c>
      <c r="E637" s="0" t="s">
        <v>4963</v>
      </c>
      <c r="F637" s="0" t="s">
        <v>30</v>
      </c>
      <c r="G637" s="0" t="s">
        <v>4980</v>
      </c>
      <c r="H637" s="0" t="s">
        <v>4281</v>
      </c>
      <c r="I637" s="0" t="s">
        <v>4981</v>
      </c>
      <c r="J637" s="18" t="s">
        <v>24</v>
      </c>
    </row>
    <row r="638" customFormat="false" ht="15" hidden="false" customHeight="false" outlineLevel="0" collapsed="false">
      <c r="A638" s="0" t="s">
        <v>676</v>
      </c>
      <c r="B638" s="0" t="s">
        <v>3459</v>
      </c>
      <c r="C638" s="0" t="s">
        <v>3450</v>
      </c>
      <c r="D638" s="0" t="s">
        <v>3457</v>
      </c>
      <c r="E638" s="0" t="s">
        <v>4963</v>
      </c>
      <c r="F638" s="0" t="s">
        <v>30</v>
      </c>
      <c r="G638" s="0" t="s">
        <v>4980</v>
      </c>
      <c r="H638" s="0" t="s">
        <v>4275</v>
      </c>
      <c r="I638" s="0" t="s">
        <v>4981</v>
      </c>
      <c r="J638" s="18" t="s">
        <v>24</v>
      </c>
    </row>
    <row r="639" customFormat="false" ht="15" hidden="false" customHeight="false" outlineLevel="0" collapsed="false">
      <c r="A639" s="0" t="s">
        <v>676</v>
      </c>
      <c r="B639" s="0" t="s">
        <v>3459</v>
      </c>
      <c r="C639" s="0" t="s">
        <v>3450</v>
      </c>
      <c r="D639" s="0" t="s">
        <v>3448</v>
      </c>
      <c r="E639" s="0" t="s">
        <v>4963</v>
      </c>
      <c r="F639" s="0" t="s">
        <v>30</v>
      </c>
      <c r="G639" s="0" t="s">
        <v>4980</v>
      </c>
      <c r="H639" s="0" t="s">
        <v>4238</v>
      </c>
      <c r="I639" s="0" t="s">
        <v>4981</v>
      </c>
      <c r="J639" s="18" t="s">
        <v>24</v>
      </c>
    </row>
    <row r="640" customFormat="false" ht="15" hidden="false" customHeight="false" outlineLevel="0" collapsed="false">
      <c r="A640" s="0" t="s">
        <v>676</v>
      </c>
      <c r="B640" s="0" t="s">
        <v>3459</v>
      </c>
      <c r="C640" s="0" t="s">
        <v>3447</v>
      </c>
      <c r="D640" s="0" t="s">
        <v>3457</v>
      </c>
      <c r="E640" s="0" t="s">
        <v>4963</v>
      </c>
      <c r="F640" s="0" t="s">
        <v>30</v>
      </c>
      <c r="G640" s="0" t="s">
        <v>4980</v>
      </c>
      <c r="H640" s="0" t="s">
        <v>4269</v>
      </c>
      <c r="I640" s="0" t="s">
        <v>4981</v>
      </c>
      <c r="J640" s="18" t="s">
        <v>24</v>
      </c>
    </row>
    <row r="641" customFormat="false" ht="15" hidden="false" customHeight="false" outlineLevel="0" collapsed="false">
      <c r="A641" s="0" t="s">
        <v>676</v>
      </c>
      <c r="B641" s="0" t="s">
        <v>3459</v>
      </c>
      <c r="C641" s="0" t="s">
        <v>3447</v>
      </c>
      <c r="D641" s="0" t="s">
        <v>3448</v>
      </c>
      <c r="E641" s="0" t="s">
        <v>4963</v>
      </c>
      <c r="F641" s="0" t="s">
        <v>30</v>
      </c>
      <c r="G641" s="0" t="s">
        <v>4980</v>
      </c>
      <c r="H641" s="0" t="s">
        <v>4394</v>
      </c>
      <c r="I641" s="0" t="s">
        <v>4981</v>
      </c>
      <c r="J641" s="18" t="s">
        <v>24</v>
      </c>
    </row>
    <row r="642" customFormat="false" ht="15" hidden="false" customHeight="false" outlineLevel="0" collapsed="false">
      <c r="A642" s="0" t="s">
        <v>689</v>
      </c>
      <c r="B642" s="0" t="s">
        <v>134</v>
      </c>
      <c r="C642" s="0" t="s">
        <v>3450</v>
      </c>
      <c r="D642" s="0" t="s">
        <v>3457</v>
      </c>
      <c r="E642" s="0" t="s">
        <v>4963</v>
      </c>
      <c r="F642" s="0" t="s">
        <v>60</v>
      </c>
      <c r="G642" s="0" t="s">
        <v>4964</v>
      </c>
      <c r="H642" s="0" t="s">
        <v>5211</v>
      </c>
      <c r="I642" s="0" t="s">
        <v>4966</v>
      </c>
      <c r="J642" s="19" t="s">
        <v>26</v>
      </c>
    </row>
    <row r="643" customFormat="false" ht="15" hidden="false" customHeight="false" outlineLevel="0" collapsed="false">
      <c r="A643" s="0" t="s">
        <v>689</v>
      </c>
      <c r="B643" s="0" t="s">
        <v>134</v>
      </c>
      <c r="C643" s="0" t="s">
        <v>3450</v>
      </c>
      <c r="D643" s="0" t="s">
        <v>3448</v>
      </c>
      <c r="E643" s="0" t="s">
        <v>4963</v>
      </c>
      <c r="F643" s="0" t="s">
        <v>60</v>
      </c>
      <c r="G643" s="0" t="s">
        <v>4964</v>
      </c>
      <c r="H643" s="0" t="s">
        <v>5086</v>
      </c>
      <c r="I643" s="0" t="s">
        <v>4966</v>
      </c>
      <c r="J643" s="19" t="s">
        <v>26</v>
      </c>
    </row>
    <row r="644" customFormat="false" ht="15" hidden="false" customHeight="false" outlineLevel="0" collapsed="false">
      <c r="A644" s="0" t="s">
        <v>689</v>
      </c>
      <c r="B644" s="0" t="s">
        <v>134</v>
      </c>
      <c r="C644" s="0" t="s">
        <v>3447</v>
      </c>
      <c r="D644" s="0" t="s">
        <v>3448</v>
      </c>
      <c r="E644" s="0" t="s">
        <v>4963</v>
      </c>
      <c r="F644" s="0" t="s">
        <v>60</v>
      </c>
      <c r="G644" s="0" t="s">
        <v>4964</v>
      </c>
      <c r="H644" s="0" t="s">
        <v>5212</v>
      </c>
      <c r="I644" s="0" t="s">
        <v>4966</v>
      </c>
      <c r="J644" s="19" t="s">
        <v>26</v>
      </c>
    </row>
    <row r="645" customFormat="false" ht="15" hidden="false" customHeight="false" outlineLevel="0" collapsed="false">
      <c r="A645" s="0" t="s">
        <v>689</v>
      </c>
      <c r="B645" s="0" t="s">
        <v>134</v>
      </c>
      <c r="C645" s="0" t="s">
        <v>3450</v>
      </c>
      <c r="D645" s="0" t="s">
        <v>3457</v>
      </c>
      <c r="E645" s="0" t="s">
        <v>4963</v>
      </c>
      <c r="F645" s="0" t="s">
        <v>59</v>
      </c>
      <c r="G645" s="0" t="s">
        <v>4974</v>
      </c>
      <c r="H645" s="0" t="s">
        <v>69</v>
      </c>
      <c r="I645" s="0" t="s">
        <v>4975</v>
      </c>
      <c r="J645" s="20" t="s">
        <v>25</v>
      </c>
    </row>
    <row r="646" customFormat="false" ht="15" hidden="false" customHeight="false" outlineLevel="0" collapsed="false">
      <c r="A646" s="0" t="s">
        <v>689</v>
      </c>
      <c r="B646" s="0" t="s">
        <v>134</v>
      </c>
      <c r="C646" s="0" t="s">
        <v>3450</v>
      </c>
      <c r="D646" s="0" t="s">
        <v>3448</v>
      </c>
      <c r="E646" s="0" t="s">
        <v>4963</v>
      </c>
      <c r="F646" s="0" t="s">
        <v>59</v>
      </c>
      <c r="G646" s="0" t="s">
        <v>4974</v>
      </c>
      <c r="H646" s="0" t="s">
        <v>69</v>
      </c>
      <c r="I646" s="0" t="s">
        <v>4975</v>
      </c>
      <c r="J646" s="20" t="s">
        <v>25</v>
      </c>
    </row>
    <row r="647" customFormat="false" ht="15" hidden="false" customHeight="false" outlineLevel="0" collapsed="false">
      <c r="A647" s="0" t="s">
        <v>689</v>
      </c>
      <c r="B647" s="0" t="s">
        <v>134</v>
      </c>
      <c r="C647" s="0" t="s">
        <v>3447</v>
      </c>
      <c r="D647" s="0" t="s">
        <v>3457</v>
      </c>
      <c r="E647" s="0" t="s">
        <v>4963</v>
      </c>
      <c r="F647" s="0" t="s">
        <v>59</v>
      </c>
      <c r="G647" s="0" t="s">
        <v>4974</v>
      </c>
      <c r="H647" s="0" t="s">
        <v>69</v>
      </c>
      <c r="I647" s="0" t="s">
        <v>4975</v>
      </c>
      <c r="J647" s="20" t="s">
        <v>25</v>
      </c>
    </row>
    <row r="648" customFormat="false" ht="15" hidden="false" customHeight="false" outlineLevel="0" collapsed="false">
      <c r="A648" s="0" t="s">
        <v>689</v>
      </c>
      <c r="B648" s="0" t="s">
        <v>134</v>
      </c>
      <c r="C648" s="0" t="s">
        <v>3447</v>
      </c>
      <c r="D648" s="0" t="s">
        <v>3457</v>
      </c>
      <c r="E648" s="0" t="s">
        <v>4963</v>
      </c>
      <c r="F648" s="0" t="s">
        <v>30</v>
      </c>
      <c r="G648" s="0" t="s">
        <v>4980</v>
      </c>
      <c r="H648" s="0" t="s">
        <v>4396</v>
      </c>
      <c r="I648" s="0" t="s">
        <v>4981</v>
      </c>
      <c r="J648" s="18" t="s">
        <v>24</v>
      </c>
    </row>
    <row r="649" customFormat="false" ht="15" hidden="false" customHeight="false" outlineLevel="0" collapsed="false">
      <c r="A649" s="0" t="s">
        <v>695</v>
      </c>
      <c r="B649" s="0" t="s">
        <v>134</v>
      </c>
      <c r="C649" s="0" t="s">
        <v>3447</v>
      </c>
      <c r="D649" s="0" t="s">
        <v>3448</v>
      </c>
      <c r="E649" s="0" t="s">
        <v>4963</v>
      </c>
      <c r="F649" s="0" t="s">
        <v>60</v>
      </c>
      <c r="G649" s="0" t="s">
        <v>4964</v>
      </c>
      <c r="H649" s="0" t="s">
        <v>5213</v>
      </c>
      <c r="I649" s="0" t="s">
        <v>4966</v>
      </c>
      <c r="J649" s="19" t="s">
        <v>26</v>
      </c>
    </row>
    <row r="650" customFormat="false" ht="15" hidden="false" customHeight="false" outlineLevel="0" collapsed="false">
      <c r="A650" s="0" t="s">
        <v>695</v>
      </c>
      <c r="B650" s="0" t="s">
        <v>134</v>
      </c>
      <c r="C650" s="0" t="s">
        <v>3450</v>
      </c>
      <c r="D650" s="0" t="s">
        <v>3457</v>
      </c>
      <c r="E650" s="0" t="s">
        <v>4969</v>
      </c>
      <c r="F650" s="0" t="s">
        <v>62</v>
      </c>
      <c r="G650" s="0" t="s">
        <v>5003</v>
      </c>
      <c r="H650" s="0" t="s">
        <v>5214</v>
      </c>
      <c r="I650" s="0" t="s">
        <v>5005</v>
      </c>
      <c r="J650" s="20" t="s">
        <v>25</v>
      </c>
    </row>
    <row r="651" customFormat="false" ht="15" hidden="false" customHeight="false" outlineLevel="0" collapsed="false">
      <c r="A651" s="0" t="s">
        <v>695</v>
      </c>
      <c r="B651" s="0" t="s">
        <v>134</v>
      </c>
      <c r="C651" s="0" t="s">
        <v>3450</v>
      </c>
      <c r="D651" s="0" t="s">
        <v>3457</v>
      </c>
      <c r="E651" s="0" t="s">
        <v>4969</v>
      </c>
      <c r="F651" s="0" t="s">
        <v>63</v>
      </c>
      <c r="G651" s="0" t="s">
        <v>4220</v>
      </c>
      <c r="H651" s="0" t="s">
        <v>5215</v>
      </c>
      <c r="I651" s="0" t="s">
        <v>4979</v>
      </c>
      <c r="J651" s="20" t="s">
        <v>25</v>
      </c>
    </row>
    <row r="652" customFormat="false" ht="15" hidden="false" customHeight="false" outlineLevel="0" collapsed="false">
      <c r="A652" s="0" t="s">
        <v>695</v>
      </c>
      <c r="B652" s="0" t="s">
        <v>134</v>
      </c>
      <c r="C652" s="0" t="s">
        <v>3450</v>
      </c>
      <c r="D652" s="0" t="s">
        <v>3448</v>
      </c>
      <c r="E652" s="0" t="s">
        <v>4969</v>
      </c>
      <c r="F652" s="0" t="s">
        <v>62</v>
      </c>
      <c r="G652" s="0" t="s">
        <v>5003</v>
      </c>
      <c r="H652" s="0" t="s">
        <v>5216</v>
      </c>
      <c r="I652" s="0" t="s">
        <v>5005</v>
      </c>
      <c r="J652" s="20" t="s">
        <v>25</v>
      </c>
    </row>
    <row r="653" customFormat="false" ht="15" hidden="false" customHeight="false" outlineLevel="0" collapsed="false">
      <c r="A653" s="0" t="s">
        <v>695</v>
      </c>
      <c r="B653" s="0" t="s">
        <v>134</v>
      </c>
      <c r="C653" s="0" t="s">
        <v>3450</v>
      </c>
      <c r="D653" s="0" t="s">
        <v>3448</v>
      </c>
      <c r="E653" s="0" t="s">
        <v>4969</v>
      </c>
      <c r="F653" s="0" t="s">
        <v>64</v>
      </c>
      <c r="G653" s="0" t="s">
        <v>4220</v>
      </c>
      <c r="H653" s="0" t="s">
        <v>5217</v>
      </c>
      <c r="I653" s="0" t="s">
        <v>4991</v>
      </c>
      <c r="J653" s="20" t="s">
        <v>25</v>
      </c>
    </row>
    <row r="654" customFormat="false" ht="15" hidden="false" customHeight="false" outlineLevel="0" collapsed="false">
      <c r="A654" s="0" t="s">
        <v>695</v>
      </c>
      <c r="B654" s="0" t="s">
        <v>134</v>
      </c>
      <c r="C654" s="0" t="s">
        <v>3447</v>
      </c>
      <c r="D654" s="0" t="s">
        <v>3457</v>
      </c>
      <c r="E654" s="0" t="s">
        <v>4969</v>
      </c>
      <c r="F654" s="0" t="s">
        <v>63</v>
      </c>
      <c r="G654" s="0" t="s">
        <v>4220</v>
      </c>
      <c r="H654" s="0" t="s">
        <v>5215</v>
      </c>
      <c r="I654" s="0" t="s">
        <v>4979</v>
      </c>
      <c r="J654" s="20" t="s">
        <v>25</v>
      </c>
    </row>
    <row r="655" customFormat="false" ht="15" hidden="false" customHeight="false" outlineLevel="0" collapsed="false">
      <c r="A655" s="0" t="s">
        <v>695</v>
      </c>
      <c r="B655" s="0" t="s">
        <v>134</v>
      </c>
      <c r="C655" s="0" t="s">
        <v>3447</v>
      </c>
      <c r="D655" s="0" t="s">
        <v>3448</v>
      </c>
      <c r="E655" s="0" t="s">
        <v>4963</v>
      </c>
      <c r="F655" s="0" t="s">
        <v>59</v>
      </c>
      <c r="G655" s="0" t="s">
        <v>4974</v>
      </c>
      <c r="H655" s="0" t="s">
        <v>69</v>
      </c>
      <c r="I655" s="0" t="s">
        <v>4975</v>
      </c>
      <c r="J655" s="20" t="s">
        <v>25</v>
      </c>
    </row>
    <row r="656" customFormat="false" ht="15" hidden="false" customHeight="false" outlineLevel="0" collapsed="false">
      <c r="A656" s="0" t="s">
        <v>695</v>
      </c>
      <c r="B656" s="0" t="s">
        <v>134</v>
      </c>
      <c r="C656" s="0" t="s">
        <v>3447</v>
      </c>
      <c r="D656" s="0" t="s">
        <v>3448</v>
      </c>
      <c r="E656" s="0" t="s">
        <v>4969</v>
      </c>
      <c r="F656" s="0" t="s">
        <v>64</v>
      </c>
      <c r="G656" s="0" t="s">
        <v>4220</v>
      </c>
      <c r="H656" s="0" t="s">
        <v>5217</v>
      </c>
      <c r="I656" s="0" t="s">
        <v>4991</v>
      </c>
      <c r="J656" s="20" t="s">
        <v>25</v>
      </c>
    </row>
    <row r="657" customFormat="false" ht="15" hidden="false" customHeight="false" outlineLevel="0" collapsed="false">
      <c r="A657" s="0" t="s">
        <v>695</v>
      </c>
      <c r="B657" s="0" t="s">
        <v>134</v>
      </c>
      <c r="C657" s="0" t="s">
        <v>3447</v>
      </c>
      <c r="D657" s="0" t="s">
        <v>3457</v>
      </c>
      <c r="E657" s="0" t="s">
        <v>4963</v>
      </c>
      <c r="F657" s="0" t="s">
        <v>30</v>
      </c>
      <c r="G657" s="0" t="s">
        <v>4980</v>
      </c>
      <c r="H657" s="0" t="s">
        <v>4398</v>
      </c>
      <c r="I657" s="0" t="s">
        <v>4981</v>
      </c>
      <c r="J657" s="18" t="s">
        <v>24</v>
      </c>
    </row>
    <row r="658" customFormat="false" ht="15" hidden="false" customHeight="false" outlineLevel="0" collapsed="false">
      <c r="A658" s="0" t="s">
        <v>702</v>
      </c>
      <c r="B658" s="0" t="s">
        <v>134</v>
      </c>
      <c r="C658" s="0" t="s">
        <v>3447</v>
      </c>
      <c r="D658" s="0" t="s">
        <v>3448</v>
      </c>
      <c r="E658" s="0" t="s">
        <v>4963</v>
      </c>
      <c r="F658" s="0" t="s">
        <v>60</v>
      </c>
      <c r="G658" s="0" t="s">
        <v>4964</v>
      </c>
      <c r="H658" s="0" t="s">
        <v>5009</v>
      </c>
      <c r="I658" s="0" t="s">
        <v>4966</v>
      </c>
      <c r="J658" s="19" t="s">
        <v>26</v>
      </c>
    </row>
    <row r="659" customFormat="false" ht="15" hidden="false" customHeight="false" outlineLevel="0" collapsed="false">
      <c r="A659" s="0" t="s">
        <v>702</v>
      </c>
      <c r="B659" s="0" t="s">
        <v>134</v>
      </c>
      <c r="C659" s="0" t="s">
        <v>3450</v>
      </c>
      <c r="D659" s="0" t="s">
        <v>3457</v>
      </c>
      <c r="E659" s="0" t="s">
        <v>4963</v>
      </c>
      <c r="F659" s="0" t="s">
        <v>59</v>
      </c>
      <c r="G659" s="0" t="s">
        <v>4974</v>
      </c>
      <c r="H659" s="0" t="s">
        <v>69</v>
      </c>
      <c r="I659" s="0" t="s">
        <v>4975</v>
      </c>
      <c r="J659" s="20" t="s">
        <v>25</v>
      </c>
    </row>
    <row r="660" customFormat="false" ht="15" hidden="false" customHeight="false" outlineLevel="0" collapsed="false">
      <c r="A660" s="0" t="s">
        <v>702</v>
      </c>
      <c r="B660" s="0" t="s">
        <v>134</v>
      </c>
      <c r="C660" s="0" t="s">
        <v>3450</v>
      </c>
      <c r="D660" s="0" t="s">
        <v>3457</v>
      </c>
      <c r="E660" s="0" t="s">
        <v>4969</v>
      </c>
      <c r="F660" s="0" t="s">
        <v>61</v>
      </c>
      <c r="G660" s="0" t="s">
        <v>4970</v>
      </c>
      <c r="H660" s="0" t="s">
        <v>5218</v>
      </c>
      <c r="I660" s="0" t="s">
        <v>4972</v>
      </c>
      <c r="J660" s="20" t="s">
        <v>25</v>
      </c>
    </row>
    <row r="661" customFormat="false" ht="15" hidden="false" customHeight="false" outlineLevel="0" collapsed="false">
      <c r="A661" s="0" t="s">
        <v>702</v>
      </c>
      <c r="B661" s="0" t="s">
        <v>134</v>
      </c>
      <c r="C661" s="0" t="s">
        <v>3450</v>
      </c>
      <c r="D661" s="0" t="s">
        <v>3448</v>
      </c>
      <c r="E661" s="0" t="s">
        <v>4969</v>
      </c>
      <c r="F661" s="0" t="s">
        <v>61</v>
      </c>
      <c r="G661" s="0" t="s">
        <v>4970</v>
      </c>
      <c r="H661" s="0" t="s">
        <v>5219</v>
      </c>
      <c r="I661" s="0" t="s">
        <v>4972</v>
      </c>
      <c r="J661" s="20" t="s">
        <v>25</v>
      </c>
    </row>
    <row r="662" customFormat="false" ht="15" hidden="false" customHeight="false" outlineLevel="0" collapsed="false">
      <c r="A662" s="0" t="s">
        <v>702</v>
      </c>
      <c r="B662" s="0" t="s">
        <v>134</v>
      </c>
      <c r="C662" s="0" t="s">
        <v>3447</v>
      </c>
      <c r="D662" s="0" t="s">
        <v>3457</v>
      </c>
      <c r="E662" s="0" t="s">
        <v>4963</v>
      </c>
      <c r="F662" s="0" t="s">
        <v>59</v>
      </c>
      <c r="G662" s="0" t="s">
        <v>4974</v>
      </c>
      <c r="H662" s="0" t="s">
        <v>69</v>
      </c>
      <c r="I662" s="0" t="s">
        <v>4975</v>
      </c>
      <c r="J662" s="20" t="s">
        <v>25</v>
      </c>
    </row>
    <row r="663" customFormat="false" ht="15" hidden="false" customHeight="false" outlineLevel="0" collapsed="false">
      <c r="A663" s="0" t="s">
        <v>702</v>
      </c>
      <c r="B663" s="0" t="s">
        <v>134</v>
      </c>
      <c r="C663" s="0" t="s">
        <v>3447</v>
      </c>
      <c r="D663" s="0" t="s">
        <v>3457</v>
      </c>
      <c r="E663" s="0" t="s">
        <v>4969</v>
      </c>
      <c r="F663" s="0" t="s">
        <v>61</v>
      </c>
      <c r="G663" s="0" t="s">
        <v>4970</v>
      </c>
      <c r="H663" s="0" t="s">
        <v>5220</v>
      </c>
      <c r="I663" s="0" t="s">
        <v>4972</v>
      </c>
      <c r="J663" s="20" t="s">
        <v>25</v>
      </c>
    </row>
    <row r="664" customFormat="false" ht="15" hidden="false" customHeight="false" outlineLevel="0" collapsed="false">
      <c r="A664" s="0" t="s">
        <v>702</v>
      </c>
      <c r="B664" s="0" t="s">
        <v>134</v>
      </c>
      <c r="C664" s="0" t="s">
        <v>3447</v>
      </c>
      <c r="D664" s="0" t="s">
        <v>3448</v>
      </c>
      <c r="E664" s="0" t="s">
        <v>4963</v>
      </c>
      <c r="F664" s="0" t="s">
        <v>59</v>
      </c>
      <c r="G664" s="0" t="s">
        <v>4974</v>
      </c>
      <c r="H664" s="0" t="s">
        <v>69</v>
      </c>
      <c r="I664" s="0" t="s">
        <v>4975</v>
      </c>
      <c r="J664" s="20" t="s">
        <v>25</v>
      </c>
    </row>
    <row r="665" customFormat="false" ht="15" hidden="false" customHeight="false" outlineLevel="0" collapsed="false">
      <c r="A665" s="0" t="s">
        <v>702</v>
      </c>
      <c r="B665" s="0" t="s">
        <v>134</v>
      </c>
      <c r="C665" s="0" t="s">
        <v>3447</v>
      </c>
      <c r="D665" s="0" t="s">
        <v>3448</v>
      </c>
      <c r="E665" s="0" t="s">
        <v>4969</v>
      </c>
      <c r="F665" s="0" t="s">
        <v>61</v>
      </c>
      <c r="G665" s="0" t="s">
        <v>4970</v>
      </c>
      <c r="H665" s="0" t="s">
        <v>5221</v>
      </c>
      <c r="I665" s="0" t="s">
        <v>4972</v>
      </c>
      <c r="J665" s="20" t="s">
        <v>25</v>
      </c>
    </row>
    <row r="666" customFormat="false" ht="15" hidden="false" customHeight="false" outlineLevel="0" collapsed="false">
      <c r="A666" s="0" t="s">
        <v>702</v>
      </c>
      <c r="B666" s="0" t="s">
        <v>3459</v>
      </c>
      <c r="C666" s="0" t="s">
        <v>3450</v>
      </c>
      <c r="D666" s="0" t="s">
        <v>3457</v>
      </c>
      <c r="E666" s="0" t="s">
        <v>4963</v>
      </c>
      <c r="F666" s="0" t="s">
        <v>59</v>
      </c>
      <c r="G666" s="0" t="s">
        <v>4974</v>
      </c>
      <c r="H666" s="0" t="s">
        <v>69</v>
      </c>
      <c r="I666" s="0" t="s">
        <v>4975</v>
      </c>
      <c r="J666" s="20" t="s">
        <v>25</v>
      </c>
    </row>
    <row r="667" customFormat="false" ht="15" hidden="false" customHeight="false" outlineLevel="0" collapsed="false">
      <c r="A667" s="0" t="s">
        <v>702</v>
      </c>
      <c r="B667" s="0" t="s">
        <v>3459</v>
      </c>
      <c r="C667" s="0" t="s">
        <v>3450</v>
      </c>
      <c r="D667" s="0" t="s">
        <v>3457</v>
      </c>
      <c r="E667" s="0" t="s">
        <v>4969</v>
      </c>
      <c r="F667" s="0" t="s">
        <v>61</v>
      </c>
      <c r="G667" s="0" t="s">
        <v>4970</v>
      </c>
      <c r="H667" s="0" t="s">
        <v>5222</v>
      </c>
      <c r="I667" s="0" t="s">
        <v>4972</v>
      </c>
      <c r="J667" s="20" t="s">
        <v>25</v>
      </c>
    </row>
    <row r="668" customFormat="false" ht="15" hidden="false" customHeight="false" outlineLevel="0" collapsed="false">
      <c r="A668" s="0" t="s">
        <v>702</v>
      </c>
      <c r="B668" s="0" t="s">
        <v>3459</v>
      </c>
      <c r="C668" s="0" t="s">
        <v>3450</v>
      </c>
      <c r="D668" s="0" t="s">
        <v>3457</v>
      </c>
      <c r="E668" s="0" t="s">
        <v>4969</v>
      </c>
      <c r="F668" s="0" t="s">
        <v>62</v>
      </c>
      <c r="G668" s="0" t="s">
        <v>5003</v>
      </c>
      <c r="H668" s="0" t="s">
        <v>5223</v>
      </c>
      <c r="I668" s="0" t="s">
        <v>5005</v>
      </c>
      <c r="J668" s="20" t="s">
        <v>25</v>
      </c>
    </row>
    <row r="669" customFormat="false" ht="15" hidden="false" customHeight="false" outlineLevel="0" collapsed="false">
      <c r="A669" s="0" t="s">
        <v>702</v>
      </c>
      <c r="B669" s="0" t="s">
        <v>3459</v>
      </c>
      <c r="C669" s="0" t="s">
        <v>3450</v>
      </c>
      <c r="D669" s="0" t="s">
        <v>3457</v>
      </c>
      <c r="E669" s="0" t="s">
        <v>4969</v>
      </c>
      <c r="F669" s="0" t="s">
        <v>64</v>
      </c>
      <c r="G669" s="0" t="s">
        <v>4220</v>
      </c>
      <c r="H669" s="0" t="s">
        <v>5224</v>
      </c>
      <c r="I669" s="0" t="s">
        <v>4991</v>
      </c>
      <c r="J669" s="20" t="s">
        <v>25</v>
      </c>
    </row>
    <row r="670" customFormat="false" ht="15" hidden="false" customHeight="false" outlineLevel="0" collapsed="false">
      <c r="A670" s="0" t="s">
        <v>702</v>
      </c>
      <c r="B670" s="0" t="s">
        <v>3459</v>
      </c>
      <c r="C670" s="0" t="s">
        <v>3450</v>
      </c>
      <c r="D670" s="0" t="s">
        <v>3448</v>
      </c>
      <c r="E670" s="0" t="s">
        <v>4963</v>
      </c>
      <c r="F670" s="0" t="s">
        <v>59</v>
      </c>
      <c r="G670" s="0" t="s">
        <v>4974</v>
      </c>
      <c r="H670" s="0" t="s">
        <v>69</v>
      </c>
      <c r="I670" s="0" t="s">
        <v>4975</v>
      </c>
      <c r="J670" s="20" t="s">
        <v>25</v>
      </c>
    </row>
    <row r="671" customFormat="false" ht="15" hidden="false" customHeight="false" outlineLevel="0" collapsed="false">
      <c r="A671" s="0" t="s">
        <v>702</v>
      </c>
      <c r="B671" s="0" t="s">
        <v>3459</v>
      </c>
      <c r="C671" s="0" t="s">
        <v>3450</v>
      </c>
      <c r="D671" s="0" t="s">
        <v>3448</v>
      </c>
      <c r="E671" s="0" t="s">
        <v>4969</v>
      </c>
      <c r="F671" s="0" t="s">
        <v>61</v>
      </c>
      <c r="G671" s="0" t="s">
        <v>4970</v>
      </c>
      <c r="H671" s="0" t="s">
        <v>5225</v>
      </c>
      <c r="I671" s="0" t="s">
        <v>4972</v>
      </c>
      <c r="J671" s="20" t="s">
        <v>25</v>
      </c>
    </row>
    <row r="672" customFormat="false" ht="15" hidden="false" customHeight="false" outlineLevel="0" collapsed="false">
      <c r="A672" s="0" t="s">
        <v>702</v>
      </c>
      <c r="B672" s="0" t="s">
        <v>3459</v>
      </c>
      <c r="C672" s="0" t="s">
        <v>3447</v>
      </c>
      <c r="D672" s="0" t="s">
        <v>3457</v>
      </c>
      <c r="E672" s="0" t="s">
        <v>4963</v>
      </c>
      <c r="F672" s="0" t="s">
        <v>59</v>
      </c>
      <c r="G672" s="0" t="s">
        <v>4974</v>
      </c>
      <c r="H672" s="0" t="s">
        <v>69</v>
      </c>
      <c r="I672" s="0" t="s">
        <v>4975</v>
      </c>
      <c r="J672" s="20" t="s">
        <v>25</v>
      </c>
    </row>
    <row r="673" customFormat="false" ht="15" hidden="false" customHeight="false" outlineLevel="0" collapsed="false">
      <c r="A673" s="0" t="s">
        <v>702</v>
      </c>
      <c r="B673" s="0" t="s">
        <v>3459</v>
      </c>
      <c r="C673" s="0" t="s">
        <v>3447</v>
      </c>
      <c r="D673" s="0" t="s">
        <v>3457</v>
      </c>
      <c r="E673" s="0" t="s">
        <v>4969</v>
      </c>
      <c r="F673" s="0" t="s">
        <v>61</v>
      </c>
      <c r="G673" s="0" t="s">
        <v>4970</v>
      </c>
      <c r="H673" s="0" t="s">
        <v>5226</v>
      </c>
      <c r="I673" s="0" t="s">
        <v>4972</v>
      </c>
      <c r="J673" s="20" t="s">
        <v>25</v>
      </c>
    </row>
    <row r="674" customFormat="false" ht="15" hidden="false" customHeight="false" outlineLevel="0" collapsed="false">
      <c r="A674" s="0" t="s">
        <v>702</v>
      </c>
      <c r="B674" s="0" t="s">
        <v>3459</v>
      </c>
      <c r="C674" s="0" t="s">
        <v>3447</v>
      </c>
      <c r="D674" s="0" t="s">
        <v>3457</v>
      </c>
      <c r="E674" s="0" t="s">
        <v>4969</v>
      </c>
      <c r="F674" s="0" t="s">
        <v>64</v>
      </c>
      <c r="G674" s="0" t="s">
        <v>4220</v>
      </c>
      <c r="H674" s="0" t="s">
        <v>5224</v>
      </c>
      <c r="I674" s="0" t="s">
        <v>4991</v>
      </c>
      <c r="J674" s="20" t="s">
        <v>25</v>
      </c>
    </row>
    <row r="675" customFormat="false" ht="15" hidden="false" customHeight="false" outlineLevel="0" collapsed="false">
      <c r="A675" s="0" t="s">
        <v>702</v>
      </c>
      <c r="B675" s="0" t="s">
        <v>3459</v>
      </c>
      <c r="C675" s="0" t="s">
        <v>3447</v>
      </c>
      <c r="D675" s="0" t="s">
        <v>3448</v>
      </c>
      <c r="E675" s="0" t="s">
        <v>4969</v>
      </c>
      <c r="F675" s="0" t="s">
        <v>61</v>
      </c>
      <c r="G675" s="0" t="s">
        <v>4970</v>
      </c>
      <c r="H675" s="0" t="s">
        <v>5227</v>
      </c>
      <c r="I675" s="0" t="s">
        <v>4972</v>
      </c>
      <c r="J675" s="20" t="s">
        <v>25</v>
      </c>
    </row>
    <row r="676" customFormat="false" ht="15" hidden="false" customHeight="false" outlineLevel="0" collapsed="false">
      <c r="A676" s="0" t="s">
        <v>702</v>
      </c>
      <c r="B676" s="0" t="s">
        <v>134</v>
      </c>
      <c r="C676" s="0" t="s">
        <v>3450</v>
      </c>
      <c r="D676" s="0" t="s">
        <v>3457</v>
      </c>
      <c r="E676" s="0" t="s">
        <v>4963</v>
      </c>
      <c r="F676" s="0" t="s">
        <v>30</v>
      </c>
      <c r="G676" s="0" t="s">
        <v>4980</v>
      </c>
      <c r="H676" s="0" t="s">
        <v>4275</v>
      </c>
      <c r="I676" s="0" t="s">
        <v>4981</v>
      </c>
      <c r="J676" s="18" t="s">
        <v>24</v>
      </c>
    </row>
    <row r="677" customFormat="false" ht="15" hidden="false" customHeight="false" outlineLevel="0" collapsed="false">
      <c r="A677" s="0" t="s">
        <v>702</v>
      </c>
      <c r="B677" s="0" t="s">
        <v>134</v>
      </c>
      <c r="C677" s="0" t="s">
        <v>3447</v>
      </c>
      <c r="D677" s="0" t="s">
        <v>3457</v>
      </c>
      <c r="E677" s="0" t="s">
        <v>4963</v>
      </c>
      <c r="F677" s="0" t="s">
        <v>30</v>
      </c>
      <c r="G677" s="0" t="s">
        <v>4980</v>
      </c>
      <c r="H677" s="0" t="s">
        <v>4400</v>
      </c>
      <c r="I677" s="0" t="s">
        <v>4981</v>
      </c>
      <c r="J677" s="18" t="s">
        <v>24</v>
      </c>
    </row>
    <row r="678" customFormat="false" ht="15" hidden="false" customHeight="false" outlineLevel="0" collapsed="false">
      <c r="A678" s="0" t="s">
        <v>702</v>
      </c>
      <c r="B678" s="0" t="s">
        <v>3459</v>
      </c>
      <c r="C678" s="0" t="s">
        <v>3450</v>
      </c>
      <c r="D678" s="0" t="s">
        <v>3457</v>
      </c>
      <c r="E678" s="0" t="s">
        <v>4963</v>
      </c>
      <c r="F678" s="0" t="s">
        <v>30</v>
      </c>
      <c r="G678" s="0" t="s">
        <v>4980</v>
      </c>
      <c r="H678" s="0" t="s">
        <v>4275</v>
      </c>
      <c r="I678" s="0" t="s">
        <v>4981</v>
      </c>
      <c r="J678" s="18" t="s">
        <v>24</v>
      </c>
    </row>
    <row r="679" customFormat="false" ht="15" hidden="false" customHeight="false" outlineLevel="0" collapsed="false">
      <c r="A679" s="0" t="s">
        <v>702</v>
      </c>
      <c r="B679" s="0" t="s">
        <v>3459</v>
      </c>
      <c r="C679" s="0" t="s">
        <v>3450</v>
      </c>
      <c r="D679" s="0" t="s">
        <v>3448</v>
      </c>
      <c r="E679" s="0" t="s">
        <v>4963</v>
      </c>
      <c r="F679" s="0" t="s">
        <v>30</v>
      </c>
      <c r="G679" s="0" t="s">
        <v>4980</v>
      </c>
      <c r="H679" s="0" t="s">
        <v>4275</v>
      </c>
      <c r="I679" s="0" t="s">
        <v>4981</v>
      </c>
      <c r="J679" s="18" t="s">
        <v>24</v>
      </c>
    </row>
    <row r="680" customFormat="false" ht="15" hidden="false" customHeight="false" outlineLevel="0" collapsed="false">
      <c r="A680" s="0" t="s">
        <v>702</v>
      </c>
      <c r="B680" s="0" t="s">
        <v>3459</v>
      </c>
      <c r="C680" s="0" t="s">
        <v>3447</v>
      </c>
      <c r="D680" s="0" t="s">
        <v>3457</v>
      </c>
      <c r="E680" s="0" t="s">
        <v>4963</v>
      </c>
      <c r="F680" s="0" t="s">
        <v>30</v>
      </c>
      <c r="G680" s="0" t="s">
        <v>4980</v>
      </c>
      <c r="H680" s="0" t="s">
        <v>4401</v>
      </c>
      <c r="I680" s="0" t="s">
        <v>4981</v>
      </c>
      <c r="J680" s="18" t="s">
        <v>24</v>
      </c>
    </row>
    <row r="681" customFormat="false" ht="15" hidden="false" customHeight="false" outlineLevel="0" collapsed="false">
      <c r="A681" s="0" t="s">
        <v>702</v>
      </c>
      <c r="B681" s="0" t="s">
        <v>3459</v>
      </c>
      <c r="C681" s="0" t="s">
        <v>3447</v>
      </c>
      <c r="D681" s="0" t="s">
        <v>3448</v>
      </c>
      <c r="E681" s="0" t="s">
        <v>4963</v>
      </c>
      <c r="F681" s="0" t="s">
        <v>30</v>
      </c>
      <c r="G681" s="0" t="s">
        <v>4980</v>
      </c>
      <c r="H681" s="0" t="s">
        <v>4402</v>
      </c>
      <c r="I681" s="0" t="s">
        <v>4981</v>
      </c>
      <c r="J681" s="18" t="s">
        <v>24</v>
      </c>
    </row>
    <row r="682" customFormat="false" ht="15" hidden="false" customHeight="false" outlineLevel="0" collapsed="false">
      <c r="A682" s="0" t="s">
        <v>714</v>
      </c>
      <c r="B682" s="0" t="s">
        <v>134</v>
      </c>
      <c r="C682" s="0" t="s">
        <v>3450</v>
      </c>
      <c r="D682" s="0" t="s">
        <v>3457</v>
      </c>
      <c r="E682" s="0" t="s">
        <v>4963</v>
      </c>
      <c r="F682" s="0" t="s">
        <v>60</v>
      </c>
      <c r="G682" s="0" t="s">
        <v>4964</v>
      </c>
      <c r="H682" s="0" t="s">
        <v>5228</v>
      </c>
      <c r="I682" s="0" t="s">
        <v>4966</v>
      </c>
      <c r="J682" s="19" t="s">
        <v>26</v>
      </c>
    </row>
    <row r="683" customFormat="false" ht="15" hidden="false" customHeight="false" outlineLevel="0" collapsed="false">
      <c r="A683" s="0" t="s">
        <v>714</v>
      </c>
      <c r="B683" s="0" t="s">
        <v>134</v>
      </c>
      <c r="C683" s="0" t="s">
        <v>3450</v>
      </c>
      <c r="D683" s="0" t="s">
        <v>3448</v>
      </c>
      <c r="E683" s="0" t="s">
        <v>4963</v>
      </c>
      <c r="F683" s="0" t="s">
        <v>60</v>
      </c>
      <c r="G683" s="0" t="s">
        <v>4964</v>
      </c>
      <c r="H683" s="0" t="s">
        <v>5229</v>
      </c>
      <c r="I683" s="0" t="s">
        <v>4966</v>
      </c>
      <c r="J683" s="19" t="s">
        <v>26</v>
      </c>
    </row>
    <row r="684" customFormat="false" ht="15" hidden="false" customHeight="false" outlineLevel="0" collapsed="false">
      <c r="A684" s="0" t="s">
        <v>714</v>
      </c>
      <c r="B684" s="0" t="s">
        <v>134</v>
      </c>
      <c r="C684" s="0" t="s">
        <v>3447</v>
      </c>
      <c r="D684" s="0" t="s">
        <v>3457</v>
      </c>
      <c r="E684" s="0" t="s">
        <v>4963</v>
      </c>
      <c r="F684" s="0" t="s">
        <v>60</v>
      </c>
      <c r="G684" s="0" t="s">
        <v>4964</v>
      </c>
      <c r="H684" s="0" t="s">
        <v>5230</v>
      </c>
      <c r="I684" s="0" t="s">
        <v>4966</v>
      </c>
      <c r="J684" s="19" t="s">
        <v>26</v>
      </c>
    </row>
    <row r="685" customFormat="false" ht="15" hidden="false" customHeight="false" outlineLevel="0" collapsed="false">
      <c r="A685" s="0" t="s">
        <v>714</v>
      </c>
      <c r="B685" s="0" t="s">
        <v>3459</v>
      </c>
      <c r="C685" s="0" t="s">
        <v>3450</v>
      </c>
      <c r="D685" s="0" t="s">
        <v>3457</v>
      </c>
      <c r="E685" s="0" t="s">
        <v>4963</v>
      </c>
      <c r="F685" s="0" t="s">
        <v>60</v>
      </c>
      <c r="G685" s="0" t="s">
        <v>4964</v>
      </c>
      <c r="H685" s="0" t="s">
        <v>5231</v>
      </c>
      <c r="I685" s="0" t="s">
        <v>4966</v>
      </c>
      <c r="J685" s="19" t="s">
        <v>26</v>
      </c>
    </row>
    <row r="686" customFormat="false" ht="15" hidden="false" customHeight="false" outlineLevel="0" collapsed="false">
      <c r="A686" s="0" t="s">
        <v>714</v>
      </c>
      <c r="B686" s="0" t="s">
        <v>3459</v>
      </c>
      <c r="C686" s="0" t="s">
        <v>3450</v>
      </c>
      <c r="D686" s="0" t="s">
        <v>3448</v>
      </c>
      <c r="E686" s="0" t="s">
        <v>4963</v>
      </c>
      <c r="F686" s="0" t="s">
        <v>60</v>
      </c>
      <c r="G686" s="0" t="s">
        <v>4964</v>
      </c>
      <c r="H686" s="0" t="s">
        <v>5232</v>
      </c>
      <c r="I686" s="0" t="s">
        <v>4966</v>
      </c>
      <c r="J686" s="19" t="s">
        <v>26</v>
      </c>
    </row>
    <row r="687" customFormat="false" ht="15" hidden="false" customHeight="false" outlineLevel="0" collapsed="false">
      <c r="A687" s="0" t="s">
        <v>714</v>
      </c>
      <c r="B687" s="0" t="s">
        <v>134</v>
      </c>
      <c r="C687" s="0" t="s">
        <v>3450</v>
      </c>
      <c r="D687" s="0" t="s">
        <v>3448</v>
      </c>
      <c r="E687" s="0" t="s">
        <v>4969</v>
      </c>
      <c r="F687" s="0" t="s">
        <v>62</v>
      </c>
      <c r="G687" s="0" t="s">
        <v>5003</v>
      </c>
      <c r="H687" s="0" t="s">
        <v>5233</v>
      </c>
      <c r="I687" s="0" t="s">
        <v>5005</v>
      </c>
      <c r="J687" s="20" t="s">
        <v>25</v>
      </c>
    </row>
    <row r="688" customFormat="false" ht="15" hidden="false" customHeight="false" outlineLevel="0" collapsed="false">
      <c r="A688" s="0" t="s">
        <v>714</v>
      </c>
      <c r="B688" s="0" t="s">
        <v>134</v>
      </c>
      <c r="C688" s="0" t="s">
        <v>3447</v>
      </c>
      <c r="D688" s="0" t="s">
        <v>3457</v>
      </c>
      <c r="E688" s="0" t="s">
        <v>4963</v>
      </c>
      <c r="F688" s="0" t="s">
        <v>59</v>
      </c>
      <c r="G688" s="0" t="s">
        <v>4974</v>
      </c>
      <c r="H688" s="0" t="s">
        <v>69</v>
      </c>
      <c r="I688" s="0" t="s">
        <v>4975</v>
      </c>
      <c r="J688" s="20" t="s">
        <v>25</v>
      </c>
    </row>
    <row r="689" customFormat="false" ht="15" hidden="false" customHeight="false" outlineLevel="0" collapsed="false">
      <c r="A689" s="0" t="s">
        <v>714</v>
      </c>
      <c r="B689" s="0" t="s">
        <v>3459</v>
      </c>
      <c r="C689" s="0" t="s">
        <v>3450</v>
      </c>
      <c r="D689" s="0" t="s">
        <v>3457</v>
      </c>
      <c r="E689" s="0" t="s">
        <v>4969</v>
      </c>
      <c r="F689" s="0" t="s">
        <v>61</v>
      </c>
      <c r="G689" s="0" t="s">
        <v>4970</v>
      </c>
      <c r="H689" s="0" t="s">
        <v>5234</v>
      </c>
      <c r="I689" s="0" t="s">
        <v>4972</v>
      </c>
      <c r="J689" s="20" t="s">
        <v>25</v>
      </c>
    </row>
    <row r="690" customFormat="false" ht="15" hidden="false" customHeight="false" outlineLevel="0" collapsed="false">
      <c r="A690" s="0" t="s">
        <v>714</v>
      </c>
      <c r="B690" s="0" t="s">
        <v>3459</v>
      </c>
      <c r="C690" s="0" t="s">
        <v>3450</v>
      </c>
      <c r="D690" s="0" t="s">
        <v>3448</v>
      </c>
      <c r="E690" s="0" t="s">
        <v>4963</v>
      </c>
      <c r="F690" s="0" t="s">
        <v>59</v>
      </c>
      <c r="G690" s="0" t="s">
        <v>4974</v>
      </c>
      <c r="H690" s="0" t="s">
        <v>69</v>
      </c>
      <c r="I690" s="0" t="s">
        <v>4975</v>
      </c>
      <c r="J690" s="20" t="s">
        <v>25</v>
      </c>
    </row>
    <row r="691" customFormat="false" ht="15" hidden="false" customHeight="false" outlineLevel="0" collapsed="false">
      <c r="A691" s="0" t="s">
        <v>714</v>
      </c>
      <c r="B691" s="0" t="s">
        <v>3459</v>
      </c>
      <c r="C691" s="0" t="s">
        <v>3450</v>
      </c>
      <c r="D691" s="0" t="s">
        <v>3448</v>
      </c>
      <c r="E691" s="0" t="s">
        <v>4969</v>
      </c>
      <c r="F691" s="0" t="s">
        <v>61</v>
      </c>
      <c r="G691" s="0" t="s">
        <v>4970</v>
      </c>
      <c r="H691" s="0" t="s">
        <v>5235</v>
      </c>
      <c r="I691" s="0" t="s">
        <v>4972</v>
      </c>
      <c r="J691" s="20" t="s">
        <v>25</v>
      </c>
    </row>
    <row r="692" customFormat="false" ht="15" hidden="false" customHeight="false" outlineLevel="0" collapsed="false">
      <c r="A692" s="0" t="s">
        <v>714</v>
      </c>
      <c r="B692" s="0" t="s">
        <v>3459</v>
      </c>
      <c r="C692" s="0" t="s">
        <v>3447</v>
      </c>
      <c r="D692" s="0" t="s">
        <v>3457</v>
      </c>
      <c r="E692" s="0" t="s">
        <v>4969</v>
      </c>
      <c r="F692" s="0" t="s">
        <v>61</v>
      </c>
      <c r="G692" s="0" t="s">
        <v>4970</v>
      </c>
      <c r="H692" s="0" t="s">
        <v>5236</v>
      </c>
      <c r="I692" s="0" t="s">
        <v>4972</v>
      </c>
      <c r="J692" s="20" t="s">
        <v>25</v>
      </c>
    </row>
    <row r="693" customFormat="false" ht="15" hidden="false" customHeight="false" outlineLevel="0" collapsed="false">
      <c r="A693" s="0" t="s">
        <v>714</v>
      </c>
      <c r="B693" s="0" t="s">
        <v>134</v>
      </c>
      <c r="C693" s="0" t="s">
        <v>3447</v>
      </c>
      <c r="D693" s="0" t="s">
        <v>3448</v>
      </c>
      <c r="E693" s="0" t="s">
        <v>4963</v>
      </c>
      <c r="F693" s="0" t="s">
        <v>30</v>
      </c>
      <c r="G693" s="0" t="s">
        <v>4980</v>
      </c>
      <c r="H693" s="0" t="s">
        <v>4406</v>
      </c>
      <c r="I693" s="0" t="s">
        <v>4981</v>
      </c>
      <c r="J693" s="18" t="s">
        <v>24</v>
      </c>
    </row>
    <row r="694" customFormat="false" ht="15" hidden="false" customHeight="false" outlineLevel="0" collapsed="false">
      <c r="A694" s="0" t="s">
        <v>714</v>
      </c>
      <c r="B694" s="0" t="s">
        <v>3459</v>
      </c>
      <c r="C694" s="0" t="s">
        <v>3447</v>
      </c>
      <c r="D694" s="0" t="s">
        <v>3457</v>
      </c>
      <c r="E694" s="0" t="s">
        <v>4963</v>
      </c>
      <c r="F694" s="0" t="s">
        <v>30</v>
      </c>
      <c r="G694" s="0" t="s">
        <v>4980</v>
      </c>
      <c r="H694" s="0" t="s">
        <v>4394</v>
      </c>
      <c r="I694" s="0" t="s">
        <v>4981</v>
      </c>
      <c r="J694" s="18" t="s">
        <v>24</v>
      </c>
    </row>
    <row r="695" customFormat="false" ht="15" hidden="false" customHeight="false" outlineLevel="0" collapsed="false">
      <c r="A695" s="0" t="s">
        <v>714</v>
      </c>
      <c r="B695" s="0" t="s">
        <v>3459</v>
      </c>
      <c r="C695" s="0" t="s">
        <v>3447</v>
      </c>
      <c r="D695" s="0" t="s">
        <v>3448</v>
      </c>
      <c r="E695" s="0" t="s">
        <v>4963</v>
      </c>
      <c r="F695" s="0" t="s">
        <v>30</v>
      </c>
      <c r="G695" s="0" t="s">
        <v>4980</v>
      </c>
      <c r="H695" s="0" t="s">
        <v>4409</v>
      </c>
      <c r="I695" s="0" t="s">
        <v>4981</v>
      </c>
      <c r="J695" s="18" t="s">
        <v>24</v>
      </c>
    </row>
    <row r="696" customFormat="false" ht="15" hidden="false" customHeight="false" outlineLevel="0" collapsed="false">
      <c r="A696" s="0" t="s">
        <v>720</v>
      </c>
      <c r="B696" s="0" t="s">
        <v>134</v>
      </c>
      <c r="C696" s="0" t="s">
        <v>3450</v>
      </c>
      <c r="D696" s="0" t="s">
        <v>3457</v>
      </c>
      <c r="E696" s="0" t="s">
        <v>4963</v>
      </c>
      <c r="F696" s="0" t="s">
        <v>59</v>
      </c>
      <c r="G696" s="0" t="s">
        <v>4974</v>
      </c>
      <c r="H696" s="0" t="s">
        <v>69</v>
      </c>
      <c r="I696" s="0" t="s">
        <v>4975</v>
      </c>
      <c r="J696" s="20" t="s">
        <v>25</v>
      </c>
    </row>
    <row r="697" customFormat="false" ht="15" hidden="false" customHeight="false" outlineLevel="0" collapsed="false">
      <c r="A697" s="0" t="s">
        <v>720</v>
      </c>
      <c r="B697" s="0" t="s">
        <v>134</v>
      </c>
      <c r="C697" s="0" t="s">
        <v>3450</v>
      </c>
      <c r="D697" s="0" t="s">
        <v>3457</v>
      </c>
      <c r="E697" s="0" t="s">
        <v>4969</v>
      </c>
      <c r="F697" s="0" t="s">
        <v>64</v>
      </c>
      <c r="G697" s="0" t="s">
        <v>4220</v>
      </c>
      <c r="H697" s="0" t="s">
        <v>5237</v>
      </c>
      <c r="I697" s="0" t="s">
        <v>4991</v>
      </c>
      <c r="J697" s="20" t="s">
        <v>25</v>
      </c>
    </row>
    <row r="698" customFormat="false" ht="15" hidden="false" customHeight="false" outlineLevel="0" collapsed="false">
      <c r="A698" s="0" t="s">
        <v>720</v>
      </c>
      <c r="B698" s="0" t="s">
        <v>134</v>
      </c>
      <c r="C698" s="0" t="s">
        <v>3450</v>
      </c>
      <c r="D698" s="0" t="s">
        <v>3448</v>
      </c>
      <c r="E698" s="0" t="s">
        <v>4969</v>
      </c>
      <c r="F698" s="0" t="s">
        <v>62</v>
      </c>
      <c r="G698" s="0" t="s">
        <v>5003</v>
      </c>
      <c r="H698" s="0" t="s">
        <v>5238</v>
      </c>
      <c r="I698" s="0" t="s">
        <v>5005</v>
      </c>
      <c r="J698" s="20" t="s">
        <v>25</v>
      </c>
    </row>
    <row r="699" customFormat="false" ht="15" hidden="false" customHeight="false" outlineLevel="0" collapsed="false">
      <c r="A699" s="0" t="s">
        <v>720</v>
      </c>
      <c r="B699" s="0" t="s">
        <v>134</v>
      </c>
      <c r="C699" s="0" t="s">
        <v>3447</v>
      </c>
      <c r="D699" s="0" t="s">
        <v>3457</v>
      </c>
      <c r="E699" s="0" t="s">
        <v>4963</v>
      </c>
      <c r="F699" s="0" t="s">
        <v>59</v>
      </c>
      <c r="G699" s="0" t="s">
        <v>4974</v>
      </c>
      <c r="H699" s="0" t="s">
        <v>69</v>
      </c>
      <c r="I699" s="0" t="s">
        <v>4975</v>
      </c>
      <c r="J699" s="20" t="s">
        <v>25</v>
      </c>
    </row>
    <row r="700" customFormat="false" ht="15" hidden="false" customHeight="false" outlineLevel="0" collapsed="false">
      <c r="A700" s="0" t="s">
        <v>720</v>
      </c>
      <c r="B700" s="0" t="s">
        <v>134</v>
      </c>
      <c r="C700" s="0" t="s">
        <v>3447</v>
      </c>
      <c r="D700" s="0" t="s">
        <v>3457</v>
      </c>
      <c r="E700" s="0" t="s">
        <v>4969</v>
      </c>
      <c r="F700" s="0" t="s">
        <v>64</v>
      </c>
      <c r="G700" s="0" t="s">
        <v>4220</v>
      </c>
      <c r="H700" s="0" t="s">
        <v>5237</v>
      </c>
      <c r="I700" s="0" t="s">
        <v>4991</v>
      </c>
      <c r="J700" s="20" t="s">
        <v>25</v>
      </c>
    </row>
    <row r="701" customFormat="false" ht="15" hidden="false" customHeight="false" outlineLevel="0" collapsed="false">
      <c r="A701" s="0" t="s">
        <v>720</v>
      </c>
      <c r="B701" s="0" t="s">
        <v>134</v>
      </c>
      <c r="C701" s="0" t="s">
        <v>3447</v>
      </c>
      <c r="D701" s="0" t="s">
        <v>3448</v>
      </c>
      <c r="E701" s="0" t="s">
        <v>4963</v>
      </c>
      <c r="F701" s="0" t="s">
        <v>59</v>
      </c>
      <c r="G701" s="0" t="s">
        <v>4974</v>
      </c>
      <c r="H701" s="0" t="s">
        <v>69</v>
      </c>
      <c r="I701" s="0" t="s">
        <v>4975</v>
      </c>
      <c r="J701" s="20" t="s">
        <v>25</v>
      </c>
    </row>
    <row r="702" customFormat="false" ht="15" hidden="false" customHeight="false" outlineLevel="0" collapsed="false">
      <c r="A702" s="0" t="s">
        <v>720</v>
      </c>
      <c r="B702" s="0" t="s">
        <v>134</v>
      </c>
      <c r="C702" s="0" t="s">
        <v>3450</v>
      </c>
      <c r="D702" s="0" t="s">
        <v>3457</v>
      </c>
      <c r="E702" s="0" t="s">
        <v>4963</v>
      </c>
      <c r="F702" s="0" t="s">
        <v>30</v>
      </c>
      <c r="G702" s="0" t="s">
        <v>4980</v>
      </c>
      <c r="H702" s="0" t="s">
        <v>4238</v>
      </c>
      <c r="I702" s="0" t="s">
        <v>4981</v>
      </c>
      <c r="J702" s="18" t="s">
        <v>24</v>
      </c>
    </row>
    <row r="703" customFormat="false" ht="15" hidden="false" customHeight="false" outlineLevel="0" collapsed="false">
      <c r="A703" s="0" t="s">
        <v>720</v>
      </c>
      <c r="B703" s="0" t="s">
        <v>134</v>
      </c>
      <c r="C703" s="0" t="s">
        <v>3447</v>
      </c>
      <c r="D703" s="0" t="s">
        <v>3457</v>
      </c>
      <c r="E703" s="0" t="s">
        <v>4963</v>
      </c>
      <c r="F703" s="0" t="s">
        <v>30</v>
      </c>
      <c r="G703" s="0" t="s">
        <v>4980</v>
      </c>
      <c r="H703" s="0" t="s">
        <v>4238</v>
      </c>
      <c r="I703" s="0" t="s">
        <v>4981</v>
      </c>
      <c r="J703" s="18" t="s">
        <v>24</v>
      </c>
    </row>
    <row r="704" customFormat="false" ht="15" hidden="false" customHeight="false" outlineLevel="0" collapsed="false">
      <c r="A704" s="0" t="s">
        <v>720</v>
      </c>
      <c r="B704" s="0" t="s">
        <v>134</v>
      </c>
      <c r="C704" s="0" t="s">
        <v>3447</v>
      </c>
      <c r="D704" s="0" t="s">
        <v>3448</v>
      </c>
      <c r="E704" s="0" t="s">
        <v>4963</v>
      </c>
      <c r="F704" s="0" t="s">
        <v>30</v>
      </c>
      <c r="G704" s="0" t="s">
        <v>4980</v>
      </c>
      <c r="H704" s="0" t="s">
        <v>4238</v>
      </c>
      <c r="I704" s="0" t="s">
        <v>4981</v>
      </c>
      <c r="J704" s="18" t="s">
        <v>24</v>
      </c>
    </row>
    <row r="705" customFormat="false" ht="15" hidden="false" customHeight="false" outlineLevel="0" collapsed="false">
      <c r="A705" s="0" t="s">
        <v>732</v>
      </c>
      <c r="B705" s="0" t="s">
        <v>134</v>
      </c>
      <c r="C705" s="0" t="s">
        <v>3450</v>
      </c>
      <c r="D705" s="0" t="s">
        <v>3457</v>
      </c>
      <c r="E705" s="0" t="s">
        <v>4963</v>
      </c>
      <c r="F705" s="0" t="s">
        <v>60</v>
      </c>
      <c r="G705" s="0" t="s">
        <v>4964</v>
      </c>
      <c r="H705" s="0" t="s">
        <v>5239</v>
      </c>
      <c r="I705" s="0" t="s">
        <v>4966</v>
      </c>
      <c r="J705" s="19" t="s">
        <v>26</v>
      </c>
    </row>
    <row r="706" customFormat="false" ht="15" hidden="false" customHeight="false" outlineLevel="0" collapsed="false">
      <c r="A706" s="0" t="s">
        <v>732</v>
      </c>
      <c r="B706" s="0" t="s">
        <v>134</v>
      </c>
      <c r="C706" s="0" t="s">
        <v>3450</v>
      </c>
      <c r="D706" s="0" t="s">
        <v>3448</v>
      </c>
      <c r="E706" s="0" t="s">
        <v>4963</v>
      </c>
      <c r="F706" s="0" t="s">
        <v>60</v>
      </c>
      <c r="G706" s="0" t="s">
        <v>4964</v>
      </c>
      <c r="H706" s="0" t="s">
        <v>5240</v>
      </c>
      <c r="I706" s="0" t="s">
        <v>4966</v>
      </c>
      <c r="J706" s="19" t="s">
        <v>26</v>
      </c>
    </row>
    <row r="707" customFormat="false" ht="15" hidden="false" customHeight="false" outlineLevel="0" collapsed="false">
      <c r="A707" s="0" t="s">
        <v>732</v>
      </c>
      <c r="B707" s="0" t="s">
        <v>134</v>
      </c>
      <c r="C707" s="0" t="s">
        <v>3450</v>
      </c>
      <c r="D707" s="0" t="s">
        <v>3457</v>
      </c>
      <c r="E707" s="0" t="s">
        <v>4963</v>
      </c>
      <c r="F707" s="0" t="s">
        <v>59</v>
      </c>
      <c r="G707" s="0" t="s">
        <v>4974</v>
      </c>
      <c r="H707" s="0" t="s">
        <v>69</v>
      </c>
      <c r="I707" s="0" t="s">
        <v>4975</v>
      </c>
      <c r="J707" s="20" t="s">
        <v>25</v>
      </c>
    </row>
    <row r="708" customFormat="false" ht="15" hidden="false" customHeight="false" outlineLevel="0" collapsed="false">
      <c r="A708" s="0" t="s">
        <v>732</v>
      </c>
      <c r="B708" s="0" t="s">
        <v>134</v>
      </c>
      <c r="C708" s="0" t="s">
        <v>3450</v>
      </c>
      <c r="D708" s="0" t="s">
        <v>3457</v>
      </c>
      <c r="E708" s="0" t="s">
        <v>4969</v>
      </c>
      <c r="F708" s="0" t="s">
        <v>63</v>
      </c>
      <c r="G708" s="0" t="s">
        <v>4220</v>
      </c>
      <c r="H708" s="0" t="s">
        <v>5241</v>
      </c>
      <c r="I708" s="0" t="s">
        <v>4979</v>
      </c>
      <c r="J708" s="20" t="s">
        <v>25</v>
      </c>
    </row>
    <row r="709" customFormat="false" ht="15" hidden="false" customHeight="false" outlineLevel="0" collapsed="false">
      <c r="A709" s="0" t="s">
        <v>732</v>
      </c>
      <c r="B709" s="0" t="s">
        <v>134</v>
      </c>
      <c r="C709" s="0" t="s">
        <v>3450</v>
      </c>
      <c r="D709" s="0" t="s">
        <v>3448</v>
      </c>
      <c r="E709" s="0" t="s">
        <v>4963</v>
      </c>
      <c r="F709" s="0" t="s">
        <v>59</v>
      </c>
      <c r="G709" s="0" t="s">
        <v>4974</v>
      </c>
      <c r="H709" s="0" t="s">
        <v>69</v>
      </c>
      <c r="I709" s="0" t="s">
        <v>4975</v>
      </c>
      <c r="J709" s="20" t="s">
        <v>25</v>
      </c>
    </row>
    <row r="710" customFormat="false" ht="15" hidden="false" customHeight="false" outlineLevel="0" collapsed="false">
      <c r="A710" s="0" t="s">
        <v>732</v>
      </c>
      <c r="B710" s="0" t="s">
        <v>134</v>
      </c>
      <c r="C710" s="0" t="s">
        <v>3450</v>
      </c>
      <c r="D710" s="0" t="s">
        <v>3448</v>
      </c>
      <c r="E710" s="0" t="s">
        <v>4969</v>
      </c>
      <c r="F710" s="0" t="s">
        <v>61</v>
      </c>
      <c r="G710" s="0" t="s">
        <v>4970</v>
      </c>
      <c r="H710" s="0" t="s">
        <v>5242</v>
      </c>
      <c r="I710" s="0" t="s">
        <v>4972</v>
      </c>
      <c r="J710" s="20" t="s">
        <v>25</v>
      </c>
    </row>
    <row r="711" customFormat="false" ht="15" hidden="false" customHeight="false" outlineLevel="0" collapsed="false">
      <c r="A711" s="0" t="s">
        <v>732</v>
      </c>
      <c r="B711" s="0" t="s">
        <v>134</v>
      </c>
      <c r="C711" s="0" t="s">
        <v>3450</v>
      </c>
      <c r="D711" s="0" t="s">
        <v>3448</v>
      </c>
      <c r="E711" s="0" t="s">
        <v>4969</v>
      </c>
      <c r="F711" s="0" t="s">
        <v>63</v>
      </c>
      <c r="G711" s="0" t="s">
        <v>4220</v>
      </c>
      <c r="H711" s="0" t="s">
        <v>5243</v>
      </c>
      <c r="I711" s="0" t="s">
        <v>4979</v>
      </c>
      <c r="J711" s="20" t="s">
        <v>25</v>
      </c>
    </row>
    <row r="712" customFormat="false" ht="15" hidden="false" customHeight="false" outlineLevel="0" collapsed="false">
      <c r="A712" s="0" t="s">
        <v>732</v>
      </c>
      <c r="B712" s="0" t="s">
        <v>134</v>
      </c>
      <c r="C712" s="0" t="s">
        <v>3447</v>
      </c>
      <c r="D712" s="0" t="s">
        <v>3457</v>
      </c>
      <c r="E712" s="0" t="s">
        <v>4969</v>
      </c>
      <c r="F712" s="0" t="s">
        <v>61</v>
      </c>
      <c r="G712" s="0" t="s">
        <v>4970</v>
      </c>
      <c r="H712" s="0" t="s">
        <v>5244</v>
      </c>
      <c r="I712" s="0" t="s">
        <v>4972</v>
      </c>
      <c r="J712" s="20" t="s">
        <v>25</v>
      </c>
    </row>
    <row r="713" customFormat="false" ht="15" hidden="false" customHeight="false" outlineLevel="0" collapsed="false">
      <c r="A713" s="0" t="s">
        <v>732</v>
      </c>
      <c r="B713" s="0" t="s">
        <v>134</v>
      </c>
      <c r="C713" s="0" t="s">
        <v>3447</v>
      </c>
      <c r="D713" s="0" t="s">
        <v>3457</v>
      </c>
      <c r="E713" s="0" t="s">
        <v>4969</v>
      </c>
      <c r="F713" s="0" t="s">
        <v>63</v>
      </c>
      <c r="G713" s="0" t="s">
        <v>4220</v>
      </c>
      <c r="H713" s="0" t="s">
        <v>5241</v>
      </c>
      <c r="I713" s="0" t="s">
        <v>4979</v>
      </c>
      <c r="J713" s="20" t="s">
        <v>25</v>
      </c>
    </row>
    <row r="714" customFormat="false" ht="15" hidden="false" customHeight="false" outlineLevel="0" collapsed="false">
      <c r="A714" s="0" t="s">
        <v>732</v>
      </c>
      <c r="B714" s="0" t="s">
        <v>134</v>
      </c>
      <c r="C714" s="0" t="s">
        <v>3447</v>
      </c>
      <c r="D714" s="0" t="s">
        <v>3448</v>
      </c>
      <c r="E714" s="0" t="s">
        <v>4969</v>
      </c>
      <c r="F714" s="0" t="s">
        <v>61</v>
      </c>
      <c r="G714" s="0" t="s">
        <v>4970</v>
      </c>
      <c r="H714" s="0" t="s">
        <v>5245</v>
      </c>
      <c r="I714" s="0" t="s">
        <v>4972</v>
      </c>
      <c r="J714" s="20" t="s">
        <v>25</v>
      </c>
    </row>
    <row r="715" customFormat="false" ht="15" hidden="false" customHeight="false" outlineLevel="0" collapsed="false">
      <c r="A715" s="0" t="s">
        <v>732</v>
      </c>
      <c r="B715" s="0" t="s">
        <v>134</v>
      </c>
      <c r="C715" s="0" t="s">
        <v>3447</v>
      </c>
      <c r="D715" s="0" t="s">
        <v>3448</v>
      </c>
      <c r="E715" s="0" t="s">
        <v>4969</v>
      </c>
      <c r="F715" s="0" t="s">
        <v>63</v>
      </c>
      <c r="G715" s="0" t="s">
        <v>4220</v>
      </c>
      <c r="H715" s="0" t="s">
        <v>5243</v>
      </c>
      <c r="I715" s="0" t="s">
        <v>4979</v>
      </c>
      <c r="J715" s="20" t="s">
        <v>25</v>
      </c>
    </row>
    <row r="716" customFormat="false" ht="15" hidden="false" customHeight="false" outlineLevel="0" collapsed="false">
      <c r="A716" s="0" t="s">
        <v>732</v>
      </c>
      <c r="B716" s="0" t="s">
        <v>134</v>
      </c>
      <c r="C716" s="0" t="s">
        <v>3447</v>
      </c>
      <c r="D716" s="0" t="s">
        <v>3457</v>
      </c>
      <c r="E716" s="0" t="s">
        <v>4963</v>
      </c>
      <c r="F716" s="0" t="s">
        <v>30</v>
      </c>
      <c r="G716" s="0" t="s">
        <v>4980</v>
      </c>
      <c r="H716" s="0" t="s">
        <v>4412</v>
      </c>
      <c r="I716" s="0" t="s">
        <v>4981</v>
      </c>
      <c r="J716" s="18" t="s">
        <v>24</v>
      </c>
    </row>
    <row r="717" customFormat="false" ht="15" hidden="false" customHeight="false" outlineLevel="0" collapsed="false">
      <c r="A717" s="0" t="s">
        <v>732</v>
      </c>
      <c r="B717" s="0" t="s">
        <v>134</v>
      </c>
      <c r="C717" s="0" t="s">
        <v>3447</v>
      </c>
      <c r="D717" s="0" t="s">
        <v>3448</v>
      </c>
      <c r="E717" s="0" t="s">
        <v>4963</v>
      </c>
      <c r="F717" s="0" t="s">
        <v>30</v>
      </c>
      <c r="G717" s="0" t="s">
        <v>4980</v>
      </c>
      <c r="H717" s="0" t="s">
        <v>4413</v>
      </c>
      <c r="I717" s="0" t="s">
        <v>4981</v>
      </c>
      <c r="J717" s="18" t="s">
        <v>24</v>
      </c>
    </row>
    <row r="718" customFormat="false" ht="15" hidden="false" customHeight="false" outlineLevel="0" collapsed="false">
      <c r="A718" s="0" t="s">
        <v>738</v>
      </c>
      <c r="B718" s="0" t="s">
        <v>134</v>
      </c>
      <c r="C718" s="0" t="s">
        <v>3447</v>
      </c>
      <c r="D718" s="0" t="s">
        <v>3457</v>
      </c>
      <c r="E718" s="0" t="s">
        <v>4963</v>
      </c>
      <c r="F718" s="0" t="s">
        <v>60</v>
      </c>
      <c r="G718" s="0" t="s">
        <v>4964</v>
      </c>
      <c r="H718" s="0" t="s">
        <v>5246</v>
      </c>
      <c r="I718" s="0" t="s">
        <v>4966</v>
      </c>
      <c r="J718" s="19" t="s">
        <v>26</v>
      </c>
    </row>
    <row r="719" customFormat="false" ht="15" hidden="false" customHeight="false" outlineLevel="0" collapsed="false">
      <c r="A719" s="0" t="s">
        <v>738</v>
      </c>
      <c r="B719" s="0" t="s">
        <v>134</v>
      </c>
      <c r="C719" s="0" t="s">
        <v>3447</v>
      </c>
      <c r="D719" s="0" t="s">
        <v>3457</v>
      </c>
      <c r="E719" s="0" t="s">
        <v>4963</v>
      </c>
      <c r="F719" s="0" t="s">
        <v>59</v>
      </c>
      <c r="G719" s="0" t="s">
        <v>4974</v>
      </c>
      <c r="H719" s="0" t="s">
        <v>69</v>
      </c>
      <c r="I719" s="0" t="s">
        <v>4975</v>
      </c>
      <c r="J719" s="20" t="s">
        <v>25</v>
      </c>
    </row>
    <row r="720" customFormat="false" ht="15" hidden="false" customHeight="false" outlineLevel="0" collapsed="false">
      <c r="A720" s="0" t="s">
        <v>738</v>
      </c>
      <c r="B720" s="0" t="s">
        <v>134</v>
      </c>
      <c r="C720" s="0" t="s">
        <v>3447</v>
      </c>
      <c r="D720" s="0" t="s">
        <v>3448</v>
      </c>
      <c r="E720" s="0" t="s">
        <v>4963</v>
      </c>
      <c r="F720" s="0" t="s">
        <v>30</v>
      </c>
      <c r="G720" s="0" t="s">
        <v>4980</v>
      </c>
      <c r="H720" s="0" t="s">
        <v>4415</v>
      </c>
      <c r="I720" s="0" t="s">
        <v>4981</v>
      </c>
      <c r="J720" s="18" t="s">
        <v>24</v>
      </c>
    </row>
    <row r="721" customFormat="false" ht="15" hidden="false" customHeight="false" outlineLevel="0" collapsed="false">
      <c r="A721" s="0" t="s">
        <v>744</v>
      </c>
      <c r="B721" s="0" t="s">
        <v>134</v>
      </c>
      <c r="C721" s="0" t="s">
        <v>3447</v>
      </c>
      <c r="D721" s="0" t="s">
        <v>3457</v>
      </c>
      <c r="E721" s="0" t="s">
        <v>4963</v>
      </c>
      <c r="F721" s="0" t="s">
        <v>60</v>
      </c>
      <c r="G721" s="0" t="s">
        <v>4964</v>
      </c>
      <c r="H721" s="0" t="s">
        <v>5046</v>
      </c>
      <c r="I721" s="0" t="s">
        <v>4966</v>
      </c>
      <c r="J721" s="19" t="s">
        <v>26</v>
      </c>
    </row>
    <row r="722" customFormat="false" ht="15" hidden="false" customHeight="false" outlineLevel="0" collapsed="false">
      <c r="A722" s="0" t="s">
        <v>744</v>
      </c>
      <c r="B722" s="0" t="s">
        <v>134</v>
      </c>
      <c r="C722" s="0" t="s">
        <v>3450</v>
      </c>
      <c r="D722" s="0" t="s">
        <v>3457</v>
      </c>
      <c r="E722" s="0" t="s">
        <v>4963</v>
      </c>
      <c r="F722" s="0" t="s">
        <v>59</v>
      </c>
      <c r="G722" s="0" t="s">
        <v>4974</v>
      </c>
      <c r="H722" s="0" t="s">
        <v>69</v>
      </c>
      <c r="I722" s="0" t="s">
        <v>4975</v>
      </c>
      <c r="J722" s="20" t="s">
        <v>25</v>
      </c>
    </row>
    <row r="723" customFormat="false" ht="15" hidden="false" customHeight="false" outlineLevel="0" collapsed="false">
      <c r="A723" s="0" t="s">
        <v>744</v>
      </c>
      <c r="B723" s="0" t="s">
        <v>134</v>
      </c>
      <c r="C723" s="0" t="s">
        <v>3450</v>
      </c>
      <c r="D723" s="0" t="s">
        <v>3448</v>
      </c>
      <c r="E723" s="0" t="s">
        <v>4963</v>
      </c>
      <c r="F723" s="0" t="s">
        <v>59</v>
      </c>
      <c r="G723" s="0" t="s">
        <v>4974</v>
      </c>
      <c r="H723" s="0" t="s">
        <v>69</v>
      </c>
      <c r="I723" s="0" t="s">
        <v>4975</v>
      </c>
      <c r="J723" s="20" t="s">
        <v>25</v>
      </c>
    </row>
    <row r="724" customFormat="false" ht="15" hidden="false" customHeight="false" outlineLevel="0" collapsed="false">
      <c r="A724" s="0" t="s">
        <v>744</v>
      </c>
      <c r="B724" s="0" t="s">
        <v>134</v>
      </c>
      <c r="C724" s="0" t="s">
        <v>3447</v>
      </c>
      <c r="D724" s="0" t="s">
        <v>3457</v>
      </c>
      <c r="E724" s="0" t="s">
        <v>4963</v>
      </c>
      <c r="F724" s="0" t="s">
        <v>59</v>
      </c>
      <c r="G724" s="0" t="s">
        <v>4974</v>
      </c>
      <c r="H724" s="0" t="s">
        <v>69</v>
      </c>
      <c r="I724" s="0" t="s">
        <v>4975</v>
      </c>
      <c r="J724" s="20" t="s">
        <v>25</v>
      </c>
    </row>
    <row r="725" customFormat="false" ht="15" hidden="false" customHeight="false" outlineLevel="0" collapsed="false">
      <c r="A725" s="0" t="s">
        <v>744</v>
      </c>
      <c r="B725" s="0" t="s">
        <v>134</v>
      </c>
      <c r="C725" s="0" t="s">
        <v>3450</v>
      </c>
      <c r="D725" s="0" t="s">
        <v>3457</v>
      </c>
      <c r="E725" s="0" t="s">
        <v>4963</v>
      </c>
      <c r="F725" s="0" t="s">
        <v>30</v>
      </c>
      <c r="G725" s="0" t="s">
        <v>4980</v>
      </c>
      <c r="H725" s="0" t="s">
        <v>4242</v>
      </c>
      <c r="I725" s="0" t="s">
        <v>4981</v>
      </c>
      <c r="J725" s="18" t="s">
        <v>24</v>
      </c>
    </row>
    <row r="726" customFormat="false" ht="15" hidden="false" customHeight="false" outlineLevel="0" collapsed="false">
      <c r="A726" s="0" t="s">
        <v>744</v>
      </c>
      <c r="B726" s="0" t="s">
        <v>134</v>
      </c>
      <c r="C726" s="0" t="s">
        <v>3450</v>
      </c>
      <c r="D726" s="0" t="s">
        <v>3448</v>
      </c>
      <c r="E726" s="0" t="s">
        <v>4963</v>
      </c>
      <c r="F726" s="0" t="s">
        <v>30</v>
      </c>
      <c r="G726" s="0" t="s">
        <v>4980</v>
      </c>
      <c r="H726" s="0" t="s">
        <v>4265</v>
      </c>
      <c r="I726" s="0" t="s">
        <v>4981</v>
      </c>
      <c r="J726" s="18" t="s">
        <v>24</v>
      </c>
    </row>
    <row r="727" customFormat="false" ht="15" hidden="false" customHeight="false" outlineLevel="0" collapsed="false">
      <c r="A727" s="0" t="s">
        <v>744</v>
      </c>
      <c r="B727" s="0" t="s">
        <v>134</v>
      </c>
      <c r="C727" s="0" t="s">
        <v>3447</v>
      </c>
      <c r="D727" s="0" t="s">
        <v>3448</v>
      </c>
      <c r="E727" s="0" t="s">
        <v>4963</v>
      </c>
      <c r="F727" s="0" t="s">
        <v>30</v>
      </c>
      <c r="G727" s="0" t="s">
        <v>4980</v>
      </c>
      <c r="H727" s="0" t="s">
        <v>4416</v>
      </c>
      <c r="I727" s="0" t="s">
        <v>4981</v>
      </c>
      <c r="J727" s="18" t="s">
        <v>24</v>
      </c>
    </row>
    <row r="728" customFormat="false" ht="15" hidden="false" customHeight="false" outlineLevel="0" collapsed="false">
      <c r="A728" s="0" t="s">
        <v>756</v>
      </c>
      <c r="B728" s="0" t="s">
        <v>3459</v>
      </c>
      <c r="C728" s="0" t="s">
        <v>3447</v>
      </c>
      <c r="D728" s="0" t="s">
        <v>3457</v>
      </c>
      <c r="E728" s="0" t="s">
        <v>4963</v>
      </c>
      <c r="F728" s="0" t="s">
        <v>60</v>
      </c>
      <c r="G728" s="0" t="s">
        <v>4964</v>
      </c>
      <c r="H728" s="0" t="s">
        <v>5247</v>
      </c>
      <c r="I728" s="0" t="s">
        <v>4966</v>
      </c>
      <c r="J728" s="19" t="s">
        <v>26</v>
      </c>
    </row>
    <row r="729" customFormat="false" ht="15" hidden="false" customHeight="false" outlineLevel="0" collapsed="false">
      <c r="A729" s="0" t="s">
        <v>756</v>
      </c>
      <c r="B729" s="0" t="s">
        <v>134</v>
      </c>
      <c r="C729" s="0" t="s">
        <v>3450</v>
      </c>
      <c r="D729" s="0" t="s">
        <v>3448</v>
      </c>
      <c r="E729" s="0" t="s">
        <v>4963</v>
      </c>
      <c r="F729" s="0" t="s">
        <v>59</v>
      </c>
      <c r="G729" s="0" t="s">
        <v>4974</v>
      </c>
      <c r="H729" s="0" t="s">
        <v>69</v>
      </c>
      <c r="I729" s="0" t="s">
        <v>4975</v>
      </c>
      <c r="J729" s="20" t="s">
        <v>25</v>
      </c>
    </row>
    <row r="730" customFormat="false" ht="15" hidden="false" customHeight="false" outlineLevel="0" collapsed="false">
      <c r="A730" s="0" t="s">
        <v>756</v>
      </c>
      <c r="B730" s="0" t="s">
        <v>134</v>
      </c>
      <c r="C730" s="0" t="s">
        <v>3447</v>
      </c>
      <c r="D730" s="0" t="s">
        <v>3457</v>
      </c>
      <c r="E730" s="0" t="s">
        <v>4963</v>
      </c>
      <c r="F730" s="0" t="s">
        <v>59</v>
      </c>
      <c r="G730" s="0" t="s">
        <v>4974</v>
      </c>
      <c r="H730" s="0" t="s">
        <v>69</v>
      </c>
      <c r="I730" s="0" t="s">
        <v>4975</v>
      </c>
      <c r="J730" s="20" t="s">
        <v>25</v>
      </c>
    </row>
    <row r="731" customFormat="false" ht="15" hidden="false" customHeight="false" outlineLevel="0" collapsed="false">
      <c r="A731" s="0" t="s">
        <v>756</v>
      </c>
      <c r="B731" s="0" t="s">
        <v>134</v>
      </c>
      <c r="C731" s="0" t="s">
        <v>3447</v>
      </c>
      <c r="D731" s="0" t="s">
        <v>3448</v>
      </c>
      <c r="E731" s="0" t="s">
        <v>4963</v>
      </c>
      <c r="F731" s="0" t="s">
        <v>59</v>
      </c>
      <c r="G731" s="0" t="s">
        <v>4974</v>
      </c>
      <c r="H731" s="0" t="s">
        <v>69</v>
      </c>
      <c r="I731" s="0" t="s">
        <v>4975</v>
      </c>
      <c r="J731" s="20" t="s">
        <v>25</v>
      </c>
    </row>
    <row r="732" customFormat="false" ht="15" hidden="false" customHeight="false" outlineLevel="0" collapsed="false">
      <c r="A732" s="0" t="s">
        <v>756</v>
      </c>
      <c r="B732" s="0" t="s">
        <v>134</v>
      </c>
      <c r="C732" s="0" t="s">
        <v>3450</v>
      </c>
      <c r="D732" s="0" t="s">
        <v>3448</v>
      </c>
      <c r="E732" s="0" t="s">
        <v>4963</v>
      </c>
      <c r="F732" s="0" t="s">
        <v>30</v>
      </c>
      <c r="G732" s="0" t="s">
        <v>4980</v>
      </c>
      <c r="H732" s="0" t="s">
        <v>4275</v>
      </c>
      <c r="I732" s="0" t="s">
        <v>4981</v>
      </c>
      <c r="J732" s="18" t="s">
        <v>24</v>
      </c>
    </row>
    <row r="733" customFormat="false" ht="15" hidden="false" customHeight="false" outlineLevel="0" collapsed="false">
      <c r="A733" s="0" t="s">
        <v>756</v>
      </c>
      <c r="B733" s="0" t="s">
        <v>134</v>
      </c>
      <c r="C733" s="0" t="s">
        <v>3447</v>
      </c>
      <c r="D733" s="0" t="s">
        <v>3457</v>
      </c>
      <c r="E733" s="0" t="s">
        <v>4963</v>
      </c>
      <c r="F733" s="0" t="s">
        <v>30</v>
      </c>
      <c r="G733" s="0" t="s">
        <v>4980</v>
      </c>
      <c r="H733" s="0" t="s">
        <v>4265</v>
      </c>
      <c r="I733" s="0" t="s">
        <v>4981</v>
      </c>
      <c r="J733" s="18" t="s">
        <v>24</v>
      </c>
    </row>
    <row r="734" customFormat="false" ht="15" hidden="false" customHeight="false" outlineLevel="0" collapsed="false">
      <c r="A734" s="0" t="s">
        <v>756</v>
      </c>
      <c r="B734" s="0" t="s">
        <v>134</v>
      </c>
      <c r="C734" s="0" t="s">
        <v>3447</v>
      </c>
      <c r="D734" s="0" t="s">
        <v>3448</v>
      </c>
      <c r="E734" s="0" t="s">
        <v>4963</v>
      </c>
      <c r="F734" s="0" t="s">
        <v>30</v>
      </c>
      <c r="G734" s="0" t="s">
        <v>4980</v>
      </c>
      <c r="H734" s="0" t="s">
        <v>4265</v>
      </c>
      <c r="I734" s="0" t="s">
        <v>4981</v>
      </c>
      <c r="J734" s="18" t="s">
        <v>24</v>
      </c>
    </row>
    <row r="735" customFormat="false" ht="15" hidden="false" customHeight="false" outlineLevel="0" collapsed="false">
      <c r="A735" s="0" t="s">
        <v>768</v>
      </c>
      <c r="B735" s="0" t="s">
        <v>134</v>
      </c>
      <c r="C735" s="0" t="s">
        <v>3447</v>
      </c>
      <c r="D735" s="0" t="s">
        <v>3448</v>
      </c>
      <c r="E735" s="0" t="s">
        <v>4963</v>
      </c>
      <c r="F735" s="0" t="s">
        <v>60</v>
      </c>
      <c r="G735" s="0" t="s">
        <v>4964</v>
      </c>
      <c r="H735" s="0" t="s">
        <v>5248</v>
      </c>
      <c r="I735" s="0" t="s">
        <v>4966</v>
      </c>
      <c r="J735" s="19" t="s">
        <v>26</v>
      </c>
    </row>
    <row r="736" customFormat="false" ht="15" hidden="false" customHeight="false" outlineLevel="0" collapsed="false">
      <c r="A736" s="0" t="s">
        <v>768</v>
      </c>
      <c r="B736" s="0" t="s">
        <v>134</v>
      </c>
      <c r="C736" s="0" t="s">
        <v>3450</v>
      </c>
      <c r="D736" s="0" t="s">
        <v>3457</v>
      </c>
      <c r="E736" s="0" t="s">
        <v>4963</v>
      </c>
      <c r="F736" s="0" t="s">
        <v>59</v>
      </c>
      <c r="G736" s="0" t="s">
        <v>4974</v>
      </c>
      <c r="H736" s="0" t="s">
        <v>69</v>
      </c>
      <c r="I736" s="0" t="s">
        <v>4975</v>
      </c>
      <c r="J736" s="20" t="s">
        <v>25</v>
      </c>
    </row>
    <row r="737" customFormat="false" ht="15" hidden="false" customHeight="false" outlineLevel="0" collapsed="false">
      <c r="A737" s="0" t="s">
        <v>768</v>
      </c>
      <c r="B737" s="0" t="s">
        <v>134</v>
      </c>
      <c r="C737" s="0" t="s">
        <v>3450</v>
      </c>
      <c r="D737" s="0" t="s">
        <v>3457</v>
      </c>
      <c r="E737" s="0" t="s">
        <v>4969</v>
      </c>
      <c r="F737" s="0" t="s">
        <v>62</v>
      </c>
      <c r="G737" s="0" t="s">
        <v>5003</v>
      </c>
      <c r="H737" s="0" t="s">
        <v>5249</v>
      </c>
      <c r="I737" s="0" t="s">
        <v>5005</v>
      </c>
      <c r="J737" s="20" t="s">
        <v>25</v>
      </c>
    </row>
    <row r="738" customFormat="false" ht="15" hidden="false" customHeight="false" outlineLevel="0" collapsed="false">
      <c r="A738" s="0" t="s">
        <v>768</v>
      </c>
      <c r="B738" s="0" t="s">
        <v>134</v>
      </c>
      <c r="C738" s="0" t="s">
        <v>3450</v>
      </c>
      <c r="D738" s="0" t="s">
        <v>3448</v>
      </c>
      <c r="E738" s="0" t="s">
        <v>4963</v>
      </c>
      <c r="F738" s="0" t="s">
        <v>59</v>
      </c>
      <c r="G738" s="0" t="s">
        <v>4974</v>
      </c>
      <c r="H738" s="0" t="s">
        <v>69</v>
      </c>
      <c r="I738" s="0" t="s">
        <v>4975</v>
      </c>
      <c r="J738" s="20" t="s">
        <v>25</v>
      </c>
    </row>
    <row r="739" customFormat="false" ht="15" hidden="false" customHeight="false" outlineLevel="0" collapsed="false">
      <c r="A739" s="0" t="s">
        <v>768</v>
      </c>
      <c r="B739" s="0" t="s">
        <v>134</v>
      </c>
      <c r="C739" s="0" t="s">
        <v>3450</v>
      </c>
      <c r="D739" s="0" t="s">
        <v>3448</v>
      </c>
      <c r="E739" s="0" t="s">
        <v>4969</v>
      </c>
      <c r="F739" s="0" t="s">
        <v>63</v>
      </c>
      <c r="G739" s="0" t="s">
        <v>4220</v>
      </c>
      <c r="H739" s="0" t="s">
        <v>5241</v>
      </c>
      <c r="I739" s="0" t="s">
        <v>4979</v>
      </c>
      <c r="J739" s="20" t="s">
        <v>25</v>
      </c>
    </row>
    <row r="740" customFormat="false" ht="15" hidden="false" customHeight="false" outlineLevel="0" collapsed="false">
      <c r="A740" s="0" t="s">
        <v>768</v>
      </c>
      <c r="B740" s="0" t="s">
        <v>134</v>
      </c>
      <c r="C740" s="0" t="s">
        <v>3447</v>
      </c>
      <c r="D740" s="0" t="s">
        <v>3457</v>
      </c>
      <c r="E740" s="0" t="s">
        <v>4963</v>
      </c>
      <c r="F740" s="0" t="s">
        <v>59</v>
      </c>
      <c r="G740" s="0" t="s">
        <v>4974</v>
      </c>
      <c r="H740" s="0" t="s">
        <v>69</v>
      </c>
      <c r="I740" s="0" t="s">
        <v>4975</v>
      </c>
      <c r="J740" s="20" t="s">
        <v>25</v>
      </c>
    </row>
    <row r="741" customFormat="false" ht="15" hidden="false" customHeight="false" outlineLevel="0" collapsed="false">
      <c r="A741" s="0" t="s">
        <v>768</v>
      </c>
      <c r="B741" s="0" t="s">
        <v>134</v>
      </c>
      <c r="C741" s="0" t="s">
        <v>3447</v>
      </c>
      <c r="D741" s="0" t="s">
        <v>3448</v>
      </c>
      <c r="E741" s="0" t="s">
        <v>4969</v>
      </c>
      <c r="F741" s="0" t="s">
        <v>63</v>
      </c>
      <c r="G741" s="0" t="s">
        <v>4220</v>
      </c>
      <c r="H741" s="0" t="s">
        <v>5241</v>
      </c>
      <c r="I741" s="0" t="s">
        <v>4979</v>
      </c>
      <c r="J741" s="20" t="s">
        <v>25</v>
      </c>
    </row>
    <row r="742" customFormat="false" ht="15" hidden="false" customHeight="false" outlineLevel="0" collapsed="false">
      <c r="A742" s="0" t="s">
        <v>768</v>
      </c>
      <c r="B742" s="0" t="s">
        <v>134</v>
      </c>
      <c r="C742" s="0" t="s">
        <v>3450</v>
      </c>
      <c r="D742" s="0" t="s">
        <v>3457</v>
      </c>
      <c r="E742" s="0" t="s">
        <v>4963</v>
      </c>
      <c r="F742" s="0" t="s">
        <v>30</v>
      </c>
      <c r="G742" s="0" t="s">
        <v>4980</v>
      </c>
      <c r="H742" s="0" t="s">
        <v>4265</v>
      </c>
      <c r="I742" s="0" t="s">
        <v>4981</v>
      </c>
      <c r="J742" s="18" t="s">
        <v>24</v>
      </c>
    </row>
    <row r="743" customFormat="false" ht="15" hidden="false" customHeight="false" outlineLevel="0" collapsed="false">
      <c r="A743" s="0" t="s">
        <v>768</v>
      </c>
      <c r="B743" s="0" t="s">
        <v>134</v>
      </c>
      <c r="C743" s="0" t="s">
        <v>3450</v>
      </c>
      <c r="D743" s="0" t="s">
        <v>3448</v>
      </c>
      <c r="E743" s="0" t="s">
        <v>4963</v>
      </c>
      <c r="F743" s="0" t="s">
        <v>30</v>
      </c>
      <c r="G743" s="0" t="s">
        <v>4980</v>
      </c>
      <c r="H743" s="0" t="s">
        <v>4265</v>
      </c>
      <c r="I743" s="0" t="s">
        <v>4981</v>
      </c>
      <c r="J743" s="18" t="s">
        <v>24</v>
      </c>
    </row>
    <row r="744" customFormat="false" ht="15" hidden="false" customHeight="false" outlineLevel="0" collapsed="false">
      <c r="A744" s="0" t="s">
        <v>768</v>
      </c>
      <c r="B744" s="0" t="s">
        <v>134</v>
      </c>
      <c r="C744" s="0" t="s">
        <v>3447</v>
      </c>
      <c r="D744" s="0" t="s">
        <v>3457</v>
      </c>
      <c r="E744" s="0" t="s">
        <v>4963</v>
      </c>
      <c r="F744" s="0" t="s">
        <v>30</v>
      </c>
      <c r="G744" s="0" t="s">
        <v>4980</v>
      </c>
      <c r="H744" s="0" t="s">
        <v>4265</v>
      </c>
      <c r="I744" s="0" t="s">
        <v>4981</v>
      </c>
      <c r="J744" s="18" t="s">
        <v>24</v>
      </c>
    </row>
    <row r="745" customFormat="false" ht="15" hidden="false" customHeight="false" outlineLevel="0" collapsed="false">
      <c r="A745" s="0" t="s">
        <v>779</v>
      </c>
      <c r="B745" s="0" t="s">
        <v>134</v>
      </c>
      <c r="C745" s="0" t="s">
        <v>3450</v>
      </c>
      <c r="D745" s="0" t="s">
        <v>3448</v>
      </c>
      <c r="E745" s="0" t="s">
        <v>4963</v>
      </c>
      <c r="F745" s="0" t="s">
        <v>60</v>
      </c>
      <c r="G745" s="0" t="s">
        <v>4964</v>
      </c>
      <c r="H745" s="0" t="s">
        <v>5151</v>
      </c>
      <c r="I745" s="0" t="s">
        <v>4966</v>
      </c>
      <c r="J745" s="19" t="s">
        <v>26</v>
      </c>
    </row>
    <row r="746" customFormat="false" ht="15" hidden="false" customHeight="false" outlineLevel="0" collapsed="false">
      <c r="A746" s="0" t="s">
        <v>779</v>
      </c>
      <c r="B746" s="0" t="s">
        <v>134</v>
      </c>
      <c r="C746" s="0" t="s">
        <v>3447</v>
      </c>
      <c r="D746" s="0" t="s">
        <v>3457</v>
      </c>
      <c r="E746" s="0" t="s">
        <v>4963</v>
      </c>
      <c r="F746" s="0" t="s">
        <v>60</v>
      </c>
      <c r="G746" s="0" t="s">
        <v>4964</v>
      </c>
      <c r="H746" s="0" t="s">
        <v>5250</v>
      </c>
      <c r="I746" s="0" t="s">
        <v>4966</v>
      </c>
      <c r="J746" s="19" t="s">
        <v>26</v>
      </c>
    </row>
    <row r="747" customFormat="false" ht="15" hidden="false" customHeight="false" outlineLevel="0" collapsed="false">
      <c r="A747" s="0" t="s">
        <v>779</v>
      </c>
      <c r="B747" s="0" t="s">
        <v>134</v>
      </c>
      <c r="C747" s="0" t="s">
        <v>3447</v>
      </c>
      <c r="D747" s="0" t="s">
        <v>3448</v>
      </c>
      <c r="E747" s="0" t="s">
        <v>4963</v>
      </c>
      <c r="F747" s="0" t="s">
        <v>60</v>
      </c>
      <c r="G747" s="0" t="s">
        <v>4964</v>
      </c>
      <c r="H747" s="0" t="s">
        <v>5251</v>
      </c>
      <c r="I747" s="0" t="s">
        <v>4966</v>
      </c>
      <c r="J747" s="19" t="s">
        <v>26</v>
      </c>
    </row>
    <row r="748" customFormat="false" ht="15" hidden="false" customHeight="false" outlineLevel="0" collapsed="false">
      <c r="A748" s="0" t="s">
        <v>779</v>
      </c>
      <c r="B748" s="0" t="s">
        <v>3459</v>
      </c>
      <c r="C748" s="0" t="s">
        <v>3450</v>
      </c>
      <c r="D748" s="0" t="s">
        <v>3448</v>
      </c>
      <c r="E748" s="0" t="s">
        <v>4963</v>
      </c>
      <c r="F748" s="0" t="s">
        <v>60</v>
      </c>
      <c r="G748" s="0" t="s">
        <v>4964</v>
      </c>
      <c r="H748" s="0" t="s">
        <v>5252</v>
      </c>
      <c r="I748" s="0" t="s">
        <v>4966</v>
      </c>
      <c r="J748" s="19" t="s">
        <v>26</v>
      </c>
    </row>
    <row r="749" customFormat="false" ht="15" hidden="false" customHeight="false" outlineLevel="0" collapsed="false">
      <c r="A749" s="0" t="s">
        <v>779</v>
      </c>
      <c r="B749" s="0" t="s">
        <v>134</v>
      </c>
      <c r="C749" s="0" t="s">
        <v>3450</v>
      </c>
      <c r="D749" s="0" t="s">
        <v>3457</v>
      </c>
      <c r="E749" s="0" t="s">
        <v>4963</v>
      </c>
      <c r="F749" s="0" t="s">
        <v>59</v>
      </c>
      <c r="G749" s="0" t="s">
        <v>4974</v>
      </c>
      <c r="H749" s="0" t="s">
        <v>69</v>
      </c>
      <c r="I749" s="0" t="s">
        <v>4975</v>
      </c>
      <c r="J749" s="20" t="s">
        <v>25</v>
      </c>
    </row>
    <row r="750" customFormat="false" ht="15" hidden="false" customHeight="false" outlineLevel="0" collapsed="false">
      <c r="A750" s="0" t="s">
        <v>779</v>
      </c>
      <c r="B750" s="0" t="s">
        <v>134</v>
      </c>
      <c r="C750" s="0" t="s">
        <v>3450</v>
      </c>
      <c r="D750" s="0" t="s">
        <v>3457</v>
      </c>
      <c r="E750" s="0" t="s">
        <v>4969</v>
      </c>
      <c r="F750" s="0" t="s">
        <v>61</v>
      </c>
      <c r="G750" s="0" t="s">
        <v>4970</v>
      </c>
      <c r="H750" s="0" t="s">
        <v>5253</v>
      </c>
      <c r="I750" s="0" t="s">
        <v>4972</v>
      </c>
      <c r="J750" s="20" t="s">
        <v>25</v>
      </c>
    </row>
    <row r="751" customFormat="false" ht="15" hidden="false" customHeight="false" outlineLevel="0" collapsed="false">
      <c r="A751" s="0" t="s">
        <v>779</v>
      </c>
      <c r="B751" s="0" t="s">
        <v>134</v>
      </c>
      <c r="C751" s="0" t="s">
        <v>3450</v>
      </c>
      <c r="D751" s="0" t="s">
        <v>3457</v>
      </c>
      <c r="E751" s="0" t="s">
        <v>4969</v>
      </c>
      <c r="F751" s="0" t="s">
        <v>62</v>
      </c>
      <c r="G751" s="0" t="s">
        <v>5003</v>
      </c>
      <c r="H751" s="0" t="s">
        <v>5254</v>
      </c>
      <c r="I751" s="0" t="s">
        <v>5005</v>
      </c>
      <c r="J751" s="20" t="s">
        <v>25</v>
      </c>
    </row>
    <row r="752" customFormat="false" ht="15" hidden="false" customHeight="false" outlineLevel="0" collapsed="false">
      <c r="A752" s="0" t="s">
        <v>779</v>
      </c>
      <c r="B752" s="0" t="s">
        <v>134</v>
      </c>
      <c r="C752" s="0" t="s">
        <v>3450</v>
      </c>
      <c r="D752" s="0" t="s">
        <v>3457</v>
      </c>
      <c r="E752" s="0" t="s">
        <v>4969</v>
      </c>
      <c r="F752" s="0" t="s">
        <v>64</v>
      </c>
      <c r="G752" s="0" t="s">
        <v>4220</v>
      </c>
      <c r="H752" s="0" t="s">
        <v>5255</v>
      </c>
      <c r="I752" s="0" t="s">
        <v>4991</v>
      </c>
      <c r="J752" s="20" t="s">
        <v>25</v>
      </c>
    </row>
    <row r="753" customFormat="false" ht="15" hidden="false" customHeight="false" outlineLevel="0" collapsed="false">
      <c r="A753" s="0" t="s">
        <v>779</v>
      </c>
      <c r="B753" s="0" t="s">
        <v>134</v>
      </c>
      <c r="C753" s="0" t="s">
        <v>3450</v>
      </c>
      <c r="D753" s="0" t="s">
        <v>3448</v>
      </c>
      <c r="E753" s="0" t="s">
        <v>4963</v>
      </c>
      <c r="F753" s="0" t="s">
        <v>59</v>
      </c>
      <c r="G753" s="0" t="s">
        <v>4974</v>
      </c>
      <c r="H753" s="0" t="s">
        <v>69</v>
      </c>
      <c r="I753" s="0" t="s">
        <v>4975</v>
      </c>
      <c r="J753" s="20" t="s">
        <v>25</v>
      </c>
    </row>
    <row r="754" customFormat="false" ht="15" hidden="false" customHeight="false" outlineLevel="0" collapsed="false">
      <c r="A754" s="0" t="s">
        <v>779</v>
      </c>
      <c r="B754" s="0" t="s">
        <v>134</v>
      </c>
      <c r="C754" s="0" t="s">
        <v>3450</v>
      </c>
      <c r="D754" s="0" t="s">
        <v>3448</v>
      </c>
      <c r="E754" s="0" t="s">
        <v>4969</v>
      </c>
      <c r="F754" s="0" t="s">
        <v>61</v>
      </c>
      <c r="G754" s="0" t="s">
        <v>4970</v>
      </c>
      <c r="H754" s="0" t="s">
        <v>5256</v>
      </c>
      <c r="I754" s="0" t="s">
        <v>4972</v>
      </c>
      <c r="J754" s="20" t="s">
        <v>25</v>
      </c>
    </row>
    <row r="755" customFormat="false" ht="15" hidden="false" customHeight="false" outlineLevel="0" collapsed="false">
      <c r="A755" s="0" t="s">
        <v>779</v>
      </c>
      <c r="B755" s="0" t="s">
        <v>134</v>
      </c>
      <c r="C755" s="0" t="s">
        <v>3450</v>
      </c>
      <c r="D755" s="0" t="s">
        <v>3448</v>
      </c>
      <c r="E755" s="0" t="s">
        <v>4969</v>
      </c>
      <c r="F755" s="0" t="s">
        <v>62</v>
      </c>
      <c r="G755" s="0" t="s">
        <v>5003</v>
      </c>
      <c r="H755" s="0" t="s">
        <v>5257</v>
      </c>
      <c r="I755" s="0" t="s">
        <v>5005</v>
      </c>
      <c r="J755" s="20" t="s">
        <v>25</v>
      </c>
    </row>
    <row r="756" customFormat="false" ht="15" hidden="false" customHeight="false" outlineLevel="0" collapsed="false">
      <c r="A756" s="0" t="s">
        <v>779</v>
      </c>
      <c r="B756" s="0" t="s">
        <v>134</v>
      </c>
      <c r="C756" s="0" t="s">
        <v>3450</v>
      </c>
      <c r="D756" s="0" t="s">
        <v>3448</v>
      </c>
      <c r="E756" s="0" t="s">
        <v>4969</v>
      </c>
      <c r="F756" s="0" t="s">
        <v>63</v>
      </c>
      <c r="G756" s="0" t="s">
        <v>4220</v>
      </c>
      <c r="H756" s="0" t="s">
        <v>5258</v>
      </c>
      <c r="I756" s="0" t="s">
        <v>4979</v>
      </c>
      <c r="J756" s="20" t="s">
        <v>25</v>
      </c>
    </row>
    <row r="757" customFormat="false" ht="15" hidden="false" customHeight="false" outlineLevel="0" collapsed="false">
      <c r="A757" s="0" t="s">
        <v>779</v>
      </c>
      <c r="B757" s="0" t="s">
        <v>134</v>
      </c>
      <c r="C757" s="0" t="s">
        <v>3447</v>
      </c>
      <c r="D757" s="0" t="s">
        <v>3457</v>
      </c>
      <c r="E757" s="0" t="s">
        <v>4963</v>
      </c>
      <c r="F757" s="0" t="s">
        <v>59</v>
      </c>
      <c r="G757" s="0" t="s">
        <v>4974</v>
      </c>
      <c r="H757" s="0" t="s">
        <v>69</v>
      </c>
      <c r="I757" s="0" t="s">
        <v>4975</v>
      </c>
      <c r="J757" s="20" t="s">
        <v>25</v>
      </c>
    </row>
    <row r="758" customFormat="false" ht="15" hidden="false" customHeight="false" outlineLevel="0" collapsed="false">
      <c r="A758" s="0" t="s">
        <v>779</v>
      </c>
      <c r="B758" s="0" t="s">
        <v>134</v>
      </c>
      <c r="C758" s="0" t="s">
        <v>3447</v>
      </c>
      <c r="D758" s="0" t="s">
        <v>3457</v>
      </c>
      <c r="E758" s="0" t="s">
        <v>4969</v>
      </c>
      <c r="F758" s="0" t="s">
        <v>61</v>
      </c>
      <c r="G758" s="0" t="s">
        <v>4970</v>
      </c>
      <c r="H758" s="0" t="s">
        <v>5259</v>
      </c>
      <c r="I758" s="0" t="s">
        <v>4972</v>
      </c>
      <c r="J758" s="20" t="s">
        <v>25</v>
      </c>
    </row>
    <row r="759" customFormat="false" ht="15" hidden="false" customHeight="false" outlineLevel="0" collapsed="false">
      <c r="A759" s="0" t="s">
        <v>779</v>
      </c>
      <c r="B759" s="0" t="s">
        <v>134</v>
      </c>
      <c r="C759" s="0" t="s">
        <v>3447</v>
      </c>
      <c r="D759" s="0" t="s">
        <v>3457</v>
      </c>
      <c r="E759" s="0" t="s">
        <v>4969</v>
      </c>
      <c r="F759" s="0" t="s">
        <v>64</v>
      </c>
      <c r="G759" s="0" t="s">
        <v>4220</v>
      </c>
      <c r="H759" s="0" t="s">
        <v>5255</v>
      </c>
      <c r="I759" s="0" t="s">
        <v>4991</v>
      </c>
      <c r="J759" s="20" t="s">
        <v>25</v>
      </c>
    </row>
    <row r="760" customFormat="false" ht="15" hidden="false" customHeight="false" outlineLevel="0" collapsed="false">
      <c r="A760" s="0" t="s">
        <v>779</v>
      </c>
      <c r="B760" s="0" t="s">
        <v>134</v>
      </c>
      <c r="C760" s="0" t="s">
        <v>3447</v>
      </c>
      <c r="D760" s="0" t="s">
        <v>3448</v>
      </c>
      <c r="E760" s="0" t="s">
        <v>4969</v>
      </c>
      <c r="F760" s="0" t="s">
        <v>61</v>
      </c>
      <c r="G760" s="0" t="s">
        <v>4970</v>
      </c>
      <c r="H760" s="0" t="s">
        <v>5260</v>
      </c>
      <c r="I760" s="0" t="s">
        <v>4972</v>
      </c>
      <c r="J760" s="20" t="s">
        <v>25</v>
      </c>
    </row>
    <row r="761" customFormat="false" ht="15" hidden="false" customHeight="false" outlineLevel="0" collapsed="false">
      <c r="A761" s="0" t="s">
        <v>779</v>
      </c>
      <c r="B761" s="0" t="s">
        <v>134</v>
      </c>
      <c r="C761" s="0" t="s">
        <v>3447</v>
      </c>
      <c r="D761" s="0" t="s">
        <v>3448</v>
      </c>
      <c r="E761" s="0" t="s">
        <v>4969</v>
      </c>
      <c r="F761" s="0" t="s">
        <v>63</v>
      </c>
      <c r="G761" s="0" t="s">
        <v>4220</v>
      </c>
      <c r="H761" s="0" t="s">
        <v>5258</v>
      </c>
      <c r="I761" s="0" t="s">
        <v>4979</v>
      </c>
      <c r="J761" s="20" t="s">
        <v>25</v>
      </c>
    </row>
    <row r="762" customFormat="false" ht="15" hidden="false" customHeight="false" outlineLevel="0" collapsed="false">
      <c r="A762" s="0" t="s">
        <v>779</v>
      </c>
      <c r="B762" s="0" t="s">
        <v>3459</v>
      </c>
      <c r="C762" s="0" t="s">
        <v>3450</v>
      </c>
      <c r="D762" s="0" t="s">
        <v>3457</v>
      </c>
      <c r="E762" s="0" t="s">
        <v>4969</v>
      </c>
      <c r="F762" s="0" t="s">
        <v>62</v>
      </c>
      <c r="G762" s="0" t="s">
        <v>5003</v>
      </c>
      <c r="H762" s="0" t="s">
        <v>5261</v>
      </c>
      <c r="I762" s="0" t="s">
        <v>5005</v>
      </c>
      <c r="J762" s="20" t="s">
        <v>25</v>
      </c>
    </row>
    <row r="763" customFormat="false" ht="15" hidden="false" customHeight="false" outlineLevel="0" collapsed="false">
      <c r="A763" s="0" t="s">
        <v>779</v>
      </c>
      <c r="B763" s="0" t="s">
        <v>3459</v>
      </c>
      <c r="C763" s="0" t="s">
        <v>3450</v>
      </c>
      <c r="D763" s="0" t="s">
        <v>3448</v>
      </c>
      <c r="E763" s="0" t="s">
        <v>4963</v>
      </c>
      <c r="F763" s="0" t="s">
        <v>59</v>
      </c>
      <c r="G763" s="0" t="s">
        <v>4974</v>
      </c>
      <c r="H763" s="0" t="s">
        <v>69</v>
      </c>
      <c r="I763" s="0" t="s">
        <v>4975</v>
      </c>
      <c r="J763" s="20" t="s">
        <v>25</v>
      </c>
    </row>
    <row r="764" customFormat="false" ht="15" hidden="false" customHeight="false" outlineLevel="0" collapsed="false">
      <c r="A764" s="0" t="s">
        <v>779</v>
      </c>
      <c r="B764" s="0" t="s">
        <v>3459</v>
      </c>
      <c r="C764" s="0" t="s">
        <v>3450</v>
      </c>
      <c r="D764" s="0" t="s">
        <v>3448</v>
      </c>
      <c r="E764" s="0" t="s">
        <v>4969</v>
      </c>
      <c r="F764" s="0" t="s">
        <v>62</v>
      </c>
      <c r="G764" s="0" t="s">
        <v>5003</v>
      </c>
      <c r="H764" s="0" t="s">
        <v>5262</v>
      </c>
      <c r="I764" s="0" t="s">
        <v>5005</v>
      </c>
      <c r="J764" s="20" t="s">
        <v>25</v>
      </c>
    </row>
    <row r="765" customFormat="false" ht="15" hidden="false" customHeight="false" outlineLevel="0" collapsed="false">
      <c r="A765" s="0" t="s">
        <v>779</v>
      </c>
      <c r="B765" s="0" t="s">
        <v>134</v>
      </c>
      <c r="C765" s="0" t="s">
        <v>3450</v>
      </c>
      <c r="D765" s="0" t="s">
        <v>3457</v>
      </c>
      <c r="E765" s="0" t="s">
        <v>4963</v>
      </c>
      <c r="F765" s="0" t="s">
        <v>30</v>
      </c>
      <c r="G765" s="0" t="s">
        <v>4980</v>
      </c>
      <c r="H765" s="0" t="s">
        <v>4419</v>
      </c>
      <c r="I765" s="0" t="s">
        <v>4981</v>
      </c>
      <c r="J765" s="18" t="s">
        <v>24</v>
      </c>
    </row>
    <row r="766" customFormat="false" ht="15" hidden="false" customHeight="false" outlineLevel="0" collapsed="false">
      <c r="A766" s="0" t="s">
        <v>779</v>
      </c>
      <c r="B766" s="0" t="s">
        <v>3459</v>
      </c>
      <c r="C766" s="0" t="s">
        <v>3450</v>
      </c>
      <c r="D766" s="0" t="s">
        <v>3457</v>
      </c>
      <c r="E766" s="0" t="s">
        <v>4963</v>
      </c>
      <c r="F766" s="0" t="s">
        <v>30</v>
      </c>
      <c r="G766" s="0" t="s">
        <v>4980</v>
      </c>
      <c r="H766" s="0" t="s">
        <v>4422</v>
      </c>
      <c r="I766" s="0" t="s">
        <v>4981</v>
      </c>
      <c r="J766" s="18" t="s">
        <v>24</v>
      </c>
    </row>
    <row r="767" customFormat="false" ht="15" hidden="false" customHeight="false" outlineLevel="0" collapsed="false">
      <c r="A767" s="0" t="s">
        <v>779</v>
      </c>
      <c r="B767" s="0" t="s">
        <v>3459</v>
      </c>
      <c r="C767" s="0" t="s">
        <v>3447</v>
      </c>
      <c r="D767" s="0" t="s">
        <v>3457</v>
      </c>
      <c r="E767" s="0" t="s">
        <v>4963</v>
      </c>
      <c r="F767" s="0" t="s">
        <v>30</v>
      </c>
      <c r="G767" s="0" t="s">
        <v>4980</v>
      </c>
      <c r="H767" s="0" t="s">
        <v>4424</v>
      </c>
      <c r="I767" s="0" t="s">
        <v>4981</v>
      </c>
      <c r="J767" s="18" t="s">
        <v>24</v>
      </c>
    </row>
    <row r="768" customFormat="false" ht="15" hidden="false" customHeight="false" outlineLevel="0" collapsed="false">
      <c r="A768" s="0" t="s">
        <v>779</v>
      </c>
      <c r="B768" s="0" t="s">
        <v>3459</v>
      </c>
      <c r="C768" s="0" t="s">
        <v>3447</v>
      </c>
      <c r="D768" s="0" t="s">
        <v>3448</v>
      </c>
      <c r="E768" s="0" t="s">
        <v>4963</v>
      </c>
      <c r="F768" s="0" t="s">
        <v>30</v>
      </c>
      <c r="G768" s="0" t="s">
        <v>4980</v>
      </c>
      <c r="H768" s="0" t="s">
        <v>4381</v>
      </c>
      <c r="I768" s="0" t="s">
        <v>4981</v>
      </c>
      <c r="J768" s="18" t="s">
        <v>24</v>
      </c>
    </row>
    <row r="769" customFormat="false" ht="15" hidden="false" customHeight="false" outlineLevel="0" collapsed="false">
      <c r="A769" s="0" t="s">
        <v>785</v>
      </c>
      <c r="B769" s="0" t="s">
        <v>134</v>
      </c>
      <c r="C769" s="0" t="s">
        <v>3450</v>
      </c>
      <c r="D769" s="0" t="s">
        <v>3457</v>
      </c>
      <c r="E769" s="0" t="s">
        <v>4963</v>
      </c>
      <c r="F769" s="0" t="s">
        <v>60</v>
      </c>
      <c r="G769" s="0" t="s">
        <v>4964</v>
      </c>
      <c r="H769" s="0" t="s">
        <v>5232</v>
      </c>
      <c r="I769" s="0" t="s">
        <v>4966</v>
      </c>
      <c r="J769" s="19" t="s">
        <v>26</v>
      </c>
    </row>
    <row r="770" customFormat="false" ht="15" hidden="false" customHeight="false" outlineLevel="0" collapsed="false">
      <c r="A770" s="0" t="s">
        <v>785</v>
      </c>
      <c r="B770" s="0" t="s">
        <v>134</v>
      </c>
      <c r="C770" s="0" t="s">
        <v>3447</v>
      </c>
      <c r="D770" s="0" t="s">
        <v>3457</v>
      </c>
      <c r="E770" s="0" t="s">
        <v>4963</v>
      </c>
      <c r="F770" s="0" t="s">
        <v>60</v>
      </c>
      <c r="G770" s="0" t="s">
        <v>4964</v>
      </c>
      <c r="H770" s="0" t="s">
        <v>5263</v>
      </c>
      <c r="I770" s="0" t="s">
        <v>4966</v>
      </c>
      <c r="J770" s="19" t="s">
        <v>26</v>
      </c>
    </row>
    <row r="771" customFormat="false" ht="15" hidden="false" customHeight="false" outlineLevel="0" collapsed="false">
      <c r="A771" s="0" t="s">
        <v>785</v>
      </c>
      <c r="B771" s="0" t="s">
        <v>3459</v>
      </c>
      <c r="C771" s="0" t="s">
        <v>3450</v>
      </c>
      <c r="D771" s="0" t="s">
        <v>3457</v>
      </c>
      <c r="E771" s="0" t="s">
        <v>4963</v>
      </c>
      <c r="F771" s="0" t="s">
        <v>60</v>
      </c>
      <c r="G771" s="0" t="s">
        <v>4964</v>
      </c>
      <c r="H771" s="0" t="s">
        <v>5264</v>
      </c>
      <c r="I771" s="0" t="s">
        <v>4966</v>
      </c>
      <c r="J771" s="19" t="s">
        <v>26</v>
      </c>
    </row>
    <row r="772" customFormat="false" ht="15" hidden="false" customHeight="false" outlineLevel="0" collapsed="false">
      <c r="A772" s="0" t="s">
        <v>785</v>
      </c>
      <c r="B772" s="0" t="s">
        <v>3459</v>
      </c>
      <c r="C772" s="0" t="s">
        <v>3450</v>
      </c>
      <c r="D772" s="0" t="s">
        <v>3448</v>
      </c>
      <c r="E772" s="0" t="s">
        <v>4963</v>
      </c>
      <c r="F772" s="0" t="s">
        <v>60</v>
      </c>
      <c r="G772" s="0" t="s">
        <v>4964</v>
      </c>
      <c r="H772" s="0" t="s">
        <v>5265</v>
      </c>
      <c r="I772" s="0" t="s">
        <v>4966</v>
      </c>
      <c r="J772" s="19" t="s">
        <v>26</v>
      </c>
    </row>
    <row r="773" customFormat="false" ht="15" hidden="false" customHeight="false" outlineLevel="0" collapsed="false">
      <c r="A773" s="0" t="s">
        <v>785</v>
      </c>
      <c r="B773" s="0" t="s">
        <v>134</v>
      </c>
      <c r="C773" s="0" t="s">
        <v>3450</v>
      </c>
      <c r="D773" s="0" t="s">
        <v>3457</v>
      </c>
      <c r="E773" s="0" t="s">
        <v>4963</v>
      </c>
      <c r="F773" s="0" t="s">
        <v>59</v>
      </c>
      <c r="G773" s="0" t="s">
        <v>4974</v>
      </c>
      <c r="H773" s="0" t="s">
        <v>69</v>
      </c>
      <c r="I773" s="0" t="s">
        <v>4975</v>
      </c>
      <c r="J773" s="20" t="s">
        <v>25</v>
      </c>
    </row>
    <row r="774" customFormat="false" ht="15" hidden="false" customHeight="false" outlineLevel="0" collapsed="false">
      <c r="A774" s="0" t="s">
        <v>785</v>
      </c>
      <c r="B774" s="0" t="s">
        <v>134</v>
      </c>
      <c r="C774" s="0" t="s">
        <v>3450</v>
      </c>
      <c r="D774" s="0" t="s">
        <v>3448</v>
      </c>
      <c r="E774" s="0" t="s">
        <v>4963</v>
      </c>
      <c r="F774" s="0" t="s">
        <v>59</v>
      </c>
      <c r="G774" s="0" t="s">
        <v>4974</v>
      </c>
      <c r="H774" s="0" t="s">
        <v>69</v>
      </c>
      <c r="I774" s="0" t="s">
        <v>4975</v>
      </c>
      <c r="J774" s="20" t="s">
        <v>25</v>
      </c>
    </row>
    <row r="775" customFormat="false" ht="15" hidden="false" customHeight="false" outlineLevel="0" collapsed="false">
      <c r="A775" s="0" t="s">
        <v>785</v>
      </c>
      <c r="B775" s="0" t="s">
        <v>3459</v>
      </c>
      <c r="C775" s="0" t="s">
        <v>3450</v>
      </c>
      <c r="D775" s="0" t="s">
        <v>3457</v>
      </c>
      <c r="E775" s="0" t="s">
        <v>4963</v>
      </c>
      <c r="F775" s="0" t="s">
        <v>59</v>
      </c>
      <c r="G775" s="0" t="s">
        <v>4974</v>
      </c>
      <c r="H775" s="0" t="s">
        <v>69</v>
      </c>
      <c r="I775" s="0" t="s">
        <v>4975</v>
      </c>
      <c r="J775" s="20" t="s">
        <v>25</v>
      </c>
    </row>
    <row r="776" customFormat="false" ht="15" hidden="false" customHeight="false" outlineLevel="0" collapsed="false">
      <c r="A776" s="0" t="s">
        <v>785</v>
      </c>
      <c r="B776" s="0" t="s">
        <v>3459</v>
      </c>
      <c r="C776" s="0" t="s">
        <v>3450</v>
      </c>
      <c r="D776" s="0" t="s">
        <v>3448</v>
      </c>
      <c r="E776" s="0" t="s">
        <v>4963</v>
      </c>
      <c r="F776" s="0" t="s">
        <v>59</v>
      </c>
      <c r="G776" s="0" t="s">
        <v>4974</v>
      </c>
      <c r="H776" s="0" t="s">
        <v>69</v>
      </c>
      <c r="I776" s="0" t="s">
        <v>4975</v>
      </c>
      <c r="J776" s="20" t="s">
        <v>25</v>
      </c>
    </row>
    <row r="777" customFormat="false" ht="15" hidden="false" customHeight="false" outlineLevel="0" collapsed="false">
      <c r="A777" s="0" t="s">
        <v>785</v>
      </c>
      <c r="B777" s="0" t="s">
        <v>3459</v>
      </c>
      <c r="C777" s="0" t="s">
        <v>3447</v>
      </c>
      <c r="D777" s="0" t="s">
        <v>3457</v>
      </c>
      <c r="E777" s="0" t="s">
        <v>4969</v>
      </c>
      <c r="F777" s="0" t="s">
        <v>61</v>
      </c>
      <c r="G777" s="0" t="s">
        <v>4970</v>
      </c>
      <c r="H777" s="0" t="s">
        <v>5266</v>
      </c>
      <c r="I777" s="0" t="s">
        <v>4972</v>
      </c>
      <c r="J777" s="20" t="s">
        <v>25</v>
      </c>
    </row>
    <row r="778" customFormat="false" ht="15" hidden="false" customHeight="false" outlineLevel="0" collapsed="false">
      <c r="A778" s="0" t="s">
        <v>785</v>
      </c>
      <c r="B778" s="0" t="s">
        <v>134</v>
      </c>
      <c r="C778" s="0" t="s">
        <v>3450</v>
      </c>
      <c r="D778" s="0" t="s">
        <v>3448</v>
      </c>
      <c r="E778" s="0" t="s">
        <v>4963</v>
      </c>
      <c r="F778" s="0" t="s">
        <v>30</v>
      </c>
      <c r="G778" s="0" t="s">
        <v>4980</v>
      </c>
      <c r="H778" s="0" t="s">
        <v>4242</v>
      </c>
      <c r="I778" s="0" t="s">
        <v>4981</v>
      </c>
      <c r="J778" s="18" t="s">
        <v>24</v>
      </c>
    </row>
    <row r="779" customFormat="false" ht="15" hidden="false" customHeight="false" outlineLevel="0" collapsed="false">
      <c r="A779" s="0" t="s">
        <v>785</v>
      </c>
      <c r="B779" s="0" t="s">
        <v>134</v>
      </c>
      <c r="C779" s="0" t="s">
        <v>3447</v>
      </c>
      <c r="D779" s="0" t="s">
        <v>3448</v>
      </c>
      <c r="E779" s="0" t="s">
        <v>4963</v>
      </c>
      <c r="F779" s="0" t="s">
        <v>30</v>
      </c>
      <c r="G779" s="0" t="s">
        <v>4980</v>
      </c>
      <c r="H779" s="0" t="s">
        <v>4426</v>
      </c>
      <c r="I779" s="0" t="s">
        <v>4981</v>
      </c>
      <c r="J779" s="18" t="s">
        <v>24</v>
      </c>
    </row>
    <row r="780" customFormat="false" ht="15" hidden="false" customHeight="false" outlineLevel="0" collapsed="false">
      <c r="A780" s="0" t="s">
        <v>785</v>
      </c>
      <c r="B780" s="0" t="s">
        <v>3459</v>
      </c>
      <c r="C780" s="0" t="s">
        <v>3447</v>
      </c>
      <c r="D780" s="0" t="s">
        <v>3457</v>
      </c>
      <c r="E780" s="0" t="s">
        <v>4963</v>
      </c>
      <c r="F780" s="0" t="s">
        <v>30</v>
      </c>
      <c r="G780" s="0" t="s">
        <v>4980</v>
      </c>
      <c r="H780" s="0" t="s">
        <v>4429</v>
      </c>
      <c r="I780" s="0" t="s">
        <v>4981</v>
      </c>
      <c r="J780" s="18" t="s">
        <v>24</v>
      </c>
    </row>
    <row r="781" customFormat="false" ht="15" hidden="false" customHeight="false" outlineLevel="0" collapsed="false">
      <c r="A781" s="0" t="s">
        <v>785</v>
      </c>
      <c r="B781" s="0" t="s">
        <v>3459</v>
      </c>
      <c r="C781" s="0" t="s">
        <v>3447</v>
      </c>
      <c r="D781" s="0" t="s">
        <v>3448</v>
      </c>
      <c r="E781" s="0" t="s">
        <v>4963</v>
      </c>
      <c r="F781" s="0" t="s">
        <v>30</v>
      </c>
      <c r="G781" s="0" t="s">
        <v>4980</v>
      </c>
      <c r="H781" s="0" t="s">
        <v>4430</v>
      </c>
      <c r="I781" s="0" t="s">
        <v>4981</v>
      </c>
      <c r="J781" s="18" t="s">
        <v>24</v>
      </c>
    </row>
    <row r="782" customFormat="false" ht="15" hidden="false" customHeight="false" outlineLevel="0" collapsed="false">
      <c r="A782" s="0" t="s">
        <v>797</v>
      </c>
      <c r="B782" s="0" t="s">
        <v>134</v>
      </c>
      <c r="C782" s="0" t="s">
        <v>3450</v>
      </c>
      <c r="D782" s="0" t="s">
        <v>3457</v>
      </c>
      <c r="E782" s="0" t="s">
        <v>4963</v>
      </c>
      <c r="F782" s="0" t="s">
        <v>60</v>
      </c>
      <c r="G782" s="0" t="s">
        <v>4964</v>
      </c>
      <c r="H782" s="0" t="s">
        <v>5267</v>
      </c>
      <c r="I782" s="0" t="s">
        <v>4966</v>
      </c>
      <c r="J782" s="19" t="s">
        <v>26</v>
      </c>
    </row>
    <row r="783" customFormat="false" ht="15" hidden="false" customHeight="false" outlineLevel="0" collapsed="false">
      <c r="A783" s="0" t="s">
        <v>797</v>
      </c>
      <c r="B783" s="0" t="s">
        <v>134</v>
      </c>
      <c r="C783" s="0" t="s">
        <v>3450</v>
      </c>
      <c r="D783" s="0" t="s">
        <v>3448</v>
      </c>
      <c r="E783" s="0" t="s">
        <v>4963</v>
      </c>
      <c r="F783" s="0" t="s">
        <v>60</v>
      </c>
      <c r="G783" s="0" t="s">
        <v>4964</v>
      </c>
      <c r="H783" s="0" t="s">
        <v>5268</v>
      </c>
      <c r="I783" s="0" t="s">
        <v>4966</v>
      </c>
      <c r="J783" s="19" t="s">
        <v>26</v>
      </c>
    </row>
    <row r="784" customFormat="false" ht="15" hidden="false" customHeight="false" outlineLevel="0" collapsed="false">
      <c r="A784" s="0" t="s">
        <v>797</v>
      </c>
      <c r="B784" s="0" t="s">
        <v>134</v>
      </c>
      <c r="C784" s="0" t="s">
        <v>3447</v>
      </c>
      <c r="D784" s="0" t="s">
        <v>3457</v>
      </c>
      <c r="E784" s="0" t="s">
        <v>4963</v>
      </c>
      <c r="F784" s="0" t="s">
        <v>30</v>
      </c>
      <c r="G784" s="0" t="s">
        <v>4980</v>
      </c>
      <c r="H784" s="0" t="s">
        <v>4228</v>
      </c>
      <c r="I784" s="0" t="s">
        <v>4981</v>
      </c>
      <c r="J784" s="18" t="s">
        <v>24</v>
      </c>
    </row>
    <row r="785" customFormat="false" ht="15" hidden="false" customHeight="false" outlineLevel="0" collapsed="false">
      <c r="A785" s="0" t="s">
        <v>797</v>
      </c>
      <c r="B785" s="0" t="s">
        <v>134</v>
      </c>
      <c r="C785" s="0" t="s">
        <v>3447</v>
      </c>
      <c r="D785" s="0" t="s">
        <v>3448</v>
      </c>
      <c r="E785" s="0" t="s">
        <v>4963</v>
      </c>
      <c r="F785" s="0" t="s">
        <v>30</v>
      </c>
      <c r="G785" s="0" t="s">
        <v>4980</v>
      </c>
      <c r="H785" s="0" t="s">
        <v>4433</v>
      </c>
      <c r="I785" s="0" t="s">
        <v>4981</v>
      </c>
      <c r="J785" s="18" t="s">
        <v>24</v>
      </c>
    </row>
    <row r="786" customFormat="false" ht="15" hidden="false" customHeight="false" outlineLevel="0" collapsed="false">
      <c r="A786" s="0" t="s">
        <v>812</v>
      </c>
      <c r="B786" s="0" t="s">
        <v>134</v>
      </c>
      <c r="C786" s="0" t="s">
        <v>3450</v>
      </c>
      <c r="D786" s="0" t="s">
        <v>3457</v>
      </c>
      <c r="E786" s="0" t="s">
        <v>4963</v>
      </c>
      <c r="F786" s="0" t="s">
        <v>59</v>
      </c>
      <c r="G786" s="0" t="s">
        <v>4974</v>
      </c>
      <c r="H786" s="0" t="s">
        <v>69</v>
      </c>
      <c r="I786" s="0" t="s">
        <v>4975</v>
      </c>
      <c r="J786" s="20" t="s">
        <v>25</v>
      </c>
    </row>
    <row r="787" customFormat="false" ht="15" hidden="false" customHeight="false" outlineLevel="0" collapsed="false">
      <c r="A787" s="0" t="s">
        <v>812</v>
      </c>
      <c r="B787" s="0" t="s">
        <v>134</v>
      </c>
      <c r="C787" s="0" t="s">
        <v>3450</v>
      </c>
      <c r="D787" s="0" t="s">
        <v>3448</v>
      </c>
      <c r="E787" s="0" t="s">
        <v>4963</v>
      </c>
      <c r="F787" s="0" t="s">
        <v>59</v>
      </c>
      <c r="G787" s="0" t="s">
        <v>4974</v>
      </c>
      <c r="H787" s="0" t="s">
        <v>69</v>
      </c>
      <c r="I787" s="0" t="s">
        <v>4975</v>
      </c>
      <c r="J787" s="20" t="s">
        <v>25</v>
      </c>
    </row>
    <row r="788" customFormat="false" ht="15" hidden="false" customHeight="false" outlineLevel="0" collapsed="false">
      <c r="A788" s="0" t="s">
        <v>812</v>
      </c>
      <c r="B788" s="0" t="s">
        <v>134</v>
      </c>
      <c r="C788" s="0" t="s">
        <v>3450</v>
      </c>
      <c r="D788" s="0" t="s">
        <v>3457</v>
      </c>
      <c r="E788" s="0" t="s">
        <v>4963</v>
      </c>
      <c r="F788" s="0" t="s">
        <v>30</v>
      </c>
      <c r="G788" s="0" t="s">
        <v>4980</v>
      </c>
      <c r="H788" s="0" t="s">
        <v>4434</v>
      </c>
      <c r="I788" s="0" t="s">
        <v>4981</v>
      </c>
      <c r="J788" s="18" t="s">
        <v>24</v>
      </c>
    </row>
    <row r="789" customFormat="false" ht="15" hidden="false" customHeight="false" outlineLevel="0" collapsed="false">
      <c r="A789" s="0" t="s">
        <v>812</v>
      </c>
      <c r="B789" s="0" t="s">
        <v>134</v>
      </c>
      <c r="C789" s="0" t="s">
        <v>3450</v>
      </c>
      <c r="D789" s="0" t="s">
        <v>3448</v>
      </c>
      <c r="E789" s="0" t="s">
        <v>4963</v>
      </c>
      <c r="F789" s="0" t="s">
        <v>30</v>
      </c>
      <c r="G789" s="0" t="s">
        <v>4980</v>
      </c>
      <c r="H789" s="0" t="s">
        <v>4242</v>
      </c>
      <c r="I789" s="0" t="s">
        <v>4981</v>
      </c>
      <c r="J789" s="18" t="s">
        <v>24</v>
      </c>
    </row>
    <row r="790" customFormat="false" ht="15" hidden="false" customHeight="false" outlineLevel="0" collapsed="false">
      <c r="A790" s="0" t="s">
        <v>812</v>
      </c>
      <c r="B790" s="0" t="s">
        <v>134</v>
      </c>
      <c r="C790" s="0" t="s">
        <v>3447</v>
      </c>
      <c r="D790" s="0" t="s">
        <v>3457</v>
      </c>
      <c r="E790" s="0" t="s">
        <v>4963</v>
      </c>
      <c r="F790" s="0" t="s">
        <v>30</v>
      </c>
      <c r="G790" s="0" t="s">
        <v>4980</v>
      </c>
      <c r="H790" s="0" t="s">
        <v>4435</v>
      </c>
      <c r="I790" s="0" t="s">
        <v>4981</v>
      </c>
      <c r="J790" s="18" t="s">
        <v>24</v>
      </c>
    </row>
    <row r="791" customFormat="false" ht="15" hidden="false" customHeight="false" outlineLevel="0" collapsed="false">
      <c r="A791" s="0" t="s">
        <v>812</v>
      </c>
      <c r="B791" s="0" t="s">
        <v>134</v>
      </c>
      <c r="C791" s="0" t="s">
        <v>3447</v>
      </c>
      <c r="D791" s="0" t="s">
        <v>3448</v>
      </c>
      <c r="E791" s="0" t="s">
        <v>4963</v>
      </c>
      <c r="F791" s="0" t="s">
        <v>30</v>
      </c>
      <c r="G791" s="0" t="s">
        <v>4980</v>
      </c>
      <c r="H791" s="0" t="s">
        <v>4436</v>
      </c>
      <c r="I791" s="0" t="s">
        <v>4981</v>
      </c>
      <c r="J791" s="18" t="s">
        <v>24</v>
      </c>
    </row>
    <row r="792" customFormat="false" ht="15" hidden="false" customHeight="false" outlineLevel="0" collapsed="false">
      <c r="A792" s="0" t="s">
        <v>818</v>
      </c>
      <c r="B792" s="0" t="s">
        <v>134</v>
      </c>
      <c r="C792" s="0" t="s">
        <v>3450</v>
      </c>
      <c r="D792" s="0" t="s">
        <v>3457</v>
      </c>
      <c r="E792" s="0" t="s">
        <v>4963</v>
      </c>
      <c r="F792" s="0" t="s">
        <v>59</v>
      </c>
      <c r="G792" s="0" t="s">
        <v>4974</v>
      </c>
      <c r="H792" s="0" t="s">
        <v>69</v>
      </c>
      <c r="I792" s="0" t="s">
        <v>4975</v>
      </c>
      <c r="J792" s="20" t="s">
        <v>25</v>
      </c>
    </row>
    <row r="793" customFormat="false" ht="15" hidden="false" customHeight="false" outlineLevel="0" collapsed="false">
      <c r="A793" s="0" t="s">
        <v>818</v>
      </c>
      <c r="B793" s="0" t="s">
        <v>134</v>
      </c>
      <c r="C793" s="0" t="s">
        <v>3450</v>
      </c>
      <c r="D793" s="0" t="s">
        <v>3457</v>
      </c>
      <c r="E793" s="0" t="s">
        <v>4969</v>
      </c>
      <c r="F793" s="0" t="s">
        <v>62</v>
      </c>
      <c r="G793" s="0" t="s">
        <v>5003</v>
      </c>
      <c r="H793" s="0" t="s">
        <v>5269</v>
      </c>
      <c r="I793" s="0" t="s">
        <v>5005</v>
      </c>
      <c r="J793" s="20" t="s">
        <v>25</v>
      </c>
    </row>
    <row r="794" customFormat="false" ht="15" hidden="false" customHeight="false" outlineLevel="0" collapsed="false">
      <c r="A794" s="0" t="s">
        <v>818</v>
      </c>
      <c r="B794" s="0" t="s">
        <v>134</v>
      </c>
      <c r="C794" s="0" t="s">
        <v>3450</v>
      </c>
      <c r="D794" s="0" t="s">
        <v>3457</v>
      </c>
      <c r="E794" s="0" t="s">
        <v>4969</v>
      </c>
      <c r="F794" s="0" t="s">
        <v>64</v>
      </c>
      <c r="G794" s="0" t="s">
        <v>4220</v>
      </c>
      <c r="H794" s="0" t="s">
        <v>5270</v>
      </c>
      <c r="I794" s="0" t="s">
        <v>4991</v>
      </c>
      <c r="J794" s="20" t="s">
        <v>25</v>
      </c>
    </row>
    <row r="795" customFormat="false" ht="15" hidden="false" customHeight="false" outlineLevel="0" collapsed="false">
      <c r="A795" s="0" t="s">
        <v>818</v>
      </c>
      <c r="B795" s="0" t="s">
        <v>134</v>
      </c>
      <c r="C795" s="0" t="s">
        <v>3450</v>
      </c>
      <c r="D795" s="0" t="s">
        <v>3448</v>
      </c>
      <c r="E795" s="0" t="s">
        <v>4969</v>
      </c>
      <c r="F795" s="0" t="s">
        <v>62</v>
      </c>
      <c r="G795" s="0" t="s">
        <v>5003</v>
      </c>
      <c r="H795" s="0" t="s">
        <v>5271</v>
      </c>
      <c r="I795" s="0" t="s">
        <v>5005</v>
      </c>
      <c r="J795" s="20" t="s">
        <v>25</v>
      </c>
    </row>
    <row r="796" customFormat="false" ht="15" hidden="false" customHeight="false" outlineLevel="0" collapsed="false">
      <c r="A796" s="0" t="s">
        <v>818</v>
      </c>
      <c r="B796" s="0" t="s">
        <v>134</v>
      </c>
      <c r="C796" s="0" t="s">
        <v>3450</v>
      </c>
      <c r="D796" s="0" t="s">
        <v>3448</v>
      </c>
      <c r="E796" s="0" t="s">
        <v>4969</v>
      </c>
      <c r="F796" s="0" t="s">
        <v>64</v>
      </c>
      <c r="G796" s="0" t="s">
        <v>4220</v>
      </c>
      <c r="H796" s="0" t="s">
        <v>5272</v>
      </c>
      <c r="I796" s="0" t="s">
        <v>4991</v>
      </c>
      <c r="J796" s="20" t="s">
        <v>25</v>
      </c>
    </row>
    <row r="797" customFormat="false" ht="15" hidden="false" customHeight="false" outlineLevel="0" collapsed="false">
      <c r="A797" s="0" t="s">
        <v>818</v>
      </c>
      <c r="B797" s="0" t="s">
        <v>134</v>
      </c>
      <c r="C797" s="0" t="s">
        <v>3447</v>
      </c>
      <c r="D797" s="0" t="s">
        <v>3457</v>
      </c>
      <c r="E797" s="0" t="s">
        <v>4969</v>
      </c>
      <c r="F797" s="0" t="s">
        <v>64</v>
      </c>
      <c r="G797" s="0" t="s">
        <v>4220</v>
      </c>
      <c r="H797" s="0" t="s">
        <v>5270</v>
      </c>
      <c r="I797" s="0" t="s">
        <v>4991</v>
      </c>
      <c r="J797" s="20" t="s">
        <v>25</v>
      </c>
    </row>
    <row r="798" customFormat="false" ht="15" hidden="false" customHeight="false" outlineLevel="0" collapsed="false">
      <c r="A798" s="0" t="s">
        <v>818</v>
      </c>
      <c r="B798" s="0" t="s">
        <v>134</v>
      </c>
      <c r="C798" s="0" t="s">
        <v>3447</v>
      </c>
      <c r="D798" s="0" t="s">
        <v>3448</v>
      </c>
      <c r="E798" s="0" t="s">
        <v>4969</v>
      </c>
      <c r="F798" s="0" t="s">
        <v>64</v>
      </c>
      <c r="G798" s="0" t="s">
        <v>4220</v>
      </c>
      <c r="H798" s="0" t="s">
        <v>5272</v>
      </c>
      <c r="I798" s="0" t="s">
        <v>4991</v>
      </c>
      <c r="J798" s="20" t="s">
        <v>25</v>
      </c>
    </row>
    <row r="799" customFormat="false" ht="15" hidden="false" customHeight="false" outlineLevel="0" collapsed="false">
      <c r="A799" s="0" t="s">
        <v>818</v>
      </c>
      <c r="B799" s="0" t="s">
        <v>134</v>
      </c>
      <c r="C799" s="0" t="s">
        <v>3450</v>
      </c>
      <c r="D799" s="0" t="s">
        <v>3457</v>
      </c>
      <c r="E799" s="0" t="s">
        <v>4963</v>
      </c>
      <c r="F799" s="0" t="s">
        <v>30</v>
      </c>
      <c r="G799" s="0" t="s">
        <v>4980</v>
      </c>
      <c r="H799" s="0" t="s">
        <v>4265</v>
      </c>
      <c r="I799" s="0" t="s">
        <v>4981</v>
      </c>
      <c r="J799" s="18" t="s">
        <v>24</v>
      </c>
    </row>
    <row r="800" customFormat="false" ht="15" hidden="false" customHeight="false" outlineLevel="0" collapsed="false">
      <c r="A800" s="0" t="s">
        <v>818</v>
      </c>
      <c r="B800" s="0" t="s">
        <v>134</v>
      </c>
      <c r="C800" s="0" t="s">
        <v>3447</v>
      </c>
      <c r="D800" s="0" t="s">
        <v>3457</v>
      </c>
      <c r="E800" s="0" t="s">
        <v>4963</v>
      </c>
      <c r="F800" s="0" t="s">
        <v>30</v>
      </c>
      <c r="G800" s="0" t="s">
        <v>4980</v>
      </c>
      <c r="H800" s="0" t="s">
        <v>4426</v>
      </c>
      <c r="I800" s="0" t="s">
        <v>4981</v>
      </c>
      <c r="J800" s="18" t="s">
        <v>24</v>
      </c>
    </row>
    <row r="801" customFormat="false" ht="15" hidden="false" customHeight="false" outlineLevel="0" collapsed="false">
      <c r="A801" s="0" t="s">
        <v>824</v>
      </c>
      <c r="B801" s="0" t="s">
        <v>134</v>
      </c>
      <c r="C801" s="0" t="s">
        <v>3450</v>
      </c>
      <c r="D801" s="0" t="s">
        <v>3457</v>
      </c>
      <c r="E801" s="0" t="s">
        <v>4963</v>
      </c>
      <c r="F801" s="0" t="s">
        <v>59</v>
      </c>
      <c r="G801" s="0" t="s">
        <v>4974</v>
      </c>
      <c r="H801" s="0" t="s">
        <v>69</v>
      </c>
      <c r="I801" s="0" t="s">
        <v>4975</v>
      </c>
      <c r="J801" s="20" t="s">
        <v>25</v>
      </c>
    </row>
    <row r="802" customFormat="false" ht="15" hidden="false" customHeight="false" outlineLevel="0" collapsed="false">
      <c r="A802" s="0" t="s">
        <v>824</v>
      </c>
      <c r="B802" s="0" t="s">
        <v>134</v>
      </c>
      <c r="C802" s="0" t="s">
        <v>3450</v>
      </c>
      <c r="D802" s="0" t="s">
        <v>3448</v>
      </c>
      <c r="E802" s="0" t="s">
        <v>4969</v>
      </c>
      <c r="F802" s="0" t="s">
        <v>61</v>
      </c>
      <c r="G802" s="0" t="s">
        <v>4970</v>
      </c>
      <c r="H802" s="0" t="s">
        <v>5273</v>
      </c>
      <c r="I802" s="0" t="s">
        <v>4972</v>
      </c>
      <c r="J802" s="20" t="s">
        <v>25</v>
      </c>
    </row>
    <row r="803" customFormat="false" ht="15" hidden="false" customHeight="false" outlineLevel="0" collapsed="false">
      <c r="A803" s="0" t="s">
        <v>824</v>
      </c>
      <c r="B803" s="0" t="s">
        <v>134</v>
      </c>
      <c r="C803" s="0" t="s">
        <v>3447</v>
      </c>
      <c r="D803" s="0" t="s">
        <v>3457</v>
      </c>
      <c r="E803" s="0" t="s">
        <v>4963</v>
      </c>
      <c r="F803" s="0" t="s">
        <v>59</v>
      </c>
      <c r="G803" s="0" t="s">
        <v>4974</v>
      </c>
      <c r="H803" s="0" t="s">
        <v>69</v>
      </c>
      <c r="I803" s="0" t="s">
        <v>4975</v>
      </c>
      <c r="J803" s="20" t="s">
        <v>25</v>
      </c>
    </row>
    <row r="804" customFormat="false" ht="15" hidden="false" customHeight="false" outlineLevel="0" collapsed="false">
      <c r="A804" s="0" t="s">
        <v>824</v>
      </c>
      <c r="B804" s="0" t="s">
        <v>134</v>
      </c>
      <c r="C804" s="0" t="s">
        <v>3450</v>
      </c>
      <c r="D804" s="0" t="s">
        <v>3457</v>
      </c>
      <c r="E804" s="0" t="s">
        <v>4963</v>
      </c>
      <c r="F804" s="0" t="s">
        <v>30</v>
      </c>
      <c r="G804" s="0" t="s">
        <v>4980</v>
      </c>
      <c r="H804" s="0" t="s">
        <v>4242</v>
      </c>
      <c r="I804" s="0" t="s">
        <v>4981</v>
      </c>
      <c r="J804" s="18" t="s">
        <v>24</v>
      </c>
    </row>
    <row r="805" customFormat="false" ht="15" hidden="false" customHeight="false" outlineLevel="0" collapsed="false">
      <c r="A805" s="0" t="s">
        <v>824</v>
      </c>
      <c r="B805" s="0" t="s">
        <v>134</v>
      </c>
      <c r="C805" s="0" t="s">
        <v>3447</v>
      </c>
      <c r="D805" s="0" t="s">
        <v>3457</v>
      </c>
      <c r="E805" s="0" t="s">
        <v>4963</v>
      </c>
      <c r="F805" s="0" t="s">
        <v>30</v>
      </c>
      <c r="G805" s="0" t="s">
        <v>4980</v>
      </c>
      <c r="H805" s="0" t="s">
        <v>4242</v>
      </c>
      <c r="I805" s="0" t="s">
        <v>4981</v>
      </c>
      <c r="J805" s="18" t="s">
        <v>24</v>
      </c>
    </row>
    <row r="806" customFormat="false" ht="15" hidden="false" customHeight="false" outlineLevel="0" collapsed="false">
      <c r="A806" s="0" t="s">
        <v>824</v>
      </c>
      <c r="B806" s="0" t="s">
        <v>134</v>
      </c>
      <c r="C806" s="0" t="s">
        <v>3447</v>
      </c>
      <c r="D806" s="0" t="s">
        <v>3448</v>
      </c>
      <c r="E806" s="0" t="s">
        <v>4963</v>
      </c>
      <c r="F806" s="0" t="s">
        <v>30</v>
      </c>
      <c r="G806" s="0" t="s">
        <v>4980</v>
      </c>
      <c r="H806" s="0" t="s">
        <v>4437</v>
      </c>
      <c r="I806" s="0" t="s">
        <v>4981</v>
      </c>
      <c r="J806" s="18" t="s">
        <v>24</v>
      </c>
    </row>
    <row r="807" customFormat="false" ht="15" hidden="false" customHeight="false" outlineLevel="0" collapsed="false">
      <c r="A807" s="0" t="s">
        <v>830</v>
      </c>
      <c r="B807" s="0" t="s">
        <v>134</v>
      </c>
      <c r="C807" s="0" t="s">
        <v>3450</v>
      </c>
      <c r="D807" s="0" t="s">
        <v>3457</v>
      </c>
      <c r="E807" s="0" t="s">
        <v>4969</v>
      </c>
      <c r="F807" s="0" t="s">
        <v>61</v>
      </c>
      <c r="G807" s="0" t="s">
        <v>4970</v>
      </c>
      <c r="H807" s="0" t="s">
        <v>5274</v>
      </c>
      <c r="I807" s="0" t="s">
        <v>4972</v>
      </c>
      <c r="J807" s="20" t="s">
        <v>25</v>
      </c>
    </row>
    <row r="808" customFormat="false" ht="15" hidden="false" customHeight="false" outlineLevel="0" collapsed="false">
      <c r="A808" s="0" t="s">
        <v>830</v>
      </c>
      <c r="B808" s="0" t="s">
        <v>134</v>
      </c>
      <c r="C808" s="0" t="s">
        <v>3450</v>
      </c>
      <c r="D808" s="0" t="s">
        <v>3448</v>
      </c>
      <c r="E808" s="0" t="s">
        <v>4969</v>
      </c>
      <c r="F808" s="0" t="s">
        <v>63</v>
      </c>
      <c r="G808" s="0" t="s">
        <v>4220</v>
      </c>
      <c r="H808" s="0" t="s">
        <v>5275</v>
      </c>
      <c r="I808" s="0" t="s">
        <v>4979</v>
      </c>
      <c r="J808" s="20" t="s">
        <v>25</v>
      </c>
    </row>
    <row r="809" customFormat="false" ht="15" hidden="false" customHeight="false" outlineLevel="0" collapsed="false">
      <c r="A809" s="0" t="s">
        <v>830</v>
      </c>
      <c r="B809" s="0" t="s">
        <v>134</v>
      </c>
      <c r="C809" s="0" t="s">
        <v>3447</v>
      </c>
      <c r="D809" s="0" t="s">
        <v>3457</v>
      </c>
      <c r="E809" s="0" t="s">
        <v>4969</v>
      </c>
      <c r="F809" s="0" t="s">
        <v>61</v>
      </c>
      <c r="G809" s="0" t="s">
        <v>4970</v>
      </c>
      <c r="H809" s="0" t="s">
        <v>5276</v>
      </c>
      <c r="I809" s="0" t="s">
        <v>4972</v>
      </c>
      <c r="J809" s="20" t="s">
        <v>25</v>
      </c>
    </row>
    <row r="810" customFormat="false" ht="15" hidden="false" customHeight="false" outlineLevel="0" collapsed="false">
      <c r="A810" s="0" t="s">
        <v>830</v>
      </c>
      <c r="B810" s="0" t="s">
        <v>134</v>
      </c>
      <c r="C810" s="0" t="s">
        <v>3447</v>
      </c>
      <c r="D810" s="0" t="s">
        <v>3448</v>
      </c>
      <c r="E810" s="0" t="s">
        <v>4969</v>
      </c>
      <c r="F810" s="0" t="s">
        <v>63</v>
      </c>
      <c r="G810" s="0" t="s">
        <v>4220</v>
      </c>
      <c r="H810" s="0" t="s">
        <v>5275</v>
      </c>
      <c r="I810" s="0" t="s">
        <v>4979</v>
      </c>
      <c r="J810" s="20" t="s">
        <v>25</v>
      </c>
    </row>
    <row r="811" customFormat="false" ht="15" hidden="false" customHeight="false" outlineLevel="0" collapsed="false">
      <c r="A811" s="0" t="s">
        <v>830</v>
      </c>
      <c r="B811" s="0" t="s">
        <v>3459</v>
      </c>
      <c r="C811" s="0" t="s">
        <v>3450</v>
      </c>
      <c r="D811" s="0" t="s">
        <v>3448</v>
      </c>
      <c r="E811" s="0" t="s">
        <v>4963</v>
      </c>
      <c r="F811" s="0" t="s">
        <v>59</v>
      </c>
      <c r="G811" s="0" t="s">
        <v>4974</v>
      </c>
      <c r="H811" s="0" t="s">
        <v>69</v>
      </c>
      <c r="I811" s="0" t="s">
        <v>4975</v>
      </c>
      <c r="J811" s="20" t="s">
        <v>25</v>
      </c>
    </row>
    <row r="812" customFormat="false" ht="15" hidden="false" customHeight="false" outlineLevel="0" collapsed="false">
      <c r="A812" s="0" t="s">
        <v>830</v>
      </c>
      <c r="B812" s="0" t="s">
        <v>134</v>
      </c>
      <c r="C812" s="0" t="s">
        <v>3447</v>
      </c>
      <c r="D812" s="0" t="s">
        <v>3457</v>
      </c>
      <c r="E812" s="0" t="s">
        <v>4963</v>
      </c>
      <c r="F812" s="0" t="s">
        <v>30</v>
      </c>
      <c r="G812" s="0" t="s">
        <v>4980</v>
      </c>
      <c r="H812" s="0" t="s">
        <v>4438</v>
      </c>
      <c r="I812" s="0" t="s">
        <v>4981</v>
      </c>
      <c r="J812" s="18" t="s">
        <v>24</v>
      </c>
    </row>
    <row r="813" customFormat="false" ht="15" hidden="false" customHeight="false" outlineLevel="0" collapsed="false">
      <c r="A813" s="0" t="s">
        <v>830</v>
      </c>
      <c r="B813" s="0" t="s">
        <v>3459</v>
      </c>
      <c r="C813" s="0" t="s">
        <v>3450</v>
      </c>
      <c r="D813" s="0" t="s">
        <v>3457</v>
      </c>
      <c r="E813" s="0" t="s">
        <v>4963</v>
      </c>
      <c r="F813" s="0" t="s">
        <v>30</v>
      </c>
      <c r="G813" s="0" t="s">
        <v>4980</v>
      </c>
      <c r="H813" s="0" t="s">
        <v>4439</v>
      </c>
      <c r="I813" s="0" t="s">
        <v>4981</v>
      </c>
      <c r="J813" s="18" t="s">
        <v>24</v>
      </c>
    </row>
    <row r="814" customFormat="false" ht="15" hidden="false" customHeight="false" outlineLevel="0" collapsed="false">
      <c r="A814" s="0" t="s">
        <v>830</v>
      </c>
      <c r="B814" s="0" t="s">
        <v>3459</v>
      </c>
      <c r="C814" s="0" t="s">
        <v>3450</v>
      </c>
      <c r="D814" s="0" t="s">
        <v>3448</v>
      </c>
      <c r="E814" s="0" t="s">
        <v>4963</v>
      </c>
      <c r="F814" s="0" t="s">
        <v>30</v>
      </c>
      <c r="G814" s="0" t="s">
        <v>4980</v>
      </c>
      <c r="H814" s="0" t="s">
        <v>4275</v>
      </c>
      <c r="I814" s="0" t="s">
        <v>4981</v>
      </c>
      <c r="J814" s="18" t="s">
        <v>24</v>
      </c>
    </row>
    <row r="815" customFormat="false" ht="15" hidden="false" customHeight="false" outlineLevel="0" collapsed="false">
      <c r="A815" s="0" t="s">
        <v>830</v>
      </c>
      <c r="B815" s="0" t="s">
        <v>3459</v>
      </c>
      <c r="C815" s="0" t="s">
        <v>3447</v>
      </c>
      <c r="D815" s="0" t="s">
        <v>3457</v>
      </c>
      <c r="E815" s="0" t="s">
        <v>4963</v>
      </c>
      <c r="F815" s="0" t="s">
        <v>30</v>
      </c>
      <c r="G815" s="0" t="s">
        <v>4980</v>
      </c>
      <c r="H815" s="0" t="s">
        <v>4440</v>
      </c>
      <c r="I815" s="0" t="s">
        <v>4981</v>
      </c>
      <c r="J815" s="18" t="s">
        <v>24</v>
      </c>
    </row>
    <row r="816" customFormat="false" ht="15" hidden="false" customHeight="false" outlineLevel="0" collapsed="false">
      <c r="A816" s="0" t="s">
        <v>830</v>
      </c>
      <c r="B816" s="0" t="s">
        <v>3459</v>
      </c>
      <c r="C816" s="0" t="s">
        <v>3447</v>
      </c>
      <c r="D816" s="0" t="s">
        <v>3448</v>
      </c>
      <c r="E816" s="0" t="s">
        <v>4963</v>
      </c>
      <c r="F816" s="0" t="s">
        <v>30</v>
      </c>
      <c r="G816" s="0" t="s">
        <v>4980</v>
      </c>
      <c r="H816" s="0" t="s">
        <v>4441</v>
      </c>
      <c r="I816" s="0" t="s">
        <v>4981</v>
      </c>
      <c r="J816" s="18" t="s">
        <v>24</v>
      </c>
    </row>
    <row r="817" customFormat="false" ht="15" hidden="false" customHeight="false" outlineLevel="0" collapsed="false">
      <c r="A817" s="0" t="s">
        <v>839</v>
      </c>
      <c r="B817" s="0" t="s">
        <v>134</v>
      </c>
      <c r="C817" s="0" t="s">
        <v>3450</v>
      </c>
      <c r="D817" s="0" t="s">
        <v>3457</v>
      </c>
      <c r="E817" s="0" t="s">
        <v>4963</v>
      </c>
      <c r="F817" s="0" t="s">
        <v>59</v>
      </c>
      <c r="G817" s="0" t="s">
        <v>4974</v>
      </c>
      <c r="H817" s="0" t="s">
        <v>69</v>
      </c>
      <c r="I817" s="0" t="s">
        <v>4975</v>
      </c>
      <c r="J817" s="20" t="s">
        <v>25</v>
      </c>
    </row>
    <row r="818" customFormat="false" ht="15" hidden="false" customHeight="false" outlineLevel="0" collapsed="false">
      <c r="A818" s="0" t="s">
        <v>839</v>
      </c>
      <c r="B818" s="0" t="s">
        <v>134</v>
      </c>
      <c r="C818" s="0" t="s">
        <v>3450</v>
      </c>
      <c r="D818" s="0" t="s">
        <v>3448</v>
      </c>
      <c r="E818" s="0" t="s">
        <v>4963</v>
      </c>
      <c r="F818" s="0" t="s">
        <v>59</v>
      </c>
      <c r="G818" s="0" t="s">
        <v>4974</v>
      </c>
      <c r="H818" s="0" t="s">
        <v>69</v>
      </c>
      <c r="I818" s="0" t="s">
        <v>4975</v>
      </c>
      <c r="J818" s="20" t="s">
        <v>25</v>
      </c>
    </row>
    <row r="819" customFormat="false" ht="15" hidden="false" customHeight="false" outlineLevel="0" collapsed="false">
      <c r="A819" s="0" t="s">
        <v>839</v>
      </c>
      <c r="B819" s="0" t="s">
        <v>134</v>
      </c>
      <c r="C819" s="0" t="s">
        <v>3447</v>
      </c>
      <c r="D819" s="0" t="s">
        <v>3457</v>
      </c>
      <c r="E819" s="0" t="s">
        <v>4963</v>
      </c>
      <c r="F819" s="0" t="s">
        <v>59</v>
      </c>
      <c r="G819" s="0" t="s">
        <v>4974</v>
      </c>
      <c r="H819" s="0" t="s">
        <v>69</v>
      </c>
      <c r="I819" s="0" t="s">
        <v>4975</v>
      </c>
      <c r="J819" s="20" t="s">
        <v>25</v>
      </c>
    </row>
    <row r="820" customFormat="false" ht="15" hidden="false" customHeight="false" outlineLevel="0" collapsed="false">
      <c r="A820" s="0" t="s">
        <v>839</v>
      </c>
      <c r="B820" s="0" t="s">
        <v>134</v>
      </c>
      <c r="C820" s="0" t="s">
        <v>3447</v>
      </c>
      <c r="D820" s="0" t="s">
        <v>3448</v>
      </c>
      <c r="E820" s="0" t="s">
        <v>4963</v>
      </c>
      <c r="F820" s="0" t="s">
        <v>59</v>
      </c>
      <c r="G820" s="0" t="s">
        <v>4974</v>
      </c>
      <c r="H820" s="0" t="s">
        <v>69</v>
      </c>
      <c r="I820" s="0" t="s">
        <v>4975</v>
      </c>
      <c r="J820" s="20" t="s">
        <v>25</v>
      </c>
    </row>
    <row r="821" customFormat="false" ht="15" hidden="false" customHeight="false" outlineLevel="0" collapsed="false">
      <c r="A821" s="0" t="s">
        <v>839</v>
      </c>
      <c r="B821" s="0" t="s">
        <v>134</v>
      </c>
      <c r="C821" s="0" t="s">
        <v>3450</v>
      </c>
      <c r="D821" s="0" t="s">
        <v>3457</v>
      </c>
      <c r="E821" s="0" t="s">
        <v>4963</v>
      </c>
      <c r="F821" s="0" t="s">
        <v>30</v>
      </c>
      <c r="G821" s="0" t="s">
        <v>4980</v>
      </c>
      <c r="H821" s="0" t="s">
        <v>4275</v>
      </c>
      <c r="I821" s="0" t="s">
        <v>4981</v>
      </c>
      <c r="J821" s="18" t="s">
        <v>24</v>
      </c>
    </row>
    <row r="822" customFormat="false" ht="15" hidden="false" customHeight="false" outlineLevel="0" collapsed="false">
      <c r="A822" s="0" t="s">
        <v>839</v>
      </c>
      <c r="B822" s="0" t="s">
        <v>134</v>
      </c>
      <c r="C822" s="0" t="s">
        <v>3450</v>
      </c>
      <c r="D822" s="0" t="s">
        <v>3448</v>
      </c>
      <c r="E822" s="0" t="s">
        <v>4963</v>
      </c>
      <c r="F822" s="0" t="s">
        <v>30</v>
      </c>
      <c r="G822" s="0" t="s">
        <v>4980</v>
      </c>
      <c r="H822" s="0" t="s">
        <v>4265</v>
      </c>
      <c r="I822" s="0" t="s">
        <v>4981</v>
      </c>
      <c r="J822" s="18" t="s">
        <v>24</v>
      </c>
    </row>
    <row r="823" customFormat="false" ht="15" hidden="false" customHeight="false" outlineLevel="0" collapsed="false">
      <c r="A823" s="0" t="s">
        <v>839</v>
      </c>
      <c r="B823" s="0" t="s">
        <v>134</v>
      </c>
      <c r="C823" s="0" t="s">
        <v>3447</v>
      </c>
      <c r="D823" s="0" t="s">
        <v>3457</v>
      </c>
      <c r="E823" s="0" t="s">
        <v>4963</v>
      </c>
      <c r="F823" s="0" t="s">
        <v>30</v>
      </c>
      <c r="G823" s="0" t="s">
        <v>4980</v>
      </c>
      <c r="H823" s="0" t="s">
        <v>4442</v>
      </c>
      <c r="I823" s="0" t="s">
        <v>4981</v>
      </c>
      <c r="J823" s="18" t="s">
        <v>24</v>
      </c>
    </row>
    <row r="824" customFormat="false" ht="15" hidden="false" customHeight="false" outlineLevel="0" collapsed="false">
      <c r="A824" s="0" t="s">
        <v>839</v>
      </c>
      <c r="B824" s="0" t="s">
        <v>134</v>
      </c>
      <c r="C824" s="0" t="s">
        <v>3447</v>
      </c>
      <c r="D824" s="0" t="s">
        <v>3448</v>
      </c>
      <c r="E824" s="0" t="s">
        <v>4963</v>
      </c>
      <c r="F824" s="0" t="s">
        <v>30</v>
      </c>
      <c r="G824" s="0" t="s">
        <v>4980</v>
      </c>
      <c r="H824" s="0" t="s">
        <v>4442</v>
      </c>
      <c r="I824" s="0" t="s">
        <v>4981</v>
      </c>
      <c r="J824" s="18" t="s">
        <v>24</v>
      </c>
    </row>
    <row r="825" customFormat="false" ht="15" hidden="false" customHeight="false" outlineLevel="0" collapsed="false">
      <c r="A825" s="0" t="s">
        <v>846</v>
      </c>
      <c r="B825" s="0" t="s">
        <v>134</v>
      </c>
      <c r="C825" s="0" t="s">
        <v>3450</v>
      </c>
      <c r="D825" s="0" t="s">
        <v>3448</v>
      </c>
      <c r="E825" s="0" t="s">
        <v>4963</v>
      </c>
      <c r="F825" s="0" t="s">
        <v>60</v>
      </c>
      <c r="G825" s="0" t="s">
        <v>4964</v>
      </c>
      <c r="H825" s="0" t="s">
        <v>5277</v>
      </c>
      <c r="I825" s="0" t="s">
        <v>4966</v>
      </c>
      <c r="J825" s="19" t="s">
        <v>26</v>
      </c>
    </row>
    <row r="826" customFormat="false" ht="15" hidden="false" customHeight="false" outlineLevel="0" collapsed="false">
      <c r="A826" s="0" t="s">
        <v>846</v>
      </c>
      <c r="B826" s="0" t="s">
        <v>134</v>
      </c>
      <c r="C826" s="0" t="s">
        <v>3450</v>
      </c>
      <c r="D826" s="0" t="s">
        <v>3457</v>
      </c>
      <c r="E826" s="0" t="s">
        <v>4963</v>
      </c>
      <c r="F826" s="0" t="s">
        <v>59</v>
      </c>
      <c r="G826" s="0" t="s">
        <v>4974</v>
      </c>
      <c r="H826" s="0" t="s">
        <v>69</v>
      </c>
      <c r="I826" s="0" t="s">
        <v>4975</v>
      </c>
      <c r="J826" s="20" t="s">
        <v>25</v>
      </c>
    </row>
    <row r="827" customFormat="false" ht="15" hidden="false" customHeight="false" outlineLevel="0" collapsed="false">
      <c r="A827" s="0" t="s">
        <v>846</v>
      </c>
      <c r="B827" s="0" t="s">
        <v>134</v>
      </c>
      <c r="C827" s="0" t="s">
        <v>3450</v>
      </c>
      <c r="D827" s="0" t="s">
        <v>3457</v>
      </c>
      <c r="E827" s="0" t="s">
        <v>4969</v>
      </c>
      <c r="F827" s="0" t="s">
        <v>62</v>
      </c>
      <c r="G827" s="0" t="s">
        <v>5003</v>
      </c>
      <c r="H827" s="0" t="s">
        <v>5278</v>
      </c>
      <c r="I827" s="0" t="s">
        <v>5005</v>
      </c>
      <c r="J827" s="20" t="s">
        <v>25</v>
      </c>
    </row>
    <row r="828" customFormat="false" ht="15" hidden="false" customHeight="false" outlineLevel="0" collapsed="false">
      <c r="A828" s="0" t="s">
        <v>846</v>
      </c>
      <c r="B828" s="0" t="s">
        <v>134</v>
      </c>
      <c r="C828" s="0" t="s">
        <v>3450</v>
      </c>
      <c r="D828" s="0" t="s">
        <v>3457</v>
      </c>
      <c r="E828" s="0" t="s">
        <v>4969</v>
      </c>
      <c r="F828" s="0" t="s">
        <v>64</v>
      </c>
      <c r="G828" s="0" t="s">
        <v>4220</v>
      </c>
      <c r="H828" s="0" t="s">
        <v>5279</v>
      </c>
      <c r="I828" s="0" t="s">
        <v>4991</v>
      </c>
      <c r="J828" s="20" t="s">
        <v>25</v>
      </c>
    </row>
    <row r="829" customFormat="false" ht="15" hidden="false" customHeight="false" outlineLevel="0" collapsed="false">
      <c r="A829" s="0" t="s">
        <v>846</v>
      </c>
      <c r="B829" s="0" t="s">
        <v>134</v>
      </c>
      <c r="C829" s="0" t="s">
        <v>3450</v>
      </c>
      <c r="D829" s="0" t="s">
        <v>3448</v>
      </c>
      <c r="E829" s="0" t="s">
        <v>4963</v>
      </c>
      <c r="F829" s="0" t="s">
        <v>59</v>
      </c>
      <c r="G829" s="0" t="s">
        <v>4974</v>
      </c>
      <c r="H829" s="0" t="s">
        <v>69</v>
      </c>
      <c r="I829" s="0" t="s">
        <v>4975</v>
      </c>
      <c r="J829" s="20" t="s">
        <v>25</v>
      </c>
    </row>
    <row r="830" customFormat="false" ht="15" hidden="false" customHeight="false" outlineLevel="0" collapsed="false">
      <c r="A830" s="0" t="s">
        <v>846</v>
      </c>
      <c r="B830" s="0" t="s">
        <v>134</v>
      </c>
      <c r="C830" s="0" t="s">
        <v>3450</v>
      </c>
      <c r="D830" s="0" t="s">
        <v>3448</v>
      </c>
      <c r="E830" s="0" t="s">
        <v>4969</v>
      </c>
      <c r="F830" s="0" t="s">
        <v>62</v>
      </c>
      <c r="G830" s="0" t="s">
        <v>5003</v>
      </c>
      <c r="H830" s="0" t="s">
        <v>5280</v>
      </c>
      <c r="I830" s="0" t="s">
        <v>5005</v>
      </c>
      <c r="J830" s="20" t="s">
        <v>25</v>
      </c>
    </row>
    <row r="831" customFormat="false" ht="15" hidden="false" customHeight="false" outlineLevel="0" collapsed="false">
      <c r="A831" s="0" t="s">
        <v>846</v>
      </c>
      <c r="B831" s="0" t="s">
        <v>134</v>
      </c>
      <c r="C831" s="0" t="s">
        <v>3447</v>
      </c>
      <c r="D831" s="0" t="s">
        <v>3457</v>
      </c>
      <c r="E831" s="0" t="s">
        <v>4963</v>
      </c>
      <c r="F831" s="0" t="s">
        <v>59</v>
      </c>
      <c r="G831" s="0" t="s">
        <v>4974</v>
      </c>
      <c r="H831" s="0" t="s">
        <v>69</v>
      </c>
      <c r="I831" s="0" t="s">
        <v>4975</v>
      </c>
      <c r="J831" s="20" t="s">
        <v>25</v>
      </c>
    </row>
    <row r="832" customFormat="false" ht="15" hidden="false" customHeight="false" outlineLevel="0" collapsed="false">
      <c r="A832" s="0" t="s">
        <v>846</v>
      </c>
      <c r="B832" s="0" t="s">
        <v>134</v>
      </c>
      <c r="C832" s="0" t="s">
        <v>3447</v>
      </c>
      <c r="D832" s="0" t="s">
        <v>3457</v>
      </c>
      <c r="E832" s="0" t="s">
        <v>4969</v>
      </c>
      <c r="F832" s="0" t="s">
        <v>64</v>
      </c>
      <c r="G832" s="0" t="s">
        <v>4220</v>
      </c>
      <c r="H832" s="0" t="s">
        <v>5279</v>
      </c>
      <c r="I832" s="0" t="s">
        <v>4991</v>
      </c>
      <c r="J832" s="20" t="s">
        <v>25</v>
      </c>
    </row>
    <row r="833" customFormat="false" ht="15" hidden="false" customHeight="false" outlineLevel="0" collapsed="false">
      <c r="A833" s="0" t="s">
        <v>846</v>
      </c>
      <c r="B833" s="0" t="s">
        <v>134</v>
      </c>
      <c r="C833" s="0" t="s">
        <v>3450</v>
      </c>
      <c r="D833" s="0" t="s">
        <v>3457</v>
      </c>
      <c r="E833" s="0" t="s">
        <v>4963</v>
      </c>
      <c r="F833" s="0" t="s">
        <v>30</v>
      </c>
      <c r="G833" s="0" t="s">
        <v>4980</v>
      </c>
      <c r="H833" s="0" t="s">
        <v>4443</v>
      </c>
      <c r="I833" s="0" t="s">
        <v>4981</v>
      </c>
      <c r="J833" s="18" t="s">
        <v>24</v>
      </c>
    </row>
    <row r="834" customFormat="false" ht="15" hidden="false" customHeight="false" outlineLevel="0" collapsed="false">
      <c r="A834" s="0" t="s">
        <v>846</v>
      </c>
      <c r="B834" s="0" t="s">
        <v>134</v>
      </c>
      <c r="C834" s="0" t="s">
        <v>3447</v>
      </c>
      <c r="D834" s="0" t="s">
        <v>3457</v>
      </c>
      <c r="E834" s="0" t="s">
        <v>4963</v>
      </c>
      <c r="F834" s="0" t="s">
        <v>30</v>
      </c>
      <c r="G834" s="0" t="s">
        <v>4980</v>
      </c>
      <c r="H834" s="0" t="s">
        <v>4445</v>
      </c>
      <c r="I834" s="0" t="s">
        <v>4981</v>
      </c>
      <c r="J834" s="18" t="s">
        <v>24</v>
      </c>
    </row>
    <row r="835" customFormat="false" ht="15" hidden="false" customHeight="false" outlineLevel="0" collapsed="false">
      <c r="A835" s="0" t="s">
        <v>852</v>
      </c>
      <c r="B835" s="0" t="s">
        <v>134</v>
      </c>
      <c r="C835" s="0" t="s">
        <v>3447</v>
      </c>
      <c r="D835" s="0" t="s">
        <v>3448</v>
      </c>
      <c r="E835" s="0" t="s">
        <v>4963</v>
      </c>
      <c r="F835" s="0" t="s">
        <v>60</v>
      </c>
      <c r="G835" s="0" t="s">
        <v>4964</v>
      </c>
      <c r="H835" s="0" t="s">
        <v>5281</v>
      </c>
      <c r="I835" s="0" t="s">
        <v>4966</v>
      </c>
      <c r="J835" s="19" t="s">
        <v>26</v>
      </c>
    </row>
    <row r="836" customFormat="false" ht="15" hidden="false" customHeight="false" outlineLevel="0" collapsed="false">
      <c r="A836" s="0" t="s">
        <v>852</v>
      </c>
      <c r="B836" s="0" t="s">
        <v>3459</v>
      </c>
      <c r="C836" s="0" t="s">
        <v>3447</v>
      </c>
      <c r="D836" s="0" t="s">
        <v>3457</v>
      </c>
      <c r="E836" s="0" t="s">
        <v>4963</v>
      </c>
      <c r="F836" s="0" t="s">
        <v>60</v>
      </c>
      <c r="G836" s="0" t="s">
        <v>4964</v>
      </c>
      <c r="H836" s="0" t="s">
        <v>5009</v>
      </c>
      <c r="I836" s="0" t="s">
        <v>4966</v>
      </c>
      <c r="J836" s="19" t="s">
        <v>26</v>
      </c>
    </row>
    <row r="837" customFormat="false" ht="15" hidden="false" customHeight="false" outlineLevel="0" collapsed="false">
      <c r="A837" s="0" t="s">
        <v>852</v>
      </c>
      <c r="B837" s="0" t="s">
        <v>3459</v>
      </c>
      <c r="C837" s="0" t="s">
        <v>3447</v>
      </c>
      <c r="D837" s="0" t="s">
        <v>3448</v>
      </c>
      <c r="E837" s="0" t="s">
        <v>4963</v>
      </c>
      <c r="F837" s="0" t="s">
        <v>60</v>
      </c>
      <c r="G837" s="0" t="s">
        <v>4964</v>
      </c>
      <c r="H837" s="0" t="s">
        <v>5282</v>
      </c>
      <c r="I837" s="0" t="s">
        <v>4966</v>
      </c>
      <c r="J837" s="19" t="s">
        <v>26</v>
      </c>
    </row>
    <row r="838" customFormat="false" ht="15" hidden="false" customHeight="false" outlineLevel="0" collapsed="false">
      <c r="A838" s="0" t="s">
        <v>852</v>
      </c>
      <c r="B838" s="0" t="s">
        <v>134</v>
      </c>
      <c r="C838" s="0" t="s">
        <v>3450</v>
      </c>
      <c r="D838" s="0" t="s">
        <v>3457</v>
      </c>
      <c r="E838" s="0" t="s">
        <v>4969</v>
      </c>
      <c r="F838" s="0" t="s">
        <v>61</v>
      </c>
      <c r="G838" s="0" t="s">
        <v>4970</v>
      </c>
      <c r="H838" s="0" t="s">
        <v>5283</v>
      </c>
      <c r="I838" s="0" t="s">
        <v>4972</v>
      </c>
      <c r="J838" s="20" t="s">
        <v>25</v>
      </c>
    </row>
    <row r="839" customFormat="false" ht="15" hidden="false" customHeight="false" outlineLevel="0" collapsed="false">
      <c r="A839" s="0" t="s">
        <v>852</v>
      </c>
      <c r="B839" s="0" t="s">
        <v>134</v>
      </c>
      <c r="C839" s="0" t="s">
        <v>3450</v>
      </c>
      <c r="D839" s="0" t="s">
        <v>3457</v>
      </c>
      <c r="E839" s="0" t="s">
        <v>4969</v>
      </c>
      <c r="F839" s="0" t="s">
        <v>62</v>
      </c>
      <c r="G839" s="0" t="s">
        <v>5003</v>
      </c>
      <c r="H839" s="0" t="s">
        <v>5284</v>
      </c>
      <c r="I839" s="0" t="s">
        <v>5005</v>
      </c>
      <c r="J839" s="20" t="s">
        <v>25</v>
      </c>
    </row>
    <row r="840" customFormat="false" ht="15" hidden="false" customHeight="false" outlineLevel="0" collapsed="false">
      <c r="A840" s="0" t="s">
        <v>852</v>
      </c>
      <c r="B840" s="0" t="s">
        <v>134</v>
      </c>
      <c r="C840" s="0" t="s">
        <v>3447</v>
      </c>
      <c r="D840" s="0" t="s">
        <v>3457</v>
      </c>
      <c r="E840" s="0" t="s">
        <v>4969</v>
      </c>
      <c r="F840" s="0" t="s">
        <v>61</v>
      </c>
      <c r="G840" s="0" t="s">
        <v>4970</v>
      </c>
      <c r="H840" s="0" t="s">
        <v>5285</v>
      </c>
      <c r="I840" s="0" t="s">
        <v>4972</v>
      </c>
      <c r="J840" s="20" t="s">
        <v>25</v>
      </c>
    </row>
    <row r="841" customFormat="false" ht="15" hidden="false" customHeight="false" outlineLevel="0" collapsed="false">
      <c r="A841" s="0" t="s">
        <v>852</v>
      </c>
      <c r="B841" s="0" t="s">
        <v>134</v>
      </c>
      <c r="C841" s="0" t="s">
        <v>3447</v>
      </c>
      <c r="D841" s="0" t="s">
        <v>3448</v>
      </c>
      <c r="E841" s="0" t="s">
        <v>4963</v>
      </c>
      <c r="F841" s="0" t="s">
        <v>59</v>
      </c>
      <c r="G841" s="0" t="s">
        <v>4974</v>
      </c>
      <c r="H841" s="0" t="s">
        <v>69</v>
      </c>
      <c r="I841" s="0" t="s">
        <v>4975</v>
      </c>
      <c r="J841" s="20" t="s">
        <v>25</v>
      </c>
    </row>
    <row r="842" customFormat="false" ht="15" hidden="false" customHeight="false" outlineLevel="0" collapsed="false">
      <c r="A842" s="0" t="s">
        <v>852</v>
      </c>
      <c r="B842" s="0" t="s">
        <v>3459</v>
      </c>
      <c r="C842" s="0" t="s">
        <v>3450</v>
      </c>
      <c r="D842" s="0" t="s">
        <v>3457</v>
      </c>
      <c r="E842" s="0" t="s">
        <v>4963</v>
      </c>
      <c r="F842" s="0" t="s">
        <v>59</v>
      </c>
      <c r="G842" s="0" t="s">
        <v>4974</v>
      </c>
      <c r="H842" s="0" t="s">
        <v>69</v>
      </c>
      <c r="I842" s="0" t="s">
        <v>4975</v>
      </c>
      <c r="J842" s="20" t="s">
        <v>25</v>
      </c>
    </row>
    <row r="843" customFormat="false" ht="15" hidden="false" customHeight="false" outlineLevel="0" collapsed="false">
      <c r="A843" s="0" t="s">
        <v>852</v>
      </c>
      <c r="B843" s="0" t="s">
        <v>3459</v>
      </c>
      <c r="C843" s="0" t="s">
        <v>3450</v>
      </c>
      <c r="D843" s="0" t="s">
        <v>3457</v>
      </c>
      <c r="E843" s="0" t="s">
        <v>4969</v>
      </c>
      <c r="F843" s="0" t="s">
        <v>61</v>
      </c>
      <c r="G843" s="0" t="s">
        <v>4970</v>
      </c>
      <c r="H843" s="0" t="s">
        <v>5286</v>
      </c>
      <c r="I843" s="0" t="s">
        <v>4972</v>
      </c>
      <c r="J843" s="20" t="s">
        <v>25</v>
      </c>
    </row>
    <row r="844" customFormat="false" ht="15" hidden="false" customHeight="false" outlineLevel="0" collapsed="false">
      <c r="A844" s="0" t="s">
        <v>852</v>
      </c>
      <c r="B844" s="0" t="s">
        <v>3459</v>
      </c>
      <c r="C844" s="0" t="s">
        <v>3450</v>
      </c>
      <c r="D844" s="0" t="s">
        <v>3457</v>
      </c>
      <c r="E844" s="0" t="s">
        <v>4969</v>
      </c>
      <c r="F844" s="0" t="s">
        <v>62</v>
      </c>
      <c r="G844" s="0" t="s">
        <v>5003</v>
      </c>
      <c r="H844" s="0" t="s">
        <v>5287</v>
      </c>
      <c r="I844" s="0" t="s">
        <v>5005</v>
      </c>
      <c r="J844" s="20" t="s">
        <v>25</v>
      </c>
    </row>
    <row r="845" customFormat="false" ht="15" hidden="false" customHeight="false" outlineLevel="0" collapsed="false">
      <c r="A845" s="0" t="s">
        <v>852</v>
      </c>
      <c r="B845" s="0" t="s">
        <v>3459</v>
      </c>
      <c r="C845" s="0" t="s">
        <v>3450</v>
      </c>
      <c r="D845" s="0" t="s">
        <v>3448</v>
      </c>
      <c r="E845" s="0" t="s">
        <v>4963</v>
      </c>
      <c r="F845" s="0" t="s">
        <v>59</v>
      </c>
      <c r="G845" s="0" t="s">
        <v>4974</v>
      </c>
      <c r="H845" s="0" t="s">
        <v>69</v>
      </c>
      <c r="I845" s="0" t="s">
        <v>4975</v>
      </c>
      <c r="J845" s="20" t="s">
        <v>25</v>
      </c>
    </row>
    <row r="846" customFormat="false" ht="15" hidden="false" customHeight="false" outlineLevel="0" collapsed="false">
      <c r="A846" s="0" t="s">
        <v>852</v>
      </c>
      <c r="B846" s="0" t="s">
        <v>3459</v>
      </c>
      <c r="C846" s="0" t="s">
        <v>3450</v>
      </c>
      <c r="D846" s="0" t="s">
        <v>3448</v>
      </c>
      <c r="E846" s="0" t="s">
        <v>4969</v>
      </c>
      <c r="F846" s="0" t="s">
        <v>61</v>
      </c>
      <c r="G846" s="0" t="s">
        <v>4970</v>
      </c>
      <c r="H846" s="0" t="s">
        <v>5288</v>
      </c>
      <c r="I846" s="0" t="s">
        <v>4972</v>
      </c>
      <c r="J846" s="20" t="s">
        <v>25</v>
      </c>
    </row>
    <row r="847" customFormat="false" ht="15" hidden="false" customHeight="false" outlineLevel="0" collapsed="false">
      <c r="A847" s="0" t="s">
        <v>852</v>
      </c>
      <c r="B847" s="0" t="s">
        <v>3459</v>
      </c>
      <c r="C847" s="0" t="s">
        <v>3447</v>
      </c>
      <c r="D847" s="0" t="s">
        <v>3457</v>
      </c>
      <c r="E847" s="0" t="s">
        <v>4963</v>
      </c>
      <c r="F847" s="0" t="s">
        <v>59</v>
      </c>
      <c r="G847" s="0" t="s">
        <v>4974</v>
      </c>
      <c r="H847" s="0" t="s">
        <v>69</v>
      </c>
      <c r="I847" s="0" t="s">
        <v>4975</v>
      </c>
      <c r="J847" s="20" t="s">
        <v>25</v>
      </c>
    </row>
    <row r="848" customFormat="false" ht="15" hidden="false" customHeight="false" outlineLevel="0" collapsed="false">
      <c r="A848" s="0" t="s">
        <v>852</v>
      </c>
      <c r="B848" s="0" t="s">
        <v>3459</v>
      </c>
      <c r="C848" s="0" t="s">
        <v>3447</v>
      </c>
      <c r="D848" s="0" t="s">
        <v>3457</v>
      </c>
      <c r="E848" s="0" t="s">
        <v>4969</v>
      </c>
      <c r="F848" s="0" t="s">
        <v>61</v>
      </c>
      <c r="G848" s="0" t="s">
        <v>4970</v>
      </c>
      <c r="H848" s="0" t="s">
        <v>5289</v>
      </c>
      <c r="I848" s="0" t="s">
        <v>4972</v>
      </c>
      <c r="J848" s="20" t="s">
        <v>25</v>
      </c>
    </row>
    <row r="849" customFormat="false" ht="15" hidden="false" customHeight="false" outlineLevel="0" collapsed="false">
      <c r="A849" s="0" t="s">
        <v>852</v>
      </c>
      <c r="B849" s="0" t="s">
        <v>3459</v>
      </c>
      <c r="C849" s="0" t="s">
        <v>3447</v>
      </c>
      <c r="D849" s="0" t="s">
        <v>3448</v>
      </c>
      <c r="E849" s="0" t="s">
        <v>4969</v>
      </c>
      <c r="F849" s="0" t="s">
        <v>61</v>
      </c>
      <c r="G849" s="0" t="s">
        <v>4970</v>
      </c>
      <c r="H849" s="0" t="s">
        <v>5290</v>
      </c>
      <c r="I849" s="0" t="s">
        <v>4972</v>
      </c>
      <c r="J849" s="20" t="s">
        <v>25</v>
      </c>
    </row>
    <row r="850" customFormat="false" ht="15" hidden="false" customHeight="false" outlineLevel="0" collapsed="false">
      <c r="A850" s="0" t="s">
        <v>852</v>
      </c>
      <c r="B850" s="0" t="s">
        <v>134</v>
      </c>
      <c r="C850" s="0" t="s">
        <v>3447</v>
      </c>
      <c r="D850" s="0" t="s">
        <v>3457</v>
      </c>
      <c r="E850" s="0" t="s">
        <v>4963</v>
      </c>
      <c r="F850" s="0" t="s">
        <v>30</v>
      </c>
      <c r="G850" s="0" t="s">
        <v>4980</v>
      </c>
      <c r="H850" s="0" t="s">
        <v>4398</v>
      </c>
      <c r="I850" s="0" t="s">
        <v>4981</v>
      </c>
      <c r="J850" s="18" t="s">
        <v>24</v>
      </c>
    </row>
    <row r="851" customFormat="false" ht="15" hidden="false" customHeight="false" outlineLevel="0" collapsed="false">
      <c r="A851" s="0" t="s">
        <v>852</v>
      </c>
      <c r="B851" s="0" t="s">
        <v>3459</v>
      </c>
      <c r="C851" s="0" t="s">
        <v>3450</v>
      </c>
      <c r="D851" s="0" t="s">
        <v>3457</v>
      </c>
      <c r="E851" s="0" t="s">
        <v>4963</v>
      </c>
      <c r="F851" s="0" t="s">
        <v>30</v>
      </c>
      <c r="G851" s="0" t="s">
        <v>4980</v>
      </c>
      <c r="H851" s="0" t="s">
        <v>4275</v>
      </c>
      <c r="I851" s="0" t="s">
        <v>4981</v>
      </c>
      <c r="J851" s="18" t="s">
        <v>24</v>
      </c>
    </row>
    <row r="852" customFormat="false" ht="15" hidden="false" customHeight="false" outlineLevel="0" collapsed="false">
      <c r="A852" s="0" t="s">
        <v>852</v>
      </c>
      <c r="B852" s="0" t="s">
        <v>3459</v>
      </c>
      <c r="C852" s="0" t="s">
        <v>3450</v>
      </c>
      <c r="D852" s="0" t="s">
        <v>3448</v>
      </c>
      <c r="E852" s="0" t="s">
        <v>4963</v>
      </c>
      <c r="F852" s="0" t="s">
        <v>30</v>
      </c>
      <c r="G852" s="0" t="s">
        <v>4980</v>
      </c>
      <c r="H852" s="0" t="s">
        <v>4265</v>
      </c>
      <c r="I852" s="0" t="s">
        <v>4981</v>
      </c>
      <c r="J852" s="18" t="s">
        <v>24</v>
      </c>
    </row>
    <row r="853" customFormat="false" ht="15" hidden="false" customHeight="false" outlineLevel="0" collapsed="false">
      <c r="A853" s="0" t="s">
        <v>867</v>
      </c>
      <c r="B853" s="0" t="s">
        <v>134</v>
      </c>
      <c r="C853" s="0" t="s">
        <v>3450</v>
      </c>
      <c r="D853" s="0" t="s">
        <v>3457</v>
      </c>
      <c r="E853" s="0" t="s">
        <v>4963</v>
      </c>
      <c r="F853" s="0" t="s">
        <v>59</v>
      </c>
      <c r="G853" s="0" t="s">
        <v>4974</v>
      </c>
      <c r="H853" s="0" t="s">
        <v>69</v>
      </c>
      <c r="I853" s="0" t="s">
        <v>4975</v>
      </c>
      <c r="J853" s="20" t="s">
        <v>25</v>
      </c>
    </row>
    <row r="854" customFormat="false" ht="15" hidden="false" customHeight="false" outlineLevel="0" collapsed="false">
      <c r="A854" s="0" t="s">
        <v>867</v>
      </c>
      <c r="B854" s="0" t="s">
        <v>134</v>
      </c>
      <c r="C854" s="0" t="s">
        <v>3450</v>
      </c>
      <c r="D854" s="0" t="s">
        <v>3457</v>
      </c>
      <c r="E854" s="0" t="s">
        <v>4969</v>
      </c>
      <c r="F854" s="0" t="s">
        <v>62</v>
      </c>
      <c r="G854" s="0" t="s">
        <v>5003</v>
      </c>
      <c r="H854" s="0" t="s">
        <v>5291</v>
      </c>
      <c r="I854" s="0" t="s">
        <v>5005</v>
      </c>
      <c r="J854" s="20" t="s">
        <v>25</v>
      </c>
    </row>
    <row r="855" customFormat="false" ht="15" hidden="false" customHeight="false" outlineLevel="0" collapsed="false">
      <c r="A855" s="0" t="s">
        <v>867</v>
      </c>
      <c r="B855" s="0" t="s">
        <v>134</v>
      </c>
      <c r="C855" s="0" t="s">
        <v>3450</v>
      </c>
      <c r="D855" s="0" t="s">
        <v>3448</v>
      </c>
      <c r="E855" s="0" t="s">
        <v>4963</v>
      </c>
      <c r="F855" s="0" t="s">
        <v>59</v>
      </c>
      <c r="G855" s="0" t="s">
        <v>4974</v>
      </c>
      <c r="H855" s="0" t="s">
        <v>69</v>
      </c>
      <c r="I855" s="0" t="s">
        <v>4975</v>
      </c>
      <c r="J855" s="20" t="s">
        <v>25</v>
      </c>
    </row>
    <row r="856" customFormat="false" ht="15" hidden="false" customHeight="false" outlineLevel="0" collapsed="false">
      <c r="A856" s="0" t="s">
        <v>867</v>
      </c>
      <c r="B856" s="0" t="s">
        <v>134</v>
      </c>
      <c r="C856" s="0" t="s">
        <v>3450</v>
      </c>
      <c r="D856" s="0" t="s">
        <v>3448</v>
      </c>
      <c r="E856" s="0" t="s">
        <v>4969</v>
      </c>
      <c r="F856" s="0" t="s">
        <v>62</v>
      </c>
      <c r="G856" s="0" t="s">
        <v>5003</v>
      </c>
      <c r="H856" s="0" t="s">
        <v>5292</v>
      </c>
      <c r="I856" s="0" t="s">
        <v>5005</v>
      </c>
      <c r="J856" s="20" t="s">
        <v>25</v>
      </c>
    </row>
    <row r="857" customFormat="false" ht="15" hidden="false" customHeight="false" outlineLevel="0" collapsed="false">
      <c r="A857" s="0" t="s">
        <v>867</v>
      </c>
      <c r="B857" s="0" t="s">
        <v>134</v>
      </c>
      <c r="C857" s="0" t="s">
        <v>3450</v>
      </c>
      <c r="D857" s="0" t="s">
        <v>3448</v>
      </c>
      <c r="E857" s="0" t="s">
        <v>4969</v>
      </c>
      <c r="F857" s="0" t="s">
        <v>63</v>
      </c>
      <c r="G857" s="0" t="s">
        <v>4220</v>
      </c>
      <c r="H857" s="0" t="s">
        <v>5293</v>
      </c>
      <c r="I857" s="0" t="s">
        <v>4979</v>
      </c>
      <c r="J857" s="20" t="s">
        <v>25</v>
      </c>
    </row>
    <row r="858" customFormat="false" ht="15" hidden="false" customHeight="false" outlineLevel="0" collapsed="false">
      <c r="A858" s="0" t="s">
        <v>867</v>
      </c>
      <c r="B858" s="0" t="s">
        <v>134</v>
      </c>
      <c r="C858" s="0" t="s">
        <v>3447</v>
      </c>
      <c r="D858" s="0" t="s">
        <v>3448</v>
      </c>
      <c r="E858" s="0" t="s">
        <v>4969</v>
      </c>
      <c r="F858" s="0" t="s">
        <v>63</v>
      </c>
      <c r="G858" s="0" t="s">
        <v>4220</v>
      </c>
      <c r="H858" s="0" t="s">
        <v>5293</v>
      </c>
      <c r="I858" s="0" t="s">
        <v>4979</v>
      </c>
      <c r="J858" s="20" t="s">
        <v>25</v>
      </c>
    </row>
    <row r="859" customFormat="false" ht="15" hidden="false" customHeight="false" outlineLevel="0" collapsed="false">
      <c r="A859" s="0" t="s">
        <v>867</v>
      </c>
      <c r="B859" s="0" t="s">
        <v>134</v>
      </c>
      <c r="C859" s="0" t="s">
        <v>3450</v>
      </c>
      <c r="D859" s="0" t="s">
        <v>3457</v>
      </c>
      <c r="E859" s="0" t="s">
        <v>4963</v>
      </c>
      <c r="F859" s="0" t="s">
        <v>30</v>
      </c>
      <c r="G859" s="0" t="s">
        <v>4980</v>
      </c>
      <c r="H859" s="0" t="s">
        <v>4448</v>
      </c>
      <c r="I859" s="0" t="s">
        <v>4981</v>
      </c>
      <c r="J859" s="18" t="s">
        <v>24</v>
      </c>
    </row>
    <row r="860" customFormat="false" ht="15" hidden="false" customHeight="false" outlineLevel="0" collapsed="false">
      <c r="A860" s="0" t="s">
        <v>867</v>
      </c>
      <c r="B860" s="0" t="s">
        <v>134</v>
      </c>
      <c r="C860" s="0" t="s">
        <v>3450</v>
      </c>
      <c r="D860" s="0" t="s">
        <v>3448</v>
      </c>
      <c r="E860" s="0" t="s">
        <v>4963</v>
      </c>
      <c r="F860" s="0" t="s">
        <v>30</v>
      </c>
      <c r="G860" s="0" t="s">
        <v>4980</v>
      </c>
      <c r="H860" s="0" t="s">
        <v>4275</v>
      </c>
      <c r="I860" s="0" t="s">
        <v>4981</v>
      </c>
      <c r="J860" s="18" t="s">
        <v>24</v>
      </c>
    </row>
    <row r="861" customFormat="false" ht="15" hidden="false" customHeight="false" outlineLevel="0" collapsed="false">
      <c r="A861" s="0" t="s">
        <v>867</v>
      </c>
      <c r="B861" s="0" t="s">
        <v>134</v>
      </c>
      <c r="C861" s="0" t="s">
        <v>3447</v>
      </c>
      <c r="D861" s="0" t="s">
        <v>3448</v>
      </c>
      <c r="E861" s="0" t="s">
        <v>4963</v>
      </c>
      <c r="F861" s="0" t="s">
        <v>30</v>
      </c>
      <c r="G861" s="0" t="s">
        <v>4980</v>
      </c>
      <c r="H861" s="0" t="s">
        <v>4449</v>
      </c>
      <c r="I861" s="0" t="s">
        <v>4981</v>
      </c>
      <c r="J861" s="18" t="s">
        <v>24</v>
      </c>
    </row>
    <row r="862" customFormat="false" ht="15" hidden="false" customHeight="false" outlineLevel="0" collapsed="false">
      <c r="A862" s="0" t="s">
        <v>874</v>
      </c>
      <c r="B862" s="0" t="s">
        <v>134</v>
      </c>
      <c r="C862" s="0" t="s">
        <v>3450</v>
      </c>
      <c r="D862" s="0" t="s">
        <v>3457</v>
      </c>
      <c r="E862" s="0" t="s">
        <v>4969</v>
      </c>
      <c r="F862" s="0" t="s">
        <v>64</v>
      </c>
      <c r="G862" s="0" t="s">
        <v>4220</v>
      </c>
      <c r="H862" s="0" t="s">
        <v>5294</v>
      </c>
      <c r="I862" s="0" t="s">
        <v>4991</v>
      </c>
      <c r="J862" s="20" t="s">
        <v>25</v>
      </c>
    </row>
    <row r="863" customFormat="false" ht="15" hidden="false" customHeight="false" outlineLevel="0" collapsed="false">
      <c r="A863" s="0" t="s">
        <v>874</v>
      </c>
      <c r="B863" s="0" t="s">
        <v>134</v>
      </c>
      <c r="C863" s="0" t="s">
        <v>3450</v>
      </c>
      <c r="D863" s="0" t="s">
        <v>3448</v>
      </c>
      <c r="E863" s="0" t="s">
        <v>4963</v>
      </c>
      <c r="F863" s="0" t="s">
        <v>59</v>
      </c>
      <c r="G863" s="0" t="s">
        <v>4974</v>
      </c>
      <c r="H863" s="0" t="s">
        <v>69</v>
      </c>
      <c r="I863" s="0" t="s">
        <v>4975</v>
      </c>
      <c r="J863" s="20" t="s">
        <v>25</v>
      </c>
    </row>
    <row r="864" customFormat="false" ht="15" hidden="false" customHeight="false" outlineLevel="0" collapsed="false">
      <c r="A864" s="0" t="s">
        <v>874</v>
      </c>
      <c r="B864" s="0" t="s">
        <v>134</v>
      </c>
      <c r="C864" s="0" t="s">
        <v>3450</v>
      </c>
      <c r="D864" s="0" t="s">
        <v>3448</v>
      </c>
      <c r="E864" s="0" t="s">
        <v>4969</v>
      </c>
      <c r="F864" s="0" t="s">
        <v>61</v>
      </c>
      <c r="G864" s="0" t="s">
        <v>4970</v>
      </c>
      <c r="H864" s="0" t="s">
        <v>5295</v>
      </c>
      <c r="I864" s="0" t="s">
        <v>4972</v>
      </c>
      <c r="J864" s="20" t="s">
        <v>25</v>
      </c>
    </row>
    <row r="865" customFormat="false" ht="15" hidden="false" customHeight="false" outlineLevel="0" collapsed="false">
      <c r="A865" s="0" t="s">
        <v>874</v>
      </c>
      <c r="B865" s="0" t="s">
        <v>134</v>
      </c>
      <c r="C865" s="0" t="s">
        <v>3447</v>
      </c>
      <c r="D865" s="0" t="s">
        <v>3457</v>
      </c>
      <c r="E865" s="0" t="s">
        <v>4969</v>
      </c>
      <c r="F865" s="0" t="s">
        <v>64</v>
      </c>
      <c r="G865" s="0" t="s">
        <v>4220</v>
      </c>
      <c r="H865" s="0" t="s">
        <v>5294</v>
      </c>
      <c r="I865" s="0" t="s">
        <v>4991</v>
      </c>
      <c r="J865" s="20" t="s">
        <v>25</v>
      </c>
    </row>
    <row r="866" customFormat="false" ht="15" hidden="false" customHeight="false" outlineLevel="0" collapsed="false">
      <c r="A866" s="0" t="s">
        <v>874</v>
      </c>
      <c r="B866" s="0" t="s">
        <v>134</v>
      </c>
      <c r="C866" s="0" t="s">
        <v>3450</v>
      </c>
      <c r="D866" s="0" t="s">
        <v>3448</v>
      </c>
      <c r="E866" s="0" t="s">
        <v>4963</v>
      </c>
      <c r="F866" s="0" t="s">
        <v>30</v>
      </c>
      <c r="G866" s="0" t="s">
        <v>4980</v>
      </c>
      <c r="H866" s="0" t="s">
        <v>4275</v>
      </c>
      <c r="I866" s="0" t="s">
        <v>4981</v>
      </c>
      <c r="J866" s="18" t="s">
        <v>24</v>
      </c>
    </row>
    <row r="867" customFormat="false" ht="15" hidden="false" customHeight="false" outlineLevel="0" collapsed="false">
      <c r="A867" s="0" t="s">
        <v>879</v>
      </c>
      <c r="B867" s="0" t="s">
        <v>134</v>
      </c>
      <c r="C867" s="0" t="s">
        <v>3450</v>
      </c>
      <c r="D867" s="0" t="s">
        <v>3457</v>
      </c>
      <c r="E867" s="0" t="s">
        <v>4963</v>
      </c>
      <c r="F867" s="0" t="s">
        <v>59</v>
      </c>
      <c r="G867" s="0" t="s">
        <v>4974</v>
      </c>
      <c r="H867" s="0" t="s">
        <v>69</v>
      </c>
      <c r="I867" s="0" t="s">
        <v>4975</v>
      </c>
      <c r="J867" s="20" t="s">
        <v>25</v>
      </c>
    </row>
    <row r="868" customFormat="false" ht="15" hidden="false" customHeight="false" outlineLevel="0" collapsed="false">
      <c r="A868" s="0" t="s">
        <v>879</v>
      </c>
      <c r="B868" s="0" t="s">
        <v>134</v>
      </c>
      <c r="C868" s="0" t="s">
        <v>3450</v>
      </c>
      <c r="D868" s="0" t="s">
        <v>3457</v>
      </c>
      <c r="E868" s="0" t="s">
        <v>4969</v>
      </c>
      <c r="F868" s="0" t="s">
        <v>64</v>
      </c>
      <c r="G868" s="0" t="s">
        <v>4220</v>
      </c>
      <c r="H868" s="0" t="s">
        <v>5296</v>
      </c>
      <c r="I868" s="0" t="s">
        <v>4991</v>
      </c>
      <c r="J868" s="20" t="s">
        <v>25</v>
      </c>
    </row>
    <row r="869" customFormat="false" ht="15" hidden="false" customHeight="false" outlineLevel="0" collapsed="false">
      <c r="A869" s="0" t="s">
        <v>879</v>
      </c>
      <c r="B869" s="0" t="s">
        <v>134</v>
      </c>
      <c r="C869" s="0" t="s">
        <v>3450</v>
      </c>
      <c r="D869" s="0" t="s">
        <v>3448</v>
      </c>
      <c r="E869" s="0" t="s">
        <v>4963</v>
      </c>
      <c r="F869" s="0" t="s">
        <v>59</v>
      </c>
      <c r="G869" s="0" t="s">
        <v>4974</v>
      </c>
      <c r="H869" s="0" t="s">
        <v>69</v>
      </c>
      <c r="I869" s="0" t="s">
        <v>4975</v>
      </c>
      <c r="J869" s="20" t="s">
        <v>25</v>
      </c>
    </row>
    <row r="870" customFormat="false" ht="15" hidden="false" customHeight="false" outlineLevel="0" collapsed="false">
      <c r="A870" s="0" t="s">
        <v>879</v>
      </c>
      <c r="B870" s="0" t="s">
        <v>134</v>
      </c>
      <c r="C870" s="0" t="s">
        <v>3447</v>
      </c>
      <c r="D870" s="0" t="s">
        <v>3457</v>
      </c>
      <c r="E870" s="0" t="s">
        <v>4969</v>
      </c>
      <c r="F870" s="0" t="s">
        <v>64</v>
      </c>
      <c r="G870" s="0" t="s">
        <v>4220</v>
      </c>
      <c r="H870" s="0" t="s">
        <v>5296</v>
      </c>
      <c r="I870" s="0" t="s">
        <v>4991</v>
      </c>
      <c r="J870" s="20" t="s">
        <v>25</v>
      </c>
    </row>
    <row r="871" customFormat="false" ht="15" hidden="false" customHeight="false" outlineLevel="0" collapsed="false">
      <c r="A871" s="0" t="s">
        <v>879</v>
      </c>
      <c r="B871" s="0" t="s">
        <v>3459</v>
      </c>
      <c r="C871" s="0" t="s">
        <v>3450</v>
      </c>
      <c r="D871" s="0" t="s">
        <v>3457</v>
      </c>
      <c r="E871" s="0" t="s">
        <v>4963</v>
      </c>
      <c r="F871" s="0" t="s">
        <v>59</v>
      </c>
      <c r="G871" s="0" t="s">
        <v>4974</v>
      </c>
      <c r="H871" s="0" t="s">
        <v>69</v>
      </c>
      <c r="I871" s="0" t="s">
        <v>4975</v>
      </c>
      <c r="J871" s="20" t="s">
        <v>25</v>
      </c>
    </row>
    <row r="872" customFormat="false" ht="15" hidden="false" customHeight="false" outlineLevel="0" collapsed="false">
      <c r="A872" s="0" t="s">
        <v>879</v>
      </c>
      <c r="B872" s="0" t="s">
        <v>3459</v>
      </c>
      <c r="C872" s="0" t="s">
        <v>3450</v>
      </c>
      <c r="D872" s="0" t="s">
        <v>3457</v>
      </c>
      <c r="E872" s="0" t="s">
        <v>4969</v>
      </c>
      <c r="F872" s="0" t="s">
        <v>61</v>
      </c>
      <c r="G872" s="0" t="s">
        <v>4970</v>
      </c>
      <c r="H872" s="0" t="s">
        <v>5297</v>
      </c>
      <c r="I872" s="0" t="s">
        <v>4972</v>
      </c>
      <c r="J872" s="20" t="s">
        <v>25</v>
      </c>
    </row>
    <row r="873" customFormat="false" ht="15" hidden="false" customHeight="false" outlineLevel="0" collapsed="false">
      <c r="A873" s="0" t="s">
        <v>879</v>
      </c>
      <c r="B873" s="0" t="s">
        <v>3459</v>
      </c>
      <c r="C873" s="0" t="s">
        <v>3450</v>
      </c>
      <c r="D873" s="0" t="s">
        <v>3448</v>
      </c>
      <c r="E873" s="0" t="s">
        <v>4963</v>
      </c>
      <c r="F873" s="0" t="s">
        <v>59</v>
      </c>
      <c r="G873" s="0" t="s">
        <v>4974</v>
      </c>
      <c r="H873" s="0" t="s">
        <v>69</v>
      </c>
      <c r="I873" s="0" t="s">
        <v>4975</v>
      </c>
      <c r="J873" s="20" t="s">
        <v>25</v>
      </c>
    </row>
    <row r="874" customFormat="false" ht="15" hidden="false" customHeight="false" outlineLevel="0" collapsed="false">
      <c r="A874" s="0" t="s">
        <v>879</v>
      </c>
      <c r="B874" s="0" t="s">
        <v>3459</v>
      </c>
      <c r="C874" s="0" t="s">
        <v>3450</v>
      </c>
      <c r="D874" s="0" t="s">
        <v>3448</v>
      </c>
      <c r="E874" s="0" t="s">
        <v>4969</v>
      </c>
      <c r="F874" s="0" t="s">
        <v>61</v>
      </c>
      <c r="G874" s="0" t="s">
        <v>4970</v>
      </c>
      <c r="H874" s="0" t="s">
        <v>5298</v>
      </c>
      <c r="I874" s="0" t="s">
        <v>4972</v>
      </c>
      <c r="J874" s="20" t="s">
        <v>25</v>
      </c>
    </row>
    <row r="875" customFormat="false" ht="15" hidden="false" customHeight="false" outlineLevel="0" collapsed="false">
      <c r="A875" s="0" t="s">
        <v>879</v>
      </c>
      <c r="B875" s="0" t="s">
        <v>3459</v>
      </c>
      <c r="C875" s="0" t="s">
        <v>3447</v>
      </c>
      <c r="D875" s="0" t="s">
        <v>3457</v>
      </c>
      <c r="E875" s="0" t="s">
        <v>4969</v>
      </c>
      <c r="F875" s="0" t="s">
        <v>61</v>
      </c>
      <c r="G875" s="0" t="s">
        <v>4970</v>
      </c>
      <c r="H875" s="0" t="s">
        <v>5299</v>
      </c>
      <c r="I875" s="0" t="s">
        <v>4972</v>
      </c>
      <c r="J875" s="20" t="s">
        <v>25</v>
      </c>
    </row>
    <row r="876" customFormat="false" ht="15" hidden="false" customHeight="false" outlineLevel="0" collapsed="false">
      <c r="A876" s="0" t="s">
        <v>879</v>
      </c>
      <c r="B876" s="0" t="s">
        <v>3459</v>
      </c>
      <c r="C876" s="0" t="s">
        <v>3447</v>
      </c>
      <c r="D876" s="0" t="s">
        <v>3448</v>
      </c>
      <c r="E876" s="0" t="s">
        <v>4969</v>
      </c>
      <c r="F876" s="0" t="s">
        <v>61</v>
      </c>
      <c r="G876" s="0" t="s">
        <v>4970</v>
      </c>
      <c r="H876" s="0" t="s">
        <v>5300</v>
      </c>
      <c r="I876" s="0" t="s">
        <v>4972</v>
      </c>
      <c r="J876" s="20" t="s">
        <v>25</v>
      </c>
    </row>
    <row r="877" customFormat="false" ht="15" hidden="false" customHeight="false" outlineLevel="0" collapsed="false">
      <c r="A877" s="0" t="s">
        <v>879</v>
      </c>
      <c r="B877" s="0" t="s">
        <v>134</v>
      </c>
      <c r="C877" s="0" t="s">
        <v>3450</v>
      </c>
      <c r="D877" s="0" t="s">
        <v>3457</v>
      </c>
      <c r="E877" s="0" t="s">
        <v>4963</v>
      </c>
      <c r="F877" s="0" t="s">
        <v>30</v>
      </c>
      <c r="G877" s="0" t="s">
        <v>4980</v>
      </c>
      <c r="H877" s="0" t="s">
        <v>4275</v>
      </c>
      <c r="I877" s="0" t="s">
        <v>4981</v>
      </c>
      <c r="J877" s="18" t="s">
        <v>24</v>
      </c>
    </row>
    <row r="878" customFormat="false" ht="15" hidden="false" customHeight="false" outlineLevel="0" collapsed="false">
      <c r="A878" s="0" t="s">
        <v>879</v>
      </c>
      <c r="B878" s="0" t="s">
        <v>134</v>
      </c>
      <c r="C878" s="0" t="s">
        <v>3450</v>
      </c>
      <c r="D878" s="0" t="s">
        <v>3448</v>
      </c>
      <c r="E878" s="0" t="s">
        <v>4963</v>
      </c>
      <c r="F878" s="0" t="s">
        <v>30</v>
      </c>
      <c r="G878" s="0" t="s">
        <v>4980</v>
      </c>
      <c r="H878" s="0" t="s">
        <v>4238</v>
      </c>
      <c r="I878" s="0" t="s">
        <v>4981</v>
      </c>
      <c r="J878" s="18" t="s">
        <v>24</v>
      </c>
    </row>
    <row r="879" customFormat="false" ht="15" hidden="false" customHeight="false" outlineLevel="0" collapsed="false">
      <c r="A879" s="0" t="s">
        <v>879</v>
      </c>
      <c r="B879" s="0" t="s">
        <v>134</v>
      </c>
      <c r="C879" s="0" t="s">
        <v>3447</v>
      </c>
      <c r="D879" s="0" t="s">
        <v>3457</v>
      </c>
      <c r="E879" s="0" t="s">
        <v>4963</v>
      </c>
      <c r="F879" s="0" t="s">
        <v>30</v>
      </c>
      <c r="G879" s="0" t="s">
        <v>4980</v>
      </c>
      <c r="H879" s="0" t="s">
        <v>4450</v>
      </c>
      <c r="I879" s="0" t="s">
        <v>4981</v>
      </c>
      <c r="J879" s="18" t="s">
        <v>24</v>
      </c>
    </row>
    <row r="880" customFormat="false" ht="15" hidden="false" customHeight="false" outlineLevel="0" collapsed="false">
      <c r="A880" s="0" t="s">
        <v>879</v>
      </c>
      <c r="B880" s="0" t="s">
        <v>134</v>
      </c>
      <c r="C880" s="0" t="s">
        <v>3447</v>
      </c>
      <c r="D880" s="0" t="s">
        <v>3448</v>
      </c>
      <c r="E880" s="0" t="s">
        <v>4963</v>
      </c>
      <c r="F880" s="0" t="s">
        <v>30</v>
      </c>
      <c r="G880" s="0" t="s">
        <v>4980</v>
      </c>
      <c r="H880" s="0" t="s">
        <v>4451</v>
      </c>
      <c r="I880" s="0" t="s">
        <v>4981</v>
      </c>
      <c r="J880" s="18" t="s">
        <v>24</v>
      </c>
    </row>
    <row r="881" customFormat="false" ht="15" hidden="false" customHeight="false" outlineLevel="0" collapsed="false">
      <c r="A881" s="0" t="s">
        <v>879</v>
      </c>
      <c r="B881" s="0" t="s">
        <v>3459</v>
      </c>
      <c r="C881" s="0" t="s">
        <v>3450</v>
      </c>
      <c r="D881" s="0" t="s">
        <v>3457</v>
      </c>
      <c r="E881" s="0" t="s">
        <v>4963</v>
      </c>
      <c r="F881" s="0" t="s">
        <v>30</v>
      </c>
      <c r="G881" s="0" t="s">
        <v>4980</v>
      </c>
      <c r="H881" s="0" t="s">
        <v>4275</v>
      </c>
      <c r="I881" s="0" t="s">
        <v>4981</v>
      </c>
      <c r="J881" s="18" t="s">
        <v>24</v>
      </c>
    </row>
    <row r="882" customFormat="false" ht="15" hidden="false" customHeight="false" outlineLevel="0" collapsed="false">
      <c r="A882" s="0" t="s">
        <v>879</v>
      </c>
      <c r="B882" s="0" t="s">
        <v>3459</v>
      </c>
      <c r="C882" s="0" t="s">
        <v>3450</v>
      </c>
      <c r="D882" s="0" t="s">
        <v>3448</v>
      </c>
      <c r="E882" s="0" t="s">
        <v>4963</v>
      </c>
      <c r="F882" s="0" t="s">
        <v>30</v>
      </c>
      <c r="G882" s="0" t="s">
        <v>4980</v>
      </c>
      <c r="H882" s="0" t="s">
        <v>4275</v>
      </c>
      <c r="I882" s="0" t="s">
        <v>4981</v>
      </c>
      <c r="J882" s="18" t="s">
        <v>24</v>
      </c>
    </row>
    <row r="883" customFormat="false" ht="15" hidden="false" customHeight="false" outlineLevel="0" collapsed="false">
      <c r="A883" s="0" t="s">
        <v>879</v>
      </c>
      <c r="B883" s="0" t="s">
        <v>3459</v>
      </c>
      <c r="C883" s="0" t="s">
        <v>3447</v>
      </c>
      <c r="D883" s="0" t="s">
        <v>3457</v>
      </c>
      <c r="E883" s="0" t="s">
        <v>4963</v>
      </c>
      <c r="F883" s="0" t="s">
        <v>30</v>
      </c>
      <c r="G883" s="0" t="s">
        <v>4980</v>
      </c>
      <c r="H883" s="0" t="s">
        <v>4387</v>
      </c>
      <c r="I883" s="0" t="s">
        <v>4981</v>
      </c>
      <c r="J883" s="18" t="s">
        <v>24</v>
      </c>
    </row>
    <row r="884" customFormat="false" ht="15" hidden="false" customHeight="false" outlineLevel="0" collapsed="false">
      <c r="A884" s="0" t="s">
        <v>879</v>
      </c>
      <c r="B884" s="0" t="s">
        <v>3459</v>
      </c>
      <c r="C884" s="0" t="s">
        <v>3447</v>
      </c>
      <c r="D884" s="0" t="s">
        <v>3448</v>
      </c>
      <c r="E884" s="0" t="s">
        <v>4963</v>
      </c>
      <c r="F884" s="0" t="s">
        <v>30</v>
      </c>
      <c r="G884" s="0" t="s">
        <v>4980</v>
      </c>
      <c r="H884" s="0" t="s">
        <v>4228</v>
      </c>
      <c r="I884" s="0" t="s">
        <v>4981</v>
      </c>
      <c r="J884" s="18" t="s">
        <v>24</v>
      </c>
    </row>
    <row r="885" customFormat="false" ht="15" hidden="false" customHeight="false" outlineLevel="0" collapsed="false">
      <c r="A885" s="0" t="s">
        <v>885</v>
      </c>
      <c r="B885" s="0" t="s">
        <v>134</v>
      </c>
      <c r="C885" s="0" t="s">
        <v>3450</v>
      </c>
      <c r="D885" s="0" t="s">
        <v>3448</v>
      </c>
      <c r="E885" s="0" t="s">
        <v>4963</v>
      </c>
      <c r="F885" s="0" t="s">
        <v>59</v>
      </c>
      <c r="G885" s="0" t="s">
        <v>4974</v>
      </c>
      <c r="H885" s="0" t="s">
        <v>69</v>
      </c>
      <c r="I885" s="0" t="s">
        <v>4975</v>
      </c>
      <c r="J885" s="20" t="s">
        <v>25</v>
      </c>
    </row>
    <row r="886" customFormat="false" ht="15" hidden="false" customHeight="false" outlineLevel="0" collapsed="false">
      <c r="A886" s="0" t="s">
        <v>885</v>
      </c>
      <c r="B886" s="0" t="s">
        <v>134</v>
      </c>
      <c r="C886" s="0" t="s">
        <v>3447</v>
      </c>
      <c r="D886" s="0" t="s">
        <v>3457</v>
      </c>
      <c r="E886" s="0" t="s">
        <v>4963</v>
      </c>
      <c r="F886" s="0" t="s">
        <v>59</v>
      </c>
      <c r="G886" s="0" t="s">
        <v>4974</v>
      </c>
      <c r="H886" s="0" t="s">
        <v>69</v>
      </c>
      <c r="I886" s="0" t="s">
        <v>4975</v>
      </c>
      <c r="J886" s="20" t="s">
        <v>25</v>
      </c>
    </row>
    <row r="887" customFormat="false" ht="15" hidden="false" customHeight="false" outlineLevel="0" collapsed="false">
      <c r="A887" s="0" t="s">
        <v>885</v>
      </c>
      <c r="B887" s="0" t="s">
        <v>134</v>
      </c>
      <c r="C887" s="0" t="s">
        <v>3450</v>
      </c>
      <c r="D887" s="0" t="s">
        <v>3448</v>
      </c>
      <c r="E887" s="0" t="s">
        <v>4963</v>
      </c>
      <c r="F887" s="0" t="s">
        <v>30</v>
      </c>
      <c r="G887" s="0" t="s">
        <v>4980</v>
      </c>
      <c r="H887" s="0" t="s">
        <v>4265</v>
      </c>
      <c r="I887" s="0" t="s">
        <v>4981</v>
      </c>
      <c r="J887" s="18" t="s">
        <v>24</v>
      </c>
    </row>
    <row r="888" customFormat="false" ht="15" hidden="false" customHeight="false" outlineLevel="0" collapsed="false">
      <c r="A888" s="0" t="s">
        <v>885</v>
      </c>
      <c r="B888" s="0" t="s">
        <v>134</v>
      </c>
      <c r="C888" s="0" t="s">
        <v>3447</v>
      </c>
      <c r="D888" s="0" t="s">
        <v>3457</v>
      </c>
      <c r="E888" s="0" t="s">
        <v>4963</v>
      </c>
      <c r="F888" s="0" t="s">
        <v>30</v>
      </c>
      <c r="G888" s="0" t="s">
        <v>4980</v>
      </c>
      <c r="H888" s="0" t="s">
        <v>4452</v>
      </c>
      <c r="I888" s="0" t="s">
        <v>4981</v>
      </c>
      <c r="J888" s="18" t="s">
        <v>24</v>
      </c>
    </row>
    <row r="889" customFormat="false" ht="15" hidden="false" customHeight="false" outlineLevel="0" collapsed="false">
      <c r="A889" s="0" t="s">
        <v>885</v>
      </c>
      <c r="B889" s="0" t="s">
        <v>134</v>
      </c>
      <c r="C889" s="0" t="s">
        <v>3447</v>
      </c>
      <c r="D889" s="0" t="s">
        <v>3448</v>
      </c>
      <c r="E889" s="0" t="s">
        <v>4963</v>
      </c>
      <c r="F889" s="0" t="s">
        <v>30</v>
      </c>
      <c r="G889" s="0" t="s">
        <v>4980</v>
      </c>
      <c r="H889" s="0" t="s">
        <v>4453</v>
      </c>
      <c r="I889" s="0" t="s">
        <v>4981</v>
      </c>
      <c r="J889" s="18" t="s">
        <v>24</v>
      </c>
    </row>
    <row r="890" customFormat="false" ht="15" hidden="false" customHeight="false" outlineLevel="0" collapsed="false">
      <c r="A890" s="0" t="s">
        <v>895</v>
      </c>
      <c r="B890" s="0" t="s">
        <v>134</v>
      </c>
      <c r="C890" s="0" t="s">
        <v>3447</v>
      </c>
      <c r="D890" s="0" t="s">
        <v>3457</v>
      </c>
      <c r="E890" s="0" t="s">
        <v>4963</v>
      </c>
      <c r="F890" s="0" t="s">
        <v>60</v>
      </c>
      <c r="G890" s="0" t="s">
        <v>4964</v>
      </c>
      <c r="H890" s="0" t="s">
        <v>5301</v>
      </c>
      <c r="I890" s="0" t="s">
        <v>4966</v>
      </c>
      <c r="J890" s="19" t="s">
        <v>26</v>
      </c>
    </row>
    <row r="891" customFormat="false" ht="15" hidden="false" customHeight="false" outlineLevel="0" collapsed="false">
      <c r="A891" s="0" t="s">
        <v>895</v>
      </c>
      <c r="B891" s="0" t="s">
        <v>134</v>
      </c>
      <c r="C891" s="0" t="s">
        <v>3447</v>
      </c>
      <c r="D891" s="0" t="s">
        <v>3457</v>
      </c>
      <c r="E891" s="0" t="s">
        <v>4963</v>
      </c>
      <c r="F891" s="0" t="s">
        <v>59</v>
      </c>
      <c r="G891" s="0" t="s">
        <v>4974</v>
      </c>
      <c r="H891" s="0" t="s">
        <v>69</v>
      </c>
      <c r="I891" s="0" t="s">
        <v>4975</v>
      </c>
      <c r="J891" s="20" t="s">
        <v>25</v>
      </c>
    </row>
    <row r="892" customFormat="false" ht="15" hidden="false" customHeight="false" outlineLevel="0" collapsed="false">
      <c r="A892" s="0" t="s">
        <v>895</v>
      </c>
      <c r="B892" s="0" t="s">
        <v>134</v>
      </c>
      <c r="C892" s="0" t="s">
        <v>3450</v>
      </c>
      <c r="D892" s="0" t="s">
        <v>3457</v>
      </c>
      <c r="E892" s="0" t="s">
        <v>4963</v>
      </c>
      <c r="F892" s="0" t="s">
        <v>30</v>
      </c>
      <c r="G892" s="0" t="s">
        <v>4980</v>
      </c>
      <c r="H892" s="0" t="s">
        <v>4272</v>
      </c>
      <c r="I892" s="0" t="s">
        <v>4981</v>
      </c>
      <c r="J892" s="18" t="s">
        <v>24</v>
      </c>
    </row>
    <row r="893" customFormat="false" ht="15" hidden="false" customHeight="false" outlineLevel="0" collapsed="false">
      <c r="A893" s="0" t="s">
        <v>895</v>
      </c>
      <c r="B893" s="0" t="s">
        <v>134</v>
      </c>
      <c r="C893" s="0" t="s">
        <v>3450</v>
      </c>
      <c r="D893" s="0" t="s">
        <v>3448</v>
      </c>
      <c r="E893" s="0" t="s">
        <v>4963</v>
      </c>
      <c r="F893" s="0" t="s">
        <v>30</v>
      </c>
      <c r="G893" s="0" t="s">
        <v>4980</v>
      </c>
      <c r="H893" s="0" t="s">
        <v>4272</v>
      </c>
      <c r="I893" s="0" t="s">
        <v>4981</v>
      </c>
      <c r="J893" s="18" t="s">
        <v>24</v>
      </c>
    </row>
    <row r="894" customFormat="false" ht="15" hidden="false" customHeight="false" outlineLevel="0" collapsed="false">
      <c r="A894" s="0" t="s">
        <v>895</v>
      </c>
      <c r="B894" s="0" t="s">
        <v>134</v>
      </c>
      <c r="C894" s="0" t="s">
        <v>3447</v>
      </c>
      <c r="D894" s="0" t="s">
        <v>3448</v>
      </c>
      <c r="E894" s="0" t="s">
        <v>4963</v>
      </c>
      <c r="F894" s="0" t="s">
        <v>30</v>
      </c>
      <c r="G894" s="0" t="s">
        <v>4980</v>
      </c>
      <c r="H894" s="0" t="s">
        <v>4373</v>
      </c>
      <c r="I894" s="0" t="s">
        <v>4981</v>
      </c>
      <c r="J894" s="18" t="s">
        <v>24</v>
      </c>
    </row>
    <row r="895" customFormat="false" ht="15" hidden="false" customHeight="false" outlineLevel="0" collapsed="false">
      <c r="A895" s="0" t="s">
        <v>904</v>
      </c>
      <c r="B895" s="0" t="s">
        <v>134</v>
      </c>
      <c r="C895" s="0" t="s">
        <v>3450</v>
      </c>
      <c r="D895" s="0" t="s">
        <v>3457</v>
      </c>
      <c r="E895" s="0" t="s">
        <v>4963</v>
      </c>
      <c r="F895" s="0" t="s">
        <v>65</v>
      </c>
      <c r="G895" s="0" t="s">
        <v>4997</v>
      </c>
      <c r="H895" s="0" t="s">
        <v>3871</v>
      </c>
      <c r="I895" s="0" t="s">
        <v>4998</v>
      </c>
      <c r="J895" s="19" t="s">
        <v>26</v>
      </c>
    </row>
    <row r="896" customFormat="false" ht="15" hidden="false" customHeight="false" outlineLevel="0" collapsed="false">
      <c r="A896" s="0" t="s">
        <v>904</v>
      </c>
      <c r="B896" s="0" t="s">
        <v>134</v>
      </c>
      <c r="C896" s="0" t="s">
        <v>3447</v>
      </c>
      <c r="D896" s="0" t="s">
        <v>3457</v>
      </c>
      <c r="E896" s="0" t="s">
        <v>4963</v>
      </c>
      <c r="F896" s="0" t="s">
        <v>65</v>
      </c>
      <c r="G896" s="0" t="s">
        <v>4997</v>
      </c>
      <c r="H896" s="0" t="s">
        <v>3871</v>
      </c>
      <c r="I896" s="0" t="s">
        <v>4998</v>
      </c>
      <c r="J896" s="19" t="s">
        <v>26</v>
      </c>
    </row>
    <row r="897" customFormat="false" ht="15" hidden="false" customHeight="false" outlineLevel="0" collapsed="false">
      <c r="A897" s="0" t="s">
        <v>904</v>
      </c>
      <c r="B897" s="0" t="s">
        <v>134</v>
      </c>
      <c r="C897" s="0" t="s">
        <v>3450</v>
      </c>
      <c r="D897" s="0" t="s">
        <v>3457</v>
      </c>
      <c r="E897" s="0" t="s">
        <v>4969</v>
      </c>
      <c r="F897" s="0" t="s">
        <v>62</v>
      </c>
      <c r="G897" s="0" t="s">
        <v>5003</v>
      </c>
      <c r="H897" s="0" t="s">
        <v>5302</v>
      </c>
      <c r="I897" s="0" t="s">
        <v>5005</v>
      </c>
      <c r="J897" s="20" t="s">
        <v>25</v>
      </c>
    </row>
    <row r="898" customFormat="false" ht="15" hidden="false" customHeight="false" outlineLevel="0" collapsed="false">
      <c r="A898" s="0" t="s">
        <v>904</v>
      </c>
      <c r="B898" s="0" t="s">
        <v>134</v>
      </c>
      <c r="C898" s="0" t="s">
        <v>3447</v>
      </c>
      <c r="D898" s="0" t="s">
        <v>3448</v>
      </c>
      <c r="E898" s="0" t="s">
        <v>4963</v>
      </c>
      <c r="F898" s="0" t="s">
        <v>30</v>
      </c>
      <c r="G898" s="0" t="s">
        <v>4980</v>
      </c>
      <c r="H898" s="0" t="s">
        <v>4456</v>
      </c>
      <c r="I898" s="0" t="s">
        <v>4981</v>
      </c>
      <c r="J898" s="18" t="s">
        <v>24</v>
      </c>
    </row>
    <row r="899" customFormat="false" ht="15" hidden="false" customHeight="false" outlineLevel="0" collapsed="false">
      <c r="A899" s="0" t="s">
        <v>911</v>
      </c>
      <c r="B899" s="0" t="s">
        <v>3459</v>
      </c>
      <c r="C899" s="0" t="s">
        <v>3450</v>
      </c>
      <c r="D899" s="0" t="s">
        <v>3457</v>
      </c>
      <c r="E899" s="0" t="s">
        <v>4963</v>
      </c>
      <c r="F899" s="0" t="s">
        <v>60</v>
      </c>
      <c r="G899" s="0" t="s">
        <v>4964</v>
      </c>
      <c r="H899" s="0" t="s">
        <v>5046</v>
      </c>
      <c r="I899" s="0" t="s">
        <v>4966</v>
      </c>
      <c r="J899" s="19" t="s">
        <v>26</v>
      </c>
    </row>
    <row r="900" customFormat="false" ht="15" hidden="false" customHeight="false" outlineLevel="0" collapsed="false">
      <c r="A900" s="0" t="s">
        <v>911</v>
      </c>
      <c r="B900" s="0" t="s">
        <v>3459</v>
      </c>
      <c r="C900" s="0" t="s">
        <v>3447</v>
      </c>
      <c r="D900" s="0" t="s">
        <v>3448</v>
      </c>
      <c r="E900" s="0" t="s">
        <v>4963</v>
      </c>
      <c r="F900" s="0" t="s">
        <v>60</v>
      </c>
      <c r="G900" s="0" t="s">
        <v>4964</v>
      </c>
      <c r="H900" s="0" t="s">
        <v>5303</v>
      </c>
      <c r="I900" s="0" t="s">
        <v>4966</v>
      </c>
      <c r="J900" s="19" t="s">
        <v>26</v>
      </c>
    </row>
    <row r="901" customFormat="false" ht="15" hidden="false" customHeight="false" outlineLevel="0" collapsed="false">
      <c r="A901" s="0" t="s">
        <v>911</v>
      </c>
      <c r="B901" s="0" t="s">
        <v>134</v>
      </c>
      <c r="C901" s="0" t="s">
        <v>3450</v>
      </c>
      <c r="D901" s="0" t="s">
        <v>3457</v>
      </c>
      <c r="E901" s="0" t="s">
        <v>4963</v>
      </c>
      <c r="F901" s="0" t="s">
        <v>59</v>
      </c>
      <c r="G901" s="0" t="s">
        <v>4974</v>
      </c>
      <c r="H901" s="0" t="s">
        <v>69</v>
      </c>
      <c r="I901" s="0" t="s">
        <v>4975</v>
      </c>
      <c r="J901" s="20" t="s">
        <v>25</v>
      </c>
    </row>
    <row r="902" customFormat="false" ht="15" hidden="false" customHeight="false" outlineLevel="0" collapsed="false">
      <c r="A902" s="0" t="s">
        <v>911</v>
      </c>
      <c r="B902" s="0" t="s">
        <v>134</v>
      </c>
      <c r="C902" s="0" t="s">
        <v>3450</v>
      </c>
      <c r="D902" s="0" t="s">
        <v>3457</v>
      </c>
      <c r="E902" s="0" t="s">
        <v>4969</v>
      </c>
      <c r="F902" s="0" t="s">
        <v>61</v>
      </c>
      <c r="G902" s="0" t="s">
        <v>4970</v>
      </c>
      <c r="H902" s="0" t="s">
        <v>5304</v>
      </c>
      <c r="I902" s="0" t="s">
        <v>4972</v>
      </c>
      <c r="J902" s="20" t="s">
        <v>25</v>
      </c>
    </row>
    <row r="903" customFormat="false" ht="15" hidden="false" customHeight="false" outlineLevel="0" collapsed="false">
      <c r="A903" s="0" t="s">
        <v>911</v>
      </c>
      <c r="B903" s="0" t="s">
        <v>134</v>
      </c>
      <c r="C903" s="0" t="s">
        <v>3450</v>
      </c>
      <c r="D903" s="0" t="s">
        <v>3448</v>
      </c>
      <c r="E903" s="0" t="s">
        <v>4963</v>
      </c>
      <c r="F903" s="0" t="s">
        <v>59</v>
      </c>
      <c r="G903" s="0" t="s">
        <v>4974</v>
      </c>
      <c r="H903" s="0" t="s">
        <v>69</v>
      </c>
      <c r="I903" s="0" t="s">
        <v>4975</v>
      </c>
      <c r="J903" s="20" t="s">
        <v>25</v>
      </c>
    </row>
    <row r="904" customFormat="false" ht="15" hidden="false" customHeight="false" outlineLevel="0" collapsed="false">
      <c r="A904" s="0" t="s">
        <v>911</v>
      </c>
      <c r="B904" s="0" t="s">
        <v>134</v>
      </c>
      <c r="C904" s="0" t="s">
        <v>3450</v>
      </c>
      <c r="D904" s="0" t="s">
        <v>3448</v>
      </c>
      <c r="E904" s="0" t="s">
        <v>4969</v>
      </c>
      <c r="F904" s="0" t="s">
        <v>61</v>
      </c>
      <c r="G904" s="0" t="s">
        <v>4970</v>
      </c>
      <c r="H904" s="0" t="s">
        <v>5305</v>
      </c>
      <c r="I904" s="0" t="s">
        <v>4972</v>
      </c>
      <c r="J904" s="20" t="s">
        <v>25</v>
      </c>
    </row>
    <row r="905" customFormat="false" ht="15" hidden="false" customHeight="false" outlineLevel="0" collapsed="false">
      <c r="A905" s="0" t="s">
        <v>911</v>
      </c>
      <c r="B905" s="0" t="s">
        <v>134</v>
      </c>
      <c r="C905" s="0" t="s">
        <v>3447</v>
      </c>
      <c r="D905" s="0" t="s">
        <v>3448</v>
      </c>
      <c r="E905" s="0" t="s">
        <v>4963</v>
      </c>
      <c r="F905" s="0" t="s">
        <v>59</v>
      </c>
      <c r="G905" s="0" t="s">
        <v>4974</v>
      </c>
      <c r="H905" s="0" t="s">
        <v>69</v>
      </c>
      <c r="I905" s="0" t="s">
        <v>4975</v>
      </c>
      <c r="J905" s="20" t="s">
        <v>25</v>
      </c>
    </row>
    <row r="906" customFormat="false" ht="15" hidden="false" customHeight="false" outlineLevel="0" collapsed="false">
      <c r="A906" s="0" t="s">
        <v>911</v>
      </c>
      <c r="B906" s="0" t="s">
        <v>3459</v>
      </c>
      <c r="C906" s="0" t="s">
        <v>3450</v>
      </c>
      <c r="D906" s="0" t="s">
        <v>3457</v>
      </c>
      <c r="E906" s="0" t="s">
        <v>4963</v>
      </c>
      <c r="F906" s="0" t="s">
        <v>59</v>
      </c>
      <c r="G906" s="0" t="s">
        <v>4974</v>
      </c>
      <c r="H906" s="0" t="s">
        <v>69</v>
      </c>
      <c r="I906" s="0" t="s">
        <v>4975</v>
      </c>
      <c r="J906" s="20" t="s">
        <v>25</v>
      </c>
    </row>
    <row r="907" customFormat="false" ht="15" hidden="false" customHeight="false" outlineLevel="0" collapsed="false">
      <c r="A907" s="0" t="s">
        <v>911</v>
      </c>
      <c r="B907" s="0" t="s">
        <v>3459</v>
      </c>
      <c r="C907" s="0" t="s">
        <v>3450</v>
      </c>
      <c r="D907" s="0" t="s">
        <v>3457</v>
      </c>
      <c r="E907" s="0" t="s">
        <v>4969</v>
      </c>
      <c r="F907" s="0" t="s">
        <v>61</v>
      </c>
      <c r="G907" s="0" t="s">
        <v>4970</v>
      </c>
      <c r="H907" s="0" t="s">
        <v>5306</v>
      </c>
      <c r="I907" s="0" t="s">
        <v>4972</v>
      </c>
      <c r="J907" s="20" t="s">
        <v>25</v>
      </c>
    </row>
    <row r="908" customFormat="false" ht="15" hidden="false" customHeight="false" outlineLevel="0" collapsed="false">
      <c r="A908" s="0" t="s">
        <v>911</v>
      </c>
      <c r="B908" s="0" t="s">
        <v>3459</v>
      </c>
      <c r="C908" s="0" t="s">
        <v>3450</v>
      </c>
      <c r="D908" s="0" t="s">
        <v>3448</v>
      </c>
      <c r="E908" s="0" t="s">
        <v>4963</v>
      </c>
      <c r="F908" s="0" t="s">
        <v>59</v>
      </c>
      <c r="G908" s="0" t="s">
        <v>4974</v>
      </c>
      <c r="H908" s="0" t="s">
        <v>69</v>
      </c>
      <c r="I908" s="0" t="s">
        <v>4975</v>
      </c>
      <c r="J908" s="20" t="s">
        <v>25</v>
      </c>
    </row>
    <row r="909" customFormat="false" ht="15" hidden="false" customHeight="false" outlineLevel="0" collapsed="false">
      <c r="A909" s="0" t="s">
        <v>911</v>
      </c>
      <c r="B909" s="0" t="s">
        <v>3459</v>
      </c>
      <c r="C909" s="0" t="s">
        <v>3450</v>
      </c>
      <c r="D909" s="0" t="s">
        <v>3448</v>
      </c>
      <c r="E909" s="0" t="s">
        <v>4969</v>
      </c>
      <c r="F909" s="0" t="s">
        <v>64</v>
      </c>
      <c r="G909" s="0" t="s">
        <v>4220</v>
      </c>
      <c r="H909" s="0" t="s">
        <v>5307</v>
      </c>
      <c r="I909" s="0" t="s">
        <v>4991</v>
      </c>
      <c r="J909" s="20" t="s">
        <v>25</v>
      </c>
    </row>
    <row r="910" customFormat="false" ht="15" hidden="false" customHeight="false" outlineLevel="0" collapsed="false">
      <c r="A910" s="0" t="s">
        <v>911</v>
      </c>
      <c r="B910" s="0" t="s">
        <v>3459</v>
      </c>
      <c r="C910" s="0" t="s">
        <v>3447</v>
      </c>
      <c r="D910" s="0" t="s">
        <v>3457</v>
      </c>
      <c r="E910" s="0" t="s">
        <v>4963</v>
      </c>
      <c r="F910" s="0" t="s">
        <v>59</v>
      </c>
      <c r="G910" s="0" t="s">
        <v>4974</v>
      </c>
      <c r="H910" s="0" t="s">
        <v>69</v>
      </c>
      <c r="I910" s="0" t="s">
        <v>4975</v>
      </c>
      <c r="J910" s="20" t="s">
        <v>25</v>
      </c>
    </row>
    <row r="911" customFormat="false" ht="15" hidden="false" customHeight="false" outlineLevel="0" collapsed="false">
      <c r="A911" s="0" t="s">
        <v>911</v>
      </c>
      <c r="B911" s="0" t="s">
        <v>3459</v>
      </c>
      <c r="C911" s="0" t="s">
        <v>3447</v>
      </c>
      <c r="D911" s="0" t="s">
        <v>3457</v>
      </c>
      <c r="E911" s="0" t="s">
        <v>4969</v>
      </c>
      <c r="F911" s="0" t="s">
        <v>61</v>
      </c>
      <c r="G911" s="0" t="s">
        <v>4970</v>
      </c>
      <c r="H911" s="0" t="s">
        <v>5308</v>
      </c>
      <c r="I911" s="0" t="s">
        <v>4972</v>
      </c>
      <c r="J911" s="20" t="s">
        <v>25</v>
      </c>
    </row>
    <row r="912" customFormat="false" ht="15" hidden="false" customHeight="false" outlineLevel="0" collapsed="false">
      <c r="A912" s="0" t="s">
        <v>911</v>
      </c>
      <c r="B912" s="0" t="s">
        <v>3459</v>
      </c>
      <c r="C912" s="0" t="s">
        <v>3447</v>
      </c>
      <c r="D912" s="0" t="s">
        <v>3448</v>
      </c>
      <c r="E912" s="0" t="s">
        <v>4963</v>
      </c>
      <c r="F912" s="0" t="s">
        <v>59</v>
      </c>
      <c r="G912" s="0" t="s">
        <v>4974</v>
      </c>
      <c r="H912" s="0" t="s">
        <v>69</v>
      </c>
      <c r="I912" s="0" t="s">
        <v>4975</v>
      </c>
      <c r="J912" s="20" t="s">
        <v>25</v>
      </c>
    </row>
    <row r="913" customFormat="false" ht="15" hidden="false" customHeight="false" outlineLevel="0" collapsed="false">
      <c r="A913" s="0" t="s">
        <v>911</v>
      </c>
      <c r="B913" s="0" t="s">
        <v>3459</v>
      </c>
      <c r="C913" s="0" t="s">
        <v>3447</v>
      </c>
      <c r="D913" s="0" t="s">
        <v>3448</v>
      </c>
      <c r="E913" s="0" t="s">
        <v>4969</v>
      </c>
      <c r="F913" s="0" t="s">
        <v>64</v>
      </c>
      <c r="G913" s="0" t="s">
        <v>4220</v>
      </c>
      <c r="H913" s="0" t="s">
        <v>5307</v>
      </c>
      <c r="I913" s="0" t="s">
        <v>4991</v>
      </c>
      <c r="J913" s="20" t="s">
        <v>25</v>
      </c>
    </row>
    <row r="914" customFormat="false" ht="15" hidden="false" customHeight="false" outlineLevel="0" collapsed="false">
      <c r="A914" s="0" t="s">
        <v>911</v>
      </c>
      <c r="B914" s="0" t="s">
        <v>134</v>
      </c>
      <c r="C914" s="0" t="s">
        <v>3450</v>
      </c>
      <c r="D914" s="0" t="s">
        <v>3457</v>
      </c>
      <c r="E914" s="0" t="s">
        <v>4963</v>
      </c>
      <c r="F914" s="0" t="s">
        <v>30</v>
      </c>
      <c r="G914" s="0" t="s">
        <v>4980</v>
      </c>
      <c r="H914" s="0" t="s">
        <v>4242</v>
      </c>
      <c r="I914" s="0" t="s">
        <v>4981</v>
      </c>
      <c r="J914" s="18" t="s">
        <v>24</v>
      </c>
    </row>
    <row r="915" customFormat="false" ht="15" hidden="false" customHeight="false" outlineLevel="0" collapsed="false">
      <c r="A915" s="0" t="s">
        <v>911</v>
      </c>
      <c r="B915" s="0" t="s">
        <v>134</v>
      </c>
      <c r="C915" s="0" t="s">
        <v>3450</v>
      </c>
      <c r="D915" s="0" t="s">
        <v>3448</v>
      </c>
      <c r="E915" s="0" t="s">
        <v>4963</v>
      </c>
      <c r="F915" s="0" t="s">
        <v>30</v>
      </c>
      <c r="G915" s="0" t="s">
        <v>4980</v>
      </c>
      <c r="H915" s="0" t="s">
        <v>4265</v>
      </c>
      <c r="I915" s="0" t="s">
        <v>4981</v>
      </c>
      <c r="J915" s="18" t="s">
        <v>24</v>
      </c>
    </row>
    <row r="916" customFormat="false" ht="15" hidden="false" customHeight="false" outlineLevel="0" collapsed="false">
      <c r="A916" s="0" t="s">
        <v>911</v>
      </c>
      <c r="B916" s="0" t="s">
        <v>134</v>
      </c>
      <c r="C916" s="0" t="s">
        <v>3447</v>
      </c>
      <c r="D916" s="0" t="s">
        <v>3457</v>
      </c>
      <c r="E916" s="0" t="s">
        <v>4963</v>
      </c>
      <c r="F916" s="0" t="s">
        <v>30</v>
      </c>
      <c r="G916" s="0" t="s">
        <v>4980</v>
      </c>
      <c r="H916" s="0" t="s">
        <v>4457</v>
      </c>
      <c r="I916" s="0" t="s">
        <v>4981</v>
      </c>
      <c r="J916" s="18" t="s">
        <v>24</v>
      </c>
    </row>
    <row r="917" customFormat="false" ht="15" hidden="false" customHeight="false" outlineLevel="0" collapsed="false">
      <c r="A917" s="0" t="s">
        <v>911</v>
      </c>
      <c r="B917" s="0" t="s">
        <v>134</v>
      </c>
      <c r="C917" s="0" t="s">
        <v>3447</v>
      </c>
      <c r="D917" s="0" t="s">
        <v>3448</v>
      </c>
      <c r="E917" s="0" t="s">
        <v>4963</v>
      </c>
      <c r="F917" s="0" t="s">
        <v>30</v>
      </c>
      <c r="G917" s="0" t="s">
        <v>4980</v>
      </c>
      <c r="H917" s="0" t="s">
        <v>4242</v>
      </c>
      <c r="I917" s="0" t="s">
        <v>4981</v>
      </c>
      <c r="J917" s="18" t="s">
        <v>24</v>
      </c>
    </row>
    <row r="918" customFormat="false" ht="15" hidden="false" customHeight="false" outlineLevel="0" collapsed="false">
      <c r="A918" s="0" t="s">
        <v>911</v>
      </c>
      <c r="B918" s="0" t="s">
        <v>3459</v>
      </c>
      <c r="C918" s="0" t="s">
        <v>3450</v>
      </c>
      <c r="D918" s="0" t="s">
        <v>3448</v>
      </c>
      <c r="E918" s="0" t="s">
        <v>4963</v>
      </c>
      <c r="F918" s="0" t="s">
        <v>30</v>
      </c>
      <c r="G918" s="0" t="s">
        <v>4980</v>
      </c>
      <c r="H918" s="0" t="s">
        <v>4265</v>
      </c>
      <c r="I918" s="0" t="s">
        <v>4981</v>
      </c>
      <c r="J918" s="18" t="s">
        <v>24</v>
      </c>
    </row>
    <row r="919" customFormat="false" ht="15" hidden="false" customHeight="false" outlineLevel="0" collapsed="false">
      <c r="A919" s="0" t="s">
        <v>911</v>
      </c>
      <c r="B919" s="0" t="s">
        <v>3459</v>
      </c>
      <c r="C919" s="0" t="s">
        <v>3447</v>
      </c>
      <c r="D919" s="0" t="s">
        <v>3457</v>
      </c>
      <c r="E919" s="0" t="s">
        <v>4963</v>
      </c>
      <c r="F919" s="0" t="s">
        <v>30</v>
      </c>
      <c r="G919" s="0" t="s">
        <v>4980</v>
      </c>
      <c r="H919" s="0" t="s">
        <v>4275</v>
      </c>
      <c r="I919" s="0" t="s">
        <v>4981</v>
      </c>
      <c r="J919" s="18" t="s">
        <v>24</v>
      </c>
    </row>
    <row r="920" customFormat="false" ht="15" hidden="false" customHeight="false" outlineLevel="0" collapsed="false">
      <c r="A920" s="0" t="s">
        <v>917</v>
      </c>
      <c r="B920" s="0" t="s">
        <v>134</v>
      </c>
      <c r="C920" s="0" t="s">
        <v>3447</v>
      </c>
      <c r="D920" s="0" t="s">
        <v>3457</v>
      </c>
      <c r="E920" s="0" t="s">
        <v>4963</v>
      </c>
      <c r="F920" s="0" t="s">
        <v>60</v>
      </c>
      <c r="G920" s="0" t="s">
        <v>4964</v>
      </c>
      <c r="H920" s="0" t="s">
        <v>5309</v>
      </c>
      <c r="I920" s="0" t="s">
        <v>4966</v>
      </c>
      <c r="J920" s="19" t="s">
        <v>26</v>
      </c>
    </row>
    <row r="921" customFormat="false" ht="15" hidden="false" customHeight="false" outlineLevel="0" collapsed="false">
      <c r="A921" s="0" t="s">
        <v>917</v>
      </c>
      <c r="B921" s="0" t="s">
        <v>134</v>
      </c>
      <c r="C921" s="0" t="s">
        <v>3450</v>
      </c>
      <c r="D921" s="0" t="s">
        <v>3457</v>
      </c>
      <c r="E921" s="0" t="s">
        <v>4963</v>
      </c>
      <c r="F921" s="0" t="s">
        <v>59</v>
      </c>
      <c r="G921" s="0" t="s">
        <v>4974</v>
      </c>
      <c r="H921" s="0" t="s">
        <v>69</v>
      </c>
      <c r="I921" s="0" t="s">
        <v>4975</v>
      </c>
      <c r="J921" s="20" t="s">
        <v>25</v>
      </c>
    </row>
    <row r="922" customFormat="false" ht="15" hidden="false" customHeight="false" outlineLevel="0" collapsed="false">
      <c r="A922" s="0" t="s">
        <v>917</v>
      </c>
      <c r="B922" s="0" t="s">
        <v>134</v>
      </c>
      <c r="C922" s="0" t="s">
        <v>3450</v>
      </c>
      <c r="D922" s="0" t="s">
        <v>3448</v>
      </c>
      <c r="E922" s="0" t="s">
        <v>4963</v>
      </c>
      <c r="F922" s="0" t="s">
        <v>59</v>
      </c>
      <c r="G922" s="0" t="s">
        <v>4974</v>
      </c>
      <c r="H922" s="0" t="s">
        <v>69</v>
      </c>
      <c r="I922" s="0" t="s">
        <v>4975</v>
      </c>
      <c r="J922" s="20" t="s">
        <v>25</v>
      </c>
    </row>
    <row r="923" customFormat="false" ht="15" hidden="false" customHeight="false" outlineLevel="0" collapsed="false">
      <c r="A923" s="0" t="s">
        <v>917</v>
      </c>
      <c r="B923" s="0" t="s">
        <v>134</v>
      </c>
      <c r="C923" s="0" t="s">
        <v>3447</v>
      </c>
      <c r="D923" s="0" t="s">
        <v>3457</v>
      </c>
      <c r="E923" s="0" t="s">
        <v>4963</v>
      </c>
      <c r="F923" s="0" t="s">
        <v>59</v>
      </c>
      <c r="G923" s="0" t="s">
        <v>4974</v>
      </c>
      <c r="H923" s="0" t="s">
        <v>69</v>
      </c>
      <c r="I923" s="0" t="s">
        <v>4975</v>
      </c>
      <c r="J923" s="20" t="s">
        <v>25</v>
      </c>
    </row>
    <row r="924" customFormat="false" ht="15" hidden="false" customHeight="false" outlineLevel="0" collapsed="false">
      <c r="A924" s="0" t="s">
        <v>917</v>
      </c>
      <c r="B924" s="0" t="s">
        <v>134</v>
      </c>
      <c r="C924" s="0" t="s">
        <v>3450</v>
      </c>
      <c r="D924" s="0" t="s">
        <v>3457</v>
      </c>
      <c r="E924" s="0" t="s">
        <v>4963</v>
      </c>
      <c r="F924" s="0" t="s">
        <v>30</v>
      </c>
      <c r="G924" s="0" t="s">
        <v>4980</v>
      </c>
      <c r="H924" s="0" t="s">
        <v>4275</v>
      </c>
      <c r="I924" s="0" t="s">
        <v>4981</v>
      </c>
      <c r="J924" s="18" t="s">
        <v>24</v>
      </c>
    </row>
    <row r="925" customFormat="false" ht="15" hidden="false" customHeight="false" outlineLevel="0" collapsed="false">
      <c r="A925" s="0" t="s">
        <v>917</v>
      </c>
      <c r="B925" s="0" t="s">
        <v>134</v>
      </c>
      <c r="C925" s="0" t="s">
        <v>3450</v>
      </c>
      <c r="D925" s="0" t="s">
        <v>3448</v>
      </c>
      <c r="E925" s="0" t="s">
        <v>4963</v>
      </c>
      <c r="F925" s="0" t="s">
        <v>30</v>
      </c>
      <c r="G925" s="0" t="s">
        <v>4980</v>
      </c>
      <c r="H925" s="0" t="s">
        <v>4275</v>
      </c>
      <c r="I925" s="0" t="s">
        <v>4981</v>
      </c>
      <c r="J925" s="18" t="s">
        <v>24</v>
      </c>
    </row>
    <row r="926" customFormat="false" ht="15" hidden="false" customHeight="false" outlineLevel="0" collapsed="false">
      <c r="A926" s="0" t="s">
        <v>917</v>
      </c>
      <c r="B926" s="0" t="s">
        <v>134</v>
      </c>
      <c r="C926" s="0" t="s">
        <v>3447</v>
      </c>
      <c r="D926" s="0" t="s">
        <v>3448</v>
      </c>
      <c r="E926" s="0" t="s">
        <v>4963</v>
      </c>
      <c r="F926" s="0" t="s">
        <v>30</v>
      </c>
      <c r="G926" s="0" t="s">
        <v>4980</v>
      </c>
      <c r="H926" s="0" t="s">
        <v>4460</v>
      </c>
      <c r="I926" s="0" t="s">
        <v>4981</v>
      </c>
      <c r="J926" s="18" t="s">
        <v>24</v>
      </c>
    </row>
    <row r="927" customFormat="false" ht="15" hidden="false" customHeight="false" outlineLevel="0" collapsed="false">
      <c r="A927" s="0" t="s">
        <v>923</v>
      </c>
      <c r="B927" s="0" t="s">
        <v>134</v>
      </c>
      <c r="C927" s="0" t="s">
        <v>3450</v>
      </c>
      <c r="D927" s="0" t="s">
        <v>3457</v>
      </c>
      <c r="E927" s="0" t="s">
        <v>4963</v>
      </c>
      <c r="F927" s="0" t="s">
        <v>59</v>
      </c>
      <c r="G927" s="0" t="s">
        <v>4974</v>
      </c>
      <c r="H927" s="0" t="s">
        <v>69</v>
      </c>
      <c r="I927" s="0" t="s">
        <v>4975</v>
      </c>
      <c r="J927" s="20" t="s">
        <v>25</v>
      </c>
    </row>
    <row r="928" customFormat="false" ht="15" hidden="false" customHeight="false" outlineLevel="0" collapsed="false">
      <c r="A928" s="0" t="s">
        <v>923</v>
      </c>
      <c r="B928" s="0" t="s">
        <v>3459</v>
      </c>
      <c r="C928" s="0" t="s">
        <v>3450</v>
      </c>
      <c r="D928" s="0" t="s">
        <v>3457</v>
      </c>
      <c r="E928" s="0" t="s">
        <v>4969</v>
      </c>
      <c r="F928" s="0" t="s">
        <v>61</v>
      </c>
      <c r="G928" s="0" t="s">
        <v>4970</v>
      </c>
      <c r="H928" s="0" t="s">
        <v>5310</v>
      </c>
      <c r="I928" s="0" t="s">
        <v>4972</v>
      </c>
      <c r="J928" s="20" t="s">
        <v>25</v>
      </c>
    </row>
    <row r="929" customFormat="false" ht="15" hidden="false" customHeight="false" outlineLevel="0" collapsed="false">
      <c r="A929" s="0" t="s">
        <v>923</v>
      </c>
      <c r="B929" s="0" t="s">
        <v>3459</v>
      </c>
      <c r="C929" s="0" t="s">
        <v>3450</v>
      </c>
      <c r="D929" s="0" t="s">
        <v>3448</v>
      </c>
      <c r="E929" s="0" t="s">
        <v>4969</v>
      </c>
      <c r="F929" s="0" t="s">
        <v>61</v>
      </c>
      <c r="G929" s="0" t="s">
        <v>4970</v>
      </c>
      <c r="H929" s="0" t="s">
        <v>5311</v>
      </c>
      <c r="I929" s="0" t="s">
        <v>4972</v>
      </c>
      <c r="J929" s="20" t="s">
        <v>25</v>
      </c>
    </row>
    <row r="930" customFormat="false" ht="15" hidden="false" customHeight="false" outlineLevel="0" collapsed="false">
      <c r="A930" s="0" t="s">
        <v>923</v>
      </c>
      <c r="B930" s="0" t="s">
        <v>3459</v>
      </c>
      <c r="C930" s="0" t="s">
        <v>3450</v>
      </c>
      <c r="D930" s="0" t="s">
        <v>3448</v>
      </c>
      <c r="E930" s="0" t="s">
        <v>4969</v>
      </c>
      <c r="F930" s="0" t="s">
        <v>63</v>
      </c>
      <c r="G930" s="0" t="s">
        <v>4220</v>
      </c>
      <c r="H930" s="0" t="s">
        <v>5312</v>
      </c>
      <c r="I930" s="0" t="s">
        <v>4979</v>
      </c>
      <c r="J930" s="20" t="s">
        <v>25</v>
      </c>
    </row>
    <row r="931" customFormat="false" ht="15" hidden="false" customHeight="false" outlineLevel="0" collapsed="false">
      <c r="A931" s="0" t="s">
        <v>923</v>
      </c>
      <c r="B931" s="0" t="s">
        <v>3459</v>
      </c>
      <c r="C931" s="0" t="s">
        <v>3447</v>
      </c>
      <c r="D931" s="0" t="s">
        <v>3457</v>
      </c>
      <c r="E931" s="0" t="s">
        <v>4969</v>
      </c>
      <c r="F931" s="0" t="s">
        <v>61</v>
      </c>
      <c r="G931" s="0" t="s">
        <v>4970</v>
      </c>
      <c r="H931" s="0" t="s">
        <v>5313</v>
      </c>
      <c r="I931" s="0" t="s">
        <v>4972</v>
      </c>
      <c r="J931" s="20" t="s">
        <v>25</v>
      </c>
    </row>
    <row r="932" customFormat="false" ht="15" hidden="false" customHeight="false" outlineLevel="0" collapsed="false">
      <c r="A932" s="0" t="s">
        <v>923</v>
      </c>
      <c r="B932" s="0" t="s">
        <v>3459</v>
      </c>
      <c r="C932" s="0" t="s">
        <v>3447</v>
      </c>
      <c r="D932" s="0" t="s">
        <v>3448</v>
      </c>
      <c r="E932" s="0" t="s">
        <v>4969</v>
      </c>
      <c r="F932" s="0" t="s">
        <v>61</v>
      </c>
      <c r="G932" s="0" t="s">
        <v>4970</v>
      </c>
      <c r="H932" s="0" t="s">
        <v>5311</v>
      </c>
      <c r="I932" s="0" t="s">
        <v>4972</v>
      </c>
      <c r="J932" s="20" t="s">
        <v>25</v>
      </c>
    </row>
    <row r="933" customFormat="false" ht="15" hidden="false" customHeight="false" outlineLevel="0" collapsed="false">
      <c r="A933" s="0" t="s">
        <v>923</v>
      </c>
      <c r="B933" s="0" t="s">
        <v>3459</v>
      </c>
      <c r="C933" s="0" t="s">
        <v>3447</v>
      </c>
      <c r="D933" s="0" t="s">
        <v>3448</v>
      </c>
      <c r="E933" s="0" t="s">
        <v>4969</v>
      </c>
      <c r="F933" s="0" t="s">
        <v>63</v>
      </c>
      <c r="G933" s="0" t="s">
        <v>4220</v>
      </c>
      <c r="H933" s="0" t="s">
        <v>5312</v>
      </c>
      <c r="I933" s="0" t="s">
        <v>4979</v>
      </c>
      <c r="J933" s="20" t="s">
        <v>25</v>
      </c>
    </row>
    <row r="934" customFormat="false" ht="15" hidden="false" customHeight="false" outlineLevel="0" collapsed="false">
      <c r="A934" s="0" t="s">
        <v>923</v>
      </c>
      <c r="B934" s="0" t="s">
        <v>134</v>
      </c>
      <c r="C934" s="0" t="s">
        <v>3450</v>
      </c>
      <c r="D934" s="0" t="s">
        <v>3457</v>
      </c>
      <c r="E934" s="0" t="s">
        <v>4963</v>
      </c>
      <c r="F934" s="0" t="s">
        <v>30</v>
      </c>
      <c r="G934" s="0" t="s">
        <v>4980</v>
      </c>
      <c r="H934" s="0" t="s">
        <v>4275</v>
      </c>
      <c r="I934" s="0" t="s">
        <v>4981</v>
      </c>
      <c r="J934" s="18" t="s">
        <v>24</v>
      </c>
    </row>
    <row r="935" customFormat="false" ht="15" hidden="false" customHeight="false" outlineLevel="0" collapsed="false">
      <c r="A935" s="0" t="s">
        <v>923</v>
      </c>
      <c r="B935" s="0" t="s">
        <v>134</v>
      </c>
      <c r="C935" s="0" t="s">
        <v>3447</v>
      </c>
      <c r="D935" s="0" t="s">
        <v>3448</v>
      </c>
      <c r="E935" s="0" t="s">
        <v>4963</v>
      </c>
      <c r="F935" s="0" t="s">
        <v>30</v>
      </c>
      <c r="G935" s="0" t="s">
        <v>4980</v>
      </c>
      <c r="H935" s="0" t="s">
        <v>4441</v>
      </c>
      <c r="I935" s="0" t="s">
        <v>4981</v>
      </c>
      <c r="J935" s="18" t="s">
        <v>24</v>
      </c>
    </row>
    <row r="936" customFormat="false" ht="15" hidden="false" customHeight="false" outlineLevel="0" collapsed="false">
      <c r="A936" s="0" t="s">
        <v>923</v>
      </c>
      <c r="B936" s="0" t="s">
        <v>3459</v>
      </c>
      <c r="C936" s="0" t="s">
        <v>3447</v>
      </c>
      <c r="D936" s="0" t="s">
        <v>3448</v>
      </c>
      <c r="E936" s="0" t="s">
        <v>4963</v>
      </c>
      <c r="F936" s="0" t="s">
        <v>30</v>
      </c>
      <c r="G936" s="0" t="s">
        <v>4980</v>
      </c>
      <c r="H936" s="0" t="s">
        <v>4461</v>
      </c>
      <c r="I936" s="0" t="s">
        <v>4981</v>
      </c>
      <c r="J936" s="18" t="s">
        <v>24</v>
      </c>
    </row>
    <row r="937" customFormat="false" ht="15" hidden="false" customHeight="false" outlineLevel="0" collapsed="false">
      <c r="A937" s="0" t="s">
        <v>937</v>
      </c>
      <c r="B937" s="0" t="s">
        <v>134</v>
      </c>
      <c r="C937" s="0" t="s">
        <v>3450</v>
      </c>
      <c r="D937" s="0" t="s">
        <v>3457</v>
      </c>
      <c r="E937" s="0" t="s">
        <v>4963</v>
      </c>
      <c r="F937" s="0" t="s">
        <v>60</v>
      </c>
      <c r="G937" s="0" t="s">
        <v>4964</v>
      </c>
      <c r="H937" s="0" t="s">
        <v>5314</v>
      </c>
      <c r="I937" s="0" t="s">
        <v>4966</v>
      </c>
      <c r="J937" s="19" t="s">
        <v>26</v>
      </c>
    </row>
    <row r="938" customFormat="false" ht="15" hidden="false" customHeight="false" outlineLevel="0" collapsed="false">
      <c r="A938" s="0" t="s">
        <v>937</v>
      </c>
      <c r="B938" s="0" t="s">
        <v>134</v>
      </c>
      <c r="C938" s="0" t="s">
        <v>3450</v>
      </c>
      <c r="D938" s="0" t="s">
        <v>3457</v>
      </c>
      <c r="E938" s="0" t="s">
        <v>4963</v>
      </c>
      <c r="F938" s="0" t="s">
        <v>59</v>
      </c>
      <c r="G938" s="0" t="s">
        <v>4974</v>
      </c>
      <c r="H938" s="0" t="s">
        <v>69</v>
      </c>
      <c r="I938" s="0" t="s">
        <v>4975</v>
      </c>
      <c r="J938" s="20" t="s">
        <v>25</v>
      </c>
    </row>
    <row r="939" customFormat="false" ht="15" hidden="false" customHeight="false" outlineLevel="0" collapsed="false">
      <c r="A939" s="0" t="s">
        <v>937</v>
      </c>
      <c r="B939" s="0" t="s">
        <v>134</v>
      </c>
      <c r="C939" s="0" t="s">
        <v>3450</v>
      </c>
      <c r="D939" s="0" t="s">
        <v>3457</v>
      </c>
      <c r="E939" s="0" t="s">
        <v>4969</v>
      </c>
      <c r="F939" s="0" t="s">
        <v>62</v>
      </c>
      <c r="G939" s="0" t="s">
        <v>5003</v>
      </c>
      <c r="H939" s="0" t="s">
        <v>5315</v>
      </c>
      <c r="I939" s="0" t="s">
        <v>5005</v>
      </c>
      <c r="J939" s="20" t="s">
        <v>25</v>
      </c>
    </row>
    <row r="940" customFormat="false" ht="15" hidden="false" customHeight="false" outlineLevel="0" collapsed="false">
      <c r="A940" s="0" t="s">
        <v>937</v>
      </c>
      <c r="B940" s="0" t="s">
        <v>134</v>
      </c>
      <c r="C940" s="0" t="s">
        <v>3450</v>
      </c>
      <c r="D940" s="0" t="s">
        <v>3457</v>
      </c>
      <c r="E940" s="0" t="s">
        <v>4969</v>
      </c>
      <c r="F940" s="0" t="s">
        <v>64</v>
      </c>
      <c r="G940" s="0" t="s">
        <v>4220</v>
      </c>
      <c r="H940" s="0" t="s">
        <v>5316</v>
      </c>
      <c r="I940" s="0" t="s">
        <v>4991</v>
      </c>
      <c r="J940" s="20" t="s">
        <v>25</v>
      </c>
    </row>
    <row r="941" customFormat="false" ht="15" hidden="false" customHeight="false" outlineLevel="0" collapsed="false">
      <c r="A941" s="0" t="s">
        <v>937</v>
      </c>
      <c r="B941" s="0" t="s">
        <v>134</v>
      </c>
      <c r="C941" s="0" t="s">
        <v>3450</v>
      </c>
      <c r="D941" s="0" t="s">
        <v>3448</v>
      </c>
      <c r="E941" s="0" t="s">
        <v>4963</v>
      </c>
      <c r="F941" s="0" t="s">
        <v>59</v>
      </c>
      <c r="G941" s="0" t="s">
        <v>4974</v>
      </c>
      <c r="H941" s="0" t="s">
        <v>69</v>
      </c>
      <c r="I941" s="0" t="s">
        <v>4975</v>
      </c>
      <c r="J941" s="20" t="s">
        <v>25</v>
      </c>
    </row>
    <row r="942" customFormat="false" ht="15" hidden="false" customHeight="false" outlineLevel="0" collapsed="false">
      <c r="A942" s="0" t="s">
        <v>937</v>
      </c>
      <c r="B942" s="0" t="s">
        <v>134</v>
      </c>
      <c r="C942" s="0" t="s">
        <v>3450</v>
      </c>
      <c r="D942" s="0" t="s">
        <v>3448</v>
      </c>
      <c r="E942" s="0" t="s">
        <v>4969</v>
      </c>
      <c r="F942" s="0" t="s">
        <v>62</v>
      </c>
      <c r="G942" s="0" t="s">
        <v>5003</v>
      </c>
      <c r="H942" s="0" t="s">
        <v>5317</v>
      </c>
      <c r="I942" s="0" t="s">
        <v>5005</v>
      </c>
      <c r="J942" s="20" t="s">
        <v>25</v>
      </c>
    </row>
    <row r="943" customFormat="false" ht="15" hidden="false" customHeight="false" outlineLevel="0" collapsed="false">
      <c r="A943" s="0" t="s">
        <v>937</v>
      </c>
      <c r="B943" s="0" t="s">
        <v>134</v>
      </c>
      <c r="C943" s="0" t="s">
        <v>3450</v>
      </c>
      <c r="D943" s="0" t="s">
        <v>3448</v>
      </c>
      <c r="E943" s="0" t="s">
        <v>4969</v>
      </c>
      <c r="F943" s="0" t="s">
        <v>64</v>
      </c>
      <c r="G943" s="0" t="s">
        <v>4220</v>
      </c>
      <c r="H943" s="0" t="s">
        <v>5318</v>
      </c>
      <c r="I943" s="0" t="s">
        <v>4991</v>
      </c>
      <c r="J943" s="20" t="s">
        <v>25</v>
      </c>
    </row>
    <row r="944" customFormat="false" ht="15" hidden="false" customHeight="false" outlineLevel="0" collapsed="false">
      <c r="A944" s="0" t="s">
        <v>937</v>
      </c>
      <c r="B944" s="0" t="s">
        <v>134</v>
      </c>
      <c r="C944" s="0" t="s">
        <v>3447</v>
      </c>
      <c r="D944" s="0" t="s">
        <v>3457</v>
      </c>
      <c r="E944" s="0" t="s">
        <v>4969</v>
      </c>
      <c r="F944" s="0" t="s">
        <v>64</v>
      </c>
      <c r="G944" s="0" t="s">
        <v>4220</v>
      </c>
      <c r="H944" s="0" t="s">
        <v>5316</v>
      </c>
      <c r="I944" s="0" t="s">
        <v>4991</v>
      </c>
      <c r="J944" s="20" t="s">
        <v>25</v>
      </c>
    </row>
    <row r="945" customFormat="false" ht="15" hidden="false" customHeight="false" outlineLevel="0" collapsed="false">
      <c r="A945" s="0" t="s">
        <v>937</v>
      </c>
      <c r="B945" s="0" t="s">
        <v>134</v>
      </c>
      <c r="C945" s="0" t="s">
        <v>3447</v>
      </c>
      <c r="D945" s="0" t="s">
        <v>3448</v>
      </c>
      <c r="E945" s="0" t="s">
        <v>4969</v>
      </c>
      <c r="F945" s="0" t="s">
        <v>64</v>
      </c>
      <c r="G945" s="0" t="s">
        <v>4220</v>
      </c>
      <c r="H945" s="0" t="s">
        <v>5318</v>
      </c>
      <c r="I945" s="0" t="s">
        <v>4991</v>
      </c>
      <c r="J945" s="20" t="s">
        <v>25</v>
      </c>
    </row>
    <row r="946" customFormat="false" ht="15" hidden="false" customHeight="false" outlineLevel="0" collapsed="false">
      <c r="A946" s="0" t="s">
        <v>937</v>
      </c>
      <c r="B946" s="0" t="s">
        <v>134</v>
      </c>
      <c r="C946" s="0" t="s">
        <v>3450</v>
      </c>
      <c r="D946" s="0" t="s">
        <v>3448</v>
      </c>
      <c r="E946" s="0" t="s">
        <v>4963</v>
      </c>
      <c r="F946" s="0" t="s">
        <v>30</v>
      </c>
      <c r="G946" s="0" t="s">
        <v>4980</v>
      </c>
      <c r="H946" s="0" t="s">
        <v>4463</v>
      </c>
      <c r="I946" s="0" t="s">
        <v>4981</v>
      </c>
      <c r="J946" s="18" t="s">
        <v>24</v>
      </c>
    </row>
    <row r="947" customFormat="false" ht="15" hidden="false" customHeight="false" outlineLevel="0" collapsed="false">
      <c r="A947" s="0" t="s">
        <v>937</v>
      </c>
      <c r="B947" s="0" t="s">
        <v>134</v>
      </c>
      <c r="C947" s="0" t="s">
        <v>3447</v>
      </c>
      <c r="D947" s="0" t="s">
        <v>3457</v>
      </c>
      <c r="E947" s="0" t="s">
        <v>4963</v>
      </c>
      <c r="F947" s="0" t="s">
        <v>30</v>
      </c>
      <c r="G947" s="0" t="s">
        <v>4980</v>
      </c>
      <c r="H947" s="0" t="s">
        <v>4464</v>
      </c>
      <c r="I947" s="0" t="s">
        <v>4981</v>
      </c>
      <c r="J947" s="18" t="s">
        <v>24</v>
      </c>
    </row>
    <row r="948" customFormat="false" ht="15" hidden="false" customHeight="false" outlineLevel="0" collapsed="false">
      <c r="A948" s="0" t="s">
        <v>937</v>
      </c>
      <c r="B948" s="0" t="s">
        <v>134</v>
      </c>
      <c r="C948" s="0" t="s">
        <v>3447</v>
      </c>
      <c r="D948" s="0" t="s">
        <v>3448</v>
      </c>
      <c r="E948" s="0" t="s">
        <v>4963</v>
      </c>
      <c r="F948" s="0" t="s">
        <v>30</v>
      </c>
      <c r="G948" s="0" t="s">
        <v>4980</v>
      </c>
      <c r="H948" s="0" t="s">
        <v>4228</v>
      </c>
      <c r="I948" s="0" t="s">
        <v>4981</v>
      </c>
      <c r="J948" s="18" t="s">
        <v>24</v>
      </c>
    </row>
    <row r="949" customFormat="false" ht="15" hidden="false" customHeight="false" outlineLevel="0" collapsed="false">
      <c r="A949" s="0" t="s">
        <v>951</v>
      </c>
      <c r="B949" s="0" t="s">
        <v>3459</v>
      </c>
      <c r="C949" s="0" t="s">
        <v>3450</v>
      </c>
      <c r="D949" s="0" t="s">
        <v>3457</v>
      </c>
      <c r="E949" s="0" t="s">
        <v>4963</v>
      </c>
      <c r="F949" s="0" t="s">
        <v>60</v>
      </c>
      <c r="G949" s="0" t="s">
        <v>4964</v>
      </c>
      <c r="H949" s="0" t="s">
        <v>5319</v>
      </c>
      <c r="I949" s="0" t="s">
        <v>4966</v>
      </c>
      <c r="J949" s="19" t="s">
        <v>26</v>
      </c>
    </row>
    <row r="950" customFormat="false" ht="15" hidden="false" customHeight="false" outlineLevel="0" collapsed="false">
      <c r="A950" s="0" t="s">
        <v>951</v>
      </c>
      <c r="B950" s="0" t="s">
        <v>3459</v>
      </c>
      <c r="C950" s="0" t="s">
        <v>3450</v>
      </c>
      <c r="D950" s="0" t="s">
        <v>3448</v>
      </c>
      <c r="E950" s="0" t="s">
        <v>4963</v>
      </c>
      <c r="F950" s="0" t="s">
        <v>60</v>
      </c>
      <c r="G950" s="0" t="s">
        <v>4964</v>
      </c>
      <c r="H950" s="0" t="s">
        <v>5320</v>
      </c>
      <c r="I950" s="0" t="s">
        <v>4966</v>
      </c>
      <c r="J950" s="19" t="s">
        <v>26</v>
      </c>
    </row>
    <row r="951" customFormat="false" ht="15" hidden="false" customHeight="false" outlineLevel="0" collapsed="false">
      <c r="A951" s="0" t="s">
        <v>951</v>
      </c>
      <c r="B951" s="0" t="s">
        <v>3459</v>
      </c>
      <c r="C951" s="0" t="s">
        <v>3447</v>
      </c>
      <c r="D951" s="0" t="s">
        <v>3457</v>
      </c>
      <c r="E951" s="0" t="s">
        <v>4963</v>
      </c>
      <c r="F951" s="0" t="s">
        <v>60</v>
      </c>
      <c r="G951" s="0" t="s">
        <v>4964</v>
      </c>
      <c r="H951" s="0" t="s">
        <v>5321</v>
      </c>
      <c r="I951" s="0" t="s">
        <v>4966</v>
      </c>
      <c r="J951" s="19" t="s">
        <v>26</v>
      </c>
    </row>
    <row r="952" customFormat="false" ht="15" hidden="false" customHeight="false" outlineLevel="0" collapsed="false">
      <c r="A952" s="0" t="s">
        <v>951</v>
      </c>
      <c r="B952" s="0" t="s">
        <v>134</v>
      </c>
      <c r="C952" s="0" t="s">
        <v>3450</v>
      </c>
      <c r="D952" s="0" t="s">
        <v>3457</v>
      </c>
      <c r="E952" s="0" t="s">
        <v>4969</v>
      </c>
      <c r="F952" s="0" t="s">
        <v>61</v>
      </c>
      <c r="G952" s="0" t="s">
        <v>4970</v>
      </c>
      <c r="H952" s="0" t="s">
        <v>5322</v>
      </c>
      <c r="I952" s="0" t="s">
        <v>4972</v>
      </c>
      <c r="J952" s="20" t="s">
        <v>25</v>
      </c>
    </row>
    <row r="953" customFormat="false" ht="15" hidden="false" customHeight="false" outlineLevel="0" collapsed="false">
      <c r="A953" s="0" t="s">
        <v>951</v>
      </c>
      <c r="B953" s="0" t="s">
        <v>134</v>
      </c>
      <c r="C953" s="0" t="s">
        <v>3450</v>
      </c>
      <c r="D953" s="0" t="s">
        <v>3448</v>
      </c>
      <c r="E953" s="0" t="s">
        <v>4963</v>
      </c>
      <c r="F953" s="0" t="s">
        <v>59</v>
      </c>
      <c r="G953" s="0" t="s">
        <v>4974</v>
      </c>
      <c r="H953" s="0" t="s">
        <v>69</v>
      </c>
      <c r="I953" s="0" t="s">
        <v>4975</v>
      </c>
      <c r="J953" s="20" t="s">
        <v>25</v>
      </c>
    </row>
    <row r="954" customFormat="false" ht="15" hidden="false" customHeight="false" outlineLevel="0" collapsed="false">
      <c r="A954" s="0" t="s">
        <v>951</v>
      </c>
      <c r="B954" s="0" t="s">
        <v>134</v>
      </c>
      <c r="C954" s="0" t="s">
        <v>3447</v>
      </c>
      <c r="D954" s="0" t="s">
        <v>3457</v>
      </c>
      <c r="E954" s="0" t="s">
        <v>4963</v>
      </c>
      <c r="F954" s="0" t="s">
        <v>59</v>
      </c>
      <c r="G954" s="0" t="s">
        <v>4974</v>
      </c>
      <c r="H954" s="0" t="s">
        <v>69</v>
      </c>
      <c r="I954" s="0" t="s">
        <v>4975</v>
      </c>
      <c r="J954" s="20" t="s">
        <v>25</v>
      </c>
    </row>
    <row r="955" customFormat="false" ht="15" hidden="false" customHeight="false" outlineLevel="0" collapsed="false">
      <c r="A955" s="0" t="s">
        <v>951</v>
      </c>
      <c r="B955" s="0" t="s">
        <v>134</v>
      </c>
      <c r="C955" s="0" t="s">
        <v>3447</v>
      </c>
      <c r="D955" s="0" t="s">
        <v>3457</v>
      </c>
      <c r="E955" s="0" t="s">
        <v>4969</v>
      </c>
      <c r="F955" s="0" t="s">
        <v>61</v>
      </c>
      <c r="G955" s="0" t="s">
        <v>4970</v>
      </c>
      <c r="H955" s="0" t="s">
        <v>5323</v>
      </c>
      <c r="I955" s="0" t="s">
        <v>4972</v>
      </c>
      <c r="J955" s="20" t="s">
        <v>25</v>
      </c>
    </row>
    <row r="956" customFormat="false" ht="15" hidden="false" customHeight="false" outlineLevel="0" collapsed="false">
      <c r="A956" s="0" t="s">
        <v>951</v>
      </c>
      <c r="B956" s="0" t="s">
        <v>3459</v>
      </c>
      <c r="C956" s="0" t="s">
        <v>3450</v>
      </c>
      <c r="D956" s="0" t="s">
        <v>3457</v>
      </c>
      <c r="E956" s="0" t="s">
        <v>4963</v>
      </c>
      <c r="F956" s="0" t="s">
        <v>59</v>
      </c>
      <c r="G956" s="0" t="s">
        <v>4974</v>
      </c>
      <c r="H956" s="0" t="s">
        <v>69</v>
      </c>
      <c r="I956" s="0" t="s">
        <v>4975</v>
      </c>
      <c r="J956" s="20" t="s">
        <v>25</v>
      </c>
    </row>
    <row r="957" customFormat="false" ht="15" hidden="false" customHeight="false" outlineLevel="0" collapsed="false">
      <c r="A957" s="0" t="s">
        <v>951</v>
      </c>
      <c r="B957" s="0" t="s">
        <v>3459</v>
      </c>
      <c r="C957" s="0" t="s">
        <v>3450</v>
      </c>
      <c r="D957" s="0" t="s">
        <v>3457</v>
      </c>
      <c r="E957" s="0" t="s">
        <v>4969</v>
      </c>
      <c r="F957" s="0" t="s">
        <v>61</v>
      </c>
      <c r="G957" s="0" t="s">
        <v>4970</v>
      </c>
      <c r="H957" s="0" t="s">
        <v>5324</v>
      </c>
      <c r="I957" s="0" t="s">
        <v>4972</v>
      </c>
      <c r="J957" s="20" t="s">
        <v>25</v>
      </c>
    </row>
    <row r="958" customFormat="false" ht="15" hidden="false" customHeight="false" outlineLevel="0" collapsed="false">
      <c r="A958" s="0" t="s">
        <v>951</v>
      </c>
      <c r="B958" s="0" t="s">
        <v>3459</v>
      </c>
      <c r="C958" s="0" t="s">
        <v>3450</v>
      </c>
      <c r="D958" s="0" t="s">
        <v>3448</v>
      </c>
      <c r="E958" s="0" t="s">
        <v>4963</v>
      </c>
      <c r="F958" s="0" t="s">
        <v>59</v>
      </c>
      <c r="G958" s="0" t="s">
        <v>4974</v>
      </c>
      <c r="H958" s="0" t="s">
        <v>69</v>
      </c>
      <c r="I958" s="0" t="s">
        <v>4975</v>
      </c>
      <c r="J958" s="20" t="s">
        <v>25</v>
      </c>
    </row>
    <row r="959" customFormat="false" ht="15" hidden="false" customHeight="false" outlineLevel="0" collapsed="false">
      <c r="A959" s="0" t="s">
        <v>951</v>
      </c>
      <c r="B959" s="0" t="s">
        <v>3459</v>
      </c>
      <c r="C959" s="0" t="s">
        <v>3447</v>
      </c>
      <c r="D959" s="0" t="s">
        <v>3457</v>
      </c>
      <c r="E959" s="0" t="s">
        <v>4969</v>
      </c>
      <c r="F959" s="0" t="s">
        <v>61</v>
      </c>
      <c r="G959" s="0" t="s">
        <v>4970</v>
      </c>
      <c r="H959" s="0" t="s">
        <v>5325</v>
      </c>
      <c r="I959" s="0" t="s">
        <v>4972</v>
      </c>
      <c r="J959" s="20" t="s">
        <v>25</v>
      </c>
    </row>
    <row r="960" customFormat="false" ht="15" hidden="false" customHeight="false" outlineLevel="0" collapsed="false">
      <c r="A960" s="0" t="s">
        <v>951</v>
      </c>
      <c r="B960" s="0" t="s">
        <v>134</v>
      </c>
      <c r="C960" s="0" t="s">
        <v>3450</v>
      </c>
      <c r="D960" s="0" t="s">
        <v>3448</v>
      </c>
      <c r="E960" s="0" t="s">
        <v>4963</v>
      </c>
      <c r="F960" s="0" t="s">
        <v>30</v>
      </c>
      <c r="G960" s="0" t="s">
        <v>4980</v>
      </c>
      <c r="H960" s="0" t="s">
        <v>4275</v>
      </c>
      <c r="I960" s="0" t="s">
        <v>4981</v>
      </c>
      <c r="J960" s="18" t="s">
        <v>24</v>
      </c>
    </row>
    <row r="961" customFormat="false" ht="15" hidden="false" customHeight="false" outlineLevel="0" collapsed="false">
      <c r="A961" s="0" t="s">
        <v>951</v>
      </c>
      <c r="B961" s="0" t="s">
        <v>134</v>
      </c>
      <c r="C961" s="0" t="s">
        <v>3447</v>
      </c>
      <c r="D961" s="0" t="s">
        <v>3457</v>
      </c>
      <c r="E961" s="0" t="s">
        <v>4963</v>
      </c>
      <c r="F961" s="0" t="s">
        <v>30</v>
      </c>
      <c r="G961" s="0" t="s">
        <v>4980</v>
      </c>
      <c r="H961" s="0" t="s">
        <v>4465</v>
      </c>
      <c r="I961" s="0" t="s">
        <v>4981</v>
      </c>
      <c r="J961" s="18" t="s">
        <v>24</v>
      </c>
    </row>
    <row r="962" customFormat="false" ht="15" hidden="false" customHeight="false" outlineLevel="0" collapsed="false">
      <c r="A962" s="0" t="s">
        <v>951</v>
      </c>
      <c r="B962" s="0" t="s">
        <v>134</v>
      </c>
      <c r="C962" s="0" t="s">
        <v>3447</v>
      </c>
      <c r="D962" s="0" t="s">
        <v>3448</v>
      </c>
      <c r="E962" s="0" t="s">
        <v>4963</v>
      </c>
      <c r="F962" s="0" t="s">
        <v>30</v>
      </c>
      <c r="G962" s="0" t="s">
        <v>4980</v>
      </c>
      <c r="H962" s="0" t="s">
        <v>4251</v>
      </c>
      <c r="I962" s="0" t="s">
        <v>4981</v>
      </c>
      <c r="J962" s="18" t="s">
        <v>24</v>
      </c>
    </row>
    <row r="963" customFormat="false" ht="15" hidden="false" customHeight="false" outlineLevel="0" collapsed="false">
      <c r="A963" s="0" t="s">
        <v>951</v>
      </c>
      <c r="B963" s="0" t="s">
        <v>3459</v>
      </c>
      <c r="C963" s="0" t="s">
        <v>3447</v>
      </c>
      <c r="D963" s="0" t="s">
        <v>3448</v>
      </c>
      <c r="E963" s="0" t="s">
        <v>4963</v>
      </c>
      <c r="F963" s="0" t="s">
        <v>30</v>
      </c>
      <c r="G963" s="0" t="s">
        <v>4980</v>
      </c>
      <c r="H963" s="0" t="s">
        <v>4469</v>
      </c>
      <c r="I963" s="0" t="s">
        <v>4981</v>
      </c>
      <c r="J963" s="18" t="s">
        <v>24</v>
      </c>
    </row>
    <row r="964" customFormat="false" ht="15" hidden="false" customHeight="false" outlineLevel="0" collapsed="false">
      <c r="A964" s="0" t="s">
        <v>958</v>
      </c>
      <c r="B964" s="0" t="s">
        <v>134</v>
      </c>
      <c r="C964" s="0" t="s">
        <v>3450</v>
      </c>
      <c r="D964" s="0" t="s">
        <v>3457</v>
      </c>
      <c r="E964" s="0" t="s">
        <v>4963</v>
      </c>
      <c r="F964" s="0" t="s">
        <v>59</v>
      </c>
      <c r="G964" s="0" t="s">
        <v>4974</v>
      </c>
      <c r="H964" s="0" t="s">
        <v>69</v>
      </c>
      <c r="I964" s="0" t="s">
        <v>4975</v>
      </c>
      <c r="J964" s="20" t="s">
        <v>25</v>
      </c>
    </row>
    <row r="965" customFormat="false" ht="15" hidden="false" customHeight="false" outlineLevel="0" collapsed="false">
      <c r="A965" s="0" t="s">
        <v>958</v>
      </c>
      <c r="B965" s="0" t="s">
        <v>134</v>
      </c>
      <c r="C965" s="0" t="s">
        <v>3450</v>
      </c>
      <c r="D965" s="0" t="s">
        <v>3457</v>
      </c>
      <c r="E965" s="0" t="s">
        <v>4969</v>
      </c>
      <c r="F965" s="0" t="s">
        <v>61</v>
      </c>
      <c r="G965" s="0" t="s">
        <v>4970</v>
      </c>
      <c r="H965" s="0" t="s">
        <v>5326</v>
      </c>
      <c r="I965" s="0" t="s">
        <v>4972</v>
      </c>
      <c r="J965" s="20" t="s">
        <v>25</v>
      </c>
    </row>
    <row r="966" customFormat="false" ht="15" hidden="false" customHeight="false" outlineLevel="0" collapsed="false">
      <c r="A966" s="0" t="s">
        <v>958</v>
      </c>
      <c r="B966" s="0" t="s">
        <v>134</v>
      </c>
      <c r="C966" s="0" t="s">
        <v>3450</v>
      </c>
      <c r="D966" s="0" t="s">
        <v>3448</v>
      </c>
      <c r="E966" s="0" t="s">
        <v>4963</v>
      </c>
      <c r="F966" s="0" t="s">
        <v>59</v>
      </c>
      <c r="G966" s="0" t="s">
        <v>4974</v>
      </c>
      <c r="H966" s="0" t="s">
        <v>69</v>
      </c>
      <c r="I966" s="0" t="s">
        <v>4975</v>
      </c>
      <c r="J966" s="20" t="s">
        <v>25</v>
      </c>
    </row>
    <row r="967" customFormat="false" ht="15" hidden="false" customHeight="false" outlineLevel="0" collapsed="false">
      <c r="A967" s="0" t="s">
        <v>958</v>
      </c>
      <c r="B967" s="0" t="s">
        <v>134</v>
      </c>
      <c r="C967" s="0" t="s">
        <v>3447</v>
      </c>
      <c r="D967" s="0" t="s">
        <v>3457</v>
      </c>
      <c r="E967" s="0" t="s">
        <v>4969</v>
      </c>
      <c r="F967" s="0" t="s">
        <v>61</v>
      </c>
      <c r="G967" s="0" t="s">
        <v>4970</v>
      </c>
      <c r="H967" s="0" t="s">
        <v>5327</v>
      </c>
      <c r="I967" s="0" t="s">
        <v>4972</v>
      </c>
      <c r="J967" s="20" t="s">
        <v>25</v>
      </c>
    </row>
    <row r="968" customFormat="false" ht="15" hidden="false" customHeight="false" outlineLevel="0" collapsed="false">
      <c r="A968" s="0" t="s">
        <v>958</v>
      </c>
      <c r="B968" s="0" t="s">
        <v>134</v>
      </c>
      <c r="C968" s="0" t="s">
        <v>3450</v>
      </c>
      <c r="D968" s="0" t="s">
        <v>3457</v>
      </c>
      <c r="E968" s="0" t="s">
        <v>4963</v>
      </c>
      <c r="F968" s="0" t="s">
        <v>30</v>
      </c>
      <c r="G968" s="0" t="s">
        <v>4980</v>
      </c>
      <c r="H968" s="0" t="s">
        <v>4275</v>
      </c>
      <c r="I968" s="0" t="s">
        <v>4981</v>
      </c>
      <c r="J968" s="18" t="s">
        <v>24</v>
      </c>
    </row>
    <row r="969" customFormat="false" ht="15" hidden="false" customHeight="false" outlineLevel="0" collapsed="false">
      <c r="A969" s="0" t="s">
        <v>958</v>
      </c>
      <c r="B969" s="0" t="s">
        <v>134</v>
      </c>
      <c r="C969" s="0" t="s">
        <v>3450</v>
      </c>
      <c r="D969" s="0" t="s">
        <v>3448</v>
      </c>
      <c r="E969" s="0" t="s">
        <v>4963</v>
      </c>
      <c r="F969" s="0" t="s">
        <v>30</v>
      </c>
      <c r="G969" s="0" t="s">
        <v>4980</v>
      </c>
      <c r="H969" s="0" t="s">
        <v>4275</v>
      </c>
      <c r="I969" s="0" t="s">
        <v>4981</v>
      </c>
      <c r="J969" s="18" t="s">
        <v>24</v>
      </c>
    </row>
    <row r="970" customFormat="false" ht="15" hidden="false" customHeight="false" outlineLevel="0" collapsed="false">
      <c r="A970" s="0" t="s">
        <v>958</v>
      </c>
      <c r="B970" s="0" t="s">
        <v>134</v>
      </c>
      <c r="C970" s="0" t="s">
        <v>3447</v>
      </c>
      <c r="D970" s="0" t="s">
        <v>3457</v>
      </c>
      <c r="E970" s="0" t="s">
        <v>4963</v>
      </c>
      <c r="F970" s="0" t="s">
        <v>30</v>
      </c>
      <c r="G970" s="0" t="s">
        <v>4980</v>
      </c>
      <c r="H970" s="0" t="s">
        <v>4470</v>
      </c>
      <c r="I970" s="0" t="s">
        <v>4981</v>
      </c>
      <c r="J970" s="18" t="s">
        <v>24</v>
      </c>
    </row>
    <row r="971" customFormat="false" ht="15" hidden="false" customHeight="false" outlineLevel="0" collapsed="false">
      <c r="A971" s="0" t="s">
        <v>958</v>
      </c>
      <c r="B971" s="0" t="s">
        <v>134</v>
      </c>
      <c r="C971" s="0" t="s">
        <v>3447</v>
      </c>
      <c r="D971" s="0" t="s">
        <v>3448</v>
      </c>
      <c r="E971" s="0" t="s">
        <v>4963</v>
      </c>
      <c r="F971" s="0" t="s">
        <v>30</v>
      </c>
      <c r="G971" s="0" t="s">
        <v>4980</v>
      </c>
      <c r="H971" s="0" t="s">
        <v>4368</v>
      </c>
      <c r="I971" s="0" t="s">
        <v>4981</v>
      </c>
      <c r="J971" s="18" t="s">
        <v>24</v>
      </c>
    </row>
    <row r="972" customFormat="false" ht="15" hidden="false" customHeight="false" outlineLevel="0" collapsed="false">
      <c r="A972" s="0" t="s">
        <v>964</v>
      </c>
      <c r="B972" s="0" t="s">
        <v>134</v>
      </c>
      <c r="C972" s="0" t="s">
        <v>3447</v>
      </c>
      <c r="D972" s="0" t="s">
        <v>3448</v>
      </c>
      <c r="E972" s="0" t="s">
        <v>4963</v>
      </c>
      <c r="F972" s="0" t="s">
        <v>60</v>
      </c>
      <c r="G972" s="0" t="s">
        <v>4964</v>
      </c>
      <c r="H972" s="0" t="s">
        <v>5328</v>
      </c>
      <c r="I972" s="0" t="s">
        <v>4966</v>
      </c>
      <c r="J972" s="19" t="s">
        <v>26</v>
      </c>
    </row>
    <row r="973" customFormat="false" ht="15" hidden="false" customHeight="false" outlineLevel="0" collapsed="false">
      <c r="A973" s="0" t="s">
        <v>964</v>
      </c>
      <c r="B973" s="0" t="s">
        <v>134</v>
      </c>
      <c r="C973" s="0" t="s">
        <v>3450</v>
      </c>
      <c r="D973" s="0" t="s">
        <v>3457</v>
      </c>
      <c r="E973" s="0" t="s">
        <v>4969</v>
      </c>
      <c r="F973" s="0" t="s">
        <v>62</v>
      </c>
      <c r="G973" s="0" t="s">
        <v>5003</v>
      </c>
      <c r="H973" s="0" t="s">
        <v>5329</v>
      </c>
      <c r="I973" s="0" t="s">
        <v>5005</v>
      </c>
      <c r="J973" s="20" t="s">
        <v>25</v>
      </c>
    </row>
    <row r="974" customFormat="false" ht="15" hidden="false" customHeight="false" outlineLevel="0" collapsed="false">
      <c r="A974" s="0" t="s">
        <v>964</v>
      </c>
      <c r="B974" s="0" t="s">
        <v>134</v>
      </c>
      <c r="C974" s="0" t="s">
        <v>3450</v>
      </c>
      <c r="D974" s="0" t="s">
        <v>3448</v>
      </c>
      <c r="E974" s="0" t="s">
        <v>4963</v>
      </c>
      <c r="F974" s="0" t="s">
        <v>59</v>
      </c>
      <c r="G974" s="0" t="s">
        <v>4974</v>
      </c>
      <c r="H974" s="0" t="s">
        <v>69</v>
      </c>
      <c r="I974" s="0" t="s">
        <v>4975</v>
      </c>
      <c r="J974" s="20" t="s">
        <v>25</v>
      </c>
    </row>
    <row r="975" customFormat="false" ht="15" hidden="false" customHeight="false" outlineLevel="0" collapsed="false">
      <c r="A975" s="0" t="s">
        <v>964</v>
      </c>
      <c r="B975" s="0" t="s">
        <v>134</v>
      </c>
      <c r="C975" s="0" t="s">
        <v>3450</v>
      </c>
      <c r="D975" s="0" t="s">
        <v>3448</v>
      </c>
      <c r="E975" s="0" t="s">
        <v>4969</v>
      </c>
      <c r="F975" s="0" t="s">
        <v>62</v>
      </c>
      <c r="G975" s="0" t="s">
        <v>5003</v>
      </c>
      <c r="H975" s="0" t="s">
        <v>5330</v>
      </c>
      <c r="I975" s="0" t="s">
        <v>5005</v>
      </c>
      <c r="J975" s="20" t="s">
        <v>25</v>
      </c>
    </row>
    <row r="976" customFormat="false" ht="15" hidden="false" customHeight="false" outlineLevel="0" collapsed="false">
      <c r="A976" s="0" t="s">
        <v>964</v>
      </c>
      <c r="B976" s="0" t="s">
        <v>134</v>
      </c>
      <c r="C976" s="0" t="s">
        <v>3447</v>
      </c>
      <c r="D976" s="0" t="s">
        <v>3448</v>
      </c>
      <c r="E976" s="0" t="s">
        <v>4963</v>
      </c>
      <c r="F976" s="0" t="s">
        <v>59</v>
      </c>
      <c r="G976" s="0" t="s">
        <v>4974</v>
      </c>
      <c r="H976" s="0" t="s">
        <v>69</v>
      </c>
      <c r="I976" s="0" t="s">
        <v>4975</v>
      </c>
      <c r="J976" s="20" t="s">
        <v>25</v>
      </c>
    </row>
    <row r="977" customFormat="false" ht="15" hidden="false" customHeight="false" outlineLevel="0" collapsed="false">
      <c r="A977" s="0" t="s">
        <v>964</v>
      </c>
      <c r="B977" s="0" t="s">
        <v>3459</v>
      </c>
      <c r="C977" s="0" t="s">
        <v>3450</v>
      </c>
      <c r="D977" s="0" t="s">
        <v>3457</v>
      </c>
      <c r="E977" s="0" t="s">
        <v>4963</v>
      </c>
      <c r="F977" s="0" t="s">
        <v>59</v>
      </c>
      <c r="G977" s="0" t="s">
        <v>4974</v>
      </c>
      <c r="H977" s="0" t="s">
        <v>69</v>
      </c>
      <c r="I977" s="0" t="s">
        <v>4975</v>
      </c>
      <c r="J977" s="20" t="s">
        <v>25</v>
      </c>
    </row>
    <row r="978" customFormat="false" ht="15" hidden="false" customHeight="false" outlineLevel="0" collapsed="false">
      <c r="A978" s="0" t="s">
        <v>964</v>
      </c>
      <c r="B978" s="0" t="s">
        <v>3459</v>
      </c>
      <c r="C978" s="0" t="s">
        <v>3450</v>
      </c>
      <c r="D978" s="0" t="s">
        <v>3457</v>
      </c>
      <c r="E978" s="0" t="s">
        <v>4969</v>
      </c>
      <c r="F978" s="0" t="s">
        <v>62</v>
      </c>
      <c r="G978" s="0" t="s">
        <v>5003</v>
      </c>
      <c r="H978" s="0" t="s">
        <v>5331</v>
      </c>
      <c r="I978" s="0" t="s">
        <v>5005</v>
      </c>
      <c r="J978" s="20" t="s">
        <v>25</v>
      </c>
    </row>
    <row r="979" customFormat="false" ht="15" hidden="false" customHeight="false" outlineLevel="0" collapsed="false">
      <c r="A979" s="0" t="s">
        <v>964</v>
      </c>
      <c r="B979" s="0" t="s">
        <v>3459</v>
      </c>
      <c r="C979" s="0" t="s">
        <v>3450</v>
      </c>
      <c r="D979" s="0" t="s">
        <v>3448</v>
      </c>
      <c r="E979" s="0" t="s">
        <v>5199</v>
      </c>
      <c r="F979" s="0" t="s">
        <v>67</v>
      </c>
      <c r="G979" s="0" t="s">
        <v>100</v>
      </c>
      <c r="H979" s="0" t="s">
        <v>5332</v>
      </c>
      <c r="I979" s="0" t="s">
        <v>5201</v>
      </c>
      <c r="J979" s="20" t="s">
        <v>25</v>
      </c>
    </row>
    <row r="980" customFormat="false" ht="15" hidden="false" customHeight="false" outlineLevel="0" collapsed="false">
      <c r="A980" s="0" t="s">
        <v>964</v>
      </c>
      <c r="B980" s="0" t="s">
        <v>3459</v>
      </c>
      <c r="C980" s="0" t="s">
        <v>3450</v>
      </c>
      <c r="D980" s="0" t="s">
        <v>3448</v>
      </c>
      <c r="E980" s="0" t="s">
        <v>4963</v>
      </c>
      <c r="F980" s="0" t="s">
        <v>59</v>
      </c>
      <c r="G980" s="0" t="s">
        <v>4974</v>
      </c>
      <c r="H980" s="0" t="s">
        <v>69</v>
      </c>
      <c r="I980" s="0" t="s">
        <v>4975</v>
      </c>
      <c r="J980" s="20" t="s">
        <v>25</v>
      </c>
    </row>
    <row r="981" customFormat="false" ht="15" hidden="false" customHeight="false" outlineLevel="0" collapsed="false">
      <c r="A981" s="0" t="s">
        <v>964</v>
      </c>
      <c r="B981" s="0" t="s">
        <v>3459</v>
      </c>
      <c r="C981" s="0" t="s">
        <v>3450</v>
      </c>
      <c r="D981" s="0" t="s">
        <v>3448</v>
      </c>
      <c r="E981" s="0" t="s">
        <v>4969</v>
      </c>
      <c r="F981" s="0" t="s">
        <v>62</v>
      </c>
      <c r="G981" s="0" t="s">
        <v>5003</v>
      </c>
      <c r="H981" s="0" t="s">
        <v>5333</v>
      </c>
      <c r="I981" s="0" t="s">
        <v>5005</v>
      </c>
      <c r="J981" s="20" t="s">
        <v>25</v>
      </c>
    </row>
    <row r="982" customFormat="false" ht="15" hidden="false" customHeight="false" outlineLevel="0" collapsed="false">
      <c r="A982" s="0" t="s">
        <v>964</v>
      </c>
      <c r="B982" s="0" t="s">
        <v>3459</v>
      </c>
      <c r="C982" s="0" t="s">
        <v>3447</v>
      </c>
      <c r="D982" s="0" t="s">
        <v>3457</v>
      </c>
      <c r="E982" s="0" t="s">
        <v>4963</v>
      </c>
      <c r="F982" s="0" t="s">
        <v>59</v>
      </c>
      <c r="G982" s="0" t="s">
        <v>4974</v>
      </c>
      <c r="H982" s="0" t="s">
        <v>69</v>
      </c>
      <c r="I982" s="0" t="s">
        <v>4975</v>
      </c>
      <c r="J982" s="20" t="s">
        <v>25</v>
      </c>
    </row>
    <row r="983" customFormat="false" ht="15" hidden="false" customHeight="false" outlineLevel="0" collapsed="false">
      <c r="A983" s="0" t="s">
        <v>964</v>
      </c>
      <c r="B983" s="0" t="s">
        <v>3459</v>
      </c>
      <c r="C983" s="0" t="s">
        <v>3447</v>
      </c>
      <c r="D983" s="0" t="s">
        <v>3448</v>
      </c>
      <c r="E983" s="0" t="s">
        <v>4963</v>
      </c>
      <c r="F983" s="0" t="s">
        <v>59</v>
      </c>
      <c r="G983" s="0" t="s">
        <v>4974</v>
      </c>
      <c r="H983" s="0" t="s">
        <v>69</v>
      </c>
      <c r="I983" s="0" t="s">
        <v>4975</v>
      </c>
      <c r="J983" s="20" t="s">
        <v>25</v>
      </c>
    </row>
    <row r="984" customFormat="false" ht="15" hidden="false" customHeight="false" outlineLevel="0" collapsed="false">
      <c r="A984" s="0" t="s">
        <v>964</v>
      </c>
      <c r="B984" s="0" t="s">
        <v>134</v>
      </c>
      <c r="C984" s="0" t="s">
        <v>3450</v>
      </c>
      <c r="D984" s="0" t="s">
        <v>3448</v>
      </c>
      <c r="E984" s="0" t="s">
        <v>4963</v>
      </c>
      <c r="F984" s="0" t="s">
        <v>30</v>
      </c>
      <c r="G984" s="0" t="s">
        <v>4980</v>
      </c>
      <c r="H984" s="0" t="s">
        <v>4364</v>
      </c>
      <c r="I984" s="0" t="s">
        <v>4981</v>
      </c>
      <c r="J984" s="18" t="s">
        <v>24</v>
      </c>
    </row>
    <row r="985" customFormat="false" ht="15" hidden="false" customHeight="false" outlineLevel="0" collapsed="false">
      <c r="A985" s="0" t="s">
        <v>964</v>
      </c>
      <c r="B985" s="0" t="s">
        <v>3459</v>
      </c>
      <c r="C985" s="0" t="s">
        <v>3450</v>
      </c>
      <c r="D985" s="0" t="s">
        <v>3457</v>
      </c>
      <c r="E985" s="0" t="s">
        <v>4963</v>
      </c>
      <c r="F985" s="0" t="s">
        <v>30</v>
      </c>
      <c r="G985" s="0" t="s">
        <v>4980</v>
      </c>
      <c r="H985" s="0" t="s">
        <v>4331</v>
      </c>
      <c r="I985" s="0" t="s">
        <v>4981</v>
      </c>
      <c r="J985" s="18" t="s">
        <v>24</v>
      </c>
    </row>
    <row r="986" customFormat="false" ht="15" hidden="false" customHeight="false" outlineLevel="0" collapsed="false">
      <c r="A986" s="0" t="s">
        <v>964</v>
      </c>
      <c r="B986" s="0" t="s">
        <v>3459</v>
      </c>
      <c r="C986" s="0" t="s">
        <v>3450</v>
      </c>
      <c r="D986" s="0" t="s">
        <v>3448</v>
      </c>
      <c r="E986" s="0" t="s">
        <v>4963</v>
      </c>
      <c r="F986" s="0" t="s">
        <v>30</v>
      </c>
      <c r="G986" s="0" t="s">
        <v>4980</v>
      </c>
      <c r="H986" s="0" t="s">
        <v>4265</v>
      </c>
      <c r="I986" s="0" t="s">
        <v>4981</v>
      </c>
      <c r="J986" s="18" t="s">
        <v>24</v>
      </c>
    </row>
    <row r="987" customFormat="false" ht="15" hidden="false" customHeight="false" outlineLevel="0" collapsed="false">
      <c r="A987" s="0" t="s">
        <v>964</v>
      </c>
      <c r="B987" s="0" t="s">
        <v>3459</v>
      </c>
      <c r="C987" s="0" t="s">
        <v>3447</v>
      </c>
      <c r="D987" s="0" t="s">
        <v>3457</v>
      </c>
      <c r="E987" s="0" t="s">
        <v>4963</v>
      </c>
      <c r="F987" s="0" t="s">
        <v>30</v>
      </c>
      <c r="G987" s="0" t="s">
        <v>4980</v>
      </c>
      <c r="H987" s="0" t="s">
        <v>4472</v>
      </c>
      <c r="I987" s="0" t="s">
        <v>4981</v>
      </c>
      <c r="J987" s="18" t="s">
        <v>24</v>
      </c>
    </row>
    <row r="988" customFormat="false" ht="15" hidden="false" customHeight="false" outlineLevel="0" collapsed="false">
      <c r="A988" s="0" t="s">
        <v>964</v>
      </c>
      <c r="B988" s="0" t="s">
        <v>3459</v>
      </c>
      <c r="C988" s="0" t="s">
        <v>3447</v>
      </c>
      <c r="D988" s="0" t="s">
        <v>3448</v>
      </c>
      <c r="E988" s="0" t="s">
        <v>4963</v>
      </c>
      <c r="F988" s="0" t="s">
        <v>30</v>
      </c>
      <c r="G988" s="0" t="s">
        <v>4980</v>
      </c>
      <c r="H988" s="0" t="s">
        <v>4242</v>
      </c>
      <c r="I988" s="0" t="s">
        <v>4981</v>
      </c>
      <c r="J988" s="18" t="s">
        <v>24</v>
      </c>
    </row>
    <row r="989" customFormat="false" ht="15" hidden="false" customHeight="false" outlineLevel="0" collapsed="false">
      <c r="A989" s="0" t="s">
        <v>971</v>
      </c>
      <c r="B989" s="0" t="s">
        <v>134</v>
      </c>
      <c r="C989" s="0" t="s">
        <v>3450</v>
      </c>
      <c r="D989" s="0" t="s">
        <v>3457</v>
      </c>
      <c r="E989" s="0" t="s">
        <v>4963</v>
      </c>
      <c r="F989" s="0" t="s">
        <v>60</v>
      </c>
      <c r="G989" s="0" t="s">
        <v>4964</v>
      </c>
      <c r="H989" s="0" t="s">
        <v>5046</v>
      </c>
      <c r="I989" s="0" t="s">
        <v>4966</v>
      </c>
      <c r="J989" s="19" t="s">
        <v>26</v>
      </c>
    </row>
    <row r="990" customFormat="false" ht="15" hidden="false" customHeight="false" outlineLevel="0" collapsed="false">
      <c r="A990" s="0" t="s">
        <v>971</v>
      </c>
      <c r="B990" s="0" t="s">
        <v>134</v>
      </c>
      <c r="C990" s="0" t="s">
        <v>3450</v>
      </c>
      <c r="D990" s="0" t="s">
        <v>3457</v>
      </c>
      <c r="E990" s="0" t="s">
        <v>4963</v>
      </c>
      <c r="F990" s="0" t="s">
        <v>59</v>
      </c>
      <c r="G990" s="0" t="s">
        <v>4974</v>
      </c>
      <c r="H990" s="0" t="s">
        <v>69</v>
      </c>
      <c r="I990" s="0" t="s">
        <v>4975</v>
      </c>
      <c r="J990" s="20" t="s">
        <v>25</v>
      </c>
    </row>
    <row r="991" customFormat="false" ht="15" hidden="false" customHeight="false" outlineLevel="0" collapsed="false">
      <c r="A991" s="0" t="s">
        <v>971</v>
      </c>
      <c r="B991" s="0" t="s">
        <v>134</v>
      </c>
      <c r="C991" s="0" t="s">
        <v>3450</v>
      </c>
      <c r="D991" s="0" t="s">
        <v>3448</v>
      </c>
      <c r="E991" s="0" t="s">
        <v>4963</v>
      </c>
      <c r="F991" s="0" t="s">
        <v>59</v>
      </c>
      <c r="G991" s="0" t="s">
        <v>4974</v>
      </c>
      <c r="H991" s="0" t="s">
        <v>69</v>
      </c>
      <c r="I991" s="0" t="s">
        <v>4975</v>
      </c>
      <c r="J991" s="20" t="s">
        <v>25</v>
      </c>
    </row>
    <row r="992" customFormat="false" ht="15" hidden="false" customHeight="false" outlineLevel="0" collapsed="false">
      <c r="A992" s="0" t="s">
        <v>971</v>
      </c>
      <c r="B992" s="0" t="s">
        <v>134</v>
      </c>
      <c r="C992" s="0" t="s">
        <v>3450</v>
      </c>
      <c r="D992" s="0" t="s">
        <v>3448</v>
      </c>
      <c r="E992" s="0" t="s">
        <v>4963</v>
      </c>
      <c r="F992" s="0" t="s">
        <v>30</v>
      </c>
      <c r="G992" s="0" t="s">
        <v>4980</v>
      </c>
      <c r="H992" s="0" t="s">
        <v>4242</v>
      </c>
      <c r="I992" s="0" t="s">
        <v>4981</v>
      </c>
      <c r="J992" s="18" t="s">
        <v>24</v>
      </c>
    </row>
    <row r="993" customFormat="false" ht="15" hidden="false" customHeight="false" outlineLevel="0" collapsed="false">
      <c r="A993" s="0" t="s">
        <v>971</v>
      </c>
      <c r="B993" s="0" t="s">
        <v>134</v>
      </c>
      <c r="C993" s="0" t="s">
        <v>3447</v>
      </c>
      <c r="D993" s="0" t="s">
        <v>3457</v>
      </c>
      <c r="E993" s="0" t="s">
        <v>4963</v>
      </c>
      <c r="F993" s="0" t="s">
        <v>30</v>
      </c>
      <c r="G993" s="0" t="s">
        <v>4980</v>
      </c>
      <c r="H993" s="0" t="s">
        <v>4473</v>
      </c>
      <c r="I993" s="0" t="s">
        <v>4981</v>
      </c>
      <c r="J993" s="18" t="s">
        <v>24</v>
      </c>
    </row>
    <row r="994" customFormat="false" ht="15" hidden="false" customHeight="false" outlineLevel="0" collapsed="false">
      <c r="A994" s="0" t="s">
        <v>977</v>
      </c>
      <c r="B994" s="0" t="s">
        <v>134</v>
      </c>
      <c r="C994" s="0" t="s">
        <v>3447</v>
      </c>
      <c r="D994" s="0" t="s">
        <v>3448</v>
      </c>
      <c r="E994" s="0" t="s">
        <v>4963</v>
      </c>
      <c r="F994" s="0" t="s">
        <v>60</v>
      </c>
      <c r="G994" s="0" t="s">
        <v>4964</v>
      </c>
      <c r="H994" s="0" t="s">
        <v>5334</v>
      </c>
      <c r="I994" s="0" t="s">
        <v>4966</v>
      </c>
      <c r="J994" s="19" t="s">
        <v>26</v>
      </c>
    </row>
    <row r="995" customFormat="false" ht="15" hidden="false" customHeight="false" outlineLevel="0" collapsed="false">
      <c r="A995" s="0" t="s">
        <v>977</v>
      </c>
      <c r="B995" s="0" t="s">
        <v>3459</v>
      </c>
      <c r="C995" s="0" t="s">
        <v>3447</v>
      </c>
      <c r="D995" s="0" t="s">
        <v>3457</v>
      </c>
      <c r="E995" s="0" t="s">
        <v>4963</v>
      </c>
      <c r="F995" s="0" t="s">
        <v>60</v>
      </c>
      <c r="G995" s="0" t="s">
        <v>4964</v>
      </c>
      <c r="H995" s="0" t="s">
        <v>5204</v>
      </c>
      <c r="I995" s="0" t="s">
        <v>4966</v>
      </c>
      <c r="J995" s="19" t="s">
        <v>26</v>
      </c>
    </row>
    <row r="996" customFormat="false" ht="15" hidden="false" customHeight="false" outlineLevel="0" collapsed="false">
      <c r="A996" s="0" t="s">
        <v>977</v>
      </c>
      <c r="B996" s="0" t="s">
        <v>3459</v>
      </c>
      <c r="C996" s="0" t="s">
        <v>3447</v>
      </c>
      <c r="D996" s="0" t="s">
        <v>3448</v>
      </c>
      <c r="E996" s="0" t="s">
        <v>4963</v>
      </c>
      <c r="F996" s="0" t="s">
        <v>60</v>
      </c>
      <c r="G996" s="0" t="s">
        <v>4964</v>
      </c>
      <c r="H996" s="0" t="s">
        <v>5050</v>
      </c>
      <c r="I996" s="0" t="s">
        <v>4966</v>
      </c>
      <c r="J996" s="19" t="s">
        <v>26</v>
      </c>
    </row>
    <row r="997" customFormat="false" ht="15" hidden="false" customHeight="false" outlineLevel="0" collapsed="false">
      <c r="A997" s="0" t="s">
        <v>977</v>
      </c>
      <c r="B997" s="0" t="s">
        <v>134</v>
      </c>
      <c r="C997" s="0" t="s">
        <v>3447</v>
      </c>
      <c r="D997" s="0" t="s">
        <v>3457</v>
      </c>
      <c r="E997" s="0" t="s">
        <v>4963</v>
      </c>
      <c r="F997" s="0" t="s">
        <v>59</v>
      </c>
      <c r="G997" s="0" t="s">
        <v>4974</v>
      </c>
      <c r="H997" s="0" t="s">
        <v>69</v>
      </c>
      <c r="I997" s="0" t="s">
        <v>4975</v>
      </c>
      <c r="J997" s="20" t="s">
        <v>25</v>
      </c>
    </row>
    <row r="998" customFormat="false" ht="15" hidden="false" customHeight="false" outlineLevel="0" collapsed="false">
      <c r="A998" s="0" t="s">
        <v>977</v>
      </c>
      <c r="B998" s="0" t="s">
        <v>134</v>
      </c>
      <c r="C998" s="0" t="s">
        <v>3447</v>
      </c>
      <c r="D998" s="0" t="s">
        <v>3448</v>
      </c>
      <c r="E998" s="0" t="s">
        <v>4963</v>
      </c>
      <c r="F998" s="0" t="s">
        <v>59</v>
      </c>
      <c r="G998" s="0" t="s">
        <v>4974</v>
      </c>
      <c r="H998" s="0" t="s">
        <v>69</v>
      </c>
      <c r="I998" s="0" t="s">
        <v>4975</v>
      </c>
      <c r="J998" s="20" t="s">
        <v>25</v>
      </c>
    </row>
    <row r="999" customFormat="false" ht="15" hidden="false" customHeight="false" outlineLevel="0" collapsed="false">
      <c r="A999" s="0" t="s">
        <v>977</v>
      </c>
      <c r="B999" s="0" t="s">
        <v>3459</v>
      </c>
      <c r="C999" s="0" t="s">
        <v>3450</v>
      </c>
      <c r="D999" s="0" t="s">
        <v>3448</v>
      </c>
      <c r="E999" s="0" t="s">
        <v>4969</v>
      </c>
      <c r="F999" s="0" t="s">
        <v>62</v>
      </c>
      <c r="G999" s="0" t="s">
        <v>5003</v>
      </c>
      <c r="H999" s="0" t="s">
        <v>5335</v>
      </c>
      <c r="I999" s="0" t="s">
        <v>5005</v>
      </c>
      <c r="J999" s="20" t="s">
        <v>25</v>
      </c>
    </row>
    <row r="1000" customFormat="false" ht="15" hidden="false" customHeight="false" outlineLevel="0" collapsed="false">
      <c r="A1000" s="0" t="s">
        <v>977</v>
      </c>
      <c r="B1000" s="0" t="s">
        <v>3459</v>
      </c>
      <c r="C1000" s="0" t="s">
        <v>3447</v>
      </c>
      <c r="D1000" s="0" t="s">
        <v>3457</v>
      </c>
      <c r="E1000" s="0" t="s">
        <v>4963</v>
      </c>
      <c r="F1000" s="0" t="s">
        <v>59</v>
      </c>
      <c r="G1000" s="0" t="s">
        <v>4974</v>
      </c>
      <c r="H1000" s="0" t="s">
        <v>69</v>
      </c>
      <c r="I1000" s="0" t="s">
        <v>4975</v>
      </c>
      <c r="J1000" s="20" t="s">
        <v>25</v>
      </c>
    </row>
    <row r="1001" customFormat="false" ht="15" hidden="false" customHeight="false" outlineLevel="0" collapsed="false">
      <c r="A1001" s="0" t="s">
        <v>977</v>
      </c>
      <c r="B1001" s="0" t="s">
        <v>134</v>
      </c>
      <c r="C1001" s="0" t="s">
        <v>3447</v>
      </c>
      <c r="D1001" s="0" t="s">
        <v>3457</v>
      </c>
      <c r="E1001" s="0" t="s">
        <v>4963</v>
      </c>
      <c r="F1001" s="0" t="s">
        <v>30</v>
      </c>
      <c r="G1001" s="0" t="s">
        <v>4980</v>
      </c>
      <c r="H1001" s="0" t="s">
        <v>4474</v>
      </c>
      <c r="I1001" s="0" t="s">
        <v>4981</v>
      </c>
      <c r="J1001" s="18" t="s">
        <v>24</v>
      </c>
    </row>
    <row r="1002" customFormat="false" ht="15" hidden="false" customHeight="false" outlineLevel="0" collapsed="false">
      <c r="A1002" s="0" t="s">
        <v>983</v>
      </c>
      <c r="B1002" s="0" t="s">
        <v>134</v>
      </c>
      <c r="C1002" s="0" t="s">
        <v>3450</v>
      </c>
      <c r="D1002" s="0" t="s">
        <v>3457</v>
      </c>
      <c r="E1002" s="0" t="s">
        <v>4963</v>
      </c>
      <c r="F1002" s="0" t="s">
        <v>60</v>
      </c>
      <c r="G1002" s="0" t="s">
        <v>4964</v>
      </c>
      <c r="H1002" s="0" t="s">
        <v>5336</v>
      </c>
      <c r="I1002" s="0" t="s">
        <v>4966</v>
      </c>
      <c r="J1002" s="19" t="s">
        <v>26</v>
      </c>
    </row>
    <row r="1003" customFormat="false" ht="15" hidden="false" customHeight="false" outlineLevel="0" collapsed="false">
      <c r="A1003" s="0" t="s">
        <v>983</v>
      </c>
      <c r="B1003" s="0" t="s">
        <v>134</v>
      </c>
      <c r="C1003" s="0" t="s">
        <v>3450</v>
      </c>
      <c r="D1003" s="0" t="s">
        <v>3448</v>
      </c>
      <c r="E1003" s="0" t="s">
        <v>4963</v>
      </c>
      <c r="F1003" s="0" t="s">
        <v>60</v>
      </c>
      <c r="G1003" s="0" t="s">
        <v>4964</v>
      </c>
      <c r="H1003" s="0" t="s">
        <v>5337</v>
      </c>
      <c r="I1003" s="0" t="s">
        <v>4966</v>
      </c>
      <c r="J1003" s="19" t="s">
        <v>26</v>
      </c>
    </row>
    <row r="1004" customFormat="false" ht="15" hidden="false" customHeight="false" outlineLevel="0" collapsed="false">
      <c r="A1004" s="0" t="s">
        <v>983</v>
      </c>
      <c r="B1004" s="0" t="s">
        <v>134</v>
      </c>
      <c r="C1004" s="0" t="s">
        <v>3447</v>
      </c>
      <c r="D1004" s="0" t="s">
        <v>3457</v>
      </c>
      <c r="E1004" s="0" t="s">
        <v>4963</v>
      </c>
      <c r="F1004" s="0" t="s">
        <v>30</v>
      </c>
      <c r="G1004" s="0" t="s">
        <v>4980</v>
      </c>
      <c r="H1004" s="0" t="s">
        <v>4288</v>
      </c>
      <c r="I1004" s="0" t="s">
        <v>4981</v>
      </c>
      <c r="J1004" s="18" t="s">
        <v>24</v>
      </c>
    </row>
    <row r="1005" customFormat="false" ht="15" hidden="false" customHeight="false" outlineLevel="0" collapsed="false">
      <c r="A1005" s="0" t="s">
        <v>983</v>
      </c>
      <c r="B1005" s="0" t="s">
        <v>134</v>
      </c>
      <c r="C1005" s="0" t="s">
        <v>3447</v>
      </c>
      <c r="D1005" s="0" t="s">
        <v>3448</v>
      </c>
      <c r="E1005" s="0" t="s">
        <v>4963</v>
      </c>
      <c r="F1005" s="0" t="s">
        <v>30</v>
      </c>
      <c r="G1005" s="0" t="s">
        <v>4980</v>
      </c>
      <c r="H1005" s="0" t="s">
        <v>4478</v>
      </c>
      <c r="I1005" s="0" t="s">
        <v>4981</v>
      </c>
      <c r="J1005" s="18" t="s">
        <v>24</v>
      </c>
    </row>
    <row r="1006" customFormat="false" ht="15" hidden="false" customHeight="false" outlineLevel="0" collapsed="false">
      <c r="A1006" s="0" t="s">
        <v>989</v>
      </c>
      <c r="B1006" s="0" t="s">
        <v>134</v>
      </c>
      <c r="C1006" s="0" t="s">
        <v>3450</v>
      </c>
      <c r="D1006" s="0" t="s">
        <v>3457</v>
      </c>
      <c r="E1006" s="0" t="s">
        <v>4969</v>
      </c>
      <c r="F1006" s="0" t="s">
        <v>61</v>
      </c>
      <c r="G1006" s="0" t="s">
        <v>4970</v>
      </c>
      <c r="H1006" s="0" t="s">
        <v>5338</v>
      </c>
      <c r="I1006" s="0" t="s">
        <v>4972</v>
      </c>
      <c r="J1006" s="20" t="s">
        <v>25</v>
      </c>
    </row>
    <row r="1007" customFormat="false" ht="15" hidden="false" customHeight="false" outlineLevel="0" collapsed="false">
      <c r="A1007" s="0" t="s">
        <v>989</v>
      </c>
      <c r="B1007" s="0" t="s">
        <v>134</v>
      </c>
      <c r="C1007" s="0" t="s">
        <v>3447</v>
      </c>
      <c r="D1007" s="0" t="s">
        <v>3457</v>
      </c>
      <c r="E1007" s="0" t="s">
        <v>4969</v>
      </c>
      <c r="F1007" s="0" t="s">
        <v>61</v>
      </c>
      <c r="G1007" s="0" t="s">
        <v>4970</v>
      </c>
      <c r="H1007" s="0" t="s">
        <v>5339</v>
      </c>
      <c r="I1007" s="0" t="s">
        <v>4972</v>
      </c>
      <c r="J1007" s="20" t="s">
        <v>25</v>
      </c>
    </row>
    <row r="1008" customFormat="false" ht="15" hidden="false" customHeight="false" outlineLevel="0" collapsed="false">
      <c r="A1008" s="0" t="s">
        <v>989</v>
      </c>
      <c r="B1008" s="0" t="s">
        <v>134</v>
      </c>
      <c r="C1008" s="0" t="s">
        <v>3447</v>
      </c>
      <c r="D1008" s="0" t="s">
        <v>3457</v>
      </c>
      <c r="E1008" s="0" t="s">
        <v>4963</v>
      </c>
      <c r="F1008" s="0" t="s">
        <v>30</v>
      </c>
      <c r="G1008" s="0" t="s">
        <v>4980</v>
      </c>
      <c r="H1008" s="0" t="s">
        <v>4473</v>
      </c>
      <c r="I1008" s="0" t="s">
        <v>4981</v>
      </c>
      <c r="J1008" s="18" t="s">
        <v>24</v>
      </c>
    </row>
    <row r="1009" customFormat="false" ht="15" hidden="false" customHeight="false" outlineLevel="0" collapsed="false">
      <c r="A1009" s="0" t="s">
        <v>989</v>
      </c>
      <c r="B1009" s="0" t="s">
        <v>134</v>
      </c>
      <c r="C1009" s="0" t="s">
        <v>3447</v>
      </c>
      <c r="D1009" s="0" t="s">
        <v>3448</v>
      </c>
      <c r="E1009" s="0" t="s">
        <v>4963</v>
      </c>
      <c r="F1009" s="0" t="s">
        <v>30</v>
      </c>
      <c r="G1009" s="0" t="s">
        <v>4980</v>
      </c>
      <c r="H1009" s="0" t="s">
        <v>4479</v>
      </c>
      <c r="I1009" s="0" t="s">
        <v>4981</v>
      </c>
      <c r="J1009" s="18" t="s">
        <v>24</v>
      </c>
    </row>
    <row r="1010" customFormat="false" ht="15" hidden="false" customHeight="false" outlineLevel="0" collapsed="false">
      <c r="A1010" s="0" t="s">
        <v>996</v>
      </c>
      <c r="B1010" s="0" t="s">
        <v>134</v>
      </c>
      <c r="C1010" s="0" t="s">
        <v>3450</v>
      </c>
      <c r="D1010" s="0" t="s">
        <v>3457</v>
      </c>
      <c r="E1010" s="0" t="s">
        <v>4963</v>
      </c>
      <c r="F1010" s="0" t="s">
        <v>59</v>
      </c>
      <c r="G1010" s="0" t="s">
        <v>4974</v>
      </c>
      <c r="H1010" s="0" t="s">
        <v>69</v>
      </c>
      <c r="I1010" s="0" t="s">
        <v>4975</v>
      </c>
      <c r="J1010" s="20" t="s">
        <v>25</v>
      </c>
    </row>
    <row r="1011" customFormat="false" ht="15" hidden="false" customHeight="false" outlineLevel="0" collapsed="false">
      <c r="A1011" s="0" t="s">
        <v>996</v>
      </c>
      <c r="B1011" s="0" t="s">
        <v>134</v>
      </c>
      <c r="C1011" s="0" t="s">
        <v>3450</v>
      </c>
      <c r="D1011" s="0" t="s">
        <v>3457</v>
      </c>
      <c r="E1011" s="0" t="s">
        <v>4969</v>
      </c>
      <c r="F1011" s="0" t="s">
        <v>62</v>
      </c>
      <c r="G1011" s="0" t="s">
        <v>5003</v>
      </c>
      <c r="H1011" s="0" t="s">
        <v>5340</v>
      </c>
      <c r="I1011" s="0" t="s">
        <v>5005</v>
      </c>
      <c r="J1011" s="20" t="s">
        <v>25</v>
      </c>
    </row>
    <row r="1012" customFormat="false" ht="15" hidden="false" customHeight="false" outlineLevel="0" collapsed="false">
      <c r="A1012" s="0" t="s">
        <v>996</v>
      </c>
      <c r="B1012" s="0" t="s">
        <v>134</v>
      </c>
      <c r="C1012" s="0" t="s">
        <v>3450</v>
      </c>
      <c r="D1012" s="0" t="s">
        <v>3448</v>
      </c>
      <c r="E1012" s="0" t="s">
        <v>4963</v>
      </c>
      <c r="F1012" s="0" t="s">
        <v>59</v>
      </c>
      <c r="G1012" s="0" t="s">
        <v>4974</v>
      </c>
      <c r="H1012" s="0" t="s">
        <v>69</v>
      </c>
      <c r="I1012" s="0" t="s">
        <v>4975</v>
      </c>
      <c r="J1012" s="20" t="s">
        <v>25</v>
      </c>
    </row>
    <row r="1013" customFormat="false" ht="15" hidden="false" customHeight="false" outlineLevel="0" collapsed="false">
      <c r="A1013" s="0" t="s">
        <v>996</v>
      </c>
      <c r="B1013" s="0" t="s">
        <v>134</v>
      </c>
      <c r="C1013" s="0" t="s">
        <v>3450</v>
      </c>
      <c r="D1013" s="0" t="s">
        <v>3448</v>
      </c>
      <c r="E1013" s="0" t="s">
        <v>4969</v>
      </c>
      <c r="F1013" s="0" t="s">
        <v>62</v>
      </c>
      <c r="G1013" s="0" t="s">
        <v>5003</v>
      </c>
      <c r="H1013" s="0" t="s">
        <v>5341</v>
      </c>
      <c r="I1013" s="0" t="s">
        <v>5005</v>
      </c>
      <c r="J1013" s="20" t="s">
        <v>25</v>
      </c>
    </row>
    <row r="1014" customFormat="false" ht="15" hidden="false" customHeight="false" outlineLevel="0" collapsed="false">
      <c r="A1014" s="0" t="s">
        <v>996</v>
      </c>
      <c r="B1014" s="0" t="s">
        <v>134</v>
      </c>
      <c r="C1014" s="0" t="s">
        <v>3450</v>
      </c>
      <c r="D1014" s="0" t="s">
        <v>3448</v>
      </c>
      <c r="E1014" s="0" t="s">
        <v>4969</v>
      </c>
      <c r="F1014" s="0" t="s">
        <v>63</v>
      </c>
      <c r="G1014" s="0" t="s">
        <v>4220</v>
      </c>
      <c r="H1014" s="0" t="s">
        <v>5342</v>
      </c>
      <c r="I1014" s="0" t="s">
        <v>4979</v>
      </c>
      <c r="J1014" s="20" t="s">
        <v>25</v>
      </c>
    </row>
    <row r="1015" customFormat="false" ht="15" hidden="false" customHeight="false" outlineLevel="0" collapsed="false">
      <c r="A1015" s="0" t="s">
        <v>996</v>
      </c>
      <c r="B1015" s="0" t="s">
        <v>134</v>
      </c>
      <c r="C1015" s="0" t="s">
        <v>3447</v>
      </c>
      <c r="D1015" s="0" t="s">
        <v>3448</v>
      </c>
      <c r="E1015" s="0" t="s">
        <v>4969</v>
      </c>
      <c r="F1015" s="0" t="s">
        <v>63</v>
      </c>
      <c r="G1015" s="0" t="s">
        <v>4220</v>
      </c>
      <c r="H1015" s="0" t="s">
        <v>5342</v>
      </c>
      <c r="I1015" s="0" t="s">
        <v>4979</v>
      </c>
      <c r="J1015" s="20" t="s">
        <v>25</v>
      </c>
    </row>
    <row r="1016" customFormat="false" ht="15" hidden="false" customHeight="false" outlineLevel="0" collapsed="false">
      <c r="A1016" s="0" t="s">
        <v>996</v>
      </c>
      <c r="B1016" s="0" t="s">
        <v>134</v>
      </c>
      <c r="C1016" s="0" t="s">
        <v>3450</v>
      </c>
      <c r="D1016" s="0" t="s">
        <v>3457</v>
      </c>
      <c r="E1016" s="0" t="s">
        <v>4963</v>
      </c>
      <c r="F1016" s="0" t="s">
        <v>30</v>
      </c>
      <c r="G1016" s="0" t="s">
        <v>4980</v>
      </c>
      <c r="H1016" s="0" t="s">
        <v>4480</v>
      </c>
      <c r="I1016" s="0" t="s">
        <v>4981</v>
      </c>
      <c r="J1016" s="18" t="s">
        <v>24</v>
      </c>
    </row>
    <row r="1017" customFormat="false" ht="15" hidden="false" customHeight="false" outlineLevel="0" collapsed="false">
      <c r="A1017" s="0" t="s">
        <v>996</v>
      </c>
      <c r="B1017" s="0" t="s">
        <v>134</v>
      </c>
      <c r="C1017" s="0" t="s">
        <v>3450</v>
      </c>
      <c r="D1017" s="0" t="s">
        <v>3448</v>
      </c>
      <c r="E1017" s="0" t="s">
        <v>4963</v>
      </c>
      <c r="F1017" s="0" t="s">
        <v>30</v>
      </c>
      <c r="G1017" s="0" t="s">
        <v>4980</v>
      </c>
      <c r="H1017" s="0" t="s">
        <v>4242</v>
      </c>
      <c r="I1017" s="0" t="s">
        <v>4981</v>
      </c>
      <c r="J1017" s="18" t="s">
        <v>24</v>
      </c>
    </row>
    <row r="1018" customFormat="false" ht="15" hidden="false" customHeight="false" outlineLevel="0" collapsed="false">
      <c r="A1018" s="0" t="s">
        <v>996</v>
      </c>
      <c r="B1018" s="0" t="s">
        <v>134</v>
      </c>
      <c r="C1018" s="0" t="s">
        <v>3447</v>
      </c>
      <c r="D1018" s="0" t="s">
        <v>3457</v>
      </c>
      <c r="E1018" s="0" t="s">
        <v>4963</v>
      </c>
      <c r="F1018" s="0" t="s">
        <v>30</v>
      </c>
      <c r="G1018" s="0" t="s">
        <v>4980</v>
      </c>
      <c r="H1018" s="0" t="s">
        <v>4387</v>
      </c>
      <c r="I1018" s="0" t="s">
        <v>4981</v>
      </c>
      <c r="J1018" s="18" t="s">
        <v>24</v>
      </c>
    </row>
    <row r="1019" customFormat="false" ht="15" hidden="false" customHeight="false" outlineLevel="0" collapsed="false">
      <c r="A1019" s="0" t="s">
        <v>996</v>
      </c>
      <c r="B1019" s="0" t="s">
        <v>134</v>
      </c>
      <c r="C1019" s="0" t="s">
        <v>3447</v>
      </c>
      <c r="D1019" s="0" t="s">
        <v>3448</v>
      </c>
      <c r="E1019" s="0" t="s">
        <v>4963</v>
      </c>
      <c r="F1019" s="0" t="s">
        <v>30</v>
      </c>
      <c r="G1019" s="0" t="s">
        <v>4980</v>
      </c>
      <c r="H1019" s="0" t="s">
        <v>4481</v>
      </c>
      <c r="I1019" s="0" t="s">
        <v>4981</v>
      </c>
      <c r="J1019" s="18" t="s">
        <v>24</v>
      </c>
    </row>
    <row r="1020" customFormat="false" ht="15" hidden="false" customHeight="false" outlineLevel="0" collapsed="false">
      <c r="A1020" s="0" t="s">
        <v>1006</v>
      </c>
      <c r="B1020" s="0" t="s">
        <v>134</v>
      </c>
      <c r="C1020" s="0" t="s">
        <v>3450</v>
      </c>
      <c r="D1020" s="0" t="s">
        <v>3457</v>
      </c>
      <c r="E1020" s="0" t="s">
        <v>4969</v>
      </c>
      <c r="F1020" s="0" t="s">
        <v>62</v>
      </c>
      <c r="G1020" s="0" t="s">
        <v>5003</v>
      </c>
      <c r="H1020" s="0" t="s">
        <v>5343</v>
      </c>
      <c r="I1020" s="0" t="s">
        <v>5005</v>
      </c>
      <c r="J1020" s="20" t="s">
        <v>25</v>
      </c>
    </row>
    <row r="1021" customFormat="false" ht="15" hidden="false" customHeight="false" outlineLevel="0" collapsed="false">
      <c r="A1021" s="0" t="s">
        <v>1006</v>
      </c>
      <c r="B1021" s="0" t="s">
        <v>134</v>
      </c>
      <c r="C1021" s="0" t="s">
        <v>3450</v>
      </c>
      <c r="D1021" s="0" t="s">
        <v>3457</v>
      </c>
      <c r="E1021" s="0" t="s">
        <v>4969</v>
      </c>
      <c r="F1021" s="0" t="s">
        <v>64</v>
      </c>
      <c r="G1021" s="0" t="s">
        <v>4220</v>
      </c>
      <c r="H1021" s="0" t="s">
        <v>5344</v>
      </c>
      <c r="I1021" s="0" t="s">
        <v>4991</v>
      </c>
      <c r="J1021" s="20" t="s">
        <v>25</v>
      </c>
    </row>
    <row r="1022" customFormat="false" ht="15" hidden="false" customHeight="false" outlineLevel="0" collapsed="false">
      <c r="A1022" s="0" t="s">
        <v>1006</v>
      </c>
      <c r="B1022" s="0" t="s">
        <v>134</v>
      </c>
      <c r="C1022" s="0" t="s">
        <v>3450</v>
      </c>
      <c r="D1022" s="0" t="s">
        <v>3448</v>
      </c>
      <c r="E1022" s="0" t="s">
        <v>4963</v>
      </c>
      <c r="F1022" s="0" t="s">
        <v>59</v>
      </c>
      <c r="G1022" s="0" t="s">
        <v>4974</v>
      </c>
      <c r="H1022" s="0" t="s">
        <v>69</v>
      </c>
      <c r="I1022" s="0" t="s">
        <v>4975</v>
      </c>
      <c r="J1022" s="20" t="s">
        <v>25</v>
      </c>
    </row>
    <row r="1023" customFormat="false" ht="15" hidden="false" customHeight="false" outlineLevel="0" collapsed="false">
      <c r="A1023" s="0" t="s">
        <v>1006</v>
      </c>
      <c r="B1023" s="0" t="s">
        <v>134</v>
      </c>
      <c r="C1023" s="0" t="s">
        <v>3450</v>
      </c>
      <c r="D1023" s="0" t="s">
        <v>3448</v>
      </c>
      <c r="E1023" s="0" t="s">
        <v>4969</v>
      </c>
      <c r="F1023" s="0" t="s">
        <v>61</v>
      </c>
      <c r="G1023" s="0" t="s">
        <v>4970</v>
      </c>
      <c r="H1023" s="0" t="s">
        <v>5345</v>
      </c>
      <c r="I1023" s="0" t="s">
        <v>4972</v>
      </c>
      <c r="J1023" s="20" t="s">
        <v>25</v>
      </c>
    </row>
    <row r="1024" customFormat="false" ht="15" hidden="false" customHeight="false" outlineLevel="0" collapsed="false">
      <c r="A1024" s="0" t="s">
        <v>1006</v>
      </c>
      <c r="B1024" s="0" t="s">
        <v>134</v>
      </c>
      <c r="C1024" s="0" t="s">
        <v>3450</v>
      </c>
      <c r="D1024" s="0" t="s">
        <v>3448</v>
      </c>
      <c r="E1024" s="0" t="s">
        <v>4969</v>
      </c>
      <c r="F1024" s="0" t="s">
        <v>62</v>
      </c>
      <c r="G1024" s="0" t="s">
        <v>5003</v>
      </c>
      <c r="H1024" s="0" t="s">
        <v>5346</v>
      </c>
      <c r="I1024" s="0" t="s">
        <v>5005</v>
      </c>
      <c r="J1024" s="20" t="s">
        <v>25</v>
      </c>
    </row>
    <row r="1025" customFormat="false" ht="15" hidden="false" customHeight="false" outlineLevel="0" collapsed="false">
      <c r="A1025" s="0" t="s">
        <v>1006</v>
      </c>
      <c r="B1025" s="0" t="s">
        <v>134</v>
      </c>
      <c r="C1025" s="0" t="s">
        <v>3450</v>
      </c>
      <c r="D1025" s="0" t="s">
        <v>3448</v>
      </c>
      <c r="E1025" s="0" t="s">
        <v>4969</v>
      </c>
      <c r="F1025" s="0" t="s">
        <v>64</v>
      </c>
      <c r="G1025" s="0" t="s">
        <v>4220</v>
      </c>
      <c r="H1025" s="0" t="s">
        <v>5347</v>
      </c>
      <c r="I1025" s="0" t="s">
        <v>4991</v>
      </c>
      <c r="J1025" s="20" t="s">
        <v>25</v>
      </c>
    </row>
    <row r="1026" customFormat="false" ht="15" hidden="false" customHeight="false" outlineLevel="0" collapsed="false">
      <c r="A1026" s="0" t="s">
        <v>1006</v>
      </c>
      <c r="B1026" s="0" t="s">
        <v>134</v>
      </c>
      <c r="C1026" s="0" t="s">
        <v>3447</v>
      </c>
      <c r="D1026" s="0" t="s">
        <v>3457</v>
      </c>
      <c r="E1026" s="0" t="s">
        <v>4969</v>
      </c>
      <c r="F1026" s="0" t="s">
        <v>64</v>
      </c>
      <c r="G1026" s="0" t="s">
        <v>4220</v>
      </c>
      <c r="H1026" s="0" t="s">
        <v>5344</v>
      </c>
      <c r="I1026" s="0" t="s">
        <v>4991</v>
      </c>
      <c r="J1026" s="20" t="s">
        <v>25</v>
      </c>
    </row>
    <row r="1027" customFormat="false" ht="15" hidden="false" customHeight="false" outlineLevel="0" collapsed="false">
      <c r="A1027" s="0" t="s">
        <v>1006</v>
      </c>
      <c r="B1027" s="0" t="s">
        <v>134</v>
      </c>
      <c r="C1027" s="0" t="s">
        <v>3447</v>
      </c>
      <c r="D1027" s="0" t="s">
        <v>3448</v>
      </c>
      <c r="E1027" s="0" t="s">
        <v>4969</v>
      </c>
      <c r="F1027" s="0" t="s">
        <v>64</v>
      </c>
      <c r="G1027" s="0" t="s">
        <v>4220</v>
      </c>
      <c r="H1027" s="0" t="s">
        <v>5347</v>
      </c>
      <c r="I1027" s="0" t="s">
        <v>4991</v>
      </c>
      <c r="J1027" s="20" t="s">
        <v>25</v>
      </c>
    </row>
    <row r="1028" customFormat="false" ht="15" hidden="false" customHeight="false" outlineLevel="0" collapsed="false">
      <c r="A1028" s="0" t="s">
        <v>1006</v>
      </c>
      <c r="B1028" s="0" t="s">
        <v>134</v>
      </c>
      <c r="C1028" s="0" t="s">
        <v>3450</v>
      </c>
      <c r="D1028" s="0" t="s">
        <v>3457</v>
      </c>
      <c r="E1028" s="0" t="s">
        <v>4963</v>
      </c>
      <c r="F1028" s="0" t="s">
        <v>30</v>
      </c>
      <c r="G1028" s="0" t="s">
        <v>4980</v>
      </c>
      <c r="H1028" s="0" t="s">
        <v>4482</v>
      </c>
      <c r="I1028" s="0" t="s">
        <v>4981</v>
      </c>
      <c r="J1028" s="18" t="s">
        <v>24</v>
      </c>
    </row>
    <row r="1029" customFormat="false" ht="15" hidden="false" customHeight="false" outlineLevel="0" collapsed="false">
      <c r="A1029" s="0" t="s">
        <v>1006</v>
      </c>
      <c r="B1029" s="0" t="s">
        <v>134</v>
      </c>
      <c r="C1029" s="0" t="s">
        <v>3450</v>
      </c>
      <c r="D1029" s="0" t="s">
        <v>3448</v>
      </c>
      <c r="E1029" s="0" t="s">
        <v>4963</v>
      </c>
      <c r="F1029" s="0" t="s">
        <v>30</v>
      </c>
      <c r="G1029" s="0" t="s">
        <v>4980</v>
      </c>
      <c r="H1029" s="0" t="s">
        <v>4265</v>
      </c>
      <c r="I1029" s="0" t="s">
        <v>4981</v>
      </c>
      <c r="J1029" s="18" t="s">
        <v>24</v>
      </c>
    </row>
    <row r="1030" customFormat="false" ht="15" hidden="false" customHeight="false" outlineLevel="0" collapsed="false">
      <c r="A1030" s="0" t="s">
        <v>1006</v>
      </c>
      <c r="B1030" s="0" t="s">
        <v>134</v>
      </c>
      <c r="C1030" s="0" t="s">
        <v>3447</v>
      </c>
      <c r="D1030" s="0" t="s">
        <v>3457</v>
      </c>
      <c r="E1030" s="0" t="s">
        <v>4963</v>
      </c>
      <c r="F1030" s="0" t="s">
        <v>30</v>
      </c>
      <c r="G1030" s="0" t="s">
        <v>4980</v>
      </c>
      <c r="H1030" s="0" t="s">
        <v>4483</v>
      </c>
      <c r="I1030" s="0" t="s">
        <v>4981</v>
      </c>
      <c r="J1030" s="18" t="s">
        <v>24</v>
      </c>
    </row>
    <row r="1031" customFormat="false" ht="15" hidden="false" customHeight="false" outlineLevel="0" collapsed="false">
      <c r="A1031" s="0" t="s">
        <v>1006</v>
      </c>
      <c r="B1031" s="0" t="s">
        <v>134</v>
      </c>
      <c r="C1031" s="0" t="s">
        <v>3447</v>
      </c>
      <c r="D1031" s="0" t="s">
        <v>3448</v>
      </c>
      <c r="E1031" s="0" t="s">
        <v>4963</v>
      </c>
      <c r="F1031" s="0" t="s">
        <v>30</v>
      </c>
      <c r="G1031" s="0" t="s">
        <v>4980</v>
      </c>
      <c r="H1031" s="0" t="s">
        <v>4484</v>
      </c>
      <c r="I1031" s="0" t="s">
        <v>4981</v>
      </c>
      <c r="J1031" s="18" t="s">
        <v>24</v>
      </c>
    </row>
    <row r="1032" customFormat="false" ht="15" hidden="false" customHeight="false" outlineLevel="0" collapsed="false">
      <c r="A1032" s="0" t="s">
        <v>1011</v>
      </c>
      <c r="B1032" s="0" t="s">
        <v>134</v>
      </c>
      <c r="C1032" s="0" t="s">
        <v>3447</v>
      </c>
      <c r="D1032" s="0" t="s">
        <v>3457</v>
      </c>
      <c r="E1032" s="0" t="s">
        <v>4963</v>
      </c>
      <c r="F1032" s="0" t="s">
        <v>60</v>
      </c>
      <c r="G1032" s="0" t="s">
        <v>4964</v>
      </c>
      <c r="H1032" s="0" t="s">
        <v>5046</v>
      </c>
      <c r="I1032" s="0" t="s">
        <v>4966</v>
      </c>
      <c r="J1032" s="19" t="s">
        <v>26</v>
      </c>
    </row>
    <row r="1033" customFormat="false" ht="15" hidden="false" customHeight="false" outlineLevel="0" collapsed="false">
      <c r="A1033" s="0" t="s">
        <v>1011</v>
      </c>
      <c r="B1033" s="0" t="s">
        <v>134</v>
      </c>
      <c r="C1033" s="0" t="s">
        <v>3447</v>
      </c>
      <c r="D1033" s="0" t="s">
        <v>3448</v>
      </c>
      <c r="E1033" s="0" t="s">
        <v>4963</v>
      </c>
      <c r="F1033" s="0" t="s">
        <v>60</v>
      </c>
      <c r="G1033" s="0" t="s">
        <v>4964</v>
      </c>
      <c r="H1033" s="0" t="s">
        <v>5017</v>
      </c>
      <c r="I1033" s="0" t="s">
        <v>4966</v>
      </c>
      <c r="J1033" s="19" t="s">
        <v>26</v>
      </c>
    </row>
    <row r="1034" customFormat="false" ht="15" hidden="false" customHeight="false" outlineLevel="0" collapsed="false">
      <c r="A1034" s="0" t="s">
        <v>1011</v>
      </c>
      <c r="B1034" s="0" t="s">
        <v>134</v>
      </c>
      <c r="C1034" s="0" t="s">
        <v>3450</v>
      </c>
      <c r="D1034" s="0" t="s">
        <v>3457</v>
      </c>
      <c r="E1034" s="0" t="s">
        <v>4963</v>
      </c>
      <c r="F1034" s="0" t="s">
        <v>59</v>
      </c>
      <c r="G1034" s="0" t="s">
        <v>4974</v>
      </c>
      <c r="H1034" s="0" t="s">
        <v>69</v>
      </c>
      <c r="I1034" s="0" t="s">
        <v>4975</v>
      </c>
      <c r="J1034" s="20" t="s">
        <v>25</v>
      </c>
    </row>
    <row r="1035" customFormat="false" ht="15" hidden="false" customHeight="false" outlineLevel="0" collapsed="false">
      <c r="A1035" s="0" t="s">
        <v>1011</v>
      </c>
      <c r="B1035" s="0" t="s">
        <v>134</v>
      </c>
      <c r="C1035" s="0" t="s">
        <v>3450</v>
      </c>
      <c r="D1035" s="0" t="s">
        <v>3448</v>
      </c>
      <c r="E1035" s="0" t="s">
        <v>4963</v>
      </c>
      <c r="F1035" s="0" t="s">
        <v>59</v>
      </c>
      <c r="G1035" s="0" t="s">
        <v>4974</v>
      </c>
      <c r="H1035" s="0" t="s">
        <v>69</v>
      </c>
      <c r="I1035" s="0" t="s">
        <v>4975</v>
      </c>
      <c r="J1035" s="20" t="s">
        <v>25</v>
      </c>
    </row>
    <row r="1036" customFormat="false" ht="15" hidden="false" customHeight="false" outlineLevel="0" collapsed="false">
      <c r="A1036" s="0" t="s">
        <v>1011</v>
      </c>
      <c r="B1036" s="0" t="s">
        <v>134</v>
      </c>
      <c r="C1036" s="0" t="s">
        <v>3450</v>
      </c>
      <c r="D1036" s="0" t="s">
        <v>3448</v>
      </c>
      <c r="E1036" s="0" t="s">
        <v>4969</v>
      </c>
      <c r="F1036" s="0" t="s">
        <v>63</v>
      </c>
      <c r="G1036" s="0" t="s">
        <v>4220</v>
      </c>
      <c r="H1036" s="0" t="s">
        <v>5348</v>
      </c>
      <c r="I1036" s="0" t="s">
        <v>4979</v>
      </c>
      <c r="J1036" s="20" t="s">
        <v>25</v>
      </c>
    </row>
    <row r="1037" customFormat="false" ht="15" hidden="false" customHeight="false" outlineLevel="0" collapsed="false">
      <c r="A1037" s="0" t="s">
        <v>1011</v>
      </c>
      <c r="B1037" s="0" t="s">
        <v>134</v>
      </c>
      <c r="C1037" s="0" t="s">
        <v>3447</v>
      </c>
      <c r="D1037" s="0" t="s">
        <v>3457</v>
      </c>
      <c r="E1037" s="0" t="s">
        <v>4963</v>
      </c>
      <c r="F1037" s="0" t="s">
        <v>59</v>
      </c>
      <c r="G1037" s="0" t="s">
        <v>4974</v>
      </c>
      <c r="H1037" s="0" t="s">
        <v>69</v>
      </c>
      <c r="I1037" s="0" t="s">
        <v>4975</v>
      </c>
      <c r="J1037" s="20" t="s">
        <v>25</v>
      </c>
    </row>
    <row r="1038" customFormat="false" ht="15" hidden="false" customHeight="false" outlineLevel="0" collapsed="false">
      <c r="A1038" s="0" t="s">
        <v>1011</v>
      </c>
      <c r="B1038" s="0" t="s">
        <v>134</v>
      </c>
      <c r="C1038" s="0" t="s">
        <v>3447</v>
      </c>
      <c r="D1038" s="0" t="s">
        <v>3448</v>
      </c>
      <c r="E1038" s="0" t="s">
        <v>4969</v>
      </c>
      <c r="F1038" s="0" t="s">
        <v>63</v>
      </c>
      <c r="G1038" s="0" t="s">
        <v>4220</v>
      </c>
      <c r="H1038" s="0" t="s">
        <v>5348</v>
      </c>
      <c r="I1038" s="0" t="s">
        <v>4979</v>
      </c>
      <c r="J1038" s="20" t="s">
        <v>25</v>
      </c>
    </row>
    <row r="1039" customFormat="false" ht="15" hidden="false" customHeight="false" outlineLevel="0" collapsed="false">
      <c r="A1039" s="0" t="s">
        <v>1011</v>
      </c>
      <c r="B1039" s="0" t="s">
        <v>134</v>
      </c>
      <c r="C1039" s="0" t="s">
        <v>3450</v>
      </c>
      <c r="D1039" s="0" t="s">
        <v>3457</v>
      </c>
      <c r="E1039" s="0" t="s">
        <v>4963</v>
      </c>
      <c r="F1039" s="0" t="s">
        <v>30</v>
      </c>
      <c r="G1039" s="0" t="s">
        <v>4980</v>
      </c>
      <c r="H1039" s="0" t="s">
        <v>4275</v>
      </c>
      <c r="I1039" s="0" t="s">
        <v>4981</v>
      </c>
      <c r="J1039" s="18" t="s">
        <v>24</v>
      </c>
    </row>
    <row r="1040" customFormat="false" ht="15" hidden="false" customHeight="false" outlineLevel="0" collapsed="false">
      <c r="A1040" s="0" t="s">
        <v>1011</v>
      </c>
      <c r="B1040" s="0" t="s">
        <v>134</v>
      </c>
      <c r="C1040" s="0" t="s">
        <v>3450</v>
      </c>
      <c r="D1040" s="0" t="s">
        <v>3448</v>
      </c>
      <c r="E1040" s="0" t="s">
        <v>4963</v>
      </c>
      <c r="F1040" s="0" t="s">
        <v>30</v>
      </c>
      <c r="G1040" s="0" t="s">
        <v>4980</v>
      </c>
      <c r="H1040" s="0" t="s">
        <v>4275</v>
      </c>
      <c r="I1040" s="0" t="s">
        <v>4981</v>
      </c>
      <c r="J1040" s="18" t="s">
        <v>24</v>
      </c>
    </row>
    <row r="1041" customFormat="false" ht="15" hidden="false" customHeight="false" outlineLevel="0" collapsed="false">
      <c r="A1041" s="0" t="s">
        <v>1016</v>
      </c>
      <c r="B1041" s="0" t="s">
        <v>134</v>
      </c>
      <c r="C1041" s="0" t="s">
        <v>3447</v>
      </c>
      <c r="D1041" s="0" t="s">
        <v>3457</v>
      </c>
      <c r="E1041" s="0" t="s">
        <v>4963</v>
      </c>
      <c r="F1041" s="0" t="s">
        <v>60</v>
      </c>
      <c r="G1041" s="0" t="s">
        <v>4964</v>
      </c>
      <c r="H1041" s="0" t="s">
        <v>5016</v>
      </c>
      <c r="I1041" s="0" t="s">
        <v>4966</v>
      </c>
      <c r="J1041" s="19" t="s">
        <v>26</v>
      </c>
    </row>
    <row r="1042" customFormat="false" ht="15" hidden="false" customHeight="false" outlineLevel="0" collapsed="false">
      <c r="A1042" s="0" t="s">
        <v>1016</v>
      </c>
      <c r="B1042" s="0" t="s">
        <v>134</v>
      </c>
      <c r="C1042" s="0" t="s">
        <v>3447</v>
      </c>
      <c r="D1042" s="0" t="s">
        <v>3448</v>
      </c>
      <c r="E1042" s="0" t="s">
        <v>4963</v>
      </c>
      <c r="F1042" s="0" t="s">
        <v>60</v>
      </c>
      <c r="G1042" s="0" t="s">
        <v>4964</v>
      </c>
      <c r="H1042" s="0" t="s">
        <v>5349</v>
      </c>
      <c r="I1042" s="0" t="s">
        <v>4966</v>
      </c>
      <c r="J1042" s="19" t="s">
        <v>26</v>
      </c>
    </row>
    <row r="1043" customFormat="false" ht="15" hidden="false" customHeight="false" outlineLevel="0" collapsed="false">
      <c r="A1043" s="0" t="s">
        <v>1016</v>
      </c>
      <c r="B1043" s="0" t="s">
        <v>134</v>
      </c>
      <c r="C1043" s="0" t="s">
        <v>3447</v>
      </c>
      <c r="D1043" s="0" t="s">
        <v>3457</v>
      </c>
      <c r="E1043" s="0" t="s">
        <v>4963</v>
      </c>
      <c r="F1043" s="0" t="s">
        <v>59</v>
      </c>
      <c r="G1043" s="0" t="s">
        <v>4974</v>
      </c>
      <c r="H1043" s="0" t="s">
        <v>69</v>
      </c>
      <c r="I1043" s="0" t="s">
        <v>4975</v>
      </c>
      <c r="J1043" s="20" t="s">
        <v>25</v>
      </c>
    </row>
    <row r="1044" customFormat="false" ht="15" hidden="false" customHeight="false" outlineLevel="0" collapsed="false">
      <c r="A1044" s="0" t="s">
        <v>1023</v>
      </c>
      <c r="B1044" s="0" t="s">
        <v>134</v>
      </c>
      <c r="C1044" s="0" t="s">
        <v>3447</v>
      </c>
      <c r="D1044" s="0" t="s">
        <v>3457</v>
      </c>
      <c r="E1044" s="0" t="s">
        <v>4963</v>
      </c>
      <c r="F1044" s="0" t="s">
        <v>60</v>
      </c>
      <c r="G1044" s="0" t="s">
        <v>4964</v>
      </c>
      <c r="H1044" s="0" t="s">
        <v>5097</v>
      </c>
      <c r="I1044" s="0" t="s">
        <v>4966</v>
      </c>
      <c r="J1044" s="19" t="s">
        <v>26</v>
      </c>
    </row>
    <row r="1045" customFormat="false" ht="15" hidden="false" customHeight="false" outlineLevel="0" collapsed="false">
      <c r="A1045" s="0" t="s">
        <v>1023</v>
      </c>
      <c r="B1045" s="0" t="s">
        <v>134</v>
      </c>
      <c r="C1045" s="0" t="s">
        <v>3450</v>
      </c>
      <c r="D1045" s="0" t="s">
        <v>3457</v>
      </c>
      <c r="E1045" s="0" t="s">
        <v>4963</v>
      </c>
      <c r="F1045" s="0" t="s">
        <v>59</v>
      </c>
      <c r="G1045" s="0" t="s">
        <v>4974</v>
      </c>
      <c r="H1045" s="0" t="s">
        <v>69</v>
      </c>
      <c r="I1045" s="0" t="s">
        <v>4975</v>
      </c>
      <c r="J1045" s="20" t="s">
        <v>25</v>
      </c>
    </row>
    <row r="1046" customFormat="false" ht="15" hidden="false" customHeight="false" outlineLevel="0" collapsed="false">
      <c r="A1046" s="0" t="s">
        <v>1023</v>
      </c>
      <c r="B1046" s="0" t="s">
        <v>134</v>
      </c>
      <c r="C1046" s="0" t="s">
        <v>3450</v>
      </c>
      <c r="D1046" s="0" t="s">
        <v>3448</v>
      </c>
      <c r="E1046" s="0" t="s">
        <v>4963</v>
      </c>
      <c r="F1046" s="0" t="s">
        <v>59</v>
      </c>
      <c r="G1046" s="0" t="s">
        <v>4974</v>
      </c>
      <c r="H1046" s="0" t="s">
        <v>69</v>
      </c>
      <c r="I1046" s="0" t="s">
        <v>4975</v>
      </c>
      <c r="J1046" s="20" t="s">
        <v>25</v>
      </c>
    </row>
    <row r="1047" customFormat="false" ht="15" hidden="false" customHeight="false" outlineLevel="0" collapsed="false">
      <c r="A1047" s="0" t="s">
        <v>1023</v>
      </c>
      <c r="B1047" s="0" t="s">
        <v>134</v>
      </c>
      <c r="C1047" s="0" t="s">
        <v>3450</v>
      </c>
      <c r="D1047" s="0" t="s">
        <v>3457</v>
      </c>
      <c r="E1047" s="0" t="s">
        <v>4963</v>
      </c>
      <c r="F1047" s="0" t="s">
        <v>30</v>
      </c>
      <c r="G1047" s="0" t="s">
        <v>4980</v>
      </c>
      <c r="H1047" s="0" t="s">
        <v>4486</v>
      </c>
      <c r="I1047" s="0" t="s">
        <v>4981</v>
      </c>
      <c r="J1047" s="18" t="s">
        <v>24</v>
      </c>
    </row>
    <row r="1048" customFormat="false" ht="15" hidden="false" customHeight="false" outlineLevel="0" collapsed="false">
      <c r="A1048" s="0" t="s">
        <v>1023</v>
      </c>
      <c r="B1048" s="0" t="s">
        <v>134</v>
      </c>
      <c r="C1048" s="0" t="s">
        <v>3450</v>
      </c>
      <c r="D1048" s="0" t="s">
        <v>3448</v>
      </c>
      <c r="E1048" s="0" t="s">
        <v>4963</v>
      </c>
      <c r="F1048" s="0" t="s">
        <v>30</v>
      </c>
      <c r="G1048" s="0" t="s">
        <v>4980</v>
      </c>
      <c r="H1048" s="0" t="s">
        <v>4275</v>
      </c>
      <c r="I1048" s="0" t="s">
        <v>4981</v>
      </c>
      <c r="J1048" s="18" t="s">
        <v>24</v>
      </c>
    </row>
    <row r="1049" customFormat="false" ht="15" hidden="false" customHeight="false" outlineLevel="0" collapsed="false">
      <c r="A1049" s="0" t="s">
        <v>1023</v>
      </c>
      <c r="B1049" s="0" t="s">
        <v>134</v>
      </c>
      <c r="C1049" s="0" t="s">
        <v>3447</v>
      </c>
      <c r="D1049" s="0" t="s">
        <v>3448</v>
      </c>
      <c r="E1049" s="0" t="s">
        <v>4963</v>
      </c>
      <c r="F1049" s="0" t="s">
        <v>30</v>
      </c>
      <c r="G1049" s="0" t="s">
        <v>4980</v>
      </c>
      <c r="H1049" s="0" t="s">
        <v>4449</v>
      </c>
      <c r="I1049" s="0" t="s">
        <v>4981</v>
      </c>
      <c r="J1049" s="18" t="s">
        <v>24</v>
      </c>
    </row>
    <row r="1050" customFormat="false" ht="15" hidden="false" customHeight="false" outlineLevel="0" collapsed="false">
      <c r="A1050" s="0" t="s">
        <v>1028</v>
      </c>
      <c r="B1050" s="0" t="s">
        <v>134</v>
      </c>
      <c r="C1050" s="0" t="s">
        <v>3450</v>
      </c>
      <c r="D1050" s="0" t="s">
        <v>3448</v>
      </c>
      <c r="E1050" s="0" t="s">
        <v>4963</v>
      </c>
      <c r="F1050" s="0" t="s">
        <v>59</v>
      </c>
      <c r="G1050" s="0" t="s">
        <v>4974</v>
      </c>
      <c r="H1050" s="0" t="s">
        <v>69</v>
      </c>
      <c r="I1050" s="0" t="s">
        <v>4975</v>
      </c>
      <c r="J1050" s="20" t="s">
        <v>25</v>
      </c>
    </row>
    <row r="1051" customFormat="false" ht="15" hidden="false" customHeight="false" outlineLevel="0" collapsed="false">
      <c r="A1051" s="0" t="s">
        <v>1028</v>
      </c>
      <c r="B1051" s="0" t="s">
        <v>134</v>
      </c>
      <c r="C1051" s="0" t="s">
        <v>3450</v>
      </c>
      <c r="D1051" s="0" t="s">
        <v>3457</v>
      </c>
      <c r="E1051" s="0" t="s">
        <v>4963</v>
      </c>
      <c r="F1051" s="0" t="s">
        <v>30</v>
      </c>
      <c r="G1051" s="0" t="s">
        <v>4980</v>
      </c>
      <c r="H1051" s="0" t="s">
        <v>4228</v>
      </c>
      <c r="I1051" s="0" t="s">
        <v>4981</v>
      </c>
      <c r="J1051" s="18" t="s">
        <v>24</v>
      </c>
    </row>
    <row r="1052" customFormat="false" ht="15" hidden="false" customHeight="false" outlineLevel="0" collapsed="false">
      <c r="A1052" s="0" t="s">
        <v>1028</v>
      </c>
      <c r="B1052" s="0" t="s">
        <v>134</v>
      </c>
      <c r="C1052" s="0" t="s">
        <v>3450</v>
      </c>
      <c r="D1052" s="0" t="s">
        <v>3448</v>
      </c>
      <c r="E1052" s="0" t="s">
        <v>4963</v>
      </c>
      <c r="F1052" s="0" t="s">
        <v>30</v>
      </c>
      <c r="G1052" s="0" t="s">
        <v>4980</v>
      </c>
      <c r="H1052" s="0" t="s">
        <v>4289</v>
      </c>
      <c r="I1052" s="0" t="s">
        <v>4981</v>
      </c>
      <c r="J1052" s="18" t="s">
        <v>24</v>
      </c>
    </row>
    <row r="1053" customFormat="false" ht="15" hidden="false" customHeight="false" outlineLevel="0" collapsed="false">
      <c r="A1053" s="0" t="s">
        <v>1028</v>
      </c>
      <c r="B1053" s="0" t="s">
        <v>134</v>
      </c>
      <c r="C1053" s="0" t="s">
        <v>3447</v>
      </c>
      <c r="D1053" s="0" t="s">
        <v>3457</v>
      </c>
      <c r="E1053" s="0" t="s">
        <v>4963</v>
      </c>
      <c r="F1053" s="0" t="s">
        <v>30</v>
      </c>
      <c r="G1053" s="0" t="s">
        <v>4980</v>
      </c>
      <c r="H1053" s="0" t="s">
        <v>4487</v>
      </c>
      <c r="I1053" s="0" t="s">
        <v>4981</v>
      </c>
      <c r="J1053" s="18" t="s">
        <v>24</v>
      </c>
    </row>
    <row r="1054" customFormat="false" ht="15" hidden="false" customHeight="false" outlineLevel="0" collapsed="false">
      <c r="A1054" s="0" t="s">
        <v>1028</v>
      </c>
      <c r="B1054" s="0" t="s">
        <v>134</v>
      </c>
      <c r="C1054" s="0" t="s">
        <v>3447</v>
      </c>
      <c r="D1054" s="0" t="s">
        <v>3448</v>
      </c>
      <c r="E1054" s="0" t="s">
        <v>4963</v>
      </c>
      <c r="F1054" s="0" t="s">
        <v>30</v>
      </c>
      <c r="G1054" s="0" t="s">
        <v>4980</v>
      </c>
      <c r="H1054" s="0" t="s">
        <v>4228</v>
      </c>
      <c r="I1054" s="0" t="s">
        <v>4981</v>
      </c>
      <c r="J1054" s="18" t="s">
        <v>24</v>
      </c>
    </row>
    <row r="1055" customFormat="false" ht="15" hidden="false" customHeight="false" outlineLevel="0" collapsed="false">
      <c r="A1055" s="0" t="s">
        <v>1033</v>
      </c>
      <c r="B1055" s="0" t="s">
        <v>134</v>
      </c>
      <c r="C1055" s="0" t="s">
        <v>3447</v>
      </c>
      <c r="D1055" s="0" t="s">
        <v>3457</v>
      </c>
      <c r="E1055" s="0" t="s">
        <v>4963</v>
      </c>
      <c r="F1055" s="0" t="s">
        <v>60</v>
      </c>
      <c r="G1055" s="0" t="s">
        <v>4964</v>
      </c>
      <c r="H1055" s="0" t="s">
        <v>4965</v>
      </c>
      <c r="I1055" s="0" t="s">
        <v>4966</v>
      </c>
      <c r="J1055" s="19" t="s">
        <v>26</v>
      </c>
    </row>
    <row r="1056" customFormat="false" ht="15" hidden="false" customHeight="false" outlineLevel="0" collapsed="false">
      <c r="A1056" s="0" t="s">
        <v>1033</v>
      </c>
      <c r="B1056" s="0" t="s">
        <v>134</v>
      </c>
      <c r="C1056" s="0" t="s">
        <v>3447</v>
      </c>
      <c r="D1056" s="0" t="s">
        <v>3448</v>
      </c>
      <c r="E1056" s="0" t="s">
        <v>4963</v>
      </c>
      <c r="F1056" s="0" t="s">
        <v>60</v>
      </c>
      <c r="G1056" s="0" t="s">
        <v>4964</v>
      </c>
      <c r="H1056" s="0" t="s">
        <v>4965</v>
      </c>
      <c r="I1056" s="0" t="s">
        <v>4966</v>
      </c>
      <c r="J1056" s="19" t="s">
        <v>26</v>
      </c>
    </row>
    <row r="1057" customFormat="false" ht="15" hidden="false" customHeight="false" outlineLevel="0" collapsed="false">
      <c r="A1057" s="0" t="s">
        <v>1033</v>
      </c>
      <c r="B1057" s="0" t="s">
        <v>134</v>
      </c>
      <c r="C1057" s="0" t="s">
        <v>3450</v>
      </c>
      <c r="D1057" s="0" t="s">
        <v>3457</v>
      </c>
      <c r="E1057" s="0" t="s">
        <v>4969</v>
      </c>
      <c r="F1057" s="0" t="s">
        <v>62</v>
      </c>
      <c r="G1057" s="0" t="s">
        <v>5003</v>
      </c>
      <c r="H1057" s="0" t="s">
        <v>5350</v>
      </c>
      <c r="I1057" s="0" t="s">
        <v>5005</v>
      </c>
      <c r="J1057" s="20" t="s">
        <v>25</v>
      </c>
    </row>
    <row r="1058" customFormat="false" ht="15" hidden="false" customHeight="false" outlineLevel="0" collapsed="false">
      <c r="A1058" s="0" t="s">
        <v>1033</v>
      </c>
      <c r="B1058" s="0" t="s">
        <v>134</v>
      </c>
      <c r="C1058" s="0" t="s">
        <v>3450</v>
      </c>
      <c r="D1058" s="0" t="s">
        <v>3457</v>
      </c>
      <c r="E1058" s="0" t="s">
        <v>4969</v>
      </c>
      <c r="F1058" s="0" t="s">
        <v>64</v>
      </c>
      <c r="G1058" s="0" t="s">
        <v>4220</v>
      </c>
      <c r="H1058" s="0" t="s">
        <v>5351</v>
      </c>
      <c r="I1058" s="0" t="s">
        <v>4991</v>
      </c>
      <c r="J1058" s="20" t="s">
        <v>25</v>
      </c>
    </row>
    <row r="1059" customFormat="false" ht="15" hidden="false" customHeight="false" outlineLevel="0" collapsed="false">
      <c r="A1059" s="0" t="s">
        <v>1033</v>
      </c>
      <c r="B1059" s="0" t="s">
        <v>134</v>
      </c>
      <c r="C1059" s="0" t="s">
        <v>3450</v>
      </c>
      <c r="D1059" s="0" t="s">
        <v>3448</v>
      </c>
      <c r="E1059" s="0" t="s">
        <v>4963</v>
      </c>
      <c r="F1059" s="0" t="s">
        <v>59</v>
      </c>
      <c r="G1059" s="0" t="s">
        <v>4974</v>
      </c>
      <c r="H1059" s="0" t="s">
        <v>69</v>
      </c>
      <c r="I1059" s="0" t="s">
        <v>4975</v>
      </c>
      <c r="J1059" s="20" t="s">
        <v>25</v>
      </c>
    </row>
    <row r="1060" customFormat="false" ht="15" hidden="false" customHeight="false" outlineLevel="0" collapsed="false">
      <c r="A1060" s="0" t="s">
        <v>1033</v>
      </c>
      <c r="B1060" s="0" t="s">
        <v>134</v>
      </c>
      <c r="C1060" s="0" t="s">
        <v>3447</v>
      </c>
      <c r="D1060" s="0" t="s">
        <v>3457</v>
      </c>
      <c r="E1060" s="0" t="s">
        <v>4963</v>
      </c>
      <c r="F1060" s="0" t="s">
        <v>59</v>
      </c>
      <c r="G1060" s="0" t="s">
        <v>4974</v>
      </c>
      <c r="H1060" s="0" t="s">
        <v>69</v>
      </c>
      <c r="I1060" s="0" t="s">
        <v>4975</v>
      </c>
      <c r="J1060" s="20" t="s">
        <v>25</v>
      </c>
    </row>
    <row r="1061" customFormat="false" ht="15" hidden="false" customHeight="false" outlineLevel="0" collapsed="false">
      <c r="A1061" s="0" t="s">
        <v>1033</v>
      </c>
      <c r="B1061" s="0" t="s">
        <v>134</v>
      </c>
      <c r="C1061" s="0" t="s">
        <v>3447</v>
      </c>
      <c r="D1061" s="0" t="s">
        <v>3457</v>
      </c>
      <c r="E1061" s="0" t="s">
        <v>4969</v>
      </c>
      <c r="F1061" s="0" t="s">
        <v>64</v>
      </c>
      <c r="G1061" s="0" t="s">
        <v>4220</v>
      </c>
      <c r="H1061" s="0" t="s">
        <v>5351</v>
      </c>
      <c r="I1061" s="0" t="s">
        <v>4991</v>
      </c>
      <c r="J1061" s="20" t="s">
        <v>25</v>
      </c>
    </row>
    <row r="1062" customFormat="false" ht="15" hidden="false" customHeight="false" outlineLevel="0" collapsed="false">
      <c r="A1062" s="0" t="s">
        <v>1033</v>
      </c>
      <c r="B1062" s="0" t="s">
        <v>134</v>
      </c>
      <c r="C1062" s="0" t="s">
        <v>3447</v>
      </c>
      <c r="D1062" s="0" t="s">
        <v>3448</v>
      </c>
      <c r="E1062" s="0" t="s">
        <v>4963</v>
      </c>
      <c r="F1062" s="0" t="s">
        <v>59</v>
      </c>
      <c r="G1062" s="0" t="s">
        <v>4974</v>
      </c>
      <c r="H1062" s="0" t="s">
        <v>69</v>
      </c>
      <c r="I1062" s="0" t="s">
        <v>4975</v>
      </c>
      <c r="J1062" s="20" t="s">
        <v>25</v>
      </c>
    </row>
    <row r="1063" customFormat="false" ht="15" hidden="false" customHeight="false" outlineLevel="0" collapsed="false">
      <c r="A1063" s="0" t="s">
        <v>1033</v>
      </c>
      <c r="B1063" s="0" t="s">
        <v>134</v>
      </c>
      <c r="C1063" s="0" t="s">
        <v>3450</v>
      </c>
      <c r="D1063" s="0" t="s">
        <v>3448</v>
      </c>
      <c r="E1063" s="0" t="s">
        <v>4963</v>
      </c>
      <c r="F1063" s="0" t="s">
        <v>30</v>
      </c>
      <c r="G1063" s="0" t="s">
        <v>4980</v>
      </c>
      <c r="H1063" s="0" t="s">
        <v>4275</v>
      </c>
      <c r="I1063" s="0" t="s">
        <v>4981</v>
      </c>
      <c r="J1063" s="18" t="s">
        <v>24</v>
      </c>
    </row>
    <row r="1064" customFormat="false" ht="15" hidden="false" customHeight="false" outlineLevel="0" collapsed="false">
      <c r="A1064" s="0" t="s">
        <v>1038</v>
      </c>
      <c r="B1064" s="0" t="s">
        <v>134</v>
      </c>
      <c r="C1064" s="0" t="s">
        <v>3447</v>
      </c>
      <c r="D1064" s="0" t="s">
        <v>3457</v>
      </c>
      <c r="E1064" s="0" t="s">
        <v>4963</v>
      </c>
      <c r="F1064" s="0" t="s">
        <v>60</v>
      </c>
      <c r="G1064" s="0" t="s">
        <v>4964</v>
      </c>
      <c r="H1064" s="0" t="s">
        <v>5352</v>
      </c>
      <c r="I1064" s="0" t="s">
        <v>4966</v>
      </c>
      <c r="J1064" s="19" t="s">
        <v>26</v>
      </c>
    </row>
    <row r="1065" customFormat="false" ht="15" hidden="false" customHeight="false" outlineLevel="0" collapsed="false">
      <c r="A1065" s="0" t="s">
        <v>1038</v>
      </c>
      <c r="B1065" s="0" t="s">
        <v>134</v>
      </c>
      <c r="C1065" s="0" t="s">
        <v>3447</v>
      </c>
      <c r="D1065" s="0" t="s">
        <v>3448</v>
      </c>
      <c r="E1065" s="0" t="s">
        <v>4963</v>
      </c>
      <c r="F1065" s="0" t="s">
        <v>60</v>
      </c>
      <c r="G1065" s="0" t="s">
        <v>4964</v>
      </c>
      <c r="H1065" s="0" t="s">
        <v>5353</v>
      </c>
      <c r="I1065" s="0" t="s">
        <v>4966</v>
      </c>
      <c r="J1065" s="19" t="s">
        <v>26</v>
      </c>
    </row>
    <row r="1066" customFormat="false" ht="15" hidden="false" customHeight="false" outlineLevel="0" collapsed="false">
      <c r="A1066" s="0" t="s">
        <v>1038</v>
      </c>
      <c r="B1066" s="0" t="s">
        <v>134</v>
      </c>
      <c r="C1066" s="0" t="s">
        <v>3450</v>
      </c>
      <c r="D1066" s="0" t="s">
        <v>3457</v>
      </c>
      <c r="E1066" s="0" t="s">
        <v>4963</v>
      </c>
      <c r="F1066" s="0" t="s">
        <v>59</v>
      </c>
      <c r="G1066" s="0" t="s">
        <v>4974</v>
      </c>
      <c r="H1066" s="0" t="s">
        <v>69</v>
      </c>
      <c r="I1066" s="0" t="s">
        <v>4975</v>
      </c>
      <c r="J1066" s="20" t="s">
        <v>25</v>
      </c>
    </row>
    <row r="1067" customFormat="false" ht="15" hidden="false" customHeight="false" outlineLevel="0" collapsed="false">
      <c r="A1067" s="0" t="s">
        <v>1038</v>
      </c>
      <c r="B1067" s="0" t="s">
        <v>134</v>
      </c>
      <c r="C1067" s="0" t="s">
        <v>3450</v>
      </c>
      <c r="D1067" s="0" t="s">
        <v>3448</v>
      </c>
      <c r="E1067" s="0" t="s">
        <v>4963</v>
      </c>
      <c r="F1067" s="0" t="s">
        <v>59</v>
      </c>
      <c r="G1067" s="0" t="s">
        <v>4974</v>
      </c>
      <c r="H1067" s="0" t="s">
        <v>69</v>
      </c>
      <c r="I1067" s="0" t="s">
        <v>4975</v>
      </c>
      <c r="J1067" s="20" t="s">
        <v>25</v>
      </c>
    </row>
    <row r="1068" customFormat="false" ht="15" hidden="false" customHeight="false" outlineLevel="0" collapsed="false">
      <c r="A1068" s="0" t="s">
        <v>1038</v>
      </c>
      <c r="B1068" s="0" t="s">
        <v>134</v>
      </c>
      <c r="C1068" s="0" t="s">
        <v>3447</v>
      </c>
      <c r="D1068" s="0" t="s">
        <v>3457</v>
      </c>
      <c r="E1068" s="0" t="s">
        <v>4963</v>
      </c>
      <c r="F1068" s="0" t="s">
        <v>59</v>
      </c>
      <c r="G1068" s="0" t="s">
        <v>4974</v>
      </c>
      <c r="H1068" s="0" t="s">
        <v>69</v>
      </c>
      <c r="I1068" s="0" t="s">
        <v>4975</v>
      </c>
      <c r="J1068" s="20" t="s">
        <v>25</v>
      </c>
    </row>
    <row r="1069" customFormat="false" ht="15" hidden="false" customHeight="false" outlineLevel="0" collapsed="false">
      <c r="A1069" s="0" t="s">
        <v>1038</v>
      </c>
      <c r="B1069" s="0" t="s">
        <v>134</v>
      </c>
      <c r="C1069" s="0" t="s">
        <v>3447</v>
      </c>
      <c r="D1069" s="0" t="s">
        <v>3448</v>
      </c>
      <c r="E1069" s="0" t="s">
        <v>4963</v>
      </c>
      <c r="F1069" s="0" t="s">
        <v>59</v>
      </c>
      <c r="G1069" s="0" t="s">
        <v>4974</v>
      </c>
      <c r="H1069" s="0" t="s">
        <v>69</v>
      </c>
      <c r="I1069" s="0" t="s">
        <v>4975</v>
      </c>
      <c r="J1069" s="20" t="s">
        <v>25</v>
      </c>
    </row>
    <row r="1070" customFormat="false" ht="15" hidden="false" customHeight="false" outlineLevel="0" collapsed="false">
      <c r="A1070" s="0" t="s">
        <v>1038</v>
      </c>
      <c r="B1070" s="0" t="s">
        <v>134</v>
      </c>
      <c r="C1070" s="0" t="s">
        <v>3447</v>
      </c>
      <c r="D1070" s="0" t="s">
        <v>3448</v>
      </c>
      <c r="E1070" s="0" t="s">
        <v>4969</v>
      </c>
      <c r="F1070" s="0" t="s">
        <v>61</v>
      </c>
      <c r="G1070" s="0" t="s">
        <v>4970</v>
      </c>
      <c r="H1070" s="0" t="s">
        <v>5354</v>
      </c>
      <c r="I1070" s="0" t="s">
        <v>4972</v>
      </c>
      <c r="J1070" s="20" t="s">
        <v>25</v>
      </c>
    </row>
    <row r="1071" customFormat="false" ht="15" hidden="false" customHeight="false" outlineLevel="0" collapsed="false">
      <c r="A1071" s="0" t="s">
        <v>1038</v>
      </c>
      <c r="B1071" s="0" t="s">
        <v>134</v>
      </c>
      <c r="C1071" s="0" t="s">
        <v>3450</v>
      </c>
      <c r="D1071" s="0" t="s">
        <v>3457</v>
      </c>
      <c r="E1071" s="0" t="s">
        <v>4963</v>
      </c>
      <c r="F1071" s="0" t="s">
        <v>30</v>
      </c>
      <c r="G1071" s="0" t="s">
        <v>4980</v>
      </c>
      <c r="H1071" s="0" t="s">
        <v>4488</v>
      </c>
      <c r="I1071" s="0" t="s">
        <v>4981</v>
      </c>
      <c r="J1071" s="18" t="s">
        <v>24</v>
      </c>
    </row>
    <row r="1072" customFormat="false" ht="15" hidden="false" customHeight="false" outlineLevel="0" collapsed="false">
      <c r="A1072" s="0" t="s">
        <v>1038</v>
      </c>
      <c r="B1072" s="0" t="s">
        <v>134</v>
      </c>
      <c r="C1072" s="0" t="s">
        <v>3450</v>
      </c>
      <c r="D1072" s="0" t="s">
        <v>3448</v>
      </c>
      <c r="E1072" s="0" t="s">
        <v>4963</v>
      </c>
      <c r="F1072" s="0" t="s">
        <v>30</v>
      </c>
      <c r="G1072" s="0" t="s">
        <v>4980</v>
      </c>
      <c r="H1072" s="0" t="s">
        <v>4489</v>
      </c>
      <c r="I1072" s="0" t="s">
        <v>4981</v>
      </c>
      <c r="J1072" s="18" t="s">
        <v>24</v>
      </c>
    </row>
    <row r="1073" customFormat="false" ht="15" hidden="false" customHeight="false" outlineLevel="0" collapsed="false">
      <c r="A1073" s="0" t="s">
        <v>1043</v>
      </c>
      <c r="B1073" s="0" t="s">
        <v>134</v>
      </c>
      <c r="C1073" s="0" t="s">
        <v>3450</v>
      </c>
      <c r="D1073" s="0" t="s">
        <v>3457</v>
      </c>
      <c r="E1073" s="0" t="s">
        <v>4969</v>
      </c>
      <c r="F1073" s="0" t="s">
        <v>61</v>
      </c>
      <c r="G1073" s="0" t="s">
        <v>4970</v>
      </c>
      <c r="H1073" s="0" t="s">
        <v>5355</v>
      </c>
      <c r="I1073" s="0" t="s">
        <v>4972</v>
      </c>
      <c r="J1073" s="20" t="s">
        <v>25</v>
      </c>
    </row>
    <row r="1074" customFormat="false" ht="15" hidden="false" customHeight="false" outlineLevel="0" collapsed="false">
      <c r="A1074" s="0" t="s">
        <v>1043</v>
      </c>
      <c r="B1074" s="0" t="s">
        <v>134</v>
      </c>
      <c r="C1074" s="0" t="s">
        <v>3450</v>
      </c>
      <c r="D1074" s="0" t="s">
        <v>3448</v>
      </c>
      <c r="E1074" s="0" t="s">
        <v>4963</v>
      </c>
      <c r="F1074" s="0" t="s">
        <v>59</v>
      </c>
      <c r="G1074" s="0" t="s">
        <v>4974</v>
      </c>
      <c r="H1074" s="0" t="s">
        <v>69</v>
      </c>
      <c r="I1074" s="0" t="s">
        <v>4975</v>
      </c>
      <c r="J1074" s="20" t="s">
        <v>25</v>
      </c>
    </row>
    <row r="1075" customFormat="false" ht="15" hidden="false" customHeight="false" outlineLevel="0" collapsed="false">
      <c r="A1075" s="0" t="s">
        <v>1043</v>
      </c>
      <c r="B1075" s="0" t="s">
        <v>134</v>
      </c>
      <c r="C1075" s="0" t="s">
        <v>3447</v>
      </c>
      <c r="D1075" s="0" t="s">
        <v>3457</v>
      </c>
      <c r="E1075" s="0" t="s">
        <v>4969</v>
      </c>
      <c r="F1075" s="0" t="s">
        <v>61</v>
      </c>
      <c r="G1075" s="0" t="s">
        <v>4970</v>
      </c>
      <c r="H1075" s="0" t="s">
        <v>5356</v>
      </c>
      <c r="I1075" s="0" t="s">
        <v>4972</v>
      </c>
      <c r="J1075" s="20" t="s">
        <v>25</v>
      </c>
    </row>
    <row r="1076" customFormat="false" ht="15" hidden="false" customHeight="false" outlineLevel="0" collapsed="false">
      <c r="A1076" s="0" t="s">
        <v>1043</v>
      </c>
      <c r="B1076" s="0" t="s">
        <v>3459</v>
      </c>
      <c r="C1076" s="0" t="s">
        <v>3450</v>
      </c>
      <c r="D1076" s="0" t="s">
        <v>3448</v>
      </c>
      <c r="E1076" s="0" t="s">
        <v>4963</v>
      </c>
      <c r="F1076" s="0" t="s">
        <v>59</v>
      </c>
      <c r="G1076" s="0" t="s">
        <v>4974</v>
      </c>
      <c r="H1076" s="0" t="s">
        <v>69</v>
      </c>
      <c r="I1076" s="0" t="s">
        <v>4975</v>
      </c>
      <c r="J1076" s="20" t="s">
        <v>25</v>
      </c>
    </row>
    <row r="1077" customFormat="false" ht="15" hidden="false" customHeight="false" outlineLevel="0" collapsed="false">
      <c r="A1077" s="0" t="s">
        <v>1043</v>
      </c>
      <c r="B1077" s="0" t="s">
        <v>3459</v>
      </c>
      <c r="C1077" s="0" t="s">
        <v>3450</v>
      </c>
      <c r="D1077" s="0" t="s">
        <v>3448</v>
      </c>
      <c r="E1077" s="0" t="s">
        <v>4969</v>
      </c>
      <c r="F1077" s="0" t="s">
        <v>62</v>
      </c>
      <c r="G1077" s="0" t="s">
        <v>5003</v>
      </c>
      <c r="H1077" s="0" t="s">
        <v>5357</v>
      </c>
      <c r="I1077" s="0" t="s">
        <v>5005</v>
      </c>
      <c r="J1077" s="20" t="s">
        <v>25</v>
      </c>
    </row>
    <row r="1078" customFormat="false" ht="15" hidden="false" customHeight="false" outlineLevel="0" collapsed="false">
      <c r="A1078" s="0" t="s">
        <v>1043</v>
      </c>
      <c r="B1078" s="0" t="s">
        <v>134</v>
      </c>
      <c r="C1078" s="0" t="s">
        <v>3450</v>
      </c>
      <c r="D1078" s="0" t="s">
        <v>3448</v>
      </c>
      <c r="E1078" s="0" t="s">
        <v>4963</v>
      </c>
      <c r="F1078" s="0" t="s">
        <v>30</v>
      </c>
      <c r="G1078" s="0" t="s">
        <v>4980</v>
      </c>
      <c r="H1078" s="0" t="s">
        <v>4275</v>
      </c>
      <c r="I1078" s="0" t="s">
        <v>4981</v>
      </c>
      <c r="J1078" s="18" t="s">
        <v>24</v>
      </c>
    </row>
    <row r="1079" customFormat="false" ht="15" hidden="false" customHeight="false" outlineLevel="0" collapsed="false">
      <c r="A1079" s="0" t="s">
        <v>1043</v>
      </c>
      <c r="B1079" s="0" t="s">
        <v>134</v>
      </c>
      <c r="C1079" s="0" t="s">
        <v>3447</v>
      </c>
      <c r="D1079" s="0" t="s">
        <v>3457</v>
      </c>
      <c r="E1079" s="0" t="s">
        <v>4963</v>
      </c>
      <c r="F1079" s="0" t="s">
        <v>30</v>
      </c>
      <c r="G1079" s="0" t="s">
        <v>4980</v>
      </c>
      <c r="H1079" s="0" t="s">
        <v>4288</v>
      </c>
      <c r="I1079" s="0" t="s">
        <v>4981</v>
      </c>
      <c r="J1079" s="18" t="s">
        <v>24</v>
      </c>
    </row>
    <row r="1080" customFormat="false" ht="15" hidden="false" customHeight="false" outlineLevel="0" collapsed="false">
      <c r="A1080" s="0" t="s">
        <v>1043</v>
      </c>
      <c r="B1080" s="0" t="s">
        <v>134</v>
      </c>
      <c r="C1080" s="0" t="s">
        <v>3447</v>
      </c>
      <c r="D1080" s="0" t="s">
        <v>3448</v>
      </c>
      <c r="E1080" s="0" t="s">
        <v>4963</v>
      </c>
      <c r="F1080" s="0" t="s">
        <v>30</v>
      </c>
      <c r="G1080" s="0" t="s">
        <v>4980</v>
      </c>
      <c r="H1080" s="0" t="s">
        <v>4228</v>
      </c>
      <c r="I1080" s="0" t="s">
        <v>4981</v>
      </c>
      <c r="J1080" s="18" t="s">
        <v>24</v>
      </c>
    </row>
    <row r="1081" customFormat="false" ht="15" hidden="false" customHeight="false" outlineLevel="0" collapsed="false">
      <c r="A1081" s="0" t="s">
        <v>1043</v>
      </c>
      <c r="B1081" s="0" t="s">
        <v>3459</v>
      </c>
      <c r="C1081" s="0" t="s">
        <v>3450</v>
      </c>
      <c r="D1081" s="0" t="s">
        <v>3448</v>
      </c>
      <c r="E1081" s="0" t="s">
        <v>4963</v>
      </c>
      <c r="F1081" s="0" t="s">
        <v>30</v>
      </c>
      <c r="G1081" s="0" t="s">
        <v>4980</v>
      </c>
      <c r="H1081" s="0" t="s">
        <v>4275</v>
      </c>
      <c r="I1081" s="0" t="s">
        <v>4981</v>
      </c>
      <c r="J1081" s="18" t="s">
        <v>24</v>
      </c>
    </row>
    <row r="1082" customFormat="false" ht="15" hidden="false" customHeight="false" outlineLevel="0" collapsed="false">
      <c r="A1082" s="0" t="s">
        <v>1043</v>
      </c>
      <c r="B1082" s="0" t="s">
        <v>3459</v>
      </c>
      <c r="C1082" s="0" t="s">
        <v>3447</v>
      </c>
      <c r="D1082" s="0" t="s">
        <v>3448</v>
      </c>
      <c r="E1082" s="0" t="s">
        <v>4963</v>
      </c>
      <c r="F1082" s="0" t="s">
        <v>30</v>
      </c>
      <c r="G1082" s="0" t="s">
        <v>4980</v>
      </c>
      <c r="H1082" s="0" t="s">
        <v>4493</v>
      </c>
      <c r="I1082" s="0" t="s">
        <v>4981</v>
      </c>
      <c r="J1082" s="18" t="s">
        <v>24</v>
      </c>
    </row>
    <row r="1083" customFormat="false" ht="15" hidden="false" customHeight="false" outlineLevel="0" collapsed="false">
      <c r="A1083" s="0" t="s">
        <v>1049</v>
      </c>
      <c r="B1083" s="0" t="s">
        <v>134</v>
      </c>
      <c r="C1083" s="0" t="s">
        <v>3447</v>
      </c>
      <c r="D1083" s="0" t="s">
        <v>3448</v>
      </c>
      <c r="E1083" s="0" t="s">
        <v>4963</v>
      </c>
      <c r="F1083" s="0" t="s">
        <v>60</v>
      </c>
      <c r="G1083" s="0" t="s">
        <v>4964</v>
      </c>
      <c r="H1083" s="0" t="s">
        <v>5358</v>
      </c>
      <c r="I1083" s="0" t="s">
        <v>4966</v>
      </c>
      <c r="J1083" s="19" t="s">
        <v>26</v>
      </c>
    </row>
    <row r="1084" customFormat="false" ht="15" hidden="false" customHeight="false" outlineLevel="0" collapsed="false">
      <c r="A1084" s="0" t="s">
        <v>1049</v>
      </c>
      <c r="B1084" s="0" t="s">
        <v>134</v>
      </c>
      <c r="C1084" s="0" t="s">
        <v>3450</v>
      </c>
      <c r="D1084" s="0" t="s">
        <v>3457</v>
      </c>
      <c r="E1084" s="0" t="s">
        <v>4963</v>
      </c>
      <c r="F1084" s="0" t="s">
        <v>59</v>
      </c>
      <c r="G1084" s="0" t="s">
        <v>4974</v>
      </c>
      <c r="H1084" s="0" t="s">
        <v>69</v>
      </c>
      <c r="I1084" s="0" t="s">
        <v>4975</v>
      </c>
      <c r="J1084" s="20" t="s">
        <v>25</v>
      </c>
    </row>
    <row r="1085" customFormat="false" ht="15" hidden="false" customHeight="false" outlineLevel="0" collapsed="false">
      <c r="A1085" s="0" t="s">
        <v>1049</v>
      </c>
      <c r="B1085" s="0" t="s">
        <v>134</v>
      </c>
      <c r="C1085" s="0" t="s">
        <v>3447</v>
      </c>
      <c r="D1085" s="0" t="s">
        <v>3457</v>
      </c>
      <c r="E1085" s="0" t="s">
        <v>4963</v>
      </c>
      <c r="F1085" s="0" t="s">
        <v>59</v>
      </c>
      <c r="G1085" s="0" t="s">
        <v>4974</v>
      </c>
      <c r="H1085" s="0" t="s">
        <v>69</v>
      </c>
      <c r="I1085" s="0" t="s">
        <v>4975</v>
      </c>
      <c r="J1085" s="20" t="s">
        <v>25</v>
      </c>
    </row>
    <row r="1086" customFormat="false" ht="15" hidden="false" customHeight="false" outlineLevel="0" collapsed="false">
      <c r="A1086" s="0" t="s">
        <v>1049</v>
      </c>
      <c r="B1086" s="0" t="s">
        <v>134</v>
      </c>
      <c r="C1086" s="0" t="s">
        <v>3447</v>
      </c>
      <c r="D1086" s="0" t="s">
        <v>3448</v>
      </c>
      <c r="E1086" s="0" t="s">
        <v>4963</v>
      </c>
      <c r="F1086" s="0" t="s">
        <v>59</v>
      </c>
      <c r="G1086" s="0" t="s">
        <v>4974</v>
      </c>
      <c r="H1086" s="0" t="s">
        <v>69</v>
      </c>
      <c r="I1086" s="0" t="s">
        <v>4975</v>
      </c>
      <c r="J1086" s="20" t="s">
        <v>25</v>
      </c>
    </row>
    <row r="1087" customFormat="false" ht="15" hidden="false" customHeight="false" outlineLevel="0" collapsed="false">
      <c r="A1087" s="0" t="s">
        <v>1049</v>
      </c>
      <c r="B1087" s="0" t="s">
        <v>134</v>
      </c>
      <c r="C1087" s="0" t="s">
        <v>3450</v>
      </c>
      <c r="D1087" s="0" t="s">
        <v>3457</v>
      </c>
      <c r="E1087" s="0" t="s">
        <v>4963</v>
      </c>
      <c r="F1087" s="0" t="s">
        <v>30</v>
      </c>
      <c r="G1087" s="0" t="s">
        <v>4980</v>
      </c>
      <c r="H1087" s="0" t="s">
        <v>4275</v>
      </c>
      <c r="I1087" s="0" t="s">
        <v>4981</v>
      </c>
      <c r="J1087" s="18" t="s">
        <v>24</v>
      </c>
    </row>
    <row r="1088" customFormat="false" ht="15" hidden="false" customHeight="false" outlineLevel="0" collapsed="false">
      <c r="A1088" s="0" t="s">
        <v>1049</v>
      </c>
      <c r="B1088" s="0" t="s">
        <v>134</v>
      </c>
      <c r="C1088" s="0" t="s">
        <v>3447</v>
      </c>
      <c r="D1088" s="0" t="s">
        <v>3457</v>
      </c>
      <c r="E1088" s="0" t="s">
        <v>4963</v>
      </c>
      <c r="F1088" s="0" t="s">
        <v>30</v>
      </c>
      <c r="G1088" s="0" t="s">
        <v>4980</v>
      </c>
      <c r="H1088" s="0" t="s">
        <v>4401</v>
      </c>
      <c r="I1088" s="0" t="s">
        <v>4981</v>
      </c>
      <c r="J1088" s="18" t="s">
        <v>24</v>
      </c>
    </row>
    <row r="1089" customFormat="false" ht="15" hidden="false" customHeight="false" outlineLevel="0" collapsed="false">
      <c r="A1089" s="0" t="s">
        <v>1055</v>
      </c>
      <c r="B1089" s="0" t="s">
        <v>134</v>
      </c>
      <c r="C1089" s="0" t="s">
        <v>3450</v>
      </c>
      <c r="D1089" s="0" t="s">
        <v>3457</v>
      </c>
      <c r="E1089" s="0" t="s">
        <v>4963</v>
      </c>
      <c r="F1089" s="0" t="s">
        <v>60</v>
      </c>
      <c r="G1089" s="0" t="s">
        <v>4964</v>
      </c>
      <c r="H1089" s="0" t="s">
        <v>5359</v>
      </c>
      <c r="I1089" s="0" t="s">
        <v>4966</v>
      </c>
      <c r="J1089" s="19" t="s">
        <v>26</v>
      </c>
    </row>
    <row r="1090" customFormat="false" ht="15" hidden="false" customHeight="false" outlineLevel="0" collapsed="false">
      <c r="A1090" s="0" t="s">
        <v>1055</v>
      </c>
      <c r="B1090" s="0" t="s">
        <v>134</v>
      </c>
      <c r="C1090" s="0" t="s">
        <v>3450</v>
      </c>
      <c r="D1090" s="0" t="s">
        <v>3457</v>
      </c>
      <c r="E1090" s="0" t="s">
        <v>4963</v>
      </c>
      <c r="F1090" s="0" t="s">
        <v>59</v>
      </c>
      <c r="G1090" s="0" t="s">
        <v>4974</v>
      </c>
      <c r="H1090" s="0" t="s">
        <v>69</v>
      </c>
      <c r="I1090" s="0" t="s">
        <v>4975</v>
      </c>
      <c r="J1090" s="20" t="s">
        <v>25</v>
      </c>
    </row>
    <row r="1091" customFormat="false" ht="15" hidden="false" customHeight="false" outlineLevel="0" collapsed="false">
      <c r="A1091" s="0" t="s">
        <v>1055</v>
      </c>
      <c r="B1091" s="0" t="s">
        <v>134</v>
      </c>
      <c r="C1091" s="0" t="s">
        <v>3450</v>
      </c>
      <c r="D1091" s="0" t="s">
        <v>3448</v>
      </c>
      <c r="E1091" s="0" t="s">
        <v>4963</v>
      </c>
      <c r="F1091" s="0" t="s">
        <v>59</v>
      </c>
      <c r="G1091" s="0" t="s">
        <v>4974</v>
      </c>
      <c r="H1091" s="0" t="s">
        <v>69</v>
      </c>
      <c r="I1091" s="0" t="s">
        <v>4975</v>
      </c>
      <c r="J1091" s="20" t="s">
        <v>25</v>
      </c>
    </row>
    <row r="1092" customFormat="false" ht="15" hidden="false" customHeight="false" outlineLevel="0" collapsed="false">
      <c r="A1092" s="0" t="s">
        <v>1055</v>
      </c>
      <c r="B1092" s="0" t="s">
        <v>134</v>
      </c>
      <c r="C1092" s="0" t="s">
        <v>3450</v>
      </c>
      <c r="D1092" s="0" t="s">
        <v>3448</v>
      </c>
      <c r="E1092" s="0" t="s">
        <v>4969</v>
      </c>
      <c r="F1092" s="0" t="s">
        <v>62</v>
      </c>
      <c r="G1092" s="0" t="s">
        <v>5003</v>
      </c>
      <c r="H1092" s="0" t="s">
        <v>5360</v>
      </c>
      <c r="I1092" s="0" t="s">
        <v>5005</v>
      </c>
      <c r="J1092" s="20" t="s">
        <v>25</v>
      </c>
    </row>
    <row r="1093" customFormat="false" ht="15" hidden="false" customHeight="false" outlineLevel="0" collapsed="false">
      <c r="A1093" s="0" t="s">
        <v>1055</v>
      </c>
      <c r="B1093" s="0" t="s">
        <v>134</v>
      </c>
      <c r="C1093" s="0" t="s">
        <v>3450</v>
      </c>
      <c r="D1093" s="0" t="s">
        <v>3448</v>
      </c>
      <c r="E1093" s="0" t="s">
        <v>4963</v>
      </c>
      <c r="F1093" s="0" t="s">
        <v>30</v>
      </c>
      <c r="G1093" s="0" t="s">
        <v>4980</v>
      </c>
      <c r="H1093" s="0" t="s">
        <v>4242</v>
      </c>
      <c r="I1093" s="0" t="s">
        <v>4981</v>
      </c>
      <c r="J1093" s="18" t="s">
        <v>24</v>
      </c>
    </row>
    <row r="1094" customFormat="false" ht="15" hidden="false" customHeight="false" outlineLevel="0" collapsed="false">
      <c r="A1094" s="0" t="s">
        <v>1055</v>
      </c>
      <c r="B1094" s="0" t="s">
        <v>134</v>
      </c>
      <c r="C1094" s="0" t="s">
        <v>3447</v>
      </c>
      <c r="D1094" s="0" t="s">
        <v>3457</v>
      </c>
      <c r="E1094" s="0" t="s">
        <v>4963</v>
      </c>
      <c r="F1094" s="0" t="s">
        <v>30</v>
      </c>
      <c r="G1094" s="0" t="s">
        <v>4980</v>
      </c>
      <c r="H1094" s="0" t="s">
        <v>4342</v>
      </c>
      <c r="I1094" s="0" t="s">
        <v>4981</v>
      </c>
      <c r="J1094" s="18" t="s">
        <v>24</v>
      </c>
    </row>
    <row r="1095" customFormat="false" ht="15" hidden="false" customHeight="false" outlineLevel="0" collapsed="false">
      <c r="A1095" s="0" t="s">
        <v>1055</v>
      </c>
      <c r="B1095" s="0" t="s">
        <v>134</v>
      </c>
      <c r="C1095" s="0" t="s">
        <v>3447</v>
      </c>
      <c r="D1095" s="0" t="s">
        <v>3448</v>
      </c>
      <c r="E1095" s="0" t="s">
        <v>4963</v>
      </c>
      <c r="F1095" s="0" t="s">
        <v>30</v>
      </c>
      <c r="G1095" s="0" t="s">
        <v>4980</v>
      </c>
      <c r="H1095" s="0" t="s">
        <v>4496</v>
      </c>
      <c r="I1095" s="0" t="s">
        <v>4981</v>
      </c>
      <c r="J1095" s="18" t="s">
        <v>24</v>
      </c>
    </row>
    <row r="1096" customFormat="false" ht="15" hidden="false" customHeight="false" outlineLevel="0" collapsed="false">
      <c r="A1096" s="0" t="s">
        <v>1060</v>
      </c>
      <c r="B1096" s="0" t="s">
        <v>134</v>
      </c>
      <c r="C1096" s="0" t="s">
        <v>3447</v>
      </c>
      <c r="D1096" s="0" t="s">
        <v>3457</v>
      </c>
      <c r="E1096" s="0" t="s">
        <v>4963</v>
      </c>
      <c r="F1096" s="0" t="s">
        <v>60</v>
      </c>
      <c r="G1096" s="0" t="s">
        <v>4964</v>
      </c>
      <c r="H1096" s="0" t="s">
        <v>5056</v>
      </c>
      <c r="I1096" s="0" t="s">
        <v>4966</v>
      </c>
      <c r="J1096" s="19" t="s">
        <v>26</v>
      </c>
    </row>
    <row r="1097" customFormat="false" ht="15" hidden="false" customHeight="false" outlineLevel="0" collapsed="false">
      <c r="A1097" s="0" t="s">
        <v>1060</v>
      </c>
      <c r="B1097" s="0" t="s">
        <v>134</v>
      </c>
      <c r="C1097" s="0" t="s">
        <v>3450</v>
      </c>
      <c r="D1097" s="0" t="s">
        <v>3457</v>
      </c>
      <c r="E1097" s="0" t="s">
        <v>4963</v>
      </c>
      <c r="F1097" s="0" t="s">
        <v>59</v>
      </c>
      <c r="G1097" s="0" t="s">
        <v>4974</v>
      </c>
      <c r="H1097" s="0" t="s">
        <v>69</v>
      </c>
      <c r="I1097" s="0" t="s">
        <v>4975</v>
      </c>
      <c r="J1097" s="20" t="s">
        <v>25</v>
      </c>
    </row>
    <row r="1098" customFormat="false" ht="15" hidden="false" customHeight="false" outlineLevel="0" collapsed="false">
      <c r="A1098" s="0" t="s">
        <v>1060</v>
      </c>
      <c r="B1098" s="0" t="s">
        <v>134</v>
      </c>
      <c r="C1098" s="0" t="s">
        <v>3450</v>
      </c>
      <c r="D1098" s="0" t="s">
        <v>3448</v>
      </c>
      <c r="E1098" s="0" t="s">
        <v>4963</v>
      </c>
      <c r="F1098" s="0" t="s">
        <v>59</v>
      </c>
      <c r="G1098" s="0" t="s">
        <v>4974</v>
      </c>
      <c r="H1098" s="0" t="s">
        <v>69</v>
      </c>
      <c r="I1098" s="0" t="s">
        <v>4975</v>
      </c>
      <c r="J1098" s="20" t="s">
        <v>25</v>
      </c>
    </row>
    <row r="1099" customFormat="false" ht="15" hidden="false" customHeight="false" outlineLevel="0" collapsed="false">
      <c r="A1099" s="0" t="s">
        <v>1060</v>
      </c>
      <c r="B1099" s="0" t="s">
        <v>134</v>
      </c>
      <c r="C1099" s="0" t="s">
        <v>3450</v>
      </c>
      <c r="D1099" s="0" t="s">
        <v>3448</v>
      </c>
      <c r="E1099" s="0" t="s">
        <v>4969</v>
      </c>
      <c r="F1099" s="0" t="s">
        <v>63</v>
      </c>
      <c r="G1099" s="0" t="s">
        <v>4220</v>
      </c>
      <c r="H1099" s="0" t="s">
        <v>5361</v>
      </c>
      <c r="I1099" s="0" t="s">
        <v>4979</v>
      </c>
      <c r="J1099" s="20" t="s">
        <v>25</v>
      </c>
    </row>
    <row r="1100" customFormat="false" ht="15" hidden="false" customHeight="false" outlineLevel="0" collapsed="false">
      <c r="A1100" s="0" t="s">
        <v>1060</v>
      </c>
      <c r="B1100" s="0" t="s">
        <v>134</v>
      </c>
      <c r="C1100" s="0" t="s">
        <v>3447</v>
      </c>
      <c r="D1100" s="0" t="s">
        <v>3457</v>
      </c>
      <c r="E1100" s="0" t="s">
        <v>4963</v>
      </c>
      <c r="F1100" s="0" t="s">
        <v>59</v>
      </c>
      <c r="G1100" s="0" t="s">
        <v>4974</v>
      </c>
      <c r="H1100" s="0" t="s">
        <v>69</v>
      </c>
      <c r="I1100" s="0" t="s">
        <v>4975</v>
      </c>
      <c r="J1100" s="20" t="s">
        <v>25</v>
      </c>
    </row>
    <row r="1101" customFormat="false" ht="15" hidden="false" customHeight="false" outlineLevel="0" collapsed="false">
      <c r="A1101" s="0" t="s">
        <v>1060</v>
      </c>
      <c r="B1101" s="0" t="s">
        <v>134</v>
      </c>
      <c r="C1101" s="0" t="s">
        <v>3447</v>
      </c>
      <c r="D1101" s="0" t="s">
        <v>3448</v>
      </c>
      <c r="E1101" s="0" t="s">
        <v>4963</v>
      </c>
      <c r="F1101" s="0" t="s">
        <v>59</v>
      </c>
      <c r="G1101" s="0" t="s">
        <v>4974</v>
      </c>
      <c r="H1101" s="0" t="s">
        <v>69</v>
      </c>
      <c r="I1101" s="0" t="s">
        <v>4975</v>
      </c>
      <c r="J1101" s="20" t="s">
        <v>25</v>
      </c>
    </row>
    <row r="1102" customFormat="false" ht="15" hidden="false" customHeight="false" outlineLevel="0" collapsed="false">
      <c r="A1102" s="0" t="s">
        <v>1060</v>
      </c>
      <c r="B1102" s="0" t="s">
        <v>134</v>
      </c>
      <c r="C1102" s="0" t="s">
        <v>3447</v>
      </c>
      <c r="D1102" s="0" t="s">
        <v>3448</v>
      </c>
      <c r="E1102" s="0" t="s">
        <v>4969</v>
      </c>
      <c r="F1102" s="0" t="s">
        <v>63</v>
      </c>
      <c r="G1102" s="0" t="s">
        <v>4220</v>
      </c>
      <c r="H1102" s="0" t="s">
        <v>5361</v>
      </c>
      <c r="I1102" s="0" t="s">
        <v>4979</v>
      </c>
      <c r="J1102" s="20" t="s">
        <v>25</v>
      </c>
    </row>
    <row r="1103" customFormat="false" ht="15" hidden="false" customHeight="false" outlineLevel="0" collapsed="false">
      <c r="A1103" s="0" t="s">
        <v>1060</v>
      </c>
      <c r="B1103" s="0" t="s">
        <v>134</v>
      </c>
      <c r="C1103" s="0" t="s">
        <v>3450</v>
      </c>
      <c r="D1103" s="0" t="s">
        <v>3457</v>
      </c>
      <c r="E1103" s="0" t="s">
        <v>4963</v>
      </c>
      <c r="F1103" s="0" t="s">
        <v>30</v>
      </c>
      <c r="G1103" s="0" t="s">
        <v>4980</v>
      </c>
      <c r="H1103" s="0" t="s">
        <v>4275</v>
      </c>
      <c r="I1103" s="0" t="s">
        <v>4981</v>
      </c>
      <c r="J1103" s="18" t="s">
        <v>24</v>
      </c>
    </row>
    <row r="1104" customFormat="false" ht="15" hidden="false" customHeight="false" outlineLevel="0" collapsed="false">
      <c r="A1104" s="0" t="s">
        <v>1060</v>
      </c>
      <c r="B1104" s="0" t="s">
        <v>134</v>
      </c>
      <c r="C1104" s="0" t="s">
        <v>3450</v>
      </c>
      <c r="D1104" s="0" t="s">
        <v>3448</v>
      </c>
      <c r="E1104" s="0" t="s">
        <v>4963</v>
      </c>
      <c r="F1104" s="0" t="s">
        <v>30</v>
      </c>
      <c r="G1104" s="0" t="s">
        <v>4980</v>
      </c>
      <c r="H1104" s="0" t="s">
        <v>4275</v>
      </c>
      <c r="I1104" s="0" t="s">
        <v>4981</v>
      </c>
      <c r="J1104" s="18" t="s">
        <v>24</v>
      </c>
    </row>
    <row r="1105" customFormat="false" ht="15" hidden="false" customHeight="false" outlineLevel="0" collapsed="false">
      <c r="A1105" s="0" t="s">
        <v>1060</v>
      </c>
      <c r="B1105" s="0" t="s">
        <v>134</v>
      </c>
      <c r="C1105" s="0" t="s">
        <v>3447</v>
      </c>
      <c r="D1105" s="0" t="s">
        <v>3448</v>
      </c>
      <c r="E1105" s="0" t="s">
        <v>4963</v>
      </c>
      <c r="F1105" s="0" t="s">
        <v>30</v>
      </c>
      <c r="G1105" s="0" t="s">
        <v>4980</v>
      </c>
      <c r="H1105" s="0" t="s">
        <v>4497</v>
      </c>
      <c r="I1105" s="0" t="s">
        <v>4981</v>
      </c>
      <c r="J1105" s="18" t="s">
        <v>24</v>
      </c>
    </row>
    <row r="1106" customFormat="false" ht="15" hidden="false" customHeight="false" outlineLevel="0" collapsed="false">
      <c r="A1106" s="0" t="s">
        <v>1068</v>
      </c>
      <c r="B1106" s="0" t="s">
        <v>134</v>
      </c>
      <c r="C1106" s="0" t="s">
        <v>3447</v>
      </c>
      <c r="D1106" s="0" t="s">
        <v>3457</v>
      </c>
      <c r="E1106" s="0" t="s">
        <v>4963</v>
      </c>
      <c r="F1106" s="0" t="s">
        <v>60</v>
      </c>
      <c r="G1106" s="0" t="s">
        <v>4964</v>
      </c>
      <c r="H1106" s="0" t="s">
        <v>5016</v>
      </c>
      <c r="I1106" s="0" t="s">
        <v>4966</v>
      </c>
      <c r="J1106" s="19" t="s">
        <v>26</v>
      </c>
    </row>
    <row r="1107" customFormat="false" ht="15" hidden="false" customHeight="false" outlineLevel="0" collapsed="false">
      <c r="A1107" s="0" t="s">
        <v>1068</v>
      </c>
      <c r="B1107" s="0" t="s">
        <v>134</v>
      </c>
      <c r="C1107" s="0" t="s">
        <v>3447</v>
      </c>
      <c r="D1107" s="0" t="s">
        <v>3448</v>
      </c>
      <c r="E1107" s="0" t="s">
        <v>4963</v>
      </c>
      <c r="F1107" s="0" t="s">
        <v>60</v>
      </c>
      <c r="G1107" s="0" t="s">
        <v>4964</v>
      </c>
      <c r="H1107" s="0" t="s">
        <v>5362</v>
      </c>
      <c r="I1107" s="0" t="s">
        <v>4966</v>
      </c>
      <c r="J1107" s="19" t="s">
        <v>26</v>
      </c>
    </row>
    <row r="1108" customFormat="false" ht="15" hidden="false" customHeight="false" outlineLevel="0" collapsed="false">
      <c r="A1108" s="0" t="s">
        <v>1068</v>
      </c>
      <c r="B1108" s="0" t="s">
        <v>134</v>
      </c>
      <c r="C1108" s="0" t="s">
        <v>3447</v>
      </c>
      <c r="D1108" s="0" t="s">
        <v>3457</v>
      </c>
      <c r="E1108" s="0" t="s">
        <v>4963</v>
      </c>
      <c r="F1108" s="0" t="s">
        <v>59</v>
      </c>
      <c r="G1108" s="0" t="s">
        <v>4974</v>
      </c>
      <c r="H1108" s="0" t="s">
        <v>69</v>
      </c>
      <c r="I1108" s="0" t="s">
        <v>4975</v>
      </c>
      <c r="J1108" s="20" t="s">
        <v>25</v>
      </c>
    </row>
    <row r="1109" customFormat="false" ht="15" hidden="false" customHeight="false" outlineLevel="0" collapsed="false">
      <c r="A1109" s="0" t="s">
        <v>1068</v>
      </c>
      <c r="B1109" s="0" t="s">
        <v>134</v>
      </c>
      <c r="C1109" s="0" t="s">
        <v>3447</v>
      </c>
      <c r="D1109" s="0" t="s">
        <v>3448</v>
      </c>
      <c r="E1109" s="0" t="s">
        <v>4963</v>
      </c>
      <c r="F1109" s="0" t="s">
        <v>59</v>
      </c>
      <c r="G1109" s="0" t="s">
        <v>4974</v>
      </c>
      <c r="H1109" s="0" t="s">
        <v>69</v>
      </c>
      <c r="I1109" s="0" t="s">
        <v>4975</v>
      </c>
      <c r="J1109" s="20" t="s">
        <v>25</v>
      </c>
    </row>
    <row r="1110" customFormat="false" ht="15" hidden="false" customHeight="false" outlineLevel="0" collapsed="false">
      <c r="A1110" s="0" t="s">
        <v>1068</v>
      </c>
      <c r="B1110" s="0" t="s">
        <v>3459</v>
      </c>
      <c r="C1110" s="0" t="s">
        <v>3450</v>
      </c>
      <c r="D1110" s="0" t="s">
        <v>3457</v>
      </c>
      <c r="E1110" s="0" t="s">
        <v>4969</v>
      </c>
      <c r="F1110" s="0" t="s">
        <v>61</v>
      </c>
      <c r="G1110" s="0" t="s">
        <v>4970</v>
      </c>
      <c r="H1110" s="0" t="s">
        <v>5363</v>
      </c>
      <c r="I1110" s="0" t="s">
        <v>4972</v>
      </c>
      <c r="J1110" s="20" t="s">
        <v>25</v>
      </c>
    </row>
    <row r="1111" customFormat="false" ht="15" hidden="false" customHeight="false" outlineLevel="0" collapsed="false">
      <c r="A1111" s="0" t="s">
        <v>1068</v>
      </c>
      <c r="B1111" s="0" t="s">
        <v>3459</v>
      </c>
      <c r="C1111" s="0" t="s">
        <v>3447</v>
      </c>
      <c r="D1111" s="0" t="s">
        <v>3457</v>
      </c>
      <c r="E1111" s="0" t="s">
        <v>4963</v>
      </c>
      <c r="F1111" s="0" t="s">
        <v>59</v>
      </c>
      <c r="G1111" s="0" t="s">
        <v>4974</v>
      </c>
      <c r="H1111" s="0" t="s">
        <v>69</v>
      </c>
      <c r="I1111" s="0" t="s">
        <v>4975</v>
      </c>
      <c r="J1111" s="20" t="s">
        <v>25</v>
      </c>
    </row>
    <row r="1112" customFormat="false" ht="15" hidden="false" customHeight="false" outlineLevel="0" collapsed="false">
      <c r="A1112" s="0" t="s">
        <v>1068</v>
      </c>
      <c r="B1112" s="0" t="s">
        <v>3459</v>
      </c>
      <c r="C1112" s="0" t="s">
        <v>3447</v>
      </c>
      <c r="D1112" s="0" t="s">
        <v>3457</v>
      </c>
      <c r="E1112" s="0" t="s">
        <v>4969</v>
      </c>
      <c r="F1112" s="0" t="s">
        <v>61</v>
      </c>
      <c r="G1112" s="0" t="s">
        <v>4970</v>
      </c>
      <c r="H1112" s="0" t="s">
        <v>5364</v>
      </c>
      <c r="I1112" s="0" t="s">
        <v>4972</v>
      </c>
      <c r="J1112" s="20" t="s">
        <v>25</v>
      </c>
    </row>
    <row r="1113" customFormat="false" ht="15" hidden="false" customHeight="false" outlineLevel="0" collapsed="false">
      <c r="A1113" s="0" t="s">
        <v>1068</v>
      </c>
      <c r="B1113" s="0" t="s">
        <v>3459</v>
      </c>
      <c r="C1113" s="0" t="s">
        <v>3447</v>
      </c>
      <c r="D1113" s="0" t="s">
        <v>3448</v>
      </c>
      <c r="E1113" s="0" t="s">
        <v>4963</v>
      </c>
      <c r="F1113" s="0" t="s">
        <v>59</v>
      </c>
      <c r="G1113" s="0" t="s">
        <v>4974</v>
      </c>
      <c r="H1113" s="0" t="s">
        <v>69</v>
      </c>
      <c r="I1113" s="0" t="s">
        <v>4975</v>
      </c>
      <c r="J1113" s="20" t="s">
        <v>25</v>
      </c>
    </row>
    <row r="1114" customFormat="false" ht="15" hidden="false" customHeight="false" outlineLevel="0" collapsed="false">
      <c r="A1114" s="0" t="s">
        <v>1068</v>
      </c>
      <c r="B1114" s="0" t="s">
        <v>3459</v>
      </c>
      <c r="C1114" s="0" t="s">
        <v>3447</v>
      </c>
      <c r="D1114" s="0" t="s">
        <v>3448</v>
      </c>
      <c r="E1114" s="0" t="s">
        <v>4969</v>
      </c>
      <c r="F1114" s="0" t="s">
        <v>61</v>
      </c>
      <c r="G1114" s="0" t="s">
        <v>4970</v>
      </c>
      <c r="H1114" s="0" t="s">
        <v>5365</v>
      </c>
      <c r="I1114" s="0" t="s">
        <v>4972</v>
      </c>
      <c r="J1114" s="20" t="s">
        <v>25</v>
      </c>
    </row>
    <row r="1115" customFormat="false" ht="15" hidden="false" customHeight="false" outlineLevel="0" collapsed="false">
      <c r="A1115" s="0" t="s">
        <v>1068</v>
      </c>
      <c r="B1115" s="0" t="s">
        <v>3459</v>
      </c>
      <c r="C1115" s="0" t="s">
        <v>3447</v>
      </c>
      <c r="D1115" s="0" t="s">
        <v>3457</v>
      </c>
      <c r="E1115" s="0" t="s">
        <v>4963</v>
      </c>
      <c r="F1115" s="0" t="s">
        <v>30</v>
      </c>
      <c r="G1115" s="0" t="s">
        <v>4980</v>
      </c>
      <c r="H1115" s="0" t="s">
        <v>4499</v>
      </c>
      <c r="I1115" s="0" t="s">
        <v>4981</v>
      </c>
      <c r="J1115" s="18" t="s">
        <v>24</v>
      </c>
    </row>
    <row r="1116" customFormat="false" ht="15" hidden="false" customHeight="false" outlineLevel="0" collapsed="false">
      <c r="A1116" s="0" t="s">
        <v>1068</v>
      </c>
      <c r="B1116" s="0" t="s">
        <v>3459</v>
      </c>
      <c r="C1116" s="0" t="s">
        <v>3447</v>
      </c>
      <c r="D1116" s="0" t="s">
        <v>3448</v>
      </c>
      <c r="E1116" s="0" t="s">
        <v>4963</v>
      </c>
      <c r="F1116" s="0" t="s">
        <v>30</v>
      </c>
      <c r="G1116" s="0" t="s">
        <v>4980</v>
      </c>
      <c r="H1116" s="0" t="s">
        <v>4265</v>
      </c>
      <c r="I1116" s="0" t="s">
        <v>4981</v>
      </c>
      <c r="J1116" s="18" t="s">
        <v>24</v>
      </c>
    </row>
    <row r="1117" customFormat="false" ht="15" hidden="false" customHeight="false" outlineLevel="0" collapsed="false">
      <c r="A1117" s="0" t="s">
        <v>1073</v>
      </c>
      <c r="B1117" s="0" t="s">
        <v>134</v>
      </c>
      <c r="C1117" s="0" t="s">
        <v>3447</v>
      </c>
      <c r="D1117" s="0" t="s">
        <v>3448</v>
      </c>
      <c r="E1117" s="0" t="s">
        <v>4963</v>
      </c>
      <c r="F1117" s="0" t="s">
        <v>60</v>
      </c>
      <c r="G1117" s="0" t="s">
        <v>4964</v>
      </c>
      <c r="H1117" s="0" t="s">
        <v>5016</v>
      </c>
      <c r="I1117" s="0" t="s">
        <v>4966</v>
      </c>
      <c r="J1117" s="19" t="s">
        <v>26</v>
      </c>
    </row>
    <row r="1118" customFormat="false" ht="15" hidden="false" customHeight="false" outlineLevel="0" collapsed="false">
      <c r="A1118" s="0" t="s">
        <v>1073</v>
      </c>
      <c r="B1118" s="0" t="s">
        <v>134</v>
      </c>
      <c r="C1118" s="0" t="s">
        <v>3450</v>
      </c>
      <c r="D1118" s="0" t="s">
        <v>3448</v>
      </c>
      <c r="E1118" s="0" t="s">
        <v>4969</v>
      </c>
      <c r="F1118" s="0" t="s">
        <v>62</v>
      </c>
      <c r="G1118" s="0" t="s">
        <v>5003</v>
      </c>
      <c r="H1118" s="0" t="s">
        <v>5366</v>
      </c>
      <c r="I1118" s="0" t="s">
        <v>5005</v>
      </c>
      <c r="J1118" s="20" t="s">
        <v>25</v>
      </c>
    </row>
    <row r="1119" customFormat="false" ht="15" hidden="false" customHeight="false" outlineLevel="0" collapsed="false">
      <c r="A1119" s="0" t="s">
        <v>1073</v>
      </c>
      <c r="B1119" s="0" t="s">
        <v>134</v>
      </c>
      <c r="C1119" s="0" t="s">
        <v>3447</v>
      </c>
      <c r="D1119" s="0" t="s">
        <v>3448</v>
      </c>
      <c r="E1119" s="0" t="s">
        <v>4963</v>
      </c>
      <c r="F1119" s="0" t="s">
        <v>59</v>
      </c>
      <c r="G1119" s="0" t="s">
        <v>4974</v>
      </c>
      <c r="H1119" s="0" t="s">
        <v>69</v>
      </c>
      <c r="I1119" s="0" t="s">
        <v>4975</v>
      </c>
      <c r="J1119" s="20" t="s">
        <v>25</v>
      </c>
    </row>
    <row r="1120" customFormat="false" ht="15" hidden="false" customHeight="false" outlineLevel="0" collapsed="false">
      <c r="A1120" s="0" t="s">
        <v>1079</v>
      </c>
      <c r="B1120" s="0" t="s">
        <v>134</v>
      </c>
      <c r="C1120" s="0" t="s">
        <v>3450</v>
      </c>
      <c r="D1120" s="0" t="s">
        <v>3457</v>
      </c>
      <c r="E1120" s="0" t="s">
        <v>4963</v>
      </c>
      <c r="F1120" s="0" t="s">
        <v>60</v>
      </c>
      <c r="G1120" s="0" t="s">
        <v>4964</v>
      </c>
      <c r="H1120" s="0" t="s">
        <v>5367</v>
      </c>
      <c r="I1120" s="0" t="s">
        <v>4966</v>
      </c>
      <c r="J1120" s="19" t="s">
        <v>26</v>
      </c>
    </row>
    <row r="1121" customFormat="false" ht="15" hidden="false" customHeight="false" outlineLevel="0" collapsed="false">
      <c r="A1121" s="0" t="s">
        <v>1079</v>
      </c>
      <c r="B1121" s="0" t="s">
        <v>134</v>
      </c>
      <c r="C1121" s="0" t="s">
        <v>3447</v>
      </c>
      <c r="D1121" s="0" t="s">
        <v>3457</v>
      </c>
      <c r="E1121" s="0" t="s">
        <v>4963</v>
      </c>
      <c r="F1121" s="0" t="s">
        <v>60</v>
      </c>
      <c r="G1121" s="0" t="s">
        <v>4964</v>
      </c>
      <c r="H1121" s="0" t="s">
        <v>5368</v>
      </c>
      <c r="I1121" s="0" t="s">
        <v>4966</v>
      </c>
      <c r="J1121" s="19" t="s">
        <v>26</v>
      </c>
    </row>
    <row r="1122" customFormat="false" ht="15" hidden="false" customHeight="false" outlineLevel="0" collapsed="false">
      <c r="A1122" s="0" t="s">
        <v>1079</v>
      </c>
      <c r="B1122" s="0" t="s">
        <v>134</v>
      </c>
      <c r="C1122" s="0" t="s">
        <v>3447</v>
      </c>
      <c r="D1122" s="0" t="s">
        <v>3448</v>
      </c>
      <c r="E1122" s="0" t="s">
        <v>4963</v>
      </c>
      <c r="F1122" s="0" t="s">
        <v>60</v>
      </c>
      <c r="G1122" s="0" t="s">
        <v>4964</v>
      </c>
      <c r="H1122" s="0" t="s">
        <v>5369</v>
      </c>
      <c r="I1122" s="0" t="s">
        <v>4966</v>
      </c>
      <c r="J1122" s="19" t="s">
        <v>26</v>
      </c>
    </row>
    <row r="1123" customFormat="false" ht="15" hidden="false" customHeight="false" outlineLevel="0" collapsed="false">
      <c r="A1123" s="0" t="s">
        <v>1079</v>
      </c>
      <c r="B1123" s="0" t="s">
        <v>134</v>
      </c>
      <c r="C1123" s="0" t="s">
        <v>3450</v>
      </c>
      <c r="D1123" s="0" t="s">
        <v>3457</v>
      </c>
      <c r="E1123" s="0" t="s">
        <v>4963</v>
      </c>
      <c r="F1123" s="0" t="s">
        <v>59</v>
      </c>
      <c r="G1123" s="0" t="s">
        <v>4974</v>
      </c>
      <c r="H1123" s="0" t="s">
        <v>69</v>
      </c>
      <c r="I1123" s="0" t="s">
        <v>4975</v>
      </c>
      <c r="J1123" s="20" t="s">
        <v>25</v>
      </c>
    </row>
    <row r="1124" customFormat="false" ht="15" hidden="false" customHeight="false" outlineLevel="0" collapsed="false">
      <c r="A1124" s="0" t="s">
        <v>1079</v>
      </c>
      <c r="B1124" s="0" t="s">
        <v>134</v>
      </c>
      <c r="C1124" s="0" t="s">
        <v>3450</v>
      </c>
      <c r="D1124" s="0" t="s">
        <v>3448</v>
      </c>
      <c r="E1124" s="0" t="s">
        <v>4963</v>
      </c>
      <c r="F1124" s="0" t="s">
        <v>59</v>
      </c>
      <c r="G1124" s="0" t="s">
        <v>4974</v>
      </c>
      <c r="H1124" s="0" t="s">
        <v>69</v>
      </c>
      <c r="I1124" s="0" t="s">
        <v>4975</v>
      </c>
      <c r="J1124" s="20" t="s">
        <v>25</v>
      </c>
    </row>
    <row r="1125" customFormat="false" ht="15" hidden="false" customHeight="false" outlineLevel="0" collapsed="false">
      <c r="A1125" s="0" t="s">
        <v>1079</v>
      </c>
      <c r="B1125" s="0" t="s">
        <v>134</v>
      </c>
      <c r="C1125" s="0" t="s">
        <v>3450</v>
      </c>
      <c r="D1125" s="0" t="s">
        <v>3448</v>
      </c>
      <c r="E1125" s="0" t="s">
        <v>4963</v>
      </c>
      <c r="F1125" s="0" t="s">
        <v>30</v>
      </c>
      <c r="G1125" s="0" t="s">
        <v>4980</v>
      </c>
      <c r="H1125" s="0" t="s">
        <v>4501</v>
      </c>
      <c r="I1125" s="0" t="s">
        <v>4981</v>
      </c>
      <c r="J1125" s="18" t="s">
        <v>24</v>
      </c>
    </row>
    <row r="1126" customFormat="false" ht="15" hidden="false" customHeight="false" outlineLevel="0" collapsed="false">
      <c r="A1126" s="0" t="s">
        <v>1084</v>
      </c>
      <c r="B1126" s="0" t="s">
        <v>3459</v>
      </c>
      <c r="C1126" s="0" t="s">
        <v>3450</v>
      </c>
      <c r="D1126" s="0" t="s">
        <v>3457</v>
      </c>
      <c r="E1126" s="0" t="s">
        <v>4963</v>
      </c>
      <c r="F1126" s="0" t="s">
        <v>60</v>
      </c>
      <c r="G1126" s="0" t="s">
        <v>4964</v>
      </c>
      <c r="H1126" s="0" t="s">
        <v>5085</v>
      </c>
      <c r="I1126" s="0" t="s">
        <v>4966</v>
      </c>
      <c r="J1126" s="19" t="s">
        <v>26</v>
      </c>
    </row>
    <row r="1127" customFormat="false" ht="15" hidden="false" customHeight="false" outlineLevel="0" collapsed="false">
      <c r="A1127" s="0" t="s">
        <v>1084</v>
      </c>
      <c r="B1127" s="0" t="s">
        <v>134</v>
      </c>
      <c r="C1127" s="0" t="s">
        <v>3450</v>
      </c>
      <c r="D1127" s="0" t="s">
        <v>3457</v>
      </c>
      <c r="E1127" s="0" t="s">
        <v>4963</v>
      </c>
      <c r="F1127" s="0" t="s">
        <v>59</v>
      </c>
      <c r="G1127" s="0" t="s">
        <v>4974</v>
      </c>
      <c r="H1127" s="0" t="s">
        <v>69</v>
      </c>
      <c r="I1127" s="0" t="s">
        <v>4975</v>
      </c>
      <c r="J1127" s="20" t="s">
        <v>25</v>
      </c>
    </row>
    <row r="1128" customFormat="false" ht="15" hidden="false" customHeight="false" outlineLevel="0" collapsed="false">
      <c r="A1128" s="0" t="s">
        <v>1084</v>
      </c>
      <c r="B1128" s="0" t="s">
        <v>134</v>
      </c>
      <c r="C1128" s="0" t="s">
        <v>3450</v>
      </c>
      <c r="D1128" s="0" t="s">
        <v>3448</v>
      </c>
      <c r="E1128" s="0" t="s">
        <v>4963</v>
      </c>
      <c r="F1128" s="0" t="s">
        <v>59</v>
      </c>
      <c r="G1128" s="0" t="s">
        <v>4974</v>
      </c>
      <c r="H1128" s="0" t="s">
        <v>69</v>
      </c>
      <c r="I1128" s="0" t="s">
        <v>4975</v>
      </c>
      <c r="J1128" s="20" t="s">
        <v>25</v>
      </c>
    </row>
    <row r="1129" customFormat="false" ht="15" hidden="false" customHeight="false" outlineLevel="0" collapsed="false">
      <c r="A1129" s="0" t="s">
        <v>1084</v>
      </c>
      <c r="B1129" s="0" t="s">
        <v>134</v>
      </c>
      <c r="C1129" s="0" t="s">
        <v>3450</v>
      </c>
      <c r="D1129" s="0" t="s">
        <v>3448</v>
      </c>
      <c r="E1129" s="0" t="s">
        <v>4969</v>
      </c>
      <c r="F1129" s="0" t="s">
        <v>61</v>
      </c>
      <c r="G1129" s="0" t="s">
        <v>4970</v>
      </c>
      <c r="H1129" s="0" t="s">
        <v>5370</v>
      </c>
      <c r="I1129" s="0" t="s">
        <v>4972</v>
      </c>
      <c r="J1129" s="20" t="s">
        <v>25</v>
      </c>
    </row>
    <row r="1130" customFormat="false" ht="15" hidden="false" customHeight="false" outlineLevel="0" collapsed="false">
      <c r="A1130" s="0" t="s">
        <v>1084</v>
      </c>
      <c r="B1130" s="0" t="s">
        <v>134</v>
      </c>
      <c r="C1130" s="0" t="s">
        <v>3447</v>
      </c>
      <c r="D1130" s="0" t="s">
        <v>3448</v>
      </c>
      <c r="E1130" s="0" t="s">
        <v>4969</v>
      </c>
      <c r="F1130" s="0" t="s">
        <v>61</v>
      </c>
      <c r="G1130" s="0" t="s">
        <v>4970</v>
      </c>
      <c r="H1130" s="0" t="s">
        <v>5371</v>
      </c>
      <c r="I1130" s="0" t="s">
        <v>4972</v>
      </c>
      <c r="J1130" s="20" t="s">
        <v>25</v>
      </c>
    </row>
    <row r="1131" customFormat="false" ht="15" hidden="false" customHeight="false" outlineLevel="0" collapsed="false">
      <c r="A1131" s="0" t="s">
        <v>1084</v>
      </c>
      <c r="B1131" s="0" t="s">
        <v>3459</v>
      </c>
      <c r="C1131" s="0" t="s">
        <v>3450</v>
      </c>
      <c r="D1131" s="0" t="s">
        <v>3457</v>
      </c>
      <c r="E1131" s="0" t="s">
        <v>4963</v>
      </c>
      <c r="F1131" s="0" t="s">
        <v>59</v>
      </c>
      <c r="G1131" s="0" t="s">
        <v>4974</v>
      </c>
      <c r="H1131" s="0" t="s">
        <v>69</v>
      </c>
      <c r="I1131" s="0" t="s">
        <v>4975</v>
      </c>
      <c r="J1131" s="20" t="s">
        <v>25</v>
      </c>
    </row>
    <row r="1132" customFormat="false" ht="15" hidden="false" customHeight="false" outlineLevel="0" collapsed="false">
      <c r="A1132" s="0" t="s">
        <v>1084</v>
      </c>
      <c r="B1132" s="0" t="s">
        <v>3459</v>
      </c>
      <c r="C1132" s="0" t="s">
        <v>3450</v>
      </c>
      <c r="D1132" s="0" t="s">
        <v>3457</v>
      </c>
      <c r="E1132" s="0" t="s">
        <v>4969</v>
      </c>
      <c r="F1132" s="0" t="s">
        <v>61</v>
      </c>
      <c r="G1132" s="0" t="s">
        <v>4970</v>
      </c>
      <c r="H1132" s="0" t="s">
        <v>5372</v>
      </c>
      <c r="I1132" s="0" t="s">
        <v>4972</v>
      </c>
      <c r="J1132" s="20" t="s">
        <v>25</v>
      </c>
    </row>
    <row r="1133" customFormat="false" ht="15" hidden="false" customHeight="false" outlineLevel="0" collapsed="false">
      <c r="A1133" s="0" t="s">
        <v>1084</v>
      </c>
      <c r="B1133" s="0" t="s">
        <v>3459</v>
      </c>
      <c r="C1133" s="0" t="s">
        <v>3450</v>
      </c>
      <c r="D1133" s="0" t="s">
        <v>3448</v>
      </c>
      <c r="E1133" s="0" t="s">
        <v>4963</v>
      </c>
      <c r="F1133" s="0" t="s">
        <v>59</v>
      </c>
      <c r="G1133" s="0" t="s">
        <v>4974</v>
      </c>
      <c r="H1133" s="0" t="s">
        <v>69</v>
      </c>
      <c r="I1133" s="0" t="s">
        <v>4975</v>
      </c>
      <c r="J1133" s="20" t="s">
        <v>25</v>
      </c>
    </row>
    <row r="1134" customFormat="false" ht="15" hidden="false" customHeight="false" outlineLevel="0" collapsed="false">
      <c r="A1134" s="0" t="s">
        <v>1084</v>
      </c>
      <c r="B1134" s="0" t="s">
        <v>3459</v>
      </c>
      <c r="C1134" s="0" t="s">
        <v>3450</v>
      </c>
      <c r="D1134" s="0" t="s">
        <v>3448</v>
      </c>
      <c r="E1134" s="0" t="s">
        <v>4969</v>
      </c>
      <c r="F1134" s="0" t="s">
        <v>61</v>
      </c>
      <c r="G1134" s="0" t="s">
        <v>4970</v>
      </c>
      <c r="H1134" s="0" t="s">
        <v>5373</v>
      </c>
      <c r="I1134" s="0" t="s">
        <v>4972</v>
      </c>
      <c r="J1134" s="20" t="s">
        <v>25</v>
      </c>
    </row>
    <row r="1135" customFormat="false" ht="15" hidden="false" customHeight="false" outlineLevel="0" collapsed="false">
      <c r="A1135" s="0" t="s">
        <v>1084</v>
      </c>
      <c r="B1135" s="0" t="s">
        <v>3459</v>
      </c>
      <c r="C1135" s="0" t="s">
        <v>3450</v>
      </c>
      <c r="D1135" s="0" t="s">
        <v>3448</v>
      </c>
      <c r="E1135" s="0" t="s">
        <v>4969</v>
      </c>
      <c r="F1135" s="0" t="s">
        <v>64</v>
      </c>
      <c r="G1135" s="0" t="s">
        <v>4220</v>
      </c>
      <c r="H1135" s="0" t="s">
        <v>5158</v>
      </c>
      <c r="I1135" s="0" t="s">
        <v>4991</v>
      </c>
      <c r="J1135" s="20" t="s">
        <v>25</v>
      </c>
    </row>
    <row r="1136" customFormat="false" ht="15" hidden="false" customHeight="false" outlineLevel="0" collapsed="false">
      <c r="A1136" s="0" t="s">
        <v>1084</v>
      </c>
      <c r="B1136" s="0" t="s">
        <v>3459</v>
      </c>
      <c r="C1136" s="0" t="s">
        <v>3447</v>
      </c>
      <c r="D1136" s="0" t="s">
        <v>3457</v>
      </c>
      <c r="E1136" s="0" t="s">
        <v>4969</v>
      </c>
      <c r="F1136" s="0" t="s">
        <v>61</v>
      </c>
      <c r="G1136" s="0" t="s">
        <v>4970</v>
      </c>
      <c r="H1136" s="0" t="s">
        <v>5374</v>
      </c>
      <c r="I1136" s="0" t="s">
        <v>4972</v>
      </c>
      <c r="J1136" s="20" t="s">
        <v>25</v>
      </c>
    </row>
    <row r="1137" customFormat="false" ht="15" hidden="false" customHeight="false" outlineLevel="0" collapsed="false">
      <c r="A1137" s="0" t="s">
        <v>1084</v>
      </c>
      <c r="B1137" s="0" t="s">
        <v>3459</v>
      </c>
      <c r="C1137" s="0" t="s">
        <v>3447</v>
      </c>
      <c r="D1137" s="0" t="s">
        <v>3448</v>
      </c>
      <c r="E1137" s="0" t="s">
        <v>4963</v>
      </c>
      <c r="F1137" s="0" t="s">
        <v>59</v>
      </c>
      <c r="G1137" s="0" t="s">
        <v>4974</v>
      </c>
      <c r="H1137" s="0" t="s">
        <v>69</v>
      </c>
      <c r="I1137" s="0" t="s">
        <v>4975</v>
      </c>
      <c r="J1137" s="20" t="s">
        <v>25</v>
      </c>
    </row>
    <row r="1138" customFormat="false" ht="15" hidden="false" customHeight="false" outlineLevel="0" collapsed="false">
      <c r="A1138" s="0" t="s">
        <v>1084</v>
      </c>
      <c r="B1138" s="0" t="s">
        <v>3459</v>
      </c>
      <c r="C1138" s="0" t="s">
        <v>3447</v>
      </c>
      <c r="D1138" s="0" t="s">
        <v>3448</v>
      </c>
      <c r="E1138" s="0" t="s">
        <v>4969</v>
      </c>
      <c r="F1138" s="0" t="s">
        <v>64</v>
      </c>
      <c r="G1138" s="0" t="s">
        <v>4220</v>
      </c>
      <c r="H1138" s="0" t="s">
        <v>5158</v>
      </c>
      <c r="I1138" s="0" t="s">
        <v>4991</v>
      </c>
      <c r="J1138" s="20" t="s">
        <v>25</v>
      </c>
    </row>
    <row r="1139" customFormat="false" ht="15" hidden="false" customHeight="false" outlineLevel="0" collapsed="false">
      <c r="A1139" s="0" t="s">
        <v>1084</v>
      </c>
      <c r="B1139" s="0" t="s">
        <v>134</v>
      </c>
      <c r="C1139" s="0" t="s">
        <v>3450</v>
      </c>
      <c r="D1139" s="0" t="s">
        <v>3457</v>
      </c>
      <c r="E1139" s="0" t="s">
        <v>4963</v>
      </c>
      <c r="F1139" s="0" t="s">
        <v>30</v>
      </c>
      <c r="G1139" s="0" t="s">
        <v>4980</v>
      </c>
      <c r="H1139" s="0" t="s">
        <v>4275</v>
      </c>
      <c r="I1139" s="0" t="s">
        <v>4981</v>
      </c>
      <c r="J1139" s="18" t="s">
        <v>24</v>
      </c>
    </row>
    <row r="1140" customFormat="false" ht="15" hidden="false" customHeight="false" outlineLevel="0" collapsed="false">
      <c r="A1140" s="0" t="s">
        <v>1084</v>
      </c>
      <c r="B1140" s="0" t="s">
        <v>134</v>
      </c>
      <c r="C1140" s="0" t="s">
        <v>3450</v>
      </c>
      <c r="D1140" s="0" t="s">
        <v>3448</v>
      </c>
      <c r="E1140" s="0" t="s">
        <v>4963</v>
      </c>
      <c r="F1140" s="0" t="s">
        <v>30</v>
      </c>
      <c r="G1140" s="0" t="s">
        <v>4980</v>
      </c>
      <c r="H1140" s="0" t="s">
        <v>4275</v>
      </c>
      <c r="I1140" s="0" t="s">
        <v>4981</v>
      </c>
      <c r="J1140" s="18" t="s">
        <v>24</v>
      </c>
    </row>
    <row r="1141" customFormat="false" ht="15" hidden="false" customHeight="false" outlineLevel="0" collapsed="false">
      <c r="A1141" s="0" t="s">
        <v>1084</v>
      </c>
      <c r="B1141" s="0" t="s">
        <v>134</v>
      </c>
      <c r="C1141" s="0" t="s">
        <v>3447</v>
      </c>
      <c r="D1141" s="0" t="s">
        <v>3448</v>
      </c>
      <c r="E1141" s="0" t="s">
        <v>4963</v>
      </c>
      <c r="F1141" s="0" t="s">
        <v>30</v>
      </c>
      <c r="G1141" s="0" t="s">
        <v>4980</v>
      </c>
      <c r="H1141" s="0" t="s">
        <v>4506</v>
      </c>
      <c r="I1141" s="0" t="s">
        <v>4981</v>
      </c>
      <c r="J1141" s="18" t="s">
        <v>24</v>
      </c>
    </row>
    <row r="1142" customFormat="false" ht="15" hidden="false" customHeight="false" outlineLevel="0" collapsed="false">
      <c r="A1142" s="0" t="s">
        <v>1084</v>
      </c>
      <c r="B1142" s="0" t="s">
        <v>3459</v>
      </c>
      <c r="C1142" s="0" t="s">
        <v>3450</v>
      </c>
      <c r="D1142" s="0" t="s">
        <v>3448</v>
      </c>
      <c r="E1142" s="0" t="s">
        <v>4963</v>
      </c>
      <c r="F1142" s="0" t="s">
        <v>30</v>
      </c>
      <c r="G1142" s="0" t="s">
        <v>4980</v>
      </c>
      <c r="H1142" s="0" t="s">
        <v>4265</v>
      </c>
      <c r="I1142" s="0" t="s">
        <v>4981</v>
      </c>
      <c r="J1142" s="18" t="s">
        <v>24</v>
      </c>
    </row>
    <row r="1143" customFormat="false" ht="15" hidden="false" customHeight="false" outlineLevel="0" collapsed="false">
      <c r="A1143" s="0" t="s">
        <v>1084</v>
      </c>
      <c r="B1143" s="0" t="s">
        <v>3459</v>
      </c>
      <c r="C1143" s="0" t="s">
        <v>3447</v>
      </c>
      <c r="D1143" s="0" t="s">
        <v>3448</v>
      </c>
      <c r="E1143" s="0" t="s">
        <v>4963</v>
      </c>
      <c r="F1143" s="0" t="s">
        <v>30</v>
      </c>
      <c r="G1143" s="0" t="s">
        <v>4980</v>
      </c>
      <c r="H1143" s="0" t="s">
        <v>4507</v>
      </c>
      <c r="I1143" s="0" t="s">
        <v>4981</v>
      </c>
      <c r="J1143" s="18" t="s">
        <v>24</v>
      </c>
    </row>
    <row r="1144" customFormat="false" ht="15" hidden="false" customHeight="false" outlineLevel="0" collapsed="false">
      <c r="A1144" s="0" t="s">
        <v>1096</v>
      </c>
      <c r="B1144" s="0" t="s">
        <v>3459</v>
      </c>
      <c r="C1144" s="0" t="s">
        <v>3450</v>
      </c>
      <c r="D1144" s="0" t="s">
        <v>3448</v>
      </c>
      <c r="E1144" s="0" t="s">
        <v>4969</v>
      </c>
      <c r="F1144" s="0" t="s">
        <v>63</v>
      </c>
      <c r="G1144" s="0" t="s">
        <v>4220</v>
      </c>
      <c r="H1144" s="0" t="s">
        <v>5375</v>
      </c>
      <c r="I1144" s="0" t="s">
        <v>4979</v>
      </c>
      <c r="J1144" s="20" t="s">
        <v>25</v>
      </c>
    </row>
    <row r="1145" customFormat="false" ht="15" hidden="false" customHeight="false" outlineLevel="0" collapsed="false">
      <c r="A1145" s="0" t="s">
        <v>1096</v>
      </c>
      <c r="B1145" s="0" t="s">
        <v>3459</v>
      </c>
      <c r="C1145" s="0" t="s">
        <v>3447</v>
      </c>
      <c r="D1145" s="0" t="s">
        <v>3457</v>
      </c>
      <c r="E1145" s="0" t="s">
        <v>4963</v>
      </c>
      <c r="F1145" s="0" t="s">
        <v>59</v>
      </c>
      <c r="G1145" s="0" t="s">
        <v>4974</v>
      </c>
      <c r="H1145" s="0" t="s">
        <v>69</v>
      </c>
      <c r="I1145" s="0" t="s">
        <v>4975</v>
      </c>
      <c r="J1145" s="20" t="s">
        <v>25</v>
      </c>
    </row>
    <row r="1146" customFormat="false" ht="15" hidden="false" customHeight="false" outlineLevel="0" collapsed="false">
      <c r="A1146" s="0" t="s">
        <v>1096</v>
      </c>
      <c r="B1146" s="0" t="s">
        <v>3459</v>
      </c>
      <c r="C1146" s="0" t="s">
        <v>3447</v>
      </c>
      <c r="D1146" s="0" t="s">
        <v>3448</v>
      </c>
      <c r="E1146" s="0" t="s">
        <v>4963</v>
      </c>
      <c r="F1146" s="0" t="s">
        <v>59</v>
      </c>
      <c r="G1146" s="0" t="s">
        <v>4974</v>
      </c>
      <c r="H1146" s="0" t="s">
        <v>69</v>
      </c>
      <c r="I1146" s="0" t="s">
        <v>4975</v>
      </c>
      <c r="J1146" s="20" t="s">
        <v>25</v>
      </c>
    </row>
    <row r="1147" customFormat="false" ht="15" hidden="false" customHeight="false" outlineLevel="0" collapsed="false">
      <c r="A1147" s="0" t="s">
        <v>1096</v>
      </c>
      <c r="B1147" s="0" t="s">
        <v>3459</v>
      </c>
      <c r="C1147" s="0" t="s">
        <v>3447</v>
      </c>
      <c r="D1147" s="0" t="s">
        <v>3448</v>
      </c>
      <c r="E1147" s="0" t="s">
        <v>4969</v>
      </c>
      <c r="F1147" s="0" t="s">
        <v>63</v>
      </c>
      <c r="G1147" s="0" t="s">
        <v>4220</v>
      </c>
      <c r="H1147" s="0" t="s">
        <v>5375</v>
      </c>
      <c r="I1147" s="0" t="s">
        <v>4979</v>
      </c>
      <c r="J1147" s="20" t="s">
        <v>25</v>
      </c>
    </row>
    <row r="1148" customFormat="false" ht="15" hidden="false" customHeight="false" outlineLevel="0" collapsed="false">
      <c r="A1148" s="0" t="s">
        <v>1096</v>
      </c>
      <c r="B1148" s="0" t="s">
        <v>134</v>
      </c>
      <c r="C1148" s="0" t="s">
        <v>3447</v>
      </c>
      <c r="D1148" s="0" t="s">
        <v>3457</v>
      </c>
      <c r="E1148" s="0" t="s">
        <v>4963</v>
      </c>
      <c r="F1148" s="0" t="s">
        <v>30</v>
      </c>
      <c r="G1148" s="0" t="s">
        <v>4980</v>
      </c>
      <c r="H1148" s="0" t="s">
        <v>4508</v>
      </c>
      <c r="I1148" s="0" t="s">
        <v>4981</v>
      </c>
      <c r="J1148" s="18" t="s">
        <v>24</v>
      </c>
    </row>
    <row r="1149" customFormat="false" ht="15" hidden="false" customHeight="false" outlineLevel="0" collapsed="false">
      <c r="A1149" s="0" t="s">
        <v>1096</v>
      </c>
      <c r="B1149" s="0" t="s">
        <v>134</v>
      </c>
      <c r="C1149" s="0" t="s">
        <v>3447</v>
      </c>
      <c r="D1149" s="0" t="s">
        <v>3448</v>
      </c>
      <c r="E1149" s="0" t="s">
        <v>4963</v>
      </c>
      <c r="F1149" s="0" t="s">
        <v>30</v>
      </c>
      <c r="G1149" s="0" t="s">
        <v>4980</v>
      </c>
      <c r="H1149" s="0" t="s">
        <v>4509</v>
      </c>
      <c r="I1149" s="0" t="s">
        <v>4981</v>
      </c>
      <c r="J1149" s="18" t="s">
        <v>24</v>
      </c>
    </row>
    <row r="1150" customFormat="false" ht="15" hidden="false" customHeight="false" outlineLevel="0" collapsed="false">
      <c r="A1150" s="0" t="s">
        <v>1096</v>
      </c>
      <c r="B1150" s="0" t="s">
        <v>3459</v>
      </c>
      <c r="C1150" s="0" t="s">
        <v>3447</v>
      </c>
      <c r="D1150" s="0" t="s">
        <v>3457</v>
      </c>
      <c r="E1150" s="0" t="s">
        <v>4963</v>
      </c>
      <c r="F1150" s="0" t="s">
        <v>30</v>
      </c>
      <c r="G1150" s="0" t="s">
        <v>4980</v>
      </c>
      <c r="H1150" s="0" t="s">
        <v>4510</v>
      </c>
      <c r="I1150" s="0" t="s">
        <v>4981</v>
      </c>
      <c r="J1150" s="18" t="s">
        <v>24</v>
      </c>
    </row>
    <row r="1151" customFormat="false" ht="15" hidden="false" customHeight="false" outlineLevel="0" collapsed="false">
      <c r="A1151" s="0" t="s">
        <v>1096</v>
      </c>
      <c r="B1151" s="0" t="s">
        <v>3459</v>
      </c>
      <c r="C1151" s="0" t="s">
        <v>3447</v>
      </c>
      <c r="D1151" s="0" t="s">
        <v>3448</v>
      </c>
      <c r="E1151" s="0" t="s">
        <v>4963</v>
      </c>
      <c r="F1151" s="0" t="s">
        <v>30</v>
      </c>
      <c r="G1151" s="0" t="s">
        <v>4980</v>
      </c>
      <c r="H1151" s="0" t="s">
        <v>4275</v>
      </c>
      <c r="I1151" s="0" t="s">
        <v>4981</v>
      </c>
      <c r="J1151" s="18" t="s">
        <v>24</v>
      </c>
    </row>
    <row r="1152" customFormat="false" ht="15" hidden="false" customHeight="false" outlineLevel="0" collapsed="false">
      <c r="A1152" s="0" t="s">
        <v>1103</v>
      </c>
      <c r="B1152" s="0" t="s">
        <v>134</v>
      </c>
      <c r="C1152" s="0" t="s">
        <v>3450</v>
      </c>
      <c r="D1152" s="0" t="s">
        <v>3457</v>
      </c>
      <c r="E1152" s="0" t="s">
        <v>4969</v>
      </c>
      <c r="F1152" s="0" t="s">
        <v>63</v>
      </c>
      <c r="G1152" s="0" t="s">
        <v>4220</v>
      </c>
      <c r="H1152" s="0" t="s">
        <v>5376</v>
      </c>
      <c r="I1152" s="0" t="s">
        <v>4979</v>
      </c>
      <c r="J1152" s="20" t="s">
        <v>25</v>
      </c>
    </row>
    <row r="1153" customFormat="false" ht="15" hidden="false" customHeight="false" outlineLevel="0" collapsed="false">
      <c r="A1153" s="0" t="s">
        <v>1103</v>
      </c>
      <c r="B1153" s="0" t="s">
        <v>134</v>
      </c>
      <c r="C1153" s="0" t="s">
        <v>3450</v>
      </c>
      <c r="D1153" s="0" t="s">
        <v>3448</v>
      </c>
      <c r="E1153" s="0" t="s">
        <v>4969</v>
      </c>
      <c r="F1153" s="0" t="s">
        <v>62</v>
      </c>
      <c r="G1153" s="0" t="s">
        <v>5003</v>
      </c>
      <c r="H1153" s="0" t="s">
        <v>5377</v>
      </c>
      <c r="I1153" s="0" t="s">
        <v>5005</v>
      </c>
      <c r="J1153" s="20" t="s">
        <v>25</v>
      </c>
    </row>
    <row r="1154" customFormat="false" ht="15" hidden="false" customHeight="false" outlineLevel="0" collapsed="false">
      <c r="A1154" s="0" t="s">
        <v>1103</v>
      </c>
      <c r="B1154" s="0" t="s">
        <v>134</v>
      </c>
      <c r="C1154" s="0" t="s">
        <v>3447</v>
      </c>
      <c r="D1154" s="0" t="s">
        <v>3457</v>
      </c>
      <c r="E1154" s="0" t="s">
        <v>4969</v>
      </c>
      <c r="F1154" s="0" t="s">
        <v>63</v>
      </c>
      <c r="G1154" s="0" t="s">
        <v>4220</v>
      </c>
      <c r="H1154" s="0" t="s">
        <v>5376</v>
      </c>
      <c r="I1154" s="0" t="s">
        <v>4979</v>
      </c>
      <c r="J1154" s="20" t="s">
        <v>25</v>
      </c>
    </row>
    <row r="1155" customFormat="false" ht="15" hidden="false" customHeight="false" outlineLevel="0" collapsed="false">
      <c r="A1155" s="0" t="s">
        <v>1103</v>
      </c>
      <c r="B1155" s="0" t="s">
        <v>3459</v>
      </c>
      <c r="C1155" s="0" t="s">
        <v>3450</v>
      </c>
      <c r="D1155" s="0" t="s">
        <v>3457</v>
      </c>
      <c r="E1155" s="0" t="s">
        <v>4969</v>
      </c>
      <c r="F1155" s="0" t="s">
        <v>62</v>
      </c>
      <c r="G1155" s="0" t="s">
        <v>5003</v>
      </c>
      <c r="H1155" s="0" t="s">
        <v>5378</v>
      </c>
      <c r="I1155" s="0" t="s">
        <v>5005</v>
      </c>
      <c r="J1155" s="20" t="s">
        <v>25</v>
      </c>
    </row>
    <row r="1156" customFormat="false" ht="15" hidden="false" customHeight="false" outlineLevel="0" collapsed="false">
      <c r="A1156" s="0" t="s">
        <v>1103</v>
      </c>
      <c r="B1156" s="0" t="s">
        <v>3459</v>
      </c>
      <c r="C1156" s="0" t="s">
        <v>3450</v>
      </c>
      <c r="D1156" s="0" t="s">
        <v>3448</v>
      </c>
      <c r="E1156" s="0" t="s">
        <v>4969</v>
      </c>
      <c r="F1156" s="0" t="s">
        <v>62</v>
      </c>
      <c r="G1156" s="0" t="s">
        <v>5003</v>
      </c>
      <c r="H1156" s="0" t="s">
        <v>5379</v>
      </c>
      <c r="I1156" s="0" t="s">
        <v>5005</v>
      </c>
      <c r="J1156" s="20" t="s">
        <v>25</v>
      </c>
    </row>
    <row r="1157" customFormat="false" ht="15" hidden="false" customHeight="false" outlineLevel="0" collapsed="false">
      <c r="A1157" s="0" t="s">
        <v>1103</v>
      </c>
      <c r="B1157" s="0" t="s">
        <v>3459</v>
      </c>
      <c r="C1157" s="0" t="s">
        <v>3447</v>
      </c>
      <c r="D1157" s="0" t="s">
        <v>3457</v>
      </c>
      <c r="E1157" s="0" t="s">
        <v>4969</v>
      </c>
      <c r="F1157" s="0" t="s">
        <v>61</v>
      </c>
      <c r="G1157" s="0" t="s">
        <v>4970</v>
      </c>
      <c r="H1157" s="0" t="s">
        <v>5380</v>
      </c>
      <c r="I1157" s="0" t="s">
        <v>4972</v>
      </c>
      <c r="J1157" s="20" t="s">
        <v>25</v>
      </c>
    </row>
    <row r="1158" customFormat="false" ht="15" hidden="false" customHeight="false" outlineLevel="0" collapsed="false">
      <c r="A1158" s="0" t="s">
        <v>1103</v>
      </c>
      <c r="B1158" s="0" t="s">
        <v>134</v>
      </c>
      <c r="C1158" s="0" t="s">
        <v>3447</v>
      </c>
      <c r="D1158" s="0" t="s">
        <v>3457</v>
      </c>
      <c r="E1158" s="0" t="s">
        <v>4963</v>
      </c>
      <c r="F1158" s="0" t="s">
        <v>30</v>
      </c>
      <c r="G1158" s="0" t="s">
        <v>4980</v>
      </c>
      <c r="H1158" s="0" t="s">
        <v>4511</v>
      </c>
      <c r="I1158" s="0" t="s">
        <v>4981</v>
      </c>
      <c r="J1158" s="18" t="s">
        <v>24</v>
      </c>
    </row>
    <row r="1159" customFormat="false" ht="15" hidden="false" customHeight="false" outlineLevel="0" collapsed="false">
      <c r="A1159" s="0" t="s">
        <v>1110</v>
      </c>
      <c r="B1159" s="0" t="s">
        <v>134</v>
      </c>
      <c r="C1159" s="0" t="s">
        <v>3450</v>
      </c>
      <c r="D1159" s="0" t="s">
        <v>3448</v>
      </c>
      <c r="E1159" s="0" t="s">
        <v>4963</v>
      </c>
      <c r="F1159" s="0" t="s">
        <v>60</v>
      </c>
      <c r="G1159" s="0" t="s">
        <v>4964</v>
      </c>
      <c r="H1159" s="0" t="s">
        <v>5381</v>
      </c>
      <c r="I1159" s="0" t="s">
        <v>4966</v>
      </c>
      <c r="J1159" s="19" t="s">
        <v>26</v>
      </c>
    </row>
    <row r="1160" customFormat="false" ht="15" hidden="false" customHeight="false" outlineLevel="0" collapsed="false">
      <c r="A1160" s="0" t="s">
        <v>1110</v>
      </c>
      <c r="B1160" s="0" t="s">
        <v>134</v>
      </c>
      <c r="C1160" s="0" t="s">
        <v>3450</v>
      </c>
      <c r="D1160" s="0" t="s">
        <v>3448</v>
      </c>
      <c r="E1160" s="0" t="s">
        <v>4963</v>
      </c>
      <c r="F1160" s="0" t="s">
        <v>59</v>
      </c>
      <c r="G1160" s="0" t="s">
        <v>4974</v>
      </c>
      <c r="H1160" s="0" t="s">
        <v>69</v>
      </c>
      <c r="I1160" s="0" t="s">
        <v>4975</v>
      </c>
      <c r="J1160" s="20" t="s">
        <v>25</v>
      </c>
    </row>
    <row r="1161" customFormat="false" ht="15" hidden="false" customHeight="false" outlineLevel="0" collapsed="false">
      <c r="A1161" s="0" t="s">
        <v>1110</v>
      </c>
      <c r="B1161" s="0" t="s">
        <v>134</v>
      </c>
      <c r="C1161" s="0" t="s">
        <v>3450</v>
      </c>
      <c r="D1161" s="0" t="s">
        <v>3457</v>
      </c>
      <c r="E1161" s="0" t="s">
        <v>4963</v>
      </c>
      <c r="F1161" s="0" t="s">
        <v>30</v>
      </c>
      <c r="G1161" s="0" t="s">
        <v>4980</v>
      </c>
      <c r="H1161" s="0" t="s">
        <v>4512</v>
      </c>
      <c r="I1161" s="0" t="s">
        <v>4981</v>
      </c>
      <c r="J1161" s="18" t="s">
        <v>24</v>
      </c>
    </row>
    <row r="1162" customFormat="false" ht="15" hidden="false" customHeight="false" outlineLevel="0" collapsed="false">
      <c r="A1162" s="0" t="s">
        <v>1110</v>
      </c>
      <c r="B1162" s="0" t="s">
        <v>134</v>
      </c>
      <c r="C1162" s="0" t="s">
        <v>3447</v>
      </c>
      <c r="D1162" s="0" t="s">
        <v>3457</v>
      </c>
      <c r="E1162" s="0" t="s">
        <v>4963</v>
      </c>
      <c r="F1162" s="0" t="s">
        <v>30</v>
      </c>
      <c r="G1162" s="0" t="s">
        <v>4980</v>
      </c>
      <c r="H1162" s="0" t="s">
        <v>4514</v>
      </c>
      <c r="I1162" s="0" t="s">
        <v>4981</v>
      </c>
      <c r="J1162" s="18" t="s">
        <v>24</v>
      </c>
    </row>
    <row r="1163" customFormat="false" ht="15" hidden="false" customHeight="false" outlineLevel="0" collapsed="false">
      <c r="A1163" s="0" t="s">
        <v>1110</v>
      </c>
      <c r="B1163" s="0" t="s">
        <v>134</v>
      </c>
      <c r="C1163" s="0" t="s">
        <v>3447</v>
      </c>
      <c r="D1163" s="0" t="s">
        <v>3448</v>
      </c>
      <c r="E1163" s="0" t="s">
        <v>4963</v>
      </c>
      <c r="F1163" s="0" t="s">
        <v>30</v>
      </c>
      <c r="G1163" s="0" t="s">
        <v>4980</v>
      </c>
      <c r="H1163" s="0" t="s">
        <v>4515</v>
      </c>
      <c r="I1163" s="0" t="s">
        <v>4981</v>
      </c>
      <c r="J1163" s="18" t="s">
        <v>24</v>
      </c>
    </row>
    <row r="1164" customFormat="false" ht="15" hidden="false" customHeight="false" outlineLevel="0" collapsed="false">
      <c r="A1164" s="0" t="s">
        <v>1116</v>
      </c>
      <c r="B1164" s="0" t="s">
        <v>134</v>
      </c>
      <c r="C1164" s="0" t="s">
        <v>3450</v>
      </c>
      <c r="D1164" s="0" t="s">
        <v>3457</v>
      </c>
      <c r="E1164" s="0" t="s">
        <v>4963</v>
      </c>
      <c r="F1164" s="0" t="s">
        <v>59</v>
      </c>
      <c r="G1164" s="0" t="s">
        <v>4974</v>
      </c>
      <c r="H1164" s="0" t="s">
        <v>69</v>
      </c>
      <c r="I1164" s="0" t="s">
        <v>4975</v>
      </c>
      <c r="J1164" s="20" t="s">
        <v>25</v>
      </c>
    </row>
    <row r="1165" customFormat="false" ht="15" hidden="false" customHeight="false" outlineLevel="0" collapsed="false">
      <c r="A1165" s="0" t="s">
        <v>1116</v>
      </c>
      <c r="B1165" s="0" t="s">
        <v>134</v>
      </c>
      <c r="C1165" s="0" t="s">
        <v>3447</v>
      </c>
      <c r="D1165" s="0" t="s">
        <v>3457</v>
      </c>
      <c r="E1165" s="0" t="s">
        <v>4963</v>
      </c>
      <c r="F1165" s="0" t="s">
        <v>59</v>
      </c>
      <c r="G1165" s="0" t="s">
        <v>4974</v>
      </c>
      <c r="H1165" s="0" t="s">
        <v>69</v>
      </c>
      <c r="I1165" s="0" t="s">
        <v>4975</v>
      </c>
      <c r="J1165" s="20" t="s">
        <v>25</v>
      </c>
    </row>
    <row r="1166" customFormat="false" ht="15" hidden="false" customHeight="false" outlineLevel="0" collapsed="false">
      <c r="A1166" s="0" t="s">
        <v>1116</v>
      </c>
      <c r="B1166" s="0" t="s">
        <v>134</v>
      </c>
      <c r="C1166" s="0" t="s">
        <v>3450</v>
      </c>
      <c r="D1166" s="0" t="s">
        <v>3457</v>
      </c>
      <c r="E1166" s="0" t="s">
        <v>4963</v>
      </c>
      <c r="F1166" s="0" t="s">
        <v>30</v>
      </c>
      <c r="G1166" s="0" t="s">
        <v>4980</v>
      </c>
      <c r="H1166" s="0" t="s">
        <v>4238</v>
      </c>
      <c r="I1166" s="0" t="s">
        <v>4981</v>
      </c>
      <c r="J1166" s="18" t="s">
        <v>24</v>
      </c>
    </row>
    <row r="1167" customFormat="false" ht="15" hidden="false" customHeight="false" outlineLevel="0" collapsed="false">
      <c r="A1167" s="0" t="s">
        <v>1116</v>
      </c>
      <c r="B1167" s="0" t="s">
        <v>134</v>
      </c>
      <c r="C1167" s="0" t="s">
        <v>3450</v>
      </c>
      <c r="D1167" s="0" t="s">
        <v>3448</v>
      </c>
      <c r="E1167" s="0" t="s">
        <v>4963</v>
      </c>
      <c r="F1167" s="0" t="s">
        <v>30</v>
      </c>
      <c r="G1167" s="0" t="s">
        <v>4980</v>
      </c>
      <c r="H1167" s="0" t="s">
        <v>4228</v>
      </c>
      <c r="I1167" s="0" t="s">
        <v>4981</v>
      </c>
      <c r="J1167" s="18" t="s">
        <v>24</v>
      </c>
    </row>
    <row r="1168" customFormat="false" ht="15" hidden="false" customHeight="false" outlineLevel="0" collapsed="false">
      <c r="A1168" s="0" t="s">
        <v>1116</v>
      </c>
      <c r="B1168" s="0" t="s">
        <v>134</v>
      </c>
      <c r="C1168" s="0" t="s">
        <v>3447</v>
      </c>
      <c r="D1168" s="0" t="s">
        <v>3457</v>
      </c>
      <c r="E1168" s="0" t="s">
        <v>4963</v>
      </c>
      <c r="F1168" s="0" t="s">
        <v>30</v>
      </c>
      <c r="G1168" s="0" t="s">
        <v>4980</v>
      </c>
      <c r="H1168" s="0" t="s">
        <v>4275</v>
      </c>
      <c r="I1168" s="0" t="s">
        <v>4981</v>
      </c>
      <c r="J1168" s="18" t="s">
        <v>24</v>
      </c>
    </row>
    <row r="1169" customFormat="false" ht="15" hidden="false" customHeight="false" outlineLevel="0" collapsed="false">
      <c r="A1169" s="0" t="s">
        <v>1116</v>
      </c>
      <c r="B1169" s="0" t="s">
        <v>134</v>
      </c>
      <c r="C1169" s="0" t="s">
        <v>3447</v>
      </c>
      <c r="D1169" s="0" t="s">
        <v>3448</v>
      </c>
      <c r="E1169" s="0" t="s">
        <v>4963</v>
      </c>
      <c r="F1169" s="0" t="s">
        <v>30</v>
      </c>
      <c r="G1169" s="0" t="s">
        <v>4980</v>
      </c>
      <c r="H1169" s="0" t="s">
        <v>4470</v>
      </c>
      <c r="I1169" s="0" t="s">
        <v>4981</v>
      </c>
      <c r="J1169" s="18" t="s">
        <v>24</v>
      </c>
    </row>
    <row r="1170" customFormat="false" ht="15" hidden="false" customHeight="false" outlineLevel="0" collapsed="false">
      <c r="A1170" s="0" t="s">
        <v>1122</v>
      </c>
      <c r="B1170" s="0" t="s">
        <v>134</v>
      </c>
      <c r="C1170" s="0" t="s">
        <v>3450</v>
      </c>
      <c r="D1170" s="0" t="s">
        <v>3457</v>
      </c>
      <c r="E1170" s="0" t="s">
        <v>4963</v>
      </c>
      <c r="F1170" s="0" t="s">
        <v>59</v>
      </c>
      <c r="G1170" s="0" t="s">
        <v>4974</v>
      </c>
      <c r="H1170" s="0" t="s">
        <v>69</v>
      </c>
      <c r="I1170" s="0" t="s">
        <v>4975</v>
      </c>
      <c r="J1170" s="20" t="s">
        <v>25</v>
      </c>
    </row>
    <row r="1171" customFormat="false" ht="15" hidden="false" customHeight="false" outlineLevel="0" collapsed="false">
      <c r="A1171" s="0" t="s">
        <v>1122</v>
      </c>
      <c r="B1171" s="0" t="s">
        <v>134</v>
      </c>
      <c r="C1171" s="0" t="s">
        <v>3450</v>
      </c>
      <c r="D1171" s="0" t="s">
        <v>3457</v>
      </c>
      <c r="E1171" s="0" t="s">
        <v>4969</v>
      </c>
      <c r="F1171" s="0" t="s">
        <v>61</v>
      </c>
      <c r="G1171" s="0" t="s">
        <v>4970</v>
      </c>
      <c r="H1171" s="0" t="s">
        <v>5382</v>
      </c>
      <c r="I1171" s="0" t="s">
        <v>4972</v>
      </c>
      <c r="J1171" s="20" t="s">
        <v>25</v>
      </c>
    </row>
    <row r="1172" customFormat="false" ht="15" hidden="false" customHeight="false" outlineLevel="0" collapsed="false">
      <c r="A1172" s="0" t="s">
        <v>1122</v>
      </c>
      <c r="B1172" s="0" t="s">
        <v>134</v>
      </c>
      <c r="C1172" s="0" t="s">
        <v>3450</v>
      </c>
      <c r="D1172" s="0" t="s">
        <v>3457</v>
      </c>
      <c r="E1172" s="0" t="s">
        <v>4969</v>
      </c>
      <c r="F1172" s="0" t="s">
        <v>63</v>
      </c>
      <c r="G1172" s="0" t="s">
        <v>4220</v>
      </c>
      <c r="H1172" s="0" t="s">
        <v>5383</v>
      </c>
      <c r="I1172" s="0" t="s">
        <v>4979</v>
      </c>
      <c r="J1172" s="20" t="s">
        <v>25</v>
      </c>
    </row>
    <row r="1173" customFormat="false" ht="15" hidden="false" customHeight="false" outlineLevel="0" collapsed="false">
      <c r="A1173" s="0" t="s">
        <v>1122</v>
      </c>
      <c r="B1173" s="0" t="s">
        <v>134</v>
      </c>
      <c r="C1173" s="0" t="s">
        <v>3450</v>
      </c>
      <c r="D1173" s="0" t="s">
        <v>3448</v>
      </c>
      <c r="E1173" s="0" t="s">
        <v>4963</v>
      </c>
      <c r="F1173" s="0" t="s">
        <v>59</v>
      </c>
      <c r="G1173" s="0" t="s">
        <v>4974</v>
      </c>
      <c r="H1173" s="0" t="s">
        <v>69</v>
      </c>
      <c r="I1173" s="0" t="s">
        <v>4975</v>
      </c>
      <c r="J1173" s="20" t="s">
        <v>25</v>
      </c>
    </row>
    <row r="1174" customFormat="false" ht="15" hidden="false" customHeight="false" outlineLevel="0" collapsed="false">
      <c r="A1174" s="0" t="s">
        <v>1122</v>
      </c>
      <c r="B1174" s="0" t="s">
        <v>134</v>
      </c>
      <c r="C1174" s="0" t="s">
        <v>3450</v>
      </c>
      <c r="D1174" s="0" t="s">
        <v>3448</v>
      </c>
      <c r="E1174" s="0" t="s">
        <v>4969</v>
      </c>
      <c r="F1174" s="0" t="s">
        <v>61</v>
      </c>
      <c r="G1174" s="0" t="s">
        <v>4970</v>
      </c>
      <c r="H1174" s="0" t="s">
        <v>5384</v>
      </c>
      <c r="I1174" s="0" t="s">
        <v>4972</v>
      </c>
      <c r="J1174" s="20" t="s">
        <v>25</v>
      </c>
    </row>
    <row r="1175" customFormat="false" ht="15" hidden="false" customHeight="false" outlineLevel="0" collapsed="false">
      <c r="A1175" s="0" t="s">
        <v>1122</v>
      </c>
      <c r="B1175" s="0" t="s">
        <v>134</v>
      </c>
      <c r="C1175" s="0" t="s">
        <v>3447</v>
      </c>
      <c r="D1175" s="0" t="s">
        <v>3457</v>
      </c>
      <c r="E1175" s="0" t="s">
        <v>4969</v>
      </c>
      <c r="F1175" s="0" t="s">
        <v>61</v>
      </c>
      <c r="G1175" s="0" t="s">
        <v>4970</v>
      </c>
      <c r="H1175" s="0" t="s">
        <v>5385</v>
      </c>
      <c r="I1175" s="0" t="s">
        <v>4972</v>
      </c>
      <c r="J1175" s="20" t="s">
        <v>25</v>
      </c>
    </row>
    <row r="1176" customFormat="false" ht="15" hidden="false" customHeight="false" outlineLevel="0" collapsed="false">
      <c r="A1176" s="0" t="s">
        <v>1122</v>
      </c>
      <c r="B1176" s="0" t="s">
        <v>134</v>
      </c>
      <c r="C1176" s="0" t="s">
        <v>3447</v>
      </c>
      <c r="D1176" s="0" t="s">
        <v>3457</v>
      </c>
      <c r="E1176" s="0" t="s">
        <v>4969</v>
      </c>
      <c r="F1176" s="0" t="s">
        <v>63</v>
      </c>
      <c r="G1176" s="0" t="s">
        <v>4220</v>
      </c>
      <c r="H1176" s="0" t="s">
        <v>5383</v>
      </c>
      <c r="I1176" s="0" t="s">
        <v>4979</v>
      </c>
      <c r="J1176" s="20" t="s">
        <v>25</v>
      </c>
    </row>
    <row r="1177" customFormat="false" ht="15" hidden="false" customHeight="false" outlineLevel="0" collapsed="false">
      <c r="A1177" s="0" t="s">
        <v>1122</v>
      </c>
      <c r="B1177" s="0" t="s">
        <v>134</v>
      </c>
      <c r="C1177" s="0" t="s">
        <v>3447</v>
      </c>
      <c r="D1177" s="0" t="s">
        <v>3448</v>
      </c>
      <c r="E1177" s="0" t="s">
        <v>4969</v>
      </c>
      <c r="F1177" s="0" t="s">
        <v>61</v>
      </c>
      <c r="G1177" s="0" t="s">
        <v>4970</v>
      </c>
      <c r="H1177" s="0" t="s">
        <v>5386</v>
      </c>
      <c r="I1177" s="0" t="s">
        <v>4972</v>
      </c>
      <c r="J1177" s="20" t="s">
        <v>25</v>
      </c>
    </row>
    <row r="1178" customFormat="false" ht="15" hidden="false" customHeight="false" outlineLevel="0" collapsed="false">
      <c r="A1178" s="0" t="s">
        <v>1122</v>
      </c>
      <c r="B1178" s="0" t="s">
        <v>134</v>
      </c>
      <c r="C1178" s="0" t="s">
        <v>3450</v>
      </c>
      <c r="D1178" s="0" t="s">
        <v>3457</v>
      </c>
      <c r="E1178" s="0" t="s">
        <v>4963</v>
      </c>
      <c r="F1178" s="0" t="s">
        <v>30</v>
      </c>
      <c r="G1178" s="0" t="s">
        <v>4980</v>
      </c>
      <c r="H1178" s="0" t="s">
        <v>4265</v>
      </c>
      <c r="I1178" s="0" t="s">
        <v>4981</v>
      </c>
      <c r="J1178" s="18" t="s">
        <v>24</v>
      </c>
    </row>
    <row r="1179" customFormat="false" ht="15" hidden="false" customHeight="false" outlineLevel="0" collapsed="false">
      <c r="A1179" s="0" t="s">
        <v>1122</v>
      </c>
      <c r="B1179" s="0" t="s">
        <v>134</v>
      </c>
      <c r="C1179" s="0" t="s">
        <v>3450</v>
      </c>
      <c r="D1179" s="0" t="s">
        <v>3448</v>
      </c>
      <c r="E1179" s="0" t="s">
        <v>4963</v>
      </c>
      <c r="F1179" s="0" t="s">
        <v>30</v>
      </c>
      <c r="G1179" s="0" t="s">
        <v>4980</v>
      </c>
      <c r="H1179" s="0" t="s">
        <v>4265</v>
      </c>
      <c r="I1179" s="0" t="s">
        <v>4981</v>
      </c>
      <c r="J1179" s="18" t="s">
        <v>24</v>
      </c>
    </row>
    <row r="1180" customFormat="false" ht="15" hidden="false" customHeight="false" outlineLevel="0" collapsed="false">
      <c r="A1180" s="0" t="s">
        <v>1122</v>
      </c>
      <c r="B1180" s="0" t="s">
        <v>134</v>
      </c>
      <c r="C1180" s="0" t="s">
        <v>3447</v>
      </c>
      <c r="D1180" s="0" t="s">
        <v>3457</v>
      </c>
      <c r="E1180" s="0" t="s">
        <v>4963</v>
      </c>
      <c r="F1180" s="0" t="s">
        <v>30</v>
      </c>
      <c r="G1180" s="0" t="s">
        <v>4980</v>
      </c>
      <c r="H1180" s="0" t="s">
        <v>4516</v>
      </c>
      <c r="I1180" s="0" t="s">
        <v>4981</v>
      </c>
      <c r="J1180" s="18" t="s">
        <v>24</v>
      </c>
    </row>
    <row r="1181" customFormat="false" ht="15" hidden="false" customHeight="false" outlineLevel="0" collapsed="false">
      <c r="A1181" s="0" t="s">
        <v>1122</v>
      </c>
      <c r="B1181" s="0" t="s">
        <v>134</v>
      </c>
      <c r="C1181" s="0" t="s">
        <v>3447</v>
      </c>
      <c r="D1181" s="0" t="s">
        <v>3448</v>
      </c>
      <c r="E1181" s="0" t="s">
        <v>4963</v>
      </c>
      <c r="F1181" s="0" t="s">
        <v>30</v>
      </c>
      <c r="G1181" s="0" t="s">
        <v>4980</v>
      </c>
      <c r="H1181" s="0" t="s">
        <v>4272</v>
      </c>
      <c r="I1181" s="0" t="s">
        <v>4981</v>
      </c>
      <c r="J1181" s="18" t="s">
        <v>24</v>
      </c>
    </row>
    <row r="1182" customFormat="false" ht="15" hidden="false" customHeight="false" outlineLevel="0" collapsed="false">
      <c r="A1182" s="0" t="s">
        <v>1132</v>
      </c>
      <c r="B1182" s="0" t="s">
        <v>134</v>
      </c>
      <c r="C1182" s="0" t="s">
        <v>3450</v>
      </c>
      <c r="D1182" s="0" t="s">
        <v>3457</v>
      </c>
      <c r="E1182" s="0" t="s">
        <v>4963</v>
      </c>
      <c r="F1182" s="0" t="s">
        <v>60</v>
      </c>
      <c r="G1182" s="0" t="s">
        <v>4964</v>
      </c>
      <c r="H1182" s="0" t="s">
        <v>5086</v>
      </c>
      <c r="I1182" s="0" t="s">
        <v>4966</v>
      </c>
      <c r="J1182" s="19" t="s">
        <v>26</v>
      </c>
    </row>
    <row r="1183" customFormat="false" ht="15" hidden="false" customHeight="false" outlineLevel="0" collapsed="false">
      <c r="A1183" s="0" t="s">
        <v>1132</v>
      </c>
      <c r="B1183" s="0" t="s">
        <v>134</v>
      </c>
      <c r="C1183" s="0" t="s">
        <v>3450</v>
      </c>
      <c r="D1183" s="0" t="s">
        <v>3448</v>
      </c>
      <c r="E1183" s="0" t="s">
        <v>4963</v>
      </c>
      <c r="F1183" s="0" t="s">
        <v>60</v>
      </c>
      <c r="G1183" s="0" t="s">
        <v>4964</v>
      </c>
      <c r="H1183" s="0" t="s">
        <v>5387</v>
      </c>
      <c r="I1183" s="0" t="s">
        <v>4966</v>
      </c>
      <c r="J1183" s="19" t="s">
        <v>26</v>
      </c>
    </row>
    <row r="1184" customFormat="false" ht="15" hidden="false" customHeight="false" outlineLevel="0" collapsed="false">
      <c r="A1184" s="0" t="s">
        <v>1132</v>
      </c>
      <c r="B1184" s="0" t="s">
        <v>134</v>
      </c>
      <c r="C1184" s="0" t="s">
        <v>3450</v>
      </c>
      <c r="D1184" s="0" t="s">
        <v>3457</v>
      </c>
      <c r="E1184" s="0" t="s">
        <v>4963</v>
      </c>
      <c r="F1184" s="0" t="s">
        <v>59</v>
      </c>
      <c r="G1184" s="0" t="s">
        <v>4974</v>
      </c>
      <c r="H1184" s="0" t="s">
        <v>69</v>
      </c>
      <c r="I1184" s="0" t="s">
        <v>4975</v>
      </c>
      <c r="J1184" s="20" t="s">
        <v>25</v>
      </c>
    </row>
    <row r="1185" customFormat="false" ht="15" hidden="false" customHeight="false" outlineLevel="0" collapsed="false">
      <c r="A1185" s="0" t="s">
        <v>1132</v>
      </c>
      <c r="B1185" s="0" t="s">
        <v>134</v>
      </c>
      <c r="C1185" s="0" t="s">
        <v>3447</v>
      </c>
      <c r="D1185" s="0" t="s">
        <v>3448</v>
      </c>
      <c r="E1185" s="0" t="s">
        <v>4963</v>
      </c>
      <c r="F1185" s="0" t="s">
        <v>30</v>
      </c>
      <c r="G1185" s="0" t="s">
        <v>4980</v>
      </c>
      <c r="H1185" s="0" t="s">
        <v>4518</v>
      </c>
      <c r="I1185" s="0" t="s">
        <v>4981</v>
      </c>
      <c r="J1185" s="18" t="s">
        <v>24</v>
      </c>
    </row>
    <row r="1186" customFormat="false" ht="15" hidden="false" customHeight="false" outlineLevel="0" collapsed="false">
      <c r="A1186" s="0" t="s">
        <v>1137</v>
      </c>
      <c r="B1186" s="0" t="s">
        <v>134</v>
      </c>
      <c r="C1186" s="0" t="s">
        <v>3450</v>
      </c>
      <c r="D1186" s="0" t="s">
        <v>3457</v>
      </c>
      <c r="E1186" s="0" t="s">
        <v>4963</v>
      </c>
      <c r="F1186" s="0" t="s">
        <v>59</v>
      </c>
      <c r="G1186" s="0" t="s">
        <v>4974</v>
      </c>
      <c r="H1186" s="0" t="s">
        <v>69</v>
      </c>
      <c r="I1186" s="0" t="s">
        <v>4975</v>
      </c>
      <c r="J1186" s="20" t="s">
        <v>25</v>
      </c>
    </row>
    <row r="1187" customFormat="false" ht="15" hidden="false" customHeight="false" outlineLevel="0" collapsed="false">
      <c r="A1187" s="0" t="s">
        <v>1137</v>
      </c>
      <c r="B1187" s="0" t="s">
        <v>134</v>
      </c>
      <c r="C1187" s="0" t="s">
        <v>3450</v>
      </c>
      <c r="D1187" s="0" t="s">
        <v>3457</v>
      </c>
      <c r="E1187" s="0" t="s">
        <v>4969</v>
      </c>
      <c r="F1187" s="0" t="s">
        <v>66</v>
      </c>
      <c r="G1187" s="0" t="s">
        <v>4970</v>
      </c>
      <c r="H1187" s="0" t="s">
        <v>5388</v>
      </c>
      <c r="I1187" s="0" t="s">
        <v>5030</v>
      </c>
      <c r="J1187" s="20" t="s">
        <v>25</v>
      </c>
    </row>
    <row r="1188" customFormat="false" ht="15" hidden="false" customHeight="false" outlineLevel="0" collapsed="false">
      <c r="A1188" s="0" t="s">
        <v>1137</v>
      </c>
      <c r="B1188" s="0" t="s">
        <v>134</v>
      </c>
      <c r="C1188" s="0" t="s">
        <v>3447</v>
      </c>
      <c r="D1188" s="0" t="s">
        <v>3457</v>
      </c>
      <c r="E1188" s="0" t="s">
        <v>4969</v>
      </c>
      <c r="F1188" s="0" t="s">
        <v>66</v>
      </c>
      <c r="G1188" s="0" t="s">
        <v>4970</v>
      </c>
      <c r="H1188" s="0" t="s">
        <v>5389</v>
      </c>
      <c r="I1188" s="0" t="s">
        <v>5030</v>
      </c>
      <c r="J1188" s="20" t="s">
        <v>25</v>
      </c>
    </row>
    <row r="1189" customFormat="false" ht="15" hidden="false" customHeight="false" outlineLevel="0" collapsed="false">
      <c r="A1189" s="0" t="s">
        <v>1137</v>
      </c>
      <c r="B1189" s="0" t="s">
        <v>134</v>
      </c>
      <c r="C1189" s="0" t="s">
        <v>3450</v>
      </c>
      <c r="D1189" s="0" t="s">
        <v>3457</v>
      </c>
      <c r="E1189" s="0" t="s">
        <v>4963</v>
      </c>
      <c r="F1189" s="0" t="s">
        <v>30</v>
      </c>
      <c r="G1189" s="0" t="s">
        <v>4980</v>
      </c>
      <c r="H1189" s="0" t="s">
        <v>4275</v>
      </c>
      <c r="I1189" s="0" t="s">
        <v>4981</v>
      </c>
      <c r="J1189" s="18" t="s">
        <v>24</v>
      </c>
    </row>
    <row r="1190" customFormat="false" ht="15" hidden="false" customHeight="false" outlineLevel="0" collapsed="false">
      <c r="A1190" s="0" t="s">
        <v>1137</v>
      </c>
      <c r="B1190" s="0" t="s">
        <v>134</v>
      </c>
      <c r="C1190" s="0" t="s">
        <v>3447</v>
      </c>
      <c r="D1190" s="0" t="s">
        <v>3457</v>
      </c>
      <c r="E1190" s="0" t="s">
        <v>4963</v>
      </c>
      <c r="F1190" s="0" t="s">
        <v>30</v>
      </c>
      <c r="G1190" s="0" t="s">
        <v>4980</v>
      </c>
      <c r="H1190" s="0" t="s">
        <v>4323</v>
      </c>
      <c r="I1190" s="0" t="s">
        <v>4981</v>
      </c>
      <c r="J1190" s="18" t="s">
        <v>24</v>
      </c>
    </row>
    <row r="1191" customFormat="false" ht="15" hidden="false" customHeight="false" outlineLevel="0" collapsed="false">
      <c r="A1191" s="0" t="s">
        <v>1149</v>
      </c>
      <c r="B1191" s="0" t="s">
        <v>134</v>
      </c>
      <c r="C1191" s="0" t="s">
        <v>3450</v>
      </c>
      <c r="D1191" s="0" t="s">
        <v>3457</v>
      </c>
      <c r="E1191" s="0" t="s">
        <v>4963</v>
      </c>
      <c r="F1191" s="0" t="s">
        <v>59</v>
      </c>
      <c r="G1191" s="0" t="s">
        <v>4974</v>
      </c>
      <c r="H1191" s="0" t="s">
        <v>69</v>
      </c>
      <c r="I1191" s="0" t="s">
        <v>4975</v>
      </c>
      <c r="J1191" s="20" t="s">
        <v>25</v>
      </c>
    </row>
    <row r="1192" customFormat="false" ht="15" hidden="false" customHeight="false" outlineLevel="0" collapsed="false">
      <c r="A1192" s="0" t="s">
        <v>1149</v>
      </c>
      <c r="B1192" s="0" t="s">
        <v>134</v>
      </c>
      <c r="C1192" s="0" t="s">
        <v>3450</v>
      </c>
      <c r="D1192" s="0" t="s">
        <v>3457</v>
      </c>
      <c r="E1192" s="0" t="s">
        <v>4969</v>
      </c>
      <c r="F1192" s="0" t="s">
        <v>64</v>
      </c>
      <c r="G1192" s="0" t="s">
        <v>4220</v>
      </c>
      <c r="H1192" s="0" t="s">
        <v>5390</v>
      </c>
      <c r="I1192" s="0" t="s">
        <v>4991</v>
      </c>
      <c r="J1192" s="20" t="s">
        <v>25</v>
      </c>
    </row>
    <row r="1193" customFormat="false" ht="15" hidden="false" customHeight="false" outlineLevel="0" collapsed="false">
      <c r="A1193" s="0" t="s">
        <v>1149</v>
      </c>
      <c r="B1193" s="0" t="s">
        <v>134</v>
      </c>
      <c r="C1193" s="0" t="s">
        <v>3450</v>
      </c>
      <c r="D1193" s="0" t="s">
        <v>3448</v>
      </c>
      <c r="E1193" s="0" t="s">
        <v>4963</v>
      </c>
      <c r="F1193" s="0" t="s">
        <v>59</v>
      </c>
      <c r="G1193" s="0" t="s">
        <v>4974</v>
      </c>
      <c r="H1193" s="0" t="s">
        <v>69</v>
      </c>
      <c r="I1193" s="0" t="s">
        <v>4975</v>
      </c>
      <c r="J1193" s="20" t="s">
        <v>25</v>
      </c>
    </row>
    <row r="1194" customFormat="false" ht="15" hidden="false" customHeight="false" outlineLevel="0" collapsed="false">
      <c r="A1194" s="0" t="s">
        <v>1149</v>
      </c>
      <c r="B1194" s="0" t="s">
        <v>134</v>
      </c>
      <c r="C1194" s="0" t="s">
        <v>3447</v>
      </c>
      <c r="D1194" s="0" t="s">
        <v>3457</v>
      </c>
      <c r="E1194" s="0" t="s">
        <v>4969</v>
      </c>
      <c r="F1194" s="0" t="s">
        <v>64</v>
      </c>
      <c r="G1194" s="0" t="s">
        <v>4220</v>
      </c>
      <c r="H1194" s="0" t="s">
        <v>5390</v>
      </c>
      <c r="I1194" s="0" t="s">
        <v>4991</v>
      </c>
      <c r="J1194" s="20" t="s">
        <v>25</v>
      </c>
    </row>
    <row r="1195" customFormat="false" ht="15" hidden="false" customHeight="false" outlineLevel="0" collapsed="false">
      <c r="A1195" s="0" t="s">
        <v>1149</v>
      </c>
      <c r="B1195" s="0" t="s">
        <v>134</v>
      </c>
      <c r="C1195" s="0" t="s">
        <v>3450</v>
      </c>
      <c r="D1195" s="0" t="s">
        <v>3457</v>
      </c>
      <c r="E1195" s="0" t="s">
        <v>4963</v>
      </c>
      <c r="F1195" s="0" t="s">
        <v>30</v>
      </c>
      <c r="G1195" s="0" t="s">
        <v>4980</v>
      </c>
      <c r="H1195" s="0" t="s">
        <v>4275</v>
      </c>
      <c r="I1195" s="0" t="s">
        <v>4981</v>
      </c>
      <c r="J1195" s="18" t="s">
        <v>24</v>
      </c>
    </row>
    <row r="1196" customFormat="false" ht="15" hidden="false" customHeight="false" outlineLevel="0" collapsed="false">
      <c r="A1196" s="0" t="s">
        <v>1149</v>
      </c>
      <c r="B1196" s="0" t="s">
        <v>134</v>
      </c>
      <c r="C1196" s="0" t="s">
        <v>3450</v>
      </c>
      <c r="D1196" s="0" t="s">
        <v>3448</v>
      </c>
      <c r="E1196" s="0" t="s">
        <v>4963</v>
      </c>
      <c r="F1196" s="0" t="s">
        <v>30</v>
      </c>
      <c r="G1196" s="0" t="s">
        <v>4980</v>
      </c>
      <c r="H1196" s="0" t="s">
        <v>4519</v>
      </c>
      <c r="I1196" s="0" t="s">
        <v>4981</v>
      </c>
      <c r="J1196" s="18" t="s">
        <v>24</v>
      </c>
    </row>
    <row r="1197" customFormat="false" ht="15" hidden="false" customHeight="false" outlineLevel="0" collapsed="false">
      <c r="A1197" s="0" t="s">
        <v>1149</v>
      </c>
      <c r="B1197" s="0" t="s">
        <v>134</v>
      </c>
      <c r="C1197" s="0" t="s">
        <v>3447</v>
      </c>
      <c r="D1197" s="0" t="s">
        <v>3457</v>
      </c>
      <c r="E1197" s="0" t="s">
        <v>4963</v>
      </c>
      <c r="F1197" s="0" t="s">
        <v>30</v>
      </c>
      <c r="G1197" s="0" t="s">
        <v>4980</v>
      </c>
      <c r="H1197" s="0" t="s">
        <v>4250</v>
      </c>
      <c r="I1197" s="0" t="s">
        <v>4981</v>
      </c>
      <c r="J1197" s="18" t="s">
        <v>24</v>
      </c>
    </row>
    <row r="1198" customFormat="false" ht="15" hidden="false" customHeight="false" outlineLevel="0" collapsed="false">
      <c r="A1198" s="0" t="s">
        <v>1149</v>
      </c>
      <c r="B1198" s="0" t="s">
        <v>134</v>
      </c>
      <c r="C1198" s="0" t="s">
        <v>3447</v>
      </c>
      <c r="D1198" s="0" t="s">
        <v>3448</v>
      </c>
      <c r="E1198" s="0" t="s">
        <v>4963</v>
      </c>
      <c r="F1198" s="0" t="s">
        <v>30</v>
      </c>
      <c r="G1198" s="0" t="s">
        <v>4980</v>
      </c>
      <c r="H1198" s="0" t="s">
        <v>4520</v>
      </c>
      <c r="I1198" s="0" t="s">
        <v>4981</v>
      </c>
      <c r="J1198" s="18" t="s">
        <v>24</v>
      </c>
    </row>
    <row r="1199" customFormat="false" ht="15" hidden="false" customHeight="false" outlineLevel="0" collapsed="false">
      <c r="A1199" s="0" t="s">
        <v>1156</v>
      </c>
      <c r="B1199" s="0" t="s">
        <v>134</v>
      </c>
      <c r="C1199" s="0" t="s">
        <v>3450</v>
      </c>
      <c r="D1199" s="0" t="s">
        <v>3457</v>
      </c>
      <c r="E1199" s="0" t="s">
        <v>4963</v>
      </c>
      <c r="F1199" s="0" t="s">
        <v>59</v>
      </c>
      <c r="G1199" s="0" t="s">
        <v>4974</v>
      </c>
      <c r="H1199" s="0" t="s">
        <v>69</v>
      </c>
      <c r="I1199" s="0" t="s">
        <v>4975</v>
      </c>
      <c r="J1199" s="20" t="s">
        <v>25</v>
      </c>
    </row>
    <row r="1200" customFormat="false" ht="15" hidden="false" customHeight="false" outlineLevel="0" collapsed="false">
      <c r="A1200" s="0" t="s">
        <v>1156</v>
      </c>
      <c r="B1200" s="0" t="s">
        <v>134</v>
      </c>
      <c r="C1200" s="0" t="s">
        <v>3450</v>
      </c>
      <c r="D1200" s="0" t="s">
        <v>3457</v>
      </c>
      <c r="E1200" s="0" t="s">
        <v>4969</v>
      </c>
      <c r="F1200" s="0" t="s">
        <v>61</v>
      </c>
      <c r="G1200" s="0" t="s">
        <v>4970</v>
      </c>
      <c r="H1200" s="0" t="s">
        <v>5391</v>
      </c>
      <c r="I1200" s="0" t="s">
        <v>4972</v>
      </c>
      <c r="J1200" s="20" t="s">
        <v>25</v>
      </c>
    </row>
    <row r="1201" customFormat="false" ht="15" hidden="false" customHeight="false" outlineLevel="0" collapsed="false">
      <c r="A1201" s="0" t="s">
        <v>1156</v>
      </c>
      <c r="B1201" s="0" t="s">
        <v>134</v>
      </c>
      <c r="C1201" s="0" t="s">
        <v>3450</v>
      </c>
      <c r="D1201" s="0" t="s">
        <v>3457</v>
      </c>
      <c r="E1201" s="0" t="s">
        <v>4969</v>
      </c>
      <c r="F1201" s="0" t="s">
        <v>64</v>
      </c>
      <c r="G1201" s="0" t="s">
        <v>4220</v>
      </c>
      <c r="H1201" s="0" t="s">
        <v>5392</v>
      </c>
      <c r="I1201" s="0" t="s">
        <v>4991</v>
      </c>
      <c r="J1201" s="20" t="s">
        <v>25</v>
      </c>
    </row>
    <row r="1202" customFormat="false" ht="15" hidden="false" customHeight="false" outlineLevel="0" collapsed="false">
      <c r="A1202" s="0" t="s">
        <v>1156</v>
      </c>
      <c r="B1202" s="0" t="s">
        <v>134</v>
      </c>
      <c r="C1202" s="0" t="s">
        <v>3450</v>
      </c>
      <c r="D1202" s="0" t="s">
        <v>3448</v>
      </c>
      <c r="E1202" s="0" t="s">
        <v>4969</v>
      </c>
      <c r="F1202" s="0" t="s">
        <v>61</v>
      </c>
      <c r="G1202" s="0" t="s">
        <v>4970</v>
      </c>
      <c r="H1202" s="0" t="s">
        <v>5393</v>
      </c>
      <c r="I1202" s="0" t="s">
        <v>4972</v>
      </c>
      <c r="J1202" s="20" t="s">
        <v>25</v>
      </c>
    </row>
    <row r="1203" customFormat="false" ht="15" hidden="false" customHeight="false" outlineLevel="0" collapsed="false">
      <c r="A1203" s="0" t="s">
        <v>1156</v>
      </c>
      <c r="B1203" s="0" t="s">
        <v>134</v>
      </c>
      <c r="C1203" s="0" t="s">
        <v>3450</v>
      </c>
      <c r="D1203" s="0" t="s">
        <v>3448</v>
      </c>
      <c r="E1203" s="0" t="s">
        <v>4969</v>
      </c>
      <c r="F1203" s="0" t="s">
        <v>63</v>
      </c>
      <c r="G1203" s="0" t="s">
        <v>4220</v>
      </c>
      <c r="H1203" s="0" t="s">
        <v>5394</v>
      </c>
      <c r="I1203" s="0" t="s">
        <v>4979</v>
      </c>
      <c r="J1203" s="20" t="s">
        <v>25</v>
      </c>
    </row>
    <row r="1204" customFormat="false" ht="15" hidden="false" customHeight="false" outlineLevel="0" collapsed="false">
      <c r="A1204" s="0" t="s">
        <v>1156</v>
      </c>
      <c r="B1204" s="0" t="s">
        <v>134</v>
      </c>
      <c r="C1204" s="0" t="s">
        <v>3447</v>
      </c>
      <c r="D1204" s="0" t="s">
        <v>3457</v>
      </c>
      <c r="E1204" s="0" t="s">
        <v>4969</v>
      </c>
      <c r="F1204" s="0" t="s">
        <v>64</v>
      </c>
      <c r="G1204" s="0" t="s">
        <v>4220</v>
      </c>
      <c r="H1204" s="0" t="s">
        <v>5392</v>
      </c>
      <c r="I1204" s="0" t="s">
        <v>4991</v>
      </c>
      <c r="J1204" s="20" t="s">
        <v>25</v>
      </c>
    </row>
    <row r="1205" customFormat="false" ht="15" hidden="false" customHeight="false" outlineLevel="0" collapsed="false">
      <c r="A1205" s="0" t="s">
        <v>1156</v>
      </c>
      <c r="B1205" s="0" t="s">
        <v>134</v>
      </c>
      <c r="C1205" s="0" t="s">
        <v>3447</v>
      </c>
      <c r="D1205" s="0" t="s">
        <v>3448</v>
      </c>
      <c r="E1205" s="0" t="s">
        <v>4969</v>
      </c>
      <c r="F1205" s="0" t="s">
        <v>63</v>
      </c>
      <c r="G1205" s="0" t="s">
        <v>4220</v>
      </c>
      <c r="H1205" s="0" t="s">
        <v>5394</v>
      </c>
      <c r="I1205" s="0" t="s">
        <v>4979</v>
      </c>
      <c r="J1205" s="20" t="s">
        <v>25</v>
      </c>
    </row>
    <row r="1206" customFormat="false" ht="15" hidden="false" customHeight="false" outlineLevel="0" collapsed="false">
      <c r="A1206" s="0" t="s">
        <v>1156</v>
      </c>
      <c r="B1206" s="0" t="s">
        <v>3459</v>
      </c>
      <c r="C1206" s="0" t="s">
        <v>3450</v>
      </c>
      <c r="D1206" s="0" t="s">
        <v>3457</v>
      </c>
      <c r="E1206" s="0" t="s">
        <v>4969</v>
      </c>
      <c r="F1206" s="0" t="s">
        <v>61</v>
      </c>
      <c r="G1206" s="0" t="s">
        <v>4970</v>
      </c>
      <c r="H1206" s="0" t="s">
        <v>5395</v>
      </c>
      <c r="I1206" s="0" t="s">
        <v>4972</v>
      </c>
      <c r="J1206" s="20" t="s">
        <v>25</v>
      </c>
    </row>
    <row r="1207" customFormat="false" ht="15" hidden="false" customHeight="false" outlineLevel="0" collapsed="false">
      <c r="A1207" s="0" t="s">
        <v>1156</v>
      </c>
      <c r="B1207" s="0" t="s">
        <v>3459</v>
      </c>
      <c r="C1207" s="0" t="s">
        <v>3450</v>
      </c>
      <c r="D1207" s="0" t="s">
        <v>3448</v>
      </c>
      <c r="E1207" s="0" t="s">
        <v>4969</v>
      </c>
      <c r="F1207" s="0" t="s">
        <v>61</v>
      </c>
      <c r="G1207" s="0" t="s">
        <v>4970</v>
      </c>
      <c r="H1207" s="0" t="s">
        <v>5396</v>
      </c>
      <c r="I1207" s="0" t="s">
        <v>4972</v>
      </c>
      <c r="J1207" s="20" t="s">
        <v>25</v>
      </c>
    </row>
    <row r="1208" customFormat="false" ht="15" hidden="false" customHeight="false" outlineLevel="0" collapsed="false">
      <c r="A1208" s="0" t="s">
        <v>1156</v>
      </c>
      <c r="B1208" s="0" t="s">
        <v>3459</v>
      </c>
      <c r="C1208" s="0" t="s">
        <v>3447</v>
      </c>
      <c r="D1208" s="0" t="s">
        <v>3457</v>
      </c>
      <c r="E1208" s="0" t="s">
        <v>4969</v>
      </c>
      <c r="F1208" s="0" t="s">
        <v>61</v>
      </c>
      <c r="G1208" s="0" t="s">
        <v>4970</v>
      </c>
      <c r="H1208" s="0" t="s">
        <v>5397</v>
      </c>
      <c r="I1208" s="0" t="s">
        <v>4972</v>
      </c>
      <c r="J1208" s="20" t="s">
        <v>25</v>
      </c>
    </row>
    <row r="1209" customFormat="false" ht="15" hidden="false" customHeight="false" outlineLevel="0" collapsed="false">
      <c r="A1209" s="0" t="s">
        <v>1156</v>
      </c>
      <c r="B1209" s="0" t="s">
        <v>3459</v>
      </c>
      <c r="C1209" s="0" t="s">
        <v>3447</v>
      </c>
      <c r="D1209" s="0" t="s">
        <v>3448</v>
      </c>
      <c r="E1209" s="0" t="s">
        <v>4969</v>
      </c>
      <c r="F1209" s="0" t="s">
        <v>61</v>
      </c>
      <c r="G1209" s="0" t="s">
        <v>4970</v>
      </c>
      <c r="H1209" s="0" t="s">
        <v>5398</v>
      </c>
      <c r="I1209" s="0" t="s">
        <v>4972</v>
      </c>
      <c r="J1209" s="20" t="s">
        <v>25</v>
      </c>
    </row>
    <row r="1210" customFormat="false" ht="15" hidden="false" customHeight="false" outlineLevel="0" collapsed="false">
      <c r="A1210" s="0" t="s">
        <v>1156</v>
      </c>
      <c r="B1210" s="0" t="s">
        <v>134</v>
      </c>
      <c r="C1210" s="0" t="s">
        <v>3450</v>
      </c>
      <c r="D1210" s="0" t="s">
        <v>3457</v>
      </c>
      <c r="E1210" s="0" t="s">
        <v>4963</v>
      </c>
      <c r="F1210" s="0" t="s">
        <v>30</v>
      </c>
      <c r="G1210" s="0" t="s">
        <v>4980</v>
      </c>
      <c r="H1210" s="0" t="s">
        <v>4265</v>
      </c>
      <c r="I1210" s="0" t="s">
        <v>4981</v>
      </c>
      <c r="J1210" s="18" t="s">
        <v>24</v>
      </c>
    </row>
    <row r="1211" customFormat="false" ht="15" hidden="false" customHeight="false" outlineLevel="0" collapsed="false">
      <c r="A1211" s="0" t="s">
        <v>1170</v>
      </c>
      <c r="B1211" s="0" t="s">
        <v>3459</v>
      </c>
      <c r="C1211" s="0" t="s">
        <v>3450</v>
      </c>
      <c r="D1211" s="0" t="s">
        <v>3457</v>
      </c>
      <c r="E1211" s="0" t="s">
        <v>4963</v>
      </c>
      <c r="F1211" s="0" t="s">
        <v>60</v>
      </c>
      <c r="G1211" s="0" t="s">
        <v>4964</v>
      </c>
      <c r="H1211" s="0" t="s">
        <v>5016</v>
      </c>
      <c r="I1211" s="0" t="s">
        <v>4966</v>
      </c>
      <c r="J1211" s="19" t="s">
        <v>26</v>
      </c>
    </row>
    <row r="1212" customFormat="false" ht="15" hidden="false" customHeight="false" outlineLevel="0" collapsed="false">
      <c r="A1212" s="0" t="s">
        <v>1170</v>
      </c>
      <c r="B1212" s="0" t="s">
        <v>3459</v>
      </c>
      <c r="C1212" s="0" t="s">
        <v>3450</v>
      </c>
      <c r="D1212" s="0" t="s">
        <v>3448</v>
      </c>
      <c r="E1212" s="0" t="s">
        <v>4963</v>
      </c>
      <c r="F1212" s="0" t="s">
        <v>60</v>
      </c>
      <c r="G1212" s="0" t="s">
        <v>4964</v>
      </c>
      <c r="H1212" s="0" t="s">
        <v>5399</v>
      </c>
      <c r="I1212" s="0" t="s">
        <v>4966</v>
      </c>
      <c r="J1212" s="19" t="s">
        <v>26</v>
      </c>
    </row>
    <row r="1213" customFormat="false" ht="15" hidden="false" customHeight="false" outlineLevel="0" collapsed="false">
      <c r="A1213" s="0" t="s">
        <v>1170</v>
      </c>
      <c r="B1213" s="0" t="s">
        <v>134</v>
      </c>
      <c r="C1213" s="0" t="s">
        <v>3450</v>
      </c>
      <c r="D1213" s="0" t="s">
        <v>3457</v>
      </c>
      <c r="E1213" s="0" t="s">
        <v>4963</v>
      </c>
      <c r="F1213" s="0" t="s">
        <v>59</v>
      </c>
      <c r="G1213" s="0" t="s">
        <v>4974</v>
      </c>
      <c r="H1213" s="0" t="s">
        <v>69</v>
      </c>
      <c r="I1213" s="0" t="s">
        <v>4975</v>
      </c>
      <c r="J1213" s="20" t="s">
        <v>25</v>
      </c>
    </row>
    <row r="1214" customFormat="false" ht="15" hidden="false" customHeight="false" outlineLevel="0" collapsed="false">
      <c r="A1214" s="0" t="s">
        <v>1170</v>
      </c>
      <c r="B1214" s="0" t="s">
        <v>134</v>
      </c>
      <c r="C1214" s="0" t="s">
        <v>3450</v>
      </c>
      <c r="D1214" s="0" t="s">
        <v>3457</v>
      </c>
      <c r="E1214" s="0" t="s">
        <v>4969</v>
      </c>
      <c r="F1214" s="0" t="s">
        <v>61</v>
      </c>
      <c r="G1214" s="0" t="s">
        <v>4970</v>
      </c>
      <c r="H1214" s="0" t="s">
        <v>5400</v>
      </c>
      <c r="I1214" s="0" t="s">
        <v>4972</v>
      </c>
      <c r="J1214" s="20" t="s">
        <v>25</v>
      </c>
    </row>
    <row r="1215" customFormat="false" ht="15" hidden="false" customHeight="false" outlineLevel="0" collapsed="false">
      <c r="A1215" s="0" t="s">
        <v>1170</v>
      </c>
      <c r="B1215" s="0" t="s">
        <v>134</v>
      </c>
      <c r="C1215" s="0" t="s">
        <v>3450</v>
      </c>
      <c r="D1215" s="0" t="s">
        <v>3448</v>
      </c>
      <c r="E1215" s="0" t="s">
        <v>4963</v>
      </c>
      <c r="F1215" s="0" t="s">
        <v>59</v>
      </c>
      <c r="G1215" s="0" t="s">
        <v>4974</v>
      </c>
      <c r="H1215" s="0" t="s">
        <v>69</v>
      </c>
      <c r="I1215" s="0" t="s">
        <v>4975</v>
      </c>
      <c r="J1215" s="20" t="s">
        <v>25</v>
      </c>
    </row>
    <row r="1216" customFormat="false" ht="15" hidden="false" customHeight="false" outlineLevel="0" collapsed="false">
      <c r="A1216" s="0" t="s">
        <v>1170</v>
      </c>
      <c r="B1216" s="0" t="s">
        <v>134</v>
      </c>
      <c r="C1216" s="0" t="s">
        <v>3447</v>
      </c>
      <c r="D1216" s="0" t="s">
        <v>3457</v>
      </c>
      <c r="E1216" s="0" t="s">
        <v>4969</v>
      </c>
      <c r="F1216" s="0" t="s">
        <v>61</v>
      </c>
      <c r="G1216" s="0" t="s">
        <v>4970</v>
      </c>
      <c r="H1216" s="0" t="s">
        <v>5401</v>
      </c>
      <c r="I1216" s="0" t="s">
        <v>4972</v>
      </c>
      <c r="J1216" s="20" t="s">
        <v>25</v>
      </c>
    </row>
    <row r="1217" customFormat="false" ht="15" hidden="false" customHeight="false" outlineLevel="0" collapsed="false">
      <c r="A1217" s="0" t="s">
        <v>1170</v>
      </c>
      <c r="B1217" s="0" t="s">
        <v>3459</v>
      </c>
      <c r="C1217" s="0" t="s">
        <v>3450</v>
      </c>
      <c r="D1217" s="0" t="s">
        <v>3457</v>
      </c>
      <c r="E1217" s="0" t="s">
        <v>4963</v>
      </c>
      <c r="F1217" s="0" t="s">
        <v>59</v>
      </c>
      <c r="G1217" s="0" t="s">
        <v>4974</v>
      </c>
      <c r="H1217" s="0" t="s">
        <v>69</v>
      </c>
      <c r="I1217" s="0" t="s">
        <v>4975</v>
      </c>
      <c r="J1217" s="20" t="s">
        <v>25</v>
      </c>
    </row>
    <row r="1218" customFormat="false" ht="15" hidden="false" customHeight="false" outlineLevel="0" collapsed="false">
      <c r="A1218" s="0" t="s">
        <v>1170</v>
      </c>
      <c r="B1218" s="0" t="s">
        <v>3459</v>
      </c>
      <c r="C1218" s="0" t="s">
        <v>3450</v>
      </c>
      <c r="D1218" s="0" t="s">
        <v>3457</v>
      </c>
      <c r="E1218" s="0" t="s">
        <v>4969</v>
      </c>
      <c r="F1218" s="0" t="s">
        <v>61</v>
      </c>
      <c r="G1218" s="0" t="s">
        <v>4970</v>
      </c>
      <c r="H1218" s="0" t="s">
        <v>5402</v>
      </c>
      <c r="I1218" s="0" t="s">
        <v>4972</v>
      </c>
      <c r="J1218" s="20" t="s">
        <v>25</v>
      </c>
    </row>
    <row r="1219" customFormat="false" ht="15" hidden="false" customHeight="false" outlineLevel="0" collapsed="false">
      <c r="A1219" s="0" t="s">
        <v>1170</v>
      </c>
      <c r="B1219" s="0" t="s">
        <v>3459</v>
      </c>
      <c r="C1219" s="0" t="s">
        <v>3450</v>
      </c>
      <c r="D1219" s="0" t="s">
        <v>3457</v>
      </c>
      <c r="E1219" s="0" t="s">
        <v>4969</v>
      </c>
      <c r="F1219" s="0" t="s">
        <v>63</v>
      </c>
      <c r="G1219" s="0" t="s">
        <v>4220</v>
      </c>
      <c r="H1219" s="0" t="s">
        <v>5403</v>
      </c>
      <c r="I1219" s="0" t="s">
        <v>4979</v>
      </c>
      <c r="J1219" s="20" t="s">
        <v>25</v>
      </c>
    </row>
    <row r="1220" customFormat="false" ht="15" hidden="false" customHeight="false" outlineLevel="0" collapsed="false">
      <c r="A1220" s="0" t="s">
        <v>1170</v>
      </c>
      <c r="B1220" s="0" t="s">
        <v>3459</v>
      </c>
      <c r="C1220" s="0" t="s">
        <v>3450</v>
      </c>
      <c r="D1220" s="0" t="s">
        <v>3448</v>
      </c>
      <c r="E1220" s="0" t="s">
        <v>4963</v>
      </c>
      <c r="F1220" s="0" t="s">
        <v>59</v>
      </c>
      <c r="G1220" s="0" t="s">
        <v>4974</v>
      </c>
      <c r="H1220" s="0" t="s">
        <v>69</v>
      </c>
      <c r="I1220" s="0" t="s">
        <v>4975</v>
      </c>
      <c r="J1220" s="20" t="s">
        <v>25</v>
      </c>
    </row>
    <row r="1221" customFormat="false" ht="15" hidden="false" customHeight="false" outlineLevel="0" collapsed="false">
      <c r="A1221" s="0" t="s">
        <v>1170</v>
      </c>
      <c r="B1221" s="0" t="s">
        <v>3459</v>
      </c>
      <c r="C1221" s="0" t="s">
        <v>3450</v>
      </c>
      <c r="D1221" s="0" t="s">
        <v>3448</v>
      </c>
      <c r="E1221" s="0" t="s">
        <v>4969</v>
      </c>
      <c r="F1221" s="0" t="s">
        <v>61</v>
      </c>
      <c r="G1221" s="0" t="s">
        <v>4970</v>
      </c>
      <c r="H1221" s="0" t="s">
        <v>5404</v>
      </c>
      <c r="I1221" s="0" t="s">
        <v>4972</v>
      </c>
      <c r="J1221" s="20" t="s">
        <v>25</v>
      </c>
    </row>
    <row r="1222" customFormat="false" ht="15" hidden="false" customHeight="false" outlineLevel="0" collapsed="false">
      <c r="A1222" s="0" t="s">
        <v>1170</v>
      </c>
      <c r="B1222" s="0" t="s">
        <v>3459</v>
      </c>
      <c r="C1222" s="0" t="s">
        <v>3450</v>
      </c>
      <c r="D1222" s="0" t="s">
        <v>3448</v>
      </c>
      <c r="E1222" s="0" t="s">
        <v>4969</v>
      </c>
      <c r="F1222" s="0" t="s">
        <v>64</v>
      </c>
      <c r="G1222" s="0" t="s">
        <v>4220</v>
      </c>
      <c r="H1222" s="0" t="s">
        <v>5405</v>
      </c>
      <c r="I1222" s="0" t="s">
        <v>4991</v>
      </c>
      <c r="J1222" s="20" t="s">
        <v>25</v>
      </c>
    </row>
    <row r="1223" customFormat="false" ht="15" hidden="false" customHeight="false" outlineLevel="0" collapsed="false">
      <c r="A1223" s="0" t="s">
        <v>1170</v>
      </c>
      <c r="B1223" s="0" t="s">
        <v>3459</v>
      </c>
      <c r="C1223" s="0" t="s">
        <v>3447</v>
      </c>
      <c r="D1223" s="0" t="s">
        <v>3457</v>
      </c>
      <c r="E1223" s="0" t="s">
        <v>4963</v>
      </c>
      <c r="F1223" s="0" t="s">
        <v>59</v>
      </c>
      <c r="G1223" s="0" t="s">
        <v>4974</v>
      </c>
      <c r="H1223" s="0" t="s">
        <v>69</v>
      </c>
      <c r="I1223" s="0" t="s">
        <v>4975</v>
      </c>
      <c r="J1223" s="20" t="s">
        <v>25</v>
      </c>
    </row>
    <row r="1224" customFormat="false" ht="15" hidden="false" customHeight="false" outlineLevel="0" collapsed="false">
      <c r="A1224" s="0" t="s">
        <v>1170</v>
      </c>
      <c r="B1224" s="0" t="s">
        <v>3459</v>
      </c>
      <c r="C1224" s="0" t="s">
        <v>3447</v>
      </c>
      <c r="D1224" s="0" t="s">
        <v>3457</v>
      </c>
      <c r="E1224" s="0" t="s">
        <v>4969</v>
      </c>
      <c r="F1224" s="0" t="s">
        <v>61</v>
      </c>
      <c r="G1224" s="0" t="s">
        <v>4970</v>
      </c>
      <c r="H1224" s="0" t="s">
        <v>5406</v>
      </c>
      <c r="I1224" s="0" t="s">
        <v>4972</v>
      </c>
      <c r="J1224" s="20" t="s">
        <v>25</v>
      </c>
    </row>
    <row r="1225" customFormat="false" ht="15" hidden="false" customHeight="false" outlineLevel="0" collapsed="false">
      <c r="A1225" s="0" t="s">
        <v>1170</v>
      </c>
      <c r="B1225" s="0" t="s">
        <v>3459</v>
      </c>
      <c r="C1225" s="0" t="s">
        <v>3447</v>
      </c>
      <c r="D1225" s="0" t="s">
        <v>3457</v>
      </c>
      <c r="E1225" s="0" t="s">
        <v>4969</v>
      </c>
      <c r="F1225" s="0" t="s">
        <v>63</v>
      </c>
      <c r="G1225" s="0" t="s">
        <v>4220</v>
      </c>
      <c r="H1225" s="0" t="s">
        <v>5403</v>
      </c>
      <c r="I1225" s="0" t="s">
        <v>4979</v>
      </c>
      <c r="J1225" s="20" t="s">
        <v>25</v>
      </c>
    </row>
    <row r="1226" customFormat="false" ht="15" hidden="false" customHeight="false" outlineLevel="0" collapsed="false">
      <c r="A1226" s="0" t="s">
        <v>1170</v>
      </c>
      <c r="B1226" s="0" t="s">
        <v>3459</v>
      </c>
      <c r="C1226" s="0" t="s">
        <v>3447</v>
      </c>
      <c r="D1226" s="0" t="s">
        <v>3448</v>
      </c>
      <c r="E1226" s="0" t="s">
        <v>4963</v>
      </c>
      <c r="F1226" s="0" t="s">
        <v>59</v>
      </c>
      <c r="G1226" s="0" t="s">
        <v>4974</v>
      </c>
      <c r="H1226" s="0" t="s">
        <v>69</v>
      </c>
      <c r="I1226" s="0" t="s">
        <v>4975</v>
      </c>
      <c r="J1226" s="20" t="s">
        <v>25</v>
      </c>
    </row>
    <row r="1227" customFormat="false" ht="15" hidden="false" customHeight="false" outlineLevel="0" collapsed="false">
      <c r="A1227" s="0" t="s">
        <v>1170</v>
      </c>
      <c r="B1227" s="0" t="s">
        <v>3459</v>
      </c>
      <c r="C1227" s="0" t="s">
        <v>3447</v>
      </c>
      <c r="D1227" s="0" t="s">
        <v>3448</v>
      </c>
      <c r="E1227" s="0" t="s">
        <v>4969</v>
      </c>
      <c r="F1227" s="0" t="s">
        <v>64</v>
      </c>
      <c r="G1227" s="0" t="s">
        <v>4220</v>
      </c>
      <c r="H1227" s="0" t="s">
        <v>5405</v>
      </c>
      <c r="I1227" s="0" t="s">
        <v>4991</v>
      </c>
      <c r="J1227" s="20" t="s">
        <v>25</v>
      </c>
    </row>
    <row r="1228" customFormat="false" ht="15" hidden="false" customHeight="false" outlineLevel="0" collapsed="false">
      <c r="A1228" s="0" t="s">
        <v>1170</v>
      </c>
      <c r="B1228" s="0" t="s">
        <v>134</v>
      </c>
      <c r="C1228" s="0" t="s">
        <v>3450</v>
      </c>
      <c r="D1228" s="0" t="s">
        <v>3457</v>
      </c>
      <c r="E1228" s="0" t="s">
        <v>4963</v>
      </c>
      <c r="F1228" s="0" t="s">
        <v>30</v>
      </c>
      <c r="G1228" s="0" t="s">
        <v>4980</v>
      </c>
      <c r="H1228" s="0" t="s">
        <v>4521</v>
      </c>
      <c r="I1228" s="0" t="s">
        <v>4981</v>
      </c>
      <c r="J1228" s="18" t="s">
        <v>24</v>
      </c>
    </row>
    <row r="1229" customFormat="false" ht="15" hidden="false" customHeight="false" outlineLevel="0" collapsed="false">
      <c r="A1229" s="0" t="s">
        <v>1170</v>
      </c>
      <c r="B1229" s="0" t="s">
        <v>134</v>
      </c>
      <c r="C1229" s="0" t="s">
        <v>3450</v>
      </c>
      <c r="D1229" s="0" t="s">
        <v>3448</v>
      </c>
      <c r="E1229" s="0" t="s">
        <v>4963</v>
      </c>
      <c r="F1229" s="0" t="s">
        <v>30</v>
      </c>
      <c r="G1229" s="0" t="s">
        <v>4980</v>
      </c>
      <c r="H1229" s="0" t="s">
        <v>4275</v>
      </c>
      <c r="I1229" s="0" t="s">
        <v>4981</v>
      </c>
      <c r="J1229" s="18" t="s">
        <v>24</v>
      </c>
    </row>
    <row r="1230" customFormat="false" ht="15" hidden="false" customHeight="false" outlineLevel="0" collapsed="false">
      <c r="A1230" s="0" t="s">
        <v>1170</v>
      </c>
      <c r="B1230" s="0" t="s">
        <v>134</v>
      </c>
      <c r="C1230" s="0" t="s">
        <v>3447</v>
      </c>
      <c r="D1230" s="0" t="s">
        <v>3448</v>
      </c>
      <c r="E1230" s="0" t="s">
        <v>4963</v>
      </c>
      <c r="F1230" s="0" t="s">
        <v>30</v>
      </c>
      <c r="G1230" s="0" t="s">
        <v>4980</v>
      </c>
      <c r="H1230" s="0" t="s">
        <v>4288</v>
      </c>
      <c r="I1230" s="0" t="s">
        <v>4981</v>
      </c>
      <c r="J1230" s="18" t="s">
        <v>24</v>
      </c>
    </row>
    <row r="1231" customFormat="false" ht="15" hidden="false" customHeight="false" outlineLevel="0" collapsed="false">
      <c r="A1231" s="0" t="s">
        <v>1170</v>
      </c>
      <c r="B1231" s="0" t="s">
        <v>3459</v>
      </c>
      <c r="C1231" s="0" t="s">
        <v>3447</v>
      </c>
      <c r="D1231" s="0" t="s">
        <v>3457</v>
      </c>
      <c r="E1231" s="0" t="s">
        <v>4963</v>
      </c>
      <c r="F1231" s="0" t="s">
        <v>30</v>
      </c>
      <c r="G1231" s="0" t="s">
        <v>4980</v>
      </c>
      <c r="H1231" s="0" t="s">
        <v>4265</v>
      </c>
      <c r="I1231" s="0" t="s">
        <v>4981</v>
      </c>
      <c r="J1231" s="18" t="s">
        <v>24</v>
      </c>
    </row>
    <row r="1232" customFormat="false" ht="15" hidden="false" customHeight="false" outlineLevel="0" collapsed="false">
      <c r="A1232" s="0" t="s">
        <v>1170</v>
      </c>
      <c r="B1232" s="0" t="s">
        <v>3459</v>
      </c>
      <c r="C1232" s="0" t="s">
        <v>3447</v>
      </c>
      <c r="D1232" s="0" t="s">
        <v>3448</v>
      </c>
      <c r="E1232" s="0" t="s">
        <v>4963</v>
      </c>
      <c r="F1232" s="0" t="s">
        <v>30</v>
      </c>
      <c r="G1232" s="0" t="s">
        <v>4980</v>
      </c>
      <c r="H1232" s="0" t="s">
        <v>4275</v>
      </c>
      <c r="I1232" s="0" t="s">
        <v>4981</v>
      </c>
      <c r="J1232" s="18" t="s">
        <v>24</v>
      </c>
    </row>
    <row r="1233" customFormat="false" ht="15" hidden="false" customHeight="false" outlineLevel="0" collapsed="false">
      <c r="A1233" s="0" t="s">
        <v>1175</v>
      </c>
      <c r="B1233" s="0" t="s">
        <v>134</v>
      </c>
      <c r="C1233" s="0" t="s">
        <v>3450</v>
      </c>
      <c r="D1233" s="0" t="s">
        <v>3457</v>
      </c>
      <c r="E1233" s="0" t="s">
        <v>4963</v>
      </c>
      <c r="F1233" s="0" t="s">
        <v>60</v>
      </c>
      <c r="G1233" s="0" t="s">
        <v>4964</v>
      </c>
      <c r="H1233" s="0" t="s">
        <v>5407</v>
      </c>
      <c r="I1233" s="0" t="s">
        <v>4966</v>
      </c>
      <c r="J1233" s="19" t="s">
        <v>26</v>
      </c>
    </row>
    <row r="1234" customFormat="false" ht="15" hidden="false" customHeight="false" outlineLevel="0" collapsed="false">
      <c r="A1234" s="0" t="s">
        <v>1175</v>
      </c>
      <c r="B1234" s="0" t="s">
        <v>134</v>
      </c>
      <c r="C1234" s="0" t="s">
        <v>3450</v>
      </c>
      <c r="D1234" s="0" t="s">
        <v>3448</v>
      </c>
      <c r="E1234" s="0" t="s">
        <v>4963</v>
      </c>
      <c r="F1234" s="0" t="s">
        <v>60</v>
      </c>
      <c r="G1234" s="0" t="s">
        <v>4964</v>
      </c>
      <c r="H1234" s="0" t="s">
        <v>5016</v>
      </c>
      <c r="I1234" s="0" t="s">
        <v>4966</v>
      </c>
      <c r="J1234" s="19" t="s">
        <v>26</v>
      </c>
    </row>
    <row r="1235" customFormat="false" ht="15" hidden="false" customHeight="false" outlineLevel="0" collapsed="false">
      <c r="A1235" s="0" t="s">
        <v>1175</v>
      </c>
      <c r="B1235" s="0" t="s">
        <v>134</v>
      </c>
      <c r="C1235" s="0" t="s">
        <v>3447</v>
      </c>
      <c r="D1235" s="0" t="s">
        <v>3457</v>
      </c>
      <c r="E1235" s="0" t="s">
        <v>4963</v>
      </c>
      <c r="F1235" s="0" t="s">
        <v>60</v>
      </c>
      <c r="G1235" s="0" t="s">
        <v>4964</v>
      </c>
      <c r="H1235" s="0" t="s">
        <v>5408</v>
      </c>
      <c r="I1235" s="0" t="s">
        <v>4966</v>
      </c>
      <c r="J1235" s="19" t="s">
        <v>26</v>
      </c>
    </row>
    <row r="1236" customFormat="false" ht="15" hidden="false" customHeight="false" outlineLevel="0" collapsed="false">
      <c r="A1236" s="0" t="s">
        <v>1175</v>
      </c>
      <c r="B1236" s="0" t="s">
        <v>134</v>
      </c>
      <c r="C1236" s="0" t="s">
        <v>3450</v>
      </c>
      <c r="D1236" s="0" t="s">
        <v>3457</v>
      </c>
      <c r="E1236" s="0" t="s">
        <v>4963</v>
      </c>
      <c r="F1236" s="0" t="s">
        <v>59</v>
      </c>
      <c r="G1236" s="0" t="s">
        <v>4974</v>
      </c>
      <c r="H1236" s="0" t="s">
        <v>69</v>
      </c>
      <c r="I1236" s="0" t="s">
        <v>4975</v>
      </c>
      <c r="J1236" s="20" t="s">
        <v>25</v>
      </c>
    </row>
    <row r="1237" customFormat="false" ht="15" hidden="false" customHeight="false" outlineLevel="0" collapsed="false">
      <c r="A1237" s="0" t="s">
        <v>1175</v>
      </c>
      <c r="B1237" s="0" t="s">
        <v>134</v>
      </c>
      <c r="C1237" s="0" t="s">
        <v>3450</v>
      </c>
      <c r="D1237" s="0" t="s">
        <v>3457</v>
      </c>
      <c r="E1237" s="0" t="s">
        <v>4969</v>
      </c>
      <c r="F1237" s="0" t="s">
        <v>61</v>
      </c>
      <c r="G1237" s="0" t="s">
        <v>4970</v>
      </c>
      <c r="H1237" s="0" t="s">
        <v>5409</v>
      </c>
      <c r="I1237" s="0" t="s">
        <v>4972</v>
      </c>
      <c r="J1237" s="20" t="s">
        <v>25</v>
      </c>
    </row>
    <row r="1238" customFormat="false" ht="15" hidden="false" customHeight="false" outlineLevel="0" collapsed="false">
      <c r="A1238" s="0" t="s">
        <v>1175</v>
      </c>
      <c r="B1238" s="0" t="s">
        <v>134</v>
      </c>
      <c r="C1238" s="0" t="s">
        <v>3450</v>
      </c>
      <c r="D1238" s="0" t="s">
        <v>3457</v>
      </c>
      <c r="E1238" s="0" t="s">
        <v>4969</v>
      </c>
      <c r="F1238" s="0" t="s">
        <v>63</v>
      </c>
      <c r="G1238" s="0" t="s">
        <v>4220</v>
      </c>
      <c r="H1238" s="0" t="s">
        <v>5410</v>
      </c>
      <c r="I1238" s="0" t="s">
        <v>4979</v>
      </c>
      <c r="J1238" s="20" t="s">
        <v>25</v>
      </c>
    </row>
    <row r="1239" customFormat="false" ht="15" hidden="false" customHeight="false" outlineLevel="0" collapsed="false">
      <c r="A1239" s="0" t="s">
        <v>1175</v>
      </c>
      <c r="B1239" s="0" t="s">
        <v>134</v>
      </c>
      <c r="C1239" s="0" t="s">
        <v>3450</v>
      </c>
      <c r="D1239" s="0" t="s">
        <v>3448</v>
      </c>
      <c r="E1239" s="0" t="s">
        <v>4963</v>
      </c>
      <c r="F1239" s="0" t="s">
        <v>59</v>
      </c>
      <c r="G1239" s="0" t="s">
        <v>4974</v>
      </c>
      <c r="H1239" s="0" t="s">
        <v>69</v>
      </c>
      <c r="I1239" s="0" t="s">
        <v>4975</v>
      </c>
      <c r="J1239" s="20" t="s">
        <v>25</v>
      </c>
    </row>
    <row r="1240" customFormat="false" ht="15" hidden="false" customHeight="false" outlineLevel="0" collapsed="false">
      <c r="A1240" s="0" t="s">
        <v>1175</v>
      </c>
      <c r="B1240" s="0" t="s">
        <v>134</v>
      </c>
      <c r="C1240" s="0" t="s">
        <v>3450</v>
      </c>
      <c r="D1240" s="0" t="s">
        <v>3448</v>
      </c>
      <c r="E1240" s="0" t="s">
        <v>4969</v>
      </c>
      <c r="F1240" s="0" t="s">
        <v>61</v>
      </c>
      <c r="G1240" s="0" t="s">
        <v>4970</v>
      </c>
      <c r="H1240" s="0" t="s">
        <v>5411</v>
      </c>
      <c r="I1240" s="0" t="s">
        <v>4972</v>
      </c>
      <c r="J1240" s="20" t="s">
        <v>25</v>
      </c>
    </row>
    <row r="1241" customFormat="false" ht="15" hidden="false" customHeight="false" outlineLevel="0" collapsed="false">
      <c r="A1241" s="0" t="s">
        <v>1175</v>
      </c>
      <c r="B1241" s="0" t="s">
        <v>134</v>
      </c>
      <c r="C1241" s="0" t="s">
        <v>3447</v>
      </c>
      <c r="D1241" s="0" t="s">
        <v>3457</v>
      </c>
      <c r="E1241" s="0" t="s">
        <v>4963</v>
      </c>
      <c r="F1241" s="0" t="s">
        <v>59</v>
      </c>
      <c r="G1241" s="0" t="s">
        <v>4974</v>
      </c>
      <c r="H1241" s="0" t="s">
        <v>69</v>
      </c>
      <c r="I1241" s="0" t="s">
        <v>4975</v>
      </c>
      <c r="J1241" s="20" t="s">
        <v>25</v>
      </c>
    </row>
    <row r="1242" customFormat="false" ht="15" hidden="false" customHeight="false" outlineLevel="0" collapsed="false">
      <c r="A1242" s="0" t="s">
        <v>1175</v>
      </c>
      <c r="B1242" s="0" t="s">
        <v>134</v>
      </c>
      <c r="C1242" s="0" t="s">
        <v>3447</v>
      </c>
      <c r="D1242" s="0" t="s">
        <v>3457</v>
      </c>
      <c r="E1242" s="0" t="s">
        <v>4969</v>
      </c>
      <c r="F1242" s="0" t="s">
        <v>61</v>
      </c>
      <c r="G1242" s="0" t="s">
        <v>4970</v>
      </c>
      <c r="H1242" s="0" t="s">
        <v>5412</v>
      </c>
      <c r="I1242" s="0" t="s">
        <v>4972</v>
      </c>
      <c r="J1242" s="20" t="s">
        <v>25</v>
      </c>
    </row>
    <row r="1243" customFormat="false" ht="15" hidden="false" customHeight="false" outlineLevel="0" collapsed="false">
      <c r="A1243" s="0" t="s">
        <v>1175</v>
      </c>
      <c r="B1243" s="0" t="s">
        <v>134</v>
      </c>
      <c r="C1243" s="0" t="s">
        <v>3447</v>
      </c>
      <c r="D1243" s="0" t="s">
        <v>3457</v>
      </c>
      <c r="E1243" s="0" t="s">
        <v>4969</v>
      </c>
      <c r="F1243" s="0" t="s">
        <v>63</v>
      </c>
      <c r="G1243" s="0" t="s">
        <v>4220</v>
      </c>
      <c r="H1243" s="0" t="s">
        <v>5410</v>
      </c>
      <c r="I1243" s="0" t="s">
        <v>4979</v>
      </c>
      <c r="J1243" s="20" t="s">
        <v>25</v>
      </c>
    </row>
    <row r="1244" customFormat="false" ht="15" hidden="false" customHeight="false" outlineLevel="0" collapsed="false">
      <c r="A1244" s="0" t="s">
        <v>1175</v>
      </c>
      <c r="B1244" s="0" t="s">
        <v>134</v>
      </c>
      <c r="C1244" s="0" t="s">
        <v>3447</v>
      </c>
      <c r="D1244" s="0" t="s">
        <v>3448</v>
      </c>
      <c r="E1244" s="0" t="s">
        <v>4969</v>
      </c>
      <c r="F1244" s="0" t="s">
        <v>61</v>
      </c>
      <c r="G1244" s="0" t="s">
        <v>4970</v>
      </c>
      <c r="H1244" s="0" t="s">
        <v>5413</v>
      </c>
      <c r="I1244" s="0" t="s">
        <v>4972</v>
      </c>
      <c r="J1244" s="20" t="s">
        <v>25</v>
      </c>
    </row>
    <row r="1245" customFormat="false" ht="15" hidden="false" customHeight="false" outlineLevel="0" collapsed="false">
      <c r="A1245" s="0" t="s">
        <v>1185</v>
      </c>
      <c r="B1245" s="0" t="s">
        <v>134</v>
      </c>
      <c r="C1245" s="0" t="s">
        <v>3447</v>
      </c>
      <c r="D1245" s="0" t="s">
        <v>3457</v>
      </c>
      <c r="E1245" s="0" t="s">
        <v>4963</v>
      </c>
      <c r="F1245" s="0" t="s">
        <v>60</v>
      </c>
      <c r="G1245" s="0" t="s">
        <v>4964</v>
      </c>
      <c r="H1245" s="0" t="s">
        <v>5309</v>
      </c>
      <c r="I1245" s="0" t="s">
        <v>4966</v>
      </c>
      <c r="J1245" s="19" t="s">
        <v>26</v>
      </c>
    </row>
    <row r="1246" customFormat="false" ht="15" hidden="false" customHeight="false" outlineLevel="0" collapsed="false">
      <c r="A1246" s="0" t="s">
        <v>1185</v>
      </c>
      <c r="B1246" s="0" t="s">
        <v>134</v>
      </c>
      <c r="C1246" s="0" t="s">
        <v>3450</v>
      </c>
      <c r="D1246" s="0" t="s">
        <v>3457</v>
      </c>
      <c r="E1246" s="0" t="s">
        <v>4969</v>
      </c>
      <c r="F1246" s="0" t="s">
        <v>63</v>
      </c>
      <c r="G1246" s="0" t="s">
        <v>4220</v>
      </c>
      <c r="H1246" s="0" t="s">
        <v>5414</v>
      </c>
      <c r="I1246" s="0" t="s">
        <v>4979</v>
      </c>
      <c r="J1246" s="20" t="s">
        <v>25</v>
      </c>
    </row>
    <row r="1247" customFormat="false" ht="15" hidden="false" customHeight="false" outlineLevel="0" collapsed="false">
      <c r="A1247" s="0" t="s">
        <v>1185</v>
      </c>
      <c r="B1247" s="0" t="s">
        <v>134</v>
      </c>
      <c r="C1247" s="0" t="s">
        <v>3447</v>
      </c>
      <c r="D1247" s="0" t="s">
        <v>3457</v>
      </c>
      <c r="E1247" s="0" t="s">
        <v>4963</v>
      </c>
      <c r="F1247" s="0" t="s">
        <v>59</v>
      </c>
      <c r="G1247" s="0" t="s">
        <v>4974</v>
      </c>
      <c r="H1247" s="0" t="s">
        <v>69</v>
      </c>
      <c r="I1247" s="0" t="s">
        <v>4975</v>
      </c>
      <c r="J1247" s="20" t="s">
        <v>25</v>
      </c>
    </row>
    <row r="1248" customFormat="false" ht="15" hidden="false" customHeight="false" outlineLevel="0" collapsed="false">
      <c r="A1248" s="0" t="s">
        <v>1185</v>
      </c>
      <c r="B1248" s="0" t="s">
        <v>134</v>
      </c>
      <c r="C1248" s="0" t="s">
        <v>3447</v>
      </c>
      <c r="D1248" s="0" t="s">
        <v>3457</v>
      </c>
      <c r="E1248" s="0" t="s">
        <v>4969</v>
      </c>
      <c r="F1248" s="0" t="s">
        <v>63</v>
      </c>
      <c r="G1248" s="0" t="s">
        <v>4220</v>
      </c>
      <c r="H1248" s="0" t="s">
        <v>5414</v>
      </c>
      <c r="I1248" s="0" t="s">
        <v>4979</v>
      </c>
      <c r="J1248" s="20" t="s">
        <v>25</v>
      </c>
    </row>
    <row r="1249" customFormat="false" ht="15" hidden="false" customHeight="false" outlineLevel="0" collapsed="false">
      <c r="A1249" s="0" t="s">
        <v>1185</v>
      </c>
      <c r="B1249" s="0" t="s">
        <v>134</v>
      </c>
      <c r="C1249" s="0" t="s">
        <v>3447</v>
      </c>
      <c r="D1249" s="0" t="s">
        <v>3448</v>
      </c>
      <c r="E1249" s="0" t="s">
        <v>4963</v>
      </c>
      <c r="F1249" s="0" t="s">
        <v>59</v>
      </c>
      <c r="G1249" s="0" t="s">
        <v>4974</v>
      </c>
      <c r="H1249" s="0" t="s">
        <v>69</v>
      </c>
      <c r="I1249" s="0" t="s">
        <v>4975</v>
      </c>
      <c r="J1249" s="20" t="s">
        <v>25</v>
      </c>
    </row>
    <row r="1250" customFormat="false" ht="15" hidden="false" customHeight="false" outlineLevel="0" collapsed="false">
      <c r="A1250" s="0" t="s">
        <v>1185</v>
      </c>
      <c r="B1250" s="0" t="s">
        <v>134</v>
      </c>
      <c r="C1250" s="0" t="s">
        <v>3447</v>
      </c>
      <c r="D1250" s="0" t="s">
        <v>3448</v>
      </c>
      <c r="E1250" s="0" t="s">
        <v>4963</v>
      </c>
      <c r="F1250" s="0" t="s">
        <v>30</v>
      </c>
      <c r="G1250" s="0" t="s">
        <v>4980</v>
      </c>
      <c r="H1250" s="0" t="s">
        <v>4525</v>
      </c>
      <c r="I1250" s="0" t="s">
        <v>4981</v>
      </c>
      <c r="J1250" s="18" t="s">
        <v>24</v>
      </c>
    </row>
    <row r="1251" customFormat="false" ht="15" hidden="false" customHeight="false" outlineLevel="0" collapsed="false">
      <c r="A1251" s="0" t="s">
        <v>1190</v>
      </c>
      <c r="B1251" s="0" t="s">
        <v>134</v>
      </c>
      <c r="C1251" s="0" t="s">
        <v>3447</v>
      </c>
      <c r="D1251" s="0" t="s">
        <v>3457</v>
      </c>
      <c r="E1251" s="0" t="s">
        <v>4963</v>
      </c>
      <c r="F1251" s="0" t="s">
        <v>60</v>
      </c>
      <c r="G1251" s="0" t="s">
        <v>4964</v>
      </c>
      <c r="H1251" s="0" t="s">
        <v>5415</v>
      </c>
      <c r="I1251" s="0" t="s">
        <v>4966</v>
      </c>
      <c r="J1251" s="19" t="s">
        <v>26</v>
      </c>
    </row>
    <row r="1252" customFormat="false" ht="15" hidden="false" customHeight="false" outlineLevel="0" collapsed="false">
      <c r="A1252" s="0" t="s">
        <v>1190</v>
      </c>
      <c r="B1252" s="0" t="s">
        <v>3459</v>
      </c>
      <c r="C1252" s="0" t="s">
        <v>3450</v>
      </c>
      <c r="D1252" s="0" t="s">
        <v>3457</v>
      </c>
      <c r="E1252" s="0" t="s">
        <v>4963</v>
      </c>
      <c r="F1252" s="0" t="s">
        <v>60</v>
      </c>
      <c r="G1252" s="0" t="s">
        <v>4964</v>
      </c>
      <c r="H1252" s="0" t="s">
        <v>5416</v>
      </c>
      <c r="I1252" s="0" t="s">
        <v>4966</v>
      </c>
      <c r="J1252" s="19" t="s">
        <v>26</v>
      </c>
    </row>
    <row r="1253" customFormat="false" ht="15" hidden="false" customHeight="false" outlineLevel="0" collapsed="false">
      <c r="A1253" s="0" t="s">
        <v>1190</v>
      </c>
      <c r="B1253" s="0" t="s">
        <v>3459</v>
      </c>
      <c r="C1253" s="0" t="s">
        <v>3450</v>
      </c>
      <c r="D1253" s="0" t="s">
        <v>3448</v>
      </c>
      <c r="E1253" s="0" t="s">
        <v>4963</v>
      </c>
      <c r="F1253" s="0" t="s">
        <v>60</v>
      </c>
      <c r="G1253" s="0" t="s">
        <v>4964</v>
      </c>
      <c r="H1253" s="0" t="s">
        <v>5417</v>
      </c>
      <c r="I1253" s="0" t="s">
        <v>4966</v>
      </c>
      <c r="J1253" s="19" t="s">
        <v>26</v>
      </c>
    </row>
    <row r="1254" customFormat="false" ht="15" hidden="false" customHeight="false" outlineLevel="0" collapsed="false">
      <c r="A1254" s="0" t="s">
        <v>1190</v>
      </c>
      <c r="B1254" s="0" t="s">
        <v>134</v>
      </c>
      <c r="C1254" s="0" t="s">
        <v>3450</v>
      </c>
      <c r="D1254" s="0" t="s">
        <v>3457</v>
      </c>
      <c r="E1254" s="0" t="s">
        <v>4963</v>
      </c>
      <c r="F1254" s="0" t="s">
        <v>59</v>
      </c>
      <c r="G1254" s="0" t="s">
        <v>4974</v>
      </c>
      <c r="H1254" s="0" t="s">
        <v>69</v>
      </c>
      <c r="I1254" s="0" t="s">
        <v>4975</v>
      </c>
      <c r="J1254" s="20" t="s">
        <v>25</v>
      </c>
    </row>
    <row r="1255" customFormat="false" ht="15" hidden="false" customHeight="false" outlineLevel="0" collapsed="false">
      <c r="A1255" s="0" t="s">
        <v>1190</v>
      </c>
      <c r="B1255" s="0" t="s">
        <v>134</v>
      </c>
      <c r="C1255" s="0" t="s">
        <v>3450</v>
      </c>
      <c r="D1255" s="0" t="s">
        <v>3448</v>
      </c>
      <c r="E1255" s="0" t="s">
        <v>4963</v>
      </c>
      <c r="F1255" s="0" t="s">
        <v>59</v>
      </c>
      <c r="G1255" s="0" t="s">
        <v>4974</v>
      </c>
      <c r="H1255" s="0" t="s">
        <v>69</v>
      </c>
      <c r="I1255" s="0" t="s">
        <v>4975</v>
      </c>
      <c r="J1255" s="20" t="s">
        <v>25</v>
      </c>
    </row>
    <row r="1256" customFormat="false" ht="15" hidden="false" customHeight="false" outlineLevel="0" collapsed="false">
      <c r="A1256" s="0" t="s">
        <v>1190</v>
      </c>
      <c r="B1256" s="0" t="s">
        <v>3459</v>
      </c>
      <c r="C1256" s="0" t="s">
        <v>3450</v>
      </c>
      <c r="D1256" s="0" t="s">
        <v>3457</v>
      </c>
      <c r="E1256" s="0" t="s">
        <v>4963</v>
      </c>
      <c r="F1256" s="0" t="s">
        <v>59</v>
      </c>
      <c r="G1256" s="0" t="s">
        <v>4974</v>
      </c>
      <c r="H1256" s="0" t="s">
        <v>69</v>
      </c>
      <c r="I1256" s="0" t="s">
        <v>4975</v>
      </c>
      <c r="J1256" s="20" t="s">
        <v>25</v>
      </c>
    </row>
    <row r="1257" customFormat="false" ht="15" hidden="false" customHeight="false" outlineLevel="0" collapsed="false">
      <c r="A1257" s="0" t="s">
        <v>1190</v>
      </c>
      <c r="B1257" s="0" t="s">
        <v>3459</v>
      </c>
      <c r="C1257" s="0" t="s">
        <v>3450</v>
      </c>
      <c r="D1257" s="0" t="s">
        <v>3457</v>
      </c>
      <c r="E1257" s="0" t="s">
        <v>4969</v>
      </c>
      <c r="F1257" s="0" t="s">
        <v>61</v>
      </c>
      <c r="G1257" s="0" t="s">
        <v>4970</v>
      </c>
      <c r="H1257" s="0" t="s">
        <v>5418</v>
      </c>
      <c r="I1257" s="0" t="s">
        <v>4972</v>
      </c>
      <c r="J1257" s="20" t="s">
        <v>25</v>
      </c>
    </row>
    <row r="1258" customFormat="false" ht="15" hidden="false" customHeight="false" outlineLevel="0" collapsed="false">
      <c r="A1258" s="0" t="s">
        <v>1190</v>
      </c>
      <c r="B1258" s="0" t="s">
        <v>3459</v>
      </c>
      <c r="C1258" s="0" t="s">
        <v>3450</v>
      </c>
      <c r="D1258" s="0" t="s">
        <v>3448</v>
      </c>
      <c r="E1258" s="0" t="s">
        <v>4963</v>
      </c>
      <c r="F1258" s="0" t="s">
        <v>59</v>
      </c>
      <c r="G1258" s="0" t="s">
        <v>4974</v>
      </c>
      <c r="H1258" s="0" t="s">
        <v>69</v>
      </c>
      <c r="I1258" s="0" t="s">
        <v>4975</v>
      </c>
      <c r="J1258" s="20" t="s">
        <v>25</v>
      </c>
    </row>
    <row r="1259" customFormat="false" ht="15" hidden="false" customHeight="false" outlineLevel="0" collapsed="false">
      <c r="A1259" s="0" t="s">
        <v>1190</v>
      </c>
      <c r="B1259" s="0" t="s">
        <v>3459</v>
      </c>
      <c r="C1259" s="0" t="s">
        <v>3450</v>
      </c>
      <c r="D1259" s="0" t="s">
        <v>3448</v>
      </c>
      <c r="E1259" s="0" t="s">
        <v>4969</v>
      </c>
      <c r="F1259" s="0" t="s">
        <v>61</v>
      </c>
      <c r="G1259" s="0" t="s">
        <v>4970</v>
      </c>
      <c r="H1259" s="0" t="s">
        <v>5419</v>
      </c>
      <c r="I1259" s="0" t="s">
        <v>4972</v>
      </c>
      <c r="J1259" s="20" t="s">
        <v>25</v>
      </c>
    </row>
    <row r="1260" customFormat="false" ht="15" hidden="false" customHeight="false" outlineLevel="0" collapsed="false">
      <c r="A1260" s="0" t="s">
        <v>1190</v>
      </c>
      <c r="B1260" s="0" t="s">
        <v>134</v>
      </c>
      <c r="C1260" s="0" t="s">
        <v>3450</v>
      </c>
      <c r="D1260" s="0" t="s">
        <v>3457</v>
      </c>
      <c r="E1260" s="0" t="s">
        <v>4963</v>
      </c>
      <c r="F1260" s="0" t="s">
        <v>30</v>
      </c>
      <c r="G1260" s="0" t="s">
        <v>4980</v>
      </c>
      <c r="H1260" s="0" t="s">
        <v>4275</v>
      </c>
      <c r="I1260" s="0" t="s">
        <v>4981</v>
      </c>
      <c r="J1260" s="18" t="s">
        <v>24</v>
      </c>
    </row>
    <row r="1261" customFormat="false" ht="15" hidden="false" customHeight="false" outlineLevel="0" collapsed="false">
      <c r="A1261" s="0" t="s">
        <v>1190</v>
      </c>
      <c r="B1261" s="0" t="s">
        <v>134</v>
      </c>
      <c r="C1261" s="0" t="s">
        <v>3450</v>
      </c>
      <c r="D1261" s="0" t="s">
        <v>3448</v>
      </c>
      <c r="E1261" s="0" t="s">
        <v>4963</v>
      </c>
      <c r="F1261" s="0" t="s">
        <v>30</v>
      </c>
      <c r="G1261" s="0" t="s">
        <v>4980</v>
      </c>
      <c r="H1261" s="0" t="s">
        <v>4275</v>
      </c>
      <c r="I1261" s="0" t="s">
        <v>4981</v>
      </c>
      <c r="J1261" s="18" t="s">
        <v>24</v>
      </c>
    </row>
    <row r="1262" customFormat="false" ht="15" hidden="false" customHeight="false" outlineLevel="0" collapsed="false">
      <c r="A1262" s="0" t="s">
        <v>1190</v>
      </c>
      <c r="B1262" s="0" t="s">
        <v>134</v>
      </c>
      <c r="C1262" s="0" t="s">
        <v>3447</v>
      </c>
      <c r="D1262" s="0" t="s">
        <v>3448</v>
      </c>
      <c r="E1262" s="0" t="s">
        <v>4963</v>
      </c>
      <c r="F1262" s="0" t="s">
        <v>30</v>
      </c>
      <c r="G1262" s="0" t="s">
        <v>4980</v>
      </c>
      <c r="H1262" s="0" t="s">
        <v>4527</v>
      </c>
      <c r="I1262" s="0" t="s">
        <v>4981</v>
      </c>
      <c r="J1262" s="18" t="s">
        <v>24</v>
      </c>
    </row>
    <row r="1263" customFormat="false" ht="15" hidden="false" customHeight="false" outlineLevel="0" collapsed="false">
      <c r="A1263" s="0" t="s">
        <v>1190</v>
      </c>
      <c r="B1263" s="0" t="s">
        <v>3459</v>
      </c>
      <c r="C1263" s="0" t="s">
        <v>3447</v>
      </c>
      <c r="D1263" s="0" t="s">
        <v>3457</v>
      </c>
      <c r="E1263" s="0" t="s">
        <v>4963</v>
      </c>
      <c r="F1263" s="0" t="s">
        <v>30</v>
      </c>
      <c r="G1263" s="0" t="s">
        <v>4980</v>
      </c>
      <c r="H1263" s="0" t="s">
        <v>4273</v>
      </c>
      <c r="I1263" s="0" t="s">
        <v>4981</v>
      </c>
      <c r="J1263" s="18" t="s">
        <v>24</v>
      </c>
    </row>
    <row r="1264" customFormat="false" ht="15" hidden="false" customHeight="false" outlineLevel="0" collapsed="false">
      <c r="A1264" s="0" t="s">
        <v>1190</v>
      </c>
      <c r="B1264" s="0" t="s">
        <v>3459</v>
      </c>
      <c r="C1264" s="0" t="s">
        <v>3447</v>
      </c>
      <c r="D1264" s="0" t="s">
        <v>3448</v>
      </c>
      <c r="E1264" s="0" t="s">
        <v>4963</v>
      </c>
      <c r="F1264" s="0" t="s">
        <v>30</v>
      </c>
      <c r="G1264" s="0" t="s">
        <v>4980</v>
      </c>
      <c r="H1264" s="0" t="s">
        <v>4530</v>
      </c>
      <c r="I1264" s="0" t="s">
        <v>4981</v>
      </c>
      <c r="J1264" s="18" t="s">
        <v>24</v>
      </c>
    </row>
    <row r="1265" customFormat="false" ht="15" hidden="false" customHeight="false" outlineLevel="0" collapsed="false">
      <c r="A1265" s="0" t="s">
        <v>1197</v>
      </c>
      <c r="B1265" s="0" t="s">
        <v>134</v>
      </c>
      <c r="C1265" s="0" t="s">
        <v>3447</v>
      </c>
      <c r="D1265" s="0" t="s">
        <v>3457</v>
      </c>
      <c r="E1265" s="0" t="s">
        <v>4963</v>
      </c>
      <c r="F1265" s="0" t="s">
        <v>60</v>
      </c>
      <c r="G1265" s="0" t="s">
        <v>4964</v>
      </c>
      <c r="H1265" s="0" t="s">
        <v>5420</v>
      </c>
      <c r="I1265" s="0" t="s">
        <v>4966</v>
      </c>
      <c r="J1265" s="19" t="s">
        <v>26</v>
      </c>
    </row>
    <row r="1266" customFormat="false" ht="15" hidden="false" customHeight="false" outlineLevel="0" collapsed="false">
      <c r="A1266" s="0" t="s">
        <v>1197</v>
      </c>
      <c r="B1266" s="0" t="s">
        <v>3459</v>
      </c>
      <c r="C1266" s="0" t="s">
        <v>3447</v>
      </c>
      <c r="D1266" s="0" t="s">
        <v>3448</v>
      </c>
      <c r="E1266" s="0" t="s">
        <v>4963</v>
      </c>
      <c r="F1266" s="0" t="s">
        <v>60</v>
      </c>
      <c r="G1266" s="0" t="s">
        <v>4964</v>
      </c>
      <c r="H1266" s="0" t="s">
        <v>5421</v>
      </c>
      <c r="I1266" s="0" t="s">
        <v>4966</v>
      </c>
      <c r="J1266" s="19" t="s">
        <v>26</v>
      </c>
    </row>
    <row r="1267" customFormat="false" ht="15" hidden="false" customHeight="false" outlineLevel="0" collapsed="false">
      <c r="A1267" s="0" t="s">
        <v>1197</v>
      </c>
      <c r="B1267" s="0" t="s">
        <v>134</v>
      </c>
      <c r="C1267" s="0" t="s">
        <v>3450</v>
      </c>
      <c r="D1267" s="0" t="s">
        <v>3457</v>
      </c>
      <c r="E1267" s="0" t="s">
        <v>4963</v>
      </c>
      <c r="F1267" s="0" t="s">
        <v>59</v>
      </c>
      <c r="G1267" s="0" t="s">
        <v>4974</v>
      </c>
      <c r="H1267" s="0" t="s">
        <v>69</v>
      </c>
      <c r="I1267" s="0" t="s">
        <v>4975</v>
      </c>
      <c r="J1267" s="20" t="s">
        <v>25</v>
      </c>
    </row>
    <row r="1268" customFormat="false" ht="15" hidden="false" customHeight="false" outlineLevel="0" collapsed="false">
      <c r="A1268" s="0" t="s">
        <v>1197</v>
      </c>
      <c r="B1268" s="0" t="s">
        <v>134</v>
      </c>
      <c r="C1268" s="0" t="s">
        <v>3450</v>
      </c>
      <c r="D1268" s="0" t="s">
        <v>3457</v>
      </c>
      <c r="E1268" s="0" t="s">
        <v>4969</v>
      </c>
      <c r="F1268" s="0" t="s">
        <v>61</v>
      </c>
      <c r="G1268" s="0" t="s">
        <v>4970</v>
      </c>
      <c r="H1268" s="0" t="s">
        <v>5422</v>
      </c>
      <c r="I1268" s="0" t="s">
        <v>4972</v>
      </c>
      <c r="J1268" s="20" t="s">
        <v>25</v>
      </c>
    </row>
    <row r="1269" customFormat="false" ht="15" hidden="false" customHeight="false" outlineLevel="0" collapsed="false">
      <c r="A1269" s="0" t="s">
        <v>1197</v>
      </c>
      <c r="B1269" s="0" t="s">
        <v>134</v>
      </c>
      <c r="C1269" s="0" t="s">
        <v>3450</v>
      </c>
      <c r="D1269" s="0" t="s">
        <v>3448</v>
      </c>
      <c r="E1269" s="0" t="s">
        <v>4969</v>
      </c>
      <c r="F1269" s="0" t="s">
        <v>64</v>
      </c>
      <c r="G1269" s="0" t="s">
        <v>4220</v>
      </c>
      <c r="H1269" s="0" t="s">
        <v>5423</v>
      </c>
      <c r="I1269" s="0" t="s">
        <v>4991</v>
      </c>
      <c r="J1269" s="20" t="s">
        <v>25</v>
      </c>
    </row>
    <row r="1270" customFormat="false" ht="15" hidden="false" customHeight="false" outlineLevel="0" collapsed="false">
      <c r="A1270" s="0" t="s">
        <v>1197</v>
      </c>
      <c r="B1270" s="0" t="s">
        <v>134</v>
      </c>
      <c r="C1270" s="0" t="s">
        <v>3447</v>
      </c>
      <c r="D1270" s="0" t="s">
        <v>3457</v>
      </c>
      <c r="E1270" s="0" t="s">
        <v>4963</v>
      </c>
      <c r="F1270" s="0" t="s">
        <v>59</v>
      </c>
      <c r="G1270" s="0" t="s">
        <v>4974</v>
      </c>
      <c r="H1270" s="0" t="s">
        <v>69</v>
      </c>
      <c r="I1270" s="0" t="s">
        <v>4975</v>
      </c>
      <c r="J1270" s="20" t="s">
        <v>25</v>
      </c>
    </row>
    <row r="1271" customFormat="false" ht="15" hidden="false" customHeight="false" outlineLevel="0" collapsed="false">
      <c r="A1271" s="0" t="s">
        <v>1197</v>
      </c>
      <c r="B1271" s="0" t="s">
        <v>134</v>
      </c>
      <c r="C1271" s="0" t="s">
        <v>3447</v>
      </c>
      <c r="D1271" s="0" t="s">
        <v>3457</v>
      </c>
      <c r="E1271" s="0" t="s">
        <v>4969</v>
      </c>
      <c r="F1271" s="0" t="s">
        <v>61</v>
      </c>
      <c r="G1271" s="0" t="s">
        <v>4970</v>
      </c>
      <c r="H1271" s="0" t="s">
        <v>5424</v>
      </c>
      <c r="I1271" s="0" t="s">
        <v>4972</v>
      </c>
      <c r="J1271" s="20" t="s">
        <v>25</v>
      </c>
    </row>
    <row r="1272" customFormat="false" ht="15" hidden="false" customHeight="false" outlineLevel="0" collapsed="false">
      <c r="A1272" s="0" t="s">
        <v>1197</v>
      </c>
      <c r="B1272" s="0" t="s">
        <v>134</v>
      </c>
      <c r="C1272" s="0" t="s">
        <v>3447</v>
      </c>
      <c r="D1272" s="0" t="s">
        <v>3448</v>
      </c>
      <c r="E1272" s="0" t="s">
        <v>4969</v>
      </c>
      <c r="F1272" s="0" t="s">
        <v>64</v>
      </c>
      <c r="G1272" s="0" t="s">
        <v>4220</v>
      </c>
      <c r="H1272" s="0" t="s">
        <v>5423</v>
      </c>
      <c r="I1272" s="0" t="s">
        <v>4991</v>
      </c>
      <c r="J1272" s="20" t="s">
        <v>25</v>
      </c>
    </row>
    <row r="1273" customFormat="false" ht="15" hidden="false" customHeight="false" outlineLevel="0" collapsed="false">
      <c r="A1273" s="0" t="s">
        <v>1197</v>
      </c>
      <c r="B1273" s="0" t="s">
        <v>3459</v>
      </c>
      <c r="C1273" s="0" t="s">
        <v>3450</v>
      </c>
      <c r="D1273" s="0" t="s">
        <v>3457</v>
      </c>
      <c r="E1273" s="0" t="s">
        <v>4969</v>
      </c>
      <c r="F1273" s="0" t="s">
        <v>62</v>
      </c>
      <c r="G1273" s="0" t="s">
        <v>5003</v>
      </c>
      <c r="H1273" s="0" t="s">
        <v>5425</v>
      </c>
      <c r="I1273" s="0" t="s">
        <v>5005</v>
      </c>
      <c r="J1273" s="20" t="s">
        <v>25</v>
      </c>
    </row>
    <row r="1274" customFormat="false" ht="15" hidden="false" customHeight="false" outlineLevel="0" collapsed="false">
      <c r="A1274" s="0" t="s">
        <v>1197</v>
      </c>
      <c r="B1274" s="0" t="s">
        <v>3459</v>
      </c>
      <c r="C1274" s="0" t="s">
        <v>3450</v>
      </c>
      <c r="D1274" s="0" t="s">
        <v>3448</v>
      </c>
      <c r="E1274" s="0" t="s">
        <v>4969</v>
      </c>
      <c r="F1274" s="0" t="s">
        <v>64</v>
      </c>
      <c r="G1274" s="0" t="s">
        <v>4220</v>
      </c>
      <c r="H1274" s="0" t="s">
        <v>5426</v>
      </c>
      <c r="I1274" s="0" t="s">
        <v>4991</v>
      </c>
      <c r="J1274" s="20" t="s">
        <v>25</v>
      </c>
    </row>
    <row r="1275" customFormat="false" ht="15" hidden="false" customHeight="false" outlineLevel="0" collapsed="false">
      <c r="A1275" s="0" t="s">
        <v>1197</v>
      </c>
      <c r="B1275" s="0" t="s">
        <v>3459</v>
      </c>
      <c r="C1275" s="0" t="s">
        <v>3447</v>
      </c>
      <c r="D1275" s="0" t="s">
        <v>3457</v>
      </c>
      <c r="E1275" s="0" t="s">
        <v>4963</v>
      </c>
      <c r="F1275" s="0" t="s">
        <v>59</v>
      </c>
      <c r="G1275" s="0" t="s">
        <v>4974</v>
      </c>
      <c r="H1275" s="0" t="s">
        <v>69</v>
      </c>
      <c r="I1275" s="0" t="s">
        <v>4975</v>
      </c>
      <c r="J1275" s="20" t="s">
        <v>25</v>
      </c>
    </row>
    <row r="1276" customFormat="false" ht="15" hidden="false" customHeight="false" outlineLevel="0" collapsed="false">
      <c r="A1276" s="0" t="s">
        <v>1197</v>
      </c>
      <c r="B1276" s="0" t="s">
        <v>3459</v>
      </c>
      <c r="C1276" s="0" t="s">
        <v>3447</v>
      </c>
      <c r="D1276" s="0" t="s">
        <v>3448</v>
      </c>
      <c r="E1276" s="0" t="s">
        <v>4963</v>
      </c>
      <c r="F1276" s="0" t="s">
        <v>59</v>
      </c>
      <c r="G1276" s="0" t="s">
        <v>4974</v>
      </c>
      <c r="H1276" s="0" t="s">
        <v>69</v>
      </c>
      <c r="I1276" s="0" t="s">
        <v>4975</v>
      </c>
      <c r="J1276" s="20" t="s">
        <v>25</v>
      </c>
    </row>
    <row r="1277" customFormat="false" ht="15" hidden="false" customHeight="false" outlineLevel="0" collapsed="false">
      <c r="A1277" s="0" t="s">
        <v>1197</v>
      </c>
      <c r="B1277" s="0" t="s">
        <v>3459</v>
      </c>
      <c r="C1277" s="0" t="s">
        <v>3447</v>
      </c>
      <c r="D1277" s="0" t="s">
        <v>3448</v>
      </c>
      <c r="E1277" s="0" t="s">
        <v>4969</v>
      </c>
      <c r="F1277" s="0" t="s">
        <v>64</v>
      </c>
      <c r="G1277" s="0" t="s">
        <v>4220</v>
      </c>
      <c r="H1277" s="0" t="s">
        <v>5426</v>
      </c>
      <c r="I1277" s="0" t="s">
        <v>4991</v>
      </c>
      <c r="J1277" s="20" t="s">
        <v>25</v>
      </c>
    </row>
    <row r="1278" customFormat="false" ht="15" hidden="false" customHeight="false" outlineLevel="0" collapsed="false">
      <c r="A1278" s="0" t="s">
        <v>1197</v>
      </c>
      <c r="B1278" s="0" t="s">
        <v>134</v>
      </c>
      <c r="C1278" s="0" t="s">
        <v>3450</v>
      </c>
      <c r="D1278" s="0" t="s">
        <v>3457</v>
      </c>
      <c r="E1278" s="0" t="s">
        <v>4963</v>
      </c>
      <c r="F1278" s="0" t="s">
        <v>30</v>
      </c>
      <c r="G1278" s="0" t="s">
        <v>4980</v>
      </c>
      <c r="H1278" s="0" t="s">
        <v>4275</v>
      </c>
      <c r="I1278" s="0" t="s">
        <v>4981</v>
      </c>
      <c r="J1278" s="18" t="s">
        <v>24</v>
      </c>
    </row>
    <row r="1279" customFormat="false" ht="15" hidden="false" customHeight="false" outlineLevel="0" collapsed="false">
      <c r="A1279" s="0" t="s">
        <v>1197</v>
      </c>
      <c r="B1279" s="0" t="s">
        <v>134</v>
      </c>
      <c r="C1279" s="0" t="s">
        <v>3447</v>
      </c>
      <c r="D1279" s="0" t="s">
        <v>3448</v>
      </c>
      <c r="E1279" s="0" t="s">
        <v>4963</v>
      </c>
      <c r="F1279" s="0" t="s">
        <v>30</v>
      </c>
      <c r="G1279" s="0" t="s">
        <v>4980</v>
      </c>
      <c r="H1279" s="0" t="s">
        <v>4235</v>
      </c>
      <c r="I1279" s="0" t="s">
        <v>4981</v>
      </c>
      <c r="J1279" s="18" t="s">
        <v>24</v>
      </c>
    </row>
    <row r="1280" customFormat="false" ht="15" hidden="false" customHeight="false" outlineLevel="0" collapsed="false">
      <c r="A1280" s="0" t="s">
        <v>1197</v>
      </c>
      <c r="B1280" s="0" t="s">
        <v>3459</v>
      </c>
      <c r="C1280" s="0" t="s">
        <v>3447</v>
      </c>
      <c r="D1280" s="0" t="s">
        <v>3457</v>
      </c>
      <c r="E1280" s="0" t="s">
        <v>4963</v>
      </c>
      <c r="F1280" s="0" t="s">
        <v>30</v>
      </c>
      <c r="G1280" s="0" t="s">
        <v>4980</v>
      </c>
      <c r="H1280" s="0" t="s">
        <v>4532</v>
      </c>
      <c r="I1280" s="0" t="s">
        <v>4981</v>
      </c>
      <c r="J1280" s="18" t="s">
        <v>24</v>
      </c>
    </row>
    <row r="1281" customFormat="false" ht="15" hidden="false" customHeight="false" outlineLevel="0" collapsed="false">
      <c r="A1281" s="0" t="s">
        <v>1203</v>
      </c>
      <c r="B1281" s="0" t="s">
        <v>134</v>
      </c>
      <c r="C1281" s="0" t="s">
        <v>3450</v>
      </c>
      <c r="D1281" s="0" t="s">
        <v>3457</v>
      </c>
      <c r="E1281" s="0" t="s">
        <v>4969</v>
      </c>
      <c r="F1281" s="0" t="s">
        <v>62</v>
      </c>
      <c r="G1281" s="0" t="s">
        <v>5003</v>
      </c>
      <c r="H1281" s="0" t="s">
        <v>5427</v>
      </c>
      <c r="I1281" s="0" t="s">
        <v>5005</v>
      </c>
      <c r="J1281" s="20" t="s">
        <v>25</v>
      </c>
    </row>
    <row r="1282" customFormat="false" ht="15" hidden="false" customHeight="false" outlineLevel="0" collapsed="false">
      <c r="A1282" s="0" t="s">
        <v>1203</v>
      </c>
      <c r="B1282" s="0" t="s">
        <v>134</v>
      </c>
      <c r="C1282" s="0" t="s">
        <v>3447</v>
      </c>
      <c r="D1282" s="0" t="s">
        <v>3448</v>
      </c>
      <c r="E1282" s="0" t="s">
        <v>4963</v>
      </c>
      <c r="F1282" s="0" t="s">
        <v>59</v>
      </c>
      <c r="G1282" s="0" t="s">
        <v>4974</v>
      </c>
      <c r="H1282" s="0" t="s">
        <v>69</v>
      </c>
      <c r="I1282" s="0" t="s">
        <v>4975</v>
      </c>
      <c r="J1282" s="20" t="s">
        <v>25</v>
      </c>
    </row>
    <row r="1283" customFormat="false" ht="15" hidden="false" customHeight="false" outlineLevel="0" collapsed="false">
      <c r="A1283" s="0" t="s">
        <v>1203</v>
      </c>
      <c r="B1283" s="0" t="s">
        <v>3459</v>
      </c>
      <c r="C1283" s="0" t="s">
        <v>3450</v>
      </c>
      <c r="D1283" s="0" t="s">
        <v>3457</v>
      </c>
      <c r="E1283" s="0" t="s">
        <v>4963</v>
      </c>
      <c r="F1283" s="0" t="s">
        <v>59</v>
      </c>
      <c r="G1283" s="0" t="s">
        <v>4974</v>
      </c>
      <c r="H1283" s="0" t="s">
        <v>69</v>
      </c>
      <c r="I1283" s="0" t="s">
        <v>4975</v>
      </c>
      <c r="J1283" s="20" t="s">
        <v>25</v>
      </c>
    </row>
    <row r="1284" customFormat="false" ht="15" hidden="false" customHeight="false" outlineLevel="0" collapsed="false">
      <c r="A1284" s="0" t="s">
        <v>1203</v>
      </c>
      <c r="B1284" s="0" t="s">
        <v>3459</v>
      </c>
      <c r="C1284" s="0" t="s">
        <v>3450</v>
      </c>
      <c r="D1284" s="0" t="s">
        <v>3448</v>
      </c>
      <c r="E1284" s="0" t="s">
        <v>4969</v>
      </c>
      <c r="F1284" s="0" t="s">
        <v>64</v>
      </c>
      <c r="G1284" s="0" t="s">
        <v>4220</v>
      </c>
      <c r="H1284" s="0" t="s">
        <v>5428</v>
      </c>
      <c r="I1284" s="0" t="s">
        <v>4991</v>
      </c>
      <c r="J1284" s="20" t="s">
        <v>25</v>
      </c>
    </row>
    <row r="1285" customFormat="false" ht="15" hidden="false" customHeight="false" outlineLevel="0" collapsed="false">
      <c r="A1285" s="0" t="s">
        <v>1203</v>
      </c>
      <c r="B1285" s="0" t="s">
        <v>3459</v>
      </c>
      <c r="C1285" s="0" t="s">
        <v>3447</v>
      </c>
      <c r="D1285" s="0" t="s">
        <v>3448</v>
      </c>
      <c r="E1285" s="0" t="s">
        <v>4969</v>
      </c>
      <c r="F1285" s="0" t="s">
        <v>64</v>
      </c>
      <c r="G1285" s="0" t="s">
        <v>4220</v>
      </c>
      <c r="H1285" s="0" t="s">
        <v>5428</v>
      </c>
      <c r="I1285" s="0" t="s">
        <v>4991</v>
      </c>
      <c r="J1285" s="20" t="s">
        <v>25</v>
      </c>
    </row>
    <row r="1286" customFormat="false" ht="15" hidden="false" customHeight="false" outlineLevel="0" collapsed="false">
      <c r="A1286" s="0" t="s">
        <v>1203</v>
      </c>
      <c r="B1286" s="0" t="s">
        <v>134</v>
      </c>
      <c r="C1286" s="0" t="s">
        <v>3447</v>
      </c>
      <c r="D1286" s="0" t="s">
        <v>3448</v>
      </c>
      <c r="E1286" s="0" t="s">
        <v>4963</v>
      </c>
      <c r="F1286" s="0" t="s">
        <v>30</v>
      </c>
      <c r="G1286" s="0" t="s">
        <v>4980</v>
      </c>
      <c r="H1286" s="0" t="s">
        <v>4534</v>
      </c>
      <c r="I1286" s="0" t="s">
        <v>4981</v>
      </c>
      <c r="J1286" s="18" t="s">
        <v>24</v>
      </c>
    </row>
    <row r="1287" customFormat="false" ht="15" hidden="false" customHeight="false" outlineLevel="0" collapsed="false">
      <c r="A1287" s="0" t="s">
        <v>1203</v>
      </c>
      <c r="B1287" s="0" t="s">
        <v>3459</v>
      </c>
      <c r="C1287" s="0" t="s">
        <v>3450</v>
      </c>
      <c r="D1287" s="0" t="s">
        <v>3457</v>
      </c>
      <c r="E1287" s="0" t="s">
        <v>4963</v>
      </c>
      <c r="F1287" s="0" t="s">
        <v>30</v>
      </c>
      <c r="G1287" s="0" t="s">
        <v>4980</v>
      </c>
      <c r="H1287" s="0" t="s">
        <v>4275</v>
      </c>
      <c r="I1287" s="0" t="s">
        <v>4981</v>
      </c>
      <c r="J1287" s="18" t="s">
        <v>24</v>
      </c>
    </row>
    <row r="1288" customFormat="false" ht="15" hidden="false" customHeight="false" outlineLevel="0" collapsed="false">
      <c r="A1288" s="0" t="s">
        <v>1209</v>
      </c>
      <c r="B1288" s="0" t="s">
        <v>134</v>
      </c>
      <c r="C1288" s="0" t="s">
        <v>3447</v>
      </c>
      <c r="D1288" s="0" t="s">
        <v>3457</v>
      </c>
      <c r="E1288" s="0" t="s">
        <v>4963</v>
      </c>
      <c r="F1288" s="0" t="s">
        <v>60</v>
      </c>
      <c r="G1288" s="0" t="s">
        <v>4964</v>
      </c>
      <c r="H1288" s="0" t="s">
        <v>4965</v>
      </c>
      <c r="I1288" s="0" t="s">
        <v>4966</v>
      </c>
      <c r="J1288" s="19" t="s">
        <v>26</v>
      </c>
    </row>
    <row r="1289" customFormat="false" ht="15" hidden="false" customHeight="false" outlineLevel="0" collapsed="false">
      <c r="A1289" s="0" t="s">
        <v>1209</v>
      </c>
      <c r="B1289" s="0" t="s">
        <v>134</v>
      </c>
      <c r="C1289" s="0" t="s">
        <v>3447</v>
      </c>
      <c r="D1289" s="0" t="s">
        <v>3448</v>
      </c>
      <c r="E1289" s="0" t="s">
        <v>4963</v>
      </c>
      <c r="F1289" s="0" t="s">
        <v>60</v>
      </c>
      <c r="G1289" s="0" t="s">
        <v>4964</v>
      </c>
      <c r="H1289" s="0" t="s">
        <v>5016</v>
      </c>
      <c r="I1289" s="0" t="s">
        <v>4966</v>
      </c>
      <c r="J1289" s="19" t="s">
        <v>26</v>
      </c>
    </row>
    <row r="1290" customFormat="false" ht="15" hidden="false" customHeight="false" outlineLevel="0" collapsed="false">
      <c r="A1290" s="0" t="s">
        <v>1209</v>
      </c>
      <c r="B1290" s="0" t="s">
        <v>134</v>
      </c>
      <c r="C1290" s="0" t="s">
        <v>3447</v>
      </c>
      <c r="D1290" s="0" t="s">
        <v>3457</v>
      </c>
      <c r="E1290" s="0" t="s">
        <v>4963</v>
      </c>
      <c r="F1290" s="0" t="s">
        <v>59</v>
      </c>
      <c r="G1290" s="0" t="s">
        <v>4974</v>
      </c>
      <c r="H1290" s="0" t="s">
        <v>69</v>
      </c>
      <c r="I1290" s="0" t="s">
        <v>4975</v>
      </c>
      <c r="J1290" s="20" t="s">
        <v>25</v>
      </c>
    </row>
    <row r="1291" customFormat="false" ht="15" hidden="false" customHeight="false" outlineLevel="0" collapsed="false">
      <c r="A1291" s="0" t="s">
        <v>1209</v>
      </c>
      <c r="B1291" s="0" t="s">
        <v>134</v>
      </c>
      <c r="C1291" s="0" t="s">
        <v>3447</v>
      </c>
      <c r="D1291" s="0" t="s">
        <v>3448</v>
      </c>
      <c r="E1291" s="0" t="s">
        <v>4963</v>
      </c>
      <c r="F1291" s="0" t="s">
        <v>59</v>
      </c>
      <c r="G1291" s="0" t="s">
        <v>4974</v>
      </c>
      <c r="H1291" s="0" t="s">
        <v>69</v>
      </c>
      <c r="I1291" s="0" t="s">
        <v>4975</v>
      </c>
      <c r="J1291" s="20" t="s">
        <v>25</v>
      </c>
    </row>
    <row r="1292" customFormat="false" ht="15" hidden="false" customHeight="false" outlineLevel="0" collapsed="false">
      <c r="A1292" s="0" t="s">
        <v>1215</v>
      </c>
      <c r="B1292" s="0" t="s">
        <v>134</v>
      </c>
      <c r="C1292" s="0" t="s">
        <v>3450</v>
      </c>
      <c r="D1292" s="0" t="s">
        <v>3457</v>
      </c>
      <c r="E1292" s="0" t="s">
        <v>4963</v>
      </c>
      <c r="F1292" s="0" t="s">
        <v>60</v>
      </c>
      <c r="G1292" s="0" t="s">
        <v>4964</v>
      </c>
      <c r="H1292" s="0" t="s">
        <v>5016</v>
      </c>
      <c r="I1292" s="0" t="s">
        <v>4966</v>
      </c>
      <c r="J1292" s="19" t="s">
        <v>26</v>
      </c>
    </row>
    <row r="1293" customFormat="false" ht="15" hidden="false" customHeight="false" outlineLevel="0" collapsed="false">
      <c r="A1293" s="0" t="s">
        <v>1215</v>
      </c>
      <c r="B1293" s="0" t="s">
        <v>134</v>
      </c>
      <c r="C1293" s="0" t="s">
        <v>3450</v>
      </c>
      <c r="D1293" s="0" t="s">
        <v>3457</v>
      </c>
      <c r="E1293" s="0" t="s">
        <v>4963</v>
      </c>
      <c r="F1293" s="0" t="s">
        <v>59</v>
      </c>
      <c r="G1293" s="0" t="s">
        <v>4974</v>
      </c>
      <c r="H1293" s="0" t="s">
        <v>69</v>
      </c>
      <c r="I1293" s="0" t="s">
        <v>4975</v>
      </c>
      <c r="J1293" s="20" t="s">
        <v>25</v>
      </c>
    </row>
    <row r="1294" customFormat="false" ht="15" hidden="false" customHeight="false" outlineLevel="0" collapsed="false">
      <c r="A1294" s="0" t="s">
        <v>1215</v>
      </c>
      <c r="B1294" s="0" t="s">
        <v>134</v>
      </c>
      <c r="C1294" s="0" t="s">
        <v>3450</v>
      </c>
      <c r="D1294" s="0" t="s">
        <v>3448</v>
      </c>
      <c r="E1294" s="0" t="s">
        <v>4963</v>
      </c>
      <c r="F1294" s="0" t="s">
        <v>59</v>
      </c>
      <c r="G1294" s="0" t="s">
        <v>4974</v>
      </c>
      <c r="H1294" s="0" t="s">
        <v>69</v>
      </c>
      <c r="I1294" s="0" t="s">
        <v>4975</v>
      </c>
      <c r="J1294" s="20" t="s">
        <v>25</v>
      </c>
    </row>
    <row r="1295" customFormat="false" ht="15" hidden="false" customHeight="false" outlineLevel="0" collapsed="false">
      <c r="A1295" s="0" t="s">
        <v>1215</v>
      </c>
      <c r="B1295" s="0" t="s">
        <v>134</v>
      </c>
      <c r="C1295" s="0" t="s">
        <v>3447</v>
      </c>
      <c r="D1295" s="0" t="s">
        <v>3448</v>
      </c>
      <c r="E1295" s="0" t="s">
        <v>4963</v>
      </c>
      <c r="F1295" s="0" t="s">
        <v>59</v>
      </c>
      <c r="G1295" s="0" t="s">
        <v>4974</v>
      </c>
      <c r="H1295" s="0" t="s">
        <v>69</v>
      </c>
      <c r="I1295" s="0" t="s">
        <v>4975</v>
      </c>
      <c r="J1295" s="20" t="s">
        <v>25</v>
      </c>
    </row>
    <row r="1296" customFormat="false" ht="15" hidden="false" customHeight="false" outlineLevel="0" collapsed="false">
      <c r="A1296" s="0" t="s">
        <v>1215</v>
      </c>
      <c r="B1296" s="0" t="s">
        <v>134</v>
      </c>
      <c r="C1296" s="0" t="s">
        <v>3450</v>
      </c>
      <c r="D1296" s="0" t="s">
        <v>3448</v>
      </c>
      <c r="E1296" s="0" t="s">
        <v>4963</v>
      </c>
      <c r="F1296" s="0" t="s">
        <v>30</v>
      </c>
      <c r="G1296" s="0" t="s">
        <v>4980</v>
      </c>
      <c r="H1296" s="0" t="s">
        <v>4535</v>
      </c>
      <c r="I1296" s="0" t="s">
        <v>4981</v>
      </c>
      <c r="J1296" s="18" t="s">
        <v>24</v>
      </c>
    </row>
    <row r="1297" customFormat="false" ht="15" hidden="false" customHeight="false" outlineLevel="0" collapsed="false">
      <c r="A1297" s="0" t="s">
        <v>1215</v>
      </c>
      <c r="B1297" s="0" t="s">
        <v>134</v>
      </c>
      <c r="C1297" s="0" t="s">
        <v>3447</v>
      </c>
      <c r="D1297" s="0" t="s">
        <v>3448</v>
      </c>
      <c r="E1297" s="0" t="s">
        <v>4963</v>
      </c>
      <c r="F1297" s="0" t="s">
        <v>30</v>
      </c>
      <c r="G1297" s="0" t="s">
        <v>4980</v>
      </c>
      <c r="H1297" s="0" t="s">
        <v>4536</v>
      </c>
      <c r="I1297" s="0" t="s">
        <v>4981</v>
      </c>
      <c r="J1297" s="18" t="s">
        <v>24</v>
      </c>
    </row>
    <row r="1298" customFormat="false" ht="15" hidden="false" customHeight="false" outlineLevel="0" collapsed="false">
      <c r="A1298" s="0" t="s">
        <v>1221</v>
      </c>
      <c r="B1298" s="0" t="s">
        <v>134</v>
      </c>
      <c r="C1298" s="0" t="s">
        <v>3447</v>
      </c>
      <c r="D1298" s="0" t="s">
        <v>3457</v>
      </c>
      <c r="E1298" s="0" t="s">
        <v>4963</v>
      </c>
      <c r="F1298" s="0" t="s">
        <v>59</v>
      </c>
      <c r="G1298" s="0" t="s">
        <v>4974</v>
      </c>
      <c r="H1298" s="0" t="s">
        <v>69</v>
      </c>
      <c r="I1298" s="0" t="s">
        <v>4975</v>
      </c>
      <c r="J1298" s="20" t="s">
        <v>25</v>
      </c>
    </row>
    <row r="1299" customFormat="false" ht="15" hidden="false" customHeight="false" outlineLevel="0" collapsed="false">
      <c r="A1299" s="0" t="s">
        <v>1221</v>
      </c>
      <c r="B1299" s="0" t="s">
        <v>134</v>
      </c>
      <c r="C1299" s="0" t="s">
        <v>3450</v>
      </c>
      <c r="D1299" s="0" t="s">
        <v>3457</v>
      </c>
      <c r="E1299" s="0" t="s">
        <v>4963</v>
      </c>
      <c r="F1299" s="0" t="s">
        <v>30</v>
      </c>
      <c r="G1299" s="0" t="s">
        <v>4980</v>
      </c>
      <c r="H1299" s="0" t="s">
        <v>4508</v>
      </c>
      <c r="I1299" s="0" t="s">
        <v>4981</v>
      </c>
      <c r="J1299" s="18" t="s">
        <v>24</v>
      </c>
    </row>
    <row r="1300" customFormat="false" ht="15" hidden="false" customHeight="false" outlineLevel="0" collapsed="false">
      <c r="A1300" s="0" t="s">
        <v>1221</v>
      </c>
      <c r="B1300" s="0" t="s">
        <v>134</v>
      </c>
      <c r="C1300" s="0" t="s">
        <v>3447</v>
      </c>
      <c r="D1300" s="0" t="s">
        <v>3457</v>
      </c>
      <c r="E1300" s="0" t="s">
        <v>4963</v>
      </c>
      <c r="F1300" s="0" t="s">
        <v>30</v>
      </c>
      <c r="G1300" s="0" t="s">
        <v>4980</v>
      </c>
      <c r="H1300" s="0" t="s">
        <v>4331</v>
      </c>
      <c r="I1300" s="0" t="s">
        <v>4981</v>
      </c>
      <c r="J1300" s="18" t="s">
        <v>24</v>
      </c>
    </row>
    <row r="1301" customFormat="false" ht="15" hidden="false" customHeight="false" outlineLevel="0" collapsed="false">
      <c r="A1301" s="0" t="s">
        <v>1227</v>
      </c>
      <c r="B1301" s="0" t="s">
        <v>134</v>
      </c>
      <c r="C1301" s="0" t="s">
        <v>3450</v>
      </c>
      <c r="D1301" s="0" t="s">
        <v>3457</v>
      </c>
      <c r="E1301" s="0" t="s">
        <v>4969</v>
      </c>
      <c r="F1301" s="0" t="s">
        <v>62</v>
      </c>
      <c r="G1301" s="0" t="s">
        <v>5003</v>
      </c>
      <c r="H1301" s="0" t="s">
        <v>5429</v>
      </c>
      <c r="I1301" s="0" t="s">
        <v>5005</v>
      </c>
      <c r="J1301" s="20" t="s">
        <v>25</v>
      </c>
    </row>
    <row r="1302" customFormat="false" ht="15" hidden="false" customHeight="false" outlineLevel="0" collapsed="false">
      <c r="A1302" s="0" t="s">
        <v>1227</v>
      </c>
      <c r="B1302" s="0" t="s">
        <v>134</v>
      </c>
      <c r="C1302" s="0" t="s">
        <v>3450</v>
      </c>
      <c r="D1302" s="0" t="s">
        <v>3448</v>
      </c>
      <c r="E1302" s="0" t="s">
        <v>4963</v>
      </c>
      <c r="F1302" s="0" t="s">
        <v>59</v>
      </c>
      <c r="G1302" s="0" t="s">
        <v>4974</v>
      </c>
      <c r="H1302" s="0" t="s">
        <v>69</v>
      </c>
      <c r="I1302" s="0" t="s">
        <v>4975</v>
      </c>
      <c r="J1302" s="20" t="s">
        <v>25</v>
      </c>
    </row>
    <row r="1303" customFormat="false" ht="15" hidden="false" customHeight="false" outlineLevel="0" collapsed="false">
      <c r="A1303" s="0" t="s">
        <v>1227</v>
      </c>
      <c r="B1303" s="0" t="s">
        <v>134</v>
      </c>
      <c r="C1303" s="0" t="s">
        <v>3447</v>
      </c>
      <c r="D1303" s="0" t="s">
        <v>3448</v>
      </c>
      <c r="E1303" s="0" t="s">
        <v>4963</v>
      </c>
      <c r="F1303" s="0" t="s">
        <v>59</v>
      </c>
      <c r="G1303" s="0" t="s">
        <v>4974</v>
      </c>
      <c r="H1303" s="0" t="s">
        <v>69</v>
      </c>
      <c r="I1303" s="0" t="s">
        <v>4975</v>
      </c>
      <c r="J1303" s="20" t="s">
        <v>25</v>
      </c>
    </row>
    <row r="1304" customFormat="false" ht="15" hidden="false" customHeight="false" outlineLevel="0" collapsed="false">
      <c r="A1304" s="0" t="s">
        <v>1227</v>
      </c>
      <c r="B1304" s="0" t="s">
        <v>134</v>
      </c>
      <c r="C1304" s="0" t="s">
        <v>3450</v>
      </c>
      <c r="D1304" s="0" t="s">
        <v>3448</v>
      </c>
      <c r="E1304" s="0" t="s">
        <v>4963</v>
      </c>
      <c r="F1304" s="0" t="s">
        <v>30</v>
      </c>
      <c r="G1304" s="0" t="s">
        <v>4980</v>
      </c>
      <c r="H1304" s="0" t="s">
        <v>4275</v>
      </c>
      <c r="I1304" s="0" t="s">
        <v>4981</v>
      </c>
      <c r="J1304" s="18" t="s">
        <v>24</v>
      </c>
    </row>
    <row r="1305" customFormat="false" ht="15" hidden="false" customHeight="false" outlineLevel="0" collapsed="false">
      <c r="A1305" s="0" t="s">
        <v>1227</v>
      </c>
      <c r="B1305" s="0" t="s">
        <v>134</v>
      </c>
      <c r="C1305" s="0" t="s">
        <v>3447</v>
      </c>
      <c r="D1305" s="0" t="s">
        <v>3448</v>
      </c>
      <c r="E1305" s="0" t="s">
        <v>4963</v>
      </c>
      <c r="F1305" s="0" t="s">
        <v>30</v>
      </c>
      <c r="G1305" s="0" t="s">
        <v>4980</v>
      </c>
      <c r="H1305" s="0" t="s">
        <v>4535</v>
      </c>
      <c r="I1305" s="0" t="s">
        <v>4981</v>
      </c>
      <c r="J1305" s="18" t="s">
        <v>24</v>
      </c>
    </row>
    <row r="1306" customFormat="false" ht="15" hidden="false" customHeight="false" outlineLevel="0" collapsed="false">
      <c r="A1306" s="0" t="s">
        <v>1234</v>
      </c>
      <c r="B1306" s="0" t="s">
        <v>134</v>
      </c>
      <c r="C1306" s="0" t="s">
        <v>3447</v>
      </c>
      <c r="D1306" s="0" t="s">
        <v>3457</v>
      </c>
      <c r="E1306" s="0" t="s">
        <v>4963</v>
      </c>
      <c r="F1306" s="0" t="s">
        <v>60</v>
      </c>
      <c r="G1306" s="0" t="s">
        <v>4964</v>
      </c>
      <c r="H1306" s="0" t="s">
        <v>5046</v>
      </c>
      <c r="I1306" s="0" t="s">
        <v>4966</v>
      </c>
      <c r="J1306" s="19" t="s">
        <v>26</v>
      </c>
    </row>
    <row r="1307" customFormat="false" ht="15" hidden="false" customHeight="false" outlineLevel="0" collapsed="false">
      <c r="A1307" s="0" t="s">
        <v>1234</v>
      </c>
      <c r="B1307" s="0" t="s">
        <v>134</v>
      </c>
      <c r="C1307" s="0" t="s">
        <v>3447</v>
      </c>
      <c r="D1307" s="0" t="s">
        <v>3448</v>
      </c>
      <c r="E1307" s="0" t="s">
        <v>4963</v>
      </c>
      <c r="F1307" s="0" t="s">
        <v>60</v>
      </c>
      <c r="G1307" s="0" t="s">
        <v>4964</v>
      </c>
      <c r="H1307" s="0" t="s">
        <v>5009</v>
      </c>
      <c r="I1307" s="0" t="s">
        <v>4966</v>
      </c>
      <c r="J1307" s="19" t="s">
        <v>26</v>
      </c>
    </row>
    <row r="1308" customFormat="false" ht="15" hidden="false" customHeight="false" outlineLevel="0" collapsed="false">
      <c r="A1308" s="0" t="s">
        <v>1234</v>
      </c>
      <c r="B1308" s="0" t="s">
        <v>3459</v>
      </c>
      <c r="C1308" s="0" t="s">
        <v>3447</v>
      </c>
      <c r="D1308" s="0" t="s">
        <v>3457</v>
      </c>
      <c r="E1308" s="0" t="s">
        <v>4963</v>
      </c>
      <c r="F1308" s="0" t="s">
        <v>60</v>
      </c>
      <c r="G1308" s="0" t="s">
        <v>4964</v>
      </c>
      <c r="H1308" s="0" t="s">
        <v>5309</v>
      </c>
      <c r="I1308" s="0" t="s">
        <v>4966</v>
      </c>
      <c r="J1308" s="19" t="s">
        <v>26</v>
      </c>
    </row>
    <row r="1309" customFormat="false" ht="15" hidden="false" customHeight="false" outlineLevel="0" collapsed="false">
      <c r="A1309" s="0" t="s">
        <v>1234</v>
      </c>
      <c r="B1309" s="0" t="s">
        <v>3459</v>
      </c>
      <c r="C1309" s="0" t="s">
        <v>3447</v>
      </c>
      <c r="D1309" s="0" t="s">
        <v>3448</v>
      </c>
      <c r="E1309" s="0" t="s">
        <v>4963</v>
      </c>
      <c r="F1309" s="0" t="s">
        <v>60</v>
      </c>
      <c r="G1309" s="0" t="s">
        <v>4964</v>
      </c>
      <c r="H1309" s="0" t="s">
        <v>5056</v>
      </c>
      <c r="I1309" s="0" t="s">
        <v>4966</v>
      </c>
      <c r="J1309" s="19" t="s">
        <v>26</v>
      </c>
    </row>
    <row r="1310" customFormat="false" ht="15" hidden="false" customHeight="false" outlineLevel="0" collapsed="false">
      <c r="A1310" s="0" t="s">
        <v>1234</v>
      </c>
      <c r="B1310" s="0" t="s">
        <v>134</v>
      </c>
      <c r="C1310" s="0" t="s">
        <v>3447</v>
      </c>
      <c r="D1310" s="0" t="s">
        <v>3457</v>
      </c>
      <c r="E1310" s="0" t="s">
        <v>4963</v>
      </c>
      <c r="F1310" s="0" t="s">
        <v>59</v>
      </c>
      <c r="G1310" s="0" t="s">
        <v>4974</v>
      </c>
      <c r="H1310" s="0" t="s">
        <v>69</v>
      </c>
      <c r="I1310" s="0" t="s">
        <v>4975</v>
      </c>
      <c r="J1310" s="20" t="s">
        <v>25</v>
      </c>
    </row>
    <row r="1311" customFormat="false" ht="15" hidden="false" customHeight="false" outlineLevel="0" collapsed="false">
      <c r="A1311" s="0" t="s">
        <v>1234</v>
      </c>
      <c r="B1311" s="0" t="s">
        <v>134</v>
      </c>
      <c r="C1311" s="0" t="s">
        <v>3447</v>
      </c>
      <c r="D1311" s="0" t="s">
        <v>3448</v>
      </c>
      <c r="E1311" s="0" t="s">
        <v>4963</v>
      </c>
      <c r="F1311" s="0" t="s">
        <v>59</v>
      </c>
      <c r="G1311" s="0" t="s">
        <v>4974</v>
      </c>
      <c r="H1311" s="0" t="s">
        <v>69</v>
      </c>
      <c r="I1311" s="0" t="s">
        <v>4975</v>
      </c>
      <c r="J1311" s="20" t="s">
        <v>25</v>
      </c>
    </row>
    <row r="1312" customFormat="false" ht="15" hidden="false" customHeight="false" outlineLevel="0" collapsed="false">
      <c r="A1312" s="0" t="s">
        <v>1234</v>
      </c>
      <c r="B1312" s="0" t="s">
        <v>3459</v>
      </c>
      <c r="C1312" s="0" t="s">
        <v>3450</v>
      </c>
      <c r="D1312" s="0" t="s">
        <v>3457</v>
      </c>
      <c r="E1312" s="0" t="s">
        <v>4963</v>
      </c>
      <c r="F1312" s="0" t="s">
        <v>59</v>
      </c>
      <c r="G1312" s="0" t="s">
        <v>4974</v>
      </c>
      <c r="H1312" s="0" t="s">
        <v>69</v>
      </c>
      <c r="I1312" s="0" t="s">
        <v>4975</v>
      </c>
      <c r="J1312" s="20" t="s">
        <v>25</v>
      </c>
    </row>
    <row r="1313" customFormat="false" ht="15" hidden="false" customHeight="false" outlineLevel="0" collapsed="false">
      <c r="A1313" s="0" t="s">
        <v>1234</v>
      </c>
      <c r="B1313" s="0" t="s">
        <v>3459</v>
      </c>
      <c r="C1313" s="0" t="s">
        <v>3450</v>
      </c>
      <c r="D1313" s="0" t="s">
        <v>3448</v>
      </c>
      <c r="E1313" s="0" t="s">
        <v>4963</v>
      </c>
      <c r="F1313" s="0" t="s">
        <v>59</v>
      </c>
      <c r="G1313" s="0" t="s">
        <v>4974</v>
      </c>
      <c r="H1313" s="0" t="s">
        <v>69</v>
      </c>
      <c r="I1313" s="0" t="s">
        <v>4975</v>
      </c>
      <c r="J1313" s="20" t="s">
        <v>25</v>
      </c>
    </row>
    <row r="1314" customFormat="false" ht="15" hidden="false" customHeight="false" outlineLevel="0" collapsed="false">
      <c r="A1314" s="0" t="s">
        <v>1234</v>
      </c>
      <c r="B1314" s="0" t="s">
        <v>3459</v>
      </c>
      <c r="C1314" s="0" t="s">
        <v>3447</v>
      </c>
      <c r="D1314" s="0" t="s">
        <v>3457</v>
      </c>
      <c r="E1314" s="0" t="s">
        <v>4963</v>
      </c>
      <c r="F1314" s="0" t="s">
        <v>59</v>
      </c>
      <c r="G1314" s="0" t="s">
        <v>4974</v>
      </c>
      <c r="H1314" s="0" t="s">
        <v>69</v>
      </c>
      <c r="I1314" s="0" t="s">
        <v>4975</v>
      </c>
      <c r="J1314" s="20" t="s">
        <v>25</v>
      </c>
    </row>
    <row r="1315" customFormat="false" ht="15" hidden="false" customHeight="false" outlineLevel="0" collapsed="false">
      <c r="A1315" s="0" t="s">
        <v>1234</v>
      </c>
      <c r="B1315" s="0" t="s">
        <v>3459</v>
      </c>
      <c r="C1315" s="0" t="s">
        <v>3447</v>
      </c>
      <c r="D1315" s="0" t="s">
        <v>3448</v>
      </c>
      <c r="E1315" s="0" t="s">
        <v>4963</v>
      </c>
      <c r="F1315" s="0" t="s">
        <v>59</v>
      </c>
      <c r="G1315" s="0" t="s">
        <v>4974</v>
      </c>
      <c r="H1315" s="0" t="s">
        <v>69</v>
      </c>
      <c r="I1315" s="0" t="s">
        <v>4975</v>
      </c>
      <c r="J1315" s="20" t="s">
        <v>25</v>
      </c>
    </row>
    <row r="1316" customFormat="false" ht="15" hidden="false" customHeight="false" outlineLevel="0" collapsed="false">
      <c r="A1316" s="0" t="s">
        <v>1234</v>
      </c>
      <c r="B1316" s="0" t="s">
        <v>3459</v>
      </c>
      <c r="C1316" s="0" t="s">
        <v>3450</v>
      </c>
      <c r="D1316" s="0" t="s">
        <v>3457</v>
      </c>
      <c r="E1316" s="0" t="s">
        <v>4963</v>
      </c>
      <c r="F1316" s="0" t="s">
        <v>30</v>
      </c>
      <c r="G1316" s="0" t="s">
        <v>4980</v>
      </c>
      <c r="H1316" s="0" t="s">
        <v>4275</v>
      </c>
      <c r="I1316" s="0" t="s">
        <v>4981</v>
      </c>
      <c r="J1316" s="18" t="s">
        <v>24</v>
      </c>
    </row>
    <row r="1317" customFormat="false" ht="15" hidden="false" customHeight="false" outlineLevel="0" collapsed="false">
      <c r="A1317" s="0" t="s">
        <v>1234</v>
      </c>
      <c r="B1317" s="0" t="s">
        <v>3459</v>
      </c>
      <c r="C1317" s="0" t="s">
        <v>3450</v>
      </c>
      <c r="D1317" s="0" t="s">
        <v>3448</v>
      </c>
      <c r="E1317" s="0" t="s">
        <v>4963</v>
      </c>
      <c r="F1317" s="0" t="s">
        <v>30</v>
      </c>
      <c r="G1317" s="0" t="s">
        <v>4980</v>
      </c>
      <c r="H1317" s="0" t="s">
        <v>4275</v>
      </c>
      <c r="I1317" s="0" t="s">
        <v>4981</v>
      </c>
      <c r="J1317" s="18" t="s">
        <v>24</v>
      </c>
    </row>
    <row r="1318" customFormat="false" ht="15" hidden="false" customHeight="false" outlineLevel="0" collapsed="false">
      <c r="A1318" s="0" t="s">
        <v>1240</v>
      </c>
      <c r="B1318" s="0" t="s">
        <v>134</v>
      </c>
      <c r="C1318" s="0" t="s">
        <v>3450</v>
      </c>
      <c r="D1318" s="0" t="s">
        <v>3457</v>
      </c>
      <c r="E1318" s="0" t="s">
        <v>4963</v>
      </c>
      <c r="F1318" s="0" t="s">
        <v>65</v>
      </c>
      <c r="G1318" s="0" t="s">
        <v>4997</v>
      </c>
      <c r="H1318" s="0" t="s">
        <v>3871</v>
      </c>
      <c r="I1318" s="0" t="s">
        <v>4998</v>
      </c>
      <c r="J1318" s="19" t="s">
        <v>26</v>
      </c>
    </row>
    <row r="1319" customFormat="false" ht="15" hidden="false" customHeight="false" outlineLevel="0" collapsed="false">
      <c r="A1319" s="0" t="s">
        <v>1240</v>
      </c>
      <c r="B1319" s="0" t="s">
        <v>134</v>
      </c>
      <c r="C1319" s="0" t="s">
        <v>3450</v>
      </c>
      <c r="D1319" s="0" t="s">
        <v>3457</v>
      </c>
      <c r="E1319" s="0" t="s">
        <v>4963</v>
      </c>
      <c r="F1319" s="0" t="s">
        <v>60</v>
      </c>
      <c r="G1319" s="0" t="s">
        <v>4964</v>
      </c>
      <c r="H1319" s="0" t="s">
        <v>5430</v>
      </c>
      <c r="I1319" s="0" t="s">
        <v>4966</v>
      </c>
      <c r="J1319" s="19" t="s">
        <v>26</v>
      </c>
    </row>
    <row r="1320" customFormat="false" ht="15" hidden="false" customHeight="false" outlineLevel="0" collapsed="false">
      <c r="A1320" s="0" t="s">
        <v>1240</v>
      </c>
      <c r="B1320" s="0" t="s">
        <v>134</v>
      </c>
      <c r="C1320" s="0" t="s">
        <v>3450</v>
      </c>
      <c r="D1320" s="0" t="s">
        <v>3457</v>
      </c>
      <c r="E1320" s="0" t="s">
        <v>4969</v>
      </c>
      <c r="F1320" s="0" t="s">
        <v>61</v>
      </c>
      <c r="G1320" s="0" t="s">
        <v>4970</v>
      </c>
      <c r="H1320" s="0" t="s">
        <v>5431</v>
      </c>
      <c r="I1320" s="0" t="s">
        <v>4972</v>
      </c>
      <c r="J1320" s="20" t="s">
        <v>25</v>
      </c>
    </row>
    <row r="1321" customFormat="false" ht="15" hidden="false" customHeight="false" outlineLevel="0" collapsed="false">
      <c r="A1321" s="0" t="s">
        <v>1240</v>
      </c>
      <c r="B1321" s="0" t="s">
        <v>134</v>
      </c>
      <c r="C1321" s="0" t="s">
        <v>3450</v>
      </c>
      <c r="D1321" s="0" t="s">
        <v>3448</v>
      </c>
      <c r="E1321" s="0" t="s">
        <v>4963</v>
      </c>
      <c r="F1321" s="0" t="s">
        <v>59</v>
      </c>
      <c r="G1321" s="0" t="s">
        <v>4974</v>
      </c>
      <c r="H1321" s="0" t="s">
        <v>69</v>
      </c>
      <c r="I1321" s="0" t="s">
        <v>4975</v>
      </c>
      <c r="J1321" s="20" t="s">
        <v>25</v>
      </c>
    </row>
    <row r="1322" customFormat="false" ht="15" hidden="false" customHeight="false" outlineLevel="0" collapsed="false">
      <c r="A1322" s="0" t="s">
        <v>1240</v>
      </c>
      <c r="B1322" s="0" t="s">
        <v>134</v>
      </c>
      <c r="C1322" s="0" t="s">
        <v>3450</v>
      </c>
      <c r="D1322" s="0" t="s">
        <v>3448</v>
      </c>
      <c r="E1322" s="0" t="s">
        <v>4969</v>
      </c>
      <c r="F1322" s="0" t="s">
        <v>61</v>
      </c>
      <c r="G1322" s="0" t="s">
        <v>4970</v>
      </c>
      <c r="H1322" s="0" t="s">
        <v>5432</v>
      </c>
      <c r="I1322" s="0" t="s">
        <v>4972</v>
      </c>
      <c r="J1322" s="20" t="s">
        <v>25</v>
      </c>
    </row>
    <row r="1323" customFormat="false" ht="15" hidden="false" customHeight="false" outlineLevel="0" collapsed="false">
      <c r="A1323" s="0" t="s">
        <v>1240</v>
      </c>
      <c r="B1323" s="0" t="s">
        <v>134</v>
      </c>
      <c r="C1323" s="0" t="s">
        <v>3450</v>
      </c>
      <c r="D1323" s="0" t="s">
        <v>3448</v>
      </c>
      <c r="E1323" s="0" t="s">
        <v>4963</v>
      </c>
      <c r="F1323" s="0" t="s">
        <v>30</v>
      </c>
      <c r="G1323" s="0" t="s">
        <v>4980</v>
      </c>
      <c r="H1323" s="0" t="s">
        <v>4375</v>
      </c>
      <c r="I1323" s="0" t="s">
        <v>4981</v>
      </c>
      <c r="J1323" s="18" t="s">
        <v>24</v>
      </c>
    </row>
    <row r="1324" customFormat="false" ht="15" hidden="false" customHeight="false" outlineLevel="0" collapsed="false">
      <c r="A1324" s="0" t="s">
        <v>1240</v>
      </c>
      <c r="B1324" s="0" t="s">
        <v>134</v>
      </c>
      <c r="C1324" s="0" t="s">
        <v>3447</v>
      </c>
      <c r="D1324" s="0" t="s">
        <v>3457</v>
      </c>
      <c r="E1324" s="0" t="s">
        <v>4963</v>
      </c>
      <c r="F1324" s="0" t="s">
        <v>30</v>
      </c>
      <c r="G1324" s="0" t="s">
        <v>4980</v>
      </c>
      <c r="H1324" s="0" t="s">
        <v>4538</v>
      </c>
      <c r="I1324" s="0" t="s">
        <v>4981</v>
      </c>
      <c r="J1324" s="18" t="s">
        <v>24</v>
      </c>
    </row>
    <row r="1325" customFormat="false" ht="15" hidden="false" customHeight="false" outlineLevel="0" collapsed="false">
      <c r="A1325" s="0" t="s">
        <v>1240</v>
      </c>
      <c r="B1325" s="0" t="s">
        <v>134</v>
      </c>
      <c r="C1325" s="0" t="s">
        <v>3447</v>
      </c>
      <c r="D1325" s="0" t="s">
        <v>3448</v>
      </c>
      <c r="E1325" s="0" t="s">
        <v>4963</v>
      </c>
      <c r="F1325" s="0" t="s">
        <v>30</v>
      </c>
      <c r="G1325" s="0" t="s">
        <v>4980</v>
      </c>
      <c r="H1325" s="0" t="s">
        <v>4270</v>
      </c>
      <c r="I1325" s="0" t="s">
        <v>4981</v>
      </c>
      <c r="J1325" s="18" t="s">
        <v>24</v>
      </c>
    </row>
    <row r="1326" customFormat="false" ht="15" hidden="false" customHeight="false" outlineLevel="0" collapsed="false">
      <c r="A1326" s="0" t="s">
        <v>1247</v>
      </c>
      <c r="B1326" s="0" t="s">
        <v>134</v>
      </c>
      <c r="C1326" s="0" t="s">
        <v>3450</v>
      </c>
      <c r="D1326" s="0" t="s">
        <v>3457</v>
      </c>
      <c r="E1326" s="0" t="s">
        <v>4963</v>
      </c>
      <c r="F1326" s="0" t="s">
        <v>59</v>
      </c>
      <c r="G1326" s="0" t="s">
        <v>4974</v>
      </c>
      <c r="H1326" s="0" t="s">
        <v>69</v>
      </c>
      <c r="I1326" s="0" t="s">
        <v>4975</v>
      </c>
      <c r="J1326" s="20" t="s">
        <v>25</v>
      </c>
    </row>
    <row r="1327" customFormat="false" ht="15" hidden="false" customHeight="false" outlineLevel="0" collapsed="false">
      <c r="A1327" s="0" t="s">
        <v>1247</v>
      </c>
      <c r="B1327" s="0" t="s">
        <v>134</v>
      </c>
      <c r="C1327" s="0" t="s">
        <v>3450</v>
      </c>
      <c r="D1327" s="0" t="s">
        <v>3457</v>
      </c>
      <c r="E1327" s="0" t="s">
        <v>4969</v>
      </c>
      <c r="F1327" s="0" t="s">
        <v>64</v>
      </c>
      <c r="G1327" s="0" t="s">
        <v>4220</v>
      </c>
      <c r="H1327" s="0" t="s">
        <v>5433</v>
      </c>
      <c r="I1327" s="0" t="s">
        <v>4991</v>
      </c>
      <c r="J1327" s="20" t="s">
        <v>25</v>
      </c>
    </row>
    <row r="1328" customFormat="false" ht="15" hidden="false" customHeight="false" outlineLevel="0" collapsed="false">
      <c r="A1328" s="0" t="s">
        <v>1247</v>
      </c>
      <c r="B1328" s="0" t="s">
        <v>134</v>
      </c>
      <c r="C1328" s="0" t="s">
        <v>3450</v>
      </c>
      <c r="D1328" s="0" t="s">
        <v>3448</v>
      </c>
      <c r="E1328" s="0" t="s">
        <v>4963</v>
      </c>
      <c r="F1328" s="0" t="s">
        <v>59</v>
      </c>
      <c r="G1328" s="0" t="s">
        <v>4974</v>
      </c>
      <c r="H1328" s="0" t="s">
        <v>69</v>
      </c>
      <c r="I1328" s="0" t="s">
        <v>4975</v>
      </c>
      <c r="J1328" s="20" t="s">
        <v>25</v>
      </c>
    </row>
    <row r="1329" customFormat="false" ht="15" hidden="false" customHeight="false" outlineLevel="0" collapsed="false">
      <c r="A1329" s="0" t="s">
        <v>1247</v>
      </c>
      <c r="B1329" s="0" t="s">
        <v>134</v>
      </c>
      <c r="C1329" s="0" t="s">
        <v>3450</v>
      </c>
      <c r="D1329" s="0" t="s">
        <v>3448</v>
      </c>
      <c r="E1329" s="0" t="s">
        <v>4969</v>
      </c>
      <c r="F1329" s="0" t="s">
        <v>63</v>
      </c>
      <c r="G1329" s="0" t="s">
        <v>4220</v>
      </c>
      <c r="H1329" s="0" t="s">
        <v>5434</v>
      </c>
      <c r="I1329" s="0" t="s">
        <v>4979</v>
      </c>
      <c r="J1329" s="20" t="s">
        <v>25</v>
      </c>
    </row>
    <row r="1330" customFormat="false" ht="15" hidden="false" customHeight="false" outlineLevel="0" collapsed="false">
      <c r="A1330" s="0" t="s">
        <v>1247</v>
      </c>
      <c r="B1330" s="0" t="s">
        <v>134</v>
      </c>
      <c r="C1330" s="0" t="s">
        <v>3447</v>
      </c>
      <c r="D1330" s="0" t="s">
        <v>3457</v>
      </c>
      <c r="E1330" s="0" t="s">
        <v>4963</v>
      </c>
      <c r="F1330" s="0" t="s">
        <v>59</v>
      </c>
      <c r="G1330" s="0" t="s">
        <v>4974</v>
      </c>
      <c r="H1330" s="0" t="s">
        <v>69</v>
      </c>
      <c r="I1330" s="0" t="s">
        <v>4975</v>
      </c>
      <c r="J1330" s="20" t="s">
        <v>25</v>
      </c>
    </row>
    <row r="1331" customFormat="false" ht="15" hidden="false" customHeight="false" outlineLevel="0" collapsed="false">
      <c r="A1331" s="0" t="s">
        <v>1247</v>
      </c>
      <c r="B1331" s="0" t="s">
        <v>134</v>
      </c>
      <c r="C1331" s="0" t="s">
        <v>3447</v>
      </c>
      <c r="D1331" s="0" t="s">
        <v>3457</v>
      </c>
      <c r="E1331" s="0" t="s">
        <v>4969</v>
      </c>
      <c r="F1331" s="0" t="s">
        <v>64</v>
      </c>
      <c r="G1331" s="0" t="s">
        <v>4220</v>
      </c>
      <c r="H1331" s="0" t="s">
        <v>5433</v>
      </c>
      <c r="I1331" s="0" t="s">
        <v>4991</v>
      </c>
      <c r="J1331" s="20" t="s">
        <v>25</v>
      </c>
    </row>
    <row r="1332" customFormat="false" ht="15" hidden="false" customHeight="false" outlineLevel="0" collapsed="false">
      <c r="A1332" s="0" t="s">
        <v>1247</v>
      </c>
      <c r="B1332" s="0" t="s">
        <v>134</v>
      </c>
      <c r="C1332" s="0" t="s">
        <v>3447</v>
      </c>
      <c r="D1332" s="0" t="s">
        <v>3448</v>
      </c>
      <c r="E1332" s="0" t="s">
        <v>4963</v>
      </c>
      <c r="F1332" s="0" t="s">
        <v>59</v>
      </c>
      <c r="G1332" s="0" t="s">
        <v>4974</v>
      </c>
      <c r="H1332" s="0" t="s">
        <v>69</v>
      </c>
      <c r="I1332" s="0" t="s">
        <v>4975</v>
      </c>
      <c r="J1332" s="20" t="s">
        <v>25</v>
      </c>
    </row>
    <row r="1333" customFormat="false" ht="15" hidden="false" customHeight="false" outlineLevel="0" collapsed="false">
      <c r="A1333" s="0" t="s">
        <v>1247</v>
      </c>
      <c r="B1333" s="0" t="s">
        <v>134</v>
      </c>
      <c r="C1333" s="0" t="s">
        <v>3447</v>
      </c>
      <c r="D1333" s="0" t="s">
        <v>3448</v>
      </c>
      <c r="E1333" s="0" t="s">
        <v>4969</v>
      </c>
      <c r="F1333" s="0" t="s">
        <v>63</v>
      </c>
      <c r="G1333" s="0" t="s">
        <v>4220</v>
      </c>
      <c r="H1333" s="0" t="s">
        <v>5434</v>
      </c>
      <c r="I1333" s="0" t="s">
        <v>4979</v>
      </c>
      <c r="J1333" s="20" t="s">
        <v>25</v>
      </c>
    </row>
    <row r="1334" customFormat="false" ht="15" hidden="false" customHeight="false" outlineLevel="0" collapsed="false">
      <c r="A1334" s="0" t="s">
        <v>1247</v>
      </c>
      <c r="B1334" s="0" t="s">
        <v>134</v>
      </c>
      <c r="C1334" s="0" t="s">
        <v>3450</v>
      </c>
      <c r="D1334" s="0" t="s">
        <v>3457</v>
      </c>
      <c r="E1334" s="0" t="s">
        <v>4963</v>
      </c>
      <c r="F1334" s="0" t="s">
        <v>30</v>
      </c>
      <c r="G1334" s="0" t="s">
        <v>4980</v>
      </c>
      <c r="H1334" s="0" t="s">
        <v>4289</v>
      </c>
      <c r="I1334" s="0" t="s">
        <v>4981</v>
      </c>
      <c r="J1334" s="18" t="s">
        <v>24</v>
      </c>
    </row>
    <row r="1335" customFormat="false" ht="15" hidden="false" customHeight="false" outlineLevel="0" collapsed="false">
      <c r="A1335" s="0" t="s">
        <v>1247</v>
      </c>
      <c r="B1335" s="0" t="s">
        <v>134</v>
      </c>
      <c r="C1335" s="0" t="s">
        <v>3450</v>
      </c>
      <c r="D1335" s="0" t="s">
        <v>3448</v>
      </c>
      <c r="E1335" s="0" t="s">
        <v>4963</v>
      </c>
      <c r="F1335" s="0" t="s">
        <v>30</v>
      </c>
      <c r="G1335" s="0" t="s">
        <v>4980</v>
      </c>
      <c r="H1335" s="0" t="s">
        <v>4275</v>
      </c>
      <c r="I1335" s="0" t="s">
        <v>4981</v>
      </c>
      <c r="J1335" s="18" t="s">
        <v>24</v>
      </c>
    </row>
    <row r="1336" customFormat="false" ht="15" hidden="false" customHeight="false" outlineLevel="0" collapsed="false">
      <c r="A1336" s="0" t="s">
        <v>1247</v>
      </c>
      <c r="B1336" s="0" t="s">
        <v>134</v>
      </c>
      <c r="C1336" s="0" t="s">
        <v>3447</v>
      </c>
      <c r="D1336" s="0" t="s">
        <v>3457</v>
      </c>
      <c r="E1336" s="0" t="s">
        <v>4963</v>
      </c>
      <c r="F1336" s="0" t="s">
        <v>30</v>
      </c>
      <c r="G1336" s="0" t="s">
        <v>4980</v>
      </c>
      <c r="H1336" s="0" t="s">
        <v>4539</v>
      </c>
      <c r="I1336" s="0" t="s">
        <v>4981</v>
      </c>
      <c r="J1336" s="18" t="s">
        <v>24</v>
      </c>
    </row>
    <row r="1337" customFormat="false" ht="15" hidden="false" customHeight="false" outlineLevel="0" collapsed="false">
      <c r="A1337" s="0" t="s">
        <v>1247</v>
      </c>
      <c r="B1337" s="0" t="s">
        <v>134</v>
      </c>
      <c r="C1337" s="0" t="s">
        <v>3447</v>
      </c>
      <c r="D1337" s="0" t="s">
        <v>3448</v>
      </c>
      <c r="E1337" s="0" t="s">
        <v>4963</v>
      </c>
      <c r="F1337" s="0" t="s">
        <v>30</v>
      </c>
      <c r="G1337" s="0" t="s">
        <v>4980</v>
      </c>
      <c r="H1337" s="0" t="s">
        <v>4275</v>
      </c>
      <c r="I1337" s="0" t="s">
        <v>4981</v>
      </c>
      <c r="J1337" s="18" t="s">
        <v>24</v>
      </c>
    </row>
    <row r="1338" customFormat="false" ht="15" hidden="false" customHeight="false" outlineLevel="0" collapsed="false">
      <c r="A1338" s="0" t="s">
        <v>1253</v>
      </c>
      <c r="B1338" s="0" t="s">
        <v>134</v>
      </c>
      <c r="C1338" s="0" t="s">
        <v>3450</v>
      </c>
      <c r="D1338" s="0" t="s">
        <v>3457</v>
      </c>
      <c r="E1338" s="0" t="s">
        <v>4963</v>
      </c>
      <c r="F1338" s="0" t="s">
        <v>59</v>
      </c>
      <c r="G1338" s="0" t="s">
        <v>4974</v>
      </c>
      <c r="H1338" s="0" t="s">
        <v>70</v>
      </c>
      <c r="I1338" s="0" t="s">
        <v>4975</v>
      </c>
      <c r="J1338" s="20" t="s">
        <v>25</v>
      </c>
    </row>
    <row r="1339" customFormat="false" ht="15" hidden="false" customHeight="false" outlineLevel="0" collapsed="false">
      <c r="A1339" s="0" t="s">
        <v>1253</v>
      </c>
      <c r="B1339" s="0" t="s">
        <v>3459</v>
      </c>
      <c r="C1339" s="0" t="s">
        <v>3450</v>
      </c>
      <c r="D1339" s="0" t="s">
        <v>3457</v>
      </c>
      <c r="E1339" s="0" t="s">
        <v>4969</v>
      </c>
      <c r="F1339" s="0" t="s">
        <v>62</v>
      </c>
      <c r="G1339" s="0" t="s">
        <v>5003</v>
      </c>
      <c r="H1339" s="0" t="s">
        <v>5435</v>
      </c>
      <c r="I1339" s="0" t="s">
        <v>5005</v>
      </c>
      <c r="J1339" s="20" t="s">
        <v>25</v>
      </c>
    </row>
    <row r="1340" customFormat="false" ht="15" hidden="false" customHeight="false" outlineLevel="0" collapsed="false">
      <c r="A1340" s="0" t="s">
        <v>1253</v>
      </c>
      <c r="B1340" s="0" t="s">
        <v>134</v>
      </c>
      <c r="C1340" s="0" t="s">
        <v>3450</v>
      </c>
      <c r="D1340" s="0" t="s">
        <v>3457</v>
      </c>
      <c r="E1340" s="0" t="s">
        <v>4963</v>
      </c>
      <c r="F1340" s="0" t="s">
        <v>30</v>
      </c>
      <c r="G1340" s="0" t="s">
        <v>4980</v>
      </c>
      <c r="H1340" s="0" t="s">
        <v>4378</v>
      </c>
      <c r="I1340" s="0" t="s">
        <v>4981</v>
      </c>
      <c r="J1340" s="18" t="s">
        <v>24</v>
      </c>
    </row>
    <row r="1341" customFormat="false" ht="15" hidden="false" customHeight="false" outlineLevel="0" collapsed="false">
      <c r="A1341" s="0" t="s">
        <v>1253</v>
      </c>
      <c r="B1341" s="0" t="s">
        <v>134</v>
      </c>
      <c r="C1341" s="0" t="s">
        <v>3447</v>
      </c>
      <c r="D1341" s="0" t="s">
        <v>3457</v>
      </c>
      <c r="E1341" s="0" t="s">
        <v>4963</v>
      </c>
      <c r="F1341" s="0" t="s">
        <v>30</v>
      </c>
      <c r="G1341" s="0" t="s">
        <v>4980</v>
      </c>
      <c r="H1341" s="0" t="s">
        <v>4540</v>
      </c>
      <c r="I1341" s="0" t="s">
        <v>4981</v>
      </c>
      <c r="J1341" s="18" t="s">
        <v>24</v>
      </c>
    </row>
    <row r="1342" customFormat="false" ht="15" hidden="false" customHeight="false" outlineLevel="0" collapsed="false">
      <c r="A1342" s="0" t="s">
        <v>1253</v>
      </c>
      <c r="B1342" s="0" t="s">
        <v>134</v>
      </c>
      <c r="C1342" s="0" t="s">
        <v>3447</v>
      </c>
      <c r="D1342" s="0" t="s">
        <v>3448</v>
      </c>
      <c r="E1342" s="0" t="s">
        <v>4963</v>
      </c>
      <c r="F1342" s="0" t="s">
        <v>30</v>
      </c>
      <c r="G1342" s="0" t="s">
        <v>4980</v>
      </c>
      <c r="H1342" s="0" t="s">
        <v>4272</v>
      </c>
      <c r="I1342" s="0" t="s">
        <v>4981</v>
      </c>
      <c r="J1342" s="18" t="s">
        <v>24</v>
      </c>
    </row>
    <row r="1343" customFormat="false" ht="15" hidden="false" customHeight="false" outlineLevel="0" collapsed="false">
      <c r="A1343" s="0" t="s">
        <v>1253</v>
      </c>
      <c r="B1343" s="0" t="s">
        <v>3459</v>
      </c>
      <c r="C1343" s="0" t="s">
        <v>3447</v>
      </c>
      <c r="D1343" s="0" t="s">
        <v>3457</v>
      </c>
      <c r="E1343" s="0" t="s">
        <v>4963</v>
      </c>
      <c r="F1343" s="0" t="s">
        <v>30</v>
      </c>
      <c r="G1343" s="0" t="s">
        <v>4980</v>
      </c>
      <c r="H1343" s="0" t="s">
        <v>4541</v>
      </c>
      <c r="I1343" s="0" t="s">
        <v>4981</v>
      </c>
      <c r="J1343" s="18" t="s">
        <v>24</v>
      </c>
    </row>
    <row r="1344" customFormat="false" ht="15" hidden="false" customHeight="false" outlineLevel="0" collapsed="false">
      <c r="A1344" s="0" t="s">
        <v>1253</v>
      </c>
      <c r="B1344" s="0" t="s">
        <v>3459</v>
      </c>
      <c r="C1344" s="0" t="s">
        <v>3447</v>
      </c>
      <c r="D1344" s="0" t="s">
        <v>3448</v>
      </c>
      <c r="E1344" s="0" t="s">
        <v>4963</v>
      </c>
      <c r="F1344" s="0" t="s">
        <v>30</v>
      </c>
      <c r="G1344" s="0" t="s">
        <v>4980</v>
      </c>
      <c r="H1344" s="0" t="s">
        <v>4251</v>
      </c>
      <c r="I1344" s="0" t="s">
        <v>4981</v>
      </c>
      <c r="J1344" s="18" t="s">
        <v>24</v>
      </c>
    </row>
    <row r="1345" customFormat="false" ht="15" hidden="false" customHeight="false" outlineLevel="0" collapsed="false">
      <c r="A1345" s="0" t="s">
        <v>1259</v>
      </c>
      <c r="B1345" s="0" t="s">
        <v>134</v>
      </c>
      <c r="C1345" s="0" t="s">
        <v>3450</v>
      </c>
      <c r="D1345" s="0" t="s">
        <v>3457</v>
      </c>
      <c r="E1345" s="0" t="s">
        <v>4969</v>
      </c>
      <c r="F1345" s="0" t="s">
        <v>62</v>
      </c>
      <c r="G1345" s="0" t="s">
        <v>5003</v>
      </c>
      <c r="H1345" s="0" t="s">
        <v>5436</v>
      </c>
      <c r="I1345" s="0" t="s">
        <v>5005</v>
      </c>
      <c r="J1345" s="20" t="s">
        <v>25</v>
      </c>
    </row>
    <row r="1346" customFormat="false" ht="15" hidden="false" customHeight="false" outlineLevel="0" collapsed="false">
      <c r="A1346" s="0" t="s">
        <v>1259</v>
      </c>
      <c r="B1346" s="0" t="s">
        <v>134</v>
      </c>
      <c r="C1346" s="0" t="s">
        <v>3450</v>
      </c>
      <c r="D1346" s="0" t="s">
        <v>3448</v>
      </c>
      <c r="E1346" s="0" t="s">
        <v>4963</v>
      </c>
      <c r="F1346" s="0" t="s">
        <v>59</v>
      </c>
      <c r="G1346" s="0" t="s">
        <v>4974</v>
      </c>
      <c r="H1346" s="0" t="s">
        <v>69</v>
      </c>
      <c r="I1346" s="0" t="s">
        <v>4975</v>
      </c>
      <c r="J1346" s="20" t="s">
        <v>25</v>
      </c>
    </row>
    <row r="1347" customFormat="false" ht="15" hidden="false" customHeight="false" outlineLevel="0" collapsed="false">
      <c r="A1347" s="0" t="s">
        <v>1259</v>
      </c>
      <c r="B1347" s="0" t="s">
        <v>134</v>
      </c>
      <c r="C1347" s="0" t="s">
        <v>3450</v>
      </c>
      <c r="D1347" s="0" t="s">
        <v>3448</v>
      </c>
      <c r="E1347" s="0" t="s">
        <v>4969</v>
      </c>
      <c r="F1347" s="0" t="s">
        <v>61</v>
      </c>
      <c r="G1347" s="0" t="s">
        <v>4970</v>
      </c>
      <c r="H1347" s="0" t="s">
        <v>5437</v>
      </c>
      <c r="I1347" s="0" t="s">
        <v>4972</v>
      </c>
      <c r="J1347" s="20" t="s">
        <v>25</v>
      </c>
    </row>
    <row r="1348" customFormat="false" ht="15" hidden="false" customHeight="false" outlineLevel="0" collapsed="false">
      <c r="A1348" s="0" t="s">
        <v>1259</v>
      </c>
      <c r="B1348" s="0" t="s">
        <v>134</v>
      </c>
      <c r="C1348" s="0" t="s">
        <v>3450</v>
      </c>
      <c r="D1348" s="0" t="s">
        <v>3448</v>
      </c>
      <c r="E1348" s="0" t="s">
        <v>4969</v>
      </c>
      <c r="F1348" s="0" t="s">
        <v>64</v>
      </c>
      <c r="G1348" s="0" t="s">
        <v>4220</v>
      </c>
      <c r="H1348" s="0" t="s">
        <v>5438</v>
      </c>
      <c r="I1348" s="0" t="s">
        <v>4991</v>
      </c>
      <c r="J1348" s="20" t="s">
        <v>25</v>
      </c>
    </row>
    <row r="1349" customFormat="false" ht="15" hidden="false" customHeight="false" outlineLevel="0" collapsed="false">
      <c r="A1349" s="0" t="s">
        <v>1259</v>
      </c>
      <c r="B1349" s="0" t="s">
        <v>134</v>
      </c>
      <c r="C1349" s="0" t="s">
        <v>3447</v>
      </c>
      <c r="D1349" s="0" t="s">
        <v>3448</v>
      </c>
      <c r="E1349" s="0" t="s">
        <v>4969</v>
      </c>
      <c r="F1349" s="0" t="s">
        <v>64</v>
      </c>
      <c r="G1349" s="0" t="s">
        <v>4220</v>
      </c>
      <c r="H1349" s="0" t="s">
        <v>5438</v>
      </c>
      <c r="I1349" s="0" t="s">
        <v>4991</v>
      </c>
      <c r="J1349" s="20" t="s">
        <v>25</v>
      </c>
    </row>
    <row r="1350" customFormat="false" ht="15" hidden="false" customHeight="false" outlineLevel="0" collapsed="false">
      <c r="A1350" s="0" t="s">
        <v>1259</v>
      </c>
      <c r="B1350" s="0" t="s">
        <v>134</v>
      </c>
      <c r="C1350" s="0" t="s">
        <v>3450</v>
      </c>
      <c r="D1350" s="0" t="s">
        <v>3448</v>
      </c>
      <c r="E1350" s="0" t="s">
        <v>4963</v>
      </c>
      <c r="F1350" s="0" t="s">
        <v>30</v>
      </c>
      <c r="G1350" s="0" t="s">
        <v>4980</v>
      </c>
      <c r="H1350" s="0" t="s">
        <v>4275</v>
      </c>
      <c r="I1350" s="0" t="s">
        <v>4981</v>
      </c>
      <c r="J1350" s="18" t="s">
        <v>24</v>
      </c>
    </row>
    <row r="1351" customFormat="false" ht="15" hidden="false" customHeight="false" outlineLevel="0" collapsed="false">
      <c r="A1351" s="0" t="s">
        <v>1259</v>
      </c>
      <c r="B1351" s="0" t="s">
        <v>134</v>
      </c>
      <c r="C1351" s="0" t="s">
        <v>3447</v>
      </c>
      <c r="D1351" s="0" t="s">
        <v>3448</v>
      </c>
      <c r="E1351" s="0" t="s">
        <v>4963</v>
      </c>
      <c r="F1351" s="0" t="s">
        <v>30</v>
      </c>
      <c r="G1351" s="0" t="s">
        <v>4980</v>
      </c>
      <c r="H1351" s="0" t="s">
        <v>4412</v>
      </c>
      <c r="I1351" s="0" t="s">
        <v>4981</v>
      </c>
      <c r="J1351" s="18" t="s">
        <v>24</v>
      </c>
    </row>
    <row r="1352" customFormat="false" ht="15" hidden="false" customHeight="false" outlineLevel="0" collapsed="false">
      <c r="A1352" s="0" t="s">
        <v>1265</v>
      </c>
      <c r="B1352" s="0" t="s">
        <v>134</v>
      </c>
      <c r="C1352" s="0" t="s">
        <v>3450</v>
      </c>
      <c r="D1352" s="0" t="s">
        <v>3457</v>
      </c>
      <c r="E1352" s="0" t="s">
        <v>4963</v>
      </c>
      <c r="F1352" s="0" t="s">
        <v>59</v>
      </c>
      <c r="G1352" s="0" t="s">
        <v>4974</v>
      </c>
      <c r="H1352" s="0" t="s">
        <v>69</v>
      </c>
      <c r="I1352" s="0" t="s">
        <v>4975</v>
      </c>
      <c r="J1352" s="20" t="s">
        <v>25</v>
      </c>
    </row>
    <row r="1353" customFormat="false" ht="15" hidden="false" customHeight="false" outlineLevel="0" collapsed="false">
      <c r="A1353" s="0" t="s">
        <v>1265</v>
      </c>
      <c r="B1353" s="0" t="s">
        <v>134</v>
      </c>
      <c r="C1353" s="0" t="s">
        <v>3450</v>
      </c>
      <c r="D1353" s="0" t="s">
        <v>3457</v>
      </c>
      <c r="E1353" s="0" t="s">
        <v>4969</v>
      </c>
      <c r="F1353" s="0" t="s">
        <v>64</v>
      </c>
      <c r="G1353" s="0" t="s">
        <v>4220</v>
      </c>
      <c r="H1353" s="0" t="s">
        <v>5439</v>
      </c>
      <c r="I1353" s="0" t="s">
        <v>4991</v>
      </c>
      <c r="J1353" s="20" t="s">
        <v>25</v>
      </c>
    </row>
    <row r="1354" customFormat="false" ht="15" hidden="false" customHeight="false" outlineLevel="0" collapsed="false">
      <c r="A1354" s="0" t="s">
        <v>1265</v>
      </c>
      <c r="B1354" s="0" t="s">
        <v>134</v>
      </c>
      <c r="C1354" s="0" t="s">
        <v>3450</v>
      </c>
      <c r="D1354" s="0" t="s">
        <v>3448</v>
      </c>
      <c r="E1354" s="0" t="s">
        <v>4963</v>
      </c>
      <c r="F1354" s="0" t="s">
        <v>59</v>
      </c>
      <c r="G1354" s="0" t="s">
        <v>4974</v>
      </c>
      <c r="H1354" s="0" t="s">
        <v>69</v>
      </c>
      <c r="I1354" s="0" t="s">
        <v>4975</v>
      </c>
      <c r="J1354" s="20" t="s">
        <v>25</v>
      </c>
    </row>
    <row r="1355" customFormat="false" ht="15" hidden="false" customHeight="false" outlineLevel="0" collapsed="false">
      <c r="A1355" s="0" t="s">
        <v>1265</v>
      </c>
      <c r="B1355" s="0" t="s">
        <v>134</v>
      </c>
      <c r="C1355" s="0" t="s">
        <v>3450</v>
      </c>
      <c r="D1355" s="0" t="s">
        <v>3448</v>
      </c>
      <c r="E1355" s="0" t="s">
        <v>4969</v>
      </c>
      <c r="F1355" s="0" t="s">
        <v>62</v>
      </c>
      <c r="G1355" s="0" t="s">
        <v>5003</v>
      </c>
      <c r="H1355" s="0" t="s">
        <v>5440</v>
      </c>
      <c r="I1355" s="0" t="s">
        <v>5005</v>
      </c>
      <c r="J1355" s="20" t="s">
        <v>25</v>
      </c>
    </row>
    <row r="1356" customFormat="false" ht="15" hidden="false" customHeight="false" outlineLevel="0" collapsed="false">
      <c r="A1356" s="0" t="s">
        <v>1265</v>
      </c>
      <c r="B1356" s="0" t="s">
        <v>134</v>
      </c>
      <c r="C1356" s="0" t="s">
        <v>3447</v>
      </c>
      <c r="D1356" s="0" t="s">
        <v>3457</v>
      </c>
      <c r="E1356" s="0" t="s">
        <v>4963</v>
      </c>
      <c r="F1356" s="0" t="s">
        <v>59</v>
      </c>
      <c r="G1356" s="0" t="s">
        <v>4974</v>
      </c>
      <c r="H1356" s="0" t="s">
        <v>69</v>
      </c>
      <c r="I1356" s="0" t="s">
        <v>4975</v>
      </c>
      <c r="J1356" s="20" t="s">
        <v>25</v>
      </c>
    </row>
    <row r="1357" customFormat="false" ht="15" hidden="false" customHeight="false" outlineLevel="0" collapsed="false">
      <c r="A1357" s="0" t="s">
        <v>1265</v>
      </c>
      <c r="B1357" s="0" t="s">
        <v>134</v>
      </c>
      <c r="C1357" s="0" t="s">
        <v>3447</v>
      </c>
      <c r="D1357" s="0" t="s">
        <v>3457</v>
      </c>
      <c r="E1357" s="0" t="s">
        <v>4969</v>
      </c>
      <c r="F1357" s="0" t="s">
        <v>64</v>
      </c>
      <c r="G1357" s="0" t="s">
        <v>4220</v>
      </c>
      <c r="H1357" s="0" t="s">
        <v>5439</v>
      </c>
      <c r="I1357" s="0" t="s">
        <v>4991</v>
      </c>
      <c r="J1357" s="20" t="s">
        <v>25</v>
      </c>
    </row>
    <row r="1358" customFormat="false" ht="15" hidden="false" customHeight="false" outlineLevel="0" collapsed="false">
      <c r="A1358" s="0" t="s">
        <v>1265</v>
      </c>
      <c r="B1358" s="0" t="s">
        <v>134</v>
      </c>
      <c r="C1358" s="0" t="s">
        <v>3447</v>
      </c>
      <c r="D1358" s="0" t="s">
        <v>3448</v>
      </c>
      <c r="E1358" s="0" t="s">
        <v>4963</v>
      </c>
      <c r="F1358" s="0" t="s">
        <v>59</v>
      </c>
      <c r="G1358" s="0" t="s">
        <v>4974</v>
      </c>
      <c r="H1358" s="0" t="s">
        <v>69</v>
      </c>
      <c r="I1358" s="0" t="s">
        <v>4975</v>
      </c>
      <c r="J1358" s="20" t="s">
        <v>25</v>
      </c>
    </row>
    <row r="1359" customFormat="false" ht="15" hidden="false" customHeight="false" outlineLevel="0" collapsed="false">
      <c r="A1359" s="0" t="s">
        <v>1265</v>
      </c>
      <c r="B1359" s="0" t="s">
        <v>134</v>
      </c>
      <c r="C1359" s="0" t="s">
        <v>3450</v>
      </c>
      <c r="D1359" s="0" t="s">
        <v>3457</v>
      </c>
      <c r="E1359" s="0" t="s">
        <v>4963</v>
      </c>
      <c r="F1359" s="0" t="s">
        <v>30</v>
      </c>
      <c r="G1359" s="0" t="s">
        <v>4980</v>
      </c>
      <c r="H1359" s="0" t="s">
        <v>4542</v>
      </c>
      <c r="I1359" s="0" t="s">
        <v>4981</v>
      </c>
      <c r="J1359" s="18" t="s">
        <v>24</v>
      </c>
    </row>
    <row r="1360" customFormat="false" ht="15" hidden="false" customHeight="false" outlineLevel="0" collapsed="false">
      <c r="A1360" s="0" t="s">
        <v>1265</v>
      </c>
      <c r="B1360" s="0" t="s">
        <v>134</v>
      </c>
      <c r="C1360" s="0" t="s">
        <v>3450</v>
      </c>
      <c r="D1360" s="0" t="s">
        <v>3448</v>
      </c>
      <c r="E1360" s="0" t="s">
        <v>4963</v>
      </c>
      <c r="F1360" s="0" t="s">
        <v>30</v>
      </c>
      <c r="G1360" s="0" t="s">
        <v>4980</v>
      </c>
      <c r="H1360" s="0" t="s">
        <v>4275</v>
      </c>
      <c r="I1360" s="0" t="s">
        <v>4981</v>
      </c>
      <c r="J1360" s="18" t="s">
        <v>24</v>
      </c>
    </row>
    <row r="1361" customFormat="false" ht="15" hidden="false" customHeight="false" outlineLevel="0" collapsed="false">
      <c r="A1361" s="0" t="s">
        <v>1265</v>
      </c>
      <c r="B1361" s="0" t="s">
        <v>134</v>
      </c>
      <c r="C1361" s="0" t="s">
        <v>3447</v>
      </c>
      <c r="D1361" s="0" t="s">
        <v>3457</v>
      </c>
      <c r="E1361" s="0" t="s">
        <v>4963</v>
      </c>
      <c r="F1361" s="0" t="s">
        <v>30</v>
      </c>
      <c r="G1361" s="0" t="s">
        <v>4980</v>
      </c>
      <c r="H1361" s="0" t="s">
        <v>4543</v>
      </c>
      <c r="I1361" s="0" t="s">
        <v>4981</v>
      </c>
      <c r="J1361" s="18" t="s">
        <v>24</v>
      </c>
    </row>
    <row r="1362" customFormat="false" ht="15" hidden="false" customHeight="false" outlineLevel="0" collapsed="false">
      <c r="A1362" s="0" t="s">
        <v>1265</v>
      </c>
      <c r="B1362" s="0" t="s">
        <v>134</v>
      </c>
      <c r="C1362" s="0" t="s">
        <v>3447</v>
      </c>
      <c r="D1362" s="0" t="s">
        <v>3448</v>
      </c>
      <c r="E1362" s="0" t="s">
        <v>4963</v>
      </c>
      <c r="F1362" s="0" t="s">
        <v>30</v>
      </c>
      <c r="G1362" s="0" t="s">
        <v>4980</v>
      </c>
      <c r="H1362" s="0" t="s">
        <v>4544</v>
      </c>
      <c r="I1362" s="0" t="s">
        <v>4981</v>
      </c>
      <c r="J1362" s="18" t="s">
        <v>24</v>
      </c>
    </row>
    <row r="1363" customFormat="false" ht="15" hidden="false" customHeight="false" outlineLevel="0" collapsed="false">
      <c r="A1363" s="0" t="s">
        <v>1271</v>
      </c>
      <c r="B1363" s="0" t="s">
        <v>134</v>
      </c>
      <c r="C1363" s="0" t="s">
        <v>3450</v>
      </c>
      <c r="D1363" s="0" t="s">
        <v>3448</v>
      </c>
      <c r="E1363" s="0" t="s">
        <v>4963</v>
      </c>
      <c r="F1363" s="0" t="s">
        <v>60</v>
      </c>
      <c r="G1363" s="0" t="s">
        <v>4964</v>
      </c>
      <c r="H1363" s="0" t="s">
        <v>5441</v>
      </c>
      <c r="I1363" s="0" t="s">
        <v>4966</v>
      </c>
      <c r="J1363" s="19" t="s">
        <v>26</v>
      </c>
    </row>
    <row r="1364" customFormat="false" ht="15" hidden="false" customHeight="false" outlineLevel="0" collapsed="false">
      <c r="A1364" s="0" t="s">
        <v>1271</v>
      </c>
      <c r="B1364" s="0" t="s">
        <v>134</v>
      </c>
      <c r="C1364" s="0" t="s">
        <v>3450</v>
      </c>
      <c r="D1364" s="0" t="s">
        <v>3457</v>
      </c>
      <c r="E1364" s="0" t="s">
        <v>4969</v>
      </c>
      <c r="F1364" s="0" t="s">
        <v>62</v>
      </c>
      <c r="G1364" s="0" t="s">
        <v>5003</v>
      </c>
      <c r="H1364" s="0" t="s">
        <v>5442</v>
      </c>
      <c r="I1364" s="0" t="s">
        <v>5005</v>
      </c>
      <c r="J1364" s="20" t="s">
        <v>25</v>
      </c>
    </row>
    <row r="1365" customFormat="false" ht="15" hidden="false" customHeight="false" outlineLevel="0" collapsed="false">
      <c r="A1365" s="0" t="s">
        <v>1271</v>
      </c>
      <c r="B1365" s="0" t="s">
        <v>134</v>
      </c>
      <c r="C1365" s="0" t="s">
        <v>3450</v>
      </c>
      <c r="D1365" s="0" t="s">
        <v>3457</v>
      </c>
      <c r="E1365" s="0" t="s">
        <v>4969</v>
      </c>
      <c r="F1365" s="0" t="s">
        <v>63</v>
      </c>
      <c r="G1365" s="0" t="s">
        <v>4220</v>
      </c>
      <c r="H1365" s="0" t="s">
        <v>5443</v>
      </c>
      <c r="I1365" s="0" t="s">
        <v>4979</v>
      </c>
      <c r="J1365" s="20" t="s">
        <v>25</v>
      </c>
    </row>
    <row r="1366" customFormat="false" ht="15" hidden="false" customHeight="false" outlineLevel="0" collapsed="false">
      <c r="A1366" s="0" t="s">
        <v>1271</v>
      </c>
      <c r="B1366" s="0" t="s">
        <v>134</v>
      </c>
      <c r="C1366" s="0" t="s">
        <v>3450</v>
      </c>
      <c r="D1366" s="0" t="s">
        <v>3448</v>
      </c>
      <c r="E1366" s="0" t="s">
        <v>4969</v>
      </c>
      <c r="F1366" s="0" t="s">
        <v>63</v>
      </c>
      <c r="G1366" s="0" t="s">
        <v>4220</v>
      </c>
      <c r="H1366" s="0" t="s">
        <v>5444</v>
      </c>
      <c r="I1366" s="0" t="s">
        <v>4979</v>
      </c>
      <c r="J1366" s="20" t="s">
        <v>25</v>
      </c>
    </row>
    <row r="1367" customFormat="false" ht="15" hidden="false" customHeight="false" outlineLevel="0" collapsed="false">
      <c r="A1367" s="0" t="s">
        <v>1271</v>
      </c>
      <c r="B1367" s="0" t="s">
        <v>134</v>
      </c>
      <c r="C1367" s="0" t="s">
        <v>3447</v>
      </c>
      <c r="D1367" s="0" t="s">
        <v>3457</v>
      </c>
      <c r="E1367" s="0" t="s">
        <v>4969</v>
      </c>
      <c r="F1367" s="0" t="s">
        <v>63</v>
      </c>
      <c r="G1367" s="0" t="s">
        <v>4220</v>
      </c>
      <c r="H1367" s="0" t="s">
        <v>5443</v>
      </c>
      <c r="I1367" s="0" t="s">
        <v>4979</v>
      </c>
      <c r="J1367" s="20" t="s">
        <v>25</v>
      </c>
    </row>
    <row r="1368" customFormat="false" ht="15" hidden="false" customHeight="false" outlineLevel="0" collapsed="false">
      <c r="A1368" s="0" t="s">
        <v>1271</v>
      </c>
      <c r="B1368" s="0" t="s">
        <v>134</v>
      </c>
      <c r="C1368" s="0" t="s">
        <v>3447</v>
      </c>
      <c r="D1368" s="0" t="s">
        <v>3448</v>
      </c>
      <c r="E1368" s="0" t="s">
        <v>4969</v>
      </c>
      <c r="F1368" s="0" t="s">
        <v>63</v>
      </c>
      <c r="G1368" s="0" t="s">
        <v>4220</v>
      </c>
      <c r="H1368" s="0" t="s">
        <v>5444</v>
      </c>
      <c r="I1368" s="0" t="s">
        <v>4979</v>
      </c>
      <c r="J1368" s="20" t="s">
        <v>25</v>
      </c>
    </row>
    <row r="1369" customFormat="false" ht="15" hidden="false" customHeight="false" outlineLevel="0" collapsed="false">
      <c r="A1369" s="0" t="s">
        <v>1271</v>
      </c>
      <c r="B1369" s="0" t="s">
        <v>134</v>
      </c>
      <c r="C1369" s="0" t="s">
        <v>3450</v>
      </c>
      <c r="D1369" s="0" t="s">
        <v>3457</v>
      </c>
      <c r="E1369" s="0" t="s">
        <v>4963</v>
      </c>
      <c r="F1369" s="0" t="s">
        <v>30</v>
      </c>
      <c r="G1369" s="0" t="s">
        <v>4980</v>
      </c>
      <c r="H1369" s="0" t="s">
        <v>4449</v>
      </c>
      <c r="I1369" s="0" t="s">
        <v>4981</v>
      </c>
      <c r="J1369" s="18" t="s">
        <v>24</v>
      </c>
    </row>
    <row r="1370" customFormat="false" ht="15" hidden="false" customHeight="false" outlineLevel="0" collapsed="false">
      <c r="A1370" s="0" t="s">
        <v>1271</v>
      </c>
      <c r="B1370" s="0" t="s">
        <v>134</v>
      </c>
      <c r="C1370" s="0" t="s">
        <v>3447</v>
      </c>
      <c r="D1370" s="0" t="s">
        <v>3457</v>
      </c>
      <c r="E1370" s="0" t="s">
        <v>4963</v>
      </c>
      <c r="F1370" s="0" t="s">
        <v>30</v>
      </c>
      <c r="G1370" s="0" t="s">
        <v>4980</v>
      </c>
      <c r="H1370" s="0" t="s">
        <v>4546</v>
      </c>
      <c r="I1370" s="0" t="s">
        <v>4981</v>
      </c>
      <c r="J1370" s="18" t="s">
        <v>24</v>
      </c>
    </row>
    <row r="1371" customFormat="false" ht="15" hidden="false" customHeight="false" outlineLevel="0" collapsed="false">
      <c r="A1371" s="0" t="s">
        <v>1271</v>
      </c>
      <c r="B1371" s="0" t="s">
        <v>134</v>
      </c>
      <c r="C1371" s="0" t="s">
        <v>3447</v>
      </c>
      <c r="D1371" s="0" t="s">
        <v>3448</v>
      </c>
      <c r="E1371" s="0" t="s">
        <v>4963</v>
      </c>
      <c r="F1371" s="0" t="s">
        <v>30</v>
      </c>
      <c r="G1371" s="0" t="s">
        <v>4980</v>
      </c>
      <c r="H1371" s="0" t="s">
        <v>4406</v>
      </c>
      <c r="I1371" s="0" t="s">
        <v>4981</v>
      </c>
      <c r="J1371" s="18" t="s">
        <v>24</v>
      </c>
    </row>
    <row r="1372" customFormat="false" ht="15" hidden="false" customHeight="false" outlineLevel="0" collapsed="false">
      <c r="A1372" s="0" t="s">
        <v>1278</v>
      </c>
      <c r="B1372" s="0" t="s">
        <v>134</v>
      </c>
      <c r="C1372" s="0" t="s">
        <v>3450</v>
      </c>
      <c r="D1372" s="0" t="s">
        <v>3457</v>
      </c>
      <c r="E1372" s="0" t="s">
        <v>4963</v>
      </c>
      <c r="F1372" s="0" t="s">
        <v>60</v>
      </c>
      <c r="G1372" s="0" t="s">
        <v>4964</v>
      </c>
      <c r="H1372" s="0" t="s">
        <v>5416</v>
      </c>
      <c r="I1372" s="0" t="s">
        <v>4966</v>
      </c>
      <c r="J1372" s="19" t="s">
        <v>26</v>
      </c>
    </row>
    <row r="1373" customFormat="false" ht="15" hidden="false" customHeight="false" outlineLevel="0" collapsed="false">
      <c r="A1373" s="0" t="s">
        <v>1278</v>
      </c>
      <c r="B1373" s="0" t="s">
        <v>134</v>
      </c>
      <c r="C1373" s="0" t="s">
        <v>3450</v>
      </c>
      <c r="D1373" s="0" t="s">
        <v>3457</v>
      </c>
      <c r="E1373" s="0" t="s">
        <v>4963</v>
      </c>
      <c r="F1373" s="0" t="s">
        <v>59</v>
      </c>
      <c r="G1373" s="0" t="s">
        <v>4974</v>
      </c>
      <c r="H1373" s="0" t="s">
        <v>69</v>
      </c>
      <c r="I1373" s="0" t="s">
        <v>4975</v>
      </c>
      <c r="J1373" s="20" t="s">
        <v>25</v>
      </c>
    </row>
    <row r="1374" customFormat="false" ht="15" hidden="false" customHeight="false" outlineLevel="0" collapsed="false">
      <c r="A1374" s="0" t="s">
        <v>1278</v>
      </c>
      <c r="B1374" s="0" t="s">
        <v>134</v>
      </c>
      <c r="C1374" s="0" t="s">
        <v>3450</v>
      </c>
      <c r="D1374" s="0" t="s">
        <v>3448</v>
      </c>
      <c r="E1374" s="0" t="s">
        <v>4963</v>
      </c>
      <c r="F1374" s="0" t="s">
        <v>59</v>
      </c>
      <c r="G1374" s="0" t="s">
        <v>4974</v>
      </c>
      <c r="H1374" s="0" t="s">
        <v>69</v>
      </c>
      <c r="I1374" s="0" t="s">
        <v>4975</v>
      </c>
      <c r="J1374" s="20" t="s">
        <v>25</v>
      </c>
    </row>
    <row r="1375" customFormat="false" ht="15" hidden="false" customHeight="false" outlineLevel="0" collapsed="false">
      <c r="A1375" s="0" t="s">
        <v>1278</v>
      </c>
      <c r="B1375" s="0" t="s">
        <v>134</v>
      </c>
      <c r="C1375" s="0" t="s">
        <v>3450</v>
      </c>
      <c r="D1375" s="0" t="s">
        <v>3448</v>
      </c>
      <c r="E1375" s="0" t="s">
        <v>4963</v>
      </c>
      <c r="F1375" s="0" t="s">
        <v>30</v>
      </c>
      <c r="G1375" s="0" t="s">
        <v>4980</v>
      </c>
      <c r="H1375" s="0" t="s">
        <v>4265</v>
      </c>
      <c r="I1375" s="0" t="s">
        <v>4981</v>
      </c>
      <c r="J1375" s="18" t="s">
        <v>24</v>
      </c>
    </row>
    <row r="1376" customFormat="false" ht="15" hidden="false" customHeight="false" outlineLevel="0" collapsed="false">
      <c r="A1376" s="0" t="s">
        <v>1286</v>
      </c>
      <c r="B1376" s="0" t="s">
        <v>134</v>
      </c>
      <c r="C1376" s="0" t="s">
        <v>3447</v>
      </c>
      <c r="D1376" s="0" t="s">
        <v>3457</v>
      </c>
      <c r="E1376" s="0" t="s">
        <v>4963</v>
      </c>
      <c r="F1376" s="0" t="s">
        <v>60</v>
      </c>
      <c r="G1376" s="0" t="s">
        <v>4964</v>
      </c>
      <c r="H1376" s="0" t="s">
        <v>5445</v>
      </c>
      <c r="I1376" s="0" t="s">
        <v>4966</v>
      </c>
      <c r="J1376" s="19" t="s">
        <v>26</v>
      </c>
    </row>
    <row r="1377" customFormat="false" ht="15" hidden="false" customHeight="false" outlineLevel="0" collapsed="false">
      <c r="A1377" s="0" t="s">
        <v>1286</v>
      </c>
      <c r="B1377" s="0" t="s">
        <v>134</v>
      </c>
      <c r="C1377" s="0" t="s">
        <v>3447</v>
      </c>
      <c r="D1377" s="0" t="s">
        <v>3448</v>
      </c>
      <c r="E1377" s="0" t="s">
        <v>4963</v>
      </c>
      <c r="F1377" s="0" t="s">
        <v>60</v>
      </c>
      <c r="G1377" s="0" t="s">
        <v>4964</v>
      </c>
      <c r="H1377" s="0" t="s">
        <v>5328</v>
      </c>
      <c r="I1377" s="0" t="s">
        <v>4966</v>
      </c>
      <c r="J1377" s="19" t="s">
        <v>26</v>
      </c>
    </row>
    <row r="1378" customFormat="false" ht="15" hidden="false" customHeight="false" outlineLevel="0" collapsed="false">
      <c r="A1378" s="0" t="s">
        <v>1286</v>
      </c>
      <c r="B1378" s="0" t="s">
        <v>134</v>
      </c>
      <c r="C1378" s="0" t="s">
        <v>3450</v>
      </c>
      <c r="D1378" s="0" t="s">
        <v>3457</v>
      </c>
      <c r="E1378" s="0" t="s">
        <v>4963</v>
      </c>
      <c r="F1378" s="0" t="s">
        <v>59</v>
      </c>
      <c r="G1378" s="0" t="s">
        <v>4974</v>
      </c>
      <c r="H1378" s="0" t="s">
        <v>69</v>
      </c>
      <c r="I1378" s="0" t="s">
        <v>4975</v>
      </c>
      <c r="J1378" s="20" t="s">
        <v>25</v>
      </c>
    </row>
    <row r="1379" customFormat="false" ht="15" hidden="false" customHeight="false" outlineLevel="0" collapsed="false">
      <c r="A1379" s="0" t="s">
        <v>1286</v>
      </c>
      <c r="B1379" s="0" t="s">
        <v>134</v>
      </c>
      <c r="C1379" s="0" t="s">
        <v>3450</v>
      </c>
      <c r="D1379" s="0" t="s">
        <v>3457</v>
      </c>
      <c r="E1379" s="0" t="s">
        <v>4969</v>
      </c>
      <c r="F1379" s="0" t="s">
        <v>61</v>
      </c>
      <c r="G1379" s="0" t="s">
        <v>4970</v>
      </c>
      <c r="H1379" s="0" t="s">
        <v>5446</v>
      </c>
      <c r="I1379" s="0" t="s">
        <v>4972</v>
      </c>
      <c r="J1379" s="20" t="s">
        <v>25</v>
      </c>
    </row>
    <row r="1380" customFormat="false" ht="15" hidden="false" customHeight="false" outlineLevel="0" collapsed="false">
      <c r="A1380" s="0" t="s">
        <v>1286</v>
      </c>
      <c r="B1380" s="0" t="s">
        <v>134</v>
      </c>
      <c r="C1380" s="0" t="s">
        <v>3450</v>
      </c>
      <c r="D1380" s="0" t="s">
        <v>3448</v>
      </c>
      <c r="E1380" s="0" t="s">
        <v>4969</v>
      </c>
      <c r="F1380" s="0" t="s">
        <v>62</v>
      </c>
      <c r="G1380" s="0" t="s">
        <v>5003</v>
      </c>
      <c r="H1380" s="0" t="s">
        <v>5447</v>
      </c>
      <c r="I1380" s="0" t="s">
        <v>5005</v>
      </c>
      <c r="J1380" s="20" t="s">
        <v>25</v>
      </c>
    </row>
    <row r="1381" customFormat="false" ht="15" hidden="false" customHeight="false" outlineLevel="0" collapsed="false">
      <c r="A1381" s="0" t="s">
        <v>1286</v>
      </c>
      <c r="B1381" s="0" t="s">
        <v>134</v>
      </c>
      <c r="C1381" s="0" t="s">
        <v>3447</v>
      </c>
      <c r="D1381" s="0" t="s">
        <v>3457</v>
      </c>
      <c r="E1381" s="0" t="s">
        <v>4963</v>
      </c>
      <c r="F1381" s="0" t="s">
        <v>59</v>
      </c>
      <c r="G1381" s="0" t="s">
        <v>4974</v>
      </c>
      <c r="H1381" s="0" t="s">
        <v>69</v>
      </c>
      <c r="I1381" s="0" t="s">
        <v>4975</v>
      </c>
      <c r="J1381" s="20" t="s">
        <v>25</v>
      </c>
    </row>
    <row r="1382" customFormat="false" ht="15" hidden="false" customHeight="false" outlineLevel="0" collapsed="false">
      <c r="A1382" s="0" t="s">
        <v>1286</v>
      </c>
      <c r="B1382" s="0" t="s">
        <v>134</v>
      </c>
      <c r="C1382" s="0" t="s">
        <v>3447</v>
      </c>
      <c r="D1382" s="0" t="s">
        <v>3457</v>
      </c>
      <c r="E1382" s="0" t="s">
        <v>4969</v>
      </c>
      <c r="F1382" s="0" t="s">
        <v>61</v>
      </c>
      <c r="G1382" s="0" t="s">
        <v>4970</v>
      </c>
      <c r="H1382" s="0" t="s">
        <v>5448</v>
      </c>
      <c r="I1382" s="0" t="s">
        <v>4972</v>
      </c>
      <c r="J1382" s="20" t="s">
        <v>25</v>
      </c>
    </row>
    <row r="1383" customFormat="false" ht="15" hidden="false" customHeight="false" outlineLevel="0" collapsed="false">
      <c r="A1383" s="0" t="s">
        <v>1286</v>
      </c>
      <c r="B1383" s="0" t="s">
        <v>134</v>
      </c>
      <c r="C1383" s="0" t="s">
        <v>3447</v>
      </c>
      <c r="D1383" s="0" t="s">
        <v>3448</v>
      </c>
      <c r="E1383" s="0" t="s">
        <v>4963</v>
      </c>
      <c r="F1383" s="0" t="s">
        <v>59</v>
      </c>
      <c r="G1383" s="0" t="s">
        <v>4974</v>
      </c>
      <c r="H1383" s="0" t="s">
        <v>69</v>
      </c>
      <c r="I1383" s="0" t="s">
        <v>4975</v>
      </c>
      <c r="J1383" s="20" t="s">
        <v>25</v>
      </c>
    </row>
    <row r="1384" customFormat="false" ht="15" hidden="false" customHeight="false" outlineLevel="0" collapsed="false">
      <c r="A1384" s="0" t="s">
        <v>1286</v>
      </c>
      <c r="B1384" s="0" t="s">
        <v>134</v>
      </c>
      <c r="C1384" s="0" t="s">
        <v>3447</v>
      </c>
      <c r="D1384" s="0" t="s">
        <v>3448</v>
      </c>
      <c r="E1384" s="0" t="s">
        <v>4969</v>
      </c>
      <c r="F1384" s="0" t="s">
        <v>61</v>
      </c>
      <c r="G1384" s="0" t="s">
        <v>4970</v>
      </c>
      <c r="H1384" s="0" t="s">
        <v>5449</v>
      </c>
      <c r="I1384" s="0" t="s">
        <v>4972</v>
      </c>
      <c r="J1384" s="20" t="s">
        <v>25</v>
      </c>
    </row>
    <row r="1385" customFormat="false" ht="15" hidden="false" customHeight="false" outlineLevel="0" collapsed="false">
      <c r="A1385" s="0" t="s">
        <v>1286</v>
      </c>
      <c r="B1385" s="0" t="s">
        <v>134</v>
      </c>
      <c r="C1385" s="0" t="s">
        <v>3450</v>
      </c>
      <c r="D1385" s="0" t="s">
        <v>3457</v>
      </c>
      <c r="E1385" s="0" t="s">
        <v>4963</v>
      </c>
      <c r="F1385" s="0" t="s">
        <v>30</v>
      </c>
      <c r="G1385" s="0" t="s">
        <v>4980</v>
      </c>
      <c r="H1385" s="0" t="s">
        <v>4275</v>
      </c>
      <c r="I1385" s="0" t="s">
        <v>4981</v>
      </c>
      <c r="J1385" s="18" t="s">
        <v>24</v>
      </c>
    </row>
    <row r="1386" customFormat="false" ht="15" hidden="false" customHeight="false" outlineLevel="0" collapsed="false">
      <c r="A1386" s="0" t="s">
        <v>1302</v>
      </c>
      <c r="B1386" s="0" t="s">
        <v>134</v>
      </c>
      <c r="C1386" s="0" t="s">
        <v>3447</v>
      </c>
      <c r="D1386" s="0" t="s">
        <v>3448</v>
      </c>
      <c r="E1386" s="0" t="s">
        <v>4963</v>
      </c>
      <c r="F1386" s="0" t="s">
        <v>60</v>
      </c>
      <c r="G1386" s="0" t="s">
        <v>4964</v>
      </c>
      <c r="H1386" s="0" t="s">
        <v>5450</v>
      </c>
      <c r="I1386" s="0" t="s">
        <v>4966</v>
      </c>
      <c r="J1386" s="19" t="s">
        <v>26</v>
      </c>
    </row>
    <row r="1387" customFormat="false" ht="15" hidden="false" customHeight="false" outlineLevel="0" collapsed="false">
      <c r="A1387" s="0" t="s">
        <v>1302</v>
      </c>
      <c r="B1387" s="0" t="s">
        <v>134</v>
      </c>
      <c r="C1387" s="0" t="s">
        <v>3450</v>
      </c>
      <c r="D1387" s="0" t="s">
        <v>3457</v>
      </c>
      <c r="E1387" s="0" t="s">
        <v>4963</v>
      </c>
      <c r="F1387" s="0" t="s">
        <v>59</v>
      </c>
      <c r="G1387" s="0" t="s">
        <v>4974</v>
      </c>
      <c r="H1387" s="0" t="s">
        <v>69</v>
      </c>
      <c r="I1387" s="0" t="s">
        <v>4975</v>
      </c>
      <c r="J1387" s="20" t="s">
        <v>25</v>
      </c>
    </row>
    <row r="1388" customFormat="false" ht="15" hidden="false" customHeight="false" outlineLevel="0" collapsed="false">
      <c r="A1388" s="0" t="s">
        <v>1302</v>
      </c>
      <c r="B1388" s="0" t="s">
        <v>134</v>
      </c>
      <c r="C1388" s="0" t="s">
        <v>3450</v>
      </c>
      <c r="D1388" s="0" t="s">
        <v>3448</v>
      </c>
      <c r="E1388" s="0" t="s">
        <v>4969</v>
      </c>
      <c r="F1388" s="0" t="s">
        <v>62</v>
      </c>
      <c r="G1388" s="0" t="s">
        <v>5003</v>
      </c>
      <c r="H1388" s="0" t="s">
        <v>5451</v>
      </c>
      <c r="I1388" s="0" t="s">
        <v>5005</v>
      </c>
      <c r="J1388" s="20" t="s">
        <v>25</v>
      </c>
    </row>
    <row r="1389" customFormat="false" ht="15" hidden="false" customHeight="false" outlineLevel="0" collapsed="false">
      <c r="A1389" s="0" t="s">
        <v>1302</v>
      </c>
      <c r="B1389" s="0" t="s">
        <v>134</v>
      </c>
      <c r="C1389" s="0" t="s">
        <v>3450</v>
      </c>
      <c r="D1389" s="0" t="s">
        <v>3448</v>
      </c>
      <c r="E1389" s="0" t="s">
        <v>4969</v>
      </c>
      <c r="F1389" s="0" t="s">
        <v>64</v>
      </c>
      <c r="G1389" s="0" t="s">
        <v>4220</v>
      </c>
      <c r="H1389" s="0" t="s">
        <v>5452</v>
      </c>
      <c r="I1389" s="0" t="s">
        <v>4991</v>
      </c>
      <c r="J1389" s="20" t="s">
        <v>25</v>
      </c>
    </row>
    <row r="1390" customFormat="false" ht="15" hidden="false" customHeight="false" outlineLevel="0" collapsed="false">
      <c r="A1390" s="0" t="s">
        <v>1302</v>
      </c>
      <c r="B1390" s="0" t="s">
        <v>134</v>
      </c>
      <c r="C1390" s="0" t="s">
        <v>3447</v>
      </c>
      <c r="D1390" s="0" t="s">
        <v>3448</v>
      </c>
      <c r="E1390" s="0" t="s">
        <v>4969</v>
      </c>
      <c r="F1390" s="0" t="s">
        <v>64</v>
      </c>
      <c r="G1390" s="0" t="s">
        <v>4220</v>
      </c>
      <c r="H1390" s="0" t="s">
        <v>5452</v>
      </c>
      <c r="I1390" s="0" t="s">
        <v>4991</v>
      </c>
      <c r="J1390" s="20" t="s">
        <v>25</v>
      </c>
    </row>
    <row r="1391" customFormat="false" ht="15" hidden="false" customHeight="false" outlineLevel="0" collapsed="false">
      <c r="A1391" s="0" t="s">
        <v>1302</v>
      </c>
      <c r="B1391" s="0" t="s">
        <v>134</v>
      </c>
      <c r="C1391" s="0" t="s">
        <v>3450</v>
      </c>
      <c r="D1391" s="0" t="s">
        <v>3457</v>
      </c>
      <c r="E1391" s="0" t="s">
        <v>4963</v>
      </c>
      <c r="F1391" s="0" t="s">
        <v>30</v>
      </c>
      <c r="G1391" s="0" t="s">
        <v>4980</v>
      </c>
      <c r="H1391" s="0" t="s">
        <v>4242</v>
      </c>
      <c r="I1391" s="0" t="s">
        <v>4981</v>
      </c>
      <c r="J1391" s="18" t="s">
        <v>24</v>
      </c>
    </row>
    <row r="1392" customFormat="false" ht="15" hidden="false" customHeight="false" outlineLevel="0" collapsed="false">
      <c r="A1392" s="0" t="s">
        <v>1302</v>
      </c>
      <c r="B1392" s="0" t="s">
        <v>134</v>
      </c>
      <c r="C1392" s="0" t="s">
        <v>3447</v>
      </c>
      <c r="D1392" s="0" t="s">
        <v>3457</v>
      </c>
      <c r="E1392" s="0" t="s">
        <v>4963</v>
      </c>
      <c r="F1392" s="0" t="s">
        <v>30</v>
      </c>
      <c r="G1392" s="0" t="s">
        <v>4980</v>
      </c>
      <c r="H1392" s="0" t="s">
        <v>4548</v>
      </c>
      <c r="I1392" s="0" t="s">
        <v>4981</v>
      </c>
      <c r="J1392" s="18" t="s">
        <v>24</v>
      </c>
    </row>
    <row r="1393" customFormat="false" ht="15" hidden="false" customHeight="false" outlineLevel="0" collapsed="false">
      <c r="A1393" s="0" t="s">
        <v>1308</v>
      </c>
      <c r="B1393" s="0" t="s">
        <v>134</v>
      </c>
      <c r="C1393" s="0" t="s">
        <v>3447</v>
      </c>
      <c r="D1393" s="0" t="s">
        <v>3457</v>
      </c>
      <c r="E1393" s="0" t="s">
        <v>4963</v>
      </c>
      <c r="F1393" s="0" t="s">
        <v>60</v>
      </c>
      <c r="G1393" s="0" t="s">
        <v>4964</v>
      </c>
      <c r="H1393" s="0" t="s">
        <v>5204</v>
      </c>
      <c r="I1393" s="0" t="s">
        <v>4966</v>
      </c>
      <c r="J1393" s="19" t="s">
        <v>26</v>
      </c>
    </row>
    <row r="1394" customFormat="false" ht="15" hidden="false" customHeight="false" outlineLevel="0" collapsed="false">
      <c r="A1394" s="0" t="s">
        <v>1308</v>
      </c>
      <c r="B1394" s="0" t="s">
        <v>134</v>
      </c>
      <c r="C1394" s="0" t="s">
        <v>3447</v>
      </c>
      <c r="D1394" s="0" t="s">
        <v>3448</v>
      </c>
      <c r="E1394" s="0" t="s">
        <v>4963</v>
      </c>
      <c r="F1394" s="0" t="s">
        <v>60</v>
      </c>
      <c r="G1394" s="0" t="s">
        <v>4964</v>
      </c>
      <c r="H1394" s="0" t="s">
        <v>5049</v>
      </c>
      <c r="I1394" s="0" t="s">
        <v>4966</v>
      </c>
      <c r="J1394" s="19" t="s">
        <v>26</v>
      </c>
    </row>
    <row r="1395" customFormat="false" ht="15" hidden="false" customHeight="false" outlineLevel="0" collapsed="false">
      <c r="A1395" s="0" t="s">
        <v>1308</v>
      </c>
      <c r="B1395" s="0" t="s">
        <v>134</v>
      </c>
      <c r="C1395" s="0" t="s">
        <v>3450</v>
      </c>
      <c r="D1395" s="0" t="s">
        <v>3457</v>
      </c>
      <c r="E1395" s="0" t="s">
        <v>4969</v>
      </c>
      <c r="F1395" s="0" t="s">
        <v>64</v>
      </c>
      <c r="G1395" s="0" t="s">
        <v>4220</v>
      </c>
      <c r="H1395" s="0" t="s">
        <v>5453</v>
      </c>
      <c r="I1395" s="0" t="s">
        <v>4991</v>
      </c>
      <c r="J1395" s="20" t="s">
        <v>25</v>
      </c>
    </row>
    <row r="1396" customFormat="false" ht="15" hidden="false" customHeight="false" outlineLevel="0" collapsed="false">
      <c r="A1396" s="0" t="s">
        <v>1308</v>
      </c>
      <c r="B1396" s="0" t="s">
        <v>134</v>
      </c>
      <c r="C1396" s="0" t="s">
        <v>3447</v>
      </c>
      <c r="D1396" s="0" t="s">
        <v>3457</v>
      </c>
      <c r="E1396" s="0" t="s">
        <v>4963</v>
      </c>
      <c r="F1396" s="0" t="s">
        <v>59</v>
      </c>
      <c r="G1396" s="0" t="s">
        <v>4974</v>
      </c>
      <c r="H1396" s="0" t="s">
        <v>69</v>
      </c>
      <c r="I1396" s="0" t="s">
        <v>4975</v>
      </c>
      <c r="J1396" s="20" t="s">
        <v>25</v>
      </c>
    </row>
    <row r="1397" customFormat="false" ht="15" hidden="false" customHeight="false" outlineLevel="0" collapsed="false">
      <c r="A1397" s="0" t="s">
        <v>1308</v>
      </c>
      <c r="B1397" s="0" t="s">
        <v>134</v>
      </c>
      <c r="C1397" s="0" t="s">
        <v>3447</v>
      </c>
      <c r="D1397" s="0" t="s">
        <v>3457</v>
      </c>
      <c r="E1397" s="0" t="s">
        <v>4969</v>
      </c>
      <c r="F1397" s="0" t="s">
        <v>64</v>
      </c>
      <c r="G1397" s="0" t="s">
        <v>4220</v>
      </c>
      <c r="H1397" s="0" t="s">
        <v>5453</v>
      </c>
      <c r="I1397" s="0" t="s">
        <v>4991</v>
      </c>
      <c r="J1397" s="20" t="s">
        <v>25</v>
      </c>
    </row>
    <row r="1398" customFormat="false" ht="15" hidden="false" customHeight="false" outlineLevel="0" collapsed="false">
      <c r="A1398" s="0" t="s">
        <v>1308</v>
      </c>
      <c r="B1398" s="0" t="s">
        <v>134</v>
      </c>
      <c r="C1398" s="0" t="s">
        <v>3447</v>
      </c>
      <c r="D1398" s="0" t="s">
        <v>3448</v>
      </c>
      <c r="E1398" s="0" t="s">
        <v>4963</v>
      </c>
      <c r="F1398" s="0" t="s">
        <v>59</v>
      </c>
      <c r="G1398" s="0" t="s">
        <v>4974</v>
      </c>
      <c r="H1398" s="0" t="s">
        <v>69</v>
      </c>
      <c r="I1398" s="0" t="s">
        <v>4975</v>
      </c>
      <c r="J1398" s="20" t="s">
        <v>25</v>
      </c>
    </row>
    <row r="1399" customFormat="false" ht="15" hidden="false" customHeight="false" outlineLevel="0" collapsed="false">
      <c r="A1399" s="0" t="s">
        <v>1314</v>
      </c>
      <c r="B1399" s="0" t="s">
        <v>134</v>
      </c>
      <c r="C1399" s="0" t="s">
        <v>3450</v>
      </c>
      <c r="D1399" s="0" t="s">
        <v>3448</v>
      </c>
      <c r="E1399" s="0" t="s">
        <v>4963</v>
      </c>
      <c r="F1399" s="0" t="s">
        <v>59</v>
      </c>
      <c r="G1399" s="0" t="s">
        <v>4974</v>
      </c>
      <c r="H1399" s="0" t="s">
        <v>69</v>
      </c>
      <c r="I1399" s="0" t="s">
        <v>4975</v>
      </c>
      <c r="J1399" s="20" t="s">
        <v>25</v>
      </c>
    </row>
    <row r="1400" customFormat="false" ht="15" hidden="false" customHeight="false" outlineLevel="0" collapsed="false">
      <c r="A1400" s="0" t="s">
        <v>1314</v>
      </c>
      <c r="B1400" s="0" t="s">
        <v>134</v>
      </c>
      <c r="C1400" s="0" t="s">
        <v>3450</v>
      </c>
      <c r="D1400" s="0" t="s">
        <v>3448</v>
      </c>
      <c r="E1400" s="0" t="s">
        <v>4969</v>
      </c>
      <c r="F1400" s="0" t="s">
        <v>63</v>
      </c>
      <c r="G1400" s="0" t="s">
        <v>4220</v>
      </c>
      <c r="H1400" s="0" t="s">
        <v>5454</v>
      </c>
      <c r="I1400" s="0" t="s">
        <v>4979</v>
      </c>
      <c r="J1400" s="20" t="s">
        <v>25</v>
      </c>
    </row>
    <row r="1401" customFormat="false" ht="15" hidden="false" customHeight="false" outlineLevel="0" collapsed="false">
      <c r="A1401" s="0" t="s">
        <v>1314</v>
      </c>
      <c r="B1401" s="0" t="s">
        <v>134</v>
      </c>
      <c r="C1401" s="0" t="s">
        <v>3447</v>
      </c>
      <c r="D1401" s="0" t="s">
        <v>3448</v>
      </c>
      <c r="E1401" s="0" t="s">
        <v>4969</v>
      </c>
      <c r="F1401" s="0" t="s">
        <v>63</v>
      </c>
      <c r="G1401" s="0" t="s">
        <v>4220</v>
      </c>
      <c r="H1401" s="0" t="s">
        <v>5454</v>
      </c>
      <c r="I1401" s="0" t="s">
        <v>4979</v>
      </c>
      <c r="J1401" s="20" t="s">
        <v>25</v>
      </c>
    </row>
    <row r="1402" customFormat="false" ht="15" hidden="false" customHeight="false" outlineLevel="0" collapsed="false">
      <c r="A1402" s="0" t="s">
        <v>1314</v>
      </c>
      <c r="B1402" s="0" t="s">
        <v>3459</v>
      </c>
      <c r="C1402" s="0" t="s">
        <v>3450</v>
      </c>
      <c r="D1402" s="0" t="s">
        <v>3457</v>
      </c>
      <c r="E1402" s="0" t="s">
        <v>4963</v>
      </c>
      <c r="F1402" s="0" t="s">
        <v>59</v>
      </c>
      <c r="G1402" s="0" t="s">
        <v>4974</v>
      </c>
      <c r="H1402" s="0" t="s">
        <v>69</v>
      </c>
      <c r="I1402" s="0" t="s">
        <v>4975</v>
      </c>
      <c r="J1402" s="20" t="s">
        <v>25</v>
      </c>
    </row>
    <row r="1403" customFormat="false" ht="15" hidden="false" customHeight="false" outlineLevel="0" collapsed="false">
      <c r="A1403" s="0" t="s">
        <v>1314</v>
      </c>
      <c r="B1403" s="0" t="s">
        <v>3459</v>
      </c>
      <c r="C1403" s="0" t="s">
        <v>3450</v>
      </c>
      <c r="D1403" s="0" t="s">
        <v>3457</v>
      </c>
      <c r="E1403" s="0" t="s">
        <v>4969</v>
      </c>
      <c r="F1403" s="0" t="s">
        <v>61</v>
      </c>
      <c r="G1403" s="0" t="s">
        <v>4970</v>
      </c>
      <c r="H1403" s="0" t="s">
        <v>5455</v>
      </c>
      <c r="I1403" s="0" t="s">
        <v>4972</v>
      </c>
      <c r="J1403" s="20" t="s">
        <v>25</v>
      </c>
    </row>
    <row r="1404" customFormat="false" ht="15" hidden="false" customHeight="false" outlineLevel="0" collapsed="false">
      <c r="A1404" s="0" t="s">
        <v>1314</v>
      </c>
      <c r="B1404" s="0" t="s">
        <v>3459</v>
      </c>
      <c r="C1404" s="0" t="s">
        <v>3450</v>
      </c>
      <c r="D1404" s="0" t="s">
        <v>3457</v>
      </c>
      <c r="E1404" s="0" t="s">
        <v>4969</v>
      </c>
      <c r="F1404" s="0" t="s">
        <v>64</v>
      </c>
      <c r="G1404" s="0" t="s">
        <v>4220</v>
      </c>
      <c r="H1404" s="0" t="s">
        <v>5456</v>
      </c>
      <c r="I1404" s="0" t="s">
        <v>4991</v>
      </c>
      <c r="J1404" s="20" t="s">
        <v>25</v>
      </c>
    </row>
    <row r="1405" customFormat="false" ht="15" hidden="false" customHeight="false" outlineLevel="0" collapsed="false">
      <c r="A1405" s="0" t="s">
        <v>1314</v>
      </c>
      <c r="B1405" s="0" t="s">
        <v>3459</v>
      </c>
      <c r="C1405" s="0" t="s">
        <v>3450</v>
      </c>
      <c r="D1405" s="0" t="s">
        <v>3448</v>
      </c>
      <c r="E1405" s="0" t="s">
        <v>4963</v>
      </c>
      <c r="F1405" s="0" t="s">
        <v>59</v>
      </c>
      <c r="G1405" s="0" t="s">
        <v>4974</v>
      </c>
      <c r="H1405" s="0" t="s">
        <v>69</v>
      </c>
      <c r="I1405" s="0" t="s">
        <v>4975</v>
      </c>
      <c r="J1405" s="20" t="s">
        <v>25</v>
      </c>
    </row>
    <row r="1406" customFormat="false" ht="15" hidden="false" customHeight="false" outlineLevel="0" collapsed="false">
      <c r="A1406" s="0" t="s">
        <v>1314</v>
      </c>
      <c r="B1406" s="0" t="s">
        <v>3459</v>
      </c>
      <c r="C1406" s="0" t="s">
        <v>3450</v>
      </c>
      <c r="D1406" s="0" t="s">
        <v>3448</v>
      </c>
      <c r="E1406" s="0" t="s">
        <v>4969</v>
      </c>
      <c r="F1406" s="0" t="s">
        <v>63</v>
      </c>
      <c r="G1406" s="0" t="s">
        <v>4220</v>
      </c>
      <c r="H1406" s="0" t="s">
        <v>5457</v>
      </c>
      <c r="I1406" s="0" t="s">
        <v>4979</v>
      </c>
      <c r="J1406" s="20" t="s">
        <v>25</v>
      </c>
    </row>
    <row r="1407" customFormat="false" ht="15" hidden="false" customHeight="false" outlineLevel="0" collapsed="false">
      <c r="A1407" s="0" t="s">
        <v>1314</v>
      </c>
      <c r="B1407" s="0" t="s">
        <v>3459</v>
      </c>
      <c r="C1407" s="0" t="s">
        <v>3447</v>
      </c>
      <c r="D1407" s="0" t="s">
        <v>3457</v>
      </c>
      <c r="E1407" s="0" t="s">
        <v>4969</v>
      </c>
      <c r="F1407" s="0" t="s">
        <v>64</v>
      </c>
      <c r="G1407" s="0" t="s">
        <v>4220</v>
      </c>
      <c r="H1407" s="0" t="s">
        <v>5456</v>
      </c>
      <c r="I1407" s="0" t="s">
        <v>4991</v>
      </c>
      <c r="J1407" s="20" t="s">
        <v>25</v>
      </c>
    </row>
    <row r="1408" customFormat="false" ht="15" hidden="false" customHeight="false" outlineLevel="0" collapsed="false">
      <c r="A1408" s="0" t="s">
        <v>1314</v>
      </c>
      <c r="B1408" s="0" t="s">
        <v>3459</v>
      </c>
      <c r="C1408" s="0" t="s">
        <v>3447</v>
      </c>
      <c r="D1408" s="0" t="s">
        <v>3448</v>
      </c>
      <c r="E1408" s="0" t="s">
        <v>4969</v>
      </c>
      <c r="F1408" s="0" t="s">
        <v>63</v>
      </c>
      <c r="G1408" s="0" t="s">
        <v>4220</v>
      </c>
      <c r="H1408" s="0" t="s">
        <v>5457</v>
      </c>
      <c r="I1408" s="0" t="s">
        <v>4979</v>
      </c>
      <c r="J1408" s="20" t="s">
        <v>25</v>
      </c>
    </row>
    <row r="1409" customFormat="false" ht="15" hidden="false" customHeight="false" outlineLevel="0" collapsed="false">
      <c r="A1409" s="0" t="s">
        <v>1314</v>
      </c>
      <c r="B1409" s="0" t="s">
        <v>134</v>
      </c>
      <c r="C1409" s="0" t="s">
        <v>3450</v>
      </c>
      <c r="D1409" s="0" t="s">
        <v>3448</v>
      </c>
      <c r="E1409" s="0" t="s">
        <v>4963</v>
      </c>
      <c r="F1409" s="0" t="s">
        <v>30</v>
      </c>
      <c r="G1409" s="0" t="s">
        <v>4980</v>
      </c>
      <c r="H1409" s="0" t="s">
        <v>4275</v>
      </c>
      <c r="I1409" s="0" t="s">
        <v>4981</v>
      </c>
      <c r="J1409" s="18" t="s">
        <v>24</v>
      </c>
    </row>
    <row r="1410" customFormat="false" ht="15" hidden="false" customHeight="false" outlineLevel="0" collapsed="false">
      <c r="A1410" s="0" t="s">
        <v>1314</v>
      </c>
      <c r="B1410" s="0" t="s">
        <v>134</v>
      </c>
      <c r="C1410" s="0" t="s">
        <v>3447</v>
      </c>
      <c r="D1410" s="0" t="s">
        <v>3457</v>
      </c>
      <c r="E1410" s="0" t="s">
        <v>4963</v>
      </c>
      <c r="F1410" s="0" t="s">
        <v>30</v>
      </c>
      <c r="G1410" s="0" t="s">
        <v>4980</v>
      </c>
      <c r="H1410" s="0" t="s">
        <v>4426</v>
      </c>
      <c r="I1410" s="0" t="s">
        <v>4981</v>
      </c>
      <c r="J1410" s="18" t="s">
        <v>24</v>
      </c>
    </row>
    <row r="1411" customFormat="false" ht="15" hidden="false" customHeight="false" outlineLevel="0" collapsed="false">
      <c r="A1411" s="0" t="s">
        <v>1314</v>
      </c>
      <c r="B1411" s="0" t="s">
        <v>134</v>
      </c>
      <c r="C1411" s="0" t="s">
        <v>3447</v>
      </c>
      <c r="D1411" s="0" t="s">
        <v>3448</v>
      </c>
      <c r="E1411" s="0" t="s">
        <v>4963</v>
      </c>
      <c r="F1411" s="0" t="s">
        <v>30</v>
      </c>
      <c r="G1411" s="0" t="s">
        <v>4980</v>
      </c>
      <c r="H1411" s="0" t="s">
        <v>4345</v>
      </c>
      <c r="I1411" s="0" t="s">
        <v>4981</v>
      </c>
      <c r="J1411" s="18" t="s">
        <v>24</v>
      </c>
    </row>
    <row r="1412" customFormat="false" ht="15" hidden="false" customHeight="false" outlineLevel="0" collapsed="false">
      <c r="A1412" s="0" t="s">
        <v>1314</v>
      </c>
      <c r="B1412" s="0" t="s">
        <v>3459</v>
      </c>
      <c r="C1412" s="0" t="s">
        <v>3450</v>
      </c>
      <c r="D1412" s="0" t="s">
        <v>3457</v>
      </c>
      <c r="E1412" s="0" t="s">
        <v>4963</v>
      </c>
      <c r="F1412" s="0" t="s">
        <v>30</v>
      </c>
      <c r="G1412" s="0" t="s">
        <v>4980</v>
      </c>
      <c r="H1412" s="0" t="s">
        <v>4242</v>
      </c>
      <c r="I1412" s="0" t="s">
        <v>4981</v>
      </c>
      <c r="J1412" s="18" t="s">
        <v>24</v>
      </c>
    </row>
    <row r="1413" customFormat="false" ht="15" hidden="false" customHeight="false" outlineLevel="0" collapsed="false">
      <c r="A1413" s="0" t="s">
        <v>1314</v>
      </c>
      <c r="B1413" s="0" t="s">
        <v>3459</v>
      </c>
      <c r="C1413" s="0" t="s">
        <v>3450</v>
      </c>
      <c r="D1413" s="0" t="s">
        <v>3448</v>
      </c>
      <c r="E1413" s="0" t="s">
        <v>4963</v>
      </c>
      <c r="F1413" s="0" t="s">
        <v>30</v>
      </c>
      <c r="G1413" s="0" t="s">
        <v>4980</v>
      </c>
      <c r="H1413" s="0" t="s">
        <v>4275</v>
      </c>
      <c r="I1413" s="0" t="s">
        <v>4981</v>
      </c>
      <c r="J1413" s="18" t="s">
        <v>24</v>
      </c>
    </row>
    <row r="1414" customFormat="false" ht="15" hidden="false" customHeight="false" outlineLevel="0" collapsed="false">
      <c r="A1414" s="0" t="s">
        <v>1314</v>
      </c>
      <c r="B1414" s="0" t="s">
        <v>3459</v>
      </c>
      <c r="C1414" s="0" t="s">
        <v>3447</v>
      </c>
      <c r="D1414" s="0" t="s">
        <v>3457</v>
      </c>
      <c r="E1414" s="0" t="s">
        <v>4963</v>
      </c>
      <c r="F1414" s="0" t="s">
        <v>30</v>
      </c>
      <c r="G1414" s="0" t="s">
        <v>4980</v>
      </c>
      <c r="H1414" s="0" t="s">
        <v>4550</v>
      </c>
      <c r="I1414" s="0" t="s">
        <v>4981</v>
      </c>
      <c r="J1414" s="18" t="s">
        <v>24</v>
      </c>
    </row>
    <row r="1415" customFormat="false" ht="15" hidden="false" customHeight="false" outlineLevel="0" collapsed="false">
      <c r="A1415" s="0" t="s">
        <v>1314</v>
      </c>
      <c r="B1415" s="0" t="s">
        <v>3459</v>
      </c>
      <c r="C1415" s="0" t="s">
        <v>3447</v>
      </c>
      <c r="D1415" s="0" t="s">
        <v>3448</v>
      </c>
      <c r="E1415" s="0" t="s">
        <v>4963</v>
      </c>
      <c r="F1415" s="0" t="s">
        <v>30</v>
      </c>
      <c r="G1415" s="0" t="s">
        <v>4980</v>
      </c>
      <c r="H1415" s="0" t="s">
        <v>4551</v>
      </c>
      <c r="I1415" s="0" t="s">
        <v>4981</v>
      </c>
      <c r="J1415" s="18" t="s">
        <v>24</v>
      </c>
    </row>
    <row r="1416" customFormat="false" ht="15" hidden="false" customHeight="false" outlineLevel="0" collapsed="false">
      <c r="A1416" s="0" t="s">
        <v>1320</v>
      </c>
      <c r="B1416" s="0" t="s">
        <v>3459</v>
      </c>
      <c r="C1416" s="0" t="s">
        <v>3450</v>
      </c>
      <c r="D1416" s="0" t="s">
        <v>3457</v>
      </c>
      <c r="E1416" s="0" t="s">
        <v>4963</v>
      </c>
      <c r="F1416" s="0" t="s">
        <v>59</v>
      </c>
      <c r="G1416" s="0" t="s">
        <v>4974</v>
      </c>
      <c r="H1416" s="0" t="s">
        <v>69</v>
      </c>
      <c r="I1416" s="0" t="s">
        <v>4975</v>
      </c>
      <c r="J1416" s="20" t="s">
        <v>25</v>
      </c>
    </row>
    <row r="1417" customFormat="false" ht="15" hidden="false" customHeight="false" outlineLevel="0" collapsed="false">
      <c r="A1417" s="0" t="s">
        <v>1320</v>
      </c>
      <c r="B1417" s="0" t="s">
        <v>134</v>
      </c>
      <c r="C1417" s="0" t="s">
        <v>3450</v>
      </c>
      <c r="D1417" s="0" t="s">
        <v>3457</v>
      </c>
      <c r="E1417" s="0" t="s">
        <v>4963</v>
      </c>
      <c r="F1417" s="0" t="s">
        <v>30</v>
      </c>
      <c r="G1417" s="0" t="s">
        <v>4980</v>
      </c>
      <c r="H1417" s="0" t="s">
        <v>4272</v>
      </c>
      <c r="I1417" s="0" t="s">
        <v>4981</v>
      </c>
      <c r="J1417" s="18" t="s">
        <v>24</v>
      </c>
    </row>
    <row r="1418" customFormat="false" ht="15" hidden="false" customHeight="false" outlineLevel="0" collapsed="false">
      <c r="A1418" s="0" t="s">
        <v>1320</v>
      </c>
      <c r="B1418" s="0" t="s">
        <v>134</v>
      </c>
      <c r="C1418" s="0" t="s">
        <v>3447</v>
      </c>
      <c r="D1418" s="0" t="s">
        <v>3457</v>
      </c>
      <c r="E1418" s="0" t="s">
        <v>4963</v>
      </c>
      <c r="F1418" s="0" t="s">
        <v>30</v>
      </c>
      <c r="G1418" s="0" t="s">
        <v>4980</v>
      </c>
      <c r="H1418" s="0" t="s">
        <v>4368</v>
      </c>
      <c r="I1418" s="0" t="s">
        <v>4981</v>
      </c>
      <c r="J1418" s="18" t="s">
        <v>24</v>
      </c>
    </row>
    <row r="1419" customFormat="false" ht="15" hidden="false" customHeight="false" outlineLevel="0" collapsed="false">
      <c r="A1419" s="0" t="s">
        <v>1320</v>
      </c>
      <c r="B1419" s="0" t="s">
        <v>134</v>
      </c>
      <c r="C1419" s="0" t="s">
        <v>3447</v>
      </c>
      <c r="D1419" s="0" t="s">
        <v>3448</v>
      </c>
      <c r="E1419" s="0" t="s">
        <v>4963</v>
      </c>
      <c r="F1419" s="0" t="s">
        <v>30</v>
      </c>
      <c r="G1419" s="0" t="s">
        <v>4980</v>
      </c>
      <c r="H1419" s="0" t="s">
        <v>4239</v>
      </c>
      <c r="I1419" s="0" t="s">
        <v>4981</v>
      </c>
      <c r="J1419" s="18" t="s">
        <v>24</v>
      </c>
    </row>
    <row r="1420" customFormat="false" ht="15" hidden="false" customHeight="false" outlineLevel="0" collapsed="false">
      <c r="A1420" s="0" t="s">
        <v>1320</v>
      </c>
      <c r="B1420" s="0" t="s">
        <v>3459</v>
      </c>
      <c r="C1420" s="0" t="s">
        <v>3450</v>
      </c>
      <c r="D1420" s="0" t="s">
        <v>3457</v>
      </c>
      <c r="E1420" s="0" t="s">
        <v>4963</v>
      </c>
      <c r="F1420" s="0" t="s">
        <v>30</v>
      </c>
      <c r="G1420" s="0" t="s">
        <v>4980</v>
      </c>
      <c r="H1420" s="0" t="s">
        <v>4375</v>
      </c>
      <c r="I1420" s="0" t="s">
        <v>4981</v>
      </c>
      <c r="J1420" s="18" t="s">
        <v>24</v>
      </c>
    </row>
    <row r="1421" customFormat="false" ht="15" hidden="false" customHeight="false" outlineLevel="0" collapsed="false">
      <c r="A1421" s="0" t="s">
        <v>1320</v>
      </c>
      <c r="B1421" s="0" t="s">
        <v>3459</v>
      </c>
      <c r="C1421" s="0" t="s">
        <v>3447</v>
      </c>
      <c r="D1421" s="0" t="s">
        <v>3457</v>
      </c>
      <c r="E1421" s="0" t="s">
        <v>4963</v>
      </c>
      <c r="F1421" s="0" t="s">
        <v>30</v>
      </c>
      <c r="G1421" s="0" t="s">
        <v>4980</v>
      </c>
      <c r="H1421" s="0" t="s">
        <v>4552</v>
      </c>
      <c r="I1421" s="0" t="s">
        <v>4981</v>
      </c>
      <c r="J1421" s="18" t="s">
        <v>24</v>
      </c>
    </row>
    <row r="1422" customFormat="false" ht="15" hidden="false" customHeight="false" outlineLevel="0" collapsed="false">
      <c r="A1422" s="0" t="s">
        <v>1320</v>
      </c>
      <c r="B1422" s="0" t="s">
        <v>3459</v>
      </c>
      <c r="C1422" s="0" t="s">
        <v>3447</v>
      </c>
      <c r="D1422" s="0" t="s">
        <v>3448</v>
      </c>
      <c r="E1422" s="0" t="s">
        <v>4963</v>
      </c>
      <c r="F1422" s="0" t="s">
        <v>30</v>
      </c>
      <c r="G1422" s="0" t="s">
        <v>4980</v>
      </c>
      <c r="H1422" s="0" t="s">
        <v>4553</v>
      </c>
      <c r="I1422" s="0" t="s">
        <v>4981</v>
      </c>
      <c r="J1422" s="18" t="s">
        <v>24</v>
      </c>
    </row>
    <row r="1423" customFormat="false" ht="15" hidden="false" customHeight="false" outlineLevel="0" collapsed="false">
      <c r="A1423" s="0" t="s">
        <v>1325</v>
      </c>
      <c r="B1423" s="0" t="s">
        <v>134</v>
      </c>
      <c r="C1423" s="0" t="s">
        <v>3450</v>
      </c>
      <c r="D1423" s="0" t="s">
        <v>3457</v>
      </c>
      <c r="E1423" s="0" t="s">
        <v>4963</v>
      </c>
      <c r="F1423" s="0" t="s">
        <v>59</v>
      </c>
      <c r="G1423" s="0" t="s">
        <v>4974</v>
      </c>
      <c r="H1423" s="0" t="s">
        <v>69</v>
      </c>
      <c r="I1423" s="0" t="s">
        <v>4975</v>
      </c>
      <c r="J1423" s="20" t="s">
        <v>25</v>
      </c>
    </row>
    <row r="1424" customFormat="false" ht="15" hidden="false" customHeight="false" outlineLevel="0" collapsed="false">
      <c r="A1424" s="0" t="s">
        <v>1325</v>
      </c>
      <c r="B1424" s="0" t="s">
        <v>134</v>
      </c>
      <c r="C1424" s="0" t="s">
        <v>3450</v>
      </c>
      <c r="D1424" s="0" t="s">
        <v>3448</v>
      </c>
      <c r="E1424" s="0" t="s">
        <v>4963</v>
      </c>
      <c r="F1424" s="0" t="s">
        <v>59</v>
      </c>
      <c r="G1424" s="0" t="s">
        <v>4974</v>
      </c>
      <c r="H1424" s="0" t="s">
        <v>69</v>
      </c>
      <c r="I1424" s="0" t="s">
        <v>4975</v>
      </c>
      <c r="J1424" s="20" t="s">
        <v>25</v>
      </c>
    </row>
    <row r="1425" customFormat="false" ht="15" hidden="false" customHeight="false" outlineLevel="0" collapsed="false">
      <c r="A1425" s="0" t="s">
        <v>1325</v>
      </c>
      <c r="B1425" s="0" t="s">
        <v>134</v>
      </c>
      <c r="C1425" s="0" t="s">
        <v>3450</v>
      </c>
      <c r="D1425" s="0" t="s">
        <v>3448</v>
      </c>
      <c r="E1425" s="0" t="s">
        <v>4969</v>
      </c>
      <c r="F1425" s="0" t="s">
        <v>61</v>
      </c>
      <c r="G1425" s="0" t="s">
        <v>4970</v>
      </c>
      <c r="H1425" s="0" t="s">
        <v>5458</v>
      </c>
      <c r="I1425" s="0" t="s">
        <v>4972</v>
      </c>
      <c r="J1425" s="20" t="s">
        <v>25</v>
      </c>
    </row>
    <row r="1426" customFormat="false" ht="15" hidden="false" customHeight="false" outlineLevel="0" collapsed="false">
      <c r="A1426" s="0" t="s">
        <v>1325</v>
      </c>
      <c r="B1426" s="0" t="s">
        <v>134</v>
      </c>
      <c r="C1426" s="0" t="s">
        <v>3447</v>
      </c>
      <c r="D1426" s="0" t="s">
        <v>3457</v>
      </c>
      <c r="E1426" s="0" t="s">
        <v>4963</v>
      </c>
      <c r="F1426" s="0" t="s">
        <v>59</v>
      </c>
      <c r="G1426" s="0" t="s">
        <v>4974</v>
      </c>
      <c r="H1426" s="0" t="s">
        <v>69</v>
      </c>
      <c r="I1426" s="0" t="s">
        <v>4975</v>
      </c>
      <c r="J1426" s="20" t="s">
        <v>25</v>
      </c>
    </row>
    <row r="1427" customFormat="false" ht="15" hidden="false" customHeight="false" outlineLevel="0" collapsed="false">
      <c r="A1427" s="0" t="s">
        <v>1325</v>
      </c>
      <c r="B1427" s="0" t="s">
        <v>134</v>
      </c>
      <c r="C1427" s="0" t="s">
        <v>3450</v>
      </c>
      <c r="D1427" s="0" t="s">
        <v>3457</v>
      </c>
      <c r="E1427" s="0" t="s">
        <v>4963</v>
      </c>
      <c r="F1427" s="0" t="s">
        <v>30</v>
      </c>
      <c r="G1427" s="0" t="s">
        <v>4980</v>
      </c>
      <c r="H1427" s="0" t="s">
        <v>4275</v>
      </c>
      <c r="I1427" s="0" t="s">
        <v>4981</v>
      </c>
      <c r="J1427" s="18" t="s">
        <v>24</v>
      </c>
    </row>
    <row r="1428" customFormat="false" ht="15" hidden="false" customHeight="false" outlineLevel="0" collapsed="false">
      <c r="A1428" s="0" t="s">
        <v>1325</v>
      </c>
      <c r="B1428" s="0" t="s">
        <v>134</v>
      </c>
      <c r="C1428" s="0" t="s">
        <v>3450</v>
      </c>
      <c r="D1428" s="0" t="s">
        <v>3448</v>
      </c>
      <c r="E1428" s="0" t="s">
        <v>4963</v>
      </c>
      <c r="F1428" s="0" t="s">
        <v>30</v>
      </c>
      <c r="G1428" s="0" t="s">
        <v>4980</v>
      </c>
      <c r="H1428" s="0" t="s">
        <v>4275</v>
      </c>
      <c r="I1428" s="0" t="s">
        <v>4981</v>
      </c>
      <c r="J1428" s="18" t="s">
        <v>24</v>
      </c>
    </row>
    <row r="1429" customFormat="false" ht="15" hidden="false" customHeight="false" outlineLevel="0" collapsed="false">
      <c r="A1429" s="0" t="s">
        <v>1325</v>
      </c>
      <c r="B1429" s="0" t="s">
        <v>134</v>
      </c>
      <c r="C1429" s="0" t="s">
        <v>3447</v>
      </c>
      <c r="D1429" s="0" t="s">
        <v>3457</v>
      </c>
      <c r="E1429" s="0" t="s">
        <v>4963</v>
      </c>
      <c r="F1429" s="0" t="s">
        <v>30</v>
      </c>
      <c r="G1429" s="0" t="s">
        <v>4980</v>
      </c>
      <c r="H1429" s="0" t="s">
        <v>4275</v>
      </c>
      <c r="I1429" s="0" t="s">
        <v>4981</v>
      </c>
      <c r="J1429" s="18" t="s">
        <v>24</v>
      </c>
    </row>
    <row r="1430" customFormat="false" ht="15" hidden="false" customHeight="false" outlineLevel="0" collapsed="false">
      <c r="A1430" s="0" t="s">
        <v>1325</v>
      </c>
      <c r="B1430" s="0" t="s">
        <v>134</v>
      </c>
      <c r="C1430" s="0" t="s">
        <v>3447</v>
      </c>
      <c r="D1430" s="0" t="s">
        <v>3448</v>
      </c>
      <c r="E1430" s="0" t="s">
        <v>4963</v>
      </c>
      <c r="F1430" s="0" t="s">
        <v>30</v>
      </c>
      <c r="G1430" s="0" t="s">
        <v>4980</v>
      </c>
      <c r="H1430" s="0" t="s">
        <v>4554</v>
      </c>
      <c r="I1430" s="0" t="s">
        <v>4981</v>
      </c>
      <c r="J1430" s="18" t="s">
        <v>24</v>
      </c>
    </row>
    <row r="1431" customFormat="false" ht="15" hidden="false" customHeight="false" outlineLevel="0" collapsed="false">
      <c r="A1431" s="0" t="s">
        <v>1334</v>
      </c>
      <c r="B1431" s="0" t="s">
        <v>134</v>
      </c>
      <c r="C1431" s="0" t="s">
        <v>3447</v>
      </c>
      <c r="D1431" s="0" t="s">
        <v>3457</v>
      </c>
      <c r="E1431" s="0" t="s">
        <v>4963</v>
      </c>
      <c r="F1431" s="0" t="s">
        <v>60</v>
      </c>
      <c r="G1431" s="0" t="s">
        <v>4964</v>
      </c>
      <c r="H1431" s="0" t="s">
        <v>5009</v>
      </c>
      <c r="I1431" s="0" t="s">
        <v>4966</v>
      </c>
      <c r="J1431" s="19" t="s">
        <v>26</v>
      </c>
    </row>
    <row r="1432" customFormat="false" ht="15" hidden="false" customHeight="false" outlineLevel="0" collapsed="false">
      <c r="A1432" s="0" t="s">
        <v>1334</v>
      </c>
      <c r="B1432" s="0" t="s">
        <v>134</v>
      </c>
      <c r="C1432" s="0" t="s">
        <v>3450</v>
      </c>
      <c r="D1432" s="0" t="s">
        <v>3457</v>
      </c>
      <c r="E1432" s="0" t="s">
        <v>5199</v>
      </c>
      <c r="F1432" s="0" t="s">
        <v>67</v>
      </c>
      <c r="G1432" s="0" t="s">
        <v>100</v>
      </c>
      <c r="H1432" s="0" t="s">
        <v>5459</v>
      </c>
      <c r="I1432" s="0" t="s">
        <v>5201</v>
      </c>
      <c r="J1432" s="20" t="s">
        <v>25</v>
      </c>
    </row>
    <row r="1433" customFormat="false" ht="15" hidden="false" customHeight="false" outlineLevel="0" collapsed="false">
      <c r="A1433" s="0" t="s">
        <v>1334</v>
      </c>
      <c r="B1433" s="0" t="s">
        <v>134</v>
      </c>
      <c r="C1433" s="0" t="s">
        <v>3450</v>
      </c>
      <c r="D1433" s="0" t="s">
        <v>3457</v>
      </c>
      <c r="E1433" s="0" t="s">
        <v>4969</v>
      </c>
      <c r="F1433" s="0" t="s">
        <v>62</v>
      </c>
      <c r="G1433" s="0" t="s">
        <v>5003</v>
      </c>
      <c r="H1433" s="0" t="s">
        <v>5460</v>
      </c>
      <c r="I1433" s="0" t="s">
        <v>5005</v>
      </c>
      <c r="J1433" s="20" t="s">
        <v>25</v>
      </c>
    </row>
    <row r="1434" customFormat="false" ht="15" hidden="false" customHeight="false" outlineLevel="0" collapsed="false">
      <c r="A1434" s="0" t="s">
        <v>1334</v>
      </c>
      <c r="B1434" s="0" t="s">
        <v>134</v>
      </c>
      <c r="C1434" s="0" t="s">
        <v>3450</v>
      </c>
      <c r="D1434" s="0" t="s">
        <v>3457</v>
      </c>
      <c r="E1434" s="0" t="s">
        <v>4969</v>
      </c>
      <c r="F1434" s="0" t="s">
        <v>63</v>
      </c>
      <c r="G1434" s="0" t="s">
        <v>4220</v>
      </c>
      <c r="H1434" s="0" t="s">
        <v>5461</v>
      </c>
      <c r="I1434" s="0" t="s">
        <v>4979</v>
      </c>
      <c r="J1434" s="20" t="s">
        <v>25</v>
      </c>
    </row>
    <row r="1435" customFormat="false" ht="15" hidden="false" customHeight="false" outlineLevel="0" collapsed="false">
      <c r="A1435" s="0" t="s">
        <v>1334</v>
      </c>
      <c r="B1435" s="0" t="s">
        <v>134</v>
      </c>
      <c r="C1435" s="0" t="s">
        <v>3450</v>
      </c>
      <c r="D1435" s="0" t="s">
        <v>3448</v>
      </c>
      <c r="E1435" s="0" t="s">
        <v>4969</v>
      </c>
      <c r="F1435" s="0" t="s">
        <v>62</v>
      </c>
      <c r="G1435" s="0" t="s">
        <v>5003</v>
      </c>
      <c r="H1435" s="0" t="s">
        <v>5462</v>
      </c>
      <c r="I1435" s="0" t="s">
        <v>5005</v>
      </c>
      <c r="J1435" s="20" t="s">
        <v>25</v>
      </c>
    </row>
    <row r="1436" customFormat="false" ht="15" hidden="false" customHeight="false" outlineLevel="0" collapsed="false">
      <c r="A1436" s="0" t="s">
        <v>1334</v>
      </c>
      <c r="B1436" s="0" t="s">
        <v>134</v>
      </c>
      <c r="C1436" s="0" t="s">
        <v>3450</v>
      </c>
      <c r="D1436" s="0" t="s">
        <v>3448</v>
      </c>
      <c r="E1436" s="0" t="s">
        <v>4969</v>
      </c>
      <c r="F1436" s="0" t="s">
        <v>63</v>
      </c>
      <c r="G1436" s="0" t="s">
        <v>4220</v>
      </c>
      <c r="H1436" s="0" t="s">
        <v>5463</v>
      </c>
      <c r="I1436" s="0" t="s">
        <v>4979</v>
      </c>
      <c r="J1436" s="20" t="s">
        <v>25</v>
      </c>
    </row>
    <row r="1437" customFormat="false" ht="15" hidden="false" customHeight="false" outlineLevel="0" collapsed="false">
      <c r="A1437" s="0" t="s">
        <v>1334</v>
      </c>
      <c r="B1437" s="0" t="s">
        <v>134</v>
      </c>
      <c r="C1437" s="0" t="s">
        <v>3447</v>
      </c>
      <c r="D1437" s="0" t="s">
        <v>3457</v>
      </c>
      <c r="E1437" s="0" t="s">
        <v>4963</v>
      </c>
      <c r="F1437" s="0" t="s">
        <v>59</v>
      </c>
      <c r="G1437" s="0" t="s">
        <v>4974</v>
      </c>
      <c r="H1437" s="0" t="s">
        <v>69</v>
      </c>
      <c r="I1437" s="0" t="s">
        <v>4975</v>
      </c>
      <c r="J1437" s="20" t="s">
        <v>25</v>
      </c>
    </row>
    <row r="1438" customFormat="false" ht="15" hidden="false" customHeight="false" outlineLevel="0" collapsed="false">
      <c r="A1438" s="0" t="s">
        <v>1334</v>
      </c>
      <c r="B1438" s="0" t="s">
        <v>134</v>
      </c>
      <c r="C1438" s="0" t="s">
        <v>3447</v>
      </c>
      <c r="D1438" s="0" t="s">
        <v>3457</v>
      </c>
      <c r="E1438" s="0" t="s">
        <v>4969</v>
      </c>
      <c r="F1438" s="0" t="s">
        <v>63</v>
      </c>
      <c r="G1438" s="0" t="s">
        <v>4220</v>
      </c>
      <c r="H1438" s="0" t="s">
        <v>5461</v>
      </c>
      <c r="I1438" s="0" t="s">
        <v>4979</v>
      </c>
      <c r="J1438" s="20" t="s">
        <v>25</v>
      </c>
    </row>
    <row r="1439" customFormat="false" ht="15" hidden="false" customHeight="false" outlineLevel="0" collapsed="false">
      <c r="A1439" s="0" t="s">
        <v>1334</v>
      </c>
      <c r="B1439" s="0" t="s">
        <v>134</v>
      </c>
      <c r="C1439" s="0" t="s">
        <v>3447</v>
      </c>
      <c r="D1439" s="0" t="s">
        <v>3448</v>
      </c>
      <c r="E1439" s="0" t="s">
        <v>4969</v>
      </c>
      <c r="F1439" s="0" t="s">
        <v>63</v>
      </c>
      <c r="G1439" s="0" t="s">
        <v>4220</v>
      </c>
      <c r="H1439" s="0" t="s">
        <v>5463</v>
      </c>
      <c r="I1439" s="0" t="s">
        <v>4979</v>
      </c>
      <c r="J1439" s="20" t="s">
        <v>25</v>
      </c>
    </row>
    <row r="1440" customFormat="false" ht="15" hidden="false" customHeight="false" outlineLevel="0" collapsed="false">
      <c r="A1440" s="0" t="s">
        <v>1340</v>
      </c>
      <c r="B1440" s="0" t="s">
        <v>134</v>
      </c>
      <c r="C1440" s="0" t="s">
        <v>3450</v>
      </c>
      <c r="D1440" s="0" t="s">
        <v>3457</v>
      </c>
      <c r="E1440" s="0" t="s">
        <v>4963</v>
      </c>
      <c r="F1440" s="0" t="s">
        <v>59</v>
      </c>
      <c r="G1440" s="0" t="s">
        <v>4974</v>
      </c>
      <c r="H1440" s="0" t="s">
        <v>69</v>
      </c>
      <c r="I1440" s="0" t="s">
        <v>4975</v>
      </c>
      <c r="J1440" s="20" t="s">
        <v>25</v>
      </c>
    </row>
    <row r="1441" customFormat="false" ht="15" hidden="false" customHeight="false" outlineLevel="0" collapsed="false">
      <c r="A1441" s="0" t="s">
        <v>1340</v>
      </c>
      <c r="B1441" s="0" t="s">
        <v>134</v>
      </c>
      <c r="C1441" s="0" t="s">
        <v>3450</v>
      </c>
      <c r="D1441" s="0" t="s">
        <v>3448</v>
      </c>
      <c r="E1441" s="0" t="s">
        <v>5199</v>
      </c>
      <c r="F1441" s="0" t="s">
        <v>67</v>
      </c>
      <c r="G1441" s="0" t="s">
        <v>100</v>
      </c>
      <c r="H1441" s="0" t="s">
        <v>5464</v>
      </c>
      <c r="I1441" s="0" t="s">
        <v>5201</v>
      </c>
      <c r="J1441" s="20" t="s">
        <v>25</v>
      </c>
    </row>
    <row r="1442" customFormat="false" ht="15" hidden="false" customHeight="false" outlineLevel="0" collapsed="false">
      <c r="A1442" s="0" t="s">
        <v>1340</v>
      </c>
      <c r="B1442" s="0" t="s">
        <v>134</v>
      </c>
      <c r="C1442" s="0" t="s">
        <v>3450</v>
      </c>
      <c r="D1442" s="0" t="s">
        <v>3448</v>
      </c>
      <c r="E1442" s="0" t="s">
        <v>4963</v>
      </c>
      <c r="F1442" s="0" t="s">
        <v>59</v>
      </c>
      <c r="G1442" s="0" t="s">
        <v>4974</v>
      </c>
      <c r="H1442" s="0" t="s">
        <v>69</v>
      </c>
      <c r="I1442" s="0" t="s">
        <v>4975</v>
      </c>
      <c r="J1442" s="20" t="s">
        <v>25</v>
      </c>
    </row>
    <row r="1443" customFormat="false" ht="15" hidden="false" customHeight="false" outlineLevel="0" collapsed="false">
      <c r="A1443" s="0" t="s">
        <v>1340</v>
      </c>
      <c r="B1443" s="0" t="s">
        <v>134</v>
      </c>
      <c r="C1443" s="0" t="s">
        <v>3450</v>
      </c>
      <c r="D1443" s="0" t="s">
        <v>3457</v>
      </c>
      <c r="E1443" s="0" t="s">
        <v>4963</v>
      </c>
      <c r="F1443" s="0" t="s">
        <v>30</v>
      </c>
      <c r="G1443" s="0" t="s">
        <v>4980</v>
      </c>
      <c r="H1443" s="0" t="s">
        <v>4289</v>
      </c>
      <c r="I1443" s="0" t="s">
        <v>4981</v>
      </c>
      <c r="J1443" s="18" t="s">
        <v>24</v>
      </c>
    </row>
    <row r="1444" customFormat="false" ht="15" hidden="false" customHeight="false" outlineLevel="0" collapsed="false">
      <c r="A1444" s="0" t="s">
        <v>1340</v>
      </c>
      <c r="B1444" s="0" t="s">
        <v>134</v>
      </c>
      <c r="C1444" s="0" t="s">
        <v>3450</v>
      </c>
      <c r="D1444" s="0" t="s">
        <v>3448</v>
      </c>
      <c r="E1444" s="0" t="s">
        <v>4963</v>
      </c>
      <c r="F1444" s="0" t="s">
        <v>30</v>
      </c>
      <c r="G1444" s="0" t="s">
        <v>4980</v>
      </c>
      <c r="H1444" s="0" t="s">
        <v>4238</v>
      </c>
      <c r="I1444" s="0" t="s">
        <v>4981</v>
      </c>
      <c r="J1444" s="18" t="s">
        <v>24</v>
      </c>
    </row>
    <row r="1445" customFormat="false" ht="15" hidden="false" customHeight="false" outlineLevel="0" collapsed="false">
      <c r="A1445" s="0" t="s">
        <v>1340</v>
      </c>
      <c r="B1445" s="0" t="s">
        <v>134</v>
      </c>
      <c r="C1445" s="0" t="s">
        <v>3447</v>
      </c>
      <c r="D1445" s="0" t="s">
        <v>3457</v>
      </c>
      <c r="E1445" s="0" t="s">
        <v>4963</v>
      </c>
      <c r="F1445" s="0" t="s">
        <v>30</v>
      </c>
      <c r="G1445" s="0" t="s">
        <v>4980</v>
      </c>
      <c r="H1445" s="0" t="s">
        <v>4250</v>
      </c>
      <c r="I1445" s="0" t="s">
        <v>4981</v>
      </c>
      <c r="J1445" s="18" t="s">
        <v>24</v>
      </c>
    </row>
    <row r="1446" customFormat="false" ht="15" hidden="false" customHeight="false" outlineLevel="0" collapsed="false">
      <c r="A1446" s="0" t="s">
        <v>1340</v>
      </c>
      <c r="B1446" s="0" t="s">
        <v>134</v>
      </c>
      <c r="C1446" s="0" t="s">
        <v>3447</v>
      </c>
      <c r="D1446" s="0" t="s">
        <v>3448</v>
      </c>
      <c r="E1446" s="0" t="s">
        <v>4963</v>
      </c>
      <c r="F1446" s="0" t="s">
        <v>30</v>
      </c>
      <c r="G1446" s="0" t="s">
        <v>4980</v>
      </c>
      <c r="H1446" s="0" t="s">
        <v>4555</v>
      </c>
      <c r="I1446" s="0" t="s">
        <v>4981</v>
      </c>
      <c r="J1446" s="18" t="s">
        <v>24</v>
      </c>
    </row>
    <row r="1447" customFormat="false" ht="15" hidden="false" customHeight="false" outlineLevel="0" collapsed="false">
      <c r="A1447" s="0" t="s">
        <v>1346</v>
      </c>
      <c r="B1447" s="0" t="s">
        <v>3459</v>
      </c>
      <c r="C1447" s="0" t="s">
        <v>3447</v>
      </c>
      <c r="D1447" s="0" t="s">
        <v>3457</v>
      </c>
      <c r="E1447" s="0" t="s">
        <v>4963</v>
      </c>
      <c r="F1447" s="0" t="s">
        <v>60</v>
      </c>
      <c r="G1447" s="0" t="s">
        <v>4964</v>
      </c>
      <c r="H1447" s="0" t="s">
        <v>5230</v>
      </c>
      <c r="I1447" s="0" t="s">
        <v>4966</v>
      </c>
      <c r="J1447" s="19" t="s">
        <v>26</v>
      </c>
    </row>
    <row r="1448" customFormat="false" ht="15" hidden="false" customHeight="false" outlineLevel="0" collapsed="false">
      <c r="A1448" s="0" t="s">
        <v>1346</v>
      </c>
      <c r="B1448" s="0" t="s">
        <v>3459</v>
      </c>
      <c r="C1448" s="0" t="s">
        <v>3450</v>
      </c>
      <c r="D1448" s="0" t="s">
        <v>3457</v>
      </c>
      <c r="E1448" s="0" t="s">
        <v>4969</v>
      </c>
      <c r="F1448" s="0" t="s">
        <v>61</v>
      </c>
      <c r="G1448" s="0" t="s">
        <v>4970</v>
      </c>
      <c r="H1448" s="0" t="s">
        <v>5465</v>
      </c>
      <c r="I1448" s="0" t="s">
        <v>4972</v>
      </c>
      <c r="J1448" s="20" t="s">
        <v>25</v>
      </c>
    </row>
    <row r="1449" customFormat="false" ht="15" hidden="false" customHeight="false" outlineLevel="0" collapsed="false">
      <c r="A1449" s="0" t="s">
        <v>1346</v>
      </c>
      <c r="B1449" s="0" t="s">
        <v>3459</v>
      </c>
      <c r="C1449" s="0" t="s">
        <v>3450</v>
      </c>
      <c r="D1449" s="0" t="s">
        <v>3448</v>
      </c>
      <c r="E1449" s="0" t="s">
        <v>4969</v>
      </c>
      <c r="F1449" s="0" t="s">
        <v>61</v>
      </c>
      <c r="G1449" s="0" t="s">
        <v>4970</v>
      </c>
      <c r="H1449" s="0" t="s">
        <v>5466</v>
      </c>
      <c r="I1449" s="0" t="s">
        <v>4972</v>
      </c>
      <c r="J1449" s="20" t="s">
        <v>25</v>
      </c>
    </row>
    <row r="1450" customFormat="false" ht="15" hidden="false" customHeight="false" outlineLevel="0" collapsed="false">
      <c r="A1450" s="0" t="s">
        <v>1346</v>
      </c>
      <c r="B1450" s="0" t="s">
        <v>3459</v>
      </c>
      <c r="C1450" s="0" t="s">
        <v>3450</v>
      </c>
      <c r="D1450" s="0" t="s">
        <v>3448</v>
      </c>
      <c r="E1450" s="0" t="s">
        <v>4969</v>
      </c>
      <c r="F1450" s="0" t="s">
        <v>63</v>
      </c>
      <c r="G1450" s="0" t="s">
        <v>4220</v>
      </c>
      <c r="H1450" s="0" t="s">
        <v>5467</v>
      </c>
      <c r="I1450" s="0" t="s">
        <v>4979</v>
      </c>
      <c r="J1450" s="20" t="s">
        <v>25</v>
      </c>
    </row>
    <row r="1451" customFormat="false" ht="15" hidden="false" customHeight="false" outlineLevel="0" collapsed="false">
      <c r="A1451" s="0" t="s">
        <v>1346</v>
      </c>
      <c r="B1451" s="0" t="s">
        <v>3459</v>
      </c>
      <c r="C1451" s="0" t="s">
        <v>3447</v>
      </c>
      <c r="D1451" s="0" t="s">
        <v>3457</v>
      </c>
      <c r="E1451" s="0" t="s">
        <v>4963</v>
      </c>
      <c r="F1451" s="0" t="s">
        <v>59</v>
      </c>
      <c r="G1451" s="0" t="s">
        <v>4974</v>
      </c>
      <c r="H1451" s="0" t="s">
        <v>69</v>
      </c>
      <c r="I1451" s="0" t="s">
        <v>4975</v>
      </c>
      <c r="J1451" s="20" t="s">
        <v>25</v>
      </c>
    </row>
    <row r="1452" customFormat="false" ht="15" hidden="false" customHeight="false" outlineLevel="0" collapsed="false">
      <c r="A1452" s="0" t="s">
        <v>1346</v>
      </c>
      <c r="B1452" s="0" t="s">
        <v>3459</v>
      </c>
      <c r="C1452" s="0" t="s">
        <v>3447</v>
      </c>
      <c r="D1452" s="0" t="s">
        <v>3457</v>
      </c>
      <c r="E1452" s="0" t="s">
        <v>4969</v>
      </c>
      <c r="F1452" s="0" t="s">
        <v>61</v>
      </c>
      <c r="G1452" s="0" t="s">
        <v>4970</v>
      </c>
      <c r="H1452" s="0" t="s">
        <v>5126</v>
      </c>
      <c r="I1452" s="0" t="s">
        <v>4972</v>
      </c>
      <c r="J1452" s="20" t="s">
        <v>25</v>
      </c>
    </row>
    <row r="1453" customFormat="false" ht="15" hidden="false" customHeight="false" outlineLevel="0" collapsed="false">
      <c r="A1453" s="0" t="s">
        <v>1346</v>
      </c>
      <c r="B1453" s="0" t="s">
        <v>3459</v>
      </c>
      <c r="C1453" s="0" t="s">
        <v>3447</v>
      </c>
      <c r="D1453" s="0" t="s">
        <v>3448</v>
      </c>
      <c r="E1453" s="0" t="s">
        <v>4969</v>
      </c>
      <c r="F1453" s="0" t="s">
        <v>63</v>
      </c>
      <c r="G1453" s="0" t="s">
        <v>4220</v>
      </c>
      <c r="H1453" s="0" t="s">
        <v>5467</v>
      </c>
      <c r="I1453" s="0" t="s">
        <v>4979</v>
      </c>
      <c r="J1453" s="20" t="s">
        <v>25</v>
      </c>
    </row>
    <row r="1454" customFormat="false" ht="15" hidden="false" customHeight="false" outlineLevel="0" collapsed="false">
      <c r="A1454" s="0" t="s">
        <v>1346</v>
      </c>
      <c r="B1454" s="0" t="s">
        <v>134</v>
      </c>
      <c r="C1454" s="0" t="s">
        <v>3447</v>
      </c>
      <c r="D1454" s="0" t="s">
        <v>3448</v>
      </c>
      <c r="E1454" s="0" t="s">
        <v>4963</v>
      </c>
      <c r="F1454" s="0" t="s">
        <v>30</v>
      </c>
      <c r="G1454" s="0" t="s">
        <v>4980</v>
      </c>
      <c r="H1454" s="0" t="s">
        <v>4556</v>
      </c>
      <c r="I1454" s="0" t="s">
        <v>4981</v>
      </c>
      <c r="J1454" s="18" t="s">
        <v>24</v>
      </c>
    </row>
    <row r="1455" customFormat="false" ht="15" hidden="false" customHeight="false" outlineLevel="0" collapsed="false">
      <c r="A1455" s="0" t="s">
        <v>1346</v>
      </c>
      <c r="B1455" s="0" t="s">
        <v>3459</v>
      </c>
      <c r="C1455" s="0" t="s">
        <v>3447</v>
      </c>
      <c r="D1455" s="0" t="s">
        <v>3448</v>
      </c>
      <c r="E1455" s="0" t="s">
        <v>4963</v>
      </c>
      <c r="F1455" s="0" t="s">
        <v>30</v>
      </c>
      <c r="G1455" s="0" t="s">
        <v>4980</v>
      </c>
      <c r="H1455" s="0" t="s">
        <v>4557</v>
      </c>
      <c r="I1455" s="0" t="s">
        <v>4981</v>
      </c>
      <c r="J1455" s="18" t="s">
        <v>24</v>
      </c>
    </row>
    <row r="1456" customFormat="false" ht="15" hidden="false" customHeight="false" outlineLevel="0" collapsed="false">
      <c r="A1456" s="0" t="s">
        <v>1350</v>
      </c>
      <c r="B1456" s="0" t="s">
        <v>134</v>
      </c>
      <c r="C1456" s="0" t="s">
        <v>3450</v>
      </c>
      <c r="D1456" s="0" t="s">
        <v>3457</v>
      </c>
      <c r="E1456" s="0" t="s">
        <v>4963</v>
      </c>
      <c r="F1456" s="0" t="s">
        <v>59</v>
      </c>
      <c r="G1456" s="0" t="s">
        <v>4974</v>
      </c>
      <c r="H1456" s="0" t="s">
        <v>69</v>
      </c>
      <c r="I1456" s="0" t="s">
        <v>4975</v>
      </c>
      <c r="J1456" s="20" t="s">
        <v>25</v>
      </c>
    </row>
    <row r="1457" customFormat="false" ht="15" hidden="false" customHeight="false" outlineLevel="0" collapsed="false">
      <c r="A1457" s="0" t="s">
        <v>1350</v>
      </c>
      <c r="B1457" s="0" t="s">
        <v>134</v>
      </c>
      <c r="C1457" s="0" t="s">
        <v>3450</v>
      </c>
      <c r="D1457" s="0" t="s">
        <v>3457</v>
      </c>
      <c r="E1457" s="0" t="s">
        <v>4969</v>
      </c>
      <c r="F1457" s="0" t="s">
        <v>62</v>
      </c>
      <c r="G1457" s="0" t="s">
        <v>5003</v>
      </c>
      <c r="H1457" s="0" t="s">
        <v>5468</v>
      </c>
      <c r="I1457" s="0" t="s">
        <v>5005</v>
      </c>
      <c r="J1457" s="20" t="s">
        <v>25</v>
      </c>
    </row>
    <row r="1458" customFormat="false" ht="15" hidden="false" customHeight="false" outlineLevel="0" collapsed="false">
      <c r="A1458" s="0" t="s">
        <v>1350</v>
      </c>
      <c r="B1458" s="0" t="s">
        <v>134</v>
      </c>
      <c r="C1458" s="0" t="s">
        <v>3450</v>
      </c>
      <c r="D1458" s="0" t="s">
        <v>3448</v>
      </c>
      <c r="E1458" s="0" t="s">
        <v>4963</v>
      </c>
      <c r="F1458" s="0" t="s">
        <v>59</v>
      </c>
      <c r="G1458" s="0" t="s">
        <v>4974</v>
      </c>
      <c r="H1458" s="0" t="s">
        <v>69</v>
      </c>
      <c r="I1458" s="0" t="s">
        <v>4975</v>
      </c>
      <c r="J1458" s="20" t="s">
        <v>25</v>
      </c>
    </row>
    <row r="1459" customFormat="false" ht="15" hidden="false" customHeight="false" outlineLevel="0" collapsed="false">
      <c r="A1459" s="0" t="s">
        <v>1350</v>
      </c>
      <c r="B1459" s="0" t="s">
        <v>3459</v>
      </c>
      <c r="C1459" s="0" t="s">
        <v>3450</v>
      </c>
      <c r="D1459" s="0" t="s">
        <v>3457</v>
      </c>
      <c r="E1459" s="0" t="s">
        <v>4963</v>
      </c>
      <c r="F1459" s="0" t="s">
        <v>59</v>
      </c>
      <c r="G1459" s="0" t="s">
        <v>4974</v>
      </c>
      <c r="H1459" s="0" t="s">
        <v>69</v>
      </c>
      <c r="I1459" s="0" t="s">
        <v>4975</v>
      </c>
      <c r="J1459" s="20" t="s">
        <v>25</v>
      </c>
    </row>
    <row r="1460" customFormat="false" ht="15" hidden="false" customHeight="false" outlineLevel="0" collapsed="false">
      <c r="A1460" s="0" t="s">
        <v>1350</v>
      </c>
      <c r="B1460" s="0" t="s">
        <v>3459</v>
      </c>
      <c r="C1460" s="0" t="s">
        <v>3450</v>
      </c>
      <c r="D1460" s="0" t="s">
        <v>3457</v>
      </c>
      <c r="E1460" s="0" t="s">
        <v>4969</v>
      </c>
      <c r="F1460" s="0" t="s">
        <v>61</v>
      </c>
      <c r="G1460" s="0" t="s">
        <v>4970</v>
      </c>
      <c r="H1460" s="0" t="s">
        <v>5469</v>
      </c>
      <c r="I1460" s="0" t="s">
        <v>4972</v>
      </c>
      <c r="J1460" s="20" t="s">
        <v>25</v>
      </c>
    </row>
    <row r="1461" customFormat="false" ht="15" hidden="false" customHeight="false" outlineLevel="0" collapsed="false">
      <c r="A1461" s="0" t="s">
        <v>1350</v>
      </c>
      <c r="B1461" s="0" t="s">
        <v>3459</v>
      </c>
      <c r="C1461" s="0" t="s">
        <v>3450</v>
      </c>
      <c r="D1461" s="0" t="s">
        <v>3457</v>
      </c>
      <c r="E1461" s="0" t="s">
        <v>4969</v>
      </c>
      <c r="F1461" s="0" t="s">
        <v>64</v>
      </c>
      <c r="G1461" s="0" t="s">
        <v>4220</v>
      </c>
      <c r="H1461" s="0" t="s">
        <v>5470</v>
      </c>
      <c r="I1461" s="0" t="s">
        <v>4991</v>
      </c>
      <c r="J1461" s="20" t="s">
        <v>25</v>
      </c>
    </row>
    <row r="1462" customFormat="false" ht="15" hidden="false" customHeight="false" outlineLevel="0" collapsed="false">
      <c r="A1462" s="0" t="s">
        <v>1350</v>
      </c>
      <c r="B1462" s="0" t="s">
        <v>3459</v>
      </c>
      <c r="C1462" s="0" t="s">
        <v>3450</v>
      </c>
      <c r="D1462" s="0" t="s">
        <v>3448</v>
      </c>
      <c r="E1462" s="0" t="s">
        <v>4963</v>
      </c>
      <c r="F1462" s="0" t="s">
        <v>59</v>
      </c>
      <c r="G1462" s="0" t="s">
        <v>4974</v>
      </c>
      <c r="H1462" s="0" t="s">
        <v>69</v>
      </c>
      <c r="I1462" s="0" t="s">
        <v>4975</v>
      </c>
      <c r="J1462" s="20" t="s">
        <v>25</v>
      </c>
    </row>
    <row r="1463" customFormat="false" ht="15" hidden="false" customHeight="false" outlineLevel="0" collapsed="false">
      <c r="A1463" s="0" t="s">
        <v>1350</v>
      </c>
      <c r="B1463" s="0" t="s">
        <v>3459</v>
      </c>
      <c r="C1463" s="0" t="s">
        <v>3450</v>
      </c>
      <c r="D1463" s="0" t="s">
        <v>3448</v>
      </c>
      <c r="E1463" s="0" t="s">
        <v>4969</v>
      </c>
      <c r="F1463" s="0" t="s">
        <v>61</v>
      </c>
      <c r="G1463" s="0" t="s">
        <v>4970</v>
      </c>
      <c r="H1463" s="0" t="s">
        <v>5471</v>
      </c>
      <c r="I1463" s="0" t="s">
        <v>4972</v>
      </c>
      <c r="J1463" s="20" t="s">
        <v>25</v>
      </c>
    </row>
    <row r="1464" customFormat="false" ht="15" hidden="false" customHeight="false" outlineLevel="0" collapsed="false">
      <c r="A1464" s="0" t="s">
        <v>1350</v>
      </c>
      <c r="B1464" s="0" t="s">
        <v>3459</v>
      </c>
      <c r="C1464" s="0" t="s">
        <v>3450</v>
      </c>
      <c r="D1464" s="0" t="s">
        <v>3448</v>
      </c>
      <c r="E1464" s="0" t="s">
        <v>4969</v>
      </c>
      <c r="F1464" s="0" t="s">
        <v>64</v>
      </c>
      <c r="G1464" s="0" t="s">
        <v>4220</v>
      </c>
      <c r="H1464" s="0" t="s">
        <v>5472</v>
      </c>
      <c r="I1464" s="0" t="s">
        <v>4991</v>
      </c>
      <c r="J1464" s="20" t="s">
        <v>25</v>
      </c>
    </row>
    <row r="1465" customFormat="false" ht="15" hidden="false" customHeight="false" outlineLevel="0" collapsed="false">
      <c r="A1465" s="0" t="s">
        <v>1350</v>
      </c>
      <c r="B1465" s="0" t="s">
        <v>3459</v>
      </c>
      <c r="C1465" s="0" t="s">
        <v>3447</v>
      </c>
      <c r="D1465" s="0" t="s">
        <v>3457</v>
      </c>
      <c r="E1465" s="0" t="s">
        <v>4969</v>
      </c>
      <c r="F1465" s="0" t="s">
        <v>64</v>
      </c>
      <c r="G1465" s="0" t="s">
        <v>4220</v>
      </c>
      <c r="H1465" s="0" t="s">
        <v>5470</v>
      </c>
      <c r="I1465" s="0" t="s">
        <v>4991</v>
      </c>
      <c r="J1465" s="20" t="s">
        <v>25</v>
      </c>
    </row>
    <row r="1466" customFormat="false" ht="15" hidden="false" customHeight="false" outlineLevel="0" collapsed="false">
      <c r="A1466" s="0" t="s">
        <v>1350</v>
      </c>
      <c r="B1466" s="0" t="s">
        <v>3459</v>
      </c>
      <c r="C1466" s="0" t="s">
        <v>3447</v>
      </c>
      <c r="D1466" s="0" t="s">
        <v>3448</v>
      </c>
      <c r="E1466" s="0" t="s">
        <v>4969</v>
      </c>
      <c r="F1466" s="0" t="s">
        <v>64</v>
      </c>
      <c r="G1466" s="0" t="s">
        <v>4220</v>
      </c>
      <c r="H1466" s="0" t="s">
        <v>5472</v>
      </c>
      <c r="I1466" s="0" t="s">
        <v>4991</v>
      </c>
      <c r="J1466" s="20" t="s">
        <v>25</v>
      </c>
    </row>
    <row r="1467" customFormat="false" ht="15" hidden="false" customHeight="false" outlineLevel="0" collapsed="false">
      <c r="A1467" s="0" t="s">
        <v>1350</v>
      </c>
      <c r="B1467" s="0" t="s">
        <v>134</v>
      </c>
      <c r="C1467" s="0" t="s">
        <v>3450</v>
      </c>
      <c r="D1467" s="0" t="s">
        <v>3457</v>
      </c>
      <c r="E1467" s="0" t="s">
        <v>4963</v>
      </c>
      <c r="F1467" s="0" t="s">
        <v>30</v>
      </c>
      <c r="G1467" s="0" t="s">
        <v>4980</v>
      </c>
      <c r="H1467" s="0" t="s">
        <v>4265</v>
      </c>
      <c r="I1467" s="0" t="s">
        <v>4981</v>
      </c>
      <c r="J1467" s="18" t="s">
        <v>24</v>
      </c>
    </row>
    <row r="1468" customFormat="false" ht="15" hidden="false" customHeight="false" outlineLevel="0" collapsed="false">
      <c r="A1468" s="0" t="s">
        <v>1350</v>
      </c>
      <c r="B1468" s="0" t="s">
        <v>134</v>
      </c>
      <c r="C1468" s="0" t="s">
        <v>3450</v>
      </c>
      <c r="D1468" s="0" t="s">
        <v>3448</v>
      </c>
      <c r="E1468" s="0" t="s">
        <v>4963</v>
      </c>
      <c r="F1468" s="0" t="s">
        <v>30</v>
      </c>
      <c r="G1468" s="0" t="s">
        <v>4980</v>
      </c>
      <c r="H1468" s="0" t="s">
        <v>4265</v>
      </c>
      <c r="I1468" s="0" t="s">
        <v>4981</v>
      </c>
      <c r="J1468" s="18" t="s">
        <v>24</v>
      </c>
    </row>
    <row r="1469" customFormat="false" ht="15" hidden="false" customHeight="false" outlineLevel="0" collapsed="false">
      <c r="A1469" s="0" t="s">
        <v>1350</v>
      </c>
      <c r="B1469" s="0" t="s">
        <v>134</v>
      </c>
      <c r="C1469" s="0" t="s">
        <v>3447</v>
      </c>
      <c r="D1469" s="0" t="s">
        <v>3457</v>
      </c>
      <c r="E1469" s="0" t="s">
        <v>4963</v>
      </c>
      <c r="F1469" s="0" t="s">
        <v>30</v>
      </c>
      <c r="G1469" s="0" t="s">
        <v>4980</v>
      </c>
      <c r="H1469" s="0" t="s">
        <v>4394</v>
      </c>
      <c r="I1469" s="0" t="s">
        <v>4981</v>
      </c>
      <c r="J1469" s="18" t="s">
        <v>24</v>
      </c>
    </row>
    <row r="1470" customFormat="false" ht="15" hidden="false" customHeight="false" outlineLevel="0" collapsed="false">
      <c r="A1470" s="0" t="s">
        <v>1350</v>
      </c>
      <c r="B1470" s="0" t="s">
        <v>134</v>
      </c>
      <c r="C1470" s="0" t="s">
        <v>3447</v>
      </c>
      <c r="D1470" s="0" t="s">
        <v>3448</v>
      </c>
      <c r="E1470" s="0" t="s">
        <v>4963</v>
      </c>
      <c r="F1470" s="0" t="s">
        <v>30</v>
      </c>
      <c r="G1470" s="0" t="s">
        <v>4980</v>
      </c>
      <c r="H1470" s="0" t="s">
        <v>4558</v>
      </c>
      <c r="I1470" s="0" t="s">
        <v>4981</v>
      </c>
      <c r="J1470" s="18" t="s">
        <v>24</v>
      </c>
    </row>
    <row r="1471" customFormat="false" ht="15" hidden="false" customHeight="false" outlineLevel="0" collapsed="false">
      <c r="A1471" s="0" t="s">
        <v>1350</v>
      </c>
      <c r="B1471" s="0" t="s">
        <v>3459</v>
      </c>
      <c r="C1471" s="0" t="s">
        <v>3450</v>
      </c>
      <c r="D1471" s="0" t="s">
        <v>3457</v>
      </c>
      <c r="E1471" s="0" t="s">
        <v>4963</v>
      </c>
      <c r="F1471" s="0" t="s">
        <v>30</v>
      </c>
      <c r="G1471" s="0" t="s">
        <v>4980</v>
      </c>
      <c r="H1471" s="0" t="s">
        <v>4242</v>
      </c>
      <c r="I1471" s="0" t="s">
        <v>4981</v>
      </c>
      <c r="J1471" s="18" t="s">
        <v>24</v>
      </c>
    </row>
    <row r="1472" customFormat="false" ht="15" hidden="false" customHeight="false" outlineLevel="0" collapsed="false">
      <c r="A1472" s="0" t="s">
        <v>1350</v>
      </c>
      <c r="B1472" s="0" t="s">
        <v>3459</v>
      </c>
      <c r="C1472" s="0" t="s">
        <v>3450</v>
      </c>
      <c r="D1472" s="0" t="s">
        <v>3448</v>
      </c>
      <c r="E1472" s="0" t="s">
        <v>4963</v>
      </c>
      <c r="F1472" s="0" t="s">
        <v>30</v>
      </c>
      <c r="G1472" s="0" t="s">
        <v>4980</v>
      </c>
      <c r="H1472" s="0" t="s">
        <v>4265</v>
      </c>
      <c r="I1472" s="0" t="s">
        <v>4981</v>
      </c>
      <c r="J1472" s="18" t="s">
        <v>24</v>
      </c>
    </row>
    <row r="1473" customFormat="false" ht="15" hidden="false" customHeight="false" outlineLevel="0" collapsed="false">
      <c r="A1473" s="0" t="s">
        <v>1350</v>
      </c>
      <c r="B1473" s="0" t="s">
        <v>3459</v>
      </c>
      <c r="C1473" s="0" t="s">
        <v>3447</v>
      </c>
      <c r="D1473" s="0" t="s">
        <v>3457</v>
      </c>
      <c r="E1473" s="0" t="s">
        <v>4963</v>
      </c>
      <c r="F1473" s="0" t="s">
        <v>30</v>
      </c>
      <c r="G1473" s="0" t="s">
        <v>4980</v>
      </c>
      <c r="H1473" s="0" t="s">
        <v>4559</v>
      </c>
      <c r="I1473" s="0" t="s">
        <v>4981</v>
      </c>
      <c r="J1473" s="18" t="s">
        <v>24</v>
      </c>
    </row>
    <row r="1474" customFormat="false" ht="15" hidden="false" customHeight="false" outlineLevel="0" collapsed="false">
      <c r="A1474" s="0" t="s">
        <v>1350</v>
      </c>
      <c r="B1474" s="0" t="s">
        <v>3459</v>
      </c>
      <c r="C1474" s="0" t="s">
        <v>3447</v>
      </c>
      <c r="D1474" s="0" t="s">
        <v>3448</v>
      </c>
      <c r="E1474" s="0" t="s">
        <v>4963</v>
      </c>
      <c r="F1474" s="0" t="s">
        <v>30</v>
      </c>
      <c r="G1474" s="0" t="s">
        <v>4980</v>
      </c>
      <c r="H1474" s="0" t="s">
        <v>4559</v>
      </c>
      <c r="I1474" s="0" t="s">
        <v>4981</v>
      </c>
      <c r="J1474" s="18" t="s">
        <v>24</v>
      </c>
    </row>
    <row r="1475" customFormat="false" ht="15" hidden="false" customHeight="false" outlineLevel="0" collapsed="false">
      <c r="A1475" s="0" t="s">
        <v>1355</v>
      </c>
      <c r="B1475" s="0" t="s">
        <v>134</v>
      </c>
      <c r="C1475" s="0" t="s">
        <v>3447</v>
      </c>
      <c r="D1475" s="0" t="s">
        <v>3457</v>
      </c>
      <c r="E1475" s="0" t="s">
        <v>4963</v>
      </c>
      <c r="F1475" s="0" t="s">
        <v>60</v>
      </c>
      <c r="G1475" s="0" t="s">
        <v>4964</v>
      </c>
      <c r="H1475" s="0" t="s">
        <v>5473</v>
      </c>
      <c r="I1475" s="0" t="s">
        <v>4966</v>
      </c>
      <c r="J1475" s="19" t="s">
        <v>26</v>
      </c>
    </row>
    <row r="1476" customFormat="false" ht="15" hidden="false" customHeight="false" outlineLevel="0" collapsed="false">
      <c r="A1476" s="0" t="s">
        <v>1355</v>
      </c>
      <c r="B1476" s="0" t="s">
        <v>134</v>
      </c>
      <c r="C1476" s="0" t="s">
        <v>3447</v>
      </c>
      <c r="D1476" s="0" t="s">
        <v>3448</v>
      </c>
      <c r="E1476" s="0" t="s">
        <v>4963</v>
      </c>
      <c r="F1476" s="0" t="s">
        <v>60</v>
      </c>
      <c r="G1476" s="0" t="s">
        <v>4964</v>
      </c>
      <c r="H1476" s="0" t="s">
        <v>5474</v>
      </c>
      <c r="I1476" s="0" t="s">
        <v>4966</v>
      </c>
      <c r="J1476" s="19" t="s">
        <v>26</v>
      </c>
    </row>
    <row r="1477" customFormat="false" ht="15" hidden="false" customHeight="false" outlineLevel="0" collapsed="false">
      <c r="A1477" s="0" t="s">
        <v>1355</v>
      </c>
      <c r="B1477" s="0" t="s">
        <v>134</v>
      </c>
      <c r="C1477" s="0" t="s">
        <v>3450</v>
      </c>
      <c r="D1477" s="0" t="s">
        <v>3457</v>
      </c>
      <c r="E1477" s="0" t="s">
        <v>4963</v>
      </c>
      <c r="F1477" s="0" t="s">
        <v>59</v>
      </c>
      <c r="G1477" s="0" t="s">
        <v>4974</v>
      </c>
      <c r="H1477" s="0" t="s">
        <v>69</v>
      </c>
      <c r="I1477" s="0" t="s">
        <v>4975</v>
      </c>
      <c r="J1477" s="20" t="s">
        <v>25</v>
      </c>
    </row>
    <row r="1478" customFormat="false" ht="15" hidden="false" customHeight="false" outlineLevel="0" collapsed="false">
      <c r="A1478" s="0" t="s">
        <v>1355</v>
      </c>
      <c r="B1478" s="0" t="s">
        <v>134</v>
      </c>
      <c r="C1478" s="0" t="s">
        <v>3450</v>
      </c>
      <c r="D1478" s="0" t="s">
        <v>3457</v>
      </c>
      <c r="E1478" s="0" t="s">
        <v>4969</v>
      </c>
      <c r="F1478" s="0" t="s">
        <v>63</v>
      </c>
      <c r="G1478" s="0" t="s">
        <v>4220</v>
      </c>
      <c r="H1478" s="0" t="s">
        <v>5475</v>
      </c>
      <c r="I1478" s="0" t="s">
        <v>4979</v>
      </c>
      <c r="J1478" s="20" t="s">
        <v>25</v>
      </c>
    </row>
    <row r="1479" customFormat="false" ht="15" hidden="false" customHeight="false" outlineLevel="0" collapsed="false">
      <c r="A1479" s="0" t="s">
        <v>1355</v>
      </c>
      <c r="B1479" s="0" t="s">
        <v>134</v>
      </c>
      <c r="C1479" s="0" t="s">
        <v>3450</v>
      </c>
      <c r="D1479" s="0" t="s">
        <v>3448</v>
      </c>
      <c r="E1479" s="0" t="s">
        <v>4963</v>
      </c>
      <c r="F1479" s="0" t="s">
        <v>59</v>
      </c>
      <c r="G1479" s="0" t="s">
        <v>4974</v>
      </c>
      <c r="H1479" s="0" t="s">
        <v>69</v>
      </c>
      <c r="I1479" s="0" t="s">
        <v>4975</v>
      </c>
      <c r="J1479" s="20" t="s">
        <v>25</v>
      </c>
    </row>
    <row r="1480" customFormat="false" ht="15" hidden="false" customHeight="false" outlineLevel="0" collapsed="false">
      <c r="A1480" s="0" t="s">
        <v>1355</v>
      </c>
      <c r="B1480" s="0" t="s">
        <v>134</v>
      </c>
      <c r="C1480" s="0" t="s">
        <v>3447</v>
      </c>
      <c r="D1480" s="0" t="s">
        <v>3457</v>
      </c>
      <c r="E1480" s="0" t="s">
        <v>4963</v>
      </c>
      <c r="F1480" s="0" t="s">
        <v>59</v>
      </c>
      <c r="G1480" s="0" t="s">
        <v>4974</v>
      </c>
      <c r="H1480" s="0" t="s">
        <v>69</v>
      </c>
      <c r="I1480" s="0" t="s">
        <v>4975</v>
      </c>
      <c r="J1480" s="20" t="s">
        <v>25</v>
      </c>
    </row>
    <row r="1481" customFormat="false" ht="15" hidden="false" customHeight="false" outlineLevel="0" collapsed="false">
      <c r="A1481" s="0" t="s">
        <v>1355</v>
      </c>
      <c r="B1481" s="0" t="s">
        <v>134</v>
      </c>
      <c r="C1481" s="0" t="s">
        <v>3447</v>
      </c>
      <c r="D1481" s="0" t="s">
        <v>3457</v>
      </c>
      <c r="E1481" s="0" t="s">
        <v>4969</v>
      </c>
      <c r="F1481" s="0" t="s">
        <v>63</v>
      </c>
      <c r="G1481" s="0" t="s">
        <v>4220</v>
      </c>
      <c r="H1481" s="0" t="s">
        <v>5475</v>
      </c>
      <c r="I1481" s="0" t="s">
        <v>4979</v>
      </c>
      <c r="J1481" s="20" t="s">
        <v>25</v>
      </c>
    </row>
    <row r="1482" customFormat="false" ht="15" hidden="false" customHeight="false" outlineLevel="0" collapsed="false">
      <c r="A1482" s="0" t="s">
        <v>1355</v>
      </c>
      <c r="B1482" s="0" t="s">
        <v>134</v>
      </c>
      <c r="C1482" s="0" t="s">
        <v>3450</v>
      </c>
      <c r="D1482" s="0" t="s">
        <v>3457</v>
      </c>
      <c r="E1482" s="0" t="s">
        <v>4963</v>
      </c>
      <c r="F1482" s="0" t="s">
        <v>30</v>
      </c>
      <c r="G1482" s="0" t="s">
        <v>4980</v>
      </c>
      <c r="H1482" s="0" t="s">
        <v>4275</v>
      </c>
      <c r="I1482" s="0" t="s">
        <v>4981</v>
      </c>
      <c r="J1482" s="18" t="s">
        <v>24</v>
      </c>
    </row>
    <row r="1483" customFormat="false" ht="15" hidden="false" customHeight="false" outlineLevel="0" collapsed="false">
      <c r="A1483" s="0" t="s">
        <v>1355</v>
      </c>
      <c r="B1483" s="0" t="s">
        <v>134</v>
      </c>
      <c r="C1483" s="0" t="s">
        <v>3450</v>
      </c>
      <c r="D1483" s="0" t="s">
        <v>3448</v>
      </c>
      <c r="E1483" s="0" t="s">
        <v>4963</v>
      </c>
      <c r="F1483" s="0" t="s">
        <v>30</v>
      </c>
      <c r="G1483" s="0" t="s">
        <v>4980</v>
      </c>
      <c r="H1483" s="0" t="s">
        <v>4289</v>
      </c>
      <c r="I1483" s="0" t="s">
        <v>4981</v>
      </c>
      <c r="J1483" s="18" t="s">
        <v>24</v>
      </c>
    </row>
    <row r="1484" customFormat="false" ht="15" hidden="false" customHeight="false" outlineLevel="0" collapsed="false">
      <c r="A1484" s="0" t="s">
        <v>1360</v>
      </c>
      <c r="B1484" s="0" t="s">
        <v>134</v>
      </c>
      <c r="C1484" s="0" t="s">
        <v>3450</v>
      </c>
      <c r="D1484" s="0" t="s">
        <v>3457</v>
      </c>
      <c r="E1484" s="0" t="s">
        <v>4963</v>
      </c>
      <c r="F1484" s="0" t="s">
        <v>59</v>
      </c>
      <c r="G1484" s="0" t="s">
        <v>4974</v>
      </c>
      <c r="H1484" s="0" t="s">
        <v>69</v>
      </c>
      <c r="I1484" s="0" t="s">
        <v>4975</v>
      </c>
      <c r="J1484" s="20" t="s">
        <v>25</v>
      </c>
    </row>
    <row r="1485" customFormat="false" ht="15" hidden="false" customHeight="false" outlineLevel="0" collapsed="false">
      <c r="A1485" s="0" t="s">
        <v>1360</v>
      </c>
      <c r="B1485" s="0" t="s">
        <v>134</v>
      </c>
      <c r="C1485" s="0" t="s">
        <v>3447</v>
      </c>
      <c r="D1485" s="0" t="s">
        <v>3457</v>
      </c>
      <c r="E1485" s="0" t="s">
        <v>4963</v>
      </c>
      <c r="F1485" s="0" t="s">
        <v>59</v>
      </c>
      <c r="G1485" s="0" t="s">
        <v>4974</v>
      </c>
      <c r="H1485" s="0" t="s">
        <v>69</v>
      </c>
      <c r="I1485" s="0" t="s">
        <v>4975</v>
      </c>
      <c r="J1485" s="20" t="s">
        <v>25</v>
      </c>
    </row>
    <row r="1486" customFormat="false" ht="15" hidden="false" customHeight="false" outlineLevel="0" collapsed="false">
      <c r="A1486" s="0" t="s">
        <v>1360</v>
      </c>
      <c r="B1486" s="0" t="s">
        <v>134</v>
      </c>
      <c r="C1486" s="0" t="s">
        <v>3447</v>
      </c>
      <c r="D1486" s="0" t="s">
        <v>3448</v>
      </c>
      <c r="E1486" s="0" t="s">
        <v>4963</v>
      </c>
      <c r="F1486" s="0" t="s">
        <v>59</v>
      </c>
      <c r="G1486" s="0" t="s">
        <v>4974</v>
      </c>
      <c r="H1486" s="0" t="s">
        <v>69</v>
      </c>
      <c r="I1486" s="0" t="s">
        <v>4975</v>
      </c>
      <c r="J1486" s="20" t="s">
        <v>25</v>
      </c>
    </row>
    <row r="1487" customFormat="false" ht="15" hidden="false" customHeight="false" outlineLevel="0" collapsed="false">
      <c r="A1487" s="0" t="s">
        <v>1360</v>
      </c>
      <c r="B1487" s="0" t="s">
        <v>134</v>
      </c>
      <c r="C1487" s="0" t="s">
        <v>3450</v>
      </c>
      <c r="D1487" s="0" t="s">
        <v>3457</v>
      </c>
      <c r="E1487" s="0" t="s">
        <v>4963</v>
      </c>
      <c r="F1487" s="0" t="s">
        <v>30</v>
      </c>
      <c r="G1487" s="0" t="s">
        <v>4980</v>
      </c>
      <c r="H1487" s="0" t="s">
        <v>4265</v>
      </c>
      <c r="I1487" s="0" t="s">
        <v>4981</v>
      </c>
      <c r="J1487" s="18" t="s">
        <v>24</v>
      </c>
    </row>
    <row r="1488" customFormat="false" ht="15" hidden="false" customHeight="false" outlineLevel="0" collapsed="false">
      <c r="A1488" s="0" t="s">
        <v>1360</v>
      </c>
      <c r="B1488" s="0" t="s">
        <v>134</v>
      </c>
      <c r="C1488" s="0" t="s">
        <v>3447</v>
      </c>
      <c r="D1488" s="0" t="s">
        <v>3457</v>
      </c>
      <c r="E1488" s="0" t="s">
        <v>4963</v>
      </c>
      <c r="F1488" s="0" t="s">
        <v>30</v>
      </c>
      <c r="G1488" s="0" t="s">
        <v>4980</v>
      </c>
      <c r="H1488" s="0" t="s">
        <v>4275</v>
      </c>
      <c r="I1488" s="0" t="s">
        <v>4981</v>
      </c>
      <c r="J1488" s="18" t="s">
        <v>24</v>
      </c>
    </row>
    <row r="1489" customFormat="false" ht="15" hidden="false" customHeight="false" outlineLevel="0" collapsed="false">
      <c r="A1489" s="0" t="s">
        <v>1360</v>
      </c>
      <c r="B1489" s="0" t="s">
        <v>134</v>
      </c>
      <c r="C1489" s="0" t="s">
        <v>3447</v>
      </c>
      <c r="D1489" s="0" t="s">
        <v>3448</v>
      </c>
      <c r="E1489" s="0" t="s">
        <v>4963</v>
      </c>
      <c r="F1489" s="0" t="s">
        <v>30</v>
      </c>
      <c r="G1489" s="0" t="s">
        <v>4980</v>
      </c>
      <c r="H1489" s="0" t="s">
        <v>4242</v>
      </c>
      <c r="I1489" s="0" t="s">
        <v>4981</v>
      </c>
      <c r="J1489" s="18" t="s">
        <v>24</v>
      </c>
    </row>
    <row r="1490" customFormat="false" ht="15" hidden="false" customHeight="false" outlineLevel="0" collapsed="false">
      <c r="A1490" s="0" t="s">
        <v>1370</v>
      </c>
      <c r="B1490" s="0" t="s">
        <v>134</v>
      </c>
      <c r="C1490" s="0" t="s">
        <v>3447</v>
      </c>
      <c r="D1490" s="0" t="s">
        <v>3457</v>
      </c>
      <c r="E1490" s="0" t="s">
        <v>4963</v>
      </c>
      <c r="F1490" s="0" t="s">
        <v>60</v>
      </c>
      <c r="G1490" s="0" t="s">
        <v>4964</v>
      </c>
      <c r="H1490" s="0" t="s">
        <v>5009</v>
      </c>
      <c r="I1490" s="0" t="s">
        <v>4966</v>
      </c>
      <c r="J1490" s="19" t="s">
        <v>26</v>
      </c>
    </row>
    <row r="1491" customFormat="false" ht="15" hidden="false" customHeight="false" outlineLevel="0" collapsed="false">
      <c r="A1491" s="0" t="s">
        <v>1370</v>
      </c>
      <c r="B1491" s="0" t="s">
        <v>134</v>
      </c>
      <c r="C1491" s="0" t="s">
        <v>3450</v>
      </c>
      <c r="D1491" s="0" t="s">
        <v>3457</v>
      </c>
      <c r="E1491" s="0" t="s">
        <v>4969</v>
      </c>
      <c r="F1491" s="0" t="s">
        <v>61</v>
      </c>
      <c r="G1491" s="0" t="s">
        <v>4970</v>
      </c>
      <c r="H1491" s="0" t="s">
        <v>5476</v>
      </c>
      <c r="I1491" s="0" t="s">
        <v>4972</v>
      </c>
      <c r="J1491" s="20" t="s">
        <v>25</v>
      </c>
    </row>
    <row r="1492" customFormat="false" ht="15" hidden="false" customHeight="false" outlineLevel="0" collapsed="false">
      <c r="A1492" s="0" t="s">
        <v>1370</v>
      </c>
      <c r="B1492" s="0" t="s">
        <v>134</v>
      </c>
      <c r="C1492" s="0" t="s">
        <v>3450</v>
      </c>
      <c r="D1492" s="0" t="s">
        <v>3457</v>
      </c>
      <c r="E1492" s="0" t="s">
        <v>4969</v>
      </c>
      <c r="F1492" s="0" t="s">
        <v>63</v>
      </c>
      <c r="G1492" s="0" t="s">
        <v>4220</v>
      </c>
      <c r="H1492" s="0" t="s">
        <v>5477</v>
      </c>
      <c r="I1492" s="0" t="s">
        <v>4979</v>
      </c>
      <c r="J1492" s="20" t="s">
        <v>25</v>
      </c>
    </row>
    <row r="1493" customFormat="false" ht="15" hidden="false" customHeight="false" outlineLevel="0" collapsed="false">
      <c r="A1493" s="0" t="s">
        <v>1370</v>
      </c>
      <c r="B1493" s="0" t="s">
        <v>134</v>
      </c>
      <c r="C1493" s="0" t="s">
        <v>3450</v>
      </c>
      <c r="D1493" s="0" t="s">
        <v>3448</v>
      </c>
      <c r="E1493" s="0" t="s">
        <v>4969</v>
      </c>
      <c r="F1493" s="0" t="s">
        <v>61</v>
      </c>
      <c r="G1493" s="0" t="s">
        <v>4970</v>
      </c>
      <c r="H1493" s="0" t="s">
        <v>5478</v>
      </c>
      <c r="I1493" s="0" t="s">
        <v>4972</v>
      </c>
      <c r="J1493" s="20" t="s">
        <v>25</v>
      </c>
    </row>
    <row r="1494" customFormat="false" ht="15" hidden="false" customHeight="false" outlineLevel="0" collapsed="false">
      <c r="A1494" s="0" t="s">
        <v>1370</v>
      </c>
      <c r="B1494" s="0" t="s">
        <v>134</v>
      </c>
      <c r="C1494" s="0" t="s">
        <v>3447</v>
      </c>
      <c r="D1494" s="0" t="s">
        <v>3457</v>
      </c>
      <c r="E1494" s="0" t="s">
        <v>4963</v>
      </c>
      <c r="F1494" s="0" t="s">
        <v>59</v>
      </c>
      <c r="G1494" s="0" t="s">
        <v>4974</v>
      </c>
      <c r="H1494" s="0" t="s">
        <v>69</v>
      </c>
      <c r="I1494" s="0" t="s">
        <v>4975</v>
      </c>
      <c r="J1494" s="20" t="s">
        <v>25</v>
      </c>
    </row>
    <row r="1495" customFormat="false" ht="15" hidden="false" customHeight="false" outlineLevel="0" collapsed="false">
      <c r="A1495" s="0" t="s">
        <v>1370</v>
      </c>
      <c r="B1495" s="0" t="s">
        <v>134</v>
      </c>
      <c r="C1495" s="0" t="s">
        <v>3447</v>
      </c>
      <c r="D1495" s="0" t="s">
        <v>3457</v>
      </c>
      <c r="E1495" s="0" t="s">
        <v>4969</v>
      </c>
      <c r="F1495" s="0" t="s">
        <v>63</v>
      </c>
      <c r="G1495" s="0" t="s">
        <v>4220</v>
      </c>
      <c r="H1495" s="0" t="s">
        <v>5477</v>
      </c>
      <c r="I1495" s="0" t="s">
        <v>4979</v>
      </c>
      <c r="J1495" s="20" t="s">
        <v>25</v>
      </c>
    </row>
    <row r="1496" customFormat="false" ht="15" hidden="false" customHeight="false" outlineLevel="0" collapsed="false">
      <c r="A1496" s="0" t="s">
        <v>1370</v>
      </c>
      <c r="B1496" s="0" t="s">
        <v>134</v>
      </c>
      <c r="C1496" s="0" t="s">
        <v>3447</v>
      </c>
      <c r="D1496" s="0" t="s">
        <v>3448</v>
      </c>
      <c r="E1496" s="0" t="s">
        <v>4969</v>
      </c>
      <c r="F1496" s="0" t="s">
        <v>61</v>
      </c>
      <c r="G1496" s="0" t="s">
        <v>4970</v>
      </c>
      <c r="H1496" s="0" t="s">
        <v>5479</v>
      </c>
      <c r="I1496" s="0" t="s">
        <v>4972</v>
      </c>
      <c r="J1496" s="20" t="s">
        <v>25</v>
      </c>
    </row>
    <row r="1497" customFormat="false" ht="15" hidden="false" customHeight="false" outlineLevel="0" collapsed="false">
      <c r="A1497" s="0" t="s">
        <v>1370</v>
      </c>
      <c r="B1497" s="0" t="s">
        <v>134</v>
      </c>
      <c r="C1497" s="0" t="s">
        <v>3447</v>
      </c>
      <c r="D1497" s="0" t="s">
        <v>3448</v>
      </c>
      <c r="E1497" s="0" t="s">
        <v>4963</v>
      </c>
      <c r="F1497" s="0" t="s">
        <v>30</v>
      </c>
      <c r="G1497" s="0" t="s">
        <v>4980</v>
      </c>
      <c r="H1497" s="0" t="s">
        <v>4562</v>
      </c>
      <c r="I1497" s="0" t="s">
        <v>4981</v>
      </c>
      <c r="J1497" s="18" t="s">
        <v>24</v>
      </c>
    </row>
    <row r="1498" customFormat="false" ht="15" hidden="false" customHeight="false" outlineLevel="0" collapsed="false">
      <c r="A1498" s="0" t="s">
        <v>1380</v>
      </c>
      <c r="B1498" s="0" t="s">
        <v>134</v>
      </c>
      <c r="C1498" s="0" t="s">
        <v>3450</v>
      </c>
      <c r="D1498" s="0" t="s">
        <v>3457</v>
      </c>
      <c r="E1498" s="0" t="s">
        <v>4969</v>
      </c>
      <c r="F1498" s="0" t="s">
        <v>66</v>
      </c>
      <c r="G1498" s="0" t="s">
        <v>4970</v>
      </c>
      <c r="H1498" s="0" t="s">
        <v>5480</v>
      </c>
      <c r="I1498" s="0" t="s">
        <v>5030</v>
      </c>
      <c r="J1498" s="20" t="s">
        <v>25</v>
      </c>
    </row>
    <row r="1499" customFormat="false" ht="15" hidden="false" customHeight="false" outlineLevel="0" collapsed="false">
      <c r="A1499" s="0" t="s">
        <v>1380</v>
      </c>
      <c r="B1499" s="0" t="s">
        <v>134</v>
      </c>
      <c r="C1499" s="0" t="s">
        <v>3450</v>
      </c>
      <c r="D1499" s="0" t="s">
        <v>3448</v>
      </c>
      <c r="E1499" s="0" t="s">
        <v>4963</v>
      </c>
      <c r="F1499" s="0" t="s">
        <v>59</v>
      </c>
      <c r="G1499" s="0" t="s">
        <v>4974</v>
      </c>
      <c r="H1499" s="0" t="s">
        <v>69</v>
      </c>
      <c r="I1499" s="0" t="s">
        <v>4975</v>
      </c>
      <c r="J1499" s="20" t="s">
        <v>25</v>
      </c>
    </row>
    <row r="1500" customFormat="false" ht="15" hidden="false" customHeight="false" outlineLevel="0" collapsed="false">
      <c r="A1500" s="0" t="s">
        <v>1380</v>
      </c>
      <c r="B1500" s="0" t="s">
        <v>134</v>
      </c>
      <c r="C1500" s="0" t="s">
        <v>3450</v>
      </c>
      <c r="D1500" s="0" t="s">
        <v>3448</v>
      </c>
      <c r="E1500" s="0" t="s">
        <v>4969</v>
      </c>
      <c r="F1500" s="0" t="s">
        <v>66</v>
      </c>
      <c r="G1500" s="0" t="s">
        <v>4970</v>
      </c>
      <c r="H1500" s="0" t="s">
        <v>5481</v>
      </c>
      <c r="I1500" s="0" t="s">
        <v>5030</v>
      </c>
      <c r="J1500" s="20" t="s">
        <v>25</v>
      </c>
    </row>
    <row r="1501" customFormat="false" ht="15" hidden="false" customHeight="false" outlineLevel="0" collapsed="false">
      <c r="A1501" s="0" t="s">
        <v>1380</v>
      </c>
      <c r="B1501" s="0" t="s">
        <v>134</v>
      </c>
      <c r="C1501" s="0" t="s">
        <v>3447</v>
      </c>
      <c r="D1501" s="0" t="s">
        <v>3457</v>
      </c>
      <c r="E1501" s="0" t="s">
        <v>4969</v>
      </c>
      <c r="F1501" s="0" t="s">
        <v>66</v>
      </c>
      <c r="G1501" s="0" t="s">
        <v>4970</v>
      </c>
      <c r="H1501" s="0" t="s">
        <v>5482</v>
      </c>
      <c r="I1501" s="0" t="s">
        <v>5030</v>
      </c>
      <c r="J1501" s="20" t="s">
        <v>25</v>
      </c>
    </row>
    <row r="1502" customFormat="false" ht="15" hidden="false" customHeight="false" outlineLevel="0" collapsed="false">
      <c r="A1502" s="0" t="s">
        <v>1380</v>
      </c>
      <c r="B1502" s="0" t="s">
        <v>134</v>
      </c>
      <c r="C1502" s="0" t="s">
        <v>3447</v>
      </c>
      <c r="D1502" s="0" t="s">
        <v>3448</v>
      </c>
      <c r="E1502" s="0" t="s">
        <v>4969</v>
      </c>
      <c r="F1502" s="0" t="s">
        <v>66</v>
      </c>
      <c r="G1502" s="0" t="s">
        <v>4970</v>
      </c>
      <c r="H1502" s="0" t="s">
        <v>5483</v>
      </c>
      <c r="I1502" s="0" t="s">
        <v>5030</v>
      </c>
      <c r="J1502" s="20" t="s">
        <v>25</v>
      </c>
    </row>
    <row r="1503" customFormat="false" ht="15" hidden="false" customHeight="false" outlineLevel="0" collapsed="false">
      <c r="A1503" s="0" t="s">
        <v>1380</v>
      </c>
      <c r="B1503" s="0" t="s">
        <v>134</v>
      </c>
      <c r="C1503" s="0" t="s">
        <v>3450</v>
      </c>
      <c r="D1503" s="0" t="s">
        <v>3457</v>
      </c>
      <c r="E1503" s="0" t="s">
        <v>4963</v>
      </c>
      <c r="F1503" s="0" t="s">
        <v>30</v>
      </c>
      <c r="G1503" s="0" t="s">
        <v>4980</v>
      </c>
      <c r="H1503" s="0" t="s">
        <v>4563</v>
      </c>
      <c r="I1503" s="0" t="s">
        <v>4981</v>
      </c>
      <c r="J1503" s="18" t="s">
        <v>24</v>
      </c>
    </row>
    <row r="1504" customFormat="false" ht="15" hidden="false" customHeight="false" outlineLevel="0" collapsed="false">
      <c r="A1504" s="0" t="s">
        <v>1380</v>
      </c>
      <c r="B1504" s="0" t="s">
        <v>134</v>
      </c>
      <c r="C1504" s="0" t="s">
        <v>3450</v>
      </c>
      <c r="D1504" s="0" t="s">
        <v>3448</v>
      </c>
      <c r="E1504" s="0" t="s">
        <v>4963</v>
      </c>
      <c r="F1504" s="0" t="s">
        <v>30</v>
      </c>
      <c r="G1504" s="0" t="s">
        <v>4980</v>
      </c>
      <c r="H1504" s="0" t="s">
        <v>4265</v>
      </c>
      <c r="I1504" s="0" t="s">
        <v>4981</v>
      </c>
      <c r="J1504" s="18" t="s">
        <v>24</v>
      </c>
    </row>
    <row r="1505" customFormat="false" ht="15" hidden="false" customHeight="false" outlineLevel="0" collapsed="false">
      <c r="A1505" s="0" t="s">
        <v>1380</v>
      </c>
      <c r="B1505" s="0" t="s">
        <v>134</v>
      </c>
      <c r="C1505" s="0" t="s">
        <v>3447</v>
      </c>
      <c r="D1505" s="0" t="s">
        <v>3457</v>
      </c>
      <c r="E1505" s="0" t="s">
        <v>4963</v>
      </c>
      <c r="F1505" s="0" t="s">
        <v>30</v>
      </c>
      <c r="G1505" s="0" t="s">
        <v>4980</v>
      </c>
      <c r="H1505" s="0" t="s">
        <v>4440</v>
      </c>
      <c r="I1505" s="0" t="s">
        <v>4981</v>
      </c>
      <c r="J1505" s="18" t="s">
        <v>24</v>
      </c>
    </row>
    <row r="1506" customFormat="false" ht="15" hidden="false" customHeight="false" outlineLevel="0" collapsed="false">
      <c r="A1506" s="0" t="s">
        <v>1380</v>
      </c>
      <c r="B1506" s="0" t="s">
        <v>134</v>
      </c>
      <c r="C1506" s="0" t="s">
        <v>3447</v>
      </c>
      <c r="D1506" s="0" t="s">
        <v>3448</v>
      </c>
      <c r="E1506" s="0" t="s">
        <v>4963</v>
      </c>
      <c r="F1506" s="0" t="s">
        <v>30</v>
      </c>
      <c r="G1506" s="0" t="s">
        <v>4980</v>
      </c>
      <c r="H1506" s="0" t="s">
        <v>4564</v>
      </c>
      <c r="I1506" s="0" t="s">
        <v>4981</v>
      </c>
      <c r="J1506" s="18" t="s">
        <v>24</v>
      </c>
    </row>
    <row r="1507" customFormat="false" ht="15" hidden="false" customHeight="false" outlineLevel="0" collapsed="false">
      <c r="A1507" s="0" t="s">
        <v>1385</v>
      </c>
      <c r="B1507" s="0" t="s">
        <v>134</v>
      </c>
      <c r="C1507" s="0" t="s">
        <v>3450</v>
      </c>
      <c r="D1507" s="0" t="s">
        <v>3457</v>
      </c>
      <c r="E1507" s="0" t="s">
        <v>4969</v>
      </c>
      <c r="F1507" s="0" t="s">
        <v>61</v>
      </c>
      <c r="G1507" s="0" t="s">
        <v>4970</v>
      </c>
      <c r="H1507" s="0" t="s">
        <v>5484</v>
      </c>
      <c r="I1507" s="0" t="s">
        <v>4972</v>
      </c>
      <c r="J1507" s="20" t="s">
        <v>25</v>
      </c>
    </row>
    <row r="1508" customFormat="false" ht="15" hidden="false" customHeight="false" outlineLevel="0" collapsed="false">
      <c r="A1508" s="0" t="s">
        <v>1385</v>
      </c>
      <c r="B1508" s="0" t="s">
        <v>134</v>
      </c>
      <c r="C1508" s="0" t="s">
        <v>3450</v>
      </c>
      <c r="D1508" s="0" t="s">
        <v>3448</v>
      </c>
      <c r="E1508" s="0" t="s">
        <v>4969</v>
      </c>
      <c r="F1508" s="0" t="s">
        <v>61</v>
      </c>
      <c r="G1508" s="0" t="s">
        <v>4970</v>
      </c>
      <c r="H1508" s="0" t="s">
        <v>5485</v>
      </c>
      <c r="I1508" s="0" t="s">
        <v>4972</v>
      </c>
      <c r="J1508" s="20" t="s">
        <v>25</v>
      </c>
    </row>
    <row r="1509" customFormat="false" ht="15" hidden="false" customHeight="false" outlineLevel="0" collapsed="false">
      <c r="A1509" s="0" t="s">
        <v>1385</v>
      </c>
      <c r="B1509" s="0" t="s">
        <v>134</v>
      </c>
      <c r="C1509" s="0" t="s">
        <v>3450</v>
      </c>
      <c r="D1509" s="0" t="s">
        <v>3448</v>
      </c>
      <c r="E1509" s="0" t="s">
        <v>4969</v>
      </c>
      <c r="F1509" s="0" t="s">
        <v>63</v>
      </c>
      <c r="G1509" s="0" t="s">
        <v>4220</v>
      </c>
      <c r="H1509" s="0" t="s">
        <v>5486</v>
      </c>
      <c r="I1509" s="0" t="s">
        <v>4979</v>
      </c>
      <c r="J1509" s="20" t="s">
        <v>25</v>
      </c>
    </row>
    <row r="1510" customFormat="false" ht="15" hidden="false" customHeight="false" outlineLevel="0" collapsed="false">
      <c r="A1510" s="0" t="s">
        <v>1385</v>
      </c>
      <c r="B1510" s="0" t="s">
        <v>134</v>
      </c>
      <c r="C1510" s="0" t="s">
        <v>3447</v>
      </c>
      <c r="D1510" s="0" t="s">
        <v>3448</v>
      </c>
      <c r="E1510" s="0" t="s">
        <v>4969</v>
      </c>
      <c r="F1510" s="0" t="s">
        <v>61</v>
      </c>
      <c r="G1510" s="0" t="s">
        <v>4970</v>
      </c>
      <c r="H1510" s="0" t="s">
        <v>5487</v>
      </c>
      <c r="I1510" s="0" t="s">
        <v>4972</v>
      </c>
      <c r="J1510" s="20" t="s">
        <v>25</v>
      </c>
    </row>
    <row r="1511" customFormat="false" ht="15" hidden="false" customHeight="false" outlineLevel="0" collapsed="false">
      <c r="A1511" s="0" t="s">
        <v>1385</v>
      </c>
      <c r="B1511" s="0" t="s">
        <v>134</v>
      </c>
      <c r="C1511" s="0" t="s">
        <v>3447</v>
      </c>
      <c r="D1511" s="0" t="s">
        <v>3448</v>
      </c>
      <c r="E1511" s="0" t="s">
        <v>4969</v>
      </c>
      <c r="F1511" s="0" t="s">
        <v>63</v>
      </c>
      <c r="G1511" s="0" t="s">
        <v>4220</v>
      </c>
      <c r="H1511" s="0" t="s">
        <v>5486</v>
      </c>
      <c r="I1511" s="0" t="s">
        <v>4979</v>
      </c>
      <c r="J1511" s="20" t="s">
        <v>25</v>
      </c>
    </row>
    <row r="1512" customFormat="false" ht="15" hidden="false" customHeight="false" outlineLevel="0" collapsed="false">
      <c r="A1512" s="0" t="s">
        <v>1385</v>
      </c>
      <c r="B1512" s="0" t="s">
        <v>134</v>
      </c>
      <c r="C1512" s="0" t="s">
        <v>3450</v>
      </c>
      <c r="D1512" s="0" t="s">
        <v>3457</v>
      </c>
      <c r="E1512" s="0" t="s">
        <v>4963</v>
      </c>
      <c r="F1512" s="0" t="s">
        <v>30</v>
      </c>
      <c r="G1512" s="0" t="s">
        <v>4980</v>
      </c>
      <c r="H1512" s="0" t="s">
        <v>4398</v>
      </c>
      <c r="I1512" s="0" t="s">
        <v>4981</v>
      </c>
      <c r="J1512" s="18" t="s">
        <v>24</v>
      </c>
    </row>
    <row r="1513" customFormat="false" ht="15" hidden="false" customHeight="false" outlineLevel="0" collapsed="false">
      <c r="A1513" s="0" t="s">
        <v>1385</v>
      </c>
      <c r="B1513" s="0" t="s">
        <v>134</v>
      </c>
      <c r="C1513" s="0" t="s">
        <v>3447</v>
      </c>
      <c r="D1513" s="0" t="s">
        <v>3448</v>
      </c>
      <c r="E1513" s="0" t="s">
        <v>4963</v>
      </c>
      <c r="F1513" s="0" t="s">
        <v>30</v>
      </c>
      <c r="G1513" s="0" t="s">
        <v>4980</v>
      </c>
      <c r="H1513" s="0" t="s">
        <v>4367</v>
      </c>
      <c r="I1513" s="0" t="s">
        <v>4981</v>
      </c>
      <c r="J1513" s="18" t="s">
        <v>24</v>
      </c>
    </row>
    <row r="1514" customFormat="false" ht="15" hidden="false" customHeight="false" outlineLevel="0" collapsed="false">
      <c r="A1514" s="0" t="s">
        <v>1390</v>
      </c>
      <c r="B1514" s="0" t="s">
        <v>134</v>
      </c>
      <c r="C1514" s="0" t="s">
        <v>3450</v>
      </c>
      <c r="D1514" s="0" t="s">
        <v>3448</v>
      </c>
      <c r="E1514" s="0" t="s">
        <v>4963</v>
      </c>
      <c r="F1514" s="0" t="s">
        <v>59</v>
      </c>
      <c r="G1514" s="0" t="s">
        <v>4974</v>
      </c>
      <c r="H1514" s="0" t="s">
        <v>69</v>
      </c>
      <c r="I1514" s="0" t="s">
        <v>4975</v>
      </c>
      <c r="J1514" s="20" t="s">
        <v>25</v>
      </c>
    </row>
    <row r="1515" customFormat="false" ht="15" hidden="false" customHeight="false" outlineLevel="0" collapsed="false">
      <c r="A1515" s="0" t="s">
        <v>1390</v>
      </c>
      <c r="B1515" s="0" t="s">
        <v>134</v>
      </c>
      <c r="C1515" s="0" t="s">
        <v>3450</v>
      </c>
      <c r="D1515" s="0" t="s">
        <v>3448</v>
      </c>
      <c r="E1515" s="0" t="s">
        <v>4969</v>
      </c>
      <c r="F1515" s="0" t="s">
        <v>66</v>
      </c>
      <c r="G1515" s="0" t="s">
        <v>4970</v>
      </c>
      <c r="H1515" s="0" t="s">
        <v>5488</v>
      </c>
      <c r="I1515" s="0" t="s">
        <v>5030</v>
      </c>
      <c r="J1515" s="20" t="s">
        <v>25</v>
      </c>
    </row>
    <row r="1516" customFormat="false" ht="15" hidden="false" customHeight="false" outlineLevel="0" collapsed="false">
      <c r="A1516" s="0" t="s">
        <v>1390</v>
      </c>
      <c r="B1516" s="0" t="s">
        <v>134</v>
      </c>
      <c r="C1516" s="0" t="s">
        <v>3447</v>
      </c>
      <c r="D1516" s="0" t="s">
        <v>3448</v>
      </c>
      <c r="E1516" s="0" t="s">
        <v>4969</v>
      </c>
      <c r="F1516" s="0" t="s">
        <v>66</v>
      </c>
      <c r="G1516" s="0" t="s">
        <v>4970</v>
      </c>
      <c r="H1516" s="0" t="s">
        <v>5489</v>
      </c>
      <c r="I1516" s="0" t="s">
        <v>5030</v>
      </c>
      <c r="J1516" s="20" t="s">
        <v>25</v>
      </c>
    </row>
    <row r="1517" customFormat="false" ht="15" hidden="false" customHeight="false" outlineLevel="0" collapsed="false">
      <c r="A1517" s="0" t="s">
        <v>1390</v>
      </c>
      <c r="B1517" s="0" t="s">
        <v>3459</v>
      </c>
      <c r="C1517" s="0" t="s">
        <v>3450</v>
      </c>
      <c r="D1517" s="0" t="s">
        <v>3457</v>
      </c>
      <c r="E1517" s="0" t="s">
        <v>4969</v>
      </c>
      <c r="F1517" s="0" t="s">
        <v>61</v>
      </c>
      <c r="G1517" s="0" t="s">
        <v>4970</v>
      </c>
      <c r="H1517" s="0" t="s">
        <v>5490</v>
      </c>
      <c r="I1517" s="0" t="s">
        <v>4972</v>
      </c>
      <c r="J1517" s="20" t="s">
        <v>25</v>
      </c>
    </row>
    <row r="1518" customFormat="false" ht="15" hidden="false" customHeight="false" outlineLevel="0" collapsed="false">
      <c r="A1518" s="0" t="s">
        <v>1390</v>
      </c>
      <c r="B1518" s="0" t="s">
        <v>3459</v>
      </c>
      <c r="C1518" s="0" t="s">
        <v>3450</v>
      </c>
      <c r="D1518" s="0" t="s">
        <v>3457</v>
      </c>
      <c r="E1518" s="0" t="s">
        <v>4969</v>
      </c>
      <c r="F1518" s="0" t="s">
        <v>63</v>
      </c>
      <c r="G1518" s="0" t="s">
        <v>4220</v>
      </c>
      <c r="H1518" s="0" t="s">
        <v>5491</v>
      </c>
      <c r="I1518" s="0" t="s">
        <v>4979</v>
      </c>
      <c r="J1518" s="20" t="s">
        <v>25</v>
      </c>
    </row>
    <row r="1519" customFormat="false" ht="15" hidden="false" customHeight="false" outlineLevel="0" collapsed="false">
      <c r="A1519" s="0" t="s">
        <v>1390</v>
      </c>
      <c r="B1519" s="0" t="s">
        <v>3459</v>
      </c>
      <c r="C1519" s="0" t="s">
        <v>3450</v>
      </c>
      <c r="D1519" s="0" t="s">
        <v>3448</v>
      </c>
      <c r="E1519" s="0" t="s">
        <v>4963</v>
      </c>
      <c r="F1519" s="0" t="s">
        <v>59</v>
      </c>
      <c r="G1519" s="0" t="s">
        <v>4974</v>
      </c>
      <c r="H1519" s="0" t="s">
        <v>69</v>
      </c>
      <c r="I1519" s="0" t="s">
        <v>4975</v>
      </c>
      <c r="J1519" s="20" t="s">
        <v>25</v>
      </c>
    </row>
    <row r="1520" customFormat="false" ht="15" hidden="false" customHeight="false" outlineLevel="0" collapsed="false">
      <c r="A1520" s="0" t="s">
        <v>1390</v>
      </c>
      <c r="B1520" s="0" t="s">
        <v>3459</v>
      </c>
      <c r="C1520" s="0" t="s">
        <v>3450</v>
      </c>
      <c r="D1520" s="0" t="s">
        <v>3448</v>
      </c>
      <c r="E1520" s="0" t="s">
        <v>4969</v>
      </c>
      <c r="F1520" s="0" t="s">
        <v>61</v>
      </c>
      <c r="G1520" s="0" t="s">
        <v>4970</v>
      </c>
      <c r="H1520" s="0" t="s">
        <v>5492</v>
      </c>
      <c r="I1520" s="0" t="s">
        <v>4972</v>
      </c>
      <c r="J1520" s="20" t="s">
        <v>25</v>
      </c>
    </row>
    <row r="1521" customFormat="false" ht="15" hidden="false" customHeight="false" outlineLevel="0" collapsed="false">
      <c r="A1521" s="0" t="s">
        <v>1390</v>
      </c>
      <c r="B1521" s="0" t="s">
        <v>3459</v>
      </c>
      <c r="C1521" s="0" t="s">
        <v>3447</v>
      </c>
      <c r="D1521" s="0" t="s">
        <v>3457</v>
      </c>
      <c r="E1521" s="0" t="s">
        <v>4969</v>
      </c>
      <c r="F1521" s="0" t="s">
        <v>61</v>
      </c>
      <c r="G1521" s="0" t="s">
        <v>4970</v>
      </c>
      <c r="H1521" s="0" t="s">
        <v>5493</v>
      </c>
      <c r="I1521" s="0" t="s">
        <v>4972</v>
      </c>
      <c r="J1521" s="20" t="s">
        <v>25</v>
      </c>
    </row>
    <row r="1522" customFormat="false" ht="15" hidden="false" customHeight="false" outlineLevel="0" collapsed="false">
      <c r="A1522" s="0" t="s">
        <v>1390</v>
      </c>
      <c r="B1522" s="0" t="s">
        <v>3459</v>
      </c>
      <c r="C1522" s="0" t="s">
        <v>3447</v>
      </c>
      <c r="D1522" s="0" t="s">
        <v>3457</v>
      </c>
      <c r="E1522" s="0" t="s">
        <v>4969</v>
      </c>
      <c r="F1522" s="0" t="s">
        <v>63</v>
      </c>
      <c r="G1522" s="0" t="s">
        <v>4220</v>
      </c>
      <c r="H1522" s="0" t="s">
        <v>5491</v>
      </c>
      <c r="I1522" s="0" t="s">
        <v>4979</v>
      </c>
      <c r="J1522" s="20" t="s">
        <v>25</v>
      </c>
    </row>
    <row r="1523" customFormat="false" ht="15" hidden="false" customHeight="false" outlineLevel="0" collapsed="false">
      <c r="A1523" s="0" t="s">
        <v>1390</v>
      </c>
      <c r="B1523" s="0" t="s">
        <v>3459</v>
      </c>
      <c r="C1523" s="0" t="s">
        <v>3447</v>
      </c>
      <c r="D1523" s="0" t="s">
        <v>3448</v>
      </c>
      <c r="E1523" s="0" t="s">
        <v>4969</v>
      </c>
      <c r="F1523" s="0" t="s">
        <v>61</v>
      </c>
      <c r="G1523" s="0" t="s">
        <v>4970</v>
      </c>
      <c r="H1523" s="0" t="s">
        <v>5494</v>
      </c>
      <c r="I1523" s="0" t="s">
        <v>4972</v>
      </c>
      <c r="J1523" s="20" t="s">
        <v>25</v>
      </c>
    </row>
    <row r="1524" customFormat="false" ht="15" hidden="false" customHeight="false" outlineLevel="0" collapsed="false">
      <c r="A1524" s="0" t="s">
        <v>1390</v>
      </c>
      <c r="B1524" s="0" t="s">
        <v>134</v>
      </c>
      <c r="C1524" s="0" t="s">
        <v>3450</v>
      </c>
      <c r="D1524" s="0" t="s">
        <v>3448</v>
      </c>
      <c r="E1524" s="0" t="s">
        <v>4963</v>
      </c>
      <c r="F1524" s="0" t="s">
        <v>30</v>
      </c>
      <c r="G1524" s="0" t="s">
        <v>4980</v>
      </c>
      <c r="H1524" s="0" t="s">
        <v>4565</v>
      </c>
      <c r="I1524" s="0" t="s">
        <v>4981</v>
      </c>
      <c r="J1524" s="18" t="s">
        <v>24</v>
      </c>
    </row>
    <row r="1525" customFormat="false" ht="15" hidden="false" customHeight="false" outlineLevel="0" collapsed="false">
      <c r="A1525" s="0" t="s">
        <v>1390</v>
      </c>
      <c r="B1525" s="0" t="s">
        <v>3459</v>
      </c>
      <c r="C1525" s="0" t="s">
        <v>3450</v>
      </c>
      <c r="D1525" s="0" t="s">
        <v>3457</v>
      </c>
      <c r="E1525" s="0" t="s">
        <v>4963</v>
      </c>
      <c r="F1525" s="0" t="s">
        <v>30</v>
      </c>
      <c r="G1525" s="0" t="s">
        <v>4980</v>
      </c>
      <c r="H1525" s="0" t="s">
        <v>4566</v>
      </c>
      <c r="I1525" s="0" t="s">
        <v>4981</v>
      </c>
      <c r="J1525" s="18" t="s">
        <v>24</v>
      </c>
    </row>
    <row r="1526" customFormat="false" ht="15" hidden="false" customHeight="false" outlineLevel="0" collapsed="false">
      <c r="A1526" s="0" t="s">
        <v>1390</v>
      </c>
      <c r="B1526" s="0" t="s">
        <v>3459</v>
      </c>
      <c r="C1526" s="0" t="s">
        <v>3450</v>
      </c>
      <c r="D1526" s="0" t="s">
        <v>3448</v>
      </c>
      <c r="E1526" s="0" t="s">
        <v>4963</v>
      </c>
      <c r="F1526" s="0" t="s">
        <v>30</v>
      </c>
      <c r="G1526" s="0" t="s">
        <v>4980</v>
      </c>
      <c r="H1526" s="0" t="s">
        <v>4242</v>
      </c>
      <c r="I1526" s="0" t="s">
        <v>4981</v>
      </c>
      <c r="J1526" s="18" t="s">
        <v>24</v>
      </c>
    </row>
    <row r="1527" customFormat="false" ht="15" hidden="false" customHeight="false" outlineLevel="0" collapsed="false">
      <c r="A1527" s="0" t="s">
        <v>1390</v>
      </c>
      <c r="B1527" s="0" t="s">
        <v>3459</v>
      </c>
      <c r="C1527" s="0" t="s">
        <v>3447</v>
      </c>
      <c r="D1527" s="0" t="s">
        <v>3457</v>
      </c>
      <c r="E1527" s="0" t="s">
        <v>4963</v>
      </c>
      <c r="F1527" s="0" t="s">
        <v>30</v>
      </c>
      <c r="G1527" s="0" t="s">
        <v>4980</v>
      </c>
      <c r="H1527" s="0" t="s">
        <v>4566</v>
      </c>
      <c r="I1527" s="0" t="s">
        <v>4981</v>
      </c>
      <c r="J1527" s="18" t="s">
        <v>24</v>
      </c>
    </row>
    <row r="1528" customFormat="false" ht="15" hidden="false" customHeight="false" outlineLevel="0" collapsed="false">
      <c r="A1528" s="0" t="s">
        <v>1400</v>
      </c>
      <c r="B1528" s="0" t="s">
        <v>134</v>
      </c>
      <c r="C1528" s="0" t="s">
        <v>3450</v>
      </c>
      <c r="D1528" s="0" t="s">
        <v>3457</v>
      </c>
      <c r="E1528" s="0" t="s">
        <v>4963</v>
      </c>
      <c r="F1528" s="0" t="s">
        <v>59</v>
      </c>
      <c r="G1528" s="0" t="s">
        <v>4974</v>
      </c>
      <c r="H1528" s="0" t="s">
        <v>69</v>
      </c>
      <c r="I1528" s="0" t="s">
        <v>4975</v>
      </c>
      <c r="J1528" s="20" t="s">
        <v>25</v>
      </c>
    </row>
    <row r="1529" customFormat="false" ht="15" hidden="false" customHeight="false" outlineLevel="0" collapsed="false">
      <c r="A1529" s="0" t="s">
        <v>1400</v>
      </c>
      <c r="B1529" s="0" t="s">
        <v>134</v>
      </c>
      <c r="C1529" s="0" t="s">
        <v>3450</v>
      </c>
      <c r="D1529" s="0" t="s">
        <v>3457</v>
      </c>
      <c r="E1529" s="0" t="s">
        <v>4969</v>
      </c>
      <c r="F1529" s="0" t="s">
        <v>64</v>
      </c>
      <c r="G1529" s="0" t="s">
        <v>4220</v>
      </c>
      <c r="H1529" s="0" t="s">
        <v>5495</v>
      </c>
      <c r="I1529" s="0" t="s">
        <v>4991</v>
      </c>
      <c r="J1529" s="20" t="s">
        <v>25</v>
      </c>
    </row>
    <row r="1530" customFormat="false" ht="15" hidden="false" customHeight="false" outlineLevel="0" collapsed="false">
      <c r="A1530" s="0" t="s">
        <v>1400</v>
      </c>
      <c r="B1530" s="0" t="s">
        <v>134</v>
      </c>
      <c r="C1530" s="0" t="s">
        <v>3450</v>
      </c>
      <c r="D1530" s="0" t="s">
        <v>3448</v>
      </c>
      <c r="E1530" s="0" t="s">
        <v>4963</v>
      </c>
      <c r="F1530" s="0" t="s">
        <v>59</v>
      </c>
      <c r="G1530" s="0" t="s">
        <v>4974</v>
      </c>
      <c r="H1530" s="0" t="s">
        <v>69</v>
      </c>
      <c r="I1530" s="0" t="s">
        <v>4975</v>
      </c>
      <c r="J1530" s="20" t="s">
        <v>25</v>
      </c>
    </row>
    <row r="1531" customFormat="false" ht="15" hidden="false" customHeight="false" outlineLevel="0" collapsed="false">
      <c r="A1531" s="0" t="s">
        <v>1400</v>
      </c>
      <c r="B1531" s="0" t="s">
        <v>134</v>
      </c>
      <c r="C1531" s="0" t="s">
        <v>3450</v>
      </c>
      <c r="D1531" s="0" t="s">
        <v>3448</v>
      </c>
      <c r="E1531" s="0" t="s">
        <v>4969</v>
      </c>
      <c r="F1531" s="0" t="s">
        <v>64</v>
      </c>
      <c r="G1531" s="0" t="s">
        <v>4220</v>
      </c>
      <c r="H1531" s="0" t="s">
        <v>5496</v>
      </c>
      <c r="I1531" s="0" t="s">
        <v>4991</v>
      </c>
      <c r="J1531" s="20" t="s">
        <v>25</v>
      </c>
    </row>
    <row r="1532" customFormat="false" ht="15" hidden="false" customHeight="false" outlineLevel="0" collapsed="false">
      <c r="A1532" s="0" t="s">
        <v>1400</v>
      </c>
      <c r="B1532" s="0" t="s">
        <v>134</v>
      </c>
      <c r="C1532" s="0" t="s">
        <v>3447</v>
      </c>
      <c r="D1532" s="0" t="s">
        <v>3457</v>
      </c>
      <c r="E1532" s="0" t="s">
        <v>4963</v>
      </c>
      <c r="F1532" s="0" t="s">
        <v>59</v>
      </c>
      <c r="G1532" s="0" t="s">
        <v>4974</v>
      </c>
      <c r="H1532" s="0" t="s">
        <v>69</v>
      </c>
      <c r="I1532" s="0" t="s">
        <v>4975</v>
      </c>
      <c r="J1532" s="20" t="s">
        <v>25</v>
      </c>
    </row>
    <row r="1533" customFormat="false" ht="15" hidden="false" customHeight="false" outlineLevel="0" collapsed="false">
      <c r="A1533" s="0" t="s">
        <v>1400</v>
      </c>
      <c r="B1533" s="0" t="s">
        <v>134</v>
      </c>
      <c r="C1533" s="0" t="s">
        <v>3447</v>
      </c>
      <c r="D1533" s="0" t="s">
        <v>3457</v>
      </c>
      <c r="E1533" s="0" t="s">
        <v>4969</v>
      </c>
      <c r="F1533" s="0" t="s">
        <v>64</v>
      </c>
      <c r="G1533" s="0" t="s">
        <v>4220</v>
      </c>
      <c r="H1533" s="0" t="s">
        <v>5495</v>
      </c>
      <c r="I1533" s="0" t="s">
        <v>4991</v>
      </c>
      <c r="J1533" s="20" t="s">
        <v>25</v>
      </c>
    </row>
    <row r="1534" customFormat="false" ht="15" hidden="false" customHeight="false" outlineLevel="0" collapsed="false">
      <c r="A1534" s="0" t="s">
        <v>1400</v>
      </c>
      <c r="B1534" s="0" t="s">
        <v>134</v>
      </c>
      <c r="C1534" s="0" t="s">
        <v>3447</v>
      </c>
      <c r="D1534" s="0" t="s">
        <v>3448</v>
      </c>
      <c r="E1534" s="0" t="s">
        <v>4963</v>
      </c>
      <c r="F1534" s="0" t="s">
        <v>59</v>
      </c>
      <c r="G1534" s="0" t="s">
        <v>4974</v>
      </c>
      <c r="H1534" s="0" t="s">
        <v>69</v>
      </c>
      <c r="I1534" s="0" t="s">
        <v>4975</v>
      </c>
      <c r="J1534" s="20" t="s">
        <v>25</v>
      </c>
    </row>
    <row r="1535" customFormat="false" ht="15" hidden="false" customHeight="false" outlineLevel="0" collapsed="false">
      <c r="A1535" s="0" t="s">
        <v>1400</v>
      </c>
      <c r="B1535" s="0" t="s">
        <v>134</v>
      </c>
      <c r="C1535" s="0" t="s">
        <v>3447</v>
      </c>
      <c r="D1535" s="0" t="s">
        <v>3448</v>
      </c>
      <c r="E1535" s="0" t="s">
        <v>4969</v>
      </c>
      <c r="F1535" s="0" t="s">
        <v>64</v>
      </c>
      <c r="G1535" s="0" t="s">
        <v>4220</v>
      </c>
      <c r="H1535" s="0" t="s">
        <v>5496</v>
      </c>
      <c r="I1535" s="0" t="s">
        <v>4991</v>
      </c>
      <c r="J1535" s="20" t="s">
        <v>25</v>
      </c>
    </row>
    <row r="1536" customFormat="false" ht="15" hidden="false" customHeight="false" outlineLevel="0" collapsed="false">
      <c r="A1536" s="0" t="s">
        <v>1400</v>
      </c>
      <c r="B1536" s="0" t="s">
        <v>3459</v>
      </c>
      <c r="C1536" s="0" t="s">
        <v>3450</v>
      </c>
      <c r="D1536" s="0" t="s">
        <v>3457</v>
      </c>
      <c r="E1536" s="0" t="s">
        <v>4969</v>
      </c>
      <c r="F1536" s="0" t="s">
        <v>61</v>
      </c>
      <c r="G1536" s="0" t="s">
        <v>4970</v>
      </c>
      <c r="H1536" s="0" t="s">
        <v>5497</v>
      </c>
      <c r="I1536" s="0" t="s">
        <v>4972</v>
      </c>
      <c r="J1536" s="20" t="s">
        <v>25</v>
      </c>
    </row>
    <row r="1537" customFormat="false" ht="15" hidden="false" customHeight="false" outlineLevel="0" collapsed="false">
      <c r="A1537" s="0" t="s">
        <v>1400</v>
      </c>
      <c r="B1537" s="0" t="s">
        <v>3459</v>
      </c>
      <c r="C1537" s="0" t="s">
        <v>3450</v>
      </c>
      <c r="D1537" s="0" t="s">
        <v>3457</v>
      </c>
      <c r="E1537" s="0" t="s">
        <v>4969</v>
      </c>
      <c r="F1537" s="0" t="s">
        <v>63</v>
      </c>
      <c r="G1537" s="0" t="s">
        <v>4220</v>
      </c>
      <c r="H1537" s="0" t="s">
        <v>5498</v>
      </c>
      <c r="I1537" s="0" t="s">
        <v>4979</v>
      </c>
      <c r="J1537" s="20" t="s">
        <v>25</v>
      </c>
    </row>
    <row r="1538" customFormat="false" ht="15" hidden="false" customHeight="false" outlineLevel="0" collapsed="false">
      <c r="A1538" s="0" t="s">
        <v>1400</v>
      </c>
      <c r="B1538" s="0" t="s">
        <v>3459</v>
      </c>
      <c r="C1538" s="0" t="s">
        <v>3450</v>
      </c>
      <c r="D1538" s="0" t="s">
        <v>3448</v>
      </c>
      <c r="E1538" s="0" t="s">
        <v>4969</v>
      </c>
      <c r="F1538" s="0" t="s">
        <v>64</v>
      </c>
      <c r="G1538" s="0" t="s">
        <v>4220</v>
      </c>
      <c r="H1538" s="0" t="s">
        <v>5499</v>
      </c>
      <c r="I1538" s="0" t="s">
        <v>4991</v>
      </c>
      <c r="J1538" s="20" t="s">
        <v>25</v>
      </c>
    </row>
    <row r="1539" customFormat="false" ht="15" hidden="false" customHeight="false" outlineLevel="0" collapsed="false">
      <c r="A1539" s="0" t="s">
        <v>1400</v>
      </c>
      <c r="B1539" s="0" t="s">
        <v>3459</v>
      </c>
      <c r="C1539" s="0" t="s">
        <v>3447</v>
      </c>
      <c r="D1539" s="0" t="s">
        <v>3457</v>
      </c>
      <c r="E1539" s="0" t="s">
        <v>4969</v>
      </c>
      <c r="F1539" s="0" t="s">
        <v>61</v>
      </c>
      <c r="G1539" s="0" t="s">
        <v>4970</v>
      </c>
      <c r="H1539" s="0" t="s">
        <v>5500</v>
      </c>
      <c r="I1539" s="0" t="s">
        <v>4972</v>
      </c>
      <c r="J1539" s="20" t="s">
        <v>25</v>
      </c>
    </row>
    <row r="1540" customFormat="false" ht="15" hidden="false" customHeight="false" outlineLevel="0" collapsed="false">
      <c r="A1540" s="0" t="s">
        <v>1400</v>
      </c>
      <c r="B1540" s="0" t="s">
        <v>3459</v>
      </c>
      <c r="C1540" s="0" t="s">
        <v>3447</v>
      </c>
      <c r="D1540" s="0" t="s">
        <v>3457</v>
      </c>
      <c r="E1540" s="0" t="s">
        <v>4969</v>
      </c>
      <c r="F1540" s="0" t="s">
        <v>63</v>
      </c>
      <c r="G1540" s="0" t="s">
        <v>4220</v>
      </c>
      <c r="H1540" s="0" t="s">
        <v>5498</v>
      </c>
      <c r="I1540" s="0" t="s">
        <v>4979</v>
      </c>
      <c r="J1540" s="20" t="s">
        <v>25</v>
      </c>
    </row>
    <row r="1541" customFormat="false" ht="15" hidden="false" customHeight="false" outlineLevel="0" collapsed="false">
      <c r="A1541" s="0" t="s">
        <v>1400</v>
      </c>
      <c r="B1541" s="0" t="s">
        <v>3459</v>
      </c>
      <c r="C1541" s="0" t="s">
        <v>3447</v>
      </c>
      <c r="D1541" s="0" t="s">
        <v>3448</v>
      </c>
      <c r="E1541" s="0" t="s">
        <v>4969</v>
      </c>
      <c r="F1541" s="0" t="s">
        <v>64</v>
      </c>
      <c r="G1541" s="0" t="s">
        <v>4220</v>
      </c>
      <c r="H1541" s="0" t="s">
        <v>5499</v>
      </c>
      <c r="I1541" s="0" t="s">
        <v>4991</v>
      </c>
      <c r="J1541" s="20" t="s">
        <v>25</v>
      </c>
    </row>
    <row r="1542" customFormat="false" ht="15" hidden="false" customHeight="false" outlineLevel="0" collapsed="false">
      <c r="A1542" s="0" t="s">
        <v>1400</v>
      </c>
      <c r="B1542" s="0" t="s">
        <v>134</v>
      </c>
      <c r="C1542" s="0" t="s">
        <v>3450</v>
      </c>
      <c r="D1542" s="0" t="s">
        <v>3457</v>
      </c>
      <c r="E1542" s="0" t="s">
        <v>4963</v>
      </c>
      <c r="F1542" s="0" t="s">
        <v>30</v>
      </c>
      <c r="G1542" s="0" t="s">
        <v>4980</v>
      </c>
      <c r="H1542" s="0" t="s">
        <v>4275</v>
      </c>
      <c r="I1542" s="0" t="s">
        <v>4981</v>
      </c>
      <c r="J1542" s="18" t="s">
        <v>24</v>
      </c>
    </row>
    <row r="1543" customFormat="false" ht="15" hidden="false" customHeight="false" outlineLevel="0" collapsed="false">
      <c r="A1543" s="0" t="s">
        <v>1400</v>
      </c>
      <c r="B1543" s="0" t="s">
        <v>134</v>
      </c>
      <c r="C1543" s="0" t="s">
        <v>3450</v>
      </c>
      <c r="D1543" s="0" t="s">
        <v>3448</v>
      </c>
      <c r="E1543" s="0" t="s">
        <v>4963</v>
      </c>
      <c r="F1543" s="0" t="s">
        <v>30</v>
      </c>
      <c r="G1543" s="0" t="s">
        <v>4980</v>
      </c>
      <c r="H1543" s="0" t="s">
        <v>4265</v>
      </c>
      <c r="I1543" s="0" t="s">
        <v>4981</v>
      </c>
      <c r="J1543" s="18" t="s">
        <v>24</v>
      </c>
    </row>
    <row r="1544" customFormat="false" ht="15" hidden="false" customHeight="false" outlineLevel="0" collapsed="false">
      <c r="A1544" s="0" t="s">
        <v>1400</v>
      </c>
      <c r="B1544" s="0" t="s">
        <v>134</v>
      </c>
      <c r="C1544" s="0" t="s">
        <v>3447</v>
      </c>
      <c r="D1544" s="0" t="s">
        <v>3457</v>
      </c>
      <c r="E1544" s="0" t="s">
        <v>4963</v>
      </c>
      <c r="F1544" s="0" t="s">
        <v>30</v>
      </c>
      <c r="G1544" s="0" t="s">
        <v>4980</v>
      </c>
      <c r="H1544" s="0" t="s">
        <v>4275</v>
      </c>
      <c r="I1544" s="0" t="s">
        <v>4981</v>
      </c>
      <c r="J1544" s="18" t="s">
        <v>24</v>
      </c>
    </row>
    <row r="1545" customFormat="false" ht="15" hidden="false" customHeight="false" outlineLevel="0" collapsed="false">
      <c r="A1545" s="0" t="s">
        <v>1400</v>
      </c>
      <c r="B1545" s="0" t="s">
        <v>134</v>
      </c>
      <c r="C1545" s="0" t="s">
        <v>3447</v>
      </c>
      <c r="D1545" s="0" t="s">
        <v>3448</v>
      </c>
      <c r="E1545" s="0" t="s">
        <v>4963</v>
      </c>
      <c r="F1545" s="0" t="s">
        <v>30</v>
      </c>
      <c r="G1545" s="0" t="s">
        <v>4980</v>
      </c>
      <c r="H1545" s="0" t="s">
        <v>4265</v>
      </c>
      <c r="I1545" s="0" t="s">
        <v>4981</v>
      </c>
      <c r="J1545" s="18" t="s">
        <v>24</v>
      </c>
    </row>
    <row r="1546" customFormat="false" ht="15" hidden="false" customHeight="false" outlineLevel="0" collapsed="false">
      <c r="A1546" s="0" t="s">
        <v>1406</v>
      </c>
      <c r="B1546" s="0" t="s">
        <v>134</v>
      </c>
      <c r="C1546" s="0" t="s">
        <v>3450</v>
      </c>
      <c r="D1546" s="0" t="s">
        <v>3457</v>
      </c>
      <c r="E1546" s="0" t="s">
        <v>4963</v>
      </c>
      <c r="F1546" s="0" t="s">
        <v>60</v>
      </c>
      <c r="G1546" s="0" t="s">
        <v>4964</v>
      </c>
      <c r="H1546" s="0" t="s">
        <v>5501</v>
      </c>
      <c r="I1546" s="0" t="s">
        <v>4966</v>
      </c>
      <c r="J1546" s="19" t="s">
        <v>26</v>
      </c>
    </row>
    <row r="1547" customFormat="false" ht="15" hidden="false" customHeight="false" outlineLevel="0" collapsed="false">
      <c r="A1547" s="0" t="s">
        <v>1406</v>
      </c>
      <c r="B1547" s="0" t="s">
        <v>134</v>
      </c>
      <c r="C1547" s="0" t="s">
        <v>3450</v>
      </c>
      <c r="D1547" s="0" t="s">
        <v>3448</v>
      </c>
      <c r="E1547" s="0" t="s">
        <v>4963</v>
      </c>
      <c r="F1547" s="0" t="s">
        <v>60</v>
      </c>
      <c r="G1547" s="0" t="s">
        <v>4964</v>
      </c>
      <c r="H1547" s="0" t="s">
        <v>5502</v>
      </c>
      <c r="I1547" s="0" t="s">
        <v>4966</v>
      </c>
      <c r="J1547" s="19" t="s">
        <v>26</v>
      </c>
    </row>
    <row r="1548" customFormat="false" ht="15" hidden="false" customHeight="false" outlineLevel="0" collapsed="false">
      <c r="A1548" s="0" t="s">
        <v>1406</v>
      </c>
      <c r="B1548" s="0" t="s">
        <v>134</v>
      </c>
      <c r="C1548" s="0" t="s">
        <v>3450</v>
      </c>
      <c r="D1548" s="0" t="s">
        <v>3457</v>
      </c>
      <c r="E1548" s="0" t="s">
        <v>4963</v>
      </c>
      <c r="F1548" s="0" t="s">
        <v>59</v>
      </c>
      <c r="G1548" s="0" t="s">
        <v>4974</v>
      </c>
      <c r="H1548" s="0" t="s">
        <v>69</v>
      </c>
      <c r="I1548" s="0" t="s">
        <v>4975</v>
      </c>
      <c r="J1548" s="20" t="s">
        <v>25</v>
      </c>
    </row>
    <row r="1549" customFormat="false" ht="15" hidden="false" customHeight="false" outlineLevel="0" collapsed="false">
      <c r="A1549" s="0" t="s">
        <v>1406</v>
      </c>
      <c r="B1549" s="0" t="s">
        <v>134</v>
      </c>
      <c r="C1549" s="0" t="s">
        <v>3450</v>
      </c>
      <c r="D1549" s="0" t="s">
        <v>3457</v>
      </c>
      <c r="E1549" s="0" t="s">
        <v>4969</v>
      </c>
      <c r="F1549" s="0" t="s">
        <v>62</v>
      </c>
      <c r="G1549" s="0" t="s">
        <v>5003</v>
      </c>
      <c r="H1549" s="0" t="s">
        <v>5503</v>
      </c>
      <c r="I1549" s="0" t="s">
        <v>5005</v>
      </c>
      <c r="J1549" s="20" t="s">
        <v>25</v>
      </c>
    </row>
    <row r="1550" customFormat="false" ht="15" hidden="false" customHeight="false" outlineLevel="0" collapsed="false">
      <c r="A1550" s="0" t="s">
        <v>1406</v>
      </c>
      <c r="B1550" s="0" t="s">
        <v>134</v>
      </c>
      <c r="C1550" s="0" t="s">
        <v>3450</v>
      </c>
      <c r="D1550" s="0" t="s">
        <v>3457</v>
      </c>
      <c r="E1550" s="0" t="s">
        <v>4969</v>
      </c>
      <c r="F1550" s="0" t="s">
        <v>64</v>
      </c>
      <c r="G1550" s="0" t="s">
        <v>4220</v>
      </c>
      <c r="H1550" s="0" t="s">
        <v>5504</v>
      </c>
      <c r="I1550" s="0" t="s">
        <v>4991</v>
      </c>
      <c r="J1550" s="20" t="s">
        <v>25</v>
      </c>
    </row>
    <row r="1551" customFormat="false" ht="15" hidden="false" customHeight="false" outlineLevel="0" collapsed="false">
      <c r="A1551" s="0" t="s">
        <v>1406</v>
      </c>
      <c r="B1551" s="0" t="s">
        <v>134</v>
      </c>
      <c r="C1551" s="0" t="s">
        <v>3450</v>
      </c>
      <c r="D1551" s="0" t="s">
        <v>3448</v>
      </c>
      <c r="E1551" s="0" t="s">
        <v>4963</v>
      </c>
      <c r="F1551" s="0" t="s">
        <v>59</v>
      </c>
      <c r="G1551" s="0" t="s">
        <v>4974</v>
      </c>
      <c r="H1551" s="0" t="s">
        <v>69</v>
      </c>
      <c r="I1551" s="0" t="s">
        <v>4975</v>
      </c>
      <c r="J1551" s="20" t="s">
        <v>25</v>
      </c>
    </row>
    <row r="1552" customFormat="false" ht="15" hidden="false" customHeight="false" outlineLevel="0" collapsed="false">
      <c r="A1552" s="0" t="s">
        <v>1406</v>
      </c>
      <c r="B1552" s="0" t="s">
        <v>134</v>
      </c>
      <c r="C1552" s="0" t="s">
        <v>3450</v>
      </c>
      <c r="D1552" s="0" t="s">
        <v>3448</v>
      </c>
      <c r="E1552" s="0" t="s">
        <v>4969</v>
      </c>
      <c r="F1552" s="0" t="s">
        <v>62</v>
      </c>
      <c r="G1552" s="0" t="s">
        <v>5003</v>
      </c>
      <c r="H1552" s="0" t="s">
        <v>5505</v>
      </c>
      <c r="I1552" s="0" t="s">
        <v>5005</v>
      </c>
      <c r="J1552" s="20" t="s">
        <v>25</v>
      </c>
    </row>
    <row r="1553" customFormat="false" ht="15" hidden="false" customHeight="false" outlineLevel="0" collapsed="false">
      <c r="A1553" s="0" t="s">
        <v>1406</v>
      </c>
      <c r="B1553" s="0" t="s">
        <v>134</v>
      </c>
      <c r="C1553" s="0" t="s">
        <v>3450</v>
      </c>
      <c r="D1553" s="0" t="s">
        <v>3448</v>
      </c>
      <c r="E1553" s="0" t="s">
        <v>4969</v>
      </c>
      <c r="F1553" s="0" t="s">
        <v>64</v>
      </c>
      <c r="G1553" s="0" t="s">
        <v>4220</v>
      </c>
      <c r="H1553" s="0" t="s">
        <v>5064</v>
      </c>
      <c r="I1553" s="0" t="s">
        <v>4991</v>
      </c>
      <c r="J1553" s="20" t="s">
        <v>25</v>
      </c>
    </row>
    <row r="1554" customFormat="false" ht="15" hidden="false" customHeight="false" outlineLevel="0" collapsed="false">
      <c r="A1554" s="0" t="s">
        <v>1406</v>
      </c>
      <c r="B1554" s="0" t="s">
        <v>134</v>
      </c>
      <c r="C1554" s="0" t="s">
        <v>3447</v>
      </c>
      <c r="D1554" s="0" t="s">
        <v>3457</v>
      </c>
      <c r="E1554" s="0" t="s">
        <v>4969</v>
      </c>
      <c r="F1554" s="0" t="s">
        <v>64</v>
      </c>
      <c r="G1554" s="0" t="s">
        <v>4220</v>
      </c>
      <c r="H1554" s="0" t="s">
        <v>5504</v>
      </c>
      <c r="I1554" s="0" t="s">
        <v>4991</v>
      </c>
      <c r="J1554" s="20" t="s">
        <v>25</v>
      </c>
    </row>
    <row r="1555" customFormat="false" ht="15" hidden="false" customHeight="false" outlineLevel="0" collapsed="false">
      <c r="A1555" s="0" t="s">
        <v>1406</v>
      </c>
      <c r="B1555" s="0" t="s">
        <v>134</v>
      </c>
      <c r="C1555" s="0" t="s">
        <v>3447</v>
      </c>
      <c r="D1555" s="0" t="s">
        <v>3448</v>
      </c>
      <c r="E1555" s="0" t="s">
        <v>4969</v>
      </c>
      <c r="F1555" s="0" t="s">
        <v>64</v>
      </c>
      <c r="G1555" s="0" t="s">
        <v>4220</v>
      </c>
      <c r="H1555" s="0" t="s">
        <v>5064</v>
      </c>
      <c r="I1555" s="0" t="s">
        <v>4991</v>
      </c>
      <c r="J1555" s="20" t="s">
        <v>25</v>
      </c>
    </row>
    <row r="1556" customFormat="false" ht="15" hidden="false" customHeight="false" outlineLevel="0" collapsed="false">
      <c r="A1556" s="0" t="s">
        <v>1412</v>
      </c>
      <c r="B1556" s="0" t="s">
        <v>134</v>
      </c>
      <c r="C1556" s="0" t="s">
        <v>3450</v>
      </c>
      <c r="D1556" s="0" t="s">
        <v>3448</v>
      </c>
      <c r="E1556" s="0" t="s">
        <v>4963</v>
      </c>
      <c r="F1556" s="0" t="s">
        <v>59</v>
      </c>
      <c r="G1556" s="0" t="s">
        <v>4974</v>
      </c>
      <c r="H1556" s="0" t="s">
        <v>69</v>
      </c>
      <c r="I1556" s="0" t="s">
        <v>4975</v>
      </c>
      <c r="J1556" s="20" t="s">
        <v>25</v>
      </c>
    </row>
    <row r="1557" customFormat="false" ht="15" hidden="false" customHeight="false" outlineLevel="0" collapsed="false">
      <c r="A1557" s="0" t="s">
        <v>1412</v>
      </c>
      <c r="B1557" s="0" t="s">
        <v>134</v>
      </c>
      <c r="C1557" s="0" t="s">
        <v>3450</v>
      </c>
      <c r="D1557" s="0" t="s">
        <v>3457</v>
      </c>
      <c r="E1557" s="0" t="s">
        <v>4963</v>
      </c>
      <c r="F1557" s="0" t="s">
        <v>30</v>
      </c>
      <c r="G1557" s="0" t="s">
        <v>4980</v>
      </c>
      <c r="H1557" s="0" t="s">
        <v>4569</v>
      </c>
      <c r="I1557" s="0" t="s">
        <v>4981</v>
      </c>
      <c r="J1557" s="18" t="s">
        <v>24</v>
      </c>
    </row>
    <row r="1558" customFormat="false" ht="15" hidden="false" customHeight="false" outlineLevel="0" collapsed="false">
      <c r="A1558" s="0" t="s">
        <v>1412</v>
      </c>
      <c r="B1558" s="0" t="s">
        <v>134</v>
      </c>
      <c r="C1558" s="0" t="s">
        <v>3450</v>
      </c>
      <c r="D1558" s="0" t="s">
        <v>3448</v>
      </c>
      <c r="E1558" s="0" t="s">
        <v>4963</v>
      </c>
      <c r="F1558" s="0" t="s">
        <v>30</v>
      </c>
      <c r="G1558" s="0" t="s">
        <v>4980</v>
      </c>
      <c r="H1558" s="0" t="s">
        <v>4570</v>
      </c>
      <c r="I1558" s="0" t="s">
        <v>4981</v>
      </c>
      <c r="J1558" s="18" t="s">
        <v>24</v>
      </c>
    </row>
    <row r="1559" customFormat="false" ht="15" hidden="false" customHeight="false" outlineLevel="0" collapsed="false">
      <c r="A1559" s="0" t="s">
        <v>1412</v>
      </c>
      <c r="B1559" s="0" t="s">
        <v>134</v>
      </c>
      <c r="C1559" s="0" t="s">
        <v>3447</v>
      </c>
      <c r="D1559" s="0" t="s">
        <v>3457</v>
      </c>
      <c r="E1559" s="0" t="s">
        <v>4963</v>
      </c>
      <c r="F1559" s="0" t="s">
        <v>30</v>
      </c>
      <c r="G1559" s="0" t="s">
        <v>4980</v>
      </c>
      <c r="H1559" s="0" t="s">
        <v>4493</v>
      </c>
      <c r="I1559" s="0" t="s">
        <v>4981</v>
      </c>
      <c r="J1559" s="18" t="s">
        <v>24</v>
      </c>
    </row>
    <row r="1560" customFormat="false" ht="15" hidden="false" customHeight="false" outlineLevel="0" collapsed="false">
      <c r="A1560" s="0" t="s">
        <v>1412</v>
      </c>
      <c r="B1560" s="0" t="s">
        <v>134</v>
      </c>
      <c r="C1560" s="0" t="s">
        <v>3447</v>
      </c>
      <c r="D1560" s="0" t="s">
        <v>3448</v>
      </c>
      <c r="E1560" s="0" t="s">
        <v>4963</v>
      </c>
      <c r="F1560" s="0" t="s">
        <v>30</v>
      </c>
      <c r="G1560" s="0" t="s">
        <v>4980</v>
      </c>
      <c r="H1560" s="0" t="s">
        <v>4251</v>
      </c>
      <c r="I1560" s="0" t="s">
        <v>4981</v>
      </c>
      <c r="J1560" s="18" t="s">
        <v>24</v>
      </c>
    </row>
    <row r="1561" customFormat="false" ht="15" hidden="false" customHeight="false" outlineLevel="0" collapsed="false">
      <c r="A1561" s="0" t="s">
        <v>1417</v>
      </c>
      <c r="B1561" s="0" t="s">
        <v>134</v>
      </c>
      <c r="C1561" s="0" t="s">
        <v>3447</v>
      </c>
      <c r="D1561" s="0" t="s">
        <v>3457</v>
      </c>
      <c r="E1561" s="0" t="s">
        <v>4963</v>
      </c>
      <c r="F1561" s="0" t="s">
        <v>60</v>
      </c>
      <c r="G1561" s="0" t="s">
        <v>4964</v>
      </c>
      <c r="H1561" s="0" t="s">
        <v>5502</v>
      </c>
      <c r="I1561" s="0" t="s">
        <v>4966</v>
      </c>
      <c r="J1561" s="19" t="s">
        <v>26</v>
      </c>
    </row>
    <row r="1562" customFormat="false" ht="15" hidden="false" customHeight="false" outlineLevel="0" collapsed="false">
      <c r="A1562" s="0" t="s">
        <v>1417</v>
      </c>
      <c r="B1562" s="0" t="s">
        <v>134</v>
      </c>
      <c r="C1562" s="0" t="s">
        <v>3447</v>
      </c>
      <c r="D1562" s="0" t="s">
        <v>3448</v>
      </c>
      <c r="E1562" s="0" t="s">
        <v>4963</v>
      </c>
      <c r="F1562" s="0" t="s">
        <v>60</v>
      </c>
      <c r="G1562" s="0" t="s">
        <v>4964</v>
      </c>
      <c r="H1562" s="0" t="s">
        <v>5506</v>
      </c>
      <c r="I1562" s="0" t="s">
        <v>4966</v>
      </c>
      <c r="J1562" s="19" t="s">
        <v>26</v>
      </c>
    </row>
    <row r="1563" customFormat="false" ht="15" hidden="false" customHeight="false" outlineLevel="0" collapsed="false">
      <c r="A1563" s="0" t="s">
        <v>1417</v>
      </c>
      <c r="B1563" s="0" t="s">
        <v>3459</v>
      </c>
      <c r="C1563" s="0" t="s">
        <v>3450</v>
      </c>
      <c r="D1563" s="0" t="s">
        <v>3457</v>
      </c>
      <c r="E1563" s="0" t="s">
        <v>4963</v>
      </c>
      <c r="F1563" s="0" t="s">
        <v>60</v>
      </c>
      <c r="G1563" s="0" t="s">
        <v>4964</v>
      </c>
      <c r="H1563" s="0" t="s">
        <v>5507</v>
      </c>
      <c r="I1563" s="0" t="s">
        <v>4966</v>
      </c>
      <c r="J1563" s="19" t="s">
        <v>26</v>
      </c>
    </row>
    <row r="1564" customFormat="false" ht="15" hidden="false" customHeight="false" outlineLevel="0" collapsed="false">
      <c r="A1564" s="0" t="s">
        <v>1417</v>
      </c>
      <c r="B1564" s="0" t="s">
        <v>134</v>
      </c>
      <c r="C1564" s="0" t="s">
        <v>3450</v>
      </c>
      <c r="D1564" s="0" t="s">
        <v>3457</v>
      </c>
      <c r="E1564" s="0" t="s">
        <v>5199</v>
      </c>
      <c r="F1564" s="0" t="s">
        <v>67</v>
      </c>
      <c r="G1564" s="0" t="s">
        <v>100</v>
      </c>
      <c r="H1564" s="0" t="s">
        <v>5508</v>
      </c>
      <c r="I1564" s="0" t="s">
        <v>5201</v>
      </c>
      <c r="J1564" s="20" t="s">
        <v>25</v>
      </c>
    </row>
    <row r="1565" customFormat="false" ht="15" hidden="false" customHeight="false" outlineLevel="0" collapsed="false">
      <c r="A1565" s="0" t="s">
        <v>1417</v>
      </c>
      <c r="B1565" s="0" t="s">
        <v>134</v>
      </c>
      <c r="C1565" s="0" t="s">
        <v>3450</v>
      </c>
      <c r="D1565" s="0" t="s">
        <v>3457</v>
      </c>
      <c r="E1565" s="0" t="s">
        <v>4969</v>
      </c>
      <c r="F1565" s="0" t="s">
        <v>62</v>
      </c>
      <c r="G1565" s="0" t="s">
        <v>5003</v>
      </c>
      <c r="H1565" s="0" t="s">
        <v>5509</v>
      </c>
      <c r="I1565" s="0" t="s">
        <v>5005</v>
      </c>
      <c r="J1565" s="20" t="s">
        <v>25</v>
      </c>
    </row>
    <row r="1566" customFormat="false" ht="15" hidden="false" customHeight="false" outlineLevel="0" collapsed="false">
      <c r="A1566" s="0" t="s">
        <v>1417</v>
      </c>
      <c r="B1566" s="0" t="s">
        <v>134</v>
      </c>
      <c r="C1566" s="0" t="s">
        <v>3447</v>
      </c>
      <c r="D1566" s="0" t="s">
        <v>3457</v>
      </c>
      <c r="E1566" s="0" t="s">
        <v>4963</v>
      </c>
      <c r="F1566" s="0" t="s">
        <v>59</v>
      </c>
      <c r="G1566" s="0" t="s">
        <v>4974</v>
      </c>
      <c r="H1566" s="0" t="s">
        <v>69</v>
      </c>
      <c r="I1566" s="0" t="s">
        <v>4975</v>
      </c>
      <c r="J1566" s="20" t="s">
        <v>25</v>
      </c>
    </row>
    <row r="1567" customFormat="false" ht="15" hidden="false" customHeight="false" outlineLevel="0" collapsed="false">
      <c r="A1567" s="0" t="s">
        <v>1417</v>
      </c>
      <c r="B1567" s="0" t="s">
        <v>3459</v>
      </c>
      <c r="C1567" s="0" t="s">
        <v>3450</v>
      </c>
      <c r="D1567" s="0" t="s">
        <v>3457</v>
      </c>
      <c r="E1567" s="0" t="s">
        <v>4963</v>
      </c>
      <c r="F1567" s="0" t="s">
        <v>59</v>
      </c>
      <c r="G1567" s="0" t="s">
        <v>4974</v>
      </c>
      <c r="H1567" s="0" t="s">
        <v>69</v>
      </c>
      <c r="I1567" s="0" t="s">
        <v>4975</v>
      </c>
      <c r="J1567" s="20" t="s">
        <v>25</v>
      </c>
    </row>
    <row r="1568" customFormat="false" ht="15" hidden="false" customHeight="false" outlineLevel="0" collapsed="false">
      <c r="A1568" s="0" t="s">
        <v>1417</v>
      </c>
      <c r="B1568" s="0" t="s">
        <v>3459</v>
      </c>
      <c r="C1568" s="0" t="s">
        <v>3450</v>
      </c>
      <c r="D1568" s="0" t="s">
        <v>3457</v>
      </c>
      <c r="E1568" s="0" t="s">
        <v>4969</v>
      </c>
      <c r="F1568" s="0" t="s">
        <v>61</v>
      </c>
      <c r="G1568" s="0" t="s">
        <v>4970</v>
      </c>
      <c r="H1568" s="0" t="s">
        <v>5510</v>
      </c>
      <c r="I1568" s="0" t="s">
        <v>4972</v>
      </c>
      <c r="J1568" s="20" t="s">
        <v>25</v>
      </c>
    </row>
    <row r="1569" customFormat="false" ht="15" hidden="false" customHeight="false" outlineLevel="0" collapsed="false">
      <c r="A1569" s="0" t="s">
        <v>1417</v>
      </c>
      <c r="B1569" s="0" t="s">
        <v>3459</v>
      </c>
      <c r="C1569" s="0" t="s">
        <v>3450</v>
      </c>
      <c r="D1569" s="0" t="s">
        <v>3448</v>
      </c>
      <c r="E1569" s="0" t="s">
        <v>4963</v>
      </c>
      <c r="F1569" s="0" t="s">
        <v>59</v>
      </c>
      <c r="G1569" s="0" t="s">
        <v>4974</v>
      </c>
      <c r="H1569" s="0" t="s">
        <v>69</v>
      </c>
      <c r="I1569" s="0" t="s">
        <v>4975</v>
      </c>
      <c r="J1569" s="20" t="s">
        <v>25</v>
      </c>
    </row>
    <row r="1570" customFormat="false" ht="15" hidden="false" customHeight="false" outlineLevel="0" collapsed="false">
      <c r="A1570" s="0" t="s">
        <v>1417</v>
      </c>
      <c r="B1570" s="0" t="s">
        <v>3459</v>
      </c>
      <c r="C1570" s="0" t="s">
        <v>3450</v>
      </c>
      <c r="D1570" s="0" t="s">
        <v>3448</v>
      </c>
      <c r="E1570" s="0" t="s">
        <v>4969</v>
      </c>
      <c r="F1570" s="0" t="s">
        <v>61</v>
      </c>
      <c r="G1570" s="0" t="s">
        <v>4970</v>
      </c>
      <c r="H1570" s="0" t="s">
        <v>5511</v>
      </c>
      <c r="I1570" s="0" t="s">
        <v>4972</v>
      </c>
      <c r="J1570" s="20" t="s">
        <v>25</v>
      </c>
    </row>
    <row r="1571" customFormat="false" ht="15" hidden="false" customHeight="false" outlineLevel="0" collapsed="false">
      <c r="A1571" s="0" t="s">
        <v>1417</v>
      </c>
      <c r="B1571" s="0" t="s">
        <v>3459</v>
      </c>
      <c r="C1571" s="0" t="s">
        <v>3450</v>
      </c>
      <c r="D1571" s="0" t="s">
        <v>3448</v>
      </c>
      <c r="E1571" s="0" t="s">
        <v>4969</v>
      </c>
      <c r="F1571" s="0" t="s">
        <v>64</v>
      </c>
      <c r="G1571" s="0" t="s">
        <v>4220</v>
      </c>
      <c r="H1571" s="0" t="s">
        <v>5512</v>
      </c>
      <c r="I1571" s="0" t="s">
        <v>4991</v>
      </c>
      <c r="J1571" s="20" t="s">
        <v>25</v>
      </c>
    </row>
    <row r="1572" customFormat="false" ht="15" hidden="false" customHeight="false" outlineLevel="0" collapsed="false">
      <c r="A1572" s="0" t="s">
        <v>1417</v>
      </c>
      <c r="B1572" s="0" t="s">
        <v>3459</v>
      </c>
      <c r="C1572" s="0" t="s">
        <v>3447</v>
      </c>
      <c r="D1572" s="0" t="s">
        <v>3457</v>
      </c>
      <c r="E1572" s="0" t="s">
        <v>4969</v>
      </c>
      <c r="F1572" s="0" t="s">
        <v>61</v>
      </c>
      <c r="G1572" s="0" t="s">
        <v>4970</v>
      </c>
      <c r="H1572" s="0" t="s">
        <v>5513</v>
      </c>
      <c r="I1572" s="0" t="s">
        <v>4972</v>
      </c>
      <c r="J1572" s="20" t="s">
        <v>25</v>
      </c>
    </row>
    <row r="1573" customFormat="false" ht="15" hidden="false" customHeight="false" outlineLevel="0" collapsed="false">
      <c r="A1573" s="0" t="s">
        <v>1417</v>
      </c>
      <c r="B1573" s="0" t="s">
        <v>3459</v>
      </c>
      <c r="C1573" s="0" t="s">
        <v>3447</v>
      </c>
      <c r="D1573" s="0" t="s">
        <v>3448</v>
      </c>
      <c r="E1573" s="0" t="s">
        <v>4969</v>
      </c>
      <c r="F1573" s="0" t="s">
        <v>64</v>
      </c>
      <c r="G1573" s="0" t="s">
        <v>4220</v>
      </c>
      <c r="H1573" s="0" t="s">
        <v>5512</v>
      </c>
      <c r="I1573" s="0" t="s">
        <v>4991</v>
      </c>
      <c r="J1573" s="20" t="s">
        <v>25</v>
      </c>
    </row>
    <row r="1574" customFormat="false" ht="15" hidden="false" customHeight="false" outlineLevel="0" collapsed="false">
      <c r="A1574" s="0" t="s">
        <v>1417</v>
      </c>
      <c r="B1574" s="0" t="s">
        <v>134</v>
      </c>
      <c r="C1574" s="0" t="s">
        <v>3450</v>
      </c>
      <c r="D1574" s="0" t="s">
        <v>3457</v>
      </c>
      <c r="E1574" s="0" t="s">
        <v>4963</v>
      </c>
      <c r="F1574" s="0" t="s">
        <v>30</v>
      </c>
      <c r="G1574" s="0" t="s">
        <v>4980</v>
      </c>
      <c r="H1574" s="0" t="s">
        <v>4556</v>
      </c>
      <c r="I1574" s="0" t="s">
        <v>4981</v>
      </c>
      <c r="J1574" s="18" t="s">
        <v>24</v>
      </c>
    </row>
    <row r="1575" customFormat="false" ht="15" hidden="false" customHeight="false" outlineLevel="0" collapsed="false">
      <c r="A1575" s="0" t="s">
        <v>1417</v>
      </c>
      <c r="B1575" s="0" t="s">
        <v>3459</v>
      </c>
      <c r="C1575" s="0" t="s">
        <v>3450</v>
      </c>
      <c r="D1575" s="0" t="s">
        <v>3448</v>
      </c>
      <c r="E1575" s="0" t="s">
        <v>4963</v>
      </c>
      <c r="F1575" s="0" t="s">
        <v>30</v>
      </c>
      <c r="G1575" s="0" t="s">
        <v>4980</v>
      </c>
      <c r="H1575" s="0" t="s">
        <v>4573</v>
      </c>
      <c r="I1575" s="0" t="s">
        <v>4981</v>
      </c>
      <c r="J1575" s="18" t="s">
        <v>24</v>
      </c>
    </row>
    <row r="1576" customFormat="false" ht="15" hidden="false" customHeight="false" outlineLevel="0" collapsed="false">
      <c r="A1576" s="0" t="s">
        <v>1417</v>
      </c>
      <c r="B1576" s="0" t="s">
        <v>3459</v>
      </c>
      <c r="C1576" s="0" t="s">
        <v>3447</v>
      </c>
      <c r="D1576" s="0" t="s">
        <v>3457</v>
      </c>
      <c r="E1576" s="0" t="s">
        <v>4963</v>
      </c>
      <c r="F1576" s="0" t="s">
        <v>30</v>
      </c>
      <c r="G1576" s="0" t="s">
        <v>4980</v>
      </c>
      <c r="H1576" s="0" t="s">
        <v>4381</v>
      </c>
      <c r="I1576" s="0" t="s">
        <v>4981</v>
      </c>
      <c r="J1576" s="18" t="s">
        <v>24</v>
      </c>
    </row>
    <row r="1577" customFormat="false" ht="15" hidden="false" customHeight="false" outlineLevel="0" collapsed="false">
      <c r="A1577" s="0" t="s">
        <v>1417</v>
      </c>
      <c r="B1577" s="0" t="s">
        <v>3459</v>
      </c>
      <c r="C1577" s="0" t="s">
        <v>3447</v>
      </c>
      <c r="D1577" s="0" t="s">
        <v>3448</v>
      </c>
      <c r="E1577" s="0" t="s">
        <v>4963</v>
      </c>
      <c r="F1577" s="0" t="s">
        <v>30</v>
      </c>
      <c r="G1577" s="0" t="s">
        <v>4980</v>
      </c>
      <c r="H1577" s="0" t="s">
        <v>4574</v>
      </c>
      <c r="I1577" s="0" t="s">
        <v>4981</v>
      </c>
      <c r="J1577" s="18" t="s">
        <v>24</v>
      </c>
    </row>
    <row r="1578" customFormat="false" ht="15" hidden="false" customHeight="false" outlineLevel="0" collapsed="false">
      <c r="A1578" s="0" t="s">
        <v>1423</v>
      </c>
      <c r="B1578" s="0" t="s">
        <v>134</v>
      </c>
      <c r="C1578" s="0" t="s">
        <v>3450</v>
      </c>
      <c r="D1578" s="0" t="s">
        <v>3448</v>
      </c>
      <c r="E1578" s="0" t="s">
        <v>4963</v>
      </c>
      <c r="F1578" s="0" t="s">
        <v>59</v>
      </c>
      <c r="G1578" s="0" t="s">
        <v>4974</v>
      </c>
      <c r="H1578" s="0" t="s">
        <v>69</v>
      </c>
      <c r="I1578" s="0" t="s">
        <v>4975</v>
      </c>
      <c r="J1578" s="20" t="s">
        <v>25</v>
      </c>
    </row>
    <row r="1579" customFormat="false" ht="15" hidden="false" customHeight="false" outlineLevel="0" collapsed="false">
      <c r="A1579" s="0" t="s">
        <v>1423</v>
      </c>
      <c r="B1579" s="0" t="s">
        <v>134</v>
      </c>
      <c r="C1579" s="0" t="s">
        <v>3447</v>
      </c>
      <c r="D1579" s="0" t="s">
        <v>3448</v>
      </c>
      <c r="E1579" s="0" t="s">
        <v>4963</v>
      </c>
      <c r="F1579" s="0" t="s">
        <v>59</v>
      </c>
      <c r="G1579" s="0" t="s">
        <v>4974</v>
      </c>
      <c r="H1579" s="0" t="s">
        <v>69</v>
      </c>
      <c r="I1579" s="0" t="s">
        <v>4975</v>
      </c>
      <c r="J1579" s="20" t="s">
        <v>25</v>
      </c>
    </row>
    <row r="1580" customFormat="false" ht="15" hidden="false" customHeight="false" outlineLevel="0" collapsed="false">
      <c r="A1580" s="0" t="s">
        <v>1423</v>
      </c>
      <c r="B1580" s="0" t="s">
        <v>3459</v>
      </c>
      <c r="C1580" s="0" t="s">
        <v>3450</v>
      </c>
      <c r="D1580" s="0" t="s">
        <v>3457</v>
      </c>
      <c r="E1580" s="0" t="s">
        <v>4963</v>
      </c>
      <c r="F1580" s="0" t="s">
        <v>59</v>
      </c>
      <c r="G1580" s="0" t="s">
        <v>4974</v>
      </c>
      <c r="H1580" s="0" t="s">
        <v>69</v>
      </c>
      <c r="I1580" s="0" t="s">
        <v>4975</v>
      </c>
      <c r="J1580" s="20" t="s">
        <v>25</v>
      </c>
    </row>
    <row r="1581" customFormat="false" ht="15" hidden="false" customHeight="false" outlineLevel="0" collapsed="false">
      <c r="A1581" s="0" t="s">
        <v>1423</v>
      </c>
      <c r="B1581" s="0" t="s">
        <v>3459</v>
      </c>
      <c r="C1581" s="0" t="s">
        <v>3450</v>
      </c>
      <c r="D1581" s="0" t="s">
        <v>3448</v>
      </c>
      <c r="E1581" s="0" t="s">
        <v>4963</v>
      </c>
      <c r="F1581" s="0" t="s">
        <v>59</v>
      </c>
      <c r="G1581" s="0" t="s">
        <v>4974</v>
      </c>
      <c r="H1581" s="0" t="s">
        <v>69</v>
      </c>
      <c r="I1581" s="0" t="s">
        <v>4975</v>
      </c>
      <c r="J1581" s="20" t="s">
        <v>25</v>
      </c>
    </row>
    <row r="1582" customFormat="false" ht="15" hidden="false" customHeight="false" outlineLevel="0" collapsed="false">
      <c r="A1582" s="0" t="s">
        <v>1423</v>
      </c>
      <c r="B1582" s="0" t="s">
        <v>3459</v>
      </c>
      <c r="C1582" s="0" t="s">
        <v>3450</v>
      </c>
      <c r="D1582" s="0" t="s">
        <v>3448</v>
      </c>
      <c r="E1582" s="0" t="s">
        <v>4969</v>
      </c>
      <c r="F1582" s="0" t="s">
        <v>62</v>
      </c>
      <c r="G1582" s="0" t="s">
        <v>5003</v>
      </c>
      <c r="H1582" s="0" t="s">
        <v>5514</v>
      </c>
      <c r="I1582" s="0" t="s">
        <v>5005</v>
      </c>
      <c r="J1582" s="20" t="s">
        <v>25</v>
      </c>
    </row>
    <row r="1583" customFormat="false" ht="15" hidden="false" customHeight="false" outlineLevel="0" collapsed="false">
      <c r="A1583" s="0" t="s">
        <v>1423</v>
      </c>
      <c r="B1583" s="0" t="s">
        <v>3459</v>
      </c>
      <c r="C1583" s="0" t="s">
        <v>3447</v>
      </c>
      <c r="D1583" s="0" t="s">
        <v>3457</v>
      </c>
      <c r="E1583" s="0" t="s">
        <v>4963</v>
      </c>
      <c r="F1583" s="0" t="s">
        <v>59</v>
      </c>
      <c r="G1583" s="0" t="s">
        <v>4974</v>
      </c>
      <c r="H1583" s="0" t="s">
        <v>69</v>
      </c>
      <c r="I1583" s="0" t="s">
        <v>4975</v>
      </c>
      <c r="J1583" s="20" t="s">
        <v>25</v>
      </c>
    </row>
    <row r="1584" customFormat="false" ht="15" hidden="false" customHeight="false" outlineLevel="0" collapsed="false">
      <c r="A1584" s="0" t="s">
        <v>1423</v>
      </c>
      <c r="B1584" s="0" t="s">
        <v>3459</v>
      </c>
      <c r="C1584" s="0" t="s">
        <v>3447</v>
      </c>
      <c r="D1584" s="0" t="s">
        <v>3448</v>
      </c>
      <c r="E1584" s="0" t="s">
        <v>4963</v>
      </c>
      <c r="F1584" s="0" t="s">
        <v>59</v>
      </c>
      <c r="G1584" s="0" t="s">
        <v>4974</v>
      </c>
      <c r="H1584" s="0" t="s">
        <v>69</v>
      </c>
      <c r="I1584" s="0" t="s">
        <v>4975</v>
      </c>
      <c r="J1584" s="20" t="s">
        <v>25</v>
      </c>
    </row>
    <row r="1585" customFormat="false" ht="15" hidden="false" customHeight="false" outlineLevel="0" collapsed="false">
      <c r="A1585" s="0" t="s">
        <v>1423</v>
      </c>
      <c r="B1585" s="0" t="s">
        <v>134</v>
      </c>
      <c r="C1585" s="0" t="s">
        <v>3450</v>
      </c>
      <c r="D1585" s="0" t="s">
        <v>3448</v>
      </c>
      <c r="E1585" s="0" t="s">
        <v>4963</v>
      </c>
      <c r="F1585" s="0" t="s">
        <v>30</v>
      </c>
      <c r="G1585" s="0" t="s">
        <v>4980</v>
      </c>
      <c r="H1585" s="0" t="s">
        <v>4265</v>
      </c>
      <c r="I1585" s="0" t="s">
        <v>4981</v>
      </c>
      <c r="J1585" s="18" t="s">
        <v>24</v>
      </c>
    </row>
    <row r="1586" customFormat="false" ht="15" hidden="false" customHeight="false" outlineLevel="0" collapsed="false">
      <c r="A1586" s="0" t="s">
        <v>1423</v>
      </c>
      <c r="B1586" s="0" t="s">
        <v>134</v>
      </c>
      <c r="C1586" s="0" t="s">
        <v>3447</v>
      </c>
      <c r="D1586" s="0" t="s">
        <v>3448</v>
      </c>
      <c r="E1586" s="0" t="s">
        <v>4963</v>
      </c>
      <c r="F1586" s="0" t="s">
        <v>30</v>
      </c>
      <c r="G1586" s="0" t="s">
        <v>4980</v>
      </c>
      <c r="H1586" s="0" t="s">
        <v>4275</v>
      </c>
      <c r="I1586" s="0" t="s">
        <v>4981</v>
      </c>
      <c r="J1586" s="18" t="s">
        <v>24</v>
      </c>
    </row>
    <row r="1587" customFormat="false" ht="15" hidden="false" customHeight="false" outlineLevel="0" collapsed="false">
      <c r="A1587" s="0" t="s">
        <v>1423</v>
      </c>
      <c r="B1587" s="0" t="s">
        <v>3459</v>
      </c>
      <c r="C1587" s="0" t="s">
        <v>3450</v>
      </c>
      <c r="D1587" s="0" t="s">
        <v>3457</v>
      </c>
      <c r="E1587" s="0" t="s">
        <v>4963</v>
      </c>
      <c r="F1587" s="0" t="s">
        <v>30</v>
      </c>
      <c r="G1587" s="0" t="s">
        <v>4980</v>
      </c>
      <c r="H1587" s="0" t="s">
        <v>4275</v>
      </c>
      <c r="I1587" s="0" t="s">
        <v>4981</v>
      </c>
      <c r="J1587" s="18" t="s">
        <v>24</v>
      </c>
    </row>
    <row r="1588" customFormat="false" ht="15" hidden="false" customHeight="false" outlineLevel="0" collapsed="false">
      <c r="A1588" s="0" t="s">
        <v>1423</v>
      </c>
      <c r="B1588" s="0" t="s">
        <v>3459</v>
      </c>
      <c r="C1588" s="0" t="s">
        <v>3450</v>
      </c>
      <c r="D1588" s="0" t="s">
        <v>3448</v>
      </c>
      <c r="E1588" s="0" t="s">
        <v>4963</v>
      </c>
      <c r="F1588" s="0" t="s">
        <v>30</v>
      </c>
      <c r="G1588" s="0" t="s">
        <v>4980</v>
      </c>
      <c r="H1588" s="0" t="s">
        <v>4238</v>
      </c>
      <c r="I1588" s="0" t="s">
        <v>4981</v>
      </c>
      <c r="J1588" s="18" t="s">
        <v>24</v>
      </c>
    </row>
    <row r="1589" customFormat="false" ht="15" hidden="false" customHeight="false" outlineLevel="0" collapsed="false">
      <c r="A1589" s="0" t="s">
        <v>1423</v>
      </c>
      <c r="B1589" s="0" t="s">
        <v>3459</v>
      </c>
      <c r="C1589" s="0" t="s">
        <v>3447</v>
      </c>
      <c r="D1589" s="0" t="s">
        <v>3457</v>
      </c>
      <c r="E1589" s="0" t="s">
        <v>4963</v>
      </c>
      <c r="F1589" s="0" t="s">
        <v>30</v>
      </c>
      <c r="G1589" s="0" t="s">
        <v>4980</v>
      </c>
      <c r="H1589" s="0" t="s">
        <v>4265</v>
      </c>
      <c r="I1589" s="0" t="s">
        <v>4981</v>
      </c>
      <c r="J1589" s="18" t="s">
        <v>24</v>
      </c>
    </row>
    <row r="1590" customFormat="false" ht="15" hidden="false" customHeight="false" outlineLevel="0" collapsed="false">
      <c r="A1590" s="0" t="s">
        <v>1423</v>
      </c>
      <c r="B1590" s="0" t="s">
        <v>3459</v>
      </c>
      <c r="C1590" s="0" t="s">
        <v>3447</v>
      </c>
      <c r="D1590" s="0" t="s">
        <v>3448</v>
      </c>
      <c r="E1590" s="0" t="s">
        <v>4963</v>
      </c>
      <c r="F1590" s="0" t="s">
        <v>30</v>
      </c>
      <c r="G1590" s="0" t="s">
        <v>4980</v>
      </c>
      <c r="H1590" s="0" t="s">
        <v>4242</v>
      </c>
      <c r="I1590" s="0" t="s">
        <v>4981</v>
      </c>
      <c r="J1590" s="18" t="s">
        <v>24</v>
      </c>
    </row>
    <row r="1591" customFormat="false" ht="15" hidden="false" customHeight="false" outlineLevel="0" collapsed="false">
      <c r="A1591" s="0" t="s">
        <v>1429</v>
      </c>
      <c r="B1591" s="0" t="s">
        <v>134</v>
      </c>
      <c r="C1591" s="0" t="s">
        <v>3450</v>
      </c>
      <c r="D1591" s="0" t="s">
        <v>3457</v>
      </c>
      <c r="E1591" s="0" t="s">
        <v>4963</v>
      </c>
      <c r="F1591" s="0" t="s">
        <v>59</v>
      </c>
      <c r="G1591" s="0" t="s">
        <v>4974</v>
      </c>
      <c r="H1591" s="0" t="s">
        <v>69</v>
      </c>
      <c r="I1591" s="0" t="s">
        <v>4975</v>
      </c>
      <c r="J1591" s="20" t="s">
        <v>25</v>
      </c>
    </row>
    <row r="1592" customFormat="false" ht="15" hidden="false" customHeight="false" outlineLevel="0" collapsed="false">
      <c r="A1592" s="0" t="s">
        <v>1429</v>
      </c>
      <c r="B1592" s="0" t="s">
        <v>134</v>
      </c>
      <c r="C1592" s="0" t="s">
        <v>3450</v>
      </c>
      <c r="D1592" s="0" t="s">
        <v>3448</v>
      </c>
      <c r="E1592" s="0" t="s">
        <v>4963</v>
      </c>
      <c r="F1592" s="0" t="s">
        <v>59</v>
      </c>
      <c r="G1592" s="0" t="s">
        <v>4974</v>
      </c>
      <c r="H1592" s="0" t="s">
        <v>69</v>
      </c>
      <c r="I1592" s="0" t="s">
        <v>4975</v>
      </c>
      <c r="J1592" s="20" t="s">
        <v>25</v>
      </c>
    </row>
    <row r="1593" customFormat="false" ht="15" hidden="false" customHeight="false" outlineLevel="0" collapsed="false">
      <c r="A1593" s="0" t="s">
        <v>1429</v>
      </c>
      <c r="B1593" s="0" t="s">
        <v>134</v>
      </c>
      <c r="C1593" s="0" t="s">
        <v>3450</v>
      </c>
      <c r="D1593" s="0" t="s">
        <v>3448</v>
      </c>
      <c r="E1593" s="0" t="s">
        <v>4969</v>
      </c>
      <c r="F1593" s="0" t="s">
        <v>64</v>
      </c>
      <c r="G1593" s="0" t="s">
        <v>4220</v>
      </c>
      <c r="H1593" s="0" t="s">
        <v>5515</v>
      </c>
      <c r="I1593" s="0" t="s">
        <v>4991</v>
      </c>
      <c r="J1593" s="20" t="s">
        <v>25</v>
      </c>
    </row>
    <row r="1594" customFormat="false" ht="15" hidden="false" customHeight="false" outlineLevel="0" collapsed="false">
      <c r="A1594" s="0" t="s">
        <v>1429</v>
      </c>
      <c r="B1594" s="0" t="s">
        <v>134</v>
      </c>
      <c r="C1594" s="0" t="s">
        <v>3447</v>
      </c>
      <c r="D1594" s="0" t="s">
        <v>3448</v>
      </c>
      <c r="E1594" s="0" t="s">
        <v>4969</v>
      </c>
      <c r="F1594" s="0" t="s">
        <v>64</v>
      </c>
      <c r="G1594" s="0" t="s">
        <v>4220</v>
      </c>
      <c r="H1594" s="0" t="s">
        <v>5515</v>
      </c>
      <c r="I1594" s="0" t="s">
        <v>4991</v>
      </c>
      <c r="J1594" s="20" t="s">
        <v>25</v>
      </c>
    </row>
    <row r="1595" customFormat="false" ht="15" hidden="false" customHeight="false" outlineLevel="0" collapsed="false">
      <c r="A1595" s="0" t="s">
        <v>1429</v>
      </c>
      <c r="B1595" s="0" t="s">
        <v>134</v>
      </c>
      <c r="C1595" s="0" t="s">
        <v>3450</v>
      </c>
      <c r="D1595" s="0" t="s">
        <v>3457</v>
      </c>
      <c r="E1595" s="0" t="s">
        <v>4963</v>
      </c>
      <c r="F1595" s="0" t="s">
        <v>30</v>
      </c>
      <c r="G1595" s="0" t="s">
        <v>4980</v>
      </c>
      <c r="H1595" s="0" t="s">
        <v>4575</v>
      </c>
      <c r="I1595" s="0" t="s">
        <v>4981</v>
      </c>
      <c r="J1595" s="18" t="s">
        <v>24</v>
      </c>
    </row>
    <row r="1596" customFormat="false" ht="15" hidden="false" customHeight="false" outlineLevel="0" collapsed="false">
      <c r="A1596" s="0" t="s">
        <v>1429</v>
      </c>
      <c r="B1596" s="0" t="s">
        <v>134</v>
      </c>
      <c r="C1596" s="0" t="s">
        <v>3450</v>
      </c>
      <c r="D1596" s="0" t="s">
        <v>3448</v>
      </c>
      <c r="E1596" s="0" t="s">
        <v>4963</v>
      </c>
      <c r="F1596" s="0" t="s">
        <v>30</v>
      </c>
      <c r="G1596" s="0" t="s">
        <v>4980</v>
      </c>
      <c r="H1596" s="0" t="s">
        <v>4576</v>
      </c>
      <c r="I1596" s="0" t="s">
        <v>4981</v>
      </c>
      <c r="J1596" s="18" t="s">
        <v>24</v>
      </c>
    </row>
    <row r="1597" customFormat="false" ht="15" hidden="false" customHeight="false" outlineLevel="0" collapsed="false">
      <c r="A1597" s="0" t="s">
        <v>1429</v>
      </c>
      <c r="B1597" s="0" t="s">
        <v>134</v>
      </c>
      <c r="C1597" s="0" t="s">
        <v>3447</v>
      </c>
      <c r="D1597" s="0" t="s">
        <v>3457</v>
      </c>
      <c r="E1597" s="0" t="s">
        <v>4963</v>
      </c>
      <c r="F1597" s="0" t="s">
        <v>30</v>
      </c>
      <c r="G1597" s="0" t="s">
        <v>4980</v>
      </c>
      <c r="H1597" s="0" t="s">
        <v>4550</v>
      </c>
      <c r="I1597" s="0" t="s">
        <v>4981</v>
      </c>
      <c r="J1597" s="18" t="s">
        <v>24</v>
      </c>
    </row>
    <row r="1598" customFormat="false" ht="15" hidden="false" customHeight="false" outlineLevel="0" collapsed="false">
      <c r="A1598" s="0" t="s">
        <v>1429</v>
      </c>
      <c r="B1598" s="0" t="s">
        <v>134</v>
      </c>
      <c r="C1598" s="0" t="s">
        <v>3447</v>
      </c>
      <c r="D1598" s="0" t="s">
        <v>3448</v>
      </c>
      <c r="E1598" s="0" t="s">
        <v>4963</v>
      </c>
      <c r="F1598" s="0" t="s">
        <v>30</v>
      </c>
      <c r="G1598" s="0" t="s">
        <v>4980</v>
      </c>
      <c r="H1598" s="0" t="s">
        <v>4304</v>
      </c>
      <c r="I1598" s="0" t="s">
        <v>4981</v>
      </c>
      <c r="J1598" s="18" t="s">
        <v>24</v>
      </c>
    </row>
    <row r="1599" customFormat="false" ht="15" hidden="false" customHeight="false" outlineLevel="0" collapsed="false">
      <c r="A1599" s="0" t="s">
        <v>1443</v>
      </c>
      <c r="B1599" s="0" t="s">
        <v>3459</v>
      </c>
      <c r="C1599" s="0" t="s">
        <v>3450</v>
      </c>
      <c r="D1599" s="0" t="s">
        <v>3457</v>
      </c>
      <c r="E1599" s="0" t="s">
        <v>4963</v>
      </c>
      <c r="F1599" s="0" t="s">
        <v>60</v>
      </c>
      <c r="G1599" s="0" t="s">
        <v>4964</v>
      </c>
      <c r="H1599" s="0" t="s">
        <v>5516</v>
      </c>
      <c r="I1599" s="0" t="s">
        <v>4966</v>
      </c>
      <c r="J1599" s="19" t="s">
        <v>26</v>
      </c>
    </row>
    <row r="1600" customFormat="false" ht="15" hidden="false" customHeight="false" outlineLevel="0" collapsed="false">
      <c r="A1600" s="0" t="s">
        <v>1443</v>
      </c>
      <c r="B1600" s="0" t="s">
        <v>134</v>
      </c>
      <c r="C1600" s="0" t="s">
        <v>3450</v>
      </c>
      <c r="D1600" s="0" t="s">
        <v>3457</v>
      </c>
      <c r="E1600" s="0" t="s">
        <v>4963</v>
      </c>
      <c r="F1600" s="0" t="s">
        <v>59</v>
      </c>
      <c r="G1600" s="0" t="s">
        <v>4974</v>
      </c>
      <c r="H1600" s="0" t="s">
        <v>69</v>
      </c>
      <c r="I1600" s="0" t="s">
        <v>4975</v>
      </c>
      <c r="J1600" s="20" t="s">
        <v>25</v>
      </c>
    </row>
    <row r="1601" customFormat="false" ht="15" hidden="false" customHeight="false" outlineLevel="0" collapsed="false">
      <c r="A1601" s="0" t="s">
        <v>1443</v>
      </c>
      <c r="B1601" s="0" t="s">
        <v>134</v>
      </c>
      <c r="C1601" s="0" t="s">
        <v>3450</v>
      </c>
      <c r="D1601" s="0" t="s">
        <v>3448</v>
      </c>
      <c r="E1601" s="0" t="s">
        <v>4969</v>
      </c>
      <c r="F1601" s="0" t="s">
        <v>64</v>
      </c>
      <c r="G1601" s="0" t="s">
        <v>4220</v>
      </c>
      <c r="H1601" s="0" t="s">
        <v>5517</v>
      </c>
      <c r="I1601" s="0" t="s">
        <v>4991</v>
      </c>
      <c r="J1601" s="20" t="s">
        <v>25</v>
      </c>
    </row>
    <row r="1602" customFormat="false" ht="15" hidden="false" customHeight="false" outlineLevel="0" collapsed="false">
      <c r="A1602" s="0" t="s">
        <v>1443</v>
      </c>
      <c r="B1602" s="0" t="s">
        <v>134</v>
      </c>
      <c r="C1602" s="0" t="s">
        <v>3447</v>
      </c>
      <c r="D1602" s="0" t="s">
        <v>3448</v>
      </c>
      <c r="E1602" s="0" t="s">
        <v>4963</v>
      </c>
      <c r="F1602" s="0" t="s">
        <v>59</v>
      </c>
      <c r="G1602" s="0" t="s">
        <v>4974</v>
      </c>
      <c r="H1602" s="0" t="s">
        <v>69</v>
      </c>
      <c r="I1602" s="0" t="s">
        <v>4975</v>
      </c>
      <c r="J1602" s="20" t="s">
        <v>25</v>
      </c>
    </row>
    <row r="1603" customFormat="false" ht="15" hidden="false" customHeight="false" outlineLevel="0" collapsed="false">
      <c r="A1603" s="0" t="s">
        <v>1443</v>
      </c>
      <c r="B1603" s="0" t="s">
        <v>134</v>
      </c>
      <c r="C1603" s="0" t="s">
        <v>3447</v>
      </c>
      <c r="D1603" s="0" t="s">
        <v>3448</v>
      </c>
      <c r="E1603" s="0" t="s">
        <v>4969</v>
      </c>
      <c r="F1603" s="0" t="s">
        <v>64</v>
      </c>
      <c r="G1603" s="0" t="s">
        <v>4220</v>
      </c>
      <c r="H1603" s="0" t="s">
        <v>5517</v>
      </c>
      <c r="I1603" s="0" t="s">
        <v>4991</v>
      </c>
      <c r="J1603" s="20" t="s">
        <v>25</v>
      </c>
    </row>
    <row r="1604" customFormat="false" ht="15" hidden="false" customHeight="false" outlineLevel="0" collapsed="false">
      <c r="A1604" s="0" t="s">
        <v>1443</v>
      </c>
      <c r="B1604" s="0" t="s">
        <v>3459</v>
      </c>
      <c r="C1604" s="0" t="s">
        <v>3450</v>
      </c>
      <c r="D1604" s="0" t="s">
        <v>3457</v>
      </c>
      <c r="E1604" s="0" t="s">
        <v>4963</v>
      </c>
      <c r="F1604" s="0" t="s">
        <v>59</v>
      </c>
      <c r="G1604" s="0" t="s">
        <v>4974</v>
      </c>
      <c r="H1604" s="0" t="s">
        <v>69</v>
      </c>
      <c r="I1604" s="0" t="s">
        <v>4975</v>
      </c>
      <c r="J1604" s="20" t="s">
        <v>25</v>
      </c>
    </row>
    <row r="1605" customFormat="false" ht="15" hidden="false" customHeight="false" outlineLevel="0" collapsed="false">
      <c r="A1605" s="0" t="s">
        <v>1443</v>
      </c>
      <c r="B1605" s="0" t="s">
        <v>3459</v>
      </c>
      <c r="C1605" s="0" t="s">
        <v>3450</v>
      </c>
      <c r="D1605" s="0" t="s">
        <v>3448</v>
      </c>
      <c r="E1605" s="0" t="s">
        <v>4963</v>
      </c>
      <c r="F1605" s="0" t="s">
        <v>59</v>
      </c>
      <c r="G1605" s="0" t="s">
        <v>4974</v>
      </c>
      <c r="H1605" s="0" t="s">
        <v>69</v>
      </c>
      <c r="I1605" s="0" t="s">
        <v>4975</v>
      </c>
      <c r="J1605" s="20" t="s">
        <v>25</v>
      </c>
    </row>
    <row r="1606" customFormat="false" ht="15" hidden="false" customHeight="false" outlineLevel="0" collapsed="false">
      <c r="A1606" s="0" t="s">
        <v>1443</v>
      </c>
      <c r="B1606" s="0" t="s">
        <v>3459</v>
      </c>
      <c r="C1606" s="0" t="s">
        <v>3450</v>
      </c>
      <c r="D1606" s="0" t="s">
        <v>3448</v>
      </c>
      <c r="E1606" s="0" t="s">
        <v>4969</v>
      </c>
      <c r="F1606" s="0" t="s">
        <v>61</v>
      </c>
      <c r="G1606" s="0" t="s">
        <v>4970</v>
      </c>
      <c r="H1606" s="0" t="s">
        <v>5518</v>
      </c>
      <c r="I1606" s="0" t="s">
        <v>4972</v>
      </c>
      <c r="J1606" s="20" t="s">
        <v>25</v>
      </c>
    </row>
    <row r="1607" customFormat="false" ht="15" hidden="false" customHeight="false" outlineLevel="0" collapsed="false">
      <c r="A1607" s="0" t="s">
        <v>1443</v>
      </c>
      <c r="B1607" s="0" t="s">
        <v>3459</v>
      </c>
      <c r="C1607" s="0" t="s">
        <v>3447</v>
      </c>
      <c r="D1607" s="0" t="s">
        <v>3457</v>
      </c>
      <c r="E1607" s="0" t="s">
        <v>4969</v>
      </c>
      <c r="F1607" s="0" t="s">
        <v>61</v>
      </c>
      <c r="G1607" s="0" t="s">
        <v>4970</v>
      </c>
      <c r="H1607" s="0" t="s">
        <v>5519</v>
      </c>
      <c r="I1607" s="0" t="s">
        <v>4972</v>
      </c>
      <c r="J1607" s="20" t="s">
        <v>25</v>
      </c>
    </row>
    <row r="1608" customFormat="false" ht="15" hidden="false" customHeight="false" outlineLevel="0" collapsed="false">
      <c r="A1608" s="0" t="s">
        <v>1443</v>
      </c>
      <c r="B1608" s="0" t="s">
        <v>3459</v>
      </c>
      <c r="C1608" s="0" t="s">
        <v>3447</v>
      </c>
      <c r="D1608" s="0" t="s">
        <v>3448</v>
      </c>
      <c r="E1608" s="0" t="s">
        <v>4969</v>
      </c>
      <c r="F1608" s="0" t="s">
        <v>61</v>
      </c>
      <c r="G1608" s="0" t="s">
        <v>4970</v>
      </c>
      <c r="H1608" s="0" t="s">
        <v>5520</v>
      </c>
      <c r="I1608" s="0" t="s">
        <v>4972</v>
      </c>
      <c r="J1608" s="20" t="s">
        <v>25</v>
      </c>
    </row>
    <row r="1609" customFormat="false" ht="15" hidden="false" customHeight="false" outlineLevel="0" collapsed="false">
      <c r="A1609" s="0" t="s">
        <v>1443</v>
      </c>
      <c r="B1609" s="0" t="s">
        <v>134</v>
      </c>
      <c r="C1609" s="0" t="s">
        <v>3450</v>
      </c>
      <c r="D1609" s="0" t="s">
        <v>3457</v>
      </c>
      <c r="E1609" s="0" t="s">
        <v>4963</v>
      </c>
      <c r="F1609" s="0" t="s">
        <v>30</v>
      </c>
      <c r="G1609" s="0" t="s">
        <v>4980</v>
      </c>
      <c r="H1609" s="0" t="s">
        <v>4275</v>
      </c>
      <c r="I1609" s="0" t="s">
        <v>4981</v>
      </c>
      <c r="J1609" s="18" t="s">
        <v>24</v>
      </c>
    </row>
    <row r="1610" customFormat="false" ht="15" hidden="false" customHeight="false" outlineLevel="0" collapsed="false">
      <c r="A1610" s="0" t="s">
        <v>1443</v>
      </c>
      <c r="B1610" s="0" t="s">
        <v>134</v>
      </c>
      <c r="C1610" s="0" t="s">
        <v>3447</v>
      </c>
      <c r="D1610" s="0" t="s">
        <v>3448</v>
      </c>
      <c r="E1610" s="0" t="s">
        <v>4963</v>
      </c>
      <c r="F1610" s="0" t="s">
        <v>30</v>
      </c>
      <c r="G1610" s="0" t="s">
        <v>4980</v>
      </c>
      <c r="H1610" s="0" t="s">
        <v>4238</v>
      </c>
      <c r="I1610" s="0" t="s">
        <v>4981</v>
      </c>
      <c r="J1610" s="18" t="s">
        <v>24</v>
      </c>
    </row>
    <row r="1611" customFormat="false" ht="15" hidden="false" customHeight="false" outlineLevel="0" collapsed="false">
      <c r="A1611" s="0" t="s">
        <v>1443</v>
      </c>
      <c r="B1611" s="0" t="s">
        <v>3459</v>
      </c>
      <c r="C1611" s="0" t="s">
        <v>3450</v>
      </c>
      <c r="D1611" s="0" t="s">
        <v>3448</v>
      </c>
      <c r="E1611" s="0" t="s">
        <v>4963</v>
      </c>
      <c r="F1611" s="0" t="s">
        <v>30</v>
      </c>
      <c r="G1611" s="0" t="s">
        <v>4980</v>
      </c>
      <c r="H1611" s="0" t="s">
        <v>4578</v>
      </c>
      <c r="I1611" s="0" t="s">
        <v>4981</v>
      </c>
      <c r="J1611" s="18" t="s">
        <v>24</v>
      </c>
    </row>
    <row r="1612" customFormat="false" ht="15" hidden="false" customHeight="false" outlineLevel="0" collapsed="false">
      <c r="A1612" s="0" t="s">
        <v>1448</v>
      </c>
      <c r="B1612" s="0" t="s">
        <v>134</v>
      </c>
      <c r="C1612" s="0" t="s">
        <v>3447</v>
      </c>
      <c r="D1612" s="0" t="s">
        <v>3457</v>
      </c>
      <c r="E1612" s="0" t="s">
        <v>4963</v>
      </c>
      <c r="F1612" s="0" t="s">
        <v>60</v>
      </c>
      <c r="G1612" s="0" t="s">
        <v>4964</v>
      </c>
      <c r="H1612" s="0" t="s">
        <v>5516</v>
      </c>
      <c r="I1612" s="0" t="s">
        <v>4966</v>
      </c>
      <c r="J1612" s="19" t="s">
        <v>26</v>
      </c>
    </row>
    <row r="1613" customFormat="false" ht="15" hidden="false" customHeight="false" outlineLevel="0" collapsed="false">
      <c r="A1613" s="0" t="s">
        <v>1448</v>
      </c>
      <c r="B1613" s="0" t="s">
        <v>134</v>
      </c>
      <c r="C1613" s="0" t="s">
        <v>3447</v>
      </c>
      <c r="D1613" s="0" t="s">
        <v>3448</v>
      </c>
      <c r="E1613" s="0" t="s">
        <v>4963</v>
      </c>
      <c r="F1613" s="0" t="s">
        <v>60</v>
      </c>
      <c r="G1613" s="0" t="s">
        <v>4964</v>
      </c>
      <c r="H1613" s="0" t="s">
        <v>5516</v>
      </c>
      <c r="I1613" s="0" t="s">
        <v>4966</v>
      </c>
      <c r="J1613" s="19" t="s">
        <v>26</v>
      </c>
    </row>
    <row r="1614" customFormat="false" ht="15" hidden="false" customHeight="false" outlineLevel="0" collapsed="false">
      <c r="A1614" s="0" t="s">
        <v>1448</v>
      </c>
      <c r="B1614" s="0" t="s">
        <v>134</v>
      </c>
      <c r="C1614" s="0" t="s">
        <v>3450</v>
      </c>
      <c r="D1614" s="0" t="s">
        <v>3448</v>
      </c>
      <c r="E1614" s="0" t="s">
        <v>4969</v>
      </c>
      <c r="F1614" s="0" t="s">
        <v>63</v>
      </c>
      <c r="G1614" s="0" t="s">
        <v>4220</v>
      </c>
      <c r="H1614" s="0" t="s">
        <v>5521</v>
      </c>
      <c r="I1614" s="0" t="s">
        <v>4979</v>
      </c>
      <c r="J1614" s="20" t="s">
        <v>25</v>
      </c>
    </row>
    <row r="1615" customFormat="false" ht="15" hidden="false" customHeight="false" outlineLevel="0" collapsed="false">
      <c r="A1615" s="0" t="s">
        <v>1448</v>
      </c>
      <c r="B1615" s="0" t="s">
        <v>134</v>
      </c>
      <c r="C1615" s="0" t="s">
        <v>3447</v>
      </c>
      <c r="D1615" s="0" t="s">
        <v>3457</v>
      </c>
      <c r="E1615" s="0" t="s">
        <v>4963</v>
      </c>
      <c r="F1615" s="0" t="s">
        <v>59</v>
      </c>
      <c r="G1615" s="0" t="s">
        <v>4974</v>
      </c>
      <c r="H1615" s="0" t="s">
        <v>69</v>
      </c>
      <c r="I1615" s="0" t="s">
        <v>4975</v>
      </c>
      <c r="J1615" s="20" t="s">
        <v>25</v>
      </c>
    </row>
    <row r="1616" customFormat="false" ht="15" hidden="false" customHeight="false" outlineLevel="0" collapsed="false">
      <c r="A1616" s="0" t="s">
        <v>1448</v>
      </c>
      <c r="B1616" s="0" t="s">
        <v>134</v>
      </c>
      <c r="C1616" s="0" t="s">
        <v>3447</v>
      </c>
      <c r="D1616" s="0" t="s">
        <v>3448</v>
      </c>
      <c r="E1616" s="0" t="s">
        <v>4963</v>
      </c>
      <c r="F1616" s="0" t="s">
        <v>59</v>
      </c>
      <c r="G1616" s="0" t="s">
        <v>4974</v>
      </c>
      <c r="H1616" s="0" t="s">
        <v>69</v>
      </c>
      <c r="I1616" s="0" t="s">
        <v>4975</v>
      </c>
      <c r="J1616" s="20" t="s">
        <v>25</v>
      </c>
    </row>
    <row r="1617" customFormat="false" ht="15" hidden="false" customHeight="false" outlineLevel="0" collapsed="false">
      <c r="A1617" s="0" t="s">
        <v>1448</v>
      </c>
      <c r="B1617" s="0" t="s">
        <v>134</v>
      </c>
      <c r="C1617" s="0" t="s">
        <v>3447</v>
      </c>
      <c r="D1617" s="0" t="s">
        <v>3448</v>
      </c>
      <c r="E1617" s="0" t="s">
        <v>4969</v>
      </c>
      <c r="F1617" s="0" t="s">
        <v>63</v>
      </c>
      <c r="G1617" s="0" t="s">
        <v>4220</v>
      </c>
      <c r="H1617" s="0" t="s">
        <v>5521</v>
      </c>
      <c r="I1617" s="0" t="s">
        <v>4979</v>
      </c>
      <c r="J1617" s="20" t="s">
        <v>25</v>
      </c>
    </row>
    <row r="1618" customFormat="false" ht="15" hidden="false" customHeight="false" outlineLevel="0" collapsed="false">
      <c r="A1618" s="0" t="s">
        <v>1458</v>
      </c>
      <c r="B1618" s="0" t="s">
        <v>134</v>
      </c>
      <c r="C1618" s="0" t="s">
        <v>3450</v>
      </c>
      <c r="D1618" s="0" t="s">
        <v>3457</v>
      </c>
      <c r="E1618" s="0" t="s">
        <v>4963</v>
      </c>
      <c r="F1618" s="0" t="s">
        <v>65</v>
      </c>
      <c r="G1618" s="0" t="s">
        <v>4997</v>
      </c>
      <c r="H1618" s="0" t="s">
        <v>3871</v>
      </c>
      <c r="I1618" s="0" t="s">
        <v>4998</v>
      </c>
      <c r="J1618" s="19" t="s">
        <v>26</v>
      </c>
    </row>
    <row r="1619" customFormat="false" ht="15" hidden="false" customHeight="false" outlineLevel="0" collapsed="false">
      <c r="A1619" s="0" t="s">
        <v>1458</v>
      </c>
      <c r="B1619" s="0" t="s">
        <v>134</v>
      </c>
      <c r="C1619" s="0" t="s">
        <v>3450</v>
      </c>
      <c r="D1619" s="0" t="s">
        <v>3448</v>
      </c>
      <c r="E1619" s="0" t="s">
        <v>4963</v>
      </c>
      <c r="F1619" s="0" t="s">
        <v>65</v>
      </c>
      <c r="G1619" s="0" t="s">
        <v>4997</v>
      </c>
      <c r="H1619" s="0" t="s">
        <v>3871</v>
      </c>
      <c r="I1619" s="0" t="s">
        <v>4998</v>
      </c>
      <c r="J1619" s="19" t="s">
        <v>26</v>
      </c>
    </row>
    <row r="1620" customFormat="false" ht="15" hidden="false" customHeight="false" outlineLevel="0" collapsed="false">
      <c r="A1620" s="0" t="s">
        <v>1458</v>
      </c>
      <c r="B1620" s="0" t="s">
        <v>134</v>
      </c>
      <c r="C1620" s="0" t="s">
        <v>3447</v>
      </c>
      <c r="D1620" s="0" t="s">
        <v>3448</v>
      </c>
      <c r="E1620" s="0" t="s">
        <v>4963</v>
      </c>
      <c r="F1620" s="0" t="s">
        <v>65</v>
      </c>
      <c r="G1620" s="0" t="s">
        <v>4997</v>
      </c>
      <c r="H1620" s="0" t="s">
        <v>3871</v>
      </c>
      <c r="I1620" s="0" t="s">
        <v>4998</v>
      </c>
      <c r="J1620" s="19" t="s">
        <v>26</v>
      </c>
    </row>
    <row r="1621" customFormat="false" ht="15" hidden="false" customHeight="false" outlineLevel="0" collapsed="false">
      <c r="A1621" s="0" t="s">
        <v>1458</v>
      </c>
      <c r="B1621" s="0" t="s">
        <v>134</v>
      </c>
      <c r="C1621" s="0" t="s">
        <v>3450</v>
      </c>
      <c r="D1621" s="0" t="s">
        <v>3457</v>
      </c>
      <c r="E1621" s="0" t="s">
        <v>4969</v>
      </c>
      <c r="F1621" s="0" t="s">
        <v>61</v>
      </c>
      <c r="G1621" s="0" t="s">
        <v>4970</v>
      </c>
      <c r="H1621" s="0" t="s">
        <v>5522</v>
      </c>
      <c r="I1621" s="0" t="s">
        <v>4972</v>
      </c>
      <c r="J1621" s="20" t="s">
        <v>25</v>
      </c>
    </row>
    <row r="1622" customFormat="false" ht="15" hidden="false" customHeight="false" outlineLevel="0" collapsed="false">
      <c r="A1622" s="0" t="s">
        <v>1458</v>
      </c>
      <c r="B1622" s="0" t="s">
        <v>134</v>
      </c>
      <c r="C1622" s="0" t="s">
        <v>3450</v>
      </c>
      <c r="D1622" s="0" t="s">
        <v>3457</v>
      </c>
      <c r="E1622" s="0" t="s">
        <v>4969</v>
      </c>
      <c r="F1622" s="0" t="s">
        <v>64</v>
      </c>
      <c r="G1622" s="0" t="s">
        <v>4220</v>
      </c>
      <c r="H1622" s="0" t="s">
        <v>5523</v>
      </c>
      <c r="I1622" s="0" t="s">
        <v>4991</v>
      </c>
      <c r="J1622" s="20" t="s">
        <v>25</v>
      </c>
    </row>
    <row r="1623" customFormat="false" ht="15" hidden="false" customHeight="false" outlineLevel="0" collapsed="false">
      <c r="A1623" s="0" t="s">
        <v>1458</v>
      </c>
      <c r="B1623" s="0" t="s">
        <v>134</v>
      </c>
      <c r="C1623" s="0" t="s">
        <v>3447</v>
      </c>
      <c r="D1623" s="0" t="s">
        <v>3457</v>
      </c>
      <c r="E1623" s="0" t="s">
        <v>4963</v>
      </c>
      <c r="F1623" s="0" t="s">
        <v>59</v>
      </c>
      <c r="G1623" s="0" t="s">
        <v>4974</v>
      </c>
      <c r="H1623" s="0" t="s">
        <v>70</v>
      </c>
      <c r="I1623" s="0" t="s">
        <v>4975</v>
      </c>
      <c r="J1623" s="20" t="s">
        <v>25</v>
      </c>
    </row>
    <row r="1624" customFormat="false" ht="15" hidden="false" customHeight="false" outlineLevel="0" collapsed="false">
      <c r="A1624" s="0" t="s">
        <v>1458</v>
      </c>
      <c r="B1624" s="0" t="s">
        <v>134</v>
      </c>
      <c r="C1624" s="0" t="s">
        <v>3447</v>
      </c>
      <c r="D1624" s="0" t="s">
        <v>3457</v>
      </c>
      <c r="E1624" s="0" t="s">
        <v>4969</v>
      </c>
      <c r="F1624" s="0" t="s">
        <v>64</v>
      </c>
      <c r="G1624" s="0" t="s">
        <v>4220</v>
      </c>
      <c r="H1624" s="0" t="s">
        <v>5523</v>
      </c>
      <c r="I1624" s="0" t="s">
        <v>4991</v>
      </c>
      <c r="J1624" s="20" t="s">
        <v>25</v>
      </c>
    </row>
    <row r="1625" customFormat="false" ht="15" hidden="false" customHeight="false" outlineLevel="0" collapsed="false">
      <c r="A1625" s="0" t="s">
        <v>1458</v>
      </c>
      <c r="B1625" s="0" t="s">
        <v>3459</v>
      </c>
      <c r="C1625" s="0" t="s">
        <v>3450</v>
      </c>
      <c r="D1625" s="0" t="s">
        <v>3457</v>
      </c>
      <c r="E1625" s="0" t="s">
        <v>4963</v>
      </c>
      <c r="F1625" s="0" t="s">
        <v>59</v>
      </c>
      <c r="G1625" s="0" t="s">
        <v>4974</v>
      </c>
      <c r="H1625" s="0" t="s">
        <v>69</v>
      </c>
      <c r="I1625" s="0" t="s">
        <v>4975</v>
      </c>
      <c r="J1625" s="20" t="s">
        <v>25</v>
      </c>
    </row>
    <row r="1626" customFormat="false" ht="15" hidden="false" customHeight="false" outlineLevel="0" collapsed="false">
      <c r="A1626" s="0" t="s">
        <v>1458</v>
      </c>
      <c r="B1626" s="0" t="s">
        <v>3459</v>
      </c>
      <c r="C1626" s="0" t="s">
        <v>3450</v>
      </c>
      <c r="D1626" s="0" t="s">
        <v>3448</v>
      </c>
      <c r="E1626" s="0" t="s">
        <v>4963</v>
      </c>
      <c r="F1626" s="0" t="s">
        <v>59</v>
      </c>
      <c r="G1626" s="0" t="s">
        <v>4974</v>
      </c>
      <c r="H1626" s="0" t="s">
        <v>69</v>
      </c>
      <c r="I1626" s="0" t="s">
        <v>4975</v>
      </c>
      <c r="J1626" s="20" t="s">
        <v>25</v>
      </c>
    </row>
    <row r="1627" customFormat="false" ht="15" hidden="false" customHeight="false" outlineLevel="0" collapsed="false">
      <c r="A1627" s="0" t="s">
        <v>1458</v>
      </c>
      <c r="B1627" s="0" t="s">
        <v>3459</v>
      </c>
      <c r="C1627" s="0" t="s">
        <v>3447</v>
      </c>
      <c r="D1627" s="0" t="s">
        <v>3457</v>
      </c>
      <c r="E1627" s="0" t="s">
        <v>4963</v>
      </c>
      <c r="F1627" s="0" t="s">
        <v>59</v>
      </c>
      <c r="G1627" s="0" t="s">
        <v>4974</v>
      </c>
      <c r="H1627" s="0" t="s">
        <v>69</v>
      </c>
      <c r="I1627" s="0" t="s">
        <v>4975</v>
      </c>
      <c r="J1627" s="20" t="s">
        <v>25</v>
      </c>
    </row>
    <row r="1628" customFormat="false" ht="15" hidden="false" customHeight="false" outlineLevel="0" collapsed="false">
      <c r="A1628" s="0" t="s">
        <v>1458</v>
      </c>
      <c r="B1628" s="0" t="s">
        <v>3459</v>
      </c>
      <c r="C1628" s="0" t="s">
        <v>3447</v>
      </c>
      <c r="D1628" s="0" t="s">
        <v>3448</v>
      </c>
      <c r="E1628" s="0" t="s">
        <v>4963</v>
      </c>
      <c r="F1628" s="0" t="s">
        <v>59</v>
      </c>
      <c r="G1628" s="0" t="s">
        <v>4974</v>
      </c>
      <c r="H1628" s="0" t="s">
        <v>69</v>
      </c>
      <c r="I1628" s="0" t="s">
        <v>4975</v>
      </c>
      <c r="J1628" s="20" t="s">
        <v>25</v>
      </c>
    </row>
    <row r="1629" customFormat="false" ht="15" hidden="false" customHeight="false" outlineLevel="0" collapsed="false">
      <c r="A1629" s="0" t="s">
        <v>1458</v>
      </c>
      <c r="B1629" s="0" t="s">
        <v>134</v>
      </c>
      <c r="C1629" s="0" t="s">
        <v>3447</v>
      </c>
      <c r="D1629" s="0" t="s">
        <v>3457</v>
      </c>
      <c r="E1629" s="0" t="s">
        <v>4963</v>
      </c>
      <c r="F1629" s="0" t="s">
        <v>30</v>
      </c>
      <c r="G1629" s="0" t="s">
        <v>4980</v>
      </c>
      <c r="H1629" s="0" t="s">
        <v>4378</v>
      </c>
      <c r="I1629" s="0" t="s">
        <v>4981</v>
      </c>
      <c r="J1629" s="18" t="s">
        <v>24</v>
      </c>
    </row>
    <row r="1630" customFormat="false" ht="15" hidden="false" customHeight="false" outlineLevel="0" collapsed="false">
      <c r="A1630" s="0" t="s">
        <v>1458</v>
      </c>
      <c r="B1630" s="0" t="s">
        <v>3459</v>
      </c>
      <c r="C1630" s="0" t="s">
        <v>3450</v>
      </c>
      <c r="D1630" s="0" t="s">
        <v>3457</v>
      </c>
      <c r="E1630" s="0" t="s">
        <v>4963</v>
      </c>
      <c r="F1630" s="0" t="s">
        <v>30</v>
      </c>
      <c r="G1630" s="0" t="s">
        <v>4980</v>
      </c>
      <c r="H1630" s="0" t="s">
        <v>4238</v>
      </c>
      <c r="I1630" s="0" t="s">
        <v>4981</v>
      </c>
      <c r="J1630" s="18" t="s">
        <v>24</v>
      </c>
    </row>
    <row r="1631" customFormat="false" ht="15" hidden="false" customHeight="false" outlineLevel="0" collapsed="false">
      <c r="A1631" s="0" t="s">
        <v>1458</v>
      </c>
      <c r="B1631" s="0" t="s">
        <v>3459</v>
      </c>
      <c r="C1631" s="0" t="s">
        <v>3450</v>
      </c>
      <c r="D1631" s="0" t="s">
        <v>3448</v>
      </c>
      <c r="E1631" s="0" t="s">
        <v>4963</v>
      </c>
      <c r="F1631" s="0" t="s">
        <v>30</v>
      </c>
      <c r="G1631" s="0" t="s">
        <v>4980</v>
      </c>
      <c r="H1631" s="0" t="s">
        <v>4238</v>
      </c>
      <c r="I1631" s="0" t="s">
        <v>4981</v>
      </c>
      <c r="J1631" s="18" t="s">
        <v>24</v>
      </c>
    </row>
    <row r="1632" customFormat="false" ht="15" hidden="false" customHeight="false" outlineLevel="0" collapsed="false">
      <c r="A1632" s="0" t="s">
        <v>1458</v>
      </c>
      <c r="B1632" s="0" t="s">
        <v>3459</v>
      </c>
      <c r="C1632" s="0" t="s">
        <v>3447</v>
      </c>
      <c r="D1632" s="0" t="s">
        <v>3457</v>
      </c>
      <c r="E1632" s="0" t="s">
        <v>4963</v>
      </c>
      <c r="F1632" s="0" t="s">
        <v>30</v>
      </c>
      <c r="G1632" s="0" t="s">
        <v>4980</v>
      </c>
      <c r="H1632" s="0" t="s">
        <v>4238</v>
      </c>
      <c r="I1632" s="0" t="s">
        <v>4981</v>
      </c>
      <c r="J1632" s="18" t="s">
        <v>24</v>
      </c>
    </row>
    <row r="1633" customFormat="false" ht="15" hidden="false" customHeight="false" outlineLevel="0" collapsed="false">
      <c r="A1633" s="0" t="s">
        <v>1458</v>
      </c>
      <c r="B1633" s="0" t="s">
        <v>3459</v>
      </c>
      <c r="C1633" s="0" t="s">
        <v>3447</v>
      </c>
      <c r="D1633" s="0" t="s">
        <v>3448</v>
      </c>
      <c r="E1633" s="0" t="s">
        <v>4963</v>
      </c>
      <c r="F1633" s="0" t="s">
        <v>30</v>
      </c>
      <c r="G1633" s="0" t="s">
        <v>4980</v>
      </c>
      <c r="H1633" s="0" t="s">
        <v>4275</v>
      </c>
      <c r="I1633" s="0" t="s">
        <v>4981</v>
      </c>
      <c r="J1633" s="18" t="s">
        <v>24</v>
      </c>
    </row>
    <row r="1634" customFormat="false" ht="15" hidden="false" customHeight="false" outlineLevel="0" collapsed="false">
      <c r="A1634" s="0" t="s">
        <v>1465</v>
      </c>
      <c r="B1634" s="0" t="s">
        <v>134</v>
      </c>
      <c r="C1634" s="0" t="s">
        <v>3450</v>
      </c>
      <c r="D1634" s="0" t="s">
        <v>3457</v>
      </c>
      <c r="E1634" s="0" t="s">
        <v>4969</v>
      </c>
      <c r="F1634" s="0" t="s">
        <v>61</v>
      </c>
      <c r="G1634" s="0" t="s">
        <v>4970</v>
      </c>
      <c r="H1634" s="0" t="s">
        <v>5524</v>
      </c>
      <c r="I1634" s="0" t="s">
        <v>4972</v>
      </c>
      <c r="J1634" s="20" t="s">
        <v>25</v>
      </c>
    </row>
    <row r="1635" customFormat="false" ht="15" hidden="false" customHeight="false" outlineLevel="0" collapsed="false">
      <c r="A1635" s="0" t="s">
        <v>1465</v>
      </c>
      <c r="B1635" s="0" t="s">
        <v>134</v>
      </c>
      <c r="C1635" s="0" t="s">
        <v>3450</v>
      </c>
      <c r="D1635" s="0" t="s">
        <v>3448</v>
      </c>
      <c r="E1635" s="0" t="s">
        <v>4969</v>
      </c>
      <c r="F1635" s="0" t="s">
        <v>62</v>
      </c>
      <c r="G1635" s="0" t="s">
        <v>5003</v>
      </c>
      <c r="H1635" s="0" t="s">
        <v>5525</v>
      </c>
      <c r="I1635" s="0" t="s">
        <v>5005</v>
      </c>
      <c r="J1635" s="20" t="s">
        <v>25</v>
      </c>
    </row>
    <row r="1636" customFormat="false" ht="15" hidden="false" customHeight="false" outlineLevel="0" collapsed="false">
      <c r="A1636" s="0" t="s">
        <v>1465</v>
      </c>
      <c r="B1636" s="0" t="s">
        <v>134</v>
      </c>
      <c r="C1636" s="0" t="s">
        <v>3447</v>
      </c>
      <c r="D1636" s="0" t="s">
        <v>3457</v>
      </c>
      <c r="E1636" s="0" t="s">
        <v>4969</v>
      </c>
      <c r="F1636" s="0" t="s">
        <v>61</v>
      </c>
      <c r="G1636" s="0" t="s">
        <v>4970</v>
      </c>
      <c r="H1636" s="0" t="s">
        <v>5526</v>
      </c>
      <c r="I1636" s="0" t="s">
        <v>4972</v>
      </c>
      <c r="J1636" s="20" t="s">
        <v>25</v>
      </c>
    </row>
    <row r="1637" customFormat="false" ht="15" hidden="false" customHeight="false" outlineLevel="0" collapsed="false">
      <c r="A1637" s="0" t="s">
        <v>1465</v>
      </c>
      <c r="B1637" s="0" t="s">
        <v>3459</v>
      </c>
      <c r="C1637" s="0" t="s">
        <v>3450</v>
      </c>
      <c r="D1637" s="0" t="s">
        <v>3448</v>
      </c>
      <c r="E1637" s="0" t="s">
        <v>4969</v>
      </c>
      <c r="F1637" s="0" t="s">
        <v>64</v>
      </c>
      <c r="G1637" s="0" t="s">
        <v>4220</v>
      </c>
      <c r="H1637" s="0" t="s">
        <v>5527</v>
      </c>
      <c r="I1637" s="0" t="s">
        <v>4991</v>
      </c>
      <c r="J1637" s="20" t="s">
        <v>25</v>
      </c>
    </row>
    <row r="1638" customFormat="false" ht="15" hidden="false" customHeight="false" outlineLevel="0" collapsed="false">
      <c r="A1638" s="0" t="s">
        <v>1465</v>
      </c>
      <c r="B1638" s="0" t="s">
        <v>3459</v>
      </c>
      <c r="C1638" s="0" t="s">
        <v>3447</v>
      </c>
      <c r="D1638" s="0" t="s">
        <v>3448</v>
      </c>
      <c r="E1638" s="0" t="s">
        <v>4969</v>
      </c>
      <c r="F1638" s="0" t="s">
        <v>64</v>
      </c>
      <c r="G1638" s="0" t="s">
        <v>4220</v>
      </c>
      <c r="H1638" s="0" t="s">
        <v>5527</v>
      </c>
      <c r="I1638" s="0" t="s">
        <v>4991</v>
      </c>
      <c r="J1638" s="20" t="s">
        <v>25</v>
      </c>
    </row>
    <row r="1639" customFormat="false" ht="15" hidden="false" customHeight="false" outlineLevel="0" collapsed="false">
      <c r="A1639" s="0" t="s">
        <v>1465</v>
      </c>
      <c r="B1639" s="0" t="s">
        <v>134</v>
      </c>
      <c r="C1639" s="0" t="s">
        <v>3447</v>
      </c>
      <c r="D1639" s="0" t="s">
        <v>3448</v>
      </c>
      <c r="E1639" s="0" t="s">
        <v>4963</v>
      </c>
      <c r="F1639" s="0" t="s">
        <v>30</v>
      </c>
      <c r="G1639" s="0" t="s">
        <v>4980</v>
      </c>
      <c r="H1639" s="0" t="s">
        <v>4354</v>
      </c>
      <c r="I1639" s="0" t="s">
        <v>4981</v>
      </c>
      <c r="J1639" s="18" t="s">
        <v>24</v>
      </c>
    </row>
    <row r="1640" customFormat="false" ht="15" hidden="false" customHeight="false" outlineLevel="0" collapsed="false">
      <c r="A1640" s="0" t="s">
        <v>1465</v>
      </c>
      <c r="B1640" s="0" t="s">
        <v>3459</v>
      </c>
      <c r="C1640" s="0" t="s">
        <v>3447</v>
      </c>
      <c r="D1640" s="0" t="s">
        <v>3448</v>
      </c>
      <c r="E1640" s="0" t="s">
        <v>4963</v>
      </c>
      <c r="F1640" s="0" t="s">
        <v>30</v>
      </c>
      <c r="G1640" s="0" t="s">
        <v>4980</v>
      </c>
      <c r="H1640" s="0" t="s">
        <v>4582</v>
      </c>
      <c r="I1640" s="0" t="s">
        <v>4981</v>
      </c>
      <c r="J1640" s="18" t="s">
        <v>24</v>
      </c>
    </row>
    <row r="1641" customFormat="false" ht="15" hidden="false" customHeight="false" outlineLevel="0" collapsed="false">
      <c r="A1641" s="0" t="s">
        <v>1472</v>
      </c>
      <c r="B1641" s="0" t="s">
        <v>134</v>
      </c>
      <c r="C1641" s="0" t="s">
        <v>3450</v>
      </c>
      <c r="D1641" s="0" t="s">
        <v>3457</v>
      </c>
      <c r="E1641" s="0" t="s">
        <v>4963</v>
      </c>
      <c r="F1641" s="0" t="s">
        <v>59</v>
      </c>
      <c r="G1641" s="0" t="s">
        <v>4974</v>
      </c>
      <c r="H1641" s="0" t="s">
        <v>69</v>
      </c>
      <c r="I1641" s="0" t="s">
        <v>4975</v>
      </c>
      <c r="J1641" s="20" t="s">
        <v>25</v>
      </c>
    </row>
    <row r="1642" customFormat="false" ht="15" hidden="false" customHeight="false" outlineLevel="0" collapsed="false">
      <c r="A1642" s="0" t="s">
        <v>1472</v>
      </c>
      <c r="B1642" s="0" t="s">
        <v>134</v>
      </c>
      <c r="C1642" s="0" t="s">
        <v>3450</v>
      </c>
      <c r="D1642" s="0" t="s">
        <v>3448</v>
      </c>
      <c r="E1642" s="0" t="s">
        <v>4963</v>
      </c>
      <c r="F1642" s="0" t="s">
        <v>59</v>
      </c>
      <c r="G1642" s="0" t="s">
        <v>4974</v>
      </c>
      <c r="H1642" s="0" t="s">
        <v>69</v>
      </c>
      <c r="I1642" s="0" t="s">
        <v>4975</v>
      </c>
      <c r="J1642" s="20" t="s">
        <v>25</v>
      </c>
    </row>
    <row r="1643" customFormat="false" ht="15" hidden="false" customHeight="false" outlineLevel="0" collapsed="false">
      <c r="A1643" s="0" t="s">
        <v>1472</v>
      </c>
      <c r="B1643" s="0" t="s">
        <v>134</v>
      </c>
      <c r="C1643" s="0" t="s">
        <v>3447</v>
      </c>
      <c r="D1643" s="0" t="s">
        <v>3457</v>
      </c>
      <c r="E1643" s="0" t="s">
        <v>4963</v>
      </c>
      <c r="F1643" s="0" t="s">
        <v>59</v>
      </c>
      <c r="G1643" s="0" t="s">
        <v>4974</v>
      </c>
      <c r="H1643" s="0" t="s">
        <v>69</v>
      </c>
      <c r="I1643" s="0" t="s">
        <v>4975</v>
      </c>
      <c r="J1643" s="20" t="s">
        <v>25</v>
      </c>
    </row>
    <row r="1644" customFormat="false" ht="15" hidden="false" customHeight="false" outlineLevel="0" collapsed="false">
      <c r="A1644" s="0" t="s">
        <v>1472</v>
      </c>
      <c r="B1644" s="0" t="s">
        <v>134</v>
      </c>
      <c r="C1644" s="0" t="s">
        <v>3447</v>
      </c>
      <c r="D1644" s="0" t="s">
        <v>3448</v>
      </c>
      <c r="E1644" s="0" t="s">
        <v>4963</v>
      </c>
      <c r="F1644" s="0" t="s">
        <v>59</v>
      </c>
      <c r="G1644" s="0" t="s">
        <v>4974</v>
      </c>
      <c r="H1644" s="0" t="s">
        <v>69</v>
      </c>
      <c r="I1644" s="0" t="s">
        <v>4975</v>
      </c>
      <c r="J1644" s="20" t="s">
        <v>25</v>
      </c>
    </row>
    <row r="1645" customFormat="false" ht="15" hidden="false" customHeight="false" outlineLevel="0" collapsed="false">
      <c r="A1645" s="0" t="s">
        <v>1472</v>
      </c>
      <c r="B1645" s="0" t="s">
        <v>134</v>
      </c>
      <c r="C1645" s="0" t="s">
        <v>3450</v>
      </c>
      <c r="D1645" s="0" t="s">
        <v>3457</v>
      </c>
      <c r="E1645" s="0" t="s">
        <v>4963</v>
      </c>
      <c r="F1645" s="0" t="s">
        <v>30</v>
      </c>
      <c r="G1645" s="0" t="s">
        <v>4980</v>
      </c>
      <c r="H1645" s="0" t="s">
        <v>4238</v>
      </c>
      <c r="I1645" s="0" t="s">
        <v>4981</v>
      </c>
      <c r="J1645" s="18" t="s">
        <v>24</v>
      </c>
    </row>
    <row r="1646" customFormat="false" ht="15" hidden="false" customHeight="false" outlineLevel="0" collapsed="false">
      <c r="A1646" s="0" t="s">
        <v>1472</v>
      </c>
      <c r="B1646" s="0" t="s">
        <v>134</v>
      </c>
      <c r="C1646" s="0" t="s">
        <v>3450</v>
      </c>
      <c r="D1646" s="0" t="s">
        <v>3448</v>
      </c>
      <c r="E1646" s="0" t="s">
        <v>4963</v>
      </c>
      <c r="F1646" s="0" t="s">
        <v>30</v>
      </c>
      <c r="G1646" s="0" t="s">
        <v>4980</v>
      </c>
      <c r="H1646" s="0" t="s">
        <v>4275</v>
      </c>
      <c r="I1646" s="0" t="s">
        <v>4981</v>
      </c>
      <c r="J1646" s="18" t="s">
        <v>24</v>
      </c>
    </row>
    <row r="1647" customFormat="false" ht="15" hidden="false" customHeight="false" outlineLevel="0" collapsed="false">
      <c r="A1647" s="0" t="s">
        <v>1472</v>
      </c>
      <c r="B1647" s="0" t="s">
        <v>134</v>
      </c>
      <c r="C1647" s="0" t="s">
        <v>3447</v>
      </c>
      <c r="D1647" s="0" t="s">
        <v>3457</v>
      </c>
      <c r="E1647" s="0" t="s">
        <v>4963</v>
      </c>
      <c r="F1647" s="0" t="s">
        <v>30</v>
      </c>
      <c r="G1647" s="0" t="s">
        <v>4980</v>
      </c>
      <c r="H1647" s="0" t="s">
        <v>4275</v>
      </c>
      <c r="I1647" s="0" t="s">
        <v>4981</v>
      </c>
      <c r="J1647" s="18" t="s">
        <v>24</v>
      </c>
    </row>
    <row r="1648" customFormat="false" ht="15" hidden="false" customHeight="false" outlineLevel="0" collapsed="false">
      <c r="A1648" s="0" t="s">
        <v>1472</v>
      </c>
      <c r="B1648" s="0" t="s">
        <v>134</v>
      </c>
      <c r="C1648" s="0" t="s">
        <v>3447</v>
      </c>
      <c r="D1648" s="0" t="s">
        <v>3448</v>
      </c>
      <c r="E1648" s="0" t="s">
        <v>4963</v>
      </c>
      <c r="F1648" s="0" t="s">
        <v>30</v>
      </c>
      <c r="G1648" s="0" t="s">
        <v>4980</v>
      </c>
      <c r="H1648" s="0" t="s">
        <v>4275</v>
      </c>
      <c r="I1648" s="0" t="s">
        <v>4981</v>
      </c>
      <c r="J1648" s="18" t="s">
        <v>24</v>
      </c>
    </row>
    <row r="1649" customFormat="false" ht="15" hidden="false" customHeight="false" outlineLevel="0" collapsed="false">
      <c r="A1649" s="0" t="s">
        <v>1481</v>
      </c>
      <c r="B1649" s="0" t="s">
        <v>134</v>
      </c>
      <c r="C1649" s="0" t="s">
        <v>3450</v>
      </c>
      <c r="D1649" s="0" t="s">
        <v>3457</v>
      </c>
      <c r="E1649" s="0" t="s">
        <v>4963</v>
      </c>
      <c r="F1649" s="0" t="s">
        <v>60</v>
      </c>
      <c r="G1649" s="0" t="s">
        <v>4964</v>
      </c>
      <c r="H1649" s="0" t="s">
        <v>5528</v>
      </c>
      <c r="I1649" s="0" t="s">
        <v>4966</v>
      </c>
      <c r="J1649" s="19" t="s">
        <v>26</v>
      </c>
    </row>
    <row r="1650" customFormat="false" ht="15" hidden="false" customHeight="false" outlineLevel="0" collapsed="false">
      <c r="A1650" s="0" t="s">
        <v>1481</v>
      </c>
      <c r="B1650" s="0" t="s">
        <v>3459</v>
      </c>
      <c r="C1650" s="0" t="s">
        <v>3450</v>
      </c>
      <c r="D1650" s="0" t="s">
        <v>3448</v>
      </c>
      <c r="E1650" s="0" t="s">
        <v>4963</v>
      </c>
      <c r="F1650" s="0" t="s">
        <v>60</v>
      </c>
      <c r="G1650" s="0" t="s">
        <v>4964</v>
      </c>
      <c r="H1650" s="0" t="s">
        <v>5529</v>
      </c>
      <c r="I1650" s="0" t="s">
        <v>4966</v>
      </c>
      <c r="J1650" s="19" t="s">
        <v>26</v>
      </c>
    </row>
    <row r="1651" customFormat="false" ht="15" hidden="false" customHeight="false" outlineLevel="0" collapsed="false">
      <c r="A1651" s="0" t="s">
        <v>1481</v>
      </c>
      <c r="B1651" s="0" t="s">
        <v>134</v>
      </c>
      <c r="C1651" s="0" t="s">
        <v>3450</v>
      </c>
      <c r="D1651" s="0" t="s">
        <v>3457</v>
      </c>
      <c r="E1651" s="0" t="s">
        <v>4963</v>
      </c>
      <c r="F1651" s="0" t="s">
        <v>59</v>
      </c>
      <c r="G1651" s="0" t="s">
        <v>4974</v>
      </c>
      <c r="H1651" s="0" t="s">
        <v>69</v>
      </c>
      <c r="I1651" s="0" t="s">
        <v>4975</v>
      </c>
      <c r="J1651" s="20" t="s">
        <v>25</v>
      </c>
    </row>
    <row r="1652" customFormat="false" ht="15" hidden="false" customHeight="false" outlineLevel="0" collapsed="false">
      <c r="A1652" s="0" t="s">
        <v>1481</v>
      </c>
      <c r="B1652" s="0" t="s">
        <v>134</v>
      </c>
      <c r="C1652" s="0" t="s">
        <v>3450</v>
      </c>
      <c r="D1652" s="0" t="s">
        <v>3448</v>
      </c>
      <c r="E1652" s="0" t="s">
        <v>4963</v>
      </c>
      <c r="F1652" s="0" t="s">
        <v>59</v>
      </c>
      <c r="G1652" s="0" t="s">
        <v>4974</v>
      </c>
      <c r="H1652" s="0" t="s">
        <v>69</v>
      </c>
      <c r="I1652" s="0" t="s">
        <v>4975</v>
      </c>
      <c r="J1652" s="20" t="s">
        <v>25</v>
      </c>
    </row>
    <row r="1653" customFormat="false" ht="15" hidden="false" customHeight="false" outlineLevel="0" collapsed="false">
      <c r="A1653" s="0" t="s">
        <v>1481</v>
      </c>
      <c r="B1653" s="0" t="s">
        <v>134</v>
      </c>
      <c r="C1653" s="0" t="s">
        <v>3450</v>
      </c>
      <c r="D1653" s="0" t="s">
        <v>3448</v>
      </c>
      <c r="E1653" s="0" t="s">
        <v>4969</v>
      </c>
      <c r="F1653" s="0" t="s">
        <v>63</v>
      </c>
      <c r="G1653" s="0" t="s">
        <v>4220</v>
      </c>
      <c r="H1653" s="0" t="s">
        <v>5530</v>
      </c>
      <c r="I1653" s="0" t="s">
        <v>4979</v>
      </c>
      <c r="J1653" s="20" t="s">
        <v>25</v>
      </c>
    </row>
    <row r="1654" customFormat="false" ht="15" hidden="false" customHeight="false" outlineLevel="0" collapsed="false">
      <c r="A1654" s="0" t="s">
        <v>1481</v>
      </c>
      <c r="B1654" s="0" t="s">
        <v>134</v>
      </c>
      <c r="C1654" s="0" t="s">
        <v>3447</v>
      </c>
      <c r="D1654" s="0" t="s">
        <v>3457</v>
      </c>
      <c r="E1654" s="0" t="s">
        <v>4963</v>
      </c>
      <c r="F1654" s="0" t="s">
        <v>59</v>
      </c>
      <c r="G1654" s="0" t="s">
        <v>4974</v>
      </c>
      <c r="H1654" s="0" t="s">
        <v>69</v>
      </c>
      <c r="I1654" s="0" t="s">
        <v>4975</v>
      </c>
      <c r="J1654" s="20" t="s">
        <v>25</v>
      </c>
    </row>
    <row r="1655" customFormat="false" ht="15" hidden="false" customHeight="false" outlineLevel="0" collapsed="false">
      <c r="A1655" s="0" t="s">
        <v>1481</v>
      </c>
      <c r="B1655" s="0" t="s">
        <v>134</v>
      </c>
      <c r="C1655" s="0" t="s">
        <v>3447</v>
      </c>
      <c r="D1655" s="0" t="s">
        <v>3448</v>
      </c>
      <c r="E1655" s="0" t="s">
        <v>4969</v>
      </c>
      <c r="F1655" s="0" t="s">
        <v>63</v>
      </c>
      <c r="G1655" s="0" t="s">
        <v>4220</v>
      </c>
      <c r="H1655" s="0" t="s">
        <v>5530</v>
      </c>
      <c r="I1655" s="0" t="s">
        <v>4979</v>
      </c>
      <c r="J1655" s="20" t="s">
        <v>25</v>
      </c>
    </row>
    <row r="1656" customFormat="false" ht="15" hidden="false" customHeight="false" outlineLevel="0" collapsed="false">
      <c r="A1656" s="0" t="s">
        <v>1481</v>
      </c>
      <c r="B1656" s="0" t="s">
        <v>3459</v>
      </c>
      <c r="C1656" s="0" t="s">
        <v>3450</v>
      </c>
      <c r="D1656" s="0" t="s">
        <v>3457</v>
      </c>
      <c r="E1656" s="0" t="s">
        <v>4963</v>
      </c>
      <c r="F1656" s="0" t="s">
        <v>59</v>
      </c>
      <c r="G1656" s="0" t="s">
        <v>4974</v>
      </c>
      <c r="H1656" s="0" t="s">
        <v>69</v>
      </c>
      <c r="I1656" s="0" t="s">
        <v>4975</v>
      </c>
      <c r="J1656" s="20" t="s">
        <v>25</v>
      </c>
    </row>
    <row r="1657" customFormat="false" ht="15" hidden="false" customHeight="false" outlineLevel="0" collapsed="false">
      <c r="A1657" s="0" t="s">
        <v>1481</v>
      </c>
      <c r="B1657" s="0" t="s">
        <v>3459</v>
      </c>
      <c r="C1657" s="0" t="s">
        <v>3450</v>
      </c>
      <c r="D1657" s="0" t="s">
        <v>3448</v>
      </c>
      <c r="E1657" s="0" t="s">
        <v>4969</v>
      </c>
      <c r="F1657" s="0" t="s">
        <v>64</v>
      </c>
      <c r="G1657" s="0" t="s">
        <v>4220</v>
      </c>
      <c r="H1657" s="0" t="s">
        <v>5531</v>
      </c>
      <c r="I1657" s="0" t="s">
        <v>4991</v>
      </c>
      <c r="J1657" s="20" t="s">
        <v>25</v>
      </c>
    </row>
    <row r="1658" customFormat="false" ht="15" hidden="false" customHeight="false" outlineLevel="0" collapsed="false">
      <c r="A1658" s="0" t="s">
        <v>1481</v>
      </c>
      <c r="B1658" s="0" t="s">
        <v>3459</v>
      </c>
      <c r="C1658" s="0" t="s">
        <v>3447</v>
      </c>
      <c r="D1658" s="0" t="s">
        <v>3448</v>
      </c>
      <c r="E1658" s="0" t="s">
        <v>4969</v>
      </c>
      <c r="F1658" s="0" t="s">
        <v>64</v>
      </c>
      <c r="G1658" s="0" t="s">
        <v>4220</v>
      </c>
      <c r="H1658" s="0" t="s">
        <v>5531</v>
      </c>
      <c r="I1658" s="0" t="s">
        <v>4991</v>
      </c>
      <c r="J1658" s="20" t="s">
        <v>25</v>
      </c>
    </row>
    <row r="1659" customFormat="false" ht="15" hidden="false" customHeight="false" outlineLevel="0" collapsed="false">
      <c r="A1659" s="0" t="s">
        <v>1481</v>
      </c>
      <c r="B1659" s="0" t="s">
        <v>134</v>
      </c>
      <c r="C1659" s="0" t="s">
        <v>3450</v>
      </c>
      <c r="D1659" s="0" t="s">
        <v>3448</v>
      </c>
      <c r="E1659" s="0" t="s">
        <v>4963</v>
      </c>
      <c r="F1659" s="0" t="s">
        <v>30</v>
      </c>
      <c r="G1659" s="0" t="s">
        <v>4980</v>
      </c>
      <c r="H1659" s="0" t="s">
        <v>4242</v>
      </c>
      <c r="I1659" s="0" t="s">
        <v>4981</v>
      </c>
      <c r="J1659" s="18" t="s">
        <v>24</v>
      </c>
    </row>
    <row r="1660" customFormat="false" ht="15" hidden="false" customHeight="false" outlineLevel="0" collapsed="false">
      <c r="A1660" s="0" t="s">
        <v>1481</v>
      </c>
      <c r="B1660" s="0" t="s">
        <v>134</v>
      </c>
      <c r="C1660" s="0" t="s">
        <v>3447</v>
      </c>
      <c r="D1660" s="0" t="s">
        <v>3457</v>
      </c>
      <c r="E1660" s="0" t="s">
        <v>4963</v>
      </c>
      <c r="F1660" s="0" t="s">
        <v>30</v>
      </c>
      <c r="G1660" s="0" t="s">
        <v>4980</v>
      </c>
      <c r="H1660" s="0" t="s">
        <v>4275</v>
      </c>
      <c r="I1660" s="0" t="s">
        <v>4981</v>
      </c>
      <c r="J1660" s="18" t="s">
        <v>24</v>
      </c>
    </row>
    <row r="1661" customFormat="false" ht="15" hidden="false" customHeight="false" outlineLevel="0" collapsed="false">
      <c r="A1661" s="0" t="s">
        <v>1481</v>
      </c>
      <c r="B1661" s="0" t="s">
        <v>134</v>
      </c>
      <c r="C1661" s="0" t="s">
        <v>3447</v>
      </c>
      <c r="D1661" s="0" t="s">
        <v>3448</v>
      </c>
      <c r="E1661" s="0" t="s">
        <v>4963</v>
      </c>
      <c r="F1661" s="0" t="s">
        <v>30</v>
      </c>
      <c r="G1661" s="0" t="s">
        <v>4980</v>
      </c>
      <c r="H1661" s="0" t="s">
        <v>4584</v>
      </c>
      <c r="I1661" s="0" t="s">
        <v>4981</v>
      </c>
      <c r="J1661" s="18" t="s">
        <v>24</v>
      </c>
    </row>
    <row r="1662" customFormat="false" ht="15" hidden="false" customHeight="false" outlineLevel="0" collapsed="false">
      <c r="A1662" s="0" t="s">
        <v>1481</v>
      </c>
      <c r="B1662" s="0" t="s">
        <v>3459</v>
      </c>
      <c r="C1662" s="0" t="s">
        <v>3450</v>
      </c>
      <c r="D1662" s="0" t="s">
        <v>3457</v>
      </c>
      <c r="E1662" s="0" t="s">
        <v>4963</v>
      </c>
      <c r="F1662" s="0" t="s">
        <v>30</v>
      </c>
      <c r="G1662" s="0" t="s">
        <v>4980</v>
      </c>
      <c r="H1662" s="0" t="s">
        <v>4353</v>
      </c>
      <c r="I1662" s="0" t="s">
        <v>4981</v>
      </c>
      <c r="J1662" s="18" t="s">
        <v>24</v>
      </c>
    </row>
    <row r="1663" customFormat="false" ht="15" hidden="false" customHeight="false" outlineLevel="0" collapsed="false">
      <c r="A1663" s="0" t="s">
        <v>1481</v>
      </c>
      <c r="B1663" s="0" t="s">
        <v>3459</v>
      </c>
      <c r="C1663" s="0" t="s">
        <v>3447</v>
      </c>
      <c r="D1663" s="0" t="s">
        <v>3457</v>
      </c>
      <c r="E1663" s="0" t="s">
        <v>4963</v>
      </c>
      <c r="F1663" s="0" t="s">
        <v>30</v>
      </c>
      <c r="G1663" s="0" t="s">
        <v>4980</v>
      </c>
      <c r="H1663" s="0" t="s">
        <v>4586</v>
      </c>
      <c r="I1663" s="0" t="s">
        <v>4981</v>
      </c>
      <c r="J1663" s="18" t="s">
        <v>24</v>
      </c>
    </row>
    <row r="1664" customFormat="false" ht="15" hidden="false" customHeight="false" outlineLevel="0" collapsed="false">
      <c r="A1664" s="0" t="s">
        <v>1481</v>
      </c>
      <c r="B1664" s="0" t="s">
        <v>3459</v>
      </c>
      <c r="C1664" s="0" t="s">
        <v>3447</v>
      </c>
      <c r="D1664" s="0" t="s">
        <v>3448</v>
      </c>
      <c r="E1664" s="0" t="s">
        <v>4963</v>
      </c>
      <c r="F1664" s="0" t="s">
        <v>30</v>
      </c>
      <c r="G1664" s="0" t="s">
        <v>4980</v>
      </c>
      <c r="H1664" s="0" t="s">
        <v>4587</v>
      </c>
      <c r="I1664" s="0" t="s">
        <v>4981</v>
      </c>
      <c r="J1664" s="18" t="s">
        <v>24</v>
      </c>
    </row>
    <row r="1665" customFormat="false" ht="15" hidden="false" customHeight="false" outlineLevel="0" collapsed="false">
      <c r="A1665" s="0" t="s">
        <v>1487</v>
      </c>
      <c r="B1665" s="0" t="s">
        <v>134</v>
      </c>
      <c r="C1665" s="0" t="s">
        <v>3447</v>
      </c>
      <c r="D1665" s="0" t="s">
        <v>3448</v>
      </c>
      <c r="E1665" s="0" t="s">
        <v>4963</v>
      </c>
      <c r="F1665" s="0" t="s">
        <v>60</v>
      </c>
      <c r="G1665" s="0" t="s">
        <v>4964</v>
      </c>
      <c r="H1665" s="0" t="s">
        <v>5532</v>
      </c>
      <c r="I1665" s="0" t="s">
        <v>4966</v>
      </c>
      <c r="J1665" s="19" t="s">
        <v>26</v>
      </c>
    </row>
    <row r="1666" customFormat="false" ht="15" hidden="false" customHeight="false" outlineLevel="0" collapsed="false">
      <c r="A1666" s="0" t="s">
        <v>1487</v>
      </c>
      <c r="B1666" s="0" t="s">
        <v>134</v>
      </c>
      <c r="C1666" s="0" t="s">
        <v>3450</v>
      </c>
      <c r="D1666" s="0" t="s">
        <v>3457</v>
      </c>
      <c r="E1666" s="0" t="s">
        <v>4969</v>
      </c>
      <c r="F1666" s="0" t="s">
        <v>62</v>
      </c>
      <c r="G1666" s="0" t="s">
        <v>5003</v>
      </c>
      <c r="H1666" s="0" t="s">
        <v>5533</v>
      </c>
      <c r="I1666" s="0" t="s">
        <v>5005</v>
      </c>
      <c r="J1666" s="20" t="s">
        <v>25</v>
      </c>
    </row>
    <row r="1667" customFormat="false" ht="15" hidden="false" customHeight="false" outlineLevel="0" collapsed="false">
      <c r="A1667" s="0" t="s">
        <v>1487</v>
      </c>
      <c r="B1667" s="0" t="s">
        <v>134</v>
      </c>
      <c r="C1667" s="0" t="s">
        <v>3450</v>
      </c>
      <c r="D1667" s="0" t="s">
        <v>3457</v>
      </c>
      <c r="E1667" s="0" t="s">
        <v>4969</v>
      </c>
      <c r="F1667" s="0" t="s">
        <v>64</v>
      </c>
      <c r="G1667" s="0" t="s">
        <v>4220</v>
      </c>
      <c r="H1667" s="0" t="s">
        <v>5534</v>
      </c>
      <c r="I1667" s="0" t="s">
        <v>4991</v>
      </c>
      <c r="J1667" s="20" t="s">
        <v>25</v>
      </c>
    </row>
    <row r="1668" customFormat="false" ht="15" hidden="false" customHeight="false" outlineLevel="0" collapsed="false">
      <c r="A1668" s="0" t="s">
        <v>1487</v>
      </c>
      <c r="B1668" s="0" t="s">
        <v>134</v>
      </c>
      <c r="C1668" s="0" t="s">
        <v>3450</v>
      </c>
      <c r="D1668" s="0" t="s">
        <v>3448</v>
      </c>
      <c r="E1668" s="0" t="s">
        <v>4963</v>
      </c>
      <c r="F1668" s="0" t="s">
        <v>59</v>
      </c>
      <c r="G1668" s="0" t="s">
        <v>4974</v>
      </c>
      <c r="H1668" s="0" t="s">
        <v>70</v>
      </c>
      <c r="I1668" s="0" t="s">
        <v>4975</v>
      </c>
      <c r="J1668" s="20" t="s">
        <v>25</v>
      </c>
    </row>
    <row r="1669" customFormat="false" ht="15" hidden="false" customHeight="false" outlineLevel="0" collapsed="false">
      <c r="A1669" s="0" t="s">
        <v>1487</v>
      </c>
      <c r="B1669" s="0" t="s">
        <v>134</v>
      </c>
      <c r="C1669" s="0" t="s">
        <v>3450</v>
      </c>
      <c r="D1669" s="0" t="s">
        <v>3448</v>
      </c>
      <c r="E1669" s="0" t="s">
        <v>4969</v>
      </c>
      <c r="F1669" s="0" t="s">
        <v>62</v>
      </c>
      <c r="G1669" s="0" t="s">
        <v>5003</v>
      </c>
      <c r="H1669" s="0" t="s">
        <v>5535</v>
      </c>
      <c r="I1669" s="0" t="s">
        <v>5005</v>
      </c>
      <c r="J1669" s="20" t="s">
        <v>25</v>
      </c>
    </row>
    <row r="1670" customFormat="false" ht="15" hidden="false" customHeight="false" outlineLevel="0" collapsed="false">
      <c r="A1670" s="0" t="s">
        <v>1487</v>
      </c>
      <c r="B1670" s="0" t="s">
        <v>134</v>
      </c>
      <c r="C1670" s="0" t="s">
        <v>3450</v>
      </c>
      <c r="D1670" s="0" t="s">
        <v>3448</v>
      </c>
      <c r="E1670" s="0" t="s">
        <v>4969</v>
      </c>
      <c r="F1670" s="0" t="s">
        <v>63</v>
      </c>
      <c r="G1670" s="0" t="s">
        <v>4220</v>
      </c>
      <c r="H1670" s="0" t="s">
        <v>5536</v>
      </c>
      <c r="I1670" s="0" t="s">
        <v>4979</v>
      </c>
      <c r="J1670" s="20" t="s">
        <v>25</v>
      </c>
    </row>
    <row r="1671" customFormat="false" ht="15" hidden="false" customHeight="false" outlineLevel="0" collapsed="false">
      <c r="A1671" s="0" t="s">
        <v>1487</v>
      </c>
      <c r="B1671" s="0" t="s">
        <v>134</v>
      </c>
      <c r="C1671" s="0" t="s">
        <v>3447</v>
      </c>
      <c r="D1671" s="0" t="s">
        <v>3457</v>
      </c>
      <c r="E1671" s="0" t="s">
        <v>4963</v>
      </c>
      <c r="F1671" s="0" t="s">
        <v>59</v>
      </c>
      <c r="G1671" s="0" t="s">
        <v>4974</v>
      </c>
      <c r="H1671" s="0" t="s">
        <v>69</v>
      </c>
      <c r="I1671" s="0" t="s">
        <v>4975</v>
      </c>
      <c r="J1671" s="20" t="s">
        <v>25</v>
      </c>
    </row>
    <row r="1672" customFormat="false" ht="15" hidden="false" customHeight="false" outlineLevel="0" collapsed="false">
      <c r="A1672" s="0" t="s">
        <v>1487</v>
      </c>
      <c r="B1672" s="0" t="s">
        <v>134</v>
      </c>
      <c r="C1672" s="0" t="s">
        <v>3447</v>
      </c>
      <c r="D1672" s="0" t="s">
        <v>3457</v>
      </c>
      <c r="E1672" s="0" t="s">
        <v>4969</v>
      </c>
      <c r="F1672" s="0" t="s">
        <v>64</v>
      </c>
      <c r="G1672" s="0" t="s">
        <v>4220</v>
      </c>
      <c r="H1672" s="0" t="s">
        <v>5534</v>
      </c>
      <c r="I1672" s="0" t="s">
        <v>4991</v>
      </c>
      <c r="J1672" s="20" t="s">
        <v>25</v>
      </c>
    </row>
    <row r="1673" customFormat="false" ht="15" hidden="false" customHeight="false" outlineLevel="0" collapsed="false">
      <c r="A1673" s="0" t="s">
        <v>1487</v>
      </c>
      <c r="B1673" s="0" t="s">
        <v>134</v>
      </c>
      <c r="C1673" s="0" t="s">
        <v>3447</v>
      </c>
      <c r="D1673" s="0" t="s">
        <v>3448</v>
      </c>
      <c r="E1673" s="0" t="s">
        <v>4963</v>
      </c>
      <c r="F1673" s="0" t="s">
        <v>59</v>
      </c>
      <c r="G1673" s="0" t="s">
        <v>4974</v>
      </c>
      <c r="H1673" s="0" t="s">
        <v>69</v>
      </c>
      <c r="I1673" s="0" t="s">
        <v>4975</v>
      </c>
      <c r="J1673" s="20" t="s">
        <v>25</v>
      </c>
    </row>
    <row r="1674" customFormat="false" ht="15" hidden="false" customHeight="false" outlineLevel="0" collapsed="false">
      <c r="A1674" s="0" t="s">
        <v>1487</v>
      </c>
      <c r="B1674" s="0" t="s">
        <v>134</v>
      </c>
      <c r="C1674" s="0" t="s">
        <v>3447</v>
      </c>
      <c r="D1674" s="0" t="s">
        <v>3448</v>
      </c>
      <c r="E1674" s="0" t="s">
        <v>4969</v>
      </c>
      <c r="F1674" s="0" t="s">
        <v>63</v>
      </c>
      <c r="G1674" s="0" t="s">
        <v>4220</v>
      </c>
      <c r="H1674" s="0" t="s">
        <v>5536</v>
      </c>
      <c r="I1674" s="0" t="s">
        <v>4979</v>
      </c>
      <c r="J1674" s="20" t="s">
        <v>25</v>
      </c>
    </row>
    <row r="1675" customFormat="false" ht="15" hidden="false" customHeight="false" outlineLevel="0" collapsed="false">
      <c r="A1675" s="0" t="s">
        <v>1487</v>
      </c>
      <c r="B1675" s="0" t="s">
        <v>134</v>
      </c>
      <c r="C1675" s="0" t="s">
        <v>3450</v>
      </c>
      <c r="D1675" s="0" t="s">
        <v>3457</v>
      </c>
      <c r="E1675" s="0" t="s">
        <v>4963</v>
      </c>
      <c r="F1675" s="0" t="s">
        <v>30</v>
      </c>
      <c r="G1675" s="0" t="s">
        <v>4980</v>
      </c>
      <c r="H1675" s="0" t="s">
        <v>4588</v>
      </c>
      <c r="I1675" s="0" t="s">
        <v>4981</v>
      </c>
      <c r="J1675" s="18" t="s">
        <v>24</v>
      </c>
    </row>
    <row r="1676" customFormat="false" ht="15" hidden="false" customHeight="false" outlineLevel="0" collapsed="false">
      <c r="A1676" s="0" t="s">
        <v>1487</v>
      </c>
      <c r="B1676" s="0" t="s">
        <v>134</v>
      </c>
      <c r="C1676" s="0" t="s">
        <v>3450</v>
      </c>
      <c r="D1676" s="0" t="s">
        <v>3448</v>
      </c>
      <c r="E1676" s="0" t="s">
        <v>4963</v>
      </c>
      <c r="F1676" s="0" t="s">
        <v>30</v>
      </c>
      <c r="G1676" s="0" t="s">
        <v>4980</v>
      </c>
      <c r="H1676" s="0" t="s">
        <v>4378</v>
      </c>
      <c r="I1676" s="0" t="s">
        <v>4981</v>
      </c>
      <c r="J1676" s="18" t="s">
        <v>24</v>
      </c>
    </row>
    <row r="1677" customFormat="false" ht="15" hidden="false" customHeight="false" outlineLevel="0" collapsed="false">
      <c r="A1677" s="0" t="s">
        <v>1487</v>
      </c>
      <c r="B1677" s="0" t="s">
        <v>134</v>
      </c>
      <c r="C1677" s="0" t="s">
        <v>3447</v>
      </c>
      <c r="D1677" s="0" t="s">
        <v>3457</v>
      </c>
      <c r="E1677" s="0" t="s">
        <v>4963</v>
      </c>
      <c r="F1677" s="0" t="s">
        <v>30</v>
      </c>
      <c r="G1677" s="0" t="s">
        <v>4980</v>
      </c>
      <c r="H1677" s="0" t="s">
        <v>4589</v>
      </c>
      <c r="I1677" s="0" t="s">
        <v>4981</v>
      </c>
      <c r="J1677" s="18" t="s">
        <v>24</v>
      </c>
    </row>
    <row r="1678" customFormat="false" ht="15" hidden="false" customHeight="false" outlineLevel="0" collapsed="false">
      <c r="A1678" s="0" t="s">
        <v>1503</v>
      </c>
      <c r="B1678" s="0" t="s">
        <v>134</v>
      </c>
      <c r="C1678" s="0" t="s">
        <v>3450</v>
      </c>
      <c r="D1678" s="0" t="s">
        <v>3457</v>
      </c>
      <c r="E1678" s="0" t="s">
        <v>4963</v>
      </c>
      <c r="F1678" s="0" t="s">
        <v>59</v>
      </c>
      <c r="G1678" s="0" t="s">
        <v>4974</v>
      </c>
      <c r="H1678" s="0" t="s">
        <v>69</v>
      </c>
      <c r="I1678" s="0" t="s">
        <v>4975</v>
      </c>
      <c r="J1678" s="20" t="s">
        <v>25</v>
      </c>
    </row>
    <row r="1679" customFormat="false" ht="15" hidden="false" customHeight="false" outlineLevel="0" collapsed="false">
      <c r="A1679" s="0" t="s">
        <v>1503</v>
      </c>
      <c r="B1679" s="0" t="s">
        <v>134</v>
      </c>
      <c r="C1679" s="0" t="s">
        <v>3450</v>
      </c>
      <c r="D1679" s="0" t="s">
        <v>3457</v>
      </c>
      <c r="E1679" s="0" t="s">
        <v>4969</v>
      </c>
      <c r="F1679" s="0" t="s">
        <v>61</v>
      </c>
      <c r="G1679" s="0" t="s">
        <v>4970</v>
      </c>
      <c r="H1679" s="0" t="s">
        <v>5537</v>
      </c>
      <c r="I1679" s="0" t="s">
        <v>4972</v>
      </c>
      <c r="J1679" s="20" t="s">
        <v>25</v>
      </c>
    </row>
    <row r="1680" customFormat="false" ht="15" hidden="false" customHeight="false" outlineLevel="0" collapsed="false">
      <c r="A1680" s="0" t="s">
        <v>1503</v>
      </c>
      <c r="B1680" s="0" t="s">
        <v>134</v>
      </c>
      <c r="C1680" s="0" t="s">
        <v>3450</v>
      </c>
      <c r="D1680" s="0" t="s">
        <v>3448</v>
      </c>
      <c r="E1680" s="0" t="s">
        <v>4963</v>
      </c>
      <c r="F1680" s="0" t="s">
        <v>59</v>
      </c>
      <c r="G1680" s="0" t="s">
        <v>4974</v>
      </c>
      <c r="H1680" s="0" t="s">
        <v>69</v>
      </c>
      <c r="I1680" s="0" t="s">
        <v>4975</v>
      </c>
      <c r="J1680" s="20" t="s">
        <v>25</v>
      </c>
    </row>
    <row r="1681" customFormat="false" ht="15" hidden="false" customHeight="false" outlineLevel="0" collapsed="false">
      <c r="A1681" s="0" t="s">
        <v>1503</v>
      </c>
      <c r="B1681" s="0" t="s">
        <v>134</v>
      </c>
      <c r="C1681" s="0" t="s">
        <v>3447</v>
      </c>
      <c r="D1681" s="0" t="s">
        <v>3448</v>
      </c>
      <c r="E1681" s="0" t="s">
        <v>4969</v>
      </c>
      <c r="F1681" s="0" t="s">
        <v>61</v>
      </c>
      <c r="G1681" s="0" t="s">
        <v>4970</v>
      </c>
      <c r="H1681" s="0" t="s">
        <v>5538</v>
      </c>
      <c r="I1681" s="0" t="s">
        <v>4972</v>
      </c>
      <c r="J1681" s="20" t="s">
        <v>25</v>
      </c>
    </row>
    <row r="1682" customFormat="false" ht="15" hidden="false" customHeight="false" outlineLevel="0" collapsed="false">
      <c r="A1682" s="0" t="s">
        <v>1503</v>
      </c>
      <c r="B1682" s="0" t="s">
        <v>134</v>
      </c>
      <c r="C1682" s="0" t="s">
        <v>3450</v>
      </c>
      <c r="D1682" s="0" t="s">
        <v>3457</v>
      </c>
      <c r="E1682" s="0" t="s">
        <v>4963</v>
      </c>
      <c r="F1682" s="0" t="s">
        <v>30</v>
      </c>
      <c r="G1682" s="0" t="s">
        <v>4980</v>
      </c>
      <c r="H1682" s="0" t="s">
        <v>4242</v>
      </c>
      <c r="I1682" s="0" t="s">
        <v>4981</v>
      </c>
      <c r="J1682" s="18" t="s">
        <v>24</v>
      </c>
    </row>
    <row r="1683" customFormat="false" ht="15" hidden="false" customHeight="false" outlineLevel="0" collapsed="false">
      <c r="A1683" s="0" t="s">
        <v>1503</v>
      </c>
      <c r="B1683" s="0" t="s">
        <v>134</v>
      </c>
      <c r="C1683" s="0" t="s">
        <v>3450</v>
      </c>
      <c r="D1683" s="0" t="s">
        <v>3448</v>
      </c>
      <c r="E1683" s="0" t="s">
        <v>4963</v>
      </c>
      <c r="F1683" s="0" t="s">
        <v>30</v>
      </c>
      <c r="G1683" s="0" t="s">
        <v>4980</v>
      </c>
      <c r="H1683" s="0" t="s">
        <v>4242</v>
      </c>
      <c r="I1683" s="0" t="s">
        <v>4981</v>
      </c>
      <c r="J1683" s="18" t="s">
        <v>24</v>
      </c>
    </row>
    <row r="1684" customFormat="false" ht="15" hidden="false" customHeight="false" outlineLevel="0" collapsed="false">
      <c r="A1684" s="0" t="s">
        <v>1503</v>
      </c>
      <c r="B1684" s="0" t="s">
        <v>134</v>
      </c>
      <c r="C1684" s="0" t="s">
        <v>3447</v>
      </c>
      <c r="D1684" s="0" t="s">
        <v>3457</v>
      </c>
      <c r="E1684" s="0" t="s">
        <v>4963</v>
      </c>
      <c r="F1684" s="0" t="s">
        <v>30</v>
      </c>
      <c r="G1684" s="0" t="s">
        <v>4980</v>
      </c>
      <c r="H1684" s="0" t="s">
        <v>4437</v>
      </c>
      <c r="I1684" s="0" t="s">
        <v>4981</v>
      </c>
      <c r="J1684" s="18" t="s">
        <v>24</v>
      </c>
    </row>
    <row r="1685" customFormat="false" ht="15" hidden="false" customHeight="false" outlineLevel="0" collapsed="false">
      <c r="A1685" s="0" t="s">
        <v>1503</v>
      </c>
      <c r="B1685" s="0" t="s">
        <v>134</v>
      </c>
      <c r="C1685" s="0" t="s">
        <v>3447</v>
      </c>
      <c r="D1685" s="0" t="s">
        <v>3448</v>
      </c>
      <c r="E1685" s="0" t="s">
        <v>4963</v>
      </c>
      <c r="F1685" s="0" t="s">
        <v>30</v>
      </c>
      <c r="G1685" s="0" t="s">
        <v>4980</v>
      </c>
      <c r="H1685" s="0" t="s">
        <v>4592</v>
      </c>
      <c r="I1685" s="0" t="s">
        <v>4981</v>
      </c>
      <c r="J1685" s="18" t="s">
        <v>24</v>
      </c>
    </row>
    <row r="1686" customFormat="false" ht="15" hidden="false" customHeight="false" outlineLevel="0" collapsed="false">
      <c r="A1686" s="0" t="s">
        <v>1509</v>
      </c>
      <c r="B1686" s="0" t="s">
        <v>134</v>
      </c>
      <c r="C1686" s="0" t="s">
        <v>3450</v>
      </c>
      <c r="D1686" s="0" t="s">
        <v>3457</v>
      </c>
      <c r="E1686" s="0" t="s">
        <v>4963</v>
      </c>
      <c r="F1686" s="0" t="s">
        <v>60</v>
      </c>
      <c r="G1686" s="0" t="s">
        <v>4964</v>
      </c>
      <c r="H1686" s="0" t="s">
        <v>5328</v>
      </c>
      <c r="I1686" s="0" t="s">
        <v>4966</v>
      </c>
      <c r="J1686" s="19" t="s">
        <v>26</v>
      </c>
    </row>
    <row r="1687" customFormat="false" ht="15" hidden="false" customHeight="false" outlineLevel="0" collapsed="false">
      <c r="A1687" s="0" t="s">
        <v>1509</v>
      </c>
      <c r="B1687" s="0" t="s">
        <v>134</v>
      </c>
      <c r="C1687" s="0" t="s">
        <v>3450</v>
      </c>
      <c r="D1687" s="0" t="s">
        <v>3448</v>
      </c>
      <c r="E1687" s="0" t="s">
        <v>4963</v>
      </c>
      <c r="F1687" s="0" t="s">
        <v>60</v>
      </c>
      <c r="G1687" s="0" t="s">
        <v>4964</v>
      </c>
      <c r="H1687" s="0" t="s">
        <v>5539</v>
      </c>
      <c r="I1687" s="0" t="s">
        <v>4966</v>
      </c>
      <c r="J1687" s="19" t="s">
        <v>26</v>
      </c>
    </row>
    <row r="1688" customFormat="false" ht="15" hidden="false" customHeight="false" outlineLevel="0" collapsed="false">
      <c r="A1688" s="0" t="s">
        <v>1509</v>
      </c>
      <c r="B1688" s="0" t="s">
        <v>3459</v>
      </c>
      <c r="C1688" s="0" t="s">
        <v>3450</v>
      </c>
      <c r="D1688" s="0" t="s">
        <v>3457</v>
      </c>
      <c r="E1688" s="0" t="s">
        <v>4963</v>
      </c>
      <c r="F1688" s="0" t="s">
        <v>60</v>
      </c>
      <c r="G1688" s="0" t="s">
        <v>4964</v>
      </c>
      <c r="H1688" s="0" t="s">
        <v>5540</v>
      </c>
      <c r="I1688" s="0" t="s">
        <v>4966</v>
      </c>
      <c r="J1688" s="19" t="s">
        <v>26</v>
      </c>
    </row>
    <row r="1689" customFormat="false" ht="15" hidden="false" customHeight="false" outlineLevel="0" collapsed="false">
      <c r="A1689" s="0" t="s">
        <v>1509</v>
      </c>
      <c r="B1689" s="0" t="s">
        <v>3459</v>
      </c>
      <c r="C1689" s="0" t="s">
        <v>3450</v>
      </c>
      <c r="D1689" s="0" t="s">
        <v>3448</v>
      </c>
      <c r="E1689" s="0" t="s">
        <v>4963</v>
      </c>
      <c r="F1689" s="0" t="s">
        <v>60</v>
      </c>
      <c r="G1689" s="0" t="s">
        <v>4964</v>
      </c>
      <c r="H1689" s="0" t="s">
        <v>5541</v>
      </c>
      <c r="I1689" s="0" t="s">
        <v>4966</v>
      </c>
      <c r="J1689" s="19" t="s">
        <v>26</v>
      </c>
    </row>
    <row r="1690" customFormat="false" ht="15" hidden="false" customHeight="false" outlineLevel="0" collapsed="false">
      <c r="A1690" s="0" t="s">
        <v>1509</v>
      </c>
      <c r="B1690" s="0" t="s">
        <v>134</v>
      </c>
      <c r="C1690" s="0" t="s">
        <v>3450</v>
      </c>
      <c r="D1690" s="0" t="s">
        <v>3457</v>
      </c>
      <c r="E1690" s="0" t="s">
        <v>4963</v>
      </c>
      <c r="F1690" s="0" t="s">
        <v>59</v>
      </c>
      <c r="G1690" s="0" t="s">
        <v>4974</v>
      </c>
      <c r="H1690" s="0" t="s">
        <v>69</v>
      </c>
      <c r="I1690" s="0" t="s">
        <v>4975</v>
      </c>
      <c r="J1690" s="20" t="s">
        <v>25</v>
      </c>
    </row>
    <row r="1691" customFormat="false" ht="15" hidden="false" customHeight="false" outlineLevel="0" collapsed="false">
      <c r="A1691" s="0" t="s">
        <v>1509</v>
      </c>
      <c r="B1691" s="0" t="s">
        <v>134</v>
      </c>
      <c r="C1691" s="0" t="s">
        <v>3450</v>
      </c>
      <c r="D1691" s="0" t="s">
        <v>3448</v>
      </c>
      <c r="E1691" s="0" t="s">
        <v>4963</v>
      </c>
      <c r="F1691" s="0" t="s">
        <v>59</v>
      </c>
      <c r="G1691" s="0" t="s">
        <v>4974</v>
      </c>
      <c r="H1691" s="0" t="s">
        <v>69</v>
      </c>
      <c r="I1691" s="0" t="s">
        <v>4975</v>
      </c>
      <c r="J1691" s="20" t="s">
        <v>25</v>
      </c>
    </row>
    <row r="1692" customFormat="false" ht="15" hidden="false" customHeight="false" outlineLevel="0" collapsed="false">
      <c r="A1692" s="0" t="s">
        <v>1509</v>
      </c>
      <c r="B1692" s="0" t="s">
        <v>134</v>
      </c>
      <c r="C1692" s="0" t="s">
        <v>3450</v>
      </c>
      <c r="D1692" s="0" t="s">
        <v>3448</v>
      </c>
      <c r="E1692" s="0" t="s">
        <v>4969</v>
      </c>
      <c r="F1692" s="0" t="s">
        <v>63</v>
      </c>
      <c r="G1692" s="0" t="s">
        <v>4220</v>
      </c>
      <c r="H1692" s="0" t="s">
        <v>5542</v>
      </c>
      <c r="I1692" s="0" t="s">
        <v>4979</v>
      </c>
      <c r="J1692" s="20" t="s">
        <v>25</v>
      </c>
    </row>
    <row r="1693" customFormat="false" ht="15" hidden="false" customHeight="false" outlineLevel="0" collapsed="false">
      <c r="A1693" s="0" t="s">
        <v>1509</v>
      </c>
      <c r="B1693" s="0" t="s">
        <v>134</v>
      </c>
      <c r="C1693" s="0" t="s">
        <v>3447</v>
      </c>
      <c r="D1693" s="0" t="s">
        <v>3448</v>
      </c>
      <c r="E1693" s="0" t="s">
        <v>4969</v>
      </c>
      <c r="F1693" s="0" t="s">
        <v>63</v>
      </c>
      <c r="G1693" s="0" t="s">
        <v>4220</v>
      </c>
      <c r="H1693" s="0" t="s">
        <v>5542</v>
      </c>
      <c r="I1693" s="0" t="s">
        <v>4979</v>
      </c>
      <c r="J1693" s="20" t="s">
        <v>25</v>
      </c>
    </row>
    <row r="1694" customFormat="false" ht="15" hidden="false" customHeight="false" outlineLevel="0" collapsed="false">
      <c r="A1694" s="0" t="s">
        <v>1509</v>
      </c>
      <c r="B1694" s="0" t="s">
        <v>3459</v>
      </c>
      <c r="C1694" s="0" t="s">
        <v>3450</v>
      </c>
      <c r="D1694" s="0" t="s">
        <v>3457</v>
      </c>
      <c r="E1694" s="0" t="s">
        <v>4969</v>
      </c>
      <c r="F1694" s="0" t="s">
        <v>61</v>
      </c>
      <c r="G1694" s="0" t="s">
        <v>4970</v>
      </c>
      <c r="H1694" s="0" t="s">
        <v>5543</v>
      </c>
      <c r="I1694" s="0" t="s">
        <v>4972</v>
      </c>
      <c r="J1694" s="20" t="s">
        <v>25</v>
      </c>
    </row>
    <row r="1695" customFormat="false" ht="15" hidden="false" customHeight="false" outlineLevel="0" collapsed="false">
      <c r="A1695" s="0" t="s">
        <v>1509</v>
      </c>
      <c r="B1695" s="0" t="s">
        <v>3459</v>
      </c>
      <c r="C1695" s="0" t="s">
        <v>3450</v>
      </c>
      <c r="D1695" s="0" t="s">
        <v>3448</v>
      </c>
      <c r="E1695" s="0" t="s">
        <v>5199</v>
      </c>
      <c r="F1695" s="0" t="s">
        <v>67</v>
      </c>
      <c r="G1695" s="0" t="s">
        <v>100</v>
      </c>
      <c r="H1695" s="0" t="s">
        <v>5544</v>
      </c>
      <c r="I1695" s="0" t="s">
        <v>5201</v>
      </c>
      <c r="J1695" s="20" t="s">
        <v>25</v>
      </c>
    </row>
    <row r="1696" customFormat="false" ht="15" hidden="false" customHeight="false" outlineLevel="0" collapsed="false">
      <c r="A1696" s="0" t="s">
        <v>1509</v>
      </c>
      <c r="B1696" s="0" t="s">
        <v>3459</v>
      </c>
      <c r="C1696" s="0" t="s">
        <v>3450</v>
      </c>
      <c r="D1696" s="0" t="s">
        <v>3448</v>
      </c>
      <c r="E1696" s="0" t="s">
        <v>4969</v>
      </c>
      <c r="F1696" s="0" t="s">
        <v>61</v>
      </c>
      <c r="G1696" s="0" t="s">
        <v>4970</v>
      </c>
      <c r="H1696" s="0" t="s">
        <v>5545</v>
      </c>
      <c r="I1696" s="0" t="s">
        <v>4972</v>
      </c>
      <c r="J1696" s="20" t="s">
        <v>25</v>
      </c>
    </row>
    <row r="1697" customFormat="false" ht="15" hidden="false" customHeight="false" outlineLevel="0" collapsed="false">
      <c r="A1697" s="0" t="s">
        <v>1509</v>
      </c>
      <c r="B1697" s="0" t="s">
        <v>3459</v>
      </c>
      <c r="C1697" s="0" t="s">
        <v>3447</v>
      </c>
      <c r="D1697" s="0" t="s">
        <v>3457</v>
      </c>
      <c r="E1697" s="0" t="s">
        <v>4969</v>
      </c>
      <c r="F1697" s="0" t="s">
        <v>61</v>
      </c>
      <c r="G1697" s="0" t="s">
        <v>4970</v>
      </c>
      <c r="H1697" s="0" t="s">
        <v>5546</v>
      </c>
      <c r="I1697" s="0" t="s">
        <v>4972</v>
      </c>
      <c r="J1697" s="20" t="s">
        <v>25</v>
      </c>
    </row>
    <row r="1698" customFormat="false" ht="15" hidden="false" customHeight="false" outlineLevel="0" collapsed="false">
      <c r="A1698" s="0" t="s">
        <v>1509</v>
      </c>
      <c r="B1698" s="0" t="s">
        <v>3459</v>
      </c>
      <c r="C1698" s="0" t="s">
        <v>3447</v>
      </c>
      <c r="D1698" s="0" t="s">
        <v>3448</v>
      </c>
      <c r="E1698" s="0" t="s">
        <v>4969</v>
      </c>
      <c r="F1698" s="0" t="s">
        <v>61</v>
      </c>
      <c r="G1698" s="0" t="s">
        <v>4970</v>
      </c>
      <c r="H1698" s="0" t="s">
        <v>5547</v>
      </c>
      <c r="I1698" s="0" t="s">
        <v>4972</v>
      </c>
      <c r="J1698" s="20" t="s">
        <v>25</v>
      </c>
    </row>
    <row r="1699" customFormat="false" ht="15" hidden="false" customHeight="false" outlineLevel="0" collapsed="false">
      <c r="A1699" s="0" t="s">
        <v>1509</v>
      </c>
      <c r="B1699" s="0" t="s">
        <v>134</v>
      </c>
      <c r="C1699" s="0" t="s">
        <v>3447</v>
      </c>
      <c r="D1699" s="0" t="s">
        <v>3457</v>
      </c>
      <c r="E1699" s="0" t="s">
        <v>4963</v>
      </c>
      <c r="F1699" s="0" t="s">
        <v>30</v>
      </c>
      <c r="G1699" s="0" t="s">
        <v>4980</v>
      </c>
      <c r="H1699" s="0" t="s">
        <v>4594</v>
      </c>
      <c r="I1699" s="0" t="s">
        <v>4981</v>
      </c>
      <c r="J1699" s="18" t="s">
        <v>24</v>
      </c>
    </row>
    <row r="1700" customFormat="false" ht="15" hidden="false" customHeight="false" outlineLevel="0" collapsed="false">
      <c r="A1700" s="0" t="s">
        <v>1509</v>
      </c>
      <c r="B1700" s="0" t="s">
        <v>134</v>
      </c>
      <c r="C1700" s="0" t="s">
        <v>3447</v>
      </c>
      <c r="D1700" s="0" t="s">
        <v>3448</v>
      </c>
      <c r="E1700" s="0" t="s">
        <v>4963</v>
      </c>
      <c r="F1700" s="0" t="s">
        <v>30</v>
      </c>
      <c r="G1700" s="0" t="s">
        <v>4980</v>
      </c>
      <c r="H1700" s="0" t="s">
        <v>4390</v>
      </c>
      <c r="I1700" s="0" t="s">
        <v>4981</v>
      </c>
      <c r="J1700" s="18" t="s">
        <v>24</v>
      </c>
    </row>
    <row r="1701" customFormat="false" ht="15" hidden="false" customHeight="false" outlineLevel="0" collapsed="false">
      <c r="A1701" s="0" t="s">
        <v>1509</v>
      </c>
      <c r="B1701" s="0" t="s">
        <v>3459</v>
      </c>
      <c r="C1701" s="0" t="s">
        <v>3447</v>
      </c>
      <c r="D1701" s="0" t="s">
        <v>3457</v>
      </c>
      <c r="E1701" s="0" t="s">
        <v>4963</v>
      </c>
      <c r="F1701" s="0" t="s">
        <v>30</v>
      </c>
      <c r="G1701" s="0" t="s">
        <v>4980</v>
      </c>
      <c r="H1701" s="0" t="s">
        <v>4343</v>
      </c>
      <c r="I1701" s="0" t="s">
        <v>4981</v>
      </c>
      <c r="J1701" s="18" t="s">
        <v>24</v>
      </c>
    </row>
    <row r="1702" customFormat="false" ht="15" hidden="false" customHeight="false" outlineLevel="0" collapsed="false">
      <c r="A1702" s="0" t="s">
        <v>1509</v>
      </c>
      <c r="B1702" s="0" t="s">
        <v>3459</v>
      </c>
      <c r="C1702" s="0" t="s">
        <v>3447</v>
      </c>
      <c r="D1702" s="0" t="s">
        <v>3448</v>
      </c>
      <c r="E1702" s="0" t="s">
        <v>4963</v>
      </c>
      <c r="F1702" s="0" t="s">
        <v>30</v>
      </c>
      <c r="G1702" s="0" t="s">
        <v>4980</v>
      </c>
      <c r="H1702" s="0" t="s">
        <v>4343</v>
      </c>
      <c r="I1702" s="0" t="s">
        <v>4981</v>
      </c>
      <c r="J1702" s="18" t="s">
        <v>24</v>
      </c>
    </row>
    <row r="1703" customFormat="false" ht="15" hidden="false" customHeight="false" outlineLevel="0" collapsed="false">
      <c r="A1703" s="0" t="s">
        <v>1515</v>
      </c>
      <c r="B1703" s="0" t="s">
        <v>134</v>
      </c>
      <c r="C1703" s="0" t="s">
        <v>3447</v>
      </c>
      <c r="D1703" s="0" t="s">
        <v>3457</v>
      </c>
      <c r="E1703" s="0" t="s">
        <v>4963</v>
      </c>
      <c r="F1703" s="0" t="s">
        <v>60</v>
      </c>
      <c r="G1703" s="0" t="s">
        <v>4964</v>
      </c>
      <c r="H1703" s="0" t="s">
        <v>5204</v>
      </c>
      <c r="I1703" s="0" t="s">
        <v>4966</v>
      </c>
      <c r="J1703" s="19" t="s">
        <v>26</v>
      </c>
    </row>
    <row r="1704" customFormat="false" ht="15" hidden="false" customHeight="false" outlineLevel="0" collapsed="false">
      <c r="A1704" s="0" t="s">
        <v>1515</v>
      </c>
      <c r="B1704" s="0" t="s">
        <v>134</v>
      </c>
      <c r="C1704" s="0" t="s">
        <v>3447</v>
      </c>
      <c r="D1704" s="0" t="s">
        <v>3448</v>
      </c>
      <c r="E1704" s="0" t="s">
        <v>4963</v>
      </c>
      <c r="F1704" s="0" t="s">
        <v>60</v>
      </c>
      <c r="G1704" s="0" t="s">
        <v>4964</v>
      </c>
      <c r="H1704" s="0" t="s">
        <v>5016</v>
      </c>
      <c r="I1704" s="0" t="s">
        <v>4966</v>
      </c>
      <c r="J1704" s="19" t="s">
        <v>26</v>
      </c>
    </row>
    <row r="1705" customFormat="false" ht="15" hidden="false" customHeight="false" outlineLevel="0" collapsed="false">
      <c r="A1705" s="0" t="s">
        <v>1515</v>
      </c>
      <c r="B1705" s="0" t="s">
        <v>134</v>
      </c>
      <c r="C1705" s="0" t="s">
        <v>3447</v>
      </c>
      <c r="D1705" s="0" t="s">
        <v>3457</v>
      </c>
      <c r="E1705" s="0" t="s">
        <v>4963</v>
      </c>
      <c r="F1705" s="0" t="s">
        <v>59</v>
      </c>
      <c r="G1705" s="0" t="s">
        <v>4974</v>
      </c>
      <c r="H1705" s="0" t="s">
        <v>69</v>
      </c>
      <c r="I1705" s="0" t="s">
        <v>4975</v>
      </c>
      <c r="J1705" s="20" t="s">
        <v>25</v>
      </c>
    </row>
    <row r="1706" customFormat="false" ht="15" hidden="false" customHeight="false" outlineLevel="0" collapsed="false">
      <c r="A1706" s="0" t="s">
        <v>1515</v>
      </c>
      <c r="B1706" s="0" t="s">
        <v>134</v>
      </c>
      <c r="C1706" s="0" t="s">
        <v>3447</v>
      </c>
      <c r="D1706" s="0" t="s">
        <v>3448</v>
      </c>
      <c r="E1706" s="0" t="s">
        <v>4963</v>
      </c>
      <c r="F1706" s="0" t="s">
        <v>59</v>
      </c>
      <c r="G1706" s="0" t="s">
        <v>4974</v>
      </c>
      <c r="H1706" s="0" t="s">
        <v>69</v>
      </c>
      <c r="I1706" s="0" t="s">
        <v>4975</v>
      </c>
      <c r="J1706" s="20" t="s">
        <v>25</v>
      </c>
    </row>
    <row r="1707" customFormat="false" ht="15" hidden="false" customHeight="false" outlineLevel="0" collapsed="false">
      <c r="A1707" s="0" t="s">
        <v>1521</v>
      </c>
      <c r="B1707" s="0" t="s">
        <v>134</v>
      </c>
      <c r="C1707" s="0" t="s">
        <v>3450</v>
      </c>
      <c r="D1707" s="0" t="s">
        <v>3457</v>
      </c>
      <c r="E1707" s="0" t="s">
        <v>4963</v>
      </c>
      <c r="F1707" s="0" t="s">
        <v>60</v>
      </c>
      <c r="G1707" s="0" t="s">
        <v>4964</v>
      </c>
      <c r="H1707" s="0" t="s">
        <v>5548</v>
      </c>
      <c r="I1707" s="0" t="s">
        <v>4966</v>
      </c>
      <c r="J1707" s="19" t="s">
        <v>26</v>
      </c>
    </row>
    <row r="1708" customFormat="false" ht="15" hidden="false" customHeight="false" outlineLevel="0" collapsed="false">
      <c r="A1708" s="0" t="s">
        <v>1521</v>
      </c>
      <c r="B1708" s="0" t="s">
        <v>134</v>
      </c>
      <c r="C1708" s="0" t="s">
        <v>3450</v>
      </c>
      <c r="D1708" s="0" t="s">
        <v>3448</v>
      </c>
      <c r="E1708" s="0" t="s">
        <v>4963</v>
      </c>
      <c r="F1708" s="0" t="s">
        <v>60</v>
      </c>
      <c r="G1708" s="0" t="s">
        <v>4964</v>
      </c>
      <c r="H1708" s="0" t="s">
        <v>5549</v>
      </c>
      <c r="I1708" s="0" t="s">
        <v>4966</v>
      </c>
      <c r="J1708" s="19" t="s">
        <v>26</v>
      </c>
    </row>
    <row r="1709" customFormat="false" ht="15" hidden="false" customHeight="false" outlineLevel="0" collapsed="false">
      <c r="A1709" s="0" t="s">
        <v>1521</v>
      </c>
      <c r="B1709" s="0" t="s">
        <v>134</v>
      </c>
      <c r="C1709" s="0" t="s">
        <v>3450</v>
      </c>
      <c r="D1709" s="0" t="s">
        <v>3457</v>
      </c>
      <c r="E1709" s="0" t="s">
        <v>4963</v>
      </c>
      <c r="F1709" s="0" t="s">
        <v>59</v>
      </c>
      <c r="G1709" s="0" t="s">
        <v>4974</v>
      </c>
      <c r="H1709" s="0" t="s">
        <v>69</v>
      </c>
      <c r="I1709" s="0" t="s">
        <v>4975</v>
      </c>
      <c r="J1709" s="20" t="s">
        <v>25</v>
      </c>
    </row>
    <row r="1710" customFormat="false" ht="15" hidden="false" customHeight="false" outlineLevel="0" collapsed="false">
      <c r="A1710" s="0" t="s">
        <v>1521</v>
      </c>
      <c r="B1710" s="0" t="s">
        <v>134</v>
      </c>
      <c r="C1710" s="0" t="s">
        <v>3450</v>
      </c>
      <c r="D1710" s="0" t="s">
        <v>3457</v>
      </c>
      <c r="E1710" s="0" t="s">
        <v>4969</v>
      </c>
      <c r="F1710" s="0" t="s">
        <v>66</v>
      </c>
      <c r="G1710" s="0" t="s">
        <v>4970</v>
      </c>
      <c r="H1710" s="0" t="s">
        <v>5550</v>
      </c>
      <c r="I1710" s="0" t="s">
        <v>5030</v>
      </c>
      <c r="J1710" s="20" t="s">
        <v>25</v>
      </c>
    </row>
    <row r="1711" customFormat="false" ht="15" hidden="false" customHeight="false" outlineLevel="0" collapsed="false">
      <c r="A1711" s="0" t="s">
        <v>1521</v>
      </c>
      <c r="B1711" s="0" t="s">
        <v>134</v>
      </c>
      <c r="C1711" s="0" t="s">
        <v>3450</v>
      </c>
      <c r="D1711" s="0" t="s">
        <v>3448</v>
      </c>
      <c r="E1711" s="0" t="s">
        <v>4963</v>
      </c>
      <c r="F1711" s="0" t="s">
        <v>59</v>
      </c>
      <c r="G1711" s="0" t="s">
        <v>4974</v>
      </c>
      <c r="H1711" s="0" t="s">
        <v>69</v>
      </c>
      <c r="I1711" s="0" t="s">
        <v>4975</v>
      </c>
      <c r="J1711" s="20" t="s">
        <v>25</v>
      </c>
    </row>
    <row r="1712" customFormat="false" ht="15" hidden="false" customHeight="false" outlineLevel="0" collapsed="false">
      <c r="A1712" s="0" t="s">
        <v>1521</v>
      </c>
      <c r="B1712" s="0" t="s">
        <v>134</v>
      </c>
      <c r="C1712" s="0" t="s">
        <v>3450</v>
      </c>
      <c r="D1712" s="0" t="s">
        <v>3448</v>
      </c>
      <c r="E1712" s="0" t="s">
        <v>4969</v>
      </c>
      <c r="F1712" s="0" t="s">
        <v>61</v>
      </c>
      <c r="G1712" s="0" t="s">
        <v>4970</v>
      </c>
      <c r="H1712" s="0" t="s">
        <v>5551</v>
      </c>
      <c r="I1712" s="0" t="s">
        <v>4972</v>
      </c>
      <c r="J1712" s="20" t="s">
        <v>25</v>
      </c>
    </row>
    <row r="1713" customFormat="false" ht="15" hidden="false" customHeight="false" outlineLevel="0" collapsed="false">
      <c r="A1713" s="0" t="s">
        <v>1521</v>
      </c>
      <c r="B1713" s="0" t="s">
        <v>134</v>
      </c>
      <c r="C1713" s="0" t="s">
        <v>3447</v>
      </c>
      <c r="D1713" s="0" t="s">
        <v>3457</v>
      </c>
      <c r="E1713" s="0" t="s">
        <v>4969</v>
      </c>
      <c r="F1713" s="0" t="s">
        <v>66</v>
      </c>
      <c r="G1713" s="0" t="s">
        <v>4970</v>
      </c>
      <c r="H1713" s="0" t="s">
        <v>5552</v>
      </c>
      <c r="I1713" s="0" t="s">
        <v>5030</v>
      </c>
      <c r="J1713" s="20" t="s">
        <v>25</v>
      </c>
    </row>
    <row r="1714" customFormat="false" ht="15" hidden="false" customHeight="false" outlineLevel="0" collapsed="false">
      <c r="A1714" s="0" t="s">
        <v>1521</v>
      </c>
      <c r="B1714" s="0" t="s">
        <v>134</v>
      </c>
      <c r="C1714" s="0" t="s">
        <v>3447</v>
      </c>
      <c r="D1714" s="0" t="s">
        <v>3448</v>
      </c>
      <c r="E1714" s="0" t="s">
        <v>4969</v>
      </c>
      <c r="F1714" s="0" t="s">
        <v>61</v>
      </c>
      <c r="G1714" s="0" t="s">
        <v>4970</v>
      </c>
      <c r="H1714" s="0" t="s">
        <v>5553</v>
      </c>
      <c r="I1714" s="0" t="s">
        <v>4972</v>
      </c>
      <c r="J1714" s="20" t="s">
        <v>25</v>
      </c>
    </row>
    <row r="1715" customFormat="false" ht="15" hidden="false" customHeight="false" outlineLevel="0" collapsed="false">
      <c r="A1715" s="0" t="s">
        <v>1521</v>
      </c>
      <c r="B1715" s="0" t="s">
        <v>134</v>
      </c>
      <c r="C1715" s="0" t="s">
        <v>3447</v>
      </c>
      <c r="D1715" s="0" t="s">
        <v>3457</v>
      </c>
      <c r="E1715" s="0" t="s">
        <v>4963</v>
      </c>
      <c r="F1715" s="0" t="s">
        <v>30</v>
      </c>
      <c r="G1715" s="0" t="s">
        <v>4980</v>
      </c>
      <c r="H1715" s="0" t="s">
        <v>4599</v>
      </c>
      <c r="I1715" s="0" t="s">
        <v>4981</v>
      </c>
      <c r="J1715" s="18" t="s">
        <v>24</v>
      </c>
    </row>
    <row r="1716" customFormat="false" ht="15" hidden="false" customHeight="false" outlineLevel="0" collapsed="false">
      <c r="A1716" s="0" t="s">
        <v>1521</v>
      </c>
      <c r="B1716" s="0" t="s">
        <v>134</v>
      </c>
      <c r="C1716" s="0" t="s">
        <v>3447</v>
      </c>
      <c r="D1716" s="0" t="s">
        <v>3448</v>
      </c>
      <c r="E1716" s="0" t="s">
        <v>4963</v>
      </c>
      <c r="F1716" s="0" t="s">
        <v>30</v>
      </c>
      <c r="G1716" s="0" t="s">
        <v>4980</v>
      </c>
      <c r="H1716" s="0" t="s">
        <v>4600</v>
      </c>
      <c r="I1716" s="0" t="s">
        <v>4981</v>
      </c>
      <c r="J1716" s="18" t="s">
        <v>24</v>
      </c>
    </row>
    <row r="1717" customFormat="false" ht="15" hidden="false" customHeight="false" outlineLevel="0" collapsed="false">
      <c r="A1717" s="0" t="s">
        <v>1527</v>
      </c>
      <c r="B1717" s="0" t="s">
        <v>134</v>
      </c>
      <c r="C1717" s="0" t="s">
        <v>3450</v>
      </c>
      <c r="D1717" s="0" t="s">
        <v>3457</v>
      </c>
      <c r="E1717" s="0" t="s">
        <v>4969</v>
      </c>
      <c r="F1717" s="0" t="s">
        <v>63</v>
      </c>
      <c r="G1717" s="0" t="s">
        <v>4220</v>
      </c>
      <c r="H1717" s="0" t="s">
        <v>5080</v>
      </c>
      <c r="I1717" s="0" t="s">
        <v>4979</v>
      </c>
      <c r="J1717" s="20" t="s">
        <v>25</v>
      </c>
    </row>
    <row r="1718" customFormat="false" ht="15" hidden="false" customHeight="false" outlineLevel="0" collapsed="false">
      <c r="A1718" s="0" t="s">
        <v>1527</v>
      </c>
      <c r="B1718" s="0" t="s">
        <v>134</v>
      </c>
      <c r="C1718" s="0" t="s">
        <v>3450</v>
      </c>
      <c r="D1718" s="0" t="s">
        <v>3448</v>
      </c>
      <c r="E1718" s="0" t="s">
        <v>4963</v>
      </c>
      <c r="F1718" s="0" t="s">
        <v>59</v>
      </c>
      <c r="G1718" s="0" t="s">
        <v>4974</v>
      </c>
      <c r="H1718" s="0" t="s">
        <v>69</v>
      </c>
      <c r="I1718" s="0" t="s">
        <v>4975</v>
      </c>
      <c r="J1718" s="20" t="s">
        <v>25</v>
      </c>
    </row>
    <row r="1719" customFormat="false" ht="15" hidden="false" customHeight="false" outlineLevel="0" collapsed="false">
      <c r="A1719" s="0" t="s">
        <v>1527</v>
      </c>
      <c r="B1719" s="0" t="s">
        <v>134</v>
      </c>
      <c r="C1719" s="0" t="s">
        <v>3450</v>
      </c>
      <c r="D1719" s="0" t="s">
        <v>3448</v>
      </c>
      <c r="E1719" s="0" t="s">
        <v>4969</v>
      </c>
      <c r="F1719" s="0" t="s">
        <v>63</v>
      </c>
      <c r="G1719" s="0" t="s">
        <v>4220</v>
      </c>
      <c r="H1719" s="0" t="s">
        <v>5394</v>
      </c>
      <c r="I1719" s="0" t="s">
        <v>4979</v>
      </c>
      <c r="J1719" s="20" t="s">
        <v>25</v>
      </c>
    </row>
    <row r="1720" customFormat="false" ht="15" hidden="false" customHeight="false" outlineLevel="0" collapsed="false">
      <c r="A1720" s="0" t="s">
        <v>1527</v>
      </c>
      <c r="B1720" s="0" t="s">
        <v>134</v>
      </c>
      <c r="C1720" s="0" t="s">
        <v>3447</v>
      </c>
      <c r="D1720" s="0" t="s">
        <v>3457</v>
      </c>
      <c r="E1720" s="0" t="s">
        <v>4969</v>
      </c>
      <c r="F1720" s="0" t="s">
        <v>63</v>
      </c>
      <c r="G1720" s="0" t="s">
        <v>4220</v>
      </c>
      <c r="H1720" s="0" t="s">
        <v>5080</v>
      </c>
      <c r="I1720" s="0" t="s">
        <v>4979</v>
      </c>
      <c r="J1720" s="20" t="s">
        <v>25</v>
      </c>
    </row>
    <row r="1721" customFormat="false" ht="15" hidden="false" customHeight="false" outlineLevel="0" collapsed="false">
      <c r="A1721" s="0" t="s">
        <v>1527</v>
      </c>
      <c r="B1721" s="0" t="s">
        <v>134</v>
      </c>
      <c r="C1721" s="0" t="s">
        <v>3447</v>
      </c>
      <c r="D1721" s="0" t="s">
        <v>3448</v>
      </c>
      <c r="E1721" s="0" t="s">
        <v>4963</v>
      </c>
      <c r="F1721" s="0" t="s">
        <v>59</v>
      </c>
      <c r="G1721" s="0" t="s">
        <v>4974</v>
      </c>
      <c r="H1721" s="0" t="s">
        <v>69</v>
      </c>
      <c r="I1721" s="0" t="s">
        <v>4975</v>
      </c>
      <c r="J1721" s="20" t="s">
        <v>25</v>
      </c>
    </row>
    <row r="1722" customFormat="false" ht="15" hidden="false" customHeight="false" outlineLevel="0" collapsed="false">
      <c r="A1722" s="0" t="s">
        <v>1527</v>
      </c>
      <c r="B1722" s="0" t="s">
        <v>134</v>
      </c>
      <c r="C1722" s="0" t="s">
        <v>3447</v>
      </c>
      <c r="D1722" s="0" t="s">
        <v>3448</v>
      </c>
      <c r="E1722" s="0" t="s">
        <v>4969</v>
      </c>
      <c r="F1722" s="0" t="s">
        <v>63</v>
      </c>
      <c r="G1722" s="0" t="s">
        <v>4220</v>
      </c>
      <c r="H1722" s="0" t="s">
        <v>5394</v>
      </c>
      <c r="I1722" s="0" t="s">
        <v>4979</v>
      </c>
      <c r="J1722" s="20" t="s">
        <v>25</v>
      </c>
    </row>
    <row r="1723" customFormat="false" ht="15" hidden="false" customHeight="false" outlineLevel="0" collapsed="false">
      <c r="A1723" s="0" t="s">
        <v>1527</v>
      </c>
      <c r="B1723" s="0" t="s">
        <v>134</v>
      </c>
      <c r="C1723" s="0" t="s">
        <v>3450</v>
      </c>
      <c r="D1723" s="0" t="s">
        <v>3448</v>
      </c>
      <c r="E1723" s="0" t="s">
        <v>4963</v>
      </c>
      <c r="F1723" s="0" t="s">
        <v>30</v>
      </c>
      <c r="G1723" s="0" t="s">
        <v>4980</v>
      </c>
      <c r="H1723" s="0" t="s">
        <v>4265</v>
      </c>
      <c r="I1723" s="0" t="s">
        <v>4981</v>
      </c>
      <c r="J1723" s="18" t="s">
        <v>24</v>
      </c>
    </row>
    <row r="1724" customFormat="false" ht="15" hidden="false" customHeight="false" outlineLevel="0" collapsed="false">
      <c r="A1724" s="0" t="s">
        <v>1527</v>
      </c>
      <c r="B1724" s="0" t="s">
        <v>134</v>
      </c>
      <c r="C1724" s="0" t="s">
        <v>3447</v>
      </c>
      <c r="D1724" s="0" t="s">
        <v>3448</v>
      </c>
      <c r="E1724" s="0" t="s">
        <v>4963</v>
      </c>
      <c r="F1724" s="0" t="s">
        <v>30</v>
      </c>
      <c r="G1724" s="0" t="s">
        <v>4980</v>
      </c>
      <c r="H1724" s="0" t="s">
        <v>4601</v>
      </c>
      <c r="I1724" s="0" t="s">
        <v>4981</v>
      </c>
      <c r="J1724" s="18" t="s">
        <v>24</v>
      </c>
    </row>
    <row r="1725" customFormat="false" ht="15" hidden="false" customHeight="false" outlineLevel="0" collapsed="false">
      <c r="A1725" s="0" t="s">
        <v>1533</v>
      </c>
      <c r="B1725" s="0" t="s">
        <v>3459</v>
      </c>
      <c r="C1725" s="0" t="s">
        <v>3450</v>
      </c>
      <c r="D1725" s="0" t="s">
        <v>3457</v>
      </c>
      <c r="E1725" s="0" t="s">
        <v>4963</v>
      </c>
      <c r="F1725" s="0" t="s">
        <v>60</v>
      </c>
      <c r="G1725" s="0" t="s">
        <v>4964</v>
      </c>
      <c r="H1725" s="0" t="s">
        <v>5082</v>
      </c>
      <c r="I1725" s="0" t="s">
        <v>4966</v>
      </c>
      <c r="J1725" s="19" t="s">
        <v>26</v>
      </c>
    </row>
    <row r="1726" customFormat="false" ht="15" hidden="false" customHeight="false" outlineLevel="0" collapsed="false">
      <c r="A1726" s="0" t="s">
        <v>1533</v>
      </c>
      <c r="B1726" s="0" t="s">
        <v>134</v>
      </c>
      <c r="C1726" s="0" t="s">
        <v>3450</v>
      </c>
      <c r="D1726" s="0" t="s">
        <v>3457</v>
      </c>
      <c r="E1726" s="0" t="s">
        <v>4963</v>
      </c>
      <c r="F1726" s="0" t="s">
        <v>59</v>
      </c>
      <c r="G1726" s="0" t="s">
        <v>4974</v>
      </c>
      <c r="H1726" s="0" t="s">
        <v>69</v>
      </c>
      <c r="I1726" s="0" t="s">
        <v>4975</v>
      </c>
      <c r="J1726" s="20" t="s">
        <v>25</v>
      </c>
    </row>
    <row r="1727" customFormat="false" ht="15" hidden="false" customHeight="false" outlineLevel="0" collapsed="false">
      <c r="A1727" s="0" t="s">
        <v>1533</v>
      </c>
      <c r="B1727" s="0" t="s">
        <v>134</v>
      </c>
      <c r="C1727" s="0" t="s">
        <v>3450</v>
      </c>
      <c r="D1727" s="0" t="s">
        <v>3457</v>
      </c>
      <c r="E1727" s="0" t="s">
        <v>4969</v>
      </c>
      <c r="F1727" s="0" t="s">
        <v>61</v>
      </c>
      <c r="G1727" s="0" t="s">
        <v>4970</v>
      </c>
      <c r="H1727" s="0" t="s">
        <v>5554</v>
      </c>
      <c r="I1727" s="0" t="s">
        <v>4972</v>
      </c>
      <c r="J1727" s="20" t="s">
        <v>25</v>
      </c>
    </row>
    <row r="1728" customFormat="false" ht="15" hidden="false" customHeight="false" outlineLevel="0" collapsed="false">
      <c r="A1728" s="0" t="s">
        <v>1533</v>
      </c>
      <c r="B1728" s="0" t="s">
        <v>134</v>
      </c>
      <c r="C1728" s="0" t="s">
        <v>3450</v>
      </c>
      <c r="D1728" s="0" t="s">
        <v>3457</v>
      </c>
      <c r="E1728" s="0" t="s">
        <v>4969</v>
      </c>
      <c r="F1728" s="0" t="s">
        <v>63</v>
      </c>
      <c r="G1728" s="0" t="s">
        <v>4220</v>
      </c>
      <c r="H1728" s="0" t="s">
        <v>5555</v>
      </c>
      <c r="I1728" s="0" t="s">
        <v>4979</v>
      </c>
      <c r="J1728" s="20" t="s">
        <v>25</v>
      </c>
    </row>
    <row r="1729" customFormat="false" ht="15" hidden="false" customHeight="false" outlineLevel="0" collapsed="false">
      <c r="A1729" s="0" t="s">
        <v>1533</v>
      </c>
      <c r="B1729" s="0" t="s">
        <v>134</v>
      </c>
      <c r="C1729" s="0" t="s">
        <v>3450</v>
      </c>
      <c r="D1729" s="0" t="s">
        <v>3448</v>
      </c>
      <c r="E1729" s="0" t="s">
        <v>4963</v>
      </c>
      <c r="F1729" s="0" t="s">
        <v>59</v>
      </c>
      <c r="G1729" s="0" t="s">
        <v>4974</v>
      </c>
      <c r="H1729" s="0" t="s">
        <v>69</v>
      </c>
      <c r="I1729" s="0" t="s">
        <v>4975</v>
      </c>
      <c r="J1729" s="20" t="s">
        <v>25</v>
      </c>
    </row>
    <row r="1730" customFormat="false" ht="15" hidden="false" customHeight="false" outlineLevel="0" collapsed="false">
      <c r="A1730" s="0" t="s">
        <v>1533</v>
      </c>
      <c r="B1730" s="0" t="s">
        <v>134</v>
      </c>
      <c r="C1730" s="0" t="s">
        <v>3447</v>
      </c>
      <c r="D1730" s="0" t="s">
        <v>3457</v>
      </c>
      <c r="E1730" s="0" t="s">
        <v>4969</v>
      </c>
      <c r="F1730" s="0" t="s">
        <v>63</v>
      </c>
      <c r="G1730" s="0" t="s">
        <v>4220</v>
      </c>
      <c r="H1730" s="0" t="s">
        <v>5555</v>
      </c>
      <c r="I1730" s="0" t="s">
        <v>4979</v>
      </c>
      <c r="J1730" s="20" t="s">
        <v>25</v>
      </c>
    </row>
    <row r="1731" customFormat="false" ht="15" hidden="false" customHeight="false" outlineLevel="0" collapsed="false">
      <c r="A1731" s="0" t="s">
        <v>1533</v>
      </c>
      <c r="B1731" s="0" t="s">
        <v>3459</v>
      </c>
      <c r="C1731" s="0" t="s">
        <v>3450</v>
      </c>
      <c r="D1731" s="0" t="s">
        <v>3457</v>
      </c>
      <c r="E1731" s="0" t="s">
        <v>4963</v>
      </c>
      <c r="F1731" s="0" t="s">
        <v>59</v>
      </c>
      <c r="G1731" s="0" t="s">
        <v>4974</v>
      </c>
      <c r="H1731" s="0" t="s">
        <v>69</v>
      </c>
      <c r="I1731" s="0" t="s">
        <v>4975</v>
      </c>
      <c r="J1731" s="20" t="s">
        <v>25</v>
      </c>
    </row>
    <row r="1732" customFormat="false" ht="15" hidden="false" customHeight="false" outlineLevel="0" collapsed="false">
      <c r="A1732" s="0" t="s">
        <v>1533</v>
      </c>
      <c r="B1732" s="0" t="s">
        <v>3459</v>
      </c>
      <c r="C1732" s="0" t="s">
        <v>3450</v>
      </c>
      <c r="D1732" s="0" t="s">
        <v>3457</v>
      </c>
      <c r="E1732" s="0" t="s">
        <v>4969</v>
      </c>
      <c r="F1732" s="0" t="s">
        <v>61</v>
      </c>
      <c r="G1732" s="0" t="s">
        <v>4970</v>
      </c>
      <c r="H1732" s="0" t="s">
        <v>5556</v>
      </c>
      <c r="I1732" s="0" t="s">
        <v>4972</v>
      </c>
      <c r="J1732" s="20" t="s">
        <v>25</v>
      </c>
    </row>
    <row r="1733" customFormat="false" ht="15" hidden="false" customHeight="false" outlineLevel="0" collapsed="false">
      <c r="A1733" s="0" t="s">
        <v>1533</v>
      </c>
      <c r="B1733" s="0" t="s">
        <v>3459</v>
      </c>
      <c r="C1733" s="0" t="s">
        <v>3450</v>
      </c>
      <c r="D1733" s="0" t="s">
        <v>3448</v>
      </c>
      <c r="E1733" s="0" t="s">
        <v>4963</v>
      </c>
      <c r="F1733" s="0" t="s">
        <v>59</v>
      </c>
      <c r="G1733" s="0" t="s">
        <v>4974</v>
      </c>
      <c r="H1733" s="0" t="s">
        <v>69</v>
      </c>
      <c r="I1733" s="0" t="s">
        <v>4975</v>
      </c>
      <c r="J1733" s="20" t="s">
        <v>25</v>
      </c>
    </row>
    <row r="1734" customFormat="false" ht="15" hidden="false" customHeight="false" outlineLevel="0" collapsed="false">
      <c r="A1734" s="0" t="s">
        <v>1533</v>
      </c>
      <c r="B1734" s="0" t="s">
        <v>3459</v>
      </c>
      <c r="C1734" s="0" t="s">
        <v>3447</v>
      </c>
      <c r="D1734" s="0" t="s">
        <v>3457</v>
      </c>
      <c r="E1734" s="0" t="s">
        <v>4963</v>
      </c>
      <c r="F1734" s="0" t="s">
        <v>59</v>
      </c>
      <c r="G1734" s="0" t="s">
        <v>4974</v>
      </c>
      <c r="H1734" s="0" t="s">
        <v>69</v>
      </c>
      <c r="I1734" s="0" t="s">
        <v>4975</v>
      </c>
      <c r="J1734" s="20" t="s">
        <v>25</v>
      </c>
    </row>
    <row r="1735" customFormat="false" ht="15" hidden="false" customHeight="false" outlineLevel="0" collapsed="false">
      <c r="A1735" s="0" t="s">
        <v>1533</v>
      </c>
      <c r="B1735" s="0" t="s">
        <v>3459</v>
      </c>
      <c r="C1735" s="0" t="s">
        <v>3447</v>
      </c>
      <c r="D1735" s="0" t="s">
        <v>3457</v>
      </c>
      <c r="E1735" s="0" t="s">
        <v>4969</v>
      </c>
      <c r="F1735" s="0" t="s">
        <v>61</v>
      </c>
      <c r="G1735" s="0" t="s">
        <v>4970</v>
      </c>
      <c r="H1735" s="0" t="s">
        <v>5557</v>
      </c>
      <c r="I1735" s="0" t="s">
        <v>4972</v>
      </c>
      <c r="J1735" s="20" t="s">
        <v>25</v>
      </c>
    </row>
    <row r="1736" customFormat="false" ht="15" hidden="false" customHeight="false" outlineLevel="0" collapsed="false">
      <c r="A1736" s="0" t="s">
        <v>1533</v>
      </c>
      <c r="B1736" s="0" t="s">
        <v>3459</v>
      </c>
      <c r="C1736" s="0" t="s">
        <v>3447</v>
      </c>
      <c r="D1736" s="0" t="s">
        <v>3448</v>
      </c>
      <c r="E1736" s="0" t="s">
        <v>4963</v>
      </c>
      <c r="F1736" s="0" t="s">
        <v>59</v>
      </c>
      <c r="G1736" s="0" t="s">
        <v>4974</v>
      </c>
      <c r="H1736" s="0" t="s">
        <v>69</v>
      </c>
      <c r="I1736" s="0" t="s">
        <v>4975</v>
      </c>
      <c r="J1736" s="20" t="s">
        <v>25</v>
      </c>
    </row>
    <row r="1737" customFormat="false" ht="15" hidden="false" customHeight="false" outlineLevel="0" collapsed="false">
      <c r="A1737" s="0" t="s">
        <v>1533</v>
      </c>
      <c r="B1737" s="0" t="s">
        <v>3459</v>
      </c>
      <c r="C1737" s="0" t="s">
        <v>3447</v>
      </c>
      <c r="D1737" s="0" t="s">
        <v>3448</v>
      </c>
      <c r="E1737" s="0" t="s">
        <v>4969</v>
      </c>
      <c r="F1737" s="0" t="s">
        <v>61</v>
      </c>
      <c r="G1737" s="0" t="s">
        <v>4970</v>
      </c>
      <c r="H1737" s="0" t="s">
        <v>5558</v>
      </c>
      <c r="I1737" s="0" t="s">
        <v>4972</v>
      </c>
      <c r="J1737" s="20" t="s">
        <v>25</v>
      </c>
    </row>
    <row r="1738" customFormat="false" ht="15" hidden="false" customHeight="false" outlineLevel="0" collapsed="false">
      <c r="A1738" s="0" t="s">
        <v>1533</v>
      </c>
      <c r="B1738" s="0" t="s">
        <v>134</v>
      </c>
      <c r="C1738" s="0" t="s">
        <v>3450</v>
      </c>
      <c r="D1738" s="0" t="s">
        <v>3457</v>
      </c>
      <c r="E1738" s="0" t="s">
        <v>4963</v>
      </c>
      <c r="F1738" s="0" t="s">
        <v>30</v>
      </c>
      <c r="G1738" s="0" t="s">
        <v>4980</v>
      </c>
      <c r="H1738" s="0" t="s">
        <v>4327</v>
      </c>
      <c r="I1738" s="0" t="s">
        <v>4981</v>
      </c>
      <c r="J1738" s="18" t="s">
        <v>24</v>
      </c>
    </row>
    <row r="1739" customFormat="false" ht="15" hidden="false" customHeight="false" outlineLevel="0" collapsed="false">
      <c r="A1739" s="0" t="s">
        <v>1533</v>
      </c>
      <c r="B1739" s="0" t="s">
        <v>134</v>
      </c>
      <c r="C1739" s="0" t="s">
        <v>3450</v>
      </c>
      <c r="D1739" s="0" t="s">
        <v>3448</v>
      </c>
      <c r="E1739" s="0" t="s">
        <v>4963</v>
      </c>
      <c r="F1739" s="0" t="s">
        <v>30</v>
      </c>
      <c r="G1739" s="0" t="s">
        <v>4980</v>
      </c>
      <c r="H1739" s="0" t="s">
        <v>4328</v>
      </c>
      <c r="I1739" s="0" t="s">
        <v>4981</v>
      </c>
      <c r="J1739" s="18" t="s">
        <v>24</v>
      </c>
    </row>
    <row r="1740" customFormat="false" ht="15" hidden="false" customHeight="false" outlineLevel="0" collapsed="false">
      <c r="A1740" s="0" t="s">
        <v>1533</v>
      </c>
      <c r="B1740" s="0" t="s">
        <v>134</v>
      </c>
      <c r="C1740" s="0" t="s">
        <v>3447</v>
      </c>
      <c r="D1740" s="0" t="s">
        <v>3457</v>
      </c>
      <c r="E1740" s="0" t="s">
        <v>4963</v>
      </c>
      <c r="F1740" s="0" t="s">
        <v>30</v>
      </c>
      <c r="G1740" s="0" t="s">
        <v>4980</v>
      </c>
      <c r="H1740" s="0" t="s">
        <v>4602</v>
      </c>
      <c r="I1740" s="0" t="s">
        <v>4981</v>
      </c>
      <c r="J1740" s="18" t="s">
        <v>24</v>
      </c>
    </row>
    <row r="1741" customFormat="false" ht="15" hidden="false" customHeight="false" outlineLevel="0" collapsed="false">
      <c r="A1741" s="0" t="s">
        <v>1533</v>
      </c>
      <c r="B1741" s="0" t="s">
        <v>134</v>
      </c>
      <c r="C1741" s="0" t="s">
        <v>3447</v>
      </c>
      <c r="D1741" s="0" t="s">
        <v>3448</v>
      </c>
      <c r="E1741" s="0" t="s">
        <v>4963</v>
      </c>
      <c r="F1741" s="0" t="s">
        <v>30</v>
      </c>
      <c r="G1741" s="0" t="s">
        <v>4980</v>
      </c>
      <c r="H1741" s="0" t="s">
        <v>4603</v>
      </c>
      <c r="I1741" s="0" t="s">
        <v>4981</v>
      </c>
      <c r="J1741" s="18" t="s">
        <v>24</v>
      </c>
    </row>
    <row r="1742" customFormat="false" ht="15" hidden="false" customHeight="false" outlineLevel="0" collapsed="false">
      <c r="A1742" s="0" t="s">
        <v>1533</v>
      </c>
      <c r="B1742" s="0" t="s">
        <v>3459</v>
      </c>
      <c r="C1742" s="0" t="s">
        <v>3450</v>
      </c>
      <c r="D1742" s="0" t="s">
        <v>3448</v>
      </c>
      <c r="E1742" s="0" t="s">
        <v>4963</v>
      </c>
      <c r="F1742" s="0" t="s">
        <v>30</v>
      </c>
      <c r="G1742" s="0" t="s">
        <v>4980</v>
      </c>
      <c r="H1742" s="0" t="s">
        <v>4604</v>
      </c>
      <c r="I1742" s="0" t="s">
        <v>4981</v>
      </c>
      <c r="J1742" s="18" t="s">
        <v>24</v>
      </c>
    </row>
    <row r="1743" customFormat="false" ht="15" hidden="false" customHeight="false" outlineLevel="0" collapsed="false">
      <c r="A1743" s="0" t="s">
        <v>1533</v>
      </c>
      <c r="B1743" s="0" t="s">
        <v>3459</v>
      </c>
      <c r="C1743" s="0" t="s">
        <v>3447</v>
      </c>
      <c r="D1743" s="0" t="s">
        <v>3457</v>
      </c>
      <c r="E1743" s="0" t="s">
        <v>4963</v>
      </c>
      <c r="F1743" s="0" t="s">
        <v>30</v>
      </c>
      <c r="G1743" s="0" t="s">
        <v>4980</v>
      </c>
      <c r="H1743" s="0" t="s">
        <v>4434</v>
      </c>
      <c r="I1743" s="0" t="s">
        <v>4981</v>
      </c>
      <c r="J1743" s="18" t="s">
        <v>24</v>
      </c>
    </row>
    <row r="1744" customFormat="false" ht="15" hidden="false" customHeight="false" outlineLevel="0" collapsed="false">
      <c r="A1744" s="0" t="s">
        <v>1533</v>
      </c>
      <c r="B1744" s="0" t="s">
        <v>3459</v>
      </c>
      <c r="C1744" s="0" t="s">
        <v>3447</v>
      </c>
      <c r="D1744" s="0" t="s">
        <v>3448</v>
      </c>
      <c r="E1744" s="0" t="s">
        <v>4963</v>
      </c>
      <c r="F1744" s="0" t="s">
        <v>30</v>
      </c>
      <c r="G1744" s="0" t="s">
        <v>4980</v>
      </c>
      <c r="H1744" s="0" t="s">
        <v>4434</v>
      </c>
      <c r="I1744" s="0" t="s">
        <v>4981</v>
      </c>
      <c r="J1744" s="18" t="s">
        <v>24</v>
      </c>
    </row>
    <row r="1745" customFormat="false" ht="15" hidden="false" customHeight="false" outlineLevel="0" collapsed="false">
      <c r="A1745" s="0" t="s">
        <v>1547</v>
      </c>
      <c r="B1745" s="0" t="s">
        <v>134</v>
      </c>
      <c r="C1745" s="0" t="s">
        <v>3447</v>
      </c>
      <c r="D1745" s="0" t="s">
        <v>3448</v>
      </c>
      <c r="E1745" s="0" t="s">
        <v>4963</v>
      </c>
      <c r="F1745" s="0" t="s">
        <v>60</v>
      </c>
      <c r="G1745" s="0" t="s">
        <v>4964</v>
      </c>
      <c r="H1745" s="0" t="s">
        <v>5559</v>
      </c>
      <c r="I1745" s="0" t="s">
        <v>4966</v>
      </c>
      <c r="J1745" s="19" t="s">
        <v>26</v>
      </c>
    </row>
    <row r="1746" customFormat="false" ht="15" hidden="false" customHeight="false" outlineLevel="0" collapsed="false">
      <c r="A1746" s="0" t="s">
        <v>1547</v>
      </c>
      <c r="B1746" s="0" t="s">
        <v>134</v>
      </c>
      <c r="C1746" s="0" t="s">
        <v>3450</v>
      </c>
      <c r="D1746" s="0" t="s">
        <v>3457</v>
      </c>
      <c r="E1746" s="0" t="s">
        <v>4969</v>
      </c>
      <c r="F1746" s="0" t="s">
        <v>63</v>
      </c>
      <c r="G1746" s="0" t="s">
        <v>4220</v>
      </c>
      <c r="H1746" s="0" t="s">
        <v>5560</v>
      </c>
      <c r="I1746" s="0" t="s">
        <v>4979</v>
      </c>
      <c r="J1746" s="20" t="s">
        <v>25</v>
      </c>
    </row>
    <row r="1747" customFormat="false" ht="15" hidden="false" customHeight="false" outlineLevel="0" collapsed="false">
      <c r="A1747" s="0" t="s">
        <v>1547</v>
      </c>
      <c r="B1747" s="0" t="s">
        <v>134</v>
      </c>
      <c r="C1747" s="0" t="s">
        <v>3450</v>
      </c>
      <c r="D1747" s="0" t="s">
        <v>3448</v>
      </c>
      <c r="E1747" s="0" t="s">
        <v>4969</v>
      </c>
      <c r="F1747" s="0" t="s">
        <v>62</v>
      </c>
      <c r="G1747" s="0" t="s">
        <v>5003</v>
      </c>
      <c r="H1747" s="0" t="s">
        <v>5561</v>
      </c>
      <c r="I1747" s="0" t="s">
        <v>5005</v>
      </c>
      <c r="J1747" s="20" t="s">
        <v>25</v>
      </c>
    </row>
    <row r="1748" customFormat="false" ht="15" hidden="false" customHeight="false" outlineLevel="0" collapsed="false">
      <c r="A1748" s="0" t="s">
        <v>1547</v>
      </c>
      <c r="B1748" s="0" t="s">
        <v>134</v>
      </c>
      <c r="C1748" s="0" t="s">
        <v>3447</v>
      </c>
      <c r="D1748" s="0" t="s">
        <v>3457</v>
      </c>
      <c r="E1748" s="0" t="s">
        <v>4969</v>
      </c>
      <c r="F1748" s="0" t="s">
        <v>63</v>
      </c>
      <c r="G1748" s="0" t="s">
        <v>4220</v>
      </c>
      <c r="H1748" s="0" t="s">
        <v>5560</v>
      </c>
      <c r="I1748" s="0" t="s">
        <v>4979</v>
      </c>
      <c r="J1748" s="20" t="s">
        <v>25</v>
      </c>
    </row>
    <row r="1749" customFormat="false" ht="15" hidden="false" customHeight="false" outlineLevel="0" collapsed="false">
      <c r="A1749" s="0" t="s">
        <v>1547</v>
      </c>
      <c r="B1749" s="0" t="s">
        <v>134</v>
      </c>
      <c r="C1749" s="0" t="s">
        <v>3447</v>
      </c>
      <c r="D1749" s="0" t="s">
        <v>3448</v>
      </c>
      <c r="E1749" s="0" t="s">
        <v>4963</v>
      </c>
      <c r="F1749" s="0" t="s">
        <v>59</v>
      </c>
      <c r="G1749" s="0" t="s">
        <v>4974</v>
      </c>
      <c r="H1749" s="0" t="s">
        <v>69</v>
      </c>
      <c r="I1749" s="0" t="s">
        <v>4975</v>
      </c>
      <c r="J1749" s="20" t="s">
        <v>25</v>
      </c>
    </row>
    <row r="1750" customFormat="false" ht="15" hidden="false" customHeight="false" outlineLevel="0" collapsed="false">
      <c r="A1750" s="0" t="s">
        <v>1547</v>
      </c>
      <c r="B1750" s="0" t="s">
        <v>134</v>
      </c>
      <c r="C1750" s="0" t="s">
        <v>3447</v>
      </c>
      <c r="D1750" s="0" t="s">
        <v>3457</v>
      </c>
      <c r="E1750" s="0" t="s">
        <v>4963</v>
      </c>
      <c r="F1750" s="0" t="s">
        <v>30</v>
      </c>
      <c r="G1750" s="0" t="s">
        <v>4980</v>
      </c>
      <c r="H1750" s="0" t="s">
        <v>4605</v>
      </c>
      <c r="I1750" s="0" t="s">
        <v>4981</v>
      </c>
      <c r="J1750" s="18" t="s">
        <v>24</v>
      </c>
    </row>
    <row r="1751" customFormat="false" ht="15" hidden="false" customHeight="false" outlineLevel="0" collapsed="false">
      <c r="A1751" s="0" t="s">
        <v>1553</v>
      </c>
      <c r="B1751" s="0" t="s">
        <v>3459</v>
      </c>
      <c r="C1751" s="0" t="s">
        <v>3447</v>
      </c>
      <c r="D1751" s="0" t="s">
        <v>3457</v>
      </c>
      <c r="E1751" s="0" t="s">
        <v>4963</v>
      </c>
      <c r="F1751" s="0" t="s">
        <v>60</v>
      </c>
      <c r="G1751" s="0" t="s">
        <v>4964</v>
      </c>
      <c r="H1751" s="0" t="s">
        <v>5180</v>
      </c>
      <c r="I1751" s="0" t="s">
        <v>4966</v>
      </c>
      <c r="J1751" s="19" t="s">
        <v>26</v>
      </c>
    </row>
    <row r="1752" customFormat="false" ht="15" hidden="false" customHeight="false" outlineLevel="0" collapsed="false">
      <c r="A1752" s="0" t="s">
        <v>1553</v>
      </c>
      <c r="B1752" s="0" t="s">
        <v>3459</v>
      </c>
      <c r="C1752" s="0" t="s">
        <v>3447</v>
      </c>
      <c r="D1752" s="0" t="s">
        <v>3448</v>
      </c>
      <c r="E1752" s="0" t="s">
        <v>4963</v>
      </c>
      <c r="F1752" s="0" t="s">
        <v>60</v>
      </c>
      <c r="G1752" s="0" t="s">
        <v>4964</v>
      </c>
      <c r="H1752" s="0" t="s">
        <v>5016</v>
      </c>
      <c r="I1752" s="0" t="s">
        <v>4966</v>
      </c>
      <c r="J1752" s="19" t="s">
        <v>26</v>
      </c>
    </row>
    <row r="1753" customFormat="false" ht="15" hidden="false" customHeight="false" outlineLevel="0" collapsed="false">
      <c r="A1753" s="0" t="s">
        <v>1553</v>
      </c>
      <c r="B1753" s="0" t="s">
        <v>134</v>
      </c>
      <c r="C1753" s="0" t="s">
        <v>3450</v>
      </c>
      <c r="D1753" s="0" t="s">
        <v>3457</v>
      </c>
      <c r="E1753" s="0" t="s">
        <v>4969</v>
      </c>
      <c r="F1753" s="0" t="s">
        <v>63</v>
      </c>
      <c r="G1753" s="0" t="s">
        <v>4220</v>
      </c>
      <c r="H1753" s="0" t="s">
        <v>5562</v>
      </c>
      <c r="I1753" s="0" t="s">
        <v>4979</v>
      </c>
      <c r="J1753" s="20" t="s">
        <v>25</v>
      </c>
    </row>
    <row r="1754" customFormat="false" ht="15" hidden="false" customHeight="false" outlineLevel="0" collapsed="false">
      <c r="A1754" s="0" t="s">
        <v>1553</v>
      </c>
      <c r="B1754" s="0" t="s">
        <v>134</v>
      </c>
      <c r="C1754" s="0" t="s">
        <v>3447</v>
      </c>
      <c r="D1754" s="0" t="s">
        <v>3457</v>
      </c>
      <c r="E1754" s="0" t="s">
        <v>4969</v>
      </c>
      <c r="F1754" s="0" t="s">
        <v>63</v>
      </c>
      <c r="G1754" s="0" t="s">
        <v>4220</v>
      </c>
      <c r="H1754" s="0" t="s">
        <v>5562</v>
      </c>
      <c r="I1754" s="0" t="s">
        <v>4979</v>
      </c>
      <c r="J1754" s="20" t="s">
        <v>25</v>
      </c>
    </row>
    <row r="1755" customFormat="false" ht="15" hidden="false" customHeight="false" outlineLevel="0" collapsed="false">
      <c r="A1755" s="0" t="s">
        <v>1553</v>
      </c>
      <c r="B1755" s="0" t="s">
        <v>3459</v>
      </c>
      <c r="C1755" s="0" t="s">
        <v>3450</v>
      </c>
      <c r="D1755" s="0" t="s">
        <v>3457</v>
      </c>
      <c r="E1755" s="0" t="s">
        <v>4969</v>
      </c>
      <c r="F1755" s="0" t="s">
        <v>61</v>
      </c>
      <c r="G1755" s="0" t="s">
        <v>4970</v>
      </c>
      <c r="H1755" s="0" t="s">
        <v>5563</v>
      </c>
      <c r="I1755" s="0" t="s">
        <v>4972</v>
      </c>
      <c r="J1755" s="20" t="s">
        <v>25</v>
      </c>
    </row>
    <row r="1756" customFormat="false" ht="15" hidden="false" customHeight="false" outlineLevel="0" collapsed="false">
      <c r="A1756" s="0" t="s">
        <v>1553</v>
      </c>
      <c r="B1756" s="0" t="s">
        <v>3459</v>
      </c>
      <c r="C1756" s="0" t="s">
        <v>3450</v>
      </c>
      <c r="D1756" s="0" t="s">
        <v>3448</v>
      </c>
      <c r="E1756" s="0" t="s">
        <v>4969</v>
      </c>
      <c r="F1756" s="0" t="s">
        <v>61</v>
      </c>
      <c r="G1756" s="0" t="s">
        <v>4970</v>
      </c>
      <c r="H1756" s="0" t="s">
        <v>5564</v>
      </c>
      <c r="I1756" s="0" t="s">
        <v>4972</v>
      </c>
      <c r="J1756" s="20" t="s">
        <v>25</v>
      </c>
    </row>
    <row r="1757" customFormat="false" ht="15" hidden="false" customHeight="false" outlineLevel="0" collapsed="false">
      <c r="A1757" s="0" t="s">
        <v>1553</v>
      </c>
      <c r="B1757" s="0" t="s">
        <v>3459</v>
      </c>
      <c r="C1757" s="0" t="s">
        <v>3447</v>
      </c>
      <c r="D1757" s="0" t="s">
        <v>3457</v>
      </c>
      <c r="E1757" s="0" t="s">
        <v>4963</v>
      </c>
      <c r="F1757" s="0" t="s">
        <v>59</v>
      </c>
      <c r="G1757" s="0" t="s">
        <v>4974</v>
      </c>
      <c r="H1757" s="0" t="s">
        <v>69</v>
      </c>
      <c r="I1757" s="0" t="s">
        <v>4975</v>
      </c>
      <c r="J1757" s="20" t="s">
        <v>25</v>
      </c>
    </row>
    <row r="1758" customFormat="false" ht="15" hidden="false" customHeight="false" outlineLevel="0" collapsed="false">
      <c r="A1758" s="0" t="s">
        <v>1553</v>
      </c>
      <c r="B1758" s="0" t="s">
        <v>3459</v>
      </c>
      <c r="C1758" s="0" t="s">
        <v>3447</v>
      </c>
      <c r="D1758" s="0" t="s">
        <v>3457</v>
      </c>
      <c r="E1758" s="0" t="s">
        <v>4969</v>
      </c>
      <c r="F1758" s="0" t="s">
        <v>61</v>
      </c>
      <c r="G1758" s="0" t="s">
        <v>4970</v>
      </c>
      <c r="H1758" s="0" t="s">
        <v>5565</v>
      </c>
      <c r="I1758" s="0" t="s">
        <v>4972</v>
      </c>
      <c r="J1758" s="20" t="s">
        <v>25</v>
      </c>
    </row>
    <row r="1759" customFormat="false" ht="15" hidden="false" customHeight="false" outlineLevel="0" collapsed="false">
      <c r="A1759" s="0" t="s">
        <v>1553</v>
      </c>
      <c r="B1759" s="0" t="s">
        <v>3459</v>
      </c>
      <c r="C1759" s="0" t="s">
        <v>3447</v>
      </c>
      <c r="D1759" s="0" t="s">
        <v>3448</v>
      </c>
      <c r="E1759" s="0" t="s">
        <v>4963</v>
      </c>
      <c r="F1759" s="0" t="s">
        <v>59</v>
      </c>
      <c r="G1759" s="0" t="s">
        <v>4974</v>
      </c>
      <c r="H1759" s="0" t="s">
        <v>69</v>
      </c>
      <c r="I1759" s="0" t="s">
        <v>4975</v>
      </c>
      <c r="J1759" s="20" t="s">
        <v>25</v>
      </c>
    </row>
    <row r="1760" customFormat="false" ht="15" hidden="false" customHeight="false" outlineLevel="0" collapsed="false">
      <c r="A1760" s="0" t="s">
        <v>1559</v>
      </c>
      <c r="B1760" s="0" t="s">
        <v>134</v>
      </c>
      <c r="C1760" s="0" t="s">
        <v>3450</v>
      </c>
      <c r="D1760" s="0" t="s">
        <v>3448</v>
      </c>
      <c r="E1760" s="0" t="s">
        <v>4963</v>
      </c>
      <c r="F1760" s="0" t="s">
        <v>60</v>
      </c>
      <c r="G1760" s="0" t="s">
        <v>4964</v>
      </c>
      <c r="H1760" s="0" t="s">
        <v>5566</v>
      </c>
      <c r="I1760" s="0" t="s">
        <v>4966</v>
      </c>
      <c r="J1760" s="19" t="s">
        <v>26</v>
      </c>
    </row>
    <row r="1761" customFormat="false" ht="15" hidden="false" customHeight="false" outlineLevel="0" collapsed="false">
      <c r="A1761" s="0" t="s">
        <v>1559</v>
      </c>
      <c r="B1761" s="0" t="s">
        <v>134</v>
      </c>
      <c r="C1761" s="0" t="s">
        <v>3450</v>
      </c>
      <c r="D1761" s="0" t="s">
        <v>3457</v>
      </c>
      <c r="E1761" s="0" t="s">
        <v>4963</v>
      </c>
      <c r="F1761" s="0" t="s">
        <v>59</v>
      </c>
      <c r="G1761" s="0" t="s">
        <v>4974</v>
      </c>
      <c r="H1761" s="0" t="s">
        <v>70</v>
      </c>
      <c r="I1761" s="0" t="s">
        <v>4975</v>
      </c>
      <c r="J1761" s="20" t="s">
        <v>25</v>
      </c>
    </row>
    <row r="1762" customFormat="false" ht="15" hidden="false" customHeight="false" outlineLevel="0" collapsed="false">
      <c r="A1762" s="0" t="s">
        <v>1559</v>
      </c>
      <c r="B1762" s="0" t="s">
        <v>134</v>
      </c>
      <c r="C1762" s="0" t="s">
        <v>3450</v>
      </c>
      <c r="D1762" s="0" t="s">
        <v>3457</v>
      </c>
      <c r="E1762" s="0" t="s">
        <v>4969</v>
      </c>
      <c r="F1762" s="0" t="s">
        <v>61</v>
      </c>
      <c r="G1762" s="0" t="s">
        <v>4970</v>
      </c>
      <c r="H1762" s="0" t="s">
        <v>5567</v>
      </c>
      <c r="I1762" s="0" t="s">
        <v>4972</v>
      </c>
      <c r="J1762" s="20" t="s">
        <v>25</v>
      </c>
    </row>
    <row r="1763" customFormat="false" ht="15" hidden="false" customHeight="false" outlineLevel="0" collapsed="false">
      <c r="A1763" s="0" t="s">
        <v>1559</v>
      </c>
      <c r="B1763" s="0" t="s">
        <v>134</v>
      </c>
      <c r="C1763" s="0" t="s">
        <v>3450</v>
      </c>
      <c r="D1763" s="0" t="s">
        <v>3457</v>
      </c>
      <c r="E1763" s="0" t="s">
        <v>4969</v>
      </c>
      <c r="F1763" s="0" t="s">
        <v>62</v>
      </c>
      <c r="G1763" s="0" t="s">
        <v>5003</v>
      </c>
      <c r="H1763" s="0" t="s">
        <v>5568</v>
      </c>
      <c r="I1763" s="0" t="s">
        <v>5005</v>
      </c>
      <c r="J1763" s="20" t="s">
        <v>25</v>
      </c>
    </row>
    <row r="1764" customFormat="false" ht="15" hidden="false" customHeight="false" outlineLevel="0" collapsed="false">
      <c r="A1764" s="0" t="s">
        <v>1559</v>
      </c>
      <c r="B1764" s="0" t="s">
        <v>134</v>
      </c>
      <c r="C1764" s="0" t="s">
        <v>3450</v>
      </c>
      <c r="D1764" s="0" t="s">
        <v>3457</v>
      </c>
      <c r="E1764" s="0" t="s">
        <v>4969</v>
      </c>
      <c r="F1764" s="0" t="s">
        <v>64</v>
      </c>
      <c r="G1764" s="0" t="s">
        <v>4220</v>
      </c>
      <c r="H1764" s="0" t="s">
        <v>5569</v>
      </c>
      <c r="I1764" s="0" t="s">
        <v>4991</v>
      </c>
      <c r="J1764" s="20" t="s">
        <v>25</v>
      </c>
    </row>
    <row r="1765" customFormat="false" ht="15" hidden="false" customHeight="false" outlineLevel="0" collapsed="false">
      <c r="A1765" s="0" t="s">
        <v>1559</v>
      </c>
      <c r="B1765" s="0" t="s">
        <v>134</v>
      </c>
      <c r="C1765" s="0" t="s">
        <v>3450</v>
      </c>
      <c r="D1765" s="0" t="s">
        <v>3448</v>
      </c>
      <c r="E1765" s="0" t="s">
        <v>5199</v>
      </c>
      <c r="F1765" s="0" t="s">
        <v>67</v>
      </c>
      <c r="G1765" s="0" t="s">
        <v>100</v>
      </c>
      <c r="H1765" s="0" t="s">
        <v>5570</v>
      </c>
      <c r="I1765" s="0" t="s">
        <v>5201</v>
      </c>
      <c r="J1765" s="20" t="s">
        <v>25</v>
      </c>
    </row>
    <row r="1766" customFormat="false" ht="15" hidden="false" customHeight="false" outlineLevel="0" collapsed="false">
      <c r="A1766" s="0" t="s">
        <v>1559</v>
      </c>
      <c r="B1766" s="0" t="s">
        <v>134</v>
      </c>
      <c r="C1766" s="0" t="s">
        <v>3450</v>
      </c>
      <c r="D1766" s="0" t="s">
        <v>3448</v>
      </c>
      <c r="E1766" s="0" t="s">
        <v>4963</v>
      </c>
      <c r="F1766" s="0" t="s">
        <v>59</v>
      </c>
      <c r="G1766" s="0" t="s">
        <v>4974</v>
      </c>
      <c r="H1766" s="0" t="s">
        <v>69</v>
      </c>
      <c r="I1766" s="0" t="s">
        <v>4975</v>
      </c>
      <c r="J1766" s="20" t="s">
        <v>25</v>
      </c>
    </row>
    <row r="1767" customFormat="false" ht="15" hidden="false" customHeight="false" outlineLevel="0" collapsed="false">
      <c r="A1767" s="0" t="s">
        <v>1559</v>
      </c>
      <c r="B1767" s="0" t="s">
        <v>134</v>
      </c>
      <c r="C1767" s="0" t="s">
        <v>3450</v>
      </c>
      <c r="D1767" s="0" t="s">
        <v>3448</v>
      </c>
      <c r="E1767" s="0" t="s">
        <v>4969</v>
      </c>
      <c r="F1767" s="0" t="s">
        <v>62</v>
      </c>
      <c r="G1767" s="0" t="s">
        <v>5003</v>
      </c>
      <c r="H1767" s="0" t="s">
        <v>5571</v>
      </c>
      <c r="I1767" s="0" t="s">
        <v>5005</v>
      </c>
      <c r="J1767" s="20" t="s">
        <v>25</v>
      </c>
    </row>
    <row r="1768" customFormat="false" ht="15" hidden="false" customHeight="false" outlineLevel="0" collapsed="false">
      <c r="A1768" s="0" t="s">
        <v>1559</v>
      </c>
      <c r="B1768" s="0" t="s">
        <v>134</v>
      </c>
      <c r="C1768" s="0" t="s">
        <v>3450</v>
      </c>
      <c r="D1768" s="0" t="s">
        <v>3448</v>
      </c>
      <c r="E1768" s="0" t="s">
        <v>4969</v>
      </c>
      <c r="F1768" s="0" t="s">
        <v>63</v>
      </c>
      <c r="G1768" s="0" t="s">
        <v>4220</v>
      </c>
      <c r="H1768" s="0" t="s">
        <v>5572</v>
      </c>
      <c r="I1768" s="0" t="s">
        <v>4979</v>
      </c>
      <c r="J1768" s="20" t="s">
        <v>25</v>
      </c>
    </row>
    <row r="1769" customFormat="false" ht="15" hidden="false" customHeight="false" outlineLevel="0" collapsed="false">
      <c r="A1769" s="0" t="s">
        <v>1559</v>
      </c>
      <c r="B1769" s="0" t="s">
        <v>134</v>
      </c>
      <c r="C1769" s="0" t="s">
        <v>3447</v>
      </c>
      <c r="D1769" s="0" t="s">
        <v>3457</v>
      </c>
      <c r="E1769" s="0" t="s">
        <v>4969</v>
      </c>
      <c r="F1769" s="0" t="s">
        <v>61</v>
      </c>
      <c r="G1769" s="0" t="s">
        <v>4970</v>
      </c>
      <c r="H1769" s="0" t="s">
        <v>5573</v>
      </c>
      <c r="I1769" s="0" t="s">
        <v>4972</v>
      </c>
      <c r="J1769" s="20" t="s">
        <v>25</v>
      </c>
    </row>
    <row r="1770" customFormat="false" ht="15" hidden="false" customHeight="false" outlineLevel="0" collapsed="false">
      <c r="A1770" s="0" t="s">
        <v>1559</v>
      </c>
      <c r="B1770" s="0" t="s">
        <v>134</v>
      </c>
      <c r="C1770" s="0" t="s">
        <v>3447</v>
      </c>
      <c r="D1770" s="0" t="s">
        <v>3457</v>
      </c>
      <c r="E1770" s="0" t="s">
        <v>4969</v>
      </c>
      <c r="F1770" s="0" t="s">
        <v>64</v>
      </c>
      <c r="G1770" s="0" t="s">
        <v>4220</v>
      </c>
      <c r="H1770" s="0" t="s">
        <v>5569</v>
      </c>
      <c r="I1770" s="0" t="s">
        <v>4991</v>
      </c>
      <c r="J1770" s="20" t="s">
        <v>25</v>
      </c>
    </row>
    <row r="1771" customFormat="false" ht="15" hidden="false" customHeight="false" outlineLevel="0" collapsed="false">
      <c r="A1771" s="0" t="s">
        <v>1559</v>
      </c>
      <c r="B1771" s="0" t="s">
        <v>134</v>
      </c>
      <c r="C1771" s="0" t="s">
        <v>3447</v>
      </c>
      <c r="D1771" s="0" t="s">
        <v>3448</v>
      </c>
      <c r="E1771" s="0" t="s">
        <v>4969</v>
      </c>
      <c r="F1771" s="0" t="s">
        <v>63</v>
      </c>
      <c r="G1771" s="0" t="s">
        <v>4220</v>
      </c>
      <c r="H1771" s="0" t="s">
        <v>5572</v>
      </c>
      <c r="I1771" s="0" t="s">
        <v>4979</v>
      </c>
      <c r="J1771" s="20" t="s">
        <v>25</v>
      </c>
    </row>
    <row r="1772" customFormat="false" ht="15" hidden="false" customHeight="false" outlineLevel="0" collapsed="false">
      <c r="A1772" s="0" t="s">
        <v>1559</v>
      </c>
      <c r="B1772" s="0" t="s">
        <v>134</v>
      </c>
      <c r="C1772" s="0" t="s">
        <v>3450</v>
      </c>
      <c r="D1772" s="0" t="s">
        <v>3457</v>
      </c>
      <c r="E1772" s="0" t="s">
        <v>4963</v>
      </c>
      <c r="F1772" s="0" t="s">
        <v>30</v>
      </c>
      <c r="G1772" s="0" t="s">
        <v>4980</v>
      </c>
      <c r="H1772" s="0" t="s">
        <v>4607</v>
      </c>
      <c r="I1772" s="0" t="s">
        <v>4981</v>
      </c>
      <c r="J1772" s="18" t="s">
        <v>24</v>
      </c>
    </row>
    <row r="1773" customFormat="false" ht="15" hidden="false" customHeight="false" outlineLevel="0" collapsed="false">
      <c r="A1773" s="0" t="s">
        <v>1559</v>
      </c>
      <c r="B1773" s="0" t="s">
        <v>134</v>
      </c>
      <c r="C1773" s="0" t="s">
        <v>3447</v>
      </c>
      <c r="D1773" s="0" t="s">
        <v>3457</v>
      </c>
      <c r="E1773" s="0" t="s">
        <v>4963</v>
      </c>
      <c r="F1773" s="0" t="s">
        <v>30</v>
      </c>
      <c r="G1773" s="0" t="s">
        <v>4980</v>
      </c>
      <c r="H1773" s="0" t="s">
        <v>4368</v>
      </c>
      <c r="I1773" s="0" t="s">
        <v>4981</v>
      </c>
      <c r="J1773" s="18" t="s">
        <v>24</v>
      </c>
    </row>
    <row r="1774" customFormat="false" ht="15" hidden="false" customHeight="false" outlineLevel="0" collapsed="false">
      <c r="A1774" s="0" t="s">
        <v>1559</v>
      </c>
      <c r="B1774" s="0" t="s">
        <v>134</v>
      </c>
      <c r="C1774" s="0" t="s">
        <v>3447</v>
      </c>
      <c r="D1774" s="0" t="s">
        <v>3448</v>
      </c>
      <c r="E1774" s="0" t="s">
        <v>4963</v>
      </c>
      <c r="F1774" s="0" t="s">
        <v>30</v>
      </c>
      <c r="G1774" s="0" t="s">
        <v>4980</v>
      </c>
      <c r="H1774" s="0" t="s">
        <v>4368</v>
      </c>
      <c r="I1774" s="0" t="s">
        <v>4981</v>
      </c>
      <c r="J1774" s="18" t="s">
        <v>24</v>
      </c>
    </row>
    <row r="1775" customFormat="false" ht="15" hidden="false" customHeight="false" outlineLevel="0" collapsed="false">
      <c r="A1775" s="0" t="s">
        <v>1566</v>
      </c>
      <c r="B1775" s="0" t="s">
        <v>134</v>
      </c>
      <c r="C1775" s="0" t="s">
        <v>3447</v>
      </c>
      <c r="D1775" s="0" t="s">
        <v>3448</v>
      </c>
      <c r="E1775" s="0" t="s">
        <v>4963</v>
      </c>
      <c r="F1775" s="0" t="s">
        <v>60</v>
      </c>
      <c r="G1775" s="0" t="s">
        <v>4964</v>
      </c>
      <c r="H1775" s="0" t="s">
        <v>5574</v>
      </c>
      <c r="I1775" s="0" t="s">
        <v>4966</v>
      </c>
      <c r="J1775" s="19" t="s">
        <v>26</v>
      </c>
    </row>
    <row r="1776" customFormat="false" ht="15" hidden="false" customHeight="false" outlineLevel="0" collapsed="false">
      <c r="A1776" s="0" t="s">
        <v>1566</v>
      </c>
      <c r="B1776" s="0" t="s">
        <v>134</v>
      </c>
      <c r="C1776" s="0" t="s">
        <v>3447</v>
      </c>
      <c r="D1776" s="0" t="s">
        <v>3448</v>
      </c>
      <c r="E1776" s="0" t="s">
        <v>4963</v>
      </c>
      <c r="F1776" s="0" t="s">
        <v>59</v>
      </c>
      <c r="G1776" s="0" t="s">
        <v>4974</v>
      </c>
      <c r="H1776" s="0" t="s">
        <v>69</v>
      </c>
      <c r="I1776" s="0" t="s">
        <v>4975</v>
      </c>
      <c r="J1776" s="20" t="s">
        <v>25</v>
      </c>
    </row>
    <row r="1777" customFormat="false" ht="15" hidden="false" customHeight="false" outlineLevel="0" collapsed="false">
      <c r="A1777" s="0" t="s">
        <v>1566</v>
      </c>
      <c r="B1777" s="0" t="s">
        <v>134</v>
      </c>
      <c r="C1777" s="0" t="s">
        <v>3447</v>
      </c>
      <c r="D1777" s="0" t="s">
        <v>3457</v>
      </c>
      <c r="E1777" s="0" t="s">
        <v>4963</v>
      </c>
      <c r="F1777" s="0" t="s">
        <v>30</v>
      </c>
      <c r="G1777" s="0" t="s">
        <v>4980</v>
      </c>
      <c r="H1777" s="0" t="s">
        <v>4609</v>
      </c>
      <c r="I1777" s="0" t="s">
        <v>4981</v>
      </c>
      <c r="J1777" s="18" t="s">
        <v>24</v>
      </c>
    </row>
    <row r="1778" customFormat="false" ht="15" hidden="false" customHeight="false" outlineLevel="0" collapsed="false">
      <c r="A1778" s="0" t="s">
        <v>1572</v>
      </c>
      <c r="B1778" s="0" t="s">
        <v>134</v>
      </c>
      <c r="C1778" s="0" t="s">
        <v>3450</v>
      </c>
      <c r="D1778" s="0" t="s">
        <v>3457</v>
      </c>
      <c r="E1778" s="0" t="s">
        <v>4963</v>
      </c>
      <c r="F1778" s="0" t="s">
        <v>60</v>
      </c>
      <c r="G1778" s="0" t="s">
        <v>4964</v>
      </c>
      <c r="H1778" s="0" t="s">
        <v>5248</v>
      </c>
      <c r="I1778" s="0" t="s">
        <v>4966</v>
      </c>
      <c r="J1778" s="19" t="s">
        <v>26</v>
      </c>
    </row>
    <row r="1779" customFormat="false" ht="15" hidden="false" customHeight="false" outlineLevel="0" collapsed="false">
      <c r="A1779" s="0" t="s">
        <v>1572</v>
      </c>
      <c r="B1779" s="0" t="s">
        <v>134</v>
      </c>
      <c r="C1779" s="0" t="s">
        <v>3450</v>
      </c>
      <c r="D1779" s="0" t="s">
        <v>3448</v>
      </c>
      <c r="E1779" s="0" t="s">
        <v>4963</v>
      </c>
      <c r="F1779" s="0" t="s">
        <v>60</v>
      </c>
      <c r="G1779" s="0" t="s">
        <v>4964</v>
      </c>
      <c r="H1779" s="0" t="s">
        <v>5575</v>
      </c>
      <c r="I1779" s="0" t="s">
        <v>4966</v>
      </c>
      <c r="J1779" s="19" t="s">
        <v>26</v>
      </c>
    </row>
    <row r="1780" customFormat="false" ht="15" hidden="false" customHeight="false" outlineLevel="0" collapsed="false">
      <c r="A1780" s="0" t="s">
        <v>1572</v>
      </c>
      <c r="B1780" s="0" t="s">
        <v>134</v>
      </c>
      <c r="C1780" s="0" t="s">
        <v>3447</v>
      </c>
      <c r="D1780" s="0" t="s">
        <v>3457</v>
      </c>
      <c r="E1780" s="0" t="s">
        <v>4963</v>
      </c>
      <c r="F1780" s="0" t="s">
        <v>30</v>
      </c>
      <c r="G1780" s="0" t="s">
        <v>4980</v>
      </c>
      <c r="H1780" s="0" t="s">
        <v>4574</v>
      </c>
      <c r="I1780" s="0" t="s">
        <v>4981</v>
      </c>
      <c r="J1780" s="18" t="s">
        <v>24</v>
      </c>
    </row>
    <row r="1781" customFormat="false" ht="15" hidden="false" customHeight="false" outlineLevel="0" collapsed="false">
      <c r="A1781" s="0" t="s">
        <v>1572</v>
      </c>
      <c r="B1781" s="0" t="s">
        <v>134</v>
      </c>
      <c r="C1781" s="0" t="s">
        <v>3447</v>
      </c>
      <c r="D1781" s="0" t="s">
        <v>3448</v>
      </c>
      <c r="E1781" s="0" t="s">
        <v>4963</v>
      </c>
      <c r="F1781" s="0" t="s">
        <v>30</v>
      </c>
      <c r="G1781" s="0" t="s">
        <v>4980</v>
      </c>
      <c r="H1781" s="0" t="s">
        <v>4574</v>
      </c>
      <c r="I1781" s="0" t="s">
        <v>4981</v>
      </c>
      <c r="J1781" s="18" t="s">
        <v>24</v>
      </c>
    </row>
    <row r="1782" customFormat="false" ht="15" hidden="false" customHeight="false" outlineLevel="0" collapsed="false">
      <c r="A1782" s="0" t="s">
        <v>1583</v>
      </c>
      <c r="B1782" s="0" t="s">
        <v>134</v>
      </c>
      <c r="C1782" s="0" t="s">
        <v>3447</v>
      </c>
      <c r="D1782" s="0" t="s">
        <v>3457</v>
      </c>
      <c r="E1782" s="0" t="s">
        <v>4969</v>
      </c>
      <c r="F1782" s="0" t="s">
        <v>61</v>
      </c>
      <c r="G1782" s="0" t="s">
        <v>4970</v>
      </c>
      <c r="H1782" s="0" t="s">
        <v>5576</v>
      </c>
      <c r="I1782" s="0" t="s">
        <v>4972</v>
      </c>
      <c r="J1782" s="20" t="s">
        <v>25</v>
      </c>
    </row>
    <row r="1783" customFormat="false" ht="15" hidden="false" customHeight="false" outlineLevel="0" collapsed="false">
      <c r="A1783" s="0" t="s">
        <v>1583</v>
      </c>
      <c r="B1783" s="0" t="s">
        <v>134</v>
      </c>
      <c r="C1783" s="0" t="s">
        <v>3447</v>
      </c>
      <c r="D1783" s="0" t="s">
        <v>3457</v>
      </c>
      <c r="E1783" s="0" t="s">
        <v>4963</v>
      </c>
      <c r="F1783" s="0" t="s">
        <v>30</v>
      </c>
      <c r="G1783" s="0" t="s">
        <v>4980</v>
      </c>
      <c r="H1783" s="0" t="s">
        <v>4381</v>
      </c>
      <c r="I1783" s="0" t="s">
        <v>4981</v>
      </c>
      <c r="J1783" s="18" t="s">
        <v>24</v>
      </c>
    </row>
    <row r="1784" customFormat="false" ht="15" hidden="false" customHeight="false" outlineLevel="0" collapsed="false">
      <c r="A1784" s="0" t="s">
        <v>1583</v>
      </c>
      <c r="B1784" s="0" t="s">
        <v>134</v>
      </c>
      <c r="C1784" s="0" t="s">
        <v>3447</v>
      </c>
      <c r="D1784" s="0" t="s">
        <v>3448</v>
      </c>
      <c r="E1784" s="0" t="s">
        <v>4963</v>
      </c>
      <c r="F1784" s="0" t="s">
        <v>30</v>
      </c>
      <c r="G1784" s="0" t="s">
        <v>4980</v>
      </c>
      <c r="H1784" s="0" t="s">
        <v>4342</v>
      </c>
      <c r="I1784" s="0" t="s">
        <v>4981</v>
      </c>
      <c r="J1784" s="18" t="s">
        <v>24</v>
      </c>
    </row>
    <row r="1785" customFormat="false" ht="15" hidden="false" customHeight="false" outlineLevel="0" collapsed="false">
      <c r="A1785" s="0" t="s">
        <v>1589</v>
      </c>
      <c r="B1785" s="0" t="s">
        <v>3459</v>
      </c>
      <c r="C1785" s="0" t="s">
        <v>3450</v>
      </c>
      <c r="D1785" s="0" t="s">
        <v>3448</v>
      </c>
      <c r="E1785" s="0" t="s">
        <v>4969</v>
      </c>
      <c r="F1785" s="0" t="s">
        <v>61</v>
      </c>
      <c r="G1785" s="0" t="s">
        <v>4970</v>
      </c>
      <c r="H1785" s="0" t="s">
        <v>5577</v>
      </c>
      <c r="I1785" s="0" t="s">
        <v>4972</v>
      </c>
      <c r="J1785" s="20" t="s">
        <v>25</v>
      </c>
    </row>
    <row r="1786" customFormat="false" ht="15" hidden="false" customHeight="false" outlineLevel="0" collapsed="false">
      <c r="A1786" s="0" t="s">
        <v>1589</v>
      </c>
      <c r="B1786" s="0" t="s">
        <v>3459</v>
      </c>
      <c r="C1786" s="0" t="s">
        <v>3447</v>
      </c>
      <c r="D1786" s="0" t="s">
        <v>3448</v>
      </c>
      <c r="E1786" s="0" t="s">
        <v>4969</v>
      </c>
      <c r="F1786" s="0" t="s">
        <v>61</v>
      </c>
      <c r="G1786" s="0" t="s">
        <v>4970</v>
      </c>
      <c r="H1786" s="0" t="s">
        <v>5578</v>
      </c>
      <c r="I1786" s="0" t="s">
        <v>4972</v>
      </c>
      <c r="J1786" s="20" t="s">
        <v>25</v>
      </c>
    </row>
    <row r="1787" customFormat="false" ht="15" hidden="false" customHeight="false" outlineLevel="0" collapsed="false">
      <c r="A1787" s="0" t="s">
        <v>1594</v>
      </c>
      <c r="B1787" s="0" t="s">
        <v>134</v>
      </c>
      <c r="C1787" s="0" t="s">
        <v>3447</v>
      </c>
      <c r="D1787" s="0" t="s">
        <v>3448</v>
      </c>
      <c r="E1787" s="0" t="s">
        <v>4963</v>
      </c>
      <c r="F1787" s="0" t="s">
        <v>60</v>
      </c>
      <c r="G1787" s="0" t="s">
        <v>4964</v>
      </c>
      <c r="H1787" s="0" t="s">
        <v>5579</v>
      </c>
      <c r="I1787" s="0" t="s">
        <v>4966</v>
      </c>
      <c r="J1787" s="19" t="s">
        <v>26</v>
      </c>
    </row>
    <row r="1788" customFormat="false" ht="15" hidden="false" customHeight="false" outlineLevel="0" collapsed="false">
      <c r="A1788" s="0" t="s">
        <v>1594</v>
      </c>
      <c r="B1788" s="0" t="s">
        <v>134</v>
      </c>
      <c r="C1788" s="0" t="s">
        <v>3450</v>
      </c>
      <c r="D1788" s="0" t="s">
        <v>3457</v>
      </c>
      <c r="E1788" s="0" t="s">
        <v>4969</v>
      </c>
      <c r="F1788" s="0" t="s">
        <v>62</v>
      </c>
      <c r="G1788" s="0" t="s">
        <v>5003</v>
      </c>
      <c r="H1788" s="0" t="s">
        <v>5580</v>
      </c>
      <c r="I1788" s="0" t="s">
        <v>5005</v>
      </c>
      <c r="J1788" s="20" t="s">
        <v>25</v>
      </c>
    </row>
    <row r="1789" customFormat="false" ht="15" hidden="false" customHeight="false" outlineLevel="0" collapsed="false">
      <c r="A1789" s="0" t="s">
        <v>1594</v>
      </c>
      <c r="B1789" s="0" t="s">
        <v>134</v>
      </c>
      <c r="C1789" s="0" t="s">
        <v>3450</v>
      </c>
      <c r="D1789" s="0" t="s">
        <v>3457</v>
      </c>
      <c r="E1789" s="0" t="s">
        <v>4969</v>
      </c>
      <c r="F1789" s="0" t="s">
        <v>63</v>
      </c>
      <c r="G1789" s="0" t="s">
        <v>4220</v>
      </c>
      <c r="H1789" s="0" t="s">
        <v>5581</v>
      </c>
      <c r="I1789" s="0" t="s">
        <v>4979</v>
      </c>
      <c r="J1789" s="20" t="s">
        <v>25</v>
      </c>
    </row>
    <row r="1790" customFormat="false" ht="15" hidden="false" customHeight="false" outlineLevel="0" collapsed="false">
      <c r="A1790" s="0" t="s">
        <v>1594</v>
      </c>
      <c r="B1790" s="0" t="s">
        <v>134</v>
      </c>
      <c r="C1790" s="0" t="s">
        <v>3450</v>
      </c>
      <c r="D1790" s="0" t="s">
        <v>3448</v>
      </c>
      <c r="E1790" s="0" t="s">
        <v>4969</v>
      </c>
      <c r="F1790" s="0" t="s">
        <v>62</v>
      </c>
      <c r="G1790" s="0" t="s">
        <v>5003</v>
      </c>
      <c r="H1790" s="0" t="s">
        <v>5582</v>
      </c>
      <c r="I1790" s="0" t="s">
        <v>5005</v>
      </c>
      <c r="J1790" s="20" t="s">
        <v>25</v>
      </c>
    </row>
    <row r="1791" customFormat="false" ht="15" hidden="false" customHeight="false" outlineLevel="0" collapsed="false">
      <c r="A1791" s="0" t="s">
        <v>1594</v>
      </c>
      <c r="B1791" s="0" t="s">
        <v>134</v>
      </c>
      <c r="C1791" s="0" t="s">
        <v>3450</v>
      </c>
      <c r="D1791" s="0" t="s">
        <v>3448</v>
      </c>
      <c r="E1791" s="0" t="s">
        <v>4969</v>
      </c>
      <c r="F1791" s="0" t="s">
        <v>64</v>
      </c>
      <c r="G1791" s="0" t="s">
        <v>4220</v>
      </c>
      <c r="H1791" s="0" t="s">
        <v>5583</v>
      </c>
      <c r="I1791" s="0" t="s">
        <v>4991</v>
      </c>
      <c r="J1791" s="20" t="s">
        <v>25</v>
      </c>
    </row>
    <row r="1792" customFormat="false" ht="15" hidden="false" customHeight="false" outlineLevel="0" collapsed="false">
      <c r="A1792" s="0" t="s">
        <v>1594</v>
      </c>
      <c r="B1792" s="0" t="s">
        <v>134</v>
      </c>
      <c r="C1792" s="0" t="s">
        <v>3447</v>
      </c>
      <c r="D1792" s="0" t="s">
        <v>3457</v>
      </c>
      <c r="E1792" s="0" t="s">
        <v>4969</v>
      </c>
      <c r="F1792" s="0" t="s">
        <v>63</v>
      </c>
      <c r="G1792" s="0" t="s">
        <v>4220</v>
      </c>
      <c r="H1792" s="0" t="s">
        <v>5581</v>
      </c>
      <c r="I1792" s="0" t="s">
        <v>4979</v>
      </c>
      <c r="J1792" s="20" t="s">
        <v>25</v>
      </c>
    </row>
    <row r="1793" customFormat="false" ht="15" hidden="false" customHeight="false" outlineLevel="0" collapsed="false">
      <c r="A1793" s="0" t="s">
        <v>1594</v>
      </c>
      <c r="B1793" s="0" t="s">
        <v>134</v>
      </c>
      <c r="C1793" s="0" t="s">
        <v>3447</v>
      </c>
      <c r="D1793" s="0" t="s">
        <v>3448</v>
      </c>
      <c r="E1793" s="0" t="s">
        <v>4963</v>
      </c>
      <c r="F1793" s="0" t="s">
        <v>59</v>
      </c>
      <c r="G1793" s="0" t="s">
        <v>4974</v>
      </c>
      <c r="H1793" s="0" t="s">
        <v>69</v>
      </c>
      <c r="I1793" s="0" t="s">
        <v>4975</v>
      </c>
      <c r="J1793" s="20" t="s">
        <v>25</v>
      </c>
    </row>
    <row r="1794" customFormat="false" ht="15" hidden="false" customHeight="false" outlineLevel="0" collapsed="false">
      <c r="A1794" s="0" t="s">
        <v>1594</v>
      </c>
      <c r="B1794" s="0" t="s">
        <v>134</v>
      </c>
      <c r="C1794" s="0" t="s">
        <v>3447</v>
      </c>
      <c r="D1794" s="0" t="s">
        <v>3448</v>
      </c>
      <c r="E1794" s="0" t="s">
        <v>4969</v>
      </c>
      <c r="F1794" s="0" t="s">
        <v>64</v>
      </c>
      <c r="G1794" s="0" t="s">
        <v>4220</v>
      </c>
      <c r="H1794" s="0" t="s">
        <v>5583</v>
      </c>
      <c r="I1794" s="0" t="s">
        <v>4991</v>
      </c>
      <c r="J1794" s="20" t="s">
        <v>25</v>
      </c>
    </row>
    <row r="1795" customFormat="false" ht="15" hidden="false" customHeight="false" outlineLevel="0" collapsed="false">
      <c r="A1795" s="0" t="s">
        <v>1594</v>
      </c>
      <c r="B1795" s="0" t="s">
        <v>3459</v>
      </c>
      <c r="C1795" s="0" t="s">
        <v>3450</v>
      </c>
      <c r="D1795" s="0" t="s">
        <v>3457</v>
      </c>
      <c r="E1795" s="0" t="s">
        <v>4963</v>
      </c>
      <c r="F1795" s="0" t="s">
        <v>59</v>
      </c>
      <c r="G1795" s="0" t="s">
        <v>4974</v>
      </c>
      <c r="H1795" s="0" t="s">
        <v>69</v>
      </c>
      <c r="I1795" s="0" t="s">
        <v>4975</v>
      </c>
      <c r="J1795" s="20" t="s">
        <v>25</v>
      </c>
    </row>
    <row r="1796" customFormat="false" ht="15" hidden="false" customHeight="false" outlineLevel="0" collapsed="false">
      <c r="A1796" s="0" t="s">
        <v>1594</v>
      </c>
      <c r="B1796" s="0" t="s">
        <v>3459</v>
      </c>
      <c r="C1796" s="0" t="s">
        <v>3450</v>
      </c>
      <c r="D1796" s="0" t="s">
        <v>3457</v>
      </c>
      <c r="E1796" s="0" t="s">
        <v>4969</v>
      </c>
      <c r="F1796" s="0" t="s">
        <v>61</v>
      </c>
      <c r="G1796" s="0" t="s">
        <v>4970</v>
      </c>
      <c r="H1796" s="0" t="s">
        <v>5584</v>
      </c>
      <c r="I1796" s="0" t="s">
        <v>4972</v>
      </c>
      <c r="J1796" s="20" t="s">
        <v>25</v>
      </c>
    </row>
    <row r="1797" customFormat="false" ht="15" hidden="false" customHeight="false" outlineLevel="0" collapsed="false">
      <c r="A1797" s="0" t="s">
        <v>1594</v>
      </c>
      <c r="B1797" s="0" t="s">
        <v>3459</v>
      </c>
      <c r="C1797" s="0" t="s">
        <v>3450</v>
      </c>
      <c r="D1797" s="0" t="s">
        <v>3457</v>
      </c>
      <c r="E1797" s="0" t="s">
        <v>4969</v>
      </c>
      <c r="F1797" s="0" t="s">
        <v>62</v>
      </c>
      <c r="G1797" s="0" t="s">
        <v>5003</v>
      </c>
      <c r="H1797" s="0" t="s">
        <v>5585</v>
      </c>
      <c r="I1797" s="0" t="s">
        <v>5005</v>
      </c>
      <c r="J1797" s="20" t="s">
        <v>25</v>
      </c>
    </row>
    <row r="1798" customFormat="false" ht="15" hidden="false" customHeight="false" outlineLevel="0" collapsed="false">
      <c r="A1798" s="0" t="s">
        <v>1594</v>
      </c>
      <c r="B1798" s="0" t="s">
        <v>3459</v>
      </c>
      <c r="C1798" s="0" t="s">
        <v>3450</v>
      </c>
      <c r="D1798" s="0" t="s">
        <v>3457</v>
      </c>
      <c r="E1798" s="0" t="s">
        <v>4969</v>
      </c>
      <c r="F1798" s="0" t="s">
        <v>64</v>
      </c>
      <c r="G1798" s="0" t="s">
        <v>4220</v>
      </c>
      <c r="H1798" s="0" t="s">
        <v>5586</v>
      </c>
      <c r="I1798" s="0" t="s">
        <v>4991</v>
      </c>
      <c r="J1798" s="20" t="s">
        <v>25</v>
      </c>
    </row>
    <row r="1799" customFormat="false" ht="15" hidden="false" customHeight="false" outlineLevel="0" collapsed="false">
      <c r="A1799" s="0" t="s">
        <v>1594</v>
      </c>
      <c r="B1799" s="0" t="s">
        <v>3459</v>
      </c>
      <c r="C1799" s="0" t="s">
        <v>3450</v>
      </c>
      <c r="D1799" s="0" t="s">
        <v>3448</v>
      </c>
      <c r="E1799" s="0" t="s">
        <v>4963</v>
      </c>
      <c r="F1799" s="0" t="s">
        <v>59</v>
      </c>
      <c r="G1799" s="0" t="s">
        <v>4974</v>
      </c>
      <c r="H1799" s="0" t="s">
        <v>69</v>
      </c>
      <c r="I1799" s="0" t="s">
        <v>4975</v>
      </c>
      <c r="J1799" s="20" t="s">
        <v>25</v>
      </c>
    </row>
    <row r="1800" customFormat="false" ht="15" hidden="false" customHeight="false" outlineLevel="0" collapsed="false">
      <c r="A1800" s="0" t="s">
        <v>1594</v>
      </c>
      <c r="B1800" s="0" t="s">
        <v>3459</v>
      </c>
      <c r="C1800" s="0" t="s">
        <v>3450</v>
      </c>
      <c r="D1800" s="0" t="s">
        <v>3448</v>
      </c>
      <c r="E1800" s="0" t="s">
        <v>4969</v>
      </c>
      <c r="F1800" s="0" t="s">
        <v>61</v>
      </c>
      <c r="G1800" s="0" t="s">
        <v>4970</v>
      </c>
      <c r="H1800" s="0" t="s">
        <v>5587</v>
      </c>
      <c r="I1800" s="0" t="s">
        <v>4972</v>
      </c>
      <c r="J1800" s="20" t="s">
        <v>25</v>
      </c>
    </row>
    <row r="1801" customFormat="false" ht="15" hidden="false" customHeight="false" outlineLevel="0" collapsed="false">
      <c r="A1801" s="0" t="s">
        <v>1594</v>
      </c>
      <c r="B1801" s="0" t="s">
        <v>3459</v>
      </c>
      <c r="C1801" s="0" t="s">
        <v>3450</v>
      </c>
      <c r="D1801" s="0" t="s">
        <v>3448</v>
      </c>
      <c r="E1801" s="0" t="s">
        <v>4969</v>
      </c>
      <c r="F1801" s="0" t="s">
        <v>62</v>
      </c>
      <c r="G1801" s="0" t="s">
        <v>5003</v>
      </c>
      <c r="H1801" s="0" t="s">
        <v>5588</v>
      </c>
      <c r="I1801" s="0" t="s">
        <v>5005</v>
      </c>
      <c r="J1801" s="20" t="s">
        <v>25</v>
      </c>
    </row>
    <row r="1802" customFormat="false" ht="15" hidden="false" customHeight="false" outlineLevel="0" collapsed="false">
      <c r="A1802" s="0" t="s">
        <v>1594</v>
      </c>
      <c r="B1802" s="0" t="s">
        <v>3459</v>
      </c>
      <c r="C1802" s="0" t="s">
        <v>3447</v>
      </c>
      <c r="D1802" s="0" t="s">
        <v>3457</v>
      </c>
      <c r="E1802" s="0" t="s">
        <v>4963</v>
      </c>
      <c r="F1802" s="0" t="s">
        <v>59</v>
      </c>
      <c r="G1802" s="0" t="s">
        <v>4974</v>
      </c>
      <c r="H1802" s="0" t="s">
        <v>69</v>
      </c>
      <c r="I1802" s="0" t="s">
        <v>4975</v>
      </c>
      <c r="J1802" s="20" t="s">
        <v>25</v>
      </c>
    </row>
    <row r="1803" customFormat="false" ht="15" hidden="false" customHeight="false" outlineLevel="0" collapsed="false">
      <c r="A1803" s="0" t="s">
        <v>1594</v>
      </c>
      <c r="B1803" s="0" t="s">
        <v>3459</v>
      </c>
      <c r="C1803" s="0" t="s">
        <v>3447</v>
      </c>
      <c r="D1803" s="0" t="s">
        <v>3457</v>
      </c>
      <c r="E1803" s="0" t="s">
        <v>4969</v>
      </c>
      <c r="F1803" s="0" t="s">
        <v>64</v>
      </c>
      <c r="G1803" s="0" t="s">
        <v>4220</v>
      </c>
      <c r="H1803" s="0" t="s">
        <v>5586</v>
      </c>
      <c r="I1803" s="0" t="s">
        <v>4991</v>
      </c>
      <c r="J1803" s="20" t="s">
        <v>25</v>
      </c>
    </row>
    <row r="1804" customFormat="false" ht="15" hidden="false" customHeight="false" outlineLevel="0" collapsed="false">
      <c r="A1804" s="0" t="s">
        <v>1594</v>
      </c>
      <c r="B1804" s="0" t="s">
        <v>3459</v>
      </c>
      <c r="C1804" s="0" t="s">
        <v>3447</v>
      </c>
      <c r="D1804" s="0" t="s">
        <v>3448</v>
      </c>
      <c r="E1804" s="0" t="s">
        <v>4963</v>
      </c>
      <c r="F1804" s="0" t="s">
        <v>59</v>
      </c>
      <c r="G1804" s="0" t="s">
        <v>4974</v>
      </c>
      <c r="H1804" s="0" t="s">
        <v>69</v>
      </c>
      <c r="I1804" s="0" t="s">
        <v>4975</v>
      </c>
      <c r="J1804" s="20" t="s">
        <v>25</v>
      </c>
    </row>
    <row r="1805" customFormat="false" ht="15" hidden="false" customHeight="false" outlineLevel="0" collapsed="false">
      <c r="A1805" s="0" t="s">
        <v>1594</v>
      </c>
      <c r="B1805" s="0" t="s">
        <v>3459</v>
      </c>
      <c r="C1805" s="0" t="s">
        <v>3447</v>
      </c>
      <c r="D1805" s="0" t="s">
        <v>3448</v>
      </c>
      <c r="E1805" s="0" t="s">
        <v>4969</v>
      </c>
      <c r="F1805" s="0" t="s">
        <v>61</v>
      </c>
      <c r="G1805" s="0" t="s">
        <v>4970</v>
      </c>
      <c r="H1805" s="0" t="s">
        <v>5589</v>
      </c>
      <c r="I1805" s="0" t="s">
        <v>4972</v>
      </c>
      <c r="J1805" s="20" t="s">
        <v>25</v>
      </c>
    </row>
    <row r="1806" customFormat="false" ht="15" hidden="false" customHeight="false" outlineLevel="0" collapsed="false">
      <c r="A1806" s="0" t="s">
        <v>1594</v>
      </c>
      <c r="B1806" s="0" t="s">
        <v>3459</v>
      </c>
      <c r="C1806" s="0" t="s">
        <v>3450</v>
      </c>
      <c r="D1806" s="0" t="s">
        <v>3457</v>
      </c>
      <c r="E1806" s="0" t="s">
        <v>4963</v>
      </c>
      <c r="F1806" s="0" t="s">
        <v>30</v>
      </c>
      <c r="G1806" s="0" t="s">
        <v>4980</v>
      </c>
      <c r="H1806" s="0" t="s">
        <v>4275</v>
      </c>
      <c r="I1806" s="0" t="s">
        <v>4981</v>
      </c>
      <c r="J1806" s="18" t="s">
        <v>24</v>
      </c>
    </row>
    <row r="1807" customFormat="false" ht="15" hidden="false" customHeight="false" outlineLevel="0" collapsed="false">
      <c r="A1807" s="0" t="s">
        <v>1594</v>
      </c>
      <c r="B1807" s="0" t="s">
        <v>3459</v>
      </c>
      <c r="C1807" s="0" t="s">
        <v>3450</v>
      </c>
      <c r="D1807" s="0" t="s">
        <v>3448</v>
      </c>
      <c r="E1807" s="0" t="s">
        <v>4963</v>
      </c>
      <c r="F1807" s="0" t="s">
        <v>30</v>
      </c>
      <c r="G1807" s="0" t="s">
        <v>4980</v>
      </c>
      <c r="H1807" s="0" t="s">
        <v>4265</v>
      </c>
      <c r="I1807" s="0" t="s">
        <v>4981</v>
      </c>
      <c r="J1807" s="18" t="s">
        <v>24</v>
      </c>
    </row>
    <row r="1808" customFormat="false" ht="15" hidden="false" customHeight="false" outlineLevel="0" collapsed="false">
      <c r="A1808" s="0" t="s">
        <v>1594</v>
      </c>
      <c r="B1808" s="0" t="s">
        <v>3459</v>
      </c>
      <c r="C1808" s="0" t="s">
        <v>3447</v>
      </c>
      <c r="D1808" s="0" t="s">
        <v>3457</v>
      </c>
      <c r="E1808" s="0" t="s">
        <v>4963</v>
      </c>
      <c r="F1808" s="0" t="s">
        <v>30</v>
      </c>
      <c r="G1808" s="0" t="s">
        <v>4980</v>
      </c>
      <c r="H1808" s="0" t="s">
        <v>4275</v>
      </c>
      <c r="I1808" s="0" t="s">
        <v>4981</v>
      </c>
      <c r="J1808" s="18" t="s">
        <v>24</v>
      </c>
    </row>
    <row r="1809" customFormat="false" ht="15" hidden="false" customHeight="false" outlineLevel="0" collapsed="false">
      <c r="A1809" s="0" t="s">
        <v>1594</v>
      </c>
      <c r="B1809" s="0" t="s">
        <v>3459</v>
      </c>
      <c r="C1809" s="0" t="s">
        <v>3447</v>
      </c>
      <c r="D1809" s="0" t="s">
        <v>3448</v>
      </c>
      <c r="E1809" s="0" t="s">
        <v>4963</v>
      </c>
      <c r="F1809" s="0" t="s">
        <v>30</v>
      </c>
      <c r="G1809" s="0" t="s">
        <v>4980</v>
      </c>
      <c r="H1809" s="0" t="s">
        <v>4265</v>
      </c>
      <c r="I1809" s="0" t="s">
        <v>4981</v>
      </c>
      <c r="J1809" s="18" t="s">
        <v>24</v>
      </c>
    </row>
    <row r="1810" customFormat="false" ht="15" hidden="false" customHeight="false" outlineLevel="0" collapsed="false">
      <c r="A1810" s="0" t="s">
        <v>1600</v>
      </c>
      <c r="B1810" s="0" t="s">
        <v>134</v>
      </c>
      <c r="C1810" s="0" t="s">
        <v>3450</v>
      </c>
      <c r="D1810" s="0" t="s">
        <v>3457</v>
      </c>
      <c r="E1810" s="0" t="s">
        <v>4963</v>
      </c>
      <c r="F1810" s="0" t="s">
        <v>59</v>
      </c>
      <c r="G1810" s="0" t="s">
        <v>4974</v>
      </c>
      <c r="H1810" s="0" t="s">
        <v>69</v>
      </c>
      <c r="I1810" s="0" t="s">
        <v>4975</v>
      </c>
      <c r="J1810" s="20" t="s">
        <v>25</v>
      </c>
    </row>
    <row r="1811" customFormat="false" ht="15" hidden="false" customHeight="false" outlineLevel="0" collapsed="false">
      <c r="A1811" s="0" t="s">
        <v>1600</v>
      </c>
      <c r="B1811" s="0" t="s">
        <v>134</v>
      </c>
      <c r="C1811" s="0" t="s">
        <v>3450</v>
      </c>
      <c r="D1811" s="0" t="s">
        <v>3457</v>
      </c>
      <c r="E1811" s="0" t="s">
        <v>4969</v>
      </c>
      <c r="F1811" s="0" t="s">
        <v>64</v>
      </c>
      <c r="G1811" s="0" t="s">
        <v>4220</v>
      </c>
      <c r="H1811" s="0" t="s">
        <v>5590</v>
      </c>
      <c r="I1811" s="0" t="s">
        <v>4991</v>
      </c>
      <c r="J1811" s="20" t="s">
        <v>25</v>
      </c>
    </row>
    <row r="1812" customFormat="false" ht="15" hidden="false" customHeight="false" outlineLevel="0" collapsed="false">
      <c r="A1812" s="0" t="s">
        <v>1600</v>
      </c>
      <c r="B1812" s="0" t="s">
        <v>134</v>
      </c>
      <c r="C1812" s="0" t="s">
        <v>3450</v>
      </c>
      <c r="D1812" s="0" t="s">
        <v>3448</v>
      </c>
      <c r="E1812" s="0" t="s">
        <v>4963</v>
      </c>
      <c r="F1812" s="0" t="s">
        <v>59</v>
      </c>
      <c r="G1812" s="0" t="s">
        <v>4974</v>
      </c>
      <c r="H1812" s="0" t="s">
        <v>69</v>
      </c>
      <c r="I1812" s="0" t="s">
        <v>4975</v>
      </c>
      <c r="J1812" s="20" t="s">
        <v>25</v>
      </c>
    </row>
    <row r="1813" customFormat="false" ht="15" hidden="false" customHeight="false" outlineLevel="0" collapsed="false">
      <c r="A1813" s="0" t="s">
        <v>1600</v>
      </c>
      <c r="B1813" s="0" t="s">
        <v>134</v>
      </c>
      <c r="C1813" s="0" t="s">
        <v>3450</v>
      </c>
      <c r="D1813" s="0" t="s">
        <v>3448</v>
      </c>
      <c r="E1813" s="0" t="s">
        <v>4969</v>
      </c>
      <c r="F1813" s="0" t="s">
        <v>64</v>
      </c>
      <c r="G1813" s="0" t="s">
        <v>4220</v>
      </c>
      <c r="H1813" s="0" t="s">
        <v>5454</v>
      </c>
      <c r="I1813" s="0" t="s">
        <v>4991</v>
      </c>
      <c r="J1813" s="20" t="s">
        <v>25</v>
      </c>
    </row>
    <row r="1814" customFormat="false" ht="15" hidden="false" customHeight="false" outlineLevel="0" collapsed="false">
      <c r="A1814" s="0" t="s">
        <v>1600</v>
      </c>
      <c r="B1814" s="0" t="s">
        <v>134</v>
      </c>
      <c r="C1814" s="0" t="s">
        <v>3447</v>
      </c>
      <c r="D1814" s="0" t="s">
        <v>3457</v>
      </c>
      <c r="E1814" s="0" t="s">
        <v>4969</v>
      </c>
      <c r="F1814" s="0" t="s">
        <v>64</v>
      </c>
      <c r="G1814" s="0" t="s">
        <v>4220</v>
      </c>
      <c r="H1814" s="0" t="s">
        <v>5590</v>
      </c>
      <c r="I1814" s="0" t="s">
        <v>4991</v>
      </c>
      <c r="J1814" s="20" t="s">
        <v>25</v>
      </c>
    </row>
    <row r="1815" customFormat="false" ht="15" hidden="false" customHeight="false" outlineLevel="0" collapsed="false">
      <c r="A1815" s="0" t="s">
        <v>1600</v>
      </c>
      <c r="B1815" s="0" t="s">
        <v>134</v>
      </c>
      <c r="C1815" s="0" t="s">
        <v>3447</v>
      </c>
      <c r="D1815" s="0" t="s">
        <v>3448</v>
      </c>
      <c r="E1815" s="0" t="s">
        <v>4969</v>
      </c>
      <c r="F1815" s="0" t="s">
        <v>64</v>
      </c>
      <c r="G1815" s="0" t="s">
        <v>4220</v>
      </c>
      <c r="H1815" s="0" t="s">
        <v>5454</v>
      </c>
      <c r="I1815" s="0" t="s">
        <v>4991</v>
      </c>
      <c r="J1815" s="20" t="s">
        <v>25</v>
      </c>
    </row>
    <row r="1816" customFormat="false" ht="15" hidden="false" customHeight="false" outlineLevel="0" collapsed="false">
      <c r="A1816" s="0" t="s">
        <v>1600</v>
      </c>
      <c r="B1816" s="0" t="s">
        <v>134</v>
      </c>
      <c r="C1816" s="0" t="s">
        <v>3450</v>
      </c>
      <c r="D1816" s="0" t="s">
        <v>3457</v>
      </c>
      <c r="E1816" s="0" t="s">
        <v>4963</v>
      </c>
      <c r="F1816" s="0" t="s">
        <v>30</v>
      </c>
      <c r="G1816" s="0" t="s">
        <v>4980</v>
      </c>
      <c r="H1816" s="0" t="s">
        <v>4238</v>
      </c>
      <c r="I1816" s="0" t="s">
        <v>4981</v>
      </c>
      <c r="J1816" s="18" t="s">
        <v>24</v>
      </c>
    </row>
    <row r="1817" customFormat="false" ht="15" hidden="false" customHeight="false" outlineLevel="0" collapsed="false">
      <c r="A1817" s="0" t="s">
        <v>1600</v>
      </c>
      <c r="B1817" s="0" t="s">
        <v>134</v>
      </c>
      <c r="C1817" s="0" t="s">
        <v>3450</v>
      </c>
      <c r="D1817" s="0" t="s">
        <v>3448</v>
      </c>
      <c r="E1817" s="0" t="s">
        <v>4963</v>
      </c>
      <c r="F1817" s="0" t="s">
        <v>30</v>
      </c>
      <c r="G1817" s="0" t="s">
        <v>4980</v>
      </c>
      <c r="H1817" s="0" t="s">
        <v>4238</v>
      </c>
      <c r="I1817" s="0" t="s">
        <v>4981</v>
      </c>
      <c r="J1817" s="18" t="s">
        <v>24</v>
      </c>
    </row>
    <row r="1818" customFormat="false" ht="15" hidden="false" customHeight="false" outlineLevel="0" collapsed="false">
      <c r="A1818" s="0" t="s">
        <v>1600</v>
      </c>
      <c r="B1818" s="0" t="s">
        <v>134</v>
      </c>
      <c r="C1818" s="0" t="s">
        <v>3447</v>
      </c>
      <c r="D1818" s="0" t="s">
        <v>3457</v>
      </c>
      <c r="E1818" s="0" t="s">
        <v>4963</v>
      </c>
      <c r="F1818" s="0" t="s">
        <v>30</v>
      </c>
      <c r="G1818" s="0" t="s">
        <v>4980</v>
      </c>
      <c r="H1818" s="0" t="s">
        <v>4613</v>
      </c>
      <c r="I1818" s="0" t="s">
        <v>4981</v>
      </c>
      <c r="J1818" s="18" t="s">
        <v>24</v>
      </c>
    </row>
    <row r="1819" customFormat="false" ht="15" hidden="false" customHeight="false" outlineLevel="0" collapsed="false">
      <c r="A1819" s="0" t="s">
        <v>1600</v>
      </c>
      <c r="B1819" s="0" t="s">
        <v>134</v>
      </c>
      <c r="C1819" s="0" t="s">
        <v>3447</v>
      </c>
      <c r="D1819" s="0" t="s">
        <v>3448</v>
      </c>
      <c r="E1819" s="0" t="s">
        <v>4963</v>
      </c>
      <c r="F1819" s="0" t="s">
        <v>30</v>
      </c>
      <c r="G1819" s="0" t="s">
        <v>4980</v>
      </c>
      <c r="H1819" s="0" t="s">
        <v>4614</v>
      </c>
      <c r="I1819" s="0" t="s">
        <v>4981</v>
      </c>
      <c r="J1819" s="18" t="s">
        <v>24</v>
      </c>
    </row>
    <row r="1820" customFormat="false" ht="15" hidden="false" customHeight="false" outlineLevel="0" collapsed="false">
      <c r="A1820" s="0" t="s">
        <v>1608</v>
      </c>
      <c r="B1820" s="0" t="s">
        <v>134</v>
      </c>
      <c r="C1820" s="0" t="s">
        <v>3447</v>
      </c>
      <c r="D1820" s="0" t="s">
        <v>3457</v>
      </c>
      <c r="E1820" s="0" t="s">
        <v>4963</v>
      </c>
      <c r="F1820" s="0" t="s">
        <v>60</v>
      </c>
      <c r="G1820" s="0" t="s">
        <v>4964</v>
      </c>
      <c r="H1820" s="0" t="s">
        <v>5009</v>
      </c>
      <c r="I1820" s="0" t="s">
        <v>4966</v>
      </c>
      <c r="J1820" s="19" t="s">
        <v>26</v>
      </c>
    </row>
    <row r="1821" customFormat="false" ht="15" hidden="false" customHeight="false" outlineLevel="0" collapsed="false">
      <c r="A1821" s="0" t="s">
        <v>1608</v>
      </c>
      <c r="B1821" s="0" t="s">
        <v>134</v>
      </c>
      <c r="C1821" s="0" t="s">
        <v>3447</v>
      </c>
      <c r="D1821" s="0" t="s">
        <v>3448</v>
      </c>
      <c r="E1821" s="0" t="s">
        <v>4963</v>
      </c>
      <c r="F1821" s="0" t="s">
        <v>60</v>
      </c>
      <c r="G1821" s="0" t="s">
        <v>4964</v>
      </c>
      <c r="H1821" s="0" t="s">
        <v>5246</v>
      </c>
      <c r="I1821" s="0" t="s">
        <v>4966</v>
      </c>
      <c r="J1821" s="19" t="s">
        <v>26</v>
      </c>
    </row>
    <row r="1822" customFormat="false" ht="15" hidden="false" customHeight="false" outlineLevel="0" collapsed="false">
      <c r="A1822" s="0" t="s">
        <v>1608</v>
      </c>
      <c r="B1822" s="0" t="s">
        <v>134</v>
      </c>
      <c r="C1822" s="0" t="s">
        <v>3447</v>
      </c>
      <c r="D1822" s="0" t="s">
        <v>3457</v>
      </c>
      <c r="E1822" s="0" t="s">
        <v>4963</v>
      </c>
      <c r="F1822" s="0" t="s">
        <v>59</v>
      </c>
      <c r="G1822" s="0" t="s">
        <v>4974</v>
      </c>
      <c r="H1822" s="0" t="s">
        <v>69</v>
      </c>
      <c r="I1822" s="0" t="s">
        <v>4975</v>
      </c>
      <c r="J1822" s="20" t="s">
        <v>25</v>
      </c>
    </row>
    <row r="1823" customFormat="false" ht="15" hidden="false" customHeight="false" outlineLevel="0" collapsed="false">
      <c r="A1823" s="0" t="s">
        <v>1608</v>
      </c>
      <c r="B1823" s="0" t="s">
        <v>134</v>
      </c>
      <c r="C1823" s="0" t="s">
        <v>3447</v>
      </c>
      <c r="D1823" s="0" t="s">
        <v>3448</v>
      </c>
      <c r="E1823" s="0" t="s">
        <v>4963</v>
      </c>
      <c r="F1823" s="0" t="s">
        <v>59</v>
      </c>
      <c r="G1823" s="0" t="s">
        <v>4974</v>
      </c>
      <c r="H1823" s="0" t="s">
        <v>69</v>
      </c>
      <c r="I1823" s="0" t="s">
        <v>4975</v>
      </c>
      <c r="J1823" s="20" t="s">
        <v>25</v>
      </c>
    </row>
    <row r="1824" customFormat="false" ht="15" hidden="false" customHeight="false" outlineLevel="0" collapsed="false">
      <c r="A1824" s="0" t="s">
        <v>1608</v>
      </c>
      <c r="B1824" s="0" t="s">
        <v>3459</v>
      </c>
      <c r="C1824" s="0" t="s">
        <v>3450</v>
      </c>
      <c r="D1824" s="0" t="s">
        <v>3457</v>
      </c>
      <c r="E1824" s="0" t="s">
        <v>4963</v>
      </c>
      <c r="F1824" s="0" t="s">
        <v>59</v>
      </c>
      <c r="G1824" s="0" t="s">
        <v>4974</v>
      </c>
      <c r="H1824" s="0" t="s">
        <v>69</v>
      </c>
      <c r="I1824" s="0" t="s">
        <v>4975</v>
      </c>
      <c r="J1824" s="20" t="s">
        <v>25</v>
      </c>
    </row>
    <row r="1825" customFormat="false" ht="15" hidden="false" customHeight="false" outlineLevel="0" collapsed="false">
      <c r="A1825" s="0" t="s">
        <v>1608</v>
      </c>
      <c r="B1825" s="0" t="s">
        <v>3459</v>
      </c>
      <c r="C1825" s="0" t="s">
        <v>3450</v>
      </c>
      <c r="D1825" s="0" t="s">
        <v>3448</v>
      </c>
      <c r="E1825" s="0" t="s">
        <v>4969</v>
      </c>
      <c r="F1825" s="0" t="s">
        <v>63</v>
      </c>
      <c r="G1825" s="0" t="s">
        <v>4220</v>
      </c>
      <c r="H1825" s="0" t="s">
        <v>5591</v>
      </c>
      <c r="I1825" s="0" t="s">
        <v>4979</v>
      </c>
      <c r="J1825" s="20" t="s">
        <v>25</v>
      </c>
    </row>
    <row r="1826" customFormat="false" ht="15" hidden="false" customHeight="false" outlineLevel="0" collapsed="false">
      <c r="A1826" s="0" t="s">
        <v>1608</v>
      </c>
      <c r="B1826" s="0" t="s">
        <v>3459</v>
      </c>
      <c r="C1826" s="0" t="s">
        <v>3447</v>
      </c>
      <c r="D1826" s="0" t="s">
        <v>3448</v>
      </c>
      <c r="E1826" s="0" t="s">
        <v>4963</v>
      </c>
      <c r="F1826" s="0" t="s">
        <v>59</v>
      </c>
      <c r="G1826" s="0" t="s">
        <v>4974</v>
      </c>
      <c r="H1826" s="0" t="s">
        <v>69</v>
      </c>
      <c r="I1826" s="0" t="s">
        <v>4975</v>
      </c>
      <c r="J1826" s="20" t="s">
        <v>25</v>
      </c>
    </row>
    <row r="1827" customFormat="false" ht="15" hidden="false" customHeight="false" outlineLevel="0" collapsed="false">
      <c r="A1827" s="0" t="s">
        <v>1608</v>
      </c>
      <c r="B1827" s="0" t="s">
        <v>3459</v>
      </c>
      <c r="C1827" s="0" t="s">
        <v>3447</v>
      </c>
      <c r="D1827" s="0" t="s">
        <v>3448</v>
      </c>
      <c r="E1827" s="0" t="s">
        <v>4969</v>
      </c>
      <c r="F1827" s="0" t="s">
        <v>63</v>
      </c>
      <c r="G1827" s="0" t="s">
        <v>4220</v>
      </c>
      <c r="H1827" s="0" t="s">
        <v>5591</v>
      </c>
      <c r="I1827" s="0" t="s">
        <v>4979</v>
      </c>
      <c r="J1827" s="20" t="s">
        <v>25</v>
      </c>
    </row>
    <row r="1828" customFormat="false" ht="15" hidden="false" customHeight="false" outlineLevel="0" collapsed="false">
      <c r="A1828" s="0" t="s">
        <v>1608</v>
      </c>
      <c r="B1828" s="0" t="s">
        <v>3459</v>
      </c>
      <c r="C1828" s="0" t="s">
        <v>3450</v>
      </c>
      <c r="D1828" s="0" t="s">
        <v>3457</v>
      </c>
      <c r="E1828" s="0" t="s">
        <v>4963</v>
      </c>
      <c r="F1828" s="0" t="s">
        <v>30</v>
      </c>
      <c r="G1828" s="0" t="s">
        <v>4980</v>
      </c>
      <c r="H1828" s="0" t="s">
        <v>4265</v>
      </c>
      <c r="I1828" s="0" t="s">
        <v>4981</v>
      </c>
      <c r="J1828" s="18" t="s">
        <v>24</v>
      </c>
    </row>
    <row r="1829" customFormat="false" ht="15" hidden="false" customHeight="false" outlineLevel="0" collapsed="false">
      <c r="A1829" s="0" t="s">
        <v>1608</v>
      </c>
      <c r="B1829" s="0" t="s">
        <v>3459</v>
      </c>
      <c r="C1829" s="0" t="s">
        <v>3447</v>
      </c>
      <c r="D1829" s="0" t="s">
        <v>3448</v>
      </c>
      <c r="E1829" s="0" t="s">
        <v>4963</v>
      </c>
      <c r="F1829" s="0" t="s">
        <v>30</v>
      </c>
      <c r="G1829" s="0" t="s">
        <v>4980</v>
      </c>
      <c r="H1829" s="0" t="s">
        <v>4615</v>
      </c>
      <c r="I1829" s="0" t="s">
        <v>4981</v>
      </c>
      <c r="J1829" s="18" t="s">
        <v>24</v>
      </c>
    </row>
    <row r="1830" customFormat="false" ht="15" hidden="false" customHeight="false" outlineLevel="0" collapsed="false">
      <c r="A1830" s="0" t="s">
        <v>1614</v>
      </c>
      <c r="B1830" s="0" t="s">
        <v>3459</v>
      </c>
      <c r="C1830" s="0" t="s">
        <v>3447</v>
      </c>
      <c r="D1830" s="0" t="s">
        <v>3448</v>
      </c>
      <c r="E1830" s="0" t="s">
        <v>4963</v>
      </c>
      <c r="F1830" s="0" t="s">
        <v>60</v>
      </c>
      <c r="G1830" s="0" t="s">
        <v>4964</v>
      </c>
      <c r="H1830" s="0" t="s">
        <v>5592</v>
      </c>
      <c r="I1830" s="0" t="s">
        <v>4966</v>
      </c>
      <c r="J1830" s="19" t="s">
        <v>26</v>
      </c>
    </row>
    <row r="1831" customFormat="false" ht="15" hidden="false" customHeight="false" outlineLevel="0" collapsed="false">
      <c r="A1831" s="0" t="s">
        <v>1614</v>
      </c>
      <c r="B1831" s="0" t="s">
        <v>134</v>
      </c>
      <c r="C1831" s="0" t="s">
        <v>3450</v>
      </c>
      <c r="D1831" s="0" t="s">
        <v>3457</v>
      </c>
      <c r="E1831" s="0" t="s">
        <v>4969</v>
      </c>
      <c r="F1831" s="0" t="s">
        <v>62</v>
      </c>
      <c r="G1831" s="0" t="s">
        <v>5003</v>
      </c>
      <c r="H1831" s="0" t="s">
        <v>5593</v>
      </c>
      <c r="I1831" s="0" t="s">
        <v>5005</v>
      </c>
      <c r="J1831" s="20" t="s">
        <v>25</v>
      </c>
    </row>
    <row r="1832" customFormat="false" ht="15" hidden="false" customHeight="false" outlineLevel="0" collapsed="false">
      <c r="A1832" s="0" t="s">
        <v>1614</v>
      </c>
      <c r="B1832" s="0" t="s">
        <v>134</v>
      </c>
      <c r="C1832" s="0" t="s">
        <v>3447</v>
      </c>
      <c r="D1832" s="0" t="s">
        <v>3448</v>
      </c>
      <c r="E1832" s="0" t="s">
        <v>4963</v>
      </c>
      <c r="F1832" s="0" t="s">
        <v>59</v>
      </c>
      <c r="G1832" s="0" t="s">
        <v>4974</v>
      </c>
      <c r="H1832" s="0" t="s">
        <v>69</v>
      </c>
      <c r="I1832" s="0" t="s">
        <v>4975</v>
      </c>
      <c r="J1832" s="20" t="s">
        <v>25</v>
      </c>
    </row>
    <row r="1833" customFormat="false" ht="15" hidden="false" customHeight="false" outlineLevel="0" collapsed="false">
      <c r="A1833" s="0" t="s">
        <v>1614</v>
      </c>
      <c r="B1833" s="0" t="s">
        <v>134</v>
      </c>
      <c r="C1833" s="0" t="s">
        <v>3447</v>
      </c>
      <c r="D1833" s="0" t="s">
        <v>3448</v>
      </c>
      <c r="E1833" s="0" t="s">
        <v>4969</v>
      </c>
      <c r="F1833" s="0" t="s">
        <v>61</v>
      </c>
      <c r="G1833" s="0" t="s">
        <v>4970</v>
      </c>
      <c r="H1833" s="0" t="s">
        <v>5594</v>
      </c>
      <c r="I1833" s="0" t="s">
        <v>4972</v>
      </c>
      <c r="J1833" s="20" t="s">
        <v>25</v>
      </c>
    </row>
    <row r="1834" customFormat="false" ht="15" hidden="false" customHeight="false" outlineLevel="0" collapsed="false">
      <c r="A1834" s="0" t="s">
        <v>1614</v>
      </c>
      <c r="B1834" s="0" t="s">
        <v>3459</v>
      </c>
      <c r="C1834" s="0" t="s">
        <v>3450</v>
      </c>
      <c r="D1834" s="0" t="s">
        <v>3457</v>
      </c>
      <c r="E1834" s="0" t="s">
        <v>4963</v>
      </c>
      <c r="F1834" s="0" t="s">
        <v>59</v>
      </c>
      <c r="G1834" s="0" t="s">
        <v>4974</v>
      </c>
      <c r="H1834" s="0" t="s">
        <v>69</v>
      </c>
      <c r="I1834" s="0" t="s">
        <v>4975</v>
      </c>
      <c r="J1834" s="20" t="s">
        <v>25</v>
      </c>
    </row>
    <row r="1835" customFormat="false" ht="15" hidden="false" customHeight="false" outlineLevel="0" collapsed="false">
      <c r="A1835" s="0" t="s">
        <v>1614</v>
      </c>
      <c r="B1835" s="0" t="s">
        <v>3459</v>
      </c>
      <c r="C1835" s="0" t="s">
        <v>3450</v>
      </c>
      <c r="D1835" s="0" t="s">
        <v>3457</v>
      </c>
      <c r="E1835" s="0" t="s">
        <v>4969</v>
      </c>
      <c r="F1835" s="0" t="s">
        <v>61</v>
      </c>
      <c r="G1835" s="0" t="s">
        <v>4970</v>
      </c>
      <c r="H1835" s="0" t="s">
        <v>5595</v>
      </c>
      <c r="I1835" s="0" t="s">
        <v>4972</v>
      </c>
      <c r="J1835" s="20" t="s">
        <v>25</v>
      </c>
    </row>
    <row r="1836" customFormat="false" ht="15" hidden="false" customHeight="false" outlineLevel="0" collapsed="false">
      <c r="A1836" s="0" t="s">
        <v>1614</v>
      </c>
      <c r="B1836" s="0" t="s">
        <v>3459</v>
      </c>
      <c r="C1836" s="0" t="s">
        <v>3450</v>
      </c>
      <c r="D1836" s="0" t="s">
        <v>3448</v>
      </c>
      <c r="E1836" s="0" t="s">
        <v>4969</v>
      </c>
      <c r="F1836" s="0" t="s">
        <v>61</v>
      </c>
      <c r="G1836" s="0" t="s">
        <v>4970</v>
      </c>
      <c r="H1836" s="0" t="s">
        <v>5596</v>
      </c>
      <c r="I1836" s="0" t="s">
        <v>4972</v>
      </c>
      <c r="J1836" s="20" t="s">
        <v>25</v>
      </c>
    </row>
    <row r="1837" customFormat="false" ht="15" hidden="false" customHeight="false" outlineLevel="0" collapsed="false">
      <c r="A1837" s="0" t="s">
        <v>1614</v>
      </c>
      <c r="B1837" s="0" t="s">
        <v>134</v>
      </c>
      <c r="C1837" s="0" t="s">
        <v>3447</v>
      </c>
      <c r="D1837" s="0" t="s">
        <v>3457</v>
      </c>
      <c r="E1837" s="0" t="s">
        <v>4963</v>
      </c>
      <c r="F1837" s="0" t="s">
        <v>30</v>
      </c>
      <c r="G1837" s="0" t="s">
        <v>4980</v>
      </c>
      <c r="H1837" s="0" t="s">
        <v>4616</v>
      </c>
      <c r="I1837" s="0" t="s">
        <v>4981</v>
      </c>
      <c r="J1837" s="18" t="s">
        <v>24</v>
      </c>
    </row>
    <row r="1838" customFormat="false" ht="15" hidden="false" customHeight="false" outlineLevel="0" collapsed="false">
      <c r="A1838" s="0" t="s">
        <v>1614</v>
      </c>
      <c r="B1838" s="0" t="s">
        <v>134</v>
      </c>
      <c r="C1838" s="0" t="s">
        <v>3447</v>
      </c>
      <c r="D1838" s="0" t="s">
        <v>3448</v>
      </c>
      <c r="E1838" s="0" t="s">
        <v>4963</v>
      </c>
      <c r="F1838" s="0" t="s">
        <v>30</v>
      </c>
      <c r="G1838" s="0" t="s">
        <v>4980</v>
      </c>
      <c r="H1838" s="0" t="s">
        <v>4617</v>
      </c>
      <c r="I1838" s="0" t="s">
        <v>4981</v>
      </c>
      <c r="J1838" s="18" t="s">
        <v>24</v>
      </c>
    </row>
    <row r="1839" customFormat="false" ht="15" hidden="false" customHeight="false" outlineLevel="0" collapsed="false">
      <c r="A1839" s="0" t="s">
        <v>1614</v>
      </c>
      <c r="B1839" s="0" t="s">
        <v>3459</v>
      </c>
      <c r="C1839" s="0" t="s">
        <v>3450</v>
      </c>
      <c r="D1839" s="0" t="s">
        <v>3457</v>
      </c>
      <c r="E1839" s="0" t="s">
        <v>4963</v>
      </c>
      <c r="F1839" s="0" t="s">
        <v>30</v>
      </c>
      <c r="G1839" s="0" t="s">
        <v>4980</v>
      </c>
      <c r="H1839" s="0" t="s">
        <v>4275</v>
      </c>
      <c r="I1839" s="0" t="s">
        <v>4981</v>
      </c>
      <c r="J1839" s="18" t="s">
        <v>24</v>
      </c>
    </row>
    <row r="1840" customFormat="false" ht="15" hidden="false" customHeight="false" outlineLevel="0" collapsed="false">
      <c r="A1840" s="0" t="s">
        <v>1614</v>
      </c>
      <c r="B1840" s="0" t="s">
        <v>3459</v>
      </c>
      <c r="C1840" s="0" t="s">
        <v>3447</v>
      </c>
      <c r="D1840" s="0" t="s">
        <v>3457</v>
      </c>
      <c r="E1840" s="0" t="s">
        <v>4963</v>
      </c>
      <c r="F1840" s="0" t="s">
        <v>30</v>
      </c>
      <c r="G1840" s="0" t="s">
        <v>4980</v>
      </c>
      <c r="H1840" s="0" t="s">
        <v>4618</v>
      </c>
      <c r="I1840" s="0" t="s">
        <v>4981</v>
      </c>
      <c r="J1840" s="18" t="s">
        <v>24</v>
      </c>
    </row>
    <row r="1841" customFormat="false" ht="15" hidden="false" customHeight="false" outlineLevel="0" collapsed="false">
      <c r="A1841" s="0" t="s">
        <v>1620</v>
      </c>
      <c r="B1841" s="0" t="s">
        <v>134</v>
      </c>
      <c r="C1841" s="0" t="s">
        <v>3450</v>
      </c>
      <c r="D1841" s="0" t="s">
        <v>3457</v>
      </c>
      <c r="E1841" s="0" t="s">
        <v>4963</v>
      </c>
      <c r="F1841" s="0" t="s">
        <v>65</v>
      </c>
      <c r="G1841" s="0" t="s">
        <v>4997</v>
      </c>
      <c r="H1841" s="0" t="s">
        <v>3871</v>
      </c>
      <c r="I1841" s="0" t="s">
        <v>4998</v>
      </c>
      <c r="J1841" s="19" t="s">
        <v>26</v>
      </c>
    </row>
    <row r="1842" customFormat="false" ht="15" hidden="false" customHeight="false" outlineLevel="0" collapsed="false">
      <c r="A1842" s="0" t="s">
        <v>1620</v>
      </c>
      <c r="B1842" s="0" t="s">
        <v>134</v>
      </c>
      <c r="C1842" s="0" t="s">
        <v>3447</v>
      </c>
      <c r="D1842" s="0" t="s">
        <v>3457</v>
      </c>
      <c r="E1842" s="0" t="s">
        <v>4963</v>
      </c>
      <c r="F1842" s="0" t="s">
        <v>65</v>
      </c>
      <c r="G1842" s="0" t="s">
        <v>4997</v>
      </c>
      <c r="H1842" s="0" t="s">
        <v>3871</v>
      </c>
      <c r="I1842" s="0" t="s">
        <v>4998</v>
      </c>
      <c r="J1842" s="19" t="s">
        <v>26</v>
      </c>
    </row>
    <row r="1843" customFormat="false" ht="15" hidden="false" customHeight="false" outlineLevel="0" collapsed="false">
      <c r="A1843" s="0" t="s">
        <v>1620</v>
      </c>
      <c r="B1843" s="0" t="s">
        <v>134</v>
      </c>
      <c r="C1843" s="0" t="s">
        <v>3450</v>
      </c>
      <c r="D1843" s="0" t="s">
        <v>3457</v>
      </c>
      <c r="E1843" s="0" t="s">
        <v>4969</v>
      </c>
      <c r="F1843" s="0" t="s">
        <v>62</v>
      </c>
      <c r="G1843" s="0" t="s">
        <v>5003</v>
      </c>
      <c r="H1843" s="0" t="s">
        <v>5597</v>
      </c>
      <c r="I1843" s="0" t="s">
        <v>5005</v>
      </c>
      <c r="J1843" s="20" t="s">
        <v>25</v>
      </c>
    </row>
    <row r="1844" customFormat="false" ht="15" hidden="false" customHeight="false" outlineLevel="0" collapsed="false">
      <c r="A1844" s="0" t="s">
        <v>1620</v>
      </c>
      <c r="B1844" s="0" t="s">
        <v>134</v>
      </c>
      <c r="C1844" s="0" t="s">
        <v>3450</v>
      </c>
      <c r="D1844" s="0" t="s">
        <v>3448</v>
      </c>
      <c r="E1844" s="0" t="s">
        <v>4969</v>
      </c>
      <c r="F1844" s="0" t="s">
        <v>61</v>
      </c>
      <c r="G1844" s="0" t="s">
        <v>4970</v>
      </c>
      <c r="H1844" s="0" t="s">
        <v>5598</v>
      </c>
      <c r="I1844" s="0" t="s">
        <v>4972</v>
      </c>
      <c r="J1844" s="20" t="s">
        <v>25</v>
      </c>
    </row>
    <row r="1845" customFormat="false" ht="15" hidden="false" customHeight="false" outlineLevel="0" collapsed="false">
      <c r="A1845" s="0" t="s">
        <v>1620</v>
      </c>
      <c r="B1845" s="0" t="s">
        <v>134</v>
      </c>
      <c r="C1845" s="0" t="s">
        <v>3450</v>
      </c>
      <c r="D1845" s="0" t="s">
        <v>3448</v>
      </c>
      <c r="E1845" s="0" t="s">
        <v>4969</v>
      </c>
      <c r="F1845" s="0" t="s">
        <v>62</v>
      </c>
      <c r="G1845" s="0" t="s">
        <v>5003</v>
      </c>
      <c r="H1845" s="0" t="s">
        <v>5599</v>
      </c>
      <c r="I1845" s="0" t="s">
        <v>5005</v>
      </c>
      <c r="J1845" s="20" t="s">
        <v>25</v>
      </c>
    </row>
    <row r="1846" customFormat="false" ht="15" hidden="false" customHeight="false" outlineLevel="0" collapsed="false">
      <c r="A1846" s="0" t="s">
        <v>1620</v>
      </c>
      <c r="B1846" s="0" t="s">
        <v>134</v>
      </c>
      <c r="C1846" s="0" t="s">
        <v>3450</v>
      </c>
      <c r="D1846" s="0" t="s">
        <v>3448</v>
      </c>
      <c r="E1846" s="0" t="s">
        <v>4969</v>
      </c>
      <c r="F1846" s="0" t="s">
        <v>64</v>
      </c>
      <c r="G1846" s="0" t="s">
        <v>4220</v>
      </c>
      <c r="H1846" s="0" t="s">
        <v>5600</v>
      </c>
      <c r="I1846" s="0" t="s">
        <v>4991</v>
      </c>
      <c r="J1846" s="20" t="s">
        <v>25</v>
      </c>
    </row>
    <row r="1847" customFormat="false" ht="15" hidden="false" customHeight="false" outlineLevel="0" collapsed="false">
      <c r="A1847" s="0" t="s">
        <v>1620</v>
      </c>
      <c r="B1847" s="0" t="s">
        <v>134</v>
      </c>
      <c r="C1847" s="0" t="s">
        <v>3447</v>
      </c>
      <c r="D1847" s="0" t="s">
        <v>3457</v>
      </c>
      <c r="E1847" s="0" t="s">
        <v>4969</v>
      </c>
      <c r="F1847" s="0" t="s">
        <v>61</v>
      </c>
      <c r="G1847" s="0" t="s">
        <v>4970</v>
      </c>
      <c r="H1847" s="0" t="s">
        <v>5601</v>
      </c>
      <c r="I1847" s="0" t="s">
        <v>4972</v>
      </c>
      <c r="J1847" s="20" t="s">
        <v>25</v>
      </c>
    </row>
    <row r="1848" customFormat="false" ht="15" hidden="false" customHeight="false" outlineLevel="0" collapsed="false">
      <c r="A1848" s="0" t="s">
        <v>1620</v>
      </c>
      <c r="B1848" s="0" t="s">
        <v>134</v>
      </c>
      <c r="C1848" s="0" t="s">
        <v>3447</v>
      </c>
      <c r="D1848" s="0" t="s">
        <v>3448</v>
      </c>
      <c r="E1848" s="0" t="s">
        <v>4969</v>
      </c>
      <c r="F1848" s="0" t="s">
        <v>64</v>
      </c>
      <c r="G1848" s="0" t="s">
        <v>4220</v>
      </c>
      <c r="H1848" s="0" t="s">
        <v>5600</v>
      </c>
      <c r="I1848" s="0" t="s">
        <v>4991</v>
      </c>
      <c r="J1848" s="20" t="s">
        <v>25</v>
      </c>
    </row>
    <row r="1849" customFormat="false" ht="15" hidden="false" customHeight="false" outlineLevel="0" collapsed="false">
      <c r="A1849" s="0" t="s">
        <v>1627</v>
      </c>
      <c r="B1849" s="0" t="s">
        <v>134</v>
      </c>
      <c r="C1849" s="0" t="s">
        <v>3450</v>
      </c>
      <c r="D1849" s="0" t="s">
        <v>3457</v>
      </c>
      <c r="E1849" s="0" t="s">
        <v>4969</v>
      </c>
      <c r="F1849" s="0" t="s">
        <v>64</v>
      </c>
      <c r="G1849" s="0" t="s">
        <v>4220</v>
      </c>
      <c r="H1849" s="0" t="s">
        <v>5602</v>
      </c>
      <c r="I1849" s="0" t="s">
        <v>4991</v>
      </c>
      <c r="J1849" s="20" t="s">
        <v>25</v>
      </c>
    </row>
    <row r="1850" customFormat="false" ht="15" hidden="false" customHeight="false" outlineLevel="0" collapsed="false">
      <c r="A1850" s="0" t="s">
        <v>1627</v>
      </c>
      <c r="B1850" s="0" t="s">
        <v>134</v>
      </c>
      <c r="C1850" s="0" t="s">
        <v>3450</v>
      </c>
      <c r="D1850" s="0" t="s">
        <v>3448</v>
      </c>
      <c r="E1850" s="0" t="s">
        <v>4969</v>
      </c>
      <c r="F1850" s="0" t="s">
        <v>63</v>
      </c>
      <c r="G1850" s="0" t="s">
        <v>4220</v>
      </c>
      <c r="H1850" s="0" t="s">
        <v>5603</v>
      </c>
      <c r="I1850" s="0" t="s">
        <v>4979</v>
      </c>
      <c r="J1850" s="20" t="s">
        <v>25</v>
      </c>
    </row>
    <row r="1851" customFormat="false" ht="15" hidden="false" customHeight="false" outlineLevel="0" collapsed="false">
      <c r="A1851" s="0" t="s">
        <v>1627</v>
      </c>
      <c r="B1851" s="0" t="s">
        <v>134</v>
      </c>
      <c r="C1851" s="0" t="s">
        <v>3447</v>
      </c>
      <c r="D1851" s="0" t="s">
        <v>3457</v>
      </c>
      <c r="E1851" s="0" t="s">
        <v>4969</v>
      </c>
      <c r="F1851" s="0" t="s">
        <v>64</v>
      </c>
      <c r="G1851" s="0" t="s">
        <v>4220</v>
      </c>
      <c r="H1851" s="0" t="s">
        <v>5602</v>
      </c>
      <c r="I1851" s="0" t="s">
        <v>4991</v>
      </c>
      <c r="J1851" s="20" t="s">
        <v>25</v>
      </c>
    </row>
    <row r="1852" customFormat="false" ht="15" hidden="false" customHeight="false" outlineLevel="0" collapsed="false">
      <c r="A1852" s="0" t="s">
        <v>1627</v>
      </c>
      <c r="B1852" s="0" t="s">
        <v>134</v>
      </c>
      <c r="C1852" s="0" t="s">
        <v>3447</v>
      </c>
      <c r="D1852" s="0" t="s">
        <v>3448</v>
      </c>
      <c r="E1852" s="0" t="s">
        <v>4969</v>
      </c>
      <c r="F1852" s="0" t="s">
        <v>63</v>
      </c>
      <c r="G1852" s="0" t="s">
        <v>4220</v>
      </c>
      <c r="H1852" s="0" t="s">
        <v>5603</v>
      </c>
      <c r="I1852" s="0" t="s">
        <v>4979</v>
      </c>
      <c r="J1852" s="20" t="s">
        <v>25</v>
      </c>
    </row>
    <row r="1853" customFormat="false" ht="15" hidden="false" customHeight="false" outlineLevel="0" collapsed="false">
      <c r="A1853" s="0" t="s">
        <v>1639</v>
      </c>
      <c r="B1853" s="0" t="s">
        <v>134</v>
      </c>
      <c r="C1853" s="0" t="s">
        <v>3450</v>
      </c>
      <c r="D1853" s="0" t="s">
        <v>3457</v>
      </c>
      <c r="E1853" s="0" t="s">
        <v>4963</v>
      </c>
      <c r="F1853" s="0" t="s">
        <v>65</v>
      </c>
      <c r="G1853" s="0" t="s">
        <v>4997</v>
      </c>
      <c r="H1853" s="0" t="s">
        <v>3871</v>
      </c>
      <c r="I1853" s="0" t="s">
        <v>4998</v>
      </c>
      <c r="J1853" s="19" t="s">
        <v>26</v>
      </c>
    </row>
    <row r="1854" customFormat="false" ht="15" hidden="false" customHeight="false" outlineLevel="0" collapsed="false">
      <c r="A1854" s="0" t="s">
        <v>1639</v>
      </c>
      <c r="B1854" s="0" t="s">
        <v>134</v>
      </c>
      <c r="C1854" s="0" t="s">
        <v>3450</v>
      </c>
      <c r="D1854" s="0" t="s">
        <v>3448</v>
      </c>
      <c r="E1854" s="0" t="s">
        <v>4963</v>
      </c>
      <c r="F1854" s="0" t="s">
        <v>65</v>
      </c>
      <c r="G1854" s="0" t="s">
        <v>4997</v>
      </c>
      <c r="H1854" s="0" t="s">
        <v>3871</v>
      </c>
      <c r="I1854" s="0" t="s">
        <v>4998</v>
      </c>
      <c r="J1854" s="19" t="s">
        <v>26</v>
      </c>
    </row>
    <row r="1855" customFormat="false" ht="15" hidden="false" customHeight="false" outlineLevel="0" collapsed="false">
      <c r="A1855" s="0" t="s">
        <v>1639</v>
      </c>
      <c r="B1855" s="0" t="s">
        <v>134</v>
      </c>
      <c r="C1855" s="0" t="s">
        <v>3447</v>
      </c>
      <c r="D1855" s="0" t="s">
        <v>3457</v>
      </c>
      <c r="E1855" s="0" t="s">
        <v>4963</v>
      </c>
      <c r="F1855" s="0" t="s">
        <v>65</v>
      </c>
      <c r="G1855" s="0" t="s">
        <v>4997</v>
      </c>
      <c r="H1855" s="0" t="s">
        <v>3871</v>
      </c>
      <c r="I1855" s="0" t="s">
        <v>4998</v>
      </c>
      <c r="J1855" s="19" t="s">
        <v>26</v>
      </c>
    </row>
    <row r="1856" customFormat="false" ht="15" hidden="false" customHeight="false" outlineLevel="0" collapsed="false">
      <c r="A1856" s="0" t="s">
        <v>1639</v>
      </c>
      <c r="B1856" s="0" t="s">
        <v>134</v>
      </c>
      <c r="C1856" s="0" t="s">
        <v>3447</v>
      </c>
      <c r="D1856" s="0" t="s">
        <v>3457</v>
      </c>
      <c r="E1856" s="0" t="s">
        <v>4963</v>
      </c>
      <c r="F1856" s="0" t="s">
        <v>60</v>
      </c>
      <c r="G1856" s="0" t="s">
        <v>4964</v>
      </c>
      <c r="H1856" s="0" t="s">
        <v>5604</v>
      </c>
      <c r="I1856" s="0" t="s">
        <v>4966</v>
      </c>
      <c r="J1856" s="19" t="s">
        <v>26</v>
      </c>
    </row>
    <row r="1857" customFormat="false" ht="15" hidden="false" customHeight="false" outlineLevel="0" collapsed="false">
      <c r="A1857" s="0" t="s">
        <v>1639</v>
      </c>
      <c r="B1857" s="0" t="s">
        <v>134</v>
      </c>
      <c r="C1857" s="0" t="s">
        <v>3447</v>
      </c>
      <c r="D1857" s="0" t="s">
        <v>3448</v>
      </c>
      <c r="E1857" s="0" t="s">
        <v>4963</v>
      </c>
      <c r="F1857" s="0" t="s">
        <v>65</v>
      </c>
      <c r="G1857" s="0" t="s">
        <v>4997</v>
      </c>
      <c r="H1857" s="0" t="s">
        <v>3871</v>
      </c>
      <c r="I1857" s="0" t="s">
        <v>4998</v>
      </c>
      <c r="J1857" s="19" t="s">
        <v>26</v>
      </c>
    </row>
    <row r="1858" customFormat="false" ht="15" hidden="false" customHeight="false" outlineLevel="0" collapsed="false">
      <c r="A1858" s="0" t="s">
        <v>1639</v>
      </c>
      <c r="B1858" s="0" t="s">
        <v>134</v>
      </c>
      <c r="C1858" s="0" t="s">
        <v>3447</v>
      </c>
      <c r="D1858" s="0" t="s">
        <v>3448</v>
      </c>
      <c r="E1858" s="0" t="s">
        <v>4963</v>
      </c>
      <c r="F1858" s="0" t="s">
        <v>60</v>
      </c>
      <c r="G1858" s="0" t="s">
        <v>4964</v>
      </c>
      <c r="H1858" s="0" t="s">
        <v>5605</v>
      </c>
      <c r="I1858" s="0" t="s">
        <v>4966</v>
      </c>
      <c r="J1858" s="19" t="s">
        <v>26</v>
      </c>
    </row>
    <row r="1859" customFormat="false" ht="15" hidden="false" customHeight="false" outlineLevel="0" collapsed="false">
      <c r="A1859" s="0" t="s">
        <v>1639</v>
      </c>
      <c r="B1859" s="0" t="s">
        <v>3459</v>
      </c>
      <c r="C1859" s="0" t="s">
        <v>3447</v>
      </c>
      <c r="D1859" s="0" t="s">
        <v>3457</v>
      </c>
      <c r="E1859" s="0" t="s">
        <v>4963</v>
      </c>
      <c r="F1859" s="0" t="s">
        <v>60</v>
      </c>
      <c r="G1859" s="0" t="s">
        <v>4964</v>
      </c>
      <c r="H1859" s="0" t="s">
        <v>5032</v>
      </c>
      <c r="I1859" s="0" t="s">
        <v>4966</v>
      </c>
      <c r="J1859" s="19" t="s">
        <v>26</v>
      </c>
    </row>
    <row r="1860" customFormat="false" ht="15" hidden="false" customHeight="false" outlineLevel="0" collapsed="false">
      <c r="A1860" s="0" t="s">
        <v>1639</v>
      </c>
      <c r="B1860" s="0" t="s">
        <v>3459</v>
      </c>
      <c r="C1860" s="0" t="s">
        <v>3450</v>
      </c>
      <c r="D1860" s="0" t="s">
        <v>3448</v>
      </c>
      <c r="E1860" s="0" t="s">
        <v>4963</v>
      </c>
      <c r="F1860" s="0" t="s">
        <v>59</v>
      </c>
      <c r="G1860" s="0" t="s">
        <v>4974</v>
      </c>
      <c r="H1860" s="0" t="s">
        <v>69</v>
      </c>
      <c r="I1860" s="0" t="s">
        <v>4975</v>
      </c>
      <c r="J1860" s="20" t="s">
        <v>25</v>
      </c>
    </row>
    <row r="1861" customFormat="false" ht="15" hidden="false" customHeight="false" outlineLevel="0" collapsed="false">
      <c r="A1861" s="0" t="s">
        <v>1639</v>
      </c>
      <c r="B1861" s="0" t="s">
        <v>3459</v>
      </c>
      <c r="C1861" s="0" t="s">
        <v>3447</v>
      </c>
      <c r="D1861" s="0" t="s">
        <v>3457</v>
      </c>
      <c r="E1861" s="0" t="s">
        <v>4963</v>
      </c>
      <c r="F1861" s="0" t="s">
        <v>59</v>
      </c>
      <c r="G1861" s="0" t="s">
        <v>4974</v>
      </c>
      <c r="H1861" s="0" t="s">
        <v>69</v>
      </c>
      <c r="I1861" s="0" t="s">
        <v>4975</v>
      </c>
      <c r="J1861" s="20" t="s">
        <v>25</v>
      </c>
    </row>
    <row r="1862" customFormat="false" ht="15" hidden="false" customHeight="false" outlineLevel="0" collapsed="false">
      <c r="A1862" s="0" t="s">
        <v>1639</v>
      </c>
      <c r="B1862" s="0" t="s">
        <v>3459</v>
      </c>
      <c r="C1862" s="0" t="s">
        <v>3447</v>
      </c>
      <c r="D1862" s="0" t="s">
        <v>3457</v>
      </c>
      <c r="E1862" s="0" t="s">
        <v>4969</v>
      </c>
      <c r="F1862" s="0" t="s">
        <v>61</v>
      </c>
      <c r="G1862" s="0" t="s">
        <v>4970</v>
      </c>
      <c r="H1862" s="0" t="s">
        <v>5606</v>
      </c>
      <c r="I1862" s="0" t="s">
        <v>4972</v>
      </c>
      <c r="J1862" s="20" t="s">
        <v>25</v>
      </c>
    </row>
    <row r="1863" customFormat="false" ht="15" hidden="false" customHeight="false" outlineLevel="0" collapsed="false">
      <c r="A1863" s="0" t="s">
        <v>1639</v>
      </c>
      <c r="B1863" s="0" t="s">
        <v>3459</v>
      </c>
      <c r="C1863" s="0" t="s">
        <v>3447</v>
      </c>
      <c r="D1863" s="0" t="s">
        <v>3448</v>
      </c>
      <c r="E1863" s="0" t="s">
        <v>4963</v>
      </c>
      <c r="F1863" s="0" t="s">
        <v>59</v>
      </c>
      <c r="G1863" s="0" t="s">
        <v>4974</v>
      </c>
      <c r="H1863" s="0" t="s">
        <v>69</v>
      </c>
      <c r="I1863" s="0" t="s">
        <v>4975</v>
      </c>
      <c r="J1863" s="20" t="s">
        <v>25</v>
      </c>
    </row>
    <row r="1864" customFormat="false" ht="15" hidden="false" customHeight="false" outlineLevel="0" collapsed="false">
      <c r="A1864" s="0" t="s">
        <v>1639</v>
      </c>
      <c r="B1864" s="0" t="s">
        <v>3459</v>
      </c>
      <c r="C1864" s="0" t="s">
        <v>3450</v>
      </c>
      <c r="D1864" s="0" t="s">
        <v>3448</v>
      </c>
      <c r="E1864" s="0" t="s">
        <v>4963</v>
      </c>
      <c r="F1864" s="0" t="s">
        <v>30</v>
      </c>
      <c r="G1864" s="0" t="s">
        <v>4980</v>
      </c>
      <c r="H1864" s="0" t="s">
        <v>4331</v>
      </c>
      <c r="I1864" s="0" t="s">
        <v>4981</v>
      </c>
      <c r="J1864" s="18" t="s">
        <v>24</v>
      </c>
    </row>
    <row r="1865" customFormat="false" ht="15" hidden="false" customHeight="false" outlineLevel="0" collapsed="false">
      <c r="A1865" s="0" t="s">
        <v>1639</v>
      </c>
      <c r="B1865" s="0" t="s">
        <v>3459</v>
      </c>
      <c r="C1865" s="0" t="s">
        <v>3447</v>
      </c>
      <c r="D1865" s="0" t="s">
        <v>3448</v>
      </c>
      <c r="E1865" s="0" t="s">
        <v>4963</v>
      </c>
      <c r="F1865" s="0" t="s">
        <v>30</v>
      </c>
      <c r="G1865" s="0" t="s">
        <v>4980</v>
      </c>
      <c r="H1865" s="0" t="s">
        <v>4242</v>
      </c>
      <c r="I1865" s="0" t="s">
        <v>4981</v>
      </c>
      <c r="J1865" s="18" t="s">
        <v>24</v>
      </c>
    </row>
    <row r="1866" customFormat="false" ht="15" hidden="false" customHeight="false" outlineLevel="0" collapsed="false">
      <c r="A1866" s="0" t="s">
        <v>1645</v>
      </c>
      <c r="B1866" s="0" t="s">
        <v>134</v>
      </c>
      <c r="C1866" s="0" t="s">
        <v>3450</v>
      </c>
      <c r="D1866" s="0" t="s">
        <v>3457</v>
      </c>
      <c r="E1866" s="0" t="s">
        <v>4969</v>
      </c>
      <c r="F1866" s="0" t="s">
        <v>61</v>
      </c>
      <c r="G1866" s="0" t="s">
        <v>4970</v>
      </c>
      <c r="H1866" s="0" t="s">
        <v>5607</v>
      </c>
      <c r="I1866" s="0" t="s">
        <v>4972</v>
      </c>
      <c r="J1866" s="20" t="s">
        <v>25</v>
      </c>
    </row>
    <row r="1867" customFormat="false" ht="15" hidden="false" customHeight="false" outlineLevel="0" collapsed="false">
      <c r="A1867" s="0" t="s">
        <v>1645</v>
      </c>
      <c r="B1867" s="0" t="s">
        <v>134</v>
      </c>
      <c r="C1867" s="0" t="s">
        <v>3450</v>
      </c>
      <c r="D1867" s="0" t="s">
        <v>3448</v>
      </c>
      <c r="E1867" s="0" t="s">
        <v>4969</v>
      </c>
      <c r="F1867" s="0" t="s">
        <v>61</v>
      </c>
      <c r="G1867" s="0" t="s">
        <v>4970</v>
      </c>
      <c r="H1867" s="0" t="s">
        <v>5608</v>
      </c>
      <c r="I1867" s="0" t="s">
        <v>4972</v>
      </c>
      <c r="J1867" s="20" t="s">
        <v>25</v>
      </c>
    </row>
    <row r="1868" customFormat="false" ht="15" hidden="false" customHeight="false" outlineLevel="0" collapsed="false">
      <c r="A1868" s="0" t="s">
        <v>1645</v>
      </c>
      <c r="B1868" s="0" t="s">
        <v>134</v>
      </c>
      <c r="C1868" s="0" t="s">
        <v>3450</v>
      </c>
      <c r="D1868" s="0" t="s">
        <v>3448</v>
      </c>
      <c r="E1868" s="0" t="s">
        <v>4969</v>
      </c>
      <c r="F1868" s="0" t="s">
        <v>63</v>
      </c>
      <c r="G1868" s="0" t="s">
        <v>4220</v>
      </c>
      <c r="H1868" s="0" t="s">
        <v>5609</v>
      </c>
      <c r="I1868" s="0" t="s">
        <v>4979</v>
      </c>
      <c r="J1868" s="20" t="s">
        <v>25</v>
      </c>
    </row>
    <row r="1869" customFormat="false" ht="15" hidden="false" customHeight="false" outlineLevel="0" collapsed="false">
      <c r="A1869" s="0" t="s">
        <v>1645</v>
      </c>
      <c r="B1869" s="0" t="s">
        <v>134</v>
      </c>
      <c r="C1869" s="0" t="s">
        <v>3447</v>
      </c>
      <c r="D1869" s="0" t="s">
        <v>3457</v>
      </c>
      <c r="E1869" s="0" t="s">
        <v>4963</v>
      </c>
      <c r="F1869" s="0" t="s">
        <v>59</v>
      </c>
      <c r="G1869" s="0" t="s">
        <v>4974</v>
      </c>
      <c r="H1869" s="0" t="s">
        <v>69</v>
      </c>
      <c r="I1869" s="0" t="s">
        <v>4975</v>
      </c>
      <c r="J1869" s="20" t="s">
        <v>25</v>
      </c>
    </row>
    <row r="1870" customFormat="false" ht="15" hidden="false" customHeight="false" outlineLevel="0" collapsed="false">
      <c r="A1870" s="0" t="s">
        <v>1645</v>
      </c>
      <c r="B1870" s="0" t="s">
        <v>134</v>
      </c>
      <c r="C1870" s="0" t="s">
        <v>3447</v>
      </c>
      <c r="D1870" s="0" t="s">
        <v>3448</v>
      </c>
      <c r="E1870" s="0" t="s">
        <v>4963</v>
      </c>
      <c r="F1870" s="0" t="s">
        <v>59</v>
      </c>
      <c r="G1870" s="0" t="s">
        <v>4974</v>
      </c>
      <c r="H1870" s="0" t="s">
        <v>69</v>
      </c>
      <c r="I1870" s="0" t="s">
        <v>4975</v>
      </c>
      <c r="J1870" s="20" t="s">
        <v>25</v>
      </c>
    </row>
    <row r="1871" customFormat="false" ht="15" hidden="false" customHeight="false" outlineLevel="0" collapsed="false">
      <c r="A1871" s="0" t="s">
        <v>1645</v>
      </c>
      <c r="B1871" s="0" t="s">
        <v>134</v>
      </c>
      <c r="C1871" s="0" t="s">
        <v>3447</v>
      </c>
      <c r="D1871" s="0" t="s">
        <v>3448</v>
      </c>
      <c r="E1871" s="0" t="s">
        <v>4969</v>
      </c>
      <c r="F1871" s="0" t="s">
        <v>63</v>
      </c>
      <c r="G1871" s="0" t="s">
        <v>4220</v>
      </c>
      <c r="H1871" s="0" t="s">
        <v>5609</v>
      </c>
      <c r="I1871" s="0" t="s">
        <v>4979</v>
      </c>
      <c r="J1871" s="20" t="s">
        <v>25</v>
      </c>
    </row>
    <row r="1872" customFormat="false" ht="15" hidden="false" customHeight="false" outlineLevel="0" collapsed="false">
      <c r="A1872" s="0" t="s">
        <v>1645</v>
      </c>
      <c r="B1872" s="0" t="s">
        <v>134</v>
      </c>
      <c r="C1872" s="0" t="s">
        <v>3447</v>
      </c>
      <c r="D1872" s="0" t="s">
        <v>3457</v>
      </c>
      <c r="E1872" s="0" t="s">
        <v>4963</v>
      </c>
      <c r="F1872" s="0" t="s">
        <v>30</v>
      </c>
      <c r="G1872" s="0" t="s">
        <v>4980</v>
      </c>
      <c r="H1872" s="0" t="s">
        <v>4625</v>
      </c>
      <c r="I1872" s="0" t="s">
        <v>4981</v>
      </c>
      <c r="J1872" s="18" t="s">
        <v>24</v>
      </c>
    </row>
    <row r="1873" customFormat="false" ht="15" hidden="false" customHeight="false" outlineLevel="0" collapsed="false">
      <c r="A1873" s="0" t="s">
        <v>1645</v>
      </c>
      <c r="B1873" s="0" t="s">
        <v>134</v>
      </c>
      <c r="C1873" s="0" t="s">
        <v>3447</v>
      </c>
      <c r="D1873" s="0" t="s">
        <v>3448</v>
      </c>
      <c r="E1873" s="0" t="s">
        <v>4963</v>
      </c>
      <c r="F1873" s="0" t="s">
        <v>30</v>
      </c>
      <c r="G1873" s="0" t="s">
        <v>4980</v>
      </c>
      <c r="H1873" s="0" t="s">
        <v>4275</v>
      </c>
      <c r="I1873" s="0" t="s">
        <v>4981</v>
      </c>
      <c r="J1873" s="18" t="s">
        <v>24</v>
      </c>
    </row>
    <row r="1874" customFormat="false" ht="15" hidden="false" customHeight="false" outlineLevel="0" collapsed="false">
      <c r="A1874" s="0" t="s">
        <v>1651</v>
      </c>
      <c r="B1874" s="0" t="s">
        <v>134</v>
      </c>
      <c r="C1874" s="0" t="s">
        <v>3450</v>
      </c>
      <c r="D1874" s="0" t="s">
        <v>3457</v>
      </c>
      <c r="E1874" s="0" t="s">
        <v>4963</v>
      </c>
      <c r="F1874" s="0" t="s">
        <v>59</v>
      </c>
      <c r="G1874" s="0" t="s">
        <v>4974</v>
      </c>
      <c r="H1874" s="0" t="s">
        <v>69</v>
      </c>
      <c r="I1874" s="0" t="s">
        <v>4975</v>
      </c>
      <c r="J1874" s="20" t="s">
        <v>25</v>
      </c>
    </row>
    <row r="1875" customFormat="false" ht="15" hidden="false" customHeight="false" outlineLevel="0" collapsed="false">
      <c r="A1875" s="0" t="s">
        <v>1651</v>
      </c>
      <c r="B1875" s="0" t="s">
        <v>134</v>
      </c>
      <c r="C1875" s="0" t="s">
        <v>3450</v>
      </c>
      <c r="D1875" s="0" t="s">
        <v>3457</v>
      </c>
      <c r="E1875" s="0" t="s">
        <v>4969</v>
      </c>
      <c r="F1875" s="0" t="s">
        <v>63</v>
      </c>
      <c r="G1875" s="0" t="s">
        <v>4220</v>
      </c>
      <c r="H1875" s="0" t="s">
        <v>5591</v>
      </c>
      <c r="I1875" s="0" t="s">
        <v>4979</v>
      </c>
      <c r="J1875" s="20" t="s">
        <v>25</v>
      </c>
    </row>
    <row r="1876" customFormat="false" ht="15" hidden="false" customHeight="false" outlineLevel="0" collapsed="false">
      <c r="A1876" s="0" t="s">
        <v>1651</v>
      </c>
      <c r="B1876" s="0" t="s">
        <v>134</v>
      </c>
      <c r="C1876" s="0" t="s">
        <v>3450</v>
      </c>
      <c r="D1876" s="0" t="s">
        <v>3448</v>
      </c>
      <c r="E1876" s="0" t="s">
        <v>4963</v>
      </c>
      <c r="F1876" s="0" t="s">
        <v>59</v>
      </c>
      <c r="G1876" s="0" t="s">
        <v>4974</v>
      </c>
      <c r="H1876" s="0" t="s">
        <v>69</v>
      </c>
      <c r="I1876" s="0" t="s">
        <v>4975</v>
      </c>
      <c r="J1876" s="20" t="s">
        <v>25</v>
      </c>
    </row>
    <row r="1877" customFormat="false" ht="15" hidden="false" customHeight="false" outlineLevel="0" collapsed="false">
      <c r="A1877" s="0" t="s">
        <v>1651</v>
      </c>
      <c r="B1877" s="0" t="s">
        <v>134</v>
      </c>
      <c r="C1877" s="0" t="s">
        <v>3450</v>
      </c>
      <c r="D1877" s="0" t="s">
        <v>3448</v>
      </c>
      <c r="E1877" s="0" t="s">
        <v>4969</v>
      </c>
      <c r="F1877" s="0" t="s">
        <v>64</v>
      </c>
      <c r="G1877" s="0" t="s">
        <v>4220</v>
      </c>
      <c r="H1877" s="0" t="s">
        <v>5610</v>
      </c>
      <c r="I1877" s="0" t="s">
        <v>4991</v>
      </c>
      <c r="J1877" s="20" t="s">
        <v>25</v>
      </c>
    </row>
    <row r="1878" customFormat="false" ht="15" hidden="false" customHeight="false" outlineLevel="0" collapsed="false">
      <c r="A1878" s="0" t="s">
        <v>1651</v>
      </c>
      <c r="B1878" s="0" t="s">
        <v>134</v>
      </c>
      <c r="C1878" s="0" t="s">
        <v>3447</v>
      </c>
      <c r="D1878" s="0" t="s">
        <v>3457</v>
      </c>
      <c r="E1878" s="0" t="s">
        <v>4969</v>
      </c>
      <c r="F1878" s="0" t="s">
        <v>63</v>
      </c>
      <c r="G1878" s="0" t="s">
        <v>4220</v>
      </c>
      <c r="H1878" s="0" t="s">
        <v>5591</v>
      </c>
      <c r="I1878" s="0" t="s">
        <v>4979</v>
      </c>
      <c r="J1878" s="20" t="s">
        <v>25</v>
      </c>
    </row>
    <row r="1879" customFormat="false" ht="15" hidden="false" customHeight="false" outlineLevel="0" collapsed="false">
      <c r="A1879" s="0" t="s">
        <v>1651</v>
      </c>
      <c r="B1879" s="0" t="s">
        <v>134</v>
      </c>
      <c r="C1879" s="0" t="s">
        <v>3447</v>
      </c>
      <c r="D1879" s="0" t="s">
        <v>3448</v>
      </c>
      <c r="E1879" s="0" t="s">
        <v>4969</v>
      </c>
      <c r="F1879" s="0" t="s">
        <v>64</v>
      </c>
      <c r="G1879" s="0" t="s">
        <v>4220</v>
      </c>
      <c r="H1879" s="0" t="s">
        <v>5610</v>
      </c>
      <c r="I1879" s="0" t="s">
        <v>4991</v>
      </c>
      <c r="J1879" s="20" t="s">
        <v>25</v>
      </c>
    </row>
    <row r="1880" customFormat="false" ht="15" hidden="false" customHeight="false" outlineLevel="0" collapsed="false">
      <c r="A1880" s="0" t="s">
        <v>1651</v>
      </c>
      <c r="B1880" s="0" t="s">
        <v>134</v>
      </c>
      <c r="C1880" s="0" t="s">
        <v>3450</v>
      </c>
      <c r="D1880" s="0" t="s">
        <v>3457</v>
      </c>
      <c r="E1880" s="0" t="s">
        <v>4963</v>
      </c>
      <c r="F1880" s="0" t="s">
        <v>30</v>
      </c>
      <c r="G1880" s="0" t="s">
        <v>4980</v>
      </c>
      <c r="H1880" s="0" t="s">
        <v>4626</v>
      </c>
      <c r="I1880" s="0" t="s">
        <v>4981</v>
      </c>
      <c r="J1880" s="18" t="s">
        <v>24</v>
      </c>
    </row>
    <row r="1881" customFormat="false" ht="15" hidden="false" customHeight="false" outlineLevel="0" collapsed="false">
      <c r="A1881" s="0" t="s">
        <v>1651</v>
      </c>
      <c r="B1881" s="0" t="s">
        <v>134</v>
      </c>
      <c r="C1881" s="0" t="s">
        <v>3450</v>
      </c>
      <c r="D1881" s="0" t="s">
        <v>3448</v>
      </c>
      <c r="E1881" s="0" t="s">
        <v>4963</v>
      </c>
      <c r="F1881" s="0" t="s">
        <v>30</v>
      </c>
      <c r="G1881" s="0" t="s">
        <v>4980</v>
      </c>
      <c r="H1881" s="0" t="s">
        <v>4238</v>
      </c>
      <c r="I1881" s="0" t="s">
        <v>4981</v>
      </c>
      <c r="J1881" s="18" t="s">
        <v>24</v>
      </c>
    </row>
    <row r="1882" customFormat="false" ht="15" hidden="false" customHeight="false" outlineLevel="0" collapsed="false">
      <c r="A1882" s="0" t="s">
        <v>1651</v>
      </c>
      <c r="B1882" s="0" t="s">
        <v>134</v>
      </c>
      <c r="C1882" s="0" t="s">
        <v>3447</v>
      </c>
      <c r="D1882" s="0" t="s">
        <v>3457</v>
      </c>
      <c r="E1882" s="0" t="s">
        <v>4963</v>
      </c>
      <c r="F1882" s="0" t="s">
        <v>30</v>
      </c>
      <c r="G1882" s="0" t="s">
        <v>4980</v>
      </c>
      <c r="H1882" s="0" t="s">
        <v>4627</v>
      </c>
      <c r="I1882" s="0" t="s">
        <v>4981</v>
      </c>
      <c r="J1882" s="18" t="s">
        <v>24</v>
      </c>
    </row>
    <row r="1883" customFormat="false" ht="15" hidden="false" customHeight="false" outlineLevel="0" collapsed="false">
      <c r="A1883" s="0" t="s">
        <v>1651</v>
      </c>
      <c r="B1883" s="0" t="s">
        <v>134</v>
      </c>
      <c r="C1883" s="0" t="s">
        <v>3447</v>
      </c>
      <c r="D1883" s="0" t="s">
        <v>3448</v>
      </c>
      <c r="E1883" s="0" t="s">
        <v>4963</v>
      </c>
      <c r="F1883" s="0" t="s">
        <v>30</v>
      </c>
      <c r="G1883" s="0" t="s">
        <v>4980</v>
      </c>
      <c r="H1883" s="0" t="s">
        <v>4628</v>
      </c>
      <c r="I1883" s="0" t="s">
        <v>4981</v>
      </c>
      <c r="J1883" s="18" t="s">
        <v>24</v>
      </c>
    </row>
    <row r="1884" customFormat="false" ht="15" hidden="false" customHeight="false" outlineLevel="0" collapsed="false">
      <c r="A1884" s="0" t="s">
        <v>1657</v>
      </c>
      <c r="B1884" s="0" t="s">
        <v>134</v>
      </c>
      <c r="C1884" s="0" t="s">
        <v>3450</v>
      </c>
      <c r="D1884" s="0" t="s">
        <v>3457</v>
      </c>
      <c r="E1884" s="0" t="s">
        <v>4963</v>
      </c>
      <c r="F1884" s="0" t="s">
        <v>59</v>
      </c>
      <c r="G1884" s="0" t="s">
        <v>4974</v>
      </c>
      <c r="H1884" s="0" t="s">
        <v>69</v>
      </c>
      <c r="I1884" s="0" t="s">
        <v>4975</v>
      </c>
      <c r="J1884" s="20" t="s">
        <v>25</v>
      </c>
    </row>
    <row r="1885" customFormat="false" ht="15" hidden="false" customHeight="false" outlineLevel="0" collapsed="false">
      <c r="A1885" s="0" t="s">
        <v>1657</v>
      </c>
      <c r="B1885" s="0" t="s">
        <v>134</v>
      </c>
      <c r="C1885" s="0" t="s">
        <v>3450</v>
      </c>
      <c r="D1885" s="0" t="s">
        <v>3457</v>
      </c>
      <c r="E1885" s="0" t="s">
        <v>4969</v>
      </c>
      <c r="F1885" s="0" t="s">
        <v>62</v>
      </c>
      <c r="G1885" s="0" t="s">
        <v>5003</v>
      </c>
      <c r="H1885" s="0" t="s">
        <v>5611</v>
      </c>
      <c r="I1885" s="0" t="s">
        <v>5005</v>
      </c>
      <c r="J1885" s="20" t="s">
        <v>25</v>
      </c>
    </row>
    <row r="1886" customFormat="false" ht="15" hidden="false" customHeight="false" outlineLevel="0" collapsed="false">
      <c r="A1886" s="0" t="s">
        <v>1657</v>
      </c>
      <c r="B1886" s="0" t="s">
        <v>134</v>
      </c>
      <c r="C1886" s="0" t="s">
        <v>3450</v>
      </c>
      <c r="D1886" s="0" t="s">
        <v>3448</v>
      </c>
      <c r="E1886" s="0" t="s">
        <v>4963</v>
      </c>
      <c r="F1886" s="0" t="s">
        <v>59</v>
      </c>
      <c r="G1886" s="0" t="s">
        <v>4974</v>
      </c>
      <c r="H1886" s="0" t="s">
        <v>69</v>
      </c>
      <c r="I1886" s="0" t="s">
        <v>4975</v>
      </c>
      <c r="J1886" s="20" t="s">
        <v>25</v>
      </c>
    </row>
    <row r="1887" customFormat="false" ht="15" hidden="false" customHeight="false" outlineLevel="0" collapsed="false">
      <c r="A1887" s="0" t="s">
        <v>1657</v>
      </c>
      <c r="B1887" s="0" t="s">
        <v>134</v>
      </c>
      <c r="C1887" s="0" t="s">
        <v>3450</v>
      </c>
      <c r="D1887" s="0" t="s">
        <v>3448</v>
      </c>
      <c r="E1887" s="0" t="s">
        <v>4969</v>
      </c>
      <c r="F1887" s="0" t="s">
        <v>61</v>
      </c>
      <c r="G1887" s="0" t="s">
        <v>4970</v>
      </c>
      <c r="H1887" s="0" t="s">
        <v>5612</v>
      </c>
      <c r="I1887" s="0" t="s">
        <v>4972</v>
      </c>
      <c r="J1887" s="20" t="s">
        <v>25</v>
      </c>
    </row>
    <row r="1888" customFormat="false" ht="15" hidden="false" customHeight="false" outlineLevel="0" collapsed="false">
      <c r="A1888" s="0" t="s">
        <v>1657</v>
      </c>
      <c r="B1888" s="0" t="s">
        <v>134</v>
      </c>
      <c r="C1888" s="0" t="s">
        <v>3450</v>
      </c>
      <c r="D1888" s="0" t="s">
        <v>3448</v>
      </c>
      <c r="E1888" s="0" t="s">
        <v>4969</v>
      </c>
      <c r="F1888" s="0" t="s">
        <v>62</v>
      </c>
      <c r="G1888" s="0" t="s">
        <v>5003</v>
      </c>
      <c r="H1888" s="0" t="s">
        <v>5613</v>
      </c>
      <c r="I1888" s="0" t="s">
        <v>5005</v>
      </c>
      <c r="J1888" s="20" t="s">
        <v>25</v>
      </c>
    </row>
    <row r="1889" customFormat="false" ht="15" hidden="false" customHeight="false" outlineLevel="0" collapsed="false">
      <c r="A1889" s="0" t="s">
        <v>1657</v>
      </c>
      <c r="B1889" s="0" t="s">
        <v>134</v>
      </c>
      <c r="C1889" s="0" t="s">
        <v>3447</v>
      </c>
      <c r="D1889" s="0" t="s">
        <v>3457</v>
      </c>
      <c r="E1889" s="0" t="s">
        <v>4963</v>
      </c>
      <c r="F1889" s="0" t="s">
        <v>59</v>
      </c>
      <c r="G1889" s="0" t="s">
        <v>4974</v>
      </c>
      <c r="H1889" s="0" t="s">
        <v>69</v>
      </c>
      <c r="I1889" s="0" t="s">
        <v>4975</v>
      </c>
      <c r="J1889" s="20" t="s">
        <v>25</v>
      </c>
    </row>
    <row r="1890" customFormat="false" ht="15" hidden="false" customHeight="false" outlineLevel="0" collapsed="false">
      <c r="A1890" s="0" t="s">
        <v>1657</v>
      </c>
      <c r="B1890" s="0" t="s">
        <v>134</v>
      </c>
      <c r="C1890" s="0" t="s">
        <v>3447</v>
      </c>
      <c r="D1890" s="0" t="s">
        <v>3457</v>
      </c>
      <c r="E1890" s="0" t="s">
        <v>4969</v>
      </c>
      <c r="F1890" s="0" t="s">
        <v>61</v>
      </c>
      <c r="G1890" s="0" t="s">
        <v>4970</v>
      </c>
      <c r="H1890" s="0" t="s">
        <v>5614</v>
      </c>
      <c r="I1890" s="0" t="s">
        <v>4972</v>
      </c>
      <c r="J1890" s="20" t="s">
        <v>25</v>
      </c>
    </row>
    <row r="1891" customFormat="false" ht="15" hidden="false" customHeight="false" outlineLevel="0" collapsed="false">
      <c r="A1891" s="0" t="s">
        <v>1657</v>
      </c>
      <c r="B1891" s="0" t="s">
        <v>134</v>
      </c>
      <c r="C1891" s="0" t="s">
        <v>3450</v>
      </c>
      <c r="D1891" s="0" t="s">
        <v>3457</v>
      </c>
      <c r="E1891" s="0" t="s">
        <v>4963</v>
      </c>
      <c r="F1891" s="0" t="s">
        <v>30</v>
      </c>
      <c r="G1891" s="0" t="s">
        <v>4980</v>
      </c>
      <c r="H1891" s="0" t="s">
        <v>4242</v>
      </c>
      <c r="I1891" s="0" t="s">
        <v>4981</v>
      </c>
      <c r="J1891" s="18" t="s">
        <v>24</v>
      </c>
    </row>
    <row r="1892" customFormat="false" ht="15" hidden="false" customHeight="false" outlineLevel="0" collapsed="false">
      <c r="A1892" s="0" t="s">
        <v>1657</v>
      </c>
      <c r="B1892" s="0" t="s">
        <v>134</v>
      </c>
      <c r="C1892" s="0" t="s">
        <v>3450</v>
      </c>
      <c r="D1892" s="0" t="s">
        <v>3448</v>
      </c>
      <c r="E1892" s="0" t="s">
        <v>4963</v>
      </c>
      <c r="F1892" s="0" t="s">
        <v>30</v>
      </c>
      <c r="G1892" s="0" t="s">
        <v>4980</v>
      </c>
      <c r="H1892" s="0" t="s">
        <v>4629</v>
      </c>
      <c r="I1892" s="0" t="s">
        <v>4981</v>
      </c>
      <c r="J1892" s="18" t="s">
        <v>24</v>
      </c>
    </row>
    <row r="1893" customFormat="false" ht="15" hidden="false" customHeight="false" outlineLevel="0" collapsed="false">
      <c r="A1893" s="0" t="s">
        <v>1657</v>
      </c>
      <c r="B1893" s="0" t="s">
        <v>134</v>
      </c>
      <c r="C1893" s="0" t="s">
        <v>3447</v>
      </c>
      <c r="D1893" s="0" t="s">
        <v>3457</v>
      </c>
      <c r="E1893" s="0" t="s">
        <v>4963</v>
      </c>
      <c r="F1893" s="0" t="s">
        <v>30</v>
      </c>
      <c r="G1893" s="0" t="s">
        <v>4980</v>
      </c>
      <c r="H1893" s="0" t="s">
        <v>4242</v>
      </c>
      <c r="I1893" s="0" t="s">
        <v>4981</v>
      </c>
      <c r="J1893" s="18" t="s">
        <v>24</v>
      </c>
    </row>
    <row r="1894" customFormat="false" ht="15" hidden="false" customHeight="false" outlineLevel="0" collapsed="false">
      <c r="A1894" s="0" t="s">
        <v>1657</v>
      </c>
      <c r="B1894" s="0" t="s">
        <v>134</v>
      </c>
      <c r="C1894" s="0" t="s">
        <v>3447</v>
      </c>
      <c r="D1894" s="0" t="s">
        <v>3448</v>
      </c>
      <c r="E1894" s="0" t="s">
        <v>4963</v>
      </c>
      <c r="F1894" s="0" t="s">
        <v>30</v>
      </c>
      <c r="G1894" s="0" t="s">
        <v>4980</v>
      </c>
      <c r="H1894" s="0" t="s">
        <v>4630</v>
      </c>
      <c r="I1894" s="0" t="s">
        <v>4981</v>
      </c>
      <c r="J1894" s="18" t="s">
        <v>24</v>
      </c>
    </row>
    <row r="1895" customFormat="false" ht="15" hidden="false" customHeight="false" outlineLevel="0" collapsed="false">
      <c r="A1895" s="0" t="s">
        <v>1663</v>
      </c>
      <c r="B1895" s="0" t="s">
        <v>134</v>
      </c>
      <c r="C1895" s="0" t="s">
        <v>3450</v>
      </c>
      <c r="D1895" s="0" t="s">
        <v>3457</v>
      </c>
      <c r="E1895" s="0" t="s">
        <v>4963</v>
      </c>
      <c r="F1895" s="0" t="s">
        <v>59</v>
      </c>
      <c r="G1895" s="0" t="s">
        <v>4974</v>
      </c>
      <c r="H1895" s="0" t="s">
        <v>69</v>
      </c>
      <c r="I1895" s="0" t="s">
        <v>4975</v>
      </c>
      <c r="J1895" s="20" t="s">
        <v>25</v>
      </c>
    </row>
    <row r="1896" customFormat="false" ht="15" hidden="false" customHeight="false" outlineLevel="0" collapsed="false">
      <c r="A1896" s="0" t="s">
        <v>1663</v>
      </c>
      <c r="B1896" s="0" t="s">
        <v>134</v>
      </c>
      <c r="C1896" s="0" t="s">
        <v>3450</v>
      </c>
      <c r="D1896" s="0" t="s">
        <v>3448</v>
      </c>
      <c r="E1896" s="0" t="s">
        <v>4963</v>
      </c>
      <c r="F1896" s="0" t="s">
        <v>59</v>
      </c>
      <c r="G1896" s="0" t="s">
        <v>4974</v>
      </c>
      <c r="H1896" s="0" t="s">
        <v>69</v>
      </c>
      <c r="I1896" s="0" t="s">
        <v>4975</v>
      </c>
      <c r="J1896" s="20" t="s">
        <v>25</v>
      </c>
    </row>
    <row r="1897" customFormat="false" ht="15" hidden="false" customHeight="false" outlineLevel="0" collapsed="false">
      <c r="A1897" s="0" t="s">
        <v>1663</v>
      </c>
      <c r="B1897" s="0" t="s">
        <v>134</v>
      </c>
      <c r="C1897" s="0" t="s">
        <v>3447</v>
      </c>
      <c r="D1897" s="0" t="s">
        <v>3448</v>
      </c>
      <c r="E1897" s="0" t="s">
        <v>4963</v>
      </c>
      <c r="F1897" s="0" t="s">
        <v>59</v>
      </c>
      <c r="G1897" s="0" t="s">
        <v>4974</v>
      </c>
      <c r="H1897" s="0" t="s">
        <v>69</v>
      </c>
      <c r="I1897" s="0" t="s">
        <v>4975</v>
      </c>
      <c r="J1897" s="20" t="s">
        <v>25</v>
      </c>
    </row>
    <row r="1898" customFormat="false" ht="15" hidden="false" customHeight="false" outlineLevel="0" collapsed="false">
      <c r="A1898" s="0" t="s">
        <v>1663</v>
      </c>
      <c r="B1898" s="0" t="s">
        <v>134</v>
      </c>
      <c r="C1898" s="0" t="s">
        <v>3450</v>
      </c>
      <c r="D1898" s="0" t="s">
        <v>3457</v>
      </c>
      <c r="E1898" s="0" t="s">
        <v>4963</v>
      </c>
      <c r="F1898" s="0" t="s">
        <v>30</v>
      </c>
      <c r="G1898" s="0" t="s">
        <v>4980</v>
      </c>
      <c r="H1898" s="0" t="s">
        <v>4238</v>
      </c>
      <c r="I1898" s="0" t="s">
        <v>4981</v>
      </c>
      <c r="J1898" s="18" t="s">
        <v>24</v>
      </c>
    </row>
    <row r="1899" customFormat="false" ht="15" hidden="false" customHeight="false" outlineLevel="0" collapsed="false">
      <c r="A1899" s="0" t="s">
        <v>1663</v>
      </c>
      <c r="B1899" s="0" t="s">
        <v>134</v>
      </c>
      <c r="C1899" s="0" t="s">
        <v>3450</v>
      </c>
      <c r="D1899" s="0" t="s">
        <v>3448</v>
      </c>
      <c r="E1899" s="0" t="s">
        <v>4963</v>
      </c>
      <c r="F1899" s="0" t="s">
        <v>30</v>
      </c>
      <c r="G1899" s="0" t="s">
        <v>4980</v>
      </c>
      <c r="H1899" s="0" t="s">
        <v>4275</v>
      </c>
      <c r="I1899" s="0" t="s">
        <v>4981</v>
      </c>
      <c r="J1899" s="18" t="s">
        <v>24</v>
      </c>
    </row>
    <row r="1900" customFormat="false" ht="15" hidden="false" customHeight="false" outlineLevel="0" collapsed="false">
      <c r="A1900" s="0" t="s">
        <v>1663</v>
      </c>
      <c r="B1900" s="0" t="s">
        <v>134</v>
      </c>
      <c r="C1900" s="0" t="s">
        <v>3447</v>
      </c>
      <c r="D1900" s="0" t="s">
        <v>3457</v>
      </c>
      <c r="E1900" s="0" t="s">
        <v>4963</v>
      </c>
      <c r="F1900" s="0" t="s">
        <v>30</v>
      </c>
      <c r="G1900" s="0" t="s">
        <v>4980</v>
      </c>
      <c r="H1900" s="0" t="s">
        <v>4274</v>
      </c>
      <c r="I1900" s="0" t="s">
        <v>4981</v>
      </c>
      <c r="J1900" s="18" t="s">
        <v>24</v>
      </c>
    </row>
    <row r="1901" customFormat="false" ht="15" hidden="false" customHeight="false" outlineLevel="0" collapsed="false">
      <c r="A1901" s="0" t="s">
        <v>1663</v>
      </c>
      <c r="B1901" s="0" t="s">
        <v>134</v>
      </c>
      <c r="C1901" s="0" t="s">
        <v>3447</v>
      </c>
      <c r="D1901" s="0" t="s">
        <v>3448</v>
      </c>
      <c r="E1901" s="0" t="s">
        <v>4963</v>
      </c>
      <c r="F1901" s="0" t="s">
        <v>30</v>
      </c>
      <c r="G1901" s="0" t="s">
        <v>4980</v>
      </c>
      <c r="H1901" s="0" t="s">
        <v>4535</v>
      </c>
      <c r="I1901" s="0" t="s">
        <v>4981</v>
      </c>
      <c r="J1901" s="18" t="s">
        <v>24</v>
      </c>
    </row>
    <row r="1902" customFormat="false" ht="15" hidden="false" customHeight="false" outlineLevel="0" collapsed="false">
      <c r="A1902" s="0" t="s">
        <v>1669</v>
      </c>
      <c r="B1902" s="0" t="s">
        <v>3459</v>
      </c>
      <c r="C1902" s="0" t="s">
        <v>3450</v>
      </c>
      <c r="D1902" s="0" t="s">
        <v>3457</v>
      </c>
      <c r="E1902" s="0" t="s">
        <v>4963</v>
      </c>
      <c r="F1902" s="0" t="s">
        <v>60</v>
      </c>
      <c r="G1902" s="0" t="s">
        <v>4964</v>
      </c>
      <c r="H1902" s="0" t="s">
        <v>5049</v>
      </c>
      <c r="I1902" s="0" t="s">
        <v>4966</v>
      </c>
      <c r="J1902" s="19" t="s">
        <v>26</v>
      </c>
    </row>
    <row r="1903" customFormat="false" ht="15" hidden="false" customHeight="false" outlineLevel="0" collapsed="false">
      <c r="A1903" s="0" t="s">
        <v>1669</v>
      </c>
      <c r="B1903" s="0" t="s">
        <v>3459</v>
      </c>
      <c r="C1903" s="0" t="s">
        <v>3450</v>
      </c>
      <c r="D1903" s="0" t="s">
        <v>3448</v>
      </c>
      <c r="E1903" s="0" t="s">
        <v>4963</v>
      </c>
      <c r="F1903" s="0" t="s">
        <v>60</v>
      </c>
      <c r="G1903" s="0" t="s">
        <v>4964</v>
      </c>
      <c r="H1903" s="0" t="s">
        <v>5615</v>
      </c>
      <c r="I1903" s="0" t="s">
        <v>4966</v>
      </c>
      <c r="J1903" s="19" t="s">
        <v>26</v>
      </c>
    </row>
    <row r="1904" customFormat="false" ht="15" hidden="false" customHeight="false" outlineLevel="0" collapsed="false">
      <c r="A1904" s="0" t="s">
        <v>1669</v>
      </c>
      <c r="B1904" s="0" t="s">
        <v>134</v>
      </c>
      <c r="C1904" s="0" t="s">
        <v>3450</v>
      </c>
      <c r="D1904" s="0" t="s">
        <v>3457</v>
      </c>
      <c r="E1904" s="0" t="s">
        <v>4963</v>
      </c>
      <c r="F1904" s="0" t="s">
        <v>59</v>
      </c>
      <c r="G1904" s="0" t="s">
        <v>4974</v>
      </c>
      <c r="H1904" s="0" t="s">
        <v>69</v>
      </c>
      <c r="I1904" s="0" t="s">
        <v>4975</v>
      </c>
      <c r="J1904" s="20" t="s">
        <v>25</v>
      </c>
    </row>
    <row r="1905" customFormat="false" ht="15" hidden="false" customHeight="false" outlineLevel="0" collapsed="false">
      <c r="A1905" s="0" t="s">
        <v>1669</v>
      </c>
      <c r="B1905" s="0" t="s">
        <v>134</v>
      </c>
      <c r="C1905" s="0" t="s">
        <v>3450</v>
      </c>
      <c r="D1905" s="0" t="s">
        <v>3457</v>
      </c>
      <c r="E1905" s="0" t="s">
        <v>4969</v>
      </c>
      <c r="F1905" s="0" t="s">
        <v>62</v>
      </c>
      <c r="G1905" s="0" t="s">
        <v>5003</v>
      </c>
      <c r="H1905" s="0" t="s">
        <v>5616</v>
      </c>
      <c r="I1905" s="0" t="s">
        <v>5005</v>
      </c>
      <c r="J1905" s="20" t="s">
        <v>25</v>
      </c>
    </row>
    <row r="1906" customFormat="false" ht="15" hidden="false" customHeight="false" outlineLevel="0" collapsed="false">
      <c r="A1906" s="0" t="s">
        <v>1669</v>
      </c>
      <c r="B1906" s="0" t="s">
        <v>134</v>
      </c>
      <c r="C1906" s="0" t="s">
        <v>3450</v>
      </c>
      <c r="D1906" s="0" t="s">
        <v>3457</v>
      </c>
      <c r="E1906" s="0" t="s">
        <v>4969</v>
      </c>
      <c r="F1906" s="0" t="s">
        <v>64</v>
      </c>
      <c r="G1906" s="0" t="s">
        <v>4220</v>
      </c>
      <c r="H1906" s="0" t="s">
        <v>5617</v>
      </c>
      <c r="I1906" s="0" t="s">
        <v>4991</v>
      </c>
      <c r="J1906" s="20" t="s">
        <v>25</v>
      </c>
    </row>
    <row r="1907" customFormat="false" ht="15" hidden="false" customHeight="false" outlineLevel="0" collapsed="false">
      <c r="A1907" s="0" t="s">
        <v>1669</v>
      </c>
      <c r="B1907" s="0" t="s">
        <v>134</v>
      </c>
      <c r="C1907" s="0" t="s">
        <v>3450</v>
      </c>
      <c r="D1907" s="0" t="s">
        <v>3448</v>
      </c>
      <c r="E1907" s="0" t="s">
        <v>4963</v>
      </c>
      <c r="F1907" s="0" t="s">
        <v>59</v>
      </c>
      <c r="G1907" s="0" t="s">
        <v>4974</v>
      </c>
      <c r="H1907" s="0" t="s">
        <v>69</v>
      </c>
      <c r="I1907" s="0" t="s">
        <v>4975</v>
      </c>
      <c r="J1907" s="20" t="s">
        <v>25</v>
      </c>
    </row>
    <row r="1908" customFormat="false" ht="15" hidden="false" customHeight="false" outlineLevel="0" collapsed="false">
      <c r="A1908" s="0" t="s">
        <v>1669</v>
      </c>
      <c r="B1908" s="0" t="s">
        <v>134</v>
      </c>
      <c r="C1908" s="0" t="s">
        <v>3450</v>
      </c>
      <c r="D1908" s="0" t="s">
        <v>3448</v>
      </c>
      <c r="E1908" s="0" t="s">
        <v>4969</v>
      </c>
      <c r="F1908" s="0" t="s">
        <v>62</v>
      </c>
      <c r="G1908" s="0" t="s">
        <v>5003</v>
      </c>
      <c r="H1908" s="0" t="s">
        <v>5618</v>
      </c>
      <c r="I1908" s="0" t="s">
        <v>5005</v>
      </c>
      <c r="J1908" s="20" t="s">
        <v>25</v>
      </c>
    </row>
    <row r="1909" customFormat="false" ht="15" hidden="false" customHeight="false" outlineLevel="0" collapsed="false">
      <c r="A1909" s="0" t="s">
        <v>1669</v>
      </c>
      <c r="B1909" s="0" t="s">
        <v>134</v>
      </c>
      <c r="C1909" s="0" t="s">
        <v>3450</v>
      </c>
      <c r="D1909" s="0" t="s">
        <v>3448</v>
      </c>
      <c r="E1909" s="0" t="s">
        <v>4969</v>
      </c>
      <c r="F1909" s="0" t="s">
        <v>63</v>
      </c>
      <c r="G1909" s="0" t="s">
        <v>4220</v>
      </c>
      <c r="H1909" s="0" t="s">
        <v>5619</v>
      </c>
      <c r="I1909" s="0" t="s">
        <v>4979</v>
      </c>
      <c r="J1909" s="20" t="s">
        <v>25</v>
      </c>
    </row>
    <row r="1910" customFormat="false" ht="15" hidden="false" customHeight="false" outlineLevel="0" collapsed="false">
      <c r="A1910" s="0" t="s">
        <v>1669</v>
      </c>
      <c r="B1910" s="0" t="s">
        <v>134</v>
      </c>
      <c r="C1910" s="0" t="s">
        <v>3447</v>
      </c>
      <c r="D1910" s="0" t="s">
        <v>3457</v>
      </c>
      <c r="E1910" s="0" t="s">
        <v>4969</v>
      </c>
      <c r="F1910" s="0" t="s">
        <v>64</v>
      </c>
      <c r="G1910" s="0" t="s">
        <v>4220</v>
      </c>
      <c r="H1910" s="0" t="s">
        <v>5617</v>
      </c>
      <c r="I1910" s="0" t="s">
        <v>4991</v>
      </c>
      <c r="J1910" s="20" t="s">
        <v>25</v>
      </c>
    </row>
    <row r="1911" customFormat="false" ht="15" hidden="false" customHeight="false" outlineLevel="0" collapsed="false">
      <c r="A1911" s="0" t="s">
        <v>1669</v>
      </c>
      <c r="B1911" s="0" t="s">
        <v>134</v>
      </c>
      <c r="C1911" s="0" t="s">
        <v>3447</v>
      </c>
      <c r="D1911" s="0" t="s">
        <v>3448</v>
      </c>
      <c r="E1911" s="0" t="s">
        <v>4963</v>
      </c>
      <c r="F1911" s="0" t="s">
        <v>59</v>
      </c>
      <c r="G1911" s="0" t="s">
        <v>4974</v>
      </c>
      <c r="H1911" s="0" t="s">
        <v>69</v>
      </c>
      <c r="I1911" s="0" t="s">
        <v>4975</v>
      </c>
      <c r="J1911" s="20" t="s">
        <v>25</v>
      </c>
    </row>
    <row r="1912" customFormat="false" ht="15" hidden="false" customHeight="false" outlineLevel="0" collapsed="false">
      <c r="A1912" s="0" t="s">
        <v>1669</v>
      </c>
      <c r="B1912" s="0" t="s">
        <v>134</v>
      </c>
      <c r="C1912" s="0" t="s">
        <v>3447</v>
      </c>
      <c r="D1912" s="0" t="s">
        <v>3448</v>
      </c>
      <c r="E1912" s="0" t="s">
        <v>4969</v>
      </c>
      <c r="F1912" s="0" t="s">
        <v>63</v>
      </c>
      <c r="G1912" s="0" t="s">
        <v>4220</v>
      </c>
      <c r="H1912" s="0" t="s">
        <v>5619</v>
      </c>
      <c r="I1912" s="0" t="s">
        <v>4979</v>
      </c>
      <c r="J1912" s="20" t="s">
        <v>25</v>
      </c>
    </row>
    <row r="1913" customFormat="false" ht="15" hidden="false" customHeight="false" outlineLevel="0" collapsed="false">
      <c r="A1913" s="0" t="s">
        <v>1669</v>
      </c>
      <c r="B1913" s="0" t="s">
        <v>3459</v>
      </c>
      <c r="C1913" s="0" t="s">
        <v>3450</v>
      </c>
      <c r="D1913" s="0" t="s">
        <v>3457</v>
      </c>
      <c r="E1913" s="0" t="s">
        <v>4963</v>
      </c>
      <c r="F1913" s="0" t="s">
        <v>59</v>
      </c>
      <c r="G1913" s="0" t="s">
        <v>4974</v>
      </c>
      <c r="H1913" s="0" t="s">
        <v>69</v>
      </c>
      <c r="I1913" s="0" t="s">
        <v>4975</v>
      </c>
      <c r="J1913" s="20" t="s">
        <v>25</v>
      </c>
    </row>
    <row r="1914" customFormat="false" ht="15" hidden="false" customHeight="false" outlineLevel="0" collapsed="false">
      <c r="A1914" s="0" t="s">
        <v>1669</v>
      </c>
      <c r="B1914" s="0" t="s">
        <v>3459</v>
      </c>
      <c r="C1914" s="0" t="s">
        <v>3450</v>
      </c>
      <c r="D1914" s="0" t="s">
        <v>3457</v>
      </c>
      <c r="E1914" s="0" t="s">
        <v>4969</v>
      </c>
      <c r="F1914" s="0" t="s">
        <v>62</v>
      </c>
      <c r="G1914" s="0" t="s">
        <v>5003</v>
      </c>
      <c r="H1914" s="0" t="s">
        <v>5620</v>
      </c>
      <c r="I1914" s="0" t="s">
        <v>5005</v>
      </c>
      <c r="J1914" s="20" t="s">
        <v>25</v>
      </c>
    </row>
    <row r="1915" customFormat="false" ht="15" hidden="false" customHeight="false" outlineLevel="0" collapsed="false">
      <c r="A1915" s="0" t="s">
        <v>1669</v>
      </c>
      <c r="B1915" s="0" t="s">
        <v>3459</v>
      </c>
      <c r="C1915" s="0" t="s">
        <v>3450</v>
      </c>
      <c r="D1915" s="0" t="s">
        <v>3448</v>
      </c>
      <c r="E1915" s="0" t="s">
        <v>4963</v>
      </c>
      <c r="F1915" s="0" t="s">
        <v>59</v>
      </c>
      <c r="G1915" s="0" t="s">
        <v>4974</v>
      </c>
      <c r="H1915" s="0" t="s">
        <v>69</v>
      </c>
      <c r="I1915" s="0" t="s">
        <v>4975</v>
      </c>
      <c r="J1915" s="20" t="s">
        <v>25</v>
      </c>
    </row>
    <row r="1916" customFormat="false" ht="15" hidden="false" customHeight="false" outlineLevel="0" collapsed="false">
      <c r="A1916" s="0" t="s">
        <v>1669</v>
      </c>
      <c r="B1916" s="0" t="s">
        <v>3459</v>
      </c>
      <c r="C1916" s="0" t="s">
        <v>3450</v>
      </c>
      <c r="D1916" s="0" t="s">
        <v>3448</v>
      </c>
      <c r="E1916" s="0" t="s">
        <v>4969</v>
      </c>
      <c r="F1916" s="0" t="s">
        <v>62</v>
      </c>
      <c r="G1916" s="0" t="s">
        <v>5003</v>
      </c>
      <c r="H1916" s="0" t="s">
        <v>5621</v>
      </c>
      <c r="I1916" s="0" t="s">
        <v>5005</v>
      </c>
      <c r="J1916" s="20" t="s">
        <v>25</v>
      </c>
    </row>
    <row r="1917" customFormat="false" ht="15" hidden="false" customHeight="false" outlineLevel="0" collapsed="false">
      <c r="A1917" s="0" t="s">
        <v>1669</v>
      </c>
      <c r="B1917" s="0" t="s">
        <v>3459</v>
      </c>
      <c r="C1917" s="0" t="s">
        <v>3450</v>
      </c>
      <c r="D1917" s="0" t="s">
        <v>3448</v>
      </c>
      <c r="E1917" s="0" t="s">
        <v>4969</v>
      </c>
      <c r="F1917" s="0" t="s">
        <v>64</v>
      </c>
      <c r="G1917" s="0" t="s">
        <v>4220</v>
      </c>
      <c r="H1917" s="0" t="s">
        <v>5622</v>
      </c>
      <c r="I1917" s="0" t="s">
        <v>4991</v>
      </c>
      <c r="J1917" s="20" t="s">
        <v>25</v>
      </c>
    </row>
    <row r="1918" customFormat="false" ht="15" hidden="false" customHeight="false" outlineLevel="0" collapsed="false">
      <c r="A1918" s="0" t="s">
        <v>1669</v>
      </c>
      <c r="B1918" s="0" t="s">
        <v>3459</v>
      </c>
      <c r="C1918" s="0" t="s">
        <v>3447</v>
      </c>
      <c r="D1918" s="0" t="s">
        <v>3448</v>
      </c>
      <c r="E1918" s="0" t="s">
        <v>4969</v>
      </c>
      <c r="F1918" s="0" t="s">
        <v>64</v>
      </c>
      <c r="G1918" s="0" t="s">
        <v>4220</v>
      </c>
      <c r="H1918" s="0" t="s">
        <v>5622</v>
      </c>
      <c r="I1918" s="0" t="s">
        <v>4991</v>
      </c>
      <c r="J1918" s="20" t="s">
        <v>25</v>
      </c>
    </row>
    <row r="1919" customFormat="false" ht="15" hidden="false" customHeight="false" outlineLevel="0" collapsed="false">
      <c r="A1919" s="0" t="s">
        <v>1669</v>
      </c>
      <c r="B1919" s="0" t="s">
        <v>134</v>
      </c>
      <c r="C1919" s="0" t="s">
        <v>3450</v>
      </c>
      <c r="D1919" s="0" t="s">
        <v>3457</v>
      </c>
      <c r="E1919" s="0" t="s">
        <v>4963</v>
      </c>
      <c r="F1919" s="0" t="s">
        <v>30</v>
      </c>
      <c r="G1919" s="0" t="s">
        <v>4980</v>
      </c>
      <c r="H1919" s="0" t="s">
        <v>4238</v>
      </c>
      <c r="I1919" s="0" t="s">
        <v>4981</v>
      </c>
      <c r="J1919" s="18" t="s">
        <v>24</v>
      </c>
    </row>
    <row r="1920" customFormat="false" ht="15" hidden="false" customHeight="false" outlineLevel="0" collapsed="false">
      <c r="A1920" s="0" t="s">
        <v>1669</v>
      </c>
      <c r="B1920" s="0" t="s">
        <v>134</v>
      </c>
      <c r="C1920" s="0" t="s">
        <v>3450</v>
      </c>
      <c r="D1920" s="0" t="s">
        <v>3448</v>
      </c>
      <c r="E1920" s="0" t="s">
        <v>4963</v>
      </c>
      <c r="F1920" s="0" t="s">
        <v>30</v>
      </c>
      <c r="G1920" s="0" t="s">
        <v>4980</v>
      </c>
      <c r="H1920" s="0" t="s">
        <v>4631</v>
      </c>
      <c r="I1920" s="0" t="s">
        <v>4981</v>
      </c>
      <c r="J1920" s="18" t="s">
        <v>24</v>
      </c>
    </row>
    <row r="1921" customFormat="false" ht="15" hidden="false" customHeight="false" outlineLevel="0" collapsed="false">
      <c r="A1921" s="0" t="s">
        <v>1669</v>
      </c>
      <c r="B1921" s="0" t="s">
        <v>134</v>
      </c>
      <c r="C1921" s="0" t="s">
        <v>3447</v>
      </c>
      <c r="D1921" s="0" t="s">
        <v>3457</v>
      </c>
      <c r="E1921" s="0" t="s">
        <v>4963</v>
      </c>
      <c r="F1921" s="0" t="s">
        <v>30</v>
      </c>
      <c r="G1921" s="0" t="s">
        <v>4980</v>
      </c>
      <c r="H1921" s="0" t="s">
        <v>4632</v>
      </c>
      <c r="I1921" s="0" t="s">
        <v>4981</v>
      </c>
      <c r="J1921" s="18" t="s">
        <v>24</v>
      </c>
    </row>
    <row r="1922" customFormat="false" ht="15" hidden="false" customHeight="false" outlineLevel="0" collapsed="false">
      <c r="A1922" s="0" t="s">
        <v>1669</v>
      </c>
      <c r="B1922" s="0" t="s">
        <v>134</v>
      </c>
      <c r="C1922" s="0" t="s">
        <v>3447</v>
      </c>
      <c r="D1922" s="0" t="s">
        <v>3448</v>
      </c>
      <c r="E1922" s="0" t="s">
        <v>4963</v>
      </c>
      <c r="F1922" s="0" t="s">
        <v>30</v>
      </c>
      <c r="G1922" s="0" t="s">
        <v>4980</v>
      </c>
      <c r="H1922" s="0" t="s">
        <v>4238</v>
      </c>
      <c r="I1922" s="0" t="s">
        <v>4981</v>
      </c>
      <c r="J1922" s="18" t="s">
        <v>24</v>
      </c>
    </row>
    <row r="1923" customFormat="false" ht="15" hidden="false" customHeight="false" outlineLevel="0" collapsed="false">
      <c r="A1923" s="0" t="s">
        <v>1669</v>
      </c>
      <c r="B1923" s="0" t="s">
        <v>3459</v>
      </c>
      <c r="C1923" s="0" t="s">
        <v>3447</v>
      </c>
      <c r="D1923" s="0" t="s">
        <v>3457</v>
      </c>
      <c r="E1923" s="0" t="s">
        <v>4963</v>
      </c>
      <c r="F1923" s="0" t="s">
        <v>30</v>
      </c>
      <c r="G1923" s="0" t="s">
        <v>4980</v>
      </c>
      <c r="H1923" s="0" t="s">
        <v>4354</v>
      </c>
      <c r="I1923" s="0" t="s">
        <v>4981</v>
      </c>
      <c r="J1923" s="18" t="s">
        <v>24</v>
      </c>
    </row>
    <row r="1924" customFormat="false" ht="15" hidden="false" customHeight="false" outlineLevel="0" collapsed="false">
      <c r="A1924" s="0" t="s">
        <v>1685</v>
      </c>
      <c r="B1924" s="0" t="s">
        <v>134</v>
      </c>
      <c r="C1924" s="0" t="s">
        <v>3447</v>
      </c>
      <c r="D1924" s="0" t="s">
        <v>3457</v>
      </c>
      <c r="E1924" s="0" t="s">
        <v>4963</v>
      </c>
      <c r="F1924" s="0" t="s">
        <v>60</v>
      </c>
      <c r="G1924" s="0" t="s">
        <v>4964</v>
      </c>
      <c r="H1924" s="0" t="s">
        <v>5623</v>
      </c>
      <c r="I1924" s="0" t="s">
        <v>4966</v>
      </c>
      <c r="J1924" s="19" t="s">
        <v>26</v>
      </c>
    </row>
    <row r="1925" customFormat="false" ht="15" hidden="false" customHeight="false" outlineLevel="0" collapsed="false">
      <c r="A1925" s="0" t="s">
        <v>1685</v>
      </c>
      <c r="B1925" s="0" t="s">
        <v>3459</v>
      </c>
      <c r="C1925" s="0" t="s">
        <v>3447</v>
      </c>
      <c r="D1925" s="0" t="s">
        <v>3457</v>
      </c>
      <c r="E1925" s="0" t="s">
        <v>4963</v>
      </c>
      <c r="F1925" s="0" t="s">
        <v>60</v>
      </c>
      <c r="G1925" s="0" t="s">
        <v>4964</v>
      </c>
      <c r="H1925" s="0" t="s">
        <v>5624</v>
      </c>
      <c r="I1925" s="0" t="s">
        <v>4966</v>
      </c>
      <c r="J1925" s="19" t="s">
        <v>26</v>
      </c>
    </row>
    <row r="1926" customFormat="false" ht="15" hidden="false" customHeight="false" outlineLevel="0" collapsed="false">
      <c r="A1926" s="0" t="s">
        <v>1685</v>
      </c>
      <c r="B1926" s="0" t="s">
        <v>134</v>
      </c>
      <c r="C1926" s="0" t="s">
        <v>3450</v>
      </c>
      <c r="D1926" s="0" t="s">
        <v>3457</v>
      </c>
      <c r="E1926" s="0" t="s">
        <v>4963</v>
      </c>
      <c r="F1926" s="0" t="s">
        <v>59</v>
      </c>
      <c r="G1926" s="0" t="s">
        <v>4974</v>
      </c>
      <c r="H1926" s="0" t="s">
        <v>69</v>
      </c>
      <c r="I1926" s="0" t="s">
        <v>4975</v>
      </c>
      <c r="J1926" s="20" t="s">
        <v>25</v>
      </c>
    </row>
    <row r="1927" customFormat="false" ht="15" hidden="false" customHeight="false" outlineLevel="0" collapsed="false">
      <c r="A1927" s="0" t="s">
        <v>1685</v>
      </c>
      <c r="B1927" s="0" t="s">
        <v>134</v>
      </c>
      <c r="C1927" s="0" t="s">
        <v>3450</v>
      </c>
      <c r="D1927" s="0" t="s">
        <v>3448</v>
      </c>
      <c r="E1927" s="0" t="s">
        <v>4963</v>
      </c>
      <c r="F1927" s="0" t="s">
        <v>59</v>
      </c>
      <c r="G1927" s="0" t="s">
        <v>4974</v>
      </c>
      <c r="H1927" s="0" t="s">
        <v>69</v>
      </c>
      <c r="I1927" s="0" t="s">
        <v>4975</v>
      </c>
      <c r="J1927" s="20" t="s">
        <v>25</v>
      </c>
    </row>
    <row r="1928" customFormat="false" ht="15" hidden="false" customHeight="false" outlineLevel="0" collapsed="false">
      <c r="A1928" s="0" t="s">
        <v>1685</v>
      </c>
      <c r="B1928" s="0" t="s">
        <v>3459</v>
      </c>
      <c r="C1928" s="0" t="s">
        <v>3450</v>
      </c>
      <c r="D1928" s="0" t="s">
        <v>3448</v>
      </c>
      <c r="E1928" s="0" t="s">
        <v>4963</v>
      </c>
      <c r="F1928" s="0" t="s">
        <v>59</v>
      </c>
      <c r="G1928" s="0" t="s">
        <v>4974</v>
      </c>
      <c r="H1928" s="0" t="s">
        <v>69</v>
      </c>
      <c r="I1928" s="0" t="s">
        <v>4975</v>
      </c>
      <c r="J1928" s="20" t="s">
        <v>25</v>
      </c>
    </row>
    <row r="1929" customFormat="false" ht="15" hidden="false" customHeight="false" outlineLevel="0" collapsed="false">
      <c r="A1929" s="0" t="s">
        <v>1685</v>
      </c>
      <c r="B1929" s="0" t="s">
        <v>3459</v>
      </c>
      <c r="C1929" s="0" t="s">
        <v>3447</v>
      </c>
      <c r="D1929" s="0" t="s">
        <v>3457</v>
      </c>
      <c r="E1929" s="0" t="s">
        <v>4963</v>
      </c>
      <c r="F1929" s="0" t="s">
        <v>59</v>
      </c>
      <c r="G1929" s="0" t="s">
        <v>4974</v>
      </c>
      <c r="H1929" s="0" t="s">
        <v>69</v>
      </c>
      <c r="I1929" s="0" t="s">
        <v>4975</v>
      </c>
      <c r="J1929" s="20" t="s">
        <v>25</v>
      </c>
    </row>
    <row r="1930" customFormat="false" ht="15" hidden="false" customHeight="false" outlineLevel="0" collapsed="false">
      <c r="A1930" s="0" t="s">
        <v>1685</v>
      </c>
      <c r="B1930" s="0" t="s">
        <v>3459</v>
      </c>
      <c r="C1930" s="0" t="s">
        <v>3447</v>
      </c>
      <c r="D1930" s="0" t="s">
        <v>3457</v>
      </c>
      <c r="E1930" s="0" t="s">
        <v>4969</v>
      </c>
      <c r="F1930" s="0" t="s">
        <v>61</v>
      </c>
      <c r="G1930" s="0" t="s">
        <v>4970</v>
      </c>
      <c r="H1930" s="0" t="s">
        <v>5625</v>
      </c>
      <c r="I1930" s="0" t="s">
        <v>4972</v>
      </c>
      <c r="J1930" s="20" t="s">
        <v>25</v>
      </c>
    </row>
    <row r="1931" customFormat="false" ht="15" hidden="false" customHeight="false" outlineLevel="0" collapsed="false">
      <c r="A1931" s="0" t="s">
        <v>1685</v>
      </c>
      <c r="B1931" s="0" t="s">
        <v>3459</v>
      </c>
      <c r="C1931" s="0" t="s">
        <v>3447</v>
      </c>
      <c r="D1931" s="0" t="s">
        <v>3448</v>
      </c>
      <c r="E1931" s="0" t="s">
        <v>4969</v>
      </c>
      <c r="F1931" s="0" t="s">
        <v>61</v>
      </c>
      <c r="G1931" s="0" t="s">
        <v>4970</v>
      </c>
      <c r="H1931" s="0" t="s">
        <v>5259</v>
      </c>
      <c r="I1931" s="0" t="s">
        <v>4972</v>
      </c>
      <c r="J1931" s="20" t="s">
        <v>25</v>
      </c>
    </row>
    <row r="1932" customFormat="false" ht="15" hidden="false" customHeight="false" outlineLevel="0" collapsed="false">
      <c r="A1932" s="0" t="s">
        <v>1685</v>
      </c>
      <c r="B1932" s="0" t="s">
        <v>134</v>
      </c>
      <c r="C1932" s="0" t="s">
        <v>3450</v>
      </c>
      <c r="D1932" s="0" t="s">
        <v>3457</v>
      </c>
      <c r="E1932" s="0" t="s">
        <v>4963</v>
      </c>
      <c r="F1932" s="0" t="s">
        <v>30</v>
      </c>
      <c r="G1932" s="0" t="s">
        <v>4980</v>
      </c>
      <c r="H1932" s="0" t="s">
        <v>4275</v>
      </c>
      <c r="I1932" s="0" t="s">
        <v>4981</v>
      </c>
      <c r="J1932" s="18" t="s">
        <v>24</v>
      </c>
    </row>
    <row r="1933" customFormat="false" ht="15" hidden="false" customHeight="false" outlineLevel="0" collapsed="false">
      <c r="A1933" s="0" t="s">
        <v>1685</v>
      </c>
      <c r="B1933" s="0" t="s">
        <v>134</v>
      </c>
      <c r="C1933" s="0" t="s">
        <v>3450</v>
      </c>
      <c r="D1933" s="0" t="s">
        <v>3448</v>
      </c>
      <c r="E1933" s="0" t="s">
        <v>4963</v>
      </c>
      <c r="F1933" s="0" t="s">
        <v>30</v>
      </c>
      <c r="G1933" s="0" t="s">
        <v>4980</v>
      </c>
      <c r="H1933" s="0" t="s">
        <v>4238</v>
      </c>
      <c r="I1933" s="0" t="s">
        <v>4981</v>
      </c>
      <c r="J1933" s="18" t="s">
        <v>24</v>
      </c>
    </row>
    <row r="1934" customFormat="false" ht="15" hidden="false" customHeight="false" outlineLevel="0" collapsed="false">
      <c r="A1934" s="0" t="s">
        <v>1685</v>
      </c>
      <c r="B1934" s="0" t="s">
        <v>134</v>
      </c>
      <c r="C1934" s="0" t="s">
        <v>3447</v>
      </c>
      <c r="D1934" s="0" t="s">
        <v>3448</v>
      </c>
      <c r="E1934" s="0" t="s">
        <v>4963</v>
      </c>
      <c r="F1934" s="0" t="s">
        <v>30</v>
      </c>
      <c r="G1934" s="0" t="s">
        <v>4980</v>
      </c>
      <c r="H1934" s="0" t="s">
        <v>4280</v>
      </c>
      <c r="I1934" s="0" t="s">
        <v>4981</v>
      </c>
      <c r="J1934" s="18" t="s">
        <v>24</v>
      </c>
    </row>
    <row r="1935" customFormat="false" ht="15" hidden="false" customHeight="false" outlineLevel="0" collapsed="false">
      <c r="A1935" s="0" t="s">
        <v>1685</v>
      </c>
      <c r="B1935" s="0" t="s">
        <v>3459</v>
      </c>
      <c r="C1935" s="0" t="s">
        <v>3450</v>
      </c>
      <c r="D1935" s="0" t="s">
        <v>3448</v>
      </c>
      <c r="E1935" s="0" t="s">
        <v>4963</v>
      </c>
      <c r="F1935" s="0" t="s">
        <v>30</v>
      </c>
      <c r="G1935" s="0" t="s">
        <v>4980</v>
      </c>
      <c r="H1935" s="0" t="s">
        <v>4265</v>
      </c>
      <c r="I1935" s="0" t="s">
        <v>4981</v>
      </c>
      <c r="J1935" s="18" t="s">
        <v>24</v>
      </c>
    </row>
    <row r="1936" customFormat="false" ht="15" hidden="false" customHeight="false" outlineLevel="0" collapsed="false">
      <c r="A1936" s="0" t="s">
        <v>1685</v>
      </c>
      <c r="B1936" s="0" t="s">
        <v>3459</v>
      </c>
      <c r="C1936" s="0" t="s">
        <v>3447</v>
      </c>
      <c r="D1936" s="0" t="s">
        <v>3448</v>
      </c>
      <c r="E1936" s="0" t="s">
        <v>4963</v>
      </c>
      <c r="F1936" s="0" t="s">
        <v>30</v>
      </c>
      <c r="G1936" s="0" t="s">
        <v>4980</v>
      </c>
      <c r="H1936" s="0" t="s">
        <v>4636</v>
      </c>
      <c r="I1936" s="0" t="s">
        <v>4981</v>
      </c>
      <c r="J1936" s="18" t="s">
        <v>24</v>
      </c>
    </row>
    <row r="1937" customFormat="false" ht="15" hidden="false" customHeight="false" outlineLevel="0" collapsed="false">
      <c r="A1937" s="0" t="s">
        <v>1691</v>
      </c>
      <c r="B1937" s="0" t="s">
        <v>134</v>
      </c>
      <c r="C1937" s="0" t="s">
        <v>3450</v>
      </c>
      <c r="D1937" s="0" t="s">
        <v>3457</v>
      </c>
      <c r="E1937" s="0" t="s">
        <v>4963</v>
      </c>
      <c r="F1937" s="0" t="s">
        <v>59</v>
      </c>
      <c r="G1937" s="0" t="s">
        <v>4974</v>
      </c>
      <c r="H1937" s="0" t="s">
        <v>69</v>
      </c>
      <c r="I1937" s="0" t="s">
        <v>4975</v>
      </c>
      <c r="J1937" s="20" t="s">
        <v>25</v>
      </c>
    </row>
    <row r="1938" customFormat="false" ht="15" hidden="false" customHeight="false" outlineLevel="0" collapsed="false">
      <c r="A1938" s="0" t="s">
        <v>1691</v>
      </c>
      <c r="B1938" s="0" t="s">
        <v>134</v>
      </c>
      <c r="C1938" s="0" t="s">
        <v>3450</v>
      </c>
      <c r="D1938" s="0" t="s">
        <v>3448</v>
      </c>
      <c r="E1938" s="0" t="s">
        <v>4963</v>
      </c>
      <c r="F1938" s="0" t="s">
        <v>59</v>
      </c>
      <c r="G1938" s="0" t="s">
        <v>4974</v>
      </c>
      <c r="H1938" s="0" t="s">
        <v>69</v>
      </c>
      <c r="I1938" s="0" t="s">
        <v>4975</v>
      </c>
      <c r="J1938" s="20" t="s">
        <v>25</v>
      </c>
    </row>
    <row r="1939" customFormat="false" ht="15" hidden="false" customHeight="false" outlineLevel="0" collapsed="false">
      <c r="A1939" s="0" t="s">
        <v>1691</v>
      </c>
      <c r="B1939" s="0" t="s">
        <v>134</v>
      </c>
      <c r="C1939" s="0" t="s">
        <v>3450</v>
      </c>
      <c r="D1939" s="0" t="s">
        <v>3457</v>
      </c>
      <c r="E1939" s="0" t="s">
        <v>4963</v>
      </c>
      <c r="F1939" s="0" t="s">
        <v>30</v>
      </c>
      <c r="G1939" s="0" t="s">
        <v>4980</v>
      </c>
      <c r="H1939" s="0" t="s">
        <v>4238</v>
      </c>
      <c r="I1939" s="0" t="s">
        <v>4981</v>
      </c>
      <c r="J1939" s="18" t="s">
        <v>24</v>
      </c>
    </row>
    <row r="1940" customFormat="false" ht="15" hidden="false" customHeight="false" outlineLevel="0" collapsed="false">
      <c r="A1940" s="0" t="s">
        <v>1691</v>
      </c>
      <c r="B1940" s="0" t="s">
        <v>134</v>
      </c>
      <c r="C1940" s="0" t="s">
        <v>3450</v>
      </c>
      <c r="D1940" s="0" t="s">
        <v>3448</v>
      </c>
      <c r="E1940" s="0" t="s">
        <v>4963</v>
      </c>
      <c r="F1940" s="0" t="s">
        <v>30</v>
      </c>
      <c r="G1940" s="0" t="s">
        <v>4980</v>
      </c>
      <c r="H1940" s="0" t="s">
        <v>4275</v>
      </c>
      <c r="I1940" s="0" t="s">
        <v>4981</v>
      </c>
      <c r="J1940" s="18" t="s">
        <v>24</v>
      </c>
    </row>
    <row r="1941" customFormat="false" ht="15" hidden="false" customHeight="false" outlineLevel="0" collapsed="false">
      <c r="A1941" s="0" t="s">
        <v>1691</v>
      </c>
      <c r="B1941" s="0" t="s">
        <v>134</v>
      </c>
      <c r="C1941" s="0" t="s">
        <v>3447</v>
      </c>
      <c r="D1941" s="0" t="s">
        <v>3457</v>
      </c>
      <c r="E1941" s="0" t="s">
        <v>4963</v>
      </c>
      <c r="F1941" s="0" t="s">
        <v>30</v>
      </c>
      <c r="G1941" s="0" t="s">
        <v>4980</v>
      </c>
      <c r="H1941" s="0" t="s">
        <v>4228</v>
      </c>
      <c r="I1941" s="0" t="s">
        <v>4981</v>
      </c>
      <c r="J1941" s="18" t="s">
        <v>24</v>
      </c>
    </row>
    <row r="1942" customFormat="false" ht="15" hidden="false" customHeight="false" outlineLevel="0" collapsed="false">
      <c r="A1942" s="0" t="s">
        <v>1697</v>
      </c>
      <c r="B1942" s="0" t="s">
        <v>134</v>
      </c>
      <c r="C1942" s="0" t="s">
        <v>3447</v>
      </c>
      <c r="D1942" s="0" t="s">
        <v>3457</v>
      </c>
      <c r="E1942" s="0" t="s">
        <v>4963</v>
      </c>
      <c r="F1942" s="0" t="s">
        <v>60</v>
      </c>
      <c r="G1942" s="0" t="s">
        <v>4964</v>
      </c>
      <c r="H1942" s="0" t="s">
        <v>5626</v>
      </c>
      <c r="I1942" s="0" t="s">
        <v>4966</v>
      </c>
      <c r="J1942" s="19" t="s">
        <v>26</v>
      </c>
    </row>
    <row r="1943" customFormat="false" ht="15" hidden="false" customHeight="false" outlineLevel="0" collapsed="false">
      <c r="A1943" s="0" t="s">
        <v>1697</v>
      </c>
      <c r="B1943" s="0" t="s">
        <v>134</v>
      </c>
      <c r="C1943" s="0" t="s">
        <v>3447</v>
      </c>
      <c r="D1943" s="0" t="s">
        <v>3448</v>
      </c>
      <c r="E1943" s="0" t="s">
        <v>4963</v>
      </c>
      <c r="F1943" s="0" t="s">
        <v>60</v>
      </c>
      <c r="G1943" s="0" t="s">
        <v>4964</v>
      </c>
      <c r="H1943" s="0" t="s">
        <v>5627</v>
      </c>
      <c r="I1943" s="0" t="s">
        <v>4966</v>
      </c>
      <c r="J1943" s="19" t="s">
        <v>26</v>
      </c>
    </row>
    <row r="1944" customFormat="false" ht="15" hidden="false" customHeight="false" outlineLevel="0" collapsed="false">
      <c r="A1944" s="0" t="s">
        <v>1697</v>
      </c>
      <c r="B1944" s="0" t="s">
        <v>3459</v>
      </c>
      <c r="C1944" s="0" t="s">
        <v>3447</v>
      </c>
      <c r="D1944" s="0" t="s">
        <v>3457</v>
      </c>
      <c r="E1944" s="0" t="s">
        <v>4963</v>
      </c>
      <c r="F1944" s="0" t="s">
        <v>60</v>
      </c>
      <c r="G1944" s="0" t="s">
        <v>4964</v>
      </c>
      <c r="H1944" s="0" t="s">
        <v>5032</v>
      </c>
      <c r="I1944" s="0" t="s">
        <v>4966</v>
      </c>
      <c r="J1944" s="19" t="s">
        <v>26</v>
      </c>
    </row>
    <row r="1945" customFormat="false" ht="15" hidden="false" customHeight="false" outlineLevel="0" collapsed="false">
      <c r="A1945" s="0" t="s">
        <v>1697</v>
      </c>
      <c r="B1945" s="0" t="s">
        <v>3459</v>
      </c>
      <c r="C1945" s="0" t="s">
        <v>3447</v>
      </c>
      <c r="D1945" s="0" t="s">
        <v>3448</v>
      </c>
      <c r="E1945" s="0" t="s">
        <v>4963</v>
      </c>
      <c r="F1945" s="0" t="s">
        <v>60</v>
      </c>
      <c r="G1945" s="0" t="s">
        <v>4964</v>
      </c>
      <c r="H1945" s="0" t="s">
        <v>5628</v>
      </c>
      <c r="I1945" s="0" t="s">
        <v>4966</v>
      </c>
      <c r="J1945" s="19" t="s">
        <v>26</v>
      </c>
    </row>
    <row r="1946" customFormat="false" ht="15" hidden="false" customHeight="false" outlineLevel="0" collapsed="false">
      <c r="A1946" s="0" t="s">
        <v>1697</v>
      </c>
      <c r="B1946" s="0" t="s">
        <v>134</v>
      </c>
      <c r="C1946" s="0" t="s">
        <v>3450</v>
      </c>
      <c r="D1946" s="0" t="s">
        <v>3457</v>
      </c>
      <c r="E1946" s="0" t="s">
        <v>4963</v>
      </c>
      <c r="F1946" s="0" t="s">
        <v>59</v>
      </c>
      <c r="G1946" s="0" t="s">
        <v>4974</v>
      </c>
      <c r="H1946" s="0" t="s">
        <v>69</v>
      </c>
      <c r="I1946" s="0" t="s">
        <v>4975</v>
      </c>
      <c r="J1946" s="20" t="s">
        <v>25</v>
      </c>
    </row>
    <row r="1947" customFormat="false" ht="15" hidden="false" customHeight="false" outlineLevel="0" collapsed="false">
      <c r="A1947" s="0" t="s">
        <v>1697</v>
      </c>
      <c r="B1947" s="0" t="s">
        <v>134</v>
      </c>
      <c r="C1947" s="0" t="s">
        <v>3450</v>
      </c>
      <c r="D1947" s="0" t="s">
        <v>3457</v>
      </c>
      <c r="E1947" s="0" t="s">
        <v>4969</v>
      </c>
      <c r="F1947" s="0" t="s">
        <v>61</v>
      </c>
      <c r="G1947" s="0" t="s">
        <v>4970</v>
      </c>
      <c r="H1947" s="0" t="s">
        <v>5629</v>
      </c>
      <c r="I1947" s="0" t="s">
        <v>4972</v>
      </c>
      <c r="J1947" s="20" t="s">
        <v>25</v>
      </c>
    </row>
    <row r="1948" customFormat="false" ht="15" hidden="false" customHeight="false" outlineLevel="0" collapsed="false">
      <c r="A1948" s="0" t="s">
        <v>1697</v>
      </c>
      <c r="B1948" s="0" t="s">
        <v>134</v>
      </c>
      <c r="C1948" s="0" t="s">
        <v>3450</v>
      </c>
      <c r="D1948" s="0" t="s">
        <v>3457</v>
      </c>
      <c r="E1948" s="0" t="s">
        <v>4969</v>
      </c>
      <c r="F1948" s="0" t="s">
        <v>64</v>
      </c>
      <c r="G1948" s="0" t="s">
        <v>4220</v>
      </c>
      <c r="H1948" s="0" t="s">
        <v>5630</v>
      </c>
      <c r="I1948" s="0" t="s">
        <v>4991</v>
      </c>
      <c r="J1948" s="20" t="s">
        <v>25</v>
      </c>
    </row>
    <row r="1949" customFormat="false" ht="15" hidden="false" customHeight="false" outlineLevel="0" collapsed="false">
      <c r="A1949" s="0" t="s">
        <v>1697</v>
      </c>
      <c r="B1949" s="0" t="s">
        <v>134</v>
      </c>
      <c r="C1949" s="0" t="s">
        <v>3450</v>
      </c>
      <c r="D1949" s="0" t="s">
        <v>3448</v>
      </c>
      <c r="E1949" s="0" t="s">
        <v>4963</v>
      </c>
      <c r="F1949" s="0" t="s">
        <v>59</v>
      </c>
      <c r="G1949" s="0" t="s">
        <v>4974</v>
      </c>
      <c r="H1949" s="0" t="s">
        <v>69</v>
      </c>
      <c r="I1949" s="0" t="s">
        <v>4975</v>
      </c>
      <c r="J1949" s="20" t="s">
        <v>25</v>
      </c>
    </row>
    <row r="1950" customFormat="false" ht="15" hidden="false" customHeight="false" outlineLevel="0" collapsed="false">
      <c r="A1950" s="0" t="s">
        <v>1697</v>
      </c>
      <c r="B1950" s="0" t="s">
        <v>134</v>
      </c>
      <c r="C1950" s="0" t="s">
        <v>3447</v>
      </c>
      <c r="D1950" s="0" t="s">
        <v>3457</v>
      </c>
      <c r="E1950" s="0" t="s">
        <v>4969</v>
      </c>
      <c r="F1950" s="0" t="s">
        <v>61</v>
      </c>
      <c r="G1950" s="0" t="s">
        <v>4970</v>
      </c>
      <c r="H1950" s="0" t="s">
        <v>5631</v>
      </c>
      <c r="I1950" s="0" t="s">
        <v>4972</v>
      </c>
      <c r="J1950" s="20" t="s">
        <v>25</v>
      </c>
    </row>
    <row r="1951" customFormat="false" ht="15" hidden="false" customHeight="false" outlineLevel="0" collapsed="false">
      <c r="A1951" s="0" t="s">
        <v>1697</v>
      </c>
      <c r="B1951" s="0" t="s">
        <v>134</v>
      </c>
      <c r="C1951" s="0" t="s">
        <v>3447</v>
      </c>
      <c r="D1951" s="0" t="s">
        <v>3457</v>
      </c>
      <c r="E1951" s="0" t="s">
        <v>4969</v>
      </c>
      <c r="F1951" s="0" t="s">
        <v>64</v>
      </c>
      <c r="G1951" s="0" t="s">
        <v>4220</v>
      </c>
      <c r="H1951" s="0" t="s">
        <v>5630</v>
      </c>
      <c r="I1951" s="0" t="s">
        <v>4991</v>
      </c>
      <c r="J1951" s="20" t="s">
        <v>25</v>
      </c>
    </row>
    <row r="1952" customFormat="false" ht="15" hidden="false" customHeight="false" outlineLevel="0" collapsed="false">
      <c r="A1952" s="0" t="s">
        <v>1697</v>
      </c>
      <c r="B1952" s="0" t="s">
        <v>3459</v>
      </c>
      <c r="C1952" s="0" t="s">
        <v>3450</v>
      </c>
      <c r="D1952" s="0" t="s">
        <v>3457</v>
      </c>
      <c r="E1952" s="0" t="s">
        <v>4963</v>
      </c>
      <c r="F1952" s="0" t="s">
        <v>59</v>
      </c>
      <c r="G1952" s="0" t="s">
        <v>4974</v>
      </c>
      <c r="H1952" s="0" t="s">
        <v>69</v>
      </c>
      <c r="I1952" s="0" t="s">
        <v>4975</v>
      </c>
      <c r="J1952" s="20" t="s">
        <v>25</v>
      </c>
    </row>
    <row r="1953" customFormat="false" ht="15" hidden="false" customHeight="false" outlineLevel="0" collapsed="false">
      <c r="A1953" s="0" t="s">
        <v>1697</v>
      </c>
      <c r="B1953" s="0" t="s">
        <v>3459</v>
      </c>
      <c r="C1953" s="0" t="s">
        <v>3450</v>
      </c>
      <c r="D1953" s="0" t="s">
        <v>3457</v>
      </c>
      <c r="E1953" s="0" t="s">
        <v>4969</v>
      </c>
      <c r="F1953" s="0" t="s">
        <v>61</v>
      </c>
      <c r="G1953" s="0" t="s">
        <v>4970</v>
      </c>
      <c r="H1953" s="0" t="s">
        <v>5632</v>
      </c>
      <c r="I1953" s="0" t="s">
        <v>4972</v>
      </c>
      <c r="J1953" s="20" t="s">
        <v>25</v>
      </c>
    </row>
    <row r="1954" customFormat="false" ht="15" hidden="false" customHeight="false" outlineLevel="0" collapsed="false">
      <c r="A1954" s="0" t="s">
        <v>1697</v>
      </c>
      <c r="B1954" s="0" t="s">
        <v>3459</v>
      </c>
      <c r="C1954" s="0" t="s">
        <v>3450</v>
      </c>
      <c r="D1954" s="0" t="s">
        <v>3457</v>
      </c>
      <c r="E1954" s="0" t="s">
        <v>4969</v>
      </c>
      <c r="F1954" s="0" t="s">
        <v>62</v>
      </c>
      <c r="G1954" s="0" t="s">
        <v>5003</v>
      </c>
      <c r="H1954" s="0" t="s">
        <v>5223</v>
      </c>
      <c r="I1954" s="0" t="s">
        <v>5005</v>
      </c>
      <c r="J1954" s="20" t="s">
        <v>25</v>
      </c>
    </row>
    <row r="1955" customFormat="false" ht="15" hidden="false" customHeight="false" outlineLevel="0" collapsed="false">
      <c r="A1955" s="0" t="s">
        <v>1697</v>
      </c>
      <c r="B1955" s="0" t="s">
        <v>3459</v>
      </c>
      <c r="C1955" s="0" t="s">
        <v>3450</v>
      </c>
      <c r="D1955" s="0" t="s">
        <v>3457</v>
      </c>
      <c r="E1955" s="0" t="s">
        <v>4969</v>
      </c>
      <c r="F1955" s="0" t="s">
        <v>64</v>
      </c>
      <c r="G1955" s="0" t="s">
        <v>4220</v>
      </c>
      <c r="H1955" s="0" t="s">
        <v>5279</v>
      </c>
      <c r="I1955" s="0" t="s">
        <v>4991</v>
      </c>
      <c r="J1955" s="20" t="s">
        <v>25</v>
      </c>
    </row>
    <row r="1956" customFormat="false" ht="15" hidden="false" customHeight="false" outlineLevel="0" collapsed="false">
      <c r="A1956" s="0" t="s">
        <v>1697</v>
      </c>
      <c r="B1956" s="0" t="s">
        <v>3459</v>
      </c>
      <c r="C1956" s="0" t="s">
        <v>3450</v>
      </c>
      <c r="D1956" s="0" t="s">
        <v>3448</v>
      </c>
      <c r="E1956" s="0" t="s">
        <v>4963</v>
      </c>
      <c r="F1956" s="0" t="s">
        <v>59</v>
      </c>
      <c r="G1956" s="0" t="s">
        <v>4974</v>
      </c>
      <c r="H1956" s="0" t="s">
        <v>69</v>
      </c>
      <c r="I1956" s="0" t="s">
        <v>4975</v>
      </c>
      <c r="J1956" s="20" t="s">
        <v>25</v>
      </c>
    </row>
    <row r="1957" customFormat="false" ht="15" hidden="false" customHeight="false" outlineLevel="0" collapsed="false">
      <c r="A1957" s="0" t="s">
        <v>1697</v>
      </c>
      <c r="B1957" s="0" t="s">
        <v>3459</v>
      </c>
      <c r="C1957" s="0" t="s">
        <v>3447</v>
      </c>
      <c r="D1957" s="0" t="s">
        <v>3457</v>
      </c>
      <c r="E1957" s="0" t="s">
        <v>4963</v>
      </c>
      <c r="F1957" s="0" t="s">
        <v>59</v>
      </c>
      <c r="G1957" s="0" t="s">
        <v>4974</v>
      </c>
      <c r="H1957" s="0" t="s">
        <v>69</v>
      </c>
      <c r="I1957" s="0" t="s">
        <v>4975</v>
      </c>
      <c r="J1957" s="20" t="s">
        <v>25</v>
      </c>
    </row>
    <row r="1958" customFormat="false" ht="15" hidden="false" customHeight="false" outlineLevel="0" collapsed="false">
      <c r="A1958" s="0" t="s">
        <v>1697</v>
      </c>
      <c r="B1958" s="0" t="s">
        <v>3459</v>
      </c>
      <c r="C1958" s="0" t="s">
        <v>3447</v>
      </c>
      <c r="D1958" s="0" t="s">
        <v>3457</v>
      </c>
      <c r="E1958" s="0" t="s">
        <v>4969</v>
      </c>
      <c r="F1958" s="0" t="s">
        <v>64</v>
      </c>
      <c r="G1958" s="0" t="s">
        <v>4220</v>
      </c>
      <c r="H1958" s="0" t="s">
        <v>5279</v>
      </c>
      <c r="I1958" s="0" t="s">
        <v>4991</v>
      </c>
      <c r="J1958" s="20" t="s">
        <v>25</v>
      </c>
    </row>
    <row r="1959" customFormat="false" ht="15" hidden="false" customHeight="false" outlineLevel="0" collapsed="false">
      <c r="A1959" s="0" t="s">
        <v>1697</v>
      </c>
      <c r="B1959" s="0" t="s">
        <v>3459</v>
      </c>
      <c r="C1959" s="0" t="s">
        <v>3447</v>
      </c>
      <c r="D1959" s="0" t="s">
        <v>3448</v>
      </c>
      <c r="E1959" s="0" t="s">
        <v>4963</v>
      </c>
      <c r="F1959" s="0" t="s">
        <v>59</v>
      </c>
      <c r="G1959" s="0" t="s">
        <v>4974</v>
      </c>
      <c r="H1959" s="0" t="s">
        <v>69</v>
      </c>
      <c r="I1959" s="0" t="s">
        <v>4975</v>
      </c>
      <c r="J1959" s="20" t="s">
        <v>25</v>
      </c>
    </row>
    <row r="1960" customFormat="false" ht="15" hidden="false" customHeight="false" outlineLevel="0" collapsed="false">
      <c r="A1960" s="0" t="s">
        <v>1697</v>
      </c>
      <c r="B1960" s="0" t="s">
        <v>3459</v>
      </c>
      <c r="C1960" s="0" t="s">
        <v>3447</v>
      </c>
      <c r="D1960" s="0" t="s">
        <v>3448</v>
      </c>
      <c r="E1960" s="0" t="s">
        <v>4969</v>
      </c>
      <c r="F1960" s="0" t="s">
        <v>61</v>
      </c>
      <c r="G1960" s="0" t="s">
        <v>4970</v>
      </c>
      <c r="H1960" s="0" t="s">
        <v>5633</v>
      </c>
      <c r="I1960" s="0" t="s">
        <v>4972</v>
      </c>
      <c r="J1960" s="20" t="s">
        <v>25</v>
      </c>
    </row>
    <row r="1961" customFormat="false" ht="15" hidden="false" customHeight="false" outlineLevel="0" collapsed="false">
      <c r="A1961" s="0" t="s">
        <v>1697</v>
      </c>
      <c r="B1961" s="0" t="s">
        <v>134</v>
      </c>
      <c r="C1961" s="0" t="s">
        <v>3450</v>
      </c>
      <c r="D1961" s="0" t="s">
        <v>3457</v>
      </c>
      <c r="E1961" s="0" t="s">
        <v>4963</v>
      </c>
      <c r="F1961" s="0" t="s">
        <v>30</v>
      </c>
      <c r="G1961" s="0" t="s">
        <v>4980</v>
      </c>
      <c r="H1961" s="0" t="s">
        <v>4238</v>
      </c>
      <c r="I1961" s="0" t="s">
        <v>4981</v>
      </c>
      <c r="J1961" s="18" t="s">
        <v>24</v>
      </c>
    </row>
    <row r="1962" customFormat="false" ht="15" hidden="false" customHeight="false" outlineLevel="0" collapsed="false">
      <c r="A1962" s="0" t="s">
        <v>1697</v>
      </c>
      <c r="B1962" s="0" t="s">
        <v>134</v>
      </c>
      <c r="C1962" s="0" t="s">
        <v>3450</v>
      </c>
      <c r="D1962" s="0" t="s">
        <v>3448</v>
      </c>
      <c r="E1962" s="0" t="s">
        <v>4963</v>
      </c>
      <c r="F1962" s="0" t="s">
        <v>30</v>
      </c>
      <c r="G1962" s="0" t="s">
        <v>4980</v>
      </c>
      <c r="H1962" s="0" t="s">
        <v>4238</v>
      </c>
      <c r="I1962" s="0" t="s">
        <v>4981</v>
      </c>
      <c r="J1962" s="18" t="s">
        <v>24</v>
      </c>
    </row>
    <row r="1963" customFormat="false" ht="15" hidden="false" customHeight="false" outlineLevel="0" collapsed="false">
      <c r="A1963" s="0" t="s">
        <v>1697</v>
      </c>
      <c r="B1963" s="0" t="s">
        <v>3459</v>
      </c>
      <c r="C1963" s="0" t="s">
        <v>3450</v>
      </c>
      <c r="D1963" s="0" t="s">
        <v>3457</v>
      </c>
      <c r="E1963" s="0" t="s">
        <v>4963</v>
      </c>
      <c r="F1963" s="0" t="s">
        <v>30</v>
      </c>
      <c r="G1963" s="0" t="s">
        <v>4980</v>
      </c>
      <c r="H1963" s="0" t="s">
        <v>4265</v>
      </c>
      <c r="I1963" s="0" t="s">
        <v>4981</v>
      </c>
      <c r="J1963" s="18" t="s">
        <v>24</v>
      </c>
    </row>
    <row r="1964" customFormat="false" ht="15" hidden="false" customHeight="false" outlineLevel="0" collapsed="false">
      <c r="A1964" s="0" t="s">
        <v>1697</v>
      </c>
      <c r="B1964" s="0" t="s">
        <v>3459</v>
      </c>
      <c r="C1964" s="0" t="s">
        <v>3450</v>
      </c>
      <c r="D1964" s="0" t="s">
        <v>3448</v>
      </c>
      <c r="E1964" s="0" t="s">
        <v>4963</v>
      </c>
      <c r="F1964" s="0" t="s">
        <v>30</v>
      </c>
      <c r="G1964" s="0" t="s">
        <v>4980</v>
      </c>
      <c r="H1964" s="0" t="s">
        <v>4364</v>
      </c>
      <c r="I1964" s="0" t="s">
        <v>4981</v>
      </c>
      <c r="J1964" s="18" t="s">
        <v>24</v>
      </c>
    </row>
    <row r="1965" customFormat="false" ht="15" hidden="false" customHeight="false" outlineLevel="0" collapsed="false">
      <c r="A1965" s="0" t="s">
        <v>1706</v>
      </c>
      <c r="B1965" s="0" t="s">
        <v>134</v>
      </c>
      <c r="C1965" s="0" t="s">
        <v>3447</v>
      </c>
      <c r="D1965" s="0" t="s">
        <v>3457</v>
      </c>
      <c r="E1965" s="0" t="s">
        <v>4963</v>
      </c>
      <c r="F1965" s="0" t="s">
        <v>60</v>
      </c>
      <c r="G1965" s="0" t="s">
        <v>4964</v>
      </c>
      <c r="H1965" s="0" t="s">
        <v>5009</v>
      </c>
      <c r="I1965" s="0" t="s">
        <v>4966</v>
      </c>
      <c r="J1965" s="19" t="s">
        <v>26</v>
      </c>
    </row>
    <row r="1966" customFormat="false" ht="15" hidden="false" customHeight="false" outlineLevel="0" collapsed="false">
      <c r="A1966" s="0" t="s">
        <v>1706</v>
      </c>
      <c r="B1966" s="0" t="s">
        <v>134</v>
      </c>
      <c r="C1966" s="0" t="s">
        <v>3447</v>
      </c>
      <c r="D1966" s="0" t="s">
        <v>3457</v>
      </c>
      <c r="E1966" s="0" t="s">
        <v>4963</v>
      </c>
      <c r="F1966" s="0" t="s">
        <v>59</v>
      </c>
      <c r="G1966" s="0" t="s">
        <v>4974</v>
      </c>
      <c r="H1966" s="0" t="s">
        <v>69</v>
      </c>
      <c r="I1966" s="0" t="s">
        <v>4975</v>
      </c>
      <c r="J1966" s="20" t="s">
        <v>25</v>
      </c>
    </row>
    <row r="1967" customFormat="false" ht="15" hidden="false" customHeight="false" outlineLevel="0" collapsed="false">
      <c r="A1967" s="0" t="s">
        <v>1706</v>
      </c>
      <c r="B1967" s="0" t="s">
        <v>134</v>
      </c>
      <c r="C1967" s="0" t="s">
        <v>3447</v>
      </c>
      <c r="D1967" s="0" t="s">
        <v>3448</v>
      </c>
      <c r="E1967" s="0" t="s">
        <v>4963</v>
      </c>
      <c r="F1967" s="0" t="s">
        <v>59</v>
      </c>
      <c r="G1967" s="0" t="s">
        <v>4974</v>
      </c>
      <c r="H1967" s="0" t="s">
        <v>69</v>
      </c>
      <c r="I1967" s="0" t="s">
        <v>4975</v>
      </c>
      <c r="J1967" s="20" t="s">
        <v>25</v>
      </c>
    </row>
    <row r="1968" customFormat="false" ht="15" hidden="false" customHeight="false" outlineLevel="0" collapsed="false">
      <c r="A1968" s="0" t="s">
        <v>1706</v>
      </c>
      <c r="B1968" s="0" t="s">
        <v>134</v>
      </c>
      <c r="C1968" s="0" t="s">
        <v>3447</v>
      </c>
      <c r="D1968" s="0" t="s">
        <v>3448</v>
      </c>
      <c r="E1968" s="0" t="s">
        <v>4963</v>
      </c>
      <c r="F1968" s="0" t="s">
        <v>30</v>
      </c>
      <c r="G1968" s="0" t="s">
        <v>4980</v>
      </c>
      <c r="H1968" s="0" t="s">
        <v>4238</v>
      </c>
      <c r="I1968" s="0" t="s">
        <v>4981</v>
      </c>
      <c r="J1968" s="18" t="s">
        <v>24</v>
      </c>
    </row>
    <row r="1969" customFormat="false" ht="15" hidden="false" customHeight="false" outlineLevel="0" collapsed="false">
      <c r="A1969" s="0" t="s">
        <v>1712</v>
      </c>
      <c r="B1969" s="0" t="s">
        <v>134</v>
      </c>
      <c r="C1969" s="0" t="s">
        <v>3447</v>
      </c>
      <c r="D1969" s="0" t="s">
        <v>3457</v>
      </c>
      <c r="E1969" s="0" t="s">
        <v>4963</v>
      </c>
      <c r="F1969" s="0" t="s">
        <v>60</v>
      </c>
      <c r="G1969" s="0" t="s">
        <v>4964</v>
      </c>
      <c r="H1969" s="0" t="s">
        <v>5252</v>
      </c>
      <c r="I1969" s="0" t="s">
        <v>4966</v>
      </c>
      <c r="J1969" s="19" t="s">
        <v>26</v>
      </c>
    </row>
    <row r="1970" customFormat="false" ht="15" hidden="false" customHeight="false" outlineLevel="0" collapsed="false">
      <c r="A1970" s="0" t="s">
        <v>1712</v>
      </c>
      <c r="B1970" s="0" t="s">
        <v>134</v>
      </c>
      <c r="C1970" s="0" t="s">
        <v>3450</v>
      </c>
      <c r="D1970" s="0" t="s">
        <v>3457</v>
      </c>
      <c r="E1970" s="0" t="s">
        <v>4963</v>
      </c>
      <c r="F1970" s="0" t="s">
        <v>59</v>
      </c>
      <c r="G1970" s="0" t="s">
        <v>4974</v>
      </c>
      <c r="H1970" s="0" t="s">
        <v>69</v>
      </c>
      <c r="I1970" s="0" t="s">
        <v>4975</v>
      </c>
      <c r="J1970" s="20" t="s">
        <v>25</v>
      </c>
    </row>
    <row r="1971" customFormat="false" ht="15" hidden="false" customHeight="false" outlineLevel="0" collapsed="false">
      <c r="A1971" s="0" t="s">
        <v>1712</v>
      </c>
      <c r="B1971" s="0" t="s">
        <v>134</v>
      </c>
      <c r="C1971" s="0" t="s">
        <v>3450</v>
      </c>
      <c r="D1971" s="0" t="s">
        <v>3457</v>
      </c>
      <c r="E1971" s="0" t="s">
        <v>4969</v>
      </c>
      <c r="F1971" s="0" t="s">
        <v>63</v>
      </c>
      <c r="G1971" s="0" t="s">
        <v>4220</v>
      </c>
      <c r="H1971" s="0" t="s">
        <v>5634</v>
      </c>
      <c r="I1971" s="0" t="s">
        <v>4979</v>
      </c>
      <c r="J1971" s="20" t="s">
        <v>25</v>
      </c>
    </row>
    <row r="1972" customFormat="false" ht="15" hidden="false" customHeight="false" outlineLevel="0" collapsed="false">
      <c r="A1972" s="0" t="s">
        <v>1712</v>
      </c>
      <c r="B1972" s="0" t="s">
        <v>134</v>
      </c>
      <c r="C1972" s="0" t="s">
        <v>3450</v>
      </c>
      <c r="D1972" s="0" t="s">
        <v>3448</v>
      </c>
      <c r="E1972" s="0" t="s">
        <v>4963</v>
      </c>
      <c r="F1972" s="0" t="s">
        <v>59</v>
      </c>
      <c r="G1972" s="0" t="s">
        <v>4974</v>
      </c>
      <c r="H1972" s="0" t="s">
        <v>69</v>
      </c>
      <c r="I1972" s="0" t="s">
        <v>4975</v>
      </c>
      <c r="J1972" s="20" t="s">
        <v>25</v>
      </c>
    </row>
    <row r="1973" customFormat="false" ht="15" hidden="false" customHeight="false" outlineLevel="0" collapsed="false">
      <c r="A1973" s="0" t="s">
        <v>1712</v>
      </c>
      <c r="B1973" s="0" t="s">
        <v>134</v>
      </c>
      <c r="C1973" s="0" t="s">
        <v>3450</v>
      </c>
      <c r="D1973" s="0" t="s">
        <v>3448</v>
      </c>
      <c r="E1973" s="0" t="s">
        <v>4969</v>
      </c>
      <c r="F1973" s="0" t="s">
        <v>62</v>
      </c>
      <c r="G1973" s="0" t="s">
        <v>5003</v>
      </c>
      <c r="H1973" s="0" t="s">
        <v>5635</v>
      </c>
      <c r="I1973" s="0" t="s">
        <v>5005</v>
      </c>
      <c r="J1973" s="20" t="s">
        <v>25</v>
      </c>
    </row>
    <row r="1974" customFormat="false" ht="15" hidden="false" customHeight="false" outlineLevel="0" collapsed="false">
      <c r="A1974" s="0" t="s">
        <v>1712</v>
      </c>
      <c r="B1974" s="0" t="s">
        <v>134</v>
      </c>
      <c r="C1974" s="0" t="s">
        <v>3450</v>
      </c>
      <c r="D1974" s="0" t="s">
        <v>3448</v>
      </c>
      <c r="E1974" s="0" t="s">
        <v>4969</v>
      </c>
      <c r="F1974" s="0" t="s">
        <v>64</v>
      </c>
      <c r="G1974" s="0" t="s">
        <v>4220</v>
      </c>
      <c r="H1974" s="0" t="s">
        <v>5636</v>
      </c>
      <c r="I1974" s="0" t="s">
        <v>4991</v>
      </c>
      <c r="J1974" s="20" t="s">
        <v>25</v>
      </c>
    </row>
    <row r="1975" customFormat="false" ht="15" hidden="false" customHeight="false" outlineLevel="0" collapsed="false">
      <c r="A1975" s="0" t="s">
        <v>1712</v>
      </c>
      <c r="B1975" s="0" t="s">
        <v>134</v>
      </c>
      <c r="C1975" s="0" t="s">
        <v>3447</v>
      </c>
      <c r="D1975" s="0" t="s">
        <v>3457</v>
      </c>
      <c r="E1975" s="0" t="s">
        <v>4963</v>
      </c>
      <c r="F1975" s="0" t="s">
        <v>59</v>
      </c>
      <c r="G1975" s="0" t="s">
        <v>4974</v>
      </c>
      <c r="H1975" s="0" t="s">
        <v>69</v>
      </c>
      <c r="I1975" s="0" t="s">
        <v>4975</v>
      </c>
      <c r="J1975" s="20" t="s">
        <v>25</v>
      </c>
    </row>
    <row r="1976" customFormat="false" ht="15" hidden="false" customHeight="false" outlineLevel="0" collapsed="false">
      <c r="A1976" s="0" t="s">
        <v>1712</v>
      </c>
      <c r="B1976" s="0" t="s">
        <v>134</v>
      </c>
      <c r="C1976" s="0" t="s">
        <v>3447</v>
      </c>
      <c r="D1976" s="0" t="s">
        <v>3457</v>
      </c>
      <c r="E1976" s="0" t="s">
        <v>4969</v>
      </c>
      <c r="F1976" s="0" t="s">
        <v>63</v>
      </c>
      <c r="G1976" s="0" t="s">
        <v>4220</v>
      </c>
      <c r="H1976" s="0" t="s">
        <v>5634</v>
      </c>
      <c r="I1976" s="0" t="s">
        <v>4979</v>
      </c>
      <c r="J1976" s="20" t="s">
        <v>25</v>
      </c>
    </row>
    <row r="1977" customFormat="false" ht="15" hidden="false" customHeight="false" outlineLevel="0" collapsed="false">
      <c r="A1977" s="0" t="s">
        <v>1712</v>
      </c>
      <c r="B1977" s="0" t="s">
        <v>134</v>
      </c>
      <c r="C1977" s="0" t="s">
        <v>3447</v>
      </c>
      <c r="D1977" s="0" t="s">
        <v>3448</v>
      </c>
      <c r="E1977" s="0" t="s">
        <v>4969</v>
      </c>
      <c r="F1977" s="0" t="s">
        <v>64</v>
      </c>
      <c r="G1977" s="0" t="s">
        <v>4220</v>
      </c>
      <c r="H1977" s="0" t="s">
        <v>5636</v>
      </c>
      <c r="I1977" s="0" t="s">
        <v>4991</v>
      </c>
      <c r="J1977" s="20" t="s">
        <v>25</v>
      </c>
    </row>
    <row r="1978" customFormat="false" ht="15" hidden="false" customHeight="false" outlineLevel="0" collapsed="false">
      <c r="A1978" s="0" t="s">
        <v>1712</v>
      </c>
      <c r="B1978" s="0" t="s">
        <v>134</v>
      </c>
      <c r="C1978" s="0" t="s">
        <v>3450</v>
      </c>
      <c r="D1978" s="0" t="s">
        <v>3457</v>
      </c>
      <c r="E1978" s="0" t="s">
        <v>4963</v>
      </c>
      <c r="F1978" s="0" t="s">
        <v>30</v>
      </c>
      <c r="G1978" s="0" t="s">
        <v>4980</v>
      </c>
      <c r="H1978" s="0" t="s">
        <v>4242</v>
      </c>
      <c r="I1978" s="0" t="s">
        <v>4981</v>
      </c>
      <c r="J1978" s="18" t="s">
        <v>24</v>
      </c>
    </row>
    <row r="1979" customFormat="false" ht="15" hidden="false" customHeight="false" outlineLevel="0" collapsed="false">
      <c r="A1979" s="0" t="s">
        <v>1712</v>
      </c>
      <c r="B1979" s="0" t="s">
        <v>134</v>
      </c>
      <c r="C1979" s="0" t="s">
        <v>3450</v>
      </c>
      <c r="D1979" s="0" t="s">
        <v>3448</v>
      </c>
      <c r="E1979" s="0" t="s">
        <v>4963</v>
      </c>
      <c r="F1979" s="0" t="s">
        <v>30</v>
      </c>
      <c r="G1979" s="0" t="s">
        <v>4980</v>
      </c>
      <c r="H1979" s="0" t="s">
        <v>4448</v>
      </c>
      <c r="I1979" s="0" t="s">
        <v>4981</v>
      </c>
      <c r="J1979" s="18" t="s">
        <v>24</v>
      </c>
    </row>
    <row r="1980" customFormat="false" ht="15" hidden="false" customHeight="false" outlineLevel="0" collapsed="false">
      <c r="A1980" s="0" t="s">
        <v>1712</v>
      </c>
      <c r="B1980" s="0" t="s">
        <v>134</v>
      </c>
      <c r="C1980" s="0" t="s">
        <v>3447</v>
      </c>
      <c r="D1980" s="0" t="s">
        <v>3448</v>
      </c>
      <c r="E1980" s="0" t="s">
        <v>4963</v>
      </c>
      <c r="F1980" s="0" t="s">
        <v>30</v>
      </c>
      <c r="G1980" s="0" t="s">
        <v>4980</v>
      </c>
      <c r="H1980" s="0" t="s">
        <v>4640</v>
      </c>
      <c r="I1980" s="0" t="s">
        <v>4981</v>
      </c>
      <c r="J1980" s="18" t="s">
        <v>24</v>
      </c>
    </row>
    <row r="1981" customFormat="false" ht="15" hidden="false" customHeight="false" outlineLevel="0" collapsed="false">
      <c r="A1981" s="0" t="s">
        <v>1726</v>
      </c>
      <c r="B1981" s="0" t="s">
        <v>134</v>
      </c>
      <c r="C1981" s="0" t="s">
        <v>3447</v>
      </c>
      <c r="D1981" s="0" t="s">
        <v>3448</v>
      </c>
      <c r="E1981" s="0" t="s">
        <v>4963</v>
      </c>
      <c r="F1981" s="0" t="s">
        <v>60</v>
      </c>
      <c r="G1981" s="0" t="s">
        <v>4964</v>
      </c>
      <c r="H1981" s="0" t="s">
        <v>5637</v>
      </c>
      <c r="I1981" s="0" t="s">
        <v>4966</v>
      </c>
      <c r="J1981" s="19" t="s">
        <v>26</v>
      </c>
    </row>
    <row r="1982" customFormat="false" ht="15" hidden="false" customHeight="false" outlineLevel="0" collapsed="false">
      <c r="A1982" s="0" t="s">
        <v>1726</v>
      </c>
      <c r="B1982" s="0" t="s">
        <v>3459</v>
      </c>
      <c r="C1982" s="0" t="s">
        <v>3447</v>
      </c>
      <c r="D1982" s="0" t="s">
        <v>3448</v>
      </c>
      <c r="E1982" s="0" t="s">
        <v>4963</v>
      </c>
      <c r="F1982" s="0" t="s">
        <v>60</v>
      </c>
      <c r="G1982" s="0" t="s">
        <v>4964</v>
      </c>
      <c r="H1982" s="0" t="s">
        <v>5638</v>
      </c>
      <c r="I1982" s="0" t="s">
        <v>4966</v>
      </c>
      <c r="J1982" s="19" t="s">
        <v>26</v>
      </c>
    </row>
    <row r="1983" customFormat="false" ht="15" hidden="false" customHeight="false" outlineLevel="0" collapsed="false">
      <c r="A1983" s="0" t="s">
        <v>1726</v>
      </c>
      <c r="B1983" s="0" t="s">
        <v>134</v>
      </c>
      <c r="C1983" s="0" t="s">
        <v>3450</v>
      </c>
      <c r="D1983" s="0" t="s">
        <v>3448</v>
      </c>
      <c r="E1983" s="0" t="s">
        <v>4969</v>
      </c>
      <c r="F1983" s="0" t="s">
        <v>61</v>
      </c>
      <c r="G1983" s="0" t="s">
        <v>4970</v>
      </c>
      <c r="H1983" s="0" t="s">
        <v>5385</v>
      </c>
      <c r="I1983" s="0" t="s">
        <v>4972</v>
      </c>
      <c r="J1983" s="20" t="s">
        <v>25</v>
      </c>
    </row>
    <row r="1984" customFormat="false" ht="15" hidden="false" customHeight="false" outlineLevel="0" collapsed="false">
      <c r="A1984" s="0" t="s">
        <v>1726</v>
      </c>
      <c r="B1984" s="0" t="s">
        <v>3459</v>
      </c>
      <c r="C1984" s="0" t="s">
        <v>3450</v>
      </c>
      <c r="D1984" s="0" t="s">
        <v>3457</v>
      </c>
      <c r="E1984" s="0" t="s">
        <v>4963</v>
      </c>
      <c r="F1984" s="0" t="s">
        <v>59</v>
      </c>
      <c r="G1984" s="0" t="s">
        <v>4974</v>
      </c>
      <c r="H1984" s="0" t="s">
        <v>69</v>
      </c>
      <c r="I1984" s="0" t="s">
        <v>4975</v>
      </c>
      <c r="J1984" s="20" t="s">
        <v>25</v>
      </c>
    </row>
    <row r="1985" customFormat="false" ht="15" hidden="false" customHeight="false" outlineLevel="0" collapsed="false">
      <c r="A1985" s="0" t="s">
        <v>1726</v>
      </c>
      <c r="B1985" s="0" t="s">
        <v>3459</v>
      </c>
      <c r="C1985" s="0" t="s">
        <v>3450</v>
      </c>
      <c r="D1985" s="0" t="s">
        <v>3457</v>
      </c>
      <c r="E1985" s="0" t="s">
        <v>4969</v>
      </c>
      <c r="F1985" s="0" t="s">
        <v>61</v>
      </c>
      <c r="G1985" s="0" t="s">
        <v>4970</v>
      </c>
      <c r="H1985" s="0" t="s">
        <v>5639</v>
      </c>
      <c r="I1985" s="0" t="s">
        <v>4972</v>
      </c>
      <c r="J1985" s="20" t="s">
        <v>25</v>
      </c>
    </row>
    <row r="1986" customFormat="false" ht="15" hidden="false" customHeight="false" outlineLevel="0" collapsed="false">
      <c r="A1986" s="0" t="s">
        <v>1726</v>
      </c>
      <c r="B1986" s="0" t="s">
        <v>3459</v>
      </c>
      <c r="C1986" s="0" t="s">
        <v>3450</v>
      </c>
      <c r="D1986" s="0" t="s">
        <v>3448</v>
      </c>
      <c r="E1986" s="0" t="s">
        <v>4969</v>
      </c>
      <c r="F1986" s="0" t="s">
        <v>61</v>
      </c>
      <c r="G1986" s="0" t="s">
        <v>4970</v>
      </c>
      <c r="H1986" s="0" t="s">
        <v>5640</v>
      </c>
      <c r="I1986" s="0" t="s">
        <v>4972</v>
      </c>
      <c r="J1986" s="20" t="s">
        <v>25</v>
      </c>
    </row>
    <row r="1987" customFormat="false" ht="15" hidden="false" customHeight="false" outlineLevel="0" collapsed="false">
      <c r="A1987" s="0" t="s">
        <v>1726</v>
      </c>
      <c r="B1987" s="0" t="s">
        <v>3459</v>
      </c>
      <c r="C1987" s="0" t="s">
        <v>3450</v>
      </c>
      <c r="D1987" s="0" t="s">
        <v>3448</v>
      </c>
      <c r="E1987" s="0" t="s">
        <v>4969</v>
      </c>
      <c r="F1987" s="0" t="s">
        <v>62</v>
      </c>
      <c r="G1987" s="0" t="s">
        <v>5003</v>
      </c>
      <c r="H1987" s="0" t="s">
        <v>5641</v>
      </c>
      <c r="I1987" s="0" t="s">
        <v>5005</v>
      </c>
      <c r="J1987" s="20" t="s">
        <v>25</v>
      </c>
    </row>
    <row r="1988" customFormat="false" ht="15" hidden="false" customHeight="false" outlineLevel="0" collapsed="false">
      <c r="A1988" s="0" t="s">
        <v>1726</v>
      </c>
      <c r="B1988" s="0" t="s">
        <v>3459</v>
      </c>
      <c r="C1988" s="0" t="s">
        <v>3447</v>
      </c>
      <c r="D1988" s="0" t="s">
        <v>3457</v>
      </c>
      <c r="E1988" s="0" t="s">
        <v>4963</v>
      </c>
      <c r="F1988" s="0" t="s">
        <v>59</v>
      </c>
      <c r="G1988" s="0" t="s">
        <v>4974</v>
      </c>
      <c r="H1988" s="0" t="s">
        <v>69</v>
      </c>
      <c r="I1988" s="0" t="s">
        <v>4975</v>
      </c>
      <c r="J1988" s="20" t="s">
        <v>25</v>
      </c>
    </row>
    <row r="1989" customFormat="false" ht="15" hidden="false" customHeight="false" outlineLevel="0" collapsed="false">
      <c r="A1989" s="0" t="s">
        <v>1726</v>
      </c>
      <c r="B1989" s="0" t="s">
        <v>3459</v>
      </c>
      <c r="C1989" s="0" t="s">
        <v>3447</v>
      </c>
      <c r="D1989" s="0" t="s">
        <v>3457</v>
      </c>
      <c r="E1989" s="0" t="s">
        <v>4969</v>
      </c>
      <c r="F1989" s="0" t="s">
        <v>61</v>
      </c>
      <c r="G1989" s="0" t="s">
        <v>4970</v>
      </c>
      <c r="H1989" s="0" t="s">
        <v>5642</v>
      </c>
      <c r="I1989" s="0" t="s">
        <v>4972</v>
      </c>
      <c r="J1989" s="20" t="s">
        <v>25</v>
      </c>
    </row>
    <row r="1990" customFormat="false" ht="15" hidden="false" customHeight="false" outlineLevel="0" collapsed="false">
      <c r="A1990" s="0" t="s">
        <v>1726</v>
      </c>
      <c r="B1990" s="0" t="s">
        <v>3459</v>
      </c>
      <c r="C1990" s="0" t="s">
        <v>3447</v>
      </c>
      <c r="D1990" s="0" t="s">
        <v>3448</v>
      </c>
      <c r="E1990" s="0" t="s">
        <v>4963</v>
      </c>
      <c r="F1990" s="0" t="s">
        <v>59</v>
      </c>
      <c r="G1990" s="0" t="s">
        <v>4974</v>
      </c>
      <c r="H1990" s="0" t="s">
        <v>69</v>
      </c>
      <c r="I1990" s="0" t="s">
        <v>4975</v>
      </c>
      <c r="J1990" s="20" t="s">
        <v>25</v>
      </c>
    </row>
    <row r="1991" customFormat="false" ht="15" hidden="false" customHeight="false" outlineLevel="0" collapsed="false">
      <c r="A1991" s="0" t="s">
        <v>1726</v>
      </c>
      <c r="B1991" s="0" t="s">
        <v>3459</v>
      </c>
      <c r="C1991" s="0" t="s">
        <v>3447</v>
      </c>
      <c r="D1991" s="0" t="s">
        <v>3448</v>
      </c>
      <c r="E1991" s="0" t="s">
        <v>4969</v>
      </c>
      <c r="F1991" s="0" t="s">
        <v>61</v>
      </c>
      <c r="G1991" s="0" t="s">
        <v>4970</v>
      </c>
      <c r="H1991" s="0" t="s">
        <v>5643</v>
      </c>
      <c r="I1991" s="0" t="s">
        <v>4972</v>
      </c>
      <c r="J1991" s="20" t="s">
        <v>25</v>
      </c>
    </row>
    <row r="1992" customFormat="false" ht="15" hidden="false" customHeight="false" outlineLevel="0" collapsed="false">
      <c r="A1992" s="0" t="s">
        <v>1726</v>
      </c>
      <c r="B1992" s="0" t="s">
        <v>134</v>
      </c>
      <c r="C1992" s="0" t="s">
        <v>3447</v>
      </c>
      <c r="D1992" s="0" t="s">
        <v>3457</v>
      </c>
      <c r="E1992" s="0" t="s">
        <v>4963</v>
      </c>
      <c r="F1992" s="0" t="s">
        <v>30</v>
      </c>
      <c r="G1992" s="0" t="s">
        <v>4980</v>
      </c>
      <c r="H1992" s="0" t="s">
        <v>4641</v>
      </c>
      <c r="I1992" s="0" t="s">
        <v>4981</v>
      </c>
      <c r="J1992" s="18" t="s">
        <v>24</v>
      </c>
    </row>
    <row r="1993" customFormat="false" ht="15" hidden="false" customHeight="false" outlineLevel="0" collapsed="false">
      <c r="A1993" s="0" t="s">
        <v>1726</v>
      </c>
      <c r="B1993" s="0" t="s">
        <v>3459</v>
      </c>
      <c r="C1993" s="0" t="s">
        <v>3450</v>
      </c>
      <c r="D1993" s="0" t="s">
        <v>3457</v>
      </c>
      <c r="E1993" s="0" t="s">
        <v>4963</v>
      </c>
      <c r="F1993" s="0" t="s">
        <v>30</v>
      </c>
      <c r="G1993" s="0" t="s">
        <v>4980</v>
      </c>
      <c r="H1993" s="0" t="s">
        <v>4375</v>
      </c>
      <c r="I1993" s="0" t="s">
        <v>4981</v>
      </c>
      <c r="J1993" s="18" t="s">
        <v>24</v>
      </c>
    </row>
    <row r="1994" customFormat="false" ht="15" hidden="false" customHeight="false" outlineLevel="0" collapsed="false">
      <c r="A1994" s="0" t="s">
        <v>1726</v>
      </c>
      <c r="B1994" s="0" t="s">
        <v>3459</v>
      </c>
      <c r="C1994" s="0" t="s">
        <v>3447</v>
      </c>
      <c r="D1994" s="0" t="s">
        <v>3457</v>
      </c>
      <c r="E1994" s="0" t="s">
        <v>4963</v>
      </c>
      <c r="F1994" s="0" t="s">
        <v>30</v>
      </c>
      <c r="G1994" s="0" t="s">
        <v>4980</v>
      </c>
      <c r="H1994" s="0" t="s">
        <v>4644</v>
      </c>
      <c r="I1994" s="0" t="s">
        <v>4981</v>
      </c>
      <c r="J1994" s="18" t="s">
        <v>24</v>
      </c>
    </row>
    <row r="1995" customFormat="false" ht="15" hidden="false" customHeight="false" outlineLevel="0" collapsed="false">
      <c r="A1995" s="0" t="s">
        <v>1732</v>
      </c>
      <c r="B1995" s="0" t="s">
        <v>134</v>
      </c>
      <c r="C1995" s="0" t="s">
        <v>3450</v>
      </c>
      <c r="D1995" s="0" t="s">
        <v>3457</v>
      </c>
      <c r="E1995" s="0" t="s">
        <v>4969</v>
      </c>
      <c r="F1995" s="0" t="s">
        <v>63</v>
      </c>
      <c r="G1995" s="0" t="s">
        <v>4220</v>
      </c>
      <c r="H1995" s="0" t="s">
        <v>5644</v>
      </c>
      <c r="I1995" s="0" t="s">
        <v>4979</v>
      </c>
      <c r="J1995" s="20" t="s">
        <v>25</v>
      </c>
    </row>
    <row r="1996" customFormat="false" ht="15" hidden="false" customHeight="false" outlineLevel="0" collapsed="false">
      <c r="A1996" s="0" t="s">
        <v>1732</v>
      </c>
      <c r="B1996" s="0" t="s">
        <v>134</v>
      </c>
      <c r="C1996" s="0" t="s">
        <v>3447</v>
      </c>
      <c r="D1996" s="0" t="s">
        <v>3457</v>
      </c>
      <c r="E1996" s="0" t="s">
        <v>4969</v>
      </c>
      <c r="F1996" s="0" t="s">
        <v>63</v>
      </c>
      <c r="G1996" s="0" t="s">
        <v>4220</v>
      </c>
      <c r="H1996" s="0" t="s">
        <v>5644</v>
      </c>
      <c r="I1996" s="0" t="s">
        <v>4979</v>
      </c>
      <c r="J1996" s="20" t="s">
        <v>25</v>
      </c>
    </row>
    <row r="1997" customFormat="false" ht="15" hidden="false" customHeight="false" outlineLevel="0" collapsed="false">
      <c r="A1997" s="0" t="s">
        <v>1737</v>
      </c>
      <c r="B1997" s="0" t="s">
        <v>134</v>
      </c>
      <c r="C1997" s="0" t="s">
        <v>3450</v>
      </c>
      <c r="D1997" s="0" t="s">
        <v>3448</v>
      </c>
      <c r="E1997" s="0" t="s">
        <v>4963</v>
      </c>
      <c r="F1997" s="0" t="s">
        <v>60</v>
      </c>
      <c r="G1997" s="0" t="s">
        <v>4964</v>
      </c>
      <c r="H1997" s="0" t="s">
        <v>5516</v>
      </c>
      <c r="I1997" s="0" t="s">
        <v>4966</v>
      </c>
      <c r="J1997" s="19" t="s">
        <v>26</v>
      </c>
    </row>
    <row r="1998" customFormat="false" ht="15" hidden="false" customHeight="false" outlineLevel="0" collapsed="false">
      <c r="A1998" s="0" t="s">
        <v>1737</v>
      </c>
      <c r="B1998" s="0" t="s">
        <v>134</v>
      </c>
      <c r="C1998" s="0" t="s">
        <v>3450</v>
      </c>
      <c r="D1998" s="0" t="s">
        <v>3457</v>
      </c>
      <c r="E1998" s="0" t="s">
        <v>4963</v>
      </c>
      <c r="F1998" s="0" t="s">
        <v>59</v>
      </c>
      <c r="G1998" s="0" t="s">
        <v>4974</v>
      </c>
      <c r="H1998" s="0" t="s">
        <v>69</v>
      </c>
      <c r="I1998" s="0" t="s">
        <v>4975</v>
      </c>
      <c r="J1998" s="20" t="s">
        <v>25</v>
      </c>
    </row>
    <row r="1999" customFormat="false" ht="15" hidden="false" customHeight="false" outlineLevel="0" collapsed="false">
      <c r="A1999" s="0" t="s">
        <v>1737</v>
      </c>
      <c r="B1999" s="0" t="s">
        <v>134</v>
      </c>
      <c r="C1999" s="0" t="s">
        <v>3450</v>
      </c>
      <c r="D1999" s="0" t="s">
        <v>3457</v>
      </c>
      <c r="E1999" s="0" t="s">
        <v>4969</v>
      </c>
      <c r="F1999" s="0" t="s">
        <v>61</v>
      </c>
      <c r="G1999" s="0" t="s">
        <v>4970</v>
      </c>
      <c r="H1999" s="0" t="s">
        <v>5645</v>
      </c>
      <c r="I1999" s="0" t="s">
        <v>4972</v>
      </c>
      <c r="J1999" s="20" t="s">
        <v>25</v>
      </c>
    </row>
    <row r="2000" customFormat="false" ht="15" hidden="false" customHeight="false" outlineLevel="0" collapsed="false">
      <c r="A2000" s="0" t="s">
        <v>1737</v>
      </c>
      <c r="B2000" s="0" t="s">
        <v>134</v>
      </c>
      <c r="C2000" s="0" t="s">
        <v>3450</v>
      </c>
      <c r="D2000" s="0" t="s">
        <v>3448</v>
      </c>
      <c r="E2000" s="0" t="s">
        <v>4963</v>
      </c>
      <c r="F2000" s="0" t="s">
        <v>59</v>
      </c>
      <c r="G2000" s="0" t="s">
        <v>4974</v>
      </c>
      <c r="H2000" s="0" t="s">
        <v>69</v>
      </c>
      <c r="I2000" s="0" t="s">
        <v>4975</v>
      </c>
      <c r="J2000" s="20" t="s">
        <v>25</v>
      </c>
    </row>
    <row r="2001" customFormat="false" ht="15" hidden="false" customHeight="false" outlineLevel="0" collapsed="false">
      <c r="A2001" s="0" t="s">
        <v>1737</v>
      </c>
      <c r="B2001" s="0" t="s">
        <v>134</v>
      </c>
      <c r="C2001" s="0" t="s">
        <v>3450</v>
      </c>
      <c r="D2001" s="0" t="s">
        <v>3448</v>
      </c>
      <c r="E2001" s="0" t="s">
        <v>4969</v>
      </c>
      <c r="F2001" s="0" t="s">
        <v>62</v>
      </c>
      <c r="G2001" s="0" t="s">
        <v>5003</v>
      </c>
      <c r="H2001" s="0" t="s">
        <v>5646</v>
      </c>
      <c r="I2001" s="0" t="s">
        <v>5005</v>
      </c>
      <c r="J2001" s="20" t="s">
        <v>25</v>
      </c>
    </row>
    <row r="2002" customFormat="false" ht="15" hidden="false" customHeight="false" outlineLevel="0" collapsed="false">
      <c r="A2002" s="0" t="s">
        <v>1737</v>
      </c>
      <c r="B2002" s="0" t="s">
        <v>134</v>
      </c>
      <c r="C2002" s="0" t="s">
        <v>3450</v>
      </c>
      <c r="D2002" s="0" t="s">
        <v>3448</v>
      </c>
      <c r="E2002" s="0" t="s">
        <v>4969</v>
      </c>
      <c r="F2002" s="0" t="s">
        <v>63</v>
      </c>
      <c r="G2002" s="0" t="s">
        <v>4220</v>
      </c>
      <c r="H2002" s="0" t="s">
        <v>5070</v>
      </c>
      <c r="I2002" s="0" t="s">
        <v>4979</v>
      </c>
      <c r="J2002" s="20" t="s">
        <v>25</v>
      </c>
    </row>
    <row r="2003" customFormat="false" ht="15" hidden="false" customHeight="false" outlineLevel="0" collapsed="false">
      <c r="A2003" s="0" t="s">
        <v>1737</v>
      </c>
      <c r="B2003" s="0" t="s">
        <v>134</v>
      </c>
      <c r="C2003" s="0" t="s">
        <v>3447</v>
      </c>
      <c r="D2003" s="0" t="s">
        <v>3457</v>
      </c>
      <c r="E2003" s="0" t="s">
        <v>4969</v>
      </c>
      <c r="F2003" s="0" t="s">
        <v>61</v>
      </c>
      <c r="G2003" s="0" t="s">
        <v>4970</v>
      </c>
      <c r="H2003" s="0" t="s">
        <v>5647</v>
      </c>
      <c r="I2003" s="0" t="s">
        <v>4972</v>
      </c>
      <c r="J2003" s="20" t="s">
        <v>25</v>
      </c>
    </row>
    <row r="2004" customFormat="false" ht="15" hidden="false" customHeight="false" outlineLevel="0" collapsed="false">
      <c r="A2004" s="0" t="s">
        <v>1737</v>
      </c>
      <c r="B2004" s="0" t="s">
        <v>134</v>
      </c>
      <c r="C2004" s="0" t="s">
        <v>3447</v>
      </c>
      <c r="D2004" s="0" t="s">
        <v>3448</v>
      </c>
      <c r="E2004" s="0" t="s">
        <v>4969</v>
      </c>
      <c r="F2004" s="0" t="s">
        <v>63</v>
      </c>
      <c r="G2004" s="0" t="s">
        <v>4220</v>
      </c>
      <c r="H2004" s="0" t="s">
        <v>5070</v>
      </c>
      <c r="I2004" s="0" t="s">
        <v>4979</v>
      </c>
      <c r="J2004" s="20" t="s">
        <v>25</v>
      </c>
    </row>
    <row r="2005" customFormat="false" ht="15" hidden="false" customHeight="false" outlineLevel="0" collapsed="false">
      <c r="A2005" s="0" t="s">
        <v>1737</v>
      </c>
      <c r="B2005" s="0" t="s">
        <v>134</v>
      </c>
      <c r="C2005" s="0" t="s">
        <v>3450</v>
      </c>
      <c r="D2005" s="0" t="s">
        <v>3457</v>
      </c>
      <c r="E2005" s="0" t="s">
        <v>4963</v>
      </c>
      <c r="F2005" s="0" t="s">
        <v>30</v>
      </c>
      <c r="G2005" s="0" t="s">
        <v>4980</v>
      </c>
      <c r="H2005" s="0" t="s">
        <v>4242</v>
      </c>
      <c r="I2005" s="0" t="s">
        <v>4981</v>
      </c>
      <c r="J2005" s="18" t="s">
        <v>24</v>
      </c>
    </row>
    <row r="2006" customFormat="false" ht="15" hidden="false" customHeight="false" outlineLevel="0" collapsed="false">
      <c r="A2006" s="0" t="s">
        <v>1737</v>
      </c>
      <c r="B2006" s="0" t="s">
        <v>134</v>
      </c>
      <c r="C2006" s="0" t="s">
        <v>3447</v>
      </c>
      <c r="D2006" s="0" t="s">
        <v>3457</v>
      </c>
      <c r="E2006" s="0" t="s">
        <v>4963</v>
      </c>
      <c r="F2006" s="0" t="s">
        <v>30</v>
      </c>
      <c r="G2006" s="0" t="s">
        <v>4980</v>
      </c>
      <c r="H2006" s="0" t="s">
        <v>4646</v>
      </c>
      <c r="I2006" s="0" t="s">
        <v>4981</v>
      </c>
      <c r="J2006" s="18" t="s">
        <v>24</v>
      </c>
    </row>
    <row r="2007" customFormat="false" ht="15" hidden="false" customHeight="false" outlineLevel="0" collapsed="false">
      <c r="A2007" s="0" t="s">
        <v>1737</v>
      </c>
      <c r="B2007" s="0" t="s">
        <v>134</v>
      </c>
      <c r="C2007" s="0" t="s">
        <v>3447</v>
      </c>
      <c r="D2007" s="0" t="s">
        <v>3448</v>
      </c>
      <c r="E2007" s="0" t="s">
        <v>4963</v>
      </c>
      <c r="F2007" s="0" t="s">
        <v>30</v>
      </c>
      <c r="G2007" s="0" t="s">
        <v>4980</v>
      </c>
      <c r="H2007" s="0" t="s">
        <v>4272</v>
      </c>
      <c r="I2007" s="0" t="s">
        <v>4981</v>
      </c>
      <c r="J2007" s="18" t="s">
        <v>24</v>
      </c>
    </row>
    <row r="2008" customFormat="false" ht="15" hidden="false" customHeight="false" outlineLevel="0" collapsed="false">
      <c r="A2008" s="0" t="s">
        <v>1744</v>
      </c>
      <c r="B2008" s="0" t="s">
        <v>134</v>
      </c>
      <c r="C2008" s="0" t="s">
        <v>3450</v>
      </c>
      <c r="D2008" s="0" t="s">
        <v>3457</v>
      </c>
      <c r="E2008" s="0" t="s">
        <v>4969</v>
      </c>
      <c r="F2008" s="0" t="s">
        <v>61</v>
      </c>
      <c r="G2008" s="0" t="s">
        <v>4970</v>
      </c>
      <c r="H2008" s="0" t="s">
        <v>5648</v>
      </c>
      <c r="I2008" s="0" t="s">
        <v>4972</v>
      </c>
      <c r="J2008" s="20" t="s">
        <v>25</v>
      </c>
    </row>
    <row r="2009" customFormat="false" ht="15" hidden="false" customHeight="false" outlineLevel="0" collapsed="false">
      <c r="A2009" s="0" t="s">
        <v>1744</v>
      </c>
      <c r="B2009" s="0" t="s">
        <v>134</v>
      </c>
      <c r="C2009" s="0" t="s">
        <v>3450</v>
      </c>
      <c r="D2009" s="0" t="s">
        <v>3448</v>
      </c>
      <c r="E2009" s="0" t="s">
        <v>4963</v>
      </c>
      <c r="F2009" s="0" t="s">
        <v>59</v>
      </c>
      <c r="G2009" s="0" t="s">
        <v>4974</v>
      </c>
      <c r="H2009" s="0" t="s">
        <v>69</v>
      </c>
      <c r="I2009" s="0" t="s">
        <v>4975</v>
      </c>
      <c r="J2009" s="20" t="s">
        <v>25</v>
      </c>
    </row>
    <row r="2010" customFormat="false" ht="15" hidden="false" customHeight="false" outlineLevel="0" collapsed="false">
      <c r="A2010" s="0" t="s">
        <v>1744</v>
      </c>
      <c r="B2010" s="0" t="s">
        <v>134</v>
      </c>
      <c r="C2010" s="0" t="s">
        <v>3450</v>
      </c>
      <c r="D2010" s="0" t="s">
        <v>3448</v>
      </c>
      <c r="E2010" s="0" t="s">
        <v>4963</v>
      </c>
      <c r="F2010" s="0" t="s">
        <v>30</v>
      </c>
      <c r="G2010" s="0" t="s">
        <v>4980</v>
      </c>
      <c r="H2010" s="0" t="s">
        <v>4242</v>
      </c>
      <c r="I2010" s="0" t="s">
        <v>4981</v>
      </c>
      <c r="J2010" s="18" t="s">
        <v>24</v>
      </c>
    </row>
    <row r="2011" customFormat="false" ht="15" hidden="false" customHeight="false" outlineLevel="0" collapsed="false">
      <c r="A2011" s="0" t="s">
        <v>1744</v>
      </c>
      <c r="B2011" s="0" t="s">
        <v>134</v>
      </c>
      <c r="C2011" s="0" t="s">
        <v>3447</v>
      </c>
      <c r="D2011" s="0" t="s">
        <v>3457</v>
      </c>
      <c r="E2011" s="0" t="s">
        <v>4963</v>
      </c>
      <c r="F2011" s="0" t="s">
        <v>30</v>
      </c>
      <c r="G2011" s="0" t="s">
        <v>4980</v>
      </c>
      <c r="H2011" s="0" t="s">
        <v>4647</v>
      </c>
      <c r="I2011" s="0" t="s">
        <v>4981</v>
      </c>
      <c r="J2011" s="18" t="s">
        <v>24</v>
      </c>
    </row>
    <row r="2012" customFormat="false" ht="15" hidden="false" customHeight="false" outlineLevel="0" collapsed="false">
      <c r="A2012" s="0" t="s">
        <v>1744</v>
      </c>
      <c r="B2012" s="0" t="s">
        <v>134</v>
      </c>
      <c r="C2012" s="0" t="s">
        <v>3447</v>
      </c>
      <c r="D2012" s="0" t="s">
        <v>3448</v>
      </c>
      <c r="E2012" s="0" t="s">
        <v>4963</v>
      </c>
      <c r="F2012" s="0" t="s">
        <v>30</v>
      </c>
      <c r="G2012" s="0" t="s">
        <v>4980</v>
      </c>
      <c r="H2012" s="0" t="s">
        <v>4648</v>
      </c>
      <c r="I2012" s="0" t="s">
        <v>4981</v>
      </c>
      <c r="J2012" s="18" t="s">
        <v>24</v>
      </c>
    </row>
    <row r="2013" customFormat="false" ht="15" hidden="false" customHeight="false" outlineLevel="0" collapsed="false">
      <c r="A2013" s="0" t="s">
        <v>1750</v>
      </c>
      <c r="B2013" s="0" t="s">
        <v>134</v>
      </c>
      <c r="C2013" s="0" t="s">
        <v>3447</v>
      </c>
      <c r="D2013" s="0" t="s">
        <v>3448</v>
      </c>
      <c r="E2013" s="0" t="s">
        <v>4963</v>
      </c>
      <c r="F2013" s="0" t="s">
        <v>60</v>
      </c>
      <c r="G2013" s="0" t="s">
        <v>4964</v>
      </c>
      <c r="H2013" s="0" t="s">
        <v>5649</v>
      </c>
      <c r="I2013" s="0" t="s">
        <v>4966</v>
      </c>
      <c r="J2013" s="19" t="s">
        <v>26</v>
      </c>
    </row>
    <row r="2014" customFormat="false" ht="15" hidden="false" customHeight="false" outlineLevel="0" collapsed="false">
      <c r="A2014" s="0" t="s">
        <v>1750</v>
      </c>
      <c r="B2014" s="0" t="s">
        <v>134</v>
      </c>
      <c r="C2014" s="0" t="s">
        <v>3450</v>
      </c>
      <c r="D2014" s="0" t="s">
        <v>3457</v>
      </c>
      <c r="E2014" s="0" t="s">
        <v>4963</v>
      </c>
      <c r="F2014" s="0" t="s">
        <v>59</v>
      </c>
      <c r="G2014" s="0" t="s">
        <v>4974</v>
      </c>
      <c r="H2014" s="0" t="s">
        <v>69</v>
      </c>
      <c r="I2014" s="0" t="s">
        <v>4975</v>
      </c>
      <c r="J2014" s="20" t="s">
        <v>25</v>
      </c>
    </row>
    <row r="2015" customFormat="false" ht="15" hidden="false" customHeight="false" outlineLevel="0" collapsed="false">
      <c r="A2015" s="0" t="s">
        <v>1750</v>
      </c>
      <c r="B2015" s="0" t="s">
        <v>134</v>
      </c>
      <c r="C2015" s="0" t="s">
        <v>3450</v>
      </c>
      <c r="D2015" s="0" t="s">
        <v>3457</v>
      </c>
      <c r="E2015" s="0" t="s">
        <v>4963</v>
      </c>
      <c r="F2015" s="0" t="s">
        <v>30</v>
      </c>
      <c r="G2015" s="0" t="s">
        <v>4980</v>
      </c>
      <c r="H2015" s="0" t="s">
        <v>4327</v>
      </c>
      <c r="I2015" s="0" t="s">
        <v>4981</v>
      </c>
      <c r="J2015" s="18" t="s">
        <v>24</v>
      </c>
    </row>
    <row r="2016" customFormat="false" ht="15" hidden="false" customHeight="false" outlineLevel="0" collapsed="false">
      <c r="A2016" s="0" t="s">
        <v>1750</v>
      </c>
      <c r="B2016" s="0" t="s">
        <v>134</v>
      </c>
      <c r="C2016" s="0" t="s">
        <v>3450</v>
      </c>
      <c r="D2016" s="0" t="s">
        <v>3448</v>
      </c>
      <c r="E2016" s="0" t="s">
        <v>4963</v>
      </c>
      <c r="F2016" s="0" t="s">
        <v>30</v>
      </c>
      <c r="G2016" s="0" t="s">
        <v>4980</v>
      </c>
      <c r="H2016" s="0" t="s">
        <v>4649</v>
      </c>
      <c r="I2016" s="0" t="s">
        <v>4981</v>
      </c>
      <c r="J2016" s="18" t="s">
        <v>24</v>
      </c>
    </row>
    <row r="2017" customFormat="false" ht="15" hidden="false" customHeight="false" outlineLevel="0" collapsed="false">
      <c r="A2017" s="0" t="s">
        <v>1750</v>
      </c>
      <c r="B2017" s="0" t="s">
        <v>134</v>
      </c>
      <c r="C2017" s="0" t="s">
        <v>3447</v>
      </c>
      <c r="D2017" s="0" t="s">
        <v>3457</v>
      </c>
      <c r="E2017" s="0" t="s">
        <v>4963</v>
      </c>
      <c r="F2017" s="0" t="s">
        <v>30</v>
      </c>
      <c r="G2017" s="0" t="s">
        <v>4980</v>
      </c>
      <c r="H2017" s="0" t="s">
        <v>4650</v>
      </c>
      <c r="I2017" s="0" t="s">
        <v>4981</v>
      </c>
      <c r="J2017" s="18" t="s">
        <v>24</v>
      </c>
    </row>
    <row r="2018" customFormat="false" ht="15" hidden="false" customHeight="false" outlineLevel="0" collapsed="false">
      <c r="A2018" s="0" t="s">
        <v>1761</v>
      </c>
      <c r="B2018" s="0" t="s">
        <v>134</v>
      </c>
      <c r="C2018" s="0" t="s">
        <v>3450</v>
      </c>
      <c r="D2018" s="0" t="s">
        <v>3457</v>
      </c>
      <c r="E2018" s="0" t="s">
        <v>4963</v>
      </c>
      <c r="F2018" s="0" t="s">
        <v>60</v>
      </c>
      <c r="G2018" s="0" t="s">
        <v>4964</v>
      </c>
      <c r="H2018" s="0" t="s">
        <v>5016</v>
      </c>
      <c r="I2018" s="0" t="s">
        <v>4966</v>
      </c>
      <c r="J2018" s="19" t="s">
        <v>26</v>
      </c>
    </row>
    <row r="2019" customFormat="false" ht="15" hidden="false" customHeight="false" outlineLevel="0" collapsed="false">
      <c r="A2019" s="0" t="s">
        <v>1761</v>
      </c>
      <c r="B2019" s="0" t="s">
        <v>134</v>
      </c>
      <c r="C2019" s="0" t="s">
        <v>3450</v>
      </c>
      <c r="D2019" s="0" t="s">
        <v>3448</v>
      </c>
      <c r="E2019" s="0" t="s">
        <v>4963</v>
      </c>
      <c r="F2019" s="0" t="s">
        <v>60</v>
      </c>
      <c r="G2019" s="0" t="s">
        <v>4964</v>
      </c>
      <c r="H2019" s="0" t="s">
        <v>5016</v>
      </c>
      <c r="I2019" s="0" t="s">
        <v>4966</v>
      </c>
      <c r="J2019" s="19" t="s">
        <v>26</v>
      </c>
    </row>
    <row r="2020" customFormat="false" ht="15" hidden="false" customHeight="false" outlineLevel="0" collapsed="false">
      <c r="A2020" s="0" t="s">
        <v>1761</v>
      </c>
      <c r="B2020" s="0" t="s">
        <v>3459</v>
      </c>
      <c r="C2020" s="0" t="s">
        <v>3450</v>
      </c>
      <c r="D2020" s="0" t="s">
        <v>3457</v>
      </c>
      <c r="E2020" s="0" t="s">
        <v>4963</v>
      </c>
      <c r="F2020" s="0" t="s">
        <v>60</v>
      </c>
      <c r="G2020" s="0" t="s">
        <v>4964</v>
      </c>
      <c r="H2020" s="0" t="s">
        <v>5359</v>
      </c>
      <c r="I2020" s="0" t="s">
        <v>4966</v>
      </c>
      <c r="J2020" s="19" t="s">
        <v>26</v>
      </c>
    </row>
    <row r="2021" customFormat="false" ht="15" hidden="false" customHeight="false" outlineLevel="0" collapsed="false">
      <c r="A2021" s="0" t="s">
        <v>1761</v>
      </c>
      <c r="B2021" s="0" t="s">
        <v>134</v>
      </c>
      <c r="C2021" s="0" t="s">
        <v>3450</v>
      </c>
      <c r="D2021" s="0" t="s">
        <v>3457</v>
      </c>
      <c r="E2021" s="0" t="s">
        <v>4963</v>
      </c>
      <c r="F2021" s="0" t="s">
        <v>59</v>
      </c>
      <c r="G2021" s="0" t="s">
        <v>4974</v>
      </c>
      <c r="H2021" s="0" t="s">
        <v>69</v>
      </c>
      <c r="I2021" s="0" t="s">
        <v>4975</v>
      </c>
      <c r="J2021" s="20" t="s">
        <v>25</v>
      </c>
    </row>
    <row r="2022" customFormat="false" ht="15" hidden="false" customHeight="false" outlineLevel="0" collapsed="false">
      <c r="A2022" s="0" t="s">
        <v>1761</v>
      </c>
      <c r="B2022" s="0" t="s">
        <v>134</v>
      </c>
      <c r="C2022" s="0" t="s">
        <v>3450</v>
      </c>
      <c r="D2022" s="0" t="s">
        <v>3457</v>
      </c>
      <c r="E2022" s="0" t="s">
        <v>4969</v>
      </c>
      <c r="F2022" s="0" t="s">
        <v>61</v>
      </c>
      <c r="G2022" s="0" t="s">
        <v>4970</v>
      </c>
      <c r="H2022" s="0" t="s">
        <v>5650</v>
      </c>
      <c r="I2022" s="0" t="s">
        <v>4972</v>
      </c>
      <c r="J2022" s="20" t="s">
        <v>25</v>
      </c>
    </row>
    <row r="2023" customFormat="false" ht="15" hidden="false" customHeight="false" outlineLevel="0" collapsed="false">
      <c r="A2023" s="0" t="s">
        <v>1761</v>
      </c>
      <c r="B2023" s="0" t="s">
        <v>134</v>
      </c>
      <c r="C2023" s="0" t="s">
        <v>3450</v>
      </c>
      <c r="D2023" s="0" t="s">
        <v>3448</v>
      </c>
      <c r="E2023" s="0" t="s">
        <v>4963</v>
      </c>
      <c r="F2023" s="0" t="s">
        <v>59</v>
      </c>
      <c r="G2023" s="0" t="s">
        <v>4974</v>
      </c>
      <c r="H2023" s="0" t="s">
        <v>69</v>
      </c>
      <c r="I2023" s="0" t="s">
        <v>4975</v>
      </c>
      <c r="J2023" s="20" t="s">
        <v>25</v>
      </c>
    </row>
    <row r="2024" customFormat="false" ht="15" hidden="false" customHeight="false" outlineLevel="0" collapsed="false">
      <c r="A2024" s="0" t="s">
        <v>1761</v>
      </c>
      <c r="B2024" s="0" t="s">
        <v>134</v>
      </c>
      <c r="C2024" s="0" t="s">
        <v>3450</v>
      </c>
      <c r="D2024" s="0" t="s">
        <v>3448</v>
      </c>
      <c r="E2024" s="0" t="s">
        <v>4969</v>
      </c>
      <c r="F2024" s="0" t="s">
        <v>61</v>
      </c>
      <c r="G2024" s="0" t="s">
        <v>4970</v>
      </c>
      <c r="H2024" s="0" t="s">
        <v>5651</v>
      </c>
      <c r="I2024" s="0" t="s">
        <v>4972</v>
      </c>
      <c r="J2024" s="20" t="s">
        <v>25</v>
      </c>
    </row>
    <row r="2025" customFormat="false" ht="15" hidden="false" customHeight="false" outlineLevel="0" collapsed="false">
      <c r="A2025" s="0" t="s">
        <v>1761</v>
      </c>
      <c r="B2025" s="0" t="s">
        <v>134</v>
      </c>
      <c r="C2025" s="0" t="s">
        <v>3450</v>
      </c>
      <c r="D2025" s="0" t="s">
        <v>3448</v>
      </c>
      <c r="E2025" s="0" t="s">
        <v>4969</v>
      </c>
      <c r="F2025" s="0" t="s">
        <v>63</v>
      </c>
      <c r="G2025" s="0" t="s">
        <v>4220</v>
      </c>
      <c r="H2025" s="0" t="s">
        <v>5652</v>
      </c>
      <c r="I2025" s="0" t="s">
        <v>4979</v>
      </c>
      <c r="J2025" s="20" t="s">
        <v>25</v>
      </c>
    </row>
    <row r="2026" customFormat="false" ht="15" hidden="false" customHeight="false" outlineLevel="0" collapsed="false">
      <c r="A2026" s="0" t="s">
        <v>1761</v>
      </c>
      <c r="B2026" s="0" t="s">
        <v>134</v>
      </c>
      <c r="C2026" s="0" t="s">
        <v>3447</v>
      </c>
      <c r="D2026" s="0" t="s">
        <v>3457</v>
      </c>
      <c r="E2026" s="0" t="s">
        <v>4969</v>
      </c>
      <c r="F2026" s="0" t="s">
        <v>61</v>
      </c>
      <c r="G2026" s="0" t="s">
        <v>4970</v>
      </c>
      <c r="H2026" s="0" t="s">
        <v>5653</v>
      </c>
      <c r="I2026" s="0" t="s">
        <v>4972</v>
      </c>
      <c r="J2026" s="20" t="s">
        <v>25</v>
      </c>
    </row>
    <row r="2027" customFormat="false" ht="15" hidden="false" customHeight="false" outlineLevel="0" collapsed="false">
      <c r="A2027" s="0" t="s">
        <v>1761</v>
      </c>
      <c r="B2027" s="0" t="s">
        <v>134</v>
      </c>
      <c r="C2027" s="0" t="s">
        <v>3447</v>
      </c>
      <c r="D2027" s="0" t="s">
        <v>3448</v>
      </c>
      <c r="E2027" s="0" t="s">
        <v>4969</v>
      </c>
      <c r="F2027" s="0" t="s">
        <v>61</v>
      </c>
      <c r="G2027" s="0" t="s">
        <v>4970</v>
      </c>
      <c r="H2027" s="0" t="s">
        <v>5654</v>
      </c>
      <c r="I2027" s="0" t="s">
        <v>4972</v>
      </c>
      <c r="J2027" s="20" t="s">
        <v>25</v>
      </c>
    </row>
    <row r="2028" customFormat="false" ht="15" hidden="false" customHeight="false" outlineLevel="0" collapsed="false">
      <c r="A2028" s="0" t="s">
        <v>1761</v>
      </c>
      <c r="B2028" s="0" t="s">
        <v>134</v>
      </c>
      <c r="C2028" s="0" t="s">
        <v>3447</v>
      </c>
      <c r="D2028" s="0" t="s">
        <v>3448</v>
      </c>
      <c r="E2028" s="0" t="s">
        <v>4969</v>
      </c>
      <c r="F2028" s="0" t="s">
        <v>63</v>
      </c>
      <c r="G2028" s="0" t="s">
        <v>4220</v>
      </c>
      <c r="H2028" s="0" t="s">
        <v>5652</v>
      </c>
      <c r="I2028" s="0" t="s">
        <v>4979</v>
      </c>
      <c r="J2028" s="20" t="s">
        <v>25</v>
      </c>
    </row>
    <row r="2029" customFormat="false" ht="15" hidden="false" customHeight="false" outlineLevel="0" collapsed="false">
      <c r="A2029" s="0" t="s">
        <v>1761</v>
      </c>
      <c r="B2029" s="0" t="s">
        <v>3459</v>
      </c>
      <c r="C2029" s="0" t="s">
        <v>3450</v>
      </c>
      <c r="D2029" s="0" t="s">
        <v>3457</v>
      </c>
      <c r="E2029" s="0" t="s">
        <v>4963</v>
      </c>
      <c r="F2029" s="0" t="s">
        <v>59</v>
      </c>
      <c r="G2029" s="0" t="s">
        <v>4974</v>
      </c>
      <c r="H2029" s="0" t="s">
        <v>69</v>
      </c>
      <c r="I2029" s="0" t="s">
        <v>4975</v>
      </c>
      <c r="J2029" s="20" t="s">
        <v>25</v>
      </c>
    </row>
    <row r="2030" customFormat="false" ht="15" hidden="false" customHeight="false" outlineLevel="0" collapsed="false">
      <c r="A2030" s="0" t="s">
        <v>1761</v>
      </c>
      <c r="B2030" s="0" t="s">
        <v>3459</v>
      </c>
      <c r="C2030" s="0" t="s">
        <v>3450</v>
      </c>
      <c r="D2030" s="0" t="s">
        <v>3448</v>
      </c>
      <c r="E2030" s="0" t="s">
        <v>4963</v>
      </c>
      <c r="F2030" s="0" t="s">
        <v>59</v>
      </c>
      <c r="G2030" s="0" t="s">
        <v>4974</v>
      </c>
      <c r="H2030" s="0" t="s">
        <v>69</v>
      </c>
      <c r="I2030" s="0" t="s">
        <v>4975</v>
      </c>
      <c r="J2030" s="20" t="s">
        <v>25</v>
      </c>
    </row>
    <row r="2031" customFormat="false" ht="15" hidden="false" customHeight="false" outlineLevel="0" collapsed="false">
      <c r="A2031" s="0" t="s">
        <v>1761</v>
      </c>
      <c r="B2031" s="0" t="s">
        <v>3459</v>
      </c>
      <c r="C2031" s="0" t="s">
        <v>3450</v>
      </c>
      <c r="D2031" s="0" t="s">
        <v>3448</v>
      </c>
      <c r="E2031" s="0" t="s">
        <v>4969</v>
      </c>
      <c r="F2031" s="0" t="s">
        <v>61</v>
      </c>
      <c r="G2031" s="0" t="s">
        <v>4970</v>
      </c>
      <c r="H2031" s="0" t="s">
        <v>5655</v>
      </c>
      <c r="I2031" s="0" t="s">
        <v>4972</v>
      </c>
      <c r="J2031" s="20" t="s">
        <v>25</v>
      </c>
    </row>
    <row r="2032" customFormat="false" ht="15" hidden="false" customHeight="false" outlineLevel="0" collapsed="false">
      <c r="A2032" s="0" t="s">
        <v>1761</v>
      </c>
      <c r="B2032" s="0" t="s">
        <v>3459</v>
      </c>
      <c r="C2032" s="0" t="s">
        <v>3447</v>
      </c>
      <c r="D2032" s="0" t="s">
        <v>3448</v>
      </c>
      <c r="E2032" s="0" t="s">
        <v>4969</v>
      </c>
      <c r="F2032" s="0" t="s">
        <v>61</v>
      </c>
      <c r="G2032" s="0" t="s">
        <v>4970</v>
      </c>
      <c r="H2032" s="0" t="s">
        <v>5656</v>
      </c>
      <c r="I2032" s="0" t="s">
        <v>4972</v>
      </c>
      <c r="J2032" s="20" t="s">
        <v>25</v>
      </c>
    </row>
    <row r="2033" customFormat="false" ht="15" hidden="false" customHeight="false" outlineLevel="0" collapsed="false">
      <c r="A2033" s="0" t="s">
        <v>1761</v>
      </c>
      <c r="B2033" s="0" t="s">
        <v>134</v>
      </c>
      <c r="C2033" s="0" t="s">
        <v>3447</v>
      </c>
      <c r="D2033" s="0" t="s">
        <v>3457</v>
      </c>
      <c r="E2033" s="0" t="s">
        <v>4963</v>
      </c>
      <c r="F2033" s="0" t="s">
        <v>30</v>
      </c>
      <c r="G2033" s="0" t="s">
        <v>4980</v>
      </c>
      <c r="H2033" s="0" t="s">
        <v>4652</v>
      </c>
      <c r="I2033" s="0" t="s">
        <v>4981</v>
      </c>
      <c r="J2033" s="18" t="s">
        <v>24</v>
      </c>
    </row>
    <row r="2034" customFormat="false" ht="15" hidden="false" customHeight="false" outlineLevel="0" collapsed="false">
      <c r="A2034" s="0" t="s">
        <v>1761</v>
      </c>
      <c r="B2034" s="0" t="s">
        <v>3459</v>
      </c>
      <c r="C2034" s="0" t="s">
        <v>3450</v>
      </c>
      <c r="D2034" s="0" t="s">
        <v>3448</v>
      </c>
      <c r="E2034" s="0" t="s">
        <v>4963</v>
      </c>
      <c r="F2034" s="0" t="s">
        <v>30</v>
      </c>
      <c r="G2034" s="0" t="s">
        <v>4980</v>
      </c>
      <c r="H2034" s="0" t="s">
        <v>4242</v>
      </c>
      <c r="I2034" s="0" t="s">
        <v>4981</v>
      </c>
      <c r="J2034" s="18" t="s">
        <v>24</v>
      </c>
    </row>
    <row r="2035" customFormat="false" ht="15" hidden="false" customHeight="false" outlineLevel="0" collapsed="false">
      <c r="A2035" s="0" t="s">
        <v>1761</v>
      </c>
      <c r="B2035" s="0" t="s">
        <v>3459</v>
      </c>
      <c r="C2035" s="0" t="s">
        <v>3447</v>
      </c>
      <c r="D2035" s="0" t="s">
        <v>3457</v>
      </c>
      <c r="E2035" s="0" t="s">
        <v>4963</v>
      </c>
      <c r="F2035" s="0" t="s">
        <v>30</v>
      </c>
      <c r="G2035" s="0" t="s">
        <v>4980</v>
      </c>
      <c r="H2035" s="0" t="s">
        <v>4574</v>
      </c>
      <c r="I2035" s="0" t="s">
        <v>4981</v>
      </c>
      <c r="J2035" s="18" t="s">
        <v>24</v>
      </c>
    </row>
    <row r="2036" customFormat="false" ht="15" hidden="false" customHeight="false" outlineLevel="0" collapsed="false">
      <c r="A2036" s="0" t="s">
        <v>1761</v>
      </c>
      <c r="B2036" s="0" t="s">
        <v>3459</v>
      </c>
      <c r="C2036" s="0" t="s">
        <v>3447</v>
      </c>
      <c r="D2036" s="0" t="s">
        <v>3448</v>
      </c>
      <c r="E2036" s="0" t="s">
        <v>4963</v>
      </c>
      <c r="F2036" s="0" t="s">
        <v>30</v>
      </c>
      <c r="G2036" s="0" t="s">
        <v>4980</v>
      </c>
      <c r="H2036" s="0" t="s">
        <v>4562</v>
      </c>
      <c r="I2036" s="0" t="s">
        <v>4981</v>
      </c>
      <c r="J2036" s="18" t="s">
        <v>24</v>
      </c>
    </row>
    <row r="2037" customFormat="false" ht="15" hidden="false" customHeight="false" outlineLevel="0" collapsed="false">
      <c r="A2037" s="0" t="s">
        <v>1775</v>
      </c>
      <c r="B2037" s="0" t="s">
        <v>134</v>
      </c>
      <c r="C2037" s="0" t="s">
        <v>3450</v>
      </c>
      <c r="D2037" s="0" t="s">
        <v>3457</v>
      </c>
      <c r="E2037" s="0" t="s">
        <v>4969</v>
      </c>
      <c r="F2037" s="0" t="s">
        <v>61</v>
      </c>
      <c r="G2037" s="0" t="s">
        <v>4970</v>
      </c>
      <c r="H2037" s="0" t="s">
        <v>5657</v>
      </c>
      <c r="I2037" s="0" t="s">
        <v>4972</v>
      </c>
      <c r="J2037" s="20" t="s">
        <v>25</v>
      </c>
    </row>
    <row r="2038" customFormat="false" ht="15" hidden="false" customHeight="false" outlineLevel="0" collapsed="false">
      <c r="A2038" s="0" t="s">
        <v>1775</v>
      </c>
      <c r="B2038" s="0" t="s">
        <v>134</v>
      </c>
      <c r="C2038" s="0" t="s">
        <v>3450</v>
      </c>
      <c r="D2038" s="0" t="s">
        <v>3457</v>
      </c>
      <c r="E2038" s="0" t="s">
        <v>4969</v>
      </c>
      <c r="F2038" s="0" t="s">
        <v>63</v>
      </c>
      <c r="G2038" s="0" t="s">
        <v>4220</v>
      </c>
      <c r="H2038" s="0" t="s">
        <v>5658</v>
      </c>
      <c r="I2038" s="0" t="s">
        <v>4979</v>
      </c>
      <c r="J2038" s="20" t="s">
        <v>25</v>
      </c>
    </row>
    <row r="2039" customFormat="false" ht="15" hidden="false" customHeight="false" outlineLevel="0" collapsed="false">
      <c r="A2039" s="0" t="s">
        <v>1775</v>
      </c>
      <c r="B2039" s="0" t="s">
        <v>134</v>
      </c>
      <c r="C2039" s="0" t="s">
        <v>3450</v>
      </c>
      <c r="D2039" s="0" t="s">
        <v>3448</v>
      </c>
      <c r="E2039" s="0" t="s">
        <v>4969</v>
      </c>
      <c r="F2039" s="0" t="s">
        <v>61</v>
      </c>
      <c r="G2039" s="0" t="s">
        <v>4970</v>
      </c>
      <c r="H2039" s="0" t="s">
        <v>5659</v>
      </c>
      <c r="I2039" s="0" t="s">
        <v>4972</v>
      </c>
      <c r="J2039" s="20" t="s">
        <v>25</v>
      </c>
    </row>
    <row r="2040" customFormat="false" ht="15" hidden="false" customHeight="false" outlineLevel="0" collapsed="false">
      <c r="A2040" s="0" t="s">
        <v>1775</v>
      </c>
      <c r="B2040" s="0" t="s">
        <v>134</v>
      </c>
      <c r="C2040" s="0" t="s">
        <v>3447</v>
      </c>
      <c r="D2040" s="0" t="s">
        <v>3457</v>
      </c>
      <c r="E2040" s="0" t="s">
        <v>4969</v>
      </c>
      <c r="F2040" s="0" t="s">
        <v>61</v>
      </c>
      <c r="G2040" s="0" t="s">
        <v>4970</v>
      </c>
      <c r="H2040" s="0" t="s">
        <v>5660</v>
      </c>
      <c r="I2040" s="0" t="s">
        <v>4972</v>
      </c>
      <c r="J2040" s="20" t="s">
        <v>25</v>
      </c>
    </row>
    <row r="2041" customFormat="false" ht="15" hidden="false" customHeight="false" outlineLevel="0" collapsed="false">
      <c r="A2041" s="0" t="s">
        <v>1775</v>
      </c>
      <c r="B2041" s="0" t="s">
        <v>134</v>
      </c>
      <c r="C2041" s="0" t="s">
        <v>3447</v>
      </c>
      <c r="D2041" s="0" t="s">
        <v>3457</v>
      </c>
      <c r="E2041" s="0" t="s">
        <v>4969</v>
      </c>
      <c r="F2041" s="0" t="s">
        <v>63</v>
      </c>
      <c r="G2041" s="0" t="s">
        <v>4220</v>
      </c>
      <c r="H2041" s="0" t="s">
        <v>5658</v>
      </c>
      <c r="I2041" s="0" t="s">
        <v>4979</v>
      </c>
      <c r="J2041" s="20" t="s">
        <v>25</v>
      </c>
    </row>
    <row r="2042" customFormat="false" ht="15" hidden="false" customHeight="false" outlineLevel="0" collapsed="false">
      <c r="A2042" s="0" t="s">
        <v>1775</v>
      </c>
      <c r="B2042" s="0" t="s">
        <v>134</v>
      </c>
      <c r="C2042" s="0" t="s">
        <v>3447</v>
      </c>
      <c r="D2042" s="0" t="s">
        <v>3448</v>
      </c>
      <c r="E2042" s="0" t="s">
        <v>4969</v>
      </c>
      <c r="F2042" s="0" t="s">
        <v>61</v>
      </c>
      <c r="G2042" s="0" t="s">
        <v>4970</v>
      </c>
      <c r="H2042" s="0" t="s">
        <v>5661</v>
      </c>
      <c r="I2042" s="0" t="s">
        <v>4972</v>
      </c>
      <c r="J2042" s="20" t="s">
        <v>25</v>
      </c>
    </row>
    <row r="2043" customFormat="false" ht="15" hidden="false" customHeight="false" outlineLevel="0" collapsed="false">
      <c r="A2043" s="0" t="s">
        <v>1775</v>
      </c>
      <c r="B2043" s="0" t="s">
        <v>134</v>
      </c>
      <c r="C2043" s="0" t="s">
        <v>3447</v>
      </c>
      <c r="D2043" s="0" t="s">
        <v>3448</v>
      </c>
      <c r="E2043" s="0" t="s">
        <v>4963</v>
      </c>
      <c r="F2043" s="0" t="s">
        <v>30</v>
      </c>
      <c r="G2043" s="0" t="s">
        <v>4980</v>
      </c>
      <c r="H2043" s="0" t="s">
        <v>4653</v>
      </c>
      <c r="I2043" s="0" t="s">
        <v>4981</v>
      </c>
      <c r="J2043" s="18" t="s">
        <v>24</v>
      </c>
    </row>
    <row r="2044" customFormat="false" ht="15" hidden="false" customHeight="false" outlineLevel="0" collapsed="false">
      <c r="A2044" s="0" t="s">
        <v>1781</v>
      </c>
      <c r="B2044" s="0" t="s">
        <v>134</v>
      </c>
      <c r="C2044" s="0" t="s">
        <v>3447</v>
      </c>
      <c r="D2044" s="0" t="s">
        <v>3457</v>
      </c>
      <c r="E2044" s="0" t="s">
        <v>4963</v>
      </c>
      <c r="F2044" s="0" t="s">
        <v>60</v>
      </c>
      <c r="G2044" s="0" t="s">
        <v>4964</v>
      </c>
      <c r="H2044" s="0" t="s">
        <v>5049</v>
      </c>
      <c r="I2044" s="0" t="s">
        <v>4966</v>
      </c>
      <c r="J2044" s="19" t="s">
        <v>26</v>
      </c>
    </row>
    <row r="2045" customFormat="false" ht="15" hidden="false" customHeight="false" outlineLevel="0" collapsed="false">
      <c r="A2045" s="0" t="s">
        <v>1781</v>
      </c>
      <c r="B2045" s="0" t="s">
        <v>134</v>
      </c>
      <c r="C2045" s="0" t="s">
        <v>3450</v>
      </c>
      <c r="D2045" s="0" t="s">
        <v>3457</v>
      </c>
      <c r="E2045" s="0" t="s">
        <v>4969</v>
      </c>
      <c r="F2045" s="0" t="s">
        <v>62</v>
      </c>
      <c r="G2045" s="0" t="s">
        <v>5003</v>
      </c>
      <c r="H2045" s="0" t="s">
        <v>5662</v>
      </c>
      <c r="I2045" s="0" t="s">
        <v>5005</v>
      </c>
      <c r="J2045" s="20" t="s">
        <v>25</v>
      </c>
    </row>
    <row r="2046" customFormat="false" ht="15" hidden="false" customHeight="false" outlineLevel="0" collapsed="false">
      <c r="A2046" s="0" t="s">
        <v>1781</v>
      </c>
      <c r="B2046" s="0" t="s">
        <v>134</v>
      </c>
      <c r="C2046" s="0" t="s">
        <v>3450</v>
      </c>
      <c r="D2046" s="0" t="s">
        <v>3457</v>
      </c>
      <c r="E2046" s="0" t="s">
        <v>4969</v>
      </c>
      <c r="F2046" s="0" t="s">
        <v>63</v>
      </c>
      <c r="G2046" s="0" t="s">
        <v>4220</v>
      </c>
      <c r="H2046" s="0" t="s">
        <v>5663</v>
      </c>
      <c r="I2046" s="0" t="s">
        <v>4979</v>
      </c>
      <c r="J2046" s="20" t="s">
        <v>25</v>
      </c>
    </row>
    <row r="2047" customFormat="false" ht="15" hidden="false" customHeight="false" outlineLevel="0" collapsed="false">
      <c r="A2047" s="0" t="s">
        <v>1781</v>
      </c>
      <c r="B2047" s="0" t="s">
        <v>134</v>
      </c>
      <c r="C2047" s="0" t="s">
        <v>3450</v>
      </c>
      <c r="D2047" s="0" t="s">
        <v>3448</v>
      </c>
      <c r="E2047" s="0" t="s">
        <v>4969</v>
      </c>
      <c r="F2047" s="0" t="s">
        <v>62</v>
      </c>
      <c r="G2047" s="0" t="s">
        <v>5003</v>
      </c>
      <c r="H2047" s="0" t="s">
        <v>5664</v>
      </c>
      <c r="I2047" s="0" t="s">
        <v>5005</v>
      </c>
      <c r="J2047" s="20" t="s">
        <v>25</v>
      </c>
    </row>
    <row r="2048" customFormat="false" ht="15" hidden="false" customHeight="false" outlineLevel="0" collapsed="false">
      <c r="A2048" s="0" t="s">
        <v>1781</v>
      </c>
      <c r="B2048" s="0" t="s">
        <v>134</v>
      </c>
      <c r="C2048" s="0" t="s">
        <v>3447</v>
      </c>
      <c r="D2048" s="0" t="s">
        <v>3457</v>
      </c>
      <c r="E2048" s="0" t="s">
        <v>4963</v>
      </c>
      <c r="F2048" s="0" t="s">
        <v>59</v>
      </c>
      <c r="G2048" s="0" t="s">
        <v>4974</v>
      </c>
      <c r="H2048" s="0" t="s">
        <v>69</v>
      </c>
      <c r="I2048" s="0" t="s">
        <v>4975</v>
      </c>
      <c r="J2048" s="20" t="s">
        <v>25</v>
      </c>
    </row>
    <row r="2049" customFormat="false" ht="15" hidden="false" customHeight="false" outlineLevel="0" collapsed="false">
      <c r="A2049" s="0" t="s">
        <v>1781</v>
      </c>
      <c r="B2049" s="0" t="s">
        <v>134</v>
      </c>
      <c r="C2049" s="0" t="s">
        <v>3447</v>
      </c>
      <c r="D2049" s="0" t="s">
        <v>3457</v>
      </c>
      <c r="E2049" s="0" t="s">
        <v>4969</v>
      </c>
      <c r="F2049" s="0" t="s">
        <v>63</v>
      </c>
      <c r="G2049" s="0" t="s">
        <v>4220</v>
      </c>
      <c r="H2049" s="0" t="s">
        <v>5663</v>
      </c>
      <c r="I2049" s="0" t="s">
        <v>4979</v>
      </c>
      <c r="J2049" s="20" t="s">
        <v>25</v>
      </c>
    </row>
    <row r="2050" customFormat="false" ht="15" hidden="false" customHeight="false" outlineLevel="0" collapsed="false">
      <c r="A2050" s="0" t="s">
        <v>1781</v>
      </c>
      <c r="B2050" s="0" t="s">
        <v>134</v>
      </c>
      <c r="C2050" s="0" t="s">
        <v>3447</v>
      </c>
      <c r="D2050" s="0" t="s">
        <v>3448</v>
      </c>
      <c r="E2050" s="0" t="s">
        <v>4963</v>
      </c>
      <c r="F2050" s="0" t="s">
        <v>30</v>
      </c>
      <c r="G2050" s="0" t="s">
        <v>4980</v>
      </c>
      <c r="H2050" s="0" t="s">
        <v>4654</v>
      </c>
      <c r="I2050" s="0" t="s">
        <v>4981</v>
      </c>
      <c r="J2050" s="18" t="s">
        <v>24</v>
      </c>
    </row>
    <row r="2051" customFormat="false" ht="15" hidden="false" customHeight="false" outlineLevel="0" collapsed="false">
      <c r="A2051" s="0" t="s">
        <v>1787</v>
      </c>
      <c r="B2051" s="0" t="s">
        <v>134</v>
      </c>
      <c r="C2051" s="0" t="s">
        <v>3450</v>
      </c>
      <c r="D2051" s="0" t="s">
        <v>3457</v>
      </c>
      <c r="E2051" s="0" t="s">
        <v>4963</v>
      </c>
      <c r="F2051" s="0" t="s">
        <v>59</v>
      </c>
      <c r="G2051" s="0" t="s">
        <v>4974</v>
      </c>
      <c r="H2051" s="0" t="s">
        <v>69</v>
      </c>
      <c r="I2051" s="0" t="s">
        <v>4975</v>
      </c>
      <c r="J2051" s="20" t="s">
        <v>25</v>
      </c>
    </row>
    <row r="2052" customFormat="false" ht="15" hidden="false" customHeight="false" outlineLevel="0" collapsed="false">
      <c r="A2052" s="0" t="s">
        <v>1787</v>
      </c>
      <c r="B2052" s="0" t="s">
        <v>134</v>
      </c>
      <c r="C2052" s="0" t="s">
        <v>3450</v>
      </c>
      <c r="D2052" s="0" t="s">
        <v>3448</v>
      </c>
      <c r="E2052" s="0" t="s">
        <v>4963</v>
      </c>
      <c r="F2052" s="0" t="s">
        <v>59</v>
      </c>
      <c r="G2052" s="0" t="s">
        <v>4974</v>
      </c>
      <c r="H2052" s="0" t="s">
        <v>69</v>
      </c>
      <c r="I2052" s="0" t="s">
        <v>4975</v>
      </c>
      <c r="J2052" s="20" t="s">
        <v>25</v>
      </c>
    </row>
    <row r="2053" customFormat="false" ht="15" hidden="false" customHeight="false" outlineLevel="0" collapsed="false">
      <c r="A2053" s="0" t="s">
        <v>1787</v>
      </c>
      <c r="B2053" s="0" t="s">
        <v>3459</v>
      </c>
      <c r="C2053" s="0" t="s">
        <v>3450</v>
      </c>
      <c r="D2053" s="0" t="s">
        <v>3457</v>
      </c>
      <c r="E2053" s="0" t="s">
        <v>4963</v>
      </c>
      <c r="F2053" s="0" t="s">
        <v>59</v>
      </c>
      <c r="G2053" s="0" t="s">
        <v>4974</v>
      </c>
      <c r="H2053" s="0" t="s">
        <v>69</v>
      </c>
      <c r="I2053" s="0" t="s">
        <v>4975</v>
      </c>
      <c r="J2053" s="20" t="s">
        <v>25</v>
      </c>
    </row>
    <row r="2054" customFormat="false" ht="15" hidden="false" customHeight="false" outlineLevel="0" collapsed="false">
      <c r="A2054" s="0" t="s">
        <v>1787</v>
      </c>
      <c r="B2054" s="0" t="s">
        <v>3459</v>
      </c>
      <c r="C2054" s="0" t="s">
        <v>3450</v>
      </c>
      <c r="D2054" s="0" t="s">
        <v>3448</v>
      </c>
      <c r="E2054" s="0" t="s">
        <v>4963</v>
      </c>
      <c r="F2054" s="0" t="s">
        <v>59</v>
      </c>
      <c r="G2054" s="0" t="s">
        <v>4974</v>
      </c>
      <c r="H2054" s="0" t="s">
        <v>69</v>
      </c>
      <c r="I2054" s="0" t="s">
        <v>4975</v>
      </c>
      <c r="J2054" s="20" t="s">
        <v>25</v>
      </c>
    </row>
    <row r="2055" customFormat="false" ht="15" hidden="false" customHeight="false" outlineLevel="0" collapsed="false">
      <c r="A2055" s="0" t="s">
        <v>1787</v>
      </c>
      <c r="B2055" s="0" t="s">
        <v>3459</v>
      </c>
      <c r="C2055" s="0" t="s">
        <v>3450</v>
      </c>
      <c r="D2055" s="0" t="s">
        <v>3448</v>
      </c>
      <c r="E2055" s="0" t="s">
        <v>4969</v>
      </c>
      <c r="F2055" s="0" t="s">
        <v>63</v>
      </c>
      <c r="G2055" s="0" t="s">
        <v>4220</v>
      </c>
      <c r="H2055" s="0" t="s">
        <v>5665</v>
      </c>
      <c r="I2055" s="0" t="s">
        <v>4979</v>
      </c>
      <c r="J2055" s="20" t="s">
        <v>25</v>
      </c>
    </row>
    <row r="2056" customFormat="false" ht="15" hidden="false" customHeight="false" outlineLevel="0" collapsed="false">
      <c r="A2056" s="0" t="s">
        <v>1787</v>
      </c>
      <c r="B2056" s="0" t="s">
        <v>3459</v>
      </c>
      <c r="C2056" s="0" t="s">
        <v>3447</v>
      </c>
      <c r="D2056" s="0" t="s">
        <v>3457</v>
      </c>
      <c r="E2056" s="0" t="s">
        <v>4963</v>
      </c>
      <c r="F2056" s="0" t="s">
        <v>59</v>
      </c>
      <c r="G2056" s="0" t="s">
        <v>4974</v>
      </c>
      <c r="H2056" s="0" t="s">
        <v>69</v>
      </c>
      <c r="I2056" s="0" t="s">
        <v>4975</v>
      </c>
      <c r="J2056" s="20" t="s">
        <v>25</v>
      </c>
    </row>
    <row r="2057" customFormat="false" ht="15" hidden="false" customHeight="false" outlineLevel="0" collapsed="false">
      <c r="A2057" s="0" t="s">
        <v>1787</v>
      </c>
      <c r="B2057" s="0" t="s">
        <v>3459</v>
      </c>
      <c r="C2057" s="0" t="s">
        <v>3447</v>
      </c>
      <c r="D2057" s="0" t="s">
        <v>3448</v>
      </c>
      <c r="E2057" s="0" t="s">
        <v>4963</v>
      </c>
      <c r="F2057" s="0" t="s">
        <v>59</v>
      </c>
      <c r="G2057" s="0" t="s">
        <v>4974</v>
      </c>
      <c r="H2057" s="0" t="s">
        <v>69</v>
      </c>
      <c r="I2057" s="0" t="s">
        <v>4975</v>
      </c>
      <c r="J2057" s="20" t="s">
        <v>25</v>
      </c>
    </row>
    <row r="2058" customFormat="false" ht="15" hidden="false" customHeight="false" outlineLevel="0" collapsed="false">
      <c r="A2058" s="0" t="s">
        <v>1787</v>
      </c>
      <c r="B2058" s="0" t="s">
        <v>3459</v>
      </c>
      <c r="C2058" s="0" t="s">
        <v>3447</v>
      </c>
      <c r="D2058" s="0" t="s">
        <v>3448</v>
      </c>
      <c r="E2058" s="0" t="s">
        <v>4969</v>
      </c>
      <c r="F2058" s="0" t="s">
        <v>63</v>
      </c>
      <c r="G2058" s="0" t="s">
        <v>4220</v>
      </c>
      <c r="H2058" s="0" t="s">
        <v>5665</v>
      </c>
      <c r="I2058" s="0" t="s">
        <v>4979</v>
      </c>
      <c r="J2058" s="20" t="s">
        <v>25</v>
      </c>
    </row>
    <row r="2059" customFormat="false" ht="15" hidden="false" customHeight="false" outlineLevel="0" collapsed="false">
      <c r="A2059" s="0" t="s">
        <v>1787</v>
      </c>
      <c r="B2059" s="0" t="s">
        <v>134</v>
      </c>
      <c r="C2059" s="0" t="s">
        <v>3450</v>
      </c>
      <c r="D2059" s="0" t="s">
        <v>3457</v>
      </c>
      <c r="E2059" s="0" t="s">
        <v>4963</v>
      </c>
      <c r="F2059" s="0" t="s">
        <v>30</v>
      </c>
      <c r="G2059" s="0" t="s">
        <v>4980</v>
      </c>
      <c r="H2059" s="0" t="s">
        <v>4275</v>
      </c>
      <c r="I2059" s="0" t="s">
        <v>4981</v>
      </c>
      <c r="J2059" s="18" t="s">
        <v>24</v>
      </c>
    </row>
    <row r="2060" customFormat="false" ht="15" hidden="false" customHeight="false" outlineLevel="0" collapsed="false">
      <c r="A2060" s="0" t="s">
        <v>1787</v>
      </c>
      <c r="B2060" s="0" t="s">
        <v>134</v>
      </c>
      <c r="C2060" s="0" t="s">
        <v>3450</v>
      </c>
      <c r="D2060" s="0" t="s">
        <v>3448</v>
      </c>
      <c r="E2060" s="0" t="s">
        <v>4963</v>
      </c>
      <c r="F2060" s="0" t="s">
        <v>30</v>
      </c>
      <c r="G2060" s="0" t="s">
        <v>4980</v>
      </c>
      <c r="H2060" s="0" t="s">
        <v>4275</v>
      </c>
      <c r="I2060" s="0" t="s">
        <v>4981</v>
      </c>
      <c r="J2060" s="18" t="s">
        <v>24</v>
      </c>
    </row>
    <row r="2061" customFormat="false" ht="15" hidden="false" customHeight="false" outlineLevel="0" collapsed="false">
      <c r="A2061" s="0" t="s">
        <v>1787</v>
      </c>
      <c r="B2061" s="0" t="s">
        <v>134</v>
      </c>
      <c r="C2061" s="0" t="s">
        <v>3447</v>
      </c>
      <c r="D2061" s="0" t="s">
        <v>3457</v>
      </c>
      <c r="E2061" s="0" t="s">
        <v>4963</v>
      </c>
      <c r="F2061" s="0" t="s">
        <v>30</v>
      </c>
      <c r="G2061" s="0" t="s">
        <v>4980</v>
      </c>
      <c r="H2061" s="0" t="s">
        <v>4655</v>
      </c>
      <c r="I2061" s="0" t="s">
        <v>4981</v>
      </c>
      <c r="J2061" s="18" t="s">
        <v>24</v>
      </c>
    </row>
    <row r="2062" customFormat="false" ht="15" hidden="false" customHeight="false" outlineLevel="0" collapsed="false">
      <c r="A2062" s="0" t="s">
        <v>1787</v>
      </c>
      <c r="B2062" s="0" t="s">
        <v>134</v>
      </c>
      <c r="C2062" s="0" t="s">
        <v>3447</v>
      </c>
      <c r="D2062" s="0" t="s">
        <v>3448</v>
      </c>
      <c r="E2062" s="0" t="s">
        <v>4963</v>
      </c>
      <c r="F2062" s="0" t="s">
        <v>30</v>
      </c>
      <c r="G2062" s="0" t="s">
        <v>4980</v>
      </c>
      <c r="H2062" s="0" t="s">
        <v>4297</v>
      </c>
      <c r="I2062" s="0" t="s">
        <v>4981</v>
      </c>
      <c r="J2062" s="18" t="s">
        <v>24</v>
      </c>
    </row>
    <row r="2063" customFormat="false" ht="15" hidden="false" customHeight="false" outlineLevel="0" collapsed="false">
      <c r="A2063" s="0" t="s">
        <v>1787</v>
      </c>
      <c r="B2063" s="0" t="s">
        <v>3459</v>
      </c>
      <c r="C2063" s="0" t="s">
        <v>3450</v>
      </c>
      <c r="D2063" s="0" t="s">
        <v>3457</v>
      </c>
      <c r="E2063" s="0" t="s">
        <v>4963</v>
      </c>
      <c r="F2063" s="0" t="s">
        <v>30</v>
      </c>
      <c r="G2063" s="0" t="s">
        <v>4980</v>
      </c>
      <c r="H2063" s="0" t="s">
        <v>4242</v>
      </c>
      <c r="I2063" s="0" t="s">
        <v>4981</v>
      </c>
      <c r="J2063" s="18" t="s">
        <v>24</v>
      </c>
    </row>
    <row r="2064" customFormat="false" ht="15" hidden="false" customHeight="false" outlineLevel="0" collapsed="false">
      <c r="A2064" s="0" t="s">
        <v>1787</v>
      </c>
      <c r="B2064" s="0" t="s">
        <v>3459</v>
      </c>
      <c r="C2064" s="0" t="s">
        <v>3450</v>
      </c>
      <c r="D2064" s="0" t="s">
        <v>3448</v>
      </c>
      <c r="E2064" s="0" t="s">
        <v>4963</v>
      </c>
      <c r="F2064" s="0" t="s">
        <v>30</v>
      </c>
      <c r="G2064" s="0" t="s">
        <v>4980</v>
      </c>
      <c r="H2064" s="0" t="s">
        <v>4242</v>
      </c>
      <c r="I2064" s="0" t="s">
        <v>4981</v>
      </c>
      <c r="J2064" s="18" t="s">
        <v>24</v>
      </c>
    </row>
    <row r="2065" customFormat="false" ht="15" hidden="false" customHeight="false" outlineLevel="0" collapsed="false">
      <c r="A2065" s="0" t="s">
        <v>1787</v>
      </c>
      <c r="B2065" s="0" t="s">
        <v>3459</v>
      </c>
      <c r="C2065" s="0" t="s">
        <v>3447</v>
      </c>
      <c r="D2065" s="0" t="s">
        <v>3457</v>
      </c>
      <c r="E2065" s="0" t="s">
        <v>4963</v>
      </c>
      <c r="F2065" s="0" t="s">
        <v>30</v>
      </c>
      <c r="G2065" s="0" t="s">
        <v>4980</v>
      </c>
      <c r="H2065" s="0" t="s">
        <v>4275</v>
      </c>
      <c r="I2065" s="0" t="s">
        <v>4981</v>
      </c>
      <c r="J2065" s="18" t="s">
        <v>24</v>
      </c>
    </row>
    <row r="2066" customFormat="false" ht="15" hidden="false" customHeight="false" outlineLevel="0" collapsed="false">
      <c r="A2066" s="0" t="s">
        <v>1787</v>
      </c>
      <c r="B2066" s="0" t="s">
        <v>3459</v>
      </c>
      <c r="C2066" s="0" t="s">
        <v>3447</v>
      </c>
      <c r="D2066" s="0" t="s">
        <v>3448</v>
      </c>
      <c r="E2066" s="0" t="s">
        <v>4963</v>
      </c>
      <c r="F2066" s="0" t="s">
        <v>30</v>
      </c>
      <c r="G2066" s="0" t="s">
        <v>4980</v>
      </c>
      <c r="H2066" s="0" t="s">
        <v>4275</v>
      </c>
      <c r="I2066" s="0" t="s">
        <v>4981</v>
      </c>
      <c r="J2066" s="18" t="s">
        <v>24</v>
      </c>
    </row>
    <row r="2067" customFormat="false" ht="15" hidden="false" customHeight="false" outlineLevel="0" collapsed="false">
      <c r="A2067" s="0" t="s">
        <v>1793</v>
      </c>
      <c r="B2067" s="0" t="s">
        <v>134</v>
      </c>
      <c r="C2067" s="0" t="s">
        <v>3447</v>
      </c>
      <c r="D2067" s="0" t="s">
        <v>3448</v>
      </c>
      <c r="E2067" s="0" t="s">
        <v>4963</v>
      </c>
      <c r="F2067" s="0" t="s">
        <v>60</v>
      </c>
      <c r="G2067" s="0" t="s">
        <v>4964</v>
      </c>
      <c r="H2067" s="0" t="s">
        <v>5666</v>
      </c>
      <c r="I2067" s="0" t="s">
        <v>4966</v>
      </c>
      <c r="J2067" s="19" t="s">
        <v>26</v>
      </c>
    </row>
    <row r="2068" customFormat="false" ht="15" hidden="false" customHeight="false" outlineLevel="0" collapsed="false">
      <c r="A2068" s="0" t="s">
        <v>1793</v>
      </c>
      <c r="B2068" s="0" t="s">
        <v>3459</v>
      </c>
      <c r="C2068" s="0" t="s">
        <v>3447</v>
      </c>
      <c r="D2068" s="0" t="s">
        <v>3457</v>
      </c>
      <c r="E2068" s="0" t="s">
        <v>4963</v>
      </c>
      <c r="F2068" s="0" t="s">
        <v>60</v>
      </c>
      <c r="G2068" s="0" t="s">
        <v>4964</v>
      </c>
      <c r="H2068" s="0" t="s">
        <v>5667</v>
      </c>
      <c r="I2068" s="0" t="s">
        <v>4966</v>
      </c>
      <c r="J2068" s="19" t="s">
        <v>26</v>
      </c>
    </row>
    <row r="2069" customFormat="false" ht="15" hidden="false" customHeight="false" outlineLevel="0" collapsed="false">
      <c r="A2069" s="0" t="s">
        <v>1793</v>
      </c>
      <c r="B2069" s="0" t="s">
        <v>3459</v>
      </c>
      <c r="C2069" s="0" t="s">
        <v>3447</v>
      </c>
      <c r="D2069" s="0" t="s">
        <v>3448</v>
      </c>
      <c r="E2069" s="0" t="s">
        <v>4963</v>
      </c>
      <c r="F2069" s="0" t="s">
        <v>60</v>
      </c>
      <c r="G2069" s="0" t="s">
        <v>4964</v>
      </c>
      <c r="H2069" s="0" t="s">
        <v>5668</v>
      </c>
      <c r="I2069" s="0" t="s">
        <v>4966</v>
      </c>
      <c r="J2069" s="19" t="s">
        <v>26</v>
      </c>
    </row>
    <row r="2070" customFormat="false" ht="15" hidden="false" customHeight="false" outlineLevel="0" collapsed="false">
      <c r="A2070" s="0" t="s">
        <v>1793</v>
      </c>
      <c r="B2070" s="0" t="s">
        <v>3459</v>
      </c>
      <c r="C2070" s="0" t="s">
        <v>3450</v>
      </c>
      <c r="D2070" s="0" t="s">
        <v>3457</v>
      </c>
      <c r="E2070" s="0" t="s">
        <v>4963</v>
      </c>
      <c r="F2070" s="0" t="s">
        <v>59</v>
      </c>
      <c r="G2070" s="0" t="s">
        <v>4974</v>
      </c>
      <c r="H2070" s="0" t="s">
        <v>69</v>
      </c>
      <c r="I2070" s="0" t="s">
        <v>4975</v>
      </c>
      <c r="J2070" s="20" t="s">
        <v>25</v>
      </c>
    </row>
    <row r="2071" customFormat="false" ht="15" hidden="false" customHeight="false" outlineLevel="0" collapsed="false">
      <c r="A2071" s="0" t="s">
        <v>1793</v>
      </c>
      <c r="B2071" s="0" t="s">
        <v>3459</v>
      </c>
      <c r="C2071" s="0" t="s">
        <v>3450</v>
      </c>
      <c r="D2071" s="0" t="s">
        <v>3457</v>
      </c>
      <c r="E2071" s="0" t="s">
        <v>4969</v>
      </c>
      <c r="F2071" s="0" t="s">
        <v>62</v>
      </c>
      <c r="G2071" s="0" t="s">
        <v>5003</v>
      </c>
      <c r="H2071" s="0" t="s">
        <v>5669</v>
      </c>
      <c r="I2071" s="0" t="s">
        <v>5005</v>
      </c>
      <c r="J2071" s="20" t="s">
        <v>25</v>
      </c>
    </row>
    <row r="2072" customFormat="false" ht="15" hidden="false" customHeight="false" outlineLevel="0" collapsed="false">
      <c r="A2072" s="0" t="s">
        <v>1793</v>
      </c>
      <c r="B2072" s="0" t="s">
        <v>3459</v>
      </c>
      <c r="C2072" s="0" t="s">
        <v>3450</v>
      </c>
      <c r="D2072" s="0" t="s">
        <v>3448</v>
      </c>
      <c r="E2072" s="0" t="s">
        <v>4969</v>
      </c>
      <c r="F2072" s="0" t="s">
        <v>61</v>
      </c>
      <c r="G2072" s="0" t="s">
        <v>4970</v>
      </c>
      <c r="H2072" s="0" t="s">
        <v>5670</v>
      </c>
      <c r="I2072" s="0" t="s">
        <v>4972</v>
      </c>
      <c r="J2072" s="20" t="s">
        <v>25</v>
      </c>
    </row>
    <row r="2073" customFormat="false" ht="15" hidden="false" customHeight="false" outlineLevel="0" collapsed="false">
      <c r="A2073" s="0" t="s">
        <v>1793</v>
      </c>
      <c r="B2073" s="0" t="s">
        <v>3459</v>
      </c>
      <c r="C2073" s="0" t="s">
        <v>3450</v>
      </c>
      <c r="D2073" s="0" t="s">
        <v>3448</v>
      </c>
      <c r="E2073" s="0" t="s">
        <v>4969</v>
      </c>
      <c r="F2073" s="0" t="s">
        <v>62</v>
      </c>
      <c r="G2073" s="0" t="s">
        <v>5003</v>
      </c>
      <c r="H2073" s="0" t="s">
        <v>5671</v>
      </c>
      <c r="I2073" s="0" t="s">
        <v>5005</v>
      </c>
      <c r="J2073" s="20" t="s">
        <v>25</v>
      </c>
    </row>
    <row r="2074" customFormat="false" ht="15" hidden="false" customHeight="false" outlineLevel="0" collapsed="false">
      <c r="A2074" s="0" t="s">
        <v>1793</v>
      </c>
      <c r="B2074" s="0" t="s">
        <v>3459</v>
      </c>
      <c r="C2074" s="0" t="s">
        <v>3450</v>
      </c>
      <c r="D2074" s="0" t="s">
        <v>3448</v>
      </c>
      <c r="E2074" s="0" t="s">
        <v>4969</v>
      </c>
      <c r="F2074" s="0" t="s">
        <v>64</v>
      </c>
      <c r="G2074" s="0" t="s">
        <v>4220</v>
      </c>
      <c r="H2074" s="0" t="s">
        <v>5672</v>
      </c>
      <c r="I2074" s="0" t="s">
        <v>4991</v>
      </c>
      <c r="J2074" s="20" t="s">
        <v>25</v>
      </c>
    </row>
    <row r="2075" customFormat="false" ht="15" hidden="false" customHeight="false" outlineLevel="0" collapsed="false">
      <c r="A2075" s="0" t="s">
        <v>1793</v>
      </c>
      <c r="B2075" s="0" t="s">
        <v>3459</v>
      </c>
      <c r="C2075" s="0" t="s">
        <v>3447</v>
      </c>
      <c r="D2075" s="0" t="s">
        <v>3457</v>
      </c>
      <c r="E2075" s="0" t="s">
        <v>4963</v>
      </c>
      <c r="F2075" s="0" t="s">
        <v>59</v>
      </c>
      <c r="G2075" s="0" t="s">
        <v>4974</v>
      </c>
      <c r="H2075" s="0" t="s">
        <v>69</v>
      </c>
      <c r="I2075" s="0" t="s">
        <v>4975</v>
      </c>
      <c r="J2075" s="20" t="s">
        <v>25</v>
      </c>
    </row>
    <row r="2076" customFormat="false" ht="15" hidden="false" customHeight="false" outlineLevel="0" collapsed="false">
      <c r="A2076" s="0" t="s">
        <v>1793</v>
      </c>
      <c r="B2076" s="0" t="s">
        <v>3459</v>
      </c>
      <c r="C2076" s="0" t="s">
        <v>3447</v>
      </c>
      <c r="D2076" s="0" t="s">
        <v>3448</v>
      </c>
      <c r="E2076" s="0" t="s">
        <v>4969</v>
      </c>
      <c r="F2076" s="0" t="s">
        <v>64</v>
      </c>
      <c r="G2076" s="0" t="s">
        <v>4220</v>
      </c>
      <c r="H2076" s="0" t="s">
        <v>5672</v>
      </c>
      <c r="I2076" s="0" t="s">
        <v>4991</v>
      </c>
      <c r="J2076" s="20" t="s">
        <v>25</v>
      </c>
    </row>
    <row r="2077" customFormat="false" ht="15" hidden="false" customHeight="false" outlineLevel="0" collapsed="false">
      <c r="A2077" s="0" t="s">
        <v>1793</v>
      </c>
      <c r="B2077" s="0" t="s">
        <v>3459</v>
      </c>
      <c r="C2077" s="0" t="s">
        <v>3450</v>
      </c>
      <c r="D2077" s="0" t="s">
        <v>3457</v>
      </c>
      <c r="E2077" s="0" t="s">
        <v>4963</v>
      </c>
      <c r="F2077" s="0" t="s">
        <v>30</v>
      </c>
      <c r="G2077" s="0" t="s">
        <v>4980</v>
      </c>
      <c r="H2077" s="0" t="s">
        <v>4275</v>
      </c>
      <c r="I2077" s="0" t="s">
        <v>4981</v>
      </c>
      <c r="J2077" s="18" t="s">
        <v>24</v>
      </c>
    </row>
    <row r="2078" customFormat="false" ht="15" hidden="false" customHeight="false" outlineLevel="0" collapsed="false">
      <c r="A2078" s="0" t="s">
        <v>1799</v>
      </c>
      <c r="B2078" s="0" t="s">
        <v>134</v>
      </c>
      <c r="C2078" s="0" t="s">
        <v>3447</v>
      </c>
      <c r="D2078" s="0" t="s">
        <v>3457</v>
      </c>
      <c r="E2078" s="0" t="s">
        <v>4963</v>
      </c>
      <c r="F2078" s="0" t="s">
        <v>60</v>
      </c>
      <c r="G2078" s="0" t="s">
        <v>4964</v>
      </c>
      <c r="H2078" s="0" t="s">
        <v>5673</v>
      </c>
      <c r="I2078" s="0" t="s">
        <v>4966</v>
      </c>
      <c r="J2078" s="19" t="s">
        <v>26</v>
      </c>
    </row>
    <row r="2079" customFormat="false" ht="15" hidden="false" customHeight="false" outlineLevel="0" collapsed="false">
      <c r="A2079" s="0" t="s">
        <v>1799</v>
      </c>
      <c r="B2079" s="0" t="s">
        <v>134</v>
      </c>
      <c r="C2079" s="0" t="s">
        <v>3447</v>
      </c>
      <c r="D2079" s="0" t="s">
        <v>3448</v>
      </c>
      <c r="E2079" s="0" t="s">
        <v>4963</v>
      </c>
      <c r="F2079" s="0" t="s">
        <v>60</v>
      </c>
      <c r="G2079" s="0" t="s">
        <v>4964</v>
      </c>
      <c r="H2079" s="0" t="s">
        <v>5674</v>
      </c>
      <c r="I2079" s="0" t="s">
        <v>4966</v>
      </c>
      <c r="J2079" s="19" t="s">
        <v>26</v>
      </c>
    </row>
    <row r="2080" customFormat="false" ht="15" hidden="false" customHeight="false" outlineLevel="0" collapsed="false">
      <c r="A2080" s="0" t="s">
        <v>1799</v>
      </c>
      <c r="B2080" s="0" t="s">
        <v>134</v>
      </c>
      <c r="C2080" s="0" t="s">
        <v>3450</v>
      </c>
      <c r="D2080" s="0" t="s">
        <v>3457</v>
      </c>
      <c r="E2080" s="0" t="s">
        <v>4963</v>
      </c>
      <c r="F2080" s="0" t="s">
        <v>59</v>
      </c>
      <c r="G2080" s="0" t="s">
        <v>4974</v>
      </c>
      <c r="H2080" s="0" t="s">
        <v>69</v>
      </c>
      <c r="I2080" s="0" t="s">
        <v>4975</v>
      </c>
      <c r="J2080" s="20" t="s">
        <v>25</v>
      </c>
    </row>
    <row r="2081" customFormat="false" ht="15" hidden="false" customHeight="false" outlineLevel="0" collapsed="false">
      <c r="A2081" s="0" t="s">
        <v>1799</v>
      </c>
      <c r="B2081" s="0" t="s">
        <v>134</v>
      </c>
      <c r="C2081" s="0" t="s">
        <v>3450</v>
      </c>
      <c r="D2081" s="0" t="s">
        <v>3448</v>
      </c>
      <c r="E2081" s="0" t="s">
        <v>4963</v>
      </c>
      <c r="F2081" s="0" t="s">
        <v>59</v>
      </c>
      <c r="G2081" s="0" t="s">
        <v>4974</v>
      </c>
      <c r="H2081" s="0" t="s">
        <v>69</v>
      </c>
      <c r="I2081" s="0" t="s">
        <v>4975</v>
      </c>
      <c r="J2081" s="20" t="s">
        <v>25</v>
      </c>
    </row>
    <row r="2082" customFormat="false" ht="15" hidden="false" customHeight="false" outlineLevel="0" collapsed="false">
      <c r="A2082" s="0" t="s">
        <v>1799</v>
      </c>
      <c r="B2082" s="0" t="s">
        <v>134</v>
      </c>
      <c r="C2082" s="0" t="s">
        <v>3450</v>
      </c>
      <c r="D2082" s="0" t="s">
        <v>3448</v>
      </c>
      <c r="E2082" s="0" t="s">
        <v>4969</v>
      </c>
      <c r="F2082" s="0" t="s">
        <v>64</v>
      </c>
      <c r="G2082" s="0" t="s">
        <v>4220</v>
      </c>
      <c r="H2082" s="0" t="s">
        <v>5675</v>
      </c>
      <c r="I2082" s="0" t="s">
        <v>4991</v>
      </c>
      <c r="J2082" s="20" t="s">
        <v>25</v>
      </c>
    </row>
    <row r="2083" customFormat="false" ht="15" hidden="false" customHeight="false" outlineLevel="0" collapsed="false">
      <c r="A2083" s="0" t="s">
        <v>1799</v>
      </c>
      <c r="B2083" s="0" t="s">
        <v>134</v>
      </c>
      <c r="C2083" s="0" t="s">
        <v>3447</v>
      </c>
      <c r="D2083" s="0" t="s">
        <v>3448</v>
      </c>
      <c r="E2083" s="0" t="s">
        <v>4969</v>
      </c>
      <c r="F2083" s="0" t="s">
        <v>64</v>
      </c>
      <c r="G2083" s="0" t="s">
        <v>4220</v>
      </c>
      <c r="H2083" s="0" t="s">
        <v>5675</v>
      </c>
      <c r="I2083" s="0" t="s">
        <v>4991</v>
      </c>
      <c r="J2083" s="20" t="s">
        <v>25</v>
      </c>
    </row>
    <row r="2084" customFormat="false" ht="15" hidden="false" customHeight="false" outlineLevel="0" collapsed="false">
      <c r="A2084" s="0" t="s">
        <v>1799</v>
      </c>
      <c r="B2084" s="0" t="s">
        <v>134</v>
      </c>
      <c r="C2084" s="0" t="s">
        <v>3450</v>
      </c>
      <c r="D2084" s="0" t="s">
        <v>3457</v>
      </c>
      <c r="E2084" s="0" t="s">
        <v>4963</v>
      </c>
      <c r="F2084" s="0" t="s">
        <v>30</v>
      </c>
      <c r="G2084" s="0" t="s">
        <v>4980</v>
      </c>
      <c r="H2084" s="0" t="s">
        <v>4291</v>
      </c>
      <c r="I2084" s="0" t="s">
        <v>4981</v>
      </c>
      <c r="J2084" s="18" t="s">
        <v>24</v>
      </c>
    </row>
    <row r="2085" customFormat="false" ht="15" hidden="false" customHeight="false" outlineLevel="0" collapsed="false">
      <c r="A2085" s="0" t="s">
        <v>1799</v>
      </c>
      <c r="B2085" s="0" t="s">
        <v>134</v>
      </c>
      <c r="C2085" s="0" t="s">
        <v>3450</v>
      </c>
      <c r="D2085" s="0" t="s">
        <v>3448</v>
      </c>
      <c r="E2085" s="0" t="s">
        <v>4963</v>
      </c>
      <c r="F2085" s="0" t="s">
        <v>30</v>
      </c>
      <c r="G2085" s="0" t="s">
        <v>4980</v>
      </c>
      <c r="H2085" s="0" t="s">
        <v>4659</v>
      </c>
      <c r="I2085" s="0" t="s">
        <v>4981</v>
      </c>
      <c r="J2085" s="18" t="s">
        <v>24</v>
      </c>
    </row>
    <row r="2086" customFormat="false" ht="15" hidden="false" customHeight="false" outlineLevel="0" collapsed="false">
      <c r="A2086" s="0" t="s">
        <v>1806</v>
      </c>
      <c r="B2086" s="0" t="s">
        <v>134</v>
      </c>
      <c r="C2086" s="0" t="s">
        <v>3450</v>
      </c>
      <c r="D2086" s="0" t="s">
        <v>3457</v>
      </c>
      <c r="E2086" s="0" t="s">
        <v>4963</v>
      </c>
      <c r="F2086" s="0" t="s">
        <v>59</v>
      </c>
      <c r="G2086" s="0" t="s">
        <v>4974</v>
      </c>
      <c r="H2086" s="0" t="s">
        <v>69</v>
      </c>
      <c r="I2086" s="0" t="s">
        <v>4975</v>
      </c>
      <c r="J2086" s="20" t="s">
        <v>25</v>
      </c>
    </row>
    <row r="2087" customFormat="false" ht="15" hidden="false" customHeight="false" outlineLevel="0" collapsed="false">
      <c r="A2087" s="0" t="s">
        <v>1806</v>
      </c>
      <c r="B2087" s="0" t="s">
        <v>134</v>
      </c>
      <c r="C2087" s="0" t="s">
        <v>3450</v>
      </c>
      <c r="D2087" s="0" t="s">
        <v>3457</v>
      </c>
      <c r="E2087" s="0" t="s">
        <v>4969</v>
      </c>
      <c r="F2087" s="0" t="s">
        <v>62</v>
      </c>
      <c r="G2087" s="0" t="s">
        <v>5003</v>
      </c>
      <c r="H2087" s="0" t="s">
        <v>5676</v>
      </c>
      <c r="I2087" s="0" t="s">
        <v>5005</v>
      </c>
      <c r="J2087" s="20" t="s">
        <v>25</v>
      </c>
    </row>
    <row r="2088" customFormat="false" ht="15" hidden="false" customHeight="false" outlineLevel="0" collapsed="false">
      <c r="A2088" s="0" t="s">
        <v>1806</v>
      </c>
      <c r="B2088" s="0" t="s">
        <v>134</v>
      </c>
      <c r="C2088" s="0" t="s">
        <v>3450</v>
      </c>
      <c r="D2088" s="0" t="s">
        <v>3457</v>
      </c>
      <c r="E2088" s="0" t="s">
        <v>4969</v>
      </c>
      <c r="F2088" s="0" t="s">
        <v>63</v>
      </c>
      <c r="G2088" s="0" t="s">
        <v>4220</v>
      </c>
      <c r="H2088" s="0" t="s">
        <v>5677</v>
      </c>
      <c r="I2088" s="0" t="s">
        <v>4979</v>
      </c>
      <c r="J2088" s="20" t="s">
        <v>25</v>
      </c>
    </row>
    <row r="2089" customFormat="false" ht="15" hidden="false" customHeight="false" outlineLevel="0" collapsed="false">
      <c r="A2089" s="0" t="s">
        <v>1806</v>
      </c>
      <c r="B2089" s="0" t="s">
        <v>134</v>
      </c>
      <c r="C2089" s="0" t="s">
        <v>3450</v>
      </c>
      <c r="D2089" s="0" t="s">
        <v>3448</v>
      </c>
      <c r="E2089" s="0" t="s">
        <v>4963</v>
      </c>
      <c r="F2089" s="0" t="s">
        <v>59</v>
      </c>
      <c r="G2089" s="0" t="s">
        <v>4974</v>
      </c>
      <c r="H2089" s="0" t="s">
        <v>69</v>
      </c>
      <c r="I2089" s="0" t="s">
        <v>4975</v>
      </c>
      <c r="J2089" s="20" t="s">
        <v>25</v>
      </c>
    </row>
    <row r="2090" customFormat="false" ht="15" hidden="false" customHeight="false" outlineLevel="0" collapsed="false">
      <c r="A2090" s="0" t="s">
        <v>1806</v>
      </c>
      <c r="B2090" s="0" t="s">
        <v>134</v>
      </c>
      <c r="C2090" s="0" t="s">
        <v>3450</v>
      </c>
      <c r="D2090" s="0" t="s">
        <v>3448</v>
      </c>
      <c r="E2090" s="0" t="s">
        <v>4969</v>
      </c>
      <c r="F2090" s="0" t="s">
        <v>61</v>
      </c>
      <c r="G2090" s="0" t="s">
        <v>4970</v>
      </c>
      <c r="H2090" s="0" t="s">
        <v>5678</v>
      </c>
      <c r="I2090" s="0" t="s">
        <v>4972</v>
      </c>
      <c r="J2090" s="20" t="s">
        <v>25</v>
      </c>
    </row>
    <row r="2091" customFormat="false" ht="15" hidden="false" customHeight="false" outlineLevel="0" collapsed="false">
      <c r="A2091" s="0" t="s">
        <v>1806</v>
      </c>
      <c r="B2091" s="0" t="s">
        <v>134</v>
      </c>
      <c r="C2091" s="0" t="s">
        <v>3447</v>
      </c>
      <c r="D2091" s="0" t="s">
        <v>3457</v>
      </c>
      <c r="E2091" s="0" t="s">
        <v>4963</v>
      </c>
      <c r="F2091" s="0" t="s">
        <v>59</v>
      </c>
      <c r="G2091" s="0" t="s">
        <v>4974</v>
      </c>
      <c r="H2091" s="0" t="s">
        <v>69</v>
      </c>
      <c r="I2091" s="0" t="s">
        <v>4975</v>
      </c>
      <c r="J2091" s="20" t="s">
        <v>25</v>
      </c>
    </row>
    <row r="2092" customFormat="false" ht="15" hidden="false" customHeight="false" outlineLevel="0" collapsed="false">
      <c r="A2092" s="0" t="s">
        <v>1806</v>
      </c>
      <c r="B2092" s="0" t="s">
        <v>134</v>
      </c>
      <c r="C2092" s="0" t="s">
        <v>3447</v>
      </c>
      <c r="D2092" s="0" t="s">
        <v>3457</v>
      </c>
      <c r="E2092" s="0" t="s">
        <v>4969</v>
      </c>
      <c r="F2092" s="0" t="s">
        <v>63</v>
      </c>
      <c r="G2092" s="0" t="s">
        <v>4220</v>
      </c>
      <c r="H2092" s="0" t="s">
        <v>5677</v>
      </c>
      <c r="I2092" s="0" t="s">
        <v>4979</v>
      </c>
      <c r="J2092" s="20" t="s">
        <v>25</v>
      </c>
    </row>
    <row r="2093" customFormat="false" ht="15" hidden="false" customHeight="false" outlineLevel="0" collapsed="false">
      <c r="A2093" s="0" t="s">
        <v>1806</v>
      </c>
      <c r="B2093" s="0" t="s">
        <v>134</v>
      </c>
      <c r="C2093" s="0" t="s">
        <v>3447</v>
      </c>
      <c r="D2093" s="0" t="s">
        <v>3448</v>
      </c>
      <c r="E2093" s="0" t="s">
        <v>4963</v>
      </c>
      <c r="F2093" s="0" t="s">
        <v>59</v>
      </c>
      <c r="G2093" s="0" t="s">
        <v>4974</v>
      </c>
      <c r="H2093" s="0" t="s">
        <v>69</v>
      </c>
      <c r="I2093" s="0" t="s">
        <v>4975</v>
      </c>
      <c r="J2093" s="20" t="s">
        <v>25</v>
      </c>
    </row>
    <row r="2094" customFormat="false" ht="15" hidden="false" customHeight="false" outlineLevel="0" collapsed="false">
      <c r="A2094" s="0" t="s">
        <v>1806</v>
      </c>
      <c r="B2094" s="0" t="s">
        <v>134</v>
      </c>
      <c r="C2094" s="0" t="s">
        <v>3450</v>
      </c>
      <c r="D2094" s="0" t="s">
        <v>3457</v>
      </c>
      <c r="E2094" s="0" t="s">
        <v>4963</v>
      </c>
      <c r="F2094" s="0" t="s">
        <v>30</v>
      </c>
      <c r="G2094" s="0" t="s">
        <v>4980</v>
      </c>
      <c r="H2094" s="0" t="s">
        <v>4662</v>
      </c>
      <c r="I2094" s="0" t="s">
        <v>4981</v>
      </c>
      <c r="J2094" s="18" t="s">
        <v>24</v>
      </c>
    </row>
    <row r="2095" customFormat="false" ht="15" hidden="false" customHeight="false" outlineLevel="0" collapsed="false">
      <c r="A2095" s="0" t="s">
        <v>1806</v>
      </c>
      <c r="B2095" s="0" t="s">
        <v>134</v>
      </c>
      <c r="C2095" s="0" t="s">
        <v>3450</v>
      </c>
      <c r="D2095" s="0" t="s">
        <v>3448</v>
      </c>
      <c r="E2095" s="0" t="s">
        <v>4963</v>
      </c>
      <c r="F2095" s="0" t="s">
        <v>30</v>
      </c>
      <c r="G2095" s="0" t="s">
        <v>4980</v>
      </c>
      <c r="H2095" s="0" t="s">
        <v>4275</v>
      </c>
      <c r="I2095" s="0" t="s">
        <v>4981</v>
      </c>
      <c r="J2095" s="18" t="s">
        <v>24</v>
      </c>
    </row>
    <row r="2096" customFormat="false" ht="15" hidden="false" customHeight="false" outlineLevel="0" collapsed="false">
      <c r="A2096" s="0" t="s">
        <v>1806</v>
      </c>
      <c r="B2096" s="0" t="s">
        <v>134</v>
      </c>
      <c r="C2096" s="0" t="s">
        <v>3447</v>
      </c>
      <c r="D2096" s="0" t="s">
        <v>3457</v>
      </c>
      <c r="E2096" s="0" t="s">
        <v>4963</v>
      </c>
      <c r="F2096" s="0" t="s">
        <v>30</v>
      </c>
      <c r="G2096" s="0" t="s">
        <v>4980</v>
      </c>
      <c r="H2096" s="0" t="s">
        <v>4663</v>
      </c>
      <c r="I2096" s="0" t="s">
        <v>4981</v>
      </c>
      <c r="J2096" s="18" t="s">
        <v>24</v>
      </c>
    </row>
    <row r="2097" customFormat="false" ht="15" hidden="false" customHeight="false" outlineLevel="0" collapsed="false">
      <c r="A2097" s="0" t="s">
        <v>1806</v>
      </c>
      <c r="B2097" s="0" t="s">
        <v>134</v>
      </c>
      <c r="C2097" s="0" t="s">
        <v>3447</v>
      </c>
      <c r="D2097" s="0" t="s">
        <v>3448</v>
      </c>
      <c r="E2097" s="0" t="s">
        <v>4963</v>
      </c>
      <c r="F2097" s="0" t="s">
        <v>30</v>
      </c>
      <c r="G2097" s="0" t="s">
        <v>4980</v>
      </c>
      <c r="H2097" s="0" t="s">
        <v>4275</v>
      </c>
      <c r="I2097" s="0" t="s">
        <v>4981</v>
      </c>
      <c r="J2097" s="18" t="s">
        <v>24</v>
      </c>
    </row>
    <row r="2098" customFormat="false" ht="15" hidden="false" customHeight="false" outlineLevel="0" collapsed="false">
      <c r="A2098" s="0" t="s">
        <v>1813</v>
      </c>
      <c r="B2098" s="0" t="s">
        <v>134</v>
      </c>
      <c r="C2098" s="0" t="s">
        <v>3447</v>
      </c>
      <c r="D2098" s="0" t="s">
        <v>3457</v>
      </c>
      <c r="E2098" s="0" t="s">
        <v>4963</v>
      </c>
      <c r="F2098" s="0" t="s">
        <v>60</v>
      </c>
      <c r="G2098" s="0" t="s">
        <v>4964</v>
      </c>
      <c r="H2098" s="0" t="s">
        <v>4965</v>
      </c>
      <c r="I2098" s="0" t="s">
        <v>4966</v>
      </c>
      <c r="J2098" s="19" t="s">
        <v>26</v>
      </c>
    </row>
    <row r="2099" customFormat="false" ht="15" hidden="false" customHeight="false" outlineLevel="0" collapsed="false">
      <c r="A2099" s="0" t="s">
        <v>1813</v>
      </c>
      <c r="B2099" s="0" t="s">
        <v>134</v>
      </c>
      <c r="C2099" s="0" t="s">
        <v>3450</v>
      </c>
      <c r="D2099" s="0" t="s">
        <v>3457</v>
      </c>
      <c r="E2099" s="0" t="s">
        <v>4963</v>
      </c>
      <c r="F2099" s="0" t="s">
        <v>59</v>
      </c>
      <c r="G2099" s="0" t="s">
        <v>4974</v>
      </c>
      <c r="H2099" s="0" t="s">
        <v>69</v>
      </c>
      <c r="I2099" s="0" t="s">
        <v>4975</v>
      </c>
      <c r="J2099" s="20" t="s">
        <v>25</v>
      </c>
    </row>
    <row r="2100" customFormat="false" ht="15" hidden="false" customHeight="false" outlineLevel="0" collapsed="false">
      <c r="A2100" s="0" t="s">
        <v>1813</v>
      </c>
      <c r="B2100" s="0" t="s">
        <v>134</v>
      </c>
      <c r="C2100" s="0" t="s">
        <v>3450</v>
      </c>
      <c r="D2100" s="0" t="s">
        <v>3457</v>
      </c>
      <c r="E2100" s="0" t="s">
        <v>4969</v>
      </c>
      <c r="F2100" s="0" t="s">
        <v>61</v>
      </c>
      <c r="G2100" s="0" t="s">
        <v>4970</v>
      </c>
      <c r="H2100" s="0" t="s">
        <v>5679</v>
      </c>
      <c r="I2100" s="0" t="s">
        <v>4972</v>
      </c>
      <c r="J2100" s="20" t="s">
        <v>25</v>
      </c>
    </row>
    <row r="2101" customFormat="false" ht="15" hidden="false" customHeight="false" outlineLevel="0" collapsed="false">
      <c r="A2101" s="0" t="s">
        <v>1813</v>
      </c>
      <c r="B2101" s="0" t="s">
        <v>134</v>
      </c>
      <c r="C2101" s="0" t="s">
        <v>3450</v>
      </c>
      <c r="D2101" s="0" t="s">
        <v>3457</v>
      </c>
      <c r="E2101" s="0" t="s">
        <v>4969</v>
      </c>
      <c r="F2101" s="0" t="s">
        <v>62</v>
      </c>
      <c r="G2101" s="0" t="s">
        <v>5003</v>
      </c>
      <c r="H2101" s="0" t="s">
        <v>5680</v>
      </c>
      <c r="I2101" s="0" t="s">
        <v>5005</v>
      </c>
      <c r="J2101" s="20" t="s">
        <v>25</v>
      </c>
    </row>
    <row r="2102" customFormat="false" ht="15" hidden="false" customHeight="false" outlineLevel="0" collapsed="false">
      <c r="A2102" s="0" t="s">
        <v>1813</v>
      </c>
      <c r="B2102" s="0" t="s">
        <v>134</v>
      </c>
      <c r="C2102" s="0" t="s">
        <v>3450</v>
      </c>
      <c r="D2102" s="0" t="s">
        <v>3448</v>
      </c>
      <c r="E2102" s="0" t="s">
        <v>4963</v>
      </c>
      <c r="F2102" s="0" t="s">
        <v>59</v>
      </c>
      <c r="G2102" s="0" t="s">
        <v>4974</v>
      </c>
      <c r="H2102" s="0" t="s">
        <v>69</v>
      </c>
      <c r="I2102" s="0" t="s">
        <v>4975</v>
      </c>
      <c r="J2102" s="20" t="s">
        <v>25</v>
      </c>
    </row>
    <row r="2103" customFormat="false" ht="15" hidden="false" customHeight="false" outlineLevel="0" collapsed="false">
      <c r="A2103" s="0" t="s">
        <v>1813</v>
      </c>
      <c r="B2103" s="0" t="s">
        <v>134</v>
      </c>
      <c r="C2103" s="0" t="s">
        <v>3450</v>
      </c>
      <c r="D2103" s="0" t="s">
        <v>3448</v>
      </c>
      <c r="E2103" s="0" t="s">
        <v>4969</v>
      </c>
      <c r="F2103" s="0" t="s">
        <v>62</v>
      </c>
      <c r="G2103" s="0" t="s">
        <v>5003</v>
      </c>
      <c r="H2103" s="0" t="s">
        <v>5681</v>
      </c>
      <c r="I2103" s="0" t="s">
        <v>5005</v>
      </c>
      <c r="J2103" s="20" t="s">
        <v>25</v>
      </c>
    </row>
    <row r="2104" customFormat="false" ht="15" hidden="false" customHeight="false" outlineLevel="0" collapsed="false">
      <c r="A2104" s="0" t="s">
        <v>1813</v>
      </c>
      <c r="B2104" s="0" t="s">
        <v>134</v>
      </c>
      <c r="C2104" s="0" t="s">
        <v>3447</v>
      </c>
      <c r="D2104" s="0" t="s">
        <v>3457</v>
      </c>
      <c r="E2104" s="0" t="s">
        <v>4963</v>
      </c>
      <c r="F2104" s="0" t="s">
        <v>59</v>
      </c>
      <c r="G2104" s="0" t="s">
        <v>4974</v>
      </c>
      <c r="H2104" s="0" t="s">
        <v>69</v>
      </c>
      <c r="I2104" s="0" t="s">
        <v>4975</v>
      </c>
      <c r="J2104" s="20" t="s">
        <v>25</v>
      </c>
    </row>
    <row r="2105" customFormat="false" ht="15" hidden="false" customHeight="false" outlineLevel="0" collapsed="false">
      <c r="A2105" s="0" t="s">
        <v>1813</v>
      </c>
      <c r="B2105" s="0" t="s">
        <v>134</v>
      </c>
      <c r="C2105" s="0" t="s">
        <v>3450</v>
      </c>
      <c r="D2105" s="0" t="s">
        <v>3457</v>
      </c>
      <c r="E2105" s="0" t="s">
        <v>4963</v>
      </c>
      <c r="F2105" s="0" t="s">
        <v>30</v>
      </c>
      <c r="G2105" s="0" t="s">
        <v>4980</v>
      </c>
      <c r="H2105" s="0" t="s">
        <v>4275</v>
      </c>
      <c r="I2105" s="0" t="s">
        <v>4981</v>
      </c>
      <c r="J2105" s="18" t="s">
        <v>24</v>
      </c>
    </row>
    <row r="2106" customFormat="false" ht="15" hidden="false" customHeight="false" outlineLevel="0" collapsed="false">
      <c r="A2106" s="0" t="s">
        <v>1813</v>
      </c>
      <c r="B2106" s="0" t="s">
        <v>134</v>
      </c>
      <c r="C2106" s="0" t="s">
        <v>3450</v>
      </c>
      <c r="D2106" s="0" t="s">
        <v>3448</v>
      </c>
      <c r="E2106" s="0" t="s">
        <v>4963</v>
      </c>
      <c r="F2106" s="0" t="s">
        <v>30</v>
      </c>
      <c r="G2106" s="0" t="s">
        <v>4980</v>
      </c>
      <c r="H2106" s="0" t="s">
        <v>4275</v>
      </c>
      <c r="I2106" s="0" t="s">
        <v>4981</v>
      </c>
      <c r="J2106" s="18" t="s">
        <v>24</v>
      </c>
    </row>
    <row r="2107" customFormat="false" ht="15" hidden="false" customHeight="false" outlineLevel="0" collapsed="false">
      <c r="A2107" s="0" t="s">
        <v>1813</v>
      </c>
      <c r="B2107" s="0" t="s">
        <v>134</v>
      </c>
      <c r="C2107" s="0" t="s">
        <v>3447</v>
      </c>
      <c r="D2107" s="0" t="s">
        <v>3448</v>
      </c>
      <c r="E2107" s="0" t="s">
        <v>4963</v>
      </c>
      <c r="F2107" s="0" t="s">
        <v>30</v>
      </c>
      <c r="G2107" s="0" t="s">
        <v>4980</v>
      </c>
      <c r="H2107" s="0" t="s">
        <v>4294</v>
      </c>
      <c r="I2107" s="0" t="s">
        <v>4981</v>
      </c>
      <c r="J2107" s="18" t="s">
        <v>24</v>
      </c>
    </row>
    <row r="2108" customFormat="false" ht="15" hidden="false" customHeight="false" outlineLevel="0" collapsed="false">
      <c r="A2108" s="0" t="s">
        <v>1819</v>
      </c>
      <c r="B2108" s="0" t="s">
        <v>134</v>
      </c>
      <c r="C2108" s="0" t="s">
        <v>3450</v>
      </c>
      <c r="D2108" s="0" t="s">
        <v>3457</v>
      </c>
      <c r="E2108" s="0" t="s">
        <v>4963</v>
      </c>
      <c r="F2108" s="0" t="s">
        <v>59</v>
      </c>
      <c r="G2108" s="0" t="s">
        <v>4974</v>
      </c>
      <c r="H2108" s="0" t="s">
        <v>69</v>
      </c>
      <c r="I2108" s="0" t="s">
        <v>4975</v>
      </c>
      <c r="J2108" s="20" t="s">
        <v>25</v>
      </c>
    </row>
    <row r="2109" customFormat="false" ht="15" hidden="false" customHeight="false" outlineLevel="0" collapsed="false">
      <c r="A2109" s="0" t="s">
        <v>1819</v>
      </c>
      <c r="B2109" s="0" t="s">
        <v>134</v>
      </c>
      <c r="C2109" s="0" t="s">
        <v>3450</v>
      </c>
      <c r="D2109" s="0" t="s">
        <v>3457</v>
      </c>
      <c r="E2109" s="0" t="s">
        <v>4969</v>
      </c>
      <c r="F2109" s="0" t="s">
        <v>62</v>
      </c>
      <c r="G2109" s="0" t="s">
        <v>5003</v>
      </c>
      <c r="H2109" s="0" t="s">
        <v>5682</v>
      </c>
      <c r="I2109" s="0" t="s">
        <v>5005</v>
      </c>
      <c r="J2109" s="20" t="s">
        <v>25</v>
      </c>
    </row>
    <row r="2110" customFormat="false" ht="15" hidden="false" customHeight="false" outlineLevel="0" collapsed="false">
      <c r="A2110" s="0" t="s">
        <v>1819</v>
      </c>
      <c r="B2110" s="0" t="s">
        <v>134</v>
      </c>
      <c r="C2110" s="0" t="s">
        <v>3450</v>
      </c>
      <c r="D2110" s="0" t="s">
        <v>3457</v>
      </c>
      <c r="E2110" s="0" t="s">
        <v>4969</v>
      </c>
      <c r="F2110" s="0" t="s">
        <v>64</v>
      </c>
      <c r="G2110" s="0" t="s">
        <v>4220</v>
      </c>
      <c r="H2110" s="0" t="s">
        <v>5683</v>
      </c>
      <c r="I2110" s="0" t="s">
        <v>4991</v>
      </c>
      <c r="J2110" s="20" t="s">
        <v>25</v>
      </c>
    </row>
    <row r="2111" customFormat="false" ht="15" hidden="false" customHeight="false" outlineLevel="0" collapsed="false">
      <c r="A2111" s="0" t="s">
        <v>1819</v>
      </c>
      <c r="B2111" s="0" t="s">
        <v>134</v>
      </c>
      <c r="C2111" s="0" t="s">
        <v>3450</v>
      </c>
      <c r="D2111" s="0" t="s">
        <v>3448</v>
      </c>
      <c r="E2111" s="0" t="s">
        <v>4963</v>
      </c>
      <c r="F2111" s="0" t="s">
        <v>59</v>
      </c>
      <c r="G2111" s="0" t="s">
        <v>4974</v>
      </c>
      <c r="H2111" s="0" t="s">
        <v>69</v>
      </c>
      <c r="I2111" s="0" t="s">
        <v>4975</v>
      </c>
      <c r="J2111" s="20" t="s">
        <v>25</v>
      </c>
    </row>
    <row r="2112" customFormat="false" ht="15" hidden="false" customHeight="false" outlineLevel="0" collapsed="false">
      <c r="A2112" s="0" t="s">
        <v>1819</v>
      </c>
      <c r="B2112" s="0" t="s">
        <v>134</v>
      </c>
      <c r="C2112" s="0" t="s">
        <v>3450</v>
      </c>
      <c r="D2112" s="0" t="s">
        <v>3448</v>
      </c>
      <c r="E2112" s="0" t="s">
        <v>4969</v>
      </c>
      <c r="F2112" s="0" t="s">
        <v>62</v>
      </c>
      <c r="G2112" s="0" t="s">
        <v>5003</v>
      </c>
      <c r="H2112" s="0" t="s">
        <v>5684</v>
      </c>
      <c r="I2112" s="0" t="s">
        <v>5005</v>
      </c>
      <c r="J2112" s="20" t="s">
        <v>25</v>
      </c>
    </row>
    <row r="2113" customFormat="false" ht="15" hidden="false" customHeight="false" outlineLevel="0" collapsed="false">
      <c r="A2113" s="0" t="s">
        <v>1819</v>
      </c>
      <c r="B2113" s="0" t="s">
        <v>134</v>
      </c>
      <c r="C2113" s="0" t="s">
        <v>3450</v>
      </c>
      <c r="D2113" s="0" t="s">
        <v>3448</v>
      </c>
      <c r="E2113" s="0" t="s">
        <v>4969</v>
      </c>
      <c r="F2113" s="0" t="s">
        <v>63</v>
      </c>
      <c r="G2113" s="0" t="s">
        <v>4220</v>
      </c>
      <c r="H2113" s="0" t="s">
        <v>5685</v>
      </c>
      <c r="I2113" s="0" t="s">
        <v>4979</v>
      </c>
      <c r="J2113" s="20" t="s">
        <v>25</v>
      </c>
    </row>
    <row r="2114" customFormat="false" ht="15" hidden="false" customHeight="false" outlineLevel="0" collapsed="false">
      <c r="A2114" s="0" t="s">
        <v>1819</v>
      </c>
      <c r="B2114" s="0" t="s">
        <v>134</v>
      </c>
      <c r="C2114" s="0" t="s">
        <v>3447</v>
      </c>
      <c r="D2114" s="0" t="s">
        <v>3457</v>
      </c>
      <c r="E2114" s="0" t="s">
        <v>4963</v>
      </c>
      <c r="F2114" s="0" t="s">
        <v>59</v>
      </c>
      <c r="G2114" s="0" t="s">
        <v>4974</v>
      </c>
      <c r="H2114" s="0" t="s">
        <v>69</v>
      </c>
      <c r="I2114" s="0" t="s">
        <v>4975</v>
      </c>
      <c r="J2114" s="20" t="s">
        <v>25</v>
      </c>
    </row>
    <row r="2115" customFormat="false" ht="15" hidden="false" customHeight="false" outlineLevel="0" collapsed="false">
      <c r="A2115" s="0" t="s">
        <v>1819</v>
      </c>
      <c r="B2115" s="0" t="s">
        <v>134</v>
      </c>
      <c r="C2115" s="0" t="s">
        <v>3447</v>
      </c>
      <c r="D2115" s="0" t="s">
        <v>3457</v>
      </c>
      <c r="E2115" s="0" t="s">
        <v>4969</v>
      </c>
      <c r="F2115" s="0" t="s">
        <v>64</v>
      </c>
      <c r="G2115" s="0" t="s">
        <v>4220</v>
      </c>
      <c r="H2115" s="0" t="s">
        <v>5683</v>
      </c>
      <c r="I2115" s="0" t="s">
        <v>4991</v>
      </c>
      <c r="J2115" s="20" t="s">
        <v>25</v>
      </c>
    </row>
    <row r="2116" customFormat="false" ht="15" hidden="false" customHeight="false" outlineLevel="0" collapsed="false">
      <c r="A2116" s="0" t="s">
        <v>1819</v>
      </c>
      <c r="B2116" s="0" t="s">
        <v>134</v>
      </c>
      <c r="C2116" s="0" t="s">
        <v>3447</v>
      </c>
      <c r="D2116" s="0" t="s">
        <v>3448</v>
      </c>
      <c r="E2116" s="0" t="s">
        <v>4963</v>
      </c>
      <c r="F2116" s="0" t="s">
        <v>59</v>
      </c>
      <c r="G2116" s="0" t="s">
        <v>4974</v>
      </c>
      <c r="H2116" s="0" t="s">
        <v>69</v>
      </c>
      <c r="I2116" s="0" t="s">
        <v>4975</v>
      </c>
      <c r="J2116" s="20" t="s">
        <v>25</v>
      </c>
    </row>
    <row r="2117" customFormat="false" ht="15" hidden="false" customHeight="false" outlineLevel="0" collapsed="false">
      <c r="A2117" s="0" t="s">
        <v>1819</v>
      </c>
      <c r="B2117" s="0" t="s">
        <v>134</v>
      </c>
      <c r="C2117" s="0" t="s">
        <v>3447</v>
      </c>
      <c r="D2117" s="0" t="s">
        <v>3448</v>
      </c>
      <c r="E2117" s="0" t="s">
        <v>4969</v>
      </c>
      <c r="F2117" s="0" t="s">
        <v>63</v>
      </c>
      <c r="G2117" s="0" t="s">
        <v>4220</v>
      </c>
      <c r="H2117" s="0" t="s">
        <v>5685</v>
      </c>
      <c r="I2117" s="0" t="s">
        <v>4979</v>
      </c>
      <c r="J2117" s="20" t="s">
        <v>25</v>
      </c>
    </row>
    <row r="2118" customFormat="false" ht="15" hidden="false" customHeight="false" outlineLevel="0" collapsed="false">
      <c r="A2118" s="0" t="s">
        <v>1819</v>
      </c>
      <c r="B2118" s="0" t="s">
        <v>134</v>
      </c>
      <c r="C2118" s="0" t="s">
        <v>3450</v>
      </c>
      <c r="D2118" s="0" t="s">
        <v>3457</v>
      </c>
      <c r="E2118" s="0" t="s">
        <v>4963</v>
      </c>
      <c r="F2118" s="0" t="s">
        <v>30</v>
      </c>
      <c r="G2118" s="0" t="s">
        <v>4980</v>
      </c>
      <c r="H2118" s="0" t="s">
        <v>4275</v>
      </c>
      <c r="I2118" s="0" t="s">
        <v>4981</v>
      </c>
      <c r="J2118" s="18" t="s">
        <v>24</v>
      </c>
    </row>
    <row r="2119" customFormat="false" ht="15" hidden="false" customHeight="false" outlineLevel="0" collapsed="false">
      <c r="A2119" s="0" t="s">
        <v>1819</v>
      </c>
      <c r="B2119" s="0" t="s">
        <v>134</v>
      </c>
      <c r="C2119" s="0" t="s">
        <v>3450</v>
      </c>
      <c r="D2119" s="0" t="s">
        <v>3448</v>
      </c>
      <c r="E2119" s="0" t="s">
        <v>4963</v>
      </c>
      <c r="F2119" s="0" t="s">
        <v>30</v>
      </c>
      <c r="G2119" s="0" t="s">
        <v>4980</v>
      </c>
      <c r="H2119" s="0" t="s">
        <v>4275</v>
      </c>
      <c r="I2119" s="0" t="s">
        <v>4981</v>
      </c>
      <c r="J2119" s="18" t="s">
        <v>24</v>
      </c>
    </row>
    <row r="2120" customFormat="false" ht="15" hidden="false" customHeight="false" outlineLevel="0" collapsed="false">
      <c r="A2120" s="0" t="s">
        <v>1819</v>
      </c>
      <c r="B2120" s="0" t="s">
        <v>134</v>
      </c>
      <c r="C2120" s="0" t="s">
        <v>3447</v>
      </c>
      <c r="D2120" s="0" t="s">
        <v>3457</v>
      </c>
      <c r="E2120" s="0" t="s">
        <v>4963</v>
      </c>
      <c r="F2120" s="0" t="s">
        <v>30</v>
      </c>
      <c r="G2120" s="0" t="s">
        <v>4980</v>
      </c>
      <c r="H2120" s="0" t="s">
        <v>4275</v>
      </c>
      <c r="I2120" s="0" t="s">
        <v>4981</v>
      </c>
      <c r="J2120" s="18" t="s">
        <v>24</v>
      </c>
    </row>
    <row r="2121" customFormat="false" ht="15" hidden="false" customHeight="false" outlineLevel="0" collapsed="false">
      <c r="A2121" s="0" t="s">
        <v>1819</v>
      </c>
      <c r="B2121" s="0" t="s">
        <v>134</v>
      </c>
      <c r="C2121" s="0" t="s">
        <v>3447</v>
      </c>
      <c r="D2121" s="0" t="s">
        <v>3448</v>
      </c>
      <c r="E2121" s="0" t="s">
        <v>4963</v>
      </c>
      <c r="F2121" s="0" t="s">
        <v>30</v>
      </c>
      <c r="G2121" s="0" t="s">
        <v>4980</v>
      </c>
      <c r="H2121" s="0" t="s">
        <v>4275</v>
      </c>
      <c r="I2121" s="0" t="s">
        <v>4981</v>
      </c>
      <c r="J2121" s="18" t="s">
        <v>24</v>
      </c>
    </row>
    <row r="2122" customFormat="false" ht="15" hidden="false" customHeight="false" outlineLevel="0" collapsed="false">
      <c r="A2122" s="0" t="s">
        <v>1825</v>
      </c>
      <c r="B2122" s="0" t="s">
        <v>134</v>
      </c>
      <c r="C2122" s="0" t="s">
        <v>3450</v>
      </c>
      <c r="D2122" s="0" t="s">
        <v>3457</v>
      </c>
      <c r="E2122" s="0" t="s">
        <v>4963</v>
      </c>
      <c r="F2122" s="0" t="s">
        <v>59</v>
      </c>
      <c r="G2122" s="0" t="s">
        <v>4974</v>
      </c>
      <c r="H2122" s="0" t="s">
        <v>69</v>
      </c>
      <c r="I2122" s="0" t="s">
        <v>4975</v>
      </c>
      <c r="J2122" s="20" t="s">
        <v>25</v>
      </c>
    </row>
    <row r="2123" customFormat="false" ht="15" hidden="false" customHeight="false" outlineLevel="0" collapsed="false">
      <c r="A2123" s="0" t="s">
        <v>1825</v>
      </c>
      <c r="B2123" s="0" t="s">
        <v>134</v>
      </c>
      <c r="C2123" s="0" t="s">
        <v>3450</v>
      </c>
      <c r="D2123" s="0" t="s">
        <v>3448</v>
      </c>
      <c r="E2123" s="0" t="s">
        <v>4963</v>
      </c>
      <c r="F2123" s="0" t="s">
        <v>59</v>
      </c>
      <c r="G2123" s="0" t="s">
        <v>4974</v>
      </c>
      <c r="H2123" s="0" t="s">
        <v>69</v>
      </c>
      <c r="I2123" s="0" t="s">
        <v>4975</v>
      </c>
      <c r="J2123" s="20" t="s">
        <v>25</v>
      </c>
    </row>
    <row r="2124" customFormat="false" ht="15" hidden="false" customHeight="false" outlineLevel="0" collapsed="false">
      <c r="A2124" s="0" t="s">
        <v>1825</v>
      </c>
      <c r="B2124" s="0" t="s">
        <v>134</v>
      </c>
      <c r="C2124" s="0" t="s">
        <v>3450</v>
      </c>
      <c r="D2124" s="0" t="s">
        <v>3448</v>
      </c>
      <c r="E2124" s="0" t="s">
        <v>4969</v>
      </c>
      <c r="F2124" s="0" t="s">
        <v>64</v>
      </c>
      <c r="G2124" s="0" t="s">
        <v>4220</v>
      </c>
      <c r="H2124" s="0" t="s">
        <v>5686</v>
      </c>
      <c r="I2124" s="0" t="s">
        <v>4991</v>
      </c>
      <c r="J2124" s="20" t="s">
        <v>25</v>
      </c>
    </row>
    <row r="2125" customFormat="false" ht="15" hidden="false" customHeight="false" outlineLevel="0" collapsed="false">
      <c r="A2125" s="0" t="s">
        <v>1825</v>
      </c>
      <c r="B2125" s="0" t="s">
        <v>134</v>
      </c>
      <c r="C2125" s="0" t="s">
        <v>3447</v>
      </c>
      <c r="D2125" s="0" t="s">
        <v>3448</v>
      </c>
      <c r="E2125" s="0" t="s">
        <v>4969</v>
      </c>
      <c r="F2125" s="0" t="s">
        <v>64</v>
      </c>
      <c r="G2125" s="0" t="s">
        <v>4220</v>
      </c>
      <c r="H2125" s="0" t="s">
        <v>5686</v>
      </c>
      <c r="I2125" s="0" t="s">
        <v>4991</v>
      </c>
      <c r="J2125" s="20" t="s">
        <v>25</v>
      </c>
    </row>
    <row r="2126" customFormat="false" ht="15" hidden="false" customHeight="false" outlineLevel="0" collapsed="false">
      <c r="A2126" s="0" t="s">
        <v>1825</v>
      </c>
      <c r="B2126" s="0" t="s">
        <v>3459</v>
      </c>
      <c r="C2126" s="0" t="s">
        <v>3450</v>
      </c>
      <c r="D2126" s="0" t="s">
        <v>3457</v>
      </c>
      <c r="E2126" s="0" t="s">
        <v>4963</v>
      </c>
      <c r="F2126" s="0" t="s">
        <v>59</v>
      </c>
      <c r="G2126" s="0" t="s">
        <v>4974</v>
      </c>
      <c r="H2126" s="0" t="s">
        <v>69</v>
      </c>
      <c r="I2126" s="0" t="s">
        <v>4975</v>
      </c>
      <c r="J2126" s="20" t="s">
        <v>25</v>
      </c>
    </row>
    <row r="2127" customFormat="false" ht="15" hidden="false" customHeight="false" outlineLevel="0" collapsed="false">
      <c r="A2127" s="0" t="s">
        <v>1825</v>
      </c>
      <c r="B2127" s="0" t="s">
        <v>3459</v>
      </c>
      <c r="C2127" s="0" t="s">
        <v>3450</v>
      </c>
      <c r="D2127" s="0" t="s">
        <v>3448</v>
      </c>
      <c r="E2127" s="0" t="s">
        <v>4963</v>
      </c>
      <c r="F2127" s="0" t="s">
        <v>59</v>
      </c>
      <c r="G2127" s="0" t="s">
        <v>4974</v>
      </c>
      <c r="H2127" s="0" t="s">
        <v>69</v>
      </c>
      <c r="I2127" s="0" t="s">
        <v>4975</v>
      </c>
      <c r="J2127" s="20" t="s">
        <v>25</v>
      </c>
    </row>
    <row r="2128" customFormat="false" ht="15" hidden="false" customHeight="false" outlineLevel="0" collapsed="false">
      <c r="A2128" s="0" t="s">
        <v>1825</v>
      </c>
      <c r="B2128" s="0" t="s">
        <v>3459</v>
      </c>
      <c r="C2128" s="0" t="s">
        <v>3450</v>
      </c>
      <c r="D2128" s="0" t="s">
        <v>3448</v>
      </c>
      <c r="E2128" s="0" t="s">
        <v>4969</v>
      </c>
      <c r="F2128" s="0" t="s">
        <v>64</v>
      </c>
      <c r="G2128" s="0" t="s">
        <v>4220</v>
      </c>
      <c r="H2128" s="0" t="s">
        <v>5687</v>
      </c>
      <c r="I2128" s="0" t="s">
        <v>4991</v>
      </c>
      <c r="J2128" s="20" t="s">
        <v>25</v>
      </c>
    </row>
    <row r="2129" customFormat="false" ht="15" hidden="false" customHeight="false" outlineLevel="0" collapsed="false">
      <c r="A2129" s="0" t="s">
        <v>1825</v>
      </c>
      <c r="B2129" s="0" t="s">
        <v>3459</v>
      </c>
      <c r="C2129" s="0" t="s">
        <v>3447</v>
      </c>
      <c r="D2129" s="0" t="s">
        <v>3448</v>
      </c>
      <c r="E2129" s="0" t="s">
        <v>4969</v>
      </c>
      <c r="F2129" s="0" t="s">
        <v>64</v>
      </c>
      <c r="G2129" s="0" t="s">
        <v>4220</v>
      </c>
      <c r="H2129" s="0" t="s">
        <v>5687</v>
      </c>
      <c r="I2129" s="0" t="s">
        <v>4991</v>
      </c>
      <c r="J2129" s="20" t="s">
        <v>25</v>
      </c>
    </row>
    <row r="2130" customFormat="false" ht="15" hidden="false" customHeight="false" outlineLevel="0" collapsed="false">
      <c r="A2130" s="0" t="s">
        <v>1825</v>
      </c>
      <c r="B2130" s="0" t="s">
        <v>134</v>
      </c>
      <c r="C2130" s="0" t="s">
        <v>3450</v>
      </c>
      <c r="D2130" s="0" t="s">
        <v>3457</v>
      </c>
      <c r="E2130" s="0" t="s">
        <v>4963</v>
      </c>
      <c r="F2130" s="0" t="s">
        <v>30</v>
      </c>
      <c r="G2130" s="0" t="s">
        <v>4980</v>
      </c>
      <c r="H2130" s="0" t="s">
        <v>4275</v>
      </c>
      <c r="I2130" s="0" t="s">
        <v>4981</v>
      </c>
      <c r="J2130" s="18" t="s">
        <v>24</v>
      </c>
    </row>
    <row r="2131" customFormat="false" ht="15" hidden="false" customHeight="false" outlineLevel="0" collapsed="false">
      <c r="A2131" s="0" t="s">
        <v>1825</v>
      </c>
      <c r="B2131" s="0" t="s">
        <v>134</v>
      </c>
      <c r="C2131" s="0" t="s">
        <v>3450</v>
      </c>
      <c r="D2131" s="0" t="s">
        <v>3448</v>
      </c>
      <c r="E2131" s="0" t="s">
        <v>4963</v>
      </c>
      <c r="F2131" s="0" t="s">
        <v>30</v>
      </c>
      <c r="G2131" s="0" t="s">
        <v>4980</v>
      </c>
      <c r="H2131" s="0" t="s">
        <v>4328</v>
      </c>
      <c r="I2131" s="0" t="s">
        <v>4981</v>
      </c>
      <c r="J2131" s="18" t="s">
        <v>24</v>
      </c>
    </row>
    <row r="2132" customFormat="false" ht="15" hidden="false" customHeight="false" outlineLevel="0" collapsed="false">
      <c r="A2132" s="0" t="s">
        <v>1825</v>
      </c>
      <c r="B2132" s="0" t="s">
        <v>134</v>
      </c>
      <c r="C2132" s="0" t="s">
        <v>3447</v>
      </c>
      <c r="D2132" s="0" t="s">
        <v>3457</v>
      </c>
      <c r="E2132" s="0" t="s">
        <v>4963</v>
      </c>
      <c r="F2132" s="0" t="s">
        <v>30</v>
      </c>
      <c r="G2132" s="0" t="s">
        <v>4980</v>
      </c>
      <c r="H2132" s="0" t="s">
        <v>4228</v>
      </c>
      <c r="I2132" s="0" t="s">
        <v>4981</v>
      </c>
      <c r="J2132" s="18" t="s">
        <v>24</v>
      </c>
    </row>
    <row r="2133" customFormat="false" ht="15" hidden="false" customHeight="false" outlineLevel="0" collapsed="false">
      <c r="A2133" s="0" t="s">
        <v>1825</v>
      </c>
      <c r="B2133" s="0" t="s">
        <v>134</v>
      </c>
      <c r="C2133" s="0" t="s">
        <v>3447</v>
      </c>
      <c r="D2133" s="0" t="s">
        <v>3448</v>
      </c>
      <c r="E2133" s="0" t="s">
        <v>4963</v>
      </c>
      <c r="F2133" s="0" t="s">
        <v>30</v>
      </c>
      <c r="G2133" s="0" t="s">
        <v>4980</v>
      </c>
      <c r="H2133" s="0" t="s">
        <v>4345</v>
      </c>
      <c r="I2133" s="0" t="s">
        <v>4981</v>
      </c>
      <c r="J2133" s="18" t="s">
        <v>24</v>
      </c>
    </row>
    <row r="2134" customFormat="false" ht="15" hidden="false" customHeight="false" outlineLevel="0" collapsed="false">
      <c r="A2134" s="0" t="s">
        <v>1825</v>
      </c>
      <c r="B2134" s="0" t="s">
        <v>3459</v>
      </c>
      <c r="C2134" s="0" t="s">
        <v>3450</v>
      </c>
      <c r="D2134" s="0" t="s">
        <v>3457</v>
      </c>
      <c r="E2134" s="0" t="s">
        <v>4963</v>
      </c>
      <c r="F2134" s="0" t="s">
        <v>30</v>
      </c>
      <c r="G2134" s="0" t="s">
        <v>4980</v>
      </c>
      <c r="H2134" s="0" t="s">
        <v>4324</v>
      </c>
      <c r="I2134" s="0" t="s">
        <v>4981</v>
      </c>
      <c r="J2134" s="18" t="s">
        <v>24</v>
      </c>
    </row>
    <row r="2135" customFormat="false" ht="15" hidden="false" customHeight="false" outlineLevel="0" collapsed="false">
      <c r="A2135" s="0" t="s">
        <v>1825</v>
      </c>
      <c r="B2135" s="0" t="s">
        <v>3459</v>
      </c>
      <c r="C2135" s="0" t="s">
        <v>3450</v>
      </c>
      <c r="D2135" s="0" t="s">
        <v>3448</v>
      </c>
      <c r="E2135" s="0" t="s">
        <v>4963</v>
      </c>
      <c r="F2135" s="0" t="s">
        <v>30</v>
      </c>
      <c r="G2135" s="0" t="s">
        <v>4980</v>
      </c>
      <c r="H2135" s="0" t="s">
        <v>4327</v>
      </c>
      <c r="I2135" s="0" t="s">
        <v>4981</v>
      </c>
      <c r="J2135" s="18" t="s">
        <v>24</v>
      </c>
    </row>
    <row r="2136" customFormat="false" ht="15" hidden="false" customHeight="false" outlineLevel="0" collapsed="false">
      <c r="A2136" s="0" t="s">
        <v>1825</v>
      </c>
      <c r="B2136" s="0" t="s">
        <v>3459</v>
      </c>
      <c r="C2136" s="0" t="s">
        <v>3447</v>
      </c>
      <c r="D2136" s="0" t="s">
        <v>3457</v>
      </c>
      <c r="E2136" s="0" t="s">
        <v>4963</v>
      </c>
      <c r="F2136" s="0" t="s">
        <v>30</v>
      </c>
      <c r="G2136" s="0" t="s">
        <v>4980</v>
      </c>
      <c r="H2136" s="0" t="s">
        <v>4228</v>
      </c>
      <c r="I2136" s="0" t="s">
        <v>4981</v>
      </c>
      <c r="J2136" s="18" t="s">
        <v>24</v>
      </c>
    </row>
    <row r="2137" customFormat="false" ht="15" hidden="false" customHeight="false" outlineLevel="0" collapsed="false">
      <c r="A2137" s="0" t="s">
        <v>1825</v>
      </c>
      <c r="B2137" s="0" t="s">
        <v>3459</v>
      </c>
      <c r="C2137" s="0" t="s">
        <v>3447</v>
      </c>
      <c r="D2137" s="0" t="s">
        <v>3448</v>
      </c>
      <c r="E2137" s="0" t="s">
        <v>4963</v>
      </c>
      <c r="F2137" s="0" t="s">
        <v>30</v>
      </c>
      <c r="G2137" s="0" t="s">
        <v>4980</v>
      </c>
      <c r="H2137" s="0" t="s">
        <v>4664</v>
      </c>
      <c r="I2137" s="0" t="s">
        <v>4981</v>
      </c>
      <c r="J2137" s="18" t="s">
        <v>24</v>
      </c>
    </row>
    <row r="2138" customFormat="false" ht="15" hidden="false" customHeight="false" outlineLevel="0" collapsed="false">
      <c r="A2138" s="0" t="s">
        <v>1836</v>
      </c>
      <c r="B2138" s="0" t="s">
        <v>134</v>
      </c>
      <c r="C2138" s="0" t="s">
        <v>3450</v>
      </c>
      <c r="D2138" s="0" t="s">
        <v>3457</v>
      </c>
      <c r="E2138" s="0" t="s">
        <v>4969</v>
      </c>
      <c r="F2138" s="0" t="s">
        <v>63</v>
      </c>
      <c r="G2138" s="0" t="s">
        <v>4220</v>
      </c>
      <c r="H2138" s="0" t="s">
        <v>5688</v>
      </c>
      <c r="I2138" s="0" t="s">
        <v>4979</v>
      </c>
      <c r="J2138" s="20" t="s">
        <v>25</v>
      </c>
    </row>
    <row r="2139" customFormat="false" ht="15" hidden="false" customHeight="false" outlineLevel="0" collapsed="false">
      <c r="A2139" s="0" t="s">
        <v>1836</v>
      </c>
      <c r="B2139" s="0" t="s">
        <v>134</v>
      </c>
      <c r="C2139" s="0" t="s">
        <v>3450</v>
      </c>
      <c r="D2139" s="0" t="s">
        <v>3448</v>
      </c>
      <c r="E2139" s="0" t="s">
        <v>4969</v>
      </c>
      <c r="F2139" s="0" t="s">
        <v>63</v>
      </c>
      <c r="G2139" s="0" t="s">
        <v>4220</v>
      </c>
      <c r="H2139" s="0" t="s">
        <v>5689</v>
      </c>
      <c r="I2139" s="0" t="s">
        <v>4979</v>
      </c>
      <c r="J2139" s="20" t="s">
        <v>25</v>
      </c>
    </row>
    <row r="2140" customFormat="false" ht="15" hidden="false" customHeight="false" outlineLevel="0" collapsed="false">
      <c r="A2140" s="0" t="s">
        <v>1836</v>
      </c>
      <c r="B2140" s="0" t="s">
        <v>134</v>
      </c>
      <c r="C2140" s="0" t="s">
        <v>3447</v>
      </c>
      <c r="D2140" s="0" t="s">
        <v>3457</v>
      </c>
      <c r="E2140" s="0" t="s">
        <v>4969</v>
      </c>
      <c r="F2140" s="0" t="s">
        <v>63</v>
      </c>
      <c r="G2140" s="0" t="s">
        <v>4220</v>
      </c>
      <c r="H2140" s="0" t="s">
        <v>5688</v>
      </c>
      <c r="I2140" s="0" t="s">
        <v>4979</v>
      </c>
      <c r="J2140" s="20" t="s">
        <v>25</v>
      </c>
    </row>
    <row r="2141" customFormat="false" ht="15" hidden="false" customHeight="false" outlineLevel="0" collapsed="false">
      <c r="A2141" s="0" t="s">
        <v>1836</v>
      </c>
      <c r="B2141" s="0" t="s">
        <v>134</v>
      </c>
      <c r="C2141" s="0" t="s">
        <v>3447</v>
      </c>
      <c r="D2141" s="0" t="s">
        <v>3448</v>
      </c>
      <c r="E2141" s="0" t="s">
        <v>4963</v>
      </c>
      <c r="F2141" s="0" t="s">
        <v>59</v>
      </c>
      <c r="G2141" s="0" t="s">
        <v>4974</v>
      </c>
      <c r="H2141" s="0" t="s">
        <v>69</v>
      </c>
      <c r="I2141" s="0" t="s">
        <v>4975</v>
      </c>
      <c r="J2141" s="20" t="s">
        <v>25</v>
      </c>
    </row>
    <row r="2142" customFormat="false" ht="15" hidden="false" customHeight="false" outlineLevel="0" collapsed="false">
      <c r="A2142" s="0" t="s">
        <v>1836</v>
      </c>
      <c r="B2142" s="0" t="s">
        <v>134</v>
      </c>
      <c r="C2142" s="0" t="s">
        <v>3447</v>
      </c>
      <c r="D2142" s="0" t="s">
        <v>3448</v>
      </c>
      <c r="E2142" s="0" t="s">
        <v>4969</v>
      </c>
      <c r="F2142" s="0" t="s">
        <v>63</v>
      </c>
      <c r="G2142" s="0" t="s">
        <v>4220</v>
      </c>
      <c r="H2142" s="0" t="s">
        <v>5689</v>
      </c>
      <c r="I2142" s="0" t="s">
        <v>4979</v>
      </c>
      <c r="J2142" s="20" t="s">
        <v>25</v>
      </c>
    </row>
    <row r="2143" customFormat="false" ht="15" hidden="false" customHeight="false" outlineLevel="0" collapsed="false">
      <c r="A2143" s="0" t="s">
        <v>1836</v>
      </c>
      <c r="B2143" s="0" t="s">
        <v>134</v>
      </c>
      <c r="C2143" s="0" t="s">
        <v>3447</v>
      </c>
      <c r="D2143" s="0" t="s">
        <v>3448</v>
      </c>
      <c r="E2143" s="0" t="s">
        <v>4963</v>
      </c>
      <c r="F2143" s="0" t="s">
        <v>30</v>
      </c>
      <c r="G2143" s="0" t="s">
        <v>4980</v>
      </c>
      <c r="H2143" s="0" t="s">
        <v>4238</v>
      </c>
      <c r="I2143" s="0" t="s">
        <v>4981</v>
      </c>
      <c r="J2143" s="18" t="s">
        <v>24</v>
      </c>
    </row>
    <row r="2144" customFormat="false" ht="15" hidden="false" customHeight="false" outlineLevel="0" collapsed="false">
      <c r="A2144" s="0" t="s">
        <v>1842</v>
      </c>
      <c r="B2144" s="0" t="s">
        <v>134</v>
      </c>
      <c r="C2144" s="0" t="s">
        <v>3447</v>
      </c>
      <c r="D2144" s="0" t="s">
        <v>3457</v>
      </c>
      <c r="E2144" s="0" t="s">
        <v>4963</v>
      </c>
      <c r="F2144" s="0" t="s">
        <v>60</v>
      </c>
      <c r="G2144" s="0" t="s">
        <v>4964</v>
      </c>
      <c r="H2144" s="0" t="s">
        <v>5690</v>
      </c>
      <c r="I2144" s="0" t="s">
        <v>4966</v>
      </c>
      <c r="J2144" s="19" t="s">
        <v>26</v>
      </c>
    </row>
    <row r="2145" customFormat="false" ht="15" hidden="false" customHeight="false" outlineLevel="0" collapsed="false">
      <c r="A2145" s="0" t="s">
        <v>1842</v>
      </c>
      <c r="B2145" s="0" t="s">
        <v>134</v>
      </c>
      <c r="C2145" s="0" t="s">
        <v>3447</v>
      </c>
      <c r="D2145" s="0" t="s">
        <v>3448</v>
      </c>
      <c r="E2145" s="0" t="s">
        <v>4963</v>
      </c>
      <c r="F2145" s="0" t="s">
        <v>60</v>
      </c>
      <c r="G2145" s="0" t="s">
        <v>4964</v>
      </c>
      <c r="H2145" s="0" t="s">
        <v>5691</v>
      </c>
      <c r="I2145" s="0" t="s">
        <v>4966</v>
      </c>
      <c r="J2145" s="19" t="s">
        <v>26</v>
      </c>
    </row>
    <row r="2146" customFormat="false" ht="15" hidden="false" customHeight="false" outlineLevel="0" collapsed="false">
      <c r="A2146" s="0" t="s">
        <v>1842</v>
      </c>
      <c r="B2146" s="0" t="s">
        <v>3459</v>
      </c>
      <c r="C2146" s="0" t="s">
        <v>3447</v>
      </c>
      <c r="D2146" s="0" t="s">
        <v>3457</v>
      </c>
      <c r="E2146" s="0" t="s">
        <v>4963</v>
      </c>
      <c r="F2146" s="0" t="s">
        <v>60</v>
      </c>
      <c r="G2146" s="0" t="s">
        <v>4964</v>
      </c>
      <c r="H2146" s="0" t="s">
        <v>5328</v>
      </c>
      <c r="I2146" s="0" t="s">
        <v>4966</v>
      </c>
      <c r="J2146" s="19" t="s">
        <v>26</v>
      </c>
    </row>
    <row r="2147" customFormat="false" ht="15" hidden="false" customHeight="false" outlineLevel="0" collapsed="false">
      <c r="A2147" s="0" t="s">
        <v>1842</v>
      </c>
      <c r="B2147" s="0" t="s">
        <v>134</v>
      </c>
      <c r="C2147" s="0" t="s">
        <v>3450</v>
      </c>
      <c r="D2147" s="0" t="s">
        <v>3448</v>
      </c>
      <c r="E2147" s="0" t="s">
        <v>4969</v>
      </c>
      <c r="F2147" s="0" t="s">
        <v>62</v>
      </c>
      <c r="G2147" s="0" t="s">
        <v>5003</v>
      </c>
      <c r="H2147" s="0" t="s">
        <v>5692</v>
      </c>
      <c r="I2147" s="0" t="s">
        <v>5005</v>
      </c>
      <c r="J2147" s="20" t="s">
        <v>25</v>
      </c>
    </row>
    <row r="2148" customFormat="false" ht="15" hidden="false" customHeight="false" outlineLevel="0" collapsed="false">
      <c r="A2148" s="0" t="s">
        <v>1842</v>
      </c>
      <c r="B2148" s="0" t="s">
        <v>3459</v>
      </c>
      <c r="C2148" s="0" t="s">
        <v>3450</v>
      </c>
      <c r="D2148" s="0" t="s">
        <v>3457</v>
      </c>
      <c r="E2148" s="0" t="s">
        <v>4969</v>
      </c>
      <c r="F2148" s="0" t="s">
        <v>63</v>
      </c>
      <c r="G2148" s="0" t="s">
        <v>4220</v>
      </c>
      <c r="H2148" s="0" t="s">
        <v>5693</v>
      </c>
      <c r="I2148" s="0" t="s">
        <v>4979</v>
      </c>
      <c r="J2148" s="20" t="s">
        <v>25</v>
      </c>
    </row>
    <row r="2149" customFormat="false" ht="15" hidden="false" customHeight="false" outlineLevel="0" collapsed="false">
      <c r="A2149" s="0" t="s">
        <v>1842</v>
      </c>
      <c r="B2149" s="0" t="s">
        <v>3459</v>
      </c>
      <c r="C2149" s="0" t="s">
        <v>3450</v>
      </c>
      <c r="D2149" s="0" t="s">
        <v>3448</v>
      </c>
      <c r="E2149" s="0" t="s">
        <v>4963</v>
      </c>
      <c r="F2149" s="0" t="s">
        <v>59</v>
      </c>
      <c r="G2149" s="0" t="s">
        <v>4974</v>
      </c>
      <c r="H2149" s="0" t="s">
        <v>69</v>
      </c>
      <c r="I2149" s="0" t="s">
        <v>4975</v>
      </c>
      <c r="J2149" s="20" t="s">
        <v>25</v>
      </c>
    </row>
    <row r="2150" customFormat="false" ht="15" hidden="false" customHeight="false" outlineLevel="0" collapsed="false">
      <c r="A2150" s="0" t="s">
        <v>1842</v>
      </c>
      <c r="B2150" s="0" t="s">
        <v>3459</v>
      </c>
      <c r="C2150" s="0" t="s">
        <v>3447</v>
      </c>
      <c r="D2150" s="0" t="s">
        <v>3457</v>
      </c>
      <c r="E2150" s="0" t="s">
        <v>4963</v>
      </c>
      <c r="F2150" s="0" t="s">
        <v>59</v>
      </c>
      <c r="G2150" s="0" t="s">
        <v>4974</v>
      </c>
      <c r="H2150" s="0" t="s">
        <v>69</v>
      </c>
      <c r="I2150" s="0" t="s">
        <v>4975</v>
      </c>
      <c r="J2150" s="20" t="s">
        <v>25</v>
      </c>
    </row>
    <row r="2151" customFormat="false" ht="15" hidden="false" customHeight="false" outlineLevel="0" collapsed="false">
      <c r="A2151" s="0" t="s">
        <v>1842</v>
      </c>
      <c r="B2151" s="0" t="s">
        <v>3459</v>
      </c>
      <c r="C2151" s="0" t="s">
        <v>3447</v>
      </c>
      <c r="D2151" s="0" t="s">
        <v>3457</v>
      </c>
      <c r="E2151" s="0" t="s">
        <v>4969</v>
      </c>
      <c r="F2151" s="0" t="s">
        <v>63</v>
      </c>
      <c r="G2151" s="0" t="s">
        <v>4220</v>
      </c>
      <c r="H2151" s="0" t="s">
        <v>5693</v>
      </c>
      <c r="I2151" s="0" t="s">
        <v>4979</v>
      </c>
      <c r="J2151" s="20" t="s">
        <v>25</v>
      </c>
    </row>
    <row r="2152" customFormat="false" ht="15" hidden="false" customHeight="false" outlineLevel="0" collapsed="false">
      <c r="A2152" s="0" t="s">
        <v>1842</v>
      </c>
      <c r="B2152" s="0" t="s">
        <v>3459</v>
      </c>
      <c r="C2152" s="0" t="s">
        <v>3450</v>
      </c>
      <c r="D2152" s="0" t="s">
        <v>3448</v>
      </c>
      <c r="E2152" s="0" t="s">
        <v>4963</v>
      </c>
      <c r="F2152" s="0" t="s">
        <v>30</v>
      </c>
      <c r="G2152" s="0" t="s">
        <v>4980</v>
      </c>
      <c r="H2152" s="0" t="s">
        <v>4275</v>
      </c>
      <c r="I2152" s="0" t="s">
        <v>4981</v>
      </c>
      <c r="J2152" s="18" t="s">
        <v>24</v>
      </c>
    </row>
    <row r="2153" customFormat="false" ht="15" hidden="false" customHeight="false" outlineLevel="0" collapsed="false">
      <c r="A2153" s="0" t="s">
        <v>1842</v>
      </c>
      <c r="B2153" s="0" t="s">
        <v>3459</v>
      </c>
      <c r="C2153" s="0" t="s">
        <v>3447</v>
      </c>
      <c r="D2153" s="0" t="s">
        <v>3448</v>
      </c>
      <c r="E2153" s="0" t="s">
        <v>4963</v>
      </c>
      <c r="F2153" s="0" t="s">
        <v>30</v>
      </c>
      <c r="G2153" s="0" t="s">
        <v>4980</v>
      </c>
      <c r="H2153" s="0" t="s">
        <v>4667</v>
      </c>
      <c r="I2153" s="0" t="s">
        <v>4981</v>
      </c>
      <c r="J2153" s="18" t="s">
        <v>24</v>
      </c>
    </row>
    <row r="2154" customFormat="false" ht="15" hidden="false" customHeight="false" outlineLevel="0" collapsed="false">
      <c r="A2154" s="0" t="s">
        <v>1848</v>
      </c>
      <c r="B2154" s="0" t="s">
        <v>134</v>
      </c>
      <c r="C2154" s="0" t="s">
        <v>3450</v>
      </c>
      <c r="D2154" s="0" t="s">
        <v>3457</v>
      </c>
      <c r="E2154" s="0" t="s">
        <v>4969</v>
      </c>
      <c r="F2154" s="0" t="s">
        <v>62</v>
      </c>
      <c r="G2154" s="0" t="s">
        <v>5003</v>
      </c>
      <c r="H2154" s="0" t="s">
        <v>5694</v>
      </c>
      <c r="I2154" s="0" t="s">
        <v>5005</v>
      </c>
      <c r="J2154" s="20" t="s">
        <v>25</v>
      </c>
    </row>
    <row r="2155" customFormat="false" ht="15" hidden="false" customHeight="false" outlineLevel="0" collapsed="false">
      <c r="A2155" s="0" t="s">
        <v>1848</v>
      </c>
      <c r="B2155" s="0" t="s">
        <v>134</v>
      </c>
      <c r="C2155" s="0" t="s">
        <v>3450</v>
      </c>
      <c r="D2155" s="0" t="s">
        <v>3457</v>
      </c>
      <c r="E2155" s="0" t="s">
        <v>4969</v>
      </c>
      <c r="F2155" s="0" t="s">
        <v>64</v>
      </c>
      <c r="G2155" s="0" t="s">
        <v>4220</v>
      </c>
      <c r="H2155" s="0" t="s">
        <v>5453</v>
      </c>
      <c r="I2155" s="0" t="s">
        <v>4991</v>
      </c>
      <c r="J2155" s="20" t="s">
        <v>25</v>
      </c>
    </row>
    <row r="2156" customFormat="false" ht="15" hidden="false" customHeight="false" outlineLevel="0" collapsed="false">
      <c r="A2156" s="0" t="s">
        <v>1848</v>
      </c>
      <c r="B2156" s="0" t="s">
        <v>134</v>
      </c>
      <c r="C2156" s="0" t="s">
        <v>3450</v>
      </c>
      <c r="D2156" s="0" t="s">
        <v>3448</v>
      </c>
      <c r="E2156" s="0" t="s">
        <v>4969</v>
      </c>
      <c r="F2156" s="0" t="s">
        <v>62</v>
      </c>
      <c r="G2156" s="0" t="s">
        <v>5003</v>
      </c>
      <c r="H2156" s="0" t="s">
        <v>5695</v>
      </c>
      <c r="I2156" s="0" t="s">
        <v>5005</v>
      </c>
      <c r="J2156" s="20" t="s">
        <v>25</v>
      </c>
    </row>
    <row r="2157" customFormat="false" ht="15" hidden="false" customHeight="false" outlineLevel="0" collapsed="false">
      <c r="A2157" s="0" t="s">
        <v>1848</v>
      </c>
      <c r="B2157" s="0" t="s">
        <v>134</v>
      </c>
      <c r="C2157" s="0" t="s">
        <v>3450</v>
      </c>
      <c r="D2157" s="0" t="s">
        <v>3448</v>
      </c>
      <c r="E2157" s="0" t="s">
        <v>4969</v>
      </c>
      <c r="F2157" s="0" t="s">
        <v>63</v>
      </c>
      <c r="G2157" s="0" t="s">
        <v>4220</v>
      </c>
      <c r="H2157" s="0" t="s">
        <v>5696</v>
      </c>
      <c r="I2157" s="0" t="s">
        <v>4979</v>
      </c>
      <c r="J2157" s="20" t="s">
        <v>25</v>
      </c>
    </row>
    <row r="2158" customFormat="false" ht="15" hidden="false" customHeight="false" outlineLevel="0" collapsed="false">
      <c r="A2158" s="0" t="s">
        <v>1848</v>
      </c>
      <c r="B2158" s="0" t="s">
        <v>134</v>
      </c>
      <c r="C2158" s="0" t="s">
        <v>3447</v>
      </c>
      <c r="D2158" s="0" t="s">
        <v>3457</v>
      </c>
      <c r="E2158" s="0" t="s">
        <v>4969</v>
      </c>
      <c r="F2158" s="0" t="s">
        <v>64</v>
      </c>
      <c r="G2158" s="0" t="s">
        <v>4220</v>
      </c>
      <c r="H2158" s="0" t="s">
        <v>5453</v>
      </c>
      <c r="I2158" s="0" t="s">
        <v>4991</v>
      </c>
      <c r="J2158" s="20" t="s">
        <v>25</v>
      </c>
    </row>
    <row r="2159" customFormat="false" ht="15" hidden="false" customHeight="false" outlineLevel="0" collapsed="false">
      <c r="A2159" s="0" t="s">
        <v>1848</v>
      </c>
      <c r="B2159" s="0" t="s">
        <v>134</v>
      </c>
      <c r="C2159" s="0" t="s">
        <v>3447</v>
      </c>
      <c r="D2159" s="0" t="s">
        <v>3448</v>
      </c>
      <c r="E2159" s="0" t="s">
        <v>4969</v>
      </c>
      <c r="F2159" s="0" t="s">
        <v>63</v>
      </c>
      <c r="G2159" s="0" t="s">
        <v>4220</v>
      </c>
      <c r="H2159" s="0" t="s">
        <v>5696</v>
      </c>
      <c r="I2159" s="0" t="s">
        <v>4979</v>
      </c>
      <c r="J2159" s="20" t="s">
        <v>25</v>
      </c>
    </row>
    <row r="2160" customFormat="false" ht="15" hidden="false" customHeight="false" outlineLevel="0" collapsed="false">
      <c r="A2160" s="0" t="s">
        <v>1854</v>
      </c>
      <c r="B2160" s="0" t="s">
        <v>134</v>
      </c>
      <c r="C2160" s="0" t="s">
        <v>3450</v>
      </c>
      <c r="D2160" s="0" t="s">
        <v>3457</v>
      </c>
      <c r="E2160" s="0" t="s">
        <v>4963</v>
      </c>
      <c r="F2160" s="0" t="s">
        <v>60</v>
      </c>
      <c r="G2160" s="0" t="s">
        <v>4964</v>
      </c>
      <c r="H2160" s="0" t="s">
        <v>5337</v>
      </c>
      <c r="I2160" s="0" t="s">
        <v>4966</v>
      </c>
      <c r="J2160" s="19" t="s">
        <v>26</v>
      </c>
    </row>
    <row r="2161" customFormat="false" ht="15" hidden="false" customHeight="false" outlineLevel="0" collapsed="false">
      <c r="A2161" s="0" t="s">
        <v>1854</v>
      </c>
      <c r="B2161" s="0" t="s">
        <v>134</v>
      </c>
      <c r="C2161" s="0" t="s">
        <v>3450</v>
      </c>
      <c r="D2161" s="0" t="s">
        <v>3448</v>
      </c>
      <c r="E2161" s="0" t="s">
        <v>4963</v>
      </c>
      <c r="F2161" s="0" t="s">
        <v>60</v>
      </c>
      <c r="G2161" s="0" t="s">
        <v>4964</v>
      </c>
      <c r="H2161" s="0" t="s">
        <v>5697</v>
      </c>
      <c r="I2161" s="0" t="s">
        <v>4966</v>
      </c>
      <c r="J2161" s="19" t="s">
        <v>26</v>
      </c>
    </row>
    <row r="2162" customFormat="false" ht="15" hidden="false" customHeight="false" outlineLevel="0" collapsed="false">
      <c r="A2162" s="0" t="s">
        <v>1854</v>
      </c>
      <c r="B2162" s="0" t="s">
        <v>134</v>
      </c>
      <c r="C2162" s="0" t="s">
        <v>3450</v>
      </c>
      <c r="D2162" s="0" t="s">
        <v>3448</v>
      </c>
      <c r="E2162" s="0" t="s">
        <v>4963</v>
      </c>
      <c r="F2162" s="0" t="s">
        <v>59</v>
      </c>
      <c r="G2162" s="0" t="s">
        <v>4974</v>
      </c>
      <c r="H2162" s="0" t="s">
        <v>69</v>
      </c>
      <c r="I2162" s="0" t="s">
        <v>4975</v>
      </c>
      <c r="J2162" s="20" t="s">
        <v>25</v>
      </c>
    </row>
    <row r="2163" customFormat="false" ht="15" hidden="false" customHeight="false" outlineLevel="0" collapsed="false">
      <c r="A2163" s="0" t="s">
        <v>1854</v>
      </c>
      <c r="B2163" s="0" t="s">
        <v>134</v>
      </c>
      <c r="C2163" s="0" t="s">
        <v>3447</v>
      </c>
      <c r="D2163" s="0" t="s">
        <v>3457</v>
      </c>
      <c r="E2163" s="0" t="s">
        <v>4963</v>
      </c>
      <c r="F2163" s="0" t="s">
        <v>30</v>
      </c>
      <c r="G2163" s="0" t="s">
        <v>4980</v>
      </c>
      <c r="H2163" s="0" t="s">
        <v>4470</v>
      </c>
      <c r="I2163" s="0" t="s">
        <v>4981</v>
      </c>
      <c r="J2163" s="18" t="s">
        <v>24</v>
      </c>
    </row>
    <row r="2164" customFormat="false" ht="15" hidden="false" customHeight="false" outlineLevel="0" collapsed="false">
      <c r="A2164" s="0" t="s">
        <v>1854</v>
      </c>
      <c r="B2164" s="0" t="s">
        <v>134</v>
      </c>
      <c r="C2164" s="0" t="s">
        <v>3447</v>
      </c>
      <c r="D2164" s="0" t="s">
        <v>3448</v>
      </c>
      <c r="E2164" s="0" t="s">
        <v>4963</v>
      </c>
      <c r="F2164" s="0" t="s">
        <v>30</v>
      </c>
      <c r="G2164" s="0" t="s">
        <v>4980</v>
      </c>
      <c r="H2164" s="0" t="s">
        <v>4669</v>
      </c>
      <c r="I2164" s="0" t="s">
        <v>4981</v>
      </c>
      <c r="J2164" s="18" t="s">
        <v>24</v>
      </c>
    </row>
    <row r="2165" customFormat="false" ht="15" hidden="false" customHeight="false" outlineLevel="0" collapsed="false">
      <c r="A2165" s="0" t="s">
        <v>1859</v>
      </c>
      <c r="B2165" s="0" t="s">
        <v>134</v>
      </c>
      <c r="C2165" s="0" t="s">
        <v>3450</v>
      </c>
      <c r="D2165" s="0" t="s">
        <v>3457</v>
      </c>
      <c r="E2165" s="0" t="s">
        <v>4963</v>
      </c>
      <c r="F2165" s="0" t="s">
        <v>60</v>
      </c>
      <c r="G2165" s="0" t="s">
        <v>4964</v>
      </c>
      <c r="H2165" s="0" t="s">
        <v>5698</v>
      </c>
      <c r="I2165" s="0" t="s">
        <v>4966</v>
      </c>
      <c r="J2165" s="19" t="s">
        <v>26</v>
      </c>
    </row>
    <row r="2166" customFormat="false" ht="15" hidden="false" customHeight="false" outlineLevel="0" collapsed="false">
      <c r="A2166" s="0" t="s">
        <v>1859</v>
      </c>
      <c r="B2166" s="0" t="s">
        <v>134</v>
      </c>
      <c r="C2166" s="0" t="s">
        <v>3447</v>
      </c>
      <c r="D2166" s="0" t="s">
        <v>3448</v>
      </c>
      <c r="E2166" s="0" t="s">
        <v>4963</v>
      </c>
      <c r="F2166" s="0" t="s">
        <v>60</v>
      </c>
      <c r="G2166" s="0" t="s">
        <v>4964</v>
      </c>
      <c r="H2166" s="0" t="s">
        <v>5699</v>
      </c>
      <c r="I2166" s="0" t="s">
        <v>4966</v>
      </c>
      <c r="J2166" s="19" t="s">
        <v>26</v>
      </c>
    </row>
    <row r="2167" customFormat="false" ht="15" hidden="false" customHeight="false" outlineLevel="0" collapsed="false">
      <c r="A2167" s="0" t="s">
        <v>1859</v>
      </c>
      <c r="B2167" s="0" t="s">
        <v>134</v>
      </c>
      <c r="C2167" s="0" t="s">
        <v>3450</v>
      </c>
      <c r="D2167" s="0" t="s">
        <v>3457</v>
      </c>
      <c r="E2167" s="0" t="s">
        <v>4963</v>
      </c>
      <c r="F2167" s="0" t="s">
        <v>59</v>
      </c>
      <c r="G2167" s="0" t="s">
        <v>4974</v>
      </c>
      <c r="H2167" s="0" t="s">
        <v>69</v>
      </c>
      <c r="I2167" s="0" t="s">
        <v>4975</v>
      </c>
      <c r="J2167" s="20" t="s">
        <v>25</v>
      </c>
    </row>
    <row r="2168" customFormat="false" ht="15" hidden="false" customHeight="false" outlineLevel="0" collapsed="false">
      <c r="A2168" s="0" t="s">
        <v>1859</v>
      </c>
      <c r="B2168" s="0" t="s">
        <v>134</v>
      </c>
      <c r="C2168" s="0" t="s">
        <v>3450</v>
      </c>
      <c r="D2168" s="0" t="s">
        <v>3457</v>
      </c>
      <c r="E2168" s="0" t="s">
        <v>4969</v>
      </c>
      <c r="F2168" s="0" t="s">
        <v>62</v>
      </c>
      <c r="G2168" s="0" t="s">
        <v>5003</v>
      </c>
      <c r="H2168" s="0" t="s">
        <v>5700</v>
      </c>
      <c r="I2168" s="0" t="s">
        <v>5005</v>
      </c>
      <c r="J2168" s="20" t="s">
        <v>25</v>
      </c>
    </row>
    <row r="2169" customFormat="false" ht="15" hidden="false" customHeight="false" outlineLevel="0" collapsed="false">
      <c r="A2169" s="0" t="s">
        <v>1859</v>
      </c>
      <c r="B2169" s="0" t="s">
        <v>134</v>
      </c>
      <c r="C2169" s="0" t="s">
        <v>3450</v>
      </c>
      <c r="D2169" s="0" t="s">
        <v>3457</v>
      </c>
      <c r="E2169" s="0" t="s">
        <v>4969</v>
      </c>
      <c r="F2169" s="0" t="s">
        <v>64</v>
      </c>
      <c r="G2169" s="0" t="s">
        <v>4220</v>
      </c>
      <c r="H2169" s="0" t="s">
        <v>5347</v>
      </c>
      <c r="I2169" s="0" t="s">
        <v>4991</v>
      </c>
      <c r="J2169" s="20" t="s">
        <v>25</v>
      </c>
    </row>
    <row r="2170" customFormat="false" ht="15" hidden="false" customHeight="false" outlineLevel="0" collapsed="false">
      <c r="A2170" s="0" t="s">
        <v>1859</v>
      </c>
      <c r="B2170" s="0" t="s">
        <v>134</v>
      </c>
      <c r="C2170" s="0" t="s">
        <v>3450</v>
      </c>
      <c r="D2170" s="0" t="s">
        <v>3448</v>
      </c>
      <c r="E2170" s="0" t="s">
        <v>4969</v>
      </c>
      <c r="F2170" s="0" t="s">
        <v>62</v>
      </c>
      <c r="G2170" s="0" t="s">
        <v>5003</v>
      </c>
      <c r="H2170" s="0" t="s">
        <v>5701</v>
      </c>
      <c r="I2170" s="0" t="s">
        <v>5005</v>
      </c>
      <c r="J2170" s="20" t="s">
        <v>25</v>
      </c>
    </row>
    <row r="2171" customFormat="false" ht="15" hidden="false" customHeight="false" outlineLevel="0" collapsed="false">
      <c r="A2171" s="0" t="s">
        <v>1859</v>
      </c>
      <c r="B2171" s="0" t="s">
        <v>134</v>
      </c>
      <c r="C2171" s="0" t="s">
        <v>3447</v>
      </c>
      <c r="D2171" s="0" t="s">
        <v>3457</v>
      </c>
      <c r="E2171" s="0" t="s">
        <v>4969</v>
      </c>
      <c r="F2171" s="0" t="s">
        <v>64</v>
      </c>
      <c r="G2171" s="0" t="s">
        <v>4220</v>
      </c>
      <c r="H2171" s="0" t="s">
        <v>5347</v>
      </c>
      <c r="I2171" s="0" t="s">
        <v>4991</v>
      </c>
      <c r="J2171" s="20" t="s">
        <v>25</v>
      </c>
    </row>
    <row r="2172" customFormat="false" ht="15" hidden="false" customHeight="false" outlineLevel="0" collapsed="false">
      <c r="A2172" s="0" t="s">
        <v>1859</v>
      </c>
      <c r="B2172" s="0" t="s">
        <v>134</v>
      </c>
      <c r="C2172" s="0" t="s">
        <v>3447</v>
      </c>
      <c r="D2172" s="0" t="s">
        <v>3457</v>
      </c>
      <c r="E2172" s="0" t="s">
        <v>4963</v>
      </c>
      <c r="F2172" s="0" t="s">
        <v>30</v>
      </c>
      <c r="G2172" s="0" t="s">
        <v>4980</v>
      </c>
      <c r="H2172" s="0" t="s">
        <v>4671</v>
      </c>
      <c r="I2172" s="0" t="s">
        <v>4981</v>
      </c>
      <c r="J2172" s="18" t="s">
        <v>24</v>
      </c>
    </row>
    <row r="2173" customFormat="false" ht="15" hidden="false" customHeight="false" outlineLevel="0" collapsed="false">
      <c r="A2173" s="0" t="s">
        <v>1867</v>
      </c>
      <c r="B2173" s="0" t="s">
        <v>134</v>
      </c>
      <c r="C2173" s="0" t="s">
        <v>3450</v>
      </c>
      <c r="D2173" s="0" t="s">
        <v>3448</v>
      </c>
      <c r="E2173" s="0" t="s">
        <v>4963</v>
      </c>
      <c r="F2173" s="0" t="s">
        <v>60</v>
      </c>
      <c r="G2173" s="0" t="s">
        <v>4964</v>
      </c>
      <c r="H2173" s="0" t="s">
        <v>5702</v>
      </c>
      <c r="I2173" s="0" t="s">
        <v>4966</v>
      </c>
      <c r="J2173" s="19" t="s">
        <v>26</v>
      </c>
    </row>
    <row r="2174" customFormat="false" ht="15" hidden="false" customHeight="false" outlineLevel="0" collapsed="false">
      <c r="A2174" s="0" t="s">
        <v>1867</v>
      </c>
      <c r="B2174" s="0" t="s">
        <v>134</v>
      </c>
      <c r="C2174" s="0" t="s">
        <v>3447</v>
      </c>
      <c r="D2174" s="0" t="s">
        <v>3457</v>
      </c>
      <c r="E2174" s="0" t="s">
        <v>4963</v>
      </c>
      <c r="F2174" s="0" t="s">
        <v>60</v>
      </c>
      <c r="G2174" s="0" t="s">
        <v>4964</v>
      </c>
      <c r="H2174" s="0" t="s">
        <v>5703</v>
      </c>
      <c r="I2174" s="0" t="s">
        <v>4966</v>
      </c>
      <c r="J2174" s="19" t="s">
        <v>26</v>
      </c>
    </row>
    <row r="2175" customFormat="false" ht="15" hidden="false" customHeight="false" outlineLevel="0" collapsed="false">
      <c r="A2175" s="0" t="s">
        <v>1867</v>
      </c>
      <c r="B2175" s="0" t="s">
        <v>134</v>
      </c>
      <c r="C2175" s="0" t="s">
        <v>3450</v>
      </c>
      <c r="D2175" s="0" t="s">
        <v>3457</v>
      </c>
      <c r="E2175" s="0" t="s">
        <v>4969</v>
      </c>
      <c r="F2175" s="0" t="s">
        <v>62</v>
      </c>
      <c r="G2175" s="0" t="s">
        <v>5003</v>
      </c>
      <c r="H2175" s="0" t="s">
        <v>5704</v>
      </c>
      <c r="I2175" s="0" t="s">
        <v>5005</v>
      </c>
      <c r="J2175" s="20" t="s">
        <v>25</v>
      </c>
    </row>
    <row r="2176" customFormat="false" ht="15" hidden="false" customHeight="false" outlineLevel="0" collapsed="false">
      <c r="A2176" s="0" t="s">
        <v>1867</v>
      </c>
      <c r="B2176" s="0" t="s">
        <v>134</v>
      </c>
      <c r="C2176" s="0" t="s">
        <v>3450</v>
      </c>
      <c r="D2176" s="0" t="s">
        <v>3457</v>
      </c>
      <c r="E2176" s="0" t="s">
        <v>4969</v>
      </c>
      <c r="F2176" s="0" t="s">
        <v>64</v>
      </c>
      <c r="G2176" s="0" t="s">
        <v>4220</v>
      </c>
      <c r="H2176" s="0" t="s">
        <v>5705</v>
      </c>
      <c r="I2176" s="0" t="s">
        <v>4991</v>
      </c>
      <c r="J2176" s="20" t="s">
        <v>25</v>
      </c>
    </row>
    <row r="2177" customFormat="false" ht="15" hidden="false" customHeight="false" outlineLevel="0" collapsed="false">
      <c r="A2177" s="0" t="s">
        <v>1867</v>
      </c>
      <c r="B2177" s="0" t="s">
        <v>134</v>
      </c>
      <c r="C2177" s="0" t="s">
        <v>3450</v>
      </c>
      <c r="D2177" s="0" t="s">
        <v>3448</v>
      </c>
      <c r="E2177" s="0" t="s">
        <v>4969</v>
      </c>
      <c r="F2177" s="0" t="s">
        <v>62</v>
      </c>
      <c r="G2177" s="0" t="s">
        <v>5003</v>
      </c>
      <c r="H2177" s="0" t="s">
        <v>5706</v>
      </c>
      <c r="I2177" s="0" t="s">
        <v>5005</v>
      </c>
      <c r="J2177" s="20" t="s">
        <v>25</v>
      </c>
    </row>
    <row r="2178" customFormat="false" ht="15" hidden="false" customHeight="false" outlineLevel="0" collapsed="false">
      <c r="A2178" s="0" t="s">
        <v>1867</v>
      </c>
      <c r="B2178" s="0" t="s">
        <v>134</v>
      </c>
      <c r="C2178" s="0" t="s">
        <v>3447</v>
      </c>
      <c r="D2178" s="0" t="s">
        <v>3457</v>
      </c>
      <c r="E2178" s="0" t="s">
        <v>4969</v>
      </c>
      <c r="F2178" s="0" t="s">
        <v>64</v>
      </c>
      <c r="G2178" s="0" t="s">
        <v>4220</v>
      </c>
      <c r="H2178" s="0" t="s">
        <v>5705</v>
      </c>
      <c r="I2178" s="0" t="s">
        <v>4991</v>
      </c>
      <c r="J2178" s="20" t="s">
        <v>25</v>
      </c>
    </row>
    <row r="2179" customFormat="false" ht="15" hidden="false" customHeight="false" outlineLevel="0" collapsed="false">
      <c r="A2179" s="0" t="s">
        <v>1867</v>
      </c>
      <c r="B2179" s="0" t="s">
        <v>134</v>
      </c>
      <c r="C2179" s="0" t="s">
        <v>3450</v>
      </c>
      <c r="D2179" s="0" t="s">
        <v>3457</v>
      </c>
      <c r="E2179" s="0" t="s">
        <v>4963</v>
      </c>
      <c r="F2179" s="0" t="s">
        <v>30</v>
      </c>
      <c r="G2179" s="0" t="s">
        <v>4980</v>
      </c>
      <c r="H2179" s="0" t="s">
        <v>4473</v>
      </c>
      <c r="I2179" s="0" t="s">
        <v>4981</v>
      </c>
      <c r="J2179" s="18" t="s">
        <v>24</v>
      </c>
    </row>
    <row r="2180" customFormat="false" ht="15" hidden="false" customHeight="false" outlineLevel="0" collapsed="false">
      <c r="A2180" s="0" t="s">
        <v>1867</v>
      </c>
      <c r="B2180" s="0" t="s">
        <v>134</v>
      </c>
      <c r="C2180" s="0" t="s">
        <v>3447</v>
      </c>
      <c r="D2180" s="0" t="s">
        <v>3448</v>
      </c>
      <c r="E2180" s="0" t="s">
        <v>4963</v>
      </c>
      <c r="F2180" s="0" t="s">
        <v>30</v>
      </c>
      <c r="G2180" s="0" t="s">
        <v>4980</v>
      </c>
      <c r="H2180" s="0" t="s">
        <v>4473</v>
      </c>
      <c r="I2180" s="0" t="s">
        <v>4981</v>
      </c>
      <c r="J2180" s="18" t="s">
        <v>24</v>
      </c>
    </row>
    <row r="2181" customFormat="false" ht="15" hidden="false" customHeight="false" outlineLevel="0" collapsed="false">
      <c r="A2181" s="0" t="s">
        <v>1876</v>
      </c>
      <c r="B2181" s="0" t="s">
        <v>134</v>
      </c>
      <c r="C2181" s="0" t="s">
        <v>3450</v>
      </c>
      <c r="D2181" s="0" t="s">
        <v>3457</v>
      </c>
      <c r="E2181" s="0" t="s">
        <v>4963</v>
      </c>
      <c r="F2181" s="0" t="s">
        <v>59</v>
      </c>
      <c r="G2181" s="0" t="s">
        <v>4974</v>
      </c>
      <c r="H2181" s="0" t="s">
        <v>69</v>
      </c>
      <c r="I2181" s="0" t="s">
        <v>4975</v>
      </c>
      <c r="J2181" s="20" t="s">
        <v>25</v>
      </c>
    </row>
    <row r="2182" customFormat="false" ht="15" hidden="false" customHeight="false" outlineLevel="0" collapsed="false">
      <c r="A2182" s="0" t="s">
        <v>1876</v>
      </c>
      <c r="B2182" s="0" t="s">
        <v>134</v>
      </c>
      <c r="C2182" s="0" t="s">
        <v>3450</v>
      </c>
      <c r="D2182" s="0" t="s">
        <v>3448</v>
      </c>
      <c r="E2182" s="0" t="s">
        <v>4963</v>
      </c>
      <c r="F2182" s="0" t="s">
        <v>59</v>
      </c>
      <c r="G2182" s="0" t="s">
        <v>4974</v>
      </c>
      <c r="H2182" s="0" t="s">
        <v>69</v>
      </c>
      <c r="I2182" s="0" t="s">
        <v>4975</v>
      </c>
      <c r="J2182" s="20" t="s">
        <v>25</v>
      </c>
    </row>
    <row r="2183" customFormat="false" ht="15" hidden="false" customHeight="false" outlineLevel="0" collapsed="false">
      <c r="A2183" s="0" t="s">
        <v>1876</v>
      </c>
      <c r="B2183" s="0" t="s">
        <v>134</v>
      </c>
      <c r="C2183" s="0" t="s">
        <v>3447</v>
      </c>
      <c r="D2183" s="0" t="s">
        <v>3457</v>
      </c>
      <c r="E2183" s="0" t="s">
        <v>4963</v>
      </c>
      <c r="F2183" s="0" t="s">
        <v>59</v>
      </c>
      <c r="G2183" s="0" t="s">
        <v>4974</v>
      </c>
      <c r="H2183" s="0" t="s">
        <v>69</v>
      </c>
      <c r="I2183" s="0" t="s">
        <v>4975</v>
      </c>
      <c r="J2183" s="20" t="s">
        <v>25</v>
      </c>
    </row>
    <row r="2184" customFormat="false" ht="15" hidden="false" customHeight="false" outlineLevel="0" collapsed="false">
      <c r="A2184" s="0" t="s">
        <v>1876</v>
      </c>
      <c r="B2184" s="0" t="s">
        <v>134</v>
      </c>
      <c r="C2184" s="0" t="s">
        <v>3447</v>
      </c>
      <c r="D2184" s="0" t="s">
        <v>3448</v>
      </c>
      <c r="E2184" s="0" t="s">
        <v>4963</v>
      </c>
      <c r="F2184" s="0" t="s">
        <v>59</v>
      </c>
      <c r="G2184" s="0" t="s">
        <v>4974</v>
      </c>
      <c r="H2184" s="0" t="s">
        <v>69</v>
      </c>
      <c r="I2184" s="0" t="s">
        <v>4975</v>
      </c>
      <c r="J2184" s="20" t="s">
        <v>25</v>
      </c>
    </row>
    <row r="2185" customFormat="false" ht="15" hidden="false" customHeight="false" outlineLevel="0" collapsed="false">
      <c r="A2185" s="0" t="s">
        <v>1876</v>
      </c>
      <c r="B2185" s="0" t="s">
        <v>3459</v>
      </c>
      <c r="C2185" s="0" t="s">
        <v>3450</v>
      </c>
      <c r="D2185" s="0" t="s">
        <v>3457</v>
      </c>
      <c r="E2185" s="0" t="s">
        <v>4963</v>
      </c>
      <c r="F2185" s="0" t="s">
        <v>59</v>
      </c>
      <c r="G2185" s="0" t="s">
        <v>4974</v>
      </c>
      <c r="H2185" s="0" t="s">
        <v>69</v>
      </c>
      <c r="I2185" s="0" t="s">
        <v>4975</v>
      </c>
      <c r="J2185" s="20" t="s">
        <v>25</v>
      </c>
    </row>
    <row r="2186" customFormat="false" ht="15" hidden="false" customHeight="false" outlineLevel="0" collapsed="false">
      <c r="A2186" s="0" t="s">
        <v>1876</v>
      </c>
      <c r="B2186" s="0" t="s">
        <v>3459</v>
      </c>
      <c r="C2186" s="0" t="s">
        <v>3450</v>
      </c>
      <c r="D2186" s="0" t="s">
        <v>3448</v>
      </c>
      <c r="E2186" s="0" t="s">
        <v>4963</v>
      </c>
      <c r="F2186" s="0" t="s">
        <v>59</v>
      </c>
      <c r="G2186" s="0" t="s">
        <v>4974</v>
      </c>
      <c r="H2186" s="0" t="s">
        <v>69</v>
      </c>
      <c r="I2186" s="0" t="s">
        <v>4975</v>
      </c>
      <c r="J2186" s="20" t="s">
        <v>25</v>
      </c>
    </row>
    <row r="2187" customFormat="false" ht="15" hidden="false" customHeight="false" outlineLevel="0" collapsed="false">
      <c r="A2187" s="0" t="s">
        <v>1876</v>
      </c>
      <c r="B2187" s="0" t="s">
        <v>3459</v>
      </c>
      <c r="C2187" s="0" t="s">
        <v>3447</v>
      </c>
      <c r="D2187" s="0" t="s">
        <v>3457</v>
      </c>
      <c r="E2187" s="0" t="s">
        <v>4963</v>
      </c>
      <c r="F2187" s="0" t="s">
        <v>59</v>
      </c>
      <c r="G2187" s="0" t="s">
        <v>4974</v>
      </c>
      <c r="H2187" s="0" t="s">
        <v>69</v>
      </c>
      <c r="I2187" s="0" t="s">
        <v>4975</v>
      </c>
      <c r="J2187" s="20" t="s">
        <v>25</v>
      </c>
    </row>
    <row r="2188" customFormat="false" ht="15" hidden="false" customHeight="false" outlineLevel="0" collapsed="false">
      <c r="A2188" s="0" t="s">
        <v>1876</v>
      </c>
      <c r="B2188" s="0" t="s">
        <v>3459</v>
      </c>
      <c r="C2188" s="0" t="s">
        <v>3447</v>
      </c>
      <c r="D2188" s="0" t="s">
        <v>3448</v>
      </c>
      <c r="E2188" s="0" t="s">
        <v>4963</v>
      </c>
      <c r="F2188" s="0" t="s">
        <v>59</v>
      </c>
      <c r="G2188" s="0" t="s">
        <v>4974</v>
      </c>
      <c r="H2188" s="0" t="s">
        <v>69</v>
      </c>
      <c r="I2188" s="0" t="s">
        <v>4975</v>
      </c>
      <c r="J2188" s="20" t="s">
        <v>25</v>
      </c>
    </row>
    <row r="2189" customFormat="false" ht="15" hidden="false" customHeight="false" outlineLevel="0" collapsed="false">
      <c r="A2189" s="0" t="s">
        <v>1876</v>
      </c>
      <c r="B2189" s="0" t="s">
        <v>3459</v>
      </c>
      <c r="C2189" s="0" t="s">
        <v>3447</v>
      </c>
      <c r="D2189" s="0" t="s">
        <v>3448</v>
      </c>
      <c r="E2189" s="0" t="s">
        <v>4969</v>
      </c>
      <c r="F2189" s="0" t="s">
        <v>61</v>
      </c>
      <c r="G2189" s="0" t="s">
        <v>4970</v>
      </c>
      <c r="H2189" s="0" t="s">
        <v>5707</v>
      </c>
      <c r="I2189" s="0" t="s">
        <v>4972</v>
      </c>
      <c r="J2189" s="20" t="s">
        <v>25</v>
      </c>
    </row>
    <row r="2190" customFormat="false" ht="15" hidden="false" customHeight="false" outlineLevel="0" collapsed="false">
      <c r="A2190" s="0" t="s">
        <v>1876</v>
      </c>
      <c r="B2190" s="0" t="s">
        <v>134</v>
      </c>
      <c r="C2190" s="0" t="s">
        <v>3450</v>
      </c>
      <c r="D2190" s="0" t="s">
        <v>3457</v>
      </c>
      <c r="E2190" s="0" t="s">
        <v>4963</v>
      </c>
      <c r="F2190" s="0" t="s">
        <v>30</v>
      </c>
      <c r="G2190" s="0" t="s">
        <v>4980</v>
      </c>
      <c r="H2190" s="0" t="s">
        <v>4265</v>
      </c>
      <c r="I2190" s="0" t="s">
        <v>4981</v>
      </c>
      <c r="J2190" s="18" t="s">
        <v>24</v>
      </c>
    </row>
    <row r="2191" customFormat="false" ht="15" hidden="false" customHeight="false" outlineLevel="0" collapsed="false">
      <c r="A2191" s="0" t="s">
        <v>1876</v>
      </c>
      <c r="B2191" s="0" t="s">
        <v>134</v>
      </c>
      <c r="C2191" s="0" t="s">
        <v>3450</v>
      </c>
      <c r="D2191" s="0" t="s">
        <v>3448</v>
      </c>
      <c r="E2191" s="0" t="s">
        <v>4963</v>
      </c>
      <c r="F2191" s="0" t="s">
        <v>30</v>
      </c>
      <c r="G2191" s="0" t="s">
        <v>4980</v>
      </c>
      <c r="H2191" s="0" t="s">
        <v>4265</v>
      </c>
      <c r="I2191" s="0" t="s">
        <v>4981</v>
      </c>
      <c r="J2191" s="18" t="s">
        <v>24</v>
      </c>
    </row>
    <row r="2192" customFormat="false" ht="15" hidden="false" customHeight="false" outlineLevel="0" collapsed="false">
      <c r="A2192" s="0" t="s">
        <v>1876</v>
      </c>
      <c r="B2192" s="0" t="s">
        <v>134</v>
      </c>
      <c r="C2192" s="0" t="s">
        <v>3447</v>
      </c>
      <c r="D2192" s="0" t="s">
        <v>3457</v>
      </c>
      <c r="E2192" s="0" t="s">
        <v>4963</v>
      </c>
      <c r="F2192" s="0" t="s">
        <v>30</v>
      </c>
      <c r="G2192" s="0" t="s">
        <v>4980</v>
      </c>
      <c r="H2192" s="0" t="s">
        <v>4242</v>
      </c>
      <c r="I2192" s="0" t="s">
        <v>4981</v>
      </c>
      <c r="J2192" s="18" t="s">
        <v>24</v>
      </c>
    </row>
    <row r="2193" customFormat="false" ht="15" hidden="false" customHeight="false" outlineLevel="0" collapsed="false">
      <c r="A2193" s="0" t="s">
        <v>1876</v>
      </c>
      <c r="B2193" s="0" t="s">
        <v>134</v>
      </c>
      <c r="C2193" s="0" t="s">
        <v>3447</v>
      </c>
      <c r="D2193" s="0" t="s">
        <v>3448</v>
      </c>
      <c r="E2193" s="0" t="s">
        <v>4963</v>
      </c>
      <c r="F2193" s="0" t="s">
        <v>30</v>
      </c>
      <c r="G2193" s="0" t="s">
        <v>4980</v>
      </c>
      <c r="H2193" s="0" t="s">
        <v>4275</v>
      </c>
      <c r="I2193" s="0" t="s">
        <v>4981</v>
      </c>
      <c r="J2193" s="18" t="s">
        <v>24</v>
      </c>
    </row>
    <row r="2194" customFormat="false" ht="15" hidden="false" customHeight="false" outlineLevel="0" collapsed="false">
      <c r="A2194" s="0" t="s">
        <v>1876</v>
      </c>
      <c r="B2194" s="0" t="s">
        <v>3459</v>
      </c>
      <c r="C2194" s="0" t="s">
        <v>3450</v>
      </c>
      <c r="D2194" s="0" t="s">
        <v>3457</v>
      </c>
      <c r="E2194" s="0" t="s">
        <v>4963</v>
      </c>
      <c r="F2194" s="0" t="s">
        <v>30</v>
      </c>
      <c r="G2194" s="0" t="s">
        <v>4980</v>
      </c>
      <c r="H2194" s="0" t="s">
        <v>4275</v>
      </c>
      <c r="I2194" s="0" t="s">
        <v>4981</v>
      </c>
      <c r="J2194" s="18" t="s">
        <v>24</v>
      </c>
    </row>
    <row r="2195" customFormat="false" ht="15" hidden="false" customHeight="false" outlineLevel="0" collapsed="false">
      <c r="A2195" s="0" t="s">
        <v>1876</v>
      </c>
      <c r="B2195" s="0" t="s">
        <v>3459</v>
      </c>
      <c r="C2195" s="0" t="s">
        <v>3450</v>
      </c>
      <c r="D2195" s="0" t="s">
        <v>3448</v>
      </c>
      <c r="E2195" s="0" t="s">
        <v>4963</v>
      </c>
      <c r="F2195" s="0" t="s">
        <v>30</v>
      </c>
      <c r="G2195" s="0" t="s">
        <v>4980</v>
      </c>
      <c r="H2195" s="0" t="s">
        <v>4275</v>
      </c>
      <c r="I2195" s="0" t="s">
        <v>4981</v>
      </c>
      <c r="J2195" s="18" t="s">
        <v>24</v>
      </c>
    </row>
    <row r="2196" customFormat="false" ht="15" hidden="false" customHeight="false" outlineLevel="0" collapsed="false">
      <c r="A2196" s="0" t="s">
        <v>1876</v>
      </c>
      <c r="B2196" s="0" t="s">
        <v>3459</v>
      </c>
      <c r="C2196" s="0" t="s">
        <v>3447</v>
      </c>
      <c r="D2196" s="0" t="s">
        <v>3457</v>
      </c>
      <c r="E2196" s="0" t="s">
        <v>4963</v>
      </c>
      <c r="F2196" s="0" t="s">
        <v>30</v>
      </c>
      <c r="G2196" s="0" t="s">
        <v>4980</v>
      </c>
      <c r="H2196" s="0" t="s">
        <v>4275</v>
      </c>
      <c r="I2196" s="0" t="s">
        <v>4981</v>
      </c>
      <c r="J2196" s="18" t="s">
        <v>24</v>
      </c>
    </row>
    <row r="2197" customFormat="false" ht="15" hidden="false" customHeight="false" outlineLevel="0" collapsed="false">
      <c r="A2197" s="0" t="s">
        <v>1876</v>
      </c>
      <c r="B2197" s="0" t="s">
        <v>3459</v>
      </c>
      <c r="C2197" s="0" t="s">
        <v>3447</v>
      </c>
      <c r="D2197" s="0" t="s">
        <v>3448</v>
      </c>
      <c r="E2197" s="0" t="s">
        <v>4963</v>
      </c>
      <c r="F2197" s="0" t="s">
        <v>30</v>
      </c>
      <c r="G2197" s="0" t="s">
        <v>4980</v>
      </c>
      <c r="H2197" s="0" t="s">
        <v>4676</v>
      </c>
      <c r="I2197" s="0" t="s">
        <v>4981</v>
      </c>
      <c r="J2197" s="18" t="s">
        <v>24</v>
      </c>
    </row>
    <row r="2198" customFormat="false" ht="15" hidden="false" customHeight="false" outlineLevel="0" collapsed="false">
      <c r="A2198" s="0" t="s">
        <v>1899</v>
      </c>
      <c r="B2198" s="0" t="s">
        <v>134</v>
      </c>
      <c r="C2198" s="0" t="s">
        <v>3447</v>
      </c>
      <c r="D2198" s="0" t="s">
        <v>3457</v>
      </c>
      <c r="E2198" s="0" t="s">
        <v>4963</v>
      </c>
      <c r="F2198" s="0" t="s">
        <v>60</v>
      </c>
      <c r="G2198" s="0" t="s">
        <v>4964</v>
      </c>
      <c r="H2198" s="0" t="s">
        <v>5708</v>
      </c>
      <c r="I2198" s="0" t="s">
        <v>4966</v>
      </c>
      <c r="J2198" s="19" t="s">
        <v>26</v>
      </c>
    </row>
    <row r="2199" customFormat="false" ht="15" hidden="false" customHeight="false" outlineLevel="0" collapsed="false">
      <c r="A2199" s="0" t="s">
        <v>1899</v>
      </c>
      <c r="B2199" s="0" t="s">
        <v>134</v>
      </c>
      <c r="C2199" s="0" t="s">
        <v>3447</v>
      </c>
      <c r="D2199" s="0" t="s">
        <v>3448</v>
      </c>
      <c r="E2199" s="0" t="s">
        <v>4963</v>
      </c>
      <c r="F2199" s="0" t="s">
        <v>60</v>
      </c>
      <c r="G2199" s="0" t="s">
        <v>4964</v>
      </c>
      <c r="H2199" s="0" t="s">
        <v>5709</v>
      </c>
      <c r="I2199" s="0" t="s">
        <v>4966</v>
      </c>
      <c r="J2199" s="19" t="s">
        <v>26</v>
      </c>
    </row>
    <row r="2200" customFormat="false" ht="15" hidden="false" customHeight="false" outlineLevel="0" collapsed="false">
      <c r="A2200" s="0" t="s">
        <v>1899</v>
      </c>
      <c r="B2200" s="0" t="s">
        <v>134</v>
      </c>
      <c r="C2200" s="0" t="s">
        <v>3450</v>
      </c>
      <c r="D2200" s="0" t="s">
        <v>3457</v>
      </c>
      <c r="E2200" s="0" t="s">
        <v>4963</v>
      </c>
      <c r="F2200" s="0" t="s">
        <v>59</v>
      </c>
      <c r="G2200" s="0" t="s">
        <v>4974</v>
      </c>
      <c r="H2200" s="0" t="s">
        <v>69</v>
      </c>
      <c r="I2200" s="0" t="s">
        <v>4975</v>
      </c>
      <c r="J2200" s="20" t="s">
        <v>25</v>
      </c>
    </row>
    <row r="2201" customFormat="false" ht="15" hidden="false" customHeight="false" outlineLevel="0" collapsed="false">
      <c r="A2201" s="0" t="s">
        <v>1899</v>
      </c>
      <c r="B2201" s="0" t="s">
        <v>134</v>
      </c>
      <c r="C2201" s="0" t="s">
        <v>3450</v>
      </c>
      <c r="D2201" s="0" t="s">
        <v>3448</v>
      </c>
      <c r="E2201" s="0" t="s">
        <v>4963</v>
      </c>
      <c r="F2201" s="0" t="s">
        <v>59</v>
      </c>
      <c r="G2201" s="0" t="s">
        <v>4974</v>
      </c>
      <c r="H2201" s="0" t="s">
        <v>69</v>
      </c>
      <c r="I2201" s="0" t="s">
        <v>4975</v>
      </c>
      <c r="J2201" s="20" t="s">
        <v>25</v>
      </c>
    </row>
    <row r="2202" customFormat="false" ht="15" hidden="false" customHeight="false" outlineLevel="0" collapsed="false">
      <c r="A2202" s="0" t="s">
        <v>1899</v>
      </c>
      <c r="B2202" s="0" t="s">
        <v>134</v>
      </c>
      <c r="C2202" s="0" t="s">
        <v>3447</v>
      </c>
      <c r="D2202" s="0" t="s">
        <v>3457</v>
      </c>
      <c r="E2202" s="0" t="s">
        <v>4963</v>
      </c>
      <c r="F2202" s="0" t="s">
        <v>59</v>
      </c>
      <c r="G2202" s="0" t="s">
        <v>4974</v>
      </c>
      <c r="H2202" s="0" t="s">
        <v>69</v>
      </c>
      <c r="I2202" s="0" t="s">
        <v>4975</v>
      </c>
      <c r="J2202" s="20" t="s">
        <v>25</v>
      </c>
    </row>
    <row r="2203" customFormat="false" ht="15" hidden="false" customHeight="false" outlineLevel="0" collapsed="false">
      <c r="A2203" s="0" t="s">
        <v>1899</v>
      </c>
      <c r="B2203" s="0" t="s">
        <v>134</v>
      </c>
      <c r="C2203" s="0" t="s">
        <v>3450</v>
      </c>
      <c r="D2203" s="0" t="s">
        <v>3457</v>
      </c>
      <c r="E2203" s="0" t="s">
        <v>4963</v>
      </c>
      <c r="F2203" s="0" t="s">
        <v>30</v>
      </c>
      <c r="G2203" s="0" t="s">
        <v>4980</v>
      </c>
      <c r="H2203" s="0" t="s">
        <v>4275</v>
      </c>
      <c r="I2203" s="0" t="s">
        <v>4981</v>
      </c>
      <c r="J2203" s="18" t="s">
        <v>24</v>
      </c>
    </row>
    <row r="2204" customFormat="false" ht="15" hidden="false" customHeight="false" outlineLevel="0" collapsed="false">
      <c r="A2204" s="0" t="s">
        <v>1899</v>
      </c>
      <c r="B2204" s="0" t="s">
        <v>134</v>
      </c>
      <c r="C2204" s="0" t="s">
        <v>3450</v>
      </c>
      <c r="D2204" s="0" t="s">
        <v>3448</v>
      </c>
      <c r="E2204" s="0" t="s">
        <v>4963</v>
      </c>
      <c r="F2204" s="0" t="s">
        <v>30</v>
      </c>
      <c r="G2204" s="0" t="s">
        <v>4980</v>
      </c>
      <c r="H2204" s="0" t="s">
        <v>4275</v>
      </c>
      <c r="I2204" s="0" t="s">
        <v>4981</v>
      </c>
      <c r="J2204" s="18" t="s">
        <v>24</v>
      </c>
    </row>
    <row r="2205" customFormat="false" ht="15" hidden="false" customHeight="false" outlineLevel="0" collapsed="false">
      <c r="A2205" s="0" t="s">
        <v>1908</v>
      </c>
      <c r="B2205" s="0" t="s">
        <v>134</v>
      </c>
      <c r="C2205" s="0" t="s">
        <v>3450</v>
      </c>
      <c r="D2205" s="0" t="s">
        <v>3457</v>
      </c>
      <c r="E2205" s="0" t="s">
        <v>4969</v>
      </c>
      <c r="F2205" s="0" t="s">
        <v>62</v>
      </c>
      <c r="G2205" s="0" t="s">
        <v>5003</v>
      </c>
      <c r="H2205" s="0" t="s">
        <v>5710</v>
      </c>
      <c r="I2205" s="0" t="s">
        <v>5005</v>
      </c>
      <c r="J2205" s="20" t="s">
        <v>25</v>
      </c>
    </row>
    <row r="2206" customFormat="false" ht="15" hidden="false" customHeight="false" outlineLevel="0" collapsed="false">
      <c r="A2206" s="0" t="s">
        <v>1908</v>
      </c>
      <c r="B2206" s="0" t="s">
        <v>134</v>
      </c>
      <c r="C2206" s="0" t="s">
        <v>3450</v>
      </c>
      <c r="D2206" s="0" t="s">
        <v>3448</v>
      </c>
      <c r="E2206" s="0" t="s">
        <v>4963</v>
      </c>
      <c r="F2206" s="0" t="s">
        <v>59</v>
      </c>
      <c r="G2206" s="0" t="s">
        <v>4974</v>
      </c>
      <c r="H2206" s="0" t="s">
        <v>69</v>
      </c>
      <c r="I2206" s="0" t="s">
        <v>4975</v>
      </c>
      <c r="J2206" s="20" t="s">
        <v>25</v>
      </c>
    </row>
    <row r="2207" customFormat="false" ht="15" hidden="false" customHeight="false" outlineLevel="0" collapsed="false">
      <c r="A2207" s="0" t="s">
        <v>1908</v>
      </c>
      <c r="B2207" s="0" t="s">
        <v>134</v>
      </c>
      <c r="C2207" s="0" t="s">
        <v>3450</v>
      </c>
      <c r="D2207" s="0" t="s">
        <v>3448</v>
      </c>
      <c r="E2207" s="0" t="s">
        <v>4969</v>
      </c>
      <c r="F2207" s="0" t="s">
        <v>61</v>
      </c>
      <c r="G2207" s="0" t="s">
        <v>4970</v>
      </c>
      <c r="H2207" s="0" t="s">
        <v>5711</v>
      </c>
      <c r="I2207" s="0" t="s">
        <v>4972</v>
      </c>
      <c r="J2207" s="20" t="s">
        <v>25</v>
      </c>
    </row>
    <row r="2208" customFormat="false" ht="15" hidden="false" customHeight="false" outlineLevel="0" collapsed="false">
      <c r="A2208" s="0" t="s">
        <v>1908</v>
      </c>
      <c r="B2208" s="0" t="s">
        <v>134</v>
      </c>
      <c r="C2208" s="0" t="s">
        <v>3450</v>
      </c>
      <c r="D2208" s="0" t="s">
        <v>3448</v>
      </c>
      <c r="E2208" s="0" t="s">
        <v>4969</v>
      </c>
      <c r="F2208" s="0" t="s">
        <v>62</v>
      </c>
      <c r="G2208" s="0" t="s">
        <v>5003</v>
      </c>
      <c r="H2208" s="0" t="s">
        <v>5712</v>
      </c>
      <c r="I2208" s="0" t="s">
        <v>5005</v>
      </c>
      <c r="J2208" s="20" t="s">
        <v>25</v>
      </c>
    </row>
    <row r="2209" customFormat="false" ht="15" hidden="false" customHeight="false" outlineLevel="0" collapsed="false">
      <c r="A2209" s="0" t="s">
        <v>1908</v>
      </c>
      <c r="B2209" s="0" t="s">
        <v>134</v>
      </c>
      <c r="C2209" s="0" t="s">
        <v>3450</v>
      </c>
      <c r="D2209" s="0" t="s">
        <v>3448</v>
      </c>
      <c r="E2209" s="0" t="s">
        <v>4969</v>
      </c>
      <c r="F2209" s="0" t="s">
        <v>64</v>
      </c>
      <c r="G2209" s="0" t="s">
        <v>4220</v>
      </c>
      <c r="H2209" s="0" t="s">
        <v>5713</v>
      </c>
      <c r="I2209" s="0" t="s">
        <v>4991</v>
      </c>
      <c r="J2209" s="20" t="s">
        <v>25</v>
      </c>
    </row>
    <row r="2210" customFormat="false" ht="15" hidden="false" customHeight="false" outlineLevel="0" collapsed="false">
      <c r="A2210" s="0" t="s">
        <v>1908</v>
      </c>
      <c r="B2210" s="0" t="s">
        <v>134</v>
      </c>
      <c r="C2210" s="0" t="s">
        <v>3447</v>
      </c>
      <c r="D2210" s="0" t="s">
        <v>3448</v>
      </c>
      <c r="E2210" s="0" t="s">
        <v>4969</v>
      </c>
      <c r="F2210" s="0" t="s">
        <v>64</v>
      </c>
      <c r="G2210" s="0" t="s">
        <v>4220</v>
      </c>
      <c r="H2210" s="0" t="s">
        <v>5713</v>
      </c>
      <c r="I2210" s="0" t="s">
        <v>4991</v>
      </c>
      <c r="J2210" s="20" t="s">
        <v>25</v>
      </c>
    </row>
    <row r="2211" customFormat="false" ht="15" hidden="false" customHeight="false" outlineLevel="0" collapsed="false">
      <c r="A2211" s="0" t="s">
        <v>1908</v>
      </c>
      <c r="B2211" s="0" t="s">
        <v>3459</v>
      </c>
      <c r="C2211" s="0" t="s">
        <v>3450</v>
      </c>
      <c r="D2211" s="0" t="s">
        <v>3457</v>
      </c>
      <c r="E2211" s="0" t="s">
        <v>4963</v>
      </c>
      <c r="F2211" s="0" t="s">
        <v>59</v>
      </c>
      <c r="G2211" s="0" t="s">
        <v>4974</v>
      </c>
      <c r="H2211" s="0" t="s">
        <v>69</v>
      </c>
      <c r="I2211" s="0" t="s">
        <v>4975</v>
      </c>
      <c r="J2211" s="20" t="s">
        <v>25</v>
      </c>
    </row>
    <row r="2212" customFormat="false" ht="15" hidden="false" customHeight="false" outlineLevel="0" collapsed="false">
      <c r="A2212" s="0" t="s">
        <v>1908</v>
      </c>
      <c r="B2212" s="0" t="s">
        <v>3459</v>
      </c>
      <c r="C2212" s="0" t="s">
        <v>3450</v>
      </c>
      <c r="D2212" s="0" t="s">
        <v>3457</v>
      </c>
      <c r="E2212" s="0" t="s">
        <v>4969</v>
      </c>
      <c r="F2212" s="0" t="s">
        <v>62</v>
      </c>
      <c r="G2212" s="0" t="s">
        <v>5003</v>
      </c>
      <c r="H2212" s="0" t="s">
        <v>5714</v>
      </c>
      <c r="I2212" s="0" t="s">
        <v>5005</v>
      </c>
      <c r="J2212" s="20" t="s">
        <v>25</v>
      </c>
    </row>
    <row r="2213" customFormat="false" ht="15" hidden="false" customHeight="false" outlineLevel="0" collapsed="false">
      <c r="A2213" s="0" t="s">
        <v>1908</v>
      </c>
      <c r="B2213" s="0" t="s">
        <v>3459</v>
      </c>
      <c r="C2213" s="0" t="s">
        <v>3450</v>
      </c>
      <c r="D2213" s="0" t="s">
        <v>3457</v>
      </c>
      <c r="E2213" s="0" t="s">
        <v>4969</v>
      </c>
      <c r="F2213" s="0" t="s">
        <v>63</v>
      </c>
      <c r="G2213" s="0" t="s">
        <v>4220</v>
      </c>
      <c r="H2213" s="0" t="s">
        <v>5715</v>
      </c>
      <c r="I2213" s="0" t="s">
        <v>4979</v>
      </c>
      <c r="J2213" s="20" t="s">
        <v>25</v>
      </c>
    </row>
    <row r="2214" customFormat="false" ht="15" hidden="false" customHeight="false" outlineLevel="0" collapsed="false">
      <c r="A2214" s="0" t="s">
        <v>1908</v>
      </c>
      <c r="B2214" s="0" t="s">
        <v>3459</v>
      </c>
      <c r="C2214" s="0" t="s">
        <v>3450</v>
      </c>
      <c r="D2214" s="0" t="s">
        <v>3448</v>
      </c>
      <c r="E2214" s="0" t="s">
        <v>4963</v>
      </c>
      <c r="F2214" s="0" t="s">
        <v>59</v>
      </c>
      <c r="G2214" s="0" t="s">
        <v>4974</v>
      </c>
      <c r="H2214" s="0" t="s">
        <v>69</v>
      </c>
      <c r="I2214" s="0" t="s">
        <v>4975</v>
      </c>
      <c r="J2214" s="20" t="s">
        <v>25</v>
      </c>
    </row>
    <row r="2215" customFormat="false" ht="15" hidden="false" customHeight="false" outlineLevel="0" collapsed="false">
      <c r="A2215" s="0" t="s">
        <v>1908</v>
      </c>
      <c r="B2215" s="0" t="s">
        <v>3459</v>
      </c>
      <c r="C2215" s="0" t="s">
        <v>3450</v>
      </c>
      <c r="D2215" s="0" t="s">
        <v>3448</v>
      </c>
      <c r="E2215" s="0" t="s">
        <v>4969</v>
      </c>
      <c r="F2215" s="0" t="s">
        <v>62</v>
      </c>
      <c r="G2215" s="0" t="s">
        <v>5003</v>
      </c>
      <c r="H2215" s="0" t="s">
        <v>5716</v>
      </c>
      <c r="I2215" s="0" t="s">
        <v>5005</v>
      </c>
      <c r="J2215" s="20" t="s">
        <v>25</v>
      </c>
    </row>
    <row r="2216" customFormat="false" ht="15" hidden="false" customHeight="false" outlineLevel="0" collapsed="false">
      <c r="A2216" s="0" t="s">
        <v>1908</v>
      </c>
      <c r="B2216" s="0" t="s">
        <v>3459</v>
      </c>
      <c r="C2216" s="0" t="s">
        <v>3450</v>
      </c>
      <c r="D2216" s="0" t="s">
        <v>3448</v>
      </c>
      <c r="E2216" s="0" t="s">
        <v>4969</v>
      </c>
      <c r="F2216" s="0" t="s">
        <v>64</v>
      </c>
      <c r="G2216" s="0" t="s">
        <v>4220</v>
      </c>
      <c r="H2216" s="0" t="s">
        <v>5717</v>
      </c>
      <c r="I2216" s="0" t="s">
        <v>4991</v>
      </c>
      <c r="J2216" s="20" t="s">
        <v>25</v>
      </c>
    </row>
    <row r="2217" customFormat="false" ht="15" hidden="false" customHeight="false" outlineLevel="0" collapsed="false">
      <c r="A2217" s="0" t="s">
        <v>1908</v>
      </c>
      <c r="B2217" s="0" t="s">
        <v>3459</v>
      </c>
      <c r="C2217" s="0" t="s">
        <v>3447</v>
      </c>
      <c r="D2217" s="0" t="s">
        <v>3457</v>
      </c>
      <c r="E2217" s="0" t="s">
        <v>4969</v>
      </c>
      <c r="F2217" s="0" t="s">
        <v>63</v>
      </c>
      <c r="G2217" s="0" t="s">
        <v>4220</v>
      </c>
      <c r="H2217" s="0" t="s">
        <v>5715</v>
      </c>
      <c r="I2217" s="0" t="s">
        <v>4979</v>
      </c>
      <c r="J2217" s="20" t="s">
        <v>25</v>
      </c>
    </row>
    <row r="2218" customFormat="false" ht="15" hidden="false" customHeight="false" outlineLevel="0" collapsed="false">
      <c r="A2218" s="0" t="s">
        <v>1908</v>
      </c>
      <c r="B2218" s="0" t="s">
        <v>3459</v>
      </c>
      <c r="C2218" s="0" t="s">
        <v>3447</v>
      </c>
      <c r="D2218" s="0" t="s">
        <v>3448</v>
      </c>
      <c r="E2218" s="0" t="s">
        <v>4969</v>
      </c>
      <c r="F2218" s="0" t="s">
        <v>64</v>
      </c>
      <c r="G2218" s="0" t="s">
        <v>4220</v>
      </c>
      <c r="H2218" s="0" t="s">
        <v>5717</v>
      </c>
      <c r="I2218" s="0" t="s">
        <v>4991</v>
      </c>
      <c r="J2218" s="20" t="s">
        <v>25</v>
      </c>
    </row>
    <row r="2219" customFormat="false" ht="15" hidden="false" customHeight="false" outlineLevel="0" collapsed="false">
      <c r="A2219" s="0" t="s">
        <v>1908</v>
      </c>
      <c r="B2219" s="0" t="s">
        <v>134</v>
      </c>
      <c r="C2219" s="0" t="s">
        <v>3450</v>
      </c>
      <c r="D2219" s="0" t="s">
        <v>3457</v>
      </c>
      <c r="E2219" s="0" t="s">
        <v>4963</v>
      </c>
      <c r="F2219" s="0" t="s">
        <v>30</v>
      </c>
      <c r="G2219" s="0" t="s">
        <v>4980</v>
      </c>
      <c r="H2219" s="0" t="s">
        <v>4609</v>
      </c>
      <c r="I2219" s="0" t="s">
        <v>4981</v>
      </c>
      <c r="J2219" s="18" t="s">
        <v>24</v>
      </c>
    </row>
    <row r="2220" customFormat="false" ht="15" hidden="false" customHeight="false" outlineLevel="0" collapsed="false">
      <c r="A2220" s="0" t="s">
        <v>1908</v>
      </c>
      <c r="B2220" s="0" t="s">
        <v>134</v>
      </c>
      <c r="C2220" s="0" t="s">
        <v>3450</v>
      </c>
      <c r="D2220" s="0" t="s">
        <v>3448</v>
      </c>
      <c r="E2220" s="0" t="s">
        <v>4963</v>
      </c>
      <c r="F2220" s="0" t="s">
        <v>30</v>
      </c>
      <c r="G2220" s="0" t="s">
        <v>4980</v>
      </c>
      <c r="H2220" s="0" t="s">
        <v>4242</v>
      </c>
      <c r="I2220" s="0" t="s">
        <v>4981</v>
      </c>
      <c r="J2220" s="18" t="s">
        <v>24</v>
      </c>
    </row>
    <row r="2221" customFormat="false" ht="15" hidden="false" customHeight="false" outlineLevel="0" collapsed="false">
      <c r="A2221" s="0" t="s">
        <v>1908</v>
      </c>
      <c r="B2221" s="0" t="s">
        <v>134</v>
      </c>
      <c r="C2221" s="0" t="s">
        <v>3447</v>
      </c>
      <c r="D2221" s="0" t="s">
        <v>3457</v>
      </c>
      <c r="E2221" s="0" t="s">
        <v>4963</v>
      </c>
      <c r="F2221" s="0" t="s">
        <v>30</v>
      </c>
      <c r="G2221" s="0" t="s">
        <v>4980</v>
      </c>
      <c r="H2221" s="0" t="s">
        <v>4679</v>
      </c>
      <c r="I2221" s="0" t="s">
        <v>4981</v>
      </c>
      <c r="J2221" s="18" t="s">
        <v>24</v>
      </c>
    </row>
    <row r="2222" customFormat="false" ht="15" hidden="false" customHeight="false" outlineLevel="0" collapsed="false">
      <c r="A2222" s="0" t="s">
        <v>1908</v>
      </c>
      <c r="B2222" s="0" t="s">
        <v>134</v>
      </c>
      <c r="C2222" s="0" t="s">
        <v>3447</v>
      </c>
      <c r="D2222" s="0" t="s">
        <v>3448</v>
      </c>
      <c r="E2222" s="0" t="s">
        <v>4963</v>
      </c>
      <c r="F2222" s="0" t="s">
        <v>30</v>
      </c>
      <c r="G2222" s="0" t="s">
        <v>4980</v>
      </c>
      <c r="H2222" s="0" t="s">
        <v>4293</v>
      </c>
      <c r="I2222" s="0" t="s">
        <v>4981</v>
      </c>
      <c r="J2222" s="18" t="s">
        <v>24</v>
      </c>
    </row>
    <row r="2223" customFormat="false" ht="15" hidden="false" customHeight="false" outlineLevel="0" collapsed="false">
      <c r="A2223" s="0" t="s">
        <v>1908</v>
      </c>
      <c r="B2223" s="0" t="s">
        <v>3459</v>
      </c>
      <c r="C2223" s="0" t="s">
        <v>3450</v>
      </c>
      <c r="D2223" s="0" t="s">
        <v>3457</v>
      </c>
      <c r="E2223" s="0" t="s">
        <v>4963</v>
      </c>
      <c r="F2223" s="0" t="s">
        <v>30</v>
      </c>
      <c r="G2223" s="0" t="s">
        <v>4980</v>
      </c>
      <c r="H2223" s="0" t="s">
        <v>4419</v>
      </c>
      <c r="I2223" s="0" t="s">
        <v>4981</v>
      </c>
      <c r="J2223" s="18" t="s">
        <v>24</v>
      </c>
    </row>
    <row r="2224" customFormat="false" ht="15" hidden="false" customHeight="false" outlineLevel="0" collapsed="false">
      <c r="A2224" s="0" t="s">
        <v>1908</v>
      </c>
      <c r="B2224" s="0" t="s">
        <v>3459</v>
      </c>
      <c r="C2224" s="0" t="s">
        <v>3450</v>
      </c>
      <c r="D2224" s="0" t="s">
        <v>3448</v>
      </c>
      <c r="E2224" s="0" t="s">
        <v>4963</v>
      </c>
      <c r="F2224" s="0" t="s">
        <v>30</v>
      </c>
      <c r="G2224" s="0" t="s">
        <v>4980</v>
      </c>
      <c r="H2224" s="0" t="s">
        <v>4265</v>
      </c>
      <c r="I2224" s="0" t="s">
        <v>4981</v>
      </c>
      <c r="J2224" s="18" t="s">
        <v>24</v>
      </c>
    </row>
    <row r="2225" customFormat="false" ht="15" hidden="false" customHeight="false" outlineLevel="0" collapsed="false">
      <c r="A2225" s="0" t="s">
        <v>1908</v>
      </c>
      <c r="B2225" s="0" t="s">
        <v>3459</v>
      </c>
      <c r="C2225" s="0" t="s">
        <v>3447</v>
      </c>
      <c r="D2225" s="0" t="s">
        <v>3457</v>
      </c>
      <c r="E2225" s="0" t="s">
        <v>4963</v>
      </c>
      <c r="F2225" s="0" t="s">
        <v>30</v>
      </c>
      <c r="G2225" s="0" t="s">
        <v>4980</v>
      </c>
      <c r="H2225" s="0" t="s">
        <v>4680</v>
      </c>
      <c r="I2225" s="0" t="s">
        <v>4981</v>
      </c>
      <c r="J2225" s="18" t="s">
        <v>24</v>
      </c>
    </row>
    <row r="2226" customFormat="false" ht="15" hidden="false" customHeight="false" outlineLevel="0" collapsed="false">
      <c r="A2226" s="0" t="s">
        <v>1923</v>
      </c>
      <c r="B2226" s="0" t="s">
        <v>134</v>
      </c>
      <c r="C2226" s="0" t="s">
        <v>3450</v>
      </c>
      <c r="D2226" s="0" t="s">
        <v>3457</v>
      </c>
      <c r="E2226" s="0" t="s">
        <v>4963</v>
      </c>
      <c r="F2226" s="0" t="s">
        <v>60</v>
      </c>
      <c r="G2226" s="0" t="s">
        <v>4964</v>
      </c>
      <c r="H2226" s="0" t="s">
        <v>5009</v>
      </c>
      <c r="I2226" s="0" t="s">
        <v>4966</v>
      </c>
      <c r="J2226" s="19" t="s">
        <v>26</v>
      </c>
    </row>
    <row r="2227" customFormat="false" ht="15" hidden="false" customHeight="false" outlineLevel="0" collapsed="false">
      <c r="A2227" s="0" t="s">
        <v>1923</v>
      </c>
      <c r="B2227" s="0" t="s">
        <v>134</v>
      </c>
      <c r="C2227" s="0" t="s">
        <v>3450</v>
      </c>
      <c r="D2227" s="0" t="s">
        <v>3448</v>
      </c>
      <c r="E2227" s="0" t="s">
        <v>4963</v>
      </c>
      <c r="F2227" s="0" t="s">
        <v>60</v>
      </c>
      <c r="G2227" s="0" t="s">
        <v>4964</v>
      </c>
      <c r="H2227" s="0" t="s">
        <v>5010</v>
      </c>
      <c r="I2227" s="0" t="s">
        <v>4966</v>
      </c>
      <c r="J2227" s="19" t="s">
        <v>26</v>
      </c>
    </row>
    <row r="2228" customFormat="false" ht="15" hidden="false" customHeight="false" outlineLevel="0" collapsed="false">
      <c r="A2228" s="0" t="s">
        <v>1923</v>
      </c>
      <c r="B2228" s="0" t="s">
        <v>134</v>
      </c>
      <c r="C2228" s="0" t="s">
        <v>3447</v>
      </c>
      <c r="D2228" s="0" t="s">
        <v>3457</v>
      </c>
      <c r="E2228" s="0" t="s">
        <v>4963</v>
      </c>
      <c r="F2228" s="0" t="s">
        <v>60</v>
      </c>
      <c r="G2228" s="0" t="s">
        <v>4964</v>
      </c>
      <c r="H2228" s="0" t="s">
        <v>5009</v>
      </c>
      <c r="I2228" s="0" t="s">
        <v>4966</v>
      </c>
      <c r="J2228" s="19" t="s">
        <v>26</v>
      </c>
    </row>
    <row r="2229" customFormat="false" ht="15" hidden="false" customHeight="false" outlineLevel="0" collapsed="false">
      <c r="A2229" s="0" t="s">
        <v>1923</v>
      </c>
      <c r="B2229" s="0" t="s">
        <v>134</v>
      </c>
      <c r="C2229" s="0" t="s">
        <v>3447</v>
      </c>
      <c r="D2229" s="0" t="s">
        <v>3448</v>
      </c>
      <c r="E2229" s="0" t="s">
        <v>4963</v>
      </c>
      <c r="F2229" s="0" t="s">
        <v>60</v>
      </c>
      <c r="G2229" s="0" t="s">
        <v>4964</v>
      </c>
      <c r="H2229" s="0" t="s">
        <v>4965</v>
      </c>
      <c r="I2229" s="0" t="s">
        <v>4966</v>
      </c>
      <c r="J2229" s="19" t="s">
        <v>26</v>
      </c>
    </row>
    <row r="2230" customFormat="false" ht="15" hidden="false" customHeight="false" outlineLevel="0" collapsed="false">
      <c r="A2230" s="0" t="s">
        <v>1923</v>
      </c>
      <c r="B2230" s="0" t="s">
        <v>3459</v>
      </c>
      <c r="C2230" s="0" t="s">
        <v>3450</v>
      </c>
      <c r="D2230" s="0" t="s">
        <v>3457</v>
      </c>
      <c r="E2230" s="0" t="s">
        <v>4963</v>
      </c>
      <c r="F2230" s="0" t="s">
        <v>60</v>
      </c>
      <c r="G2230" s="0" t="s">
        <v>4964</v>
      </c>
      <c r="H2230" s="0" t="s">
        <v>5151</v>
      </c>
      <c r="I2230" s="0" t="s">
        <v>4966</v>
      </c>
      <c r="J2230" s="19" t="s">
        <v>26</v>
      </c>
    </row>
    <row r="2231" customFormat="false" ht="15" hidden="false" customHeight="false" outlineLevel="0" collapsed="false">
      <c r="A2231" s="0" t="s">
        <v>1923</v>
      </c>
      <c r="B2231" s="0" t="s">
        <v>3459</v>
      </c>
      <c r="C2231" s="0" t="s">
        <v>3450</v>
      </c>
      <c r="D2231" s="0" t="s">
        <v>3448</v>
      </c>
      <c r="E2231" s="0" t="s">
        <v>4963</v>
      </c>
      <c r="F2231" s="0" t="s">
        <v>60</v>
      </c>
      <c r="G2231" s="0" t="s">
        <v>4964</v>
      </c>
      <c r="H2231" s="0" t="s">
        <v>5016</v>
      </c>
      <c r="I2231" s="0" t="s">
        <v>4966</v>
      </c>
      <c r="J2231" s="19" t="s">
        <v>26</v>
      </c>
    </row>
    <row r="2232" customFormat="false" ht="15" hidden="false" customHeight="false" outlineLevel="0" collapsed="false">
      <c r="A2232" s="0" t="s">
        <v>1923</v>
      </c>
      <c r="B2232" s="0" t="s">
        <v>3459</v>
      </c>
      <c r="C2232" s="0" t="s">
        <v>3447</v>
      </c>
      <c r="D2232" s="0" t="s">
        <v>3457</v>
      </c>
      <c r="E2232" s="0" t="s">
        <v>4963</v>
      </c>
      <c r="F2232" s="0" t="s">
        <v>60</v>
      </c>
      <c r="G2232" s="0" t="s">
        <v>4964</v>
      </c>
      <c r="H2232" s="0" t="s">
        <v>5016</v>
      </c>
      <c r="I2232" s="0" t="s">
        <v>4966</v>
      </c>
      <c r="J2232" s="19" t="s">
        <v>26</v>
      </c>
    </row>
    <row r="2233" customFormat="false" ht="15" hidden="false" customHeight="false" outlineLevel="0" collapsed="false">
      <c r="A2233" s="0" t="s">
        <v>1923</v>
      </c>
      <c r="B2233" s="0" t="s">
        <v>3459</v>
      </c>
      <c r="C2233" s="0" t="s">
        <v>3447</v>
      </c>
      <c r="D2233" s="0" t="s">
        <v>3448</v>
      </c>
      <c r="E2233" s="0" t="s">
        <v>4963</v>
      </c>
      <c r="F2233" s="0" t="s">
        <v>60</v>
      </c>
      <c r="G2233" s="0" t="s">
        <v>4964</v>
      </c>
      <c r="H2233" s="0" t="s">
        <v>5016</v>
      </c>
      <c r="I2233" s="0" t="s">
        <v>4966</v>
      </c>
      <c r="J2233" s="19" t="s">
        <v>26</v>
      </c>
    </row>
    <row r="2234" customFormat="false" ht="15" hidden="false" customHeight="false" outlineLevel="0" collapsed="false">
      <c r="A2234" s="0" t="s">
        <v>1923</v>
      </c>
      <c r="B2234" s="0" t="s">
        <v>134</v>
      </c>
      <c r="C2234" s="0" t="s">
        <v>3450</v>
      </c>
      <c r="D2234" s="0" t="s">
        <v>3457</v>
      </c>
      <c r="E2234" s="0" t="s">
        <v>4963</v>
      </c>
      <c r="F2234" s="0" t="s">
        <v>59</v>
      </c>
      <c r="G2234" s="0" t="s">
        <v>4974</v>
      </c>
      <c r="H2234" s="0" t="s">
        <v>69</v>
      </c>
      <c r="I2234" s="0" t="s">
        <v>4975</v>
      </c>
      <c r="J2234" s="20" t="s">
        <v>25</v>
      </c>
    </row>
    <row r="2235" customFormat="false" ht="15" hidden="false" customHeight="false" outlineLevel="0" collapsed="false">
      <c r="A2235" s="0" t="s">
        <v>1923</v>
      </c>
      <c r="B2235" s="0" t="s">
        <v>134</v>
      </c>
      <c r="C2235" s="0" t="s">
        <v>3450</v>
      </c>
      <c r="D2235" s="0" t="s">
        <v>3457</v>
      </c>
      <c r="E2235" s="0" t="s">
        <v>4969</v>
      </c>
      <c r="F2235" s="0" t="s">
        <v>61</v>
      </c>
      <c r="G2235" s="0" t="s">
        <v>4970</v>
      </c>
      <c r="H2235" s="0" t="s">
        <v>5718</v>
      </c>
      <c r="I2235" s="0" t="s">
        <v>4972</v>
      </c>
      <c r="J2235" s="20" t="s">
        <v>25</v>
      </c>
    </row>
    <row r="2236" customFormat="false" ht="15" hidden="false" customHeight="false" outlineLevel="0" collapsed="false">
      <c r="A2236" s="0" t="s">
        <v>1923</v>
      </c>
      <c r="B2236" s="0" t="s">
        <v>134</v>
      </c>
      <c r="C2236" s="0" t="s">
        <v>3450</v>
      </c>
      <c r="D2236" s="0" t="s">
        <v>3448</v>
      </c>
      <c r="E2236" s="0" t="s">
        <v>4963</v>
      </c>
      <c r="F2236" s="0" t="s">
        <v>59</v>
      </c>
      <c r="G2236" s="0" t="s">
        <v>4974</v>
      </c>
      <c r="H2236" s="0" t="s">
        <v>69</v>
      </c>
      <c r="I2236" s="0" t="s">
        <v>4975</v>
      </c>
      <c r="J2236" s="20" t="s">
        <v>25</v>
      </c>
    </row>
    <row r="2237" customFormat="false" ht="15" hidden="false" customHeight="false" outlineLevel="0" collapsed="false">
      <c r="A2237" s="0" t="s">
        <v>1923</v>
      </c>
      <c r="B2237" s="0" t="s">
        <v>134</v>
      </c>
      <c r="C2237" s="0" t="s">
        <v>3447</v>
      </c>
      <c r="D2237" s="0" t="s">
        <v>3457</v>
      </c>
      <c r="E2237" s="0" t="s">
        <v>4963</v>
      </c>
      <c r="F2237" s="0" t="s">
        <v>59</v>
      </c>
      <c r="G2237" s="0" t="s">
        <v>4974</v>
      </c>
      <c r="H2237" s="0" t="s">
        <v>69</v>
      </c>
      <c r="I2237" s="0" t="s">
        <v>4975</v>
      </c>
      <c r="J2237" s="20" t="s">
        <v>25</v>
      </c>
    </row>
    <row r="2238" customFormat="false" ht="15" hidden="false" customHeight="false" outlineLevel="0" collapsed="false">
      <c r="A2238" s="0" t="s">
        <v>1923</v>
      </c>
      <c r="B2238" s="0" t="s">
        <v>134</v>
      </c>
      <c r="C2238" s="0" t="s">
        <v>3447</v>
      </c>
      <c r="D2238" s="0" t="s">
        <v>3457</v>
      </c>
      <c r="E2238" s="0" t="s">
        <v>4969</v>
      </c>
      <c r="F2238" s="0" t="s">
        <v>61</v>
      </c>
      <c r="G2238" s="0" t="s">
        <v>4970</v>
      </c>
      <c r="H2238" s="0" t="s">
        <v>5719</v>
      </c>
      <c r="I2238" s="0" t="s">
        <v>4972</v>
      </c>
      <c r="J2238" s="20" t="s">
        <v>25</v>
      </c>
    </row>
    <row r="2239" customFormat="false" ht="15" hidden="false" customHeight="false" outlineLevel="0" collapsed="false">
      <c r="A2239" s="0" t="s">
        <v>1923</v>
      </c>
      <c r="B2239" s="0" t="s">
        <v>134</v>
      </c>
      <c r="C2239" s="0" t="s">
        <v>3447</v>
      </c>
      <c r="D2239" s="0" t="s">
        <v>3448</v>
      </c>
      <c r="E2239" s="0" t="s">
        <v>4963</v>
      </c>
      <c r="F2239" s="0" t="s">
        <v>59</v>
      </c>
      <c r="G2239" s="0" t="s">
        <v>4974</v>
      </c>
      <c r="H2239" s="0" t="s">
        <v>69</v>
      </c>
      <c r="I2239" s="0" t="s">
        <v>4975</v>
      </c>
      <c r="J2239" s="20" t="s">
        <v>25</v>
      </c>
    </row>
    <row r="2240" customFormat="false" ht="15" hidden="false" customHeight="false" outlineLevel="0" collapsed="false">
      <c r="A2240" s="0" t="s">
        <v>1923</v>
      </c>
      <c r="B2240" s="0" t="s">
        <v>3459</v>
      </c>
      <c r="C2240" s="0" t="s">
        <v>3450</v>
      </c>
      <c r="D2240" s="0" t="s">
        <v>3457</v>
      </c>
      <c r="E2240" s="0" t="s">
        <v>4963</v>
      </c>
      <c r="F2240" s="0" t="s">
        <v>59</v>
      </c>
      <c r="G2240" s="0" t="s">
        <v>4974</v>
      </c>
      <c r="H2240" s="0" t="s">
        <v>69</v>
      </c>
      <c r="I2240" s="0" t="s">
        <v>4975</v>
      </c>
      <c r="J2240" s="20" t="s">
        <v>25</v>
      </c>
    </row>
    <row r="2241" customFormat="false" ht="15" hidden="false" customHeight="false" outlineLevel="0" collapsed="false">
      <c r="A2241" s="0" t="s">
        <v>1923</v>
      </c>
      <c r="B2241" s="0" t="s">
        <v>3459</v>
      </c>
      <c r="C2241" s="0" t="s">
        <v>3450</v>
      </c>
      <c r="D2241" s="0" t="s">
        <v>3448</v>
      </c>
      <c r="E2241" s="0" t="s">
        <v>4963</v>
      </c>
      <c r="F2241" s="0" t="s">
        <v>59</v>
      </c>
      <c r="G2241" s="0" t="s">
        <v>4974</v>
      </c>
      <c r="H2241" s="0" t="s">
        <v>69</v>
      </c>
      <c r="I2241" s="0" t="s">
        <v>4975</v>
      </c>
      <c r="J2241" s="20" t="s">
        <v>25</v>
      </c>
    </row>
    <row r="2242" customFormat="false" ht="15" hidden="false" customHeight="false" outlineLevel="0" collapsed="false">
      <c r="A2242" s="0" t="s">
        <v>1923</v>
      </c>
      <c r="B2242" s="0" t="s">
        <v>3459</v>
      </c>
      <c r="C2242" s="0" t="s">
        <v>3447</v>
      </c>
      <c r="D2242" s="0" t="s">
        <v>3457</v>
      </c>
      <c r="E2242" s="0" t="s">
        <v>4963</v>
      </c>
      <c r="F2242" s="0" t="s">
        <v>59</v>
      </c>
      <c r="G2242" s="0" t="s">
        <v>4974</v>
      </c>
      <c r="H2242" s="0" t="s">
        <v>69</v>
      </c>
      <c r="I2242" s="0" t="s">
        <v>4975</v>
      </c>
      <c r="J2242" s="20" t="s">
        <v>25</v>
      </c>
    </row>
    <row r="2243" customFormat="false" ht="15" hidden="false" customHeight="false" outlineLevel="0" collapsed="false">
      <c r="A2243" s="0" t="s">
        <v>1923</v>
      </c>
      <c r="B2243" s="0" t="s">
        <v>3459</v>
      </c>
      <c r="C2243" s="0" t="s">
        <v>3447</v>
      </c>
      <c r="D2243" s="0" t="s">
        <v>3448</v>
      </c>
      <c r="E2243" s="0" t="s">
        <v>4963</v>
      </c>
      <c r="F2243" s="0" t="s">
        <v>59</v>
      </c>
      <c r="G2243" s="0" t="s">
        <v>4974</v>
      </c>
      <c r="H2243" s="0" t="s">
        <v>69</v>
      </c>
      <c r="I2243" s="0" t="s">
        <v>4975</v>
      </c>
      <c r="J2243" s="20" t="s">
        <v>25</v>
      </c>
    </row>
    <row r="2244" customFormat="false" ht="15" hidden="false" customHeight="false" outlineLevel="0" collapsed="false">
      <c r="A2244" s="0" t="s">
        <v>1935</v>
      </c>
      <c r="B2244" s="0" t="s">
        <v>134</v>
      </c>
      <c r="C2244" s="0" t="s">
        <v>3450</v>
      </c>
      <c r="D2244" s="0" t="s">
        <v>3457</v>
      </c>
      <c r="E2244" s="0" t="s">
        <v>4963</v>
      </c>
      <c r="F2244" s="0" t="s">
        <v>59</v>
      </c>
      <c r="G2244" s="0" t="s">
        <v>4974</v>
      </c>
      <c r="H2244" s="0" t="s">
        <v>69</v>
      </c>
      <c r="I2244" s="0" t="s">
        <v>4975</v>
      </c>
      <c r="J2244" s="20" t="s">
        <v>25</v>
      </c>
    </row>
    <row r="2245" customFormat="false" ht="15" hidden="false" customHeight="false" outlineLevel="0" collapsed="false">
      <c r="A2245" s="0" t="s">
        <v>1935</v>
      </c>
      <c r="B2245" s="0" t="s">
        <v>134</v>
      </c>
      <c r="C2245" s="0" t="s">
        <v>3450</v>
      </c>
      <c r="D2245" s="0" t="s">
        <v>3448</v>
      </c>
      <c r="E2245" s="0" t="s">
        <v>4969</v>
      </c>
      <c r="F2245" s="0" t="s">
        <v>61</v>
      </c>
      <c r="G2245" s="0" t="s">
        <v>4970</v>
      </c>
      <c r="H2245" s="0" t="s">
        <v>5720</v>
      </c>
      <c r="I2245" s="0" t="s">
        <v>4972</v>
      </c>
      <c r="J2245" s="20" t="s">
        <v>25</v>
      </c>
    </row>
    <row r="2246" customFormat="false" ht="15" hidden="false" customHeight="false" outlineLevel="0" collapsed="false">
      <c r="A2246" s="0" t="s">
        <v>1935</v>
      </c>
      <c r="B2246" s="0" t="s">
        <v>134</v>
      </c>
      <c r="C2246" s="0" t="s">
        <v>3450</v>
      </c>
      <c r="D2246" s="0" t="s">
        <v>3457</v>
      </c>
      <c r="E2246" s="0" t="s">
        <v>4963</v>
      </c>
      <c r="F2246" s="0" t="s">
        <v>30</v>
      </c>
      <c r="G2246" s="0" t="s">
        <v>4980</v>
      </c>
      <c r="H2246" s="0" t="s">
        <v>4275</v>
      </c>
      <c r="I2246" s="0" t="s">
        <v>4981</v>
      </c>
      <c r="J2246" s="18" t="s">
        <v>24</v>
      </c>
    </row>
    <row r="2247" customFormat="false" ht="15" hidden="false" customHeight="false" outlineLevel="0" collapsed="false">
      <c r="A2247" s="0" t="s">
        <v>1935</v>
      </c>
      <c r="B2247" s="0" t="s">
        <v>134</v>
      </c>
      <c r="C2247" s="0" t="s">
        <v>3447</v>
      </c>
      <c r="D2247" s="0" t="s">
        <v>3457</v>
      </c>
      <c r="E2247" s="0" t="s">
        <v>4963</v>
      </c>
      <c r="F2247" s="0" t="s">
        <v>30</v>
      </c>
      <c r="G2247" s="0" t="s">
        <v>4980</v>
      </c>
      <c r="H2247" s="0" t="s">
        <v>4288</v>
      </c>
      <c r="I2247" s="0" t="s">
        <v>4981</v>
      </c>
      <c r="J2247" s="18" t="s">
        <v>24</v>
      </c>
    </row>
    <row r="2248" customFormat="false" ht="15" hidden="false" customHeight="false" outlineLevel="0" collapsed="false">
      <c r="A2248" s="0" t="s">
        <v>1935</v>
      </c>
      <c r="B2248" s="0" t="s">
        <v>134</v>
      </c>
      <c r="C2248" s="0" t="s">
        <v>3447</v>
      </c>
      <c r="D2248" s="0" t="s">
        <v>3448</v>
      </c>
      <c r="E2248" s="0" t="s">
        <v>4963</v>
      </c>
      <c r="F2248" s="0" t="s">
        <v>30</v>
      </c>
      <c r="G2248" s="0" t="s">
        <v>4980</v>
      </c>
      <c r="H2248" s="0" t="s">
        <v>4681</v>
      </c>
      <c r="I2248" s="0" t="s">
        <v>4981</v>
      </c>
      <c r="J2248" s="18" t="s">
        <v>24</v>
      </c>
    </row>
    <row r="2249" customFormat="false" ht="15" hidden="false" customHeight="false" outlineLevel="0" collapsed="false">
      <c r="A2249" s="0" t="s">
        <v>1946</v>
      </c>
      <c r="B2249" s="0" t="s">
        <v>134</v>
      </c>
      <c r="C2249" s="0" t="s">
        <v>3450</v>
      </c>
      <c r="D2249" s="0" t="s">
        <v>3457</v>
      </c>
      <c r="E2249" s="0" t="s">
        <v>4963</v>
      </c>
      <c r="F2249" s="0" t="s">
        <v>59</v>
      </c>
      <c r="G2249" s="0" t="s">
        <v>4974</v>
      </c>
      <c r="H2249" s="0" t="s">
        <v>69</v>
      </c>
      <c r="I2249" s="0" t="s">
        <v>4975</v>
      </c>
      <c r="J2249" s="20" t="s">
        <v>25</v>
      </c>
    </row>
    <row r="2250" customFormat="false" ht="15" hidden="false" customHeight="false" outlineLevel="0" collapsed="false">
      <c r="A2250" s="0" t="s">
        <v>1946</v>
      </c>
      <c r="B2250" s="0" t="s">
        <v>134</v>
      </c>
      <c r="C2250" s="0" t="s">
        <v>3450</v>
      </c>
      <c r="D2250" s="0" t="s">
        <v>3448</v>
      </c>
      <c r="E2250" s="0" t="s">
        <v>4963</v>
      </c>
      <c r="F2250" s="0" t="s">
        <v>59</v>
      </c>
      <c r="G2250" s="0" t="s">
        <v>4974</v>
      </c>
      <c r="H2250" s="0" t="s">
        <v>69</v>
      </c>
      <c r="I2250" s="0" t="s">
        <v>4975</v>
      </c>
      <c r="J2250" s="20" t="s">
        <v>25</v>
      </c>
    </row>
    <row r="2251" customFormat="false" ht="15" hidden="false" customHeight="false" outlineLevel="0" collapsed="false">
      <c r="A2251" s="0" t="s">
        <v>1946</v>
      </c>
      <c r="B2251" s="0" t="s">
        <v>134</v>
      </c>
      <c r="C2251" s="0" t="s">
        <v>3450</v>
      </c>
      <c r="D2251" s="0" t="s">
        <v>3457</v>
      </c>
      <c r="E2251" s="0" t="s">
        <v>4963</v>
      </c>
      <c r="F2251" s="0" t="s">
        <v>30</v>
      </c>
      <c r="G2251" s="0" t="s">
        <v>4980</v>
      </c>
      <c r="H2251" s="0" t="s">
        <v>4238</v>
      </c>
      <c r="I2251" s="0" t="s">
        <v>4981</v>
      </c>
      <c r="J2251" s="18" t="s">
        <v>24</v>
      </c>
    </row>
    <row r="2252" customFormat="false" ht="15" hidden="false" customHeight="false" outlineLevel="0" collapsed="false">
      <c r="A2252" s="0" t="s">
        <v>1946</v>
      </c>
      <c r="B2252" s="0" t="s">
        <v>134</v>
      </c>
      <c r="C2252" s="0" t="s">
        <v>3450</v>
      </c>
      <c r="D2252" s="0" t="s">
        <v>3448</v>
      </c>
      <c r="E2252" s="0" t="s">
        <v>4963</v>
      </c>
      <c r="F2252" s="0" t="s">
        <v>30</v>
      </c>
      <c r="G2252" s="0" t="s">
        <v>4980</v>
      </c>
      <c r="H2252" s="0" t="s">
        <v>4242</v>
      </c>
      <c r="I2252" s="0" t="s">
        <v>4981</v>
      </c>
      <c r="J2252" s="18" t="s">
        <v>24</v>
      </c>
    </row>
    <row r="2253" customFormat="false" ht="15" hidden="false" customHeight="false" outlineLevel="0" collapsed="false">
      <c r="A2253" s="0" t="s">
        <v>1955</v>
      </c>
      <c r="B2253" s="0" t="s">
        <v>134</v>
      </c>
      <c r="C2253" s="0" t="s">
        <v>3447</v>
      </c>
      <c r="D2253" s="0" t="s">
        <v>3457</v>
      </c>
      <c r="E2253" s="0" t="s">
        <v>4963</v>
      </c>
      <c r="F2253" s="0" t="s">
        <v>60</v>
      </c>
      <c r="G2253" s="0" t="s">
        <v>4964</v>
      </c>
      <c r="H2253" s="0" t="s">
        <v>5501</v>
      </c>
      <c r="I2253" s="0" t="s">
        <v>4966</v>
      </c>
      <c r="J2253" s="19" t="s">
        <v>26</v>
      </c>
    </row>
    <row r="2254" customFormat="false" ht="15" hidden="false" customHeight="false" outlineLevel="0" collapsed="false">
      <c r="A2254" s="0" t="s">
        <v>1955</v>
      </c>
      <c r="B2254" s="0" t="s">
        <v>134</v>
      </c>
      <c r="C2254" s="0" t="s">
        <v>3447</v>
      </c>
      <c r="D2254" s="0" t="s">
        <v>3448</v>
      </c>
      <c r="E2254" s="0" t="s">
        <v>4963</v>
      </c>
      <c r="F2254" s="0" t="s">
        <v>60</v>
      </c>
      <c r="G2254" s="0" t="s">
        <v>4964</v>
      </c>
      <c r="H2254" s="0" t="s">
        <v>5056</v>
      </c>
      <c r="I2254" s="0" t="s">
        <v>4966</v>
      </c>
      <c r="J2254" s="19" t="s">
        <v>26</v>
      </c>
    </row>
    <row r="2255" customFormat="false" ht="15" hidden="false" customHeight="false" outlineLevel="0" collapsed="false">
      <c r="A2255" s="0" t="s">
        <v>1955</v>
      </c>
      <c r="B2255" s="0" t="s">
        <v>3459</v>
      </c>
      <c r="C2255" s="0" t="s">
        <v>3447</v>
      </c>
      <c r="D2255" s="0" t="s">
        <v>3448</v>
      </c>
      <c r="E2255" s="0" t="s">
        <v>4963</v>
      </c>
      <c r="F2255" s="0" t="s">
        <v>60</v>
      </c>
      <c r="G2255" s="0" t="s">
        <v>4964</v>
      </c>
      <c r="H2255" s="0" t="s">
        <v>5721</v>
      </c>
      <c r="I2255" s="0" t="s">
        <v>4966</v>
      </c>
      <c r="J2255" s="19" t="s">
        <v>26</v>
      </c>
    </row>
    <row r="2256" customFormat="false" ht="15" hidden="false" customHeight="false" outlineLevel="0" collapsed="false">
      <c r="A2256" s="0" t="s">
        <v>1955</v>
      </c>
      <c r="B2256" s="0" t="s">
        <v>134</v>
      </c>
      <c r="C2256" s="0" t="s">
        <v>3450</v>
      </c>
      <c r="D2256" s="0" t="s">
        <v>3448</v>
      </c>
      <c r="E2256" s="0" t="s">
        <v>4969</v>
      </c>
      <c r="F2256" s="0" t="s">
        <v>61</v>
      </c>
      <c r="G2256" s="0" t="s">
        <v>4970</v>
      </c>
      <c r="H2256" s="0" t="s">
        <v>5722</v>
      </c>
      <c r="I2256" s="0" t="s">
        <v>4972</v>
      </c>
      <c r="J2256" s="20" t="s">
        <v>25</v>
      </c>
    </row>
    <row r="2257" customFormat="false" ht="15" hidden="false" customHeight="false" outlineLevel="0" collapsed="false">
      <c r="A2257" s="0" t="s">
        <v>1955</v>
      </c>
      <c r="B2257" s="0" t="s">
        <v>134</v>
      </c>
      <c r="C2257" s="0" t="s">
        <v>3447</v>
      </c>
      <c r="D2257" s="0" t="s">
        <v>3457</v>
      </c>
      <c r="E2257" s="0" t="s">
        <v>4963</v>
      </c>
      <c r="F2257" s="0" t="s">
        <v>59</v>
      </c>
      <c r="G2257" s="0" t="s">
        <v>4974</v>
      </c>
      <c r="H2257" s="0" t="s">
        <v>69</v>
      </c>
      <c r="I2257" s="0" t="s">
        <v>4975</v>
      </c>
      <c r="J2257" s="20" t="s">
        <v>25</v>
      </c>
    </row>
    <row r="2258" customFormat="false" ht="15" hidden="false" customHeight="false" outlineLevel="0" collapsed="false">
      <c r="A2258" s="0" t="s">
        <v>1955</v>
      </c>
      <c r="B2258" s="0" t="s">
        <v>134</v>
      </c>
      <c r="C2258" s="0" t="s">
        <v>3447</v>
      </c>
      <c r="D2258" s="0" t="s">
        <v>3448</v>
      </c>
      <c r="E2258" s="0" t="s">
        <v>4963</v>
      </c>
      <c r="F2258" s="0" t="s">
        <v>59</v>
      </c>
      <c r="G2258" s="0" t="s">
        <v>4974</v>
      </c>
      <c r="H2258" s="0" t="s">
        <v>69</v>
      </c>
      <c r="I2258" s="0" t="s">
        <v>4975</v>
      </c>
      <c r="J2258" s="20" t="s">
        <v>25</v>
      </c>
    </row>
    <row r="2259" customFormat="false" ht="15" hidden="false" customHeight="false" outlineLevel="0" collapsed="false">
      <c r="A2259" s="0" t="s">
        <v>1955</v>
      </c>
      <c r="B2259" s="0" t="s">
        <v>134</v>
      </c>
      <c r="C2259" s="0" t="s">
        <v>3447</v>
      </c>
      <c r="D2259" s="0" t="s">
        <v>3448</v>
      </c>
      <c r="E2259" s="0" t="s">
        <v>4969</v>
      </c>
      <c r="F2259" s="0" t="s">
        <v>61</v>
      </c>
      <c r="G2259" s="0" t="s">
        <v>4970</v>
      </c>
      <c r="H2259" s="0" t="s">
        <v>5723</v>
      </c>
      <c r="I2259" s="0" t="s">
        <v>4972</v>
      </c>
      <c r="J2259" s="20" t="s">
        <v>25</v>
      </c>
    </row>
    <row r="2260" customFormat="false" ht="15" hidden="false" customHeight="false" outlineLevel="0" collapsed="false">
      <c r="A2260" s="0" t="s">
        <v>1955</v>
      </c>
      <c r="B2260" s="0" t="s">
        <v>3459</v>
      </c>
      <c r="C2260" s="0" t="s">
        <v>3450</v>
      </c>
      <c r="D2260" s="0" t="s">
        <v>3448</v>
      </c>
      <c r="E2260" s="0" t="s">
        <v>4963</v>
      </c>
      <c r="F2260" s="0" t="s">
        <v>59</v>
      </c>
      <c r="G2260" s="0" t="s">
        <v>4974</v>
      </c>
      <c r="H2260" s="0" t="s">
        <v>70</v>
      </c>
      <c r="I2260" s="0" t="s">
        <v>4975</v>
      </c>
      <c r="J2260" s="20" t="s">
        <v>25</v>
      </c>
    </row>
    <row r="2261" customFormat="false" ht="15" hidden="false" customHeight="false" outlineLevel="0" collapsed="false">
      <c r="A2261" s="0" t="s">
        <v>1955</v>
      </c>
      <c r="B2261" s="0" t="s">
        <v>3459</v>
      </c>
      <c r="C2261" s="0" t="s">
        <v>3447</v>
      </c>
      <c r="D2261" s="0" t="s">
        <v>3448</v>
      </c>
      <c r="E2261" s="0" t="s">
        <v>4963</v>
      </c>
      <c r="F2261" s="0" t="s">
        <v>59</v>
      </c>
      <c r="G2261" s="0" t="s">
        <v>4974</v>
      </c>
      <c r="H2261" s="0" t="s">
        <v>69</v>
      </c>
      <c r="I2261" s="0" t="s">
        <v>4975</v>
      </c>
      <c r="J2261" s="20" t="s">
        <v>25</v>
      </c>
    </row>
    <row r="2262" customFormat="false" ht="15" hidden="false" customHeight="false" outlineLevel="0" collapsed="false">
      <c r="A2262" s="0" t="s">
        <v>1955</v>
      </c>
      <c r="B2262" s="0" t="s">
        <v>3459</v>
      </c>
      <c r="C2262" s="0" t="s">
        <v>3450</v>
      </c>
      <c r="D2262" s="0" t="s">
        <v>3448</v>
      </c>
      <c r="E2262" s="0" t="s">
        <v>4963</v>
      </c>
      <c r="F2262" s="0" t="s">
        <v>30</v>
      </c>
      <c r="G2262" s="0" t="s">
        <v>4980</v>
      </c>
      <c r="H2262" s="0" t="s">
        <v>4378</v>
      </c>
      <c r="I2262" s="0" t="s">
        <v>4981</v>
      </c>
      <c r="J2262" s="18" t="s">
        <v>24</v>
      </c>
    </row>
    <row r="2263" customFormat="false" ht="15" hidden="false" customHeight="false" outlineLevel="0" collapsed="false">
      <c r="A2263" s="0" t="s">
        <v>1955</v>
      </c>
      <c r="B2263" s="0" t="s">
        <v>3459</v>
      </c>
      <c r="C2263" s="0" t="s">
        <v>3447</v>
      </c>
      <c r="D2263" s="0" t="s">
        <v>3457</v>
      </c>
      <c r="E2263" s="0" t="s">
        <v>4963</v>
      </c>
      <c r="F2263" s="0" t="s">
        <v>30</v>
      </c>
      <c r="G2263" s="0" t="s">
        <v>4980</v>
      </c>
      <c r="H2263" s="0" t="s">
        <v>4251</v>
      </c>
      <c r="I2263" s="0" t="s">
        <v>4981</v>
      </c>
      <c r="J2263" s="18" t="s">
        <v>24</v>
      </c>
    </row>
    <row r="2264" customFormat="false" ht="15" hidden="false" customHeight="false" outlineLevel="0" collapsed="false">
      <c r="A2264" s="0" t="s">
        <v>1961</v>
      </c>
      <c r="B2264" s="0" t="s">
        <v>134</v>
      </c>
      <c r="C2264" s="0" t="s">
        <v>3450</v>
      </c>
      <c r="D2264" s="0" t="s">
        <v>3457</v>
      </c>
      <c r="E2264" s="0" t="s">
        <v>4963</v>
      </c>
      <c r="F2264" s="0" t="s">
        <v>65</v>
      </c>
      <c r="G2264" s="0" t="s">
        <v>4997</v>
      </c>
      <c r="H2264" s="0" t="s">
        <v>3871</v>
      </c>
      <c r="I2264" s="0" t="s">
        <v>4998</v>
      </c>
      <c r="J2264" s="19" t="s">
        <v>26</v>
      </c>
    </row>
    <row r="2265" customFormat="false" ht="15" hidden="false" customHeight="false" outlineLevel="0" collapsed="false">
      <c r="A2265" s="0" t="s">
        <v>1961</v>
      </c>
      <c r="B2265" s="0" t="s">
        <v>134</v>
      </c>
      <c r="C2265" s="0" t="s">
        <v>3450</v>
      </c>
      <c r="D2265" s="0" t="s">
        <v>3448</v>
      </c>
      <c r="E2265" s="0" t="s">
        <v>4963</v>
      </c>
      <c r="F2265" s="0" t="s">
        <v>59</v>
      </c>
      <c r="G2265" s="0" t="s">
        <v>4974</v>
      </c>
      <c r="H2265" s="0" t="s">
        <v>69</v>
      </c>
      <c r="I2265" s="0" t="s">
        <v>4975</v>
      </c>
      <c r="J2265" s="20" t="s">
        <v>25</v>
      </c>
    </row>
    <row r="2266" customFormat="false" ht="15" hidden="false" customHeight="false" outlineLevel="0" collapsed="false">
      <c r="A2266" s="0" t="s">
        <v>1961</v>
      </c>
      <c r="B2266" s="0" t="s">
        <v>134</v>
      </c>
      <c r="C2266" s="0" t="s">
        <v>3450</v>
      </c>
      <c r="D2266" s="0" t="s">
        <v>3448</v>
      </c>
      <c r="E2266" s="0" t="s">
        <v>4969</v>
      </c>
      <c r="F2266" s="0" t="s">
        <v>62</v>
      </c>
      <c r="G2266" s="0" t="s">
        <v>5003</v>
      </c>
      <c r="H2266" s="0" t="s">
        <v>5724</v>
      </c>
      <c r="I2266" s="0" t="s">
        <v>5005</v>
      </c>
      <c r="J2266" s="20" t="s">
        <v>25</v>
      </c>
    </row>
    <row r="2267" customFormat="false" ht="15" hidden="false" customHeight="false" outlineLevel="0" collapsed="false">
      <c r="A2267" s="0" t="s">
        <v>1961</v>
      </c>
      <c r="B2267" s="0" t="s">
        <v>134</v>
      </c>
      <c r="C2267" s="0" t="s">
        <v>3450</v>
      </c>
      <c r="D2267" s="0" t="s">
        <v>3448</v>
      </c>
      <c r="E2267" s="0" t="s">
        <v>4963</v>
      </c>
      <c r="F2267" s="0" t="s">
        <v>30</v>
      </c>
      <c r="G2267" s="0" t="s">
        <v>4980</v>
      </c>
      <c r="H2267" s="0" t="s">
        <v>4275</v>
      </c>
      <c r="I2267" s="0" t="s">
        <v>4981</v>
      </c>
      <c r="J2267" s="18" t="s">
        <v>24</v>
      </c>
    </row>
    <row r="2268" customFormat="false" ht="15" hidden="false" customHeight="false" outlineLevel="0" collapsed="false">
      <c r="A2268" s="0" t="s">
        <v>1961</v>
      </c>
      <c r="B2268" s="0" t="s">
        <v>134</v>
      </c>
      <c r="C2268" s="0" t="s">
        <v>3447</v>
      </c>
      <c r="D2268" s="0" t="s">
        <v>3457</v>
      </c>
      <c r="E2268" s="0" t="s">
        <v>4963</v>
      </c>
      <c r="F2268" s="0" t="s">
        <v>30</v>
      </c>
      <c r="G2268" s="0" t="s">
        <v>4980</v>
      </c>
      <c r="H2268" s="0" t="s">
        <v>4269</v>
      </c>
      <c r="I2268" s="0" t="s">
        <v>4981</v>
      </c>
      <c r="J2268" s="18" t="s">
        <v>24</v>
      </c>
    </row>
    <row r="2269" customFormat="false" ht="15" hidden="false" customHeight="false" outlineLevel="0" collapsed="false">
      <c r="A2269" s="0" t="s">
        <v>1961</v>
      </c>
      <c r="B2269" s="0" t="s">
        <v>134</v>
      </c>
      <c r="C2269" s="0" t="s">
        <v>3447</v>
      </c>
      <c r="D2269" s="0" t="s">
        <v>3448</v>
      </c>
      <c r="E2269" s="0" t="s">
        <v>4963</v>
      </c>
      <c r="F2269" s="0" t="s">
        <v>30</v>
      </c>
      <c r="G2269" s="0" t="s">
        <v>4980</v>
      </c>
      <c r="H2269" s="0" t="s">
        <v>4228</v>
      </c>
      <c r="I2269" s="0" t="s">
        <v>4981</v>
      </c>
      <c r="J2269" s="18" t="s">
        <v>24</v>
      </c>
    </row>
    <row r="2270" customFormat="false" ht="15" hidden="false" customHeight="false" outlineLevel="0" collapsed="false">
      <c r="A2270" s="0" t="s">
        <v>1968</v>
      </c>
      <c r="B2270" s="0" t="s">
        <v>134</v>
      </c>
      <c r="C2270" s="0" t="s">
        <v>3450</v>
      </c>
      <c r="D2270" s="0" t="s">
        <v>3457</v>
      </c>
      <c r="E2270" s="0" t="s">
        <v>4963</v>
      </c>
      <c r="F2270" s="0" t="s">
        <v>59</v>
      </c>
      <c r="G2270" s="0" t="s">
        <v>4974</v>
      </c>
      <c r="H2270" s="0" t="s">
        <v>70</v>
      </c>
      <c r="I2270" s="0" t="s">
        <v>4975</v>
      </c>
      <c r="J2270" s="20" t="s">
        <v>25</v>
      </c>
    </row>
    <row r="2271" customFormat="false" ht="15" hidden="false" customHeight="false" outlineLevel="0" collapsed="false">
      <c r="A2271" s="0" t="s">
        <v>1968</v>
      </c>
      <c r="B2271" s="0" t="s">
        <v>3459</v>
      </c>
      <c r="C2271" s="0" t="s">
        <v>3450</v>
      </c>
      <c r="D2271" s="0" t="s">
        <v>3457</v>
      </c>
      <c r="E2271" s="0" t="s">
        <v>4969</v>
      </c>
      <c r="F2271" s="0" t="s">
        <v>61</v>
      </c>
      <c r="G2271" s="0" t="s">
        <v>4970</v>
      </c>
      <c r="H2271" s="0" t="s">
        <v>5725</v>
      </c>
      <c r="I2271" s="0" t="s">
        <v>4972</v>
      </c>
      <c r="J2271" s="20" t="s">
        <v>25</v>
      </c>
    </row>
    <row r="2272" customFormat="false" ht="15" hidden="false" customHeight="false" outlineLevel="0" collapsed="false">
      <c r="A2272" s="0" t="s">
        <v>1968</v>
      </c>
      <c r="B2272" s="0" t="s">
        <v>3459</v>
      </c>
      <c r="C2272" s="0" t="s">
        <v>3450</v>
      </c>
      <c r="D2272" s="0" t="s">
        <v>3457</v>
      </c>
      <c r="E2272" s="0" t="s">
        <v>4969</v>
      </c>
      <c r="F2272" s="0" t="s">
        <v>64</v>
      </c>
      <c r="G2272" s="0" t="s">
        <v>4220</v>
      </c>
      <c r="H2272" s="0" t="s">
        <v>5726</v>
      </c>
      <c r="I2272" s="0" t="s">
        <v>4991</v>
      </c>
      <c r="J2272" s="20" t="s">
        <v>25</v>
      </c>
    </row>
    <row r="2273" customFormat="false" ht="15" hidden="false" customHeight="false" outlineLevel="0" collapsed="false">
      <c r="A2273" s="0" t="s">
        <v>1968</v>
      </c>
      <c r="B2273" s="0" t="s">
        <v>3459</v>
      </c>
      <c r="C2273" s="0" t="s">
        <v>3450</v>
      </c>
      <c r="D2273" s="0" t="s">
        <v>3448</v>
      </c>
      <c r="E2273" s="0" t="s">
        <v>4969</v>
      </c>
      <c r="F2273" s="0" t="s">
        <v>61</v>
      </c>
      <c r="G2273" s="0" t="s">
        <v>4970</v>
      </c>
      <c r="H2273" s="0" t="s">
        <v>5727</v>
      </c>
      <c r="I2273" s="0" t="s">
        <v>4972</v>
      </c>
      <c r="J2273" s="20" t="s">
        <v>25</v>
      </c>
    </row>
    <row r="2274" customFormat="false" ht="15" hidden="false" customHeight="false" outlineLevel="0" collapsed="false">
      <c r="A2274" s="0" t="s">
        <v>1968</v>
      </c>
      <c r="B2274" s="0" t="s">
        <v>3459</v>
      </c>
      <c r="C2274" s="0" t="s">
        <v>3450</v>
      </c>
      <c r="D2274" s="0" t="s">
        <v>3448</v>
      </c>
      <c r="E2274" s="0" t="s">
        <v>4969</v>
      </c>
      <c r="F2274" s="0" t="s">
        <v>64</v>
      </c>
      <c r="G2274" s="0" t="s">
        <v>4220</v>
      </c>
      <c r="H2274" s="0" t="s">
        <v>5728</v>
      </c>
      <c r="I2274" s="0" t="s">
        <v>4991</v>
      </c>
      <c r="J2274" s="20" t="s">
        <v>25</v>
      </c>
    </row>
    <row r="2275" customFormat="false" ht="15" hidden="false" customHeight="false" outlineLevel="0" collapsed="false">
      <c r="A2275" s="0" t="s">
        <v>1968</v>
      </c>
      <c r="B2275" s="0" t="s">
        <v>3459</v>
      </c>
      <c r="C2275" s="0" t="s">
        <v>3447</v>
      </c>
      <c r="D2275" s="0" t="s">
        <v>3457</v>
      </c>
      <c r="E2275" s="0" t="s">
        <v>4963</v>
      </c>
      <c r="F2275" s="0" t="s">
        <v>59</v>
      </c>
      <c r="G2275" s="0" t="s">
        <v>4974</v>
      </c>
      <c r="H2275" s="0" t="s">
        <v>69</v>
      </c>
      <c r="I2275" s="0" t="s">
        <v>4975</v>
      </c>
      <c r="J2275" s="20" t="s">
        <v>25</v>
      </c>
    </row>
    <row r="2276" customFormat="false" ht="15" hidden="false" customHeight="false" outlineLevel="0" collapsed="false">
      <c r="A2276" s="0" t="s">
        <v>1968</v>
      </c>
      <c r="B2276" s="0" t="s">
        <v>3459</v>
      </c>
      <c r="C2276" s="0" t="s">
        <v>3447</v>
      </c>
      <c r="D2276" s="0" t="s">
        <v>3457</v>
      </c>
      <c r="E2276" s="0" t="s">
        <v>4969</v>
      </c>
      <c r="F2276" s="0" t="s">
        <v>64</v>
      </c>
      <c r="G2276" s="0" t="s">
        <v>4220</v>
      </c>
      <c r="H2276" s="0" t="s">
        <v>5726</v>
      </c>
      <c r="I2276" s="0" t="s">
        <v>4991</v>
      </c>
      <c r="J2276" s="20" t="s">
        <v>25</v>
      </c>
    </row>
    <row r="2277" customFormat="false" ht="15" hidden="false" customHeight="false" outlineLevel="0" collapsed="false">
      <c r="A2277" s="0" t="s">
        <v>1968</v>
      </c>
      <c r="B2277" s="0" t="s">
        <v>3459</v>
      </c>
      <c r="C2277" s="0" t="s">
        <v>3447</v>
      </c>
      <c r="D2277" s="0" t="s">
        <v>3448</v>
      </c>
      <c r="E2277" s="0" t="s">
        <v>4969</v>
      </c>
      <c r="F2277" s="0" t="s">
        <v>64</v>
      </c>
      <c r="G2277" s="0" t="s">
        <v>4220</v>
      </c>
      <c r="H2277" s="0" t="s">
        <v>5728</v>
      </c>
      <c r="I2277" s="0" t="s">
        <v>4991</v>
      </c>
      <c r="J2277" s="20" t="s">
        <v>25</v>
      </c>
    </row>
    <row r="2278" customFormat="false" ht="15" hidden="false" customHeight="false" outlineLevel="0" collapsed="false">
      <c r="A2278" s="0" t="s">
        <v>1968</v>
      </c>
      <c r="B2278" s="0" t="s">
        <v>134</v>
      </c>
      <c r="C2278" s="0" t="s">
        <v>3450</v>
      </c>
      <c r="D2278" s="0" t="s">
        <v>3457</v>
      </c>
      <c r="E2278" s="0" t="s">
        <v>4963</v>
      </c>
      <c r="F2278" s="0" t="s">
        <v>30</v>
      </c>
      <c r="G2278" s="0" t="s">
        <v>4980</v>
      </c>
      <c r="H2278" s="0" t="s">
        <v>4231</v>
      </c>
      <c r="I2278" s="0" t="s">
        <v>4981</v>
      </c>
      <c r="J2278" s="18" t="s">
        <v>24</v>
      </c>
    </row>
    <row r="2279" customFormat="false" ht="15" hidden="false" customHeight="false" outlineLevel="0" collapsed="false">
      <c r="A2279" s="0" t="s">
        <v>1968</v>
      </c>
      <c r="B2279" s="0" t="s">
        <v>134</v>
      </c>
      <c r="C2279" s="0" t="s">
        <v>3450</v>
      </c>
      <c r="D2279" s="0" t="s">
        <v>3448</v>
      </c>
      <c r="E2279" s="0" t="s">
        <v>4963</v>
      </c>
      <c r="F2279" s="0" t="s">
        <v>30</v>
      </c>
      <c r="G2279" s="0" t="s">
        <v>4980</v>
      </c>
      <c r="H2279" s="0" t="s">
        <v>4550</v>
      </c>
      <c r="I2279" s="0" t="s">
        <v>4981</v>
      </c>
      <c r="J2279" s="18" t="s">
        <v>24</v>
      </c>
    </row>
    <row r="2280" customFormat="false" ht="15" hidden="false" customHeight="false" outlineLevel="0" collapsed="false">
      <c r="A2280" s="0" t="s">
        <v>1968</v>
      </c>
      <c r="B2280" s="0" t="s">
        <v>134</v>
      </c>
      <c r="C2280" s="0" t="s">
        <v>3447</v>
      </c>
      <c r="D2280" s="0" t="s">
        <v>3457</v>
      </c>
      <c r="E2280" s="0" t="s">
        <v>4963</v>
      </c>
      <c r="F2280" s="0" t="s">
        <v>30</v>
      </c>
      <c r="G2280" s="0" t="s">
        <v>4980</v>
      </c>
      <c r="H2280" s="0" t="s">
        <v>4272</v>
      </c>
      <c r="I2280" s="0" t="s">
        <v>4981</v>
      </c>
      <c r="J2280" s="18" t="s">
        <v>24</v>
      </c>
    </row>
    <row r="2281" customFormat="false" ht="15" hidden="false" customHeight="false" outlineLevel="0" collapsed="false">
      <c r="A2281" s="0" t="s">
        <v>1968</v>
      </c>
      <c r="B2281" s="0" t="s">
        <v>134</v>
      </c>
      <c r="C2281" s="0" t="s">
        <v>3447</v>
      </c>
      <c r="D2281" s="0" t="s">
        <v>3448</v>
      </c>
      <c r="E2281" s="0" t="s">
        <v>4963</v>
      </c>
      <c r="F2281" s="0" t="s">
        <v>30</v>
      </c>
      <c r="G2281" s="0" t="s">
        <v>4980</v>
      </c>
      <c r="H2281" s="0" t="s">
        <v>4683</v>
      </c>
      <c r="I2281" s="0" t="s">
        <v>4981</v>
      </c>
      <c r="J2281" s="18" t="s">
        <v>24</v>
      </c>
    </row>
    <row r="2282" customFormat="false" ht="15" hidden="false" customHeight="false" outlineLevel="0" collapsed="false">
      <c r="A2282" s="0" t="s">
        <v>1968</v>
      </c>
      <c r="B2282" s="0" t="s">
        <v>3459</v>
      </c>
      <c r="C2282" s="0" t="s">
        <v>3450</v>
      </c>
      <c r="D2282" s="0" t="s">
        <v>3457</v>
      </c>
      <c r="E2282" s="0" t="s">
        <v>4963</v>
      </c>
      <c r="F2282" s="0" t="s">
        <v>30</v>
      </c>
      <c r="G2282" s="0" t="s">
        <v>4980</v>
      </c>
      <c r="H2282" s="0" t="s">
        <v>4228</v>
      </c>
      <c r="I2282" s="0" t="s">
        <v>4981</v>
      </c>
      <c r="J2282" s="18" t="s">
        <v>24</v>
      </c>
    </row>
    <row r="2283" customFormat="false" ht="15" hidden="false" customHeight="false" outlineLevel="0" collapsed="false">
      <c r="A2283" s="0" t="s">
        <v>1968</v>
      </c>
      <c r="B2283" s="0" t="s">
        <v>3459</v>
      </c>
      <c r="C2283" s="0" t="s">
        <v>3450</v>
      </c>
      <c r="D2283" s="0" t="s">
        <v>3448</v>
      </c>
      <c r="E2283" s="0" t="s">
        <v>4963</v>
      </c>
      <c r="F2283" s="0" t="s">
        <v>30</v>
      </c>
      <c r="G2283" s="0" t="s">
        <v>4980</v>
      </c>
      <c r="H2283" s="0" t="s">
        <v>4228</v>
      </c>
      <c r="I2283" s="0" t="s">
        <v>4981</v>
      </c>
      <c r="J2283" s="18" t="s">
        <v>24</v>
      </c>
    </row>
    <row r="2284" customFormat="false" ht="15" hidden="false" customHeight="false" outlineLevel="0" collapsed="false">
      <c r="A2284" s="0" t="s">
        <v>1968</v>
      </c>
      <c r="B2284" s="0" t="s">
        <v>3459</v>
      </c>
      <c r="C2284" s="0" t="s">
        <v>3447</v>
      </c>
      <c r="D2284" s="0" t="s">
        <v>3457</v>
      </c>
      <c r="E2284" s="0" t="s">
        <v>4963</v>
      </c>
      <c r="F2284" s="0" t="s">
        <v>30</v>
      </c>
      <c r="G2284" s="0" t="s">
        <v>4980</v>
      </c>
      <c r="H2284" s="0" t="s">
        <v>4539</v>
      </c>
      <c r="I2284" s="0" t="s">
        <v>4981</v>
      </c>
      <c r="J2284" s="18" t="s">
        <v>24</v>
      </c>
    </row>
    <row r="2285" customFormat="false" ht="15" hidden="false" customHeight="false" outlineLevel="0" collapsed="false">
      <c r="A2285" s="0" t="s">
        <v>1968</v>
      </c>
      <c r="B2285" s="0" t="s">
        <v>3459</v>
      </c>
      <c r="C2285" s="0" t="s">
        <v>3447</v>
      </c>
      <c r="D2285" s="0" t="s">
        <v>3448</v>
      </c>
      <c r="E2285" s="0" t="s">
        <v>4963</v>
      </c>
      <c r="F2285" s="0" t="s">
        <v>30</v>
      </c>
      <c r="G2285" s="0" t="s">
        <v>4980</v>
      </c>
      <c r="H2285" s="0" t="s">
        <v>4550</v>
      </c>
      <c r="I2285" s="0" t="s">
        <v>4981</v>
      </c>
      <c r="J2285" s="18" t="s">
        <v>24</v>
      </c>
    </row>
    <row r="2286" customFormat="false" ht="15" hidden="false" customHeight="false" outlineLevel="0" collapsed="false">
      <c r="A2286" s="0" t="s">
        <v>1987</v>
      </c>
      <c r="B2286" s="0" t="s">
        <v>134</v>
      </c>
      <c r="C2286" s="0" t="s">
        <v>3450</v>
      </c>
      <c r="D2286" s="0" t="s">
        <v>3457</v>
      </c>
      <c r="E2286" s="0" t="s">
        <v>4969</v>
      </c>
      <c r="F2286" s="0" t="s">
        <v>64</v>
      </c>
      <c r="G2286" s="0" t="s">
        <v>4220</v>
      </c>
      <c r="H2286" s="0" t="s">
        <v>5729</v>
      </c>
      <c r="I2286" s="0" t="s">
        <v>4991</v>
      </c>
      <c r="J2286" s="20" t="s">
        <v>25</v>
      </c>
    </row>
    <row r="2287" customFormat="false" ht="15" hidden="false" customHeight="false" outlineLevel="0" collapsed="false">
      <c r="A2287" s="0" t="s">
        <v>1987</v>
      </c>
      <c r="B2287" s="0" t="s">
        <v>134</v>
      </c>
      <c r="C2287" s="0" t="s">
        <v>3450</v>
      </c>
      <c r="D2287" s="0" t="s">
        <v>3448</v>
      </c>
      <c r="E2287" s="0" t="s">
        <v>4963</v>
      </c>
      <c r="F2287" s="0" t="s">
        <v>59</v>
      </c>
      <c r="G2287" s="0" t="s">
        <v>4974</v>
      </c>
      <c r="H2287" s="0" t="s">
        <v>69</v>
      </c>
      <c r="I2287" s="0" t="s">
        <v>4975</v>
      </c>
      <c r="J2287" s="20" t="s">
        <v>25</v>
      </c>
    </row>
    <row r="2288" customFormat="false" ht="15" hidden="false" customHeight="false" outlineLevel="0" collapsed="false">
      <c r="A2288" s="0" t="s">
        <v>1987</v>
      </c>
      <c r="B2288" s="0" t="s">
        <v>134</v>
      </c>
      <c r="C2288" s="0" t="s">
        <v>3450</v>
      </c>
      <c r="D2288" s="0" t="s">
        <v>3448</v>
      </c>
      <c r="E2288" s="0" t="s">
        <v>4969</v>
      </c>
      <c r="F2288" s="0" t="s">
        <v>64</v>
      </c>
      <c r="G2288" s="0" t="s">
        <v>4220</v>
      </c>
      <c r="H2288" s="0" t="s">
        <v>5730</v>
      </c>
      <c r="I2288" s="0" t="s">
        <v>4991</v>
      </c>
      <c r="J2288" s="20" t="s">
        <v>25</v>
      </c>
    </row>
    <row r="2289" customFormat="false" ht="15" hidden="false" customHeight="false" outlineLevel="0" collapsed="false">
      <c r="A2289" s="0" t="s">
        <v>1987</v>
      </c>
      <c r="B2289" s="0" t="s">
        <v>134</v>
      </c>
      <c r="C2289" s="0" t="s">
        <v>3447</v>
      </c>
      <c r="D2289" s="0" t="s">
        <v>3457</v>
      </c>
      <c r="E2289" s="0" t="s">
        <v>4969</v>
      </c>
      <c r="F2289" s="0" t="s">
        <v>64</v>
      </c>
      <c r="G2289" s="0" t="s">
        <v>4220</v>
      </c>
      <c r="H2289" s="0" t="s">
        <v>5729</v>
      </c>
      <c r="I2289" s="0" t="s">
        <v>4991</v>
      </c>
      <c r="J2289" s="20" t="s">
        <v>25</v>
      </c>
    </row>
    <row r="2290" customFormat="false" ht="15" hidden="false" customHeight="false" outlineLevel="0" collapsed="false">
      <c r="A2290" s="0" t="s">
        <v>1987</v>
      </c>
      <c r="B2290" s="0" t="s">
        <v>134</v>
      </c>
      <c r="C2290" s="0" t="s">
        <v>3447</v>
      </c>
      <c r="D2290" s="0" t="s">
        <v>3448</v>
      </c>
      <c r="E2290" s="0" t="s">
        <v>4969</v>
      </c>
      <c r="F2290" s="0" t="s">
        <v>64</v>
      </c>
      <c r="G2290" s="0" t="s">
        <v>4220</v>
      </c>
      <c r="H2290" s="0" t="s">
        <v>5730</v>
      </c>
      <c r="I2290" s="0" t="s">
        <v>4991</v>
      </c>
      <c r="J2290" s="20" t="s">
        <v>25</v>
      </c>
    </row>
    <row r="2291" customFormat="false" ht="15" hidden="false" customHeight="false" outlineLevel="0" collapsed="false">
      <c r="A2291" s="0" t="s">
        <v>1987</v>
      </c>
      <c r="B2291" s="0" t="s">
        <v>134</v>
      </c>
      <c r="C2291" s="0" t="s">
        <v>3450</v>
      </c>
      <c r="D2291" s="0" t="s">
        <v>3448</v>
      </c>
      <c r="E2291" s="0" t="s">
        <v>4963</v>
      </c>
      <c r="F2291" s="0" t="s">
        <v>30</v>
      </c>
      <c r="G2291" s="0" t="s">
        <v>4980</v>
      </c>
      <c r="H2291" s="0" t="s">
        <v>4242</v>
      </c>
      <c r="I2291" s="0" t="s">
        <v>4981</v>
      </c>
      <c r="J2291" s="18" t="s">
        <v>24</v>
      </c>
    </row>
    <row r="2292" customFormat="false" ht="15" hidden="false" customHeight="false" outlineLevel="0" collapsed="false">
      <c r="A2292" s="0" t="s">
        <v>1987</v>
      </c>
      <c r="B2292" s="0" t="s">
        <v>134</v>
      </c>
      <c r="C2292" s="0" t="s">
        <v>3447</v>
      </c>
      <c r="D2292" s="0" t="s">
        <v>3457</v>
      </c>
      <c r="E2292" s="0" t="s">
        <v>4963</v>
      </c>
      <c r="F2292" s="0" t="s">
        <v>30</v>
      </c>
      <c r="G2292" s="0" t="s">
        <v>4980</v>
      </c>
      <c r="H2292" s="0" t="s">
        <v>4684</v>
      </c>
      <c r="I2292" s="0" t="s">
        <v>4981</v>
      </c>
      <c r="J2292" s="18" t="s">
        <v>24</v>
      </c>
    </row>
    <row r="2293" customFormat="false" ht="15" hidden="false" customHeight="false" outlineLevel="0" collapsed="false">
      <c r="A2293" s="0" t="s">
        <v>1987</v>
      </c>
      <c r="B2293" s="0" t="s">
        <v>134</v>
      </c>
      <c r="C2293" s="0" t="s">
        <v>3447</v>
      </c>
      <c r="D2293" s="0" t="s">
        <v>3448</v>
      </c>
      <c r="E2293" s="0" t="s">
        <v>4963</v>
      </c>
      <c r="F2293" s="0" t="s">
        <v>30</v>
      </c>
      <c r="G2293" s="0" t="s">
        <v>4980</v>
      </c>
      <c r="H2293" s="0" t="s">
        <v>4239</v>
      </c>
      <c r="I2293" s="0" t="s">
        <v>4981</v>
      </c>
      <c r="J2293" s="18" t="s">
        <v>24</v>
      </c>
    </row>
    <row r="2294" customFormat="false" ht="15" hidden="false" customHeight="false" outlineLevel="0" collapsed="false">
      <c r="A2294" s="0" t="s">
        <v>1996</v>
      </c>
      <c r="B2294" s="0" t="s">
        <v>134</v>
      </c>
      <c r="C2294" s="0" t="s">
        <v>3450</v>
      </c>
      <c r="D2294" s="0" t="s">
        <v>3457</v>
      </c>
      <c r="E2294" s="0" t="s">
        <v>4963</v>
      </c>
      <c r="F2294" s="0" t="s">
        <v>60</v>
      </c>
      <c r="G2294" s="0" t="s">
        <v>4964</v>
      </c>
      <c r="H2294" s="0" t="s">
        <v>5731</v>
      </c>
      <c r="I2294" s="0" t="s">
        <v>4966</v>
      </c>
      <c r="J2294" s="19" t="s">
        <v>26</v>
      </c>
    </row>
    <row r="2295" customFormat="false" ht="15" hidden="false" customHeight="false" outlineLevel="0" collapsed="false">
      <c r="A2295" s="0" t="s">
        <v>1996</v>
      </c>
      <c r="B2295" s="0" t="s">
        <v>134</v>
      </c>
      <c r="C2295" s="0" t="s">
        <v>3450</v>
      </c>
      <c r="D2295" s="0" t="s">
        <v>3448</v>
      </c>
      <c r="E2295" s="0" t="s">
        <v>4963</v>
      </c>
      <c r="F2295" s="0" t="s">
        <v>60</v>
      </c>
      <c r="G2295" s="0" t="s">
        <v>4964</v>
      </c>
      <c r="H2295" s="0" t="s">
        <v>5732</v>
      </c>
      <c r="I2295" s="0" t="s">
        <v>4966</v>
      </c>
      <c r="J2295" s="19" t="s">
        <v>26</v>
      </c>
    </row>
    <row r="2296" customFormat="false" ht="15" hidden="false" customHeight="false" outlineLevel="0" collapsed="false">
      <c r="A2296" s="0" t="s">
        <v>1996</v>
      </c>
      <c r="B2296" s="0" t="s">
        <v>3459</v>
      </c>
      <c r="C2296" s="0" t="s">
        <v>3450</v>
      </c>
      <c r="D2296" s="0" t="s">
        <v>3448</v>
      </c>
      <c r="E2296" s="0" t="s">
        <v>4963</v>
      </c>
      <c r="F2296" s="0" t="s">
        <v>60</v>
      </c>
      <c r="G2296" s="0" t="s">
        <v>4964</v>
      </c>
      <c r="H2296" s="0" t="s">
        <v>5733</v>
      </c>
      <c r="I2296" s="0" t="s">
        <v>4966</v>
      </c>
      <c r="J2296" s="19" t="s">
        <v>26</v>
      </c>
    </row>
    <row r="2297" customFormat="false" ht="15" hidden="false" customHeight="false" outlineLevel="0" collapsed="false">
      <c r="A2297" s="0" t="s">
        <v>1996</v>
      </c>
      <c r="B2297" s="0" t="s">
        <v>3459</v>
      </c>
      <c r="C2297" s="0" t="s">
        <v>3447</v>
      </c>
      <c r="D2297" s="0" t="s">
        <v>3457</v>
      </c>
      <c r="E2297" s="0" t="s">
        <v>4963</v>
      </c>
      <c r="F2297" s="0" t="s">
        <v>60</v>
      </c>
      <c r="G2297" s="0" t="s">
        <v>4964</v>
      </c>
      <c r="H2297" s="0" t="s">
        <v>5734</v>
      </c>
      <c r="I2297" s="0" t="s">
        <v>4966</v>
      </c>
      <c r="J2297" s="19" t="s">
        <v>26</v>
      </c>
    </row>
    <row r="2298" customFormat="false" ht="15" hidden="false" customHeight="false" outlineLevel="0" collapsed="false">
      <c r="A2298" s="0" t="s">
        <v>1996</v>
      </c>
      <c r="B2298" s="0" t="s">
        <v>134</v>
      </c>
      <c r="C2298" s="0" t="s">
        <v>3450</v>
      </c>
      <c r="D2298" s="0" t="s">
        <v>3448</v>
      </c>
      <c r="E2298" s="0" t="s">
        <v>4963</v>
      </c>
      <c r="F2298" s="0" t="s">
        <v>59</v>
      </c>
      <c r="G2298" s="0" t="s">
        <v>4974</v>
      </c>
      <c r="H2298" s="0" t="s">
        <v>69</v>
      </c>
      <c r="I2298" s="0" t="s">
        <v>4975</v>
      </c>
      <c r="J2298" s="20" t="s">
        <v>25</v>
      </c>
    </row>
    <row r="2299" customFormat="false" ht="15" hidden="false" customHeight="false" outlineLevel="0" collapsed="false">
      <c r="A2299" s="0" t="s">
        <v>1996</v>
      </c>
      <c r="B2299" s="0" t="s">
        <v>134</v>
      </c>
      <c r="C2299" s="0" t="s">
        <v>3450</v>
      </c>
      <c r="D2299" s="0" t="s">
        <v>3448</v>
      </c>
      <c r="E2299" s="0" t="s">
        <v>4969</v>
      </c>
      <c r="F2299" s="0" t="s">
        <v>64</v>
      </c>
      <c r="G2299" s="0" t="s">
        <v>4220</v>
      </c>
      <c r="H2299" s="0" t="s">
        <v>5735</v>
      </c>
      <c r="I2299" s="0" t="s">
        <v>4991</v>
      </c>
      <c r="J2299" s="20" t="s">
        <v>25</v>
      </c>
    </row>
    <row r="2300" customFormat="false" ht="15" hidden="false" customHeight="false" outlineLevel="0" collapsed="false">
      <c r="A2300" s="0" t="s">
        <v>1996</v>
      </c>
      <c r="B2300" s="0" t="s">
        <v>134</v>
      </c>
      <c r="C2300" s="0" t="s">
        <v>3447</v>
      </c>
      <c r="D2300" s="0" t="s">
        <v>3448</v>
      </c>
      <c r="E2300" s="0" t="s">
        <v>4969</v>
      </c>
      <c r="F2300" s="0" t="s">
        <v>64</v>
      </c>
      <c r="G2300" s="0" t="s">
        <v>4220</v>
      </c>
      <c r="H2300" s="0" t="s">
        <v>5735</v>
      </c>
      <c r="I2300" s="0" t="s">
        <v>4991</v>
      </c>
      <c r="J2300" s="20" t="s">
        <v>25</v>
      </c>
    </row>
    <row r="2301" customFormat="false" ht="15" hidden="false" customHeight="false" outlineLevel="0" collapsed="false">
      <c r="A2301" s="0" t="s">
        <v>1996</v>
      </c>
      <c r="B2301" s="0" t="s">
        <v>3459</v>
      </c>
      <c r="C2301" s="0" t="s">
        <v>3450</v>
      </c>
      <c r="D2301" s="0" t="s">
        <v>3457</v>
      </c>
      <c r="E2301" s="0" t="s">
        <v>4963</v>
      </c>
      <c r="F2301" s="0" t="s">
        <v>59</v>
      </c>
      <c r="G2301" s="0" t="s">
        <v>4974</v>
      </c>
      <c r="H2301" s="0" t="s">
        <v>69</v>
      </c>
      <c r="I2301" s="0" t="s">
        <v>4975</v>
      </c>
      <c r="J2301" s="20" t="s">
        <v>25</v>
      </c>
    </row>
    <row r="2302" customFormat="false" ht="15" hidden="false" customHeight="false" outlineLevel="0" collapsed="false">
      <c r="A2302" s="0" t="s">
        <v>1996</v>
      </c>
      <c r="B2302" s="0" t="s">
        <v>3459</v>
      </c>
      <c r="C2302" s="0" t="s">
        <v>3450</v>
      </c>
      <c r="D2302" s="0" t="s">
        <v>3457</v>
      </c>
      <c r="E2302" s="0" t="s">
        <v>4969</v>
      </c>
      <c r="F2302" s="0" t="s">
        <v>61</v>
      </c>
      <c r="G2302" s="0" t="s">
        <v>4970</v>
      </c>
      <c r="H2302" s="0" t="s">
        <v>5736</v>
      </c>
      <c r="I2302" s="0" t="s">
        <v>4972</v>
      </c>
      <c r="J2302" s="20" t="s">
        <v>25</v>
      </c>
    </row>
    <row r="2303" customFormat="false" ht="15" hidden="false" customHeight="false" outlineLevel="0" collapsed="false">
      <c r="A2303" s="0" t="s">
        <v>1996</v>
      </c>
      <c r="B2303" s="0" t="s">
        <v>3459</v>
      </c>
      <c r="C2303" s="0" t="s">
        <v>3450</v>
      </c>
      <c r="D2303" s="0" t="s">
        <v>3448</v>
      </c>
      <c r="E2303" s="0" t="s">
        <v>4963</v>
      </c>
      <c r="F2303" s="0" t="s">
        <v>59</v>
      </c>
      <c r="G2303" s="0" t="s">
        <v>4974</v>
      </c>
      <c r="H2303" s="0" t="s">
        <v>69</v>
      </c>
      <c r="I2303" s="0" t="s">
        <v>4975</v>
      </c>
      <c r="J2303" s="20" t="s">
        <v>25</v>
      </c>
    </row>
    <row r="2304" customFormat="false" ht="15" hidden="false" customHeight="false" outlineLevel="0" collapsed="false">
      <c r="A2304" s="0" t="s">
        <v>1996</v>
      </c>
      <c r="B2304" s="0" t="s">
        <v>3459</v>
      </c>
      <c r="C2304" s="0" t="s">
        <v>3450</v>
      </c>
      <c r="D2304" s="0" t="s">
        <v>3448</v>
      </c>
      <c r="E2304" s="0" t="s">
        <v>4969</v>
      </c>
      <c r="F2304" s="0" t="s">
        <v>64</v>
      </c>
      <c r="G2304" s="0" t="s">
        <v>4220</v>
      </c>
      <c r="H2304" s="0" t="s">
        <v>5737</v>
      </c>
      <c r="I2304" s="0" t="s">
        <v>4991</v>
      </c>
      <c r="J2304" s="20" t="s">
        <v>25</v>
      </c>
    </row>
    <row r="2305" customFormat="false" ht="15" hidden="false" customHeight="false" outlineLevel="0" collapsed="false">
      <c r="A2305" s="0" t="s">
        <v>1996</v>
      </c>
      <c r="B2305" s="0" t="s">
        <v>3459</v>
      </c>
      <c r="C2305" s="0" t="s">
        <v>3447</v>
      </c>
      <c r="D2305" s="0" t="s">
        <v>3457</v>
      </c>
      <c r="E2305" s="0" t="s">
        <v>4963</v>
      </c>
      <c r="F2305" s="0" t="s">
        <v>59</v>
      </c>
      <c r="G2305" s="0" t="s">
        <v>4974</v>
      </c>
      <c r="H2305" s="0" t="s">
        <v>69</v>
      </c>
      <c r="I2305" s="0" t="s">
        <v>4975</v>
      </c>
      <c r="J2305" s="20" t="s">
        <v>25</v>
      </c>
    </row>
    <row r="2306" customFormat="false" ht="15" hidden="false" customHeight="false" outlineLevel="0" collapsed="false">
      <c r="A2306" s="0" t="s">
        <v>1996</v>
      </c>
      <c r="B2306" s="0" t="s">
        <v>3459</v>
      </c>
      <c r="C2306" s="0" t="s">
        <v>3447</v>
      </c>
      <c r="D2306" s="0" t="s">
        <v>3448</v>
      </c>
      <c r="E2306" s="0" t="s">
        <v>4969</v>
      </c>
      <c r="F2306" s="0" t="s">
        <v>64</v>
      </c>
      <c r="G2306" s="0" t="s">
        <v>4220</v>
      </c>
      <c r="H2306" s="0" t="s">
        <v>5737</v>
      </c>
      <c r="I2306" s="0" t="s">
        <v>4991</v>
      </c>
      <c r="J2306" s="20" t="s">
        <v>25</v>
      </c>
    </row>
    <row r="2307" customFormat="false" ht="15" hidden="false" customHeight="false" outlineLevel="0" collapsed="false">
      <c r="A2307" s="0" t="s">
        <v>1996</v>
      </c>
      <c r="B2307" s="0" t="s">
        <v>134</v>
      </c>
      <c r="C2307" s="0" t="s">
        <v>3447</v>
      </c>
      <c r="D2307" s="0" t="s">
        <v>3448</v>
      </c>
      <c r="E2307" s="0" t="s">
        <v>4963</v>
      </c>
      <c r="F2307" s="0" t="s">
        <v>30</v>
      </c>
      <c r="G2307" s="0" t="s">
        <v>4980</v>
      </c>
      <c r="H2307" s="0" t="s">
        <v>4687</v>
      </c>
      <c r="I2307" s="0" t="s">
        <v>4981</v>
      </c>
      <c r="J2307" s="18" t="s">
        <v>24</v>
      </c>
    </row>
    <row r="2308" customFormat="false" ht="15" hidden="false" customHeight="false" outlineLevel="0" collapsed="false">
      <c r="A2308" s="0" t="s">
        <v>1996</v>
      </c>
      <c r="B2308" s="0" t="s">
        <v>3459</v>
      </c>
      <c r="C2308" s="0" t="s">
        <v>3450</v>
      </c>
      <c r="D2308" s="0" t="s">
        <v>3457</v>
      </c>
      <c r="E2308" s="0" t="s">
        <v>4963</v>
      </c>
      <c r="F2308" s="0" t="s">
        <v>30</v>
      </c>
      <c r="G2308" s="0" t="s">
        <v>4980</v>
      </c>
      <c r="H2308" s="0" t="s">
        <v>4242</v>
      </c>
      <c r="I2308" s="0" t="s">
        <v>4981</v>
      </c>
      <c r="J2308" s="18" t="s">
        <v>24</v>
      </c>
    </row>
    <row r="2309" customFormat="false" ht="15" hidden="false" customHeight="false" outlineLevel="0" collapsed="false">
      <c r="A2309" s="0" t="s">
        <v>1996</v>
      </c>
      <c r="B2309" s="0" t="s">
        <v>3459</v>
      </c>
      <c r="C2309" s="0" t="s">
        <v>3447</v>
      </c>
      <c r="D2309" s="0" t="s">
        <v>3448</v>
      </c>
      <c r="E2309" s="0" t="s">
        <v>4963</v>
      </c>
      <c r="F2309" s="0" t="s">
        <v>30</v>
      </c>
      <c r="G2309" s="0" t="s">
        <v>4980</v>
      </c>
      <c r="H2309" s="0" t="s">
        <v>4690</v>
      </c>
      <c r="I2309" s="0" t="s">
        <v>4981</v>
      </c>
      <c r="J2309" s="18" t="s">
        <v>24</v>
      </c>
    </row>
    <row r="2310" customFormat="false" ht="15" hidden="false" customHeight="false" outlineLevel="0" collapsed="false">
      <c r="A2310" s="0" t="s">
        <v>2001</v>
      </c>
      <c r="B2310" s="0" t="s">
        <v>134</v>
      </c>
      <c r="C2310" s="0" t="s">
        <v>3450</v>
      </c>
      <c r="D2310" s="0" t="s">
        <v>3457</v>
      </c>
      <c r="E2310" s="0" t="s">
        <v>4969</v>
      </c>
      <c r="F2310" s="0" t="s">
        <v>61</v>
      </c>
      <c r="G2310" s="0" t="s">
        <v>4970</v>
      </c>
      <c r="H2310" s="0" t="s">
        <v>5738</v>
      </c>
      <c r="I2310" s="0" t="s">
        <v>4972</v>
      </c>
      <c r="J2310" s="20" t="s">
        <v>25</v>
      </c>
    </row>
    <row r="2311" customFormat="false" ht="15" hidden="false" customHeight="false" outlineLevel="0" collapsed="false">
      <c r="A2311" s="0" t="s">
        <v>2001</v>
      </c>
      <c r="B2311" s="0" t="s">
        <v>134</v>
      </c>
      <c r="C2311" s="0" t="s">
        <v>3450</v>
      </c>
      <c r="D2311" s="0" t="s">
        <v>3457</v>
      </c>
      <c r="E2311" s="0" t="s">
        <v>4969</v>
      </c>
      <c r="F2311" s="0" t="s">
        <v>63</v>
      </c>
      <c r="G2311" s="0" t="s">
        <v>4220</v>
      </c>
      <c r="H2311" s="0" t="s">
        <v>5739</v>
      </c>
      <c r="I2311" s="0" t="s">
        <v>4979</v>
      </c>
      <c r="J2311" s="20" t="s">
        <v>25</v>
      </c>
    </row>
    <row r="2312" customFormat="false" ht="15" hidden="false" customHeight="false" outlineLevel="0" collapsed="false">
      <c r="A2312" s="0" t="s">
        <v>2001</v>
      </c>
      <c r="B2312" s="0" t="s">
        <v>134</v>
      </c>
      <c r="C2312" s="0" t="s">
        <v>3450</v>
      </c>
      <c r="D2312" s="0" t="s">
        <v>3448</v>
      </c>
      <c r="E2312" s="0" t="s">
        <v>4963</v>
      </c>
      <c r="F2312" s="0" t="s">
        <v>59</v>
      </c>
      <c r="G2312" s="0" t="s">
        <v>4974</v>
      </c>
      <c r="H2312" s="0" t="s">
        <v>69</v>
      </c>
      <c r="I2312" s="0" t="s">
        <v>4975</v>
      </c>
      <c r="J2312" s="20" t="s">
        <v>25</v>
      </c>
    </row>
    <row r="2313" customFormat="false" ht="15" hidden="false" customHeight="false" outlineLevel="0" collapsed="false">
      <c r="A2313" s="0" t="s">
        <v>2001</v>
      </c>
      <c r="B2313" s="0" t="s">
        <v>134</v>
      </c>
      <c r="C2313" s="0" t="s">
        <v>3450</v>
      </c>
      <c r="D2313" s="0" t="s">
        <v>3448</v>
      </c>
      <c r="E2313" s="0" t="s">
        <v>4969</v>
      </c>
      <c r="F2313" s="0" t="s">
        <v>61</v>
      </c>
      <c r="G2313" s="0" t="s">
        <v>4970</v>
      </c>
      <c r="H2313" s="0" t="s">
        <v>5740</v>
      </c>
      <c r="I2313" s="0" t="s">
        <v>4972</v>
      </c>
      <c r="J2313" s="20" t="s">
        <v>25</v>
      </c>
    </row>
    <row r="2314" customFormat="false" ht="15" hidden="false" customHeight="false" outlineLevel="0" collapsed="false">
      <c r="A2314" s="0" t="s">
        <v>2001</v>
      </c>
      <c r="B2314" s="0" t="s">
        <v>134</v>
      </c>
      <c r="C2314" s="0" t="s">
        <v>3450</v>
      </c>
      <c r="D2314" s="0" t="s">
        <v>3448</v>
      </c>
      <c r="E2314" s="0" t="s">
        <v>4969</v>
      </c>
      <c r="F2314" s="0" t="s">
        <v>64</v>
      </c>
      <c r="G2314" s="0" t="s">
        <v>4220</v>
      </c>
      <c r="H2314" s="0" t="s">
        <v>5468</v>
      </c>
      <c r="I2314" s="0" t="s">
        <v>4991</v>
      </c>
      <c r="J2314" s="20" t="s">
        <v>25</v>
      </c>
    </row>
    <row r="2315" customFormat="false" ht="15" hidden="false" customHeight="false" outlineLevel="0" collapsed="false">
      <c r="A2315" s="0" t="s">
        <v>2001</v>
      </c>
      <c r="B2315" s="0" t="s">
        <v>134</v>
      </c>
      <c r="C2315" s="0" t="s">
        <v>3447</v>
      </c>
      <c r="D2315" s="0" t="s">
        <v>3457</v>
      </c>
      <c r="E2315" s="0" t="s">
        <v>4969</v>
      </c>
      <c r="F2315" s="0" t="s">
        <v>61</v>
      </c>
      <c r="G2315" s="0" t="s">
        <v>4970</v>
      </c>
      <c r="H2315" s="0" t="s">
        <v>5741</v>
      </c>
      <c r="I2315" s="0" t="s">
        <v>4972</v>
      </c>
      <c r="J2315" s="20" t="s">
        <v>25</v>
      </c>
    </row>
    <row r="2316" customFormat="false" ht="15" hidden="false" customHeight="false" outlineLevel="0" collapsed="false">
      <c r="A2316" s="0" t="s">
        <v>2001</v>
      </c>
      <c r="B2316" s="0" t="s">
        <v>134</v>
      </c>
      <c r="C2316" s="0" t="s">
        <v>3447</v>
      </c>
      <c r="D2316" s="0" t="s">
        <v>3457</v>
      </c>
      <c r="E2316" s="0" t="s">
        <v>4969</v>
      </c>
      <c r="F2316" s="0" t="s">
        <v>63</v>
      </c>
      <c r="G2316" s="0" t="s">
        <v>4220</v>
      </c>
      <c r="H2316" s="0" t="s">
        <v>5739</v>
      </c>
      <c r="I2316" s="0" t="s">
        <v>4979</v>
      </c>
      <c r="J2316" s="20" t="s">
        <v>25</v>
      </c>
    </row>
    <row r="2317" customFormat="false" ht="15" hidden="false" customHeight="false" outlineLevel="0" collapsed="false">
      <c r="A2317" s="0" t="s">
        <v>2001</v>
      </c>
      <c r="B2317" s="0" t="s">
        <v>134</v>
      </c>
      <c r="C2317" s="0" t="s">
        <v>3447</v>
      </c>
      <c r="D2317" s="0" t="s">
        <v>3448</v>
      </c>
      <c r="E2317" s="0" t="s">
        <v>4963</v>
      </c>
      <c r="F2317" s="0" t="s">
        <v>59</v>
      </c>
      <c r="G2317" s="0" t="s">
        <v>4974</v>
      </c>
      <c r="H2317" s="0" t="s">
        <v>69</v>
      </c>
      <c r="I2317" s="0" t="s">
        <v>4975</v>
      </c>
      <c r="J2317" s="20" t="s">
        <v>25</v>
      </c>
    </row>
    <row r="2318" customFormat="false" ht="15" hidden="false" customHeight="false" outlineLevel="0" collapsed="false">
      <c r="A2318" s="0" t="s">
        <v>2001</v>
      </c>
      <c r="B2318" s="0" t="s">
        <v>134</v>
      </c>
      <c r="C2318" s="0" t="s">
        <v>3447</v>
      </c>
      <c r="D2318" s="0" t="s">
        <v>3448</v>
      </c>
      <c r="E2318" s="0" t="s">
        <v>4969</v>
      </c>
      <c r="F2318" s="0" t="s">
        <v>64</v>
      </c>
      <c r="G2318" s="0" t="s">
        <v>4220</v>
      </c>
      <c r="H2318" s="0" t="s">
        <v>5468</v>
      </c>
      <c r="I2318" s="0" t="s">
        <v>4991</v>
      </c>
      <c r="J2318" s="20" t="s">
        <v>25</v>
      </c>
    </row>
    <row r="2319" customFormat="false" ht="15" hidden="false" customHeight="false" outlineLevel="0" collapsed="false">
      <c r="A2319" s="0" t="s">
        <v>2001</v>
      </c>
      <c r="B2319" s="0" t="s">
        <v>3459</v>
      </c>
      <c r="C2319" s="0" t="s">
        <v>3450</v>
      </c>
      <c r="D2319" s="0" t="s">
        <v>3457</v>
      </c>
      <c r="E2319" s="0" t="s">
        <v>4969</v>
      </c>
      <c r="F2319" s="0" t="s">
        <v>61</v>
      </c>
      <c r="G2319" s="0" t="s">
        <v>4970</v>
      </c>
      <c r="H2319" s="0" t="s">
        <v>5742</v>
      </c>
      <c r="I2319" s="0" t="s">
        <v>4972</v>
      </c>
      <c r="J2319" s="20" t="s">
        <v>25</v>
      </c>
    </row>
    <row r="2320" customFormat="false" ht="15" hidden="false" customHeight="false" outlineLevel="0" collapsed="false">
      <c r="A2320" s="0" t="s">
        <v>2001</v>
      </c>
      <c r="B2320" s="0" t="s">
        <v>3459</v>
      </c>
      <c r="C2320" s="0" t="s">
        <v>3450</v>
      </c>
      <c r="D2320" s="0" t="s">
        <v>3457</v>
      </c>
      <c r="E2320" s="0" t="s">
        <v>4969</v>
      </c>
      <c r="F2320" s="0" t="s">
        <v>63</v>
      </c>
      <c r="G2320" s="0" t="s">
        <v>4220</v>
      </c>
      <c r="H2320" s="0" t="s">
        <v>5080</v>
      </c>
      <c r="I2320" s="0" t="s">
        <v>4979</v>
      </c>
      <c r="J2320" s="20" t="s">
        <v>25</v>
      </c>
    </row>
    <row r="2321" customFormat="false" ht="15" hidden="false" customHeight="false" outlineLevel="0" collapsed="false">
      <c r="A2321" s="0" t="s">
        <v>2001</v>
      </c>
      <c r="B2321" s="0" t="s">
        <v>3459</v>
      </c>
      <c r="C2321" s="0" t="s">
        <v>3450</v>
      </c>
      <c r="D2321" s="0" t="s">
        <v>3448</v>
      </c>
      <c r="E2321" s="0" t="s">
        <v>4969</v>
      </c>
      <c r="F2321" s="0" t="s">
        <v>61</v>
      </c>
      <c r="G2321" s="0" t="s">
        <v>4970</v>
      </c>
      <c r="H2321" s="0" t="s">
        <v>5743</v>
      </c>
      <c r="I2321" s="0" t="s">
        <v>4972</v>
      </c>
      <c r="J2321" s="20" t="s">
        <v>25</v>
      </c>
    </row>
    <row r="2322" customFormat="false" ht="15" hidden="false" customHeight="false" outlineLevel="0" collapsed="false">
      <c r="A2322" s="0" t="s">
        <v>2001</v>
      </c>
      <c r="B2322" s="0" t="s">
        <v>3459</v>
      </c>
      <c r="C2322" s="0" t="s">
        <v>3450</v>
      </c>
      <c r="D2322" s="0" t="s">
        <v>3448</v>
      </c>
      <c r="E2322" s="0" t="s">
        <v>4969</v>
      </c>
      <c r="F2322" s="0" t="s">
        <v>63</v>
      </c>
      <c r="G2322" s="0" t="s">
        <v>4220</v>
      </c>
      <c r="H2322" s="0" t="s">
        <v>5744</v>
      </c>
      <c r="I2322" s="0" t="s">
        <v>4979</v>
      </c>
      <c r="J2322" s="20" t="s">
        <v>25</v>
      </c>
    </row>
    <row r="2323" customFormat="false" ht="15" hidden="false" customHeight="false" outlineLevel="0" collapsed="false">
      <c r="A2323" s="0" t="s">
        <v>2001</v>
      </c>
      <c r="B2323" s="0" t="s">
        <v>3459</v>
      </c>
      <c r="C2323" s="0" t="s">
        <v>3447</v>
      </c>
      <c r="D2323" s="0" t="s">
        <v>3457</v>
      </c>
      <c r="E2323" s="0" t="s">
        <v>4969</v>
      </c>
      <c r="F2323" s="0" t="s">
        <v>61</v>
      </c>
      <c r="G2323" s="0" t="s">
        <v>4970</v>
      </c>
      <c r="H2323" s="0" t="s">
        <v>5745</v>
      </c>
      <c r="I2323" s="0" t="s">
        <v>4972</v>
      </c>
      <c r="J2323" s="20" t="s">
        <v>25</v>
      </c>
    </row>
    <row r="2324" customFormat="false" ht="15" hidden="false" customHeight="false" outlineLevel="0" collapsed="false">
      <c r="A2324" s="0" t="s">
        <v>2001</v>
      </c>
      <c r="B2324" s="0" t="s">
        <v>3459</v>
      </c>
      <c r="C2324" s="0" t="s">
        <v>3447</v>
      </c>
      <c r="D2324" s="0" t="s">
        <v>3457</v>
      </c>
      <c r="E2324" s="0" t="s">
        <v>4969</v>
      </c>
      <c r="F2324" s="0" t="s">
        <v>63</v>
      </c>
      <c r="G2324" s="0" t="s">
        <v>4220</v>
      </c>
      <c r="H2324" s="0" t="s">
        <v>5080</v>
      </c>
      <c r="I2324" s="0" t="s">
        <v>4979</v>
      </c>
      <c r="J2324" s="20" t="s">
        <v>25</v>
      </c>
    </row>
    <row r="2325" customFormat="false" ht="15" hidden="false" customHeight="false" outlineLevel="0" collapsed="false">
      <c r="A2325" s="0" t="s">
        <v>2001</v>
      </c>
      <c r="B2325" s="0" t="s">
        <v>3459</v>
      </c>
      <c r="C2325" s="0" t="s">
        <v>3447</v>
      </c>
      <c r="D2325" s="0" t="s">
        <v>3448</v>
      </c>
      <c r="E2325" s="0" t="s">
        <v>4969</v>
      </c>
      <c r="F2325" s="0" t="s">
        <v>61</v>
      </c>
      <c r="G2325" s="0" t="s">
        <v>4970</v>
      </c>
      <c r="H2325" s="0" t="s">
        <v>5746</v>
      </c>
      <c r="I2325" s="0" t="s">
        <v>4972</v>
      </c>
      <c r="J2325" s="20" t="s">
        <v>25</v>
      </c>
    </row>
    <row r="2326" customFormat="false" ht="15" hidden="false" customHeight="false" outlineLevel="0" collapsed="false">
      <c r="A2326" s="0" t="s">
        <v>2001</v>
      </c>
      <c r="B2326" s="0" t="s">
        <v>3459</v>
      </c>
      <c r="C2326" s="0" t="s">
        <v>3447</v>
      </c>
      <c r="D2326" s="0" t="s">
        <v>3448</v>
      </c>
      <c r="E2326" s="0" t="s">
        <v>4969</v>
      </c>
      <c r="F2326" s="0" t="s">
        <v>63</v>
      </c>
      <c r="G2326" s="0" t="s">
        <v>4220</v>
      </c>
      <c r="H2326" s="0" t="s">
        <v>5744</v>
      </c>
      <c r="I2326" s="0" t="s">
        <v>4979</v>
      </c>
      <c r="J2326" s="20" t="s">
        <v>25</v>
      </c>
    </row>
    <row r="2327" customFormat="false" ht="15" hidden="false" customHeight="false" outlineLevel="0" collapsed="false">
      <c r="A2327" s="0" t="s">
        <v>2001</v>
      </c>
      <c r="B2327" s="0" t="s">
        <v>134</v>
      </c>
      <c r="C2327" s="0" t="s">
        <v>3450</v>
      </c>
      <c r="D2327" s="0" t="s">
        <v>3448</v>
      </c>
      <c r="E2327" s="0" t="s">
        <v>4963</v>
      </c>
      <c r="F2327" s="0" t="s">
        <v>30</v>
      </c>
      <c r="G2327" s="0" t="s">
        <v>4980</v>
      </c>
      <c r="H2327" s="0" t="s">
        <v>4275</v>
      </c>
      <c r="I2327" s="0" t="s">
        <v>4981</v>
      </c>
      <c r="J2327" s="18" t="s">
        <v>24</v>
      </c>
    </row>
    <row r="2328" customFormat="false" ht="15" hidden="false" customHeight="false" outlineLevel="0" collapsed="false">
      <c r="A2328" s="0" t="s">
        <v>2001</v>
      </c>
      <c r="B2328" s="0" t="s">
        <v>134</v>
      </c>
      <c r="C2328" s="0" t="s">
        <v>3447</v>
      </c>
      <c r="D2328" s="0" t="s">
        <v>3448</v>
      </c>
      <c r="E2328" s="0" t="s">
        <v>4963</v>
      </c>
      <c r="F2328" s="0" t="s">
        <v>30</v>
      </c>
      <c r="G2328" s="0" t="s">
        <v>4980</v>
      </c>
      <c r="H2328" s="0" t="s">
        <v>4275</v>
      </c>
      <c r="I2328" s="0" t="s">
        <v>4981</v>
      </c>
      <c r="J2328" s="18" t="s">
        <v>24</v>
      </c>
    </row>
    <row r="2329" customFormat="false" ht="15" hidden="false" customHeight="false" outlineLevel="0" collapsed="false">
      <c r="A2329" s="0" t="s">
        <v>2010</v>
      </c>
      <c r="B2329" s="0" t="s">
        <v>134</v>
      </c>
      <c r="C2329" s="0" t="s">
        <v>3447</v>
      </c>
      <c r="D2329" s="0" t="s">
        <v>3457</v>
      </c>
      <c r="E2329" s="0" t="s">
        <v>4963</v>
      </c>
      <c r="F2329" s="0" t="s">
        <v>60</v>
      </c>
      <c r="G2329" s="0" t="s">
        <v>4964</v>
      </c>
      <c r="H2329" s="0" t="s">
        <v>4965</v>
      </c>
      <c r="I2329" s="0" t="s">
        <v>4966</v>
      </c>
      <c r="J2329" s="19" t="s">
        <v>26</v>
      </c>
    </row>
    <row r="2330" customFormat="false" ht="15" hidden="false" customHeight="false" outlineLevel="0" collapsed="false">
      <c r="A2330" s="0" t="s">
        <v>2010</v>
      </c>
      <c r="B2330" s="0" t="s">
        <v>134</v>
      </c>
      <c r="C2330" s="0" t="s">
        <v>3450</v>
      </c>
      <c r="D2330" s="0" t="s">
        <v>3448</v>
      </c>
      <c r="E2330" s="0" t="s">
        <v>4969</v>
      </c>
      <c r="F2330" s="0" t="s">
        <v>64</v>
      </c>
      <c r="G2330" s="0" t="s">
        <v>4220</v>
      </c>
      <c r="H2330" s="0" t="s">
        <v>5747</v>
      </c>
      <c r="I2330" s="0" t="s">
        <v>4991</v>
      </c>
      <c r="J2330" s="20" t="s">
        <v>25</v>
      </c>
    </row>
    <row r="2331" customFormat="false" ht="15" hidden="false" customHeight="false" outlineLevel="0" collapsed="false">
      <c r="A2331" s="0" t="s">
        <v>2010</v>
      </c>
      <c r="B2331" s="0" t="s">
        <v>134</v>
      </c>
      <c r="C2331" s="0" t="s">
        <v>3447</v>
      </c>
      <c r="D2331" s="0" t="s">
        <v>3457</v>
      </c>
      <c r="E2331" s="0" t="s">
        <v>4963</v>
      </c>
      <c r="F2331" s="0" t="s">
        <v>59</v>
      </c>
      <c r="G2331" s="0" t="s">
        <v>4974</v>
      </c>
      <c r="H2331" s="0" t="s">
        <v>69</v>
      </c>
      <c r="I2331" s="0" t="s">
        <v>4975</v>
      </c>
      <c r="J2331" s="20" t="s">
        <v>25</v>
      </c>
    </row>
    <row r="2332" customFormat="false" ht="15" hidden="false" customHeight="false" outlineLevel="0" collapsed="false">
      <c r="A2332" s="0" t="s">
        <v>2010</v>
      </c>
      <c r="B2332" s="0" t="s">
        <v>134</v>
      </c>
      <c r="C2332" s="0" t="s">
        <v>3447</v>
      </c>
      <c r="D2332" s="0" t="s">
        <v>3448</v>
      </c>
      <c r="E2332" s="0" t="s">
        <v>4969</v>
      </c>
      <c r="F2332" s="0" t="s">
        <v>64</v>
      </c>
      <c r="G2332" s="0" t="s">
        <v>4220</v>
      </c>
      <c r="H2332" s="0" t="s">
        <v>5747</v>
      </c>
      <c r="I2332" s="0" t="s">
        <v>4991</v>
      </c>
      <c r="J2332" s="20" t="s">
        <v>25</v>
      </c>
    </row>
    <row r="2333" customFormat="false" ht="15" hidden="false" customHeight="false" outlineLevel="0" collapsed="false">
      <c r="A2333" s="0" t="s">
        <v>2010</v>
      </c>
      <c r="B2333" s="0" t="s">
        <v>134</v>
      </c>
      <c r="C2333" s="0" t="s">
        <v>3447</v>
      </c>
      <c r="D2333" s="0" t="s">
        <v>3448</v>
      </c>
      <c r="E2333" s="0" t="s">
        <v>4963</v>
      </c>
      <c r="F2333" s="0" t="s">
        <v>30</v>
      </c>
      <c r="G2333" s="0" t="s">
        <v>4980</v>
      </c>
      <c r="H2333" s="0" t="s">
        <v>4344</v>
      </c>
      <c r="I2333" s="0" t="s">
        <v>4981</v>
      </c>
      <c r="J2333" s="18" t="s">
        <v>24</v>
      </c>
    </row>
    <row r="2334" customFormat="false" ht="15" hidden="false" customHeight="false" outlineLevel="0" collapsed="false">
      <c r="A2334" s="0" t="s">
        <v>2016</v>
      </c>
      <c r="B2334" s="0" t="s">
        <v>134</v>
      </c>
      <c r="C2334" s="0" t="s">
        <v>3450</v>
      </c>
      <c r="D2334" s="0" t="s">
        <v>3457</v>
      </c>
      <c r="E2334" s="0" t="s">
        <v>4963</v>
      </c>
      <c r="F2334" s="0" t="s">
        <v>30</v>
      </c>
      <c r="G2334" s="0" t="s">
        <v>4980</v>
      </c>
      <c r="H2334" s="0" t="s">
        <v>4691</v>
      </c>
      <c r="I2334" s="0" t="s">
        <v>4981</v>
      </c>
      <c r="J2334" s="18" t="s">
        <v>24</v>
      </c>
    </row>
    <row r="2335" customFormat="false" ht="15" hidden="false" customHeight="false" outlineLevel="0" collapsed="false">
      <c r="A2335" s="0" t="s">
        <v>2021</v>
      </c>
      <c r="B2335" s="0" t="s">
        <v>134</v>
      </c>
      <c r="C2335" s="0" t="s">
        <v>3447</v>
      </c>
      <c r="D2335" s="0" t="s">
        <v>3457</v>
      </c>
      <c r="E2335" s="0" t="s">
        <v>4963</v>
      </c>
      <c r="F2335" s="0" t="s">
        <v>60</v>
      </c>
      <c r="G2335" s="0" t="s">
        <v>4964</v>
      </c>
      <c r="H2335" s="0" t="s">
        <v>5748</v>
      </c>
      <c r="I2335" s="0" t="s">
        <v>4966</v>
      </c>
      <c r="J2335" s="19" t="s">
        <v>26</v>
      </c>
    </row>
    <row r="2336" customFormat="false" ht="15" hidden="false" customHeight="false" outlineLevel="0" collapsed="false">
      <c r="A2336" s="0" t="s">
        <v>2021</v>
      </c>
      <c r="B2336" s="0" t="s">
        <v>134</v>
      </c>
      <c r="C2336" s="0" t="s">
        <v>3450</v>
      </c>
      <c r="D2336" s="0" t="s">
        <v>3457</v>
      </c>
      <c r="E2336" s="0" t="s">
        <v>4969</v>
      </c>
      <c r="F2336" s="0" t="s">
        <v>62</v>
      </c>
      <c r="G2336" s="0" t="s">
        <v>5003</v>
      </c>
      <c r="H2336" s="0" t="s">
        <v>5749</v>
      </c>
      <c r="I2336" s="0" t="s">
        <v>5005</v>
      </c>
      <c r="J2336" s="20" t="s">
        <v>25</v>
      </c>
    </row>
    <row r="2337" customFormat="false" ht="15" hidden="false" customHeight="false" outlineLevel="0" collapsed="false">
      <c r="A2337" s="0" t="s">
        <v>2021</v>
      </c>
      <c r="B2337" s="0" t="s">
        <v>134</v>
      </c>
      <c r="C2337" s="0" t="s">
        <v>3450</v>
      </c>
      <c r="D2337" s="0" t="s">
        <v>3457</v>
      </c>
      <c r="E2337" s="0" t="s">
        <v>4969</v>
      </c>
      <c r="F2337" s="0" t="s">
        <v>63</v>
      </c>
      <c r="G2337" s="0" t="s">
        <v>4220</v>
      </c>
      <c r="H2337" s="0" t="s">
        <v>5750</v>
      </c>
      <c r="I2337" s="0" t="s">
        <v>4979</v>
      </c>
      <c r="J2337" s="20" t="s">
        <v>25</v>
      </c>
    </row>
    <row r="2338" customFormat="false" ht="15" hidden="false" customHeight="false" outlineLevel="0" collapsed="false">
      <c r="A2338" s="0" t="s">
        <v>2021</v>
      </c>
      <c r="B2338" s="0" t="s">
        <v>134</v>
      </c>
      <c r="C2338" s="0" t="s">
        <v>3447</v>
      </c>
      <c r="D2338" s="0" t="s">
        <v>3457</v>
      </c>
      <c r="E2338" s="0" t="s">
        <v>4969</v>
      </c>
      <c r="F2338" s="0" t="s">
        <v>63</v>
      </c>
      <c r="G2338" s="0" t="s">
        <v>4220</v>
      </c>
      <c r="H2338" s="0" t="s">
        <v>5750</v>
      </c>
      <c r="I2338" s="0" t="s">
        <v>4979</v>
      </c>
      <c r="J2338" s="20" t="s">
        <v>25</v>
      </c>
    </row>
    <row r="2339" customFormat="false" ht="15" hidden="false" customHeight="false" outlineLevel="0" collapsed="false">
      <c r="A2339" s="0" t="s">
        <v>2021</v>
      </c>
      <c r="B2339" s="0" t="s">
        <v>134</v>
      </c>
      <c r="C2339" s="0" t="s">
        <v>3447</v>
      </c>
      <c r="D2339" s="0" t="s">
        <v>3448</v>
      </c>
      <c r="E2339" s="0" t="s">
        <v>4963</v>
      </c>
      <c r="F2339" s="0" t="s">
        <v>30</v>
      </c>
      <c r="G2339" s="0" t="s">
        <v>4980</v>
      </c>
      <c r="H2339" s="0" t="s">
        <v>4250</v>
      </c>
      <c r="I2339" s="0" t="s">
        <v>4981</v>
      </c>
      <c r="J2339" s="18" t="s">
        <v>24</v>
      </c>
    </row>
    <row r="2340" customFormat="false" ht="15" hidden="false" customHeight="false" outlineLevel="0" collapsed="false">
      <c r="A2340" s="0" t="s">
        <v>2027</v>
      </c>
      <c r="B2340" s="0" t="s">
        <v>134</v>
      </c>
      <c r="C2340" s="0" t="s">
        <v>3450</v>
      </c>
      <c r="D2340" s="0" t="s">
        <v>3457</v>
      </c>
      <c r="E2340" s="0" t="s">
        <v>4963</v>
      </c>
      <c r="F2340" s="0" t="s">
        <v>59</v>
      </c>
      <c r="G2340" s="0" t="s">
        <v>4974</v>
      </c>
      <c r="H2340" s="0" t="s">
        <v>69</v>
      </c>
      <c r="I2340" s="0" t="s">
        <v>4975</v>
      </c>
      <c r="J2340" s="20" t="s">
        <v>25</v>
      </c>
    </row>
    <row r="2341" customFormat="false" ht="15" hidden="false" customHeight="false" outlineLevel="0" collapsed="false">
      <c r="A2341" s="0" t="s">
        <v>2027</v>
      </c>
      <c r="B2341" s="0" t="s">
        <v>134</v>
      </c>
      <c r="C2341" s="0" t="s">
        <v>3450</v>
      </c>
      <c r="D2341" s="0" t="s">
        <v>3457</v>
      </c>
      <c r="E2341" s="0" t="s">
        <v>4969</v>
      </c>
      <c r="F2341" s="0" t="s">
        <v>63</v>
      </c>
      <c r="G2341" s="0" t="s">
        <v>4220</v>
      </c>
      <c r="H2341" s="0" t="s">
        <v>5751</v>
      </c>
      <c r="I2341" s="0" t="s">
        <v>4979</v>
      </c>
      <c r="J2341" s="20" t="s">
        <v>25</v>
      </c>
    </row>
    <row r="2342" customFormat="false" ht="15" hidden="false" customHeight="false" outlineLevel="0" collapsed="false">
      <c r="A2342" s="0" t="s">
        <v>2027</v>
      </c>
      <c r="B2342" s="0" t="s">
        <v>134</v>
      </c>
      <c r="C2342" s="0" t="s">
        <v>3450</v>
      </c>
      <c r="D2342" s="0" t="s">
        <v>3448</v>
      </c>
      <c r="E2342" s="0" t="s">
        <v>4963</v>
      </c>
      <c r="F2342" s="0" t="s">
        <v>59</v>
      </c>
      <c r="G2342" s="0" t="s">
        <v>4974</v>
      </c>
      <c r="H2342" s="0" t="s">
        <v>69</v>
      </c>
      <c r="I2342" s="0" t="s">
        <v>4975</v>
      </c>
      <c r="J2342" s="20" t="s">
        <v>25</v>
      </c>
    </row>
    <row r="2343" customFormat="false" ht="15" hidden="false" customHeight="false" outlineLevel="0" collapsed="false">
      <c r="A2343" s="0" t="s">
        <v>2027</v>
      </c>
      <c r="B2343" s="0" t="s">
        <v>134</v>
      </c>
      <c r="C2343" s="0" t="s">
        <v>3450</v>
      </c>
      <c r="D2343" s="0" t="s">
        <v>3448</v>
      </c>
      <c r="E2343" s="0" t="s">
        <v>4969</v>
      </c>
      <c r="F2343" s="0" t="s">
        <v>62</v>
      </c>
      <c r="G2343" s="0" t="s">
        <v>5003</v>
      </c>
      <c r="H2343" s="0" t="s">
        <v>5752</v>
      </c>
      <c r="I2343" s="0" t="s">
        <v>5005</v>
      </c>
      <c r="J2343" s="20" t="s">
        <v>25</v>
      </c>
    </row>
    <row r="2344" customFormat="false" ht="15" hidden="false" customHeight="false" outlineLevel="0" collapsed="false">
      <c r="A2344" s="0" t="s">
        <v>2027</v>
      </c>
      <c r="B2344" s="0" t="s">
        <v>134</v>
      </c>
      <c r="C2344" s="0" t="s">
        <v>3450</v>
      </c>
      <c r="D2344" s="0" t="s">
        <v>3448</v>
      </c>
      <c r="E2344" s="0" t="s">
        <v>4969</v>
      </c>
      <c r="F2344" s="0" t="s">
        <v>64</v>
      </c>
      <c r="G2344" s="0" t="s">
        <v>4220</v>
      </c>
      <c r="H2344" s="0" t="s">
        <v>5753</v>
      </c>
      <c r="I2344" s="0" t="s">
        <v>4991</v>
      </c>
      <c r="J2344" s="20" t="s">
        <v>25</v>
      </c>
    </row>
    <row r="2345" customFormat="false" ht="15" hidden="false" customHeight="false" outlineLevel="0" collapsed="false">
      <c r="A2345" s="0" t="s">
        <v>2027</v>
      </c>
      <c r="B2345" s="0" t="s">
        <v>134</v>
      </c>
      <c r="C2345" s="0" t="s">
        <v>3447</v>
      </c>
      <c r="D2345" s="0" t="s">
        <v>3457</v>
      </c>
      <c r="E2345" s="0" t="s">
        <v>4969</v>
      </c>
      <c r="F2345" s="0" t="s">
        <v>63</v>
      </c>
      <c r="G2345" s="0" t="s">
        <v>4220</v>
      </c>
      <c r="H2345" s="0" t="s">
        <v>5751</v>
      </c>
      <c r="I2345" s="0" t="s">
        <v>4979</v>
      </c>
      <c r="J2345" s="20" t="s">
        <v>25</v>
      </c>
    </row>
    <row r="2346" customFormat="false" ht="15" hidden="false" customHeight="false" outlineLevel="0" collapsed="false">
      <c r="A2346" s="0" t="s">
        <v>2027</v>
      </c>
      <c r="B2346" s="0" t="s">
        <v>134</v>
      </c>
      <c r="C2346" s="0" t="s">
        <v>3447</v>
      </c>
      <c r="D2346" s="0" t="s">
        <v>3448</v>
      </c>
      <c r="E2346" s="0" t="s">
        <v>4969</v>
      </c>
      <c r="F2346" s="0" t="s">
        <v>64</v>
      </c>
      <c r="G2346" s="0" t="s">
        <v>4220</v>
      </c>
      <c r="H2346" s="0" t="s">
        <v>5753</v>
      </c>
      <c r="I2346" s="0" t="s">
        <v>4991</v>
      </c>
      <c r="J2346" s="20" t="s">
        <v>25</v>
      </c>
    </row>
    <row r="2347" customFormat="false" ht="15" hidden="false" customHeight="false" outlineLevel="0" collapsed="false">
      <c r="A2347" s="0" t="s">
        <v>2027</v>
      </c>
      <c r="B2347" s="0" t="s">
        <v>134</v>
      </c>
      <c r="C2347" s="0" t="s">
        <v>3450</v>
      </c>
      <c r="D2347" s="0" t="s">
        <v>3457</v>
      </c>
      <c r="E2347" s="0" t="s">
        <v>4963</v>
      </c>
      <c r="F2347" s="0" t="s">
        <v>30</v>
      </c>
      <c r="G2347" s="0" t="s">
        <v>4980</v>
      </c>
      <c r="H2347" s="0" t="s">
        <v>4693</v>
      </c>
      <c r="I2347" s="0" t="s">
        <v>4981</v>
      </c>
      <c r="J2347" s="18" t="s">
        <v>24</v>
      </c>
    </row>
    <row r="2348" customFormat="false" ht="15" hidden="false" customHeight="false" outlineLevel="0" collapsed="false">
      <c r="A2348" s="0" t="s">
        <v>2027</v>
      </c>
      <c r="B2348" s="0" t="s">
        <v>134</v>
      </c>
      <c r="C2348" s="0" t="s">
        <v>3450</v>
      </c>
      <c r="D2348" s="0" t="s">
        <v>3448</v>
      </c>
      <c r="E2348" s="0" t="s">
        <v>4963</v>
      </c>
      <c r="F2348" s="0" t="s">
        <v>30</v>
      </c>
      <c r="G2348" s="0" t="s">
        <v>4980</v>
      </c>
      <c r="H2348" s="0" t="s">
        <v>4275</v>
      </c>
      <c r="I2348" s="0" t="s">
        <v>4981</v>
      </c>
      <c r="J2348" s="18" t="s">
        <v>24</v>
      </c>
    </row>
    <row r="2349" customFormat="false" ht="15" hidden="false" customHeight="false" outlineLevel="0" collapsed="false">
      <c r="A2349" s="0" t="s">
        <v>2027</v>
      </c>
      <c r="B2349" s="0" t="s">
        <v>134</v>
      </c>
      <c r="C2349" s="0" t="s">
        <v>3447</v>
      </c>
      <c r="D2349" s="0" t="s">
        <v>3457</v>
      </c>
      <c r="E2349" s="0" t="s">
        <v>4963</v>
      </c>
      <c r="F2349" s="0" t="s">
        <v>30</v>
      </c>
      <c r="G2349" s="0" t="s">
        <v>4980</v>
      </c>
      <c r="H2349" s="0" t="s">
        <v>4433</v>
      </c>
      <c r="I2349" s="0" t="s">
        <v>4981</v>
      </c>
      <c r="J2349" s="18" t="s">
        <v>24</v>
      </c>
    </row>
    <row r="2350" customFormat="false" ht="15" hidden="false" customHeight="false" outlineLevel="0" collapsed="false">
      <c r="A2350" s="0" t="s">
        <v>2027</v>
      </c>
      <c r="B2350" s="0" t="s">
        <v>134</v>
      </c>
      <c r="C2350" s="0" t="s">
        <v>3447</v>
      </c>
      <c r="D2350" s="0" t="s">
        <v>3448</v>
      </c>
      <c r="E2350" s="0" t="s">
        <v>4963</v>
      </c>
      <c r="F2350" s="0" t="s">
        <v>30</v>
      </c>
      <c r="G2350" s="0" t="s">
        <v>4980</v>
      </c>
      <c r="H2350" s="0" t="s">
        <v>4694</v>
      </c>
      <c r="I2350" s="0" t="s">
        <v>4981</v>
      </c>
      <c r="J2350" s="18" t="s">
        <v>24</v>
      </c>
    </row>
    <row r="2351" customFormat="false" ht="15" hidden="false" customHeight="false" outlineLevel="0" collapsed="false">
      <c r="A2351" s="0" t="s">
        <v>2033</v>
      </c>
      <c r="B2351" s="0" t="s">
        <v>134</v>
      </c>
      <c r="C2351" s="0" t="s">
        <v>3450</v>
      </c>
      <c r="D2351" s="0" t="s">
        <v>3457</v>
      </c>
      <c r="E2351" s="0" t="s">
        <v>4963</v>
      </c>
      <c r="F2351" s="0" t="s">
        <v>60</v>
      </c>
      <c r="G2351" s="0" t="s">
        <v>4964</v>
      </c>
      <c r="H2351" s="0" t="s">
        <v>5754</v>
      </c>
      <c r="I2351" s="0" t="s">
        <v>4966</v>
      </c>
      <c r="J2351" s="19" t="s">
        <v>26</v>
      </c>
    </row>
    <row r="2352" customFormat="false" ht="15" hidden="false" customHeight="false" outlineLevel="0" collapsed="false">
      <c r="A2352" s="0" t="s">
        <v>2033</v>
      </c>
      <c r="B2352" s="0" t="s">
        <v>3459</v>
      </c>
      <c r="C2352" s="0" t="s">
        <v>3447</v>
      </c>
      <c r="D2352" s="0" t="s">
        <v>3457</v>
      </c>
      <c r="E2352" s="0" t="s">
        <v>4963</v>
      </c>
      <c r="F2352" s="0" t="s">
        <v>60</v>
      </c>
      <c r="G2352" s="0" t="s">
        <v>4964</v>
      </c>
      <c r="H2352" s="0" t="s">
        <v>5755</v>
      </c>
      <c r="I2352" s="0" t="s">
        <v>4966</v>
      </c>
      <c r="J2352" s="19" t="s">
        <v>26</v>
      </c>
    </row>
    <row r="2353" customFormat="false" ht="15" hidden="false" customHeight="false" outlineLevel="0" collapsed="false">
      <c r="A2353" s="0" t="s">
        <v>2033</v>
      </c>
      <c r="B2353" s="0" t="s">
        <v>134</v>
      </c>
      <c r="C2353" s="0" t="s">
        <v>3450</v>
      </c>
      <c r="D2353" s="0" t="s">
        <v>3457</v>
      </c>
      <c r="E2353" s="0" t="s">
        <v>4963</v>
      </c>
      <c r="F2353" s="0" t="s">
        <v>59</v>
      </c>
      <c r="G2353" s="0" t="s">
        <v>4974</v>
      </c>
      <c r="H2353" s="0" t="s">
        <v>69</v>
      </c>
      <c r="I2353" s="0" t="s">
        <v>4975</v>
      </c>
      <c r="J2353" s="20" t="s">
        <v>25</v>
      </c>
    </row>
    <row r="2354" customFormat="false" ht="15" hidden="false" customHeight="false" outlineLevel="0" collapsed="false">
      <c r="A2354" s="0" t="s">
        <v>2033</v>
      </c>
      <c r="B2354" s="0" t="s">
        <v>134</v>
      </c>
      <c r="C2354" s="0" t="s">
        <v>3450</v>
      </c>
      <c r="D2354" s="0" t="s">
        <v>3448</v>
      </c>
      <c r="E2354" s="0" t="s">
        <v>4963</v>
      </c>
      <c r="F2354" s="0" t="s">
        <v>59</v>
      </c>
      <c r="G2354" s="0" t="s">
        <v>4974</v>
      </c>
      <c r="H2354" s="0" t="s">
        <v>69</v>
      </c>
      <c r="I2354" s="0" t="s">
        <v>4975</v>
      </c>
      <c r="J2354" s="20" t="s">
        <v>25</v>
      </c>
    </row>
    <row r="2355" customFormat="false" ht="15" hidden="false" customHeight="false" outlineLevel="0" collapsed="false">
      <c r="A2355" s="0" t="s">
        <v>2033</v>
      </c>
      <c r="B2355" s="0" t="s">
        <v>134</v>
      </c>
      <c r="C2355" s="0" t="s">
        <v>3450</v>
      </c>
      <c r="D2355" s="0" t="s">
        <v>3448</v>
      </c>
      <c r="E2355" s="0" t="s">
        <v>4969</v>
      </c>
      <c r="F2355" s="0" t="s">
        <v>62</v>
      </c>
      <c r="G2355" s="0" t="s">
        <v>5003</v>
      </c>
      <c r="H2355" s="0" t="s">
        <v>5756</v>
      </c>
      <c r="I2355" s="0" t="s">
        <v>5005</v>
      </c>
      <c r="J2355" s="20" t="s">
        <v>25</v>
      </c>
    </row>
    <row r="2356" customFormat="false" ht="15" hidden="false" customHeight="false" outlineLevel="0" collapsed="false">
      <c r="A2356" s="0" t="s">
        <v>2033</v>
      </c>
      <c r="B2356" s="0" t="s">
        <v>3459</v>
      </c>
      <c r="C2356" s="0" t="s">
        <v>3450</v>
      </c>
      <c r="D2356" s="0" t="s">
        <v>3457</v>
      </c>
      <c r="E2356" s="0" t="s">
        <v>4969</v>
      </c>
      <c r="F2356" s="0" t="s">
        <v>61</v>
      </c>
      <c r="G2356" s="0" t="s">
        <v>4970</v>
      </c>
      <c r="H2356" s="0" t="s">
        <v>5757</v>
      </c>
      <c r="I2356" s="0" t="s">
        <v>4972</v>
      </c>
      <c r="J2356" s="20" t="s">
        <v>25</v>
      </c>
    </row>
    <row r="2357" customFormat="false" ht="15" hidden="false" customHeight="false" outlineLevel="0" collapsed="false">
      <c r="A2357" s="0" t="s">
        <v>2033</v>
      </c>
      <c r="B2357" s="0" t="s">
        <v>3459</v>
      </c>
      <c r="C2357" s="0" t="s">
        <v>3450</v>
      </c>
      <c r="D2357" s="0" t="s">
        <v>3448</v>
      </c>
      <c r="E2357" s="0" t="s">
        <v>4963</v>
      </c>
      <c r="F2357" s="0" t="s">
        <v>59</v>
      </c>
      <c r="G2357" s="0" t="s">
        <v>4974</v>
      </c>
      <c r="H2357" s="0" t="s">
        <v>69</v>
      </c>
      <c r="I2357" s="0" t="s">
        <v>4975</v>
      </c>
      <c r="J2357" s="20" t="s">
        <v>25</v>
      </c>
    </row>
    <row r="2358" customFormat="false" ht="15" hidden="false" customHeight="false" outlineLevel="0" collapsed="false">
      <c r="A2358" s="0" t="s">
        <v>2033</v>
      </c>
      <c r="B2358" s="0" t="s">
        <v>3459</v>
      </c>
      <c r="C2358" s="0" t="s">
        <v>3450</v>
      </c>
      <c r="D2358" s="0" t="s">
        <v>3448</v>
      </c>
      <c r="E2358" s="0" t="s">
        <v>4969</v>
      </c>
      <c r="F2358" s="0" t="s">
        <v>61</v>
      </c>
      <c r="G2358" s="0" t="s">
        <v>4970</v>
      </c>
      <c r="H2358" s="0" t="s">
        <v>5758</v>
      </c>
      <c r="I2358" s="0" t="s">
        <v>4972</v>
      </c>
      <c r="J2358" s="20" t="s">
        <v>25</v>
      </c>
    </row>
    <row r="2359" customFormat="false" ht="15" hidden="false" customHeight="false" outlineLevel="0" collapsed="false">
      <c r="A2359" s="0" t="s">
        <v>2033</v>
      </c>
      <c r="B2359" s="0" t="s">
        <v>3459</v>
      </c>
      <c r="C2359" s="0" t="s">
        <v>3450</v>
      </c>
      <c r="D2359" s="0" t="s">
        <v>3448</v>
      </c>
      <c r="E2359" s="0" t="s">
        <v>4969</v>
      </c>
      <c r="F2359" s="0" t="s">
        <v>64</v>
      </c>
      <c r="G2359" s="0" t="s">
        <v>4220</v>
      </c>
      <c r="H2359" s="0" t="s">
        <v>5759</v>
      </c>
      <c r="I2359" s="0" t="s">
        <v>4991</v>
      </c>
      <c r="J2359" s="20" t="s">
        <v>25</v>
      </c>
    </row>
    <row r="2360" customFormat="false" ht="15" hidden="false" customHeight="false" outlineLevel="0" collapsed="false">
      <c r="A2360" s="0" t="s">
        <v>2033</v>
      </c>
      <c r="B2360" s="0" t="s">
        <v>3459</v>
      </c>
      <c r="C2360" s="0" t="s">
        <v>3447</v>
      </c>
      <c r="D2360" s="0" t="s">
        <v>3457</v>
      </c>
      <c r="E2360" s="0" t="s">
        <v>4963</v>
      </c>
      <c r="F2360" s="0" t="s">
        <v>59</v>
      </c>
      <c r="G2360" s="0" t="s">
        <v>4974</v>
      </c>
      <c r="H2360" s="0" t="s">
        <v>69</v>
      </c>
      <c r="I2360" s="0" t="s">
        <v>4975</v>
      </c>
      <c r="J2360" s="20" t="s">
        <v>25</v>
      </c>
    </row>
    <row r="2361" customFormat="false" ht="15" hidden="false" customHeight="false" outlineLevel="0" collapsed="false">
      <c r="A2361" s="0" t="s">
        <v>2033</v>
      </c>
      <c r="B2361" s="0" t="s">
        <v>3459</v>
      </c>
      <c r="C2361" s="0" t="s">
        <v>3447</v>
      </c>
      <c r="D2361" s="0" t="s">
        <v>3457</v>
      </c>
      <c r="E2361" s="0" t="s">
        <v>4969</v>
      </c>
      <c r="F2361" s="0" t="s">
        <v>61</v>
      </c>
      <c r="G2361" s="0" t="s">
        <v>4970</v>
      </c>
      <c r="H2361" s="0" t="s">
        <v>5760</v>
      </c>
      <c r="I2361" s="0" t="s">
        <v>4972</v>
      </c>
      <c r="J2361" s="20" t="s">
        <v>25</v>
      </c>
    </row>
    <row r="2362" customFormat="false" ht="15" hidden="false" customHeight="false" outlineLevel="0" collapsed="false">
      <c r="A2362" s="0" t="s">
        <v>2033</v>
      </c>
      <c r="B2362" s="0" t="s">
        <v>3459</v>
      </c>
      <c r="C2362" s="0" t="s">
        <v>3447</v>
      </c>
      <c r="D2362" s="0" t="s">
        <v>3448</v>
      </c>
      <c r="E2362" s="0" t="s">
        <v>4969</v>
      </c>
      <c r="F2362" s="0" t="s">
        <v>64</v>
      </c>
      <c r="G2362" s="0" t="s">
        <v>4220</v>
      </c>
      <c r="H2362" s="0" t="s">
        <v>5759</v>
      </c>
      <c r="I2362" s="0" t="s">
        <v>4991</v>
      </c>
      <c r="J2362" s="20" t="s">
        <v>25</v>
      </c>
    </row>
    <row r="2363" customFormat="false" ht="15" hidden="false" customHeight="false" outlineLevel="0" collapsed="false">
      <c r="A2363" s="0" t="s">
        <v>2033</v>
      </c>
      <c r="B2363" s="0" t="s">
        <v>134</v>
      </c>
      <c r="C2363" s="0" t="s">
        <v>3450</v>
      </c>
      <c r="D2363" s="0" t="s">
        <v>3448</v>
      </c>
      <c r="E2363" s="0" t="s">
        <v>4963</v>
      </c>
      <c r="F2363" s="0" t="s">
        <v>30</v>
      </c>
      <c r="G2363" s="0" t="s">
        <v>4980</v>
      </c>
      <c r="H2363" s="0" t="s">
        <v>4242</v>
      </c>
      <c r="I2363" s="0" t="s">
        <v>4981</v>
      </c>
      <c r="J2363" s="18" t="s">
        <v>24</v>
      </c>
    </row>
    <row r="2364" customFormat="false" ht="15" hidden="false" customHeight="false" outlineLevel="0" collapsed="false">
      <c r="A2364" s="0" t="s">
        <v>2033</v>
      </c>
      <c r="B2364" s="0" t="s">
        <v>134</v>
      </c>
      <c r="C2364" s="0" t="s">
        <v>3447</v>
      </c>
      <c r="D2364" s="0" t="s">
        <v>3457</v>
      </c>
      <c r="E2364" s="0" t="s">
        <v>4963</v>
      </c>
      <c r="F2364" s="0" t="s">
        <v>30</v>
      </c>
      <c r="G2364" s="0" t="s">
        <v>4980</v>
      </c>
      <c r="H2364" s="0" t="s">
        <v>4512</v>
      </c>
      <c r="I2364" s="0" t="s">
        <v>4981</v>
      </c>
      <c r="J2364" s="18" t="s">
        <v>24</v>
      </c>
    </row>
    <row r="2365" customFormat="false" ht="15" hidden="false" customHeight="false" outlineLevel="0" collapsed="false">
      <c r="A2365" s="0" t="s">
        <v>2033</v>
      </c>
      <c r="B2365" s="0" t="s">
        <v>3459</v>
      </c>
      <c r="C2365" s="0" t="s">
        <v>3450</v>
      </c>
      <c r="D2365" s="0" t="s">
        <v>3448</v>
      </c>
      <c r="E2365" s="0" t="s">
        <v>4963</v>
      </c>
      <c r="F2365" s="0" t="s">
        <v>30</v>
      </c>
      <c r="G2365" s="0" t="s">
        <v>4980</v>
      </c>
      <c r="H2365" s="0" t="s">
        <v>4238</v>
      </c>
      <c r="I2365" s="0" t="s">
        <v>4981</v>
      </c>
      <c r="J2365" s="18" t="s">
        <v>24</v>
      </c>
    </row>
    <row r="2366" customFormat="false" ht="15" hidden="false" customHeight="false" outlineLevel="0" collapsed="false">
      <c r="A2366" s="0" t="s">
        <v>2033</v>
      </c>
      <c r="B2366" s="0" t="s">
        <v>3459</v>
      </c>
      <c r="C2366" s="0" t="s">
        <v>3447</v>
      </c>
      <c r="D2366" s="0" t="s">
        <v>3448</v>
      </c>
      <c r="E2366" s="0" t="s">
        <v>4963</v>
      </c>
      <c r="F2366" s="0" t="s">
        <v>30</v>
      </c>
      <c r="G2366" s="0" t="s">
        <v>4980</v>
      </c>
      <c r="H2366" s="0" t="s">
        <v>4697</v>
      </c>
      <c r="I2366" s="0" t="s">
        <v>4981</v>
      </c>
      <c r="J2366" s="18" t="s">
        <v>24</v>
      </c>
    </row>
    <row r="2367" customFormat="false" ht="15" hidden="false" customHeight="false" outlineLevel="0" collapsed="false">
      <c r="A2367" s="0" t="s">
        <v>2039</v>
      </c>
      <c r="B2367" s="0" t="s">
        <v>134</v>
      </c>
      <c r="C2367" s="0" t="s">
        <v>3447</v>
      </c>
      <c r="D2367" s="0" t="s">
        <v>3457</v>
      </c>
      <c r="E2367" s="0" t="s">
        <v>4963</v>
      </c>
      <c r="F2367" s="0" t="s">
        <v>60</v>
      </c>
      <c r="G2367" s="0" t="s">
        <v>4964</v>
      </c>
      <c r="H2367" s="0" t="s">
        <v>5761</v>
      </c>
      <c r="I2367" s="0" t="s">
        <v>4966</v>
      </c>
      <c r="J2367" s="19" t="s">
        <v>26</v>
      </c>
    </row>
    <row r="2368" customFormat="false" ht="15" hidden="false" customHeight="false" outlineLevel="0" collapsed="false">
      <c r="A2368" s="0" t="s">
        <v>2039</v>
      </c>
      <c r="B2368" s="0" t="s">
        <v>134</v>
      </c>
      <c r="C2368" s="0" t="s">
        <v>3447</v>
      </c>
      <c r="D2368" s="0" t="s">
        <v>3448</v>
      </c>
      <c r="E2368" s="0" t="s">
        <v>4963</v>
      </c>
      <c r="F2368" s="0" t="s">
        <v>60</v>
      </c>
      <c r="G2368" s="0" t="s">
        <v>4964</v>
      </c>
      <c r="H2368" s="0" t="s">
        <v>5762</v>
      </c>
      <c r="I2368" s="0" t="s">
        <v>4966</v>
      </c>
      <c r="J2368" s="19" t="s">
        <v>26</v>
      </c>
    </row>
    <row r="2369" customFormat="false" ht="15" hidden="false" customHeight="false" outlineLevel="0" collapsed="false">
      <c r="A2369" s="0" t="s">
        <v>2039</v>
      </c>
      <c r="B2369" s="0" t="s">
        <v>3459</v>
      </c>
      <c r="C2369" s="0" t="s">
        <v>3447</v>
      </c>
      <c r="D2369" s="0" t="s">
        <v>3448</v>
      </c>
      <c r="E2369" s="0" t="s">
        <v>4963</v>
      </c>
      <c r="F2369" s="0" t="s">
        <v>60</v>
      </c>
      <c r="G2369" s="0" t="s">
        <v>4964</v>
      </c>
      <c r="H2369" s="0" t="s">
        <v>5763</v>
      </c>
      <c r="I2369" s="0" t="s">
        <v>4966</v>
      </c>
      <c r="J2369" s="19" t="s">
        <v>26</v>
      </c>
    </row>
    <row r="2370" customFormat="false" ht="15" hidden="false" customHeight="false" outlineLevel="0" collapsed="false">
      <c r="A2370" s="0" t="s">
        <v>2039</v>
      </c>
      <c r="B2370" s="0" t="s">
        <v>134</v>
      </c>
      <c r="C2370" s="0" t="s">
        <v>3450</v>
      </c>
      <c r="D2370" s="0" t="s">
        <v>3457</v>
      </c>
      <c r="E2370" s="0" t="s">
        <v>4963</v>
      </c>
      <c r="F2370" s="0" t="s">
        <v>59</v>
      </c>
      <c r="G2370" s="0" t="s">
        <v>4974</v>
      </c>
      <c r="H2370" s="0" t="s">
        <v>69</v>
      </c>
      <c r="I2370" s="0" t="s">
        <v>4975</v>
      </c>
      <c r="J2370" s="20" t="s">
        <v>25</v>
      </c>
    </row>
    <row r="2371" customFormat="false" ht="15" hidden="false" customHeight="false" outlineLevel="0" collapsed="false">
      <c r="A2371" s="0" t="s">
        <v>2039</v>
      </c>
      <c r="B2371" s="0" t="s">
        <v>134</v>
      </c>
      <c r="C2371" s="0" t="s">
        <v>3450</v>
      </c>
      <c r="D2371" s="0" t="s">
        <v>3457</v>
      </c>
      <c r="E2371" s="0" t="s">
        <v>4969</v>
      </c>
      <c r="F2371" s="0" t="s">
        <v>63</v>
      </c>
      <c r="G2371" s="0" t="s">
        <v>4220</v>
      </c>
      <c r="H2371" s="0" t="s">
        <v>5764</v>
      </c>
      <c r="I2371" s="0" t="s">
        <v>4979</v>
      </c>
      <c r="J2371" s="20" t="s">
        <v>25</v>
      </c>
    </row>
    <row r="2372" customFormat="false" ht="15" hidden="false" customHeight="false" outlineLevel="0" collapsed="false">
      <c r="A2372" s="0" t="s">
        <v>2039</v>
      </c>
      <c r="B2372" s="0" t="s">
        <v>134</v>
      </c>
      <c r="C2372" s="0" t="s">
        <v>3450</v>
      </c>
      <c r="D2372" s="0" t="s">
        <v>3448</v>
      </c>
      <c r="E2372" s="0" t="s">
        <v>4969</v>
      </c>
      <c r="F2372" s="0" t="s">
        <v>66</v>
      </c>
      <c r="G2372" s="0" t="s">
        <v>4970</v>
      </c>
      <c r="H2372" s="0" t="s">
        <v>5765</v>
      </c>
      <c r="I2372" s="0" t="s">
        <v>5030</v>
      </c>
      <c r="J2372" s="20" t="s">
        <v>25</v>
      </c>
    </row>
    <row r="2373" customFormat="false" ht="15" hidden="false" customHeight="false" outlineLevel="0" collapsed="false">
      <c r="A2373" s="0" t="s">
        <v>2039</v>
      </c>
      <c r="B2373" s="0" t="s">
        <v>134</v>
      </c>
      <c r="C2373" s="0" t="s">
        <v>3447</v>
      </c>
      <c r="D2373" s="0" t="s">
        <v>3457</v>
      </c>
      <c r="E2373" s="0" t="s">
        <v>4969</v>
      </c>
      <c r="F2373" s="0" t="s">
        <v>63</v>
      </c>
      <c r="G2373" s="0" t="s">
        <v>4220</v>
      </c>
      <c r="H2373" s="0" t="s">
        <v>5764</v>
      </c>
      <c r="I2373" s="0" t="s">
        <v>4979</v>
      </c>
      <c r="J2373" s="20" t="s">
        <v>25</v>
      </c>
    </row>
    <row r="2374" customFormat="false" ht="15" hidden="false" customHeight="false" outlineLevel="0" collapsed="false">
      <c r="A2374" s="0" t="s">
        <v>2039</v>
      </c>
      <c r="B2374" s="0" t="s">
        <v>134</v>
      </c>
      <c r="C2374" s="0" t="s">
        <v>3447</v>
      </c>
      <c r="D2374" s="0" t="s">
        <v>3448</v>
      </c>
      <c r="E2374" s="0" t="s">
        <v>4963</v>
      </c>
      <c r="F2374" s="0" t="s">
        <v>59</v>
      </c>
      <c r="G2374" s="0" t="s">
        <v>4974</v>
      </c>
      <c r="H2374" s="0" t="s">
        <v>69</v>
      </c>
      <c r="I2374" s="0" t="s">
        <v>4975</v>
      </c>
      <c r="J2374" s="20" t="s">
        <v>25</v>
      </c>
    </row>
    <row r="2375" customFormat="false" ht="15" hidden="false" customHeight="false" outlineLevel="0" collapsed="false">
      <c r="A2375" s="0" t="s">
        <v>2039</v>
      </c>
      <c r="B2375" s="0" t="s">
        <v>134</v>
      </c>
      <c r="C2375" s="0" t="s">
        <v>3447</v>
      </c>
      <c r="D2375" s="0" t="s">
        <v>3448</v>
      </c>
      <c r="E2375" s="0" t="s">
        <v>4969</v>
      </c>
      <c r="F2375" s="0" t="s">
        <v>61</v>
      </c>
      <c r="G2375" s="0" t="s">
        <v>4970</v>
      </c>
      <c r="H2375" s="0" t="s">
        <v>5766</v>
      </c>
      <c r="I2375" s="0" t="s">
        <v>4972</v>
      </c>
      <c r="J2375" s="20" t="s">
        <v>25</v>
      </c>
    </row>
    <row r="2376" customFormat="false" ht="15" hidden="false" customHeight="false" outlineLevel="0" collapsed="false">
      <c r="A2376" s="0" t="s">
        <v>2039</v>
      </c>
      <c r="B2376" s="0" t="s">
        <v>3459</v>
      </c>
      <c r="C2376" s="0" t="s">
        <v>3450</v>
      </c>
      <c r="D2376" s="0" t="s">
        <v>3457</v>
      </c>
      <c r="E2376" s="0" t="s">
        <v>4963</v>
      </c>
      <c r="F2376" s="0" t="s">
        <v>59</v>
      </c>
      <c r="G2376" s="0" t="s">
        <v>4974</v>
      </c>
      <c r="H2376" s="0" t="s">
        <v>69</v>
      </c>
      <c r="I2376" s="0" t="s">
        <v>4975</v>
      </c>
      <c r="J2376" s="20" t="s">
        <v>25</v>
      </c>
    </row>
    <row r="2377" customFormat="false" ht="15" hidden="false" customHeight="false" outlineLevel="0" collapsed="false">
      <c r="A2377" s="0" t="s">
        <v>2039</v>
      </c>
      <c r="B2377" s="0" t="s">
        <v>3459</v>
      </c>
      <c r="C2377" s="0" t="s">
        <v>3450</v>
      </c>
      <c r="D2377" s="0" t="s">
        <v>3457</v>
      </c>
      <c r="E2377" s="0" t="s">
        <v>4969</v>
      </c>
      <c r="F2377" s="0" t="s">
        <v>61</v>
      </c>
      <c r="G2377" s="0" t="s">
        <v>4970</v>
      </c>
      <c r="H2377" s="0" t="s">
        <v>5767</v>
      </c>
      <c r="I2377" s="0" t="s">
        <v>4972</v>
      </c>
      <c r="J2377" s="20" t="s">
        <v>25</v>
      </c>
    </row>
    <row r="2378" customFormat="false" ht="15" hidden="false" customHeight="false" outlineLevel="0" collapsed="false">
      <c r="A2378" s="0" t="s">
        <v>2039</v>
      </c>
      <c r="B2378" s="0" t="s">
        <v>3459</v>
      </c>
      <c r="C2378" s="0" t="s">
        <v>3450</v>
      </c>
      <c r="D2378" s="0" t="s">
        <v>3457</v>
      </c>
      <c r="E2378" s="0" t="s">
        <v>4969</v>
      </c>
      <c r="F2378" s="0" t="s">
        <v>63</v>
      </c>
      <c r="G2378" s="0" t="s">
        <v>4220</v>
      </c>
      <c r="H2378" s="0" t="s">
        <v>5768</v>
      </c>
      <c r="I2378" s="0" t="s">
        <v>4979</v>
      </c>
      <c r="J2378" s="20" t="s">
        <v>25</v>
      </c>
    </row>
    <row r="2379" customFormat="false" ht="15" hidden="false" customHeight="false" outlineLevel="0" collapsed="false">
      <c r="A2379" s="0" t="s">
        <v>2039</v>
      </c>
      <c r="B2379" s="0" t="s">
        <v>3459</v>
      </c>
      <c r="C2379" s="0" t="s">
        <v>3450</v>
      </c>
      <c r="D2379" s="0" t="s">
        <v>3448</v>
      </c>
      <c r="E2379" s="0" t="s">
        <v>4963</v>
      </c>
      <c r="F2379" s="0" t="s">
        <v>59</v>
      </c>
      <c r="G2379" s="0" t="s">
        <v>4974</v>
      </c>
      <c r="H2379" s="0" t="s">
        <v>69</v>
      </c>
      <c r="I2379" s="0" t="s">
        <v>4975</v>
      </c>
      <c r="J2379" s="20" t="s">
        <v>25</v>
      </c>
    </row>
    <row r="2380" customFormat="false" ht="15" hidden="false" customHeight="false" outlineLevel="0" collapsed="false">
      <c r="A2380" s="0" t="s">
        <v>2039</v>
      </c>
      <c r="B2380" s="0" t="s">
        <v>3459</v>
      </c>
      <c r="C2380" s="0" t="s">
        <v>3450</v>
      </c>
      <c r="D2380" s="0" t="s">
        <v>3448</v>
      </c>
      <c r="E2380" s="0" t="s">
        <v>4969</v>
      </c>
      <c r="F2380" s="0" t="s">
        <v>61</v>
      </c>
      <c r="G2380" s="0" t="s">
        <v>4970</v>
      </c>
      <c r="H2380" s="0" t="s">
        <v>5769</v>
      </c>
      <c r="I2380" s="0" t="s">
        <v>4972</v>
      </c>
      <c r="J2380" s="20" t="s">
        <v>25</v>
      </c>
    </row>
    <row r="2381" customFormat="false" ht="15" hidden="false" customHeight="false" outlineLevel="0" collapsed="false">
      <c r="A2381" s="0" t="s">
        <v>2039</v>
      </c>
      <c r="B2381" s="0" t="s">
        <v>3459</v>
      </c>
      <c r="C2381" s="0" t="s">
        <v>3447</v>
      </c>
      <c r="D2381" s="0" t="s">
        <v>3457</v>
      </c>
      <c r="E2381" s="0" t="s">
        <v>4969</v>
      </c>
      <c r="F2381" s="0" t="s">
        <v>61</v>
      </c>
      <c r="G2381" s="0" t="s">
        <v>4970</v>
      </c>
      <c r="H2381" s="0" t="s">
        <v>5770</v>
      </c>
      <c r="I2381" s="0" t="s">
        <v>4972</v>
      </c>
      <c r="J2381" s="20" t="s">
        <v>25</v>
      </c>
    </row>
    <row r="2382" customFormat="false" ht="15" hidden="false" customHeight="false" outlineLevel="0" collapsed="false">
      <c r="A2382" s="0" t="s">
        <v>2039</v>
      </c>
      <c r="B2382" s="0" t="s">
        <v>3459</v>
      </c>
      <c r="C2382" s="0" t="s">
        <v>3447</v>
      </c>
      <c r="D2382" s="0" t="s">
        <v>3457</v>
      </c>
      <c r="E2382" s="0" t="s">
        <v>4969</v>
      </c>
      <c r="F2382" s="0" t="s">
        <v>63</v>
      </c>
      <c r="G2382" s="0" t="s">
        <v>4220</v>
      </c>
      <c r="H2382" s="0" t="s">
        <v>5768</v>
      </c>
      <c r="I2382" s="0" t="s">
        <v>4979</v>
      </c>
      <c r="J2382" s="20" t="s">
        <v>25</v>
      </c>
    </row>
    <row r="2383" customFormat="false" ht="15" hidden="false" customHeight="false" outlineLevel="0" collapsed="false">
      <c r="A2383" s="0" t="s">
        <v>2039</v>
      </c>
      <c r="B2383" s="0" t="s">
        <v>3459</v>
      </c>
      <c r="C2383" s="0" t="s">
        <v>3447</v>
      </c>
      <c r="D2383" s="0" t="s">
        <v>3448</v>
      </c>
      <c r="E2383" s="0" t="s">
        <v>4963</v>
      </c>
      <c r="F2383" s="0" t="s">
        <v>59</v>
      </c>
      <c r="G2383" s="0" t="s">
        <v>4974</v>
      </c>
      <c r="H2383" s="0" t="s">
        <v>69</v>
      </c>
      <c r="I2383" s="0" t="s">
        <v>4975</v>
      </c>
      <c r="J2383" s="20" t="s">
        <v>25</v>
      </c>
    </row>
    <row r="2384" customFormat="false" ht="15" hidden="false" customHeight="false" outlineLevel="0" collapsed="false">
      <c r="A2384" s="0" t="s">
        <v>2039</v>
      </c>
      <c r="B2384" s="0" t="s">
        <v>134</v>
      </c>
      <c r="C2384" s="0" t="s">
        <v>3450</v>
      </c>
      <c r="D2384" s="0" t="s">
        <v>3457</v>
      </c>
      <c r="E2384" s="0" t="s">
        <v>4963</v>
      </c>
      <c r="F2384" s="0" t="s">
        <v>30</v>
      </c>
      <c r="G2384" s="0" t="s">
        <v>4980</v>
      </c>
      <c r="H2384" s="0" t="s">
        <v>4698</v>
      </c>
      <c r="I2384" s="0" t="s">
        <v>4981</v>
      </c>
      <c r="J2384" s="18" t="s">
        <v>24</v>
      </c>
    </row>
    <row r="2385" customFormat="false" ht="15" hidden="false" customHeight="false" outlineLevel="0" collapsed="false">
      <c r="A2385" s="0" t="s">
        <v>2039</v>
      </c>
      <c r="B2385" s="0" t="s">
        <v>3459</v>
      </c>
      <c r="C2385" s="0" t="s">
        <v>3450</v>
      </c>
      <c r="D2385" s="0" t="s">
        <v>3457</v>
      </c>
      <c r="E2385" s="0" t="s">
        <v>4963</v>
      </c>
      <c r="F2385" s="0" t="s">
        <v>30</v>
      </c>
      <c r="G2385" s="0" t="s">
        <v>4980</v>
      </c>
      <c r="H2385" s="0" t="s">
        <v>4238</v>
      </c>
      <c r="I2385" s="0" t="s">
        <v>4981</v>
      </c>
      <c r="J2385" s="18" t="s">
        <v>24</v>
      </c>
    </row>
    <row r="2386" customFormat="false" ht="15" hidden="false" customHeight="false" outlineLevel="0" collapsed="false">
      <c r="A2386" s="0" t="s">
        <v>2039</v>
      </c>
      <c r="B2386" s="0" t="s">
        <v>3459</v>
      </c>
      <c r="C2386" s="0" t="s">
        <v>3450</v>
      </c>
      <c r="D2386" s="0" t="s">
        <v>3448</v>
      </c>
      <c r="E2386" s="0" t="s">
        <v>4963</v>
      </c>
      <c r="F2386" s="0" t="s">
        <v>30</v>
      </c>
      <c r="G2386" s="0" t="s">
        <v>4980</v>
      </c>
      <c r="H2386" s="0" t="s">
        <v>4242</v>
      </c>
      <c r="I2386" s="0" t="s">
        <v>4981</v>
      </c>
      <c r="J2386" s="18" t="s">
        <v>24</v>
      </c>
    </row>
    <row r="2387" customFormat="false" ht="15" hidden="false" customHeight="false" outlineLevel="0" collapsed="false">
      <c r="A2387" s="0" t="s">
        <v>2039</v>
      </c>
      <c r="B2387" s="0" t="s">
        <v>3459</v>
      </c>
      <c r="C2387" s="0" t="s">
        <v>3447</v>
      </c>
      <c r="D2387" s="0" t="s">
        <v>3457</v>
      </c>
      <c r="E2387" s="0" t="s">
        <v>4963</v>
      </c>
      <c r="F2387" s="0" t="s">
        <v>30</v>
      </c>
      <c r="G2387" s="0" t="s">
        <v>4980</v>
      </c>
      <c r="H2387" s="0" t="s">
        <v>4562</v>
      </c>
      <c r="I2387" s="0" t="s">
        <v>4981</v>
      </c>
      <c r="J2387" s="18" t="s">
        <v>24</v>
      </c>
    </row>
    <row r="2388" customFormat="false" ht="15" hidden="false" customHeight="false" outlineLevel="0" collapsed="false">
      <c r="A2388" s="0" t="s">
        <v>2049</v>
      </c>
      <c r="B2388" s="0" t="s">
        <v>134</v>
      </c>
      <c r="C2388" s="0" t="s">
        <v>3447</v>
      </c>
      <c r="D2388" s="0" t="s">
        <v>3457</v>
      </c>
      <c r="E2388" s="0" t="s">
        <v>4963</v>
      </c>
      <c r="F2388" s="0" t="s">
        <v>60</v>
      </c>
      <c r="G2388" s="0" t="s">
        <v>4964</v>
      </c>
      <c r="H2388" s="0" t="s">
        <v>5771</v>
      </c>
      <c r="I2388" s="0" t="s">
        <v>4966</v>
      </c>
      <c r="J2388" s="19" t="s">
        <v>26</v>
      </c>
    </row>
    <row r="2389" customFormat="false" ht="15" hidden="false" customHeight="false" outlineLevel="0" collapsed="false">
      <c r="A2389" s="0" t="s">
        <v>2049</v>
      </c>
      <c r="B2389" s="0" t="s">
        <v>134</v>
      </c>
      <c r="C2389" s="0" t="s">
        <v>3447</v>
      </c>
      <c r="D2389" s="0" t="s">
        <v>3448</v>
      </c>
      <c r="E2389" s="0" t="s">
        <v>4963</v>
      </c>
      <c r="F2389" s="0" t="s">
        <v>60</v>
      </c>
      <c r="G2389" s="0" t="s">
        <v>4964</v>
      </c>
      <c r="H2389" s="0" t="s">
        <v>5772</v>
      </c>
      <c r="I2389" s="0" t="s">
        <v>4966</v>
      </c>
      <c r="J2389" s="19" t="s">
        <v>26</v>
      </c>
    </row>
    <row r="2390" customFormat="false" ht="15" hidden="false" customHeight="false" outlineLevel="0" collapsed="false">
      <c r="A2390" s="0" t="s">
        <v>2049</v>
      </c>
      <c r="B2390" s="0" t="s">
        <v>134</v>
      </c>
      <c r="C2390" s="0" t="s">
        <v>3450</v>
      </c>
      <c r="D2390" s="0" t="s">
        <v>3457</v>
      </c>
      <c r="E2390" s="0" t="s">
        <v>4963</v>
      </c>
      <c r="F2390" s="0" t="s">
        <v>59</v>
      </c>
      <c r="G2390" s="0" t="s">
        <v>4974</v>
      </c>
      <c r="H2390" s="0" t="s">
        <v>69</v>
      </c>
      <c r="I2390" s="0" t="s">
        <v>4975</v>
      </c>
      <c r="J2390" s="20" t="s">
        <v>25</v>
      </c>
    </row>
    <row r="2391" customFormat="false" ht="15" hidden="false" customHeight="false" outlineLevel="0" collapsed="false">
      <c r="A2391" s="0" t="s">
        <v>2049</v>
      </c>
      <c r="B2391" s="0" t="s">
        <v>134</v>
      </c>
      <c r="C2391" s="0" t="s">
        <v>3450</v>
      </c>
      <c r="D2391" s="0" t="s">
        <v>3457</v>
      </c>
      <c r="E2391" s="0" t="s">
        <v>4969</v>
      </c>
      <c r="F2391" s="0" t="s">
        <v>61</v>
      </c>
      <c r="G2391" s="0" t="s">
        <v>4970</v>
      </c>
      <c r="H2391" s="0" t="s">
        <v>5773</v>
      </c>
      <c r="I2391" s="0" t="s">
        <v>4972</v>
      </c>
      <c r="J2391" s="20" t="s">
        <v>25</v>
      </c>
    </row>
    <row r="2392" customFormat="false" ht="15" hidden="false" customHeight="false" outlineLevel="0" collapsed="false">
      <c r="A2392" s="0" t="s">
        <v>2049</v>
      </c>
      <c r="B2392" s="0" t="s">
        <v>134</v>
      </c>
      <c r="C2392" s="0" t="s">
        <v>3450</v>
      </c>
      <c r="D2392" s="0" t="s">
        <v>3448</v>
      </c>
      <c r="E2392" s="0" t="s">
        <v>4963</v>
      </c>
      <c r="F2392" s="0" t="s">
        <v>59</v>
      </c>
      <c r="G2392" s="0" t="s">
        <v>4974</v>
      </c>
      <c r="H2392" s="0" t="s">
        <v>69</v>
      </c>
      <c r="I2392" s="0" t="s">
        <v>4975</v>
      </c>
      <c r="J2392" s="20" t="s">
        <v>25</v>
      </c>
    </row>
    <row r="2393" customFormat="false" ht="15" hidden="false" customHeight="false" outlineLevel="0" collapsed="false">
      <c r="A2393" s="0" t="s">
        <v>2049</v>
      </c>
      <c r="B2393" s="0" t="s">
        <v>134</v>
      </c>
      <c r="C2393" s="0" t="s">
        <v>3450</v>
      </c>
      <c r="D2393" s="0" t="s">
        <v>3448</v>
      </c>
      <c r="E2393" s="0" t="s">
        <v>4969</v>
      </c>
      <c r="F2393" s="0" t="s">
        <v>61</v>
      </c>
      <c r="G2393" s="0" t="s">
        <v>4970</v>
      </c>
      <c r="H2393" s="0" t="s">
        <v>5774</v>
      </c>
      <c r="I2393" s="0" t="s">
        <v>4972</v>
      </c>
      <c r="J2393" s="20" t="s">
        <v>25</v>
      </c>
    </row>
    <row r="2394" customFormat="false" ht="15" hidden="false" customHeight="false" outlineLevel="0" collapsed="false">
      <c r="A2394" s="0" t="s">
        <v>2049</v>
      </c>
      <c r="B2394" s="0" t="s">
        <v>134</v>
      </c>
      <c r="C2394" s="0" t="s">
        <v>3450</v>
      </c>
      <c r="D2394" s="0" t="s">
        <v>3448</v>
      </c>
      <c r="E2394" s="0" t="s">
        <v>4969</v>
      </c>
      <c r="F2394" s="0" t="s">
        <v>63</v>
      </c>
      <c r="G2394" s="0" t="s">
        <v>4220</v>
      </c>
      <c r="H2394" s="0" t="s">
        <v>5775</v>
      </c>
      <c r="I2394" s="0" t="s">
        <v>4979</v>
      </c>
      <c r="J2394" s="20" t="s">
        <v>25</v>
      </c>
    </row>
    <row r="2395" customFormat="false" ht="15" hidden="false" customHeight="false" outlineLevel="0" collapsed="false">
      <c r="A2395" s="0" t="s">
        <v>2049</v>
      </c>
      <c r="B2395" s="0" t="s">
        <v>134</v>
      </c>
      <c r="C2395" s="0" t="s">
        <v>3447</v>
      </c>
      <c r="D2395" s="0" t="s">
        <v>3457</v>
      </c>
      <c r="E2395" s="0" t="s">
        <v>4969</v>
      </c>
      <c r="F2395" s="0" t="s">
        <v>61</v>
      </c>
      <c r="G2395" s="0" t="s">
        <v>4970</v>
      </c>
      <c r="H2395" s="0" t="s">
        <v>5776</v>
      </c>
      <c r="I2395" s="0" t="s">
        <v>4972</v>
      </c>
      <c r="J2395" s="20" t="s">
        <v>25</v>
      </c>
    </row>
    <row r="2396" customFormat="false" ht="15" hidden="false" customHeight="false" outlineLevel="0" collapsed="false">
      <c r="A2396" s="0" t="s">
        <v>2049</v>
      </c>
      <c r="B2396" s="0" t="s">
        <v>134</v>
      </c>
      <c r="C2396" s="0" t="s">
        <v>3447</v>
      </c>
      <c r="D2396" s="0" t="s">
        <v>3448</v>
      </c>
      <c r="E2396" s="0" t="s">
        <v>4969</v>
      </c>
      <c r="F2396" s="0" t="s">
        <v>63</v>
      </c>
      <c r="G2396" s="0" t="s">
        <v>4220</v>
      </c>
      <c r="H2396" s="0" t="s">
        <v>5775</v>
      </c>
      <c r="I2396" s="0" t="s">
        <v>4979</v>
      </c>
      <c r="J2396" s="20" t="s">
        <v>25</v>
      </c>
    </row>
    <row r="2397" customFormat="false" ht="15" hidden="false" customHeight="false" outlineLevel="0" collapsed="false">
      <c r="A2397" s="0" t="s">
        <v>2049</v>
      </c>
      <c r="B2397" s="0" t="s">
        <v>134</v>
      </c>
      <c r="C2397" s="0" t="s">
        <v>3450</v>
      </c>
      <c r="D2397" s="0" t="s">
        <v>3457</v>
      </c>
      <c r="E2397" s="0" t="s">
        <v>4963</v>
      </c>
      <c r="F2397" s="0" t="s">
        <v>30</v>
      </c>
      <c r="G2397" s="0" t="s">
        <v>4980</v>
      </c>
      <c r="H2397" s="0" t="s">
        <v>4275</v>
      </c>
      <c r="I2397" s="0" t="s">
        <v>4981</v>
      </c>
      <c r="J2397" s="18" t="s">
        <v>24</v>
      </c>
    </row>
    <row r="2398" customFormat="false" ht="15" hidden="false" customHeight="false" outlineLevel="0" collapsed="false">
      <c r="A2398" s="0" t="s">
        <v>2049</v>
      </c>
      <c r="B2398" s="0" t="s">
        <v>134</v>
      </c>
      <c r="C2398" s="0" t="s">
        <v>3450</v>
      </c>
      <c r="D2398" s="0" t="s">
        <v>3448</v>
      </c>
      <c r="E2398" s="0" t="s">
        <v>4963</v>
      </c>
      <c r="F2398" s="0" t="s">
        <v>30</v>
      </c>
      <c r="G2398" s="0" t="s">
        <v>4980</v>
      </c>
      <c r="H2398" s="0" t="s">
        <v>4238</v>
      </c>
      <c r="I2398" s="0" t="s">
        <v>4981</v>
      </c>
      <c r="J2398" s="18" t="s">
        <v>24</v>
      </c>
    </row>
    <row r="2399" customFormat="false" ht="15" hidden="false" customHeight="false" outlineLevel="0" collapsed="false">
      <c r="A2399" s="0" t="s">
        <v>2055</v>
      </c>
      <c r="B2399" s="0" t="s">
        <v>134</v>
      </c>
      <c r="C2399" s="0" t="s">
        <v>3450</v>
      </c>
      <c r="D2399" s="0" t="s">
        <v>3457</v>
      </c>
      <c r="E2399" s="0" t="s">
        <v>4963</v>
      </c>
      <c r="F2399" s="0" t="s">
        <v>60</v>
      </c>
      <c r="G2399" s="0" t="s">
        <v>4964</v>
      </c>
      <c r="H2399" s="0" t="s">
        <v>5777</v>
      </c>
      <c r="I2399" s="0" t="s">
        <v>4966</v>
      </c>
      <c r="J2399" s="19" t="s">
        <v>26</v>
      </c>
    </row>
    <row r="2400" customFormat="false" ht="15" hidden="false" customHeight="false" outlineLevel="0" collapsed="false">
      <c r="A2400" s="0" t="s">
        <v>2055</v>
      </c>
      <c r="B2400" s="0" t="s">
        <v>134</v>
      </c>
      <c r="C2400" s="0" t="s">
        <v>3450</v>
      </c>
      <c r="D2400" s="0" t="s">
        <v>3457</v>
      </c>
      <c r="E2400" s="0" t="s">
        <v>4963</v>
      </c>
      <c r="F2400" s="0" t="s">
        <v>59</v>
      </c>
      <c r="G2400" s="0" t="s">
        <v>4974</v>
      </c>
      <c r="H2400" s="0" t="s">
        <v>69</v>
      </c>
      <c r="I2400" s="0" t="s">
        <v>4975</v>
      </c>
      <c r="J2400" s="20" t="s">
        <v>25</v>
      </c>
    </row>
    <row r="2401" customFormat="false" ht="15" hidden="false" customHeight="false" outlineLevel="0" collapsed="false">
      <c r="A2401" s="0" t="s">
        <v>2055</v>
      </c>
      <c r="B2401" s="0" t="s">
        <v>134</v>
      </c>
      <c r="C2401" s="0" t="s">
        <v>3450</v>
      </c>
      <c r="D2401" s="0" t="s">
        <v>3457</v>
      </c>
      <c r="E2401" s="0" t="s">
        <v>4969</v>
      </c>
      <c r="F2401" s="0" t="s">
        <v>61</v>
      </c>
      <c r="G2401" s="0" t="s">
        <v>4970</v>
      </c>
      <c r="H2401" s="0" t="s">
        <v>5778</v>
      </c>
      <c r="I2401" s="0" t="s">
        <v>4972</v>
      </c>
      <c r="J2401" s="20" t="s">
        <v>25</v>
      </c>
    </row>
    <row r="2402" customFormat="false" ht="15" hidden="false" customHeight="false" outlineLevel="0" collapsed="false">
      <c r="A2402" s="0" t="s">
        <v>2055</v>
      </c>
      <c r="B2402" s="0" t="s">
        <v>134</v>
      </c>
      <c r="C2402" s="0" t="s">
        <v>3450</v>
      </c>
      <c r="D2402" s="0" t="s">
        <v>3448</v>
      </c>
      <c r="E2402" s="0" t="s">
        <v>4963</v>
      </c>
      <c r="F2402" s="0" t="s">
        <v>59</v>
      </c>
      <c r="G2402" s="0" t="s">
        <v>4974</v>
      </c>
      <c r="H2402" s="0" t="s">
        <v>69</v>
      </c>
      <c r="I2402" s="0" t="s">
        <v>4975</v>
      </c>
      <c r="J2402" s="20" t="s">
        <v>25</v>
      </c>
    </row>
    <row r="2403" customFormat="false" ht="15" hidden="false" customHeight="false" outlineLevel="0" collapsed="false">
      <c r="A2403" s="0" t="s">
        <v>2055</v>
      </c>
      <c r="B2403" s="0" t="s">
        <v>134</v>
      </c>
      <c r="C2403" s="0" t="s">
        <v>3447</v>
      </c>
      <c r="D2403" s="0" t="s">
        <v>3457</v>
      </c>
      <c r="E2403" s="0" t="s">
        <v>4963</v>
      </c>
      <c r="F2403" s="0" t="s">
        <v>59</v>
      </c>
      <c r="G2403" s="0" t="s">
        <v>4974</v>
      </c>
      <c r="H2403" s="0" t="s">
        <v>69</v>
      </c>
      <c r="I2403" s="0" t="s">
        <v>4975</v>
      </c>
      <c r="J2403" s="20" t="s">
        <v>25</v>
      </c>
    </row>
    <row r="2404" customFormat="false" ht="15" hidden="false" customHeight="false" outlineLevel="0" collapsed="false">
      <c r="A2404" s="0" t="s">
        <v>2055</v>
      </c>
      <c r="B2404" s="0" t="s">
        <v>134</v>
      </c>
      <c r="C2404" s="0" t="s">
        <v>3447</v>
      </c>
      <c r="D2404" s="0" t="s">
        <v>3457</v>
      </c>
      <c r="E2404" s="0" t="s">
        <v>4969</v>
      </c>
      <c r="F2404" s="0" t="s">
        <v>61</v>
      </c>
      <c r="G2404" s="0" t="s">
        <v>4970</v>
      </c>
      <c r="H2404" s="0" t="s">
        <v>5779</v>
      </c>
      <c r="I2404" s="0" t="s">
        <v>4972</v>
      </c>
      <c r="J2404" s="20" t="s">
        <v>25</v>
      </c>
    </row>
    <row r="2405" customFormat="false" ht="15" hidden="false" customHeight="false" outlineLevel="0" collapsed="false">
      <c r="A2405" s="0" t="s">
        <v>2055</v>
      </c>
      <c r="B2405" s="0" t="s">
        <v>3459</v>
      </c>
      <c r="C2405" s="0" t="s">
        <v>3450</v>
      </c>
      <c r="D2405" s="0" t="s">
        <v>3457</v>
      </c>
      <c r="E2405" s="0" t="s">
        <v>4963</v>
      </c>
      <c r="F2405" s="0" t="s">
        <v>59</v>
      </c>
      <c r="G2405" s="0" t="s">
        <v>4974</v>
      </c>
      <c r="H2405" s="0" t="s">
        <v>69</v>
      </c>
      <c r="I2405" s="0" t="s">
        <v>4975</v>
      </c>
      <c r="J2405" s="20" t="s">
        <v>25</v>
      </c>
    </row>
    <row r="2406" customFormat="false" ht="15" hidden="false" customHeight="false" outlineLevel="0" collapsed="false">
      <c r="A2406" s="0" t="s">
        <v>2055</v>
      </c>
      <c r="B2406" s="0" t="s">
        <v>3459</v>
      </c>
      <c r="C2406" s="0" t="s">
        <v>3450</v>
      </c>
      <c r="D2406" s="0" t="s">
        <v>3457</v>
      </c>
      <c r="E2406" s="0" t="s">
        <v>4969</v>
      </c>
      <c r="F2406" s="0" t="s">
        <v>61</v>
      </c>
      <c r="G2406" s="0" t="s">
        <v>4970</v>
      </c>
      <c r="H2406" s="0" t="s">
        <v>5780</v>
      </c>
      <c r="I2406" s="0" t="s">
        <v>4972</v>
      </c>
      <c r="J2406" s="20" t="s">
        <v>25</v>
      </c>
    </row>
    <row r="2407" customFormat="false" ht="15" hidden="false" customHeight="false" outlineLevel="0" collapsed="false">
      <c r="A2407" s="0" t="s">
        <v>2055</v>
      </c>
      <c r="B2407" s="0" t="s">
        <v>3459</v>
      </c>
      <c r="C2407" s="0" t="s">
        <v>3450</v>
      </c>
      <c r="D2407" s="0" t="s">
        <v>3448</v>
      </c>
      <c r="E2407" s="0" t="s">
        <v>4963</v>
      </c>
      <c r="F2407" s="0" t="s">
        <v>59</v>
      </c>
      <c r="G2407" s="0" t="s">
        <v>4974</v>
      </c>
      <c r="H2407" s="0" t="s">
        <v>69</v>
      </c>
      <c r="I2407" s="0" t="s">
        <v>4975</v>
      </c>
      <c r="J2407" s="20" t="s">
        <v>25</v>
      </c>
    </row>
    <row r="2408" customFormat="false" ht="15" hidden="false" customHeight="false" outlineLevel="0" collapsed="false">
      <c r="A2408" s="0" t="s">
        <v>2055</v>
      </c>
      <c r="B2408" s="0" t="s">
        <v>3459</v>
      </c>
      <c r="C2408" s="0" t="s">
        <v>3450</v>
      </c>
      <c r="D2408" s="0" t="s">
        <v>3448</v>
      </c>
      <c r="E2408" s="0" t="s">
        <v>4969</v>
      </c>
      <c r="F2408" s="0" t="s">
        <v>61</v>
      </c>
      <c r="G2408" s="0" t="s">
        <v>4970</v>
      </c>
      <c r="H2408" s="0" t="s">
        <v>5781</v>
      </c>
      <c r="I2408" s="0" t="s">
        <v>4972</v>
      </c>
      <c r="J2408" s="20" t="s">
        <v>25</v>
      </c>
    </row>
    <row r="2409" customFormat="false" ht="15" hidden="false" customHeight="false" outlineLevel="0" collapsed="false">
      <c r="A2409" s="0" t="s">
        <v>2055</v>
      </c>
      <c r="B2409" s="0" t="s">
        <v>3459</v>
      </c>
      <c r="C2409" s="0" t="s">
        <v>3447</v>
      </c>
      <c r="D2409" s="0" t="s">
        <v>3457</v>
      </c>
      <c r="E2409" s="0" t="s">
        <v>4969</v>
      </c>
      <c r="F2409" s="0" t="s">
        <v>61</v>
      </c>
      <c r="G2409" s="0" t="s">
        <v>4970</v>
      </c>
      <c r="H2409" s="0" t="s">
        <v>5782</v>
      </c>
      <c r="I2409" s="0" t="s">
        <v>4972</v>
      </c>
      <c r="J2409" s="20" t="s">
        <v>25</v>
      </c>
    </row>
    <row r="2410" customFormat="false" ht="15" hidden="false" customHeight="false" outlineLevel="0" collapsed="false">
      <c r="A2410" s="0" t="s">
        <v>2055</v>
      </c>
      <c r="B2410" s="0" t="s">
        <v>3459</v>
      </c>
      <c r="C2410" s="0" t="s">
        <v>3447</v>
      </c>
      <c r="D2410" s="0" t="s">
        <v>3448</v>
      </c>
      <c r="E2410" s="0" t="s">
        <v>4969</v>
      </c>
      <c r="F2410" s="0" t="s">
        <v>61</v>
      </c>
      <c r="G2410" s="0" t="s">
        <v>4970</v>
      </c>
      <c r="H2410" s="0" t="s">
        <v>5783</v>
      </c>
      <c r="I2410" s="0" t="s">
        <v>4972</v>
      </c>
      <c r="J2410" s="20" t="s">
        <v>25</v>
      </c>
    </row>
    <row r="2411" customFormat="false" ht="15" hidden="false" customHeight="false" outlineLevel="0" collapsed="false">
      <c r="A2411" s="0" t="s">
        <v>2055</v>
      </c>
      <c r="B2411" s="0" t="s">
        <v>134</v>
      </c>
      <c r="C2411" s="0" t="s">
        <v>3450</v>
      </c>
      <c r="D2411" s="0" t="s">
        <v>3448</v>
      </c>
      <c r="E2411" s="0" t="s">
        <v>4963</v>
      </c>
      <c r="F2411" s="0" t="s">
        <v>30</v>
      </c>
      <c r="G2411" s="0" t="s">
        <v>4980</v>
      </c>
      <c r="H2411" s="0" t="s">
        <v>4289</v>
      </c>
      <c r="I2411" s="0" t="s">
        <v>4981</v>
      </c>
      <c r="J2411" s="18" t="s">
        <v>24</v>
      </c>
    </row>
    <row r="2412" customFormat="false" ht="15" hidden="false" customHeight="false" outlineLevel="0" collapsed="false">
      <c r="A2412" s="0" t="s">
        <v>2055</v>
      </c>
      <c r="B2412" s="0" t="s">
        <v>134</v>
      </c>
      <c r="C2412" s="0" t="s">
        <v>3447</v>
      </c>
      <c r="D2412" s="0" t="s">
        <v>3457</v>
      </c>
      <c r="E2412" s="0" t="s">
        <v>4963</v>
      </c>
      <c r="F2412" s="0" t="s">
        <v>30</v>
      </c>
      <c r="G2412" s="0" t="s">
        <v>4980</v>
      </c>
      <c r="H2412" s="0" t="s">
        <v>4275</v>
      </c>
      <c r="I2412" s="0" t="s">
        <v>4981</v>
      </c>
      <c r="J2412" s="18" t="s">
        <v>24</v>
      </c>
    </row>
    <row r="2413" customFormat="false" ht="15" hidden="false" customHeight="false" outlineLevel="0" collapsed="false">
      <c r="A2413" s="0" t="s">
        <v>2055</v>
      </c>
      <c r="B2413" s="0" t="s">
        <v>134</v>
      </c>
      <c r="C2413" s="0" t="s">
        <v>3447</v>
      </c>
      <c r="D2413" s="0" t="s">
        <v>3448</v>
      </c>
      <c r="E2413" s="0" t="s">
        <v>4963</v>
      </c>
      <c r="F2413" s="0" t="s">
        <v>30</v>
      </c>
      <c r="G2413" s="0" t="s">
        <v>4980</v>
      </c>
      <c r="H2413" s="0" t="s">
        <v>4304</v>
      </c>
      <c r="I2413" s="0" t="s">
        <v>4981</v>
      </c>
      <c r="J2413" s="18" t="s">
        <v>24</v>
      </c>
    </row>
    <row r="2414" customFormat="false" ht="15" hidden="false" customHeight="false" outlineLevel="0" collapsed="false">
      <c r="A2414" s="0" t="s">
        <v>2055</v>
      </c>
      <c r="B2414" s="0" t="s">
        <v>3459</v>
      </c>
      <c r="C2414" s="0" t="s">
        <v>3450</v>
      </c>
      <c r="D2414" s="0" t="s">
        <v>3457</v>
      </c>
      <c r="E2414" s="0" t="s">
        <v>4963</v>
      </c>
      <c r="F2414" s="0" t="s">
        <v>30</v>
      </c>
      <c r="G2414" s="0" t="s">
        <v>4980</v>
      </c>
      <c r="H2414" s="0" t="s">
        <v>4364</v>
      </c>
      <c r="I2414" s="0" t="s">
        <v>4981</v>
      </c>
      <c r="J2414" s="18" t="s">
        <v>24</v>
      </c>
    </row>
    <row r="2415" customFormat="false" ht="15" hidden="false" customHeight="false" outlineLevel="0" collapsed="false">
      <c r="A2415" s="0" t="s">
        <v>2055</v>
      </c>
      <c r="B2415" s="0" t="s">
        <v>3459</v>
      </c>
      <c r="C2415" s="0" t="s">
        <v>3450</v>
      </c>
      <c r="D2415" s="0" t="s">
        <v>3448</v>
      </c>
      <c r="E2415" s="0" t="s">
        <v>4963</v>
      </c>
      <c r="F2415" s="0" t="s">
        <v>30</v>
      </c>
      <c r="G2415" s="0" t="s">
        <v>4980</v>
      </c>
      <c r="H2415" s="0" t="s">
        <v>4353</v>
      </c>
      <c r="I2415" s="0" t="s">
        <v>4981</v>
      </c>
      <c r="J2415" s="18" t="s">
        <v>24</v>
      </c>
    </row>
    <row r="2416" customFormat="false" ht="15" hidden="false" customHeight="false" outlineLevel="0" collapsed="false">
      <c r="A2416" s="0" t="s">
        <v>2055</v>
      </c>
      <c r="B2416" s="0" t="s">
        <v>3459</v>
      </c>
      <c r="C2416" s="0" t="s">
        <v>3447</v>
      </c>
      <c r="D2416" s="0" t="s">
        <v>3457</v>
      </c>
      <c r="E2416" s="0" t="s">
        <v>4963</v>
      </c>
      <c r="F2416" s="0" t="s">
        <v>30</v>
      </c>
      <c r="G2416" s="0" t="s">
        <v>4980</v>
      </c>
      <c r="H2416" s="0" t="s">
        <v>4705</v>
      </c>
      <c r="I2416" s="0" t="s">
        <v>4981</v>
      </c>
      <c r="J2416" s="18" t="s">
        <v>24</v>
      </c>
    </row>
    <row r="2417" customFormat="false" ht="15" hidden="false" customHeight="false" outlineLevel="0" collapsed="false">
      <c r="A2417" s="0" t="s">
        <v>2055</v>
      </c>
      <c r="B2417" s="0" t="s">
        <v>3459</v>
      </c>
      <c r="C2417" s="0" t="s">
        <v>3447</v>
      </c>
      <c r="D2417" s="0" t="s">
        <v>3448</v>
      </c>
      <c r="E2417" s="0" t="s">
        <v>4963</v>
      </c>
      <c r="F2417" s="0" t="s">
        <v>30</v>
      </c>
      <c r="G2417" s="0" t="s">
        <v>4980</v>
      </c>
      <c r="H2417" s="0" t="s">
        <v>4250</v>
      </c>
      <c r="I2417" s="0" t="s">
        <v>4981</v>
      </c>
      <c r="J2417" s="18" t="s">
        <v>24</v>
      </c>
    </row>
    <row r="2418" customFormat="false" ht="15" hidden="false" customHeight="false" outlineLevel="0" collapsed="false">
      <c r="A2418" s="0" t="s">
        <v>2061</v>
      </c>
      <c r="B2418" s="0" t="s">
        <v>134</v>
      </c>
      <c r="C2418" s="0" t="s">
        <v>3450</v>
      </c>
      <c r="D2418" s="0" t="s">
        <v>3457</v>
      </c>
      <c r="E2418" s="0" t="s">
        <v>4963</v>
      </c>
      <c r="F2418" s="0" t="s">
        <v>59</v>
      </c>
      <c r="G2418" s="0" t="s">
        <v>4974</v>
      </c>
      <c r="H2418" s="0" t="s">
        <v>69</v>
      </c>
      <c r="I2418" s="0" t="s">
        <v>4975</v>
      </c>
      <c r="J2418" s="20" t="s">
        <v>25</v>
      </c>
    </row>
    <row r="2419" customFormat="false" ht="15" hidden="false" customHeight="false" outlineLevel="0" collapsed="false">
      <c r="A2419" s="0" t="s">
        <v>2061</v>
      </c>
      <c r="B2419" s="0" t="s">
        <v>134</v>
      </c>
      <c r="C2419" s="0" t="s">
        <v>3450</v>
      </c>
      <c r="D2419" s="0" t="s">
        <v>3457</v>
      </c>
      <c r="E2419" s="0" t="s">
        <v>4969</v>
      </c>
      <c r="F2419" s="0" t="s">
        <v>61</v>
      </c>
      <c r="G2419" s="0" t="s">
        <v>4970</v>
      </c>
      <c r="H2419" s="0" t="s">
        <v>5784</v>
      </c>
      <c r="I2419" s="0" t="s">
        <v>4972</v>
      </c>
      <c r="J2419" s="20" t="s">
        <v>25</v>
      </c>
    </row>
    <row r="2420" customFormat="false" ht="15" hidden="false" customHeight="false" outlineLevel="0" collapsed="false">
      <c r="A2420" s="0" t="s">
        <v>2061</v>
      </c>
      <c r="B2420" s="0" t="s">
        <v>134</v>
      </c>
      <c r="C2420" s="0" t="s">
        <v>3450</v>
      </c>
      <c r="D2420" s="0" t="s">
        <v>3448</v>
      </c>
      <c r="E2420" s="0" t="s">
        <v>4963</v>
      </c>
      <c r="F2420" s="0" t="s">
        <v>59</v>
      </c>
      <c r="G2420" s="0" t="s">
        <v>4974</v>
      </c>
      <c r="H2420" s="0" t="s">
        <v>69</v>
      </c>
      <c r="I2420" s="0" t="s">
        <v>4975</v>
      </c>
      <c r="J2420" s="20" t="s">
        <v>25</v>
      </c>
    </row>
    <row r="2421" customFormat="false" ht="15" hidden="false" customHeight="false" outlineLevel="0" collapsed="false">
      <c r="A2421" s="0" t="s">
        <v>2061</v>
      </c>
      <c r="B2421" s="0" t="s">
        <v>134</v>
      </c>
      <c r="C2421" s="0" t="s">
        <v>3450</v>
      </c>
      <c r="D2421" s="0" t="s">
        <v>3448</v>
      </c>
      <c r="E2421" s="0" t="s">
        <v>4969</v>
      </c>
      <c r="F2421" s="0" t="s">
        <v>61</v>
      </c>
      <c r="G2421" s="0" t="s">
        <v>4970</v>
      </c>
      <c r="H2421" s="0" t="s">
        <v>5785</v>
      </c>
      <c r="I2421" s="0" t="s">
        <v>4972</v>
      </c>
      <c r="J2421" s="20" t="s">
        <v>25</v>
      </c>
    </row>
    <row r="2422" customFormat="false" ht="15" hidden="false" customHeight="false" outlineLevel="0" collapsed="false">
      <c r="A2422" s="0" t="s">
        <v>2061</v>
      </c>
      <c r="B2422" s="0" t="s">
        <v>134</v>
      </c>
      <c r="C2422" s="0" t="s">
        <v>3447</v>
      </c>
      <c r="D2422" s="0" t="s">
        <v>3457</v>
      </c>
      <c r="E2422" s="0" t="s">
        <v>4963</v>
      </c>
      <c r="F2422" s="0" t="s">
        <v>59</v>
      </c>
      <c r="G2422" s="0" t="s">
        <v>4974</v>
      </c>
      <c r="H2422" s="0" t="s">
        <v>69</v>
      </c>
      <c r="I2422" s="0" t="s">
        <v>4975</v>
      </c>
      <c r="J2422" s="20" t="s">
        <v>25</v>
      </c>
    </row>
    <row r="2423" customFormat="false" ht="15" hidden="false" customHeight="false" outlineLevel="0" collapsed="false">
      <c r="A2423" s="0" t="s">
        <v>2061</v>
      </c>
      <c r="B2423" s="0" t="s">
        <v>134</v>
      </c>
      <c r="C2423" s="0" t="s">
        <v>3447</v>
      </c>
      <c r="D2423" s="0" t="s">
        <v>3457</v>
      </c>
      <c r="E2423" s="0" t="s">
        <v>4969</v>
      </c>
      <c r="F2423" s="0" t="s">
        <v>61</v>
      </c>
      <c r="G2423" s="0" t="s">
        <v>4970</v>
      </c>
      <c r="H2423" s="0" t="s">
        <v>5786</v>
      </c>
      <c r="I2423" s="0" t="s">
        <v>4972</v>
      </c>
      <c r="J2423" s="20" t="s">
        <v>25</v>
      </c>
    </row>
    <row r="2424" customFormat="false" ht="15" hidden="false" customHeight="false" outlineLevel="0" collapsed="false">
      <c r="A2424" s="0" t="s">
        <v>2061</v>
      </c>
      <c r="B2424" s="0" t="s">
        <v>134</v>
      </c>
      <c r="C2424" s="0" t="s">
        <v>3447</v>
      </c>
      <c r="D2424" s="0" t="s">
        <v>3448</v>
      </c>
      <c r="E2424" s="0" t="s">
        <v>4963</v>
      </c>
      <c r="F2424" s="0" t="s">
        <v>59</v>
      </c>
      <c r="G2424" s="0" t="s">
        <v>4974</v>
      </c>
      <c r="H2424" s="0" t="s">
        <v>69</v>
      </c>
      <c r="I2424" s="0" t="s">
        <v>4975</v>
      </c>
      <c r="J2424" s="20" t="s">
        <v>25</v>
      </c>
    </row>
    <row r="2425" customFormat="false" ht="15" hidden="false" customHeight="false" outlineLevel="0" collapsed="false">
      <c r="A2425" s="0" t="s">
        <v>2061</v>
      </c>
      <c r="B2425" s="0" t="s">
        <v>134</v>
      </c>
      <c r="C2425" s="0" t="s">
        <v>3447</v>
      </c>
      <c r="D2425" s="0" t="s">
        <v>3448</v>
      </c>
      <c r="E2425" s="0" t="s">
        <v>4969</v>
      </c>
      <c r="F2425" s="0" t="s">
        <v>61</v>
      </c>
      <c r="G2425" s="0" t="s">
        <v>4970</v>
      </c>
      <c r="H2425" s="0" t="s">
        <v>5787</v>
      </c>
      <c r="I2425" s="0" t="s">
        <v>4972</v>
      </c>
      <c r="J2425" s="20" t="s">
        <v>25</v>
      </c>
    </row>
    <row r="2426" customFormat="false" ht="15" hidden="false" customHeight="false" outlineLevel="0" collapsed="false">
      <c r="A2426" s="0" t="s">
        <v>2061</v>
      </c>
      <c r="B2426" s="0" t="s">
        <v>3459</v>
      </c>
      <c r="C2426" s="0" t="s">
        <v>3450</v>
      </c>
      <c r="D2426" s="0" t="s">
        <v>3457</v>
      </c>
      <c r="E2426" s="0" t="s">
        <v>4969</v>
      </c>
      <c r="F2426" s="0" t="s">
        <v>63</v>
      </c>
      <c r="G2426" s="0" t="s">
        <v>4220</v>
      </c>
      <c r="H2426" s="0" t="s">
        <v>5788</v>
      </c>
      <c r="I2426" s="0" t="s">
        <v>4979</v>
      </c>
      <c r="J2426" s="20" t="s">
        <v>25</v>
      </c>
    </row>
    <row r="2427" customFormat="false" ht="15" hidden="false" customHeight="false" outlineLevel="0" collapsed="false">
      <c r="A2427" s="0" t="s">
        <v>2061</v>
      </c>
      <c r="B2427" s="0" t="s">
        <v>3459</v>
      </c>
      <c r="C2427" s="0" t="s">
        <v>3450</v>
      </c>
      <c r="D2427" s="0" t="s">
        <v>3448</v>
      </c>
      <c r="E2427" s="0" t="s">
        <v>4969</v>
      </c>
      <c r="F2427" s="0" t="s">
        <v>61</v>
      </c>
      <c r="G2427" s="0" t="s">
        <v>4970</v>
      </c>
      <c r="H2427" s="0" t="s">
        <v>5789</v>
      </c>
      <c r="I2427" s="0" t="s">
        <v>4972</v>
      </c>
      <c r="J2427" s="20" t="s">
        <v>25</v>
      </c>
    </row>
    <row r="2428" customFormat="false" ht="15" hidden="false" customHeight="false" outlineLevel="0" collapsed="false">
      <c r="A2428" s="0" t="s">
        <v>2061</v>
      </c>
      <c r="B2428" s="0" t="s">
        <v>3459</v>
      </c>
      <c r="C2428" s="0" t="s">
        <v>3450</v>
      </c>
      <c r="D2428" s="0" t="s">
        <v>3448</v>
      </c>
      <c r="E2428" s="0" t="s">
        <v>4969</v>
      </c>
      <c r="F2428" s="0" t="s">
        <v>62</v>
      </c>
      <c r="G2428" s="0" t="s">
        <v>5003</v>
      </c>
      <c r="H2428" s="0" t="s">
        <v>5790</v>
      </c>
      <c r="I2428" s="0" t="s">
        <v>5005</v>
      </c>
      <c r="J2428" s="20" t="s">
        <v>25</v>
      </c>
    </row>
    <row r="2429" customFormat="false" ht="15" hidden="false" customHeight="false" outlineLevel="0" collapsed="false">
      <c r="A2429" s="0" t="s">
        <v>2061</v>
      </c>
      <c r="B2429" s="0" t="s">
        <v>3459</v>
      </c>
      <c r="C2429" s="0" t="s">
        <v>3447</v>
      </c>
      <c r="D2429" s="0" t="s">
        <v>3457</v>
      </c>
      <c r="E2429" s="0" t="s">
        <v>4969</v>
      </c>
      <c r="F2429" s="0" t="s">
        <v>63</v>
      </c>
      <c r="G2429" s="0" t="s">
        <v>4220</v>
      </c>
      <c r="H2429" s="0" t="s">
        <v>5788</v>
      </c>
      <c r="I2429" s="0" t="s">
        <v>4979</v>
      </c>
      <c r="J2429" s="20" t="s">
        <v>25</v>
      </c>
    </row>
    <row r="2430" customFormat="false" ht="15" hidden="false" customHeight="false" outlineLevel="0" collapsed="false">
      <c r="A2430" s="0" t="s">
        <v>2061</v>
      </c>
      <c r="B2430" s="0" t="s">
        <v>3459</v>
      </c>
      <c r="C2430" s="0" t="s">
        <v>3447</v>
      </c>
      <c r="D2430" s="0" t="s">
        <v>3448</v>
      </c>
      <c r="E2430" s="0" t="s">
        <v>4963</v>
      </c>
      <c r="F2430" s="0" t="s">
        <v>59</v>
      </c>
      <c r="G2430" s="0" t="s">
        <v>4974</v>
      </c>
      <c r="H2430" s="0" t="s">
        <v>69</v>
      </c>
      <c r="I2430" s="0" t="s">
        <v>4975</v>
      </c>
      <c r="J2430" s="20" t="s">
        <v>25</v>
      </c>
    </row>
    <row r="2431" customFormat="false" ht="15" hidden="false" customHeight="false" outlineLevel="0" collapsed="false">
      <c r="A2431" s="0" t="s">
        <v>2061</v>
      </c>
      <c r="B2431" s="0" t="s">
        <v>134</v>
      </c>
      <c r="C2431" s="0" t="s">
        <v>3450</v>
      </c>
      <c r="D2431" s="0" t="s">
        <v>3457</v>
      </c>
      <c r="E2431" s="0" t="s">
        <v>4963</v>
      </c>
      <c r="F2431" s="0" t="s">
        <v>30</v>
      </c>
      <c r="G2431" s="0" t="s">
        <v>4980</v>
      </c>
      <c r="H2431" s="0" t="s">
        <v>4275</v>
      </c>
      <c r="I2431" s="0" t="s">
        <v>4981</v>
      </c>
      <c r="J2431" s="18" t="s">
        <v>24</v>
      </c>
    </row>
    <row r="2432" customFormat="false" ht="15" hidden="false" customHeight="false" outlineLevel="0" collapsed="false">
      <c r="A2432" s="0" t="s">
        <v>2061</v>
      </c>
      <c r="B2432" s="0" t="s">
        <v>134</v>
      </c>
      <c r="C2432" s="0" t="s">
        <v>3450</v>
      </c>
      <c r="D2432" s="0" t="s">
        <v>3448</v>
      </c>
      <c r="E2432" s="0" t="s">
        <v>4963</v>
      </c>
      <c r="F2432" s="0" t="s">
        <v>30</v>
      </c>
      <c r="G2432" s="0" t="s">
        <v>4980</v>
      </c>
      <c r="H2432" s="0" t="s">
        <v>4275</v>
      </c>
      <c r="I2432" s="0" t="s">
        <v>4981</v>
      </c>
      <c r="J2432" s="18" t="s">
        <v>24</v>
      </c>
    </row>
    <row r="2433" customFormat="false" ht="15" hidden="false" customHeight="false" outlineLevel="0" collapsed="false">
      <c r="A2433" s="0" t="s">
        <v>2061</v>
      </c>
      <c r="B2433" s="0" t="s">
        <v>134</v>
      </c>
      <c r="C2433" s="0" t="s">
        <v>3447</v>
      </c>
      <c r="D2433" s="0" t="s">
        <v>3457</v>
      </c>
      <c r="E2433" s="0" t="s">
        <v>4963</v>
      </c>
      <c r="F2433" s="0" t="s">
        <v>30</v>
      </c>
      <c r="G2433" s="0" t="s">
        <v>4980</v>
      </c>
      <c r="H2433" s="0" t="s">
        <v>4238</v>
      </c>
      <c r="I2433" s="0" t="s">
        <v>4981</v>
      </c>
      <c r="J2433" s="18" t="s">
        <v>24</v>
      </c>
    </row>
    <row r="2434" customFormat="false" ht="15" hidden="false" customHeight="false" outlineLevel="0" collapsed="false">
      <c r="A2434" s="0" t="s">
        <v>2061</v>
      </c>
      <c r="B2434" s="0" t="s">
        <v>134</v>
      </c>
      <c r="C2434" s="0" t="s">
        <v>3447</v>
      </c>
      <c r="D2434" s="0" t="s">
        <v>3448</v>
      </c>
      <c r="E2434" s="0" t="s">
        <v>4963</v>
      </c>
      <c r="F2434" s="0" t="s">
        <v>30</v>
      </c>
      <c r="G2434" s="0" t="s">
        <v>4980</v>
      </c>
      <c r="H2434" s="0" t="s">
        <v>4238</v>
      </c>
      <c r="I2434" s="0" t="s">
        <v>4981</v>
      </c>
      <c r="J2434" s="18" t="s">
        <v>24</v>
      </c>
    </row>
    <row r="2435" customFormat="false" ht="15" hidden="false" customHeight="false" outlineLevel="0" collapsed="false">
      <c r="A2435" s="0" t="s">
        <v>2061</v>
      </c>
      <c r="B2435" s="0" t="s">
        <v>3459</v>
      </c>
      <c r="C2435" s="0" t="s">
        <v>3447</v>
      </c>
      <c r="D2435" s="0" t="s">
        <v>3448</v>
      </c>
      <c r="E2435" s="0" t="s">
        <v>4963</v>
      </c>
      <c r="F2435" s="0" t="s">
        <v>30</v>
      </c>
      <c r="G2435" s="0" t="s">
        <v>4980</v>
      </c>
      <c r="H2435" s="0" t="s">
        <v>4242</v>
      </c>
      <c r="I2435" s="0" t="s">
        <v>4981</v>
      </c>
      <c r="J2435" s="18" t="s">
        <v>24</v>
      </c>
    </row>
    <row r="2436" customFormat="false" ht="15" hidden="false" customHeight="false" outlineLevel="0" collapsed="false">
      <c r="A2436" s="0" t="s">
        <v>2067</v>
      </c>
      <c r="B2436" s="0" t="s">
        <v>134</v>
      </c>
      <c r="C2436" s="0" t="s">
        <v>3447</v>
      </c>
      <c r="D2436" s="0" t="s">
        <v>3457</v>
      </c>
      <c r="E2436" s="0" t="s">
        <v>4963</v>
      </c>
      <c r="F2436" s="0" t="s">
        <v>65</v>
      </c>
      <c r="G2436" s="0" t="s">
        <v>4997</v>
      </c>
      <c r="H2436" s="0" t="s">
        <v>2070</v>
      </c>
      <c r="I2436" s="0" t="s">
        <v>4998</v>
      </c>
      <c r="J2436" s="19" t="s">
        <v>26</v>
      </c>
    </row>
    <row r="2437" customFormat="false" ht="15" hidden="false" customHeight="false" outlineLevel="0" collapsed="false">
      <c r="A2437" s="0" t="s">
        <v>2067</v>
      </c>
      <c r="B2437" s="0" t="s">
        <v>134</v>
      </c>
      <c r="C2437" s="0" t="s">
        <v>3450</v>
      </c>
      <c r="D2437" s="0" t="s">
        <v>3457</v>
      </c>
      <c r="E2437" s="0" t="s">
        <v>4963</v>
      </c>
      <c r="F2437" s="0" t="s">
        <v>59</v>
      </c>
      <c r="G2437" s="0" t="s">
        <v>4974</v>
      </c>
      <c r="H2437" s="0" t="s">
        <v>73</v>
      </c>
      <c r="I2437" s="0" t="s">
        <v>4975</v>
      </c>
      <c r="J2437" s="20" t="s">
        <v>25</v>
      </c>
    </row>
    <row r="2438" customFormat="false" ht="15" hidden="false" customHeight="false" outlineLevel="0" collapsed="false">
      <c r="A2438" s="0" t="s">
        <v>2067</v>
      </c>
      <c r="B2438" s="0" t="s">
        <v>134</v>
      </c>
      <c r="C2438" s="0" t="s">
        <v>3450</v>
      </c>
      <c r="D2438" s="0" t="s">
        <v>3448</v>
      </c>
      <c r="E2438" s="0" t="s">
        <v>4963</v>
      </c>
      <c r="F2438" s="0" t="s">
        <v>59</v>
      </c>
      <c r="G2438" s="0" t="s">
        <v>4974</v>
      </c>
      <c r="H2438" s="0" t="s">
        <v>73</v>
      </c>
      <c r="I2438" s="0" t="s">
        <v>4975</v>
      </c>
      <c r="J2438" s="20" t="s">
        <v>25</v>
      </c>
    </row>
    <row r="2439" customFormat="false" ht="15" hidden="false" customHeight="false" outlineLevel="0" collapsed="false">
      <c r="A2439" s="0" t="s">
        <v>2067</v>
      </c>
      <c r="B2439" s="0" t="s">
        <v>134</v>
      </c>
      <c r="C2439" s="0" t="s">
        <v>3447</v>
      </c>
      <c r="D2439" s="0" t="s">
        <v>3448</v>
      </c>
      <c r="E2439" s="0" t="s">
        <v>4963</v>
      </c>
      <c r="F2439" s="0" t="s">
        <v>59</v>
      </c>
      <c r="G2439" s="0" t="s">
        <v>4974</v>
      </c>
      <c r="H2439" s="0" t="s">
        <v>73</v>
      </c>
      <c r="I2439" s="0" t="s">
        <v>4975</v>
      </c>
      <c r="J2439" s="20" t="s">
        <v>25</v>
      </c>
    </row>
    <row r="2440" customFormat="false" ht="15" hidden="false" customHeight="false" outlineLevel="0" collapsed="false">
      <c r="A2440" s="0" t="s">
        <v>2067</v>
      </c>
      <c r="B2440" s="0" t="s">
        <v>3459</v>
      </c>
      <c r="C2440" s="0" t="s">
        <v>3450</v>
      </c>
      <c r="D2440" s="0" t="s">
        <v>3448</v>
      </c>
      <c r="E2440" s="0" t="s">
        <v>4969</v>
      </c>
      <c r="F2440" s="0" t="s">
        <v>61</v>
      </c>
      <c r="G2440" s="0" t="s">
        <v>4970</v>
      </c>
      <c r="H2440" s="0" t="s">
        <v>5791</v>
      </c>
      <c r="I2440" s="0" t="s">
        <v>4972</v>
      </c>
      <c r="J2440" s="20" t="s">
        <v>25</v>
      </c>
    </row>
    <row r="2441" customFormat="false" ht="15" hidden="false" customHeight="false" outlineLevel="0" collapsed="false">
      <c r="A2441" s="0" t="s">
        <v>2067</v>
      </c>
      <c r="B2441" s="0" t="s">
        <v>3459</v>
      </c>
      <c r="C2441" s="0" t="s">
        <v>3447</v>
      </c>
      <c r="D2441" s="0" t="s">
        <v>3457</v>
      </c>
      <c r="E2441" s="0" t="s">
        <v>4963</v>
      </c>
      <c r="F2441" s="0" t="s">
        <v>59</v>
      </c>
      <c r="G2441" s="0" t="s">
        <v>4974</v>
      </c>
      <c r="H2441" s="0" t="s">
        <v>69</v>
      </c>
      <c r="I2441" s="0" t="s">
        <v>4975</v>
      </c>
      <c r="J2441" s="20" t="s">
        <v>25</v>
      </c>
    </row>
    <row r="2442" customFormat="false" ht="15" hidden="false" customHeight="false" outlineLevel="0" collapsed="false">
      <c r="A2442" s="0" t="s">
        <v>2067</v>
      </c>
      <c r="B2442" s="0" t="s">
        <v>3459</v>
      </c>
      <c r="C2442" s="0" t="s">
        <v>3447</v>
      </c>
      <c r="D2442" s="0" t="s">
        <v>3448</v>
      </c>
      <c r="E2442" s="0" t="s">
        <v>4963</v>
      </c>
      <c r="F2442" s="0" t="s">
        <v>59</v>
      </c>
      <c r="G2442" s="0" t="s">
        <v>4974</v>
      </c>
      <c r="H2442" s="0" t="s">
        <v>69</v>
      </c>
      <c r="I2442" s="0" t="s">
        <v>4975</v>
      </c>
      <c r="J2442" s="20" t="s">
        <v>25</v>
      </c>
    </row>
    <row r="2443" customFormat="false" ht="15" hidden="false" customHeight="false" outlineLevel="0" collapsed="false">
      <c r="A2443" s="0" t="s">
        <v>2067</v>
      </c>
      <c r="B2443" s="0" t="s">
        <v>3459</v>
      </c>
      <c r="C2443" s="0" t="s">
        <v>3447</v>
      </c>
      <c r="D2443" s="0" t="s">
        <v>3448</v>
      </c>
      <c r="E2443" s="0" t="s">
        <v>4969</v>
      </c>
      <c r="F2443" s="0" t="s">
        <v>61</v>
      </c>
      <c r="G2443" s="0" t="s">
        <v>4970</v>
      </c>
      <c r="H2443" s="0" t="s">
        <v>5792</v>
      </c>
      <c r="I2443" s="0" t="s">
        <v>4972</v>
      </c>
      <c r="J2443" s="20" t="s">
        <v>25</v>
      </c>
    </row>
    <row r="2444" customFormat="false" ht="15" hidden="false" customHeight="false" outlineLevel="0" collapsed="false">
      <c r="A2444" s="0" t="s">
        <v>2067</v>
      </c>
      <c r="B2444" s="0" t="s">
        <v>134</v>
      </c>
      <c r="C2444" s="0" t="s">
        <v>3450</v>
      </c>
      <c r="D2444" s="0" t="s">
        <v>3457</v>
      </c>
      <c r="E2444" s="0" t="s">
        <v>4963</v>
      </c>
      <c r="F2444" s="0" t="s">
        <v>30</v>
      </c>
      <c r="G2444" s="0" t="s">
        <v>4980</v>
      </c>
      <c r="H2444" s="0" t="s">
        <v>4706</v>
      </c>
      <c r="I2444" s="0" t="s">
        <v>4981</v>
      </c>
      <c r="J2444" s="18" t="s">
        <v>24</v>
      </c>
    </row>
    <row r="2445" customFormat="false" ht="15" hidden="false" customHeight="false" outlineLevel="0" collapsed="false">
      <c r="A2445" s="0" t="s">
        <v>2067</v>
      </c>
      <c r="B2445" s="0" t="s">
        <v>134</v>
      </c>
      <c r="C2445" s="0" t="s">
        <v>3450</v>
      </c>
      <c r="D2445" s="0" t="s">
        <v>3448</v>
      </c>
      <c r="E2445" s="0" t="s">
        <v>4963</v>
      </c>
      <c r="F2445" s="0" t="s">
        <v>30</v>
      </c>
      <c r="G2445" s="0" t="s">
        <v>4980</v>
      </c>
      <c r="H2445" s="0" t="s">
        <v>4707</v>
      </c>
      <c r="I2445" s="0" t="s">
        <v>4981</v>
      </c>
      <c r="J2445" s="18" t="s">
        <v>24</v>
      </c>
    </row>
    <row r="2446" customFormat="false" ht="15" hidden="false" customHeight="false" outlineLevel="0" collapsed="false">
      <c r="A2446" s="0" t="s">
        <v>2067</v>
      </c>
      <c r="B2446" s="0" t="s">
        <v>134</v>
      </c>
      <c r="C2446" s="0" t="s">
        <v>3447</v>
      </c>
      <c r="D2446" s="0" t="s">
        <v>3448</v>
      </c>
      <c r="E2446" s="0" t="s">
        <v>4963</v>
      </c>
      <c r="F2446" s="0" t="s">
        <v>30</v>
      </c>
      <c r="G2446" s="0" t="s">
        <v>4980</v>
      </c>
      <c r="H2446" s="0" t="s">
        <v>4709</v>
      </c>
      <c r="I2446" s="0" t="s">
        <v>4981</v>
      </c>
      <c r="J2446" s="18" t="s">
        <v>24</v>
      </c>
    </row>
    <row r="2447" customFormat="false" ht="15" hidden="false" customHeight="false" outlineLevel="0" collapsed="false">
      <c r="A2447" s="0" t="s">
        <v>2067</v>
      </c>
      <c r="B2447" s="0" t="s">
        <v>3459</v>
      </c>
      <c r="C2447" s="0" t="s">
        <v>3447</v>
      </c>
      <c r="D2447" s="0" t="s">
        <v>3457</v>
      </c>
      <c r="E2447" s="0" t="s">
        <v>4963</v>
      </c>
      <c r="F2447" s="0" t="s">
        <v>30</v>
      </c>
      <c r="G2447" s="0" t="s">
        <v>4980</v>
      </c>
      <c r="H2447" s="0" t="s">
        <v>4275</v>
      </c>
      <c r="I2447" s="0" t="s">
        <v>4981</v>
      </c>
      <c r="J2447" s="18" t="s">
        <v>24</v>
      </c>
    </row>
    <row r="2448" customFormat="false" ht="15" hidden="false" customHeight="false" outlineLevel="0" collapsed="false">
      <c r="A2448" s="0" t="s">
        <v>2067</v>
      </c>
      <c r="B2448" s="0" t="s">
        <v>3459</v>
      </c>
      <c r="C2448" s="0" t="s">
        <v>3447</v>
      </c>
      <c r="D2448" s="0" t="s">
        <v>3448</v>
      </c>
      <c r="E2448" s="0" t="s">
        <v>4963</v>
      </c>
      <c r="F2448" s="0" t="s">
        <v>30</v>
      </c>
      <c r="G2448" s="0" t="s">
        <v>4980</v>
      </c>
      <c r="H2448" s="0" t="s">
        <v>4710</v>
      </c>
      <c r="I2448" s="0" t="s">
        <v>4981</v>
      </c>
      <c r="J2448" s="18" t="s">
        <v>24</v>
      </c>
    </row>
    <row r="2449" customFormat="false" ht="15" hidden="false" customHeight="false" outlineLevel="0" collapsed="false">
      <c r="A2449" s="0" t="s">
        <v>2074</v>
      </c>
      <c r="B2449" s="0" t="s">
        <v>134</v>
      </c>
      <c r="C2449" s="0" t="s">
        <v>3447</v>
      </c>
      <c r="D2449" s="0" t="s">
        <v>3457</v>
      </c>
      <c r="E2449" s="0" t="s">
        <v>4963</v>
      </c>
      <c r="F2449" s="0" t="s">
        <v>60</v>
      </c>
      <c r="G2449" s="0" t="s">
        <v>4964</v>
      </c>
      <c r="H2449" s="0" t="s">
        <v>5615</v>
      </c>
      <c r="I2449" s="0" t="s">
        <v>4966</v>
      </c>
      <c r="J2449" s="19" t="s">
        <v>26</v>
      </c>
    </row>
    <row r="2450" customFormat="false" ht="15" hidden="false" customHeight="false" outlineLevel="0" collapsed="false">
      <c r="A2450" s="0" t="s">
        <v>2074</v>
      </c>
      <c r="B2450" s="0" t="s">
        <v>134</v>
      </c>
      <c r="C2450" s="0" t="s">
        <v>3450</v>
      </c>
      <c r="D2450" s="0" t="s">
        <v>3457</v>
      </c>
      <c r="E2450" s="0" t="s">
        <v>4969</v>
      </c>
      <c r="F2450" s="0" t="s">
        <v>62</v>
      </c>
      <c r="G2450" s="0" t="s">
        <v>5003</v>
      </c>
      <c r="H2450" s="0" t="s">
        <v>5793</v>
      </c>
      <c r="I2450" s="0" t="s">
        <v>5005</v>
      </c>
      <c r="J2450" s="20" t="s">
        <v>25</v>
      </c>
    </row>
    <row r="2451" customFormat="false" ht="15" hidden="false" customHeight="false" outlineLevel="0" collapsed="false">
      <c r="A2451" s="0" t="s">
        <v>2074</v>
      </c>
      <c r="B2451" s="0" t="s">
        <v>134</v>
      </c>
      <c r="C2451" s="0" t="s">
        <v>3450</v>
      </c>
      <c r="D2451" s="0" t="s">
        <v>3448</v>
      </c>
      <c r="E2451" s="0" t="s">
        <v>4963</v>
      </c>
      <c r="F2451" s="0" t="s">
        <v>59</v>
      </c>
      <c r="G2451" s="0" t="s">
        <v>4974</v>
      </c>
      <c r="H2451" s="0" t="s">
        <v>69</v>
      </c>
      <c r="I2451" s="0" t="s">
        <v>4975</v>
      </c>
      <c r="J2451" s="20" t="s">
        <v>25</v>
      </c>
    </row>
    <row r="2452" customFormat="false" ht="15" hidden="false" customHeight="false" outlineLevel="0" collapsed="false">
      <c r="A2452" s="0" t="s">
        <v>2074</v>
      </c>
      <c r="B2452" s="0" t="s">
        <v>134</v>
      </c>
      <c r="C2452" s="0" t="s">
        <v>3450</v>
      </c>
      <c r="D2452" s="0" t="s">
        <v>3448</v>
      </c>
      <c r="E2452" s="0" t="s">
        <v>4969</v>
      </c>
      <c r="F2452" s="0" t="s">
        <v>62</v>
      </c>
      <c r="G2452" s="0" t="s">
        <v>5003</v>
      </c>
      <c r="H2452" s="0" t="s">
        <v>5254</v>
      </c>
      <c r="I2452" s="0" t="s">
        <v>5005</v>
      </c>
      <c r="J2452" s="20" t="s">
        <v>25</v>
      </c>
    </row>
    <row r="2453" customFormat="false" ht="15" hidden="false" customHeight="false" outlineLevel="0" collapsed="false">
      <c r="A2453" s="0" t="s">
        <v>2074</v>
      </c>
      <c r="B2453" s="0" t="s">
        <v>134</v>
      </c>
      <c r="C2453" s="0" t="s">
        <v>3450</v>
      </c>
      <c r="D2453" s="0" t="s">
        <v>3448</v>
      </c>
      <c r="E2453" s="0" t="s">
        <v>4969</v>
      </c>
      <c r="F2453" s="0" t="s">
        <v>64</v>
      </c>
      <c r="G2453" s="0" t="s">
        <v>4220</v>
      </c>
      <c r="H2453" s="0" t="s">
        <v>5794</v>
      </c>
      <c r="I2453" s="0" t="s">
        <v>4991</v>
      </c>
      <c r="J2453" s="20" t="s">
        <v>25</v>
      </c>
    </row>
    <row r="2454" customFormat="false" ht="15" hidden="false" customHeight="false" outlineLevel="0" collapsed="false">
      <c r="A2454" s="0" t="s">
        <v>2074</v>
      </c>
      <c r="B2454" s="0" t="s">
        <v>134</v>
      </c>
      <c r="C2454" s="0" t="s">
        <v>3447</v>
      </c>
      <c r="D2454" s="0" t="s">
        <v>3457</v>
      </c>
      <c r="E2454" s="0" t="s">
        <v>4963</v>
      </c>
      <c r="F2454" s="0" t="s">
        <v>59</v>
      </c>
      <c r="G2454" s="0" t="s">
        <v>4974</v>
      </c>
      <c r="H2454" s="0" t="s">
        <v>69</v>
      </c>
      <c r="I2454" s="0" t="s">
        <v>4975</v>
      </c>
      <c r="J2454" s="20" t="s">
        <v>25</v>
      </c>
    </row>
    <row r="2455" customFormat="false" ht="15" hidden="false" customHeight="false" outlineLevel="0" collapsed="false">
      <c r="A2455" s="0" t="s">
        <v>2074</v>
      </c>
      <c r="B2455" s="0" t="s">
        <v>134</v>
      </c>
      <c r="C2455" s="0" t="s">
        <v>3447</v>
      </c>
      <c r="D2455" s="0" t="s">
        <v>3448</v>
      </c>
      <c r="E2455" s="0" t="s">
        <v>4969</v>
      </c>
      <c r="F2455" s="0" t="s">
        <v>64</v>
      </c>
      <c r="G2455" s="0" t="s">
        <v>4220</v>
      </c>
      <c r="H2455" s="0" t="s">
        <v>5794</v>
      </c>
      <c r="I2455" s="0" t="s">
        <v>4991</v>
      </c>
      <c r="J2455" s="20" t="s">
        <v>25</v>
      </c>
    </row>
    <row r="2456" customFormat="false" ht="15" hidden="false" customHeight="false" outlineLevel="0" collapsed="false">
      <c r="A2456" s="0" t="s">
        <v>2074</v>
      </c>
      <c r="B2456" s="0" t="s">
        <v>134</v>
      </c>
      <c r="C2456" s="0" t="s">
        <v>3450</v>
      </c>
      <c r="D2456" s="0" t="s">
        <v>3448</v>
      </c>
      <c r="E2456" s="0" t="s">
        <v>4963</v>
      </c>
      <c r="F2456" s="0" t="s">
        <v>30</v>
      </c>
      <c r="G2456" s="0" t="s">
        <v>4980</v>
      </c>
      <c r="H2456" s="0" t="s">
        <v>4275</v>
      </c>
      <c r="I2456" s="0" t="s">
        <v>4981</v>
      </c>
      <c r="J2456" s="18" t="s">
        <v>24</v>
      </c>
    </row>
    <row r="2457" customFormat="false" ht="15" hidden="false" customHeight="false" outlineLevel="0" collapsed="false">
      <c r="A2457" s="0" t="s">
        <v>2074</v>
      </c>
      <c r="B2457" s="0" t="s">
        <v>134</v>
      </c>
      <c r="C2457" s="0" t="s">
        <v>3447</v>
      </c>
      <c r="D2457" s="0" t="s">
        <v>3448</v>
      </c>
      <c r="E2457" s="0" t="s">
        <v>4963</v>
      </c>
      <c r="F2457" s="0" t="s">
        <v>30</v>
      </c>
      <c r="G2457" s="0" t="s">
        <v>4980</v>
      </c>
      <c r="H2457" s="0" t="s">
        <v>4711</v>
      </c>
      <c r="I2457" s="0" t="s">
        <v>4981</v>
      </c>
      <c r="J2457" s="18" t="s">
        <v>24</v>
      </c>
    </row>
    <row r="2458" customFormat="false" ht="15" hidden="false" customHeight="false" outlineLevel="0" collapsed="false">
      <c r="A2458" s="0" t="s">
        <v>2080</v>
      </c>
      <c r="B2458" s="0" t="s">
        <v>134</v>
      </c>
      <c r="C2458" s="0" t="s">
        <v>3447</v>
      </c>
      <c r="D2458" s="0" t="s">
        <v>3457</v>
      </c>
      <c r="E2458" s="0" t="s">
        <v>4963</v>
      </c>
      <c r="F2458" s="0" t="s">
        <v>60</v>
      </c>
      <c r="G2458" s="0" t="s">
        <v>4964</v>
      </c>
      <c r="H2458" s="0" t="s">
        <v>5056</v>
      </c>
      <c r="I2458" s="0" t="s">
        <v>4966</v>
      </c>
      <c r="J2458" s="19" t="s">
        <v>26</v>
      </c>
    </row>
    <row r="2459" customFormat="false" ht="15" hidden="false" customHeight="false" outlineLevel="0" collapsed="false">
      <c r="A2459" s="0" t="s">
        <v>2080</v>
      </c>
      <c r="B2459" s="0" t="s">
        <v>134</v>
      </c>
      <c r="C2459" s="0" t="s">
        <v>3447</v>
      </c>
      <c r="D2459" s="0" t="s">
        <v>3448</v>
      </c>
      <c r="E2459" s="0" t="s">
        <v>4963</v>
      </c>
      <c r="F2459" s="0" t="s">
        <v>60</v>
      </c>
      <c r="G2459" s="0" t="s">
        <v>4964</v>
      </c>
      <c r="H2459" s="0" t="s">
        <v>5795</v>
      </c>
      <c r="I2459" s="0" t="s">
        <v>4966</v>
      </c>
      <c r="J2459" s="19" t="s">
        <v>26</v>
      </c>
    </row>
    <row r="2460" customFormat="false" ht="15" hidden="false" customHeight="false" outlineLevel="0" collapsed="false">
      <c r="A2460" s="0" t="s">
        <v>2080</v>
      </c>
      <c r="B2460" s="0" t="s">
        <v>134</v>
      </c>
      <c r="C2460" s="0" t="s">
        <v>3450</v>
      </c>
      <c r="D2460" s="0" t="s">
        <v>3457</v>
      </c>
      <c r="E2460" s="0" t="s">
        <v>4963</v>
      </c>
      <c r="F2460" s="0" t="s">
        <v>59</v>
      </c>
      <c r="G2460" s="0" t="s">
        <v>4974</v>
      </c>
      <c r="H2460" s="0" t="s">
        <v>69</v>
      </c>
      <c r="I2460" s="0" t="s">
        <v>4975</v>
      </c>
      <c r="J2460" s="20" t="s">
        <v>25</v>
      </c>
    </row>
    <row r="2461" customFormat="false" ht="15" hidden="false" customHeight="false" outlineLevel="0" collapsed="false">
      <c r="A2461" s="0" t="s">
        <v>2080</v>
      </c>
      <c r="B2461" s="0" t="s">
        <v>134</v>
      </c>
      <c r="C2461" s="0" t="s">
        <v>3447</v>
      </c>
      <c r="D2461" s="0" t="s">
        <v>3457</v>
      </c>
      <c r="E2461" s="0" t="s">
        <v>4963</v>
      </c>
      <c r="F2461" s="0" t="s">
        <v>59</v>
      </c>
      <c r="G2461" s="0" t="s">
        <v>4974</v>
      </c>
      <c r="H2461" s="0" t="s">
        <v>69</v>
      </c>
      <c r="I2461" s="0" t="s">
        <v>4975</v>
      </c>
      <c r="J2461" s="20" t="s">
        <v>25</v>
      </c>
    </row>
    <row r="2462" customFormat="false" ht="15" hidden="false" customHeight="false" outlineLevel="0" collapsed="false">
      <c r="A2462" s="0" t="s">
        <v>2080</v>
      </c>
      <c r="B2462" s="0" t="s">
        <v>134</v>
      </c>
      <c r="C2462" s="0" t="s">
        <v>3447</v>
      </c>
      <c r="D2462" s="0" t="s">
        <v>3457</v>
      </c>
      <c r="E2462" s="0" t="s">
        <v>4969</v>
      </c>
      <c r="F2462" s="0" t="s">
        <v>61</v>
      </c>
      <c r="G2462" s="0" t="s">
        <v>4970</v>
      </c>
      <c r="H2462" s="0" t="s">
        <v>5796</v>
      </c>
      <c r="I2462" s="0" t="s">
        <v>4972</v>
      </c>
      <c r="J2462" s="20" t="s">
        <v>25</v>
      </c>
    </row>
    <row r="2463" customFormat="false" ht="15" hidden="false" customHeight="false" outlineLevel="0" collapsed="false">
      <c r="A2463" s="0" t="s">
        <v>2080</v>
      </c>
      <c r="B2463" s="0" t="s">
        <v>134</v>
      </c>
      <c r="C2463" s="0" t="s">
        <v>3450</v>
      </c>
      <c r="D2463" s="0" t="s">
        <v>3457</v>
      </c>
      <c r="E2463" s="0" t="s">
        <v>4963</v>
      </c>
      <c r="F2463" s="0" t="s">
        <v>30</v>
      </c>
      <c r="G2463" s="0" t="s">
        <v>4980</v>
      </c>
      <c r="H2463" s="0" t="s">
        <v>4275</v>
      </c>
      <c r="I2463" s="0" t="s">
        <v>4981</v>
      </c>
      <c r="J2463" s="18" t="s">
        <v>24</v>
      </c>
    </row>
    <row r="2464" customFormat="false" ht="15" hidden="false" customHeight="false" outlineLevel="0" collapsed="false">
      <c r="A2464" s="0" t="s">
        <v>2096</v>
      </c>
      <c r="B2464" s="0" t="s">
        <v>134</v>
      </c>
      <c r="C2464" s="0" t="s">
        <v>3447</v>
      </c>
      <c r="D2464" s="0" t="s">
        <v>3457</v>
      </c>
      <c r="E2464" s="0" t="s">
        <v>4963</v>
      </c>
      <c r="F2464" s="0" t="s">
        <v>60</v>
      </c>
      <c r="G2464" s="0" t="s">
        <v>4964</v>
      </c>
      <c r="H2464" s="0" t="s">
        <v>4965</v>
      </c>
      <c r="I2464" s="0" t="s">
        <v>4966</v>
      </c>
      <c r="J2464" s="19" t="s">
        <v>26</v>
      </c>
    </row>
    <row r="2465" customFormat="false" ht="15" hidden="false" customHeight="false" outlineLevel="0" collapsed="false">
      <c r="A2465" s="0" t="s">
        <v>2096</v>
      </c>
      <c r="B2465" s="0" t="s">
        <v>134</v>
      </c>
      <c r="C2465" s="0" t="s">
        <v>3447</v>
      </c>
      <c r="D2465" s="0" t="s">
        <v>3448</v>
      </c>
      <c r="E2465" s="0" t="s">
        <v>4963</v>
      </c>
      <c r="F2465" s="0" t="s">
        <v>60</v>
      </c>
      <c r="G2465" s="0" t="s">
        <v>4964</v>
      </c>
      <c r="H2465" s="0" t="s">
        <v>5046</v>
      </c>
      <c r="I2465" s="0" t="s">
        <v>4966</v>
      </c>
      <c r="J2465" s="19" t="s">
        <v>26</v>
      </c>
    </row>
    <row r="2466" customFormat="false" ht="15" hidden="false" customHeight="false" outlineLevel="0" collapsed="false">
      <c r="A2466" s="0" t="s">
        <v>2096</v>
      </c>
      <c r="B2466" s="0" t="s">
        <v>134</v>
      </c>
      <c r="C2466" s="0" t="s">
        <v>3450</v>
      </c>
      <c r="D2466" s="0" t="s">
        <v>3457</v>
      </c>
      <c r="E2466" s="0" t="s">
        <v>4969</v>
      </c>
      <c r="F2466" s="0" t="s">
        <v>61</v>
      </c>
      <c r="G2466" s="0" t="s">
        <v>4970</v>
      </c>
      <c r="H2466" s="0" t="s">
        <v>5797</v>
      </c>
      <c r="I2466" s="0" t="s">
        <v>4972</v>
      </c>
      <c r="J2466" s="20" t="s">
        <v>25</v>
      </c>
    </row>
    <row r="2467" customFormat="false" ht="15" hidden="false" customHeight="false" outlineLevel="0" collapsed="false">
      <c r="A2467" s="0" t="s">
        <v>2096</v>
      </c>
      <c r="B2467" s="0" t="s">
        <v>134</v>
      </c>
      <c r="C2467" s="0" t="s">
        <v>3450</v>
      </c>
      <c r="D2467" s="0" t="s">
        <v>3448</v>
      </c>
      <c r="E2467" s="0" t="s">
        <v>4969</v>
      </c>
      <c r="F2467" s="0" t="s">
        <v>66</v>
      </c>
      <c r="G2467" s="0" t="s">
        <v>4970</v>
      </c>
      <c r="H2467" s="0" t="s">
        <v>5798</v>
      </c>
      <c r="I2467" s="0" t="s">
        <v>5030</v>
      </c>
      <c r="J2467" s="20" t="s">
        <v>25</v>
      </c>
    </row>
    <row r="2468" customFormat="false" ht="15" hidden="false" customHeight="false" outlineLevel="0" collapsed="false">
      <c r="A2468" s="0" t="s">
        <v>2096</v>
      </c>
      <c r="B2468" s="0" t="s">
        <v>134</v>
      </c>
      <c r="C2468" s="0" t="s">
        <v>3447</v>
      </c>
      <c r="D2468" s="0" t="s">
        <v>3457</v>
      </c>
      <c r="E2468" s="0" t="s">
        <v>4963</v>
      </c>
      <c r="F2468" s="0" t="s">
        <v>59</v>
      </c>
      <c r="G2468" s="0" t="s">
        <v>4974</v>
      </c>
      <c r="H2468" s="0" t="s">
        <v>69</v>
      </c>
      <c r="I2468" s="0" t="s">
        <v>4975</v>
      </c>
      <c r="J2468" s="20" t="s">
        <v>25</v>
      </c>
    </row>
    <row r="2469" customFormat="false" ht="15" hidden="false" customHeight="false" outlineLevel="0" collapsed="false">
      <c r="A2469" s="0" t="s">
        <v>2096</v>
      </c>
      <c r="B2469" s="0" t="s">
        <v>134</v>
      </c>
      <c r="C2469" s="0" t="s">
        <v>3447</v>
      </c>
      <c r="D2469" s="0" t="s">
        <v>3457</v>
      </c>
      <c r="E2469" s="0" t="s">
        <v>4969</v>
      </c>
      <c r="F2469" s="0" t="s">
        <v>61</v>
      </c>
      <c r="G2469" s="0" t="s">
        <v>4970</v>
      </c>
      <c r="H2469" s="0" t="s">
        <v>5799</v>
      </c>
      <c r="I2469" s="0" t="s">
        <v>4972</v>
      </c>
      <c r="J2469" s="20" t="s">
        <v>25</v>
      </c>
    </row>
    <row r="2470" customFormat="false" ht="15" hidden="false" customHeight="false" outlineLevel="0" collapsed="false">
      <c r="A2470" s="0" t="s">
        <v>2096</v>
      </c>
      <c r="B2470" s="0" t="s">
        <v>134</v>
      </c>
      <c r="C2470" s="0" t="s">
        <v>3447</v>
      </c>
      <c r="D2470" s="0" t="s">
        <v>3448</v>
      </c>
      <c r="E2470" s="0" t="s">
        <v>4963</v>
      </c>
      <c r="F2470" s="0" t="s">
        <v>59</v>
      </c>
      <c r="G2470" s="0" t="s">
        <v>4974</v>
      </c>
      <c r="H2470" s="0" t="s">
        <v>69</v>
      </c>
      <c r="I2470" s="0" t="s">
        <v>4975</v>
      </c>
      <c r="J2470" s="20" t="s">
        <v>25</v>
      </c>
    </row>
    <row r="2471" customFormat="false" ht="15" hidden="false" customHeight="false" outlineLevel="0" collapsed="false">
      <c r="A2471" s="0" t="s">
        <v>2096</v>
      </c>
      <c r="B2471" s="0" t="s">
        <v>134</v>
      </c>
      <c r="C2471" s="0" t="s">
        <v>3447</v>
      </c>
      <c r="D2471" s="0" t="s">
        <v>3448</v>
      </c>
      <c r="E2471" s="0" t="s">
        <v>4969</v>
      </c>
      <c r="F2471" s="0" t="s">
        <v>61</v>
      </c>
      <c r="G2471" s="0" t="s">
        <v>4970</v>
      </c>
      <c r="H2471" s="0" t="s">
        <v>5800</v>
      </c>
      <c r="I2471" s="0" t="s">
        <v>4972</v>
      </c>
      <c r="J2471" s="20" t="s">
        <v>25</v>
      </c>
    </row>
    <row r="2472" customFormat="false" ht="15" hidden="false" customHeight="false" outlineLevel="0" collapsed="false">
      <c r="A2472" s="0" t="s">
        <v>2113</v>
      </c>
      <c r="B2472" s="0" t="s">
        <v>134</v>
      </c>
      <c r="C2472" s="0" t="s">
        <v>3450</v>
      </c>
      <c r="D2472" s="0" t="s">
        <v>3457</v>
      </c>
      <c r="E2472" s="0" t="s">
        <v>4963</v>
      </c>
      <c r="F2472" s="0" t="s">
        <v>59</v>
      </c>
      <c r="G2472" s="0" t="s">
        <v>4974</v>
      </c>
      <c r="H2472" s="0" t="s">
        <v>69</v>
      </c>
      <c r="I2472" s="0" t="s">
        <v>4975</v>
      </c>
      <c r="J2472" s="20" t="s">
        <v>25</v>
      </c>
    </row>
    <row r="2473" customFormat="false" ht="15" hidden="false" customHeight="false" outlineLevel="0" collapsed="false">
      <c r="A2473" s="0" t="s">
        <v>2113</v>
      </c>
      <c r="B2473" s="0" t="s">
        <v>134</v>
      </c>
      <c r="C2473" s="0" t="s">
        <v>3450</v>
      </c>
      <c r="D2473" s="0" t="s">
        <v>3448</v>
      </c>
      <c r="E2473" s="0" t="s">
        <v>4963</v>
      </c>
      <c r="F2473" s="0" t="s">
        <v>59</v>
      </c>
      <c r="G2473" s="0" t="s">
        <v>4974</v>
      </c>
      <c r="H2473" s="0" t="s">
        <v>69</v>
      </c>
      <c r="I2473" s="0" t="s">
        <v>4975</v>
      </c>
      <c r="J2473" s="20" t="s">
        <v>25</v>
      </c>
    </row>
    <row r="2474" customFormat="false" ht="15" hidden="false" customHeight="false" outlineLevel="0" collapsed="false">
      <c r="A2474" s="0" t="s">
        <v>2113</v>
      </c>
      <c r="B2474" s="0" t="s">
        <v>134</v>
      </c>
      <c r="C2474" s="0" t="s">
        <v>3450</v>
      </c>
      <c r="D2474" s="0" t="s">
        <v>3448</v>
      </c>
      <c r="E2474" s="0" t="s">
        <v>4969</v>
      </c>
      <c r="F2474" s="0" t="s">
        <v>62</v>
      </c>
      <c r="G2474" s="0" t="s">
        <v>5003</v>
      </c>
      <c r="H2474" s="0" t="s">
        <v>5801</v>
      </c>
      <c r="I2474" s="0" t="s">
        <v>5005</v>
      </c>
      <c r="J2474" s="20" t="s">
        <v>25</v>
      </c>
    </row>
    <row r="2475" customFormat="false" ht="15" hidden="false" customHeight="false" outlineLevel="0" collapsed="false">
      <c r="A2475" s="0" t="s">
        <v>2113</v>
      </c>
      <c r="B2475" s="0" t="s">
        <v>134</v>
      </c>
      <c r="C2475" s="0" t="s">
        <v>3447</v>
      </c>
      <c r="D2475" s="0" t="s">
        <v>3457</v>
      </c>
      <c r="E2475" s="0" t="s">
        <v>4963</v>
      </c>
      <c r="F2475" s="0" t="s">
        <v>59</v>
      </c>
      <c r="G2475" s="0" t="s">
        <v>4974</v>
      </c>
      <c r="H2475" s="0" t="s">
        <v>69</v>
      </c>
      <c r="I2475" s="0" t="s">
        <v>4975</v>
      </c>
      <c r="J2475" s="20" t="s">
        <v>25</v>
      </c>
    </row>
    <row r="2476" customFormat="false" ht="15" hidden="false" customHeight="false" outlineLevel="0" collapsed="false">
      <c r="A2476" s="0" t="s">
        <v>2113</v>
      </c>
      <c r="B2476" s="0" t="s">
        <v>134</v>
      </c>
      <c r="C2476" s="0" t="s">
        <v>3447</v>
      </c>
      <c r="D2476" s="0" t="s">
        <v>3448</v>
      </c>
      <c r="E2476" s="0" t="s">
        <v>4969</v>
      </c>
      <c r="F2476" s="0" t="s">
        <v>61</v>
      </c>
      <c r="G2476" s="0" t="s">
        <v>4970</v>
      </c>
      <c r="H2476" s="0" t="s">
        <v>5802</v>
      </c>
      <c r="I2476" s="0" t="s">
        <v>4972</v>
      </c>
      <c r="J2476" s="20" t="s">
        <v>25</v>
      </c>
    </row>
    <row r="2477" customFormat="false" ht="15" hidden="false" customHeight="false" outlineLevel="0" collapsed="false">
      <c r="A2477" s="0" t="s">
        <v>2113</v>
      </c>
      <c r="B2477" s="0" t="s">
        <v>134</v>
      </c>
      <c r="C2477" s="0" t="s">
        <v>3450</v>
      </c>
      <c r="D2477" s="0" t="s">
        <v>3457</v>
      </c>
      <c r="E2477" s="0" t="s">
        <v>4963</v>
      </c>
      <c r="F2477" s="0" t="s">
        <v>30</v>
      </c>
      <c r="G2477" s="0" t="s">
        <v>4980</v>
      </c>
      <c r="H2477" s="0" t="s">
        <v>4242</v>
      </c>
      <c r="I2477" s="0" t="s">
        <v>4981</v>
      </c>
      <c r="J2477" s="18" t="s">
        <v>24</v>
      </c>
    </row>
    <row r="2478" customFormat="false" ht="15" hidden="false" customHeight="false" outlineLevel="0" collapsed="false">
      <c r="A2478" s="0" t="s">
        <v>2113</v>
      </c>
      <c r="B2478" s="0" t="s">
        <v>134</v>
      </c>
      <c r="C2478" s="0" t="s">
        <v>3450</v>
      </c>
      <c r="D2478" s="0" t="s">
        <v>3448</v>
      </c>
      <c r="E2478" s="0" t="s">
        <v>4963</v>
      </c>
      <c r="F2478" s="0" t="s">
        <v>30</v>
      </c>
      <c r="G2478" s="0" t="s">
        <v>4980</v>
      </c>
      <c r="H2478" s="0" t="s">
        <v>4275</v>
      </c>
      <c r="I2478" s="0" t="s">
        <v>4981</v>
      </c>
      <c r="J2478" s="18" t="s">
        <v>24</v>
      </c>
    </row>
    <row r="2479" customFormat="false" ht="15" hidden="false" customHeight="false" outlineLevel="0" collapsed="false">
      <c r="A2479" s="0" t="s">
        <v>2113</v>
      </c>
      <c r="B2479" s="0" t="s">
        <v>134</v>
      </c>
      <c r="C2479" s="0" t="s">
        <v>3447</v>
      </c>
      <c r="D2479" s="0" t="s">
        <v>3457</v>
      </c>
      <c r="E2479" s="0" t="s">
        <v>4963</v>
      </c>
      <c r="F2479" s="0" t="s">
        <v>30</v>
      </c>
      <c r="G2479" s="0" t="s">
        <v>4980</v>
      </c>
      <c r="H2479" s="0" t="s">
        <v>4238</v>
      </c>
      <c r="I2479" s="0" t="s">
        <v>4981</v>
      </c>
      <c r="J2479" s="18" t="s">
        <v>24</v>
      </c>
    </row>
    <row r="2480" customFormat="false" ht="15" hidden="false" customHeight="false" outlineLevel="0" collapsed="false">
      <c r="A2480" s="0" t="s">
        <v>2124</v>
      </c>
      <c r="B2480" s="0" t="s">
        <v>134</v>
      </c>
      <c r="C2480" s="0" t="s">
        <v>3450</v>
      </c>
      <c r="D2480" s="0" t="s">
        <v>3457</v>
      </c>
      <c r="E2480" s="0" t="s">
        <v>4963</v>
      </c>
      <c r="F2480" s="0" t="s">
        <v>60</v>
      </c>
      <c r="G2480" s="0" t="s">
        <v>4964</v>
      </c>
      <c r="H2480" s="0" t="s">
        <v>5501</v>
      </c>
      <c r="I2480" s="0" t="s">
        <v>4966</v>
      </c>
      <c r="J2480" s="19" t="s">
        <v>26</v>
      </c>
    </row>
    <row r="2481" customFormat="false" ht="15" hidden="false" customHeight="false" outlineLevel="0" collapsed="false">
      <c r="A2481" s="0" t="s">
        <v>2124</v>
      </c>
      <c r="B2481" s="0" t="s">
        <v>134</v>
      </c>
      <c r="C2481" s="0" t="s">
        <v>3450</v>
      </c>
      <c r="D2481" s="0" t="s">
        <v>3448</v>
      </c>
      <c r="E2481" s="0" t="s">
        <v>4963</v>
      </c>
      <c r="F2481" s="0" t="s">
        <v>60</v>
      </c>
      <c r="G2481" s="0" t="s">
        <v>4964</v>
      </c>
      <c r="H2481" s="0" t="s">
        <v>5056</v>
      </c>
      <c r="I2481" s="0" t="s">
        <v>4966</v>
      </c>
      <c r="J2481" s="19" t="s">
        <v>26</v>
      </c>
    </row>
    <row r="2482" customFormat="false" ht="15" hidden="false" customHeight="false" outlineLevel="0" collapsed="false">
      <c r="A2482" s="0" t="s">
        <v>2124</v>
      </c>
      <c r="B2482" s="0" t="s">
        <v>134</v>
      </c>
      <c r="C2482" s="0" t="s">
        <v>3447</v>
      </c>
      <c r="D2482" s="0" t="s">
        <v>3457</v>
      </c>
      <c r="E2482" s="0" t="s">
        <v>4963</v>
      </c>
      <c r="F2482" s="0" t="s">
        <v>60</v>
      </c>
      <c r="G2482" s="0" t="s">
        <v>4964</v>
      </c>
      <c r="H2482" s="0" t="s">
        <v>5803</v>
      </c>
      <c r="I2482" s="0" t="s">
        <v>4966</v>
      </c>
      <c r="J2482" s="19" t="s">
        <v>26</v>
      </c>
    </row>
    <row r="2483" customFormat="false" ht="15" hidden="false" customHeight="false" outlineLevel="0" collapsed="false">
      <c r="A2483" s="0" t="s">
        <v>2124</v>
      </c>
      <c r="B2483" s="0" t="s">
        <v>134</v>
      </c>
      <c r="C2483" s="0" t="s">
        <v>3450</v>
      </c>
      <c r="D2483" s="0" t="s">
        <v>3457</v>
      </c>
      <c r="E2483" s="0" t="s">
        <v>4963</v>
      </c>
      <c r="F2483" s="0" t="s">
        <v>59</v>
      </c>
      <c r="G2483" s="0" t="s">
        <v>4974</v>
      </c>
      <c r="H2483" s="0" t="s">
        <v>69</v>
      </c>
      <c r="I2483" s="0" t="s">
        <v>4975</v>
      </c>
      <c r="J2483" s="20" t="s">
        <v>25</v>
      </c>
    </row>
    <row r="2484" customFormat="false" ht="15" hidden="false" customHeight="false" outlineLevel="0" collapsed="false">
      <c r="A2484" s="0" t="s">
        <v>2124</v>
      </c>
      <c r="B2484" s="0" t="s">
        <v>134</v>
      </c>
      <c r="C2484" s="0" t="s">
        <v>3450</v>
      </c>
      <c r="D2484" s="0" t="s">
        <v>3457</v>
      </c>
      <c r="E2484" s="0" t="s">
        <v>4969</v>
      </c>
      <c r="F2484" s="0" t="s">
        <v>62</v>
      </c>
      <c r="G2484" s="0" t="s">
        <v>5003</v>
      </c>
      <c r="H2484" s="0" t="s">
        <v>5804</v>
      </c>
      <c r="I2484" s="0" t="s">
        <v>5005</v>
      </c>
      <c r="J2484" s="20" t="s">
        <v>25</v>
      </c>
    </row>
    <row r="2485" customFormat="false" ht="15" hidden="false" customHeight="false" outlineLevel="0" collapsed="false">
      <c r="A2485" s="0" t="s">
        <v>2124</v>
      </c>
      <c r="B2485" s="0" t="s">
        <v>134</v>
      </c>
      <c r="C2485" s="0" t="s">
        <v>3450</v>
      </c>
      <c r="D2485" s="0" t="s">
        <v>3457</v>
      </c>
      <c r="E2485" s="0" t="s">
        <v>4969</v>
      </c>
      <c r="F2485" s="0" t="s">
        <v>63</v>
      </c>
      <c r="G2485" s="0" t="s">
        <v>4220</v>
      </c>
      <c r="H2485" s="0" t="s">
        <v>5805</v>
      </c>
      <c r="I2485" s="0" t="s">
        <v>4979</v>
      </c>
      <c r="J2485" s="20" t="s">
        <v>25</v>
      </c>
    </row>
    <row r="2486" customFormat="false" ht="15" hidden="false" customHeight="false" outlineLevel="0" collapsed="false">
      <c r="A2486" s="0" t="s">
        <v>2124</v>
      </c>
      <c r="B2486" s="0" t="s">
        <v>134</v>
      </c>
      <c r="C2486" s="0" t="s">
        <v>3450</v>
      </c>
      <c r="D2486" s="0" t="s">
        <v>3448</v>
      </c>
      <c r="E2486" s="0" t="s">
        <v>4963</v>
      </c>
      <c r="F2486" s="0" t="s">
        <v>59</v>
      </c>
      <c r="G2486" s="0" t="s">
        <v>4974</v>
      </c>
      <c r="H2486" s="0" t="s">
        <v>69</v>
      </c>
      <c r="I2486" s="0" t="s">
        <v>4975</v>
      </c>
      <c r="J2486" s="20" t="s">
        <v>25</v>
      </c>
    </row>
    <row r="2487" customFormat="false" ht="15" hidden="false" customHeight="false" outlineLevel="0" collapsed="false">
      <c r="A2487" s="0" t="s">
        <v>2124</v>
      </c>
      <c r="B2487" s="0" t="s">
        <v>134</v>
      </c>
      <c r="C2487" s="0" t="s">
        <v>3450</v>
      </c>
      <c r="D2487" s="0" t="s">
        <v>3448</v>
      </c>
      <c r="E2487" s="0" t="s">
        <v>4969</v>
      </c>
      <c r="F2487" s="0" t="s">
        <v>62</v>
      </c>
      <c r="G2487" s="0" t="s">
        <v>5003</v>
      </c>
      <c r="H2487" s="0" t="s">
        <v>5806</v>
      </c>
      <c r="I2487" s="0" t="s">
        <v>5005</v>
      </c>
      <c r="J2487" s="20" t="s">
        <v>25</v>
      </c>
    </row>
    <row r="2488" customFormat="false" ht="15" hidden="false" customHeight="false" outlineLevel="0" collapsed="false">
      <c r="A2488" s="0" t="s">
        <v>2124</v>
      </c>
      <c r="B2488" s="0" t="s">
        <v>134</v>
      </c>
      <c r="C2488" s="0" t="s">
        <v>3450</v>
      </c>
      <c r="D2488" s="0" t="s">
        <v>3448</v>
      </c>
      <c r="E2488" s="0" t="s">
        <v>4969</v>
      </c>
      <c r="F2488" s="0" t="s">
        <v>63</v>
      </c>
      <c r="G2488" s="0" t="s">
        <v>4220</v>
      </c>
      <c r="H2488" s="0" t="s">
        <v>5807</v>
      </c>
      <c r="I2488" s="0" t="s">
        <v>4979</v>
      </c>
      <c r="J2488" s="20" t="s">
        <v>25</v>
      </c>
    </row>
    <row r="2489" customFormat="false" ht="15" hidden="false" customHeight="false" outlineLevel="0" collapsed="false">
      <c r="A2489" s="0" t="s">
        <v>2124</v>
      </c>
      <c r="B2489" s="0" t="s">
        <v>134</v>
      </c>
      <c r="C2489" s="0" t="s">
        <v>3447</v>
      </c>
      <c r="D2489" s="0" t="s">
        <v>3457</v>
      </c>
      <c r="E2489" s="0" t="s">
        <v>4969</v>
      </c>
      <c r="F2489" s="0" t="s">
        <v>63</v>
      </c>
      <c r="G2489" s="0" t="s">
        <v>4220</v>
      </c>
      <c r="H2489" s="0" t="s">
        <v>5805</v>
      </c>
      <c r="I2489" s="0" t="s">
        <v>4979</v>
      </c>
      <c r="J2489" s="20" t="s">
        <v>25</v>
      </c>
    </row>
    <row r="2490" customFormat="false" ht="15" hidden="false" customHeight="false" outlineLevel="0" collapsed="false">
      <c r="A2490" s="0" t="s">
        <v>2124</v>
      </c>
      <c r="B2490" s="0" t="s">
        <v>134</v>
      </c>
      <c r="C2490" s="0" t="s">
        <v>3447</v>
      </c>
      <c r="D2490" s="0" t="s">
        <v>3448</v>
      </c>
      <c r="E2490" s="0" t="s">
        <v>4969</v>
      </c>
      <c r="F2490" s="0" t="s">
        <v>63</v>
      </c>
      <c r="G2490" s="0" t="s">
        <v>4220</v>
      </c>
      <c r="H2490" s="0" t="s">
        <v>5807</v>
      </c>
      <c r="I2490" s="0" t="s">
        <v>4979</v>
      </c>
      <c r="J2490" s="20" t="s">
        <v>25</v>
      </c>
    </row>
    <row r="2491" customFormat="false" ht="15" hidden="false" customHeight="false" outlineLevel="0" collapsed="false">
      <c r="A2491" s="0" t="s">
        <v>2124</v>
      </c>
      <c r="B2491" s="0" t="s">
        <v>134</v>
      </c>
      <c r="C2491" s="0" t="s">
        <v>3447</v>
      </c>
      <c r="D2491" s="0" t="s">
        <v>3448</v>
      </c>
      <c r="E2491" s="0" t="s">
        <v>4963</v>
      </c>
      <c r="F2491" s="0" t="s">
        <v>30</v>
      </c>
      <c r="G2491" s="0" t="s">
        <v>4980</v>
      </c>
      <c r="H2491" s="0" t="s">
        <v>4714</v>
      </c>
      <c r="I2491" s="0" t="s">
        <v>4981</v>
      </c>
      <c r="J2491" s="18" t="s">
        <v>24</v>
      </c>
    </row>
    <row r="2492" customFormat="false" ht="15" hidden="false" customHeight="false" outlineLevel="0" collapsed="false">
      <c r="A2492" s="0" t="s">
        <v>2130</v>
      </c>
      <c r="B2492" s="0" t="s">
        <v>134</v>
      </c>
      <c r="C2492" s="0" t="s">
        <v>3450</v>
      </c>
      <c r="D2492" s="0" t="s">
        <v>3457</v>
      </c>
      <c r="E2492" s="0" t="s">
        <v>4969</v>
      </c>
      <c r="F2492" s="0" t="s">
        <v>63</v>
      </c>
      <c r="G2492" s="0" t="s">
        <v>4220</v>
      </c>
      <c r="H2492" s="0" t="s">
        <v>5808</v>
      </c>
      <c r="I2492" s="0" t="s">
        <v>4979</v>
      </c>
      <c r="J2492" s="20" t="s">
        <v>25</v>
      </c>
    </row>
    <row r="2493" customFormat="false" ht="15" hidden="false" customHeight="false" outlineLevel="0" collapsed="false">
      <c r="A2493" s="0" t="s">
        <v>2130</v>
      </c>
      <c r="B2493" s="0" t="s">
        <v>134</v>
      </c>
      <c r="C2493" s="0" t="s">
        <v>3450</v>
      </c>
      <c r="D2493" s="0" t="s">
        <v>3448</v>
      </c>
      <c r="E2493" s="0" t="s">
        <v>4969</v>
      </c>
      <c r="F2493" s="0" t="s">
        <v>63</v>
      </c>
      <c r="G2493" s="0" t="s">
        <v>4220</v>
      </c>
      <c r="H2493" s="0" t="s">
        <v>5809</v>
      </c>
      <c r="I2493" s="0" t="s">
        <v>4979</v>
      </c>
      <c r="J2493" s="20" t="s">
        <v>25</v>
      </c>
    </row>
    <row r="2494" customFormat="false" ht="15" hidden="false" customHeight="false" outlineLevel="0" collapsed="false">
      <c r="A2494" s="0" t="s">
        <v>2130</v>
      </c>
      <c r="B2494" s="0" t="s">
        <v>134</v>
      </c>
      <c r="C2494" s="0" t="s">
        <v>3447</v>
      </c>
      <c r="D2494" s="0" t="s">
        <v>3457</v>
      </c>
      <c r="E2494" s="0" t="s">
        <v>4969</v>
      </c>
      <c r="F2494" s="0" t="s">
        <v>63</v>
      </c>
      <c r="G2494" s="0" t="s">
        <v>4220</v>
      </c>
      <c r="H2494" s="0" t="s">
        <v>5808</v>
      </c>
      <c r="I2494" s="0" t="s">
        <v>4979</v>
      </c>
      <c r="J2494" s="20" t="s">
        <v>25</v>
      </c>
    </row>
    <row r="2495" customFormat="false" ht="15" hidden="false" customHeight="false" outlineLevel="0" collapsed="false">
      <c r="A2495" s="0" t="s">
        <v>2130</v>
      </c>
      <c r="B2495" s="0" t="s">
        <v>134</v>
      </c>
      <c r="C2495" s="0" t="s">
        <v>3447</v>
      </c>
      <c r="D2495" s="0" t="s">
        <v>3448</v>
      </c>
      <c r="E2495" s="0" t="s">
        <v>4969</v>
      </c>
      <c r="F2495" s="0" t="s">
        <v>63</v>
      </c>
      <c r="G2495" s="0" t="s">
        <v>4220</v>
      </c>
      <c r="H2495" s="0" t="s">
        <v>5809</v>
      </c>
      <c r="I2495" s="0" t="s">
        <v>4979</v>
      </c>
      <c r="J2495" s="20" t="s">
        <v>25</v>
      </c>
    </row>
    <row r="2496" customFormat="false" ht="15" hidden="false" customHeight="false" outlineLevel="0" collapsed="false">
      <c r="A2496" s="0" t="s">
        <v>2130</v>
      </c>
      <c r="B2496" s="0" t="s">
        <v>134</v>
      </c>
      <c r="C2496" s="0" t="s">
        <v>3447</v>
      </c>
      <c r="D2496" s="0" t="s">
        <v>3457</v>
      </c>
      <c r="E2496" s="0" t="s">
        <v>4963</v>
      </c>
      <c r="F2496" s="0" t="s">
        <v>30</v>
      </c>
      <c r="G2496" s="0" t="s">
        <v>4980</v>
      </c>
      <c r="H2496" s="0" t="s">
        <v>4715</v>
      </c>
      <c r="I2496" s="0" t="s">
        <v>4981</v>
      </c>
      <c r="J2496" s="18" t="s">
        <v>24</v>
      </c>
    </row>
    <row r="2497" customFormat="false" ht="15" hidden="false" customHeight="false" outlineLevel="0" collapsed="false">
      <c r="A2497" s="0" t="s">
        <v>2130</v>
      </c>
      <c r="B2497" s="0" t="s">
        <v>134</v>
      </c>
      <c r="C2497" s="0" t="s">
        <v>3447</v>
      </c>
      <c r="D2497" s="0" t="s">
        <v>3448</v>
      </c>
      <c r="E2497" s="0" t="s">
        <v>4963</v>
      </c>
      <c r="F2497" s="0" t="s">
        <v>30</v>
      </c>
      <c r="G2497" s="0" t="s">
        <v>4980</v>
      </c>
      <c r="H2497" s="0" t="s">
        <v>4512</v>
      </c>
      <c r="I2497" s="0" t="s">
        <v>4981</v>
      </c>
      <c r="J2497" s="18" t="s">
        <v>24</v>
      </c>
    </row>
    <row r="2498" customFormat="false" ht="15" hidden="false" customHeight="false" outlineLevel="0" collapsed="false">
      <c r="A2498" s="0" t="s">
        <v>2137</v>
      </c>
      <c r="B2498" s="0" t="s">
        <v>134</v>
      </c>
      <c r="C2498" s="0" t="s">
        <v>3450</v>
      </c>
      <c r="D2498" s="0" t="s">
        <v>3457</v>
      </c>
      <c r="E2498" s="0" t="s">
        <v>4969</v>
      </c>
      <c r="F2498" s="0" t="s">
        <v>63</v>
      </c>
      <c r="G2498" s="0" t="s">
        <v>4220</v>
      </c>
      <c r="H2498" s="0" t="s">
        <v>5040</v>
      </c>
      <c r="I2498" s="0" t="s">
        <v>4979</v>
      </c>
      <c r="J2498" s="20" t="s">
        <v>25</v>
      </c>
    </row>
    <row r="2499" customFormat="false" ht="15" hidden="false" customHeight="false" outlineLevel="0" collapsed="false">
      <c r="A2499" s="0" t="s">
        <v>2137</v>
      </c>
      <c r="B2499" s="0" t="s">
        <v>134</v>
      </c>
      <c r="C2499" s="0" t="s">
        <v>3450</v>
      </c>
      <c r="D2499" s="0" t="s">
        <v>3448</v>
      </c>
      <c r="E2499" s="0" t="s">
        <v>4969</v>
      </c>
      <c r="F2499" s="0" t="s">
        <v>62</v>
      </c>
      <c r="G2499" s="0" t="s">
        <v>5003</v>
      </c>
      <c r="H2499" s="0" t="s">
        <v>5810</v>
      </c>
      <c r="I2499" s="0" t="s">
        <v>5005</v>
      </c>
      <c r="J2499" s="20" t="s">
        <v>25</v>
      </c>
    </row>
    <row r="2500" customFormat="false" ht="15" hidden="false" customHeight="false" outlineLevel="0" collapsed="false">
      <c r="A2500" s="0" t="s">
        <v>2137</v>
      </c>
      <c r="B2500" s="0" t="s">
        <v>134</v>
      </c>
      <c r="C2500" s="0" t="s">
        <v>3450</v>
      </c>
      <c r="D2500" s="0" t="s">
        <v>3448</v>
      </c>
      <c r="E2500" s="0" t="s">
        <v>4969</v>
      </c>
      <c r="F2500" s="0" t="s">
        <v>63</v>
      </c>
      <c r="G2500" s="0" t="s">
        <v>4220</v>
      </c>
      <c r="H2500" s="0" t="s">
        <v>5132</v>
      </c>
      <c r="I2500" s="0" t="s">
        <v>4979</v>
      </c>
      <c r="J2500" s="20" t="s">
        <v>25</v>
      </c>
    </row>
    <row r="2501" customFormat="false" ht="15" hidden="false" customHeight="false" outlineLevel="0" collapsed="false">
      <c r="A2501" s="0" t="s">
        <v>2137</v>
      </c>
      <c r="B2501" s="0" t="s">
        <v>134</v>
      </c>
      <c r="C2501" s="0" t="s">
        <v>3447</v>
      </c>
      <c r="D2501" s="0" t="s">
        <v>3457</v>
      </c>
      <c r="E2501" s="0" t="s">
        <v>4969</v>
      </c>
      <c r="F2501" s="0" t="s">
        <v>63</v>
      </c>
      <c r="G2501" s="0" t="s">
        <v>4220</v>
      </c>
      <c r="H2501" s="0" t="s">
        <v>5040</v>
      </c>
      <c r="I2501" s="0" t="s">
        <v>4979</v>
      </c>
      <c r="J2501" s="20" t="s">
        <v>25</v>
      </c>
    </row>
    <row r="2502" customFormat="false" ht="15" hidden="false" customHeight="false" outlineLevel="0" collapsed="false">
      <c r="A2502" s="0" t="s">
        <v>2137</v>
      </c>
      <c r="B2502" s="0" t="s">
        <v>134</v>
      </c>
      <c r="C2502" s="0" t="s">
        <v>3447</v>
      </c>
      <c r="D2502" s="0" t="s">
        <v>3448</v>
      </c>
      <c r="E2502" s="0" t="s">
        <v>4969</v>
      </c>
      <c r="F2502" s="0" t="s">
        <v>63</v>
      </c>
      <c r="G2502" s="0" t="s">
        <v>4220</v>
      </c>
      <c r="H2502" s="0" t="s">
        <v>5132</v>
      </c>
      <c r="I2502" s="0" t="s">
        <v>4979</v>
      </c>
      <c r="J2502" s="20" t="s">
        <v>25</v>
      </c>
    </row>
    <row r="2503" customFormat="false" ht="15" hidden="false" customHeight="false" outlineLevel="0" collapsed="false">
      <c r="A2503" s="0" t="s">
        <v>2137</v>
      </c>
      <c r="B2503" s="0" t="s">
        <v>3459</v>
      </c>
      <c r="C2503" s="0" t="s">
        <v>3450</v>
      </c>
      <c r="D2503" s="0" t="s">
        <v>3457</v>
      </c>
      <c r="E2503" s="0" t="s">
        <v>4963</v>
      </c>
      <c r="F2503" s="0" t="s">
        <v>59</v>
      </c>
      <c r="G2503" s="0" t="s">
        <v>4974</v>
      </c>
      <c r="H2503" s="0" t="s">
        <v>69</v>
      </c>
      <c r="I2503" s="0" t="s">
        <v>4975</v>
      </c>
      <c r="J2503" s="20" t="s">
        <v>25</v>
      </c>
    </row>
    <row r="2504" customFormat="false" ht="15" hidden="false" customHeight="false" outlineLevel="0" collapsed="false">
      <c r="A2504" s="0" t="s">
        <v>2137</v>
      </c>
      <c r="B2504" s="0" t="s">
        <v>3459</v>
      </c>
      <c r="C2504" s="0" t="s">
        <v>3450</v>
      </c>
      <c r="D2504" s="0" t="s">
        <v>3457</v>
      </c>
      <c r="E2504" s="0" t="s">
        <v>4969</v>
      </c>
      <c r="F2504" s="0" t="s">
        <v>61</v>
      </c>
      <c r="G2504" s="0" t="s">
        <v>4970</v>
      </c>
      <c r="H2504" s="0" t="s">
        <v>5811</v>
      </c>
      <c r="I2504" s="0" t="s">
        <v>4972</v>
      </c>
      <c r="J2504" s="20" t="s">
        <v>25</v>
      </c>
    </row>
    <row r="2505" customFormat="false" ht="15" hidden="false" customHeight="false" outlineLevel="0" collapsed="false">
      <c r="A2505" s="0" t="s">
        <v>2137</v>
      </c>
      <c r="B2505" s="0" t="s">
        <v>3459</v>
      </c>
      <c r="C2505" s="0" t="s">
        <v>3450</v>
      </c>
      <c r="D2505" s="0" t="s">
        <v>3448</v>
      </c>
      <c r="E2505" s="0" t="s">
        <v>4963</v>
      </c>
      <c r="F2505" s="0" t="s">
        <v>59</v>
      </c>
      <c r="G2505" s="0" t="s">
        <v>4974</v>
      </c>
      <c r="H2505" s="0" t="s">
        <v>69</v>
      </c>
      <c r="I2505" s="0" t="s">
        <v>4975</v>
      </c>
      <c r="J2505" s="20" t="s">
        <v>25</v>
      </c>
    </row>
    <row r="2506" customFormat="false" ht="15" hidden="false" customHeight="false" outlineLevel="0" collapsed="false">
      <c r="A2506" s="0" t="s">
        <v>2137</v>
      </c>
      <c r="B2506" s="0" t="s">
        <v>3459</v>
      </c>
      <c r="C2506" s="0" t="s">
        <v>3447</v>
      </c>
      <c r="D2506" s="0" t="s">
        <v>3457</v>
      </c>
      <c r="E2506" s="0" t="s">
        <v>4969</v>
      </c>
      <c r="F2506" s="0" t="s">
        <v>61</v>
      </c>
      <c r="G2506" s="0" t="s">
        <v>4970</v>
      </c>
      <c r="H2506" s="0" t="s">
        <v>5812</v>
      </c>
      <c r="I2506" s="0" t="s">
        <v>4972</v>
      </c>
      <c r="J2506" s="20" t="s">
        <v>25</v>
      </c>
    </row>
    <row r="2507" customFormat="false" ht="15" hidden="false" customHeight="false" outlineLevel="0" collapsed="false">
      <c r="A2507" s="0" t="s">
        <v>2137</v>
      </c>
      <c r="B2507" s="0" t="s">
        <v>3459</v>
      </c>
      <c r="C2507" s="0" t="s">
        <v>3447</v>
      </c>
      <c r="D2507" s="0" t="s">
        <v>3448</v>
      </c>
      <c r="E2507" s="0" t="s">
        <v>4969</v>
      </c>
      <c r="F2507" s="0" t="s">
        <v>61</v>
      </c>
      <c r="G2507" s="0" t="s">
        <v>4970</v>
      </c>
      <c r="H2507" s="0" t="s">
        <v>5813</v>
      </c>
      <c r="I2507" s="0" t="s">
        <v>4972</v>
      </c>
      <c r="J2507" s="20" t="s">
        <v>25</v>
      </c>
    </row>
    <row r="2508" customFormat="false" ht="15" hidden="false" customHeight="false" outlineLevel="0" collapsed="false">
      <c r="A2508" s="0" t="s">
        <v>2137</v>
      </c>
      <c r="B2508" s="0" t="s">
        <v>3459</v>
      </c>
      <c r="C2508" s="0" t="s">
        <v>3450</v>
      </c>
      <c r="D2508" s="0" t="s">
        <v>3457</v>
      </c>
      <c r="E2508" s="0" t="s">
        <v>4963</v>
      </c>
      <c r="F2508" s="0" t="s">
        <v>30</v>
      </c>
      <c r="G2508" s="0" t="s">
        <v>4980</v>
      </c>
      <c r="H2508" s="0" t="s">
        <v>4275</v>
      </c>
      <c r="I2508" s="0" t="s">
        <v>4981</v>
      </c>
      <c r="J2508" s="18" t="s">
        <v>24</v>
      </c>
    </row>
    <row r="2509" customFormat="false" ht="15" hidden="false" customHeight="false" outlineLevel="0" collapsed="false">
      <c r="A2509" s="0" t="s">
        <v>2137</v>
      </c>
      <c r="B2509" s="0" t="s">
        <v>3459</v>
      </c>
      <c r="C2509" s="0" t="s">
        <v>3450</v>
      </c>
      <c r="D2509" s="0" t="s">
        <v>3448</v>
      </c>
      <c r="E2509" s="0" t="s">
        <v>4963</v>
      </c>
      <c r="F2509" s="0" t="s">
        <v>30</v>
      </c>
      <c r="G2509" s="0" t="s">
        <v>4980</v>
      </c>
      <c r="H2509" s="0" t="s">
        <v>4275</v>
      </c>
      <c r="I2509" s="0" t="s">
        <v>4981</v>
      </c>
      <c r="J2509" s="18" t="s">
        <v>24</v>
      </c>
    </row>
    <row r="2510" customFormat="false" ht="15" hidden="false" customHeight="false" outlineLevel="0" collapsed="false">
      <c r="A2510" s="0" t="s">
        <v>2137</v>
      </c>
      <c r="B2510" s="0" t="s">
        <v>3459</v>
      </c>
      <c r="C2510" s="0" t="s">
        <v>3447</v>
      </c>
      <c r="D2510" s="0" t="s">
        <v>3448</v>
      </c>
      <c r="E2510" s="0" t="s">
        <v>4963</v>
      </c>
      <c r="F2510" s="0" t="s">
        <v>30</v>
      </c>
      <c r="G2510" s="0" t="s">
        <v>4980</v>
      </c>
      <c r="H2510" s="0" t="s">
        <v>4272</v>
      </c>
      <c r="I2510" s="0" t="s">
        <v>4981</v>
      </c>
      <c r="J2510" s="18" t="s">
        <v>24</v>
      </c>
    </row>
    <row r="2511" customFormat="false" ht="15" hidden="false" customHeight="false" outlineLevel="0" collapsed="false">
      <c r="A2511" s="0" t="s">
        <v>2143</v>
      </c>
      <c r="B2511" s="0" t="s">
        <v>134</v>
      </c>
      <c r="C2511" s="0" t="s">
        <v>3450</v>
      </c>
      <c r="D2511" s="0" t="s">
        <v>3448</v>
      </c>
      <c r="E2511" s="0" t="s">
        <v>4969</v>
      </c>
      <c r="F2511" s="0" t="s">
        <v>62</v>
      </c>
      <c r="G2511" s="0" t="s">
        <v>5003</v>
      </c>
      <c r="H2511" s="0" t="s">
        <v>5814</v>
      </c>
      <c r="I2511" s="0" t="s">
        <v>5005</v>
      </c>
      <c r="J2511" s="20" t="s">
        <v>25</v>
      </c>
    </row>
    <row r="2512" customFormat="false" ht="15" hidden="false" customHeight="false" outlineLevel="0" collapsed="false">
      <c r="A2512" s="0" t="s">
        <v>2143</v>
      </c>
      <c r="B2512" s="0" t="s">
        <v>134</v>
      </c>
      <c r="C2512" s="0" t="s">
        <v>3450</v>
      </c>
      <c r="D2512" s="0" t="s">
        <v>3448</v>
      </c>
      <c r="E2512" s="0" t="s">
        <v>4969</v>
      </c>
      <c r="F2512" s="0" t="s">
        <v>63</v>
      </c>
      <c r="G2512" s="0" t="s">
        <v>4220</v>
      </c>
      <c r="H2512" s="0" t="s">
        <v>5376</v>
      </c>
      <c r="I2512" s="0" t="s">
        <v>4979</v>
      </c>
      <c r="J2512" s="20" t="s">
        <v>25</v>
      </c>
    </row>
    <row r="2513" customFormat="false" ht="15" hidden="false" customHeight="false" outlineLevel="0" collapsed="false">
      <c r="A2513" s="0" t="s">
        <v>2143</v>
      </c>
      <c r="B2513" s="0" t="s">
        <v>134</v>
      </c>
      <c r="C2513" s="0" t="s">
        <v>3447</v>
      </c>
      <c r="D2513" s="0" t="s">
        <v>3448</v>
      </c>
      <c r="E2513" s="0" t="s">
        <v>4969</v>
      </c>
      <c r="F2513" s="0" t="s">
        <v>63</v>
      </c>
      <c r="G2513" s="0" t="s">
        <v>4220</v>
      </c>
      <c r="H2513" s="0" t="s">
        <v>5376</v>
      </c>
      <c r="I2513" s="0" t="s">
        <v>4979</v>
      </c>
      <c r="J2513" s="20" t="s">
        <v>25</v>
      </c>
    </row>
    <row r="2514" customFormat="false" ht="15" hidden="false" customHeight="false" outlineLevel="0" collapsed="false">
      <c r="A2514" s="0" t="s">
        <v>2143</v>
      </c>
      <c r="B2514" s="0" t="s">
        <v>134</v>
      </c>
      <c r="C2514" s="0" t="s">
        <v>3450</v>
      </c>
      <c r="D2514" s="0" t="s">
        <v>3457</v>
      </c>
      <c r="E2514" s="0" t="s">
        <v>4963</v>
      </c>
      <c r="F2514" s="0" t="s">
        <v>30</v>
      </c>
      <c r="G2514" s="0" t="s">
        <v>4980</v>
      </c>
      <c r="H2514" s="0" t="s">
        <v>4716</v>
      </c>
      <c r="I2514" s="0" t="s">
        <v>4981</v>
      </c>
      <c r="J2514" s="18" t="s">
        <v>24</v>
      </c>
    </row>
    <row r="2515" customFormat="false" ht="15" hidden="false" customHeight="false" outlineLevel="0" collapsed="false">
      <c r="A2515" s="0" t="s">
        <v>2149</v>
      </c>
      <c r="B2515" s="0" t="s">
        <v>134</v>
      </c>
      <c r="C2515" s="0" t="s">
        <v>3450</v>
      </c>
      <c r="D2515" s="0" t="s">
        <v>3448</v>
      </c>
      <c r="E2515" s="0" t="s">
        <v>4963</v>
      </c>
      <c r="F2515" s="0" t="s">
        <v>65</v>
      </c>
      <c r="G2515" s="0" t="s">
        <v>4997</v>
      </c>
      <c r="H2515" s="0" t="s">
        <v>3871</v>
      </c>
      <c r="I2515" s="0" t="s">
        <v>4998</v>
      </c>
      <c r="J2515" s="19" t="s">
        <v>26</v>
      </c>
    </row>
    <row r="2516" customFormat="false" ht="15" hidden="false" customHeight="false" outlineLevel="0" collapsed="false">
      <c r="A2516" s="0" t="s">
        <v>2149</v>
      </c>
      <c r="B2516" s="0" t="s">
        <v>134</v>
      </c>
      <c r="C2516" s="0" t="s">
        <v>3447</v>
      </c>
      <c r="D2516" s="0" t="s">
        <v>3457</v>
      </c>
      <c r="E2516" s="0" t="s">
        <v>4963</v>
      </c>
      <c r="F2516" s="0" t="s">
        <v>60</v>
      </c>
      <c r="G2516" s="0" t="s">
        <v>4964</v>
      </c>
      <c r="H2516" s="0" t="s">
        <v>5180</v>
      </c>
      <c r="I2516" s="0" t="s">
        <v>4966</v>
      </c>
      <c r="J2516" s="19" t="s">
        <v>26</v>
      </c>
    </row>
    <row r="2517" customFormat="false" ht="15" hidden="false" customHeight="false" outlineLevel="0" collapsed="false">
      <c r="A2517" s="0" t="s">
        <v>2149</v>
      </c>
      <c r="B2517" s="0" t="s">
        <v>134</v>
      </c>
      <c r="C2517" s="0" t="s">
        <v>3447</v>
      </c>
      <c r="D2517" s="0" t="s">
        <v>3448</v>
      </c>
      <c r="E2517" s="0" t="s">
        <v>4963</v>
      </c>
      <c r="F2517" s="0" t="s">
        <v>60</v>
      </c>
      <c r="G2517" s="0" t="s">
        <v>4964</v>
      </c>
      <c r="H2517" s="0" t="s">
        <v>5815</v>
      </c>
      <c r="I2517" s="0" t="s">
        <v>4966</v>
      </c>
      <c r="J2517" s="19" t="s">
        <v>26</v>
      </c>
    </row>
    <row r="2518" customFormat="false" ht="15" hidden="false" customHeight="false" outlineLevel="0" collapsed="false">
      <c r="A2518" s="0" t="s">
        <v>2149</v>
      </c>
      <c r="B2518" s="0" t="s">
        <v>3459</v>
      </c>
      <c r="C2518" s="0" t="s">
        <v>3447</v>
      </c>
      <c r="D2518" s="0" t="s">
        <v>3457</v>
      </c>
      <c r="E2518" s="0" t="s">
        <v>4963</v>
      </c>
      <c r="F2518" s="0" t="s">
        <v>60</v>
      </c>
      <c r="G2518" s="0" t="s">
        <v>4964</v>
      </c>
      <c r="H2518" s="0" t="s">
        <v>5056</v>
      </c>
      <c r="I2518" s="0" t="s">
        <v>4966</v>
      </c>
      <c r="J2518" s="19" t="s">
        <v>26</v>
      </c>
    </row>
    <row r="2519" customFormat="false" ht="15" hidden="false" customHeight="false" outlineLevel="0" collapsed="false">
      <c r="A2519" s="0" t="s">
        <v>2149</v>
      </c>
      <c r="B2519" s="0" t="s">
        <v>134</v>
      </c>
      <c r="C2519" s="0" t="s">
        <v>3450</v>
      </c>
      <c r="D2519" s="0" t="s">
        <v>3457</v>
      </c>
      <c r="E2519" s="0" t="s">
        <v>4963</v>
      </c>
      <c r="F2519" s="0" t="s">
        <v>59</v>
      </c>
      <c r="G2519" s="0" t="s">
        <v>4974</v>
      </c>
      <c r="H2519" s="0" t="s">
        <v>70</v>
      </c>
      <c r="I2519" s="0" t="s">
        <v>4975</v>
      </c>
      <c r="J2519" s="20" t="s">
        <v>25</v>
      </c>
    </row>
    <row r="2520" customFormat="false" ht="15" hidden="false" customHeight="false" outlineLevel="0" collapsed="false">
      <c r="A2520" s="0" t="s">
        <v>2149</v>
      </c>
      <c r="B2520" s="0" t="s">
        <v>134</v>
      </c>
      <c r="C2520" s="0" t="s">
        <v>3450</v>
      </c>
      <c r="D2520" s="0" t="s">
        <v>3457</v>
      </c>
      <c r="E2520" s="0" t="s">
        <v>4969</v>
      </c>
      <c r="F2520" s="0" t="s">
        <v>61</v>
      </c>
      <c r="G2520" s="0" t="s">
        <v>4970</v>
      </c>
      <c r="H2520" s="0" t="s">
        <v>5816</v>
      </c>
      <c r="I2520" s="0" t="s">
        <v>4972</v>
      </c>
      <c r="J2520" s="20" t="s">
        <v>25</v>
      </c>
    </row>
    <row r="2521" customFormat="false" ht="15" hidden="false" customHeight="false" outlineLevel="0" collapsed="false">
      <c r="A2521" s="0" t="s">
        <v>2149</v>
      </c>
      <c r="B2521" s="0" t="s">
        <v>134</v>
      </c>
      <c r="C2521" s="0" t="s">
        <v>3447</v>
      </c>
      <c r="D2521" s="0" t="s">
        <v>3457</v>
      </c>
      <c r="E2521" s="0" t="s">
        <v>4963</v>
      </c>
      <c r="F2521" s="0" t="s">
        <v>59</v>
      </c>
      <c r="G2521" s="0" t="s">
        <v>4974</v>
      </c>
      <c r="H2521" s="0" t="s">
        <v>69</v>
      </c>
      <c r="I2521" s="0" t="s">
        <v>4975</v>
      </c>
      <c r="J2521" s="20" t="s">
        <v>25</v>
      </c>
    </row>
    <row r="2522" customFormat="false" ht="15" hidden="false" customHeight="false" outlineLevel="0" collapsed="false">
      <c r="A2522" s="0" t="s">
        <v>2149</v>
      </c>
      <c r="B2522" s="0" t="s">
        <v>3459</v>
      </c>
      <c r="C2522" s="0" t="s">
        <v>3450</v>
      </c>
      <c r="D2522" s="0" t="s">
        <v>3457</v>
      </c>
      <c r="E2522" s="0" t="s">
        <v>4963</v>
      </c>
      <c r="F2522" s="0" t="s">
        <v>59</v>
      </c>
      <c r="G2522" s="0" t="s">
        <v>4974</v>
      </c>
      <c r="H2522" s="0" t="s">
        <v>69</v>
      </c>
      <c r="I2522" s="0" t="s">
        <v>4975</v>
      </c>
      <c r="J2522" s="20" t="s">
        <v>25</v>
      </c>
    </row>
    <row r="2523" customFormat="false" ht="15" hidden="false" customHeight="false" outlineLevel="0" collapsed="false">
      <c r="A2523" s="0" t="s">
        <v>2149</v>
      </c>
      <c r="B2523" s="0" t="s">
        <v>3459</v>
      </c>
      <c r="C2523" s="0" t="s">
        <v>3450</v>
      </c>
      <c r="D2523" s="0" t="s">
        <v>3457</v>
      </c>
      <c r="E2523" s="0" t="s">
        <v>4969</v>
      </c>
      <c r="F2523" s="0" t="s">
        <v>61</v>
      </c>
      <c r="G2523" s="0" t="s">
        <v>4970</v>
      </c>
      <c r="H2523" s="0" t="s">
        <v>5817</v>
      </c>
      <c r="I2523" s="0" t="s">
        <v>4972</v>
      </c>
      <c r="J2523" s="20" t="s">
        <v>25</v>
      </c>
    </row>
    <row r="2524" customFormat="false" ht="15" hidden="false" customHeight="false" outlineLevel="0" collapsed="false">
      <c r="A2524" s="0" t="s">
        <v>2149</v>
      </c>
      <c r="B2524" s="0" t="s">
        <v>3459</v>
      </c>
      <c r="C2524" s="0" t="s">
        <v>3450</v>
      </c>
      <c r="D2524" s="0" t="s">
        <v>3448</v>
      </c>
      <c r="E2524" s="0" t="s">
        <v>4963</v>
      </c>
      <c r="F2524" s="0" t="s">
        <v>59</v>
      </c>
      <c r="G2524" s="0" t="s">
        <v>4974</v>
      </c>
      <c r="H2524" s="0" t="s">
        <v>70</v>
      </c>
      <c r="I2524" s="0" t="s">
        <v>4975</v>
      </c>
      <c r="J2524" s="20" t="s">
        <v>25</v>
      </c>
    </row>
    <row r="2525" customFormat="false" ht="15" hidden="false" customHeight="false" outlineLevel="0" collapsed="false">
      <c r="A2525" s="0" t="s">
        <v>2149</v>
      </c>
      <c r="B2525" s="0" t="s">
        <v>3459</v>
      </c>
      <c r="C2525" s="0" t="s">
        <v>3450</v>
      </c>
      <c r="D2525" s="0" t="s">
        <v>3448</v>
      </c>
      <c r="E2525" s="0" t="s">
        <v>4969</v>
      </c>
      <c r="F2525" s="0" t="s">
        <v>61</v>
      </c>
      <c r="G2525" s="0" t="s">
        <v>4970</v>
      </c>
      <c r="H2525" s="0" t="s">
        <v>5818</v>
      </c>
      <c r="I2525" s="0" t="s">
        <v>4972</v>
      </c>
      <c r="J2525" s="20" t="s">
        <v>25</v>
      </c>
    </row>
    <row r="2526" customFormat="false" ht="15" hidden="false" customHeight="false" outlineLevel="0" collapsed="false">
      <c r="A2526" s="0" t="s">
        <v>2149</v>
      </c>
      <c r="B2526" s="0" t="s">
        <v>3459</v>
      </c>
      <c r="C2526" s="0" t="s">
        <v>3447</v>
      </c>
      <c r="D2526" s="0" t="s">
        <v>3457</v>
      </c>
      <c r="E2526" s="0" t="s">
        <v>4963</v>
      </c>
      <c r="F2526" s="0" t="s">
        <v>59</v>
      </c>
      <c r="G2526" s="0" t="s">
        <v>4974</v>
      </c>
      <c r="H2526" s="0" t="s">
        <v>69</v>
      </c>
      <c r="I2526" s="0" t="s">
        <v>4975</v>
      </c>
      <c r="J2526" s="20" t="s">
        <v>25</v>
      </c>
    </row>
    <row r="2527" customFormat="false" ht="15" hidden="false" customHeight="false" outlineLevel="0" collapsed="false">
      <c r="A2527" s="0" t="s">
        <v>2149</v>
      </c>
      <c r="B2527" s="0" t="s">
        <v>3459</v>
      </c>
      <c r="C2527" s="0" t="s">
        <v>3447</v>
      </c>
      <c r="D2527" s="0" t="s">
        <v>3457</v>
      </c>
      <c r="E2527" s="0" t="s">
        <v>4969</v>
      </c>
      <c r="F2527" s="0" t="s">
        <v>61</v>
      </c>
      <c r="G2527" s="0" t="s">
        <v>4970</v>
      </c>
      <c r="H2527" s="0" t="s">
        <v>5819</v>
      </c>
      <c r="I2527" s="0" t="s">
        <v>4972</v>
      </c>
      <c r="J2527" s="20" t="s">
        <v>25</v>
      </c>
    </row>
    <row r="2528" customFormat="false" ht="15" hidden="false" customHeight="false" outlineLevel="0" collapsed="false">
      <c r="A2528" s="0" t="s">
        <v>2149</v>
      </c>
      <c r="B2528" s="0" t="s">
        <v>3459</v>
      </c>
      <c r="C2528" s="0" t="s">
        <v>3447</v>
      </c>
      <c r="D2528" s="0" t="s">
        <v>3448</v>
      </c>
      <c r="E2528" s="0" t="s">
        <v>4963</v>
      </c>
      <c r="F2528" s="0" t="s">
        <v>59</v>
      </c>
      <c r="G2528" s="0" t="s">
        <v>4974</v>
      </c>
      <c r="H2528" s="0" t="s">
        <v>69</v>
      </c>
      <c r="I2528" s="0" t="s">
        <v>4975</v>
      </c>
      <c r="J2528" s="20" t="s">
        <v>25</v>
      </c>
    </row>
    <row r="2529" customFormat="false" ht="15" hidden="false" customHeight="false" outlineLevel="0" collapsed="false">
      <c r="A2529" s="0" t="s">
        <v>2149</v>
      </c>
      <c r="B2529" s="0" t="s">
        <v>3459</v>
      </c>
      <c r="C2529" s="0" t="s">
        <v>3447</v>
      </c>
      <c r="D2529" s="0" t="s">
        <v>3448</v>
      </c>
      <c r="E2529" s="0" t="s">
        <v>4969</v>
      </c>
      <c r="F2529" s="0" t="s">
        <v>61</v>
      </c>
      <c r="G2529" s="0" t="s">
        <v>4970</v>
      </c>
      <c r="H2529" s="0" t="s">
        <v>5820</v>
      </c>
      <c r="I2529" s="0" t="s">
        <v>4972</v>
      </c>
      <c r="J2529" s="20" t="s">
        <v>25</v>
      </c>
    </row>
    <row r="2530" customFormat="false" ht="15" hidden="false" customHeight="false" outlineLevel="0" collapsed="false">
      <c r="A2530" s="0" t="s">
        <v>2149</v>
      </c>
      <c r="B2530" s="0" t="s">
        <v>134</v>
      </c>
      <c r="C2530" s="0" t="s">
        <v>3450</v>
      </c>
      <c r="D2530" s="0" t="s">
        <v>3457</v>
      </c>
      <c r="E2530" s="0" t="s">
        <v>4963</v>
      </c>
      <c r="F2530" s="0" t="s">
        <v>30</v>
      </c>
      <c r="G2530" s="0" t="s">
        <v>4980</v>
      </c>
      <c r="H2530" s="0" t="s">
        <v>4378</v>
      </c>
      <c r="I2530" s="0" t="s">
        <v>4981</v>
      </c>
      <c r="J2530" s="18" t="s">
        <v>24</v>
      </c>
    </row>
    <row r="2531" customFormat="false" ht="15" hidden="false" customHeight="false" outlineLevel="0" collapsed="false">
      <c r="A2531" s="0" t="s">
        <v>2149</v>
      </c>
      <c r="B2531" s="0" t="s">
        <v>3459</v>
      </c>
      <c r="C2531" s="0" t="s">
        <v>3450</v>
      </c>
      <c r="D2531" s="0" t="s">
        <v>3457</v>
      </c>
      <c r="E2531" s="0" t="s">
        <v>4963</v>
      </c>
      <c r="F2531" s="0" t="s">
        <v>30</v>
      </c>
      <c r="G2531" s="0" t="s">
        <v>4980</v>
      </c>
      <c r="H2531" s="0" t="s">
        <v>4275</v>
      </c>
      <c r="I2531" s="0" t="s">
        <v>4981</v>
      </c>
      <c r="J2531" s="18" t="s">
        <v>24</v>
      </c>
    </row>
    <row r="2532" customFormat="false" ht="15" hidden="false" customHeight="false" outlineLevel="0" collapsed="false">
      <c r="A2532" s="0" t="s">
        <v>2149</v>
      </c>
      <c r="B2532" s="0" t="s">
        <v>3459</v>
      </c>
      <c r="C2532" s="0" t="s">
        <v>3450</v>
      </c>
      <c r="D2532" s="0" t="s">
        <v>3448</v>
      </c>
      <c r="E2532" s="0" t="s">
        <v>4963</v>
      </c>
      <c r="F2532" s="0" t="s">
        <v>30</v>
      </c>
      <c r="G2532" s="0" t="s">
        <v>4980</v>
      </c>
      <c r="H2532" s="0" t="s">
        <v>4378</v>
      </c>
      <c r="I2532" s="0" t="s">
        <v>4981</v>
      </c>
      <c r="J2532" s="18" t="s">
        <v>24</v>
      </c>
    </row>
    <row r="2533" customFormat="false" ht="15" hidden="false" customHeight="false" outlineLevel="0" collapsed="false">
      <c r="A2533" s="0" t="s">
        <v>2149</v>
      </c>
      <c r="B2533" s="0" t="s">
        <v>3459</v>
      </c>
      <c r="C2533" s="0" t="s">
        <v>3447</v>
      </c>
      <c r="D2533" s="0" t="s">
        <v>3448</v>
      </c>
      <c r="E2533" s="0" t="s">
        <v>4963</v>
      </c>
      <c r="F2533" s="0" t="s">
        <v>30</v>
      </c>
      <c r="G2533" s="0" t="s">
        <v>4980</v>
      </c>
      <c r="H2533" s="0" t="s">
        <v>4631</v>
      </c>
      <c r="I2533" s="0" t="s">
        <v>4981</v>
      </c>
      <c r="J2533" s="18" t="s">
        <v>24</v>
      </c>
    </row>
    <row r="2534" customFormat="false" ht="15" hidden="false" customHeight="false" outlineLevel="0" collapsed="false">
      <c r="A2534" s="0" t="s">
        <v>2155</v>
      </c>
      <c r="B2534" s="0" t="s">
        <v>134</v>
      </c>
      <c r="C2534" s="0" t="s">
        <v>3450</v>
      </c>
      <c r="D2534" s="0" t="s">
        <v>3457</v>
      </c>
      <c r="E2534" s="0" t="s">
        <v>4963</v>
      </c>
      <c r="F2534" s="0" t="s">
        <v>59</v>
      </c>
      <c r="G2534" s="0" t="s">
        <v>4974</v>
      </c>
      <c r="H2534" s="0" t="s">
        <v>69</v>
      </c>
      <c r="I2534" s="0" t="s">
        <v>4975</v>
      </c>
      <c r="J2534" s="20" t="s">
        <v>25</v>
      </c>
    </row>
    <row r="2535" customFormat="false" ht="15" hidden="false" customHeight="false" outlineLevel="0" collapsed="false">
      <c r="A2535" s="0" t="s">
        <v>2155</v>
      </c>
      <c r="B2535" s="0" t="s">
        <v>134</v>
      </c>
      <c r="C2535" s="0" t="s">
        <v>3450</v>
      </c>
      <c r="D2535" s="0" t="s">
        <v>3457</v>
      </c>
      <c r="E2535" s="0" t="s">
        <v>4969</v>
      </c>
      <c r="F2535" s="0" t="s">
        <v>61</v>
      </c>
      <c r="G2535" s="0" t="s">
        <v>4970</v>
      </c>
      <c r="H2535" s="0" t="s">
        <v>5821</v>
      </c>
      <c r="I2535" s="0" t="s">
        <v>4972</v>
      </c>
      <c r="J2535" s="20" t="s">
        <v>25</v>
      </c>
    </row>
    <row r="2536" customFormat="false" ht="15" hidden="false" customHeight="false" outlineLevel="0" collapsed="false">
      <c r="A2536" s="0" t="s">
        <v>2155</v>
      </c>
      <c r="B2536" s="0" t="s">
        <v>134</v>
      </c>
      <c r="C2536" s="0" t="s">
        <v>3450</v>
      </c>
      <c r="D2536" s="0" t="s">
        <v>3457</v>
      </c>
      <c r="E2536" s="0" t="s">
        <v>4969</v>
      </c>
      <c r="F2536" s="0" t="s">
        <v>62</v>
      </c>
      <c r="G2536" s="0" t="s">
        <v>5003</v>
      </c>
      <c r="H2536" s="0" t="s">
        <v>5822</v>
      </c>
      <c r="I2536" s="0" t="s">
        <v>5005</v>
      </c>
      <c r="J2536" s="20" t="s">
        <v>25</v>
      </c>
    </row>
    <row r="2537" customFormat="false" ht="15" hidden="false" customHeight="false" outlineLevel="0" collapsed="false">
      <c r="A2537" s="0" t="s">
        <v>2155</v>
      </c>
      <c r="B2537" s="0" t="s">
        <v>134</v>
      </c>
      <c r="C2537" s="0" t="s">
        <v>3450</v>
      </c>
      <c r="D2537" s="0" t="s">
        <v>3457</v>
      </c>
      <c r="E2537" s="0" t="s">
        <v>4969</v>
      </c>
      <c r="F2537" s="0" t="s">
        <v>64</v>
      </c>
      <c r="G2537" s="0" t="s">
        <v>4220</v>
      </c>
      <c r="H2537" s="0" t="s">
        <v>5823</v>
      </c>
      <c r="I2537" s="0" t="s">
        <v>4991</v>
      </c>
      <c r="J2537" s="20" t="s">
        <v>25</v>
      </c>
    </row>
    <row r="2538" customFormat="false" ht="15" hidden="false" customHeight="false" outlineLevel="0" collapsed="false">
      <c r="A2538" s="0" t="s">
        <v>2155</v>
      </c>
      <c r="B2538" s="0" t="s">
        <v>134</v>
      </c>
      <c r="C2538" s="0" t="s">
        <v>3450</v>
      </c>
      <c r="D2538" s="0" t="s">
        <v>3448</v>
      </c>
      <c r="E2538" s="0" t="s">
        <v>4963</v>
      </c>
      <c r="F2538" s="0" t="s">
        <v>59</v>
      </c>
      <c r="G2538" s="0" t="s">
        <v>4974</v>
      </c>
      <c r="H2538" s="0" t="s">
        <v>70</v>
      </c>
      <c r="I2538" s="0" t="s">
        <v>4975</v>
      </c>
      <c r="J2538" s="20" t="s">
        <v>25</v>
      </c>
    </row>
    <row r="2539" customFormat="false" ht="15" hidden="false" customHeight="false" outlineLevel="0" collapsed="false">
      <c r="A2539" s="0" t="s">
        <v>2155</v>
      </c>
      <c r="B2539" s="0" t="s">
        <v>134</v>
      </c>
      <c r="C2539" s="0" t="s">
        <v>3450</v>
      </c>
      <c r="D2539" s="0" t="s">
        <v>3448</v>
      </c>
      <c r="E2539" s="0" t="s">
        <v>4969</v>
      </c>
      <c r="F2539" s="0" t="s">
        <v>61</v>
      </c>
      <c r="G2539" s="0" t="s">
        <v>4970</v>
      </c>
      <c r="H2539" s="0" t="s">
        <v>5824</v>
      </c>
      <c r="I2539" s="0" t="s">
        <v>4972</v>
      </c>
      <c r="J2539" s="20" t="s">
        <v>25</v>
      </c>
    </row>
    <row r="2540" customFormat="false" ht="15" hidden="false" customHeight="false" outlineLevel="0" collapsed="false">
      <c r="A2540" s="0" t="s">
        <v>2155</v>
      </c>
      <c r="B2540" s="0" t="s">
        <v>134</v>
      </c>
      <c r="C2540" s="0" t="s">
        <v>3447</v>
      </c>
      <c r="D2540" s="0" t="s">
        <v>3457</v>
      </c>
      <c r="E2540" s="0" t="s">
        <v>4969</v>
      </c>
      <c r="F2540" s="0" t="s">
        <v>61</v>
      </c>
      <c r="G2540" s="0" t="s">
        <v>4970</v>
      </c>
      <c r="H2540" s="0" t="s">
        <v>5825</v>
      </c>
      <c r="I2540" s="0" t="s">
        <v>4972</v>
      </c>
      <c r="J2540" s="20" t="s">
        <v>25</v>
      </c>
    </row>
    <row r="2541" customFormat="false" ht="15" hidden="false" customHeight="false" outlineLevel="0" collapsed="false">
      <c r="A2541" s="0" t="s">
        <v>2155</v>
      </c>
      <c r="B2541" s="0" t="s">
        <v>134</v>
      </c>
      <c r="C2541" s="0" t="s">
        <v>3447</v>
      </c>
      <c r="D2541" s="0" t="s">
        <v>3457</v>
      </c>
      <c r="E2541" s="0" t="s">
        <v>4969</v>
      </c>
      <c r="F2541" s="0" t="s">
        <v>64</v>
      </c>
      <c r="G2541" s="0" t="s">
        <v>4220</v>
      </c>
      <c r="H2541" s="0" t="s">
        <v>5823</v>
      </c>
      <c r="I2541" s="0" t="s">
        <v>4991</v>
      </c>
      <c r="J2541" s="20" t="s">
        <v>25</v>
      </c>
    </row>
    <row r="2542" customFormat="false" ht="15" hidden="false" customHeight="false" outlineLevel="0" collapsed="false">
      <c r="A2542" s="0" t="s">
        <v>2155</v>
      </c>
      <c r="B2542" s="0" t="s">
        <v>134</v>
      </c>
      <c r="C2542" s="0" t="s">
        <v>3447</v>
      </c>
      <c r="D2542" s="0" t="s">
        <v>3448</v>
      </c>
      <c r="E2542" s="0" t="s">
        <v>4963</v>
      </c>
      <c r="F2542" s="0" t="s">
        <v>59</v>
      </c>
      <c r="G2542" s="0" t="s">
        <v>4974</v>
      </c>
      <c r="H2542" s="0" t="s">
        <v>69</v>
      </c>
      <c r="I2542" s="0" t="s">
        <v>4975</v>
      </c>
      <c r="J2542" s="20" t="s">
        <v>25</v>
      </c>
    </row>
    <row r="2543" customFormat="false" ht="15" hidden="false" customHeight="false" outlineLevel="0" collapsed="false">
      <c r="A2543" s="0" t="s">
        <v>2155</v>
      </c>
      <c r="B2543" s="0" t="s">
        <v>134</v>
      </c>
      <c r="C2543" s="0" t="s">
        <v>3447</v>
      </c>
      <c r="D2543" s="0" t="s">
        <v>3448</v>
      </c>
      <c r="E2543" s="0" t="s">
        <v>4969</v>
      </c>
      <c r="F2543" s="0" t="s">
        <v>61</v>
      </c>
      <c r="G2543" s="0" t="s">
        <v>4970</v>
      </c>
      <c r="H2543" s="0" t="s">
        <v>5826</v>
      </c>
      <c r="I2543" s="0" t="s">
        <v>4972</v>
      </c>
      <c r="J2543" s="20" t="s">
        <v>25</v>
      </c>
    </row>
    <row r="2544" customFormat="false" ht="15" hidden="false" customHeight="false" outlineLevel="0" collapsed="false">
      <c r="A2544" s="0" t="s">
        <v>2155</v>
      </c>
      <c r="B2544" s="0" t="s">
        <v>3459</v>
      </c>
      <c r="C2544" s="0" t="s">
        <v>3450</v>
      </c>
      <c r="D2544" s="0" t="s">
        <v>3457</v>
      </c>
      <c r="E2544" s="0" t="s">
        <v>4963</v>
      </c>
      <c r="F2544" s="0" t="s">
        <v>59</v>
      </c>
      <c r="G2544" s="0" t="s">
        <v>4974</v>
      </c>
      <c r="H2544" s="0" t="s">
        <v>70</v>
      </c>
      <c r="I2544" s="0" t="s">
        <v>4975</v>
      </c>
      <c r="J2544" s="20" t="s">
        <v>25</v>
      </c>
    </row>
    <row r="2545" customFormat="false" ht="15" hidden="false" customHeight="false" outlineLevel="0" collapsed="false">
      <c r="A2545" s="0" t="s">
        <v>2155</v>
      </c>
      <c r="B2545" s="0" t="s">
        <v>3459</v>
      </c>
      <c r="C2545" s="0" t="s">
        <v>3450</v>
      </c>
      <c r="D2545" s="0" t="s">
        <v>3448</v>
      </c>
      <c r="E2545" s="0" t="s">
        <v>4963</v>
      </c>
      <c r="F2545" s="0" t="s">
        <v>59</v>
      </c>
      <c r="G2545" s="0" t="s">
        <v>4974</v>
      </c>
      <c r="H2545" s="0" t="s">
        <v>70</v>
      </c>
      <c r="I2545" s="0" t="s">
        <v>4975</v>
      </c>
      <c r="J2545" s="20" t="s">
        <v>25</v>
      </c>
    </row>
    <row r="2546" customFormat="false" ht="15" hidden="false" customHeight="false" outlineLevel="0" collapsed="false">
      <c r="A2546" s="0" t="s">
        <v>2155</v>
      </c>
      <c r="B2546" s="0" t="s">
        <v>3459</v>
      </c>
      <c r="C2546" s="0" t="s">
        <v>3450</v>
      </c>
      <c r="D2546" s="0" t="s">
        <v>3448</v>
      </c>
      <c r="E2546" s="0" t="s">
        <v>4969</v>
      </c>
      <c r="F2546" s="0" t="s">
        <v>64</v>
      </c>
      <c r="G2546" s="0" t="s">
        <v>4220</v>
      </c>
      <c r="H2546" s="0" t="s">
        <v>5827</v>
      </c>
      <c r="I2546" s="0" t="s">
        <v>4991</v>
      </c>
      <c r="J2546" s="20" t="s">
        <v>25</v>
      </c>
    </row>
    <row r="2547" customFormat="false" ht="15" hidden="false" customHeight="false" outlineLevel="0" collapsed="false">
      <c r="A2547" s="0" t="s">
        <v>2155</v>
      </c>
      <c r="B2547" s="0" t="s">
        <v>3459</v>
      </c>
      <c r="C2547" s="0" t="s">
        <v>3447</v>
      </c>
      <c r="D2547" s="0" t="s">
        <v>3448</v>
      </c>
      <c r="E2547" s="0" t="s">
        <v>4969</v>
      </c>
      <c r="F2547" s="0" t="s">
        <v>64</v>
      </c>
      <c r="G2547" s="0" t="s">
        <v>4220</v>
      </c>
      <c r="H2547" s="0" t="s">
        <v>5827</v>
      </c>
      <c r="I2547" s="0" t="s">
        <v>4991</v>
      </c>
      <c r="J2547" s="20" t="s">
        <v>25</v>
      </c>
    </row>
    <row r="2548" customFormat="false" ht="15" hidden="false" customHeight="false" outlineLevel="0" collapsed="false">
      <c r="A2548" s="0" t="s">
        <v>2155</v>
      </c>
      <c r="B2548" s="0" t="s">
        <v>134</v>
      </c>
      <c r="C2548" s="0" t="s">
        <v>3450</v>
      </c>
      <c r="D2548" s="0" t="s">
        <v>3457</v>
      </c>
      <c r="E2548" s="0" t="s">
        <v>4963</v>
      </c>
      <c r="F2548" s="0" t="s">
        <v>30</v>
      </c>
      <c r="G2548" s="0" t="s">
        <v>4980</v>
      </c>
      <c r="H2548" s="0" t="s">
        <v>4265</v>
      </c>
      <c r="I2548" s="0" t="s">
        <v>4981</v>
      </c>
      <c r="J2548" s="18" t="s">
        <v>24</v>
      </c>
    </row>
    <row r="2549" customFormat="false" ht="15" hidden="false" customHeight="false" outlineLevel="0" collapsed="false">
      <c r="A2549" s="0" t="s">
        <v>2155</v>
      </c>
      <c r="B2549" s="0" t="s">
        <v>134</v>
      </c>
      <c r="C2549" s="0" t="s">
        <v>3450</v>
      </c>
      <c r="D2549" s="0" t="s">
        <v>3448</v>
      </c>
      <c r="E2549" s="0" t="s">
        <v>4963</v>
      </c>
      <c r="F2549" s="0" t="s">
        <v>30</v>
      </c>
      <c r="G2549" s="0" t="s">
        <v>4980</v>
      </c>
      <c r="H2549" s="0" t="s">
        <v>4378</v>
      </c>
      <c r="I2549" s="0" t="s">
        <v>4981</v>
      </c>
      <c r="J2549" s="18" t="s">
        <v>24</v>
      </c>
    </row>
    <row r="2550" customFormat="false" ht="15" hidden="false" customHeight="false" outlineLevel="0" collapsed="false">
      <c r="A2550" s="0" t="s">
        <v>2155</v>
      </c>
      <c r="B2550" s="0" t="s">
        <v>134</v>
      </c>
      <c r="C2550" s="0" t="s">
        <v>3447</v>
      </c>
      <c r="D2550" s="0" t="s">
        <v>3457</v>
      </c>
      <c r="E2550" s="0" t="s">
        <v>4963</v>
      </c>
      <c r="F2550" s="0" t="s">
        <v>30</v>
      </c>
      <c r="G2550" s="0" t="s">
        <v>4980</v>
      </c>
      <c r="H2550" s="0" t="s">
        <v>4718</v>
      </c>
      <c r="I2550" s="0" t="s">
        <v>4981</v>
      </c>
      <c r="J2550" s="18" t="s">
        <v>24</v>
      </c>
    </row>
    <row r="2551" customFormat="false" ht="15" hidden="false" customHeight="false" outlineLevel="0" collapsed="false">
      <c r="A2551" s="0" t="s">
        <v>2155</v>
      </c>
      <c r="B2551" s="0" t="s">
        <v>134</v>
      </c>
      <c r="C2551" s="0" t="s">
        <v>3447</v>
      </c>
      <c r="D2551" s="0" t="s">
        <v>3448</v>
      </c>
      <c r="E2551" s="0" t="s">
        <v>4963</v>
      </c>
      <c r="F2551" s="0" t="s">
        <v>30</v>
      </c>
      <c r="G2551" s="0" t="s">
        <v>4980</v>
      </c>
      <c r="H2551" s="0" t="s">
        <v>4275</v>
      </c>
      <c r="I2551" s="0" t="s">
        <v>4981</v>
      </c>
      <c r="J2551" s="18" t="s">
        <v>24</v>
      </c>
    </row>
    <row r="2552" customFormat="false" ht="15" hidden="false" customHeight="false" outlineLevel="0" collapsed="false">
      <c r="A2552" s="0" t="s">
        <v>2155</v>
      </c>
      <c r="B2552" s="0" t="s">
        <v>3459</v>
      </c>
      <c r="C2552" s="0" t="s">
        <v>3450</v>
      </c>
      <c r="D2552" s="0" t="s">
        <v>3457</v>
      </c>
      <c r="E2552" s="0" t="s">
        <v>4963</v>
      </c>
      <c r="F2552" s="0" t="s">
        <v>30</v>
      </c>
      <c r="G2552" s="0" t="s">
        <v>4980</v>
      </c>
      <c r="H2552" s="0" t="s">
        <v>4378</v>
      </c>
      <c r="I2552" s="0" t="s">
        <v>4981</v>
      </c>
      <c r="J2552" s="18" t="s">
        <v>24</v>
      </c>
    </row>
    <row r="2553" customFormat="false" ht="15" hidden="false" customHeight="false" outlineLevel="0" collapsed="false">
      <c r="A2553" s="0" t="s">
        <v>2155</v>
      </c>
      <c r="B2553" s="0" t="s">
        <v>3459</v>
      </c>
      <c r="C2553" s="0" t="s">
        <v>3450</v>
      </c>
      <c r="D2553" s="0" t="s">
        <v>3448</v>
      </c>
      <c r="E2553" s="0" t="s">
        <v>4963</v>
      </c>
      <c r="F2553" s="0" t="s">
        <v>30</v>
      </c>
      <c r="G2553" s="0" t="s">
        <v>4980</v>
      </c>
      <c r="H2553" s="0" t="s">
        <v>4378</v>
      </c>
      <c r="I2553" s="0" t="s">
        <v>4981</v>
      </c>
      <c r="J2553" s="18" t="s">
        <v>24</v>
      </c>
    </row>
    <row r="2554" customFormat="false" ht="15" hidden="false" customHeight="false" outlineLevel="0" collapsed="false">
      <c r="A2554" s="0" t="s">
        <v>2169</v>
      </c>
      <c r="B2554" s="0" t="s">
        <v>134</v>
      </c>
      <c r="C2554" s="0" t="s">
        <v>3450</v>
      </c>
      <c r="D2554" s="0" t="s">
        <v>3457</v>
      </c>
      <c r="E2554" s="0" t="s">
        <v>4963</v>
      </c>
      <c r="F2554" s="0" t="s">
        <v>30</v>
      </c>
      <c r="G2554" s="0" t="s">
        <v>4980</v>
      </c>
      <c r="H2554" s="0" t="s">
        <v>4719</v>
      </c>
      <c r="I2554" s="0" t="s">
        <v>4981</v>
      </c>
      <c r="J2554" s="18" t="s">
        <v>24</v>
      </c>
    </row>
    <row r="2555" customFormat="false" ht="15" hidden="false" customHeight="false" outlineLevel="0" collapsed="false">
      <c r="A2555" s="0" t="s">
        <v>2169</v>
      </c>
      <c r="B2555" s="0" t="s">
        <v>134</v>
      </c>
      <c r="C2555" s="0" t="s">
        <v>3450</v>
      </c>
      <c r="D2555" s="0" t="s">
        <v>3448</v>
      </c>
      <c r="E2555" s="0" t="s">
        <v>4963</v>
      </c>
      <c r="F2555" s="0" t="s">
        <v>30</v>
      </c>
      <c r="G2555" s="0" t="s">
        <v>4980</v>
      </c>
      <c r="H2555" s="0" t="s">
        <v>4719</v>
      </c>
      <c r="I2555" s="0" t="s">
        <v>4981</v>
      </c>
      <c r="J2555" s="18" t="s">
        <v>24</v>
      </c>
    </row>
    <row r="2556" customFormat="false" ht="15" hidden="false" customHeight="false" outlineLevel="0" collapsed="false">
      <c r="A2556" s="0" t="s">
        <v>2169</v>
      </c>
      <c r="B2556" s="0" t="s">
        <v>134</v>
      </c>
      <c r="C2556" s="0" t="s">
        <v>3447</v>
      </c>
      <c r="D2556" s="0" t="s">
        <v>3448</v>
      </c>
      <c r="E2556" s="0" t="s">
        <v>4963</v>
      </c>
      <c r="F2556" s="0" t="s">
        <v>30</v>
      </c>
      <c r="G2556" s="0" t="s">
        <v>4980</v>
      </c>
      <c r="H2556" s="0" t="s">
        <v>4720</v>
      </c>
      <c r="I2556" s="0" t="s">
        <v>4981</v>
      </c>
      <c r="J2556" s="18" t="s">
        <v>24</v>
      </c>
    </row>
    <row r="2557" customFormat="false" ht="15" hidden="false" customHeight="false" outlineLevel="0" collapsed="false">
      <c r="A2557" s="0" t="s">
        <v>2180</v>
      </c>
      <c r="B2557" s="0" t="s">
        <v>134</v>
      </c>
      <c r="C2557" s="0" t="s">
        <v>3450</v>
      </c>
      <c r="D2557" s="0" t="s">
        <v>3457</v>
      </c>
      <c r="E2557" s="0" t="s">
        <v>4963</v>
      </c>
      <c r="F2557" s="0" t="s">
        <v>59</v>
      </c>
      <c r="G2557" s="0" t="s">
        <v>4974</v>
      </c>
      <c r="H2557" s="0" t="s">
        <v>70</v>
      </c>
      <c r="I2557" s="0" t="s">
        <v>4975</v>
      </c>
      <c r="J2557" s="20" t="s">
        <v>25</v>
      </c>
    </row>
    <row r="2558" customFormat="false" ht="15" hidden="false" customHeight="false" outlineLevel="0" collapsed="false">
      <c r="A2558" s="0" t="s">
        <v>2180</v>
      </c>
      <c r="B2558" s="0" t="s">
        <v>134</v>
      </c>
      <c r="C2558" s="0" t="s">
        <v>3450</v>
      </c>
      <c r="D2558" s="0" t="s">
        <v>3448</v>
      </c>
      <c r="E2558" s="0" t="s">
        <v>4963</v>
      </c>
      <c r="F2558" s="0" t="s">
        <v>59</v>
      </c>
      <c r="G2558" s="0" t="s">
        <v>4974</v>
      </c>
      <c r="H2558" s="0" t="s">
        <v>69</v>
      </c>
      <c r="I2558" s="0" t="s">
        <v>4975</v>
      </c>
      <c r="J2558" s="20" t="s">
        <v>25</v>
      </c>
    </row>
    <row r="2559" customFormat="false" ht="15" hidden="false" customHeight="false" outlineLevel="0" collapsed="false">
      <c r="A2559" s="0" t="s">
        <v>2180</v>
      </c>
      <c r="B2559" s="0" t="s">
        <v>134</v>
      </c>
      <c r="C2559" s="0" t="s">
        <v>3450</v>
      </c>
      <c r="D2559" s="0" t="s">
        <v>3448</v>
      </c>
      <c r="E2559" s="0" t="s">
        <v>4969</v>
      </c>
      <c r="F2559" s="0" t="s">
        <v>61</v>
      </c>
      <c r="G2559" s="0" t="s">
        <v>4970</v>
      </c>
      <c r="H2559" s="0" t="s">
        <v>5828</v>
      </c>
      <c r="I2559" s="0" t="s">
        <v>4972</v>
      </c>
      <c r="J2559" s="20" t="s">
        <v>25</v>
      </c>
    </row>
    <row r="2560" customFormat="false" ht="15" hidden="false" customHeight="false" outlineLevel="0" collapsed="false">
      <c r="A2560" s="0" t="s">
        <v>2180</v>
      </c>
      <c r="B2560" s="0" t="s">
        <v>134</v>
      </c>
      <c r="C2560" s="0" t="s">
        <v>3447</v>
      </c>
      <c r="D2560" s="0" t="s">
        <v>3448</v>
      </c>
      <c r="E2560" s="0" t="s">
        <v>4963</v>
      </c>
      <c r="F2560" s="0" t="s">
        <v>59</v>
      </c>
      <c r="G2560" s="0" t="s">
        <v>4974</v>
      </c>
      <c r="H2560" s="0" t="s">
        <v>69</v>
      </c>
      <c r="I2560" s="0" t="s">
        <v>4975</v>
      </c>
      <c r="J2560" s="20" t="s">
        <v>25</v>
      </c>
    </row>
    <row r="2561" customFormat="false" ht="15" hidden="false" customHeight="false" outlineLevel="0" collapsed="false">
      <c r="A2561" s="0" t="s">
        <v>2180</v>
      </c>
      <c r="B2561" s="0" t="s">
        <v>134</v>
      </c>
      <c r="C2561" s="0" t="s">
        <v>3450</v>
      </c>
      <c r="D2561" s="0" t="s">
        <v>3457</v>
      </c>
      <c r="E2561" s="0" t="s">
        <v>4963</v>
      </c>
      <c r="F2561" s="0" t="s">
        <v>30</v>
      </c>
      <c r="G2561" s="0" t="s">
        <v>4980</v>
      </c>
      <c r="H2561" s="0" t="s">
        <v>4378</v>
      </c>
      <c r="I2561" s="0" t="s">
        <v>4981</v>
      </c>
      <c r="J2561" s="18" t="s">
        <v>24</v>
      </c>
    </row>
    <row r="2562" customFormat="false" ht="15" hidden="false" customHeight="false" outlineLevel="0" collapsed="false">
      <c r="A2562" s="0" t="s">
        <v>2180</v>
      </c>
      <c r="B2562" s="0" t="s">
        <v>134</v>
      </c>
      <c r="C2562" s="0" t="s">
        <v>3450</v>
      </c>
      <c r="D2562" s="0" t="s">
        <v>3448</v>
      </c>
      <c r="E2562" s="0" t="s">
        <v>4963</v>
      </c>
      <c r="F2562" s="0" t="s">
        <v>30</v>
      </c>
      <c r="G2562" s="0" t="s">
        <v>4980</v>
      </c>
      <c r="H2562" s="0" t="s">
        <v>4275</v>
      </c>
      <c r="I2562" s="0" t="s">
        <v>4981</v>
      </c>
      <c r="J2562" s="18" t="s">
        <v>24</v>
      </c>
    </row>
    <row r="2563" customFormat="false" ht="15" hidden="false" customHeight="false" outlineLevel="0" collapsed="false">
      <c r="A2563" s="0" t="s">
        <v>2180</v>
      </c>
      <c r="B2563" s="0" t="s">
        <v>134</v>
      </c>
      <c r="C2563" s="0" t="s">
        <v>3447</v>
      </c>
      <c r="D2563" s="0" t="s">
        <v>3448</v>
      </c>
      <c r="E2563" s="0" t="s">
        <v>4963</v>
      </c>
      <c r="F2563" s="0" t="s">
        <v>30</v>
      </c>
      <c r="G2563" s="0" t="s">
        <v>4980</v>
      </c>
      <c r="H2563" s="0" t="s">
        <v>4275</v>
      </c>
      <c r="I2563" s="0" t="s">
        <v>4981</v>
      </c>
      <c r="J2563" s="18" t="s">
        <v>24</v>
      </c>
    </row>
    <row r="2564" customFormat="false" ht="15" hidden="false" customHeight="false" outlineLevel="0" collapsed="false">
      <c r="A2564" s="0" t="s">
        <v>2186</v>
      </c>
      <c r="B2564" s="0" t="s">
        <v>3459</v>
      </c>
      <c r="C2564" s="0" t="s">
        <v>3447</v>
      </c>
      <c r="D2564" s="0" t="s">
        <v>3448</v>
      </c>
      <c r="E2564" s="0" t="s">
        <v>4963</v>
      </c>
      <c r="F2564" s="0" t="s">
        <v>60</v>
      </c>
      <c r="G2564" s="0" t="s">
        <v>4964</v>
      </c>
      <c r="H2564" s="0" t="s">
        <v>5829</v>
      </c>
      <c r="I2564" s="0" t="s">
        <v>4966</v>
      </c>
      <c r="J2564" s="19" t="s">
        <v>26</v>
      </c>
    </row>
    <row r="2565" customFormat="false" ht="15" hidden="false" customHeight="false" outlineLevel="0" collapsed="false">
      <c r="A2565" s="0" t="s">
        <v>2186</v>
      </c>
      <c r="B2565" s="0" t="s">
        <v>134</v>
      </c>
      <c r="C2565" s="0" t="s">
        <v>3450</v>
      </c>
      <c r="D2565" s="0" t="s">
        <v>3457</v>
      </c>
      <c r="E2565" s="0" t="s">
        <v>4963</v>
      </c>
      <c r="F2565" s="0" t="s">
        <v>59</v>
      </c>
      <c r="G2565" s="0" t="s">
        <v>4974</v>
      </c>
      <c r="H2565" s="0" t="s">
        <v>69</v>
      </c>
      <c r="I2565" s="0" t="s">
        <v>4975</v>
      </c>
      <c r="J2565" s="20" t="s">
        <v>25</v>
      </c>
    </row>
    <row r="2566" customFormat="false" ht="15" hidden="false" customHeight="false" outlineLevel="0" collapsed="false">
      <c r="A2566" s="0" t="s">
        <v>2186</v>
      </c>
      <c r="B2566" s="0" t="s">
        <v>134</v>
      </c>
      <c r="C2566" s="0" t="s">
        <v>3450</v>
      </c>
      <c r="D2566" s="0" t="s">
        <v>3457</v>
      </c>
      <c r="E2566" s="0" t="s">
        <v>4969</v>
      </c>
      <c r="F2566" s="0" t="s">
        <v>61</v>
      </c>
      <c r="G2566" s="0" t="s">
        <v>4970</v>
      </c>
      <c r="H2566" s="0" t="s">
        <v>5830</v>
      </c>
      <c r="I2566" s="0" t="s">
        <v>4972</v>
      </c>
      <c r="J2566" s="20" t="s">
        <v>25</v>
      </c>
    </row>
    <row r="2567" customFormat="false" ht="15" hidden="false" customHeight="false" outlineLevel="0" collapsed="false">
      <c r="A2567" s="0" t="s">
        <v>2186</v>
      </c>
      <c r="B2567" s="0" t="s">
        <v>134</v>
      </c>
      <c r="C2567" s="0" t="s">
        <v>3447</v>
      </c>
      <c r="D2567" s="0" t="s">
        <v>3448</v>
      </c>
      <c r="E2567" s="0" t="s">
        <v>4963</v>
      </c>
      <c r="F2567" s="0" t="s">
        <v>59</v>
      </c>
      <c r="G2567" s="0" t="s">
        <v>4974</v>
      </c>
      <c r="H2567" s="0" t="s">
        <v>69</v>
      </c>
      <c r="I2567" s="0" t="s">
        <v>4975</v>
      </c>
      <c r="J2567" s="20" t="s">
        <v>25</v>
      </c>
    </row>
    <row r="2568" customFormat="false" ht="15" hidden="false" customHeight="false" outlineLevel="0" collapsed="false">
      <c r="A2568" s="0" t="s">
        <v>2186</v>
      </c>
      <c r="B2568" s="0" t="s">
        <v>3459</v>
      </c>
      <c r="C2568" s="0" t="s">
        <v>3450</v>
      </c>
      <c r="D2568" s="0" t="s">
        <v>3457</v>
      </c>
      <c r="E2568" s="0" t="s">
        <v>4963</v>
      </c>
      <c r="F2568" s="0" t="s">
        <v>59</v>
      </c>
      <c r="G2568" s="0" t="s">
        <v>4974</v>
      </c>
      <c r="H2568" s="0" t="s">
        <v>69</v>
      </c>
      <c r="I2568" s="0" t="s">
        <v>4975</v>
      </c>
      <c r="J2568" s="20" t="s">
        <v>25</v>
      </c>
    </row>
    <row r="2569" customFormat="false" ht="15" hidden="false" customHeight="false" outlineLevel="0" collapsed="false">
      <c r="A2569" s="0" t="s">
        <v>2186</v>
      </c>
      <c r="B2569" s="0" t="s">
        <v>3459</v>
      </c>
      <c r="C2569" s="0" t="s">
        <v>3450</v>
      </c>
      <c r="D2569" s="0" t="s">
        <v>3457</v>
      </c>
      <c r="E2569" s="0" t="s">
        <v>4969</v>
      </c>
      <c r="F2569" s="0" t="s">
        <v>61</v>
      </c>
      <c r="G2569" s="0" t="s">
        <v>4970</v>
      </c>
      <c r="H2569" s="0" t="s">
        <v>5831</v>
      </c>
      <c r="I2569" s="0" t="s">
        <v>4972</v>
      </c>
      <c r="J2569" s="20" t="s">
        <v>25</v>
      </c>
    </row>
    <row r="2570" customFormat="false" ht="15" hidden="false" customHeight="false" outlineLevel="0" collapsed="false">
      <c r="A2570" s="0" t="s">
        <v>2186</v>
      </c>
      <c r="B2570" s="0" t="s">
        <v>3459</v>
      </c>
      <c r="C2570" s="0" t="s">
        <v>3450</v>
      </c>
      <c r="D2570" s="0" t="s">
        <v>3448</v>
      </c>
      <c r="E2570" s="0" t="s">
        <v>4963</v>
      </c>
      <c r="F2570" s="0" t="s">
        <v>59</v>
      </c>
      <c r="G2570" s="0" t="s">
        <v>4974</v>
      </c>
      <c r="H2570" s="0" t="s">
        <v>69</v>
      </c>
      <c r="I2570" s="0" t="s">
        <v>4975</v>
      </c>
      <c r="J2570" s="20" t="s">
        <v>25</v>
      </c>
    </row>
    <row r="2571" customFormat="false" ht="15" hidden="false" customHeight="false" outlineLevel="0" collapsed="false">
      <c r="A2571" s="0" t="s">
        <v>2186</v>
      </c>
      <c r="B2571" s="0" t="s">
        <v>3459</v>
      </c>
      <c r="C2571" s="0" t="s">
        <v>3450</v>
      </c>
      <c r="D2571" s="0" t="s">
        <v>3448</v>
      </c>
      <c r="E2571" s="0" t="s">
        <v>4969</v>
      </c>
      <c r="F2571" s="0" t="s">
        <v>63</v>
      </c>
      <c r="G2571" s="0" t="s">
        <v>4220</v>
      </c>
      <c r="H2571" s="0" t="s">
        <v>5832</v>
      </c>
      <c r="I2571" s="0" t="s">
        <v>4979</v>
      </c>
      <c r="J2571" s="20" t="s">
        <v>25</v>
      </c>
    </row>
    <row r="2572" customFormat="false" ht="15" hidden="false" customHeight="false" outlineLevel="0" collapsed="false">
      <c r="A2572" s="0" t="s">
        <v>2186</v>
      </c>
      <c r="B2572" s="0" t="s">
        <v>3459</v>
      </c>
      <c r="C2572" s="0" t="s">
        <v>3447</v>
      </c>
      <c r="D2572" s="0" t="s">
        <v>3448</v>
      </c>
      <c r="E2572" s="0" t="s">
        <v>4969</v>
      </c>
      <c r="F2572" s="0" t="s">
        <v>63</v>
      </c>
      <c r="G2572" s="0" t="s">
        <v>4220</v>
      </c>
      <c r="H2572" s="0" t="s">
        <v>5832</v>
      </c>
      <c r="I2572" s="0" t="s">
        <v>4979</v>
      </c>
      <c r="J2572" s="20" t="s">
        <v>25</v>
      </c>
    </row>
    <row r="2573" customFormat="false" ht="15" hidden="false" customHeight="false" outlineLevel="0" collapsed="false">
      <c r="A2573" s="0" t="s">
        <v>2186</v>
      </c>
      <c r="B2573" s="0" t="s">
        <v>134</v>
      </c>
      <c r="C2573" s="0" t="s">
        <v>3450</v>
      </c>
      <c r="D2573" s="0" t="s">
        <v>3457</v>
      </c>
      <c r="E2573" s="0" t="s">
        <v>4963</v>
      </c>
      <c r="F2573" s="0" t="s">
        <v>30</v>
      </c>
      <c r="G2573" s="0" t="s">
        <v>4980</v>
      </c>
      <c r="H2573" s="0" t="s">
        <v>4275</v>
      </c>
      <c r="I2573" s="0" t="s">
        <v>4981</v>
      </c>
      <c r="J2573" s="18" t="s">
        <v>24</v>
      </c>
    </row>
    <row r="2574" customFormat="false" ht="15" hidden="false" customHeight="false" outlineLevel="0" collapsed="false">
      <c r="A2574" s="0" t="s">
        <v>2186</v>
      </c>
      <c r="B2574" s="0" t="s">
        <v>134</v>
      </c>
      <c r="C2574" s="0" t="s">
        <v>3447</v>
      </c>
      <c r="D2574" s="0" t="s">
        <v>3457</v>
      </c>
      <c r="E2574" s="0" t="s">
        <v>4963</v>
      </c>
      <c r="F2574" s="0" t="s">
        <v>30</v>
      </c>
      <c r="G2574" s="0" t="s">
        <v>4980</v>
      </c>
      <c r="H2574" s="0" t="s">
        <v>4721</v>
      </c>
      <c r="I2574" s="0" t="s">
        <v>4981</v>
      </c>
      <c r="J2574" s="18" t="s">
        <v>24</v>
      </c>
    </row>
    <row r="2575" customFormat="false" ht="15" hidden="false" customHeight="false" outlineLevel="0" collapsed="false">
      <c r="A2575" s="0" t="s">
        <v>2186</v>
      </c>
      <c r="B2575" s="0" t="s">
        <v>134</v>
      </c>
      <c r="C2575" s="0" t="s">
        <v>3447</v>
      </c>
      <c r="D2575" s="0" t="s">
        <v>3448</v>
      </c>
      <c r="E2575" s="0" t="s">
        <v>4963</v>
      </c>
      <c r="F2575" s="0" t="s">
        <v>30</v>
      </c>
      <c r="G2575" s="0" t="s">
        <v>4980</v>
      </c>
      <c r="H2575" s="0" t="s">
        <v>4532</v>
      </c>
      <c r="I2575" s="0" t="s">
        <v>4981</v>
      </c>
      <c r="J2575" s="18" t="s">
        <v>24</v>
      </c>
    </row>
    <row r="2576" customFormat="false" ht="15" hidden="false" customHeight="false" outlineLevel="0" collapsed="false">
      <c r="A2576" s="0" t="s">
        <v>2186</v>
      </c>
      <c r="B2576" s="0" t="s">
        <v>3459</v>
      </c>
      <c r="C2576" s="0" t="s">
        <v>3450</v>
      </c>
      <c r="D2576" s="0" t="s">
        <v>3457</v>
      </c>
      <c r="E2576" s="0" t="s">
        <v>4963</v>
      </c>
      <c r="F2576" s="0" t="s">
        <v>30</v>
      </c>
      <c r="G2576" s="0" t="s">
        <v>4980</v>
      </c>
      <c r="H2576" s="0" t="s">
        <v>4565</v>
      </c>
      <c r="I2576" s="0" t="s">
        <v>4981</v>
      </c>
      <c r="J2576" s="18" t="s">
        <v>24</v>
      </c>
    </row>
    <row r="2577" customFormat="false" ht="15" hidden="false" customHeight="false" outlineLevel="0" collapsed="false">
      <c r="A2577" s="0" t="s">
        <v>2186</v>
      </c>
      <c r="B2577" s="0" t="s">
        <v>3459</v>
      </c>
      <c r="C2577" s="0" t="s">
        <v>3450</v>
      </c>
      <c r="D2577" s="0" t="s">
        <v>3448</v>
      </c>
      <c r="E2577" s="0" t="s">
        <v>4963</v>
      </c>
      <c r="F2577" s="0" t="s">
        <v>30</v>
      </c>
      <c r="G2577" s="0" t="s">
        <v>4980</v>
      </c>
      <c r="H2577" s="0" t="s">
        <v>4275</v>
      </c>
      <c r="I2577" s="0" t="s">
        <v>4981</v>
      </c>
      <c r="J2577" s="18" t="s">
        <v>24</v>
      </c>
    </row>
    <row r="2578" customFormat="false" ht="15" hidden="false" customHeight="false" outlineLevel="0" collapsed="false">
      <c r="A2578" s="0" t="s">
        <v>2192</v>
      </c>
      <c r="B2578" s="0" t="s">
        <v>134</v>
      </c>
      <c r="C2578" s="0" t="s">
        <v>3450</v>
      </c>
      <c r="D2578" s="0" t="s">
        <v>3457</v>
      </c>
      <c r="E2578" s="0" t="s">
        <v>4963</v>
      </c>
      <c r="F2578" s="0" t="s">
        <v>59</v>
      </c>
      <c r="G2578" s="0" t="s">
        <v>4974</v>
      </c>
      <c r="H2578" s="0" t="s">
        <v>69</v>
      </c>
      <c r="I2578" s="0" t="s">
        <v>4975</v>
      </c>
      <c r="J2578" s="20" t="s">
        <v>25</v>
      </c>
    </row>
    <row r="2579" customFormat="false" ht="15" hidden="false" customHeight="false" outlineLevel="0" collapsed="false">
      <c r="A2579" s="0" t="s">
        <v>2192</v>
      </c>
      <c r="B2579" s="0" t="s">
        <v>134</v>
      </c>
      <c r="C2579" s="0" t="s">
        <v>3450</v>
      </c>
      <c r="D2579" s="0" t="s">
        <v>3448</v>
      </c>
      <c r="E2579" s="0" t="s">
        <v>4963</v>
      </c>
      <c r="F2579" s="0" t="s">
        <v>59</v>
      </c>
      <c r="G2579" s="0" t="s">
        <v>4974</v>
      </c>
      <c r="H2579" s="0" t="s">
        <v>69</v>
      </c>
      <c r="I2579" s="0" t="s">
        <v>4975</v>
      </c>
      <c r="J2579" s="20" t="s">
        <v>25</v>
      </c>
    </row>
    <row r="2580" customFormat="false" ht="15" hidden="false" customHeight="false" outlineLevel="0" collapsed="false">
      <c r="A2580" s="0" t="s">
        <v>2192</v>
      </c>
      <c r="B2580" s="0" t="s">
        <v>134</v>
      </c>
      <c r="C2580" s="0" t="s">
        <v>3450</v>
      </c>
      <c r="D2580" s="0" t="s">
        <v>3448</v>
      </c>
      <c r="E2580" s="0" t="s">
        <v>4969</v>
      </c>
      <c r="F2580" s="0" t="s">
        <v>64</v>
      </c>
      <c r="G2580" s="0" t="s">
        <v>4220</v>
      </c>
      <c r="H2580" s="0" t="s">
        <v>5833</v>
      </c>
      <c r="I2580" s="0" t="s">
        <v>4991</v>
      </c>
      <c r="J2580" s="20" t="s">
        <v>25</v>
      </c>
    </row>
    <row r="2581" customFormat="false" ht="15" hidden="false" customHeight="false" outlineLevel="0" collapsed="false">
      <c r="A2581" s="0" t="s">
        <v>2192</v>
      </c>
      <c r="B2581" s="0" t="s">
        <v>134</v>
      </c>
      <c r="C2581" s="0" t="s">
        <v>3447</v>
      </c>
      <c r="D2581" s="0" t="s">
        <v>3448</v>
      </c>
      <c r="E2581" s="0" t="s">
        <v>4969</v>
      </c>
      <c r="F2581" s="0" t="s">
        <v>64</v>
      </c>
      <c r="G2581" s="0" t="s">
        <v>4220</v>
      </c>
      <c r="H2581" s="0" t="s">
        <v>5833</v>
      </c>
      <c r="I2581" s="0" t="s">
        <v>4991</v>
      </c>
      <c r="J2581" s="20" t="s">
        <v>25</v>
      </c>
    </row>
    <row r="2582" customFormat="false" ht="15" hidden="false" customHeight="false" outlineLevel="0" collapsed="false">
      <c r="A2582" s="0" t="s">
        <v>2192</v>
      </c>
      <c r="B2582" s="0" t="s">
        <v>134</v>
      </c>
      <c r="C2582" s="0" t="s">
        <v>3450</v>
      </c>
      <c r="D2582" s="0" t="s">
        <v>3457</v>
      </c>
      <c r="E2582" s="0" t="s">
        <v>4963</v>
      </c>
      <c r="F2582" s="0" t="s">
        <v>30</v>
      </c>
      <c r="G2582" s="0" t="s">
        <v>4980</v>
      </c>
      <c r="H2582" s="0" t="s">
        <v>4265</v>
      </c>
      <c r="I2582" s="0" t="s">
        <v>4981</v>
      </c>
      <c r="J2582" s="18" t="s">
        <v>24</v>
      </c>
    </row>
    <row r="2583" customFormat="false" ht="15" hidden="false" customHeight="false" outlineLevel="0" collapsed="false">
      <c r="A2583" s="0" t="s">
        <v>2192</v>
      </c>
      <c r="B2583" s="0" t="s">
        <v>134</v>
      </c>
      <c r="C2583" s="0" t="s">
        <v>3450</v>
      </c>
      <c r="D2583" s="0" t="s">
        <v>3448</v>
      </c>
      <c r="E2583" s="0" t="s">
        <v>4963</v>
      </c>
      <c r="F2583" s="0" t="s">
        <v>30</v>
      </c>
      <c r="G2583" s="0" t="s">
        <v>4980</v>
      </c>
      <c r="H2583" s="0" t="s">
        <v>4242</v>
      </c>
      <c r="I2583" s="0" t="s">
        <v>4981</v>
      </c>
      <c r="J2583" s="18" t="s">
        <v>24</v>
      </c>
    </row>
    <row r="2584" customFormat="false" ht="15" hidden="false" customHeight="false" outlineLevel="0" collapsed="false">
      <c r="A2584" s="0" t="s">
        <v>2192</v>
      </c>
      <c r="B2584" s="0" t="s">
        <v>134</v>
      </c>
      <c r="C2584" s="0" t="s">
        <v>3447</v>
      </c>
      <c r="D2584" s="0" t="s">
        <v>3457</v>
      </c>
      <c r="E2584" s="0" t="s">
        <v>4963</v>
      </c>
      <c r="F2584" s="0" t="s">
        <v>30</v>
      </c>
      <c r="G2584" s="0" t="s">
        <v>4980</v>
      </c>
      <c r="H2584" s="0" t="s">
        <v>4723</v>
      </c>
      <c r="I2584" s="0" t="s">
        <v>4981</v>
      </c>
      <c r="J2584" s="18" t="s">
        <v>24</v>
      </c>
    </row>
    <row r="2585" customFormat="false" ht="15" hidden="false" customHeight="false" outlineLevel="0" collapsed="false">
      <c r="A2585" s="0" t="s">
        <v>2192</v>
      </c>
      <c r="B2585" s="0" t="s">
        <v>134</v>
      </c>
      <c r="C2585" s="0" t="s">
        <v>3447</v>
      </c>
      <c r="D2585" s="0" t="s">
        <v>3448</v>
      </c>
      <c r="E2585" s="0" t="s">
        <v>4963</v>
      </c>
      <c r="F2585" s="0" t="s">
        <v>30</v>
      </c>
      <c r="G2585" s="0" t="s">
        <v>4980</v>
      </c>
      <c r="H2585" s="0" t="s">
        <v>4724</v>
      </c>
      <c r="I2585" s="0" t="s">
        <v>4981</v>
      </c>
      <c r="J2585" s="18" t="s">
        <v>24</v>
      </c>
    </row>
    <row r="2586" customFormat="false" ht="15" hidden="false" customHeight="false" outlineLevel="0" collapsed="false">
      <c r="A2586" s="0" t="s">
        <v>2198</v>
      </c>
      <c r="B2586" s="0" t="s">
        <v>134</v>
      </c>
      <c r="C2586" s="0" t="s">
        <v>3450</v>
      </c>
      <c r="D2586" s="0" t="s">
        <v>3457</v>
      </c>
      <c r="E2586" s="0" t="s">
        <v>4969</v>
      </c>
      <c r="F2586" s="0" t="s">
        <v>64</v>
      </c>
      <c r="G2586" s="0" t="s">
        <v>4220</v>
      </c>
      <c r="H2586" s="0" t="s">
        <v>5834</v>
      </c>
      <c r="I2586" s="0" t="s">
        <v>4991</v>
      </c>
      <c r="J2586" s="20" t="s">
        <v>25</v>
      </c>
    </row>
    <row r="2587" customFormat="false" ht="15" hidden="false" customHeight="false" outlineLevel="0" collapsed="false">
      <c r="A2587" s="0" t="s">
        <v>2198</v>
      </c>
      <c r="B2587" s="0" t="s">
        <v>134</v>
      </c>
      <c r="C2587" s="0" t="s">
        <v>3450</v>
      </c>
      <c r="D2587" s="0" t="s">
        <v>3448</v>
      </c>
      <c r="E2587" s="0" t="s">
        <v>4963</v>
      </c>
      <c r="F2587" s="0" t="s">
        <v>59</v>
      </c>
      <c r="G2587" s="0" t="s">
        <v>4974</v>
      </c>
      <c r="H2587" s="0" t="s">
        <v>69</v>
      </c>
      <c r="I2587" s="0" t="s">
        <v>4975</v>
      </c>
      <c r="J2587" s="20" t="s">
        <v>25</v>
      </c>
    </row>
    <row r="2588" customFormat="false" ht="15" hidden="false" customHeight="false" outlineLevel="0" collapsed="false">
      <c r="A2588" s="0" t="s">
        <v>2198</v>
      </c>
      <c r="B2588" s="0" t="s">
        <v>134</v>
      </c>
      <c r="C2588" s="0" t="s">
        <v>3447</v>
      </c>
      <c r="D2588" s="0" t="s">
        <v>3457</v>
      </c>
      <c r="E2588" s="0" t="s">
        <v>4969</v>
      </c>
      <c r="F2588" s="0" t="s">
        <v>64</v>
      </c>
      <c r="G2588" s="0" t="s">
        <v>4220</v>
      </c>
      <c r="H2588" s="0" t="s">
        <v>5834</v>
      </c>
      <c r="I2588" s="0" t="s">
        <v>4991</v>
      </c>
      <c r="J2588" s="20" t="s">
        <v>25</v>
      </c>
    </row>
    <row r="2589" customFormat="false" ht="15" hidden="false" customHeight="false" outlineLevel="0" collapsed="false">
      <c r="A2589" s="0" t="s">
        <v>2198</v>
      </c>
      <c r="B2589" s="0" t="s">
        <v>134</v>
      </c>
      <c r="C2589" s="0" t="s">
        <v>3450</v>
      </c>
      <c r="D2589" s="0" t="s">
        <v>3448</v>
      </c>
      <c r="E2589" s="0" t="s">
        <v>4963</v>
      </c>
      <c r="F2589" s="0" t="s">
        <v>30</v>
      </c>
      <c r="G2589" s="0" t="s">
        <v>4980</v>
      </c>
      <c r="H2589" s="0" t="s">
        <v>4275</v>
      </c>
      <c r="I2589" s="0" t="s">
        <v>4981</v>
      </c>
      <c r="J2589" s="18" t="s">
        <v>24</v>
      </c>
    </row>
    <row r="2590" customFormat="false" ht="15" hidden="false" customHeight="false" outlineLevel="0" collapsed="false">
      <c r="A2590" s="0" t="s">
        <v>2198</v>
      </c>
      <c r="B2590" s="0" t="s">
        <v>134</v>
      </c>
      <c r="C2590" s="0" t="s">
        <v>3447</v>
      </c>
      <c r="D2590" s="0" t="s">
        <v>3457</v>
      </c>
      <c r="E2590" s="0" t="s">
        <v>4963</v>
      </c>
      <c r="F2590" s="0" t="s">
        <v>30</v>
      </c>
      <c r="G2590" s="0" t="s">
        <v>4980</v>
      </c>
      <c r="H2590" s="0" t="s">
        <v>4457</v>
      </c>
      <c r="I2590" s="0" t="s">
        <v>4981</v>
      </c>
      <c r="J2590" s="18" t="s">
        <v>24</v>
      </c>
    </row>
    <row r="2591" customFormat="false" ht="15" hidden="false" customHeight="false" outlineLevel="0" collapsed="false">
      <c r="A2591" s="0" t="s">
        <v>2198</v>
      </c>
      <c r="B2591" s="0" t="s">
        <v>134</v>
      </c>
      <c r="C2591" s="0" t="s">
        <v>3447</v>
      </c>
      <c r="D2591" s="0" t="s">
        <v>3448</v>
      </c>
      <c r="E2591" s="0" t="s">
        <v>4963</v>
      </c>
      <c r="F2591" s="0" t="s">
        <v>30</v>
      </c>
      <c r="G2591" s="0" t="s">
        <v>4980</v>
      </c>
      <c r="H2591" s="0" t="s">
        <v>4367</v>
      </c>
      <c r="I2591" s="0" t="s">
        <v>4981</v>
      </c>
      <c r="J2591" s="18" t="s">
        <v>24</v>
      </c>
    </row>
    <row r="2592" customFormat="false" ht="15" hidden="false" customHeight="false" outlineLevel="0" collapsed="false">
      <c r="A2592" s="0" t="s">
        <v>2204</v>
      </c>
      <c r="B2592" s="0" t="s">
        <v>134</v>
      </c>
      <c r="C2592" s="0" t="s">
        <v>3450</v>
      </c>
      <c r="D2592" s="0" t="s">
        <v>3457</v>
      </c>
      <c r="E2592" s="0" t="s">
        <v>4963</v>
      </c>
      <c r="F2592" s="0" t="s">
        <v>60</v>
      </c>
      <c r="G2592" s="0" t="s">
        <v>4964</v>
      </c>
      <c r="H2592" s="0" t="s">
        <v>5835</v>
      </c>
      <c r="I2592" s="0" t="s">
        <v>4966</v>
      </c>
      <c r="J2592" s="19" t="s">
        <v>26</v>
      </c>
    </row>
    <row r="2593" customFormat="false" ht="15" hidden="false" customHeight="false" outlineLevel="0" collapsed="false">
      <c r="A2593" s="0" t="s">
        <v>2204</v>
      </c>
      <c r="B2593" s="0" t="s">
        <v>3459</v>
      </c>
      <c r="C2593" s="0" t="s">
        <v>3450</v>
      </c>
      <c r="D2593" s="0" t="s">
        <v>3457</v>
      </c>
      <c r="E2593" s="0" t="s">
        <v>4963</v>
      </c>
      <c r="F2593" s="0" t="s">
        <v>60</v>
      </c>
      <c r="G2593" s="0" t="s">
        <v>4964</v>
      </c>
      <c r="H2593" s="0" t="s">
        <v>5009</v>
      </c>
      <c r="I2593" s="0" t="s">
        <v>4966</v>
      </c>
      <c r="J2593" s="19" t="s">
        <v>26</v>
      </c>
    </row>
    <row r="2594" customFormat="false" ht="15" hidden="false" customHeight="false" outlineLevel="0" collapsed="false">
      <c r="A2594" s="0" t="s">
        <v>2204</v>
      </c>
      <c r="B2594" s="0" t="s">
        <v>134</v>
      </c>
      <c r="C2594" s="0" t="s">
        <v>3450</v>
      </c>
      <c r="D2594" s="0" t="s">
        <v>3457</v>
      </c>
      <c r="E2594" s="0" t="s">
        <v>4969</v>
      </c>
      <c r="F2594" s="0" t="s">
        <v>62</v>
      </c>
      <c r="G2594" s="0" t="s">
        <v>5003</v>
      </c>
      <c r="H2594" s="0" t="s">
        <v>5836</v>
      </c>
      <c r="I2594" s="0" t="s">
        <v>5005</v>
      </c>
      <c r="J2594" s="20" t="s">
        <v>25</v>
      </c>
    </row>
    <row r="2595" customFormat="false" ht="15" hidden="false" customHeight="false" outlineLevel="0" collapsed="false">
      <c r="A2595" s="0" t="s">
        <v>2204</v>
      </c>
      <c r="B2595" s="0" t="s">
        <v>134</v>
      </c>
      <c r="C2595" s="0" t="s">
        <v>3450</v>
      </c>
      <c r="D2595" s="0" t="s">
        <v>3448</v>
      </c>
      <c r="E2595" s="0" t="s">
        <v>4963</v>
      </c>
      <c r="F2595" s="0" t="s">
        <v>59</v>
      </c>
      <c r="G2595" s="0" t="s">
        <v>4974</v>
      </c>
      <c r="H2595" s="0" t="s">
        <v>69</v>
      </c>
      <c r="I2595" s="0" t="s">
        <v>4975</v>
      </c>
      <c r="J2595" s="20" t="s">
        <v>25</v>
      </c>
    </row>
    <row r="2596" customFormat="false" ht="15" hidden="false" customHeight="false" outlineLevel="0" collapsed="false">
      <c r="A2596" s="0" t="s">
        <v>2204</v>
      </c>
      <c r="B2596" s="0" t="s">
        <v>134</v>
      </c>
      <c r="C2596" s="0" t="s">
        <v>3447</v>
      </c>
      <c r="D2596" s="0" t="s">
        <v>3457</v>
      </c>
      <c r="E2596" s="0" t="s">
        <v>4969</v>
      </c>
      <c r="F2596" s="0" t="s">
        <v>61</v>
      </c>
      <c r="G2596" s="0" t="s">
        <v>4970</v>
      </c>
      <c r="H2596" s="0" t="s">
        <v>5837</v>
      </c>
      <c r="I2596" s="0" t="s">
        <v>4972</v>
      </c>
      <c r="J2596" s="20" t="s">
        <v>25</v>
      </c>
    </row>
    <row r="2597" customFormat="false" ht="15" hidden="false" customHeight="false" outlineLevel="0" collapsed="false">
      <c r="A2597" s="0" t="s">
        <v>2204</v>
      </c>
      <c r="B2597" s="0" t="s">
        <v>3459</v>
      </c>
      <c r="C2597" s="0" t="s">
        <v>3450</v>
      </c>
      <c r="D2597" s="0" t="s">
        <v>3457</v>
      </c>
      <c r="E2597" s="0" t="s">
        <v>4963</v>
      </c>
      <c r="F2597" s="0" t="s">
        <v>59</v>
      </c>
      <c r="G2597" s="0" t="s">
        <v>4974</v>
      </c>
      <c r="H2597" s="0" t="s">
        <v>69</v>
      </c>
      <c r="I2597" s="0" t="s">
        <v>4975</v>
      </c>
      <c r="J2597" s="20" t="s">
        <v>25</v>
      </c>
    </row>
    <row r="2598" customFormat="false" ht="15" hidden="false" customHeight="false" outlineLevel="0" collapsed="false">
      <c r="A2598" s="0" t="s">
        <v>2204</v>
      </c>
      <c r="B2598" s="0" t="s">
        <v>3459</v>
      </c>
      <c r="C2598" s="0" t="s">
        <v>3450</v>
      </c>
      <c r="D2598" s="0" t="s">
        <v>3457</v>
      </c>
      <c r="E2598" s="0" t="s">
        <v>4969</v>
      </c>
      <c r="F2598" s="0" t="s">
        <v>62</v>
      </c>
      <c r="G2598" s="0" t="s">
        <v>5003</v>
      </c>
      <c r="H2598" s="0" t="s">
        <v>5838</v>
      </c>
      <c r="I2598" s="0" t="s">
        <v>5005</v>
      </c>
      <c r="J2598" s="20" t="s">
        <v>25</v>
      </c>
    </row>
    <row r="2599" customFormat="false" ht="15" hidden="false" customHeight="false" outlineLevel="0" collapsed="false">
      <c r="A2599" s="0" t="s">
        <v>2204</v>
      </c>
      <c r="B2599" s="0" t="s">
        <v>3459</v>
      </c>
      <c r="C2599" s="0" t="s">
        <v>3450</v>
      </c>
      <c r="D2599" s="0" t="s">
        <v>3448</v>
      </c>
      <c r="E2599" s="0" t="s">
        <v>4963</v>
      </c>
      <c r="F2599" s="0" t="s">
        <v>59</v>
      </c>
      <c r="G2599" s="0" t="s">
        <v>4974</v>
      </c>
      <c r="H2599" s="0" t="s">
        <v>69</v>
      </c>
      <c r="I2599" s="0" t="s">
        <v>4975</v>
      </c>
      <c r="J2599" s="20" t="s">
        <v>25</v>
      </c>
    </row>
    <row r="2600" customFormat="false" ht="15" hidden="false" customHeight="false" outlineLevel="0" collapsed="false">
      <c r="A2600" s="0" t="s">
        <v>2204</v>
      </c>
      <c r="B2600" s="0" t="s">
        <v>3459</v>
      </c>
      <c r="C2600" s="0" t="s">
        <v>3450</v>
      </c>
      <c r="D2600" s="0" t="s">
        <v>3448</v>
      </c>
      <c r="E2600" s="0" t="s">
        <v>4969</v>
      </c>
      <c r="F2600" s="0" t="s">
        <v>61</v>
      </c>
      <c r="G2600" s="0" t="s">
        <v>4970</v>
      </c>
      <c r="H2600" s="0" t="s">
        <v>5839</v>
      </c>
      <c r="I2600" s="0" t="s">
        <v>4972</v>
      </c>
      <c r="J2600" s="20" t="s">
        <v>25</v>
      </c>
    </row>
    <row r="2601" customFormat="false" ht="15" hidden="false" customHeight="false" outlineLevel="0" collapsed="false">
      <c r="A2601" s="0" t="s">
        <v>2204</v>
      </c>
      <c r="B2601" s="0" t="s">
        <v>3459</v>
      </c>
      <c r="C2601" s="0" t="s">
        <v>3450</v>
      </c>
      <c r="D2601" s="0" t="s">
        <v>3448</v>
      </c>
      <c r="E2601" s="0" t="s">
        <v>4969</v>
      </c>
      <c r="F2601" s="0" t="s">
        <v>63</v>
      </c>
      <c r="G2601" s="0" t="s">
        <v>4220</v>
      </c>
      <c r="H2601" s="0" t="s">
        <v>5840</v>
      </c>
      <c r="I2601" s="0" t="s">
        <v>4979</v>
      </c>
      <c r="J2601" s="20" t="s">
        <v>25</v>
      </c>
    </row>
    <row r="2602" customFormat="false" ht="15" hidden="false" customHeight="false" outlineLevel="0" collapsed="false">
      <c r="A2602" s="0" t="s">
        <v>2204</v>
      </c>
      <c r="B2602" s="0" t="s">
        <v>3459</v>
      </c>
      <c r="C2602" s="0" t="s">
        <v>3447</v>
      </c>
      <c r="D2602" s="0" t="s">
        <v>3457</v>
      </c>
      <c r="E2602" s="0" t="s">
        <v>4969</v>
      </c>
      <c r="F2602" s="0" t="s">
        <v>61</v>
      </c>
      <c r="G2602" s="0" t="s">
        <v>4970</v>
      </c>
      <c r="H2602" s="0" t="s">
        <v>5841</v>
      </c>
      <c r="I2602" s="0" t="s">
        <v>4972</v>
      </c>
      <c r="J2602" s="20" t="s">
        <v>25</v>
      </c>
    </row>
    <row r="2603" customFormat="false" ht="15" hidden="false" customHeight="false" outlineLevel="0" collapsed="false">
      <c r="A2603" s="0" t="s">
        <v>2204</v>
      </c>
      <c r="B2603" s="0" t="s">
        <v>3459</v>
      </c>
      <c r="C2603" s="0" t="s">
        <v>3447</v>
      </c>
      <c r="D2603" s="0" t="s">
        <v>3448</v>
      </c>
      <c r="E2603" s="0" t="s">
        <v>4969</v>
      </c>
      <c r="F2603" s="0" t="s">
        <v>61</v>
      </c>
      <c r="G2603" s="0" t="s">
        <v>4970</v>
      </c>
      <c r="H2603" s="0" t="s">
        <v>5842</v>
      </c>
      <c r="I2603" s="0" t="s">
        <v>4972</v>
      </c>
      <c r="J2603" s="20" t="s">
        <v>25</v>
      </c>
    </row>
    <row r="2604" customFormat="false" ht="15" hidden="false" customHeight="false" outlineLevel="0" collapsed="false">
      <c r="A2604" s="0" t="s">
        <v>2204</v>
      </c>
      <c r="B2604" s="0" t="s">
        <v>3459</v>
      </c>
      <c r="C2604" s="0" t="s">
        <v>3447</v>
      </c>
      <c r="D2604" s="0" t="s">
        <v>3448</v>
      </c>
      <c r="E2604" s="0" t="s">
        <v>4969</v>
      </c>
      <c r="F2604" s="0" t="s">
        <v>63</v>
      </c>
      <c r="G2604" s="0" t="s">
        <v>4220</v>
      </c>
      <c r="H2604" s="0" t="s">
        <v>5840</v>
      </c>
      <c r="I2604" s="0" t="s">
        <v>4979</v>
      </c>
      <c r="J2604" s="20" t="s">
        <v>25</v>
      </c>
    </row>
    <row r="2605" customFormat="false" ht="15" hidden="false" customHeight="false" outlineLevel="0" collapsed="false">
      <c r="A2605" s="0" t="s">
        <v>2204</v>
      </c>
      <c r="B2605" s="0" t="s">
        <v>134</v>
      </c>
      <c r="C2605" s="0" t="s">
        <v>3450</v>
      </c>
      <c r="D2605" s="0" t="s">
        <v>3448</v>
      </c>
      <c r="E2605" s="0" t="s">
        <v>4963</v>
      </c>
      <c r="F2605" s="0" t="s">
        <v>30</v>
      </c>
      <c r="G2605" s="0" t="s">
        <v>4980</v>
      </c>
      <c r="H2605" s="0" t="s">
        <v>4726</v>
      </c>
      <c r="I2605" s="0" t="s">
        <v>4981</v>
      </c>
      <c r="J2605" s="18" t="s">
        <v>24</v>
      </c>
    </row>
    <row r="2606" customFormat="false" ht="15" hidden="false" customHeight="false" outlineLevel="0" collapsed="false">
      <c r="A2606" s="0" t="s">
        <v>2204</v>
      </c>
      <c r="B2606" s="0" t="s">
        <v>134</v>
      </c>
      <c r="C2606" s="0" t="s">
        <v>3447</v>
      </c>
      <c r="D2606" s="0" t="s">
        <v>3457</v>
      </c>
      <c r="E2606" s="0" t="s">
        <v>4963</v>
      </c>
      <c r="F2606" s="0" t="s">
        <v>30</v>
      </c>
      <c r="G2606" s="0" t="s">
        <v>4980</v>
      </c>
      <c r="H2606" s="0" t="s">
        <v>4461</v>
      </c>
      <c r="I2606" s="0" t="s">
        <v>4981</v>
      </c>
      <c r="J2606" s="18" t="s">
        <v>24</v>
      </c>
    </row>
    <row r="2607" customFormat="false" ht="15" hidden="false" customHeight="false" outlineLevel="0" collapsed="false">
      <c r="A2607" s="0" t="s">
        <v>2204</v>
      </c>
      <c r="B2607" s="0" t="s">
        <v>134</v>
      </c>
      <c r="C2607" s="0" t="s">
        <v>3447</v>
      </c>
      <c r="D2607" s="0" t="s">
        <v>3448</v>
      </c>
      <c r="E2607" s="0" t="s">
        <v>4963</v>
      </c>
      <c r="F2607" s="0" t="s">
        <v>30</v>
      </c>
      <c r="G2607" s="0" t="s">
        <v>4980</v>
      </c>
      <c r="H2607" s="0" t="s">
        <v>4727</v>
      </c>
      <c r="I2607" s="0" t="s">
        <v>4981</v>
      </c>
      <c r="J2607" s="18" t="s">
        <v>24</v>
      </c>
    </row>
    <row r="2608" customFormat="false" ht="15" hidden="false" customHeight="false" outlineLevel="0" collapsed="false">
      <c r="A2608" s="0" t="s">
        <v>2204</v>
      </c>
      <c r="B2608" s="0" t="s">
        <v>3459</v>
      </c>
      <c r="C2608" s="0" t="s">
        <v>3450</v>
      </c>
      <c r="D2608" s="0" t="s">
        <v>3448</v>
      </c>
      <c r="E2608" s="0" t="s">
        <v>4963</v>
      </c>
      <c r="F2608" s="0" t="s">
        <v>30</v>
      </c>
      <c r="G2608" s="0" t="s">
        <v>4980</v>
      </c>
      <c r="H2608" s="0" t="s">
        <v>4275</v>
      </c>
      <c r="I2608" s="0" t="s">
        <v>4981</v>
      </c>
      <c r="J2608" s="18" t="s">
        <v>24</v>
      </c>
    </row>
    <row r="2609" customFormat="false" ht="15" hidden="false" customHeight="false" outlineLevel="0" collapsed="false">
      <c r="A2609" s="0" t="s">
        <v>2204</v>
      </c>
      <c r="B2609" s="0" t="s">
        <v>3459</v>
      </c>
      <c r="C2609" s="0" t="s">
        <v>3447</v>
      </c>
      <c r="D2609" s="0" t="s">
        <v>3457</v>
      </c>
      <c r="E2609" s="0" t="s">
        <v>4963</v>
      </c>
      <c r="F2609" s="0" t="s">
        <v>30</v>
      </c>
      <c r="G2609" s="0" t="s">
        <v>4980</v>
      </c>
      <c r="H2609" s="0" t="s">
        <v>4426</v>
      </c>
      <c r="I2609" s="0" t="s">
        <v>4981</v>
      </c>
      <c r="J2609" s="18" t="s">
        <v>24</v>
      </c>
    </row>
    <row r="2610" customFormat="false" ht="15" hidden="false" customHeight="false" outlineLevel="0" collapsed="false">
      <c r="A2610" s="0" t="s">
        <v>2204</v>
      </c>
      <c r="B2610" s="0" t="s">
        <v>3459</v>
      </c>
      <c r="C2610" s="0" t="s">
        <v>3447</v>
      </c>
      <c r="D2610" s="0" t="s">
        <v>3448</v>
      </c>
      <c r="E2610" s="0" t="s">
        <v>4963</v>
      </c>
      <c r="F2610" s="0" t="s">
        <v>30</v>
      </c>
      <c r="G2610" s="0" t="s">
        <v>4980</v>
      </c>
      <c r="H2610" s="0" t="s">
        <v>4266</v>
      </c>
      <c r="I2610" s="0" t="s">
        <v>4981</v>
      </c>
      <c r="J2610" s="18" t="s">
        <v>24</v>
      </c>
    </row>
    <row r="2611" customFormat="false" ht="15" hidden="false" customHeight="false" outlineLevel="0" collapsed="false">
      <c r="A2611" s="0" t="s">
        <v>2210</v>
      </c>
      <c r="B2611" s="0" t="s">
        <v>134</v>
      </c>
      <c r="C2611" s="0" t="s">
        <v>3450</v>
      </c>
      <c r="D2611" s="0" t="s">
        <v>3448</v>
      </c>
      <c r="E2611" s="0" t="s">
        <v>4963</v>
      </c>
      <c r="F2611" s="0" t="s">
        <v>59</v>
      </c>
      <c r="G2611" s="0" t="s">
        <v>4974</v>
      </c>
      <c r="H2611" s="0" t="s">
        <v>70</v>
      </c>
      <c r="I2611" s="0" t="s">
        <v>4975</v>
      </c>
      <c r="J2611" s="20" t="s">
        <v>25</v>
      </c>
    </row>
    <row r="2612" customFormat="false" ht="15" hidden="false" customHeight="false" outlineLevel="0" collapsed="false">
      <c r="A2612" s="0" t="s">
        <v>2210</v>
      </c>
      <c r="B2612" s="0" t="s">
        <v>134</v>
      </c>
      <c r="C2612" s="0" t="s">
        <v>3447</v>
      </c>
      <c r="D2612" s="0" t="s">
        <v>3448</v>
      </c>
      <c r="E2612" s="0" t="s">
        <v>4963</v>
      </c>
      <c r="F2612" s="0" t="s">
        <v>59</v>
      </c>
      <c r="G2612" s="0" t="s">
        <v>4974</v>
      </c>
      <c r="H2612" s="0" t="s">
        <v>70</v>
      </c>
      <c r="I2612" s="0" t="s">
        <v>4975</v>
      </c>
      <c r="J2612" s="20" t="s">
        <v>25</v>
      </c>
    </row>
    <row r="2613" customFormat="false" ht="15" hidden="false" customHeight="false" outlineLevel="0" collapsed="false">
      <c r="A2613" s="0" t="s">
        <v>2210</v>
      </c>
      <c r="B2613" s="0" t="s">
        <v>134</v>
      </c>
      <c r="C2613" s="0" t="s">
        <v>3450</v>
      </c>
      <c r="D2613" s="0" t="s">
        <v>3457</v>
      </c>
      <c r="E2613" s="0" t="s">
        <v>4963</v>
      </c>
      <c r="F2613" s="0" t="s">
        <v>30</v>
      </c>
      <c r="G2613" s="0" t="s">
        <v>4980</v>
      </c>
      <c r="H2613" s="0" t="s">
        <v>4727</v>
      </c>
      <c r="I2613" s="0" t="s">
        <v>4981</v>
      </c>
      <c r="J2613" s="18" t="s">
        <v>24</v>
      </c>
    </row>
    <row r="2614" customFormat="false" ht="15" hidden="false" customHeight="false" outlineLevel="0" collapsed="false">
      <c r="A2614" s="0" t="s">
        <v>2210</v>
      </c>
      <c r="B2614" s="0" t="s">
        <v>134</v>
      </c>
      <c r="C2614" s="0" t="s">
        <v>3450</v>
      </c>
      <c r="D2614" s="0" t="s">
        <v>3448</v>
      </c>
      <c r="E2614" s="0" t="s">
        <v>4963</v>
      </c>
      <c r="F2614" s="0" t="s">
        <v>30</v>
      </c>
      <c r="G2614" s="0" t="s">
        <v>4980</v>
      </c>
      <c r="H2614" s="0" t="s">
        <v>4728</v>
      </c>
      <c r="I2614" s="0" t="s">
        <v>4981</v>
      </c>
      <c r="J2614" s="18" t="s">
        <v>24</v>
      </c>
    </row>
    <row r="2615" customFormat="false" ht="15" hidden="false" customHeight="false" outlineLevel="0" collapsed="false">
      <c r="A2615" s="0" t="s">
        <v>2210</v>
      </c>
      <c r="B2615" s="0" t="s">
        <v>134</v>
      </c>
      <c r="C2615" s="0" t="s">
        <v>3447</v>
      </c>
      <c r="D2615" s="0" t="s">
        <v>3448</v>
      </c>
      <c r="E2615" s="0" t="s">
        <v>4963</v>
      </c>
      <c r="F2615" s="0" t="s">
        <v>30</v>
      </c>
      <c r="G2615" s="0" t="s">
        <v>4980</v>
      </c>
      <c r="H2615" s="0" t="s">
        <v>4378</v>
      </c>
      <c r="I2615" s="0" t="s">
        <v>4981</v>
      </c>
      <c r="J2615" s="18" t="s">
        <v>24</v>
      </c>
    </row>
    <row r="2616" customFormat="false" ht="15" hidden="false" customHeight="false" outlineLevel="0" collapsed="false">
      <c r="A2616" s="0" t="s">
        <v>2216</v>
      </c>
      <c r="B2616" s="0" t="s">
        <v>134</v>
      </c>
      <c r="C2616" s="0" t="s">
        <v>3450</v>
      </c>
      <c r="D2616" s="0" t="s">
        <v>3448</v>
      </c>
      <c r="E2616" s="0" t="s">
        <v>4963</v>
      </c>
      <c r="F2616" s="0" t="s">
        <v>60</v>
      </c>
      <c r="G2616" s="0" t="s">
        <v>4964</v>
      </c>
      <c r="H2616" s="0" t="s">
        <v>5843</v>
      </c>
      <c r="I2616" s="0" t="s">
        <v>4966</v>
      </c>
      <c r="J2616" s="19" t="s">
        <v>26</v>
      </c>
    </row>
    <row r="2617" customFormat="false" ht="15" hidden="false" customHeight="false" outlineLevel="0" collapsed="false">
      <c r="A2617" s="0" t="s">
        <v>2216</v>
      </c>
      <c r="B2617" s="0" t="s">
        <v>134</v>
      </c>
      <c r="C2617" s="0" t="s">
        <v>3447</v>
      </c>
      <c r="D2617" s="0" t="s">
        <v>3448</v>
      </c>
      <c r="E2617" s="0" t="s">
        <v>4963</v>
      </c>
      <c r="F2617" s="0" t="s">
        <v>60</v>
      </c>
      <c r="G2617" s="0" t="s">
        <v>4964</v>
      </c>
      <c r="H2617" s="0" t="s">
        <v>5228</v>
      </c>
      <c r="I2617" s="0" t="s">
        <v>4966</v>
      </c>
      <c r="J2617" s="19" t="s">
        <v>26</v>
      </c>
    </row>
    <row r="2618" customFormat="false" ht="15" hidden="false" customHeight="false" outlineLevel="0" collapsed="false">
      <c r="A2618" s="0" t="s">
        <v>2216</v>
      </c>
      <c r="B2618" s="0" t="s">
        <v>134</v>
      </c>
      <c r="C2618" s="0" t="s">
        <v>3450</v>
      </c>
      <c r="D2618" s="0" t="s">
        <v>3457</v>
      </c>
      <c r="E2618" s="0" t="s">
        <v>4963</v>
      </c>
      <c r="F2618" s="0" t="s">
        <v>59</v>
      </c>
      <c r="G2618" s="0" t="s">
        <v>4974</v>
      </c>
      <c r="H2618" s="0" t="s">
        <v>69</v>
      </c>
      <c r="I2618" s="0" t="s">
        <v>4975</v>
      </c>
      <c r="J2618" s="20" t="s">
        <v>25</v>
      </c>
    </row>
    <row r="2619" customFormat="false" ht="15" hidden="false" customHeight="false" outlineLevel="0" collapsed="false">
      <c r="A2619" s="0" t="s">
        <v>2216</v>
      </c>
      <c r="B2619" s="0" t="s">
        <v>134</v>
      </c>
      <c r="C2619" s="0" t="s">
        <v>3447</v>
      </c>
      <c r="D2619" s="0" t="s">
        <v>3457</v>
      </c>
      <c r="E2619" s="0" t="s">
        <v>4963</v>
      </c>
      <c r="F2619" s="0" t="s">
        <v>59</v>
      </c>
      <c r="G2619" s="0" t="s">
        <v>4974</v>
      </c>
      <c r="H2619" s="0" t="s">
        <v>69</v>
      </c>
      <c r="I2619" s="0" t="s">
        <v>4975</v>
      </c>
      <c r="J2619" s="20" t="s">
        <v>25</v>
      </c>
    </row>
    <row r="2620" customFormat="false" ht="15" hidden="false" customHeight="false" outlineLevel="0" collapsed="false">
      <c r="A2620" s="0" t="s">
        <v>2216</v>
      </c>
      <c r="B2620" s="0" t="s">
        <v>134</v>
      </c>
      <c r="C2620" s="0" t="s">
        <v>3450</v>
      </c>
      <c r="D2620" s="0" t="s">
        <v>3457</v>
      </c>
      <c r="E2620" s="0" t="s">
        <v>4963</v>
      </c>
      <c r="F2620" s="0" t="s">
        <v>30</v>
      </c>
      <c r="G2620" s="0" t="s">
        <v>4980</v>
      </c>
      <c r="H2620" s="0" t="s">
        <v>4729</v>
      </c>
      <c r="I2620" s="0" t="s">
        <v>4981</v>
      </c>
      <c r="J2620" s="18" t="s">
        <v>24</v>
      </c>
    </row>
    <row r="2621" customFormat="false" ht="15" hidden="false" customHeight="false" outlineLevel="0" collapsed="false">
      <c r="A2621" s="0" t="s">
        <v>2216</v>
      </c>
      <c r="B2621" s="0" t="s">
        <v>134</v>
      </c>
      <c r="C2621" s="0" t="s">
        <v>3447</v>
      </c>
      <c r="D2621" s="0" t="s">
        <v>3457</v>
      </c>
      <c r="E2621" s="0" t="s">
        <v>4963</v>
      </c>
      <c r="F2621" s="0" t="s">
        <v>30</v>
      </c>
      <c r="G2621" s="0" t="s">
        <v>4980</v>
      </c>
      <c r="H2621" s="0" t="s">
        <v>4535</v>
      </c>
      <c r="I2621" s="0" t="s">
        <v>4981</v>
      </c>
      <c r="J2621" s="18" t="s">
        <v>24</v>
      </c>
    </row>
    <row r="2622" customFormat="false" ht="15" hidden="false" customHeight="false" outlineLevel="0" collapsed="false">
      <c r="A2622" s="0" t="s">
        <v>2227</v>
      </c>
      <c r="B2622" s="0" t="s">
        <v>134</v>
      </c>
      <c r="C2622" s="0" t="s">
        <v>3450</v>
      </c>
      <c r="D2622" s="0" t="s">
        <v>3448</v>
      </c>
      <c r="E2622" s="0" t="s">
        <v>4963</v>
      </c>
      <c r="F2622" s="0" t="s">
        <v>59</v>
      </c>
      <c r="G2622" s="0" t="s">
        <v>4974</v>
      </c>
      <c r="H2622" s="0" t="s">
        <v>69</v>
      </c>
      <c r="I2622" s="0" t="s">
        <v>4975</v>
      </c>
      <c r="J2622" s="20" t="s">
        <v>25</v>
      </c>
    </row>
    <row r="2623" customFormat="false" ht="15" hidden="false" customHeight="false" outlineLevel="0" collapsed="false">
      <c r="A2623" s="0" t="s">
        <v>2227</v>
      </c>
      <c r="B2623" s="0" t="s">
        <v>134</v>
      </c>
      <c r="C2623" s="0" t="s">
        <v>3450</v>
      </c>
      <c r="D2623" s="0" t="s">
        <v>3448</v>
      </c>
      <c r="E2623" s="0" t="s">
        <v>4969</v>
      </c>
      <c r="F2623" s="0" t="s">
        <v>63</v>
      </c>
      <c r="G2623" s="0" t="s">
        <v>4220</v>
      </c>
      <c r="H2623" s="0" t="s">
        <v>5844</v>
      </c>
      <c r="I2623" s="0" t="s">
        <v>4979</v>
      </c>
      <c r="J2623" s="20" t="s">
        <v>25</v>
      </c>
    </row>
    <row r="2624" customFormat="false" ht="15" hidden="false" customHeight="false" outlineLevel="0" collapsed="false">
      <c r="A2624" s="0" t="s">
        <v>2227</v>
      </c>
      <c r="B2624" s="0" t="s">
        <v>134</v>
      </c>
      <c r="C2624" s="0" t="s">
        <v>3447</v>
      </c>
      <c r="D2624" s="0" t="s">
        <v>3457</v>
      </c>
      <c r="E2624" s="0" t="s">
        <v>4963</v>
      </c>
      <c r="F2624" s="0" t="s">
        <v>59</v>
      </c>
      <c r="G2624" s="0" t="s">
        <v>4974</v>
      </c>
      <c r="H2624" s="0" t="s">
        <v>69</v>
      </c>
      <c r="I2624" s="0" t="s">
        <v>4975</v>
      </c>
      <c r="J2624" s="20" t="s">
        <v>25</v>
      </c>
    </row>
    <row r="2625" customFormat="false" ht="15" hidden="false" customHeight="false" outlineLevel="0" collapsed="false">
      <c r="A2625" s="0" t="s">
        <v>2227</v>
      </c>
      <c r="B2625" s="0" t="s">
        <v>134</v>
      </c>
      <c r="C2625" s="0" t="s">
        <v>3447</v>
      </c>
      <c r="D2625" s="0" t="s">
        <v>3448</v>
      </c>
      <c r="E2625" s="0" t="s">
        <v>4963</v>
      </c>
      <c r="F2625" s="0" t="s">
        <v>59</v>
      </c>
      <c r="G2625" s="0" t="s">
        <v>4974</v>
      </c>
      <c r="H2625" s="0" t="s">
        <v>69</v>
      </c>
      <c r="I2625" s="0" t="s">
        <v>4975</v>
      </c>
      <c r="J2625" s="20" t="s">
        <v>25</v>
      </c>
    </row>
    <row r="2626" customFormat="false" ht="15" hidden="false" customHeight="false" outlineLevel="0" collapsed="false">
      <c r="A2626" s="0" t="s">
        <v>2227</v>
      </c>
      <c r="B2626" s="0" t="s">
        <v>134</v>
      </c>
      <c r="C2626" s="0" t="s">
        <v>3447</v>
      </c>
      <c r="D2626" s="0" t="s">
        <v>3448</v>
      </c>
      <c r="E2626" s="0" t="s">
        <v>4969</v>
      </c>
      <c r="F2626" s="0" t="s">
        <v>63</v>
      </c>
      <c r="G2626" s="0" t="s">
        <v>4220</v>
      </c>
      <c r="H2626" s="0" t="s">
        <v>5844</v>
      </c>
      <c r="I2626" s="0" t="s">
        <v>4979</v>
      </c>
      <c r="J2626" s="20" t="s">
        <v>25</v>
      </c>
    </row>
    <row r="2627" customFormat="false" ht="15" hidden="false" customHeight="false" outlineLevel="0" collapsed="false">
      <c r="A2627" s="0" t="s">
        <v>2227</v>
      </c>
      <c r="B2627" s="0" t="s">
        <v>134</v>
      </c>
      <c r="C2627" s="0" t="s">
        <v>3450</v>
      </c>
      <c r="D2627" s="0" t="s">
        <v>3457</v>
      </c>
      <c r="E2627" s="0" t="s">
        <v>4963</v>
      </c>
      <c r="F2627" s="0" t="s">
        <v>30</v>
      </c>
      <c r="G2627" s="0" t="s">
        <v>4980</v>
      </c>
      <c r="H2627" s="0" t="s">
        <v>4382</v>
      </c>
      <c r="I2627" s="0" t="s">
        <v>4981</v>
      </c>
      <c r="J2627" s="18" t="s">
        <v>24</v>
      </c>
    </row>
    <row r="2628" customFormat="false" ht="15" hidden="false" customHeight="false" outlineLevel="0" collapsed="false">
      <c r="A2628" s="0" t="s">
        <v>2227</v>
      </c>
      <c r="B2628" s="0" t="s">
        <v>134</v>
      </c>
      <c r="C2628" s="0" t="s">
        <v>3450</v>
      </c>
      <c r="D2628" s="0" t="s">
        <v>3448</v>
      </c>
      <c r="E2628" s="0" t="s">
        <v>4963</v>
      </c>
      <c r="F2628" s="0" t="s">
        <v>30</v>
      </c>
      <c r="G2628" s="0" t="s">
        <v>4980</v>
      </c>
      <c r="H2628" s="0" t="s">
        <v>4242</v>
      </c>
      <c r="I2628" s="0" t="s">
        <v>4981</v>
      </c>
      <c r="J2628" s="18" t="s">
        <v>24</v>
      </c>
    </row>
    <row r="2629" customFormat="false" ht="15" hidden="false" customHeight="false" outlineLevel="0" collapsed="false">
      <c r="A2629" s="0" t="s">
        <v>2227</v>
      </c>
      <c r="B2629" s="0" t="s">
        <v>134</v>
      </c>
      <c r="C2629" s="0" t="s">
        <v>3447</v>
      </c>
      <c r="D2629" s="0" t="s">
        <v>3457</v>
      </c>
      <c r="E2629" s="0" t="s">
        <v>4963</v>
      </c>
      <c r="F2629" s="0" t="s">
        <v>30</v>
      </c>
      <c r="G2629" s="0" t="s">
        <v>4980</v>
      </c>
      <c r="H2629" s="0" t="s">
        <v>4604</v>
      </c>
      <c r="I2629" s="0" t="s">
        <v>4981</v>
      </c>
      <c r="J2629" s="18" t="s">
        <v>24</v>
      </c>
    </row>
    <row r="2630" customFormat="false" ht="15" hidden="false" customHeight="false" outlineLevel="0" collapsed="false">
      <c r="A2630" s="0" t="s">
        <v>2227</v>
      </c>
      <c r="B2630" s="0" t="s">
        <v>134</v>
      </c>
      <c r="C2630" s="0" t="s">
        <v>3447</v>
      </c>
      <c r="D2630" s="0" t="s">
        <v>3448</v>
      </c>
      <c r="E2630" s="0" t="s">
        <v>4963</v>
      </c>
      <c r="F2630" s="0" t="s">
        <v>30</v>
      </c>
      <c r="G2630" s="0" t="s">
        <v>4980</v>
      </c>
      <c r="H2630" s="0" t="s">
        <v>4242</v>
      </c>
      <c r="I2630" s="0" t="s">
        <v>4981</v>
      </c>
      <c r="J2630" s="18" t="s">
        <v>24</v>
      </c>
    </row>
    <row r="2631" customFormat="false" ht="15" hidden="false" customHeight="false" outlineLevel="0" collapsed="false">
      <c r="A2631" s="0" t="s">
        <v>2236</v>
      </c>
      <c r="B2631" s="0" t="s">
        <v>134</v>
      </c>
      <c r="C2631" s="0" t="s">
        <v>3447</v>
      </c>
      <c r="D2631" s="0" t="s">
        <v>3448</v>
      </c>
      <c r="E2631" s="0" t="s">
        <v>4963</v>
      </c>
      <c r="F2631" s="0" t="s">
        <v>60</v>
      </c>
      <c r="G2631" s="0" t="s">
        <v>4964</v>
      </c>
      <c r="H2631" s="0" t="s">
        <v>5845</v>
      </c>
      <c r="I2631" s="0" t="s">
        <v>4966</v>
      </c>
      <c r="J2631" s="19" t="s">
        <v>26</v>
      </c>
    </row>
    <row r="2632" customFormat="false" ht="15" hidden="false" customHeight="false" outlineLevel="0" collapsed="false">
      <c r="A2632" s="0" t="s">
        <v>2236</v>
      </c>
      <c r="B2632" s="0" t="s">
        <v>134</v>
      </c>
      <c r="C2632" s="0" t="s">
        <v>3450</v>
      </c>
      <c r="D2632" s="0" t="s">
        <v>3457</v>
      </c>
      <c r="E2632" s="0" t="s">
        <v>4969</v>
      </c>
      <c r="F2632" s="0" t="s">
        <v>62</v>
      </c>
      <c r="G2632" s="0" t="s">
        <v>5003</v>
      </c>
      <c r="H2632" s="0" t="s">
        <v>5846</v>
      </c>
      <c r="I2632" s="0" t="s">
        <v>5005</v>
      </c>
      <c r="J2632" s="20" t="s">
        <v>25</v>
      </c>
    </row>
    <row r="2633" customFormat="false" ht="15" hidden="false" customHeight="false" outlineLevel="0" collapsed="false">
      <c r="A2633" s="0" t="s">
        <v>2236</v>
      </c>
      <c r="B2633" s="0" t="s">
        <v>134</v>
      </c>
      <c r="C2633" s="0" t="s">
        <v>3450</v>
      </c>
      <c r="D2633" s="0" t="s">
        <v>3457</v>
      </c>
      <c r="E2633" s="0" t="s">
        <v>4969</v>
      </c>
      <c r="F2633" s="0" t="s">
        <v>64</v>
      </c>
      <c r="G2633" s="0" t="s">
        <v>4220</v>
      </c>
      <c r="H2633" s="0" t="s">
        <v>5737</v>
      </c>
      <c r="I2633" s="0" t="s">
        <v>4991</v>
      </c>
      <c r="J2633" s="20" t="s">
        <v>25</v>
      </c>
    </row>
    <row r="2634" customFormat="false" ht="15" hidden="false" customHeight="false" outlineLevel="0" collapsed="false">
      <c r="A2634" s="0" t="s">
        <v>2236</v>
      </c>
      <c r="B2634" s="0" t="s">
        <v>134</v>
      </c>
      <c r="C2634" s="0" t="s">
        <v>3450</v>
      </c>
      <c r="D2634" s="0" t="s">
        <v>3448</v>
      </c>
      <c r="E2634" s="0" t="s">
        <v>4969</v>
      </c>
      <c r="F2634" s="0" t="s">
        <v>63</v>
      </c>
      <c r="G2634" s="0" t="s">
        <v>4220</v>
      </c>
      <c r="H2634" s="0" t="s">
        <v>5847</v>
      </c>
      <c r="I2634" s="0" t="s">
        <v>4979</v>
      </c>
      <c r="J2634" s="20" t="s">
        <v>25</v>
      </c>
    </row>
    <row r="2635" customFormat="false" ht="15" hidden="false" customHeight="false" outlineLevel="0" collapsed="false">
      <c r="A2635" s="0" t="s">
        <v>2236</v>
      </c>
      <c r="B2635" s="0" t="s">
        <v>134</v>
      </c>
      <c r="C2635" s="0" t="s">
        <v>3447</v>
      </c>
      <c r="D2635" s="0" t="s">
        <v>3457</v>
      </c>
      <c r="E2635" s="0" t="s">
        <v>4969</v>
      </c>
      <c r="F2635" s="0" t="s">
        <v>64</v>
      </c>
      <c r="G2635" s="0" t="s">
        <v>4220</v>
      </c>
      <c r="H2635" s="0" t="s">
        <v>5737</v>
      </c>
      <c r="I2635" s="0" t="s">
        <v>4991</v>
      </c>
      <c r="J2635" s="20" t="s">
        <v>25</v>
      </c>
    </row>
    <row r="2636" customFormat="false" ht="15" hidden="false" customHeight="false" outlineLevel="0" collapsed="false">
      <c r="A2636" s="0" t="s">
        <v>2236</v>
      </c>
      <c r="B2636" s="0" t="s">
        <v>134</v>
      </c>
      <c r="C2636" s="0" t="s">
        <v>3447</v>
      </c>
      <c r="D2636" s="0" t="s">
        <v>3448</v>
      </c>
      <c r="E2636" s="0" t="s">
        <v>4963</v>
      </c>
      <c r="F2636" s="0" t="s">
        <v>59</v>
      </c>
      <c r="G2636" s="0" t="s">
        <v>4974</v>
      </c>
      <c r="H2636" s="0" t="s">
        <v>69</v>
      </c>
      <c r="I2636" s="0" t="s">
        <v>4975</v>
      </c>
      <c r="J2636" s="20" t="s">
        <v>25</v>
      </c>
    </row>
    <row r="2637" customFormat="false" ht="15" hidden="false" customHeight="false" outlineLevel="0" collapsed="false">
      <c r="A2637" s="0" t="s">
        <v>2236</v>
      </c>
      <c r="B2637" s="0" t="s">
        <v>134</v>
      </c>
      <c r="C2637" s="0" t="s">
        <v>3447</v>
      </c>
      <c r="D2637" s="0" t="s">
        <v>3448</v>
      </c>
      <c r="E2637" s="0" t="s">
        <v>4969</v>
      </c>
      <c r="F2637" s="0" t="s">
        <v>63</v>
      </c>
      <c r="G2637" s="0" t="s">
        <v>4220</v>
      </c>
      <c r="H2637" s="0" t="s">
        <v>5847</v>
      </c>
      <c r="I2637" s="0" t="s">
        <v>4979</v>
      </c>
      <c r="J2637" s="20" t="s">
        <v>25</v>
      </c>
    </row>
    <row r="2638" customFormat="false" ht="15" hidden="false" customHeight="false" outlineLevel="0" collapsed="false">
      <c r="A2638" s="0" t="s">
        <v>2236</v>
      </c>
      <c r="B2638" s="0" t="s">
        <v>134</v>
      </c>
      <c r="C2638" s="0" t="s">
        <v>3447</v>
      </c>
      <c r="D2638" s="0" t="s">
        <v>3457</v>
      </c>
      <c r="E2638" s="0" t="s">
        <v>4963</v>
      </c>
      <c r="F2638" s="0" t="s">
        <v>30</v>
      </c>
      <c r="G2638" s="0" t="s">
        <v>4980</v>
      </c>
      <c r="H2638" s="0" t="s">
        <v>4731</v>
      </c>
      <c r="I2638" s="0" t="s">
        <v>4981</v>
      </c>
      <c r="J2638" s="18" t="s">
        <v>24</v>
      </c>
    </row>
    <row r="2639" customFormat="false" ht="15" hidden="false" customHeight="false" outlineLevel="0" collapsed="false">
      <c r="A2639" s="0" t="s">
        <v>2247</v>
      </c>
      <c r="B2639" s="0" t="s">
        <v>134</v>
      </c>
      <c r="C2639" s="0" t="s">
        <v>3447</v>
      </c>
      <c r="D2639" s="0" t="s">
        <v>3457</v>
      </c>
      <c r="E2639" s="0" t="s">
        <v>4963</v>
      </c>
      <c r="F2639" s="0" t="s">
        <v>60</v>
      </c>
      <c r="G2639" s="0" t="s">
        <v>4964</v>
      </c>
      <c r="H2639" s="0" t="s">
        <v>5309</v>
      </c>
      <c r="I2639" s="0" t="s">
        <v>4966</v>
      </c>
      <c r="J2639" s="19" t="s">
        <v>26</v>
      </c>
    </row>
    <row r="2640" customFormat="false" ht="15" hidden="false" customHeight="false" outlineLevel="0" collapsed="false">
      <c r="A2640" s="0" t="s">
        <v>2247</v>
      </c>
      <c r="B2640" s="0" t="s">
        <v>3459</v>
      </c>
      <c r="C2640" s="0" t="s">
        <v>3447</v>
      </c>
      <c r="D2640" s="0" t="s">
        <v>3457</v>
      </c>
      <c r="E2640" s="0" t="s">
        <v>4963</v>
      </c>
      <c r="F2640" s="0" t="s">
        <v>60</v>
      </c>
      <c r="G2640" s="0" t="s">
        <v>4964</v>
      </c>
      <c r="H2640" s="0" t="s">
        <v>5848</v>
      </c>
      <c r="I2640" s="0" t="s">
        <v>4966</v>
      </c>
      <c r="J2640" s="19" t="s">
        <v>26</v>
      </c>
    </row>
    <row r="2641" customFormat="false" ht="15" hidden="false" customHeight="false" outlineLevel="0" collapsed="false">
      <c r="A2641" s="0" t="s">
        <v>2247</v>
      </c>
      <c r="B2641" s="0" t="s">
        <v>3459</v>
      </c>
      <c r="C2641" s="0" t="s">
        <v>3447</v>
      </c>
      <c r="D2641" s="0" t="s">
        <v>3448</v>
      </c>
      <c r="E2641" s="0" t="s">
        <v>4963</v>
      </c>
      <c r="F2641" s="0" t="s">
        <v>60</v>
      </c>
      <c r="G2641" s="0" t="s">
        <v>4964</v>
      </c>
      <c r="H2641" s="0" t="s">
        <v>5849</v>
      </c>
      <c r="I2641" s="0" t="s">
        <v>4966</v>
      </c>
      <c r="J2641" s="19" t="s">
        <v>26</v>
      </c>
    </row>
    <row r="2642" customFormat="false" ht="15" hidden="false" customHeight="false" outlineLevel="0" collapsed="false">
      <c r="A2642" s="0" t="s">
        <v>2247</v>
      </c>
      <c r="B2642" s="0" t="s">
        <v>134</v>
      </c>
      <c r="C2642" s="0" t="s">
        <v>3450</v>
      </c>
      <c r="D2642" s="0" t="s">
        <v>3457</v>
      </c>
      <c r="E2642" s="0" t="s">
        <v>4963</v>
      </c>
      <c r="F2642" s="0" t="s">
        <v>59</v>
      </c>
      <c r="G2642" s="0" t="s">
        <v>4974</v>
      </c>
      <c r="H2642" s="0" t="s">
        <v>69</v>
      </c>
      <c r="I2642" s="0" t="s">
        <v>4975</v>
      </c>
      <c r="J2642" s="20" t="s">
        <v>25</v>
      </c>
    </row>
    <row r="2643" customFormat="false" ht="15" hidden="false" customHeight="false" outlineLevel="0" collapsed="false">
      <c r="A2643" s="0" t="s">
        <v>2247</v>
      </c>
      <c r="B2643" s="0" t="s">
        <v>134</v>
      </c>
      <c r="C2643" s="0" t="s">
        <v>3450</v>
      </c>
      <c r="D2643" s="0" t="s">
        <v>3448</v>
      </c>
      <c r="E2643" s="0" t="s">
        <v>4963</v>
      </c>
      <c r="F2643" s="0" t="s">
        <v>59</v>
      </c>
      <c r="G2643" s="0" t="s">
        <v>4974</v>
      </c>
      <c r="H2643" s="0" t="s">
        <v>69</v>
      </c>
      <c r="I2643" s="0" t="s">
        <v>4975</v>
      </c>
      <c r="J2643" s="20" t="s">
        <v>25</v>
      </c>
    </row>
    <row r="2644" customFormat="false" ht="15" hidden="false" customHeight="false" outlineLevel="0" collapsed="false">
      <c r="A2644" s="0" t="s">
        <v>2247</v>
      </c>
      <c r="B2644" s="0" t="s">
        <v>134</v>
      </c>
      <c r="C2644" s="0" t="s">
        <v>3447</v>
      </c>
      <c r="D2644" s="0" t="s">
        <v>3457</v>
      </c>
      <c r="E2644" s="0" t="s">
        <v>4963</v>
      </c>
      <c r="F2644" s="0" t="s">
        <v>59</v>
      </c>
      <c r="G2644" s="0" t="s">
        <v>4974</v>
      </c>
      <c r="H2644" s="0" t="s">
        <v>69</v>
      </c>
      <c r="I2644" s="0" t="s">
        <v>4975</v>
      </c>
      <c r="J2644" s="20" t="s">
        <v>25</v>
      </c>
    </row>
    <row r="2645" customFormat="false" ht="15" hidden="false" customHeight="false" outlineLevel="0" collapsed="false">
      <c r="A2645" s="0" t="s">
        <v>2247</v>
      </c>
      <c r="B2645" s="0" t="s">
        <v>3459</v>
      </c>
      <c r="C2645" s="0" t="s">
        <v>3450</v>
      </c>
      <c r="D2645" s="0" t="s">
        <v>3457</v>
      </c>
      <c r="E2645" s="0" t="s">
        <v>4963</v>
      </c>
      <c r="F2645" s="0" t="s">
        <v>59</v>
      </c>
      <c r="G2645" s="0" t="s">
        <v>4974</v>
      </c>
      <c r="H2645" s="0" t="s">
        <v>69</v>
      </c>
      <c r="I2645" s="0" t="s">
        <v>4975</v>
      </c>
      <c r="J2645" s="20" t="s">
        <v>25</v>
      </c>
    </row>
    <row r="2646" customFormat="false" ht="15" hidden="false" customHeight="false" outlineLevel="0" collapsed="false">
      <c r="A2646" s="0" t="s">
        <v>2247</v>
      </c>
      <c r="B2646" s="0" t="s">
        <v>3459</v>
      </c>
      <c r="C2646" s="0" t="s">
        <v>3450</v>
      </c>
      <c r="D2646" s="0" t="s">
        <v>3457</v>
      </c>
      <c r="E2646" s="0" t="s">
        <v>4969</v>
      </c>
      <c r="F2646" s="0" t="s">
        <v>61</v>
      </c>
      <c r="G2646" s="0" t="s">
        <v>4970</v>
      </c>
      <c r="H2646" s="0" t="s">
        <v>5850</v>
      </c>
      <c r="I2646" s="0" t="s">
        <v>4972</v>
      </c>
      <c r="J2646" s="20" t="s">
        <v>25</v>
      </c>
    </row>
    <row r="2647" customFormat="false" ht="15" hidden="false" customHeight="false" outlineLevel="0" collapsed="false">
      <c r="A2647" s="0" t="s">
        <v>2247</v>
      </c>
      <c r="B2647" s="0" t="s">
        <v>3459</v>
      </c>
      <c r="C2647" s="0" t="s">
        <v>3450</v>
      </c>
      <c r="D2647" s="0" t="s">
        <v>3448</v>
      </c>
      <c r="E2647" s="0" t="s">
        <v>4963</v>
      </c>
      <c r="F2647" s="0" t="s">
        <v>59</v>
      </c>
      <c r="G2647" s="0" t="s">
        <v>4974</v>
      </c>
      <c r="H2647" s="0" t="s">
        <v>69</v>
      </c>
      <c r="I2647" s="0" t="s">
        <v>4975</v>
      </c>
      <c r="J2647" s="20" t="s">
        <v>25</v>
      </c>
    </row>
    <row r="2648" customFormat="false" ht="15" hidden="false" customHeight="false" outlineLevel="0" collapsed="false">
      <c r="A2648" s="0" t="s">
        <v>2247</v>
      </c>
      <c r="B2648" s="0" t="s">
        <v>3459</v>
      </c>
      <c r="C2648" s="0" t="s">
        <v>3450</v>
      </c>
      <c r="D2648" s="0" t="s">
        <v>3448</v>
      </c>
      <c r="E2648" s="0" t="s">
        <v>4969</v>
      </c>
      <c r="F2648" s="0" t="s">
        <v>61</v>
      </c>
      <c r="G2648" s="0" t="s">
        <v>4970</v>
      </c>
      <c r="H2648" s="0" t="s">
        <v>5851</v>
      </c>
      <c r="I2648" s="0" t="s">
        <v>4972</v>
      </c>
      <c r="J2648" s="20" t="s">
        <v>25</v>
      </c>
    </row>
    <row r="2649" customFormat="false" ht="15" hidden="false" customHeight="false" outlineLevel="0" collapsed="false">
      <c r="A2649" s="0" t="s">
        <v>2247</v>
      </c>
      <c r="B2649" s="0" t="s">
        <v>3459</v>
      </c>
      <c r="C2649" s="0" t="s">
        <v>3447</v>
      </c>
      <c r="D2649" s="0" t="s">
        <v>3457</v>
      </c>
      <c r="E2649" s="0" t="s">
        <v>4969</v>
      </c>
      <c r="F2649" s="0" t="s">
        <v>61</v>
      </c>
      <c r="G2649" s="0" t="s">
        <v>4970</v>
      </c>
      <c r="H2649" s="0" t="s">
        <v>5852</v>
      </c>
      <c r="I2649" s="0" t="s">
        <v>4972</v>
      </c>
      <c r="J2649" s="20" t="s">
        <v>25</v>
      </c>
    </row>
    <row r="2650" customFormat="false" ht="15" hidden="false" customHeight="false" outlineLevel="0" collapsed="false">
      <c r="A2650" s="0" t="s">
        <v>2247</v>
      </c>
      <c r="B2650" s="0" t="s">
        <v>134</v>
      </c>
      <c r="C2650" s="0" t="s">
        <v>3450</v>
      </c>
      <c r="D2650" s="0" t="s">
        <v>3457</v>
      </c>
      <c r="E2650" s="0" t="s">
        <v>4963</v>
      </c>
      <c r="F2650" s="0" t="s">
        <v>30</v>
      </c>
      <c r="G2650" s="0" t="s">
        <v>4980</v>
      </c>
      <c r="H2650" s="0" t="s">
        <v>4275</v>
      </c>
      <c r="I2650" s="0" t="s">
        <v>4981</v>
      </c>
      <c r="J2650" s="18" t="s">
        <v>24</v>
      </c>
    </row>
    <row r="2651" customFormat="false" ht="15" hidden="false" customHeight="false" outlineLevel="0" collapsed="false">
      <c r="A2651" s="0" t="s">
        <v>2247</v>
      </c>
      <c r="B2651" s="0" t="s">
        <v>134</v>
      </c>
      <c r="C2651" s="0" t="s">
        <v>3450</v>
      </c>
      <c r="D2651" s="0" t="s">
        <v>3448</v>
      </c>
      <c r="E2651" s="0" t="s">
        <v>4963</v>
      </c>
      <c r="F2651" s="0" t="s">
        <v>30</v>
      </c>
      <c r="G2651" s="0" t="s">
        <v>4980</v>
      </c>
      <c r="H2651" s="0" t="s">
        <v>4265</v>
      </c>
      <c r="I2651" s="0" t="s">
        <v>4981</v>
      </c>
      <c r="J2651" s="18" t="s">
        <v>24</v>
      </c>
    </row>
    <row r="2652" customFormat="false" ht="15" hidden="false" customHeight="false" outlineLevel="0" collapsed="false">
      <c r="A2652" s="0" t="s">
        <v>2247</v>
      </c>
      <c r="B2652" s="0" t="s">
        <v>134</v>
      </c>
      <c r="C2652" s="0" t="s">
        <v>3447</v>
      </c>
      <c r="D2652" s="0" t="s">
        <v>3448</v>
      </c>
      <c r="E2652" s="0" t="s">
        <v>4963</v>
      </c>
      <c r="F2652" s="0" t="s">
        <v>30</v>
      </c>
      <c r="G2652" s="0" t="s">
        <v>4980</v>
      </c>
      <c r="H2652" s="0" t="s">
        <v>4451</v>
      </c>
      <c r="I2652" s="0" t="s">
        <v>4981</v>
      </c>
      <c r="J2652" s="18" t="s">
        <v>24</v>
      </c>
    </row>
    <row r="2653" customFormat="false" ht="15" hidden="false" customHeight="false" outlineLevel="0" collapsed="false">
      <c r="A2653" s="0" t="s">
        <v>2247</v>
      </c>
      <c r="B2653" s="0" t="s">
        <v>3459</v>
      </c>
      <c r="C2653" s="0" t="s">
        <v>3450</v>
      </c>
      <c r="D2653" s="0" t="s">
        <v>3457</v>
      </c>
      <c r="E2653" s="0" t="s">
        <v>4963</v>
      </c>
      <c r="F2653" s="0" t="s">
        <v>30</v>
      </c>
      <c r="G2653" s="0" t="s">
        <v>4980</v>
      </c>
      <c r="H2653" s="0" t="s">
        <v>4275</v>
      </c>
      <c r="I2653" s="0" t="s">
        <v>4981</v>
      </c>
      <c r="J2653" s="18" t="s">
        <v>24</v>
      </c>
    </row>
    <row r="2654" customFormat="false" ht="15" hidden="false" customHeight="false" outlineLevel="0" collapsed="false">
      <c r="A2654" s="0" t="s">
        <v>2247</v>
      </c>
      <c r="B2654" s="0" t="s">
        <v>3459</v>
      </c>
      <c r="C2654" s="0" t="s">
        <v>3450</v>
      </c>
      <c r="D2654" s="0" t="s">
        <v>3448</v>
      </c>
      <c r="E2654" s="0" t="s">
        <v>4963</v>
      </c>
      <c r="F2654" s="0" t="s">
        <v>30</v>
      </c>
      <c r="G2654" s="0" t="s">
        <v>4980</v>
      </c>
      <c r="H2654" s="0" t="s">
        <v>4265</v>
      </c>
      <c r="I2654" s="0" t="s">
        <v>4981</v>
      </c>
      <c r="J2654" s="18" t="s">
        <v>24</v>
      </c>
    </row>
    <row r="2655" customFormat="false" ht="15" hidden="false" customHeight="false" outlineLevel="0" collapsed="false">
      <c r="A2655" s="0" t="s">
        <v>2253</v>
      </c>
      <c r="B2655" s="0" t="s">
        <v>134</v>
      </c>
      <c r="C2655" s="0" t="s">
        <v>3450</v>
      </c>
      <c r="D2655" s="0" t="s">
        <v>3457</v>
      </c>
      <c r="E2655" s="0" t="s">
        <v>4963</v>
      </c>
      <c r="F2655" s="0" t="s">
        <v>59</v>
      </c>
      <c r="G2655" s="0" t="s">
        <v>4974</v>
      </c>
      <c r="H2655" s="0" t="s">
        <v>69</v>
      </c>
      <c r="I2655" s="0" t="s">
        <v>4975</v>
      </c>
      <c r="J2655" s="20" t="s">
        <v>25</v>
      </c>
    </row>
    <row r="2656" customFormat="false" ht="15" hidden="false" customHeight="false" outlineLevel="0" collapsed="false">
      <c r="A2656" s="0" t="s">
        <v>2253</v>
      </c>
      <c r="B2656" s="0" t="s">
        <v>134</v>
      </c>
      <c r="C2656" s="0" t="s">
        <v>3450</v>
      </c>
      <c r="D2656" s="0" t="s">
        <v>3457</v>
      </c>
      <c r="E2656" s="0" t="s">
        <v>4969</v>
      </c>
      <c r="F2656" s="0" t="s">
        <v>62</v>
      </c>
      <c r="G2656" s="0" t="s">
        <v>5003</v>
      </c>
      <c r="H2656" s="0" t="s">
        <v>5853</v>
      </c>
      <c r="I2656" s="0" t="s">
        <v>5005</v>
      </c>
      <c r="J2656" s="20" t="s">
        <v>25</v>
      </c>
    </row>
    <row r="2657" customFormat="false" ht="15" hidden="false" customHeight="false" outlineLevel="0" collapsed="false">
      <c r="A2657" s="0" t="s">
        <v>2253</v>
      </c>
      <c r="B2657" s="0" t="s">
        <v>134</v>
      </c>
      <c r="C2657" s="0" t="s">
        <v>3450</v>
      </c>
      <c r="D2657" s="0" t="s">
        <v>3448</v>
      </c>
      <c r="E2657" s="0" t="s">
        <v>4963</v>
      </c>
      <c r="F2657" s="0" t="s">
        <v>59</v>
      </c>
      <c r="G2657" s="0" t="s">
        <v>4974</v>
      </c>
      <c r="H2657" s="0" t="s">
        <v>69</v>
      </c>
      <c r="I2657" s="0" t="s">
        <v>4975</v>
      </c>
      <c r="J2657" s="20" t="s">
        <v>25</v>
      </c>
    </row>
    <row r="2658" customFormat="false" ht="15" hidden="false" customHeight="false" outlineLevel="0" collapsed="false">
      <c r="A2658" s="0" t="s">
        <v>2253</v>
      </c>
      <c r="B2658" s="0" t="s">
        <v>134</v>
      </c>
      <c r="C2658" s="0" t="s">
        <v>3450</v>
      </c>
      <c r="D2658" s="0" t="s">
        <v>3448</v>
      </c>
      <c r="E2658" s="0" t="s">
        <v>4969</v>
      </c>
      <c r="F2658" s="0" t="s">
        <v>62</v>
      </c>
      <c r="G2658" s="0" t="s">
        <v>5003</v>
      </c>
      <c r="H2658" s="0" t="s">
        <v>5854</v>
      </c>
      <c r="I2658" s="0" t="s">
        <v>5005</v>
      </c>
      <c r="J2658" s="20" t="s">
        <v>25</v>
      </c>
    </row>
    <row r="2659" customFormat="false" ht="15" hidden="false" customHeight="false" outlineLevel="0" collapsed="false">
      <c r="A2659" s="0" t="s">
        <v>2253</v>
      </c>
      <c r="B2659" s="0" t="s">
        <v>134</v>
      </c>
      <c r="C2659" s="0" t="s">
        <v>3450</v>
      </c>
      <c r="D2659" s="0" t="s">
        <v>3457</v>
      </c>
      <c r="E2659" s="0" t="s">
        <v>4963</v>
      </c>
      <c r="F2659" s="0" t="s">
        <v>30</v>
      </c>
      <c r="G2659" s="0" t="s">
        <v>4980</v>
      </c>
      <c r="H2659" s="0" t="s">
        <v>4364</v>
      </c>
      <c r="I2659" s="0" t="s">
        <v>4981</v>
      </c>
      <c r="J2659" s="18" t="s">
        <v>24</v>
      </c>
    </row>
    <row r="2660" customFormat="false" ht="15" hidden="false" customHeight="false" outlineLevel="0" collapsed="false">
      <c r="A2660" s="0" t="s">
        <v>2253</v>
      </c>
      <c r="B2660" s="0" t="s">
        <v>134</v>
      </c>
      <c r="C2660" s="0" t="s">
        <v>3450</v>
      </c>
      <c r="D2660" s="0" t="s">
        <v>3448</v>
      </c>
      <c r="E2660" s="0" t="s">
        <v>4963</v>
      </c>
      <c r="F2660" s="0" t="s">
        <v>30</v>
      </c>
      <c r="G2660" s="0" t="s">
        <v>4980</v>
      </c>
      <c r="H2660" s="0" t="s">
        <v>4242</v>
      </c>
      <c r="I2660" s="0" t="s">
        <v>4981</v>
      </c>
      <c r="J2660" s="18" t="s">
        <v>24</v>
      </c>
    </row>
    <row r="2661" customFormat="false" ht="15" hidden="false" customHeight="false" outlineLevel="0" collapsed="false">
      <c r="A2661" s="0" t="s">
        <v>2253</v>
      </c>
      <c r="B2661" s="0" t="s">
        <v>134</v>
      </c>
      <c r="C2661" s="0" t="s">
        <v>3447</v>
      </c>
      <c r="D2661" s="0" t="s">
        <v>3457</v>
      </c>
      <c r="E2661" s="0" t="s">
        <v>4963</v>
      </c>
      <c r="F2661" s="0" t="s">
        <v>30</v>
      </c>
      <c r="G2661" s="0" t="s">
        <v>4980</v>
      </c>
      <c r="H2661" s="0" t="s">
        <v>4735</v>
      </c>
      <c r="I2661" s="0" t="s">
        <v>4981</v>
      </c>
      <c r="J2661" s="18" t="s">
        <v>24</v>
      </c>
    </row>
    <row r="2662" customFormat="false" ht="15" hidden="false" customHeight="false" outlineLevel="0" collapsed="false">
      <c r="A2662" s="0" t="s">
        <v>2253</v>
      </c>
      <c r="B2662" s="0" t="s">
        <v>134</v>
      </c>
      <c r="C2662" s="0" t="s">
        <v>3447</v>
      </c>
      <c r="D2662" s="0" t="s">
        <v>3448</v>
      </c>
      <c r="E2662" s="0" t="s">
        <v>4963</v>
      </c>
      <c r="F2662" s="0" t="s">
        <v>30</v>
      </c>
      <c r="G2662" s="0" t="s">
        <v>4980</v>
      </c>
      <c r="H2662" s="0" t="s">
        <v>4586</v>
      </c>
      <c r="I2662" s="0" t="s">
        <v>4981</v>
      </c>
      <c r="J2662" s="18" t="s">
        <v>24</v>
      </c>
    </row>
    <row r="2663" customFormat="false" ht="15" hidden="false" customHeight="false" outlineLevel="0" collapsed="false">
      <c r="A2663" s="0" t="s">
        <v>2259</v>
      </c>
      <c r="B2663" s="0" t="s">
        <v>134</v>
      </c>
      <c r="C2663" s="0" t="s">
        <v>3447</v>
      </c>
      <c r="D2663" s="0" t="s">
        <v>3457</v>
      </c>
      <c r="E2663" s="0" t="s">
        <v>4963</v>
      </c>
      <c r="F2663" s="0" t="s">
        <v>60</v>
      </c>
      <c r="G2663" s="0" t="s">
        <v>4964</v>
      </c>
      <c r="H2663" s="0" t="s">
        <v>5056</v>
      </c>
      <c r="I2663" s="0" t="s">
        <v>4966</v>
      </c>
      <c r="J2663" s="19" t="s">
        <v>26</v>
      </c>
    </row>
    <row r="2664" customFormat="false" ht="15" hidden="false" customHeight="false" outlineLevel="0" collapsed="false">
      <c r="A2664" s="0" t="s">
        <v>2259</v>
      </c>
      <c r="B2664" s="0" t="s">
        <v>134</v>
      </c>
      <c r="C2664" s="0" t="s">
        <v>3447</v>
      </c>
      <c r="D2664" s="0" t="s">
        <v>3448</v>
      </c>
      <c r="E2664" s="0" t="s">
        <v>4963</v>
      </c>
      <c r="F2664" s="0" t="s">
        <v>60</v>
      </c>
      <c r="G2664" s="0" t="s">
        <v>4964</v>
      </c>
      <c r="H2664" s="0" t="s">
        <v>5056</v>
      </c>
      <c r="I2664" s="0" t="s">
        <v>4966</v>
      </c>
      <c r="J2664" s="19" t="s">
        <v>26</v>
      </c>
    </row>
    <row r="2665" customFormat="false" ht="15" hidden="false" customHeight="false" outlineLevel="0" collapsed="false">
      <c r="A2665" s="0" t="s">
        <v>2259</v>
      </c>
      <c r="B2665" s="0" t="s">
        <v>134</v>
      </c>
      <c r="C2665" s="0" t="s">
        <v>3450</v>
      </c>
      <c r="D2665" s="0" t="s">
        <v>3457</v>
      </c>
      <c r="E2665" s="0" t="s">
        <v>4969</v>
      </c>
      <c r="F2665" s="0" t="s">
        <v>61</v>
      </c>
      <c r="G2665" s="0" t="s">
        <v>4970</v>
      </c>
      <c r="H2665" s="0" t="s">
        <v>5855</v>
      </c>
      <c r="I2665" s="0" t="s">
        <v>4972</v>
      </c>
      <c r="J2665" s="20" t="s">
        <v>25</v>
      </c>
    </row>
    <row r="2666" customFormat="false" ht="15" hidden="false" customHeight="false" outlineLevel="0" collapsed="false">
      <c r="A2666" s="0" t="s">
        <v>2259</v>
      </c>
      <c r="B2666" s="0" t="s">
        <v>134</v>
      </c>
      <c r="C2666" s="0" t="s">
        <v>3450</v>
      </c>
      <c r="D2666" s="0" t="s">
        <v>3457</v>
      </c>
      <c r="E2666" s="0" t="s">
        <v>4969</v>
      </c>
      <c r="F2666" s="0" t="s">
        <v>63</v>
      </c>
      <c r="G2666" s="0" t="s">
        <v>4220</v>
      </c>
      <c r="H2666" s="0" t="s">
        <v>5856</v>
      </c>
      <c r="I2666" s="0" t="s">
        <v>4979</v>
      </c>
      <c r="J2666" s="20" t="s">
        <v>25</v>
      </c>
    </row>
    <row r="2667" customFormat="false" ht="15" hidden="false" customHeight="false" outlineLevel="0" collapsed="false">
      <c r="A2667" s="0" t="s">
        <v>2259</v>
      </c>
      <c r="B2667" s="0" t="s">
        <v>134</v>
      </c>
      <c r="C2667" s="0" t="s">
        <v>3450</v>
      </c>
      <c r="D2667" s="0" t="s">
        <v>3448</v>
      </c>
      <c r="E2667" s="0" t="s">
        <v>4963</v>
      </c>
      <c r="F2667" s="0" t="s">
        <v>59</v>
      </c>
      <c r="G2667" s="0" t="s">
        <v>4974</v>
      </c>
      <c r="H2667" s="0" t="s">
        <v>69</v>
      </c>
      <c r="I2667" s="0" t="s">
        <v>4975</v>
      </c>
      <c r="J2667" s="20" t="s">
        <v>25</v>
      </c>
    </row>
    <row r="2668" customFormat="false" ht="15" hidden="false" customHeight="false" outlineLevel="0" collapsed="false">
      <c r="A2668" s="0" t="s">
        <v>2259</v>
      </c>
      <c r="B2668" s="0" t="s">
        <v>134</v>
      </c>
      <c r="C2668" s="0" t="s">
        <v>3447</v>
      </c>
      <c r="D2668" s="0" t="s">
        <v>3457</v>
      </c>
      <c r="E2668" s="0" t="s">
        <v>4963</v>
      </c>
      <c r="F2668" s="0" t="s">
        <v>59</v>
      </c>
      <c r="G2668" s="0" t="s">
        <v>4974</v>
      </c>
      <c r="H2668" s="0" t="s">
        <v>69</v>
      </c>
      <c r="I2668" s="0" t="s">
        <v>4975</v>
      </c>
      <c r="J2668" s="20" t="s">
        <v>25</v>
      </c>
    </row>
    <row r="2669" customFormat="false" ht="15" hidden="false" customHeight="false" outlineLevel="0" collapsed="false">
      <c r="A2669" s="0" t="s">
        <v>2259</v>
      </c>
      <c r="B2669" s="0" t="s">
        <v>134</v>
      </c>
      <c r="C2669" s="0" t="s">
        <v>3447</v>
      </c>
      <c r="D2669" s="0" t="s">
        <v>3457</v>
      </c>
      <c r="E2669" s="0" t="s">
        <v>4969</v>
      </c>
      <c r="F2669" s="0" t="s">
        <v>61</v>
      </c>
      <c r="G2669" s="0" t="s">
        <v>4970</v>
      </c>
      <c r="H2669" s="0" t="s">
        <v>5857</v>
      </c>
      <c r="I2669" s="0" t="s">
        <v>4972</v>
      </c>
      <c r="J2669" s="20" t="s">
        <v>25</v>
      </c>
    </row>
    <row r="2670" customFormat="false" ht="15" hidden="false" customHeight="false" outlineLevel="0" collapsed="false">
      <c r="A2670" s="0" t="s">
        <v>2259</v>
      </c>
      <c r="B2670" s="0" t="s">
        <v>134</v>
      </c>
      <c r="C2670" s="0" t="s">
        <v>3447</v>
      </c>
      <c r="D2670" s="0" t="s">
        <v>3457</v>
      </c>
      <c r="E2670" s="0" t="s">
        <v>4969</v>
      </c>
      <c r="F2670" s="0" t="s">
        <v>63</v>
      </c>
      <c r="G2670" s="0" t="s">
        <v>4220</v>
      </c>
      <c r="H2670" s="0" t="s">
        <v>5856</v>
      </c>
      <c r="I2670" s="0" t="s">
        <v>4979</v>
      </c>
      <c r="J2670" s="20" t="s">
        <v>25</v>
      </c>
    </row>
    <row r="2671" customFormat="false" ht="15" hidden="false" customHeight="false" outlineLevel="0" collapsed="false">
      <c r="A2671" s="0" t="s">
        <v>2259</v>
      </c>
      <c r="B2671" s="0" t="s">
        <v>134</v>
      </c>
      <c r="C2671" s="0" t="s">
        <v>3447</v>
      </c>
      <c r="D2671" s="0" t="s">
        <v>3448</v>
      </c>
      <c r="E2671" s="0" t="s">
        <v>4963</v>
      </c>
      <c r="F2671" s="0" t="s">
        <v>59</v>
      </c>
      <c r="G2671" s="0" t="s">
        <v>4974</v>
      </c>
      <c r="H2671" s="0" t="s">
        <v>69</v>
      </c>
      <c r="I2671" s="0" t="s">
        <v>4975</v>
      </c>
      <c r="J2671" s="20" t="s">
        <v>25</v>
      </c>
    </row>
    <row r="2672" customFormat="false" ht="15" hidden="false" customHeight="false" outlineLevel="0" collapsed="false">
      <c r="A2672" s="0" t="s">
        <v>2259</v>
      </c>
      <c r="B2672" s="0" t="s">
        <v>134</v>
      </c>
      <c r="C2672" s="0" t="s">
        <v>3450</v>
      </c>
      <c r="D2672" s="0" t="s">
        <v>3448</v>
      </c>
      <c r="E2672" s="0" t="s">
        <v>4963</v>
      </c>
      <c r="F2672" s="0" t="s">
        <v>30</v>
      </c>
      <c r="G2672" s="0" t="s">
        <v>4980</v>
      </c>
      <c r="H2672" s="0" t="s">
        <v>4275</v>
      </c>
      <c r="I2672" s="0" t="s">
        <v>4981</v>
      </c>
      <c r="J2672" s="18" t="s">
        <v>24</v>
      </c>
    </row>
    <row r="2673" customFormat="false" ht="15" hidden="false" customHeight="false" outlineLevel="0" collapsed="false">
      <c r="A2673" s="0" t="s">
        <v>2265</v>
      </c>
      <c r="B2673" s="0" t="s">
        <v>134</v>
      </c>
      <c r="C2673" s="0" t="s">
        <v>3450</v>
      </c>
      <c r="D2673" s="0" t="s">
        <v>3457</v>
      </c>
      <c r="E2673" s="0" t="s">
        <v>4963</v>
      </c>
      <c r="F2673" s="0" t="s">
        <v>60</v>
      </c>
      <c r="G2673" s="0" t="s">
        <v>4964</v>
      </c>
      <c r="H2673" s="0" t="s">
        <v>5858</v>
      </c>
      <c r="I2673" s="0" t="s">
        <v>4966</v>
      </c>
      <c r="J2673" s="19" t="s">
        <v>26</v>
      </c>
    </row>
    <row r="2674" customFormat="false" ht="15" hidden="false" customHeight="false" outlineLevel="0" collapsed="false">
      <c r="A2674" s="0" t="s">
        <v>2265</v>
      </c>
      <c r="B2674" s="0" t="s">
        <v>134</v>
      </c>
      <c r="C2674" s="0" t="s">
        <v>3447</v>
      </c>
      <c r="D2674" s="0" t="s">
        <v>3448</v>
      </c>
      <c r="E2674" s="0" t="s">
        <v>4963</v>
      </c>
      <c r="F2674" s="0" t="s">
        <v>60</v>
      </c>
      <c r="G2674" s="0" t="s">
        <v>4964</v>
      </c>
      <c r="H2674" s="0" t="s">
        <v>5859</v>
      </c>
      <c r="I2674" s="0" t="s">
        <v>4966</v>
      </c>
      <c r="J2674" s="19" t="s">
        <v>26</v>
      </c>
    </row>
    <row r="2675" customFormat="false" ht="15" hidden="false" customHeight="false" outlineLevel="0" collapsed="false">
      <c r="A2675" s="0" t="s">
        <v>2265</v>
      </c>
      <c r="B2675" s="0" t="s">
        <v>134</v>
      </c>
      <c r="C2675" s="0" t="s">
        <v>3450</v>
      </c>
      <c r="D2675" s="0" t="s">
        <v>3457</v>
      </c>
      <c r="E2675" s="0" t="s">
        <v>4963</v>
      </c>
      <c r="F2675" s="0" t="s">
        <v>59</v>
      </c>
      <c r="G2675" s="0" t="s">
        <v>4974</v>
      </c>
      <c r="H2675" s="0" t="s">
        <v>69</v>
      </c>
      <c r="I2675" s="0" t="s">
        <v>4975</v>
      </c>
      <c r="J2675" s="20" t="s">
        <v>25</v>
      </c>
    </row>
    <row r="2676" customFormat="false" ht="15" hidden="false" customHeight="false" outlineLevel="0" collapsed="false">
      <c r="A2676" s="0" t="s">
        <v>2265</v>
      </c>
      <c r="B2676" s="0" t="s">
        <v>134</v>
      </c>
      <c r="C2676" s="0" t="s">
        <v>3450</v>
      </c>
      <c r="D2676" s="0" t="s">
        <v>3457</v>
      </c>
      <c r="E2676" s="0" t="s">
        <v>4969</v>
      </c>
      <c r="F2676" s="0" t="s">
        <v>61</v>
      </c>
      <c r="G2676" s="0" t="s">
        <v>4970</v>
      </c>
      <c r="H2676" s="0" t="s">
        <v>5860</v>
      </c>
      <c r="I2676" s="0" t="s">
        <v>4972</v>
      </c>
      <c r="J2676" s="20" t="s">
        <v>25</v>
      </c>
    </row>
    <row r="2677" customFormat="false" ht="15" hidden="false" customHeight="false" outlineLevel="0" collapsed="false">
      <c r="A2677" s="0" t="s">
        <v>2265</v>
      </c>
      <c r="B2677" s="0" t="s">
        <v>134</v>
      </c>
      <c r="C2677" s="0" t="s">
        <v>3450</v>
      </c>
      <c r="D2677" s="0" t="s">
        <v>3448</v>
      </c>
      <c r="E2677" s="0" t="s">
        <v>4969</v>
      </c>
      <c r="F2677" s="0" t="s">
        <v>61</v>
      </c>
      <c r="G2677" s="0" t="s">
        <v>4970</v>
      </c>
      <c r="H2677" s="0" t="s">
        <v>5861</v>
      </c>
      <c r="I2677" s="0" t="s">
        <v>4972</v>
      </c>
      <c r="J2677" s="20" t="s">
        <v>25</v>
      </c>
    </row>
    <row r="2678" customFormat="false" ht="15" hidden="false" customHeight="false" outlineLevel="0" collapsed="false">
      <c r="A2678" s="0" t="s">
        <v>2265</v>
      </c>
      <c r="B2678" s="0" t="s">
        <v>134</v>
      </c>
      <c r="C2678" s="0" t="s">
        <v>3447</v>
      </c>
      <c r="D2678" s="0" t="s">
        <v>3457</v>
      </c>
      <c r="E2678" s="0" t="s">
        <v>4969</v>
      </c>
      <c r="F2678" s="0" t="s">
        <v>61</v>
      </c>
      <c r="G2678" s="0" t="s">
        <v>4970</v>
      </c>
      <c r="H2678" s="0" t="s">
        <v>5862</v>
      </c>
      <c r="I2678" s="0" t="s">
        <v>4972</v>
      </c>
      <c r="J2678" s="20" t="s">
        <v>25</v>
      </c>
    </row>
    <row r="2679" customFormat="false" ht="15" hidden="false" customHeight="false" outlineLevel="0" collapsed="false">
      <c r="A2679" s="0" t="s">
        <v>2265</v>
      </c>
      <c r="B2679" s="0" t="s">
        <v>134</v>
      </c>
      <c r="C2679" s="0" t="s">
        <v>3447</v>
      </c>
      <c r="D2679" s="0" t="s">
        <v>3448</v>
      </c>
      <c r="E2679" s="0" t="s">
        <v>4969</v>
      </c>
      <c r="F2679" s="0" t="s">
        <v>61</v>
      </c>
      <c r="G2679" s="0" t="s">
        <v>4970</v>
      </c>
      <c r="H2679" s="0" t="s">
        <v>5863</v>
      </c>
      <c r="I2679" s="0" t="s">
        <v>4972</v>
      </c>
      <c r="J2679" s="20" t="s">
        <v>25</v>
      </c>
    </row>
    <row r="2680" customFormat="false" ht="15" hidden="false" customHeight="false" outlineLevel="0" collapsed="false">
      <c r="A2680" s="0" t="s">
        <v>2265</v>
      </c>
      <c r="B2680" s="0" t="s">
        <v>134</v>
      </c>
      <c r="C2680" s="0" t="s">
        <v>3450</v>
      </c>
      <c r="D2680" s="0" t="s">
        <v>3448</v>
      </c>
      <c r="E2680" s="0" t="s">
        <v>4963</v>
      </c>
      <c r="F2680" s="0" t="s">
        <v>30</v>
      </c>
      <c r="G2680" s="0" t="s">
        <v>4980</v>
      </c>
      <c r="H2680" s="0" t="s">
        <v>4737</v>
      </c>
      <c r="I2680" s="0" t="s">
        <v>4981</v>
      </c>
      <c r="J2680" s="18" t="s">
        <v>24</v>
      </c>
    </row>
    <row r="2681" customFormat="false" ht="15" hidden="false" customHeight="false" outlineLevel="0" collapsed="false">
      <c r="A2681" s="0" t="s">
        <v>2265</v>
      </c>
      <c r="B2681" s="0" t="s">
        <v>134</v>
      </c>
      <c r="C2681" s="0" t="s">
        <v>3447</v>
      </c>
      <c r="D2681" s="0" t="s">
        <v>3457</v>
      </c>
      <c r="E2681" s="0" t="s">
        <v>4963</v>
      </c>
      <c r="F2681" s="0" t="s">
        <v>30</v>
      </c>
      <c r="G2681" s="0" t="s">
        <v>4980</v>
      </c>
      <c r="H2681" s="0" t="s">
        <v>4738</v>
      </c>
      <c r="I2681" s="0" t="s">
        <v>4981</v>
      </c>
      <c r="J2681" s="18" t="s">
        <v>24</v>
      </c>
    </row>
    <row r="2682" customFormat="false" ht="15" hidden="false" customHeight="false" outlineLevel="0" collapsed="false">
      <c r="A2682" s="0" t="s">
        <v>2274</v>
      </c>
      <c r="B2682" s="0" t="s">
        <v>134</v>
      </c>
      <c r="C2682" s="0" t="s">
        <v>3450</v>
      </c>
      <c r="D2682" s="0" t="s">
        <v>3457</v>
      </c>
      <c r="E2682" s="0" t="s">
        <v>4963</v>
      </c>
      <c r="F2682" s="0" t="s">
        <v>59</v>
      </c>
      <c r="G2682" s="0" t="s">
        <v>4974</v>
      </c>
      <c r="H2682" s="0" t="s">
        <v>69</v>
      </c>
      <c r="I2682" s="0" t="s">
        <v>4975</v>
      </c>
      <c r="J2682" s="20" t="s">
        <v>25</v>
      </c>
    </row>
    <row r="2683" customFormat="false" ht="15" hidden="false" customHeight="false" outlineLevel="0" collapsed="false">
      <c r="A2683" s="0" t="s">
        <v>2274</v>
      </c>
      <c r="B2683" s="0" t="s">
        <v>134</v>
      </c>
      <c r="C2683" s="0" t="s">
        <v>3450</v>
      </c>
      <c r="D2683" s="0" t="s">
        <v>3457</v>
      </c>
      <c r="E2683" s="0" t="s">
        <v>4963</v>
      </c>
      <c r="F2683" s="0" t="s">
        <v>30</v>
      </c>
      <c r="G2683" s="0" t="s">
        <v>4980</v>
      </c>
      <c r="H2683" s="0" t="s">
        <v>4275</v>
      </c>
      <c r="I2683" s="0" t="s">
        <v>4981</v>
      </c>
      <c r="J2683" s="18" t="s">
        <v>24</v>
      </c>
    </row>
    <row r="2684" customFormat="false" ht="15" hidden="false" customHeight="false" outlineLevel="0" collapsed="false">
      <c r="A2684" s="0" t="s">
        <v>2274</v>
      </c>
      <c r="B2684" s="0" t="s">
        <v>134</v>
      </c>
      <c r="C2684" s="0" t="s">
        <v>3447</v>
      </c>
      <c r="D2684" s="0" t="s">
        <v>3457</v>
      </c>
      <c r="E2684" s="0" t="s">
        <v>4963</v>
      </c>
      <c r="F2684" s="0" t="s">
        <v>30</v>
      </c>
      <c r="G2684" s="0" t="s">
        <v>4980</v>
      </c>
      <c r="H2684" s="0" t="s">
        <v>4556</v>
      </c>
      <c r="I2684" s="0" t="s">
        <v>4981</v>
      </c>
      <c r="J2684" s="18" t="s">
        <v>24</v>
      </c>
    </row>
    <row r="2685" customFormat="false" ht="15" hidden="false" customHeight="false" outlineLevel="0" collapsed="false">
      <c r="A2685" s="0" t="s">
        <v>2274</v>
      </c>
      <c r="B2685" s="0" t="s">
        <v>134</v>
      </c>
      <c r="C2685" s="0" t="s">
        <v>3447</v>
      </c>
      <c r="D2685" s="0" t="s">
        <v>3448</v>
      </c>
      <c r="E2685" s="0" t="s">
        <v>4963</v>
      </c>
      <c r="F2685" s="0" t="s">
        <v>30</v>
      </c>
      <c r="G2685" s="0" t="s">
        <v>4980</v>
      </c>
      <c r="H2685" s="0" t="s">
        <v>4741</v>
      </c>
      <c r="I2685" s="0" t="s">
        <v>4981</v>
      </c>
      <c r="J2685" s="18" t="s">
        <v>24</v>
      </c>
    </row>
    <row r="2686" customFormat="false" ht="15" hidden="false" customHeight="false" outlineLevel="0" collapsed="false">
      <c r="A2686" s="0" t="s">
        <v>2280</v>
      </c>
      <c r="B2686" s="0" t="s">
        <v>134</v>
      </c>
      <c r="C2686" s="0" t="s">
        <v>3447</v>
      </c>
      <c r="D2686" s="0" t="s">
        <v>3457</v>
      </c>
      <c r="E2686" s="0" t="s">
        <v>4963</v>
      </c>
      <c r="F2686" s="0" t="s">
        <v>60</v>
      </c>
      <c r="G2686" s="0" t="s">
        <v>4964</v>
      </c>
      <c r="H2686" s="0" t="s">
        <v>5864</v>
      </c>
      <c r="I2686" s="0" t="s">
        <v>4966</v>
      </c>
      <c r="J2686" s="19" t="s">
        <v>26</v>
      </c>
    </row>
    <row r="2687" customFormat="false" ht="15" hidden="false" customHeight="false" outlineLevel="0" collapsed="false">
      <c r="A2687" s="0" t="s">
        <v>2280</v>
      </c>
      <c r="B2687" s="0" t="s">
        <v>134</v>
      </c>
      <c r="C2687" s="0" t="s">
        <v>3447</v>
      </c>
      <c r="D2687" s="0" t="s">
        <v>3448</v>
      </c>
      <c r="E2687" s="0" t="s">
        <v>4963</v>
      </c>
      <c r="F2687" s="0" t="s">
        <v>60</v>
      </c>
      <c r="G2687" s="0" t="s">
        <v>4964</v>
      </c>
      <c r="H2687" s="0" t="s">
        <v>5865</v>
      </c>
      <c r="I2687" s="0" t="s">
        <v>4966</v>
      </c>
      <c r="J2687" s="19" t="s">
        <v>26</v>
      </c>
    </row>
    <row r="2688" customFormat="false" ht="15" hidden="false" customHeight="false" outlineLevel="0" collapsed="false">
      <c r="A2688" s="0" t="s">
        <v>2280</v>
      </c>
      <c r="B2688" s="0" t="s">
        <v>3459</v>
      </c>
      <c r="C2688" s="0" t="s">
        <v>3447</v>
      </c>
      <c r="D2688" s="0" t="s">
        <v>3457</v>
      </c>
      <c r="E2688" s="0" t="s">
        <v>4963</v>
      </c>
      <c r="F2688" s="0" t="s">
        <v>60</v>
      </c>
      <c r="G2688" s="0" t="s">
        <v>4964</v>
      </c>
      <c r="H2688" s="0" t="s">
        <v>5866</v>
      </c>
      <c r="I2688" s="0" t="s">
        <v>4966</v>
      </c>
      <c r="J2688" s="19" t="s">
        <v>26</v>
      </c>
    </row>
    <row r="2689" customFormat="false" ht="15" hidden="false" customHeight="false" outlineLevel="0" collapsed="false">
      <c r="A2689" s="0" t="s">
        <v>2280</v>
      </c>
      <c r="B2689" s="0" t="s">
        <v>3459</v>
      </c>
      <c r="C2689" s="0" t="s">
        <v>3447</v>
      </c>
      <c r="D2689" s="0" t="s">
        <v>3448</v>
      </c>
      <c r="E2689" s="0" t="s">
        <v>4963</v>
      </c>
      <c r="F2689" s="0" t="s">
        <v>60</v>
      </c>
      <c r="G2689" s="0" t="s">
        <v>4964</v>
      </c>
      <c r="H2689" s="0" t="s">
        <v>5867</v>
      </c>
      <c r="I2689" s="0" t="s">
        <v>4966</v>
      </c>
      <c r="J2689" s="19" t="s">
        <v>26</v>
      </c>
    </row>
    <row r="2690" customFormat="false" ht="15" hidden="false" customHeight="false" outlineLevel="0" collapsed="false">
      <c r="A2690" s="0" t="s">
        <v>2280</v>
      </c>
      <c r="B2690" s="0" t="s">
        <v>134</v>
      </c>
      <c r="C2690" s="0" t="s">
        <v>3447</v>
      </c>
      <c r="D2690" s="0" t="s">
        <v>3457</v>
      </c>
      <c r="E2690" s="0" t="s">
        <v>4963</v>
      </c>
      <c r="F2690" s="0" t="s">
        <v>59</v>
      </c>
      <c r="G2690" s="0" t="s">
        <v>4974</v>
      </c>
      <c r="H2690" s="0" t="s">
        <v>69</v>
      </c>
      <c r="I2690" s="0" t="s">
        <v>4975</v>
      </c>
      <c r="J2690" s="20" t="s">
        <v>25</v>
      </c>
    </row>
    <row r="2691" customFormat="false" ht="15" hidden="false" customHeight="false" outlineLevel="0" collapsed="false">
      <c r="A2691" s="0" t="s">
        <v>2280</v>
      </c>
      <c r="B2691" s="0" t="s">
        <v>3459</v>
      </c>
      <c r="C2691" s="0" t="s">
        <v>3450</v>
      </c>
      <c r="D2691" s="0" t="s">
        <v>3448</v>
      </c>
      <c r="E2691" s="0" t="s">
        <v>4969</v>
      </c>
      <c r="F2691" s="0" t="s">
        <v>62</v>
      </c>
      <c r="G2691" s="0" t="s">
        <v>5003</v>
      </c>
      <c r="H2691" s="0" t="s">
        <v>5712</v>
      </c>
      <c r="I2691" s="0" t="s">
        <v>5005</v>
      </c>
      <c r="J2691" s="20" t="s">
        <v>25</v>
      </c>
    </row>
    <row r="2692" customFormat="false" ht="15" hidden="false" customHeight="false" outlineLevel="0" collapsed="false">
      <c r="A2692" s="0" t="s">
        <v>2280</v>
      </c>
      <c r="B2692" s="0" t="s">
        <v>3459</v>
      </c>
      <c r="C2692" s="0" t="s">
        <v>3447</v>
      </c>
      <c r="D2692" s="0" t="s">
        <v>3457</v>
      </c>
      <c r="E2692" s="0" t="s">
        <v>4963</v>
      </c>
      <c r="F2692" s="0" t="s">
        <v>59</v>
      </c>
      <c r="G2692" s="0" t="s">
        <v>4974</v>
      </c>
      <c r="H2692" s="0" t="s">
        <v>69</v>
      </c>
      <c r="I2692" s="0" t="s">
        <v>4975</v>
      </c>
      <c r="J2692" s="20" t="s">
        <v>25</v>
      </c>
    </row>
    <row r="2693" customFormat="false" ht="15" hidden="false" customHeight="false" outlineLevel="0" collapsed="false">
      <c r="A2693" s="0" t="s">
        <v>2296</v>
      </c>
      <c r="B2693" s="0" t="s">
        <v>134</v>
      </c>
      <c r="C2693" s="0" t="s">
        <v>3450</v>
      </c>
      <c r="D2693" s="0" t="s">
        <v>3457</v>
      </c>
      <c r="E2693" s="0" t="s">
        <v>4963</v>
      </c>
      <c r="F2693" s="0" t="s">
        <v>59</v>
      </c>
      <c r="G2693" s="0" t="s">
        <v>4974</v>
      </c>
      <c r="H2693" s="0" t="s">
        <v>69</v>
      </c>
      <c r="I2693" s="0" t="s">
        <v>4975</v>
      </c>
      <c r="J2693" s="20" t="s">
        <v>25</v>
      </c>
    </row>
    <row r="2694" customFormat="false" ht="15" hidden="false" customHeight="false" outlineLevel="0" collapsed="false">
      <c r="A2694" s="0" t="s">
        <v>2296</v>
      </c>
      <c r="B2694" s="0" t="s">
        <v>134</v>
      </c>
      <c r="C2694" s="0" t="s">
        <v>3450</v>
      </c>
      <c r="D2694" s="0" t="s">
        <v>3448</v>
      </c>
      <c r="E2694" s="0" t="s">
        <v>4963</v>
      </c>
      <c r="F2694" s="0" t="s">
        <v>59</v>
      </c>
      <c r="G2694" s="0" t="s">
        <v>4974</v>
      </c>
      <c r="H2694" s="0" t="s">
        <v>69</v>
      </c>
      <c r="I2694" s="0" t="s">
        <v>4975</v>
      </c>
      <c r="J2694" s="20" t="s">
        <v>25</v>
      </c>
    </row>
    <row r="2695" customFormat="false" ht="15" hidden="false" customHeight="false" outlineLevel="0" collapsed="false">
      <c r="A2695" s="0" t="s">
        <v>2296</v>
      </c>
      <c r="B2695" s="0" t="s">
        <v>134</v>
      </c>
      <c r="C2695" s="0" t="s">
        <v>3447</v>
      </c>
      <c r="D2695" s="0" t="s">
        <v>3448</v>
      </c>
      <c r="E2695" s="0" t="s">
        <v>4963</v>
      </c>
      <c r="F2695" s="0" t="s">
        <v>59</v>
      </c>
      <c r="G2695" s="0" t="s">
        <v>4974</v>
      </c>
      <c r="H2695" s="0" t="s">
        <v>69</v>
      </c>
      <c r="I2695" s="0" t="s">
        <v>4975</v>
      </c>
      <c r="J2695" s="20" t="s">
        <v>25</v>
      </c>
    </row>
    <row r="2696" customFormat="false" ht="15" hidden="false" customHeight="false" outlineLevel="0" collapsed="false">
      <c r="A2696" s="0" t="s">
        <v>2296</v>
      </c>
      <c r="B2696" s="0" t="s">
        <v>3459</v>
      </c>
      <c r="C2696" s="0" t="s">
        <v>3450</v>
      </c>
      <c r="D2696" s="0" t="s">
        <v>3457</v>
      </c>
      <c r="E2696" s="0" t="s">
        <v>4963</v>
      </c>
      <c r="F2696" s="0" t="s">
        <v>59</v>
      </c>
      <c r="G2696" s="0" t="s">
        <v>4974</v>
      </c>
      <c r="H2696" s="0" t="s">
        <v>69</v>
      </c>
      <c r="I2696" s="0" t="s">
        <v>4975</v>
      </c>
      <c r="J2696" s="20" t="s">
        <v>25</v>
      </c>
    </row>
    <row r="2697" customFormat="false" ht="15" hidden="false" customHeight="false" outlineLevel="0" collapsed="false">
      <c r="A2697" s="0" t="s">
        <v>2296</v>
      </c>
      <c r="B2697" s="0" t="s">
        <v>3459</v>
      </c>
      <c r="C2697" s="0" t="s">
        <v>3450</v>
      </c>
      <c r="D2697" s="0" t="s">
        <v>3448</v>
      </c>
      <c r="E2697" s="0" t="s">
        <v>4963</v>
      </c>
      <c r="F2697" s="0" t="s">
        <v>59</v>
      </c>
      <c r="G2697" s="0" t="s">
        <v>4974</v>
      </c>
      <c r="H2697" s="0" t="s">
        <v>69</v>
      </c>
      <c r="I2697" s="0" t="s">
        <v>4975</v>
      </c>
      <c r="J2697" s="20" t="s">
        <v>25</v>
      </c>
    </row>
    <row r="2698" customFormat="false" ht="15" hidden="false" customHeight="false" outlineLevel="0" collapsed="false">
      <c r="A2698" s="0" t="s">
        <v>2296</v>
      </c>
      <c r="B2698" s="0" t="s">
        <v>3459</v>
      </c>
      <c r="C2698" s="0" t="s">
        <v>3450</v>
      </c>
      <c r="D2698" s="0" t="s">
        <v>3448</v>
      </c>
      <c r="E2698" s="0" t="s">
        <v>4969</v>
      </c>
      <c r="F2698" s="0" t="s">
        <v>61</v>
      </c>
      <c r="G2698" s="0" t="s">
        <v>4970</v>
      </c>
      <c r="H2698" s="0" t="s">
        <v>5868</v>
      </c>
      <c r="I2698" s="0" t="s">
        <v>4972</v>
      </c>
      <c r="J2698" s="20" t="s">
        <v>25</v>
      </c>
    </row>
    <row r="2699" customFormat="false" ht="15" hidden="false" customHeight="false" outlineLevel="0" collapsed="false">
      <c r="A2699" s="0" t="s">
        <v>2296</v>
      </c>
      <c r="B2699" s="0" t="s">
        <v>3459</v>
      </c>
      <c r="C2699" s="0" t="s">
        <v>3447</v>
      </c>
      <c r="D2699" s="0" t="s">
        <v>3457</v>
      </c>
      <c r="E2699" s="0" t="s">
        <v>4963</v>
      </c>
      <c r="F2699" s="0" t="s">
        <v>59</v>
      </c>
      <c r="G2699" s="0" t="s">
        <v>4974</v>
      </c>
      <c r="H2699" s="0" t="s">
        <v>69</v>
      </c>
      <c r="I2699" s="0" t="s">
        <v>4975</v>
      </c>
      <c r="J2699" s="20" t="s">
        <v>25</v>
      </c>
    </row>
    <row r="2700" customFormat="false" ht="15" hidden="false" customHeight="false" outlineLevel="0" collapsed="false">
      <c r="A2700" s="0" t="s">
        <v>2296</v>
      </c>
      <c r="B2700" s="0" t="s">
        <v>3459</v>
      </c>
      <c r="C2700" s="0" t="s">
        <v>3447</v>
      </c>
      <c r="D2700" s="0" t="s">
        <v>3457</v>
      </c>
      <c r="E2700" s="0" t="s">
        <v>4969</v>
      </c>
      <c r="F2700" s="0" t="s">
        <v>61</v>
      </c>
      <c r="G2700" s="0" t="s">
        <v>4970</v>
      </c>
      <c r="H2700" s="0" t="s">
        <v>5869</v>
      </c>
      <c r="I2700" s="0" t="s">
        <v>4972</v>
      </c>
      <c r="J2700" s="20" t="s">
        <v>25</v>
      </c>
    </row>
    <row r="2701" customFormat="false" ht="15" hidden="false" customHeight="false" outlineLevel="0" collapsed="false">
      <c r="A2701" s="0" t="s">
        <v>2296</v>
      </c>
      <c r="B2701" s="0" t="s">
        <v>3459</v>
      </c>
      <c r="C2701" s="0" t="s">
        <v>3447</v>
      </c>
      <c r="D2701" s="0" t="s">
        <v>3448</v>
      </c>
      <c r="E2701" s="0" t="s">
        <v>4963</v>
      </c>
      <c r="F2701" s="0" t="s">
        <v>59</v>
      </c>
      <c r="G2701" s="0" t="s">
        <v>4974</v>
      </c>
      <c r="H2701" s="0" t="s">
        <v>69</v>
      </c>
      <c r="I2701" s="0" t="s">
        <v>4975</v>
      </c>
      <c r="J2701" s="20" t="s">
        <v>25</v>
      </c>
    </row>
    <row r="2702" customFormat="false" ht="15" hidden="false" customHeight="false" outlineLevel="0" collapsed="false">
      <c r="A2702" s="0" t="s">
        <v>2296</v>
      </c>
      <c r="B2702" s="0" t="s">
        <v>134</v>
      </c>
      <c r="C2702" s="0" t="s">
        <v>3450</v>
      </c>
      <c r="D2702" s="0" t="s">
        <v>3457</v>
      </c>
      <c r="E2702" s="0" t="s">
        <v>4963</v>
      </c>
      <c r="F2702" s="0" t="s">
        <v>30</v>
      </c>
      <c r="G2702" s="0" t="s">
        <v>4980</v>
      </c>
      <c r="H2702" s="0" t="s">
        <v>4242</v>
      </c>
      <c r="I2702" s="0" t="s">
        <v>4981</v>
      </c>
      <c r="J2702" s="18" t="s">
        <v>24</v>
      </c>
    </row>
    <row r="2703" customFormat="false" ht="15" hidden="false" customHeight="false" outlineLevel="0" collapsed="false">
      <c r="A2703" s="0" t="s">
        <v>2296</v>
      </c>
      <c r="B2703" s="0" t="s">
        <v>134</v>
      </c>
      <c r="C2703" s="0" t="s">
        <v>3450</v>
      </c>
      <c r="D2703" s="0" t="s">
        <v>3448</v>
      </c>
      <c r="E2703" s="0" t="s">
        <v>4963</v>
      </c>
      <c r="F2703" s="0" t="s">
        <v>30</v>
      </c>
      <c r="G2703" s="0" t="s">
        <v>4980</v>
      </c>
      <c r="H2703" s="0" t="s">
        <v>4262</v>
      </c>
      <c r="I2703" s="0" t="s">
        <v>4981</v>
      </c>
      <c r="J2703" s="18" t="s">
        <v>24</v>
      </c>
    </row>
    <row r="2704" customFormat="false" ht="15" hidden="false" customHeight="false" outlineLevel="0" collapsed="false">
      <c r="A2704" s="0" t="s">
        <v>2296</v>
      </c>
      <c r="B2704" s="0" t="s">
        <v>134</v>
      </c>
      <c r="C2704" s="0" t="s">
        <v>3447</v>
      </c>
      <c r="D2704" s="0" t="s">
        <v>3448</v>
      </c>
      <c r="E2704" s="0" t="s">
        <v>4963</v>
      </c>
      <c r="F2704" s="0" t="s">
        <v>30</v>
      </c>
      <c r="G2704" s="0" t="s">
        <v>4980</v>
      </c>
      <c r="H2704" s="0" t="s">
        <v>4535</v>
      </c>
      <c r="I2704" s="0" t="s">
        <v>4981</v>
      </c>
      <c r="J2704" s="18" t="s">
        <v>24</v>
      </c>
    </row>
    <row r="2705" customFormat="false" ht="15" hidden="false" customHeight="false" outlineLevel="0" collapsed="false">
      <c r="A2705" s="0" t="s">
        <v>2296</v>
      </c>
      <c r="B2705" s="0" t="s">
        <v>3459</v>
      </c>
      <c r="C2705" s="0" t="s">
        <v>3450</v>
      </c>
      <c r="D2705" s="0" t="s">
        <v>3457</v>
      </c>
      <c r="E2705" s="0" t="s">
        <v>4963</v>
      </c>
      <c r="F2705" s="0" t="s">
        <v>30</v>
      </c>
      <c r="G2705" s="0" t="s">
        <v>4980</v>
      </c>
      <c r="H2705" s="0" t="s">
        <v>4746</v>
      </c>
      <c r="I2705" s="0" t="s">
        <v>4981</v>
      </c>
      <c r="J2705" s="18" t="s">
        <v>24</v>
      </c>
    </row>
    <row r="2706" customFormat="false" ht="15" hidden="false" customHeight="false" outlineLevel="0" collapsed="false">
      <c r="A2706" s="0" t="s">
        <v>2296</v>
      </c>
      <c r="B2706" s="0" t="s">
        <v>3459</v>
      </c>
      <c r="C2706" s="0" t="s">
        <v>3450</v>
      </c>
      <c r="D2706" s="0" t="s">
        <v>3448</v>
      </c>
      <c r="E2706" s="0" t="s">
        <v>4963</v>
      </c>
      <c r="F2706" s="0" t="s">
        <v>30</v>
      </c>
      <c r="G2706" s="0" t="s">
        <v>4980</v>
      </c>
      <c r="H2706" s="0" t="s">
        <v>4746</v>
      </c>
      <c r="I2706" s="0" t="s">
        <v>4981</v>
      </c>
      <c r="J2706" s="18" t="s">
        <v>24</v>
      </c>
    </row>
    <row r="2707" customFormat="false" ht="15" hidden="false" customHeight="false" outlineLevel="0" collapsed="false">
      <c r="A2707" s="0" t="s">
        <v>2296</v>
      </c>
      <c r="B2707" s="0" t="s">
        <v>3459</v>
      </c>
      <c r="C2707" s="0" t="s">
        <v>3447</v>
      </c>
      <c r="D2707" s="0" t="s">
        <v>3457</v>
      </c>
      <c r="E2707" s="0" t="s">
        <v>4963</v>
      </c>
      <c r="F2707" s="0" t="s">
        <v>30</v>
      </c>
      <c r="G2707" s="0" t="s">
        <v>4980</v>
      </c>
      <c r="H2707" s="0" t="s">
        <v>4364</v>
      </c>
      <c r="I2707" s="0" t="s">
        <v>4981</v>
      </c>
      <c r="J2707" s="18" t="s">
        <v>24</v>
      </c>
    </row>
    <row r="2708" customFormat="false" ht="15" hidden="false" customHeight="false" outlineLevel="0" collapsed="false">
      <c r="A2708" s="0" t="s">
        <v>2296</v>
      </c>
      <c r="B2708" s="0" t="s">
        <v>3459</v>
      </c>
      <c r="C2708" s="0" t="s">
        <v>3447</v>
      </c>
      <c r="D2708" s="0" t="s">
        <v>3448</v>
      </c>
      <c r="E2708" s="0" t="s">
        <v>4963</v>
      </c>
      <c r="F2708" s="0" t="s">
        <v>30</v>
      </c>
      <c r="G2708" s="0" t="s">
        <v>4980</v>
      </c>
      <c r="H2708" s="0" t="s">
        <v>4746</v>
      </c>
      <c r="I2708" s="0" t="s">
        <v>4981</v>
      </c>
      <c r="J2708" s="18" t="s">
        <v>24</v>
      </c>
    </row>
    <row r="2709" customFormat="false" ht="15" hidden="false" customHeight="false" outlineLevel="0" collapsed="false">
      <c r="A2709" s="0" t="s">
        <v>2302</v>
      </c>
      <c r="B2709" s="0" t="s">
        <v>134</v>
      </c>
      <c r="C2709" s="0" t="s">
        <v>3450</v>
      </c>
      <c r="D2709" s="0" t="s">
        <v>3457</v>
      </c>
      <c r="E2709" s="0" t="s">
        <v>4963</v>
      </c>
      <c r="F2709" s="0" t="s">
        <v>59</v>
      </c>
      <c r="G2709" s="0" t="s">
        <v>4974</v>
      </c>
      <c r="H2709" s="0" t="s">
        <v>69</v>
      </c>
      <c r="I2709" s="0" t="s">
        <v>4975</v>
      </c>
      <c r="J2709" s="20" t="s">
        <v>25</v>
      </c>
    </row>
    <row r="2710" customFormat="false" ht="15" hidden="false" customHeight="false" outlineLevel="0" collapsed="false">
      <c r="A2710" s="0" t="s">
        <v>2302</v>
      </c>
      <c r="B2710" s="0" t="s">
        <v>134</v>
      </c>
      <c r="C2710" s="0" t="s">
        <v>3450</v>
      </c>
      <c r="D2710" s="0" t="s">
        <v>3448</v>
      </c>
      <c r="E2710" s="0" t="s">
        <v>4963</v>
      </c>
      <c r="F2710" s="0" t="s">
        <v>59</v>
      </c>
      <c r="G2710" s="0" t="s">
        <v>4974</v>
      </c>
      <c r="H2710" s="0" t="s">
        <v>69</v>
      </c>
      <c r="I2710" s="0" t="s">
        <v>4975</v>
      </c>
      <c r="J2710" s="20" t="s">
        <v>25</v>
      </c>
    </row>
    <row r="2711" customFormat="false" ht="15" hidden="false" customHeight="false" outlineLevel="0" collapsed="false">
      <c r="A2711" s="0" t="s">
        <v>2302</v>
      </c>
      <c r="B2711" s="0" t="s">
        <v>3459</v>
      </c>
      <c r="C2711" s="0" t="s">
        <v>3450</v>
      </c>
      <c r="D2711" s="0" t="s">
        <v>3457</v>
      </c>
      <c r="E2711" s="0" t="s">
        <v>4963</v>
      </c>
      <c r="F2711" s="0" t="s">
        <v>59</v>
      </c>
      <c r="G2711" s="0" t="s">
        <v>4974</v>
      </c>
      <c r="H2711" s="0" t="s">
        <v>69</v>
      </c>
      <c r="I2711" s="0" t="s">
        <v>4975</v>
      </c>
      <c r="J2711" s="20" t="s">
        <v>25</v>
      </c>
    </row>
    <row r="2712" customFormat="false" ht="15" hidden="false" customHeight="false" outlineLevel="0" collapsed="false">
      <c r="A2712" s="0" t="s">
        <v>2302</v>
      </c>
      <c r="B2712" s="0" t="s">
        <v>3459</v>
      </c>
      <c r="C2712" s="0" t="s">
        <v>3450</v>
      </c>
      <c r="D2712" s="0" t="s">
        <v>3457</v>
      </c>
      <c r="E2712" s="0" t="s">
        <v>4969</v>
      </c>
      <c r="F2712" s="0" t="s">
        <v>63</v>
      </c>
      <c r="G2712" s="0" t="s">
        <v>4220</v>
      </c>
      <c r="H2712" s="0" t="s">
        <v>5870</v>
      </c>
      <c r="I2712" s="0" t="s">
        <v>4979</v>
      </c>
      <c r="J2712" s="20" t="s">
        <v>25</v>
      </c>
    </row>
    <row r="2713" customFormat="false" ht="15" hidden="false" customHeight="false" outlineLevel="0" collapsed="false">
      <c r="A2713" s="0" t="s">
        <v>2302</v>
      </c>
      <c r="B2713" s="0" t="s">
        <v>3459</v>
      </c>
      <c r="C2713" s="0" t="s">
        <v>3450</v>
      </c>
      <c r="D2713" s="0" t="s">
        <v>3448</v>
      </c>
      <c r="E2713" s="0" t="s">
        <v>4963</v>
      </c>
      <c r="F2713" s="0" t="s">
        <v>59</v>
      </c>
      <c r="G2713" s="0" t="s">
        <v>4974</v>
      </c>
      <c r="H2713" s="0" t="s">
        <v>69</v>
      </c>
      <c r="I2713" s="0" t="s">
        <v>4975</v>
      </c>
      <c r="J2713" s="20" t="s">
        <v>25</v>
      </c>
    </row>
    <row r="2714" customFormat="false" ht="15" hidden="false" customHeight="false" outlineLevel="0" collapsed="false">
      <c r="A2714" s="0" t="s">
        <v>2302</v>
      </c>
      <c r="B2714" s="0" t="s">
        <v>3459</v>
      </c>
      <c r="C2714" s="0" t="s">
        <v>3450</v>
      </c>
      <c r="D2714" s="0" t="s">
        <v>3448</v>
      </c>
      <c r="E2714" s="0" t="s">
        <v>4969</v>
      </c>
      <c r="F2714" s="0" t="s">
        <v>62</v>
      </c>
      <c r="G2714" s="0" t="s">
        <v>5003</v>
      </c>
      <c r="H2714" s="0" t="s">
        <v>5871</v>
      </c>
      <c r="I2714" s="0" t="s">
        <v>5005</v>
      </c>
      <c r="J2714" s="20" t="s">
        <v>25</v>
      </c>
    </row>
    <row r="2715" customFormat="false" ht="15" hidden="false" customHeight="false" outlineLevel="0" collapsed="false">
      <c r="A2715" s="0" t="s">
        <v>2302</v>
      </c>
      <c r="B2715" s="0" t="s">
        <v>3459</v>
      </c>
      <c r="C2715" s="0" t="s">
        <v>3447</v>
      </c>
      <c r="D2715" s="0" t="s">
        <v>3457</v>
      </c>
      <c r="E2715" s="0" t="s">
        <v>4969</v>
      </c>
      <c r="F2715" s="0" t="s">
        <v>63</v>
      </c>
      <c r="G2715" s="0" t="s">
        <v>4220</v>
      </c>
      <c r="H2715" s="0" t="s">
        <v>5870</v>
      </c>
      <c r="I2715" s="0" t="s">
        <v>4979</v>
      </c>
      <c r="J2715" s="20" t="s">
        <v>25</v>
      </c>
    </row>
    <row r="2716" customFormat="false" ht="15" hidden="false" customHeight="false" outlineLevel="0" collapsed="false">
      <c r="A2716" s="0" t="s">
        <v>2302</v>
      </c>
      <c r="B2716" s="0" t="s">
        <v>134</v>
      </c>
      <c r="C2716" s="0" t="s">
        <v>3450</v>
      </c>
      <c r="D2716" s="0" t="s">
        <v>3457</v>
      </c>
      <c r="E2716" s="0" t="s">
        <v>4963</v>
      </c>
      <c r="F2716" s="0" t="s">
        <v>30</v>
      </c>
      <c r="G2716" s="0" t="s">
        <v>4980</v>
      </c>
      <c r="H2716" s="0" t="s">
        <v>4275</v>
      </c>
      <c r="I2716" s="0" t="s">
        <v>4981</v>
      </c>
      <c r="J2716" s="18" t="s">
        <v>24</v>
      </c>
    </row>
    <row r="2717" customFormat="false" ht="15" hidden="false" customHeight="false" outlineLevel="0" collapsed="false">
      <c r="A2717" s="0" t="s">
        <v>2302</v>
      </c>
      <c r="B2717" s="0" t="s">
        <v>134</v>
      </c>
      <c r="C2717" s="0" t="s">
        <v>3450</v>
      </c>
      <c r="D2717" s="0" t="s">
        <v>3448</v>
      </c>
      <c r="E2717" s="0" t="s">
        <v>4963</v>
      </c>
      <c r="F2717" s="0" t="s">
        <v>30</v>
      </c>
      <c r="G2717" s="0" t="s">
        <v>4980</v>
      </c>
      <c r="H2717" s="0" t="s">
        <v>4275</v>
      </c>
      <c r="I2717" s="0" t="s">
        <v>4981</v>
      </c>
      <c r="J2717" s="18" t="s">
        <v>24</v>
      </c>
    </row>
    <row r="2718" customFormat="false" ht="15" hidden="false" customHeight="false" outlineLevel="0" collapsed="false">
      <c r="A2718" s="0" t="s">
        <v>2302</v>
      </c>
      <c r="B2718" s="0" t="s">
        <v>134</v>
      </c>
      <c r="C2718" s="0" t="s">
        <v>3447</v>
      </c>
      <c r="D2718" s="0" t="s">
        <v>3457</v>
      </c>
      <c r="E2718" s="0" t="s">
        <v>4963</v>
      </c>
      <c r="F2718" s="0" t="s">
        <v>30</v>
      </c>
      <c r="G2718" s="0" t="s">
        <v>4980</v>
      </c>
      <c r="H2718" s="0" t="s">
        <v>4426</v>
      </c>
      <c r="I2718" s="0" t="s">
        <v>4981</v>
      </c>
      <c r="J2718" s="18" t="s">
        <v>24</v>
      </c>
    </row>
    <row r="2719" customFormat="false" ht="15" hidden="false" customHeight="false" outlineLevel="0" collapsed="false">
      <c r="A2719" s="0" t="s">
        <v>2302</v>
      </c>
      <c r="B2719" s="0" t="s">
        <v>3459</v>
      </c>
      <c r="C2719" s="0" t="s">
        <v>3450</v>
      </c>
      <c r="D2719" s="0" t="s">
        <v>3457</v>
      </c>
      <c r="E2719" s="0" t="s">
        <v>4963</v>
      </c>
      <c r="F2719" s="0" t="s">
        <v>30</v>
      </c>
      <c r="G2719" s="0" t="s">
        <v>4980</v>
      </c>
      <c r="H2719" s="0" t="s">
        <v>4747</v>
      </c>
      <c r="I2719" s="0" t="s">
        <v>4981</v>
      </c>
      <c r="J2719" s="18" t="s">
        <v>24</v>
      </c>
    </row>
    <row r="2720" customFormat="false" ht="15" hidden="false" customHeight="false" outlineLevel="0" collapsed="false">
      <c r="A2720" s="0" t="s">
        <v>2302</v>
      </c>
      <c r="B2720" s="0" t="s">
        <v>3459</v>
      </c>
      <c r="C2720" s="0" t="s">
        <v>3450</v>
      </c>
      <c r="D2720" s="0" t="s">
        <v>3448</v>
      </c>
      <c r="E2720" s="0" t="s">
        <v>4963</v>
      </c>
      <c r="F2720" s="0" t="s">
        <v>30</v>
      </c>
      <c r="G2720" s="0" t="s">
        <v>4980</v>
      </c>
      <c r="H2720" s="0" t="s">
        <v>4748</v>
      </c>
      <c r="I2720" s="0" t="s">
        <v>4981</v>
      </c>
      <c r="J2720" s="18" t="s">
        <v>24</v>
      </c>
    </row>
    <row r="2721" customFormat="false" ht="15" hidden="false" customHeight="false" outlineLevel="0" collapsed="false">
      <c r="A2721" s="0" t="s">
        <v>2302</v>
      </c>
      <c r="B2721" s="0" t="s">
        <v>3459</v>
      </c>
      <c r="C2721" s="0" t="s">
        <v>3447</v>
      </c>
      <c r="D2721" s="0" t="s">
        <v>3457</v>
      </c>
      <c r="E2721" s="0" t="s">
        <v>4963</v>
      </c>
      <c r="F2721" s="0" t="s">
        <v>30</v>
      </c>
      <c r="G2721" s="0" t="s">
        <v>4980</v>
      </c>
      <c r="H2721" s="0" t="s">
        <v>4749</v>
      </c>
      <c r="I2721" s="0" t="s">
        <v>4981</v>
      </c>
      <c r="J2721" s="18" t="s">
        <v>24</v>
      </c>
    </row>
    <row r="2722" customFormat="false" ht="15" hidden="false" customHeight="false" outlineLevel="0" collapsed="false">
      <c r="A2722" s="0" t="s">
        <v>2302</v>
      </c>
      <c r="B2722" s="0" t="s">
        <v>3459</v>
      </c>
      <c r="C2722" s="0" t="s">
        <v>3447</v>
      </c>
      <c r="D2722" s="0" t="s">
        <v>3448</v>
      </c>
      <c r="E2722" s="0" t="s">
        <v>4963</v>
      </c>
      <c r="F2722" s="0" t="s">
        <v>30</v>
      </c>
      <c r="G2722" s="0" t="s">
        <v>4980</v>
      </c>
      <c r="H2722" s="0" t="s">
        <v>4749</v>
      </c>
      <c r="I2722" s="0" t="s">
        <v>4981</v>
      </c>
      <c r="J2722" s="18" t="s">
        <v>24</v>
      </c>
    </row>
    <row r="2723" customFormat="false" ht="15" hidden="false" customHeight="false" outlineLevel="0" collapsed="false">
      <c r="A2723" s="0" t="s">
        <v>2308</v>
      </c>
      <c r="B2723" s="0" t="s">
        <v>134</v>
      </c>
      <c r="C2723" s="0" t="s">
        <v>3447</v>
      </c>
      <c r="D2723" s="0" t="s">
        <v>3457</v>
      </c>
      <c r="E2723" s="0" t="s">
        <v>4963</v>
      </c>
      <c r="F2723" s="0" t="s">
        <v>60</v>
      </c>
      <c r="G2723" s="0" t="s">
        <v>4964</v>
      </c>
      <c r="H2723" s="0" t="s">
        <v>5872</v>
      </c>
      <c r="I2723" s="0" t="s">
        <v>4966</v>
      </c>
      <c r="J2723" s="19" t="s">
        <v>26</v>
      </c>
    </row>
    <row r="2724" customFormat="false" ht="15" hidden="false" customHeight="false" outlineLevel="0" collapsed="false">
      <c r="A2724" s="0" t="s">
        <v>2308</v>
      </c>
      <c r="B2724" s="0" t="s">
        <v>134</v>
      </c>
      <c r="C2724" s="0" t="s">
        <v>3450</v>
      </c>
      <c r="D2724" s="0" t="s">
        <v>3457</v>
      </c>
      <c r="E2724" s="0" t="s">
        <v>4969</v>
      </c>
      <c r="F2724" s="0" t="s">
        <v>62</v>
      </c>
      <c r="G2724" s="0" t="s">
        <v>5003</v>
      </c>
      <c r="H2724" s="0" t="s">
        <v>5873</v>
      </c>
      <c r="I2724" s="0" t="s">
        <v>5005</v>
      </c>
      <c r="J2724" s="20" t="s">
        <v>25</v>
      </c>
    </row>
    <row r="2725" customFormat="false" ht="15" hidden="false" customHeight="false" outlineLevel="0" collapsed="false">
      <c r="A2725" s="0" t="s">
        <v>2308</v>
      </c>
      <c r="B2725" s="0" t="s">
        <v>134</v>
      </c>
      <c r="C2725" s="0" t="s">
        <v>3450</v>
      </c>
      <c r="D2725" s="0" t="s">
        <v>3448</v>
      </c>
      <c r="E2725" s="0" t="s">
        <v>4969</v>
      </c>
      <c r="F2725" s="0" t="s">
        <v>62</v>
      </c>
      <c r="G2725" s="0" t="s">
        <v>5003</v>
      </c>
      <c r="H2725" s="0" t="s">
        <v>5874</v>
      </c>
      <c r="I2725" s="0" t="s">
        <v>5005</v>
      </c>
      <c r="J2725" s="20" t="s">
        <v>25</v>
      </c>
    </row>
    <row r="2726" customFormat="false" ht="15" hidden="false" customHeight="false" outlineLevel="0" collapsed="false">
      <c r="A2726" s="0" t="s">
        <v>2308</v>
      </c>
      <c r="B2726" s="0" t="s">
        <v>134</v>
      </c>
      <c r="C2726" s="0" t="s">
        <v>3450</v>
      </c>
      <c r="D2726" s="0" t="s">
        <v>3448</v>
      </c>
      <c r="E2726" s="0" t="s">
        <v>4969</v>
      </c>
      <c r="F2726" s="0" t="s">
        <v>63</v>
      </c>
      <c r="G2726" s="0" t="s">
        <v>4220</v>
      </c>
      <c r="H2726" s="0" t="s">
        <v>5875</v>
      </c>
      <c r="I2726" s="0" t="s">
        <v>4979</v>
      </c>
      <c r="J2726" s="20" t="s">
        <v>25</v>
      </c>
    </row>
    <row r="2727" customFormat="false" ht="15" hidden="false" customHeight="false" outlineLevel="0" collapsed="false">
      <c r="A2727" s="0" t="s">
        <v>2308</v>
      </c>
      <c r="B2727" s="0" t="s">
        <v>134</v>
      </c>
      <c r="C2727" s="0" t="s">
        <v>3447</v>
      </c>
      <c r="D2727" s="0" t="s">
        <v>3457</v>
      </c>
      <c r="E2727" s="0" t="s">
        <v>4963</v>
      </c>
      <c r="F2727" s="0" t="s">
        <v>59</v>
      </c>
      <c r="G2727" s="0" t="s">
        <v>4974</v>
      </c>
      <c r="H2727" s="0" t="s">
        <v>69</v>
      </c>
      <c r="I2727" s="0" t="s">
        <v>4975</v>
      </c>
      <c r="J2727" s="20" t="s">
        <v>25</v>
      </c>
    </row>
    <row r="2728" customFormat="false" ht="15" hidden="false" customHeight="false" outlineLevel="0" collapsed="false">
      <c r="A2728" s="0" t="s">
        <v>2308</v>
      </c>
      <c r="B2728" s="0" t="s">
        <v>134</v>
      </c>
      <c r="C2728" s="0" t="s">
        <v>3447</v>
      </c>
      <c r="D2728" s="0" t="s">
        <v>3448</v>
      </c>
      <c r="E2728" s="0" t="s">
        <v>4969</v>
      </c>
      <c r="F2728" s="0" t="s">
        <v>63</v>
      </c>
      <c r="G2728" s="0" t="s">
        <v>4220</v>
      </c>
      <c r="H2728" s="0" t="s">
        <v>5875</v>
      </c>
      <c r="I2728" s="0" t="s">
        <v>4979</v>
      </c>
      <c r="J2728" s="20" t="s">
        <v>25</v>
      </c>
    </row>
    <row r="2729" customFormat="false" ht="15" hidden="false" customHeight="false" outlineLevel="0" collapsed="false">
      <c r="A2729" s="0" t="s">
        <v>2308</v>
      </c>
      <c r="B2729" s="0" t="s">
        <v>134</v>
      </c>
      <c r="C2729" s="0" t="s">
        <v>3447</v>
      </c>
      <c r="D2729" s="0" t="s">
        <v>3448</v>
      </c>
      <c r="E2729" s="0" t="s">
        <v>4963</v>
      </c>
      <c r="F2729" s="0" t="s">
        <v>30</v>
      </c>
      <c r="G2729" s="0" t="s">
        <v>4980</v>
      </c>
      <c r="H2729" s="0" t="s">
        <v>4751</v>
      </c>
      <c r="I2729" s="0" t="s">
        <v>4981</v>
      </c>
      <c r="J2729" s="18" t="s">
        <v>24</v>
      </c>
    </row>
    <row r="2730" customFormat="false" ht="15" hidden="false" customHeight="false" outlineLevel="0" collapsed="false">
      <c r="A2730" s="0" t="s">
        <v>2314</v>
      </c>
      <c r="B2730" s="0" t="s">
        <v>134</v>
      </c>
      <c r="C2730" s="0" t="s">
        <v>3447</v>
      </c>
      <c r="D2730" s="0" t="s">
        <v>3457</v>
      </c>
      <c r="E2730" s="0" t="s">
        <v>4963</v>
      </c>
      <c r="F2730" s="0" t="s">
        <v>60</v>
      </c>
      <c r="G2730" s="0" t="s">
        <v>4964</v>
      </c>
      <c r="H2730" s="0" t="s">
        <v>5056</v>
      </c>
      <c r="I2730" s="0" t="s">
        <v>4966</v>
      </c>
      <c r="J2730" s="19" t="s">
        <v>26</v>
      </c>
    </row>
    <row r="2731" customFormat="false" ht="15" hidden="false" customHeight="false" outlineLevel="0" collapsed="false">
      <c r="A2731" s="0" t="s">
        <v>2314</v>
      </c>
      <c r="B2731" s="0" t="s">
        <v>134</v>
      </c>
      <c r="C2731" s="0" t="s">
        <v>3447</v>
      </c>
      <c r="D2731" s="0" t="s">
        <v>3448</v>
      </c>
      <c r="E2731" s="0" t="s">
        <v>4963</v>
      </c>
      <c r="F2731" s="0" t="s">
        <v>60</v>
      </c>
      <c r="G2731" s="0" t="s">
        <v>4964</v>
      </c>
      <c r="H2731" s="0" t="s">
        <v>5876</v>
      </c>
      <c r="I2731" s="0" t="s">
        <v>4966</v>
      </c>
      <c r="J2731" s="19" t="s">
        <v>26</v>
      </c>
    </row>
    <row r="2732" customFormat="false" ht="15" hidden="false" customHeight="false" outlineLevel="0" collapsed="false">
      <c r="A2732" s="0" t="s">
        <v>2314</v>
      </c>
      <c r="B2732" s="0" t="s">
        <v>134</v>
      </c>
      <c r="C2732" s="0" t="s">
        <v>3447</v>
      </c>
      <c r="D2732" s="0" t="s">
        <v>3457</v>
      </c>
      <c r="E2732" s="0" t="s">
        <v>4963</v>
      </c>
      <c r="F2732" s="0" t="s">
        <v>59</v>
      </c>
      <c r="G2732" s="0" t="s">
        <v>4974</v>
      </c>
      <c r="H2732" s="0" t="s">
        <v>69</v>
      </c>
      <c r="I2732" s="0" t="s">
        <v>4975</v>
      </c>
      <c r="J2732" s="20" t="s">
        <v>25</v>
      </c>
    </row>
    <row r="2733" customFormat="false" ht="15" hidden="false" customHeight="false" outlineLevel="0" collapsed="false">
      <c r="A2733" s="0" t="s">
        <v>2314</v>
      </c>
      <c r="B2733" s="0" t="s">
        <v>134</v>
      </c>
      <c r="C2733" s="0" t="s">
        <v>3447</v>
      </c>
      <c r="D2733" s="0" t="s">
        <v>3448</v>
      </c>
      <c r="E2733" s="0" t="s">
        <v>4963</v>
      </c>
      <c r="F2733" s="0" t="s">
        <v>59</v>
      </c>
      <c r="G2733" s="0" t="s">
        <v>4974</v>
      </c>
      <c r="H2733" s="0" t="s">
        <v>69</v>
      </c>
      <c r="I2733" s="0" t="s">
        <v>4975</v>
      </c>
      <c r="J2733" s="20" t="s">
        <v>25</v>
      </c>
    </row>
    <row r="2734" customFormat="false" ht="15" hidden="false" customHeight="false" outlineLevel="0" collapsed="false">
      <c r="A2734" s="0" t="s">
        <v>2325</v>
      </c>
      <c r="B2734" s="0" t="s">
        <v>134</v>
      </c>
      <c r="C2734" s="0" t="s">
        <v>3450</v>
      </c>
      <c r="D2734" s="0" t="s">
        <v>3457</v>
      </c>
      <c r="E2734" s="0" t="s">
        <v>4969</v>
      </c>
      <c r="F2734" s="0" t="s">
        <v>62</v>
      </c>
      <c r="G2734" s="0" t="s">
        <v>5003</v>
      </c>
      <c r="H2734" s="0" t="s">
        <v>5877</v>
      </c>
      <c r="I2734" s="0" t="s">
        <v>5005</v>
      </c>
      <c r="J2734" s="20" t="s">
        <v>25</v>
      </c>
    </row>
    <row r="2735" customFormat="false" ht="15" hidden="false" customHeight="false" outlineLevel="0" collapsed="false">
      <c r="A2735" s="0" t="s">
        <v>2325</v>
      </c>
      <c r="B2735" s="0" t="s">
        <v>134</v>
      </c>
      <c r="C2735" s="0" t="s">
        <v>3450</v>
      </c>
      <c r="D2735" s="0" t="s">
        <v>3457</v>
      </c>
      <c r="E2735" s="0" t="s">
        <v>4969</v>
      </c>
      <c r="F2735" s="0" t="s">
        <v>64</v>
      </c>
      <c r="G2735" s="0" t="s">
        <v>4220</v>
      </c>
      <c r="H2735" s="0" t="s">
        <v>5878</v>
      </c>
      <c r="I2735" s="0" t="s">
        <v>4991</v>
      </c>
      <c r="J2735" s="20" t="s">
        <v>25</v>
      </c>
    </row>
    <row r="2736" customFormat="false" ht="15" hidden="false" customHeight="false" outlineLevel="0" collapsed="false">
      <c r="A2736" s="0" t="s">
        <v>2325</v>
      </c>
      <c r="B2736" s="0" t="s">
        <v>134</v>
      </c>
      <c r="C2736" s="0" t="s">
        <v>3450</v>
      </c>
      <c r="D2736" s="0" t="s">
        <v>3448</v>
      </c>
      <c r="E2736" s="0" t="s">
        <v>4969</v>
      </c>
      <c r="F2736" s="0" t="s">
        <v>62</v>
      </c>
      <c r="G2736" s="0" t="s">
        <v>5003</v>
      </c>
      <c r="H2736" s="0" t="s">
        <v>5879</v>
      </c>
      <c r="I2736" s="0" t="s">
        <v>5005</v>
      </c>
      <c r="J2736" s="20" t="s">
        <v>25</v>
      </c>
    </row>
    <row r="2737" customFormat="false" ht="15" hidden="false" customHeight="false" outlineLevel="0" collapsed="false">
      <c r="A2737" s="0" t="s">
        <v>2325</v>
      </c>
      <c r="B2737" s="0" t="s">
        <v>134</v>
      </c>
      <c r="C2737" s="0" t="s">
        <v>3447</v>
      </c>
      <c r="D2737" s="0" t="s">
        <v>3457</v>
      </c>
      <c r="E2737" s="0" t="s">
        <v>4969</v>
      </c>
      <c r="F2737" s="0" t="s">
        <v>64</v>
      </c>
      <c r="G2737" s="0" t="s">
        <v>4220</v>
      </c>
      <c r="H2737" s="0" t="s">
        <v>5878</v>
      </c>
      <c r="I2737" s="0" t="s">
        <v>4991</v>
      </c>
      <c r="J2737" s="20" t="s">
        <v>25</v>
      </c>
    </row>
    <row r="2738" customFormat="false" ht="15" hidden="false" customHeight="false" outlineLevel="0" collapsed="false">
      <c r="A2738" s="0" t="s">
        <v>2325</v>
      </c>
      <c r="B2738" s="0" t="s">
        <v>134</v>
      </c>
      <c r="C2738" s="0" t="s">
        <v>3447</v>
      </c>
      <c r="D2738" s="0" t="s">
        <v>3457</v>
      </c>
      <c r="E2738" s="0" t="s">
        <v>4963</v>
      </c>
      <c r="F2738" s="0" t="s">
        <v>30</v>
      </c>
      <c r="G2738" s="0" t="s">
        <v>4980</v>
      </c>
      <c r="H2738" s="0" t="s">
        <v>4753</v>
      </c>
      <c r="I2738" s="0" t="s">
        <v>4981</v>
      </c>
      <c r="J2738" s="18" t="s">
        <v>24</v>
      </c>
    </row>
    <row r="2739" customFormat="false" ht="15" hidden="false" customHeight="false" outlineLevel="0" collapsed="false">
      <c r="A2739" s="0" t="s">
        <v>2325</v>
      </c>
      <c r="B2739" s="0" t="s">
        <v>134</v>
      </c>
      <c r="C2739" s="0" t="s">
        <v>3447</v>
      </c>
      <c r="D2739" s="0" t="s">
        <v>3448</v>
      </c>
      <c r="E2739" s="0" t="s">
        <v>4963</v>
      </c>
      <c r="F2739" s="0" t="s">
        <v>30</v>
      </c>
      <c r="G2739" s="0" t="s">
        <v>4980</v>
      </c>
      <c r="H2739" s="0" t="s">
        <v>4228</v>
      </c>
      <c r="I2739" s="0" t="s">
        <v>4981</v>
      </c>
      <c r="J2739" s="18" t="s">
        <v>24</v>
      </c>
    </row>
    <row r="2740" customFormat="false" ht="15" hidden="false" customHeight="false" outlineLevel="0" collapsed="false">
      <c r="A2740" s="0" t="s">
        <v>2332</v>
      </c>
      <c r="B2740" s="0" t="s">
        <v>134</v>
      </c>
      <c r="C2740" s="0" t="s">
        <v>3450</v>
      </c>
      <c r="D2740" s="0" t="s">
        <v>3457</v>
      </c>
      <c r="E2740" s="0" t="s">
        <v>4963</v>
      </c>
      <c r="F2740" s="0" t="s">
        <v>59</v>
      </c>
      <c r="G2740" s="0" t="s">
        <v>4974</v>
      </c>
      <c r="H2740" s="0" t="s">
        <v>69</v>
      </c>
      <c r="I2740" s="0" t="s">
        <v>4975</v>
      </c>
      <c r="J2740" s="20" t="s">
        <v>25</v>
      </c>
    </row>
    <row r="2741" customFormat="false" ht="15" hidden="false" customHeight="false" outlineLevel="0" collapsed="false">
      <c r="A2741" s="0" t="s">
        <v>2332</v>
      </c>
      <c r="B2741" s="0" t="s">
        <v>134</v>
      </c>
      <c r="C2741" s="0" t="s">
        <v>3450</v>
      </c>
      <c r="D2741" s="0" t="s">
        <v>3457</v>
      </c>
      <c r="E2741" s="0" t="s">
        <v>4969</v>
      </c>
      <c r="F2741" s="0" t="s">
        <v>64</v>
      </c>
      <c r="G2741" s="0" t="s">
        <v>4220</v>
      </c>
      <c r="H2741" s="0" t="s">
        <v>5880</v>
      </c>
      <c r="I2741" s="0" t="s">
        <v>4991</v>
      </c>
      <c r="J2741" s="20" t="s">
        <v>25</v>
      </c>
    </row>
    <row r="2742" customFormat="false" ht="15" hidden="false" customHeight="false" outlineLevel="0" collapsed="false">
      <c r="A2742" s="0" t="s">
        <v>2332</v>
      </c>
      <c r="B2742" s="0" t="s">
        <v>134</v>
      </c>
      <c r="C2742" s="0" t="s">
        <v>3450</v>
      </c>
      <c r="D2742" s="0" t="s">
        <v>3448</v>
      </c>
      <c r="E2742" s="0" t="s">
        <v>4963</v>
      </c>
      <c r="F2742" s="0" t="s">
        <v>59</v>
      </c>
      <c r="G2742" s="0" t="s">
        <v>4974</v>
      </c>
      <c r="H2742" s="0" t="s">
        <v>69</v>
      </c>
      <c r="I2742" s="0" t="s">
        <v>4975</v>
      </c>
      <c r="J2742" s="20" t="s">
        <v>25</v>
      </c>
    </row>
    <row r="2743" customFormat="false" ht="15" hidden="false" customHeight="false" outlineLevel="0" collapsed="false">
      <c r="A2743" s="0" t="s">
        <v>2332</v>
      </c>
      <c r="B2743" s="0" t="s">
        <v>134</v>
      </c>
      <c r="C2743" s="0" t="s">
        <v>3450</v>
      </c>
      <c r="D2743" s="0" t="s">
        <v>3448</v>
      </c>
      <c r="E2743" s="0" t="s">
        <v>4969</v>
      </c>
      <c r="F2743" s="0" t="s">
        <v>63</v>
      </c>
      <c r="G2743" s="0" t="s">
        <v>4220</v>
      </c>
      <c r="H2743" s="0" t="s">
        <v>5693</v>
      </c>
      <c r="I2743" s="0" t="s">
        <v>4979</v>
      </c>
      <c r="J2743" s="20" t="s">
        <v>25</v>
      </c>
    </row>
    <row r="2744" customFormat="false" ht="15" hidden="false" customHeight="false" outlineLevel="0" collapsed="false">
      <c r="A2744" s="0" t="s">
        <v>2332</v>
      </c>
      <c r="B2744" s="0" t="s">
        <v>134</v>
      </c>
      <c r="C2744" s="0" t="s">
        <v>3447</v>
      </c>
      <c r="D2744" s="0" t="s">
        <v>3457</v>
      </c>
      <c r="E2744" s="0" t="s">
        <v>4969</v>
      </c>
      <c r="F2744" s="0" t="s">
        <v>64</v>
      </c>
      <c r="G2744" s="0" t="s">
        <v>4220</v>
      </c>
      <c r="H2744" s="0" t="s">
        <v>5880</v>
      </c>
      <c r="I2744" s="0" t="s">
        <v>4991</v>
      </c>
      <c r="J2744" s="20" t="s">
        <v>25</v>
      </c>
    </row>
    <row r="2745" customFormat="false" ht="15" hidden="false" customHeight="false" outlineLevel="0" collapsed="false">
      <c r="A2745" s="0" t="s">
        <v>2332</v>
      </c>
      <c r="B2745" s="0" t="s">
        <v>134</v>
      </c>
      <c r="C2745" s="0" t="s">
        <v>3447</v>
      </c>
      <c r="D2745" s="0" t="s">
        <v>3448</v>
      </c>
      <c r="E2745" s="0" t="s">
        <v>4969</v>
      </c>
      <c r="F2745" s="0" t="s">
        <v>63</v>
      </c>
      <c r="G2745" s="0" t="s">
        <v>4220</v>
      </c>
      <c r="H2745" s="0" t="s">
        <v>5693</v>
      </c>
      <c r="I2745" s="0" t="s">
        <v>4979</v>
      </c>
      <c r="J2745" s="20" t="s">
        <v>25</v>
      </c>
    </row>
    <row r="2746" customFormat="false" ht="15" hidden="false" customHeight="false" outlineLevel="0" collapsed="false">
      <c r="A2746" s="0" t="s">
        <v>2332</v>
      </c>
      <c r="B2746" s="0" t="s">
        <v>3459</v>
      </c>
      <c r="C2746" s="0" t="s">
        <v>3450</v>
      </c>
      <c r="D2746" s="0" t="s">
        <v>3457</v>
      </c>
      <c r="E2746" s="0" t="s">
        <v>4963</v>
      </c>
      <c r="F2746" s="0" t="s">
        <v>59</v>
      </c>
      <c r="G2746" s="0" t="s">
        <v>4974</v>
      </c>
      <c r="H2746" s="0" t="s">
        <v>69</v>
      </c>
      <c r="I2746" s="0" t="s">
        <v>4975</v>
      </c>
      <c r="J2746" s="20" t="s">
        <v>25</v>
      </c>
    </row>
    <row r="2747" customFormat="false" ht="15" hidden="false" customHeight="false" outlineLevel="0" collapsed="false">
      <c r="A2747" s="0" t="s">
        <v>2332</v>
      </c>
      <c r="B2747" s="0" t="s">
        <v>3459</v>
      </c>
      <c r="C2747" s="0" t="s">
        <v>3450</v>
      </c>
      <c r="D2747" s="0" t="s">
        <v>3448</v>
      </c>
      <c r="E2747" s="0" t="s">
        <v>4963</v>
      </c>
      <c r="F2747" s="0" t="s">
        <v>59</v>
      </c>
      <c r="G2747" s="0" t="s">
        <v>4974</v>
      </c>
      <c r="H2747" s="0" t="s">
        <v>69</v>
      </c>
      <c r="I2747" s="0" t="s">
        <v>4975</v>
      </c>
      <c r="J2747" s="20" t="s">
        <v>25</v>
      </c>
    </row>
    <row r="2748" customFormat="false" ht="15" hidden="false" customHeight="false" outlineLevel="0" collapsed="false">
      <c r="A2748" s="0" t="s">
        <v>2332</v>
      </c>
      <c r="B2748" s="0" t="s">
        <v>3459</v>
      </c>
      <c r="C2748" s="0" t="s">
        <v>3450</v>
      </c>
      <c r="D2748" s="0" t="s">
        <v>3448</v>
      </c>
      <c r="E2748" s="0" t="s">
        <v>4969</v>
      </c>
      <c r="F2748" s="0" t="s">
        <v>64</v>
      </c>
      <c r="G2748" s="0" t="s">
        <v>4220</v>
      </c>
      <c r="H2748" s="0" t="s">
        <v>5881</v>
      </c>
      <c r="I2748" s="0" t="s">
        <v>4991</v>
      </c>
      <c r="J2748" s="20" t="s">
        <v>25</v>
      </c>
    </row>
    <row r="2749" customFormat="false" ht="15" hidden="false" customHeight="false" outlineLevel="0" collapsed="false">
      <c r="A2749" s="0" t="s">
        <v>2332</v>
      </c>
      <c r="B2749" s="0" t="s">
        <v>3459</v>
      </c>
      <c r="C2749" s="0" t="s">
        <v>3447</v>
      </c>
      <c r="D2749" s="0" t="s">
        <v>3448</v>
      </c>
      <c r="E2749" s="0" t="s">
        <v>4969</v>
      </c>
      <c r="F2749" s="0" t="s">
        <v>64</v>
      </c>
      <c r="G2749" s="0" t="s">
        <v>4220</v>
      </c>
      <c r="H2749" s="0" t="s">
        <v>5881</v>
      </c>
      <c r="I2749" s="0" t="s">
        <v>4991</v>
      </c>
      <c r="J2749" s="20" t="s">
        <v>25</v>
      </c>
    </row>
    <row r="2750" customFormat="false" ht="15" hidden="false" customHeight="false" outlineLevel="0" collapsed="false">
      <c r="A2750" s="0" t="s">
        <v>2332</v>
      </c>
      <c r="B2750" s="0" t="s">
        <v>134</v>
      </c>
      <c r="C2750" s="0" t="s">
        <v>3450</v>
      </c>
      <c r="D2750" s="0" t="s">
        <v>3457</v>
      </c>
      <c r="E2750" s="0" t="s">
        <v>4963</v>
      </c>
      <c r="F2750" s="0" t="s">
        <v>30</v>
      </c>
      <c r="G2750" s="0" t="s">
        <v>4980</v>
      </c>
      <c r="H2750" s="0" t="s">
        <v>4375</v>
      </c>
      <c r="I2750" s="0" t="s">
        <v>4981</v>
      </c>
      <c r="J2750" s="18" t="s">
        <v>24</v>
      </c>
    </row>
    <row r="2751" customFormat="false" ht="15" hidden="false" customHeight="false" outlineLevel="0" collapsed="false">
      <c r="A2751" s="0" t="s">
        <v>2332</v>
      </c>
      <c r="B2751" s="0" t="s">
        <v>134</v>
      </c>
      <c r="C2751" s="0" t="s">
        <v>3450</v>
      </c>
      <c r="D2751" s="0" t="s">
        <v>3448</v>
      </c>
      <c r="E2751" s="0" t="s">
        <v>4963</v>
      </c>
      <c r="F2751" s="0" t="s">
        <v>30</v>
      </c>
      <c r="G2751" s="0" t="s">
        <v>4980</v>
      </c>
      <c r="H2751" s="0" t="s">
        <v>4375</v>
      </c>
      <c r="I2751" s="0" t="s">
        <v>4981</v>
      </c>
      <c r="J2751" s="18" t="s">
        <v>24</v>
      </c>
    </row>
    <row r="2752" customFormat="false" ht="15" hidden="false" customHeight="false" outlineLevel="0" collapsed="false">
      <c r="A2752" s="0" t="s">
        <v>2332</v>
      </c>
      <c r="B2752" s="0" t="s">
        <v>134</v>
      </c>
      <c r="C2752" s="0" t="s">
        <v>3447</v>
      </c>
      <c r="D2752" s="0" t="s">
        <v>3457</v>
      </c>
      <c r="E2752" s="0" t="s">
        <v>4963</v>
      </c>
      <c r="F2752" s="0" t="s">
        <v>30</v>
      </c>
      <c r="G2752" s="0" t="s">
        <v>4980</v>
      </c>
      <c r="H2752" s="0" t="s">
        <v>4266</v>
      </c>
      <c r="I2752" s="0" t="s">
        <v>4981</v>
      </c>
      <c r="J2752" s="18" t="s">
        <v>24</v>
      </c>
    </row>
    <row r="2753" customFormat="false" ht="15" hidden="false" customHeight="false" outlineLevel="0" collapsed="false">
      <c r="A2753" s="0" t="s">
        <v>2332</v>
      </c>
      <c r="B2753" s="0" t="s">
        <v>134</v>
      </c>
      <c r="C2753" s="0" t="s">
        <v>3447</v>
      </c>
      <c r="D2753" s="0" t="s">
        <v>3448</v>
      </c>
      <c r="E2753" s="0" t="s">
        <v>4963</v>
      </c>
      <c r="F2753" s="0" t="s">
        <v>30</v>
      </c>
      <c r="G2753" s="0" t="s">
        <v>4980</v>
      </c>
      <c r="H2753" s="0" t="s">
        <v>4493</v>
      </c>
      <c r="I2753" s="0" t="s">
        <v>4981</v>
      </c>
      <c r="J2753" s="18" t="s">
        <v>24</v>
      </c>
    </row>
    <row r="2754" customFormat="false" ht="15" hidden="false" customHeight="false" outlineLevel="0" collapsed="false">
      <c r="A2754" s="0" t="s">
        <v>2332</v>
      </c>
      <c r="B2754" s="0" t="s">
        <v>3459</v>
      </c>
      <c r="C2754" s="0" t="s">
        <v>3450</v>
      </c>
      <c r="D2754" s="0" t="s">
        <v>3457</v>
      </c>
      <c r="E2754" s="0" t="s">
        <v>4963</v>
      </c>
      <c r="F2754" s="0" t="s">
        <v>30</v>
      </c>
      <c r="G2754" s="0" t="s">
        <v>4980</v>
      </c>
      <c r="H2754" s="0" t="s">
        <v>4754</v>
      </c>
      <c r="I2754" s="0" t="s">
        <v>4981</v>
      </c>
      <c r="J2754" s="18" t="s">
        <v>24</v>
      </c>
    </row>
    <row r="2755" customFormat="false" ht="15" hidden="false" customHeight="false" outlineLevel="0" collapsed="false">
      <c r="A2755" s="0" t="s">
        <v>2332</v>
      </c>
      <c r="B2755" s="0" t="s">
        <v>3459</v>
      </c>
      <c r="C2755" s="0" t="s">
        <v>3450</v>
      </c>
      <c r="D2755" s="0" t="s">
        <v>3448</v>
      </c>
      <c r="E2755" s="0" t="s">
        <v>4963</v>
      </c>
      <c r="F2755" s="0" t="s">
        <v>30</v>
      </c>
      <c r="G2755" s="0" t="s">
        <v>4980</v>
      </c>
      <c r="H2755" s="0" t="s">
        <v>4265</v>
      </c>
      <c r="I2755" s="0" t="s">
        <v>4981</v>
      </c>
      <c r="J2755" s="18" t="s">
        <v>24</v>
      </c>
    </row>
    <row r="2756" customFormat="false" ht="15" hidden="false" customHeight="false" outlineLevel="0" collapsed="false">
      <c r="A2756" s="0" t="s">
        <v>2338</v>
      </c>
      <c r="B2756" s="0" t="s">
        <v>134</v>
      </c>
      <c r="C2756" s="0" t="s">
        <v>3450</v>
      </c>
      <c r="D2756" s="0" t="s">
        <v>3457</v>
      </c>
      <c r="E2756" s="0" t="s">
        <v>4963</v>
      </c>
      <c r="F2756" s="0" t="s">
        <v>60</v>
      </c>
      <c r="G2756" s="0" t="s">
        <v>4964</v>
      </c>
      <c r="H2756" s="0" t="s">
        <v>5882</v>
      </c>
      <c r="I2756" s="0" t="s">
        <v>4966</v>
      </c>
      <c r="J2756" s="19" t="s">
        <v>26</v>
      </c>
    </row>
    <row r="2757" customFormat="false" ht="15" hidden="false" customHeight="false" outlineLevel="0" collapsed="false">
      <c r="A2757" s="0" t="s">
        <v>2338</v>
      </c>
      <c r="B2757" s="0" t="s">
        <v>134</v>
      </c>
      <c r="C2757" s="0" t="s">
        <v>3450</v>
      </c>
      <c r="D2757" s="0" t="s">
        <v>3457</v>
      </c>
      <c r="E2757" s="0" t="s">
        <v>4963</v>
      </c>
      <c r="F2757" s="0" t="s">
        <v>59</v>
      </c>
      <c r="G2757" s="0" t="s">
        <v>4974</v>
      </c>
      <c r="H2757" s="0" t="s">
        <v>69</v>
      </c>
      <c r="I2757" s="0" t="s">
        <v>4975</v>
      </c>
      <c r="J2757" s="20" t="s">
        <v>25</v>
      </c>
    </row>
    <row r="2758" customFormat="false" ht="15" hidden="false" customHeight="false" outlineLevel="0" collapsed="false">
      <c r="A2758" s="0" t="s">
        <v>2338</v>
      </c>
      <c r="B2758" s="0" t="s">
        <v>134</v>
      </c>
      <c r="C2758" s="0" t="s">
        <v>3450</v>
      </c>
      <c r="D2758" s="0" t="s">
        <v>3457</v>
      </c>
      <c r="E2758" s="0" t="s">
        <v>4969</v>
      </c>
      <c r="F2758" s="0" t="s">
        <v>61</v>
      </c>
      <c r="G2758" s="0" t="s">
        <v>4970</v>
      </c>
      <c r="H2758" s="0" t="s">
        <v>5883</v>
      </c>
      <c r="I2758" s="0" t="s">
        <v>4972</v>
      </c>
      <c r="J2758" s="20" t="s">
        <v>25</v>
      </c>
    </row>
    <row r="2759" customFormat="false" ht="15" hidden="false" customHeight="false" outlineLevel="0" collapsed="false">
      <c r="A2759" s="0" t="s">
        <v>2338</v>
      </c>
      <c r="B2759" s="0" t="s">
        <v>134</v>
      </c>
      <c r="C2759" s="0" t="s">
        <v>3450</v>
      </c>
      <c r="D2759" s="0" t="s">
        <v>3457</v>
      </c>
      <c r="E2759" s="0" t="s">
        <v>4969</v>
      </c>
      <c r="F2759" s="0" t="s">
        <v>63</v>
      </c>
      <c r="G2759" s="0" t="s">
        <v>4220</v>
      </c>
      <c r="H2759" s="0" t="s">
        <v>5884</v>
      </c>
      <c r="I2759" s="0" t="s">
        <v>4979</v>
      </c>
      <c r="J2759" s="20" t="s">
        <v>25</v>
      </c>
    </row>
    <row r="2760" customFormat="false" ht="15" hidden="false" customHeight="false" outlineLevel="0" collapsed="false">
      <c r="A2760" s="0" t="s">
        <v>2338</v>
      </c>
      <c r="B2760" s="0" t="s">
        <v>134</v>
      </c>
      <c r="C2760" s="0" t="s">
        <v>3450</v>
      </c>
      <c r="D2760" s="0" t="s">
        <v>3448</v>
      </c>
      <c r="E2760" s="0" t="s">
        <v>4963</v>
      </c>
      <c r="F2760" s="0" t="s">
        <v>59</v>
      </c>
      <c r="G2760" s="0" t="s">
        <v>4974</v>
      </c>
      <c r="H2760" s="0" t="s">
        <v>69</v>
      </c>
      <c r="I2760" s="0" t="s">
        <v>4975</v>
      </c>
      <c r="J2760" s="20" t="s">
        <v>25</v>
      </c>
    </row>
    <row r="2761" customFormat="false" ht="15" hidden="false" customHeight="false" outlineLevel="0" collapsed="false">
      <c r="A2761" s="0" t="s">
        <v>2338</v>
      </c>
      <c r="B2761" s="0" t="s">
        <v>134</v>
      </c>
      <c r="C2761" s="0" t="s">
        <v>3450</v>
      </c>
      <c r="D2761" s="0" t="s">
        <v>3448</v>
      </c>
      <c r="E2761" s="0" t="s">
        <v>4969</v>
      </c>
      <c r="F2761" s="0" t="s">
        <v>63</v>
      </c>
      <c r="G2761" s="0" t="s">
        <v>4220</v>
      </c>
      <c r="H2761" s="0" t="s">
        <v>5885</v>
      </c>
      <c r="I2761" s="0" t="s">
        <v>4979</v>
      </c>
      <c r="J2761" s="20" t="s">
        <v>25</v>
      </c>
    </row>
    <row r="2762" customFormat="false" ht="15" hidden="false" customHeight="false" outlineLevel="0" collapsed="false">
      <c r="A2762" s="0" t="s">
        <v>2338</v>
      </c>
      <c r="B2762" s="0" t="s">
        <v>134</v>
      </c>
      <c r="C2762" s="0" t="s">
        <v>3447</v>
      </c>
      <c r="D2762" s="0" t="s">
        <v>3457</v>
      </c>
      <c r="E2762" s="0" t="s">
        <v>4963</v>
      </c>
      <c r="F2762" s="0" t="s">
        <v>59</v>
      </c>
      <c r="G2762" s="0" t="s">
        <v>4974</v>
      </c>
      <c r="H2762" s="0" t="s">
        <v>69</v>
      </c>
      <c r="I2762" s="0" t="s">
        <v>4975</v>
      </c>
      <c r="J2762" s="20" t="s">
        <v>25</v>
      </c>
    </row>
    <row r="2763" customFormat="false" ht="15" hidden="false" customHeight="false" outlineLevel="0" collapsed="false">
      <c r="A2763" s="0" t="s">
        <v>2338</v>
      </c>
      <c r="B2763" s="0" t="s">
        <v>134</v>
      </c>
      <c r="C2763" s="0" t="s">
        <v>3447</v>
      </c>
      <c r="D2763" s="0" t="s">
        <v>3457</v>
      </c>
      <c r="E2763" s="0" t="s">
        <v>4969</v>
      </c>
      <c r="F2763" s="0" t="s">
        <v>61</v>
      </c>
      <c r="G2763" s="0" t="s">
        <v>4970</v>
      </c>
      <c r="H2763" s="0" t="s">
        <v>5886</v>
      </c>
      <c r="I2763" s="0" t="s">
        <v>4972</v>
      </c>
      <c r="J2763" s="20" t="s">
        <v>25</v>
      </c>
    </row>
    <row r="2764" customFormat="false" ht="15" hidden="false" customHeight="false" outlineLevel="0" collapsed="false">
      <c r="A2764" s="0" t="s">
        <v>2338</v>
      </c>
      <c r="B2764" s="0" t="s">
        <v>134</v>
      </c>
      <c r="C2764" s="0" t="s">
        <v>3447</v>
      </c>
      <c r="D2764" s="0" t="s">
        <v>3457</v>
      </c>
      <c r="E2764" s="0" t="s">
        <v>4969</v>
      </c>
      <c r="F2764" s="0" t="s">
        <v>63</v>
      </c>
      <c r="G2764" s="0" t="s">
        <v>4220</v>
      </c>
      <c r="H2764" s="0" t="s">
        <v>5884</v>
      </c>
      <c r="I2764" s="0" t="s">
        <v>4979</v>
      </c>
      <c r="J2764" s="20" t="s">
        <v>25</v>
      </c>
    </row>
    <row r="2765" customFormat="false" ht="15" hidden="false" customHeight="false" outlineLevel="0" collapsed="false">
      <c r="A2765" s="0" t="s">
        <v>2338</v>
      </c>
      <c r="B2765" s="0" t="s">
        <v>134</v>
      </c>
      <c r="C2765" s="0" t="s">
        <v>3447</v>
      </c>
      <c r="D2765" s="0" t="s">
        <v>3448</v>
      </c>
      <c r="E2765" s="0" t="s">
        <v>4969</v>
      </c>
      <c r="F2765" s="0" t="s">
        <v>63</v>
      </c>
      <c r="G2765" s="0" t="s">
        <v>4220</v>
      </c>
      <c r="H2765" s="0" t="s">
        <v>5885</v>
      </c>
      <c r="I2765" s="0" t="s">
        <v>4979</v>
      </c>
      <c r="J2765" s="20" t="s">
        <v>25</v>
      </c>
    </row>
    <row r="2766" customFormat="false" ht="15" hidden="false" customHeight="false" outlineLevel="0" collapsed="false">
      <c r="A2766" s="0" t="s">
        <v>2338</v>
      </c>
      <c r="B2766" s="0" t="s">
        <v>134</v>
      </c>
      <c r="C2766" s="0" t="s">
        <v>3450</v>
      </c>
      <c r="D2766" s="0" t="s">
        <v>3448</v>
      </c>
      <c r="E2766" s="0" t="s">
        <v>4963</v>
      </c>
      <c r="F2766" s="0" t="s">
        <v>30</v>
      </c>
      <c r="G2766" s="0" t="s">
        <v>4980</v>
      </c>
      <c r="H2766" s="0" t="s">
        <v>4242</v>
      </c>
      <c r="I2766" s="0" t="s">
        <v>4981</v>
      </c>
      <c r="J2766" s="18" t="s">
        <v>24</v>
      </c>
    </row>
    <row r="2767" customFormat="false" ht="15" hidden="false" customHeight="false" outlineLevel="0" collapsed="false">
      <c r="A2767" s="0" t="s">
        <v>2338</v>
      </c>
      <c r="B2767" s="0" t="s">
        <v>134</v>
      </c>
      <c r="C2767" s="0" t="s">
        <v>3447</v>
      </c>
      <c r="D2767" s="0" t="s">
        <v>3457</v>
      </c>
      <c r="E2767" s="0" t="s">
        <v>4963</v>
      </c>
      <c r="F2767" s="0" t="s">
        <v>30</v>
      </c>
      <c r="G2767" s="0" t="s">
        <v>4980</v>
      </c>
      <c r="H2767" s="0" t="s">
        <v>4289</v>
      </c>
      <c r="I2767" s="0" t="s">
        <v>4981</v>
      </c>
      <c r="J2767" s="18" t="s">
        <v>24</v>
      </c>
    </row>
    <row r="2768" customFormat="false" ht="15" hidden="false" customHeight="false" outlineLevel="0" collapsed="false">
      <c r="A2768" s="0" t="s">
        <v>2338</v>
      </c>
      <c r="B2768" s="0" t="s">
        <v>134</v>
      </c>
      <c r="C2768" s="0" t="s">
        <v>3447</v>
      </c>
      <c r="D2768" s="0" t="s">
        <v>3448</v>
      </c>
      <c r="E2768" s="0" t="s">
        <v>4963</v>
      </c>
      <c r="F2768" s="0" t="s">
        <v>30</v>
      </c>
      <c r="G2768" s="0" t="s">
        <v>4980</v>
      </c>
      <c r="H2768" s="0" t="s">
        <v>4426</v>
      </c>
      <c r="I2768" s="0" t="s">
        <v>4981</v>
      </c>
      <c r="J2768" s="18" t="s">
        <v>24</v>
      </c>
    </row>
    <row r="2769" customFormat="false" ht="15" hidden="false" customHeight="false" outlineLevel="0" collapsed="false">
      <c r="A2769" s="0" t="s">
        <v>2344</v>
      </c>
      <c r="B2769" s="0" t="s">
        <v>134</v>
      </c>
      <c r="C2769" s="0" t="s">
        <v>3450</v>
      </c>
      <c r="D2769" s="0" t="s">
        <v>3457</v>
      </c>
      <c r="E2769" s="0" t="s">
        <v>4963</v>
      </c>
      <c r="F2769" s="0" t="s">
        <v>59</v>
      </c>
      <c r="G2769" s="0" t="s">
        <v>4974</v>
      </c>
      <c r="H2769" s="0" t="s">
        <v>70</v>
      </c>
      <c r="I2769" s="0" t="s">
        <v>4975</v>
      </c>
      <c r="J2769" s="20" t="s">
        <v>25</v>
      </c>
    </row>
    <row r="2770" customFormat="false" ht="15" hidden="false" customHeight="false" outlineLevel="0" collapsed="false">
      <c r="A2770" s="0" t="s">
        <v>2344</v>
      </c>
      <c r="B2770" s="0" t="s">
        <v>134</v>
      </c>
      <c r="C2770" s="0" t="s">
        <v>3450</v>
      </c>
      <c r="D2770" s="0" t="s">
        <v>3457</v>
      </c>
      <c r="E2770" s="0" t="s">
        <v>4969</v>
      </c>
      <c r="F2770" s="0" t="s">
        <v>61</v>
      </c>
      <c r="G2770" s="0" t="s">
        <v>4970</v>
      </c>
      <c r="H2770" s="0" t="s">
        <v>5887</v>
      </c>
      <c r="I2770" s="0" t="s">
        <v>4972</v>
      </c>
      <c r="J2770" s="20" t="s">
        <v>25</v>
      </c>
    </row>
    <row r="2771" customFormat="false" ht="15" hidden="false" customHeight="false" outlineLevel="0" collapsed="false">
      <c r="A2771" s="0" t="s">
        <v>2344</v>
      </c>
      <c r="B2771" s="0" t="s">
        <v>134</v>
      </c>
      <c r="C2771" s="0" t="s">
        <v>3450</v>
      </c>
      <c r="D2771" s="0" t="s">
        <v>3448</v>
      </c>
      <c r="E2771" s="0" t="s">
        <v>4963</v>
      </c>
      <c r="F2771" s="0" t="s">
        <v>59</v>
      </c>
      <c r="G2771" s="0" t="s">
        <v>4974</v>
      </c>
      <c r="H2771" s="0" t="s">
        <v>70</v>
      </c>
      <c r="I2771" s="0" t="s">
        <v>4975</v>
      </c>
      <c r="J2771" s="20" t="s">
        <v>25</v>
      </c>
    </row>
    <row r="2772" customFormat="false" ht="15" hidden="false" customHeight="false" outlineLevel="0" collapsed="false">
      <c r="A2772" s="0" t="s">
        <v>2344</v>
      </c>
      <c r="B2772" s="0" t="s">
        <v>134</v>
      </c>
      <c r="C2772" s="0" t="s">
        <v>3450</v>
      </c>
      <c r="D2772" s="0" t="s">
        <v>3448</v>
      </c>
      <c r="E2772" s="0" t="s">
        <v>4969</v>
      </c>
      <c r="F2772" s="0" t="s">
        <v>63</v>
      </c>
      <c r="G2772" s="0" t="s">
        <v>4220</v>
      </c>
      <c r="H2772" s="0" t="s">
        <v>5888</v>
      </c>
      <c r="I2772" s="0" t="s">
        <v>4979</v>
      </c>
      <c r="J2772" s="20" t="s">
        <v>25</v>
      </c>
    </row>
    <row r="2773" customFormat="false" ht="15" hidden="false" customHeight="false" outlineLevel="0" collapsed="false">
      <c r="A2773" s="0" t="s">
        <v>2344</v>
      </c>
      <c r="B2773" s="0" t="s">
        <v>134</v>
      </c>
      <c r="C2773" s="0" t="s">
        <v>3447</v>
      </c>
      <c r="D2773" s="0" t="s">
        <v>3448</v>
      </c>
      <c r="E2773" s="0" t="s">
        <v>4969</v>
      </c>
      <c r="F2773" s="0" t="s">
        <v>63</v>
      </c>
      <c r="G2773" s="0" t="s">
        <v>4220</v>
      </c>
      <c r="H2773" s="0" t="s">
        <v>5888</v>
      </c>
      <c r="I2773" s="0" t="s">
        <v>4979</v>
      </c>
      <c r="J2773" s="20" t="s">
        <v>25</v>
      </c>
    </row>
    <row r="2774" customFormat="false" ht="15" hidden="false" customHeight="false" outlineLevel="0" collapsed="false">
      <c r="A2774" s="0" t="s">
        <v>2344</v>
      </c>
      <c r="B2774" s="0" t="s">
        <v>134</v>
      </c>
      <c r="C2774" s="0" t="s">
        <v>3450</v>
      </c>
      <c r="D2774" s="0" t="s">
        <v>3457</v>
      </c>
      <c r="E2774" s="0" t="s">
        <v>4963</v>
      </c>
      <c r="F2774" s="0" t="s">
        <v>30</v>
      </c>
      <c r="G2774" s="0" t="s">
        <v>4980</v>
      </c>
      <c r="H2774" s="0" t="s">
        <v>4378</v>
      </c>
      <c r="I2774" s="0" t="s">
        <v>4981</v>
      </c>
      <c r="J2774" s="18" t="s">
        <v>24</v>
      </c>
    </row>
    <row r="2775" customFormat="false" ht="15" hidden="false" customHeight="false" outlineLevel="0" collapsed="false">
      <c r="A2775" s="0" t="s">
        <v>2344</v>
      </c>
      <c r="B2775" s="0" t="s">
        <v>134</v>
      </c>
      <c r="C2775" s="0" t="s">
        <v>3450</v>
      </c>
      <c r="D2775" s="0" t="s">
        <v>3448</v>
      </c>
      <c r="E2775" s="0" t="s">
        <v>4963</v>
      </c>
      <c r="F2775" s="0" t="s">
        <v>30</v>
      </c>
      <c r="G2775" s="0" t="s">
        <v>4980</v>
      </c>
      <c r="H2775" s="0" t="s">
        <v>4378</v>
      </c>
      <c r="I2775" s="0" t="s">
        <v>4981</v>
      </c>
      <c r="J2775" s="18" t="s">
        <v>24</v>
      </c>
    </row>
    <row r="2776" customFormat="false" ht="15" hidden="false" customHeight="false" outlineLevel="0" collapsed="false">
      <c r="A2776" s="0" t="s">
        <v>2344</v>
      </c>
      <c r="B2776" s="0" t="s">
        <v>134</v>
      </c>
      <c r="C2776" s="0" t="s">
        <v>3447</v>
      </c>
      <c r="D2776" s="0" t="s">
        <v>3448</v>
      </c>
      <c r="E2776" s="0" t="s">
        <v>4963</v>
      </c>
      <c r="F2776" s="0" t="s">
        <v>30</v>
      </c>
      <c r="G2776" s="0" t="s">
        <v>4980</v>
      </c>
      <c r="H2776" s="0" t="s">
        <v>4756</v>
      </c>
      <c r="I2776" s="0" t="s">
        <v>4981</v>
      </c>
      <c r="J2776" s="18" t="s">
        <v>24</v>
      </c>
    </row>
    <row r="2777" customFormat="false" ht="15" hidden="false" customHeight="false" outlineLevel="0" collapsed="false">
      <c r="A2777" s="0" t="s">
        <v>2355</v>
      </c>
      <c r="B2777" s="0" t="s">
        <v>134</v>
      </c>
      <c r="C2777" s="0" t="s">
        <v>3450</v>
      </c>
      <c r="D2777" s="0" t="s">
        <v>3457</v>
      </c>
      <c r="E2777" s="0" t="s">
        <v>4969</v>
      </c>
      <c r="F2777" s="0" t="s">
        <v>66</v>
      </c>
      <c r="G2777" s="0" t="s">
        <v>4970</v>
      </c>
      <c r="H2777" s="0" t="s">
        <v>5889</v>
      </c>
      <c r="I2777" s="0" t="s">
        <v>5030</v>
      </c>
      <c r="J2777" s="20" t="s">
        <v>25</v>
      </c>
    </row>
    <row r="2778" customFormat="false" ht="15" hidden="false" customHeight="false" outlineLevel="0" collapsed="false">
      <c r="A2778" s="0" t="s">
        <v>2355</v>
      </c>
      <c r="B2778" s="0" t="s">
        <v>134</v>
      </c>
      <c r="C2778" s="0" t="s">
        <v>3450</v>
      </c>
      <c r="D2778" s="0" t="s">
        <v>3448</v>
      </c>
      <c r="E2778" s="0" t="s">
        <v>4969</v>
      </c>
      <c r="F2778" s="0" t="s">
        <v>66</v>
      </c>
      <c r="G2778" s="0" t="s">
        <v>4970</v>
      </c>
      <c r="H2778" s="0" t="s">
        <v>5890</v>
      </c>
      <c r="I2778" s="0" t="s">
        <v>5030</v>
      </c>
      <c r="J2778" s="20" t="s">
        <v>25</v>
      </c>
    </row>
    <row r="2779" customFormat="false" ht="15" hidden="false" customHeight="false" outlineLevel="0" collapsed="false">
      <c r="A2779" s="0" t="s">
        <v>2355</v>
      </c>
      <c r="B2779" s="0" t="s">
        <v>134</v>
      </c>
      <c r="C2779" s="0" t="s">
        <v>3447</v>
      </c>
      <c r="D2779" s="0" t="s">
        <v>3457</v>
      </c>
      <c r="E2779" s="0" t="s">
        <v>4969</v>
      </c>
      <c r="F2779" s="0" t="s">
        <v>66</v>
      </c>
      <c r="G2779" s="0" t="s">
        <v>4970</v>
      </c>
      <c r="H2779" s="0" t="s">
        <v>5891</v>
      </c>
      <c r="I2779" s="0" t="s">
        <v>5030</v>
      </c>
      <c r="J2779" s="20" t="s">
        <v>25</v>
      </c>
    </row>
    <row r="2780" customFormat="false" ht="15" hidden="false" customHeight="false" outlineLevel="0" collapsed="false">
      <c r="A2780" s="0" t="s">
        <v>2355</v>
      </c>
      <c r="B2780" s="0" t="s">
        <v>134</v>
      </c>
      <c r="C2780" s="0" t="s">
        <v>3447</v>
      </c>
      <c r="D2780" s="0" t="s">
        <v>3448</v>
      </c>
      <c r="E2780" s="0" t="s">
        <v>4969</v>
      </c>
      <c r="F2780" s="0" t="s">
        <v>66</v>
      </c>
      <c r="G2780" s="0" t="s">
        <v>4970</v>
      </c>
      <c r="H2780" s="0" t="s">
        <v>5892</v>
      </c>
      <c r="I2780" s="0" t="s">
        <v>5030</v>
      </c>
      <c r="J2780" s="20" t="s">
        <v>25</v>
      </c>
    </row>
    <row r="2781" customFormat="false" ht="15" hidden="false" customHeight="false" outlineLevel="0" collapsed="false">
      <c r="A2781" s="0" t="s">
        <v>2355</v>
      </c>
      <c r="B2781" s="0" t="s">
        <v>3459</v>
      </c>
      <c r="C2781" s="0" t="s">
        <v>3450</v>
      </c>
      <c r="D2781" s="0" t="s">
        <v>3457</v>
      </c>
      <c r="E2781" s="0" t="s">
        <v>4963</v>
      </c>
      <c r="F2781" s="0" t="s">
        <v>59</v>
      </c>
      <c r="G2781" s="0" t="s">
        <v>4974</v>
      </c>
      <c r="H2781" s="0" t="s">
        <v>69</v>
      </c>
      <c r="I2781" s="0" t="s">
        <v>4975</v>
      </c>
      <c r="J2781" s="20" t="s">
        <v>25</v>
      </c>
    </row>
    <row r="2782" customFormat="false" ht="15" hidden="false" customHeight="false" outlineLevel="0" collapsed="false">
      <c r="A2782" s="0" t="s">
        <v>2355</v>
      </c>
      <c r="B2782" s="0" t="s">
        <v>3459</v>
      </c>
      <c r="C2782" s="0" t="s">
        <v>3450</v>
      </c>
      <c r="D2782" s="0" t="s">
        <v>3457</v>
      </c>
      <c r="E2782" s="0" t="s">
        <v>4969</v>
      </c>
      <c r="F2782" s="0" t="s">
        <v>61</v>
      </c>
      <c r="G2782" s="0" t="s">
        <v>4970</v>
      </c>
      <c r="H2782" s="0" t="s">
        <v>5893</v>
      </c>
      <c r="I2782" s="0" t="s">
        <v>4972</v>
      </c>
      <c r="J2782" s="20" t="s">
        <v>25</v>
      </c>
    </row>
    <row r="2783" customFormat="false" ht="15" hidden="false" customHeight="false" outlineLevel="0" collapsed="false">
      <c r="A2783" s="0" t="s">
        <v>2355</v>
      </c>
      <c r="B2783" s="0" t="s">
        <v>3459</v>
      </c>
      <c r="C2783" s="0" t="s">
        <v>3450</v>
      </c>
      <c r="D2783" s="0" t="s">
        <v>3448</v>
      </c>
      <c r="E2783" s="0" t="s">
        <v>4963</v>
      </c>
      <c r="F2783" s="0" t="s">
        <v>59</v>
      </c>
      <c r="G2783" s="0" t="s">
        <v>4974</v>
      </c>
      <c r="H2783" s="0" t="s">
        <v>69</v>
      </c>
      <c r="I2783" s="0" t="s">
        <v>4975</v>
      </c>
      <c r="J2783" s="20" t="s">
        <v>25</v>
      </c>
    </row>
    <row r="2784" customFormat="false" ht="15" hidden="false" customHeight="false" outlineLevel="0" collapsed="false">
      <c r="A2784" s="0" t="s">
        <v>2355</v>
      </c>
      <c r="B2784" s="0" t="s">
        <v>3459</v>
      </c>
      <c r="C2784" s="0" t="s">
        <v>3450</v>
      </c>
      <c r="D2784" s="0" t="s">
        <v>3448</v>
      </c>
      <c r="E2784" s="0" t="s">
        <v>4969</v>
      </c>
      <c r="F2784" s="0" t="s">
        <v>61</v>
      </c>
      <c r="G2784" s="0" t="s">
        <v>4970</v>
      </c>
      <c r="H2784" s="0" t="s">
        <v>5894</v>
      </c>
      <c r="I2784" s="0" t="s">
        <v>4972</v>
      </c>
      <c r="J2784" s="20" t="s">
        <v>25</v>
      </c>
    </row>
    <row r="2785" customFormat="false" ht="15" hidden="false" customHeight="false" outlineLevel="0" collapsed="false">
      <c r="A2785" s="0" t="s">
        <v>2355</v>
      </c>
      <c r="B2785" s="0" t="s">
        <v>3459</v>
      </c>
      <c r="C2785" s="0" t="s">
        <v>3450</v>
      </c>
      <c r="D2785" s="0" t="s">
        <v>3448</v>
      </c>
      <c r="E2785" s="0" t="s">
        <v>4969</v>
      </c>
      <c r="F2785" s="0" t="s">
        <v>63</v>
      </c>
      <c r="G2785" s="0" t="s">
        <v>4220</v>
      </c>
      <c r="H2785" s="0" t="s">
        <v>5527</v>
      </c>
      <c r="I2785" s="0" t="s">
        <v>4979</v>
      </c>
      <c r="J2785" s="20" t="s">
        <v>25</v>
      </c>
    </row>
    <row r="2786" customFormat="false" ht="15" hidden="false" customHeight="false" outlineLevel="0" collapsed="false">
      <c r="A2786" s="0" t="s">
        <v>2355</v>
      </c>
      <c r="B2786" s="0" t="s">
        <v>3459</v>
      </c>
      <c r="C2786" s="0" t="s">
        <v>3447</v>
      </c>
      <c r="D2786" s="0" t="s">
        <v>3457</v>
      </c>
      <c r="E2786" s="0" t="s">
        <v>4963</v>
      </c>
      <c r="F2786" s="0" t="s">
        <v>59</v>
      </c>
      <c r="G2786" s="0" t="s">
        <v>4974</v>
      </c>
      <c r="H2786" s="0" t="s">
        <v>69</v>
      </c>
      <c r="I2786" s="0" t="s">
        <v>4975</v>
      </c>
      <c r="J2786" s="20" t="s">
        <v>25</v>
      </c>
    </row>
    <row r="2787" customFormat="false" ht="15" hidden="false" customHeight="false" outlineLevel="0" collapsed="false">
      <c r="A2787" s="0" t="s">
        <v>2355</v>
      </c>
      <c r="B2787" s="0" t="s">
        <v>3459</v>
      </c>
      <c r="C2787" s="0" t="s">
        <v>3447</v>
      </c>
      <c r="D2787" s="0" t="s">
        <v>3457</v>
      </c>
      <c r="E2787" s="0" t="s">
        <v>4969</v>
      </c>
      <c r="F2787" s="0" t="s">
        <v>61</v>
      </c>
      <c r="G2787" s="0" t="s">
        <v>4970</v>
      </c>
      <c r="H2787" s="0" t="s">
        <v>5895</v>
      </c>
      <c r="I2787" s="0" t="s">
        <v>4972</v>
      </c>
      <c r="J2787" s="20" t="s">
        <v>25</v>
      </c>
    </row>
    <row r="2788" customFormat="false" ht="15" hidden="false" customHeight="false" outlineLevel="0" collapsed="false">
      <c r="A2788" s="0" t="s">
        <v>2355</v>
      </c>
      <c r="B2788" s="0" t="s">
        <v>3459</v>
      </c>
      <c r="C2788" s="0" t="s">
        <v>3447</v>
      </c>
      <c r="D2788" s="0" t="s">
        <v>3448</v>
      </c>
      <c r="E2788" s="0" t="s">
        <v>4963</v>
      </c>
      <c r="F2788" s="0" t="s">
        <v>59</v>
      </c>
      <c r="G2788" s="0" t="s">
        <v>4974</v>
      </c>
      <c r="H2788" s="0" t="s">
        <v>69</v>
      </c>
      <c r="I2788" s="0" t="s">
        <v>4975</v>
      </c>
      <c r="J2788" s="20" t="s">
        <v>25</v>
      </c>
    </row>
    <row r="2789" customFormat="false" ht="15" hidden="false" customHeight="false" outlineLevel="0" collapsed="false">
      <c r="A2789" s="0" t="s">
        <v>2355</v>
      </c>
      <c r="B2789" s="0" t="s">
        <v>3459</v>
      </c>
      <c r="C2789" s="0" t="s">
        <v>3447</v>
      </c>
      <c r="D2789" s="0" t="s">
        <v>3448</v>
      </c>
      <c r="E2789" s="0" t="s">
        <v>4969</v>
      </c>
      <c r="F2789" s="0" t="s">
        <v>63</v>
      </c>
      <c r="G2789" s="0" t="s">
        <v>4220</v>
      </c>
      <c r="H2789" s="0" t="s">
        <v>5527</v>
      </c>
      <c r="I2789" s="0" t="s">
        <v>4979</v>
      </c>
      <c r="J2789" s="20" t="s">
        <v>25</v>
      </c>
    </row>
    <row r="2790" customFormat="false" ht="15" hidden="false" customHeight="false" outlineLevel="0" collapsed="false">
      <c r="A2790" s="0" t="s">
        <v>2355</v>
      </c>
      <c r="B2790" s="0" t="s">
        <v>3459</v>
      </c>
      <c r="C2790" s="0" t="s">
        <v>3450</v>
      </c>
      <c r="D2790" s="0" t="s">
        <v>3457</v>
      </c>
      <c r="E2790" s="0" t="s">
        <v>4963</v>
      </c>
      <c r="F2790" s="0" t="s">
        <v>30</v>
      </c>
      <c r="G2790" s="0" t="s">
        <v>4980</v>
      </c>
      <c r="H2790" s="0" t="s">
        <v>4265</v>
      </c>
      <c r="I2790" s="0" t="s">
        <v>4981</v>
      </c>
      <c r="J2790" s="18" t="s">
        <v>24</v>
      </c>
    </row>
    <row r="2791" customFormat="false" ht="15" hidden="false" customHeight="false" outlineLevel="0" collapsed="false">
      <c r="A2791" s="0" t="s">
        <v>2355</v>
      </c>
      <c r="B2791" s="0" t="s">
        <v>3459</v>
      </c>
      <c r="C2791" s="0" t="s">
        <v>3450</v>
      </c>
      <c r="D2791" s="0" t="s">
        <v>3448</v>
      </c>
      <c r="E2791" s="0" t="s">
        <v>4963</v>
      </c>
      <c r="F2791" s="0" t="s">
        <v>30</v>
      </c>
      <c r="G2791" s="0" t="s">
        <v>4980</v>
      </c>
      <c r="H2791" s="0" t="s">
        <v>4265</v>
      </c>
      <c r="I2791" s="0" t="s">
        <v>4981</v>
      </c>
      <c r="J2791" s="18" t="s">
        <v>24</v>
      </c>
    </row>
    <row r="2792" customFormat="false" ht="15" hidden="false" customHeight="false" outlineLevel="0" collapsed="false">
      <c r="A2792" s="0" t="s">
        <v>2355</v>
      </c>
      <c r="B2792" s="0" t="s">
        <v>3459</v>
      </c>
      <c r="C2792" s="0" t="s">
        <v>3447</v>
      </c>
      <c r="D2792" s="0" t="s">
        <v>3457</v>
      </c>
      <c r="E2792" s="0" t="s">
        <v>4963</v>
      </c>
      <c r="F2792" s="0" t="s">
        <v>30</v>
      </c>
      <c r="G2792" s="0" t="s">
        <v>4980</v>
      </c>
      <c r="H2792" s="0" t="s">
        <v>4327</v>
      </c>
      <c r="I2792" s="0" t="s">
        <v>4981</v>
      </c>
      <c r="J2792" s="18" t="s">
        <v>24</v>
      </c>
    </row>
    <row r="2793" customFormat="false" ht="15" hidden="false" customHeight="false" outlineLevel="0" collapsed="false">
      <c r="A2793" s="0" t="s">
        <v>2355</v>
      </c>
      <c r="B2793" s="0" t="s">
        <v>3459</v>
      </c>
      <c r="C2793" s="0" t="s">
        <v>3447</v>
      </c>
      <c r="D2793" s="0" t="s">
        <v>3448</v>
      </c>
      <c r="E2793" s="0" t="s">
        <v>4963</v>
      </c>
      <c r="F2793" s="0" t="s">
        <v>30</v>
      </c>
      <c r="G2793" s="0" t="s">
        <v>4980</v>
      </c>
      <c r="H2793" s="0" t="s">
        <v>4327</v>
      </c>
      <c r="I2793" s="0" t="s">
        <v>4981</v>
      </c>
      <c r="J2793" s="18" t="s">
        <v>24</v>
      </c>
    </row>
    <row r="2794" customFormat="false" ht="15" hidden="false" customHeight="false" outlineLevel="0" collapsed="false">
      <c r="A2794" s="0" t="s">
        <v>2361</v>
      </c>
      <c r="B2794" s="0" t="s">
        <v>134</v>
      </c>
      <c r="C2794" s="0" t="s">
        <v>3450</v>
      </c>
      <c r="D2794" s="0" t="s">
        <v>3457</v>
      </c>
      <c r="E2794" s="0" t="s">
        <v>4963</v>
      </c>
      <c r="F2794" s="0" t="s">
        <v>60</v>
      </c>
      <c r="G2794" s="0" t="s">
        <v>4964</v>
      </c>
      <c r="H2794" s="0" t="s">
        <v>5896</v>
      </c>
      <c r="I2794" s="0" t="s">
        <v>4966</v>
      </c>
      <c r="J2794" s="19" t="s">
        <v>26</v>
      </c>
    </row>
    <row r="2795" customFormat="false" ht="15" hidden="false" customHeight="false" outlineLevel="0" collapsed="false">
      <c r="A2795" s="0" t="s">
        <v>2361</v>
      </c>
      <c r="B2795" s="0" t="s">
        <v>134</v>
      </c>
      <c r="C2795" s="0" t="s">
        <v>3450</v>
      </c>
      <c r="D2795" s="0" t="s">
        <v>3457</v>
      </c>
      <c r="E2795" s="0" t="s">
        <v>4963</v>
      </c>
      <c r="F2795" s="0" t="s">
        <v>59</v>
      </c>
      <c r="G2795" s="0" t="s">
        <v>4974</v>
      </c>
      <c r="H2795" s="0" t="s">
        <v>69</v>
      </c>
      <c r="I2795" s="0" t="s">
        <v>4975</v>
      </c>
      <c r="J2795" s="20" t="s">
        <v>25</v>
      </c>
    </row>
    <row r="2796" customFormat="false" ht="15" hidden="false" customHeight="false" outlineLevel="0" collapsed="false">
      <c r="A2796" s="0" t="s">
        <v>2361</v>
      </c>
      <c r="B2796" s="0" t="s">
        <v>134</v>
      </c>
      <c r="C2796" s="0" t="s">
        <v>3450</v>
      </c>
      <c r="D2796" s="0" t="s">
        <v>3457</v>
      </c>
      <c r="E2796" s="0" t="s">
        <v>4969</v>
      </c>
      <c r="F2796" s="0" t="s">
        <v>61</v>
      </c>
      <c r="G2796" s="0" t="s">
        <v>4970</v>
      </c>
      <c r="H2796" s="0" t="s">
        <v>5897</v>
      </c>
      <c r="I2796" s="0" t="s">
        <v>4972</v>
      </c>
      <c r="J2796" s="20" t="s">
        <v>25</v>
      </c>
    </row>
    <row r="2797" customFormat="false" ht="15" hidden="false" customHeight="false" outlineLevel="0" collapsed="false">
      <c r="A2797" s="0" t="s">
        <v>2361</v>
      </c>
      <c r="B2797" s="0" t="s">
        <v>134</v>
      </c>
      <c r="C2797" s="0" t="s">
        <v>3450</v>
      </c>
      <c r="D2797" s="0" t="s">
        <v>3448</v>
      </c>
      <c r="E2797" s="0" t="s">
        <v>4963</v>
      </c>
      <c r="F2797" s="0" t="s">
        <v>59</v>
      </c>
      <c r="G2797" s="0" t="s">
        <v>4974</v>
      </c>
      <c r="H2797" s="0" t="s">
        <v>69</v>
      </c>
      <c r="I2797" s="0" t="s">
        <v>4975</v>
      </c>
      <c r="J2797" s="20" t="s">
        <v>25</v>
      </c>
    </row>
    <row r="2798" customFormat="false" ht="15" hidden="false" customHeight="false" outlineLevel="0" collapsed="false">
      <c r="A2798" s="0" t="s">
        <v>2361</v>
      </c>
      <c r="B2798" s="0" t="s">
        <v>134</v>
      </c>
      <c r="C2798" s="0" t="s">
        <v>3450</v>
      </c>
      <c r="D2798" s="0" t="s">
        <v>3448</v>
      </c>
      <c r="E2798" s="0" t="s">
        <v>4969</v>
      </c>
      <c r="F2798" s="0" t="s">
        <v>62</v>
      </c>
      <c r="G2798" s="0" t="s">
        <v>5003</v>
      </c>
      <c r="H2798" s="0" t="s">
        <v>5898</v>
      </c>
      <c r="I2798" s="0" t="s">
        <v>5005</v>
      </c>
      <c r="J2798" s="20" t="s">
        <v>25</v>
      </c>
    </row>
    <row r="2799" customFormat="false" ht="15" hidden="false" customHeight="false" outlineLevel="0" collapsed="false">
      <c r="A2799" s="0" t="s">
        <v>2361</v>
      </c>
      <c r="B2799" s="0" t="s">
        <v>134</v>
      </c>
      <c r="C2799" s="0" t="s">
        <v>3450</v>
      </c>
      <c r="D2799" s="0" t="s">
        <v>3448</v>
      </c>
      <c r="E2799" s="0" t="s">
        <v>4963</v>
      </c>
      <c r="F2799" s="0" t="s">
        <v>30</v>
      </c>
      <c r="G2799" s="0" t="s">
        <v>4980</v>
      </c>
      <c r="H2799" s="0" t="s">
        <v>4758</v>
      </c>
      <c r="I2799" s="0" t="s">
        <v>4981</v>
      </c>
      <c r="J2799" s="18" t="s">
        <v>24</v>
      </c>
    </row>
    <row r="2800" customFormat="false" ht="15" hidden="false" customHeight="false" outlineLevel="0" collapsed="false">
      <c r="A2800" s="0" t="s">
        <v>2361</v>
      </c>
      <c r="B2800" s="0" t="s">
        <v>134</v>
      </c>
      <c r="C2800" s="0" t="s">
        <v>3447</v>
      </c>
      <c r="D2800" s="0" t="s">
        <v>3457</v>
      </c>
      <c r="E2800" s="0" t="s">
        <v>4963</v>
      </c>
      <c r="F2800" s="0" t="s">
        <v>30</v>
      </c>
      <c r="G2800" s="0" t="s">
        <v>4980</v>
      </c>
      <c r="H2800" s="0" t="s">
        <v>4759</v>
      </c>
      <c r="I2800" s="0" t="s">
        <v>4981</v>
      </c>
      <c r="J2800" s="18" t="s">
        <v>24</v>
      </c>
    </row>
    <row r="2801" customFormat="false" ht="15" hidden="false" customHeight="false" outlineLevel="0" collapsed="false">
      <c r="A2801" s="0" t="s">
        <v>2367</v>
      </c>
      <c r="B2801" s="0" t="s">
        <v>134</v>
      </c>
      <c r="C2801" s="0" t="s">
        <v>3450</v>
      </c>
      <c r="D2801" s="0" t="s">
        <v>3457</v>
      </c>
      <c r="E2801" s="0" t="s">
        <v>4963</v>
      </c>
      <c r="F2801" s="0" t="s">
        <v>60</v>
      </c>
      <c r="G2801" s="0" t="s">
        <v>4964</v>
      </c>
      <c r="H2801" s="0" t="s">
        <v>5049</v>
      </c>
      <c r="I2801" s="0" t="s">
        <v>4966</v>
      </c>
      <c r="J2801" s="19" t="s">
        <v>26</v>
      </c>
    </row>
    <row r="2802" customFormat="false" ht="15" hidden="false" customHeight="false" outlineLevel="0" collapsed="false">
      <c r="A2802" s="0" t="s">
        <v>2367</v>
      </c>
      <c r="B2802" s="0" t="s">
        <v>134</v>
      </c>
      <c r="C2802" s="0" t="s">
        <v>3450</v>
      </c>
      <c r="D2802" s="0" t="s">
        <v>3457</v>
      </c>
      <c r="E2802" s="0" t="s">
        <v>4963</v>
      </c>
      <c r="F2802" s="0" t="s">
        <v>59</v>
      </c>
      <c r="G2802" s="0" t="s">
        <v>4974</v>
      </c>
      <c r="H2802" s="0" t="s">
        <v>69</v>
      </c>
      <c r="I2802" s="0" t="s">
        <v>4975</v>
      </c>
      <c r="J2802" s="20" t="s">
        <v>25</v>
      </c>
    </row>
    <row r="2803" customFormat="false" ht="15" hidden="false" customHeight="false" outlineLevel="0" collapsed="false">
      <c r="A2803" s="0" t="s">
        <v>2367</v>
      </c>
      <c r="B2803" s="0" t="s">
        <v>134</v>
      </c>
      <c r="C2803" s="0" t="s">
        <v>3450</v>
      </c>
      <c r="D2803" s="0" t="s">
        <v>3448</v>
      </c>
      <c r="E2803" s="0" t="s">
        <v>4963</v>
      </c>
      <c r="F2803" s="0" t="s">
        <v>59</v>
      </c>
      <c r="G2803" s="0" t="s">
        <v>4974</v>
      </c>
      <c r="H2803" s="0" t="s">
        <v>69</v>
      </c>
      <c r="I2803" s="0" t="s">
        <v>4975</v>
      </c>
      <c r="J2803" s="20" t="s">
        <v>25</v>
      </c>
    </row>
    <row r="2804" customFormat="false" ht="15" hidden="false" customHeight="false" outlineLevel="0" collapsed="false">
      <c r="A2804" s="0" t="s">
        <v>2367</v>
      </c>
      <c r="B2804" s="0" t="s">
        <v>134</v>
      </c>
      <c r="C2804" s="0" t="s">
        <v>3447</v>
      </c>
      <c r="D2804" s="0" t="s">
        <v>3457</v>
      </c>
      <c r="E2804" s="0" t="s">
        <v>4963</v>
      </c>
      <c r="F2804" s="0" t="s">
        <v>59</v>
      </c>
      <c r="G2804" s="0" t="s">
        <v>4974</v>
      </c>
      <c r="H2804" s="0" t="s">
        <v>69</v>
      </c>
      <c r="I2804" s="0" t="s">
        <v>4975</v>
      </c>
      <c r="J2804" s="20" t="s">
        <v>25</v>
      </c>
    </row>
    <row r="2805" customFormat="false" ht="15" hidden="false" customHeight="false" outlineLevel="0" collapsed="false">
      <c r="A2805" s="0" t="s">
        <v>2367</v>
      </c>
      <c r="B2805" s="0" t="s">
        <v>134</v>
      </c>
      <c r="C2805" s="0" t="s">
        <v>3447</v>
      </c>
      <c r="D2805" s="0" t="s">
        <v>3448</v>
      </c>
      <c r="E2805" s="0" t="s">
        <v>4963</v>
      </c>
      <c r="F2805" s="0" t="s">
        <v>59</v>
      </c>
      <c r="G2805" s="0" t="s">
        <v>4974</v>
      </c>
      <c r="H2805" s="0" t="s">
        <v>69</v>
      </c>
      <c r="I2805" s="0" t="s">
        <v>4975</v>
      </c>
      <c r="J2805" s="20" t="s">
        <v>25</v>
      </c>
    </row>
    <row r="2806" customFormat="false" ht="15" hidden="false" customHeight="false" outlineLevel="0" collapsed="false">
      <c r="A2806" s="0" t="s">
        <v>2367</v>
      </c>
      <c r="B2806" s="0" t="s">
        <v>134</v>
      </c>
      <c r="C2806" s="0" t="s">
        <v>3450</v>
      </c>
      <c r="D2806" s="0" t="s">
        <v>3448</v>
      </c>
      <c r="E2806" s="0" t="s">
        <v>4963</v>
      </c>
      <c r="F2806" s="0" t="s">
        <v>30</v>
      </c>
      <c r="G2806" s="0" t="s">
        <v>4980</v>
      </c>
      <c r="H2806" s="0" t="s">
        <v>4434</v>
      </c>
      <c r="I2806" s="0" t="s">
        <v>4981</v>
      </c>
      <c r="J2806" s="18" t="s">
        <v>24</v>
      </c>
    </row>
    <row r="2807" customFormat="false" ht="15" hidden="false" customHeight="false" outlineLevel="0" collapsed="false">
      <c r="A2807" s="0" t="s">
        <v>2367</v>
      </c>
      <c r="B2807" s="0" t="s">
        <v>134</v>
      </c>
      <c r="C2807" s="0" t="s">
        <v>3447</v>
      </c>
      <c r="D2807" s="0" t="s">
        <v>3457</v>
      </c>
      <c r="E2807" s="0" t="s">
        <v>4963</v>
      </c>
      <c r="F2807" s="0" t="s">
        <v>30</v>
      </c>
      <c r="G2807" s="0" t="s">
        <v>4980</v>
      </c>
      <c r="H2807" s="0" t="s">
        <v>4535</v>
      </c>
      <c r="I2807" s="0" t="s">
        <v>4981</v>
      </c>
      <c r="J2807" s="18" t="s">
        <v>24</v>
      </c>
    </row>
    <row r="2808" customFormat="false" ht="15" hidden="false" customHeight="false" outlineLevel="0" collapsed="false">
      <c r="A2808" s="0" t="s">
        <v>2367</v>
      </c>
      <c r="B2808" s="0" t="s">
        <v>134</v>
      </c>
      <c r="C2808" s="0" t="s">
        <v>3447</v>
      </c>
      <c r="D2808" s="0" t="s">
        <v>3448</v>
      </c>
      <c r="E2808" s="0" t="s">
        <v>4963</v>
      </c>
      <c r="F2808" s="0" t="s">
        <v>30</v>
      </c>
      <c r="G2808" s="0" t="s">
        <v>4980</v>
      </c>
      <c r="H2808" s="0" t="s">
        <v>4242</v>
      </c>
      <c r="I2808" s="0" t="s">
        <v>4981</v>
      </c>
      <c r="J2808" s="18" t="s">
        <v>24</v>
      </c>
    </row>
    <row r="2809" customFormat="false" ht="15" hidden="false" customHeight="false" outlineLevel="0" collapsed="false">
      <c r="A2809" s="0" t="s">
        <v>2373</v>
      </c>
      <c r="B2809" s="0" t="s">
        <v>134</v>
      </c>
      <c r="C2809" s="0" t="s">
        <v>3447</v>
      </c>
      <c r="D2809" s="0" t="s">
        <v>3457</v>
      </c>
      <c r="E2809" s="0" t="s">
        <v>4963</v>
      </c>
      <c r="F2809" s="0" t="s">
        <v>59</v>
      </c>
      <c r="G2809" s="0" t="s">
        <v>4974</v>
      </c>
      <c r="H2809" s="0" t="s">
        <v>69</v>
      </c>
      <c r="I2809" s="0" t="s">
        <v>4975</v>
      </c>
      <c r="J2809" s="20" t="s">
        <v>25</v>
      </c>
    </row>
    <row r="2810" customFormat="false" ht="15" hidden="false" customHeight="false" outlineLevel="0" collapsed="false">
      <c r="A2810" s="0" t="s">
        <v>2373</v>
      </c>
      <c r="B2810" s="0" t="s">
        <v>134</v>
      </c>
      <c r="C2810" s="0" t="s">
        <v>3447</v>
      </c>
      <c r="D2810" s="0" t="s">
        <v>3457</v>
      </c>
      <c r="E2810" s="0" t="s">
        <v>4963</v>
      </c>
      <c r="F2810" s="0" t="s">
        <v>30</v>
      </c>
      <c r="G2810" s="0" t="s">
        <v>4980</v>
      </c>
      <c r="H2810" s="0" t="s">
        <v>4760</v>
      </c>
      <c r="I2810" s="0" t="s">
        <v>4981</v>
      </c>
      <c r="J2810" s="18" t="s">
        <v>24</v>
      </c>
    </row>
    <row r="2811" customFormat="false" ht="15" hidden="false" customHeight="false" outlineLevel="0" collapsed="false">
      <c r="A2811" s="0" t="s">
        <v>2373</v>
      </c>
      <c r="B2811" s="0" t="s">
        <v>134</v>
      </c>
      <c r="C2811" s="0" t="s">
        <v>3447</v>
      </c>
      <c r="D2811" s="0" t="s">
        <v>3448</v>
      </c>
      <c r="E2811" s="0" t="s">
        <v>4963</v>
      </c>
      <c r="F2811" s="0" t="s">
        <v>30</v>
      </c>
      <c r="G2811" s="0" t="s">
        <v>4980</v>
      </c>
      <c r="H2811" s="0" t="s">
        <v>4761</v>
      </c>
      <c r="I2811" s="0" t="s">
        <v>4981</v>
      </c>
      <c r="J2811" s="18" t="s">
        <v>24</v>
      </c>
    </row>
    <row r="2812" customFormat="false" ht="15" hidden="false" customHeight="false" outlineLevel="0" collapsed="false">
      <c r="A2812" s="0" t="s">
        <v>2379</v>
      </c>
      <c r="B2812" s="0" t="s">
        <v>134</v>
      </c>
      <c r="C2812" s="0" t="s">
        <v>3447</v>
      </c>
      <c r="D2812" s="0" t="s">
        <v>3457</v>
      </c>
      <c r="E2812" s="0" t="s">
        <v>4963</v>
      </c>
      <c r="F2812" s="0" t="s">
        <v>60</v>
      </c>
      <c r="G2812" s="0" t="s">
        <v>4964</v>
      </c>
      <c r="H2812" s="0" t="s">
        <v>5899</v>
      </c>
      <c r="I2812" s="0" t="s">
        <v>4966</v>
      </c>
      <c r="J2812" s="19" t="s">
        <v>26</v>
      </c>
    </row>
    <row r="2813" customFormat="false" ht="15" hidden="false" customHeight="false" outlineLevel="0" collapsed="false">
      <c r="A2813" s="0" t="s">
        <v>2379</v>
      </c>
      <c r="B2813" s="0" t="s">
        <v>134</v>
      </c>
      <c r="C2813" s="0" t="s">
        <v>3447</v>
      </c>
      <c r="D2813" s="0" t="s">
        <v>3448</v>
      </c>
      <c r="E2813" s="0" t="s">
        <v>4963</v>
      </c>
      <c r="F2813" s="0" t="s">
        <v>60</v>
      </c>
      <c r="G2813" s="0" t="s">
        <v>4964</v>
      </c>
      <c r="H2813" s="0" t="s">
        <v>5900</v>
      </c>
      <c r="I2813" s="0" t="s">
        <v>4966</v>
      </c>
      <c r="J2813" s="19" t="s">
        <v>26</v>
      </c>
    </row>
    <row r="2814" customFormat="false" ht="15" hidden="false" customHeight="false" outlineLevel="0" collapsed="false">
      <c r="A2814" s="0" t="s">
        <v>2379</v>
      </c>
      <c r="B2814" s="0" t="s">
        <v>134</v>
      </c>
      <c r="C2814" s="0" t="s">
        <v>3447</v>
      </c>
      <c r="D2814" s="0" t="s">
        <v>3457</v>
      </c>
      <c r="E2814" s="0" t="s">
        <v>4963</v>
      </c>
      <c r="F2814" s="0" t="s">
        <v>59</v>
      </c>
      <c r="G2814" s="0" t="s">
        <v>4974</v>
      </c>
      <c r="H2814" s="0" t="s">
        <v>69</v>
      </c>
      <c r="I2814" s="0" t="s">
        <v>4975</v>
      </c>
      <c r="J2814" s="20" t="s">
        <v>25</v>
      </c>
    </row>
    <row r="2815" customFormat="false" ht="15" hidden="false" customHeight="false" outlineLevel="0" collapsed="false">
      <c r="A2815" s="0" t="s">
        <v>2385</v>
      </c>
      <c r="B2815" s="0" t="s">
        <v>134</v>
      </c>
      <c r="C2815" s="0" t="s">
        <v>3447</v>
      </c>
      <c r="D2815" s="0" t="s">
        <v>3448</v>
      </c>
      <c r="E2815" s="0" t="s">
        <v>4963</v>
      </c>
      <c r="F2815" s="0" t="s">
        <v>60</v>
      </c>
      <c r="G2815" s="0" t="s">
        <v>4964</v>
      </c>
      <c r="H2815" s="0" t="s">
        <v>5901</v>
      </c>
      <c r="I2815" s="0" t="s">
        <v>4966</v>
      </c>
      <c r="J2815" s="19" t="s">
        <v>26</v>
      </c>
    </row>
    <row r="2816" customFormat="false" ht="15" hidden="false" customHeight="false" outlineLevel="0" collapsed="false">
      <c r="A2816" s="0" t="s">
        <v>2385</v>
      </c>
      <c r="B2816" s="0" t="s">
        <v>134</v>
      </c>
      <c r="C2816" s="0" t="s">
        <v>3447</v>
      </c>
      <c r="D2816" s="0" t="s">
        <v>3448</v>
      </c>
      <c r="E2816" s="0" t="s">
        <v>4963</v>
      </c>
      <c r="F2816" s="0" t="s">
        <v>59</v>
      </c>
      <c r="G2816" s="0" t="s">
        <v>4974</v>
      </c>
      <c r="H2816" s="0" t="s">
        <v>69</v>
      </c>
      <c r="I2816" s="0" t="s">
        <v>4975</v>
      </c>
      <c r="J2816" s="20" t="s">
        <v>25</v>
      </c>
    </row>
    <row r="2817" customFormat="false" ht="15" hidden="false" customHeight="false" outlineLevel="0" collapsed="false">
      <c r="A2817" s="0" t="s">
        <v>2391</v>
      </c>
      <c r="B2817" s="0" t="s">
        <v>134</v>
      </c>
      <c r="C2817" s="0" t="s">
        <v>3447</v>
      </c>
      <c r="D2817" s="0" t="s">
        <v>3457</v>
      </c>
      <c r="E2817" s="0" t="s">
        <v>4963</v>
      </c>
      <c r="F2817" s="0" t="s">
        <v>59</v>
      </c>
      <c r="G2817" s="0" t="s">
        <v>4974</v>
      </c>
      <c r="H2817" s="0" t="s">
        <v>69</v>
      </c>
      <c r="I2817" s="0" t="s">
        <v>4975</v>
      </c>
      <c r="J2817" s="20" t="s">
        <v>25</v>
      </c>
    </row>
    <row r="2818" customFormat="false" ht="15" hidden="false" customHeight="false" outlineLevel="0" collapsed="false">
      <c r="A2818" s="0" t="s">
        <v>2391</v>
      </c>
      <c r="B2818" s="0" t="s">
        <v>3459</v>
      </c>
      <c r="C2818" s="0" t="s">
        <v>3450</v>
      </c>
      <c r="D2818" s="0" t="s">
        <v>3448</v>
      </c>
      <c r="E2818" s="0" t="s">
        <v>4969</v>
      </c>
      <c r="F2818" s="0" t="s">
        <v>61</v>
      </c>
      <c r="G2818" s="0" t="s">
        <v>4970</v>
      </c>
      <c r="H2818" s="0" t="s">
        <v>5902</v>
      </c>
      <c r="I2818" s="0" t="s">
        <v>4972</v>
      </c>
      <c r="J2818" s="20" t="s">
        <v>25</v>
      </c>
    </row>
    <row r="2819" customFormat="false" ht="15" hidden="false" customHeight="false" outlineLevel="0" collapsed="false">
      <c r="A2819" s="0" t="s">
        <v>2391</v>
      </c>
      <c r="B2819" s="0" t="s">
        <v>3459</v>
      </c>
      <c r="C2819" s="0" t="s">
        <v>3447</v>
      </c>
      <c r="D2819" s="0" t="s">
        <v>3448</v>
      </c>
      <c r="E2819" s="0" t="s">
        <v>4963</v>
      </c>
      <c r="F2819" s="0" t="s">
        <v>59</v>
      </c>
      <c r="G2819" s="0" t="s">
        <v>4974</v>
      </c>
      <c r="H2819" s="0" t="s">
        <v>69</v>
      </c>
      <c r="I2819" s="0" t="s">
        <v>4975</v>
      </c>
      <c r="J2819" s="20" t="s">
        <v>25</v>
      </c>
    </row>
    <row r="2820" customFormat="false" ht="15" hidden="false" customHeight="false" outlineLevel="0" collapsed="false">
      <c r="A2820" s="0" t="s">
        <v>2391</v>
      </c>
      <c r="B2820" s="0" t="s">
        <v>3459</v>
      </c>
      <c r="C2820" s="0" t="s">
        <v>3447</v>
      </c>
      <c r="D2820" s="0" t="s">
        <v>3448</v>
      </c>
      <c r="E2820" s="0" t="s">
        <v>4969</v>
      </c>
      <c r="F2820" s="0" t="s">
        <v>61</v>
      </c>
      <c r="G2820" s="0" t="s">
        <v>4970</v>
      </c>
      <c r="H2820" s="0" t="s">
        <v>5903</v>
      </c>
      <c r="I2820" s="0" t="s">
        <v>4972</v>
      </c>
      <c r="J2820" s="20" t="s">
        <v>25</v>
      </c>
    </row>
    <row r="2821" customFormat="false" ht="15" hidden="false" customHeight="false" outlineLevel="0" collapsed="false">
      <c r="A2821" s="0" t="s">
        <v>2391</v>
      </c>
      <c r="B2821" s="0" t="s">
        <v>134</v>
      </c>
      <c r="C2821" s="0" t="s">
        <v>3447</v>
      </c>
      <c r="D2821" s="0" t="s">
        <v>3457</v>
      </c>
      <c r="E2821" s="0" t="s">
        <v>4963</v>
      </c>
      <c r="F2821" s="0" t="s">
        <v>30</v>
      </c>
      <c r="G2821" s="0" t="s">
        <v>4980</v>
      </c>
      <c r="H2821" s="0" t="s">
        <v>4275</v>
      </c>
      <c r="I2821" s="0" t="s">
        <v>4981</v>
      </c>
      <c r="J2821" s="18" t="s">
        <v>24</v>
      </c>
    </row>
    <row r="2822" customFormat="false" ht="15" hidden="false" customHeight="false" outlineLevel="0" collapsed="false">
      <c r="A2822" s="0" t="s">
        <v>2391</v>
      </c>
      <c r="B2822" s="0" t="s">
        <v>3459</v>
      </c>
      <c r="C2822" s="0" t="s">
        <v>3450</v>
      </c>
      <c r="D2822" s="0" t="s">
        <v>3457</v>
      </c>
      <c r="E2822" s="0" t="s">
        <v>4963</v>
      </c>
      <c r="F2822" s="0" t="s">
        <v>30</v>
      </c>
      <c r="G2822" s="0" t="s">
        <v>4980</v>
      </c>
      <c r="H2822" s="0" t="s">
        <v>4765</v>
      </c>
      <c r="I2822" s="0" t="s">
        <v>4981</v>
      </c>
      <c r="J2822" s="18" t="s">
        <v>24</v>
      </c>
    </row>
    <row r="2823" customFormat="false" ht="15" hidden="false" customHeight="false" outlineLevel="0" collapsed="false">
      <c r="A2823" s="0" t="s">
        <v>2391</v>
      </c>
      <c r="B2823" s="0" t="s">
        <v>3459</v>
      </c>
      <c r="C2823" s="0" t="s">
        <v>3447</v>
      </c>
      <c r="D2823" s="0" t="s">
        <v>3448</v>
      </c>
      <c r="E2823" s="0" t="s">
        <v>4963</v>
      </c>
      <c r="F2823" s="0" t="s">
        <v>30</v>
      </c>
      <c r="G2823" s="0" t="s">
        <v>4980</v>
      </c>
      <c r="H2823" s="0" t="s">
        <v>4275</v>
      </c>
      <c r="I2823" s="0" t="s">
        <v>4981</v>
      </c>
      <c r="J2823" s="18" t="s">
        <v>24</v>
      </c>
    </row>
    <row r="2824" customFormat="false" ht="15" hidden="false" customHeight="false" outlineLevel="0" collapsed="false">
      <c r="A2824" s="0" t="s">
        <v>2397</v>
      </c>
      <c r="B2824" s="0" t="s">
        <v>3459</v>
      </c>
      <c r="C2824" s="0" t="s">
        <v>3450</v>
      </c>
      <c r="D2824" s="0" t="s">
        <v>3448</v>
      </c>
      <c r="E2824" s="0" t="s">
        <v>4963</v>
      </c>
      <c r="F2824" s="0" t="s">
        <v>65</v>
      </c>
      <c r="G2824" s="0" t="s">
        <v>4997</v>
      </c>
      <c r="H2824" s="0" t="s">
        <v>3871</v>
      </c>
      <c r="I2824" s="0" t="s">
        <v>4998</v>
      </c>
      <c r="J2824" s="19" t="s">
        <v>26</v>
      </c>
    </row>
    <row r="2825" customFormat="false" ht="15" hidden="false" customHeight="false" outlineLevel="0" collapsed="false">
      <c r="A2825" s="0" t="s">
        <v>2397</v>
      </c>
      <c r="B2825" s="0" t="s">
        <v>3459</v>
      </c>
      <c r="C2825" s="0" t="s">
        <v>3447</v>
      </c>
      <c r="D2825" s="0" t="s">
        <v>3457</v>
      </c>
      <c r="E2825" s="0" t="s">
        <v>4963</v>
      </c>
      <c r="F2825" s="0" t="s">
        <v>60</v>
      </c>
      <c r="G2825" s="0" t="s">
        <v>4964</v>
      </c>
      <c r="H2825" s="0" t="s">
        <v>5904</v>
      </c>
      <c r="I2825" s="0" t="s">
        <v>4966</v>
      </c>
      <c r="J2825" s="19" t="s">
        <v>26</v>
      </c>
    </row>
    <row r="2826" customFormat="false" ht="15" hidden="false" customHeight="false" outlineLevel="0" collapsed="false">
      <c r="A2826" s="0" t="s">
        <v>2397</v>
      </c>
      <c r="B2826" s="0" t="s">
        <v>3459</v>
      </c>
      <c r="C2826" s="0" t="s">
        <v>3447</v>
      </c>
      <c r="D2826" s="0" t="s">
        <v>3448</v>
      </c>
      <c r="E2826" s="0" t="s">
        <v>4963</v>
      </c>
      <c r="F2826" s="0" t="s">
        <v>65</v>
      </c>
      <c r="G2826" s="0" t="s">
        <v>4997</v>
      </c>
      <c r="H2826" s="0" t="s">
        <v>3871</v>
      </c>
      <c r="I2826" s="0" t="s">
        <v>4998</v>
      </c>
      <c r="J2826" s="19" t="s">
        <v>26</v>
      </c>
    </row>
    <row r="2827" customFormat="false" ht="15" hidden="false" customHeight="false" outlineLevel="0" collapsed="false">
      <c r="A2827" s="0" t="s">
        <v>2397</v>
      </c>
      <c r="B2827" s="0" t="s">
        <v>3459</v>
      </c>
      <c r="C2827" s="0" t="s">
        <v>3450</v>
      </c>
      <c r="D2827" s="0" t="s">
        <v>3457</v>
      </c>
      <c r="E2827" s="0" t="s">
        <v>4963</v>
      </c>
      <c r="F2827" s="0" t="s">
        <v>59</v>
      </c>
      <c r="G2827" s="0" t="s">
        <v>4974</v>
      </c>
      <c r="H2827" s="0" t="s">
        <v>69</v>
      </c>
      <c r="I2827" s="0" t="s">
        <v>4975</v>
      </c>
      <c r="J2827" s="20" t="s">
        <v>25</v>
      </c>
    </row>
    <row r="2828" customFormat="false" ht="15" hidden="false" customHeight="false" outlineLevel="0" collapsed="false">
      <c r="A2828" s="0" t="s">
        <v>2397</v>
      </c>
      <c r="B2828" s="0" t="s">
        <v>3459</v>
      </c>
      <c r="C2828" s="0" t="s">
        <v>3447</v>
      </c>
      <c r="D2828" s="0" t="s">
        <v>3457</v>
      </c>
      <c r="E2828" s="0" t="s">
        <v>4963</v>
      </c>
      <c r="F2828" s="0" t="s">
        <v>59</v>
      </c>
      <c r="G2828" s="0" t="s">
        <v>4974</v>
      </c>
      <c r="H2828" s="0" t="s">
        <v>69</v>
      </c>
      <c r="I2828" s="0" t="s">
        <v>4975</v>
      </c>
      <c r="J2828" s="20" t="s">
        <v>25</v>
      </c>
    </row>
    <row r="2829" customFormat="false" ht="15" hidden="false" customHeight="false" outlineLevel="0" collapsed="false">
      <c r="A2829" s="0" t="s">
        <v>2397</v>
      </c>
      <c r="B2829" s="0" t="s">
        <v>3459</v>
      </c>
      <c r="C2829" s="0" t="s">
        <v>3450</v>
      </c>
      <c r="D2829" s="0" t="s">
        <v>3457</v>
      </c>
      <c r="E2829" s="0" t="s">
        <v>4963</v>
      </c>
      <c r="F2829" s="0" t="s">
        <v>30</v>
      </c>
      <c r="G2829" s="0" t="s">
        <v>4980</v>
      </c>
      <c r="H2829" s="0" t="s">
        <v>4364</v>
      </c>
      <c r="I2829" s="0" t="s">
        <v>4981</v>
      </c>
      <c r="J2829" s="18" t="s">
        <v>24</v>
      </c>
    </row>
    <row r="2830" customFormat="false" ht="15" hidden="false" customHeight="false" outlineLevel="0" collapsed="false">
      <c r="A2830" s="0" t="s">
        <v>2407</v>
      </c>
      <c r="B2830" s="0" t="s">
        <v>134</v>
      </c>
      <c r="C2830" s="0" t="s">
        <v>3447</v>
      </c>
      <c r="D2830" s="0" t="s">
        <v>3457</v>
      </c>
      <c r="E2830" s="0" t="s">
        <v>4963</v>
      </c>
      <c r="F2830" s="0" t="s">
        <v>60</v>
      </c>
      <c r="G2830" s="0" t="s">
        <v>4964</v>
      </c>
      <c r="H2830" s="0" t="s">
        <v>5905</v>
      </c>
      <c r="I2830" s="0" t="s">
        <v>4966</v>
      </c>
      <c r="J2830" s="19" t="s">
        <v>26</v>
      </c>
    </row>
    <row r="2831" customFormat="false" ht="15" hidden="false" customHeight="false" outlineLevel="0" collapsed="false">
      <c r="A2831" s="0" t="s">
        <v>2407</v>
      </c>
      <c r="B2831" s="0" t="s">
        <v>134</v>
      </c>
      <c r="C2831" s="0" t="s">
        <v>3447</v>
      </c>
      <c r="D2831" s="0" t="s">
        <v>3448</v>
      </c>
      <c r="E2831" s="0" t="s">
        <v>4963</v>
      </c>
      <c r="F2831" s="0" t="s">
        <v>60</v>
      </c>
      <c r="G2831" s="0" t="s">
        <v>4964</v>
      </c>
      <c r="H2831" s="0" t="s">
        <v>5906</v>
      </c>
      <c r="I2831" s="0" t="s">
        <v>4966</v>
      </c>
      <c r="J2831" s="19" t="s">
        <v>26</v>
      </c>
    </row>
    <row r="2832" customFormat="false" ht="15" hidden="false" customHeight="false" outlineLevel="0" collapsed="false">
      <c r="A2832" s="0" t="s">
        <v>2407</v>
      </c>
      <c r="B2832" s="0" t="s">
        <v>3459</v>
      </c>
      <c r="C2832" s="0" t="s">
        <v>3447</v>
      </c>
      <c r="D2832" s="0" t="s">
        <v>3457</v>
      </c>
      <c r="E2832" s="0" t="s">
        <v>4963</v>
      </c>
      <c r="F2832" s="0" t="s">
        <v>60</v>
      </c>
      <c r="G2832" s="0" t="s">
        <v>4964</v>
      </c>
      <c r="H2832" s="0" t="s">
        <v>5016</v>
      </c>
      <c r="I2832" s="0" t="s">
        <v>4966</v>
      </c>
      <c r="J2832" s="19" t="s">
        <v>26</v>
      </c>
    </row>
    <row r="2833" customFormat="false" ht="15" hidden="false" customHeight="false" outlineLevel="0" collapsed="false">
      <c r="A2833" s="0" t="s">
        <v>2407</v>
      </c>
      <c r="B2833" s="0" t="s">
        <v>134</v>
      </c>
      <c r="C2833" s="0" t="s">
        <v>3450</v>
      </c>
      <c r="D2833" s="0" t="s">
        <v>3457</v>
      </c>
      <c r="E2833" s="0" t="s">
        <v>4963</v>
      </c>
      <c r="F2833" s="0" t="s">
        <v>59</v>
      </c>
      <c r="G2833" s="0" t="s">
        <v>4974</v>
      </c>
      <c r="H2833" s="0" t="s">
        <v>69</v>
      </c>
      <c r="I2833" s="0" t="s">
        <v>4975</v>
      </c>
      <c r="J2833" s="20" t="s">
        <v>25</v>
      </c>
    </row>
    <row r="2834" customFormat="false" ht="15" hidden="false" customHeight="false" outlineLevel="0" collapsed="false">
      <c r="A2834" s="0" t="s">
        <v>2407</v>
      </c>
      <c r="B2834" s="0" t="s">
        <v>3459</v>
      </c>
      <c r="C2834" s="0" t="s">
        <v>3450</v>
      </c>
      <c r="D2834" s="0" t="s">
        <v>3457</v>
      </c>
      <c r="E2834" s="0" t="s">
        <v>4963</v>
      </c>
      <c r="F2834" s="0" t="s">
        <v>59</v>
      </c>
      <c r="G2834" s="0" t="s">
        <v>4974</v>
      </c>
      <c r="H2834" s="0" t="s">
        <v>69</v>
      </c>
      <c r="I2834" s="0" t="s">
        <v>4975</v>
      </c>
      <c r="J2834" s="20" t="s">
        <v>25</v>
      </c>
    </row>
    <row r="2835" customFormat="false" ht="15" hidden="false" customHeight="false" outlineLevel="0" collapsed="false">
      <c r="A2835" s="0" t="s">
        <v>2407</v>
      </c>
      <c r="B2835" s="0" t="s">
        <v>3459</v>
      </c>
      <c r="C2835" s="0" t="s">
        <v>3450</v>
      </c>
      <c r="D2835" s="0" t="s">
        <v>3448</v>
      </c>
      <c r="E2835" s="0" t="s">
        <v>4963</v>
      </c>
      <c r="F2835" s="0" t="s">
        <v>59</v>
      </c>
      <c r="G2835" s="0" t="s">
        <v>4974</v>
      </c>
      <c r="H2835" s="0" t="s">
        <v>69</v>
      </c>
      <c r="I2835" s="0" t="s">
        <v>4975</v>
      </c>
      <c r="J2835" s="20" t="s">
        <v>25</v>
      </c>
    </row>
    <row r="2836" customFormat="false" ht="15" hidden="false" customHeight="false" outlineLevel="0" collapsed="false">
      <c r="A2836" s="0" t="s">
        <v>2407</v>
      </c>
      <c r="B2836" s="0" t="s">
        <v>3459</v>
      </c>
      <c r="C2836" s="0" t="s">
        <v>3447</v>
      </c>
      <c r="D2836" s="0" t="s">
        <v>3457</v>
      </c>
      <c r="E2836" s="0" t="s">
        <v>4963</v>
      </c>
      <c r="F2836" s="0" t="s">
        <v>59</v>
      </c>
      <c r="G2836" s="0" t="s">
        <v>4974</v>
      </c>
      <c r="H2836" s="0" t="s">
        <v>69</v>
      </c>
      <c r="I2836" s="0" t="s">
        <v>4975</v>
      </c>
      <c r="J2836" s="20" t="s">
        <v>25</v>
      </c>
    </row>
    <row r="2837" customFormat="false" ht="15" hidden="false" customHeight="false" outlineLevel="0" collapsed="false">
      <c r="A2837" s="0" t="s">
        <v>2407</v>
      </c>
      <c r="B2837" s="0" t="s">
        <v>134</v>
      </c>
      <c r="C2837" s="0" t="s">
        <v>3450</v>
      </c>
      <c r="D2837" s="0" t="s">
        <v>3457</v>
      </c>
      <c r="E2837" s="0" t="s">
        <v>4963</v>
      </c>
      <c r="F2837" s="0" t="s">
        <v>30</v>
      </c>
      <c r="G2837" s="0" t="s">
        <v>4980</v>
      </c>
      <c r="H2837" s="0" t="s">
        <v>4275</v>
      </c>
      <c r="I2837" s="0" t="s">
        <v>4981</v>
      </c>
      <c r="J2837" s="18" t="s">
        <v>24</v>
      </c>
    </row>
    <row r="2838" customFormat="false" ht="15" hidden="false" customHeight="false" outlineLevel="0" collapsed="false">
      <c r="A2838" s="0" t="s">
        <v>2407</v>
      </c>
      <c r="B2838" s="0" t="s">
        <v>3459</v>
      </c>
      <c r="C2838" s="0" t="s">
        <v>3450</v>
      </c>
      <c r="D2838" s="0" t="s">
        <v>3457</v>
      </c>
      <c r="E2838" s="0" t="s">
        <v>4963</v>
      </c>
      <c r="F2838" s="0" t="s">
        <v>30</v>
      </c>
      <c r="G2838" s="0" t="s">
        <v>4980</v>
      </c>
      <c r="H2838" s="0" t="s">
        <v>4275</v>
      </c>
      <c r="I2838" s="0" t="s">
        <v>4981</v>
      </c>
      <c r="J2838" s="18" t="s">
        <v>24</v>
      </c>
    </row>
    <row r="2839" customFormat="false" ht="15" hidden="false" customHeight="false" outlineLevel="0" collapsed="false">
      <c r="A2839" s="0" t="s">
        <v>2407</v>
      </c>
      <c r="B2839" s="0" t="s">
        <v>3459</v>
      </c>
      <c r="C2839" s="0" t="s">
        <v>3450</v>
      </c>
      <c r="D2839" s="0" t="s">
        <v>3448</v>
      </c>
      <c r="E2839" s="0" t="s">
        <v>4963</v>
      </c>
      <c r="F2839" s="0" t="s">
        <v>30</v>
      </c>
      <c r="G2839" s="0" t="s">
        <v>4980</v>
      </c>
      <c r="H2839" s="0" t="s">
        <v>4275</v>
      </c>
      <c r="I2839" s="0" t="s">
        <v>4981</v>
      </c>
      <c r="J2839" s="18" t="s">
        <v>24</v>
      </c>
    </row>
    <row r="2840" customFormat="false" ht="15" hidden="false" customHeight="false" outlineLevel="0" collapsed="false">
      <c r="A2840" s="0" t="s">
        <v>2407</v>
      </c>
      <c r="B2840" s="0" t="s">
        <v>3459</v>
      </c>
      <c r="C2840" s="0" t="s">
        <v>3447</v>
      </c>
      <c r="D2840" s="0" t="s">
        <v>3448</v>
      </c>
      <c r="E2840" s="0" t="s">
        <v>4963</v>
      </c>
      <c r="F2840" s="0" t="s">
        <v>30</v>
      </c>
      <c r="G2840" s="0" t="s">
        <v>4980</v>
      </c>
      <c r="H2840" s="0" t="s">
        <v>4251</v>
      </c>
      <c r="I2840" s="0" t="s">
        <v>4981</v>
      </c>
      <c r="J2840" s="18" t="s">
        <v>24</v>
      </c>
    </row>
    <row r="2841" customFormat="false" ht="15" hidden="false" customHeight="false" outlineLevel="0" collapsed="false">
      <c r="A2841" s="0" t="s">
        <v>2413</v>
      </c>
      <c r="B2841" s="0" t="s">
        <v>134</v>
      </c>
      <c r="C2841" s="0" t="s">
        <v>3450</v>
      </c>
      <c r="D2841" s="0" t="s">
        <v>3457</v>
      </c>
      <c r="E2841" s="0" t="s">
        <v>4969</v>
      </c>
      <c r="F2841" s="0" t="s">
        <v>62</v>
      </c>
      <c r="G2841" s="0" t="s">
        <v>5003</v>
      </c>
      <c r="H2841" s="0" t="s">
        <v>5486</v>
      </c>
      <c r="I2841" s="0" t="s">
        <v>5005</v>
      </c>
      <c r="J2841" s="20" t="s">
        <v>25</v>
      </c>
    </row>
    <row r="2842" customFormat="false" ht="15" hidden="false" customHeight="false" outlineLevel="0" collapsed="false">
      <c r="A2842" s="0" t="s">
        <v>2413</v>
      </c>
      <c r="B2842" s="0" t="s">
        <v>134</v>
      </c>
      <c r="C2842" s="0" t="s">
        <v>3450</v>
      </c>
      <c r="D2842" s="0" t="s">
        <v>3448</v>
      </c>
      <c r="E2842" s="0" t="s">
        <v>4969</v>
      </c>
      <c r="F2842" s="0" t="s">
        <v>63</v>
      </c>
      <c r="G2842" s="0" t="s">
        <v>4220</v>
      </c>
      <c r="H2842" s="0" t="s">
        <v>5907</v>
      </c>
      <c r="I2842" s="0" t="s">
        <v>4979</v>
      </c>
      <c r="J2842" s="20" t="s">
        <v>25</v>
      </c>
    </row>
    <row r="2843" customFormat="false" ht="15" hidden="false" customHeight="false" outlineLevel="0" collapsed="false">
      <c r="A2843" s="0" t="s">
        <v>2413</v>
      </c>
      <c r="B2843" s="0" t="s">
        <v>134</v>
      </c>
      <c r="C2843" s="0" t="s">
        <v>3447</v>
      </c>
      <c r="D2843" s="0" t="s">
        <v>3448</v>
      </c>
      <c r="E2843" s="0" t="s">
        <v>4963</v>
      </c>
      <c r="F2843" s="0" t="s">
        <v>59</v>
      </c>
      <c r="G2843" s="0" t="s">
        <v>4974</v>
      </c>
      <c r="H2843" s="0" t="s">
        <v>69</v>
      </c>
      <c r="I2843" s="0" t="s">
        <v>4975</v>
      </c>
      <c r="J2843" s="20" t="s">
        <v>25</v>
      </c>
    </row>
    <row r="2844" customFormat="false" ht="15" hidden="false" customHeight="false" outlineLevel="0" collapsed="false">
      <c r="A2844" s="0" t="s">
        <v>2413</v>
      </c>
      <c r="B2844" s="0" t="s">
        <v>134</v>
      </c>
      <c r="C2844" s="0" t="s">
        <v>3447</v>
      </c>
      <c r="D2844" s="0" t="s">
        <v>3448</v>
      </c>
      <c r="E2844" s="0" t="s">
        <v>4969</v>
      </c>
      <c r="F2844" s="0" t="s">
        <v>63</v>
      </c>
      <c r="G2844" s="0" t="s">
        <v>4220</v>
      </c>
      <c r="H2844" s="0" t="s">
        <v>5907</v>
      </c>
      <c r="I2844" s="0" t="s">
        <v>4979</v>
      </c>
      <c r="J2844" s="20" t="s">
        <v>25</v>
      </c>
    </row>
    <row r="2845" customFormat="false" ht="15" hidden="false" customHeight="false" outlineLevel="0" collapsed="false">
      <c r="A2845" s="0" t="s">
        <v>2413</v>
      </c>
      <c r="B2845" s="0" t="s">
        <v>134</v>
      </c>
      <c r="C2845" s="0" t="s">
        <v>3447</v>
      </c>
      <c r="D2845" s="0" t="s">
        <v>3448</v>
      </c>
      <c r="E2845" s="0" t="s">
        <v>4963</v>
      </c>
      <c r="F2845" s="0" t="s">
        <v>30</v>
      </c>
      <c r="G2845" s="0" t="s">
        <v>4980</v>
      </c>
      <c r="H2845" s="0" t="s">
        <v>4275</v>
      </c>
      <c r="I2845" s="0" t="s">
        <v>4981</v>
      </c>
      <c r="J2845" s="18" t="s">
        <v>24</v>
      </c>
    </row>
    <row r="2846" customFormat="false" ht="15" hidden="false" customHeight="false" outlineLevel="0" collapsed="false">
      <c r="A2846" s="0" t="s">
        <v>2423</v>
      </c>
      <c r="B2846" s="0" t="s">
        <v>134</v>
      </c>
      <c r="C2846" s="0" t="s">
        <v>3447</v>
      </c>
      <c r="D2846" s="0" t="s">
        <v>3457</v>
      </c>
      <c r="E2846" s="0" t="s">
        <v>4963</v>
      </c>
      <c r="F2846" s="0" t="s">
        <v>59</v>
      </c>
      <c r="G2846" s="0" t="s">
        <v>4974</v>
      </c>
      <c r="H2846" s="0" t="s">
        <v>69</v>
      </c>
      <c r="I2846" s="0" t="s">
        <v>4975</v>
      </c>
      <c r="J2846" s="20" t="s">
        <v>25</v>
      </c>
    </row>
    <row r="2847" customFormat="false" ht="15" hidden="false" customHeight="false" outlineLevel="0" collapsed="false">
      <c r="A2847" s="0" t="s">
        <v>2423</v>
      </c>
      <c r="B2847" s="0" t="s">
        <v>134</v>
      </c>
      <c r="C2847" s="0" t="s">
        <v>3447</v>
      </c>
      <c r="D2847" s="0" t="s">
        <v>3448</v>
      </c>
      <c r="E2847" s="0" t="s">
        <v>4963</v>
      </c>
      <c r="F2847" s="0" t="s">
        <v>59</v>
      </c>
      <c r="G2847" s="0" t="s">
        <v>4974</v>
      </c>
      <c r="H2847" s="0" t="s">
        <v>69</v>
      </c>
      <c r="I2847" s="0" t="s">
        <v>4975</v>
      </c>
      <c r="J2847" s="20" t="s">
        <v>25</v>
      </c>
    </row>
    <row r="2848" customFormat="false" ht="15" hidden="false" customHeight="false" outlineLevel="0" collapsed="false">
      <c r="A2848" s="0" t="s">
        <v>2423</v>
      </c>
      <c r="B2848" s="0" t="s">
        <v>134</v>
      </c>
      <c r="C2848" s="0" t="s">
        <v>3447</v>
      </c>
      <c r="D2848" s="0" t="s">
        <v>3457</v>
      </c>
      <c r="E2848" s="0" t="s">
        <v>4963</v>
      </c>
      <c r="F2848" s="0" t="s">
        <v>30</v>
      </c>
      <c r="G2848" s="0" t="s">
        <v>4980</v>
      </c>
      <c r="H2848" s="0" t="s">
        <v>4534</v>
      </c>
      <c r="I2848" s="0" t="s">
        <v>4981</v>
      </c>
      <c r="J2848" s="18" t="s">
        <v>24</v>
      </c>
    </row>
    <row r="2849" customFormat="false" ht="15" hidden="false" customHeight="false" outlineLevel="0" collapsed="false">
      <c r="A2849" s="0" t="s">
        <v>2423</v>
      </c>
      <c r="B2849" s="0" t="s">
        <v>134</v>
      </c>
      <c r="C2849" s="0" t="s">
        <v>3447</v>
      </c>
      <c r="D2849" s="0" t="s">
        <v>3448</v>
      </c>
      <c r="E2849" s="0" t="s">
        <v>4963</v>
      </c>
      <c r="F2849" s="0" t="s">
        <v>30</v>
      </c>
      <c r="G2849" s="0" t="s">
        <v>4980</v>
      </c>
      <c r="H2849" s="0" t="s">
        <v>4238</v>
      </c>
      <c r="I2849" s="0" t="s">
        <v>4981</v>
      </c>
      <c r="J2849" s="18" t="s">
        <v>24</v>
      </c>
    </row>
    <row r="2850" customFormat="false" ht="15" hidden="false" customHeight="false" outlineLevel="0" collapsed="false">
      <c r="A2850" s="0" t="s">
        <v>2429</v>
      </c>
      <c r="B2850" s="0" t="s">
        <v>3459</v>
      </c>
      <c r="C2850" s="0" t="s">
        <v>3447</v>
      </c>
      <c r="D2850" s="0" t="s">
        <v>3448</v>
      </c>
      <c r="E2850" s="0" t="s">
        <v>4963</v>
      </c>
      <c r="F2850" s="0" t="s">
        <v>60</v>
      </c>
      <c r="G2850" s="0" t="s">
        <v>4964</v>
      </c>
      <c r="H2850" s="0" t="s">
        <v>5532</v>
      </c>
      <c r="I2850" s="0" t="s">
        <v>4966</v>
      </c>
      <c r="J2850" s="19" t="s">
        <v>26</v>
      </c>
    </row>
    <row r="2851" customFormat="false" ht="15" hidden="false" customHeight="false" outlineLevel="0" collapsed="false">
      <c r="A2851" s="0" t="s">
        <v>2429</v>
      </c>
      <c r="B2851" s="0" t="s">
        <v>134</v>
      </c>
      <c r="C2851" s="0" t="s">
        <v>3450</v>
      </c>
      <c r="D2851" s="0" t="s">
        <v>3457</v>
      </c>
      <c r="E2851" s="0" t="s">
        <v>4963</v>
      </c>
      <c r="F2851" s="0" t="s">
        <v>59</v>
      </c>
      <c r="G2851" s="0" t="s">
        <v>4974</v>
      </c>
      <c r="H2851" s="0" t="s">
        <v>69</v>
      </c>
      <c r="I2851" s="0" t="s">
        <v>4975</v>
      </c>
      <c r="J2851" s="20" t="s">
        <v>25</v>
      </c>
    </row>
    <row r="2852" customFormat="false" ht="15" hidden="false" customHeight="false" outlineLevel="0" collapsed="false">
      <c r="A2852" s="0" t="s">
        <v>2429</v>
      </c>
      <c r="B2852" s="0" t="s">
        <v>134</v>
      </c>
      <c r="C2852" s="0" t="s">
        <v>3450</v>
      </c>
      <c r="D2852" s="0" t="s">
        <v>3448</v>
      </c>
      <c r="E2852" s="0" t="s">
        <v>4963</v>
      </c>
      <c r="F2852" s="0" t="s">
        <v>59</v>
      </c>
      <c r="G2852" s="0" t="s">
        <v>4974</v>
      </c>
      <c r="H2852" s="0" t="s">
        <v>69</v>
      </c>
      <c r="I2852" s="0" t="s">
        <v>4975</v>
      </c>
      <c r="J2852" s="20" t="s">
        <v>25</v>
      </c>
    </row>
    <row r="2853" customFormat="false" ht="15" hidden="false" customHeight="false" outlineLevel="0" collapsed="false">
      <c r="A2853" s="0" t="s">
        <v>2429</v>
      </c>
      <c r="B2853" s="0" t="s">
        <v>134</v>
      </c>
      <c r="C2853" s="0" t="s">
        <v>3450</v>
      </c>
      <c r="D2853" s="0" t="s">
        <v>3448</v>
      </c>
      <c r="E2853" s="0" t="s">
        <v>4969</v>
      </c>
      <c r="F2853" s="0" t="s">
        <v>62</v>
      </c>
      <c r="G2853" s="0" t="s">
        <v>5003</v>
      </c>
      <c r="H2853" s="0" t="s">
        <v>5908</v>
      </c>
      <c r="I2853" s="0" t="s">
        <v>5005</v>
      </c>
      <c r="J2853" s="20" t="s">
        <v>25</v>
      </c>
    </row>
    <row r="2854" customFormat="false" ht="15" hidden="false" customHeight="false" outlineLevel="0" collapsed="false">
      <c r="A2854" s="0" t="s">
        <v>2429</v>
      </c>
      <c r="B2854" s="0" t="s">
        <v>134</v>
      </c>
      <c r="C2854" s="0" t="s">
        <v>3447</v>
      </c>
      <c r="D2854" s="0" t="s">
        <v>3457</v>
      </c>
      <c r="E2854" s="0" t="s">
        <v>4963</v>
      </c>
      <c r="F2854" s="0" t="s">
        <v>59</v>
      </c>
      <c r="G2854" s="0" t="s">
        <v>4974</v>
      </c>
      <c r="H2854" s="0" t="s">
        <v>69</v>
      </c>
      <c r="I2854" s="0" t="s">
        <v>4975</v>
      </c>
      <c r="J2854" s="20" t="s">
        <v>25</v>
      </c>
    </row>
    <row r="2855" customFormat="false" ht="15" hidden="false" customHeight="false" outlineLevel="0" collapsed="false">
      <c r="A2855" s="0" t="s">
        <v>2429</v>
      </c>
      <c r="B2855" s="0" t="s">
        <v>134</v>
      </c>
      <c r="C2855" s="0" t="s">
        <v>3447</v>
      </c>
      <c r="D2855" s="0" t="s">
        <v>3448</v>
      </c>
      <c r="E2855" s="0" t="s">
        <v>4963</v>
      </c>
      <c r="F2855" s="0" t="s">
        <v>59</v>
      </c>
      <c r="G2855" s="0" t="s">
        <v>4974</v>
      </c>
      <c r="H2855" s="0" t="s">
        <v>69</v>
      </c>
      <c r="I2855" s="0" t="s">
        <v>4975</v>
      </c>
      <c r="J2855" s="20" t="s">
        <v>25</v>
      </c>
    </row>
    <row r="2856" customFormat="false" ht="15" hidden="false" customHeight="false" outlineLevel="0" collapsed="false">
      <c r="A2856" s="0" t="s">
        <v>2429</v>
      </c>
      <c r="B2856" s="0" t="s">
        <v>3459</v>
      </c>
      <c r="C2856" s="0" t="s">
        <v>3450</v>
      </c>
      <c r="D2856" s="0" t="s">
        <v>3448</v>
      </c>
      <c r="E2856" s="0" t="s">
        <v>4969</v>
      </c>
      <c r="F2856" s="0" t="s">
        <v>62</v>
      </c>
      <c r="G2856" s="0" t="s">
        <v>5003</v>
      </c>
      <c r="H2856" s="0" t="s">
        <v>5909</v>
      </c>
      <c r="I2856" s="0" t="s">
        <v>5005</v>
      </c>
      <c r="J2856" s="20" t="s">
        <v>25</v>
      </c>
    </row>
    <row r="2857" customFormat="false" ht="15" hidden="false" customHeight="false" outlineLevel="0" collapsed="false">
      <c r="A2857" s="0" t="s">
        <v>2429</v>
      </c>
      <c r="B2857" s="0" t="s">
        <v>3459</v>
      </c>
      <c r="C2857" s="0" t="s">
        <v>3450</v>
      </c>
      <c r="D2857" s="0" t="s">
        <v>3448</v>
      </c>
      <c r="E2857" s="0" t="s">
        <v>4969</v>
      </c>
      <c r="F2857" s="0" t="s">
        <v>63</v>
      </c>
      <c r="G2857" s="0" t="s">
        <v>4220</v>
      </c>
      <c r="H2857" s="0" t="s">
        <v>5910</v>
      </c>
      <c r="I2857" s="0" t="s">
        <v>4979</v>
      </c>
      <c r="J2857" s="20" t="s">
        <v>25</v>
      </c>
    </row>
    <row r="2858" customFormat="false" ht="15" hidden="false" customHeight="false" outlineLevel="0" collapsed="false">
      <c r="A2858" s="0" t="s">
        <v>2429</v>
      </c>
      <c r="B2858" s="0" t="s">
        <v>3459</v>
      </c>
      <c r="C2858" s="0" t="s">
        <v>3447</v>
      </c>
      <c r="D2858" s="0" t="s">
        <v>3448</v>
      </c>
      <c r="E2858" s="0" t="s">
        <v>4963</v>
      </c>
      <c r="F2858" s="0" t="s">
        <v>59</v>
      </c>
      <c r="G2858" s="0" t="s">
        <v>4974</v>
      </c>
      <c r="H2858" s="0" t="s">
        <v>69</v>
      </c>
      <c r="I2858" s="0" t="s">
        <v>4975</v>
      </c>
      <c r="J2858" s="20" t="s">
        <v>25</v>
      </c>
    </row>
    <row r="2859" customFormat="false" ht="15" hidden="false" customHeight="false" outlineLevel="0" collapsed="false">
      <c r="A2859" s="0" t="s">
        <v>2429</v>
      </c>
      <c r="B2859" s="0" t="s">
        <v>3459</v>
      </c>
      <c r="C2859" s="0" t="s">
        <v>3447</v>
      </c>
      <c r="D2859" s="0" t="s">
        <v>3448</v>
      </c>
      <c r="E2859" s="0" t="s">
        <v>4969</v>
      </c>
      <c r="F2859" s="0" t="s">
        <v>63</v>
      </c>
      <c r="G2859" s="0" t="s">
        <v>4220</v>
      </c>
      <c r="H2859" s="0" t="s">
        <v>5910</v>
      </c>
      <c r="I2859" s="0" t="s">
        <v>4979</v>
      </c>
      <c r="J2859" s="20" t="s">
        <v>25</v>
      </c>
    </row>
    <row r="2860" customFormat="false" ht="15" hidden="false" customHeight="false" outlineLevel="0" collapsed="false">
      <c r="A2860" s="0" t="s">
        <v>2429</v>
      </c>
      <c r="B2860" s="0" t="s">
        <v>134</v>
      </c>
      <c r="C2860" s="0" t="s">
        <v>3450</v>
      </c>
      <c r="D2860" s="0" t="s">
        <v>3457</v>
      </c>
      <c r="E2860" s="0" t="s">
        <v>4963</v>
      </c>
      <c r="F2860" s="0" t="s">
        <v>30</v>
      </c>
      <c r="G2860" s="0" t="s">
        <v>4980</v>
      </c>
      <c r="H2860" s="0" t="s">
        <v>4275</v>
      </c>
      <c r="I2860" s="0" t="s">
        <v>4981</v>
      </c>
      <c r="J2860" s="18" t="s">
        <v>24</v>
      </c>
    </row>
    <row r="2861" customFormat="false" ht="15" hidden="false" customHeight="false" outlineLevel="0" collapsed="false">
      <c r="A2861" s="0" t="s">
        <v>2429</v>
      </c>
      <c r="B2861" s="0" t="s">
        <v>134</v>
      </c>
      <c r="C2861" s="0" t="s">
        <v>3450</v>
      </c>
      <c r="D2861" s="0" t="s">
        <v>3448</v>
      </c>
      <c r="E2861" s="0" t="s">
        <v>4963</v>
      </c>
      <c r="F2861" s="0" t="s">
        <v>30</v>
      </c>
      <c r="G2861" s="0" t="s">
        <v>4980</v>
      </c>
      <c r="H2861" s="0" t="s">
        <v>4275</v>
      </c>
      <c r="I2861" s="0" t="s">
        <v>4981</v>
      </c>
      <c r="J2861" s="18" t="s">
        <v>24</v>
      </c>
    </row>
    <row r="2862" customFormat="false" ht="15" hidden="false" customHeight="false" outlineLevel="0" collapsed="false">
      <c r="A2862" s="0" t="s">
        <v>2429</v>
      </c>
      <c r="B2862" s="0" t="s">
        <v>134</v>
      </c>
      <c r="C2862" s="0" t="s">
        <v>3447</v>
      </c>
      <c r="D2862" s="0" t="s">
        <v>3457</v>
      </c>
      <c r="E2862" s="0" t="s">
        <v>4963</v>
      </c>
      <c r="F2862" s="0" t="s">
        <v>30</v>
      </c>
      <c r="G2862" s="0" t="s">
        <v>4980</v>
      </c>
      <c r="H2862" s="0" t="s">
        <v>4275</v>
      </c>
      <c r="I2862" s="0" t="s">
        <v>4981</v>
      </c>
      <c r="J2862" s="18" t="s">
        <v>24</v>
      </c>
    </row>
    <row r="2863" customFormat="false" ht="15" hidden="false" customHeight="false" outlineLevel="0" collapsed="false">
      <c r="A2863" s="0" t="s">
        <v>2429</v>
      </c>
      <c r="B2863" s="0" t="s">
        <v>134</v>
      </c>
      <c r="C2863" s="0" t="s">
        <v>3447</v>
      </c>
      <c r="D2863" s="0" t="s">
        <v>3448</v>
      </c>
      <c r="E2863" s="0" t="s">
        <v>4963</v>
      </c>
      <c r="F2863" s="0" t="s">
        <v>30</v>
      </c>
      <c r="G2863" s="0" t="s">
        <v>4980</v>
      </c>
      <c r="H2863" s="0" t="s">
        <v>4771</v>
      </c>
      <c r="I2863" s="0" t="s">
        <v>4981</v>
      </c>
      <c r="J2863" s="18" t="s">
        <v>24</v>
      </c>
    </row>
    <row r="2864" customFormat="false" ht="15" hidden="false" customHeight="false" outlineLevel="0" collapsed="false">
      <c r="A2864" s="0" t="s">
        <v>2429</v>
      </c>
      <c r="B2864" s="0" t="s">
        <v>3459</v>
      </c>
      <c r="C2864" s="0" t="s">
        <v>3450</v>
      </c>
      <c r="D2864" s="0" t="s">
        <v>3457</v>
      </c>
      <c r="E2864" s="0" t="s">
        <v>4963</v>
      </c>
      <c r="F2864" s="0" t="s">
        <v>30</v>
      </c>
      <c r="G2864" s="0" t="s">
        <v>4980</v>
      </c>
      <c r="H2864" s="0" t="s">
        <v>4272</v>
      </c>
      <c r="I2864" s="0" t="s">
        <v>4981</v>
      </c>
      <c r="J2864" s="18" t="s">
        <v>24</v>
      </c>
    </row>
    <row r="2865" customFormat="false" ht="15" hidden="false" customHeight="false" outlineLevel="0" collapsed="false">
      <c r="A2865" s="0" t="s">
        <v>2429</v>
      </c>
      <c r="B2865" s="0" t="s">
        <v>3459</v>
      </c>
      <c r="C2865" s="0" t="s">
        <v>3450</v>
      </c>
      <c r="D2865" s="0" t="s">
        <v>3448</v>
      </c>
      <c r="E2865" s="0" t="s">
        <v>4963</v>
      </c>
      <c r="F2865" s="0" t="s">
        <v>30</v>
      </c>
      <c r="G2865" s="0" t="s">
        <v>4980</v>
      </c>
      <c r="H2865" s="0" t="s">
        <v>4272</v>
      </c>
      <c r="I2865" s="0" t="s">
        <v>4981</v>
      </c>
      <c r="J2865" s="18" t="s">
        <v>24</v>
      </c>
    </row>
    <row r="2866" customFormat="false" ht="15" hidden="false" customHeight="false" outlineLevel="0" collapsed="false">
      <c r="A2866" s="0" t="s">
        <v>2429</v>
      </c>
      <c r="B2866" s="0" t="s">
        <v>3459</v>
      </c>
      <c r="C2866" s="0" t="s">
        <v>3447</v>
      </c>
      <c r="D2866" s="0" t="s">
        <v>3457</v>
      </c>
      <c r="E2866" s="0" t="s">
        <v>4963</v>
      </c>
      <c r="F2866" s="0" t="s">
        <v>30</v>
      </c>
      <c r="G2866" s="0" t="s">
        <v>4980</v>
      </c>
      <c r="H2866" s="0" t="s">
        <v>4272</v>
      </c>
      <c r="I2866" s="0" t="s">
        <v>4981</v>
      </c>
      <c r="J2866" s="18" t="s">
        <v>24</v>
      </c>
    </row>
    <row r="2867" customFormat="false" ht="15" hidden="false" customHeight="false" outlineLevel="0" collapsed="false">
      <c r="A2867" s="0" t="s">
        <v>2435</v>
      </c>
      <c r="B2867" s="0" t="s">
        <v>134</v>
      </c>
      <c r="C2867" s="0" t="s">
        <v>3447</v>
      </c>
      <c r="D2867" s="0" t="s">
        <v>3457</v>
      </c>
      <c r="E2867" s="0" t="s">
        <v>4963</v>
      </c>
      <c r="F2867" s="0" t="s">
        <v>60</v>
      </c>
      <c r="G2867" s="0" t="s">
        <v>4964</v>
      </c>
      <c r="H2867" s="0" t="s">
        <v>5911</v>
      </c>
      <c r="I2867" s="0" t="s">
        <v>4966</v>
      </c>
      <c r="J2867" s="19" t="s">
        <v>26</v>
      </c>
    </row>
    <row r="2868" customFormat="false" ht="15" hidden="false" customHeight="false" outlineLevel="0" collapsed="false">
      <c r="A2868" s="0" t="s">
        <v>2435</v>
      </c>
      <c r="B2868" s="0" t="s">
        <v>134</v>
      </c>
      <c r="C2868" s="0" t="s">
        <v>3450</v>
      </c>
      <c r="D2868" s="0" t="s">
        <v>3457</v>
      </c>
      <c r="E2868" s="0" t="s">
        <v>4963</v>
      </c>
      <c r="F2868" s="0" t="s">
        <v>59</v>
      </c>
      <c r="G2868" s="0" t="s">
        <v>4974</v>
      </c>
      <c r="H2868" s="0" t="s">
        <v>69</v>
      </c>
      <c r="I2868" s="0" t="s">
        <v>4975</v>
      </c>
      <c r="J2868" s="20" t="s">
        <v>25</v>
      </c>
    </row>
    <row r="2869" customFormat="false" ht="15" hidden="false" customHeight="false" outlineLevel="0" collapsed="false">
      <c r="A2869" s="0" t="s">
        <v>2435</v>
      </c>
      <c r="B2869" s="0" t="s">
        <v>134</v>
      </c>
      <c r="C2869" s="0" t="s">
        <v>3450</v>
      </c>
      <c r="D2869" s="0" t="s">
        <v>3457</v>
      </c>
      <c r="E2869" s="0" t="s">
        <v>4969</v>
      </c>
      <c r="F2869" s="0" t="s">
        <v>61</v>
      </c>
      <c r="G2869" s="0" t="s">
        <v>4970</v>
      </c>
      <c r="H2869" s="0" t="s">
        <v>5912</v>
      </c>
      <c r="I2869" s="0" t="s">
        <v>4972</v>
      </c>
      <c r="J2869" s="20" t="s">
        <v>25</v>
      </c>
    </row>
    <row r="2870" customFormat="false" ht="15" hidden="false" customHeight="false" outlineLevel="0" collapsed="false">
      <c r="A2870" s="0" t="s">
        <v>2435</v>
      </c>
      <c r="B2870" s="0" t="s">
        <v>134</v>
      </c>
      <c r="C2870" s="0" t="s">
        <v>3450</v>
      </c>
      <c r="D2870" s="0" t="s">
        <v>3448</v>
      </c>
      <c r="E2870" s="0" t="s">
        <v>4963</v>
      </c>
      <c r="F2870" s="0" t="s">
        <v>59</v>
      </c>
      <c r="G2870" s="0" t="s">
        <v>4974</v>
      </c>
      <c r="H2870" s="0" t="s">
        <v>69</v>
      </c>
      <c r="I2870" s="0" t="s">
        <v>4975</v>
      </c>
      <c r="J2870" s="20" t="s">
        <v>25</v>
      </c>
    </row>
    <row r="2871" customFormat="false" ht="15" hidden="false" customHeight="false" outlineLevel="0" collapsed="false">
      <c r="A2871" s="0" t="s">
        <v>2435</v>
      </c>
      <c r="B2871" s="0" t="s">
        <v>134</v>
      </c>
      <c r="C2871" s="0" t="s">
        <v>3450</v>
      </c>
      <c r="D2871" s="0" t="s">
        <v>3448</v>
      </c>
      <c r="E2871" s="0" t="s">
        <v>4969</v>
      </c>
      <c r="F2871" s="0" t="s">
        <v>64</v>
      </c>
      <c r="G2871" s="0" t="s">
        <v>4220</v>
      </c>
      <c r="H2871" s="0" t="s">
        <v>5913</v>
      </c>
      <c r="I2871" s="0" t="s">
        <v>4991</v>
      </c>
      <c r="J2871" s="20" t="s">
        <v>25</v>
      </c>
    </row>
    <row r="2872" customFormat="false" ht="15" hidden="false" customHeight="false" outlineLevel="0" collapsed="false">
      <c r="A2872" s="0" t="s">
        <v>2435</v>
      </c>
      <c r="B2872" s="0" t="s">
        <v>134</v>
      </c>
      <c r="C2872" s="0" t="s">
        <v>3447</v>
      </c>
      <c r="D2872" s="0" t="s">
        <v>3457</v>
      </c>
      <c r="E2872" s="0" t="s">
        <v>4969</v>
      </c>
      <c r="F2872" s="0" t="s">
        <v>61</v>
      </c>
      <c r="G2872" s="0" t="s">
        <v>4970</v>
      </c>
      <c r="H2872" s="0" t="s">
        <v>5914</v>
      </c>
      <c r="I2872" s="0" t="s">
        <v>4972</v>
      </c>
      <c r="J2872" s="20" t="s">
        <v>25</v>
      </c>
    </row>
    <row r="2873" customFormat="false" ht="15" hidden="false" customHeight="false" outlineLevel="0" collapsed="false">
      <c r="A2873" s="0" t="s">
        <v>2435</v>
      </c>
      <c r="B2873" s="0" t="s">
        <v>134</v>
      </c>
      <c r="C2873" s="0" t="s">
        <v>3447</v>
      </c>
      <c r="D2873" s="0" t="s">
        <v>3448</v>
      </c>
      <c r="E2873" s="0" t="s">
        <v>4969</v>
      </c>
      <c r="F2873" s="0" t="s">
        <v>64</v>
      </c>
      <c r="G2873" s="0" t="s">
        <v>4220</v>
      </c>
      <c r="H2873" s="0" t="s">
        <v>5913</v>
      </c>
      <c r="I2873" s="0" t="s">
        <v>4991</v>
      </c>
      <c r="J2873" s="20" t="s">
        <v>25</v>
      </c>
    </row>
    <row r="2874" customFormat="false" ht="15" hidden="false" customHeight="false" outlineLevel="0" collapsed="false">
      <c r="A2874" s="0" t="s">
        <v>2435</v>
      </c>
      <c r="B2874" s="0" t="s">
        <v>3459</v>
      </c>
      <c r="C2874" s="0" t="s">
        <v>3450</v>
      </c>
      <c r="D2874" s="0" t="s">
        <v>3457</v>
      </c>
      <c r="E2874" s="0" t="s">
        <v>4963</v>
      </c>
      <c r="F2874" s="0" t="s">
        <v>59</v>
      </c>
      <c r="G2874" s="0" t="s">
        <v>4974</v>
      </c>
      <c r="H2874" s="0" t="s">
        <v>69</v>
      </c>
      <c r="I2874" s="0" t="s">
        <v>4975</v>
      </c>
      <c r="J2874" s="20" t="s">
        <v>25</v>
      </c>
    </row>
    <row r="2875" customFormat="false" ht="15" hidden="false" customHeight="false" outlineLevel="0" collapsed="false">
      <c r="A2875" s="0" t="s">
        <v>2435</v>
      </c>
      <c r="B2875" s="0" t="s">
        <v>3459</v>
      </c>
      <c r="C2875" s="0" t="s">
        <v>3450</v>
      </c>
      <c r="D2875" s="0" t="s">
        <v>3457</v>
      </c>
      <c r="E2875" s="0" t="s">
        <v>4969</v>
      </c>
      <c r="F2875" s="0" t="s">
        <v>61</v>
      </c>
      <c r="G2875" s="0" t="s">
        <v>4970</v>
      </c>
      <c r="H2875" s="0" t="s">
        <v>5915</v>
      </c>
      <c r="I2875" s="0" t="s">
        <v>4972</v>
      </c>
      <c r="J2875" s="20" t="s">
        <v>25</v>
      </c>
    </row>
    <row r="2876" customFormat="false" ht="15" hidden="false" customHeight="false" outlineLevel="0" collapsed="false">
      <c r="A2876" s="0" t="s">
        <v>2435</v>
      </c>
      <c r="B2876" s="0" t="s">
        <v>3459</v>
      </c>
      <c r="C2876" s="0" t="s">
        <v>3450</v>
      </c>
      <c r="D2876" s="0" t="s">
        <v>3448</v>
      </c>
      <c r="E2876" s="0" t="s">
        <v>4963</v>
      </c>
      <c r="F2876" s="0" t="s">
        <v>59</v>
      </c>
      <c r="G2876" s="0" t="s">
        <v>4974</v>
      </c>
      <c r="H2876" s="0" t="s">
        <v>69</v>
      </c>
      <c r="I2876" s="0" t="s">
        <v>4975</v>
      </c>
      <c r="J2876" s="20" t="s">
        <v>25</v>
      </c>
    </row>
    <row r="2877" customFormat="false" ht="15" hidden="false" customHeight="false" outlineLevel="0" collapsed="false">
      <c r="A2877" s="0" t="s">
        <v>2435</v>
      </c>
      <c r="B2877" s="0" t="s">
        <v>3459</v>
      </c>
      <c r="C2877" s="0" t="s">
        <v>3450</v>
      </c>
      <c r="D2877" s="0" t="s">
        <v>3448</v>
      </c>
      <c r="E2877" s="0" t="s">
        <v>4969</v>
      </c>
      <c r="F2877" s="0" t="s">
        <v>61</v>
      </c>
      <c r="G2877" s="0" t="s">
        <v>4970</v>
      </c>
      <c r="H2877" s="0" t="s">
        <v>5916</v>
      </c>
      <c r="I2877" s="0" t="s">
        <v>4972</v>
      </c>
      <c r="J2877" s="20" t="s">
        <v>25</v>
      </c>
    </row>
    <row r="2878" customFormat="false" ht="15" hidden="false" customHeight="false" outlineLevel="0" collapsed="false">
      <c r="A2878" s="0" t="s">
        <v>2435</v>
      </c>
      <c r="B2878" s="0" t="s">
        <v>3459</v>
      </c>
      <c r="C2878" s="0" t="s">
        <v>3450</v>
      </c>
      <c r="D2878" s="0" t="s">
        <v>3448</v>
      </c>
      <c r="E2878" s="0" t="s">
        <v>4969</v>
      </c>
      <c r="F2878" s="0" t="s">
        <v>63</v>
      </c>
      <c r="G2878" s="0" t="s">
        <v>4220</v>
      </c>
      <c r="H2878" s="0" t="s">
        <v>5739</v>
      </c>
      <c r="I2878" s="0" t="s">
        <v>4979</v>
      </c>
      <c r="J2878" s="20" t="s">
        <v>25</v>
      </c>
    </row>
    <row r="2879" customFormat="false" ht="15" hidden="false" customHeight="false" outlineLevel="0" collapsed="false">
      <c r="A2879" s="0" t="s">
        <v>2435</v>
      </c>
      <c r="B2879" s="0" t="s">
        <v>3459</v>
      </c>
      <c r="C2879" s="0" t="s">
        <v>3447</v>
      </c>
      <c r="D2879" s="0" t="s">
        <v>3457</v>
      </c>
      <c r="E2879" s="0" t="s">
        <v>4963</v>
      </c>
      <c r="F2879" s="0" t="s">
        <v>59</v>
      </c>
      <c r="G2879" s="0" t="s">
        <v>4974</v>
      </c>
      <c r="H2879" s="0" t="s">
        <v>69</v>
      </c>
      <c r="I2879" s="0" t="s">
        <v>4975</v>
      </c>
      <c r="J2879" s="20" t="s">
        <v>25</v>
      </c>
    </row>
    <row r="2880" customFormat="false" ht="15" hidden="false" customHeight="false" outlineLevel="0" collapsed="false">
      <c r="A2880" s="0" t="s">
        <v>2435</v>
      </c>
      <c r="B2880" s="0" t="s">
        <v>3459</v>
      </c>
      <c r="C2880" s="0" t="s">
        <v>3447</v>
      </c>
      <c r="D2880" s="0" t="s">
        <v>3457</v>
      </c>
      <c r="E2880" s="0" t="s">
        <v>4969</v>
      </c>
      <c r="F2880" s="0" t="s">
        <v>61</v>
      </c>
      <c r="G2880" s="0" t="s">
        <v>4970</v>
      </c>
      <c r="H2880" s="0" t="s">
        <v>5917</v>
      </c>
      <c r="I2880" s="0" t="s">
        <v>4972</v>
      </c>
      <c r="J2880" s="20" t="s">
        <v>25</v>
      </c>
    </row>
    <row r="2881" customFormat="false" ht="15" hidden="false" customHeight="false" outlineLevel="0" collapsed="false">
      <c r="A2881" s="0" t="s">
        <v>2435</v>
      </c>
      <c r="B2881" s="0" t="s">
        <v>3459</v>
      </c>
      <c r="C2881" s="0" t="s">
        <v>3447</v>
      </c>
      <c r="D2881" s="0" t="s">
        <v>3448</v>
      </c>
      <c r="E2881" s="0" t="s">
        <v>4963</v>
      </c>
      <c r="F2881" s="0" t="s">
        <v>59</v>
      </c>
      <c r="G2881" s="0" t="s">
        <v>4974</v>
      </c>
      <c r="H2881" s="0" t="s">
        <v>69</v>
      </c>
      <c r="I2881" s="0" t="s">
        <v>4975</v>
      </c>
      <c r="J2881" s="20" t="s">
        <v>25</v>
      </c>
    </row>
    <row r="2882" customFormat="false" ht="15" hidden="false" customHeight="false" outlineLevel="0" collapsed="false">
      <c r="A2882" s="0" t="s">
        <v>2435</v>
      </c>
      <c r="B2882" s="0" t="s">
        <v>3459</v>
      </c>
      <c r="C2882" s="0" t="s">
        <v>3447</v>
      </c>
      <c r="D2882" s="0" t="s">
        <v>3448</v>
      </c>
      <c r="E2882" s="0" t="s">
        <v>4969</v>
      </c>
      <c r="F2882" s="0" t="s">
        <v>61</v>
      </c>
      <c r="G2882" s="0" t="s">
        <v>4970</v>
      </c>
      <c r="H2882" s="0" t="s">
        <v>5918</v>
      </c>
      <c r="I2882" s="0" t="s">
        <v>4972</v>
      </c>
      <c r="J2882" s="20" t="s">
        <v>25</v>
      </c>
    </row>
    <row r="2883" customFormat="false" ht="15" hidden="false" customHeight="false" outlineLevel="0" collapsed="false">
      <c r="A2883" s="0" t="s">
        <v>2435</v>
      </c>
      <c r="B2883" s="0" t="s">
        <v>3459</v>
      </c>
      <c r="C2883" s="0" t="s">
        <v>3447</v>
      </c>
      <c r="D2883" s="0" t="s">
        <v>3448</v>
      </c>
      <c r="E2883" s="0" t="s">
        <v>4969</v>
      </c>
      <c r="F2883" s="0" t="s">
        <v>63</v>
      </c>
      <c r="G2883" s="0" t="s">
        <v>4220</v>
      </c>
      <c r="H2883" s="0" t="s">
        <v>5739</v>
      </c>
      <c r="I2883" s="0" t="s">
        <v>4979</v>
      </c>
      <c r="J2883" s="20" t="s">
        <v>25</v>
      </c>
    </row>
    <row r="2884" customFormat="false" ht="15" hidden="false" customHeight="false" outlineLevel="0" collapsed="false">
      <c r="A2884" s="0" t="s">
        <v>2435</v>
      </c>
      <c r="B2884" s="0" t="s">
        <v>134</v>
      </c>
      <c r="C2884" s="0" t="s">
        <v>3450</v>
      </c>
      <c r="D2884" s="0" t="s">
        <v>3457</v>
      </c>
      <c r="E2884" s="0" t="s">
        <v>4963</v>
      </c>
      <c r="F2884" s="0" t="s">
        <v>30</v>
      </c>
      <c r="G2884" s="0" t="s">
        <v>4980</v>
      </c>
      <c r="H2884" s="0" t="s">
        <v>4238</v>
      </c>
      <c r="I2884" s="0" t="s">
        <v>4981</v>
      </c>
      <c r="J2884" s="18" t="s">
        <v>24</v>
      </c>
    </row>
    <row r="2885" customFormat="false" ht="15" hidden="false" customHeight="false" outlineLevel="0" collapsed="false">
      <c r="A2885" s="0" t="s">
        <v>2435</v>
      </c>
      <c r="B2885" s="0" t="s">
        <v>134</v>
      </c>
      <c r="C2885" s="0" t="s">
        <v>3450</v>
      </c>
      <c r="D2885" s="0" t="s">
        <v>3448</v>
      </c>
      <c r="E2885" s="0" t="s">
        <v>4963</v>
      </c>
      <c r="F2885" s="0" t="s">
        <v>30</v>
      </c>
      <c r="G2885" s="0" t="s">
        <v>4980</v>
      </c>
      <c r="H2885" s="0" t="s">
        <v>4238</v>
      </c>
      <c r="I2885" s="0" t="s">
        <v>4981</v>
      </c>
      <c r="J2885" s="18" t="s">
        <v>24</v>
      </c>
    </row>
    <row r="2886" customFormat="false" ht="15" hidden="false" customHeight="false" outlineLevel="0" collapsed="false">
      <c r="A2886" s="0" t="s">
        <v>2435</v>
      </c>
      <c r="B2886" s="0" t="s">
        <v>134</v>
      </c>
      <c r="C2886" s="0" t="s">
        <v>3447</v>
      </c>
      <c r="D2886" s="0" t="s">
        <v>3448</v>
      </c>
      <c r="E2886" s="0" t="s">
        <v>4963</v>
      </c>
      <c r="F2886" s="0" t="s">
        <v>30</v>
      </c>
      <c r="G2886" s="0" t="s">
        <v>4980</v>
      </c>
      <c r="H2886" s="0" t="s">
        <v>4773</v>
      </c>
      <c r="I2886" s="0" t="s">
        <v>4981</v>
      </c>
      <c r="J2886" s="18" t="s">
        <v>24</v>
      </c>
    </row>
    <row r="2887" customFormat="false" ht="15" hidden="false" customHeight="false" outlineLevel="0" collapsed="false">
      <c r="A2887" s="0" t="s">
        <v>2435</v>
      </c>
      <c r="B2887" s="0" t="s">
        <v>3459</v>
      </c>
      <c r="C2887" s="0" t="s">
        <v>3450</v>
      </c>
      <c r="D2887" s="0" t="s">
        <v>3457</v>
      </c>
      <c r="E2887" s="0" t="s">
        <v>4963</v>
      </c>
      <c r="F2887" s="0" t="s">
        <v>30</v>
      </c>
      <c r="G2887" s="0" t="s">
        <v>4980</v>
      </c>
      <c r="H2887" s="0" t="s">
        <v>4774</v>
      </c>
      <c r="I2887" s="0" t="s">
        <v>4981</v>
      </c>
      <c r="J2887" s="18" t="s">
        <v>24</v>
      </c>
    </row>
    <row r="2888" customFormat="false" ht="15" hidden="false" customHeight="false" outlineLevel="0" collapsed="false">
      <c r="A2888" s="0" t="s">
        <v>2435</v>
      </c>
      <c r="B2888" s="0" t="s">
        <v>3459</v>
      </c>
      <c r="C2888" s="0" t="s">
        <v>3450</v>
      </c>
      <c r="D2888" s="0" t="s">
        <v>3448</v>
      </c>
      <c r="E2888" s="0" t="s">
        <v>4963</v>
      </c>
      <c r="F2888" s="0" t="s">
        <v>30</v>
      </c>
      <c r="G2888" s="0" t="s">
        <v>4980</v>
      </c>
      <c r="H2888" s="0" t="s">
        <v>4275</v>
      </c>
      <c r="I2888" s="0" t="s">
        <v>4981</v>
      </c>
      <c r="J2888" s="18" t="s">
        <v>24</v>
      </c>
    </row>
    <row r="2889" customFormat="false" ht="15" hidden="false" customHeight="false" outlineLevel="0" collapsed="false">
      <c r="A2889" s="0" t="s">
        <v>2435</v>
      </c>
      <c r="B2889" s="0" t="s">
        <v>3459</v>
      </c>
      <c r="C2889" s="0" t="s">
        <v>3447</v>
      </c>
      <c r="D2889" s="0" t="s">
        <v>3457</v>
      </c>
      <c r="E2889" s="0" t="s">
        <v>4963</v>
      </c>
      <c r="F2889" s="0" t="s">
        <v>30</v>
      </c>
      <c r="G2889" s="0" t="s">
        <v>4980</v>
      </c>
      <c r="H2889" s="0" t="s">
        <v>4275</v>
      </c>
      <c r="I2889" s="0" t="s">
        <v>4981</v>
      </c>
      <c r="J2889" s="18" t="s">
        <v>24</v>
      </c>
    </row>
    <row r="2890" customFormat="false" ht="15" hidden="false" customHeight="false" outlineLevel="0" collapsed="false">
      <c r="A2890" s="0" t="s">
        <v>2435</v>
      </c>
      <c r="B2890" s="0" t="s">
        <v>3459</v>
      </c>
      <c r="C2890" s="0" t="s">
        <v>3447</v>
      </c>
      <c r="D2890" s="0" t="s">
        <v>3448</v>
      </c>
      <c r="E2890" s="0" t="s">
        <v>4963</v>
      </c>
      <c r="F2890" s="0" t="s">
        <v>30</v>
      </c>
      <c r="G2890" s="0" t="s">
        <v>4980</v>
      </c>
      <c r="H2890" s="0" t="s">
        <v>4539</v>
      </c>
      <c r="I2890" s="0" t="s">
        <v>4981</v>
      </c>
      <c r="J2890" s="18" t="s">
        <v>24</v>
      </c>
    </row>
    <row r="2891" customFormat="false" ht="15" hidden="false" customHeight="false" outlineLevel="0" collapsed="false">
      <c r="A2891" s="0" t="s">
        <v>2441</v>
      </c>
      <c r="B2891" s="0" t="s">
        <v>134</v>
      </c>
      <c r="C2891" s="0" t="s">
        <v>3450</v>
      </c>
      <c r="D2891" s="0" t="s">
        <v>3457</v>
      </c>
      <c r="E2891" s="0" t="s">
        <v>4963</v>
      </c>
      <c r="F2891" s="0" t="s">
        <v>59</v>
      </c>
      <c r="G2891" s="0" t="s">
        <v>4974</v>
      </c>
      <c r="H2891" s="0" t="s">
        <v>69</v>
      </c>
      <c r="I2891" s="0" t="s">
        <v>4975</v>
      </c>
      <c r="J2891" s="20" t="s">
        <v>25</v>
      </c>
    </row>
    <row r="2892" customFormat="false" ht="15" hidden="false" customHeight="false" outlineLevel="0" collapsed="false">
      <c r="A2892" s="0" t="s">
        <v>2441</v>
      </c>
      <c r="B2892" s="0" t="s">
        <v>134</v>
      </c>
      <c r="C2892" s="0" t="s">
        <v>3450</v>
      </c>
      <c r="D2892" s="0" t="s">
        <v>3457</v>
      </c>
      <c r="E2892" s="0" t="s">
        <v>4969</v>
      </c>
      <c r="F2892" s="0" t="s">
        <v>66</v>
      </c>
      <c r="G2892" s="0" t="s">
        <v>4970</v>
      </c>
      <c r="H2892" s="0" t="s">
        <v>5919</v>
      </c>
      <c r="I2892" s="0" t="s">
        <v>5030</v>
      </c>
      <c r="J2892" s="20" t="s">
        <v>25</v>
      </c>
    </row>
    <row r="2893" customFormat="false" ht="15" hidden="false" customHeight="false" outlineLevel="0" collapsed="false">
      <c r="A2893" s="0" t="s">
        <v>2441</v>
      </c>
      <c r="B2893" s="0" t="s">
        <v>134</v>
      </c>
      <c r="C2893" s="0" t="s">
        <v>3450</v>
      </c>
      <c r="D2893" s="0" t="s">
        <v>3448</v>
      </c>
      <c r="E2893" s="0" t="s">
        <v>4963</v>
      </c>
      <c r="F2893" s="0" t="s">
        <v>59</v>
      </c>
      <c r="G2893" s="0" t="s">
        <v>4974</v>
      </c>
      <c r="H2893" s="0" t="s">
        <v>69</v>
      </c>
      <c r="I2893" s="0" t="s">
        <v>4975</v>
      </c>
      <c r="J2893" s="20" t="s">
        <v>25</v>
      </c>
    </row>
    <row r="2894" customFormat="false" ht="15" hidden="false" customHeight="false" outlineLevel="0" collapsed="false">
      <c r="A2894" s="0" t="s">
        <v>2441</v>
      </c>
      <c r="B2894" s="0" t="s">
        <v>134</v>
      </c>
      <c r="C2894" s="0" t="s">
        <v>3450</v>
      </c>
      <c r="D2894" s="0" t="s">
        <v>3448</v>
      </c>
      <c r="E2894" s="0" t="s">
        <v>4969</v>
      </c>
      <c r="F2894" s="0" t="s">
        <v>61</v>
      </c>
      <c r="G2894" s="0" t="s">
        <v>4970</v>
      </c>
      <c r="H2894" s="0" t="s">
        <v>5920</v>
      </c>
      <c r="I2894" s="0" t="s">
        <v>4972</v>
      </c>
      <c r="J2894" s="20" t="s">
        <v>25</v>
      </c>
    </row>
    <row r="2895" customFormat="false" ht="15" hidden="false" customHeight="false" outlineLevel="0" collapsed="false">
      <c r="A2895" s="0" t="s">
        <v>2441</v>
      </c>
      <c r="B2895" s="0" t="s">
        <v>134</v>
      </c>
      <c r="C2895" s="0" t="s">
        <v>3447</v>
      </c>
      <c r="D2895" s="0" t="s">
        <v>3457</v>
      </c>
      <c r="E2895" s="0" t="s">
        <v>4969</v>
      </c>
      <c r="F2895" s="0" t="s">
        <v>61</v>
      </c>
      <c r="G2895" s="0" t="s">
        <v>4970</v>
      </c>
      <c r="H2895" s="0" t="s">
        <v>5921</v>
      </c>
      <c r="I2895" s="0" t="s">
        <v>4972</v>
      </c>
      <c r="J2895" s="20" t="s">
        <v>25</v>
      </c>
    </row>
    <row r="2896" customFormat="false" ht="15" hidden="false" customHeight="false" outlineLevel="0" collapsed="false">
      <c r="A2896" s="0" t="s">
        <v>2441</v>
      </c>
      <c r="B2896" s="0" t="s">
        <v>134</v>
      </c>
      <c r="C2896" s="0" t="s">
        <v>3450</v>
      </c>
      <c r="D2896" s="0" t="s">
        <v>3457</v>
      </c>
      <c r="E2896" s="0" t="s">
        <v>4963</v>
      </c>
      <c r="F2896" s="0" t="s">
        <v>30</v>
      </c>
      <c r="G2896" s="0" t="s">
        <v>4980</v>
      </c>
      <c r="H2896" s="0" t="s">
        <v>4238</v>
      </c>
      <c r="I2896" s="0" t="s">
        <v>4981</v>
      </c>
      <c r="J2896" s="18" t="s">
        <v>24</v>
      </c>
    </row>
    <row r="2897" customFormat="false" ht="15" hidden="false" customHeight="false" outlineLevel="0" collapsed="false">
      <c r="A2897" s="0" t="s">
        <v>2441</v>
      </c>
      <c r="B2897" s="0" t="s">
        <v>134</v>
      </c>
      <c r="C2897" s="0" t="s">
        <v>3450</v>
      </c>
      <c r="D2897" s="0" t="s">
        <v>3448</v>
      </c>
      <c r="E2897" s="0" t="s">
        <v>4963</v>
      </c>
      <c r="F2897" s="0" t="s">
        <v>30</v>
      </c>
      <c r="G2897" s="0" t="s">
        <v>4980</v>
      </c>
      <c r="H2897" s="0" t="s">
        <v>4775</v>
      </c>
      <c r="I2897" s="0" t="s">
        <v>4981</v>
      </c>
      <c r="J2897" s="18" t="s">
        <v>24</v>
      </c>
    </row>
    <row r="2898" customFormat="false" ht="15" hidden="false" customHeight="false" outlineLevel="0" collapsed="false">
      <c r="A2898" s="0" t="s">
        <v>2441</v>
      </c>
      <c r="B2898" s="0" t="s">
        <v>134</v>
      </c>
      <c r="C2898" s="0" t="s">
        <v>3447</v>
      </c>
      <c r="D2898" s="0" t="s">
        <v>3457</v>
      </c>
      <c r="E2898" s="0" t="s">
        <v>4963</v>
      </c>
      <c r="F2898" s="0" t="s">
        <v>30</v>
      </c>
      <c r="G2898" s="0" t="s">
        <v>4980</v>
      </c>
      <c r="H2898" s="0" t="s">
        <v>4288</v>
      </c>
      <c r="I2898" s="0" t="s">
        <v>4981</v>
      </c>
      <c r="J2898" s="18" t="s">
        <v>24</v>
      </c>
    </row>
    <row r="2899" customFormat="false" ht="15" hidden="false" customHeight="false" outlineLevel="0" collapsed="false">
      <c r="A2899" s="0" t="s">
        <v>2441</v>
      </c>
      <c r="B2899" s="0" t="s">
        <v>134</v>
      </c>
      <c r="C2899" s="0" t="s">
        <v>3447</v>
      </c>
      <c r="D2899" s="0" t="s">
        <v>3448</v>
      </c>
      <c r="E2899" s="0" t="s">
        <v>4963</v>
      </c>
      <c r="F2899" s="0" t="s">
        <v>30</v>
      </c>
      <c r="G2899" s="0" t="s">
        <v>4980</v>
      </c>
      <c r="H2899" s="0" t="s">
        <v>4433</v>
      </c>
      <c r="I2899" s="0" t="s">
        <v>4981</v>
      </c>
      <c r="J2899" s="18" t="s">
        <v>24</v>
      </c>
    </row>
    <row r="2900" customFormat="false" ht="15" hidden="false" customHeight="false" outlineLevel="0" collapsed="false">
      <c r="A2900" s="0" t="s">
        <v>2447</v>
      </c>
      <c r="B2900" s="0" t="s">
        <v>134</v>
      </c>
      <c r="C2900" s="0" t="s">
        <v>3450</v>
      </c>
      <c r="D2900" s="0" t="s">
        <v>3457</v>
      </c>
      <c r="E2900" s="0" t="s">
        <v>4963</v>
      </c>
      <c r="F2900" s="0" t="s">
        <v>60</v>
      </c>
      <c r="G2900" s="0" t="s">
        <v>4964</v>
      </c>
      <c r="H2900" s="0" t="s">
        <v>5922</v>
      </c>
      <c r="I2900" s="0" t="s">
        <v>4966</v>
      </c>
      <c r="J2900" s="19" t="s">
        <v>26</v>
      </c>
    </row>
    <row r="2901" customFormat="false" ht="15" hidden="false" customHeight="false" outlineLevel="0" collapsed="false">
      <c r="A2901" s="0" t="s">
        <v>2447</v>
      </c>
      <c r="B2901" s="0" t="s">
        <v>134</v>
      </c>
      <c r="C2901" s="0" t="s">
        <v>3447</v>
      </c>
      <c r="D2901" s="0" t="s">
        <v>3457</v>
      </c>
      <c r="E2901" s="0" t="s">
        <v>4963</v>
      </c>
      <c r="F2901" s="0" t="s">
        <v>60</v>
      </c>
      <c r="G2901" s="0" t="s">
        <v>4964</v>
      </c>
      <c r="H2901" s="0" t="s">
        <v>5923</v>
      </c>
      <c r="I2901" s="0" t="s">
        <v>4966</v>
      </c>
      <c r="J2901" s="19" t="s">
        <v>26</v>
      </c>
    </row>
    <row r="2902" customFormat="false" ht="15" hidden="false" customHeight="false" outlineLevel="0" collapsed="false">
      <c r="A2902" s="0" t="s">
        <v>2447</v>
      </c>
      <c r="B2902" s="0" t="s">
        <v>134</v>
      </c>
      <c r="C2902" s="0" t="s">
        <v>3450</v>
      </c>
      <c r="D2902" s="0" t="s">
        <v>3457</v>
      </c>
      <c r="E2902" s="0" t="s">
        <v>4963</v>
      </c>
      <c r="F2902" s="0" t="s">
        <v>59</v>
      </c>
      <c r="G2902" s="0" t="s">
        <v>4974</v>
      </c>
      <c r="H2902" s="0" t="s">
        <v>69</v>
      </c>
      <c r="I2902" s="0" t="s">
        <v>4975</v>
      </c>
      <c r="J2902" s="20" t="s">
        <v>25</v>
      </c>
    </row>
    <row r="2903" customFormat="false" ht="15" hidden="false" customHeight="false" outlineLevel="0" collapsed="false">
      <c r="A2903" s="0" t="s">
        <v>2447</v>
      </c>
      <c r="B2903" s="0" t="s">
        <v>134</v>
      </c>
      <c r="C2903" s="0" t="s">
        <v>3450</v>
      </c>
      <c r="D2903" s="0" t="s">
        <v>3457</v>
      </c>
      <c r="E2903" s="0" t="s">
        <v>4969</v>
      </c>
      <c r="F2903" s="0" t="s">
        <v>62</v>
      </c>
      <c r="G2903" s="0" t="s">
        <v>5003</v>
      </c>
      <c r="H2903" s="0" t="s">
        <v>5924</v>
      </c>
      <c r="I2903" s="0" t="s">
        <v>5005</v>
      </c>
      <c r="J2903" s="20" t="s">
        <v>25</v>
      </c>
    </row>
    <row r="2904" customFormat="false" ht="15" hidden="false" customHeight="false" outlineLevel="0" collapsed="false">
      <c r="A2904" s="0" t="s">
        <v>2447</v>
      </c>
      <c r="B2904" s="0" t="s">
        <v>134</v>
      </c>
      <c r="C2904" s="0" t="s">
        <v>3450</v>
      </c>
      <c r="D2904" s="0" t="s">
        <v>3457</v>
      </c>
      <c r="E2904" s="0" t="s">
        <v>4969</v>
      </c>
      <c r="F2904" s="0" t="s">
        <v>64</v>
      </c>
      <c r="G2904" s="0" t="s">
        <v>4220</v>
      </c>
      <c r="H2904" s="0" t="s">
        <v>5925</v>
      </c>
      <c r="I2904" s="0" t="s">
        <v>4991</v>
      </c>
      <c r="J2904" s="20" t="s">
        <v>25</v>
      </c>
    </row>
    <row r="2905" customFormat="false" ht="15" hidden="false" customHeight="false" outlineLevel="0" collapsed="false">
      <c r="A2905" s="0" t="s">
        <v>2447</v>
      </c>
      <c r="B2905" s="0" t="s">
        <v>134</v>
      </c>
      <c r="C2905" s="0" t="s">
        <v>3450</v>
      </c>
      <c r="D2905" s="0" t="s">
        <v>3448</v>
      </c>
      <c r="E2905" s="0" t="s">
        <v>4969</v>
      </c>
      <c r="F2905" s="0" t="s">
        <v>62</v>
      </c>
      <c r="G2905" s="0" t="s">
        <v>5003</v>
      </c>
      <c r="H2905" s="0" t="s">
        <v>5926</v>
      </c>
      <c r="I2905" s="0" t="s">
        <v>5005</v>
      </c>
      <c r="J2905" s="20" t="s">
        <v>25</v>
      </c>
    </row>
    <row r="2906" customFormat="false" ht="15" hidden="false" customHeight="false" outlineLevel="0" collapsed="false">
      <c r="A2906" s="0" t="s">
        <v>2447</v>
      </c>
      <c r="B2906" s="0" t="s">
        <v>134</v>
      </c>
      <c r="C2906" s="0" t="s">
        <v>3447</v>
      </c>
      <c r="D2906" s="0" t="s">
        <v>3457</v>
      </c>
      <c r="E2906" s="0" t="s">
        <v>4969</v>
      </c>
      <c r="F2906" s="0" t="s">
        <v>64</v>
      </c>
      <c r="G2906" s="0" t="s">
        <v>4220</v>
      </c>
      <c r="H2906" s="0" t="s">
        <v>5925</v>
      </c>
      <c r="I2906" s="0" t="s">
        <v>4991</v>
      </c>
      <c r="J2906" s="20" t="s">
        <v>25</v>
      </c>
    </row>
    <row r="2907" customFormat="false" ht="15" hidden="false" customHeight="false" outlineLevel="0" collapsed="false">
      <c r="A2907" s="0" t="s">
        <v>2447</v>
      </c>
      <c r="B2907" s="0" t="s">
        <v>134</v>
      </c>
      <c r="C2907" s="0" t="s">
        <v>3450</v>
      </c>
      <c r="D2907" s="0" t="s">
        <v>3448</v>
      </c>
      <c r="E2907" s="0" t="s">
        <v>4963</v>
      </c>
      <c r="F2907" s="0" t="s">
        <v>30</v>
      </c>
      <c r="G2907" s="0" t="s">
        <v>4980</v>
      </c>
      <c r="H2907" s="0" t="s">
        <v>4777</v>
      </c>
      <c r="I2907" s="0" t="s">
        <v>4981</v>
      </c>
      <c r="J2907" s="18" t="s">
        <v>24</v>
      </c>
    </row>
    <row r="2908" customFormat="false" ht="15" hidden="false" customHeight="false" outlineLevel="0" collapsed="false">
      <c r="A2908" s="0" t="s">
        <v>2447</v>
      </c>
      <c r="B2908" s="0" t="s">
        <v>134</v>
      </c>
      <c r="C2908" s="0" t="s">
        <v>3447</v>
      </c>
      <c r="D2908" s="0" t="s">
        <v>3448</v>
      </c>
      <c r="E2908" s="0" t="s">
        <v>4963</v>
      </c>
      <c r="F2908" s="0" t="s">
        <v>30</v>
      </c>
      <c r="G2908" s="0" t="s">
        <v>4980</v>
      </c>
      <c r="H2908" s="0" t="s">
        <v>4367</v>
      </c>
      <c r="I2908" s="0" t="s">
        <v>4981</v>
      </c>
      <c r="J2908" s="18" t="s">
        <v>24</v>
      </c>
    </row>
    <row r="2909" customFormat="false" ht="15" hidden="false" customHeight="false" outlineLevel="0" collapsed="false">
      <c r="A2909" s="0" t="s">
        <v>2453</v>
      </c>
      <c r="B2909" s="0" t="s">
        <v>134</v>
      </c>
      <c r="C2909" s="0" t="s">
        <v>3450</v>
      </c>
      <c r="D2909" s="0" t="s">
        <v>3457</v>
      </c>
      <c r="E2909" s="0" t="s">
        <v>4963</v>
      </c>
      <c r="F2909" s="0" t="s">
        <v>59</v>
      </c>
      <c r="G2909" s="0" t="s">
        <v>4974</v>
      </c>
      <c r="H2909" s="0" t="s">
        <v>69</v>
      </c>
      <c r="I2909" s="0" t="s">
        <v>4975</v>
      </c>
      <c r="J2909" s="20" t="s">
        <v>25</v>
      </c>
    </row>
    <row r="2910" customFormat="false" ht="15" hidden="false" customHeight="false" outlineLevel="0" collapsed="false">
      <c r="A2910" s="0" t="s">
        <v>2453</v>
      </c>
      <c r="B2910" s="0" t="s">
        <v>134</v>
      </c>
      <c r="C2910" s="0" t="s">
        <v>3450</v>
      </c>
      <c r="D2910" s="0" t="s">
        <v>3448</v>
      </c>
      <c r="E2910" s="0" t="s">
        <v>4963</v>
      </c>
      <c r="F2910" s="0" t="s">
        <v>59</v>
      </c>
      <c r="G2910" s="0" t="s">
        <v>4974</v>
      </c>
      <c r="H2910" s="0" t="s">
        <v>69</v>
      </c>
      <c r="I2910" s="0" t="s">
        <v>4975</v>
      </c>
      <c r="J2910" s="20" t="s">
        <v>25</v>
      </c>
    </row>
    <row r="2911" customFormat="false" ht="15" hidden="false" customHeight="false" outlineLevel="0" collapsed="false">
      <c r="A2911" s="0" t="s">
        <v>2453</v>
      </c>
      <c r="B2911" s="0" t="s">
        <v>3459</v>
      </c>
      <c r="C2911" s="0" t="s">
        <v>3450</v>
      </c>
      <c r="D2911" s="0" t="s">
        <v>3457</v>
      </c>
      <c r="E2911" s="0" t="s">
        <v>4963</v>
      </c>
      <c r="F2911" s="0" t="s">
        <v>59</v>
      </c>
      <c r="G2911" s="0" t="s">
        <v>4974</v>
      </c>
      <c r="H2911" s="0" t="s">
        <v>69</v>
      </c>
      <c r="I2911" s="0" t="s">
        <v>4975</v>
      </c>
      <c r="J2911" s="20" t="s">
        <v>25</v>
      </c>
    </row>
    <row r="2912" customFormat="false" ht="15" hidden="false" customHeight="false" outlineLevel="0" collapsed="false">
      <c r="A2912" s="0" t="s">
        <v>2453</v>
      </c>
      <c r="B2912" s="0" t="s">
        <v>3459</v>
      </c>
      <c r="C2912" s="0" t="s">
        <v>3450</v>
      </c>
      <c r="D2912" s="0" t="s">
        <v>3457</v>
      </c>
      <c r="E2912" s="0" t="s">
        <v>4969</v>
      </c>
      <c r="F2912" s="0" t="s">
        <v>61</v>
      </c>
      <c r="G2912" s="0" t="s">
        <v>4970</v>
      </c>
      <c r="H2912" s="0" t="s">
        <v>5927</v>
      </c>
      <c r="I2912" s="0" t="s">
        <v>4972</v>
      </c>
      <c r="J2912" s="20" t="s">
        <v>25</v>
      </c>
    </row>
    <row r="2913" customFormat="false" ht="15" hidden="false" customHeight="false" outlineLevel="0" collapsed="false">
      <c r="A2913" s="0" t="s">
        <v>2453</v>
      </c>
      <c r="B2913" s="0" t="s">
        <v>3459</v>
      </c>
      <c r="C2913" s="0" t="s">
        <v>3450</v>
      </c>
      <c r="D2913" s="0" t="s">
        <v>3448</v>
      </c>
      <c r="E2913" s="0" t="s">
        <v>4963</v>
      </c>
      <c r="F2913" s="0" t="s">
        <v>59</v>
      </c>
      <c r="G2913" s="0" t="s">
        <v>4974</v>
      </c>
      <c r="H2913" s="0" t="s">
        <v>69</v>
      </c>
      <c r="I2913" s="0" t="s">
        <v>4975</v>
      </c>
      <c r="J2913" s="20" t="s">
        <v>25</v>
      </c>
    </row>
    <row r="2914" customFormat="false" ht="15" hidden="false" customHeight="false" outlineLevel="0" collapsed="false">
      <c r="A2914" s="0" t="s">
        <v>2453</v>
      </c>
      <c r="B2914" s="0" t="s">
        <v>3459</v>
      </c>
      <c r="C2914" s="0" t="s">
        <v>3450</v>
      </c>
      <c r="D2914" s="0" t="s">
        <v>3448</v>
      </c>
      <c r="E2914" s="0" t="s">
        <v>4969</v>
      </c>
      <c r="F2914" s="0" t="s">
        <v>61</v>
      </c>
      <c r="G2914" s="0" t="s">
        <v>4970</v>
      </c>
      <c r="H2914" s="0" t="s">
        <v>5928</v>
      </c>
      <c r="I2914" s="0" t="s">
        <v>4972</v>
      </c>
      <c r="J2914" s="20" t="s">
        <v>25</v>
      </c>
    </row>
    <row r="2915" customFormat="false" ht="15" hidden="false" customHeight="false" outlineLevel="0" collapsed="false">
      <c r="A2915" s="0" t="s">
        <v>2453</v>
      </c>
      <c r="B2915" s="0" t="s">
        <v>3459</v>
      </c>
      <c r="C2915" s="0" t="s">
        <v>3450</v>
      </c>
      <c r="D2915" s="0" t="s">
        <v>3448</v>
      </c>
      <c r="E2915" s="0" t="s">
        <v>4969</v>
      </c>
      <c r="F2915" s="0" t="s">
        <v>63</v>
      </c>
      <c r="G2915" s="0" t="s">
        <v>4220</v>
      </c>
      <c r="H2915" s="0" t="s">
        <v>5040</v>
      </c>
      <c r="I2915" s="0" t="s">
        <v>4979</v>
      </c>
      <c r="J2915" s="20" t="s">
        <v>25</v>
      </c>
    </row>
    <row r="2916" customFormat="false" ht="15" hidden="false" customHeight="false" outlineLevel="0" collapsed="false">
      <c r="A2916" s="0" t="s">
        <v>2453</v>
      </c>
      <c r="B2916" s="0" t="s">
        <v>3459</v>
      </c>
      <c r="C2916" s="0" t="s">
        <v>3447</v>
      </c>
      <c r="D2916" s="0" t="s">
        <v>3457</v>
      </c>
      <c r="E2916" s="0" t="s">
        <v>4969</v>
      </c>
      <c r="F2916" s="0" t="s">
        <v>61</v>
      </c>
      <c r="G2916" s="0" t="s">
        <v>4970</v>
      </c>
      <c r="H2916" s="0" t="s">
        <v>5929</v>
      </c>
      <c r="I2916" s="0" t="s">
        <v>4972</v>
      </c>
      <c r="J2916" s="20" t="s">
        <v>25</v>
      </c>
    </row>
    <row r="2917" customFormat="false" ht="15" hidden="false" customHeight="false" outlineLevel="0" collapsed="false">
      <c r="A2917" s="0" t="s">
        <v>2453</v>
      </c>
      <c r="B2917" s="0" t="s">
        <v>3459</v>
      </c>
      <c r="C2917" s="0" t="s">
        <v>3447</v>
      </c>
      <c r="D2917" s="0" t="s">
        <v>3448</v>
      </c>
      <c r="E2917" s="0" t="s">
        <v>4969</v>
      </c>
      <c r="F2917" s="0" t="s">
        <v>63</v>
      </c>
      <c r="G2917" s="0" t="s">
        <v>4220</v>
      </c>
      <c r="H2917" s="0" t="s">
        <v>5040</v>
      </c>
      <c r="I2917" s="0" t="s">
        <v>4979</v>
      </c>
      <c r="J2917" s="20" t="s">
        <v>25</v>
      </c>
    </row>
    <row r="2918" customFormat="false" ht="15" hidden="false" customHeight="false" outlineLevel="0" collapsed="false">
      <c r="A2918" s="0" t="s">
        <v>2453</v>
      </c>
      <c r="B2918" s="0" t="s">
        <v>134</v>
      </c>
      <c r="C2918" s="0" t="s">
        <v>3450</v>
      </c>
      <c r="D2918" s="0" t="s">
        <v>3457</v>
      </c>
      <c r="E2918" s="0" t="s">
        <v>4963</v>
      </c>
      <c r="F2918" s="0" t="s">
        <v>30</v>
      </c>
      <c r="G2918" s="0" t="s">
        <v>4980</v>
      </c>
      <c r="H2918" s="0" t="s">
        <v>4779</v>
      </c>
      <c r="I2918" s="0" t="s">
        <v>4981</v>
      </c>
      <c r="J2918" s="18" t="s">
        <v>24</v>
      </c>
    </row>
    <row r="2919" customFormat="false" ht="15" hidden="false" customHeight="false" outlineLevel="0" collapsed="false">
      <c r="A2919" s="0" t="s">
        <v>2453</v>
      </c>
      <c r="B2919" s="0" t="s">
        <v>134</v>
      </c>
      <c r="C2919" s="0" t="s">
        <v>3450</v>
      </c>
      <c r="D2919" s="0" t="s">
        <v>3448</v>
      </c>
      <c r="E2919" s="0" t="s">
        <v>4963</v>
      </c>
      <c r="F2919" s="0" t="s">
        <v>30</v>
      </c>
      <c r="G2919" s="0" t="s">
        <v>4980</v>
      </c>
      <c r="H2919" s="0" t="s">
        <v>4238</v>
      </c>
      <c r="I2919" s="0" t="s">
        <v>4981</v>
      </c>
      <c r="J2919" s="18" t="s">
        <v>24</v>
      </c>
    </row>
    <row r="2920" customFormat="false" ht="15" hidden="false" customHeight="false" outlineLevel="0" collapsed="false">
      <c r="A2920" s="0" t="s">
        <v>2453</v>
      </c>
      <c r="B2920" s="0" t="s">
        <v>3459</v>
      </c>
      <c r="C2920" s="0" t="s">
        <v>3450</v>
      </c>
      <c r="D2920" s="0" t="s">
        <v>3457</v>
      </c>
      <c r="E2920" s="0" t="s">
        <v>4963</v>
      </c>
      <c r="F2920" s="0" t="s">
        <v>30</v>
      </c>
      <c r="G2920" s="0" t="s">
        <v>4980</v>
      </c>
      <c r="H2920" s="0" t="s">
        <v>4275</v>
      </c>
      <c r="I2920" s="0" t="s">
        <v>4981</v>
      </c>
      <c r="J2920" s="18" t="s">
        <v>24</v>
      </c>
    </row>
    <row r="2921" customFormat="false" ht="15" hidden="false" customHeight="false" outlineLevel="0" collapsed="false">
      <c r="A2921" s="0" t="s">
        <v>2453</v>
      </c>
      <c r="B2921" s="0" t="s">
        <v>3459</v>
      </c>
      <c r="C2921" s="0" t="s">
        <v>3450</v>
      </c>
      <c r="D2921" s="0" t="s">
        <v>3448</v>
      </c>
      <c r="E2921" s="0" t="s">
        <v>4963</v>
      </c>
      <c r="F2921" s="0" t="s">
        <v>30</v>
      </c>
      <c r="G2921" s="0" t="s">
        <v>4980</v>
      </c>
      <c r="H2921" s="0" t="s">
        <v>4275</v>
      </c>
      <c r="I2921" s="0" t="s">
        <v>4981</v>
      </c>
      <c r="J2921" s="18" t="s">
        <v>24</v>
      </c>
    </row>
    <row r="2922" customFormat="false" ht="15" hidden="false" customHeight="false" outlineLevel="0" collapsed="false">
      <c r="A2922" s="0" t="s">
        <v>2453</v>
      </c>
      <c r="B2922" s="0" t="s">
        <v>3459</v>
      </c>
      <c r="C2922" s="0" t="s">
        <v>3447</v>
      </c>
      <c r="D2922" s="0" t="s">
        <v>3457</v>
      </c>
      <c r="E2922" s="0" t="s">
        <v>4963</v>
      </c>
      <c r="F2922" s="0" t="s">
        <v>30</v>
      </c>
      <c r="G2922" s="0" t="s">
        <v>4980</v>
      </c>
      <c r="H2922" s="0" t="s">
        <v>4574</v>
      </c>
      <c r="I2922" s="0" t="s">
        <v>4981</v>
      </c>
      <c r="J2922" s="18" t="s">
        <v>24</v>
      </c>
    </row>
    <row r="2923" customFormat="false" ht="15" hidden="false" customHeight="false" outlineLevel="0" collapsed="false">
      <c r="A2923" s="0" t="s">
        <v>2453</v>
      </c>
      <c r="B2923" s="0" t="s">
        <v>3459</v>
      </c>
      <c r="C2923" s="0" t="s">
        <v>3447</v>
      </c>
      <c r="D2923" s="0" t="s">
        <v>3448</v>
      </c>
      <c r="E2923" s="0" t="s">
        <v>4963</v>
      </c>
      <c r="F2923" s="0" t="s">
        <v>30</v>
      </c>
      <c r="G2923" s="0" t="s">
        <v>4980</v>
      </c>
      <c r="H2923" s="0" t="s">
        <v>4286</v>
      </c>
      <c r="I2923" s="0" t="s">
        <v>4981</v>
      </c>
      <c r="J2923" s="18" t="s">
        <v>24</v>
      </c>
    </row>
    <row r="2924" customFormat="false" ht="15" hidden="false" customHeight="false" outlineLevel="0" collapsed="false">
      <c r="A2924" s="0" t="s">
        <v>2459</v>
      </c>
      <c r="B2924" s="0" t="s">
        <v>134</v>
      </c>
      <c r="C2924" s="0" t="s">
        <v>3447</v>
      </c>
      <c r="D2924" s="0" t="s">
        <v>3448</v>
      </c>
      <c r="E2924" s="0" t="s">
        <v>4963</v>
      </c>
      <c r="F2924" s="0" t="s">
        <v>60</v>
      </c>
      <c r="G2924" s="0" t="s">
        <v>4964</v>
      </c>
      <c r="H2924" s="0" t="s">
        <v>5930</v>
      </c>
      <c r="I2924" s="0" t="s">
        <v>4966</v>
      </c>
      <c r="J2924" s="19" t="s">
        <v>26</v>
      </c>
    </row>
    <row r="2925" customFormat="false" ht="15" hidden="false" customHeight="false" outlineLevel="0" collapsed="false">
      <c r="A2925" s="0" t="s">
        <v>2459</v>
      </c>
      <c r="B2925" s="0" t="s">
        <v>134</v>
      </c>
      <c r="C2925" s="0" t="s">
        <v>3450</v>
      </c>
      <c r="D2925" s="0" t="s">
        <v>3448</v>
      </c>
      <c r="E2925" s="0" t="s">
        <v>4969</v>
      </c>
      <c r="F2925" s="0" t="s">
        <v>63</v>
      </c>
      <c r="G2925" s="0" t="s">
        <v>4220</v>
      </c>
      <c r="H2925" s="0" t="s">
        <v>5688</v>
      </c>
      <c r="I2925" s="0" t="s">
        <v>4979</v>
      </c>
      <c r="J2925" s="20" t="s">
        <v>25</v>
      </c>
    </row>
    <row r="2926" customFormat="false" ht="15" hidden="false" customHeight="false" outlineLevel="0" collapsed="false">
      <c r="A2926" s="0" t="s">
        <v>2459</v>
      </c>
      <c r="B2926" s="0" t="s">
        <v>134</v>
      </c>
      <c r="C2926" s="0" t="s">
        <v>3447</v>
      </c>
      <c r="D2926" s="0" t="s">
        <v>3448</v>
      </c>
      <c r="E2926" s="0" t="s">
        <v>4963</v>
      </c>
      <c r="F2926" s="0" t="s">
        <v>59</v>
      </c>
      <c r="G2926" s="0" t="s">
        <v>4974</v>
      </c>
      <c r="H2926" s="0" t="s">
        <v>69</v>
      </c>
      <c r="I2926" s="0" t="s">
        <v>4975</v>
      </c>
      <c r="J2926" s="20" t="s">
        <v>25</v>
      </c>
    </row>
    <row r="2927" customFormat="false" ht="15" hidden="false" customHeight="false" outlineLevel="0" collapsed="false">
      <c r="A2927" s="0" t="s">
        <v>2459</v>
      </c>
      <c r="B2927" s="0" t="s">
        <v>134</v>
      </c>
      <c r="C2927" s="0" t="s">
        <v>3447</v>
      </c>
      <c r="D2927" s="0" t="s">
        <v>3448</v>
      </c>
      <c r="E2927" s="0" t="s">
        <v>4969</v>
      </c>
      <c r="F2927" s="0" t="s">
        <v>61</v>
      </c>
      <c r="G2927" s="0" t="s">
        <v>4970</v>
      </c>
      <c r="H2927" s="0" t="s">
        <v>5931</v>
      </c>
      <c r="I2927" s="0" t="s">
        <v>4972</v>
      </c>
      <c r="J2927" s="20" t="s">
        <v>25</v>
      </c>
    </row>
    <row r="2928" customFormat="false" ht="15" hidden="false" customHeight="false" outlineLevel="0" collapsed="false">
      <c r="A2928" s="0" t="s">
        <v>2459</v>
      </c>
      <c r="B2928" s="0" t="s">
        <v>134</v>
      </c>
      <c r="C2928" s="0" t="s">
        <v>3447</v>
      </c>
      <c r="D2928" s="0" t="s">
        <v>3448</v>
      </c>
      <c r="E2928" s="0" t="s">
        <v>4969</v>
      </c>
      <c r="F2928" s="0" t="s">
        <v>63</v>
      </c>
      <c r="G2928" s="0" t="s">
        <v>4220</v>
      </c>
      <c r="H2928" s="0" t="s">
        <v>5688</v>
      </c>
      <c r="I2928" s="0" t="s">
        <v>4979</v>
      </c>
      <c r="J2928" s="20" t="s">
        <v>25</v>
      </c>
    </row>
    <row r="2929" customFormat="false" ht="15" hidden="false" customHeight="false" outlineLevel="0" collapsed="false">
      <c r="A2929" s="0" t="s">
        <v>2459</v>
      </c>
      <c r="B2929" s="0" t="s">
        <v>134</v>
      </c>
      <c r="C2929" s="0" t="s">
        <v>3447</v>
      </c>
      <c r="D2929" s="0" t="s">
        <v>3457</v>
      </c>
      <c r="E2929" s="0" t="s">
        <v>4963</v>
      </c>
      <c r="F2929" s="0" t="s">
        <v>30</v>
      </c>
      <c r="G2929" s="0" t="s">
        <v>4980</v>
      </c>
      <c r="H2929" s="0" t="s">
        <v>4559</v>
      </c>
      <c r="I2929" s="0" t="s">
        <v>4981</v>
      </c>
      <c r="J2929" s="18" t="s">
        <v>24</v>
      </c>
    </row>
    <row r="2930" customFormat="false" ht="15" hidden="false" customHeight="false" outlineLevel="0" collapsed="false">
      <c r="A2930" s="0" t="s">
        <v>2465</v>
      </c>
      <c r="B2930" s="0" t="s">
        <v>134</v>
      </c>
      <c r="C2930" s="0" t="s">
        <v>3450</v>
      </c>
      <c r="D2930" s="0" t="s">
        <v>3457</v>
      </c>
      <c r="E2930" s="0" t="s">
        <v>4963</v>
      </c>
      <c r="F2930" s="0" t="s">
        <v>60</v>
      </c>
      <c r="G2930" s="0" t="s">
        <v>4964</v>
      </c>
      <c r="H2930" s="0" t="s">
        <v>5541</v>
      </c>
      <c r="I2930" s="0" t="s">
        <v>4966</v>
      </c>
      <c r="J2930" s="19" t="s">
        <v>26</v>
      </c>
    </row>
    <row r="2931" customFormat="false" ht="15" hidden="false" customHeight="false" outlineLevel="0" collapsed="false">
      <c r="A2931" s="0" t="s">
        <v>2465</v>
      </c>
      <c r="B2931" s="0" t="s">
        <v>134</v>
      </c>
      <c r="C2931" s="0" t="s">
        <v>3450</v>
      </c>
      <c r="D2931" s="0" t="s">
        <v>3448</v>
      </c>
      <c r="E2931" s="0" t="s">
        <v>4963</v>
      </c>
      <c r="F2931" s="0" t="s">
        <v>60</v>
      </c>
      <c r="G2931" s="0" t="s">
        <v>4964</v>
      </c>
      <c r="H2931" s="0" t="s">
        <v>5421</v>
      </c>
      <c r="I2931" s="0" t="s">
        <v>4966</v>
      </c>
      <c r="J2931" s="19" t="s">
        <v>26</v>
      </c>
    </row>
    <row r="2932" customFormat="false" ht="15" hidden="false" customHeight="false" outlineLevel="0" collapsed="false">
      <c r="A2932" s="0" t="s">
        <v>2465</v>
      </c>
      <c r="B2932" s="0" t="s">
        <v>3459</v>
      </c>
      <c r="C2932" s="0" t="s">
        <v>3450</v>
      </c>
      <c r="D2932" s="0" t="s">
        <v>3457</v>
      </c>
      <c r="E2932" s="0" t="s">
        <v>4963</v>
      </c>
      <c r="F2932" s="0" t="s">
        <v>60</v>
      </c>
      <c r="G2932" s="0" t="s">
        <v>4964</v>
      </c>
      <c r="H2932" s="0" t="s">
        <v>5516</v>
      </c>
      <c r="I2932" s="0" t="s">
        <v>4966</v>
      </c>
      <c r="J2932" s="19" t="s">
        <v>26</v>
      </c>
    </row>
    <row r="2933" customFormat="false" ht="15" hidden="false" customHeight="false" outlineLevel="0" collapsed="false">
      <c r="A2933" s="0" t="s">
        <v>2465</v>
      </c>
      <c r="B2933" s="0" t="s">
        <v>134</v>
      </c>
      <c r="C2933" s="0" t="s">
        <v>3450</v>
      </c>
      <c r="D2933" s="0" t="s">
        <v>3448</v>
      </c>
      <c r="E2933" s="0" t="s">
        <v>4963</v>
      </c>
      <c r="F2933" s="0" t="s">
        <v>59</v>
      </c>
      <c r="G2933" s="0" t="s">
        <v>4974</v>
      </c>
      <c r="H2933" s="0" t="s">
        <v>69</v>
      </c>
      <c r="I2933" s="0" t="s">
        <v>4975</v>
      </c>
      <c r="J2933" s="20" t="s">
        <v>25</v>
      </c>
    </row>
    <row r="2934" customFormat="false" ht="15" hidden="false" customHeight="false" outlineLevel="0" collapsed="false">
      <c r="A2934" s="0" t="s">
        <v>2465</v>
      </c>
      <c r="B2934" s="0" t="s">
        <v>134</v>
      </c>
      <c r="C2934" s="0" t="s">
        <v>3450</v>
      </c>
      <c r="D2934" s="0" t="s">
        <v>3448</v>
      </c>
      <c r="E2934" s="0" t="s">
        <v>4969</v>
      </c>
      <c r="F2934" s="0" t="s">
        <v>61</v>
      </c>
      <c r="G2934" s="0" t="s">
        <v>4970</v>
      </c>
      <c r="H2934" s="0" t="s">
        <v>5932</v>
      </c>
      <c r="I2934" s="0" t="s">
        <v>4972</v>
      </c>
      <c r="J2934" s="20" t="s">
        <v>25</v>
      </c>
    </row>
    <row r="2935" customFormat="false" ht="15" hidden="false" customHeight="false" outlineLevel="0" collapsed="false">
      <c r="A2935" s="0" t="s">
        <v>2465</v>
      </c>
      <c r="B2935" s="0" t="s">
        <v>134</v>
      </c>
      <c r="C2935" s="0" t="s">
        <v>3447</v>
      </c>
      <c r="D2935" s="0" t="s">
        <v>3448</v>
      </c>
      <c r="E2935" s="0" t="s">
        <v>4969</v>
      </c>
      <c r="F2935" s="0" t="s">
        <v>61</v>
      </c>
      <c r="G2935" s="0" t="s">
        <v>4970</v>
      </c>
      <c r="H2935" s="0" t="s">
        <v>5933</v>
      </c>
      <c r="I2935" s="0" t="s">
        <v>4972</v>
      </c>
      <c r="J2935" s="20" t="s">
        <v>25</v>
      </c>
    </row>
    <row r="2936" customFormat="false" ht="15" hidden="false" customHeight="false" outlineLevel="0" collapsed="false">
      <c r="A2936" s="0" t="s">
        <v>2465</v>
      </c>
      <c r="B2936" s="0" t="s">
        <v>3459</v>
      </c>
      <c r="C2936" s="0" t="s">
        <v>3450</v>
      </c>
      <c r="D2936" s="0" t="s">
        <v>3457</v>
      </c>
      <c r="E2936" s="0" t="s">
        <v>4963</v>
      </c>
      <c r="F2936" s="0" t="s">
        <v>59</v>
      </c>
      <c r="G2936" s="0" t="s">
        <v>4974</v>
      </c>
      <c r="H2936" s="0" t="s">
        <v>69</v>
      </c>
      <c r="I2936" s="0" t="s">
        <v>4975</v>
      </c>
      <c r="J2936" s="20" t="s">
        <v>25</v>
      </c>
    </row>
    <row r="2937" customFormat="false" ht="15" hidden="false" customHeight="false" outlineLevel="0" collapsed="false">
      <c r="A2937" s="0" t="s">
        <v>2465</v>
      </c>
      <c r="B2937" s="0" t="s">
        <v>3459</v>
      </c>
      <c r="C2937" s="0" t="s">
        <v>3450</v>
      </c>
      <c r="D2937" s="0" t="s">
        <v>3457</v>
      </c>
      <c r="E2937" s="0" t="s">
        <v>4969</v>
      </c>
      <c r="F2937" s="0" t="s">
        <v>61</v>
      </c>
      <c r="G2937" s="0" t="s">
        <v>4970</v>
      </c>
      <c r="H2937" s="0" t="s">
        <v>5934</v>
      </c>
      <c r="I2937" s="0" t="s">
        <v>4972</v>
      </c>
      <c r="J2937" s="20" t="s">
        <v>25</v>
      </c>
    </row>
    <row r="2938" customFormat="false" ht="15" hidden="false" customHeight="false" outlineLevel="0" collapsed="false">
      <c r="A2938" s="0" t="s">
        <v>2465</v>
      </c>
      <c r="B2938" s="0" t="s">
        <v>3459</v>
      </c>
      <c r="C2938" s="0" t="s">
        <v>3450</v>
      </c>
      <c r="D2938" s="0" t="s">
        <v>3448</v>
      </c>
      <c r="E2938" s="0" t="s">
        <v>4963</v>
      </c>
      <c r="F2938" s="0" t="s">
        <v>59</v>
      </c>
      <c r="G2938" s="0" t="s">
        <v>4974</v>
      </c>
      <c r="H2938" s="0" t="s">
        <v>69</v>
      </c>
      <c r="I2938" s="0" t="s">
        <v>4975</v>
      </c>
      <c r="J2938" s="20" t="s">
        <v>25</v>
      </c>
    </row>
    <row r="2939" customFormat="false" ht="15" hidden="false" customHeight="false" outlineLevel="0" collapsed="false">
      <c r="A2939" s="0" t="s">
        <v>2465</v>
      </c>
      <c r="B2939" s="0" t="s">
        <v>134</v>
      </c>
      <c r="C2939" s="0" t="s">
        <v>3447</v>
      </c>
      <c r="D2939" s="0" t="s">
        <v>3457</v>
      </c>
      <c r="E2939" s="0" t="s">
        <v>4963</v>
      </c>
      <c r="F2939" s="0" t="s">
        <v>30</v>
      </c>
      <c r="G2939" s="0" t="s">
        <v>4980</v>
      </c>
      <c r="H2939" s="0" t="s">
        <v>4680</v>
      </c>
      <c r="I2939" s="0" t="s">
        <v>4981</v>
      </c>
      <c r="J2939" s="18" t="s">
        <v>24</v>
      </c>
    </row>
    <row r="2940" customFormat="false" ht="15" hidden="false" customHeight="false" outlineLevel="0" collapsed="false">
      <c r="A2940" s="0" t="s">
        <v>2465</v>
      </c>
      <c r="B2940" s="0" t="s">
        <v>134</v>
      </c>
      <c r="C2940" s="0" t="s">
        <v>3447</v>
      </c>
      <c r="D2940" s="0" t="s">
        <v>3448</v>
      </c>
      <c r="E2940" s="0" t="s">
        <v>4963</v>
      </c>
      <c r="F2940" s="0" t="s">
        <v>30</v>
      </c>
      <c r="G2940" s="0" t="s">
        <v>4980</v>
      </c>
      <c r="H2940" s="0" t="s">
        <v>4679</v>
      </c>
      <c r="I2940" s="0" t="s">
        <v>4981</v>
      </c>
      <c r="J2940" s="18" t="s">
        <v>24</v>
      </c>
    </row>
    <row r="2941" customFormat="false" ht="15" hidden="false" customHeight="false" outlineLevel="0" collapsed="false">
      <c r="A2941" s="0" t="s">
        <v>2465</v>
      </c>
      <c r="B2941" s="0" t="s">
        <v>3459</v>
      </c>
      <c r="C2941" s="0" t="s">
        <v>3450</v>
      </c>
      <c r="D2941" s="0" t="s">
        <v>3448</v>
      </c>
      <c r="E2941" s="0" t="s">
        <v>4963</v>
      </c>
      <c r="F2941" s="0" t="s">
        <v>30</v>
      </c>
      <c r="G2941" s="0" t="s">
        <v>4980</v>
      </c>
      <c r="H2941" s="0" t="s">
        <v>4242</v>
      </c>
      <c r="I2941" s="0" t="s">
        <v>4981</v>
      </c>
      <c r="J2941" s="18" t="s">
        <v>24</v>
      </c>
    </row>
    <row r="2942" customFormat="false" ht="15" hidden="false" customHeight="false" outlineLevel="0" collapsed="false">
      <c r="A2942" s="0" t="s">
        <v>2465</v>
      </c>
      <c r="B2942" s="0" t="s">
        <v>3459</v>
      </c>
      <c r="C2942" s="0" t="s">
        <v>3447</v>
      </c>
      <c r="D2942" s="0" t="s">
        <v>3448</v>
      </c>
      <c r="E2942" s="0" t="s">
        <v>4963</v>
      </c>
      <c r="F2942" s="0" t="s">
        <v>30</v>
      </c>
      <c r="G2942" s="0" t="s">
        <v>4980</v>
      </c>
      <c r="H2942" s="0" t="s">
        <v>4727</v>
      </c>
      <c r="I2942" s="0" t="s">
        <v>4981</v>
      </c>
      <c r="J2942" s="18" t="s">
        <v>24</v>
      </c>
    </row>
    <row r="2943" customFormat="false" ht="15" hidden="false" customHeight="false" outlineLevel="0" collapsed="false">
      <c r="A2943" s="0" t="s">
        <v>2471</v>
      </c>
      <c r="B2943" s="0" t="s">
        <v>134</v>
      </c>
      <c r="C2943" s="0" t="s">
        <v>3450</v>
      </c>
      <c r="D2943" s="0" t="s">
        <v>3457</v>
      </c>
      <c r="E2943" s="0" t="s">
        <v>4963</v>
      </c>
      <c r="F2943" s="0" t="s">
        <v>60</v>
      </c>
      <c r="G2943" s="0" t="s">
        <v>4964</v>
      </c>
      <c r="H2943" s="0" t="s">
        <v>5935</v>
      </c>
      <c r="I2943" s="0" t="s">
        <v>4966</v>
      </c>
      <c r="J2943" s="19" t="s">
        <v>26</v>
      </c>
    </row>
    <row r="2944" customFormat="false" ht="15" hidden="false" customHeight="false" outlineLevel="0" collapsed="false">
      <c r="A2944" s="0" t="s">
        <v>2471</v>
      </c>
      <c r="B2944" s="0" t="s">
        <v>134</v>
      </c>
      <c r="C2944" s="0" t="s">
        <v>3447</v>
      </c>
      <c r="D2944" s="0" t="s">
        <v>3457</v>
      </c>
      <c r="E2944" s="0" t="s">
        <v>4963</v>
      </c>
      <c r="F2944" s="0" t="s">
        <v>60</v>
      </c>
      <c r="G2944" s="0" t="s">
        <v>4964</v>
      </c>
      <c r="H2944" s="0" t="s">
        <v>5936</v>
      </c>
      <c r="I2944" s="0" t="s">
        <v>4966</v>
      </c>
      <c r="J2944" s="19" t="s">
        <v>26</v>
      </c>
    </row>
    <row r="2945" customFormat="false" ht="15" hidden="false" customHeight="false" outlineLevel="0" collapsed="false">
      <c r="A2945" s="0" t="s">
        <v>2471</v>
      </c>
      <c r="B2945" s="0" t="s">
        <v>134</v>
      </c>
      <c r="C2945" s="0" t="s">
        <v>3447</v>
      </c>
      <c r="D2945" s="0" t="s">
        <v>3448</v>
      </c>
      <c r="E2945" s="0" t="s">
        <v>4963</v>
      </c>
      <c r="F2945" s="0" t="s">
        <v>60</v>
      </c>
      <c r="G2945" s="0" t="s">
        <v>4964</v>
      </c>
      <c r="H2945" s="0" t="s">
        <v>5937</v>
      </c>
      <c r="I2945" s="0" t="s">
        <v>4966</v>
      </c>
      <c r="J2945" s="19" t="s">
        <v>26</v>
      </c>
    </row>
    <row r="2946" customFormat="false" ht="15" hidden="false" customHeight="false" outlineLevel="0" collapsed="false">
      <c r="A2946" s="0" t="s">
        <v>2471</v>
      </c>
      <c r="B2946" s="0" t="s">
        <v>134</v>
      </c>
      <c r="C2946" s="0" t="s">
        <v>3450</v>
      </c>
      <c r="D2946" s="0" t="s">
        <v>3457</v>
      </c>
      <c r="E2946" s="0" t="s">
        <v>4963</v>
      </c>
      <c r="F2946" s="0" t="s">
        <v>59</v>
      </c>
      <c r="G2946" s="0" t="s">
        <v>4974</v>
      </c>
      <c r="H2946" s="0" t="s">
        <v>69</v>
      </c>
      <c r="I2946" s="0" t="s">
        <v>4975</v>
      </c>
      <c r="J2946" s="20" t="s">
        <v>25</v>
      </c>
    </row>
    <row r="2947" customFormat="false" ht="15" hidden="false" customHeight="false" outlineLevel="0" collapsed="false">
      <c r="A2947" s="0" t="s">
        <v>2471</v>
      </c>
      <c r="B2947" s="0" t="s">
        <v>134</v>
      </c>
      <c r="C2947" s="0" t="s">
        <v>3450</v>
      </c>
      <c r="D2947" s="0" t="s">
        <v>3448</v>
      </c>
      <c r="E2947" s="0" t="s">
        <v>4963</v>
      </c>
      <c r="F2947" s="0" t="s">
        <v>59</v>
      </c>
      <c r="G2947" s="0" t="s">
        <v>4974</v>
      </c>
      <c r="H2947" s="0" t="s">
        <v>69</v>
      </c>
      <c r="I2947" s="0" t="s">
        <v>4975</v>
      </c>
      <c r="J2947" s="20" t="s">
        <v>25</v>
      </c>
    </row>
    <row r="2948" customFormat="false" ht="15" hidden="false" customHeight="false" outlineLevel="0" collapsed="false">
      <c r="A2948" s="0" t="s">
        <v>2471</v>
      </c>
      <c r="B2948" s="0" t="s">
        <v>134</v>
      </c>
      <c r="C2948" s="0" t="s">
        <v>3450</v>
      </c>
      <c r="D2948" s="0" t="s">
        <v>3448</v>
      </c>
      <c r="E2948" s="0" t="s">
        <v>4969</v>
      </c>
      <c r="F2948" s="0" t="s">
        <v>62</v>
      </c>
      <c r="G2948" s="0" t="s">
        <v>5003</v>
      </c>
      <c r="H2948" s="0" t="s">
        <v>5938</v>
      </c>
      <c r="I2948" s="0" t="s">
        <v>5005</v>
      </c>
      <c r="J2948" s="20" t="s">
        <v>25</v>
      </c>
    </row>
    <row r="2949" customFormat="false" ht="15" hidden="false" customHeight="false" outlineLevel="0" collapsed="false">
      <c r="A2949" s="0" t="s">
        <v>2471</v>
      </c>
      <c r="B2949" s="0" t="s">
        <v>134</v>
      </c>
      <c r="C2949" s="0" t="s">
        <v>3447</v>
      </c>
      <c r="D2949" s="0" t="s">
        <v>3457</v>
      </c>
      <c r="E2949" s="0" t="s">
        <v>4963</v>
      </c>
      <c r="F2949" s="0" t="s">
        <v>59</v>
      </c>
      <c r="G2949" s="0" t="s">
        <v>4974</v>
      </c>
      <c r="H2949" s="0" t="s">
        <v>69</v>
      </c>
      <c r="I2949" s="0" t="s">
        <v>4975</v>
      </c>
      <c r="J2949" s="20" t="s">
        <v>25</v>
      </c>
    </row>
    <row r="2950" customFormat="false" ht="15" hidden="false" customHeight="false" outlineLevel="0" collapsed="false">
      <c r="A2950" s="0" t="s">
        <v>2471</v>
      </c>
      <c r="B2950" s="0" t="s">
        <v>134</v>
      </c>
      <c r="C2950" s="0" t="s">
        <v>3447</v>
      </c>
      <c r="D2950" s="0" t="s">
        <v>3448</v>
      </c>
      <c r="E2950" s="0" t="s">
        <v>4969</v>
      </c>
      <c r="F2950" s="0" t="s">
        <v>61</v>
      </c>
      <c r="G2950" s="0" t="s">
        <v>4970</v>
      </c>
      <c r="H2950" s="0" t="s">
        <v>5939</v>
      </c>
      <c r="I2950" s="0" t="s">
        <v>4972</v>
      </c>
      <c r="J2950" s="20" t="s">
        <v>25</v>
      </c>
    </row>
    <row r="2951" customFormat="false" ht="15" hidden="false" customHeight="false" outlineLevel="0" collapsed="false">
      <c r="A2951" s="0" t="s">
        <v>2471</v>
      </c>
      <c r="B2951" s="0" t="s">
        <v>134</v>
      </c>
      <c r="C2951" s="0" t="s">
        <v>3450</v>
      </c>
      <c r="D2951" s="0" t="s">
        <v>3448</v>
      </c>
      <c r="E2951" s="0" t="s">
        <v>4963</v>
      </c>
      <c r="F2951" s="0" t="s">
        <v>30</v>
      </c>
      <c r="G2951" s="0" t="s">
        <v>4980</v>
      </c>
      <c r="H2951" s="0" t="s">
        <v>4275</v>
      </c>
      <c r="I2951" s="0" t="s">
        <v>4981</v>
      </c>
      <c r="J2951" s="18" t="s">
        <v>24</v>
      </c>
    </row>
    <row r="2952" customFormat="false" ht="15" hidden="false" customHeight="false" outlineLevel="0" collapsed="false">
      <c r="A2952" s="0" t="s">
        <v>2482</v>
      </c>
      <c r="B2952" s="0" t="s">
        <v>134</v>
      </c>
      <c r="C2952" s="0" t="s">
        <v>3450</v>
      </c>
      <c r="D2952" s="0" t="s">
        <v>3457</v>
      </c>
      <c r="E2952" s="0" t="s">
        <v>4969</v>
      </c>
      <c r="F2952" s="0" t="s">
        <v>62</v>
      </c>
      <c r="G2952" s="0" t="s">
        <v>5003</v>
      </c>
      <c r="H2952" s="0" t="s">
        <v>5940</v>
      </c>
      <c r="I2952" s="0" t="s">
        <v>5005</v>
      </c>
      <c r="J2952" s="20" t="s">
        <v>25</v>
      </c>
    </row>
    <row r="2953" customFormat="false" ht="15" hidden="false" customHeight="false" outlineLevel="0" collapsed="false">
      <c r="A2953" s="0" t="s">
        <v>2482</v>
      </c>
      <c r="B2953" s="0" t="s">
        <v>134</v>
      </c>
      <c r="C2953" s="0" t="s">
        <v>3450</v>
      </c>
      <c r="D2953" s="0" t="s">
        <v>3457</v>
      </c>
      <c r="E2953" s="0" t="s">
        <v>4969</v>
      </c>
      <c r="F2953" s="0" t="s">
        <v>64</v>
      </c>
      <c r="G2953" s="0" t="s">
        <v>4220</v>
      </c>
      <c r="H2953" s="0" t="s">
        <v>5941</v>
      </c>
      <c r="I2953" s="0" t="s">
        <v>4991</v>
      </c>
      <c r="J2953" s="20" t="s">
        <v>25</v>
      </c>
    </row>
    <row r="2954" customFormat="false" ht="15" hidden="false" customHeight="false" outlineLevel="0" collapsed="false">
      <c r="A2954" s="0" t="s">
        <v>2482</v>
      </c>
      <c r="B2954" s="0" t="s">
        <v>134</v>
      </c>
      <c r="C2954" s="0" t="s">
        <v>3450</v>
      </c>
      <c r="D2954" s="0" t="s">
        <v>3448</v>
      </c>
      <c r="E2954" s="0" t="s">
        <v>4969</v>
      </c>
      <c r="F2954" s="0" t="s">
        <v>61</v>
      </c>
      <c r="G2954" s="0" t="s">
        <v>4970</v>
      </c>
      <c r="H2954" s="0" t="s">
        <v>5942</v>
      </c>
      <c r="I2954" s="0" t="s">
        <v>4972</v>
      </c>
      <c r="J2954" s="20" t="s">
        <v>25</v>
      </c>
    </row>
    <row r="2955" customFormat="false" ht="15" hidden="false" customHeight="false" outlineLevel="0" collapsed="false">
      <c r="A2955" s="0" t="s">
        <v>2482</v>
      </c>
      <c r="B2955" s="0" t="s">
        <v>134</v>
      </c>
      <c r="C2955" s="0" t="s">
        <v>3450</v>
      </c>
      <c r="D2955" s="0" t="s">
        <v>3448</v>
      </c>
      <c r="E2955" s="0" t="s">
        <v>4969</v>
      </c>
      <c r="F2955" s="0" t="s">
        <v>62</v>
      </c>
      <c r="G2955" s="0" t="s">
        <v>5003</v>
      </c>
      <c r="H2955" s="0" t="s">
        <v>5943</v>
      </c>
      <c r="I2955" s="0" t="s">
        <v>5005</v>
      </c>
      <c r="J2955" s="20" t="s">
        <v>25</v>
      </c>
    </row>
    <row r="2956" customFormat="false" ht="15" hidden="false" customHeight="false" outlineLevel="0" collapsed="false">
      <c r="A2956" s="0" t="s">
        <v>2482</v>
      </c>
      <c r="B2956" s="0" t="s">
        <v>134</v>
      </c>
      <c r="C2956" s="0" t="s">
        <v>3450</v>
      </c>
      <c r="D2956" s="0" t="s">
        <v>3448</v>
      </c>
      <c r="E2956" s="0" t="s">
        <v>4969</v>
      </c>
      <c r="F2956" s="0" t="s">
        <v>64</v>
      </c>
      <c r="G2956" s="0" t="s">
        <v>4220</v>
      </c>
      <c r="H2956" s="0" t="s">
        <v>5944</v>
      </c>
      <c r="I2956" s="0" t="s">
        <v>4991</v>
      </c>
      <c r="J2956" s="20" t="s">
        <v>25</v>
      </c>
    </row>
    <row r="2957" customFormat="false" ht="15" hidden="false" customHeight="false" outlineLevel="0" collapsed="false">
      <c r="A2957" s="0" t="s">
        <v>2482</v>
      </c>
      <c r="B2957" s="0" t="s">
        <v>134</v>
      </c>
      <c r="C2957" s="0" t="s">
        <v>3447</v>
      </c>
      <c r="D2957" s="0" t="s">
        <v>3457</v>
      </c>
      <c r="E2957" s="0" t="s">
        <v>4969</v>
      </c>
      <c r="F2957" s="0" t="s">
        <v>64</v>
      </c>
      <c r="G2957" s="0" t="s">
        <v>4220</v>
      </c>
      <c r="H2957" s="0" t="s">
        <v>5941</v>
      </c>
      <c r="I2957" s="0" t="s">
        <v>4991</v>
      </c>
      <c r="J2957" s="20" t="s">
        <v>25</v>
      </c>
    </row>
    <row r="2958" customFormat="false" ht="15" hidden="false" customHeight="false" outlineLevel="0" collapsed="false">
      <c r="A2958" s="0" t="s">
        <v>2482</v>
      </c>
      <c r="B2958" s="0" t="s">
        <v>134</v>
      </c>
      <c r="C2958" s="0" t="s">
        <v>3447</v>
      </c>
      <c r="D2958" s="0" t="s">
        <v>3448</v>
      </c>
      <c r="E2958" s="0" t="s">
        <v>4969</v>
      </c>
      <c r="F2958" s="0" t="s">
        <v>64</v>
      </c>
      <c r="G2958" s="0" t="s">
        <v>4220</v>
      </c>
      <c r="H2958" s="0" t="s">
        <v>5944</v>
      </c>
      <c r="I2958" s="0" t="s">
        <v>4991</v>
      </c>
      <c r="J2958" s="20" t="s">
        <v>25</v>
      </c>
    </row>
    <row r="2959" customFormat="false" ht="15" hidden="false" customHeight="false" outlineLevel="0" collapsed="false">
      <c r="A2959" s="0" t="s">
        <v>2482</v>
      </c>
      <c r="B2959" s="0" t="s">
        <v>3459</v>
      </c>
      <c r="C2959" s="0" t="s">
        <v>3450</v>
      </c>
      <c r="D2959" s="0" t="s">
        <v>3457</v>
      </c>
      <c r="E2959" s="0" t="s">
        <v>4969</v>
      </c>
      <c r="F2959" s="0" t="s">
        <v>62</v>
      </c>
      <c r="G2959" s="0" t="s">
        <v>5003</v>
      </c>
      <c r="H2959" s="0" t="s">
        <v>5945</v>
      </c>
      <c r="I2959" s="0" t="s">
        <v>5005</v>
      </c>
      <c r="J2959" s="20" t="s">
        <v>25</v>
      </c>
    </row>
    <row r="2960" customFormat="false" ht="15" hidden="false" customHeight="false" outlineLevel="0" collapsed="false">
      <c r="A2960" s="0" t="s">
        <v>2482</v>
      </c>
      <c r="B2960" s="0" t="s">
        <v>3459</v>
      </c>
      <c r="C2960" s="0" t="s">
        <v>3450</v>
      </c>
      <c r="D2960" s="0" t="s">
        <v>3448</v>
      </c>
      <c r="E2960" s="0" t="s">
        <v>4963</v>
      </c>
      <c r="F2960" s="0" t="s">
        <v>59</v>
      </c>
      <c r="G2960" s="0" t="s">
        <v>4974</v>
      </c>
      <c r="H2960" s="0" t="s">
        <v>69</v>
      </c>
      <c r="I2960" s="0" t="s">
        <v>4975</v>
      </c>
      <c r="J2960" s="20" t="s">
        <v>25</v>
      </c>
    </row>
    <row r="2961" customFormat="false" ht="15" hidden="false" customHeight="false" outlineLevel="0" collapsed="false">
      <c r="A2961" s="0" t="s">
        <v>2482</v>
      </c>
      <c r="B2961" s="0" t="s">
        <v>3459</v>
      </c>
      <c r="C2961" s="0" t="s">
        <v>3450</v>
      </c>
      <c r="D2961" s="0" t="s">
        <v>3448</v>
      </c>
      <c r="E2961" s="0" t="s">
        <v>4969</v>
      </c>
      <c r="F2961" s="0" t="s">
        <v>61</v>
      </c>
      <c r="G2961" s="0" t="s">
        <v>4970</v>
      </c>
      <c r="H2961" s="0" t="s">
        <v>5946</v>
      </c>
      <c r="I2961" s="0" t="s">
        <v>4972</v>
      </c>
      <c r="J2961" s="20" t="s">
        <v>25</v>
      </c>
    </row>
    <row r="2962" customFormat="false" ht="15" hidden="false" customHeight="false" outlineLevel="0" collapsed="false">
      <c r="A2962" s="0" t="s">
        <v>2482</v>
      </c>
      <c r="B2962" s="0" t="s">
        <v>3459</v>
      </c>
      <c r="C2962" s="0" t="s">
        <v>3450</v>
      </c>
      <c r="D2962" s="0" t="s">
        <v>3448</v>
      </c>
      <c r="E2962" s="0" t="s">
        <v>4969</v>
      </c>
      <c r="F2962" s="0" t="s">
        <v>62</v>
      </c>
      <c r="G2962" s="0" t="s">
        <v>5003</v>
      </c>
      <c r="H2962" s="0" t="s">
        <v>5947</v>
      </c>
      <c r="I2962" s="0" t="s">
        <v>5005</v>
      </c>
      <c r="J2962" s="20" t="s">
        <v>25</v>
      </c>
    </row>
    <row r="2963" customFormat="false" ht="15" hidden="false" customHeight="false" outlineLevel="0" collapsed="false">
      <c r="A2963" s="0" t="s">
        <v>2482</v>
      </c>
      <c r="B2963" s="0" t="s">
        <v>3459</v>
      </c>
      <c r="C2963" s="0" t="s">
        <v>3450</v>
      </c>
      <c r="D2963" s="0" t="s">
        <v>3448</v>
      </c>
      <c r="E2963" s="0" t="s">
        <v>4969</v>
      </c>
      <c r="F2963" s="0" t="s">
        <v>64</v>
      </c>
      <c r="G2963" s="0" t="s">
        <v>4220</v>
      </c>
      <c r="H2963" s="0" t="s">
        <v>5948</v>
      </c>
      <c r="I2963" s="0" t="s">
        <v>4991</v>
      </c>
      <c r="J2963" s="20" t="s">
        <v>25</v>
      </c>
    </row>
    <row r="2964" customFormat="false" ht="15" hidden="false" customHeight="false" outlineLevel="0" collapsed="false">
      <c r="A2964" s="0" t="s">
        <v>2482</v>
      </c>
      <c r="B2964" s="0" t="s">
        <v>3459</v>
      </c>
      <c r="C2964" s="0" t="s">
        <v>3447</v>
      </c>
      <c r="D2964" s="0" t="s">
        <v>3448</v>
      </c>
      <c r="E2964" s="0" t="s">
        <v>4963</v>
      </c>
      <c r="F2964" s="0" t="s">
        <v>59</v>
      </c>
      <c r="G2964" s="0" t="s">
        <v>4974</v>
      </c>
      <c r="H2964" s="0" t="s">
        <v>69</v>
      </c>
      <c r="I2964" s="0" t="s">
        <v>4975</v>
      </c>
      <c r="J2964" s="20" t="s">
        <v>25</v>
      </c>
    </row>
    <row r="2965" customFormat="false" ht="15" hidden="false" customHeight="false" outlineLevel="0" collapsed="false">
      <c r="A2965" s="0" t="s">
        <v>2482</v>
      </c>
      <c r="B2965" s="0" t="s">
        <v>3459</v>
      </c>
      <c r="C2965" s="0" t="s">
        <v>3447</v>
      </c>
      <c r="D2965" s="0" t="s">
        <v>3448</v>
      </c>
      <c r="E2965" s="0" t="s">
        <v>4969</v>
      </c>
      <c r="F2965" s="0" t="s">
        <v>64</v>
      </c>
      <c r="G2965" s="0" t="s">
        <v>4220</v>
      </c>
      <c r="H2965" s="0" t="s">
        <v>5948</v>
      </c>
      <c r="I2965" s="0" t="s">
        <v>4991</v>
      </c>
      <c r="J2965" s="20" t="s">
        <v>25</v>
      </c>
    </row>
    <row r="2966" customFormat="false" ht="15" hidden="false" customHeight="false" outlineLevel="0" collapsed="false">
      <c r="A2966" s="0" t="s">
        <v>2482</v>
      </c>
      <c r="B2966" s="0" t="s">
        <v>3459</v>
      </c>
      <c r="C2966" s="0" t="s">
        <v>3450</v>
      </c>
      <c r="D2966" s="0" t="s">
        <v>3448</v>
      </c>
      <c r="E2966" s="0" t="s">
        <v>4963</v>
      </c>
      <c r="F2966" s="0" t="s">
        <v>30</v>
      </c>
      <c r="G2966" s="0" t="s">
        <v>4980</v>
      </c>
      <c r="H2966" s="0" t="s">
        <v>4265</v>
      </c>
      <c r="I2966" s="0" t="s">
        <v>4981</v>
      </c>
      <c r="J2966" s="18" t="s">
        <v>24</v>
      </c>
    </row>
    <row r="2967" customFormat="false" ht="15" hidden="false" customHeight="false" outlineLevel="0" collapsed="false">
      <c r="A2967" s="0" t="s">
        <v>2482</v>
      </c>
      <c r="B2967" s="0" t="s">
        <v>3459</v>
      </c>
      <c r="C2967" s="0" t="s">
        <v>3447</v>
      </c>
      <c r="D2967" s="0" t="s">
        <v>3448</v>
      </c>
      <c r="E2967" s="0" t="s">
        <v>4963</v>
      </c>
      <c r="F2967" s="0" t="s">
        <v>30</v>
      </c>
      <c r="G2967" s="0" t="s">
        <v>4980</v>
      </c>
      <c r="H2967" s="0" t="s">
        <v>4784</v>
      </c>
      <c r="I2967" s="0" t="s">
        <v>4981</v>
      </c>
      <c r="J2967" s="18" t="s">
        <v>24</v>
      </c>
    </row>
    <row r="2968" customFormat="false" ht="15" hidden="false" customHeight="false" outlineLevel="0" collapsed="false">
      <c r="A2968" s="0" t="s">
        <v>2488</v>
      </c>
      <c r="B2968" s="0" t="s">
        <v>134</v>
      </c>
      <c r="C2968" s="0" t="s">
        <v>3450</v>
      </c>
      <c r="D2968" s="0" t="s">
        <v>3457</v>
      </c>
      <c r="E2968" s="0" t="s">
        <v>4963</v>
      </c>
      <c r="F2968" s="0" t="s">
        <v>60</v>
      </c>
      <c r="G2968" s="0" t="s">
        <v>4964</v>
      </c>
      <c r="H2968" s="0" t="s">
        <v>5949</v>
      </c>
      <c r="I2968" s="0" t="s">
        <v>4966</v>
      </c>
      <c r="J2968" s="19" t="s">
        <v>26</v>
      </c>
    </row>
    <row r="2969" customFormat="false" ht="15" hidden="false" customHeight="false" outlineLevel="0" collapsed="false">
      <c r="A2969" s="0" t="s">
        <v>2488</v>
      </c>
      <c r="B2969" s="0" t="s">
        <v>134</v>
      </c>
      <c r="C2969" s="0" t="s">
        <v>3450</v>
      </c>
      <c r="D2969" s="0" t="s">
        <v>3448</v>
      </c>
      <c r="E2969" s="0" t="s">
        <v>4963</v>
      </c>
      <c r="F2969" s="0" t="s">
        <v>60</v>
      </c>
      <c r="G2969" s="0" t="s">
        <v>4964</v>
      </c>
      <c r="H2969" s="0" t="s">
        <v>5056</v>
      </c>
      <c r="I2969" s="0" t="s">
        <v>4966</v>
      </c>
      <c r="J2969" s="19" t="s">
        <v>26</v>
      </c>
    </row>
    <row r="2970" customFormat="false" ht="15" hidden="false" customHeight="false" outlineLevel="0" collapsed="false">
      <c r="A2970" s="0" t="s">
        <v>2488</v>
      </c>
      <c r="B2970" s="0" t="s">
        <v>134</v>
      </c>
      <c r="C2970" s="0" t="s">
        <v>3447</v>
      </c>
      <c r="D2970" s="0" t="s">
        <v>3457</v>
      </c>
      <c r="E2970" s="0" t="s">
        <v>4963</v>
      </c>
      <c r="F2970" s="0" t="s">
        <v>60</v>
      </c>
      <c r="G2970" s="0" t="s">
        <v>4964</v>
      </c>
      <c r="H2970" s="0" t="s">
        <v>5950</v>
      </c>
      <c r="I2970" s="0" t="s">
        <v>4966</v>
      </c>
      <c r="J2970" s="19" t="s">
        <v>26</v>
      </c>
    </row>
    <row r="2971" customFormat="false" ht="15" hidden="false" customHeight="false" outlineLevel="0" collapsed="false">
      <c r="A2971" s="0" t="s">
        <v>2488</v>
      </c>
      <c r="B2971" s="0" t="s">
        <v>134</v>
      </c>
      <c r="C2971" s="0" t="s">
        <v>3450</v>
      </c>
      <c r="D2971" s="0" t="s">
        <v>3457</v>
      </c>
      <c r="E2971" s="0" t="s">
        <v>4963</v>
      </c>
      <c r="F2971" s="0" t="s">
        <v>59</v>
      </c>
      <c r="G2971" s="0" t="s">
        <v>4974</v>
      </c>
      <c r="H2971" s="0" t="s">
        <v>69</v>
      </c>
      <c r="I2971" s="0" t="s">
        <v>4975</v>
      </c>
      <c r="J2971" s="20" t="s">
        <v>25</v>
      </c>
    </row>
    <row r="2972" customFormat="false" ht="15" hidden="false" customHeight="false" outlineLevel="0" collapsed="false">
      <c r="A2972" s="0" t="s">
        <v>2488</v>
      </c>
      <c r="B2972" s="0" t="s">
        <v>134</v>
      </c>
      <c r="C2972" s="0" t="s">
        <v>3450</v>
      </c>
      <c r="D2972" s="0" t="s">
        <v>3457</v>
      </c>
      <c r="E2972" s="0" t="s">
        <v>4969</v>
      </c>
      <c r="F2972" s="0" t="s">
        <v>62</v>
      </c>
      <c r="G2972" s="0" t="s">
        <v>5003</v>
      </c>
      <c r="H2972" s="0" t="s">
        <v>5951</v>
      </c>
      <c r="I2972" s="0" t="s">
        <v>5005</v>
      </c>
      <c r="J2972" s="20" t="s">
        <v>25</v>
      </c>
    </row>
    <row r="2973" customFormat="false" ht="15" hidden="false" customHeight="false" outlineLevel="0" collapsed="false">
      <c r="A2973" s="0" t="s">
        <v>2488</v>
      </c>
      <c r="B2973" s="0" t="s">
        <v>134</v>
      </c>
      <c r="C2973" s="0" t="s">
        <v>3450</v>
      </c>
      <c r="D2973" s="0" t="s">
        <v>3448</v>
      </c>
      <c r="E2973" s="0" t="s">
        <v>4963</v>
      </c>
      <c r="F2973" s="0" t="s">
        <v>59</v>
      </c>
      <c r="G2973" s="0" t="s">
        <v>4974</v>
      </c>
      <c r="H2973" s="0" t="s">
        <v>69</v>
      </c>
      <c r="I2973" s="0" t="s">
        <v>4975</v>
      </c>
      <c r="J2973" s="20" t="s">
        <v>25</v>
      </c>
    </row>
    <row r="2974" customFormat="false" ht="15" hidden="false" customHeight="false" outlineLevel="0" collapsed="false">
      <c r="A2974" s="0" t="s">
        <v>2488</v>
      </c>
      <c r="B2974" s="0" t="s">
        <v>134</v>
      </c>
      <c r="C2974" s="0" t="s">
        <v>3447</v>
      </c>
      <c r="D2974" s="0" t="s">
        <v>3448</v>
      </c>
      <c r="E2974" s="0" t="s">
        <v>4969</v>
      </c>
      <c r="F2974" s="0" t="s">
        <v>61</v>
      </c>
      <c r="G2974" s="0" t="s">
        <v>4970</v>
      </c>
      <c r="H2974" s="0" t="s">
        <v>5952</v>
      </c>
      <c r="I2974" s="0" t="s">
        <v>4972</v>
      </c>
      <c r="J2974" s="20" t="s">
        <v>25</v>
      </c>
    </row>
    <row r="2975" customFormat="false" ht="15" hidden="false" customHeight="false" outlineLevel="0" collapsed="false">
      <c r="A2975" s="0" t="s">
        <v>2488</v>
      </c>
      <c r="B2975" s="0" t="s">
        <v>134</v>
      </c>
      <c r="C2975" s="0" t="s">
        <v>3447</v>
      </c>
      <c r="D2975" s="0" t="s">
        <v>3448</v>
      </c>
      <c r="E2975" s="0" t="s">
        <v>4963</v>
      </c>
      <c r="F2975" s="0" t="s">
        <v>30</v>
      </c>
      <c r="G2975" s="0" t="s">
        <v>4980</v>
      </c>
      <c r="H2975" s="0" t="s">
        <v>4628</v>
      </c>
      <c r="I2975" s="0" t="s">
        <v>4981</v>
      </c>
      <c r="J2975" s="18" t="s">
        <v>24</v>
      </c>
    </row>
    <row r="2976" customFormat="false" ht="15" hidden="false" customHeight="false" outlineLevel="0" collapsed="false">
      <c r="A2976" s="0" t="s">
        <v>2494</v>
      </c>
      <c r="B2976" s="0" t="s">
        <v>134</v>
      </c>
      <c r="C2976" s="0" t="s">
        <v>3450</v>
      </c>
      <c r="D2976" s="0" t="s">
        <v>3457</v>
      </c>
      <c r="E2976" s="0" t="s">
        <v>4963</v>
      </c>
      <c r="F2976" s="0" t="s">
        <v>59</v>
      </c>
      <c r="G2976" s="0" t="s">
        <v>4974</v>
      </c>
      <c r="H2976" s="0" t="s">
        <v>69</v>
      </c>
      <c r="I2976" s="0" t="s">
        <v>4975</v>
      </c>
      <c r="J2976" s="20" t="s">
        <v>25</v>
      </c>
    </row>
    <row r="2977" customFormat="false" ht="15" hidden="false" customHeight="false" outlineLevel="0" collapsed="false">
      <c r="A2977" s="0" t="s">
        <v>2494</v>
      </c>
      <c r="B2977" s="0" t="s">
        <v>134</v>
      </c>
      <c r="C2977" s="0" t="s">
        <v>3450</v>
      </c>
      <c r="D2977" s="0" t="s">
        <v>3457</v>
      </c>
      <c r="E2977" s="0" t="s">
        <v>4969</v>
      </c>
      <c r="F2977" s="0" t="s">
        <v>63</v>
      </c>
      <c r="G2977" s="0" t="s">
        <v>4220</v>
      </c>
      <c r="H2977" s="0" t="s">
        <v>5953</v>
      </c>
      <c r="I2977" s="0" t="s">
        <v>4979</v>
      </c>
      <c r="J2977" s="20" t="s">
        <v>25</v>
      </c>
    </row>
    <row r="2978" customFormat="false" ht="15" hidden="false" customHeight="false" outlineLevel="0" collapsed="false">
      <c r="A2978" s="0" t="s">
        <v>2494</v>
      </c>
      <c r="B2978" s="0" t="s">
        <v>134</v>
      </c>
      <c r="C2978" s="0" t="s">
        <v>3450</v>
      </c>
      <c r="D2978" s="0" t="s">
        <v>3448</v>
      </c>
      <c r="E2978" s="0" t="s">
        <v>4969</v>
      </c>
      <c r="F2978" s="0" t="s">
        <v>61</v>
      </c>
      <c r="G2978" s="0" t="s">
        <v>4970</v>
      </c>
      <c r="H2978" s="0" t="s">
        <v>5954</v>
      </c>
      <c r="I2978" s="0" t="s">
        <v>4972</v>
      </c>
      <c r="J2978" s="20" t="s">
        <v>25</v>
      </c>
    </row>
    <row r="2979" customFormat="false" ht="15" hidden="false" customHeight="false" outlineLevel="0" collapsed="false">
      <c r="A2979" s="0" t="s">
        <v>2494</v>
      </c>
      <c r="B2979" s="0" t="s">
        <v>134</v>
      </c>
      <c r="C2979" s="0" t="s">
        <v>3447</v>
      </c>
      <c r="D2979" s="0" t="s">
        <v>3457</v>
      </c>
      <c r="E2979" s="0" t="s">
        <v>4969</v>
      </c>
      <c r="F2979" s="0" t="s">
        <v>63</v>
      </c>
      <c r="G2979" s="0" t="s">
        <v>4220</v>
      </c>
      <c r="H2979" s="0" t="s">
        <v>5953</v>
      </c>
      <c r="I2979" s="0" t="s">
        <v>4979</v>
      </c>
      <c r="J2979" s="20" t="s">
        <v>25</v>
      </c>
    </row>
    <row r="2980" customFormat="false" ht="15" hidden="false" customHeight="false" outlineLevel="0" collapsed="false">
      <c r="A2980" s="0" t="s">
        <v>2494</v>
      </c>
      <c r="B2980" s="0" t="s">
        <v>134</v>
      </c>
      <c r="C2980" s="0" t="s">
        <v>3447</v>
      </c>
      <c r="D2980" s="0" t="s">
        <v>3448</v>
      </c>
      <c r="E2980" s="0" t="s">
        <v>4969</v>
      </c>
      <c r="F2980" s="0" t="s">
        <v>61</v>
      </c>
      <c r="G2980" s="0" t="s">
        <v>4970</v>
      </c>
      <c r="H2980" s="0" t="s">
        <v>5955</v>
      </c>
      <c r="I2980" s="0" t="s">
        <v>4972</v>
      </c>
      <c r="J2980" s="20" t="s">
        <v>25</v>
      </c>
    </row>
    <row r="2981" customFormat="false" ht="15" hidden="false" customHeight="false" outlineLevel="0" collapsed="false">
      <c r="A2981" s="0" t="s">
        <v>2494</v>
      </c>
      <c r="B2981" s="0" t="s">
        <v>134</v>
      </c>
      <c r="C2981" s="0" t="s">
        <v>3450</v>
      </c>
      <c r="D2981" s="0" t="s">
        <v>3457</v>
      </c>
      <c r="E2981" s="0" t="s">
        <v>4963</v>
      </c>
      <c r="F2981" s="0" t="s">
        <v>30</v>
      </c>
      <c r="G2981" s="0" t="s">
        <v>4980</v>
      </c>
      <c r="H2981" s="0" t="s">
        <v>4242</v>
      </c>
      <c r="I2981" s="0" t="s">
        <v>4981</v>
      </c>
      <c r="J2981" s="18" t="s">
        <v>24</v>
      </c>
    </row>
    <row r="2982" customFormat="false" ht="15" hidden="false" customHeight="false" outlineLevel="0" collapsed="false">
      <c r="A2982" s="0" t="s">
        <v>2494</v>
      </c>
      <c r="B2982" s="0" t="s">
        <v>134</v>
      </c>
      <c r="C2982" s="0" t="s">
        <v>3447</v>
      </c>
      <c r="D2982" s="0" t="s">
        <v>3457</v>
      </c>
      <c r="E2982" s="0" t="s">
        <v>4963</v>
      </c>
      <c r="F2982" s="0" t="s">
        <v>30</v>
      </c>
      <c r="G2982" s="0" t="s">
        <v>4980</v>
      </c>
      <c r="H2982" s="0" t="s">
        <v>4274</v>
      </c>
      <c r="I2982" s="0" t="s">
        <v>4981</v>
      </c>
      <c r="J2982" s="18" t="s">
        <v>24</v>
      </c>
    </row>
    <row r="2983" customFormat="false" ht="15" hidden="false" customHeight="false" outlineLevel="0" collapsed="false">
      <c r="A2983" s="0" t="s">
        <v>2494</v>
      </c>
      <c r="B2983" s="0" t="s">
        <v>134</v>
      </c>
      <c r="C2983" s="0" t="s">
        <v>3447</v>
      </c>
      <c r="D2983" s="0" t="s">
        <v>3448</v>
      </c>
      <c r="E2983" s="0" t="s">
        <v>4963</v>
      </c>
      <c r="F2983" s="0" t="s">
        <v>30</v>
      </c>
      <c r="G2983" s="0" t="s">
        <v>4980</v>
      </c>
      <c r="H2983" s="0" t="s">
        <v>4788</v>
      </c>
      <c r="I2983" s="0" t="s">
        <v>4981</v>
      </c>
      <c r="J2983" s="18" t="s">
        <v>24</v>
      </c>
    </row>
    <row r="2984" customFormat="false" ht="15" hidden="false" customHeight="false" outlineLevel="0" collapsed="false">
      <c r="A2984" s="0" t="s">
        <v>2500</v>
      </c>
      <c r="B2984" s="0" t="s">
        <v>134</v>
      </c>
      <c r="C2984" s="0" t="s">
        <v>3447</v>
      </c>
      <c r="D2984" s="0" t="s">
        <v>3448</v>
      </c>
      <c r="E2984" s="0" t="s">
        <v>4963</v>
      </c>
      <c r="F2984" s="0" t="s">
        <v>60</v>
      </c>
      <c r="G2984" s="0" t="s">
        <v>4964</v>
      </c>
      <c r="H2984" s="0" t="s">
        <v>5956</v>
      </c>
      <c r="I2984" s="0" t="s">
        <v>4966</v>
      </c>
      <c r="J2984" s="19" t="s">
        <v>26</v>
      </c>
    </row>
    <row r="2985" customFormat="false" ht="15" hidden="false" customHeight="false" outlineLevel="0" collapsed="false">
      <c r="A2985" s="0" t="s">
        <v>2500</v>
      </c>
      <c r="B2985" s="0" t="s">
        <v>134</v>
      </c>
      <c r="C2985" s="0" t="s">
        <v>3450</v>
      </c>
      <c r="D2985" s="0" t="s">
        <v>3457</v>
      </c>
      <c r="E2985" s="0" t="s">
        <v>4963</v>
      </c>
      <c r="F2985" s="0" t="s">
        <v>59</v>
      </c>
      <c r="G2985" s="0" t="s">
        <v>4974</v>
      </c>
      <c r="H2985" s="0" t="s">
        <v>69</v>
      </c>
      <c r="I2985" s="0" t="s">
        <v>4975</v>
      </c>
      <c r="J2985" s="20" t="s">
        <v>25</v>
      </c>
    </row>
    <row r="2986" customFormat="false" ht="15" hidden="false" customHeight="false" outlineLevel="0" collapsed="false">
      <c r="A2986" s="0" t="s">
        <v>2500</v>
      </c>
      <c r="B2986" s="0" t="s">
        <v>134</v>
      </c>
      <c r="C2986" s="0" t="s">
        <v>3450</v>
      </c>
      <c r="D2986" s="0" t="s">
        <v>3448</v>
      </c>
      <c r="E2986" s="0" t="s">
        <v>4963</v>
      </c>
      <c r="F2986" s="0" t="s">
        <v>59</v>
      </c>
      <c r="G2986" s="0" t="s">
        <v>4974</v>
      </c>
      <c r="H2986" s="0" t="s">
        <v>69</v>
      </c>
      <c r="I2986" s="0" t="s">
        <v>4975</v>
      </c>
      <c r="J2986" s="20" t="s">
        <v>25</v>
      </c>
    </row>
    <row r="2987" customFormat="false" ht="15" hidden="false" customHeight="false" outlineLevel="0" collapsed="false">
      <c r="A2987" s="0" t="s">
        <v>2500</v>
      </c>
      <c r="B2987" s="0" t="s">
        <v>134</v>
      </c>
      <c r="C2987" s="0" t="s">
        <v>3447</v>
      </c>
      <c r="D2987" s="0" t="s">
        <v>3457</v>
      </c>
      <c r="E2987" s="0" t="s">
        <v>4963</v>
      </c>
      <c r="F2987" s="0" t="s">
        <v>59</v>
      </c>
      <c r="G2987" s="0" t="s">
        <v>4974</v>
      </c>
      <c r="H2987" s="0" t="s">
        <v>69</v>
      </c>
      <c r="I2987" s="0" t="s">
        <v>4975</v>
      </c>
      <c r="J2987" s="20" t="s">
        <v>25</v>
      </c>
    </row>
    <row r="2988" customFormat="false" ht="15" hidden="false" customHeight="false" outlineLevel="0" collapsed="false">
      <c r="A2988" s="0" t="s">
        <v>2500</v>
      </c>
      <c r="B2988" s="0" t="s">
        <v>134</v>
      </c>
      <c r="C2988" s="0" t="s">
        <v>3447</v>
      </c>
      <c r="D2988" s="0" t="s">
        <v>3457</v>
      </c>
      <c r="E2988" s="0" t="s">
        <v>4969</v>
      </c>
      <c r="F2988" s="0" t="s">
        <v>61</v>
      </c>
      <c r="G2988" s="0" t="s">
        <v>4970</v>
      </c>
      <c r="H2988" s="0" t="s">
        <v>5957</v>
      </c>
      <c r="I2988" s="0" t="s">
        <v>4972</v>
      </c>
      <c r="J2988" s="20" t="s">
        <v>25</v>
      </c>
    </row>
    <row r="2989" customFormat="false" ht="15" hidden="false" customHeight="false" outlineLevel="0" collapsed="false">
      <c r="A2989" s="0" t="s">
        <v>2500</v>
      </c>
      <c r="B2989" s="0" t="s">
        <v>134</v>
      </c>
      <c r="C2989" s="0" t="s">
        <v>3447</v>
      </c>
      <c r="D2989" s="0" t="s">
        <v>3448</v>
      </c>
      <c r="E2989" s="0" t="s">
        <v>4963</v>
      </c>
      <c r="F2989" s="0" t="s">
        <v>59</v>
      </c>
      <c r="G2989" s="0" t="s">
        <v>4974</v>
      </c>
      <c r="H2989" s="0" t="s">
        <v>69</v>
      </c>
      <c r="I2989" s="0" t="s">
        <v>4975</v>
      </c>
      <c r="J2989" s="20" t="s">
        <v>25</v>
      </c>
    </row>
    <row r="2990" customFormat="false" ht="15" hidden="false" customHeight="false" outlineLevel="0" collapsed="false">
      <c r="A2990" s="0" t="s">
        <v>2500</v>
      </c>
      <c r="B2990" s="0" t="s">
        <v>134</v>
      </c>
      <c r="C2990" s="0" t="s">
        <v>3447</v>
      </c>
      <c r="D2990" s="0" t="s">
        <v>3448</v>
      </c>
      <c r="E2990" s="0" t="s">
        <v>4969</v>
      </c>
      <c r="F2990" s="0" t="s">
        <v>61</v>
      </c>
      <c r="G2990" s="0" t="s">
        <v>4970</v>
      </c>
      <c r="H2990" s="0" t="s">
        <v>5958</v>
      </c>
      <c r="I2990" s="0" t="s">
        <v>4972</v>
      </c>
      <c r="J2990" s="20" t="s">
        <v>25</v>
      </c>
    </row>
    <row r="2991" customFormat="false" ht="15" hidden="false" customHeight="false" outlineLevel="0" collapsed="false">
      <c r="A2991" s="0" t="s">
        <v>2500</v>
      </c>
      <c r="B2991" s="0" t="s">
        <v>134</v>
      </c>
      <c r="C2991" s="0" t="s">
        <v>3450</v>
      </c>
      <c r="D2991" s="0" t="s">
        <v>3457</v>
      </c>
      <c r="E2991" s="0" t="s">
        <v>4963</v>
      </c>
      <c r="F2991" s="0" t="s">
        <v>30</v>
      </c>
      <c r="G2991" s="0" t="s">
        <v>4980</v>
      </c>
      <c r="H2991" s="0" t="s">
        <v>4629</v>
      </c>
      <c r="I2991" s="0" t="s">
        <v>4981</v>
      </c>
      <c r="J2991" s="18" t="s">
        <v>24</v>
      </c>
    </row>
    <row r="2992" customFormat="false" ht="15" hidden="false" customHeight="false" outlineLevel="0" collapsed="false">
      <c r="A2992" s="0" t="s">
        <v>2500</v>
      </c>
      <c r="B2992" s="0" t="s">
        <v>134</v>
      </c>
      <c r="C2992" s="0" t="s">
        <v>3450</v>
      </c>
      <c r="D2992" s="0" t="s">
        <v>3448</v>
      </c>
      <c r="E2992" s="0" t="s">
        <v>4963</v>
      </c>
      <c r="F2992" s="0" t="s">
        <v>30</v>
      </c>
      <c r="G2992" s="0" t="s">
        <v>4980</v>
      </c>
      <c r="H2992" s="0" t="s">
        <v>4242</v>
      </c>
      <c r="I2992" s="0" t="s">
        <v>4981</v>
      </c>
      <c r="J2992" s="18" t="s">
        <v>24</v>
      </c>
    </row>
    <row r="2993" customFormat="false" ht="15" hidden="false" customHeight="false" outlineLevel="0" collapsed="false">
      <c r="A2993" s="0" t="s">
        <v>2500</v>
      </c>
      <c r="B2993" s="0" t="s">
        <v>134</v>
      </c>
      <c r="C2993" s="0" t="s">
        <v>3447</v>
      </c>
      <c r="D2993" s="0" t="s">
        <v>3457</v>
      </c>
      <c r="E2993" s="0" t="s">
        <v>4963</v>
      </c>
      <c r="F2993" s="0" t="s">
        <v>30</v>
      </c>
      <c r="G2993" s="0" t="s">
        <v>4980</v>
      </c>
      <c r="H2993" s="0" t="s">
        <v>4242</v>
      </c>
      <c r="I2993" s="0" t="s">
        <v>4981</v>
      </c>
      <c r="J2993" s="18" t="s">
        <v>24</v>
      </c>
    </row>
    <row r="2994" customFormat="false" ht="15" hidden="false" customHeight="false" outlineLevel="0" collapsed="false">
      <c r="A2994" s="0" t="s">
        <v>2509</v>
      </c>
      <c r="B2994" s="0" t="s">
        <v>134</v>
      </c>
      <c r="C2994" s="0" t="s">
        <v>3450</v>
      </c>
      <c r="D2994" s="0" t="s">
        <v>3457</v>
      </c>
      <c r="E2994" s="0" t="s">
        <v>4963</v>
      </c>
      <c r="F2994" s="0" t="s">
        <v>59</v>
      </c>
      <c r="G2994" s="0" t="s">
        <v>4974</v>
      </c>
      <c r="H2994" s="0" t="s">
        <v>69</v>
      </c>
      <c r="I2994" s="0" t="s">
        <v>4975</v>
      </c>
      <c r="J2994" s="20" t="s">
        <v>25</v>
      </c>
    </row>
    <row r="2995" customFormat="false" ht="15" hidden="false" customHeight="false" outlineLevel="0" collapsed="false">
      <c r="A2995" s="0" t="s">
        <v>2509</v>
      </c>
      <c r="B2995" s="0" t="s">
        <v>134</v>
      </c>
      <c r="C2995" s="0" t="s">
        <v>3450</v>
      </c>
      <c r="D2995" s="0" t="s">
        <v>3457</v>
      </c>
      <c r="E2995" s="0" t="s">
        <v>4969</v>
      </c>
      <c r="F2995" s="0" t="s">
        <v>64</v>
      </c>
      <c r="G2995" s="0" t="s">
        <v>4220</v>
      </c>
      <c r="H2995" s="0" t="s">
        <v>5959</v>
      </c>
      <c r="I2995" s="0" t="s">
        <v>4991</v>
      </c>
      <c r="J2995" s="20" t="s">
        <v>25</v>
      </c>
    </row>
    <row r="2996" customFormat="false" ht="15" hidden="false" customHeight="false" outlineLevel="0" collapsed="false">
      <c r="A2996" s="0" t="s">
        <v>2509</v>
      </c>
      <c r="B2996" s="0" t="s">
        <v>134</v>
      </c>
      <c r="C2996" s="0" t="s">
        <v>3450</v>
      </c>
      <c r="D2996" s="0" t="s">
        <v>3448</v>
      </c>
      <c r="E2996" s="0" t="s">
        <v>4963</v>
      </c>
      <c r="F2996" s="0" t="s">
        <v>59</v>
      </c>
      <c r="G2996" s="0" t="s">
        <v>4974</v>
      </c>
      <c r="H2996" s="0" t="s">
        <v>69</v>
      </c>
      <c r="I2996" s="0" t="s">
        <v>4975</v>
      </c>
      <c r="J2996" s="20" t="s">
        <v>25</v>
      </c>
    </row>
    <row r="2997" customFormat="false" ht="15" hidden="false" customHeight="false" outlineLevel="0" collapsed="false">
      <c r="A2997" s="0" t="s">
        <v>2509</v>
      </c>
      <c r="B2997" s="0" t="s">
        <v>134</v>
      </c>
      <c r="C2997" s="0" t="s">
        <v>3450</v>
      </c>
      <c r="D2997" s="0" t="s">
        <v>3448</v>
      </c>
      <c r="E2997" s="0" t="s">
        <v>4969</v>
      </c>
      <c r="F2997" s="0" t="s">
        <v>63</v>
      </c>
      <c r="G2997" s="0" t="s">
        <v>4220</v>
      </c>
      <c r="H2997" s="0" t="s">
        <v>5960</v>
      </c>
      <c r="I2997" s="0" t="s">
        <v>4979</v>
      </c>
      <c r="J2997" s="20" t="s">
        <v>25</v>
      </c>
    </row>
    <row r="2998" customFormat="false" ht="15" hidden="false" customHeight="false" outlineLevel="0" collapsed="false">
      <c r="A2998" s="0" t="s">
        <v>2509</v>
      </c>
      <c r="B2998" s="0" t="s">
        <v>134</v>
      </c>
      <c r="C2998" s="0" t="s">
        <v>3447</v>
      </c>
      <c r="D2998" s="0" t="s">
        <v>3457</v>
      </c>
      <c r="E2998" s="0" t="s">
        <v>4969</v>
      </c>
      <c r="F2998" s="0" t="s">
        <v>64</v>
      </c>
      <c r="G2998" s="0" t="s">
        <v>4220</v>
      </c>
      <c r="H2998" s="0" t="s">
        <v>5959</v>
      </c>
      <c r="I2998" s="0" t="s">
        <v>4991</v>
      </c>
      <c r="J2998" s="20" t="s">
        <v>25</v>
      </c>
    </row>
    <row r="2999" customFormat="false" ht="15" hidden="false" customHeight="false" outlineLevel="0" collapsed="false">
      <c r="A2999" s="0" t="s">
        <v>2509</v>
      </c>
      <c r="B2999" s="0" t="s">
        <v>134</v>
      </c>
      <c r="C2999" s="0" t="s">
        <v>3447</v>
      </c>
      <c r="D2999" s="0" t="s">
        <v>3448</v>
      </c>
      <c r="E2999" s="0" t="s">
        <v>4969</v>
      </c>
      <c r="F2999" s="0" t="s">
        <v>61</v>
      </c>
      <c r="G2999" s="0" t="s">
        <v>4970</v>
      </c>
      <c r="H2999" s="0" t="s">
        <v>5961</v>
      </c>
      <c r="I2999" s="0" t="s">
        <v>4972</v>
      </c>
      <c r="J2999" s="20" t="s">
        <v>25</v>
      </c>
    </row>
    <row r="3000" customFormat="false" ht="15" hidden="false" customHeight="false" outlineLevel="0" collapsed="false">
      <c r="A3000" s="0" t="s">
        <v>2509</v>
      </c>
      <c r="B3000" s="0" t="s">
        <v>134</v>
      </c>
      <c r="C3000" s="0" t="s">
        <v>3447</v>
      </c>
      <c r="D3000" s="0" t="s">
        <v>3448</v>
      </c>
      <c r="E3000" s="0" t="s">
        <v>4969</v>
      </c>
      <c r="F3000" s="0" t="s">
        <v>63</v>
      </c>
      <c r="G3000" s="0" t="s">
        <v>4220</v>
      </c>
      <c r="H3000" s="0" t="s">
        <v>5960</v>
      </c>
      <c r="I3000" s="0" t="s">
        <v>4979</v>
      </c>
      <c r="J3000" s="20" t="s">
        <v>25</v>
      </c>
    </row>
    <row r="3001" customFormat="false" ht="15" hidden="false" customHeight="false" outlineLevel="0" collapsed="false">
      <c r="A3001" s="0" t="s">
        <v>2509</v>
      </c>
      <c r="B3001" s="0" t="s">
        <v>134</v>
      </c>
      <c r="C3001" s="0" t="s">
        <v>3450</v>
      </c>
      <c r="D3001" s="0" t="s">
        <v>3457</v>
      </c>
      <c r="E3001" s="0" t="s">
        <v>4963</v>
      </c>
      <c r="F3001" s="0" t="s">
        <v>30</v>
      </c>
      <c r="G3001" s="0" t="s">
        <v>4980</v>
      </c>
      <c r="H3001" s="0" t="s">
        <v>4790</v>
      </c>
      <c r="I3001" s="0" t="s">
        <v>4981</v>
      </c>
      <c r="J3001" s="18" t="s">
        <v>24</v>
      </c>
    </row>
    <row r="3002" customFormat="false" ht="15" hidden="false" customHeight="false" outlineLevel="0" collapsed="false">
      <c r="A3002" s="0" t="s">
        <v>2509</v>
      </c>
      <c r="B3002" s="0" t="s">
        <v>134</v>
      </c>
      <c r="C3002" s="0" t="s">
        <v>3450</v>
      </c>
      <c r="D3002" s="0" t="s">
        <v>3448</v>
      </c>
      <c r="E3002" s="0" t="s">
        <v>4963</v>
      </c>
      <c r="F3002" s="0" t="s">
        <v>30</v>
      </c>
      <c r="G3002" s="0" t="s">
        <v>4980</v>
      </c>
      <c r="H3002" s="0" t="s">
        <v>4242</v>
      </c>
      <c r="I3002" s="0" t="s">
        <v>4981</v>
      </c>
      <c r="J3002" s="18" t="s">
        <v>24</v>
      </c>
    </row>
    <row r="3003" customFormat="false" ht="15" hidden="false" customHeight="false" outlineLevel="0" collapsed="false">
      <c r="A3003" s="0" t="s">
        <v>2509</v>
      </c>
      <c r="B3003" s="0" t="s">
        <v>134</v>
      </c>
      <c r="C3003" s="0" t="s">
        <v>3447</v>
      </c>
      <c r="D3003" s="0" t="s">
        <v>3457</v>
      </c>
      <c r="E3003" s="0" t="s">
        <v>4963</v>
      </c>
      <c r="F3003" s="0" t="s">
        <v>30</v>
      </c>
      <c r="G3003" s="0" t="s">
        <v>4980</v>
      </c>
      <c r="H3003" s="0" t="s">
        <v>4554</v>
      </c>
      <c r="I3003" s="0" t="s">
        <v>4981</v>
      </c>
      <c r="J3003" s="18" t="s">
        <v>24</v>
      </c>
    </row>
    <row r="3004" customFormat="false" ht="15" hidden="false" customHeight="false" outlineLevel="0" collapsed="false">
      <c r="A3004" s="0" t="s">
        <v>2509</v>
      </c>
      <c r="B3004" s="0" t="s">
        <v>134</v>
      </c>
      <c r="C3004" s="0" t="s">
        <v>3447</v>
      </c>
      <c r="D3004" s="0" t="s">
        <v>3448</v>
      </c>
      <c r="E3004" s="0" t="s">
        <v>4963</v>
      </c>
      <c r="F3004" s="0" t="s">
        <v>30</v>
      </c>
      <c r="G3004" s="0" t="s">
        <v>4980</v>
      </c>
      <c r="H3004" s="0" t="s">
        <v>4791</v>
      </c>
      <c r="I3004" s="0" t="s">
        <v>4981</v>
      </c>
      <c r="J3004" s="18" t="s">
        <v>24</v>
      </c>
    </row>
    <row r="3005" customFormat="false" ht="15" hidden="false" customHeight="false" outlineLevel="0" collapsed="false">
      <c r="A3005" s="0" t="s">
        <v>2523</v>
      </c>
      <c r="B3005" s="0" t="s">
        <v>134</v>
      </c>
      <c r="C3005" s="0" t="s">
        <v>3447</v>
      </c>
      <c r="D3005" s="0" t="s">
        <v>3457</v>
      </c>
      <c r="E3005" s="0" t="s">
        <v>4963</v>
      </c>
      <c r="F3005" s="0" t="s">
        <v>60</v>
      </c>
      <c r="G3005" s="0" t="s">
        <v>4964</v>
      </c>
      <c r="H3005" s="0" t="s">
        <v>5962</v>
      </c>
      <c r="I3005" s="0" t="s">
        <v>4966</v>
      </c>
      <c r="J3005" s="19" t="s">
        <v>26</v>
      </c>
    </row>
    <row r="3006" customFormat="false" ht="15" hidden="false" customHeight="false" outlineLevel="0" collapsed="false">
      <c r="A3006" s="0" t="s">
        <v>2523</v>
      </c>
      <c r="B3006" s="0" t="s">
        <v>134</v>
      </c>
      <c r="C3006" s="0" t="s">
        <v>3450</v>
      </c>
      <c r="D3006" s="0" t="s">
        <v>3457</v>
      </c>
      <c r="E3006" s="0" t="s">
        <v>4963</v>
      </c>
      <c r="F3006" s="0" t="s">
        <v>59</v>
      </c>
      <c r="G3006" s="0" t="s">
        <v>4974</v>
      </c>
      <c r="H3006" s="0" t="s">
        <v>69</v>
      </c>
      <c r="I3006" s="0" t="s">
        <v>4975</v>
      </c>
      <c r="J3006" s="20" t="s">
        <v>25</v>
      </c>
    </row>
    <row r="3007" customFormat="false" ht="15" hidden="false" customHeight="false" outlineLevel="0" collapsed="false">
      <c r="A3007" s="0" t="s">
        <v>2523</v>
      </c>
      <c r="B3007" s="0" t="s">
        <v>134</v>
      </c>
      <c r="C3007" s="0" t="s">
        <v>3450</v>
      </c>
      <c r="D3007" s="0" t="s">
        <v>3448</v>
      </c>
      <c r="E3007" s="0" t="s">
        <v>4963</v>
      </c>
      <c r="F3007" s="0" t="s">
        <v>59</v>
      </c>
      <c r="G3007" s="0" t="s">
        <v>4974</v>
      </c>
      <c r="H3007" s="0" t="s">
        <v>69</v>
      </c>
      <c r="I3007" s="0" t="s">
        <v>4975</v>
      </c>
      <c r="J3007" s="20" t="s">
        <v>25</v>
      </c>
    </row>
    <row r="3008" customFormat="false" ht="15" hidden="false" customHeight="false" outlineLevel="0" collapsed="false">
      <c r="A3008" s="0" t="s">
        <v>2523</v>
      </c>
      <c r="B3008" s="0" t="s">
        <v>134</v>
      </c>
      <c r="C3008" s="0" t="s">
        <v>3450</v>
      </c>
      <c r="D3008" s="0" t="s">
        <v>3448</v>
      </c>
      <c r="E3008" s="0" t="s">
        <v>4969</v>
      </c>
      <c r="F3008" s="0" t="s">
        <v>61</v>
      </c>
      <c r="G3008" s="0" t="s">
        <v>4970</v>
      </c>
      <c r="H3008" s="0" t="s">
        <v>5963</v>
      </c>
      <c r="I3008" s="0" t="s">
        <v>4972</v>
      </c>
      <c r="J3008" s="20" t="s">
        <v>25</v>
      </c>
    </row>
    <row r="3009" customFormat="false" ht="15" hidden="false" customHeight="false" outlineLevel="0" collapsed="false">
      <c r="A3009" s="0" t="s">
        <v>2523</v>
      </c>
      <c r="B3009" s="0" t="s">
        <v>134</v>
      </c>
      <c r="C3009" s="0" t="s">
        <v>3450</v>
      </c>
      <c r="D3009" s="0" t="s">
        <v>3448</v>
      </c>
      <c r="E3009" s="0" t="s">
        <v>4969</v>
      </c>
      <c r="F3009" s="0" t="s">
        <v>64</v>
      </c>
      <c r="G3009" s="0" t="s">
        <v>4220</v>
      </c>
      <c r="H3009" s="0" t="s">
        <v>5964</v>
      </c>
      <c r="I3009" s="0" t="s">
        <v>4991</v>
      </c>
      <c r="J3009" s="20" t="s">
        <v>25</v>
      </c>
    </row>
    <row r="3010" customFormat="false" ht="15" hidden="false" customHeight="false" outlineLevel="0" collapsed="false">
      <c r="A3010" s="0" t="s">
        <v>2523</v>
      </c>
      <c r="B3010" s="0" t="s">
        <v>134</v>
      </c>
      <c r="C3010" s="0" t="s">
        <v>3447</v>
      </c>
      <c r="D3010" s="0" t="s">
        <v>3448</v>
      </c>
      <c r="E3010" s="0" t="s">
        <v>4969</v>
      </c>
      <c r="F3010" s="0" t="s">
        <v>64</v>
      </c>
      <c r="G3010" s="0" t="s">
        <v>4220</v>
      </c>
      <c r="H3010" s="0" t="s">
        <v>5964</v>
      </c>
      <c r="I3010" s="0" t="s">
        <v>4991</v>
      </c>
      <c r="J3010" s="20" t="s">
        <v>25</v>
      </c>
    </row>
    <row r="3011" customFormat="false" ht="15" hidden="false" customHeight="false" outlineLevel="0" collapsed="false">
      <c r="A3011" s="0" t="s">
        <v>2523</v>
      </c>
      <c r="B3011" s="0" t="s">
        <v>134</v>
      </c>
      <c r="C3011" s="0" t="s">
        <v>3450</v>
      </c>
      <c r="D3011" s="0" t="s">
        <v>3457</v>
      </c>
      <c r="E3011" s="0" t="s">
        <v>4963</v>
      </c>
      <c r="F3011" s="0" t="s">
        <v>30</v>
      </c>
      <c r="G3011" s="0" t="s">
        <v>4980</v>
      </c>
      <c r="H3011" s="0" t="s">
        <v>4242</v>
      </c>
      <c r="I3011" s="0" t="s">
        <v>4981</v>
      </c>
      <c r="J3011" s="18" t="s">
        <v>24</v>
      </c>
    </row>
    <row r="3012" customFormat="false" ht="15" hidden="false" customHeight="false" outlineLevel="0" collapsed="false">
      <c r="A3012" s="0" t="s">
        <v>2523</v>
      </c>
      <c r="B3012" s="0" t="s">
        <v>134</v>
      </c>
      <c r="C3012" s="0" t="s">
        <v>3450</v>
      </c>
      <c r="D3012" s="0" t="s">
        <v>3448</v>
      </c>
      <c r="E3012" s="0" t="s">
        <v>4963</v>
      </c>
      <c r="F3012" s="0" t="s">
        <v>30</v>
      </c>
      <c r="G3012" s="0" t="s">
        <v>4980</v>
      </c>
      <c r="H3012" s="0" t="s">
        <v>4265</v>
      </c>
      <c r="I3012" s="0" t="s">
        <v>4981</v>
      </c>
      <c r="J3012" s="18" t="s">
        <v>24</v>
      </c>
    </row>
    <row r="3013" customFormat="false" ht="15" hidden="false" customHeight="false" outlineLevel="0" collapsed="false">
      <c r="A3013" s="0" t="s">
        <v>2529</v>
      </c>
      <c r="B3013" s="0" t="s">
        <v>134</v>
      </c>
      <c r="C3013" s="0" t="s">
        <v>3447</v>
      </c>
      <c r="D3013" s="0" t="s">
        <v>3448</v>
      </c>
      <c r="E3013" s="0" t="s">
        <v>4963</v>
      </c>
      <c r="F3013" s="0" t="s">
        <v>59</v>
      </c>
      <c r="G3013" s="0" t="s">
        <v>4974</v>
      </c>
      <c r="H3013" s="0" t="s">
        <v>69</v>
      </c>
      <c r="I3013" s="0" t="s">
        <v>4975</v>
      </c>
      <c r="J3013" s="20" t="s">
        <v>25</v>
      </c>
    </row>
    <row r="3014" customFormat="false" ht="15" hidden="false" customHeight="false" outlineLevel="0" collapsed="false">
      <c r="A3014" s="0" t="s">
        <v>2529</v>
      </c>
      <c r="B3014" s="0" t="s">
        <v>134</v>
      </c>
      <c r="C3014" s="0" t="s">
        <v>3447</v>
      </c>
      <c r="D3014" s="0" t="s">
        <v>3448</v>
      </c>
      <c r="E3014" s="0" t="s">
        <v>4963</v>
      </c>
      <c r="F3014" s="0" t="s">
        <v>30</v>
      </c>
      <c r="G3014" s="0" t="s">
        <v>4980</v>
      </c>
      <c r="H3014" s="0" t="s">
        <v>4275</v>
      </c>
      <c r="I3014" s="0" t="s">
        <v>4981</v>
      </c>
      <c r="J3014" s="18" t="s">
        <v>24</v>
      </c>
    </row>
    <row r="3015" customFormat="false" ht="15" hidden="false" customHeight="false" outlineLevel="0" collapsed="false">
      <c r="A3015" s="0" t="s">
        <v>2534</v>
      </c>
      <c r="B3015" s="0" t="s">
        <v>134</v>
      </c>
      <c r="C3015" s="0" t="s">
        <v>3447</v>
      </c>
      <c r="D3015" s="0" t="s">
        <v>3457</v>
      </c>
      <c r="E3015" s="0" t="s">
        <v>4963</v>
      </c>
      <c r="F3015" s="0" t="s">
        <v>60</v>
      </c>
      <c r="G3015" s="0" t="s">
        <v>4964</v>
      </c>
      <c r="H3015" s="0" t="s">
        <v>5965</v>
      </c>
      <c r="I3015" s="0" t="s">
        <v>4966</v>
      </c>
      <c r="J3015" s="19" t="s">
        <v>26</v>
      </c>
    </row>
    <row r="3016" customFormat="false" ht="15" hidden="false" customHeight="false" outlineLevel="0" collapsed="false">
      <c r="A3016" s="0" t="s">
        <v>2534</v>
      </c>
      <c r="B3016" s="0" t="s">
        <v>3459</v>
      </c>
      <c r="C3016" s="0" t="s">
        <v>3447</v>
      </c>
      <c r="D3016" s="0" t="s">
        <v>3457</v>
      </c>
      <c r="E3016" s="0" t="s">
        <v>4963</v>
      </c>
      <c r="F3016" s="0" t="s">
        <v>60</v>
      </c>
      <c r="G3016" s="0" t="s">
        <v>4964</v>
      </c>
      <c r="H3016" s="0" t="s">
        <v>5966</v>
      </c>
      <c r="I3016" s="0" t="s">
        <v>4966</v>
      </c>
      <c r="J3016" s="19" t="s">
        <v>26</v>
      </c>
    </row>
    <row r="3017" customFormat="false" ht="15" hidden="false" customHeight="false" outlineLevel="0" collapsed="false">
      <c r="A3017" s="0" t="s">
        <v>2534</v>
      </c>
      <c r="B3017" s="0" t="s">
        <v>134</v>
      </c>
      <c r="C3017" s="0" t="s">
        <v>3450</v>
      </c>
      <c r="D3017" s="0" t="s">
        <v>3457</v>
      </c>
      <c r="E3017" s="0" t="s">
        <v>4963</v>
      </c>
      <c r="F3017" s="0" t="s">
        <v>59</v>
      </c>
      <c r="G3017" s="0" t="s">
        <v>4974</v>
      </c>
      <c r="H3017" s="0" t="s">
        <v>69</v>
      </c>
      <c r="I3017" s="0" t="s">
        <v>4975</v>
      </c>
      <c r="J3017" s="20" t="s">
        <v>25</v>
      </c>
    </row>
    <row r="3018" customFormat="false" ht="15" hidden="false" customHeight="false" outlineLevel="0" collapsed="false">
      <c r="A3018" s="0" t="s">
        <v>2534</v>
      </c>
      <c r="B3018" s="0" t="s">
        <v>134</v>
      </c>
      <c r="C3018" s="0" t="s">
        <v>3450</v>
      </c>
      <c r="D3018" s="0" t="s">
        <v>3457</v>
      </c>
      <c r="E3018" s="0" t="s">
        <v>4969</v>
      </c>
      <c r="F3018" s="0" t="s">
        <v>61</v>
      </c>
      <c r="G3018" s="0" t="s">
        <v>4970</v>
      </c>
      <c r="H3018" s="0" t="s">
        <v>5967</v>
      </c>
      <c r="I3018" s="0" t="s">
        <v>4972</v>
      </c>
      <c r="J3018" s="20" t="s">
        <v>25</v>
      </c>
    </row>
    <row r="3019" customFormat="false" ht="15" hidden="false" customHeight="false" outlineLevel="0" collapsed="false">
      <c r="A3019" s="0" t="s">
        <v>2534</v>
      </c>
      <c r="B3019" s="0" t="s">
        <v>134</v>
      </c>
      <c r="C3019" s="0" t="s">
        <v>3450</v>
      </c>
      <c r="D3019" s="0" t="s">
        <v>3448</v>
      </c>
      <c r="E3019" s="0" t="s">
        <v>4963</v>
      </c>
      <c r="F3019" s="0" t="s">
        <v>59</v>
      </c>
      <c r="G3019" s="0" t="s">
        <v>4974</v>
      </c>
      <c r="H3019" s="0" t="s">
        <v>69</v>
      </c>
      <c r="I3019" s="0" t="s">
        <v>4975</v>
      </c>
      <c r="J3019" s="20" t="s">
        <v>25</v>
      </c>
    </row>
    <row r="3020" customFormat="false" ht="15" hidden="false" customHeight="false" outlineLevel="0" collapsed="false">
      <c r="A3020" s="0" t="s">
        <v>2534</v>
      </c>
      <c r="B3020" s="0" t="s">
        <v>134</v>
      </c>
      <c r="C3020" s="0" t="s">
        <v>3450</v>
      </c>
      <c r="D3020" s="0" t="s">
        <v>3448</v>
      </c>
      <c r="E3020" s="0" t="s">
        <v>4969</v>
      </c>
      <c r="F3020" s="0" t="s">
        <v>61</v>
      </c>
      <c r="G3020" s="0" t="s">
        <v>4970</v>
      </c>
      <c r="H3020" s="0" t="s">
        <v>5968</v>
      </c>
      <c r="I3020" s="0" t="s">
        <v>4972</v>
      </c>
      <c r="J3020" s="20" t="s">
        <v>25</v>
      </c>
    </row>
    <row r="3021" customFormat="false" ht="15" hidden="false" customHeight="false" outlineLevel="0" collapsed="false">
      <c r="A3021" s="0" t="s">
        <v>2534</v>
      </c>
      <c r="B3021" s="0" t="s">
        <v>134</v>
      </c>
      <c r="C3021" s="0" t="s">
        <v>3447</v>
      </c>
      <c r="D3021" s="0" t="s">
        <v>3448</v>
      </c>
      <c r="E3021" s="0" t="s">
        <v>4969</v>
      </c>
      <c r="F3021" s="0" t="s">
        <v>61</v>
      </c>
      <c r="G3021" s="0" t="s">
        <v>4970</v>
      </c>
      <c r="H3021" s="0" t="s">
        <v>5969</v>
      </c>
      <c r="I3021" s="0" t="s">
        <v>4972</v>
      </c>
      <c r="J3021" s="20" t="s">
        <v>25</v>
      </c>
    </row>
    <row r="3022" customFormat="false" ht="15" hidden="false" customHeight="false" outlineLevel="0" collapsed="false">
      <c r="A3022" s="0" t="s">
        <v>2534</v>
      </c>
      <c r="B3022" s="0" t="s">
        <v>3459</v>
      </c>
      <c r="C3022" s="0" t="s">
        <v>3450</v>
      </c>
      <c r="D3022" s="0" t="s">
        <v>3457</v>
      </c>
      <c r="E3022" s="0" t="s">
        <v>4963</v>
      </c>
      <c r="F3022" s="0" t="s">
        <v>59</v>
      </c>
      <c r="G3022" s="0" t="s">
        <v>4974</v>
      </c>
      <c r="H3022" s="0" t="s">
        <v>69</v>
      </c>
      <c r="I3022" s="0" t="s">
        <v>4975</v>
      </c>
      <c r="J3022" s="20" t="s">
        <v>25</v>
      </c>
    </row>
    <row r="3023" customFormat="false" ht="15" hidden="false" customHeight="false" outlineLevel="0" collapsed="false">
      <c r="A3023" s="0" t="s">
        <v>2534</v>
      </c>
      <c r="B3023" s="0" t="s">
        <v>3459</v>
      </c>
      <c r="C3023" s="0" t="s">
        <v>3450</v>
      </c>
      <c r="D3023" s="0" t="s">
        <v>3457</v>
      </c>
      <c r="E3023" s="0" t="s">
        <v>4969</v>
      </c>
      <c r="F3023" s="0" t="s">
        <v>61</v>
      </c>
      <c r="G3023" s="0" t="s">
        <v>4970</v>
      </c>
      <c r="H3023" s="0" t="s">
        <v>5970</v>
      </c>
      <c r="I3023" s="0" t="s">
        <v>4972</v>
      </c>
      <c r="J3023" s="20" t="s">
        <v>25</v>
      </c>
    </row>
    <row r="3024" customFormat="false" ht="15" hidden="false" customHeight="false" outlineLevel="0" collapsed="false">
      <c r="A3024" s="0" t="s">
        <v>2534</v>
      </c>
      <c r="B3024" s="0" t="s">
        <v>3459</v>
      </c>
      <c r="C3024" s="0" t="s">
        <v>3450</v>
      </c>
      <c r="D3024" s="0" t="s">
        <v>3457</v>
      </c>
      <c r="E3024" s="0" t="s">
        <v>4969</v>
      </c>
      <c r="F3024" s="0" t="s">
        <v>62</v>
      </c>
      <c r="G3024" s="0" t="s">
        <v>5003</v>
      </c>
      <c r="H3024" s="0" t="s">
        <v>5971</v>
      </c>
      <c r="I3024" s="0" t="s">
        <v>5005</v>
      </c>
      <c r="J3024" s="20" t="s">
        <v>25</v>
      </c>
    </row>
    <row r="3025" customFormat="false" ht="15" hidden="false" customHeight="false" outlineLevel="0" collapsed="false">
      <c r="A3025" s="0" t="s">
        <v>2534</v>
      </c>
      <c r="B3025" s="0" t="s">
        <v>3459</v>
      </c>
      <c r="C3025" s="0" t="s">
        <v>3450</v>
      </c>
      <c r="D3025" s="0" t="s">
        <v>3448</v>
      </c>
      <c r="E3025" s="0" t="s">
        <v>4963</v>
      </c>
      <c r="F3025" s="0" t="s">
        <v>59</v>
      </c>
      <c r="G3025" s="0" t="s">
        <v>4974</v>
      </c>
      <c r="H3025" s="0" t="s">
        <v>69</v>
      </c>
      <c r="I3025" s="0" t="s">
        <v>4975</v>
      </c>
      <c r="J3025" s="20" t="s">
        <v>25</v>
      </c>
    </row>
    <row r="3026" customFormat="false" ht="15" hidden="false" customHeight="false" outlineLevel="0" collapsed="false">
      <c r="A3026" s="0" t="s">
        <v>2534</v>
      </c>
      <c r="B3026" s="0" t="s">
        <v>3459</v>
      </c>
      <c r="C3026" s="0" t="s">
        <v>3450</v>
      </c>
      <c r="D3026" s="0" t="s">
        <v>3448</v>
      </c>
      <c r="E3026" s="0" t="s">
        <v>4969</v>
      </c>
      <c r="F3026" s="0" t="s">
        <v>62</v>
      </c>
      <c r="G3026" s="0" t="s">
        <v>5003</v>
      </c>
      <c r="H3026" s="0" t="s">
        <v>5972</v>
      </c>
      <c r="I3026" s="0" t="s">
        <v>5005</v>
      </c>
      <c r="J3026" s="20" t="s">
        <v>25</v>
      </c>
    </row>
    <row r="3027" customFormat="false" ht="15" hidden="false" customHeight="false" outlineLevel="0" collapsed="false">
      <c r="A3027" s="0" t="s">
        <v>2534</v>
      </c>
      <c r="B3027" s="0" t="s">
        <v>3459</v>
      </c>
      <c r="C3027" s="0" t="s">
        <v>3447</v>
      </c>
      <c r="D3027" s="0" t="s">
        <v>3457</v>
      </c>
      <c r="E3027" s="0" t="s">
        <v>4963</v>
      </c>
      <c r="F3027" s="0" t="s">
        <v>59</v>
      </c>
      <c r="G3027" s="0" t="s">
        <v>4974</v>
      </c>
      <c r="H3027" s="0" t="s">
        <v>69</v>
      </c>
      <c r="I3027" s="0" t="s">
        <v>4975</v>
      </c>
      <c r="J3027" s="20" t="s">
        <v>25</v>
      </c>
    </row>
    <row r="3028" customFormat="false" ht="15" hidden="false" customHeight="false" outlineLevel="0" collapsed="false">
      <c r="A3028" s="0" t="s">
        <v>2534</v>
      </c>
      <c r="B3028" s="0" t="s">
        <v>3459</v>
      </c>
      <c r="C3028" s="0" t="s">
        <v>3447</v>
      </c>
      <c r="D3028" s="0" t="s">
        <v>3457</v>
      </c>
      <c r="E3028" s="0" t="s">
        <v>4969</v>
      </c>
      <c r="F3028" s="0" t="s">
        <v>61</v>
      </c>
      <c r="G3028" s="0" t="s">
        <v>4970</v>
      </c>
      <c r="H3028" s="0" t="s">
        <v>5973</v>
      </c>
      <c r="I3028" s="0" t="s">
        <v>4972</v>
      </c>
      <c r="J3028" s="20" t="s">
        <v>25</v>
      </c>
    </row>
    <row r="3029" customFormat="false" ht="15" hidden="false" customHeight="false" outlineLevel="0" collapsed="false">
      <c r="A3029" s="0" t="s">
        <v>2534</v>
      </c>
      <c r="B3029" s="0" t="s">
        <v>3459</v>
      </c>
      <c r="C3029" s="0" t="s">
        <v>3447</v>
      </c>
      <c r="D3029" s="0" t="s">
        <v>3448</v>
      </c>
      <c r="E3029" s="0" t="s">
        <v>4963</v>
      </c>
      <c r="F3029" s="0" t="s">
        <v>59</v>
      </c>
      <c r="G3029" s="0" t="s">
        <v>4974</v>
      </c>
      <c r="H3029" s="0" t="s">
        <v>69</v>
      </c>
      <c r="I3029" s="0" t="s">
        <v>4975</v>
      </c>
      <c r="J3029" s="20" t="s">
        <v>25</v>
      </c>
    </row>
    <row r="3030" customFormat="false" ht="15" hidden="false" customHeight="false" outlineLevel="0" collapsed="false">
      <c r="A3030" s="0" t="s">
        <v>2534</v>
      </c>
      <c r="B3030" s="0" t="s">
        <v>3459</v>
      </c>
      <c r="C3030" s="0" t="s">
        <v>3447</v>
      </c>
      <c r="D3030" s="0" t="s">
        <v>3448</v>
      </c>
      <c r="E3030" s="0" t="s">
        <v>4969</v>
      </c>
      <c r="F3030" s="0" t="s">
        <v>66</v>
      </c>
      <c r="G3030" s="0" t="s">
        <v>4970</v>
      </c>
      <c r="H3030" s="0" t="s">
        <v>5974</v>
      </c>
      <c r="I3030" s="0" t="s">
        <v>5030</v>
      </c>
      <c r="J3030" s="20" t="s">
        <v>25</v>
      </c>
    </row>
    <row r="3031" customFormat="false" ht="15" hidden="false" customHeight="false" outlineLevel="0" collapsed="false">
      <c r="A3031" s="0" t="s">
        <v>2534</v>
      </c>
      <c r="B3031" s="0" t="s">
        <v>134</v>
      </c>
      <c r="C3031" s="0" t="s">
        <v>3450</v>
      </c>
      <c r="D3031" s="0" t="s">
        <v>3457</v>
      </c>
      <c r="E3031" s="0" t="s">
        <v>4963</v>
      </c>
      <c r="F3031" s="0" t="s">
        <v>30</v>
      </c>
      <c r="G3031" s="0" t="s">
        <v>4980</v>
      </c>
      <c r="H3031" s="0" t="s">
        <v>4275</v>
      </c>
      <c r="I3031" s="0" t="s">
        <v>4981</v>
      </c>
      <c r="J3031" s="18" t="s">
        <v>24</v>
      </c>
    </row>
    <row r="3032" customFormat="false" ht="15" hidden="false" customHeight="false" outlineLevel="0" collapsed="false">
      <c r="A3032" s="0" t="s">
        <v>2534</v>
      </c>
      <c r="B3032" s="0" t="s">
        <v>134</v>
      </c>
      <c r="C3032" s="0" t="s">
        <v>3450</v>
      </c>
      <c r="D3032" s="0" t="s">
        <v>3448</v>
      </c>
      <c r="E3032" s="0" t="s">
        <v>4963</v>
      </c>
      <c r="F3032" s="0" t="s">
        <v>30</v>
      </c>
      <c r="G3032" s="0" t="s">
        <v>4980</v>
      </c>
      <c r="H3032" s="0" t="s">
        <v>4275</v>
      </c>
      <c r="I3032" s="0" t="s">
        <v>4981</v>
      </c>
      <c r="J3032" s="18" t="s">
        <v>24</v>
      </c>
    </row>
    <row r="3033" customFormat="false" ht="15" hidden="false" customHeight="false" outlineLevel="0" collapsed="false">
      <c r="A3033" s="0" t="s">
        <v>2534</v>
      </c>
      <c r="B3033" s="0" t="s">
        <v>134</v>
      </c>
      <c r="C3033" s="0" t="s">
        <v>3447</v>
      </c>
      <c r="D3033" s="0" t="s">
        <v>3448</v>
      </c>
      <c r="E3033" s="0" t="s">
        <v>4963</v>
      </c>
      <c r="F3033" s="0" t="s">
        <v>30</v>
      </c>
      <c r="G3033" s="0" t="s">
        <v>4980</v>
      </c>
      <c r="H3033" s="0" t="s">
        <v>4683</v>
      </c>
      <c r="I3033" s="0" t="s">
        <v>4981</v>
      </c>
      <c r="J3033" s="18" t="s">
        <v>24</v>
      </c>
    </row>
    <row r="3034" customFormat="false" ht="15" hidden="false" customHeight="false" outlineLevel="0" collapsed="false">
      <c r="A3034" s="0" t="s">
        <v>2534</v>
      </c>
      <c r="B3034" s="0" t="s">
        <v>3459</v>
      </c>
      <c r="C3034" s="0" t="s">
        <v>3450</v>
      </c>
      <c r="D3034" s="0" t="s">
        <v>3457</v>
      </c>
      <c r="E3034" s="0" t="s">
        <v>4963</v>
      </c>
      <c r="F3034" s="0" t="s">
        <v>30</v>
      </c>
      <c r="G3034" s="0" t="s">
        <v>4980</v>
      </c>
      <c r="H3034" s="0" t="s">
        <v>4275</v>
      </c>
      <c r="I3034" s="0" t="s">
        <v>4981</v>
      </c>
      <c r="J3034" s="18" t="s">
        <v>24</v>
      </c>
    </row>
    <row r="3035" customFormat="false" ht="15" hidden="false" customHeight="false" outlineLevel="0" collapsed="false">
      <c r="A3035" s="0" t="s">
        <v>2534</v>
      </c>
      <c r="B3035" s="0" t="s">
        <v>3459</v>
      </c>
      <c r="C3035" s="0" t="s">
        <v>3450</v>
      </c>
      <c r="D3035" s="0" t="s">
        <v>3448</v>
      </c>
      <c r="E3035" s="0" t="s">
        <v>4963</v>
      </c>
      <c r="F3035" s="0" t="s">
        <v>30</v>
      </c>
      <c r="G3035" s="0" t="s">
        <v>4980</v>
      </c>
      <c r="H3035" s="0" t="s">
        <v>4265</v>
      </c>
      <c r="I3035" s="0" t="s">
        <v>4981</v>
      </c>
      <c r="J3035" s="18" t="s">
        <v>24</v>
      </c>
    </row>
    <row r="3036" customFormat="false" ht="15" hidden="false" customHeight="false" outlineLevel="0" collapsed="false">
      <c r="A3036" s="0" t="s">
        <v>2534</v>
      </c>
      <c r="B3036" s="0" t="s">
        <v>3459</v>
      </c>
      <c r="C3036" s="0" t="s">
        <v>3447</v>
      </c>
      <c r="D3036" s="0" t="s">
        <v>3448</v>
      </c>
      <c r="E3036" s="0" t="s">
        <v>4963</v>
      </c>
      <c r="F3036" s="0" t="s">
        <v>30</v>
      </c>
      <c r="G3036" s="0" t="s">
        <v>4980</v>
      </c>
      <c r="H3036" s="0" t="s">
        <v>4795</v>
      </c>
      <c r="I3036" s="0" t="s">
        <v>4981</v>
      </c>
      <c r="J3036" s="18" t="s">
        <v>24</v>
      </c>
    </row>
    <row r="3037" customFormat="false" ht="15" hidden="false" customHeight="false" outlineLevel="0" collapsed="false">
      <c r="A3037" s="0" t="s">
        <v>2541</v>
      </c>
      <c r="B3037" s="0" t="s">
        <v>134</v>
      </c>
      <c r="C3037" s="0" t="s">
        <v>3450</v>
      </c>
      <c r="D3037" s="0" t="s">
        <v>3448</v>
      </c>
      <c r="E3037" s="0" t="s">
        <v>4963</v>
      </c>
      <c r="F3037" s="0" t="s">
        <v>59</v>
      </c>
      <c r="G3037" s="0" t="s">
        <v>4974</v>
      </c>
      <c r="H3037" s="0" t="s">
        <v>69</v>
      </c>
      <c r="I3037" s="0" t="s">
        <v>4975</v>
      </c>
      <c r="J3037" s="20" t="s">
        <v>25</v>
      </c>
    </row>
    <row r="3038" customFormat="false" ht="15" hidden="false" customHeight="false" outlineLevel="0" collapsed="false">
      <c r="A3038" s="0" t="s">
        <v>2541</v>
      </c>
      <c r="B3038" s="0" t="s">
        <v>134</v>
      </c>
      <c r="C3038" s="0" t="s">
        <v>3450</v>
      </c>
      <c r="D3038" s="0" t="s">
        <v>3448</v>
      </c>
      <c r="E3038" s="0" t="s">
        <v>4963</v>
      </c>
      <c r="F3038" s="0" t="s">
        <v>30</v>
      </c>
      <c r="G3038" s="0" t="s">
        <v>4980</v>
      </c>
      <c r="H3038" s="0" t="s">
        <v>4242</v>
      </c>
      <c r="I3038" s="0" t="s">
        <v>4981</v>
      </c>
      <c r="J3038" s="18" t="s">
        <v>24</v>
      </c>
    </row>
    <row r="3039" customFormat="false" ht="15" hidden="false" customHeight="false" outlineLevel="0" collapsed="false">
      <c r="A3039" s="0" t="s">
        <v>2541</v>
      </c>
      <c r="B3039" s="0" t="s">
        <v>134</v>
      </c>
      <c r="C3039" s="0" t="s">
        <v>3447</v>
      </c>
      <c r="D3039" s="0" t="s">
        <v>3448</v>
      </c>
      <c r="E3039" s="0" t="s">
        <v>4963</v>
      </c>
      <c r="F3039" s="0" t="s">
        <v>30</v>
      </c>
      <c r="G3039" s="0" t="s">
        <v>4980</v>
      </c>
      <c r="H3039" s="0" t="s">
        <v>4373</v>
      </c>
      <c r="I3039" s="0" t="s">
        <v>4981</v>
      </c>
      <c r="J3039" s="18" t="s">
        <v>24</v>
      </c>
    </row>
    <row r="3040" customFormat="false" ht="15" hidden="false" customHeight="false" outlineLevel="0" collapsed="false">
      <c r="A3040" s="0" t="s">
        <v>2550</v>
      </c>
      <c r="B3040" s="0" t="s">
        <v>134</v>
      </c>
      <c r="C3040" s="0" t="s">
        <v>3447</v>
      </c>
      <c r="D3040" s="0" t="s">
        <v>3448</v>
      </c>
      <c r="E3040" s="0" t="s">
        <v>4963</v>
      </c>
      <c r="F3040" s="0" t="s">
        <v>60</v>
      </c>
      <c r="G3040" s="0" t="s">
        <v>4964</v>
      </c>
      <c r="H3040" s="0" t="s">
        <v>5016</v>
      </c>
      <c r="I3040" s="0" t="s">
        <v>4966</v>
      </c>
      <c r="J3040" s="19" t="s">
        <v>26</v>
      </c>
    </row>
    <row r="3041" customFormat="false" ht="15" hidden="false" customHeight="false" outlineLevel="0" collapsed="false">
      <c r="A3041" s="0" t="s">
        <v>2550</v>
      </c>
      <c r="B3041" s="0" t="s">
        <v>134</v>
      </c>
      <c r="C3041" s="0" t="s">
        <v>3450</v>
      </c>
      <c r="D3041" s="0" t="s">
        <v>3448</v>
      </c>
      <c r="E3041" s="0" t="s">
        <v>4963</v>
      </c>
      <c r="F3041" s="0" t="s">
        <v>59</v>
      </c>
      <c r="G3041" s="0" t="s">
        <v>4974</v>
      </c>
      <c r="H3041" s="0" t="s">
        <v>69</v>
      </c>
      <c r="I3041" s="0" t="s">
        <v>4975</v>
      </c>
      <c r="J3041" s="20" t="s">
        <v>25</v>
      </c>
    </row>
    <row r="3042" customFormat="false" ht="15" hidden="false" customHeight="false" outlineLevel="0" collapsed="false">
      <c r="A3042" s="0" t="s">
        <v>2550</v>
      </c>
      <c r="B3042" s="0" t="s">
        <v>134</v>
      </c>
      <c r="C3042" s="0" t="s">
        <v>3450</v>
      </c>
      <c r="D3042" s="0" t="s">
        <v>3448</v>
      </c>
      <c r="E3042" s="0" t="s">
        <v>4969</v>
      </c>
      <c r="F3042" s="0" t="s">
        <v>62</v>
      </c>
      <c r="G3042" s="0" t="s">
        <v>5003</v>
      </c>
      <c r="H3042" s="0" t="s">
        <v>5975</v>
      </c>
      <c r="I3042" s="0" t="s">
        <v>5005</v>
      </c>
      <c r="J3042" s="20" t="s">
        <v>25</v>
      </c>
    </row>
    <row r="3043" customFormat="false" ht="15" hidden="false" customHeight="false" outlineLevel="0" collapsed="false">
      <c r="A3043" s="0" t="s">
        <v>2550</v>
      </c>
      <c r="B3043" s="0" t="s">
        <v>134</v>
      </c>
      <c r="C3043" s="0" t="s">
        <v>3447</v>
      </c>
      <c r="D3043" s="0" t="s">
        <v>3448</v>
      </c>
      <c r="E3043" s="0" t="s">
        <v>4963</v>
      </c>
      <c r="F3043" s="0" t="s">
        <v>59</v>
      </c>
      <c r="G3043" s="0" t="s">
        <v>4974</v>
      </c>
      <c r="H3043" s="0" t="s">
        <v>69</v>
      </c>
      <c r="I3043" s="0" t="s">
        <v>4975</v>
      </c>
      <c r="J3043" s="20" t="s">
        <v>25</v>
      </c>
    </row>
    <row r="3044" customFormat="false" ht="15" hidden="false" customHeight="false" outlineLevel="0" collapsed="false">
      <c r="A3044" s="0" t="s">
        <v>2550</v>
      </c>
      <c r="B3044" s="0" t="s">
        <v>134</v>
      </c>
      <c r="C3044" s="0" t="s">
        <v>3450</v>
      </c>
      <c r="D3044" s="0" t="s">
        <v>3448</v>
      </c>
      <c r="E3044" s="0" t="s">
        <v>4963</v>
      </c>
      <c r="F3044" s="0" t="s">
        <v>30</v>
      </c>
      <c r="G3044" s="0" t="s">
        <v>4980</v>
      </c>
      <c r="H3044" s="0" t="s">
        <v>4265</v>
      </c>
      <c r="I3044" s="0" t="s">
        <v>4981</v>
      </c>
      <c r="J3044" s="18" t="s">
        <v>24</v>
      </c>
    </row>
    <row r="3045" customFormat="false" ht="15" hidden="false" customHeight="false" outlineLevel="0" collapsed="false">
      <c r="A3045" s="0" t="s">
        <v>2550</v>
      </c>
      <c r="B3045" s="0" t="s">
        <v>134</v>
      </c>
      <c r="C3045" s="0" t="s">
        <v>3447</v>
      </c>
      <c r="D3045" s="0" t="s">
        <v>3457</v>
      </c>
      <c r="E3045" s="0" t="s">
        <v>4963</v>
      </c>
      <c r="F3045" s="0" t="s">
        <v>30</v>
      </c>
      <c r="G3045" s="0" t="s">
        <v>4980</v>
      </c>
      <c r="H3045" s="0" t="s">
        <v>4609</v>
      </c>
      <c r="I3045" s="0" t="s">
        <v>4981</v>
      </c>
      <c r="J3045" s="18" t="s">
        <v>24</v>
      </c>
    </row>
    <row r="3046" customFormat="false" ht="15" hidden="false" customHeight="false" outlineLevel="0" collapsed="false">
      <c r="A3046" s="0" t="s">
        <v>2556</v>
      </c>
      <c r="B3046" s="0" t="s">
        <v>134</v>
      </c>
      <c r="C3046" s="0" t="s">
        <v>3450</v>
      </c>
      <c r="D3046" s="0" t="s">
        <v>3457</v>
      </c>
      <c r="E3046" s="0" t="s">
        <v>4969</v>
      </c>
      <c r="F3046" s="0" t="s">
        <v>62</v>
      </c>
      <c r="G3046" s="0" t="s">
        <v>5003</v>
      </c>
      <c r="H3046" s="0" t="s">
        <v>5976</v>
      </c>
      <c r="I3046" s="0" t="s">
        <v>5005</v>
      </c>
      <c r="J3046" s="20" t="s">
        <v>25</v>
      </c>
    </row>
    <row r="3047" customFormat="false" ht="15" hidden="false" customHeight="false" outlineLevel="0" collapsed="false">
      <c r="A3047" s="0" t="s">
        <v>2556</v>
      </c>
      <c r="B3047" s="0" t="s">
        <v>134</v>
      </c>
      <c r="C3047" s="0" t="s">
        <v>3447</v>
      </c>
      <c r="D3047" s="0" t="s">
        <v>3457</v>
      </c>
      <c r="E3047" s="0" t="s">
        <v>4963</v>
      </c>
      <c r="F3047" s="0" t="s">
        <v>30</v>
      </c>
      <c r="G3047" s="0" t="s">
        <v>4980</v>
      </c>
      <c r="H3047" s="0" t="s">
        <v>4272</v>
      </c>
      <c r="I3047" s="0" t="s">
        <v>4981</v>
      </c>
      <c r="J3047" s="18" t="s">
        <v>24</v>
      </c>
    </row>
    <row r="3048" customFormat="false" ht="15" hidden="false" customHeight="false" outlineLevel="0" collapsed="false">
      <c r="A3048" s="0" t="s">
        <v>2569</v>
      </c>
      <c r="B3048" s="0" t="s">
        <v>134</v>
      </c>
      <c r="C3048" s="0" t="s">
        <v>3450</v>
      </c>
      <c r="D3048" s="0" t="s">
        <v>3448</v>
      </c>
      <c r="E3048" s="0" t="s">
        <v>4969</v>
      </c>
      <c r="F3048" s="0" t="s">
        <v>64</v>
      </c>
      <c r="G3048" s="0" t="s">
        <v>4220</v>
      </c>
      <c r="H3048" s="0" t="s">
        <v>5977</v>
      </c>
      <c r="I3048" s="0" t="s">
        <v>4991</v>
      </c>
      <c r="J3048" s="20" t="s">
        <v>25</v>
      </c>
    </row>
    <row r="3049" customFormat="false" ht="15" hidden="false" customHeight="false" outlineLevel="0" collapsed="false">
      <c r="A3049" s="0" t="s">
        <v>2569</v>
      </c>
      <c r="B3049" s="0" t="s">
        <v>134</v>
      </c>
      <c r="C3049" s="0" t="s">
        <v>3447</v>
      </c>
      <c r="D3049" s="0" t="s">
        <v>3448</v>
      </c>
      <c r="E3049" s="0" t="s">
        <v>4969</v>
      </c>
      <c r="F3049" s="0" t="s">
        <v>64</v>
      </c>
      <c r="G3049" s="0" t="s">
        <v>4220</v>
      </c>
      <c r="H3049" s="0" t="s">
        <v>5977</v>
      </c>
      <c r="I3049" s="0" t="s">
        <v>4991</v>
      </c>
      <c r="J3049" s="20" t="s">
        <v>25</v>
      </c>
    </row>
    <row r="3050" customFormat="false" ht="15" hidden="false" customHeight="false" outlineLevel="0" collapsed="false">
      <c r="A3050" s="0" t="s">
        <v>2574</v>
      </c>
      <c r="B3050" s="0" t="s">
        <v>134</v>
      </c>
      <c r="C3050" s="0" t="s">
        <v>3447</v>
      </c>
      <c r="D3050" s="0" t="s">
        <v>3457</v>
      </c>
      <c r="E3050" s="0" t="s">
        <v>4963</v>
      </c>
      <c r="F3050" s="0" t="s">
        <v>60</v>
      </c>
      <c r="G3050" s="0" t="s">
        <v>4964</v>
      </c>
      <c r="H3050" s="0" t="s">
        <v>5978</v>
      </c>
      <c r="I3050" s="0" t="s">
        <v>4966</v>
      </c>
      <c r="J3050" s="19" t="s">
        <v>26</v>
      </c>
    </row>
    <row r="3051" customFormat="false" ht="15" hidden="false" customHeight="false" outlineLevel="0" collapsed="false">
      <c r="A3051" s="0" t="s">
        <v>2574</v>
      </c>
      <c r="B3051" s="0" t="s">
        <v>134</v>
      </c>
      <c r="C3051" s="0" t="s">
        <v>3450</v>
      </c>
      <c r="D3051" s="0" t="s">
        <v>3448</v>
      </c>
      <c r="E3051" s="0" t="s">
        <v>4963</v>
      </c>
      <c r="F3051" s="0" t="s">
        <v>59</v>
      </c>
      <c r="G3051" s="0" t="s">
        <v>4974</v>
      </c>
      <c r="H3051" s="0" t="s">
        <v>70</v>
      </c>
      <c r="I3051" s="0" t="s">
        <v>4975</v>
      </c>
      <c r="J3051" s="20" t="s">
        <v>25</v>
      </c>
    </row>
    <row r="3052" customFormat="false" ht="15" hidden="false" customHeight="false" outlineLevel="0" collapsed="false">
      <c r="A3052" s="0" t="s">
        <v>2574</v>
      </c>
      <c r="B3052" s="0" t="s">
        <v>134</v>
      </c>
      <c r="C3052" s="0" t="s">
        <v>3450</v>
      </c>
      <c r="D3052" s="0" t="s">
        <v>3448</v>
      </c>
      <c r="E3052" s="0" t="s">
        <v>4969</v>
      </c>
      <c r="F3052" s="0" t="s">
        <v>61</v>
      </c>
      <c r="G3052" s="0" t="s">
        <v>4970</v>
      </c>
      <c r="H3052" s="0" t="s">
        <v>5979</v>
      </c>
      <c r="I3052" s="0" t="s">
        <v>4972</v>
      </c>
      <c r="J3052" s="20" t="s">
        <v>25</v>
      </c>
    </row>
    <row r="3053" customFormat="false" ht="15" hidden="false" customHeight="false" outlineLevel="0" collapsed="false">
      <c r="A3053" s="0" t="s">
        <v>2574</v>
      </c>
      <c r="B3053" s="0" t="s">
        <v>134</v>
      </c>
      <c r="C3053" s="0" t="s">
        <v>3450</v>
      </c>
      <c r="D3053" s="0" t="s">
        <v>3448</v>
      </c>
      <c r="E3053" s="0" t="s">
        <v>4969</v>
      </c>
      <c r="F3053" s="0" t="s">
        <v>63</v>
      </c>
      <c r="G3053" s="0" t="s">
        <v>4220</v>
      </c>
      <c r="H3053" s="0" t="s">
        <v>5980</v>
      </c>
      <c r="I3053" s="0" t="s">
        <v>4979</v>
      </c>
      <c r="J3053" s="20" t="s">
        <v>25</v>
      </c>
    </row>
    <row r="3054" customFormat="false" ht="15" hidden="false" customHeight="false" outlineLevel="0" collapsed="false">
      <c r="A3054" s="0" t="s">
        <v>2574</v>
      </c>
      <c r="B3054" s="0" t="s">
        <v>134</v>
      </c>
      <c r="C3054" s="0" t="s">
        <v>3447</v>
      </c>
      <c r="D3054" s="0" t="s">
        <v>3448</v>
      </c>
      <c r="E3054" s="0" t="s">
        <v>4969</v>
      </c>
      <c r="F3054" s="0" t="s">
        <v>63</v>
      </c>
      <c r="G3054" s="0" t="s">
        <v>4220</v>
      </c>
      <c r="H3054" s="0" t="s">
        <v>5980</v>
      </c>
      <c r="I3054" s="0" t="s">
        <v>4979</v>
      </c>
      <c r="J3054" s="20" t="s">
        <v>25</v>
      </c>
    </row>
    <row r="3055" customFormat="false" ht="15" hidden="false" customHeight="false" outlineLevel="0" collapsed="false">
      <c r="A3055" s="0" t="s">
        <v>2574</v>
      </c>
      <c r="B3055" s="0" t="s">
        <v>134</v>
      </c>
      <c r="C3055" s="0" t="s">
        <v>3450</v>
      </c>
      <c r="D3055" s="0" t="s">
        <v>3457</v>
      </c>
      <c r="E3055" s="0" t="s">
        <v>4963</v>
      </c>
      <c r="F3055" s="0" t="s">
        <v>30</v>
      </c>
      <c r="G3055" s="0" t="s">
        <v>4980</v>
      </c>
      <c r="H3055" s="0" t="s">
        <v>4228</v>
      </c>
      <c r="I3055" s="0" t="s">
        <v>4981</v>
      </c>
      <c r="J3055" s="18" t="s">
        <v>24</v>
      </c>
    </row>
    <row r="3056" customFormat="false" ht="15" hidden="false" customHeight="false" outlineLevel="0" collapsed="false">
      <c r="A3056" s="0" t="s">
        <v>2574</v>
      </c>
      <c r="B3056" s="0" t="s">
        <v>134</v>
      </c>
      <c r="C3056" s="0" t="s">
        <v>3450</v>
      </c>
      <c r="D3056" s="0" t="s">
        <v>3448</v>
      </c>
      <c r="E3056" s="0" t="s">
        <v>4963</v>
      </c>
      <c r="F3056" s="0" t="s">
        <v>30</v>
      </c>
      <c r="G3056" s="0" t="s">
        <v>4980</v>
      </c>
      <c r="H3056" s="0" t="s">
        <v>4378</v>
      </c>
      <c r="I3056" s="0" t="s">
        <v>4981</v>
      </c>
      <c r="J3056" s="18" t="s">
        <v>24</v>
      </c>
    </row>
    <row r="3057" customFormat="false" ht="15" hidden="false" customHeight="false" outlineLevel="0" collapsed="false">
      <c r="A3057" s="0" t="s">
        <v>2574</v>
      </c>
      <c r="B3057" s="0" t="s">
        <v>134</v>
      </c>
      <c r="C3057" s="0" t="s">
        <v>3447</v>
      </c>
      <c r="D3057" s="0" t="s">
        <v>3448</v>
      </c>
      <c r="E3057" s="0" t="s">
        <v>4963</v>
      </c>
      <c r="F3057" s="0" t="s">
        <v>30</v>
      </c>
      <c r="G3057" s="0" t="s">
        <v>4980</v>
      </c>
      <c r="H3057" s="0" t="s">
        <v>4394</v>
      </c>
      <c r="I3057" s="0" t="s">
        <v>4981</v>
      </c>
      <c r="J3057" s="18" t="s">
        <v>24</v>
      </c>
    </row>
    <row r="3058" customFormat="false" ht="15" hidden="false" customHeight="false" outlineLevel="0" collapsed="false">
      <c r="A3058" s="0" t="s">
        <v>2580</v>
      </c>
      <c r="B3058" s="0" t="s">
        <v>3459</v>
      </c>
      <c r="C3058" s="0" t="s">
        <v>3450</v>
      </c>
      <c r="D3058" s="0" t="s">
        <v>3457</v>
      </c>
      <c r="E3058" s="0" t="s">
        <v>4969</v>
      </c>
      <c r="F3058" s="0" t="s">
        <v>61</v>
      </c>
      <c r="G3058" s="0" t="s">
        <v>4970</v>
      </c>
      <c r="H3058" s="0" t="s">
        <v>5981</v>
      </c>
      <c r="I3058" s="0" t="s">
        <v>4972</v>
      </c>
      <c r="J3058" s="20" t="s">
        <v>25</v>
      </c>
    </row>
    <row r="3059" customFormat="false" ht="15" hidden="false" customHeight="false" outlineLevel="0" collapsed="false">
      <c r="A3059" s="0" t="s">
        <v>2580</v>
      </c>
      <c r="B3059" s="0" t="s">
        <v>3459</v>
      </c>
      <c r="C3059" s="0" t="s">
        <v>3450</v>
      </c>
      <c r="D3059" s="0" t="s">
        <v>3448</v>
      </c>
      <c r="E3059" s="0" t="s">
        <v>4963</v>
      </c>
      <c r="F3059" s="0" t="s">
        <v>59</v>
      </c>
      <c r="G3059" s="0" t="s">
        <v>4974</v>
      </c>
      <c r="H3059" s="0" t="s">
        <v>70</v>
      </c>
      <c r="I3059" s="0" t="s">
        <v>4975</v>
      </c>
      <c r="J3059" s="20" t="s">
        <v>25</v>
      </c>
    </row>
    <row r="3060" customFormat="false" ht="15" hidden="false" customHeight="false" outlineLevel="0" collapsed="false">
      <c r="A3060" s="0" t="s">
        <v>2580</v>
      </c>
      <c r="B3060" s="0" t="s">
        <v>3459</v>
      </c>
      <c r="C3060" s="0" t="s">
        <v>3450</v>
      </c>
      <c r="D3060" s="0" t="s">
        <v>3448</v>
      </c>
      <c r="E3060" s="0" t="s">
        <v>4969</v>
      </c>
      <c r="F3060" s="0" t="s">
        <v>61</v>
      </c>
      <c r="G3060" s="0" t="s">
        <v>4970</v>
      </c>
      <c r="H3060" s="0" t="s">
        <v>5982</v>
      </c>
      <c r="I3060" s="0" t="s">
        <v>4972</v>
      </c>
      <c r="J3060" s="20" t="s">
        <v>25</v>
      </c>
    </row>
    <row r="3061" customFormat="false" ht="15" hidden="false" customHeight="false" outlineLevel="0" collapsed="false">
      <c r="A3061" s="0" t="s">
        <v>2580</v>
      </c>
      <c r="B3061" s="0" t="s">
        <v>3459</v>
      </c>
      <c r="C3061" s="0" t="s">
        <v>3450</v>
      </c>
      <c r="D3061" s="0" t="s">
        <v>3448</v>
      </c>
      <c r="E3061" s="0" t="s">
        <v>4969</v>
      </c>
      <c r="F3061" s="0" t="s">
        <v>63</v>
      </c>
      <c r="G3061" s="0" t="s">
        <v>4220</v>
      </c>
      <c r="H3061" s="0" t="s">
        <v>5730</v>
      </c>
      <c r="I3061" s="0" t="s">
        <v>4979</v>
      </c>
      <c r="J3061" s="20" t="s">
        <v>25</v>
      </c>
    </row>
    <row r="3062" customFormat="false" ht="15" hidden="false" customHeight="false" outlineLevel="0" collapsed="false">
      <c r="A3062" s="0" t="s">
        <v>2580</v>
      </c>
      <c r="B3062" s="0" t="s">
        <v>3459</v>
      </c>
      <c r="C3062" s="0" t="s">
        <v>3447</v>
      </c>
      <c r="D3062" s="0" t="s">
        <v>3457</v>
      </c>
      <c r="E3062" s="0" t="s">
        <v>4969</v>
      </c>
      <c r="F3062" s="0" t="s">
        <v>61</v>
      </c>
      <c r="G3062" s="0" t="s">
        <v>4970</v>
      </c>
      <c r="H3062" s="0" t="s">
        <v>5983</v>
      </c>
      <c r="I3062" s="0" t="s">
        <v>4972</v>
      </c>
      <c r="J3062" s="20" t="s">
        <v>25</v>
      </c>
    </row>
    <row r="3063" customFormat="false" ht="15" hidden="false" customHeight="false" outlineLevel="0" collapsed="false">
      <c r="A3063" s="0" t="s">
        <v>2580</v>
      </c>
      <c r="B3063" s="0" t="s">
        <v>3459</v>
      </c>
      <c r="C3063" s="0" t="s">
        <v>3447</v>
      </c>
      <c r="D3063" s="0" t="s">
        <v>3448</v>
      </c>
      <c r="E3063" s="0" t="s">
        <v>4969</v>
      </c>
      <c r="F3063" s="0" t="s">
        <v>63</v>
      </c>
      <c r="G3063" s="0" t="s">
        <v>4220</v>
      </c>
      <c r="H3063" s="0" t="s">
        <v>5730</v>
      </c>
      <c r="I3063" s="0" t="s">
        <v>4979</v>
      </c>
      <c r="J3063" s="20" t="s">
        <v>25</v>
      </c>
    </row>
    <row r="3064" customFormat="false" ht="15" hidden="false" customHeight="false" outlineLevel="0" collapsed="false">
      <c r="A3064" s="0" t="s">
        <v>2580</v>
      </c>
      <c r="B3064" s="0" t="s">
        <v>134</v>
      </c>
      <c r="C3064" s="0" t="s">
        <v>3447</v>
      </c>
      <c r="D3064" s="0" t="s">
        <v>3457</v>
      </c>
      <c r="E3064" s="0" t="s">
        <v>4963</v>
      </c>
      <c r="F3064" s="0" t="s">
        <v>30</v>
      </c>
      <c r="G3064" s="0" t="s">
        <v>4980</v>
      </c>
      <c r="H3064" s="0" t="s">
        <v>4342</v>
      </c>
      <c r="I3064" s="0" t="s">
        <v>4981</v>
      </c>
      <c r="J3064" s="18" t="s">
        <v>24</v>
      </c>
    </row>
    <row r="3065" customFormat="false" ht="15" hidden="false" customHeight="false" outlineLevel="0" collapsed="false">
      <c r="A3065" s="0" t="s">
        <v>2580</v>
      </c>
      <c r="B3065" s="0" t="s">
        <v>3459</v>
      </c>
      <c r="C3065" s="0" t="s">
        <v>3450</v>
      </c>
      <c r="D3065" s="0" t="s">
        <v>3457</v>
      </c>
      <c r="E3065" s="0" t="s">
        <v>4963</v>
      </c>
      <c r="F3065" s="0" t="s">
        <v>30</v>
      </c>
      <c r="G3065" s="0" t="s">
        <v>4980</v>
      </c>
      <c r="H3065" s="0" t="s">
        <v>4272</v>
      </c>
      <c r="I3065" s="0" t="s">
        <v>4981</v>
      </c>
      <c r="J3065" s="18" t="s">
        <v>24</v>
      </c>
    </row>
    <row r="3066" customFormat="false" ht="15" hidden="false" customHeight="false" outlineLevel="0" collapsed="false">
      <c r="A3066" s="0" t="s">
        <v>2580</v>
      </c>
      <c r="B3066" s="0" t="s">
        <v>3459</v>
      </c>
      <c r="C3066" s="0" t="s">
        <v>3450</v>
      </c>
      <c r="D3066" s="0" t="s">
        <v>3448</v>
      </c>
      <c r="E3066" s="0" t="s">
        <v>4963</v>
      </c>
      <c r="F3066" s="0" t="s">
        <v>30</v>
      </c>
      <c r="G3066" s="0" t="s">
        <v>4980</v>
      </c>
      <c r="H3066" s="0" t="s">
        <v>4378</v>
      </c>
      <c r="I3066" s="0" t="s">
        <v>4981</v>
      </c>
      <c r="J3066" s="18" t="s">
        <v>24</v>
      </c>
    </row>
    <row r="3067" customFormat="false" ht="15" hidden="false" customHeight="false" outlineLevel="0" collapsed="false">
      <c r="A3067" s="0" t="s">
        <v>2580</v>
      </c>
      <c r="B3067" s="0" t="s">
        <v>3459</v>
      </c>
      <c r="C3067" s="0" t="s">
        <v>3447</v>
      </c>
      <c r="D3067" s="0" t="s">
        <v>3457</v>
      </c>
      <c r="E3067" s="0" t="s">
        <v>4963</v>
      </c>
      <c r="F3067" s="0" t="s">
        <v>30</v>
      </c>
      <c r="G3067" s="0" t="s">
        <v>4980</v>
      </c>
      <c r="H3067" s="0" t="s">
        <v>4387</v>
      </c>
      <c r="I3067" s="0" t="s">
        <v>4981</v>
      </c>
      <c r="J3067" s="18" t="s">
        <v>24</v>
      </c>
    </row>
    <row r="3068" customFormat="false" ht="15" hidden="false" customHeight="false" outlineLevel="0" collapsed="false">
      <c r="A3068" s="0" t="s">
        <v>2580</v>
      </c>
      <c r="B3068" s="0" t="s">
        <v>3459</v>
      </c>
      <c r="C3068" s="0" t="s">
        <v>3447</v>
      </c>
      <c r="D3068" s="0" t="s">
        <v>3448</v>
      </c>
      <c r="E3068" s="0" t="s">
        <v>4963</v>
      </c>
      <c r="F3068" s="0" t="s">
        <v>30</v>
      </c>
      <c r="G3068" s="0" t="s">
        <v>4980</v>
      </c>
      <c r="H3068" s="0" t="s">
        <v>4228</v>
      </c>
      <c r="I3068" s="0" t="s">
        <v>4981</v>
      </c>
      <c r="J3068" s="18" t="s">
        <v>24</v>
      </c>
    </row>
    <row r="3069" customFormat="false" ht="15" hidden="false" customHeight="false" outlineLevel="0" collapsed="false">
      <c r="A3069" s="0" t="s">
        <v>2586</v>
      </c>
      <c r="B3069" s="0" t="s">
        <v>134</v>
      </c>
      <c r="C3069" s="0" t="s">
        <v>3447</v>
      </c>
      <c r="D3069" s="0" t="s">
        <v>3457</v>
      </c>
      <c r="E3069" s="0" t="s">
        <v>4963</v>
      </c>
      <c r="F3069" s="0" t="s">
        <v>60</v>
      </c>
      <c r="G3069" s="0" t="s">
        <v>4964</v>
      </c>
      <c r="H3069" s="0" t="s">
        <v>5984</v>
      </c>
      <c r="I3069" s="0" t="s">
        <v>4966</v>
      </c>
      <c r="J3069" s="19" t="s">
        <v>26</v>
      </c>
    </row>
    <row r="3070" customFormat="false" ht="15" hidden="false" customHeight="false" outlineLevel="0" collapsed="false">
      <c r="A3070" s="0" t="s">
        <v>2586</v>
      </c>
      <c r="B3070" s="0" t="s">
        <v>134</v>
      </c>
      <c r="C3070" s="0" t="s">
        <v>3447</v>
      </c>
      <c r="D3070" s="0" t="s">
        <v>3448</v>
      </c>
      <c r="E3070" s="0" t="s">
        <v>4963</v>
      </c>
      <c r="F3070" s="0" t="s">
        <v>60</v>
      </c>
      <c r="G3070" s="0" t="s">
        <v>4964</v>
      </c>
      <c r="H3070" s="0" t="s">
        <v>5152</v>
      </c>
      <c r="I3070" s="0" t="s">
        <v>4966</v>
      </c>
      <c r="J3070" s="19" t="s">
        <v>26</v>
      </c>
    </row>
    <row r="3071" customFormat="false" ht="15" hidden="false" customHeight="false" outlineLevel="0" collapsed="false">
      <c r="A3071" s="0" t="s">
        <v>2586</v>
      </c>
      <c r="B3071" s="0" t="s">
        <v>134</v>
      </c>
      <c r="C3071" s="0" t="s">
        <v>3450</v>
      </c>
      <c r="D3071" s="0" t="s">
        <v>3457</v>
      </c>
      <c r="E3071" s="0" t="s">
        <v>4969</v>
      </c>
      <c r="F3071" s="0" t="s">
        <v>66</v>
      </c>
      <c r="G3071" s="0" t="s">
        <v>4970</v>
      </c>
      <c r="H3071" s="0" t="s">
        <v>5985</v>
      </c>
      <c r="I3071" s="0" t="s">
        <v>5030</v>
      </c>
      <c r="J3071" s="20" t="s">
        <v>25</v>
      </c>
    </row>
    <row r="3072" customFormat="false" ht="15" hidden="false" customHeight="false" outlineLevel="0" collapsed="false">
      <c r="A3072" s="0" t="s">
        <v>2586</v>
      </c>
      <c r="B3072" s="0" t="s">
        <v>134</v>
      </c>
      <c r="C3072" s="0" t="s">
        <v>3450</v>
      </c>
      <c r="D3072" s="0" t="s">
        <v>3448</v>
      </c>
      <c r="E3072" s="0" t="s">
        <v>4969</v>
      </c>
      <c r="F3072" s="0" t="s">
        <v>62</v>
      </c>
      <c r="G3072" s="0" t="s">
        <v>5003</v>
      </c>
      <c r="H3072" s="0" t="s">
        <v>5986</v>
      </c>
      <c r="I3072" s="0" t="s">
        <v>5005</v>
      </c>
      <c r="J3072" s="20" t="s">
        <v>25</v>
      </c>
    </row>
    <row r="3073" customFormat="false" ht="15" hidden="false" customHeight="false" outlineLevel="0" collapsed="false">
      <c r="A3073" s="0" t="s">
        <v>2586</v>
      </c>
      <c r="B3073" s="0" t="s">
        <v>134</v>
      </c>
      <c r="C3073" s="0" t="s">
        <v>3447</v>
      </c>
      <c r="D3073" s="0" t="s">
        <v>3457</v>
      </c>
      <c r="E3073" s="0" t="s">
        <v>4963</v>
      </c>
      <c r="F3073" s="0" t="s">
        <v>59</v>
      </c>
      <c r="G3073" s="0" t="s">
        <v>4974</v>
      </c>
      <c r="H3073" s="0" t="s">
        <v>69</v>
      </c>
      <c r="I3073" s="0" t="s">
        <v>4975</v>
      </c>
      <c r="J3073" s="20" t="s">
        <v>25</v>
      </c>
    </row>
    <row r="3074" customFormat="false" ht="15" hidden="false" customHeight="false" outlineLevel="0" collapsed="false">
      <c r="A3074" s="0" t="s">
        <v>2586</v>
      </c>
      <c r="B3074" s="0" t="s">
        <v>134</v>
      </c>
      <c r="C3074" s="0" t="s">
        <v>3447</v>
      </c>
      <c r="D3074" s="0" t="s">
        <v>3457</v>
      </c>
      <c r="E3074" s="0" t="s">
        <v>4969</v>
      </c>
      <c r="F3074" s="0" t="s">
        <v>61</v>
      </c>
      <c r="G3074" s="0" t="s">
        <v>4970</v>
      </c>
      <c r="H3074" s="0" t="s">
        <v>5987</v>
      </c>
      <c r="I3074" s="0" t="s">
        <v>4972</v>
      </c>
      <c r="J3074" s="20" t="s">
        <v>25</v>
      </c>
    </row>
    <row r="3075" customFormat="false" ht="15" hidden="false" customHeight="false" outlineLevel="0" collapsed="false">
      <c r="A3075" s="0" t="s">
        <v>2586</v>
      </c>
      <c r="B3075" s="0" t="s">
        <v>134</v>
      </c>
      <c r="C3075" s="0" t="s">
        <v>3447</v>
      </c>
      <c r="D3075" s="0" t="s">
        <v>3448</v>
      </c>
      <c r="E3075" s="0" t="s">
        <v>4963</v>
      </c>
      <c r="F3075" s="0" t="s">
        <v>59</v>
      </c>
      <c r="G3075" s="0" t="s">
        <v>4974</v>
      </c>
      <c r="H3075" s="0" t="s">
        <v>69</v>
      </c>
      <c r="I3075" s="0" t="s">
        <v>4975</v>
      </c>
      <c r="J3075" s="20" t="s">
        <v>25</v>
      </c>
    </row>
    <row r="3076" customFormat="false" ht="15" hidden="false" customHeight="false" outlineLevel="0" collapsed="false">
      <c r="A3076" s="0" t="s">
        <v>2586</v>
      </c>
      <c r="B3076" s="0" t="s">
        <v>3459</v>
      </c>
      <c r="C3076" s="0" t="s">
        <v>3450</v>
      </c>
      <c r="D3076" s="0" t="s">
        <v>3457</v>
      </c>
      <c r="E3076" s="0" t="s">
        <v>4963</v>
      </c>
      <c r="F3076" s="0" t="s">
        <v>59</v>
      </c>
      <c r="G3076" s="0" t="s">
        <v>4974</v>
      </c>
      <c r="H3076" s="0" t="s">
        <v>69</v>
      </c>
      <c r="I3076" s="0" t="s">
        <v>4975</v>
      </c>
      <c r="J3076" s="20" t="s">
        <v>25</v>
      </c>
    </row>
    <row r="3077" customFormat="false" ht="15" hidden="false" customHeight="false" outlineLevel="0" collapsed="false">
      <c r="A3077" s="0" t="s">
        <v>2586</v>
      </c>
      <c r="B3077" s="0" t="s">
        <v>3459</v>
      </c>
      <c r="C3077" s="0" t="s">
        <v>3450</v>
      </c>
      <c r="D3077" s="0" t="s">
        <v>3457</v>
      </c>
      <c r="E3077" s="0" t="s">
        <v>4969</v>
      </c>
      <c r="F3077" s="0" t="s">
        <v>61</v>
      </c>
      <c r="G3077" s="0" t="s">
        <v>4970</v>
      </c>
      <c r="H3077" s="0" t="s">
        <v>5988</v>
      </c>
      <c r="I3077" s="0" t="s">
        <v>4972</v>
      </c>
      <c r="J3077" s="20" t="s">
        <v>25</v>
      </c>
    </row>
    <row r="3078" customFormat="false" ht="15" hidden="false" customHeight="false" outlineLevel="0" collapsed="false">
      <c r="A3078" s="0" t="s">
        <v>2586</v>
      </c>
      <c r="B3078" s="0" t="s">
        <v>3459</v>
      </c>
      <c r="C3078" s="0" t="s">
        <v>3450</v>
      </c>
      <c r="D3078" s="0" t="s">
        <v>3457</v>
      </c>
      <c r="E3078" s="0" t="s">
        <v>4969</v>
      </c>
      <c r="F3078" s="0" t="s">
        <v>62</v>
      </c>
      <c r="G3078" s="0" t="s">
        <v>5003</v>
      </c>
      <c r="H3078" s="0" t="s">
        <v>5989</v>
      </c>
      <c r="I3078" s="0" t="s">
        <v>5005</v>
      </c>
      <c r="J3078" s="20" t="s">
        <v>25</v>
      </c>
    </row>
    <row r="3079" customFormat="false" ht="15" hidden="false" customHeight="false" outlineLevel="0" collapsed="false">
      <c r="A3079" s="0" t="s">
        <v>2586</v>
      </c>
      <c r="B3079" s="0" t="s">
        <v>3459</v>
      </c>
      <c r="C3079" s="0" t="s">
        <v>3450</v>
      </c>
      <c r="D3079" s="0" t="s">
        <v>3448</v>
      </c>
      <c r="E3079" s="0" t="s">
        <v>4963</v>
      </c>
      <c r="F3079" s="0" t="s">
        <v>59</v>
      </c>
      <c r="G3079" s="0" t="s">
        <v>4974</v>
      </c>
      <c r="H3079" s="0" t="s">
        <v>69</v>
      </c>
      <c r="I3079" s="0" t="s">
        <v>4975</v>
      </c>
      <c r="J3079" s="20" t="s">
        <v>25</v>
      </c>
    </row>
    <row r="3080" customFormat="false" ht="15" hidden="false" customHeight="false" outlineLevel="0" collapsed="false">
      <c r="A3080" s="0" t="s">
        <v>2586</v>
      </c>
      <c r="B3080" s="0" t="s">
        <v>3459</v>
      </c>
      <c r="C3080" s="0" t="s">
        <v>3450</v>
      </c>
      <c r="D3080" s="0" t="s">
        <v>3448</v>
      </c>
      <c r="E3080" s="0" t="s">
        <v>4969</v>
      </c>
      <c r="F3080" s="0" t="s">
        <v>61</v>
      </c>
      <c r="G3080" s="0" t="s">
        <v>4970</v>
      </c>
      <c r="H3080" s="0" t="s">
        <v>5990</v>
      </c>
      <c r="I3080" s="0" t="s">
        <v>4972</v>
      </c>
      <c r="J3080" s="20" t="s">
        <v>25</v>
      </c>
    </row>
    <row r="3081" customFormat="false" ht="15" hidden="false" customHeight="false" outlineLevel="0" collapsed="false">
      <c r="A3081" s="0" t="s">
        <v>2586</v>
      </c>
      <c r="B3081" s="0" t="s">
        <v>3459</v>
      </c>
      <c r="C3081" s="0" t="s">
        <v>3447</v>
      </c>
      <c r="D3081" s="0" t="s">
        <v>3457</v>
      </c>
      <c r="E3081" s="0" t="s">
        <v>4969</v>
      </c>
      <c r="F3081" s="0" t="s">
        <v>61</v>
      </c>
      <c r="G3081" s="0" t="s">
        <v>4970</v>
      </c>
      <c r="H3081" s="0" t="s">
        <v>5991</v>
      </c>
      <c r="I3081" s="0" t="s">
        <v>4972</v>
      </c>
      <c r="J3081" s="20" t="s">
        <v>25</v>
      </c>
    </row>
    <row r="3082" customFormat="false" ht="15" hidden="false" customHeight="false" outlineLevel="0" collapsed="false">
      <c r="A3082" s="0" t="s">
        <v>2586</v>
      </c>
      <c r="B3082" s="0" t="s">
        <v>3459</v>
      </c>
      <c r="C3082" s="0" t="s">
        <v>3447</v>
      </c>
      <c r="D3082" s="0" t="s">
        <v>3448</v>
      </c>
      <c r="E3082" s="0" t="s">
        <v>4969</v>
      </c>
      <c r="F3082" s="0" t="s">
        <v>61</v>
      </c>
      <c r="G3082" s="0" t="s">
        <v>4970</v>
      </c>
      <c r="H3082" s="0" t="s">
        <v>5992</v>
      </c>
      <c r="I3082" s="0" t="s">
        <v>4972</v>
      </c>
      <c r="J3082" s="20" t="s">
        <v>25</v>
      </c>
    </row>
    <row r="3083" customFormat="false" ht="15" hidden="false" customHeight="false" outlineLevel="0" collapsed="false">
      <c r="A3083" s="0" t="s">
        <v>2586</v>
      </c>
      <c r="B3083" s="0" t="s">
        <v>3459</v>
      </c>
      <c r="C3083" s="0" t="s">
        <v>3450</v>
      </c>
      <c r="D3083" s="0" t="s">
        <v>3457</v>
      </c>
      <c r="E3083" s="0" t="s">
        <v>4963</v>
      </c>
      <c r="F3083" s="0" t="s">
        <v>30</v>
      </c>
      <c r="G3083" s="0" t="s">
        <v>4980</v>
      </c>
      <c r="H3083" s="0" t="s">
        <v>4275</v>
      </c>
      <c r="I3083" s="0" t="s">
        <v>4981</v>
      </c>
      <c r="J3083" s="18" t="s">
        <v>24</v>
      </c>
    </row>
    <row r="3084" customFormat="false" ht="15" hidden="false" customHeight="false" outlineLevel="0" collapsed="false">
      <c r="A3084" s="0" t="s">
        <v>2586</v>
      </c>
      <c r="B3084" s="0" t="s">
        <v>3459</v>
      </c>
      <c r="C3084" s="0" t="s">
        <v>3450</v>
      </c>
      <c r="D3084" s="0" t="s">
        <v>3448</v>
      </c>
      <c r="E3084" s="0" t="s">
        <v>4963</v>
      </c>
      <c r="F3084" s="0" t="s">
        <v>30</v>
      </c>
      <c r="G3084" s="0" t="s">
        <v>4980</v>
      </c>
      <c r="H3084" s="0" t="s">
        <v>4265</v>
      </c>
      <c r="I3084" s="0" t="s">
        <v>4981</v>
      </c>
      <c r="J3084" s="18" t="s">
        <v>24</v>
      </c>
    </row>
    <row r="3085" customFormat="false" ht="15" hidden="false" customHeight="false" outlineLevel="0" collapsed="false">
      <c r="A3085" s="0" t="s">
        <v>2586</v>
      </c>
      <c r="B3085" s="0" t="s">
        <v>3459</v>
      </c>
      <c r="C3085" s="0" t="s">
        <v>3447</v>
      </c>
      <c r="D3085" s="0" t="s">
        <v>3457</v>
      </c>
      <c r="E3085" s="0" t="s">
        <v>4963</v>
      </c>
      <c r="F3085" s="0" t="s">
        <v>30</v>
      </c>
      <c r="G3085" s="0" t="s">
        <v>4980</v>
      </c>
      <c r="H3085" s="0" t="s">
        <v>4798</v>
      </c>
      <c r="I3085" s="0" t="s">
        <v>4981</v>
      </c>
      <c r="J3085" s="18" t="s">
        <v>24</v>
      </c>
    </row>
    <row r="3086" customFormat="false" ht="15" hidden="false" customHeight="false" outlineLevel="0" collapsed="false">
      <c r="A3086" s="0" t="s">
        <v>2586</v>
      </c>
      <c r="B3086" s="0" t="s">
        <v>3459</v>
      </c>
      <c r="C3086" s="0" t="s">
        <v>3447</v>
      </c>
      <c r="D3086" s="0" t="s">
        <v>3448</v>
      </c>
      <c r="E3086" s="0" t="s">
        <v>4963</v>
      </c>
      <c r="F3086" s="0" t="s">
        <v>30</v>
      </c>
      <c r="G3086" s="0" t="s">
        <v>4980</v>
      </c>
      <c r="H3086" s="0" t="s">
        <v>4496</v>
      </c>
      <c r="I3086" s="0" t="s">
        <v>4981</v>
      </c>
      <c r="J3086" s="18" t="s">
        <v>24</v>
      </c>
    </row>
    <row r="3087" customFormat="false" ht="15" hidden="false" customHeight="false" outlineLevel="0" collapsed="false">
      <c r="A3087" s="0" t="s">
        <v>2595</v>
      </c>
      <c r="B3087" s="0" t="s">
        <v>134</v>
      </c>
      <c r="C3087" s="0" t="s">
        <v>3450</v>
      </c>
      <c r="D3087" s="0" t="s">
        <v>3457</v>
      </c>
      <c r="E3087" s="0" t="s">
        <v>4963</v>
      </c>
      <c r="F3087" s="0" t="s">
        <v>59</v>
      </c>
      <c r="G3087" s="0" t="s">
        <v>4974</v>
      </c>
      <c r="H3087" s="0" t="s">
        <v>69</v>
      </c>
      <c r="I3087" s="0" t="s">
        <v>4975</v>
      </c>
      <c r="J3087" s="20" t="s">
        <v>25</v>
      </c>
    </row>
    <row r="3088" customFormat="false" ht="15" hidden="false" customHeight="false" outlineLevel="0" collapsed="false">
      <c r="A3088" s="0" t="s">
        <v>2595</v>
      </c>
      <c r="B3088" s="0" t="s">
        <v>134</v>
      </c>
      <c r="C3088" s="0" t="s">
        <v>3450</v>
      </c>
      <c r="D3088" s="0" t="s">
        <v>3457</v>
      </c>
      <c r="E3088" s="0" t="s">
        <v>4969</v>
      </c>
      <c r="F3088" s="0" t="s">
        <v>61</v>
      </c>
      <c r="G3088" s="0" t="s">
        <v>4970</v>
      </c>
      <c r="H3088" s="0" t="s">
        <v>5993</v>
      </c>
      <c r="I3088" s="0" t="s">
        <v>4972</v>
      </c>
      <c r="J3088" s="20" t="s">
        <v>25</v>
      </c>
    </row>
    <row r="3089" customFormat="false" ht="15" hidden="false" customHeight="false" outlineLevel="0" collapsed="false">
      <c r="A3089" s="0" t="s">
        <v>2595</v>
      </c>
      <c r="B3089" s="0" t="s">
        <v>134</v>
      </c>
      <c r="C3089" s="0" t="s">
        <v>3450</v>
      </c>
      <c r="D3089" s="0" t="s">
        <v>3448</v>
      </c>
      <c r="E3089" s="0" t="s">
        <v>4963</v>
      </c>
      <c r="F3089" s="0" t="s">
        <v>59</v>
      </c>
      <c r="G3089" s="0" t="s">
        <v>4974</v>
      </c>
      <c r="H3089" s="0" t="s">
        <v>69</v>
      </c>
      <c r="I3089" s="0" t="s">
        <v>4975</v>
      </c>
      <c r="J3089" s="20" t="s">
        <v>25</v>
      </c>
    </row>
    <row r="3090" customFormat="false" ht="15" hidden="false" customHeight="false" outlineLevel="0" collapsed="false">
      <c r="A3090" s="0" t="s">
        <v>2595</v>
      </c>
      <c r="B3090" s="0" t="s">
        <v>134</v>
      </c>
      <c r="C3090" s="0" t="s">
        <v>3450</v>
      </c>
      <c r="D3090" s="0" t="s">
        <v>3448</v>
      </c>
      <c r="E3090" s="0" t="s">
        <v>4969</v>
      </c>
      <c r="F3090" s="0" t="s">
        <v>62</v>
      </c>
      <c r="G3090" s="0" t="s">
        <v>5003</v>
      </c>
      <c r="H3090" s="0" t="s">
        <v>5994</v>
      </c>
      <c r="I3090" s="0" t="s">
        <v>5005</v>
      </c>
      <c r="J3090" s="20" t="s">
        <v>25</v>
      </c>
    </row>
    <row r="3091" customFormat="false" ht="15" hidden="false" customHeight="false" outlineLevel="0" collapsed="false">
      <c r="A3091" s="0" t="s">
        <v>2595</v>
      </c>
      <c r="B3091" s="0" t="s">
        <v>134</v>
      </c>
      <c r="C3091" s="0" t="s">
        <v>3447</v>
      </c>
      <c r="D3091" s="0" t="s">
        <v>3457</v>
      </c>
      <c r="E3091" s="0" t="s">
        <v>4969</v>
      </c>
      <c r="F3091" s="0" t="s">
        <v>61</v>
      </c>
      <c r="G3091" s="0" t="s">
        <v>4970</v>
      </c>
      <c r="H3091" s="0" t="s">
        <v>5995</v>
      </c>
      <c r="I3091" s="0" t="s">
        <v>4972</v>
      </c>
      <c r="J3091" s="20" t="s">
        <v>25</v>
      </c>
    </row>
    <row r="3092" customFormat="false" ht="15" hidden="false" customHeight="false" outlineLevel="0" collapsed="false">
      <c r="A3092" s="0" t="s">
        <v>2595</v>
      </c>
      <c r="B3092" s="0" t="s">
        <v>134</v>
      </c>
      <c r="C3092" s="0" t="s">
        <v>3447</v>
      </c>
      <c r="D3092" s="0" t="s">
        <v>3448</v>
      </c>
      <c r="E3092" s="0" t="s">
        <v>4969</v>
      </c>
      <c r="F3092" s="0" t="s">
        <v>61</v>
      </c>
      <c r="G3092" s="0" t="s">
        <v>4970</v>
      </c>
      <c r="H3092" s="0" t="s">
        <v>5996</v>
      </c>
      <c r="I3092" s="0" t="s">
        <v>4972</v>
      </c>
      <c r="J3092" s="20" t="s">
        <v>25</v>
      </c>
    </row>
    <row r="3093" customFormat="false" ht="15" hidden="false" customHeight="false" outlineLevel="0" collapsed="false">
      <c r="A3093" s="0" t="s">
        <v>2595</v>
      </c>
      <c r="B3093" s="0" t="s">
        <v>134</v>
      </c>
      <c r="C3093" s="0" t="s">
        <v>3450</v>
      </c>
      <c r="D3093" s="0" t="s">
        <v>3457</v>
      </c>
      <c r="E3093" s="0" t="s">
        <v>4963</v>
      </c>
      <c r="F3093" s="0" t="s">
        <v>30</v>
      </c>
      <c r="G3093" s="0" t="s">
        <v>4980</v>
      </c>
      <c r="H3093" s="0" t="s">
        <v>4799</v>
      </c>
      <c r="I3093" s="0" t="s">
        <v>4981</v>
      </c>
      <c r="J3093" s="18" t="s">
        <v>24</v>
      </c>
    </row>
    <row r="3094" customFormat="false" ht="15" hidden="false" customHeight="false" outlineLevel="0" collapsed="false">
      <c r="A3094" s="0" t="s">
        <v>2595</v>
      </c>
      <c r="B3094" s="0" t="s">
        <v>134</v>
      </c>
      <c r="C3094" s="0" t="s">
        <v>3450</v>
      </c>
      <c r="D3094" s="0" t="s">
        <v>3448</v>
      </c>
      <c r="E3094" s="0" t="s">
        <v>4963</v>
      </c>
      <c r="F3094" s="0" t="s">
        <v>30</v>
      </c>
      <c r="G3094" s="0" t="s">
        <v>4980</v>
      </c>
      <c r="H3094" s="0" t="s">
        <v>4289</v>
      </c>
      <c r="I3094" s="0" t="s">
        <v>4981</v>
      </c>
      <c r="J3094" s="18" t="s">
        <v>24</v>
      </c>
    </row>
    <row r="3095" customFormat="false" ht="15" hidden="false" customHeight="false" outlineLevel="0" collapsed="false">
      <c r="A3095" s="0" t="s">
        <v>2595</v>
      </c>
      <c r="B3095" s="0" t="s">
        <v>134</v>
      </c>
      <c r="C3095" s="0" t="s">
        <v>3447</v>
      </c>
      <c r="D3095" s="0" t="s">
        <v>3457</v>
      </c>
      <c r="E3095" s="0" t="s">
        <v>4963</v>
      </c>
      <c r="F3095" s="0" t="s">
        <v>30</v>
      </c>
      <c r="G3095" s="0" t="s">
        <v>4980</v>
      </c>
      <c r="H3095" s="0" t="s">
        <v>4290</v>
      </c>
      <c r="I3095" s="0" t="s">
        <v>4981</v>
      </c>
      <c r="J3095" s="18" t="s">
        <v>24</v>
      </c>
    </row>
    <row r="3096" customFormat="false" ht="15" hidden="false" customHeight="false" outlineLevel="0" collapsed="false">
      <c r="A3096" s="0" t="s">
        <v>2595</v>
      </c>
      <c r="B3096" s="0" t="s">
        <v>134</v>
      </c>
      <c r="C3096" s="0" t="s">
        <v>3447</v>
      </c>
      <c r="D3096" s="0" t="s">
        <v>3448</v>
      </c>
      <c r="E3096" s="0" t="s">
        <v>4963</v>
      </c>
      <c r="F3096" s="0" t="s">
        <v>30</v>
      </c>
      <c r="G3096" s="0" t="s">
        <v>4980</v>
      </c>
      <c r="H3096" s="0" t="s">
        <v>4800</v>
      </c>
      <c r="I3096" s="0" t="s">
        <v>4981</v>
      </c>
      <c r="J3096" s="18" t="s">
        <v>24</v>
      </c>
    </row>
    <row r="3097" customFormat="false" ht="15" hidden="false" customHeight="false" outlineLevel="0" collapsed="false">
      <c r="A3097" s="0" t="s">
        <v>2601</v>
      </c>
      <c r="B3097" s="0" t="s">
        <v>134</v>
      </c>
      <c r="C3097" s="0" t="s">
        <v>3450</v>
      </c>
      <c r="D3097" s="0" t="s">
        <v>3457</v>
      </c>
      <c r="E3097" s="0" t="s">
        <v>4969</v>
      </c>
      <c r="F3097" s="0" t="s">
        <v>61</v>
      </c>
      <c r="G3097" s="0" t="s">
        <v>4970</v>
      </c>
      <c r="H3097" s="0" t="s">
        <v>5997</v>
      </c>
      <c r="I3097" s="0" t="s">
        <v>4972</v>
      </c>
      <c r="J3097" s="20" t="s">
        <v>25</v>
      </c>
    </row>
    <row r="3098" customFormat="false" ht="15" hidden="false" customHeight="false" outlineLevel="0" collapsed="false">
      <c r="A3098" s="0" t="s">
        <v>2601</v>
      </c>
      <c r="B3098" s="0" t="s">
        <v>134</v>
      </c>
      <c r="C3098" s="0" t="s">
        <v>3447</v>
      </c>
      <c r="D3098" s="0" t="s">
        <v>3457</v>
      </c>
      <c r="E3098" s="0" t="s">
        <v>4969</v>
      </c>
      <c r="F3098" s="0" t="s">
        <v>61</v>
      </c>
      <c r="G3098" s="0" t="s">
        <v>4970</v>
      </c>
      <c r="H3098" s="0" t="s">
        <v>5998</v>
      </c>
      <c r="I3098" s="0" t="s">
        <v>4972</v>
      </c>
      <c r="J3098" s="20" t="s">
        <v>25</v>
      </c>
    </row>
    <row r="3099" customFormat="false" ht="15" hidden="false" customHeight="false" outlineLevel="0" collapsed="false">
      <c r="A3099" s="0" t="s">
        <v>2601</v>
      </c>
      <c r="B3099" s="0" t="s">
        <v>134</v>
      </c>
      <c r="C3099" s="0" t="s">
        <v>3447</v>
      </c>
      <c r="D3099" s="0" t="s">
        <v>3448</v>
      </c>
      <c r="E3099" s="0" t="s">
        <v>4963</v>
      </c>
      <c r="F3099" s="0" t="s">
        <v>30</v>
      </c>
      <c r="G3099" s="0" t="s">
        <v>4980</v>
      </c>
      <c r="H3099" s="0" t="s">
        <v>4228</v>
      </c>
      <c r="I3099" s="0" t="s">
        <v>4981</v>
      </c>
      <c r="J3099" s="18" t="s">
        <v>24</v>
      </c>
    </row>
    <row r="3100" customFormat="false" ht="15" hidden="false" customHeight="false" outlineLevel="0" collapsed="false">
      <c r="A3100" s="0" t="s">
        <v>2607</v>
      </c>
      <c r="B3100" s="0" t="s">
        <v>134</v>
      </c>
      <c r="C3100" s="0" t="s">
        <v>3450</v>
      </c>
      <c r="D3100" s="0" t="s">
        <v>3457</v>
      </c>
      <c r="E3100" s="0" t="s">
        <v>4969</v>
      </c>
      <c r="F3100" s="0" t="s">
        <v>64</v>
      </c>
      <c r="G3100" s="0" t="s">
        <v>4220</v>
      </c>
      <c r="H3100" s="0" t="s">
        <v>5999</v>
      </c>
      <c r="I3100" s="0" t="s">
        <v>4991</v>
      </c>
      <c r="J3100" s="20" t="s">
        <v>25</v>
      </c>
    </row>
    <row r="3101" customFormat="false" ht="15" hidden="false" customHeight="false" outlineLevel="0" collapsed="false">
      <c r="A3101" s="0" t="s">
        <v>2607</v>
      </c>
      <c r="B3101" s="0" t="s">
        <v>134</v>
      </c>
      <c r="C3101" s="0" t="s">
        <v>3447</v>
      </c>
      <c r="D3101" s="0" t="s">
        <v>3457</v>
      </c>
      <c r="E3101" s="0" t="s">
        <v>4969</v>
      </c>
      <c r="F3101" s="0" t="s">
        <v>64</v>
      </c>
      <c r="G3101" s="0" t="s">
        <v>4220</v>
      </c>
      <c r="H3101" s="0" t="s">
        <v>5999</v>
      </c>
      <c r="I3101" s="0" t="s">
        <v>4991</v>
      </c>
      <c r="J3101" s="20" t="s">
        <v>25</v>
      </c>
    </row>
    <row r="3102" customFormat="false" ht="15" hidden="false" customHeight="false" outlineLevel="0" collapsed="false">
      <c r="A3102" s="0" t="s">
        <v>2607</v>
      </c>
      <c r="B3102" s="0" t="s">
        <v>134</v>
      </c>
      <c r="C3102" s="0" t="s">
        <v>3450</v>
      </c>
      <c r="D3102" s="0" t="s">
        <v>3457</v>
      </c>
      <c r="E3102" s="0" t="s">
        <v>4963</v>
      </c>
      <c r="F3102" s="0" t="s">
        <v>30</v>
      </c>
      <c r="G3102" s="0" t="s">
        <v>4980</v>
      </c>
      <c r="H3102" s="0" t="s">
        <v>4473</v>
      </c>
      <c r="I3102" s="0" t="s">
        <v>4981</v>
      </c>
      <c r="J3102" s="18" t="s">
        <v>24</v>
      </c>
    </row>
    <row r="3103" customFormat="false" ht="15" hidden="false" customHeight="false" outlineLevel="0" collapsed="false">
      <c r="A3103" s="0" t="s">
        <v>2607</v>
      </c>
      <c r="B3103" s="0" t="s">
        <v>134</v>
      </c>
      <c r="C3103" s="0" t="s">
        <v>3450</v>
      </c>
      <c r="D3103" s="0" t="s">
        <v>3448</v>
      </c>
      <c r="E3103" s="0" t="s">
        <v>4963</v>
      </c>
      <c r="F3103" s="0" t="s">
        <v>30</v>
      </c>
      <c r="G3103" s="0" t="s">
        <v>4980</v>
      </c>
      <c r="H3103" s="0" t="s">
        <v>4562</v>
      </c>
      <c r="I3103" s="0" t="s">
        <v>4981</v>
      </c>
      <c r="J3103" s="18" t="s">
        <v>24</v>
      </c>
    </row>
    <row r="3104" customFormat="false" ht="15" hidden="false" customHeight="false" outlineLevel="0" collapsed="false">
      <c r="A3104" s="0" t="s">
        <v>2607</v>
      </c>
      <c r="B3104" s="0" t="s">
        <v>134</v>
      </c>
      <c r="C3104" s="0" t="s">
        <v>3447</v>
      </c>
      <c r="D3104" s="0" t="s">
        <v>3457</v>
      </c>
      <c r="E3104" s="0" t="s">
        <v>4963</v>
      </c>
      <c r="F3104" s="0" t="s">
        <v>30</v>
      </c>
      <c r="G3104" s="0" t="s">
        <v>4980</v>
      </c>
      <c r="H3104" s="0" t="s">
        <v>4433</v>
      </c>
      <c r="I3104" s="0" t="s">
        <v>4981</v>
      </c>
      <c r="J3104" s="18" t="s">
        <v>24</v>
      </c>
    </row>
    <row r="3105" customFormat="false" ht="15" hidden="false" customHeight="false" outlineLevel="0" collapsed="false">
      <c r="A3105" s="0" t="s">
        <v>2607</v>
      </c>
      <c r="B3105" s="0" t="s">
        <v>134</v>
      </c>
      <c r="C3105" s="0" t="s">
        <v>3447</v>
      </c>
      <c r="D3105" s="0" t="s">
        <v>3448</v>
      </c>
      <c r="E3105" s="0" t="s">
        <v>4963</v>
      </c>
      <c r="F3105" s="0" t="s">
        <v>30</v>
      </c>
      <c r="G3105" s="0" t="s">
        <v>4980</v>
      </c>
      <c r="H3105" s="0" t="s">
        <v>4433</v>
      </c>
      <c r="I3105" s="0" t="s">
        <v>4981</v>
      </c>
      <c r="J3105" s="18" t="s">
        <v>24</v>
      </c>
    </row>
    <row r="3106" customFormat="false" ht="15" hidden="false" customHeight="false" outlineLevel="0" collapsed="false">
      <c r="A3106" s="0" t="s">
        <v>2614</v>
      </c>
      <c r="B3106" s="0" t="s">
        <v>134</v>
      </c>
      <c r="C3106" s="0" t="s">
        <v>3447</v>
      </c>
      <c r="D3106" s="0" t="s">
        <v>3448</v>
      </c>
      <c r="E3106" s="0" t="s">
        <v>4963</v>
      </c>
      <c r="F3106" s="0" t="s">
        <v>60</v>
      </c>
      <c r="G3106" s="0" t="s">
        <v>4964</v>
      </c>
      <c r="H3106" s="0" t="s">
        <v>5056</v>
      </c>
      <c r="I3106" s="0" t="s">
        <v>4966</v>
      </c>
      <c r="J3106" s="19" t="s">
        <v>26</v>
      </c>
    </row>
    <row r="3107" customFormat="false" ht="15" hidden="false" customHeight="false" outlineLevel="0" collapsed="false">
      <c r="A3107" s="0" t="s">
        <v>2614</v>
      </c>
      <c r="B3107" s="0" t="s">
        <v>134</v>
      </c>
      <c r="C3107" s="0" t="s">
        <v>3450</v>
      </c>
      <c r="D3107" s="0" t="s">
        <v>3457</v>
      </c>
      <c r="E3107" s="0" t="s">
        <v>4963</v>
      </c>
      <c r="F3107" s="0" t="s">
        <v>59</v>
      </c>
      <c r="G3107" s="0" t="s">
        <v>4974</v>
      </c>
      <c r="H3107" s="0" t="s">
        <v>69</v>
      </c>
      <c r="I3107" s="0" t="s">
        <v>4975</v>
      </c>
      <c r="J3107" s="20" t="s">
        <v>25</v>
      </c>
    </row>
    <row r="3108" customFormat="false" ht="15" hidden="false" customHeight="false" outlineLevel="0" collapsed="false">
      <c r="A3108" s="0" t="s">
        <v>2614</v>
      </c>
      <c r="B3108" s="0" t="s">
        <v>134</v>
      </c>
      <c r="C3108" s="0" t="s">
        <v>3450</v>
      </c>
      <c r="D3108" s="0" t="s">
        <v>3448</v>
      </c>
      <c r="E3108" s="0" t="s">
        <v>4969</v>
      </c>
      <c r="F3108" s="0" t="s">
        <v>61</v>
      </c>
      <c r="G3108" s="0" t="s">
        <v>4970</v>
      </c>
      <c r="H3108" s="0" t="s">
        <v>6000</v>
      </c>
      <c r="I3108" s="0" t="s">
        <v>4972</v>
      </c>
      <c r="J3108" s="20" t="s">
        <v>25</v>
      </c>
    </row>
    <row r="3109" customFormat="false" ht="15" hidden="false" customHeight="false" outlineLevel="0" collapsed="false">
      <c r="A3109" s="0" t="s">
        <v>2614</v>
      </c>
      <c r="B3109" s="0" t="s">
        <v>134</v>
      </c>
      <c r="C3109" s="0" t="s">
        <v>3447</v>
      </c>
      <c r="D3109" s="0" t="s">
        <v>3448</v>
      </c>
      <c r="E3109" s="0" t="s">
        <v>4963</v>
      </c>
      <c r="F3109" s="0" t="s">
        <v>59</v>
      </c>
      <c r="G3109" s="0" t="s">
        <v>4974</v>
      </c>
      <c r="H3109" s="0" t="s">
        <v>69</v>
      </c>
      <c r="I3109" s="0" t="s">
        <v>4975</v>
      </c>
      <c r="J3109" s="20" t="s">
        <v>25</v>
      </c>
    </row>
    <row r="3110" customFormat="false" ht="15" hidden="false" customHeight="false" outlineLevel="0" collapsed="false">
      <c r="A3110" s="0" t="s">
        <v>2614</v>
      </c>
      <c r="B3110" s="0" t="s">
        <v>134</v>
      </c>
      <c r="C3110" s="0" t="s">
        <v>3447</v>
      </c>
      <c r="D3110" s="0" t="s">
        <v>3448</v>
      </c>
      <c r="E3110" s="0" t="s">
        <v>4969</v>
      </c>
      <c r="F3110" s="0" t="s">
        <v>61</v>
      </c>
      <c r="G3110" s="0" t="s">
        <v>4970</v>
      </c>
      <c r="H3110" s="0" t="s">
        <v>5511</v>
      </c>
      <c r="I3110" s="0" t="s">
        <v>4972</v>
      </c>
      <c r="J3110" s="20" t="s">
        <v>25</v>
      </c>
    </row>
    <row r="3111" customFormat="false" ht="15" hidden="false" customHeight="false" outlineLevel="0" collapsed="false">
      <c r="A3111" s="0" t="s">
        <v>2614</v>
      </c>
      <c r="B3111" s="0" t="s">
        <v>134</v>
      </c>
      <c r="C3111" s="0" t="s">
        <v>3450</v>
      </c>
      <c r="D3111" s="0" t="s">
        <v>3457</v>
      </c>
      <c r="E3111" s="0" t="s">
        <v>4963</v>
      </c>
      <c r="F3111" s="0" t="s">
        <v>30</v>
      </c>
      <c r="G3111" s="0" t="s">
        <v>4980</v>
      </c>
      <c r="H3111" s="0" t="s">
        <v>4275</v>
      </c>
      <c r="I3111" s="0" t="s">
        <v>4981</v>
      </c>
      <c r="J3111" s="18" t="s">
        <v>24</v>
      </c>
    </row>
    <row r="3112" customFormat="false" ht="15" hidden="false" customHeight="false" outlineLevel="0" collapsed="false">
      <c r="A3112" s="0" t="s">
        <v>2620</v>
      </c>
      <c r="B3112" s="0" t="s">
        <v>134</v>
      </c>
      <c r="C3112" s="0" t="s">
        <v>3447</v>
      </c>
      <c r="D3112" s="0" t="s">
        <v>3457</v>
      </c>
      <c r="E3112" s="0" t="s">
        <v>4963</v>
      </c>
      <c r="F3112" s="0" t="s">
        <v>60</v>
      </c>
      <c r="G3112" s="0" t="s">
        <v>4964</v>
      </c>
      <c r="H3112" s="0" t="s">
        <v>6001</v>
      </c>
      <c r="I3112" s="0" t="s">
        <v>4966</v>
      </c>
      <c r="J3112" s="19" t="s">
        <v>26</v>
      </c>
    </row>
    <row r="3113" customFormat="false" ht="15" hidden="false" customHeight="false" outlineLevel="0" collapsed="false">
      <c r="A3113" s="0" t="s">
        <v>2620</v>
      </c>
      <c r="B3113" s="0" t="s">
        <v>134</v>
      </c>
      <c r="C3113" s="0" t="s">
        <v>3450</v>
      </c>
      <c r="D3113" s="0" t="s">
        <v>3457</v>
      </c>
      <c r="E3113" s="0" t="s">
        <v>4963</v>
      </c>
      <c r="F3113" s="0" t="s">
        <v>59</v>
      </c>
      <c r="G3113" s="0" t="s">
        <v>4974</v>
      </c>
      <c r="H3113" s="0" t="s">
        <v>69</v>
      </c>
      <c r="I3113" s="0" t="s">
        <v>4975</v>
      </c>
      <c r="J3113" s="20" t="s">
        <v>25</v>
      </c>
    </row>
    <row r="3114" customFormat="false" ht="15" hidden="false" customHeight="false" outlineLevel="0" collapsed="false">
      <c r="A3114" s="0" t="s">
        <v>2620</v>
      </c>
      <c r="B3114" s="0" t="s">
        <v>134</v>
      </c>
      <c r="C3114" s="0" t="s">
        <v>3450</v>
      </c>
      <c r="D3114" s="0" t="s">
        <v>3457</v>
      </c>
      <c r="E3114" s="0" t="s">
        <v>4969</v>
      </c>
      <c r="F3114" s="0" t="s">
        <v>62</v>
      </c>
      <c r="G3114" s="0" t="s">
        <v>5003</v>
      </c>
      <c r="H3114" s="0" t="s">
        <v>6002</v>
      </c>
      <c r="I3114" s="0" t="s">
        <v>5005</v>
      </c>
      <c r="J3114" s="20" t="s">
        <v>25</v>
      </c>
    </row>
    <row r="3115" customFormat="false" ht="15" hidden="false" customHeight="false" outlineLevel="0" collapsed="false">
      <c r="A3115" s="0" t="s">
        <v>2620</v>
      </c>
      <c r="B3115" s="0" t="s">
        <v>134</v>
      </c>
      <c r="C3115" s="0" t="s">
        <v>3450</v>
      </c>
      <c r="D3115" s="0" t="s">
        <v>3448</v>
      </c>
      <c r="E3115" s="0" t="s">
        <v>4963</v>
      </c>
      <c r="F3115" s="0" t="s">
        <v>59</v>
      </c>
      <c r="G3115" s="0" t="s">
        <v>4974</v>
      </c>
      <c r="H3115" s="0" t="s">
        <v>69</v>
      </c>
      <c r="I3115" s="0" t="s">
        <v>4975</v>
      </c>
      <c r="J3115" s="20" t="s">
        <v>25</v>
      </c>
    </row>
    <row r="3116" customFormat="false" ht="15" hidden="false" customHeight="false" outlineLevel="0" collapsed="false">
      <c r="A3116" s="0" t="s">
        <v>2620</v>
      </c>
      <c r="B3116" s="0" t="s">
        <v>134</v>
      </c>
      <c r="C3116" s="0" t="s">
        <v>3450</v>
      </c>
      <c r="D3116" s="0" t="s">
        <v>3457</v>
      </c>
      <c r="E3116" s="0" t="s">
        <v>4963</v>
      </c>
      <c r="F3116" s="0" t="s">
        <v>30</v>
      </c>
      <c r="G3116" s="0" t="s">
        <v>4980</v>
      </c>
      <c r="H3116" s="0" t="s">
        <v>4242</v>
      </c>
      <c r="I3116" s="0" t="s">
        <v>4981</v>
      </c>
      <c r="J3116" s="18" t="s">
        <v>24</v>
      </c>
    </row>
    <row r="3117" customFormat="false" ht="15" hidden="false" customHeight="false" outlineLevel="0" collapsed="false">
      <c r="A3117" s="0" t="s">
        <v>2620</v>
      </c>
      <c r="B3117" s="0" t="s">
        <v>134</v>
      </c>
      <c r="C3117" s="0" t="s">
        <v>3450</v>
      </c>
      <c r="D3117" s="0" t="s">
        <v>3448</v>
      </c>
      <c r="E3117" s="0" t="s">
        <v>4963</v>
      </c>
      <c r="F3117" s="0" t="s">
        <v>30</v>
      </c>
      <c r="G3117" s="0" t="s">
        <v>4980</v>
      </c>
      <c r="H3117" s="0" t="s">
        <v>4327</v>
      </c>
      <c r="I3117" s="0" t="s">
        <v>4981</v>
      </c>
      <c r="J3117" s="18" t="s">
        <v>24</v>
      </c>
    </row>
    <row r="3118" customFormat="false" ht="15" hidden="false" customHeight="false" outlineLevel="0" collapsed="false">
      <c r="A3118" s="0" t="s">
        <v>2620</v>
      </c>
      <c r="B3118" s="0" t="s">
        <v>134</v>
      </c>
      <c r="C3118" s="0" t="s">
        <v>3447</v>
      </c>
      <c r="D3118" s="0" t="s">
        <v>3448</v>
      </c>
      <c r="E3118" s="0" t="s">
        <v>4963</v>
      </c>
      <c r="F3118" s="0" t="s">
        <v>30</v>
      </c>
      <c r="G3118" s="0" t="s">
        <v>4980</v>
      </c>
      <c r="H3118" s="0" t="s">
        <v>4802</v>
      </c>
      <c r="I3118" s="0" t="s">
        <v>4981</v>
      </c>
      <c r="J3118" s="18" t="s">
        <v>24</v>
      </c>
    </row>
    <row r="3119" customFormat="false" ht="15" hidden="false" customHeight="false" outlineLevel="0" collapsed="false">
      <c r="A3119" s="0" t="s">
        <v>2626</v>
      </c>
      <c r="B3119" s="0" t="s">
        <v>134</v>
      </c>
      <c r="C3119" s="0" t="s">
        <v>3450</v>
      </c>
      <c r="D3119" s="0" t="s">
        <v>3457</v>
      </c>
      <c r="E3119" s="0" t="s">
        <v>4969</v>
      </c>
      <c r="F3119" s="0" t="s">
        <v>62</v>
      </c>
      <c r="G3119" s="0" t="s">
        <v>5003</v>
      </c>
      <c r="H3119" s="0" t="s">
        <v>6003</v>
      </c>
      <c r="I3119" s="0" t="s">
        <v>5005</v>
      </c>
      <c r="J3119" s="20" t="s">
        <v>25</v>
      </c>
    </row>
    <row r="3120" customFormat="false" ht="15" hidden="false" customHeight="false" outlineLevel="0" collapsed="false">
      <c r="A3120" s="0" t="s">
        <v>2626</v>
      </c>
      <c r="B3120" s="0" t="s">
        <v>134</v>
      </c>
      <c r="C3120" s="0" t="s">
        <v>3447</v>
      </c>
      <c r="D3120" s="0" t="s">
        <v>3457</v>
      </c>
      <c r="E3120" s="0" t="s">
        <v>4963</v>
      </c>
      <c r="F3120" s="0" t="s">
        <v>30</v>
      </c>
      <c r="G3120" s="0" t="s">
        <v>4980</v>
      </c>
      <c r="H3120" s="0" t="s">
        <v>4288</v>
      </c>
      <c r="I3120" s="0" t="s">
        <v>4981</v>
      </c>
      <c r="J3120" s="18" t="s">
        <v>24</v>
      </c>
    </row>
    <row r="3121" customFormat="false" ht="15" hidden="false" customHeight="false" outlineLevel="0" collapsed="false">
      <c r="A3121" s="0" t="s">
        <v>2626</v>
      </c>
      <c r="B3121" s="0" t="s">
        <v>134</v>
      </c>
      <c r="C3121" s="0" t="s">
        <v>3447</v>
      </c>
      <c r="D3121" s="0" t="s">
        <v>3448</v>
      </c>
      <c r="E3121" s="0" t="s">
        <v>4963</v>
      </c>
      <c r="F3121" s="0" t="s">
        <v>30</v>
      </c>
      <c r="G3121" s="0" t="s">
        <v>4980</v>
      </c>
      <c r="H3121" s="0" t="s">
        <v>4368</v>
      </c>
      <c r="I3121" s="0" t="s">
        <v>4981</v>
      </c>
      <c r="J3121" s="18" t="s">
        <v>24</v>
      </c>
    </row>
    <row r="3122" customFormat="false" ht="15" hidden="false" customHeight="false" outlineLevel="0" collapsed="false">
      <c r="A3122" s="0" t="s">
        <v>2641</v>
      </c>
      <c r="B3122" s="0" t="s">
        <v>134</v>
      </c>
      <c r="C3122" s="0" t="s">
        <v>3447</v>
      </c>
      <c r="D3122" s="0" t="s">
        <v>3448</v>
      </c>
      <c r="E3122" s="0" t="s">
        <v>4963</v>
      </c>
      <c r="F3122" s="0" t="s">
        <v>65</v>
      </c>
      <c r="G3122" s="0" t="s">
        <v>4997</v>
      </c>
      <c r="H3122" s="0" t="s">
        <v>3871</v>
      </c>
      <c r="I3122" s="0" t="s">
        <v>4998</v>
      </c>
      <c r="J3122" s="19" t="s">
        <v>26</v>
      </c>
    </row>
    <row r="3123" customFormat="false" ht="15" hidden="false" customHeight="false" outlineLevel="0" collapsed="false">
      <c r="A3123" s="0" t="s">
        <v>2641</v>
      </c>
      <c r="B3123" s="0" t="s">
        <v>134</v>
      </c>
      <c r="C3123" s="0" t="s">
        <v>3450</v>
      </c>
      <c r="D3123" s="0" t="s">
        <v>3448</v>
      </c>
      <c r="E3123" s="0" t="s">
        <v>4963</v>
      </c>
      <c r="F3123" s="0" t="s">
        <v>59</v>
      </c>
      <c r="G3123" s="0" t="s">
        <v>4974</v>
      </c>
      <c r="H3123" s="0" t="s">
        <v>70</v>
      </c>
      <c r="I3123" s="0" t="s">
        <v>4975</v>
      </c>
      <c r="J3123" s="20" t="s">
        <v>25</v>
      </c>
    </row>
    <row r="3124" customFormat="false" ht="15" hidden="false" customHeight="false" outlineLevel="0" collapsed="false">
      <c r="A3124" s="0" t="s">
        <v>2641</v>
      </c>
      <c r="B3124" s="0" t="s">
        <v>134</v>
      </c>
      <c r="C3124" s="0" t="s">
        <v>3447</v>
      </c>
      <c r="D3124" s="0" t="s">
        <v>3457</v>
      </c>
      <c r="E3124" s="0" t="s">
        <v>4963</v>
      </c>
      <c r="F3124" s="0" t="s">
        <v>59</v>
      </c>
      <c r="G3124" s="0" t="s">
        <v>4974</v>
      </c>
      <c r="H3124" s="0" t="s">
        <v>69</v>
      </c>
      <c r="I3124" s="0" t="s">
        <v>4975</v>
      </c>
      <c r="J3124" s="20" t="s">
        <v>25</v>
      </c>
    </row>
    <row r="3125" customFormat="false" ht="15" hidden="false" customHeight="false" outlineLevel="0" collapsed="false">
      <c r="A3125" s="0" t="s">
        <v>2641</v>
      </c>
      <c r="B3125" s="0" t="s">
        <v>134</v>
      </c>
      <c r="C3125" s="0" t="s">
        <v>3450</v>
      </c>
      <c r="D3125" s="0" t="s">
        <v>3448</v>
      </c>
      <c r="E3125" s="0" t="s">
        <v>4963</v>
      </c>
      <c r="F3125" s="0" t="s">
        <v>30</v>
      </c>
      <c r="G3125" s="0" t="s">
        <v>4980</v>
      </c>
      <c r="H3125" s="0" t="s">
        <v>4378</v>
      </c>
      <c r="I3125" s="0" t="s">
        <v>4981</v>
      </c>
      <c r="J3125" s="18" t="s">
        <v>24</v>
      </c>
    </row>
    <row r="3126" customFormat="false" ht="15" hidden="false" customHeight="false" outlineLevel="0" collapsed="false">
      <c r="A3126" s="0" t="s">
        <v>2641</v>
      </c>
      <c r="B3126" s="0" t="s">
        <v>134</v>
      </c>
      <c r="C3126" s="0" t="s">
        <v>3447</v>
      </c>
      <c r="D3126" s="0" t="s">
        <v>3457</v>
      </c>
      <c r="E3126" s="0" t="s">
        <v>4963</v>
      </c>
      <c r="F3126" s="0" t="s">
        <v>30</v>
      </c>
      <c r="G3126" s="0" t="s">
        <v>4980</v>
      </c>
      <c r="H3126" s="0" t="s">
        <v>4238</v>
      </c>
      <c r="I3126" s="0" t="s">
        <v>4981</v>
      </c>
      <c r="J3126" s="18" t="s">
        <v>24</v>
      </c>
    </row>
    <row r="3127" customFormat="false" ht="15" hidden="false" customHeight="false" outlineLevel="0" collapsed="false">
      <c r="A3127" s="0" t="s">
        <v>2648</v>
      </c>
      <c r="B3127" s="0" t="s">
        <v>134</v>
      </c>
      <c r="C3127" s="0" t="s">
        <v>3447</v>
      </c>
      <c r="D3127" s="0" t="s">
        <v>3457</v>
      </c>
      <c r="E3127" s="0" t="s">
        <v>4963</v>
      </c>
      <c r="F3127" s="0" t="s">
        <v>60</v>
      </c>
      <c r="G3127" s="0" t="s">
        <v>4964</v>
      </c>
      <c r="H3127" s="0" t="s">
        <v>6004</v>
      </c>
      <c r="I3127" s="0" t="s">
        <v>4966</v>
      </c>
      <c r="J3127" s="19" t="s">
        <v>26</v>
      </c>
    </row>
    <row r="3128" customFormat="false" ht="15" hidden="false" customHeight="false" outlineLevel="0" collapsed="false">
      <c r="A3128" s="0" t="s">
        <v>2648</v>
      </c>
      <c r="B3128" s="0" t="s">
        <v>134</v>
      </c>
      <c r="C3128" s="0" t="s">
        <v>3450</v>
      </c>
      <c r="D3128" s="0" t="s">
        <v>3457</v>
      </c>
      <c r="E3128" s="0" t="s">
        <v>4969</v>
      </c>
      <c r="F3128" s="0" t="s">
        <v>61</v>
      </c>
      <c r="G3128" s="0" t="s">
        <v>4970</v>
      </c>
      <c r="H3128" s="0" t="s">
        <v>6005</v>
      </c>
      <c r="I3128" s="0" t="s">
        <v>4972</v>
      </c>
      <c r="J3128" s="20" t="s">
        <v>25</v>
      </c>
    </row>
    <row r="3129" customFormat="false" ht="15" hidden="false" customHeight="false" outlineLevel="0" collapsed="false">
      <c r="A3129" s="0" t="s">
        <v>2648</v>
      </c>
      <c r="B3129" s="0" t="s">
        <v>134</v>
      </c>
      <c r="C3129" s="0" t="s">
        <v>3447</v>
      </c>
      <c r="D3129" s="0" t="s">
        <v>3457</v>
      </c>
      <c r="E3129" s="0" t="s">
        <v>4963</v>
      </c>
      <c r="F3129" s="0" t="s">
        <v>59</v>
      </c>
      <c r="G3129" s="0" t="s">
        <v>4974</v>
      </c>
      <c r="H3129" s="0" t="s">
        <v>69</v>
      </c>
      <c r="I3129" s="0" t="s">
        <v>4975</v>
      </c>
      <c r="J3129" s="20" t="s">
        <v>25</v>
      </c>
    </row>
    <row r="3130" customFormat="false" ht="15" hidden="false" customHeight="false" outlineLevel="0" collapsed="false">
      <c r="A3130" s="0" t="s">
        <v>2654</v>
      </c>
      <c r="B3130" s="0" t="s">
        <v>134</v>
      </c>
      <c r="C3130" s="0" t="s">
        <v>3450</v>
      </c>
      <c r="D3130" s="0" t="s">
        <v>3457</v>
      </c>
      <c r="E3130" s="0" t="s">
        <v>4963</v>
      </c>
      <c r="F3130" s="0" t="s">
        <v>59</v>
      </c>
      <c r="G3130" s="0" t="s">
        <v>4974</v>
      </c>
      <c r="H3130" s="0" t="s">
        <v>69</v>
      </c>
      <c r="I3130" s="0" t="s">
        <v>4975</v>
      </c>
      <c r="J3130" s="20" t="s">
        <v>25</v>
      </c>
    </row>
    <row r="3131" customFormat="false" ht="15" hidden="false" customHeight="false" outlineLevel="0" collapsed="false">
      <c r="A3131" s="0" t="s">
        <v>2654</v>
      </c>
      <c r="B3131" s="0" t="s">
        <v>134</v>
      </c>
      <c r="C3131" s="0" t="s">
        <v>3447</v>
      </c>
      <c r="D3131" s="0" t="s">
        <v>3457</v>
      </c>
      <c r="E3131" s="0" t="s">
        <v>4963</v>
      </c>
      <c r="F3131" s="0" t="s">
        <v>59</v>
      </c>
      <c r="G3131" s="0" t="s">
        <v>4974</v>
      </c>
      <c r="H3131" s="0" t="s">
        <v>69</v>
      </c>
      <c r="I3131" s="0" t="s">
        <v>4975</v>
      </c>
      <c r="J3131" s="20" t="s">
        <v>25</v>
      </c>
    </row>
    <row r="3132" customFormat="false" ht="15" hidden="false" customHeight="false" outlineLevel="0" collapsed="false">
      <c r="A3132" s="0" t="s">
        <v>2654</v>
      </c>
      <c r="B3132" s="0" t="s">
        <v>134</v>
      </c>
      <c r="C3132" s="0" t="s">
        <v>3447</v>
      </c>
      <c r="D3132" s="0" t="s">
        <v>3448</v>
      </c>
      <c r="E3132" s="0" t="s">
        <v>4969</v>
      </c>
      <c r="F3132" s="0" t="s">
        <v>61</v>
      </c>
      <c r="G3132" s="0" t="s">
        <v>4970</v>
      </c>
      <c r="H3132" s="0" t="s">
        <v>6006</v>
      </c>
      <c r="I3132" s="0" t="s">
        <v>4972</v>
      </c>
      <c r="J3132" s="20" t="s">
        <v>25</v>
      </c>
    </row>
    <row r="3133" customFormat="false" ht="15" hidden="false" customHeight="false" outlineLevel="0" collapsed="false">
      <c r="A3133" s="0" t="s">
        <v>2654</v>
      </c>
      <c r="B3133" s="0" t="s">
        <v>134</v>
      </c>
      <c r="C3133" s="0" t="s">
        <v>3450</v>
      </c>
      <c r="D3133" s="0" t="s">
        <v>3457</v>
      </c>
      <c r="E3133" s="0" t="s">
        <v>4963</v>
      </c>
      <c r="F3133" s="0" t="s">
        <v>30</v>
      </c>
      <c r="G3133" s="0" t="s">
        <v>4980</v>
      </c>
      <c r="H3133" s="0" t="s">
        <v>4275</v>
      </c>
      <c r="I3133" s="0" t="s">
        <v>4981</v>
      </c>
      <c r="J3133" s="18" t="s">
        <v>24</v>
      </c>
    </row>
    <row r="3134" customFormat="false" ht="15" hidden="false" customHeight="false" outlineLevel="0" collapsed="false">
      <c r="A3134" s="0" t="s">
        <v>2654</v>
      </c>
      <c r="B3134" s="0" t="s">
        <v>134</v>
      </c>
      <c r="C3134" s="0" t="s">
        <v>3447</v>
      </c>
      <c r="D3134" s="0" t="s">
        <v>3457</v>
      </c>
      <c r="E3134" s="0" t="s">
        <v>4963</v>
      </c>
      <c r="F3134" s="0" t="s">
        <v>30</v>
      </c>
      <c r="G3134" s="0" t="s">
        <v>4980</v>
      </c>
      <c r="H3134" s="0" t="s">
        <v>4275</v>
      </c>
      <c r="I3134" s="0" t="s">
        <v>4981</v>
      </c>
      <c r="J3134" s="18" t="s">
        <v>24</v>
      </c>
    </row>
    <row r="3135" customFormat="false" ht="15" hidden="false" customHeight="false" outlineLevel="0" collapsed="false">
      <c r="A3135" s="0" t="s">
        <v>2654</v>
      </c>
      <c r="B3135" s="0" t="s">
        <v>134</v>
      </c>
      <c r="C3135" s="0" t="s">
        <v>3447</v>
      </c>
      <c r="D3135" s="0" t="s">
        <v>3448</v>
      </c>
      <c r="E3135" s="0" t="s">
        <v>4963</v>
      </c>
      <c r="F3135" s="0" t="s">
        <v>30</v>
      </c>
      <c r="G3135" s="0" t="s">
        <v>4980</v>
      </c>
      <c r="H3135" s="0" t="s">
        <v>4804</v>
      </c>
      <c r="I3135" s="0" t="s">
        <v>4981</v>
      </c>
      <c r="J3135" s="18" t="s">
        <v>24</v>
      </c>
    </row>
    <row r="3136" customFormat="false" ht="15" hidden="false" customHeight="false" outlineLevel="0" collapsed="false">
      <c r="A3136" s="0" t="s">
        <v>2660</v>
      </c>
      <c r="B3136" s="0" t="s">
        <v>134</v>
      </c>
      <c r="C3136" s="0" t="s">
        <v>3447</v>
      </c>
      <c r="D3136" s="0" t="s">
        <v>3457</v>
      </c>
      <c r="E3136" s="0" t="s">
        <v>4963</v>
      </c>
      <c r="F3136" s="0" t="s">
        <v>60</v>
      </c>
      <c r="G3136" s="0" t="s">
        <v>4964</v>
      </c>
      <c r="H3136" s="0" t="s">
        <v>6007</v>
      </c>
      <c r="I3136" s="0" t="s">
        <v>4966</v>
      </c>
      <c r="J3136" s="19" t="s">
        <v>26</v>
      </c>
    </row>
    <row r="3137" customFormat="false" ht="15" hidden="false" customHeight="false" outlineLevel="0" collapsed="false">
      <c r="A3137" s="0" t="s">
        <v>2660</v>
      </c>
      <c r="B3137" s="0" t="s">
        <v>134</v>
      </c>
      <c r="C3137" s="0" t="s">
        <v>3450</v>
      </c>
      <c r="D3137" s="0" t="s">
        <v>3457</v>
      </c>
      <c r="E3137" s="0" t="s">
        <v>4963</v>
      </c>
      <c r="F3137" s="0" t="s">
        <v>59</v>
      </c>
      <c r="G3137" s="0" t="s">
        <v>4974</v>
      </c>
      <c r="H3137" s="0" t="s">
        <v>69</v>
      </c>
      <c r="I3137" s="0" t="s">
        <v>4975</v>
      </c>
      <c r="J3137" s="20" t="s">
        <v>25</v>
      </c>
    </row>
    <row r="3138" customFormat="false" ht="15" hidden="false" customHeight="false" outlineLevel="0" collapsed="false">
      <c r="A3138" s="0" t="s">
        <v>2660</v>
      </c>
      <c r="B3138" s="0" t="s">
        <v>134</v>
      </c>
      <c r="C3138" s="0" t="s">
        <v>3450</v>
      </c>
      <c r="D3138" s="0" t="s">
        <v>3448</v>
      </c>
      <c r="E3138" s="0" t="s">
        <v>4963</v>
      </c>
      <c r="F3138" s="0" t="s">
        <v>59</v>
      </c>
      <c r="G3138" s="0" t="s">
        <v>4974</v>
      </c>
      <c r="H3138" s="0" t="s">
        <v>69</v>
      </c>
      <c r="I3138" s="0" t="s">
        <v>4975</v>
      </c>
      <c r="J3138" s="20" t="s">
        <v>25</v>
      </c>
    </row>
    <row r="3139" customFormat="false" ht="15" hidden="false" customHeight="false" outlineLevel="0" collapsed="false">
      <c r="A3139" s="0" t="s">
        <v>2660</v>
      </c>
      <c r="B3139" s="0" t="s">
        <v>134</v>
      </c>
      <c r="C3139" s="0" t="s">
        <v>3450</v>
      </c>
      <c r="D3139" s="0" t="s">
        <v>3448</v>
      </c>
      <c r="E3139" s="0" t="s">
        <v>4969</v>
      </c>
      <c r="F3139" s="0" t="s">
        <v>64</v>
      </c>
      <c r="G3139" s="0" t="s">
        <v>4220</v>
      </c>
      <c r="H3139" s="0" t="s">
        <v>6008</v>
      </c>
      <c r="I3139" s="0" t="s">
        <v>4991</v>
      </c>
      <c r="J3139" s="20" t="s">
        <v>25</v>
      </c>
    </row>
    <row r="3140" customFormat="false" ht="15" hidden="false" customHeight="false" outlineLevel="0" collapsed="false">
      <c r="A3140" s="0" t="s">
        <v>2660</v>
      </c>
      <c r="B3140" s="0" t="s">
        <v>134</v>
      </c>
      <c r="C3140" s="0" t="s">
        <v>3447</v>
      </c>
      <c r="D3140" s="0" t="s">
        <v>3448</v>
      </c>
      <c r="E3140" s="0" t="s">
        <v>4963</v>
      </c>
      <c r="F3140" s="0" t="s">
        <v>59</v>
      </c>
      <c r="G3140" s="0" t="s">
        <v>4974</v>
      </c>
      <c r="H3140" s="0" t="s">
        <v>69</v>
      </c>
      <c r="I3140" s="0" t="s">
        <v>4975</v>
      </c>
      <c r="J3140" s="20" t="s">
        <v>25</v>
      </c>
    </row>
    <row r="3141" customFormat="false" ht="15" hidden="false" customHeight="false" outlineLevel="0" collapsed="false">
      <c r="A3141" s="0" t="s">
        <v>2660</v>
      </c>
      <c r="B3141" s="0" t="s">
        <v>134</v>
      </c>
      <c r="C3141" s="0" t="s">
        <v>3447</v>
      </c>
      <c r="D3141" s="0" t="s">
        <v>3448</v>
      </c>
      <c r="E3141" s="0" t="s">
        <v>4969</v>
      </c>
      <c r="F3141" s="0" t="s">
        <v>64</v>
      </c>
      <c r="G3141" s="0" t="s">
        <v>4220</v>
      </c>
      <c r="H3141" s="0" t="s">
        <v>6008</v>
      </c>
      <c r="I3141" s="0" t="s">
        <v>4991</v>
      </c>
      <c r="J3141" s="20" t="s">
        <v>25</v>
      </c>
    </row>
    <row r="3142" customFormat="false" ht="15" hidden="false" customHeight="false" outlineLevel="0" collapsed="false">
      <c r="A3142" s="0" t="s">
        <v>2660</v>
      </c>
      <c r="B3142" s="0" t="s">
        <v>134</v>
      </c>
      <c r="C3142" s="0" t="s">
        <v>3450</v>
      </c>
      <c r="D3142" s="0" t="s">
        <v>3457</v>
      </c>
      <c r="E3142" s="0" t="s">
        <v>4963</v>
      </c>
      <c r="F3142" s="0" t="s">
        <v>30</v>
      </c>
      <c r="G3142" s="0" t="s">
        <v>4980</v>
      </c>
      <c r="H3142" s="0" t="s">
        <v>4242</v>
      </c>
      <c r="I3142" s="0" t="s">
        <v>4981</v>
      </c>
      <c r="J3142" s="18" t="s">
        <v>24</v>
      </c>
    </row>
    <row r="3143" customFormat="false" ht="15" hidden="false" customHeight="false" outlineLevel="0" collapsed="false">
      <c r="A3143" s="0" t="s">
        <v>2660</v>
      </c>
      <c r="B3143" s="0" t="s">
        <v>134</v>
      </c>
      <c r="C3143" s="0" t="s">
        <v>3450</v>
      </c>
      <c r="D3143" s="0" t="s">
        <v>3448</v>
      </c>
      <c r="E3143" s="0" t="s">
        <v>4963</v>
      </c>
      <c r="F3143" s="0" t="s">
        <v>30</v>
      </c>
      <c r="G3143" s="0" t="s">
        <v>4980</v>
      </c>
      <c r="H3143" s="0" t="s">
        <v>4238</v>
      </c>
      <c r="I3143" s="0" t="s">
        <v>4981</v>
      </c>
      <c r="J3143" s="18" t="s">
        <v>24</v>
      </c>
    </row>
    <row r="3144" customFormat="false" ht="15" hidden="false" customHeight="false" outlineLevel="0" collapsed="false">
      <c r="A3144" s="0" t="s">
        <v>2660</v>
      </c>
      <c r="B3144" s="0" t="s">
        <v>134</v>
      </c>
      <c r="C3144" s="0" t="s">
        <v>3447</v>
      </c>
      <c r="D3144" s="0" t="s">
        <v>3448</v>
      </c>
      <c r="E3144" s="0" t="s">
        <v>4963</v>
      </c>
      <c r="F3144" s="0" t="s">
        <v>30</v>
      </c>
      <c r="G3144" s="0" t="s">
        <v>4980</v>
      </c>
      <c r="H3144" s="0" t="s">
        <v>4275</v>
      </c>
      <c r="I3144" s="0" t="s">
        <v>4981</v>
      </c>
      <c r="J3144" s="18" t="s">
        <v>24</v>
      </c>
    </row>
    <row r="3145" customFormat="false" ht="15" hidden="false" customHeight="false" outlineLevel="0" collapsed="false">
      <c r="A3145" s="0" t="s">
        <v>2666</v>
      </c>
      <c r="B3145" s="0" t="s">
        <v>134</v>
      </c>
      <c r="C3145" s="0" t="s">
        <v>3450</v>
      </c>
      <c r="D3145" s="0" t="s">
        <v>3457</v>
      </c>
      <c r="E3145" s="0" t="s">
        <v>4963</v>
      </c>
      <c r="F3145" s="0" t="s">
        <v>60</v>
      </c>
      <c r="G3145" s="0" t="s">
        <v>4964</v>
      </c>
      <c r="H3145" s="0" t="s">
        <v>6009</v>
      </c>
      <c r="I3145" s="0" t="s">
        <v>4966</v>
      </c>
      <c r="J3145" s="19" t="s">
        <v>26</v>
      </c>
    </row>
    <row r="3146" customFormat="false" ht="15" hidden="false" customHeight="false" outlineLevel="0" collapsed="false">
      <c r="A3146" s="0" t="s">
        <v>2666</v>
      </c>
      <c r="B3146" s="0" t="s">
        <v>134</v>
      </c>
      <c r="C3146" s="0" t="s">
        <v>3450</v>
      </c>
      <c r="D3146" s="0" t="s">
        <v>3457</v>
      </c>
      <c r="E3146" s="0" t="s">
        <v>4969</v>
      </c>
      <c r="F3146" s="0" t="s">
        <v>61</v>
      </c>
      <c r="G3146" s="0" t="s">
        <v>4970</v>
      </c>
      <c r="H3146" s="0" t="s">
        <v>6010</v>
      </c>
      <c r="I3146" s="0" t="s">
        <v>4972</v>
      </c>
      <c r="J3146" s="20" t="s">
        <v>25</v>
      </c>
    </row>
    <row r="3147" customFormat="false" ht="15" hidden="false" customHeight="false" outlineLevel="0" collapsed="false">
      <c r="A3147" s="0" t="s">
        <v>2666</v>
      </c>
      <c r="B3147" s="0" t="s">
        <v>134</v>
      </c>
      <c r="C3147" s="0" t="s">
        <v>3450</v>
      </c>
      <c r="D3147" s="0" t="s">
        <v>3448</v>
      </c>
      <c r="E3147" s="0" t="s">
        <v>4963</v>
      </c>
      <c r="F3147" s="0" t="s">
        <v>59</v>
      </c>
      <c r="G3147" s="0" t="s">
        <v>4974</v>
      </c>
      <c r="H3147" s="0" t="s">
        <v>69</v>
      </c>
      <c r="I3147" s="0" t="s">
        <v>4975</v>
      </c>
      <c r="J3147" s="20" t="s">
        <v>25</v>
      </c>
    </row>
    <row r="3148" customFormat="false" ht="15" hidden="false" customHeight="false" outlineLevel="0" collapsed="false">
      <c r="A3148" s="0" t="s">
        <v>2666</v>
      </c>
      <c r="B3148" s="0" t="s">
        <v>134</v>
      </c>
      <c r="C3148" s="0" t="s">
        <v>3447</v>
      </c>
      <c r="D3148" s="0" t="s">
        <v>3457</v>
      </c>
      <c r="E3148" s="0" t="s">
        <v>4969</v>
      </c>
      <c r="F3148" s="0" t="s">
        <v>61</v>
      </c>
      <c r="G3148" s="0" t="s">
        <v>4970</v>
      </c>
      <c r="H3148" s="0" t="s">
        <v>6011</v>
      </c>
      <c r="I3148" s="0" t="s">
        <v>4972</v>
      </c>
      <c r="J3148" s="20" t="s">
        <v>25</v>
      </c>
    </row>
    <row r="3149" customFormat="false" ht="15" hidden="false" customHeight="false" outlineLevel="0" collapsed="false">
      <c r="A3149" s="0" t="s">
        <v>2666</v>
      </c>
      <c r="B3149" s="0" t="s">
        <v>134</v>
      </c>
      <c r="C3149" s="0" t="s">
        <v>3447</v>
      </c>
      <c r="D3149" s="0" t="s">
        <v>3448</v>
      </c>
      <c r="E3149" s="0" t="s">
        <v>4969</v>
      </c>
      <c r="F3149" s="0" t="s">
        <v>61</v>
      </c>
      <c r="G3149" s="0" t="s">
        <v>4970</v>
      </c>
      <c r="H3149" s="0" t="s">
        <v>6012</v>
      </c>
      <c r="I3149" s="0" t="s">
        <v>4972</v>
      </c>
      <c r="J3149" s="20" t="s">
        <v>25</v>
      </c>
    </row>
    <row r="3150" customFormat="false" ht="15" hidden="false" customHeight="false" outlineLevel="0" collapsed="false">
      <c r="A3150" s="0" t="s">
        <v>2666</v>
      </c>
      <c r="B3150" s="0" t="s">
        <v>134</v>
      </c>
      <c r="C3150" s="0" t="s">
        <v>3450</v>
      </c>
      <c r="D3150" s="0" t="s">
        <v>3448</v>
      </c>
      <c r="E3150" s="0" t="s">
        <v>4963</v>
      </c>
      <c r="F3150" s="0" t="s">
        <v>30</v>
      </c>
      <c r="G3150" s="0" t="s">
        <v>4980</v>
      </c>
      <c r="H3150" s="0" t="s">
        <v>4807</v>
      </c>
      <c r="I3150" s="0" t="s">
        <v>4981</v>
      </c>
      <c r="J3150" s="18" t="s">
        <v>24</v>
      </c>
    </row>
    <row r="3151" customFormat="false" ht="15" hidden="false" customHeight="false" outlineLevel="0" collapsed="false">
      <c r="A3151" s="0" t="s">
        <v>2666</v>
      </c>
      <c r="B3151" s="0" t="s">
        <v>134</v>
      </c>
      <c r="C3151" s="0" t="s">
        <v>3447</v>
      </c>
      <c r="D3151" s="0" t="s">
        <v>3457</v>
      </c>
      <c r="E3151" s="0" t="s">
        <v>4963</v>
      </c>
      <c r="F3151" s="0" t="s">
        <v>30</v>
      </c>
      <c r="G3151" s="0" t="s">
        <v>4980</v>
      </c>
      <c r="H3151" s="0" t="s">
        <v>4664</v>
      </c>
      <c r="I3151" s="0" t="s">
        <v>4981</v>
      </c>
      <c r="J3151" s="18" t="s">
        <v>24</v>
      </c>
    </row>
    <row r="3152" customFormat="false" ht="15" hidden="false" customHeight="false" outlineLevel="0" collapsed="false">
      <c r="A3152" s="0" t="s">
        <v>2666</v>
      </c>
      <c r="B3152" s="0" t="s">
        <v>134</v>
      </c>
      <c r="C3152" s="0" t="s">
        <v>3447</v>
      </c>
      <c r="D3152" s="0" t="s">
        <v>3448</v>
      </c>
      <c r="E3152" s="0" t="s">
        <v>4963</v>
      </c>
      <c r="F3152" s="0" t="s">
        <v>30</v>
      </c>
      <c r="G3152" s="0" t="s">
        <v>4980</v>
      </c>
      <c r="H3152" s="0" t="s">
        <v>4664</v>
      </c>
      <c r="I3152" s="0" t="s">
        <v>4981</v>
      </c>
      <c r="J3152" s="18" t="s">
        <v>24</v>
      </c>
    </row>
    <row r="3153" customFormat="false" ht="15" hidden="false" customHeight="false" outlineLevel="0" collapsed="false">
      <c r="A3153" s="0" t="s">
        <v>2672</v>
      </c>
      <c r="B3153" s="0" t="s">
        <v>134</v>
      </c>
      <c r="C3153" s="0" t="s">
        <v>3450</v>
      </c>
      <c r="D3153" s="0" t="s">
        <v>3457</v>
      </c>
      <c r="E3153" s="0" t="s">
        <v>4963</v>
      </c>
      <c r="F3153" s="0" t="s">
        <v>60</v>
      </c>
      <c r="G3153" s="0" t="s">
        <v>4964</v>
      </c>
      <c r="H3153" s="0" t="s">
        <v>6013</v>
      </c>
      <c r="I3153" s="0" t="s">
        <v>4966</v>
      </c>
      <c r="J3153" s="19" t="s">
        <v>26</v>
      </c>
    </row>
    <row r="3154" customFormat="false" ht="15" hidden="false" customHeight="false" outlineLevel="0" collapsed="false">
      <c r="A3154" s="0" t="s">
        <v>2672</v>
      </c>
      <c r="B3154" s="0" t="s">
        <v>134</v>
      </c>
      <c r="C3154" s="0" t="s">
        <v>3450</v>
      </c>
      <c r="D3154" s="0" t="s">
        <v>3457</v>
      </c>
      <c r="E3154" s="0" t="s">
        <v>4963</v>
      </c>
      <c r="F3154" s="0" t="s">
        <v>59</v>
      </c>
      <c r="G3154" s="0" t="s">
        <v>4974</v>
      </c>
      <c r="H3154" s="0" t="s">
        <v>69</v>
      </c>
      <c r="I3154" s="0" t="s">
        <v>4975</v>
      </c>
      <c r="J3154" s="20" t="s">
        <v>25</v>
      </c>
    </row>
    <row r="3155" customFormat="false" ht="15" hidden="false" customHeight="false" outlineLevel="0" collapsed="false">
      <c r="A3155" s="0" t="s">
        <v>2672</v>
      </c>
      <c r="B3155" s="0" t="s">
        <v>134</v>
      </c>
      <c r="C3155" s="0" t="s">
        <v>3450</v>
      </c>
      <c r="D3155" s="0" t="s">
        <v>3457</v>
      </c>
      <c r="E3155" s="0" t="s">
        <v>4969</v>
      </c>
      <c r="F3155" s="0" t="s">
        <v>61</v>
      </c>
      <c r="G3155" s="0" t="s">
        <v>4970</v>
      </c>
      <c r="H3155" s="0" t="s">
        <v>6014</v>
      </c>
      <c r="I3155" s="0" t="s">
        <v>4972</v>
      </c>
      <c r="J3155" s="20" t="s">
        <v>25</v>
      </c>
    </row>
    <row r="3156" customFormat="false" ht="15" hidden="false" customHeight="false" outlineLevel="0" collapsed="false">
      <c r="A3156" s="0" t="s">
        <v>2672</v>
      </c>
      <c r="B3156" s="0" t="s">
        <v>134</v>
      </c>
      <c r="C3156" s="0" t="s">
        <v>3450</v>
      </c>
      <c r="D3156" s="0" t="s">
        <v>3448</v>
      </c>
      <c r="E3156" s="0" t="s">
        <v>4963</v>
      </c>
      <c r="F3156" s="0" t="s">
        <v>59</v>
      </c>
      <c r="G3156" s="0" t="s">
        <v>4974</v>
      </c>
      <c r="H3156" s="0" t="s">
        <v>69</v>
      </c>
      <c r="I3156" s="0" t="s">
        <v>4975</v>
      </c>
      <c r="J3156" s="20" t="s">
        <v>25</v>
      </c>
    </row>
    <row r="3157" customFormat="false" ht="15" hidden="false" customHeight="false" outlineLevel="0" collapsed="false">
      <c r="A3157" s="0" t="s">
        <v>2672</v>
      </c>
      <c r="B3157" s="0" t="s">
        <v>134</v>
      </c>
      <c r="C3157" s="0" t="s">
        <v>3450</v>
      </c>
      <c r="D3157" s="0" t="s">
        <v>3448</v>
      </c>
      <c r="E3157" s="0" t="s">
        <v>4969</v>
      </c>
      <c r="F3157" s="0" t="s">
        <v>61</v>
      </c>
      <c r="G3157" s="0" t="s">
        <v>4970</v>
      </c>
      <c r="H3157" s="0" t="s">
        <v>6015</v>
      </c>
      <c r="I3157" s="0" t="s">
        <v>4972</v>
      </c>
      <c r="J3157" s="20" t="s">
        <v>25</v>
      </c>
    </row>
    <row r="3158" customFormat="false" ht="15" hidden="false" customHeight="false" outlineLevel="0" collapsed="false">
      <c r="A3158" s="0" t="s">
        <v>2672</v>
      </c>
      <c r="B3158" s="0" t="s">
        <v>134</v>
      </c>
      <c r="C3158" s="0" t="s">
        <v>3450</v>
      </c>
      <c r="D3158" s="0" t="s">
        <v>3448</v>
      </c>
      <c r="E3158" s="0" t="s">
        <v>4969</v>
      </c>
      <c r="F3158" s="0" t="s">
        <v>64</v>
      </c>
      <c r="G3158" s="0" t="s">
        <v>4220</v>
      </c>
      <c r="H3158" s="0" t="s">
        <v>6016</v>
      </c>
      <c r="I3158" s="0" t="s">
        <v>4991</v>
      </c>
      <c r="J3158" s="20" t="s">
        <v>25</v>
      </c>
    </row>
    <row r="3159" customFormat="false" ht="15" hidden="false" customHeight="false" outlineLevel="0" collapsed="false">
      <c r="A3159" s="0" t="s">
        <v>2672</v>
      </c>
      <c r="B3159" s="0" t="s">
        <v>134</v>
      </c>
      <c r="C3159" s="0" t="s">
        <v>3447</v>
      </c>
      <c r="D3159" s="0" t="s">
        <v>3457</v>
      </c>
      <c r="E3159" s="0" t="s">
        <v>4969</v>
      </c>
      <c r="F3159" s="0" t="s">
        <v>61</v>
      </c>
      <c r="G3159" s="0" t="s">
        <v>4970</v>
      </c>
      <c r="H3159" s="0" t="s">
        <v>6017</v>
      </c>
      <c r="I3159" s="0" t="s">
        <v>4972</v>
      </c>
      <c r="J3159" s="20" t="s">
        <v>25</v>
      </c>
    </row>
    <row r="3160" customFormat="false" ht="15" hidden="false" customHeight="false" outlineLevel="0" collapsed="false">
      <c r="A3160" s="0" t="s">
        <v>2672</v>
      </c>
      <c r="B3160" s="0" t="s">
        <v>134</v>
      </c>
      <c r="C3160" s="0" t="s">
        <v>3447</v>
      </c>
      <c r="D3160" s="0" t="s">
        <v>3448</v>
      </c>
      <c r="E3160" s="0" t="s">
        <v>4969</v>
      </c>
      <c r="F3160" s="0" t="s">
        <v>64</v>
      </c>
      <c r="G3160" s="0" t="s">
        <v>4220</v>
      </c>
      <c r="H3160" s="0" t="s">
        <v>6016</v>
      </c>
      <c r="I3160" s="0" t="s">
        <v>4991</v>
      </c>
      <c r="J3160" s="20" t="s">
        <v>25</v>
      </c>
    </row>
    <row r="3161" customFormat="false" ht="15" hidden="false" customHeight="false" outlineLevel="0" collapsed="false">
      <c r="A3161" s="0" t="s">
        <v>2672</v>
      </c>
      <c r="B3161" s="0" t="s">
        <v>134</v>
      </c>
      <c r="C3161" s="0" t="s">
        <v>3450</v>
      </c>
      <c r="D3161" s="0" t="s">
        <v>3448</v>
      </c>
      <c r="E3161" s="0" t="s">
        <v>4963</v>
      </c>
      <c r="F3161" s="0" t="s">
        <v>30</v>
      </c>
      <c r="G3161" s="0" t="s">
        <v>4980</v>
      </c>
      <c r="H3161" s="0" t="s">
        <v>4535</v>
      </c>
      <c r="I3161" s="0" t="s">
        <v>4981</v>
      </c>
      <c r="J3161" s="18" t="s">
        <v>24</v>
      </c>
    </row>
    <row r="3162" customFormat="false" ht="15" hidden="false" customHeight="false" outlineLevel="0" collapsed="false">
      <c r="A3162" s="0" t="s">
        <v>2672</v>
      </c>
      <c r="B3162" s="0" t="s">
        <v>134</v>
      </c>
      <c r="C3162" s="0" t="s">
        <v>3447</v>
      </c>
      <c r="D3162" s="0" t="s">
        <v>3457</v>
      </c>
      <c r="E3162" s="0" t="s">
        <v>4963</v>
      </c>
      <c r="F3162" s="0" t="s">
        <v>30</v>
      </c>
      <c r="G3162" s="0" t="s">
        <v>4980</v>
      </c>
      <c r="H3162" s="0" t="s">
        <v>4809</v>
      </c>
      <c r="I3162" s="0" t="s">
        <v>4981</v>
      </c>
      <c r="J3162" s="18" t="s">
        <v>24</v>
      </c>
    </row>
    <row r="3163" customFormat="false" ht="15" hidden="false" customHeight="false" outlineLevel="0" collapsed="false">
      <c r="A3163" s="0" t="s">
        <v>2672</v>
      </c>
      <c r="B3163" s="0" t="s">
        <v>134</v>
      </c>
      <c r="C3163" s="0" t="s">
        <v>3447</v>
      </c>
      <c r="D3163" s="0" t="s">
        <v>3448</v>
      </c>
      <c r="E3163" s="0" t="s">
        <v>4963</v>
      </c>
      <c r="F3163" s="0" t="s">
        <v>30</v>
      </c>
      <c r="G3163" s="0" t="s">
        <v>4980</v>
      </c>
      <c r="H3163" s="0" t="s">
        <v>4394</v>
      </c>
      <c r="I3163" s="0" t="s">
        <v>4981</v>
      </c>
      <c r="J3163" s="18" t="s">
        <v>24</v>
      </c>
    </row>
    <row r="3164" customFormat="false" ht="15" hidden="false" customHeight="false" outlineLevel="0" collapsed="false">
      <c r="A3164" s="0" t="s">
        <v>2678</v>
      </c>
      <c r="B3164" s="0" t="s">
        <v>134</v>
      </c>
      <c r="C3164" s="0" t="s">
        <v>3450</v>
      </c>
      <c r="D3164" s="0" t="s">
        <v>3448</v>
      </c>
      <c r="E3164" s="0" t="s">
        <v>4963</v>
      </c>
      <c r="F3164" s="0" t="s">
        <v>60</v>
      </c>
      <c r="G3164" s="0" t="s">
        <v>4964</v>
      </c>
      <c r="H3164" s="0" t="s">
        <v>6018</v>
      </c>
      <c r="I3164" s="0" t="s">
        <v>4966</v>
      </c>
      <c r="J3164" s="19" t="s">
        <v>26</v>
      </c>
    </row>
    <row r="3165" customFormat="false" ht="15" hidden="false" customHeight="false" outlineLevel="0" collapsed="false">
      <c r="A3165" s="0" t="s">
        <v>2678</v>
      </c>
      <c r="B3165" s="0" t="s">
        <v>134</v>
      </c>
      <c r="C3165" s="0" t="s">
        <v>3450</v>
      </c>
      <c r="D3165" s="0" t="s">
        <v>3457</v>
      </c>
      <c r="E3165" s="0" t="s">
        <v>4969</v>
      </c>
      <c r="F3165" s="0" t="s">
        <v>61</v>
      </c>
      <c r="G3165" s="0" t="s">
        <v>4970</v>
      </c>
      <c r="H3165" s="0" t="s">
        <v>6019</v>
      </c>
      <c r="I3165" s="0" t="s">
        <v>4972</v>
      </c>
      <c r="J3165" s="20" t="s">
        <v>25</v>
      </c>
    </row>
    <row r="3166" customFormat="false" ht="15" hidden="false" customHeight="false" outlineLevel="0" collapsed="false">
      <c r="A3166" s="0" t="s">
        <v>2678</v>
      </c>
      <c r="B3166" s="0" t="s">
        <v>134</v>
      </c>
      <c r="C3166" s="0" t="s">
        <v>3450</v>
      </c>
      <c r="D3166" s="0" t="s">
        <v>3457</v>
      </c>
      <c r="E3166" s="0" t="s">
        <v>4969</v>
      </c>
      <c r="F3166" s="0" t="s">
        <v>62</v>
      </c>
      <c r="G3166" s="0" t="s">
        <v>5003</v>
      </c>
      <c r="H3166" s="0" t="s">
        <v>6020</v>
      </c>
      <c r="I3166" s="0" t="s">
        <v>5005</v>
      </c>
      <c r="J3166" s="20" t="s">
        <v>25</v>
      </c>
    </row>
    <row r="3167" customFormat="false" ht="15" hidden="false" customHeight="false" outlineLevel="0" collapsed="false">
      <c r="A3167" s="0" t="s">
        <v>2678</v>
      </c>
      <c r="B3167" s="0" t="s">
        <v>134</v>
      </c>
      <c r="C3167" s="0" t="s">
        <v>3450</v>
      </c>
      <c r="D3167" s="0" t="s">
        <v>3457</v>
      </c>
      <c r="E3167" s="0" t="s">
        <v>4969</v>
      </c>
      <c r="F3167" s="0" t="s">
        <v>63</v>
      </c>
      <c r="G3167" s="0" t="s">
        <v>4220</v>
      </c>
      <c r="H3167" s="0" t="s">
        <v>6021</v>
      </c>
      <c r="I3167" s="0" t="s">
        <v>4979</v>
      </c>
      <c r="J3167" s="20" t="s">
        <v>25</v>
      </c>
    </row>
    <row r="3168" customFormat="false" ht="15" hidden="false" customHeight="false" outlineLevel="0" collapsed="false">
      <c r="A3168" s="0" t="s">
        <v>2678</v>
      </c>
      <c r="B3168" s="0" t="s">
        <v>134</v>
      </c>
      <c r="C3168" s="0" t="s">
        <v>3450</v>
      </c>
      <c r="D3168" s="0" t="s">
        <v>3448</v>
      </c>
      <c r="E3168" s="0" t="s">
        <v>4969</v>
      </c>
      <c r="F3168" s="0" t="s">
        <v>62</v>
      </c>
      <c r="G3168" s="0" t="s">
        <v>5003</v>
      </c>
      <c r="H3168" s="0" t="s">
        <v>6022</v>
      </c>
      <c r="I3168" s="0" t="s">
        <v>5005</v>
      </c>
      <c r="J3168" s="20" t="s">
        <v>25</v>
      </c>
    </row>
    <row r="3169" customFormat="false" ht="15" hidden="false" customHeight="false" outlineLevel="0" collapsed="false">
      <c r="A3169" s="0" t="s">
        <v>2678</v>
      </c>
      <c r="B3169" s="0" t="s">
        <v>134</v>
      </c>
      <c r="C3169" s="0" t="s">
        <v>3447</v>
      </c>
      <c r="D3169" s="0" t="s">
        <v>3457</v>
      </c>
      <c r="E3169" s="0" t="s">
        <v>4969</v>
      </c>
      <c r="F3169" s="0" t="s">
        <v>61</v>
      </c>
      <c r="G3169" s="0" t="s">
        <v>4970</v>
      </c>
      <c r="H3169" s="0" t="s">
        <v>6023</v>
      </c>
      <c r="I3169" s="0" t="s">
        <v>4972</v>
      </c>
      <c r="J3169" s="20" t="s">
        <v>25</v>
      </c>
    </row>
    <row r="3170" customFormat="false" ht="15" hidden="false" customHeight="false" outlineLevel="0" collapsed="false">
      <c r="A3170" s="0" t="s">
        <v>2678</v>
      </c>
      <c r="B3170" s="0" t="s">
        <v>134</v>
      </c>
      <c r="C3170" s="0" t="s">
        <v>3447</v>
      </c>
      <c r="D3170" s="0" t="s">
        <v>3457</v>
      </c>
      <c r="E3170" s="0" t="s">
        <v>4969</v>
      </c>
      <c r="F3170" s="0" t="s">
        <v>63</v>
      </c>
      <c r="G3170" s="0" t="s">
        <v>4220</v>
      </c>
      <c r="H3170" s="0" t="s">
        <v>6021</v>
      </c>
      <c r="I3170" s="0" t="s">
        <v>4979</v>
      </c>
      <c r="J3170" s="20" t="s">
        <v>25</v>
      </c>
    </row>
    <row r="3171" customFormat="false" ht="15" hidden="false" customHeight="false" outlineLevel="0" collapsed="false">
      <c r="A3171" s="0" t="s">
        <v>2678</v>
      </c>
      <c r="B3171" s="0" t="s">
        <v>134</v>
      </c>
      <c r="C3171" s="0" t="s">
        <v>3450</v>
      </c>
      <c r="D3171" s="0" t="s">
        <v>3457</v>
      </c>
      <c r="E3171" s="0" t="s">
        <v>4963</v>
      </c>
      <c r="F3171" s="0" t="s">
        <v>30</v>
      </c>
      <c r="G3171" s="0" t="s">
        <v>4980</v>
      </c>
      <c r="H3171" s="0" t="s">
        <v>4810</v>
      </c>
      <c r="I3171" s="0" t="s">
        <v>4981</v>
      </c>
      <c r="J3171" s="18" t="s">
        <v>24</v>
      </c>
    </row>
    <row r="3172" customFormat="false" ht="15" hidden="false" customHeight="false" outlineLevel="0" collapsed="false">
      <c r="A3172" s="0" t="s">
        <v>2678</v>
      </c>
      <c r="B3172" s="0" t="s">
        <v>134</v>
      </c>
      <c r="C3172" s="0" t="s">
        <v>3447</v>
      </c>
      <c r="D3172" s="0" t="s">
        <v>3448</v>
      </c>
      <c r="E3172" s="0" t="s">
        <v>4963</v>
      </c>
      <c r="F3172" s="0" t="s">
        <v>30</v>
      </c>
      <c r="G3172" s="0" t="s">
        <v>4980</v>
      </c>
      <c r="H3172" s="0" t="s">
        <v>4266</v>
      </c>
      <c r="I3172" s="0" t="s">
        <v>4981</v>
      </c>
      <c r="J3172" s="18" t="s">
        <v>24</v>
      </c>
    </row>
    <row r="3173" customFormat="false" ht="15" hidden="false" customHeight="false" outlineLevel="0" collapsed="false">
      <c r="A3173" s="0" t="s">
        <v>2685</v>
      </c>
      <c r="B3173" s="0" t="s">
        <v>134</v>
      </c>
      <c r="C3173" s="0" t="s">
        <v>3450</v>
      </c>
      <c r="D3173" s="0" t="s">
        <v>3457</v>
      </c>
      <c r="E3173" s="0" t="s">
        <v>4963</v>
      </c>
      <c r="F3173" s="0" t="s">
        <v>60</v>
      </c>
      <c r="G3173" s="0" t="s">
        <v>4964</v>
      </c>
      <c r="H3173" s="0" t="s">
        <v>6024</v>
      </c>
      <c r="I3173" s="0" t="s">
        <v>4966</v>
      </c>
      <c r="J3173" s="19" t="s">
        <v>26</v>
      </c>
    </row>
    <row r="3174" customFormat="false" ht="15" hidden="false" customHeight="false" outlineLevel="0" collapsed="false">
      <c r="A3174" s="0" t="s">
        <v>2685</v>
      </c>
      <c r="B3174" s="0" t="s">
        <v>134</v>
      </c>
      <c r="C3174" s="0" t="s">
        <v>3450</v>
      </c>
      <c r="D3174" s="0" t="s">
        <v>3448</v>
      </c>
      <c r="E3174" s="0" t="s">
        <v>4963</v>
      </c>
      <c r="F3174" s="0" t="s">
        <v>60</v>
      </c>
      <c r="G3174" s="0" t="s">
        <v>4964</v>
      </c>
      <c r="H3174" s="0" t="s">
        <v>5056</v>
      </c>
      <c r="I3174" s="0" t="s">
        <v>4966</v>
      </c>
      <c r="J3174" s="19" t="s">
        <v>26</v>
      </c>
    </row>
    <row r="3175" customFormat="false" ht="15" hidden="false" customHeight="false" outlineLevel="0" collapsed="false">
      <c r="A3175" s="0" t="s">
        <v>2685</v>
      </c>
      <c r="B3175" s="0" t="s">
        <v>3459</v>
      </c>
      <c r="C3175" s="0" t="s">
        <v>3450</v>
      </c>
      <c r="D3175" s="0" t="s">
        <v>3457</v>
      </c>
      <c r="E3175" s="0" t="s">
        <v>4963</v>
      </c>
      <c r="F3175" s="0" t="s">
        <v>60</v>
      </c>
      <c r="G3175" s="0" t="s">
        <v>4964</v>
      </c>
      <c r="H3175" s="0" t="s">
        <v>5056</v>
      </c>
      <c r="I3175" s="0" t="s">
        <v>4966</v>
      </c>
      <c r="J3175" s="19" t="s">
        <v>26</v>
      </c>
    </row>
    <row r="3176" customFormat="false" ht="15" hidden="false" customHeight="false" outlineLevel="0" collapsed="false">
      <c r="A3176" s="0" t="s">
        <v>2685</v>
      </c>
      <c r="B3176" s="0" t="s">
        <v>3459</v>
      </c>
      <c r="C3176" s="0" t="s">
        <v>3450</v>
      </c>
      <c r="D3176" s="0" t="s">
        <v>3448</v>
      </c>
      <c r="E3176" s="0" t="s">
        <v>4963</v>
      </c>
      <c r="F3176" s="0" t="s">
        <v>60</v>
      </c>
      <c r="G3176" s="0" t="s">
        <v>4964</v>
      </c>
      <c r="H3176" s="0" t="s">
        <v>6025</v>
      </c>
      <c r="I3176" s="0" t="s">
        <v>4966</v>
      </c>
      <c r="J3176" s="19" t="s">
        <v>26</v>
      </c>
    </row>
    <row r="3177" customFormat="false" ht="15" hidden="false" customHeight="false" outlineLevel="0" collapsed="false">
      <c r="A3177" s="0" t="s">
        <v>2685</v>
      </c>
      <c r="B3177" s="0" t="s">
        <v>134</v>
      </c>
      <c r="C3177" s="0" t="s">
        <v>3450</v>
      </c>
      <c r="D3177" s="0" t="s">
        <v>3457</v>
      </c>
      <c r="E3177" s="0" t="s">
        <v>4963</v>
      </c>
      <c r="F3177" s="0" t="s">
        <v>59</v>
      </c>
      <c r="G3177" s="0" t="s">
        <v>4974</v>
      </c>
      <c r="H3177" s="0" t="s">
        <v>69</v>
      </c>
      <c r="I3177" s="0" t="s">
        <v>4975</v>
      </c>
      <c r="J3177" s="20" t="s">
        <v>25</v>
      </c>
    </row>
    <row r="3178" customFormat="false" ht="15" hidden="false" customHeight="false" outlineLevel="0" collapsed="false">
      <c r="A3178" s="0" t="s">
        <v>2685</v>
      </c>
      <c r="B3178" s="0" t="s">
        <v>134</v>
      </c>
      <c r="C3178" s="0" t="s">
        <v>3450</v>
      </c>
      <c r="D3178" s="0" t="s">
        <v>3457</v>
      </c>
      <c r="E3178" s="0" t="s">
        <v>4969</v>
      </c>
      <c r="F3178" s="0" t="s">
        <v>63</v>
      </c>
      <c r="G3178" s="0" t="s">
        <v>4220</v>
      </c>
      <c r="H3178" s="0" t="s">
        <v>6026</v>
      </c>
      <c r="I3178" s="0" t="s">
        <v>4979</v>
      </c>
      <c r="J3178" s="20" t="s">
        <v>25</v>
      </c>
    </row>
    <row r="3179" customFormat="false" ht="15" hidden="false" customHeight="false" outlineLevel="0" collapsed="false">
      <c r="A3179" s="0" t="s">
        <v>2685</v>
      </c>
      <c r="B3179" s="0" t="s">
        <v>134</v>
      </c>
      <c r="C3179" s="0" t="s">
        <v>3450</v>
      </c>
      <c r="D3179" s="0" t="s">
        <v>3448</v>
      </c>
      <c r="E3179" s="0" t="s">
        <v>4963</v>
      </c>
      <c r="F3179" s="0" t="s">
        <v>59</v>
      </c>
      <c r="G3179" s="0" t="s">
        <v>4974</v>
      </c>
      <c r="H3179" s="0" t="s">
        <v>69</v>
      </c>
      <c r="I3179" s="0" t="s">
        <v>4975</v>
      </c>
      <c r="J3179" s="20" t="s">
        <v>25</v>
      </c>
    </row>
    <row r="3180" customFormat="false" ht="15" hidden="false" customHeight="false" outlineLevel="0" collapsed="false">
      <c r="A3180" s="0" t="s">
        <v>2685</v>
      </c>
      <c r="B3180" s="0" t="s">
        <v>134</v>
      </c>
      <c r="C3180" s="0" t="s">
        <v>3450</v>
      </c>
      <c r="D3180" s="0" t="s">
        <v>3448</v>
      </c>
      <c r="E3180" s="0" t="s">
        <v>4969</v>
      </c>
      <c r="F3180" s="0" t="s">
        <v>62</v>
      </c>
      <c r="G3180" s="0" t="s">
        <v>5003</v>
      </c>
      <c r="H3180" s="0" t="s">
        <v>6027</v>
      </c>
      <c r="I3180" s="0" t="s">
        <v>5005</v>
      </c>
      <c r="J3180" s="20" t="s">
        <v>25</v>
      </c>
    </row>
    <row r="3181" customFormat="false" ht="15" hidden="false" customHeight="false" outlineLevel="0" collapsed="false">
      <c r="A3181" s="0" t="s">
        <v>2685</v>
      </c>
      <c r="B3181" s="0" t="s">
        <v>134</v>
      </c>
      <c r="C3181" s="0" t="s">
        <v>3447</v>
      </c>
      <c r="D3181" s="0" t="s">
        <v>3457</v>
      </c>
      <c r="E3181" s="0" t="s">
        <v>4969</v>
      </c>
      <c r="F3181" s="0" t="s">
        <v>63</v>
      </c>
      <c r="G3181" s="0" t="s">
        <v>4220</v>
      </c>
      <c r="H3181" s="0" t="s">
        <v>6026</v>
      </c>
      <c r="I3181" s="0" t="s">
        <v>4979</v>
      </c>
      <c r="J3181" s="20" t="s">
        <v>25</v>
      </c>
    </row>
    <row r="3182" customFormat="false" ht="15" hidden="false" customHeight="false" outlineLevel="0" collapsed="false">
      <c r="A3182" s="0" t="s">
        <v>2685</v>
      </c>
      <c r="B3182" s="0" t="s">
        <v>3459</v>
      </c>
      <c r="C3182" s="0" t="s">
        <v>3450</v>
      </c>
      <c r="D3182" s="0" t="s">
        <v>3457</v>
      </c>
      <c r="E3182" s="0" t="s">
        <v>4963</v>
      </c>
      <c r="F3182" s="0" t="s">
        <v>59</v>
      </c>
      <c r="G3182" s="0" t="s">
        <v>4974</v>
      </c>
      <c r="H3182" s="0" t="s">
        <v>69</v>
      </c>
      <c r="I3182" s="0" t="s">
        <v>4975</v>
      </c>
      <c r="J3182" s="20" t="s">
        <v>25</v>
      </c>
    </row>
    <row r="3183" customFormat="false" ht="15" hidden="false" customHeight="false" outlineLevel="0" collapsed="false">
      <c r="A3183" s="0" t="s">
        <v>2685</v>
      </c>
      <c r="B3183" s="0" t="s">
        <v>3459</v>
      </c>
      <c r="C3183" s="0" t="s">
        <v>3450</v>
      </c>
      <c r="D3183" s="0" t="s">
        <v>3457</v>
      </c>
      <c r="E3183" s="0" t="s">
        <v>4969</v>
      </c>
      <c r="F3183" s="0" t="s">
        <v>61</v>
      </c>
      <c r="G3183" s="0" t="s">
        <v>4970</v>
      </c>
      <c r="H3183" s="0" t="s">
        <v>5413</v>
      </c>
      <c r="I3183" s="0" t="s">
        <v>4972</v>
      </c>
      <c r="J3183" s="20" t="s">
        <v>25</v>
      </c>
    </row>
    <row r="3184" customFormat="false" ht="15" hidden="false" customHeight="false" outlineLevel="0" collapsed="false">
      <c r="A3184" s="0" t="s">
        <v>2685</v>
      </c>
      <c r="B3184" s="0" t="s">
        <v>3459</v>
      </c>
      <c r="C3184" s="0" t="s">
        <v>3450</v>
      </c>
      <c r="D3184" s="0" t="s">
        <v>3457</v>
      </c>
      <c r="E3184" s="0" t="s">
        <v>4969</v>
      </c>
      <c r="F3184" s="0" t="s">
        <v>63</v>
      </c>
      <c r="G3184" s="0" t="s">
        <v>4220</v>
      </c>
      <c r="H3184" s="0" t="s">
        <v>6028</v>
      </c>
      <c r="I3184" s="0" t="s">
        <v>4979</v>
      </c>
      <c r="J3184" s="20" t="s">
        <v>25</v>
      </c>
    </row>
    <row r="3185" customFormat="false" ht="15" hidden="false" customHeight="false" outlineLevel="0" collapsed="false">
      <c r="A3185" s="0" t="s">
        <v>2685</v>
      </c>
      <c r="B3185" s="0" t="s">
        <v>3459</v>
      </c>
      <c r="C3185" s="0" t="s">
        <v>3450</v>
      </c>
      <c r="D3185" s="0" t="s">
        <v>3448</v>
      </c>
      <c r="E3185" s="0" t="s">
        <v>4969</v>
      </c>
      <c r="F3185" s="0" t="s">
        <v>61</v>
      </c>
      <c r="G3185" s="0" t="s">
        <v>4970</v>
      </c>
      <c r="H3185" s="0" t="s">
        <v>6029</v>
      </c>
      <c r="I3185" s="0" t="s">
        <v>4972</v>
      </c>
      <c r="J3185" s="20" t="s">
        <v>25</v>
      </c>
    </row>
    <row r="3186" customFormat="false" ht="15" hidden="false" customHeight="false" outlineLevel="0" collapsed="false">
      <c r="A3186" s="0" t="s">
        <v>2685</v>
      </c>
      <c r="B3186" s="0" t="s">
        <v>3459</v>
      </c>
      <c r="C3186" s="0" t="s">
        <v>3450</v>
      </c>
      <c r="D3186" s="0" t="s">
        <v>3448</v>
      </c>
      <c r="E3186" s="0" t="s">
        <v>4969</v>
      </c>
      <c r="F3186" s="0" t="s">
        <v>64</v>
      </c>
      <c r="G3186" s="0" t="s">
        <v>4220</v>
      </c>
      <c r="H3186" s="0" t="s">
        <v>6030</v>
      </c>
      <c r="I3186" s="0" t="s">
        <v>4991</v>
      </c>
      <c r="J3186" s="20" t="s">
        <v>25</v>
      </c>
    </row>
    <row r="3187" customFormat="false" ht="15" hidden="false" customHeight="false" outlineLevel="0" collapsed="false">
      <c r="A3187" s="0" t="s">
        <v>2685</v>
      </c>
      <c r="B3187" s="0" t="s">
        <v>3459</v>
      </c>
      <c r="C3187" s="0" t="s">
        <v>3447</v>
      </c>
      <c r="D3187" s="0" t="s">
        <v>3457</v>
      </c>
      <c r="E3187" s="0" t="s">
        <v>4969</v>
      </c>
      <c r="F3187" s="0" t="s">
        <v>61</v>
      </c>
      <c r="G3187" s="0" t="s">
        <v>4970</v>
      </c>
      <c r="H3187" s="0" t="s">
        <v>6031</v>
      </c>
      <c r="I3187" s="0" t="s">
        <v>4972</v>
      </c>
      <c r="J3187" s="20" t="s">
        <v>25</v>
      </c>
    </row>
    <row r="3188" customFormat="false" ht="15" hidden="false" customHeight="false" outlineLevel="0" collapsed="false">
      <c r="A3188" s="0" t="s">
        <v>2685</v>
      </c>
      <c r="B3188" s="0" t="s">
        <v>3459</v>
      </c>
      <c r="C3188" s="0" t="s">
        <v>3447</v>
      </c>
      <c r="D3188" s="0" t="s">
        <v>3457</v>
      </c>
      <c r="E3188" s="0" t="s">
        <v>4969</v>
      </c>
      <c r="F3188" s="0" t="s">
        <v>63</v>
      </c>
      <c r="G3188" s="0" t="s">
        <v>4220</v>
      </c>
      <c r="H3188" s="0" t="s">
        <v>6028</v>
      </c>
      <c r="I3188" s="0" t="s">
        <v>4979</v>
      </c>
      <c r="J3188" s="20" t="s">
        <v>25</v>
      </c>
    </row>
    <row r="3189" customFormat="false" ht="15" hidden="false" customHeight="false" outlineLevel="0" collapsed="false">
      <c r="A3189" s="0" t="s">
        <v>2685</v>
      </c>
      <c r="B3189" s="0" t="s">
        <v>3459</v>
      </c>
      <c r="C3189" s="0" t="s">
        <v>3447</v>
      </c>
      <c r="D3189" s="0" t="s">
        <v>3448</v>
      </c>
      <c r="E3189" s="0" t="s">
        <v>4969</v>
      </c>
      <c r="F3189" s="0" t="s">
        <v>61</v>
      </c>
      <c r="G3189" s="0" t="s">
        <v>4970</v>
      </c>
      <c r="H3189" s="0" t="s">
        <v>5707</v>
      </c>
      <c r="I3189" s="0" t="s">
        <v>4972</v>
      </c>
      <c r="J3189" s="20" t="s">
        <v>25</v>
      </c>
    </row>
    <row r="3190" customFormat="false" ht="15" hidden="false" customHeight="false" outlineLevel="0" collapsed="false">
      <c r="A3190" s="0" t="s">
        <v>2685</v>
      </c>
      <c r="B3190" s="0" t="s">
        <v>3459</v>
      </c>
      <c r="C3190" s="0" t="s">
        <v>3447</v>
      </c>
      <c r="D3190" s="0" t="s">
        <v>3448</v>
      </c>
      <c r="E3190" s="0" t="s">
        <v>4969</v>
      </c>
      <c r="F3190" s="0" t="s">
        <v>64</v>
      </c>
      <c r="G3190" s="0" t="s">
        <v>4220</v>
      </c>
      <c r="H3190" s="0" t="s">
        <v>6030</v>
      </c>
      <c r="I3190" s="0" t="s">
        <v>4991</v>
      </c>
      <c r="J3190" s="20" t="s">
        <v>25</v>
      </c>
    </row>
    <row r="3191" customFormat="false" ht="15" hidden="false" customHeight="false" outlineLevel="0" collapsed="false">
      <c r="A3191" s="0" t="s">
        <v>2685</v>
      </c>
      <c r="B3191" s="0" t="s">
        <v>134</v>
      </c>
      <c r="C3191" s="0" t="s">
        <v>3447</v>
      </c>
      <c r="D3191" s="0" t="s">
        <v>3457</v>
      </c>
      <c r="E3191" s="0" t="s">
        <v>4963</v>
      </c>
      <c r="F3191" s="0" t="s">
        <v>30</v>
      </c>
      <c r="G3191" s="0" t="s">
        <v>4980</v>
      </c>
      <c r="H3191" s="0" t="s">
        <v>4759</v>
      </c>
      <c r="I3191" s="0" t="s">
        <v>4981</v>
      </c>
      <c r="J3191" s="18" t="s">
        <v>24</v>
      </c>
    </row>
    <row r="3192" customFormat="false" ht="15" hidden="false" customHeight="false" outlineLevel="0" collapsed="false">
      <c r="A3192" s="0" t="s">
        <v>2685</v>
      </c>
      <c r="B3192" s="0" t="s">
        <v>134</v>
      </c>
      <c r="C3192" s="0" t="s">
        <v>3447</v>
      </c>
      <c r="D3192" s="0" t="s">
        <v>3448</v>
      </c>
      <c r="E3192" s="0" t="s">
        <v>4963</v>
      </c>
      <c r="F3192" s="0" t="s">
        <v>30</v>
      </c>
      <c r="G3192" s="0" t="s">
        <v>4980</v>
      </c>
      <c r="H3192" s="0" t="s">
        <v>4250</v>
      </c>
      <c r="I3192" s="0" t="s">
        <v>4981</v>
      </c>
      <c r="J3192" s="18" t="s">
        <v>24</v>
      </c>
    </row>
    <row r="3193" customFormat="false" ht="15" hidden="false" customHeight="false" outlineLevel="0" collapsed="false">
      <c r="A3193" s="0" t="s">
        <v>2685</v>
      </c>
      <c r="B3193" s="0" t="s">
        <v>3459</v>
      </c>
      <c r="C3193" s="0" t="s">
        <v>3447</v>
      </c>
      <c r="D3193" s="0" t="s">
        <v>3448</v>
      </c>
      <c r="E3193" s="0" t="s">
        <v>4963</v>
      </c>
      <c r="F3193" s="0" t="s">
        <v>30</v>
      </c>
      <c r="G3193" s="0" t="s">
        <v>4980</v>
      </c>
      <c r="H3193" s="0" t="s">
        <v>4354</v>
      </c>
      <c r="I3193" s="0" t="s">
        <v>4981</v>
      </c>
      <c r="J3193" s="18" t="s">
        <v>24</v>
      </c>
    </row>
    <row r="3194" customFormat="false" ht="15" hidden="false" customHeight="false" outlineLevel="0" collapsed="false">
      <c r="A3194" s="0" t="s">
        <v>2691</v>
      </c>
      <c r="B3194" s="0" t="s">
        <v>134</v>
      </c>
      <c r="C3194" s="0" t="s">
        <v>3447</v>
      </c>
      <c r="D3194" s="0" t="s">
        <v>3457</v>
      </c>
      <c r="E3194" s="0" t="s">
        <v>4963</v>
      </c>
      <c r="F3194" s="0" t="s">
        <v>30</v>
      </c>
      <c r="G3194" s="0" t="s">
        <v>4980</v>
      </c>
      <c r="H3194" s="0" t="s">
        <v>4814</v>
      </c>
      <c r="I3194" s="0" t="s">
        <v>4981</v>
      </c>
      <c r="J3194" s="18" t="s">
        <v>24</v>
      </c>
    </row>
    <row r="3195" customFormat="false" ht="15" hidden="false" customHeight="false" outlineLevel="0" collapsed="false">
      <c r="A3195" s="0" t="s">
        <v>2691</v>
      </c>
      <c r="B3195" s="0" t="s">
        <v>134</v>
      </c>
      <c r="C3195" s="0" t="s">
        <v>3447</v>
      </c>
      <c r="D3195" s="0" t="s">
        <v>3448</v>
      </c>
      <c r="E3195" s="0" t="s">
        <v>4963</v>
      </c>
      <c r="F3195" s="0" t="s">
        <v>30</v>
      </c>
      <c r="G3195" s="0" t="s">
        <v>4980</v>
      </c>
      <c r="H3195" s="0" t="s">
        <v>4814</v>
      </c>
      <c r="I3195" s="0" t="s">
        <v>4981</v>
      </c>
      <c r="J3195" s="18" t="s">
        <v>24</v>
      </c>
    </row>
    <row r="3196" customFormat="false" ht="15" hidden="false" customHeight="false" outlineLevel="0" collapsed="false">
      <c r="A3196" s="0" t="s">
        <v>2697</v>
      </c>
      <c r="B3196" s="0" t="s">
        <v>134</v>
      </c>
      <c r="C3196" s="0" t="s">
        <v>3447</v>
      </c>
      <c r="D3196" s="0" t="s">
        <v>3448</v>
      </c>
      <c r="E3196" s="0" t="s">
        <v>4963</v>
      </c>
      <c r="F3196" s="0" t="s">
        <v>60</v>
      </c>
      <c r="G3196" s="0" t="s">
        <v>4964</v>
      </c>
      <c r="H3196" s="0" t="s">
        <v>6032</v>
      </c>
      <c r="I3196" s="0" t="s">
        <v>4966</v>
      </c>
      <c r="J3196" s="19" t="s">
        <v>26</v>
      </c>
    </row>
    <row r="3197" customFormat="false" ht="15" hidden="false" customHeight="false" outlineLevel="0" collapsed="false">
      <c r="A3197" s="0" t="s">
        <v>2697</v>
      </c>
      <c r="B3197" s="0" t="s">
        <v>3459</v>
      </c>
      <c r="C3197" s="0" t="s">
        <v>3450</v>
      </c>
      <c r="D3197" s="0" t="s">
        <v>3448</v>
      </c>
      <c r="E3197" s="0" t="s">
        <v>4963</v>
      </c>
      <c r="F3197" s="0" t="s">
        <v>60</v>
      </c>
      <c r="G3197" s="0" t="s">
        <v>4964</v>
      </c>
      <c r="H3197" s="0" t="s">
        <v>6033</v>
      </c>
      <c r="I3197" s="0" t="s">
        <v>4966</v>
      </c>
      <c r="J3197" s="19" t="s">
        <v>26</v>
      </c>
    </row>
    <row r="3198" customFormat="false" ht="15" hidden="false" customHeight="false" outlineLevel="0" collapsed="false">
      <c r="A3198" s="0" t="s">
        <v>2697</v>
      </c>
      <c r="B3198" s="0" t="s">
        <v>3459</v>
      </c>
      <c r="C3198" s="0" t="s">
        <v>3447</v>
      </c>
      <c r="D3198" s="0" t="s">
        <v>3457</v>
      </c>
      <c r="E3198" s="0" t="s">
        <v>4963</v>
      </c>
      <c r="F3198" s="0" t="s">
        <v>60</v>
      </c>
      <c r="G3198" s="0" t="s">
        <v>4964</v>
      </c>
      <c r="H3198" s="0" t="s">
        <v>6034</v>
      </c>
      <c r="I3198" s="0" t="s">
        <v>4966</v>
      </c>
      <c r="J3198" s="19" t="s">
        <v>26</v>
      </c>
    </row>
    <row r="3199" customFormat="false" ht="15" hidden="false" customHeight="false" outlineLevel="0" collapsed="false">
      <c r="A3199" s="0" t="s">
        <v>2697</v>
      </c>
      <c r="B3199" s="0" t="s">
        <v>3459</v>
      </c>
      <c r="C3199" s="0" t="s">
        <v>3447</v>
      </c>
      <c r="D3199" s="0" t="s">
        <v>3448</v>
      </c>
      <c r="E3199" s="0" t="s">
        <v>4963</v>
      </c>
      <c r="F3199" s="0" t="s">
        <v>60</v>
      </c>
      <c r="G3199" s="0" t="s">
        <v>4964</v>
      </c>
      <c r="H3199" s="0" t="s">
        <v>6035</v>
      </c>
      <c r="I3199" s="0" t="s">
        <v>4966</v>
      </c>
      <c r="J3199" s="19" t="s">
        <v>26</v>
      </c>
    </row>
    <row r="3200" customFormat="false" ht="15" hidden="false" customHeight="false" outlineLevel="0" collapsed="false">
      <c r="A3200" s="0" t="s">
        <v>2697</v>
      </c>
      <c r="B3200" s="0" t="s">
        <v>134</v>
      </c>
      <c r="C3200" s="0" t="s">
        <v>3450</v>
      </c>
      <c r="D3200" s="0" t="s">
        <v>3457</v>
      </c>
      <c r="E3200" s="0" t="s">
        <v>4969</v>
      </c>
      <c r="F3200" s="0" t="s">
        <v>62</v>
      </c>
      <c r="G3200" s="0" t="s">
        <v>5003</v>
      </c>
      <c r="H3200" s="0" t="s">
        <v>6036</v>
      </c>
      <c r="I3200" s="0" t="s">
        <v>5005</v>
      </c>
      <c r="J3200" s="20" t="s">
        <v>25</v>
      </c>
    </row>
    <row r="3201" customFormat="false" ht="15" hidden="false" customHeight="false" outlineLevel="0" collapsed="false">
      <c r="A3201" s="0" t="s">
        <v>2697</v>
      </c>
      <c r="B3201" s="0" t="s">
        <v>134</v>
      </c>
      <c r="C3201" s="0" t="s">
        <v>3450</v>
      </c>
      <c r="D3201" s="0" t="s">
        <v>3457</v>
      </c>
      <c r="E3201" s="0" t="s">
        <v>4969</v>
      </c>
      <c r="F3201" s="0" t="s">
        <v>64</v>
      </c>
      <c r="G3201" s="0" t="s">
        <v>4220</v>
      </c>
      <c r="H3201" s="0" t="s">
        <v>6037</v>
      </c>
      <c r="I3201" s="0" t="s">
        <v>4991</v>
      </c>
      <c r="J3201" s="20" t="s">
        <v>25</v>
      </c>
    </row>
    <row r="3202" customFormat="false" ht="15" hidden="false" customHeight="false" outlineLevel="0" collapsed="false">
      <c r="A3202" s="0" t="s">
        <v>2697</v>
      </c>
      <c r="B3202" s="0" t="s">
        <v>134</v>
      </c>
      <c r="C3202" s="0" t="s">
        <v>3450</v>
      </c>
      <c r="D3202" s="0" t="s">
        <v>3448</v>
      </c>
      <c r="E3202" s="0" t="s">
        <v>4963</v>
      </c>
      <c r="F3202" s="0" t="s">
        <v>59</v>
      </c>
      <c r="G3202" s="0" t="s">
        <v>4974</v>
      </c>
      <c r="H3202" s="0" t="s">
        <v>69</v>
      </c>
      <c r="I3202" s="0" t="s">
        <v>4975</v>
      </c>
      <c r="J3202" s="20" t="s">
        <v>25</v>
      </c>
    </row>
    <row r="3203" customFormat="false" ht="15" hidden="false" customHeight="false" outlineLevel="0" collapsed="false">
      <c r="A3203" s="0" t="s">
        <v>2697</v>
      </c>
      <c r="B3203" s="0" t="s">
        <v>134</v>
      </c>
      <c r="C3203" s="0" t="s">
        <v>3450</v>
      </c>
      <c r="D3203" s="0" t="s">
        <v>3448</v>
      </c>
      <c r="E3203" s="0" t="s">
        <v>4969</v>
      </c>
      <c r="F3203" s="0" t="s">
        <v>62</v>
      </c>
      <c r="G3203" s="0" t="s">
        <v>5003</v>
      </c>
      <c r="H3203" s="0" t="s">
        <v>6038</v>
      </c>
      <c r="I3203" s="0" t="s">
        <v>5005</v>
      </c>
      <c r="J3203" s="20" t="s">
        <v>25</v>
      </c>
    </row>
    <row r="3204" customFormat="false" ht="15" hidden="false" customHeight="false" outlineLevel="0" collapsed="false">
      <c r="A3204" s="0" t="s">
        <v>2697</v>
      </c>
      <c r="B3204" s="0" t="s">
        <v>134</v>
      </c>
      <c r="C3204" s="0" t="s">
        <v>3447</v>
      </c>
      <c r="D3204" s="0" t="s">
        <v>3457</v>
      </c>
      <c r="E3204" s="0" t="s">
        <v>4969</v>
      </c>
      <c r="F3204" s="0" t="s">
        <v>64</v>
      </c>
      <c r="G3204" s="0" t="s">
        <v>4220</v>
      </c>
      <c r="H3204" s="0" t="s">
        <v>6037</v>
      </c>
      <c r="I3204" s="0" t="s">
        <v>4991</v>
      </c>
      <c r="J3204" s="20" t="s">
        <v>25</v>
      </c>
    </row>
    <row r="3205" customFormat="false" ht="15" hidden="false" customHeight="false" outlineLevel="0" collapsed="false">
      <c r="A3205" s="0" t="s">
        <v>2697</v>
      </c>
      <c r="B3205" s="0" t="s">
        <v>134</v>
      </c>
      <c r="C3205" s="0" t="s">
        <v>3447</v>
      </c>
      <c r="D3205" s="0" t="s">
        <v>3448</v>
      </c>
      <c r="E3205" s="0" t="s">
        <v>4963</v>
      </c>
      <c r="F3205" s="0" t="s">
        <v>59</v>
      </c>
      <c r="G3205" s="0" t="s">
        <v>4974</v>
      </c>
      <c r="H3205" s="0" t="s">
        <v>69</v>
      </c>
      <c r="I3205" s="0" t="s">
        <v>4975</v>
      </c>
      <c r="J3205" s="20" t="s">
        <v>25</v>
      </c>
    </row>
    <row r="3206" customFormat="false" ht="15" hidden="false" customHeight="false" outlineLevel="0" collapsed="false">
      <c r="A3206" s="0" t="s">
        <v>2697</v>
      </c>
      <c r="B3206" s="0" t="s">
        <v>3459</v>
      </c>
      <c r="C3206" s="0" t="s">
        <v>3450</v>
      </c>
      <c r="D3206" s="0" t="s">
        <v>3457</v>
      </c>
      <c r="E3206" s="0" t="s">
        <v>5199</v>
      </c>
      <c r="F3206" s="0" t="s">
        <v>67</v>
      </c>
      <c r="G3206" s="0" t="s">
        <v>100</v>
      </c>
      <c r="H3206" s="0" t="s">
        <v>6039</v>
      </c>
      <c r="I3206" s="0" t="s">
        <v>5201</v>
      </c>
      <c r="J3206" s="20" t="s">
        <v>25</v>
      </c>
    </row>
    <row r="3207" customFormat="false" ht="15" hidden="false" customHeight="false" outlineLevel="0" collapsed="false">
      <c r="A3207" s="0" t="s">
        <v>2697</v>
      </c>
      <c r="B3207" s="0" t="s">
        <v>3459</v>
      </c>
      <c r="C3207" s="0" t="s">
        <v>3450</v>
      </c>
      <c r="D3207" s="0" t="s">
        <v>3457</v>
      </c>
      <c r="E3207" s="0" t="s">
        <v>4963</v>
      </c>
      <c r="F3207" s="0" t="s">
        <v>59</v>
      </c>
      <c r="G3207" s="0" t="s">
        <v>4974</v>
      </c>
      <c r="H3207" s="0" t="s">
        <v>69</v>
      </c>
      <c r="I3207" s="0" t="s">
        <v>4975</v>
      </c>
      <c r="J3207" s="20" t="s">
        <v>25</v>
      </c>
    </row>
    <row r="3208" customFormat="false" ht="15" hidden="false" customHeight="false" outlineLevel="0" collapsed="false">
      <c r="A3208" s="0" t="s">
        <v>2697</v>
      </c>
      <c r="B3208" s="0" t="s">
        <v>3459</v>
      </c>
      <c r="C3208" s="0" t="s">
        <v>3450</v>
      </c>
      <c r="D3208" s="0" t="s">
        <v>3457</v>
      </c>
      <c r="E3208" s="0" t="s">
        <v>4969</v>
      </c>
      <c r="F3208" s="0" t="s">
        <v>61</v>
      </c>
      <c r="G3208" s="0" t="s">
        <v>4970</v>
      </c>
      <c r="H3208" s="0" t="s">
        <v>6040</v>
      </c>
      <c r="I3208" s="0" t="s">
        <v>4972</v>
      </c>
      <c r="J3208" s="20" t="s">
        <v>25</v>
      </c>
    </row>
    <row r="3209" customFormat="false" ht="15" hidden="false" customHeight="false" outlineLevel="0" collapsed="false">
      <c r="A3209" s="0" t="s">
        <v>2697</v>
      </c>
      <c r="B3209" s="0" t="s">
        <v>3459</v>
      </c>
      <c r="C3209" s="0" t="s">
        <v>3450</v>
      </c>
      <c r="D3209" s="0" t="s">
        <v>3457</v>
      </c>
      <c r="E3209" s="0" t="s">
        <v>4969</v>
      </c>
      <c r="F3209" s="0" t="s">
        <v>62</v>
      </c>
      <c r="G3209" s="0" t="s">
        <v>5003</v>
      </c>
      <c r="H3209" s="0" t="s">
        <v>6041</v>
      </c>
      <c r="I3209" s="0" t="s">
        <v>5005</v>
      </c>
      <c r="J3209" s="20" t="s">
        <v>25</v>
      </c>
    </row>
    <row r="3210" customFormat="false" ht="15" hidden="false" customHeight="false" outlineLevel="0" collapsed="false">
      <c r="A3210" s="0" t="s">
        <v>2697</v>
      </c>
      <c r="B3210" s="0" t="s">
        <v>3459</v>
      </c>
      <c r="C3210" s="0" t="s">
        <v>3450</v>
      </c>
      <c r="D3210" s="0" t="s">
        <v>3448</v>
      </c>
      <c r="E3210" s="0" t="s">
        <v>4963</v>
      </c>
      <c r="F3210" s="0" t="s">
        <v>59</v>
      </c>
      <c r="G3210" s="0" t="s">
        <v>4974</v>
      </c>
      <c r="H3210" s="0" t="s">
        <v>69</v>
      </c>
      <c r="I3210" s="0" t="s">
        <v>4975</v>
      </c>
      <c r="J3210" s="20" t="s">
        <v>25</v>
      </c>
    </row>
    <row r="3211" customFormat="false" ht="15" hidden="false" customHeight="false" outlineLevel="0" collapsed="false">
      <c r="A3211" s="0" t="s">
        <v>2697</v>
      </c>
      <c r="B3211" s="0" t="s">
        <v>3459</v>
      </c>
      <c r="C3211" s="0" t="s">
        <v>3450</v>
      </c>
      <c r="D3211" s="0" t="s">
        <v>3448</v>
      </c>
      <c r="E3211" s="0" t="s">
        <v>4969</v>
      </c>
      <c r="F3211" s="0" t="s">
        <v>64</v>
      </c>
      <c r="G3211" s="0" t="s">
        <v>4220</v>
      </c>
      <c r="H3211" s="0" t="s">
        <v>6042</v>
      </c>
      <c r="I3211" s="0" t="s">
        <v>4991</v>
      </c>
      <c r="J3211" s="20" t="s">
        <v>25</v>
      </c>
    </row>
    <row r="3212" customFormat="false" ht="15" hidden="false" customHeight="false" outlineLevel="0" collapsed="false">
      <c r="A3212" s="0" t="s">
        <v>2697</v>
      </c>
      <c r="B3212" s="0" t="s">
        <v>3459</v>
      </c>
      <c r="C3212" s="0" t="s">
        <v>3447</v>
      </c>
      <c r="D3212" s="0" t="s">
        <v>3457</v>
      </c>
      <c r="E3212" s="0" t="s">
        <v>4963</v>
      </c>
      <c r="F3212" s="0" t="s">
        <v>59</v>
      </c>
      <c r="G3212" s="0" t="s">
        <v>4974</v>
      </c>
      <c r="H3212" s="0" t="s">
        <v>69</v>
      </c>
      <c r="I3212" s="0" t="s">
        <v>4975</v>
      </c>
      <c r="J3212" s="20" t="s">
        <v>25</v>
      </c>
    </row>
    <row r="3213" customFormat="false" ht="15" hidden="false" customHeight="false" outlineLevel="0" collapsed="false">
      <c r="A3213" s="0" t="s">
        <v>2697</v>
      </c>
      <c r="B3213" s="0" t="s">
        <v>3459</v>
      </c>
      <c r="C3213" s="0" t="s">
        <v>3447</v>
      </c>
      <c r="D3213" s="0" t="s">
        <v>3457</v>
      </c>
      <c r="E3213" s="0" t="s">
        <v>4969</v>
      </c>
      <c r="F3213" s="0" t="s">
        <v>61</v>
      </c>
      <c r="G3213" s="0" t="s">
        <v>4970</v>
      </c>
      <c r="H3213" s="0" t="s">
        <v>6043</v>
      </c>
      <c r="I3213" s="0" t="s">
        <v>4972</v>
      </c>
      <c r="J3213" s="20" t="s">
        <v>25</v>
      </c>
    </row>
    <row r="3214" customFormat="false" ht="15" hidden="false" customHeight="false" outlineLevel="0" collapsed="false">
      <c r="A3214" s="0" t="s">
        <v>2697</v>
      </c>
      <c r="B3214" s="0" t="s">
        <v>3459</v>
      </c>
      <c r="C3214" s="0" t="s">
        <v>3447</v>
      </c>
      <c r="D3214" s="0" t="s">
        <v>3448</v>
      </c>
      <c r="E3214" s="0" t="s">
        <v>4963</v>
      </c>
      <c r="F3214" s="0" t="s">
        <v>59</v>
      </c>
      <c r="G3214" s="0" t="s">
        <v>4974</v>
      </c>
      <c r="H3214" s="0" t="s">
        <v>69</v>
      </c>
      <c r="I3214" s="0" t="s">
        <v>4975</v>
      </c>
      <c r="J3214" s="20" t="s">
        <v>25</v>
      </c>
    </row>
    <row r="3215" customFormat="false" ht="15" hidden="false" customHeight="false" outlineLevel="0" collapsed="false">
      <c r="A3215" s="0" t="s">
        <v>2697</v>
      </c>
      <c r="B3215" s="0" t="s">
        <v>3459</v>
      </c>
      <c r="C3215" s="0" t="s">
        <v>3447</v>
      </c>
      <c r="D3215" s="0" t="s">
        <v>3448</v>
      </c>
      <c r="E3215" s="0" t="s">
        <v>4969</v>
      </c>
      <c r="F3215" s="0" t="s">
        <v>64</v>
      </c>
      <c r="G3215" s="0" t="s">
        <v>4220</v>
      </c>
      <c r="H3215" s="0" t="s">
        <v>6042</v>
      </c>
      <c r="I3215" s="0" t="s">
        <v>4991</v>
      </c>
      <c r="J3215" s="20" t="s">
        <v>25</v>
      </c>
    </row>
    <row r="3216" customFormat="false" ht="15" hidden="false" customHeight="false" outlineLevel="0" collapsed="false">
      <c r="A3216" s="0" t="s">
        <v>2697</v>
      </c>
      <c r="B3216" s="0" t="s">
        <v>134</v>
      </c>
      <c r="C3216" s="0" t="s">
        <v>3450</v>
      </c>
      <c r="D3216" s="0" t="s">
        <v>3457</v>
      </c>
      <c r="E3216" s="0" t="s">
        <v>4963</v>
      </c>
      <c r="F3216" s="0" t="s">
        <v>30</v>
      </c>
      <c r="G3216" s="0" t="s">
        <v>4980</v>
      </c>
      <c r="H3216" s="0" t="s">
        <v>4649</v>
      </c>
      <c r="I3216" s="0" t="s">
        <v>4981</v>
      </c>
      <c r="J3216" s="18" t="s">
        <v>24</v>
      </c>
    </row>
    <row r="3217" customFormat="false" ht="15" hidden="false" customHeight="false" outlineLevel="0" collapsed="false">
      <c r="A3217" s="0" t="s">
        <v>2697</v>
      </c>
      <c r="B3217" s="0" t="s">
        <v>134</v>
      </c>
      <c r="C3217" s="0" t="s">
        <v>3450</v>
      </c>
      <c r="D3217" s="0" t="s">
        <v>3448</v>
      </c>
      <c r="E3217" s="0" t="s">
        <v>4963</v>
      </c>
      <c r="F3217" s="0" t="s">
        <v>30</v>
      </c>
      <c r="G3217" s="0" t="s">
        <v>4980</v>
      </c>
      <c r="H3217" s="0" t="s">
        <v>4815</v>
      </c>
      <c r="I3217" s="0" t="s">
        <v>4981</v>
      </c>
      <c r="J3217" s="18" t="s">
        <v>24</v>
      </c>
    </row>
    <row r="3218" customFormat="false" ht="15" hidden="false" customHeight="false" outlineLevel="0" collapsed="false">
      <c r="A3218" s="0" t="s">
        <v>2697</v>
      </c>
      <c r="B3218" s="0" t="s">
        <v>134</v>
      </c>
      <c r="C3218" s="0" t="s">
        <v>3447</v>
      </c>
      <c r="D3218" s="0" t="s">
        <v>3457</v>
      </c>
      <c r="E3218" s="0" t="s">
        <v>4963</v>
      </c>
      <c r="F3218" s="0" t="s">
        <v>30</v>
      </c>
      <c r="G3218" s="0" t="s">
        <v>4980</v>
      </c>
      <c r="H3218" s="0" t="s">
        <v>4816</v>
      </c>
      <c r="I3218" s="0" t="s">
        <v>4981</v>
      </c>
      <c r="J3218" s="18" t="s">
        <v>24</v>
      </c>
    </row>
    <row r="3219" customFormat="false" ht="15" hidden="false" customHeight="false" outlineLevel="0" collapsed="false">
      <c r="A3219" s="0" t="s">
        <v>2697</v>
      </c>
      <c r="B3219" s="0" t="s">
        <v>3459</v>
      </c>
      <c r="C3219" s="0" t="s">
        <v>3450</v>
      </c>
      <c r="D3219" s="0" t="s">
        <v>3457</v>
      </c>
      <c r="E3219" s="0" t="s">
        <v>4963</v>
      </c>
      <c r="F3219" s="0" t="s">
        <v>30</v>
      </c>
      <c r="G3219" s="0" t="s">
        <v>4980</v>
      </c>
      <c r="H3219" s="0" t="s">
        <v>4818</v>
      </c>
      <c r="I3219" s="0" t="s">
        <v>4981</v>
      </c>
      <c r="J3219" s="18" t="s">
        <v>24</v>
      </c>
    </row>
    <row r="3220" customFormat="false" ht="15" hidden="false" customHeight="false" outlineLevel="0" collapsed="false">
      <c r="A3220" s="0" t="s">
        <v>2703</v>
      </c>
      <c r="B3220" s="0" t="s">
        <v>134</v>
      </c>
      <c r="C3220" s="0" t="s">
        <v>3450</v>
      </c>
      <c r="D3220" s="0" t="s">
        <v>3457</v>
      </c>
      <c r="E3220" s="0" t="s">
        <v>4963</v>
      </c>
      <c r="F3220" s="0" t="s">
        <v>60</v>
      </c>
      <c r="G3220" s="0" t="s">
        <v>4964</v>
      </c>
      <c r="H3220" s="0" t="s">
        <v>5016</v>
      </c>
      <c r="I3220" s="0" t="s">
        <v>4966</v>
      </c>
      <c r="J3220" s="19" t="s">
        <v>26</v>
      </c>
    </row>
    <row r="3221" customFormat="false" ht="15" hidden="false" customHeight="false" outlineLevel="0" collapsed="false">
      <c r="A3221" s="0" t="s">
        <v>2703</v>
      </c>
      <c r="B3221" s="0" t="s">
        <v>134</v>
      </c>
      <c r="C3221" s="0" t="s">
        <v>3450</v>
      </c>
      <c r="D3221" s="0" t="s">
        <v>3448</v>
      </c>
      <c r="E3221" s="0" t="s">
        <v>4963</v>
      </c>
      <c r="F3221" s="0" t="s">
        <v>60</v>
      </c>
      <c r="G3221" s="0" t="s">
        <v>4964</v>
      </c>
      <c r="H3221" s="0" t="s">
        <v>5615</v>
      </c>
      <c r="I3221" s="0" t="s">
        <v>4966</v>
      </c>
      <c r="J3221" s="19" t="s">
        <v>26</v>
      </c>
    </row>
    <row r="3222" customFormat="false" ht="15" hidden="false" customHeight="false" outlineLevel="0" collapsed="false">
      <c r="A3222" s="0" t="s">
        <v>2703</v>
      </c>
      <c r="B3222" s="0" t="s">
        <v>3459</v>
      </c>
      <c r="C3222" s="0" t="s">
        <v>3450</v>
      </c>
      <c r="D3222" s="0" t="s">
        <v>3457</v>
      </c>
      <c r="E3222" s="0" t="s">
        <v>4963</v>
      </c>
      <c r="F3222" s="0" t="s">
        <v>60</v>
      </c>
      <c r="G3222" s="0" t="s">
        <v>4964</v>
      </c>
      <c r="H3222" s="0" t="s">
        <v>6044</v>
      </c>
      <c r="I3222" s="0" t="s">
        <v>4966</v>
      </c>
      <c r="J3222" s="19" t="s">
        <v>26</v>
      </c>
    </row>
    <row r="3223" customFormat="false" ht="15" hidden="false" customHeight="false" outlineLevel="0" collapsed="false">
      <c r="A3223" s="0" t="s">
        <v>2703</v>
      </c>
      <c r="B3223" s="0" t="s">
        <v>3459</v>
      </c>
      <c r="C3223" s="0" t="s">
        <v>3450</v>
      </c>
      <c r="D3223" s="0" t="s">
        <v>3448</v>
      </c>
      <c r="E3223" s="0" t="s">
        <v>4963</v>
      </c>
      <c r="F3223" s="0" t="s">
        <v>60</v>
      </c>
      <c r="G3223" s="0" t="s">
        <v>4964</v>
      </c>
      <c r="H3223" s="0" t="s">
        <v>6045</v>
      </c>
      <c r="I3223" s="0" t="s">
        <v>4966</v>
      </c>
      <c r="J3223" s="19" t="s">
        <v>26</v>
      </c>
    </row>
    <row r="3224" customFormat="false" ht="15" hidden="false" customHeight="false" outlineLevel="0" collapsed="false">
      <c r="A3224" s="0" t="s">
        <v>2703</v>
      </c>
      <c r="B3224" s="0" t="s">
        <v>134</v>
      </c>
      <c r="C3224" s="0" t="s">
        <v>3450</v>
      </c>
      <c r="D3224" s="0" t="s">
        <v>3457</v>
      </c>
      <c r="E3224" s="0" t="s">
        <v>4963</v>
      </c>
      <c r="F3224" s="0" t="s">
        <v>59</v>
      </c>
      <c r="G3224" s="0" t="s">
        <v>4974</v>
      </c>
      <c r="H3224" s="0" t="s">
        <v>69</v>
      </c>
      <c r="I3224" s="0" t="s">
        <v>4975</v>
      </c>
      <c r="J3224" s="20" t="s">
        <v>25</v>
      </c>
    </row>
    <row r="3225" customFormat="false" ht="15" hidden="false" customHeight="false" outlineLevel="0" collapsed="false">
      <c r="A3225" s="0" t="s">
        <v>2703</v>
      </c>
      <c r="B3225" s="0" t="s">
        <v>134</v>
      </c>
      <c r="C3225" s="0" t="s">
        <v>3450</v>
      </c>
      <c r="D3225" s="0" t="s">
        <v>3448</v>
      </c>
      <c r="E3225" s="0" t="s">
        <v>4963</v>
      </c>
      <c r="F3225" s="0" t="s">
        <v>59</v>
      </c>
      <c r="G3225" s="0" t="s">
        <v>4974</v>
      </c>
      <c r="H3225" s="0" t="s">
        <v>69</v>
      </c>
      <c r="I3225" s="0" t="s">
        <v>4975</v>
      </c>
      <c r="J3225" s="20" t="s">
        <v>25</v>
      </c>
    </row>
    <row r="3226" customFormat="false" ht="15" hidden="false" customHeight="false" outlineLevel="0" collapsed="false">
      <c r="A3226" s="0" t="s">
        <v>2703</v>
      </c>
      <c r="B3226" s="0" t="s">
        <v>134</v>
      </c>
      <c r="C3226" s="0" t="s">
        <v>3450</v>
      </c>
      <c r="D3226" s="0" t="s">
        <v>3448</v>
      </c>
      <c r="E3226" s="0" t="s">
        <v>4969</v>
      </c>
      <c r="F3226" s="0" t="s">
        <v>61</v>
      </c>
      <c r="G3226" s="0" t="s">
        <v>4970</v>
      </c>
      <c r="H3226" s="0" t="s">
        <v>6046</v>
      </c>
      <c r="I3226" s="0" t="s">
        <v>4972</v>
      </c>
      <c r="J3226" s="20" t="s">
        <v>25</v>
      </c>
    </row>
    <row r="3227" customFormat="false" ht="15" hidden="false" customHeight="false" outlineLevel="0" collapsed="false">
      <c r="A3227" s="0" t="s">
        <v>2703</v>
      </c>
      <c r="B3227" s="0" t="s">
        <v>134</v>
      </c>
      <c r="C3227" s="0" t="s">
        <v>3447</v>
      </c>
      <c r="D3227" s="0" t="s">
        <v>3457</v>
      </c>
      <c r="E3227" s="0" t="s">
        <v>4963</v>
      </c>
      <c r="F3227" s="0" t="s">
        <v>59</v>
      </c>
      <c r="G3227" s="0" t="s">
        <v>4974</v>
      </c>
      <c r="H3227" s="0" t="s">
        <v>69</v>
      </c>
      <c r="I3227" s="0" t="s">
        <v>4975</v>
      </c>
      <c r="J3227" s="20" t="s">
        <v>25</v>
      </c>
    </row>
    <row r="3228" customFormat="false" ht="15" hidden="false" customHeight="false" outlineLevel="0" collapsed="false">
      <c r="A3228" s="0" t="s">
        <v>2703</v>
      </c>
      <c r="B3228" s="0" t="s">
        <v>134</v>
      </c>
      <c r="C3228" s="0" t="s">
        <v>3447</v>
      </c>
      <c r="D3228" s="0" t="s">
        <v>3457</v>
      </c>
      <c r="E3228" s="0" t="s">
        <v>4969</v>
      </c>
      <c r="F3228" s="0" t="s">
        <v>61</v>
      </c>
      <c r="G3228" s="0" t="s">
        <v>4970</v>
      </c>
      <c r="H3228" s="0" t="s">
        <v>5325</v>
      </c>
      <c r="I3228" s="0" t="s">
        <v>4972</v>
      </c>
      <c r="J3228" s="20" t="s">
        <v>25</v>
      </c>
    </row>
    <row r="3229" customFormat="false" ht="15" hidden="false" customHeight="false" outlineLevel="0" collapsed="false">
      <c r="A3229" s="0" t="s">
        <v>2703</v>
      </c>
      <c r="B3229" s="0" t="s">
        <v>134</v>
      </c>
      <c r="C3229" s="0" t="s">
        <v>3447</v>
      </c>
      <c r="D3229" s="0" t="s">
        <v>3448</v>
      </c>
      <c r="E3229" s="0" t="s">
        <v>4969</v>
      </c>
      <c r="F3229" s="0" t="s">
        <v>61</v>
      </c>
      <c r="G3229" s="0" t="s">
        <v>4970</v>
      </c>
      <c r="H3229" s="0" t="s">
        <v>6047</v>
      </c>
      <c r="I3229" s="0" t="s">
        <v>4972</v>
      </c>
      <c r="J3229" s="20" t="s">
        <v>25</v>
      </c>
    </row>
    <row r="3230" customFormat="false" ht="15" hidden="false" customHeight="false" outlineLevel="0" collapsed="false">
      <c r="A3230" s="0" t="s">
        <v>2703</v>
      </c>
      <c r="B3230" s="0" t="s">
        <v>3459</v>
      </c>
      <c r="C3230" s="0" t="s">
        <v>3450</v>
      </c>
      <c r="D3230" s="0" t="s">
        <v>3457</v>
      </c>
      <c r="E3230" s="0" t="s">
        <v>4969</v>
      </c>
      <c r="F3230" s="0" t="s">
        <v>61</v>
      </c>
      <c r="G3230" s="0" t="s">
        <v>4970</v>
      </c>
      <c r="H3230" s="0" t="s">
        <v>6048</v>
      </c>
      <c r="I3230" s="0" t="s">
        <v>4972</v>
      </c>
      <c r="J3230" s="20" t="s">
        <v>25</v>
      </c>
    </row>
    <row r="3231" customFormat="false" ht="15" hidden="false" customHeight="false" outlineLevel="0" collapsed="false">
      <c r="A3231" s="0" t="s">
        <v>2703</v>
      </c>
      <c r="B3231" s="0" t="s">
        <v>3459</v>
      </c>
      <c r="C3231" s="0" t="s">
        <v>3447</v>
      </c>
      <c r="D3231" s="0" t="s">
        <v>3457</v>
      </c>
      <c r="E3231" s="0" t="s">
        <v>4969</v>
      </c>
      <c r="F3231" s="0" t="s">
        <v>61</v>
      </c>
      <c r="G3231" s="0" t="s">
        <v>4970</v>
      </c>
      <c r="H3231" s="0" t="s">
        <v>6049</v>
      </c>
      <c r="I3231" s="0" t="s">
        <v>4972</v>
      </c>
      <c r="J3231" s="20" t="s">
        <v>25</v>
      </c>
    </row>
    <row r="3232" customFormat="false" ht="15" hidden="false" customHeight="false" outlineLevel="0" collapsed="false">
      <c r="A3232" s="0" t="s">
        <v>2703</v>
      </c>
      <c r="B3232" s="0" t="s">
        <v>134</v>
      </c>
      <c r="C3232" s="0" t="s">
        <v>3447</v>
      </c>
      <c r="D3232" s="0" t="s">
        <v>3457</v>
      </c>
      <c r="E3232" s="0" t="s">
        <v>4963</v>
      </c>
      <c r="F3232" s="0" t="s">
        <v>30</v>
      </c>
      <c r="G3232" s="0" t="s">
        <v>4980</v>
      </c>
      <c r="H3232" s="0" t="s">
        <v>4242</v>
      </c>
      <c r="I3232" s="0" t="s">
        <v>4981</v>
      </c>
      <c r="J3232" s="18" t="s">
        <v>24</v>
      </c>
    </row>
    <row r="3233" customFormat="false" ht="15" hidden="false" customHeight="false" outlineLevel="0" collapsed="false">
      <c r="A3233" s="0" t="s">
        <v>2703</v>
      </c>
      <c r="B3233" s="0" t="s">
        <v>134</v>
      </c>
      <c r="C3233" s="0" t="s">
        <v>3447</v>
      </c>
      <c r="D3233" s="0" t="s">
        <v>3448</v>
      </c>
      <c r="E3233" s="0" t="s">
        <v>4963</v>
      </c>
      <c r="F3233" s="0" t="s">
        <v>30</v>
      </c>
      <c r="G3233" s="0" t="s">
        <v>4980</v>
      </c>
      <c r="H3233" s="0" t="s">
        <v>4342</v>
      </c>
      <c r="I3233" s="0" t="s">
        <v>4981</v>
      </c>
      <c r="J3233" s="18" t="s">
        <v>24</v>
      </c>
    </row>
    <row r="3234" customFormat="false" ht="15" hidden="false" customHeight="false" outlineLevel="0" collapsed="false">
      <c r="A3234" s="0" t="s">
        <v>2703</v>
      </c>
      <c r="B3234" s="0" t="s">
        <v>3459</v>
      </c>
      <c r="C3234" s="0" t="s">
        <v>3447</v>
      </c>
      <c r="D3234" s="0" t="s">
        <v>3457</v>
      </c>
      <c r="E3234" s="0" t="s">
        <v>4963</v>
      </c>
      <c r="F3234" s="0" t="s">
        <v>30</v>
      </c>
      <c r="G3234" s="0" t="s">
        <v>4980</v>
      </c>
      <c r="H3234" s="0" t="s">
        <v>4828</v>
      </c>
      <c r="I3234" s="0" t="s">
        <v>4981</v>
      </c>
      <c r="J3234" s="18" t="s">
        <v>24</v>
      </c>
    </row>
    <row r="3235" customFormat="false" ht="15" hidden="false" customHeight="false" outlineLevel="0" collapsed="false">
      <c r="A3235" s="0" t="s">
        <v>2703</v>
      </c>
      <c r="B3235" s="0" t="s">
        <v>3459</v>
      </c>
      <c r="C3235" s="0" t="s">
        <v>3447</v>
      </c>
      <c r="D3235" s="0" t="s">
        <v>3448</v>
      </c>
      <c r="E3235" s="0" t="s">
        <v>4963</v>
      </c>
      <c r="F3235" s="0" t="s">
        <v>30</v>
      </c>
      <c r="G3235" s="0" t="s">
        <v>4980</v>
      </c>
      <c r="H3235" s="0" t="s">
        <v>4592</v>
      </c>
      <c r="I3235" s="0" t="s">
        <v>4981</v>
      </c>
      <c r="J3235" s="18" t="s">
        <v>24</v>
      </c>
    </row>
    <row r="3236" customFormat="false" ht="15" hidden="false" customHeight="false" outlineLevel="0" collapsed="false">
      <c r="A3236" s="0" t="s">
        <v>2709</v>
      </c>
      <c r="B3236" s="0" t="s">
        <v>134</v>
      </c>
      <c r="C3236" s="0" t="s">
        <v>3447</v>
      </c>
      <c r="D3236" s="0" t="s">
        <v>3457</v>
      </c>
      <c r="E3236" s="0" t="s">
        <v>4963</v>
      </c>
      <c r="F3236" s="0" t="s">
        <v>60</v>
      </c>
      <c r="G3236" s="0" t="s">
        <v>4964</v>
      </c>
      <c r="H3236" s="0" t="s">
        <v>5246</v>
      </c>
      <c r="I3236" s="0" t="s">
        <v>4966</v>
      </c>
      <c r="J3236" s="19" t="s">
        <v>26</v>
      </c>
    </row>
    <row r="3237" customFormat="false" ht="15" hidden="false" customHeight="false" outlineLevel="0" collapsed="false">
      <c r="A3237" s="0" t="s">
        <v>2709</v>
      </c>
      <c r="B3237" s="0" t="s">
        <v>134</v>
      </c>
      <c r="C3237" s="0" t="s">
        <v>3447</v>
      </c>
      <c r="D3237" s="0" t="s">
        <v>3448</v>
      </c>
      <c r="E3237" s="0" t="s">
        <v>4963</v>
      </c>
      <c r="F3237" s="0" t="s">
        <v>60</v>
      </c>
      <c r="G3237" s="0" t="s">
        <v>4964</v>
      </c>
      <c r="H3237" s="0" t="s">
        <v>6050</v>
      </c>
      <c r="I3237" s="0" t="s">
        <v>4966</v>
      </c>
      <c r="J3237" s="19" t="s">
        <v>26</v>
      </c>
    </row>
    <row r="3238" customFormat="false" ht="15" hidden="false" customHeight="false" outlineLevel="0" collapsed="false">
      <c r="A3238" s="0" t="s">
        <v>2709</v>
      </c>
      <c r="B3238" s="0" t="s">
        <v>3459</v>
      </c>
      <c r="C3238" s="0" t="s">
        <v>3450</v>
      </c>
      <c r="D3238" s="0" t="s">
        <v>3457</v>
      </c>
      <c r="E3238" s="0" t="s">
        <v>4963</v>
      </c>
      <c r="F3238" s="0" t="s">
        <v>60</v>
      </c>
      <c r="G3238" s="0" t="s">
        <v>4964</v>
      </c>
      <c r="H3238" s="0" t="s">
        <v>6051</v>
      </c>
      <c r="I3238" s="0" t="s">
        <v>4966</v>
      </c>
      <c r="J3238" s="19" t="s">
        <v>26</v>
      </c>
    </row>
    <row r="3239" customFormat="false" ht="15" hidden="false" customHeight="false" outlineLevel="0" collapsed="false">
      <c r="A3239" s="0" t="s">
        <v>2709</v>
      </c>
      <c r="B3239" s="0" t="s">
        <v>3459</v>
      </c>
      <c r="C3239" s="0" t="s">
        <v>3447</v>
      </c>
      <c r="D3239" s="0" t="s">
        <v>3457</v>
      </c>
      <c r="E3239" s="0" t="s">
        <v>4963</v>
      </c>
      <c r="F3239" s="0" t="s">
        <v>60</v>
      </c>
      <c r="G3239" s="0" t="s">
        <v>4964</v>
      </c>
      <c r="H3239" s="0" t="s">
        <v>6052</v>
      </c>
      <c r="I3239" s="0" t="s">
        <v>4966</v>
      </c>
      <c r="J3239" s="19" t="s">
        <v>26</v>
      </c>
    </row>
    <row r="3240" customFormat="false" ht="15" hidden="false" customHeight="false" outlineLevel="0" collapsed="false">
      <c r="A3240" s="0" t="s">
        <v>2709</v>
      </c>
      <c r="B3240" s="0" t="s">
        <v>3459</v>
      </c>
      <c r="C3240" s="0" t="s">
        <v>3447</v>
      </c>
      <c r="D3240" s="0" t="s">
        <v>3448</v>
      </c>
      <c r="E3240" s="0" t="s">
        <v>4963</v>
      </c>
      <c r="F3240" s="0" t="s">
        <v>60</v>
      </c>
      <c r="G3240" s="0" t="s">
        <v>4964</v>
      </c>
      <c r="H3240" s="0" t="s">
        <v>6053</v>
      </c>
      <c r="I3240" s="0" t="s">
        <v>4966</v>
      </c>
      <c r="J3240" s="19" t="s">
        <v>26</v>
      </c>
    </row>
    <row r="3241" customFormat="false" ht="15" hidden="false" customHeight="false" outlineLevel="0" collapsed="false">
      <c r="A3241" s="0" t="s">
        <v>2709</v>
      </c>
      <c r="B3241" s="0" t="s">
        <v>134</v>
      </c>
      <c r="C3241" s="0" t="s">
        <v>3450</v>
      </c>
      <c r="D3241" s="0" t="s">
        <v>3457</v>
      </c>
      <c r="E3241" s="0" t="s">
        <v>4963</v>
      </c>
      <c r="F3241" s="0" t="s">
        <v>59</v>
      </c>
      <c r="G3241" s="0" t="s">
        <v>4974</v>
      </c>
      <c r="H3241" s="0" t="s">
        <v>69</v>
      </c>
      <c r="I3241" s="0" t="s">
        <v>4975</v>
      </c>
      <c r="J3241" s="20" t="s">
        <v>25</v>
      </c>
    </row>
    <row r="3242" customFormat="false" ht="15" hidden="false" customHeight="false" outlineLevel="0" collapsed="false">
      <c r="A3242" s="0" t="s">
        <v>2709</v>
      </c>
      <c r="B3242" s="0" t="s">
        <v>134</v>
      </c>
      <c r="C3242" s="0" t="s">
        <v>3450</v>
      </c>
      <c r="D3242" s="0" t="s">
        <v>3448</v>
      </c>
      <c r="E3242" s="0" t="s">
        <v>4963</v>
      </c>
      <c r="F3242" s="0" t="s">
        <v>59</v>
      </c>
      <c r="G3242" s="0" t="s">
        <v>4974</v>
      </c>
      <c r="H3242" s="0" t="s">
        <v>69</v>
      </c>
      <c r="I3242" s="0" t="s">
        <v>4975</v>
      </c>
      <c r="J3242" s="20" t="s">
        <v>25</v>
      </c>
    </row>
    <row r="3243" customFormat="false" ht="15" hidden="false" customHeight="false" outlineLevel="0" collapsed="false">
      <c r="A3243" s="0" t="s">
        <v>2709</v>
      </c>
      <c r="B3243" s="0" t="s">
        <v>134</v>
      </c>
      <c r="C3243" s="0" t="s">
        <v>3447</v>
      </c>
      <c r="D3243" s="0" t="s">
        <v>3457</v>
      </c>
      <c r="E3243" s="0" t="s">
        <v>4963</v>
      </c>
      <c r="F3243" s="0" t="s">
        <v>59</v>
      </c>
      <c r="G3243" s="0" t="s">
        <v>4974</v>
      </c>
      <c r="H3243" s="0" t="s">
        <v>69</v>
      </c>
      <c r="I3243" s="0" t="s">
        <v>4975</v>
      </c>
      <c r="J3243" s="20" t="s">
        <v>25</v>
      </c>
    </row>
    <row r="3244" customFormat="false" ht="15" hidden="false" customHeight="false" outlineLevel="0" collapsed="false">
      <c r="A3244" s="0" t="s">
        <v>2709</v>
      </c>
      <c r="B3244" s="0" t="s">
        <v>3459</v>
      </c>
      <c r="C3244" s="0" t="s">
        <v>3450</v>
      </c>
      <c r="D3244" s="0" t="s">
        <v>3457</v>
      </c>
      <c r="E3244" s="0" t="s">
        <v>4963</v>
      </c>
      <c r="F3244" s="0" t="s">
        <v>59</v>
      </c>
      <c r="G3244" s="0" t="s">
        <v>4974</v>
      </c>
      <c r="H3244" s="0" t="s">
        <v>69</v>
      </c>
      <c r="I3244" s="0" t="s">
        <v>4975</v>
      </c>
      <c r="J3244" s="20" t="s">
        <v>25</v>
      </c>
    </row>
    <row r="3245" customFormat="false" ht="15" hidden="false" customHeight="false" outlineLevel="0" collapsed="false">
      <c r="A3245" s="0" t="s">
        <v>2709</v>
      </c>
      <c r="B3245" s="0" t="s">
        <v>3459</v>
      </c>
      <c r="C3245" s="0" t="s">
        <v>3450</v>
      </c>
      <c r="D3245" s="0" t="s">
        <v>3448</v>
      </c>
      <c r="E3245" s="0" t="s">
        <v>4963</v>
      </c>
      <c r="F3245" s="0" t="s">
        <v>59</v>
      </c>
      <c r="G3245" s="0" t="s">
        <v>4974</v>
      </c>
      <c r="H3245" s="0" t="s">
        <v>69</v>
      </c>
      <c r="I3245" s="0" t="s">
        <v>4975</v>
      </c>
      <c r="J3245" s="20" t="s">
        <v>25</v>
      </c>
    </row>
    <row r="3246" customFormat="false" ht="15" hidden="false" customHeight="false" outlineLevel="0" collapsed="false">
      <c r="A3246" s="0" t="s">
        <v>2709</v>
      </c>
      <c r="B3246" s="0" t="s">
        <v>3459</v>
      </c>
      <c r="C3246" s="0" t="s">
        <v>3447</v>
      </c>
      <c r="D3246" s="0" t="s">
        <v>3457</v>
      </c>
      <c r="E3246" s="0" t="s">
        <v>4963</v>
      </c>
      <c r="F3246" s="0" t="s">
        <v>59</v>
      </c>
      <c r="G3246" s="0" t="s">
        <v>4974</v>
      </c>
      <c r="H3246" s="0" t="s">
        <v>69</v>
      </c>
      <c r="I3246" s="0" t="s">
        <v>4975</v>
      </c>
      <c r="J3246" s="20" t="s">
        <v>25</v>
      </c>
    </row>
    <row r="3247" customFormat="false" ht="15" hidden="false" customHeight="false" outlineLevel="0" collapsed="false">
      <c r="A3247" s="0" t="s">
        <v>2709</v>
      </c>
      <c r="B3247" s="0" t="s">
        <v>3459</v>
      </c>
      <c r="C3247" s="0" t="s">
        <v>3447</v>
      </c>
      <c r="D3247" s="0" t="s">
        <v>3448</v>
      </c>
      <c r="E3247" s="0" t="s">
        <v>4969</v>
      </c>
      <c r="F3247" s="0" t="s">
        <v>61</v>
      </c>
      <c r="G3247" s="0" t="s">
        <v>4970</v>
      </c>
      <c r="H3247" s="0" t="s">
        <v>6054</v>
      </c>
      <c r="I3247" s="0" t="s">
        <v>4972</v>
      </c>
      <c r="J3247" s="20" t="s">
        <v>25</v>
      </c>
    </row>
    <row r="3248" customFormat="false" ht="15" hidden="false" customHeight="false" outlineLevel="0" collapsed="false">
      <c r="A3248" s="0" t="s">
        <v>2709</v>
      </c>
      <c r="B3248" s="0" t="s">
        <v>134</v>
      </c>
      <c r="C3248" s="0" t="s">
        <v>3450</v>
      </c>
      <c r="D3248" s="0" t="s">
        <v>3457</v>
      </c>
      <c r="E3248" s="0" t="s">
        <v>4963</v>
      </c>
      <c r="F3248" s="0" t="s">
        <v>30</v>
      </c>
      <c r="G3248" s="0" t="s">
        <v>4980</v>
      </c>
      <c r="H3248" s="0" t="s">
        <v>4238</v>
      </c>
      <c r="I3248" s="0" t="s">
        <v>4981</v>
      </c>
      <c r="J3248" s="18" t="s">
        <v>24</v>
      </c>
    </row>
    <row r="3249" customFormat="false" ht="15" hidden="false" customHeight="false" outlineLevel="0" collapsed="false">
      <c r="A3249" s="0" t="s">
        <v>2709</v>
      </c>
      <c r="B3249" s="0" t="s">
        <v>134</v>
      </c>
      <c r="C3249" s="0" t="s">
        <v>3450</v>
      </c>
      <c r="D3249" s="0" t="s">
        <v>3448</v>
      </c>
      <c r="E3249" s="0" t="s">
        <v>4963</v>
      </c>
      <c r="F3249" s="0" t="s">
        <v>30</v>
      </c>
      <c r="G3249" s="0" t="s">
        <v>4980</v>
      </c>
      <c r="H3249" s="0" t="s">
        <v>4829</v>
      </c>
      <c r="I3249" s="0" t="s">
        <v>4981</v>
      </c>
      <c r="J3249" s="18" t="s">
        <v>24</v>
      </c>
    </row>
    <row r="3250" customFormat="false" ht="15" hidden="false" customHeight="false" outlineLevel="0" collapsed="false">
      <c r="A3250" s="0" t="s">
        <v>2709</v>
      </c>
      <c r="B3250" s="0" t="s">
        <v>3459</v>
      </c>
      <c r="C3250" s="0" t="s">
        <v>3450</v>
      </c>
      <c r="D3250" s="0" t="s">
        <v>3448</v>
      </c>
      <c r="E3250" s="0" t="s">
        <v>4963</v>
      </c>
      <c r="F3250" s="0" t="s">
        <v>30</v>
      </c>
      <c r="G3250" s="0" t="s">
        <v>4980</v>
      </c>
      <c r="H3250" s="0" t="s">
        <v>4535</v>
      </c>
      <c r="I3250" s="0" t="s">
        <v>4981</v>
      </c>
      <c r="J3250" s="18" t="s">
        <v>24</v>
      </c>
    </row>
    <row r="3251" customFormat="false" ht="15" hidden="false" customHeight="false" outlineLevel="0" collapsed="false">
      <c r="A3251" s="0" t="s">
        <v>2715</v>
      </c>
      <c r="B3251" s="0" t="s">
        <v>134</v>
      </c>
      <c r="C3251" s="0" t="s">
        <v>3450</v>
      </c>
      <c r="D3251" s="0" t="s">
        <v>3457</v>
      </c>
      <c r="E3251" s="0" t="s">
        <v>4963</v>
      </c>
      <c r="F3251" s="0" t="s">
        <v>60</v>
      </c>
      <c r="G3251" s="0" t="s">
        <v>4964</v>
      </c>
      <c r="H3251" s="0" t="s">
        <v>5151</v>
      </c>
      <c r="I3251" s="0" t="s">
        <v>4966</v>
      </c>
      <c r="J3251" s="19" t="s">
        <v>26</v>
      </c>
    </row>
    <row r="3252" customFormat="false" ht="15" hidden="false" customHeight="false" outlineLevel="0" collapsed="false">
      <c r="A3252" s="0" t="s">
        <v>2715</v>
      </c>
      <c r="B3252" s="0" t="s">
        <v>134</v>
      </c>
      <c r="C3252" s="0" t="s">
        <v>3450</v>
      </c>
      <c r="D3252" s="0" t="s">
        <v>3457</v>
      </c>
      <c r="E3252" s="0" t="s">
        <v>4963</v>
      </c>
      <c r="F3252" s="0" t="s">
        <v>59</v>
      </c>
      <c r="G3252" s="0" t="s">
        <v>4974</v>
      </c>
      <c r="H3252" s="0" t="s">
        <v>69</v>
      </c>
      <c r="I3252" s="0" t="s">
        <v>4975</v>
      </c>
      <c r="J3252" s="20" t="s">
        <v>25</v>
      </c>
    </row>
    <row r="3253" customFormat="false" ht="15" hidden="false" customHeight="false" outlineLevel="0" collapsed="false">
      <c r="A3253" s="0" t="s">
        <v>2715</v>
      </c>
      <c r="B3253" s="0" t="s">
        <v>134</v>
      </c>
      <c r="C3253" s="0" t="s">
        <v>3450</v>
      </c>
      <c r="D3253" s="0" t="s">
        <v>3457</v>
      </c>
      <c r="E3253" s="0" t="s">
        <v>4969</v>
      </c>
      <c r="F3253" s="0" t="s">
        <v>62</v>
      </c>
      <c r="G3253" s="0" t="s">
        <v>5003</v>
      </c>
      <c r="H3253" s="0" t="s">
        <v>5750</v>
      </c>
      <c r="I3253" s="0" t="s">
        <v>5005</v>
      </c>
      <c r="J3253" s="20" t="s">
        <v>25</v>
      </c>
    </row>
    <row r="3254" customFormat="false" ht="15" hidden="false" customHeight="false" outlineLevel="0" collapsed="false">
      <c r="A3254" s="0" t="s">
        <v>2715</v>
      </c>
      <c r="B3254" s="0" t="s">
        <v>134</v>
      </c>
      <c r="C3254" s="0" t="s">
        <v>3450</v>
      </c>
      <c r="D3254" s="0" t="s">
        <v>3457</v>
      </c>
      <c r="E3254" s="0" t="s">
        <v>4969</v>
      </c>
      <c r="F3254" s="0" t="s">
        <v>64</v>
      </c>
      <c r="G3254" s="0" t="s">
        <v>4220</v>
      </c>
      <c r="H3254" s="0" t="s">
        <v>5041</v>
      </c>
      <c r="I3254" s="0" t="s">
        <v>4991</v>
      </c>
      <c r="J3254" s="20" t="s">
        <v>25</v>
      </c>
    </row>
    <row r="3255" customFormat="false" ht="15" hidden="false" customHeight="false" outlineLevel="0" collapsed="false">
      <c r="A3255" s="0" t="s">
        <v>2715</v>
      </c>
      <c r="B3255" s="0" t="s">
        <v>134</v>
      </c>
      <c r="C3255" s="0" t="s">
        <v>3450</v>
      </c>
      <c r="D3255" s="0" t="s">
        <v>3448</v>
      </c>
      <c r="E3255" s="0" t="s">
        <v>4963</v>
      </c>
      <c r="F3255" s="0" t="s">
        <v>59</v>
      </c>
      <c r="G3255" s="0" t="s">
        <v>4974</v>
      </c>
      <c r="H3255" s="0" t="s">
        <v>69</v>
      </c>
      <c r="I3255" s="0" t="s">
        <v>4975</v>
      </c>
      <c r="J3255" s="20" t="s">
        <v>25</v>
      </c>
    </row>
    <row r="3256" customFormat="false" ht="15" hidden="false" customHeight="false" outlineLevel="0" collapsed="false">
      <c r="A3256" s="0" t="s">
        <v>2715</v>
      </c>
      <c r="B3256" s="0" t="s">
        <v>134</v>
      </c>
      <c r="C3256" s="0" t="s">
        <v>3450</v>
      </c>
      <c r="D3256" s="0" t="s">
        <v>3448</v>
      </c>
      <c r="E3256" s="0" t="s">
        <v>4969</v>
      </c>
      <c r="F3256" s="0" t="s">
        <v>62</v>
      </c>
      <c r="G3256" s="0" t="s">
        <v>5003</v>
      </c>
      <c r="H3256" s="0" t="s">
        <v>5846</v>
      </c>
      <c r="I3256" s="0" t="s">
        <v>5005</v>
      </c>
      <c r="J3256" s="20" t="s">
        <v>25</v>
      </c>
    </row>
    <row r="3257" customFormat="false" ht="15" hidden="false" customHeight="false" outlineLevel="0" collapsed="false">
      <c r="A3257" s="0" t="s">
        <v>2715</v>
      </c>
      <c r="B3257" s="0" t="s">
        <v>134</v>
      </c>
      <c r="C3257" s="0" t="s">
        <v>3447</v>
      </c>
      <c r="D3257" s="0" t="s">
        <v>3457</v>
      </c>
      <c r="E3257" s="0" t="s">
        <v>4969</v>
      </c>
      <c r="F3257" s="0" t="s">
        <v>64</v>
      </c>
      <c r="G3257" s="0" t="s">
        <v>4220</v>
      </c>
      <c r="H3257" s="0" t="s">
        <v>5041</v>
      </c>
      <c r="I3257" s="0" t="s">
        <v>4991</v>
      </c>
      <c r="J3257" s="20" t="s">
        <v>25</v>
      </c>
    </row>
    <row r="3258" customFormat="false" ht="15" hidden="false" customHeight="false" outlineLevel="0" collapsed="false">
      <c r="A3258" s="0" t="s">
        <v>2715</v>
      </c>
      <c r="B3258" s="0" t="s">
        <v>134</v>
      </c>
      <c r="C3258" s="0" t="s">
        <v>3450</v>
      </c>
      <c r="D3258" s="0" t="s">
        <v>3448</v>
      </c>
      <c r="E3258" s="0" t="s">
        <v>4963</v>
      </c>
      <c r="F3258" s="0" t="s">
        <v>30</v>
      </c>
      <c r="G3258" s="0" t="s">
        <v>4980</v>
      </c>
      <c r="H3258" s="0" t="s">
        <v>4238</v>
      </c>
      <c r="I3258" s="0" t="s">
        <v>4981</v>
      </c>
      <c r="J3258" s="18" t="s">
        <v>24</v>
      </c>
    </row>
    <row r="3259" customFormat="false" ht="15" hidden="false" customHeight="false" outlineLevel="0" collapsed="false">
      <c r="A3259" s="0" t="s">
        <v>2715</v>
      </c>
      <c r="B3259" s="0" t="s">
        <v>134</v>
      </c>
      <c r="C3259" s="0" t="s">
        <v>3447</v>
      </c>
      <c r="D3259" s="0" t="s">
        <v>3457</v>
      </c>
      <c r="E3259" s="0" t="s">
        <v>4963</v>
      </c>
      <c r="F3259" s="0" t="s">
        <v>30</v>
      </c>
      <c r="G3259" s="0" t="s">
        <v>4980</v>
      </c>
      <c r="H3259" s="0" t="s">
        <v>4727</v>
      </c>
      <c r="I3259" s="0" t="s">
        <v>4981</v>
      </c>
      <c r="J3259" s="18" t="s">
        <v>24</v>
      </c>
    </row>
    <row r="3260" customFormat="false" ht="15" hidden="false" customHeight="false" outlineLevel="0" collapsed="false">
      <c r="A3260" s="0" t="s">
        <v>2715</v>
      </c>
      <c r="B3260" s="0" t="s">
        <v>134</v>
      </c>
      <c r="C3260" s="0" t="s">
        <v>3447</v>
      </c>
      <c r="D3260" s="0" t="s">
        <v>3448</v>
      </c>
      <c r="E3260" s="0" t="s">
        <v>4963</v>
      </c>
      <c r="F3260" s="0" t="s">
        <v>30</v>
      </c>
      <c r="G3260" s="0" t="s">
        <v>4980</v>
      </c>
      <c r="H3260" s="0" t="s">
        <v>4371</v>
      </c>
      <c r="I3260" s="0" t="s">
        <v>4981</v>
      </c>
      <c r="J3260" s="18" t="s">
        <v>24</v>
      </c>
    </row>
    <row r="3261" customFormat="false" ht="15" hidden="false" customHeight="false" outlineLevel="0" collapsed="false">
      <c r="A3261" s="0" t="s">
        <v>2721</v>
      </c>
      <c r="B3261" s="0" t="s">
        <v>134</v>
      </c>
      <c r="C3261" s="0" t="s">
        <v>3447</v>
      </c>
      <c r="D3261" s="0" t="s">
        <v>3457</v>
      </c>
      <c r="E3261" s="0" t="s">
        <v>4963</v>
      </c>
      <c r="F3261" s="0" t="s">
        <v>60</v>
      </c>
      <c r="G3261" s="0" t="s">
        <v>4964</v>
      </c>
      <c r="H3261" s="0" t="s">
        <v>5049</v>
      </c>
      <c r="I3261" s="0" t="s">
        <v>4966</v>
      </c>
      <c r="J3261" s="19" t="s">
        <v>26</v>
      </c>
    </row>
    <row r="3262" customFormat="false" ht="15" hidden="false" customHeight="false" outlineLevel="0" collapsed="false">
      <c r="A3262" s="0" t="s">
        <v>2721</v>
      </c>
      <c r="B3262" s="0" t="s">
        <v>134</v>
      </c>
      <c r="C3262" s="0" t="s">
        <v>3447</v>
      </c>
      <c r="D3262" s="0" t="s">
        <v>3448</v>
      </c>
      <c r="E3262" s="0" t="s">
        <v>4963</v>
      </c>
      <c r="F3262" s="0" t="s">
        <v>60</v>
      </c>
      <c r="G3262" s="0" t="s">
        <v>4964</v>
      </c>
      <c r="H3262" s="0" t="s">
        <v>5049</v>
      </c>
      <c r="I3262" s="0" t="s">
        <v>4966</v>
      </c>
      <c r="J3262" s="19" t="s">
        <v>26</v>
      </c>
    </row>
    <row r="3263" customFormat="false" ht="15" hidden="false" customHeight="false" outlineLevel="0" collapsed="false">
      <c r="A3263" s="0" t="s">
        <v>2721</v>
      </c>
      <c r="B3263" s="0" t="s">
        <v>134</v>
      </c>
      <c r="C3263" s="0" t="s">
        <v>3450</v>
      </c>
      <c r="D3263" s="0" t="s">
        <v>3457</v>
      </c>
      <c r="E3263" s="0" t="s">
        <v>4969</v>
      </c>
      <c r="F3263" s="0" t="s">
        <v>61</v>
      </c>
      <c r="G3263" s="0" t="s">
        <v>4970</v>
      </c>
      <c r="H3263" s="0" t="s">
        <v>6055</v>
      </c>
      <c r="I3263" s="0" t="s">
        <v>4972</v>
      </c>
      <c r="J3263" s="20" t="s">
        <v>25</v>
      </c>
    </row>
    <row r="3264" customFormat="false" ht="15" hidden="false" customHeight="false" outlineLevel="0" collapsed="false">
      <c r="A3264" s="0" t="s">
        <v>2721</v>
      </c>
      <c r="B3264" s="0" t="s">
        <v>134</v>
      </c>
      <c r="C3264" s="0" t="s">
        <v>3450</v>
      </c>
      <c r="D3264" s="0" t="s">
        <v>3448</v>
      </c>
      <c r="E3264" s="0" t="s">
        <v>4963</v>
      </c>
      <c r="F3264" s="0" t="s">
        <v>59</v>
      </c>
      <c r="G3264" s="0" t="s">
        <v>4974</v>
      </c>
      <c r="H3264" s="0" t="s">
        <v>69</v>
      </c>
      <c r="I3264" s="0" t="s">
        <v>4975</v>
      </c>
      <c r="J3264" s="20" t="s">
        <v>25</v>
      </c>
    </row>
    <row r="3265" customFormat="false" ht="15" hidden="false" customHeight="false" outlineLevel="0" collapsed="false">
      <c r="A3265" s="0" t="s">
        <v>2721</v>
      </c>
      <c r="B3265" s="0" t="s">
        <v>134</v>
      </c>
      <c r="C3265" s="0" t="s">
        <v>3450</v>
      </c>
      <c r="D3265" s="0" t="s">
        <v>3448</v>
      </c>
      <c r="E3265" s="0" t="s">
        <v>4969</v>
      </c>
      <c r="F3265" s="0" t="s">
        <v>61</v>
      </c>
      <c r="G3265" s="0" t="s">
        <v>4970</v>
      </c>
      <c r="H3265" s="0" t="s">
        <v>6056</v>
      </c>
      <c r="I3265" s="0" t="s">
        <v>4972</v>
      </c>
      <c r="J3265" s="20" t="s">
        <v>25</v>
      </c>
    </row>
    <row r="3266" customFormat="false" ht="15" hidden="false" customHeight="false" outlineLevel="0" collapsed="false">
      <c r="A3266" s="0" t="s">
        <v>2721</v>
      </c>
      <c r="B3266" s="0" t="s">
        <v>134</v>
      </c>
      <c r="C3266" s="0" t="s">
        <v>3447</v>
      </c>
      <c r="D3266" s="0" t="s">
        <v>3457</v>
      </c>
      <c r="E3266" s="0" t="s">
        <v>4963</v>
      </c>
      <c r="F3266" s="0" t="s">
        <v>59</v>
      </c>
      <c r="G3266" s="0" t="s">
        <v>4974</v>
      </c>
      <c r="H3266" s="0" t="s">
        <v>69</v>
      </c>
      <c r="I3266" s="0" t="s">
        <v>4975</v>
      </c>
      <c r="J3266" s="20" t="s">
        <v>25</v>
      </c>
    </row>
    <row r="3267" customFormat="false" ht="15" hidden="false" customHeight="false" outlineLevel="0" collapsed="false">
      <c r="A3267" s="0" t="s">
        <v>2721</v>
      </c>
      <c r="B3267" s="0" t="s">
        <v>134</v>
      </c>
      <c r="C3267" s="0" t="s">
        <v>3447</v>
      </c>
      <c r="D3267" s="0" t="s">
        <v>3457</v>
      </c>
      <c r="E3267" s="0" t="s">
        <v>4969</v>
      </c>
      <c r="F3267" s="0" t="s">
        <v>61</v>
      </c>
      <c r="G3267" s="0" t="s">
        <v>4970</v>
      </c>
      <c r="H3267" s="0" t="s">
        <v>5800</v>
      </c>
      <c r="I3267" s="0" t="s">
        <v>4972</v>
      </c>
      <c r="J3267" s="20" t="s">
        <v>25</v>
      </c>
    </row>
    <row r="3268" customFormat="false" ht="15" hidden="false" customHeight="false" outlineLevel="0" collapsed="false">
      <c r="A3268" s="0" t="s">
        <v>2721</v>
      </c>
      <c r="B3268" s="0" t="s">
        <v>134</v>
      </c>
      <c r="C3268" s="0" t="s">
        <v>3447</v>
      </c>
      <c r="D3268" s="0" t="s">
        <v>3448</v>
      </c>
      <c r="E3268" s="0" t="s">
        <v>4963</v>
      </c>
      <c r="F3268" s="0" t="s">
        <v>59</v>
      </c>
      <c r="G3268" s="0" t="s">
        <v>4974</v>
      </c>
      <c r="H3268" s="0" t="s">
        <v>69</v>
      </c>
      <c r="I3268" s="0" t="s">
        <v>4975</v>
      </c>
      <c r="J3268" s="20" t="s">
        <v>25</v>
      </c>
    </row>
    <row r="3269" customFormat="false" ht="15" hidden="false" customHeight="false" outlineLevel="0" collapsed="false">
      <c r="A3269" s="0" t="s">
        <v>2721</v>
      </c>
      <c r="B3269" s="0" t="s">
        <v>134</v>
      </c>
      <c r="C3269" s="0" t="s">
        <v>3447</v>
      </c>
      <c r="D3269" s="0" t="s">
        <v>3448</v>
      </c>
      <c r="E3269" s="0" t="s">
        <v>4969</v>
      </c>
      <c r="F3269" s="0" t="s">
        <v>61</v>
      </c>
      <c r="G3269" s="0" t="s">
        <v>4970</v>
      </c>
      <c r="H3269" s="0" t="s">
        <v>6057</v>
      </c>
      <c r="I3269" s="0" t="s">
        <v>4972</v>
      </c>
      <c r="J3269" s="20" t="s">
        <v>25</v>
      </c>
    </row>
    <row r="3270" customFormat="false" ht="15" hidden="false" customHeight="false" outlineLevel="0" collapsed="false">
      <c r="A3270" s="0" t="s">
        <v>2721</v>
      </c>
      <c r="B3270" s="0" t="s">
        <v>134</v>
      </c>
      <c r="C3270" s="0" t="s">
        <v>3450</v>
      </c>
      <c r="D3270" s="0" t="s">
        <v>3448</v>
      </c>
      <c r="E3270" s="0" t="s">
        <v>4963</v>
      </c>
      <c r="F3270" s="0" t="s">
        <v>30</v>
      </c>
      <c r="G3270" s="0" t="s">
        <v>4980</v>
      </c>
      <c r="H3270" s="0" t="s">
        <v>4265</v>
      </c>
      <c r="I3270" s="0" t="s">
        <v>4981</v>
      </c>
      <c r="J3270" s="18" t="s">
        <v>24</v>
      </c>
    </row>
    <row r="3271" customFormat="false" ht="15" hidden="false" customHeight="false" outlineLevel="0" collapsed="false">
      <c r="A3271" s="0" t="s">
        <v>2746</v>
      </c>
      <c r="B3271" s="0" t="s">
        <v>134</v>
      </c>
      <c r="C3271" s="0" t="s">
        <v>3450</v>
      </c>
      <c r="D3271" s="0" t="s">
        <v>3457</v>
      </c>
      <c r="E3271" s="0" t="s">
        <v>4963</v>
      </c>
      <c r="F3271" s="0" t="s">
        <v>60</v>
      </c>
      <c r="G3271" s="0" t="s">
        <v>4964</v>
      </c>
      <c r="H3271" s="0" t="s">
        <v>6058</v>
      </c>
      <c r="I3271" s="0" t="s">
        <v>4966</v>
      </c>
      <c r="J3271" s="19" t="s">
        <v>26</v>
      </c>
    </row>
    <row r="3272" customFormat="false" ht="15" hidden="false" customHeight="false" outlineLevel="0" collapsed="false">
      <c r="A3272" s="0" t="s">
        <v>2746</v>
      </c>
      <c r="B3272" s="0" t="s">
        <v>134</v>
      </c>
      <c r="C3272" s="0" t="s">
        <v>3450</v>
      </c>
      <c r="D3272" s="0" t="s">
        <v>3448</v>
      </c>
      <c r="E3272" s="0" t="s">
        <v>4963</v>
      </c>
      <c r="F3272" s="0" t="s">
        <v>60</v>
      </c>
      <c r="G3272" s="0" t="s">
        <v>4964</v>
      </c>
      <c r="H3272" s="0" t="s">
        <v>5359</v>
      </c>
      <c r="I3272" s="0" t="s">
        <v>4966</v>
      </c>
      <c r="J3272" s="19" t="s">
        <v>26</v>
      </c>
    </row>
    <row r="3273" customFormat="false" ht="15" hidden="false" customHeight="false" outlineLevel="0" collapsed="false">
      <c r="A3273" s="0" t="s">
        <v>2746</v>
      </c>
      <c r="B3273" s="0" t="s">
        <v>134</v>
      </c>
      <c r="C3273" s="0" t="s">
        <v>3450</v>
      </c>
      <c r="D3273" s="0" t="s">
        <v>3457</v>
      </c>
      <c r="E3273" s="0" t="s">
        <v>4963</v>
      </c>
      <c r="F3273" s="0" t="s">
        <v>59</v>
      </c>
      <c r="G3273" s="0" t="s">
        <v>4974</v>
      </c>
      <c r="H3273" s="0" t="s">
        <v>69</v>
      </c>
      <c r="I3273" s="0" t="s">
        <v>4975</v>
      </c>
      <c r="J3273" s="20" t="s">
        <v>25</v>
      </c>
    </row>
    <row r="3274" customFormat="false" ht="15" hidden="false" customHeight="false" outlineLevel="0" collapsed="false">
      <c r="A3274" s="0" t="s">
        <v>2746</v>
      </c>
      <c r="B3274" s="0" t="s">
        <v>134</v>
      </c>
      <c r="C3274" s="0" t="s">
        <v>3450</v>
      </c>
      <c r="D3274" s="0" t="s">
        <v>3448</v>
      </c>
      <c r="E3274" s="0" t="s">
        <v>4963</v>
      </c>
      <c r="F3274" s="0" t="s">
        <v>59</v>
      </c>
      <c r="G3274" s="0" t="s">
        <v>4974</v>
      </c>
      <c r="H3274" s="0" t="s">
        <v>69</v>
      </c>
      <c r="I3274" s="0" t="s">
        <v>4975</v>
      </c>
      <c r="J3274" s="20" t="s">
        <v>25</v>
      </c>
    </row>
    <row r="3275" customFormat="false" ht="15" hidden="false" customHeight="false" outlineLevel="0" collapsed="false">
      <c r="A3275" s="0" t="s">
        <v>2746</v>
      </c>
      <c r="B3275" s="0" t="s">
        <v>134</v>
      </c>
      <c r="C3275" s="0" t="s">
        <v>3450</v>
      </c>
      <c r="D3275" s="0" t="s">
        <v>3448</v>
      </c>
      <c r="E3275" s="0" t="s">
        <v>4969</v>
      </c>
      <c r="F3275" s="0" t="s">
        <v>62</v>
      </c>
      <c r="G3275" s="0" t="s">
        <v>5003</v>
      </c>
      <c r="H3275" s="0" t="s">
        <v>6059</v>
      </c>
      <c r="I3275" s="0" t="s">
        <v>5005</v>
      </c>
      <c r="J3275" s="20" t="s">
        <v>25</v>
      </c>
    </row>
    <row r="3276" customFormat="false" ht="15" hidden="false" customHeight="false" outlineLevel="0" collapsed="false">
      <c r="A3276" s="0" t="s">
        <v>2746</v>
      </c>
      <c r="B3276" s="0" t="s">
        <v>134</v>
      </c>
      <c r="C3276" s="0" t="s">
        <v>3447</v>
      </c>
      <c r="D3276" s="0" t="s">
        <v>3457</v>
      </c>
      <c r="E3276" s="0" t="s">
        <v>4969</v>
      </c>
      <c r="F3276" s="0" t="s">
        <v>61</v>
      </c>
      <c r="G3276" s="0" t="s">
        <v>4970</v>
      </c>
      <c r="H3276" s="0" t="s">
        <v>6060</v>
      </c>
      <c r="I3276" s="0" t="s">
        <v>4972</v>
      </c>
      <c r="J3276" s="20" t="s">
        <v>25</v>
      </c>
    </row>
    <row r="3277" customFormat="false" ht="15" hidden="false" customHeight="false" outlineLevel="0" collapsed="false">
      <c r="A3277" s="0" t="s">
        <v>2746</v>
      </c>
      <c r="B3277" s="0" t="s">
        <v>3459</v>
      </c>
      <c r="C3277" s="0" t="s">
        <v>3450</v>
      </c>
      <c r="D3277" s="0" t="s">
        <v>3457</v>
      </c>
      <c r="E3277" s="0" t="s">
        <v>4963</v>
      </c>
      <c r="F3277" s="0" t="s">
        <v>59</v>
      </c>
      <c r="G3277" s="0" t="s">
        <v>4974</v>
      </c>
      <c r="H3277" s="0" t="s">
        <v>69</v>
      </c>
      <c r="I3277" s="0" t="s">
        <v>4975</v>
      </c>
      <c r="J3277" s="20" t="s">
        <v>25</v>
      </c>
    </row>
    <row r="3278" customFormat="false" ht="15" hidden="false" customHeight="false" outlineLevel="0" collapsed="false">
      <c r="A3278" s="0" t="s">
        <v>2746</v>
      </c>
      <c r="B3278" s="0" t="s">
        <v>3459</v>
      </c>
      <c r="C3278" s="0" t="s">
        <v>3450</v>
      </c>
      <c r="D3278" s="0" t="s">
        <v>3457</v>
      </c>
      <c r="E3278" s="0" t="s">
        <v>4969</v>
      </c>
      <c r="F3278" s="0" t="s">
        <v>61</v>
      </c>
      <c r="G3278" s="0" t="s">
        <v>4970</v>
      </c>
      <c r="H3278" s="0" t="s">
        <v>6061</v>
      </c>
      <c r="I3278" s="0" t="s">
        <v>4972</v>
      </c>
      <c r="J3278" s="20" t="s">
        <v>25</v>
      </c>
    </row>
    <row r="3279" customFormat="false" ht="15" hidden="false" customHeight="false" outlineLevel="0" collapsed="false">
      <c r="A3279" s="0" t="s">
        <v>2746</v>
      </c>
      <c r="B3279" s="0" t="s">
        <v>3459</v>
      </c>
      <c r="C3279" s="0" t="s">
        <v>3450</v>
      </c>
      <c r="D3279" s="0" t="s">
        <v>3448</v>
      </c>
      <c r="E3279" s="0" t="s">
        <v>4963</v>
      </c>
      <c r="F3279" s="0" t="s">
        <v>59</v>
      </c>
      <c r="G3279" s="0" t="s">
        <v>4974</v>
      </c>
      <c r="H3279" s="0" t="s">
        <v>69</v>
      </c>
      <c r="I3279" s="0" t="s">
        <v>4975</v>
      </c>
      <c r="J3279" s="20" t="s">
        <v>25</v>
      </c>
    </row>
    <row r="3280" customFormat="false" ht="15" hidden="false" customHeight="false" outlineLevel="0" collapsed="false">
      <c r="A3280" s="0" t="s">
        <v>2746</v>
      </c>
      <c r="B3280" s="0" t="s">
        <v>3459</v>
      </c>
      <c r="C3280" s="0" t="s">
        <v>3450</v>
      </c>
      <c r="D3280" s="0" t="s">
        <v>3448</v>
      </c>
      <c r="E3280" s="0" t="s">
        <v>4969</v>
      </c>
      <c r="F3280" s="0" t="s">
        <v>61</v>
      </c>
      <c r="G3280" s="0" t="s">
        <v>4970</v>
      </c>
      <c r="H3280" s="0" t="s">
        <v>6062</v>
      </c>
      <c r="I3280" s="0" t="s">
        <v>4972</v>
      </c>
      <c r="J3280" s="20" t="s">
        <v>25</v>
      </c>
    </row>
    <row r="3281" customFormat="false" ht="15" hidden="false" customHeight="false" outlineLevel="0" collapsed="false">
      <c r="A3281" s="0" t="s">
        <v>2746</v>
      </c>
      <c r="B3281" s="0" t="s">
        <v>3459</v>
      </c>
      <c r="C3281" s="0" t="s">
        <v>3447</v>
      </c>
      <c r="D3281" s="0" t="s">
        <v>3457</v>
      </c>
      <c r="E3281" s="0" t="s">
        <v>4969</v>
      </c>
      <c r="F3281" s="0" t="s">
        <v>61</v>
      </c>
      <c r="G3281" s="0" t="s">
        <v>4970</v>
      </c>
      <c r="H3281" s="0" t="s">
        <v>6063</v>
      </c>
      <c r="I3281" s="0" t="s">
        <v>4972</v>
      </c>
      <c r="J3281" s="20" t="s">
        <v>25</v>
      </c>
    </row>
    <row r="3282" customFormat="false" ht="15" hidden="false" customHeight="false" outlineLevel="0" collapsed="false">
      <c r="A3282" s="0" t="s">
        <v>2746</v>
      </c>
      <c r="B3282" s="0" t="s">
        <v>3459</v>
      </c>
      <c r="C3282" s="0" t="s">
        <v>3447</v>
      </c>
      <c r="D3282" s="0" t="s">
        <v>3448</v>
      </c>
      <c r="E3282" s="0" t="s">
        <v>4969</v>
      </c>
      <c r="F3282" s="0" t="s">
        <v>61</v>
      </c>
      <c r="G3282" s="0" t="s">
        <v>4970</v>
      </c>
      <c r="H3282" s="0" t="s">
        <v>6064</v>
      </c>
      <c r="I3282" s="0" t="s">
        <v>4972</v>
      </c>
      <c r="J3282" s="20" t="s">
        <v>25</v>
      </c>
    </row>
    <row r="3283" customFormat="false" ht="15" hidden="false" customHeight="false" outlineLevel="0" collapsed="false">
      <c r="A3283" s="0" t="s">
        <v>2746</v>
      </c>
      <c r="B3283" s="0" t="s">
        <v>134</v>
      </c>
      <c r="C3283" s="0" t="s">
        <v>3447</v>
      </c>
      <c r="D3283" s="0" t="s">
        <v>3457</v>
      </c>
      <c r="E3283" s="0" t="s">
        <v>4963</v>
      </c>
      <c r="F3283" s="0" t="s">
        <v>30</v>
      </c>
      <c r="G3283" s="0" t="s">
        <v>4980</v>
      </c>
      <c r="H3283" s="0" t="s">
        <v>4228</v>
      </c>
      <c r="I3283" s="0" t="s">
        <v>4981</v>
      </c>
      <c r="J3283" s="18" t="s">
        <v>24</v>
      </c>
    </row>
    <row r="3284" customFormat="false" ht="15" hidden="false" customHeight="false" outlineLevel="0" collapsed="false">
      <c r="A3284" s="0" t="s">
        <v>2746</v>
      </c>
      <c r="B3284" s="0" t="s">
        <v>134</v>
      </c>
      <c r="C3284" s="0" t="s">
        <v>3447</v>
      </c>
      <c r="D3284" s="0" t="s">
        <v>3448</v>
      </c>
      <c r="E3284" s="0" t="s">
        <v>4963</v>
      </c>
      <c r="F3284" s="0" t="s">
        <v>30</v>
      </c>
      <c r="G3284" s="0" t="s">
        <v>4980</v>
      </c>
      <c r="H3284" s="0" t="s">
        <v>4228</v>
      </c>
      <c r="I3284" s="0" t="s">
        <v>4981</v>
      </c>
      <c r="J3284" s="18" t="s">
        <v>24</v>
      </c>
    </row>
    <row r="3285" customFormat="false" ht="15" hidden="false" customHeight="false" outlineLevel="0" collapsed="false">
      <c r="A3285" s="0" t="s">
        <v>2746</v>
      </c>
      <c r="B3285" s="0" t="s">
        <v>3459</v>
      </c>
      <c r="C3285" s="0" t="s">
        <v>3450</v>
      </c>
      <c r="D3285" s="0" t="s">
        <v>3457</v>
      </c>
      <c r="E3285" s="0" t="s">
        <v>4963</v>
      </c>
      <c r="F3285" s="0" t="s">
        <v>30</v>
      </c>
      <c r="G3285" s="0" t="s">
        <v>4980</v>
      </c>
      <c r="H3285" s="0" t="s">
        <v>4327</v>
      </c>
      <c r="I3285" s="0" t="s">
        <v>4981</v>
      </c>
      <c r="J3285" s="18" t="s">
        <v>24</v>
      </c>
    </row>
    <row r="3286" customFormat="false" ht="15" hidden="false" customHeight="false" outlineLevel="0" collapsed="false">
      <c r="A3286" s="0" t="s">
        <v>2746</v>
      </c>
      <c r="B3286" s="0" t="s">
        <v>3459</v>
      </c>
      <c r="C3286" s="0" t="s">
        <v>3450</v>
      </c>
      <c r="D3286" s="0" t="s">
        <v>3448</v>
      </c>
      <c r="E3286" s="0" t="s">
        <v>4963</v>
      </c>
      <c r="F3286" s="0" t="s">
        <v>30</v>
      </c>
      <c r="G3286" s="0" t="s">
        <v>4980</v>
      </c>
      <c r="H3286" s="0" t="s">
        <v>4328</v>
      </c>
      <c r="I3286" s="0" t="s">
        <v>4981</v>
      </c>
      <c r="J3286" s="18" t="s">
        <v>24</v>
      </c>
    </row>
    <row r="3287" customFormat="false" ht="15" hidden="false" customHeight="false" outlineLevel="0" collapsed="false">
      <c r="A3287" s="0" t="s">
        <v>2746</v>
      </c>
      <c r="B3287" s="0" t="s">
        <v>3459</v>
      </c>
      <c r="C3287" s="0" t="s">
        <v>3447</v>
      </c>
      <c r="D3287" s="0" t="s">
        <v>3457</v>
      </c>
      <c r="E3287" s="0" t="s">
        <v>4963</v>
      </c>
      <c r="F3287" s="0" t="s">
        <v>30</v>
      </c>
      <c r="G3287" s="0" t="s">
        <v>4980</v>
      </c>
      <c r="H3287" s="0" t="s">
        <v>4266</v>
      </c>
      <c r="I3287" s="0" t="s">
        <v>4981</v>
      </c>
      <c r="J3287" s="18" t="s">
        <v>24</v>
      </c>
    </row>
    <row r="3288" customFormat="false" ht="15" hidden="false" customHeight="false" outlineLevel="0" collapsed="false">
      <c r="A3288" s="0" t="s">
        <v>2746</v>
      </c>
      <c r="B3288" s="0" t="s">
        <v>3459</v>
      </c>
      <c r="C3288" s="0" t="s">
        <v>3447</v>
      </c>
      <c r="D3288" s="0" t="s">
        <v>3448</v>
      </c>
      <c r="E3288" s="0" t="s">
        <v>4963</v>
      </c>
      <c r="F3288" s="0" t="s">
        <v>30</v>
      </c>
      <c r="G3288" s="0" t="s">
        <v>4980</v>
      </c>
      <c r="H3288" s="0" t="s">
        <v>4266</v>
      </c>
      <c r="I3288" s="0" t="s">
        <v>4981</v>
      </c>
      <c r="J3288" s="18" t="s">
        <v>24</v>
      </c>
    </row>
    <row r="3289" customFormat="false" ht="15" hidden="false" customHeight="false" outlineLevel="0" collapsed="false">
      <c r="A3289" s="0" t="s">
        <v>2752</v>
      </c>
      <c r="B3289" s="0" t="s">
        <v>134</v>
      </c>
      <c r="C3289" s="0" t="s">
        <v>3450</v>
      </c>
      <c r="D3289" s="0" t="s">
        <v>3457</v>
      </c>
      <c r="E3289" s="0" t="s">
        <v>4963</v>
      </c>
      <c r="F3289" s="0" t="s">
        <v>59</v>
      </c>
      <c r="G3289" s="0" t="s">
        <v>4974</v>
      </c>
      <c r="H3289" s="0" t="s">
        <v>69</v>
      </c>
      <c r="I3289" s="0" t="s">
        <v>4975</v>
      </c>
      <c r="J3289" s="20" t="s">
        <v>25</v>
      </c>
    </row>
    <row r="3290" customFormat="false" ht="15" hidden="false" customHeight="false" outlineLevel="0" collapsed="false">
      <c r="A3290" s="0" t="s">
        <v>2752</v>
      </c>
      <c r="B3290" s="0" t="s">
        <v>3459</v>
      </c>
      <c r="C3290" s="0" t="s">
        <v>3450</v>
      </c>
      <c r="D3290" s="0" t="s">
        <v>3457</v>
      </c>
      <c r="E3290" s="0" t="s">
        <v>4969</v>
      </c>
      <c r="F3290" s="0" t="s">
        <v>61</v>
      </c>
      <c r="G3290" s="0" t="s">
        <v>4970</v>
      </c>
      <c r="H3290" s="0" t="s">
        <v>6065</v>
      </c>
      <c r="I3290" s="0" t="s">
        <v>4972</v>
      </c>
      <c r="J3290" s="20" t="s">
        <v>25</v>
      </c>
    </row>
    <row r="3291" customFormat="false" ht="15" hidden="false" customHeight="false" outlineLevel="0" collapsed="false">
      <c r="A3291" s="0" t="s">
        <v>2752</v>
      </c>
      <c r="B3291" s="0" t="s">
        <v>3459</v>
      </c>
      <c r="C3291" s="0" t="s">
        <v>3450</v>
      </c>
      <c r="D3291" s="0" t="s">
        <v>3457</v>
      </c>
      <c r="E3291" s="0" t="s">
        <v>4969</v>
      </c>
      <c r="F3291" s="0" t="s">
        <v>64</v>
      </c>
      <c r="G3291" s="0" t="s">
        <v>4220</v>
      </c>
      <c r="H3291" s="0" t="s">
        <v>6066</v>
      </c>
      <c r="I3291" s="0" t="s">
        <v>4991</v>
      </c>
      <c r="J3291" s="20" t="s">
        <v>25</v>
      </c>
    </row>
    <row r="3292" customFormat="false" ht="15" hidden="false" customHeight="false" outlineLevel="0" collapsed="false">
      <c r="A3292" s="0" t="s">
        <v>2752</v>
      </c>
      <c r="B3292" s="0" t="s">
        <v>3459</v>
      </c>
      <c r="C3292" s="0" t="s">
        <v>3450</v>
      </c>
      <c r="D3292" s="0" t="s">
        <v>3448</v>
      </c>
      <c r="E3292" s="0" t="s">
        <v>4963</v>
      </c>
      <c r="F3292" s="0" t="s">
        <v>59</v>
      </c>
      <c r="G3292" s="0" t="s">
        <v>4974</v>
      </c>
      <c r="H3292" s="0" t="s">
        <v>70</v>
      </c>
      <c r="I3292" s="0" t="s">
        <v>4975</v>
      </c>
      <c r="J3292" s="20" t="s">
        <v>25</v>
      </c>
    </row>
    <row r="3293" customFormat="false" ht="15" hidden="false" customHeight="false" outlineLevel="0" collapsed="false">
      <c r="A3293" s="0" t="s">
        <v>2752</v>
      </c>
      <c r="B3293" s="0" t="s">
        <v>3459</v>
      </c>
      <c r="C3293" s="0" t="s">
        <v>3450</v>
      </c>
      <c r="D3293" s="0" t="s">
        <v>3448</v>
      </c>
      <c r="E3293" s="0" t="s">
        <v>4969</v>
      </c>
      <c r="F3293" s="0" t="s">
        <v>61</v>
      </c>
      <c r="G3293" s="0" t="s">
        <v>4970</v>
      </c>
      <c r="H3293" s="0" t="s">
        <v>6067</v>
      </c>
      <c r="I3293" s="0" t="s">
        <v>4972</v>
      </c>
      <c r="J3293" s="20" t="s">
        <v>25</v>
      </c>
    </row>
    <row r="3294" customFormat="false" ht="15" hidden="false" customHeight="false" outlineLevel="0" collapsed="false">
      <c r="A3294" s="0" t="s">
        <v>2752</v>
      </c>
      <c r="B3294" s="0" t="s">
        <v>3459</v>
      </c>
      <c r="C3294" s="0" t="s">
        <v>3447</v>
      </c>
      <c r="D3294" s="0" t="s">
        <v>3457</v>
      </c>
      <c r="E3294" s="0" t="s">
        <v>4969</v>
      </c>
      <c r="F3294" s="0" t="s">
        <v>64</v>
      </c>
      <c r="G3294" s="0" t="s">
        <v>4220</v>
      </c>
      <c r="H3294" s="0" t="s">
        <v>6066</v>
      </c>
      <c r="I3294" s="0" t="s">
        <v>4991</v>
      </c>
      <c r="J3294" s="20" t="s">
        <v>25</v>
      </c>
    </row>
    <row r="3295" customFormat="false" ht="15" hidden="false" customHeight="false" outlineLevel="0" collapsed="false">
      <c r="A3295" s="0" t="s">
        <v>2752</v>
      </c>
      <c r="B3295" s="0" t="s">
        <v>3459</v>
      </c>
      <c r="C3295" s="0" t="s">
        <v>3447</v>
      </c>
      <c r="D3295" s="0" t="s">
        <v>3448</v>
      </c>
      <c r="E3295" s="0" t="s">
        <v>4969</v>
      </c>
      <c r="F3295" s="0" t="s">
        <v>61</v>
      </c>
      <c r="G3295" s="0" t="s">
        <v>4970</v>
      </c>
      <c r="H3295" s="0" t="s">
        <v>6068</v>
      </c>
      <c r="I3295" s="0" t="s">
        <v>4972</v>
      </c>
      <c r="J3295" s="20" t="s">
        <v>25</v>
      </c>
    </row>
    <row r="3296" customFormat="false" ht="15" hidden="false" customHeight="false" outlineLevel="0" collapsed="false">
      <c r="A3296" s="0" t="s">
        <v>2752</v>
      </c>
      <c r="B3296" s="0" t="s">
        <v>134</v>
      </c>
      <c r="C3296" s="0" t="s">
        <v>3450</v>
      </c>
      <c r="D3296" s="0" t="s">
        <v>3457</v>
      </c>
      <c r="E3296" s="0" t="s">
        <v>4963</v>
      </c>
      <c r="F3296" s="0" t="s">
        <v>30</v>
      </c>
      <c r="G3296" s="0" t="s">
        <v>4980</v>
      </c>
      <c r="H3296" s="0" t="s">
        <v>4275</v>
      </c>
      <c r="I3296" s="0" t="s">
        <v>4981</v>
      </c>
      <c r="J3296" s="18" t="s">
        <v>24</v>
      </c>
    </row>
    <row r="3297" customFormat="false" ht="15" hidden="false" customHeight="false" outlineLevel="0" collapsed="false">
      <c r="A3297" s="0" t="s">
        <v>2752</v>
      </c>
      <c r="B3297" s="0" t="s">
        <v>134</v>
      </c>
      <c r="C3297" s="0" t="s">
        <v>3447</v>
      </c>
      <c r="D3297" s="0" t="s">
        <v>3457</v>
      </c>
      <c r="E3297" s="0" t="s">
        <v>4963</v>
      </c>
      <c r="F3297" s="0" t="s">
        <v>30</v>
      </c>
      <c r="G3297" s="0" t="s">
        <v>4980</v>
      </c>
      <c r="H3297" s="0" t="s">
        <v>4304</v>
      </c>
      <c r="I3297" s="0" t="s">
        <v>4981</v>
      </c>
      <c r="J3297" s="18" t="s">
        <v>24</v>
      </c>
    </row>
    <row r="3298" customFormat="false" ht="15" hidden="false" customHeight="false" outlineLevel="0" collapsed="false">
      <c r="A3298" s="0" t="s">
        <v>2752</v>
      </c>
      <c r="B3298" s="0" t="s">
        <v>134</v>
      </c>
      <c r="C3298" s="0" t="s">
        <v>3447</v>
      </c>
      <c r="D3298" s="0" t="s">
        <v>3448</v>
      </c>
      <c r="E3298" s="0" t="s">
        <v>4963</v>
      </c>
      <c r="F3298" s="0" t="s">
        <v>30</v>
      </c>
      <c r="G3298" s="0" t="s">
        <v>4980</v>
      </c>
      <c r="H3298" s="0" t="s">
        <v>4304</v>
      </c>
      <c r="I3298" s="0" t="s">
        <v>4981</v>
      </c>
      <c r="J3298" s="18" t="s">
        <v>24</v>
      </c>
    </row>
    <row r="3299" customFormat="false" ht="15" hidden="false" customHeight="false" outlineLevel="0" collapsed="false">
      <c r="A3299" s="0" t="s">
        <v>2752</v>
      </c>
      <c r="B3299" s="0" t="s">
        <v>3459</v>
      </c>
      <c r="C3299" s="0" t="s">
        <v>3450</v>
      </c>
      <c r="D3299" s="0" t="s">
        <v>3448</v>
      </c>
      <c r="E3299" s="0" t="s">
        <v>4963</v>
      </c>
      <c r="F3299" s="0" t="s">
        <v>30</v>
      </c>
      <c r="G3299" s="0" t="s">
        <v>4980</v>
      </c>
      <c r="H3299" s="0" t="s">
        <v>4378</v>
      </c>
      <c r="I3299" s="0" t="s">
        <v>4981</v>
      </c>
      <c r="J3299" s="18" t="s">
        <v>24</v>
      </c>
    </row>
    <row r="3300" customFormat="false" ht="15" hidden="false" customHeight="false" outlineLevel="0" collapsed="false">
      <c r="A3300" s="0" t="s">
        <v>2752</v>
      </c>
      <c r="B3300" s="0" t="s">
        <v>3459</v>
      </c>
      <c r="C3300" s="0" t="s">
        <v>3447</v>
      </c>
      <c r="D3300" s="0" t="s">
        <v>3457</v>
      </c>
      <c r="E3300" s="0" t="s">
        <v>4963</v>
      </c>
      <c r="F3300" s="0" t="s">
        <v>30</v>
      </c>
      <c r="G3300" s="0" t="s">
        <v>4980</v>
      </c>
      <c r="H3300" s="0" t="s">
        <v>4426</v>
      </c>
      <c r="I3300" s="0" t="s">
        <v>4981</v>
      </c>
      <c r="J3300" s="18" t="s">
        <v>24</v>
      </c>
    </row>
    <row r="3301" customFormat="false" ht="15" hidden="false" customHeight="false" outlineLevel="0" collapsed="false">
      <c r="A3301" s="0" t="s">
        <v>2752</v>
      </c>
      <c r="B3301" s="0" t="s">
        <v>3459</v>
      </c>
      <c r="C3301" s="0" t="s">
        <v>3447</v>
      </c>
      <c r="D3301" s="0" t="s">
        <v>3448</v>
      </c>
      <c r="E3301" s="0" t="s">
        <v>4963</v>
      </c>
      <c r="F3301" s="0" t="s">
        <v>30</v>
      </c>
      <c r="G3301" s="0" t="s">
        <v>4980</v>
      </c>
      <c r="H3301" s="0" t="s">
        <v>4368</v>
      </c>
      <c r="I3301" s="0" t="s">
        <v>4981</v>
      </c>
      <c r="J3301" s="18" t="s">
        <v>24</v>
      </c>
    </row>
    <row r="3302" customFormat="false" ht="15" hidden="false" customHeight="false" outlineLevel="0" collapsed="false">
      <c r="A3302" s="0" t="s">
        <v>2761</v>
      </c>
      <c r="B3302" s="0" t="s">
        <v>134</v>
      </c>
      <c r="C3302" s="0" t="s">
        <v>3450</v>
      </c>
      <c r="D3302" s="0" t="s">
        <v>3457</v>
      </c>
      <c r="E3302" s="0" t="s">
        <v>4963</v>
      </c>
      <c r="F3302" s="0" t="s">
        <v>59</v>
      </c>
      <c r="G3302" s="0" t="s">
        <v>4974</v>
      </c>
      <c r="H3302" s="0" t="s">
        <v>70</v>
      </c>
      <c r="I3302" s="0" t="s">
        <v>4975</v>
      </c>
      <c r="J3302" s="20" t="s">
        <v>25</v>
      </c>
    </row>
    <row r="3303" customFormat="false" ht="15" hidden="false" customHeight="false" outlineLevel="0" collapsed="false">
      <c r="A3303" s="0" t="s">
        <v>2761</v>
      </c>
      <c r="B3303" s="0" t="s">
        <v>134</v>
      </c>
      <c r="C3303" s="0" t="s">
        <v>3450</v>
      </c>
      <c r="D3303" s="0" t="s">
        <v>3448</v>
      </c>
      <c r="E3303" s="0" t="s">
        <v>4963</v>
      </c>
      <c r="F3303" s="0" t="s">
        <v>59</v>
      </c>
      <c r="G3303" s="0" t="s">
        <v>4974</v>
      </c>
      <c r="H3303" s="0" t="s">
        <v>70</v>
      </c>
      <c r="I3303" s="0" t="s">
        <v>4975</v>
      </c>
      <c r="J3303" s="20" t="s">
        <v>25</v>
      </c>
    </row>
    <row r="3304" customFormat="false" ht="15" hidden="false" customHeight="false" outlineLevel="0" collapsed="false">
      <c r="A3304" s="0" t="s">
        <v>2761</v>
      </c>
      <c r="B3304" s="0" t="s">
        <v>134</v>
      </c>
      <c r="C3304" s="0" t="s">
        <v>3450</v>
      </c>
      <c r="D3304" s="0" t="s">
        <v>3448</v>
      </c>
      <c r="E3304" s="0" t="s">
        <v>4969</v>
      </c>
      <c r="F3304" s="0" t="s">
        <v>61</v>
      </c>
      <c r="G3304" s="0" t="s">
        <v>4970</v>
      </c>
      <c r="H3304" s="0" t="s">
        <v>6069</v>
      </c>
      <c r="I3304" s="0" t="s">
        <v>4972</v>
      </c>
      <c r="J3304" s="20" t="s">
        <v>25</v>
      </c>
    </row>
    <row r="3305" customFormat="false" ht="15" hidden="false" customHeight="false" outlineLevel="0" collapsed="false">
      <c r="A3305" s="0" t="s">
        <v>2761</v>
      </c>
      <c r="B3305" s="0" t="s">
        <v>134</v>
      </c>
      <c r="C3305" s="0" t="s">
        <v>3447</v>
      </c>
      <c r="D3305" s="0" t="s">
        <v>3448</v>
      </c>
      <c r="E3305" s="0" t="s">
        <v>4969</v>
      </c>
      <c r="F3305" s="0" t="s">
        <v>61</v>
      </c>
      <c r="G3305" s="0" t="s">
        <v>4970</v>
      </c>
      <c r="H3305" s="0" t="s">
        <v>6070</v>
      </c>
      <c r="I3305" s="0" t="s">
        <v>4972</v>
      </c>
      <c r="J3305" s="20" t="s">
        <v>25</v>
      </c>
    </row>
    <row r="3306" customFormat="false" ht="15" hidden="false" customHeight="false" outlineLevel="0" collapsed="false">
      <c r="A3306" s="0" t="s">
        <v>2761</v>
      </c>
      <c r="B3306" s="0" t="s">
        <v>3459</v>
      </c>
      <c r="C3306" s="0" t="s">
        <v>3450</v>
      </c>
      <c r="D3306" s="0" t="s">
        <v>3457</v>
      </c>
      <c r="E3306" s="0" t="s">
        <v>4969</v>
      </c>
      <c r="F3306" s="0" t="s">
        <v>61</v>
      </c>
      <c r="G3306" s="0" t="s">
        <v>4970</v>
      </c>
      <c r="H3306" s="0" t="s">
        <v>6071</v>
      </c>
      <c r="I3306" s="0" t="s">
        <v>4972</v>
      </c>
      <c r="J3306" s="20" t="s">
        <v>25</v>
      </c>
    </row>
    <row r="3307" customFormat="false" ht="15" hidden="false" customHeight="false" outlineLevel="0" collapsed="false">
      <c r="A3307" s="0" t="s">
        <v>2761</v>
      </c>
      <c r="B3307" s="0" t="s">
        <v>3459</v>
      </c>
      <c r="C3307" s="0" t="s">
        <v>3450</v>
      </c>
      <c r="D3307" s="0" t="s">
        <v>3448</v>
      </c>
      <c r="E3307" s="0" t="s">
        <v>4969</v>
      </c>
      <c r="F3307" s="0" t="s">
        <v>61</v>
      </c>
      <c r="G3307" s="0" t="s">
        <v>4970</v>
      </c>
      <c r="H3307" s="0" t="s">
        <v>6072</v>
      </c>
      <c r="I3307" s="0" t="s">
        <v>4972</v>
      </c>
      <c r="J3307" s="20" t="s">
        <v>25</v>
      </c>
    </row>
    <row r="3308" customFormat="false" ht="15" hidden="false" customHeight="false" outlineLevel="0" collapsed="false">
      <c r="A3308" s="0" t="s">
        <v>2761</v>
      </c>
      <c r="B3308" s="0" t="s">
        <v>3459</v>
      </c>
      <c r="C3308" s="0" t="s">
        <v>3447</v>
      </c>
      <c r="D3308" s="0" t="s">
        <v>3457</v>
      </c>
      <c r="E3308" s="0" t="s">
        <v>4969</v>
      </c>
      <c r="F3308" s="0" t="s">
        <v>61</v>
      </c>
      <c r="G3308" s="0" t="s">
        <v>4970</v>
      </c>
      <c r="H3308" s="0" t="s">
        <v>6073</v>
      </c>
      <c r="I3308" s="0" t="s">
        <v>4972</v>
      </c>
      <c r="J3308" s="20" t="s">
        <v>25</v>
      </c>
    </row>
    <row r="3309" customFormat="false" ht="15" hidden="false" customHeight="false" outlineLevel="0" collapsed="false">
      <c r="A3309" s="0" t="s">
        <v>2761</v>
      </c>
      <c r="B3309" s="0" t="s">
        <v>3459</v>
      </c>
      <c r="C3309" s="0" t="s">
        <v>3447</v>
      </c>
      <c r="D3309" s="0" t="s">
        <v>3448</v>
      </c>
      <c r="E3309" s="0" t="s">
        <v>4969</v>
      </c>
      <c r="F3309" s="0" t="s">
        <v>61</v>
      </c>
      <c r="G3309" s="0" t="s">
        <v>4970</v>
      </c>
      <c r="H3309" s="0" t="s">
        <v>6074</v>
      </c>
      <c r="I3309" s="0" t="s">
        <v>4972</v>
      </c>
      <c r="J3309" s="20" t="s">
        <v>25</v>
      </c>
    </row>
    <row r="3310" customFormat="false" ht="15" hidden="false" customHeight="false" outlineLevel="0" collapsed="false">
      <c r="A3310" s="0" t="s">
        <v>2761</v>
      </c>
      <c r="B3310" s="0" t="s">
        <v>134</v>
      </c>
      <c r="C3310" s="0" t="s">
        <v>3450</v>
      </c>
      <c r="D3310" s="0" t="s">
        <v>3457</v>
      </c>
      <c r="E3310" s="0" t="s">
        <v>4963</v>
      </c>
      <c r="F3310" s="0" t="s">
        <v>30</v>
      </c>
      <c r="G3310" s="0" t="s">
        <v>4980</v>
      </c>
      <c r="H3310" s="0" t="s">
        <v>4378</v>
      </c>
      <c r="I3310" s="0" t="s">
        <v>4981</v>
      </c>
      <c r="J3310" s="18" t="s">
        <v>24</v>
      </c>
    </row>
    <row r="3311" customFormat="false" ht="15" hidden="false" customHeight="false" outlineLevel="0" collapsed="false">
      <c r="A3311" s="0" t="s">
        <v>2761</v>
      </c>
      <c r="B3311" s="0" t="s">
        <v>134</v>
      </c>
      <c r="C3311" s="0" t="s">
        <v>3450</v>
      </c>
      <c r="D3311" s="0" t="s">
        <v>3448</v>
      </c>
      <c r="E3311" s="0" t="s">
        <v>4963</v>
      </c>
      <c r="F3311" s="0" t="s">
        <v>30</v>
      </c>
      <c r="G3311" s="0" t="s">
        <v>4980</v>
      </c>
      <c r="H3311" s="0" t="s">
        <v>4378</v>
      </c>
      <c r="I3311" s="0" t="s">
        <v>4981</v>
      </c>
      <c r="J3311" s="18" t="s">
        <v>24</v>
      </c>
    </row>
    <row r="3312" customFormat="false" ht="15" hidden="false" customHeight="false" outlineLevel="0" collapsed="false">
      <c r="A3312" s="0" t="s">
        <v>2761</v>
      </c>
      <c r="B3312" s="0" t="s">
        <v>134</v>
      </c>
      <c r="C3312" s="0" t="s">
        <v>3447</v>
      </c>
      <c r="D3312" s="0" t="s">
        <v>3448</v>
      </c>
      <c r="E3312" s="0" t="s">
        <v>4963</v>
      </c>
      <c r="F3312" s="0" t="s">
        <v>30</v>
      </c>
      <c r="G3312" s="0" t="s">
        <v>4980</v>
      </c>
      <c r="H3312" s="0" t="s">
        <v>4251</v>
      </c>
      <c r="I3312" s="0" t="s">
        <v>4981</v>
      </c>
      <c r="J3312" s="18" t="s">
        <v>24</v>
      </c>
    </row>
    <row r="3313" customFormat="false" ht="15" hidden="false" customHeight="false" outlineLevel="0" collapsed="false">
      <c r="A3313" s="0" t="s">
        <v>2761</v>
      </c>
      <c r="B3313" s="0" t="s">
        <v>3459</v>
      </c>
      <c r="C3313" s="0" t="s">
        <v>3447</v>
      </c>
      <c r="D3313" s="0" t="s">
        <v>3457</v>
      </c>
      <c r="E3313" s="0" t="s">
        <v>4963</v>
      </c>
      <c r="F3313" s="0" t="s">
        <v>30</v>
      </c>
      <c r="G3313" s="0" t="s">
        <v>4980</v>
      </c>
      <c r="H3313" s="0" t="s">
        <v>4835</v>
      </c>
      <c r="I3313" s="0" t="s">
        <v>4981</v>
      </c>
      <c r="J3313" s="18" t="s">
        <v>24</v>
      </c>
    </row>
    <row r="3314" customFormat="false" ht="15" hidden="false" customHeight="false" outlineLevel="0" collapsed="false">
      <c r="A3314" s="0" t="s">
        <v>2761</v>
      </c>
      <c r="B3314" s="0" t="s">
        <v>3459</v>
      </c>
      <c r="C3314" s="0" t="s">
        <v>3447</v>
      </c>
      <c r="D3314" s="0" t="s">
        <v>3448</v>
      </c>
      <c r="E3314" s="0" t="s">
        <v>4963</v>
      </c>
      <c r="F3314" s="0" t="s">
        <v>30</v>
      </c>
      <c r="G3314" s="0" t="s">
        <v>4980</v>
      </c>
      <c r="H3314" s="0" t="s">
        <v>4836</v>
      </c>
      <c r="I3314" s="0" t="s">
        <v>4981</v>
      </c>
      <c r="J3314" s="18" t="s">
        <v>24</v>
      </c>
    </row>
    <row r="3315" customFormat="false" ht="15" hidden="false" customHeight="false" outlineLevel="0" collapsed="false">
      <c r="A3315" s="0" t="s">
        <v>2767</v>
      </c>
      <c r="B3315" s="0" t="s">
        <v>134</v>
      </c>
      <c r="C3315" s="0" t="s">
        <v>3447</v>
      </c>
      <c r="D3315" s="0" t="s">
        <v>3457</v>
      </c>
      <c r="E3315" s="0" t="s">
        <v>4963</v>
      </c>
      <c r="F3315" s="0" t="s">
        <v>60</v>
      </c>
      <c r="G3315" s="0" t="s">
        <v>4964</v>
      </c>
      <c r="H3315" s="0" t="s">
        <v>6075</v>
      </c>
      <c r="I3315" s="0" t="s">
        <v>4966</v>
      </c>
      <c r="J3315" s="19" t="s">
        <v>26</v>
      </c>
    </row>
    <row r="3316" customFormat="false" ht="15" hidden="false" customHeight="false" outlineLevel="0" collapsed="false">
      <c r="A3316" s="0" t="s">
        <v>2767</v>
      </c>
      <c r="B3316" s="0" t="s">
        <v>134</v>
      </c>
      <c r="C3316" s="0" t="s">
        <v>3450</v>
      </c>
      <c r="D3316" s="0" t="s">
        <v>3457</v>
      </c>
      <c r="E3316" s="0" t="s">
        <v>4969</v>
      </c>
      <c r="F3316" s="0" t="s">
        <v>62</v>
      </c>
      <c r="G3316" s="0" t="s">
        <v>5003</v>
      </c>
      <c r="H3316" s="0" t="s">
        <v>6076</v>
      </c>
      <c r="I3316" s="0" t="s">
        <v>5005</v>
      </c>
      <c r="J3316" s="20" t="s">
        <v>25</v>
      </c>
    </row>
    <row r="3317" customFormat="false" ht="15" hidden="false" customHeight="false" outlineLevel="0" collapsed="false">
      <c r="A3317" s="0" t="s">
        <v>2767</v>
      </c>
      <c r="B3317" s="0" t="s">
        <v>134</v>
      </c>
      <c r="C3317" s="0" t="s">
        <v>3450</v>
      </c>
      <c r="D3317" s="0" t="s">
        <v>3457</v>
      </c>
      <c r="E3317" s="0" t="s">
        <v>4969</v>
      </c>
      <c r="F3317" s="0" t="s">
        <v>63</v>
      </c>
      <c r="G3317" s="0" t="s">
        <v>4220</v>
      </c>
      <c r="H3317" s="0" t="s">
        <v>6077</v>
      </c>
      <c r="I3317" s="0" t="s">
        <v>4979</v>
      </c>
      <c r="J3317" s="20" t="s">
        <v>25</v>
      </c>
    </row>
    <row r="3318" customFormat="false" ht="15" hidden="false" customHeight="false" outlineLevel="0" collapsed="false">
      <c r="A3318" s="0" t="s">
        <v>2767</v>
      </c>
      <c r="B3318" s="0" t="s">
        <v>134</v>
      </c>
      <c r="C3318" s="0" t="s">
        <v>3450</v>
      </c>
      <c r="D3318" s="0" t="s">
        <v>3448</v>
      </c>
      <c r="E3318" s="0" t="s">
        <v>4969</v>
      </c>
      <c r="F3318" s="0" t="s">
        <v>62</v>
      </c>
      <c r="G3318" s="0" t="s">
        <v>5003</v>
      </c>
      <c r="H3318" s="0" t="s">
        <v>6078</v>
      </c>
      <c r="I3318" s="0" t="s">
        <v>5005</v>
      </c>
      <c r="J3318" s="20" t="s">
        <v>25</v>
      </c>
    </row>
    <row r="3319" customFormat="false" ht="15" hidden="false" customHeight="false" outlineLevel="0" collapsed="false">
      <c r="A3319" s="0" t="s">
        <v>2767</v>
      </c>
      <c r="B3319" s="0" t="s">
        <v>134</v>
      </c>
      <c r="C3319" s="0" t="s">
        <v>3450</v>
      </c>
      <c r="D3319" s="0" t="s">
        <v>3448</v>
      </c>
      <c r="E3319" s="0" t="s">
        <v>4969</v>
      </c>
      <c r="F3319" s="0" t="s">
        <v>64</v>
      </c>
      <c r="G3319" s="0" t="s">
        <v>4220</v>
      </c>
      <c r="H3319" s="0" t="s">
        <v>6079</v>
      </c>
      <c r="I3319" s="0" t="s">
        <v>4991</v>
      </c>
      <c r="J3319" s="20" t="s">
        <v>25</v>
      </c>
    </row>
    <row r="3320" customFormat="false" ht="15" hidden="false" customHeight="false" outlineLevel="0" collapsed="false">
      <c r="A3320" s="0" t="s">
        <v>2767</v>
      </c>
      <c r="B3320" s="0" t="s">
        <v>134</v>
      </c>
      <c r="C3320" s="0" t="s">
        <v>3447</v>
      </c>
      <c r="D3320" s="0" t="s">
        <v>3457</v>
      </c>
      <c r="E3320" s="0" t="s">
        <v>4963</v>
      </c>
      <c r="F3320" s="0" t="s">
        <v>59</v>
      </c>
      <c r="G3320" s="0" t="s">
        <v>4974</v>
      </c>
      <c r="H3320" s="0" t="s">
        <v>69</v>
      </c>
      <c r="I3320" s="0" t="s">
        <v>4975</v>
      </c>
      <c r="J3320" s="20" t="s">
        <v>25</v>
      </c>
    </row>
    <row r="3321" customFormat="false" ht="15" hidden="false" customHeight="false" outlineLevel="0" collapsed="false">
      <c r="A3321" s="0" t="s">
        <v>2767</v>
      </c>
      <c r="B3321" s="0" t="s">
        <v>134</v>
      </c>
      <c r="C3321" s="0" t="s">
        <v>3447</v>
      </c>
      <c r="D3321" s="0" t="s">
        <v>3457</v>
      </c>
      <c r="E3321" s="0" t="s">
        <v>4969</v>
      </c>
      <c r="F3321" s="0" t="s">
        <v>63</v>
      </c>
      <c r="G3321" s="0" t="s">
        <v>4220</v>
      </c>
      <c r="H3321" s="0" t="s">
        <v>6077</v>
      </c>
      <c r="I3321" s="0" t="s">
        <v>4979</v>
      </c>
      <c r="J3321" s="20" t="s">
        <v>25</v>
      </c>
    </row>
    <row r="3322" customFormat="false" ht="15" hidden="false" customHeight="false" outlineLevel="0" collapsed="false">
      <c r="A3322" s="0" t="s">
        <v>2767</v>
      </c>
      <c r="B3322" s="0" t="s">
        <v>134</v>
      </c>
      <c r="C3322" s="0" t="s">
        <v>3447</v>
      </c>
      <c r="D3322" s="0" t="s">
        <v>3448</v>
      </c>
      <c r="E3322" s="0" t="s">
        <v>4963</v>
      </c>
      <c r="F3322" s="0" t="s">
        <v>59</v>
      </c>
      <c r="G3322" s="0" t="s">
        <v>4974</v>
      </c>
      <c r="H3322" s="0" t="s">
        <v>69</v>
      </c>
      <c r="I3322" s="0" t="s">
        <v>4975</v>
      </c>
      <c r="J3322" s="20" t="s">
        <v>25</v>
      </c>
    </row>
    <row r="3323" customFormat="false" ht="15" hidden="false" customHeight="false" outlineLevel="0" collapsed="false">
      <c r="A3323" s="0" t="s">
        <v>2767</v>
      </c>
      <c r="B3323" s="0" t="s">
        <v>134</v>
      </c>
      <c r="C3323" s="0" t="s">
        <v>3447</v>
      </c>
      <c r="D3323" s="0" t="s">
        <v>3448</v>
      </c>
      <c r="E3323" s="0" t="s">
        <v>4969</v>
      </c>
      <c r="F3323" s="0" t="s">
        <v>64</v>
      </c>
      <c r="G3323" s="0" t="s">
        <v>4220</v>
      </c>
      <c r="H3323" s="0" t="s">
        <v>6079</v>
      </c>
      <c r="I3323" s="0" t="s">
        <v>4991</v>
      </c>
      <c r="J3323" s="20" t="s">
        <v>25</v>
      </c>
    </row>
    <row r="3324" customFormat="false" ht="15" hidden="false" customHeight="false" outlineLevel="0" collapsed="false">
      <c r="A3324" s="0" t="s">
        <v>2767</v>
      </c>
      <c r="B3324" s="0" t="s">
        <v>134</v>
      </c>
      <c r="C3324" s="0" t="s">
        <v>3450</v>
      </c>
      <c r="D3324" s="0" t="s">
        <v>3457</v>
      </c>
      <c r="E3324" s="0" t="s">
        <v>4963</v>
      </c>
      <c r="F3324" s="0" t="s">
        <v>30</v>
      </c>
      <c r="G3324" s="0" t="s">
        <v>4980</v>
      </c>
      <c r="H3324" s="0" t="s">
        <v>4228</v>
      </c>
      <c r="I3324" s="0" t="s">
        <v>4981</v>
      </c>
      <c r="J3324" s="18" t="s">
        <v>24</v>
      </c>
    </row>
    <row r="3325" customFormat="false" ht="15" hidden="false" customHeight="false" outlineLevel="0" collapsed="false">
      <c r="A3325" s="0" t="s">
        <v>2767</v>
      </c>
      <c r="B3325" s="0" t="s">
        <v>134</v>
      </c>
      <c r="C3325" s="0" t="s">
        <v>3447</v>
      </c>
      <c r="D3325" s="0" t="s">
        <v>3448</v>
      </c>
      <c r="E3325" s="0" t="s">
        <v>4963</v>
      </c>
      <c r="F3325" s="0" t="s">
        <v>30</v>
      </c>
      <c r="G3325" s="0" t="s">
        <v>4980</v>
      </c>
      <c r="H3325" s="0" t="s">
        <v>4275</v>
      </c>
      <c r="I3325" s="0" t="s">
        <v>4981</v>
      </c>
      <c r="J3325" s="18" t="s">
        <v>24</v>
      </c>
    </row>
    <row r="3326" customFormat="false" ht="15" hidden="false" customHeight="false" outlineLevel="0" collapsed="false">
      <c r="A3326" s="0" t="s">
        <v>2773</v>
      </c>
      <c r="B3326" s="0" t="s">
        <v>134</v>
      </c>
      <c r="C3326" s="0" t="s">
        <v>3450</v>
      </c>
      <c r="D3326" s="0" t="s">
        <v>3457</v>
      </c>
      <c r="E3326" s="0" t="s">
        <v>4963</v>
      </c>
      <c r="F3326" s="0" t="s">
        <v>60</v>
      </c>
      <c r="G3326" s="0" t="s">
        <v>4964</v>
      </c>
      <c r="H3326" s="0" t="s">
        <v>6080</v>
      </c>
      <c r="I3326" s="0" t="s">
        <v>4966</v>
      </c>
      <c r="J3326" s="19" t="s">
        <v>26</v>
      </c>
    </row>
    <row r="3327" customFormat="false" ht="15" hidden="false" customHeight="false" outlineLevel="0" collapsed="false">
      <c r="A3327" s="0" t="s">
        <v>2773</v>
      </c>
      <c r="B3327" s="0" t="s">
        <v>134</v>
      </c>
      <c r="C3327" s="0" t="s">
        <v>3450</v>
      </c>
      <c r="D3327" s="0" t="s">
        <v>3448</v>
      </c>
      <c r="E3327" s="0" t="s">
        <v>4963</v>
      </c>
      <c r="F3327" s="0" t="s">
        <v>60</v>
      </c>
      <c r="G3327" s="0" t="s">
        <v>4964</v>
      </c>
      <c r="H3327" s="0" t="s">
        <v>6081</v>
      </c>
      <c r="I3327" s="0" t="s">
        <v>4966</v>
      </c>
      <c r="J3327" s="19" t="s">
        <v>26</v>
      </c>
    </row>
    <row r="3328" customFormat="false" ht="15" hidden="false" customHeight="false" outlineLevel="0" collapsed="false">
      <c r="A3328" s="0" t="s">
        <v>2773</v>
      </c>
      <c r="B3328" s="0" t="s">
        <v>134</v>
      </c>
      <c r="C3328" s="0" t="s">
        <v>3447</v>
      </c>
      <c r="D3328" s="0" t="s">
        <v>3457</v>
      </c>
      <c r="E3328" s="0" t="s">
        <v>4963</v>
      </c>
      <c r="F3328" s="0" t="s">
        <v>60</v>
      </c>
      <c r="G3328" s="0" t="s">
        <v>4964</v>
      </c>
      <c r="H3328" s="0" t="s">
        <v>6082</v>
      </c>
      <c r="I3328" s="0" t="s">
        <v>4966</v>
      </c>
      <c r="J3328" s="19" t="s">
        <v>26</v>
      </c>
    </row>
    <row r="3329" customFormat="false" ht="15" hidden="false" customHeight="false" outlineLevel="0" collapsed="false">
      <c r="A3329" s="0" t="s">
        <v>2773</v>
      </c>
      <c r="B3329" s="0" t="s">
        <v>3459</v>
      </c>
      <c r="C3329" s="0" t="s">
        <v>3450</v>
      </c>
      <c r="D3329" s="0" t="s">
        <v>3457</v>
      </c>
      <c r="E3329" s="0" t="s">
        <v>4963</v>
      </c>
      <c r="F3329" s="0" t="s">
        <v>60</v>
      </c>
      <c r="G3329" s="0" t="s">
        <v>4964</v>
      </c>
      <c r="H3329" s="0" t="s">
        <v>6083</v>
      </c>
      <c r="I3329" s="0" t="s">
        <v>4966</v>
      </c>
      <c r="J3329" s="19" t="s">
        <v>26</v>
      </c>
    </row>
    <row r="3330" customFormat="false" ht="15" hidden="false" customHeight="false" outlineLevel="0" collapsed="false">
      <c r="A3330" s="0" t="s">
        <v>2773</v>
      </c>
      <c r="B3330" s="0" t="s">
        <v>3459</v>
      </c>
      <c r="C3330" s="0" t="s">
        <v>3447</v>
      </c>
      <c r="D3330" s="0" t="s">
        <v>3457</v>
      </c>
      <c r="E3330" s="0" t="s">
        <v>4963</v>
      </c>
      <c r="F3330" s="0" t="s">
        <v>60</v>
      </c>
      <c r="G3330" s="0" t="s">
        <v>4964</v>
      </c>
      <c r="H3330" s="0" t="s">
        <v>6084</v>
      </c>
      <c r="I3330" s="0" t="s">
        <v>4966</v>
      </c>
      <c r="J3330" s="19" t="s">
        <v>26</v>
      </c>
    </row>
    <row r="3331" customFormat="false" ht="15" hidden="false" customHeight="false" outlineLevel="0" collapsed="false">
      <c r="A3331" s="0" t="s">
        <v>2773</v>
      </c>
      <c r="B3331" s="0" t="s">
        <v>134</v>
      </c>
      <c r="C3331" s="0" t="s">
        <v>3450</v>
      </c>
      <c r="D3331" s="0" t="s">
        <v>3457</v>
      </c>
      <c r="E3331" s="0" t="s">
        <v>4963</v>
      </c>
      <c r="F3331" s="0" t="s">
        <v>59</v>
      </c>
      <c r="G3331" s="0" t="s">
        <v>4974</v>
      </c>
      <c r="H3331" s="0" t="s">
        <v>69</v>
      </c>
      <c r="I3331" s="0" t="s">
        <v>4975</v>
      </c>
      <c r="J3331" s="20" t="s">
        <v>25</v>
      </c>
    </row>
    <row r="3332" customFormat="false" ht="15" hidden="false" customHeight="false" outlineLevel="0" collapsed="false">
      <c r="A3332" s="0" t="s">
        <v>2773</v>
      </c>
      <c r="B3332" s="0" t="s">
        <v>134</v>
      </c>
      <c r="C3332" s="0" t="s">
        <v>3450</v>
      </c>
      <c r="D3332" s="0" t="s">
        <v>3457</v>
      </c>
      <c r="E3332" s="0" t="s">
        <v>4969</v>
      </c>
      <c r="F3332" s="0" t="s">
        <v>62</v>
      </c>
      <c r="G3332" s="0" t="s">
        <v>5003</v>
      </c>
      <c r="H3332" s="0" t="s">
        <v>6085</v>
      </c>
      <c r="I3332" s="0" t="s">
        <v>5005</v>
      </c>
      <c r="J3332" s="20" t="s">
        <v>25</v>
      </c>
    </row>
    <row r="3333" customFormat="false" ht="15" hidden="false" customHeight="false" outlineLevel="0" collapsed="false">
      <c r="A3333" s="0" t="s">
        <v>2773</v>
      </c>
      <c r="B3333" s="0" t="s">
        <v>134</v>
      </c>
      <c r="C3333" s="0" t="s">
        <v>3450</v>
      </c>
      <c r="D3333" s="0" t="s">
        <v>3448</v>
      </c>
      <c r="E3333" s="0" t="s">
        <v>4963</v>
      </c>
      <c r="F3333" s="0" t="s">
        <v>59</v>
      </c>
      <c r="G3333" s="0" t="s">
        <v>4974</v>
      </c>
      <c r="H3333" s="0" t="s">
        <v>69</v>
      </c>
      <c r="I3333" s="0" t="s">
        <v>4975</v>
      </c>
      <c r="J3333" s="20" t="s">
        <v>25</v>
      </c>
    </row>
    <row r="3334" customFormat="false" ht="15" hidden="false" customHeight="false" outlineLevel="0" collapsed="false">
      <c r="A3334" s="0" t="s">
        <v>2773</v>
      </c>
      <c r="B3334" s="0" t="s">
        <v>134</v>
      </c>
      <c r="C3334" s="0" t="s">
        <v>3450</v>
      </c>
      <c r="D3334" s="0" t="s">
        <v>3448</v>
      </c>
      <c r="E3334" s="0" t="s">
        <v>4969</v>
      </c>
      <c r="F3334" s="0" t="s">
        <v>62</v>
      </c>
      <c r="G3334" s="0" t="s">
        <v>5003</v>
      </c>
      <c r="H3334" s="0" t="s">
        <v>6086</v>
      </c>
      <c r="I3334" s="0" t="s">
        <v>5005</v>
      </c>
      <c r="J3334" s="20" t="s">
        <v>25</v>
      </c>
    </row>
    <row r="3335" customFormat="false" ht="15" hidden="false" customHeight="false" outlineLevel="0" collapsed="false">
      <c r="A3335" s="0" t="s">
        <v>2773</v>
      </c>
      <c r="B3335" s="0" t="s">
        <v>134</v>
      </c>
      <c r="C3335" s="0" t="s">
        <v>3450</v>
      </c>
      <c r="D3335" s="0" t="s">
        <v>3448</v>
      </c>
      <c r="E3335" s="0" t="s">
        <v>4969</v>
      </c>
      <c r="F3335" s="0" t="s">
        <v>64</v>
      </c>
      <c r="G3335" s="0" t="s">
        <v>4220</v>
      </c>
      <c r="H3335" s="0" t="s">
        <v>6087</v>
      </c>
      <c r="I3335" s="0" t="s">
        <v>4991</v>
      </c>
      <c r="J3335" s="20" t="s">
        <v>25</v>
      </c>
    </row>
    <row r="3336" customFormat="false" ht="15" hidden="false" customHeight="false" outlineLevel="0" collapsed="false">
      <c r="A3336" s="0" t="s">
        <v>2773</v>
      </c>
      <c r="B3336" s="0" t="s">
        <v>134</v>
      </c>
      <c r="C3336" s="0" t="s">
        <v>3447</v>
      </c>
      <c r="D3336" s="0" t="s">
        <v>3457</v>
      </c>
      <c r="E3336" s="0" t="s">
        <v>4963</v>
      </c>
      <c r="F3336" s="0" t="s">
        <v>59</v>
      </c>
      <c r="G3336" s="0" t="s">
        <v>4974</v>
      </c>
      <c r="H3336" s="0" t="s">
        <v>69</v>
      </c>
      <c r="I3336" s="0" t="s">
        <v>4975</v>
      </c>
      <c r="J3336" s="20" t="s">
        <v>25</v>
      </c>
    </row>
    <row r="3337" customFormat="false" ht="15" hidden="false" customHeight="false" outlineLevel="0" collapsed="false">
      <c r="A3337" s="0" t="s">
        <v>2773</v>
      </c>
      <c r="B3337" s="0" t="s">
        <v>134</v>
      </c>
      <c r="C3337" s="0" t="s">
        <v>3447</v>
      </c>
      <c r="D3337" s="0" t="s">
        <v>3448</v>
      </c>
      <c r="E3337" s="0" t="s">
        <v>4969</v>
      </c>
      <c r="F3337" s="0" t="s">
        <v>64</v>
      </c>
      <c r="G3337" s="0" t="s">
        <v>4220</v>
      </c>
      <c r="H3337" s="0" t="s">
        <v>6087</v>
      </c>
      <c r="I3337" s="0" t="s">
        <v>4991</v>
      </c>
      <c r="J3337" s="20" t="s">
        <v>25</v>
      </c>
    </row>
    <row r="3338" customFormat="false" ht="15" hidden="false" customHeight="false" outlineLevel="0" collapsed="false">
      <c r="A3338" s="0" t="s">
        <v>2773</v>
      </c>
      <c r="B3338" s="0" t="s">
        <v>3459</v>
      </c>
      <c r="C3338" s="0" t="s">
        <v>3450</v>
      </c>
      <c r="D3338" s="0" t="s">
        <v>3457</v>
      </c>
      <c r="E3338" s="0" t="s">
        <v>4963</v>
      </c>
      <c r="F3338" s="0" t="s">
        <v>59</v>
      </c>
      <c r="G3338" s="0" t="s">
        <v>4974</v>
      </c>
      <c r="H3338" s="0" t="s">
        <v>69</v>
      </c>
      <c r="I3338" s="0" t="s">
        <v>4975</v>
      </c>
      <c r="J3338" s="20" t="s">
        <v>25</v>
      </c>
    </row>
    <row r="3339" customFormat="false" ht="15" hidden="false" customHeight="false" outlineLevel="0" collapsed="false">
      <c r="A3339" s="0" t="s">
        <v>2773</v>
      </c>
      <c r="B3339" s="0" t="s">
        <v>3459</v>
      </c>
      <c r="C3339" s="0" t="s">
        <v>3450</v>
      </c>
      <c r="D3339" s="0" t="s">
        <v>3457</v>
      </c>
      <c r="E3339" s="0" t="s">
        <v>4969</v>
      </c>
      <c r="F3339" s="0" t="s">
        <v>61</v>
      </c>
      <c r="G3339" s="0" t="s">
        <v>4970</v>
      </c>
      <c r="H3339" s="0" t="s">
        <v>6088</v>
      </c>
      <c r="I3339" s="0" t="s">
        <v>4972</v>
      </c>
      <c r="J3339" s="20" t="s">
        <v>25</v>
      </c>
    </row>
    <row r="3340" customFormat="false" ht="15" hidden="false" customHeight="false" outlineLevel="0" collapsed="false">
      <c r="A3340" s="0" t="s">
        <v>2773</v>
      </c>
      <c r="B3340" s="0" t="s">
        <v>3459</v>
      </c>
      <c r="C3340" s="0" t="s">
        <v>3450</v>
      </c>
      <c r="D3340" s="0" t="s">
        <v>3457</v>
      </c>
      <c r="E3340" s="0" t="s">
        <v>4969</v>
      </c>
      <c r="F3340" s="0" t="s">
        <v>62</v>
      </c>
      <c r="G3340" s="0" t="s">
        <v>5003</v>
      </c>
      <c r="H3340" s="0" t="s">
        <v>6089</v>
      </c>
      <c r="I3340" s="0" t="s">
        <v>5005</v>
      </c>
      <c r="J3340" s="20" t="s">
        <v>25</v>
      </c>
    </row>
    <row r="3341" customFormat="false" ht="15" hidden="false" customHeight="false" outlineLevel="0" collapsed="false">
      <c r="A3341" s="0" t="s">
        <v>2773</v>
      </c>
      <c r="B3341" s="0" t="s">
        <v>3459</v>
      </c>
      <c r="C3341" s="0" t="s">
        <v>3450</v>
      </c>
      <c r="D3341" s="0" t="s">
        <v>3457</v>
      </c>
      <c r="E3341" s="0" t="s">
        <v>4969</v>
      </c>
      <c r="F3341" s="0" t="s">
        <v>64</v>
      </c>
      <c r="G3341" s="0" t="s">
        <v>4220</v>
      </c>
      <c r="H3341" s="0" t="s">
        <v>6090</v>
      </c>
      <c r="I3341" s="0" t="s">
        <v>4991</v>
      </c>
      <c r="J3341" s="20" t="s">
        <v>25</v>
      </c>
    </row>
    <row r="3342" customFormat="false" ht="15" hidden="false" customHeight="false" outlineLevel="0" collapsed="false">
      <c r="A3342" s="0" t="s">
        <v>2773</v>
      </c>
      <c r="B3342" s="0" t="s">
        <v>3459</v>
      </c>
      <c r="C3342" s="0" t="s">
        <v>3450</v>
      </c>
      <c r="D3342" s="0" t="s">
        <v>3448</v>
      </c>
      <c r="E3342" s="0" t="s">
        <v>4963</v>
      </c>
      <c r="F3342" s="0" t="s">
        <v>59</v>
      </c>
      <c r="G3342" s="0" t="s">
        <v>4974</v>
      </c>
      <c r="H3342" s="0" t="s">
        <v>69</v>
      </c>
      <c r="I3342" s="0" t="s">
        <v>4975</v>
      </c>
      <c r="J3342" s="20" t="s">
        <v>25</v>
      </c>
    </row>
    <row r="3343" customFormat="false" ht="15" hidden="false" customHeight="false" outlineLevel="0" collapsed="false">
      <c r="A3343" s="0" t="s">
        <v>2773</v>
      </c>
      <c r="B3343" s="0" t="s">
        <v>3459</v>
      </c>
      <c r="C3343" s="0" t="s">
        <v>3450</v>
      </c>
      <c r="D3343" s="0" t="s">
        <v>3448</v>
      </c>
      <c r="E3343" s="0" t="s">
        <v>4969</v>
      </c>
      <c r="F3343" s="0" t="s">
        <v>61</v>
      </c>
      <c r="G3343" s="0" t="s">
        <v>4970</v>
      </c>
      <c r="H3343" s="0" t="s">
        <v>6091</v>
      </c>
      <c r="I3343" s="0" t="s">
        <v>4972</v>
      </c>
      <c r="J3343" s="20" t="s">
        <v>25</v>
      </c>
    </row>
    <row r="3344" customFormat="false" ht="15" hidden="false" customHeight="false" outlineLevel="0" collapsed="false">
      <c r="A3344" s="0" t="s">
        <v>2773</v>
      </c>
      <c r="B3344" s="0" t="s">
        <v>3459</v>
      </c>
      <c r="C3344" s="0" t="s">
        <v>3450</v>
      </c>
      <c r="D3344" s="0" t="s">
        <v>3448</v>
      </c>
      <c r="E3344" s="0" t="s">
        <v>4969</v>
      </c>
      <c r="F3344" s="0" t="s">
        <v>62</v>
      </c>
      <c r="G3344" s="0" t="s">
        <v>5003</v>
      </c>
      <c r="H3344" s="0" t="s">
        <v>6092</v>
      </c>
      <c r="I3344" s="0" t="s">
        <v>5005</v>
      </c>
      <c r="J3344" s="20" t="s">
        <v>25</v>
      </c>
    </row>
    <row r="3345" customFormat="false" ht="15" hidden="false" customHeight="false" outlineLevel="0" collapsed="false">
      <c r="A3345" s="0" t="s">
        <v>2773</v>
      </c>
      <c r="B3345" s="0" t="s">
        <v>3459</v>
      </c>
      <c r="C3345" s="0" t="s">
        <v>3450</v>
      </c>
      <c r="D3345" s="0" t="s">
        <v>3448</v>
      </c>
      <c r="E3345" s="0" t="s">
        <v>4969</v>
      </c>
      <c r="F3345" s="0" t="s">
        <v>63</v>
      </c>
      <c r="G3345" s="0" t="s">
        <v>4220</v>
      </c>
      <c r="H3345" s="0" t="s">
        <v>6093</v>
      </c>
      <c r="I3345" s="0" t="s">
        <v>4979</v>
      </c>
      <c r="J3345" s="20" t="s">
        <v>25</v>
      </c>
    </row>
    <row r="3346" customFormat="false" ht="15" hidden="false" customHeight="false" outlineLevel="0" collapsed="false">
      <c r="A3346" s="0" t="s">
        <v>2773</v>
      </c>
      <c r="B3346" s="0" t="s">
        <v>3459</v>
      </c>
      <c r="C3346" s="0" t="s">
        <v>3447</v>
      </c>
      <c r="D3346" s="0" t="s">
        <v>3457</v>
      </c>
      <c r="E3346" s="0" t="s">
        <v>4963</v>
      </c>
      <c r="F3346" s="0" t="s">
        <v>59</v>
      </c>
      <c r="G3346" s="0" t="s">
        <v>4974</v>
      </c>
      <c r="H3346" s="0" t="s">
        <v>69</v>
      </c>
      <c r="I3346" s="0" t="s">
        <v>4975</v>
      </c>
      <c r="J3346" s="20" t="s">
        <v>25</v>
      </c>
    </row>
    <row r="3347" customFormat="false" ht="15" hidden="false" customHeight="false" outlineLevel="0" collapsed="false">
      <c r="A3347" s="0" t="s">
        <v>2773</v>
      </c>
      <c r="B3347" s="0" t="s">
        <v>3459</v>
      </c>
      <c r="C3347" s="0" t="s">
        <v>3447</v>
      </c>
      <c r="D3347" s="0" t="s">
        <v>3457</v>
      </c>
      <c r="E3347" s="0" t="s">
        <v>4969</v>
      </c>
      <c r="F3347" s="0" t="s">
        <v>61</v>
      </c>
      <c r="G3347" s="0" t="s">
        <v>4970</v>
      </c>
      <c r="H3347" s="0" t="s">
        <v>6094</v>
      </c>
      <c r="I3347" s="0" t="s">
        <v>4972</v>
      </c>
      <c r="J3347" s="20" t="s">
        <v>25</v>
      </c>
    </row>
    <row r="3348" customFormat="false" ht="15" hidden="false" customHeight="false" outlineLevel="0" collapsed="false">
      <c r="A3348" s="0" t="s">
        <v>2773</v>
      </c>
      <c r="B3348" s="0" t="s">
        <v>3459</v>
      </c>
      <c r="C3348" s="0" t="s">
        <v>3447</v>
      </c>
      <c r="D3348" s="0" t="s">
        <v>3457</v>
      </c>
      <c r="E3348" s="0" t="s">
        <v>4969</v>
      </c>
      <c r="F3348" s="0" t="s">
        <v>64</v>
      </c>
      <c r="G3348" s="0" t="s">
        <v>4220</v>
      </c>
      <c r="H3348" s="0" t="s">
        <v>6090</v>
      </c>
      <c r="I3348" s="0" t="s">
        <v>4991</v>
      </c>
      <c r="J3348" s="20" t="s">
        <v>25</v>
      </c>
    </row>
    <row r="3349" customFormat="false" ht="15" hidden="false" customHeight="false" outlineLevel="0" collapsed="false">
      <c r="A3349" s="0" t="s">
        <v>2773</v>
      </c>
      <c r="B3349" s="0" t="s">
        <v>3459</v>
      </c>
      <c r="C3349" s="0" t="s">
        <v>3447</v>
      </c>
      <c r="D3349" s="0" t="s">
        <v>3448</v>
      </c>
      <c r="E3349" s="0" t="s">
        <v>4969</v>
      </c>
      <c r="F3349" s="0" t="s">
        <v>61</v>
      </c>
      <c r="G3349" s="0" t="s">
        <v>4970</v>
      </c>
      <c r="H3349" s="0" t="s">
        <v>6095</v>
      </c>
      <c r="I3349" s="0" t="s">
        <v>4972</v>
      </c>
      <c r="J3349" s="20" t="s">
        <v>25</v>
      </c>
    </row>
    <row r="3350" customFormat="false" ht="15" hidden="false" customHeight="false" outlineLevel="0" collapsed="false">
      <c r="A3350" s="0" t="s">
        <v>2773</v>
      </c>
      <c r="B3350" s="0" t="s">
        <v>3459</v>
      </c>
      <c r="C3350" s="0" t="s">
        <v>3447</v>
      </c>
      <c r="D3350" s="0" t="s">
        <v>3448</v>
      </c>
      <c r="E3350" s="0" t="s">
        <v>4969</v>
      </c>
      <c r="F3350" s="0" t="s">
        <v>63</v>
      </c>
      <c r="G3350" s="0" t="s">
        <v>4220</v>
      </c>
      <c r="H3350" s="0" t="s">
        <v>6093</v>
      </c>
      <c r="I3350" s="0" t="s">
        <v>4979</v>
      </c>
      <c r="J3350" s="20" t="s">
        <v>25</v>
      </c>
    </row>
    <row r="3351" customFormat="false" ht="15" hidden="false" customHeight="false" outlineLevel="0" collapsed="false">
      <c r="A3351" s="0" t="s">
        <v>2773</v>
      </c>
      <c r="B3351" s="0" t="s">
        <v>134</v>
      </c>
      <c r="C3351" s="0" t="s">
        <v>3447</v>
      </c>
      <c r="D3351" s="0" t="s">
        <v>3448</v>
      </c>
      <c r="E3351" s="0" t="s">
        <v>4963</v>
      </c>
      <c r="F3351" s="0" t="s">
        <v>30</v>
      </c>
      <c r="G3351" s="0" t="s">
        <v>4980</v>
      </c>
      <c r="H3351" s="0" t="s">
        <v>4841</v>
      </c>
      <c r="I3351" s="0" t="s">
        <v>4981</v>
      </c>
      <c r="J3351" s="18" t="s">
        <v>24</v>
      </c>
    </row>
    <row r="3352" customFormat="false" ht="15" hidden="false" customHeight="false" outlineLevel="0" collapsed="false">
      <c r="A3352" s="0" t="s">
        <v>2773</v>
      </c>
      <c r="B3352" s="0" t="s">
        <v>3459</v>
      </c>
      <c r="C3352" s="0" t="s">
        <v>3450</v>
      </c>
      <c r="D3352" s="0" t="s">
        <v>3448</v>
      </c>
      <c r="E3352" s="0" t="s">
        <v>4963</v>
      </c>
      <c r="F3352" s="0" t="s">
        <v>30</v>
      </c>
      <c r="G3352" s="0" t="s">
        <v>4980</v>
      </c>
      <c r="H3352" s="0" t="s">
        <v>4331</v>
      </c>
      <c r="I3352" s="0" t="s">
        <v>4981</v>
      </c>
      <c r="J3352" s="18" t="s">
        <v>24</v>
      </c>
    </row>
    <row r="3353" customFormat="false" ht="15" hidden="false" customHeight="false" outlineLevel="0" collapsed="false">
      <c r="A3353" s="0" t="s">
        <v>2773</v>
      </c>
      <c r="B3353" s="0" t="s">
        <v>3459</v>
      </c>
      <c r="C3353" s="0" t="s">
        <v>3447</v>
      </c>
      <c r="D3353" s="0" t="s">
        <v>3448</v>
      </c>
      <c r="E3353" s="0" t="s">
        <v>4963</v>
      </c>
      <c r="F3353" s="0" t="s">
        <v>30</v>
      </c>
      <c r="G3353" s="0" t="s">
        <v>4980</v>
      </c>
      <c r="H3353" s="0" t="s">
        <v>4844</v>
      </c>
      <c r="I3353" s="0" t="s">
        <v>4981</v>
      </c>
      <c r="J3353" s="18" t="s">
        <v>24</v>
      </c>
    </row>
    <row r="3354" customFormat="false" ht="15" hidden="false" customHeight="false" outlineLevel="0" collapsed="false">
      <c r="A3354" s="0" t="s">
        <v>2782</v>
      </c>
      <c r="B3354" s="0" t="s">
        <v>134</v>
      </c>
      <c r="C3354" s="0" t="s">
        <v>3450</v>
      </c>
      <c r="D3354" s="0" t="s">
        <v>3457</v>
      </c>
      <c r="E3354" s="0" t="s">
        <v>4963</v>
      </c>
      <c r="F3354" s="0" t="s">
        <v>59</v>
      </c>
      <c r="G3354" s="0" t="s">
        <v>4974</v>
      </c>
      <c r="H3354" s="0" t="s">
        <v>69</v>
      </c>
      <c r="I3354" s="0" t="s">
        <v>4975</v>
      </c>
      <c r="J3354" s="20" t="s">
        <v>25</v>
      </c>
    </row>
    <row r="3355" customFormat="false" ht="15" hidden="false" customHeight="false" outlineLevel="0" collapsed="false">
      <c r="A3355" s="0" t="s">
        <v>2782</v>
      </c>
      <c r="B3355" s="0" t="s">
        <v>134</v>
      </c>
      <c r="C3355" s="0" t="s">
        <v>3450</v>
      </c>
      <c r="D3355" s="0" t="s">
        <v>3448</v>
      </c>
      <c r="E3355" s="0" t="s">
        <v>4963</v>
      </c>
      <c r="F3355" s="0" t="s">
        <v>59</v>
      </c>
      <c r="G3355" s="0" t="s">
        <v>4974</v>
      </c>
      <c r="H3355" s="0" t="s">
        <v>69</v>
      </c>
      <c r="I3355" s="0" t="s">
        <v>4975</v>
      </c>
      <c r="J3355" s="20" t="s">
        <v>25</v>
      </c>
    </row>
    <row r="3356" customFormat="false" ht="15" hidden="false" customHeight="false" outlineLevel="0" collapsed="false">
      <c r="A3356" s="0" t="s">
        <v>2782</v>
      </c>
      <c r="B3356" s="0" t="s">
        <v>134</v>
      </c>
      <c r="C3356" s="0" t="s">
        <v>3450</v>
      </c>
      <c r="D3356" s="0" t="s">
        <v>3448</v>
      </c>
      <c r="E3356" s="0" t="s">
        <v>4969</v>
      </c>
      <c r="F3356" s="0" t="s">
        <v>62</v>
      </c>
      <c r="G3356" s="0" t="s">
        <v>5003</v>
      </c>
      <c r="H3356" s="0" t="s">
        <v>6096</v>
      </c>
      <c r="I3356" s="0" t="s">
        <v>5005</v>
      </c>
      <c r="J3356" s="20" t="s">
        <v>25</v>
      </c>
    </row>
    <row r="3357" customFormat="false" ht="15" hidden="false" customHeight="false" outlineLevel="0" collapsed="false">
      <c r="A3357" s="0" t="s">
        <v>2782</v>
      </c>
      <c r="B3357" s="0" t="s">
        <v>134</v>
      </c>
      <c r="C3357" s="0" t="s">
        <v>3450</v>
      </c>
      <c r="D3357" s="0" t="s">
        <v>3448</v>
      </c>
      <c r="E3357" s="0" t="s">
        <v>4969</v>
      </c>
      <c r="F3357" s="0" t="s">
        <v>63</v>
      </c>
      <c r="G3357" s="0" t="s">
        <v>4220</v>
      </c>
      <c r="H3357" s="0" t="s">
        <v>6097</v>
      </c>
      <c r="I3357" s="0" t="s">
        <v>4979</v>
      </c>
      <c r="J3357" s="20" t="s">
        <v>25</v>
      </c>
    </row>
    <row r="3358" customFormat="false" ht="15" hidden="false" customHeight="false" outlineLevel="0" collapsed="false">
      <c r="A3358" s="0" t="s">
        <v>2782</v>
      </c>
      <c r="B3358" s="0" t="s">
        <v>134</v>
      </c>
      <c r="C3358" s="0" t="s">
        <v>3447</v>
      </c>
      <c r="D3358" s="0" t="s">
        <v>3457</v>
      </c>
      <c r="E3358" s="0" t="s">
        <v>4963</v>
      </c>
      <c r="F3358" s="0" t="s">
        <v>59</v>
      </c>
      <c r="G3358" s="0" t="s">
        <v>4974</v>
      </c>
      <c r="H3358" s="0" t="s">
        <v>69</v>
      </c>
      <c r="I3358" s="0" t="s">
        <v>4975</v>
      </c>
      <c r="J3358" s="20" t="s">
        <v>25</v>
      </c>
    </row>
    <row r="3359" customFormat="false" ht="15" hidden="false" customHeight="false" outlineLevel="0" collapsed="false">
      <c r="A3359" s="0" t="s">
        <v>2782</v>
      </c>
      <c r="B3359" s="0" t="s">
        <v>134</v>
      </c>
      <c r="C3359" s="0" t="s">
        <v>3447</v>
      </c>
      <c r="D3359" s="0" t="s">
        <v>3448</v>
      </c>
      <c r="E3359" s="0" t="s">
        <v>4969</v>
      </c>
      <c r="F3359" s="0" t="s">
        <v>63</v>
      </c>
      <c r="G3359" s="0" t="s">
        <v>4220</v>
      </c>
      <c r="H3359" s="0" t="s">
        <v>6097</v>
      </c>
      <c r="I3359" s="0" t="s">
        <v>4979</v>
      </c>
      <c r="J3359" s="20" t="s">
        <v>25</v>
      </c>
    </row>
    <row r="3360" customFormat="false" ht="15" hidden="false" customHeight="false" outlineLevel="0" collapsed="false">
      <c r="A3360" s="0" t="s">
        <v>2782</v>
      </c>
      <c r="B3360" s="0" t="s">
        <v>134</v>
      </c>
      <c r="C3360" s="0" t="s">
        <v>3450</v>
      </c>
      <c r="D3360" s="0" t="s">
        <v>3457</v>
      </c>
      <c r="E3360" s="0" t="s">
        <v>4963</v>
      </c>
      <c r="F3360" s="0" t="s">
        <v>30</v>
      </c>
      <c r="G3360" s="0" t="s">
        <v>4980</v>
      </c>
      <c r="H3360" s="0" t="s">
        <v>4265</v>
      </c>
      <c r="I3360" s="0" t="s">
        <v>4981</v>
      </c>
      <c r="J3360" s="18" t="s">
        <v>24</v>
      </c>
    </row>
    <row r="3361" customFormat="false" ht="15" hidden="false" customHeight="false" outlineLevel="0" collapsed="false">
      <c r="A3361" s="0" t="s">
        <v>2782</v>
      </c>
      <c r="B3361" s="0" t="s">
        <v>134</v>
      </c>
      <c r="C3361" s="0" t="s">
        <v>3450</v>
      </c>
      <c r="D3361" s="0" t="s">
        <v>3448</v>
      </c>
      <c r="E3361" s="0" t="s">
        <v>4963</v>
      </c>
      <c r="F3361" s="0" t="s">
        <v>30</v>
      </c>
      <c r="G3361" s="0" t="s">
        <v>4980</v>
      </c>
      <c r="H3361" s="0" t="s">
        <v>4242</v>
      </c>
      <c r="I3361" s="0" t="s">
        <v>4981</v>
      </c>
      <c r="J3361" s="18" t="s">
        <v>24</v>
      </c>
    </row>
    <row r="3362" customFormat="false" ht="15" hidden="false" customHeight="false" outlineLevel="0" collapsed="false">
      <c r="A3362" s="0" t="s">
        <v>2782</v>
      </c>
      <c r="B3362" s="0" t="s">
        <v>134</v>
      </c>
      <c r="C3362" s="0" t="s">
        <v>3447</v>
      </c>
      <c r="D3362" s="0" t="s">
        <v>3457</v>
      </c>
      <c r="E3362" s="0" t="s">
        <v>4963</v>
      </c>
      <c r="F3362" s="0" t="s">
        <v>30</v>
      </c>
      <c r="G3362" s="0" t="s">
        <v>4980</v>
      </c>
      <c r="H3362" s="0" t="s">
        <v>4275</v>
      </c>
      <c r="I3362" s="0" t="s">
        <v>4981</v>
      </c>
      <c r="J3362" s="18" t="s">
        <v>24</v>
      </c>
    </row>
    <row r="3363" customFormat="false" ht="15" hidden="false" customHeight="false" outlineLevel="0" collapsed="false">
      <c r="A3363" s="0" t="s">
        <v>2782</v>
      </c>
      <c r="B3363" s="0" t="s">
        <v>134</v>
      </c>
      <c r="C3363" s="0" t="s">
        <v>3447</v>
      </c>
      <c r="D3363" s="0" t="s">
        <v>3448</v>
      </c>
      <c r="E3363" s="0" t="s">
        <v>4963</v>
      </c>
      <c r="F3363" s="0" t="s">
        <v>30</v>
      </c>
      <c r="G3363" s="0" t="s">
        <v>4980</v>
      </c>
      <c r="H3363" s="0" t="s">
        <v>4272</v>
      </c>
      <c r="I3363" s="0" t="s">
        <v>4981</v>
      </c>
      <c r="J3363" s="18" t="s">
        <v>24</v>
      </c>
    </row>
    <row r="3364" customFormat="false" ht="15" hidden="false" customHeight="false" outlineLevel="0" collapsed="false">
      <c r="A3364" s="0" t="s">
        <v>2788</v>
      </c>
      <c r="B3364" s="0" t="s">
        <v>134</v>
      </c>
      <c r="C3364" s="0" t="s">
        <v>3450</v>
      </c>
      <c r="D3364" s="0" t="s">
        <v>3457</v>
      </c>
      <c r="E3364" s="0" t="s">
        <v>4963</v>
      </c>
      <c r="F3364" s="0" t="s">
        <v>59</v>
      </c>
      <c r="G3364" s="0" t="s">
        <v>4974</v>
      </c>
      <c r="H3364" s="0" t="s">
        <v>69</v>
      </c>
      <c r="I3364" s="0" t="s">
        <v>4975</v>
      </c>
      <c r="J3364" s="20" t="s">
        <v>25</v>
      </c>
    </row>
    <row r="3365" customFormat="false" ht="15" hidden="false" customHeight="false" outlineLevel="0" collapsed="false">
      <c r="A3365" s="0" t="s">
        <v>2788</v>
      </c>
      <c r="B3365" s="0" t="s">
        <v>134</v>
      </c>
      <c r="C3365" s="0" t="s">
        <v>3450</v>
      </c>
      <c r="D3365" s="0" t="s">
        <v>3448</v>
      </c>
      <c r="E3365" s="0" t="s">
        <v>4963</v>
      </c>
      <c r="F3365" s="0" t="s">
        <v>59</v>
      </c>
      <c r="G3365" s="0" t="s">
        <v>4974</v>
      </c>
      <c r="H3365" s="0" t="s">
        <v>69</v>
      </c>
      <c r="I3365" s="0" t="s">
        <v>4975</v>
      </c>
      <c r="J3365" s="20" t="s">
        <v>25</v>
      </c>
    </row>
    <row r="3366" customFormat="false" ht="15" hidden="false" customHeight="false" outlineLevel="0" collapsed="false">
      <c r="A3366" s="0" t="s">
        <v>2788</v>
      </c>
      <c r="B3366" s="0" t="s">
        <v>134</v>
      </c>
      <c r="C3366" s="0" t="s">
        <v>3447</v>
      </c>
      <c r="D3366" s="0" t="s">
        <v>3457</v>
      </c>
      <c r="E3366" s="0" t="s">
        <v>4963</v>
      </c>
      <c r="F3366" s="0" t="s">
        <v>59</v>
      </c>
      <c r="G3366" s="0" t="s">
        <v>4974</v>
      </c>
      <c r="H3366" s="0" t="s">
        <v>69</v>
      </c>
      <c r="I3366" s="0" t="s">
        <v>4975</v>
      </c>
      <c r="J3366" s="20" t="s">
        <v>25</v>
      </c>
    </row>
    <row r="3367" customFormat="false" ht="15" hidden="false" customHeight="false" outlineLevel="0" collapsed="false">
      <c r="A3367" s="0" t="s">
        <v>2788</v>
      </c>
      <c r="B3367" s="0" t="s">
        <v>134</v>
      </c>
      <c r="C3367" s="0" t="s">
        <v>3447</v>
      </c>
      <c r="D3367" s="0" t="s">
        <v>3457</v>
      </c>
      <c r="E3367" s="0" t="s">
        <v>4969</v>
      </c>
      <c r="F3367" s="0" t="s">
        <v>61</v>
      </c>
      <c r="G3367" s="0" t="s">
        <v>4970</v>
      </c>
      <c r="H3367" s="0" t="s">
        <v>6098</v>
      </c>
      <c r="I3367" s="0" t="s">
        <v>4972</v>
      </c>
      <c r="J3367" s="20" t="s">
        <v>25</v>
      </c>
    </row>
    <row r="3368" customFormat="false" ht="15" hidden="false" customHeight="false" outlineLevel="0" collapsed="false">
      <c r="A3368" s="0" t="s">
        <v>2788</v>
      </c>
      <c r="B3368" s="0" t="s">
        <v>134</v>
      </c>
      <c r="C3368" s="0" t="s">
        <v>3450</v>
      </c>
      <c r="D3368" s="0" t="s">
        <v>3457</v>
      </c>
      <c r="E3368" s="0" t="s">
        <v>4963</v>
      </c>
      <c r="F3368" s="0" t="s">
        <v>30</v>
      </c>
      <c r="G3368" s="0" t="s">
        <v>4980</v>
      </c>
      <c r="H3368" s="0" t="s">
        <v>4845</v>
      </c>
      <c r="I3368" s="0" t="s">
        <v>4981</v>
      </c>
      <c r="J3368" s="18" t="s">
        <v>24</v>
      </c>
    </row>
    <row r="3369" customFormat="false" ht="15" hidden="false" customHeight="false" outlineLevel="0" collapsed="false">
      <c r="A3369" s="0" t="s">
        <v>2788</v>
      </c>
      <c r="B3369" s="0" t="s">
        <v>134</v>
      </c>
      <c r="C3369" s="0" t="s">
        <v>3450</v>
      </c>
      <c r="D3369" s="0" t="s">
        <v>3448</v>
      </c>
      <c r="E3369" s="0" t="s">
        <v>4963</v>
      </c>
      <c r="F3369" s="0" t="s">
        <v>30</v>
      </c>
      <c r="G3369" s="0" t="s">
        <v>4980</v>
      </c>
      <c r="H3369" s="0" t="s">
        <v>4238</v>
      </c>
      <c r="I3369" s="0" t="s">
        <v>4981</v>
      </c>
      <c r="J3369" s="18" t="s">
        <v>24</v>
      </c>
    </row>
    <row r="3370" customFormat="false" ht="15" hidden="false" customHeight="false" outlineLevel="0" collapsed="false">
      <c r="A3370" s="0" t="s">
        <v>2788</v>
      </c>
      <c r="B3370" s="0" t="s">
        <v>134</v>
      </c>
      <c r="C3370" s="0" t="s">
        <v>3447</v>
      </c>
      <c r="D3370" s="0" t="s">
        <v>3457</v>
      </c>
      <c r="E3370" s="0" t="s">
        <v>4963</v>
      </c>
      <c r="F3370" s="0" t="s">
        <v>30</v>
      </c>
      <c r="G3370" s="0" t="s">
        <v>4980</v>
      </c>
      <c r="H3370" s="0" t="s">
        <v>4846</v>
      </c>
      <c r="I3370" s="0" t="s">
        <v>4981</v>
      </c>
      <c r="J3370" s="18" t="s">
        <v>24</v>
      </c>
    </row>
    <row r="3371" customFormat="false" ht="15" hidden="false" customHeight="false" outlineLevel="0" collapsed="false">
      <c r="A3371" s="0" t="s">
        <v>2788</v>
      </c>
      <c r="B3371" s="0" t="s">
        <v>134</v>
      </c>
      <c r="C3371" s="0" t="s">
        <v>3447</v>
      </c>
      <c r="D3371" s="0" t="s">
        <v>3448</v>
      </c>
      <c r="E3371" s="0" t="s">
        <v>4963</v>
      </c>
      <c r="F3371" s="0" t="s">
        <v>30</v>
      </c>
      <c r="G3371" s="0" t="s">
        <v>4980</v>
      </c>
      <c r="H3371" s="0" t="s">
        <v>4274</v>
      </c>
      <c r="I3371" s="0" t="s">
        <v>4981</v>
      </c>
      <c r="J3371" s="18" t="s">
        <v>24</v>
      </c>
    </row>
    <row r="3372" customFormat="false" ht="15" hidden="false" customHeight="false" outlineLevel="0" collapsed="false">
      <c r="A3372" s="0" t="s">
        <v>2799</v>
      </c>
      <c r="B3372" s="0" t="s">
        <v>3459</v>
      </c>
      <c r="C3372" s="0" t="s">
        <v>3447</v>
      </c>
      <c r="D3372" s="0" t="s">
        <v>3457</v>
      </c>
      <c r="E3372" s="0" t="s">
        <v>4963</v>
      </c>
      <c r="F3372" s="0" t="s">
        <v>60</v>
      </c>
      <c r="G3372" s="0" t="s">
        <v>4964</v>
      </c>
      <c r="H3372" s="0" t="s">
        <v>6099</v>
      </c>
      <c r="I3372" s="0" t="s">
        <v>4966</v>
      </c>
      <c r="J3372" s="19" t="s">
        <v>26</v>
      </c>
    </row>
    <row r="3373" customFormat="false" ht="15" hidden="false" customHeight="false" outlineLevel="0" collapsed="false">
      <c r="A3373" s="0" t="s">
        <v>2799</v>
      </c>
      <c r="B3373" s="0" t="s">
        <v>3459</v>
      </c>
      <c r="C3373" s="0" t="s">
        <v>3447</v>
      </c>
      <c r="D3373" s="0" t="s">
        <v>3448</v>
      </c>
      <c r="E3373" s="0" t="s">
        <v>4963</v>
      </c>
      <c r="F3373" s="0" t="s">
        <v>60</v>
      </c>
      <c r="G3373" s="0" t="s">
        <v>4964</v>
      </c>
      <c r="H3373" s="0" t="s">
        <v>5314</v>
      </c>
      <c r="I3373" s="0" t="s">
        <v>4966</v>
      </c>
      <c r="J3373" s="19" t="s">
        <v>26</v>
      </c>
    </row>
    <row r="3374" customFormat="false" ht="15" hidden="false" customHeight="false" outlineLevel="0" collapsed="false">
      <c r="A3374" s="0" t="s">
        <v>2799</v>
      </c>
      <c r="B3374" s="0" t="s">
        <v>134</v>
      </c>
      <c r="C3374" s="0" t="s">
        <v>3450</v>
      </c>
      <c r="D3374" s="0" t="s">
        <v>3457</v>
      </c>
      <c r="E3374" s="0" t="s">
        <v>4969</v>
      </c>
      <c r="F3374" s="0" t="s">
        <v>63</v>
      </c>
      <c r="G3374" s="0" t="s">
        <v>4220</v>
      </c>
      <c r="H3374" s="0" t="s">
        <v>6100</v>
      </c>
      <c r="I3374" s="0" t="s">
        <v>4979</v>
      </c>
      <c r="J3374" s="20" t="s">
        <v>25</v>
      </c>
    </row>
    <row r="3375" customFormat="false" ht="15" hidden="false" customHeight="false" outlineLevel="0" collapsed="false">
      <c r="A3375" s="0" t="s">
        <v>2799</v>
      </c>
      <c r="B3375" s="0" t="s">
        <v>134</v>
      </c>
      <c r="C3375" s="0" t="s">
        <v>3450</v>
      </c>
      <c r="D3375" s="0" t="s">
        <v>3448</v>
      </c>
      <c r="E3375" s="0" t="s">
        <v>4963</v>
      </c>
      <c r="F3375" s="0" t="s">
        <v>59</v>
      </c>
      <c r="G3375" s="0" t="s">
        <v>4974</v>
      </c>
      <c r="H3375" s="0" t="s">
        <v>69</v>
      </c>
      <c r="I3375" s="0" t="s">
        <v>4975</v>
      </c>
      <c r="J3375" s="20" t="s">
        <v>25</v>
      </c>
    </row>
    <row r="3376" customFormat="false" ht="15" hidden="false" customHeight="false" outlineLevel="0" collapsed="false">
      <c r="A3376" s="0" t="s">
        <v>2799</v>
      </c>
      <c r="B3376" s="0" t="s">
        <v>134</v>
      </c>
      <c r="C3376" s="0" t="s">
        <v>3447</v>
      </c>
      <c r="D3376" s="0" t="s">
        <v>3457</v>
      </c>
      <c r="E3376" s="0" t="s">
        <v>4969</v>
      </c>
      <c r="F3376" s="0" t="s">
        <v>63</v>
      </c>
      <c r="G3376" s="0" t="s">
        <v>4220</v>
      </c>
      <c r="H3376" s="0" t="s">
        <v>6100</v>
      </c>
      <c r="I3376" s="0" t="s">
        <v>4979</v>
      </c>
      <c r="J3376" s="20" t="s">
        <v>25</v>
      </c>
    </row>
    <row r="3377" customFormat="false" ht="15" hidden="false" customHeight="false" outlineLevel="0" collapsed="false">
      <c r="A3377" s="0" t="s">
        <v>2799</v>
      </c>
      <c r="B3377" s="0" t="s">
        <v>3459</v>
      </c>
      <c r="C3377" s="0" t="s">
        <v>3450</v>
      </c>
      <c r="D3377" s="0" t="s">
        <v>3457</v>
      </c>
      <c r="E3377" s="0" t="s">
        <v>5199</v>
      </c>
      <c r="F3377" s="0" t="s">
        <v>67</v>
      </c>
      <c r="G3377" s="0" t="s">
        <v>100</v>
      </c>
      <c r="H3377" s="0" t="s">
        <v>6101</v>
      </c>
      <c r="I3377" s="0" t="s">
        <v>5201</v>
      </c>
      <c r="J3377" s="20" t="s">
        <v>25</v>
      </c>
    </row>
    <row r="3378" customFormat="false" ht="15" hidden="false" customHeight="false" outlineLevel="0" collapsed="false">
      <c r="A3378" s="0" t="s">
        <v>2799</v>
      </c>
      <c r="B3378" s="0" t="s">
        <v>3459</v>
      </c>
      <c r="C3378" s="0" t="s">
        <v>3450</v>
      </c>
      <c r="D3378" s="0" t="s">
        <v>3457</v>
      </c>
      <c r="E3378" s="0" t="s">
        <v>4969</v>
      </c>
      <c r="F3378" s="0" t="s">
        <v>61</v>
      </c>
      <c r="G3378" s="0" t="s">
        <v>4970</v>
      </c>
      <c r="H3378" s="0" t="s">
        <v>6102</v>
      </c>
      <c r="I3378" s="0" t="s">
        <v>4972</v>
      </c>
      <c r="J3378" s="20" t="s">
        <v>25</v>
      </c>
    </row>
    <row r="3379" customFormat="false" ht="15" hidden="false" customHeight="false" outlineLevel="0" collapsed="false">
      <c r="A3379" s="0" t="s">
        <v>2799</v>
      </c>
      <c r="B3379" s="0" t="s">
        <v>3459</v>
      </c>
      <c r="C3379" s="0" t="s">
        <v>3450</v>
      </c>
      <c r="D3379" s="0" t="s">
        <v>3448</v>
      </c>
      <c r="E3379" s="0" t="s">
        <v>4969</v>
      </c>
      <c r="F3379" s="0" t="s">
        <v>61</v>
      </c>
      <c r="G3379" s="0" t="s">
        <v>4970</v>
      </c>
      <c r="H3379" s="0" t="s">
        <v>6103</v>
      </c>
      <c r="I3379" s="0" t="s">
        <v>4972</v>
      </c>
      <c r="J3379" s="20" t="s">
        <v>25</v>
      </c>
    </row>
    <row r="3380" customFormat="false" ht="15" hidden="false" customHeight="false" outlineLevel="0" collapsed="false">
      <c r="A3380" s="0" t="s">
        <v>2799</v>
      </c>
      <c r="B3380" s="0" t="s">
        <v>3459</v>
      </c>
      <c r="C3380" s="0" t="s">
        <v>3447</v>
      </c>
      <c r="D3380" s="0" t="s">
        <v>3457</v>
      </c>
      <c r="E3380" s="0" t="s">
        <v>4963</v>
      </c>
      <c r="F3380" s="0" t="s">
        <v>59</v>
      </c>
      <c r="G3380" s="0" t="s">
        <v>4974</v>
      </c>
      <c r="H3380" s="0" t="s">
        <v>69</v>
      </c>
      <c r="I3380" s="0" t="s">
        <v>4975</v>
      </c>
      <c r="J3380" s="20" t="s">
        <v>25</v>
      </c>
    </row>
    <row r="3381" customFormat="false" ht="15" hidden="false" customHeight="false" outlineLevel="0" collapsed="false">
      <c r="A3381" s="0" t="s">
        <v>2799</v>
      </c>
      <c r="B3381" s="0" t="s">
        <v>3459</v>
      </c>
      <c r="C3381" s="0" t="s">
        <v>3447</v>
      </c>
      <c r="D3381" s="0" t="s">
        <v>3448</v>
      </c>
      <c r="E3381" s="0" t="s">
        <v>4963</v>
      </c>
      <c r="F3381" s="0" t="s">
        <v>59</v>
      </c>
      <c r="G3381" s="0" t="s">
        <v>4974</v>
      </c>
      <c r="H3381" s="0" t="s">
        <v>69</v>
      </c>
      <c r="I3381" s="0" t="s">
        <v>4975</v>
      </c>
      <c r="J3381" s="20" t="s">
        <v>25</v>
      </c>
    </row>
    <row r="3382" customFormat="false" ht="15" hidden="false" customHeight="false" outlineLevel="0" collapsed="false">
      <c r="A3382" s="0" t="s">
        <v>2799</v>
      </c>
      <c r="B3382" s="0" t="s">
        <v>134</v>
      </c>
      <c r="C3382" s="0" t="s">
        <v>3450</v>
      </c>
      <c r="D3382" s="0" t="s">
        <v>3457</v>
      </c>
      <c r="E3382" s="0" t="s">
        <v>4963</v>
      </c>
      <c r="F3382" s="0" t="s">
        <v>30</v>
      </c>
      <c r="G3382" s="0" t="s">
        <v>4980</v>
      </c>
      <c r="H3382" s="0" t="s">
        <v>4716</v>
      </c>
      <c r="I3382" s="0" t="s">
        <v>4981</v>
      </c>
      <c r="J3382" s="18" t="s">
        <v>24</v>
      </c>
    </row>
    <row r="3383" customFormat="false" ht="15" hidden="false" customHeight="false" outlineLevel="0" collapsed="false">
      <c r="A3383" s="0" t="s">
        <v>2799</v>
      </c>
      <c r="B3383" s="0" t="s">
        <v>134</v>
      </c>
      <c r="C3383" s="0" t="s">
        <v>3450</v>
      </c>
      <c r="D3383" s="0" t="s">
        <v>3448</v>
      </c>
      <c r="E3383" s="0" t="s">
        <v>4963</v>
      </c>
      <c r="F3383" s="0" t="s">
        <v>30</v>
      </c>
      <c r="G3383" s="0" t="s">
        <v>4980</v>
      </c>
      <c r="H3383" s="0" t="s">
        <v>4847</v>
      </c>
      <c r="I3383" s="0" t="s">
        <v>4981</v>
      </c>
      <c r="J3383" s="18" t="s">
        <v>24</v>
      </c>
    </row>
    <row r="3384" customFormat="false" ht="15" hidden="false" customHeight="false" outlineLevel="0" collapsed="false">
      <c r="A3384" s="0" t="s">
        <v>2799</v>
      </c>
      <c r="B3384" s="0" t="s">
        <v>134</v>
      </c>
      <c r="C3384" s="0" t="s">
        <v>3447</v>
      </c>
      <c r="D3384" s="0" t="s">
        <v>3457</v>
      </c>
      <c r="E3384" s="0" t="s">
        <v>4963</v>
      </c>
      <c r="F3384" s="0" t="s">
        <v>30</v>
      </c>
      <c r="G3384" s="0" t="s">
        <v>4980</v>
      </c>
      <c r="H3384" s="0" t="s">
        <v>4848</v>
      </c>
      <c r="I3384" s="0" t="s">
        <v>4981</v>
      </c>
      <c r="J3384" s="18" t="s">
        <v>24</v>
      </c>
    </row>
    <row r="3385" customFormat="false" ht="15" hidden="false" customHeight="false" outlineLevel="0" collapsed="false">
      <c r="A3385" s="0" t="s">
        <v>2799</v>
      </c>
      <c r="B3385" s="0" t="s">
        <v>134</v>
      </c>
      <c r="C3385" s="0" t="s">
        <v>3447</v>
      </c>
      <c r="D3385" s="0" t="s">
        <v>3448</v>
      </c>
      <c r="E3385" s="0" t="s">
        <v>4963</v>
      </c>
      <c r="F3385" s="0" t="s">
        <v>30</v>
      </c>
      <c r="G3385" s="0" t="s">
        <v>4980</v>
      </c>
      <c r="H3385" s="0" t="s">
        <v>4849</v>
      </c>
      <c r="I3385" s="0" t="s">
        <v>4981</v>
      </c>
      <c r="J3385" s="18" t="s">
        <v>24</v>
      </c>
    </row>
    <row r="3386" customFormat="false" ht="15" hidden="false" customHeight="false" outlineLevel="0" collapsed="false">
      <c r="A3386" s="0" t="s">
        <v>2810</v>
      </c>
      <c r="B3386" s="0" t="s">
        <v>3459</v>
      </c>
      <c r="C3386" s="0" t="s">
        <v>3450</v>
      </c>
      <c r="D3386" s="0" t="s">
        <v>3457</v>
      </c>
      <c r="E3386" s="0" t="s">
        <v>4963</v>
      </c>
      <c r="F3386" s="0" t="s">
        <v>60</v>
      </c>
      <c r="G3386" s="0" t="s">
        <v>4964</v>
      </c>
      <c r="H3386" s="0" t="s">
        <v>6104</v>
      </c>
      <c r="I3386" s="0" t="s">
        <v>4966</v>
      </c>
      <c r="J3386" s="19" t="s">
        <v>26</v>
      </c>
    </row>
    <row r="3387" customFormat="false" ht="15" hidden="false" customHeight="false" outlineLevel="0" collapsed="false">
      <c r="A3387" s="0" t="s">
        <v>2810</v>
      </c>
      <c r="B3387" s="0" t="s">
        <v>134</v>
      </c>
      <c r="C3387" s="0" t="s">
        <v>3450</v>
      </c>
      <c r="D3387" s="0" t="s">
        <v>3457</v>
      </c>
      <c r="E3387" s="0" t="s">
        <v>4963</v>
      </c>
      <c r="F3387" s="0" t="s">
        <v>59</v>
      </c>
      <c r="G3387" s="0" t="s">
        <v>4974</v>
      </c>
      <c r="H3387" s="0" t="s">
        <v>69</v>
      </c>
      <c r="I3387" s="0" t="s">
        <v>4975</v>
      </c>
      <c r="J3387" s="20" t="s">
        <v>25</v>
      </c>
    </row>
    <row r="3388" customFormat="false" ht="15" hidden="false" customHeight="false" outlineLevel="0" collapsed="false">
      <c r="A3388" s="0" t="s">
        <v>2810</v>
      </c>
      <c r="B3388" s="0" t="s">
        <v>134</v>
      </c>
      <c r="C3388" s="0" t="s">
        <v>3450</v>
      </c>
      <c r="D3388" s="0" t="s">
        <v>3448</v>
      </c>
      <c r="E3388" s="0" t="s">
        <v>4963</v>
      </c>
      <c r="F3388" s="0" t="s">
        <v>59</v>
      </c>
      <c r="G3388" s="0" t="s">
        <v>4974</v>
      </c>
      <c r="H3388" s="0" t="s">
        <v>69</v>
      </c>
      <c r="I3388" s="0" t="s">
        <v>4975</v>
      </c>
      <c r="J3388" s="20" t="s">
        <v>25</v>
      </c>
    </row>
    <row r="3389" customFormat="false" ht="15" hidden="false" customHeight="false" outlineLevel="0" collapsed="false">
      <c r="A3389" s="0" t="s">
        <v>2810</v>
      </c>
      <c r="B3389" s="0" t="s">
        <v>134</v>
      </c>
      <c r="C3389" s="0" t="s">
        <v>3447</v>
      </c>
      <c r="D3389" s="0" t="s">
        <v>3457</v>
      </c>
      <c r="E3389" s="0" t="s">
        <v>4963</v>
      </c>
      <c r="F3389" s="0" t="s">
        <v>59</v>
      </c>
      <c r="G3389" s="0" t="s">
        <v>4974</v>
      </c>
      <c r="H3389" s="0" t="s">
        <v>69</v>
      </c>
      <c r="I3389" s="0" t="s">
        <v>4975</v>
      </c>
      <c r="J3389" s="20" t="s">
        <v>25</v>
      </c>
    </row>
    <row r="3390" customFormat="false" ht="15" hidden="false" customHeight="false" outlineLevel="0" collapsed="false">
      <c r="A3390" s="0" t="s">
        <v>2810</v>
      </c>
      <c r="B3390" s="0" t="s">
        <v>134</v>
      </c>
      <c r="C3390" s="0" t="s">
        <v>3447</v>
      </c>
      <c r="D3390" s="0" t="s">
        <v>3448</v>
      </c>
      <c r="E3390" s="0" t="s">
        <v>4963</v>
      </c>
      <c r="F3390" s="0" t="s">
        <v>59</v>
      </c>
      <c r="G3390" s="0" t="s">
        <v>4974</v>
      </c>
      <c r="H3390" s="0" t="s">
        <v>69</v>
      </c>
      <c r="I3390" s="0" t="s">
        <v>4975</v>
      </c>
      <c r="J3390" s="20" t="s">
        <v>25</v>
      </c>
    </row>
    <row r="3391" customFormat="false" ht="15" hidden="false" customHeight="false" outlineLevel="0" collapsed="false">
      <c r="A3391" s="0" t="s">
        <v>2810</v>
      </c>
      <c r="B3391" s="0" t="s">
        <v>3459</v>
      </c>
      <c r="C3391" s="0" t="s">
        <v>3450</v>
      </c>
      <c r="D3391" s="0" t="s">
        <v>3457</v>
      </c>
      <c r="E3391" s="0" t="s">
        <v>4963</v>
      </c>
      <c r="F3391" s="0" t="s">
        <v>59</v>
      </c>
      <c r="G3391" s="0" t="s">
        <v>4974</v>
      </c>
      <c r="H3391" s="0" t="s">
        <v>69</v>
      </c>
      <c r="I3391" s="0" t="s">
        <v>4975</v>
      </c>
      <c r="J3391" s="20" t="s">
        <v>25</v>
      </c>
    </row>
    <row r="3392" customFormat="false" ht="15" hidden="false" customHeight="false" outlineLevel="0" collapsed="false">
      <c r="A3392" s="0" t="s">
        <v>2810</v>
      </c>
      <c r="B3392" s="0" t="s">
        <v>3459</v>
      </c>
      <c r="C3392" s="0" t="s">
        <v>3450</v>
      </c>
      <c r="D3392" s="0" t="s">
        <v>3448</v>
      </c>
      <c r="E3392" s="0" t="s">
        <v>4963</v>
      </c>
      <c r="F3392" s="0" t="s">
        <v>59</v>
      </c>
      <c r="G3392" s="0" t="s">
        <v>4974</v>
      </c>
      <c r="H3392" s="0" t="s">
        <v>69</v>
      </c>
      <c r="I3392" s="0" t="s">
        <v>4975</v>
      </c>
      <c r="J3392" s="20" t="s">
        <v>25</v>
      </c>
    </row>
    <row r="3393" customFormat="false" ht="15" hidden="false" customHeight="false" outlineLevel="0" collapsed="false">
      <c r="A3393" s="0" t="s">
        <v>2810</v>
      </c>
      <c r="B3393" s="0" t="s">
        <v>3459</v>
      </c>
      <c r="C3393" s="0" t="s">
        <v>3450</v>
      </c>
      <c r="D3393" s="0" t="s">
        <v>3448</v>
      </c>
      <c r="E3393" s="0" t="s">
        <v>4969</v>
      </c>
      <c r="F3393" s="0" t="s">
        <v>63</v>
      </c>
      <c r="G3393" s="0" t="s">
        <v>4220</v>
      </c>
      <c r="H3393" s="0" t="s">
        <v>6105</v>
      </c>
      <c r="I3393" s="0" t="s">
        <v>4979</v>
      </c>
      <c r="J3393" s="20" t="s">
        <v>25</v>
      </c>
    </row>
    <row r="3394" customFormat="false" ht="15" hidden="false" customHeight="false" outlineLevel="0" collapsed="false">
      <c r="A3394" s="0" t="s">
        <v>2810</v>
      </c>
      <c r="B3394" s="0" t="s">
        <v>3459</v>
      </c>
      <c r="C3394" s="0" t="s">
        <v>3447</v>
      </c>
      <c r="D3394" s="0" t="s">
        <v>3448</v>
      </c>
      <c r="E3394" s="0" t="s">
        <v>4969</v>
      </c>
      <c r="F3394" s="0" t="s">
        <v>63</v>
      </c>
      <c r="G3394" s="0" t="s">
        <v>4220</v>
      </c>
      <c r="H3394" s="0" t="s">
        <v>6105</v>
      </c>
      <c r="I3394" s="0" t="s">
        <v>4979</v>
      </c>
      <c r="J3394" s="20" t="s">
        <v>25</v>
      </c>
    </row>
    <row r="3395" customFormat="false" ht="15" hidden="false" customHeight="false" outlineLevel="0" collapsed="false">
      <c r="A3395" s="0" t="s">
        <v>2810</v>
      </c>
      <c r="B3395" s="0" t="s">
        <v>134</v>
      </c>
      <c r="C3395" s="0" t="s">
        <v>3450</v>
      </c>
      <c r="D3395" s="0" t="s">
        <v>3457</v>
      </c>
      <c r="E3395" s="0" t="s">
        <v>4963</v>
      </c>
      <c r="F3395" s="0" t="s">
        <v>30</v>
      </c>
      <c r="G3395" s="0" t="s">
        <v>4980</v>
      </c>
      <c r="H3395" s="0" t="s">
        <v>4265</v>
      </c>
      <c r="I3395" s="0" t="s">
        <v>4981</v>
      </c>
      <c r="J3395" s="18" t="s">
        <v>24</v>
      </c>
    </row>
    <row r="3396" customFormat="false" ht="15" hidden="false" customHeight="false" outlineLevel="0" collapsed="false">
      <c r="A3396" s="0" t="s">
        <v>2810</v>
      </c>
      <c r="B3396" s="0" t="s">
        <v>134</v>
      </c>
      <c r="C3396" s="0" t="s">
        <v>3450</v>
      </c>
      <c r="D3396" s="0" t="s">
        <v>3448</v>
      </c>
      <c r="E3396" s="0" t="s">
        <v>4963</v>
      </c>
      <c r="F3396" s="0" t="s">
        <v>30</v>
      </c>
      <c r="G3396" s="0" t="s">
        <v>4980</v>
      </c>
      <c r="H3396" s="0" t="s">
        <v>4242</v>
      </c>
      <c r="I3396" s="0" t="s">
        <v>4981</v>
      </c>
      <c r="J3396" s="18" t="s">
        <v>24</v>
      </c>
    </row>
    <row r="3397" customFormat="false" ht="15" hidden="false" customHeight="false" outlineLevel="0" collapsed="false">
      <c r="A3397" s="0" t="s">
        <v>2810</v>
      </c>
      <c r="B3397" s="0" t="s">
        <v>134</v>
      </c>
      <c r="C3397" s="0" t="s">
        <v>3447</v>
      </c>
      <c r="D3397" s="0" t="s">
        <v>3457</v>
      </c>
      <c r="E3397" s="0" t="s">
        <v>4963</v>
      </c>
      <c r="F3397" s="0" t="s">
        <v>30</v>
      </c>
      <c r="G3397" s="0" t="s">
        <v>4980</v>
      </c>
      <c r="H3397" s="0" t="s">
        <v>4265</v>
      </c>
      <c r="I3397" s="0" t="s">
        <v>4981</v>
      </c>
      <c r="J3397" s="18" t="s">
        <v>24</v>
      </c>
    </row>
    <row r="3398" customFormat="false" ht="15" hidden="false" customHeight="false" outlineLevel="0" collapsed="false">
      <c r="A3398" s="0" t="s">
        <v>2810</v>
      </c>
      <c r="B3398" s="0" t="s">
        <v>134</v>
      </c>
      <c r="C3398" s="0" t="s">
        <v>3447</v>
      </c>
      <c r="D3398" s="0" t="s">
        <v>3448</v>
      </c>
      <c r="E3398" s="0" t="s">
        <v>4963</v>
      </c>
      <c r="F3398" s="0" t="s">
        <v>30</v>
      </c>
      <c r="G3398" s="0" t="s">
        <v>4980</v>
      </c>
      <c r="H3398" s="0" t="s">
        <v>4242</v>
      </c>
      <c r="I3398" s="0" t="s">
        <v>4981</v>
      </c>
      <c r="J3398" s="18" t="s">
        <v>24</v>
      </c>
    </row>
    <row r="3399" customFormat="false" ht="15" hidden="false" customHeight="false" outlineLevel="0" collapsed="false">
      <c r="A3399" s="0" t="s">
        <v>2810</v>
      </c>
      <c r="B3399" s="0" t="s">
        <v>3459</v>
      </c>
      <c r="C3399" s="0" t="s">
        <v>3450</v>
      </c>
      <c r="D3399" s="0" t="s">
        <v>3448</v>
      </c>
      <c r="E3399" s="0" t="s">
        <v>4963</v>
      </c>
      <c r="F3399" s="0" t="s">
        <v>30</v>
      </c>
      <c r="G3399" s="0" t="s">
        <v>4980</v>
      </c>
      <c r="H3399" s="0" t="s">
        <v>4242</v>
      </c>
      <c r="I3399" s="0" t="s">
        <v>4981</v>
      </c>
      <c r="J3399" s="18" t="s">
        <v>24</v>
      </c>
    </row>
    <row r="3400" customFormat="false" ht="15" hidden="false" customHeight="false" outlineLevel="0" collapsed="false">
      <c r="A3400" s="0" t="s">
        <v>2810</v>
      </c>
      <c r="B3400" s="0" t="s">
        <v>3459</v>
      </c>
      <c r="C3400" s="0" t="s">
        <v>3447</v>
      </c>
      <c r="D3400" s="0" t="s">
        <v>3457</v>
      </c>
      <c r="E3400" s="0" t="s">
        <v>4963</v>
      </c>
      <c r="F3400" s="0" t="s">
        <v>30</v>
      </c>
      <c r="G3400" s="0" t="s">
        <v>4980</v>
      </c>
      <c r="H3400" s="0" t="s">
        <v>4550</v>
      </c>
      <c r="I3400" s="0" t="s">
        <v>4981</v>
      </c>
      <c r="J3400" s="18" t="s">
        <v>24</v>
      </c>
    </row>
    <row r="3401" customFormat="false" ht="15" hidden="false" customHeight="false" outlineLevel="0" collapsed="false">
      <c r="A3401" s="0" t="s">
        <v>2810</v>
      </c>
      <c r="B3401" s="0" t="s">
        <v>3459</v>
      </c>
      <c r="C3401" s="0" t="s">
        <v>3447</v>
      </c>
      <c r="D3401" s="0" t="s">
        <v>3448</v>
      </c>
      <c r="E3401" s="0" t="s">
        <v>4963</v>
      </c>
      <c r="F3401" s="0" t="s">
        <v>30</v>
      </c>
      <c r="G3401" s="0" t="s">
        <v>4980</v>
      </c>
      <c r="H3401" s="0" t="s">
        <v>4853</v>
      </c>
      <c r="I3401" s="0" t="s">
        <v>4981</v>
      </c>
      <c r="J3401" s="18" t="s">
        <v>24</v>
      </c>
    </row>
    <row r="3402" customFormat="false" ht="15" hidden="false" customHeight="false" outlineLevel="0" collapsed="false">
      <c r="A3402" s="0" t="s">
        <v>2816</v>
      </c>
      <c r="B3402" s="0" t="s">
        <v>134</v>
      </c>
      <c r="C3402" s="0" t="s">
        <v>3447</v>
      </c>
      <c r="D3402" s="0" t="s">
        <v>3448</v>
      </c>
      <c r="E3402" s="0" t="s">
        <v>4963</v>
      </c>
      <c r="F3402" s="0" t="s">
        <v>60</v>
      </c>
      <c r="G3402" s="0" t="s">
        <v>4964</v>
      </c>
      <c r="H3402" s="0" t="s">
        <v>6106</v>
      </c>
      <c r="I3402" s="0" t="s">
        <v>4966</v>
      </c>
      <c r="J3402" s="19" t="s">
        <v>26</v>
      </c>
    </row>
    <row r="3403" customFormat="false" ht="15" hidden="false" customHeight="false" outlineLevel="0" collapsed="false">
      <c r="A3403" s="0" t="s">
        <v>2816</v>
      </c>
      <c r="B3403" s="0" t="s">
        <v>134</v>
      </c>
      <c r="C3403" s="0" t="s">
        <v>3450</v>
      </c>
      <c r="D3403" s="0" t="s">
        <v>3457</v>
      </c>
      <c r="E3403" s="0" t="s">
        <v>4963</v>
      </c>
      <c r="F3403" s="0" t="s">
        <v>59</v>
      </c>
      <c r="G3403" s="0" t="s">
        <v>4974</v>
      </c>
      <c r="H3403" s="0" t="s">
        <v>69</v>
      </c>
      <c r="I3403" s="0" t="s">
        <v>4975</v>
      </c>
      <c r="J3403" s="20" t="s">
        <v>25</v>
      </c>
    </row>
    <row r="3404" customFormat="false" ht="15" hidden="false" customHeight="false" outlineLevel="0" collapsed="false">
      <c r="A3404" s="0" t="s">
        <v>2816</v>
      </c>
      <c r="B3404" s="0" t="s">
        <v>134</v>
      </c>
      <c r="C3404" s="0" t="s">
        <v>3450</v>
      </c>
      <c r="D3404" s="0" t="s">
        <v>3457</v>
      </c>
      <c r="E3404" s="0" t="s">
        <v>4969</v>
      </c>
      <c r="F3404" s="0" t="s">
        <v>63</v>
      </c>
      <c r="G3404" s="0" t="s">
        <v>4220</v>
      </c>
      <c r="H3404" s="0" t="s">
        <v>6107</v>
      </c>
      <c r="I3404" s="0" t="s">
        <v>4979</v>
      </c>
      <c r="J3404" s="20" t="s">
        <v>25</v>
      </c>
    </row>
    <row r="3405" customFormat="false" ht="15" hidden="false" customHeight="false" outlineLevel="0" collapsed="false">
      <c r="A3405" s="0" t="s">
        <v>2816</v>
      </c>
      <c r="B3405" s="0" t="s">
        <v>134</v>
      </c>
      <c r="C3405" s="0" t="s">
        <v>3450</v>
      </c>
      <c r="D3405" s="0" t="s">
        <v>3448</v>
      </c>
      <c r="E3405" s="0" t="s">
        <v>4963</v>
      </c>
      <c r="F3405" s="0" t="s">
        <v>59</v>
      </c>
      <c r="G3405" s="0" t="s">
        <v>4974</v>
      </c>
      <c r="H3405" s="0" t="s">
        <v>69</v>
      </c>
      <c r="I3405" s="0" t="s">
        <v>4975</v>
      </c>
      <c r="J3405" s="20" t="s">
        <v>25</v>
      </c>
    </row>
    <row r="3406" customFormat="false" ht="15" hidden="false" customHeight="false" outlineLevel="0" collapsed="false">
      <c r="A3406" s="0" t="s">
        <v>2816</v>
      </c>
      <c r="B3406" s="0" t="s">
        <v>134</v>
      </c>
      <c r="C3406" s="0" t="s">
        <v>3447</v>
      </c>
      <c r="D3406" s="0" t="s">
        <v>3457</v>
      </c>
      <c r="E3406" s="0" t="s">
        <v>4963</v>
      </c>
      <c r="F3406" s="0" t="s">
        <v>59</v>
      </c>
      <c r="G3406" s="0" t="s">
        <v>4974</v>
      </c>
      <c r="H3406" s="0" t="s">
        <v>69</v>
      </c>
      <c r="I3406" s="0" t="s">
        <v>4975</v>
      </c>
      <c r="J3406" s="20" t="s">
        <v>25</v>
      </c>
    </row>
    <row r="3407" customFormat="false" ht="15" hidden="false" customHeight="false" outlineLevel="0" collapsed="false">
      <c r="A3407" s="0" t="s">
        <v>2816</v>
      </c>
      <c r="B3407" s="0" t="s">
        <v>134</v>
      </c>
      <c r="C3407" s="0" t="s">
        <v>3447</v>
      </c>
      <c r="D3407" s="0" t="s">
        <v>3457</v>
      </c>
      <c r="E3407" s="0" t="s">
        <v>4969</v>
      </c>
      <c r="F3407" s="0" t="s">
        <v>63</v>
      </c>
      <c r="G3407" s="0" t="s">
        <v>4220</v>
      </c>
      <c r="H3407" s="0" t="s">
        <v>6107</v>
      </c>
      <c r="I3407" s="0" t="s">
        <v>4979</v>
      </c>
      <c r="J3407" s="20" t="s">
        <v>25</v>
      </c>
    </row>
    <row r="3408" customFormat="false" ht="15" hidden="false" customHeight="false" outlineLevel="0" collapsed="false">
      <c r="A3408" s="0" t="s">
        <v>2816</v>
      </c>
      <c r="B3408" s="0" t="s">
        <v>134</v>
      </c>
      <c r="C3408" s="0" t="s">
        <v>3450</v>
      </c>
      <c r="D3408" s="0" t="s">
        <v>3457</v>
      </c>
      <c r="E3408" s="0" t="s">
        <v>4963</v>
      </c>
      <c r="F3408" s="0" t="s">
        <v>30</v>
      </c>
      <c r="G3408" s="0" t="s">
        <v>4980</v>
      </c>
      <c r="H3408" s="0" t="s">
        <v>4265</v>
      </c>
      <c r="I3408" s="0" t="s">
        <v>4981</v>
      </c>
      <c r="J3408" s="18" t="s">
        <v>24</v>
      </c>
    </row>
    <row r="3409" customFormat="false" ht="15" hidden="false" customHeight="false" outlineLevel="0" collapsed="false">
      <c r="A3409" s="0" t="s">
        <v>2816</v>
      </c>
      <c r="B3409" s="0" t="s">
        <v>134</v>
      </c>
      <c r="C3409" s="0" t="s">
        <v>3450</v>
      </c>
      <c r="D3409" s="0" t="s">
        <v>3448</v>
      </c>
      <c r="E3409" s="0" t="s">
        <v>4963</v>
      </c>
      <c r="F3409" s="0" t="s">
        <v>30</v>
      </c>
      <c r="G3409" s="0" t="s">
        <v>4980</v>
      </c>
      <c r="H3409" s="0" t="s">
        <v>4265</v>
      </c>
      <c r="I3409" s="0" t="s">
        <v>4981</v>
      </c>
      <c r="J3409" s="18" t="s">
        <v>24</v>
      </c>
    </row>
    <row r="3410" customFormat="false" ht="15" hidden="false" customHeight="false" outlineLevel="0" collapsed="false">
      <c r="A3410" s="0" t="s">
        <v>2816</v>
      </c>
      <c r="B3410" s="0" t="s">
        <v>134</v>
      </c>
      <c r="C3410" s="0" t="s">
        <v>3447</v>
      </c>
      <c r="D3410" s="0" t="s">
        <v>3457</v>
      </c>
      <c r="E3410" s="0" t="s">
        <v>4963</v>
      </c>
      <c r="F3410" s="0" t="s">
        <v>30</v>
      </c>
      <c r="G3410" s="0" t="s">
        <v>4980</v>
      </c>
      <c r="H3410" s="0" t="s">
        <v>4242</v>
      </c>
      <c r="I3410" s="0" t="s">
        <v>4981</v>
      </c>
      <c r="J3410" s="18" t="s">
        <v>24</v>
      </c>
    </row>
    <row r="3411" customFormat="false" ht="15" hidden="false" customHeight="false" outlineLevel="0" collapsed="false">
      <c r="A3411" s="0" t="s">
        <v>2822</v>
      </c>
      <c r="B3411" s="0" t="s">
        <v>3459</v>
      </c>
      <c r="C3411" s="0" t="s">
        <v>3450</v>
      </c>
      <c r="D3411" s="0" t="s">
        <v>3448</v>
      </c>
      <c r="E3411" s="0" t="s">
        <v>4963</v>
      </c>
      <c r="F3411" s="0" t="s">
        <v>60</v>
      </c>
      <c r="G3411" s="0" t="s">
        <v>4964</v>
      </c>
      <c r="H3411" s="0" t="s">
        <v>6108</v>
      </c>
      <c r="I3411" s="0" t="s">
        <v>4966</v>
      </c>
      <c r="J3411" s="19" t="s">
        <v>26</v>
      </c>
    </row>
    <row r="3412" customFormat="false" ht="15" hidden="false" customHeight="false" outlineLevel="0" collapsed="false">
      <c r="A3412" s="0" t="s">
        <v>2822</v>
      </c>
      <c r="B3412" s="0" t="s">
        <v>3459</v>
      </c>
      <c r="C3412" s="0" t="s">
        <v>3447</v>
      </c>
      <c r="D3412" s="0" t="s">
        <v>3448</v>
      </c>
      <c r="E3412" s="0" t="s">
        <v>4963</v>
      </c>
      <c r="F3412" s="0" t="s">
        <v>60</v>
      </c>
      <c r="G3412" s="0" t="s">
        <v>4964</v>
      </c>
      <c r="H3412" s="0" t="s">
        <v>6109</v>
      </c>
      <c r="I3412" s="0" t="s">
        <v>4966</v>
      </c>
      <c r="J3412" s="19" t="s">
        <v>26</v>
      </c>
    </row>
    <row r="3413" customFormat="false" ht="15" hidden="false" customHeight="false" outlineLevel="0" collapsed="false">
      <c r="A3413" s="0" t="s">
        <v>2822</v>
      </c>
      <c r="B3413" s="0" t="s">
        <v>134</v>
      </c>
      <c r="C3413" s="0" t="s">
        <v>3450</v>
      </c>
      <c r="D3413" s="0" t="s">
        <v>3448</v>
      </c>
      <c r="E3413" s="0" t="s">
        <v>4963</v>
      </c>
      <c r="F3413" s="0" t="s">
        <v>59</v>
      </c>
      <c r="G3413" s="0" t="s">
        <v>4974</v>
      </c>
      <c r="H3413" s="0" t="s">
        <v>69</v>
      </c>
      <c r="I3413" s="0" t="s">
        <v>4975</v>
      </c>
      <c r="J3413" s="20" t="s">
        <v>25</v>
      </c>
    </row>
    <row r="3414" customFormat="false" ht="15" hidden="false" customHeight="false" outlineLevel="0" collapsed="false">
      <c r="A3414" s="0" t="s">
        <v>2822</v>
      </c>
      <c r="B3414" s="0" t="s">
        <v>3459</v>
      </c>
      <c r="C3414" s="0" t="s">
        <v>3450</v>
      </c>
      <c r="D3414" s="0" t="s">
        <v>3448</v>
      </c>
      <c r="E3414" s="0" t="s">
        <v>4963</v>
      </c>
      <c r="F3414" s="0" t="s">
        <v>59</v>
      </c>
      <c r="G3414" s="0" t="s">
        <v>4974</v>
      </c>
      <c r="H3414" s="0" t="s">
        <v>69</v>
      </c>
      <c r="I3414" s="0" t="s">
        <v>4975</v>
      </c>
      <c r="J3414" s="20" t="s">
        <v>25</v>
      </c>
    </row>
    <row r="3415" customFormat="false" ht="15" hidden="false" customHeight="false" outlineLevel="0" collapsed="false">
      <c r="A3415" s="0" t="s">
        <v>2822</v>
      </c>
      <c r="B3415" s="0" t="s">
        <v>134</v>
      </c>
      <c r="C3415" s="0" t="s">
        <v>3450</v>
      </c>
      <c r="D3415" s="0" t="s">
        <v>3448</v>
      </c>
      <c r="E3415" s="0" t="s">
        <v>4963</v>
      </c>
      <c r="F3415" s="0" t="s">
        <v>30</v>
      </c>
      <c r="G3415" s="0" t="s">
        <v>4980</v>
      </c>
      <c r="H3415" s="0" t="s">
        <v>4275</v>
      </c>
      <c r="I3415" s="0" t="s">
        <v>4981</v>
      </c>
      <c r="J3415" s="18" t="s">
        <v>24</v>
      </c>
    </row>
    <row r="3416" customFormat="false" ht="15" hidden="false" customHeight="false" outlineLevel="0" collapsed="false">
      <c r="A3416" s="0" t="s">
        <v>2822</v>
      </c>
      <c r="B3416" s="0" t="s">
        <v>134</v>
      </c>
      <c r="C3416" s="0" t="s">
        <v>3447</v>
      </c>
      <c r="D3416" s="0" t="s">
        <v>3457</v>
      </c>
      <c r="E3416" s="0" t="s">
        <v>4963</v>
      </c>
      <c r="F3416" s="0" t="s">
        <v>30</v>
      </c>
      <c r="G3416" s="0" t="s">
        <v>4980</v>
      </c>
      <c r="H3416" s="0" t="s">
        <v>4855</v>
      </c>
      <c r="I3416" s="0" t="s">
        <v>4981</v>
      </c>
      <c r="J3416" s="18" t="s">
        <v>24</v>
      </c>
    </row>
    <row r="3417" customFormat="false" ht="15" hidden="false" customHeight="false" outlineLevel="0" collapsed="false">
      <c r="A3417" s="0" t="s">
        <v>2822</v>
      </c>
      <c r="B3417" s="0" t="s">
        <v>134</v>
      </c>
      <c r="C3417" s="0" t="s">
        <v>3447</v>
      </c>
      <c r="D3417" s="0" t="s">
        <v>3448</v>
      </c>
      <c r="E3417" s="0" t="s">
        <v>4963</v>
      </c>
      <c r="F3417" s="0" t="s">
        <v>30</v>
      </c>
      <c r="G3417" s="0" t="s">
        <v>4980</v>
      </c>
      <c r="H3417" s="0" t="s">
        <v>4653</v>
      </c>
      <c r="I3417" s="0" t="s">
        <v>4981</v>
      </c>
      <c r="J3417" s="18" t="s">
        <v>24</v>
      </c>
    </row>
    <row r="3418" customFormat="false" ht="15" hidden="false" customHeight="false" outlineLevel="0" collapsed="false">
      <c r="A3418" s="0" t="s">
        <v>2822</v>
      </c>
      <c r="B3418" s="0" t="s">
        <v>3459</v>
      </c>
      <c r="C3418" s="0" t="s">
        <v>3447</v>
      </c>
      <c r="D3418" s="0" t="s">
        <v>3457</v>
      </c>
      <c r="E3418" s="0" t="s">
        <v>4963</v>
      </c>
      <c r="F3418" s="0" t="s">
        <v>30</v>
      </c>
      <c r="G3418" s="0" t="s">
        <v>4980</v>
      </c>
      <c r="H3418" s="0" t="s">
        <v>4857</v>
      </c>
      <c r="I3418" s="0" t="s">
        <v>4981</v>
      </c>
      <c r="J3418" s="18" t="s">
        <v>24</v>
      </c>
    </row>
    <row r="3419" customFormat="false" ht="15" hidden="false" customHeight="false" outlineLevel="0" collapsed="false">
      <c r="A3419" s="0" t="s">
        <v>2836</v>
      </c>
      <c r="B3419" s="0" t="s">
        <v>134</v>
      </c>
      <c r="C3419" s="0" t="s">
        <v>3447</v>
      </c>
      <c r="D3419" s="0" t="s">
        <v>3448</v>
      </c>
      <c r="E3419" s="0" t="s">
        <v>4963</v>
      </c>
      <c r="F3419" s="0" t="s">
        <v>60</v>
      </c>
      <c r="G3419" s="0" t="s">
        <v>4964</v>
      </c>
      <c r="H3419" s="0" t="s">
        <v>5204</v>
      </c>
      <c r="I3419" s="0" t="s">
        <v>4966</v>
      </c>
      <c r="J3419" s="19" t="s">
        <v>26</v>
      </c>
    </row>
    <row r="3420" customFormat="false" ht="15" hidden="false" customHeight="false" outlineLevel="0" collapsed="false">
      <c r="A3420" s="0" t="s">
        <v>2836</v>
      </c>
      <c r="B3420" s="0" t="s">
        <v>134</v>
      </c>
      <c r="C3420" s="0" t="s">
        <v>3450</v>
      </c>
      <c r="D3420" s="0" t="s">
        <v>3457</v>
      </c>
      <c r="E3420" s="0" t="s">
        <v>4969</v>
      </c>
      <c r="F3420" s="0" t="s">
        <v>61</v>
      </c>
      <c r="G3420" s="0" t="s">
        <v>4970</v>
      </c>
      <c r="H3420" s="0" t="s">
        <v>6110</v>
      </c>
      <c r="I3420" s="0" t="s">
        <v>4972</v>
      </c>
      <c r="J3420" s="20" t="s">
        <v>25</v>
      </c>
    </row>
    <row r="3421" customFormat="false" ht="15" hidden="false" customHeight="false" outlineLevel="0" collapsed="false">
      <c r="A3421" s="0" t="s">
        <v>2836</v>
      </c>
      <c r="B3421" s="0" t="s">
        <v>134</v>
      </c>
      <c r="C3421" s="0" t="s">
        <v>3447</v>
      </c>
      <c r="D3421" s="0" t="s">
        <v>3457</v>
      </c>
      <c r="E3421" s="0" t="s">
        <v>4963</v>
      </c>
      <c r="F3421" s="0" t="s">
        <v>59</v>
      </c>
      <c r="G3421" s="0" t="s">
        <v>4974</v>
      </c>
      <c r="H3421" s="0" t="s">
        <v>69</v>
      </c>
      <c r="I3421" s="0" t="s">
        <v>4975</v>
      </c>
      <c r="J3421" s="20" t="s">
        <v>25</v>
      </c>
    </row>
    <row r="3422" customFormat="false" ht="15" hidden="false" customHeight="false" outlineLevel="0" collapsed="false">
      <c r="A3422" s="0" t="s">
        <v>2836</v>
      </c>
      <c r="B3422" s="0" t="s">
        <v>134</v>
      </c>
      <c r="C3422" s="0" t="s">
        <v>3447</v>
      </c>
      <c r="D3422" s="0" t="s">
        <v>3457</v>
      </c>
      <c r="E3422" s="0" t="s">
        <v>4969</v>
      </c>
      <c r="F3422" s="0" t="s">
        <v>61</v>
      </c>
      <c r="G3422" s="0" t="s">
        <v>4970</v>
      </c>
      <c r="H3422" s="0" t="s">
        <v>6111</v>
      </c>
      <c r="I3422" s="0" t="s">
        <v>4972</v>
      </c>
      <c r="J3422" s="20" t="s">
        <v>25</v>
      </c>
    </row>
    <row r="3423" customFormat="false" ht="15" hidden="false" customHeight="false" outlineLevel="0" collapsed="false">
      <c r="A3423" s="0" t="s">
        <v>2836</v>
      </c>
      <c r="B3423" s="0" t="s">
        <v>134</v>
      </c>
      <c r="C3423" s="0" t="s">
        <v>3447</v>
      </c>
      <c r="D3423" s="0" t="s">
        <v>3448</v>
      </c>
      <c r="E3423" s="0" t="s">
        <v>4963</v>
      </c>
      <c r="F3423" s="0" t="s">
        <v>59</v>
      </c>
      <c r="G3423" s="0" t="s">
        <v>4974</v>
      </c>
      <c r="H3423" s="0" t="s">
        <v>69</v>
      </c>
      <c r="I3423" s="0" t="s">
        <v>4975</v>
      </c>
      <c r="J3423" s="20" t="s">
        <v>25</v>
      </c>
    </row>
    <row r="3424" customFormat="false" ht="15" hidden="false" customHeight="false" outlineLevel="0" collapsed="false">
      <c r="A3424" s="0" t="s">
        <v>2836</v>
      </c>
      <c r="B3424" s="0" t="s">
        <v>134</v>
      </c>
      <c r="C3424" s="0" t="s">
        <v>3447</v>
      </c>
      <c r="D3424" s="0" t="s">
        <v>3457</v>
      </c>
      <c r="E3424" s="0" t="s">
        <v>4963</v>
      </c>
      <c r="F3424" s="0" t="s">
        <v>30</v>
      </c>
      <c r="G3424" s="0" t="s">
        <v>4980</v>
      </c>
      <c r="H3424" s="0" t="s">
        <v>4265</v>
      </c>
      <c r="I3424" s="0" t="s">
        <v>4981</v>
      </c>
      <c r="J3424" s="18" t="s">
        <v>24</v>
      </c>
    </row>
    <row r="3425" customFormat="false" ht="15" hidden="false" customHeight="false" outlineLevel="0" collapsed="false">
      <c r="A3425" s="0" t="s">
        <v>2848</v>
      </c>
      <c r="B3425" s="0" t="s">
        <v>134</v>
      </c>
      <c r="C3425" s="0" t="s">
        <v>3447</v>
      </c>
      <c r="D3425" s="0" t="s">
        <v>3457</v>
      </c>
      <c r="E3425" s="0" t="s">
        <v>4963</v>
      </c>
      <c r="F3425" s="0" t="s">
        <v>60</v>
      </c>
      <c r="G3425" s="0" t="s">
        <v>4964</v>
      </c>
      <c r="H3425" s="0" t="s">
        <v>6112</v>
      </c>
      <c r="I3425" s="0" t="s">
        <v>4966</v>
      </c>
      <c r="J3425" s="19" t="s">
        <v>26</v>
      </c>
    </row>
    <row r="3426" customFormat="false" ht="15" hidden="false" customHeight="false" outlineLevel="0" collapsed="false">
      <c r="A3426" s="0" t="s">
        <v>2848</v>
      </c>
      <c r="B3426" s="0" t="s">
        <v>134</v>
      </c>
      <c r="C3426" s="0" t="s">
        <v>3450</v>
      </c>
      <c r="D3426" s="0" t="s">
        <v>3457</v>
      </c>
      <c r="E3426" s="0" t="s">
        <v>4963</v>
      </c>
      <c r="F3426" s="0" t="s">
        <v>59</v>
      </c>
      <c r="G3426" s="0" t="s">
        <v>4974</v>
      </c>
      <c r="H3426" s="0" t="s">
        <v>69</v>
      </c>
      <c r="I3426" s="0" t="s">
        <v>4975</v>
      </c>
      <c r="J3426" s="20" t="s">
        <v>25</v>
      </c>
    </row>
    <row r="3427" customFormat="false" ht="15" hidden="false" customHeight="false" outlineLevel="0" collapsed="false">
      <c r="A3427" s="0" t="s">
        <v>2848</v>
      </c>
      <c r="B3427" s="0" t="s">
        <v>134</v>
      </c>
      <c r="C3427" s="0" t="s">
        <v>3450</v>
      </c>
      <c r="D3427" s="0" t="s">
        <v>3448</v>
      </c>
      <c r="E3427" s="0" t="s">
        <v>4963</v>
      </c>
      <c r="F3427" s="0" t="s">
        <v>59</v>
      </c>
      <c r="G3427" s="0" t="s">
        <v>4974</v>
      </c>
      <c r="H3427" s="0" t="s">
        <v>69</v>
      </c>
      <c r="I3427" s="0" t="s">
        <v>4975</v>
      </c>
      <c r="J3427" s="20" t="s">
        <v>25</v>
      </c>
    </row>
    <row r="3428" customFormat="false" ht="15" hidden="false" customHeight="false" outlineLevel="0" collapsed="false">
      <c r="A3428" s="0" t="s">
        <v>2848</v>
      </c>
      <c r="B3428" s="0" t="s">
        <v>134</v>
      </c>
      <c r="C3428" s="0" t="s">
        <v>3450</v>
      </c>
      <c r="D3428" s="0" t="s">
        <v>3457</v>
      </c>
      <c r="E3428" s="0" t="s">
        <v>4963</v>
      </c>
      <c r="F3428" s="0" t="s">
        <v>30</v>
      </c>
      <c r="G3428" s="0" t="s">
        <v>4980</v>
      </c>
      <c r="H3428" s="0" t="s">
        <v>4860</v>
      </c>
      <c r="I3428" s="0" t="s">
        <v>4981</v>
      </c>
      <c r="J3428" s="18" t="s">
        <v>24</v>
      </c>
    </row>
    <row r="3429" customFormat="false" ht="15" hidden="false" customHeight="false" outlineLevel="0" collapsed="false">
      <c r="A3429" s="0" t="s">
        <v>2848</v>
      </c>
      <c r="B3429" s="0" t="s">
        <v>134</v>
      </c>
      <c r="C3429" s="0" t="s">
        <v>3450</v>
      </c>
      <c r="D3429" s="0" t="s">
        <v>3448</v>
      </c>
      <c r="E3429" s="0" t="s">
        <v>4963</v>
      </c>
      <c r="F3429" s="0" t="s">
        <v>30</v>
      </c>
      <c r="G3429" s="0" t="s">
        <v>4980</v>
      </c>
      <c r="H3429" s="0" t="s">
        <v>4861</v>
      </c>
      <c r="I3429" s="0" t="s">
        <v>4981</v>
      </c>
      <c r="J3429" s="18" t="s">
        <v>24</v>
      </c>
    </row>
    <row r="3430" customFormat="false" ht="15" hidden="false" customHeight="false" outlineLevel="0" collapsed="false">
      <c r="A3430" s="0" t="s">
        <v>2848</v>
      </c>
      <c r="B3430" s="0" t="s">
        <v>134</v>
      </c>
      <c r="C3430" s="0" t="s">
        <v>3447</v>
      </c>
      <c r="D3430" s="0" t="s">
        <v>3448</v>
      </c>
      <c r="E3430" s="0" t="s">
        <v>4963</v>
      </c>
      <c r="F3430" s="0" t="s">
        <v>30</v>
      </c>
      <c r="G3430" s="0" t="s">
        <v>4980</v>
      </c>
      <c r="H3430" s="0" t="s">
        <v>4664</v>
      </c>
      <c r="I3430" s="0" t="s">
        <v>4981</v>
      </c>
      <c r="J3430" s="18" t="s">
        <v>24</v>
      </c>
    </row>
    <row r="3431" customFormat="false" ht="15" hidden="false" customHeight="false" outlineLevel="0" collapsed="false">
      <c r="A3431" s="0" t="s">
        <v>2854</v>
      </c>
      <c r="B3431" s="0" t="s">
        <v>134</v>
      </c>
      <c r="C3431" s="0" t="s">
        <v>3450</v>
      </c>
      <c r="D3431" s="0" t="s">
        <v>3457</v>
      </c>
      <c r="E3431" s="0" t="s">
        <v>4963</v>
      </c>
      <c r="F3431" s="0" t="s">
        <v>59</v>
      </c>
      <c r="G3431" s="0" t="s">
        <v>4974</v>
      </c>
      <c r="H3431" s="0" t="s">
        <v>69</v>
      </c>
      <c r="I3431" s="0" t="s">
        <v>4975</v>
      </c>
      <c r="J3431" s="20" t="s">
        <v>25</v>
      </c>
    </row>
    <row r="3432" customFormat="false" ht="15" hidden="false" customHeight="false" outlineLevel="0" collapsed="false">
      <c r="A3432" s="0" t="s">
        <v>2854</v>
      </c>
      <c r="B3432" s="0" t="s">
        <v>134</v>
      </c>
      <c r="C3432" s="0" t="s">
        <v>3450</v>
      </c>
      <c r="D3432" s="0" t="s">
        <v>3448</v>
      </c>
      <c r="E3432" s="0" t="s">
        <v>4963</v>
      </c>
      <c r="F3432" s="0" t="s">
        <v>59</v>
      </c>
      <c r="G3432" s="0" t="s">
        <v>4974</v>
      </c>
      <c r="H3432" s="0" t="s">
        <v>69</v>
      </c>
      <c r="I3432" s="0" t="s">
        <v>4975</v>
      </c>
      <c r="J3432" s="20" t="s">
        <v>25</v>
      </c>
    </row>
    <row r="3433" customFormat="false" ht="15" hidden="false" customHeight="false" outlineLevel="0" collapsed="false">
      <c r="A3433" s="0" t="s">
        <v>2854</v>
      </c>
      <c r="B3433" s="0" t="s">
        <v>3459</v>
      </c>
      <c r="C3433" s="0" t="s">
        <v>3450</v>
      </c>
      <c r="D3433" s="0" t="s">
        <v>3457</v>
      </c>
      <c r="E3433" s="0" t="s">
        <v>4963</v>
      </c>
      <c r="F3433" s="0" t="s">
        <v>59</v>
      </c>
      <c r="G3433" s="0" t="s">
        <v>4974</v>
      </c>
      <c r="H3433" s="0" t="s">
        <v>69</v>
      </c>
      <c r="I3433" s="0" t="s">
        <v>4975</v>
      </c>
      <c r="J3433" s="20" t="s">
        <v>25</v>
      </c>
    </row>
    <row r="3434" customFormat="false" ht="15" hidden="false" customHeight="false" outlineLevel="0" collapsed="false">
      <c r="A3434" s="0" t="s">
        <v>2854</v>
      </c>
      <c r="B3434" s="0" t="s">
        <v>3459</v>
      </c>
      <c r="C3434" s="0" t="s">
        <v>3450</v>
      </c>
      <c r="D3434" s="0" t="s">
        <v>3457</v>
      </c>
      <c r="E3434" s="0" t="s">
        <v>4969</v>
      </c>
      <c r="F3434" s="0" t="s">
        <v>61</v>
      </c>
      <c r="G3434" s="0" t="s">
        <v>4970</v>
      </c>
      <c r="H3434" s="0" t="s">
        <v>6113</v>
      </c>
      <c r="I3434" s="0" t="s">
        <v>4972</v>
      </c>
      <c r="J3434" s="20" t="s">
        <v>25</v>
      </c>
    </row>
    <row r="3435" customFormat="false" ht="15" hidden="false" customHeight="false" outlineLevel="0" collapsed="false">
      <c r="A3435" s="0" t="s">
        <v>2854</v>
      </c>
      <c r="B3435" s="0" t="s">
        <v>3459</v>
      </c>
      <c r="C3435" s="0" t="s">
        <v>3450</v>
      </c>
      <c r="D3435" s="0" t="s">
        <v>3448</v>
      </c>
      <c r="E3435" s="0" t="s">
        <v>4963</v>
      </c>
      <c r="F3435" s="0" t="s">
        <v>59</v>
      </c>
      <c r="G3435" s="0" t="s">
        <v>4974</v>
      </c>
      <c r="H3435" s="0" t="s">
        <v>69</v>
      </c>
      <c r="I3435" s="0" t="s">
        <v>4975</v>
      </c>
      <c r="J3435" s="20" t="s">
        <v>25</v>
      </c>
    </row>
    <row r="3436" customFormat="false" ht="15" hidden="false" customHeight="false" outlineLevel="0" collapsed="false">
      <c r="A3436" s="0" t="s">
        <v>2854</v>
      </c>
      <c r="B3436" s="0" t="s">
        <v>3459</v>
      </c>
      <c r="C3436" s="0" t="s">
        <v>3450</v>
      </c>
      <c r="D3436" s="0" t="s">
        <v>3448</v>
      </c>
      <c r="E3436" s="0" t="s">
        <v>4969</v>
      </c>
      <c r="F3436" s="0" t="s">
        <v>61</v>
      </c>
      <c r="G3436" s="0" t="s">
        <v>4970</v>
      </c>
      <c r="H3436" s="0" t="s">
        <v>6114</v>
      </c>
      <c r="I3436" s="0" t="s">
        <v>4972</v>
      </c>
      <c r="J3436" s="20" t="s">
        <v>25</v>
      </c>
    </row>
    <row r="3437" customFormat="false" ht="15" hidden="false" customHeight="false" outlineLevel="0" collapsed="false">
      <c r="A3437" s="0" t="s">
        <v>2854</v>
      </c>
      <c r="B3437" s="0" t="s">
        <v>3459</v>
      </c>
      <c r="C3437" s="0" t="s">
        <v>3447</v>
      </c>
      <c r="D3437" s="0" t="s">
        <v>3457</v>
      </c>
      <c r="E3437" s="0" t="s">
        <v>4969</v>
      </c>
      <c r="F3437" s="0" t="s">
        <v>61</v>
      </c>
      <c r="G3437" s="0" t="s">
        <v>4970</v>
      </c>
      <c r="H3437" s="0" t="s">
        <v>6115</v>
      </c>
      <c r="I3437" s="0" t="s">
        <v>4972</v>
      </c>
      <c r="J3437" s="20" t="s">
        <v>25</v>
      </c>
    </row>
    <row r="3438" customFormat="false" ht="15" hidden="false" customHeight="false" outlineLevel="0" collapsed="false">
      <c r="A3438" s="0" t="s">
        <v>2854</v>
      </c>
      <c r="B3438" s="0" t="s">
        <v>134</v>
      </c>
      <c r="C3438" s="0" t="s">
        <v>3450</v>
      </c>
      <c r="D3438" s="0" t="s">
        <v>3457</v>
      </c>
      <c r="E3438" s="0" t="s">
        <v>4963</v>
      </c>
      <c r="F3438" s="0" t="s">
        <v>30</v>
      </c>
      <c r="G3438" s="0" t="s">
        <v>4980</v>
      </c>
      <c r="H3438" s="0" t="s">
        <v>4275</v>
      </c>
      <c r="I3438" s="0" t="s">
        <v>4981</v>
      </c>
      <c r="J3438" s="18" t="s">
        <v>24</v>
      </c>
    </row>
    <row r="3439" customFormat="false" ht="15" hidden="false" customHeight="false" outlineLevel="0" collapsed="false">
      <c r="A3439" s="0" t="s">
        <v>2854</v>
      </c>
      <c r="B3439" s="0" t="s">
        <v>134</v>
      </c>
      <c r="C3439" s="0" t="s">
        <v>3450</v>
      </c>
      <c r="D3439" s="0" t="s">
        <v>3448</v>
      </c>
      <c r="E3439" s="0" t="s">
        <v>4963</v>
      </c>
      <c r="F3439" s="0" t="s">
        <v>30</v>
      </c>
      <c r="G3439" s="0" t="s">
        <v>4980</v>
      </c>
      <c r="H3439" s="0" t="s">
        <v>4275</v>
      </c>
      <c r="I3439" s="0" t="s">
        <v>4981</v>
      </c>
      <c r="J3439" s="18" t="s">
        <v>24</v>
      </c>
    </row>
    <row r="3440" customFormat="false" ht="15" hidden="false" customHeight="false" outlineLevel="0" collapsed="false">
      <c r="A3440" s="0" t="s">
        <v>2854</v>
      </c>
      <c r="B3440" s="0" t="s">
        <v>134</v>
      </c>
      <c r="C3440" s="0" t="s">
        <v>3447</v>
      </c>
      <c r="D3440" s="0" t="s">
        <v>3457</v>
      </c>
      <c r="E3440" s="0" t="s">
        <v>4963</v>
      </c>
      <c r="F3440" s="0" t="s">
        <v>30</v>
      </c>
      <c r="G3440" s="0" t="s">
        <v>4980</v>
      </c>
      <c r="H3440" s="0" t="s">
        <v>4863</v>
      </c>
      <c r="I3440" s="0" t="s">
        <v>4981</v>
      </c>
      <c r="J3440" s="18" t="s">
        <v>24</v>
      </c>
    </row>
    <row r="3441" customFormat="false" ht="15" hidden="false" customHeight="false" outlineLevel="0" collapsed="false">
      <c r="A3441" s="0" t="s">
        <v>2854</v>
      </c>
      <c r="B3441" s="0" t="s">
        <v>134</v>
      </c>
      <c r="C3441" s="0" t="s">
        <v>3447</v>
      </c>
      <c r="D3441" s="0" t="s">
        <v>3448</v>
      </c>
      <c r="E3441" s="0" t="s">
        <v>4963</v>
      </c>
      <c r="F3441" s="0" t="s">
        <v>30</v>
      </c>
      <c r="G3441" s="0" t="s">
        <v>4980</v>
      </c>
      <c r="H3441" s="0" t="s">
        <v>4864</v>
      </c>
      <c r="I3441" s="0" t="s">
        <v>4981</v>
      </c>
      <c r="J3441" s="18" t="s">
        <v>24</v>
      </c>
    </row>
    <row r="3442" customFormat="false" ht="15" hidden="false" customHeight="false" outlineLevel="0" collapsed="false">
      <c r="A3442" s="0" t="s">
        <v>2854</v>
      </c>
      <c r="B3442" s="0" t="s">
        <v>3459</v>
      </c>
      <c r="C3442" s="0" t="s">
        <v>3450</v>
      </c>
      <c r="D3442" s="0" t="s">
        <v>3457</v>
      </c>
      <c r="E3442" s="0" t="s">
        <v>4963</v>
      </c>
      <c r="F3442" s="0" t="s">
        <v>30</v>
      </c>
      <c r="G3442" s="0" t="s">
        <v>4980</v>
      </c>
      <c r="H3442" s="0" t="s">
        <v>4242</v>
      </c>
      <c r="I3442" s="0" t="s">
        <v>4981</v>
      </c>
      <c r="J3442" s="18" t="s">
        <v>24</v>
      </c>
    </row>
    <row r="3443" customFormat="false" ht="15" hidden="false" customHeight="false" outlineLevel="0" collapsed="false">
      <c r="A3443" s="0" t="s">
        <v>2854</v>
      </c>
      <c r="B3443" s="0" t="s">
        <v>3459</v>
      </c>
      <c r="C3443" s="0" t="s">
        <v>3450</v>
      </c>
      <c r="D3443" s="0" t="s">
        <v>3448</v>
      </c>
      <c r="E3443" s="0" t="s">
        <v>4963</v>
      </c>
      <c r="F3443" s="0" t="s">
        <v>30</v>
      </c>
      <c r="G3443" s="0" t="s">
        <v>4980</v>
      </c>
      <c r="H3443" s="0" t="s">
        <v>4238</v>
      </c>
      <c r="I3443" s="0" t="s">
        <v>4981</v>
      </c>
      <c r="J3443" s="18" t="s">
        <v>24</v>
      </c>
    </row>
    <row r="3444" customFormat="false" ht="15" hidden="false" customHeight="false" outlineLevel="0" collapsed="false">
      <c r="A3444" s="0" t="s">
        <v>2854</v>
      </c>
      <c r="B3444" s="0" t="s">
        <v>3459</v>
      </c>
      <c r="C3444" s="0" t="s">
        <v>3447</v>
      </c>
      <c r="D3444" s="0" t="s">
        <v>3457</v>
      </c>
      <c r="E3444" s="0" t="s">
        <v>4963</v>
      </c>
      <c r="F3444" s="0" t="s">
        <v>30</v>
      </c>
      <c r="G3444" s="0" t="s">
        <v>4980</v>
      </c>
      <c r="H3444" s="0" t="s">
        <v>4272</v>
      </c>
      <c r="I3444" s="0" t="s">
        <v>4981</v>
      </c>
      <c r="J3444" s="18" t="s">
        <v>24</v>
      </c>
    </row>
    <row r="3445" customFormat="false" ht="15" hidden="false" customHeight="false" outlineLevel="0" collapsed="false">
      <c r="A3445" s="0" t="s">
        <v>2854</v>
      </c>
      <c r="B3445" s="0" t="s">
        <v>3459</v>
      </c>
      <c r="C3445" s="0" t="s">
        <v>3447</v>
      </c>
      <c r="D3445" s="0" t="s">
        <v>3448</v>
      </c>
      <c r="E3445" s="0" t="s">
        <v>4963</v>
      </c>
      <c r="F3445" s="0" t="s">
        <v>30</v>
      </c>
      <c r="G3445" s="0" t="s">
        <v>4980</v>
      </c>
      <c r="H3445" s="0" t="s">
        <v>4272</v>
      </c>
      <c r="I3445" s="0" t="s">
        <v>4981</v>
      </c>
      <c r="J3445" s="18" t="s">
        <v>24</v>
      </c>
    </row>
    <row r="3446" customFormat="false" ht="15" hidden="false" customHeight="false" outlineLevel="0" collapsed="false">
      <c r="A3446" s="0" t="s">
        <v>2860</v>
      </c>
      <c r="B3446" s="0" t="s">
        <v>134</v>
      </c>
      <c r="C3446" s="0" t="s">
        <v>3447</v>
      </c>
      <c r="D3446" s="0" t="s">
        <v>3457</v>
      </c>
      <c r="E3446" s="0" t="s">
        <v>4963</v>
      </c>
      <c r="F3446" s="0" t="s">
        <v>60</v>
      </c>
      <c r="G3446" s="0" t="s">
        <v>4964</v>
      </c>
      <c r="H3446" s="0" t="s">
        <v>6116</v>
      </c>
      <c r="I3446" s="0" t="s">
        <v>4966</v>
      </c>
      <c r="J3446" s="19" t="s">
        <v>26</v>
      </c>
    </row>
    <row r="3447" customFormat="false" ht="15" hidden="false" customHeight="false" outlineLevel="0" collapsed="false">
      <c r="A3447" s="0" t="s">
        <v>2860</v>
      </c>
      <c r="B3447" s="0" t="s">
        <v>134</v>
      </c>
      <c r="C3447" s="0" t="s">
        <v>3450</v>
      </c>
      <c r="D3447" s="0" t="s">
        <v>3448</v>
      </c>
      <c r="E3447" s="0" t="s">
        <v>4969</v>
      </c>
      <c r="F3447" s="0" t="s">
        <v>62</v>
      </c>
      <c r="G3447" s="0" t="s">
        <v>5003</v>
      </c>
      <c r="H3447" s="0" t="s">
        <v>6117</v>
      </c>
      <c r="I3447" s="0" t="s">
        <v>5005</v>
      </c>
      <c r="J3447" s="20" t="s">
        <v>25</v>
      </c>
    </row>
    <row r="3448" customFormat="false" ht="15" hidden="false" customHeight="false" outlineLevel="0" collapsed="false">
      <c r="A3448" s="0" t="s">
        <v>2860</v>
      </c>
      <c r="B3448" s="0" t="s">
        <v>134</v>
      </c>
      <c r="C3448" s="0" t="s">
        <v>3447</v>
      </c>
      <c r="D3448" s="0" t="s">
        <v>3457</v>
      </c>
      <c r="E3448" s="0" t="s">
        <v>4963</v>
      </c>
      <c r="F3448" s="0" t="s">
        <v>59</v>
      </c>
      <c r="G3448" s="0" t="s">
        <v>4974</v>
      </c>
      <c r="H3448" s="0" t="s">
        <v>69</v>
      </c>
      <c r="I3448" s="0" t="s">
        <v>4975</v>
      </c>
      <c r="J3448" s="20" t="s">
        <v>25</v>
      </c>
    </row>
    <row r="3449" customFormat="false" ht="15" hidden="false" customHeight="false" outlineLevel="0" collapsed="false">
      <c r="A3449" s="0" t="s">
        <v>2860</v>
      </c>
      <c r="B3449" s="0" t="s">
        <v>3459</v>
      </c>
      <c r="C3449" s="0" t="s">
        <v>3450</v>
      </c>
      <c r="D3449" s="0" t="s">
        <v>3457</v>
      </c>
      <c r="E3449" s="0" t="s">
        <v>4963</v>
      </c>
      <c r="F3449" s="0" t="s">
        <v>59</v>
      </c>
      <c r="G3449" s="0" t="s">
        <v>4974</v>
      </c>
      <c r="H3449" s="0" t="s">
        <v>69</v>
      </c>
      <c r="I3449" s="0" t="s">
        <v>4975</v>
      </c>
      <c r="J3449" s="20" t="s">
        <v>25</v>
      </c>
    </row>
    <row r="3450" customFormat="false" ht="15" hidden="false" customHeight="false" outlineLevel="0" collapsed="false">
      <c r="A3450" s="0" t="s">
        <v>2860</v>
      </c>
      <c r="B3450" s="0" t="s">
        <v>3459</v>
      </c>
      <c r="C3450" s="0" t="s">
        <v>3450</v>
      </c>
      <c r="D3450" s="0" t="s">
        <v>3457</v>
      </c>
      <c r="E3450" s="0" t="s">
        <v>4969</v>
      </c>
      <c r="F3450" s="0" t="s">
        <v>61</v>
      </c>
      <c r="G3450" s="0" t="s">
        <v>4970</v>
      </c>
      <c r="H3450" s="0" t="s">
        <v>6118</v>
      </c>
      <c r="I3450" s="0" t="s">
        <v>4972</v>
      </c>
      <c r="J3450" s="20" t="s">
        <v>25</v>
      </c>
    </row>
    <row r="3451" customFormat="false" ht="15" hidden="false" customHeight="false" outlineLevel="0" collapsed="false">
      <c r="A3451" s="0" t="s">
        <v>2860</v>
      </c>
      <c r="B3451" s="0" t="s">
        <v>3459</v>
      </c>
      <c r="C3451" s="0" t="s">
        <v>3450</v>
      </c>
      <c r="D3451" s="0" t="s">
        <v>3457</v>
      </c>
      <c r="E3451" s="0" t="s">
        <v>4969</v>
      </c>
      <c r="F3451" s="0" t="s">
        <v>64</v>
      </c>
      <c r="G3451" s="0" t="s">
        <v>4220</v>
      </c>
      <c r="H3451" s="0" t="s">
        <v>6119</v>
      </c>
      <c r="I3451" s="0" t="s">
        <v>4991</v>
      </c>
      <c r="J3451" s="20" t="s">
        <v>25</v>
      </c>
    </row>
    <row r="3452" customFormat="false" ht="15" hidden="false" customHeight="false" outlineLevel="0" collapsed="false">
      <c r="A3452" s="0" t="s">
        <v>2860</v>
      </c>
      <c r="B3452" s="0" t="s">
        <v>3459</v>
      </c>
      <c r="C3452" s="0" t="s">
        <v>3450</v>
      </c>
      <c r="D3452" s="0" t="s">
        <v>3448</v>
      </c>
      <c r="E3452" s="0" t="s">
        <v>4963</v>
      </c>
      <c r="F3452" s="0" t="s">
        <v>59</v>
      </c>
      <c r="G3452" s="0" t="s">
        <v>4974</v>
      </c>
      <c r="H3452" s="0" t="s">
        <v>69</v>
      </c>
      <c r="I3452" s="0" t="s">
        <v>4975</v>
      </c>
      <c r="J3452" s="20" t="s">
        <v>25</v>
      </c>
    </row>
    <row r="3453" customFormat="false" ht="15" hidden="false" customHeight="false" outlineLevel="0" collapsed="false">
      <c r="A3453" s="0" t="s">
        <v>2860</v>
      </c>
      <c r="B3453" s="0" t="s">
        <v>3459</v>
      </c>
      <c r="C3453" s="0" t="s">
        <v>3450</v>
      </c>
      <c r="D3453" s="0" t="s">
        <v>3448</v>
      </c>
      <c r="E3453" s="0" t="s">
        <v>4969</v>
      </c>
      <c r="F3453" s="0" t="s">
        <v>61</v>
      </c>
      <c r="G3453" s="0" t="s">
        <v>4970</v>
      </c>
      <c r="H3453" s="0" t="s">
        <v>6120</v>
      </c>
      <c r="I3453" s="0" t="s">
        <v>4972</v>
      </c>
      <c r="J3453" s="20" t="s">
        <v>25</v>
      </c>
    </row>
    <row r="3454" customFormat="false" ht="15" hidden="false" customHeight="false" outlineLevel="0" collapsed="false">
      <c r="A3454" s="0" t="s">
        <v>2860</v>
      </c>
      <c r="B3454" s="0" t="s">
        <v>3459</v>
      </c>
      <c r="C3454" s="0" t="s">
        <v>3450</v>
      </c>
      <c r="D3454" s="0" t="s">
        <v>3448</v>
      </c>
      <c r="E3454" s="0" t="s">
        <v>4969</v>
      </c>
      <c r="F3454" s="0" t="s">
        <v>62</v>
      </c>
      <c r="G3454" s="0" t="s">
        <v>5003</v>
      </c>
      <c r="H3454" s="0" t="s">
        <v>6121</v>
      </c>
      <c r="I3454" s="0" t="s">
        <v>5005</v>
      </c>
      <c r="J3454" s="20" t="s">
        <v>25</v>
      </c>
    </row>
    <row r="3455" customFormat="false" ht="15" hidden="false" customHeight="false" outlineLevel="0" collapsed="false">
      <c r="A3455" s="0" t="s">
        <v>2860</v>
      </c>
      <c r="B3455" s="0" t="s">
        <v>3459</v>
      </c>
      <c r="C3455" s="0" t="s">
        <v>3450</v>
      </c>
      <c r="D3455" s="0" t="s">
        <v>3448</v>
      </c>
      <c r="E3455" s="0" t="s">
        <v>4969</v>
      </c>
      <c r="F3455" s="0" t="s">
        <v>63</v>
      </c>
      <c r="G3455" s="0" t="s">
        <v>4220</v>
      </c>
      <c r="H3455" s="0" t="s">
        <v>6122</v>
      </c>
      <c r="I3455" s="0" t="s">
        <v>4979</v>
      </c>
      <c r="J3455" s="20" t="s">
        <v>25</v>
      </c>
    </row>
    <row r="3456" customFormat="false" ht="15" hidden="false" customHeight="false" outlineLevel="0" collapsed="false">
      <c r="A3456" s="0" t="s">
        <v>2860</v>
      </c>
      <c r="B3456" s="0" t="s">
        <v>3459</v>
      </c>
      <c r="C3456" s="0" t="s">
        <v>3447</v>
      </c>
      <c r="D3456" s="0" t="s">
        <v>3457</v>
      </c>
      <c r="E3456" s="0" t="s">
        <v>4963</v>
      </c>
      <c r="F3456" s="0" t="s">
        <v>59</v>
      </c>
      <c r="G3456" s="0" t="s">
        <v>4974</v>
      </c>
      <c r="H3456" s="0" t="s">
        <v>69</v>
      </c>
      <c r="I3456" s="0" t="s">
        <v>4975</v>
      </c>
      <c r="J3456" s="20" t="s">
        <v>25</v>
      </c>
    </row>
    <row r="3457" customFormat="false" ht="15" hidden="false" customHeight="false" outlineLevel="0" collapsed="false">
      <c r="A3457" s="0" t="s">
        <v>2860</v>
      </c>
      <c r="B3457" s="0" t="s">
        <v>3459</v>
      </c>
      <c r="C3457" s="0" t="s">
        <v>3447</v>
      </c>
      <c r="D3457" s="0" t="s">
        <v>3457</v>
      </c>
      <c r="E3457" s="0" t="s">
        <v>4969</v>
      </c>
      <c r="F3457" s="0" t="s">
        <v>64</v>
      </c>
      <c r="G3457" s="0" t="s">
        <v>4220</v>
      </c>
      <c r="H3457" s="0" t="s">
        <v>6119</v>
      </c>
      <c r="I3457" s="0" t="s">
        <v>4991</v>
      </c>
      <c r="J3457" s="20" t="s">
        <v>25</v>
      </c>
    </row>
    <row r="3458" customFormat="false" ht="15" hidden="false" customHeight="false" outlineLevel="0" collapsed="false">
      <c r="A3458" s="0" t="s">
        <v>2860</v>
      </c>
      <c r="B3458" s="0" t="s">
        <v>3459</v>
      </c>
      <c r="C3458" s="0" t="s">
        <v>3447</v>
      </c>
      <c r="D3458" s="0" t="s">
        <v>3448</v>
      </c>
      <c r="E3458" s="0" t="s">
        <v>4963</v>
      </c>
      <c r="F3458" s="0" t="s">
        <v>59</v>
      </c>
      <c r="G3458" s="0" t="s">
        <v>4974</v>
      </c>
      <c r="H3458" s="0" t="s">
        <v>69</v>
      </c>
      <c r="I3458" s="0" t="s">
        <v>4975</v>
      </c>
      <c r="J3458" s="20" t="s">
        <v>25</v>
      </c>
    </row>
    <row r="3459" customFormat="false" ht="15" hidden="false" customHeight="false" outlineLevel="0" collapsed="false">
      <c r="A3459" s="0" t="s">
        <v>2860</v>
      </c>
      <c r="B3459" s="0" t="s">
        <v>3459</v>
      </c>
      <c r="C3459" s="0" t="s">
        <v>3447</v>
      </c>
      <c r="D3459" s="0" t="s">
        <v>3448</v>
      </c>
      <c r="E3459" s="0" t="s">
        <v>4969</v>
      </c>
      <c r="F3459" s="0" t="s">
        <v>61</v>
      </c>
      <c r="G3459" s="0" t="s">
        <v>4970</v>
      </c>
      <c r="H3459" s="0" t="s">
        <v>6123</v>
      </c>
      <c r="I3459" s="0" t="s">
        <v>4972</v>
      </c>
      <c r="J3459" s="20" t="s">
        <v>25</v>
      </c>
    </row>
    <row r="3460" customFormat="false" ht="15" hidden="false" customHeight="false" outlineLevel="0" collapsed="false">
      <c r="A3460" s="0" t="s">
        <v>2860</v>
      </c>
      <c r="B3460" s="0" t="s">
        <v>3459</v>
      </c>
      <c r="C3460" s="0" t="s">
        <v>3447</v>
      </c>
      <c r="D3460" s="0" t="s">
        <v>3448</v>
      </c>
      <c r="E3460" s="0" t="s">
        <v>4969</v>
      </c>
      <c r="F3460" s="0" t="s">
        <v>63</v>
      </c>
      <c r="G3460" s="0" t="s">
        <v>4220</v>
      </c>
      <c r="H3460" s="0" t="s">
        <v>6122</v>
      </c>
      <c r="I3460" s="0" t="s">
        <v>4979</v>
      </c>
      <c r="J3460" s="20" t="s">
        <v>25</v>
      </c>
    </row>
    <row r="3461" customFormat="false" ht="15" hidden="false" customHeight="false" outlineLevel="0" collapsed="false">
      <c r="A3461" s="0" t="s">
        <v>2860</v>
      </c>
      <c r="B3461" s="0" t="s">
        <v>134</v>
      </c>
      <c r="C3461" s="0" t="s">
        <v>3450</v>
      </c>
      <c r="D3461" s="0" t="s">
        <v>3457</v>
      </c>
      <c r="E3461" s="0" t="s">
        <v>4963</v>
      </c>
      <c r="F3461" s="0" t="s">
        <v>30</v>
      </c>
      <c r="G3461" s="0" t="s">
        <v>4980</v>
      </c>
      <c r="H3461" s="0" t="s">
        <v>4566</v>
      </c>
      <c r="I3461" s="0" t="s">
        <v>4981</v>
      </c>
      <c r="J3461" s="18" t="s">
        <v>24</v>
      </c>
    </row>
    <row r="3462" customFormat="false" ht="15" hidden="false" customHeight="false" outlineLevel="0" collapsed="false">
      <c r="A3462" s="0" t="s">
        <v>2860</v>
      </c>
      <c r="B3462" s="0" t="s">
        <v>134</v>
      </c>
      <c r="C3462" s="0" t="s">
        <v>3450</v>
      </c>
      <c r="D3462" s="0" t="s">
        <v>3448</v>
      </c>
      <c r="E3462" s="0" t="s">
        <v>4963</v>
      </c>
      <c r="F3462" s="0" t="s">
        <v>30</v>
      </c>
      <c r="G3462" s="0" t="s">
        <v>4980</v>
      </c>
      <c r="H3462" s="0" t="s">
        <v>4716</v>
      </c>
      <c r="I3462" s="0" t="s">
        <v>4981</v>
      </c>
      <c r="J3462" s="18" t="s">
        <v>24</v>
      </c>
    </row>
    <row r="3463" customFormat="false" ht="15" hidden="false" customHeight="false" outlineLevel="0" collapsed="false">
      <c r="A3463" s="0" t="s">
        <v>2860</v>
      </c>
      <c r="B3463" s="0" t="s">
        <v>134</v>
      </c>
      <c r="C3463" s="0" t="s">
        <v>3447</v>
      </c>
      <c r="D3463" s="0" t="s">
        <v>3448</v>
      </c>
      <c r="E3463" s="0" t="s">
        <v>4963</v>
      </c>
      <c r="F3463" s="0" t="s">
        <v>30</v>
      </c>
      <c r="G3463" s="0" t="s">
        <v>4980</v>
      </c>
      <c r="H3463" s="0" t="s">
        <v>4566</v>
      </c>
      <c r="I3463" s="0" t="s">
        <v>4981</v>
      </c>
      <c r="J3463" s="18" t="s">
        <v>24</v>
      </c>
    </row>
    <row r="3464" customFormat="false" ht="15" hidden="false" customHeight="false" outlineLevel="0" collapsed="false">
      <c r="A3464" s="0" t="s">
        <v>2860</v>
      </c>
      <c r="B3464" s="0" t="s">
        <v>3459</v>
      </c>
      <c r="C3464" s="0" t="s">
        <v>3450</v>
      </c>
      <c r="D3464" s="0" t="s">
        <v>3457</v>
      </c>
      <c r="E3464" s="0" t="s">
        <v>4963</v>
      </c>
      <c r="F3464" s="0" t="s">
        <v>30</v>
      </c>
      <c r="G3464" s="0" t="s">
        <v>4980</v>
      </c>
      <c r="H3464" s="0" t="s">
        <v>4275</v>
      </c>
      <c r="I3464" s="0" t="s">
        <v>4981</v>
      </c>
      <c r="J3464" s="18" t="s">
        <v>24</v>
      </c>
    </row>
    <row r="3465" customFormat="false" ht="15" hidden="false" customHeight="false" outlineLevel="0" collapsed="false">
      <c r="A3465" s="0" t="s">
        <v>2860</v>
      </c>
      <c r="B3465" s="0" t="s">
        <v>3459</v>
      </c>
      <c r="C3465" s="0" t="s">
        <v>3450</v>
      </c>
      <c r="D3465" s="0" t="s">
        <v>3448</v>
      </c>
      <c r="E3465" s="0" t="s">
        <v>4963</v>
      </c>
      <c r="F3465" s="0" t="s">
        <v>30</v>
      </c>
      <c r="G3465" s="0" t="s">
        <v>4980</v>
      </c>
      <c r="H3465" s="0" t="s">
        <v>4275</v>
      </c>
      <c r="I3465" s="0" t="s">
        <v>4981</v>
      </c>
      <c r="J3465" s="18" t="s">
        <v>24</v>
      </c>
    </row>
    <row r="3466" customFormat="false" ht="15" hidden="false" customHeight="false" outlineLevel="0" collapsed="false">
      <c r="A3466" s="0" t="s">
        <v>2860</v>
      </c>
      <c r="B3466" s="0" t="s">
        <v>3459</v>
      </c>
      <c r="C3466" s="0" t="s">
        <v>3447</v>
      </c>
      <c r="D3466" s="0" t="s">
        <v>3457</v>
      </c>
      <c r="E3466" s="0" t="s">
        <v>4963</v>
      </c>
      <c r="F3466" s="0" t="s">
        <v>30</v>
      </c>
      <c r="G3466" s="0" t="s">
        <v>4980</v>
      </c>
      <c r="H3466" s="0" t="s">
        <v>4275</v>
      </c>
      <c r="I3466" s="0" t="s">
        <v>4981</v>
      </c>
      <c r="J3466" s="18" t="s">
        <v>24</v>
      </c>
    </row>
    <row r="3467" customFormat="false" ht="15" hidden="false" customHeight="false" outlineLevel="0" collapsed="false">
      <c r="A3467" s="0" t="s">
        <v>2860</v>
      </c>
      <c r="B3467" s="0" t="s">
        <v>3459</v>
      </c>
      <c r="C3467" s="0" t="s">
        <v>3447</v>
      </c>
      <c r="D3467" s="0" t="s">
        <v>3448</v>
      </c>
      <c r="E3467" s="0" t="s">
        <v>4963</v>
      </c>
      <c r="F3467" s="0" t="s">
        <v>30</v>
      </c>
      <c r="G3467" s="0" t="s">
        <v>4980</v>
      </c>
      <c r="H3467" s="0" t="s">
        <v>4242</v>
      </c>
      <c r="I3467" s="0" t="s">
        <v>4981</v>
      </c>
      <c r="J3467" s="18" t="s">
        <v>24</v>
      </c>
    </row>
    <row r="3468" customFormat="false" ht="15" hidden="false" customHeight="false" outlineLevel="0" collapsed="false">
      <c r="A3468" s="0" t="s">
        <v>2866</v>
      </c>
      <c r="B3468" s="0" t="s">
        <v>134</v>
      </c>
      <c r="C3468" s="0" t="s">
        <v>3447</v>
      </c>
      <c r="D3468" s="0" t="s">
        <v>3448</v>
      </c>
      <c r="E3468" s="0" t="s">
        <v>4963</v>
      </c>
      <c r="F3468" s="0" t="s">
        <v>60</v>
      </c>
      <c r="G3468" s="0" t="s">
        <v>4964</v>
      </c>
      <c r="H3468" s="0" t="s">
        <v>6124</v>
      </c>
      <c r="I3468" s="0" t="s">
        <v>4966</v>
      </c>
      <c r="J3468" s="19" t="s">
        <v>26</v>
      </c>
    </row>
    <row r="3469" customFormat="false" ht="15" hidden="false" customHeight="false" outlineLevel="0" collapsed="false">
      <c r="A3469" s="0" t="s">
        <v>2866</v>
      </c>
      <c r="B3469" s="0" t="s">
        <v>3459</v>
      </c>
      <c r="C3469" s="0" t="s">
        <v>3447</v>
      </c>
      <c r="D3469" s="0" t="s">
        <v>3448</v>
      </c>
      <c r="E3469" s="0" t="s">
        <v>4963</v>
      </c>
      <c r="F3469" s="0" t="s">
        <v>60</v>
      </c>
      <c r="G3469" s="0" t="s">
        <v>4964</v>
      </c>
      <c r="H3469" s="0" t="s">
        <v>5328</v>
      </c>
      <c r="I3469" s="0" t="s">
        <v>4966</v>
      </c>
      <c r="J3469" s="19" t="s">
        <v>26</v>
      </c>
    </row>
    <row r="3470" customFormat="false" ht="15" hidden="false" customHeight="false" outlineLevel="0" collapsed="false">
      <c r="A3470" s="0" t="s">
        <v>2866</v>
      </c>
      <c r="B3470" s="0" t="s">
        <v>134</v>
      </c>
      <c r="C3470" s="0" t="s">
        <v>3450</v>
      </c>
      <c r="D3470" s="0" t="s">
        <v>3448</v>
      </c>
      <c r="E3470" s="0" t="s">
        <v>4963</v>
      </c>
      <c r="F3470" s="0" t="s">
        <v>59</v>
      </c>
      <c r="G3470" s="0" t="s">
        <v>4974</v>
      </c>
      <c r="H3470" s="0" t="s">
        <v>70</v>
      </c>
      <c r="I3470" s="0" t="s">
        <v>4975</v>
      </c>
      <c r="J3470" s="20" t="s">
        <v>25</v>
      </c>
    </row>
    <row r="3471" customFormat="false" ht="15" hidden="false" customHeight="false" outlineLevel="0" collapsed="false">
      <c r="A3471" s="0" t="s">
        <v>2866</v>
      </c>
      <c r="B3471" s="0" t="s">
        <v>134</v>
      </c>
      <c r="C3471" s="0" t="s">
        <v>3450</v>
      </c>
      <c r="D3471" s="0" t="s">
        <v>3448</v>
      </c>
      <c r="E3471" s="0" t="s">
        <v>4969</v>
      </c>
      <c r="F3471" s="0" t="s">
        <v>62</v>
      </c>
      <c r="G3471" s="0" t="s">
        <v>5003</v>
      </c>
      <c r="H3471" s="0" t="s">
        <v>6125</v>
      </c>
      <c r="I3471" s="0" t="s">
        <v>5005</v>
      </c>
      <c r="J3471" s="20" t="s">
        <v>25</v>
      </c>
    </row>
    <row r="3472" customFormat="false" ht="15" hidden="false" customHeight="false" outlineLevel="0" collapsed="false">
      <c r="A3472" s="0" t="s">
        <v>2866</v>
      </c>
      <c r="B3472" s="0" t="s">
        <v>134</v>
      </c>
      <c r="C3472" s="0" t="s">
        <v>3447</v>
      </c>
      <c r="D3472" s="0" t="s">
        <v>3448</v>
      </c>
      <c r="E3472" s="0" t="s">
        <v>5199</v>
      </c>
      <c r="F3472" s="0" t="s">
        <v>67</v>
      </c>
      <c r="G3472" s="0" t="s">
        <v>100</v>
      </c>
      <c r="H3472" s="0" t="s">
        <v>6101</v>
      </c>
      <c r="I3472" s="0" t="s">
        <v>5201</v>
      </c>
      <c r="J3472" s="20" t="s">
        <v>25</v>
      </c>
    </row>
    <row r="3473" customFormat="false" ht="15" hidden="false" customHeight="false" outlineLevel="0" collapsed="false">
      <c r="A3473" s="0" t="s">
        <v>2866</v>
      </c>
      <c r="B3473" s="0" t="s">
        <v>3459</v>
      </c>
      <c r="C3473" s="0" t="s">
        <v>3450</v>
      </c>
      <c r="D3473" s="0" t="s">
        <v>3448</v>
      </c>
      <c r="E3473" s="0" t="s">
        <v>4969</v>
      </c>
      <c r="F3473" s="0" t="s">
        <v>64</v>
      </c>
      <c r="G3473" s="0" t="s">
        <v>4220</v>
      </c>
      <c r="H3473" s="0" t="s">
        <v>6126</v>
      </c>
      <c r="I3473" s="0" t="s">
        <v>4991</v>
      </c>
      <c r="J3473" s="20" t="s">
        <v>25</v>
      </c>
    </row>
    <row r="3474" customFormat="false" ht="15" hidden="false" customHeight="false" outlineLevel="0" collapsed="false">
      <c r="A3474" s="0" t="s">
        <v>2866</v>
      </c>
      <c r="B3474" s="0" t="s">
        <v>3459</v>
      </c>
      <c r="C3474" s="0" t="s">
        <v>3447</v>
      </c>
      <c r="D3474" s="0" t="s">
        <v>3457</v>
      </c>
      <c r="E3474" s="0" t="s">
        <v>4963</v>
      </c>
      <c r="F3474" s="0" t="s">
        <v>59</v>
      </c>
      <c r="G3474" s="0" t="s">
        <v>4974</v>
      </c>
      <c r="H3474" s="0" t="s">
        <v>69</v>
      </c>
      <c r="I3474" s="0" t="s">
        <v>4975</v>
      </c>
      <c r="J3474" s="20" t="s">
        <v>25</v>
      </c>
    </row>
    <row r="3475" customFormat="false" ht="15" hidden="false" customHeight="false" outlineLevel="0" collapsed="false">
      <c r="A3475" s="0" t="s">
        <v>2866</v>
      </c>
      <c r="B3475" s="0" t="s">
        <v>3459</v>
      </c>
      <c r="C3475" s="0" t="s">
        <v>3447</v>
      </c>
      <c r="D3475" s="0" t="s">
        <v>3448</v>
      </c>
      <c r="E3475" s="0" t="s">
        <v>4963</v>
      </c>
      <c r="F3475" s="0" t="s">
        <v>59</v>
      </c>
      <c r="G3475" s="0" t="s">
        <v>4974</v>
      </c>
      <c r="H3475" s="0" t="s">
        <v>69</v>
      </c>
      <c r="I3475" s="0" t="s">
        <v>4975</v>
      </c>
      <c r="J3475" s="20" t="s">
        <v>25</v>
      </c>
    </row>
    <row r="3476" customFormat="false" ht="15" hidden="false" customHeight="false" outlineLevel="0" collapsed="false">
      <c r="A3476" s="0" t="s">
        <v>2866</v>
      </c>
      <c r="B3476" s="0" t="s">
        <v>3459</v>
      </c>
      <c r="C3476" s="0" t="s">
        <v>3447</v>
      </c>
      <c r="D3476" s="0" t="s">
        <v>3448</v>
      </c>
      <c r="E3476" s="0" t="s">
        <v>4969</v>
      </c>
      <c r="F3476" s="0" t="s">
        <v>64</v>
      </c>
      <c r="G3476" s="0" t="s">
        <v>4220</v>
      </c>
      <c r="H3476" s="0" t="s">
        <v>6126</v>
      </c>
      <c r="I3476" s="0" t="s">
        <v>4991</v>
      </c>
      <c r="J3476" s="20" t="s">
        <v>25</v>
      </c>
    </row>
    <row r="3477" customFormat="false" ht="15" hidden="false" customHeight="false" outlineLevel="0" collapsed="false">
      <c r="A3477" s="0" t="s">
        <v>2866</v>
      </c>
      <c r="B3477" s="0" t="s">
        <v>134</v>
      </c>
      <c r="C3477" s="0" t="s">
        <v>3450</v>
      </c>
      <c r="D3477" s="0" t="s">
        <v>3448</v>
      </c>
      <c r="E3477" s="0" t="s">
        <v>4963</v>
      </c>
      <c r="F3477" s="0" t="s">
        <v>30</v>
      </c>
      <c r="G3477" s="0" t="s">
        <v>4980</v>
      </c>
      <c r="H3477" s="0" t="s">
        <v>4231</v>
      </c>
      <c r="I3477" s="0" t="s">
        <v>4981</v>
      </c>
      <c r="J3477" s="18" t="s">
        <v>24</v>
      </c>
    </row>
    <row r="3478" customFormat="false" ht="15" hidden="false" customHeight="false" outlineLevel="0" collapsed="false">
      <c r="A3478" s="0" t="s">
        <v>2866</v>
      </c>
      <c r="B3478" s="0" t="s">
        <v>134</v>
      </c>
      <c r="C3478" s="0" t="s">
        <v>3447</v>
      </c>
      <c r="D3478" s="0" t="s">
        <v>3457</v>
      </c>
      <c r="E3478" s="0" t="s">
        <v>4963</v>
      </c>
      <c r="F3478" s="0" t="s">
        <v>30</v>
      </c>
      <c r="G3478" s="0" t="s">
        <v>4980</v>
      </c>
      <c r="H3478" s="0" t="s">
        <v>4867</v>
      </c>
      <c r="I3478" s="0" t="s">
        <v>4981</v>
      </c>
      <c r="J3478" s="18" t="s">
        <v>24</v>
      </c>
    </row>
    <row r="3479" customFormat="false" ht="15" hidden="false" customHeight="false" outlineLevel="0" collapsed="false">
      <c r="A3479" s="0" t="s">
        <v>2866</v>
      </c>
      <c r="B3479" s="0" t="s">
        <v>3459</v>
      </c>
      <c r="C3479" s="0" t="s">
        <v>3447</v>
      </c>
      <c r="D3479" s="0" t="s">
        <v>3457</v>
      </c>
      <c r="E3479" s="0" t="s">
        <v>4963</v>
      </c>
      <c r="F3479" s="0" t="s">
        <v>30</v>
      </c>
      <c r="G3479" s="0" t="s">
        <v>4980</v>
      </c>
      <c r="H3479" s="0" t="s">
        <v>4869</v>
      </c>
      <c r="I3479" s="0" t="s">
        <v>4981</v>
      </c>
      <c r="J3479" s="18" t="s">
        <v>24</v>
      </c>
    </row>
    <row r="3480" customFormat="false" ht="15" hidden="false" customHeight="false" outlineLevel="0" collapsed="false">
      <c r="A3480" s="0" t="s">
        <v>2873</v>
      </c>
      <c r="B3480" s="0" t="s">
        <v>134</v>
      </c>
      <c r="C3480" s="0" t="s">
        <v>3447</v>
      </c>
      <c r="D3480" s="0" t="s">
        <v>3448</v>
      </c>
      <c r="E3480" s="0" t="s">
        <v>4963</v>
      </c>
      <c r="F3480" s="0" t="s">
        <v>60</v>
      </c>
      <c r="G3480" s="0" t="s">
        <v>4964</v>
      </c>
      <c r="H3480" s="0" t="s">
        <v>6127</v>
      </c>
      <c r="I3480" s="0" t="s">
        <v>4966</v>
      </c>
      <c r="J3480" s="19" t="s">
        <v>26</v>
      </c>
    </row>
    <row r="3481" customFormat="false" ht="15" hidden="false" customHeight="false" outlineLevel="0" collapsed="false">
      <c r="A3481" s="0" t="s">
        <v>2873</v>
      </c>
      <c r="B3481" s="0" t="s">
        <v>134</v>
      </c>
      <c r="C3481" s="0" t="s">
        <v>3450</v>
      </c>
      <c r="D3481" s="0" t="s">
        <v>3457</v>
      </c>
      <c r="E3481" s="0" t="s">
        <v>4963</v>
      </c>
      <c r="F3481" s="0" t="s">
        <v>59</v>
      </c>
      <c r="G3481" s="0" t="s">
        <v>4974</v>
      </c>
      <c r="H3481" s="0" t="s">
        <v>70</v>
      </c>
      <c r="I3481" s="0" t="s">
        <v>4975</v>
      </c>
      <c r="J3481" s="20" t="s">
        <v>25</v>
      </c>
    </row>
    <row r="3482" customFormat="false" ht="15" hidden="false" customHeight="false" outlineLevel="0" collapsed="false">
      <c r="A3482" s="0" t="s">
        <v>2873</v>
      </c>
      <c r="B3482" s="0" t="s">
        <v>134</v>
      </c>
      <c r="C3482" s="0" t="s">
        <v>3450</v>
      </c>
      <c r="D3482" s="0" t="s">
        <v>3448</v>
      </c>
      <c r="E3482" s="0" t="s">
        <v>4963</v>
      </c>
      <c r="F3482" s="0" t="s">
        <v>59</v>
      </c>
      <c r="G3482" s="0" t="s">
        <v>4974</v>
      </c>
      <c r="H3482" s="0" t="s">
        <v>70</v>
      </c>
      <c r="I3482" s="0" t="s">
        <v>4975</v>
      </c>
      <c r="J3482" s="20" t="s">
        <v>25</v>
      </c>
    </row>
    <row r="3483" customFormat="false" ht="15" hidden="false" customHeight="false" outlineLevel="0" collapsed="false">
      <c r="A3483" s="0" t="s">
        <v>2873</v>
      </c>
      <c r="B3483" s="0" t="s">
        <v>134</v>
      </c>
      <c r="C3483" s="0" t="s">
        <v>3447</v>
      </c>
      <c r="D3483" s="0" t="s">
        <v>3457</v>
      </c>
      <c r="E3483" s="0" t="s">
        <v>4963</v>
      </c>
      <c r="F3483" s="0" t="s">
        <v>59</v>
      </c>
      <c r="G3483" s="0" t="s">
        <v>4974</v>
      </c>
      <c r="H3483" s="0" t="s">
        <v>70</v>
      </c>
      <c r="I3483" s="0" t="s">
        <v>4975</v>
      </c>
      <c r="J3483" s="20" t="s">
        <v>25</v>
      </c>
    </row>
    <row r="3484" customFormat="false" ht="15" hidden="false" customHeight="false" outlineLevel="0" collapsed="false">
      <c r="A3484" s="0" t="s">
        <v>2873</v>
      </c>
      <c r="B3484" s="0" t="s">
        <v>134</v>
      </c>
      <c r="C3484" s="0" t="s">
        <v>3447</v>
      </c>
      <c r="D3484" s="0" t="s">
        <v>3448</v>
      </c>
      <c r="E3484" s="0" t="s">
        <v>4963</v>
      </c>
      <c r="F3484" s="0" t="s">
        <v>59</v>
      </c>
      <c r="G3484" s="0" t="s">
        <v>4974</v>
      </c>
      <c r="H3484" s="0" t="s">
        <v>70</v>
      </c>
      <c r="I3484" s="0" t="s">
        <v>4975</v>
      </c>
      <c r="J3484" s="20" t="s">
        <v>25</v>
      </c>
    </row>
    <row r="3485" customFormat="false" ht="15" hidden="false" customHeight="false" outlineLevel="0" collapsed="false">
      <c r="A3485" s="0" t="s">
        <v>2873</v>
      </c>
      <c r="B3485" s="0" t="s">
        <v>134</v>
      </c>
      <c r="C3485" s="0" t="s">
        <v>3450</v>
      </c>
      <c r="D3485" s="0" t="s">
        <v>3457</v>
      </c>
      <c r="E3485" s="0" t="s">
        <v>4963</v>
      </c>
      <c r="F3485" s="0" t="s">
        <v>30</v>
      </c>
      <c r="G3485" s="0" t="s">
        <v>4980</v>
      </c>
      <c r="H3485" s="0" t="s">
        <v>4870</v>
      </c>
      <c r="I3485" s="0" t="s">
        <v>4981</v>
      </c>
      <c r="J3485" s="18" t="s">
        <v>24</v>
      </c>
    </row>
    <row r="3486" customFormat="false" ht="15" hidden="false" customHeight="false" outlineLevel="0" collapsed="false">
      <c r="A3486" s="0" t="s">
        <v>2873</v>
      </c>
      <c r="B3486" s="0" t="s">
        <v>134</v>
      </c>
      <c r="C3486" s="0" t="s">
        <v>3450</v>
      </c>
      <c r="D3486" s="0" t="s">
        <v>3448</v>
      </c>
      <c r="E3486" s="0" t="s">
        <v>4963</v>
      </c>
      <c r="F3486" s="0" t="s">
        <v>30</v>
      </c>
      <c r="G3486" s="0" t="s">
        <v>4980</v>
      </c>
      <c r="H3486" s="0" t="s">
        <v>4871</v>
      </c>
      <c r="I3486" s="0" t="s">
        <v>4981</v>
      </c>
      <c r="J3486" s="18" t="s">
        <v>24</v>
      </c>
    </row>
    <row r="3487" customFormat="false" ht="15" hidden="false" customHeight="false" outlineLevel="0" collapsed="false">
      <c r="A3487" s="0" t="s">
        <v>2873</v>
      </c>
      <c r="B3487" s="0" t="s">
        <v>134</v>
      </c>
      <c r="C3487" s="0" t="s">
        <v>3447</v>
      </c>
      <c r="D3487" s="0" t="s">
        <v>3457</v>
      </c>
      <c r="E3487" s="0" t="s">
        <v>4963</v>
      </c>
      <c r="F3487" s="0" t="s">
        <v>30</v>
      </c>
      <c r="G3487" s="0" t="s">
        <v>4980</v>
      </c>
      <c r="H3487" s="0" t="s">
        <v>4872</v>
      </c>
      <c r="I3487" s="0" t="s">
        <v>4981</v>
      </c>
      <c r="J3487" s="18" t="s">
        <v>24</v>
      </c>
    </row>
    <row r="3488" customFormat="false" ht="15" hidden="false" customHeight="false" outlineLevel="0" collapsed="false">
      <c r="A3488" s="0" t="s">
        <v>2879</v>
      </c>
      <c r="B3488" s="0" t="s">
        <v>134</v>
      </c>
      <c r="C3488" s="0" t="s">
        <v>3450</v>
      </c>
      <c r="D3488" s="0" t="s">
        <v>3457</v>
      </c>
      <c r="E3488" s="0" t="s">
        <v>4963</v>
      </c>
      <c r="F3488" s="0" t="s">
        <v>59</v>
      </c>
      <c r="G3488" s="0" t="s">
        <v>4974</v>
      </c>
      <c r="H3488" s="0" t="s">
        <v>69</v>
      </c>
      <c r="I3488" s="0" t="s">
        <v>4975</v>
      </c>
      <c r="J3488" s="20" t="s">
        <v>25</v>
      </c>
    </row>
    <row r="3489" customFormat="false" ht="15" hidden="false" customHeight="false" outlineLevel="0" collapsed="false">
      <c r="A3489" s="0" t="s">
        <v>2879</v>
      </c>
      <c r="B3489" s="0" t="s">
        <v>134</v>
      </c>
      <c r="C3489" s="0" t="s">
        <v>3450</v>
      </c>
      <c r="D3489" s="0" t="s">
        <v>3457</v>
      </c>
      <c r="E3489" s="0" t="s">
        <v>4969</v>
      </c>
      <c r="F3489" s="0" t="s">
        <v>61</v>
      </c>
      <c r="G3489" s="0" t="s">
        <v>4970</v>
      </c>
      <c r="H3489" s="0" t="s">
        <v>6128</v>
      </c>
      <c r="I3489" s="0" t="s">
        <v>4972</v>
      </c>
      <c r="J3489" s="20" t="s">
        <v>25</v>
      </c>
    </row>
    <row r="3490" customFormat="false" ht="15" hidden="false" customHeight="false" outlineLevel="0" collapsed="false">
      <c r="A3490" s="0" t="s">
        <v>2879</v>
      </c>
      <c r="B3490" s="0" t="s">
        <v>134</v>
      </c>
      <c r="C3490" s="0" t="s">
        <v>3450</v>
      </c>
      <c r="D3490" s="0" t="s">
        <v>3448</v>
      </c>
      <c r="E3490" s="0" t="s">
        <v>4963</v>
      </c>
      <c r="F3490" s="0" t="s">
        <v>59</v>
      </c>
      <c r="G3490" s="0" t="s">
        <v>4974</v>
      </c>
      <c r="H3490" s="0" t="s">
        <v>69</v>
      </c>
      <c r="I3490" s="0" t="s">
        <v>4975</v>
      </c>
      <c r="J3490" s="20" t="s">
        <v>25</v>
      </c>
    </row>
    <row r="3491" customFormat="false" ht="15" hidden="false" customHeight="false" outlineLevel="0" collapsed="false">
      <c r="A3491" s="0" t="s">
        <v>2879</v>
      </c>
      <c r="B3491" s="0" t="s">
        <v>134</v>
      </c>
      <c r="C3491" s="0" t="s">
        <v>3450</v>
      </c>
      <c r="D3491" s="0" t="s">
        <v>3448</v>
      </c>
      <c r="E3491" s="0" t="s">
        <v>4969</v>
      </c>
      <c r="F3491" s="0" t="s">
        <v>61</v>
      </c>
      <c r="G3491" s="0" t="s">
        <v>4970</v>
      </c>
      <c r="H3491" s="0" t="s">
        <v>6129</v>
      </c>
      <c r="I3491" s="0" t="s">
        <v>4972</v>
      </c>
      <c r="J3491" s="20" t="s">
        <v>25</v>
      </c>
    </row>
    <row r="3492" customFormat="false" ht="15" hidden="false" customHeight="false" outlineLevel="0" collapsed="false">
      <c r="A3492" s="0" t="s">
        <v>2879</v>
      </c>
      <c r="B3492" s="0" t="s">
        <v>134</v>
      </c>
      <c r="C3492" s="0" t="s">
        <v>3450</v>
      </c>
      <c r="D3492" s="0" t="s">
        <v>3448</v>
      </c>
      <c r="E3492" s="0" t="s">
        <v>4969</v>
      </c>
      <c r="F3492" s="0" t="s">
        <v>64</v>
      </c>
      <c r="G3492" s="0" t="s">
        <v>4220</v>
      </c>
      <c r="H3492" s="0" t="s">
        <v>6130</v>
      </c>
      <c r="I3492" s="0" t="s">
        <v>4991</v>
      </c>
      <c r="J3492" s="20" t="s">
        <v>25</v>
      </c>
    </row>
    <row r="3493" customFormat="false" ht="15" hidden="false" customHeight="false" outlineLevel="0" collapsed="false">
      <c r="A3493" s="0" t="s">
        <v>2879</v>
      </c>
      <c r="B3493" s="0" t="s">
        <v>134</v>
      </c>
      <c r="C3493" s="0" t="s">
        <v>3447</v>
      </c>
      <c r="D3493" s="0" t="s">
        <v>3457</v>
      </c>
      <c r="E3493" s="0" t="s">
        <v>4963</v>
      </c>
      <c r="F3493" s="0" t="s">
        <v>59</v>
      </c>
      <c r="G3493" s="0" t="s">
        <v>4974</v>
      </c>
      <c r="H3493" s="0" t="s">
        <v>69</v>
      </c>
      <c r="I3493" s="0" t="s">
        <v>4975</v>
      </c>
      <c r="J3493" s="20" t="s">
        <v>25</v>
      </c>
    </row>
    <row r="3494" customFormat="false" ht="15" hidden="false" customHeight="false" outlineLevel="0" collapsed="false">
      <c r="A3494" s="0" t="s">
        <v>2879</v>
      </c>
      <c r="B3494" s="0" t="s">
        <v>134</v>
      </c>
      <c r="C3494" s="0" t="s">
        <v>3447</v>
      </c>
      <c r="D3494" s="0" t="s">
        <v>3448</v>
      </c>
      <c r="E3494" s="0" t="s">
        <v>4969</v>
      </c>
      <c r="F3494" s="0" t="s">
        <v>64</v>
      </c>
      <c r="G3494" s="0" t="s">
        <v>4220</v>
      </c>
      <c r="H3494" s="0" t="s">
        <v>6130</v>
      </c>
      <c r="I3494" s="0" t="s">
        <v>4991</v>
      </c>
      <c r="J3494" s="20" t="s">
        <v>25</v>
      </c>
    </row>
    <row r="3495" customFormat="false" ht="15" hidden="false" customHeight="false" outlineLevel="0" collapsed="false">
      <c r="A3495" s="0" t="s">
        <v>2879</v>
      </c>
      <c r="B3495" s="0" t="s">
        <v>134</v>
      </c>
      <c r="C3495" s="0" t="s">
        <v>3450</v>
      </c>
      <c r="D3495" s="0" t="s">
        <v>3457</v>
      </c>
      <c r="E3495" s="0" t="s">
        <v>4963</v>
      </c>
      <c r="F3495" s="0" t="s">
        <v>30</v>
      </c>
      <c r="G3495" s="0" t="s">
        <v>4980</v>
      </c>
      <c r="H3495" s="0" t="s">
        <v>4629</v>
      </c>
      <c r="I3495" s="0" t="s">
        <v>4981</v>
      </c>
      <c r="J3495" s="18" t="s">
        <v>24</v>
      </c>
    </row>
    <row r="3496" customFormat="false" ht="15" hidden="false" customHeight="false" outlineLevel="0" collapsed="false">
      <c r="A3496" s="0" t="s">
        <v>2879</v>
      </c>
      <c r="B3496" s="0" t="s">
        <v>134</v>
      </c>
      <c r="C3496" s="0" t="s">
        <v>3450</v>
      </c>
      <c r="D3496" s="0" t="s">
        <v>3448</v>
      </c>
      <c r="E3496" s="0" t="s">
        <v>4963</v>
      </c>
      <c r="F3496" s="0" t="s">
        <v>30</v>
      </c>
      <c r="G3496" s="0" t="s">
        <v>4980</v>
      </c>
      <c r="H3496" s="0" t="s">
        <v>4242</v>
      </c>
      <c r="I3496" s="0" t="s">
        <v>4981</v>
      </c>
      <c r="J3496" s="18" t="s">
        <v>24</v>
      </c>
    </row>
    <row r="3497" customFormat="false" ht="15" hidden="false" customHeight="false" outlineLevel="0" collapsed="false">
      <c r="A3497" s="0" t="s">
        <v>2879</v>
      </c>
      <c r="B3497" s="0" t="s">
        <v>134</v>
      </c>
      <c r="C3497" s="0" t="s">
        <v>3447</v>
      </c>
      <c r="D3497" s="0" t="s">
        <v>3457</v>
      </c>
      <c r="E3497" s="0" t="s">
        <v>4963</v>
      </c>
      <c r="F3497" s="0" t="s">
        <v>30</v>
      </c>
      <c r="G3497" s="0" t="s">
        <v>4980</v>
      </c>
      <c r="H3497" s="0" t="s">
        <v>4578</v>
      </c>
      <c r="I3497" s="0" t="s">
        <v>4981</v>
      </c>
      <c r="J3497" s="18" t="s">
        <v>24</v>
      </c>
    </row>
    <row r="3498" customFormat="false" ht="15" hidden="false" customHeight="false" outlineLevel="0" collapsed="false">
      <c r="A3498" s="0" t="s">
        <v>2879</v>
      </c>
      <c r="B3498" s="0" t="s">
        <v>134</v>
      </c>
      <c r="C3498" s="0" t="s">
        <v>3447</v>
      </c>
      <c r="D3498" s="0" t="s">
        <v>3448</v>
      </c>
      <c r="E3498" s="0" t="s">
        <v>4963</v>
      </c>
      <c r="F3498" s="0" t="s">
        <v>30</v>
      </c>
      <c r="G3498" s="0" t="s">
        <v>4980</v>
      </c>
      <c r="H3498" s="0" t="s">
        <v>4457</v>
      </c>
      <c r="I3498" s="0" t="s">
        <v>4981</v>
      </c>
      <c r="J3498" s="18" t="s">
        <v>24</v>
      </c>
    </row>
    <row r="3499" customFormat="false" ht="15" hidden="false" customHeight="false" outlineLevel="0" collapsed="false">
      <c r="A3499" s="0" t="s">
        <v>2885</v>
      </c>
      <c r="B3499" s="0" t="s">
        <v>134</v>
      </c>
      <c r="C3499" s="0" t="s">
        <v>3450</v>
      </c>
      <c r="D3499" s="0" t="s">
        <v>3457</v>
      </c>
      <c r="E3499" s="0" t="s">
        <v>4963</v>
      </c>
      <c r="F3499" s="0" t="s">
        <v>59</v>
      </c>
      <c r="G3499" s="0" t="s">
        <v>4974</v>
      </c>
      <c r="H3499" s="0" t="s">
        <v>69</v>
      </c>
      <c r="I3499" s="0" t="s">
        <v>4975</v>
      </c>
      <c r="J3499" s="20" t="s">
        <v>25</v>
      </c>
    </row>
    <row r="3500" customFormat="false" ht="15" hidden="false" customHeight="false" outlineLevel="0" collapsed="false">
      <c r="A3500" s="0" t="s">
        <v>2885</v>
      </c>
      <c r="B3500" s="0" t="s">
        <v>134</v>
      </c>
      <c r="C3500" s="0" t="s">
        <v>3450</v>
      </c>
      <c r="D3500" s="0" t="s">
        <v>3457</v>
      </c>
      <c r="E3500" s="0" t="s">
        <v>4969</v>
      </c>
      <c r="F3500" s="0" t="s">
        <v>62</v>
      </c>
      <c r="G3500" s="0" t="s">
        <v>5003</v>
      </c>
      <c r="H3500" s="0" t="s">
        <v>6131</v>
      </c>
      <c r="I3500" s="0" t="s">
        <v>5005</v>
      </c>
      <c r="J3500" s="20" t="s">
        <v>25</v>
      </c>
    </row>
    <row r="3501" customFormat="false" ht="15" hidden="false" customHeight="false" outlineLevel="0" collapsed="false">
      <c r="A3501" s="0" t="s">
        <v>2885</v>
      </c>
      <c r="B3501" s="0" t="s">
        <v>134</v>
      </c>
      <c r="C3501" s="0" t="s">
        <v>3450</v>
      </c>
      <c r="D3501" s="0" t="s">
        <v>3448</v>
      </c>
      <c r="E3501" s="0" t="s">
        <v>4963</v>
      </c>
      <c r="F3501" s="0" t="s">
        <v>59</v>
      </c>
      <c r="G3501" s="0" t="s">
        <v>4974</v>
      </c>
      <c r="H3501" s="0" t="s">
        <v>69</v>
      </c>
      <c r="I3501" s="0" t="s">
        <v>4975</v>
      </c>
      <c r="J3501" s="20" t="s">
        <v>25</v>
      </c>
    </row>
    <row r="3502" customFormat="false" ht="15" hidden="false" customHeight="false" outlineLevel="0" collapsed="false">
      <c r="A3502" s="0" t="s">
        <v>2885</v>
      </c>
      <c r="B3502" s="0" t="s">
        <v>134</v>
      </c>
      <c r="C3502" s="0" t="s">
        <v>3450</v>
      </c>
      <c r="D3502" s="0" t="s">
        <v>3448</v>
      </c>
      <c r="E3502" s="0" t="s">
        <v>4969</v>
      </c>
      <c r="F3502" s="0" t="s">
        <v>61</v>
      </c>
      <c r="G3502" s="0" t="s">
        <v>4970</v>
      </c>
      <c r="H3502" s="0" t="s">
        <v>6132</v>
      </c>
      <c r="I3502" s="0" t="s">
        <v>4972</v>
      </c>
      <c r="J3502" s="20" t="s">
        <v>25</v>
      </c>
    </row>
    <row r="3503" customFormat="false" ht="15" hidden="false" customHeight="false" outlineLevel="0" collapsed="false">
      <c r="A3503" s="0" t="s">
        <v>2885</v>
      </c>
      <c r="B3503" s="0" t="s">
        <v>134</v>
      </c>
      <c r="C3503" s="0" t="s">
        <v>3450</v>
      </c>
      <c r="D3503" s="0" t="s">
        <v>3448</v>
      </c>
      <c r="E3503" s="0" t="s">
        <v>4969</v>
      </c>
      <c r="F3503" s="0" t="s">
        <v>63</v>
      </c>
      <c r="G3503" s="0" t="s">
        <v>4220</v>
      </c>
      <c r="H3503" s="0" t="s">
        <v>6133</v>
      </c>
      <c r="I3503" s="0" t="s">
        <v>4979</v>
      </c>
      <c r="J3503" s="20" t="s">
        <v>25</v>
      </c>
    </row>
    <row r="3504" customFormat="false" ht="15" hidden="false" customHeight="false" outlineLevel="0" collapsed="false">
      <c r="A3504" s="0" t="s">
        <v>2885</v>
      </c>
      <c r="B3504" s="0" t="s">
        <v>134</v>
      </c>
      <c r="C3504" s="0" t="s">
        <v>3447</v>
      </c>
      <c r="D3504" s="0" t="s">
        <v>3457</v>
      </c>
      <c r="E3504" s="0" t="s">
        <v>4963</v>
      </c>
      <c r="F3504" s="0" t="s">
        <v>59</v>
      </c>
      <c r="G3504" s="0" t="s">
        <v>4974</v>
      </c>
      <c r="H3504" s="0" t="s">
        <v>69</v>
      </c>
      <c r="I3504" s="0" t="s">
        <v>4975</v>
      </c>
      <c r="J3504" s="20" t="s">
        <v>25</v>
      </c>
    </row>
    <row r="3505" customFormat="false" ht="15" hidden="false" customHeight="false" outlineLevel="0" collapsed="false">
      <c r="A3505" s="0" t="s">
        <v>2885</v>
      </c>
      <c r="B3505" s="0" t="s">
        <v>134</v>
      </c>
      <c r="C3505" s="0" t="s">
        <v>3447</v>
      </c>
      <c r="D3505" s="0" t="s">
        <v>3448</v>
      </c>
      <c r="E3505" s="0" t="s">
        <v>4963</v>
      </c>
      <c r="F3505" s="0" t="s">
        <v>59</v>
      </c>
      <c r="G3505" s="0" t="s">
        <v>4974</v>
      </c>
      <c r="H3505" s="0" t="s">
        <v>69</v>
      </c>
      <c r="I3505" s="0" t="s">
        <v>4975</v>
      </c>
      <c r="J3505" s="20" t="s">
        <v>25</v>
      </c>
    </row>
    <row r="3506" customFormat="false" ht="15" hidden="false" customHeight="false" outlineLevel="0" collapsed="false">
      <c r="A3506" s="0" t="s">
        <v>2885</v>
      </c>
      <c r="B3506" s="0" t="s">
        <v>134</v>
      </c>
      <c r="C3506" s="0" t="s">
        <v>3447</v>
      </c>
      <c r="D3506" s="0" t="s">
        <v>3448</v>
      </c>
      <c r="E3506" s="0" t="s">
        <v>4969</v>
      </c>
      <c r="F3506" s="0" t="s">
        <v>61</v>
      </c>
      <c r="G3506" s="0" t="s">
        <v>4970</v>
      </c>
      <c r="H3506" s="0" t="s">
        <v>6134</v>
      </c>
      <c r="I3506" s="0" t="s">
        <v>4972</v>
      </c>
      <c r="J3506" s="20" t="s">
        <v>25</v>
      </c>
    </row>
    <row r="3507" customFormat="false" ht="15" hidden="false" customHeight="false" outlineLevel="0" collapsed="false">
      <c r="A3507" s="0" t="s">
        <v>2885</v>
      </c>
      <c r="B3507" s="0" t="s">
        <v>134</v>
      </c>
      <c r="C3507" s="0" t="s">
        <v>3447</v>
      </c>
      <c r="D3507" s="0" t="s">
        <v>3448</v>
      </c>
      <c r="E3507" s="0" t="s">
        <v>4969</v>
      </c>
      <c r="F3507" s="0" t="s">
        <v>63</v>
      </c>
      <c r="G3507" s="0" t="s">
        <v>4220</v>
      </c>
      <c r="H3507" s="0" t="s">
        <v>6133</v>
      </c>
      <c r="I3507" s="0" t="s">
        <v>4979</v>
      </c>
      <c r="J3507" s="20" t="s">
        <v>25</v>
      </c>
    </row>
    <row r="3508" customFormat="false" ht="15" hidden="false" customHeight="false" outlineLevel="0" collapsed="false">
      <c r="A3508" s="0" t="s">
        <v>2885</v>
      </c>
      <c r="B3508" s="0" t="s">
        <v>134</v>
      </c>
      <c r="C3508" s="0" t="s">
        <v>3450</v>
      </c>
      <c r="D3508" s="0" t="s">
        <v>3457</v>
      </c>
      <c r="E3508" s="0" t="s">
        <v>4963</v>
      </c>
      <c r="F3508" s="0" t="s">
        <v>30</v>
      </c>
      <c r="G3508" s="0" t="s">
        <v>4980</v>
      </c>
      <c r="H3508" s="0" t="s">
        <v>4242</v>
      </c>
      <c r="I3508" s="0" t="s">
        <v>4981</v>
      </c>
      <c r="J3508" s="18" t="s">
        <v>24</v>
      </c>
    </row>
    <row r="3509" customFormat="false" ht="15" hidden="false" customHeight="false" outlineLevel="0" collapsed="false">
      <c r="A3509" s="0" t="s">
        <v>2885</v>
      </c>
      <c r="B3509" s="0" t="s">
        <v>134</v>
      </c>
      <c r="C3509" s="0" t="s">
        <v>3450</v>
      </c>
      <c r="D3509" s="0" t="s">
        <v>3448</v>
      </c>
      <c r="E3509" s="0" t="s">
        <v>4963</v>
      </c>
      <c r="F3509" s="0" t="s">
        <v>30</v>
      </c>
      <c r="G3509" s="0" t="s">
        <v>4980</v>
      </c>
      <c r="H3509" s="0" t="s">
        <v>4874</v>
      </c>
      <c r="I3509" s="0" t="s">
        <v>4981</v>
      </c>
      <c r="J3509" s="18" t="s">
        <v>24</v>
      </c>
    </row>
    <row r="3510" customFormat="false" ht="15" hidden="false" customHeight="false" outlineLevel="0" collapsed="false">
      <c r="A3510" s="0" t="s">
        <v>2885</v>
      </c>
      <c r="B3510" s="0" t="s">
        <v>134</v>
      </c>
      <c r="C3510" s="0" t="s">
        <v>3447</v>
      </c>
      <c r="D3510" s="0" t="s">
        <v>3457</v>
      </c>
      <c r="E3510" s="0" t="s">
        <v>4963</v>
      </c>
      <c r="F3510" s="0" t="s">
        <v>30</v>
      </c>
      <c r="G3510" s="0" t="s">
        <v>4980</v>
      </c>
      <c r="H3510" s="0" t="s">
        <v>4275</v>
      </c>
      <c r="I3510" s="0" t="s">
        <v>4981</v>
      </c>
      <c r="J3510" s="18" t="s">
        <v>24</v>
      </c>
    </row>
    <row r="3511" customFormat="false" ht="15" hidden="false" customHeight="false" outlineLevel="0" collapsed="false">
      <c r="A3511" s="0" t="s">
        <v>2885</v>
      </c>
      <c r="B3511" s="0" t="s">
        <v>134</v>
      </c>
      <c r="C3511" s="0" t="s">
        <v>3447</v>
      </c>
      <c r="D3511" s="0" t="s">
        <v>3448</v>
      </c>
      <c r="E3511" s="0" t="s">
        <v>4963</v>
      </c>
      <c r="F3511" s="0" t="s">
        <v>30</v>
      </c>
      <c r="G3511" s="0" t="s">
        <v>4980</v>
      </c>
      <c r="H3511" s="0" t="s">
        <v>4874</v>
      </c>
      <c r="I3511" s="0" t="s">
        <v>4981</v>
      </c>
      <c r="J3511" s="18" t="s">
        <v>24</v>
      </c>
    </row>
    <row r="3512" customFormat="false" ht="15" hidden="false" customHeight="false" outlineLevel="0" collapsed="false">
      <c r="A3512" s="0" t="s">
        <v>2891</v>
      </c>
      <c r="B3512" s="0" t="s">
        <v>134</v>
      </c>
      <c r="C3512" s="0" t="s">
        <v>3450</v>
      </c>
      <c r="D3512" s="0" t="s">
        <v>3457</v>
      </c>
      <c r="E3512" s="0" t="s">
        <v>4963</v>
      </c>
      <c r="F3512" s="0" t="s">
        <v>60</v>
      </c>
      <c r="G3512" s="0" t="s">
        <v>4964</v>
      </c>
      <c r="H3512" s="0" t="s">
        <v>5016</v>
      </c>
      <c r="I3512" s="0" t="s">
        <v>4966</v>
      </c>
      <c r="J3512" s="19" t="s">
        <v>26</v>
      </c>
    </row>
    <row r="3513" customFormat="false" ht="15" hidden="false" customHeight="false" outlineLevel="0" collapsed="false">
      <c r="A3513" s="0" t="s">
        <v>2891</v>
      </c>
      <c r="B3513" s="0" t="s">
        <v>3459</v>
      </c>
      <c r="C3513" s="0" t="s">
        <v>3450</v>
      </c>
      <c r="D3513" s="0" t="s">
        <v>3457</v>
      </c>
      <c r="E3513" s="0" t="s">
        <v>4963</v>
      </c>
      <c r="F3513" s="0" t="s">
        <v>60</v>
      </c>
      <c r="G3513" s="0" t="s">
        <v>4964</v>
      </c>
      <c r="H3513" s="0" t="s">
        <v>5009</v>
      </c>
      <c r="I3513" s="0" t="s">
        <v>4966</v>
      </c>
      <c r="J3513" s="19" t="s">
        <v>26</v>
      </c>
    </row>
    <row r="3514" customFormat="false" ht="15" hidden="false" customHeight="false" outlineLevel="0" collapsed="false">
      <c r="A3514" s="0" t="s">
        <v>2891</v>
      </c>
      <c r="B3514" s="0" t="s">
        <v>134</v>
      </c>
      <c r="C3514" s="0" t="s">
        <v>3450</v>
      </c>
      <c r="D3514" s="0" t="s">
        <v>3457</v>
      </c>
      <c r="E3514" s="0" t="s">
        <v>4963</v>
      </c>
      <c r="F3514" s="0" t="s">
        <v>59</v>
      </c>
      <c r="G3514" s="0" t="s">
        <v>4974</v>
      </c>
      <c r="H3514" s="0" t="s">
        <v>69</v>
      </c>
      <c r="I3514" s="0" t="s">
        <v>4975</v>
      </c>
      <c r="J3514" s="20" t="s">
        <v>25</v>
      </c>
    </row>
    <row r="3515" customFormat="false" ht="15" hidden="false" customHeight="false" outlineLevel="0" collapsed="false">
      <c r="A3515" s="0" t="s">
        <v>2891</v>
      </c>
      <c r="B3515" s="0" t="s">
        <v>134</v>
      </c>
      <c r="C3515" s="0" t="s">
        <v>3450</v>
      </c>
      <c r="D3515" s="0" t="s">
        <v>3448</v>
      </c>
      <c r="E3515" s="0" t="s">
        <v>4969</v>
      </c>
      <c r="F3515" s="0" t="s">
        <v>61</v>
      </c>
      <c r="G3515" s="0" t="s">
        <v>4970</v>
      </c>
      <c r="H3515" s="0" t="s">
        <v>6135</v>
      </c>
      <c r="I3515" s="0" t="s">
        <v>4972</v>
      </c>
      <c r="J3515" s="20" t="s">
        <v>25</v>
      </c>
    </row>
    <row r="3516" customFormat="false" ht="15" hidden="false" customHeight="false" outlineLevel="0" collapsed="false">
      <c r="A3516" s="0" t="s">
        <v>2891</v>
      </c>
      <c r="B3516" s="0" t="s">
        <v>134</v>
      </c>
      <c r="C3516" s="0" t="s">
        <v>3450</v>
      </c>
      <c r="D3516" s="0" t="s">
        <v>3448</v>
      </c>
      <c r="E3516" s="0" t="s">
        <v>4969</v>
      </c>
      <c r="F3516" s="0" t="s">
        <v>64</v>
      </c>
      <c r="G3516" s="0" t="s">
        <v>4220</v>
      </c>
      <c r="H3516" s="0" t="s">
        <v>6136</v>
      </c>
      <c r="I3516" s="0" t="s">
        <v>4991</v>
      </c>
      <c r="J3516" s="20" t="s">
        <v>25</v>
      </c>
    </row>
    <row r="3517" customFormat="false" ht="15" hidden="false" customHeight="false" outlineLevel="0" collapsed="false">
      <c r="A3517" s="0" t="s">
        <v>2891</v>
      </c>
      <c r="B3517" s="0" t="s">
        <v>134</v>
      </c>
      <c r="C3517" s="0" t="s">
        <v>3447</v>
      </c>
      <c r="D3517" s="0" t="s">
        <v>3448</v>
      </c>
      <c r="E3517" s="0" t="s">
        <v>4969</v>
      </c>
      <c r="F3517" s="0" t="s">
        <v>61</v>
      </c>
      <c r="G3517" s="0" t="s">
        <v>4970</v>
      </c>
      <c r="H3517" s="0" t="s">
        <v>6137</v>
      </c>
      <c r="I3517" s="0" t="s">
        <v>4972</v>
      </c>
      <c r="J3517" s="20" t="s">
        <v>25</v>
      </c>
    </row>
    <row r="3518" customFormat="false" ht="15" hidden="false" customHeight="false" outlineLevel="0" collapsed="false">
      <c r="A3518" s="0" t="s">
        <v>2891</v>
      </c>
      <c r="B3518" s="0" t="s">
        <v>134</v>
      </c>
      <c r="C3518" s="0" t="s">
        <v>3447</v>
      </c>
      <c r="D3518" s="0" t="s">
        <v>3448</v>
      </c>
      <c r="E3518" s="0" t="s">
        <v>4969</v>
      </c>
      <c r="F3518" s="0" t="s">
        <v>64</v>
      </c>
      <c r="G3518" s="0" t="s">
        <v>4220</v>
      </c>
      <c r="H3518" s="0" t="s">
        <v>6136</v>
      </c>
      <c r="I3518" s="0" t="s">
        <v>4991</v>
      </c>
      <c r="J3518" s="20" t="s">
        <v>25</v>
      </c>
    </row>
    <row r="3519" customFormat="false" ht="15" hidden="false" customHeight="false" outlineLevel="0" collapsed="false">
      <c r="A3519" s="0" t="s">
        <v>2891</v>
      </c>
      <c r="B3519" s="0" t="s">
        <v>3459</v>
      </c>
      <c r="C3519" s="0" t="s">
        <v>3450</v>
      </c>
      <c r="D3519" s="0" t="s">
        <v>3457</v>
      </c>
      <c r="E3519" s="0" t="s">
        <v>4963</v>
      </c>
      <c r="F3519" s="0" t="s">
        <v>59</v>
      </c>
      <c r="G3519" s="0" t="s">
        <v>4974</v>
      </c>
      <c r="H3519" s="0" t="s">
        <v>69</v>
      </c>
      <c r="I3519" s="0" t="s">
        <v>4975</v>
      </c>
      <c r="J3519" s="20" t="s">
        <v>25</v>
      </c>
    </row>
    <row r="3520" customFormat="false" ht="15" hidden="false" customHeight="false" outlineLevel="0" collapsed="false">
      <c r="A3520" s="0" t="s">
        <v>2891</v>
      </c>
      <c r="B3520" s="0" t="s">
        <v>3459</v>
      </c>
      <c r="C3520" s="0" t="s">
        <v>3450</v>
      </c>
      <c r="D3520" s="0" t="s">
        <v>3457</v>
      </c>
      <c r="E3520" s="0" t="s">
        <v>4969</v>
      </c>
      <c r="F3520" s="0" t="s">
        <v>61</v>
      </c>
      <c r="G3520" s="0" t="s">
        <v>4970</v>
      </c>
      <c r="H3520" s="0" t="s">
        <v>6138</v>
      </c>
      <c r="I3520" s="0" t="s">
        <v>4972</v>
      </c>
      <c r="J3520" s="20" t="s">
        <v>25</v>
      </c>
    </row>
    <row r="3521" customFormat="false" ht="15" hidden="false" customHeight="false" outlineLevel="0" collapsed="false">
      <c r="A3521" s="0" t="s">
        <v>2891</v>
      </c>
      <c r="B3521" s="0" t="s">
        <v>3459</v>
      </c>
      <c r="C3521" s="0" t="s">
        <v>3450</v>
      </c>
      <c r="D3521" s="0" t="s">
        <v>3448</v>
      </c>
      <c r="E3521" s="0" t="s">
        <v>4963</v>
      </c>
      <c r="F3521" s="0" t="s">
        <v>59</v>
      </c>
      <c r="G3521" s="0" t="s">
        <v>4974</v>
      </c>
      <c r="H3521" s="0" t="s">
        <v>69</v>
      </c>
      <c r="I3521" s="0" t="s">
        <v>4975</v>
      </c>
      <c r="J3521" s="20" t="s">
        <v>25</v>
      </c>
    </row>
    <row r="3522" customFormat="false" ht="15" hidden="false" customHeight="false" outlineLevel="0" collapsed="false">
      <c r="A3522" s="0" t="s">
        <v>2891</v>
      </c>
      <c r="B3522" s="0" t="s">
        <v>3459</v>
      </c>
      <c r="C3522" s="0" t="s">
        <v>3450</v>
      </c>
      <c r="D3522" s="0" t="s">
        <v>3448</v>
      </c>
      <c r="E3522" s="0" t="s">
        <v>4969</v>
      </c>
      <c r="F3522" s="0" t="s">
        <v>61</v>
      </c>
      <c r="G3522" s="0" t="s">
        <v>4970</v>
      </c>
      <c r="H3522" s="0" t="s">
        <v>6139</v>
      </c>
      <c r="I3522" s="0" t="s">
        <v>4972</v>
      </c>
      <c r="J3522" s="20" t="s">
        <v>25</v>
      </c>
    </row>
    <row r="3523" customFormat="false" ht="15" hidden="false" customHeight="false" outlineLevel="0" collapsed="false">
      <c r="A3523" s="0" t="s">
        <v>2891</v>
      </c>
      <c r="B3523" s="0" t="s">
        <v>3459</v>
      </c>
      <c r="C3523" s="0" t="s">
        <v>3447</v>
      </c>
      <c r="D3523" s="0" t="s">
        <v>3457</v>
      </c>
      <c r="E3523" s="0" t="s">
        <v>4969</v>
      </c>
      <c r="F3523" s="0" t="s">
        <v>61</v>
      </c>
      <c r="G3523" s="0" t="s">
        <v>4970</v>
      </c>
      <c r="H3523" s="0" t="s">
        <v>6140</v>
      </c>
      <c r="I3523" s="0" t="s">
        <v>4972</v>
      </c>
      <c r="J3523" s="20" t="s">
        <v>25</v>
      </c>
    </row>
    <row r="3524" customFormat="false" ht="15" hidden="false" customHeight="false" outlineLevel="0" collapsed="false">
      <c r="A3524" s="0" t="s">
        <v>2891</v>
      </c>
      <c r="B3524" s="0" t="s">
        <v>134</v>
      </c>
      <c r="C3524" s="0" t="s">
        <v>3447</v>
      </c>
      <c r="D3524" s="0" t="s">
        <v>3457</v>
      </c>
      <c r="E3524" s="0" t="s">
        <v>4963</v>
      </c>
      <c r="F3524" s="0" t="s">
        <v>30</v>
      </c>
      <c r="G3524" s="0" t="s">
        <v>4980</v>
      </c>
      <c r="H3524" s="0" t="s">
        <v>4272</v>
      </c>
      <c r="I3524" s="0" t="s">
        <v>4981</v>
      </c>
      <c r="J3524" s="18" t="s">
        <v>24</v>
      </c>
    </row>
    <row r="3525" customFormat="false" ht="15" hidden="false" customHeight="false" outlineLevel="0" collapsed="false">
      <c r="A3525" s="0" t="s">
        <v>2891</v>
      </c>
      <c r="B3525" s="0" t="s">
        <v>134</v>
      </c>
      <c r="C3525" s="0" t="s">
        <v>3447</v>
      </c>
      <c r="D3525" s="0" t="s">
        <v>3448</v>
      </c>
      <c r="E3525" s="0" t="s">
        <v>4963</v>
      </c>
      <c r="F3525" s="0" t="s">
        <v>30</v>
      </c>
      <c r="G3525" s="0" t="s">
        <v>4980</v>
      </c>
      <c r="H3525" s="0" t="s">
        <v>4679</v>
      </c>
      <c r="I3525" s="0" t="s">
        <v>4981</v>
      </c>
      <c r="J3525" s="18" t="s">
        <v>24</v>
      </c>
    </row>
    <row r="3526" customFormat="false" ht="15" hidden="false" customHeight="false" outlineLevel="0" collapsed="false">
      <c r="A3526" s="0" t="s">
        <v>2891</v>
      </c>
      <c r="B3526" s="0" t="s">
        <v>3459</v>
      </c>
      <c r="C3526" s="0" t="s">
        <v>3450</v>
      </c>
      <c r="D3526" s="0" t="s">
        <v>3448</v>
      </c>
      <c r="E3526" s="0" t="s">
        <v>4963</v>
      </c>
      <c r="F3526" s="0" t="s">
        <v>30</v>
      </c>
      <c r="G3526" s="0" t="s">
        <v>4980</v>
      </c>
      <c r="H3526" s="0" t="s">
        <v>4242</v>
      </c>
      <c r="I3526" s="0" t="s">
        <v>4981</v>
      </c>
      <c r="J3526" s="18" t="s">
        <v>24</v>
      </c>
    </row>
    <row r="3527" customFormat="false" ht="15" hidden="false" customHeight="false" outlineLevel="0" collapsed="false">
      <c r="A3527" s="0" t="s">
        <v>2891</v>
      </c>
      <c r="B3527" s="0" t="s">
        <v>3459</v>
      </c>
      <c r="C3527" s="0" t="s">
        <v>3447</v>
      </c>
      <c r="D3527" s="0" t="s">
        <v>3457</v>
      </c>
      <c r="E3527" s="0" t="s">
        <v>4963</v>
      </c>
      <c r="F3527" s="0" t="s">
        <v>30</v>
      </c>
      <c r="G3527" s="0" t="s">
        <v>4980</v>
      </c>
      <c r="H3527" s="0" t="s">
        <v>4288</v>
      </c>
      <c r="I3527" s="0" t="s">
        <v>4981</v>
      </c>
      <c r="J3527" s="18" t="s">
        <v>24</v>
      </c>
    </row>
    <row r="3528" customFormat="false" ht="15" hidden="false" customHeight="false" outlineLevel="0" collapsed="false">
      <c r="A3528" s="0" t="s">
        <v>2891</v>
      </c>
      <c r="B3528" s="0" t="s">
        <v>3459</v>
      </c>
      <c r="C3528" s="0" t="s">
        <v>3447</v>
      </c>
      <c r="D3528" s="0" t="s">
        <v>3448</v>
      </c>
      <c r="E3528" s="0" t="s">
        <v>4963</v>
      </c>
      <c r="F3528" s="0" t="s">
        <v>30</v>
      </c>
      <c r="G3528" s="0" t="s">
        <v>4980</v>
      </c>
      <c r="H3528" s="0" t="s">
        <v>4433</v>
      </c>
      <c r="I3528" s="0" t="s">
        <v>4981</v>
      </c>
      <c r="J3528" s="18" t="s">
        <v>24</v>
      </c>
    </row>
    <row r="3529" customFormat="false" ht="15" hidden="false" customHeight="false" outlineLevel="0" collapsed="false">
      <c r="A3529" s="0" t="s">
        <v>2897</v>
      </c>
      <c r="B3529" s="0" t="s">
        <v>3459</v>
      </c>
      <c r="C3529" s="0" t="s">
        <v>3447</v>
      </c>
      <c r="D3529" s="0" t="s">
        <v>3457</v>
      </c>
      <c r="E3529" s="0" t="s">
        <v>4963</v>
      </c>
      <c r="F3529" s="0" t="s">
        <v>60</v>
      </c>
      <c r="G3529" s="0" t="s">
        <v>4964</v>
      </c>
      <c r="H3529" s="0" t="s">
        <v>5516</v>
      </c>
      <c r="I3529" s="0" t="s">
        <v>4966</v>
      </c>
      <c r="J3529" s="19" t="s">
        <v>26</v>
      </c>
    </row>
    <row r="3530" customFormat="false" ht="15" hidden="false" customHeight="false" outlineLevel="0" collapsed="false">
      <c r="A3530" s="0" t="s">
        <v>2897</v>
      </c>
      <c r="B3530" s="0" t="s">
        <v>134</v>
      </c>
      <c r="C3530" s="0" t="s">
        <v>3450</v>
      </c>
      <c r="D3530" s="0" t="s">
        <v>3457</v>
      </c>
      <c r="E3530" s="0" t="s">
        <v>4969</v>
      </c>
      <c r="F3530" s="0" t="s">
        <v>62</v>
      </c>
      <c r="G3530" s="0" t="s">
        <v>5003</v>
      </c>
      <c r="H3530" s="0" t="s">
        <v>6141</v>
      </c>
      <c r="I3530" s="0" t="s">
        <v>5005</v>
      </c>
      <c r="J3530" s="20" t="s">
        <v>25</v>
      </c>
    </row>
    <row r="3531" customFormat="false" ht="15" hidden="false" customHeight="false" outlineLevel="0" collapsed="false">
      <c r="A3531" s="0" t="s">
        <v>2897</v>
      </c>
      <c r="B3531" s="0" t="s">
        <v>134</v>
      </c>
      <c r="C3531" s="0" t="s">
        <v>3450</v>
      </c>
      <c r="D3531" s="0" t="s">
        <v>3448</v>
      </c>
      <c r="E3531" s="0" t="s">
        <v>4969</v>
      </c>
      <c r="F3531" s="0" t="s">
        <v>62</v>
      </c>
      <c r="G3531" s="0" t="s">
        <v>5003</v>
      </c>
      <c r="H3531" s="0" t="s">
        <v>6142</v>
      </c>
      <c r="I3531" s="0" t="s">
        <v>5005</v>
      </c>
      <c r="J3531" s="20" t="s">
        <v>25</v>
      </c>
    </row>
    <row r="3532" customFormat="false" ht="15" hidden="false" customHeight="false" outlineLevel="0" collapsed="false">
      <c r="A3532" s="0" t="s">
        <v>2897</v>
      </c>
      <c r="B3532" s="0" t="s">
        <v>3459</v>
      </c>
      <c r="C3532" s="0" t="s">
        <v>3450</v>
      </c>
      <c r="D3532" s="0" t="s">
        <v>3457</v>
      </c>
      <c r="E3532" s="0" t="s">
        <v>4963</v>
      </c>
      <c r="F3532" s="0" t="s">
        <v>59</v>
      </c>
      <c r="G3532" s="0" t="s">
        <v>4974</v>
      </c>
      <c r="H3532" s="0" t="s">
        <v>69</v>
      </c>
      <c r="I3532" s="0" t="s">
        <v>4975</v>
      </c>
      <c r="J3532" s="20" t="s">
        <v>25</v>
      </c>
    </row>
    <row r="3533" customFormat="false" ht="15" hidden="false" customHeight="false" outlineLevel="0" collapsed="false">
      <c r="A3533" s="0" t="s">
        <v>2897</v>
      </c>
      <c r="B3533" s="0" t="s">
        <v>3459</v>
      </c>
      <c r="C3533" s="0" t="s">
        <v>3450</v>
      </c>
      <c r="D3533" s="0" t="s">
        <v>3457</v>
      </c>
      <c r="E3533" s="0" t="s">
        <v>4969</v>
      </c>
      <c r="F3533" s="0" t="s">
        <v>61</v>
      </c>
      <c r="G3533" s="0" t="s">
        <v>4970</v>
      </c>
      <c r="H3533" s="0" t="s">
        <v>6143</v>
      </c>
      <c r="I3533" s="0" t="s">
        <v>4972</v>
      </c>
      <c r="J3533" s="20" t="s">
        <v>25</v>
      </c>
    </row>
    <row r="3534" customFormat="false" ht="15" hidden="false" customHeight="false" outlineLevel="0" collapsed="false">
      <c r="A3534" s="0" t="s">
        <v>2897</v>
      </c>
      <c r="B3534" s="0" t="s">
        <v>3459</v>
      </c>
      <c r="C3534" s="0" t="s">
        <v>3450</v>
      </c>
      <c r="D3534" s="0" t="s">
        <v>3457</v>
      </c>
      <c r="E3534" s="0" t="s">
        <v>4969</v>
      </c>
      <c r="F3534" s="0" t="s">
        <v>62</v>
      </c>
      <c r="G3534" s="0" t="s">
        <v>5003</v>
      </c>
      <c r="H3534" s="0" t="s">
        <v>6144</v>
      </c>
      <c r="I3534" s="0" t="s">
        <v>5005</v>
      </c>
      <c r="J3534" s="20" t="s">
        <v>25</v>
      </c>
    </row>
    <row r="3535" customFormat="false" ht="15" hidden="false" customHeight="false" outlineLevel="0" collapsed="false">
      <c r="A3535" s="0" t="s">
        <v>2897</v>
      </c>
      <c r="B3535" s="0" t="s">
        <v>3459</v>
      </c>
      <c r="C3535" s="0" t="s">
        <v>3450</v>
      </c>
      <c r="D3535" s="0" t="s">
        <v>3448</v>
      </c>
      <c r="E3535" s="0" t="s">
        <v>4969</v>
      </c>
      <c r="F3535" s="0" t="s">
        <v>62</v>
      </c>
      <c r="G3535" s="0" t="s">
        <v>5003</v>
      </c>
      <c r="H3535" s="0" t="s">
        <v>6145</v>
      </c>
      <c r="I3535" s="0" t="s">
        <v>5005</v>
      </c>
      <c r="J3535" s="20" t="s">
        <v>25</v>
      </c>
    </row>
    <row r="3536" customFormat="false" ht="15" hidden="false" customHeight="false" outlineLevel="0" collapsed="false">
      <c r="A3536" s="0" t="s">
        <v>2897</v>
      </c>
      <c r="B3536" s="0" t="s">
        <v>3459</v>
      </c>
      <c r="C3536" s="0" t="s">
        <v>3447</v>
      </c>
      <c r="D3536" s="0" t="s">
        <v>3457</v>
      </c>
      <c r="E3536" s="0" t="s">
        <v>4963</v>
      </c>
      <c r="F3536" s="0" t="s">
        <v>59</v>
      </c>
      <c r="G3536" s="0" t="s">
        <v>4974</v>
      </c>
      <c r="H3536" s="0" t="s">
        <v>69</v>
      </c>
      <c r="I3536" s="0" t="s">
        <v>4975</v>
      </c>
      <c r="J3536" s="20" t="s">
        <v>25</v>
      </c>
    </row>
    <row r="3537" customFormat="false" ht="15" hidden="false" customHeight="false" outlineLevel="0" collapsed="false">
      <c r="A3537" s="0" t="s">
        <v>2897</v>
      </c>
      <c r="B3537" s="0" t="s">
        <v>3459</v>
      </c>
      <c r="C3537" s="0" t="s">
        <v>3447</v>
      </c>
      <c r="D3537" s="0" t="s">
        <v>3457</v>
      </c>
      <c r="E3537" s="0" t="s">
        <v>4969</v>
      </c>
      <c r="F3537" s="0" t="s">
        <v>61</v>
      </c>
      <c r="G3537" s="0" t="s">
        <v>4970</v>
      </c>
      <c r="H3537" s="0" t="s">
        <v>6146</v>
      </c>
      <c r="I3537" s="0" t="s">
        <v>4972</v>
      </c>
      <c r="J3537" s="20" t="s">
        <v>25</v>
      </c>
    </row>
    <row r="3538" customFormat="false" ht="15" hidden="false" customHeight="false" outlineLevel="0" collapsed="false">
      <c r="A3538" s="0" t="s">
        <v>2897</v>
      </c>
      <c r="B3538" s="0" t="s">
        <v>3459</v>
      </c>
      <c r="C3538" s="0" t="s">
        <v>3447</v>
      </c>
      <c r="D3538" s="0" t="s">
        <v>3448</v>
      </c>
      <c r="E3538" s="0" t="s">
        <v>4963</v>
      </c>
      <c r="F3538" s="0" t="s">
        <v>59</v>
      </c>
      <c r="G3538" s="0" t="s">
        <v>4974</v>
      </c>
      <c r="H3538" s="0" t="s">
        <v>69</v>
      </c>
      <c r="I3538" s="0" t="s">
        <v>4975</v>
      </c>
      <c r="J3538" s="20" t="s">
        <v>25</v>
      </c>
    </row>
    <row r="3539" customFormat="false" ht="15" hidden="false" customHeight="false" outlineLevel="0" collapsed="false">
      <c r="A3539" s="0" t="s">
        <v>2897</v>
      </c>
      <c r="B3539" s="0" t="s">
        <v>134</v>
      </c>
      <c r="C3539" s="0" t="s">
        <v>3450</v>
      </c>
      <c r="D3539" s="0" t="s">
        <v>3448</v>
      </c>
      <c r="E3539" s="0" t="s">
        <v>4963</v>
      </c>
      <c r="F3539" s="0" t="s">
        <v>30</v>
      </c>
      <c r="G3539" s="0" t="s">
        <v>4980</v>
      </c>
      <c r="H3539" s="0" t="s">
        <v>4426</v>
      </c>
      <c r="I3539" s="0" t="s">
        <v>4981</v>
      </c>
      <c r="J3539" s="18" t="s">
        <v>24</v>
      </c>
    </row>
    <row r="3540" customFormat="false" ht="15" hidden="false" customHeight="false" outlineLevel="0" collapsed="false">
      <c r="A3540" s="0" t="s">
        <v>2897</v>
      </c>
      <c r="B3540" s="0" t="s">
        <v>134</v>
      </c>
      <c r="C3540" s="0" t="s">
        <v>3447</v>
      </c>
      <c r="D3540" s="0" t="s">
        <v>3448</v>
      </c>
      <c r="E3540" s="0" t="s">
        <v>4963</v>
      </c>
      <c r="F3540" s="0" t="s">
        <v>30</v>
      </c>
      <c r="G3540" s="0" t="s">
        <v>4980</v>
      </c>
      <c r="H3540" s="0" t="s">
        <v>4875</v>
      </c>
      <c r="I3540" s="0" t="s">
        <v>4981</v>
      </c>
      <c r="J3540" s="18" t="s">
        <v>24</v>
      </c>
    </row>
    <row r="3541" customFormat="false" ht="15" hidden="false" customHeight="false" outlineLevel="0" collapsed="false">
      <c r="A3541" s="0" t="s">
        <v>2897</v>
      </c>
      <c r="B3541" s="0" t="s">
        <v>3459</v>
      </c>
      <c r="C3541" s="0" t="s">
        <v>3450</v>
      </c>
      <c r="D3541" s="0" t="s">
        <v>3457</v>
      </c>
      <c r="E3541" s="0" t="s">
        <v>4963</v>
      </c>
      <c r="F3541" s="0" t="s">
        <v>30</v>
      </c>
      <c r="G3541" s="0" t="s">
        <v>4980</v>
      </c>
      <c r="H3541" s="0" t="s">
        <v>4275</v>
      </c>
      <c r="I3541" s="0" t="s">
        <v>4981</v>
      </c>
      <c r="J3541" s="18" t="s">
        <v>24</v>
      </c>
    </row>
    <row r="3542" customFormat="false" ht="15" hidden="false" customHeight="false" outlineLevel="0" collapsed="false">
      <c r="A3542" s="0" t="s">
        <v>2897</v>
      </c>
      <c r="B3542" s="0" t="s">
        <v>3459</v>
      </c>
      <c r="C3542" s="0" t="s">
        <v>3447</v>
      </c>
      <c r="D3542" s="0" t="s">
        <v>3448</v>
      </c>
      <c r="E3542" s="0" t="s">
        <v>4963</v>
      </c>
      <c r="F3542" s="0" t="s">
        <v>30</v>
      </c>
      <c r="G3542" s="0" t="s">
        <v>4980</v>
      </c>
      <c r="H3542" s="0" t="s">
        <v>4238</v>
      </c>
      <c r="I3542" s="0" t="s">
        <v>4981</v>
      </c>
      <c r="J3542" s="18" t="s">
        <v>24</v>
      </c>
    </row>
    <row r="3543" customFormat="false" ht="15" hidden="false" customHeight="false" outlineLevel="0" collapsed="false">
      <c r="A3543" s="0" t="s">
        <v>2903</v>
      </c>
      <c r="B3543" s="0" t="s">
        <v>134</v>
      </c>
      <c r="C3543" s="0" t="s">
        <v>3447</v>
      </c>
      <c r="D3543" s="0" t="s">
        <v>3457</v>
      </c>
      <c r="E3543" s="0" t="s">
        <v>4963</v>
      </c>
      <c r="F3543" s="0" t="s">
        <v>60</v>
      </c>
      <c r="G3543" s="0" t="s">
        <v>4964</v>
      </c>
      <c r="H3543" s="0" t="s">
        <v>6147</v>
      </c>
      <c r="I3543" s="0" t="s">
        <v>4966</v>
      </c>
      <c r="J3543" s="19" t="s">
        <v>26</v>
      </c>
    </row>
    <row r="3544" customFormat="false" ht="15" hidden="false" customHeight="false" outlineLevel="0" collapsed="false">
      <c r="A3544" s="0" t="s">
        <v>2903</v>
      </c>
      <c r="B3544" s="0" t="s">
        <v>134</v>
      </c>
      <c r="C3544" s="0" t="s">
        <v>3447</v>
      </c>
      <c r="D3544" s="0" t="s">
        <v>3448</v>
      </c>
      <c r="E3544" s="0" t="s">
        <v>4963</v>
      </c>
      <c r="F3544" s="0" t="s">
        <v>60</v>
      </c>
      <c r="G3544" s="0" t="s">
        <v>4964</v>
      </c>
      <c r="H3544" s="0" t="s">
        <v>6148</v>
      </c>
      <c r="I3544" s="0" t="s">
        <v>4966</v>
      </c>
      <c r="J3544" s="19" t="s">
        <v>26</v>
      </c>
    </row>
    <row r="3545" customFormat="false" ht="15" hidden="false" customHeight="false" outlineLevel="0" collapsed="false">
      <c r="A3545" s="0" t="s">
        <v>2903</v>
      </c>
      <c r="B3545" s="0" t="s">
        <v>134</v>
      </c>
      <c r="C3545" s="0" t="s">
        <v>3450</v>
      </c>
      <c r="D3545" s="0" t="s">
        <v>3457</v>
      </c>
      <c r="E3545" s="0" t="s">
        <v>4963</v>
      </c>
      <c r="F3545" s="0" t="s">
        <v>59</v>
      </c>
      <c r="G3545" s="0" t="s">
        <v>4974</v>
      </c>
      <c r="H3545" s="0" t="s">
        <v>69</v>
      </c>
      <c r="I3545" s="0" t="s">
        <v>4975</v>
      </c>
      <c r="J3545" s="20" t="s">
        <v>25</v>
      </c>
    </row>
    <row r="3546" customFormat="false" ht="15" hidden="false" customHeight="false" outlineLevel="0" collapsed="false">
      <c r="A3546" s="0" t="s">
        <v>2903</v>
      </c>
      <c r="B3546" s="0" t="s">
        <v>134</v>
      </c>
      <c r="C3546" s="0" t="s">
        <v>3450</v>
      </c>
      <c r="D3546" s="0" t="s">
        <v>3457</v>
      </c>
      <c r="E3546" s="0" t="s">
        <v>4969</v>
      </c>
      <c r="F3546" s="0" t="s">
        <v>61</v>
      </c>
      <c r="G3546" s="0" t="s">
        <v>4970</v>
      </c>
      <c r="H3546" s="0" t="s">
        <v>6149</v>
      </c>
      <c r="I3546" s="0" t="s">
        <v>4972</v>
      </c>
      <c r="J3546" s="20" t="s">
        <v>25</v>
      </c>
    </row>
    <row r="3547" customFormat="false" ht="15" hidden="false" customHeight="false" outlineLevel="0" collapsed="false">
      <c r="A3547" s="0" t="s">
        <v>2903</v>
      </c>
      <c r="B3547" s="0" t="s">
        <v>134</v>
      </c>
      <c r="C3547" s="0" t="s">
        <v>3450</v>
      </c>
      <c r="D3547" s="0" t="s">
        <v>3448</v>
      </c>
      <c r="E3547" s="0" t="s">
        <v>4963</v>
      </c>
      <c r="F3547" s="0" t="s">
        <v>59</v>
      </c>
      <c r="G3547" s="0" t="s">
        <v>4974</v>
      </c>
      <c r="H3547" s="0" t="s">
        <v>69</v>
      </c>
      <c r="I3547" s="0" t="s">
        <v>4975</v>
      </c>
      <c r="J3547" s="20" t="s">
        <v>25</v>
      </c>
    </row>
    <row r="3548" customFormat="false" ht="15" hidden="false" customHeight="false" outlineLevel="0" collapsed="false">
      <c r="A3548" s="0" t="s">
        <v>2903</v>
      </c>
      <c r="B3548" s="0" t="s">
        <v>134</v>
      </c>
      <c r="C3548" s="0" t="s">
        <v>3450</v>
      </c>
      <c r="D3548" s="0" t="s">
        <v>3448</v>
      </c>
      <c r="E3548" s="0" t="s">
        <v>4969</v>
      </c>
      <c r="F3548" s="0" t="s">
        <v>61</v>
      </c>
      <c r="G3548" s="0" t="s">
        <v>4970</v>
      </c>
      <c r="H3548" s="0" t="s">
        <v>6150</v>
      </c>
      <c r="I3548" s="0" t="s">
        <v>4972</v>
      </c>
      <c r="J3548" s="20" t="s">
        <v>25</v>
      </c>
    </row>
    <row r="3549" customFormat="false" ht="15" hidden="false" customHeight="false" outlineLevel="0" collapsed="false">
      <c r="A3549" s="0" t="s">
        <v>2903</v>
      </c>
      <c r="B3549" s="0" t="s">
        <v>134</v>
      </c>
      <c r="C3549" s="0" t="s">
        <v>3447</v>
      </c>
      <c r="D3549" s="0" t="s">
        <v>3457</v>
      </c>
      <c r="E3549" s="0" t="s">
        <v>4969</v>
      </c>
      <c r="F3549" s="0" t="s">
        <v>61</v>
      </c>
      <c r="G3549" s="0" t="s">
        <v>4970</v>
      </c>
      <c r="H3549" s="0" t="s">
        <v>6151</v>
      </c>
      <c r="I3549" s="0" t="s">
        <v>4972</v>
      </c>
      <c r="J3549" s="20" t="s">
        <v>25</v>
      </c>
    </row>
    <row r="3550" customFormat="false" ht="15" hidden="false" customHeight="false" outlineLevel="0" collapsed="false">
      <c r="A3550" s="0" t="s">
        <v>2903</v>
      </c>
      <c r="B3550" s="0" t="s">
        <v>134</v>
      </c>
      <c r="C3550" s="0" t="s">
        <v>3450</v>
      </c>
      <c r="D3550" s="0" t="s">
        <v>3457</v>
      </c>
      <c r="E3550" s="0" t="s">
        <v>4963</v>
      </c>
      <c r="F3550" s="0" t="s">
        <v>30</v>
      </c>
      <c r="G3550" s="0" t="s">
        <v>4980</v>
      </c>
      <c r="H3550" s="0" t="s">
        <v>4331</v>
      </c>
      <c r="I3550" s="0" t="s">
        <v>4981</v>
      </c>
      <c r="J3550" s="18" t="s">
        <v>24</v>
      </c>
    </row>
    <row r="3551" customFormat="false" ht="15" hidden="false" customHeight="false" outlineLevel="0" collapsed="false">
      <c r="A3551" s="0" t="s">
        <v>2903</v>
      </c>
      <c r="B3551" s="0" t="s">
        <v>134</v>
      </c>
      <c r="C3551" s="0" t="s">
        <v>3450</v>
      </c>
      <c r="D3551" s="0" t="s">
        <v>3448</v>
      </c>
      <c r="E3551" s="0" t="s">
        <v>4963</v>
      </c>
      <c r="F3551" s="0" t="s">
        <v>30</v>
      </c>
      <c r="G3551" s="0" t="s">
        <v>4980</v>
      </c>
      <c r="H3551" s="0" t="s">
        <v>4331</v>
      </c>
      <c r="I3551" s="0" t="s">
        <v>4981</v>
      </c>
      <c r="J3551" s="18" t="s">
        <v>24</v>
      </c>
    </row>
    <row r="3552" customFormat="false" ht="15" hidden="false" customHeight="false" outlineLevel="0" collapsed="false">
      <c r="A3552" s="0" t="s">
        <v>2915</v>
      </c>
      <c r="B3552" s="0" t="s">
        <v>134</v>
      </c>
      <c r="C3552" s="0" t="s">
        <v>3450</v>
      </c>
      <c r="D3552" s="0" t="s">
        <v>3457</v>
      </c>
      <c r="E3552" s="0" t="s">
        <v>4969</v>
      </c>
      <c r="F3552" s="0" t="s">
        <v>63</v>
      </c>
      <c r="G3552" s="0" t="s">
        <v>4220</v>
      </c>
      <c r="H3552" s="0" t="s">
        <v>6152</v>
      </c>
      <c r="I3552" s="0" t="s">
        <v>4979</v>
      </c>
      <c r="J3552" s="20" t="s">
        <v>25</v>
      </c>
    </row>
    <row r="3553" customFormat="false" ht="15" hidden="false" customHeight="false" outlineLevel="0" collapsed="false">
      <c r="A3553" s="0" t="s">
        <v>2915</v>
      </c>
      <c r="B3553" s="0" t="s">
        <v>134</v>
      </c>
      <c r="C3553" s="0" t="s">
        <v>3450</v>
      </c>
      <c r="D3553" s="0" t="s">
        <v>3448</v>
      </c>
      <c r="E3553" s="0" t="s">
        <v>4969</v>
      </c>
      <c r="F3553" s="0" t="s">
        <v>62</v>
      </c>
      <c r="G3553" s="0" t="s">
        <v>5003</v>
      </c>
      <c r="H3553" s="0" t="s">
        <v>6153</v>
      </c>
      <c r="I3553" s="0" t="s">
        <v>5005</v>
      </c>
      <c r="J3553" s="20" t="s">
        <v>25</v>
      </c>
    </row>
    <row r="3554" customFormat="false" ht="15" hidden="false" customHeight="false" outlineLevel="0" collapsed="false">
      <c r="A3554" s="0" t="s">
        <v>2915</v>
      </c>
      <c r="B3554" s="0" t="s">
        <v>134</v>
      </c>
      <c r="C3554" s="0" t="s">
        <v>3447</v>
      </c>
      <c r="D3554" s="0" t="s">
        <v>3457</v>
      </c>
      <c r="E3554" s="0" t="s">
        <v>4969</v>
      </c>
      <c r="F3554" s="0" t="s">
        <v>63</v>
      </c>
      <c r="G3554" s="0" t="s">
        <v>4220</v>
      </c>
      <c r="H3554" s="0" t="s">
        <v>6152</v>
      </c>
      <c r="I3554" s="0" t="s">
        <v>4979</v>
      </c>
      <c r="J3554" s="20" t="s">
        <v>25</v>
      </c>
    </row>
    <row r="3555" customFormat="false" ht="15" hidden="false" customHeight="false" outlineLevel="0" collapsed="false">
      <c r="A3555" s="0" t="s">
        <v>2915</v>
      </c>
      <c r="B3555" s="0" t="s">
        <v>134</v>
      </c>
      <c r="C3555" s="0" t="s">
        <v>3447</v>
      </c>
      <c r="D3555" s="0" t="s">
        <v>3448</v>
      </c>
      <c r="E3555" s="0" t="s">
        <v>4963</v>
      </c>
      <c r="F3555" s="0" t="s">
        <v>30</v>
      </c>
      <c r="G3555" s="0" t="s">
        <v>4980</v>
      </c>
      <c r="H3555" s="0" t="s">
        <v>4280</v>
      </c>
      <c r="I3555" s="0" t="s">
        <v>4981</v>
      </c>
      <c r="J3555" s="18" t="s">
        <v>24</v>
      </c>
    </row>
    <row r="3556" customFormat="false" ht="15" hidden="false" customHeight="false" outlineLevel="0" collapsed="false">
      <c r="A3556" s="0" t="s">
        <v>2921</v>
      </c>
      <c r="B3556" s="0" t="s">
        <v>134</v>
      </c>
      <c r="C3556" s="0" t="s">
        <v>3450</v>
      </c>
      <c r="D3556" s="0" t="s">
        <v>3457</v>
      </c>
      <c r="E3556" s="0" t="s">
        <v>4963</v>
      </c>
      <c r="F3556" s="0" t="s">
        <v>59</v>
      </c>
      <c r="G3556" s="0" t="s">
        <v>4974</v>
      </c>
      <c r="H3556" s="0" t="s">
        <v>69</v>
      </c>
      <c r="I3556" s="0" t="s">
        <v>4975</v>
      </c>
      <c r="J3556" s="20" t="s">
        <v>25</v>
      </c>
    </row>
    <row r="3557" customFormat="false" ht="15" hidden="false" customHeight="false" outlineLevel="0" collapsed="false">
      <c r="A3557" s="0" t="s">
        <v>2921</v>
      </c>
      <c r="B3557" s="0" t="s">
        <v>134</v>
      </c>
      <c r="C3557" s="0" t="s">
        <v>3450</v>
      </c>
      <c r="D3557" s="0" t="s">
        <v>3448</v>
      </c>
      <c r="E3557" s="0" t="s">
        <v>4963</v>
      </c>
      <c r="F3557" s="0" t="s">
        <v>59</v>
      </c>
      <c r="G3557" s="0" t="s">
        <v>4974</v>
      </c>
      <c r="H3557" s="0" t="s">
        <v>69</v>
      </c>
      <c r="I3557" s="0" t="s">
        <v>4975</v>
      </c>
      <c r="J3557" s="20" t="s">
        <v>25</v>
      </c>
    </row>
    <row r="3558" customFormat="false" ht="15" hidden="false" customHeight="false" outlineLevel="0" collapsed="false">
      <c r="A3558" s="0" t="s">
        <v>2921</v>
      </c>
      <c r="B3558" s="0" t="s">
        <v>134</v>
      </c>
      <c r="C3558" s="0" t="s">
        <v>3450</v>
      </c>
      <c r="D3558" s="0" t="s">
        <v>3457</v>
      </c>
      <c r="E3558" s="0" t="s">
        <v>4963</v>
      </c>
      <c r="F3558" s="0" t="s">
        <v>30</v>
      </c>
      <c r="G3558" s="0" t="s">
        <v>4980</v>
      </c>
      <c r="H3558" s="0" t="s">
        <v>4629</v>
      </c>
      <c r="I3558" s="0" t="s">
        <v>4981</v>
      </c>
      <c r="J3558" s="18" t="s">
        <v>24</v>
      </c>
    </row>
    <row r="3559" customFormat="false" ht="15" hidden="false" customHeight="false" outlineLevel="0" collapsed="false">
      <c r="A3559" s="0" t="s">
        <v>2921</v>
      </c>
      <c r="B3559" s="0" t="s">
        <v>134</v>
      </c>
      <c r="C3559" s="0" t="s">
        <v>3450</v>
      </c>
      <c r="D3559" s="0" t="s">
        <v>3448</v>
      </c>
      <c r="E3559" s="0" t="s">
        <v>4963</v>
      </c>
      <c r="F3559" s="0" t="s">
        <v>30</v>
      </c>
      <c r="G3559" s="0" t="s">
        <v>4980</v>
      </c>
      <c r="H3559" s="0" t="s">
        <v>4353</v>
      </c>
      <c r="I3559" s="0" t="s">
        <v>4981</v>
      </c>
      <c r="J3559" s="18" t="s">
        <v>24</v>
      </c>
    </row>
    <row r="3560" customFormat="false" ht="15" hidden="false" customHeight="false" outlineLevel="0" collapsed="false">
      <c r="A3560" s="0" t="s">
        <v>2921</v>
      </c>
      <c r="B3560" s="0" t="s">
        <v>134</v>
      </c>
      <c r="C3560" s="0" t="s">
        <v>3447</v>
      </c>
      <c r="D3560" s="0" t="s">
        <v>3457</v>
      </c>
      <c r="E3560" s="0" t="s">
        <v>4963</v>
      </c>
      <c r="F3560" s="0" t="s">
        <v>30</v>
      </c>
      <c r="G3560" s="0" t="s">
        <v>4980</v>
      </c>
      <c r="H3560" s="0" t="s">
        <v>4367</v>
      </c>
      <c r="I3560" s="0" t="s">
        <v>4981</v>
      </c>
      <c r="J3560" s="18" t="s">
        <v>24</v>
      </c>
    </row>
    <row r="3561" customFormat="false" ht="15" hidden="false" customHeight="false" outlineLevel="0" collapsed="false">
      <c r="A3561" s="0" t="s">
        <v>2921</v>
      </c>
      <c r="B3561" s="0" t="s">
        <v>134</v>
      </c>
      <c r="C3561" s="0" t="s">
        <v>3447</v>
      </c>
      <c r="D3561" s="0" t="s">
        <v>3448</v>
      </c>
      <c r="E3561" s="0" t="s">
        <v>4963</v>
      </c>
      <c r="F3561" s="0" t="s">
        <v>30</v>
      </c>
      <c r="G3561" s="0" t="s">
        <v>4980</v>
      </c>
      <c r="H3561" s="0" t="s">
        <v>4367</v>
      </c>
      <c r="I3561" s="0" t="s">
        <v>4981</v>
      </c>
      <c r="J3561" s="18" t="s">
        <v>24</v>
      </c>
    </row>
    <row r="3562" customFormat="false" ht="15" hidden="false" customHeight="false" outlineLevel="0" collapsed="false">
      <c r="A3562" s="0" t="s">
        <v>2932</v>
      </c>
      <c r="B3562" s="0" t="s">
        <v>134</v>
      </c>
      <c r="C3562" s="0" t="s">
        <v>3450</v>
      </c>
      <c r="D3562" s="0" t="s">
        <v>3457</v>
      </c>
      <c r="E3562" s="0" t="s">
        <v>4963</v>
      </c>
      <c r="F3562" s="0" t="s">
        <v>59</v>
      </c>
      <c r="G3562" s="0" t="s">
        <v>4974</v>
      </c>
      <c r="H3562" s="0" t="s">
        <v>70</v>
      </c>
      <c r="I3562" s="0" t="s">
        <v>4975</v>
      </c>
      <c r="J3562" s="20" t="s">
        <v>25</v>
      </c>
    </row>
    <row r="3563" customFormat="false" ht="15" hidden="false" customHeight="false" outlineLevel="0" collapsed="false">
      <c r="A3563" s="0" t="s">
        <v>2932</v>
      </c>
      <c r="B3563" s="0" t="s">
        <v>134</v>
      </c>
      <c r="C3563" s="0" t="s">
        <v>3450</v>
      </c>
      <c r="D3563" s="0" t="s">
        <v>3457</v>
      </c>
      <c r="E3563" s="0" t="s">
        <v>4969</v>
      </c>
      <c r="F3563" s="0" t="s">
        <v>62</v>
      </c>
      <c r="G3563" s="0" t="s">
        <v>5003</v>
      </c>
      <c r="H3563" s="0" t="s">
        <v>6154</v>
      </c>
      <c r="I3563" s="0" t="s">
        <v>5005</v>
      </c>
      <c r="J3563" s="20" t="s">
        <v>25</v>
      </c>
    </row>
    <row r="3564" customFormat="false" ht="15" hidden="false" customHeight="false" outlineLevel="0" collapsed="false">
      <c r="A3564" s="0" t="s">
        <v>2932</v>
      </c>
      <c r="B3564" s="0" t="s">
        <v>134</v>
      </c>
      <c r="C3564" s="0" t="s">
        <v>3450</v>
      </c>
      <c r="D3564" s="0" t="s">
        <v>3457</v>
      </c>
      <c r="E3564" s="0" t="s">
        <v>4969</v>
      </c>
      <c r="F3564" s="0" t="s">
        <v>64</v>
      </c>
      <c r="G3564" s="0" t="s">
        <v>4220</v>
      </c>
      <c r="H3564" s="0" t="s">
        <v>5569</v>
      </c>
      <c r="I3564" s="0" t="s">
        <v>4991</v>
      </c>
      <c r="J3564" s="20" t="s">
        <v>25</v>
      </c>
    </row>
    <row r="3565" customFormat="false" ht="15" hidden="false" customHeight="false" outlineLevel="0" collapsed="false">
      <c r="A3565" s="0" t="s">
        <v>2932</v>
      </c>
      <c r="B3565" s="0" t="s">
        <v>134</v>
      </c>
      <c r="C3565" s="0" t="s">
        <v>3450</v>
      </c>
      <c r="D3565" s="0" t="s">
        <v>3448</v>
      </c>
      <c r="E3565" s="0" t="s">
        <v>4963</v>
      </c>
      <c r="F3565" s="0" t="s">
        <v>59</v>
      </c>
      <c r="G3565" s="0" t="s">
        <v>4974</v>
      </c>
      <c r="H3565" s="0" t="s">
        <v>70</v>
      </c>
      <c r="I3565" s="0" t="s">
        <v>4975</v>
      </c>
      <c r="J3565" s="20" t="s">
        <v>25</v>
      </c>
    </row>
    <row r="3566" customFormat="false" ht="15" hidden="false" customHeight="false" outlineLevel="0" collapsed="false">
      <c r="A3566" s="0" t="s">
        <v>2932</v>
      </c>
      <c r="B3566" s="0" t="s">
        <v>134</v>
      </c>
      <c r="C3566" s="0" t="s">
        <v>3450</v>
      </c>
      <c r="D3566" s="0" t="s">
        <v>3448</v>
      </c>
      <c r="E3566" s="0" t="s">
        <v>4969</v>
      </c>
      <c r="F3566" s="0" t="s">
        <v>62</v>
      </c>
      <c r="G3566" s="0" t="s">
        <v>5003</v>
      </c>
      <c r="H3566" s="0" t="s">
        <v>6155</v>
      </c>
      <c r="I3566" s="0" t="s">
        <v>5005</v>
      </c>
      <c r="J3566" s="20" t="s">
        <v>25</v>
      </c>
    </row>
    <row r="3567" customFormat="false" ht="15" hidden="false" customHeight="false" outlineLevel="0" collapsed="false">
      <c r="A3567" s="0" t="s">
        <v>2932</v>
      </c>
      <c r="B3567" s="0" t="s">
        <v>134</v>
      </c>
      <c r="C3567" s="0" t="s">
        <v>3450</v>
      </c>
      <c r="D3567" s="0" t="s">
        <v>3448</v>
      </c>
      <c r="E3567" s="0" t="s">
        <v>4969</v>
      </c>
      <c r="F3567" s="0" t="s">
        <v>64</v>
      </c>
      <c r="G3567" s="0" t="s">
        <v>4220</v>
      </c>
      <c r="H3567" s="0" t="s">
        <v>6156</v>
      </c>
      <c r="I3567" s="0" t="s">
        <v>4991</v>
      </c>
      <c r="J3567" s="20" t="s">
        <v>25</v>
      </c>
    </row>
    <row r="3568" customFormat="false" ht="15" hidden="false" customHeight="false" outlineLevel="0" collapsed="false">
      <c r="A3568" s="0" t="s">
        <v>2932</v>
      </c>
      <c r="B3568" s="0" t="s">
        <v>134</v>
      </c>
      <c r="C3568" s="0" t="s">
        <v>3447</v>
      </c>
      <c r="D3568" s="0" t="s">
        <v>3457</v>
      </c>
      <c r="E3568" s="0" t="s">
        <v>4963</v>
      </c>
      <c r="F3568" s="0" t="s">
        <v>59</v>
      </c>
      <c r="G3568" s="0" t="s">
        <v>4974</v>
      </c>
      <c r="H3568" s="0" t="s">
        <v>70</v>
      </c>
      <c r="I3568" s="0" t="s">
        <v>4975</v>
      </c>
      <c r="J3568" s="20" t="s">
        <v>25</v>
      </c>
    </row>
    <row r="3569" customFormat="false" ht="15" hidden="false" customHeight="false" outlineLevel="0" collapsed="false">
      <c r="A3569" s="0" t="s">
        <v>2932</v>
      </c>
      <c r="B3569" s="0" t="s">
        <v>134</v>
      </c>
      <c r="C3569" s="0" t="s">
        <v>3447</v>
      </c>
      <c r="D3569" s="0" t="s">
        <v>3457</v>
      </c>
      <c r="E3569" s="0" t="s">
        <v>4969</v>
      </c>
      <c r="F3569" s="0" t="s">
        <v>64</v>
      </c>
      <c r="G3569" s="0" t="s">
        <v>4220</v>
      </c>
      <c r="H3569" s="0" t="s">
        <v>5569</v>
      </c>
      <c r="I3569" s="0" t="s">
        <v>4991</v>
      </c>
      <c r="J3569" s="20" t="s">
        <v>25</v>
      </c>
    </row>
    <row r="3570" customFormat="false" ht="15" hidden="false" customHeight="false" outlineLevel="0" collapsed="false">
      <c r="A3570" s="0" t="s">
        <v>2932</v>
      </c>
      <c r="B3570" s="0" t="s">
        <v>134</v>
      </c>
      <c r="C3570" s="0" t="s">
        <v>3447</v>
      </c>
      <c r="D3570" s="0" t="s">
        <v>3448</v>
      </c>
      <c r="E3570" s="0" t="s">
        <v>4963</v>
      </c>
      <c r="F3570" s="0" t="s">
        <v>59</v>
      </c>
      <c r="G3570" s="0" t="s">
        <v>4974</v>
      </c>
      <c r="H3570" s="0" t="s">
        <v>70</v>
      </c>
      <c r="I3570" s="0" t="s">
        <v>4975</v>
      </c>
      <c r="J3570" s="20" t="s">
        <v>25</v>
      </c>
    </row>
    <row r="3571" customFormat="false" ht="15" hidden="false" customHeight="false" outlineLevel="0" collapsed="false">
      <c r="A3571" s="0" t="s">
        <v>2932</v>
      </c>
      <c r="B3571" s="0" t="s">
        <v>134</v>
      </c>
      <c r="C3571" s="0" t="s">
        <v>3447</v>
      </c>
      <c r="D3571" s="0" t="s">
        <v>3448</v>
      </c>
      <c r="E3571" s="0" t="s">
        <v>4969</v>
      </c>
      <c r="F3571" s="0" t="s">
        <v>64</v>
      </c>
      <c r="G3571" s="0" t="s">
        <v>4220</v>
      </c>
      <c r="H3571" s="0" t="s">
        <v>6156</v>
      </c>
      <c r="I3571" s="0" t="s">
        <v>4991</v>
      </c>
      <c r="J3571" s="20" t="s">
        <v>25</v>
      </c>
    </row>
    <row r="3572" customFormat="false" ht="15" hidden="false" customHeight="false" outlineLevel="0" collapsed="false">
      <c r="A3572" s="0" t="s">
        <v>2932</v>
      </c>
      <c r="B3572" s="0" t="s">
        <v>3459</v>
      </c>
      <c r="C3572" s="0" t="s">
        <v>3450</v>
      </c>
      <c r="D3572" s="0" t="s">
        <v>3457</v>
      </c>
      <c r="E3572" s="0" t="s">
        <v>4969</v>
      </c>
      <c r="F3572" s="0" t="s">
        <v>61</v>
      </c>
      <c r="G3572" s="0" t="s">
        <v>4970</v>
      </c>
      <c r="H3572" s="0" t="s">
        <v>6095</v>
      </c>
      <c r="I3572" s="0" t="s">
        <v>4972</v>
      </c>
      <c r="J3572" s="20" t="s">
        <v>25</v>
      </c>
    </row>
    <row r="3573" customFormat="false" ht="15" hidden="false" customHeight="false" outlineLevel="0" collapsed="false">
      <c r="A3573" s="0" t="s">
        <v>2932</v>
      </c>
      <c r="B3573" s="0" t="s">
        <v>3459</v>
      </c>
      <c r="C3573" s="0" t="s">
        <v>3450</v>
      </c>
      <c r="D3573" s="0" t="s">
        <v>3457</v>
      </c>
      <c r="E3573" s="0" t="s">
        <v>4969</v>
      </c>
      <c r="F3573" s="0" t="s">
        <v>62</v>
      </c>
      <c r="G3573" s="0" t="s">
        <v>5003</v>
      </c>
      <c r="H3573" s="0" t="s">
        <v>5807</v>
      </c>
      <c r="I3573" s="0" t="s">
        <v>5005</v>
      </c>
      <c r="J3573" s="20" t="s">
        <v>25</v>
      </c>
    </row>
    <row r="3574" customFormat="false" ht="15" hidden="false" customHeight="false" outlineLevel="0" collapsed="false">
      <c r="A3574" s="0" t="s">
        <v>2932</v>
      </c>
      <c r="B3574" s="0" t="s">
        <v>3459</v>
      </c>
      <c r="C3574" s="0" t="s">
        <v>3450</v>
      </c>
      <c r="D3574" s="0" t="s">
        <v>3448</v>
      </c>
      <c r="E3574" s="0" t="s">
        <v>4969</v>
      </c>
      <c r="F3574" s="0" t="s">
        <v>61</v>
      </c>
      <c r="G3574" s="0" t="s">
        <v>4970</v>
      </c>
      <c r="H3574" s="0" t="s">
        <v>6157</v>
      </c>
      <c r="I3574" s="0" t="s">
        <v>4972</v>
      </c>
      <c r="J3574" s="20" t="s">
        <v>25</v>
      </c>
    </row>
    <row r="3575" customFormat="false" ht="15" hidden="false" customHeight="false" outlineLevel="0" collapsed="false">
      <c r="A3575" s="0" t="s">
        <v>2932</v>
      </c>
      <c r="B3575" s="0" t="s">
        <v>3459</v>
      </c>
      <c r="C3575" s="0" t="s">
        <v>3450</v>
      </c>
      <c r="D3575" s="0" t="s">
        <v>3448</v>
      </c>
      <c r="E3575" s="0" t="s">
        <v>4969</v>
      </c>
      <c r="F3575" s="0" t="s">
        <v>62</v>
      </c>
      <c r="G3575" s="0" t="s">
        <v>5003</v>
      </c>
      <c r="H3575" s="0" t="s">
        <v>6158</v>
      </c>
      <c r="I3575" s="0" t="s">
        <v>5005</v>
      </c>
      <c r="J3575" s="20" t="s">
        <v>25</v>
      </c>
    </row>
    <row r="3576" customFormat="false" ht="15" hidden="false" customHeight="false" outlineLevel="0" collapsed="false">
      <c r="A3576" s="0" t="s">
        <v>2932</v>
      </c>
      <c r="B3576" s="0" t="s">
        <v>3459</v>
      </c>
      <c r="C3576" s="0" t="s">
        <v>3450</v>
      </c>
      <c r="D3576" s="0" t="s">
        <v>3448</v>
      </c>
      <c r="E3576" s="0" t="s">
        <v>4969</v>
      </c>
      <c r="F3576" s="0" t="s">
        <v>64</v>
      </c>
      <c r="G3576" s="0" t="s">
        <v>4220</v>
      </c>
      <c r="H3576" s="0" t="s">
        <v>6159</v>
      </c>
      <c r="I3576" s="0" t="s">
        <v>4991</v>
      </c>
      <c r="J3576" s="20" t="s">
        <v>25</v>
      </c>
    </row>
    <row r="3577" customFormat="false" ht="15" hidden="false" customHeight="false" outlineLevel="0" collapsed="false">
      <c r="A3577" s="0" t="s">
        <v>2932</v>
      </c>
      <c r="B3577" s="0" t="s">
        <v>3459</v>
      </c>
      <c r="C3577" s="0" t="s">
        <v>3447</v>
      </c>
      <c r="D3577" s="0" t="s">
        <v>3457</v>
      </c>
      <c r="E3577" s="0" t="s">
        <v>4969</v>
      </c>
      <c r="F3577" s="0" t="s">
        <v>61</v>
      </c>
      <c r="G3577" s="0" t="s">
        <v>4970</v>
      </c>
      <c r="H3577" s="0" t="s">
        <v>6160</v>
      </c>
      <c r="I3577" s="0" t="s">
        <v>4972</v>
      </c>
      <c r="J3577" s="20" t="s">
        <v>25</v>
      </c>
    </row>
    <row r="3578" customFormat="false" ht="15" hidden="false" customHeight="false" outlineLevel="0" collapsed="false">
      <c r="A3578" s="0" t="s">
        <v>2932</v>
      </c>
      <c r="B3578" s="0" t="s">
        <v>3459</v>
      </c>
      <c r="C3578" s="0" t="s">
        <v>3447</v>
      </c>
      <c r="D3578" s="0" t="s">
        <v>3448</v>
      </c>
      <c r="E3578" s="0" t="s">
        <v>4969</v>
      </c>
      <c r="F3578" s="0" t="s">
        <v>64</v>
      </c>
      <c r="G3578" s="0" t="s">
        <v>4220</v>
      </c>
      <c r="H3578" s="0" t="s">
        <v>6159</v>
      </c>
      <c r="I3578" s="0" t="s">
        <v>4991</v>
      </c>
      <c r="J3578" s="20" t="s">
        <v>25</v>
      </c>
    </row>
    <row r="3579" customFormat="false" ht="15" hidden="false" customHeight="false" outlineLevel="0" collapsed="false">
      <c r="A3579" s="0" t="s">
        <v>2932</v>
      </c>
      <c r="B3579" s="0" t="s">
        <v>134</v>
      </c>
      <c r="C3579" s="0" t="s">
        <v>3450</v>
      </c>
      <c r="D3579" s="0" t="s">
        <v>3457</v>
      </c>
      <c r="E3579" s="0" t="s">
        <v>4963</v>
      </c>
      <c r="F3579" s="0" t="s">
        <v>30</v>
      </c>
      <c r="G3579" s="0" t="s">
        <v>4980</v>
      </c>
      <c r="H3579" s="0" t="s">
        <v>4378</v>
      </c>
      <c r="I3579" s="0" t="s">
        <v>4981</v>
      </c>
      <c r="J3579" s="18" t="s">
        <v>24</v>
      </c>
    </row>
    <row r="3580" customFormat="false" ht="15" hidden="false" customHeight="false" outlineLevel="0" collapsed="false">
      <c r="A3580" s="0" t="s">
        <v>2932</v>
      </c>
      <c r="B3580" s="0" t="s">
        <v>134</v>
      </c>
      <c r="C3580" s="0" t="s">
        <v>3450</v>
      </c>
      <c r="D3580" s="0" t="s">
        <v>3448</v>
      </c>
      <c r="E3580" s="0" t="s">
        <v>4963</v>
      </c>
      <c r="F3580" s="0" t="s">
        <v>30</v>
      </c>
      <c r="G3580" s="0" t="s">
        <v>4980</v>
      </c>
      <c r="H3580" s="0" t="s">
        <v>4378</v>
      </c>
      <c r="I3580" s="0" t="s">
        <v>4981</v>
      </c>
      <c r="J3580" s="18" t="s">
        <v>24</v>
      </c>
    </row>
    <row r="3581" customFormat="false" ht="15" hidden="false" customHeight="false" outlineLevel="0" collapsed="false">
      <c r="A3581" s="0" t="s">
        <v>2932</v>
      </c>
      <c r="B3581" s="0" t="s">
        <v>134</v>
      </c>
      <c r="C3581" s="0" t="s">
        <v>3447</v>
      </c>
      <c r="D3581" s="0" t="s">
        <v>3457</v>
      </c>
      <c r="E3581" s="0" t="s">
        <v>4963</v>
      </c>
      <c r="F3581" s="0" t="s">
        <v>30</v>
      </c>
      <c r="G3581" s="0" t="s">
        <v>4980</v>
      </c>
      <c r="H3581" s="0" t="s">
        <v>4378</v>
      </c>
      <c r="I3581" s="0" t="s">
        <v>4981</v>
      </c>
      <c r="J3581" s="18" t="s">
        <v>24</v>
      </c>
    </row>
    <row r="3582" customFormat="false" ht="15" hidden="false" customHeight="false" outlineLevel="0" collapsed="false">
      <c r="A3582" s="0" t="s">
        <v>2932</v>
      </c>
      <c r="B3582" s="0" t="s">
        <v>134</v>
      </c>
      <c r="C3582" s="0" t="s">
        <v>3447</v>
      </c>
      <c r="D3582" s="0" t="s">
        <v>3448</v>
      </c>
      <c r="E3582" s="0" t="s">
        <v>4963</v>
      </c>
      <c r="F3582" s="0" t="s">
        <v>30</v>
      </c>
      <c r="G3582" s="0" t="s">
        <v>4980</v>
      </c>
      <c r="H3582" s="0" t="s">
        <v>4878</v>
      </c>
      <c r="I3582" s="0" t="s">
        <v>4981</v>
      </c>
      <c r="J3582" s="18" t="s">
        <v>24</v>
      </c>
    </row>
    <row r="3583" customFormat="false" ht="15" hidden="false" customHeight="false" outlineLevel="0" collapsed="false">
      <c r="A3583" s="0" t="s">
        <v>2941</v>
      </c>
      <c r="B3583" s="0" t="s">
        <v>3459</v>
      </c>
      <c r="C3583" s="0" t="s">
        <v>3450</v>
      </c>
      <c r="D3583" s="0" t="s">
        <v>3457</v>
      </c>
      <c r="E3583" s="0" t="s">
        <v>4963</v>
      </c>
      <c r="F3583" s="0" t="s">
        <v>59</v>
      </c>
      <c r="G3583" s="0" t="s">
        <v>4974</v>
      </c>
      <c r="H3583" s="0" t="s">
        <v>69</v>
      </c>
      <c r="I3583" s="0" t="s">
        <v>4975</v>
      </c>
      <c r="J3583" s="20" t="s">
        <v>25</v>
      </c>
    </row>
    <row r="3584" customFormat="false" ht="15" hidden="false" customHeight="false" outlineLevel="0" collapsed="false">
      <c r="A3584" s="0" t="s">
        <v>2941</v>
      </c>
      <c r="B3584" s="0" t="s">
        <v>3459</v>
      </c>
      <c r="C3584" s="0" t="s">
        <v>3450</v>
      </c>
      <c r="D3584" s="0" t="s">
        <v>3457</v>
      </c>
      <c r="E3584" s="0" t="s">
        <v>4969</v>
      </c>
      <c r="F3584" s="0" t="s">
        <v>61</v>
      </c>
      <c r="G3584" s="0" t="s">
        <v>4970</v>
      </c>
      <c r="H3584" s="0" t="s">
        <v>6161</v>
      </c>
      <c r="I3584" s="0" t="s">
        <v>4972</v>
      </c>
      <c r="J3584" s="20" t="s">
        <v>25</v>
      </c>
    </row>
    <row r="3585" customFormat="false" ht="15" hidden="false" customHeight="false" outlineLevel="0" collapsed="false">
      <c r="A3585" s="0" t="s">
        <v>2941</v>
      </c>
      <c r="B3585" s="0" t="s">
        <v>3459</v>
      </c>
      <c r="C3585" s="0" t="s">
        <v>3450</v>
      </c>
      <c r="D3585" s="0" t="s">
        <v>3448</v>
      </c>
      <c r="E3585" s="0" t="s">
        <v>4963</v>
      </c>
      <c r="F3585" s="0" t="s">
        <v>59</v>
      </c>
      <c r="G3585" s="0" t="s">
        <v>4974</v>
      </c>
      <c r="H3585" s="0" t="s">
        <v>69</v>
      </c>
      <c r="I3585" s="0" t="s">
        <v>4975</v>
      </c>
      <c r="J3585" s="20" t="s">
        <v>25</v>
      </c>
    </row>
    <row r="3586" customFormat="false" ht="15" hidden="false" customHeight="false" outlineLevel="0" collapsed="false">
      <c r="A3586" s="0" t="s">
        <v>2941</v>
      </c>
      <c r="B3586" s="0" t="s">
        <v>3459</v>
      </c>
      <c r="C3586" s="0" t="s">
        <v>3447</v>
      </c>
      <c r="D3586" s="0" t="s">
        <v>3457</v>
      </c>
      <c r="E3586" s="0" t="s">
        <v>4969</v>
      </c>
      <c r="F3586" s="0" t="s">
        <v>61</v>
      </c>
      <c r="G3586" s="0" t="s">
        <v>4970</v>
      </c>
      <c r="H3586" s="0" t="s">
        <v>6162</v>
      </c>
      <c r="I3586" s="0" t="s">
        <v>4972</v>
      </c>
      <c r="J3586" s="20" t="s">
        <v>25</v>
      </c>
    </row>
    <row r="3587" customFormat="false" ht="15" hidden="false" customHeight="false" outlineLevel="0" collapsed="false">
      <c r="A3587" s="0" t="s">
        <v>2941</v>
      </c>
      <c r="B3587" s="0" t="s">
        <v>3459</v>
      </c>
      <c r="C3587" s="0" t="s">
        <v>3447</v>
      </c>
      <c r="D3587" s="0" t="s">
        <v>3448</v>
      </c>
      <c r="E3587" s="0" t="s">
        <v>4969</v>
      </c>
      <c r="F3587" s="0" t="s">
        <v>61</v>
      </c>
      <c r="G3587" s="0" t="s">
        <v>4970</v>
      </c>
      <c r="H3587" s="0" t="s">
        <v>6163</v>
      </c>
      <c r="I3587" s="0" t="s">
        <v>4972</v>
      </c>
      <c r="J3587" s="20" t="s">
        <v>25</v>
      </c>
    </row>
    <row r="3588" customFormat="false" ht="15" hidden="false" customHeight="false" outlineLevel="0" collapsed="false">
      <c r="A3588" s="0" t="s">
        <v>2941</v>
      </c>
      <c r="B3588" s="0" t="s">
        <v>134</v>
      </c>
      <c r="C3588" s="0" t="s">
        <v>3450</v>
      </c>
      <c r="D3588" s="0" t="s">
        <v>3448</v>
      </c>
      <c r="E3588" s="0" t="s">
        <v>4963</v>
      </c>
      <c r="F3588" s="0" t="s">
        <v>30</v>
      </c>
      <c r="G3588" s="0" t="s">
        <v>4980</v>
      </c>
      <c r="H3588" s="0" t="s">
        <v>4512</v>
      </c>
      <c r="I3588" s="0" t="s">
        <v>4981</v>
      </c>
      <c r="J3588" s="18" t="s">
        <v>24</v>
      </c>
    </row>
    <row r="3589" customFormat="false" ht="15" hidden="false" customHeight="false" outlineLevel="0" collapsed="false">
      <c r="A3589" s="0" t="s">
        <v>2941</v>
      </c>
      <c r="B3589" s="0" t="s">
        <v>134</v>
      </c>
      <c r="C3589" s="0" t="s">
        <v>3447</v>
      </c>
      <c r="D3589" s="0" t="s">
        <v>3457</v>
      </c>
      <c r="E3589" s="0" t="s">
        <v>4963</v>
      </c>
      <c r="F3589" s="0" t="s">
        <v>30</v>
      </c>
      <c r="G3589" s="0" t="s">
        <v>4980</v>
      </c>
      <c r="H3589" s="0" t="s">
        <v>4879</v>
      </c>
      <c r="I3589" s="0" t="s">
        <v>4981</v>
      </c>
      <c r="J3589" s="18" t="s">
        <v>24</v>
      </c>
    </row>
    <row r="3590" customFormat="false" ht="15" hidden="false" customHeight="false" outlineLevel="0" collapsed="false">
      <c r="A3590" s="0" t="s">
        <v>2941</v>
      </c>
      <c r="B3590" s="0" t="s">
        <v>134</v>
      </c>
      <c r="C3590" s="0" t="s">
        <v>3447</v>
      </c>
      <c r="D3590" s="0" t="s">
        <v>3448</v>
      </c>
      <c r="E3590" s="0" t="s">
        <v>4963</v>
      </c>
      <c r="F3590" s="0" t="s">
        <v>30</v>
      </c>
      <c r="G3590" s="0" t="s">
        <v>4980</v>
      </c>
      <c r="H3590" s="0" t="s">
        <v>4880</v>
      </c>
      <c r="I3590" s="0" t="s">
        <v>4981</v>
      </c>
      <c r="J3590" s="18" t="s">
        <v>24</v>
      </c>
    </row>
    <row r="3591" customFormat="false" ht="15" hidden="false" customHeight="false" outlineLevel="0" collapsed="false">
      <c r="A3591" s="0" t="s">
        <v>2941</v>
      </c>
      <c r="B3591" s="0" t="s">
        <v>3459</v>
      </c>
      <c r="C3591" s="0" t="s">
        <v>3450</v>
      </c>
      <c r="D3591" s="0" t="s">
        <v>3457</v>
      </c>
      <c r="E3591" s="0" t="s">
        <v>4963</v>
      </c>
      <c r="F3591" s="0" t="s">
        <v>30</v>
      </c>
      <c r="G3591" s="0" t="s">
        <v>4980</v>
      </c>
      <c r="H3591" s="0" t="s">
        <v>4335</v>
      </c>
      <c r="I3591" s="0" t="s">
        <v>4981</v>
      </c>
      <c r="J3591" s="18" t="s">
        <v>24</v>
      </c>
    </row>
    <row r="3592" customFormat="false" ht="15" hidden="false" customHeight="false" outlineLevel="0" collapsed="false">
      <c r="A3592" s="0" t="s">
        <v>2941</v>
      </c>
      <c r="B3592" s="0" t="s">
        <v>3459</v>
      </c>
      <c r="C3592" s="0" t="s">
        <v>3450</v>
      </c>
      <c r="D3592" s="0" t="s">
        <v>3448</v>
      </c>
      <c r="E3592" s="0" t="s">
        <v>4963</v>
      </c>
      <c r="F3592" s="0" t="s">
        <v>30</v>
      </c>
      <c r="G3592" s="0" t="s">
        <v>4980</v>
      </c>
      <c r="H3592" s="0" t="s">
        <v>4501</v>
      </c>
      <c r="I3592" s="0" t="s">
        <v>4981</v>
      </c>
      <c r="J3592" s="18" t="s">
        <v>24</v>
      </c>
    </row>
    <row r="3593" customFormat="false" ht="15" hidden="false" customHeight="false" outlineLevel="0" collapsed="false">
      <c r="A3593" s="0" t="s">
        <v>2941</v>
      </c>
      <c r="B3593" s="0" t="s">
        <v>3459</v>
      </c>
      <c r="C3593" s="0" t="s">
        <v>3447</v>
      </c>
      <c r="D3593" s="0" t="s">
        <v>3457</v>
      </c>
      <c r="E3593" s="0" t="s">
        <v>4963</v>
      </c>
      <c r="F3593" s="0" t="s">
        <v>30</v>
      </c>
      <c r="G3593" s="0" t="s">
        <v>4980</v>
      </c>
      <c r="H3593" s="0" t="s">
        <v>4881</v>
      </c>
      <c r="I3593" s="0" t="s">
        <v>4981</v>
      </c>
      <c r="J3593" s="18" t="s">
        <v>24</v>
      </c>
    </row>
    <row r="3594" customFormat="false" ht="15" hidden="false" customHeight="false" outlineLevel="0" collapsed="false">
      <c r="A3594" s="0" t="s">
        <v>2941</v>
      </c>
      <c r="B3594" s="0" t="s">
        <v>3459</v>
      </c>
      <c r="C3594" s="0" t="s">
        <v>3447</v>
      </c>
      <c r="D3594" s="0" t="s">
        <v>3448</v>
      </c>
      <c r="E3594" s="0" t="s">
        <v>4963</v>
      </c>
      <c r="F3594" s="0" t="s">
        <v>30</v>
      </c>
      <c r="G3594" s="0" t="s">
        <v>4980</v>
      </c>
      <c r="H3594" s="0" t="s">
        <v>4882</v>
      </c>
      <c r="I3594" s="0" t="s">
        <v>4981</v>
      </c>
      <c r="J3594" s="18" t="s">
        <v>24</v>
      </c>
    </row>
    <row r="3595" customFormat="false" ht="15" hidden="false" customHeight="false" outlineLevel="0" collapsed="false">
      <c r="A3595" s="0" t="s">
        <v>2947</v>
      </c>
      <c r="B3595" s="0" t="s">
        <v>134</v>
      </c>
      <c r="C3595" s="0" t="s">
        <v>3450</v>
      </c>
      <c r="D3595" s="0" t="s">
        <v>3457</v>
      </c>
      <c r="E3595" s="0" t="s">
        <v>4969</v>
      </c>
      <c r="F3595" s="0" t="s">
        <v>61</v>
      </c>
      <c r="G3595" s="0" t="s">
        <v>4970</v>
      </c>
      <c r="H3595" s="0" t="s">
        <v>6164</v>
      </c>
      <c r="I3595" s="0" t="s">
        <v>4972</v>
      </c>
      <c r="J3595" s="20" t="s">
        <v>25</v>
      </c>
    </row>
    <row r="3596" customFormat="false" ht="15" hidden="false" customHeight="false" outlineLevel="0" collapsed="false">
      <c r="A3596" s="0" t="s">
        <v>2947</v>
      </c>
      <c r="B3596" s="0" t="s">
        <v>134</v>
      </c>
      <c r="C3596" s="0" t="s">
        <v>3450</v>
      </c>
      <c r="D3596" s="0" t="s">
        <v>3448</v>
      </c>
      <c r="E3596" s="0" t="s">
        <v>4963</v>
      </c>
      <c r="F3596" s="0" t="s">
        <v>59</v>
      </c>
      <c r="G3596" s="0" t="s">
        <v>4974</v>
      </c>
      <c r="H3596" s="0" t="s">
        <v>69</v>
      </c>
      <c r="I3596" s="0" t="s">
        <v>4975</v>
      </c>
      <c r="J3596" s="20" t="s">
        <v>25</v>
      </c>
    </row>
    <row r="3597" customFormat="false" ht="15" hidden="false" customHeight="false" outlineLevel="0" collapsed="false">
      <c r="A3597" s="0" t="s">
        <v>2947</v>
      </c>
      <c r="B3597" s="0" t="s">
        <v>134</v>
      </c>
      <c r="C3597" s="0" t="s">
        <v>3450</v>
      </c>
      <c r="D3597" s="0" t="s">
        <v>3448</v>
      </c>
      <c r="E3597" s="0" t="s">
        <v>4969</v>
      </c>
      <c r="F3597" s="0" t="s">
        <v>61</v>
      </c>
      <c r="G3597" s="0" t="s">
        <v>4970</v>
      </c>
      <c r="H3597" s="0" t="s">
        <v>6165</v>
      </c>
      <c r="I3597" s="0" t="s">
        <v>4972</v>
      </c>
      <c r="J3597" s="20" t="s">
        <v>25</v>
      </c>
    </row>
    <row r="3598" customFormat="false" ht="15" hidden="false" customHeight="false" outlineLevel="0" collapsed="false">
      <c r="A3598" s="0" t="s">
        <v>2947</v>
      </c>
      <c r="B3598" s="0" t="s">
        <v>134</v>
      </c>
      <c r="C3598" s="0" t="s">
        <v>3447</v>
      </c>
      <c r="D3598" s="0" t="s">
        <v>3457</v>
      </c>
      <c r="E3598" s="0" t="s">
        <v>4969</v>
      </c>
      <c r="F3598" s="0" t="s">
        <v>61</v>
      </c>
      <c r="G3598" s="0" t="s">
        <v>4970</v>
      </c>
      <c r="H3598" s="0" t="s">
        <v>6166</v>
      </c>
      <c r="I3598" s="0" t="s">
        <v>4972</v>
      </c>
      <c r="J3598" s="20" t="s">
        <v>25</v>
      </c>
    </row>
    <row r="3599" customFormat="false" ht="15" hidden="false" customHeight="false" outlineLevel="0" collapsed="false">
      <c r="A3599" s="0" t="s">
        <v>2947</v>
      </c>
      <c r="B3599" s="0" t="s">
        <v>134</v>
      </c>
      <c r="C3599" s="0" t="s">
        <v>3447</v>
      </c>
      <c r="D3599" s="0" t="s">
        <v>3448</v>
      </c>
      <c r="E3599" s="0" t="s">
        <v>4969</v>
      </c>
      <c r="F3599" s="0" t="s">
        <v>61</v>
      </c>
      <c r="G3599" s="0" t="s">
        <v>4970</v>
      </c>
      <c r="H3599" s="0" t="s">
        <v>6167</v>
      </c>
      <c r="I3599" s="0" t="s">
        <v>4972</v>
      </c>
      <c r="J3599" s="20" t="s">
        <v>25</v>
      </c>
    </row>
    <row r="3600" customFormat="false" ht="15" hidden="false" customHeight="false" outlineLevel="0" collapsed="false">
      <c r="A3600" s="0" t="s">
        <v>2947</v>
      </c>
      <c r="B3600" s="0" t="s">
        <v>134</v>
      </c>
      <c r="C3600" s="0" t="s">
        <v>3450</v>
      </c>
      <c r="D3600" s="0" t="s">
        <v>3448</v>
      </c>
      <c r="E3600" s="0" t="s">
        <v>4963</v>
      </c>
      <c r="F3600" s="0" t="s">
        <v>30</v>
      </c>
      <c r="G3600" s="0" t="s">
        <v>4980</v>
      </c>
      <c r="H3600" s="0" t="s">
        <v>4328</v>
      </c>
      <c r="I3600" s="0" t="s">
        <v>4981</v>
      </c>
      <c r="J3600" s="18" t="s">
        <v>24</v>
      </c>
    </row>
    <row r="3601" customFormat="false" ht="15" hidden="false" customHeight="false" outlineLevel="0" collapsed="false">
      <c r="A3601" s="0" t="s">
        <v>2947</v>
      </c>
      <c r="B3601" s="0" t="s">
        <v>134</v>
      </c>
      <c r="C3601" s="0" t="s">
        <v>3447</v>
      </c>
      <c r="D3601" s="0" t="s">
        <v>3457</v>
      </c>
      <c r="E3601" s="0" t="s">
        <v>4963</v>
      </c>
      <c r="F3601" s="0" t="s">
        <v>30</v>
      </c>
      <c r="G3601" s="0" t="s">
        <v>4980</v>
      </c>
      <c r="H3601" s="0" t="s">
        <v>4883</v>
      </c>
      <c r="I3601" s="0" t="s">
        <v>4981</v>
      </c>
      <c r="J3601" s="18" t="s">
        <v>24</v>
      </c>
    </row>
    <row r="3602" customFormat="false" ht="15" hidden="false" customHeight="false" outlineLevel="0" collapsed="false">
      <c r="A3602" s="0" t="s">
        <v>2947</v>
      </c>
      <c r="B3602" s="0" t="s">
        <v>134</v>
      </c>
      <c r="C3602" s="0" t="s">
        <v>3447</v>
      </c>
      <c r="D3602" s="0" t="s">
        <v>3448</v>
      </c>
      <c r="E3602" s="0" t="s">
        <v>4963</v>
      </c>
      <c r="F3602" s="0" t="s">
        <v>30</v>
      </c>
      <c r="G3602" s="0" t="s">
        <v>4980</v>
      </c>
      <c r="H3602" s="0" t="s">
        <v>4496</v>
      </c>
      <c r="I3602" s="0" t="s">
        <v>4981</v>
      </c>
      <c r="J3602" s="18" t="s">
        <v>24</v>
      </c>
    </row>
    <row r="3603" customFormat="false" ht="15" hidden="false" customHeight="false" outlineLevel="0" collapsed="false">
      <c r="A3603" s="0" t="s">
        <v>2953</v>
      </c>
      <c r="B3603" s="0" t="s">
        <v>134</v>
      </c>
      <c r="C3603" s="0" t="s">
        <v>3447</v>
      </c>
      <c r="D3603" s="0" t="s">
        <v>3457</v>
      </c>
      <c r="E3603" s="0" t="s">
        <v>4963</v>
      </c>
      <c r="F3603" s="0" t="s">
        <v>60</v>
      </c>
      <c r="G3603" s="0" t="s">
        <v>4964</v>
      </c>
      <c r="H3603" s="0" t="s">
        <v>6168</v>
      </c>
      <c r="I3603" s="0" t="s">
        <v>4966</v>
      </c>
      <c r="J3603" s="19" t="s">
        <v>26</v>
      </c>
    </row>
    <row r="3604" customFormat="false" ht="15" hidden="false" customHeight="false" outlineLevel="0" collapsed="false">
      <c r="A3604" s="0" t="s">
        <v>2953</v>
      </c>
      <c r="B3604" s="0" t="s">
        <v>134</v>
      </c>
      <c r="C3604" s="0" t="s">
        <v>3450</v>
      </c>
      <c r="D3604" s="0" t="s">
        <v>3457</v>
      </c>
      <c r="E3604" s="0" t="s">
        <v>4969</v>
      </c>
      <c r="F3604" s="0" t="s">
        <v>62</v>
      </c>
      <c r="G3604" s="0" t="s">
        <v>5003</v>
      </c>
      <c r="H3604" s="0" t="s">
        <v>6169</v>
      </c>
      <c r="I3604" s="0" t="s">
        <v>5005</v>
      </c>
      <c r="J3604" s="20" t="s">
        <v>25</v>
      </c>
    </row>
    <row r="3605" customFormat="false" ht="15" hidden="false" customHeight="false" outlineLevel="0" collapsed="false">
      <c r="A3605" s="0" t="s">
        <v>2953</v>
      </c>
      <c r="B3605" s="0" t="s">
        <v>134</v>
      </c>
      <c r="C3605" s="0" t="s">
        <v>3450</v>
      </c>
      <c r="D3605" s="0" t="s">
        <v>3448</v>
      </c>
      <c r="E3605" s="0" t="s">
        <v>4969</v>
      </c>
      <c r="F3605" s="0" t="s">
        <v>64</v>
      </c>
      <c r="G3605" s="0" t="s">
        <v>4220</v>
      </c>
      <c r="H3605" s="0" t="s">
        <v>5705</v>
      </c>
      <c r="I3605" s="0" t="s">
        <v>4991</v>
      </c>
      <c r="J3605" s="20" t="s">
        <v>25</v>
      </c>
    </row>
    <row r="3606" customFormat="false" ht="15" hidden="false" customHeight="false" outlineLevel="0" collapsed="false">
      <c r="A3606" s="0" t="s">
        <v>2953</v>
      </c>
      <c r="B3606" s="0" t="s">
        <v>134</v>
      </c>
      <c r="C3606" s="0" t="s">
        <v>3447</v>
      </c>
      <c r="D3606" s="0" t="s">
        <v>3448</v>
      </c>
      <c r="E3606" s="0" t="s">
        <v>4969</v>
      </c>
      <c r="F3606" s="0" t="s">
        <v>64</v>
      </c>
      <c r="G3606" s="0" t="s">
        <v>4220</v>
      </c>
      <c r="H3606" s="0" t="s">
        <v>5705</v>
      </c>
      <c r="I3606" s="0" t="s">
        <v>4991</v>
      </c>
      <c r="J3606" s="20" t="s">
        <v>25</v>
      </c>
    </row>
    <row r="3607" customFormat="false" ht="15" hidden="false" customHeight="false" outlineLevel="0" collapsed="false">
      <c r="A3607" s="0" t="s">
        <v>2953</v>
      </c>
      <c r="B3607" s="0" t="s">
        <v>134</v>
      </c>
      <c r="C3607" s="0" t="s">
        <v>3450</v>
      </c>
      <c r="D3607" s="0" t="s">
        <v>3448</v>
      </c>
      <c r="E3607" s="0" t="s">
        <v>4963</v>
      </c>
      <c r="F3607" s="0" t="s">
        <v>30</v>
      </c>
      <c r="G3607" s="0" t="s">
        <v>4980</v>
      </c>
      <c r="H3607" s="0" t="s">
        <v>4550</v>
      </c>
      <c r="I3607" s="0" t="s">
        <v>4981</v>
      </c>
      <c r="J3607" s="18" t="s">
        <v>24</v>
      </c>
    </row>
    <row r="3608" customFormat="false" ht="15" hidden="false" customHeight="false" outlineLevel="0" collapsed="false">
      <c r="A3608" s="0" t="s">
        <v>2953</v>
      </c>
      <c r="B3608" s="0" t="s">
        <v>134</v>
      </c>
      <c r="C3608" s="0" t="s">
        <v>3447</v>
      </c>
      <c r="D3608" s="0" t="s">
        <v>3448</v>
      </c>
      <c r="E3608" s="0" t="s">
        <v>4963</v>
      </c>
      <c r="F3608" s="0" t="s">
        <v>30</v>
      </c>
      <c r="G3608" s="0" t="s">
        <v>4980</v>
      </c>
      <c r="H3608" s="0" t="s">
        <v>4885</v>
      </c>
      <c r="I3608" s="0" t="s">
        <v>4981</v>
      </c>
      <c r="J3608" s="18" t="s">
        <v>24</v>
      </c>
    </row>
    <row r="3609" customFormat="false" ht="15" hidden="false" customHeight="false" outlineLevel="0" collapsed="false">
      <c r="A3609" s="0" t="s">
        <v>2959</v>
      </c>
      <c r="B3609" s="0" t="s">
        <v>134</v>
      </c>
      <c r="C3609" s="0" t="s">
        <v>3450</v>
      </c>
      <c r="D3609" s="0" t="s">
        <v>3448</v>
      </c>
      <c r="E3609" s="0" t="s">
        <v>4963</v>
      </c>
      <c r="F3609" s="0" t="s">
        <v>59</v>
      </c>
      <c r="G3609" s="0" t="s">
        <v>4974</v>
      </c>
      <c r="H3609" s="0" t="s">
        <v>69</v>
      </c>
      <c r="I3609" s="0" t="s">
        <v>4975</v>
      </c>
      <c r="J3609" s="20" t="s">
        <v>25</v>
      </c>
    </row>
    <row r="3610" customFormat="false" ht="15" hidden="false" customHeight="false" outlineLevel="0" collapsed="false">
      <c r="A3610" s="0" t="s">
        <v>2959</v>
      </c>
      <c r="B3610" s="0" t="s">
        <v>134</v>
      </c>
      <c r="C3610" s="0" t="s">
        <v>3450</v>
      </c>
      <c r="D3610" s="0" t="s">
        <v>3448</v>
      </c>
      <c r="E3610" s="0" t="s">
        <v>4969</v>
      </c>
      <c r="F3610" s="0" t="s">
        <v>61</v>
      </c>
      <c r="G3610" s="0" t="s">
        <v>4970</v>
      </c>
      <c r="H3610" s="0" t="s">
        <v>6170</v>
      </c>
      <c r="I3610" s="0" t="s">
        <v>4972</v>
      </c>
      <c r="J3610" s="20" t="s">
        <v>25</v>
      </c>
    </row>
    <row r="3611" customFormat="false" ht="15" hidden="false" customHeight="false" outlineLevel="0" collapsed="false">
      <c r="A3611" s="0" t="s">
        <v>2959</v>
      </c>
      <c r="B3611" s="0" t="s">
        <v>134</v>
      </c>
      <c r="C3611" s="0" t="s">
        <v>3447</v>
      </c>
      <c r="D3611" s="0" t="s">
        <v>3448</v>
      </c>
      <c r="E3611" s="0" t="s">
        <v>4969</v>
      </c>
      <c r="F3611" s="0" t="s">
        <v>61</v>
      </c>
      <c r="G3611" s="0" t="s">
        <v>4970</v>
      </c>
      <c r="H3611" s="0" t="s">
        <v>6171</v>
      </c>
      <c r="I3611" s="0" t="s">
        <v>4972</v>
      </c>
      <c r="J3611" s="20" t="s">
        <v>25</v>
      </c>
    </row>
    <row r="3612" customFormat="false" ht="15" hidden="false" customHeight="false" outlineLevel="0" collapsed="false">
      <c r="A3612" s="0" t="s">
        <v>2959</v>
      </c>
      <c r="B3612" s="0" t="s">
        <v>134</v>
      </c>
      <c r="C3612" s="0" t="s">
        <v>3450</v>
      </c>
      <c r="D3612" s="0" t="s">
        <v>3448</v>
      </c>
      <c r="E3612" s="0" t="s">
        <v>4963</v>
      </c>
      <c r="F3612" s="0" t="s">
        <v>30</v>
      </c>
      <c r="G3612" s="0" t="s">
        <v>4980</v>
      </c>
      <c r="H3612" s="0" t="s">
        <v>4265</v>
      </c>
      <c r="I3612" s="0" t="s">
        <v>4981</v>
      </c>
      <c r="J3612" s="18" t="s">
        <v>24</v>
      </c>
    </row>
    <row r="3613" customFormat="false" ht="15" hidden="false" customHeight="false" outlineLevel="0" collapsed="false">
      <c r="A3613" s="0" t="s">
        <v>2959</v>
      </c>
      <c r="B3613" s="0" t="s">
        <v>134</v>
      </c>
      <c r="C3613" s="0" t="s">
        <v>3447</v>
      </c>
      <c r="D3613" s="0" t="s">
        <v>3448</v>
      </c>
      <c r="E3613" s="0" t="s">
        <v>4963</v>
      </c>
      <c r="F3613" s="0" t="s">
        <v>30</v>
      </c>
      <c r="G3613" s="0" t="s">
        <v>4980</v>
      </c>
      <c r="H3613" s="0" t="s">
        <v>4251</v>
      </c>
      <c r="I3613" s="0" t="s">
        <v>4981</v>
      </c>
      <c r="J3613" s="18" t="s">
        <v>24</v>
      </c>
    </row>
    <row r="3614" customFormat="false" ht="15" hidden="false" customHeight="false" outlineLevel="0" collapsed="false">
      <c r="A3614" s="0" t="s">
        <v>2965</v>
      </c>
      <c r="B3614" s="0" t="s">
        <v>134</v>
      </c>
      <c r="C3614" s="0" t="s">
        <v>3447</v>
      </c>
      <c r="D3614" s="0" t="s">
        <v>3448</v>
      </c>
      <c r="E3614" s="0" t="s">
        <v>4963</v>
      </c>
      <c r="F3614" s="0" t="s">
        <v>59</v>
      </c>
      <c r="G3614" s="0" t="s">
        <v>4974</v>
      </c>
      <c r="H3614" s="0" t="s">
        <v>69</v>
      </c>
      <c r="I3614" s="0" t="s">
        <v>4975</v>
      </c>
      <c r="J3614" s="20" t="s">
        <v>25</v>
      </c>
    </row>
    <row r="3615" customFormat="false" ht="15" hidden="false" customHeight="false" outlineLevel="0" collapsed="false">
      <c r="A3615" s="0" t="s">
        <v>2965</v>
      </c>
      <c r="B3615" s="0" t="s">
        <v>3459</v>
      </c>
      <c r="C3615" s="0" t="s">
        <v>3450</v>
      </c>
      <c r="D3615" s="0" t="s">
        <v>3448</v>
      </c>
      <c r="E3615" s="0" t="s">
        <v>4969</v>
      </c>
      <c r="F3615" s="0" t="s">
        <v>61</v>
      </c>
      <c r="G3615" s="0" t="s">
        <v>4970</v>
      </c>
      <c r="H3615" s="0" t="s">
        <v>6172</v>
      </c>
      <c r="I3615" s="0" t="s">
        <v>4972</v>
      </c>
      <c r="J3615" s="20" t="s">
        <v>25</v>
      </c>
    </row>
    <row r="3616" customFormat="false" ht="15" hidden="false" customHeight="false" outlineLevel="0" collapsed="false">
      <c r="A3616" s="0" t="s">
        <v>2965</v>
      </c>
      <c r="B3616" s="0" t="s">
        <v>3459</v>
      </c>
      <c r="C3616" s="0" t="s">
        <v>3447</v>
      </c>
      <c r="D3616" s="0" t="s">
        <v>3448</v>
      </c>
      <c r="E3616" s="0" t="s">
        <v>4963</v>
      </c>
      <c r="F3616" s="0" t="s">
        <v>59</v>
      </c>
      <c r="G3616" s="0" t="s">
        <v>4974</v>
      </c>
      <c r="H3616" s="0" t="s">
        <v>69</v>
      </c>
      <c r="I3616" s="0" t="s">
        <v>4975</v>
      </c>
      <c r="J3616" s="20" t="s">
        <v>25</v>
      </c>
    </row>
    <row r="3617" customFormat="false" ht="15" hidden="false" customHeight="false" outlineLevel="0" collapsed="false">
      <c r="A3617" s="0" t="s">
        <v>2965</v>
      </c>
      <c r="B3617" s="0" t="s">
        <v>134</v>
      </c>
      <c r="C3617" s="0" t="s">
        <v>3450</v>
      </c>
      <c r="D3617" s="0" t="s">
        <v>3457</v>
      </c>
      <c r="E3617" s="0" t="s">
        <v>4963</v>
      </c>
      <c r="F3617" s="0" t="s">
        <v>30</v>
      </c>
      <c r="G3617" s="0" t="s">
        <v>4980</v>
      </c>
      <c r="H3617" s="0" t="s">
        <v>4886</v>
      </c>
      <c r="I3617" s="0" t="s">
        <v>4981</v>
      </c>
      <c r="J3617" s="18" t="s">
        <v>24</v>
      </c>
    </row>
    <row r="3618" customFormat="false" ht="15" hidden="false" customHeight="false" outlineLevel="0" collapsed="false">
      <c r="A3618" s="0" t="s">
        <v>2965</v>
      </c>
      <c r="B3618" s="0" t="s">
        <v>134</v>
      </c>
      <c r="C3618" s="0" t="s">
        <v>3450</v>
      </c>
      <c r="D3618" s="0" t="s">
        <v>3448</v>
      </c>
      <c r="E3618" s="0" t="s">
        <v>4963</v>
      </c>
      <c r="F3618" s="0" t="s">
        <v>30</v>
      </c>
      <c r="G3618" s="0" t="s">
        <v>4980</v>
      </c>
      <c r="H3618" s="0" t="s">
        <v>4556</v>
      </c>
      <c r="I3618" s="0" t="s">
        <v>4981</v>
      </c>
      <c r="J3618" s="18" t="s">
        <v>24</v>
      </c>
    </row>
    <row r="3619" customFormat="false" ht="15" hidden="false" customHeight="false" outlineLevel="0" collapsed="false">
      <c r="A3619" s="0" t="s">
        <v>2965</v>
      </c>
      <c r="B3619" s="0" t="s">
        <v>134</v>
      </c>
      <c r="C3619" s="0" t="s">
        <v>3447</v>
      </c>
      <c r="D3619" s="0" t="s">
        <v>3457</v>
      </c>
      <c r="E3619" s="0" t="s">
        <v>4963</v>
      </c>
      <c r="F3619" s="0" t="s">
        <v>30</v>
      </c>
      <c r="G3619" s="0" t="s">
        <v>4980</v>
      </c>
      <c r="H3619" s="0" t="s">
        <v>4887</v>
      </c>
      <c r="I3619" s="0" t="s">
        <v>4981</v>
      </c>
      <c r="J3619" s="18" t="s">
        <v>24</v>
      </c>
    </row>
    <row r="3620" customFormat="false" ht="15" hidden="false" customHeight="false" outlineLevel="0" collapsed="false">
      <c r="A3620" s="0" t="s">
        <v>2965</v>
      </c>
      <c r="B3620" s="0" t="s">
        <v>134</v>
      </c>
      <c r="C3620" s="0" t="s">
        <v>3447</v>
      </c>
      <c r="D3620" s="0" t="s">
        <v>3448</v>
      </c>
      <c r="E3620" s="0" t="s">
        <v>4963</v>
      </c>
      <c r="F3620" s="0" t="s">
        <v>30</v>
      </c>
      <c r="G3620" s="0" t="s">
        <v>4980</v>
      </c>
      <c r="H3620" s="0" t="s">
        <v>4888</v>
      </c>
      <c r="I3620" s="0" t="s">
        <v>4981</v>
      </c>
      <c r="J3620" s="18" t="s">
        <v>24</v>
      </c>
    </row>
    <row r="3621" customFormat="false" ht="15" hidden="false" customHeight="false" outlineLevel="0" collapsed="false">
      <c r="A3621" s="0" t="s">
        <v>2965</v>
      </c>
      <c r="B3621" s="0" t="s">
        <v>3459</v>
      </c>
      <c r="C3621" s="0" t="s">
        <v>3450</v>
      </c>
      <c r="D3621" s="0" t="s">
        <v>3457</v>
      </c>
      <c r="E3621" s="0" t="s">
        <v>4963</v>
      </c>
      <c r="F3621" s="0" t="s">
        <v>30</v>
      </c>
      <c r="G3621" s="0" t="s">
        <v>4980</v>
      </c>
      <c r="H3621" s="0" t="s">
        <v>4299</v>
      </c>
      <c r="I3621" s="0" t="s">
        <v>4981</v>
      </c>
      <c r="J3621" s="18" t="s">
        <v>24</v>
      </c>
    </row>
    <row r="3622" customFormat="false" ht="15" hidden="false" customHeight="false" outlineLevel="0" collapsed="false">
      <c r="A3622" s="0" t="s">
        <v>2965</v>
      </c>
      <c r="B3622" s="0" t="s">
        <v>3459</v>
      </c>
      <c r="C3622" s="0" t="s">
        <v>3447</v>
      </c>
      <c r="D3622" s="0" t="s">
        <v>3448</v>
      </c>
      <c r="E3622" s="0" t="s">
        <v>4963</v>
      </c>
      <c r="F3622" s="0" t="s">
        <v>30</v>
      </c>
      <c r="G3622" s="0" t="s">
        <v>4980</v>
      </c>
      <c r="H3622" s="0" t="s">
        <v>4238</v>
      </c>
      <c r="I3622" s="0" t="s">
        <v>4981</v>
      </c>
      <c r="J3622" s="18" t="s">
        <v>24</v>
      </c>
    </row>
    <row r="3623" customFormat="false" ht="15" hidden="false" customHeight="false" outlineLevel="0" collapsed="false">
      <c r="A3623" s="0" t="s">
        <v>2973</v>
      </c>
      <c r="B3623" s="0" t="s">
        <v>134</v>
      </c>
      <c r="C3623" s="0" t="s">
        <v>3450</v>
      </c>
      <c r="D3623" s="0" t="s">
        <v>3457</v>
      </c>
      <c r="E3623" s="0" t="s">
        <v>4963</v>
      </c>
      <c r="F3623" s="0" t="s">
        <v>59</v>
      </c>
      <c r="G3623" s="0" t="s">
        <v>4974</v>
      </c>
      <c r="H3623" s="0" t="s">
        <v>69</v>
      </c>
      <c r="I3623" s="0" t="s">
        <v>4975</v>
      </c>
      <c r="J3623" s="20" t="s">
        <v>25</v>
      </c>
    </row>
    <row r="3624" customFormat="false" ht="15" hidden="false" customHeight="false" outlineLevel="0" collapsed="false">
      <c r="A3624" s="0" t="s">
        <v>2973</v>
      </c>
      <c r="B3624" s="0" t="s">
        <v>134</v>
      </c>
      <c r="C3624" s="0" t="s">
        <v>3450</v>
      </c>
      <c r="D3624" s="0" t="s">
        <v>3457</v>
      </c>
      <c r="E3624" s="0" t="s">
        <v>4969</v>
      </c>
      <c r="F3624" s="0" t="s">
        <v>61</v>
      </c>
      <c r="G3624" s="0" t="s">
        <v>4970</v>
      </c>
      <c r="H3624" s="0" t="s">
        <v>6173</v>
      </c>
      <c r="I3624" s="0" t="s">
        <v>4972</v>
      </c>
      <c r="J3624" s="20" t="s">
        <v>25</v>
      </c>
    </row>
    <row r="3625" customFormat="false" ht="15" hidden="false" customHeight="false" outlineLevel="0" collapsed="false">
      <c r="A3625" s="0" t="s">
        <v>2973</v>
      </c>
      <c r="B3625" s="0" t="s">
        <v>134</v>
      </c>
      <c r="C3625" s="0" t="s">
        <v>3450</v>
      </c>
      <c r="D3625" s="0" t="s">
        <v>3448</v>
      </c>
      <c r="E3625" s="0" t="s">
        <v>4969</v>
      </c>
      <c r="F3625" s="0" t="s">
        <v>64</v>
      </c>
      <c r="G3625" s="0" t="s">
        <v>4220</v>
      </c>
      <c r="H3625" s="0" t="s">
        <v>6174</v>
      </c>
      <c r="I3625" s="0" t="s">
        <v>4991</v>
      </c>
      <c r="J3625" s="20" t="s">
        <v>25</v>
      </c>
    </row>
    <row r="3626" customFormat="false" ht="15" hidden="false" customHeight="false" outlineLevel="0" collapsed="false">
      <c r="A3626" s="0" t="s">
        <v>2973</v>
      </c>
      <c r="B3626" s="0" t="s">
        <v>134</v>
      </c>
      <c r="C3626" s="0" t="s">
        <v>3447</v>
      </c>
      <c r="D3626" s="0" t="s">
        <v>3457</v>
      </c>
      <c r="E3626" s="0" t="s">
        <v>4969</v>
      </c>
      <c r="F3626" s="0" t="s">
        <v>61</v>
      </c>
      <c r="G3626" s="0" t="s">
        <v>4970</v>
      </c>
      <c r="H3626" s="0" t="s">
        <v>6175</v>
      </c>
      <c r="I3626" s="0" t="s">
        <v>4972</v>
      </c>
      <c r="J3626" s="20" t="s">
        <v>25</v>
      </c>
    </row>
    <row r="3627" customFormat="false" ht="15" hidden="false" customHeight="false" outlineLevel="0" collapsed="false">
      <c r="A3627" s="0" t="s">
        <v>2973</v>
      </c>
      <c r="B3627" s="0" t="s">
        <v>134</v>
      </c>
      <c r="C3627" s="0" t="s">
        <v>3447</v>
      </c>
      <c r="D3627" s="0" t="s">
        <v>3448</v>
      </c>
      <c r="E3627" s="0" t="s">
        <v>4969</v>
      </c>
      <c r="F3627" s="0" t="s">
        <v>64</v>
      </c>
      <c r="G3627" s="0" t="s">
        <v>4220</v>
      </c>
      <c r="H3627" s="0" t="s">
        <v>6174</v>
      </c>
      <c r="I3627" s="0" t="s">
        <v>4991</v>
      </c>
      <c r="J3627" s="20" t="s">
        <v>25</v>
      </c>
    </row>
    <row r="3628" customFormat="false" ht="15" hidden="false" customHeight="false" outlineLevel="0" collapsed="false">
      <c r="A3628" s="0" t="s">
        <v>2973</v>
      </c>
      <c r="B3628" s="0" t="s">
        <v>134</v>
      </c>
      <c r="C3628" s="0" t="s">
        <v>3450</v>
      </c>
      <c r="D3628" s="0" t="s">
        <v>3457</v>
      </c>
      <c r="E3628" s="0" t="s">
        <v>4963</v>
      </c>
      <c r="F3628" s="0" t="s">
        <v>30</v>
      </c>
      <c r="G3628" s="0" t="s">
        <v>4980</v>
      </c>
      <c r="H3628" s="0" t="s">
        <v>4265</v>
      </c>
      <c r="I3628" s="0" t="s">
        <v>4981</v>
      </c>
      <c r="J3628" s="18" t="s">
        <v>24</v>
      </c>
    </row>
    <row r="3629" customFormat="false" ht="15" hidden="false" customHeight="false" outlineLevel="0" collapsed="false">
      <c r="A3629" s="0" t="s">
        <v>2973</v>
      </c>
      <c r="B3629" s="0" t="s">
        <v>134</v>
      </c>
      <c r="C3629" s="0" t="s">
        <v>3447</v>
      </c>
      <c r="D3629" s="0" t="s">
        <v>3457</v>
      </c>
      <c r="E3629" s="0" t="s">
        <v>4963</v>
      </c>
      <c r="F3629" s="0" t="s">
        <v>30</v>
      </c>
      <c r="G3629" s="0" t="s">
        <v>4980</v>
      </c>
      <c r="H3629" s="0" t="s">
        <v>4556</v>
      </c>
      <c r="I3629" s="0" t="s">
        <v>4981</v>
      </c>
      <c r="J3629" s="18" t="s">
        <v>24</v>
      </c>
    </row>
    <row r="3630" customFormat="false" ht="15" hidden="false" customHeight="false" outlineLevel="0" collapsed="false">
      <c r="A3630" s="0" t="s">
        <v>2973</v>
      </c>
      <c r="B3630" s="0" t="s">
        <v>134</v>
      </c>
      <c r="C3630" s="0" t="s">
        <v>3447</v>
      </c>
      <c r="D3630" s="0" t="s">
        <v>3448</v>
      </c>
      <c r="E3630" s="0" t="s">
        <v>4963</v>
      </c>
      <c r="F3630" s="0" t="s">
        <v>30</v>
      </c>
      <c r="G3630" s="0" t="s">
        <v>4980</v>
      </c>
      <c r="H3630" s="0" t="s">
        <v>4889</v>
      </c>
      <c r="I3630" s="0" t="s">
        <v>4981</v>
      </c>
      <c r="J3630" s="18" t="s">
        <v>24</v>
      </c>
    </row>
    <row r="3631" customFormat="false" ht="15" hidden="false" customHeight="false" outlineLevel="0" collapsed="false">
      <c r="A3631" s="0" t="s">
        <v>2978</v>
      </c>
      <c r="B3631" s="0" t="s">
        <v>134</v>
      </c>
      <c r="C3631" s="0" t="s">
        <v>3450</v>
      </c>
      <c r="D3631" s="0" t="s">
        <v>3457</v>
      </c>
      <c r="E3631" s="0" t="s">
        <v>4969</v>
      </c>
      <c r="F3631" s="0" t="s">
        <v>62</v>
      </c>
      <c r="G3631" s="0" t="s">
        <v>5003</v>
      </c>
      <c r="H3631" s="0" t="s">
        <v>6176</v>
      </c>
      <c r="I3631" s="0" t="s">
        <v>5005</v>
      </c>
      <c r="J3631" s="20" t="s">
        <v>25</v>
      </c>
    </row>
    <row r="3632" customFormat="false" ht="15" hidden="false" customHeight="false" outlineLevel="0" collapsed="false">
      <c r="A3632" s="0" t="s">
        <v>2978</v>
      </c>
      <c r="B3632" s="0" t="s">
        <v>134</v>
      </c>
      <c r="C3632" s="0" t="s">
        <v>3450</v>
      </c>
      <c r="D3632" s="0" t="s">
        <v>3448</v>
      </c>
      <c r="E3632" s="0" t="s">
        <v>4963</v>
      </c>
      <c r="F3632" s="0" t="s">
        <v>59</v>
      </c>
      <c r="G3632" s="0" t="s">
        <v>4974</v>
      </c>
      <c r="H3632" s="0" t="s">
        <v>70</v>
      </c>
      <c r="I3632" s="0" t="s">
        <v>4975</v>
      </c>
      <c r="J3632" s="20" t="s">
        <v>25</v>
      </c>
    </row>
    <row r="3633" customFormat="false" ht="15" hidden="false" customHeight="false" outlineLevel="0" collapsed="false">
      <c r="A3633" s="0" t="s">
        <v>2978</v>
      </c>
      <c r="B3633" s="0" t="s">
        <v>134</v>
      </c>
      <c r="C3633" s="0" t="s">
        <v>3450</v>
      </c>
      <c r="D3633" s="0" t="s">
        <v>3448</v>
      </c>
      <c r="E3633" s="0" t="s">
        <v>4969</v>
      </c>
      <c r="F3633" s="0" t="s">
        <v>62</v>
      </c>
      <c r="G3633" s="0" t="s">
        <v>5003</v>
      </c>
      <c r="H3633" s="0" t="s">
        <v>6177</v>
      </c>
      <c r="I3633" s="0" t="s">
        <v>5005</v>
      </c>
      <c r="J3633" s="20" t="s">
        <v>25</v>
      </c>
    </row>
    <row r="3634" customFormat="false" ht="15" hidden="false" customHeight="false" outlineLevel="0" collapsed="false">
      <c r="A3634" s="0" t="s">
        <v>2978</v>
      </c>
      <c r="B3634" s="0" t="s">
        <v>134</v>
      </c>
      <c r="C3634" s="0" t="s">
        <v>3450</v>
      </c>
      <c r="D3634" s="0" t="s">
        <v>3448</v>
      </c>
      <c r="E3634" s="0" t="s">
        <v>4969</v>
      </c>
      <c r="F3634" s="0" t="s">
        <v>63</v>
      </c>
      <c r="G3634" s="0" t="s">
        <v>4220</v>
      </c>
      <c r="H3634" s="0" t="s">
        <v>6178</v>
      </c>
      <c r="I3634" s="0" t="s">
        <v>4979</v>
      </c>
      <c r="J3634" s="20" t="s">
        <v>25</v>
      </c>
    </row>
    <row r="3635" customFormat="false" ht="15" hidden="false" customHeight="false" outlineLevel="0" collapsed="false">
      <c r="A3635" s="0" t="s">
        <v>2978</v>
      </c>
      <c r="B3635" s="0" t="s">
        <v>134</v>
      </c>
      <c r="C3635" s="0" t="s">
        <v>3447</v>
      </c>
      <c r="D3635" s="0" t="s">
        <v>3457</v>
      </c>
      <c r="E3635" s="0" t="s">
        <v>4969</v>
      </c>
      <c r="F3635" s="0" t="s">
        <v>61</v>
      </c>
      <c r="G3635" s="0" t="s">
        <v>4970</v>
      </c>
      <c r="H3635" s="0" t="s">
        <v>6179</v>
      </c>
      <c r="I3635" s="0" t="s">
        <v>4972</v>
      </c>
      <c r="J3635" s="20" t="s">
        <v>25</v>
      </c>
    </row>
    <row r="3636" customFormat="false" ht="15" hidden="false" customHeight="false" outlineLevel="0" collapsed="false">
      <c r="A3636" s="0" t="s">
        <v>2978</v>
      </c>
      <c r="B3636" s="0" t="s">
        <v>134</v>
      </c>
      <c r="C3636" s="0" t="s">
        <v>3447</v>
      </c>
      <c r="D3636" s="0" t="s">
        <v>3448</v>
      </c>
      <c r="E3636" s="0" t="s">
        <v>4969</v>
      </c>
      <c r="F3636" s="0" t="s">
        <v>63</v>
      </c>
      <c r="G3636" s="0" t="s">
        <v>4220</v>
      </c>
      <c r="H3636" s="0" t="s">
        <v>6178</v>
      </c>
      <c r="I3636" s="0" t="s">
        <v>4979</v>
      </c>
      <c r="J3636" s="20" t="s">
        <v>25</v>
      </c>
    </row>
    <row r="3637" customFormat="false" ht="15" hidden="false" customHeight="false" outlineLevel="0" collapsed="false">
      <c r="A3637" s="0" t="s">
        <v>2978</v>
      </c>
      <c r="B3637" s="0" t="s">
        <v>134</v>
      </c>
      <c r="C3637" s="0" t="s">
        <v>3450</v>
      </c>
      <c r="D3637" s="0" t="s">
        <v>3448</v>
      </c>
      <c r="E3637" s="0" t="s">
        <v>4963</v>
      </c>
      <c r="F3637" s="0" t="s">
        <v>30</v>
      </c>
      <c r="G3637" s="0" t="s">
        <v>4980</v>
      </c>
      <c r="H3637" s="0" t="s">
        <v>4870</v>
      </c>
      <c r="I3637" s="0" t="s">
        <v>4981</v>
      </c>
      <c r="J3637" s="18" t="s">
        <v>24</v>
      </c>
    </row>
    <row r="3638" customFormat="false" ht="15" hidden="false" customHeight="false" outlineLevel="0" collapsed="false">
      <c r="A3638" s="0" t="s">
        <v>2978</v>
      </c>
      <c r="B3638" s="0" t="s">
        <v>134</v>
      </c>
      <c r="C3638" s="0" t="s">
        <v>3447</v>
      </c>
      <c r="D3638" s="0" t="s">
        <v>3448</v>
      </c>
      <c r="E3638" s="0" t="s">
        <v>4963</v>
      </c>
      <c r="F3638" s="0" t="s">
        <v>30</v>
      </c>
      <c r="G3638" s="0" t="s">
        <v>4980</v>
      </c>
      <c r="H3638" s="0" t="s">
        <v>4228</v>
      </c>
      <c r="I3638" s="0" t="s">
        <v>4981</v>
      </c>
      <c r="J3638" s="18" t="s">
        <v>24</v>
      </c>
    </row>
    <row r="3639" customFormat="false" ht="15" hidden="false" customHeight="false" outlineLevel="0" collapsed="false">
      <c r="A3639" s="0" t="s">
        <v>2987</v>
      </c>
      <c r="B3639" s="0" t="s">
        <v>134</v>
      </c>
      <c r="C3639" s="0" t="s">
        <v>3450</v>
      </c>
      <c r="D3639" s="0" t="s">
        <v>3457</v>
      </c>
      <c r="E3639" s="0" t="s">
        <v>4963</v>
      </c>
      <c r="F3639" s="0" t="s">
        <v>59</v>
      </c>
      <c r="G3639" s="0" t="s">
        <v>4974</v>
      </c>
      <c r="H3639" s="0" t="s">
        <v>69</v>
      </c>
      <c r="I3639" s="0" t="s">
        <v>4975</v>
      </c>
      <c r="J3639" s="20" t="s">
        <v>25</v>
      </c>
    </row>
    <row r="3640" customFormat="false" ht="15" hidden="false" customHeight="false" outlineLevel="0" collapsed="false">
      <c r="A3640" s="0" t="s">
        <v>2987</v>
      </c>
      <c r="B3640" s="0" t="s">
        <v>134</v>
      </c>
      <c r="C3640" s="0" t="s">
        <v>3450</v>
      </c>
      <c r="D3640" s="0" t="s">
        <v>3457</v>
      </c>
      <c r="E3640" s="0" t="s">
        <v>4969</v>
      </c>
      <c r="F3640" s="0" t="s">
        <v>62</v>
      </c>
      <c r="G3640" s="0" t="s">
        <v>5003</v>
      </c>
      <c r="H3640" s="0" t="s">
        <v>6180</v>
      </c>
      <c r="I3640" s="0" t="s">
        <v>5005</v>
      </c>
      <c r="J3640" s="20" t="s">
        <v>25</v>
      </c>
    </row>
    <row r="3641" customFormat="false" ht="15" hidden="false" customHeight="false" outlineLevel="0" collapsed="false">
      <c r="A3641" s="0" t="s">
        <v>2987</v>
      </c>
      <c r="B3641" s="0" t="s">
        <v>134</v>
      </c>
      <c r="C3641" s="0" t="s">
        <v>3450</v>
      </c>
      <c r="D3641" s="0" t="s">
        <v>3448</v>
      </c>
      <c r="E3641" s="0" t="s">
        <v>4963</v>
      </c>
      <c r="F3641" s="0" t="s">
        <v>59</v>
      </c>
      <c r="G3641" s="0" t="s">
        <v>4974</v>
      </c>
      <c r="H3641" s="0" t="s">
        <v>69</v>
      </c>
      <c r="I3641" s="0" t="s">
        <v>4975</v>
      </c>
      <c r="J3641" s="20" t="s">
        <v>25</v>
      </c>
    </row>
    <row r="3642" customFormat="false" ht="15" hidden="false" customHeight="false" outlineLevel="0" collapsed="false">
      <c r="A3642" s="0" t="s">
        <v>2987</v>
      </c>
      <c r="B3642" s="0" t="s">
        <v>134</v>
      </c>
      <c r="C3642" s="0" t="s">
        <v>3447</v>
      </c>
      <c r="D3642" s="0" t="s">
        <v>3457</v>
      </c>
      <c r="E3642" s="0" t="s">
        <v>4963</v>
      </c>
      <c r="F3642" s="0" t="s">
        <v>59</v>
      </c>
      <c r="G3642" s="0" t="s">
        <v>4974</v>
      </c>
      <c r="H3642" s="0" t="s">
        <v>69</v>
      </c>
      <c r="I3642" s="0" t="s">
        <v>4975</v>
      </c>
      <c r="J3642" s="20" t="s">
        <v>25</v>
      </c>
    </row>
    <row r="3643" customFormat="false" ht="15" hidden="false" customHeight="false" outlineLevel="0" collapsed="false">
      <c r="A3643" s="0" t="s">
        <v>2987</v>
      </c>
      <c r="B3643" s="0" t="s">
        <v>134</v>
      </c>
      <c r="C3643" s="0" t="s">
        <v>3450</v>
      </c>
      <c r="D3643" s="0" t="s">
        <v>3457</v>
      </c>
      <c r="E3643" s="0" t="s">
        <v>4963</v>
      </c>
      <c r="F3643" s="0" t="s">
        <v>30</v>
      </c>
      <c r="G3643" s="0" t="s">
        <v>4980</v>
      </c>
      <c r="H3643" s="0" t="s">
        <v>4890</v>
      </c>
      <c r="I3643" s="0" t="s">
        <v>4981</v>
      </c>
      <c r="J3643" s="18" t="s">
        <v>24</v>
      </c>
    </row>
    <row r="3644" customFormat="false" ht="15" hidden="false" customHeight="false" outlineLevel="0" collapsed="false">
      <c r="A3644" s="0" t="s">
        <v>2987</v>
      </c>
      <c r="B3644" s="0" t="s">
        <v>134</v>
      </c>
      <c r="C3644" s="0" t="s">
        <v>3450</v>
      </c>
      <c r="D3644" s="0" t="s">
        <v>3448</v>
      </c>
      <c r="E3644" s="0" t="s">
        <v>4963</v>
      </c>
      <c r="F3644" s="0" t="s">
        <v>30</v>
      </c>
      <c r="G3644" s="0" t="s">
        <v>4980</v>
      </c>
      <c r="H3644" s="0" t="s">
        <v>4327</v>
      </c>
      <c r="I3644" s="0" t="s">
        <v>4981</v>
      </c>
      <c r="J3644" s="18" t="s">
        <v>24</v>
      </c>
    </row>
    <row r="3645" customFormat="false" ht="15" hidden="false" customHeight="false" outlineLevel="0" collapsed="false">
      <c r="A3645" s="0" t="s">
        <v>2987</v>
      </c>
      <c r="B3645" s="0" t="s">
        <v>134</v>
      </c>
      <c r="C3645" s="0" t="s">
        <v>3447</v>
      </c>
      <c r="D3645" s="0" t="s">
        <v>3457</v>
      </c>
      <c r="E3645" s="0" t="s">
        <v>4963</v>
      </c>
      <c r="F3645" s="0" t="s">
        <v>30</v>
      </c>
      <c r="G3645" s="0" t="s">
        <v>4980</v>
      </c>
      <c r="H3645" s="0" t="s">
        <v>4327</v>
      </c>
      <c r="I3645" s="0" t="s">
        <v>4981</v>
      </c>
      <c r="J3645" s="18" t="s">
        <v>24</v>
      </c>
    </row>
    <row r="3646" customFormat="false" ht="15" hidden="false" customHeight="false" outlineLevel="0" collapsed="false">
      <c r="A3646" s="0" t="s">
        <v>2987</v>
      </c>
      <c r="B3646" s="0" t="s">
        <v>134</v>
      </c>
      <c r="C3646" s="0" t="s">
        <v>3447</v>
      </c>
      <c r="D3646" s="0" t="s">
        <v>3448</v>
      </c>
      <c r="E3646" s="0" t="s">
        <v>4963</v>
      </c>
      <c r="F3646" s="0" t="s">
        <v>30</v>
      </c>
      <c r="G3646" s="0" t="s">
        <v>4980</v>
      </c>
      <c r="H3646" s="0" t="s">
        <v>4228</v>
      </c>
      <c r="I3646" s="0" t="s">
        <v>4981</v>
      </c>
      <c r="J3646" s="18" t="s">
        <v>24</v>
      </c>
    </row>
    <row r="3647" customFormat="false" ht="15" hidden="false" customHeight="false" outlineLevel="0" collapsed="false">
      <c r="A3647" s="0" t="s">
        <v>2993</v>
      </c>
      <c r="B3647" s="0" t="s">
        <v>3459</v>
      </c>
      <c r="C3647" s="0" t="s">
        <v>3447</v>
      </c>
      <c r="D3647" s="0" t="s">
        <v>3457</v>
      </c>
      <c r="E3647" s="0" t="s">
        <v>4963</v>
      </c>
      <c r="F3647" s="0" t="s">
        <v>60</v>
      </c>
      <c r="G3647" s="0" t="s">
        <v>4964</v>
      </c>
      <c r="H3647" s="0" t="s">
        <v>6181</v>
      </c>
      <c r="I3647" s="0" t="s">
        <v>4966</v>
      </c>
      <c r="J3647" s="19" t="s">
        <v>26</v>
      </c>
    </row>
    <row r="3648" customFormat="false" ht="15" hidden="false" customHeight="false" outlineLevel="0" collapsed="false">
      <c r="A3648" s="0" t="s">
        <v>2993</v>
      </c>
      <c r="B3648" s="0" t="s">
        <v>134</v>
      </c>
      <c r="C3648" s="0" t="s">
        <v>3450</v>
      </c>
      <c r="D3648" s="0" t="s">
        <v>3457</v>
      </c>
      <c r="E3648" s="0" t="s">
        <v>4969</v>
      </c>
      <c r="F3648" s="0" t="s">
        <v>61</v>
      </c>
      <c r="G3648" s="0" t="s">
        <v>4970</v>
      </c>
      <c r="H3648" s="0" t="s">
        <v>6182</v>
      </c>
      <c r="I3648" s="0" t="s">
        <v>4972</v>
      </c>
      <c r="J3648" s="20" t="s">
        <v>25</v>
      </c>
    </row>
    <row r="3649" customFormat="false" ht="15" hidden="false" customHeight="false" outlineLevel="0" collapsed="false">
      <c r="A3649" s="0" t="s">
        <v>2993</v>
      </c>
      <c r="B3649" s="0" t="s">
        <v>134</v>
      </c>
      <c r="C3649" s="0" t="s">
        <v>3450</v>
      </c>
      <c r="D3649" s="0" t="s">
        <v>3448</v>
      </c>
      <c r="E3649" s="0" t="s">
        <v>4969</v>
      </c>
      <c r="F3649" s="0" t="s">
        <v>61</v>
      </c>
      <c r="G3649" s="0" t="s">
        <v>4970</v>
      </c>
      <c r="H3649" s="0" t="s">
        <v>6183</v>
      </c>
      <c r="I3649" s="0" t="s">
        <v>4972</v>
      </c>
      <c r="J3649" s="20" t="s">
        <v>25</v>
      </c>
    </row>
    <row r="3650" customFormat="false" ht="15" hidden="false" customHeight="false" outlineLevel="0" collapsed="false">
      <c r="A3650" s="0" t="s">
        <v>2993</v>
      </c>
      <c r="B3650" s="0" t="s">
        <v>134</v>
      </c>
      <c r="C3650" s="0" t="s">
        <v>3447</v>
      </c>
      <c r="D3650" s="0" t="s">
        <v>3457</v>
      </c>
      <c r="E3650" s="0" t="s">
        <v>4963</v>
      </c>
      <c r="F3650" s="0" t="s">
        <v>59</v>
      </c>
      <c r="G3650" s="0" t="s">
        <v>4974</v>
      </c>
      <c r="H3650" s="0" t="s">
        <v>69</v>
      </c>
      <c r="I3650" s="0" t="s">
        <v>4975</v>
      </c>
      <c r="J3650" s="20" t="s">
        <v>25</v>
      </c>
    </row>
    <row r="3651" customFormat="false" ht="15" hidden="false" customHeight="false" outlineLevel="0" collapsed="false">
      <c r="A3651" s="0" t="s">
        <v>2993</v>
      </c>
      <c r="B3651" s="0" t="s">
        <v>134</v>
      </c>
      <c r="C3651" s="0" t="s">
        <v>3447</v>
      </c>
      <c r="D3651" s="0" t="s">
        <v>3457</v>
      </c>
      <c r="E3651" s="0" t="s">
        <v>4969</v>
      </c>
      <c r="F3651" s="0" t="s">
        <v>61</v>
      </c>
      <c r="G3651" s="0" t="s">
        <v>4970</v>
      </c>
      <c r="H3651" s="0" t="s">
        <v>6184</v>
      </c>
      <c r="I3651" s="0" t="s">
        <v>4972</v>
      </c>
      <c r="J3651" s="20" t="s">
        <v>25</v>
      </c>
    </row>
    <row r="3652" customFormat="false" ht="15" hidden="false" customHeight="false" outlineLevel="0" collapsed="false">
      <c r="A3652" s="0" t="s">
        <v>2993</v>
      </c>
      <c r="B3652" s="0" t="s">
        <v>134</v>
      </c>
      <c r="C3652" s="0" t="s">
        <v>3447</v>
      </c>
      <c r="D3652" s="0" t="s">
        <v>3448</v>
      </c>
      <c r="E3652" s="0" t="s">
        <v>4969</v>
      </c>
      <c r="F3652" s="0" t="s">
        <v>61</v>
      </c>
      <c r="G3652" s="0" t="s">
        <v>4970</v>
      </c>
      <c r="H3652" s="0" t="s">
        <v>6185</v>
      </c>
      <c r="I3652" s="0" t="s">
        <v>4972</v>
      </c>
      <c r="J3652" s="20" t="s">
        <v>25</v>
      </c>
    </row>
    <row r="3653" customFormat="false" ht="15" hidden="false" customHeight="false" outlineLevel="0" collapsed="false">
      <c r="A3653" s="0" t="s">
        <v>2993</v>
      </c>
      <c r="B3653" s="0" t="s">
        <v>3459</v>
      </c>
      <c r="C3653" s="0" t="s">
        <v>3450</v>
      </c>
      <c r="D3653" s="0" t="s">
        <v>3457</v>
      </c>
      <c r="E3653" s="0" t="s">
        <v>4969</v>
      </c>
      <c r="F3653" s="0" t="s">
        <v>61</v>
      </c>
      <c r="G3653" s="0" t="s">
        <v>4970</v>
      </c>
      <c r="H3653" s="0" t="s">
        <v>5796</v>
      </c>
      <c r="I3653" s="0" t="s">
        <v>4972</v>
      </c>
      <c r="J3653" s="20" t="s">
        <v>25</v>
      </c>
    </row>
    <row r="3654" customFormat="false" ht="15" hidden="false" customHeight="false" outlineLevel="0" collapsed="false">
      <c r="A3654" s="0" t="s">
        <v>2993</v>
      </c>
      <c r="B3654" s="0" t="s">
        <v>3459</v>
      </c>
      <c r="C3654" s="0" t="s">
        <v>3450</v>
      </c>
      <c r="D3654" s="0" t="s">
        <v>3448</v>
      </c>
      <c r="E3654" s="0" t="s">
        <v>4969</v>
      </c>
      <c r="F3654" s="0" t="s">
        <v>61</v>
      </c>
      <c r="G3654" s="0" t="s">
        <v>4970</v>
      </c>
      <c r="H3654" s="0" t="s">
        <v>6186</v>
      </c>
      <c r="I3654" s="0" t="s">
        <v>4972</v>
      </c>
      <c r="J3654" s="20" t="s">
        <v>25</v>
      </c>
    </row>
    <row r="3655" customFormat="false" ht="15" hidden="false" customHeight="false" outlineLevel="0" collapsed="false">
      <c r="A3655" s="0" t="s">
        <v>2993</v>
      </c>
      <c r="B3655" s="0" t="s">
        <v>3459</v>
      </c>
      <c r="C3655" s="0" t="s">
        <v>3447</v>
      </c>
      <c r="D3655" s="0" t="s">
        <v>3457</v>
      </c>
      <c r="E3655" s="0" t="s">
        <v>4969</v>
      </c>
      <c r="F3655" s="0" t="s">
        <v>61</v>
      </c>
      <c r="G3655" s="0" t="s">
        <v>4970</v>
      </c>
      <c r="H3655" s="0" t="s">
        <v>6187</v>
      </c>
      <c r="I3655" s="0" t="s">
        <v>4972</v>
      </c>
      <c r="J3655" s="20" t="s">
        <v>25</v>
      </c>
    </row>
    <row r="3656" customFormat="false" ht="15" hidden="false" customHeight="false" outlineLevel="0" collapsed="false">
      <c r="A3656" s="0" t="s">
        <v>2993</v>
      </c>
      <c r="B3656" s="0" t="s">
        <v>3459</v>
      </c>
      <c r="C3656" s="0" t="s">
        <v>3447</v>
      </c>
      <c r="D3656" s="0" t="s">
        <v>3448</v>
      </c>
      <c r="E3656" s="0" t="s">
        <v>4969</v>
      </c>
      <c r="F3656" s="0" t="s">
        <v>61</v>
      </c>
      <c r="G3656" s="0" t="s">
        <v>4970</v>
      </c>
      <c r="H3656" s="0" t="s">
        <v>6188</v>
      </c>
      <c r="I3656" s="0" t="s">
        <v>4972</v>
      </c>
      <c r="J3656" s="20" t="s">
        <v>25</v>
      </c>
    </row>
    <row r="3657" customFormat="false" ht="15" hidden="false" customHeight="false" outlineLevel="0" collapsed="false">
      <c r="A3657" s="0" t="s">
        <v>2993</v>
      </c>
      <c r="B3657" s="0" t="s">
        <v>134</v>
      </c>
      <c r="C3657" s="0" t="s">
        <v>3447</v>
      </c>
      <c r="D3657" s="0" t="s">
        <v>3457</v>
      </c>
      <c r="E3657" s="0" t="s">
        <v>4963</v>
      </c>
      <c r="F3657" s="0" t="s">
        <v>30</v>
      </c>
      <c r="G3657" s="0" t="s">
        <v>4980</v>
      </c>
      <c r="H3657" s="0" t="s">
        <v>4891</v>
      </c>
      <c r="I3657" s="0" t="s">
        <v>4981</v>
      </c>
      <c r="J3657" s="18" t="s">
        <v>24</v>
      </c>
    </row>
    <row r="3658" customFormat="false" ht="15" hidden="false" customHeight="false" outlineLevel="0" collapsed="false">
      <c r="A3658" s="0" t="s">
        <v>2993</v>
      </c>
      <c r="B3658" s="0" t="s">
        <v>134</v>
      </c>
      <c r="C3658" s="0" t="s">
        <v>3447</v>
      </c>
      <c r="D3658" s="0" t="s">
        <v>3448</v>
      </c>
      <c r="E3658" s="0" t="s">
        <v>4963</v>
      </c>
      <c r="F3658" s="0" t="s">
        <v>30</v>
      </c>
      <c r="G3658" s="0" t="s">
        <v>4980</v>
      </c>
      <c r="H3658" s="0" t="s">
        <v>4449</v>
      </c>
      <c r="I3658" s="0" t="s">
        <v>4981</v>
      </c>
      <c r="J3658" s="18" t="s">
        <v>24</v>
      </c>
    </row>
    <row r="3659" customFormat="false" ht="15" hidden="false" customHeight="false" outlineLevel="0" collapsed="false">
      <c r="A3659" s="0" t="s">
        <v>2993</v>
      </c>
      <c r="B3659" s="0" t="s">
        <v>3459</v>
      </c>
      <c r="C3659" s="0" t="s">
        <v>3447</v>
      </c>
      <c r="D3659" s="0" t="s">
        <v>3448</v>
      </c>
      <c r="E3659" s="0" t="s">
        <v>4963</v>
      </c>
      <c r="F3659" s="0" t="s">
        <v>30</v>
      </c>
      <c r="G3659" s="0" t="s">
        <v>4980</v>
      </c>
      <c r="H3659" s="0" t="s">
        <v>4893</v>
      </c>
      <c r="I3659" s="0" t="s">
        <v>4981</v>
      </c>
      <c r="J3659" s="18" t="s">
        <v>24</v>
      </c>
    </row>
    <row r="3660" customFormat="false" ht="15" hidden="false" customHeight="false" outlineLevel="0" collapsed="false">
      <c r="A3660" s="0" t="s">
        <v>3001</v>
      </c>
      <c r="B3660" s="0" t="s">
        <v>134</v>
      </c>
      <c r="C3660" s="0" t="s">
        <v>3450</v>
      </c>
      <c r="D3660" s="0" t="s">
        <v>3457</v>
      </c>
      <c r="E3660" s="0" t="s">
        <v>4969</v>
      </c>
      <c r="F3660" s="0" t="s">
        <v>62</v>
      </c>
      <c r="G3660" s="0" t="s">
        <v>5003</v>
      </c>
      <c r="H3660" s="0" t="s">
        <v>6189</v>
      </c>
      <c r="I3660" s="0" t="s">
        <v>5005</v>
      </c>
      <c r="J3660" s="20" t="s">
        <v>25</v>
      </c>
    </row>
    <row r="3661" customFormat="false" ht="15" hidden="false" customHeight="false" outlineLevel="0" collapsed="false">
      <c r="A3661" s="0" t="s">
        <v>3001</v>
      </c>
      <c r="B3661" s="0" t="s">
        <v>134</v>
      </c>
      <c r="C3661" s="0" t="s">
        <v>3450</v>
      </c>
      <c r="D3661" s="0" t="s">
        <v>3457</v>
      </c>
      <c r="E3661" s="0" t="s">
        <v>4969</v>
      </c>
      <c r="F3661" s="0" t="s">
        <v>63</v>
      </c>
      <c r="G3661" s="0" t="s">
        <v>4220</v>
      </c>
      <c r="H3661" s="0" t="s">
        <v>6190</v>
      </c>
      <c r="I3661" s="0" t="s">
        <v>4979</v>
      </c>
      <c r="J3661" s="20" t="s">
        <v>25</v>
      </c>
    </row>
    <row r="3662" customFormat="false" ht="15" hidden="false" customHeight="false" outlineLevel="0" collapsed="false">
      <c r="A3662" s="0" t="s">
        <v>3001</v>
      </c>
      <c r="B3662" s="0" t="s">
        <v>134</v>
      </c>
      <c r="C3662" s="0" t="s">
        <v>3450</v>
      </c>
      <c r="D3662" s="0" t="s">
        <v>3448</v>
      </c>
      <c r="E3662" s="0" t="s">
        <v>4963</v>
      </c>
      <c r="F3662" s="0" t="s">
        <v>59</v>
      </c>
      <c r="G3662" s="0" t="s">
        <v>4974</v>
      </c>
      <c r="H3662" s="0" t="s">
        <v>69</v>
      </c>
      <c r="I3662" s="0" t="s">
        <v>4975</v>
      </c>
      <c r="J3662" s="20" t="s">
        <v>25</v>
      </c>
    </row>
    <row r="3663" customFormat="false" ht="15" hidden="false" customHeight="false" outlineLevel="0" collapsed="false">
      <c r="A3663" s="0" t="s">
        <v>3001</v>
      </c>
      <c r="B3663" s="0" t="s">
        <v>134</v>
      </c>
      <c r="C3663" s="0" t="s">
        <v>3447</v>
      </c>
      <c r="D3663" s="0" t="s">
        <v>3457</v>
      </c>
      <c r="E3663" s="0" t="s">
        <v>4969</v>
      </c>
      <c r="F3663" s="0" t="s">
        <v>63</v>
      </c>
      <c r="G3663" s="0" t="s">
        <v>4220</v>
      </c>
      <c r="H3663" s="0" t="s">
        <v>6190</v>
      </c>
      <c r="I3663" s="0" t="s">
        <v>4979</v>
      </c>
      <c r="J3663" s="20" t="s">
        <v>25</v>
      </c>
    </row>
    <row r="3664" customFormat="false" ht="15" hidden="false" customHeight="false" outlineLevel="0" collapsed="false">
      <c r="A3664" s="0" t="s">
        <v>3001</v>
      </c>
      <c r="B3664" s="0" t="s">
        <v>134</v>
      </c>
      <c r="C3664" s="0" t="s">
        <v>3447</v>
      </c>
      <c r="D3664" s="0" t="s">
        <v>3448</v>
      </c>
      <c r="E3664" s="0" t="s">
        <v>4963</v>
      </c>
      <c r="F3664" s="0" t="s">
        <v>59</v>
      </c>
      <c r="G3664" s="0" t="s">
        <v>4974</v>
      </c>
      <c r="H3664" s="0" t="s">
        <v>69</v>
      </c>
      <c r="I3664" s="0" t="s">
        <v>4975</v>
      </c>
      <c r="J3664" s="20" t="s">
        <v>25</v>
      </c>
    </row>
    <row r="3665" customFormat="false" ht="15" hidden="false" customHeight="false" outlineLevel="0" collapsed="false">
      <c r="A3665" s="0" t="s">
        <v>3001</v>
      </c>
      <c r="B3665" s="0" t="s">
        <v>134</v>
      </c>
      <c r="C3665" s="0" t="s">
        <v>3450</v>
      </c>
      <c r="D3665" s="0" t="s">
        <v>3448</v>
      </c>
      <c r="E3665" s="0" t="s">
        <v>4963</v>
      </c>
      <c r="F3665" s="0" t="s">
        <v>30</v>
      </c>
      <c r="G3665" s="0" t="s">
        <v>4980</v>
      </c>
      <c r="H3665" s="0" t="s">
        <v>4242</v>
      </c>
      <c r="I3665" s="0" t="s">
        <v>4981</v>
      </c>
      <c r="J3665" s="18" t="s">
        <v>24</v>
      </c>
    </row>
    <row r="3666" customFormat="false" ht="15" hidden="false" customHeight="false" outlineLevel="0" collapsed="false">
      <c r="A3666" s="0" t="s">
        <v>3001</v>
      </c>
      <c r="B3666" s="0" t="s">
        <v>134</v>
      </c>
      <c r="C3666" s="0" t="s">
        <v>3447</v>
      </c>
      <c r="D3666" s="0" t="s">
        <v>3448</v>
      </c>
      <c r="E3666" s="0" t="s">
        <v>4963</v>
      </c>
      <c r="F3666" s="0" t="s">
        <v>30</v>
      </c>
      <c r="G3666" s="0" t="s">
        <v>4980</v>
      </c>
      <c r="H3666" s="0" t="s">
        <v>4275</v>
      </c>
      <c r="I3666" s="0" t="s">
        <v>4981</v>
      </c>
      <c r="J3666" s="18" t="s">
        <v>24</v>
      </c>
    </row>
    <row r="3667" customFormat="false" ht="15" hidden="false" customHeight="false" outlineLevel="0" collapsed="false">
      <c r="A3667" s="0" t="s">
        <v>3007</v>
      </c>
      <c r="B3667" s="0" t="s">
        <v>134</v>
      </c>
      <c r="C3667" s="0" t="s">
        <v>3450</v>
      </c>
      <c r="D3667" s="0" t="s">
        <v>3448</v>
      </c>
      <c r="E3667" s="0" t="s">
        <v>4963</v>
      </c>
      <c r="F3667" s="0" t="s">
        <v>59</v>
      </c>
      <c r="G3667" s="0" t="s">
        <v>4974</v>
      </c>
      <c r="H3667" s="0" t="s">
        <v>69</v>
      </c>
      <c r="I3667" s="0" t="s">
        <v>4975</v>
      </c>
      <c r="J3667" s="20" t="s">
        <v>25</v>
      </c>
    </row>
    <row r="3668" customFormat="false" ht="15" hidden="false" customHeight="false" outlineLevel="0" collapsed="false">
      <c r="A3668" s="0" t="s">
        <v>3007</v>
      </c>
      <c r="B3668" s="0" t="s">
        <v>134</v>
      </c>
      <c r="C3668" s="0" t="s">
        <v>3450</v>
      </c>
      <c r="D3668" s="0" t="s">
        <v>3448</v>
      </c>
      <c r="E3668" s="0" t="s">
        <v>4969</v>
      </c>
      <c r="F3668" s="0" t="s">
        <v>63</v>
      </c>
      <c r="G3668" s="0" t="s">
        <v>4220</v>
      </c>
      <c r="H3668" s="0" t="s">
        <v>5475</v>
      </c>
      <c r="I3668" s="0" t="s">
        <v>4979</v>
      </c>
      <c r="J3668" s="20" t="s">
        <v>25</v>
      </c>
    </row>
    <row r="3669" customFormat="false" ht="15" hidden="false" customHeight="false" outlineLevel="0" collapsed="false">
      <c r="A3669" s="0" t="s">
        <v>3007</v>
      </c>
      <c r="B3669" s="0" t="s">
        <v>134</v>
      </c>
      <c r="C3669" s="0" t="s">
        <v>3447</v>
      </c>
      <c r="D3669" s="0" t="s">
        <v>3448</v>
      </c>
      <c r="E3669" s="0" t="s">
        <v>4969</v>
      </c>
      <c r="F3669" s="0" t="s">
        <v>63</v>
      </c>
      <c r="G3669" s="0" t="s">
        <v>4220</v>
      </c>
      <c r="H3669" s="0" t="s">
        <v>5475</v>
      </c>
      <c r="I3669" s="0" t="s">
        <v>4979</v>
      </c>
      <c r="J3669" s="20" t="s">
        <v>25</v>
      </c>
    </row>
    <row r="3670" customFormat="false" ht="15" hidden="false" customHeight="false" outlineLevel="0" collapsed="false">
      <c r="A3670" s="0" t="s">
        <v>3007</v>
      </c>
      <c r="B3670" s="0" t="s">
        <v>134</v>
      </c>
      <c r="C3670" s="0" t="s">
        <v>3450</v>
      </c>
      <c r="D3670" s="0" t="s">
        <v>3457</v>
      </c>
      <c r="E3670" s="0" t="s">
        <v>4963</v>
      </c>
      <c r="F3670" s="0" t="s">
        <v>30</v>
      </c>
      <c r="G3670" s="0" t="s">
        <v>4980</v>
      </c>
      <c r="H3670" s="0" t="s">
        <v>4449</v>
      </c>
      <c r="I3670" s="0" t="s">
        <v>4981</v>
      </c>
      <c r="J3670" s="18" t="s">
        <v>24</v>
      </c>
    </row>
    <row r="3671" customFormat="false" ht="15" hidden="false" customHeight="false" outlineLevel="0" collapsed="false">
      <c r="A3671" s="0" t="s">
        <v>3007</v>
      </c>
      <c r="B3671" s="0" t="s">
        <v>134</v>
      </c>
      <c r="C3671" s="0" t="s">
        <v>3450</v>
      </c>
      <c r="D3671" s="0" t="s">
        <v>3448</v>
      </c>
      <c r="E3671" s="0" t="s">
        <v>4963</v>
      </c>
      <c r="F3671" s="0" t="s">
        <v>30</v>
      </c>
      <c r="G3671" s="0" t="s">
        <v>4980</v>
      </c>
      <c r="H3671" s="0" t="s">
        <v>4626</v>
      </c>
      <c r="I3671" s="0" t="s">
        <v>4981</v>
      </c>
      <c r="J3671" s="18" t="s">
        <v>24</v>
      </c>
    </row>
    <row r="3672" customFormat="false" ht="15" hidden="false" customHeight="false" outlineLevel="0" collapsed="false">
      <c r="A3672" s="0" t="s">
        <v>3007</v>
      </c>
      <c r="B3672" s="0" t="s">
        <v>134</v>
      </c>
      <c r="C3672" s="0" t="s">
        <v>3447</v>
      </c>
      <c r="D3672" s="0" t="s">
        <v>3457</v>
      </c>
      <c r="E3672" s="0" t="s">
        <v>4963</v>
      </c>
      <c r="F3672" s="0" t="s">
        <v>30</v>
      </c>
      <c r="G3672" s="0" t="s">
        <v>4980</v>
      </c>
      <c r="H3672" s="0" t="s">
        <v>4894</v>
      </c>
      <c r="I3672" s="0" t="s">
        <v>4981</v>
      </c>
      <c r="J3672" s="18" t="s">
        <v>24</v>
      </c>
    </row>
    <row r="3673" customFormat="false" ht="15" hidden="false" customHeight="false" outlineLevel="0" collapsed="false">
      <c r="A3673" s="0" t="s">
        <v>3007</v>
      </c>
      <c r="B3673" s="0" t="s">
        <v>134</v>
      </c>
      <c r="C3673" s="0" t="s">
        <v>3447</v>
      </c>
      <c r="D3673" s="0" t="s">
        <v>3448</v>
      </c>
      <c r="E3673" s="0" t="s">
        <v>4963</v>
      </c>
      <c r="F3673" s="0" t="s">
        <v>30</v>
      </c>
      <c r="G3673" s="0" t="s">
        <v>4980</v>
      </c>
      <c r="H3673" s="0" t="s">
        <v>4895</v>
      </c>
      <c r="I3673" s="0" t="s">
        <v>4981</v>
      </c>
      <c r="J3673" s="18" t="s">
        <v>24</v>
      </c>
    </row>
    <row r="3674" customFormat="false" ht="15" hidden="false" customHeight="false" outlineLevel="0" collapsed="false">
      <c r="A3674" s="0" t="s">
        <v>3016</v>
      </c>
      <c r="B3674" s="0" t="s">
        <v>134</v>
      </c>
      <c r="C3674" s="0" t="s">
        <v>3450</v>
      </c>
      <c r="D3674" s="0" t="s">
        <v>3457</v>
      </c>
      <c r="E3674" s="0" t="s">
        <v>4963</v>
      </c>
      <c r="F3674" s="0" t="s">
        <v>60</v>
      </c>
      <c r="G3674" s="0" t="s">
        <v>4964</v>
      </c>
      <c r="H3674" s="0" t="s">
        <v>5777</v>
      </c>
      <c r="I3674" s="0" t="s">
        <v>4966</v>
      </c>
      <c r="J3674" s="19" t="s">
        <v>26</v>
      </c>
    </row>
    <row r="3675" customFormat="false" ht="15" hidden="false" customHeight="false" outlineLevel="0" collapsed="false">
      <c r="A3675" s="0" t="s">
        <v>3016</v>
      </c>
      <c r="B3675" s="0" t="s">
        <v>134</v>
      </c>
      <c r="C3675" s="0" t="s">
        <v>3450</v>
      </c>
      <c r="D3675" s="0" t="s">
        <v>3457</v>
      </c>
      <c r="E3675" s="0" t="s">
        <v>4963</v>
      </c>
      <c r="F3675" s="0" t="s">
        <v>59</v>
      </c>
      <c r="G3675" s="0" t="s">
        <v>4974</v>
      </c>
      <c r="H3675" s="0" t="s">
        <v>69</v>
      </c>
      <c r="I3675" s="0" t="s">
        <v>4975</v>
      </c>
      <c r="J3675" s="20" t="s">
        <v>25</v>
      </c>
    </row>
    <row r="3676" customFormat="false" ht="15" hidden="false" customHeight="false" outlineLevel="0" collapsed="false">
      <c r="A3676" s="0" t="s">
        <v>3016</v>
      </c>
      <c r="B3676" s="0" t="s">
        <v>134</v>
      </c>
      <c r="C3676" s="0" t="s">
        <v>3450</v>
      </c>
      <c r="D3676" s="0" t="s">
        <v>3448</v>
      </c>
      <c r="E3676" s="0" t="s">
        <v>4963</v>
      </c>
      <c r="F3676" s="0" t="s">
        <v>59</v>
      </c>
      <c r="G3676" s="0" t="s">
        <v>4974</v>
      </c>
      <c r="H3676" s="0" t="s">
        <v>69</v>
      </c>
      <c r="I3676" s="0" t="s">
        <v>4975</v>
      </c>
      <c r="J3676" s="20" t="s">
        <v>25</v>
      </c>
    </row>
    <row r="3677" customFormat="false" ht="15" hidden="false" customHeight="false" outlineLevel="0" collapsed="false">
      <c r="A3677" s="0" t="s">
        <v>3016</v>
      </c>
      <c r="B3677" s="0" t="s">
        <v>134</v>
      </c>
      <c r="C3677" s="0" t="s">
        <v>3450</v>
      </c>
      <c r="D3677" s="0" t="s">
        <v>3448</v>
      </c>
      <c r="E3677" s="0" t="s">
        <v>4969</v>
      </c>
      <c r="F3677" s="0" t="s">
        <v>62</v>
      </c>
      <c r="G3677" s="0" t="s">
        <v>5003</v>
      </c>
      <c r="H3677" s="0" t="s">
        <v>6191</v>
      </c>
      <c r="I3677" s="0" t="s">
        <v>5005</v>
      </c>
      <c r="J3677" s="20" t="s">
        <v>25</v>
      </c>
    </row>
    <row r="3678" customFormat="false" ht="15" hidden="false" customHeight="false" outlineLevel="0" collapsed="false">
      <c r="A3678" s="0" t="s">
        <v>3016</v>
      </c>
      <c r="B3678" s="0" t="s">
        <v>134</v>
      </c>
      <c r="C3678" s="0" t="s">
        <v>3450</v>
      </c>
      <c r="D3678" s="0" t="s">
        <v>3448</v>
      </c>
      <c r="E3678" s="0" t="s">
        <v>4963</v>
      </c>
      <c r="F3678" s="0" t="s">
        <v>30</v>
      </c>
      <c r="G3678" s="0" t="s">
        <v>4980</v>
      </c>
      <c r="H3678" s="0" t="s">
        <v>4238</v>
      </c>
      <c r="I3678" s="0" t="s">
        <v>4981</v>
      </c>
      <c r="J3678" s="18" t="s">
        <v>24</v>
      </c>
    </row>
    <row r="3679" customFormat="false" ht="15" hidden="false" customHeight="false" outlineLevel="0" collapsed="false">
      <c r="A3679" s="0" t="s">
        <v>3016</v>
      </c>
      <c r="B3679" s="0" t="s">
        <v>134</v>
      </c>
      <c r="C3679" s="0" t="s">
        <v>3447</v>
      </c>
      <c r="D3679" s="0" t="s">
        <v>3448</v>
      </c>
      <c r="E3679" s="0" t="s">
        <v>4963</v>
      </c>
      <c r="F3679" s="0" t="s">
        <v>30</v>
      </c>
      <c r="G3679" s="0" t="s">
        <v>4980</v>
      </c>
      <c r="H3679" s="0" t="s">
        <v>4550</v>
      </c>
      <c r="I3679" s="0" t="s">
        <v>4981</v>
      </c>
      <c r="J3679" s="18" t="s">
        <v>24</v>
      </c>
    </row>
    <row r="3680" customFormat="false" ht="15" hidden="false" customHeight="false" outlineLevel="0" collapsed="false">
      <c r="A3680" s="0" t="s">
        <v>3022</v>
      </c>
      <c r="B3680" s="0" t="s">
        <v>134</v>
      </c>
      <c r="C3680" s="0" t="s">
        <v>3447</v>
      </c>
      <c r="D3680" s="0" t="s">
        <v>3457</v>
      </c>
      <c r="E3680" s="0" t="s">
        <v>4963</v>
      </c>
      <c r="F3680" s="0" t="s">
        <v>60</v>
      </c>
      <c r="G3680" s="0" t="s">
        <v>4964</v>
      </c>
      <c r="H3680" s="0" t="s">
        <v>6192</v>
      </c>
      <c r="I3680" s="0" t="s">
        <v>4966</v>
      </c>
      <c r="J3680" s="19" t="s">
        <v>26</v>
      </c>
    </row>
    <row r="3681" customFormat="false" ht="15" hidden="false" customHeight="false" outlineLevel="0" collapsed="false">
      <c r="A3681" s="0" t="s">
        <v>3022</v>
      </c>
      <c r="B3681" s="0" t="s">
        <v>134</v>
      </c>
      <c r="C3681" s="0" t="s">
        <v>3450</v>
      </c>
      <c r="D3681" s="0" t="s">
        <v>3457</v>
      </c>
      <c r="E3681" s="0" t="s">
        <v>4969</v>
      </c>
      <c r="F3681" s="0" t="s">
        <v>61</v>
      </c>
      <c r="G3681" s="0" t="s">
        <v>4970</v>
      </c>
      <c r="H3681" s="0" t="s">
        <v>6193</v>
      </c>
      <c r="I3681" s="0" t="s">
        <v>4972</v>
      </c>
      <c r="J3681" s="20" t="s">
        <v>25</v>
      </c>
    </row>
    <row r="3682" customFormat="false" ht="15" hidden="false" customHeight="false" outlineLevel="0" collapsed="false">
      <c r="A3682" s="0" t="s">
        <v>3022</v>
      </c>
      <c r="B3682" s="0" t="s">
        <v>134</v>
      </c>
      <c r="C3682" s="0" t="s">
        <v>3450</v>
      </c>
      <c r="D3682" s="0" t="s">
        <v>3448</v>
      </c>
      <c r="E3682" s="0" t="s">
        <v>4969</v>
      </c>
      <c r="F3682" s="0" t="s">
        <v>62</v>
      </c>
      <c r="G3682" s="0" t="s">
        <v>5003</v>
      </c>
      <c r="H3682" s="0" t="s">
        <v>6194</v>
      </c>
      <c r="I3682" s="0" t="s">
        <v>5005</v>
      </c>
      <c r="J3682" s="20" t="s">
        <v>25</v>
      </c>
    </row>
    <row r="3683" customFormat="false" ht="15" hidden="false" customHeight="false" outlineLevel="0" collapsed="false">
      <c r="A3683" s="0" t="s">
        <v>3022</v>
      </c>
      <c r="B3683" s="0" t="s">
        <v>134</v>
      </c>
      <c r="C3683" s="0" t="s">
        <v>3447</v>
      </c>
      <c r="D3683" s="0" t="s">
        <v>3457</v>
      </c>
      <c r="E3683" s="0" t="s">
        <v>4969</v>
      </c>
      <c r="F3683" s="0" t="s">
        <v>61</v>
      </c>
      <c r="G3683" s="0" t="s">
        <v>4970</v>
      </c>
      <c r="H3683" s="0" t="s">
        <v>6195</v>
      </c>
      <c r="I3683" s="0" t="s">
        <v>4972</v>
      </c>
      <c r="J3683" s="20" t="s">
        <v>25</v>
      </c>
    </row>
    <row r="3684" customFormat="false" ht="15" hidden="false" customHeight="false" outlineLevel="0" collapsed="false">
      <c r="A3684" s="0" t="s">
        <v>3022</v>
      </c>
      <c r="B3684" s="0" t="s">
        <v>134</v>
      </c>
      <c r="C3684" s="0" t="s">
        <v>3447</v>
      </c>
      <c r="D3684" s="0" t="s">
        <v>3448</v>
      </c>
      <c r="E3684" s="0" t="s">
        <v>4969</v>
      </c>
      <c r="F3684" s="0" t="s">
        <v>61</v>
      </c>
      <c r="G3684" s="0" t="s">
        <v>4970</v>
      </c>
      <c r="H3684" s="0" t="s">
        <v>6196</v>
      </c>
      <c r="I3684" s="0" t="s">
        <v>4972</v>
      </c>
      <c r="J3684" s="20" t="s">
        <v>25</v>
      </c>
    </row>
    <row r="3685" customFormat="false" ht="15" hidden="false" customHeight="false" outlineLevel="0" collapsed="false">
      <c r="A3685" s="0" t="s">
        <v>3022</v>
      </c>
      <c r="B3685" s="0" t="s">
        <v>134</v>
      </c>
      <c r="C3685" s="0" t="s">
        <v>3447</v>
      </c>
      <c r="D3685" s="0" t="s">
        <v>3448</v>
      </c>
      <c r="E3685" s="0" t="s">
        <v>4963</v>
      </c>
      <c r="F3685" s="0" t="s">
        <v>30</v>
      </c>
      <c r="G3685" s="0" t="s">
        <v>4980</v>
      </c>
      <c r="H3685" s="0" t="s">
        <v>4897</v>
      </c>
      <c r="I3685" s="0" t="s">
        <v>4981</v>
      </c>
      <c r="J3685" s="18" t="s">
        <v>24</v>
      </c>
    </row>
    <row r="3686" customFormat="false" ht="15" hidden="false" customHeight="false" outlineLevel="0" collapsed="false">
      <c r="A3686" s="0" t="s">
        <v>3029</v>
      </c>
      <c r="B3686" s="0" t="s">
        <v>134</v>
      </c>
      <c r="C3686" s="0" t="s">
        <v>3450</v>
      </c>
      <c r="D3686" s="0" t="s">
        <v>3457</v>
      </c>
      <c r="E3686" s="0" t="s">
        <v>4969</v>
      </c>
      <c r="F3686" s="0" t="s">
        <v>61</v>
      </c>
      <c r="G3686" s="0" t="s">
        <v>4970</v>
      </c>
      <c r="H3686" s="0" t="s">
        <v>6197</v>
      </c>
      <c r="I3686" s="0" t="s">
        <v>4972</v>
      </c>
      <c r="J3686" s="20" t="s">
        <v>25</v>
      </c>
    </row>
    <row r="3687" customFormat="false" ht="15" hidden="false" customHeight="false" outlineLevel="0" collapsed="false">
      <c r="A3687" s="0" t="s">
        <v>3029</v>
      </c>
      <c r="B3687" s="0" t="s">
        <v>134</v>
      </c>
      <c r="C3687" s="0" t="s">
        <v>3450</v>
      </c>
      <c r="D3687" s="0" t="s">
        <v>3448</v>
      </c>
      <c r="E3687" s="0" t="s">
        <v>4969</v>
      </c>
      <c r="F3687" s="0" t="s">
        <v>61</v>
      </c>
      <c r="G3687" s="0" t="s">
        <v>4970</v>
      </c>
      <c r="H3687" s="0" t="s">
        <v>6198</v>
      </c>
      <c r="I3687" s="0" t="s">
        <v>4972</v>
      </c>
      <c r="J3687" s="20" t="s">
        <v>25</v>
      </c>
    </row>
    <row r="3688" customFormat="false" ht="15" hidden="false" customHeight="false" outlineLevel="0" collapsed="false">
      <c r="A3688" s="0" t="s">
        <v>3029</v>
      </c>
      <c r="B3688" s="0" t="s">
        <v>134</v>
      </c>
      <c r="C3688" s="0" t="s">
        <v>3447</v>
      </c>
      <c r="D3688" s="0" t="s">
        <v>3457</v>
      </c>
      <c r="E3688" s="0" t="s">
        <v>4969</v>
      </c>
      <c r="F3688" s="0" t="s">
        <v>61</v>
      </c>
      <c r="G3688" s="0" t="s">
        <v>4970</v>
      </c>
      <c r="H3688" s="0" t="s">
        <v>5982</v>
      </c>
      <c r="I3688" s="0" t="s">
        <v>4972</v>
      </c>
      <c r="J3688" s="20" t="s">
        <v>25</v>
      </c>
    </row>
    <row r="3689" customFormat="false" ht="15" hidden="false" customHeight="false" outlineLevel="0" collapsed="false">
      <c r="A3689" s="0" t="s">
        <v>3029</v>
      </c>
      <c r="B3689" s="0" t="s">
        <v>134</v>
      </c>
      <c r="C3689" s="0" t="s">
        <v>3447</v>
      </c>
      <c r="D3689" s="0" t="s">
        <v>3448</v>
      </c>
      <c r="E3689" s="0" t="s">
        <v>4963</v>
      </c>
      <c r="F3689" s="0" t="s">
        <v>59</v>
      </c>
      <c r="G3689" s="0" t="s">
        <v>4974</v>
      </c>
      <c r="H3689" s="0" t="s">
        <v>69</v>
      </c>
      <c r="I3689" s="0" t="s">
        <v>4975</v>
      </c>
      <c r="J3689" s="20" t="s">
        <v>25</v>
      </c>
    </row>
    <row r="3690" customFormat="false" ht="15" hidden="false" customHeight="false" outlineLevel="0" collapsed="false">
      <c r="A3690" s="0" t="s">
        <v>3029</v>
      </c>
      <c r="B3690" s="0" t="s">
        <v>134</v>
      </c>
      <c r="C3690" s="0" t="s">
        <v>3447</v>
      </c>
      <c r="D3690" s="0" t="s">
        <v>3448</v>
      </c>
      <c r="E3690" s="0" t="s">
        <v>4969</v>
      </c>
      <c r="F3690" s="0" t="s">
        <v>61</v>
      </c>
      <c r="G3690" s="0" t="s">
        <v>4970</v>
      </c>
      <c r="H3690" s="0" t="s">
        <v>6199</v>
      </c>
      <c r="I3690" s="0" t="s">
        <v>4972</v>
      </c>
      <c r="J3690" s="20" t="s">
        <v>25</v>
      </c>
    </row>
    <row r="3691" customFormat="false" ht="15" hidden="false" customHeight="false" outlineLevel="0" collapsed="false">
      <c r="A3691" s="0" t="s">
        <v>3029</v>
      </c>
      <c r="B3691" s="0" t="s">
        <v>134</v>
      </c>
      <c r="C3691" s="0" t="s">
        <v>3447</v>
      </c>
      <c r="D3691" s="0" t="s">
        <v>3448</v>
      </c>
      <c r="E3691" s="0" t="s">
        <v>4963</v>
      </c>
      <c r="F3691" s="0" t="s">
        <v>30</v>
      </c>
      <c r="G3691" s="0" t="s">
        <v>4980</v>
      </c>
      <c r="H3691" s="0" t="s">
        <v>4265</v>
      </c>
      <c r="I3691" s="0" t="s">
        <v>4981</v>
      </c>
      <c r="J3691" s="18" t="s">
        <v>24</v>
      </c>
    </row>
    <row r="3692" customFormat="false" ht="15" hidden="false" customHeight="false" outlineLevel="0" collapsed="false">
      <c r="A3692" s="0" t="s">
        <v>3034</v>
      </c>
      <c r="B3692" s="0" t="s">
        <v>134</v>
      </c>
      <c r="C3692" s="0" t="s">
        <v>3447</v>
      </c>
      <c r="D3692" s="0" t="s">
        <v>3457</v>
      </c>
      <c r="E3692" s="0" t="s">
        <v>4963</v>
      </c>
      <c r="F3692" s="0" t="s">
        <v>60</v>
      </c>
      <c r="G3692" s="0" t="s">
        <v>4964</v>
      </c>
      <c r="H3692" s="0" t="s">
        <v>5309</v>
      </c>
      <c r="I3692" s="0" t="s">
        <v>4966</v>
      </c>
      <c r="J3692" s="19" t="s">
        <v>26</v>
      </c>
    </row>
    <row r="3693" customFormat="false" ht="15" hidden="false" customHeight="false" outlineLevel="0" collapsed="false">
      <c r="A3693" s="0" t="s">
        <v>3034</v>
      </c>
      <c r="B3693" s="0" t="s">
        <v>134</v>
      </c>
      <c r="C3693" s="0" t="s">
        <v>3447</v>
      </c>
      <c r="D3693" s="0" t="s">
        <v>3448</v>
      </c>
      <c r="E3693" s="0" t="s">
        <v>4963</v>
      </c>
      <c r="F3693" s="0" t="s">
        <v>60</v>
      </c>
      <c r="G3693" s="0" t="s">
        <v>4964</v>
      </c>
      <c r="H3693" s="0" t="s">
        <v>4965</v>
      </c>
      <c r="I3693" s="0" t="s">
        <v>4966</v>
      </c>
      <c r="J3693" s="19" t="s">
        <v>26</v>
      </c>
    </row>
    <row r="3694" customFormat="false" ht="15" hidden="false" customHeight="false" outlineLevel="0" collapsed="false">
      <c r="A3694" s="0" t="s">
        <v>3034</v>
      </c>
      <c r="B3694" s="0" t="s">
        <v>3459</v>
      </c>
      <c r="C3694" s="0" t="s">
        <v>3447</v>
      </c>
      <c r="D3694" s="0" t="s">
        <v>3448</v>
      </c>
      <c r="E3694" s="0" t="s">
        <v>4963</v>
      </c>
      <c r="F3694" s="0" t="s">
        <v>60</v>
      </c>
      <c r="G3694" s="0" t="s">
        <v>4964</v>
      </c>
      <c r="H3694" s="0" t="s">
        <v>5328</v>
      </c>
      <c r="I3694" s="0" t="s">
        <v>4966</v>
      </c>
      <c r="J3694" s="19" t="s">
        <v>26</v>
      </c>
    </row>
    <row r="3695" customFormat="false" ht="15" hidden="false" customHeight="false" outlineLevel="0" collapsed="false">
      <c r="A3695" s="0" t="s">
        <v>3034</v>
      </c>
      <c r="B3695" s="0" t="s">
        <v>134</v>
      </c>
      <c r="C3695" s="0" t="s">
        <v>3450</v>
      </c>
      <c r="D3695" s="0" t="s">
        <v>3448</v>
      </c>
      <c r="E3695" s="0" t="s">
        <v>4963</v>
      </c>
      <c r="F3695" s="0" t="s">
        <v>59</v>
      </c>
      <c r="G3695" s="0" t="s">
        <v>4974</v>
      </c>
      <c r="H3695" s="0" t="s">
        <v>69</v>
      </c>
      <c r="I3695" s="0" t="s">
        <v>4975</v>
      </c>
      <c r="J3695" s="20" t="s">
        <v>25</v>
      </c>
    </row>
    <row r="3696" customFormat="false" ht="15" hidden="false" customHeight="false" outlineLevel="0" collapsed="false">
      <c r="A3696" s="0" t="s">
        <v>3034</v>
      </c>
      <c r="B3696" s="0" t="s">
        <v>134</v>
      </c>
      <c r="C3696" s="0" t="s">
        <v>3447</v>
      </c>
      <c r="D3696" s="0" t="s">
        <v>3457</v>
      </c>
      <c r="E3696" s="0" t="s">
        <v>4963</v>
      </c>
      <c r="F3696" s="0" t="s">
        <v>59</v>
      </c>
      <c r="G3696" s="0" t="s">
        <v>4974</v>
      </c>
      <c r="H3696" s="0" t="s">
        <v>69</v>
      </c>
      <c r="I3696" s="0" t="s">
        <v>4975</v>
      </c>
      <c r="J3696" s="20" t="s">
        <v>25</v>
      </c>
    </row>
    <row r="3697" customFormat="false" ht="15" hidden="false" customHeight="false" outlineLevel="0" collapsed="false">
      <c r="A3697" s="0" t="s">
        <v>3034</v>
      </c>
      <c r="B3697" s="0" t="s">
        <v>134</v>
      </c>
      <c r="C3697" s="0" t="s">
        <v>3447</v>
      </c>
      <c r="D3697" s="0" t="s">
        <v>3448</v>
      </c>
      <c r="E3697" s="0" t="s">
        <v>4963</v>
      </c>
      <c r="F3697" s="0" t="s">
        <v>59</v>
      </c>
      <c r="G3697" s="0" t="s">
        <v>4974</v>
      </c>
      <c r="H3697" s="0" t="s">
        <v>69</v>
      </c>
      <c r="I3697" s="0" t="s">
        <v>4975</v>
      </c>
      <c r="J3697" s="20" t="s">
        <v>25</v>
      </c>
    </row>
    <row r="3698" customFormat="false" ht="15" hidden="false" customHeight="false" outlineLevel="0" collapsed="false">
      <c r="A3698" s="0" t="s">
        <v>3034</v>
      </c>
      <c r="B3698" s="0" t="s">
        <v>3459</v>
      </c>
      <c r="C3698" s="0" t="s">
        <v>3450</v>
      </c>
      <c r="D3698" s="0" t="s">
        <v>3457</v>
      </c>
      <c r="E3698" s="0" t="s">
        <v>4963</v>
      </c>
      <c r="F3698" s="0" t="s">
        <v>59</v>
      </c>
      <c r="G3698" s="0" t="s">
        <v>4974</v>
      </c>
      <c r="H3698" s="0" t="s">
        <v>69</v>
      </c>
      <c r="I3698" s="0" t="s">
        <v>4975</v>
      </c>
      <c r="J3698" s="20" t="s">
        <v>25</v>
      </c>
    </row>
    <row r="3699" customFormat="false" ht="15" hidden="false" customHeight="false" outlineLevel="0" collapsed="false">
      <c r="A3699" s="0" t="s">
        <v>3034</v>
      </c>
      <c r="B3699" s="0" t="s">
        <v>3459</v>
      </c>
      <c r="C3699" s="0" t="s">
        <v>3450</v>
      </c>
      <c r="D3699" s="0" t="s">
        <v>3448</v>
      </c>
      <c r="E3699" s="0" t="s">
        <v>5199</v>
      </c>
      <c r="F3699" s="0" t="s">
        <v>67</v>
      </c>
      <c r="G3699" s="0" t="s">
        <v>100</v>
      </c>
      <c r="H3699" s="0" t="s">
        <v>6200</v>
      </c>
      <c r="I3699" s="0" t="s">
        <v>5201</v>
      </c>
      <c r="J3699" s="20" t="s">
        <v>25</v>
      </c>
    </row>
    <row r="3700" customFormat="false" ht="15" hidden="false" customHeight="false" outlineLevel="0" collapsed="false">
      <c r="A3700" s="0" t="s">
        <v>3034</v>
      </c>
      <c r="B3700" s="0" t="s">
        <v>3459</v>
      </c>
      <c r="C3700" s="0" t="s">
        <v>3450</v>
      </c>
      <c r="D3700" s="0" t="s">
        <v>3448</v>
      </c>
      <c r="E3700" s="0" t="s">
        <v>4963</v>
      </c>
      <c r="F3700" s="0" t="s">
        <v>59</v>
      </c>
      <c r="G3700" s="0" t="s">
        <v>4974</v>
      </c>
      <c r="H3700" s="0" t="s">
        <v>69</v>
      </c>
      <c r="I3700" s="0" t="s">
        <v>4975</v>
      </c>
      <c r="J3700" s="20" t="s">
        <v>25</v>
      </c>
    </row>
    <row r="3701" customFormat="false" ht="15" hidden="false" customHeight="false" outlineLevel="0" collapsed="false">
      <c r="A3701" s="0" t="s">
        <v>3034</v>
      </c>
      <c r="B3701" s="0" t="s">
        <v>3459</v>
      </c>
      <c r="C3701" s="0" t="s">
        <v>3447</v>
      </c>
      <c r="D3701" s="0" t="s">
        <v>3457</v>
      </c>
      <c r="E3701" s="0" t="s">
        <v>4963</v>
      </c>
      <c r="F3701" s="0" t="s">
        <v>59</v>
      </c>
      <c r="G3701" s="0" t="s">
        <v>4974</v>
      </c>
      <c r="H3701" s="0" t="s">
        <v>69</v>
      </c>
      <c r="I3701" s="0" t="s">
        <v>4975</v>
      </c>
      <c r="J3701" s="20" t="s">
        <v>25</v>
      </c>
    </row>
    <row r="3702" customFormat="false" ht="15" hidden="false" customHeight="false" outlineLevel="0" collapsed="false">
      <c r="A3702" s="0" t="s">
        <v>3034</v>
      </c>
      <c r="B3702" s="0" t="s">
        <v>3459</v>
      </c>
      <c r="C3702" s="0" t="s">
        <v>3447</v>
      </c>
      <c r="D3702" s="0" t="s">
        <v>3448</v>
      </c>
      <c r="E3702" s="0" t="s">
        <v>4963</v>
      </c>
      <c r="F3702" s="0" t="s">
        <v>59</v>
      </c>
      <c r="G3702" s="0" t="s">
        <v>4974</v>
      </c>
      <c r="H3702" s="0" t="s">
        <v>69</v>
      </c>
      <c r="I3702" s="0" t="s">
        <v>4975</v>
      </c>
      <c r="J3702" s="20" t="s">
        <v>25</v>
      </c>
    </row>
    <row r="3703" customFormat="false" ht="15" hidden="false" customHeight="false" outlineLevel="0" collapsed="false">
      <c r="A3703" s="0" t="s">
        <v>3034</v>
      </c>
      <c r="B3703" s="0" t="s">
        <v>134</v>
      </c>
      <c r="C3703" s="0" t="s">
        <v>3450</v>
      </c>
      <c r="D3703" s="0" t="s">
        <v>3448</v>
      </c>
      <c r="E3703" s="0" t="s">
        <v>4963</v>
      </c>
      <c r="F3703" s="0" t="s">
        <v>30</v>
      </c>
      <c r="G3703" s="0" t="s">
        <v>4980</v>
      </c>
      <c r="H3703" s="0" t="s">
        <v>4275</v>
      </c>
      <c r="I3703" s="0" t="s">
        <v>4981</v>
      </c>
      <c r="J3703" s="18" t="s">
        <v>24</v>
      </c>
    </row>
    <row r="3704" customFormat="false" ht="15" hidden="false" customHeight="false" outlineLevel="0" collapsed="false">
      <c r="A3704" s="0" t="s">
        <v>3034</v>
      </c>
      <c r="B3704" s="0" t="s">
        <v>3459</v>
      </c>
      <c r="C3704" s="0" t="s">
        <v>3450</v>
      </c>
      <c r="D3704" s="0" t="s">
        <v>3457</v>
      </c>
      <c r="E3704" s="0" t="s">
        <v>4963</v>
      </c>
      <c r="F3704" s="0" t="s">
        <v>30</v>
      </c>
      <c r="G3704" s="0" t="s">
        <v>4980</v>
      </c>
      <c r="H3704" s="0" t="s">
        <v>4275</v>
      </c>
      <c r="I3704" s="0" t="s">
        <v>4981</v>
      </c>
      <c r="J3704" s="18" t="s">
        <v>24</v>
      </c>
    </row>
    <row r="3705" customFormat="false" ht="15" hidden="false" customHeight="false" outlineLevel="0" collapsed="false">
      <c r="A3705" s="0" t="s">
        <v>3034</v>
      </c>
      <c r="B3705" s="0" t="s">
        <v>3459</v>
      </c>
      <c r="C3705" s="0" t="s">
        <v>3450</v>
      </c>
      <c r="D3705" s="0" t="s">
        <v>3448</v>
      </c>
      <c r="E3705" s="0" t="s">
        <v>4963</v>
      </c>
      <c r="F3705" s="0" t="s">
        <v>30</v>
      </c>
      <c r="G3705" s="0" t="s">
        <v>4980</v>
      </c>
      <c r="H3705" s="0" t="s">
        <v>4275</v>
      </c>
      <c r="I3705" s="0" t="s">
        <v>4981</v>
      </c>
      <c r="J3705" s="18" t="s">
        <v>24</v>
      </c>
    </row>
    <row r="3706" customFormat="false" ht="15" hidden="false" customHeight="false" outlineLevel="0" collapsed="false">
      <c r="A3706" s="0" t="s">
        <v>3034</v>
      </c>
      <c r="B3706" s="0" t="s">
        <v>3459</v>
      </c>
      <c r="C3706" s="0" t="s">
        <v>3447</v>
      </c>
      <c r="D3706" s="0" t="s">
        <v>3457</v>
      </c>
      <c r="E3706" s="0" t="s">
        <v>4963</v>
      </c>
      <c r="F3706" s="0" t="s">
        <v>30</v>
      </c>
      <c r="G3706" s="0" t="s">
        <v>4980</v>
      </c>
      <c r="H3706" s="0" t="s">
        <v>4532</v>
      </c>
      <c r="I3706" s="0" t="s">
        <v>4981</v>
      </c>
      <c r="J3706" s="18" t="s">
        <v>24</v>
      </c>
    </row>
    <row r="3707" customFormat="false" ht="15" hidden="false" customHeight="false" outlineLevel="0" collapsed="false">
      <c r="A3707" s="0" t="s">
        <v>3040</v>
      </c>
      <c r="B3707" s="0" t="s">
        <v>134</v>
      </c>
      <c r="C3707" s="0" t="s">
        <v>3450</v>
      </c>
      <c r="D3707" s="0" t="s">
        <v>3448</v>
      </c>
      <c r="E3707" s="0" t="s">
        <v>4963</v>
      </c>
      <c r="F3707" s="0" t="s">
        <v>59</v>
      </c>
      <c r="G3707" s="0" t="s">
        <v>4974</v>
      </c>
      <c r="H3707" s="0" t="s">
        <v>69</v>
      </c>
      <c r="I3707" s="0" t="s">
        <v>4975</v>
      </c>
      <c r="J3707" s="20" t="s">
        <v>25</v>
      </c>
    </row>
    <row r="3708" customFormat="false" ht="15" hidden="false" customHeight="false" outlineLevel="0" collapsed="false">
      <c r="A3708" s="0" t="s">
        <v>3040</v>
      </c>
      <c r="B3708" s="0" t="s">
        <v>134</v>
      </c>
      <c r="C3708" s="0" t="s">
        <v>3450</v>
      </c>
      <c r="D3708" s="0" t="s">
        <v>3448</v>
      </c>
      <c r="E3708" s="0" t="s">
        <v>4969</v>
      </c>
      <c r="F3708" s="0" t="s">
        <v>61</v>
      </c>
      <c r="G3708" s="0" t="s">
        <v>4970</v>
      </c>
      <c r="H3708" s="0" t="s">
        <v>6201</v>
      </c>
      <c r="I3708" s="0" t="s">
        <v>4972</v>
      </c>
      <c r="J3708" s="20" t="s">
        <v>25</v>
      </c>
    </row>
    <row r="3709" customFormat="false" ht="15" hidden="false" customHeight="false" outlineLevel="0" collapsed="false">
      <c r="A3709" s="0" t="s">
        <v>3040</v>
      </c>
      <c r="B3709" s="0" t="s">
        <v>134</v>
      </c>
      <c r="C3709" s="0" t="s">
        <v>3447</v>
      </c>
      <c r="D3709" s="0" t="s">
        <v>3448</v>
      </c>
      <c r="E3709" s="0" t="s">
        <v>4969</v>
      </c>
      <c r="F3709" s="0" t="s">
        <v>61</v>
      </c>
      <c r="G3709" s="0" t="s">
        <v>4970</v>
      </c>
      <c r="H3709" s="0" t="s">
        <v>6202</v>
      </c>
      <c r="I3709" s="0" t="s">
        <v>4972</v>
      </c>
      <c r="J3709" s="20" t="s">
        <v>25</v>
      </c>
    </row>
    <row r="3710" customFormat="false" ht="15" hidden="false" customHeight="false" outlineLevel="0" collapsed="false">
      <c r="A3710" s="0" t="s">
        <v>3040</v>
      </c>
      <c r="B3710" s="0" t="s">
        <v>134</v>
      </c>
      <c r="C3710" s="0" t="s">
        <v>3450</v>
      </c>
      <c r="D3710" s="0" t="s">
        <v>3448</v>
      </c>
      <c r="E3710" s="0" t="s">
        <v>4963</v>
      </c>
      <c r="F3710" s="0" t="s">
        <v>30</v>
      </c>
      <c r="G3710" s="0" t="s">
        <v>4980</v>
      </c>
      <c r="H3710" s="0" t="s">
        <v>4275</v>
      </c>
      <c r="I3710" s="0" t="s">
        <v>4981</v>
      </c>
      <c r="J3710" s="18" t="s">
        <v>24</v>
      </c>
    </row>
    <row r="3711" customFormat="false" ht="15" hidden="false" customHeight="false" outlineLevel="0" collapsed="false">
      <c r="A3711" s="0" t="s">
        <v>3040</v>
      </c>
      <c r="B3711" s="0" t="s">
        <v>134</v>
      </c>
      <c r="C3711" s="0" t="s">
        <v>3447</v>
      </c>
      <c r="D3711" s="0" t="s">
        <v>3457</v>
      </c>
      <c r="E3711" s="0" t="s">
        <v>4963</v>
      </c>
      <c r="F3711" s="0" t="s">
        <v>30</v>
      </c>
      <c r="G3711" s="0" t="s">
        <v>4980</v>
      </c>
      <c r="H3711" s="0" t="s">
        <v>4228</v>
      </c>
      <c r="I3711" s="0" t="s">
        <v>4981</v>
      </c>
      <c r="J3711" s="18" t="s">
        <v>24</v>
      </c>
    </row>
    <row r="3712" customFormat="false" ht="15" hidden="false" customHeight="false" outlineLevel="0" collapsed="false">
      <c r="A3712" s="0" t="s">
        <v>3040</v>
      </c>
      <c r="B3712" s="0" t="s">
        <v>134</v>
      </c>
      <c r="C3712" s="0" t="s">
        <v>3447</v>
      </c>
      <c r="D3712" s="0" t="s">
        <v>3448</v>
      </c>
      <c r="E3712" s="0" t="s">
        <v>4963</v>
      </c>
      <c r="F3712" s="0" t="s">
        <v>30</v>
      </c>
      <c r="G3712" s="0" t="s">
        <v>4980</v>
      </c>
      <c r="H3712" s="0" t="s">
        <v>4898</v>
      </c>
      <c r="I3712" s="0" t="s">
        <v>4981</v>
      </c>
      <c r="J3712" s="18" t="s">
        <v>24</v>
      </c>
    </row>
    <row r="3713" customFormat="false" ht="15" hidden="false" customHeight="false" outlineLevel="0" collapsed="false">
      <c r="A3713" s="0" t="s">
        <v>3045</v>
      </c>
      <c r="B3713" s="0" t="s">
        <v>134</v>
      </c>
      <c r="C3713" s="0" t="s">
        <v>3447</v>
      </c>
      <c r="D3713" s="0" t="s">
        <v>3457</v>
      </c>
      <c r="E3713" s="0" t="s">
        <v>4963</v>
      </c>
      <c r="F3713" s="0" t="s">
        <v>60</v>
      </c>
      <c r="G3713" s="0" t="s">
        <v>4964</v>
      </c>
      <c r="H3713" s="0" t="s">
        <v>6203</v>
      </c>
      <c r="I3713" s="0" t="s">
        <v>4966</v>
      </c>
      <c r="J3713" s="19" t="s">
        <v>26</v>
      </c>
    </row>
    <row r="3714" customFormat="false" ht="15" hidden="false" customHeight="false" outlineLevel="0" collapsed="false">
      <c r="A3714" s="0" t="s">
        <v>3045</v>
      </c>
      <c r="B3714" s="0" t="s">
        <v>134</v>
      </c>
      <c r="C3714" s="0" t="s">
        <v>3450</v>
      </c>
      <c r="D3714" s="0" t="s">
        <v>3457</v>
      </c>
      <c r="E3714" s="0" t="s">
        <v>4963</v>
      </c>
      <c r="F3714" s="0" t="s">
        <v>59</v>
      </c>
      <c r="G3714" s="0" t="s">
        <v>4974</v>
      </c>
      <c r="H3714" s="0" t="s">
        <v>69</v>
      </c>
      <c r="I3714" s="0" t="s">
        <v>4975</v>
      </c>
      <c r="J3714" s="20" t="s">
        <v>25</v>
      </c>
    </row>
    <row r="3715" customFormat="false" ht="15" hidden="false" customHeight="false" outlineLevel="0" collapsed="false">
      <c r="A3715" s="0" t="s">
        <v>3045</v>
      </c>
      <c r="B3715" s="0" t="s">
        <v>134</v>
      </c>
      <c r="C3715" s="0" t="s">
        <v>3450</v>
      </c>
      <c r="D3715" s="0" t="s">
        <v>3457</v>
      </c>
      <c r="E3715" s="0" t="s">
        <v>4969</v>
      </c>
      <c r="F3715" s="0" t="s">
        <v>61</v>
      </c>
      <c r="G3715" s="0" t="s">
        <v>4970</v>
      </c>
      <c r="H3715" s="0" t="s">
        <v>6204</v>
      </c>
      <c r="I3715" s="0" t="s">
        <v>4972</v>
      </c>
      <c r="J3715" s="20" t="s">
        <v>25</v>
      </c>
    </row>
    <row r="3716" customFormat="false" ht="15" hidden="false" customHeight="false" outlineLevel="0" collapsed="false">
      <c r="A3716" s="0" t="s">
        <v>3045</v>
      </c>
      <c r="B3716" s="0" t="s">
        <v>134</v>
      </c>
      <c r="C3716" s="0" t="s">
        <v>3450</v>
      </c>
      <c r="D3716" s="0" t="s">
        <v>3457</v>
      </c>
      <c r="E3716" s="0" t="s">
        <v>4969</v>
      </c>
      <c r="F3716" s="0" t="s">
        <v>63</v>
      </c>
      <c r="G3716" s="0" t="s">
        <v>4220</v>
      </c>
      <c r="H3716" s="0" t="s">
        <v>6205</v>
      </c>
      <c r="I3716" s="0" t="s">
        <v>4979</v>
      </c>
      <c r="J3716" s="20" t="s">
        <v>25</v>
      </c>
    </row>
    <row r="3717" customFormat="false" ht="15" hidden="false" customHeight="false" outlineLevel="0" collapsed="false">
      <c r="A3717" s="0" t="s">
        <v>3045</v>
      </c>
      <c r="B3717" s="0" t="s">
        <v>134</v>
      </c>
      <c r="C3717" s="0" t="s">
        <v>3450</v>
      </c>
      <c r="D3717" s="0" t="s">
        <v>3448</v>
      </c>
      <c r="E3717" s="0" t="s">
        <v>4963</v>
      </c>
      <c r="F3717" s="0" t="s">
        <v>59</v>
      </c>
      <c r="G3717" s="0" t="s">
        <v>4974</v>
      </c>
      <c r="H3717" s="0" t="s">
        <v>69</v>
      </c>
      <c r="I3717" s="0" t="s">
        <v>4975</v>
      </c>
      <c r="J3717" s="20" t="s">
        <v>25</v>
      </c>
    </row>
    <row r="3718" customFormat="false" ht="15" hidden="false" customHeight="false" outlineLevel="0" collapsed="false">
      <c r="A3718" s="0" t="s">
        <v>3045</v>
      </c>
      <c r="B3718" s="0" t="s">
        <v>134</v>
      </c>
      <c r="C3718" s="0" t="s">
        <v>3450</v>
      </c>
      <c r="D3718" s="0" t="s">
        <v>3448</v>
      </c>
      <c r="E3718" s="0" t="s">
        <v>4969</v>
      </c>
      <c r="F3718" s="0" t="s">
        <v>64</v>
      </c>
      <c r="G3718" s="0" t="s">
        <v>4220</v>
      </c>
      <c r="H3718" s="0" t="s">
        <v>6206</v>
      </c>
      <c r="I3718" s="0" t="s">
        <v>4991</v>
      </c>
      <c r="J3718" s="20" t="s">
        <v>25</v>
      </c>
    </row>
    <row r="3719" customFormat="false" ht="15" hidden="false" customHeight="false" outlineLevel="0" collapsed="false">
      <c r="A3719" s="0" t="s">
        <v>3045</v>
      </c>
      <c r="B3719" s="0" t="s">
        <v>134</v>
      </c>
      <c r="C3719" s="0" t="s">
        <v>3447</v>
      </c>
      <c r="D3719" s="0" t="s">
        <v>3457</v>
      </c>
      <c r="E3719" s="0" t="s">
        <v>4969</v>
      </c>
      <c r="F3719" s="0" t="s">
        <v>61</v>
      </c>
      <c r="G3719" s="0" t="s">
        <v>4970</v>
      </c>
      <c r="H3719" s="0" t="s">
        <v>6207</v>
      </c>
      <c r="I3719" s="0" t="s">
        <v>4972</v>
      </c>
      <c r="J3719" s="20" t="s">
        <v>25</v>
      </c>
    </row>
    <row r="3720" customFormat="false" ht="15" hidden="false" customHeight="false" outlineLevel="0" collapsed="false">
      <c r="A3720" s="0" t="s">
        <v>3045</v>
      </c>
      <c r="B3720" s="0" t="s">
        <v>134</v>
      </c>
      <c r="C3720" s="0" t="s">
        <v>3447</v>
      </c>
      <c r="D3720" s="0" t="s">
        <v>3457</v>
      </c>
      <c r="E3720" s="0" t="s">
        <v>4969</v>
      </c>
      <c r="F3720" s="0" t="s">
        <v>63</v>
      </c>
      <c r="G3720" s="0" t="s">
        <v>4220</v>
      </c>
      <c r="H3720" s="0" t="s">
        <v>6205</v>
      </c>
      <c r="I3720" s="0" t="s">
        <v>4979</v>
      </c>
      <c r="J3720" s="20" t="s">
        <v>25</v>
      </c>
    </row>
    <row r="3721" customFormat="false" ht="15" hidden="false" customHeight="false" outlineLevel="0" collapsed="false">
      <c r="A3721" s="0" t="s">
        <v>3045</v>
      </c>
      <c r="B3721" s="0" t="s">
        <v>134</v>
      </c>
      <c r="C3721" s="0" t="s">
        <v>3447</v>
      </c>
      <c r="D3721" s="0" t="s">
        <v>3448</v>
      </c>
      <c r="E3721" s="0" t="s">
        <v>4969</v>
      </c>
      <c r="F3721" s="0" t="s">
        <v>64</v>
      </c>
      <c r="G3721" s="0" t="s">
        <v>4220</v>
      </c>
      <c r="H3721" s="0" t="s">
        <v>6206</v>
      </c>
      <c r="I3721" s="0" t="s">
        <v>4991</v>
      </c>
      <c r="J3721" s="20" t="s">
        <v>25</v>
      </c>
    </row>
    <row r="3722" customFormat="false" ht="15" hidden="false" customHeight="false" outlineLevel="0" collapsed="false">
      <c r="A3722" s="0" t="s">
        <v>3045</v>
      </c>
      <c r="B3722" s="0" t="s">
        <v>134</v>
      </c>
      <c r="C3722" s="0" t="s">
        <v>3450</v>
      </c>
      <c r="D3722" s="0" t="s">
        <v>3457</v>
      </c>
      <c r="E3722" s="0" t="s">
        <v>4963</v>
      </c>
      <c r="F3722" s="0" t="s">
        <v>30</v>
      </c>
      <c r="G3722" s="0" t="s">
        <v>4980</v>
      </c>
      <c r="H3722" s="0" t="s">
        <v>4899</v>
      </c>
      <c r="I3722" s="0" t="s">
        <v>4981</v>
      </c>
      <c r="J3722" s="18" t="s">
        <v>24</v>
      </c>
    </row>
    <row r="3723" customFormat="false" ht="15" hidden="false" customHeight="false" outlineLevel="0" collapsed="false">
      <c r="A3723" s="0" t="s">
        <v>3045</v>
      </c>
      <c r="B3723" s="0" t="s">
        <v>134</v>
      </c>
      <c r="C3723" s="0" t="s">
        <v>3450</v>
      </c>
      <c r="D3723" s="0" t="s">
        <v>3448</v>
      </c>
      <c r="E3723" s="0" t="s">
        <v>4963</v>
      </c>
      <c r="F3723" s="0" t="s">
        <v>30</v>
      </c>
      <c r="G3723" s="0" t="s">
        <v>4980</v>
      </c>
      <c r="H3723" s="0" t="s">
        <v>4238</v>
      </c>
      <c r="I3723" s="0" t="s">
        <v>4981</v>
      </c>
      <c r="J3723" s="18" t="s">
        <v>24</v>
      </c>
    </row>
    <row r="3724" customFormat="false" ht="15" hidden="false" customHeight="false" outlineLevel="0" collapsed="false">
      <c r="A3724" s="0" t="s">
        <v>3051</v>
      </c>
      <c r="B3724" s="0" t="s">
        <v>3459</v>
      </c>
      <c r="C3724" s="0" t="s">
        <v>3450</v>
      </c>
      <c r="D3724" s="0" t="s">
        <v>3457</v>
      </c>
      <c r="E3724" s="0" t="s">
        <v>4963</v>
      </c>
      <c r="F3724" s="0" t="s">
        <v>60</v>
      </c>
      <c r="G3724" s="0" t="s">
        <v>4964</v>
      </c>
      <c r="H3724" s="0" t="s">
        <v>6208</v>
      </c>
      <c r="I3724" s="0" t="s">
        <v>4966</v>
      </c>
      <c r="J3724" s="19" t="s">
        <v>26</v>
      </c>
    </row>
    <row r="3725" customFormat="false" ht="15" hidden="false" customHeight="false" outlineLevel="0" collapsed="false">
      <c r="A3725" s="0" t="s">
        <v>3051</v>
      </c>
      <c r="B3725" s="0" t="s">
        <v>134</v>
      </c>
      <c r="C3725" s="0" t="s">
        <v>3450</v>
      </c>
      <c r="D3725" s="0" t="s">
        <v>3457</v>
      </c>
      <c r="E3725" s="0" t="s">
        <v>4963</v>
      </c>
      <c r="F3725" s="0" t="s">
        <v>59</v>
      </c>
      <c r="G3725" s="0" t="s">
        <v>4974</v>
      </c>
      <c r="H3725" s="0" t="s">
        <v>69</v>
      </c>
      <c r="I3725" s="0" t="s">
        <v>4975</v>
      </c>
      <c r="J3725" s="20" t="s">
        <v>25</v>
      </c>
    </row>
    <row r="3726" customFormat="false" ht="15" hidden="false" customHeight="false" outlineLevel="0" collapsed="false">
      <c r="A3726" s="0" t="s">
        <v>3051</v>
      </c>
      <c r="B3726" s="0" t="s">
        <v>134</v>
      </c>
      <c r="C3726" s="0" t="s">
        <v>3450</v>
      </c>
      <c r="D3726" s="0" t="s">
        <v>3457</v>
      </c>
      <c r="E3726" s="0" t="s">
        <v>4969</v>
      </c>
      <c r="F3726" s="0" t="s">
        <v>62</v>
      </c>
      <c r="G3726" s="0" t="s">
        <v>5003</v>
      </c>
      <c r="H3726" s="0" t="s">
        <v>6209</v>
      </c>
      <c r="I3726" s="0" t="s">
        <v>5005</v>
      </c>
      <c r="J3726" s="20" t="s">
        <v>25</v>
      </c>
    </row>
    <row r="3727" customFormat="false" ht="15" hidden="false" customHeight="false" outlineLevel="0" collapsed="false">
      <c r="A3727" s="0" t="s">
        <v>3051</v>
      </c>
      <c r="B3727" s="0" t="s">
        <v>134</v>
      </c>
      <c r="C3727" s="0" t="s">
        <v>3450</v>
      </c>
      <c r="D3727" s="0" t="s">
        <v>3457</v>
      </c>
      <c r="E3727" s="0" t="s">
        <v>4969</v>
      </c>
      <c r="F3727" s="0" t="s">
        <v>63</v>
      </c>
      <c r="G3727" s="0" t="s">
        <v>4220</v>
      </c>
      <c r="H3727" s="0" t="s">
        <v>6210</v>
      </c>
      <c r="I3727" s="0" t="s">
        <v>4979</v>
      </c>
      <c r="J3727" s="20" t="s">
        <v>25</v>
      </c>
    </row>
    <row r="3728" customFormat="false" ht="15" hidden="false" customHeight="false" outlineLevel="0" collapsed="false">
      <c r="A3728" s="0" t="s">
        <v>3051</v>
      </c>
      <c r="B3728" s="0" t="s">
        <v>134</v>
      </c>
      <c r="C3728" s="0" t="s">
        <v>3450</v>
      </c>
      <c r="D3728" s="0" t="s">
        <v>3448</v>
      </c>
      <c r="E3728" s="0" t="s">
        <v>4963</v>
      </c>
      <c r="F3728" s="0" t="s">
        <v>59</v>
      </c>
      <c r="G3728" s="0" t="s">
        <v>4974</v>
      </c>
      <c r="H3728" s="0" t="s">
        <v>69</v>
      </c>
      <c r="I3728" s="0" t="s">
        <v>4975</v>
      </c>
      <c r="J3728" s="20" t="s">
        <v>25</v>
      </c>
    </row>
    <row r="3729" customFormat="false" ht="15" hidden="false" customHeight="false" outlineLevel="0" collapsed="false">
      <c r="A3729" s="0" t="s">
        <v>3051</v>
      </c>
      <c r="B3729" s="0" t="s">
        <v>134</v>
      </c>
      <c r="C3729" s="0" t="s">
        <v>3450</v>
      </c>
      <c r="D3729" s="0" t="s">
        <v>3448</v>
      </c>
      <c r="E3729" s="0" t="s">
        <v>4969</v>
      </c>
      <c r="F3729" s="0" t="s">
        <v>62</v>
      </c>
      <c r="G3729" s="0" t="s">
        <v>5003</v>
      </c>
      <c r="H3729" s="0" t="s">
        <v>6211</v>
      </c>
      <c r="I3729" s="0" t="s">
        <v>5005</v>
      </c>
      <c r="J3729" s="20" t="s">
        <v>25</v>
      </c>
    </row>
    <row r="3730" customFormat="false" ht="15" hidden="false" customHeight="false" outlineLevel="0" collapsed="false">
      <c r="A3730" s="0" t="s">
        <v>3051</v>
      </c>
      <c r="B3730" s="0" t="s">
        <v>134</v>
      </c>
      <c r="C3730" s="0" t="s">
        <v>3450</v>
      </c>
      <c r="D3730" s="0" t="s">
        <v>3448</v>
      </c>
      <c r="E3730" s="0" t="s">
        <v>4969</v>
      </c>
      <c r="F3730" s="0" t="s">
        <v>63</v>
      </c>
      <c r="G3730" s="0" t="s">
        <v>4220</v>
      </c>
      <c r="H3730" s="0" t="s">
        <v>5739</v>
      </c>
      <c r="I3730" s="0" t="s">
        <v>4979</v>
      </c>
      <c r="J3730" s="20" t="s">
        <v>25</v>
      </c>
    </row>
    <row r="3731" customFormat="false" ht="15" hidden="false" customHeight="false" outlineLevel="0" collapsed="false">
      <c r="A3731" s="0" t="s">
        <v>3051</v>
      </c>
      <c r="B3731" s="0" t="s">
        <v>134</v>
      </c>
      <c r="C3731" s="0" t="s">
        <v>3447</v>
      </c>
      <c r="D3731" s="0" t="s">
        <v>3457</v>
      </c>
      <c r="E3731" s="0" t="s">
        <v>4969</v>
      </c>
      <c r="F3731" s="0" t="s">
        <v>63</v>
      </c>
      <c r="G3731" s="0" t="s">
        <v>4220</v>
      </c>
      <c r="H3731" s="0" t="s">
        <v>6210</v>
      </c>
      <c r="I3731" s="0" t="s">
        <v>4979</v>
      </c>
      <c r="J3731" s="20" t="s">
        <v>25</v>
      </c>
    </row>
    <row r="3732" customFormat="false" ht="15" hidden="false" customHeight="false" outlineLevel="0" collapsed="false">
      <c r="A3732" s="0" t="s">
        <v>3051</v>
      </c>
      <c r="B3732" s="0" t="s">
        <v>134</v>
      </c>
      <c r="C3732" s="0" t="s">
        <v>3447</v>
      </c>
      <c r="D3732" s="0" t="s">
        <v>3448</v>
      </c>
      <c r="E3732" s="0" t="s">
        <v>4969</v>
      </c>
      <c r="F3732" s="0" t="s">
        <v>63</v>
      </c>
      <c r="G3732" s="0" t="s">
        <v>4220</v>
      </c>
      <c r="H3732" s="0" t="s">
        <v>5739</v>
      </c>
      <c r="I3732" s="0" t="s">
        <v>4979</v>
      </c>
      <c r="J3732" s="20" t="s">
        <v>25</v>
      </c>
    </row>
    <row r="3733" customFormat="false" ht="15" hidden="false" customHeight="false" outlineLevel="0" collapsed="false">
      <c r="A3733" s="0" t="s">
        <v>3051</v>
      </c>
      <c r="B3733" s="0" t="s">
        <v>3459</v>
      </c>
      <c r="C3733" s="0" t="s">
        <v>3450</v>
      </c>
      <c r="D3733" s="0" t="s">
        <v>3457</v>
      </c>
      <c r="E3733" s="0" t="s">
        <v>4963</v>
      </c>
      <c r="F3733" s="0" t="s">
        <v>59</v>
      </c>
      <c r="G3733" s="0" t="s">
        <v>4974</v>
      </c>
      <c r="H3733" s="0" t="s">
        <v>69</v>
      </c>
      <c r="I3733" s="0" t="s">
        <v>4975</v>
      </c>
      <c r="J3733" s="20" t="s">
        <v>25</v>
      </c>
    </row>
    <row r="3734" customFormat="false" ht="15" hidden="false" customHeight="false" outlineLevel="0" collapsed="false">
      <c r="A3734" s="0" t="s">
        <v>3051</v>
      </c>
      <c r="B3734" s="0" t="s">
        <v>3459</v>
      </c>
      <c r="C3734" s="0" t="s">
        <v>3450</v>
      </c>
      <c r="D3734" s="0" t="s">
        <v>3457</v>
      </c>
      <c r="E3734" s="0" t="s">
        <v>4969</v>
      </c>
      <c r="F3734" s="0" t="s">
        <v>61</v>
      </c>
      <c r="G3734" s="0" t="s">
        <v>4970</v>
      </c>
      <c r="H3734" s="0" t="s">
        <v>6212</v>
      </c>
      <c r="I3734" s="0" t="s">
        <v>4972</v>
      </c>
      <c r="J3734" s="20" t="s">
        <v>25</v>
      </c>
    </row>
    <row r="3735" customFormat="false" ht="15" hidden="false" customHeight="false" outlineLevel="0" collapsed="false">
      <c r="A3735" s="0" t="s">
        <v>3051</v>
      </c>
      <c r="B3735" s="0" t="s">
        <v>3459</v>
      </c>
      <c r="C3735" s="0" t="s">
        <v>3450</v>
      </c>
      <c r="D3735" s="0" t="s">
        <v>3457</v>
      </c>
      <c r="E3735" s="0" t="s">
        <v>4969</v>
      </c>
      <c r="F3735" s="0" t="s">
        <v>62</v>
      </c>
      <c r="G3735" s="0" t="s">
        <v>5003</v>
      </c>
      <c r="H3735" s="0" t="s">
        <v>5885</v>
      </c>
      <c r="I3735" s="0" t="s">
        <v>5005</v>
      </c>
      <c r="J3735" s="20" t="s">
        <v>25</v>
      </c>
    </row>
    <row r="3736" customFormat="false" ht="15" hidden="false" customHeight="false" outlineLevel="0" collapsed="false">
      <c r="A3736" s="0" t="s">
        <v>3051</v>
      </c>
      <c r="B3736" s="0" t="s">
        <v>3459</v>
      </c>
      <c r="C3736" s="0" t="s">
        <v>3450</v>
      </c>
      <c r="D3736" s="0" t="s">
        <v>3457</v>
      </c>
      <c r="E3736" s="0" t="s">
        <v>4969</v>
      </c>
      <c r="F3736" s="0" t="s">
        <v>63</v>
      </c>
      <c r="G3736" s="0" t="s">
        <v>4220</v>
      </c>
      <c r="H3736" s="0" t="s">
        <v>6213</v>
      </c>
      <c r="I3736" s="0" t="s">
        <v>4979</v>
      </c>
      <c r="J3736" s="20" t="s">
        <v>25</v>
      </c>
    </row>
    <row r="3737" customFormat="false" ht="15" hidden="false" customHeight="false" outlineLevel="0" collapsed="false">
      <c r="A3737" s="0" t="s">
        <v>3051</v>
      </c>
      <c r="B3737" s="0" t="s">
        <v>3459</v>
      </c>
      <c r="C3737" s="0" t="s">
        <v>3450</v>
      </c>
      <c r="D3737" s="0" t="s">
        <v>3448</v>
      </c>
      <c r="E3737" s="0" t="s">
        <v>4963</v>
      </c>
      <c r="F3737" s="0" t="s">
        <v>59</v>
      </c>
      <c r="G3737" s="0" t="s">
        <v>4974</v>
      </c>
      <c r="H3737" s="0" t="s">
        <v>69</v>
      </c>
      <c r="I3737" s="0" t="s">
        <v>4975</v>
      </c>
      <c r="J3737" s="20" t="s">
        <v>25</v>
      </c>
    </row>
    <row r="3738" customFormat="false" ht="15" hidden="false" customHeight="false" outlineLevel="0" collapsed="false">
      <c r="A3738" s="0" t="s">
        <v>3051</v>
      </c>
      <c r="B3738" s="0" t="s">
        <v>3459</v>
      </c>
      <c r="C3738" s="0" t="s">
        <v>3450</v>
      </c>
      <c r="D3738" s="0" t="s">
        <v>3448</v>
      </c>
      <c r="E3738" s="0" t="s">
        <v>4969</v>
      </c>
      <c r="F3738" s="0" t="s">
        <v>61</v>
      </c>
      <c r="G3738" s="0" t="s">
        <v>4970</v>
      </c>
      <c r="H3738" s="0" t="s">
        <v>6214</v>
      </c>
      <c r="I3738" s="0" t="s">
        <v>4972</v>
      </c>
      <c r="J3738" s="20" t="s">
        <v>25</v>
      </c>
    </row>
    <row r="3739" customFormat="false" ht="15" hidden="false" customHeight="false" outlineLevel="0" collapsed="false">
      <c r="A3739" s="0" t="s">
        <v>3051</v>
      </c>
      <c r="B3739" s="0" t="s">
        <v>3459</v>
      </c>
      <c r="C3739" s="0" t="s">
        <v>3450</v>
      </c>
      <c r="D3739" s="0" t="s">
        <v>3448</v>
      </c>
      <c r="E3739" s="0" t="s">
        <v>4969</v>
      </c>
      <c r="F3739" s="0" t="s">
        <v>64</v>
      </c>
      <c r="G3739" s="0" t="s">
        <v>4220</v>
      </c>
      <c r="H3739" s="0" t="s">
        <v>6215</v>
      </c>
      <c r="I3739" s="0" t="s">
        <v>4991</v>
      </c>
      <c r="J3739" s="20" t="s">
        <v>25</v>
      </c>
    </row>
    <row r="3740" customFormat="false" ht="15" hidden="false" customHeight="false" outlineLevel="0" collapsed="false">
      <c r="A3740" s="0" t="s">
        <v>3051</v>
      </c>
      <c r="B3740" s="0" t="s">
        <v>3459</v>
      </c>
      <c r="C3740" s="0" t="s">
        <v>3447</v>
      </c>
      <c r="D3740" s="0" t="s">
        <v>3457</v>
      </c>
      <c r="E3740" s="0" t="s">
        <v>4969</v>
      </c>
      <c r="F3740" s="0" t="s">
        <v>61</v>
      </c>
      <c r="G3740" s="0" t="s">
        <v>4970</v>
      </c>
      <c r="H3740" s="0" t="s">
        <v>6216</v>
      </c>
      <c r="I3740" s="0" t="s">
        <v>4972</v>
      </c>
      <c r="J3740" s="20" t="s">
        <v>25</v>
      </c>
    </row>
    <row r="3741" customFormat="false" ht="15" hidden="false" customHeight="false" outlineLevel="0" collapsed="false">
      <c r="A3741" s="0" t="s">
        <v>3051</v>
      </c>
      <c r="B3741" s="0" t="s">
        <v>3459</v>
      </c>
      <c r="C3741" s="0" t="s">
        <v>3447</v>
      </c>
      <c r="D3741" s="0" t="s">
        <v>3457</v>
      </c>
      <c r="E3741" s="0" t="s">
        <v>4969</v>
      </c>
      <c r="F3741" s="0" t="s">
        <v>63</v>
      </c>
      <c r="G3741" s="0" t="s">
        <v>4220</v>
      </c>
      <c r="H3741" s="0" t="s">
        <v>6213</v>
      </c>
      <c r="I3741" s="0" t="s">
        <v>4979</v>
      </c>
      <c r="J3741" s="20" t="s">
        <v>25</v>
      </c>
    </row>
    <row r="3742" customFormat="false" ht="15" hidden="false" customHeight="false" outlineLevel="0" collapsed="false">
      <c r="A3742" s="0" t="s">
        <v>3051</v>
      </c>
      <c r="B3742" s="0" t="s">
        <v>3459</v>
      </c>
      <c r="C3742" s="0" t="s">
        <v>3447</v>
      </c>
      <c r="D3742" s="0" t="s">
        <v>3448</v>
      </c>
      <c r="E3742" s="0" t="s">
        <v>4969</v>
      </c>
      <c r="F3742" s="0" t="s">
        <v>64</v>
      </c>
      <c r="G3742" s="0" t="s">
        <v>4220</v>
      </c>
      <c r="H3742" s="0" t="s">
        <v>6215</v>
      </c>
      <c r="I3742" s="0" t="s">
        <v>4991</v>
      </c>
      <c r="J3742" s="20" t="s">
        <v>25</v>
      </c>
    </row>
    <row r="3743" customFormat="false" ht="15" hidden="false" customHeight="false" outlineLevel="0" collapsed="false">
      <c r="A3743" s="0" t="s">
        <v>3051</v>
      </c>
      <c r="B3743" s="0" t="s">
        <v>134</v>
      </c>
      <c r="C3743" s="0" t="s">
        <v>3450</v>
      </c>
      <c r="D3743" s="0" t="s">
        <v>3457</v>
      </c>
      <c r="E3743" s="0" t="s">
        <v>4963</v>
      </c>
      <c r="F3743" s="0" t="s">
        <v>30</v>
      </c>
      <c r="G3743" s="0" t="s">
        <v>4980</v>
      </c>
      <c r="H3743" s="0" t="s">
        <v>4578</v>
      </c>
      <c r="I3743" s="0" t="s">
        <v>4981</v>
      </c>
      <c r="J3743" s="18" t="s">
        <v>24</v>
      </c>
    </row>
    <row r="3744" customFormat="false" ht="15" hidden="false" customHeight="false" outlineLevel="0" collapsed="false">
      <c r="A3744" s="0" t="s">
        <v>3051</v>
      </c>
      <c r="B3744" s="0" t="s">
        <v>134</v>
      </c>
      <c r="C3744" s="0" t="s">
        <v>3450</v>
      </c>
      <c r="D3744" s="0" t="s">
        <v>3448</v>
      </c>
      <c r="E3744" s="0" t="s">
        <v>4963</v>
      </c>
      <c r="F3744" s="0" t="s">
        <v>30</v>
      </c>
      <c r="G3744" s="0" t="s">
        <v>4980</v>
      </c>
      <c r="H3744" s="0" t="s">
        <v>4242</v>
      </c>
      <c r="I3744" s="0" t="s">
        <v>4981</v>
      </c>
      <c r="J3744" s="18" t="s">
        <v>24</v>
      </c>
    </row>
    <row r="3745" customFormat="false" ht="15" hidden="false" customHeight="false" outlineLevel="0" collapsed="false">
      <c r="A3745" s="0" t="s">
        <v>3051</v>
      </c>
      <c r="B3745" s="0" t="s">
        <v>134</v>
      </c>
      <c r="C3745" s="0" t="s">
        <v>3447</v>
      </c>
      <c r="D3745" s="0" t="s">
        <v>3457</v>
      </c>
      <c r="E3745" s="0" t="s">
        <v>4963</v>
      </c>
      <c r="F3745" s="0" t="s">
        <v>30</v>
      </c>
      <c r="G3745" s="0" t="s">
        <v>4980</v>
      </c>
      <c r="H3745" s="0" t="s">
        <v>4294</v>
      </c>
      <c r="I3745" s="0" t="s">
        <v>4981</v>
      </c>
      <c r="J3745" s="18" t="s">
        <v>24</v>
      </c>
    </row>
    <row r="3746" customFormat="false" ht="15" hidden="false" customHeight="false" outlineLevel="0" collapsed="false">
      <c r="A3746" s="0" t="s">
        <v>3051</v>
      </c>
      <c r="B3746" s="0" t="s">
        <v>134</v>
      </c>
      <c r="C3746" s="0" t="s">
        <v>3447</v>
      </c>
      <c r="D3746" s="0" t="s">
        <v>3448</v>
      </c>
      <c r="E3746" s="0" t="s">
        <v>4963</v>
      </c>
      <c r="F3746" s="0" t="s">
        <v>30</v>
      </c>
      <c r="G3746" s="0" t="s">
        <v>4980</v>
      </c>
      <c r="H3746" s="0" t="s">
        <v>4272</v>
      </c>
      <c r="I3746" s="0" t="s">
        <v>4981</v>
      </c>
      <c r="J3746" s="18" t="s">
        <v>24</v>
      </c>
    </row>
    <row r="3747" customFormat="false" ht="15" hidden="false" customHeight="false" outlineLevel="0" collapsed="false">
      <c r="A3747" s="0" t="s">
        <v>3051</v>
      </c>
      <c r="B3747" s="0" t="s">
        <v>3459</v>
      </c>
      <c r="C3747" s="0" t="s">
        <v>3450</v>
      </c>
      <c r="D3747" s="0" t="s">
        <v>3448</v>
      </c>
      <c r="E3747" s="0" t="s">
        <v>4963</v>
      </c>
      <c r="F3747" s="0" t="s">
        <v>30</v>
      </c>
      <c r="G3747" s="0" t="s">
        <v>4980</v>
      </c>
      <c r="H3747" s="0" t="s">
        <v>4242</v>
      </c>
      <c r="I3747" s="0" t="s">
        <v>4981</v>
      </c>
      <c r="J3747" s="18" t="s">
        <v>24</v>
      </c>
    </row>
    <row r="3748" customFormat="false" ht="15" hidden="false" customHeight="false" outlineLevel="0" collapsed="false">
      <c r="A3748" s="0" t="s">
        <v>3051</v>
      </c>
      <c r="B3748" s="0" t="s">
        <v>3459</v>
      </c>
      <c r="C3748" s="0" t="s">
        <v>3447</v>
      </c>
      <c r="D3748" s="0" t="s">
        <v>3457</v>
      </c>
      <c r="E3748" s="0" t="s">
        <v>4963</v>
      </c>
      <c r="F3748" s="0" t="s">
        <v>30</v>
      </c>
      <c r="G3748" s="0" t="s">
        <v>4980</v>
      </c>
      <c r="H3748" s="0" t="s">
        <v>4904</v>
      </c>
      <c r="I3748" s="0" t="s">
        <v>4981</v>
      </c>
      <c r="J3748" s="18" t="s">
        <v>24</v>
      </c>
    </row>
    <row r="3749" customFormat="false" ht="15" hidden="false" customHeight="false" outlineLevel="0" collapsed="false">
      <c r="A3749" s="0" t="s">
        <v>3051</v>
      </c>
      <c r="B3749" s="0" t="s">
        <v>3459</v>
      </c>
      <c r="C3749" s="0" t="s">
        <v>3447</v>
      </c>
      <c r="D3749" s="0" t="s">
        <v>3448</v>
      </c>
      <c r="E3749" s="0" t="s">
        <v>4963</v>
      </c>
      <c r="F3749" s="0" t="s">
        <v>30</v>
      </c>
      <c r="G3749" s="0" t="s">
        <v>4980</v>
      </c>
      <c r="H3749" s="0" t="s">
        <v>4905</v>
      </c>
      <c r="I3749" s="0" t="s">
        <v>4981</v>
      </c>
      <c r="J3749" s="18" t="s">
        <v>24</v>
      </c>
    </row>
    <row r="3750" customFormat="false" ht="15" hidden="false" customHeight="false" outlineLevel="0" collapsed="false">
      <c r="A3750" s="0" t="s">
        <v>3057</v>
      </c>
      <c r="B3750" s="0" t="s">
        <v>3459</v>
      </c>
      <c r="C3750" s="0" t="s">
        <v>3447</v>
      </c>
      <c r="D3750" s="0" t="s">
        <v>3457</v>
      </c>
      <c r="E3750" s="0" t="s">
        <v>4963</v>
      </c>
      <c r="F3750" s="0" t="s">
        <v>60</v>
      </c>
      <c r="G3750" s="0" t="s">
        <v>4964</v>
      </c>
      <c r="H3750" s="0" t="s">
        <v>6217</v>
      </c>
      <c r="I3750" s="0" t="s">
        <v>4966</v>
      </c>
      <c r="J3750" s="19" t="s">
        <v>26</v>
      </c>
    </row>
    <row r="3751" customFormat="false" ht="15" hidden="false" customHeight="false" outlineLevel="0" collapsed="false">
      <c r="A3751" s="0" t="s">
        <v>3057</v>
      </c>
      <c r="B3751" s="0" t="s">
        <v>134</v>
      </c>
      <c r="C3751" s="0" t="s">
        <v>3450</v>
      </c>
      <c r="D3751" s="0" t="s">
        <v>3457</v>
      </c>
      <c r="E3751" s="0" t="s">
        <v>4969</v>
      </c>
      <c r="F3751" s="0" t="s">
        <v>62</v>
      </c>
      <c r="G3751" s="0" t="s">
        <v>5003</v>
      </c>
      <c r="H3751" s="0" t="s">
        <v>6218</v>
      </c>
      <c r="I3751" s="0" t="s">
        <v>5005</v>
      </c>
      <c r="J3751" s="20" t="s">
        <v>25</v>
      </c>
    </row>
    <row r="3752" customFormat="false" ht="15" hidden="false" customHeight="false" outlineLevel="0" collapsed="false">
      <c r="A3752" s="0" t="s">
        <v>3057</v>
      </c>
      <c r="B3752" s="0" t="s">
        <v>134</v>
      </c>
      <c r="C3752" s="0" t="s">
        <v>3450</v>
      </c>
      <c r="D3752" s="0" t="s">
        <v>3457</v>
      </c>
      <c r="E3752" s="0" t="s">
        <v>4969</v>
      </c>
      <c r="F3752" s="0" t="s">
        <v>63</v>
      </c>
      <c r="G3752" s="0" t="s">
        <v>4220</v>
      </c>
      <c r="H3752" s="0" t="s">
        <v>6219</v>
      </c>
      <c r="I3752" s="0" t="s">
        <v>4979</v>
      </c>
      <c r="J3752" s="20" t="s">
        <v>25</v>
      </c>
    </row>
    <row r="3753" customFormat="false" ht="15" hidden="false" customHeight="false" outlineLevel="0" collapsed="false">
      <c r="A3753" s="0" t="s">
        <v>3057</v>
      </c>
      <c r="B3753" s="0" t="s">
        <v>134</v>
      </c>
      <c r="C3753" s="0" t="s">
        <v>3450</v>
      </c>
      <c r="D3753" s="0" t="s">
        <v>3448</v>
      </c>
      <c r="E3753" s="0" t="s">
        <v>4969</v>
      </c>
      <c r="F3753" s="0" t="s">
        <v>62</v>
      </c>
      <c r="G3753" s="0" t="s">
        <v>5003</v>
      </c>
      <c r="H3753" s="0" t="s">
        <v>6220</v>
      </c>
      <c r="I3753" s="0" t="s">
        <v>5005</v>
      </c>
      <c r="J3753" s="20" t="s">
        <v>25</v>
      </c>
    </row>
    <row r="3754" customFormat="false" ht="15" hidden="false" customHeight="false" outlineLevel="0" collapsed="false">
      <c r="A3754" s="0" t="s">
        <v>3057</v>
      </c>
      <c r="B3754" s="0" t="s">
        <v>134</v>
      </c>
      <c r="C3754" s="0" t="s">
        <v>3450</v>
      </c>
      <c r="D3754" s="0" t="s">
        <v>3448</v>
      </c>
      <c r="E3754" s="0" t="s">
        <v>4969</v>
      </c>
      <c r="F3754" s="0" t="s">
        <v>63</v>
      </c>
      <c r="G3754" s="0" t="s">
        <v>4220</v>
      </c>
      <c r="H3754" s="0" t="s">
        <v>6221</v>
      </c>
      <c r="I3754" s="0" t="s">
        <v>4979</v>
      </c>
      <c r="J3754" s="20" t="s">
        <v>25</v>
      </c>
    </row>
    <row r="3755" customFormat="false" ht="15" hidden="false" customHeight="false" outlineLevel="0" collapsed="false">
      <c r="A3755" s="0" t="s">
        <v>3057</v>
      </c>
      <c r="B3755" s="0" t="s">
        <v>134</v>
      </c>
      <c r="C3755" s="0" t="s">
        <v>3447</v>
      </c>
      <c r="D3755" s="0" t="s">
        <v>3457</v>
      </c>
      <c r="E3755" s="0" t="s">
        <v>4969</v>
      </c>
      <c r="F3755" s="0" t="s">
        <v>63</v>
      </c>
      <c r="G3755" s="0" t="s">
        <v>4220</v>
      </c>
      <c r="H3755" s="0" t="s">
        <v>6219</v>
      </c>
      <c r="I3755" s="0" t="s">
        <v>4979</v>
      </c>
      <c r="J3755" s="20" t="s">
        <v>25</v>
      </c>
    </row>
    <row r="3756" customFormat="false" ht="15" hidden="false" customHeight="false" outlineLevel="0" collapsed="false">
      <c r="A3756" s="0" t="s">
        <v>3057</v>
      </c>
      <c r="B3756" s="0" t="s">
        <v>134</v>
      </c>
      <c r="C3756" s="0" t="s">
        <v>3447</v>
      </c>
      <c r="D3756" s="0" t="s">
        <v>3448</v>
      </c>
      <c r="E3756" s="0" t="s">
        <v>4969</v>
      </c>
      <c r="F3756" s="0" t="s">
        <v>63</v>
      </c>
      <c r="G3756" s="0" t="s">
        <v>4220</v>
      </c>
      <c r="H3756" s="0" t="s">
        <v>6221</v>
      </c>
      <c r="I3756" s="0" t="s">
        <v>4979</v>
      </c>
      <c r="J3756" s="20" t="s">
        <v>25</v>
      </c>
    </row>
    <row r="3757" customFormat="false" ht="15" hidden="false" customHeight="false" outlineLevel="0" collapsed="false">
      <c r="A3757" s="0" t="s">
        <v>3057</v>
      </c>
      <c r="B3757" s="0" t="s">
        <v>3459</v>
      </c>
      <c r="C3757" s="0" t="s">
        <v>3450</v>
      </c>
      <c r="D3757" s="0" t="s">
        <v>3457</v>
      </c>
      <c r="E3757" s="0" t="s">
        <v>4969</v>
      </c>
      <c r="F3757" s="0" t="s">
        <v>61</v>
      </c>
      <c r="G3757" s="0" t="s">
        <v>4970</v>
      </c>
      <c r="H3757" s="0" t="s">
        <v>6012</v>
      </c>
      <c r="I3757" s="0" t="s">
        <v>4972</v>
      </c>
      <c r="J3757" s="20" t="s">
        <v>25</v>
      </c>
    </row>
    <row r="3758" customFormat="false" ht="15" hidden="false" customHeight="false" outlineLevel="0" collapsed="false">
      <c r="A3758" s="0" t="s">
        <v>3057</v>
      </c>
      <c r="B3758" s="0" t="s">
        <v>3459</v>
      </c>
      <c r="C3758" s="0" t="s">
        <v>3450</v>
      </c>
      <c r="D3758" s="0" t="s">
        <v>3457</v>
      </c>
      <c r="E3758" s="0" t="s">
        <v>4969</v>
      </c>
      <c r="F3758" s="0" t="s">
        <v>62</v>
      </c>
      <c r="G3758" s="0" t="s">
        <v>5003</v>
      </c>
      <c r="H3758" s="0" t="s">
        <v>6222</v>
      </c>
      <c r="I3758" s="0" t="s">
        <v>5005</v>
      </c>
      <c r="J3758" s="20" t="s">
        <v>25</v>
      </c>
    </row>
    <row r="3759" customFormat="false" ht="15" hidden="false" customHeight="false" outlineLevel="0" collapsed="false">
      <c r="A3759" s="0" t="s">
        <v>3057</v>
      </c>
      <c r="B3759" s="0" t="s">
        <v>3459</v>
      </c>
      <c r="C3759" s="0" t="s">
        <v>3450</v>
      </c>
      <c r="D3759" s="0" t="s">
        <v>3448</v>
      </c>
      <c r="E3759" s="0" t="s">
        <v>4963</v>
      </c>
      <c r="F3759" s="0" t="s">
        <v>59</v>
      </c>
      <c r="G3759" s="0" t="s">
        <v>4974</v>
      </c>
      <c r="H3759" s="0" t="s">
        <v>69</v>
      </c>
      <c r="I3759" s="0" t="s">
        <v>4975</v>
      </c>
      <c r="J3759" s="20" t="s">
        <v>25</v>
      </c>
    </row>
    <row r="3760" customFormat="false" ht="15" hidden="false" customHeight="false" outlineLevel="0" collapsed="false">
      <c r="A3760" s="0" t="s">
        <v>3057</v>
      </c>
      <c r="B3760" s="0" t="s">
        <v>3459</v>
      </c>
      <c r="C3760" s="0" t="s">
        <v>3450</v>
      </c>
      <c r="D3760" s="0" t="s">
        <v>3448</v>
      </c>
      <c r="E3760" s="0" t="s">
        <v>4969</v>
      </c>
      <c r="F3760" s="0" t="s">
        <v>61</v>
      </c>
      <c r="G3760" s="0" t="s">
        <v>4970</v>
      </c>
      <c r="H3760" s="0" t="s">
        <v>6223</v>
      </c>
      <c r="I3760" s="0" t="s">
        <v>4972</v>
      </c>
      <c r="J3760" s="20" t="s">
        <v>25</v>
      </c>
    </row>
    <row r="3761" customFormat="false" ht="15" hidden="false" customHeight="false" outlineLevel="0" collapsed="false">
      <c r="A3761" s="0" t="s">
        <v>3057</v>
      </c>
      <c r="B3761" s="0" t="s">
        <v>3459</v>
      </c>
      <c r="C3761" s="0" t="s">
        <v>3450</v>
      </c>
      <c r="D3761" s="0" t="s">
        <v>3448</v>
      </c>
      <c r="E3761" s="0" t="s">
        <v>4969</v>
      </c>
      <c r="F3761" s="0" t="s">
        <v>62</v>
      </c>
      <c r="G3761" s="0" t="s">
        <v>5003</v>
      </c>
      <c r="H3761" s="0" t="s">
        <v>6224</v>
      </c>
      <c r="I3761" s="0" t="s">
        <v>5005</v>
      </c>
      <c r="J3761" s="20" t="s">
        <v>25</v>
      </c>
    </row>
    <row r="3762" customFormat="false" ht="15" hidden="false" customHeight="false" outlineLevel="0" collapsed="false">
      <c r="A3762" s="0" t="s">
        <v>3057</v>
      </c>
      <c r="B3762" s="0" t="s">
        <v>3459</v>
      </c>
      <c r="C3762" s="0" t="s">
        <v>3450</v>
      </c>
      <c r="D3762" s="0" t="s">
        <v>3448</v>
      </c>
      <c r="E3762" s="0" t="s">
        <v>4969</v>
      </c>
      <c r="F3762" s="0" t="s">
        <v>64</v>
      </c>
      <c r="G3762" s="0" t="s">
        <v>4220</v>
      </c>
      <c r="H3762" s="0" t="s">
        <v>6225</v>
      </c>
      <c r="I3762" s="0" t="s">
        <v>4991</v>
      </c>
      <c r="J3762" s="20" t="s">
        <v>25</v>
      </c>
    </row>
    <row r="3763" customFormat="false" ht="15" hidden="false" customHeight="false" outlineLevel="0" collapsed="false">
      <c r="A3763" s="0" t="s">
        <v>3057</v>
      </c>
      <c r="B3763" s="0" t="s">
        <v>3459</v>
      </c>
      <c r="C3763" s="0" t="s">
        <v>3447</v>
      </c>
      <c r="D3763" s="0" t="s">
        <v>3457</v>
      </c>
      <c r="E3763" s="0" t="s">
        <v>4963</v>
      </c>
      <c r="F3763" s="0" t="s">
        <v>59</v>
      </c>
      <c r="G3763" s="0" t="s">
        <v>4974</v>
      </c>
      <c r="H3763" s="0" t="s">
        <v>69</v>
      </c>
      <c r="I3763" s="0" t="s">
        <v>4975</v>
      </c>
      <c r="J3763" s="20" t="s">
        <v>25</v>
      </c>
    </row>
    <row r="3764" customFormat="false" ht="15" hidden="false" customHeight="false" outlineLevel="0" collapsed="false">
      <c r="A3764" s="0" t="s">
        <v>3057</v>
      </c>
      <c r="B3764" s="0" t="s">
        <v>3459</v>
      </c>
      <c r="C3764" s="0" t="s">
        <v>3447</v>
      </c>
      <c r="D3764" s="0" t="s">
        <v>3457</v>
      </c>
      <c r="E3764" s="0" t="s">
        <v>4969</v>
      </c>
      <c r="F3764" s="0" t="s">
        <v>61</v>
      </c>
      <c r="G3764" s="0" t="s">
        <v>4970</v>
      </c>
      <c r="H3764" s="0" t="s">
        <v>6226</v>
      </c>
      <c r="I3764" s="0" t="s">
        <v>4972</v>
      </c>
      <c r="J3764" s="20" t="s">
        <v>25</v>
      </c>
    </row>
    <row r="3765" customFormat="false" ht="15" hidden="false" customHeight="false" outlineLevel="0" collapsed="false">
      <c r="A3765" s="0" t="s">
        <v>3057</v>
      </c>
      <c r="B3765" s="0" t="s">
        <v>3459</v>
      </c>
      <c r="C3765" s="0" t="s">
        <v>3447</v>
      </c>
      <c r="D3765" s="0" t="s">
        <v>3448</v>
      </c>
      <c r="E3765" s="0" t="s">
        <v>4969</v>
      </c>
      <c r="F3765" s="0" t="s">
        <v>64</v>
      </c>
      <c r="G3765" s="0" t="s">
        <v>4220</v>
      </c>
      <c r="H3765" s="0" t="s">
        <v>6225</v>
      </c>
      <c r="I3765" s="0" t="s">
        <v>4991</v>
      </c>
      <c r="J3765" s="20" t="s">
        <v>25</v>
      </c>
    </row>
    <row r="3766" customFormat="false" ht="15" hidden="false" customHeight="false" outlineLevel="0" collapsed="false">
      <c r="A3766" s="0" t="s">
        <v>3057</v>
      </c>
      <c r="B3766" s="0" t="s">
        <v>134</v>
      </c>
      <c r="C3766" s="0" t="s">
        <v>3447</v>
      </c>
      <c r="D3766" s="0" t="s">
        <v>3448</v>
      </c>
      <c r="E3766" s="0" t="s">
        <v>4963</v>
      </c>
      <c r="F3766" s="0" t="s">
        <v>30</v>
      </c>
      <c r="G3766" s="0" t="s">
        <v>4980</v>
      </c>
      <c r="H3766" s="0" t="s">
        <v>4556</v>
      </c>
      <c r="I3766" s="0" t="s">
        <v>4981</v>
      </c>
      <c r="J3766" s="18" t="s">
        <v>24</v>
      </c>
    </row>
    <row r="3767" customFormat="false" ht="15" hidden="false" customHeight="false" outlineLevel="0" collapsed="false">
      <c r="A3767" s="0" t="s">
        <v>3057</v>
      </c>
      <c r="B3767" s="0" t="s">
        <v>3459</v>
      </c>
      <c r="C3767" s="0" t="s">
        <v>3450</v>
      </c>
      <c r="D3767" s="0" t="s">
        <v>3448</v>
      </c>
      <c r="E3767" s="0" t="s">
        <v>4963</v>
      </c>
      <c r="F3767" s="0" t="s">
        <v>30</v>
      </c>
      <c r="G3767" s="0" t="s">
        <v>4980</v>
      </c>
      <c r="H3767" s="0" t="s">
        <v>4275</v>
      </c>
      <c r="I3767" s="0" t="s">
        <v>4981</v>
      </c>
      <c r="J3767" s="18" t="s">
        <v>24</v>
      </c>
    </row>
    <row r="3768" customFormat="false" ht="15" hidden="false" customHeight="false" outlineLevel="0" collapsed="false">
      <c r="A3768" s="0" t="s">
        <v>3057</v>
      </c>
      <c r="B3768" s="0" t="s">
        <v>3459</v>
      </c>
      <c r="C3768" s="0" t="s">
        <v>3447</v>
      </c>
      <c r="D3768" s="0" t="s">
        <v>3448</v>
      </c>
      <c r="E3768" s="0" t="s">
        <v>4963</v>
      </c>
      <c r="F3768" s="0" t="s">
        <v>30</v>
      </c>
      <c r="G3768" s="0" t="s">
        <v>4980</v>
      </c>
      <c r="H3768" s="0" t="s">
        <v>4554</v>
      </c>
      <c r="I3768" s="0" t="s">
        <v>4981</v>
      </c>
      <c r="J3768" s="18" t="s">
        <v>24</v>
      </c>
    </row>
    <row r="3769" customFormat="false" ht="15" hidden="false" customHeight="false" outlineLevel="0" collapsed="false">
      <c r="A3769" s="0" t="s">
        <v>3068</v>
      </c>
      <c r="B3769" s="0" t="s">
        <v>134</v>
      </c>
      <c r="C3769" s="0" t="s">
        <v>3450</v>
      </c>
      <c r="D3769" s="0" t="s">
        <v>3457</v>
      </c>
      <c r="E3769" s="0" t="s">
        <v>4969</v>
      </c>
      <c r="F3769" s="0" t="s">
        <v>61</v>
      </c>
      <c r="G3769" s="0" t="s">
        <v>4970</v>
      </c>
      <c r="H3769" s="0" t="s">
        <v>6227</v>
      </c>
      <c r="I3769" s="0" t="s">
        <v>4972</v>
      </c>
      <c r="J3769" s="20" t="s">
        <v>25</v>
      </c>
    </row>
    <row r="3770" customFormat="false" ht="15" hidden="false" customHeight="false" outlineLevel="0" collapsed="false">
      <c r="A3770" s="0" t="s">
        <v>3068</v>
      </c>
      <c r="B3770" s="0" t="s">
        <v>134</v>
      </c>
      <c r="C3770" s="0" t="s">
        <v>3450</v>
      </c>
      <c r="D3770" s="0" t="s">
        <v>3457</v>
      </c>
      <c r="E3770" s="0" t="s">
        <v>4969</v>
      </c>
      <c r="F3770" s="0" t="s">
        <v>62</v>
      </c>
      <c r="G3770" s="0" t="s">
        <v>5003</v>
      </c>
      <c r="H3770" s="0" t="s">
        <v>6228</v>
      </c>
      <c r="I3770" s="0" t="s">
        <v>5005</v>
      </c>
      <c r="J3770" s="20" t="s">
        <v>25</v>
      </c>
    </row>
    <row r="3771" customFormat="false" ht="15" hidden="false" customHeight="false" outlineLevel="0" collapsed="false">
      <c r="A3771" s="0" t="s">
        <v>3068</v>
      </c>
      <c r="B3771" s="0" t="s">
        <v>134</v>
      </c>
      <c r="C3771" s="0" t="s">
        <v>3450</v>
      </c>
      <c r="D3771" s="0" t="s">
        <v>3448</v>
      </c>
      <c r="E3771" s="0" t="s">
        <v>4963</v>
      </c>
      <c r="F3771" s="0" t="s">
        <v>59</v>
      </c>
      <c r="G3771" s="0" t="s">
        <v>4974</v>
      </c>
      <c r="H3771" s="0" t="s">
        <v>69</v>
      </c>
      <c r="I3771" s="0" t="s">
        <v>4975</v>
      </c>
      <c r="J3771" s="20" t="s">
        <v>25</v>
      </c>
    </row>
    <row r="3772" customFormat="false" ht="15" hidden="false" customHeight="false" outlineLevel="0" collapsed="false">
      <c r="A3772" s="0" t="s">
        <v>3068</v>
      </c>
      <c r="B3772" s="0" t="s">
        <v>134</v>
      </c>
      <c r="C3772" s="0" t="s">
        <v>3447</v>
      </c>
      <c r="D3772" s="0" t="s">
        <v>3457</v>
      </c>
      <c r="E3772" s="0" t="s">
        <v>4969</v>
      </c>
      <c r="F3772" s="0" t="s">
        <v>61</v>
      </c>
      <c r="G3772" s="0" t="s">
        <v>4970</v>
      </c>
      <c r="H3772" s="0" t="s">
        <v>6229</v>
      </c>
      <c r="I3772" s="0" t="s">
        <v>4972</v>
      </c>
      <c r="J3772" s="20" t="s">
        <v>25</v>
      </c>
    </row>
    <row r="3773" customFormat="false" ht="15" hidden="false" customHeight="false" outlineLevel="0" collapsed="false">
      <c r="A3773" s="0" t="s">
        <v>3068</v>
      </c>
      <c r="B3773" s="0" t="s">
        <v>3459</v>
      </c>
      <c r="C3773" s="0" t="s">
        <v>3450</v>
      </c>
      <c r="D3773" s="0" t="s">
        <v>3457</v>
      </c>
      <c r="E3773" s="0" t="s">
        <v>4969</v>
      </c>
      <c r="F3773" s="0" t="s">
        <v>62</v>
      </c>
      <c r="G3773" s="0" t="s">
        <v>5003</v>
      </c>
      <c r="H3773" s="0" t="s">
        <v>6230</v>
      </c>
      <c r="I3773" s="0" t="s">
        <v>5005</v>
      </c>
      <c r="J3773" s="20" t="s">
        <v>25</v>
      </c>
    </row>
    <row r="3774" customFormat="false" ht="15" hidden="false" customHeight="false" outlineLevel="0" collapsed="false">
      <c r="A3774" s="0" t="s">
        <v>3068</v>
      </c>
      <c r="B3774" s="0" t="s">
        <v>3459</v>
      </c>
      <c r="C3774" s="0" t="s">
        <v>3450</v>
      </c>
      <c r="D3774" s="0" t="s">
        <v>3448</v>
      </c>
      <c r="E3774" s="0" t="s">
        <v>4969</v>
      </c>
      <c r="F3774" s="0" t="s">
        <v>61</v>
      </c>
      <c r="G3774" s="0" t="s">
        <v>4970</v>
      </c>
      <c r="H3774" s="0" t="s">
        <v>6231</v>
      </c>
      <c r="I3774" s="0" t="s">
        <v>4972</v>
      </c>
      <c r="J3774" s="20" t="s">
        <v>25</v>
      </c>
    </row>
    <row r="3775" customFormat="false" ht="15" hidden="false" customHeight="false" outlineLevel="0" collapsed="false">
      <c r="A3775" s="0" t="s">
        <v>3068</v>
      </c>
      <c r="B3775" s="0" t="s">
        <v>3459</v>
      </c>
      <c r="C3775" s="0" t="s">
        <v>3447</v>
      </c>
      <c r="D3775" s="0" t="s">
        <v>3457</v>
      </c>
      <c r="E3775" s="0" t="s">
        <v>4963</v>
      </c>
      <c r="F3775" s="0" t="s">
        <v>59</v>
      </c>
      <c r="G3775" s="0" t="s">
        <v>4974</v>
      </c>
      <c r="H3775" s="0" t="s">
        <v>69</v>
      </c>
      <c r="I3775" s="0" t="s">
        <v>4975</v>
      </c>
      <c r="J3775" s="20" t="s">
        <v>25</v>
      </c>
    </row>
    <row r="3776" customFormat="false" ht="15" hidden="false" customHeight="false" outlineLevel="0" collapsed="false">
      <c r="A3776" s="0" t="s">
        <v>3068</v>
      </c>
      <c r="B3776" s="0" t="s">
        <v>3459</v>
      </c>
      <c r="C3776" s="0" t="s">
        <v>3447</v>
      </c>
      <c r="D3776" s="0" t="s">
        <v>3457</v>
      </c>
      <c r="E3776" s="0" t="s">
        <v>4969</v>
      </c>
      <c r="F3776" s="0" t="s">
        <v>61</v>
      </c>
      <c r="G3776" s="0" t="s">
        <v>4970</v>
      </c>
      <c r="H3776" s="0" t="s">
        <v>6232</v>
      </c>
      <c r="I3776" s="0" t="s">
        <v>4972</v>
      </c>
      <c r="J3776" s="20" t="s">
        <v>25</v>
      </c>
    </row>
    <row r="3777" customFormat="false" ht="15" hidden="false" customHeight="false" outlineLevel="0" collapsed="false">
      <c r="A3777" s="0" t="s">
        <v>3068</v>
      </c>
      <c r="B3777" s="0" t="s">
        <v>3459</v>
      </c>
      <c r="C3777" s="0" t="s">
        <v>3447</v>
      </c>
      <c r="D3777" s="0" t="s">
        <v>3448</v>
      </c>
      <c r="E3777" s="0" t="s">
        <v>4963</v>
      </c>
      <c r="F3777" s="0" t="s">
        <v>59</v>
      </c>
      <c r="G3777" s="0" t="s">
        <v>4974</v>
      </c>
      <c r="H3777" s="0" t="s">
        <v>69</v>
      </c>
      <c r="I3777" s="0" t="s">
        <v>4975</v>
      </c>
      <c r="J3777" s="20" t="s">
        <v>25</v>
      </c>
    </row>
    <row r="3778" customFormat="false" ht="15" hidden="false" customHeight="false" outlineLevel="0" collapsed="false">
      <c r="A3778" s="0" t="s">
        <v>3068</v>
      </c>
      <c r="B3778" s="0" t="s">
        <v>3459</v>
      </c>
      <c r="C3778" s="0" t="s">
        <v>3447</v>
      </c>
      <c r="D3778" s="0" t="s">
        <v>3448</v>
      </c>
      <c r="E3778" s="0" t="s">
        <v>4969</v>
      </c>
      <c r="F3778" s="0" t="s">
        <v>61</v>
      </c>
      <c r="G3778" s="0" t="s">
        <v>4970</v>
      </c>
      <c r="H3778" s="0" t="s">
        <v>6233</v>
      </c>
      <c r="I3778" s="0" t="s">
        <v>4972</v>
      </c>
      <c r="J3778" s="20" t="s">
        <v>25</v>
      </c>
    </row>
    <row r="3779" customFormat="false" ht="15" hidden="false" customHeight="false" outlineLevel="0" collapsed="false">
      <c r="A3779" s="0" t="s">
        <v>3068</v>
      </c>
      <c r="B3779" s="0" t="s">
        <v>134</v>
      </c>
      <c r="C3779" s="0" t="s">
        <v>3450</v>
      </c>
      <c r="D3779" s="0" t="s">
        <v>3448</v>
      </c>
      <c r="E3779" s="0" t="s">
        <v>4963</v>
      </c>
      <c r="F3779" s="0" t="s">
        <v>30</v>
      </c>
      <c r="G3779" s="0" t="s">
        <v>4980</v>
      </c>
      <c r="H3779" s="0" t="s">
        <v>4275</v>
      </c>
      <c r="I3779" s="0" t="s">
        <v>4981</v>
      </c>
      <c r="J3779" s="18" t="s">
        <v>24</v>
      </c>
    </row>
    <row r="3780" customFormat="false" ht="15" hidden="false" customHeight="false" outlineLevel="0" collapsed="false">
      <c r="A3780" s="0" t="s">
        <v>3068</v>
      </c>
      <c r="B3780" s="0" t="s">
        <v>134</v>
      </c>
      <c r="C3780" s="0" t="s">
        <v>3447</v>
      </c>
      <c r="D3780" s="0" t="s">
        <v>3457</v>
      </c>
      <c r="E3780" s="0" t="s">
        <v>4963</v>
      </c>
      <c r="F3780" s="0" t="s">
        <v>30</v>
      </c>
      <c r="G3780" s="0" t="s">
        <v>4980</v>
      </c>
      <c r="H3780" s="0" t="s">
        <v>4907</v>
      </c>
      <c r="I3780" s="0" t="s">
        <v>4981</v>
      </c>
      <c r="J3780" s="18" t="s">
        <v>24</v>
      </c>
    </row>
    <row r="3781" customFormat="false" ht="15" hidden="false" customHeight="false" outlineLevel="0" collapsed="false">
      <c r="A3781" s="0" t="s">
        <v>3068</v>
      </c>
      <c r="B3781" s="0" t="s">
        <v>134</v>
      </c>
      <c r="C3781" s="0" t="s">
        <v>3447</v>
      </c>
      <c r="D3781" s="0" t="s">
        <v>3448</v>
      </c>
      <c r="E3781" s="0" t="s">
        <v>4963</v>
      </c>
      <c r="F3781" s="0" t="s">
        <v>30</v>
      </c>
      <c r="G3781" s="0" t="s">
        <v>4980</v>
      </c>
      <c r="H3781" s="0" t="s">
        <v>4907</v>
      </c>
      <c r="I3781" s="0" t="s">
        <v>4981</v>
      </c>
      <c r="J3781" s="18" t="s">
        <v>24</v>
      </c>
    </row>
    <row r="3782" customFormat="false" ht="15" hidden="false" customHeight="false" outlineLevel="0" collapsed="false">
      <c r="A3782" s="0" t="s">
        <v>3068</v>
      </c>
      <c r="B3782" s="0" t="s">
        <v>3459</v>
      </c>
      <c r="C3782" s="0" t="s">
        <v>3447</v>
      </c>
      <c r="D3782" s="0" t="s">
        <v>3457</v>
      </c>
      <c r="E3782" s="0" t="s">
        <v>4963</v>
      </c>
      <c r="F3782" s="0" t="s">
        <v>30</v>
      </c>
      <c r="G3782" s="0" t="s">
        <v>4980</v>
      </c>
      <c r="H3782" s="0" t="s">
        <v>4275</v>
      </c>
      <c r="I3782" s="0" t="s">
        <v>4981</v>
      </c>
      <c r="J3782" s="18" t="s">
        <v>24</v>
      </c>
    </row>
    <row r="3783" customFormat="false" ht="15" hidden="false" customHeight="false" outlineLevel="0" collapsed="false">
      <c r="A3783" s="0" t="s">
        <v>3068</v>
      </c>
      <c r="B3783" s="0" t="s">
        <v>3459</v>
      </c>
      <c r="C3783" s="0" t="s">
        <v>3447</v>
      </c>
      <c r="D3783" s="0" t="s">
        <v>3448</v>
      </c>
      <c r="E3783" s="0" t="s">
        <v>4963</v>
      </c>
      <c r="F3783" s="0" t="s">
        <v>30</v>
      </c>
      <c r="G3783" s="0" t="s">
        <v>4980</v>
      </c>
      <c r="H3783" s="0" t="s">
        <v>4275</v>
      </c>
      <c r="I3783" s="0" t="s">
        <v>4981</v>
      </c>
      <c r="J3783" s="18" t="s">
        <v>24</v>
      </c>
    </row>
    <row r="3784" customFormat="false" ht="15" hidden="false" customHeight="false" outlineLevel="0" collapsed="false">
      <c r="A3784" s="0" t="s">
        <v>3075</v>
      </c>
      <c r="B3784" s="0" t="s">
        <v>134</v>
      </c>
      <c r="C3784" s="0" t="s">
        <v>3450</v>
      </c>
      <c r="D3784" s="0" t="s">
        <v>3457</v>
      </c>
      <c r="E3784" s="0" t="s">
        <v>4963</v>
      </c>
      <c r="F3784" s="0" t="s">
        <v>60</v>
      </c>
      <c r="G3784" s="0" t="s">
        <v>4964</v>
      </c>
      <c r="H3784" s="0" t="s">
        <v>5204</v>
      </c>
      <c r="I3784" s="0" t="s">
        <v>4966</v>
      </c>
      <c r="J3784" s="19" t="s">
        <v>26</v>
      </c>
    </row>
    <row r="3785" customFormat="false" ht="15" hidden="false" customHeight="false" outlineLevel="0" collapsed="false">
      <c r="A3785" s="0" t="s">
        <v>3075</v>
      </c>
      <c r="B3785" s="0" t="s">
        <v>134</v>
      </c>
      <c r="C3785" s="0" t="s">
        <v>3450</v>
      </c>
      <c r="D3785" s="0" t="s">
        <v>3457</v>
      </c>
      <c r="E3785" s="0" t="s">
        <v>4963</v>
      </c>
      <c r="F3785" s="0" t="s">
        <v>59</v>
      </c>
      <c r="G3785" s="0" t="s">
        <v>4974</v>
      </c>
      <c r="H3785" s="0" t="s">
        <v>69</v>
      </c>
      <c r="I3785" s="0" t="s">
        <v>4975</v>
      </c>
      <c r="J3785" s="20" t="s">
        <v>25</v>
      </c>
    </row>
    <row r="3786" customFormat="false" ht="15" hidden="false" customHeight="false" outlineLevel="0" collapsed="false">
      <c r="A3786" s="0" t="s">
        <v>3075</v>
      </c>
      <c r="B3786" s="0" t="s">
        <v>134</v>
      </c>
      <c r="C3786" s="0" t="s">
        <v>3450</v>
      </c>
      <c r="D3786" s="0" t="s">
        <v>3457</v>
      </c>
      <c r="E3786" s="0" t="s">
        <v>4969</v>
      </c>
      <c r="F3786" s="0" t="s">
        <v>62</v>
      </c>
      <c r="G3786" s="0" t="s">
        <v>5003</v>
      </c>
      <c r="H3786" s="0" t="s">
        <v>6234</v>
      </c>
      <c r="I3786" s="0" t="s">
        <v>5005</v>
      </c>
      <c r="J3786" s="20" t="s">
        <v>25</v>
      </c>
    </row>
    <row r="3787" customFormat="false" ht="15" hidden="false" customHeight="false" outlineLevel="0" collapsed="false">
      <c r="A3787" s="0" t="s">
        <v>3075</v>
      </c>
      <c r="B3787" s="0" t="s">
        <v>134</v>
      </c>
      <c r="C3787" s="0" t="s">
        <v>3450</v>
      </c>
      <c r="D3787" s="0" t="s">
        <v>3457</v>
      </c>
      <c r="E3787" s="0" t="s">
        <v>4969</v>
      </c>
      <c r="F3787" s="0" t="s">
        <v>63</v>
      </c>
      <c r="G3787" s="0" t="s">
        <v>4220</v>
      </c>
      <c r="H3787" s="0" t="s">
        <v>5491</v>
      </c>
      <c r="I3787" s="0" t="s">
        <v>4979</v>
      </c>
      <c r="J3787" s="20" t="s">
        <v>25</v>
      </c>
    </row>
    <row r="3788" customFormat="false" ht="15" hidden="false" customHeight="false" outlineLevel="0" collapsed="false">
      <c r="A3788" s="0" t="s">
        <v>3075</v>
      </c>
      <c r="B3788" s="0" t="s">
        <v>134</v>
      </c>
      <c r="C3788" s="0" t="s">
        <v>3450</v>
      </c>
      <c r="D3788" s="0" t="s">
        <v>3448</v>
      </c>
      <c r="E3788" s="0" t="s">
        <v>4969</v>
      </c>
      <c r="F3788" s="0" t="s">
        <v>62</v>
      </c>
      <c r="G3788" s="0" t="s">
        <v>5003</v>
      </c>
      <c r="H3788" s="0" t="s">
        <v>5525</v>
      </c>
      <c r="I3788" s="0" t="s">
        <v>5005</v>
      </c>
      <c r="J3788" s="20" t="s">
        <v>25</v>
      </c>
    </row>
    <row r="3789" customFormat="false" ht="15" hidden="false" customHeight="false" outlineLevel="0" collapsed="false">
      <c r="A3789" s="0" t="s">
        <v>3075</v>
      </c>
      <c r="B3789" s="0" t="s">
        <v>134</v>
      </c>
      <c r="C3789" s="0" t="s">
        <v>3447</v>
      </c>
      <c r="D3789" s="0" t="s">
        <v>3457</v>
      </c>
      <c r="E3789" s="0" t="s">
        <v>4969</v>
      </c>
      <c r="F3789" s="0" t="s">
        <v>63</v>
      </c>
      <c r="G3789" s="0" t="s">
        <v>4220</v>
      </c>
      <c r="H3789" s="0" t="s">
        <v>5491</v>
      </c>
      <c r="I3789" s="0" t="s">
        <v>4979</v>
      </c>
      <c r="J3789" s="20" t="s">
        <v>25</v>
      </c>
    </row>
    <row r="3790" customFormat="false" ht="15" hidden="false" customHeight="false" outlineLevel="0" collapsed="false">
      <c r="A3790" s="0" t="s">
        <v>3075</v>
      </c>
      <c r="B3790" s="0" t="s">
        <v>134</v>
      </c>
      <c r="C3790" s="0" t="s">
        <v>3447</v>
      </c>
      <c r="D3790" s="0" t="s">
        <v>3448</v>
      </c>
      <c r="E3790" s="0" t="s">
        <v>4963</v>
      </c>
      <c r="F3790" s="0" t="s">
        <v>30</v>
      </c>
      <c r="G3790" s="0" t="s">
        <v>4980</v>
      </c>
      <c r="H3790" s="0" t="s">
        <v>4908</v>
      </c>
      <c r="I3790" s="0" t="s">
        <v>4981</v>
      </c>
      <c r="J3790" s="18" t="s">
        <v>24</v>
      </c>
    </row>
    <row r="3791" customFormat="false" ht="15" hidden="false" customHeight="false" outlineLevel="0" collapsed="false">
      <c r="A3791" s="0" t="s">
        <v>3081</v>
      </c>
      <c r="B3791" s="0" t="s">
        <v>134</v>
      </c>
      <c r="C3791" s="0" t="s">
        <v>3447</v>
      </c>
      <c r="D3791" s="0" t="s">
        <v>3457</v>
      </c>
      <c r="E3791" s="0" t="s">
        <v>4963</v>
      </c>
      <c r="F3791" s="0" t="s">
        <v>60</v>
      </c>
      <c r="G3791" s="0" t="s">
        <v>4964</v>
      </c>
      <c r="H3791" s="0" t="s">
        <v>6235</v>
      </c>
      <c r="I3791" s="0" t="s">
        <v>4966</v>
      </c>
      <c r="J3791" s="19" t="s">
        <v>26</v>
      </c>
    </row>
    <row r="3792" customFormat="false" ht="15" hidden="false" customHeight="false" outlineLevel="0" collapsed="false">
      <c r="A3792" s="0" t="s">
        <v>3081</v>
      </c>
      <c r="B3792" s="0" t="s">
        <v>134</v>
      </c>
      <c r="C3792" s="0" t="s">
        <v>3450</v>
      </c>
      <c r="D3792" s="0" t="s">
        <v>3457</v>
      </c>
      <c r="E3792" s="0" t="s">
        <v>4963</v>
      </c>
      <c r="F3792" s="0" t="s">
        <v>59</v>
      </c>
      <c r="G3792" s="0" t="s">
        <v>4974</v>
      </c>
      <c r="H3792" s="0" t="s">
        <v>69</v>
      </c>
      <c r="I3792" s="0" t="s">
        <v>4975</v>
      </c>
      <c r="J3792" s="20" t="s">
        <v>25</v>
      </c>
    </row>
    <row r="3793" customFormat="false" ht="15" hidden="false" customHeight="false" outlineLevel="0" collapsed="false">
      <c r="A3793" s="0" t="s">
        <v>3081</v>
      </c>
      <c r="B3793" s="0" t="s">
        <v>134</v>
      </c>
      <c r="C3793" s="0" t="s">
        <v>3450</v>
      </c>
      <c r="D3793" s="0" t="s">
        <v>3457</v>
      </c>
      <c r="E3793" s="0" t="s">
        <v>4969</v>
      </c>
      <c r="F3793" s="0" t="s">
        <v>62</v>
      </c>
      <c r="G3793" s="0" t="s">
        <v>5003</v>
      </c>
      <c r="H3793" s="0" t="s">
        <v>5535</v>
      </c>
      <c r="I3793" s="0" t="s">
        <v>5005</v>
      </c>
      <c r="J3793" s="20" t="s">
        <v>25</v>
      </c>
    </row>
    <row r="3794" customFormat="false" ht="15" hidden="false" customHeight="false" outlineLevel="0" collapsed="false">
      <c r="A3794" s="0" t="s">
        <v>3081</v>
      </c>
      <c r="B3794" s="0" t="s">
        <v>134</v>
      </c>
      <c r="C3794" s="0" t="s">
        <v>3450</v>
      </c>
      <c r="D3794" s="0" t="s">
        <v>3457</v>
      </c>
      <c r="E3794" s="0" t="s">
        <v>4969</v>
      </c>
      <c r="F3794" s="0" t="s">
        <v>63</v>
      </c>
      <c r="G3794" s="0" t="s">
        <v>4220</v>
      </c>
      <c r="H3794" s="0" t="s">
        <v>5296</v>
      </c>
      <c r="I3794" s="0" t="s">
        <v>4979</v>
      </c>
      <c r="J3794" s="20" t="s">
        <v>25</v>
      </c>
    </row>
    <row r="3795" customFormat="false" ht="15" hidden="false" customHeight="false" outlineLevel="0" collapsed="false">
      <c r="A3795" s="0" t="s">
        <v>3081</v>
      </c>
      <c r="B3795" s="0" t="s">
        <v>134</v>
      </c>
      <c r="C3795" s="0" t="s">
        <v>3450</v>
      </c>
      <c r="D3795" s="0" t="s">
        <v>3448</v>
      </c>
      <c r="E3795" s="0" t="s">
        <v>4963</v>
      </c>
      <c r="F3795" s="0" t="s">
        <v>59</v>
      </c>
      <c r="G3795" s="0" t="s">
        <v>4974</v>
      </c>
      <c r="H3795" s="0" t="s">
        <v>69</v>
      </c>
      <c r="I3795" s="0" t="s">
        <v>4975</v>
      </c>
      <c r="J3795" s="20" t="s">
        <v>25</v>
      </c>
    </row>
    <row r="3796" customFormat="false" ht="15" hidden="false" customHeight="false" outlineLevel="0" collapsed="false">
      <c r="A3796" s="0" t="s">
        <v>3081</v>
      </c>
      <c r="B3796" s="0" t="s">
        <v>134</v>
      </c>
      <c r="C3796" s="0" t="s">
        <v>3447</v>
      </c>
      <c r="D3796" s="0" t="s">
        <v>3457</v>
      </c>
      <c r="E3796" s="0" t="s">
        <v>4963</v>
      </c>
      <c r="F3796" s="0" t="s">
        <v>59</v>
      </c>
      <c r="G3796" s="0" t="s">
        <v>4974</v>
      </c>
      <c r="H3796" s="0" t="s">
        <v>69</v>
      </c>
      <c r="I3796" s="0" t="s">
        <v>4975</v>
      </c>
      <c r="J3796" s="20" t="s">
        <v>25</v>
      </c>
    </row>
    <row r="3797" customFormat="false" ht="15" hidden="false" customHeight="false" outlineLevel="0" collapsed="false">
      <c r="A3797" s="0" t="s">
        <v>3081</v>
      </c>
      <c r="B3797" s="0" t="s">
        <v>134</v>
      </c>
      <c r="C3797" s="0" t="s">
        <v>3447</v>
      </c>
      <c r="D3797" s="0" t="s">
        <v>3457</v>
      </c>
      <c r="E3797" s="0" t="s">
        <v>4969</v>
      </c>
      <c r="F3797" s="0" t="s">
        <v>63</v>
      </c>
      <c r="G3797" s="0" t="s">
        <v>4220</v>
      </c>
      <c r="H3797" s="0" t="s">
        <v>5296</v>
      </c>
      <c r="I3797" s="0" t="s">
        <v>4979</v>
      </c>
      <c r="J3797" s="20" t="s">
        <v>25</v>
      </c>
    </row>
    <row r="3798" customFormat="false" ht="15" hidden="false" customHeight="false" outlineLevel="0" collapsed="false">
      <c r="A3798" s="0" t="s">
        <v>3081</v>
      </c>
      <c r="B3798" s="0" t="s">
        <v>134</v>
      </c>
      <c r="C3798" s="0" t="s">
        <v>3450</v>
      </c>
      <c r="D3798" s="0" t="s">
        <v>3457</v>
      </c>
      <c r="E3798" s="0" t="s">
        <v>4963</v>
      </c>
      <c r="F3798" s="0" t="s">
        <v>30</v>
      </c>
      <c r="G3798" s="0" t="s">
        <v>4980</v>
      </c>
      <c r="H3798" s="0" t="s">
        <v>4909</v>
      </c>
      <c r="I3798" s="0" t="s">
        <v>4981</v>
      </c>
      <c r="J3798" s="18" t="s">
        <v>24</v>
      </c>
    </row>
    <row r="3799" customFormat="false" ht="15" hidden="false" customHeight="false" outlineLevel="0" collapsed="false">
      <c r="A3799" s="0" t="s">
        <v>3081</v>
      </c>
      <c r="B3799" s="0" t="s">
        <v>134</v>
      </c>
      <c r="C3799" s="0" t="s">
        <v>3450</v>
      </c>
      <c r="D3799" s="0" t="s">
        <v>3448</v>
      </c>
      <c r="E3799" s="0" t="s">
        <v>4963</v>
      </c>
      <c r="F3799" s="0" t="s">
        <v>30</v>
      </c>
      <c r="G3799" s="0" t="s">
        <v>4980</v>
      </c>
      <c r="H3799" s="0" t="s">
        <v>4275</v>
      </c>
      <c r="I3799" s="0" t="s">
        <v>4981</v>
      </c>
      <c r="J3799" s="18" t="s">
        <v>24</v>
      </c>
    </row>
    <row r="3800" customFormat="false" ht="15" hidden="false" customHeight="false" outlineLevel="0" collapsed="false">
      <c r="A3800" s="0" t="s">
        <v>3081</v>
      </c>
      <c r="B3800" s="0" t="s">
        <v>134</v>
      </c>
      <c r="C3800" s="0" t="s">
        <v>3447</v>
      </c>
      <c r="D3800" s="0" t="s">
        <v>3448</v>
      </c>
      <c r="E3800" s="0" t="s">
        <v>4963</v>
      </c>
      <c r="F3800" s="0" t="s">
        <v>30</v>
      </c>
      <c r="G3800" s="0" t="s">
        <v>4980</v>
      </c>
      <c r="H3800" s="0" t="s">
        <v>4323</v>
      </c>
      <c r="I3800" s="0" t="s">
        <v>4981</v>
      </c>
      <c r="J3800" s="18" t="s">
        <v>24</v>
      </c>
    </row>
    <row r="3801" customFormat="false" ht="15" hidden="false" customHeight="false" outlineLevel="0" collapsed="false">
      <c r="A3801" s="0" t="s">
        <v>3087</v>
      </c>
      <c r="B3801" s="0" t="s">
        <v>134</v>
      </c>
      <c r="C3801" s="0" t="s">
        <v>3450</v>
      </c>
      <c r="D3801" s="0" t="s">
        <v>3457</v>
      </c>
      <c r="E3801" s="0" t="s">
        <v>4963</v>
      </c>
      <c r="F3801" s="0" t="s">
        <v>59</v>
      </c>
      <c r="G3801" s="0" t="s">
        <v>4974</v>
      </c>
      <c r="H3801" s="0" t="s">
        <v>69</v>
      </c>
      <c r="I3801" s="0" t="s">
        <v>4975</v>
      </c>
      <c r="J3801" s="20" t="s">
        <v>25</v>
      </c>
    </row>
    <row r="3802" customFormat="false" ht="15" hidden="false" customHeight="false" outlineLevel="0" collapsed="false">
      <c r="A3802" s="0" t="s">
        <v>3087</v>
      </c>
      <c r="B3802" s="0" t="s">
        <v>134</v>
      </c>
      <c r="C3802" s="0" t="s">
        <v>3450</v>
      </c>
      <c r="D3802" s="0" t="s">
        <v>3448</v>
      </c>
      <c r="E3802" s="0" t="s">
        <v>4963</v>
      </c>
      <c r="F3802" s="0" t="s">
        <v>59</v>
      </c>
      <c r="G3802" s="0" t="s">
        <v>4974</v>
      </c>
      <c r="H3802" s="0" t="s">
        <v>69</v>
      </c>
      <c r="I3802" s="0" t="s">
        <v>4975</v>
      </c>
      <c r="J3802" s="20" t="s">
        <v>25</v>
      </c>
    </row>
    <row r="3803" customFormat="false" ht="15" hidden="false" customHeight="false" outlineLevel="0" collapsed="false">
      <c r="A3803" s="0" t="s">
        <v>3087</v>
      </c>
      <c r="B3803" s="0" t="s">
        <v>134</v>
      </c>
      <c r="C3803" s="0" t="s">
        <v>3450</v>
      </c>
      <c r="D3803" s="0" t="s">
        <v>3457</v>
      </c>
      <c r="E3803" s="0" t="s">
        <v>4963</v>
      </c>
      <c r="F3803" s="0" t="s">
        <v>30</v>
      </c>
      <c r="G3803" s="0" t="s">
        <v>4980</v>
      </c>
      <c r="H3803" s="0" t="s">
        <v>4275</v>
      </c>
      <c r="I3803" s="0" t="s">
        <v>4981</v>
      </c>
      <c r="J3803" s="18" t="s">
        <v>24</v>
      </c>
    </row>
    <row r="3804" customFormat="false" ht="15" hidden="false" customHeight="false" outlineLevel="0" collapsed="false">
      <c r="A3804" s="0" t="s">
        <v>3087</v>
      </c>
      <c r="B3804" s="0" t="s">
        <v>134</v>
      </c>
      <c r="C3804" s="0" t="s">
        <v>3450</v>
      </c>
      <c r="D3804" s="0" t="s">
        <v>3448</v>
      </c>
      <c r="E3804" s="0" t="s">
        <v>4963</v>
      </c>
      <c r="F3804" s="0" t="s">
        <v>30</v>
      </c>
      <c r="G3804" s="0" t="s">
        <v>4980</v>
      </c>
      <c r="H3804" s="0" t="s">
        <v>4265</v>
      </c>
      <c r="I3804" s="0" t="s">
        <v>4981</v>
      </c>
      <c r="J3804" s="18" t="s">
        <v>24</v>
      </c>
    </row>
    <row r="3805" customFormat="false" ht="15" hidden="false" customHeight="false" outlineLevel="0" collapsed="false">
      <c r="A3805" s="0" t="s">
        <v>3087</v>
      </c>
      <c r="B3805" s="0" t="s">
        <v>134</v>
      </c>
      <c r="C3805" s="0" t="s">
        <v>3447</v>
      </c>
      <c r="D3805" s="0" t="s">
        <v>3457</v>
      </c>
      <c r="E3805" s="0" t="s">
        <v>4963</v>
      </c>
      <c r="F3805" s="0" t="s">
        <v>30</v>
      </c>
      <c r="G3805" s="0" t="s">
        <v>4980</v>
      </c>
      <c r="H3805" s="0" t="s">
        <v>4705</v>
      </c>
      <c r="I3805" s="0" t="s">
        <v>4981</v>
      </c>
      <c r="J3805" s="18" t="s">
        <v>24</v>
      </c>
    </row>
    <row r="3806" customFormat="false" ht="15" hidden="false" customHeight="false" outlineLevel="0" collapsed="false">
      <c r="A3806" s="0" t="s">
        <v>3087</v>
      </c>
      <c r="B3806" s="0" t="s">
        <v>134</v>
      </c>
      <c r="C3806" s="0" t="s">
        <v>3447</v>
      </c>
      <c r="D3806" s="0" t="s">
        <v>3448</v>
      </c>
      <c r="E3806" s="0" t="s">
        <v>4963</v>
      </c>
      <c r="F3806" s="0" t="s">
        <v>30</v>
      </c>
      <c r="G3806" s="0" t="s">
        <v>4980</v>
      </c>
      <c r="H3806" s="0" t="s">
        <v>4251</v>
      </c>
      <c r="I3806" s="0" t="s">
        <v>4981</v>
      </c>
      <c r="J3806" s="18" t="s">
        <v>24</v>
      </c>
    </row>
    <row r="3807" customFormat="false" ht="15" hidden="false" customHeight="false" outlineLevel="0" collapsed="false">
      <c r="A3807" s="0" t="s">
        <v>3100</v>
      </c>
      <c r="B3807" s="0" t="s">
        <v>134</v>
      </c>
      <c r="C3807" s="0" t="s">
        <v>3447</v>
      </c>
      <c r="D3807" s="0" t="s">
        <v>3457</v>
      </c>
      <c r="E3807" s="0" t="s">
        <v>4963</v>
      </c>
      <c r="F3807" s="0" t="s">
        <v>60</v>
      </c>
      <c r="G3807" s="0" t="s">
        <v>4964</v>
      </c>
      <c r="H3807" s="0" t="s">
        <v>5328</v>
      </c>
      <c r="I3807" s="0" t="s">
        <v>4966</v>
      </c>
      <c r="J3807" s="19" t="s">
        <v>26</v>
      </c>
    </row>
    <row r="3808" customFormat="false" ht="15" hidden="false" customHeight="false" outlineLevel="0" collapsed="false">
      <c r="A3808" s="0" t="s">
        <v>3100</v>
      </c>
      <c r="B3808" s="0" t="s">
        <v>134</v>
      </c>
      <c r="C3808" s="0" t="s">
        <v>3447</v>
      </c>
      <c r="D3808" s="0" t="s">
        <v>3448</v>
      </c>
      <c r="E3808" s="0" t="s">
        <v>4963</v>
      </c>
      <c r="F3808" s="0" t="s">
        <v>60</v>
      </c>
      <c r="G3808" s="0" t="s">
        <v>4964</v>
      </c>
      <c r="H3808" s="0" t="s">
        <v>6236</v>
      </c>
      <c r="I3808" s="0" t="s">
        <v>4966</v>
      </c>
      <c r="J3808" s="19" t="s">
        <v>26</v>
      </c>
    </row>
    <row r="3809" customFormat="false" ht="15" hidden="false" customHeight="false" outlineLevel="0" collapsed="false">
      <c r="A3809" s="0" t="s">
        <v>3100</v>
      </c>
      <c r="B3809" s="0" t="s">
        <v>3459</v>
      </c>
      <c r="C3809" s="0" t="s">
        <v>3447</v>
      </c>
      <c r="D3809" s="0" t="s">
        <v>3448</v>
      </c>
      <c r="E3809" s="0" t="s">
        <v>4963</v>
      </c>
      <c r="F3809" s="0" t="s">
        <v>60</v>
      </c>
      <c r="G3809" s="0" t="s">
        <v>4964</v>
      </c>
      <c r="H3809" s="0" t="s">
        <v>6237</v>
      </c>
      <c r="I3809" s="0" t="s">
        <v>4966</v>
      </c>
      <c r="J3809" s="19" t="s">
        <v>26</v>
      </c>
    </row>
    <row r="3810" customFormat="false" ht="15" hidden="false" customHeight="false" outlineLevel="0" collapsed="false">
      <c r="A3810" s="0" t="s">
        <v>3100</v>
      </c>
      <c r="B3810" s="0" t="s">
        <v>134</v>
      </c>
      <c r="C3810" s="0" t="s">
        <v>3450</v>
      </c>
      <c r="D3810" s="0" t="s">
        <v>3457</v>
      </c>
      <c r="E3810" s="0" t="s">
        <v>4963</v>
      </c>
      <c r="F3810" s="0" t="s">
        <v>59</v>
      </c>
      <c r="G3810" s="0" t="s">
        <v>4974</v>
      </c>
      <c r="H3810" s="0" t="s">
        <v>69</v>
      </c>
      <c r="I3810" s="0" t="s">
        <v>4975</v>
      </c>
      <c r="J3810" s="20" t="s">
        <v>25</v>
      </c>
    </row>
    <row r="3811" customFormat="false" ht="15" hidden="false" customHeight="false" outlineLevel="0" collapsed="false">
      <c r="A3811" s="0" t="s">
        <v>3100</v>
      </c>
      <c r="B3811" s="0" t="s">
        <v>134</v>
      </c>
      <c r="C3811" s="0" t="s">
        <v>3450</v>
      </c>
      <c r="D3811" s="0" t="s">
        <v>3448</v>
      </c>
      <c r="E3811" s="0" t="s">
        <v>4963</v>
      </c>
      <c r="F3811" s="0" t="s">
        <v>59</v>
      </c>
      <c r="G3811" s="0" t="s">
        <v>4974</v>
      </c>
      <c r="H3811" s="0" t="s">
        <v>69</v>
      </c>
      <c r="I3811" s="0" t="s">
        <v>4975</v>
      </c>
      <c r="J3811" s="20" t="s">
        <v>25</v>
      </c>
    </row>
    <row r="3812" customFormat="false" ht="15" hidden="false" customHeight="false" outlineLevel="0" collapsed="false">
      <c r="A3812" s="0" t="s">
        <v>3100</v>
      </c>
      <c r="B3812" s="0" t="s">
        <v>134</v>
      </c>
      <c r="C3812" s="0" t="s">
        <v>3447</v>
      </c>
      <c r="D3812" s="0" t="s">
        <v>3457</v>
      </c>
      <c r="E3812" s="0" t="s">
        <v>4963</v>
      </c>
      <c r="F3812" s="0" t="s">
        <v>59</v>
      </c>
      <c r="G3812" s="0" t="s">
        <v>4974</v>
      </c>
      <c r="H3812" s="0" t="s">
        <v>69</v>
      </c>
      <c r="I3812" s="0" t="s">
        <v>4975</v>
      </c>
      <c r="J3812" s="20" t="s">
        <v>25</v>
      </c>
    </row>
    <row r="3813" customFormat="false" ht="15" hidden="false" customHeight="false" outlineLevel="0" collapsed="false">
      <c r="A3813" s="0" t="s">
        <v>3100</v>
      </c>
      <c r="B3813" s="0" t="s">
        <v>3459</v>
      </c>
      <c r="C3813" s="0" t="s">
        <v>3447</v>
      </c>
      <c r="D3813" s="0" t="s">
        <v>3457</v>
      </c>
      <c r="E3813" s="0" t="s">
        <v>4963</v>
      </c>
      <c r="F3813" s="0" t="s">
        <v>59</v>
      </c>
      <c r="G3813" s="0" t="s">
        <v>4974</v>
      </c>
      <c r="H3813" s="0" t="s">
        <v>69</v>
      </c>
      <c r="I3813" s="0" t="s">
        <v>4975</v>
      </c>
      <c r="J3813" s="20" t="s">
        <v>25</v>
      </c>
    </row>
    <row r="3814" customFormat="false" ht="15" hidden="false" customHeight="false" outlineLevel="0" collapsed="false">
      <c r="A3814" s="0" t="s">
        <v>3100</v>
      </c>
      <c r="B3814" s="0" t="s">
        <v>3459</v>
      </c>
      <c r="C3814" s="0" t="s">
        <v>3447</v>
      </c>
      <c r="D3814" s="0" t="s">
        <v>3448</v>
      </c>
      <c r="E3814" s="0" t="s">
        <v>4963</v>
      </c>
      <c r="F3814" s="0" t="s">
        <v>59</v>
      </c>
      <c r="G3814" s="0" t="s">
        <v>4974</v>
      </c>
      <c r="H3814" s="0" t="s">
        <v>69</v>
      </c>
      <c r="I3814" s="0" t="s">
        <v>4975</v>
      </c>
      <c r="J3814" s="20" t="s">
        <v>25</v>
      </c>
    </row>
    <row r="3815" customFormat="false" ht="15" hidden="false" customHeight="false" outlineLevel="0" collapsed="false">
      <c r="A3815" s="0" t="s">
        <v>3100</v>
      </c>
      <c r="B3815" s="0" t="s">
        <v>134</v>
      </c>
      <c r="C3815" s="0" t="s">
        <v>3450</v>
      </c>
      <c r="D3815" s="0" t="s">
        <v>3457</v>
      </c>
      <c r="E3815" s="0" t="s">
        <v>4963</v>
      </c>
      <c r="F3815" s="0" t="s">
        <v>30</v>
      </c>
      <c r="G3815" s="0" t="s">
        <v>4980</v>
      </c>
      <c r="H3815" s="0" t="s">
        <v>4238</v>
      </c>
      <c r="I3815" s="0" t="s">
        <v>4981</v>
      </c>
      <c r="J3815" s="18" t="s">
        <v>24</v>
      </c>
    </row>
    <row r="3816" customFormat="false" ht="15" hidden="false" customHeight="false" outlineLevel="0" collapsed="false">
      <c r="A3816" s="0" t="s">
        <v>3100</v>
      </c>
      <c r="B3816" s="0" t="s">
        <v>134</v>
      </c>
      <c r="C3816" s="0" t="s">
        <v>3450</v>
      </c>
      <c r="D3816" s="0" t="s">
        <v>3448</v>
      </c>
      <c r="E3816" s="0" t="s">
        <v>4963</v>
      </c>
      <c r="F3816" s="0" t="s">
        <v>30</v>
      </c>
      <c r="G3816" s="0" t="s">
        <v>4980</v>
      </c>
      <c r="H3816" s="0" t="s">
        <v>4242</v>
      </c>
      <c r="I3816" s="0" t="s">
        <v>4981</v>
      </c>
      <c r="J3816" s="18" t="s">
        <v>24</v>
      </c>
    </row>
    <row r="3817" customFormat="false" ht="15" hidden="false" customHeight="false" outlineLevel="0" collapsed="false">
      <c r="A3817" s="0" t="s">
        <v>3100</v>
      </c>
      <c r="B3817" s="0" t="s">
        <v>3459</v>
      </c>
      <c r="C3817" s="0" t="s">
        <v>3447</v>
      </c>
      <c r="D3817" s="0" t="s">
        <v>3457</v>
      </c>
      <c r="E3817" s="0" t="s">
        <v>4963</v>
      </c>
      <c r="F3817" s="0" t="s">
        <v>30</v>
      </c>
      <c r="G3817" s="0" t="s">
        <v>4980</v>
      </c>
      <c r="H3817" s="0" t="s">
        <v>4754</v>
      </c>
      <c r="I3817" s="0" t="s">
        <v>4981</v>
      </c>
      <c r="J3817" s="18" t="s">
        <v>24</v>
      </c>
    </row>
    <row r="3818" customFormat="false" ht="15" hidden="false" customHeight="false" outlineLevel="0" collapsed="false">
      <c r="A3818" s="0" t="s">
        <v>3105</v>
      </c>
      <c r="B3818" s="0" t="s">
        <v>134</v>
      </c>
      <c r="C3818" s="0" t="s">
        <v>3450</v>
      </c>
      <c r="D3818" s="0" t="s">
        <v>3457</v>
      </c>
      <c r="E3818" s="0" t="s">
        <v>4963</v>
      </c>
      <c r="F3818" s="0" t="s">
        <v>60</v>
      </c>
      <c r="G3818" s="0" t="s">
        <v>4964</v>
      </c>
      <c r="H3818" s="0" t="s">
        <v>5204</v>
      </c>
      <c r="I3818" s="0" t="s">
        <v>4966</v>
      </c>
      <c r="J3818" s="19" t="s">
        <v>26</v>
      </c>
    </row>
    <row r="3819" customFormat="false" ht="15" hidden="false" customHeight="false" outlineLevel="0" collapsed="false">
      <c r="A3819" s="0" t="s">
        <v>3105</v>
      </c>
      <c r="B3819" s="0" t="s">
        <v>134</v>
      </c>
      <c r="C3819" s="0" t="s">
        <v>3450</v>
      </c>
      <c r="D3819" s="0" t="s">
        <v>3457</v>
      </c>
      <c r="E3819" s="0" t="s">
        <v>4963</v>
      </c>
      <c r="F3819" s="0" t="s">
        <v>59</v>
      </c>
      <c r="G3819" s="0" t="s">
        <v>4974</v>
      </c>
      <c r="H3819" s="0" t="s">
        <v>69</v>
      </c>
      <c r="I3819" s="0" t="s">
        <v>4975</v>
      </c>
      <c r="J3819" s="20" t="s">
        <v>25</v>
      </c>
    </row>
    <row r="3820" customFormat="false" ht="15" hidden="false" customHeight="false" outlineLevel="0" collapsed="false">
      <c r="A3820" s="0" t="s">
        <v>3105</v>
      </c>
      <c r="B3820" s="0" t="s">
        <v>134</v>
      </c>
      <c r="C3820" s="0" t="s">
        <v>3450</v>
      </c>
      <c r="D3820" s="0" t="s">
        <v>3457</v>
      </c>
      <c r="E3820" s="0" t="s">
        <v>4969</v>
      </c>
      <c r="F3820" s="0" t="s">
        <v>61</v>
      </c>
      <c r="G3820" s="0" t="s">
        <v>4970</v>
      </c>
      <c r="H3820" s="0" t="s">
        <v>6238</v>
      </c>
      <c r="I3820" s="0" t="s">
        <v>4972</v>
      </c>
      <c r="J3820" s="20" t="s">
        <v>25</v>
      </c>
    </row>
    <row r="3821" customFormat="false" ht="15" hidden="false" customHeight="false" outlineLevel="0" collapsed="false">
      <c r="A3821" s="0" t="s">
        <v>3105</v>
      </c>
      <c r="B3821" s="0" t="s">
        <v>134</v>
      </c>
      <c r="C3821" s="0" t="s">
        <v>3450</v>
      </c>
      <c r="D3821" s="0" t="s">
        <v>3448</v>
      </c>
      <c r="E3821" s="0" t="s">
        <v>4963</v>
      </c>
      <c r="F3821" s="0" t="s">
        <v>59</v>
      </c>
      <c r="G3821" s="0" t="s">
        <v>4974</v>
      </c>
      <c r="H3821" s="0" t="s">
        <v>69</v>
      </c>
      <c r="I3821" s="0" t="s">
        <v>4975</v>
      </c>
      <c r="J3821" s="20" t="s">
        <v>25</v>
      </c>
    </row>
    <row r="3822" customFormat="false" ht="15" hidden="false" customHeight="false" outlineLevel="0" collapsed="false">
      <c r="A3822" s="0" t="s">
        <v>3105</v>
      </c>
      <c r="B3822" s="0" t="s">
        <v>134</v>
      </c>
      <c r="C3822" s="0" t="s">
        <v>3450</v>
      </c>
      <c r="D3822" s="0" t="s">
        <v>3448</v>
      </c>
      <c r="E3822" s="0" t="s">
        <v>4969</v>
      </c>
      <c r="F3822" s="0" t="s">
        <v>61</v>
      </c>
      <c r="G3822" s="0" t="s">
        <v>4970</v>
      </c>
      <c r="H3822" s="0" t="s">
        <v>6239</v>
      </c>
      <c r="I3822" s="0" t="s">
        <v>4972</v>
      </c>
      <c r="J3822" s="20" t="s">
        <v>25</v>
      </c>
    </row>
    <row r="3823" customFormat="false" ht="15" hidden="false" customHeight="false" outlineLevel="0" collapsed="false">
      <c r="A3823" s="0" t="s">
        <v>3105</v>
      </c>
      <c r="B3823" s="0" t="s">
        <v>134</v>
      </c>
      <c r="C3823" s="0" t="s">
        <v>3447</v>
      </c>
      <c r="D3823" s="0" t="s">
        <v>3457</v>
      </c>
      <c r="E3823" s="0" t="s">
        <v>4969</v>
      </c>
      <c r="F3823" s="0" t="s">
        <v>61</v>
      </c>
      <c r="G3823" s="0" t="s">
        <v>4970</v>
      </c>
      <c r="H3823" s="0" t="s">
        <v>6240</v>
      </c>
      <c r="I3823" s="0" t="s">
        <v>4972</v>
      </c>
      <c r="J3823" s="20" t="s">
        <v>25</v>
      </c>
    </row>
    <row r="3824" customFormat="false" ht="15" hidden="false" customHeight="false" outlineLevel="0" collapsed="false">
      <c r="A3824" s="0" t="s">
        <v>3105</v>
      </c>
      <c r="B3824" s="0" t="s">
        <v>134</v>
      </c>
      <c r="C3824" s="0" t="s">
        <v>3447</v>
      </c>
      <c r="D3824" s="0" t="s">
        <v>3448</v>
      </c>
      <c r="E3824" s="0" t="s">
        <v>4969</v>
      </c>
      <c r="F3824" s="0" t="s">
        <v>61</v>
      </c>
      <c r="G3824" s="0" t="s">
        <v>4970</v>
      </c>
      <c r="H3824" s="0" t="s">
        <v>6241</v>
      </c>
      <c r="I3824" s="0" t="s">
        <v>4972</v>
      </c>
      <c r="J3824" s="20" t="s">
        <v>25</v>
      </c>
    </row>
    <row r="3825" customFormat="false" ht="15" hidden="false" customHeight="false" outlineLevel="0" collapsed="false">
      <c r="A3825" s="0" t="s">
        <v>3105</v>
      </c>
      <c r="B3825" s="0" t="s">
        <v>134</v>
      </c>
      <c r="C3825" s="0" t="s">
        <v>3450</v>
      </c>
      <c r="D3825" s="0" t="s">
        <v>3448</v>
      </c>
      <c r="E3825" s="0" t="s">
        <v>4963</v>
      </c>
      <c r="F3825" s="0" t="s">
        <v>30</v>
      </c>
      <c r="G3825" s="0" t="s">
        <v>4980</v>
      </c>
      <c r="H3825" s="0" t="s">
        <v>4242</v>
      </c>
      <c r="I3825" s="0" t="s">
        <v>4981</v>
      </c>
      <c r="J3825" s="18" t="s">
        <v>24</v>
      </c>
    </row>
    <row r="3826" customFormat="false" ht="15" hidden="false" customHeight="false" outlineLevel="0" collapsed="false">
      <c r="A3826" s="0" t="s">
        <v>3105</v>
      </c>
      <c r="B3826" s="0" t="s">
        <v>134</v>
      </c>
      <c r="C3826" s="0" t="s">
        <v>3447</v>
      </c>
      <c r="D3826" s="0" t="s">
        <v>3457</v>
      </c>
      <c r="E3826" s="0" t="s">
        <v>4963</v>
      </c>
      <c r="F3826" s="0" t="s">
        <v>30</v>
      </c>
      <c r="G3826" s="0" t="s">
        <v>4980</v>
      </c>
      <c r="H3826" s="0" t="s">
        <v>4228</v>
      </c>
      <c r="I3826" s="0" t="s">
        <v>4981</v>
      </c>
      <c r="J3826" s="18" t="s">
        <v>24</v>
      </c>
    </row>
    <row r="3827" customFormat="false" ht="15" hidden="false" customHeight="false" outlineLevel="0" collapsed="false">
      <c r="A3827" s="0" t="s">
        <v>3105</v>
      </c>
      <c r="B3827" s="0" t="s">
        <v>134</v>
      </c>
      <c r="C3827" s="0" t="s">
        <v>3447</v>
      </c>
      <c r="D3827" s="0" t="s">
        <v>3448</v>
      </c>
      <c r="E3827" s="0" t="s">
        <v>4963</v>
      </c>
      <c r="F3827" s="0" t="s">
        <v>30</v>
      </c>
      <c r="G3827" s="0" t="s">
        <v>4980</v>
      </c>
      <c r="H3827" s="0" t="s">
        <v>4457</v>
      </c>
      <c r="I3827" s="0" t="s">
        <v>4981</v>
      </c>
      <c r="J3827" s="18" t="s">
        <v>24</v>
      </c>
    </row>
    <row r="3828" customFormat="false" ht="15" hidden="false" customHeight="false" outlineLevel="0" collapsed="false">
      <c r="A3828" s="0" t="s">
        <v>3111</v>
      </c>
      <c r="B3828" s="0" t="s">
        <v>134</v>
      </c>
      <c r="C3828" s="0" t="s">
        <v>3450</v>
      </c>
      <c r="D3828" s="0" t="s">
        <v>3457</v>
      </c>
      <c r="E3828" s="0" t="s">
        <v>4969</v>
      </c>
      <c r="F3828" s="0" t="s">
        <v>62</v>
      </c>
      <c r="G3828" s="0" t="s">
        <v>5003</v>
      </c>
      <c r="H3828" s="0" t="s">
        <v>6242</v>
      </c>
      <c r="I3828" s="0" t="s">
        <v>5005</v>
      </c>
      <c r="J3828" s="20" t="s">
        <v>25</v>
      </c>
    </row>
    <row r="3829" customFormat="false" ht="15" hidden="false" customHeight="false" outlineLevel="0" collapsed="false">
      <c r="A3829" s="0" t="s">
        <v>3111</v>
      </c>
      <c r="B3829" s="0" t="s">
        <v>3459</v>
      </c>
      <c r="C3829" s="0" t="s">
        <v>3450</v>
      </c>
      <c r="D3829" s="0" t="s">
        <v>3457</v>
      </c>
      <c r="E3829" s="0" t="s">
        <v>4969</v>
      </c>
      <c r="F3829" s="0" t="s">
        <v>61</v>
      </c>
      <c r="G3829" s="0" t="s">
        <v>4970</v>
      </c>
      <c r="H3829" s="0" t="s">
        <v>6243</v>
      </c>
      <c r="I3829" s="0" t="s">
        <v>4972</v>
      </c>
      <c r="J3829" s="20" t="s">
        <v>25</v>
      </c>
    </row>
    <row r="3830" customFormat="false" ht="15" hidden="false" customHeight="false" outlineLevel="0" collapsed="false">
      <c r="A3830" s="0" t="s">
        <v>3111</v>
      </c>
      <c r="B3830" s="0" t="s">
        <v>3459</v>
      </c>
      <c r="C3830" s="0" t="s">
        <v>3447</v>
      </c>
      <c r="D3830" s="0" t="s">
        <v>3457</v>
      </c>
      <c r="E3830" s="0" t="s">
        <v>4969</v>
      </c>
      <c r="F3830" s="0" t="s">
        <v>61</v>
      </c>
      <c r="G3830" s="0" t="s">
        <v>4970</v>
      </c>
      <c r="H3830" s="0" t="s">
        <v>6244</v>
      </c>
      <c r="I3830" s="0" t="s">
        <v>4972</v>
      </c>
      <c r="J3830" s="20" t="s">
        <v>25</v>
      </c>
    </row>
    <row r="3831" customFormat="false" ht="15" hidden="false" customHeight="false" outlineLevel="0" collapsed="false">
      <c r="A3831" s="0" t="s">
        <v>3117</v>
      </c>
      <c r="B3831" s="0" t="s">
        <v>134</v>
      </c>
      <c r="C3831" s="0" t="s">
        <v>3450</v>
      </c>
      <c r="D3831" s="0" t="s">
        <v>3457</v>
      </c>
      <c r="E3831" s="0" t="s">
        <v>4963</v>
      </c>
      <c r="F3831" s="0" t="s">
        <v>60</v>
      </c>
      <c r="G3831" s="0" t="s">
        <v>4964</v>
      </c>
      <c r="H3831" s="0" t="s">
        <v>6245</v>
      </c>
      <c r="I3831" s="0" t="s">
        <v>4966</v>
      </c>
      <c r="J3831" s="19" t="s">
        <v>26</v>
      </c>
    </row>
    <row r="3832" customFormat="false" ht="15" hidden="false" customHeight="false" outlineLevel="0" collapsed="false">
      <c r="A3832" s="0" t="s">
        <v>3117</v>
      </c>
      <c r="B3832" s="0" t="s">
        <v>134</v>
      </c>
      <c r="C3832" s="0" t="s">
        <v>3447</v>
      </c>
      <c r="D3832" s="0" t="s">
        <v>3457</v>
      </c>
      <c r="E3832" s="0" t="s">
        <v>4963</v>
      </c>
      <c r="F3832" s="0" t="s">
        <v>60</v>
      </c>
      <c r="G3832" s="0" t="s">
        <v>4964</v>
      </c>
      <c r="H3832" s="0" t="s">
        <v>5122</v>
      </c>
      <c r="I3832" s="0" t="s">
        <v>4966</v>
      </c>
      <c r="J3832" s="19" t="s">
        <v>26</v>
      </c>
    </row>
    <row r="3833" customFormat="false" ht="15" hidden="false" customHeight="false" outlineLevel="0" collapsed="false">
      <c r="A3833" s="0" t="s">
        <v>3117</v>
      </c>
      <c r="B3833" s="0" t="s">
        <v>134</v>
      </c>
      <c r="C3833" s="0" t="s">
        <v>3447</v>
      </c>
      <c r="D3833" s="0" t="s">
        <v>3448</v>
      </c>
      <c r="E3833" s="0" t="s">
        <v>4963</v>
      </c>
      <c r="F3833" s="0" t="s">
        <v>60</v>
      </c>
      <c r="G3833" s="0" t="s">
        <v>4964</v>
      </c>
      <c r="H3833" s="0" t="s">
        <v>6246</v>
      </c>
      <c r="I3833" s="0" t="s">
        <v>4966</v>
      </c>
      <c r="J3833" s="19" t="s">
        <v>26</v>
      </c>
    </row>
    <row r="3834" customFormat="false" ht="15" hidden="false" customHeight="false" outlineLevel="0" collapsed="false">
      <c r="A3834" s="0" t="s">
        <v>3117</v>
      </c>
      <c r="B3834" s="0" t="s">
        <v>3459</v>
      </c>
      <c r="C3834" s="0" t="s">
        <v>3447</v>
      </c>
      <c r="D3834" s="0" t="s">
        <v>3457</v>
      </c>
      <c r="E3834" s="0" t="s">
        <v>4963</v>
      </c>
      <c r="F3834" s="0" t="s">
        <v>60</v>
      </c>
      <c r="G3834" s="0" t="s">
        <v>4964</v>
      </c>
      <c r="H3834" s="0" t="s">
        <v>6247</v>
      </c>
      <c r="I3834" s="0" t="s">
        <v>4966</v>
      </c>
      <c r="J3834" s="19" t="s">
        <v>26</v>
      </c>
    </row>
    <row r="3835" customFormat="false" ht="15" hidden="false" customHeight="false" outlineLevel="0" collapsed="false">
      <c r="A3835" s="0" t="s">
        <v>3117</v>
      </c>
      <c r="B3835" s="0" t="s">
        <v>134</v>
      </c>
      <c r="C3835" s="0" t="s">
        <v>3450</v>
      </c>
      <c r="D3835" s="0" t="s">
        <v>3457</v>
      </c>
      <c r="E3835" s="0" t="s">
        <v>4963</v>
      </c>
      <c r="F3835" s="0" t="s">
        <v>59</v>
      </c>
      <c r="G3835" s="0" t="s">
        <v>4974</v>
      </c>
      <c r="H3835" s="0" t="s">
        <v>69</v>
      </c>
      <c r="I3835" s="0" t="s">
        <v>4975</v>
      </c>
      <c r="J3835" s="20" t="s">
        <v>25</v>
      </c>
    </row>
    <row r="3836" customFormat="false" ht="15" hidden="false" customHeight="false" outlineLevel="0" collapsed="false">
      <c r="A3836" s="0" t="s">
        <v>3117</v>
      </c>
      <c r="B3836" s="0" t="s">
        <v>134</v>
      </c>
      <c r="C3836" s="0" t="s">
        <v>3450</v>
      </c>
      <c r="D3836" s="0" t="s">
        <v>3457</v>
      </c>
      <c r="E3836" s="0" t="s">
        <v>4969</v>
      </c>
      <c r="F3836" s="0" t="s">
        <v>64</v>
      </c>
      <c r="G3836" s="0" t="s">
        <v>4220</v>
      </c>
      <c r="H3836" s="0" t="s">
        <v>6248</v>
      </c>
      <c r="I3836" s="0" t="s">
        <v>4991</v>
      </c>
      <c r="J3836" s="20" t="s">
        <v>25</v>
      </c>
    </row>
    <row r="3837" customFormat="false" ht="15" hidden="false" customHeight="false" outlineLevel="0" collapsed="false">
      <c r="A3837" s="0" t="s">
        <v>3117</v>
      </c>
      <c r="B3837" s="0" t="s">
        <v>134</v>
      </c>
      <c r="C3837" s="0" t="s">
        <v>3450</v>
      </c>
      <c r="D3837" s="0" t="s">
        <v>3448</v>
      </c>
      <c r="E3837" s="0" t="s">
        <v>4963</v>
      </c>
      <c r="F3837" s="0" t="s">
        <v>59</v>
      </c>
      <c r="G3837" s="0" t="s">
        <v>4974</v>
      </c>
      <c r="H3837" s="0" t="s">
        <v>69</v>
      </c>
      <c r="I3837" s="0" t="s">
        <v>4975</v>
      </c>
      <c r="J3837" s="20" t="s">
        <v>25</v>
      </c>
    </row>
    <row r="3838" customFormat="false" ht="15" hidden="false" customHeight="false" outlineLevel="0" collapsed="false">
      <c r="A3838" s="0" t="s">
        <v>3117</v>
      </c>
      <c r="B3838" s="0" t="s">
        <v>134</v>
      </c>
      <c r="C3838" s="0" t="s">
        <v>3450</v>
      </c>
      <c r="D3838" s="0" t="s">
        <v>3448</v>
      </c>
      <c r="E3838" s="0" t="s">
        <v>4969</v>
      </c>
      <c r="F3838" s="0" t="s">
        <v>62</v>
      </c>
      <c r="G3838" s="0" t="s">
        <v>5003</v>
      </c>
      <c r="H3838" s="0" t="s">
        <v>6249</v>
      </c>
      <c r="I3838" s="0" t="s">
        <v>5005</v>
      </c>
      <c r="J3838" s="20" t="s">
        <v>25</v>
      </c>
    </row>
    <row r="3839" customFormat="false" ht="15" hidden="false" customHeight="false" outlineLevel="0" collapsed="false">
      <c r="A3839" s="0" t="s">
        <v>3117</v>
      </c>
      <c r="B3839" s="0" t="s">
        <v>134</v>
      </c>
      <c r="C3839" s="0" t="s">
        <v>3447</v>
      </c>
      <c r="D3839" s="0" t="s">
        <v>3457</v>
      </c>
      <c r="E3839" s="0" t="s">
        <v>4969</v>
      </c>
      <c r="F3839" s="0" t="s">
        <v>64</v>
      </c>
      <c r="G3839" s="0" t="s">
        <v>4220</v>
      </c>
      <c r="H3839" s="0" t="s">
        <v>6248</v>
      </c>
      <c r="I3839" s="0" t="s">
        <v>4991</v>
      </c>
      <c r="J3839" s="20" t="s">
        <v>25</v>
      </c>
    </row>
    <row r="3840" customFormat="false" ht="15" hidden="false" customHeight="false" outlineLevel="0" collapsed="false">
      <c r="A3840" s="0" t="s">
        <v>3117</v>
      </c>
      <c r="B3840" s="0" t="s">
        <v>3459</v>
      </c>
      <c r="C3840" s="0" t="s">
        <v>3450</v>
      </c>
      <c r="D3840" s="0" t="s">
        <v>3457</v>
      </c>
      <c r="E3840" s="0" t="s">
        <v>4963</v>
      </c>
      <c r="F3840" s="0" t="s">
        <v>59</v>
      </c>
      <c r="G3840" s="0" t="s">
        <v>4974</v>
      </c>
      <c r="H3840" s="0" t="s">
        <v>69</v>
      </c>
      <c r="I3840" s="0" t="s">
        <v>4975</v>
      </c>
      <c r="J3840" s="20" t="s">
        <v>25</v>
      </c>
    </row>
    <row r="3841" customFormat="false" ht="15" hidden="false" customHeight="false" outlineLevel="0" collapsed="false">
      <c r="A3841" s="0" t="s">
        <v>3117</v>
      </c>
      <c r="B3841" s="0" t="s">
        <v>3459</v>
      </c>
      <c r="C3841" s="0" t="s">
        <v>3450</v>
      </c>
      <c r="D3841" s="0" t="s">
        <v>3457</v>
      </c>
      <c r="E3841" s="0" t="s">
        <v>4969</v>
      </c>
      <c r="F3841" s="0" t="s">
        <v>61</v>
      </c>
      <c r="G3841" s="0" t="s">
        <v>4970</v>
      </c>
      <c r="H3841" s="0" t="s">
        <v>6250</v>
      </c>
      <c r="I3841" s="0" t="s">
        <v>4972</v>
      </c>
      <c r="J3841" s="20" t="s">
        <v>25</v>
      </c>
    </row>
    <row r="3842" customFormat="false" ht="15" hidden="false" customHeight="false" outlineLevel="0" collapsed="false">
      <c r="A3842" s="0" t="s">
        <v>3117</v>
      </c>
      <c r="B3842" s="0" t="s">
        <v>3459</v>
      </c>
      <c r="C3842" s="0" t="s">
        <v>3450</v>
      </c>
      <c r="D3842" s="0" t="s">
        <v>3457</v>
      </c>
      <c r="E3842" s="0" t="s">
        <v>4969</v>
      </c>
      <c r="F3842" s="0" t="s">
        <v>62</v>
      </c>
      <c r="G3842" s="0" t="s">
        <v>5003</v>
      </c>
      <c r="H3842" s="0" t="s">
        <v>6251</v>
      </c>
      <c r="I3842" s="0" t="s">
        <v>5005</v>
      </c>
      <c r="J3842" s="20" t="s">
        <v>25</v>
      </c>
    </row>
    <row r="3843" customFormat="false" ht="15" hidden="false" customHeight="false" outlineLevel="0" collapsed="false">
      <c r="A3843" s="0" t="s">
        <v>3117</v>
      </c>
      <c r="B3843" s="0" t="s">
        <v>3459</v>
      </c>
      <c r="C3843" s="0" t="s">
        <v>3450</v>
      </c>
      <c r="D3843" s="0" t="s">
        <v>3457</v>
      </c>
      <c r="E3843" s="0" t="s">
        <v>4969</v>
      </c>
      <c r="F3843" s="0" t="s">
        <v>64</v>
      </c>
      <c r="G3843" s="0" t="s">
        <v>4220</v>
      </c>
      <c r="H3843" s="0" t="s">
        <v>6252</v>
      </c>
      <c r="I3843" s="0" t="s">
        <v>4991</v>
      </c>
      <c r="J3843" s="20" t="s">
        <v>25</v>
      </c>
    </row>
    <row r="3844" customFormat="false" ht="15" hidden="false" customHeight="false" outlineLevel="0" collapsed="false">
      <c r="A3844" s="0" t="s">
        <v>3117</v>
      </c>
      <c r="B3844" s="0" t="s">
        <v>3459</v>
      </c>
      <c r="C3844" s="0" t="s">
        <v>3450</v>
      </c>
      <c r="D3844" s="0" t="s">
        <v>3448</v>
      </c>
      <c r="E3844" s="0" t="s">
        <v>4963</v>
      </c>
      <c r="F3844" s="0" t="s">
        <v>59</v>
      </c>
      <c r="G3844" s="0" t="s">
        <v>4974</v>
      </c>
      <c r="H3844" s="0" t="s">
        <v>69</v>
      </c>
      <c r="I3844" s="0" t="s">
        <v>4975</v>
      </c>
      <c r="J3844" s="20" t="s">
        <v>25</v>
      </c>
    </row>
    <row r="3845" customFormat="false" ht="15" hidden="false" customHeight="false" outlineLevel="0" collapsed="false">
      <c r="A3845" s="0" t="s">
        <v>3117</v>
      </c>
      <c r="B3845" s="0" t="s">
        <v>3459</v>
      </c>
      <c r="C3845" s="0" t="s">
        <v>3447</v>
      </c>
      <c r="D3845" s="0" t="s">
        <v>3457</v>
      </c>
      <c r="E3845" s="0" t="s">
        <v>4969</v>
      </c>
      <c r="F3845" s="0" t="s">
        <v>64</v>
      </c>
      <c r="G3845" s="0" t="s">
        <v>4220</v>
      </c>
      <c r="H3845" s="0" t="s">
        <v>6252</v>
      </c>
      <c r="I3845" s="0" t="s">
        <v>4991</v>
      </c>
      <c r="J3845" s="20" t="s">
        <v>25</v>
      </c>
    </row>
    <row r="3846" customFormat="false" ht="15" hidden="false" customHeight="false" outlineLevel="0" collapsed="false">
      <c r="A3846" s="0" t="s">
        <v>3117</v>
      </c>
      <c r="B3846" s="0" t="s">
        <v>134</v>
      </c>
      <c r="C3846" s="0" t="s">
        <v>3450</v>
      </c>
      <c r="D3846" s="0" t="s">
        <v>3448</v>
      </c>
      <c r="E3846" s="0" t="s">
        <v>4963</v>
      </c>
      <c r="F3846" s="0" t="s">
        <v>30</v>
      </c>
      <c r="G3846" s="0" t="s">
        <v>4980</v>
      </c>
      <c r="H3846" s="0" t="s">
        <v>4746</v>
      </c>
      <c r="I3846" s="0" t="s">
        <v>4981</v>
      </c>
      <c r="J3846" s="18" t="s">
        <v>24</v>
      </c>
    </row>
    <row r="3847" customFormat="false" ht="15" hidden="false" customHeight="false" outlineLevel="0" collapsed="false">
      <c r="A3847" s="0" t="s">
        <v>3117</v>
      </c>
      <c r="B3847" s="0" t="s">
        <v>3459</v>
      </c>
      <c r="C3847" s="0" t="s">
        <v>3450</v>
      </c>
      <c r="D3847" s="0" t="s">
        <v>3457</v>
      </c>
      <c r="E3847" s="0" t="s">
        <v>4963</v>
      </c>
      <c r="F3847" s="0" t="s">
        <v>30</v>
      </c>
      <c r="G3847" s="0" t="s">
        <v>4980</v>
      </c>
      <c r="H3847" s="0" t="s">
        <v>4327</v>
      </c>
      <c r="I3847" s="0" t="s">
        <v>4981</v>
      </c>
      <c r="J3847" s="18" t="s">
        <v>24</v>
      </c>
    </row>
    <row r="3848" customFormat="false" ht="15" hidden="false" customHeight="false" outlineLevel="0" collapsed="false">
      <c r="A3848" s="0" t="s">
        <v>3117</v>
      </c>
      <c r="B3848" s="0" t="s">
        <v>3459</v>
      </c>
      <c r="C3848" s="0" t="s">
        <v>3450</v>
      </c>
      <c r="D3848" s="0" t="s">
        <v>3448</v>
      </c>
      <c r="E3848" s="0" t="s">
        <v>4963</v>
      </c>
      <c r="F3848" s="0" t="s">
        <v>30</v>
      </c>
      <c r="G3848" s="0" t="s">
        <v>4980</v>
      </c>
      <c r="H3848" s="0" t="s">
        <v>4327</v>
      </c>
      <c r="I3848" s="0" t="s">
        <v>4981</v>
      </c>
      <c r="J3848" s="18" t="s">
        <v>24</v>
      </c>
    </row>
    <row r="3849" customFormat="false" ht="15" hidden="false" customHeight="false" outlineLevel="0" collapsed="false">
      <c r="A3849" s="0" t="s">
        <v>3117</v>
      </c>
      <c r="B3849" s="0" t="s">
        <v>3459</v>
      </c>
      <c r="C3849" s="0" t="s">
        <v>3447</v>
      </c>
      <c r="D3849" s="0" t="s">
        <v>3448</v>
      </c>
      <c r="E3849" s="0" t="s">
        <v>4963</v>
      </c>
      <c r="F3849" s="0" t="s">
        <v>30</v>
      </c>
      <c r="G3849" s="0" t="s">
        <v>4980</v>
      </c>
      <c r="H3849" s="0" t="s">
        <v>4916</v>
      </c>
      <c r="I3849" s="0" t="s">
        <v>4981</v>
      </c>
      <c r="J3849" s="18" t="s">
        <v>24</v>
      </c>
    </row>
    <row r="3850" customFormat="false" ht="15" hidden="false" customHeight="false" outlineLevel="0" collapsed="false">
      <c r="A3850" s="0" t="s">
        <v>3126</v>
      </c>
      <c r="B3850" s="0" t="s">
        <v>134</v>
      </c>
      <c r="C3850" s="0" t="s">
        <v>3450</v>
      </c>
      <c r="D3850" s="0" t="s">
        <v>3457</v>
      </c>
      <c r="E3850" s="0" t="s">
        <v>4963</v>
      </c>
      <c r="F3850" s="0" t="s">
        <v>59</v>
      </c>
      <c r="G3850" s="0" t="s">
        <v>4974</v>
      </c>
      <c r="H3850" s="0" t="s">
        <v>69</v>
      </c>
      <c r="I3850" s="0" t="s">
        <v>4975</v>
      </c>
      <c r="J3850" s="20" t="s">
        <v>25</v>
      </c>
    </row>
    <row r="3851" customFormat="false" ht="15" hidden="false" customHeight="false" outlineLevel="0" collapsed="false">
      <c r="A3851" s="0" t="s">
        <v>3126</v>
      </c>
      <c r="B3851" s="0" t="s">
        <v>134</v>
      </c>
      <c r="C3851" s="0" t="s">
        <v>3450</v>
      </c>
      <c r="D3851" s="0" t="s">
        <v>3448</v>
      </c>
      <c r="E3851" s="0" t="s">
        <v>4963</v>
      </c>
      <c r="F3851" s="0" t="s">
        <v>59</v>
      </c>
      <c r="G3851" s="0" t="s">
        <v>4974</v>
      </c>
      <c r="H3851" s="0" t="s">
        <v>69</v>
      </c>
      <c r="I3851" s="0" t="s">
        <v>4975</v>
      </c>
      <c r="J3851" s="20" t="s">
        <v>25</v>
      </c>
    </row>
    <row r="3852" customFormat="false" ht="15" hidden="false" customHeight="false" outlineLevel="0" collapsed="false">
      <c r="A3852" s="0" t="s">
        <v>3126</v>
      </c>
      <c r="B3852" s="0" t="s">
        <v>134</v>
      </c>
      <c r="C3852" s="0" t="s">
        <v>3450</v>
      </c>
      <c r="D3852" s="0" t="s">
        <v>3457</v>
      </c>
      <c r="E3852" s="0" t="s">
        <v>4963</v>
      </c>
      <c r="F3852" s="0" t="s">
        <v>30</v>
      </c>
      <c r="G3852" s="0" t="s">
        <v>4980</v>
      </c>
      <c r="H3852" s="0" t="s">
        <v>4327</v>
      </c>
      <c r="I3852" s="0" t="s">
        <v>4981</v>
      </c>
      <c r="J3852" s="18" t="s">
        <v>24</v>
      </c>
    </row>
    <row r="3853" customFormat="false" ht="15" hidden="false" customHeight="false" outlineLevel="0" collapsed="false">
      <c r="A3853" s="0" t="s">
        <v>3126</v>
      </c>
      <c r="B3853" s="0" t="s">
        <v>134</v>
      </c>
      <c r="C3853" s="0" t="s">
        <v>3450</v>
      </c>
      <c r="D3853" s="0" t="s">
        <v>3448</v>
      </c>
      <c r="E3853" s="0" t="s">
        <v>4963</v>
      </c>
      <c r="F3853" s="0" t="s">
        <v>30</v>
      </c>
      <c r="G3853" s="0" t="s">
        <v>4980</v>
      </c>
      <c r="H3853" s="0" t="s">
        <v>4242</v>
      </c>
      <c r="I3853" s="0" t="s">
        <v>4981</v>
      </c>
      <c r="J3853" s="18" t="s">
        <v>24</v>
      </c>
    </row>
    <row r="3854" customFormat="false" ht="15" hidden="false" customHeight="false" outlineLevel="0" collapsed="false">
      <c r="A3854" s="0" t="s">
        <v>3126</v>
      </c>
      <c r="B3854" s="0" t="s">
        <v>134</v>
      </c>
      <c r="C3854" s="0" t="s">
        <v>3447</v>
      </c>
      <c r="D3854" s="0" t="s">
        <v>3457</v>
      </c>
      <c r="E3854" s="0" t="s">
        <v>4963</v>
      </c>
      <c r="F3854" s="0" t="s">
        <v>30</v>
      </c>
      <c r="G3854" s="0" t="s">
        <v>4980</v>
      </c>
      <c r="H3854" s="0" t="s">
        <v>4917</v>
      </c>
      <c r="I3854" s="0" t="s">
        <v>4981</v>
      </c>
      <c r="J3854" s="18" t="s">
        <v>24</v>
      </c>
    </row>
    <row r="3855" customFormat="false" ht="15" hidden="false" customHeight="false" outlineLevel="0" collapsed="false">
      <c r="A3855" s="0" t="s">
        <v>3126</v>
      </c>
      <c r="B3855" s="0" t="s">
        <v>134</v>
      </c>
      <c r="C3855" s="0" t="s">
        <v>3447</v>
      </c>
      <c r="D3855" s="0" t="s">
        <v>3448</v>
      </c>
      <c r="E3855" s="0" t="s">
        <v>4963</v>
      </c>
      <c r="F3855" s="0" t="s">
        <v>30</v>
      </c>
      <c r="G3855" s="0" t="s">
        <v>4980</v>
      </c>
      <c r="H3855" s="0" t="s">
        <v>4918</v>
      </c>
      <c r="I3855" s="0" t="s">
        <v>4981</v>
      </c>
      <c r="J3855" s="18" t="s">
        <v>24</v>
      </c>
    </row>
    <row r="3856" customFormat="false" ht="15" hidden="false" customHeight="false" outlineLevel="0" collapsed="false">
      <c r="A3856" s="0" t="s">
        <v>3132</v>
      </c>
      <c r="B3856" s="0" t="s">
        <v>3459</v>
      </c>
      <c r="C3856" s="0" t="s">
        <v>3447</v>
      </c>
      <c r="D3856" s="0" t="s">
        <v>3448</v>
      </c>
      <c r="E3856" s="0" t="s">
        <v>4963</v>
      </c>
      <c r="F3856" s="0" t="s">
        <v>60</v>
      </c>
      <c r="G3856" s="0" t="s">
        <v>4964</v>
      </c>
      <c r="H3856" s="0" t="s">
        <v>6253</v>
      </c>
      <c r="I3856" s="0" t="s">
        <v>4966</v>
      </c>
      <c r="J3856" s="19" t="s">
        <v>26</v>
      </c>
    </row>
    <row r="3857" customFormat="false" ht="15" hidden="false" customHeight="false" outlineLevel="0" collapsed="false">
      <c r="A3857" s="0" t="s">
        <v>3132</v>
      </c>
      <c r="B3857" s="0" t="s">
        <v>134</v>
      </c>
      <c r="C3857" s="0" t="s">
        <v>3450</v>
      </c>
      <c r="D3857" s="0" t="s">
        <v>3457</v>
      </c>
      <c r="E3857" s="0" t="s">
        <v>4963</v>
      </c>
      <c r="F3857" s="0" t="s">
        <v>59</v>
      </c>
      <c r="G3857" s="0" t="s">
        <v>4974</v>
      </c>
      <c r="H3857" s="0" t="s">
        <v>69</v>
      </c>
      <c r="I3857" s="0" t="s">
        <v>4975</v>
      </c>
      <c r="J3857" s="20" t="s">
        <v>25</v>
      </c>
    </row>
    <row r="3858" customFormat="false" ht="15" hidden="false" customHeight="false" outlineLevel="0" collapsed="false">
      <c r="A3858" s="0" t="s">
        <v>3132</v>
      </c>
      <c r="B3858" s="0" t="s">
        <v>134</v>
      </c>
      <c r="C3858" s="0" t="s">
        <v>3450</v>
      </c>
      <c r="D3858" s="0" t="s">
        <v>3457</v>
      </c>
      <c r="E3858" s="0" t="s">
        <v>4969</v>
      </c>
      <c r="F3858" s="0" t="s">
        <v>61</v>
      </c>
      <c r="G3858" s="0" t="s">
        <v>4970</v>
      </c>
      <c r="H3858" s="0" t="s">
        <v>6254</v>
      </c>
      <c r="I3858" s="0" t="s">
        <v>4972</v>
      </c>
      <c r="J3858" s="20" t="s">
        <v>25</v>
      </c>
    </row>
    <row r="3859" customFormat="false" ht="15" hidden="false" customHeight="false" outlineLevel="0" collapsed="false">
      <c r="A3859" s="0" t="s">
        <v>3132</v>
      </c>
      <c r="B3859" s="0" t="s">
        <v>134</v>
      </c>
      <c r="C3859" s="0" t="s">
        <v>3450</v>
      </c>
      <c r="D3859" s="0" t="s">
        <v>3457</v>
      </c>
      <c r="E3859" s="0" t="s">
        <v>4969</v>
      </c>
      <c r="F3859" s="0" t="s">
        <v>62</v>
      </c>
      <c r="G3859" s="0" t="s">
        <v>5003</v>
      </c>
      <c r="H3859" s="0" t="s">
        <v>6255</v>
      </c>
      <c r="I3859" s="0" t="s">
        <v>5005</v>
      </c>
      <c r="J3859" s="20" t="s">
        <v>25</v>
      </c>
    </row>
    <row r="3860" customFormat="false" ht="15" hidden="false" customHeight="false" outlineLevel="0" collapsed="false">
      <c r="A3860" s="0" t="s">
        <v>3132</v>
      </c>
      <c r="B3860" s="0" t="s">
        <v>134</v>
      </c>
      <c r="C3860" s="0" t="s">
        <v>3450</v>
      </c>
      <c r="D3860" s="0" t="s">
        <v>3448</v>
      </c>
      <c r="E3860" s="0" t="s">
        <v>4963</v>
      </c>
      <c r="F3860" s="0" t="s">
        <v>59</v>
      </c>
      <c r="G3860" s="0" t="s">
        <v>4974</v>
      </c>
      <c r="H3860" s="0" t="s">
        <v>69</v>
      </c>
      <c r="I3860" s="0" t="s">
        <v>4975</v>
      </c>
      <c r="J3860" s="20" t="s">
        <v>25</v>
      </c>
    </row>
    <row r="3861" customFormat="false" ht="15" hidden="false" customHeight="false" outlineLevel="0" collapsed="false">
      <c r="A3861" s="0" t="s">
        <v>3132</v>
      </c>
      <c r="B3861" s="0" t="s">
        <v>134</v>
      </c>
      <c r="C3861" s="0" t="s">
        <v>3450</v>
      </c>
      <c r="D3861" s="0" t="s">
        <v>3448</v>
      </c>
      <c r="E3861" s="0" t="s">
        <v>4969</v>
      </c>
      <c r="F3861" s="0" t="s">
        <v>62</v>
      </c>
      <c r="G3861" s="0" t="s">
        <v>5003</v>
      </c>
      <c r="H3861" s="0" t="s">
        <v>6256</v>
      </c>
      <c r="I3861" s="0" t="s">
        <v>5005</v>
      </c>
      <c r="J3861" s="20" t="s">
        <v>25</v>
      </c>
    </row>
    <row r="3862" customFormat="false" ht="15" hidden="false" customHeight="false" outlineLevel="0" collapsed="false">
      <c r="A3862" s="0" t="s">
        <v>3132</v>
      </c>
      <c r="B3862" s="0" t="s">
        <v>134</v>
      </c>
      <c r="C3862" s="0" t="s">
        <v>3450</v>
      </c>
      <c r="D3862" s="0" t="s">
        <v>3448</v>
      </c>
      <c r="E3862" s="0" t="s">
        <v>4969</v>
      </c>
      <c r="F3862" s="0" t="s">
        <v>63</v>
      </c>
      <c r="G3862" s="0" t="s">
        <v>4220</v>
      </c>
      <c r="H3862" s="0" t="s">
        <v>5644</v>
      </c>
      <c r="I3862" s="0" t="s">
        <v>4979</v>
      </c>
      <c r="J3862" s="20" t="s">
        <v>25</v>
      </c>
    </row>
    <row r="3863" customFormat="false" ht="15" hidden="false" customHeight="false" outlineLevel="0" collapsed="false">
      <c r="A3863" s="0" t="s">
        <v>3132</v>
      </c>
      <c r="B3863" s="0" t="s">
        <v>134</v>
      </c>
      <c r="C3863" s="0" t="s">
        <v>3447</v>
      </c>
      <c r="D3863" s="0" t="s">
        <v>3457</v>
      </c>
      <c r="E3863" s="0" t="s">
        <v>4963</v>
      </c>
      <c r="F3863" s="0" t="s">
        <v>59</v>
      </c>
      <c r="G3863" s="0" t="s">
        <v>4974</v>
      </c>
      <c r="H3863" s="0" t="s">
        <v>69</v>
      </c>
      <c r="I3863" s="0" t="s">
        <v>4975</v>
      </c>
      <c r="J3863" s="20" t="s">
        <v>25</v>
      </c>
    </row>
    <row r="3864" customFormat="false" ht="15" hidden="false" customHeight="false" outlineLevel="0" collapsed="false">
      <c r="A3864" s="0" t="s">
        <v>3132</v>
      </c>
      <c r="B3864" s="0" t="s">
        <v>134</v>
      </c>
      <c r="C3864" s="0" t="s">
        <v>3447</v>
      </c>
      <c r="D3864" s="0" t="s">
        <v>3457</v>
      </c>
      <c r="E3864" s="0" t="s">
        <v>4969</v>
      </c>
      <c r="F3864" s="0" t="s">
        <v>61</v>
      </c>
      <c r="G3864" s="0" t="s">
        <v>4970</v>
      </c>
      <c r="H3864" s="0" t="s">
        <v>6257</v>
      </c>
      <c r="I3864" s="0" t="s">
        <v>4972</v>
      </c>
      <c r="J3864" s="20" t="s">
        <v>25</v>
      </c>
    </row>
    <row r="3865" customFormat="false" ht="15" hidden="false" customHeight="false" outlineLevel="0" collapsed="false">
      <c r="A3865" s="0" t="s">
        <v>3132</v>
      </c>
      <c r="B3865" s="0" t="s">
        <v>134</v>
      </c>
      <c r="C3865" s="0" t="s">
        <v>3447</v>
      </c>
      <c r="D3865" s="0" t="s">
        <v>3448</v>
      </c>
      <c r="E3865" s="0" t="s">
        <v>4963</v>
      </c>
      <c r="F3865" s="0" t="s">
        <v>59</v>
      </c>
      <c r="G3865" s="0" t="s">
        <v>4974</v>
      </c>
      <c r="H3865" s="0" t="s">
        <v>69</v>
      </c>
      <c r="I3865" s="0" t="s">
        <v>4975</v>
      </c>
      <c r="J3865" s="20" t="s">
        <v>25</v>
      </c>
    </row>
    <row r="3866" customFormat="false" ht="15" hidden="false" customHeight="false" outlineLevel="0" collapsed="false">
      <c r="A3866" s="0" t="s">
        <v>3132</v>
      </c>
      <c r="B3866" s="0" t="s">
        <v>134</v>
      </c>
      <c r="C3866" s="0" t="s">
        <v>3447</v>
      </c>
      <c r="D3866" s="0" t="s">
        <v>3448</v>
      </c>
      <c r="E3866" s="0" t="s">
        <v>4969</v>
      </c>
      <c r="F3866" s="0" t="s">
        <v>63</v>
      </c>
      <c r="G3866" s="0" t="s">
        <v>4220</v>
      </c>
      <c r="H3866" s="0" t="s">
        <v>5644</v>
      </c>
      <c r="I3866" s="0" t="s">
        <v>4979</v>
      </c>
      <c r="J3866" s="20" t="s">
        <v>25</v>
      </c>
    </row>
    <row r="3867" customFormat="false" ht="15" hidden="false" customHeight="false" outlineLevel="0" collapsed="false">
      <c r="A3867" s="0" t="s">
        <v>3132</v>
      </c>
      <c r="B3867" s="0" t="s">
        <v>3459</v>
      </c>
      <c r="C3867" s="0" t="s">
        <v>3450</v>
      </c>
      <c r="D3867" s="0" t="s">
        <v>3457</v>
      </c>
      <c r="E3867" s="0" t="s">
        <v>4969</v>
      </c>
      <c r="F3867" s="0" t="s">
        <v>62</v>
      </c>
      <c r="G3867" s="0" t="s">
        <v>5003</v>
      </c>
      <c r="H3867" s="0" t="s">
        <v>5834</v>
      </c>
      <c r="I3867" s="0" t="s">
        <v>5005</v>
      </c>
      <c r="J3867" s="20" t="s">
        <v>25</v>
      </c>
    </row>
    <row r="3868" customFormat="false" ht="15" hidden="false" customHeight="false" outlineLevel="0" collapsed="false">
      <c r="A3868" s="0" t="s">
        <v>3132</v>
      </c>
      <c r="B3868" s="0" t="s">
        <v>3459</v>
      </c>
      <c r="C3868" s="0" t="s">
        <v>3450</v>
      </c>
      <c r="D3868" s="0" t="s">
        <v>3448</v>
      </c>
      <c r="E3868" s="0" t="s">
        <v>4969</v>
      </c>
      <c r="F3868" s="0" t="s">
        <v>62</v>
      </c>
      <c r="G3868" s="0" t="s">
        <v>5003</v>
      </c>
      <c r="H3868" s="0" t="s">
        <v>6258</v>
      </c>
      <c r="I3868" s="0" t="s">
        <v>5005</v>
      </c>
      <c r="J3868" s="20" t="s">
        <v>25</v>
      </c>
    </row>
    <row r="3869" customFormat="false" ht="15" hidden="false" customHeight="false" outlineLevel="0" collapsed="false">
      <c r="A3869" s="0" t="s">
        <v>3132</v>
      </c>
      <c r="B3869" s="0" t="s">
        <v>3459</v>
      </c>
      <c r="C3869" s="0" t="s">
        <v>3447</v>
      </c>
      <c r="D3869" s="0" t="s">
        <v>3448</v>
      </c>
      <c r="E3869" s="0" t="s">
        <v>4963</v>
      </c>
      <c r="F3869" s="0" t="s">
        <v>59</v>
      </c>
      <c r="G3869" s="0" t="s">
        <v>4974</v>
      </c>
      <c r="H3869" s="0" t="s">
        <v>69</v>
      </c>
      <c r="I3869" s="0" t="s">
        <v>4975</v>
      </c>
      <c r="J3869" s="20" t="s">
        <v>25</v>
      </c>
    </row>
    <row r="3870" customFormat="false" ht="15" hidden="false" customHeight="false" outlineLevel="0" collapsed="false">
      <c r="A3870" s="0" t="s">
        <v>3132</v>
      </c>
      <c r="B3870" s="0" t="s">
        <v>134</v>
      </c>
      <c r="C3870" s="0" t="s">
        <v>3450</v>
      </c>
      <c r="D3870" s="0" t="s">
        <v>3457</v>
      </c>
      <c r="E3870" s="0" t="s">
        <v>4963</v>
      </c>
      <c r="F3870" s="0" t="s">
        <v>30</v>
      </c>
      <c r="G3870" s="0" t="s">
        <v>4980</v>
      </c>
      <c r="H3870" s="0" t="s">
        <v>4919</v>
      </c>
      <c r="I3870" s="0" t="s">
        <v>4981</v>
      </c>
      <c r="J3870" s="18" t="s">
        <v>24</v>
      </c>
    </row>
    <row r="3871" customFormat="false" ht="15" hidden="false" customHeight="false" outlineLevel="0" collapsed="false">
      <c r="A3871" s="0" t="s">
        <v>3132</v>
      </c>
      <c r="B3871" s="0" t="s">
        <v>134</v>
      </c>
      <c r="C3871" s="0" t="s">
        <v>3450</v>
      </c>
      <c r="D3871" s="0" t="s">
        <v>3448</v>
      </c>
      <c r="E3871" s="0" t="s">
        <v>4963</v>
      </c>
      <c r="F3871" s="0" t="s">
        <v>30</v>
      </c>
      <c r="G3871" s="0" t="s">
        <v>4980</v>
      </c>
      <c r="H3871" s="0" t="s">
        <v>4242</v>
      </c>
      <c r="I3871" s="0" t="s">
        <v>4981</v>
      </c>
      <c r="J3871" s="18" t="s">
        <v>24</v>
      </c>
    </row>
    <row r="3872" customFormat="false" ht="15" hidden="false" customHeight="false" outlineLevel="0" collapsed="false">
      <c r="A3872" s="0" t="s">
        <v>3132</v>
      </c>
      <c r="B3872" s="0" t="s">
        <v>134</v>
      </c>
      <c r="C3872" s="0" t="s">
        <v>3447</v>
      </c>
      <c r="D3872" s="0" t="s">
        <v>3457</v>
      </c>
      <c r="E3872" s="0" t="s">
        <v>4963</v>
      </c>
      <c r="F3872" s="0" t="s">
        <v>30</v>
      </c>
      <c r="G3872" s="0" t="s">
        <v>4980</v>
      </c>
      <c r="H3872" s="0" t="s">
        <v>4920</v>
      </c>
      <c r="I3872" s="0" t="s">
        <v>4981</v>
      </c>
      <c r="J3872" s="18" t="s">
        <v>24</v>
      </c>
    </row>
    <row r="3873" customFormat="false" ht="15" hidden="false" customHeight="false" outlineLevel="0" collapsed="false">
      <c r="A3873" s="0" t="s">
        <v>3132</v>
      </c>
      <c r="B3873" s="0" t="s">
        <v>134</v>
      </c>
      <c r="C3873" s="0" t="s">
        <v>3447</v>
      </c>
      <c r="D3873" s="0" t="s">
        <v>3448</v>
      </c>
      <c r="E3873" s="0" t="s">
        <v>4963</v>
      </c>
      <c r="F3873" s="0" t="s">
        <v>30</v>
      </c>
      <c r="G3873" s="0" t="s">
        <v>4980</v>
      </c>
      <c r="H3873" s="0" t="s">
        <v>4921</v>
      </c>
      <c r="I3873" s="0" t="s">
        <v>4981</v>
      </c>
      <c r="J3873" s="18" t="s">
        <v>24</v>
      </c>
    </row>
    <row r="3874" customFormat="false" ht="15" hidden="false" customHeight="false" outlineLevel="0" collapsed="false">
      <c r="A3874" s="0" t="s">
        <v>3144</v>
      </c>
      <c r="B3874" s="0" t="s">
        <v>134</v>
      </c>
      <c r="C3874" s="0" t="s">
        <v>3450</v>
      </c>
      <c r="D3874" s="0" t="s">
        <v>3457</v>
      </c>
      <c r="E3874" s="0" t="s">
        <v>4963</v>
      </c>
      <c r="F3874" s="0" t="s">
        <v>65</v>
      </c>
      <c r="G3874" s="0" t="s">
        <v>4997</v>
      </c>
      <c r="H3874" s="0" t="s">
        <v>3871</v>
      </c>
      <c r="I3874" s="0" t="s">
        <v>4998</v>
      </c>
      <c r="J3874" s="19" t="s">
        <v>26</v>
      </c>
    </row>
    <row r="3875" customFormat="false" ht="15" hidden="false" customHeight="false" outlineLevel="0" collapsed="false">
      <c r="A3875" s="0" t="s">
        <v>3144</v>
      </c>
      <c r="B3875" s="0" t="s">
        <v>134</v>
      </c>
      <c r="C3875" s="0" t="s">
        <v>3450</v>
      </c>
      <c r="D3875" s="0" t="s">
        <v>3457</v>
      </c>
      <c r="E3875" s="0" t="s">
        <v>4963</v>
      </c>
      <c r="F3875" s="0" t="s">
        <v>60</v>
      </c>
      <c r="G3875" s="0" t="s">
        <v>4964</v>
      </c>
      <c r="H3875" s="0" t="s">
        <v>6259</v>
      </c>
      <c r="I3875" s="0" t="s">
        <v>4966</v>
      </c>
      <c r="J3875" s="19" t="s">
        <v>26</v>
      </c>
    </row>
    <row r="3876" customFormat="false" ht="15" hidden="false" customHeight="false" outlineLevel="0" collapsed="false">
      <c r="A3876" s="0" t="s">
        <v>3144</v>
      </c>
      <c r="B3876" s="0" t="s">
        <v>134</v>
      </c>
      <c r="C3876" s="0" t="s">
        <v>3450</v>
      </c>
      <c r="D3876" s="0" t="s">
        <v>3448</v>
      </c>
      <c r="E3876" s="0" t="s">
        <v>4963</v>
      </c>
      <c r="F3876" s="0" t="s">
        <v>65</v>
      </c>
      <c r="G3876" s="0" t="s">
        <v>4997</v>
      </c>
      <c r="H3876" s="0" t="s">
        <v>3871</v>
      </c>
      <c r="I3876" s="0" t="s">
        <v>4998</v>
      </c>
      <c r="J3876" s="19" t="s">
        <v>26</v>
      </c>
    </row>
    <row r="3877" customFormat="false" ht="15" hidden="false" customHeight="false" outlineLevel="0" collapsed="false">
      <c r="A3877" s="0" t="s">
        <v>3144</v>
      </c>
      <c r="B3877" s="0" t="s">
        <v>3459</v>
      </c>
      <c r="C3877" s="0" t="s">
        <v>3450</v>
      </c>
      <c r="D3877" s="0" t="s">
        <v>3457</v>
      </c>
      <c r="E3877" s="0" t="s">
        <v>4963</v>
      </c>
      <c r="F3877" s="0" t="s">
        <v>60</v>
      </c>
      <c r="G3877" s="0" t="s">
        <v>4964</v>
      </c>
      <c r="H3877" s="0" t="s">
        <v>5516</v>
      </c>
      <c r="I3877" s="0" t="s">
        <v>4966</v>
      </c>
      <c r="J3877" s="19" t="s">
        <v>26</v>
      </c>
    </row>
    <row r="3878" customFormat="false" ht="15" hidden="false" customHeight="false" outlineLevel="0" collapsed="false">
      <c r="A3878" s="0" t="s">
        <v>3144</v>
      </c>
      <c r="B3878" s="0" t="s">
        <v>134</v>
      </c>
      <c r="C3878" s="0" t="s">
        <v>3450</v>
      </c>
      <c r="D3878" s="0" t="s">
        <v>3457</v>
      </c>
      <c r="E3878" s="0" t="s">
        <v>4969</v>
      </c>
      <c r="F3878" s="0" t="s">
        <v>64</v>
      </c>
      <c r="G3878" s="0" t="s">
        <v>4220</v>
      </c>
      <c r="H3878" s="0" t="s">
        <v>6260</v>
      </c>
      <c r="I3878" s="0" t="s">
        <v>4991</v>
      </c>
      <c r="J3878" s="20" t="s">
        <v>25</v>
      </c>
    </row>
    <row r="3879" customFormat="false" ht="15" hidden="false" customHeight="false" outlineLevel="0" collapsed="false">
      <c r="A3879" s="0" t="s">
        <v>3144</v>
      </c>
      <c r="B3879" s="0" t="s">
        <v>134</v>
      </c>
      <c r="C3879" s="0" t="s">
        <v>3447</v>
      </c>
      <c r="D3879" s="0" t="s">
        <v>3457</v>
      </c>
      <c r="E3879" s="0" t="s">
        <v>4963</v>
      </c>
      <c r="F3879" s="0" t="s">
        <v>59</v>
      </c>
      <c r="G3879" s="0" t="s">
        <v>4974</v>
      </c>
      <c r="H3879" s="0" t="s">
        <v>70</v>
      </c>
      <c r="I3879" s="0" t="s">
        <v>4975</v>
      </c>
      <c r="J3879" s="20" t="s">
        <v>25</v>
      </c>
    </row>
    <row r="3880" customFormat="false" ht="15" hidden="false" customHeight="false" outlineLevel="0" collapsed="false">
      <c r="A3880" s="0" t="s">
        <v>3144</v>
      </c>
      <c r="B3880" s="0" t="s">
        <v>134</v>
      </c>
      <c r="C3880" s="0" t="s">
        <v>3447</v>
      </c>
      <c r="D3880" s="0" t="s">
        <v>3457</v>
      </c>
      <c r="E3880" s="0" t="s">
        <v>4969</v>
      </c>
      <c r="F3880" s="0" t="s">
        <v>64</v>
      </c>
      <c r="G3880" s="0" t="s">
        <v>4220</v>
      </c>
      <c r="H3880" s="0" t="s">
        <v>6260</v>
      </c>
      <c r="I3880" s="0" t="s">
        <v>4991</v>
      </c>
      <c r="J3880" s="20" t="s">
        <v>25</v>
      </c>
    </row>
    <row r="3881" customFormat="false" ht="15" hidden="false" customHeight="false" outlineLevel="0" collapsed="false">
      <c r="A3881" s="0" t="s">
        <v>3144</v>
      </c>
      <c r="B3881" s="0" t="s">
        <v>3459</v>
      </c>
      <c r="C3881" s="0" t="s">
        <v>3450</v>
      </c>
      <c r="D3881" s="0" t="s">
        <v>3457</v>
      </c>
      <c r="E3881" s="0" t="s">
        <v>4963</v>
      </c>
      <c r="F3881" s="0" t="s">
        <v>59</v>
      </c>
      <c r="G3881" s="0" t="s">
        <v>4974</v>
      </c>
      <c r="H3881" s="0" t="s">
        <v>69</v>
      </c>
      <c r="I3881" s="0" t="s">
        <v>4975</v>
      </c>
      <c r="J3881" s="20" t="s">
        <v>25</v>
      </c>
    </row>
    <row r="3882" customFormat="false" ht="15" hidden="false" customHeight="false" outlineLevel="0" collapsed="false">
      <c r="A3882" s="0" t="s">
        <v>3144</v>
      </c>
      <c r="B3882" s="0" t="s">
        <v>3459</v>
      </c>
      <c r="C3882" s="0" t="s">
        <v>3450</v>
      </c>
      <c r="D3882" s="0" t="s">
        <v>3457</v>
      </c>
      <c r="E3882" s="0" t="s">
        <v>4969</v>
      </c>
      <c r="F3882" s="0" t="s">
        <v>61</v>
      </c>
      <c r="G3882" s="0" t="s">
        <v>4970</v>
      </c>
      <c r="H3882" s="0" t="s">
        <v>6261</v>
      </c>
      <c r="I3882" s="0" t="s">
        <v>4972</v>
      </c>
      <c r="J3882" s="20" t="s">
        <v>25</v>
      </c>
    </row>
    <row r="3883" customFormat="false" ht="15" hidden="false" customHeight="false" outlineLevel="0" collapsed="false">
      <c r="A3883" s="0" t="s">
        <v>3144</v>
      </c>
      <c r="B3883" s="0" t="s">
        <v>3459</v>
      </c>
      <c r="C3883" s="0" t="s">
        <v>3450</v>
      </c>
      <c r="D3883" s="0" t="s">
        <v>3457</v>
      </c>
      <c r="E3883" s="0" t="s">
        <v>4969</v>
      </c>
      <c r="F3883" s="0" t="s">
        <v>64</v>
      </c>
      <c r="G3883" s="0" t="s">
        <v>4220</v>
      </c>
      <c r="H3883" s="0" t="s">
        <v>6262</v>
      </c>
      <c r="I3883" s="0" t="s">
        <v>4991</v>
      </c>
      <c r="J3883" s="20" t="s">
        <v>25</v>
      </c>
    </row>
    <row r="3884" customFormat="false" ht="15" hidden="false" customHeight="false" outlineLevel="0" collapsed="false">
      <c r="A3884" s="0" t="s">
        <v>3144</v>
      </c>
      <c r="B3884" s="0" t="s">
        <v>3459</v>
      </c>
      <c r="C3884" s="0" t="s">
        <v>3450</v>
      </c>
      <c r="D3884" s="0" t="s">
        <v>3448</v>
      </c>
      <c r="E3884" s="0" t="s">
        <v>4963</v>
      </c>
      <c r="F3884" s="0" t="s">
        <v>59</v>
      </c>
      <c r="G3884" s="0" t="s">
        <v>4974</v>
      </c>
      <c r="H3884" s="0" t="s">
        <v>69</v>
      </c>
      <c r="I3884" s="0" t="s">
        <v>4975</v>
      </c>
      <c r="J3884" s="20" t="s">
        <v>25</v>
      </c>
    </row>
    <row r="3885" customFormat="false" ht="15" hidden="false" customHeight="false" outlineLevel="0" collapsed="false">
      <c r="A3885" s="0" t="s">
        <v>3144</v>
      </c>
      <c r="B3885" s="0" t="s">
        <v>3459</v>
      </c>
      <c r="C3885" s="0" t="s">
        <v>3450</v>
      </c>
      <c r="D3885" s="0" t="s">
        <v>3448</v>
      </c>
      <c r="E3885" s="0" t="s">
        <v>4969</v>
      </c>
      <c r="F3885" s="0" t="s">
        <v>61</v>
      </c>
      <c r="G3885" s="0" t="s">
        <v>4970</v>
      </c>
      <c r="H3885" s="0" t="s">
        <v>6263</v>
      </c>
      <c r="I3885" s="0" t="s">
        <v>4972</v>
      </c>
      <c r="J3885" s="20" t="s">
        <v>25</v>
      </c>
    </row>
    <row r="3886" customFormat="false" ht="15" hidden="false" customHeight="false" outlineLevel="0" collapsed="false">
      <c r="A3886" s="0" t="s">
        <v>3144</v>
      </c>
      <c r="B3886" s="0" t="s">
        <v>3459</v>
      </c>
      <c r="C3886" s="0" t="s">
        <v>3447</v>
      </c>
      <c r="D3886" s="0" t="s">
        <v>3457</v>
      </c>
      <c r="E3886" s="0" t="s">
        <v>4969</v>
      </c>
      <c r="F3886" s="0" t="s">
        <v>64</v>
      </c>
      <c r="G3886" s="0" t="s">
        <v>4220</v>
      </c>
      <c r="H3886" s="0" t="s">
        <v>6262</v>
      </c>
      <c r="I3886" s="0" t="s">
        <v>4991</v>
      </c>
      <c r="J3886" s="20" t="s">
        <v>25</v>
      </c>
    </row>
    <row r="3887" customFormat="false" ht="15" hidden="false" customHeight="false" outlineLevel="0" collapsed="false">
      <c r="A3887" s="0" t="s">
        <v>3144</v>
      </c>
      <c r="B3887" s="0" t="s">
        <v>134</v>
      </c>
      <c r="C3887" s="0" t="s">
        <v>3447</v>
      </c>
      <c r="D3887" s="0" t="s">
        <v>3457</v>
      </c>
      <c r="E3887" s="0" t="s">
        <v>4963</v>
      </c>
      <c r="F3887" s="0" t="s">
        <v>30</v>
      </c>
      <c r="G3887" s="0" t="s">
        <v>4980</v>
      </c>
      <c r="H3887" s="0" t="s">
        <v>4925</v>
      </c>
      <c r="I3887" s="0" t="s">
        <v>4981</v>
      </c>
      <c r="J3887" s="18" t="s">
        <v>24</v>
      </c>
    </row>
    <row r="3888" customFormat="false" ht="15" hidden="false" customHeight="false" outlineLevel="0" collapsed="false">
      <c r="A3888" s="0" t="s">
        <v>3144</v>
      </c>
      <c r="B3888" s="0" t="s">
        <v>134</v>
      </c>
      <c r="C3888" s="0" t="s">
        <v>3447</v>
      </c>
      <c r="D3888" s="0" t="s">
        <v>3448</v>
      </c>
      <c r="E3888" s="0" t="s">
        <v>4963</v>
      </c>
      <c r="F3888" s="0" t="s">
        <v>30</v>
      </c>
      <c r="G3888" s="0" t="s">
        <v>4980</v>
      </c>
      <c r="H3888" s="0" t="s">
        <v>4926</v>
      </c>
      <c r="I3888" s="0" t="s">
        <v>4981</v>
      </c>
      <c r="J3888" s="18" t="s">
        <v>24</v>
      </c>
    </row>
    <row r="3889" customFormat="false" ht="15" hidden="false" customHeight="false" outlineLevel="0" collapsed="false">
      <c r="A3889" s="0" t="s">
        <v>3144</v>
      </c>
      <c r="B3889" s="0" t="s">
        <v>3459</v>
      </c>
      <c r="C3889" s="0" t="s">
        <v>3450</v>
      </c>
      <c r="D3889" s="0" t="s">
        <v>3448</v>
      </c>
      <c r="E3889" s="0" t="s">
        <v>4963</v>
      </c>
      <c r="F3889" s="0" t="s">
        <v>30</v>
      </c>
      <c r="G3889" s="0" t="s">
        <v>4980</v>
      </c>
      <c r="H3889" s="0" t="s">
        <v>4242</v>
      </c>
      <c r="I3889" s="0" t="s">
        <v>4981</v>
      </c>
      <c r="J3889" s="18" t="s">
        <v>24</v>
      </c>
    </row>
    <row r="3890" customFormat="false" ht="15" hidden="false" customHeight="false" outlineLevel="0" collapsed="false">
      <c r="A3890" s="0" t="s">
        <v>3144</v>
      </c>
      <c r="B3890" s="0" t="s">
        <v>3459</v>
      </c>
      <c r="C3890" s="0" t="s">
        <v>3447</v>
      </c>
      <c r="D3890" s="0" t="s">
        <v>3457</v>
      </c>
      <c r="E3890" s="0" t="s">
        <v>4963</v>
      </c>
      <c r="F3890" s="0" t="s">
        <v>30</v>
      </c>
      <c r="G3890" s="0" t="s">
        <v>4980</v>
      </c>
      <c r="H3890" s="0" t="s">
        <v>4228</v>
      </c>
      <c r="I3890" s="0" t="s">
        <v>4981</v>
      </c>
      <c r="J3890" s="18" t="s">
        <v>24</v>
      </c>
    </row>
    <row r="3891" customFormat="false" ht="15" hidden="false" customHeight="false" outlineLevel="0" collapsed="false">
      <c r="A3891" s="0" t="s">
        <v>3144</v>
      </c>
      <c r="B3891" s="0" t="s">
        <v>3459</v>
      </c>
      <c r="C3891" s="0" t="s">
        <v>3447</v>
      </c>
      <c r="D3891" s="0" t="s">
        <v>3448</v>
      </c>
      <c r="E3891" s="0" t="s">
        <v>4963</v>
      </c>
      <c r="F3891" s="0" t="s">
        <v>30</v>
      </c>
      <c r="G3891" s="0" t="s">
        <v>4980</v>
      </c>
      <c r="H3891" s="0" t="s">
        <v>4487</v>
      </c>
      <c r="I3891" s="0" t="s">
        <v>4981</v>
      </c>
      <c r="J3891" s="18" t="s">
        <v>24</v>
      </c>
    </row>
    <row r="3892" customFormat="false" ht="15" hidden="false" customHeight="false" outlineLevel="0" collapsed="false">
      <c r="A3892" s="0" t="s">
        <v>3151</v>
      </c>
      <c r="B3892" s="0" t="s">
        <v>134</v>
      </c>
      <c r="C3892" s="0" t="s">
        <v>3450</v>
      </c>
      <c r="D3892" s="0" t="s">
        <v>3457</v>
      </c>
      <c r="E3892" s="0" t="s">
        <v>4963</v>
      </c>
      <c r="F3892" s="0" t="s">
        <v>59</v>
      </c>
      <c r="G3892" s="0" t="s">
        <v>4974</v>
      </c>
      <c r="H3892" s="0" t="s">
        <v>69</v>
      </c>
      <c r="I3892" s="0" t="s">
        <v>4975</v>
      </c>
      <c r="J3892" s="20" t="s">
        <v>25</v>
      </c>
    </row>
    <row r="3893" customFormat="false" ht="15" hidden="false" customHeight="false" outlineLevel="0" collapsed="false">
      <c r="A3893" s="0" t="s">
        <v>3151</v>
      </c>
      <c r="B3893" s="0" t="s">
        <v>134</v>
      </c>
      <c r="C3893" s="0" t="s">
        <v>3450</v>
      </c>
      <c r="D3893" s="0" t="s">
        <v>3457</v>
      </c>
      <c r="E3893" s="0" t="s">
        <v>4969</v>
      </c>
      <c r="F3893" s="0" t="s">
        <v>66</v>
      </c>
      <c r="G3893" s="0" t="s">
        <v>4970</v>
      </c>
      <c r="H3893" s="0" t="s">
        <v>6264</v>
      </c>
      <c r="I3893" s="0" t="s">
        <v>5030</v>
      </c>
      <c r="J3893" s="20" t="s">
        <v>25</v>
      </c>
    </row>
    <row r="3894" customFormat="false" ht="15" hidden="false" customHeight="false" outlineLevel="0" collapsed="false">
      <c r="A3894" s="0" t="s">
        <v>3151</v>
      </c>
      <c r="B3894" s="0" t="s">
        <v>134</v>
      </c>
      <c r="C3894" s="0" t="s">
        <v>3450</v>
      </c>
      <c r="D3894" s="0" t="s">
        <v>3448</v>
      </c>
      <c r="E3894" s="0" t="s">
        <v>4963</v>
      </c>
      <c r="F3894" s="0" t="s">
        <v>59</v>
      </c>
      <c r="G3894" s="0" t="s">
        <v>4974</v>
      </c>
      <c r="H3894" s="0" t="s">
        <v>69</v>
      </c>
      <c r="I3894" s="0" t="s">
        <v>4975</v>
      </c>
      <c r="J3894" s="20" t="s">
        <v>25</v>
      </c>
    </row>
    <row r="3895" customFormat="false" ht="15" hidden="false" customHeight="false" outlineLevel="0" collapsed="false">
      <c r="A3895" s="0" t="s">
        <v>3151</v>
      </c>
      <c r="B3895" s="0" t="s">
        <v>134</v>
      </c>
      <c r="C3895" s="0" t="s">
        <v>3450</v>
      </c>
      <c r="D3895" s="0" t="s">
        <v>3448</v>
      </c>
      <c r="E3895" s="0" t="s">
        <v>4969</v>
      </c>
      <c r="F3895" s="0" t="s">
        <v>66</v>
      </c>
      <c r="G3895" s="0" t="s">
        <v>4970</v>
      </c>
      <c r="H3895" s="0" t="s">
        <v>6265</v>
      </c>
      <c r="I3895" s="0" t="s">
        <v>5030</v>
      </c>
      <c r="J3895" s="20" t="s">
        <v>25</v>
      </c>
    </row>
    <row r="3896" customFormat="false" ht="15" hidden="false" customHeight="false" outlineLevel="0" collapsed="false">
      <c r="A3896" s="0" t="s">
        <v>3151</v>
      </c>
      <c r="B3896" s="0" t="s">
        <v>134</v>
      </c>
      <c r="C3896" s="0" t="s">
        <v>3450</v>
      </c>
      <c r="D3896" s="0" t="s">
        <v>3448</v>
      </c>
      <c r="E3896" s="0" t="s">
        <v>4969</v>
      </c>
      <c r="F3896" s="0" t="s">
        <v>63</v>
      </c>
      <c r="G3896" s="0" t="s">
        <v>4220</v>
      </c>
      <c r="H3896" s="0" t="s">
        <v>6266</v>
      </c>
      <c r="I3896" s="0" t="s">
        <v>4979</v>
      </c>
      <c r="J3896" s="20" t="s">
        <v>25</v>
      </c>
    </row>
    <row r="3897" customFormat="false" ht="15" hidden="false" customHeight="false" outlineLevel="0" collapsed="false">
      <c r="A3897" s="0" t="s">
        <v>3151</v>
      </c>
      <c r="B3897" s="0" t="s">
        <v>134</v>
      </c>
      <c r="C3897" s="0" t="s">
        <v>3447</v>
      </c>
      <c r="D3897" s="0" t="s">
        <v>3457</v>
      </c>
      <c r="E3897" s="0" t="s">
        <v>4969</v>
      </c>
      <c r="F3897" s="0" t="s">
        <v>61</v>
      </c>
      <c r="G3897" s="0" t="s">
        <v>4970</v>
      </c>
      <c r="H3897" s="0" t="s">
        <v>6267</v>
      </c>
      <c r="I3897" s="0" t="s">
        <v>4972</v>
      </c>
      <c r="J3897" s="20" t="s">
        <v>25</v>
      </c>
    </row>
    <row r="3898" customFormat="false" ht="15" hidden="false" customHeight="false" outlineLevel="0" collapsed="false">
      <c r="A3898" s="0" t="s">
        <v>3151</v>
      </c>
      <c r="B3898" s="0" t="s">
        <v>134</v>
      </c>
      <c r="C3898" s="0" t="s">
        <v>3447</v>
      </c>
      <c r="D3898" s="0" t="s">
        <v>3448</v>
      </c>
      <c r="E3898" s="0" t="s">
        <v>4969</v>
      </c>
      <c r="F3898" s="0" t="s">
        <v>61</v>
      </c>
      <c r="G3898" s="0" t="s">
        <v>4970</v>
      </c>
      <c r="H3898" s="0" t="s">
        <v>6268</v>
      </c>
      <c r="I3898" s="0" t="s">
        <v>4972</v>
      </c>
      <c r="J3898" s="20" t="s">
        <v>25</v>
      </c>
    </row>
    <row r="3899" customFormat="false" ht="15" hidden="false" customHeight="false" outlineLevel="0" collapsed="false">
      <c r="A3899" s="0" t="s">
        <v>3151</v>
      </c>
      <c r="B3899" s="0" t="s">
        <v>134</v>
      </c>
      <c r="C3899" s="0" t="s">
        <v>3447</v>
      </c>
      <c r="D3899" s="0" t="s">
        <v>3448</v>
      </c>
      <c r="E3899" s="0" t="s">
        <v>4969</v>
      </c>
      <c r="F3899" s="0" t="s">
        <v>63</v>
      </c>
      <c r="G3899" s="0" t="s">
        <v>4220</v>
      </c>
      <c r="H3899" s="0" t="s">
        <v>6266</v>
      </c>
      <c r="I3899" s="0" t="s">
        <v>4979</v>
      </c>
      <c r="J3899" s="20" t="s">
        <v>25</v>
      </c>
    </row>
    <row r="3900" customFormat="false" ht="15" hidden="false" customHeight="false" outlineLevel="0" collapsed="false">
      <c r="A3900" s="0" t="s">
        <v>3151</v>
      </c>
      <c r="B3900" s="0" t="s">
        <v>134</v>
      </c>
      <c r="C3900" s="0" t="s">
        <v>3450</v>
      </c>
      <c r="D3900" s="0" t="s">
        <v>3457</v>
      </c>
      <c r="E3900" s="0" t="s">
        <v>4963</v>
      </c>
      <c r="F3900" s="0" t="s">
        <v>30</v>
      </c>
      <c r="G3900" s="0" t="s">
        <v>4980</v>
      </c>
      <c r="H3900" s="0" t="s">
        <v>4565</v>
      </c>
      <c r="I3900" s="0" t="s">
        <v>4981</v>
      </c>
      <c r="J3900" s="18" t="s">
        <v>24</v>
      </c>
    </row>
    <row r="3901" customFormat="false" ht="15" hidden="false" customHeight="false" outlineLevel="0" collapsed="false">
      <c r="A3901" s="0" t="s">
        <v>3151</v>
      </c>
      <c r="B3901" s="0" t="s">
        <v>134</v>
      </c>
      <c r="C3901" s="0" t="s">
        <v>3450</v>
      </c>
      <c r="D3901" s="0" t="s">
        <v>3448</v>
      </c>
      <c r="E3901" s="0" t="s">
        <v>4963</v>
      </c>
      <c r="F3901" s="0" t="s">
        <v>30</v>
      </c>
      <c r="G3901" s="0" t="s">
        <v>4980</v>
      </c>
      <c r="H3901" s="0" t="s">
        <v>4242</v>
      </c>
      <c r="I3901" s="0" t="s">
        <v>4981</v>
      </c>
      <c r="J3901" s="18" t="s">
        <v>24</v>
      </c>
    </row>
    <row r="3902" customFormat="false" ht="15" hidden="false" customHeight="false" outlineLevel="0" collapsed="false">
      <c r="A3902" s="0" t="s">
        <v>3162</v>
      </c>
      <c r="B3902" s="0" t="s">
        <v>134</v>
      </c>
      <c r="C3902" s="0" t="s">
        <v>3450</v>
      </c>
      <c r="D3902" s="0" t="s">
        <v>3457</v>
      </c>
      <c r="E3902" s="0" t="s">
        <v>5199</v>
      </c>
      <c r="F3902" s="0" t="s">
        <v>67</v>
      </c>
      <c r="G3902" s="0" t="s">
        <v>100</v>
      </c>
      <c r="H3902" s="0" t="s">
        <v>6269</v>
      </c>
      <c r="I3902" s="0" t="s">
        <v>5201</v>
      </c>
      <c r="J3902" s="20" t="s">
        <v>25</v>
      </c>
    </row>
    <row r="3903" customFormat="false" ht="15" hidden="false" customHeight="false" outlineLevel="0" collapsed="false">
      <c r="A3903" s="0" t="s">
        <v>3162</v>
      </c>
      <c r="B3903" s="0" t="s">
        <v>134</v>
      </c>
      <c r="C3903" s="0" t="s">
        <v>3450</v>
      </c>
      <c r="D3903" s="0" t="s">
        <v>3457</v>
      </c>
      <c r="E3903" s="0" t="s">
        <v>4963</v>
      </c>
      <c r="F3903" s="0" t="s">
        <v>59</v>
      </c>
      <c r="G3903" s="0" t="s">
        <v>4974</v>
      </c>
      <c r="H3903" s="0" t="s">
        <v>69</v>
      </c>
      <c r="I3903" s="0" t="s">
        <v>4975</v>
      </c>
      <c r="J3903" s="20" t="s">
        <v>25</v>
      </c>
    </row>
    <row r="3904" customFormat="false" ht="15" hidden="false" customHeight="false" outlineLevel="0" collapsed="false">
      <c r="A3904" s="0" t="s">
        <v>3162</v>
      </c>
      <c r="B3904" s="0" t="s">
        <v>134</v>
      </c>
      <c r="C3904" s="0" t="s">
        <v>3450</v>
      </c>
      <c r="D3904" s="0" t="s">
        <v>3448</v>
      </c>
      <c r="E3904" s="0" t="s">
        <v>4963</v>
      </c>
      <c r="F3904" s="0" t="s">
        <v>59</v>
      </c>
      <c r="G3904" s="0" t="s">
        <v>4974</v>
      </c>
      <c r="H3904" s="0" t="s">
        <v>69</v>
      </c>
      <c r="I3904" s="0" t="s">
        <v>4975</v>
      </c>
      <c r="J3904" s="20" t="s">
        <v>25</v>
      </c>
    </row>
    <row r="3905" customFormat="false" ht="15" hidden="false" customHeight="false" outlineLevel="0" collapsed="false">
      <c r="A3905" s="0" t="s">
        <v>3162</v>
      </c>
      <c r="B3905" s="0" t="s">
        <v>134</v>
      </c>
      <c r="C3905" s="0" t="s">
        <v>3447</v>
      </c>
      <c r="D3905" s="0" t="s">
        <v>3457</v>
      </c>
      <c r="E3905" s="0" t="s">
        <v>4963</v>
      </c>
      <c r="F3905" s="0" t="s">
        <v>59</v>
      </c>
      <c r="G3905" s="0" t="s">
        <v>4974</v>
      </c>
      <c r="H3905" s="0" t="s">
        <v>69</v>
      </c>
      <c r="I3905" s="0" t="s">
        <v>4975</v>
      </c>
      <c r="J3905" s="20" t="s">
        <v>25</v>
      </c>
    </row>
    <row r="3906" customFormat="false" ht="15" hidden="false" customHeight="false" outlineLevel="0" collapsed="false">
      <c r="A3906" s="0" t="s">
        <v>3162</v>
      </c>
      <c r="B3906" s="0" t="s">
        <v>134</v>
      </c>
      <c r="C3906" s="0" t="s">
        <v>3447</v>
      </c>
      <c r="D3906" s="0" t="s">
        <v>3448</v>
      </c>
      <c r="E3906" s="0" t="s">
        <v>4963</v>
      </c>
      <c r="F3906" s="0" t="s">
        <v>59</v>
      </c>
      <c r="G3906" s="0" t="s">
        <v>4974</v>
      </c>
      <c r="H3906" s="0" t="s">
        <v>69</v>
      </c>
      <c r="I3906" s="0" t="s">
        <v>4975</v>
      </c>
      <c r="J3906" s="20" t="s">
        <v>25</v>
      </c>
    </row>
    <row r="3907" customFormat="false" ht="15" hidden="false" customHeight="false" outlineLevel="0" collapsed="false">
      <c r="A3907" s="0" t="s">
        <v>3162</v>
      </c>
      <c r="B3907" s="0" t="s">
        <v>134</v>
      </c>
      <c r="C3907" s="0" t="s">
        <v>3450</v>
      </c>
      <c r="D3907" s="0" t="s">
        <v>3457</v>
      </c>
      <c r="E3907" s="0" t="s">
        <v>4963</v>
      </c>
      <c r="F3907" s="0" t="s">
        <v>30</v>
      </c>
      <c r="G3907" s="0" t="s">
        <v>4980</v>
      </c>
      <c r="H3907" s="0" t="s">
        <v>4275</v>
      </c>
      <c r="I3907" s="0" t="s">
        <v>4981</v>
      </c>
      <c r="J3907" s="18" t="s">
        <v>24</v>
      </c>
    </row>
    <row r="3908" customFormat="false" ht="15" hidden="false" customHeight="false" outlineLevel="0" collapsed="false">
      <c r="A3908" s="0" t="s">
        <v>3162</v>
      </c>
      <c r="B3908" s="0" t="s">
        <v>134</v>
      </c>
      <c r="C3908" s="0" t="s">
        <v>3450</v>
      </c>
      <c r="D3908" s="0" t="s">
        <v>3448</v>
      </c>
      <c r="E3908" s="0" t="s">
        <v>4963</v>
      </c>
      <c r="F3908" s="0" t="s">
        <v>30</v>
      </c>
      <c r="G3908" s="0" t="s">
        <v>4980</v>
      </c>
      <c r="H3908" s="0" t="s">
        <v>4275</v>
      </c>
      <c r="I3908" s="0" t="s">
        <v>4981</v>
      </c>
      <c r="J3908" s="18" t="s">
        <v>24</v>
      </c>
    </row>
    <row r="3909" customFormat="false" ht="15" hidden="false" customHeight="false" outlineLevel="0" collapsed="false">
      <c r="A3909" s="0" t="s">
        <v>3162</v>
      </c>
      <c r="B3909" s="0" t="s">
        <v>134</v>
      </c>
      <c r="C3909" s="0" t="s">
        <v>3447</v>
      </c>
      <c r="D3909" s="0" t="s">
        <v>3457</v>
      </c>
      <c r="E3909" s="0" t="s">
        <v>4963</v>
      </c>
      <c r="F3909" s="0" t="s">
        <v>30</v>
      </c>
      <c r="G3909" s="0" t="s">
        <v>4980</v>
      </c>
      <c r="H3909" s="0" t="s">
        <v>4275</v>
      </c>
      <c r="I3909" s="0" t="s">
        <v>4981</v>
      </c>
      <c r="J3909" s="18" t="s">
        <v>24</v>
      </c>
    </row>
    <row r="3910" customFormat="false" ht="15" hidden="false" customHeight="false" outlineLevel="0" collapsed="false">
      <c r="A3910" s="0" t="s">
        <v>3162</v>
      </c>
      <c r="B3910" s="0" t="s">
        <v>134</v>
      </c>
      <c r="C3910" s="0" t="s">
        <v>3447</v>
      </c>
      <c r="D3910" s="0" t="s">
        <v>3448</v>
      </c>
      <c r="E3910" s="0" t="s">
        <v>4963</v>
      </c>
      <c r="F3910" s="0" t="s">
        <v>30</v>
      </c>
      <c r="G3910" s="0" t="s">
        <v>4980</v>
      </c>
      <c r="H3910" s="0" t="s">
        <v>4242</v>
      </c>
      <c r="I3910" s="0" t="s">
        <v>4981</v>
      </c>
      <c r="J3910" s="18" t="s">
        <v>24</v>
      </c>
    </row>
    <row r="3911" customFormat="false" ht="15" hidden="false" customHeight="false" outlineLevel="0" collapsed="false">
      <c r="A3911" s="0" t="s">
        <v>3177</v>
      </c>
      <c r="B3911" s="0" t="s">
        <v>134</v>
      </c>
      <c r="C3911" s="0" t="s">
        <v>3450</v>
      </c>
      <c r="D3911" s="0" t="s">
        <v>3457</v>
      </c>
      <c r="E3911" s="0" t="s">
        <v>4963</v>
      </c>
      <c r="F3911" s="0" t="s">
        <v>59</v>
      </c>
      <c r="G3911" s="0" t="s">
        <v>4974</v>
      </c>
      <c r="H3911" s="0" t="s">
        <v>69</v>
      </c>
      <c r="I3911" s="0" t="s">
        <v>4975</v>
      </c>
      <c r="J3911" s="20" t="s">
        <v>25</v>
      </c>
    </row>
    <row r="3912" customFormat="false" ht="15" hidden="false" customHeight="false" outlineLevel="0" collapsed="false">
      <c r="A3912" s="0" t="s">
        <v>3177</v>
      </c>
      <c r="B3912" s="0" t="s">
        <v>134</v>
      </c>
      <c r="C3912" s="0" t="s">
        <v>3450</v>
      </c>
      <c r="D3912" s="0" t="s">
        <v>3457</v>
      </c>
      <c r="E3912" s="0" t="s">
        <v>4969</v>
      </c>
      <c r="F3912" s="0" t="s">
        <v>61</v>
      </c>
      <c r="G3912" s="0" t="s">
        <v>4970</v>
      </c>
      <c r="H3912" s="0" t="s">
        <v>6270</v>
      </c>
      <c r="I3912" s="0" t="s">
        <v>4972</v>
      </c>
      <c r="J3912" s="20" t="s">
        <v>25</v>
      </c>
    </row>
    <row r="3913" customFormat="false" ht="15" hidden="false" customHeight="false" outlineLevel="0" collapsed="false">
      <c r="A3913" s="0" t="s">
        <v>3177</v>
      </c>
      <c r="B3913" s="0" t="s">
        <v>134</v>
      </c>
      <c r="C3913" s="0" t="s">
        <v>3450</v>
      </c>
      <c r="D3913" s="0" t="s">
        <v>3448</v>
      </c>
      <c r="E3913" s="0" t="s">
        <v>4963</v>
      </c>
      <c r="F3913" s="0" t="s">
        <v>59</v>
      </c>
      <c r="G3913" s="0" t="s">
        <v>4974</v>
      </c>
      <c r="H3913" s="0" t="s">
        <v>69</v>
      </c>
      <c r="I3913" s="0" t="s">
        <v>4975</v>
      </c>
      <c r="J3913" s="20" t="s">
        <v>25</v>
      </c>
    </row>
    <row r="3914" customFormat="false" ht="15" hidden="false" customHeight="false" outlineLevel="0" collapsed="false">
      <c r="A3914" s="0" t="s">
        <v>3177</v>
      </c>
      <c r="B3914" s="0" t="s">
        <v>134</v>
      </c>
      <c r="C3914" s="0" t="s">
        <v>3450</v>
      </c>
      <c r="D3914" s="0" t="s">
        <v>3457</v>
      </c>
      <c r="E3914" s="0" t="s">
        <v>4963</v>
      </c>
      <c r="F3914" s="0" t="s">
        <v>30</v>
      </c>
      <c r="G3914" s="0" t="s">
        <v>4980</v>
      </c>
      <c r="H3914" s="0" t="s">
        <v>4631</v>
      </c>
      <c r="I3914" s="0" t="s">
        <v>4981</v>
      </c>
      <c r="J3914" s="18" t="s">
        <v>24</v>
      </c>
    </row>
    <row r="3915" customFormat="false" ht="15" hidden="false" customHeight="false" outlineLevel="0" collapsed="false">
      <c r="A3915" s="0" t="s">
        <v>3177</v>
      </c>
      <c r="B3915" s="0" t="s">
        <v>134</v>
      </c>
      <c r="C3915" s="0" t="s">
        <v>3450</v>
      </c>
      <c r="D3915" s="0" t="s">
        <v>3448</v>
      </c>
      <c r="E3915" s="0" t="s">
        <v>4963</v>
      </c>
      <c r="F3915" s="0" t="s">
        <v>30</v>
      </c>
      <c r="G3915" s="0" t="s">
        <v>4980</v>
      </c>
      <c r="H3915" s="0" t="s">
        <v>4275</v>
      </c>
      <c r="I3915" s="0" t="s">
        <v>4981</v>
      </c>
      <c r="J3915" s="18" t="s">
        <v>24</v>
      </c>
    </row>
    <row r="3916" customFormat="false" ht="15" hidden="false" customHeight="false" outlineLevel="0" collapsed="false">
      <c r="A3916" s="0" t="s">
        <v>3182</v>
      </c>
      <c r="B3916" s="0" t="s">
        <v>134</v>
      </c>
      <c r="C3916" s="0" t="s">
        <v>3450</v>
      </c>
      <c r="D3916" s="0" t="s">
        <v>3457</v>
      </c>
      <c r="E3916" s="0" t="s">
        <v>4963</v>
      </c>
      <c r="F3916" s="0" t="s">
        <v>59</v>
      </c>
      <c r="G3916" s="0" t="s">
        <v>4974</v>
      </c>
      <c r="H3916" s="0" t="s">
        <v>69</v>
      </c>
      <c r="I3916" s="0" t="s">
        <v>4975</v>
      </c>
      <c r="J3916" s="20" t="s">
        <v>25</v>
      </c>
    </row>
    <row r="3917" customFormat="false" ht="15" hidden="false" customHeight="false" outlineLevel="0" collapsed="false">
      <c r="A3917" s="0" t="s">
        <v>3182</v>
      </c>
      <c r="B3917" s="0" t="s">
        <v>134</v>
      </c>
      <c r="C3917" s="0" t="s">
        <v>3450</v>
      </c>
      <c r="D3917" s="0" t="s">
        <v>3448</v>
      </c>
      <c r="E3917" s="0" t="s">
        <v>4963</v>
      </c>
      <c r="F3917" s="0" t="s">
        <v>59</v>
      </c>
      <c r="G3917" s="0" t="s">
        <v>4974</v>
      </c>
      <c r="H3917" s="0" t="s">
        <v>69</v>
      </c>
      <c r="I3917" s="0" t="s">
        <v>4975</v>
      </c>
      <c r="J3917" s="20" t="s">
        <v>25</v>
      </c>
    </row>
    <row r="3918" customFormat="false" ht="15" hidden="false" customHeight="false" outlineLevel="0" collapsed="false">
      <c r="A3918" s="0" t="s">
        <v>3182</v>
      </c>
      <c r="B3918" s="0" t="s">
        <v>134</v>
      </c>
      <c r="C3918" s="0" t="s">
        <v>3450</v>
      </c>
      <c r="D3918" s="0" t="s">
        <v>3457</v>
      </c>
      <c r="E3918" s="0" t="s">
        <v>4963</v>
      </c>
      <c r="F3918" s="0" t="s">
        <v>30</v>
      </c>
      <c r="G3918" s="0" t="s">
        <v>4980</v>
      </c>
      <c r="H3918" s="0" t="s">
        <v>4335</v>
      </c>
      <c r="I3918" s="0" t="s">
        <v>4981</v>
      </c>
      <c r="J3918" s="18" t="s">
        <v>24</v>
      </c>
    </row>
    <row r="3919" customFormat="false" ht="15" hidden="false" customHeight="false" outlineLevel="0" collapsed="false">
      <c r="A3919" s="0" t="s">
        <v>3182</v>
      </c>
      <c r="B3919" s="0" t="s">
        <v>134</v>
      </c>
      <c r="C3919" s="0" t="s">
        <v>3450</v>
      </c>
      <c r="D3919" s="0" t="s">
        <v>3448</v>
      </c>
      <c r="E3919" s="0" t="s">
        <v>4963</v>
      </c>
      <c r="F3919" s="0" t="s">
        <v>30</v>
      </c>
      <c r="G3919" s="0" t="s">
        <v>4980</v>
      </c>
      <c r="H3919" s="0" t="s">
        <v>4242</v>
      </c>
      <c r="I3919" s="0" t="s">
        <v>4981</v>
      </c>
      <c r="J3919" s="18" t="s">
        <v>24</v>
      </c>
    </row>
    <row r="3920" customFormat="false" ht="15" hidden="false" customHeight="false" outlineLevel="0" collapsed="false">
      <c r="A3920" s="0" t="s">
        <v>3182</v>
      </c>
      <c r="B3920" s="0" t="s">
        <v>134</v>
      </c>
      <c r="C3920" s="0" t="s">
        <v>3447</v>
      </c>
      <c r="D3920" s="0" t="s">
        <v>3457</v>
      </c>
      <c r="E3920" s="0" t="s">
        <v>4963</v>
      </c>
      <c r="F3920" s="0" t="s">
        <v>30</v>
      </c>
      <c r="G3920" s="0" t="s">
        <v>4980</v>
      </c>
      <c r="H3920" s="0" t="s">
        <v>4554</v>
      </c>
      <c r="I3920" s="0" t="s">
        <v>4981</v>
      </c>
      <c r="J3920" s="18" t="s">
        <v>24</v>
      </c>
    </row>
    <row r="3921" customFormat="false" ht="15" hidden="false" customHeight="false" outlineLevel="0" collapsed="false">
      <c r="A3921" s="0" t="s">
        <v>3182</v>
      </c>
      <c r="B3921" s="0" t="s">
        <v>134</v>
      </c>
      <c r="C3921" s="0" t="s">
        <v>3447</v>
      </c>
      <c r="D3921" s="0" t="s">
        <v>3448</v>
      </c>
      <c r="E3921" s="0" t="s">
        <v>4963</v>
      </c>
      <c r="F3921" s="0" t="s">
        <v>30</v>
      </c>
      <c r="G3921" s="0" t="s">
        <v>4980</v>
      </c>
      <c r="H3921" s="0" t="s">
        <v>4927</v>
      </c>
      <c r="I3921" s="0" t="s">
        <v>4981</v>
      </c>
      <c r="J3921" s="18" t="s">
        <v>24</v>
      </c>
    </row>
    <row r="3922" customFormat="false" ht="15" hidden="false" customHeight="false" outlineLevel="0" collapsed="false">
      <c r="A3922" s="0" t="s">
        <v>3188</v>
      </c>
      <c r="B3922" s="0" t="s">
        <v>134</v>
      </c>
      <c r="C3922" s="0" t="s">
        <v>3450</v>
      </c>
      <c r="D3922" s="0" t="s">
        <v>3457</v>
      </c>
      <c r="E3922" s="0" t="s">
        <v>4969</v>
      </c>
      <c r="F3922" s="0" t="s">
        <v>64</v>
      </c>
      <c r="G3922" s="0" t="s">
        <v>4220</v>
      </c>
      <c r="H3922" s="0" t="s">
        <v>6271</v>
      </c>
      <c r="I3922" s="0" t="s">
        <v>4991</v>
      </c>
      <c r="J3922" s="20" t="s">
        <v>25</v>
      </c>
    </row>
    <row r="3923" customFormat="false" ht="15" hidden="false" customHeight="false" outlineLevel="0" collapsed="false">
      <c r="A3923" s="0" t="s">
        <v>3188</v>
      </c>
      <c r="B3923" s="0" t="s">
        <v>134</v>
      </c>
      <c r="C3923" s="0" t="s">
        <v>3447</v>
      </c>
      <c r="D3923" s="0" t="s">
        <v>3457</v>
      </c>
      <c r="E3923" s="0" t="s">
        <v>4963</v>
      </c>
      <c r="F3923" s="0" t="s">
        <v>59</v>
      </c>
      <c r="G3923" s="0" t="s">
        <v>4974</v>
      </c>
      <c r="H3923" s="0" t="s">
        <v>69</v>
      </c>
      <c r="I3923" s="0" t="s">
        <v>4975</v>
      </c>
      <c r="J3923" s="20" t="s">
        <v>25</v>
      </c>
    </row>
    <row r="3924" customFormat="false" ht="15" hidden="false" customHeight="false" outlineLevel="0" collapsed="false">
      <c r="A3924" s="0" t="s">
        <v>3188</v>
      </c>
      <c r="B3924" s="0" t="s">
        <v>134</v>
      </c>
      <c r="C3924" s="0" t="s">
        <v>3447</v>
      </c>
      <c r="D3924" s="0" t="s">
        <v>3457</v>
      </c>
      <c r="E3924" s="0" t="s">
        <v>4969</v>
      </c>
      <c r="F3924" s="0" t="s">
        <v>64</v>
      </c>
      <c r="G3924" s="0" t="s">
        <v>4220</v>
      </c>
      <c r="H3924" s="0" t="s">
        <v>6271</v>
      </c>
      <c r="I3924" s="0" t="s">
        <v>4991</v>
      </c>
      <c r="J3924" s="20" t="s">
        <v>25</v>
      </c>
    </row>
    <row r="3925" customFormat="false" ht="15" hidden="false" customHeight="false" outlineLevel="0" collapsed="false">
      <c r="A3925" s="0" t="s">
        <v>3188</v>
      </c>
      <c r="B3925" s="0" t="s">
        <v>134</v>
      </c>
      <c r="C3925" s="0" t="s">
        <v>3447</v>
      </c>
      <c r="D3925" s="0" t="s">
        <v>3448</v>
      </c>
      <c r="E3925" s="0" t="s">
        <v>4963</v>
      </c>
      <c r="F3925" s="0" t="s">
        <v>59</v>
      </c>
      <c r="G3925" s="0" t="s">
        <v>4974</v>
      </c>
      <c r="H3925" s="0" t="s">
        <v>69</v>
      </c>
      <c r="I3925" s="0" t="s">
        <v>4975</v>
      </c>
      <c r="J3925" s="20" t="s">
        <v>25</v>
      </c>
    </row>
    <row r="3926" customFormat="false" ht="15" hidden="false" customHeight="false" outlineLevel="0" collapsed="false">
      <c r="A3926" s="0" t="s">
        <v>3188</v>
      </c>
      <c r="B3926" s="0" t="s">
        <v>134</v>
      </c>
      <c r="C3926" s="0" t="s">
        <v>3450</v>
      </c>
      <c r="D3926" s="0" t="s">
        <v>3448</v>
      </c>
      <c r="E3926" s="0" t="s">
        <v>4963</v>
      </c>
      <c r="F3926" s="0" t="s">
        <v>30</v>
      </c>
      <c r="G3926" s="0" t="s">
        <v>4980</v>
      </c>
      <c r="H3926" s="0" t="s">
        <v>4228</v>
      </c>
      <c r="I3926" s="0" t="s">
        <v>4981</v>
      </c>
      <c r="J3926" s="18" t="s">
        <v>24</v>
      </c>
    </row>
    <row r="3927" customFormat="false" ht="15" hidden="false" customHeight="false" outlineLevel="0" collapsed="false">
      <c r="A3927" s="0" t="s">
        <v>3188</v>
      </c>
      <c r="B3927" s="0" t="s">
        <v>134</v>
      </c>
      <c r="C3927" s="0" t="s">
        <v>3447</v>
      </c>
      <c r="D3927" s="0" t="s">
        <v>3457</v>
      </c>
      <c r="E3927" s="0" t="s">
        <v>4963</v>
      </c>
      <c r="F3927" s="0" t="s">
        <v>30</v>
      </c>
      <c r="G3927" s="0" t="s">
        <v>4980</v>
      </c>
      <c r="H3927" s="0" t="s">
        <v>4327</v>
      </c>
      <c r="I3927" s="0" t="s">
        <v>4981</v>
      </c>
      <c r="J3927" s="18" t="s">
        <v>24</v>
      </c>
    </row>
    <row r="3928" customFormat="false" ht="15" hidden="false" customHeight="false" outlineLevel="0" collapsed="false">
      <c r="A3928" s="0" t="s">
        <v>3188</v>
      </c>
      <c r="B3928" s="0" t="s">
        <v>134</v>
      </c>
      <c r="C3928" s="0" t="s">
        <v>3447</v>
      </c>
      <c r="D3928" s="0" t="s">
        <v>3448</v>
      </c>
      <c r="E3928" s="0" t="s">
        <v>4963</v>
      </c>
      <c r="F3928" s="0" t="s">
        <v>30</v>
      </c>
      <c r="G3928" s="0" t="s">
        <v>4980</v>
      </c>
      <c r="H3928" s="0" t="s">
        <v>4539</v>
      </c>
      <c r="I3928" s="0" t="s">
        <v>4981</v>
      </c>
      <c r="J3928" s="18" t="s">
        <v>24</v>
      </c>
    </row>
    <row r="3929" customFormat="false" ht="15" hidden="false" customHeight="false" outlineLevel="0" collapsed="false">
      <c r="A3929" s="0" t="s">
        <v>3202</v>
      </c>
      <c r="B3929" s="0" t="s">
        <v>3459</v>
      </c>
      <c r="C3929" s="0" t="s">
        <v>3450</v>
      </c>
      <c r="D3929" s="0" t="s">
        <v>3457</v>
      </c>
      <c r="E3929" s="0" t="s">
        <v>4963</v>
      </c>
      <c r="F3929" s="0" t="s">
        <v>60</v>
      </c>
      <c r="G3929" s="0" t="s">
        <v>4964</v>
      </c>
      <c r="H3929" s="0" t="s">
        <v>5935</v>
      </c>
      <c r="I3929" s="0" t="s">
        <v>4966</v>
      </c>
      <c r="J3929" s="19" t="s">
        <v>26</v>
      </c>
    </row>
    <row r="3930" customFormat="false" ht="15" hidden="false" customHeight="false" outlineLevel="0" collapsed="false">
      <c r="A3930" s="0" t="s">
        <v>3202</v>
      </c>
      <c r="B3930" s="0" t="s">
        <v>134</v>
      </c>
      <c r="C3930" s="0" t="s">
        <v>3450</v>
      </c>
      <c r="D3930" s="0" t="s">
        <v>3457</v>
      </c>
      <c r="E3930" s="0" t="s">
        <v>4969</v>
      </c>
      <c r="F3930" s="0" t="s">
        <v>62</v>
      </c>
      <c r="G3930" s="0" t="s">
        <v>5003</v>
      </c>
      <c r="H3930" s="0" t="s">
        <v>6272</v>
      </c>
      <c r="I3930" s="0" t="s">
        <v>5005</v>
      </c>
      <c r="J3930" s="20" t="s">
        <v>25</v>
      </c>
    </row>
    <row r="3931" customFormat="false" ht="15" hidden="false" customHeight="false" outlineLevel="0" collapsed="false">
      <c r="A3931" s="0" t="s">
        <v>3202</v>
      </c>
      <c r="B3931" s="0" t="s">
        <v>134</v>
      </c>
      <c r="C3931" s="0" t="s">
        <v>3450</v>
      </c>
      <c r="D3931" s="0" t="s">
        <v>3457</v>
      </c>
      <c r="E3931" s="0" t="s">
        <v>4969</v>
      </c>
      <c r="F3931" s="0" t="s">
        <v>64</v>
      </c>
      <c r="G3931" s="0" t="s">
        <v>4220</v>
      </c>
      <c r="H3931" s="0" t="s">
        <v>6273</v>
      </c>
      <c r="I3931" s="0" t="s">
        <v>4991</v>
      </c>
      <c r="J3931" s="20" t="s">
        <v>25</v>
      </c>
    </row>
    <row r="3932" customFormat="false" ht="15" hidden="false" customHeight="false" outlineLevel="0" collapsed="false">
      <c r="A3932" s="0" t="s">
        <v>3202</v>
      </c>
      <c r="B3932" s="0" t="s">
        <v>134</v>
      </c>
      <c r="C3932" s="0" t="s">
        <v>3450</v>
      </c>
      <c r="D3932" s="0" t="s">
        <v>3448</v>
      </c>
      <c r="E3932" s="0" t="s">
        <v>4969</v>
      </c>
      <c r="F3932" s="0" t="s">
        <v>62</v>
      </c>
      <c r="G3932" s="0" t="s">
        <v>5003</v>
      </c>
      <c r="H3932" s="0" t="s">
        <v>6274</v>
      </c>
      <c r="I3932" s="0" t="s">
        <v>5005</v>
      </c>
      <c r="J3932" s="20" t="s">
        <v>25</v>
      </c>
    </row>
    <row r="3933" customFormat="false" ht="15" hidden="false" customHeight="false" outlineLevel="0" collapsed="false">
      <c r="A3933" s="0" t="s">
        <v>3202</v>
      </c>
      <c r="B3933" s="0" t="s">
        <v>134</v>
      </c>
      <c r="C3933" s="0" t="s">
        <v>3447</v>
      </c>
      <c r="D3933" s="0" t="s">
        <v>3457</v>
      </c>
      <c r="E3933" s="0" t="s">
        <v>4969</v>
      </c>
      <c r="F3933" s="0" t="s">
        <v>64</v>
      </c>
      <c r="G3933" s="0" t="s">
        <v>4220</v>
      </c>
      <c r="H3933" s="0" t="s">
        <v>6273</v>
      </c>
      <c r="I3933" s="0" t="s">
        <v>4991</v>
      </c>
      <c r="J3933" s="20" t="s">
        <v>25</v>
      </c>
    </row>
    <row r="3934" customFormat="false" ht="15" hidden="false" customHeight="false" outlineLevel="0" collapsed="false">
      <c r="A3934" s="0" t="s">
        <v>3202</v>
      </c>
      <c r="B3934" s="0" t="s">
        <v>3459</v>
      </c>
      <c r="C3934" s="0" t="s">
        <v>3450</v>
      </c>
      <c r="D3934" s="0" t="s">
        <v>3457</v>
      </c>
      <c r="E3934" s="0" t="s">
        <v>4963</v>
      </c>
      <c r="F3934" s="0" t="s">
        <v>59</v>
      </c>
      <c r="G3934" s="0" t="s">
        <v>4974</v>
      </c>
      <c r="H3934" s="0" t="s">
        <v>69</v>
      </c>
      <c r="I3934" s="0" t="s">
        <v>4975</v>
      </c>
      <c r="J3934" s="20" t="s">
        <v>25</v>
      </c>
    </row>
    <row r="3935" customFormat="false" ht="15" hidden="false" customHeight="false" outlineLevel="0" collapsed="false">
      <c r="A3935" s="0" t="s">
        <v>3202</v>
      </c>
      <c r="B3935" s="0" t="s">
        <v>3459</v>
      </c>
      <c r="C3935" s="0" t="s">
        <v>3450</v>
      </c>
      <c r="D3935" s="0" t="s">
        <v>3457</v>
      </c>
      <c r="E3935" s="0" t="s">
        <v>4969</v>
      </c>
      <c r="F3935" s="0" t="s">
        <v>62</v>
      </c>
      <c r="G3935" s="0" t="s">
        <v>5003</v>
      </c>
      <c r="H3935" s="0" t="s">
        <v>6275</v>
      </c>
      <c r="I3935" s="0" t="s">
        <v>5005</v>
      </c>
      <c r="J3935" s="20" t="s">
        <v>25</v>
      </c>
    </row>
    <row r="3936" customFormat="false" ht="15" hidden="false" customHeight="false" outlineLevel="0" collapsed="false">
      <c r="A3936" s="0" t="s">
        <v>3202</v>
      </c>
      <c r="B3936" s="0" t="s">
        <v>3459</v>
      </c>
      <c r="C3936" s="0" t="s">
        <v>3450</v>
      </c>
      <c r="D3936" s="0" t="s">
        <v>3448</v>
      </c>
      <c r="E3936" s="0" t="s">
        <v>4963</v>
      </c>
      <c r="F3936" s="0" t="s">
        <v>59</v>
      </c>
      <c r="G3936" s="0" t="s">
        <v>4974</v>
      </c>
      <c r="H3936" s="0" t="s">
        <v>69</v>
      </c>
      <c r="I3936" s="0" t="s">
        <v>4975</v>
      </c>
      <c r="J3936" s="20" t="s">
        <v>25</v>
      </c>
    </row>
    <row r="3937" customFormat="false" ht="15" hidden="false" customHeight="false" outlineLevel="0" collapsed="false">
      <c r="A3937" s="0" t="s">
        <v>3202</v>
      </c>
      <c r="B3937" s="0" t="s">
        <v>3459</v>
      </c>
      <c r="C3937" s="0" t="s">
        <v>3450</v>
      </c>
      <c r="D3937" s="0" t="s">
        <v>3448</v>
      </c>
      <c r="E3937" s="0" t="s">
        <v>4969</v>
      </c>
      <c r="F3937" s="0" t="s">
        <v>62</v>
      </c>
      <c r="G3937" s="0" t="s">
        <v>5003</v>
      </c>
      <c r="H3937" s="0" t="s">
        <v>6276</v>
      </c>
      <c r="I3937" s="0" t="s">
        <v>5005</v>
      </c>
      <c r="J3937" s="20" t="s">
        <v>25</v>
      </c>
    </row>
    <row r="3938" customFormat="false" ht="15" hidden="false" customHeight="false" outlineLevel="0" collapsed="false">
      <c r="A3938" s="0" t="s">
        <v>3202</v>
      </c>
      <c r="B3938" s="0" t="s">
        <v>134</v>
      </c>
      <c r="C3938" s="0" t="s">
        <v>3450</v>
      </c>
      <c r="D3938" s="0" t="s">
        <v>3457</v>
      </c>
      <c r="E3938" s="0" t="s">
        <v>4963</v>
      </c>
      <c r="F3938" s="0" t="s">
        <v>30</v>
      </c>
      <c r="G3938" s="0" t="s">
        <v>4980</v>
      </c>
      <c r="H3938" s="0" t="s">
        <v>4928</v>
      </c>
      <c r="I3938" s="0" t="s">
        <v>4981</v>
      </c>
      <c r="J3938" s="18" t="s">
        <v>24</v>
      </c>
    </row>
    <row r="3939" customFormat="false" ht="15" hidden="false" customHeight="false" outlineLevel="0" collapsed="false">
      <c r="A3939" s="0" t="s">
        <v>3202</v>
      </c>
      <c r="B3939" s="0" t="s">
        <v>134</v>
      </c>
      <c r="C3939" s="0" t="s">
        <v>3447</v>
      </c>
      <c r="D3939" s="0" t="s">
        <v>3457</v>
      </c>
      <c r="E3939" s="0" t="s">
        <v>4963</v>
      </c>
      <c r="F3939" s="0" t="s">
        <v>30</v>
      </c>
      <c r="G3939" s="0" t="s">
        <v>4980</v>
      </c>
      <c r="H3939" s="0" t="s">
        <v>4929</v>
      </c>
      <c r="I3939" s="0" t="s">
        <v>4981</v>
      </c>
      <c r="J3939" s="18" t="s">
        <v>24</v>
      </c>
    </row>
    <row r="3940" customFormat="false" ht="15" hidden="false" customHeight="false" outlineLevel="0" collapsed="false">
      <c r="A3940" s="0" t="s">
        <v>3202</v>
      </c>
      <c r="B3940" s="0" t="s">
        <v>134</v>
      </c>
      <c r="C3940" s="0" t="s">
        <v>3447</v>
      </c>
      <c r="D3940" s="0" t="s">
        <v>3448</v>
      </c>
      <c r="E3940" s="0" t="s">
        <v>4963</v>
      </c>
      <c r="F3940" s="0" t="s">
        <v>30</v>
      </c>
      <c r="G3940" s="0" t="s">
        <v>4980</v>
      </c>
      <c r="H3940" s="0" t="s">
        <v>4390</v>
      </c>
      <c r="I3940" s="0" t="s">
        <v>4981</v>
      </c>
      <c r="J3940" s="18" t="s">
        <v>24</v>
      </c>
    </row>
    <row r="3941" customFormat="false" ht="15" hidden="false" customHeight="false" outlineLevel="0" collapsed="false">
      <c r="A3941" s="0" t="s">
        <v>3202</v>
      </c>
      <c r="B3941" s="0" t="s">
        <v>3459</v>
      </c>
      <c r="C3941" s="0" t="s">
        <v>3450</v>
      </c>
      <c r="D3941" s="0" t="s">
        <v>3448</v>
      </c>
      <c r="E3941" s="0" t="s">
        <v>4963</v>
      </c>
      <c r="F3941" s="0" t="s">
        <v>30</v>
      </c>
      <c r="G3941" s="0" t="s">
        <v>4980</v>
      </c>
      <c r="H3941" s="0" t="s">
        <v>4242</v>
      </c>
      <c r="I3941" s="0" t="s">
        <v>4981</v>
      </c>
      <c r="J3941" s="18" t="s">
        <v>24</v>
      </c>
    </row>
    <row r="3942" customFormat="false" ht="15" hidden="false" customHeight="false" outlineLevel="0" collapsed="false">
      <c r="A3942" s="0" t="s">
        <v>3202</v>
      </c>
      <c r="B3942" s="0" t="s">
        <v>3459</v>
      </c>
      <c r="C3942" s="0" t="s">
        <v>3447</v>
      </c>
      <c r="D3942" s="0" t="s">
        <v>3457</v>
      </c>
      <c r="E3942" s="0" t="s">
        <v>4963</v>
      </c>
      <c r="F3942" s="0" t="s">
        <v>30</v>
      </c>
      <c r="G3942" s="0" t="s">
        <v>4980</v>
      </c>
      <c r="H3942" s="0" t="s">
        <v>4381</v>
      </c>
      <c r="I3942" s="0" t="s">
        <v>4981</v>
      </c>
      <c r="J3942" s="18" t="s">
        <v>24</v>
      </c>
    </row>
    <row r="3943" customFormat="false" ht="15" hidden="false" customHeight="false" outlineLevel="0" collapsed="false">
      <c r="A3943" s="0" t="s">
        <v>3202</v>
      </c>
      <c r="B3943" s="0" t="s">
        <v>3459</v>
      </c>
      <c r="C3943" s="0" t="s">
        <v>3447</v>
      </c>
      <c r="D3943" s="0" t="s">
        <v>3448</v>
      </c>
      <c r="E3943" s="0" t="s">
        <v>4963</v>
      </c>
      <c r="F3943" s="0" t="s">
        <v>30</v>
      </c>
      <c r="G3943" s="0" t="s">
        <v>4980</v>
      </c>
      <c r="H3943" s="0" t="s">
        <v>4280</v>
      </c>
      <c r="I3943" s="0" t="s">
        <v>4981</v>
      </c>
      <c r="J3943" s="18" t="s">
        <v>24</v>
      </c>
    </row>
    <row r="3944" customFormat="false" ht="15" hidden="false" customHeight="false" outlineLevel="0" collapsed="false">
      <c r="A3944" s="0" t="s">
        <v>3211</v>
      </c>
      <c r="B3944" s="0" t="s">
        <v>134</v>
      </c>
      <c r="C3944" s="0" t="s">
        <v>3450</v>
      </c>
      <c r="D3944" s="0" t="s">
        <v>3448</v>
      </c>
      <c r="E3944" s="0" t="s">
        <v>4963</v>
      </c>
      <c r="F3944" s="0" t="s">
        <v>60</v>
      </c>
      <c r="G3944" s="0" t="s">
        <v>4964</v>
      </c>
      <c r="H3944" s="0" t="s">
        <v>6277</v>
      </c>
      <c r="I3944" s="0" t="s">
        <v>4966</v>
      </c>
      <c r="J3944" s="19" t="s">
        <v>26</v>
      </c>
    </row>
    <row r="3945" customFormat="false" ht="15" hidden="false" customHeight="false" outlineLevel="0" collapsed="false">
      <c r="A3945" s="0" t="s">
        <v>3211</v>
      </c>
      <c r="B3945" s="0" t="s">
        <v>134</v>
      </c>
      <c r="C3945" s="0" t="s">
        <v>3447</v>
      </c>
      <c r="D3945" s="0" t="s">
        <v>3457</v>
      </c>
      <c r="E3945" s="0" t="s">
        <v>4963</v>
      </c>
      <c r="F3945" s="0" t="s">
        <v>60</v>
      </c>
      <c r="G3945" s="0" t="s">
        <v>4964</v>
      </c>
      <c r="H3945" s="0" t="s">
        <v>6278</v>
      </c>
      <c r="I3945" s="0" t="s">
        <v>4966</v>
      </c>
      <c r="J3945" s="19" t="s">
        <v>26</v>
      </c>
    </row>
    <row r="3946" customFormat="false" ht="15" hidden="false" customHeight="false" outlineLevel="0" collapsed="false">
      <c r="A3946" s="0" t="s">
        <v>3211</v>
      </c>
      <c r="B3946" s="0" t="s">
        <v>134</v>
      </c>
      <c r="C3946" s="0" t="s">
        <v>3447</v>
      </c>
      <c r="D3946" s="0" t="s">
        <v>3448</v>
      </c>
      <c r="E3946" s="0" t="s">
        <v>4963</v>
      </c>
      <c r="F3946" s="0" t="s">
        <v>60</v>
      </c>
      <c r="G3946" s="0" t="s">
        <v>4964</v>
      </c>
      <c r="H3946" s="0" t="s">
        <v>6278</v>
      </c>
      <c r="I3946" s="0" t="s">
        <v>4966</v>
      </c>
      <c r="J3946" s="19" t="s">
        <v>26</v>
      </c>
    </row>
    <row r="3947" customFormat="false" ht="15" hidden="false" customHeight="false" outlineLevel="0" collapsed="false">
      <c r="A3947" s="0" t="s">
        <v>3211</v>
      </c>
      <c r="B3947" s="0" t="s">
        <v>134</v>
      </c>
      <c r="C3947" s="0" t="s">
        <v>3450</v>
      </c>
      <c r="D3947" s="0" t="s">
        <v>3457</v>
      </c>
      <c r="E3947" s="0" t="s">
        <v>4963</v>
      </c>
      <c r="F3947" s="0" t="s">
        <v>59</v>
      </c>
      <c r="G3947" s="0" t="s">
        <v>4974</v>
      </c>
      <c r="H3947" s="0" t="s">
        <v>69</v>
      </c>
      <c r="I3947" s="0" t="s">
        <v>4975</v>
      </c>
      <c r="J3947" s="20" t="s">
        <v>25</v>
      </c>
    </row>
    <row r="3948" customFormat="false" ht="15" hidden="false" customHeight="false" outlineLevel="0" collapsed="false">
      <c r="A3948" s="0" t="s">
        <v>3211</v>
      </c>
      <c r="B3948" s="0" t="s">
        <v>134</v>
      </c>
      <c r="C3948" s="0" t="s">
        <v>3450</v>
      </c>
      <c r="D3948" s="0" t="s">
        <v>3457</v>
      </c>
      <c r="E3948" s="0" t="s">
        <v>4969</v>
      </c>
      <c r="F3948" s="0" t="s">
        <v>63</v>
      </c>
      <c r="G3948" s="0" t="s">
        <v>4220</v>
      </c>
      <c r="H3948" s="0" t="s">
        <v>6279</v>
      </c>
      <c r="I3948" s="0" t="s">
        <v>4979</v>
      </c>
      <c r="J3948" s="20" t="s">
        <v>25</v>
      </c>
    </row>
    <row r="3949" customFormat="false" ht="15" hidden="false" customHeight="false" outlineLevel="0" collapsed="false">
      <c r="A3949" s="0" t="s">
        <v>3211</v>
      </c>
      <c r="B3949" s="0" t="s">
        <v>134</v>
      </c>
      <c r="C3949" s="0" t="s">
        <v>3450</v>
      </c>
      <c r="D3949" s="0" t="s">
        <v>3448</v>
      </c>
      <c r="E3949" s="0" t="s">
        <v>4963</v>
      </c>
      <c r="F3949" s="0" t="s">
        <v>59</v>
      </c>
      <c r="G3949" s="0" t="s">
        <v>4974</v>
      </c>
      <c r="H3949" s="0" t="s">
        <v>69</v>
      </c>
      <c r="I3949" s="0" t="s">
        <v>4975</v>
      </c>
      <c r="J3949" s="20" t="s">
        <v>25</v>
      </c>
    </row>
    <row r="3950" customFormat="false" ht="15" hidden="false" customHeight="false" outlineLevel="0" collapsed="false">
      <c r="A3950" s="0" t="s">
        <v>3211</v>
      </c>
      <c r="B3950" s="0" t="s">
        <v>134</v>
      </c>
      <c r="C3950" s="0" t="s">
        <v>3450</v>
      </c>
      <c r="D3950" s="0" t="s">
        <v>3448</v>
      </c>
      <c r="E3950" s="0" t="s">
        <v>4969</v>
      </c>
      <c r="F3950" s="0" t="s">
        <v>63</v>
      </c>
      <c r="G3950" s="0" t="s">
        <v>4220</v>
      </c>
      <c r="H3950" s="0" t="s">
        <v>5461</v>
      </c>
      <c r="I3950" s="0" t="s">
        <v>4979</v>
      </c>
      <c r="J3950" s="20" t="s">
        <v>25</v>
      </c>
    </row>
    <row r="3951" customFormat="false" ht="15" hidden="false" customHeight="false" outlineLevel="0" collapsed="false">
      <c r="A3951" s="0" t="s">
        <v>3211</v>
      </c>
      <c r="B3951" s="0" t="s">
        <v>134</v>
      </c>
      <c r="C3951" s="0" t="s">
        <v>3447</v>
      </c>
      <c r="D3951" s="0" t="s">
        <v>3457</v>
      </c>
      <c r="E3951" s="0" t="s">
        <v>4969</v>
      </c>
      <c r="F3951" s="0" t="s">
        <v>63</v>
      </c>
      <c r="G3951" s="0" t="s">
        <v>4220</v>
      </c>
      <c r="H3951" s="0" t="s">
        <v>6279</v>
      </c>
      <c r="I3951" s="0" t="s">
        <v>4979</v>
      </c>
      <c r="J3951" s="20" t="s">
        <v>25</v>
      </c>
    </row>
    <row r="3952" customFormat="false" ht="15" hidden="false" customHeight="false" outlineLevel="0" collapsed="false">
      <c r="A3952" s="0" t="s">
        <v>3211</v>
      </c>
      <c r="B3952" s="0" t="s">
        <v>134</v>
      </c>
      <c r="C3952" s="0" t="s">
        <v>3447</v>
      </c>
      <c r="D3952" s="0" t="s">
        <v>3448</v>
      </c>
      <c r="E3952" s="0" t="s">
        <v>4969</v>
      </c>
      <c r="F3952" s="0" t="s">
        <v>63</v>
      </c>
      <c r="G3952" s="0" t="s">
        <v>4220</v>
      </c>
      <c r="H3952" s="0" t="s">
        <v>5461</v>
      </c>
      <c r="I3952" s="0" t="s">
        <v>4979</v>
      </c>
      <c r="J3952" s="20" t="s">
        <v>25</v>
      </c>
    </row>
    <row r="3953" customFormat="false" ht="15" hidden="false" customHeight="false" outlineLevel="0" collapsed="false">
      <c r="A3953" s="0" t="s">
        <v>3211</v>
      </c>
      <c r="B3953" s="0" t="s">
        <v>134</v>
      </c>
      <c r="C3953" s="0" t="s">
        <v>3450</v>
      </c>
      <c r="D3953" s="0" t="s">
        <v>3457</v>
      </c>
      <c r="E3953" s="0" t="s">
        <v>4963</v>
      </c>
      <c r="F3953" s="0" t="s">
        <v>30</v>
      </c>
      <c r="G3953" s="0" t="s">
        <v>4980</v>
      </c>
      <c r="H3953" s="0" t="s">
        <v>4335</v>
      </c>
      <c r="I3953" s="0" t="s">
        <v>4981</v>
      </c>
      <c r="J3953" s="18" t="s">
        <v>24</v>
      </c>
    </row>
    <row r="3954" customFormat="false" ht="15" hidden="false" customHeight="false" outlineLevel="0" collapsed="false">
      <c r="A3954" s="0" t="s">
        <v>3216</v>
      </c>
      <c r="B3954" s="0" t="s">
        <v>134</v>
      </c>
      <c r="C3954" s="0" t="s">
        <v>3450</v>
      </c>
      <c r="D3954" s="0" t="s">
        <v>3457</v>
      </c>
      <c r="E3954" s="0" t="s">
        <v>4963</v>
      </c>
      <c r="F3954" s="0" t="s">
        <v>59</v>
      </c>
      <c r="G3954" s="0" t="s">
        <v>4974</v>
      </c>
      <c r="H3954" s="0" t="s">
        <v>69</v>
      </c>
      <c r="I3954" s="0" t="s">
        <v>4975</v>
      </c>
      <c r="J3954" s="20" t="s">
        <v>25</v>
      </c>
    </row>
    <row r="3955" customFormat="false" ht="15" hidden="false" customHeight="false" outlineLevel="0" collapsed="false">
      <c r="A3955" s="0" t="s">
        <v>3216</v>
      </c>
      <c r="B3955" s="0" t="s">
        <v>134</v>
      </c>
      <c r="C3955" s="0" t="s">
        <v>3450</v>
      </c>
      <c r="D3955" s="0" t="s">
        <v>3457</v>
      </c>
      <c r="E3955" s="0" t="s">
        <v>4969</v>
      </c>
      <c r="F3955" s="0" t="s">
        <v>62</v>
      </c>
      <c r="G3955" s="0" t="s">
        <v>5003</v>
      </c>
      <c r="H3955" s="0" t="s">
        <v>6280</v>
      </c>
      <c r="I3955" s="0" t="s">
        <v>5005</v>
      </c>
      <c r="J3955" s="20" t="s">
        <v>25</v>
      </c>
    </row>
    <row r="3956" customFormat="false" ht="15" hidden="false" customHeight="false" outlineLevel="0" collapsed="false">
      <c r="A3956" s="0" t="s">
        <v>3216</v>
      </c>
      <c r="B3956" s="0" t="s">
        <v>134</v>
      </c>
      <c r="C3956" s="0" t="s">
        <v>3450</v>
      </c>
      <c r="D3956" s="0" t="s">
        <v>3448</v>
      </c>
      <c r="E3956" s="0" t="s">
        <v>4963</v>
      </c>
      <c r="F3956" s="0" t="s">
        <v>59</v>
      </c>
      <c r="G3956" s="0" t="s">
        <v>4974</v>
      </c>
      <c r="H3956" s="0" t="s">
        <v>69</v>
      </c>
      <c r="I3956" s="0" t="s">
        <v>4975</v>
      </c>
      <c r="J3956" s="20" t="s">
        <v>25</v>
      </c>
    </row>
    <row r="3957" customFormat="false" ht="15" hidden="false" customHeight="false" outlineLevel="0" collapsed="false">
      <c r="A3957" s="0" t="s">
        <v>3216</v>
      </c>
      <c r="B3957" s="0" t="s">
        <v>134</v>
      </c>
      <c r="C3957" s="0" t="s">
        <v>3450</v>
      </c>
      <c r="D3957" s="0" t="s">
        <v>3448</v>
      </c>
      <c r="E3957" s="0" t="s">
        <v>4969</v>
      </c>
      <c r="F3957" s="0" t="s">
        <v>61</v>
      </c>
      <c r="G3957" s="0" t="s">
        <v>4970</v>
      </c>
      <c r="H3957" s="0" t="s">
        <v>6281</v>
      </c>
      <c r="I3957" s="0" t="s">
        <v>4972</v>
      </c>
      <c r="J3957" s="20" t="s">
        <v>25</v>
      </c>
    </row>
    <row r="3958" customFormat="false" ht="15" hidden="false" customHeight="false" outlineLevel="0" collapsed="false">
      <c r="A3958" s="0" t="s">
        <v>3216</v>
      </c>
      <c r="B3958" s="0" t="s">
        <v>134</v>
      </c>
      <c r="C3958" s="0" t="s">
        <v>3450</v>
      </c>
      <c r="D3958" s="0" t="s">
        <v>3448</v>
      </c>
      <c r="E3958" s="0" t="s">
        <v>4969</v>
      </c>
      <c r="F3958" s="0" t="s">
        <v>62</v>
      </c>
      <c r="G3958" s="0" t="s">
        <v>5003</v>
      </c>
      <c r="H3958" s="0" t="s">
        <v>6282</v>
      </c>
      <c r="I3958" s="0" t="s">
        <v>5005</v>
      </c>
      <c r="J3958" s="20" t="s">
        <v>25</v>
      </c>
    </row>
    <row r="3959" customFormat="false" ht="15" hidden="false" customHeight="false" outlineLevel="0" collapsed="false">
      <c r="A3959" s="0" t="s">
        <v>3216</v>
      </c>
      <c r="B3959" s="0" t="s">
        <v>134</v>
      </c>
      <c r="C3959" s="0" t="s">
        <v>3450</v>
      </c>
      <c r="D3959" s="0" t="s">
        <v>3448</v>
      </c>
      <c r="E3959" s="0" t="s">
        <v>4969</v>
      </c>
      <c r="F3959" s="0" t="s">
        <v>64</v>
      </c>
      <c r="G3959" s="0" t="s">
        <v>4220</v>
      </c>
      <c r="H3959" s="0" t="s">
        <v>6283</v>
      </c>
      <c r="I3959" s="0" t="s">
        <v>4991</v>
      </c>
      <c r="J3959" s="20" t="s">
        <v>25</v>
      </c>
    </row>
    <row r="3960" customFormat="false" ht="15" hidden="false" customHeight="false" outlineLevel="0" collapsed="false">
      <c r="A3960" s="0" t="s">
        <v>3216</v>
      </c>
      <c r="B3960" s="0" t="s">
        <v>134</v>
      </c>
      <c r="C3960" s="0" t="s">
        <v>3447</v>
      </c>
      <c r="D3960" s="0" t="s">
        <v>3457</v>
      </c>
      <c r="E3960" s="0" t="s">
        <v>4963</v>
      </c>
      <c r="F3960" s="0" t="s">
        <v>59</v>
      </c>
      <c r="G3960" s="0" t="s">
        <v>4974</v>
      </c>
      <c r="H3960" s="0" t="s">
        <v>69</v>
      </c>
      <c r="I3960" s="0" t="s">
        <v>4975</v>
      </c>
      <c r="J3960" s="20" t="s">
        <v>25</v>
      </c>
    </row>
    <row r="3961" customFormat="false" ht="15" hidden="false" customHeight="false" outlineLevel="0" collapsed="false">
      <c r="A3961" s="0" t="s">
        <v>3216</v>
      </c>
      <c r="B3961" s="0" t="s">
        <v>134</v>
      </c>
      <c r="C3961" s="0" t="s">
        <v>3447</v>
      </c>
      <c r="D3961" s="0" t="s">
        <v>3448</v>
      </c>
      <c r="E3961" s="0" t="s">
        <v>4963</v>
      </c>
      <c r="F3961" s="0" t="s">
        <v>59</v>
      </c>
      <c r="G3961" s="0" t="s">
        <v>4974</v>
      </c>
      <c r="H3961" s="0" t="s">
        <v>69</v>
      </c>
      <c r="I3961" s="0" t="s">
        <v>4975</v>
      </c>
      <c r="J3961" s="20" t="s">
        <v>25</v>
      </c>
    </row>
    <row r="3962" customFormat="false" ht="15" hidden="false" customHeight="false" outlineLevel="0" collapsed="false">
      <c r="A3962" s="0" t="s">
        <v>3216</v>
      </c>
      <c r="B3962" s="0" t="s">
        <v>134</v>
      </c>
      <c r="C3962" s="0" t="s">
        <v>3447</v>
      </c>
      <c r="D3962" s="0" t="s">
        <v>3448</v>
      </c>
      <c r="E3962" s="0" t="s">
        <v>4969</v>
      </c>
      <c r="F3962" s="0" t="s">
        <v>64</v>
      </c>
      <c r="G3962" s="0" t="s">
        <v>4220</v>
      </c>
      <c r="H3962" s="0" t="s">
        <v>6283</v>
      </c>
      <c r="I3962" s="0" t="s">
        <v>4991</v>
      </c>
      <c r="J3962" s="20" t="s">
        <v>25</v>
      </c>
    </row>
    <row r="3963" customFormat="false" ht="15" hidden="false" customHeight="false" outlineLevel="0" collapsed="false">
      <c r="A3963" s="0" t="s">
        <v>3216</v>
      </c>
      <c r="B3963" s="0" t="s">
        <v>3459</v>
      </c>
      <c r="C3963" s="0" t="s">
        <v>3450</v>
      </c>
      <c r="D3963" s="0" t="s">
        <v>3457</v>
      </c>
      <c r="E3963" s="0" t="s">
        <v>4969</v>
      </c>
      <c r="F3963" s="0" t="s">
        <v>61</v>
      </c>
      <c r="G3963" s="0" t="s">
        <v>4970</v>
      </c>
      <c r="H3963" s="0" t="s">
        <v>6284</v>
      </c>
      <c r="I3963" s="0" t="s">
        <v>4972</v>
      </c>
      <c r="J3963" s="20" t="s">
        <v>25</v>
      </c>
    </row>
    <row r="3964" customFormat="false" ht="15" hidden="false" customHeight="false" outlineLevel="0" collapsed="false">
      <c r="A3964" s="0" t="s">
        <v>3216</v>
      </c>
      <c r="B3964" s="0" t="s">
        <v>3459</v>
      </c>
      <c r="C3964" s="0" t="s">
        <v>3450</v>
      </c>
      <c r="D3964" s="0" t="s">
        <v>3457</v>
      </c>
      <c r="E3964" s="0" t="s">
        <v>4969</v>
      </c>
      <c r="F3964" s="0" t="s">
        <v>62</v>
      </c>
      <c r="G3964" s="0" t="s">
        <v>5003</v>
      </c>
      <c r="H3964" s="0" t="s">
        <v>6285</v>
      </c>
      <c r="I3964" s="0" t="s">
        <v>5005</v>
      </c>
      <c r="J3964" s="20" t="s">
        <v>25</v>
      </c>
    </row>
    <row r="3965" customFormat="false" ht="15" hidden="false" customHeight="false" outlineLevel="0" collapsed="false">
      <c r="A3965" s="0" t="s">
        <v>3216</v>
      </c>
      <c r="B3965" s="0" t="s">
        <v>3459</v>
      </c>
      <c r="C3965" s="0" t="s">
        <v>3450</v>
      </c>
      <c r="D3965" s="0" t="s">
        <v>3448</v>
      </c>
      <c r="E3965" s="0" t="s">
        <v>4969</v>
      </c>
      <c r="F3965" s="0" t="s">
        <v>61</v>
      </c>
      <c r="G3965" s="0" t="s">
        <v>4970</v>
      </c>
      <c r="H3965" s="0" t="s">
        <v>6286</v>
      </c>
      <c r="I3965" s="0" t="s">
        <v>4972</v>
      </c>
      <c r="J3965" s="20" t="s">
        <v>25</v>
      </c>
    </row>
    <row r="3966" customFormat="false" ht="15" hidden="false" customHeight="false" outlineLevel="0" collapsed="false">
      <c r="A3966" s="0" t="s">
        <v>3216</v>
      </c>
      <c r="B3966" s="0" t="s">
        <v>3459</v>
      </c>
      <c r="C3966" s="0" t="s">
        <v>3450</v>
      </c>
      <c r="D3966" s="0" t="s">
        <v>3448</v>
      </c>
      <c r="E3966" s="0" t="s">
        <v>4969</v>
      </c>
      <c r="F3966" s="0" t="s">
        <v>62</v>
      </c>
      <c r="G3966" s="0" t="s">
        <v>5003</v>
      </c>
      <c r="H3966" s="0" t="s">
        <v>6287</v>
      </c>
      <c r="I3966" s="0" t="s">
        <v>5005</v>
      </c>
      <c r="J3966" s="20" t="s">
        <v>25</v>
      </c>
    </row>
    <row r="3967" customFormat="false" ht="15" hidden="false" customHeight="false" outlineLevel="0" collapsed="false">
      <c r="A3967" s="0" t="s">
        <v>3216</v>
      </c>
      <c r="B3967" s="0" t="s">
        <v>3459</v>
      </c>
      <c r="C3967" s="0" t="s">
        <v>3447</v>
      </c>
      <c r="D3967" s="0" t="s">
        <v>3457</v>
      </c>
      <c r="E3967" s="0" t="s">
        <v>4969</v>
      </c>
      <c r="F3967" s="0" t="s">
        <v>61</v>
      </c>
      <c r="G3967" s="0" t="s">
        <v>4970</v>
      </c>
      <c r="H3967" s="0" t="s">
        <v>6288</v>
      </c>
      <c r="I3967" s="0" t="s">
        <v>4972</v>
      </c>
      <c r="J3967" s="20" t="s">
        <v>25</v>
      </c>
    </row>
    <row r="3968" customFormat="false" ht="15" hidden="false" customHeight="false" outlineLevel="0" collapsed="false">
      <c r="A3968" s="0" t="s">
        <v>3216</v>
      </c>
      <c r="B3968" s="0" t="s">
        <v>3459</v>
      </c>
      <c r="C3968" s="0" t="s">
        <v>3447</v>
      </c>
      <c r="D3968" s="0" t="s">
        <v>3448</v>
      </c>
      <c r="E3968" s="0" t="s">
        <v>4969</v>
      </c>
      <c r="F3968" s="0" t="s">
        <v>61</v>
      </c>
      <c r="G3968" s="0" t="s">
        <v>4970</v>
      </c>
      <c r="H3968" s="0" t="s">
        <v>6289</v>
      </c>
      <c r="I3968" s="0" t="s">
        <v>4972</v>
      </c>
      <c r="J3968" s="20" t="s">
        <v>25</v>
      </c>
    </row>
    <row r="3969" customFormat="false" ht="15" hidden="false" customHeight="false" outlineLevel="0" collapsed="false">
      <c r="A3969" s="0" t="s">
        <v>3216</v>
      </c>
      <c r="B3969" s="0" t="s">
        <v>134</v>
      </c>
      <c r="C3969" s="0" t="s">
        <v>3450</v>
      </c>
      <c r="D3969" s="0" t="s">
        <v>3457</v>
      </c>
      <c r="E3969" s="0" t="s">
        <v>4963</v>
      </c>
      <c r="F3969" s="0" t="s">
        <v>30</v>
      </c>
      <c r="G3969" s="0" t="s">
        <v>4980</v>
      </c>
      <c r="H3969" s="0" t="s">
        <v>4932</v>
      </c>
      <c r="I3969" s="0" t="s">
        <v>4981</v>
      </c>
      <c r="J3969" s="18" t="s">
        <v>24</v>
      </c>
    </row>
    <row r="3970" customFormat="false" ht="15" hidden="false" customHeight="false" outlineLevel="0" collapsed="false">
      <c r="A3970" s="0" t="s">
        <v>3216</v>
      </c>
      <c r="B3970" s="0" t="s">
        <v>134</v>
      </c>
      <c r="C3970" s="0" t="s">
        <v>3450</v>
      </c>
      <c r="D3970" s="0" t="s">
        <v>3448</v>
      </c>
      <c r="E3970" s="0" t="s">
        <v>4963</v>
      </c>
      <c r="F3970" s="0" t="s">
        <v>30</v>
      </c>
      <c r="G3970" s="0" t="s">
        <v>4980</v>
      </c>
      <c r="H3970" s="0" t="s">
        <v>4847</v>
      </c>
      <c r="I3970" s="0" t="s">
        <v>4981</v>
      </c>
      <c r="J3970" s="18" t="s">
        <v>24</v>
      </c>
    </row>
    <row r="3971" customFormat="false" ht="15" hidden="false" customHeight="false" outlineLevel="0" collapsed="false">
      <c r="A3971" s="0" t="s">
        <v>3216</v>
      </c>
      <c r="B3971" s="0" t="s">
        <v>134</v>
      </c>
      <c r="C3971" s="0" t="s">
        <v>3447</v>
      </c>
      <c r="D3971" s="0" t="s">
        <v>3457</v>
      </c>
      <c r="E3971" s="0" t="s">
        <v>4963</v>
      </c>
      <c r="F3971" s="0" t="s">
        <v>30</v>
      </c>
      <c r="G3971" s="0" t="s">
        <v>4980</v>
      </c>
      <c r="H3971" s="0" t="s">
        <v>4847</v>
      </c>
      <c r="I3971" s="0" t="s">
        <v>4981</v>
      </c>
      <c r="J3971" s="18" t="s">
        <v>24</v>
      </c>
    </row>
    <row r="3972" customFormat="false" ht="15" hidden="false" customHeight="false" outlineLevel="0" collapsed="false">
      <c r="A3972" s="0" t="s">
        <v>3216</v>
      </c>
      <c r="B3972" s="0" t="s">
        <v>134</v>
      </c>
      <c r="C3972" s="0" t="s">
        <v>3447</v>
      </c>
      <c r="D3972" s="0" t="s">
        <v>3448</v>
      </c>
      <c r="E3972" s="0" t="s">
        <v>4963</v>
      </c>
      <c r="F3972" s="0" t="s">
        <v>30</v>
      </c>
      <c r="G3972" s="0" t="s">
        <v>4980</v>
      </c>
      <c r="H3972" s="0" t="s">
        <v>4847</v>
      </c>
      <c r="I3972" s="0" t="s">
        <v>4981</v>
      </c>
      <c r="J3972" s="18" t="s">
        <v>24</v>
      </c>
    </row>
    <row r="3973" customFormat="false" ht="15" hidden="false" customHeight="false" outlineLevel="0" collapsed="false">
      <c r="A3973" s="0" t="s">
        <v>3225</v>
      </c>
      <c r="B3973" s="0" t="s">
        <v>3459</v>
      </c>
      <c r="C3973" s="0" t="s">
        <v>3450</v>
      </c>
      <c r="D3973" s="0" t="s">
        <v>3457</v>
      </c>
      <c r="E3973" s="0" t="s">
        <v>4963</v>
      </c>
      <c r="F3973" s="0" t="s">
        <v>60</v>
      </c>
      <c r="G3973" s="0" t="s">
        <v>4964</v>
      </c>
      <c r="H3973" s="0" t="s">
        <v>5615</v>
      </c>
      <c r="I3973" s="0" t="s">
        <v>4966</v>
      </c>
      <c r="J3973" s="19" t="s">
        <v>26</v>
      </c>
    </row>
    <row r="3974" customFormat="false" ht="15" hidden="false" customHeight="false" outlineLevel="0" collapsed="false">
      <c r="A3974" s="0" t="s">
        <v>3225</v>
      </c>
      <c r="B3974" s="0" t="s">
        <v>134</v>
      </c>
      <c r="C3974" s="0" t="s">
        <v>3450</v>
      </c>
      <c r="D3974" s="0" t="s">
        <v>3457</v>
      </c>
      <c r="E3974" s="0" t="s">
        <v>4969</v>
      </c>
      <c r="F3974" s="0" t="s">
        <v>62</v>
      </c>
      <c r="G3974" s="0" t="s">
        <v>5003</v>
      </c>
      <c r="H3974" s="0" t="s">
        <v>6290</v>
      </c>
      <c r="I3974" s="0" t="s">
        <v>5005</v>
      </c>
      <c r="J3974" s="20" t="s">
        <v>25</v>
      </c>
    </row>
    <row r="3975" customFormat="false" ht="15" hidden="false" customHeight="false" outlineLevel="0" collapsed="false">
      <c r="A3975" s="0" t="s">
        <v>3225</v>
      </c>
      <c r="B3975" s="0" t="s">
        <v>134</v>
      </c>
      <c r="C3975" s="0" t="s">
        <v>3450</v>
      </c>
      <c r="D3975" s="0" t="s">
        <v>3448</v>
      </c>
      <c r="E3975" s="0" t="s">
        <v>4963</v>
      </c>
      <c r="F3975" s="0" t="s">
        <v>59</v>
      </c>
      <c r="G3975" s="0" t="s">
        <v>4974</v>
      </c>
      <c r="H3975" s="0" t="s">
        <v>69</v>
      </c>
      <c r="I3975" s="0" t="s">
        <v>4975</v>
      </c>
      <c r="J3975" s="20" t="s">
        <v>25</v>
      </c>
    </row>
    <row r="3976" customFormat="false" ht="15" hidden="false" customHeight="false" outlineLevel="0" collapsed="false">
      <c r="A3976" s="0" t="s">
        <v>3225</v>
      </c>
      <c r="B3976" s="0" t="s">
        <v>134</v>
      </c>
      <c r="C3976" s="0" t="s">
        <v>3450</v>
      </c>
      <c r="D3976" s="0" t="s">
        <v>3448</v>
      </c>
      <c r="E3976" s="0" t="s">
        <v>4969</v>
      </c>
      <c r="F3976" s="0" t="s">
        <v>62</v>
      </c>
      <c r="G3976" s="0" t="s">
        <v>5003</v>
      </c>
      <c r="H3976" s="0" t="s">
        <v>6291</v>
      </c>
      <c r="I3976" s="0" t="s">
        <v>5005</v>
      </c>
      <c r="J3976" s="20" t="s">
        <v>25</v>
      </c>
    </row>
    <row r="3977" customFormat="false" ht="15" hidden="false" customHeight="false" outlineLevel="0" collapsed="false">
      <c r="A3977" s="0" t="s">
        <v>3225</v>
      </c>
      <c r="B3977" s="0" t="s">
        <v>134</v>
      </c>
      <c r="C3977" s="0" t="s">
        <v>3450</v>
      </c>
      <c r="D3977" s="0" t="s">
        <v>3448</v>
      </c>
      <c r="E3977" s="0" t="s">
        <v>4969</v>
      </c>
      <c r="F3977" s="0" t="s">
        <v>64</v>
      </c>
      <c r="G3977" s="0" t="s">
        <v>4220</v>
      </c>
      <c r="H3977" s="0" t="s">
        <v>6292</v>
      </c>
      <c r="I3977" s="0" t="s">
        <v>4991</v>
      </c>
      <c r="J3977" s="20" t="s">
        <v>25</v>
      </c>
    </row>
    <row r="3978" customFormat="false" ht="15" hidden="false" customHeight="false" outlineLevel="0" collapsed="false">
      <c r="A3978" s="0" t="s">
        <v>3225</v>
      </c>
      <c r="B3978" s="0" t="s">
        <v>134</v>
      </c>
      <c r="C3978" s="0" t="s">
        <v>3447</v>
      </c>
      <c r="D3978" s="0" t="s">
        <v>3457</v>
      </c>
      <c r="E3978" s="0" t="s">
        <v>4963</v>
      </c>
      <c r="F3978" s="0" t="s">
        <v>59</v>
      </c>
      <c r="G3978" s="0" t="s">
        <v>4974</v>
      </c>
      <c r="H3978" s="0" t="s">
        <v>70</v>
      </c>
      <c r="I3978" s="0" t="s">
        <v>4975</v>
      </c>
      <c r="J3978" s="20" t="s">
        <v>25</v>
      </c>
    </row>
    <row r="3979" customFormat="false" ht="15" hidden="false" customHeight="false" outlineLevel="0" collapsed="false">
      <c r="A3979" s="0" t="s">
        <v>3225</v>
      </c>
      <c r="B3979" s="0" t="s">
        <v>134</v>
      </c>
      <c r="C3979" s="0" t="s">
        <v>3447</v>
      </c>
      <c r="D3979" s="0" t="s">
        <v>3448</v>
      </c>
      <c r="E3979" s="0" t="s">
        <v>4969</v>
      </c>
      <c r="F3979" s="0" t="s">
        <v>64</v>
      </c>
      <c r="G3979" s="0" t="s">
        <v>4220</v>
      </c>
      <c r="H3979" s="0" t="s">
        <v>6292</v>
      </c>
      <c r="I3979" s="0" t="s">
        <v>4991</v>
      </c>
      <c r="J3979" s="20" t="s">
        <v>25</v>
      </c>
    </row>
    <row r="3980" customFormat="false" ht="15" hidden="false" customHeight="false" outlineLevel="0" collapsed="false">
      <c r="A3980" s="0" t="s">
        <v>3225</v>
      </c>
      <c r="B3980" s="0" t="s">
        <v>3459</v>
      </c>
      <c r="C3980" s="0" t="s">
        <v>3450</v>
      </c>
      <c r="D3980" s="0" t="s">
        <v>3457</v>
      </c>
      <c r="E3980" s="0" t="s">
        <v>4963</v>
      </c>
      <c r="F3980" s="0" t="s">
        <v>59</v>
      </c>
      <c r="G3980" s="0" t="s">
        <v>4974</v>
      </c>
      <c r="H3980" s="0" t="s">
        <v>69</v>
      </c>
      <c r="I3980" s="0" t="s">
        <v>4975</v>
      </c>
      <c r="J3980" s="20" t="s">
        <v>25</v>
      </c>
    </row>
    <row r="3981" customFormat="false" ht="15" hidden="false" customHeight="false" outlineLevel="0" collapsed="false">
      <c r="A3981" s="0" t="s">
        <v>3225</v>
      </c>
      <c r="B3981" s="0" t="s">
        <v>3459</v>
      </c>
      <c r="C3981" s="0" t="s">
        <v>3450</v>
      </c>
      <c r="D3981" s="0" t="s">
        <v>3448</v>
      </c>
      <c r="E3981" s="0" t="s">
        <v>4963</v>
      </c>
      <c r="F3981" s="0" t="s">
        <v>59</v>
      </c>
      <c r="G3981" s="0" t="s">
        <v>4974</v>
      </c>
      <c r="H3981" s="0" t="s">
        <v>69</v>
      </c>
      <c r="I3981" s="0" t="s">
        <v>4975</v>
      </c>
      <c r="J3981" s="20" t="s">
        <v>25</v>
      </c>
    </row>
    <row r="3982" customFormat="false" ht="15" hidden="false" customHeight="false" outlineLevel="0" collapsed="false">
      <c r="A3982" s="0" t="s">
        <v>3225</v>
      </c>
      <c r="B3982" s="0" t="s">
        <v>3459</v>
      </c>
      <c r="C3982" s="0" t="s">
        <v>3450</v>
      </c>
      <c r="D3982" s="0" t="s">
        <v>3448</v>
      </c>
      <c r="E3982" s="0" t="s">
        <v>4969</v>
      </c>
      <c r="F3982" s="0" t="s">
        <v>64</v>
      </c>
      <c r="G3982" s="0" t="s">
        <v>4220</v>
      </c>
      <c r="H3982" s="0" t="s">
        <v>6293</v>
      </c>
      <c r="I3982" s="0" t="s">
        <v>4991</v>
      </c>
      <c r="J3982" s="20" t="s">
        <v>25</v>
      </c>
    </row>
    <row r="3983" customFormat="false" ht="15" hidden="false" customHeight="false" outlineLevel="0" collapsed="false">
      <c r="A3983" s="0" t="s">
        <v>3225</v>
      </c>
      <c r="B3983" s="0" t="s">
        <v>3459</v>
      </c>
      <c r="C3983" s="0" t="s">
        <v>3447</v>
      </c>
      <c r="D3983" s="0" t="s">
        <v>3457</v>
      </c>
      <c r="E3983" s="0" t="s">
        <v>4963</v>
      </c>
      <c r="F3983" s="0" t="s">
        <v>59</v>
      </c>
      <c r="G3983" s="0" t="s">
        <v>4974</v>
      </c>
      <c r="H3983" s="0" t="s">
        <v>69</v>
      </c>
      <c r="I3983" s="0" t="s">
        <v>4975</v>
      </c>
      <c r="J3983" s="20" t="s">
        <v>25</v>
      </c>
    </row>
    <row r="3984" customFormat="false" ht="15" hidden="false" customHeight="false" outlineLevel="0" collapsed="false">
      <c r="A3984" s="0" t="s">
        <v>3225</v>
      </c>
      <c r="B3984" s="0" t="s">
        <v>3459</v>
      </c>
      <c r="C3984" s="0" t="s">
        <v>3447</v>
      </c>
      <c r="D3984" s="0" t="s">
        <v>3448</v>
      </c>
      <c r="E3984" s="0" t="s">
        <v>4963</v>
      </c>
      <c r="F3984" s="0" t="s">
        <v>59</v>
      </c>
      <c r="G3984" s="0" t="s">
        <v>4974</v>
      </c>
      <c r="H3984" s="0" t="s">
        <v>69</v>
      </c>
      <c r="I3984" s="0" t="s">
        <v>4975</v>
      </c>
      <c r="J3984" s="20" t="s">
        <v>25</v>
      </c>
    </row>
    <row r="3985" customFormat="false" ht="15" hidden="false" customHeight="false" outlineLevel="0" collapsed="false">
      <c r="A3985" s="0" t="s">
        <v>3225</v>
      </c>
      <c r="B3985" s="0" t="s">
        <v>3459</v>
      </c>
      <c r="C3985" s="0" t="s">
        <v>3447</v>
      </c>
      <c r="D3985" s="0" t="s">
        <v>3448</v>
      </c>
      <c r="E3985" s="0" t="s">
        <v>4969</v>
      </c>
      <c r="F3985" s="0" t="s">
        <v>64</v>
      </c>
      <c r="G3985" s="0" t="s">
        <v>4220</v>
      </c>
      <c r="H3985" s="0" t="s">
        <v>6293</v>
      </c>
      <c r="I3985" s="0" t="s">
        <v>4991</v>
      </c>
      <c r="J3985" s="20" t="s">
        <v>25</v>
      </c>
    </row>
    <row r="3986" customFormat="false" ht="15" hidden="false" customHeight="false" outlineLevel="0" collapsed="false">
      <c r="A3986" s="0" t="s">
        <v>3225</v>
      </c>
      <c r="B3986" s="0" t="s">
        <v>134</v>
      </c>
      <c r="C3986" s="0" t="s">
        <v>3450</v>
      </c>
      <c r="D3986" s="0" t="s">
        <v>3457</v>
      </c>
      <c r="E3986" s="0" t="s">
        <v>4963</v>
      </c>
      <c r="F3986" s="0" t="s">
        <v>30</v>
      </c>
      <c r="G3986" s="0" t="s">
        <v>4980</v>
      </c>
      <c r="H3986" s="0" t="s">
        <v>4908</v>
      </c>
      <c r="I3986" s="0" t="s">
        <v>4981</v>
      </c>
      <c r="J3986" s="18" t="s">
        <v>24</v>
      </c>
    </row>
    <row r="3987" customFormat="false" ht="15" hidden="false" customHeight="false" outlineLevel="0" collapsed="false">
      <c r="A3987" s="0" t="s">
        <v>3225</v>
      </c>
      <c r="B3987" s="0" t="s">
        <v>134</v>
      </c>
      <c r="C3987" s="0" t="s">
        <v>3450</v>
      </c>
      <c r="D3987" s="0" t="s">
        <v>3448</v>
      </c>
      <c r="E3987" s="0" t="s">
        <v>4963</v>
      </c>
      <c r="F3987" s="0" t="s">
        <v>30</v>
      </c>
      <c r="G3987" s="0" t="s">
        <v>4980</v>
      </c>
      <c r="H3987" s="0" t="s">
        <v>4242</v>
      </c>
      <c r="I3987" s="0" t="s">
        <v>4981</v>
      </c>
      <c r="J3987" s="18" t="s">
        <v>24</v>
      </c>
    </row>
    <row r="3988" customFormat="false" ht="15" hidden="false" customHeight="false" outlineLevel="0" collapsed="false">
      <c r="A3988" s="0" t="s">
        <v>3225</v>
      </c>
      <c r="B3988" s="0" t="s">
        <v>134</v>
      </c>
      <c r="C3988" s="0" t="s">
        <v>3447</v>
      </c>
      <c r="D3988" s="0" t="s">
        <v>3457</v>
      </c>
      <c r="E3988" s="0" t="s">
        <v>4963</v>
      </c>
      <c r="F3988" s="0" t="s">
        <v>30</v>
      </c>
      <c r="G3988" s="0" t="s">
        <v>4980</v>
      </c>
      <c r="H3988" s="0" t="s">
        <v>4231</v>
      </c>
      <c r="I3988" s="0" t="s">
        <v>4981</v>
      </c>
      <c r="J3988" s="18" t="s">
        <v>24</v>
      </c>
    </row>
    <row r="3989" customFormat="false" ht="15" hidden="false" customHeight="false" outlineLevel="0" collapsed="false">
      <c r="A3989" s="0" t="s">
        <v>3225</v>
      </c>
      <c r="B3989" s="0" t="s">
        <v>134</v>
      </c>
      <c r="C3989" s="0" t="s">
        <v>3447</v>
      </c>
      <c r="D3989" s="0" t="s">
        <v>3448</v>
      </c>
      <c r="E3989" s="0" t="s">
        <v>4963</v>
      </c>
      <c r="F3989" s="0" t="s">
        <v>30</v>
      </c>
      <c r="G3989" s="0" t="s">
        <v>4980</v>
      </c>
      <c r="H3989" s="0" t="s">
        <v>4457</v>
      </c>
      <c r="I3989" s="0" t="s">
        <v>4981</v>
      </c>
      <c r="J3989" s="18" t="s">
        <v>24</v>
      </c>
    </row>
    <row r="3990" customFormat="false" ht="15" hidden="false" customHeight="false" outlineLevel="0" collapsed="false">
      <c r="A3990" s="0" t="s">
        <v>3225</v>
      </c>
      <c r="B3990" s="0" t="s">
        <v>3459</v>
      </c>
      <c r="C3990" s="0" t="s">
        <v>3450</v>
      </c>
      <c r="D3990" s="0" t="s">
        <v>3448</v>
      </c>
      <c r="E3990" s="0" t="s">
        <v>4963</v>
      </c>
      <c r="F3990" s="0" t="s">
        <v>30</v>
      </c>
      <c r="G3990" s="0" t="s">
        <v>4980</v>
      </c>
      <c r="H3990" s="0" t="s">
        <v>4242</v>
      </c>
      <c r="I3990" s="0" t="s">
        <v>4981</v>
      </c>
      <c r="J3990" s="18" t="s">
        <v>24</v>
      </c>
    </row>
    <row r="3991" customFormat="false" ht="15" hidden="false" customHeight="false" outlineLevel="0" collapsed="false">
      <c r="A3991" s="0" t="s">
        <v>3225</v>
      </c>
      <c r="B3991" s="0" t="s">
        <v>3459</v>
      </c>
      <c r="C3991" s="0" t="s">
        <v>3447</v>
      </c>
      <c r="D3991" s="0" t="s">
        <v>3457</v>
      </c>
      <c r="E3991" s="0" t="s">
        <v>4963</v>
      </c>
      <c r="F3991" s="0" t="s">
        <v>30</v>
      </c>
      <c r="G3991" s="0" t="s">
        <v>4980</v>
      </c>
      <c r="H3991" s="0" t="s">
        <v>4275</v>
      </c>
      <c r="I3991" s="0" t="s">
        <v>4981</v>
      </c>
      <c r="J3991" s="18" t="s">
        <v>24</v>
      </c>
    </row>
    <row r="3992" customFormat="false" ht="15" hidden="false" customHeight="false" outlineLevel="0" collapsed="false">
      <c r="A3992" s="0" t="s">
        <v>3225</v>
      </c>
      <c r="B3992" s="0" t="s">
        <v>3459</v>
      </c>
      <c r="C3992" s="0" t="s">
        <v>3447</v>
      </c>
      <c r="D3992" s="0" t="s">
        <v>3448</v>
      </c>
      <c r="E3992" s="0" t="s">
        <v>4963</v>
      </c>
      <c r="F3992" s="0" t="s">
        <v>30</v>
      </c>
      <c r="G3992" s="0" t="s">
        <v>4980</v>
      </c>
      <c r="H3992" s="0" t="s">
        <v>4265</v>
      </c>
      <c r="I3992" s="0" t="s">
        <v>4981</v>
      </c>
      <c r="J3992" s="18" t="s">
        <v>24</v>
      </c>
    </row>
    <row r="3993" customFormat="false" ht="15" hidden="false" customHeight="false" outlineLevel="0" collapsed="false">
      <c r="A3993" s="0" t="s">
        <v>3236</v>
      </c>
      <c r="B3993" s="0" t="s">
        <v>134</v>
      </c>
      <c r="C3993" s="0" t="s">
        <v>3447</v>
      </c>
      <c r="D3993" s="0" t="s">
        <v>3457</v>
      </c>
      <c r="E3993" s="0" t="s">
        <v>4963</v>
      </c>
      <c r="F3993" s="0" t="s">
        <v>60</v>
      </c>
      <c r="G3993" s="0" t="s">
        <v>4964</v>
      </c>
      <c r="H3993" s="0" t="s">
        <v>5204</v>
      </c>
      <c r="I3993" s="0" t="s">
        <v>4966</v>
      </c>
      <c r="J3993" s="19" t="s">
        <v>26</v>
      </c>
    </row>
    <row r="3994" customFormat="false" ht="15" hidden="false" customHeight="false" outlineLevel="0" collapsed="false">
      <c r="A3994" s="0" t="s">
        <v>3236</v>
      </c>
      <c r="B3994" s="0" t="s">
        <v>134</v>
      </c>
      <c r="C3994" s="0" t="s">
        <v>3447</v>
      </c>
      <c r="D3994" s="0" t="s">
        <v>3448</v>
      </c>
      <c r="E3994" s="0" t="s">
        <v>4963</v>
      </c>
      <c r="F3994" s="0" t="s">
        <v>60</v>
      </c>
      <c r="G3994" s="0" t="s">
        <v>4964</v>
      </c>
      <c r="H3994" s="0" t="s">
        <v>5046</v>
      </c>
      <c r="I3994" s="0" t="s">
        <v>4966</v>
      </c>
      <c r="J3994" s="19" t="s">
        <v>26</v>
      </c>
    </row>
    <row r="3995" customFormat="false" ht="15" hidden="false" customHeight="false" outlineLevel="0" collapsed="false">
      <c r="A3995" s="0" t="s">
        <v>3236</v>
      </c>
      <c r="B3995" s="0" t="s">
        <v>134</v>
      </c>
      <c r="C3995" s="0" t="s">
        <v>3450</v>
      </c>
      <c r="D3995" s="0" t="s">
        <v>3457</v>
      </c>
      <c r="E3995" s="0" t="s">
        <v>4963</v>
      </c>
      <c r="F3995" s="0" t="s">
        <v>59</v>
      </c>
      <c r="G3995" s="0" t="s">
        <v>4974</v>
      </c>
      <c r="H3995" s="0" t="s">
        <v>69</v>
      </c>
      <c r="I3995" s="0" t="s">
        <v>4975</v>
      </c>
      <c r="J3995" s="20" t="s">
        <v>25</v>
      </c>
    </row>
    <row r="3996" customFormat="false" ht="15" hidden="false" customHeight="false" outlineLevel="0" collapsed="false">
      <c r="A3996" s="0" t="s">
        <v>3236</v>
      </c>
      <c r="B3996" s="0" t="s">
        <v>134</v>
      </c>
      <c r="C3996" s="0" t="s">
        <v>3450</v>
      </c>
      <c r="D3996" s="0" t="s">
        <v>3448</v>
      </c>
      <c r="E3996" s="0" t="s">
        <v>4963</v>
      </c>
      <c r="F3996" s="0" t="s">
        <v>59</v>
      </c>
      <c r="G3996" s="0" t="s">
        <v>4974</v>
      </c>
      <c r="H3996" s="0" t="s">
        <v>69</v>
      </c>
      <c r="I3996" s="0" t="s">
        <v>4975</v>
      </c>
      <c r="J3996" s="20" t="s">
        <v>25</v>
      </c>
    </row>
    <row r="3997" customFormat="false" ht="15" hidden="false" customHeight="false" outlineLevel="0" collapsed="false">
      <c r="A3997" s="0" t="s">
        <v>3236</v>
      </c>
      <c r="B3997" s="0" t="s">
        <v>134</v>
      </c>
      <c r="C3997" s="0" t="s">
        <v>3447</v>
      </c>
      <c r="D3997" s="0" t="s">
        <v>3457</v>
      </c>
      <c r="E3997" s="0" t="s">
        <v>4963</v>
      </c>
      <c r="F3997" s="0" t="s">
        <v>59</v>
      </c>
      <c r="G3997" s="0" t="s">
        <v>4974</v>
      </c>
      <c r="H3997" s="0" t="s">
        <v>69</v>
      </c>
      <c r="I3997" s="0" t="s">
        <v>4975</v>
      </c>
      <c r="J3997" s="20" t="s">
        <v>25</v>
      </c>
    </row>
    <row r="3998" customFormat="false" ht="15" hidden="false" customHeight="false" outlineLevel="0" collapsed="false">
      <c r="A3998" s="0" t="s">
        <v>3236</v>
      </c>
      <c r="B3998" s="0" t="s">
        <v>134</v>
      </c>
      <c r="C3998" s="0" t="s">
        <v>3447</v>
      </c>
      <c r="D3998" s="0" t="s">
        <v>3448</v>
      </c>
      <c r="E3998" s="0" t="s">
        <v>4963</v>
      </c>
      <c r="F3998" s="0" t="s">
        <v>59</v>
      </c>
      <c r="G3998" s="0" t="s">
        <v>4974</v>
      </c>
      <c r="H3998" s="0" t="s">
        <v>69</v>
      </c>
      <c r="I3998" s="0" t="s">
        <v>4975</v>
      </c>
      <c r="J3998" s="20" t="s">
        <v>25</v>
      </c>
    </row>
    <row r="3999" customFormat="false" ht="15" hidden="false" customHeight="false" outlineLevel="0" collapsed="false">
      <c r="A3999" s="0" t="s">
        <v>3236</v>
      </c>
      <c r="B3999" s="0" t="s">
        <v>134</v>
      </c>
      <c r="C3999" s="0" t="s">
        <v>3450</v>
      </c>
      <c r="D3999" s="0" t="s">
        <v>3457</v>
      </c>
      <c r="E3999" s="0" t="s">
        <v>4963</v>
      </c>
      <c r="F3999" s="0" t="s">
        <v>30</v>
      </c>
      <c r="G3999" s="0" t="s">
        <v>4980</v>
      </c>
      <c r="H3999" s="0" t="s">
        <v>4238</v>
      </c>
      <c r="I3999" s="0" t="s">
        <v>4981</v>
      </c>
      <c r="J3999" s="18" t="s">
        <v>24</v>
      </c>
    </row>
    <row r="4000" customFormat="false" ht="15" hidden="false" customHeight="false" outlineLevel="0" collapsed="false">
      <c r="A4000" s="0" t="s">
        <v>3236</v>
      </c>
      <c r="B4000" s="0" t="s">
        <v>134</v>
      </c>
      <c r="C4000" s="0" t="s">
        <v>3450</v>
      </c>
      <c r="D4000" s="0" t="s">
        <v>3448</v>
      </c>
      <c r="E4000" s="0" t="s">
        <v>4963</v>
      </c>
      <c r="F4000" s="0" t="s">
        <v>30</v>
      </c>
      <c r="G4000" s="0" t="s">
        <v>4980</v>
      </c>
      <c r="H4000" s="0" t="s">
        <v>4238</v>
      </c>
      <c r="I4000" s="0" t="s">
        <v>4981</v>
      </c>
      <c r="J4000" s="18" t="s">
        <v>24</v>
      </c>
    </row>
    <row r="4001" customFormat="false" ht="15" hidden="false" customHeight="false" outlineLevel="0" collapsed="false">
      <c r="A4001" s="0" t="s">
        <v>3242</v>
      </c>
      <c r="B4001" s="0" t="s">
        <v>134</v>
      </c>
      <c r="C4001" s="0" t="s">
        <v>3450</v>
      </c>
      <c r="D4001" s="0" t="s">
        <v>3457</v>
      </c>
      <c r="E4001" s="0" t="s">
        <v>4963</v>
      </c>
      <c r="F4001" s="0" t="s">
        <v>60</v>
      </c>
      <c r="G4001" s="0" t="s">
        <v>4964</v>
      </c>
      <c r="H4001" s="0" t="s">
        <v>5615</v>
      </c>
      <c r="I4001" s="0" t="s">
        <v>4966</v>
      </c>
      <c r="J4001" s="19" t="s">
        <v>26</v>
      </c>
    </row>
    <row r="4002" customFormat="false" ht="15" hidden="false" customHeight="false" outlineLevel="0" collapsed="false">
      <c r="A4002" s="0" t="s">
        <v>3242</v>
      </c>
      <c r="B4002" s="0" t="s">
        <v>134</v>
      </c>
      <c r="C4002" s="0" t="s">
        <v>3450</v>
      </c>
      <c r="D4002" s="0" t="s">
        <v>3457</v>
      </c>
      <c r="E4002" s="0" t="s">
        <v>4963</v>
      </c>
      <c r="F4002" s="0" t="s">
        <v>59</v>
      </c>
      <c r="G4002" s="0" t="s">
        <v>4974</v>
      </c>
      <c r="H4002" s="0" t="s">
        <v>69</v>
      </c>
      <c r="I4002" s="0" t="s">
        <v>4975</v>
      </c>
      <c r="J4002" s="20" t="s">
        <v>25</v>
      </c>
    </row>
    <row r="4003" customFormat="false" ht="15" hidden="false" customHeight="false" outlineLevel="0" collapsed="false">
      <c r="A4003" s="0" t="s">
        <v>3242</v>
      </c>
      <c r="B4003" s="0" t="s">
        <v>134</v>
      </c>
      <c r="C4003" s="0" t="s">
        <v>3450</v>
      </c>
      <c r="D4003" s="0" t="s">
        <v>3448</v>
      </c>
      <c r="E4003" s="0" t="s">
        <v>4963</v>
      </c>
      <c r="F4003" s="0" t="s">
        <v>59</v>
      </c>
      <c r="G4003" s="0" t="s">
        <v>4974</v>
      </c>
      <c r="H4003" s="0" t="s">
        <v>69</v>
      </c>
      <c r="I4003" s="0" t="s">
        <v>4975</v>
      </c>
      <c r="J4003" s="20" t="s">
        <v>25</v>
      </c>
    </row>
    <row r="4004" customFormat="false" ht="15" hidden="false" customHeight="false" outlineLevel="0" collapsed="false">
      <c r="A4004" s="0" t="s">
        <v>3242</v>
      </c>
      <c r="B4004" s="0" t="s">
        <v>134</v>
      </c>
      <c r="C4004" s="0" t="s">
        <v>3450</v>
      </c>
      <c r="D4004" s="0" t="s">
        <v>3448</v>
      </c>
      <c r="E4004" s="0" t="s">
        <v>4969</v>
      </c>
      <c r="F4004" s="0" t="s">
        <v>61</v>
      </c>
      <c r="G4004" s="0" t="s">
        <v>4970</v>
      </c>
      <c r="H4004" s="0" t="s">
        <v>6294</v>
      </c>
      <c r="I4004" s="0" t="s">
        <v>4972</v>
      </c>
      <c r="J4004" s="20" t="s">
        <v>25</v>
      </c>
    </row>
    <row r="4005" customFormat="false" ht="15" hidden="false" customHeight="false" outlineLevel="0" collapsed="false">
      <c r="A4005" s="0" t="s">
        <v>3242</v>
      </c>
      <c r="B4005" s="0" t="s">
        <v>134</v>
      </c>
      <c r="C4005" s="0" t="s">
        <v>3447</v>
      </c>
      <c r="D4005" s="0" t="s">
        <v>3457</v>
      </c>
      <c r="E4005" s="0" t="s">
        <v>4963</v>
      </c>
      <c r="F4005" s="0" t="s">
        <v>59</v>
      </c>
      <c r="G4005" s="0" t="s">
        <v>4974</v>
      </c>
      <c r="H4005" s="0" t="s">
        <v>69</v>
      </c>
      <c r="I4005" s="0" t="s">
        <v>4975</v>
      </c>
      <c r="J4005" s="20" t="s">
        <v>25</v>
      </c>
    </row>
    <row r="4006" customFormat="false" ht="15" hidden="false" customHeight="false" outlineLevel="0" collapsed="false">
      <c r="A4006" s="0" t="s">
        <v>3242</v>
      </c>
      <c r="B4006" s="0" t="s">
        <v>134</v>
      </c>
      <c r="C4006" s="0" t="s">
        <v>3447</v>
      </c>
      <c r="D4006" s="0" t="s">
        <v>3448</v>
      </c>
      <c r="E4006" s="0" t="s">
        <v>4969</v>
      </c>
      <c r="F4006" s="0" t="s">
        <v>61</v>
      </c>
      <c r="G4006" s="0" t="s">
        <v>4970</v>
      </c>
      <c r="H4006" s="0" t="s">
        <v>5746</v>
      </c>
      <c r="I4006" s="0" t="s">
        <v>4972</v>
      </c>
      <c r="J4006" s="20" t="s">
        <v>25</v>
      </c>
    </row>
    <row r="4007" customFormat="false" ht="15" hidden="false" customHeight="false" outlineLevel="0" collapsed="false">
      <c r="A4007" s="0" t="s">
        <v>3242</v>
      </c>
      <c r="B4007" s="0" t="s">
        <v>134</v>
      </c>
      <c r="C4007" s="0" t="s">
        <v>3450</v>
      </c>
      <c r="D4007" s="0" t="s">
        <v>3448</v>
      </c>
      <c r="E4007" s="0" t="s">
        <v>4963</v>
      </c>
      <c r="F4007" s="0" t="s">
        <v>30</v>
      </c>
      <c r="G4007" s="0" t="s">
        <v>4980</v>
      </c>
      <c r="H4007" s="0" t="s">
        <v>4335</v>
      </c>
      <c r="I4007" s="0" t="s">
        <v>4981</v>
      </c>
      <c r="J4007" s="18" t="s">
        <v>24</v>
      </c>
    </row>
    <row r="4008" customFormat="false" ht="15" hidden="false" customHeight="false" outlineLevel="0" collapsed="false">
      <c r="A4008" s="0" t="s">
        <v>3242</v>
      </c>
      <c r="B4008" s="0" t="s">
        <v>134</v>
      </c>
      <c r="C4008" s="0" t="s">
        <v>3447</v>
      </c>
      <c r="D4008" s="0" t="s">
        <v>3457</v>
      </c>
      <c r="E4008" s="0" t="s">
        <v>4963</v>
      </c>
      <c r="F4008" s="0" t="s">
        <v>30</v>
      </c>
      <c r="G4008" s="0" t="s">
        <v>4980</v>
      </c>
      <c r="H4008" s="0" t="s">
        <v>4535</v>
      </c>
      <c r="I4008" s="0" t="s">
        <v>4981</v>
      </c>
      <c r="J4008" s="18" t="s">
        <v>24</v>
      </c>
    </row>
    <row r="4009" customFormat="false" ht="15" hidden="false" customHeight="false" outlineLevel="0" collapsed="false">
      <c r="A4009" s="0" t="s">
        <v>3242</v>
      </c>
      <c r="B4009" s="0" t="s">
        <v>134</v>
      </c>
      <c r="C4009" s="0" t="s">
        <v>3447</v>
      </c>
      <c r="D4009" s="0" t="s">
        <v>3448</v>
      </c>
      <c r="E4009" s="0" t="s">
        <v>4963</v>
      </c>
      <c r="F4009" s="0" t="s">
        <v>30</v>
      </c>
      <c r="G4009" s="0" t="s">
        <v>4980</v>
      </c>
      <c r="H4009" s="0" t="s">
        <v>4288</v>
      </c>
      <c r="I4009" s="0" t="s">
        <v>4981</v>
      </c>
      <c r="J4009" s="18" t="s">
        <v>24</v>
      </c>
    </row>
    <row r="4010" customFormat="false" ht="15" hidden="false" customHeight="false" outlineLevel="0" collapsed="false">
      <c r="A4010" s="0" t="s">
        <v>3248</v>
      </c>
      <c r="B4010" s="0" t="s">
        <v>134</v>
      </c>
      <c r="C4010" s="0" t="s">
        <v>3447</v>
      </c>
      <c r="D4010" s="0" t="s">
        <v>3457</v>
      </c>
      <c r="E4010" s="0" t="s">
        <v>4963</v>
      </c>
      <c r="F4010" s="0" t="s">
        <v>60</v>
      </c>
      <c r="G4010" s="0" t="s">
        <v>4964</v>
      </c>
      <c r="H4010" s="0" t="s">
        <v>6295</v>
      </c>
      <c r="I4010" s="0" t="s">
        <v>4966</v>
      </c>
      <c r="J4010" s="19" t="s">
        <v>26</v>
      </c>
    </row>
    <row r="4011" customFormat="false" ht="15" hidden="false" customHeight="false" outlineLevel="0" collapsed="false">
      <c r="A4011" s="0" t="s">
        <v>3248</v>
      </c>
      <c r="B4011" s="0" t="s">
        <v>134</v>
      </c>
      <c r="C4011" s="0" t="s">
        <v>3447</v>
      </c>
      <c r="D4011" s="0" t="s">
        <v>3448</v>
      </c>
      <c r="E4011" s="0" t="s">
        <v>4963</v>
      </c>
      <c r="F4011" s="0" t="s">
        <v>60</v>
      </c>
      <c r="G4011" s="0" t="s">
        <v>4964</v>
      </c>
      <c r="H4011" s="0" t="s">
        <v>5501</v>
      </c>
      <c r="I4011" s="0" t="s">
        <v>4966</v>
      </c>
      <c r="J4011" s="19" t="s">
        <v>26</v>
      </c>
    </row>
    <row r="4012" customFormat="false" ht="15" hidden="false" customHeight="false" outlineLevel="0" collapsed="false">
      <c r="A4012" s="0" t="s">
        <v>3248</v>
      </c>
      <c r="B4012" s="0" t="s">
        <v>134</v>
      </c>
      <c r="C4012" s="0" t="s">
        <v>3450</v>
      </c>
      <c r="D4012" s="0" t="s">
        <v>3457</v>
      </c>
      <c r="E4012" s="0" t="s">
        <v>4963</v>
      </c>
      <c r="F4012" s="0" t="s">
        <v>59</v>
      </c>
      <c r="G4012" s="0" t="s">
        <v>4974</v>
      </c>
      <c r="H4012" s="0" t="s">
        <v>69</v>
      </c>
      <c r="I4012" s="0" t="s">
        <v>4975</v>
      </c>
      <c r="J4012" s="20" t="s">
        <v>25</v>
      </c>
    </row>
    <row r="4013" customFormat="false" ht="15" hidden="false" customHeight="false" outlineLevel="0" collapsed="false">
      <c r="A4013" s="0" t="s">
        <v>3248</v>
      </c>
      <c r="B4013" s="0" t="s">
        <v>134</v>
      </c>
      <c r="C4013" s="0" t="s">
        <v>3450</v>
      </c>
      <c r="D4013" s="0" t="s">
        <v>3448</v>
      </c>
      <c r="E4013" s="0" t="s">
        <v>4963</v>
      </c>
      <c r="F4013" s="0" t="s">
        <v>59</v>
      </c>
      <c r="G4013" s="0" t="s">
        <v>4974</v>
      </c>
      <c r="H4013" s="0" t="s">
        <v>69</v>
      </c>
      <c r="I4013" s="0" t="s">
        <v>4975</v>
      </c>
      <c r="J4013" s="20" t="s">
        <v>25</v>
      </c>
    </row>
    <row r="4014" customFormat="false" ht="15" hidden="false" customHeight="false" outlineLevel="0" collapsed="false">
      <c r="A4014" s="0" t="s">
        <v>3248</v>
      </c>
      <c r="B4014" s="0" t="s">
        <v>134</v>
      </c>
      <c r="C4014" s="0" t="s">
        <v>3450</v>
      </c>
      <c r="D4014" s="0" t="s">
        <v>3448</v>
      </c>
      <c r="E4014" s="0" t="s">
        <v>4969</v>
      </c>
      <c r="F4014" s="0" t="s">
        <v>64</v>
      </c>
      <c r="G4014" s="0" t="s">
        <v>4220</v>
      </c>
      <c r="H4014" s="0" t="s">
        <v>5099</v>
      </c>
      <c r="I4014" s="0" t="s">
        <v>4991</v>
      </c>
      <c r="J4014" s="20" t="s">
        <v>25</v>
      </c>
    </row>
    <row r="4015" customFormat="false" ht="15" hidden="false" customHeight="false" outlineLevel="0" collapsed="false">
      <c r="A4015" s="0" t="s">
        <v>3248</v>
      </c>
      <c r="B4015" s="0" t="s">
        <v>134</v>
      </c>
      <c r="C4015" s="0" t="s">
        <v>3447</v>
      </c>
      <c r="D4015" s="0" t="s">
        <v>3457</v>
      </c>
      <c r="E4015" s="0" t="s">
        <v>4963</v>
      </c>
      <c r="F4015" s="0" t="s">
        <v>59</v>
      </c>
      <c r="G4015" s="0" t="s">
        <v>4974</v>
      </c>
      <c r="H4015" s="0" t="s">
        <v>69</v>
      </c>
      <c r="I4015" s="0" t="s">
        <v>4975</v>
      </c>
      <c r="J4015" s="20" t="s">
        <v>25</v>
      </c>
    </row>
    <row r="4016" customFormat="false" ht="15" hidden="false" customHeight="false" outlineLevel="0" collapsed="false">
      <c r="A4016" s="0" t="s">
        <v>3248</v>
      </c>
      <c r="B4016" s="0" t="s">
        <v>134</v>
      </c>
      <c r="C4016" s="0" t="s">
        <v>3447</v>
      </c>
      <c r="D4016" s="0" t="s">
        <v>3448</v>
      </c>
      <c r="E4016" s="0" t="s">
        <v>4963</v>
      </c>
      <c r="F4016" s="0" t="s">
        <v>59</v>
      </c>
      <c r="G4016" s="0" t="s">
        <v>4974</v>
      </c>
      <c r="H4016" s="0" t="s">
        <v>69</v>
      </c>
      <c r="I4016" s="0" t="s">
        <v>4975</v>
      </c>
      <c r="J4016" s="20" t="s">
        <v>25</v>
      </c>
    </row>
    <row r="4017" customFormat="false" ht="15" hidden="false" customHeight="false" outlineLevel="0" collapsed="false">
      <c r="A4017" s="0" t="s">
        <v>3248</v>
      </c>
      <c r="B4017" s="0" t="s">
        <v>134</v>
      </c>
      <c r="C4017" s="0" t="s">
        <v>3447</v>
      </c>
      <c r="D4017" s="0" t="s">
        <v>3448</v>
      </c>
      <c r="E4017" s="0" t="s">
        <v>4969</v>
      </c>
      <c r="F4017" s="0" t="s">
        <v>64</v>
      </c>
      <c r="G4017" s="0" t="s">
        <v>4220</v>
      </c>
      <c r="H4017" s="0" t="s">
        <v>5099</v>
      </c>
      <c r="I4017" s="0" t="s">
        <v>4991</v>
      </c>
      <c r="J4017" s="20" t="s">
        <v>25</v>
      </c>
    </row>
    <row r="4018" customFormat="false" ht="15" hidden="false" customHeight="false" outlineLevel="0" collapsed="false">
      <c r="A4018" s="0" t="s">
        <v>3248</v>
      </c>
      <c r="B4018" s="0" t="s">
        <v>134</v>
      </c>
      <c r="C4018" s="0" t="s">
        <v>3450</v>
      </c>
      <c r="D4018" s="0" t="s">
        <v>3457</v>
      </c>
      <c r="E4018" s="0" t="s">
        <v>4963</v>
      </c>
      <c r="F4018" s="0" t="s">
        <v>30</v>
      </c>
      <c r="G4018" s="0" t="s">
        <v>4980</v>
      </c>
      <c r="H4018" s="0" t="s">
        <v>4242</v>
      </c>
      <c r="I4018" s="0" t="s">
        <v>4981</v>
      </c>
      <c r="J4018" s="18" t="s">
        <v>24</v>
      </c>
    </row>
    <row r="4019" customFormat="false" ht="15" hidden="false" customHeight="false" outlineLevel="0" collapsed="false">
      <c r="A4019" s="0" t="s">
        <v>3248</v>
      </c>
      <c r="B4019" s="0" t="s">
        <v>134</v>
      </c>
      <c r="C4019" s="0" t="s">
        <v>3450</v>
      </c>
      <c r="D4019" s="0" t="s">
        <v>3448</v>
      </c>
      <c r="E4019" s="0" t="s">
        <v>4963</v>
      </c>
      <c r="F4019" s="0" t="s">
        <v>30</v>
      </c>
      <c r="G4019" s="0" t="s">
        <v>4980</v>
      </c>
      <c r="H4019" s="0" t="s">
        <v>4242</v>
      </c>
      <c r="I4019" s="0" t="s">
        <v>4981</v>
      </c>
      <c r="J4019" s="18" t="s">
        <v>24</v>
      </c>
    </row>
    <row r="4020" customFormat="false" ht="15" hidden="false" customHeight="false" outlineLevel="0" collapsed="false">
      <c r="A4020" s="0" t="s">
        <v>3259</v>
      </c>
      <c r="B4020" s="0" t="s">
        <v>3459</v>
      </c>
      <c r="C4020" s="0" t="s">
        <v>3450</v>
      </c>
      <c r="D4020" s="0" t="s">
        <v>3457</v>
      </c>
      <c r="E4020" s="0" t="s">
        <v>4969</v>
      </c>
      <c r="F4020" s="0" t="s">
        <v>61</v>
      </c>
      <c r="G4020" s="0" t="s">
        <v>4970</v>
      </c>
      <c r="H4020" s="0" t="s">
        <v>6296</v>
      </c>
      <c r="I4020" s="0" t="s">
        <v>4972</v>
      </c>
      <c r="J4020" s="20" t="s">
        <v>25</v>
      </c>
    </row>
    <row r="4021" customFormat="false" ht="15" hidden="false" customHeight="false" outlineLevel="0" collapsed="false">
      <c r="A4021" s="0" t="s">
        <v>3259</v>
      </c>
      <c r="B4021" s="0" t="s">
        <v>3459</v>
      </c>
      <c r="C4021" s="0" t="s">
        <v>3450</v>
      </c>
      <c r="D4021" s="0" t="s">
        <v>3448</v>
      </c>
      <c r="E4021" s="0" t="s">
        <v>4963</v>
      </c>
      <c r="F4021" s="0" t="s">
        <v>59</v>
      </c>
      <c r="G4021" s="0" t="s">
        <v>4974</v>
      </c>
      <c r="H4021" s="0" t="s">
        <v>69</v>
      </c>
      <c r="I4021" s="0" t="s">
        <v>4975</v>
      </c>
      <c r="J4021" s="20" t="s">
        <v>25</v>
      </c>
    </row>
    <row r="4022" customFormat="false" ht="15" hidden="false" customHeight="false" outlineLevel="0" collapsed="false">
      <c r="A4022" s="0" t="s">
        <v>3259</v>
      </c>
      <c r="B4022" s="0" t="s">
        <v>3459</v>
      </c>
      <c r="C4022" s="0" t="s">
        <v>3450</v>
      </c>
      <c r="D4022" s="0" t="s">
        <v>3448</v>
      </c>
      <c r="E4022" s="0" t="s">
        <v>4969</v>
      </c>
      <c r="F4022" s="0" t="s">
        <v>61</v>
      </c>
      <c r="G4022" s="0" t="s">
        <v>4970</v>
      </c>
      <c r="H4022" s="0" t="s">
        <v>6297</v>
      </c>
      <c r="I4022" s="0" t="s">
        <v>4972</v>
      </c>
      <c r="J4022" s="20" t="s">
        <v>25</v>
      </c>
    </row>
    <row r="4023" customFormat="false" ht="15" hidden="false" customHeight="false" outlineLevel="0" collapsed="false">
      <c r="A4023" s="0" t="s">
        <v>3259</v>
      </c>
      <c r="B4023" s="0" t="s">
        <v>3459</v>
      </c>
      <c r="C4023" s="0" t="s">
        <v>3447</v>
      </c>
      <c r="D4023" s="0" t="s">
        <v>3448</v>
      </c>
      <c r="E4023" s="0" t="s">
        <v>4969</v>
      </c>
      <c r="F4023" s="0" t="s">
        <v>61</v>
      </c>
      <c r="G4023" s="0" t="s">
        <v>4970</v>
      </c>
      <c r="H4023" s="0" t="s">
        <v>6298</v>
      </c>
      <c r="I4023" s="0" t="s">
        <v>4972</v>
      </c>
      <c r="J4023" s="20" t="s">
        <v>25</v>
      </c>
    </row>
    <row r="4024" customFormat="false" ht="15" hidden="false" customHeight="false" outlineLevel="0" collapsed="false">
      <c r="A4024" s="0" t="s">
        <v>3259</v>
      </c>
      <c r="B4024" s="0" t="s">
        <v>3459</v>
      </c>
      <c r="C4024" s="0" t="s">
        <v>3450</v>
      </c>
      <c r="D4024" s="0" t="s">
        <v>3457</v>
      </c>
      <c r="E4024" s="0" t="s">
        <v>4963</v>
      </c>
      <c r="F4024" s="0" t="s">
        <v>30</v>
      </c>
      <c r="G4024" s="0" t="s">
        <v>4980</v>
      </c>
      <c r="H4024" s="0" t="s">
        <v>4934</v>
      </c>
      <c r="I4024" s="0" t="s">
        <v>4981</v>
      </c>
      <c r="J4024" s="18" t="s">
        <v>24</v>
      </c>
    </row>
    <row r="4025" customFormat="false" ht="15" hidden="false" customHeight="false" outlineLevel="0" collapsed="false">
      <c r="A4025" s="0" t="s">
        <v>3259</v>
      </c>
      <c r="B4025" s="0" t="s">
        <v>3459</v>
      </c>
      <c r="C4025" s="0" t="s">
        <v>3450</v>
      </c>
      <c r="D4025" s="0" t="s">
        <v>3448</v>
      </c>
      <c r="E4025" s="0" t="s">
        <v>4963</v>
      </c>
      <c r="F4025" s="0" t="s">
        <v>30</v>
      </c>
      <c r="G4025" s="0" t="s">
        <v>4980</v>
      </c>
      <c r="H4025" s="0" t="s">
        <v>4331</v>
      </c>
      <c r="I4025" s="0" t="s">
        <v>4981</v>
      </c>
      <c r="J4025" s="18" t="s">
        <v>24</v>
      </c>
    </row>
    <row r="4026" customFormat="false" ht="15" hidden="false" customHeight="false" outlineLevel="0" collapsed="false">
      <c r="A4026" s="0" t="s">
        <v>3259</v>
      </c>
      <c r="B4026" s="0" t="s">
        <v>3459</v>
      </c>
      <c r="C4026" s="0" t="s">
        <v>3447</v>
      </c>
      <c r="D4026" s="0" t="s">
        <v>3457</v>
      </c>
      <c r="E4026" s="0" t="s">
        <v>4963</v>
      </c>
      <c r="F4026" s="0" t="s">
        <v>30</v>
      </c>
      <c r="G4026" s="0" t="s">
        <v>4980</v>
      </c>
      <c r="H4026" s="0" t="s">
        <v>4235</v>
      </c>
      <c r="I4026" s="0" t="s">
        <v>4981</v>
      </c>
      <c r="J4026" s="18" t="s">
        <v>24</v>
      </c>
    </row>
    <row r="4027" customFormat="false" ht="15" hidden="false" customHeight="false" outlineLevel="0" collapsed="false">
      <c r="A4027" s="0" t="s">
        <v>3259</v>
      </c>
      <c r="B4027" s="0" t="s">
        <v>3459</v>
      </c>
      <c r="C4027" s="0" t="s">
        <v>3447</v>
      </c>
      <c r="D4027" s="0" t="s">
        <v>3448</v>
      </c>
      <c r="E4027" s="0" t="s">
        <v>4963</v>
      </c>
      <c r="F4027" s="0" t="s">
        <v>30</v>
      </c>
      <c r="G4027" s="0" t="s">
        <v>4980</v>
      </c>
      <c r="H4027" s="0" t="s">
        <v>4935</v>
      </c>
      <c r="I4027" s="0" t="s">
        <v>4981</v>
      </c>
      <c r="J4027" s="18" t="s">
        <v>24</v>
      </c>
    </row>
    <row r="4028" customFormat="false" ht="15" hidden="false" customHeight="false" outlineLevel="0" collapsed="false">
      <c r="A4028" s="0" t="s">
        <v>3268</v>
      </c>
      <c r="B4028" s="0" t="s">
        <v>134</v>
      </c>
      <c r="C4028" s="0" t="s">
        <v>3450</v>
      </c>
      <c r="D4028" s="0" t="s">
        <v>3457</v>
      </c>
      <c r="E4028" s="0" t="s">
        <v>4963</v>
      </c>
      <c r="F4028" s="0" t="s">
        <v>59</v>
      </c>
      <c r="G4028" s="0" t="s">
        <v>4974</v>
      </c>
      <c r="H4028" s="0" t="s">
        <v>69</v>
      </c>
      <c r="I4028" s="0" t="s">
        <v>4975</v>
      </c>
      <c r="J4028" s="20" t="s">
        <v>25</v>
      </c>
    </row>
    <row r="4029" customFormat="false" ht="15" hidden="false" customHeight="false" outlineLevel="0" collapsed="false">
      <c r="A4029" s="0" t="s">
        <v>3268</v>
      </c>
      <c r="B4029" s="0" t="s">
        <v>134</v>
      </c>
      <c r="C4029" s="0" t="s">
        <v>3450</v>
      </c>
      <c r="D4029" s="0" t="s">
        <v>3457</v>
      </c>
      <c r="E4029" s="0" t="s">
        <v>4969</v>
      </c>
      <c r="F4029" s="0" t="s">
        <v>66</v>
      </c>
      <c r="G4029" s="0" t="s">
        <v>4970</v>
      </c>
      <c r="H4029" s="0" t="s">
        <v>6299</v>
      </c>
      <c r="I4029" s="0" t="s">
        <v>5030</v>
      </c>
      <c r="J4029" s="20" t="s">
        <v>25</v>
      </c>
    </row>
    <row r="4030" customFormat="false" ht="15" hidden="false" customHeight="false" outlineLevel="0" collapsed="false">
      <c r="A4030" s="0" t="s">
        <v>3268</v>
      </c>
      <c r="B4030" s="0" t="s">
        <v>134</v>
      </c>
      <c r="C4030" s="0" t="s">
        <v>3450</v>
      </c>
      <c r="D4030" s="0" t="s">
        <v>3448</v>
      </c>
      <c r="E4030" s="0" t="s">
        <v>4963</v>
      </c>
      <c r="F4030" s="0" t="s">
        <v>59</v>
      </c>
      <c r="G4030" s="0" t="s">
        <v>4974</v>
      </c>
      <c r="H4030" s="0" t="s">
        <v>69</v>
      </c>
      <c r="I4030" s="0" t="s">
        <v>4975</v>
      </c>
      <c r="J4030" s="20" t="s">
        <v>25</v>
      </c>
    </row>
    <row r="4031" customFormat="false" ht="15" hidden="false" customHeight="false" outlineLevel="0" collapsed="false">
      <c r="A4031" s="0" t="s">
        <v>3268</v>
      </c>
      <c r="B4031" s="0" t="s">
        <v>134</v>
      </c>
      <c r="C4031" s="0" t="s">
        <v>3450</v>
      </c>
      <c r="D4031" s="0" t="s">
        <v>3448</v>
      </c>
      <c r="E4031" s="0" t="s">
        <v>4969</v>
      </c>
      <c r="F4031" s="0" t="s">
        <v>61</v>
      </c>
      <c r="G4031" s="0" t="s">
        <v>4970</v>
      </c>
      <c r="H4031" s="0" t="s">
        <v>6300</v>
      </c>
      <c r="I4031" s="0" t="s">
        <v>4972</v>
      </c>
      <c r="J4031" s="20" t="s">
        <v>25</v>
      </c>
    </row>
    <row r="4032" customFormat="false" ht="15" hidden="false" customHeight="false" outlineLevel="0" collapsed="false">
      <c r="A4032" s="0" t="s">
        <v>3268</v>
      </c>
      <c r="B4032" s="0" t="s">
        <v>134</v>
      </c>
      <c r="C4032" s="0" t="s">
        <v>3447</v>
      </c>
      <c r="D4032" s="0" t="s">
        <v>3457</v>
      </c>
      <c r="E4032" s="0" t="s">
        <v>4963</v>
      </c>
      <c r="F4032" s="0" t="s">
        <v>59</v>
      </c>
      <c r="G4032" s="0" t="s">
        <v>4974</v>
      </c>
      <c r="H4032" s="0" t="s">
        <v>69</v>
      </c>
      <c r="I4032" s="0" t="s">
        <v>4975</v>
      </c>
      <c r="J4032" s="20" t="s">
        <v>25</v>
      </c>
    </row>
    <row r="4033" customFormat="false" ht="15" hidden="false" customHeight="false" outlineLevel="0" collapsed="false">
      <c r="A4033" s="0" t="s">
        <v>3268</v>
      </c>
      <c r="B4033" s="0" t="s">
        <v>134</v>
      </c>
      <c r="C4033" s="0" t="s">
        <v>3447</v>
      </c>
      <c r="D4033" s="0" t="s">
        <v>3457</v>
      </c>
      <c r="E4033" s="0" t="s">
        <v>4969</v>
      </c>
      <c r="F4033" s="0" t="s">
        <v>66</v>
      </c>
      <c r="G4033" s="0" t="s">
        <v>4970</v>
      </c>
      <c r="H4033" s="0" t="s">
        <v>6301</v>
      </c>
      <c r="I4033" s="0" t="s">
        <v>5030</v>
      </c>
      <c r="J4033" s="20" t="s">
        <v>25</v>
      </c>
    </row>
    <row r="4034" customFormat="false" ht="15" hidden="false" customHeight="false" outlineLevel="0" collapsed="false">
      <c r="A4034" s="0" t="s">
        <v>3268</v>
      </c>
      <c r="B4034" s="0" t="s">
        <v>134</v>
      </c>
      <c r="C4034" s="0" t="s">
        <v>3447</v>
      </c>
      <c r="D4034" s="0" t="s">
        <v>3448</v>
      </c>
      <c r="E4034" s="0" t="s">
        <v>4963</v>
      </c>
      <c r="F4034" s="0" t="s">
        <v>59</v>
      </c>
      <c r="G4034" s="0" t="s">
        <v>4974</v>
      </c>
      <c r="H4034" s="0" t="s">
        <v>69</v>
      </c>
      <c r="I4034" s="0" t="s">
        <v>4975</v>
      </c>
      <c r="J4034" s="20" t="s">
        <v>25</v>
      </c>
    </row>
    <row r="4035" customFormat="false" ht="15" hidden="false" customHeight="false" outlineLevel="0" collapsed="false">
      <c r="A4035" s="0" t="s">
        <v>3268</v>
      </c>
      <c r="B4035" s="0" t="s">
        <v>134</v>
      </c>
      <c r="C4035" s="0" t="s">
        <v>3447</v>
      </c>
      <c r="D4035" s="0" t="s">
        <v>3448</v>
      </c>
      <c r="E4035" s="0" t="s">
        <v>4969</v>
      </c>
      <c r="F4035" s="0" t="s">
        <v>61</v>
      </c>
      <c r="G4035" s="0" t="s">
        <v>4970</v>
      </c>
      <c r="H4035" s="0" t="s">
        <v>6302</v>
      </c>
      <c r="I4035" s="0" t="s">
        <v>4972</v>
      </c>
      <c r="J4035" s="20" t="s">
        <v>25</v>
      </c>
    </row>
    <row r="4036" customFormat="false" ht="15" hidden="false" customHeight="false" outlineLevel="0" collapsed="false">
      <c r="A4036" s="0" t="s">
        <v>3268</v>
      </c>
      <c r="B4036" s="0" t="s">
        <v>134</v>
      </c>
      <c r="C4036" s="0" t="s">
        <v>3450</v>
      </c>
      <c r="D4036" s="0" t="s">
        <v>3457</v>
      </c>
      <c r="E4036" s="0" t="s">
        <v>4963</v>
      </c>
      <c r="F4036" s="0" t="s">
        <v>30</v>
      </c>
      <c r="G4036" s="0" t="s">
        <v>4980</v>
      </c>
      <c r="H4036" s="0" t="s">
        <v>4434</v>
      </c>
      <c r="I4036" s="0" t="s">
        <v>4981</v>
      </c>
      <c r="J4036" s="18" t="s">
        <v>24</v>
      </c>
    </row>
    <row r="4037" customFormat="false" ht="15" hidden="false" customHeight="false" outlineLevel="0" collapsed="false">
      <c r="A4037" s="0" t="s">
        <v>3268</v>
      </c>
      <c r="B4037" s="0" t="s">
        <v>134</v>
      </c>
      <c r="C4037" s="0" t="s">
        <v>3450</v>
      </c>
      <c r="D4037" s="0" t="s">
        <v>3448</v>
      </c>
      <c r="E4037" s="0" t="s">
        <v>4963</v>
      </c>
      <c r="F4037" s="0" t="s">
        <v>30</v>
      </c>
      <c r="G4037" s="0" t="s">
        <v>4980</v>
      </c>
      <c r="H4037" s="0" t="s">
        <v>4936</v>
      </c>
      <c r="I4037" s="0" t="s">
        <v>4981</v>
      </c>
      <c r="J4037" s="18" t="s">
        <v>24</v>
      </c>
    </row>
    <row r="4038" customFormat="false" ht="15" hidden="false" customHeight="false" outlineLevel="0" collapsed="false">
      <c r="A4038" s="0" t="s">
        <v>3268</v>
      </c>
      <c r="B4038" s="0" t="s">
        <v>134</v>
      </c>
      <c r="C4038" s="0" t="s">
        <v>3447</v>
      </c>
      <c r="D4038" s="0" t="s">
        <v>3457</v>
      </c>
      <c r="E4038" s="0" t="s">
        <v>4963</v>
      </c>
      <c r="F4038" s="0" t="s">
        <v>30</v>
      </c>
      <c r="G4038" s="0" t="s">
        <v>4980</v>
      </c>
      <c r="H4038" s="0" t="s">
        <v>4275</v>
      </c>
      <c r="I4038" s="0" t="s">
        <v>4981</v>
      </c>
      <c r="J4038" s="18" t="s">
        <v>24</v>
      </c>
    </row>
    <row r="4039" customFormat="false" ht="15" hidden="false" customHeight="false" outlineLevel="0" collapsed="false">
      <c r="A4039" s="0" t="s">
        <v>3268</v>
      </c>
      <c r="B4039" s="0" t="s">
        <v>134</v>
      </c>
      <c r="C4039" s="0" t="s">
        <v>3447</v>
      </c>
      <c r="D4039" s="0" t="s">
        <v>3448</v>
      </c>
      <c r="E4039" s="0" t="s">
        <v>4963</v>
      </c>
      <c r="F4039" s="0" t="s">
        <v>30</v>
      </c>
      <c r="G4039" s="0" t="s">
        <v>4980</v>
      </c>
      <c r="H4039" s="0" t="s">
        <v>4298</v>
      </c>
      <c r="I4039" s="0" t="s">
        <v>4981</v>
      </c>
      <c r="J4039" s="18" t="s">
        <v>24</v>
      </c>
    </row>
    <row r="4040" customFormat="false" ht="15" hidden="false" customHeight="false" outlineLevel="0" collapsed="false">
      <c r="A4040" s="0" t="s">
        <v>3279</v>
      </c>
      <c r="B4040" s="0" t="s">
        <v>134</v>
      </c>
      <c r="C4040" s="0" t="s">
        <v>3447</v>
      </c>
      <c r="D4040" s="0" t="s">
        <v>3448</v>
      </c>
      <c r="E4040" s="0" t="s">
        <v>4963</v>
      </c>
      <c r="F4040" s="0" t="s">
        <v>60</v>
      </c>
      <c r="G4040" s="0" t="s">
        <v>4964</v>
      </c>
      <c r="H4040" s="0" t="s">
        <v>6303</v>
      </c>
      <c r="I4040" s="0" t="s">
        <v>4966</v>
      </c>
      <c r="J4040" s="19" t="s">
        <v>26</v>
      </c>
    </row>
    <row r="4041" customFormat="false" ht="15" hidden="false" customHeight="false" outlineLevel="0" collapsed="false">
      <c r="A4041" s="0" t="s">
        <v>3279</v>
      </c>
      <c r="B4041" s="0" t="s">
        <v>134</v>
      </c>
      <c r="C4041" s="0" t="s">
        <v>3450</v>
      </c>
      <c r="D4041" s="0" t="s">
        <v>3457</v>
      </c>
      <c r="E4041" s="0" t="s">
        <v>4963</v>
      </c>
      <c r="F4041" s="0" t="s">
        <v>59</v>
      </c>
      <c r="G4041" s="0" t="s">
        <v>4974</v>
      </c>
      <c r="H4041" s="0" t="s">
        <v>69</v>
      </c>
      <c r="I4041" s="0" t="s">
        <v>4975</v>
      </c>
      <c r="J4041" s="20" t="s">
        <v>25</v>
      </c>
    </row>
    <row r="4042" customFormat="false" ht="15" hidden="false" customHeight="false" outlineLevel="0" collapsed="false">
      <c r="A4042" s="0" t="s">
        <v>3279</v>
      </c>
      <c r="B4042" s="0" t="s">
        <v>134</v>
      </c>
      <c r="C4042" s="0" t="s">
        <v>3450</v>
      </c>
      <c r="D4042" s="0" t="s">
        <v>3457</v>
      </c>
      <c r="E4042" s="0" t="s">
        <v>4969</v>
      </c>
      <c r="F4042" s="0" t="s">
        <v>61</v>
      </c>
      <c r="G4042" s="0" t="s">
        <v>4970</v>
      </c>
      <c r="H4042" s="0" t="s">
        <v>6304</v>
      </c>
      <c r="I4042" s="0" t="s">
        <v>4972</v>
      </c>
      <c r="J4042" s="20" t="s">
        <v>25</v>
      </c>
    </row>
    <row r="4043" customFormat="false" ht="15" hidden="false" customHeight="false" outlineLevel="0" collapsed="false">
      <c r="A4043" s="0" t="s">
        <v>3279</v>
      </c>
      <c r="B4043" s="0" t="s">
        <v>134</v>
      </c>
      <c r="C4043" s="0" t="s">
        <v>3450</v>
      </c>
      <c r="D4043" s="0" t="s">
        <v>3448</v>
      </c>
      <c r="E4043" s="0" t="s">
        <v>4963</v>
      </c>
      <c r="F4043" s="0" t="s">
        <v>59</v>
      </c>
      <c r="G4043" s="0" t="s">
        <v>4974</v>
      </c>
      <c r="H4043" s="0" t="s">
        <v>69</v>
      </c>
      <c r="I4043" s="0" t="s">
        <v>4975</v>
      </c>
      <c r="J4043" s="20" t="s">
        <v>25</v>
      </c>
    </row>
    <row r="4044" customFormat="false" ht="15" hidden="false" customHeight="false" outlineLevel="0" collapsed="false">
      <c r="A4044" s="0" t="s">
        <v>3279</v>
      </c>
      <c r="B4044" s="0" t="s">
        <v>134</v>
      </c>
      <c r="C4044" s="0" t="s">
        <v>3447</v>
      </c>
      <c r="D4044" s="0" t="s">
        <v>3457</v>
      </c>
      <c r="E4044" s="0" t="s">
        <v>4969</v>
      </c>
      <c r="F4044" s="0" t="s">
        <v>61</v>
      </c>
      <c r="G4044" s="0" t="s">
        <v>4970</v>
      </c>
      <c r="H4044" s="0" t="s">
        <v>5401</v>
      </c>
      <c r="I4044" s="0" t="s">
        <v>4972</v>
      </c>
      <c r="J4044" s="20" t="s">
        <v>25</v>
      </c>
    </row>
    <row r="4045" customFormat="false" ht="15" hidden="false" customHeight="false" outlineLevel="0" collapsed="false">
      <c r="A4045" s="0" t="s">
        <v>3279</v>
      </c>
      <c r="B4045" s="0" t="s">
        <v>134</v>
      </c>
      <c r="C4045" s="0" t="s">
        <v>3450</v>
      </c>
      <c r="D4045" s="0" t="s">
        <v>3457</v>
      </c>
      <c r="E4045" s="0" t="s">
        <v>4963</v>
      </c>
      <c r="F4045" s="0" t="s">
        <v>30</v>
      </c>
      <c r="G4045" s="0" t="s">
        <v>4980</v>
      </c>
      <c r="H4045" s="0" t="s">
        <v>4275</v>
      </c>
      <c r="I4045" s="0" t="s">
        <v>4981</v>
      </c>
      <c r="J4045" s="18" t="s">
        <v>24</v>
      </c>
    </row>
    <row r="4046" customFormat="false" ht="15" hidden="false" customHeight="false" outlineLevel="0" collapsed="false">
      <c r="A4046" s="0" t="s">
        <v>3279</v>
      </c>
      <c r="B4046" s="0" t="s">
        <v>134</v>
      </c>
      <c r="C4046" s="0" t="s">
        <v>3450</v>
      </c>
      <c r="D4046" s="0" t="s">
        <v>3448</v>
      </c>
      <c r="E4046" s="0" t="s">
        <v>4963</v>
      </c>
      <c r="F4046" s="0" t="s">
        <v>30</v>
      </c>
      <c r="G4046" s="0" t="s">
        <v>4980</v>
      </c>
      <c r="H4046" s="0" t="s">
        <v>4275</v>
      </c>
      <c r="I4046" s="0" t="s">
        <v>4981</v>
      </c>
      <c r="J4046" s="18" t="s">
        <v>24</v>
      </c>
    </row>
    <row r="4047" customFormat="false" ht="15" hidden="false" customHeight="false" outlineLevel="0" collapsed="false">
      <c r="A4047" s="0" t="s">
        <v>3279</v>
      </c>
      <c r="B4047" s="0" t="s">
        <v>134</v>
      </c>
      <c r="C4047" s="0" t="s">
        <v>3447</v>
      </c>
      <c r="D4047" s="0" t="s">
        <v>3457</v>
      </c>
      <c r="E4047" s="0" t="s">
        <v>4963</v>
      </c>
      <c r="F4047" s="0" t="s">
        <v>30</v>
      </c>
      <c r="G4047" s="0" t="s">
        <v>4980</v>
      </c>
      <c r="H4047" s="0" t="s">
        <v>4937</v>
      </c>
      <c r="I4047" s="0" t="s">
        <v>4981</v>
      </c>
      <c r="J4047" s="18" t="s">
        <v>24</v>
      </c>
    </row>
    <row r="4048" customFormat="false" ht="15" hidden="false" customHeight="false" outlineLevel="0" collapsed="false">
      <c r="A4048" s="0" t="s">
        <v>3285</v>
      </c>
      <c r="B4048" s="0" t="s">
        <v>134</v>
      </c>
      <c r="C4048" s="0" t="s">
        <v>3450</v>
      </c>
      <c r="D4048" s="0" t="s">
        <v>3457</v>
      </c>
      <c r="E4048" s="0" t="s">
        <v>4963</v>
      </c>
      <c r="F4048" s="0" t="s">
        <v>60</v>
      </c>
      <c r="G4048" s="0" t="s">
        <v>4964</v>
      </c>
      <c r="H4048" s="0" t="s">
        <v>6305</v>
      </c>
      <c r="I4048" s="0" t="s">
        <v>4966</v>
      </c>
      <c r="J4048" s="19" t="s">
        <v>26</v>
      </c>
    </row>
    <row r="4049" customFormat="false" ht="15" hidden="false" customHeight="false" outlineLevel="0" collapsed="false">
      <c r="A4049" s="0" t="s">
        <v>3285</v>
      </c>
      <c r="B4049" s="0" t="s">
        <v>134</v>
      </c>
      <c r="C4049" s="0" t="s">
        <v>3450</v>
      </c>
      <c r="D4049" s="0" t="s">
        <v>3457</v>
      </c>
      <c r="E4049" s="0" t="s">
        <v>5199</v>
      </c>
      <c r="F4049" s="0" t="s">
        <v>67</v>
      </c>
      <c r="G4049" s="0" t="s">
        <v>100</v>
      </c>
      <c r="H4049" s="0" t="s">
        <v>6306</v>
      </c>
      <c r="I4049" s="0" t="s">
        <v>5201</v>
      </c>
      <c r="J4049" s="20" t="s">
        <v>25</v>
      </c>
    </row>
    <row r="4050" customFormat="false" ht="15" hidden="false" customHeight="false" outlineLevel="0" collapsed="false">
      <c r="A4050" s="0" t="s">
        <v>3285</v>
      </c>
      <c r="B4050" s="0" t="s">
        <v>134</v>
      </c>
      <c r="C4050" s="0" t="s">
        <v>3450</v>
      </c>
      <c r="D4050" s="0" t="s">
        <v>3457</v>
      </c>
      <c r="E4050" s="0" t="s">
        <v>4963</v>
      </c>
      <c r="F4050" s="0" t="s">
        <v>59</v>
      </c>
      <c r="G4050" s="0" t="s">
        <v>4974</v>
      </c>
      <c r="H4050" s="0" t="s">
        <v>69</v>
      </c>
      <c r="I4050" s="0" t="s">
        <v>4975</v>
      </c>
      <c r="J4050" s="20" t="s">
        <v>25</v>
      </c>
    </row>
    <row r="4051" customFormat="false" ht="15" hidden="false" customHeight="false" outlineLevel="0" collapsed="false">
      <c r="A4051" s="0" t="s">
        <v>3285</v>
      </c>
      <c r="B4051" s="0" t="s">
        <v>134</v>
      </c>
      <c r="C4051" s="0" t="s">
        <v>3450</v>
      </c>
      <c r="D4051" s="0" t="s">
        <v>3457</v>
      </c>
      <c r="E4051" s="0" t="s">
        <v>4969</v>
      </c>
      <c r="F4051" s="0" t="s">
        <v>64</v>
      </c>
      <c r="G4051" s="0" t="s">
        <v>4220</v>
      </c>
      <c r="H4051" s="0" t="s">
        <v>6307</v>
      </c>
      <c r="I4051" s="0" t="s">
        <v>4991</v>
      </c>
      <c r="J4051" s="20" t="s">
        <v>25</v>
      </c>
    </row>
    <row r="4052" customFormat="false" ht="15" hidden="false" customHeight="false" outlineLevel="0" collapsed="false">
      <c r="A4052" s="0" t="s">
        <v>3285</v>
      </c>
      <c r="B4052" s="0" t="s">
        <v>134</v>
      </c>
      <c r="C4052" s="0" t="s">
        <v>3450</v>
      </c>
      <c r="D4052" s="0" t="s">
        <v>3448</v>
      </c>
      <c r="E4052" s="0" t="s">
        <v>4963</v>
      </c>
      <c r="F4052" s="0" t="s">
        <v>59</v>
      </c>
      <c r="G4052" s="0" t="s">
        <v>4974</v>
      </c>
      <c r="H4052" s="0" t="s">
        <v>69</v>
      </c>
      <c r="I4052" s="0" t="s">
        <v>4975</v>
      </c>
      <c r="J4052" s="20" t="s">
        <v>25</v>
      </c>
    </row>
    <row r="4053" customFormat="false" ht="15" hidden="false" customHeight="false" outlineLevel="0" collapsed="false">
      <c r="A4053" s="0" t="s">
        <v>3285</v>
      </c>
      <c r="B4053" s="0" t="s">
        <v>134</v>
      </c>
      <c r="C4053" s="0" t="s">
        <v>3447</v>
      </c>
      <c r="D4053" s="0" t="s">
        <v>3457</v>
      </c>
      <c r="E4053" s="0" t="s">
        <v>4969</v>
      </c>
      <c r="F4053" s="0" t="s">
        <v>64</v>
      </c>
      <c r="G4053" s="0" t="s">
        <v>4220</v>
      </c>
      <c r="H4053" s="0" t="s">
        <v>6307</v>
      </c>
      <c r="I4053" s="0" t="s">
        <v>4991</v>
      </c>
      <c r="J4053" s="20" t="s">
        <v>25</v>
      </c>
    </row>
    <row r="4054" customFormat="false" ht="15" hidden="false" customHeight="false" outlineLevel="0" collapsed="false">
      <c r="A4054" s="0" t="s">
        <v>3285</v>
      </c>
      <c r="B4054" s="0" t="s">
        <v>134</v>
      </c>
      <c r="C4054" s="0" t="s">
        <v>3450</v>
      </c>
      <c r="D4054" s="0" t="s">
        <v>3448</v>
      </c>
      <c r="E4054" s="0" t="s">
        <v>4963</v>
      </c>
      <c r="F4054" s="0" t="s">
        <v>30</v>
      </c>
      <c r="G4054" s="0" t="s">
        <v>4980</v>
      </c>
      <c r="H4054" s="0" t="s">
        <v>4242</v>
      </c>
      <c r="I4054" s="0" t="s">
        <v>4981</v>
      </c>
      <c r="J4054" s="18" t="s">
        <v>24</v>
      </c>
    </row>
    <row r="4055" customFormat="false" ht="15" hidden="false" customHeight="false" outlineLevel="0" collapsed="false">
      <c r="A4055" s="0" t="s">
        <v>3285</v>
      </c>
      <c r="B4055" s="0" t="s">
        <v>134</v>
      </c>
      <c r="C4055" s="0" t="s">
        <v>3447</v>
      </c>
      <c r="D4055" s="0" t="s">
        <v>3457</v>
      </c>
      <c r="E4055" s="0" t="s">
        <v>4963</v>
      </c>
      <c r="F4055" s="0" t="s">
        <v>30</v>
      </c>
      <c r="G4055" s="0" t="s">
        <v>4980</v>
      </c>
      <c r="H4055" s="0" t="s">
        <v>4940</v>
      </c>
      <c r="I4055" s="0" t="s">
        <v>4981</v>
      </c>
      <c r="J4055" s="18" t="s">
        <v>24</v>
      </c>
    </row>
    <row r="4056" customFormat="false" ht="15" hidden="false" customHeight="false" outlineLevel="0" collapsed="false">
      <c r="A4056" s="0" t="s">
        <v>3285</v>
      </c>
      <c r="B4056" s="0" t="s">
        <v>134</v>
      </c>
      <c r="C4056" s="0" t="s">
        <v>3447</v>
      </c>
      <c r="D4056" s="0" t="s">
        <v>3448</v>
      </c>
      <c r="E4056" s="0" t="s">
        <v>4963</v>
      </c>
      <c r="F4056" s="0" t="s">
        <v>30</v>
      </c>
      <c r="G4056" s="0" t="s">
        <v>4980</v>
      </c>
      <c r="H4056" s="0" t="s">
        <v>4941</v>
      </c>
      <c r="I4056" s="0" t="s">
        <v>4981</v>
      </c>
      <c r="J4056" s="18" t="s">
        <v>24</v>
      </c>
    </row>
    <row r="4057" customFormat="false" ht="15" hidden="false" customHeight="false" outlineLevel="0" collapsed="false">
      <c r="A4057" s="0" t="s">
        <v>3299</v>
      </c>
      <c r="B4057" s="0" t="s">
        <v>134</v>
      </c>
      <c r="C4057" s="0" t="s">
        <v>3450</v>
      </c>
      <c r="D4057" s="0" t="s">
        <v>3457</v>
      </c>
      <c r="E4057" s="0" t="s">
        <v>4969</v>
      </c>
      <c r="F4057" s="0" t="s">
        <v>62</v>
      </c>
      <c r="G4057" s="0" t="s">
        <v>5003</v>
      </c>
      <c r="H4057" s="0" t="s">
        <v>6308</v>
      </c>
      <c r="I4057" s="0" t="s">
        <v>5005</v>
      </c>
      <c r="J4057" s="20" t="s">
        <v>25</v>
      </c>
    </row>
    <row r="4058" customFormat="false" ht="15" hidden="false" customHeight="false" outlineLevel="0" collapsed="false">
      <c r="A4058" s="0" t="s">
        <v>3299</v>
      </c>
      <c r="B4058" s="0" t="s">
        <v>134</v>
      </c>
      <c r="C4058" s="0" t="s">
        <v>3450</v>
      </c>
      <c r="D4058" s="0" t="s">
        <v>3457</v>
      </c>
      <c r="E4058" s="0" t="s">
        <v>4969</v>
      </c>
      <c r="F4058" s="0" t="s">
        <v>63</v>
      </c>
      <c r="G4058" s="0" t="s">
        <v>4220</v>
      </c>
      <c r="H4058" s="0" t="s">
        <v>6309</v>
      </c>
      <c r="I4058" s="0" t="s">
        <v>4979</v>
      </c>
      <c r="J4058" s="20" t="s">
        <v>25</v>
      </c>
    </row>
    <row r="4059" customFormat="false" ht="15" hidden="false" customHeight="false" outlineLevel="0" collapsed="false">
      <c r="A4059" s="0" t="s">
        <v>3299</v>
      </c>
      <c r="B4059" s="0" t="s">
        <v>134</v>
      </c>
      <c r="C4059" s="0" t="s">
        <v>3450</v>
      </c>
      <c r="D4059" s="0" t="s">
        <v>3448</v>
      </c>
      <c r="E4059" s="0" t="s">
        <v>4969</v>
      </c>
      <c r="F4059" s="0" t="s">
        <v>62</v>
      </c>
      <c r="G4059" s="0" t="s">
        <v>5003</v>
      </c>
      <c r="H4059" s="0" t="s">
        <v>6310</v>
      </c>
      <c r="I4059" s="0" t="s">
        <v>5005</v>
      </c>
      <c r="J4059" s="20" t="s">
        <v>25</v>
      </c>
    </row>
    <row r="4060" customFormat="false" ht="15" hidden="false" customHeight="false" outlineLevel="0" collapsed="false">
      <c r="A4060" s="0" t="s">
        <v>3299</v>
      </c>
      <c r="B4060" s="0" t="s">
        <v>134</v>
      </c>
      <c r="C4060" s="0" t="s">
        <v>3450</v>
      </c>
      <c r="D4060" s="0" t="s">
        <v>3448</v>
      </c>
      <c r="E4060" s="0" t="s">
        <v>4969</v>
      </c>
      <c r="F4060" s="0" t="s">
        <v>64</v>
      </c>
      <c r="G4060" s="0" t="s">
        <v>4220</v>
      </c>
      <c r="H4060" s="0" t="s">
        <v>5202</v>
      </c>
      <c r="I4060" s="0" t="s">
        <v>4991</v>
      </c>
      <c r="J4060" s="20" t="s">
        <v>25</v>
      </c>
    </row>
    <row r="4061" customFormat="false" ht="15" hidden="false" customHeight="false" outlineLevel="0" collapsed="false">
      <c r="A4061" s="0" t="s">
        <v>3299</v>
      </c>
      <c r="B4061" s="0" t="s">
        <v>134</v>
      </c>
      <c r="C4061" s="0" t="s">
        <v>3447</v>
      </c>
      <c r="D4061" s="0" t="s">
        <v>3457</v>
      </c>
      <c r="E4061" s="0" t="s">
        <v>4969</v>
      </c>
      <c r="F4061" s="0" t="s">
        <v>63</v>
      </c>
      <c r="G4061" s="0" t="s">
        <v>4220</v>
      </c>
      <c r="H4061" s="0" t="s">
        <v>6309</v>
      </c>
      <c r="I4061" s="0" t="s">
        <v>4979</v>
      </c>
      <c r="J4061" s="20" t="s">
        <v>25</v>
      </c>
    </row>
    <row r="4062" customFormat="false" ht="15" hidden="false" customHeight="false" outlineLevel="0" collapsed="false">
      <c r="A4062" s="0" t="s">
        <v>3299</v>
      </c>
      <c r="B4062" s="0" t="s">
        <v>134</v>
      </c>
      <c r="C4062" s="0" t="s">
        <v>3447</v>
      </c>
      <c r="D4062" s="0" t="s">
        <v>3448</v>
      </c>
      <c r="E4062" s="0" t="s">
        <v>4969</v>
      </c>
      <c r="F4062" s="0" t="s">
        <v>64</v>
      </c>
      <c r="G4062" s="0" t="s">
        <v>4220</v>
      </c>
      <c r="H4062" s="0" t="s">
        <v>5202</v>
      </c>
      <c r="I4062" s="0" t="s">
        <v>4991</v>
      </c>
      <c r="J4062" s="20" t="s">
        <v>25</v>
      </c>
    </row>
    <row r="4063" customFormat="false" ht="15" hidden="false" customHeight="false" outlineLevel="0" collapsed="false">
      <c r="A4063" s="0" t="s">
        <v>3299</v>
      </c>
      <c r="B4063" s="0" t="s">
        <v>134</v>
      </c>
      <c r="C4063" s="0" t="s">
        <v>3447</v>
      </c>
      <c r="D4063" s="0" t="s">
        <v>3457</v>
      </c>
      <c r="E4063" s="0" t="s">
        <v>4963</v>
      </c>
      <c r="F4063" s="0" t="s">
        <v>30</v>
      </c>
      <c r="G4063" s="0" t="s">
        <v>4980</v>
      </c>
      <c r="H4063" s="0" t="s">
        <v>4942</v>
      </c>
      <c r="I4063" s="0" t="s">
        <v>4981</v>
      </c>
      <c r="J4063" s="18" t="s">
        <v>24</v>
      </c>
    </row>
    <row r="4064" customFormat="false" ht="15" hidden="false" customHeight="false" outlineLevel="0" collapsed="false">
      <c r="A4064" s="0" t="s">
        <v>3305</v>
      </c>
      <c r="B4064" s="0" t="s">
        <v>134</v>
      </c>
      <c r="C4064" s="0" t="s">
        <v>3450</v>
      </c>
      <c r="D4064" s="0" t="s">
        <v>3457</v>
      </c>
      <c r="E4064" s="0" t="s">
        <v>4963</v>
      </c>
      <c r="F4064" s="0" t="s">
        <v>60</v>
      </c>
      <c r="G4064" s="0" t="s">
        <v>4964</v>
      </c>
      <c r="H4064" s="0" t="s">
        <v>6311</v>
      </c>
      <c r="I4064" s="0" t="s">
        <v>4966</v>
      </c>
      <c r="J4064" s="19" t="s">
        <v>26</v>
      </c>
    </row>
    <row r="4065" customFormat="false" ht="15" hidden="false" customHeight="false" outlineLevel="0" collapsed="false">
      <c r="A4065" s="0" t="s">
        <v>3305</v>
      </c>
      <c r="B4065" s="0" t="s">
        <v>134</v>
      </c>
      <c r="C4065" s="0" t="s">
        <v>3450</v>
      </c>
      <c r="D4065" s="0" t="s">
        <v>3448</v>
      </c>
      <c r="E4065" s="0" t="s">
        <v>4963</v>
      </c>
      <c r="F4065" s="0" t="s">
        <v>60</v>
      </c>
      <c r="G4065" s="0" t="s">
        <v>4964</v>
      </c>
      <c r="H4065" s="0" t="s">
        <v>6312</v>
      </c>
      <c r="I4065" s="0" t="s">
        <v>4966</v>
      </c>
      <c r="J4065" s="19" t="s">
        <v>26</v>
      </c>
    </row>
    <row r="4066" customFormat="false" ht="15" hidden="false" customHeight="false" outlineLevel="0" collapsed="false">
      <c r="A4066" s="0" t="s">
        <v>3305</v>
      </c>
      <c r="B4066" s="0" t="s">
        <v>134</v>
      </c>
      <c r="C4066" s="0" t="s">
        <v>3450</v>
      </c>
      <c r="D4066" s="0" t="s">
        <v>3457</v>
      </c>
      <c r="E4066" s="0" t="s">
        <v>4963</v>
      </c>
      <c r="F4066" s="0" t="s">
        <v>59</v>
      </c>
      <c r="G4066" s="0" t="s">
        <v>4974</v>
      </c>
      <c r="H4066" s="0" t="s">
        <v>69</v>
      </c>
      <c r="I4066" s="0" t="s">
        <v>4975</v>
      </c>
      <c r="J4066" s="20" t="s">
        <v>25</v>
      </c>
    </row>
    <row r="4067" customFormat="false" ht="15" hidden="false" customHeight="false" outlineLevel="0" collapsed="false">
      <c r="A4067" s="0" t="s">
        <v>3305</v>
      </c>
      <c r="B4067" s="0" t="s">
        <v>134</v>
      </c>
      <c r="C4067" s="0" t="s">
        <v>3447</v>
      </c>
      <c r="D4067" s="0" t="s">
        <v>3457</v>
      </c>
      <c r="E4067" s="0" t="s">
        <v>4963</v>
      </c>
      <c r="F4067" s="0" t="s">
        <v>30</v>
      </c>
      <c r="G4067" s="0" t="s">
        <v>4980</v>
      </c>
      <c r="H4067" s="0" t="s">
        <v>4235</v>
      </c>
      <c r="I4067" s="0" t="s">
        <v>4981</v>
      </c>
      <c r="J4067" s="18" t="s">
        <v>24</v>
      </c>
    </row>
    <row r="4068" customFormat="false" ht="15" hidden="false" customHeight="false" outlineLevel="0" collapsed="false">
      <c r="A4068" s="0" t="s">
        <v>3311</v>
      </c>
      <c r="B4068" s="0" t="s">
        <v>134</v>
      </c>
      <c r="C4068" s="0" t="s">
        <v>3450</v>
      </c>
      <c r="D4068" s="0" t="s">
        <v>3457</v>
      </c>
      <c r="E4068" s="0" t="s">
        <v>4963</v>
      </c>
      <c r="F4068" s="0" t="s">
        <v>59</v>
      </c>
      <c r="G4068" s="0" t="s">
        <v>4974</v>
      </c>
      <c r="H4068" s="0" t="s">
        <v>69</v>
      </c>
      <c r="I4068" s="0" t="s">
        <v>4975</v>
      </c>
      <c r="J4068" s="20" t="s">
        <v>25</v>
      </c>
    </row>
    <row r="4069" customFormat="false" ht="15" hidden="false" customHeight="false" outlineLevel="0" collapsed="false">
      <c r="A4069" s="0" t="s">
        <v>3311</v>
      </c>
      <c r="B4069" s="0" t="s">
        <v>134</v>
      </c>
      <c r="C4069" s="0" t="s">
        <v>3450</v>
      </c>
      <c r="D4069" s="0" t="s">
        <v>3448</v>
      </c>
      <c r="E4069" s="0" t="s">
        <v>4969</v>
      </c>
      <c r="F4069" s="0" t="s">
        <v>62</v>
      </c>
      <c r="G4069" s="0" t="s">
        <v>5003</v>
      </c>
      <c r="H4069" s="0" t="s">
        <v>6313</v>
      </c>
      <c r="I4069" s="0" t="s">
        <v>5005</v>
      </c>
      <c r="J4069" s="20" t="s">
        <v>25</v>
      </c>
    </row>
    <row r="4070" customFormat="false" ht="15" hidden="false" customHeight="false" outlineLevel="0" collapsed="false">
      <c r="A4070" s="0" t="s">
        <v>3311</v>
      </c>
      <c r="B4070" s="0" t="s">
        <v>134</v>
      </c>
      <c r="C4070" s="0" t="s">
        <v>3450</v>
      </c>
      <c r="D4070" s="0" t="s">
        <v>3448</v>
      </c>
      <c r="E4070" s="0" t="s">
        <v>4969</v>
      </c>
      <c r="F4070" s="0" t="s">
        <v>63</v>
      </c>
      <c r="G4070" s="0" t="s">
        <v>4220</v>
      </c>
      <c r="H4070" s="0" t="s">
        <v>6314</v>
      </c>
      <c r="I4070" s="0" t="s">
        <v>4979</v>
      </c>
      <c r="J4070" s="20" t="s">
        <v>25</v>
      </c>
    </row>
    <row r="4071" customFormat="false" ht="15" hidden="false" customHeight="false" outlineLevel="0" collapsed="false">
      <c r="A4071" s="0" t="s">
        <v>3311</v>
      </c>
      <c r="B4071" s="0" t="s">
        <v>134</v>
      </c>
      <c r="C4071" s="0" t="s">
        <v>3447</v>
      </c>
      <c r="D4071" s="0" t="s">
        <v>3448</v>
      </c>
      <c r="E4071" s="0" t="s">
        <v>4969</v>
      </c>
      <c r="F4071" s="0" t="s">
        <v>63</v>
      </c>
      <c r="G4071" s="0" t="s">
        <v>4220</v>
      </c>
      <c r="H4071" s="0" t="s">
        <v>6314</v>
      </c>
      <c r="I4071" s="0" t="s">
        <v>4979</v>
      </c>
      <c r="J4071" s="20" t="s">
        <v>25</v>
      </c>
    </row>
    <row r="4072" customFormat="false" ht="15" hidden="false" customHeight="false" outlineLevel="0" collapsed="false">
      <c r="A4072" s="0" t="s">
        <v>3311</v>
      </c>
      <c r="B4072" s="0" t="s">
        <v>134</v>
      </c>
      <c r="C4072" s="0" t="s">
        <v>3450</v>
      </c>
      <c r="D4072" s="0" t="s">
        <v>3457</v>
      </c>
      <c r="E4072" s="0" t="s">
        <v>4963</v>
      </c>
      <c r="F4072" s="0" t="s">
        <v>30</v>
      </c>
      <c r="G4072" s="0" t="s">
        <v>4980</v>
      </c>
      <c r="H4072" s="0" t="s">
        <v>4238</v>
      </c>
      <c r="I4072" s="0" t="s">
        <v>4981</v>
      </c>
      <c r="J4072" s="18" t="s">
        <v>24</v>
      </c>
    </row>
    <row r="4073" customFormat="false" ht="15" hidden="false" customHeight="false" outlineLevel="0" collapsed="false">
      <c r="A4073" s="0" t="s">
        <v>3311</v>
      </c>
      <c r="B4073" s="0" t="s">
        <v>134</v>
      </c>
      <c r="C4073" s="0" t="s">
        <v>3447</v>
      </c>
      <c r="D4073" s="0" t="s">
        <v>3457</v>
      </c>
      <c r="E4073" s="0" t="s">
        <v>4963</v>
      </c>
      <c r="F4073" s="0" t="s">
        <v>30</v>
      </c>
      <c r="G4073" s="0" t="s">
        <v>4980</v>
      </c>
      <c r="H4073" s="0" t="s">
        <v>4918</v>
      </c>
      <c r="I4073" s="0" t="s">
        <v>4981</v>
      </c>
      <c r="J4073" s="18" t="s">
        <v>24</v>
      </c>
    </row>
    <row r="4074" customFormat="false" ht="15" hidden="false" customHeight="false" outlineLevel="0" collapsed="false">
      <c r="A4074" s="0" t="s">
        <v>3311</v>
      </c>
      <c r="B4074" s="0" t="s">
        <v>134</v>
      </c>
      <c r="C4074" s="0" t="s">
        <v>3447</v>
      </c>
      <c r="D4074" s="0" t="s">
        <v>3448</v>
      </c>
      <c r="E4074" s="0" t="s">
        <v>4963</v>
      </c>
      <c r="F4074" s="0" t="s">
        <v>30</v>
      </c>
      <c r="G4074" s="0" t="s">
        <v>4980</v>
      </c>
      <c r="H4074" s="0" t="s">
        <v>4250</v>
      </c>
      <c r="I4074" s="0" t="s">
        <v>4981</v>
      </c>
      <c r="J4074" s="18" t="s">
        <v>24</v>
      </c>
    </row>
    <row r="4075" customFormat="false" ht="15" hidden="false" customHeight="false" outlineLevel="0" collapsed="false">
      <c r="A4075" s="0" t="s">
        <v>3320</v>
      </c>
      <c r="B4075" s="0" t="s">
        <v>134</v>
      </c>
      <c r="C4075" s="0" t="s">
        <v>3447</v>
      </c>
      <c r="D4075" s="0" t="s">
        <v>3457</v>
      </c>
      <c r="E4075" s="0" t="s">
        <v>4963</v>
      </c>
      <c r="F4075" s="0" t="s">
        <v>60</v>
      </c>
      <c r="G4075" s="0" t="s">
        <v>4964</v>
      </c>
      <c r="H4075" s="0" t="s">
        <v>5016</v>
      </c>
      <c r="I4075" s="0" t="s">
        <v>4966</v>
      </c>
      <c r="J4075" s="19" t="s">
        <v>26</v>
      </c>
    </row>
    <row r="4076" customFormat="false" ht="15" hidden="false" customHeight="false" outlineLevel="0" collapsed="false">
      <c r="A4076" s="0" t="s">
        <v>3320</v>
      </c>
      <c r="B4076" s="0" t="s">
        <v>134</v>
      </c>
      <c r="C4076" s="0" t="s">
        <v>3447</v>
      </c>
      <c r="D4076" s="0" t="s">
        <v>3448</v>
      </c>
      <c r="E4076" s="0" t="s">
        <v>4963</v>
      </c>
      <c r="F4076" s="0" t="s">
        <v>60</v>
      </c>
      <c r="G4076" s="0" t="s">
        <v>4964</v>
      </c>
      <c r="H4076" s="0" t="s">
        <v>5046</v>
      </c>
      <c r="I4076" s="0" t="s">
        <v>4966</v>
      </c>
      <c r="J4076" s="19" t="s">
        <v>26</v>
      </c>
    </row>
    <row r="4077" customFormat="false" ht="15" hidden="false" customHeight="false" outlineLevel="0" collapsed="false">
      <c r="A4077" s="0" t="s">
        <v>3320</v>
      </c>
      <c r="B4077" s="0" t="s">
        <v>134</v>
      </c>
      <c r="C4077" s="0" t="s">
        <v>3450</v>
      </c>
      <c r="D4077" s="0" t="s">
        <v>3448</v>
      </c>
      <c r="E4077" s="0" t="s">
        <v>5199</v>
      </c>
      <c r="F4077" s="0" t="s">
        <v>67</v>
      </c>
      <c r="G4077" s="0" t="s">
        <v>100</v>
      </c>
      <c r="H4077" s="0" t="s">
        <v>6315</v>
      </c>
      <c r="I4077" s="0" t="s">
        <v>5201</v>
      </c>
      <c r="J4077" s="20" t="s">
        <v>25</v>
      </c>
    </row>
    <row r="4078" customFormat="false" ht="15" hidden="false" customHeight="false" outlineLevel="0" collapsed="false">
      <c r="A4078" s="0" t="s">
        <v>3320</v>
      </c>
      <c r="B4078" s="0" t="s">
        <v>134</v>
      </c>
      <c r="C4078" s="0" t="s">
        <v>3450</v>
      </c>
      <c r="D4078" s="0" t="s">
        <v>3448</v>
      </c>
      <c r="E4078" s="0" t="s">
        <v>4969</v>
      </c>
      <c r="F4078" s="0" t="s">
        <v>61</v>
      </c>
      <c r="G4078" s="0" t="s">
        <v>4970</v>
      </c>
      <c r="H4078" s="0" t="s">
        <v>6316</v>
      </c>
      <c r="I4078" s="0" t="s">
        <v>4972</v>
      </c>
      <c r="J4078" s="20" t="s">
        <v>25</v>
      </c>
    </row>
    <row r="4079" customFormat="false" ht="15" hidden="false" customHeight="false" outlineLevel="0" collapsed="false">
      <c r="A4079" s="0" t="s">
        <v>3320</v>
      </c>
      <c r="B4079" s="0" t="s">
        <v>134</v>
      </c>
      <c r="C4079" s="0" t="s">
        <v>3447</v>
      </c>
      <c r="D4079" s="0" t="s">
        <v>3457</v>
      </c>
      <c r="E4079" s="0" t="s">
        <v>4963</v>
      </c>
      <c r="F4079" s="0" t="s">
        <v>59</v>
      </c>
      <c r="G4079" s="0" t="s">
        <v>4974</v>
      </c>
      <c r="H4079" s="0" t="s">
        <v>69</v>
      </c>
      <c r="I4079" s="0" t="s">
        <v>4975</v>
      </c>
      <c r="J4079" s="20" t="s">
        <v>25</v>
      </c>
    </row>
    <row r="4080" customFormat="false" ht="15" hidden="false" customHeight="false" outlineLevel="0" collapsed="false">
      <c r="A4080" s="0" t="s">
        <v>3320</v>
      </c>
      <c r="B4080" s="0" t="s">
        <v>134</v>
      </c>
      <c r="C4080" s="0" t="s">
        <v>3447</v>
      </c>
      <c r="D4080" s="0" t="s">
        <v>3448</v>
      </c>
      <c r="E4080" s="0" t="s">
        <v>4963</v>
      </c>
      <c r="F4080" s="0" t="s">
        <v>59</v>
      </c>
      <c r="G4080" s="0" t="s">
        <v>4974</v>
      </c>
      <c r="H4080" s="0" t="s">
        <v>69</v>
      </c>
      <c r="I4080" s="0" t="s">
        <v>4975</v>
      </c>
      <c r="J4080" s="20" t="s">
        <v>25</v>
      </c>
    </row>
    <row r="4081" customFormat="false" ht="15" hidden="false" customHeight="false" outlineLevel="0" collapsed="false">
      <c r="A4081" s="0" t="s">
        <v>3327</v>
      </c>
      <c r="B4081" s="0" t="s">
        <v>134</v>
      </c>
      <c r="C4081" s="0" t="s">
        <v>3450</v>
      </c>
      <c r="D4081" s="0" t="s">
        <v>3448</v>
      </c>
      <c r="E4081" s="0" t="s">
        <v>4963</v>
      </c>
      <c r="F4081" s="0" t="s">
        <v>59</v>
      </c>
      <c r="G4081" s="0" t="s">
        <v>4974</v>
      </c>
      <c r="H4081" s="0" t="s">
        <v>69</v>
      </c>
      <c r="I4081" s="0" t="s">
        <v>4975</v>
      </c>
      <c r="J4081" s="20" t="s">
        <v>25</v>
      </c>
    </row>
    <row r="4082" customFormat="false" ht="15" hidden="false" customHeight="false" outlineLevel="0" collapsed="false">
      <c r="A4082" s="0" t="s">
        <v>3327</v>
      </c>
      <c r="B4082" s="0" t="s">
        <v>134</v>
      </c>
      <c r="C4082" s="0" t="s">
        <v>3450</v>
      </c>
      <c r="D4082" s="0" t="s">
        <v>3448</v>
      </c>
      <c r="E4082" s="0" t="s">
        <v>4969</v>
      </c>
      <c r="F4082" s="0" t="s">
        <v>61</v>
      </c>
      <c r="G4082" s="0" t="s">
        <v>4970</v>
      </c>
      <c r="H4082" s="0" t="s">
        <v>6317</v>
      </c>
      <c r="I4082" s="0" t="s">
        <v>4972</v>
      </c>
      <c r="J4082" s="20" t="s">
        <v>25</v>
      </c>
    </row>
    <row r="4083" customFormat="false" ht="15" hidden="false" customHeight="false" outlineLevel="0" collapsed="false">
      <c r="A4083" s="0" t="s">
        <v>3327</v>
      </c>
      <c r="B4083" s="0" t="s">
        <v>134</v>
      </c>
      <c r="C4083" s="0" t="s">
        <v>3447</v>
      </c>
      <c r="D4083" s="0" t="s">
        <v>3448</v>
      </c>
      <c r="E4083" s="0" t="s">
        <v>4969</v>
      </c>
      <c r="F4083" s="0" t="s">
        <v>61</v>
      </c>
      <c r="G4083" s="0" t="s">
        <v>4970</v>
      </c>
      <c r="H4083" s="0" t="s">
        <v>6318</v>
      </c>
      <c r="I4083" s="0" t="s">
        <v>4972</v>
      </c>
      <c r="J4083" s="20" t="s">
        <v>25</v>
      </c>
    </row>
    <row r="4084" customFormat="false" ht="15" hidden="false" customHeight="false" outlineLevel="0" collapsed="false">
      <c r="A4084" s="0" t="s">
        <v>3327</v>
      </c>
      <c r="B4084" s="0" t="s">
        <v>134</v>
      </c>
      <c r="C4084" s="0" t="s">
        <v>3450</v>
      </c>
      <c r="D4084" s="0" t="s">
        <v>3448</v>
      </c>
      <c r="E4084" s="0" t="s">
        <v>4963</v>
      </c>
      <c r="F4084" s="0" t="s">
        <v>30</v>
      </c>
      <c r="G4084" s="0" t="s">
        <v>4980</v>
      </c>
      <c r="H4084" s="0" t="s">
        <v>4275</v>
      </c>
      <c r="I4084" s="0" t="s">
        <v>4981</v>
      </c>
      <c r="J4084" s="18" t="s">
        <v>24</v>
      </c>
    </row>
    <row r="4085" customFormat="false" ht="15" hidden="false" customHeight="false" outlineLevel="0" collapsed="false">
      <c r="A4085" s="0" t="s">
        <v>3327</v>
      </c>
      <c r="B4085" s="0" t="s">
        <v>134</v>
      </c>
      <c r="C4085" s="0" t="s">
        <v>3447</v>
      </c>
      <c r="D4085" s="0" t="s">
        <v>3457</v>
      </c>
      <c r="E4085" s="0" t="s">
        <v>4963</v>
      </c>
      <c r="F4085" s="0" t="s">
        <v>30</v>
      </c>
      <c r="G4085" s="0" t="s">
        <v>4980</v>
      </c>
      <c r="H4085" s="0" t="s">
        <v>4342</v>
      </c>
      <c r="I4085" s="0" t="s">
        <v>4981</v>
      </c>
      <c r="J4085" s="18" t="s">
        <v>24</v>
      </c>
    </row>
    <row r="4086" customFormat="false" ht="15" hidden="false" customHeight="false" outlineLevel="0" collapsed="false">
      <c r="A4086" s="0" t="s">
        <v>3327</v>
      </c>
      <c r="B4086" s="0" t="s">
        <v>134</v>
      </c>
      <c r="C4086" s="0" t="s">
        <v>3447</v>
      </c>
      <c r="D4086" s="0" t="s">
        <v>3448</v>
      </c>
      <c r="E4086" s="0" t="s">
        <v>4963</v>
      </c>
      <c r="F4086" s="0" t="s">
        <v>30</v>
      </c>
      <c r="G4086" s="0" t="s">
        <v>4980</v>
      </c>
      <c r="H4086" s="0" t="s">
        <v>4323</v>
      </c>
      <c r="I4086" s="0" t="s">
        <v>4981</v>
      </c>
      <c r="J4086" s="18" t="s">
        <v>24</v>
      </c>
    </row>
    <row r="4087" customFormat="false" ht="15" hidden="false" customHeight="false" outlineLevel="0" collapsed="false">
      <c r="A4087" s="0" t="s">
        <v>3338</v>
      </c>
      <c r="B4087" s="0" t="s">
        <v>134</v>
      </c>
      <c r="C4087" s="0" t="s">
        <v>3450</v>
      </c>
      <c r="D4087" s="0" t="s">
        <v>3448</v>
      </c>
      <c r="E4087" s="0" t="s">
        <v>4963</v>
      </c>
      <c r="F4087" s="0" t="s">
        <v>60</v>
      </c>
      <c r="G4087" s="0" t="s">
        <v>4964</v>
      </c>
      <c r="H4087" s="0" t="s">
        <v>6319</v>
      </c>
      <c r="I4087" s="0" t="s">
        <v>4966</v>
      </c>
      <c r="J4087" s="19" t="s">
        <v>26</v>
      </c>
    </row>
    <row r="4088" customFormat="false" ht="15" hidden="false" customHeight="false" outlineLevel="0" collapsed="false">
      <c r="A4088" s="0" t="s">
        <v>3338</v>
      </c>
      <c r="B4088" s="0" t="s">
        <v>134</v>
      </c>
      <c r="C4088" s="0" t="s">
        <v>3447</v>
      </c>
      <c r="D4088" s="0" t="s">
        <v>3457</v>
      </c>
      <c r="E4088" s="0" t="s">
        <v>4963</v>
      </c>
      <c r="F4088" s="0" t="s">
        <v>60</v>
      </c>
      <c r="G4088" s="0" t="s">
        <v>4964</v>
      </c>
      <c r="H4088" s="0" t="s">
        <v>6320</v>
      </c>
      <c r="I4088" s="0" t="s">
        <v>4966</v>
      </c>
      <c r="J4088" s="19" t="s">
        <v>26</v>
      </c>
    </row>
    <row r="4089" customFormat="false" ht="15" hidden="false" customHeight="false" outlineLevel="0" collapsed="false">
      <c r="A4089" s="0" t="s">
        <v>3338</v>
      </c>
      <c r="B4089" s="0" t="s">
        <v>3459</v>
      </c>
      <c r="C4089" s="0" t="s">
        <v>3450</v>
      </c>
      <c r="D4089" s="0" t="s">
        <v>3448</v>
      </c>
      <c r="E4089" s="0" t="s">
        <v>4963</v>
      </c>
      <c r="F4089" s="0" t="s">
        <v>60</v>
      </c>
      <c r="G4089" s="0" t="s">
        <v>4964</v>
      </c>
      <c r="H4089" s="0" t="s">
        <v>5541</v>
      </c>
      <c r="I4089" s="0" t="s">
        <v>4966</v>
      </c>
      <c r="J4089" s="19" t="s">
        <v>26</v>
      </c>
    </row>
    <row r="4090" customFormat="false" ht="15" hidden="false" customHeight="false" outlineLevel="0" collapsed="false">
      <c r="A4090" s="0" t="s">
        <v>3338</v>
      </c>
      <c r="B4090" s="0" t="s">
        <v>134</v>
      </c>
      <c r="C4090" s="0" t="s">
        <v>3450</v>
      </c>
      <c r="D4090" s="0" t="s">
        <v>3457</v>
      </c>
      <c r="E4090" s="0" t="s">
        <v>4969</v>
      </c>
      <c r="F4090" s="0" t="s">
        <v>61</v>
      </c>
      <c r="G4090" s="0" t="s">
        <v>4970</v>
      </c>
      <c r="H4090" s="0" t="s">
        <v>6321</v>
      </c>
      <c r="I4090" s="0" t="s">
        <v>4972</v>
      </c>
      <c r="J4090" s="20" t="s">
        <v>25</v>
      </c>
    </row>
    <row r="4091" customFormat="false" ht="15" hidden="false" customHeight="false" outlineLevel="0" collapsed="false">
      <c r="A4091" s="0" t="s">
        <v>3338</v>
      </c>
      <c r="B4091" s="0" t="s">
        <v>134</v>
      </c>
      <c r="C4091" s="0" t="s">
        <v>3450</v>
      </c>
      <c r="D4091" s="0" t="s">
        <v>3457</v>
      </c>
      <c r="E4091" s="0" t="s">
        <v>4969</v>
      </c>
      <c r="F4091" s="0" t="s">
        <v>62</v>
      </c>
      <c r="G4091" s="0" t="s">
        <v>5003</v>
      </c>
      <c r="H4091" s="0" t="s">
        <v>6322</v>
      </c>
      <c r="I4091" s="0" t="s">
        <v>5005</v>
      </c>
      <c r="J4091" s="20" t="s">
        <v>25</v>
      </c>
    </row>
    <row r="4092" customFormat="false" ht="15" hidden="false" customHeight="false" outlineLevel="0" collapsed="false">
      <c r="A4092" s="0" t="s">
        <v>3338</v>
      </c>
      <c r="B4092" s="0" t="s">
        <v>134</v>
      </c>
      <c r="C4092" s="0" t="s">
        <v>3450</v>
      </c>
      <c r="D4092" s="0" t="s">
        <v>3457</v>
      </c>
      <c r="E4092" s="0" t="s">
        <v>4969</v>
      </c>
      <c r="F4092" s="0" t="s">
        <v>64</v>
      </c>
      <c r="G4092" s="0" t="s">
        <v>4220</v>
      </c>
      <c r="H4092" s="0" t="s">
        <v>6323</v>
      </c>
      <c r="I4092" s="0" t="s">
        <v>4991</v>
      </c>
      <c r="J4092" s="20" t="s">
        <v>25</v>
      </c>
    </row>
    <row r="4093" customFormat="false" ht="15" hidden="false" customHeight="false" outlineLevel="0" collapsed="false">
      <c r="A4093" s="0" t="s">
        <v>3338</v>
      </c>
      <c r="B4093" s="0" t="s">
        <v>134</v>
      </c>
      <c r="C4093" s="0" t="s">
        <v>3450</v>
      </c>
      <c r="D4093" s="0" t="s">
        <v>3448</v>
      </c>
      <c r="E4093" s="0" t="s">
        <v>4969</v>
      </c>
      <c r="F4093" s="0" t="s">
        <v>61</v>
      </c>
      <c r="G4093" s="0" t="s">
        <v>4970</v>
      </c>
      <c r="H4093" s="0" t="s">
        <v>6324</v>
      </c>
      <c r="I4093" s="0" t="s">
        <v>4972</v>
      </c>
      <c r="J4093" s="20" t="s">
        <v>25</v>
      </c>
    </row>
    <row r="4094" customFormat="false" ht="15" hidden="false" customHeight="false" outlineLevel="0" collapsed="false">
      <c r="A4094" s="0" t="s">
        <v>3338</v>
      </c>
      <c r="B4094" s="0" t="s">
        <v>134</v>
      </c>
      <c r="C4094" s="0" t="s">
        <v>3450</v>
      </c>
      <c r="D4094" s="0" t="s">
        <v>3448</v>
      </c>
      <c r="E4094" s="0" t="s">
        <v>4969</v>
      </c>
      <c r="F4094" s="0" t="s">
        <v>62</v>
      </c>
      <c r="G4094" s="0" t="s">
        <v>5003</v>
      </c>
      <c r="H4094" s="0" t="s">
        <v>6325</v>
      </c>
      <c r="I4094" s="0" t="s">
        <v>5005</v>
      </c>
      <c r="J4094" s="20" t="s">
        <v>25</v>
      </c>
    </row>
    <row r="4095" customFormat="false" ht="15" hidden="false" customHeight="false" outlineLevel="0" collapsed="false">
      <c r="A4095" s="0" t="s">
        <v>3338</v>
      </c>
      <c r="B4095" s="0" t="s">
        <v>134</v>
      </c>
      <c r="C4095" s="0" t="s">
        <v>3450</v>
      </c>
      <c r="D4095" s="0" t="s">
        <v>3448</v>
      </c>
      <c r="E4095" s="0" t="s">
        <v>4969</v>
      </c>
      <c r="F4095" s="0" t="s">
        <v>64</v>
      </c>
      <c r="G4095" s="0" t="s">
        <v>4220</v>
      </c>
      <c r="H4095" s="0" t="s">
        <v>6326</v>
      </c>
      <c r="I4095" s="0" t="s">
        <v>4991</v>
      </c>
      <c r="J4095" s="20" t="s">
        <v>25</v>
      </c>
    </row>
    <row r="4096" customFormat="false" ht="15" hidden="false" customHeight="false" outlineLevel="0" collapsed="false">
      <c r="A4096" s="0" t="s">
        <v>3338</v>
      </c>
      <c r="B4096" s="0" t="s">
        <v>134</v>
      </c>
      <c r="C4096" s="0" t="s">
        <v>3447</v>
      </c>
      <c r="D4096" s="0" t="s">
        <v>3457</v>
      </c>
      <c r="E4096" s="0" t="s">
        <v>4969</v>
      </c>
      <c r="F4096" s="0" t="s">
        <v>61</v>
      </c>
      <c r="G4096" s="0" t="s">
        <v>4970</v>
      </c>
      <c r="H4096" s="0" t="s">
        <v>6327</v>
      </c>
      <c r="I4096" s="0" t="s">
        <v>4972</v>
      </c>
      <c r="J4096" s="20" t="s">
        <v>25</v>
      </c>
    </row>
    <row r="4097" customFormat="false" ht="15" hidden="false" customHeight="false" outlineLevel="0" collapsed="false">
      <c r="A4097" s="0" t="s">
        <v>3338</v>
      </c>
      <c r="B4097" s="0" t="s">
        <v>134</v>
      </c>
      <c r="C4097" s="0" t="s">
        <v>3447</v>
      </c>
      <c r="D4097" s="0" t="s">
        <v>3457</v>
      </c>
      <c r="E4097" s="0" t="s">
        <v>4969</v>
      </c>
      <c r="F4097" s="0" t="s">
        <v>64</v>
      </c>
      <c r="G4097" s="0" t="s">
        <v>4220</v>
      </c>
      <c r="H4097" s="0" t="s">
        <v>6323</v>
      </c>
      <c r="I4097" s="0" t="s">
        <v>4991</v>
      </c>
      <c r="J4097" s="20" t="s">
        <v>25</v>
      </c>
    </row>
    <row r="4098" customFormat="false" ht="15" hidden="false" customHeight="false" outlineLevel="0" collapsed="false">
      <c r="A4098" s="0" t="s">
        <v>3338</v>
      </c>
      <c r="B4098" s="0" t="s">
        <v>134</v>
      </c>
      <c r="C4098" s="0" t="s">
        <v>3447</v>
      </c>
      <c r="D4098" s="0" t="s">
        <v>3448</v>
      </c>
      <c r="E4098" s="0" t="s">
        <v>4969</v>
      </c>
      <c r="F4098" s="0" t="s">
        <v>61</v>
      </c>
      <c r="G4098" s="0" t="s">
        <v>4970</v>
      </c>
      <c r="H4098" s="0" t="s">
        <v>6328</v>
      </c>
      <c r="I4098" s="0" t="s">
        <v>4972</v>
      </c>
      <c r="J4098" s="20" t="s">
        <v>25</v>
      </c>
    </row>
    <row r="4099" customFormat="false" ht="15" hidden="false" customHeight="false" outlineLevel="0" collapsed="false">
      <c r="A4099" s="0" t="s">
        <v>3338</v>
      </c>
      <c r="B4099" s="0" t="s">
        <v>134</v>
      </c>
      <c r="C4099" s="0" t="s">
        <v>3447</v>
      </c>
      <c r="D4099" s="0" t="s">
        <v>3448</v>
      </c>
      <c r="E4099" s="0" t="s">
        <v>4969</v>
      </c>
      <c r="F4099" s="0" t="s">
        <v>64</v>
      </c>
      <c r="G4099" s="0" t="s">
        <v>4220</v>
      </c>
      <c r="H4099" s="0" t="s">
        <v>6326</v>
      </c>
      <c r="I4099" s="0" t="s">
        <v>4991</v>
      </c>
      <c r="J4099" s="20" t="s">
        <v>25</v>
      </c>
    </row>
    <row r="4100" customFormat="false" ht="15" hidden="false" customHeight="false" outlineLevel="0" collapsed="false">
      <c r="A4100" s="0" t="s">
        <v>3338</v>
      </c>
      <c r="B4100" s="0" t="s">
        <v>3459</v>
      </c>
      <c r="C4100" s="0" t="s">
        <v>3450</v>
      </c>
      <c r="D4100" s="0" t="s">
        <v>3457</v>
      </c>
      <c r="E4100" s="0" t="s">
        <v>4969</v>
      </c>
      <c r="F4100" s="0" t="s">
        <v>61</v>
      </c>
      <c r="G4100" s="0" t="s">
        <v>4970</v>
      </c>
      <c r="H4100" s="0" t="s">
        <v>6281</v>
      </c>
      <c r="I4100" s="0" t="s">
        <v>4972</v>
      </c>
      <c r="J4100" s="20" t="s">
        <v>25</v>
      </c>
    </row>
    <row r="4101" customFormat="false" ht="15" hidden="false" customHeight="false" outlineLevel="0" collapsed="false">
      <c r="A4101" s="0" t="s">
        <v>3338</v>
      </c>
      <c r="B4101" s="0" t="s">
        <v>3459</v>
      </c>
      <c r="C4101" s="0" t="s">
        <v>3450</v>
      </c>
      <c r="D4101" s="0" t="s">
        <v>3457</v>
      </c>
      <c r="E4101" s="0" t="s">
        <v>4969</v>
      </c>
      <c r="F4101" s="0" t="s">
        <v>62</v>
      </c>
      <c r="G4101" s="0" t="s">
        <v>5003</v>
      </c>
      <c r="H4101" s="0" t="s">
        <v>6329</v>
      </c>
      <c r="I4101" s="0" t="s">
        <v>5005</v>
      </c>
      <c r="J4101" s="20" t="s">
        <v>25</v>
      </c>
    </row>
    <row r="4102" customFormat="false" ht="15" hidden="false" customHeight="false" outlineLevel="0" collapsed="false">
      <c r="A4102" s="0" t="s">
        <v>3338</v>
      </c>
      <c r="B4102" s="0" t="s">
        <v>3459</v>
      </c>
      <c r="C4102" s="0" t="s">
        <v>3450</v>
      </c>
      <c r="D4102" s="0" t="s">
        <v>3457</v>
      </c>
      <c r="E4102" s="0" t="s">
        <v>4969</v>
      </c>
      <c r="F4102" s="0" t="s">
        <v>64</v>
      </c>
      <c r="G4102" s="0" t="s">
        <v>4220</v>
      </c>
      <c r="H4102" s="0" t="s">
        <v>6330</v>
      </c>
      <c r="I4102" s="0" t="s">
        <v>4991</v>
      </c>
      <c r="J4102" s="20" t="s">
        <v>25</v>
      </c>
    </row>
    <row r="4103" customFormat="false" ht="15" hidden="false" customHeight="false" outlineLevel="0" collapsed="false">
      <c r="A4103" s="0" t="s">
        <v>3338</v>
      </c>
      <c r="B4103" s="0" t="s">
        <v>3459</v>
      </c>
      <c r="C4103" s="0" t="s">
        <v>3450</v>
      </c>
      <c r="D4103" s="0" t="s">
        <v>3448</v>
      </c>
      <c r="E4103" s="0" t="s">
        <v>4969</v>
      </c>
      <c r="F4103" s="0" t="s">
        <v>61</v>
      </c>
      <c r="G4103" s="0" t="s">
        <v>4970</v>
      </c>
      <c r="H4103" s="0" t="s">
        <v>6331</v>
      </c>
      <c r="I4103" s="0" t="s">
        <v>4972</v>
      </c>
      <c r="J4103" s="20" t="s">
        <v>25</v>
      </c>
    </row>
    <row r="4104" customFormat="false" ht="15" hidden="false" customHeight="false" outlineLevel="0" collapsed="false">
      <c r="A4104" s="0" t="s">
        <v>3338</v>
      </c>
      <c r="B4104" s="0" t="s">
        <v>3459</v>
      </c>
      <c r="C4104" s="0" t="s">
        <v>3450</v>
      </c>
      <c r="D4104" s="0" t="s">
        <v>3448</v>
      </c>
      <c r="E4104" s="0" t="s">
        <v>4969</v>
      </c>
      <c r="F4104" s="0" t="s">
        <v>62</v>
      </c>
      <c r="G4104" s="0" t="s">
        <v>5003</v>
      </c>
      <c r="H4104" s="0" t="s">
        <v>6332</v>
      </c>
      <c r="I4104" s="0" t="s">
        <v>5005</v>
      </c>
      <c r="J4104" s="20" t="s">
        <v>25</v>
      </c>
    </row>
    <row r="4105" customFormat="false" ht="15" hidden="false" customHeight="false" outlineLevel="0" collapsed="false">
      <c r="A4105" s="0" t="s">
        <v>3338</v>
      </c>
      <c r="B4105" s="0" t="s">
        <v>3459</v>
      </c>
      <c r="C4105" s="0" t="s">
        <v>3447</v>
      </c>
      <c r="D4105" s="0" t="s">
        <v>3457</v>
      </c>
      <c r="E4105" s="0" t="s">
        <v>4969</v>
      </c>
      <c r="F4105" s="0" t="s">
        <v>64</v>
      </c>
      <c r="G4105" s="0" t="s">
        <v>4220</v>
      </c>
      <c r="H4105" s="0" t="s">
        <v>6330</v>
      </c>
      <c r="I4105" s="0" t="s">
        <v>4991</v>
      </c>
      <c r="J4105" s="20" t="s">
        <v>25</v>
      </c>
    </row>
    <row r="4106" customFormat="false" ht="15" hidden="false" customHeight="false" outlineLevel="0" collapsed="false">
      <c r="A4106" s="0" t="s">
        <v>3338</v>
      </c>
      <c r="B4106" s="0" t="s">
        <v>3459</v>
      </c>
      <c r="C4106" s="0" t="s">
        <v>3447</v>
      </c>
      <c r="D4106" s="0" t="s">
        <v>3448</v>
      </c>
      <c r="E4106" s="0" t="s">
        <v>4969</v>
      </c>
      <c r="F4106" s="0" t="s">
        <v>61</v>
      </c>
      <c r="G4106" s="0" t="s">
        <v>4970</v>
      </c>
      <c r="H4106" s="0" t="s">
        <v>6333</v>
      </c>
      <c r="I4106" s="0" t="s">
        <v>4972</v>
      </c>
      <c r="J4106" s="20" t="s">
        <v>25</v>
      </c>
    </row>
    <row r="4107" customFormat="false" ht="15" hidden="false" customHeight="false" outlineLevel="0" collapsed="false">
      <c r="A4107" s="0" t="s">
        <v>3338</v>
      </c>
      <c r="B4107" s="0" t="s">
        <v>134</v>
      </c>
      <c r="C4107" s="0" t="s">
        <v>3450</v>
      </c>
      <c r="D4107" s="0" t="s">
        <v>3457</v>
      </c>
      <c r="E4107" s="0" t="s">
        <v>4963</v>
      </c>
      <c r="F4107" s="0" t="s">
        <v>30</v>
      </c>
      <c r="G4107" s="0" t="s">
        <v>4980</v>
      </c>
      <c r="H4107" s="0" t="s">
        <v>4945</v>
      </c>
      <c r="I4107" s="0" t="s">
        <v>4981</v>
      </c>
      <c r="J4107" s="18" t="s">
        <v>24</v>
      </c>
    </row>
    <row r="4108" customFormat="false" ht="15" hidden="false" customHeight="false" outlineLevel="0" collapsed="false">
      <c r="A4108" s="0" t="s">
        <v>3338</v>
      </c>
      <c r="B4108" s="0" t="s">
        <v>134</v>
      </c>
      <c r="C4108" s="0" t="s">
        <v>3447</v>
      </c>
      <c r="D4108" s="0" t="s">
        <v>3448</v>
      </c>
      <c r="E4108" s="0" t="s">
        <v>4963</v>
      </c>
      <c r="F4108" s="0" t="s">
        <v>30</v>
      </c>
      <c r="G4108" s="0" t="s">
        <v>4980</v>
      </c>
      <c r="H4108" s="0" t="s">
        <v>4948</v>
      </c>
      <c r="I4108" s="0" t="s">
        <v>4981</v>
      </c>
      <c r="J4108" s="18" t="s">
        <v>24</v>
      </c>
    </row>
    <row r="4109" customFormat="false" ht="15" hidden="false" customHeight="false" outlineLevel="0" collapsed="false">
      <c r="A4109" s="0" t="s">
        <v>3338</v>
      </c>
      <c r="B4109" s="0" t="s">
        <v>3459</v>
      </c>
      <c r="C4109" s="0" t="s">
        <v>3450</v>
      </c>
      <c r="D4109" s="0" t="s">
        <v>3457</v>
      </c>
      <c r="E4109" s="0" t="s">
        <v>4963</v>
      </c>
      <c r="F4109" s="0" t="s">
        <v>30</v>
      </c>
      <c r="G4109" s="0" t="s">
        <v>4980</v>
      </c>
      <c r="H4109" s="0" t="s">
        <v>4274</v>
      </c>
      <c r="I4109" s="0" t="s">
        <v>4981</v>
      </c>
      <c r="J4109" s="18" t="s">
        <v>24</v>
      </c>
    </row>
    <row r="4110" customFormat="false" ht="15" hidden="false" customHeight="false" outlineLevel="0" collapsed="false">
      <c r="A4110" s="0" t="s">
        <v>3338</v>
      </c>
      <c r="B4110" s="0" t="s">
        <v>3459</v>
      </c>
      <c r="C4110" s="0" t="s">
        <v>3447</v>
      </c>
      <c r="D4110" s="0" t="s">
        <v>3457</v>
      </c>
      <c r="E4110" s="0" t="s">
        <v>4963</v>
      </c>
      <c r="F4110" s="0" t="s">
        <v>30</v>
      </c>
      <c r="G4110" s="0" t="s">
        <v>4980</v>
      </c>
      <c r="H4110" s="0" t="s">
        <v>4409</v>
      </c>
      <c r="I4110" s="0" t="s">
        <v>4981</v>
      </c>
      <c r="J4110" s="18" t="s">
        <v>24</v>
      </c>
    </row>
    <row r="4111" customFormat="false" ht="15" hidden="false" customHeight="false" outlineLevel="0" collapsed="false">
      <c r="A4111" s="0" t="s">
        <v>3338</v>
      </c>
      <c r="B4111" s="0" t="s">
        <v>3459</v>
      </c>
      <c r="C4111" s="0" t="s">
        <v>3447</v>
      </c>
      <c r="D4111" s="0" t="s">
        <v>3448</v>
      </c>
      <c r="E4111" s="0" t="s">
        <v>4963</v>
      </c>
      <c r="F4111" s="0" t="s">
        <v>30</v>
      </c>
      <c r="G4111" s="0" t="s">
        <v>4980</v>
      </c>
      <c r="H4111" s="0" t="s">
        <v>4627</v>
      </c>
      <c r="I4111" s="0" t="s">
        <v>4981</v>
      </c>
      <c r="J4111" s="18" t="s">
        <v>24</v>
      </c>
    </row>
    <row r="4112" customFormat="false" ht="15" hidden="false" customHeight="false" outlineLevel="0" collapsed="false">
      <c r="A4112" s="0" t="s">
        <v>3351</v>
      </c>
      <c r="B4112" s="0" t="s">
        <v>134</v>
      </c>
      <c r="C4112" s="0" t="s">
        <v>3447</v>
      </c>
      <c r="D4112" s="0" t="s">
        <v>3457</v>
      </c>
      <c r="E4112" s="0" t="s">
        <v>4963</v>
      </c>
      <c r="F4112" s="0" t="s">
        <v>60</v>
      </c>
      <c r="G4112" s="0" t="s">
        <v>4964</v>
      </c>
      <c r="H4112" s="0" t="s">
        <v>6334</v>
      </c>
      <c r="I4112" s="0" t="s">
        <v>4966</v>
      </c>
      <c r="J4112" s="19" t="s">
        <v>26</v>
      </c>
    </row>
    <row r="4113" customFormat="false" ht="15" hidden="false" customHeight="false" outlineLevel="0" collapsed="false">
      <c r="A4113" s="0" t="s">
        <v>3351</v>
      </c>
      <c r="B4113" s="0" t="s">
        <v>134</v>
      </c>
      <c r="C4113" s="0" t="s">
        <v>3447</v>
      </c>
      <c r="D4113" s="0" t="s">
        <v>3448</v>
      </c>
      <c r="E4113" s="0" t="s">
        <v>4963</v>
      </c>
      <c r="F4113" s="0" t="s">
        <v>60</v>
      </c>
      <c r="G4113" s="0" t="s">
        <v>4964</v>
      </c>
      <c r="H4113" s="0" t="s">
        <v>6334</v>
      </c>
      <c r="I4113" s="0" t="s">
        <v>4966</v>
      </c>
      <c r="J4113" s="19" t="s">
        <v>26</v>
      </c>
    </row>
    <row r="4114" customFormat="false" ht="15" hidden="false" customHeight="false" outlineLevel="0" collapsed="false">
      <c r="A4114" s="0" t="s">
        <v>3351</v>
      </c>
      <c r="B4114" s="0" t="s">
        <v>134</v>
      </c>
      <c r="C4114" s="0" t="s">
        <v>3450</v>
      </c>
      <c r="D4114" s="0" t="s">
        <v>3457</v>
      </c>
      <c r="E4114" s="0" t="s">
        <v>4963</v>
      </c>
      <c r="F4114" s="0" t="s">
        <v>59</v>
      </c>
      <c r="G4114" s="0" t="s">
        <v>4974</v>
      </c>
      <c r="H4114" s="0" t="s">
        <v>69</v>
      </c>
      <c r="I4114" s="0" t="s">
        <v>4975</v>
      </c>
      <c r="J4114" s="20" t="s">
        <v>25</v>
      </c>
    </row>
    <row r="4115" customFormat="false" ht="15" hidden="false" customHeight="false" outlineLevel="0" collapsed="false">
      <c r="A4115" s="0" t="s">
        <v>3351</v>
      </c>
      <c r="B4115" s="0" t="s">
        <v>134</v>
      </c>
      <c r="C4115" s="0" t="s">
        <v>3450</v>
      </c>
      <c r="D4115" s="0" t="s">
        <v>3457</v>
      </c>
      <c r="E4115" s="0" t="s">
        <v>4969</v>
      </c>
      <c r="F4115" s="0" t="s">
        <v>64</v>
      </c>
      <c r="G4115" s="0" t="s">
        <v>4220</v>
      </c>
      <c r="H4115" s="0" t="s">
        <v>6335</v>
      </c>
      <c r="I4115" s="0" t="s">
        <v>4991</v>
      </c>
      <c r="J4115" s="20" t="s">
        <v>25</v>
      </c>
    </row>
    <row r="4116" customFormat="false" ht="15" hidden="false" customHeight="false" outlineLevel="0" collapsed="false">
      <c r="A4116" s="0" t="s">
        <v>3351</v>
      </c>
      <c r="B4116" s="0" t="s">
        <v>134</v>
      </c>
      <c r="C4116" s="0" t="s">
        <v>3450</v>
      </c>
      <c r="D4116" s="0" t="s">
        <v>3448</v>
      </c>
      <c r="E4116" s="0" t="s">
        <v>4963</v>
      </c>
      <c r="F4116" s="0" t="s">
        <v>59</v>
      </c>
      <c r="G4116" s="0" t="s">
        <v>4974</v>
      </c>
      <c r="H4116" s="0" t="s">
        <v>69</v>
      </c>
      <c r="I4116" s="0" t="s">
        <v>4975</v>
      </c>
      <c r="J4116" s="20" t="s">
        <v>25</v>
      </c>
    </row>
    <row r="4117" customFormat="false" ht="15" hidden="false" customHeight="false" outlineLevel="0" collapsed="false">
      <c r="A4117" s="0" t="s">
        <v>3351</v>
      </c>
      <c r="B4117" s="0" t="s">
        <v>134</v>
      </c>
      <c r="C4117" s="0" t="s">
        <v>3447</v>
      </c>
      <c r="D4117" s="0" t="s">
        <v>3457</v>
      </c>
      <c r="E4117" s="0" t="s">
        <v>4969</v>
      </c>
      <c r="F4117" s="0" t="s">
        <v>64</v>
      </c>
      <c r="G4117" s="0" t="s">
        <v>4220</v>
      </c>
      <c r="H4117" s="0" t="s">
        <v>6335</v>
      </c>
      <c r="I4117" s="0" t="s">
        <v>4991</v>
      </c>
      <c r="J4117" s="20" t="s">
        <v>25</v>
      </c>
    </row>
    <row r="4118" customFormat="false" ht="15" hidden="false" customHeight="false" outlineLevel="0" collapsed="false">
      <c r="A4118" s="0" t="s">
        <v>3351</v>
      </c>
      <c r="B4118" s="0" t="s">
        <v>134</v>
      </c>
      <c r="C4118" s="0" t="s">
        <v>3450</v>
      </c>
      <c r="D4118" s="0" t="s">
        <v>3457</v>
      </c>
      <c r="E4118" s="0" t="s">
        <v>4963</v>
      </c>
      <c r="F4118" s="0" t="s">
        <v>30</v>
      </c>
      <c r="G4118" s="0" t="s">
        <v>4980</v>
      </c>
      <c r="H4118" s="0" t="s">
        <v>4275</v>
      </c>
      <c r="I4118" s="0" t="s">
        <v>4981</v>
      </c>
      <c r="J4118" s="18" t="s">
        <v>24</v>
      </c>
    </row>
    <row r="4119" customFormat="false" ht="15" hidden="false" customHeight="false" outlineLevel="0" collapsed="false">
      <c r="A4119" s="0" t="s">
        <v>3351</v>
      </c>
      <c r="B4119" s="0" t="s">
        <v>134</v>
      </c>
      <c r="C4119" s="0" t="s">
        <v>3450</v>
      </c>
      <c r="D4119" s="0" t="s">
        <v>3448</v>
      </c>
      <c r="E4119" s="0" t="s">
        <v>4963</v>
      </c>
      <c r="F4119" s="0" t="s">
        <v>30</v>
      </c>
      <c r="G4119" s="0" t="s">
        <v>4980</v>
      </c>
      <c r="H4119" s="0" t="s">
        <v>4275</v>
      </c>
      <c r="I4119" s="0" t="s">
        <v>4981</v>
      </c>
      <c r="J4119" s="18" t="s">
        <v>24</v>
      </c>
    </row>
    <row r="4120" customFormat="false" ht="15" hidden="false" customHeight="false" outlineLevel="0" collapsed="false">
      <c r="A4120" s="0" t="s">
        <v>3363</v>
      </c>
      <c r="B4120" s="0" t="s">
        <v>134</v>
      </c>
      <c r="C4120" s="0" t="s">
        <v>3447</v>
      </c>
      <c r="D4120" s="0" t="s">
        <v>3457</v>
      </c>
      <c r="E4120" s="0" t="s">
        <v>4963</v>
      </c>
      <c r="F4120" s="0" t="s">
        <v>60</v>
      </c>
      <c r="G4120" s="0" t="s">
        <v>4964</v>
      </c>
      <c r="H4120" s="0" t="s">
        <v>5046</v>
      </c>
      <c r="I4120" s="0" t="s">
        <v>4966</v>
      </c>
      <c r="J4120" s="19" t="s">
        <v>26</v>
      </c>
    </row>
    <row r="4121" customFormat="false" ht="15" hidden="false" customHeight="false" outlineLevel="0" collapsed="false">
      <c r="A4121" s="0" t="s">
        <v>3363</v>
      </c>
      <c r="B4121" s="0" t="s">
        <v>134</v>
      </c>
      <c r="C4121" s="0" t="s">
        <v>3447</v>
      </c>
      <c r="D4121" s="0" t="s">
        <v>3448</v>
      </c>
      <c r="E4121" s="0" t="s">
        <v>4963</v>
      </c>
      <c r="F4121" s="0" t="s">
        <v>60</v>
      </c>
      <c r="G4121" s="0" t="s">
        <v>4964</v>
      </c>
      <c r="H4121" s="0" t="s">
        <v>5328</v>
      </c>
      <c r="I4121" s="0" t="s">
        <v>4966</v>
      </c>
      <c r="J4121" s="19" t="s">
        <v>26</v>
      </c>
    </row>
    <row r="4122" customFormat="false" ht="15" hidden="false" customHeight="false" outlineLevel="0" collapsed="false">
      <c r="A4122" s="0" t="s">
        <v>3363</v>
      </c>
      <c r="B4122" s="0" t="s">
        <v>134</v>
      </c>
      <c r="C4122" s="0" t="s">
        <v>3447</v>
      </c>
      <c r="D4122" s="0" t="s">
        <v>3457</v>
      </c>
      <c r="E4122" s="0" t="s">
        <v>4963</v>
      </c>
      <c r="F4122" s="0" t="s">
        <v>59</v>
      </c>
      <c r="G4122" s="0" t="s">
        <v>4974</v>
      </c>
      <c r="H4122" s="0" t="s">
        <v>69</v>
      </c>
      <c r="I4122" s="0" t="s">
        <v>4975</v>
      </c>
      <c r="J4122" s="20" t="s">
        <v>25</v>
      </c>
    </row>
    <row r="4123" customFormat="false" ht="15" hidden="false" customHeight="false" outlineLevel="0" collapsed="false">
      <c r="A4123" s="0" t="s">
        <v>3363</v>
      </c>
      <c r="B4123" s="0" t="s">
        <v>134</v>
      </c>
      <c r="C4123" s="0" t="s">
        <v>3447</v>
      </c>
      <c r="D4123" s="0" t="s">
        <v>3448</v>
      </c>
      <c r="E4123" s="0" t="s">
        <v>4963</v>
      </c>
      <c r="F4123" s="0" t="s">
        <v>59</v>
      </c>
      <c r="G4123" s="0" t="s">
        <v>4974</v>
      </c>
      <c r="H4123" s="0" t="s">
        <v>69</v>
      </c>
      <c r="I4123" s="0" t="s">
        <v>4975</v>
      </c>
      <c r="J4123" s="20" t="s">
        <v>25</v>
      </c>
    </row>
    <row r="4124" customFormat="false" ht="15" hidden="false" customHeight="false" outlineLevel="0" collapsed="false">
      <c r="A4124" s="0" t="s">
        <v>3369</v>
      </c>
      <c r="B4124" s="0" t="s">
        <v>134</v>
      </c>
      <c r="C4124" s="0" t="s">
        <v>3447</v>
      </c>
      <c r="D4124" s="0" t="s">
        <v>3457</v>
      </c>
      <c r="E4124" s="0" t="s">
        <v>4963</v>
      </c>
      <c r="F4124" s="0" t="s">
        <v>60</v>
      </c>
      <c r="G4124" s="0" t="s">
        <v>4964</v>
      </c>
      <c r="H4124" s="0" t="s">
        <v>6336</v>
      </c>
      <c r="I4124" s="0" t="s">
        <v>4966</v>
      </c>
      <c r="J4124" s="19" t="s">
        <v>26</v>
      </c>
    </row>
    <row r="4125" customFormat="false" ht="15" hidden="false" customHeight="false" outlineLevel="0" collapsed="false">
      <c r="A4125" s="0" t="s">
        <v>3369</v>
      </c>
      <c r="B4125" s="0" t="s">
        <v>134</v>
      </c>
      <c r="C4125" s="0" t="s">
        <v>3447</v>
      </c>
      <c r="D4125" s="0" t="s">
        <v>3448</v>
      </c>
      <c r="E4125" s="0" t="s">
        <v>4963</v>
      </c>
      <c r="F4125" s="0" t="s">
        <v>60</v>
      </c>
      <c r="G4125" s="0" t="s">
        <v>4964</v>
      </c>
      <c r="H4125" s="0" t="s">
        <v>6337</v>
      </c>
      <c r="I4125" s="0" t="s">
        <v>4966</v>
      </c>
      <c r="J4125" s="19" t="s">
        <v>26</v>
      </c>
    </row>
    <row r="4126" customFormat="false" ht="15" hidden="false" customHeight="false" outlineLevel="0" collapsed="false">
      <c r="A4126" s="0" t="s">
        <v>3369</v>
      </c>
      <c r="B4126" s="0" t="s">
        <v>134</v>
      </c>
      <c r="C4126" s="0" t="s">
        <v>3450</v>
      </c>
      <c r="D4126" s="0" t="s">
        <v>3457</v>
      </c>
      <c r="E4126" s="0" t="s">
        <v>4963</v>
      </c>
      <c r="F4126" s="0" t="s">
        <v>59</v>
      </c>
      <c r="G4126" s="0" t="s">
        <v>4974</v>
      </c>
      <c r="H4126" s="0" t="s">
        <v>69</v>
      </c>
      <c r="I4126" s="0" t="s">
        <v>4975</v>
      </c>
      <c r="J4126" s="20" t="s">
        <v>25</v>
      </c>
    </row>
    <row r="4127" customFormat="false" ht="15" hidden="false" customHeight="false" outlineLevel="0" collapsed="false">
      <c r="A4127" s="0" t="s">
        <v>3369</v>
      </c>
      <c r="B4127" s="0" t="s">
        <v>134</v>
      </c>
      <c r="C4127" s="0" t="s">
        <v>3450</v>
      </c>
      <c r="D4127" s="0" t="s">
        <v>3457</v>
      </c>
      <c r="E4127" s="0" t="s">
        <v>4969</v>
      </c>
      <c r="F4127" s="0" t="s">
        <v>63</v>
      </c>
      <c r="G4127" s="0" t="s">
        <v>4220</v>
      </c>
      <c r="H4127" s="0" t="s">
        <v>5536</v>
      </c>
      <c r="I4127" s="0" t="s">
        <v>4979</v>
      </c>
      <c r="J4127" s="20" t="s">
        <v>25</v>
      </c>
    </row>
    <row r="4128" customFormat="false" ht="15" hidden="false" customHeight="false" outlineLevel="0" collapsed="false">
      <c r="A4128" s="0" t="s">
        <v>3369</v>
      </c>
      <c r="B4128" s="0" t="s">
        <v>134</v>
      </c>
      <c r="C4128" s="0" t="s">
        <v>3450</v>
      </c>
      <c r="D4128" s="0" t="s">
        <v>3448</v>
      </c>
      <c r="E4128" s="0" t="s">
        <v>4963</v>
      </c>
      <c r="F4128" s="0" t="s">
        <v>59</v>
      </c>
      <c r="G4128" s="0" t="s">
        <v>4974</v>
      </c>
      <c r="H4128" s="0" t="s">
        <v>69</v>
      </c>
      <c r="I4128" s="0" t="s">
        <v>4975</v>
      </c>
      <c r="J4128" s="20" t="s">
        <v>25</v>
      </c>
    </row>
    <row r="4129" customFormat="false" ht="15" hidden="false" customHeight="false" outlineLevel="0" collapsed="false">
      <c r="A4129" s="0" t="s">
        <v>3369</v>
      </c>
      <c r="B4129" s="0" t="s">
        <v>134</v>
      </c>
      <c r="C4129" s="0" t="s">
        <v>3450</v>
      </c>
      <c r="D4129" s="0" t="s">
        <v>3448</v>
      </c>
      <c r="E4129" s="0" t="s">
        <v>4969</v>
      </c>
      <c r="F4129" s="0" t="s">
        <v>61</v>
      </c>
      <c r="G4129" s="0" t="s">
        <v>4970</v>
      </c>
      <c r="H4129" s="0" t="s">
        <v>6338</v>
      </c>
      <c r="I4129" s="0" t="s">
        <v>4972</v>
      </c>
      <c r="J4129" s="20" t="s">
        <v>25</v>
      </c>
    </row>
    <row r="4130" customFormat="false" ht="15" hidden="false" customHeight="false" outlineLevel="0" collapsed="false">
      <c r="A4130" s="0" t="s">
        <v>3369</v>
      </c>
      <c r="B4130" s="0" t="s">
        <v>134</v>
      </c>
      <c r="C4130" s="0" t="s">
        <v>3447</v>
      </c>
      <c r="D4130" s="0" t="s">
        <v>3457</v>
      </c>
      <c r="E4130" s="0" t="s">
        <v>4969</v>
      </c>
      <c r="F4130" s="0" t="s">
        <v>63</v>
      </c>
      <c r="G4130" s="0" t="s">
        <v>4220</v>
      </c>
      <c r="H4130" s="0" t="s">
        <v>5536</v>
      </c>
      <c r="I4130" s="0" t="s">
        <v>4979</v>
      </c>
      <c r="J4130" s="20" t="s">
        <v>25</v>
      </c>
    </row>
    <row r="4131" customFormat="false" ht="15" hidden="false" customHeight="false" outlineLevel="0" collapsed="false">
      <c r="A4131" s="0" t="s">
        <v>3369</v>
      </c>
      <c r="B4131" s="0" t="s">
        <v>134</v>
      </c>
      <c r="C4131" s="0" t="s">
        <v>3450</v>
      </c>
      <c r="D4131" s="0" t="s">
        <v>3457</v>
      </c>
      <c r="E4131" s="0" t="s">
        <v>4963</v>
      </c>
      <c r="F4131" s="0" t="s">
        <v>30</v>
      </c>
      <c r="G4131" s="0" t="s">
        <v>4980</v>
      </c>
      <c r="H4131" s="0" t="s">
        <v>4265</v>
      </c>
      <c r="I4131" s="0" t="s">
        <v>4981</v>
      </c>
      <c r="J4131" s="18" t="s">
        <v>24</v>
      </c>
    </row>
    <row r="4132" customFormat="false" ht="15" hidden="false" customHeight="false" outlineLevel="0" collapsed="false">
      <c r="A4132" s="0" t="s">
        <v>3369</v>
      </c>
      <c r="B4132" s="0" t="s">
        <v>134</v>
      </c>
      <c r="C4132" s="0" t="s">
        <v>3450</v>
      </c>
      <c r="D4132" s="0" t="s">
        <v>3448</v>
      </c>
      <c r="E4132" s="0" t="s">
        <v>4963</v>
      </c>
      <c r="F4132" s="0" t="s">
        <v>30</v>
      </c>
      <c r="G4132" s="0" t="s">
        <v>4980</v>
      </c>
      <c r="H4132" s="0" t="s">
        <v>4265</v>
      </c>
      <c r="I4132" s="0" t="s">
        <v>4981</v>
      </c>
      <c r="J4132" s="18" t="s">
        <v>24</v>
      </c>
    </row>
    <row r="4133" customFormat="false" ht="15" hidden="false" customHeight="false" outlineLevel="0" collapsed="false">
      <c r="A4133" s="0" t="s">
        <v>3378</v>
      </c>
      <c r="B4133" s="0" t="s">
        <v>134</v>
      </c>
      <c r="C4133" s="0" t="s">
        <v>3447</v>
      </c>
      <c r="D4133" s="0" t="s">
        <v>3457</v>
      </c>
      <c r="E4133" s="0" t="s">
        <v>4963</v>
      </c>
      <c r="F4133" s="0" t="s">
        <v>60</v>
      </c>
      <c r="G4133" s="0" t="s">
        <v>4964</v>
      </c>
      <c r="H4133" s="0" t="s">
        <v>5876</v>
      </c>
      <c r="I4133" s="0" t="s">
        <v>4966</v>
      </c>
      <c r="J4133" s="19" t="s">
        <v>26</v>
      </c>
    </row>
    <row r="4134" customFormat="false" ht="15" hidden="false" customHeight="false" outlineLevel="0" collapsed="false">
      <c r="A4134" s="0" t="s">
        <v>3378</v>
      </c>
      <c r="B4134" s="0" t="s">
        <v>134</v>
      </c>
      <c r="C4134" s="0" t="s">
        <v>3447</v>
      </c>
      <c r="D4134" s="0" t="s">
        <v>3448</v>
      </c>
      <c r="E4134" s="0" t="s">
        <v>4963</v>
      </c>
      <c r="F4134" s="0" t="s">
        <v>60</v>
      </c>
      <c r="G4134" s="0" t="s">
        <v>4964</v>
      </c>
      <c r="H4134" s="0" t="s">
        <v>5046</v>
      </c>
      <c r="I4134" s="0" t="s">
        <v>4966</v>
      </c>
      <c r="J4134" s="19" t="s">
        <v>26</v>
      </c>
    </row>
    <row r="4135" customFormat="false" ht="15" hidden="false" customHeight="false" outlineLevel="0" collapsed="false">
      <c r="A4135" s="0" t="s">
        <v>3378</v>
      </c>
      <c r="B4135" s="0" t="s">
        <v>134</v>
      </c>
      <c r="C4135" s="0" t="s">
        <v>3447</v>
      </c>
      <c r="D4135" s="0" t="s">
        <v>3457</v>
      </c>
      <c r="E4135" s="0" t="s">
        <v>4963</v>
      </c>
      <c r="F4135" s="0" t="s">
        <v>59</v>
      </c>
      <c r="G4135" s="0" t="s">
        <v>4974</v>
      </c>
      <c r="H4135" s="0" t="s">
        <v>69</v>
      </c>
      <c r="I4135" s="0" t="s">
        <v>4975</v>
      </c>
      <c r="J4135" s="20" t="s">
        <v>25</v>
      </c>
    </row>
    <row r="4136" customFormat="false" ht="15" hidden="false" customHeight="false" outlineLevel="0" collapsed="false">
      <c r="A4136" s="0" t="s">
        <v>3378</v>
      </c>
      <c r="B4136" s="0" t="s">
        <v>134</v>
      </c>
      <c r="C4136" s="0" t="s">
        <v>3447</v>
      </c>
      <c r="D4136" s="0" t="s">
        <v>3448</v>
      </c>
      <c r="E4136" s="0" t="s">
        <v>4963</v>
      </c>
      <c r="F4136" s="0" t="s">
        <v>59</v>
      </c>
      <c r="G4136" s="0" t="s">
        <v>4974</v>
      </c>
      <c r="H4136" s="0" t="s">
        <v>69</v>
      </c>
      <c r="I4136" s="0" t="s">
        <v>4975</v>
      </c>
      <c r="J4136" s="20" t="s">
        <v>25</v>
      </c>
    </row>
    <row r="4137" customFormat="false" ht="15" hidden="false" customHeight="false" outlineLevel="0" collapsed="false">
      <c r="A4137" s="0" t="s">
        <v>3378</v>
      </c>
      <c r="B4137" s="0" t="s">
        <v>134</v>
      </c>
      <c r="C4137" s="0" t="s">
        <v>3450</v>
      </c>
      <c r="D4137" s="0" t="s">
        <v>3457</v>
      </c>
      <c r="E4137" s="0" t="s">
        <v>4963</v>
      </c>
      <c r="F4137" s="0" t="s">
        <v>30</v>
      </c>
      <c r="G4137" s="0" t="s">
        <v>4980</v>
      </c>
      <c r="H4137" s="0" t="s">
        <v>4512</v>
      </c>
      <c r="I4137" s="0" t="s">
        <v>4981</v>
      </c>
      <c r="J4137" s="18" t="s">
        <v>24</v>
      </c>
    </row>
    <row r="4138" customFormat="false" ht="15" hidden="false" customHeight="false" outlineLevel="0" collapsed="false">
      <c r="A4138" s="0" t="s">
        <v>3378</v>
      </c>
      <c r="B4138" s="0" t="s">
        <v>134</v>
      </c>
      <c r="C4138" s="0" t="s">
        <v>3450</v>
      </c>
      <c r="D4138" s="0" t="s">
        <v>3448</v>
      </c>
      <c r="E4138" s="0" t="s">
        <v>4963</v>
      </c>
      <c r="F4138" s="0" t="s">
        <v>30</v>
      </c>
      <c r="G4138" s="0" t="s">
        <v>4980</v>
      </c>
      <c r="H4138" s="0" t="s">
        <v>4512</v>
      </c>
      <c r="I4138" s="0" t="s">
        <v>4981</v>
      </c>
      <c r="J4138" s="18" t="s">
        <v>24</v>
      </c>
    </row>
    <row r="4139" customFormat="false" ht="15" hidden="false" customHeight="false" outlineLevel="0" collapsed="false">
      <c r="A4139" s="0" t="s">
        <v>3383</v>
      </c>
      <c r="B4139" s="0" t="s">
        <v>134</v>
      </c>
      <c r="C4139" s="0" t="s">
        <v>3447</v>
      </c>
      <c r="D4139" s="0" t="s">
        <v>3457</v>
      </c>
      <c r="E4139" s="0" t="s">
        <v>4963</v>
      </c>
      <c r="F4139" s="0" t="s">
        <v>60</v>
      </c>
      <c r="G4139" s="0" t="s">
        <v>4964</v>
      </c>
      <c r="H4139" s="0" t="s">
        <v>6339</v>
      </c>
      <c r="I4139" s="0" t="s">
        <v>4966</v>
      </c>
      <c r="J4139" s="19" t="s">
        <v>26</v>
      </c>
    </row>
    <row r="4140" customFormat="false" ht="15" hidden="false" customHeight="false" outlineLevel="0" collapsed="false">
      <c r="A4140" s="0" t="s">
        <v>3383</v>
      </c>
      <c r="B4140" s="0" t="s">
        <v>134</v>
      </c>
      <c r="C4140" s="0" t="s">
        <v>3447</v>
      </c>
      <c r="D4140" s="0" t="s">
        <v>3448</v>
      </c>
      <c r="E4140" s="0" t="s">
        <v>4963</v>
      </c>
      <c r="F4140" s="0" t="s">
        <v>60</v>
      </c>
      <c r="G4140" s="0" t="s">
        <v>4964</v>
      </c>
      <c r="H4140" s="0" t="s">
        <v>6340</v>
      </c>
      <c r="I4140" s="0" t="s">
        <v>4966</v>
      </c>
      <c r="J4140" s="19" t="s">
        <v>26</v>
      </c>
    </row>
    <row r="4141" customFormat="false" ht="15" hidden="false" customHeight="false" outlineLevel="0" collapsed="false">
      <c r="A4141" s="0" t="s">
        <v>3383</v>
      </c>
      <c r="B4141" s="0" t="s">
        <v>134</v>
      </c>
      <c r="C4141" s="0" t="s">
        <v>3450</v>
      </c>
      <c r="D4141" s="0" t="s">
        <v>3457</v>
      </c>
      <c r="E4141" s="0" t="s">
        <v>4963</v>
      </c>
      <c r="F4141" s="0" t="s">
        <v>59</v>
      </c>
      <c r="G4141" s="0" t="s">
        <v>4974</v>
      </c>
      <c r="H4141" s="0" t="s">
        <v>69</v>
      </c>
      <c r="I4141" s="0" t="s">
        <v>4975</v>
      </c>
      <c r="J4141" s="20" t="s">
        <v>25</v>
      </c>
    </row>
    <row r="4142" customFormat="false" ht="15" hidden="false" customHeight="false" outlineLevel="0" collapsed="false">
      <c r="A4142" s="0" t="s">
        <v>3383</v>
      </c>
      <c r="B4142" s="0" t="s">
        <v>134</v>
      </c>
      <c r="C4142" s="0" t="s">
        <v>3450</v>
      </c>
      <c r="D4142" s="0" t="s">
        <v>3448</v>
      </c>
      <c r="E4142" s="0" t="s">
        <v>4963</v>
      </c>
      <c r="F4142" s="0" t="s">
        <v>59</v>
      </c>
      <c r="G4142" s="0" t="s">
        <v>4974</v>
      </c>
      <c r="H4142" s="0" t="s">
        <v>69</v>
      </c>
      <c r="I4142" s="0" t="s">
        <v>4975</v>
      </c>
      <c r="J4142" s="20" t="s">
        <v>25</v>
      </c>
    </row>
    <row r="4143" customFormat="false" ht="15" hidden="false" customHeight="false" outlineLevel="0" collapsed="false">
      <c r="A4143" s="0" t="s">
        <v>3383</v>
      </c>
      <c r="B4143" s="0" t="s">
        <v>134</v>
      </c>
      <c r="C4143" s="0" t="s">
        <v>3450</v>
      </c>
      <c r="D4143" s="0" t="s">
        <v>3448</v>
      </c>
      <c r="E4143" s="0" t="s">
        <v>4969</v>
      </c>
      <c r="F4143" s="0" t="s">
        <v>61</v>
      </c>
      <c r="G4143" s="0" t="s">
        <v>4970</v>
      </c>
      <c r="H4143" s="0" t="s">
        <v>6243</v>
      </c>
      <c r="I4143" s="0" t="s">
        <v>4972</v>
      </c>
      <c r="J4143" s="20" t="s">
        <v>25</v>
      </c>
    </row>
    <row r="4144" customFormat="false" ht="15" hidden="false" customHeight="false" outlineLevel="0" collapsed="false">
      <c r="A4144" s="0" t="s">
        <v>3383</v>
      </c>
      <c r="B4144" s="0" t="s">
        <v>134</v>
      </c>
      <c r="C4144" s="0" t="s">
        <v>3447</v>
      </c>
      <c r="D4144" s="0" t="s">
        <v>3457</v>
      </c>
      <c r="E4144" s="0" t="s">
        <v>4963</v>
      </c>
      <c r="F4144" s="0" t="s">
        <v>59</v>
      </c>
      <c r="G4144" s="0" t="s">
        <v>4974</v>
      </c>
      <c r="H4144" s="0" t="s">
        <v>69</v>
      </c>
      <c r="I4144" s="0" t="s">
        <v>4975</v>
      </c>
      <c r="J4144" s="20" t="s">
        <v>25</v>
      </c>
    </row>
    <row r="4145" customFormat="false" ht="15" hidden="false" customHeight="false" outlineLevel="0" collapsed="false">
      <c r="A4145" s="0" t="s">
        <v>3383</v>
      </c>
      <c r="B4145" s="0" t="s">
        <v>134</v>
      </c>
      <c r="C4145" s="0" t="s">
        <v>3447</v>
      </c>
      <c r="D4145" s="0" t="s">
        <v>3457</v>
      </c>
      <c r="E4145" s="0" t="s">
        <v>4969</v>
      </c>
      <c r="F4145" s="0" t="s">
        <v>61</v>
      </c>
      <c r="G4145" s="0" t="s">
        <v>4970</v>
      </c>
      <c r="H4145" s="0" t="s">
        <v>6341</v>
      </c>
      <c r="I4145" s="0" t="s">
        <v>4972</v>
      </c>
      <c r="J4145" s="20" t="s">
        <v>25</v>
      </c>
    </row>
    <row r="4146" customFormat="false" ht="15" hidden="false" customHeight="false" outlineLevel="0" collapsed="false">
      <c r="A4146" s="0" t="s">
        <v>3383</v>
      </c>
      <c r="B4146" s="0" t="s">
        <v>134</v>
      </c>
      <c r="C4146" s="0" t="s">
        <v>3447</v>
      </c>
      <c r="D4146" s="0" t="s">
        <v>3448</v>
      </c>
      <c r="E4146" s="0" t="s">
        <v>4963</v>
      </c>
      <c r="F4146" s="0" t="s">
        <v>59</v>
      </c>
      <c r="G4146" s="0" t="s">
        <v>4974</v>
      </c>
      <c r="H4146" s="0" t="s">
        <v>69</v>
      </c>
      <c r="I4146" s="0" t="s">
        <v>4975</v>
      </c>
      <c r="J4146" s="20" t="s">
        <v>25</v>
      </c>
    </row>
    <row r="4147" customFormat="false" ht="15" hidden="false" customHeight="false" outlineLevel="0" collapsed="false">
      <c r="A4147" s="0" t="s">
        <v>3383</v>
      </c>
      <c r="B4147" s="0" t="s">
        <v>134</v>
      </c>
      <c r="C4147" s="0" t="s">
        <v>3447</v>
      </c>
      <c r="D4147" s="0" t="s">
        <v>3448</v>
      </c>
      <c r="E4147" s="0" t="s">
        <v>4969</v>
      </c>
      <c r="F4147" s="0" t="s">
        <v>61</v>
      </c>
      <c r="G4147" s="0" t="s">
        <v>4970</v>
      </c>
      <c r="H4147" s="0" t="s">
        <v>6342</v>
      </c>
      <c r="I4147" s="0" t="s">
        <v>4972</v>
      </c>
      <c r="J4147" s="20" t="s">
        <v>25</v>
      </c>
    </row>
    <row r="4148" customFormat="false" ht="15" hidden="false" customHeight="false" outlineLevel="0" collapsed="false">
      <c r="A4148" s="0" t="s">
        <v>3383</v>
      </c>
      <c r="B4148" s="0" t="s">
        <v>134</v>
      </c>
      <c r="C4148" s="0" t="s">
        <v>3450</v>
      </c>
      <c r="D4148" s="0" t="s">
        <v>3457</v>
      </c>
      <c r="E4148" s="0" t="s">
        <v>4963</v>
      </c>
      <c r="F4148" s="0" t="s">
        <v>30</v>
      </c>
      <c r="G4148" s="0" t="s">
        <v>4980</v>
      </c>
      <c r="H4148" s="0" t="s">
        <v>4275</v>
      </c>
      <c r="I4148" s="0" t="s">
        <v>4981</v>
      </c>
      <c r="J4148" s="18" t="s">
        <v>24</v>
      </c>
    </row>
    <row r="4149" customFormat="false" ht="15" hidden="false" customHeight="false" outlineLevel="0" collapsed="false">
      <c r="A4149" s="0" t="s">
        <v>3383</v>
      </c>
      <c r="B4149" s="0" t="s">
        <v>134</v>
      </c>
      <c r="C4149" s="0" t="s">
        <v>3450</v>
      </c>
      <c r="D4149" s="0" t="s">
        <v>3448</v>
      </c>
      <c r="E4149" s="0" t="s">
        <v>4963</v>
      </c>
      <c r="F4149" s="0" t="s">
        <v>30</v>
      </c>
      <c r="G4149" s="0" t="s">
        <v>4980</v>
      </c>
      <c r="H4149" s="0" t="s">
        <v>4275</v>
      </c>
      <c r="I4149" s="0" t="s">
        <v>4981</v>
      </c>
      <c r="J4149" s="18" t="s">
        <v>24</v>
      </c>
    </row>
    <row r="4150" customFormat="false" ht="15" hidden="false" customHeight="false" outlineLevel="0" collapsed="false">
      <c r="A4150" s="0" t="s">
        <v>3394</v>
      </c>
      <c r="B4150" s="0" t="s">
        <v>134</v>
      </c>
      <c r="C4150" s="0" t="s">
        <v>3450</v>
      </c>
      <c r="D4150" s="0" t="s">
        <v>3457</v>
      </c>
      <c r="E4150" s="0" t="s">
        <v>4963</v>
      </c>
      <c r="F4150" s="0" t="s">
        <v>59</v>
      </c>
      <c r="G4150" s="0" t="s">
        <v>4974</v>
      </c>
      <c r="H4150" s="0" t="s">
        <v>69</v>
      </c>
      <c r="I4150" s="0" t="s">
        <v>4975</v>
      </c>
      <c r="J4150" s="20" t="s">
        <v>25</v>
      </c>
    </row>
    <row r="4151" customFormat="false" ht="15" hidden="false" customHeight="false" outlineLevel="0" collapsed="false">
      <c r="A4151" s="0" t="s">
        <v>3394</v>
      </c>
      <c r="B4151" s="0" t="s">
        <v>134</v>
      </c>
      <c r="C4151" s="0" t="s">
        <v>3450</v>
      </c>
      <c r="D4151" s="0" t="s">
        <v>3448</v>
      </c>
      <c r="E4151" s="0" t="s">
        <v>4963</v>
      </c>
      <c r="F4151" s="0" t="s">
        <v>59</v>
      </c>
      <c r="G4151" s="0" t="s">
        <v>4974</v>
      </c>
      <c r="H4151" s="0" t="s">
        <v>69</v>
      </c>
      <c r="I4151" s="0" t="s">
        <v>4975</v>
      </c>
      <c r="J4151" s="20" t="s">
        <v>25</v>
      </c>
    </row>
    <row r="4152" customFormat="false" ht="15" hidden="false" customHeight="false" outlineLevel="0" collapsed="false">
      <c r="A4152" s="0" t="s">
        <v>3394</v>
      </c>
      <c r="B4152" s="0" t="s">
        <v>134</v>
      </c>
      <c r="C4152" s="0" t="s">
        <v>3447</v>
      </c>
      <c r="D4152" s="0" t="s">
        <v>3457</v>
      </c>
      <c r="E4152" s="0" t="s">
        <v>4963</v>
      </c>
      <c r="F4152" s="0" t="s">
        <v>59</v>
      </c>
      <c r="G4152" s="0" t="s">
        <v>4974</v>
      </c>
      <c r="H4152" s="0" t="s">
        <v>69</v>
      </c>
      <c r="I4152" s="0" t="s">
        <v>4975</v>
      </c>
      <c r="J4152" s="20" t="s">
        <v>25</v>
      </c>
    </row>
    <row r="4153" customFormat="false" ht="15" hidden="false" customHeight="false" outlineLevel="0" collapsed="false">
      <c r="A4153" s="0" t="s">
        <v>3394</v>
      </c>
      <c r="B4153" s="0" t="s">
        <v>134</v>
      </c>
      <c r="C4153" s="0" t="s">
        <v>3447</v>
      </c>
      <c r="D4153" s="0" t="s">
        <v>3448</v>
      </c>
      <c r="E4153" s="0" t="s">
        <v>4963</v>
      </c>
      <c r="F4153" s="0" t="s">
        <v>59</v>
      </c>
      <c r="G4153" s="0" t="s">
        <v>4974</v>
      </c>
      <c r="H4153" s="0" t="s">
        <v>69</v>
      </c>
      <c r="I4153" s="0" t="s">
        <v>4975</v>
      </c>
      <c r="J4153" s="20" t="s">
        <v>25</v>
      </c>
    </row>
    <row r="4154" customFormat="false" ht="15" hidden="false" customHeight="false" outlineLevel="0" collapsed="false">
      <c r="A4154" s="0" t="s">
        <v>3394</v>
      </c>
      <c r="B4154" s="0" t="s">
        <v>134</v>
      </c>
      <c r="C4154" s="0" t="s">
        <v>3450</v>
      </c>
      <c r="D4154" s="0" t="s">
        <v>3457</v>
      </c>
      <c r="E4154" s="0" t="s">
        <v>4963</v>
      </c>
      <c r="F4154" s="0" t="s">
        <v>30</v>
      </c>
      <c r="G4154" s="0" t="s">
        <v>4980</v>
      </c>
      <c r="H4154" s="0" t="s">
        <v>4289</v>
      </c>
      <c r="I4154" s="0" t="s">
        <v>4981</v>
      </c>
      <c r="J4154" s="18" t="s">
        <v>24</v>
      </c>
    </row>
    <row r="4155" customFormat="false" ht="15" hidden="false" customHeight="false" outlineLevel="0" collapsed="false">
      <c r="A4155" s="0" t="s">
        <v>3394</v>
      </c>
      <c r="B4155" s="0" t="s">
        <v>134</v>
      </c>
      <c r="C4155" s="0" t="s">
        <v>3450</v>
      </c>
      <c r="D4155" s="0" t="s">
        <v>3448</v>
      </c>
      <c r="E4155" s="0" t="s">
        <v>4963</v>
      </c>
      <c r="F4155" s="0" t="s">
        <v>30</v>
      </c>
      <c r="G4155" s="0" t="s">
        <v>4980</v>
      </c>
      <c r="H4155" s="0" t="s">
        <v>4327</v>
      </c>
      <c r="I4155" s="0" t="s">
        <v>4981</v>
      </c>
      <c r="J4155" s="18" t="s">
        <v>24</v>
      </c>
    </row>
    <row r="4156" customFormat="false" ht="15" hidden="false" customHeight="false" outlineLevel="0" collapsed="false">
      <c r="A4156" s="0" t="s">
        <v>3394</v>
      </c>
      <c r="B4156" s="0" t="s">
        <v>134</v>
      </c>
      <c r="C4156" s="0" t="s">
        <v>3447</v>
      </c>
      <c r="D4156" s="0" t="s">
        <v>3457</v>
      </c>
      <c r="E4156" s="0" t="s">
        <v>4963</v>
      </c>
      <c r="F4156" s="0" t="s">
        <v>30</v>
      </c>
      <c r="G4156" s="0" t="s">
        <v>4980</v>
      </c>
      <c r="H4156" s="0" t="s">
        <v>4327</v>
      </c>
      <c r="I4156" s="0" t="s">
        <v>4981</v>
      </c>
      <c r="J4156" s="18" t="s">
        <v>24</v>
      </c>
    </row>
    <row r="4157" customFormat="false" ht="15" hidden="false" customHeight="false" outlineLevel="0" collapsed="false">
      <c r="A4157" s="0" t="s">
        <v>3394</v>
      </c>
      <c r="B4157" s="0" t="s">
        <v>134</v>
      </c>
      <c r="C4157" s="0" t="s">
        <v>3447</v>
      </c>
      <c r="D4157" s="0" t="s">
        <v>3448</v>
      </c>
      <c r="E4157" s="0" t="s">
        <v>4963</v>
      </c>
      <c r="F4157" s="0" t="s">
        <v>30</v>
      </c>
      <c r="G4157" s="0" t="s">
        <v>4980</v>
      </c>
      <c r="H4157" s="0" t="s">
        <v>4799</v>
      </c>
      <c r="I4157" s="0" t="s">
        <v>4981</v>
      </c>
      <c r="J4157" s="18" t="s">
        <v>24</v>
      </c>
    </row>
    <row r="4158" customFormat="false" ht="15" hidden="false" customHeight="false" outlineLevel="0" collapsed="false">
      <c r="A4158" s="0" t="s">
        <v>3400</v>
      </c>
      <c r="B4158" s="0" t="s">
        <v>134</v>
      </c>
      <c r="C4158" s="0" t="s">
        <v>3450</v>
      </c>
      <c r="D4158" s="0" t="s">
        <v>3457</v>
      </c>
      <c r="E4158" s="0" t="s">
        <v>4963</v>
      </c>
      <c r="F4158" s="0" t="s">
        <v>59</v>
      </c>
      <c r="G4158" s="0" t="s">
        <v>4974</v>
      </c>
      <c r="H4158" s="0" t="s">
        <v>69</v>
      </c>
      <c r="I4158" s="0" t="s">
        <v>4975</v>
      </c>
      <c r="J4158" s="20" t="s">
        <v>25</v>
      </c>
    </row>
    <row r="4159" customFormat="false" ht="15" hidden="false" customHeight="false" outlineLevel="0" collapsed="false">
      <c r="A4159" s="0" t="s">
        <v>3400</v>
      </c>
      <c r="B4159" s="0" t="s">
        <v>134</v>
      </c>
      <c r="C4159" s="0" t="s">
        <v>3450</v>
      </c>
      <c r="D4159" s="0" t="s">
        <v>3457</v>
      </c>
      <c r="E4159" s="0" t="s">
        <v>4969</v>
      </c>
      <c r="F4159" s="0" t="s">
        <v>62</v>
      </c>
      <c r="G4159" s="0" t="s">
        <v>5003</v>
      </c>
      <c r="H4159" s="0" t="s">
        <v>6343</v>
      </c>
      <c r="I4159" s="0" t="s">
        <v>5005</v>
      </c>
      <c r="J4159" s="20" t="s">
        <v>25</v>
      </c>
    </row>
    <row r="4160" customFormat="false" ht="15" hidden="false" customHeight="false" outlineLevel="0" collapsed="false">
      <c r="A4160" s="0" t="s">
        <v>3400</v>
      </c>
      <c r="B4160" s="0" t="s">
        <v>134</v>
      </c>
      <c r="C4160" s="0" t="s">
        <v>3450</v>
      </c>
      <c r="D4160" s="0" t="s">
        <v>3448</v>
      </c>
      <c r="E4160" s="0" t="s">
        <v>4963</v>
      </c>
      <c r="F4160" s="0" t="s">
        <v>59</v>
      </c>
      <c r="G4160" s="0" t="s">
        <v>4974</v>
      </c>
      <c r="H4160" s="0" t="s">
        <v>69</v>
      </c>
      <c r="I4160" s="0" t="s">
        <v>4975</v>
      </c>
      <c r="J4160" s="20" t="s">
        <v>25</v>
      </c>
    </row>
    <row r="4161" customFormat="false" ht="15" hidden="false" customHeight="false" outlineLevel="0" collapsed="false">
      <c r="A4161" s="0" t="s">
        <v>3400</v>
      </c>
      <c r="B4161" s="0" t="s">
        <v>134</v>
      </c>
      <c r="C4161" s="0" t="s">
        <v>3450</v>
      </c>
      <c r="D4161" s="0" t="s">
        <v>3457</v>
      </c>
      <c r="E4161" s="0" t="s">
        <v>4963</v>
      </c>
      <c r="F4161" s="0" t="s">
        <v>30</v>
      </c>
      <c r="G4161" s="0" t="s">
        <v>4980</v>
      </c>
      <c r="H4161" s="0" t="s">
        <v>4629</v>
      </c>
      <c r="I4161" s="0" t="s">
        <v>4981</v>
      </c>
      <c r="J4161" s="18" t="s">
        <v>24</v>
      </c>
    </row>
    <row r="4162" customFormat="false" ht="15" hidden="false" customHeight="false" outlineLevel="0" collapsed="false">
      <c r="A4162" s="0" t="s">
        <v>3400</v>
      </c>
      <c r="B4162" s="0" t="s">
        <v>134</v>
      </c>
      <c r="C4162" s="0" t="s">
        <v>3450</v>
      </c>
      <c r="D4162" s="0" t="s">
        <v>3448</v>
      </c>
      <c r="E4162" s="0" t="s">
        <v>4963</v>
      </c>
      <c r="F4162" s="0" t="s">
        <v>30</v>
      </c>
      <c r="G4162" s="0" t="s">
        <v>4980</v>
      </c>
      <c r="H4162" s="0" t="s">
        <v>4242</v>
      </c>
      <c r="I4162" s="0" t="s">
        <v>4981</v>
      </c>
      <c r="J4162" s="18" t="s">
        <v>24</v>
      </c>
    </row>
    <row r="4163" customFormat="false" ht="15" hidden="false" customHeight="false" outlineLevel="0" collapsed="false">
      <c r="A4163" s="0" t="s">
        <v>3400</v>
      </c>
      <c r="B4163" s="0" t="s">
        <v>134</v>
      </c>
      <c r="C4163" s="0" t="s">
        <v>3447</v>
      </c>
      <c r="D4163" s="0" t="s">
        <v>3457</v>
      </c>
      <c r="E4163" s="0" t="s">
        <v>4963</v>
      </c>
      <c r="F4163" s="0" t="s">
        <v>30</v>
      </c>
      <c r="G4163" s="0" t="s">
        <v>4980</v>
      </c>
      <c r="H4163" s="0" t="s">
        <v>4433</v>
      </c>
      <c r="I4163" s="0" t="s">
        <v>4981</v>
      </c>
      <c r="J4163" s="18" t="s">
        <v>24</v>
      </c>
    </row>
    <row r="4164" customFormat="false" ht="15" hidden="false" customHeight="false" outlineLevel="0" collapsed="false">
      <c r="A4164" s="0" t="s">
        <v>3400</v>
      </c>
      <c r="B4164" s="0" t="s">
        <v>134</v>
      </c>
      <c r="C4164" s="0" t="s">
        <v>3447</v>
      </c>
      <c r="D4164" s="0" t="s">
        <v>3448</v>
      </c>
      <c r="E4164" s="0" t="s">
        <v>4963</v>
      </c>
      <c r="F4164" s="0" t="s">
        <v>30</v>
      </c>
      <c r="G4164" s="0" t="s">
        <v>4980</v>
      </c>
      <c r="H4164" s="0" t="s">
        <v>4368</v>
      </c>
      <c r="I4164" s="0" t="s">
        <v>4981</v>
      </c>
      <c r="J4164" s="18" t="s">
        <v>24</v>
      </c>
    </row>
    <row r="4165" customFormat="false" ht="15" hidden="false" customHeight="false" outlineLevel="0" collapsed="false">
      <c r="A4165" s="0" t="s">
        <v>3406</v>
      </c>
      <c r="B4165" s="0" t="s">
        <v>134</v>
      </c>
      <c r="C4165" s="0" t="s">
        <v>3447</v>
      </c>
      <c r="D4165" s="0" t="s">
        <v>3457</v>
      </c>
      <c r="E4165" s="0" t="s">
        <v>4963</v>
      </c>
      <c r="F4165" s="0" t="s">
        <v>60</v>
      </c>
      <c r="G4165" s="0" t="s">
        <v>4964</v>
      </c>
      <c r="H4165" s="0" t="s">
        <v>5246</v>
      </c>
      <c r="I4165" s="0" t="s">
        <v>4966</v>
      </c>
      <c r="J4165" s="19" t="s">
        <v>26</v>
      </c>
    </row>
    <row r="4166" customFormat="false" ht="15" hidden="false" customHeight="false" outlineLevel="0" collapsed="false">
      <c r="A4166" s="0" t="s">
        <v>3406</v>
      </c>
      <c r="B4166" s="0" t="s">
        <v>134</v>
      </c>
      <c r="C4166" s="0" t="s">
        <v>3447</v>
      </c>
      <c r="D4166" s="0" t="s">
        <v>3448</v>
      </c>
      <c r="E4166" s="0" t="s">
        <v>4963</v>
      </c>
      <c r="F4166" s="0" t="s">
        <v>60</v>
      </c>
      <c r="G4166" s="0" t="s">
        <v>4964</v>
      </c>
      <c r="H4166" s="0" t="s">
        <v>6344</v>
      </c>
      <c r="I4166" s="0" t="s">
        <v>4966</v>
      </c>
      <c r="J4166" s="19" t="s">
        <v>26</v>
      </c>
    </row>
    <row r="4167" customFormat="false" ht="15" hidden="false" customHeight="false" outlineLevel="0" collapsed="false">
      <c r="A4167" s="0" t="s">
        <v>3406</v>
      </c>
      <c r="B4167" s="0" t="s">
        <v>134</v>
      </c>
      <c r="C4167" s="0" t="s">
        <v>3450</v>
      </c>
      <c r="D4167" s="0" t="s">
        <v>3448</v>
      </c>
      <c r="E4167" s="0" t="s">
        <v>4963</v>
      </c>
      <c r="F4167" s="0" t="s">
        <v>59</v>
      </c>
      <c r="G4167" s="0" t="s">
        <v>4974</v>
      </c>
      <c r="H4167" s="0" t="s">
        <v>69</v>
      </c>
      <c r="I4167" s="0" t="s">
        <v>4975</v>
      </c>
      <c r="J4167" s="20" t="s">
        <v>25</v>
      </c>
    </row>
    <row r="4168" customFormat="false" ht="15" hidden="false" customHeight="false" outlineLevel="0" collapsed="false">
      <c r="A4168" s="0" t="s">
        <v>3406</v>
      </c>
      <c r="B4168" s="0" t="s">
        <v>134</v>
      </c>
      <c r="C4168" s="0" t="s">
        <v>3447</v>
      </c>
      <c r="D4168" s="0" t="s">
        <v>3457</v>
      </c>
      <c r="E4168" s="0" t="s">
        <v>4963</v>
      </c>
      <c r="F4168" s="0" t="s">
        <v>59</v>
      </c>
      <c r="G4168" s="0" t="s">
        <v>4974</v>
      </c>
      <c r="H4168" s="0" t="s">
        <v>69</v>
      </c>
      <c r="I4168" s="0" t="s">
        <v>4975</v>
      </c>
      <c r="J4168" s="20" t="s">
        <v>25</v>
      </c>
    </row>
    <row r="4169" customFormat="false" ht="15" hidden="false" customHeight="false" outlineLevel="0" collapsed="false">
      <c r="A4169" s="0" t="s">
        <v>3406</v>
      </c>
      <c r="B4169" s="0" t="s">
        <v>134</v>
      </c>
      <c r="C4169" s="0" t="s">
        <v>3450</v>
      </c>
      <c r="D4169" s="0" t="s">
        <v>3448</v>
      </c>
      <c r="E4169" s="0" t="s">
        <v>4963</v>
      </c>
      <c r="F4169" s="0" t="s">
        <v>30</v>
      </c>
      <c r="G4169" s="0" t="s">
        <v>4980</v>
      </c>
      <c r="H4169" s="0" t="s">
        <v>4275</v>
      </c>
      <c r="I4169" s="0" t="s">
        <v>4981</v>
      </c>
      <c r="J4169" s="18" t="s">
        <v>24</v>
      </c>
    </row>
    <row r="4170" customFormat="false" ht="15" hidden="false" customHeight="false" outlineLevel="0" collapsed="false">
      <c r="A4170" s="0" t="s">
        <v>3418</v>
      </c>
      <c r="B4170" s="0" t="s">
        <v>134</v>
      </c>
      <c r="C4170" s="0" t="s">
        <v>3450</v>
      </c>
      <c r="D4170" s="0" t="s">
        <v>3457</v>
      </c>
      <c r="E4170" s="0" t="s">
        <v>4963</v>
      </c>
      <c r="F4170" s="0" t="s">
        <v>59</v>
      </c>
      <c r="G4170" s="0" t="s">
        <v>4974</v>
      </c>
      <c r="H4170" s="0" t="s">
        <v>69</v>
      </c>
      <c r="I4170" s="0" t="s">
        <v>4975</v>
      </c>
      <c r="J4170" s="20" t="s">
        <v>25</v>
      </c>
    </row>
    <row r="4171" customFormat="false" ht="15" hidden="false" customHeight="false" outlineLevel="0" collapsed="false">
      <c r="A4171" s="0" t="s">
        <v>3418</v>
      </c>
      <c r="B4171" s="0" t="s">
        <v>134</v>
      </c>
      <c r="C4171" s="0" t="s">
        <v>3450</v>
      </c>
      <c r="D4171" s="0" t="s">
        <v>3457</v>
      </c>
      <c r="E4171" s="0" t="s">
        <v>4969</v>
      </c>
      <c r="F4171" s="0" t="s">
        <v>61</v>
      </c>
      <c r="G4171" s="0" t="s">
        <v>4970</v>
      </c>
      <c r="H4171" s="0" t="s">
        <v>6345</v>
      </c>
      <c r="I4171" s="0" t="s">
        <v>4972</v>
      </c>
      <c r="J4171" s="20" t="s">
        <v>25</v>
      </c>
    </row>
    <row r="4172" customFormat="false" ht="15" hidden="false" customHeight="false" outlineLevel="0" collapsed="false">
      <c r="A4172" s="0" t="s">
        <v>3418</v>
      </c>
      <c r="B4172" s="0" t="s">
        <v>134</v>
      </c>
      <c r="C4172" s="0" t="s">
        <v>3450</v>
      </c>
      <c r="D4172" s="0" t="s">
        <v>3448</v>
      </c>
      <c r="E4172" s="0" t="s">
        <v>4969</v>
      </c>
      <c r="F4172" s="0" t="s">
        <v>66</v>
      </c>
      <c r="G4172" s="0" t="s">
        <v>4970</v>
      </c>
      <c r="H4172" s="0" t="s">
        <v>6346</v>
      </c>
      <c r="I4172" s="0" t="s">
        <v>5030</v>
      </c>
      <c r="J4172" s="20" t="s">
        <v>25</v>
      </c>
    </row>
    <row r="4173" customFormat="false" ht="15" hidden="false" customHeight="false" outlineLevel="0" collapsed="false">
      <c r="A4173" s="0" t="s">
        <v>3418</v>
      </c>
      <c r="B4173" s="0" t="s">
        <v>134</v>
      </c>
      <c r="C4173" s="0" t="s">
        <v>3447</v>
      </c>
      <c r="D4173" s="0" t="s">
        <v>3448</v>
      </c>
      <c r="E4173" s="0" t="s">
        <v>4969</v>
      </c>
      <c r="F4173" s="0" t="s">
        <v>61</v>
      </c>
      <c r="G4173" s="0" t="s">
        <v>4970</v>
      </c>
      <c r="H4173" s="0" t="s">
        <v>6347</v>
      </c>
      <c r="I4173" s="0" t="s">
        <v>4972</v>
      </c>
      <c r="J4173" s="20" t="s">
        <v>25</v>
      </c>
    </row>
    <row r="4174" customFormat="false" ht="15" hidden="false" customHeight="false" outlineLevel="0" collapsed="false">
      <c r="A4174" s="0" t="s">
        <v>3418</v>
      </c>
      <c r="B4174" s="0" t="s">
        <v>3459</v>
      </c>
      <c r="C4174" s="0" t="s">
        <v>3450</v>
      </c>
      <c r="D4174" s="0" t="s">
        <v>3457</v>
      </c>
      <c r="E4174" s="0" t="s">
        <v>4963</v>
      </c>
      <c r="F4174" s="0" t="s">
        <v>59</v>
      </c>
      <c r="G4174" s="0" t="s">
        <v>4974</v>
      </c>
      <c r="H4174" s="0" t="s">
        <v>69</v>
      </c>
      <c r="I4174" s="0" t="s">
        <v>4975</v>
      </c>
      <c r="J4174" s="20" t="s">
        <v>25</v>
      </c>
    </row>
    <row r="4175" customFormat="false" ht="15" hidden="false" customHeight="false" outlineLevel="0" collapsed="false">
      <c r="A4175" s="0" t="s">
        <v>3418</v>
      </c>
      <c r="B4175" s="0" t="s">
        <v>3459</v>
      </c>
      <c r="C4175" s="0" t="s">
        <v>3450</v>
      </c>
      <c r="D4175" s="0" t="s">
        <v>3448</v>
      </c>
      <c r="E4175" s="0" t="s">
        <v>4963</v>
      </c>
      <c r="F4175" s="0" t="s">
        <v>59</v>
      </c>
      <c r="G4175" s="0" t="s">
        <v>4974</v>
      </c>
      <c r="H4175" s="0" t="s">
        <v>69</v>
      </c>
      <c r="I4175" s="0" t="s">
        <v>4975</v>
      </c>
      <c r="J4175" s="20" t="s">
        <v>25</v>
      </c>
    </row>
    <row r="4176" customFormat="false" ht="15" hidden="false" customHeight="false" outlineLevel="0" collapsed="false">
      <c r="A4176" s="0" t="s">
        <v>3418</v>
      </c>
      <c r="B4176" s="0" t="s">
        <v>3459</v>
      </c>
      <c r="C4176" s="0" t="s">
        <v>3450</v>
      </c>
      <c r="D4176" s="0" t="s">
        <v>3448</v>
      </c>
      <c r="E4176" s="0" t="s">
        <v>4969</v>
      </c>
      <c r="F4176" s="0" t="s">
        <v>62</v>
      </c>
      <c r="G4176" s="0" t="s">
        <v>5003</v>
      </c>
      <c r="H4176" s="0" t="s">
        <v>6348</v>
      </c>
      <c r="I4176" s="0" t="s">
        <v>5005</v>
      </c>
      <c r="J4176" s="20" t="s">
        <v>25</v>
      </c>
    </row>
    <row r="4177" customFormat="false" ht="15" hidden="false" customHeight="false" outlineLevel="0" collapsed="false">
      <c r="A4177" s="0" t="s">
        <v>3418</v>
      </c>
      <c r="B4177" s="0" t="s">
        <v>3459</v>
      </c>
      <c r="C4177" s="0" t="s">
        <v>3447</v>
      </c>
      <c r="D4177" s="0" t="s">
        <v>3457</v>
      </c>
      <c r="E4177" s="0" t="s">
        <v>4969</v>
      </c>
      <c r="F4177" s="0" t="s">
        <v>61</v>
      </c>
      <c r="G4177" s="0" t="s">
        <v>4970</v>
      </c>
      <c r="H4177" s="0" t="s">
        <v>6349</v>
      </c>
      <c r="I4177" s="0" t="s">
        <v>4972</v>
      </c>
      <c r="J4177" s="20" t="s">
        <v>25</v>
      </c>
    </row>
    <row r="4178" customFormat="false" ht="15" hidden="false" customHeight="false" outlineLevel="0" collapsed="false">
      <c r="A4178" s="0" t="s">
        <v>3418</v>
      </c>
      <c r="B4178" s="0" t="s">
        <v>3459</v>
      </c>
      <c r="C4178" s="0" t="s">
        <v>3447</v>
      </c>
      <c r="D4178" s="0" t="s">
        <v>3448</v>
      </c>
      <c r="E4178" s="0" t="s">
        <v>4969</v>
      </c>
      <c r="F4178" s="0" t="s">
        <v>61</v>
      </c>
      <c r="G4178" s="0" t="s">
        <v>4970</v>
      </c>
      <c r="H4178" s="0" t="s">
        <v>6350</v>
      </c>
      <c r="I4178" s="0" t="s">
        <v>4972</v>
      </c>
      <c r="J4178" s="20" t="s">
        <v>25</v>
      </c>
    </row>
    <row r="4179" customFormat="false" ht="15" hidden="false" customHeight="false" outlineLevel="0" collapsed="false">
      <c r="A4179" s="0" t="s">
        <v>3418</v>
      </c>
      <c r="B4179" s="0" t="s">
        <v>134</v>
      </c>
      <c r="C4179" s="0" t="s">
        <v>3450</v>
      </c>
      <c r="D4179" s="0" t="s">
        <v>3457</v>
      </c>
      <c r="E4179" s="0" t="s">
        <v>4963</v>
      </c>
      <c r="F4179" s="0" t="s">
        <v>30</v>
      </c>
      <c r="G4179" s="0" t="s">
        <v>4980</v>
      </c>
      <c r="H4179" s="0" t="s">
        <v>4955</v>
      </c>
      <c r="I4179" s="0" t="s">
        <v>4981</v>
      </c>
      <c r="J4179" s="18" t="s">
        <v>24</v>
      </c>
    </row>
    <row r="4180" customFormat="false" ht="15" hidden="false" customHeight="false" outlineLevel="0" collapsed="false">
      <c r="A4180" s="0" t="s">
        <v>3418</v>
      </c>
      <c r="B4180" s="0" t="s">
        <v>134</v>
      </c>
      <c r="C4180" s="0" t="s">
        <v>3447</v>
      </c>
      <c r="D4180" s="0" t="s">
        <v>3457</v>
      </c>
      <c r="E4180" s="0" t="s">
        <v>4963</v>
      </c>
      <c r="F4180" s="0" t="s">
        <v>30</v>
      </c>
      <c r="G4180" s="0" t="s">
        <v>4980</v>
      </c>
      <c r="H4180" s="0" t="s">
        <v>4250</v>
      </c>
      <c r="I4180" s="0" t="s">
        <v>4981</v>
      </c>
      <c r="J4180" s="18" t="s">
        <v>24</v>
      </c>
    </row>
    <row r="4181" customFormat="false" ht="15" hidden="false" customHeight="false" outlineLevel="0" collapsed="false">
      <c r="A4181" s="0" t="s">
        <v>3418</v>
      </c>
      <c r="B4181" s="0" t="s">
        <v>134</v>
      </c>
      <c r="C4181" s="0" t="s">
        <v>3447</v>
      </c>
      <c r="D4181" s="0" t="s">
        <v>3448</v>
      </c>
      <c r="E4181" s="0" t="s">
        <v>4963</v>
      </c>
      <c r="F4181" s="0" t="s">
        <v>30</v>
      </c>
      <c r="G4181" s="0" t="s">
        <v>4980</v>
      </c>
      <c r="H4181" s="0" t="s">
        <v>4251</v>
      </c>
      <c r="I4181" s="0" t="s">
        <v>4981</v>
      </c>
      <c r="J4181" s="18" t="s">
        <v>24</v>
      </c>
    </row>
    <row r="4182" customFormat="false" ht="15" hidden="false" customHeight="false" outlineLevel="0" collapsed="false">
      <c r="A4182" s="0" t="s">
        <v>3418</v>
      </c>
      <c r="B4182" s="0" t="s">
        <v>3459</v>
      </c>
      <c r="C4182" s="0" t="s">
        <v>3450</v>
      </c>
      <c r="D4182" s="0" t="s">
        <v>3457</v>
      </c>
      <c r="E4182" s="0" t="s">
        <v>4963</v>
      </c>
      <c r="F4182" s="0" t="s">
        <v>30</v>
      </c>
      <c r="G4182" s="0" t="s">
        <v>4980</v>
      </c>
      <c r="H4182" s="0" t="s">
        <v>4956</v>
      </c>
      <c r="I4182" s="0" t="s">
        <v>4981</v>
      </c>
      <c r="J4182" s="18" t="s">
        <v>24</v>
      </c>
    </row>
    <row r="4183" customFormat="false" ht="15" hidden="false" customHeight="false" outlineLevel="0" collapsed="false">
      <c r="A4183" s="0" t="s">
        <v>3418</v>
      </c>
      <c r="B4183" s="0" t="s">
        <v>3459</v>
      </c>
      <c r="C4183" s="0" t="s">
        <v>3450</v>
      </c>
      <c r="D4183" s="0" t="s">
        <v>3448</v>
      </c>
      <c r="E4183" s="0" t="s">
        <v>4963</v>
      </c>
      <c r="F4183" s="0" t="s">
        <v>30</v>
      </c>
      <c r="G4183" s="0" t="s">
        <v>4980</v>
      </c>
      <c r="H4183" s="0" t="s">
        <v>4265</v>
      </c>
      <c r="I4183" s="0" t="s">
        <v>4981</v>
      </c>
      <c r="J4183" s="18" t="s">
        <v>24</v>
      </c>
    </row>
    <row r="4184" customFormat="false" ht="15" hidden="false" customHeight="false" outlineLevel="0" collapsed="false">
      <c r="A4184" s="0" t="s">
        <v>3418</v>
      </c>
      <c r="B4184" s="0" t="s">
        <v>3459</v>
      </c>
      <c r="C4184" s="0" t="s">
        <v>3447</v>
      </c>
      <c r="D4184" s="0" t="s">
        <v>3457</v>
      </c>
      <c r="E4184" s="0" t="s">
        <v>4963</v>
      </c>
      <c r="F4184" s="0" t="s">
        <v>30</v>
      </c>
      <c r="G4184" s="0" t="s">
        <v>4980</v>
      </c>
      <c r="H4184" s="0" t="s">
        <v>4260</v>
      </c>
      <c r="I4184" s="0" t="s">
        <v>4981</v>
      </c>
      <c r="J4184" s="18" t="s">
        <v>24</v>
      </c>
    </row>
    <row r="4185" customFormat="false" ht="15" hidden="false" customHeight="false" outlineLevel="0" collapsed="false">
      <c r="A4185" s="0" t="s">
        <v>3418</v>
      </c>
      <c r="B4185" s="0" t="s">
        <v>3459</v>
      </c>
      <c r="C4185" s="0" t="s">
        <v>3447</v>
      </c>
      <c r="D4185" s="0" t="s">
        <v>3448</v>
      </c>
      <c r="E4185" s="0" t="s">
        <v>4963</v>
      </c>
      <c r="F4185" s="0" t="s">
        <v>30</v>
      </c>
      <c r="G4185" s="0" t="s">
        <v>4980</v>
      </c>
      <c r="H4185" s="0" t="s">
        <v>4288</v>
      </c>
      <c r="I4185" s="0" t="s">
        <v>4981</v>
      </c>
      <c r="J4185" s="18" t="s">
        <v>24</v>
      </c>
    </row>
  </sheetData>
  <autoFilter ref="A1:J41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1"/>
    <col collapsed="false" customWidth="true" hidden="false" outlineLevel="0" max="2" min="2" style="0" width="60"/>
  </cols>
  <sheetData>
    <row r="1" customFormat="false" ht="15" hidden="false" customHeight="false" outlineLevel="0" collapsed="false">
      <c r="A1" s="17" t="s">
        <v>6351</v>
      </c>
      <c r="B1" s="17" t="s">
        <v>6352</v>
      </c>
    </row>
    <row r="2" customFormat="false" ht="15" hidden="false" customHeight="false" outlineLevel="0" collapsed="false">
      <c r="A2" s="0" t="s">
        <v>6353</v>
      </c>
      <c r="B2" s="0" t="s">
        <v>6354</v>
      </c>
    </row>
    <row r="3" customFormat="false" ht="15" hidden="false" customHeight="false" outlineLevel="0" collapsed="false">
      <c r="A3" s="0" t="s">
        <v>6355</v>
      </c>
      <c r="B3" s="0" t="s">
        <v>6356</v>
      </c>
    </row>
    <row r="4" customFormat="false" ht="15" hidden="false" customHeight="false" outlineLevel="0" collapsed="false">
      <c r="A4" s="0" t="s">
        <v>84</v>
      </c>
      <c r="B4" s="0" t="s">
        <v>6357</v>
      </c>
    </row>
    <row r="5" customFormat="false" ht="15" hidden="false" customHeight="false" outlineLevel="0" collapsed="false">
      <c r="A5" s="0" t="s">
        <v>4962</v>
      </c>
      <c r="B5" s="0" t="s">
        <v>6358</v>
      </c>
    </row>
    <row r="6" customFormat="false" ht="15" hidden="false" customHeight="false" outlineLevel="0" collapsed="false">
      <c r="A6" s="0" t="s">
        <v>6359</v>
      </c>
      <c r="B6" s="0" t="s">
        <v>6360</v>
      </c>
    </row>
    <row r="7" customFormat="false" ht="15" hidden="false" customHeight="false" outlineLevel="0" collapsed="false">
      <c r="A7" s="0" t="s">
        <v>6361</v>
      </c>
      <c r="B7" s="0" t="s">
        <v>6362</v>
      </c>
    </row>
    <row r="8" customFormat="false" ht="15" hidden="false" customHeight="false" outlineLevel="0" collapsed="false">
      <c r="A8" s="0" t="s">
        <v>4201</v>
      </c>
      <c r="B8" s="0" t="s">
        <v>6363</v>
      </c>
    </row>
    <row r="9" customFormat="false" ht="15" hidden="false" customHeight="false" outlineLevel="0" collapsed="false">
      <c r="A9" s="0" t="s">
        <v>6364</v>
      </c>
      <c r="B9" s="0" t="s">
        <v>6365</v>
      </c>
    </row>
    <row r="10" customFormat="false" ht="15" hidden="false" customHeight="false" outlineLevel="0" collapsed="false">
      <c r="A10" s="0" t="s">
        <v>6366</v>
      </c>
      <c r="B10" s="0" t="s">
        <v>6367</v>
      </c>
    </row>
    <row r="11" customFormat="false" ht="15" hidden="false" customHeight="false" outlineLevel="0" collapsed="false">
      <c r="A11" s="0" t="s">
        <v>6368</v>
      </c>
      <c r="B11" s="0" t="s">
        <v>6369</v>
      </c>
    </row>
    <row r="12" customFormat="false" ht="15" hidden="false" customHeight="false" outlineLevel="0" collapsed="false">
      <c r="A12" s="0" t="s">
        <v>6370</v>
      </c>
      <c r="B12" s="0" t="s">
        <v>6371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2026-10-22T07:46:16Z</dcterms:created>
  <dc:creator>openpyxl</dc:creator>
  <dc:description/>
  <dc:language>en-US</dc:language>
  <cp:lastModifiedBy/>
  <dcterms:modified xsi:type="dcterms:W3CDTF">2026-10-22T07:46:36Z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